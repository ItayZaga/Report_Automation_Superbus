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Users\user\Desktop\קבצי מאקרו\BI\"/>
    </mc:Choice>
  </mc:AlternateContent>
  <xr:revisionPtr revIDLastSave="0" documentId="13_ncr:1_{AB5B12F7-8879-422B-A8EE-DF17173F6F00}" xr6:coauthVersionLast="47" xr6:coauthVersionMax="47" xr10:uidLastSave="{00000000-0000-0000-0000-000000000000}"/>
  <bookViews>
    <workbookView xWindow="-110" yWindow="-110" windowWidth="19420" windowHeight="10560" xr2:uid="{00000000-000D-0000-FFFF-FFFF00000000}"/>
  </bookViews>
  <sheets>
    <sheet name="performence" sheetId="4" r:id="rId1"/>
    <sheet name="daily" sheetId="86" r:id="rId2"/>
    <sheet name="pivots" sheetId="218" r:id="rId3"/>
    <sheet name="data" sheetId="1" r:id="rId4"/>
    <sheet name="line id" sheetId="2" state="hidden" r:id="rId5"/>
    <sheet name="work schedule" sheetId="3" state="hidden" r:id="rId6"/>
  </sheets>
  <calcPr calcId="191029"/>
  <pivotCaches>
    <pivotCache cacheId="138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218" l="1"/>
  <c r="C9" i="218"/>
  <c r="C10" i="218"/>
  <c r="C11" i="218"/>
  <c r="C12" i="218"/>
  <c r="D12" i="218" s="1"/>
  <c r="C13" i="218"/>
  <c r="C14" i="218"/>
  <c r="D14" i="218" s="1"/>
  <c r="C15" i="218"/>
  <c r="C16" i="218"/>
  <c r="D16" i="218" s="1"/>
  <c r="C17" i="218"/>
  <c r="C18" i="218"/>
  <c r="D18" i="218" s="1"/>
  <c r="C19" i="218"/>
  <c r="D19" i="218" s="1"/>
  <c r="C20" i="218"/>
  <c r="C21" i="218"/>
  <c r="C22" i="218"/>
  <c r="C23" i="218"/>
  <c r="D23" i="218" s="1"/>
  <c r="C24" i="218"/>
  <c r="D24" i="218" s="1"/>
  <c r="C25" i="218"/>
  <c r="C26" i="218"/>
  <c r="C27" i="218"/>
  <c r="D27" i="218" s="1"/>
  <c r="C28" i="218"/>
  <c r="C29" i="218"/>
  <c r="C30" i="218"/>
  <c r="D30" i="218" s="1"/>
  <c r="C31" i="218"/>
  <c r="D31" i="218" s="1"/>
  <c r="C32" i="218"/>
  <c r="D32" i="218" s="1"/>
  <c r="C33" i="218"/>
  <c r="C34" i="218"/>
  <c r="D34" i="218" s="1"/>
  <c r="C35" i="218"/>
  <c r="C36" i="218"/>
  <c r="C37" i="218"/>
  <c r="C38" i="218"/>
  <c r="D38" i="218" s="1"/>
  <c r="C39" i="218"/>
  <c r="D39" i="218" s="1"/>
  <c r="C40" i="218"/>
  <c r="D40" i="218" s="1"/>
  <c r="C41" i="218"/>
  <c r="C42" i="218"/>
  <c r="D42" i="218" s="1"/>
  <c r="C43" i="218"/>
  <c r="D43" i="218" s="1"/>
  <c r="C44" i="218"/>
  <c r="D44" i="218" s="1"/>
  <c r="C45" i="218"/>
  <c r="C46" i="218"/>
  <c r="D46" i="218" s="1"/>
  <c r="C47" i="218"/>
  <c r="D47" i="218" s="1"/>
  <c r="C48" i="218"/>
  <c r="D48" i="218" s="1"/>
  <c r="C49" i="218"/>
  <c r="C50" i="218"/>
  <c r="D50" i="218" s="1"/>
  <c r="C51" i="218"/>
  <c r="D51" i="218" s="1"/>
  <c r="C52" i="218"/>
  <c r="D52" i="218" s="1"/>
  <c r="C53" i="218"/>
  <c r="C54" i="218"/>
  <c r="D54" i="218" s="1"/>
  <c r="C55" i="218"/>
  <c r="D55" i="218" s="1"/>
  <c r="C56" i="218"/>
  <c r="C57" i="218"/>
  <c r="C58" i="218"/>
  <c r="D58" i="218" s="1"/>
  <c r="C59" i="218"/>
  <c r="D59" i="218" s="1"/>
  <c r="C60" i="218"/>
  <c r="D60" i="218" s="1"/>
  <c r="C61" i="218"/>
  <c r="C62" i="218"/>
  <c r="D62" i="218" s="1"/>
  <c r="C63" i="218"/>
  <c r="D63" i="218" s="1"/>
  <c r="C64" i="218"/>
  <c r="D64" i="218" s="1"/>
  <c r="C65" i="218"/>
  <c r="C66" i="218"/>
  <c r="D66" i="218" s="1"/>
  <c r="C67" i="218"/>
  <c r="D67" i="218" s="1"/>
  <c r="C68" i="218"/>
  <c r="D68" i="218" s="1"/>
  <c r="C69" i="218"/>
  <c r="C70" i="218"/>
  <c r="D70" i="218" s="1"/>
  <c r="C71" i="218"/>
  <c r="D71" i="218" s="1"/>
  <c r="C72" i="218"/>
  <c r="D72" i="218" s="1"/>
  <c r="C73" i="218"/>
  <c r="C74" i="218"/>
  <c r="D74" i="218" s="1"/>
  <c r="C75" i="218"/>
  <c r="D75" i="218" s="1"/>
  <c r="C76" i="218"/>
  <c r="D76" i="218" s="1"/>
  <c r="C77" i="218"/>
  <c r="C78" i="218"/>
  <c r="D78" i="218" s="1"/>
  <c r="C79" i="218"/>
  <c r="D79" i="218" s="1"/>
  <c r="C80" i="218"/>
  <c r="C81" i="218"/>
  <c r="D81" i="218" s="1"/>
  <c r="C82" i="218"/>
  <c r="D82" i="218" s="1"/>
  <c r="C83" i="218"/>
  <c r="C84" i="218"/>
  <c r="C85" i="218"/>
  <c r="C86" i="218"/>
  <c r="C87" i="218"/>
  <c r="C88" i="218"/>
  <c r="C89" i="218"/>
  <c r="C90" i="218"/>
  <c r="C91" i="218"/>
  <c r="C92" i="218"/>
  <c r="C93" i="218"/>
  <c r="C94" i="218"/>
  <c r="C95" i="218"/>
  <c r="C96" i="218"/>
  <c r="C97" i="218"/>
  <c r="C98" i="218"/>
  <c r="C99" i="218"/>
  <c r="C100" i="218"/>
  <c r="C101" i="218"/>
  <c r="C102" i="218"/>
  <c r="C103" i="218"/>
  <c r="C104" i="218"/>
  <c r="C105" i="218"/>
  <c r="C106" i="218"/>
  <c r="C107" i="218"/>
  <c r="C108" i="218"/>
  <c r="C109" i="218"/>
  <c r="C110" i="218"/>
  <c r="C111" i="218"/>
  <c r="C112" i="218"/>
  <c r="C113" i="218"/>
  <c r="C114" i="218"/>
  <c r="C115" i="218"/>
  <c r="C116" i="218"/>
  <c r="C117" i="218"/>
  <c r="C118" i="218"/>
  <c r="C119" i="218"/>
  <c r="C120" i="218"/>
  <c r="C121" i="218"/>
  <c r="C122" i="218"/>
  <c r="C123" i="218"/>
  <c r="C124" i="218"/>
  <c r="C125" i="218"/>
  <c r="C126" i="218"/>
  <c r="C127" i="218"/>
  <c r="C128" i="218"/>
  <c r="C129" i="218"/>
  <c r="C130" i="218"/>
  <c r="C131" i="218"/>
  <c r="C132" i="218"/>
  <c r="C133" i="218"/>
  <c r="C134" i="218"/>
  <c r="C135" i="218"/>
  <c r="C136" i="218"/>
  <c r="C137" i="218"/>
  <c r="C138" i="218"/>
  <c r="C139" i="218"/>
  <c r="C140" i="218"/>
  <c r="C141" i="218"/>
  <c r="C142" i="218"/>
  <c r="C143" i="218"/>
  <c r="C144" i="218"/>
  <c r="C145" i="218"/>
  <c r="C146" i="218"/>
  <c r="C147" i="218"/>
  <c r="C148" i="218"/>
  <c r="C149" i="218"/>
  <c r="C150" i="218"/>
  <c r="C151" i="218"/>
  <c r="C152" i="218"/>
  <c r="C153" i="218"/>
  <c r="C154" i="218"/>
  <c r="C155" i="218"/>
  <c r="C156" i="218"/>
  <c r="C157" i="218"/>
  <c r="C158" i="218"/>
  <c r="C159" i="218"/>
  <c r="C160" i="218"/>
  <c r="C161" i="218"/>
  <c r="C162" i="218"/>
  <c r="C163" i="218"/>
  <c r="C164" i="218"/>
  <c r="C165" i="218"/>
  <c r="C166" i="218"/>
  <c r="C167" i="218"/>
  <c r="C168" i="218"/>
  <c r="C169" i="218"/>
  <c r="C170" i="218"/>
  <c r="C171" i="218"/>
  <c r="C172" i="218"/>
  <c r="C173" i="218"/>
  <c r="C174" i="218"/>
  <c r="C175" i="218"/>
  <c r="C176" i="218"/>
  <c r="C177" i="218"/>
  <c r="C178" i="218"/>
  <c r="C179" i="218"/>
  <c r="C180" i="218"/>
  <c r="C181" i="218"/>
  <c r="C182" i="218"/>
  <c r="C183" i="218"/>
  <c r="C184" i="218"/>
  <c r="C185" i="218"/>
  <c r="C186" i="218"/>
  <c r="C187" i="218"/>
  <c r="C188" i="218"/>
  <c r="C189" i="218"/>
  <c r="C190" i="218"/>
  <c r="C191" i="218"/>
  <c r="C192" i="218"/>
  <c r="C193" i="218"/>
  <c r="C194" i="218"/>
  <c r="C195" i="218"/>
  <c r="C196" i="218"/>
  <c r="C197" i="218"/>
  <c r="C198" i="218"/>
  <c r="C199" i="218"/>
  <c r="C200" i="218"/>
  <c r="C201" i="218"/>
  <c r="C202" i="218"/>
  <c r="C203" i="218"/>
  <c r="C204" i="218"/>
  <c r="C205" i="218"/>
  <c r="C206" i="218"/>
  <c r="C207" i="218"/>
  <c r="C208" i="218"/>
  <c r="C209" i="218"/>
  <c r="C210" i="218"/>
  <c r="C211" i="218"/>
  <c r="C212" i="218"/>
  <c r="C213" i="218"/>
  <c r="C214" i="218"/>
  <c r="C215" i="218"/>
  <c r="C216" i="218"/>
  <c r="C217" i="218"/>
  <c r="C218" i="218"/>
  <c r="C219" i="218"/>
  <c r="C220" i="218"/>
  <c r="C221" i="218"/>
  <c r="C222" i="218"/>
  <c r="C223" i="218"/>
  <c r="C224" i="218"/>
  <c r="C225" i="218"/>
  <c r="C226" i="218"/>
  <c r="C227" i="218"/>
  <c r="C228" i="218"/>
  <c r="C229" i="218"/>
  <c r="C230" i="218"/>
  <c r="C231" i="218"/>
  <c r="C232" i="218"/>
  <c r="C233" i="218"/>
  <c r="C234" i="218"/>
  <c r="C235" i="218"/>
  <c r="C236" i="218"/>
  <c r="C237" i="218"/>
  <c r="C238" i="218"/>
  <c r="C239" i="218"/>
  <c r="C240" i="218"/>
  <c r="C241" i="218"/>
  <c r="C242" i="218"/>
  <c r="C243" i="218"/>
  <c r="C244" i="218"/>
  <c r="C245" i="218"/>
  <c r="C246" i="218"/>
  <c r="C247" i="218"/>
  <c r="C248" i="218"/>
  <c r="C249" i="218"/>
  <c r="C250" i="218"/>
  <c r="C7" i="218"/>
  <c r="D7" i="218" s="1"/>
  <c r="D8" i="218"/>
  <c r="D9" i="218"/>
  <c r="D17" i="218"/>
  <c r="D20" i="218"/>
  <c r="D21" i="218"/>
  <c r="D25" i="218"/>
  <c r="D28" i="218"/>
  <c r="D29" i="218"/>
  <c r="D33" i="218"/>
  <c r="D36" i="218"/>
  <c r="D37" i="218"/>
  <c r="D41" i="218"/>
  <c r="D45" i="218"/>
  <c r="D49" i="218"/>
  <c r="D53" i="218"/>
  <c r="D56" i="218"/>
  <c r="D57" i="218"/>
  <c r="D61" i="218"/>
  <c r="D65" i="218"/>
  <c r="D69" i="218"/>
  <c r="D73" i="218"/>
  <c r="D77" i="218"/>
  <c r="D80" i="218"/>
  <c r="D83" i="218"/>
  <c r="D84" i="218"/>
  <c r="D85" i="218"/>
  <c r="D86" i="218"/>
  <c r="D87" i="218"/>
  <c r="D88" i="218"/>
  <c r="D89" i="218"/>
  <c r="D90" i="218"/>
  <c r="D91" i="218"/>
  <c r="D92" i="218"/>
  <c r="D93" i="218"/>
  <c r="D94" i="218"/>
  <c r="D95" i="218"/>
  <c r="D96" i="218"/>
  <c r="D97" i="218"/>
  <c r="D98" i="218"/>
  <c r="D99" i="218"/>
  <c r="D100" i="218"/>
  <c r="D101" i="218"/>
  <c r="D102" i="218"/>
  <c r="D103" i="218"/>
  <c r="D104" i="218"/>
  <c r="D105" i="218"/>
  <c r="D106" i="218"/>
  <c r="D107" i="218"/>
  <c r="D108" i="218"/>
  <c r="D109" i="218"/>
  <c r="D110" i="218"/>
  <c r="D111" i="218"/>
  <c r="D112" i="218"/>
  <c r="D113" i="218"/>
  <c r="D114" i="218"/>
  <c r="D115" i="218"/>
  <c r="D116" i="218"/>
  <c r="D117" i="218"/>
  <c r="D118" i="218"/>
  <c r="D119" i="218"/>
  <c r="D120" i="218"/>
  <c r="D121" i="218"/>
  <c r="D122" i="218"/>
  <c r="D123" i="218"/>
  <c r="D124" i="218"/>
  <c r="D125" i="218"/>
  <c r="D126" i="218"/>
  <c r="D127" i="218"/>
  <c r="D128" i="218"/>
  <c r="D129" i="218"/>
  <c r="D130" i="218"/>
  <c r="D131" i="218"/>
  <c r="D132" i="218"/>
  <c r="D133" i="218"/>
  <c r="D134" i="218"/>
  <c r="D135" i="218"/>
  <c r="D136" i="218"/>
  <c r="D137" i="218"/>
  <c r="D138" i="218"/>
  <c r="D139" i="218"/>
  <c r="D140" i="218"/>
  <c r="D141" i="218"/>
  <c r="D142" i="218"/>
  <c r="D143" i="218"/>
  <c r="D144" i="218"/>
  <c r="D145" i="218"/>
  <c r="D146" i="218"/>
  <c r="D147" i="218"/>
  <c r="D148" i="218"/>
  <c r="D149" i="218"/>
  <c r="D150" i="218"/>
  <c r="D151" i="218"/>
  <c r="D152" i="218"/>
  <c r="D153" i="218"/>
  <c r="D154" i="218"/>
  <c r="D155" i="218"/>
  <c r="D156" i="218"/>
  <c r="D157" i="218"/>
  <c r="D158" i="218"/>
  <c r="D159" i="218"/>
  <c r="D160" i="218"/>
  <c r="D161" i="218"/>
  <c r="D162" i="218"/>
  <c r="D163" i="218"/>
  <c r="D164" i="218"/>
  <c r="D165" i="218"/>
  <c r="D166" i="218"/>
  <c r="D167" i="218"/>
  <c r="D168" i="218"/>
  <c r="D169" i="218"/>
  <c r="D170" i="218"/>
  <c r="D171" i="218"/>
  <c r="D172" i="218"/>
  <c r="D173" i="218"/>
  <c r="D174" i="218"/>
  <c r="D175" i="218"/>
  <c r="D176" i="218"/>
  <c r="D177" i="218"/>
  <c r="D178" i="218"/>
  <c r="D179" i="218"/>
  <c r="D180" i="218"/>
  <c r="D181" i="218"/>
  <c r="D182" i="218"/>
  <c r="D183" i="218"/>
  <c r="D184" i="218"/>
  <c r="D185" i="218"/>
  <c r="D186" i="218"/>
  <c r="D187" i="218"/>
  <c r="D188" i="218"/>
  <c r="D189" i="218"/>
  <c r="D190" i="218"/>
  <c r="D191" i="218"/>
  <c r="D192" i="218"/>
  <c r="D193" i="218"/>
  <c r="D194" i="218"/>
  <c r="D195" i="218"/>
  <c r="D196" i="218"/>
  <c r="D197" i="218"/>
  <c r="D198" i="218"/>
  <c r="D199" i="218"/>
  <c r="D200" i="218"/>
  <c r="D201" i="218"/>
  <c r="D202" i="218"/>
  <c r="D203" i="218"/>
  <c r="D204" i="218"/>
  <c r="D205" i="218"/>
  <c r="D206" i="218"/>
  <c r="D207" i="218"/>
  <c r="D208" i="218"/>
  <c r="D209" i="218"/>
  <c r="D210" i="218"/>
  <c r="D211" i="218"/>
  <c r="D212" i="218"/>
  <c r="D213" i="218"/>
  <c r="D214" i="218"/>
  <c r="D215" i="218"/>
  <c r="D216" i="218"/>
  <c r="D217" i="218"/>
  <c r="D218" i="218"/>
  <c r="D219" i="218"/>
  <c r="D220" i="218"/>
  <c r="D221" i="218"/>
  <c r="D222" i="218"/>
  <c r="D223" i="218"/>
  <c r="D224" i="218"/>
  <c r="D225" i="218"/>
  <c r="D226" i="218"/>
  <c r="D227" i="218"/>
  <c r="D228" i="218"/>
  <c r="D229" i="218"/>
  <c r="D230" i="218"/>
  <c r="D231" i="218"/>
  <c r="D232" i="218"/>
  <c r="D233" i="218"/>
  <c r="D234" i="218"/>
  <c r="D235" i="218"/>
  <c r="D236" i="218"/>
  <c r="D237" i="218"/>
  <c r="D238" i="218"/>
  <c r="D239" i="218"/>
  <c r="D240" i="218"/>
  <c r="D241" i="218"/>
  <c r="D242" i="218"/>
  <c r="D243" i="218"/>
  <c r="D244" i="218"/>
  <c r="D245" i="218"/>
  <c r="D246" i="218"/>
  <c r="D247" i="218"/>
  <c r="D248" i="218"/>
  <c r="D249" i="218"/>
  <c r="D250" i="218"/>
  <c r="D10" i="218"/>
  <c r="D11" i="218"/>
  <c r="D13" i="218"/>
  <c r="D15" i="218"/>
  <c r="D22" i="218"/>
  <c r="D26" i="218"/>
  <c r="D35" i="218"/>
  <c r="L14" i="4"/>
  <c r="L20" i="4"/>
  <c r="J6" i="86"/>
  <c r="I6" i="86"/>
  <c r="H6" i="86"/>
  <c r="G6" i="86"/>
  <c r="F6" i="86"/>
  <c r="E6" i="86"/>
  <c r="D6" i="86"/>
  <c r="C6" i="86"/>
  <c r="B6" i="86"/>
  <c r="C18" i="4"/>
  <c r="H18" i="4"/>
  <c r="H19" i="4" s="1"/>
  <c r="C16" i="4"/>
  <c r="H16" i="4"/>
  <c r="H17" i="4" s="1"/>
  <c r="C12" i="4"/>
  <c r="H12" i="4"/>
  <c r="C10" i="4" a="1"/>
  <c r="C10" i="4" s="1"/>
  <c r="H10" i="4" a="1"/>
  <c r="H10" i="4" s="1"/>
  <c r="J18" i="4"/>
  <c r="J19" i="4" s="1"/>
  <c r="G18" i="4"/>
  <c r="G19" i="4" s="1"/>
  <c r="F18" i="4"/>
  <c r="F19" i="4" s="1"/>
  <c r="E18" i="4"/>
  <c r="E19" i="4" s="1"/>
  <c r="D18" i="4"/>
  <c r="D19" i="4" s="1"/>
  <c r="G16" i="4"/>
  <c r="G17" i="4" s="1"/>
  <c r="F16" i="4"/>
  <c r="F17" i="4" s="1"/>
  <c r="E16" i="4"/>
  <c r="E17" i="4" s="1"/>
  <c r="J16" i="4"/>
  <c r="J17" i="4" s="1"/>
  <c r="D16" i="4"/>
  <c r="D17" i="4" s="1"/>
  <c r="G12" i="4"/>
  <c r="F12" i="4"/>
  <c r="E12" i="4"/>
  <c r="J12" i="4"/>
  <c r="D12" i="4"/>
  <c r="G10" i="4" a="1"/>
  <c r="G10" i="4" s="1"/>
  <c r="E10" i="4" a="1"/>
  <c r="E10" i="4" s="1"/>
  <c r="F10" i="4" a="1"/>
  <c r="F10" i="4" s="1"/>
  <c r="J10" i="4" a="1"/>
  <c r="J10" i="4" s="1"/>
  <c r="D10" i="4" a="1"/>
  <c r="D10" i="4" s="1"/>
  <c r="C6" i="4" a="1"/>
  <c r="C6" i="4" s="1"/>
  <c r="C15" i="4" s="1"/>
  <c r="C7" i="4"/>
  <c r="H7" i="4"/>
  <c r="G7" i="4"/>
  <c r="F7" i="4"/>
  <c r="E7" i="4"/>
  <c r="J7" i="4"/>
  <c r="D7" i="4"/>
  <c r="D6" i="4" a="1"/>
  <c r="D6" i="4" s="1"/>
  <c r="D15" i="4" s="1"/>
  <c r="G6" i="4" a="1"/>
  <c r="G6" i="4" s="1"/>
  <c r="G15" i="4" s="1"/>
  <c r="F6" i="4" a="1"/>
  <c r="F6" i="4" s="1"/>
  <c r="F15" i="4" s="1"/>
  <c r="E6" i="4" a="1"/>
  <c r="E6" i="4" s="1"/>
  <c r="E15" i="4" s="1"/>
  <c r="J6" i="4" a="1"/>
  <c r="J6" i="4" s="1"/>
  <c r="H6" i="4" a="1"/>
  <c r="H6" i="4" s="1"/>
  <c r="I12" i="4"/>
  <c r="L12" i="4" s="1"/>
  <c r="I6" i="4" a="1"/>
  <c r="I6" i="4" s="1"/>
  <c r="I7" i="4"/>
  <c r="L7" i="4" s="1"/>
  <c r="E7" i="218" l="1"/>
  <c r="L6" i="4"/>
  <c r="I18" i="4"/>
  <c r="I15" i="4"/>
  <c r="V9" i="4" s="1"/>
  <c r="I16" i="4"/>
  <c r="I17" i="4" l="1"/>
  <c r="L16" i="4"/>
  <c r="I19" i="4"/>
  <c r="L18" i="4"/>
  <c r="K7" i="4"/>
  <c r="K12" i="4"/>
  <c r="K6" i="4" a="1"/>
  <c r="K6" i="4" s="1"/>
  <c r="J15" i="4"/>
  <c r="K10" i="4"/>
  <c r="K18" i="4" l="1"/>
  <c r="K19" i="4" s="1"/>
  <c r="K16" i="4"/>
  <c r="K17" i="4" s="1"/>
  <c r="C17" i="4"/>
  <c r="I10" i="4"/>
  <c r="L10" i="4" s="1"/>
  <c r="L22" i="4" s="1"/>
  <c r="C13" i="4"/>
  <c r="C11" i="4" l="1"/>
  <c r="C19" i="4"/>
  <c r="H13" i="4"/>
  <c r="I13" i="4"/>
  <c r="I21" i="4"/>
  <c r="I11" i="4"/>
  <c r="J13" i="4" l="1"/>
  <c r="J21" i="4"/>
  <c r="J11" i="4"/>
  <c r="K11" i="4"/>
  <c r="K13" i="4"/>
  <c r="G13" i="4"/>
  <c r="H21" i="4" l="1"/>
  <c r="D21" i="4"/>
  <c r="C21" i="4"/>
  <c r="AH11" i="4"/>
  <c r="U11" i="4"/>
  <c r="AC11" i="4"/>
  <c r="P11" i="4"/>
  <c r="V10" i="4"/>
  <c r="AG10" i="4"/>
  <c r="AC10" i="4"/>
  <c r="P10" i="4"/>
  <c r="K15" i="4"/>
  <c r="X9" i="4" s="1"/>
  <c r="W9" i="4"/>
  <c r="H15" i="4"/>
  <c r="AG9" i="4" s="1"/>
  <c r="T9" i="4"/>
  <c r="S9" i="4"/>
  <c r="AD9" i="4"/>
  <c r="Q9" i="4"/>
  <c r="AB9" i="4"/>
  <c r="AH8" i="4"/>
  <c r="U8" i="4"/>
  <c r="D13" i="4"/>
  <c r="Q8" i="4" s="1"/>
  <c r="P8" i="4"/>
  <c r="P7" i="4"/>
  <c r="H11" i="4"/>
  <c r="D11" i="4"/>
  <c r="AF9" i="4" l="1"/>
  <c r="AH9" i="4"/>
  <c r="V8" i="4"/>
  <c r="Q11" i="4"/>
  <c r="Q10" i="4"/>
  <c r="AB11" i="4"/>
  <c r="AB7" i="4"/>
  <c r="V11" i="4"/>
  <c r="AE9" i="4"/>
  <c r="AB8" i="4"/>
  <c r="AG8" i="4"/>
  <c r="AB10" i="4"/>
  <c r="AC8" i="4"/>
  <c r="U10" i="4"/>
  <c r="AG11" i="4"/>
  <c r="AH10" i="4"/>
  <c r="AJ9" i="4"/>
  <c r="AI9" i="4"/>
  <c r="P9" i="4"/>
  <c r="P13" i="4" s="1"/>
  <c r="AC7" i="4"/>
  <c r="Q7" i="4"/>
  <c r="U7" i="4"/>
  <c r="AG7" i="4"/>
  <c r="AH7" i="4"/>
  <c r="V7" i="4"/>
  <c r="R9" i="4"/>
  <c r="AC9" i="4"/>
  <c r="U9" i="4"/>
  <c r="U13" i="4" l="1"/>
  <c r="Q13" i="4"/>
  <c r="V13" i="4"/>
  <c r="AH12" i="4"/>
  <c r="AG12" i="4"/>
  <c r="AB12" i="4"/>
  <c r="AC12" i="4"/>
  <c r="F11" i="4" l="1"/>
  <c r="F21" i="4"/>
  <c r="F13" i="4"/>
  <c r="G11" i="4"/>
  <c r="G21" i="4"/>
  <c r="E13" i="4"/>
  <c r="E11" i="4"/>
  <c r="E21" i="4"/>
  <c r="K21" i="4"/>
  <c r="AE8" i="4" l="1"/>
  <c r="S8" i="4"/>
  <c r="T7" i="4"/>
  <c r="AF7" i="4"/>
  <c r="AD10" i="4"/>
  <c r="R10" i="4"/>
  <c r="X11" i="4"/>
  <c r="AJ11" i="4"/>
  <c r="W7" i="4"/>
  <c r="AI7" i="4"/>
  <c r="X8" i="4"/>
  <c r="AJ8" i="4"/>
  <c r="W8" i="4"/>
  <c r="AI8" i="4"/>
  <c r="AD7" i="4"/>
  <c r="R7" i="4"/>
  <c r="S11" i="4"/>
  <c r="AE11" i="4"/>
  <c r="T10" i="4"/>
  <c r="AF10" i="4"/>
  <c r="X10" i="4"/>
  <c r="AJ10" i="4"/>
  <c r="AJ7" i="4"/>
  <c r="X7" i="4"/>
  <c r="AD11" i="4"/>
  <c r="R11" i="4"/>
  <c r="AF8" i="4"/>
  <c r="T8" i="4"/>
  <c r="AF11" i="4"/>
  <c r="T11" i="4"/>
  <c r="AI11" i="4"/>
  <c r="W11" i="4"/>
  <c r="AE7" i="4"/>
  <c r="S7" i="4"/>
  <c r="AD8" i="4"/>
  <c r="R8" i="4"/>
  <c r="W10" i="4"/>
  <c r="AI10" i="4"/>
  <c r="S10" i="4"/>
  <c r="AE10" i="4"/>
  <c r="X13" i="4" l="1"/>
  <c r="R13" i="4"/>
  <c r="T13" i="4"/>
  <c r="S13" i="4"/>
  <c r="W13" i="4"/>
  <c r="AJ12" i="4"/>
  <c r="AE12" i="4"/>
  <c r="AD12" i="4"/>
  <c r="AF12" i="4"/>
  <c r="AI1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<sst xmlns="http://schemas.openxmlformats.org/spreadsheetml/2006/main" count="16501" uniqueCount="1000">
  <si>
    <t>שם מפעיל</t>
  </si>
  <si>
    <t>מס' אשכול</t>
  </si>
  <si>
    <t>אשכול</t>
  </si>
  <si>
    <t>תת אשכול</t>
  </si>
  <si>
    <t>מחוז</t>
  </si>
  <si>
    <t>מתאריך</t>
  </si>
  <si>
    <t>עד תאריך</t>
  </si>
  <si>
    <t>שם תקופה</t>
  </si>
  <si>
    <t>מקט</t>
  </si>
  <si>
    <t>כיוון</t>
  </si>
  <si>
    <t>חלופה</t>
  </si>
  <si>
    <t>שילוט</t>
  </si>
  <si>
    <t>קוד יישוב מוצא</t>
  </si>
  <si>
    <t>שם יישוב מוצא</t>
  </si>
  <si>
    <t>שם תחנת מוצא</t>
  </si>
  <si>
    <t>קוד יישוב יעד</t>
  </si>
  <si>
    <t>שם יישוב יעד</t>
  </si>
  <si>
    <t>שם תחנת יעד</t>
  </si>
  <si>
    <t>שם תחנת יעד לפרסום</t>
  </si>
  <si>
    <t>שם סוג שירות</t>
  </si>
  <si>
    <t>אורך מסלול</t>
  </si>
  <si>
    <t>ייחודיות הקו</t>
  </si>
  <si>
    <t>מאושר שבת</t>
  </si>
  <si>
    <t>נגישות לנכים</t>
  </si>
  <si>
    <t>גודל אוטובוס</t>
  </si>
  <si>
    <t>סוג אוטובוס</t>
  </si>
  <si>
    <t>כמות נסיעות יומית (ג)</t>
  </si>
  <si>
    <t>כמות נסיעות שבועיות</t>
  </si>
  <si>
    <t>מזהה החלופה</t>
  </si>
  <si>
    <t>עליה מכל הדלתות</t>
  </si>
  <si>
    <t>האם מאושר התרעננות</t>
  </si>
  <si>
    <t>קו נסיוני</t>
  </si>
  <si>
    <t>גמישות תפעולית</t>
  </si>
  <si>
    <t>הזמנת מקומות</t>
  </si>
  <si>
    <t>שירות גמיש</t>
  </si>
  <si>
    <t>ק"מ שבועי</t>
  </si>
  <si>
    <t>תאריך הפעלה הראשונה</t>
  </si>
  <si>
    <t>תאריך תחילת הרשומה</t>
  </si>
  <si>
    <t>תאריך סיום הרשומה</t>
  </si>
  <si>
    <t>סופרבוס</t>
  </si>
  <si>
    <t>העמקים</t>
  </si>
  <si>
    <t>יקנעם</t>
  </si>
  <si>
    <t>18/10/2022</t>
  </si>
  <si>
    <t>01/01/2200</t>
  </si>
  <si>
    <t>כניסת שעון קיץ לתוקף</t>
  </si>
  <si>
    <t>02/11/2022</t>
  </si>
  <si>
    <t>תחילת הלימודים</t>
  </si>
  <si>
    <t>חופשת הקיץ</t>
  </si>
  <si>
    <t>כניסת שעון חורף לתוקף</t>
  </si>
  <si>
    <t>עפולה</t>
  </si>
  <si>
    <t>30/10/2022</t>
  </si>
  <si>
    <t>שעון חורף- מחצית שניה</t>
  </si>
  <si>
    <t>03/11/2022</t>
  </si>
  <si>
    <t>09/11/2022</t>
  </si>
  <si>
    <t>23/10/2022</t>
  </si>
  <si>
    <t>טבריה</t>
  </si>
  <si>
    <t>08/11/2022</t>
  </si>
  <si>
    <t>19/10/2022</t>
  </si>
  <si>
    <t>ירושלים מרכז</t>
  </si>
  <si>
    <t/>
  </si>
  <si>
    <t>ירושלים</t>
  </si>
  <si>
    <t>12/11/2022</t>
  </si>
  <si>
    <t>06/11/2022</t>
  </si>
  <si>
    <t>מיוחד</t>
  </si>
  <si>
    <t>07/11/2022</t>
  </si>
  <si>
    <t>21/11/2022</t>
  </si>
  <si>
    <t>13/11/2022</t>
  </si>
  <si>
    <t>22/11/2022</t>
  </si>
  <si>
    <t>מטרונית חיפה</t>
  </si>
  <si>
    <t>10/11/2022</t>
  </si>
  <si>
    <t>11/11/2022</t>
  </si>
  <si>
    <t>מספר הזמנת לקוח</t>
  </si>
  <si>
    <t>שם הנהג</t>
  </si>
  <si>
    <t>מספר הרכב</t>
  </si>
  <si>
    <t>קוד סידור</t>
  </si>
  <si>
    <t>קוד נהג</t>
  </si>
  <si>
    <t>עיר מגורים</t>
  </si>
  <si>
    <t>קוד המסלול</t>
  </si>
  <si>
    <t>קו - מק"ט</t>
  </si>
  <si>
    <t>כיוון - מק"ט</t>
  </si>
  <si>
    <t>שעת התחלה</t>
  </si>
  <si>
    <t>שעת סיום</t>
  </si>
  <si>
    <t>סטטוס</t>
  </si>
  <si>
    <t>מוצא</t>
  </si>
  <si>
    <t>יעד</t>
  </si>
  <si>
    <t>סה"כ מרחק</t>
  </si>
  <si>
    <t>קוד הזמנה</t>
  </si>
  <si>
    <t>קוד נסיעה</t>
  </si>
  <si>
    <t>סניף אחראי</t>
  </si>
  <si>
    <t>תאריך</t>
  </si>
  <si>
    <t>ירושלים דרום</t>
  </si>
  <si>
    <t>יום</t>
  </si>
  <si>
    <t>סוג מפעיל-מפעיל-אשכול-מק''ט קו-קו-כיוון-חלופה - מפעיל</t>
  </si>
  <si>
    <t>סוג מפעיל-מפעיל-אשכול-מק''ט קו-קו-כיוון-חלופה - אשכול</t>
  </si>
  <si>
    <t>סוג מפעיל-מפעיל-אשכול-מק''ט קו-קו-כיוון-חלופה - קו</t>
  </si>
  <si>
    <t>סוג מפעיל-מפעיל-אשכול-מק''ט קו-קו-כיוון-חלופה - מק''ט קו</t>
  </si>
  <si>
    <t>סוג מפעיל-מפעיל-אשכול-מק''ט קו-קו-כיוון-חלופה - כיוון</t>
  </si>
  <si>
    <t>סוג מפעיל-מפעיל-אשכול-מק''ט קו-קו-כיוון-חלופה - חלופה</t>
  </si>
  <si>
    <t>מספר רישוי</t>
  </si>
  <si>
    <t>תאריך ושעת נסיעה</t>
  </si>
  <si>
    <t>ביצוע תחילת נסיעה</t>
  </si>
  <si>
    <t>פער בין שעת תכנון לשעת יציאה</t>
  </si>
  <si>
    <t>נסיעה בארוע החרגה</t>
  </si>
  <si>
    <t>ממצא בקרה לוז</t>
  </si>
  <si>
    <t>ממצא אב נסיעה לוז</t>
  </si>
  <si>
    <t>ממצא נסיעה לוז</t>
  </si>
  <si>
    <t>רכב מורשה</t>
  </si>
  <si>
    <t>התאמת אוטובוס לקו</t>
  </si>
  <si>
    <t>מזהה נסיעה</t>
  </si>
  <si>
    <t>תאריך נומרי</t>
  </si>
  <si>
    <t>שעה דקה</t>
  </si>
  <si>
    <t>איחור בין 5 ל 20 דקות</t>
  </si>
  <si>
    <t>סניף</t>
  </si>
  <si>
    <t>מעריך ציון מפעיל: סניפים</t>
  </si>
  <si>
    <t xml:space="preserve"> </t>
  </si>
  <si>
    <t>Version 1.0</t>
  </si>
  <si>
    <t>חברה</t>
  </si>
  <si>
    <t>חיפה מטרונית</t>
  </si>
  <si>
    <t>סה"כ</t>
  </si>
  <si>
    <t>ניקוד לבקרה אלקטרונית</t>
  </si>
  <si>
    <t xml:space="preserve">ניקוד </t>
  </si>
  <si>
    <t>כמות מק"טים</t>
  </si>
  <si>
    <t>משקל</t>
  </si>
  <si>
    <t>חריגה</t>
  </si>
  <si>
    <t xml:space="preserve"> כמות נסיעות</t>
  </si>
  <si>
    <t xml:space="preserve">הקדמה +אי ביצוע </t>
  </si>
  <si>
    <t>גבול</t>
  </si>
  <si>
    <t>נסיעות/אחוז</t>
  </si>
  <si>
    <t>אי ביצוע ברמת קו</t>
  </si>
  <si>
    <t>אוטובוס מורשה</t>
  </si>
  <si>
    <t>ציון</t>
  </si>
  <si>
    <t>איחור 5-7 דק</t>
  </si>
  <si>
    <t>סכום כולל</t>
  </si>
  <si>
    <t>(פריטים מרובים)</t>
  </si>
  <si>
    <t>0</t>
  </si>
  <si>
    <t>22</t>
  </si>
  <si>
    <t>כפר יהושע</t>
  </si>
  <si>
    <t>ת. רכבת כפר יהושע/איסוף</t>
  </si>
  <si>
    <t>רמת ישי</t>
  </si>
  <si>
    <t>אזור תעשיה רמת ישי</t>
  </si>
  <si>
    <t>רמת ישי, כניסה מזרחית</t>
  </si>
  <si>
    <t>מאסף</t>
  </si>
  <si>
    <t>קווים מזינים</t>
  </si>
  <si>
    <t>לא</t>
  </si>
  <si>
    <t>כן</t>
  </si>
  <si>
    <t>מיניבוס</t>
  </si>
  <si>
    <t>עירוני</t>
  </si>
  <si>
    <t>ללא גמישות</t>
  </si>
  <si>
    <t>19/12/2014</t>
  </si>
  <si>
    <t>26/03/2021</t>
  </si>
  <si>
    <t>90</t>
  </si>
  <si>
    <t>כפר חסידים א'</t>
  </si>
  <si>
    <t>גיבורי התהילה/בית קמה</t>
  </si>
  <si>
    <t>קרית טבעון</t>
  </si>
  <si>
    <t>בי"ס אורט</t>
  </si>
  <si>
    <t>קרית טבעון, קרית עמל</t>
  </si>
  <si>
    <t>תלמידים</t>
  </si>
  <si>
    <t>אוטובוס</t>
  </si>
  <si>
    <t>בינעירוני</t>
  </si>
  <si>
    <t>01/09/2022</t>
  </si>
  <si>
    <t>1</t>
  </si>
  <si>
    <t>95א</t>
  </si>
  <si>
    <t>יקנעם עילית</t>
  </si>
  <si>
    <t>בי"ס הדסים</t>
  </si>
  <si>
    <t>התמר/התאנה</t>
  </si>
  <si>
    <t>שכונה ותיקה</t>
  </si>
  <si>
    <t>מקומי מאסף</t>
  </si>
  <si>
    <t>97</t>
  </si>
  <si>
    <t>2</t>
  </si>
  <si>
    <t>82</t>
  </si>
  <si>
    <t>דרך קרית עמל/מנחם בגין</t>
  </si>
  <si>
    <t>חטיבת ביניים גרינברג</t>
  </si>
  <si>
    <t>חניון אגד</t>
  </si>
  <si>
    <t>01/03/2020</t>
  </si>
  <si>
    <t>19</t>
  </si>
  <si>
    <t>קריית החינוך</t>
  </si>
  <si>
    <t>הכרמל/העתיד</t>
  </si>
  <si>
    <t>מפעל אסם</t>
  </si>
  <si>
    <t>סדיר</t>
  </si>
  <si>
    <t>24/02/2019</t>
  </si>
  <si>
    <t>06/06/2022</t>
  </si>
  <si>
    <t>157</t>
  </si>
  <si>
    <t>בנימינה גבעת עדה</t>
  </si>
  <si>
    <t>ת. רכבת בנימינה</t>
  </si>
  <si>
    <t>הקידמה/העוצמה</t>
  </si>
  <si>
    <t>יקנעם עילית, אזור תעשיה</t>
  </si>
  <si>
    <t>04/06/2017</t>
  </si>
  <si>
    <t>14/08/2022</t>
  </si>
  <si>
    <t>27</t>
  </si>
  <si>
    <t>חיפה</t>
  </si>
  <si>
    <t>אבא חושי/פארק הכרמל</t>
  </si>
  <si>
    <t>בית אורן</t>
  </si>
  <si>
    <t>בית אורן/מרכז</t>
  </si>
  <si>
    <t>בית אורן, מרכז</t>
  </si>
  <si>
    <t>05/05/2019</t>
  </si>
  <si>
    <t>27/08/2020</t>
  </si>
  <si>
    <t>302</t>
  </si>
  <si>
    <t>ת.מרכזית עפולה/רציפים</t>
  </si>
  <si>
    <t>ת. מרכזית המפרץ</t>
  </si>
  <si>
    <t>חיפה, מרכזית המפרץ</t>
  </si>
  <si>
    <t>05/11/2021</t>
  </si>
  <si>
    <t>מגרש ספורט/אליהו התשבי</t>
  </si>
  <si>
    <t>3</t>
  </si>
  <si>
    <t>85א</t>
  </si>
  <si>
    <t>תמר / מורן</t>
  </si>
  <si>
    <t>קרית עמל</t>
  </si>
  <si>
    <t>04/09/2022</t>
  </si>
  <si>
    <t>75</t>
  </si>
  <si>
    <t>בסמת טבעון</t>
  </si>
  <si>
    <t>כיכר זביאדת</t>
  </si>
  <si>
    <t>04/11/2020</t>
  </si>
  <si>
    <t>גבעת יערה</t>
  </si>
  <si>
    <t>50</t>
  </si>
  <si>
    <t>טכניון/בנין הספורט</t>
  </si>
  <si>
    <t>חיפה, טכניון</t>
  </si>
  <si>
    <t>07/12/2021</t>
  </si>
  <si>
    <t>בנימינה גבעת עדה, תחנת הרכבת</t>
  </si>
  <si>
    <t>09/07/2020</t>
  </si>
  <si>
    <t>16</t>
  </si>
  <si>
    <t>מסוף קניון ג'י/הורדה</t>
  </si>
  <si>
    <t>מסוף קניון ג'י</t>
  </si>
  <si>
    <t>180</t>
  </si>
  <si>
    <t>מגידו</t>
  </si>
  <si>
    <t>מחנה אליקים</t>
  </si>
  <si>
    <t>9</t>
  </si>
  <si>
    <t>נופית</t>
  </si>
  <si>
    <t>קופת חולים/הגליל</t>
  </si>
  <si>
    <t>נופית, מרכז</t>
  </si>
  <si>
    <t>18/01/2016</t>
  </si>
  <si>
    <t>46</t>
  </si>
  <si>
    <t>עמק יזרעאל</t>
  </si>
  <si>
    <t>מח.נעורה</t>
  </si>
  <si>
    <t>עמק יזרעאל, מרכז</t>
  </si>
  <si>
    <t>20/03/2015</t>
  </si>
  <si>
    <t>352</t>
  </si>
  <si>
    <t>מגדל העמק</t>
  </si>
  <si>
    <t>מסוף מגדל העמק/רציפים</t>
  </si>
  <si>
    <t>שבלי</t>
  </si>
  <si>
    <t>תחנת משטרה</t>
  </si>
  <si>
    <t>שבלי, תחנת משטרה</t>
  </si>
  <si>
    <t>סולם שונם</t>
  </si>
  <si>
    <t>מרכז מסחרי/יוסף ברזילי</t>
  </si>
  <si>
    <t>עפולה, מ.רפואי העמק</t>
  </si>
  <si>
    <t>01/12/2008</t>
  </si>
  <si>
    <t>סולם/כביש 7155</t>
  </si>
  <si>
    <t>16/05/2018</t>
  </si>
  <si>
    <t>14</t>
  </si>
  <si>
    <t>צוקית/טבלן</t>
  </si>
  <si>
    <t>ת.מרכזית עפולה/הורדה</t>
  </si>
  <si>
    <t>תחנה מרכזית</t>
  </si>
  <si>
    <t>04/09/2008</t>
  </si>
  <si>
    <t>301</t>
  </si>
  <si>
    <t>ת. מרכזית המפרץ/רציפים בינעירוני</t>
  </si>
  <si>
    <t>עפולה, תחנה מרכזית</t>
  </si>
  <si>
    <t>300</t>
  </si>
  <si>
    <t>מהיר</t>
  </si>
  <si>
    <t>23/01/2022</t>
  </si>
  <si>
    <t>74</t>
  </si>
  <si>
    <t>אל ג'בל / דרך יצחק רבין</t>
  </si>
  <si>
    <t>793</t>
  </si>
  <si>
    <t>כיכר מרכזית חילף</t>
  </si>
  <si>
    <t>מרכז רפואי לין/שדרות רוטשילד</t>
  </si>
  <si>
    <t>חיפה, מרפאת לין</t>
  </si>
  <si>
    <t>96</t>
  </si>
  <si>
    <t>עמק השלום/הגלעד</t>
  </si>
  <si>
    <t>בית ספר אורנים/לילך</t>
  </si>
  <si>
    <t>'יערה א</t>
  </si>
  <si>
    <t>רמת טבעון</t>
  </si>
  <si>
    <t>עספיא</t>
  </si>
  <si>
    <t>מרכז מסחרי</t>
  </si>
  <si>
    <t>מרכז העיר/תיכון אורט</t>
  </si>
  <si>
    <t>21</t>
  </si>
  <si>
    <t>בית לחם הגלילית</t>
  </si>
  <si>
    <t>בית לחם הגלילית/כניסה</t>
  </si>
  <si>
    <t>זבולון</t>
  </si>
  <si>
    <t>מחנה ג'למה</t>
  </si>
  <si>
    <t>זבולון, מחנה ג'למה</t>
  </si>
  <si>
    <t>01/09/2021</t>
  </si>
  <si>
    <t>95</t>
  </si>
  <si>
    <t>התבור/סיני</t>
  </si>
  <si>
    <t>גבעת הכלניות</t>
  </si>
  <si>
    <t>97א</t>
  </si>
  <si>
    <t>טכניון/מעונות העמים</t>
  </si>
  <si>
    <t>06/09/2022</t>
  </si>
  <si>
    <t>מרדכי/יהושע חנקין</t>
  </si>
  <si>
    <t>08/09/2022</t>
  </si>
  <si>
    <t>58</t>
  </si>
  <si>
    <t>דאלית אל כרמל</t>
  </si>
  <si>
    <t>תיכון אורט</t>
  </si>
  <si>
    <t>ת. רכבת חיפה מרכז</t>
  </si>
  <si>
    <t>חיפה, רכבת מרכז השמונה</t>
  </si>
  <si>
    <t>14/10/2018</t>
  </si>
  <si>
    <t>191</t>
  </si>
  <si>
    <t>נופית/יציאה</t>
  </si>
  <si>
    <t>לילה</t>
  </si>
  <si>
    <t>15/04/2021</t>
  </si>
  <si>
    <t>דחי</t>
  </si>
  <si>
    <t>דחי/יציאה</t>
  </si>
  <si>
    <t>305</t>
  </si>
  <si>
    <t>נהלל</t>
  </si>
  <si>
    <t>צרכנייה</t>
  </si>
  <si>
    <t>נהלל, מרכז היישוב</t>
  </si>
  <si>
    <t>16/10/2016</t>
  </si>
  <si>
    <t>03/07/2022</t>
  </si>
  <si>
    <t>מסוף מגדל העמק</t>
  </si>
  <si>
    <t>מגדל העמק, כיכר העיר</t>
  </si>
  <si>
    <t>47</t>
  </si>
  <si>
    <t>אכסאל</t>
  </si>
  <si>
    <t>מועדון פיס לגיל הזהב</t>
  </si>
  <si>
    <t>בית חולים העמק</t>
  </si>
  <si>
    <t>11/11/2012</t>
  </si>
  <si>
    <t>51</t>
  </si>
  <si>
    <t>ת. רכבת עפולה/איסוף</t>
  </si>
  <si>
    <t>גדיש</t>
  </si>
  <si>
    <t>מושב גדיש</t>
  </si>
  <si>
    <t>גדיש, מרכז</t>
  </si>
  <si>
    <t>10</t>
  </si>
  <si>
    <t>התעשייה/החרט</t>
  </si>
  <si>
    <t>כפר דחי</t>
  </si>
  <si>
    <t>דחי, מרכז</t>
  </si>
  <si>
    <t>4</t>
  </si>
  <si>
    <t>ששת הימים/הנשיאים</t>
  </si>
  <si>
    <t>רמת בלפור</t>
  </si>
  <si>
    <t>29/08/2017</t>
  </si>
  <si>
    <t>11</t>
  </si>
  <si>
    <t>17/08/2021</t>
  </si>
  <si>
    <t>אכסאל, מרכז</t>
  </si>
  <si>
    <t>49</t>
  </si>
  <si>
    <t>אביטל</t>
  </si>
  <si>
    <t>אביטל א</t>
  </si>
  <si>
    <t>ת. רכבת עפולה/הורדה</t>
  </si>
  <si>
    <t>עפולה, תחנת הרכבת</t>
  </si>
  <si>
    <t>854</t>
  </si>
  <si>
    <t>גבעת זאב</t>
  </si>
  <si>
    <t>האתרוג/קרלין</t>
  </si>
  <si>
    <t>דולב/יצחק שדה</t>
  </si>
  <si>
    <t>עפולה, עפולה הצעירה</t>
  </si>
  <si>
    <t>ישיר</t>
  </si>
  <si>
    <t>01/10/2017</t>
  </si>
  <si>
    <t>דליה צעירה מרכז</t>
  </si>
  <si>
    <t>מרכז תרבות</t>
  </si>
  <si>
    <t>מתנ"ס</t>
  </si>
  <si>
    <t>07/01/2021</t>
  </si>
  <si>
    <t>תמר/סיתוונית</t>
  </si>
  <si>
    <t>כיכר הציונות</t>
  </si>
  <si>
    <t>407</t>
  </si>
  <si>
    <t>קרית חינוך/הגיא</t>
  </si>
  <si>
    <t>יקנעם עילית, שער הגיא</t>
  </si>
  <si>
    <t>29/05/2016</t>
  </si>
  <si>
    <t>20/12/2021</t>
  </si>
  <si>
    <t>פארק הכרמל</t>
  </si>
  <si>
    <t>ח'לת עלי</t>
  </si>
  <si>
    <t>ח'אלת עלי</t>
  </si>
  <si>
    <t>21/03/2021</t>
  </si>
  <si>
    <t>181</t>
  </si>
  <si>
    <t>דרך העמק / צומת יוקנעם</t>
  </si>
  <si>
    <t>117</t>
  </si>
  <si>
    <t>ת. רכבת כפר יהושע/הורדה</t>
  </si>
  <si>
    <t>כפר יהושע, תחנת הרכבת</t>
  </si>
  <si>
    <t>426</t>
  </si>
  <si>
    <t>אזור תעשיה שגיא 2000  3</t>
  </si>
  <si>
    <t>עמק יזרעאל, א"ת שגיא 2000</t>
  </si>
  <si>
    <t>21/01/2018</t>
  </si>
  <si>
    <t>כפר חסידים א', מרכז</t>
  </si>
  <si>
    <t>87</t>
  </si>
  <si>
    <t>בי"ס שקד/מעלה השיזף</t>
  </si>
  <si>
    <t>בי''ס שקד</t>
  </si>
  <si>
    <t>בית ספר נרקיסים/סיגליות</t>
  </si>
  <si>
    <t>הגפן/הפרסים</t>
  </si>
  <si>
    <t>דרך יצחק רבין / אל ג'בל</t>
  </si>
  <si>
    <t>בסמת טבעון, מרכז</t>
  </si>
  <si>
    <t>81</t>
  </si>
  <si>
    <t>'בית ספר ג</t>
  </si>
  <si>
    <t>דליה הצעירה</t>
  </si>
  <si>
    <t>25/10/2020</t>
  </si>
  <si>
    <t>85</t>
  </si>
  <si>
    <t>בית ספר קרית עמל/קק"ל</t>
  </si>
  <si>
    <t>11/09/2022</t>
  </si>
  <si>
    <t>55</t>
  </si>
  <si>
    <t>עירוני עורקי מאסף</t>
  </si>
  <si>
    <t>13/05/2022</t>
  </si>
  <si>
    <t>אל פולאת</t>
  </si>
  <si>
    <t>בסמת טבעון, מסעף</t>
  </si>
  <si>
    <t>אוניברסיטה/רב תכליתי</t>
  </si>
  <si>
    <t>חיפה, אוניברסיטה</t>
  </si>
  <si>
    <t>25/06/2020</t>
  </si>
  <si>
    <t>83</t>
  </si>
  <si>
    <t>דרך קרית עמל/עמלים</t>
  </si>
  <si>
    <t>אלרואי</t>
  </si>
  <si>
    <t>25/10/2022</t>
  </si>
  <si>
    <t>בית ספר אורט</t>
  </si>
  <si>
    <t>דאלית אל כרמל, פנינת הכרמל</t>
  </si>
  <si>
    <t>מסוף קניון ג'י/רציפים</t>
  </si>
  <si>
    <t>מקלט</t>
  </si>
  <si>
    <t>בית לחם הגלילית, מרכז</t>
  </si>
  <si>
    <t>99</t>
  </si>
  <si>
    <t>ירדן/המיצר</t>
  </si>
  <si>
    <t>86</t>
  </si>
  <si>
    <t>השומרים \הבונים</t>
  </si>
  <si>
    <t>שיכון אלה</t>
  </si>
  <si>
    <t>188</t>
  </si>
  <si>
    <t>350</t>
  </si>
  <si>
    <t>אום אל גנם</t>
  </si>
  <si>
    <t>01/01/2009</t>
  </si>
  <si>
    <t>242</t>
  </si>
  <si>
    <t>כרמיאל</t>
  </si>
  <si>
    <t>ת. רכבת כרמיאל</t>
  </si>
  <si>
    <t>כרמיאל, תחנת הרכבת</t>
  </si>
  <si>
    <t>19/10/2014</t>
  </si>
  <si>
    <t>246</t>
  </si>
  <si>
    <t>ת.מרכזית עפולה/שפרינצק</t>
  </si>
  <si>
    <t>אום אל פחם</t>
  </si>
  <si>
    <t>מסוף אום אל פחם</t>
  </si>
  <si>
    <t>אום אל פחם, מסוף אוטובוסים</t>
  </si>
  <si>
    <t>בית ספר בית יוסף</t>
  </si>
  <si>
    <t>אחד העם/מלון גינוסר</t>
  </si>
  <si>
    <t>קריית שמואל</t>
  </si>
  <si>
    <t>03/07/2015</t>
  </si>
  <si>
    <t>73</t>
  </si>
  <si>
    <t>עמק הירדן</t>
  </si>
  <si>
    <t>בית ספר אזורי בית ירח</t>
  </si>
  <si>
    <t>מגדל</t>
  </si>
  <si>
    <t>נוף הארבל/האירוסים</t>
  </si>
  <si>
    <t>מגדל, מרכז</t>
  </si>
  <si>
    <t>6</t>
  </si>
  <si>
    <t>אצטדיון עירוני</t>
  </si>
  <si>
    <t>ת. מרכזית טבריה/הורדה</t>
  </si>
  <si>
    <t>25/10/2015</t>
  </si>
  <si>
    <t>969</t>
  </si>
  <si>
    <t>ת. מרכזית טבריה/רציפים</t>
  </si>
  <si>
    <t>בני ברק</t>
  </si>
  <si>
    <t>בית העלמין/חזון אי"ש</t>
  </si>
  <si>
    <t>בני ברק, בית עלמין</t>
  </si>
  <si>
    <t>טבריה, תחנה מרכזית</t>
  </si>
  <si>
    <t>53</t>
  </si>
  <si>
    <t>מלכישוע</t>
  </si>
  <si>
    <t>מלכישוע/כניסה</t>
  </si>
  <si>
    <t>21/11/2012</t>
  </si>
  <si>
    <t>193</t>
  </si>
  <si>
    <t>יצחק רבין/דוד אלעזר</t>
  </si>
  <si>
    <t>פיקא/הראל</t>
  </si>
  <si>
    <t>חיפה, בי"ס נתיב אליעזר</t>
  </si>
  <si>
    <t>07/10/2022</t>
  </si>
  <si>
    <t>צומת גבעת המורה</t>
  </si>
  <si>
    <t>עפולה, צומת גבעת המורה</t>
  </si>
  <si>
    <t>348</t>
  </si>
  <si>
    <t>מינהלת בית החולים העמק</t>
  </si>
  <si>
    <t>13/04/2015</t>
  </si>
  <si>
    <t>28/11/2021</t>
  </si>
  <si>
    <t>אום אל גנם/יציאה</t>
  </si>
  <si>
    <t>שבלי, הכניסה ליישוב</t>
  </si>
  <si>
    <t>15/02/2010</t>
  </si>
  <si>
    <t>ת. רכבת כרמיאל/רציפים</t>
  </si>
  <si>
    <t>25</t>
  </si>
  <si>
    <t>כפר ברוך</t>
  </si>
  <si>
    <t>ת. רכבת כפר ברוך</t>
  </si>
  <si>
    <t>כפר החורש</t>
  </si>
  <si>
    <t>כפר החורש, מרכז</t>
  </si>
  <si>
    <t>296</t>
  </si>
  <si>
    <t>הגליל/הפסגה</t>
  </si>
  <si>
    <t>52</t>
  </si>
  <si>
    <t>הגלבוע</t>
  </si>
  <si>
    <t>מוקיבלה/תחנה סופית</t>
  </si>
  <si>
    <t>הגלבוע, מוקיבלה</t>
  </si>
  <si>
    <t>מוקייבלה</t>
  </si>
  <si>
    <t>מוקיבלה/מרכז</t>
  </si>
  <si>
    <t>מוקייבלה, מרכז</t>
  </si>
  <si>
    <t>התעשייה</t>
  </si>
  <si>
    <t>ת. רכבת כפר ברוך/הורדה</t>
  </si>
  <si>
    <t>כפר ברוך, תחנת הרכבת</t>
  </si>
  <si>
    <t>מגדל העמק, קרית המדע</t>
  </si>
  <si>
    <t>שבלי, מרכז</t>
  </si>
  <si>
    <t>869</t>
  </si>
  <si>
    <t>רמת גן</t>
  </si>
  <si>
    <t>בי"ח שיב"א/שדרות אהרון קציר</t>
  </si>
  <si>
    <t>13/12/2021</t>
  </si>
  <si>
    <t>08/05/2022</t>
  </si>
  <si>
    <t>אוניברסיטה/איי. בי. אם</t>
  </si>
  <si>
    <t>184</t>
  </si>
  <si>
    <t>גלעד</t>
  </si>
  <si>
    <t>קופת חולים</t>
  </si>
  <si>
    <t>גלעד, מרכז</t>
  </si>
  <si>
    <t>185</t>
  </si>
  <si>
    <t>בית ספר מגידו / 6953</t>
  </si>
  <si>
    <t>מגידו, תיכון אזורי</t>
  </si>
  <si>
    <t>שכונת הבדואים</t>
  </si>
  <si>
    <t>עספיא, שכונה מערבית</t>
  </si>
  <si>
    <t>בית ספר  ארזים</t>
  </si>
  <si>
    <t>18</t>
  </si>
  <si>
    <t>190</t>
  </si>
  <si>
    <t>מרכז ביג/יער אודם</t>
  </si>
  <si>
    <t>האיצטדיון</t>
  </si>
  <si>
    <t>חיפה, האיצטדיון</t>
  </si>
  <si>
    <t xml:space="preserve">רמת טבעון </t>
  </si>
  <si>
    <t>שכונה מערבית</t>
  </si>
  <si>
    <t>אלמקאזח</t>
  </si>
  <si>
    <t>68</t>
  </si>
  <si>
    <t>יקנעם עילית, גבעת יערה</t>
  </si>
  <si>
    <t>20/10/2021</t>
  </si>
  <si>
    <t>רכבל/העלייה השנייה</t>
  </si>
  <si>
    <t>חיפה, תחנת הרכבל</t>
  </si>
  <si>
    <t>13</t>
  </si>
  <si>
    <t>בית אבות משלב/ז'בוטינסקי</t>
  </si>
  <si>
    <t>גבעת המורה</t>
  </si>
  <si>
    <t>6א</t>
  </si>
  <si>
    <t>5</t>
  </si>
  <si>
    <t>דרך העמק/משעול התל</t>
  </si>
  <si>
    <t>יקנעם, דרך העמק</t>
  </si>
  <si>
    <t>שכונת ח'אלת עלי 1</t>
  </si>
  <si>
    <t>10/05/2021</t>
  </si>
  <si>
    <t>413</t>
  </si>
  <si>
    <t>עמק המעיינות</t>
  </si>
  <si>
    <t>מפעלים אזוריים</t>
  </si>
  <si>
    <t>20</t>
  </si>
  <si>
    <t>שוק עירוני</t>
  </si>
  <si>
    <t>שוק</t>
  </si>
  <si>
    <t>356</t>
  </si>
  <si>
    <t>נוף הגליל</t>
  </si>
  <si>
    <t>מעלה יצחק/האדמו"ר מבעלזא</t>
  </si>
  <si>
    <t>411</t>
  </si>
  <si>
    <t>בית שאן</t>
  </si>
  <si>
    <t>מסוף בית שאן/איסוף</t>
  </si>
  <si>
    <t>42</t>
  </si>
  <si>
    <t>גזית</t>
  </si>
  <si>
    <t>מועדון</t>
  </si>
  <si>
    <t>גזית, מרכז</t>
  </si>
  <si>
    <t>יעל</t>
  </si>
  <si>
    <t>בית ספר חב"ד</t>
  </si>
  <si>
    <t>יעל, מרכז</t>
  </si>
  <si>
    <t>רם און</t>
  </si>
  <si>
    <t>'רם און א</t>
  </si>
  <si>
    <t>רם און, מרכז</t>
  </si>
  <si>
    <t>156</t>
  </si>
  <si>
    <t>25/06/2012</t>
  </si>
  <si>
    <t>247</t>
  </si>
  <si>
    <t>'שז"ר א</t>
  </si>
  <si>
    <t>המגינים/כי"ח</t>
  </si>
  <si>
    <t>קרית שמואל</t>
  </si>
  <si>
    <t>30/08/2015</t>
  </si>
  <si>
    <t>70</t>
  </si>
  <si>
    <t>הנשיא וייצמן/שז"ר</t>
  </si>
  <si>
    <t>ישיבה/דרך הגבורה</t>
  </si>
  <si>
    <t>ישיבה תיכונית</t>
  </si>
  <si>
    <t>93</t>
  </si>
  <si>
    <t>הדקל/צאלון</t>
  </si>
  <si>
    <t>דרך הגבורה/בי"ס אורט במעלה</t>
  </si>
  <si>
    <t>מרכז מסחרי/וייצמן</t>
  </si>
  <si>
    <t>שיכון ד</t>
  </si>
  <si>
    <t>44</t>
  </si>
  <si>
    <t>פארק תעשיות קדמת גליל</t>
  </si>
  <si>
    <t>הצור/היהלום</t>
  </si>
  <si>
    <t>פארק תעשיות קדמת גליל, מרכז</t>
  </si>
  <si>
    <t>05/08/2022</t>
  </si>
  <si>
    <t>30</t>
  </si>
  <si>
    <t>נאעורה</t>
  </si>
  <si>
    <t>נעורה כיכר</t>
  </si>
  <si>
    <t>נאעורה, מרכז</t>
  </si>
  <si>
    <t>18/06/2022</t>
  </si>
  <si>
    <t>855</t>
  </si>
  <si>
    <t>מודיעין עילית</t>
  </si>
  <si>
    <t>מסוף מודיעין עילית/הורדה</t>
  </si>
  <si>
    <t>מודיעין עילית, מסוף</t>
  </si>
  <si>
    <t>354</t>
  </si>
  <si>
    <t>האדמו"ר מבעלזא/דובר שלום</t>
  </si>
  <si>
    <t>נוף הגליל, הר יונה ג'</t>
  </si>
  <si>
    <t>האדמו"ר מבעלזא/כניסה</t>
  </si>
  <si>
    <t>41</t>
  </si>
  <si>
    <t>א טייבה</t>
  </si>
  <si>
    <t>מועדון נוער</t>
  </si>
  <si>
    <t>76</t>
  </si>
  <si>
    <t>'טולדנו א</t>
  </si>
  <si>
    <t>גאולים שיכון א'</t>
  </si>
  <si>
    <t>מכללת צמח</t>
  </si>
  <si>
    <t>עמק הירדן, מכללת עמק הירדן</t>
  </si>
  <si>
    <t>יבנאל</t>
  </si>
  <si>
    <t>סמדר 1</t>
  </si>
  <si>
    <t>סח'נין</t>
  </si>
  <si>
    <t>סחנין כניסה מערבית</t>
  </si>
  <si>
    <t>8</t>
  </si>
  <si>
    <t>12</t>
  </si>
  <si>
    <t>36</t>
  </si>
  <si>
    <t>בית רימון</t>
  </si>
  <si>
    <t>בית רימון, מרכז</t>
  </si>
  <si>
    <t>37</t>
  </si>
  <si>
    <t>אלומות</t>
  </si>
  <si>
    <t>צומת אלומות</t>
  </si>
  <si>
    <t>אלומות, צומת אלומות</t>
  </si>
  <si>
    <t>28/08/2022</t>
  </si>
  <si>
    <t>ת. מרכזית טבריה</t>
  </si>
  <si>
    <t>כרכום/דרך הגבורה</t>
  </si>
  <si>
    <t>תפארת טבריה</t>
  </si>
  <si>
    <t>13א</t>
  </si>
  <si>
    <t>בית עלמין עפולה</t>
  </si>
  <si>
    <t>בית עלמין</t>
  </si>
  <si>
    <t>01/06/2009</t>
  </si>
  <si>
    <t>03/01/2022</t>
  </si>
  <si>
    <t>45</t>
  </si>
  <si>
    <t>קרית הממשלה/דרך הציונות</t>
  </si>
  <si>
    <t>נוף הגליל, קרית הממשלה</t>
  </si>
  <si>
    <t>תיכון מקיף אורט</t>
  </si>
  <si>
    <t>9א</t>
  </si>
  <si>
    <t>יהודה הנשיא/רש"י</t>
  </si>
  <si>
    <t>גאולים</t>
  </si>
  <si>
    <t>דרך הגבורה/אורות נריה</t>
  </si>
  <si>
    <t>מעון נופים</t>
  </si>
  <si>
    <t>עיילבון</t>
  </si>
  <si>
    <t>עילבון א'/כניסה</t>
  </si>
  <si>
    <t>מכללה איזורית עמק הירדן</t>
  </si>
  <si>
    <t>07/06/2021</t>
  </si>
  <si>
    <t>מפעלים אזוריים צמח</t>
  </si>
  <si>
    <t>ת. רכבת בית שאן/הורדה</t>
  </si>
  <si>
    <t>בית שאן, תחנת הרכבת</t>
  </si>
  <si>
    <t>26/03/2017</t>
  </si>
  <si>
    <t>ת. רכבת בית שאן/איסוף</t>
  </si>
  <si>
    <t>מפעלים אזוריים צמח, מרכז</t>
  </si>
  <si>
    <t>13/07/2020</t>
  </si>
  <si>
    <t>432</t>
  </si>
  <si>
    <t>גשר</t>
  </si>
  <si>
    <t>גשר/מרכז</t>
  </si>
  <si>
    <t>גשר, מרכז הישוב</t>
  </si>
  <si>
    <t>17/01/2021</t>
  </si>
  <si>
    <t>33</t>
  </si>
  <si>
    <t>כפר כמא</t>
  </si>
  <si>
    <t>שאפסוע'/נאשה</t>
  </si>
  <si>
    <t>67</t>
  </si>
  <si>
    <t>כעביה טבאש חג'אג'רה</t>
  </si>
  <si>
    <t>טבאש א</t>
  </si>
  <si>
    <t>14/06/2022</t>
  </si>
  <si>
    <t>412</t>
  </si>
  <si>
    <t>נוף הגליל, צומת הר יונה ג</t>
  </si>
  <si>
    <t>מסוף בית שאן/הורדה</t>
  </si>
  <si>
    <t>בית שאן, מסוף</t>
  </si>
  <si>
    <t>80</t>
  </si>
  <si>
    <t>וייצמן/דוד אלעזר</t>
  </si>
  <si>
    <t>וייצמן</t>
  </si>
  <si>
    <t>ירושלים/שד. אלנטאון</t>
  </si>
  <si>
    <t>מאתיים פלוס</t>
  </si>
  <si>
    <t>39</t>
  </si>
  <si>
    <t>רוויה</t>
  </si>
  <si>
    <t>רוויה, מרכז</t>
  </si>
  <si>
    <t>תחנת הרכבת</t>
  </si>
  <si>
    <t>735</t>
  </si>
  <si>
    <t>אריה דולצ'ין/יעקב צור</t>
  </si>
  <si>
    <t>קמפוס ספרא/מסוף הכניסה לאוניברסיטה</t>
  </si>
  <si>
    <t>גבעת רם</t>
  </si>
  <si>
    <t>26/08/2022</t>
  </si>
  <si>
    <t>749</t>
  </si>
  <si>
    <t>ברל לוקר/ארסט</t>
  </si>
  <si>
    <t>בן צבי/רופין</t>
  </si>
  <si>
    <t>קריית וולפסון</t>
  </si>
  <si>
    <t>מפרקי</t>
  </si>
  <si>
    <t>57</t>
  </si>
  <si>
    <t>גדעונה</t>
  </si>
  <si>
    <t>56</t>
  </si>
  <si>
    <t>שז"ר/בן אליעזר</t>
  </si>
  <si>
    <t>פאר טבריה</t>
  </si>
  <si>
    <t>77</t>
  </si>
  <si>
    <t>וינגייט/לח"י</t>
  </si>
  <si>
    <t>שיכון עובדים</t>
  </si>
  <si>
    <t>31/10/2015</t>
  </si>
  <si>
    <t>248</t>
  </si>
  <si>
    <t>ערערה</t>
  </si>
  <si>
    <t>ערערה/כניסה</t>
  </si>
  <si>
    <t>ערערה, קרית החינוך</t>
  </si>
  <si>
    <t>69</t>
  </si>
  <si>
    <t>ברנר/שדרות הדייגים</t>
  </si>
  <si>
    <t>59</t>
  </si>
  <si>
    <t>חצור הגלילית</t>
  </si>
  <si>
    <t>מסוף חצור הגלילית/רציפים</t>
  </si>
  <si>
    <t>חצור הגלילית, מסוף</t>
  </si>
  <si>
    <t>פארק גורן</t>
  </si>
  <si>
    <t>עילבון ו'/יציאה</t>
  </si>
  <si>
    <t>עיילבון, מחלף</t>
  </si>
  <si>
    <t>7</t>
  </si>
  <si>
    <t>מתחם ביג</t>
  </si>
  <si>
    <t>06/07/2022</t>
  </si>
  <si>
    <t>הצור/הברזל</t>
  </si>
  <si>
    <t>28/02/2021</t>
  </si>
  <si>
    <t>29/03/2021</t>
  </si>
  <si>
    <t>אצטדיון עירוני/בר כוכבא</t>
  </si>
  <si>
    <t>אשדות יעקב איחוד</t>
  </si>
  <si>
    <t>אשדות יעקב איחוד/מרכז</t>
  </si>
  <si>
    <t>טבריה, מתחם ביג</t>
  </si>
  <si>
    <t>16/07/2017</t>
  </si>
  <si>
    <t>02/05/2021</t>
  </si>
  <si>
    <t>כפר זיתים</t>
  </si>
  <si>
    <t>מגרש ספורט</t>
  </si>
  <si>
    <t>09/08/2020</t>
  </si>
  <si>
    <t>48</t>
  </si>
  <si>
    <t>לבנים</t>
  </si>
  <si>
    <t>מושב ליבנים</t>
  </si>
  <si>
    <t>27/12/2020</t>
  </si>
  <si>
    <t>84</t>
  </si>
  <si>
    <t>גולני/המגינים</t>
  </si>
  <si>
    <t>851</t>
  </si>
  <si>
    <t>נתניה</t>
  </si>
  <si>
    <t>מרכז רפואי לניאדו/ילדים</t>
  </si>
  <si>
    <t>849</t>
  </si>
  <si>
    <t>גבעת זאב, האתרוג</t>
  </si>
  <si>
    <t>856</t>
  </si>
  <si>
    <t>ביתר עילית</t>
  </si>
  <si>
    <t>הר"ן/קדושת לוי</t>
  </si>
  <si>
    <t>ביתר עילית, גבעה ב</t>
  </si>
  <si>
    <t>22/07/2018</t>
  </si>
  <si>
    <t>28</t>
  </si>
  <si>
    <t>כביש 90/שדרות אליעזר קפלן</t>
  </si>
  <si>
    <t>חמי טבריה</t>
  </si>
  <si>
    <t>29/08/2015</t>
  </si>
  <si>
    <t>הנשיא וייצמן/דוד אלעזר</t>
  </si>
  <si>
    <t>29</t>
  </si>
  <si>
    <t>מנחמיה</t>
  </si>
  <si>
    <t>חקלאי/הירדן</t>
  </si>
  <si>
    <t>מנחמיה, מרכז</t>
  </si>
  <si>
    <t>23</t>
  </si>
  <si>
    <t>תל קציר</t>
  </si>
  <si>
    <t>804</t>
  </si>
  <si>
    <t>שפע חיים/דורש טוב</t>
  </si>
  <si>
    <t>בית וגן/שדרות הרצל</t>
  </si>
  <si>
    <t>בית וגן</t>
  </si>
  <si>
    <t>25/02/2022</t>
  </si>
  <si>
    <t>09/06/2022</t>
  </si>
  <si>
    <t>ירושלים/אלנטאון</t>
  </si>
  <si>
    <t>קדושת לוי/שלום רב</t>
  </si>
  <si>
    <t>26</t>
  </si>
  <si>
    <t>15</t>
  </si>
  <si>
    <t>04/08/2019</t>
  </si>
  <si>
    <t>62א</t>
  </si>
  <si>
    <t>מירסקי/מינץ</t>
  </si>
  <si>
    <t>משרד החוץ/שד' רבין</t>
  </si>
  <si>
    <t>קרית הממשלה</t>
  </si>
  <si>
    <t>10/06/2022</t>
  </si>
  <si>
    <t>822</t>
  </si>
  <si>
    <t>הפסגה/שד' הרצל</t>
  </si>
  <si>
    <t>קצנלבוגן/הפלאה</t>
  </si>
  <si>
    <t>הר נוף</t>
  </si>
  <si>
    <t>882</t>
  </si>
  <si>
    <t>מסוף נוף ציון</t>
  </si>
  <si>
    <t>הרובע היהודי/חב"ד</t>
  </si>
  <si>
    <t>הרובע היהודי</t>
  </si>
  <si>
    <t>23/07/2021</t>
  </si>
  <si>
    <t>517</t>
  </si>
  <si>
    <t>מסוף הר הצופים/בנימין מזר</t>
  </si>
  <si>
    <t>דולצ'ין/קוליץ</t>
  </si>
  <si>
    <t>גבעת משואה</t>
  </si>
  <si>
    <t>04/03/2022</t>
  </si>
  <si>
    <t>663</t>
  </si>
  <si>
    <t>קבר רחל</t>
  </si>
  <si>
    <t>דרך דוד בנבנישתי</t>
  </si>
  <si>
    <t>מלחה</t>
  </si>
  <si>
    <t>תחנה תפעולית/היציאה מחניון חומת שמואל</t>
  </si>
  <si>
    <t>בקי</t>
  </si>
  <si>
    <t>גבעת שאול</t>
  </si>
  <si>
    <t>71</t>
  </si>
  <si>
    <t>מסוף גילה/המרגלית</t>
  </si>
  <si>
    <t>גילה</t>
  </si>
  <si>
    <t>77א</t>
  </si>
  <si>
    <t>מסוף אגד/בר כוכבא</t>
  </si>
  <si>
    <t>הגבעה הצרפתית</t>
  </si>
  <si>
    <t>31/12/2021</t>
  </si>
  <si>
    <t>91</t>
  </si>
  <si>
    <t>רב החובל/אדם</t>
  </si>
  <si>
    <t>בי"ח הרצוג/גבעת שאול</t>
  </si>
  <si>
    <t>בי"ח הרצוג</t>
  </si>
  <si>
    <t>773</t>
  </si>
  <si>
    <t>המ"ג/ירמיהו</t>
  </si>
  <si>
    <t>המ"ג</t>
  </si>
  <si>
    <t>933</t>
  </si>
  <si>
    <t>צומת אורנים/פייר קניג</t>
  </si>
  <si>
    <t>בי"ס בויאר/תורה ועבודה</t>
  </si>
  <si>
    <t>בויאר הימלפרב</t>
  </si>
  <si>
    <t>824</t>
  </si>
  <si>
    <t>מעגלי הרי"ם לוין/מבוא פתיה</t>
  </si>
  <si>
    <t>סנהדריה המורחבת</t>
  </si>
  <si>
    <t>825</t>
  </si>
  <si>
    <t>הרב ש"י זווין/הרב וינוגרד</t>
  </si>
  <si>
    <t>בית וגן/עוזיאל</t>
  </si>
  <si>
    <t>29/08/2022</t>
  </si>
  <si>
    <t>נוף ציון</t>
  </si>
  <si>
    <t>איצטדיון טדי/דוד איילון</t>
  </si>
  <si>
    <t>חניון טדי   מזרח</t>
  </si>
  <si>
    <t>חניון טדי</t>
  </si>
  <si>
    <t>מסוף אגד/בנבנישתי</t>
  </si>
  <si>
    <t>932</t>
  </si>
  <si>
    <t>746</t>
  </si>
  <si>
    <t>מעלה הזיתים</t>
  </si>
  <si>
    <t>הכותל המערבי</t>
  </si>
  <si>
    <t>506</t>
  </si>
  <si>
    <t>צומת רמות/גולדה</t>
  </si>
  <si>
    <t>צומת רמות</t>
  </si>
  <si>
    <t>כפר שאול/קצנלבוגן</t>
  </si>
  <si>
    <t>מסוף חומת שמואל</t>
  </si>
  <si>
    <t>חומת שמואל</t>
  </si>
  <si>
    <t>78א</t>
  </si>
  <si>
    <t>תחנה תפעולית/ביטוח לאומי</t>
  </si>
  <si>
    <t>מלון דיפלומט</t>
  </si>
  <si>
    <t>שגרירות ארה"ב</t>
  </si>
  <si>
    <t>תלפיות מזרח</t>
  </si>
  <si>
    <t>ממילא/קריב</t>
  </si>
  <si>
    <t>ככר צהל/יפו</t>
  </si>
  <si>
    <t>כיכר צהל</t>
  </si>
  <si>
    <t>21/06/2021</t>
  </si>
  <si>
    <t>17</t>
  </si>
  <si>
    <t>טירת צבי</t>
  </si>
  <si>
    <t>טירת צבי, מרכז</t>
  </si>
  <si>
    <t>רשפים</t>
  </si>
  <si>
    <t>קיבוץ רשפים</t>
  </si>
  <si>
    <t>29/10/2017</t>
  </si>
  <si>
    <t>צומת פת/הרב הרצוג</t>
  </si>
  <si>
    <t>ישיבת חורב/שדרות גולדה מאיר</t>
  </si>
  <si>
    <t>ישיבת חורב</t>
  </si>
  <si>
    <t>02/09/2022</t>
  </si>
  <si>
    <t>750</t>
  </si>
  <si>
    <t>הרב מנחם בצרי/שדרות גולדה מאיר</t>
  </si>
  <si>
    <t>קרית צאנז</t>
  </si>
  <si>
    <t>844</t>
  </si>
  <si>
    <t>שדרות גולדה מאיר/יצחק מירסקי</t>
  </si>
  <si>
    <t>נזר דוד/מרץ</t>
  </si>
  <si>
    <t>רמת שרת</t>
  </si>
  <si>
    <t>31</t>
  </si>
  <si>
    <t>רמות</t>
  </si>
  <si>
    <t>16/09/2022</t>
  </si>
  <si>
    <t>78</t>
  </si>
  <si>
    <t>15/09/2022</t>
  </si>
  <si>
    <t>יגור</t>
  </si>
  <si>
    <t>מסוף יגור</t>
  </si>
  <si>
    <t>בנייני האומה/הנשיא השישי</t>
  </si>
  <si>
    <t>בנייני האומה</t>
  </si>
  <si>
    <t>קרית אתא</t>
  </si>
  <si>
    <t>קריית אתא</t>
  </si>
  <si>
    <t>ת. רכבת בת גלים</t>
  </si>
  <si>
    <t>חיפה, רכבת בת גלים</t>
  </si>
  <si>
    <t>27/10/2013</t>
  </si>
  <si>
    <t>15/10/2021</t>
  </si>
  <si>
    <t>163</t>
  </si>
  <si>
    <t>מסוף אגד/כנפי נשרים</t>
  </si>
  <si>
    <t>38</t>
  </si>
  <si>
    <t>72</t>
  </si>
  <si>
    <t>אגרות משה/חזון איש</t>
  </si>
  <si>
    <t>ורשבסקי/אריה בינה</t>
  </si>
  <si>
    <t>ת. מרכזית חוף הכרמל/רציף לילה ושבת</t>
  </si>
  <si>
    <t>קרית מוצקין</t>
  </si>
  <si>
    <t>מרכזית הקריות</t>
  </si>
  <si>
    <t>קרית מוצקין, מרכזית הקריות</t>
  </si>
  <si>
    <t>ת. מרכזית חוף הכרמל/הורדה</t>
  </si>
  <si>
    <t>חיפה, מרכזית חוף הכרמל</t>
  </si>
  <si>
    <t>13/04/2022</t>
  </si>
  <si>
    <t>823</t>
  </si>
  <si>
    <t>חזון איש/מסוף רמת שלמה</t>
  </si>
  <si>
    <t>ינובסקי/דרך חברון</t>
  </si>
  <si>
    <t>רמת שלמה</t>
  </si>
  <si>
    <t>30/08/2022</t>
  </si>
  <si>
    <t>מסוף הר הצופים/מרטין בובר</t>
  </si>
  <si>
    <t>מסוף הר הצופים</t>
  </si>
  <si>
    <t>531</t>
  </si>
  <si>
    <t>62</t>
  </si>
  <si>
    <t>מסוף אגד/מירסקי</t>
  </si>
  <si>
    <t>5א</t>
  </si>
  <si>
    <t>יגור, מסוף יגור</t>
  </si>
  <si>
    <t>23/09/2022</t>
  </si>
  <si>
    <t>28/12/2021</t>
  </si>
  <si>
    <t>395</t>
  </si>
  <si>
    <t>מנזר המלאך גבריאל</t>
  </si>
  <si>
    <t>בית ספר יגאל אלון/ניצנים</t>
  </si>
  <si>
    <t>פנחס ספיר</t>
  </si>
  <si>
    <t>28/08/2013</t>
  </si>
  <si>
    <t>בית ספר נחליאל לבנות/ניצנים</t>
  </si>
  <si>
    <t>משטרה/שדרות הבנים</t>
  </si>
  <si>
    <t>פנינת העמק</t>
  </si>
  <si>
    <t>03/09/2015</t>
  </si>
  <si>
    <t>קהילת ציון/שפרינצק</t>
  </si>
  <si>
    <t>כיכר העיר</t>
  </si>
  <si>
    <t>17/09/2017</t>
  </si>
  <si>
    <t>ת. מרכזית חוף הכרמל/הורדה מטרונית</t>
  </si>
  <si>
    <t>450</t>
  </si>
  <si>
    <t>צפת</t>
  </si>
  <si>
    <t>ת. מרכזית צפת/רציפים</t>
  </si>
  <si>
    <t>צפת, תחנה מרכזית</t>
  </si>
  <si>
    <t>איצטדיון</t>
  </si>
  <si>
    <t>02/08/2015</t>
  </si>
  <si>
    <t>23/03/2022</t>
  </si>
  <si>
    <t>נתניה, מרכז רפואי לניאדו</t>
  </si>
  <si>
    <t>850</t>
  </si>
  <si>
    <t>מסוף מודיעין עילית</t>
  </si>
  <si>
    <t>רשפים, מרכז</t>
  </si>
  <si>
    <t>בי"ס נופית/הגליל</t>
  </si>
  <si>
    <t>01/06/2021</t>
  </si>
  <si>
    <t>08/01/2021</t>
  </si>
  <si>
    <t>118</t>
  </si>
  <si>
    <t>שיבלי/כניסה</t>
  </si>
  <si>
    <t>03/03/2012</t>
  </si>
  <si>
    <t>א טייבה, מרכז</t>
  </si>
  <si>
    <t>09/12/2010</t>
  </si>
  <si>
    <t>טבאש ב</t>
  </si>
  <si>
    <t>כעביה טבאש חג'אג'רה, טבאש</t>
  </si>
  <si>
    <t>גדעונה, מרכז</t>
  </si>
  <si>
    <t>קבר רבי מאיר</t>
  </si>
  <si>
    <t>מסוף</t>
  </si>
  <si>
    <t>729</t>
  </si>
  <si>
    <t>חיל האויר/הסיירת הירושלמית</t>
  </si>
  <si>
    <t>בי"ס המסורתי/ביתר</t>
  </si>
  <si>
    <t>ביה"ס המסורתי</t>
  </si>
  <si>
    <t>אגרות משה/חזון אי"ש</t>
  </si>
  <si>
    <t>ורשבסקי/שמואל מאיר</t>
  </si>
  <si>
    <t>תחנת פיס לבריאות האישה</t>
  </si>
  <si>
    <t>סולם שונם, מרכז</t>
  </si>
  <si>
    <t>התעשיה/חיטה</t>
  </si>
  <si>
    <t>אזור התעשייה</t>
  </si>
  <si>
    <t>92</t>
  </si>
  <si>
    <t>בנייני האומה/שז"ר</t>
  </si>
  <si>
    <t>29/10/2014</t>
  </si>
  <si>
    <t>25/03/2022</t>
  </si>
  <si>
    <t>30/09/2022</t>
  </si>
  <si>
    <t>ת. מרכזית חוף הכרמל/רציפים עירוני</t>
  </si>
  <si>
    <t>מעלה קק"ל/איילת השחר</t>
  </si>
  <si>
    <t>נוף כינרת</t>
  </si>
  <si>
    <t>סחנין יציאה מערבית</t>
  </si>
  <si>
    <t>סח'נין, יציאה מערבית</t>
  </si>
  <si>
    <t>אשדות יעקב איחוד, מרכז</t>
  </si>
  <si>
    <t>11/04/2021</t>
  </si>
  <si>
    <t>54</t>
  </si>
  <si>
    <t>חמאם</t>
  </si>
  <si>
    <t>תחנה לבריאות המשפחה</t>
  </si>
  <si>
    <t>31/01/2021</t>
  </si>
  <si>
    <t>כפר רופין</t>
  </si>
  <si>
    <t>קיבוץ כפר רופין</t>
  </si>
  <si>
    <t>כפר רופין, מרכז</t>
  </si>
  <si>
    <t>וינוגרד/זווין</t>
  </si>
  <si>
    <t>נוה יעקב מזרח</t>
  </si>
  <si>
    <t>931</t>
  </si>
  <si>
    <t>מסוף אגד/קורן</t>
  </si>
  <si>
    <t>עמק המעיינות, מפעלים אזוריים</t>
  </si>
  <si>
    <t>98</t>
  </si>
  <si>
    <t>02/01/2008</t>
  </si>
  <si>
    <t>המגינים/מסדה</t>
  </si>
  <si>
    <t>טבריה, שיכון ד</t>
  </si>
  <si>
    <t>חמאם, מרכז</t>
  </si>
  <si>
    <t>כפר זיתים, מרכז</t>
  </si>
  <si>
    <t>טבור הארץ/גוש עציון</t>
  </si>
  <si>
    <t>דון יוסף נשיא</t>
  </si>
  <si>
    <t>תחנה תפעולית חניון 4/9</t>
  </si>
  <si>
    <t>תל קציר, מרכז</t>
  </si>
  <si>
    <t>870</t>
  </si>
  <si>
    <t>פיינשטיין/בן יוסף</t>
  </si>
  <si>
    <t>רמות פולין</t>
  </si>
  <si>
    <t>136</t>
  </si>
  <si>
    <t>מטה בנימין</t>
  </si>
  <si>
    <t>קבר שמואל הנביא</t>
  </si>
  <si>
    <t>זקס/שמואל הנביא</t>
  </si>
  <si>
    <t>ירושלים, כיכר זקס</t>
  </si>
  <si>
    <t>504</t>
  </si>
  <si>
    <t>קרית אתא, יוספטל</t>
  </si>
  <si>
    <t>29/11/2021</t>
  </si>
  <si>
    <t>20/05/2022</t>
  </si>
  <si>
    <t>יזרעאל/חנה סנש</t>
  </si>
  <si>
    <t>הצבעוני/מעלה אבשלום</t>
  </si>
  <si>
    <t>בית ספר ג'</t>
  </si>
  <si>
    <t>התמר / הפעמונית</t>
  </si>
  <si>
    <t>יקנעם עילית, התמר</t>
  </si>
  <si>
    <t>22/05/2022</t>
  </si>
  <si>
    <t>17/10/2021</t>
  </si>
  <si>
    <t>27/02/2022</t>
  </si>
  <si>
    <t>יקנעם עילית, מסוף קניון ג'י</t>
  </si>
  <si>
    <t>קרית טבעון, כיכר הציונות</t>
  </si>
  <si>
    <t>11/10/2020</t>
  </si>
  <si>
    <t>הגליל/הגולן</t>
  </si>
  <si>
    <t>קרית הממשלה/שדרות מעלה יצחק</t>
  </si>
  <si>
    <t>אכסאל אזה"ת</t>
  </si>
  <si>
    <t>מלכישוע, מרכז</t>
  </si>
  <si>
    <t>רמת גן, שער מזרחי שיבא</t>
  </si>
  <si>
    <t>דוד אלעזר/טבריה עילית</t>
  </si>
  <si>
    <t>שיכון ג</t>
  </si>
  <si>
    <t>האבות/הנשיא וייצמן</t>
  </si>
  <si>
    <t>כפר כמא, מרכז</t>
  </si>
  <si>
    <t>לבנים, מרכז</t>
  </si>
  <si>
    <t>אליהו קורן/הרב כלפון משה הכהן</t>
  </si>
  <si>
    <t>מרינוב א'</t>
  </si>
  <si>
    <t>שמגר/ירמיהו</t>
  </si>
  <si>
    <t>שמגר</t>
  </si>
  <si>
    <t>שמואל הנביא/זקס</t>
  </si>
  <si>
    <t>מטה בנימין, קבר שמואל הנביא</t>
  </si>
  <si>
    <t>83א</t>
  </si>
  <si>
    <t>חניון הלאום/שד' הנשיא השישי</t>
  </si>
  <si>
    <t>23/06/2022</t>
  </si>
  <si>
    <t xml:space="preserve">הקדמה + אי ביצוע </t>
  </si>
  <si>
    <t>גולן גליל ועמקים</t>
  </si>
  <si>
    <t>אזורי</t>
  </si>
  <si>
    <t>מטרופולין חיפה</t>
  </si>
  <si>
    <t>י-ם</t>
  </si>
  <si>
    <t>קו</t>
  </si>
  <si>
    <t>סוג קו</t>
  </si>
  <si>
    <t>(הכל)</t>
  </si>
  <si>
    <t>כמות נסיעות למקט</t>
  </si>
  <si>
    <t>אחוז אי ביצועים למקט</t>
  </si>
  <si>
    <t>כמות מקטים מעל 4.5% אי ביצוע</t>
  </si>
  <si>
    <t>כמות אי ביצוע למקט</t>
  </si>
  <si>
    <t>ממוצע</t>
  </si>
  <si>
    <t>מזהה שורה</t>
  </si>
  <si>
    <t>1-31/08</t>
  </si>
  <si>
    <t>1-10/09</t>
  </si>
  <si>
    <t>1-11/09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</si>
</sst>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00000000000%"/>
    <numFmt numFmtId="166" formatCode="[$-1010409]d/m/yyyy\ h:mm;@"/>
    <numFmt numFmtId="167" formatCode="[$-F400]h:mm:ss\ AM/PM"/>
  </numFmts>
  <fonts count="12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4"/>
      <color theme="4" tint="-0.499984740745262"/>
      <name val="Arial"/>
      <family val="2"/>
      <scheme val="minor"/>
    </font>
    <font>
      <sz val="9"/>
      <color theme="1"/>
      <name val="Trebuchet MS"/>
      <family val="2"/>
    </font>
    <font>
      <b/>
      <sz val="9"/>
      <color theme="0"/>
      <name val="Trebuchet MS"/>
      <family val="2"/>
    </font>
    <font>
      <b/>
      <sz val="12"/>
      <color theme="1"/>
      <name val="Trebuchet MS"/>
      <family val="2"/>
    </font>
    <font>
      <sz val="9"/>
      <color theme="0"/>
      <name val="Trebuchet MS"/>
      <family val="2"/>
    </font>
    <font>
      <b/>
      <sz val="9"/>
      <color theme="1"/>
      <name val="Trebuchet MS"/>
      <family val="2"/>
    </font>
    <font>
      <b/>
      <sz val="11"/>
      <color theme="1"/>
      <name val="Arial"/>
      <family val="2"/>
      <charset val="177"/>
      <scheme val="minor"/>
    </font>
    <font>
      <b/>
      <sz val="28"/>
      <color rgb="FF000000"/>
      <name val="Arial"/>
      <family val="2"/>
    </font>
    <font>
      <sz val="8"/>
      <name val="Arial"/>
      <family val="2"/>
      <charset val="177"/>
      <scheme val="minor"/>
    </font>
    <font>
      <b/>
      <sz val="12"/>
      <color rgb="FF00000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1" xfId="0" applyFont="1" applyBorder="1" applyAlignment="1">
      <alignment vertical="center" readingOrder="2"/>
    </xf>
    <xf numFmtId="0" fontId="2" fillId="0" borderId="2" xfId="0" applyFont="1" applyBorder="1" applyAlignment="1">
      <alignment vertical="center" readingOrder="2"/>
    </xf>
    <xf numFmtId="0" fontId="3" fillId="0" borderId="2" xfId="0" applyFont="1" applyBorder="1"/>
    <xf numFmtId="0" fontId="3" fillId="0" borderId="3" xfId="0" applyFont="1" applyBorder="1"/>
    <xf numFmtId="0" fontId="4" fillId="2" borderId="4" xfId="0" applyFont="1" applyFill="1" applyBorder="1" applyAlignment="1">
      <alignment horizontal="center" vertical="center"/>
    </xf>
    <xf numFmtId="0" fontId="3" fillId="0" borderId="0" xfId="0" applyFont="1"/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7" xfId="0" applyFont="1" applyBorder="1"/>
    <xf numFmtId="0" fontId="5" fillId="0" borderId="7" xfId="0" applyFont="1" applyBorder="1"/>
    <xf numFmtId="0" fontId="6" fillId="2" borderId="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0" fontId="7" fillId="4" borderId="7" xfId="0" applyNumberFormat="1" applyFont="1" applyFill="1" applyBorder="1" applyAlignment="1">
      <alignment horizontal="center" vertical="center"/>
    </xf>
    <xf numFmtId="10" fontId="7" fillId="4" borderId="1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0" fontId="7" fillId="5" borderId="7" xfId="0" applyFont="1" applyFill="1" applyBorder="1" applyAlignment="1">
      <alignment horizontal="center" vertical="center"/>
    </xf>
    <xf numFmtId="2" fontId="5" fillId="5" borderId="7" xfId="0" applyNumberFormat="1" applyFont="1" applyFill="1" applyBorder="1" applyAlignment="1">
      <alignment horizontal="center" vertical="center"/>
    </xf>
    <xf numFmtId="165" fontId="3" fillId="0" borderId="0" xfId="0" applyNumberFormat="1" applyFont="1"/>
    <xf numFmtId="9" fontId="3" fillId="0" borderId="0" xfId="1" applyFont="1"/>
    <xf numFmtId="0" fontId="5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3" fillId="0" borderId="0" xfId="0" applyNumberFormat="1" applyFont="1"/>
    <xf numFmtId="14" fontId="0" fillId="0" borderId="0" xfId="0" applyNumberFormat="1"/>
    <xf numFmtId="164" fontId="0" fillId="0" borderId="0" xfId="1" applyNumberFormat="1" applyFont="1"/>
    <xf numFmtId="0" fontId="8" fillId="6" borderId="8" xfId="0" applyFont="1" applyFill="1" applyBorder="1"/>
    <xf numFmtId="49" fontId="4" fillId="2" borderId="5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right"/>
    </xf>
    <xf numFmtId="167" fontId="0" fillId="0" borderId="0" xfId="0" applyNumberFormat="1"/>
    <xf numFmtId="0" fontId="11" fillId="0" borderId="0" xfId="0" applyFont="1"/>
    <xf numFmtId="10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9" fontId="3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0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1010409]d/m/yyyy\ h:mm;@"/>
    </dxf>
    <dxf>
      <numFmt numFmtId="166" formatCode="[$-1010409]d/m/yyyy\ h:mm;@"/>
    </dxf>
    <dxf>
      <numFmt numFmtId="19" formatCode="dd/mm/yyyy"/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daily!$A$4</c:f>
              <c:strCache>
                <c:ptCount val="1"/>
                <c:pt idx="0">
                  <c:v>1-10/09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daily!$B$4:$J$4</c:f>
              <c:numCache>
                <c:formatCode>General</c:formatCode>
                <c:ptCount val="9"/>
                <c:pt idx="0">
                  <c:v>51.26700620811453</c:v>
                </c:pt>
                <c:pt idx="1">
                  <c:v>72.273636476904173</c:v>
                </c:pt>
                <c:pt idx="2">
                  <c:v>59.45198387831833</c:v>
                </c:pt>
                <c:pt idx="3">
                  <c:v>70.371316700170311</c:v>
                </c:pt>
                <c:pt idx="4">
                  <c:v>92.641738012452493</c:v>
                </c:pt>
                <c:pt idx="5">
                  <c:v>96.282527734976881</c:v>
                </c:pt>
                <c:pt idx="6">
                  <c:v>16.809862848915522</c:v>
                </c:pt>
                <c:pt idx="7">
                  <c:v>16.145948244497003</c:v>
                </c:pt>
                <c:pt idx="8">
                  <c:v>24.929437600835154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2-46F7-83F4-CEA5DA505E3E}"/>
            </c:ext>
          </c:extLst>
        </c:ser>
        <c:ser>
          <c:idx val="1"/>
          <c:order val="1"/>
          <c:tx>
            <c:strRef>
              <c:f>daily!$A$5</c:f>
              <c:strCache>
                <c:ptCount val="1"/>
                <c:pt idx="0">
                  <c:v>1-11/09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daily!$B$5:$J$5</c:f>
              <c:numCache>
                <c:formatCode>General</c:formatCode>
                <c:ptCount val="9"/>
                <c:pt idx="0">
                  <c:v>49.667298353828151</c:v>
                </c:pt>
                <c:pt idx="1">
                  <c:v>73.906207760134876</c:v>
                </c:pt>
                <c:pt idx="2">
                  <c:v>59.688149358813178</c:v>
                </c:pt>
                <c:pt idx="3">
                  <c:v>69.752137824057002</c:v>
                </c:pt>
                <c:pt idx="4">
                  <c:v>92.367217779364509</c:v>
                </c:pt>
                <c:pt idx="5">
                  <c:v>96.313998046874985</c:v>
                </c:pt>
                <c:pt idx="6">
                  <c:v>15.099691977077363</c:v>
                </c:pt>
                <c:pt idx="7">
                  <c:v>14.994409448818899</c:v>
                </c:pt>
                <c:pt idx="8">
                  <c:v>19.01409404205608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C2-46F7-83F4-CEA5DA505E3E}"/>
            </c:ext>
          </c:extLst>
        </c:ser>
        <c:ser>
          <c:idx val="2"/>
          <c:order val="2"/>
          <c:tx>
            <c:strRef>
              <c:f>daily!$A$6</c:f>
              <c:strCache>
                <c:ptCount val="1"/>
                <c:pt idx="0">
                  <c:v>ממוצע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daily!$B$2:$J$2</c:f>
              <c:strCache>
                <c:ptCount val="9"/>
                <c:pt idx="0">
                  <c:v>חברה</c:v>
                </c:pt>
                <c:pt idx="1">
                  <c:v>העמקים</c:v>
                </c:pt>
                <c:pt idx="2">
                  <c:v>עפולה</c:v>
                </c:pt>
                <c:pt idx="3">
                  <c:v>יקנעם</c:v>
                </c:pt>
                <c:pt idx="4">
                  <c:v>טבריה</c:v>
                </c:pt>
                <c:pt idx="5">
                  <c:v>מטרונית חיפה</c:v>
                </c:pt>
                <c:pt idx="6">
                  <c:v>ירושלים</c:v>
                </c:pt>
                <c:pt idx="7">
                  <c:v>ירושלים מרכז</c:v>
                </c:pt>
                <c:pt idx="8">
                  <c:v>ירושלים דרום</c:v>
                </c:pt>
              </c:strCache>
            </c:strRef>
          </c:cat>
          <c:val>
            <c:numRef>
              <c:f>daily!$B$6:$J$6</c:f>
              <c:numCache>
                <c:formatCode>General</c:formatCode>
                <c:ptCount val="9"/>
                <c:pt idx="0">
                  <c:v>53.649779973015917</c:v>
                </c:pt>
                <c:pt idx="1">
                  <c:v>72.12751024455504</c:v>
                </c:pt>
                <c:pt idx="2">
                  <c:v>58.676999268878127</c:v>
                </c:pt>
                <c:pt idx="3">
                  <c:v>74.30597186802747</c:v>
                </c:pt>
                <c:pt idx="4">
                  <c:v>89.05689061404793</c:v>
                </c:pt>
                <c:pt idx="5">
                  <c:v>96.353068319382643</c:v>
                </c:pt>
                <c:pt idx="6">
                  <c:v>22.786547886507673</c:v>
                </c:pt>
                <c:pt idx="7">
                  <c:v>22.303544164879465</c:v>
                </c:pt>
                <c:pt idx="8">
                  <c:v>27.058978334718006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C2-46F7-83F4-CEA5DA505E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000544"/>
        <c:axId val="51000960"/>
      </c:barChart>
      <c:catAx>
        <c:axId val="5100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960"/>
        <c:crosses val="autoZero"/>
        <c:auto val="1"/>
        <c:lblAlgn val="ctr"/>
        <c:lblOffset val="100"/>
        <c:noMultiLvlLbl val="0"/>
      </c:catAx>
      <c:valAx>
        <c:axId val="51000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510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47625</xdr:rowOff>
    </xdr:from>
    <xdr:to>
      <xdr:col>1</xdr:col>
      <xdr:colOff>638175</xdr:colOff>
      <xdr:row>3</xdr:row>
      <xdr:rowOff>0</xdr:rowOff>
    </xdr:to>
    <xdr:pic>
      <xdr:nvPicPr>
        <xdr:cNvPr id="2" name="תמונה 1" descr="cid:image001.png@01D00D95.4617137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738125" y="47625"/>
          <a:ext cx="1276349" cy="561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133350</xdr:rowOff>
        </xdr:from>
        <xdr:to>
          <xdr:col>8</xdr:col>
          <xdr:colOff>209550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1">
                <a:defRPr sz="1000"/>
              </a:pPr>
              <a:r>
                <a:rPr lang="he-IL" sz="2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הפעל מאקרו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2</xdr:row>
      <xdr:rowOff>0</xdr:rowOff>
    </xdr:from>
    <xdr:to>
      <xdr:col>13</xdr:col>
      <xdr:colOff>542925</xdr:colOff>
      <xdr:row>13</xdr:row>
      <xdr:rowOff>95250</xdr:rowOff>
    </xdr:to>
    <xdr:graphicFrame macro="">
      <xdr:nvGraphicFramePr>
        <xdr:cNvPr id="2" name="my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03.699236574073" createdVersion="6" refreshedVersion="8" minRefreshableVersion="3" recordCount="53329" xr:uid="{82B1F3D0-7E69-49C5-8D60-A478C45873D3}">
  <cacheSource type="worksheet">
    <worksheetSource name="VM"/>
  </cacheSource>
  <cacheFields count="23">
    <cacheField name="יום" numFmtId="14">
      <sharedItems containsNonDate="0" containsString="0" containsBlank="1"/>
    </cacheField>
    <cacheField name="סוג מפעיל-מפעיל-אשכול-מק''ט קו-קו-כיוון-חלופה - מפעיל" numFmtId="0">
      <sharedItems containsNonDate="0" containsString="0" containsBlank="1"/>
    </cacheField>
    <cacheField name="סוג מפעיל-מפעיל-אשכול-מק''ט קו-קו-כיוון-חלופה - אשכול" numFmtId="0">
      <sharedItems containsNonDate="0" containsBlank="1" count="4">
        <m/>
        <s v="ירושלים מרכז" u="1"/>
        <s v="העמקים" u="1"/>
        <s v="מטרונית חיפה" u="1"/>
      </sharedItems>
    </cacheField>
    <cacheField name="סוג מפעיל-מפעיל-אשכול-מק''ט קו-קו-כיוון-חלופה - קו" numFmtId="0">
      <sharedItems containsNonDate="0" containsString="0" containsBlank="1"/>
    </cacheField>
    <cacheField name="סוג מפעיל-מפעיל-אשכול-מק''ט קו-קו-כיוון-חלופה - מק''ט קו" numFmtId="0">
      <sharedItems containsNonDate="0" containsString="0" containsBlank="1" containsNumber="1" containsInteger="1" minValue="10163" maxValue="99005" count="162">
        <m/>
        <n v="15504" u="1"/>
        <n v="10516" u="1"/>
        <n v="12531" u="1"/>
        <n v="10163" u="1"/>
        <n v="15031" u="1"/>
        <n v="14506" u="1"/>
        <n v="30062" u="1"/>
        <n v="19075" u="1"/>
        <n v="39092" u="1"/>
        <n v="17071" u="1"/>
        <n v="33090" u="1"/>
        <n v="92002" u="1"/>
        <n v="20038" u="1"/>
        <n v="15049" u="1"/>
        <n v="11517" u="1"/>
        <n v="17072" u="1"/>
        <n v="18074" u="1"/>
        <n v="31077" u="1"/>
        <n v="21078" u="1"/>
        <n v="47091" u="1"/>
        <n v="35097" u="1"/>
        <n v="58082" u="1"/>
        <n v="48083" u="1"/>
        <n v="14136" u="1"/>
        <n v="14580" u="1"/>
        <n v="32013" u="1"/>
        <n v="11188" u="1"/>
        <n v="57002" u="1"/>
        <n v="84002" u="1"/>
        <n v="23052" u="1"/>
        <n v="51021" u="1"/>
        <n v="84001" u="1"/>
        <n v="90011" u="1"/>
        <n v="52018" u="1"/>
        <n v="40019" u="1"/>
        <n v="12350" u="1"/>
        <n v="10356" u="1"/>
        <n v="22044" u="1"/>
        <n v="30007" u="1"/>
        <n v="32014" u="1"/>
        <n v="12181" u="1"/>
        <n v="52003" u="1"/>
        <n v="26030" u="1"/>
        <n v="34010" u="1"/>
        <n v="14156" u="1"/>
        <n v="52019" u="1"/>
        <n v="22049" u="1"/>
        <n v="13185" u="1"/>
        <n v="99005" u="1"/>
        <n v="21055" u="1"/>
        <n v="50006" u="1"/>
        <n v="21075" u="1"/>
        <n v="37009" u="1"/>
        <n v="21016" u="1"/>
        <n v="13426" u="1"/>
        <n v="24067" u="1"/>
        <n v="24019" u="1"/>
        <n v="12354" u="1"/>
        <n v="14413" u="1"/>
        <n v="35012" u="1"/>
        <n v="78015" u="1"/>
        <n v="22022" u="1"/>
        <n v="13242" u="1"/>
        <n v="12248" u="1"/>
        <n v="31027" u="1"/>
        <n v="24028" u="1"/>
        <n v="12301" u="1"/>
        <n v="11412" u="1"/>
        <n v="21044" u="1"/>
        <n v="23045" u="1"/>
        <n v="12450" u="1"/>
        <n v="21050" u="1"/>
        <n v="24050" u="1"/>
        <n v="27055" u="1"/>
        <n v="32057" u="1"/>
        <n v="35058" u="1"/>
        <n v="17068" u="1"/>
        <n v="34008" u="1"/>
        <n v="10969" u="1"/>
        <n v="12117" u="1"/>
        <n v="30016" u="1"/>
        <n v="25029" u="1"/>
        <n v="19046" u="1"/>
        <n v="38011" u="1"/>
        <n v="11184" u="1"/>
        <n v="21047" u="1"/>
        <n v="21051" u="1"/>
        <n v="21054" u="1"/>
        <n v="74015" u="1"/>
        <n v="14157" u="1"/>
        <n v="23017" u="1"/>
        <n v="13407" u="1"/>
        <n v="80005" u="1"/>
        <n v="16050" u="1"/>
        <n v="10869" u="1"/>
        <n v="20009" u="1"/>
        <n v="14352" u="1"/>
        <n v="45004" u="1"/>
        <n v="81004" u="1"/>
        <n v="27009" u="1"/>
        <n v="50001" u="1"/>
        <n v="39002" u="1"/>
        <n v="25027" u="1"/>
        <n v="33003" u="1"/>
        <n v="11300" u="1"/>
        <n v="20042" u="1"/>
        <n v="39005" u="1"/>
        <n v="23053" u="1"/>
        <n v="11247" u="1"/>
        <n v="34025" u="1"/>
        <n v="12773" u="1"/>
        <n v="65001" u="1"/>
        <n v="22026" u="1"/>
        <n v="10348" u="1"/>
        <n v="13246" u="1"/>
        <n v="11302" u="1"/>
        <n v="19037" u="1"/>
        <n v="33006" u="1"/>
        <n v="28011" u="1"/>
        <n v="28017" u="1"/>
        <n v="24021" u="1"/>
        <n v="12305" u="1"/>
        <n v="18059" u="1"/>
        <n v="22033" u="1"/>
        <n v="19041" u="1"/>
        <n v="11411" u="1"/>
        <n v="10432" u="1"/>
        <n v="19039" u="1"/>
        <n v="12118" u="1"/>
        <n v="42023" u="1"/>
        <n v="15296" u="1"/>
        <n v="20074" u="1"/>
        <n v="23013" u="1"/>
        <n v="24036" u="1"/>
        <n v="22053" u="1"/>
        <n v="12793" u="1"/>
        <n v="11452" u="1"/>
        <n v="10859" u="1"/>
        <n v="36048" u="1"/>
        <n v="13180" u="1"/>
        <n v="19042" u="1"/>
        <n v="45025" u="1"/>
        <n v="14856" u="1"/>
        <n v="11457" u="1"/>
        <n v="13456" u="1"/>
        <n v="38006" u="1"/>
        <n v="22056" u="1"/>
        <n v="10851" u="1"/>
        <n v="10193" u="1"/>
        <n v="10190" u="1"/>
        <n v="29020" u="1"/>
        <n v="10191" u="1"/>
        <n v="11849" u="1"/>
        <n v="12850" u="1"/>
        <n v="10854" u="1"/>
        <n v="11855" u="1"/>
        <n v="83001" u="1"/>
        <n v="67003" u="1"/>
        <n v="67002" u="1"/>
        <n v="52005" u="1"/>
        <n v="62004" u="1"/>
      </sharedItems>
    </cacheField>
    <cacheField name="סוג מפעיל-מפעיל-אשכול-מק''ט קו-קו-כיוון-חלופה - כיוון" numFmtId="0">
      <sharedItems containsNonDate="0" containsString="0" containsBlank="1"/>
    </cacheField>
    <cacheField name="סוג מפעיל-מפעיל-אשכול-מק''ט קו-קו-כיוון-חלופה - חלופה" numFmtId="0">
      <sharedItems containsNonDate="0" containsString="0" containsBlank="1"/>
    </cacheField>
    <cacheField name="מספר רישוי" numFmtId="0">
      <sharedItems containsNonDate="0" containsString="0" containsBlank="1"/>
    </cacheField>
    <cacheField name="תאריך ושעת נסיעה" numFmtId="166">
      <sharedItems containsNonDate="0" containsString="0" containsBlank="1"/>
    </cacheField>
    <cacheField name="ביצוע תחילת נסיעה" numFmtId="166">
      <sharedItems containsNonDate="0" containsString="0" containsBlank="1"/>
    </cacheField>
    <cacheField name="פער בין שעת תכנון לשעת יציאה" numFmtId="0">
      <sharedItems containsNonDate="0" containsString="0" containsBlank="1"/>
    </cacheField>
    <cacheField name="נסיעה בארוע החרגה" numFmtId="0">
      <sharedItems containsNonDate="0" containsString="0" containsBlank="1"/>
    </cacheField>
    <cacheField name="ממצא בקרה לוז" numFmtId="0">
      <sharedItems containsNonDate="0" containsBlank="1" count="6">
        <m/>
        <s v="תקין" u="1"/>
        <s v="איחורים" u="1"/>
        <s v="אי ביצוע" u="1"/>
        <s v="הקדמה" u="1"/>
        <s v="נסיעות שלא ברישוי" u="1"/>
      </sharedItems>
    </cacheField>
    <cacheField name="ממצא אב נסיעה לוז" numFmtId="0">
      <sharedItems containsNonDate="0" containsBlank="1" count="15">
        <m/>
        <s v="איחור עד 5 דקות" u="1"/>
        <s v="איחור בין 5 ל 20 דקות" u="1"/>
        <s v="הקדמה עד 2 דקות" u="1"/>
        <s v="אין דיווח נסיעה" u="1"/>
        <s v="הנסיעה יצאה לאחר זמן התכנון של הנסיעה הבאה" u="1"/>
        <s v="נסיעה ביומן אירועים" u="1"/>
        <s v="הקדמה בין 2 ל 10 דקות" u="1"/>
        <s v="נסיעות שלא ברישוי" u="1"/>
        <s v="איחור מ 20 דקות ומעלה" u="1"/>
        <s v="איחור עד 7 דקות" u="1"/>
        <s v="קווים מזינים פחות מ 4 בשעה בזמן - בין 0 ל 10 דקות" u="1"/>
        <s v="איחור בין 7 ל 11 דקות" u="1"/>
        <s v="איחור בין 11 ל 20 דקות" u="1"/>
        <s v="הקדמה מ 10 דקות ומעלה" u="1"/>
      </sharedItems>
    </cacheField>
    <cacheField name="ממצא נסיעה לוז" numFmtId="0">
      <sharedItems containsNonDate="0" containsString="0" containsBlank="1"/>
    </cacheField>
    <cacheField name="רכב מורשה" numFmtId="0">
      <sharedItems containsNonDate="0" containsString="0" containsBlank="1"/>
    </cacheField>
    <cacheField name="התאמת אוטובוס לקו" numFmtId="0">
      <sharedItems containsNonDate="0" containsString="0" containsBlank="1"/>
    </cacheField>
    <cacheField name="מזהה נסיעה" numFmtId="0">
      <sharedItems containsNonDate="0" containsString="0" containsBlank="1"/>
    </cacheField>
    <cacheField name="תאריך נומרי" numFmtId="0">
      <sharedItems containsNonDate="0" containsString="0" containsBlank="1"/>
    </cacheField>
    <cacheField name="שעה דקה" numFmtId="0">
      <sharedItems containsNonDate="0" containsString="0" containsBlank="1"/>
    </cacheField>
    <cacheField name="סניף" numFmtId="0">
      <sharedItems containsNonDate="0" containsBlank="1" count="7">
        <m/>
        <s v="ירושלים דרום" u="1"/>
        <s v="ירושלים מרכז" u="1"/>
        <s v="עפולה" u="1"/>
        <s v="יקנעם" u="1"/>
        <s v="טבריה" u="1"/>
        <s v="מטרונית" u="1"/>
      </sharedItems>
    </cacheField>
    <cacheField name="איחור 5-7 דק" numFmtId="0">
      <sharedItems containsNonDate="0" containsString="0" containsBlank="1"/>
    </cacheField>
    <cacheField name="מזהה שורה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329"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  <r>
    <m/>
    <m/>
    <x v="0"/>
    <m/>
    <x v="0"/>
    <m/>
    <m/>
    <m/>
    <m/>
    <m/>
    <m/>
    <m/>
    <x v="0"/>
    <x v="0"/>
    <m/>
    <m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E1C7A-B312-4F96-9273-4273D6E4BF8B}" name="PivotTable" cacheId="138" applyNumberFormats="0" applyBorderFormats="0" applyFontFormats="0" applyPatternFormats="0" applyAlignmentFormats="0" applyWidthHeightFormats="1" dataCaption="ערכים" updatedVersion="8" minRefreshableVersion="3" useAutoFormatting="1" itemPrintTitles="1" createdVersion="6" indent="0" outline="1" outlineData="1" multipleFieldFilters="0" rowHeaderCaption="מקט">
  <location ref="A6:B7" firstHeaderRow="1" firstDataRow="1" firstDataCol="1" rowPageCount="4" colPageCount="1"/>
  <pivotFields count="23">
    <pivotField numFmtId="14" showAll="0"/>
    <pivotField showAll="0"/>
    <pivotField axis="axisPage" showAll="0">
      <items count="5">
        <item m="1" x="2"/>
        <item m="1" x="1"/>
        <item m="1" x="3"/>
        <item x="0"/>
        <item t="default"/>
      </items>
    </pivotField>
    <pivotField showAll="0"/>
    <pivotField axis="axisRow" showAll="0">
      <items count="163">
        <item m="1" x="4"/>
        <item m="1" x="150"/>
        <item m="1" x="152"/>
        <item m="1" x="149"/>
        <item m="1" x="114"/>
        <item m="1" x="37"/>
        <item m="1" x="127"/>
        <item m="1" x="2"/>
        <item m="1" x="148"/>
        <item m="1" x="155"/>
        <item m="1" x="138"/>
        <item m="1" x="95"/>
        <item m="1" x="79"/>
        <item m="1" x="85"/>
        <item m="1" x="27"/>
        <item m="1" x="109"/>
        <item m="1" x="105"/>
        <item m="1" x="116"/>
        <item m="1" x="126"/>
        <item m="1" x="68"/>
        <item m="1" x="137"/>
        <item m="1" x="144"/>
        <item m="1" x="15"/>
        <item m="1" x="153"/>
        <item m="1" x="156"/>
        <item m="1" x="80"/>
        <item m="1" x="129"/>
        <item m="1" x="41"/>
        <item m="1" x="64"/>
        <item m="1" x="67"/>
        <item m="1" x="122"/>
        <item m="1" x="36"/>
        <item m="1" x="58"/>
        <item m="1" x="71"/>
        <item m="1" x="3"/>
        <item m="1" x="111"/>
        <item m="1" x="136"/>
        <item m="1" x="154"/>
        <item m="1" x="140"/>
        <item m="1" x="48"/>
        <item m="1" x="63"/>
        <item m="1" x="115"/>
        <item m="1" x="92"/>
        <item m="1" x="55"/>
        <item m="1" x="145"/>
        <item m="1" x="24"/>
        <item m="1" x="45"/>
        <item m="1" x="90"/>
        <item m="1" x="97"/>
        <item m="1" x="59"/>
        <item m="1" x="6"/>
        <item m="1" x="25"/>
        <item m="1" x="143"/>
        <item m="1" x="5"/>
        <item m="1" x="14"/>
        <item m="1" x="131"/>
        <item m="1" x="1"/>
        <item m="1" x="94"/>
        <item m="1" x="77"/>
        <item m="1" x="10"/>
        <item m="1" x="16"/>
        <item m="1" x="123"/>
        <item m="1" x="17"/>
        <item m="1" x="117"/>
        <item m="1" x="128"/>
        <item m="1" x="125"/>
        <item m="1" x="141"/>
        <item m="1" x="83"/>
        <item m="1" x="8"/>
        <item m="1" x="96"/>
        <item m="1" x="13"/>
        <item m="1" x="106"/>
        <item m="1" x="132"/>
        <item m="1" x="54"/>
        <item m="1" x="69"/>
        <item m="1" x="86"/>
        <item m="1" x="72"/>
        <item m="1" x="87"/>
        <item m="1" x="88"/>
        <item m="1" x="50"/>
        <item m="1" x="52"/>
        <item m="1" x="19"/>
        <item m="1" x="62"/>
        <item m="1" x="113"/>
        <item m="1" x="124"/>
        <item m="1" x="38"/>
        <item m="1" x="47"/>
        <item m="1" x="135"/>
        <item m="1" x="147"/>
        <item m="1" x="133"/>
        <item m="1" x="91"/>
        <item m="1" x="70"/>
        <item m="1" x="30"/>
        <item m="1" x="108"/>
        <item m="1" x="57"/>
        <item m="1" x="121"/>
        <item m="1" x="66"/>
        <item m="1" x="134"/>
        <item m="1" x="73"/>
        <item m="1" x="56"/>
        <item m="1" x="103"/>
        <item m="1" x="82"/>
        <item m="1" x="43"/>
        <item m="1" x="100"/>
        <item m="1" x="74"/>
        <item m="1" x="119"/>
        <item m="1" x="120"/>
        <item m="1" x="151"/>
        <item m="1" x="39"/>
        <item m="1" x="81"/>
        <item m="1" x="7"/>
        <item m="1" x="65"/>
        <item m="1" x="18"/>
        <item m="1" x="26"/>
        <item m="1" x="40"/>
        <item m="1" x="75"/>
        <item m="1" x="104"/>
        <item m="1" x="118"/>
        <item m="1" x="11"/>
        <item m="1" x="78"/>
        <item m="1" x="44"/>
        <item m="1" x="110"/>
        <item m="1" x="60"/>
        <item m="1" x="76"/>
        <item m="1" x="21"/>
        <item m="1" x="139"/>
        <item m="1" x="53"/>
        <item m="1" x="146"/>
        <item m="1" x="84"/>
        <item m="1" x="102"/>
        <item m="1" x="107"/>
        <item m="1" x="9"/>
        <item m="1" x="35"/>
        <item m="1" x="130"/>
        <item m="1" x="98"/>
        <item m="1" x="142"/>
        <item m="1" x="20"/>
        <item m="1" x="23"/>
        <item m="1" x="101"/>
        <item m="1" x="51"/>
        <item m="1" x="31"/>
        <item m="1" x="42"/>
        <item m="1" x="160"/>
        <item m="1" x="34"/>
        <item m="1" x="46"/>
        <item m="1" x="28"/>
        <item m="1" x="22"/>
        <item m="1" x="161"/>
        <item m="1" x="112"/>
        <item m="1" x="159"/>
        <item m="1" x="158"/>
        <item m="1" x="89"/>
        <item m="1" x="61"/>
        <item m="1" x="93"/>
        <item m="1" x="99"/>
        <item m="1" x="157"/>
        <item m="1" x="32"/>
        <item m="1" x="29"/>
        <item m="1" x="33"/>
        <item m="1" x="12"/>
        <item m="1" x="49"/>
        <item x="0"/>
        <item t="default"/>
      </items>
    </pivotField>
    <pivotField showAll="0"/>
    <pivotField showAll="0"/>
    <pivotField showAll="0"/>
    <pivotField numFmtId="166" showAll="0"/>
    <pivotField showAll="0"/>
    <pivotField showAll="0"/>
    <pivotField showAll="0"/>
    <pivotField axis="axisPage" dataField="1" multipleItemSelectionAllowed="1" showAll="0">
      <items count="7">
        <item m="1" x="3"/>
        <item h="1" m="1" x="2"/>
        <item m="1" x="4"/>
        <item h="1" m="1" x="5"/>
        <item h="1" m="1" x="1"/>
        <item h="1" x="0"/>
        <item t="default"/>
      </items>
    </pivotField>
    <pivotField axis="axisPage" multipleItemSelectionAllowed="1" showAll="0">
      <items count="16">
        <item m="1" x="13"/>
        <item m="1" x="2"/>
        <item m="1" x="12"/>
        <item m="1" x="9"/>
        <item m="1" x="1"/>
        <item m="1" x="10"/>
        <item m="1" x="4"/>
        <item m="1" x="5"/>
        <item m="1" x="7"/>
        <item m="1" x="14"/>
        <item m="1" x="3"/>
        <item h="1" m="1" x="6"/>
        <item h="1" m="1" x="8"/>
        <item m="1" x="1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8">
        <item m="1" x="5"/>
        <item m="1" x="4"/>
        <item m="1" x="1"/>
        <item m="1" x="2"/>
        <item m="1" x="6"/>
        <item m="1" x="3"/>
        <item x="0"/>
        <item t="default"/>
      </items>
    </pivotField>
    <pivotField showAll="0"/>
    <pivotField showAll="0"/>
  </pivotFields>
  <rowFields count="1">
    <field x="4"/>
  </rowFields>
  <rowItems count="1">
    <i t="grand">
      <x/>
    </i>
  </rowItems>
  <colItems count="1">
    <i/>
  </colItems>
  <pageFields count="4">
    <pageField fld="13" hier="-1"/>
    <pageField fld="12" hier="-1"/>
    <pageField fld="2" hier="-1"/>
    <pageField fld="20" hier="-1"/>
  </pageFields>
  <dataFields count="1">
    <dataField name="כמות אי ביצוע למקט" fld="1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M" displayName="VM" ref="A1:W53330" totalsRowShown="0">
  <autoFilter ref="A1:W53330" xr:uid="{00000000-0009-0000-0100-000001000000}"/>
  <tableColumns count="23">
    <tableColumn id="1" xr3:uid="{00000000-0010-0000-0000-000001000000}" name="יום" dataDxfId="7"/>
    <tableColumn id="2" xr3:uid="{00000000-0010-0000-0000-000002000000}" name="סוג מפעיל-מפעיל-אשכול-מק''ט קו-קו-כיוון-חלופה - מפעיל"/>
    <tableColumn id="3" xr3:uid="{00000000-0010-0000-0000-000003000000}" name="סוג מפעיל-מפעיל-אשכול-מק''ט קו-קו-כיוון-חלופה - אשכול"/>
    <tableColumn id="4" xr3:uid="{00000000-0010-0000-0000-000004000000}" name="סוג מפעיל-מפעיל-אשכול-מק''ט קו-קו-כיוון-חלופה - קו"/>
    <tableColumn id="5" xr3:uid="{00000000-0010-0000-0000-000005000000}" name="סוג מפעיל-מפעיל-אשכול-מק''ט קו-קו-כיוון-חלופה - מק''ט קו"/>
    <tableColumn id="6" xr3:uid="{00000000-0010-0000-0000-000006000000}" name="סוג מפעיל-מפעיל-אשכול-מק''ט קו-קו-כיוון-חלופה - כיוון"/>
    <tableColumn id="7" xr3:uid="{00000000-0010-0000-0000-000007000000}" name="סוג מפעיל-מפעיל-אשכול-מק''ט קו-קו-כיוון-חלופה - חלופה"/>
    <tableColumn id="8" xr3:uid="{00000000-0010-0000-0000-000008000000}" name="מספר רישוי"/>
    <tableColumn id="9" xr3:uid="{00000000-0010-0000-0000-000009000000}" name="תאריך ושעת נסיעה" dataDxfId="6"/>
    <tableColumn id="10" xr3:uid="{00000000-0010-0000-0000-00000A000000}" name="ביצוע תחילת נסיעה" dataDxfId="5"/>
    <tableColumn id="11" xr3:uid="{00000000-0010-0000-0000-00000B000000}" name="פער בין שעת תכנון לשעת יציאה"/>
    <tableColumn id="12" xr3:uid="{00000000-0010-0000-0000-00000C000000}" name="נסיעה בארוע החרגה"/>
    <tableColumn id="13" xr3:uid="{00000000-0010-0000-0000-00000D000000}" name="ממצא בקרה לוז"/>
    <tableColumn id="14" xr3:uid="{00000000-0010-0000-0000-00000E000000}" name="ממצא אב נסיעה לוז"/>
    <tableColumn id="15" xr3:uid="{00000000-0010-0000-0000-00000F000000}" name="ממצא נסיעה לוז"/>
    <tableColumn id="16" xr3:uid="{00000000-0010-0000-0000-000010000000}" name="רכב מורשה"/>
    <tableColumn id="17" xr3:uid="{00000000-0010-0000-0000-000011000000}" name="התאמת אוטובוס לקו"/>
    <tableColumn id="18" xr3:uid="{00000000-0010-0000-0000-000012000000}" name="מזהה נסיעה"/>
    <tableColumn id="19" xr3:uid="{00000000-0010-0000-0000-000013000000}" name="תאריך נומרי"/>
    <tableColumn id="20" xr3:uid="{00000000-0010-0000-0000-000014000000}" name="שעה דקה"/>
    <tableColumn id="41" xr3:uid="{00000000-0010-0000-0000-000029000000}" name="סניף" dataDxfId="4"/>
    <tableColumn id="24" xr3:uid="{00000000-0010-0000-0000-000018000000}" name="איחור 5-7 דק" dataDxfId="3"/>
    <tableColumn id="21" xr3:uid="{353A35B3-6D48-454F-A6E3-E489A66FA55C}" name="מזהה שורה" dataDxfId="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IDENTIFY_LINE" displayName="IDENTIFY_LINE" ref="A1:AP531" totalsRowShown="0">
  <autoFilter ref="A1:AP531" xr:uid="{00000000-0009-0000-0100-000003000000}"/>
  <tableColumns count="42">
    <tableColumn id="1" xr3:uid="{00000000-0010-0000-0100-000001000000}" name="שם מפעיל"/>
    <tableColumn id="2" xr3:uid="{00000000-0010-0000-0100-000002000000}" name="מס' אשכול"/>
    <tableColumn id="3" xr3:uid="{00000000-0010-0000-0100-000003000000}" name="אשכול"/>
    <tableColumn id="4" xr3:uid="{00000000-0010-0000-0100-000004000000}" name="תת אשכול"/>
    <tableColumn id="5" xr3:uid="{00000000-0010-0000-0100-000005000000}" name="מחוז"/>
    <tableColumn id="6" xr3:uid="{00000000-0010-0000-0100-000006000000}" name="מתאריך"/>
    <tableColumn id="7" xr3:uid="{00000000-0010-0000-0100-000007000000}" name="עד תאריך"/>
    <tableColumn id="8" xr3:uid="{00000000-0010-0000-0100-000008000000}" name="שם תקופה"/>
    <tableColumn id="9" xr3:uid="{00000000-0010-0000-0100-000009000000}" name="מקט"/>
    <tableColumn id="42" xr3:uid="{392617E5-2AEC-4012-BFA2-B87E89AC1263}" name="סניף"/>
    <tableColumn id="15" xr3:uid="{00000000-0010-0000-0100-00000F000000}" name="קו"/>
    <tableColumn id="16" xr3:uid="{00000000-0010-0000-0100-000010000000}" name="סוג קו"/>
    <tableColumn id="17" xr3:uid="{00000000-0010-0000-0100-000011000000}" name="כיוון"/>
    <tableColumn id="18" xr3:uid="{00000000-0010-0000-0100-000012000000}" name="חלופה"/>
    <tableColumn id="19" xr3:uid="{00000000-0010-0000-0100-000013000000}" name="שילוט"/>
    <tableColumn id="20" xr3:uid="{00000000-0010-0000-0100-000014000000}" name="קוד יישוב מוצא"/>
    <tableColumn id="21" xr3:uid="{00000000-0010-0000-0100-000015000000}" name="שם יישוב מוצא"/>
    <tableColumn id="22" xr3:uid="{00000000-0010-0000-0100-000016000000}" name="שם תחנת מוצא"/>
    <tableColumn id="23" xr3:uid="{00000000-0010-0000-0100-000017000000}" name="קוד יישוב יעד"/>
    <tableColumn id="24" xr3:uid="{00000000-0010-0000-0100-000018000000}" name="שם יישוב יעד"/>
    <tableColumn id="25" xr3:uid="{00000000-0010-0000-0100-000019000000}" name="שם תחנת יעד"/>
    <tableColumn id="26" xr3:uid="{00000000-0010-0000-0100-00001A000000}" name="שם תחנת יעד לפרסום"/>
    <tableColumn id="27" xr3:uid="{00000000-0010-0000-0100-00001B000000}" name="שם סוג שירות"/>
    <tableColumn id="28" xr3:uid="{00000000-0010-0000-0100-00001C000000}" name="אורך מסלול"/>
    <tableColumn id="29" xr3:uid="{00000000-0010-0000-0100-00001D000000}" name="ייחודיות הקו"/>
    <tableColumn id="30" xr3:uid="{00000000-0010-0000-0100-00001E000000}" name="מאושר שבת"/>
    <tableColumn id="31" xr3:uid="{00000000-0010-0000-0100-00001F000000}" name="נגישות לנכים"/>
    <tableColumn id="32" xr3:uid="{00000000-0010-0000-0100-000020000000}" name="גודל אוטובוס"/>
    <tableColumn id="33" xr3:uid="{00000000-0010-0000-0100-000021000000}" name="סוג אוטובוס"/>
    <tableColumn id="34" xr3:uid="{00000000-0010-0000-0100-000022000000}" name="כמות נסיעות יומית (ג)"/>
    <tableColumn id="35" xr3:uid="{00000000-0010-0000-0100-000023000000}" name="כמות נסיעות שבועיות"/>
    <tableColumn id="36" xr3:uid="{00000000-0010-0000-0100-000024000000}" name="מזהה החלופה"/>
    <tableColumn id="37" xr3:uid="{00000000-0010-0000-0100-000025000000}" name="עליה מכל הדלתות"/>
    <tableColumn id="38" xr3:uid="{00000000-0010-0000-0100-000026000000}" name="האם מאושר התרעננות"/>
    <tableColumn id="39" xr3:uid="{00000000-0010-0000-0100-000027000000}" name="קו נסיוני"/>
    <tableColumn id="40" xr3:uid="{00000000-0010-0000-0100-000028000000}" name="גמישות תפעולית"/>
    <tableColumn id="41" xr3:uid="{00000000-0010-0000-0100-000029000000}" name="הזמנת מקומות"/>
    <tableColumn id="10" xr3:uid="{00000000-0010-0000-0100-00000A000000}" name="שירות גמיש"/>
    <tableColumn id="11" xr3:uid="{00000000-0010-0000-0100-00000B000000}" name="ק&quot;מ שבועי"/>
    <tableColumn id="12" xr3:uid="{00000000-0010-0000-0100-00000C000000}" name="תאריך הפעלה הראשונה"/>
    <tableColumn id="13" xr3:uid="{00000000-0010-0000-0100-00000D000000}" name="תאריך תחילת הרשומה"/>
    <tableColumn id="14" xr3:uid="{00000000-0010-0000-0100-00000E000000}" name="תאריך סיום הרשומה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WORK_SCHEDULE" displayName="WORK_SCHEDULE" ref="A1:T62612" totalsRowShown="0">
  <autoFilter ref="A1:T62612" xr:uid="{00000000-0009-0000-0100-000004000000}"/>
  <tableColumns count="20">
    <tableColumn id="1" xr3:uid="{00000000-0010-0000-0200-000001000000}" name="מספר הזמנת לקוח"/>
    <tableColumn id="2" xr3:uid="{00000000-0010-0000-0200-000002000000}" name="שם הנהג"/>
    <tableColumn id="3" xr3:uid="{00000000-0010-0000-0200-000003000000}" name="מספר הרכב"/>
    <tableColumn id="4" xr3:uid="{00000000-0010-0000-0200-000004000000}" name="קוד סידור"/>
    <tableColumn id="5" xr3:uid="{00000000-0010-0000-0200-000005000000}" name="קוד נהג"/>
    <tableColumn id="6" xr3:uid="{00000000-0010-0000-0200-000006000000}" name="עיר מגורים"/>
    <tableColumn id="7" xr3:uid="{00000000-0010-0000-0200-000007000000}" name="קוד המסלול"/>
    <tableColumn id="8" xr3:uid="{00000000-0010-0000-0200-000008000000}" name="קו - מק&quot;ט"/>
    <tableColumn id="9" xr3:uid="{00000000-0010-0000-0200-000009000000}" name="כיוון - מק&quot;ט"/>
    <tableColumn id="10" xr3:uid="{00000000-0010-0000-0200-00000A000000}" name="שעת התחלה"/>
    <tableColumn id="11" xr3:uid="{00000000-0010-0000-0200-00000B000000}" name="שעת סיום"/>
    <tableColumn id="12" xr3:uid="{00000000-0010-0000-0200-00000C000000}" name="סטטוס"/>
    <tableColumn id="13" xr3:uid="{00000000-0010-0000-0200-00000D000000}" name="מוצא"/>
    <tableColumn id="14" xr3:uid="{00000000-0010-0000-0200-00000E000000}" name="יעד"/>
    <tableColumn id="15" xr3:uid="{00000000-0010-0000-0200-00000F000000}" name="סה&quot;כ מרחק"/>
    <tableColumn id="16" xr3:uid="{00000000-0010-0000-0200-000010000000}" name="קוד הזמנה"/>
    <tableColumn id="17" xr3:uid="{00000000-0010-0000-0200-000011000000}" name="קוד נסיעה"/>
    <tableColumn id="18" xr3:uid="{00000000-0010-0000-0200-000012000000}" name="סניף אחראי"/>
    <tableColumn id="19" xr3:uid="{00000000-0010-0000-0200-000013000000}" name="תאריך" dataDxfId="1"/>
    <tableColumn id="20" xr3:uid="{E978F910-11E5-4CE8-913D-E1304395D17C}" name="מזהה שורה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2:AJ36"/>
  <sheetViews>
    <sheetView showGridLines="0" rightToLeft="1" tabSelected="1" zoomScale="130" zoomScaleNormal="130" workbookViewId="0">
      <selection activeCell="C2" sqref="C2"/>
    </sheetView>
  </sheetViews>
  <sheetFormatPr defaultColWidth="9" defaultRowHeight="12" x14ac:dyDescent="0.3"/>
  <cols>
    <col min="1" max="1" width="9" style="6"/>
    <col min="2" max="2" width="12.08203125" style="6" bestFit="1" customWidth="1"/>
    <col min="3" max="9" width="12.08203125" style="6" customWidth="1"/>
    <col min="10" max="10" width="9.33203125" style="6" customWidth="1"/>
    <col min="11" max="11" width="12.25" style="6" bestFit="1" customWidth="1"/>
    <col min="12" max="12" width="9.25" style="6" bestFit="1" customWidth="1"/>
    <col min="13" max="13" width="1" style="6" customWidth="1"/>
    <col min="14" max="14" width="15.33203125" style="6" bestFit="1" customWidth="1"/>
    <col min="15" max="15" width="15.33203125" style="6" customWidth="1"/>
    <col min="16" max="16" width="17.75" style="6" customWidth="1"/>
    <col min="17" max="23" width="12.25" style="6" customWidth="1"/>
    <col min="24" max="24" width="9.83203125" style="6" bestFit="1" customWidth="1"/>
    <col min="25" max="25" width="1" style="6" customWidth="1"/>
    <col min="26" max="26" width="9" style="6"/>
    <col min="27" max="27" width="14.33203125" style="6" bestFit="1" customWidth="1"/>
    <col min="28" max="35" width="9" style="6"/>
    <col min="36" max="36" width="10.08203125" style="6" customWidth="1"/>
    <col min="37" max="16384" width="9" style="6"/>
  </cols>
  <sheetData>
    <row r="2" spans="1:36" ht="18" x14ac:dyDescent="0.35">
      <c r="A2"/>
      <c r="B2"/>
      <c r="C2" s="38"/>
      <c r="D2"/>
      <c r="E2"/>
      <c r="F2"/>
      <c r="G2"/>
      <c r="H2"/>
      <c r="I2"/>
      <c r="J2" s="1" t="s">
        <v>113</v>
      </c>
      <c r="K2" s="2"/>
      <c r="L2" s="3"/>
      <c r="M2" s="3"/>
      <c r="N2" s="3"/>
      <c r="O2" s="4"/>
      <c r="P2"/>
      <c r="Q2"/>
      <c r="R2"/>
      <c r="S2"/>
      <c r="T2"/>
      <c r="U2"/>
      <c r="V2"/>
      <c r="W2"/>
      <c r="X2" t="s">
        <v>114</v>
      </c>
      <c r="Y2"/>
      <c r="Z2"/>
      <c r="AA2"/>
      <c r="AB2"/>
      <c r="AC2"/>
      <c r="AD2"/>
      <c r="AE2"/>
      <c r="AF2"/>
      <c r="AG2"/>
      <c r="AH2"/>
      <c r="AI2"/>
      <c r="AJ2" s="5" t="s">
        <v>115</v>
      </c>
    </row>
    <row r="3" spans="1:36" ht="15.5" x14ac:dyDescent="0.35">
      <c r="C3" s="38"/>
    </row>
    <row r="4" spans="1:36" ht="14.5" thickBot="1" x14ac:dyDescent="0.3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</row>
    <row r="5" spans="1:36" ht="14" x14ac:dyDescent="0.3">
      <c r="A5"/>
      <c r="B5"/>
      <c r="C5" s="7" t="s">
        <v>116</v>
      </c>
      <c r="D5" s="7" t="s">
        <v>40</v>
      </c>
      <c r="E5" s="7" t="s">
        <v>49</v>
      </c>
      <c r="F5" s="7" t="s">
        <v>41</v>
      </c>
      <c r="G5" s="7" t="s">
        <v>55</v>
      </c>
      <c r="H5" s="7" t="s">
        <v>68</v>
      </c>
      <c r="I5" s="7" t="s">
        <v>60</v>
      </c>
      <c r="J5" s="7" t="s">
        <v>58</v>
      </c>
      <c r="K5" s="8" t="s">
        <v>90</v>
      </c>
      <c r="L5" s="8" t="s">
        <v>118</v>
      </c>
      <c r="M5"/>
      <c r="N5" s="45" t="s">
        <v>119</v>
      </c>
      <c r="O5" s="46"/>
      <c r="P5" s="46"/>
      <c r="Q5" s="46"/>
      <c r="R5" s="46"/>
      <c r="S5" s="46"/>
      <c r="T5" s="46"/>
      <c r="U5" s="46"/>
      <c r="V5" s="46"/>
      <c r="W5" s="46"/>
      <c r="X5" s="47"/>
      <c r="Y5"/>
      <c r="Z5" s="48" t="s">
        <v>120</v>
      </c>
      <c r="AA5" s="48"/>
      <c r="AB5" s="48"/>
      <c r="AC5" s="48"/>
      <c r="AD5" s="48"/>
      <c r="AE5" s="48"/>
      <c r="AF5" s="48"/>
      <c r="AG5" s="48"/>
      <c r="AH5" s="48"/>
      <c r="AI5" s="48"/>
      <c r="AJ5" s="48"/>
    </row>
    <row r="6" spans="1:36" ht="15.5" x14ac:dyDescent="0.35">
      <c r="A6"/>
      <c r="B6" s="9" t="s">
        <v>121</v>
      </c>
      <c r="C6" s="10" cm="1">
        <f t="array" ref="C6">COUNT(_xlfn.UNIQUE(_xlfn._xlws.FILTER(VM[סוג מפעיל-מפעיל-אשכול-מק''''ט קו-קו-כיוון-חלופה - מק''''ט קו],(VM[ממצא אב נסיעה לוז]&lt;&gt;"נסיעה ביומן אירועים")*(VM[ממצא אב נסיעה לוז]&lt;&gt;"נסיעות שלא ברישוי"))))</f>
        <v>0</v>
      </c>
      <c r="D6" s="10" cm="1">
        <f t="array" ref="D6">COUNT(_xlfn.UNIQUE(_xlfn._xlws.FILTER(VM[סוג מפעיל-מפעיל-אשכול-מק''''ט קו-קו-כיוון-חלופה - מק''''ט קו],(VM[סוג מפעיל-מפעיל-אשכול-מק''''ט קו-קו-כיוון-חלופה - אשכול]=D5)*(VM[ממצא אב נסיעה לוז]&lt;&gt;"נסיעה ביומן אירועים")*(VM[ממצא אב נסיעה לוז]&lt;&gt;"נסיעות שלא ברישוי"))))</f>
        <v>0</v>
      </c>
      <c r="E6" s="10" cm="1">
        <f t="array" ref="E6">COUNT(_xlfn.UNIQUE(_xlfn._xlws.FILTER(VM[סוג מפעיל-מפעיל-אשכול-מק''''ט קו-קו-כיוון-חלופה - מק''''ט קו],(VM[סניף]=E5)*(VM[ממצא אב נסיעה לוז]&lt;&gt;"נסיעה ביומן אירועים")*(VM[ממצא אב נסיעה לוז]&lt;&gt;"נסיעות שלא ברישוי"))))</f>
        <v>0</v>
      </c>
      <c r="F6" s="10" cm="1">
        <f t="array" ref="F6">COUNT(_xlfn.UNIQUE(_xlfn._xlws.FILTER(VM[סוג מפעיל-מפעיל-אשכול-מק''''ט קו-קו-כיוון-חלופה - מק''''ט קו],(VM[סניף]=F5)*(VM[ממצא אב נסיעה לוז]&lt;&gt;"נסיעה ביומן אירועים")*(VM[ממצא אב נסיעה לוז]&lt;&gt;"נסיעות שלא ברישוי"))))</f>
        <v>0</v>
      </c>
      <c r="G6" s="10" cm="1">
        <f t="array" ref="G6">COUNT(_xlfn.UNIQUE(_xlfn._xlws.FILTER(VM[סוג מפעיל-מפעיל-אשכול-מק''''ט קו-קו-כיוון-חלופה - מק''''ט קו],(VM[סניף]=G5)*(VM[ממצא אב נסיעה לוז]&lt;&gt;"נסיעה ביומן אירועים")*(VM[ממצא אב נסיעה לוז]&lt;&gt;"נסיעות שלא ברישוי"))))</f>
        <v>0</v>
      </c>
      <c r="H6" s="10" cm="1">
        <f t="array" ref="H6">COUNT(_xlfn.UNIQUE(_xlfn._xlws.FILTER(VM[סוג מפעיל-מפעיל-אשכול-מק''''ט קו-קו-כיוון-חלופה - מק''''ט קו],(VM[סוג מפעיל-מפעיל-אשכול-מק''''ט קו-קו-כיוון-חלופה - אשכול]=H5)*(VM[ממצא אב נסיעה לוז]&lt;&gt;"נסיעה ביומן אירועים")*(VM[ממצא אב נסיעה לוז]&lt;&gt;"נסיעות שלא ברישוי"))))</f>
        <v>0</v>
      </c>
      <c r="I6" s="10" cm="1">
        <f t="array" ref="I6">COUNT(_xlfn.UNIQUE(_xlfn._xlws.FILTER(VM[סוג מפעיל-מפעיל-אשכול-מק''''ט קו-קו-כיוון-חלופה - מק''''ט קו],(VM[סוג מפעיל-מפעיל-אשכול-מק''''ט קו-קו-כיוון-חלופה - אשכול]=I5&amp;" מרכז")*(VM[ממצא אב נסיעה לוז]&lt;&gt;"נסיעה ביומן אירועים")*(VM[ממצא אב נסיעה לוז]&lt;&gt;"נסיעות שלא ברישוי"))))</f>
        <v>0</v>
      </c>
      <c r="J6" s="10" cm="1">
        <f t="array" ref="J6">COUNT(_xlfn.UNIQUE(_xlfn._xlws.FILTER(VM[סוג מפעיל-מפעיל-אשכול-מק''''ט קו-קו-כיוון-חלופה - מק''''ט קו],(VM[סניף]=J5)*(VM[ממצא אב נסיעה לוז]&lt;&gt;"נסיעה ביומן אירועים")*(VM[ממצא אב נסיעה לוז]&lt;&gt;"נסיעות שלא ברישוי"))))</f>
        <v>0</v>
      </c>
      <c r="K6" s="10" cm="1">
        <f t="array" ref="K6">COUNT(_xlfn.UNIQUE(_xlfn._xlws.FILTER(VM[סוג מפעיל-מפעיל-אשכול-מק''''ט קו-קו-כיוון-חלופה - מק''''ט קו],(VM[סניף]=K5)*(VM[ממצא אב נסיעה לוז]&lt;&gt;"נסיעה ביומן אירועים")*(VM[ממצא אב נסיעה לוז]&lt;&gt;"נסיעות שלא ברישוי"))))</f>
        <v>0</v>
      </c>
      <c r="L6" s="10">
        <f>I6+H6+D6</f>
        <v>0</v>
      </c>
      <c r="M6"/>
      <c r="N6" s="11" t="s">
        <v>122</v>
      </c>
      <c r="O6" s="11" t="s">
        <v>123</v>
      </c>
      <c r="P6" s="11" t="s">
        <v>116</v>
      </c>
      <c r="Q6" s="11" t="s">
        <v>40</v>
      </c>
      <c r="R6" s="11" t="s">
        <v>49</v>
      </c>
      <c r="S6" s="11" t="s">
        <v>41</v>
      </c>
      <c r="T6" s="11" t="s">
        <v>55</v>
      </c>
      <c r="U6" s="11" t="s">
        <v>117</v>
      </c>
      <c r="V6" s="11" t="s">
        <v>60</v>
      </c>
      <c r="W6" s="11" t="s">
        <v>58</v>
      </c>
      <c r="X6" s="11" t="s">
        <v>90</v>
      </c>
      <c r="Y6"/>
      <c r="Z6" s="11" t="s">
        <v>122</v>
      </c>
      <c r="AA6" s="11" t="s">
        <v>123</v>
      </c>
      <c r="AB6" s="11" t="s">
        <v>116</v>
      </c>
      <c r="AC6" s="11" t="s">
        <v>40</v>
      </c>
      <c r="AD6" s="11" t="s">
        <v>49</v>
      </c>
      <c r="AE6" s="11" t="s">
        <v>41</v>
      </c>
      <c r="AF6" s="11" t="s">
        <v>55</v>
      </c>
      <c r="AG6" s="11" t="s">
        <v>117</v>
      </c>
      <c r="AH6" s="11" t="s">
        <v>60</v>
      </c>
      <c r="AI6" s="11" t="s">
        <v>58</v>
      </c>
      <c r="AJ6" s="11" t="s">
        <v>90</v>
      </c>
    </row>
    <row r="7" spans="1:36" ht="15.5" x14ac:dyDescent="0.35">
      <c r="A7"/>
      <c r="B7" s="9" t="s">
        <v>124</v>
      </c>
      <c r="C7" s="10">
        <f>COUNTIFS(VM[ממצא אב נסיעה לוז],"&lt;&gt;נסיעות שלא ברישוי",VM[ממצא אב נסיעה לוז],"&lt;&gt;נסיעה ביומן אירועים")</f>
        <v>53329</v>
      </c>
      <c r="D7" s="10">
        <f>COUNTIFS(data!N:N,"&lt;&gt;נסיעות שלא ברישוי",data!N:N,"&lt;&gt;נסיעה ביומן אירועים",data!C:C,D5)</f>
        <v>0</v>
      </c>
      <c r="E7" s="10">
        <f>COUNTIFS(data!N:N,"&lt;&gt;נסיעות שלא ברישוי",data!N:N,"&lt;&gt;נסיעה ביומן אירועים",data!U:U,E5)</f>
        <v>0</v>
      </c>
      <c r="F7" s="10">
        <f>COUNTIFS(data!N:N,"&lt;&gt;נסיעות שלא ברישוי",data!N:N,"&lt;&gt;נסיעה ביומן אירועים",data!U:U,F5)</f>
        <v>0</v>
      </c>
      <c r="G7" s="10">
        <f>COUNTIFS(data!N:N,"&lt;&gt;נסיעות שלא ברישוי",data!N:N,"&lt;&gt;נסיעה ביומן אירועים",data!U:U,G5)</f>
        <v>0</v>
      </c>
      <c r="H7" s="10">
        <f>COUNTIFS(data!N:N,"&lt;&gt;נסיעות שלא ברישוי",data!N:N,"&lt;&gt;נסיעה ביומן אירועים",data!C:C,H5)</f>
        <v>0</v>
      </c>
      <c r="I7" s="10">
        <f>COUNTIFS(data!N:N,"&lt;&gt;נסיעות שלא ברישוי",data!N:N,"&lt;&gt;נסיעה ביומן אירועים",data!C:C,I5&amp;" מרכז")</f>
        <v>0</v>
      </c>
      <c r="J7" s="10">
        <f>COUNTIFS(data!N:N,"&lt;&gt;נסיעות שלא ברישוי",data!N:N,"&lt;&gt;נסיעה ביומן אירועים",data!U:U,J5)</f>
        <v>0</v>
      </c>
      <c r="K7" s="10">
        <f>COUNTIFS(data!N:N,"&lt;&gt;נסיעות שלא ברישוי",data!N:N,"&lt;&gt;נסיעה ביומן אירועים",data!U:U,K5)</f>
        <v>0</v>
      </c>
      <c r="L7" s="10">
        <f>I7+H7+D7</f>
        <v>0</v>
      </c>
      <c r="M7"/>
      <c r="N7" s="12">
        <v>42.856999999999999</v>
      </c>
      <c r="O7" s="12" t="s">
        <v>983</v>
      </c>
      <c r="P7" s="13">
        <f>IF(C11&lt;$A$10,(1-(C11/$A$10))*$N$7,0)</f>
        <v>42.856999999999999</v>
      </c>
      <c r="Q7" s="13" t="e">
        <f t="shared" ref="Q7:X7" si="0">IF(D11&lt;$A$10,(1-(D11/$A$10))*$N$7,0)</f>
        <v>#DIV/0!</v>
      </c>
      <c r="R7" s="13" t="e">
        <f t="shared" si="0"/>
        <v>#DIV/0!</v>
      </c>
      <c r="S7" s="13" t="e">
        <f t="shared" si="0"/>
        <v>#DIV/0!</v>
      </c>
      <c r="T7" s="13" t="e">
        <f t="shared" si="0"/>
        <v>#DIV/0!</v>
      </c>
      <c r="U7" s="13" t="e">
        <f t="shared" si="0"/>
        <v>#DIV/0!</v>
      </c>
      <c r="V7" s="13" t="e">
        <f t="shared" si="0"/>
        <v>#DIV/0!</v>
      </c>
      <c r="W7" s="13" t="e">
        <f t="shared" si="0"/>
        <v>#DIV/0!</v>
      </c>
      <c r="X7" s="13" t="e">
        <f t="shared" si="0"/>
        <v>#DIV/0!</v>
      </c>
      <c r="Y7"/>
      <c r="Z7" s="12">
        <v>15</v>
      </c>
      <c r="AA7" s="12" t="s">
        <v>125</v>
      </c>
      <c r="AB7" s="13">
        <f>IF(C11&lt;$A$10,(1-(C11/$A$10))*$Z$7,0)</f>
        <v>15</v>
      </c>
      <c r="AC7" s="13" t="e">
        <f t="shared" ref="AC7:AJ7" si="1">IF(D11&lt;$A$10,(1-(D11/$A$10))*$Z$7,0)</f>
        <v>#DIV/0!</v>
      </c>
      <c r="AD7" s="13" t="e">
        <f t="shared" si="1"/>
        <v>#DIV/0!</v>
      </c>
      <c r="AE7" s="13" t="e">
        <f t="shared" si="1"/>
        <v>#DIV/0!</v>
      </c>
      <c r="AF7" s="13" t="e">
        <f t="shared" si="1"/>
        <v>#DIV/0!</v>
      </c>
      <c r="AG7" s="13" t="e">
        <f t="shared" si="1"/>
        <v>#DIV/0!</v>
      </c>
      <c r="AH7" s="13" t="e">
        <f t="shared" si="1"/>
        <v>#DIV/0!</v>
      </c>
      <c r="AI7" s="13" t="e">
        <f t="shared" si="1"/>
        <v>#DIV/0!</v>
      </c>
      <c r="AJ7" s="13" t="e">
        <f t="shared" si="1"/>
        <v>#DIV/0!</v>
      </c>
    </row>
    <row r="8" spans="1:36" ht="18.75" customHeight="1" thickBot="1" x14ac:dyDescent="0.35">
      <c r="A8"/>
      <c r="B8"/>
      <c r="C8"/>
      <c r="D8"/>
      <c r="E8"/>
      <c r="F8"/>
      <c r="G8"/>
      <c r="H8"/>
      <c r="I8"/>
      <c r="J8"/>
      <c r="K8"/>
      <c r="L8"/>
      <c r="M8"/>
      <c r="N8" s="12">
        <v>37.142000000000003</v>
      </c>
      <c r="O8" s="12" t="s">
        <v>111</v>
      </c>
      <c r="P8" s="13">
        <f>IF(C13&lt;$A$12,(1-(C13/$A$12))*$N$8,0)</f>
        <v>37.142000000000003</v>
      </c>
      <c r="Q8" s="13" t="e">
        <f t="shared" ref="Q8:W8" si="2">IF(D13&lt;$A$12,(1-(D13/$A$12))*$N$8,0)</f>
        <v>#DIV/0!</v>
      </c>
      <c r="R8" s="13" t="e">
        <f t="shared" si="2"/>
        <v>#DIV/0!</v>
      </c>
      <c r="S8" s="13" t="e">
        <f t="shared" si="2"/>
        <v>#DIV/0!</v>
      </c>
      <c r="T8" s="13" t="e">
        <f t="shared" si="2"/>
        <v>#DIV/0!</v>
      </c>
      <c r="U8" s="13" t="e">
        <f t="shared" si="2"/>
        <v>#DIV/0!</v>
      </c>
      <c r="V8" s="13" t="e">
        <f t="shared" si="2"/>
        <v>#DIV/0!</v>
      </c>
      <c r="W8" s="13" t="e">
        <f t="shared" si="2"/>
        <v>#DIV/0!</v>
      </c>
      <c r="X8" s="13" t="e">
        <f>IF(K13&lt;$A$12,(1-(K13/$A$12))*$N$8,0)</f>
        <v>#DIV/0!</v>
      </c>
      <c r="Y8"/>
      <c r="Z8" s="12">
        <v>13</v>
      </c>
      <c r="AA8" s="12" t="s">
        <v>111</v>
      </c>
      <c r="AB8" s="13">
        <f>IF(C13&lt;$A$12,(1-(C13/$A$12))*$Z$8,0)</f>
        <v>13</v>
      </c>
      <c r="AC8" s="13" t="e">
        <f t="shared" ref="AC8:AJ8" si="3">IF(D13&lt;$A$12,(1-(D13/$A$12))*$Z$8,0)</f>
        <v>#DIV/0!</v>
      </c>
      <c r="AD8" s="13" t="e">
        <f t="shared" si="3"/>
        <v>#DIV/0!</v>
      </c>
      <c r="AE8" s="13" t="e">
        <f t="shared" si="3"/>
        <v>#DIV/0!</v>
      </c>
      <c r="AF8" s="13" t="e">
        <f t="shared" si="3"/>
        <v>#DIV/0!</v>
      </c>
      <c r="AG8" s="13" t="e">
        <f t="shared" si="3"/>
        <v>#DIV/0!</v>
      </c>
      <c r="AH8" s="13" t="e">
        <f t="shared" si="3"/>
        <v>#DIV/0!</v>
      </c>
      <c r="AI8" s="13" t="e">
        <f t="shared" si="3"/>
        <v>#DIV/0!</v>
      </c>
      <c r="AJ8" s="13" t="e">
        <f t="shared" si="3"/>
        <v>#DIV/0!</v>
      </c>
    </row>
    <row r="9" spans="1:36" ht="15.5" x14ac:dyDescent="0.3">
      <c r="A9" s="14" t="s">
        <v>126</v>
      </c>
      <c r="B9" s="14"/>
      <c r="C9" s="14" t="s">
        <v>127</v>
      </c>
      <c r="D9" s="14" t="s">
        <v>127</v>
      </c>
      <c r="E9" s="14" t="s">
        <v>127</v>
      </c>
      <c r="F9" s="14" t="s">
        <v>127</v>
      </c>
      <c r="G9" s="14" t="s">
        <v>127</v>
      </c>
      <c r="H9" s="14" t="s">
        <v>127</v>
      </c>
      <c r="I9" s="14" t="s">
        <v>127</v>
      </c>
      <c r="J9" s="14" t="s">
        <v>127</v>
      </c>
      <c r="K9" s="14" t="s">
        <v>127</v>
      </c>
      <c r="L9" s="15" t="s">
        <v>118</v>
      </c>
      <c r="M9"/>
      <c r="N9" s="12">
        <v>17.141999999999999</v>
      </c>
      <c r="O9" s="12" t="s">
        <v>128</v>
      </c>
      <c r="P9" s="13" t="e">
        <f>IF(C15&lt;$A$14,(1-(C15/$A$14))*$N$9,0)</f>
        <v>#DIV/0!</v>
      </c>
      <c r="Q9" s="13" t="e">
        <f t="shared" ref="Q9:W9" si="4">IF(D15&lt;$A$14,(1-(D15/$A$14))*$N$9,0)</f>
        <v>#DIV/0!</v>
      </c>
      <c r="R9" s="13" t="e">
        <f t="shared" si="4"/>
        <v>#DIV/0!</v>
      </c>
      <c r="S9" s="13" t="e">
        <f t="shared" si="4"/>
        <v>#DIV/0!</v>
      </c>
      <c r="T9" s="13" t="e">
        <f t="shared" si="4"/>
        <v>#DIV/0!</v>
      </c>
      <c r="U9" s="13" t="e">
        <f t="shared" si="4"/>
        <v>#DIV/0!</v>
      </c>
      <c r="V9" s="13" t="e">
        <f>IF(I15&lt;$A$14,(1-(I15/$A$14))*$N$9,0)</f>
        <v>#DIV/0!</v>
      </c>
      <c r="W9" s="13" t="e">
        <f t="shared" si="4"/>
        <v>#DIV/0!</v>
      </c>
      <c r="X9" s="13" t="e">
        <f>IF(K15&lt;$A$14,(1-(K15/$A$14))*$N$9,0)</f>
        <v>#DIV/0!</v>
      </c>
      <c r="Y9"/>
      <c r="Z9" s="12">
        <v>6</v>
      </c>
      <c r="AA9" s="12" t="s">
        <v>128</v>
      </c>
      <c r="AB9" s="13" t="e">
        <f>IF(C15&lt;$A$14,(1-(C15/$A$14))*$Z$9,0)</f>
        <v>#DIV/0!</v>
      </c>
      <c r="AC9" s="13" t="e">
        <f t="shared" ref="AC9:AJ9" si="5">IF(D15&lt;$A$14,(1-(D15/$A$14))*$Z$9,0)</f>
        <v>#DIV/0!</v>
      </c>
      <c r="AD9" s="13" t="e">
        <f t="shared" si="5"/>
        <v>#DIV/0!</v>
      </c>
      <c r="AE9" s="13" t="e">
        <f t="shared" si="5"/>
        <v>#DIV/0!</v>
      </c>
      <c r="AF9" s="13" t="e">
        <f t="shared" si="5"/>
        <v>#DIV/0!</v>
      </c>
      <c r="AG9" s="13" t="e">
        <f t="shared" si="5"/>
        <v>#DIV/0!</v>
      </c>
      <c r="AH9" s="13" t="e">
        <f t="shared" si="5"/>
        <v>#DIV/0!</v>
      </c>
      <c r="AI9" s="13" t="e">
        <f t="shared" si="5"/>
        <v>#DIV/0!</v>
      </c>
      <c r="AJ9" s="13" t="e">
        <f t="shared" si="5"/>
        <v>#DIV/0!</v>
      </c>
    </row>
    <row r="10" spans="1:36" ht="15.5" x14ac:dyDescent="0.3">
      <c r="A10" s="39">
        <v>0.05</v>
      </c>
      <c r="B10" s="44" t="s">
        <v>983</v>
      </c>
      <c r="C10" s="12" cm="1">
        <f t="array" ref="C10">SUM(COUNTIFS(data!$M:$M,{"אי ביצוע","הקדמה"}))</f>
        <v>0</v>
      </c>
      <c r="D10" s="12" cm="1">
        <f t="array" ref="D10">SUM(COUNTIFS(data!$C:$C,D5,data!$M:$M,{"אי ביצוע","הקדמה"}))</f>
        <v>0</v>
      </c>
      <c r="E10" s="12" cm="1">
        <f t="array" ref="E10">SUM(COUNTIFS(data!U:U,E5,data!$M:$M,{"אי ביצוע","הקדמה"}))</f>
        <v>0</v>
      </c>
      <c r="F10" s="12" cm="1">
        <f t="array" ref="F10">SUM(COUNTIFS(data!U:U,F5,data!$M:$M,{"אי ביצוע","הקדמה"}))</f>
        <v>0</v>
      </c>
      <c r="G10" s="12" cm="1">
        <f t="array" ref="G10">SUM(COUNTIFS(data!U:U,G5,data!$M:$M,{"אי ביצוע","הקדמה"}))</f>
        <v>0</v>
      </c>
      <c r="H10" s="12" cm="1">
        <f t="array" ref="H10">SUM(COUNTIFS(data!$C:$C,H5,data!$M:$M,{"אי ביצוע","הקדמה"}))</f>
        <v>0</v>
      </c>
      <c r="I10" s="12">
        <f>SUM(COUNTIFS(data!$C:$C,I5&amp;" מרכז",data!$M:$M,{"אי ביצוע","הקדמה"}))</f>
        <v>0</v>
      </c>
      <c r="J10" s="12" cm="1">
        <f t="array" ref="J10">SUM(COUNTIFS(data!U:U,J5,data!$M:$M,{"אי ביצוע","הקדמה"}))</f>
        <v>0</v>
      </c>
      <c r="K10" s="12">
        <f>SUM(COUNTIFS(data!U:U,K5,data!$M:$M,{"אי ביצוע","הקדמה"}))</f>
        <v>0</v>
      </c>
      <c r="L10" s="42">
        <f>I10+H10+D10</f>
        <v>0</v>
      </c>
      <c r="M10"/>
      <c r="N10" s="12">
        <v>1.4279999999999999</v>
      </c>
      <c r="O10" s="12" t="s">
        <v>129</v>
      </c>
      <c r="P10" s="13" t="e">
        <f>IF(C17&lt;$A$16,(1-(C17/$A$16))*$N$10,0)</f>
        <v>#DIV/0!</v>
      </c>
      <c r="Q10" s="13" t="e">
        <f t="shared" ref="Q10:X10" si="6">IF(D17&lt;$A$16,(1-(D17/$A$16))*$N$10,0)</f>
        <v>#DIV/0!</v>
      </c>
      <c r="R10" s="13" t="e">
        <f t="shared" si="6"/>
        <v>#DIV/0!</v>
      </c>
      <c r="S10" s="13" t="e">
        <f t="shared" si="6"/>
        <v>#DIV/0!</v>
      </c>
      <c r="T10" s="13" t="e">
        <f t="shared" si="6"/>
        <v>#DIV/0!</v>
      </c>
      <c r="U10" s="13" t="e">
        <f t="shared" si="6"/>
        <v>#DIV/0!</v>
      </c>
      <c r="V10" s="13" t="e">
        <f t="shared" si="6"/>
        <v>#DIV/0!</v>
      </c>
      <c r="W10" s="13" t="e">
        <f t="shared" si="6"/>
        <v>#DIV/0!</v>
      </c>
      <c r="X10" s="13" t="e">
        <f t="shared" si="6"/>
        <v>#DIV/0!</v>
      </c>
      <c r="Y10"/>
      <c r="Z10" s="12">
        <v>0.5</v>
      </c>
      <c r="AA10" s="12" t="s">
        <v>129</v>
      </c>
      <c r="AB10" s="13" t="e">
        <f>IF(C17&lt;$A$16,(1-(C17/$A$16))*$Z$10,0)</f>
        <v>#DIV/0!</v>
      </c>
      <c r="AC10" s="13" t="e">
        <f t="shared" ref="AC10:AJ10" si="7">IF(D17&lt;$A$16,(1-(D17/$A$16))*$Z$10,0)</f>
        <v>#DIV/0!</v>
      </c>
      <c r="AD10" s="13" t="e">
        <f t="shared" si="7"/>
        <v>#DIV/0!</v>
      </c>
      <c r="AE10" s="13" t="e">
        <f t="shared" si="7"/>
        <v>#DIV/0!</v>
      </c>
      <c r="AF10" s="13" t="e">
        <f t="shared" si="7"/>
        <v>#DIV/0!</v>
      </c>
      <c r="AG10" s="13" t="e">
        <f t="shared" si="7"/>
        <v>#DIV/0!</v>
      </c>
      <c r="AH10" s="13" t="e">
        <f t="shared" si="7"/>
        <v>#DIV/0!</v>
      </c>
      <c r="AI10" s="13" t="e">
        <f t="shared" si="7"/>
        <v>#DIV/0!</v>
      </c>
      <c r="AJ10" s="13" t="e">
        <f t="shared" si="7"/>
        <v>#DIV/0!</v>
      </c>
    </row>
    <row r="11" spans="1:36" ht="15.5" x14ac:dyDescent="0.3">
      <c r="A11" s="40"/>
      <c r="B11" s="44"/>
      <c r="C11" s="17">
        <f>C10/C7</f>
        <v>0</v>
      </c>
      <c r="D11" s="17" t="e">
        <f t="shared" ref="D11:G11" si="8">D10/D7</f>
        <v>#DIV/0!</v>
      </c>
      <c r="E11" s="17" t="e">
        <f t="shared" si="8"/>
        <v>#DIV/0!</v>
      </c>
      <c r="F11" s="17" t="e">
        <f t="shared" si="8"/>
        <v>#DIV/0!</v>
      </c>
      <c r="G11" s="17" t="e">
        <f t="shared" si="8"/>
        <v>#DIV/0!</v>
      </c>
      <c r="H11" s="17" t="e">
        <f>H10/H7</f>
        <v>#DIV/0!</v>
      </c>
      <c r="I11" s="17" t="e">
        <f>I10/I7</f>
        <v>#DIV/0!</v>
      </c>
      <c r="J11" s="17" t="e">
        <f>J10/J7</f>
        <v>#DIV/0!</v>
      </c>
      <c r="K11" s="18" t="e">
        <f>K10/K7</f>
        <v>#DIV/0!</v>
      </c>
      <c r="L11" s="42"/>
      <c r="M11" s="19"/>
      <c r="N11" s="12">
        <v>1.4279999999999999</v>
      </c>
      <c r="O11" s="12" t="s">
        <v>107</v>
      </c>
      <c r="P11" s="13" t="e">
        <f>IF(C19&lt;$A$18,(1-(C19/$A$18))*$N$11,0)</f>
        <v>#DIV/0!</v>
      </c>
      <c r="Q11" s="13" t="e">
        <f t="shared" ref="Q11:X11" si="9">IF(D19&lt;$A$18,(1-(D19/$A$18))*$N$11,0)</f>
        <v>#DIV/0!</v>
      </c>
      <c r="R11" s="13" t="e">
        <f t="shared" si="9"/>
        <v>#DIV/0!</v>
      </c>
      <c r="S11" s="13" t="e">
        <f t="shared" si="9"/>
        <v>#DIV/0!</v>
      </c>
      <c r="T11" s="13" t="e">
        <f>IF(G19&lt;$A$18,(1-(G19/$A$18))*$N$11,0)</f>
        <v>#DIV/0!</v>
      </c>
      <c r="U11" s="13" t="e">
        <f t="shared" si="9"/>
        <v>#DIV/0!</v>
      </c>
      <c r="V11" s="13" t="e">
        <f t="shared" si="9"/>
        <v>#DIV/0!</v>
      </c>
      <c r="W11" s="13" t="e">
        <f t="shared" si="9"/>
        <v>#DIV/0!</v>
      </c>
      <c r="X11" s="13" t="e">
        <f t="shared" si="9"/>
        <v>#DIV/0!</v>
      </c>
      <c r="Y11"/>
      <c r="Z11" s="12">
        <v>0.5</v>
      </c>
      <c r="AA11" s="12" t="s">
        <v>107</v>
      </c>
      <c r="AB11" s="13" t="e">
        <f>IF(C19&lt;$A$18,(1-(C19/$A$18))*$Z$11,0)</f>
        <v>#DIV/0!</v>
      </c>
      <c r="AC11" s="13" t="e">
        <f t="shared" ref="AC11:AJ11" si="10">IF(D19&lt;$A$18,(1-(D19/$A$18))*$Z$11,0)</f>
        <v>#DIV/0!</v>
      </c>
      <c r="AD11" s="13" t="e">
        <f t="shared" si="10"/>
        <v>#DIV/0!</v>
      </c>
      <c r="AE11" s="13" t="e">
        <f t="shared" si="10"/>
        <v>#DIV/0!</v>
      </c>
      <c r="AF11" s="13" t="e">
        <f>IF(G19&lt;$A$18,(1-(G19/$A$18))*$Z$11,0)</f>
        <v>#DIV/0!</v>
      </c>
      <c r="AG11" s="13" t="e">
        <f t="shared" si="10"/>
        <v>#DIV/0!</v>
      </c>
      <c r="AH11" s="13" t="e">
        <f t="shared" si="10"/>
        <v>#DIV/0!</v>
      </c>
      <c r="AI11" s="13" t="e">
        <f t="shared" si="10"/>
        <v>#DIV/0!</v>
      </c>
      <c r="AJ11" s="13" t="e">
        <f t="shared" si="10"/>
        <v>#DIV/0!</v>
      </c>
    </row>
    <row r="12" spans="1:36" ht="18" customHeight="1" x14ac:dyDescent="0.3">
      <c r="A12" s="39">
        <v>0.08</v>
      </c>
      <c r="B12" s="41" t="s">
        <v>111</v>
      </c>
      <c r="C12" s="12">
        <f>COUNTIFS(data!$M:$M,"איחורים",data!$N:N,"&lt;&gt;נסיעה ביומן אירועים",data!$N:N,"&lt;&gt;נסיעות שלא ברישוי")</f>
        <v>0</v>
      </c>
      <c r="D12" s="12">
        <f>COUNTIFS(data!$C:$C,D5,data!$M:$M,"איחורים",data!$N:N,"&lt;&gt;נסיעה ביומן אירועים",data!$N:N,"&lt;&gt;נסיעות שלא ברישוי")</f>
        <v>0</v>
      </c>
      <c r="E12" s="12">
        <f>COUNTIFS(data!$U:$U,E5,data!$M:$M,"איחורים",data!$N:N,"&lt;&gt;נסיעה ביומן אירועים",data!$N:N,"&lt;&gt;נסיעות שלא ברישוי")</f>
        <v>0</v>
      </c>
      <c r="F12" s="12">
        <f>COUNTIFS(data!$U:$U,F5,data!$M:$M,"איחורים",data!$N:N,"&lt;&gt;נסיעה ביומן אירועים",data!$N:N,"&lt;&gt;נסיעות שלא ברישוי")</f>
        <v>0</v>
      </c>
      <c r="G12" s="12">
        <f>COUNTIFS(data!$U:$U,G5,data!$M:$M,"איחורים",data!$N:N,"&lt;&gt;נסיעה ביומן אירועים",data!$N:N,"&lt;&gt;נסיעות שלא ברישוי")</f>
        <v>0</v>
      </c>
      <c r="H12" s="12">
        <f>COUNTIFS(data!$C:$C,H5,data!$M:$M,"איחורים",data!$N:N,"&lt;&gt;נסיעה ביומן אירועים",data!$N:N,"&lt;&gt;נסיעות שלא ברישוי")</f>
        <v>0</v>
      </c>
      <c r="I12" s="12">
        <f>COUNTIFS(data!$C:$C,I5&amp;" מרכז",data!$M:$M,"איחורים",data!$N:N,"&lt;&gt;נסיעה ביומן אירועים",data!$N:N,"&lt;&gt;נסיעות שלא ברישוי")</f>
        <v>0</v>
      </c>
      <c r="J12" s="12">
        <f>COUNTIFS(data!$U:$U,J5,data!$M:$M,"איחורים",data!$N:N,"&lt;&gt;נסיעה ביומן אירועים",data!$N:N,"&lt;&gt;נסיעות שלא ברישוי")</f>
        <v>0</v>
      </c>
      <c r="K12" s="12">
        <f>COUNTIFS(data!$U:$U,K5,data!$M:$M,"איחורים",data!$N:N,"&lt;&gt;נסיעה ביומן אירועים",data!$N:N,"&lt;&gt;נסיעות שלא ברישוי")</f>
        <v>0</v>
      </c>
      <c r="L12" s="42">
        <f t="shared" ref="L12" si="11">I12+H12+D12</f>
        <v>0</v>
      </c>
      <c r="M12"/>
      <c r="N12" s="12"/>
      <c r="O12" s="12"/>
      <c r="P12" s="13"/>
      <c r="Q12" s="13"/>
      <c r="R12" s="13"/>
      <c r="S12" s="13"/>
      <c r="T12" s="13"/>
      <c r="U12" s="13"/>
      <c r="V12" s="13"/>
      <c r="W12" s="13"/>
      <c r="X12" s="13"/>
      <c r="Y12"/>
      <c r="Z12" s="20"/>
      <c r="AA12" s="20"/>
      <c r="AB12" s="21" t="e">
        <f>SUM(AB7:AB11)</f>
        <v>#DIV/0!</v>
      </c>
      <c r="AC12" s="21" t="e">
        <f t="shared" ref="AC12:AJ12" si="12">SUM(AC7:AC11)</f>
        <v>#DIV/0!</v>
      </c>
      <c r="AD12" s="21" t="e">
        <f t="shared" si="12"/>
        <v>#DIV/0!</v>
      </c>
      <c r="AE12" s="21" t="e">
        <f t="shared" si="12"/>
        <v>#DIV/0!</v>
      </c>
      <c r="AF12" s="21" t="e">
        <f t="shared" si="12"/>
        <v>#DIV/0!</v>
      </c>
      <c r="AG12" s="21" t="e">
        <f t="shared" si="12"/>
        <v>#DIV/0!</v>
      </c>
      <c r="AH12" s="21" t="e">
        <f t="shared" si="12"/>
        <v>#DIV/0!</v>
      </c>
      <c r="AI12" s="21" t="e">
        <f t="shared" si="12"/>
        <v>#DIV/0!</v>
      </c>
      <c r="AJ12" s="21" t="e">
        <f t="shared" si="12"/>
        <v>#DIV/0!</v>
      </c>
    </row>
    <row r="13" spans="1:36" ht="15.5" x14ac:dyDescent="0.3">
      <c r="A13" s="40"/>
      <c r="B13" s="41"/>
      <c r="C13" s="17">
        <f>C12/C7</f>
        <v>0</v>
      </c>
      <c r="D13" s="17" t="e">
        <f t="shared" ref="D13:F13" si="13">D12/D7</f>
        <v>#DIV/0!</v>
      </c>
      <c r="E13" s="17" t="e">
        <f t="shared" si="13"/>
        <v>#DIV/0!</v>
      </c>
      <c r="F13" s="17" t="e">
        <f t="shared" si="13"/>
        <v>#DIV/0!</v>
      </c>
      <c r="G13" s="17" t="e">
        <f>G12/G7</f>
        <v>#DIV/0!</v>
      </c>
      <c r="H13" s="17" t="e">
        <f>H12/H7</f>
        <v>#DIV/0!</v>
      </c>
      <c r="I13" s="17" t="e">
        <f>I12/I7</f>
        <v>#DIV/0!</v>
      </c>
      <c r="J13" s="17" t="e">
        <f>J12/J7</f>
        <v>#DIV/0!</v>
      </c>
      <c r="K13" s="18" t="e">
        <f>K12/K7</f>
        <v>#DIV/0!</v>
      </c>
      <c r="L13" s="42"/>
      <c r="M13"/>
      <c r="N13" s="20" t="s">
        <v>130</v>
      </c>
      <c r="O13" s="20"/>
      <c r="P13" s="21" t="e">
        <f>SUM(P7:P11)</f>
        <v>#DIV/0!</v>
      </c>
      <c r="Q13" s="21" t="e">
        <f t="shared" ref="Q13:X13" si="14">SUM(Q7:Q11)</f>
        <v>#DIV/0!</v>
      </c>
      <c r="R13" s="21" t="e">
        <f t="shared" si="14"/>
        <v>#DIV/0!</v>
      </c>
      <c r="S13" s="21" t="e">
        <f t="shared" si="14"/>
        <v>#DIV/0!</v>
      </c>
      <c r="T13" s="21" t="e">
        <f t="shared" si="14"/>
        <v>#DIV/0!</v>
      </c>
      <c r="U13" s="21" t="e">
        <f t="shared" si="14"/>
        <v>#DIV/0!</v>
      </c>
      <c r="V13" s="21" t="e">
        <f t="shared" si="14"/>
        <v>#DIV/0!</v>
      </c>
      <c r="W13" s="21" t="e">
        <f t="shared" si="14"/>
        <v>#DIV/0!</v>
      </c>
      <c r="X13" s="21" t="e">
        <f t="shared" si="14"/>
        <v>#DIV/0!</v>
      </c>
      <c r="Y13"/>
      <c r="Z13"/>
      <c r="AA13"/>
      <c r="AB13"/>
      <c r="AC13"/>
      <c r="AD13"/>
      <c r="AE13"/>
      <c r="AF13"/>
      <c r="AG13"/>
      <c r="AH13"/>
      <c r="AI13"/>
      <c r="AJ13"/>
    </row>
    <row r="14" spans="1:36" ht="18" customHeight="1" x14ac:dyDescent="0.3">
      <c r="A14" s="43">
        <v>0.06</v>
      </c>
      <c r="B14" s="41" t="s">
        <v>128</v>
      </c>
      <c r="C14" s="12">
        <v>2</v>
      </c>
      <c r="D14" s="12">
        <v>1</v>
      </c>
      <c r="E14" s="12">
        <v>1</v>
      </c>
      <c r="F14" s="12">
        <v>0</v>
      </c>
      <c r="G14" s="12">
        <v>0</v>
      </c>
      <c r="H14" s="12">
        <v>0</v>
      </c>
      <c r="I14" s="12">
        <v>1</v>
      </c>
      <c r="J14" s="12">
        <v>0</v>
      </c>
      <c r="K14" s="16">
        <v>2</v>
      </c>
      <c r="L14" s="42">
        <f>I14+H14+D14</f>
        <v>2</v>
      </c>
      <c r="M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</row>
    <row r="15" spans="1:36" ht="15" customHeight="1" x14ac:dyDescent="0.3">
      <c r="A15" s="40"/>
      <c r="B15" s="41"/>
      <c r="C15" s="18" t="e">
        <f t="shared" ref="C15:E15" si="15">C14/C6</f>
        <v>#DIV/0!</v>
      </c>
      <c r="D15" s="18" t="e">
        <f t="shared" si="15"/>
        <v>#DIV/0!</v>
      </c>
      <c r="E15" s="18" t="e">
        <f t="shared" si="15"/>
        <v>#DIV/0!</v>
      </c>
      <c r="F15" s="18" t="e">
        <f>F14/F6</f>
        <v>#DIV/0!</v>
      </c>
      <c r="G15" s="18" t="e">
        <f>G14/G6</f>
        <v>#DIV/0!</v>
      </c>
      <c r="H15" s="18" t="e">
        <f t="shared" ref="H15" si="16">H14/H6</f>
        <v>#DIV/0!</v>
      </c>
      <c r="I15" s="18" t="e">
        <f>I14/I6</f>
        <v>#DIV/0!</v>
      </c>
      <c r="J15" s="18" t="e">
        <f>J14/J6</f>
        <v>#DIV/0!</v>
      </c>
      <c r="K15" s="18" t="e">
        <f>K14/K6</f>
        <v>#DIV/0!</v>
      </c>
      <c r="L15" s="42"/>
      <c r="M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</row>
    <row r="16" spans="1:36" ht="15" customHeight="1" x14ac:dyDescent="0.3">
      <c r="A16" s="39">
        <v>5.0000000000000001E-3</v>
      </c>
      <c r="B16" s="44" t="s">
        <v>129</v>
      </c>
      <c r="C16" s="12">
        <f>COUNTIFS(data!$P:$P,"לא מורשה")</f>
        <v>0</v>
      </c>
      <c r="D16" s="12">
        <f>COUNTIFS(data!$P:$P,"לא מורשה",data!$C:$C,D5)</f>
        <v>0</v>
      </c>
      <c r="E16" s="12">
        <f>COUNTIFS(data!$P:$P,"לא מורשה",data!$U:$U,E5)</f>
        <v>0</v>
      </c>
      <c r="F16" s="12">
        <f>COUNTIFS(data!$P:$P,"לא מורשה",data!$U:$U,F5)</f>
        <v>0</v>
      </c>
      <c r="G16" s="12">
        <f>COUNTIFS(data!$P:$P,"לא מורשה",data!$U:$U,G5)</f>
        <v>0</v>
      </c>
      <c r="H16" s="12">
        <f>COUNTIFS(data!$P:$P,"לא מורשה",data!$C:$C,H5)</f>
        <v>0</v>
      </c>
      <c r="I16" s="12">
        <f>COUNTIFS(data!$P:$P,"לא מורשה",data!$C:$C,I5&amp;" מרכז")</f>
        <v>0</v>
      </c>
      <c r="J16" s="12">
        <f>COUNTIFS(data!$P:$P,"לא מורשה",data!$U:$U,J5)</f>
        <v>0</v>
      </c>
      <c r="K16" s="12">
        <f>COUNTIFS(data!$P:$P,"לא מורשה",data!$U:$U,K5)</f>
        <v>0</v>
      </c>
      <c r="L16" s="42">
        <f t="shared" ref="L16" si="17">I16+H16+D16</f>
        <v>0</v>
      </c>
      <c r="M16"/>
      <c r="O16" s="33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</row>
    <row r="17" spans="1:17" ht="15" customHeight="1" x14ac:dyDescent="0.3">
      <c r="A17" s="40"/>
      <c r="B17" s="44"/>
      <c r="C17" s="17" t="e">
        <f>C16/COUNTA(VM[יום])</f>
        <v>#DIV/0!</v>
      </c>
      <c r="D17" s="18" t="e">
        <f>D16/COUNTIF(data!C:C,D5)</f>
        <v>#DIV/0!</v>
      </c>
      <c r="E17" s="18" t="e">
        <f>E16/COUNTIF(data!$U:$U,E5)</f>
        <v>#DIV/0!</v>
      </c>
      <c r="F17" s="18" t="e">
        <f>F16/COUNTIF(data!$U:$U,F5)</f>
        <v>#DIV/0!</v>
      </c>
      <c r="G17" s="18" t="e">
        <f>G16/COUNTIF(data!$U:$U,G5)</f>
        <v>#DIV/0!</v>
      </c>
      <c r="H17" s="18" t="e">
        <f>H16/COUNTIF(data!C:C,H5)</f>
        <v>#DIV/0!</v>
      </c>
      <c r="I17" s="18" t="e">
        <f>I16/COUNTIF(data!$C:$C,I5&amp;" מרכז")</f>
        <v>#DIV/0!</v>
      </c>
      <c r="J17" s="18" t="e">
        <f>J16/COUNTIF(data!$U:$U,J5)</f>
        <v>#DIV/0!</v>
      </c>
      <c r="K17" s="18" t="e">
        <f>K16/COUNTIF(data!$U:$U,K5)</f>
        <v>#DIV/0!</v>
      </c>
      <c r="L17" s="42"/>
    </row>
    <row r="18" spans="1:17" ht="15" customHeight="1" x14ac:dyDescent="0.3">
      <c r="A18" s="39">
        <v>5.0000000000000001E-3</v>
      </c>
      <c r="B18" s="41" t="s">
        <v>107</v>
      </c>
      <c r="C18" s="12">
        <f>COUNTIFS(data!$Q:$Q,"לא מותאם")</f>
        <v>0</v>
      </c>
      <c r="D18" s="12">
        <f>COUNTIFS(data!$Q:$Q,"לא מותאם",data!$C:$C,D5)</f>
        <v>0</v>
      </c>
      <c r="E18" s="12">
        <f>COUNTIFS(data!$Q:$Q,"לא מותאם",data!$U:$U,E5)</f>
        <v>0</v>
      </c>
      <c r="F18" s="12">
        <f>COUNTIFS(data!$Q:$Q,"לא מותאם",data!$U:$U,F5)</f>
        <v>0</v>
      </c>
      <c r="G18" s="12">
        <f>COUNTIFS(data!$Q:$Q,"לא מותאם",data!$U:$U,G5)</f>
        <v>0</v>
      </c>
      <c r="H18" s="12">
        <f>COUNTIFS(data!$Q:$Q,"לא מותאם",data!$C:$C,H5)</f>
        <v>0</v>
      </c>
      <c r="I18" s="12">
        <f>COUNTIFS(data!$Q:$Q,"לא מותאם",data!$C:$C,I5&amp;" מרכז")</f>
        <v>0</v>
      </c>
      <c r="J18" s="12">
        <f>COUNTIFS(data!$Q:$Q,"לא מותאם",data!$U:$U,J5)</f>
        <v>0</v>
      </c>
      <c r="K18" s="12">
        <f>COUNTIFS(data!$Q:$Q,"לא מותאם",data!$U:$U,K5)</f>
        <v>0</v>
      </c>
      <c r="L18" s="42">
        <f t="shared" ref="L18" si="18">I18+H18+D18</f>
        <v>0</v>
      </c>
      <c r="P18" s="22"/>
      <c r="Q18" s="23"/>
    </row>
    <row r="19" spans="1:17" ht="15" customHeight="1" x14ac:dyDescent="0.3">
      <c r="A19" s="40"/>
      <c r="B19" s="41"/>
      <c r="C19" s="17" t="e">
        <f>C18/COUNTA(VM[יום])</f>
        <v>#DIV/0!</v>
      </c>
      <c r="D19" s="18" t="e">
        <f>D18/COUNTIF(data!C:C,D5)</f>
        <v>#DIV/0!</v>
      </c>
      <c r="E19" s="18" t="e">
        <f>E18/COUNTIF(data!$U:$U,E5)</f>
        <v>#DIV/0!</v>
      </c>
      <c r="F19" s="18" t="e">
        <f>F18/COUNTIF(data!$U:$U,F5)</f>
        <v>#DIV/0!</v>
      </c>
      <c r="G19" s="18" t="e">
        <f>G18/COUNTIF(data!$U:$U,G5)</f>
        <v>#DIV/0!</v>
      </c>
      <c r="H19" s="18" t="e">
        <f>H18/COUNTIF(data!C:C,H5)</f>
        <v>#DIV/0!</v>
      </c>
      <c r="I19" s="18" t="e">
        <f>I18/COUNTIF(data!$C:$C,I5&amp;" מרכז")</f>
        <v>#DIV/0!</v>
      </c>
      <c r="J19" s="18" t="e">
        <f>J18/COUNTIF(data!$U:$U,J5)</f>
        <v>#DIV/0!</v>
      </c>
      <c r="K19" s="18" t="e">
        <f>K18/COUNTIF(data!$U:$U,K5)</f>
        <v>#DIV/0!</v>
      </c>
      <c r="L19" s="42"/>
    </row>
    <row r="20" spans="1:17" ht="15" customHeight="1" x14ac:dyDescent="0.3">
      <c r="A20" s="39">
        <v>0</v>
      </c>
      <c r="B20" s="41"/>
      <c r="C20" s="12"/>
      <c r="D20" s="12"/>
      <c r="E20" s="12"/>
      <c r="F20" s="12"/>
      <c r="G20" s="12"/>
      <c r="H20" s="12"/>
      <c r="I20" s="12"/>
      <c r="J20" s="12"/>
      <c r="K20" s="16"/>
      <c r="L20" s="42">
        <f t="shared" ref="L20" si="19">I20+H20+D20</f>
        <v>0</v>
      </c>
    </row>
    <row r="21" spans="1:17" ht="15" customHeight="1" x14ac:dyDescent="0.3">
      <c r="A21" s="40"/>
      <c r="B21" s="41"/>
      <c r="C21" s="18">
        <f t="shared" ref="C21:K21" si="20">C20/C7</f>
        <v>0</v>
      </c>
      <c r="D21" s="18" t="e">
        <f t="shared" si="20"/>
        <v>#DIV/0!</v>
      </c>
      <c r="E21" s="18" t="e">
        <f t="shared" si="20"/>
        <v>#DIV/0!</v>
      </c>
      <c r="F21" s="18" t="e">
        <f t="shared" si="20"/>
        <v>#DIV/0!</v>
      </c>
      <c r="G21" s="18" t="e">
        <f t="shared" si="20"/>
        <v>#DIV/0!</v>
      </c>
      <c r="H21" s="18" t="e">
        <f t="shared" si="20"/>
        <v>#DIV/0!</v>
      </c>
      <c r="I21" s="18" t="e">
        <f>I20/I7</f>
        <v>#DIV/0!</v>
      </c>
      <c r="J21" s="18" t="e">
        <f>J20/J7</f>
        <v>#DIV/0!</v>
      </c>
      <c r="K21" s="18" t="e">
        <f t="shared" si="20"/>
        <v>#DIV/0!</v>
      </c>
      <c r="L21" s="42"/>
    </row>
    <row r="22" spans="1:17" ht="15" customHeight="1" x14ac:dyDescent="0.3">
      <c r="L22" s="24">
        <f>SUM(L10:L21)</f>
        <v>2</v>
      </c>
    </row>
    <row r="23" spans="1:17" customFormat="1" ht="15" customHeight="1" x14ac:dyDescent="0.3"/>
    <row r="24" spans="1:17" customFormat="1" ht="14" x14ac:dyDescent="0.3"/>
    <row r="25" spans="1:17" customFormat="1" ht="14" x14ac:dyDescent="0.3"/>
    <row r="26" spans="1:17" ht="15" customHeight="1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7" ht="14.25" customHeight="1" x14ac:dyDescent="0.3">
      <c r="A27"/>
      <c r="B27"/>
      <c r="C27"/>
      <c r="D27"/>
      <c r="E27"/>
      <c r="F27"/>
      <c r="G27"/>
      <c r="H27"/>
      <c r="I27"/>
      <c r="J27"/>
      <c r="K27"/>
      <c r="L27"/>
    </row>
    <row r="34" spans="14:23" x14ac:dyDescent="0.3">
      <c r="N34" s="25"/>
      <c r="O34" s="26"/>
      <c r="P34" s="26"/>
      <c r="Q34" s="26"/>
      <c r="R34" s="26"/>
      <c r="S34" s="26"/>
      <c r="T34" s="26"/>
      <c r="U34" s="26"/>
      <c r="V34" s="26"/>
      <c r="W34" s="26"/>
    </row>
    <row r="35" spans="14:23" ht="14" x14ac:dyDescent="0.3">
      <c r="N35"/>
      <c r="O35" s="27"/>
      <c r="P35" s="27"/>
      <c r="Q35" s="27"/>
      <c r="R35" s="27"/>
      <c r="S35" s="27"/>
      <c r="T35" s="27"/>
      <c r="U35" s="27"/>
      <c r="V35" s="27"/>
      <c r="W35" s="27"/>
    </row>
    <row r="36" spans="14:23" x14ac:dyDescent="0.3">
      <c r="O36" s="27"/>
      <c r="P36" s="27"/>
      <c r="Q36" s="27"/>
      <c r="R36" s="27"/>
      <c r="S36" s="27"/>
      <c r="T36" s="27"/>
      <c r="U36" s="27"/>
      <c r="V36" s="27"/>
      <c r="W36" s="27"/>
    </row>
  </sheetData>
  <mergeCells count="20">
    <mergeCell ref="A12:A13"/>
    <mergeCell ref="B12:B13"/>
    <mergeCell ref="L12:L13"/>
    <mergeCell ref="N5:X5"/>
    <mergeCell ref="Z5:AJ5"/>
    <mergeCell ref="A10:A11"/>
    <mergeCell ref="B10:B11"/>
    <mergeCell ref="L10:L11"/>
    <mergeCell ref="A14:A15"/>
    <mergeCell ref="B14:B15"/>
    <mergeCell ref="L14:L15"/>
    <mergeCell ref="A16:A17"/>
    <mergeCell ref="B16:B17"/>
    <mergeCell ref="L16:L17"/>
    <mergeCell ref="A18:A19"/>
    <mergeCell ref="B18:B19"/>
    <mergeCell ref="L18:L19"/>
    <mergeCell ref="A20:A21"/>
    <mergeCell ref="B20:B21"/>
    <mergeCell ref="L20:L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_in_one">
                <anchor moveWithCells="1" sizeWithCells="1">
                  <from>
                    <xdr:col>4</xdr:col>
                    <xdr:colOff>723900</xdr:colOff>
                    <xdr:row>0</xdr:row>
                    <xdr:rowOff>133350</xdr:rowOff>
                  </from>
                  <to>
                    <xdr:col>8</xdr:col>
                    <xdr:colOff>209550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J6"/>
  <sheetViews>
    <sheetView rightToLeft="1" zoomScale="115" zoomScaleNormal="115" workbookViewId="0">
      <selection activeCell="B19" sqref="B19"/>
    </sheetView>
  </sheetViews>
  <sheetFormatPr defaultRowHeight="14" x14ac:dyDescent="0.3"/>
  <cols>
    <col min="1" max="1" width="14.33203125" style="32" customWidth="1"/>
  </cols>
  <sheetData>
    <row r="1" spans="1:10" ht="14.5" thickBot="1" x14ac:dyDescent="0.35"/>
    <row r="2" spans="1:10" x14ac:dyDescent="0.3">
      <c r="A2" s="31" t="s">
        <v>91</v>
      </c>
      <c r="B2" s="7" t="s">
        <v>116</v>
      </c>
      <c r="C2" s="7" t="s">
        <v>40</v>
      </c>
      <c r="D2" s="7" t="s">
        <v>49</v>
      </c>
      <c r="E2" s="7" t="s">
        <v>41</v>
      </c>
      <c r="F2" s="7" t="s">
        <v>55</v>
      </c>
      <c r="G2" s="7" t="s">
        <v>68</v>
      </c>
      <c r="H2" s="7" t="s">
        <v>60</v>
      </c>
      <c r="I2" s="7" t="s">
        <v>58</v>
      </c>
      <c r="J2" s="8" t="s">
        <v>90</v>
      </c>
    </row>
    <row r="3" spans="1:10" x14ac:dyDescent="0.3">
      <c r="A3" s="32" t="s">
        <v>997</v>
      </c>
      <c r="B3">
        <v>60.015035357105084</v>
      </c>
      <c r="C3">
        <v>70.202686496626114</v>
      </c>
      <c r="D3">
        <v>56.890864569502867</v>
      </c>
      <c r="E3">
        <v>82.794461079855068</v>
      </c>
      <c r="F3">
        <v>82.161716050326788</v>
      </c>
      <c r="G3">
        <v>96.462679176296078</v>
      </c>
      <c r="H3">
        <v>36.450088833530124</v>
      </c>
      <c r="I3">
        <v>35.770274801322493</v>
      </c>
      <c r="J3">
        <v>37.233403361262795</v>
      </c>
    </row>
    <row r="4" spans="1:10" x14ac:dyDescent="0.3">
      <c r="A4" s="32" t="s">
        <v>998</v>
      </c>
      <c r="B4">
        <v>51.26700620811453</v>
      </c>
      <c r="C4">
        <v>72.273636476904173</v>
      </c>
      <c r="D4">
        <v>59.45198387831833</v>
      </c>
      <c r="E4">
        <v>70.371316700170311</v>
      </c>
      <c r="F4">
        <v>92.641738012452493</v>
      </c>
      <c r="G4">
        <v>96.282527734976881</v>
      </c>
      <c r="H4">
        <v>16.809862848915522</v>
      </c>
      <c r="I4">
        <v>16.145948244497003</v>
      </c>
      <c r="J4">
        <v>24.929437600835154</v>
      </c>
    </row>
    <row r="5" spans="1:10" x14ac:dyDescent="0.3">
      <c r="A5" s="32" t="s">
        <v>999</v>
      </c>
      <c r="B5">
        <v>49.667298353828151</v>
      </c>
      <c r="C5">
        <v>73.906207760134876</v>
      </c>
      <c r="D5">
        <v>59.688149358813178</v>
      </c>
      <c r="E5">
        <v>69.752137824057002</v>
      </c>
      <c r="F5">
        <v>92.367217779364509</v>
      </c>
      <c r="G5">
        <v>96.313998046874985</v>
      </c>
      <c r="H5">
        <v>15.099691977077363</v>
      </c>
      <c r="I5">
        <v>14.994409448818899</v>
      </c>
      <c r="J5">
        <v>19.01409404205608</v>
      </c>
    </row>
    <row r="6" spans="1:10" x14ac:dyDescent="0.3">
      <c r="A6" s="32" t="s">
        <v>995</v>
      </c>
      <c r="B6">
        <f t="shared" ref="B6:J6" si="0">AVERAGE(B3:B5)</f>
        <v>53.649779973015917</v>
      </c>
      <c r="C6">
        <f t="shared" si="0"/>
        <v>72.12751024455504</v>
      </c>
      <c r="D6">
        <f t="shared" si="0"/>
        <v>58.676999268878127</v>
      </c>
      <c r="E6">
        <f t="shared" si="0"/>
        <v>74.30597186802747</v>
      </c>
      <c r="F6">
        <f t="shared" si="0"/>
        <v>89.05689061404793</v>
      </c>
      <c r="G6">
        <f t="shared" si="0"/>
        <v>96.353068319382643</v>
      </c>
      <c r="H6">
        <f t="shared" si="0"/>
        <v>22.786547886507673</v>
      </c>
      <c r="I6">
        <f t="shared" si="0"/>
        <v>22.303544164879465</v>
      </c>
      <c r="J6">
        <f t="shared" si="0"/>
        <v>27.058978334718006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C998-9BE2-487C-B3A3-2C4463FE9E9C}">
  <dimension ref="A1:E250"/>
  <sheetViews>
    <sheetView rightToLeft="1" workbookViewId="0">
      <selection activeCell="A10" sqref="A10"/>
    </sheetView>
  </sheetViews>
  <sheetFormatPr defaultRowHeight="14" x14ac:dyDescent="0.3"/>
  <cols>
    <col min="1" max="1" width="41.6640625" bestFit="1" customWidth="1"/>
    <col min="2" max="2" width="15.75" bestFit="1" customWidth="1"/>
    <col min="3" max="3" width="18.33203125" customWidth="1"/>
    <col min="4" max="4" width="19.5" customWidth="1"/>
    <col min="5" max="5" width="20.5" customWidth="1"/>
  </cols>
  <sheetData>
    <row r="1" spans="1:5" x14ac:dyDescent="0.3">
      <c r="A1" s="35" t="s">
        <v>104</v>
      </c>
      <c r="B1" s="36" t="s">
        <v>133</v>
      </c>
    </row>
    <row r="2" spans="1:5" x14ac:dyDescent="0.3">
      <c r="A2" s="35" t="s">
        <v>103</v>
      </c>
      <c r="B2" s="36" t="s">
        <v>133</v>
      </c>
    </row>
    <row r="3" spans="1:5" x14ac:dyDescent="0.3">
      <c r="A3" s="35" t="s">
        <v>93</v>
      </c>
      <c r="B3" s="36" t="s">
        <v>990</v>
      </c>
    </row>
    <row r="4" spans="1:5" x14ac:dyDescent="0.3">
      <c r="A4" s="35" t="s">
        <v>112</v>
      </c>
      <c r="B4" s="36" t="s">
        <v>990</v>
      </c>
    </row>
    <row r="6" spans="1:5" x14ac:dyDescent="0.3">
      <c r="A6" s="35" t="s">
        <v>8</v>
      </c>
      <c r="B6" t="s">
        <v>994</v>
      </c>
      <c r="C6" s="30" t="s">
        <v>991</v>
      </c>
      <c r="D6" s="30" t="s">
        <v>992</v>
      </c>
      <c r="E6" s="30" t="s">
        <v>993</v>
      </c>
    </row>
    <row r="7" spans="1:5" x14ac:dyDescent="0.3">
      <c r="A7" s="36" t="s">
        <v>132</v>
      </c>
      <c r="C7" t="str">
        <f>IF(NOT(ISBLANK(A8)),COUNTIFS(data!E:E,A7,data!N:N,"&lt;&gt;נסיעה ביומן אירועים",data!N:N,"&lt;&gt;נסיעות שלא ברישוי"),"")</f>
        <v/>
      </c>
      <c r="D7" s="29" t="str">
        <f>IF(NOT(ISBLANK(A8)),B7/C7,"")</f>
        <v/>
      </c>
      <c r="E7">
        <f>COUNTIF(D:D,"&gt;=4.5%")</f>
        <v>0</v>
      </c>
    </row>
    <row r="8" spans="1:5" x14ac:dyDescent="0.3">
      <c r="C8" t="str">
        <f>IF(NOT(ISBLANK(A9)),COUNTIFS(data!E:E,A8,data!N:N,"&lt;&gt;נסיעה ביומן אירועים",data!N:N,"&lt;&gt;נסיעות שלא ברישוי"),"")</f>
        <v/>
      </c>
      <c r="D8" s="29" t="str">
        <f t="shared" ref="D8:D71" si="0">IF(NOT(ISBLANK(A9)),B8/C8,"")</f>
        <v/>
      </c>
    </row>
    <row r="9" spans="1:5" x14ac:dyDescent="0.3">
      <c r="C9" t="str">
        <f>IF(NOT(ISBLANK(A10)),COUNTIFS(data!E:E,A9,data!N:N,"&lt;&gt;נסיעה ביומן אירועים",data!N:N,"&lt;&gt;נסיעות שלא ברישוי"),"")</f>
        <v/>
      </c>
      <c r="D9" s="29" t="str">
        <f t="shared" si="0"/>
        <v/>
      </c>
    </row>
    <row r="10" spans="1:5" x14ac:dyDescent="0.3">
      <c r="C10" t="str">
        <f>IF(NOT(ISBLANK(A11)),COUNTIFS(data!E:E,A10,data!N:N,"&lt;&gt;נסיעה ביומן אירועים",data!N:N,"&lt;&gt;נסיעות שלא ברישוי"),"")</f>
        <v/>
      </c>
      <c r="D10" s="29" t="str">
        <f t="shared" si="0"/>
        <v/>
      </c>
    </row>
    <row r="11" spans="1:5" x14ac:dyDescent="0.3">
      <c r="C11" t="str">
        <f>IF(NOT(ISBLANK(A12)),COUNTIFS(data!E:E,A11,data!N:N,"&lt;&gt;נסיעה ביומן אירועים",data!N:N,"&lt;&gt;נסיעות שלא ברישוי"),"")</f>
        <v/>
      </c>
      <c r="D11" s="29" t="str">
        <f t="shared" si="0"/>
        <v/>
      </c>
    </row>
    <row r="12" spans="1:5" x14ac:dyDescent="0.3">
      <c r="C12" t="str">
        <f>IF(NOT(ISBLANK(A13)),COUNTIFS(data!E:E,A12,data!N:N,"&lt;&gt;נסיעה ביומן אירועים",data!N:N,"&lt;&gt;נסיעות שלא ברישוי"),"")</f>
        <v/>
      </c>
      <c r="D12" s="29" t="str">
        <f t="shared" si="0"/>
        <v/>
      </c>
    </row>
    <row r="13" spans="1:5" x14ac:dyDescent="0.3">
      <c r="C13" t="str">
        <f>IF(NOT(ISBLANK(A14)),COUNTIFS(data!E:E,A13,data!N:N,"&lt;&gt;נסיעה ביומן אירועים",data!N:N,"&lt;&gt;נסיעות שלא ברישוי"),"")</f>
        <v/>
      </c>
      <c r="D13" s="29" t="str">
        <f t="shared" si="0"/>
        <v/>
      </c>
    </row>
    <row r="14" spans="1:5" x14ac:dyDescent="0.3">
      <c r="C14" t="str">
        <f>IF(NOT(ISBLANK(A15)),COUNTIFS(data!E:E,A14,data!N:N,"&lt;&gt;נסיעה ביומן אירועים",data!N:N,"&lt;&gt;נסיעות שלא ברישוי"),"")</f>
        <v/>
      </c>
      <c r="D14" s="29" t="str">
        <f t="shared" si="0"/>
        <v/>
      </c>
    </row>
    <row r="15" spans="1:5" x14ac:dyDescent="0.3">
      <c r="C15" t="str">
        <f>IF(NOT(ISBLANK(A16)),COUNTIFS(data!E:E,A15,data!N:N,"&lt;&gt;נסיעה ביומן אירועים",data!N:N,"&lt;&gt;נסיעות שלא ברישוי"),"")</f>
        <v/>
      </c>
      <c r="D15" s="29" t="str">
        <f t="shared" si="0"/>
        <v/>
      </c>
    </row>
    <row r="16" spans="1:5" x14ac:dyDescent="0.3">
      <c r="C16" t="str">
        <f>IF(NOT(ISBLANK(A17)),COUNTIFS(data!E:E,A16,data!N:N,"&lt;&gt;נסיעה ביומן אירועים",data!N:N,"&lt;&gt;נסיעות שלא ברישוי"),"")</f>
        <v/>
      </c>
      <c r="D16" s="29" t="str">
        <f t="shared" si="0"/>
        <v/>
      </c>
    </row>
    <row r="17" spans="3:4" x14ac:dyDescent="0.3">
      <c r="C17" t="str">
        <f>IF(NOT(ISBLANK(A18)),COUNTIFS(data!E:E,A17,data!N:N,"&lt;&gt;נסיעה ביומן אירועים",data!N:N,"&lt;&gt;נסיעות שלא ברישוי"),"")</f>
        <v/>
      </c>
      <c r="D17" s="29" t="str">
        <f t="shared" si="0"/>
        <v/>
      </c>
    </row>
    <row r="18" spans="3:4" x14ac:dyDescent="0.3">
      <c r="C18" t="str">
        <f>IF(NOT(ISBLANK(A19)),COUNTIFS(data!E:E,A18,data!N:N,"&lt;&gt;נסיעה ביומן אירועים",data!N:N,"&lt;&gt;נסיעות שלא ברישוי"),"")</f>
        <v/>
      </c>
      <c r="D18" s="29" t="str">
        <f t="shared" si="0"/>
        <v/>
      </c>
    </row>
    <row r="19" spans="3:4" x14ac:dyDescent="0.3">
      <c r="C19" t="str">
        <f>IF(NOT(ISBLANK(A20)),COUNTIFS(data!E:E,A19,data!N:N,"&lt;&gt;נסיעה ביומן אירועים",data!N:N,"&lt;&gt;נסיעות שלא ברישוי"),"")</f>
        <v/>
      </c>
      <c r="D19" s="29" t="str">
        <f t="shared" si="0"/>
        <v/>
      </c>
    </row>
    <row r="20" spans="3:4" x14ac:dyDescent="0.3">
      <c r="C20" t="str">
        <f>IF(NOT(ISBLANK(A21)),COUNTIFS(data!E:E,A20,data!N:N,"&lt;&gt;נסיעה ביומן אירועים",data!N:N,"&lt;&gt;נסיעות שלא ברישוי"),"")</f>
        <v/>
      </c>
      <c r="D20" s="29" t="str">
        <f t="shared" si="0"/>
        <v/>
      </c>
    </row>
    <row r="21" spans="3:4" x14ac:dyDescent="0.3">
      <c r="C21" t="str">
        <f>IF(NOT(ISBLANK(A22)),COUNTIFS(data!E:E,A21,data!N:N,"&lt;&gt;נסיעה ביומן אירועים",data!N:N,"&lt;&gt;נסיעות שלא ברישוי"),"")</f>
        <v/>
      </c>
      <c r="D21" s="29" t="str">
        <f t="shared" si="0"/>
        <v/>
      </c>
    </row>
    <row r="22" spans="3:4" x14ac:dyDescent="0.3">
      <c r="C22" t="str">
        <f>IF(NOT(ISBLANK(A23)),COUNTIFS(data!E:E,A22,data!N:N,"&lt;&gt;נסיעה ביומן אירועים",data!N:N,"&lt;&gt;נסיעות שלא ברישוי"),"")</f>
        <v/>
      </c>
      <c r="D22" s="29" t="str">
        <f t="shared" si="0"/>
        <v/>
      </c>
    </row>
    <row r="23" spans="3:4" x14ac:dyDescent="0.3">
      <c r="C23" t="str">
        <f>IF(NOT(ISBLANK(A24)),COUNTIFS(data!E:E,A23,data!N:N,"&lt;&gt;נסיעה ביומן אירועים",data!N:N,"&lt;&gt;נסיעות שלא ברישוי"),"")</f>
        <v/>
      </c>
      <c r="D23" s="29" t="str">
        <f t="shared" si="0"/>
        <v/>
      </c>
    </row>
    <row r="24" spans="3:4" x14ac:dyDescent="0.3">
      <c r="C24" t="str">
        <f>IF(NOT(ISBLANK(A25)),COUNTIFS(data!E:E,A24,data!N:N,"&lt;&gt;נסיעה ביומן אירועים",data!N:N,"&lt;&gt;נסיעות שלא ברישוי"),"")</f>
        <v/>
      </c>
      <c r="D24" s="29" t="str">
        <f t="shared" si="0"/>
        <v/>
      </c>
    </row>
    <row r="25" spans="3:4" x14ac:dyDescent="0.3">
      <c r="C25" t="str">
        <f>IF(NOT(ISBLANK(A26)),COUNTIFS(data!E:E,A25,data!N:N,"&lt;&gt;נסיעה ביומן אירועים",data!N:N,"&lt;&gt;נסיעות שלא ברישוי"),"")</f>
        <v/>
      </c>
      <c r="D25" s="29" t="str">
        <f t="shared" si="0"/>
        <v/>
      </c>
    </row>
    <row r="26" spans="3:4" x14ac:dyDescent="0.3">
      <c r="C26" t="str">
        <f>IF(NOT(ISBLANK(A27)),COUNTIFS(data!E:E,A26,data!N:N,"&lt;&gt;נסיעה ביומן אירועים",data!N:N,"&lt;&gt;נסיעות שלא ברישוי"),"")</f>
        <v/>
      </c>
      <c r="D26" s="29" t="str">
        <f t="shared" si="0"/>
        <v/>
      </c>
    </row>
    <row r="27" spans="3:4" x14ac:dyDescent="0.3">
      <c r="C27" t="str">
        <f>IF(NOT(ISBLANK(A28)),COUNTIFS(data!E:E,A27,data!N:N,"&lt;&gt;נסיעה ביומן אירועים",data!N:N,"&lt;&gt;נסיעות שלא ברישוי"),"")</f>
        <v/>
      </c>
      <c r="D27" s="29" t="str">
        <f t="shared" si="0"/>
        <v/>
      </c>
    </row>
    <row r="28" spans="3:4" x14ac:dyDescent="0.3">
      <c r="C28" t="str">
        <f>IF(NOT(ISBLANK(A29)),COUNTIFS(data!E:E,A28,data!N:N,"&lt;&gt;נסיעה ביומן אירועים",data!N:N,"&lt;&gt;נסיעות שלא ברישוי"),"")</f>
        <v/>
      </c>
      <c r="D28" s="29" t="str">
        <f t="shared" si="0"/>
        <v/>
      </c>
    </row>
    <row r="29" spans="3:4" x14ac:dyDescent="0.3">
      <c r="C29" t="str">
        <f>IF(NOT(ISBLANK(A30)),COUNTIFS(data!E:E,A29,data!N:N,"&lt;&gt;נסיעה ביומן אירועים",data!N:N,"&lt;&gt;נסיעות שלא ברישוי"),"")</f>
        <v/>
      </c>
      <c r="D29" s="29" t="str">
        <f t="shared" si="0"/>
        <v/>
      </c>
    </row>
    <row r="30" spans="3:4" x14ac:dyDescent="0.3">
      <c r="C30" t="str">
        <f>IF(NOT(ISBLANK(A31)),COUNTIFS(data!E:E,A30,data!N:N,"&lt;&gt;נסיעה ביומן אירועים",data!N:N,"&lt;&gt;נסיעות שלא ברישוי"),"")</f>
        <v/>
      </c>
      <c r="D30" s="29" t="str">
        <f t="shared" si="0"/>
        <v/>
      </c>
    </row>
    <row r="31" spans="3:4" x14ac:dyDescent="0.3">
      <c r="C31" t="str">
        <f>IF(NOT(ISBLANK(A32)),COUNTIFS(data!E:E,A31,data!N:N,"&lt;&gt;נסיעה ביומן אירועים",data!N:N,"&lt;&gt;נסיעות שלא ברישוי"),"")</f>
        <v/>
      </c>
      <c r="D31" s="29" t="str">
        <f t="shared" si="0"/>
        <v/>
      </c>
    </row>
    <row r="32" spans="3:4" x14ac:dyDescent="0.3">
      <c r="C32" t="str">
        <f>IF(NOT(ISBLANK(A33)),COUNTIFS(data!E:E,A32,data!N:N,"&lt;&gt;נסיעה ביומן אירועים",data!N:N,"&lt;&gt;נסיעות שלא ברישוי"),"")</f>
        <v/>
      </c>
      <c r="D32" s="29" t="str">
        <f t="shared" si="0"/>
        <v/>
      </c>
    </row>
    <row r="33" spans="3:4" x14ac:dyDescent="0.3">
      <c r="C33" t="str">
        <f>IF(NOT(ISBLANK(A34)),COUNTIFS(data!E:E,A33,data!N:N,"&lt;&gt;נסיעה ביומן אירועים",data!N:N,"&lt;&gt;נסיעות שלא ברישוי"),"")</f>
        <v/>
      </c>
      <c r="D33" s="29" t="str">
        <f t="shared" si="0"/>
        <v/>
      </c>
    </row>
    <row r="34" spans="3:4" x14ac:dyDescent="0.3">
      <c r="C34" t="str">
        <f>IF(NOT(ISBLANK(A35)),COUNTIFS(data!E:E,A34,data!N:N,"&lt;&gt;נסיעה ביומן אירועים",data!N:N,"&lt;&gt;נסיעות שלא ברישוי"),"")</f>
        <v/>
      </c>
      <c r="D34" s="29" t="str">
        <f t="shared" si="0"/>
        <v/>
      </c>
    </row>
    <row r="35" spans="3:4" x14ac:dyDescent="0.3">
      <c r="C35" t="str">
        <f>IF(NOT(ISBLANK(A36)),COUNTIFS(data!E:E,A35,data!N:N,"&lt;&gt;נסיעה ביומן אירועים",data!N:N,"&lt;&gt;נסיעות שלא ברישוי"),"")</f>
        <v/>
      </c>
      <c r="D35" s="29" t="str">
        <f t="shared" si="0"/>
        <v/>
      </c>
    </row>
    <row r="36" spans="3:4" x14ac:dyDescent="0.3">
      <c r="C36" t="str">
        <f>IF(NOT(ISBLANK(A37)),COUNTIFS(data!E:E,A36,data!N:N,"&lt;&gt;נסיעה ביומן אירועים",data!N:N,"&lt;&gt;נסיעות שלא ברישוי"),"")</f>
        <v/>
      </c>
      <c r="D36" s="29" t="str">
        <f t="shared" si="0"/>
        <v/>
      </c>
    </row>
    <row r="37" spans="3:4" x14ac:dyDescent="0.3">
      <c r="C37" t="str">
        <f>IF(NOT(ISBLANK(A38)),COUNTIFS(data!E:E,A37,data!N:N,"&lt;&gt;נסיעה ביומן אירועים",data!N:N,"&lt;&gt;נסיעות שלא ברישוי"),"")</f>
        <v/>
      </c>
      <c r="D37" s="29" t="str">
        <f t="shared" si="0"/>
        <v/>
      </c>
    </row>
    <row r="38" spans="3:4" x14ac:dyDescent="0.3">
      <c r="C38" t="str">
        <f>IF(NOT(ISBLANK(A39)),COUNTIFS(data!E:E,A38,data!N:N,"&lt;&gt;נסיעה ביומן אירועים",data!N:N,"&lt;&gt;נסיעות שלא ברישוי"),"")</f>
        <v/>
      </c>
      <c r="D38" s="29" t="str">
        <f t="shared" si="0"/>
        <v/>
      </c>
    </row>
    <row r="39" spans="3:4" x14ac:dyDescent="0.3">
      <c r="C39" t="str">
        <f>IF(NOT(ISBLANK(A40)),COUNTIFS(data!E:E,A39,data!N:N,"&lt;&gt;נסיעה ביומן אירועים",data!N:N,"&lt;&gt;נסיעות שלא ברישוי"),"")</f>
        <v/>
      </c>
      <c r="D39" s="29" t="str">
        <f t="shared" si="0"/>
        <v/>
      </c>
    </row>
    <row r="40" spans="3:4" x14ac:dyDescent="0.3">
      <c r="C40" t="str">
        <f>IF(NOT(ISBLANK(A41)),COUNTIFS(data!E:E,A40,data!N:N,"&lt;&gt;נסיעה ביומן אירועים",data!N:N,"&lt;&gt;נסיעות שלא ברישוי"),"")</f>
        <v/>
      </c>
      <c r="D40" s="29" t="str">
        <f t="shared" si="0"/>
        <v/>
      </c>
    </row>
    <row r="41" spans="3:4" x14ac:dyDescent="0.3">
      <c r="C41" t="str">
        <f>IF(NOT(ISBLANK(A42)),COUNTIFS(data!E:E,A41,data!N:N,"&lt;&gt;נסיעה ביומן אירועים",data!N:N,"&lt;&gt;נסיעות שלא ברישוי"),"")</f>
        <v/>
      </c>
      <c r="D41" s="29" t="str">
        <f t="shared" si="0"/>
        <v/>
      </c>
    </row>
    <row r="42" spans="3:4" x14ac:dyDescent="0.3">
      <c r="C42" t="str">
        <f>IF(NOT(ISBLANK(A43)),COUNTIFS(data!E:E,A42,data!N:N,"&lt;&gt;נסיעה ביומן אירועים",data!N:N,"&lt;&gt;נסיעות שלא ברישוי"),"")</f>
        <v/>
      </c>
      <c r="D42" s="29" t="str">
        <f t="shared" si="0"/>
        <v/>
      </c>
    </row>
    <row r="43" spans="3:4" x14ac:dyDescent="0.3">
      <c r="C43" t="str">
        <f>IF(NOT(ISBLANK(A44)),COUNTIFS(data!E:E,A43,data!N:N,"&lt;&gt;נסיעה ביומן אירועים",data!N:N,"&lt;&gt;נסיעות שלא ברישוי"),"")</f>
        <v/>
      </c>
      <c r="D43" s="29" t="str">
        <f t="shared" si="0"/>
        <v/>
      </c>
    </row>
    <row r="44" spans="3:4" x14ac:dyDescent="0.3">
      <c r="C44" t="str">
        <f>IF(NOT(ISBLANK(A45)),COUNTIFS(data!E:E,A44,data!N:N,"&lt;&gt;נסיעה ביומן אירועים",data!N:N,"&lt;&gt;נסיעות שלא ברישוי"),"")</f>
        <v/>
      </c>
      <c r="D44" s="29" t="str">
        <f t="shared" si="0"/>
        <v/>
      </c>
    </row>
    <row r="45" spans="3:4" x14ac:dyDescent="0.3">
      <c r="C45" t="str">
        <f>IF(NOT(ISBLANK(A46)),COUNTIFS(data!E:E,A45,data!N:N,"&lt;&gt;נסיעה ביומן אירועים",data!N:N,"&lt;&gt;נסיעות שלא ברישוי"),"")</f>
        <v/>
      </c>
      <c r="D45" s="29" t="str">
        <f t="shared" si="0"/>
        <v/>
      </c>
    </row>
    <row r="46" spans="3:4" x14ac:dyDescent="0.3">
      <c r="C46" t="str">
        <f>IF(NOT(ISBLANK(A47)),COUNTIFS(data!E:E,A46,data!N:N,"&lt;&gt;נסיעה ביומן אירועים",data!N:N,"&lt;&gt;נסיעות שלא ברישוי"),"")</f>
        <v/>
      </c>
      <c r="D46" s="29" t="str">
        <f t="shared" si="0"/>
        <v/>
      </c>
    </row>
    <row r="47" spans="3:4" x14ac:dyDescent="0.3">
      <c r="C47" t="str">
        <f>IF(NOT(ISBLANK(A48)),COUNTIFS(data!E:E,A47,data!N:N,"&lt;&gt;נסיעה ביומן אירועים",data!N:N,"&lt;&gt;נסיעות שלא ברישוי"),"")</f>
        <v/>
      </c>
      <c r="D47" s="29" t="str">
        <f t="shared" si="0"/>
        <v/>
      </c>
    </row>
    <row r="48" spans="3:4" x14ac:dyDescent="0.3">
      <c r="C48" t="str">
        <f>IF(NOT(ISBLANK(A49)),COUNTIFS(data!E:E,A48,data!N:N,"&lt;&gt;נסיעה ביומן אירועים",data!N:N,"&lt;&gt;נסיעות שלא ברישוי"),"")</f>
        <v/>
      </c>
      <c r="D48" s="29" t="str">
        <f t="shared" si="0"/>
        <v/>
      </c>
    </row>
    <row r="49" spans="3:4" x14ac:dyDescent="0.3">
      <c r="C49" t="str">
        <f>IF(NOT(ISBLANK(A50)),COUNTIFS(data!E:E,A49,data!N:N,"&lt;&gt;נסיעה ביומן אירועים",data!N:N,"&lt;&gt;נסיעות שלא ברישוי"),"")</f>
        <v/>
      </c>
      <c r="D49" s="29" t="str">
        <f t="shared" si="0"/>
        <v/>
      </c>
    </row>
    <row r="50" spans="3:4" x14ac:dyDescent="0.3">
      <c r="C50" t="str">
        <f>IF(NOT(ISBLANK(A51)),COUNTIFS(data!E:E,A50,data!N:N,"&lt;&gt;נסיעה ביומן אירועים",data!N:N,"&lt;&gt;נסיעות שלא ברישוי"),"")</f>
        <v/>
      </c>
      <c r="D50" s="29" t="str">
        <f t="shared" si="0"/>
        <v/>
      </c>
    </row>
    <row r="51" spans="3:4" x14ac:dyDescent="0.3">
      <c r="C51" t="str">
        <f>IF(NOT(ISBLANK(A52)),COUNTIFS(data!E:E,A51,data!N:N,"&lt;&gt;נסיעה ביומן אירועים",data!N:N,"&lt;&gt;נסיעות שלא ברישוי"),"")</f>
        <v/>
      </c>
      <c r="D51" s="29" t="str">
        <f t="shared" si="0"/>
        <v/>
      </c>
    </row>
    <row r="52" spans="3:4" x14ac:dyDescent="0.3">
      <c r="C52" t="str">
        <f>IF(NOT(ISBLANK(A53)),COUNTIFS(data!E:E,A52,data!N:N,"&lt;&gt;נסיעה ביומן אירועים",data!N:N,"&lt;&gt;נסיעות שלא ברישוי"),"")</f>
        <v/>
      </c>
      <c r="D52" s="29" t="str">
        <f t="shared" si="0"/>
        <v/>
      </c>
    </row>
    <row r="53" spans="3:4" x14ac:dyDescent="0.3">
      <c r="C53" t="str">
        <f>IF(NOT(ISBLANK(A54)),COUNTIFS(data!E:E,A53,data!N:N,"&lt;&gt;נסיעה ביומן אירועים",data!N:N,"&lt;&gt;נסיעות שלא ברישוי"),"")</f>
        <v/>
      </c>
      <c r="D53" s="29" t="str">
        <f t="shared" si="0"/>
        <v/>
      </c>
    </row>
    <row r="54" spans="3:4" x14ac:dyDescent="0.3">
      <c r="C54" t="str">
        <f>IF(NOT(ISBLANK(A55)),COUNTIFS(data!E:E,A54,data!N:N,"&lt;&gt;נסיעה ביומן אירועים",data!N:N,"&lt;&gt;נסיעות שלא ברישוי"),"")</f>
        <v/>
      </c>
      <c r="D54" s="29" t="str">
        <f t="shared" si="0"/>
        <v/>
      </c>
    </row>
    <row r="55" spans="3:4" x14ac:dyDescent="0.3">
      <c r="C55" t="str">
        <f>IF(NOT(ISBLANK(A56)),COUNTIFS(data!E:E,A55,data!N:N,"&lt;&gt;נסיעה ביומן אירועים",data!N:N,"&lt;&gt;נסיעות שלא ברישוי"),"")</f>
        <v/>
      </c>
      <c r="D55" s="29" t="str">
        <f t="shared" si="0"/>
        <v/>
      </c>
    </row>
    <row r="56" spans="3:4" x14ac:dyDescent="0.3">
      <c r="C56" t="str">
        <f>IF(NOT(ISBLANK(A57)),COUNTIFS(data!E:E,A56,data!N:N,"&lt;&gt;נסיעה ביומן אירועים",data!N:N,"&lt;&gt;נסיעות שלא ברישוי"),"")</f>
        <v/>
      </c>
      <c r="D56" s="29" t="str">
        <f t="shared" si="0"/>
        <v/>
      </c>
    </row>
    <row r="57" spans="3:4" x14ac:dyDescent="0.3">
      <c r="C57" t="str">
        <f>IF(NOT(ISBLANK(A58)),COUNTIFS(data!E:E,A57,data!N:N,"&lt;&gt;נסיעה ביומן אירועים",data!N:N,"&lt;&gt;נסיעות שלא ברישוי"),"")</f>
        <v/>
      </c>
      <c r="D57" s="29" t="str">
        <f t="shared" si="0"/>
        <v/>
      </c>
    </row>
    <row r="58" spans="3:4" x14ac:dyDescent="0.3">
      <c r="C58" t="str">
        <f>IF(NOT(ISBLANK(A59)),COUNTIFS(data!E:E,A58,data!N:N,"&lt;&gt;נסיעה ביומן אירועים",data!N:N,"&lt;&gt;נסיעות שלא ברישוי"),"")</f>
        <v/>
      </c>
      <c r="D58" s="29" t="str">
        <f t="shared" si="0"/>
        <v/>
      </c>
    </row>
    <row r="59" spans="3:4" x14ac:dyDescent="0.3">
      <c r="C59" t="str">
        <f>IF(NOT(ISBLANK(A60)),COUNTIFS(data!E:E,A59,data!N:N,"&lt;&gt;נסיעה ביומן אירועים",data!N:N,"&lt;&gt;נסיעות שלא ברישוי"),"")</f>
        <v/>
      </c>
      <c r="D59" s="29" t="str">
        <f t="shared" si="0"/>
        <v/>
      </c>
    </row>
    <row r="60" spans="3:4" x14ac:dyDescent="0.3">
      <c r="C60" t="str">
        <f>IF(NOT(ISBLANK(A61)),COUNTIFS(data!E:E,A60,data!N:N,"&lt;&gt;נסיעה ביומן אירועים",data!N:N,"&lt;&gt;נסיעות שלא ברישוי"),"")</f>
        <v/>
      </c>
      <c r="D60" s="29" t="str">
        <f t="shared" si="0"/>
        <v/>
      </c>
    </row>
    <row r="61" spans="3:4" x14ac:dyDescent="0.3">
      <c r="C61" t="str">
        <f>IF(NOT(ISBLANK(A62)),COUNTIFS(data!E:E,A61,data!N:N,"&lt;&gt;נסיעה ביומן אירועים",data!N:N,"&lt;&gt;נסיעות שלא ברישוי"),"")</f>
        <v/>
      </c>
      <c r="D61" s="29" t="str">
        <f t="shared" si="0"/>
        <v/>
      </c>
    </row>
    <row r="62" spans="3:4" x14ac:dyDescent="0.3">
      <c r="C62" t="str">
        <f>IF(NOT(ISBLANK(A63)),COUNTIFS(data!E:E,A62,data!N:N,"&lt;&gt;נסיעה ביומן אירועים",data!N:N,"&lt;&gt;נסיעות שלא ברישוי"),"")</f>
        <v/>
      </c>
      <c r="D62" s="29" t="str">
        <f t="shared" si="0"/>
        <v/>
      </c>
    </row>
    <row r="63" spans="3:4" x14ac:dyDescent="0.3">
      <c r="C63" t="str">
        <f>IF(NOT(ISBLANK(A64)),COUNTIFS(data!E:E,A63,data!N:N,"&lt;&gt;נסיעה ביומן אירועים",data!N:N,"&lt;&gt;נסיעות שלא ברישוי"),"")</f>
        <v/>
      </c>
      <c r="D63" s="29" t="str">
        <f t="shared" si="0"/>
        <v/>
      </c>
    </row>
    <row r="64" spans="3:4" x14ac:dyDescent="0.3">
      <c r="C64" t="str">
        <f>IF(NOT(ISBLANK(A65)),COUNTIFS(data!E:E,A64,data!N:N,"&lt;&gt;נסיעה ביומן אירועים",data!N:N,"&lt;&gt;נסיעות שלא ברישוי"),"")</f>
        <v/>
      </c>
      <c r="D64" s="29" t="str">
        <f t="shared" si="0"/>
        <v/>
      </c>
    </row>
    <row r="65" spans="3:4" x14ac:dyDescent="0.3">
      <c r="C65" t="str">
        <f>IF(NOT(ISBLANK(A66)),COUNTIFS(data!E:E,A65,data!N:N,"&lt;&gt;נסיעה ביומן אירועים",data!N:N,"&lt;&gt;נסיעות שלא ברישוי"),"")</f>
        <v/>
      </c>
      <c r="D65" s="29" t="str">
        <f t="shared" si="0"/>
        <v/>
      </c>
    </row>
    <row r="66" spans="3:4" x14ac:dyDescent="0.3">
      <c r="C66" t="str">
        <f>IF(NOT(ISBLANK(A67)),COUNTIFS(data!E:E,A66,data!N:N,"&lt;&gt;נסיעה ביומן אירועים",data!N:N,"&lt;&gt;נסיעות שלא ברישוי"),"")</f>
        <v/>
      </c>
      <c r="D66" s="29" t="str">
        <f t="shared" si="0"/>
        <v/>
      </c>
    </row>
    <row r="67" spans="3:4" x14ac:dyDescent="0.3">
      <c r="C67" t="str">
        <f>IF(NOT(ISBLANK(A68)),COUNTIFS(data!E:E,A67,data!N:N,"&lt;&gt;נסיעה ביומן אירועים",data!N:N,"&lt;&gt;נסיעות שלא ברישוי"),"")</f>
        <v/>
      </c>
      <c r="D67" s="29" t="str">
        <f t="shared" si="0"/>
        <v/>
      </c>
    </row>
    <row r="68" spans="3:4" x14ac:dyDescent="0.3">
      <c r="C68" t="str">
        <f>IF(NOT(ISBLANK(A69)),COUNTIFS(data!E:E,A68,data!N:N,"&lt;&gt;נסיעה ביומן אירועים",data!N:N,"&lt;&gt;נסיעות שלא ברישוי"),"")</f>
        <v/>
      </c>
      <c r="D68" s="29" t="str">
        <f t="shared" si="0"/>
        <v/>
      </c>
    </row>
    <row r="69" spans="3:4" x14ac:dyDescent="0.3">
      <c r="C69" t="str">
        <f>IF(NOT(ISBLANK(A70)),COUNTIFS(data!E:E,A69,data!N:N,"&lt;&gt;נסיעה ביומן אירועים",data!N:N,"&lt;&gt;נסיעות שלא ברישוי"),"")</f>
        <v/>
      </c>
      <c r="D69" s="29" t="str">
        <f t="shared" si="0"/>
        <v/>
      </c>
    </row>
    <row r="70" spans="3:4" x14ac:dyDescent="0.3">
      <c r="C70" t="str">
        <f>IF(NOT(ISBLANK(A71)),COUNTIFS(data!E:E,A70,data!N:N,"&lt;&gt;נסיעה ביומן אירועים",data!N:N,"&lt;&gt;נסיעות שלא ברישוי"),"")</f>
        <v/>
      </c>
      <c r="D70" s="29" t="str">
        <f t="shared" si="0"/>
        <v/>
      </c>
    </row>
    <row r="71" spans="3:4" x14ac:dyDescent="0.3">
      <c r="C71" t="str">
        <f>IF(NOT(ISBLANK(A72)),COUNTIFS(data!E:E,A71,data!N:N,"&lt;&gt;נסיעה ביומן אירועים",data!N:N,"&lt;&gt;נסיעות שלא ברישוי"),"")</f>
        <v/>
      </c>
      <c r="D71" s="29" t="str">
        <f t="shared" si="0"/>
        <v/>
      </c>
    </row>
    <row r="72" spans="3:4" x14ac:dyDescent="0.3">
      <c r="C72" t="str">
        <f>IF(NOT(ISBLANK(A73)),COUNTIFS(data!E:E,A72,data!N:N,"&lt;&gt;נסיעה ביומן אירועים",data!N:N,"&lt;&gt;נסיעות שלא ברישוי"),"")</f>
        <v/>
      </c>
      <c r="D72" s="29" t="str">
        <f t="shared" ref="D72:D135" si="1">IF(NOT(ISBLANK(A73)),B72/C72,"")</f>
        <v/>
      </c>
    </row>
    <row r="73" spans="3:4" x14ac:dyDescent="0.3">
      <c r="C73" t="str">
        <f>IF(NOT(ISBLANK(A74)),COUNTIFS(data!E:E,A73,data!N:N,"&lt;&gt;נסיעה ביומן אירועים",data!N:N,"&lt;&gt;נסיעות שלא ברישוי"),"")</f>
        <v/>
      </c>
      <c r="D73" s="29" t="str">
        <f t="shared" si="1"/>
        <v/>
      </c>
    </row>
    <row r="74" spans="3:4" x14ac:dyDescent="0.3">
      <c r="C74" t="str">
        <f>IF(NOT(ISBLANK(A75)),COUNTIFS(data!E:E,A74,data!N:N,"&lt;&gt;נסיעה ביומן אירועים",data!N:N,"&lt;&gt;נסיעות שלא ברישוי"),"")</f>
        <v/>
      </c>
      <c r="D74" s="29" t="str">
        <f t="shared" si="1"/>
        <v/>
      </c>
    </row>
    <row r="75" spans="3:4" x14ac:dyDescent="0.3">
      <c r="C75" t="str">
        <f>IF(NOT(ISBLANK(A76)),COUNTIFS(data!E:E,A75,data!N:N,"&lt;&gt;נסיעה ביומן אירועים",data!N:N,"&lt;&gt;נסיעות שלא ברישוי"),"")</f>
        <v/>
      </c>
      <c r="D75" s="29" t="str">
        <f t="shared" si="1"/>
        <v/>
      </c>
    </row>
    <row r="76" spans="3:4" x14ac:dyDescent="0.3">
      <c r="C76" t="str">
        <f>IF(NOT(ISBLANK(A77)),COUNTIFS(data!E:E,A76,data!N:N,"&lt;&gt;נסיעה ביומן אירועים",data!N:N,"&lt;&gt;נסיעות שלא ברישוי"),"")</f>
        <v/>
      </c>
      <c r="D76" s="29" t="str">
        <f t="shared" si="1"/>
        <v/>
      </c>
    </row>
    <row r="77" spans="3:4" x14ac:dyDescent="0.3">
      <c r="C77" t="str">
        <f>IF(NOT(ISBLANK(A78)),COUNTIFS(data!E:E,A77,data!N:N,"&lt;&gt;נסיעה ביומן אירועים",data!N:N,"&lt;&gt;נסיעות שלא ברישוי"),"")</f>
        <v/>
      </c>
      <c r="D77" s="29" t="str">
        <f t="shared" si="1"/>
        <v/>
      </c>
    </row>
    <row r="78" spans="3:4" x14ac:dyDescent="0.3">
      <c r="C78" t="str">
        <f>IF(NOT(ISBLANK(A79)),COUNTIFS(data!E:E,A78,data!N:N,"&lt;&gt;נסיעה ביומן אירועים",data!N:N,"&lt;&gt;נסיעות שלא ברישוי"),"")</f>
        <v/>
      </c>
      <c r="D78" s="29" t="str">
        <f t="shared" si="1"/>
        <v/>
      </c>
    </row>
    <row r="79" spans="3:4" x14ac:dyDescent="0.3">
      <c r="C79" t="str">
        <f>IF(NOT(ISBLANK(A80)),COUNTIFS(data!E:E,A79,data!N:N,"&lt;&gt;נסיעה ביומן אירועים",data!N:N,"&lt;&gt;נסיעות שלא ברישוי"),"")</f>
        <v/>
      </c>
      <c r="D79" s="29" t="str">
        <f t="shared" si="1"/>
        <v/>
      </c>
    </row>
    <row r="80" spans="3:4" x14ac:dyDescent="0.3">
      <c r="C80" t="str">
        <f>IF(NOT(ISBLANK(A81)),COUNTIFS(data!E:E,A80,data!N:N,"&lt;&gt;נסיעה ביומן אירועים",data!N:N,"&lt;&gt;נסיעות שלא ברישוי"),"")</f>
        <v/>
      </c>
      <c r="D80" s="29" t="str">
        <f t="shared" si="1"/>
        <v/>
      </c>
    </row>
    <row r="81" spans="3:4" x14ac:dyDescent="0.3">
      <c r="C81" t="str">
        <f>IF(NOT(ISBLANK(A82)),COUNTIFS(data!E:E,A81,data!N:N,"&lt;&gt;נסיעה ביומן אירועים",data!N:N,"&lt;&gt;נסיעות שלא ברישוי"),"")</f>
        <v/>
      </c>
      <c r="D81" s="29" t="str">
        <f t="shared" si="1"/>
        <v/>
      </c>
    </row>
    <row r="82" spans="3:4" x14ac:dyDescent="0.3">
      <c r="C82" t="str">
        <f>IF(NOT(ISBLANK(A83)),COUNTIFS(data!E:E,A82,data!N:N,"&lt;&gt;נסיעה ביומן אירועים",data!N:N,"&lt;&gt;נסיעות שלא ברישוי"),"")</f>
        <v/>
      </c>
      <c r="D82" s="29" t="str">
        <f t="shared" si="1"/>
        <v/>
      </c>
    </row>
    <row r="83" spans="3:4" x14ac:dyDescent="0.3">
      <c r="C83" t="str">
        <f>IF(NOT(ISBLANK(A84)),COUNTIFS(data!E:E,A83,data!N:N,"&lt;&gt;נסיעה ביומן אירועים",data!N:N,"&lt;&gt;נסיעות שלא ברישוי"),"")</f>
        <v/>
      </c>
      <c r="D83" s="29" t="str">
        <f t="shared" si="1"/>
        <v/>
      </c>
    </row>
    <row r="84" spans="3:4" x14ac:dyDescent="0.3">
      <c r="C84" t="str">
        <f>IF(NOT(ISBLANK(A85)),COUNTIFS(data!E:E,A84,data!N:N,"&lt;&gt;נסיעה ביומן אירועים",data!N:N,"&lt;&gt;נסיעות שלא ברישוי"),"")</f>
        <v/>
      </c>
      <c r="D84" s="29" t="str">
        <f t="shared" si="1"/>
        <v/>
      </c>
    </row>
    <row r="85" spans="3:4" x14ac:dyDescent="0.3">
      <c r="C85" t="str">
        <f>IF(NOT(ISBLANK(A86)),COUNTIFS(data!E:E,A85,data!N:N,"&lt;&gt;נסיעה ביומן אירועים",data!N:N,"&lt;&gt;נסיעות שלא ברישוי"),"")</f>
        <v/>
      </c>
      <c r="D85" s="29" t="str">
        <f t="shared" si="1"/>
        <v/>
      </c>
    </row>
    <row r="86" spans="3:4" x14ac:dyDescent="0.3">
      <c r="C86" t="str">
        <f>IF(NOT(ISBLANK(A87)),COUNTIFS(data!E:E,A86,data!N:N,"&lt;&gt;נסיעה ביומן אירועים",data!N:N,"&lt;&gt;נסיעות שלא ברישוי"),"")</f>
        <v/>
      </c>
      <c r="D86" s="29" t="str">
        <f t="shared" si="1"/>
        <v/>
      </c>
    </row>
    <row r="87" spans="3:4" x14ac:dyDescent="0.3">
      <c r="C87" t="str">
        <f>IF(NOT(ISBLANK(A88)),COUNTIFS(data!E:E,A87,data!N:N,"&lt;&gt;נסיעה ביומן אירועים",data!N:N,"&lt;&gt;נסיעות שלא ברישוי"),"")</f>
        <v/>
      </c>
      <c r="D87" s="29" t="str">
        <f t="shared" si="1"/>
        <v/>
      </c>
    </row>
    <row r="88" spans="3:4" x14ac:dyDescent="0.3">
      <c r="C88" t="str">
        <f>IF(NOT(ISBLANK(A89)),COUNTIFS(data!E:E,A88,data!N:N,"&lt;&gt;נסיעה ביומן אירועים",data!N:N,"&lt;&gt;נסיעות שלא ברישוי"),"")</f>
        <v/>
      </c>
      <c r="D88" s="29" t="str">
        <f t="shared" si="1"/>
        <v/>
      </c>
    </row>
    <row r="89" spans="3:4" x14ac:dyDescent="0.3">
      <c r="C89" t="str">
        <f>IF(NOT(ISBLANK(A90)),COUNTIFS(data!E:E,A89,data!N:N,"&lt;&gt;נסיעה ביומן אירועים",data!N:N,"&lt;&gt;נסיעות שלא ברישוי"),"")</f>
        <v/>
      </c>
      <c r="D89" s="29" t="str">
        <f t="shared" si="1"/>
        <v/>
      </c>
    </row>
    <row r="90" spans="3:4" x14ac:dyDescent="0.3">
      <c r="C90" t="str">
        <f>IF(NOT(ISBLANK(A91)),COUNTIFS(data!E:E,A90,data!N:N,"&lt;&gt;נסיעה ביומן אירועים",data!N:N,"&lt;&gt;נסיעות שלא ברישוי"),"")</f>
        <v/>
      </c>
      <c r="D90" s="29" t="str">
        <f t="shared" si="1"/>
        <v/>
      </c>
    </row>
    <row r="91" spans="3:4" x14ac:dyDescent="0.3">
      <c r="C91" t="str">
        <f>IF(NOT(ISBLANK(A92)),COUNTIFS(data!E:E,A91,data!N:N,"&lt;&gt;נסיעה ביומן אירועים",data!N:N,"&lt;&gt;נסיעות שלא ברישוי"),"")</f>
        <v/>
      </c>
      <c r="D91" s="29" t="str">
        <f t="shared" si="1"/>
        <v/>
      </c>
    </row>
    <row r="92" spans="3:4" x14ac:dyDescent="0.3">
      <c r="C92" t="str">
        <f>IF(NOT(ISBLANK(A93)),COUNTIFS(data!E:E,A92,data!N:N,"&lt;&gt;נסיעה ביומן אירועים",data!N:N,"&lt;&gt;נסיעות שלא ברישוי"),"")</f>
        <v/>
      </c>
      <c r="D92" s="29" t="str">
        <f t="shared" si="1"/>
        <v/>
      </c>
    </row>
    <row r="93" spans="3:4" x14ac:dyDescent="0.3">
      <c r="C93" t="str">
        <f>IF(NOT(ISBLANK(A94)),COUNTIFS(data!E:E,A93,data!N:N,"&lt;&gt;נסיעה ביומן אירועים",data!N:N,"&lt;&gt;נסיעות שלא ברישוי"),"")</f>
        <v/>
      </c>
      <c r="D93" s="29" t="str">
        <f t="shared" si="1"/>
        <v/>
      </c>
    </row>
    <row r="94" spans="3:4" x14ac:dyDescent="0.3">
      <c r="C94" t="str">
        <f>IF(NOT(ISBLANK(A95)),COUNTIFS(data!E:E,A94,data!N:N,"&lt;&gt;נסיעה ביומן אירועים",data!N:N,"&lt;&gt;נסיעות שלא ברישוי"),"")</f>
        <v/>
      </c>
      <c r="D94" s="29" t="str">
        <f t="shared" si="1"/>
        <v/>
      </c>
    </row>
    <row r="95" spans="3:4" x14ac:dyDescent="0.3">
      <c r="C95" t="str">
        <f>IF(NOT(ISBLANK(A96)),COUNTIFS(data!E:E,A95,data!N:N,"&lt;&gt;נסיעה ביומן אירועים",data!N:N,"&lt;&gt;נסיעות שלא ברישוי"),"")</f>
        <v/>
      </c>
      <c r="D95" s="29" t="str">
        <f t="shared" si="1"/>
        <v/>
      </c>
    </row>
    <row r="96" spans="3:4" x14ac:dyDescent="0.3">
      <c r="C96" t="str">
        <f>IF(NOT(ISBLANK(A97)),COUNTIFS(data!E:E,A96,data!N:N,"&lt;&gt;נסיעה ביומן אירועים",data!N:N,"&lt;&gt;נסיעות שלא ברישוי"),"")</f>
        <v/>
      </c>
      <c r="D96" s="29" t="str">
        <f t="shared" si="1"/>
        <v/>
      </c>
    </row>
    <row r="97" spans="3:4" x14ac:dyDescent="0.3">
      <c r="C97" t="str">
        <f>IF(NOT(ISBLANK(A98)),COUNTIFS(data!E:E,A97,data!N:N,"&lt;&gt;נסיעה ביומן אירועים",data!N:N,"&lt;&gt;נסיעות שלא ברישוי"),"")</f>
        <v/>
      </c>
      <c r="D97" s="29" t="str">
        <f t="shared" si="1"/>
        <v/>
      </c>
    </row>
    <row r="98" spans="3:4" x14ac:dyDescent="0.3">
      <c r="C98" t="str">
        <f>IF(NOT(ISBLANK(A99)),COUNTIFS(data!E:E,A98,data!N:N,"&lt;&gt;נסיעה ביומן אירועים",data!N:N,"&lt;&gt;נסיעות שלא ברישוי"),"")</f>
        <v/>
      </c>
      <c r="D98" s="29" t="str">
        <f t="shared" si="1"/>
        <v/>
      </c>
    </row>
    <row r="99" spans="3:4" x14ac:dyDescent="0.3">
      <c r="C99" t="str">
        <f>IF(NOT(ISBLANK(A100)),COUNTIFS(data!E:E,A99,data!N:N,"&lt;&gt;נסיעה ביומן אירועים",data!N:N,"&lt;&gt;נסיעות שלא ברישוי"),"")</f>
        <v/>
      </c>
      <c r="D99" s="29" t="str">
        <f t="shared" si="1"/>
        <v/>
      </c>
    </row>
    <row r="100" spans="3:4" x14ac:dyDescent="0.3">
      <c r="C100" t="str">
        <f>IF(NOT(ISBLANK(A101)),COUNTIFS(data!E:E,A100,data!N:N,"&lt;&gt;נסיעה ביומן אירועים",data!N:N,"&lt;&gt;נסיעות שלא ברישוי"),"")</f>
        <v/>
      </c>
      <c r="D100" s="29" t="str">
        <f t="shared" si="1"/>
        <v/>
      </c>
    </row>
    <row r="101" spans="3:4" x14ac:dyDescent="0.3">
      <c r="C101" t="str">
        <f>IF(NOT(ISBLANK(A102)),COUNTIFS(data!E:E,A101,data!N:N,"&lt;&gt;נסיעה ביומן אירועים",data!N:N,"&lt;&gt;נסיעות שלא ברישוי"),"")</f>
        <v/>
      </c>
      <c r="D101" s="29" t="str">
        <f t="shared" si="1"/>
        <v/>
      </c>
    </row>
    <row r="102" spans="3:4" x14ac:dyDescent="0.3">
      <c r="C102" t="str">
        <f>IF(NOT(ISBLANK(A103)),COUNTIFS(data!E:E,A102,data!N:N,"&lt;&gt;נסיעה ביומן אירועים",data!N:N,"&lt;&gt;נסיעות שלא ברישוי"),"")</f>
        <v/>
      </c>
      <c r="D102" s="29" t="str">
        <f t="shared" si="1"/>
        <v/>
      </c>
    </row>
    <row r="103" spans="3:4" x14ac:dyDescent="0.3">
      <c r="C103" t="str">
        <f>IF(NOT(ISBLANK(A104)),COUNTIFS(data!E:E,A103,data!N:N,"&lt;&gt;נסיעה ביומן אירועים",data!N:N,"&lt;&gt;נסיעות שלא ברישוי"),"")</f>
        <v/>
      </c>
      <c r="D103" s="29" t="str">
        <f t="shared" si="1"/>
        <v/>
      </c>
    </row>
    <row r="104" spans="3:4" x14ac:dyDescent="0.3">
      <c r="C104" t="str">
        <f>IF(NOT(ISBLANK(A105)),COUNTIFS(data!E:E,A104,data!N:N,"&lt;&gt;נסיעה ביומן אירועים",data!N:N,"&lt;&gt;נסיעות שלא ברישוי"),"")</f>
        <v/>
      </c>
      <c r="D104" s="29" t="str">
        <f t="shared" si="1"/>
        <v/>
      </c>
    </row>
    <row r="105" spans="3:4" x14ac:dyDescent="0.3">
      <c r="C105" t="str">
        <f>IF(NOT(ISBLANK(A106)),COUNTIFS(data!E:E,A105,data!N:N,"&lt;&gt;נסיעה ביומן אירועים",data!N:N,"&lt;&gt;נסיעות שלא ברישוי"),"")</f>
        <v/>
      </c>
      <c r="D105" s="29" t="str">
        <f t="shared" si="1"/>
        <v/>
      </c>
    </row>
    <row r="106" spans="3:4" x14ac:dyDescent="0.3">
      <c r="C106" t="str">
        <f>IF(NOT(ISBLANK(A107)),COUNTIFS(data!E:E,A106,data!N:N,"&lt;&gt;נסיעה ביומן אירועים",data!N:N,"&lt;&gt;נסיעות שלא ברישוי"),"")</f>
        <v/>
      </c>
      <c r="D106" s="29" t="str">
        <f t="shared" si="1"/>
        <v/>
      </c>
    </row>
    <row r="107" spans="3:4" x14ac:dyDescent="0.3">
      <c r="C107" t="str">
        <f>IF(NOT(ISBLANK(A108)),COUNTIFS(data!E:E,A107,data!N:N,"&lt;&gt;נסיעה ביומן אירועים",data!N:N,"&lt;&gt;נסיעות שלא ברישוי"),"")</f>
        <v/>
      </c>
      <c r="D107" s="29" t="str">
        <f t="shared" si="1"/>
        <v/>
      </c>
    </row>
    <row r="108" spans="3:4" x14ac:dyDescent="0.3">
      <c r="C108" t="str">
        <f>IF(NOT(ISBLANK(A109)),COUNTIFS(data!E:E,A108,data!N:N,"&lt;&gt;נסיעה ביומן אירועים",data!N:N,"&lt;&gt;נסיעות שלא ברישוי"),"")</f>
        <v/>
      </c>
      <c r="D108" s="29" t="str">
        <f t="shared" si="1"/>
        <v/>
      </c>
    </row>
    <row r="109" spans="3:4" x14ac:dyDescent="0.3">
      <c r="C109" t="str">
        <f>IF(NOT(ISBLANK(A110)),COUNTIFS(data!E:E,A109,data!N:N,"&lt;&gt;נסיעה ביומן אירועים",data!N:N,"&lt;&gt;נסיעות שלא ברישוי"),"")</f>
        <v/>
      </c>
      <c r="D109" s="29" t="str">
        <f t="shared" si="1"/>
        <v/>
      </c>
    </row>
    <row r="110" spans="3:4" x14ac:dyDescent="0.3">
      <c r="C110" t="str">
        <f>IF(NOT(ISBLANK(A111)),COUNTIFS(data!E:E,A110,data!N:N,"&lt;&gt;נסיעה ביומן אירועים",data!N:N,"&lt;&gt;נסיעות שלא ברישוי"),"")</f>
        <v/>
      </c>
      <c r="D110" s="29" t="str">
        <f t="shared" si="1"/>
        <v/>
      </c>
    </row>
    <row r="111" spans="3:4" x14ac:dyDescent="0.3">
      <c r="C111" t="str">
        <f>IF(NOT(ISBLANK(A112)),COUNTIFS(data!E:E,A111,data!N:N,"&lt;&gt;נסיעה ביומן אירועים",data!N:N,"&lt;&gt;נסיעות שלא ברישוי"),"")</f>
        <v/>
      </c>
      <c r="D111" s="29" t="str">
        <f t="shared" si="1"/>
        <v/>
      </c>
    </row>
    <row r="112" spans="3:4" x14ac:dyDescent="0.3">
      <c r="C112" t="str">
        <f>IF(NOT(ISBLANK(A113)),COUNTIFS(data!E:E,A112,data!N:N,"&lt;&gt;נסיעה ביומן אירועים",data!N:N,"&lt;&gt;נסיעות שלא ברישוי"),"")</f>
        <v/>
      </c>
      <c r="D112" s="29" t="str">
        <f t="shared" si="1"/>
        <v/>
      </c>
    </row>
    <row r="113" spans="3:4" x14ac:dyDescent="0.3">
      <c r="C113" t="str">
        <f>IF(NOT(ISBLANK(A114)),COUNTIFS(data!E:E,A113,data!N:N,"&lt;&gt;נסיעה ביומן אירועים",data!N:N,"&lt;&gt;נסיעות שלא ברישוי"),"")</f>
        <v/>
      </c>
      <c r="D113" s="29" t="str">
        <f t="shared" si="1"/>
        <v/>
      </c>
    </row>
    <row r="114" spans="3:4" x14ac:dyDescent="0.3">
      <c r="C114" t="str">
        <f>IF(NOT(ISBLANK(A115)),COUNTIFS(data!E:E,A114,data!N:N,"&lt;&gt;נסיעה ביומן אירועים",data!N:N,"&lt;&gt;נסיעות שלא ברישוי"),"")</f>
        <v/>
      </c>
      <c r="D114" s="29" t="str">
        <f t="shared" si="1"/>
        <v/>
      </c>
    </row>
    <row r="115" spans="3:4" x14ac:dyDescent="0.3">
      <c r="C115" t="str">
        <f>IF(NOT(ISBLANK(A116)),COUNTIFS(data!E:E,A115,data!N:N,"&lt;&gt;נסיעה ביומן אירועים",data!N:N,"&lt;&gt;נסיעות שלא ברישוי"),"")</f>
        <v/>
      </c>
      <c r="D115" s="29" t="str">
        <f t="shared" si="1"/>
        <v/>
      </c>
    </row>
    <row r="116" spans="3:4" x14ac:dyDescent="0.3">
      <c r="C116" t="str">
        <f>IF(NOT(ISBLANK(A117)),COUNTIFS(data!E:E,A116,data!N:N,"&lt;&gt;נסיעה ביומן אירועים",data!N:N,"&lt;&gt;נסיעות שלא ברישוי"),"")</f>
        <v/>
      </c>
      <c r="D116" s="29" t="str">
        <f t="shared" si="1"/>
        <v/>
      </c>
    </row>
    <row r="117" spans="3:4" x14ac:dyDescent="0.3">
      <c r="C117" t="str">
        <f>IF(NOT(ISBLANK(A118)),COUNTIFS(data!E:E,A117,data!N:N,"&lt;&gt;נסיעה ביומן אירועים",data!N:N,"&lt;&gt;נסיעות שלא ברישוי"),"")</f>
        <v/>
      </c>
      <c r="D117" s="29" t="str">
        <f t="shared" si="1"/>
        <v/>
      </c>
    </row>
    <row r="118" spans="3:4" x14ac:dyDescent="0.3">
      <c r="C118" t="str">
        <f>IF(NOT(ISBLANK(A119)),COUNTIFS(data!E:E,A118,data!N:N,"&lt;&gt;נסיעה ביומן אירועים",data!N:N,"&lt;&gt;נסיעות שלא ברישוי"),"")</f>
        <v/>
      </c>
      <c r="D118" s="29" t="str">
        <f t="shared" si="1"/>
        <v/>
      </c>
    </row>
    <row r="119" spans="3:4" x14ac:dyDescent="0.3">
      <c r="C119" t="str">
        <f>IF(NOT(ISBLANK(A120)),COUNTIFS(data!E:E,A119,data!N:N,"&lt;&gt;נסיעה ביומן אירועים",data!N:N,"&lt;&gt;נסיעות שלא ברישוי"),"")</f>
        <v/>
      </c>
      <c r="D119" s="29" t="str">
        <f t="shared" si="1"/>
        <v/>
      </c>
    </row>
    <row r="120" spans="3:4" x14ac:dyDescent="0.3">
      <c r="C120" t="str">
        <f>IF(NOT(ISBLANK(A121)),COUNTIFS(data!E:E,A120,data!N:N,"&lt;&gt;נסיעה ביומן אירועים",data!N:N,"&lt;&gt;נסיעות שלא ברישוי"),"")</f>
        <v/>
      </c>
      <c r="D120" s="29" t="str">
        <f t="shared" si="1"/>
        <v/>
      </c>
    </row>
    <row r="121" spans="3:4" x14ac:dyDescent="0.3">
      <c r="C121" t="str">
        <f>IF(NOT(ISBLANK(A122)),COUNTIFS(data!E:E,A121,data!N:N,"&lt;&gt;נסיעה ביומן אירועים",data!N:N,"&lt;&gt;נסיעות שלא ברישוי"),"")</f>
        <v/>
      </c>
      <c r="D121" s="29" t="str">
        <f t="shared" si="1"/>
        <v/>
      </c>
    </row>
    <row r="122" spans="3:4" x14ac:dyDescent="0.3">
      <c r="C122" t="str">
        <f>IF(NOT(ISBLANK(A123)),COUNTIFS(data!E:E,A122,data!N:N,"&lt;&gt;נסיעה ביומן אירועים",data!N:N,"&lt;&gt;נסיעות שלא ברישוי"),"")</f>
        <v/>
      </c>
      <c r="D122" s="29" t="str">
        <f t="shared" si="1"/>
        <v/>
      </c>
    </row>
    <row r="123" spans="3:4" x14ac:dyDescent="0.3">
      <c r="C123" t="str">
        <f>IF(NOT(ISBLANK(A124)),COUNTIFS(data!E:E,A123,data!N:N,"&lt;&gt;נסיעה ביומן אירועים",data!N:N,"&lt;&gt;נסיעות שלא ברישוי"),"")</f>
        <v/>
      </c>
      <c r="D123" s="29" t="str">
        <f t="shared" si="1"/>
        <v/>
      </c>
    </row>
    <row r="124" spans="3:4" x14ac:dyDescent="0.3">
      <c r="C124" t="str">
        <f>IF(NOT(ISBLANK(A125)),COUNTIFS(data!E:E,A124,data!N:N,"&lt;&gt;נסיעה ביומן אירועים",data!N:N,"&lt;&gt;נסיעות שלא ברישוי"),"")</f>
        <v/>
      </c>
      <c r="D124" s="29" t="str">
        <f t="shared" si="1"/>
        <v/>
      </c>
    </row>
    <row r="125" spans="3:4" x14ac:dyDescent="0.3">
      <c r="C125" t="str">
        <f>IF(NOT(ISBLANK(A126)),COUNTIFS(data!E:E,A125,data!N:N,"&lt;&gt;נסיעה ביומן אירועים",data!N:N,"&lt;&gt;נסיעות שלא ברישוי"),"")</f>
        <v/>
      </c>
      <c r="D125" s="29" t="str">
        <f t="shared" si="1"/>
        <v/>
      </c>
    </row>
    <row r="126" spans="3:4" x14ac:dyDescent="0.3">
      <c r="C126" t="str">
        <f>IF(NOT(ISBLANK(A127)),COUNTIFS(data!E:E,A126,data!N:N,"&lt;&gt;נסיעה ביומן אירועים",data!N:N,"&lt;&gt;נסיעות שלא ברישוי"),"")</f>
        <v/>
      </c>
      <c r="D126" s="29" t="str">
        <f t="shared" si="1"/>
        <v/>
      </c>
    </row>
    <row r="127" spans="3:4" x14ac:dyDescent="0.3">
      <c r="C127" t="str">
        <f>IF(NOT(ISBLANK(A128)),COUNTIFS(data!E:E,A127,data!N:N,"&lt;&gt;נסיעה ביומן אירועים",data!N:N,"&lt;&gt;נסיעות שלא ברישוי"),"")</f>
        <v/>
      </c>
      <c r="D127" s="29" t="str">
        <f t="shared" si="1"/>
        <v/>
      </c>
    </row>
    <row r="128" spans="3:4" x14ac:dyDescent="0.3">
      <c r="C128" t="str">
        <f>IF(NOT(ISBLANK(A129)),COUNTIFS(data!E:E,A128,data!N:N,"&lt;&gt;נסיעה ביומן אירועים",data!N:N,"&lt;&gt;נסיעות שלא ברישוי"),"")</f>
        <v/>
      </c>
      <c r="D128" s="29" t="str">
        <f t="shared" si="1"/>
        <v/>
      </c>
    </row>
    <row r="129" spans="3:4" x14ac:dyDescent="0.3">
      <c r="C129" t="str">
        <f>IF(NOT(ISBLANK(A130)),COUNTIFS(data!E:E,A129,data!N:N,"&lt;&gt;נסיעה ביומן אירועים",data!N:N,"&lt;&gt;נסיעות שלא ברישוי"),"")</f>
        <v/>
      </c>
      <c r="D129" s="29" t="str">
        <f t="shared" si="1"/>
        <v/>
      </c>
    </row>
    <row r="130" spans="3:4" x14ac:dyDescent="0.3">
      <c r="C130" t="str">
        <f>IF(NOT(ISBLANK(A131)),COUNTIFS(data!E:E,A130,data!N:N,"&lt;&gt;נסיעה ביומן אירועים",data!N:N,"&lt;&gt;נסיעות שלא ברישוי"),"")</f>
        <v/>
      </c>
      <c r="D130" s="29" t="str">
        <f t="shared" si="1"/>
        <v/>
      </c>
    </row>
    <row r="131" spans="3:4" x14ac:dyDescent="0.3">
      <c r="C131" t="str">
        <f>IF(NOT(ISBLANK(A132)),COUNTIFS(data!E:E,A131,data!N:N,"&lt;&gt;נסיעה ביומן אירועים",data!N:N,"&lt;&gt;נסיעות שלא ברישוי"),"")</f>
        <v/>
      </c>
      <c r="D131" s="29" t="str">
        <f t="shared" si="1"/>
        <v/>
      </c>
    </row>
    <row r="132" spans="3:4" x14ac:dyDescent="0.3">
      <c r="C132" t="str">
        <f>IF(NOT(ISBLANK(A133)),COUNTIFS(data!E:E,A132,data!N:N,"&lt;&gt;נסיעה ביומן אירועים",data!N:N,"&lt;&gt;נסיעות שלא ברישוי"),"")</f>
        <v/>
      </c>
      <c r="D132" s="29" t="str">
        <f t="shared" si="1"/>
        <v/>
      </c>
    </row>
    <row r="133" spans="3:4" x14ac:dyDescent="0.3">
      <c r="C133" t="str">
        <f>IF(NOT(ISBLANK(A134)),COUNTIFS(data!E:E,A133,data!N:N,"&lt;&gt;נסיעה ביומן אירועים",data!N:N,"&lt;&gt;נסיעות שלא ברישוי"),"")</f>
        <v/>
      </c>
      <c r="D133" s="29" t="str">
        <f t="shared" si="1"/>
        <v/>
      </c>
    </row>
    <row r="134" spans="3:4" x14ac:dyDescent="0.3">
      <c r="C134" t="str">
        <f>IF(NOT(ISBLANK(A135)),COUNTIFS(data!E:E,A134,data!N:N,"&lt;&gt;נסיעה ביומן אירועים",data!N:N,"&lt;&gt;נסיעות שלא ברישוי"),"")</f>
        <v/>
      </c>
      <c r="D134" s="29" t="str">
        <f t="shared" si="1"/>
        <v/>
      </c>
    </row>
    <row r="135" spans="3:4" x14ac:dyDescent="0.3">
      <c r="C135" t="str">
        <f>IF(NOT(ISBLANK(A136)),COUNTIFS(data!E:E,A135,data!N:N,"&lt;&gt;נסיעה ביומן אירועים",data!N:N,"&lt;&gt;נסיעות שלא ברישוי"),"")</f>
        <v/>
      </c>
      <c r="D135" s="29" t="str">
        <f t="shared" si="1"/>
        <v/>
      </c>
    </row>
    <row r="136" spans="3:4" x14ac:dyDescent="0.3">
      <c r="C136" t="str">
        <f>IF(NOT(ISBLANK(A137)),COUNTIFS(data!E:E,A136,data!N:N,"&lt;&gt;נסיעה ביומן אירועים",data!N:N,"&lt;&gt;נסיעות שלא ברישוי"),"")</f>
        <v/>
      </c>
      <c r="D136" s="29" t="str">
        <f t="shared" ref="D136:D199" si="2">IF(NOT(ISBLANK(A137)),B136/C136,"")</f>
        <v/>
      </c>
    </row>
    <row r="137" spans="3:4" x14ac:dyDescent="0.3">
      <c r="C137" t="str">
        <f>IF(NOT(ISBLANK(A138)),COUNTIFS(data!E:E,A137,data!N:N,"&lt;&gt;נסיעה ביומן אירועים",data!N:N,"&lt;&gt;נסיעות שלא ברישוי"),"")</f>
        <v/>
      </c>
      <c r="D137" s="29" t="str">
        <f t="shared" si="2"/>
        <v/>
      </c>
    </row>
    <row r="138" spans="3:4" x14ac:dyDescent="0.3">
      <c r="C138" t="str">
        <f>IF(NOT(ISBLANK(A139)),COUNTIFS(data!E:E,A138,data!N:N,"&lt;&gt;נסיעה ביומן אירועים",data!N:N,"&lt;&gt;נסיעות שלא ברישוי"),"")</f>
        <v/>
      </c>
      <c r="D138" s="29" t="str">
        <f t="shared" si="2"/>
        <v/>
      </c>
    </row>
    <row r="139" spans="3:4" x14ac:dyDescent="0.3">
      <c r="C139" t="str">
        <f>IF(NOT(ISBLANK(A140)),COUNTIFS(data!E:E,A139,data!N:N,"&lt;&gt;נסיעה ביומן אירועים",data!N:N,"&lt;&gt;נסיעות שלא ברישוי"),"")</f>
        <v/>
      </c>
      <c r="D139" s="29" t="str">
        <f t="shared" si="2"/>
        <v/>
      </c>
    </row>
    <row r="140" spans="3:4" x14ac:dyDescent="0.3">
      <c r="C140" t="str">
        <f>IF(NOT(ISBLANK(A141)),COUNTIFS(data!E:E,A140,data!N:N,"&lt;&gt;נסיעה ביומן אירועים",data!N:N,"&lt;&gt;נסיעות שלא ברישוי"),"")</f>
        <v/>
      </c>
      <c r="D140" s="29" t="str">
        <f t="shared" si="2"/>
        <v/>
      </c>
    </row>
    <row r="141" spans="3:4" x14ac:dyDescent="0.3">
      <c r="C141" t="str">
        <f>IF(NOT(ISBLANK(A142)),COUNTIFS(data!E:E,A141,data!N:N,"&lt;&gt;נסיעה ביומן אירועים",data!N:N,"&lt;&gt;נסיעות שלא ברישוי"),"")</f>
        <v/>
      </c>
      <c r="D141" s="29" t="str">
        <f t="shared" si="2"/>
        <v/>
      </c>
    </row>
    <row r="142" spans="3:4" x14ac:dyDescent="0.3">
      <c r="C142" t="str">
        <f>IF(NOT(ISBLANK(A143)),COUNTIFS(data!E:E,A142,data!N:N,"&lt;&gt;נסיעה ביומן אירועים",data!N:N,"&lt;&gt;נסיעות שלא ברישוי"),"")</f>
        <v/>
      </c>
      <c r="D142" s="29" t="str">
        <f t="shared" si="2"/>
        <v/>
      </c>
    </row>
    <row r="143" spans="3:4" x14ac:dyDescent="0.3">
      <c r="C143" t="str">
        <f>IF(NOT(ISBLANK(A144)),COUNTIFS(data!E:E,A143,data!N:N,"&lt;&gt;נסיעה ביומן אירועים",data!N:N,"&lt;&gt;נסיעות שלא ברישוי"),"")</f>
        <v/>
      </c>
      <c r="D143" s="29" t="str">
        <f t="shared" si="2"/>
        <v/>
      </c>
    </row>
    <row r="144" spans="3:4" x14ac:dyDescent="0.3">
      <c r="C144" t="str">
        <f>IF(NOT(ISBLANK(A145)),COUNTIFS(data!E:E,A144,data!N:N,"&lt;&gt;נסיעה ביומן אירועים",data!N:N,"&lt;&gt;נסיעות שלא ברישוי"),"")</f>
        <v/>
      </c>
      <c r="D144" s="29" t="str">
        <f t="shared" si="2"/>
        <v/>
      </c>
    </row>
    <row r="145" spans="3:4" x14ac:dyDescent="0.3">
      <c r="C145" t="str">
        <f>IF(NOT(ISBLANK(A146)),COUNTIFS(data!E:E,A145,data!N:N,"&lt;&gt;נסיעה ביומן אירועים",data!N:N,"&lt;&gt;נסיעות שלא ברישוי"),"")</f>
        <v/>
      </c>
      <c r="D145" s="29" t="str">
        <f t="shared" si="2"/>
        <v/>
      </c>
    </row>
    <row r="146" spans="3:4" x14ac:dyDescent="0.3">
      <c r="C146" t="str">
        <f>IF(NOT(ISBLANK(A147)),COUNTIFS(data!E:E,A146,data!N:N,"&lt;&gt;נסיעה ביומן אירועים",data!N:N,"&lt;&gt;נסיעות שלא ברישוי"),"")</f>
        <v/>
      </c>
      <c r="D146" s="29" t="str">
        <f t="shared" si="2"/>
        <v/>
      </c>
    </row>
    <row r="147" spans="3:4" x14ac:dyDescent="0.3">
      <c r="C147" t="str">
        <f>IF(NOT(ISBLANK(A148)),COUNTIFS(data!E:E,A147,data!N:N,"&lt;&gt;נסיעה ביומן אירועים",data!N:N,"&lt;&gt;נסיעות שלא ברישוי"),"")</f>
        <v/>
      </c>
      <c r="D147" s="29" t="str">
        <f t="shared" si="2"/>
        <v/>
      </c>
    </row>
    <row r="148" spans="3:4" x14ac:dyDescent="0.3">
      <c r="C148" t="str">
        <f>IF(NOT(ISBLANK(A149)),COUNTIFS(data!E:E,A148,data!N:N,"&lt;&gt;נסיעה ביומן אירועים",data!N:N,"&lt;&gt;נסיעות שלא ברישוי"),"")</f>
        <v/>
      </c>
      <c r="D148" s="29" t="str">
        <f t="shared" si="2"/>
        <v/>
      </c>
    </row>
    <row r="149" spans="3:4" x14ac:dyDescent="0.3">
      <c r="C149" t="str">
        <f>IF(NOT(ISBLANK(A150)),COUNTIFS(data!E:E,A149,data!N:N,"&lt;&gt;נסיעה ביומן אירועים",data!N:N,"&lt;&gt;נסיעות שלא ברישוי"),"")</f>
        <v/>
      </c>
      <c r="D149" s="29" t="str">
        <f t="shared" si="2"/>
        <v/>
      </c>
    </row>
    <row r="150" spans="3:4" x14ac:dyDescent="0.3">
      <c r="C150" t="str">
        <f>IF(NOT(ISBLANK(A151)),COUNTIFS(data!E:E,A150,data!N:N,"&lt;&gt;נסיעה ביומן אירועים",data!N:N,"&lt;&gt;נסיעות שלא ברישוי"),"")</f>
        <v/>
      </c>
      <c r="D150" s="29" t="str">
        <f t="shared" si="2"/>
        <v/>
      </c>
    </row>
    <row r="151" spans="3:4" x14ac:dyDescent="0.3">
      <c r="C151" t="str">
        <f>IF(NOT(ISBLANK(A152)),COUNTIFS(data!E:E,A151,data!N:N,"&lt;&gt;נסיעה ביומן אירועים",data!N:N,"&lt;&gt;נסיעות שלא ברישוי"),"")</f>
        <v/>
      </c>
      <c r="D151" s="29" t="str">
        <f t="shared" si="2"/>
        <v/>
      </c>
    </row>
    <row r="152" spans="3:4" x14ac:dyDescent="0.3">
      <c r="C152" t="str">
        <f>IF(NOT(ISBLANK(A153)),COUNTIFS(data!E:E,A152,data!N:N,"&lt;&gt;נסיעה ביומן אירועים",data!N:N,"&lt;&gt;נסיעות שלא ברישוי"),"")</f>
        <v/>
      </c>
      <c r="D152" s="29" t="str">
        <f t="shared" si="2"/>
        <v/>
      </c>
    </row>
    <row r="153" spans="3:4" x14ac:dyDescent="0.3">
      <c r="C153" t="str">
        <f>IF(NOT(ISBLANK(A154)),COUNTIFS(data!E:E,A153,data!N:N,"&lt;&gt;נסיעה ביומן אירועים",data!N:N,"&lt;&gt;נסיעות שלא ברישוי"),"")</f>
        <v/>
      </c>
      <c r="D153" s="29" t="str">
        <f t="shared" si="2"/>
        <v/>
      </c>
    </row>
    <row r="154" spans="3:4" x14ac:dyDescent="0.3">
      <c r="C154" t="str">
        <f>IF(NOT(ISBLANK(A155)),COUNTIFS(data!E:E,A154,data!N:N,"&lt;&gt;נסיעה ביומן אירועים",data!N:N,"&lt;&gt;נסיעות שלא ברישוי"),"")</f>
        <v/>
      </c>
      <c r="D154" s="29" t="str">
        <f t="shared" si="2"/>
        <v/>
      </c>
    </row>
    <row r="155" spans="3:4" x14ac:dyDescent="0.3">
      <c r="C155" t="str">
        <f>IF(NOT(ISBLANK(A156)),COUNTIFS(data!E:E,A155,data!N:N,"&lt;&gt;נסיעה ביומן אירועים",data!N:N,"&lt;&gt;נסיעות שלא ברישוי"),"")</f>
        <v/>
      </c>
      <c r="D155" s="29" t="str">
        <f t="shared" si="2"/>
        <v/>
      </c>
    </row>
    <row r="156" spans="3:4" x14ac:dyDescent="0.3">
      <c r="C156" t="str">
        <f>IF(NOT(ISBLANK(A157)),COUNTIFS(data!E:E,A156,data!N:N,"&lt;&gt;נסיעה ביומן אירועים",data!N:N,"&lt;&gt;נסיעות שלא ברישוי"),"")</f>
        <v/>
      </c>
      <c r="D156" s="29" t="str">
        <f t="shared" si="2"/>
        <v/>
      </c>
    </row>
    <row r="157" spans="3:4" x14ac:dyDescent="0.3">
      <c r="C157" t="str">
        <f>IF(NOT(ISBLANK(A158)),COUNTIFS(data!E:E,A157,data!N:N,"&lt;&gt;נסיעה ביומן אירועים",data!N:N,"&lt;&gt;נסיעות שלא ברישוי"),"")</f>
        <v/>
      </c>
      <c r="D157" s="29" t="str">
        <f t="shared" si="2"/>
        <v/>
      </c>
    </row>
    <row r="158" spans="3:4" x14ac:dyDescent="0.3">
      <c r="C158" t="str">
        <f>IF(NOT(ISBLANK(A159)),COUNTIFS(data!E:E,A158,data!N:N,"&lt;&gt;נסיעה ביומן אירועים",data!N:N,"&lt;&gt;נסיעות שלא ברישוי"),"")</f>
        <v/>
      </c>
      <c r="D158" s="29" t="str">
        <f t="shared" si="2"/>
        <v/>
      </c>
    </row>
    <row r="159" spans="3:4" x14ac:dyDescent="0.3">
      <c r="C159" t="str">
        <f>IF(NOT(ISBLANK(A160)),COUNTIFS(data!E:E,A159,data!N:N,"&lt;&gt;נסיעה ביומן אירועים",data!N:N,"&lt;&gt;נסיעות שלא ברישוי"),"")</f>
        <v/>
      </c>
      <c r="D159" s="29" t="str">
        <f t="shared" si="2"/>
        <v/>
      </c>
    </row>
    <row r="160" spans="3:4" x14ac:dyDescent="0.3">
      <c r="C160" t="str">
        <f>IF(NOT(ISBLANK(A161)),COUNTIFS(data!E:E,A160,data!N:N,"&lt;&gt;נסיעה ביומן אירועים",data!N:N,"&lt;&gt;נסיעות שלא ברישוי"),"")</f>
        <v/>
      </c>
      <c r="D160" s="29" t="str">
        <f t="shared" si="2"/>
        <v/>
      </c>
    </row>
    <row r="161" spans="3:4" x14ac:dyDescent="0.3">
      <c r="C161" t="str">
        <f>IF(NOT(ISBLANK(A162)),COUNTIFS(data!E:E,A161,data!N:N,"&lt;&gt;נסיעה ביומן אירועים",data!N:N,"&lt;&gt;נסיעות שלא ברישוי"),"")</f>
        <v/>
      </c>
      <c r="D161" s="29" t="str">
        <f t="shared" si="2"/>
        <v/>
      </c>
    </row>
    <row r="162" spans="3:4" x14ac:dyDescent="0.3">
      <c r="C162" t="str">
        <f>IF(NOT(ISBLANK(A163)),COUNTIFS(data!E:E,A162,data!N:N,"&lt;&gt;נסיעה ביומן אירועים",data!N:N,"&lt;&gt;נסיעות שלא ברישוי"),"")</f>
        <v/>
      </c>
      <c r="D162" s="29" t="str">
        <f t="shared" si="2"/>
        <v/>
      </c>
    </row>
    <row r="163" spans="3:4" x14ac:dyDescent="0.3">
      <c r="C163" t="str">
        <f>IF(NOT(ISBLANK(A164)),COUNTIFS(data!E:E,A163,data!N:N,"&lt;&gt;נסיעה ביומן אירועים",data!N:N,"&lt;&gt;נסיעות שלא ברישוי"),"")</f>
        <v/>
      </c>
      <c r="D163" s="29" t="str">
        <f t="shared" si="2"/>
        <v/>
      </c>
    </row>
    <row r="164" spans="3:4" x14ac:dyDescent="0.3">
      <c r="C164" t="str">
        <f>IF(NOT(ISBLANK(A165)),COUNTIFS(data!E:E,A164,data!N:N,"&lt;&gt;נסיעה ביומן אירועים",data!N:N,"&lt;&gt;נסיעות שלא ברישוי"),"")</f>
        <v/>
      </c>
      <c r="D164" s="29" t="str">
        <f t="shared" si="2"/>
        <v/>
      </c>
    </row>
    <row r="165" spans="3:4" x14ac:dyDescent="0.3">
      <c r="C165" t="str">
        <f>IF(NOT(ISBLANK(A166)),COUNTIFS(data!E:E,A165,data!N:N,"&lt;&gt;נסיעה ביומן אירועים",data!N:N,"&lt;&gt;נסיעות שלא ברישוי"),"")</f>
        <v/>
      </c>
      <c r="D165" s="29" t="str">
        <f t="shared" si="2"/>
        <v/>
      </c>
    </row>
    <row r="166" spans="3:4" x14ac:dyDescent="0.3">
      <c r="C166" t="str">
        <f>IF(NOT(ISBLANK(A167)),COUNTIFS(data!E:E,A166,data!N:N,"&lt;&gt;נסיעה ביומן אירועים",data!N:N,"&lt;&gt;נסיעות שלא ברישוי"),"")</f>
        <v/>
      </c>
      <c r="D166" s="29" t="str">
        <f t="shared" si="2"/>
        <v/>
      </c>
    </row>
    <row r="167" spans="3:4" x14ac:dyDescent="0.3">
      <c r="C167" t="str">
        <f>IF(NOT(ISBLANK(A168)),COUNTIFS(data!E:E,A167,data!N:N,"&lt;&gt;נסיעה ביומן אירועים",data!N:N,"&lt;&gt;נסיעות שלא ברישוי"),"")</f>
        <v/>
      </c>
      <c r="D167" s="29" t="str">
        <f t="shared" si="2"/>
        <v/>
      </c>
    </row>
    <row r="168" spans="3:4" x14ac:dyDescent="0.3">
      <c r="C168" t="str">
        <f>IF(NOT(ISBLANK(A169)),COUNTIFS(data!E:E,A168,data!N:N,"&lt;&gt;נסיעה ביומן אירועים",data!N:N,"&lt;&gt;נסיעות שלא ברישוי"),"")</f>
        <v/>
      </c>
      <c r="D168" s="29" t="str">
        <f t="shared" si="2"/>
        <v/>
      </c>
    </row>
    <row r="169" spans="3:4" x14ac:dyDescent="0.3">
      <c r="C169" t="str">
        <f>IF(NOT(ISBLANK(A170)),COUNTIFS(data!E:E,A169,data!N:N,"&lt;&gt;נסיעה ביומן אירועים",data!N:N,"&lt;&gt;נסיעות שלא ברישוי"),"")</f>
        <v/>
      </c>
      <c r="D169" s="29" t="str">
        <f t="shared" si="2"/>
        <v/>
      </c>
    </row>
    <row r="170" spans="3:4" x14ac:dyDescent="0.3">
      <c r="C170" t="str">
        <f>IF(NOT(ISBLANK(A171)),COUNTIFS(data!E:E,A170,data!N:N,"&lt;&gt;נסיעה ביומן אירועים",data!N:N,"&lt;&gt;נסיעות שלא ברישוי"),"")</f>
        <v/>
      </c>
      <c r="D170" s="29" t="str">
        <f t="shared" si="2"/>
        <v/>
      </c>
    </row>
    <row r="171" spans="3:4" x14ac:dyDescent="0.3">
      <c r="C171" t="str">
        <f>IF(NOT(ISBLANK(A172)),COUNTIFS(data!E:E,A171,data!N:N,"&lt;&gt;נסיעה ביומן אירועים",data!N:N,"&lt;&gt;נסיעות שלא ברישוי"),"")</f>
        <v/>
      </c>
      <c r="D171" s="29" t="str">
        <f t="shared" si="2"/>
        <v/>
      </c>
    </row>
    <row r="172" spans="3:4" x14ac:dyDescent="0.3">
      <c r="C172" t="str">
        <f>IF(NOT(ISBLANK(A173)),COUNTIFS(data!E:E,A172,data!N:N,"&lt;&gt;נסיעה ביומן אירועים",data!N:N,"&lt;&gt;נסיעות שלא ברישוי"),"")</f>
        <v/>
      </c>
      <c r="D172" s="29" t="str">
        <f t="shared" si="2"/>
        <v/>
      </c>
    </row>
    <row r="173" spans="3:4" x14ac:dyDescent="0.3">
      <c r="C173" t="str">
        <f>IF(NOT(ISBLANK(A174)),COUNTIFS(data!E:E,A173,data!N:N,"&lt;&gt;נסיעה ביומן אירועים",data!N:N,"&lt;&gt;נסיעות שלא ברישוי"),"")</f>
        <v/>
      </c>
      <c r="D173" s="29" t="str">
        <f t="shared" si="2"/>
        <v/>
      </c>
    </row>
    <row r="174" spans="3:4" x14ac:dyDescent="0.3">
      <c r="C174" t="str">
        <f>IF(NOT(ISBLANK(A175)),COUNTIFS(data!E:E,A174,data!N:N,"&lt;&gt;נסיעה ביומן אירועים",data!N:N,"&lt;&gt;נסיעות שלא ברישוי"),"")</f>
        <v/>
      </c>
      <c r="D174" s="29" t="str">
        <f t="shared" si="2"/>
        <v/>
      </c>
    </row>
    <row r="175" spans="3:4" x14ac:dyDescent="0.3">
      <c r="C175" t="str">
        <f>IF(NOT(ISBLANK(A176)),COUNTIFS(data!E:E,A175,data!N:N,"&lt;&gt;נסיעה ביומן אירועים",data!N:N,"&lt;&gt;נסיעות שלא ברישוי"),"")</f>
        <v/>
      </c>
      <c r="D175" s="29" t="str">
        <f t="shared" si="2"/>
        <v/>
      </c>
    </row>
    <row r="176" spans="3:4" x14ac:dyDescent="0.3">
      <c r="C176" t="str">
        <f>IF(NOT(ISBLANK(A177)),COUNTIFS(data!E:E,A176,data!N:N,"&lt;&gt;נסיעה ביומן אירועים",data!N:N,"&lt;&gt;נסיעות שלא ברישוי"),"")</f>
        <v/>
      </c>
      <c r="D176" s="29" t="str">
        <f t="shared" si="2"/>
        <v/>
      </c>
    </row>
    <row r="177" spans="3:4" x14ac:dyDescent="0.3">
      <c r="C177" t="str">
        <f>IF(NOT(ISBLANK(A178)),COUNTIFS(data!E:E,A177,data!N:N,"&lt;&gt;נסיעה ביומן אירועים",data!N:N,"&lt;&gt;נסיעות שלא ברישוי"),"")</f>
        <v/>
      </c>
      <c r="D177" s="29" t="str">
        <f t="shared" si="2"/>
        <v/>
      </c>
    </row>
    <row r="178" spans="3:4" x14ac:dyDescent="0.3">
      <c r="C178" t="str">
        <f>IF(NOT(ISBLANK(A179)),COUNTIFS(data!E:E,A178,data!N:N,"&lt;&gt;נסיעה ביומן אירועים",data!N:N,"&lt;&gt;נסיעות שלא ברישוי"),"")</f>
        <v/>
      </c>
      <c r="D178" s="29" t="str">
        <f t="shared" si="2"/>
        <v/>
      </c>
    </row>
    <row r="179" spans="3:4" x14ac:dyDescent="0.3">
      <c r="C179" t="str">
        <f>IF(NOT(ISBLANK(A180)),COUNTIFS(data!E:E,A179,data!N:N,"&lt;&gt;נסיעה ביומן אירועים",data!N:N,"&lt;&gt;נסיעות שלא ברישוי"),"")</f>
        <v/>
      </c>
      <c r="D179" s="29" t="str">
        <f t="shared" si="2"/>
        <v/>
      </c>
    </row>
    <row r="180" spans="3:4" x14ac:dyDescent="0.3">
      <c r="C180" t="str">
        <f>IF(NOT(ISBLANK(A181)),COUNTIFS(data!E:E,A180,data!N:N,"&lt;&gt;נסיעה ביומן אירועים",data!N:N,"&lt;&gt;נסיעות שלא ברישוי"),"")</f>
        <v/>
      </c>
      <c r="D180" s="29" t="str">
        <f t="shared" si="2"/>
        <v/>
      </c>
    </row>
    <row r="181" spans="3:4" x14ac:dyDescent="0.3">
      <c r="C181" t="str">
        <f>IF(NOT(ISBLANK(A182)),COUNTIFS(data!E:E,A181,data!N:N,"&lt;&gt;נסיעה ביומן אירועים",data!N:N,"&lt;&gt;נסיעות שלא ברישוי"),"")</f>
        <v/>
      </c>
      <c r="D181" s="29" t="str">
        <f t="shared" si="2"/>
        <v/>
      </c>
    </row>
    <row r="182" spans="3:4" x14ac:dyDescent="0.3">
      <c r="C182" t="str">
        <f>IF(NOT(ISBLANK(A183)),COUNTIFS(data!E:E,A182,data!N:N,"&lt;&gt;נסיעה ביומן אירועים",data!N:N,"&lt;&gt;נסיעות שלא ברישוי"),"")</f>
        <v/>
      </c>
      <c r="D182" s="29" t="str">
        <f t="shared" si="2"/>
        <v/>
      </c>
    </row>
    <row r="183" spans="3:4" x14ac:dyDescent="0.3">
      <c r="C183" t="str">
        <f>IF(NOT(ISBLANK(A184)),COUNTIFS(data!E:E,A183,data!N:N,"&lt;&gt;נסיעה ביומן אירועים",data!N:N,"&lt;&gt;נסיעות שלא ברישוי"),"")</f>
        <v/>
      </c>
      <c r="D183" s="29" t="str">
        <f t="shared" si="2"/>
        <v/>
      </c>
    </row>
    <row r="184" spans="3:4" x14ac:dyDescent="0.3">
      <c r="C184" t="str">
        <f>IF(NOT(ISBLANK(A185)),COUNTIFS(data!E:E,A184,data!N:N,"&lt;&gt;נסיעה ביומן אירועים",data!N:N,"&lt;&gt;נסיעות שלא ברישוי"),"")</f>
        <v/>
      </c>
      <c r="D184" s="29" t="str">
        <f t="shared" si="2"/>
        <v/>
      </c>
    </row>
    <row r="185" spans="3:4" x14ac:dyDescent="0.3">
      <c r="C185" t="str">
        <f>IF(NOT(ISBLANK(A186)),COUNTIFS(data!E:E,A185,data!N:N,"&lt;&gt;נסיעה ביומן אירועים",data!N:N,"&lt;&gt;נסיעות שלא ברישוי"),"")</f>
        <v/>
      </c>
      <c r="D185" s="29" t="str">
        <f t="shared" si="2"/>
        <v/>
      </c>
    </row>
    <row r="186" spans="3:4" x14ac:dyDescent="0.3">
      <c r="C186" t="str">
        <f>IF(NOT(ISBLANK(A187)),COUNTIFS(data!E:E,A186,data!N:N,"&lt;&gt;נסיעה ביומן אירועים",data!N:N,"&lt;&gt;נסיעות שלא ברישוי"),"")</f>
        <v/>
      </c>
      <c r="D186" s="29" t="str">
        <f t="shared" si="2"/>
        <v/>
      </c>
    </row>
    <row r="187" spans="3:4" x14ac:dyDescent="0.3">
      <c r="C187" t="str">
        <f>IF(NOT(ISBLANK(A188)),COUNTIFS(data!E:E,A187,data!N:N,"&lt;&gt;נסיעה ביומן אירועים",data!N:N,"&lt;&gt;נסיעות שלא ברישוי"),"")</f>
        <v/>
      </c>
      <c r="D187" s="29" t="str">
        <f t="shared" si="2"/>
        <v/>
      </c>
    </row>
    <row r="188" spans="3:4" x14ac:dyDescent="0.3">
      <c r="C188" t="str">
        <f>IF(NOT(ISBLANK(A189)),COUNTIFS(data!E:E,A188,data!N:N,"&lt;&gt;נסיעה ביומן אירועים",data!N:N,"&lt;&gt;נסיעות שלא ברישוי"),"")</f>
        <v/>
      </c>
      <c r="D188" s="29" t="str">
        <f t="shared" si="2"/>
        <v/>
      </c>
    </row>
    <row r="189" spans="3:4" x14ac:dyDescent="0.3">
      <c r="C189" t="str">
        <f>IF(NOT(ISBLANK(A190)),COUNTIFS(data!E:E,A189,data!N:N,"&lt;&gt;נסיעה ביומן אירועים",data!N:N,"&lt;&gt;נסיעות שלא ברישוי"),"")</f>
        <v/>
      </c>
      <c r="D189" s="29" t="str">
        <f t="shared" si="2"/>
        <v/>
      </c>
    </row>
    <row r="190" spans="3:4" x14ac:dyDescent="0.3">
      <c r="C190" t="str">
        <f>IF(NOT(ISBLANK(A191)),COUNTIFS(data!E:E,A190,data!N:N,"&lt;&gt;נסיעה ביומן אירועים",data!N:N,"&lt;&gt;נסיעות שלא ברישוי"),"")</f>
        <v/>
      </c>
      <c r="D190" s="29" t="str">
        <f t="shared" si="2"/>
        <v/>
      </c>
    </row>
    <row r="191" spans="3:4" x14ac:dyDescent="0.3">
      <c r="C191" t="str">
        <f>IF(NOT(ISBLANK(A192)),COUNTIFS(data!E:E,A191,data!N:N,"&lt;&gt;נסיעה ביומן אירועים",data!N:N,"&lt;&gt;נסיעות שלא ברישוי"),"")</f>
        <v/>
      </c>
      <c r="D191" s="29" t="str">
        <f t="shared" si="2"/>
        <v/>
      </c>
    </row>
    <row r="192" spans="3:4" x14ac:dyDescent="0.3">
      <c r="C192" t="str">
        <f>IF(NOT(ISBLANK(A193)),COUNTIFS(data!E:E,A192,data!N:N,"&lt;&gt;נסיעה ביומן אירועים",data!N:N,"&lt;&gt;נסיעות שלא ברישוי"),"")</f>
        <v/>
      </c>
      <c r="D192" s="29" t="str">
        <f t="shared" si="2"/>
        <v/>
      </c>
    </row>
    <row r="193" spans="3:4" x14ac:dyDescent="0.3">
      <c r="C193" t="str">
        <f>IF(NOT(ISBLANK(A194)),COUNTIFS(data!E:E,A193,data!N:N,"&lt;&gt;נסיעה ביומן אירועים",data!N:N,"&lt;&gt;נסיעות שלא ברישוי"),"")</f>
        <v/>
      </c>
      <c r="D193" s="29" t="str">
        <f t="shared" si="2"/>
        <v/>
      </c>
    </row>
    <row r="194" spans="3:4" x14ac:dyDescent="0.3">
      <c r="C194" t="str">
        <f>IF(NOT(ISBLANK(A195)),COUNTIFS(data!E:E,A194,data!N:N,"&lt;&gt;נסיעה ביומן אירועים",data!N:N,"&lt;&gt;נסיעות שלא ברישוי"),"")</f>
        <v/>
      </c>
      <c r="D194" s="29" t="str">
        <f t="shared" si="2"/>
        <v/>
      </c>
    </row>
    <row r="195" spans="3:4" x14ac:dyDescent="0.3">
      <c r="C195" t="str">
        <f>IF(NOT(ISBLANK(A196)),COUNTIFS(data!E:E,A195,data!N:N,"&lt;&gt;נסיעה ביומן אירועים",data!N:N,"&lt;&gt;נסיעות שלא ברישוי"),"")</f>
        <v/>
      </c>
      <c r="D195" s="29" t="str">
        <f t="shared" si="2"/>
        <v/>
      </c>
    </row>
    <row r="196" spans="3:4" x14ac:dyDescent="0.3">
      <c r="C196" t="str">
        <f>IF(NOT(ISBLANK(A197)),COUNTIFS(data!E:E,A196,data!N:N,"&lt;&gt;נסיעה ביומן אירועים",data!N:N,"&lt;&gt;נסיעות שלא ברישוי"),"")</f>
        <v/>
      </c>
      <c r="D196" s="29" t="str">
        <f t="shared" si="2"/>
        <v/>
      </c>
    </row>
    <row r="197" spans="3:4" x14ac:dyDescent="0.3">
      <c r="C197" t="str">
        <f>IF(NOT(ISBLANK(A198)),COUNTIFS(data!E:E,A197,data!N:N,"&lt;&gt;נסיעה ביומן אירועים",data!N:N,"&lt;&gt;נסיעות שלא ברישוי"),"")</f>
        <v/>
      </c>
      <c r="D197" s="29" t="str">
        <f t="shared" si="2"/>
        <v/>
      </c>
    </row>
    <row r="198" spans="3:4" x14ac:dyDescent="0.3">
      <c r="C198" t="str">
        <f>IF(NOT(ISBLANK(A199)),COUNTIFS(data!E:E,A198,data!N:N,"&lt;&gt;נסיעה ביומן אירועים",data!N:N,"&lt;&gt;נסיעות שלא ברישוי"),"")</f>
        <v/>
      </c>
      <c r="D198" s="29" t="str">
        <f t="shared" si="2"/>
        <v/>
      </c>
    </row>
    <row r="199" spans="3:4" x14ac:dyDescent="0.3">
      <c r="C199" t="str">
        <f>IF(NOT(ISBLANK(A200)),COUNTIFS(data!E:E,A199,data!N:N,"&lt;&gt;נסיעה ביומן אירועים",data!N:N,"&lt;&gt;נסיעות שלא ברישוי"),"")</f>
        <v/>
      </c>
      <c r="D199" s="29" t="str">
        <f t="shared" si="2"/>
        <v/>
      </c>
    </row>
    <row r="200" spans="3:4" x14ac:dyDescent="0.3">
      <c r="C200" t="str">
        <f>IF(NOT(ISBLANK(A201)),COUNTIFS(data!E:E,A200,data!N:N,"&lt;&gt;נסיעה ביומן אירועים",data!N:N,"&lt;&gt;נסיעות שלא ברישוי"),"")</f>
        <v/>
      </c>
      <c r="D200" s="29" t="str">
        <f t="shared" ref="D200:D250" si="3">IF(NOT(ISBLANK(A201)),B200/C200,"")</f>
        <v/>
      </c>
    </row>
    <row r="201" spans="3:4" x14ac:dyDescent="0.3">
      <c r="C201" t="str">
        <f>IF(NOT(ISBLANK(A202)),COUNTIFS(data!E:E,A201,data!N:N,"&lt;&gt;נסיעה ביומן אירועים",data!N:N,"&lt;&gt;נסיעות שלא ברישוי"),"")</f>
        <v/>
      </c>
      <c r="D201" s="29" t="str">
        <f t="shared" si="3"/>
        <v/>
      </c>
    </row>
    <row r="202" spans="3:4" x14ac:dyDescent="0.3">
      <c r="C202" t="str">
        <f>IF(NOT(ISBLANK(A203)),COUNTIFS(data!E:E,A202,data!N:N,"&lt;&gt;נסיעה ביומן אירועים",data!N:N,"&lt;&gt;נסיעות שלא ברישוי"),"")</f>
        <v/>
      </c>
      <c r="D202" s="29" t="str">
        <f t="shared" si="3"/>
        <v/>
      </c>
    </row>
    <row r="203" spans="3:4" x14ac:dyDescent="0.3">
      <c r="C203" t="str">
        <f>IF(NOT(ISBLANK(A204)),COUNTIFS(data!E:E,A203,data!N:N,"&lt;&gt;נסיעה ביומן אירועים",data!N:N,"&lt;&gt;נסיעות שלא ברישוי"),"")</f>
        <v/>
      </c>
      <c r="D203" s="29" t="str">
        <f t="shared" si="3"/>
        <v/>
      </c>
    </row>
    <row r="204" spans="3:4" x14ac:dyDescent="0.3">
      <c r="C204" t="str">
        <f>IF(NOT(ISBLANK(A205)),COUNTIFS(data!E:E,A204,data!N:N,"&lt;&gt;נסיעה ביומן אירועים",data!N:N,"&lt;&gt;נסיעות שלא ברישוי"),"")</f>
        <v/>
      </c>
      <c r="D204" s="29" t="str">
        <f t="shared" si="3"/>
        <v/>
      </c>
    </row>
    <row r="205" spans="3:4" x14ac:dyDescent="0.3">
      <c r="C205" t="str">
        <f>IF(NOT(ISBLANK(A206)),COUNTIFS(data!E:E,A205,data!N:N,"&lt;&gt;נסיעה ביומן אירועים",data!N:N,"&lt;&gt;נסיעות שלא ברישוי"),"")</f>
        <v/>
      </c>
      <c r="D205" s="29" t="str">
        <f t="shared" si="3"/>
        <v/>
      </c>
    </row>
    <row r="206" spans="3:4" x14ac:dyDescent="0.3">
      <c r="C206" t="str">
        <f>IF(NOT(ISBLANK(A207)),COUNTIFS(data!E:E,A206,data!N:N,"&lt;&gt;נסיעה ביומן אירועים",data!N:N,"&lt;&gt;נסיעות שלא ברישוי"),"")</f>
        <v/>
      </c>
      <c r="D206" s="29" t="str">
        <f t="shared" si="3"/>
        <v/>
      </c>
    </row>
    <row r="207" spans="3:4" x14ac:dyDescent="0.3">
      <c r="C207" t="str">
        <f>IF(NOT(ISBLANK(A208)),COUNTIFS(data!E:E,A207,data!N:N,"&lt;&gt;נסיעה ביומן אירועים",data!N:N,"&lt;&gt;נסיעות שלא ברישוי"),"")</f>
        <v/>
      </c>
      <c r="D207" s="29" t="str">
        <f t="shared" si="3"/>
        <v/>
      </c>
    </row>
    <row r="208" spans="3:4" x14ac:dyDescent="0.3">
      <c r="C208" t="str">
        <f>IF(NOT(ISBLANK(A209)),COUNTIFS(data!E:E,A208,data!N:N,"&lt;&gt;נסיעה ביומן אירועים",data!N:N,"&lt;&gt;נסיעות שלא ברישוי"),"")</f>
        <v/>
      </c>
      <c r="D208" s="29" t="str">
        <f t="shared" si="3"/>
        <v/>
      </c>
    </row>
    <row r="209" spans="3:4" x14ac:dyDescent="0.3">
      <c r="C209" t="str">
        <f>IF(NOT(ISBLANK(A210)),COUNTIFS(data!E:E,A209,data!N:N,"&lt;&gt;נסיעה ביומן אירועים",data!N:N,"&lt;&gt;נסיעות שלא ברישוי"),"")</f>
        <v/>
      </c>
      <c r="D209" s="29" t="str">
        <f t="shared" si="3"/>
        <v/>
      </c>
    </row>
    <row r="210" spans="3:4" x14ac:dyDescent="0.3">
      <c r="C210" t="str">
        <f>IF(NOT(ISBLANK(A211)),COUNTIFS(data!E:E,A210,data!N:N,"&lt;&gt;נסיעה ביומן אירועים",data!N:N,"&lt;&gt;נסיעות שלא ברישוי"),"")</f>
        <v/>
      </c>
      <c r="D210" s="29" t="str">
        <f t="shared" si="3"/>
        <v/>
      </c>
    </row>
    <row r="211" spans="3:4" x14ac:dyDescent="0.3">
      <c r="C211" t="str">
        <f>IF(NOT(ISBLANK(A212)),COUNTIFS(data!E:E,A211,data!N:N,"&lt;&gt;נסיעה ביומן אירועים",data!N:N,"&lt;&gt;נסיעות שלא ברישוי"),"")</f>
        <v/>
      </c>
      <c r="D211" s="29" t="str">
        <f t="shared" si="3"/>
        <v/>
      </c>
    </row>
    <row r="212" spans="3:4" x14ac:dyDescent="0.3">
      <c r="C212" t="str">
        <f>IF(NOT(ISBLANK(A213)),COUNTIFS(data!E:E,A212,data!N:N,"&lt;&gt;נסיעה ביומן אירועים",data!N:N,"&lt;&gt;נסיעות שלא ברישוי"),"")</f>
        <v/>
      </c>
      <c r="D212" s="29" t="str">
        <f t="shared" si="3"/>
        <v/>
      </c>
    </row>
    <row r="213" spans="3:4" x14ac:dyDescent="0.3">
      <c r="C213" t="str">
        <f>IF(NOT(ISBLANK(A214)),COUNTIFS(data!E:E,A213,data!N:N,"&lt;&gt;נסיעה ביומן אירועים",data!N:N,"&lt;&gt;נסיעות שלא ברישוי"),"")</f>
        <v/>
      </c>
      <c r="D213" s="29" t="str">
        <f t="shared" si="3"/>
        <v/>
      </c>
    </row>
    <row r="214" spans="3:4" x14ac:dyDescent="0.3">
      <c r="C214" t="str">
        <f>IF(NOT(ISBLANK(A215)),COUNTIFS(data!E:E,A214,data!N:N,"&lt;&gt;נסיעה ביומן אירועים",data!N:N,"&lt;&gt;נסיעות שלא ברישוי"),"")</f>
        <v/>
      </c>
      <c r="D214" s="29" t="str">
        <f t="shared" si="3"/>
        <v/>
      </c>
    </row>
    <row r="215" spans="3:4" x14ac:dyDescent="0.3">
      <c r="C215" t="str">
        <f>IF(NOT(ISBLANK(A216)),COUNTIFS(data!E:E,A215,data!N:N,"&lt;&gt;נסיעה ביומן אירועים",data!N:N,"&lt;&gt;נסיעות שלא ברישוי"),"")</f>
        <v/>
      </c>
      <c r="D215" s="29" t="str">
        <f t="shared" si="3"/>
        <v/>
      </c>
    </row>
    <row r="216" spans="3:4" x14ac:dyDescent="0.3">
      <c r="C216" t="str">
        <f>IF(NOT(ISBLANK(A217)),COUNTIFS(data!E:E,A216,data!N:N,"&lt;&gt;נסיעה ביומן אירועים",data!N:N,"&lt;&gt;נסיעות שלא ברישוי"),"")</f>
        <v/>
      </c>
      <c r="D216" s="29" t="str">
        <f t="shared" si="3"/>
        <v/>
      </c>
    </row>
    <row r="217" spans="3:4" x14ac:dyDescent="0.3">
      <c r="C217" t="str">
        <f>IF(NOT(ISBLANK(A218)),COUNTIFS(data!E:E,A217,data!N:N,"&lt;&gt;נסיעה ביומן אירועים",data!N:N,"&lt;&gt;נסיעות שלא ברישוי"),"")</f>
        <v/>
      </c>
      <c r="D217" s="29" t="str">
        <f t="shared" si="3"/>
        <v/>
      </c>
    </row>
    <row r="218" spans="3:4" x14ac:dyDescent="0.3">
      <c r="C218" t="str">
        <f>IF(NOT(ISBLANK(A219)),COUNTIFS(data!E:E,A218,data!N:N,"&lt;&gt;נסיעה ביומן אירועים",data!N:N,"&lt;&gt;נסיעות שלא ברישוי"),"")</f>
        <v/>
      </c>
      <c r="D218" s="29" t="str">
        <f t="shared" si="3"/>
        <v/>
      </c>
    </row>
    <row r="219" spans="3:4" x14ac:dyDescent="0.3">
      <c r="C219" t="str">
        <f>IF(NOT(ISBLANK(A220)),COUNTIFS(data!E:E,A219,data!N:N,"&lt;&gt;נסיעה ביומן אירועים",data!N:N,"&lt;&gt;נסיעות שלא ברישוי"),"")</f>
        <v/>
      </c>
      <c r="D219" s="29" t="str">
        <f t="shared" si="3"/>
        <v/>
      </c>
    </row>
    <row r="220" spans="3:4" x14ac:dyDescent="0.3">
      <c r="C220" t="str">
        <f>IF(NOT(ISBLANK(A221)),COUNTIFS(data!E:E,A220,data!N:N,"&lt;&gt;נסיעה ביומן אירועים",data!N:N,"&lt;&gt;נסיעות שלא ברישוי"),"")</f>
        <v/>
      </c>
      <c r="D220" s="29" t="str">
        <f t="shared" si="3"/>
        <v/>
      </c>
    </row>
    <row r="221" spans="3:4" x14ac:dyDescent="0.3">
      <c r="C221" t="str">
        <f>IF(NOT(ISBLANK(A222)),COUNTIFS(data!E:E,A221,data!N:N,"&lt;&gt;נסיעה ביומן אירועים",data!N:N,"&lt;&gt;נסיעות שלא ברישוי"),"")</f>
        <v/>
      </c>
      <c r="D221" s="29" t="str">
        <f t="shared" si="3"/>
        <v/>
      </c>
    </row>
    <row r="222" spans="3:4" x14ac:dyDescent="0.3">
      <c r="C222" t="str">
        <f>IF(NOT(ISBLANK(A223)),COUNTIFS(data!E:E,A222,data!N:N,"&lt;&gt;נסיעה ביומן אירועים",data!N:N,"&lt;&gt;נסיעות שלא ברישוי"),"")</f>
        <v/>
      </c>
      <c r="D222" s="29" t="str">
        <f t="shared" si="3"/>
        <v/>
      </c>
    </row>
    <row r="223" spans="3:4" x14ac:dyDescent="0.3">
      <c r="C223" t="str">
        <f>IF(NOT(ISBLANK(A224)),COUNTIFS(data!E:E,A223,data!N:N,"&lt;&gt;נסיעה ביומן אירועים",data!N:N,"&lt;&gt;נסיעות שלא ברישוי"),"")</f>
        <v/>
      </c>
      <c r="D223" s="29" t="str">
        <f t="shared" si="3"/>
        <v/>
      </c>
    </row>
    <row r="224" spans="3:4" x14ac:dyDescent="0.3">
      <c r="C224" t="str">
        <f>IF(NOT(ISBLANK(A225)),COUNTIFS(data!E:E,A224,data!N:N,"&lt;&gt;נסיעה ביומן אירועים",data!N:N,"&lt;&gt;נסיעות שלא ברישוי"),"")</f>
        <v/>
      </c>
      <c r="D224" s="29" t="str">
        <f t="shared" si="3"/>
        <v/>
      </c>
    </row>
    <row r="225" spans="3:4" x14ac:dyDescent="0.3">
      <c r="C225" t="str">
        <f>IF(NOT(ISBLANK(A226)),COUNTIFS(data!E:E,A225,data!N:N,"&lt;&gt;נסיעה ביומן אירועים",data!N:N,"&lt;&gt;נסיעות שלא ברישוי"),"")</f>
        <v/>
      </c>
      <c r="D225" s="29" t="str">
        <f t="shared" si="3"/>
        <v/>
      </c>
    </row>
    <row r="226" spans="3:4" x14ac:dyDescent="0.3">
      <c r="C226" t="str">
        <f>IF(NOT(ISBLANK(A227)),COUNTIFS(data!E:E,A226,data!N:N,"&lt;&gt;נסיעה ביומן אירועים",data!N:N,"&lt;&gt;נסיעות שלא ברישוי"),"")</f>
        <v/>
      </c>
      <c r="D226" s="29" t="str">
        <f t="shared" si="3"/>
        <v/>
      </c>
    </row>
    <row r="227" spans="3:4" x14ac:dyDescent="0.3">
      <c r="C227" t="str">
        <f>IF(NOT(ISBLANK(A228)),COUNTIFS(data!E:E,A227,data!N:N,"&lt;&gt;נסיעה ביומן אירועים",data!N:N,"&lt;&gt;נסיעות שלא ברישוי"),"")</f>
        <v/>
      </c>
      <c r="D227" s="29" t="str">
        <f t="shared" si="3"/>
        <v/>
      </c>
    </row>
    <row r="228" spans="3:4" x14ac:dyDescent="0.3">
      <c r="C228" t="str">
        <f>IF(NOT(ISBLANK(A229)),COUNTIFS(data!E:E,A228,data!N:N,"&lt;&gt;נסיעה ביומן אירועים",data!N:N,"&lt;&gt;נסיעות שלא ברישוי"),"")</f>
        <v/>
      </c>
      <c r="D228" s="29" t="str">
        <f t="shared" si="3"/>
        <v/>
      </c>
    </row>
    <row r="229" spans="3:4" x14ac:dyDescent="0.3">
      <c r="C229" t="str">
        <f>IF(NOT(ISBLANK(A230)),COUNTIFS(data!E:E,A229,data!N:N,"&lt;&gt;נסיעה ביומן אירועים",data!N:N,"&lt;&gt;נסיעות שלא ברישוי"),"")</f>
        <v/>
      </c>
      <c r="D229" s="29" t="str">
        <f t="shared" si="3"/>
        <v/>
      </c>
    </row>
    <row r="230" spans="3:4" x14ac:dyDescent="0.3">
      <c r="C230" t="str">
        <f>IF(NOT(ISBLANK(A231)),COUNTIFS(data!E:E,A230,data!N:N,"&lt;&gt;נסיעה ביומן אירועים",data!N:N,"&lt;&gt;נסיעות שלא ברישוי"),"")</f>
        <v/>
      </c>
      <c r="D230" s="29" t="str">
        <f t="shared" si="3"/>
        <v/>
      </c>
    </row>
    <row r="231" spans="3:4" x14ac:dyDescent="0.3">
      <c r="C231" t="str">
        <f>IF(NOT(ISBLANK(A232)),COUNTIFS(data!E:E,A231,data!N:N,"&lt;&gt;נסיעה ביומן אירועים",data!N:N,"&lt;&gt;נסיעות שלא ברישוי"),"")</f>
        <v/>
      </c>
      <c r="D231" s="29" t="str">
        <f t="shared" si="3"/>
        <v/>
      </c>
    </row>
    <row r="232" spans="3:4" x14ac:dyDescent="0.3">
      <c r="C232" t="str">
        <f>IF(NOT(ISBLANK(A233)),COUNTIFS(data!E:E,A232,data!N:N,"&lt;&gt;נסיעה ביומן אירועים",data!N:N,"&lt;&gt;נסיעות שלא ברישוי"),"")</f>
        <v/>
      </c>
      <c r="D232" s="29" t="str">
        <f t="shared" si="3"/>
        <v/>
      </c>
    </row>
    <row r="233" spans="3:4" x14ac:dyDescent="0.3">
      <c r="C233" t="str">
        <f>IF(NOT(ISBLANK(A234)),COUNTIFS(data!E:E,A233,data!N:N,"&lt;&gt;נסיעה ביומן אירועים",data!N:N,"&lt;&gt;נסיעות שלא ברישוי"),"")</f>
        <v/>
      </c>
      <c r="D233" s="29" t="str">
        <f t="shared" si="3"/>
        <v/>
      </c>
    </row>
    <row r="234" spans="3:4" x14ac:dyDescent="0.3">
      <c r="C234" t="str">
        <f>IF(NOT(ISBLANK(A235)),COUNTIFS(data!E:E,A234,data!N:N,"&lt;&gt;נסיעה ביומן אירועים",data!N:N,"&lt;&gt;נסיעות שלא ברישוי"),"")</f>
        <v/>
      </c>
      <c r="D234" s="29" t="str">
        <f t="shared" si="3"/>
        <v/>
      </c>
    </row>
    <row r="235" spans="3:4" x14ac:dyDescent="0.3">
      <c r="C235" t="str">
        <f>IF(NOT(ISBLANK(A236)),COUNTIFS(data!E:E,A235,data!N:N,"&lt;&gt;נסיעה ביומן אירועים",data!N:N,"&lt;&gt;נסיעות שלא ברישוי"),"")</f>
        <v/>
      </c>
      <c r="D235" s="29" t="str">
        <f t="shared" si="3"/>
        <v/>
      </c>
    </row>
    <row r="236" spans="3:4" x14ac:dyDescent="0.3">
      <c r="C236" t="str">
        <f>IF(NOT(ISBLANK(A237)),COUNTIFS(data!E:E,A236,data!N:N,"&lt;&gt;נסיעה ביומן אירועים",data!N:N,"&lt;&gt;נסיעות שלא ברישוי"),"")</f>
        <v/>
      </c>
      <c r="D236" s="29" t="str">
        <f t="shared" si="3"/>
        <v/>
      </c>
    </row>
    <row r="237" spans="3:4" x14ac:dyDescent="0.3">
      <c r="C237" t="str">
        <f>IF(NOT(ISBLANK(A238)),COUNTIFS(data!E:E,A237,data!N:N,"&lt;&gt;נסיעה ביומן אירועים",data!N:N,"&lt;&gt;נסיעות שלא ברישוי"),"")</f>
        <v/>
      </c>
      <c r="D237" s="29" t="str">
        <f t="shared" si="3"/>
        <v/>
      </c>
    </row>
    <row r="238" spans="3:4" x14ac:dyDescent="0.3">
      <c r="C238" t="str">
        <f>IF(NOT(ISBLANK(A239)),COUNTIFS(data!E:E,A238,data!N:N,"&lt;&gt;נסיעה ביומן אירועים",data!N:N,"&lt;&gt;נסיעות שלא ברישוי"),"")</f>
        <v/>
      </c>
      <c r="D238" s="29" t="str">
        <f t="shared" si="3"/>
        <v/>
      </c>
    </row>
    <row r="239" spans="3:4" x14ac:dyDescent="0.3">
      <c r="C239" t="str">
        <f>IF(NOT(ISBLANK(A240)),COUNTIFS(data!E:E,A239,data!N:N,"&lt;&gt;נסיעה ביומן אירועים",data!N:N,"&lt;&gt;נסיעות שלא ברישוי"),"")</f>
        <v/>
      </c>
      <c r="D239" s="29" t="str">
        <f t="shared" si="3"/>
        <v/>
      </c>
    </row>
    <row r="240" spans="3:4" x14ac:dyDescent="0.3">
      <c r="C240" t="str">
        <f>IF(NOT(ISBLANK(A241)),COUNTIFS(data!E:E,A240,data!N:N,"&lt;&gt;נסיעה ביומן אירועים",data!N:N,"&lt;&gt;נסיעות שלא ברישוי"),"")</f>
        <v/>
      </c>
      <c r="D240" s="29" t="str">
        <f t="shared" si="3"/>
        <v/>
      </c>
    </row>
    <row r="241" spans="3:4" x14ac:dyDescent="0.3">
      <c r="C241" t="str">
        <f>IF(NOT(ISBLANK(A242)),COUNTIFS(data!E:E,A241,data!N:N,"&lt;&gt;נסיעה ביומן אירועים",data!N:N,"&lt;&gt;נסיעות שלא ברישוי"),"")</f>
        <v/>
      </c>
      <c r="D241" s="29" t="str">
        <f t="shared" si="3"/>
        <v/>
      </c>
    </row>
    <row r="242" spans="3:4" x14ac:dyDescent="0.3">
      <c r="C242" t="str">
        <f>IF(NOT(ISBLANK(A243)),COUNTIFS(data!E:E,A242,data!N:N,"&lt;&gt;נסיעה ביומן אירועים",data!N:N,"&lt;&gt;נסיעות שלא ברישוי"),"")</f>
        <v/>
      </c>
      <c r="D242" s="29" t="str">
        <f t="shared" si="3"/>
        <v/>
      </c>
    </row>
    <row r="243" spans="3:4" x14ac:dyDescent="0.3">
      <c r="C243" t="str">
        <f>IF(NOT(ISBLANK(A244)),COUNTIFS(data!E:E,A243,data!N:N,"&lt;&gt;נסיעה ביומן אירועים",data!N:N,"&lt;&gt;נסיעות שלא ברישוי"),"")</f>
        <v/>
      </c>
      <c r="D243" s="29" t="str">
        <f t="shared" si="3"/>
        <v/>
      </c>
    </row>
    <row r="244" spans="3:4" x14ac:dyDescent="0.3">
      <c r="C244" t="str">
        <f>IF(NOT(ISBLANK(A245)),COUNTIFS(data!E:E,A244,data!N:N,"&lt;&gt;נסיעה ביומן אירועים",data!N:N,"&lt;&gt;נסיעות שלא ברישוי"),"")</f>
        <v/>
      </c>
      <c r="D244" s="29" t="str">
        <f t="shared" si="3"/>
        <v/>
      </c>
    </row>
    <row r="245" spans="3:4" x14ac:dyDescent="0.3">
      <c r="C245" t="str">
        <f>IF(NOT(ISBLANK(A246)),COUNTIFS(data!E:E,A245,data!N:N,"&lt;&gt;נסיעה ביומן אירועים",data!N:N,"&lt;&gt;נסיעות שלא ברישוי"),"")</f>
        <v/>
      </c>
      <c r="D245" s="29" t="str">
        <f t="shared" si="3"/>
        <v/>
      </c>
    </row>
    <row r="246" spans="3:4" x14ac:dyDescent="0.3">
      <c r="C246" t="str">
        <f>IF(NOT(ISBLANK(A247)),COUNTIFS(data!E:E,A246,data!N:N,"&lt;&gt;נסיעה ביומן אירועים",data!N:N,"&lt;&gt;נסיעות שלא ברישוי"),"")</f>
        <v/>
      </c>
      <c r="D246" s="29" t="str">
        <f t="shared" si="3"/>
        <v/>
      </c>
    </row>
    <row r="247" spans="3:4" x14ac:dyDescent="0.3">
      <c r="C247" t="str">
        <f>IF(NOT(ISBLANK(A248)),COUNTIFS(data!E:E,A247,data!N:N,"&lt;&gt;נסיעה ביומן אירועים",data!N:N,"&lt;&gt;נסיעות שלא ברישוי"),"")</f>
        <v/>
      </c>
      <c r="D247" s="29" t="str">
        <f t="shared" si="3"/>
        <v/>
      </c>
    </row>
    <row r="248" spans="3:4" x14ac:dyDescent="0.3">
      <c r="C248" t="str">
        <f>IF(NOT(ISBLANK(A249)),COUNTIFS(data!E:E,A248,data!N:N,"&lt;&gt;נסיעה ביומן אירועים",data!N:N,"&lt;&gt;נסיעות שלא ברישוי"),"")</f>
        <v/>
      </c>
      <c r="D248" s="29" t="str">
        <f t="shared" si="3"/>
        <v/>
      </c>
    </row>
    <row r="249" spans="3:4" x14ac:dyDescent="0.3">
      <c r="C249" t="str">
        <f>IF(NOT(ISBLANK(A250)),COUNTIFS(data!E:E,A249,data!N:N,"&lt;&gt;נסיעה ביומן אירועים",data!N:N,"&lt;&gt;נסיעות שלא ברישוי"),"")</f>
        <v/>
      </c>
      <c r="D249" s="29" t="str">
        <f t="shared" si="3"/>
        <v/>
      </c>
    </row>
    <row r="250" spans="3:4" x14ac:dyDescent="0.3">
      <c r="C250" t="str">
        <f>IF(NOT(ISBLANK(A251)),COUNTIFS(data!E:E,A250,data!N:N,"&lt;&gt;נסיעה ביומן אירועים",data!N:N,"&lt;&gt;נסיעות שלא ברישוי"),"")</f>
        <v/>
      </c>
      <c r="D250" s="29" t="str">
        <f t="shared" si="3"/>
        <v/>
      </c>
    </row>
  </sheetData>
  <conditionalFormatting sqref="D1:D1048576">
    <cfRule type="expression" dxfId="9" priority="2">
      <formula>AND(ISNUMBER($D1),$D1&gt;=4.5%)</formula>
    </cfRule>
  </conditionalFormatting>
  <conditionalFormatting sqref="A1:A1048576">
    <cfRule type="expression" dxfId="8" priority="1">
      <formula xml:space="preserve"> AND(ISNUMBER($A1),$D1&gt;=4.5%)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1"/>
  <dimension ref="A1:W1"/>
  <sheetViews>
    <sheetView rightToLeft="1" workbookViewId="0">
      <selection activeCell="A3" sqref="A3"/>
    </sheetView>
  </sheetViews>
  <sheetFormatPr defaultRowHeight="14" x14ac:dyDescent="0.3"/>
  <cols>
    <col min="1" max="1" width="13.75" style="28" customWidth="1"/>
    <col min="2" max="2" width="9.08203125" customWidth="1"/>
    <col min="3" max="3" width="15" customWidth="1"/>
    <col min="4" max="4" width="4.08203125" customWidth="1"/>
    <col min="5" max="5" width="12.08203125" customWidth="1"/>
    <col min="6" max="6" width="5.5" customWidth="1"/>
    <col min="7" max="7" width="5" customWidth="1"/>
    <col min="8" max="8" width="10.75" customWidth="1"/>
    <col min="9" max="9" width="23.08203125" style="34" customWidth="1"/>
    <col min="10" max="10" width="16.33203125" style="34" customWidth="1"/>
    <col min="11" max="11" width="25" customWidth="1"/>
    <col min="12" max="12" width="17.33203125" customWidth="1"/>
    <col min="13" max="13" width="15.25" customWidth="1"/>
    <col min="14" max="14" width="39.33203125" customWidth="1"/>
    <col min="15" max="15" width="14" customWidth="1"/>
    <col min="16" max="16" width="16.5" customWidth="1"/>
    <col min="17" max="17" width="17" customWidth="1"/>
    <col min="18" max="18" width="11.5" customWidth="1"/>
    <col min="19" max="19" width="17" customWidth="1"/>
    <col min="20" max="20" width="11.5" customWidth="1"/>
    <col min="21" max="21" width="11.25" customWidth="1"/>
    <col min="22" max="22" width="12.25" customWidth="1"/>
    <col min="23" max="23" width="18.33203125" customWidth="1"/>
  </cols>
  <sheetData>
    <row r="1" spans="1:23" x14ac:dyDescent="0.3">
      <c r="A1" s="28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s="34" t="s">
        <v>99</v>
      </c>
      <c r="J1" s="34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112</v>
      </c>
      <c r="V1" t="s">
        <v>131</v>
      </c>
      <c r="W1" t="s">
        <v>996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2"/>
  <dimension ref="A1:AP531"/>
  <sheetViews>
    <sheetView rightToLeft="1" workbookViewId="0">
      <selection activeCell="J2" sqref="J2:J531"/>
    </sheetView>
  </sheetViews>
  <sheetFormatPr defaultRowHeight="14" x14ac:dyDescent="0.3"/>
  <cols>
    <col min="1" max="1" width="9.83203125" customWidth="1"/>
    <col min="2" max="2" width="10.08203125" customWidth="1"/>
    <col min="4" max="4" width="10" customWidth="1"/>
    <col min="7" max="7" width="9.75" customWidth="1"/>
    <col min="8" max="8" width="10.25" customWidth="1"/>
    <col min="12" max="13" width="12.75" customWidth="1"/>
    <col min="14" max="14" width="13.58203125" customWidth="1"/>
    <col min="15" max="16" width="11.75" customWidth="1"/>
    <col min="17" max="17" width="12.58203125" customWidth="1"/>
    <col min="18" max="18" width="18.58203125" customWidth="1"/>
    <col min="19" max="19" width="12.5" customWidth="1"/>
    <col min="20" max="21" width="10.83203125" customWidth="1"/>
    <col min="22" max="22" width="11.33203125" customWidth="1"/>
    <col min="23" max="23" width="11.58203125" customWidth="1"/>
    <col min="24" max="24" width="11.5" customWidth="1"/>
    <col min="25" max="25" width="10.75" customWidth="1"/>
    <col min="26" max="26" width="18" customWidth="1"/>
    <col min="27" max="27" width="17.58203125" customWidth="1"/>
    <col min="28" max="28" width="12.83203125" customWidth="1"/>
    <col min="29" max="29" width="15.75" customWidth="1"/>
    <col min="30" max="30" width="18.83203125" customWidth="1"/>
    <col min="32" max="32" width="14.33203125" customWidth="1"/>
    <col min="33" max="33" width="13.25" customWidth="1"/>
    <col min="34" max="34" width="10.83203125" customWidth="1"/>
    <col min="35" max="35" width="9.83203125" customWidth="1"/>
    <col min="36" max="36" width="19.83203125" customWidth="1"/>
    <col min="37" max="37" width="19.08203125" customWidth="1"/>
    <col min="38" max="38" width="17.25" customWidth="1"/>
  </cols>
  <sheetData>
    <row r="1" spans="1:4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112</v>
      </c>
      <c r="K1" t="s">
        <v>988</v>
      </c>
      <c r="L1" t="s">
        <v>989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</row>
    <row r="2" spans="1:42" x14ac:dyDescent="0.3">
      <c r="A2" t="s">
        <v>39</v>
      </c>
      <c r="B2">
        <v>120</v>
      </c>
      <c r="C2" t="s">
        <v>40</v>
      </c>
      <c r="D2" t="s">
        <v>41</v>
      </c>
      <c r="E2" t="s">
        <v>984</v>
      </c>
      <c r="F2" t="s">
        <v>42</v>
      </c>
      <c r="G2" t="s">
        <v>43</v>
      </c>
      <c r="H2" t="s">
        <v>44</v>
      </c>
      <c r="I2">
        <v>22022</v>
      </c>
      <c r="J2" t="s">
        <v>41</v>
      </c>
      <c r="K2">
        <v>22</v>
      </c>
      <c r="L2" t="s">
        <v>985</v>
      </c>
      <c r="M2">
        <v>2</v>
      </c>
      <c r="N2" t="s">
        <v>134</v>
      </c>
      <c r="O2" t="s">
        <v>135</v>
      </c>
      <c r="P2">
        <v>140</v>
      </c>
      <c r="Q2" t="s">
        <v>136</v>
      </c>
      <c r="R2" t="s">
        <v>137</v>
      </c>
      <c r="S2">
        <v>122</v>
      </c>
      <c r="T2" t="s">
        <v>138</v>
      </c>
      <c r="U2" t="s">
        <v>139</v>
      </c>
      <c r="V2" t="s">
        <v>140</v>
      </c>
      <c r="W2" t="s">
        <v>141</v>
      </c>
      <c r="X2">
        <v>9564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>
        <v>12</v>
      </c>
      <c r="AE2">
        <v>67</v>
      </c>
      <c r="AF2">
        <v>14787</v>
      </c>
      <c r="AG2" t="s">
        <v>143</v>
      </c>
      <c r="AH2" t="s">
        <v>143</v>
      </c>
      <c r="AI2" t="s">
        <v>143</v>
      </c>
      <c r="AJ2" t="s">
        <v>143</v>
      </c>
      <c r="AK2" t="s">
        <v>143</v>
      </c>
      <c r="AL2" t="s">
        <v>147</v>
      </c>
      <c r="AM2">
        <v>640.79</v>
      </c>
      <c r="AN2" t="s">
        <v>148</v>
      </c>
      <c r="AO2" t="s">
        <v>149</v>
      </c>
      <c r="AP2" t="s">
        <v>43</v>
      </c>
    </row>
    <row r="3" spans="1:42" x14ac:dyDescent="0.3">
      <c r="A3" t="s">
        <v>39</v>
      </c>
      <c r="B3">
        <v>120</v>
      </c>
      <c r="C3" t="s">
        <v>40</v>
      </c>
      <c r="D3" t="s">
        <v>41</v>
      </c>
      <c r="E3" t="s">
        <v>986</v>
      </c>
      <c r="F3" t="s">
        <v>45</v>
      </c>
      <c r="G3" t="s">
        <v>43</v>
      </c>
      <c r="H3" t="s">
        <v>46</v>
      </c>
      <c r="I3">
        <v>22090</v>
      </c>
      <c r="J3" t="s">
        <v>41</v>
      </c>
      <c r="K3">
        <v>90</v>
      </c>
      <c r="L3" t="s">
        <v>985</v>
      </c>
      <c r="M3">
        <v>2</v>
      </c>
      <c r="N3" t="s">
        <v>134</v>
      </c>
      <c r="O3" t="s">
        <v>150</v>
      </c>
      <c r="P3">
        <v>112</v>
      </c>
      <c r="Q3" t="s">
        <v>151</v>
      </c>
      <c r="R3" t="s">
        <v>152</v>
      </c>
      <c r="S3">
        <v>2300</v>
      </c>
      <c r="T3" t="s">
        <v>153</v>
      </c>
      <c r="U3" t="s">
        <v>154</v>
      </c>
      <c r="V3" t="s">
        <v>155</v>
      </c>
      <c r="W3" t="s">
        <v>141</v>
      </c>
      <c r="X3">
        <v>17717</v>
      </c>
      <c r="Y3" t="s">
        <v>156</v>
      </c>
      <c r="Z3" t="s">
        <v>143</v>
      </c>
      <c r="AA3" t="s">
        <v>143</v>
      </c>
      <c r="AB3" t="s">
        <v>157</v>
      </c>
      <c r="AC3" t="s">
        <v>158</v>
      </c>
      <c r="AD3">
        <v>1</v>
      </c>
      <c r="AE3">
        <v>6</v>
      </c>
      <c r="AF3">
        <v>14153</v>
      </c>
      <c r="AG3" t="s">
        <v>143</v>
      </c>
      <c r="AH3" t="s">
        <v>143</v>
      </c>
      <c r="AI3" t="s">
        <v>143</v>
      </c>
      <c r="AJ3" t="s">
        <v>143</v>
      </c>
      <c r="AK3" t="s">
        <v>143</v>
      </c>
      <c r="AL3" t="s">
        <v>147</v>
      </c>
      <c r="AM3">
        <v>106.3</v>
      </c>
      <c r="AN3" t="s">
        <v>148</v>
      </c>
      <c r="AO3" t="s">
        <v>159</v>
      </c>
      <c r="AP3" t="s">
        <v>43</v>
      </c>
    </row>
    <row r="4" spans="1:42" x14ac:dyDescent="0.3">
      <c r="A4" t="s">
        <v>39</v>
      </c>
      <c r="B4">
        <v>120</v>
      </c>
      <c r="C4" t="s">
        <v>40</v>
      </c>
      <c r="D4" t="s">
        <v>41</v>
      </c>
      <c r="E4" t="s">
        <v>986</v>
      </c>
      <c r="F4" t="s">
        <v>45</v>
      </c>
      <c r="G4" t="s">
        <v>43</v>
      </c>
      <c r="H4" t="s">
        <v>46</v>
      </c>
      <c r="I4">
        <v>23095</v>
      </c>
      <c r="J4" t="s">
        <v>41</v>
      </c>
      <c r="K4">
        <v>95</v>
      </c>
      <c r="L4" t="s">
        <v>146</v>
      </c>
      <c r="M4">
        <v>1</v>
      </c>
      <c r="N4" t="s">
        <v>160</v>
      </c>
      <c r="O4" t="s">
        <v>161</v>
      </c>
      <c r="P4">
        <v>240</v>
      </c>
      <c r="Q4" t="s">
        <v>162</v>
      </c>
      <c r="R4" t="s">
        <v>163</v>
      </c>
      <c r="S4">
        <v>240</v>
      </c>
      <c r="T4" t="s">
        <v>162</v>
      </c>
      <c r="U4" t="s">
        <v>164</v>
      </c>
      <c r="V4" t="s">
        <v>165</v>
      </c>
      <c r="W4" t="s">
        <v>166</v>
      </c>
      <c r="X4">
        <v>16997</v>
      </c>
      <c r="Y4" t="s">
        <v>156</v>
      </c>
      <c r="Z4" t="s">
        <v>143</v>
      </c>
      <c r="AA4" t="s">
        <v>144</v>
      </c>
      <c r="AB4" t="s">
        <v>157</v>
      </c>
      <c r="AC4" t="s">
        <v>146</v>
      </c>
      <c r="AD4">
        <v>1</v>
      </c>
      <c r="AE4">
        <v>5</v>
      </c>
      <c r="AF4">
        <v>14155</v>
      </c>
      <c r="AG4" t="s">
        <v>143</v>
      </c>
      <c r="AH4" t="s">
        <v>143</v>
      </c>
      <c r="AI4" t="s">
        <v>143</v>
      </c>
      <c r="AJ4" t="s">
        <v>143</v>
      </c>
      <c r="AK4" t="s">
        <v>143</v>
      </c>
      <c r="AL4" t="s">
        <v>147</v>
      </c>
      <c r="AM4">
        <v>84.99</v>
      </c>
      <c r="AN4" t="s">
        <v>148</v>
      </c>
      <c r="AO4" t="s">
        <v>159</v>
      </c>
      <c r="AP4" t="s">
        <v>43</v>
      </c>
    </row>
    <row r="5" spans="1:42" x14ac:dyDescent="0.3">
      <c r="A5" t="s">
        <v>39</v>
      </c>
      <c r="B5">
        <v>120</v>
      </c>
      <c r="C5" t="s">
        <v>40</v>
      </c>
      <c r="D5" t="s">
        <v>41</v>
      </c>
      <c r="E5" t="s">
        <v>986</v>
      </c>
      <c r="F5" t="s">
        <v>45</v>
      </c>
      <c r="G5" t="s">
        <v>43</v>
      </c>
      <c r="H5" t="s">
        <v>46</v>
      </c>
      <c r="I5">
        <v>24097</v>
      </c>
      <c r="J5" t="s">
        <v>41</v>
      </c>
      <c r="K5">
        <v>97</v>
      </c>
      <c r="L5" t="s">
        <v>146</v>
      </c>
      <c r="M5">
        <v>1</v>
      </c>
      <c r="N5" t="s">
        <v>134</v>
      </c>
      <c r="O5" t="s">
        <v>167</v>
      </c>
      <c r="P5">
        <v>240</v>
      </c>
      <c r="Q5" t="s">
        <v>162</v>
      </c>
      <c r="R5" t="s">
        <v>163</v>
      </c>
      <c r="S5">
        <v>240</v>
      </c>
      <c r="T5" t="s">
        <v>162</v>
      </c>
      <c r="U5" t="s">
        <v>164</v>
      </c>
      <c r="V5" t="s">
        <v>165</v>
      </c>
      <c r="W5" t="s">
        <v>166</v>
      </c>
      <c r="X5">
        <v>11984</v>
      </c>
      <c r="Y5" t="s">
        <v>156</v>
      </c>
      <c r="Z5" t="s">
        <v>143</v>
      </c>
      <c r="AA5" t="s">
        <v>144</v>
      </c>
      <c r="AB5" t="s">
        <v>157</v>
      </c>
      <c r="AC5" t="s">
        <v>146</v>
      </c>
      <c r="AD5">
        <v>1</v>
      </c>
      <c r="AE5">
        <v>6</v>
      </c>
      <c r="AF5">
        <v>14163</v>
      </c>
      <c r="AG5" t="s">
        <v>143</v>
      </c>
      <c r="AH5" t="s">
        <v>143</v>
      </c>
      <c r="AI5" t="s">
        <v>143</v>
      </c>
      <c r="AJ5" t="s">
        <v>143</v>
      </c>
      <c r="AK5" t="s">
        <v>143</v>
      </c>
      <c r="AL5" t="s">
        <v>147</v>
      </c>
      <c r="AM5">
        <v>71.900000000000006</v>
      </c>
      <c r="AN5" t="s">
        <v>148</v>
      </c>
      <c r="AO5" t="s">
        <v>159</v>
      </c>
      <c r="AP5" t="s">
        <v>43</v>
      </c>
    </row>
    <row r="6" spans="1:42" x14ac:dyDescent="0.3">
      <c r="A6" t="s">
        <v>39</v>
      </c>
      <c r="B6">
        <v>120</v>
      </c>
      <c r="C6" t="s">
        <v>40</v>
      </c>
      <c r="D6" t="s">
        <v>41</v>
      </c>
      <c r="E6" t="s">
        <v>986</v>
      </c>
      <c r="F6" t="s">
        <v>45</v>
      </c>
      <c r="G6" t="s">
        <v>43</v>
      </c>
      <c r="H6" t="s">
        <v>46</v>
      </c>
      <c r="I6">
        <v>31082</v>
      </c>
      <c r="J6" t="s">
        <v>41</v>
      </c>
      <c r="K6">
        <v>82</v>
      </c>
      <c r="L6" t="s">
        <v>146</v>
      </c>
      <c r="M6">
        <v>2</v>
      </c>
      <c r="N6" t="s">
        <v>168</v>
      </c>
      <c r="O6" t="s">
        <v>169</v>
      </c>
      <c r="P6">
        <v>2300</v>
      </c>
      <c r="Q6" t="s">
        <v>153</v>
      </c>
      <c r="R6" t="s">
        <v>170</v>
      </c>
      <c r="S6">
        <v>2300</v>
      </c>
      <c r="T6" t="s">
        <v>153</v>
      </c>
      <c r="U6" t="s">
        <v>171</v>
      </c>
      <c r="V6" t="s">
        <v>172</v>
      </c>
      <c r="W6" t="s">
        <v>166</v>
      </c>
      <c r="X6">
        <v>9939</v>
      </c>
      <c r="Y6" t="s">
        <v>156</v>
      </c>
      <c r="Z6" t="s">
        <v>143</v>
      </c>
      <c r="AA6" t="s">
        <v>144</v>
      </c>
      <c r="AB6" t="s">
        <v>157</v>
      </c>
      <c r="AC6" t="s">
        <v>146</v>
      </c>
      <c r="AD6">
        <v>1</v>
      </c>
      <c r="AE6">
        <v>6</v>
      </c>
      <c r="AF6">
        <v>27140</v>
      </c>
      <c r="AG6" t="s">
        <v>143</v>
      </c>
      <c r="AH6" t="s">
        <v>143</v>
      </c>
      <c r="AI6" t="s">
        <v>143</v>
      </c>
      <c r="AJ6" t="s">
        <v>143</v>
      </c>
      <c r="AK6" t="s">
        <v>143</v>
      </c>
      <c r="AL6" t="s">
        <v>147</v>
      </c>
      <c r="AM6">
        <v>59.63</v>
      </c>
      <c r="AN6" t="s">
        <v>173</v>
      </c>
      <c r="AO6" t="s">
        <v>159</v>
      </c>
      <c r="AP6" t="s">
        <v>43</v>
      </c>
    </row>
    <row r="7" spans="1:42" x14ac:dyDescent="0.3">
      <c r="A7" t="s">
        <v>39</v>
      </c>
      <c r="B7">
        <v>120</v>
      </c>
      <c r="C7" t="s">
        <v>40</v>
      </c>
      <c r="D7" t="s">
        <v>41</v>
      </c>
      <c r="E7" t="s">
        <v>986</v>
      </c>
      <c r="F7" t="s">
        <v>45</v>
      </c>
      <c r="G7" t="s">
        <v>43</v>
      </c>
      <c r="H7" t="s">
        <v>44</v>
      </c>
      <c r="I7">
        <v>52019</v>
      </c>
      <c r="J7" t="s">
        <v>41</v>
      </c>
      <c r="K7">
        <v>19</v>
      </c>
      <c r="L7" t="s">
        <v>146</v>
      </c>
      <c r="M7">
        <v>2</v>
      </c>
      <c r="N7" t="s">
        <v>160</v>
      </c>
      <c r="O7" t="s">
        <v>174</v>
      </c>
      <c r="P7">
        <v>240</v>
      </c>
      <c r="Q7" t="s">
        <v>162</v>
      </c>
      <c r="R7" t="s">
        <v>175</v>
      </c>
      <c r="S7">
        <v>240</v>
      </c>
      <c r="T7" t="s">
        <v>162</v>
      </c>
      <c r="U7" t="s">
        <v>176</v>
      </c>
      <c r="V7" t="s">
        <v>177</v>
      </c>
      <c r="W7" t="s">
        <v>166</v>
      </c>
      <c r="X7">
        <v>12055</v>
      </c>
      <c r="Y7" t="s">
        <v>178</v>
      </c>
      <c r="Z7" t="s">
        <v>143</v>
      </c>
      <c r="AA7" t="s">
        <v>144</v>
      </c>
      <c r="AB7" t="s">
        <v>157</v>
      </c>
      <c r="AC7" t="s">
        <v>146</v>
      </c>
      <c r="AD7">
        <v>7</v>
      </c>
      <c r="AE7">
        <v>39</v>
      </c>
      <c r="AF7">
        <v>25404</v>
      </c>
      <c r="AG7" t="s">
        <v>143</v>
      </c>
      <c r="AH7" t="s">
        <v>143</v>
      </c>
      <c r="AI7" t="s">
        <v>143</v>
      </c>
      <c r="AJ7" t="s">
        <v>143</v>
      </c>
      <c r="AK7" t="s">
        <v>143</v>
      </c>
      <c r="AL7" t="s">
        <v>147</v>
      </c>
      <c r="AM7">
        <v>470.15</v>
      </c>
      <c r="AN7" t="s">
        <v>179</v>
      </c>
      <c r="AO7" t="s">
        <v>180</v>
      </c>
      <c r="AP7" t="s">
        <v>43</v>
      </c>
    </row>
    <row r="8" spans="1:42" x14ac:dyDescent="0.3">
      <c r="A8" t="s">
        <v>39</v>
      </c>
      <c r="B8">
        <v>120</v>
      </c>
      <c r="C8" t="s">
        <v>40</v>
      </c>
      <c r="D8" t="s">
        <v>41</v>
      </c>
      <c r="E8" t="s">
        <v>986</v>
      </c>
      <c r="F8" t="s">
        <v>45</v>
      </c>
      <c r="G8" t="s">
        <v>43</v>
      </c>
      <c r="H8" t="s">
        <v>47</v>
      </c>
      <c r="I8">
        <v>14157</v>
      </c>
      <c r="J8" t="s">
        <v>41</v>
      </c>
      <c r="K8">
        <v>157</v>
      </c>
      <c r="L8" t="s">
        <v>158</v>
      </c>
      <c r="M8">
        <v>2</v>
      </c>
      <c r="N8" t="s">
        <v>160</v>
      </c>
      <c r="O8" t="s">
        <v>181</v>
      </c>
      <c r="P8">
        <v>9800</v>
      </c>
      <c r="Q8" t="s">
        <v>182</v>
      </c>
      <c r="R8" t="s">
        <v>183</v>
      </c>
      <c r="S8">
        <v>240</v>
      </c>
      <c r="T8" t="s">
        <v>162</v>
      </c>
      <c r="U8" t="s">
        <v>184</v>
      </c>
      <c r="V8" t="s">
        <v>185</v>
      </c>
      <c r="W8" t="s">
        <v>141</v>
      </c>
      <c r="X8">
        <v>27073</v>
      </c>
      <c r="Y8" t="s">
        <v>178</v>
      </c>
      <c r="Z8" t="s">
        <v>143</v>
      </c>
      <c r="AA8" t="s">
        <v>143</v>
      </c>
      <c r="AB8" t="s">
        <v>157</v>
      </c>
      <c r="AC8" t="s">
        <v>158</v>
      </c>
      <c r="AD8">
        <v>4</v>
      </c>
      <c r="AE8">
        <v>23</v>
      </c>
      <c r="AF8">
        <v>20246</v>
      </c>
      <c r="AG8" t="s">
        <v>143</v>
      </c>
      <c r="AH8" t="s">
        <v>143</v>
      </c>
      <c r="AI8" t="s">
        <v>143</v>
      </c>
      <c r="AJ8" t="s">
        <v>143</v>
      </c>
      <c r="AK8" t="s">
        <v>143</v>
      </c>
      <c r="AL8" t="s">
        <v>147</v>
      </c>
      <c r="AM8">
        <v>622.67999999999995</v>
      </c>
      <c r="AN8" t="s">
        <v>186</v>
      </c>
      <c r="AO8" t="s">
        <v>187</v>
      </c>
      <c r="AP8" t="s">
        <v>43</v>
      </c>
    </row>
    <row r="9" spans="1:42" x14ac:dyDescent="0.3">
      <c r="A9" t="s">
        <v>39</v>
      </c>
      <c r="B9">
        <v>120</v>
      </c>
      <c r="C9" t="s">
        <v>40</v>
      </c>
      <c r="D9" t="s">
        <v>41</v>
      </c>
      <c r="E9" t="s">
        <v>986</v>
      </c>
      <c r="F9" t="s">
        <v>45</v>
      </c>
      <c r="G9" t="s">
        <v>43</v>
      </c>
      <c r="H9" t="s">
        <v>47</v>
      </c>
      <c r="I9">
        <v>25027</v>
      </c>
      <c r="J9" t="s">
        <v>41</v>
      </c>
      <c r="K9">
        <v>27</v>
      </c>
      <c r="L9" t="s">
        <v>158</v>
      </c>
      <c r="M9">
        <v>1</v>
      </c>
      <c r="N9" t="s">
        <v>160</v>
      </c>
      <c r="O9" t="s">
        <v>188</v>
      </c>
      <c r="P9">
        <v>4000</v>
      </c>
      <c r="Q9" t="s">
        <v>189</v>
      </c>
      <c r="R9" t="s">
        <v>190</v>
      </c>
      <c r="S9">
        <v>317</v>
      </c>
      <c r="T9" t="s">
        <v>191</v>
      </c>
      <c r="U9" t="s">
        <v>192</v>
      </c>
      <c r="V9" t="s">
        <v>193</v>
      </c>
      <c r="W9" t="s">
        <v>141</v>
      </c>
      <c r="X9">
        <v>7571</v>
      </c>
      <c r="Y9" t="s">
        <v>178</v>
      </c>
      <c r="Z9" t="s">
        <v>143</v>
      </c>
      <c r="AA9" t="s">
        <v>143</v>
      </c>
      <c r="AB9" t="s">
        <v>145</v>
      </c>
      <c r="AC9" t="s">
        <v>158</v>
      </c>
      <c r="AD9">
        <v>1</v>
      </c>
      <c r="AE9">
        <v>5</v>
      </c>
      <c r="AF9">
        <v>25876</v>
      </c>
      <c r="AG9" t="s">
        <v>143</v>
      </c>
      <c r="AH9" t="s">
        <v>143</v>
      </c>
      <c r="AI9" t="s">
        <v>143</v>
      </c>
      <c r="AJ9" t="s">
        <v>143</v>
      </c>
      <c r="AK9" t="s">
        <v>143</v>
      </c>
      <c r="AL9" t="s">
        <v>147</v>
      </c>
      <c r="AM9">
        <v>37.86</v>
      </c>
      <c r="AN9" t="s">
        <v>194</v>
      </c>
      <c r="AO9" t="s">
        <v>195</v>
      </c>
      <c r="AP9" t="s">
        <v>43</v>
      </c>
    </row>
    <row r="10" spans="1:42" x14ac:dyDescent="0.3">
      <c r="A10" t="s">
        <v>39</v>
      </c>
      <c r="B10">
        <v>120</v>
      </c>
      <c r="C10" t="s">
        <v>40</v>
      </c>
      <c r="D10" t="s">
        <v>41</v>
      </c>
      <c r="E10" t="s">
        <v>984</v>
      </c>
      <c r="F10" t="s">
        <v>45</v>
      </c>
      <c r="G10" t="s">
        <v>43</v>
      </c>
      <c r="H10" t="s">
        <v>48</v>
      </c>
      <c r="I10">
        <v>11302</v>
      </c>
      <c r="J10" t="s">
        <v>41</v>
      </c>
      <c r="K10">
        <v>302</v>
      </c>
      <c r="L10" t="s">
        <v>158</v>
      </c>
      <c r="M10">
        <v>2</v>
      </c>
      <c r="N10" t="s">
        <v>134</v>
      </c>
      <c r="O10" t="s">
        <v>196</v>
      </c>
      <c r="P10">
        <v>7700</v>
      </c>
      <c r="Q10" t="s">
        <v>49</v>
      </c>
      <c r="R10" t="s">
        <v>197</v>
      </c>
      <c r="S10">
        <v>4000</v>
      </c>
      <c r="T10" t="s">
        <v>189</v>
      </c>
      <c r="U10" t="s">
        <v>198</v>
      </c>
      <c r="V10" t="s">
        <v>199</v>
      </c>
      <c r="W10" t="s">
        <v>141</v>
      </c>
      <c r="X10">
        <v>49476</v>
      </c>
      <c r="Y10" t="s">
        <v>178</v>
      </c>
      <c r="Z10" t="s">
        <v>143</v>
      </c>
      <c r="AA10" t="s">
        <v>143</v>
      </c>
      <c r="AB10" t="s">
        <v>157</v>
      </c>
      <c r="AC10" t="s">
        <v>158</v>
      </c>
      <c r="AD10">
        <v>1</v>
      </c>
      <c r="AE10">
        <v>6</v>
      </c>
      <c r="AF10">
        <v>14187</v>
      </c>
      <c r="AG10" t="s">
        <v>143</v>
      </c>
      <c r="AH10" t="s">
        <v>143</v>
      </c>
      <c r="AI10" t="s">
        <v>143</v>
      </c>
      <c r="AJ10" t="s">
        <v>143</v>
      </c>
      <c r="AK10" t="s">
        <v>143</v>
      </c>
      <c r="AL10" t="s">
        <v>147</v>
      </c>
      <c r="AM10">
        <v>296.86</v>
      </c>
      <c r="AN10" t="s">
        <v>148</v>
      </c>
      <c r="AO10" t="s">
        <v>200</v>
      </c>
      <c r="AP10" t="s">
        <v>43</v>
      </c>
    </row>
    <row r="11" spans="1:42" x14ac:dyDescent="0.3">
      <c r="A11" t="s">
        <v>39</v>
      </c>
      <c r="B11">
        <v>120</v>
      </c>
      <c r="C11" t="s">
        <v>40</v>
      </c>
      <c r="D11" t="s">
        <v>41</v>
      </c>
      <c r="E11" t="s">
        <v>986</v>
      </c>
      <c r="F11" t="s">
        <v>45</v>
      </c>
      <c r="G11" t="s">
        <v>43</v>
      </c>
      <c r="H11" t="s">
        <v>46</v>
      </c>
      <c r="I11">
        <v>31082</v>
      </c>
      <c r="J11" t="s">
        <v>41</v>
      </c>
      <c r="K11">
        <v>82</v>
      </c>
      <c r="L11" t="s">
        <v>146</v>
      </c>
      <c r="M11">
        <v>2</v>
      </c>
      <c r="N11" t="s">
        <v>134</v>
      </c>
      <c r="O11" t="s">
        <v>169</v>
      </c>
      <c r="P11">
        <v>2300</v>
      </c>
      <c r="Q11" t="s">
        <v>153</v>
      </c>
      <c r="R11" t="s">
        <v>201</v>
      </c>
      <c r="S11">
        <v>2300</v>
      </c>
      <c r="T11" t="s">
        <v>153</v>
      </c>
      <c r="U11" t="s">
        <v>171</v>
      </c>
      <c r="V11" t="s">
        <v>172</v>
      </c>
      <c r="W11" t="s">
        <v>166</v>
      </c>
      <c r="X11">
        <v>10871</v>
      </c>
      <c r="Y11" t="s">
        <v>156</v>
      </c>
      <c r="Z11" t="s">
        <v>143</v>
      </c>
      <c r="AA11" t="s">
        <v>144</v>
      </c>
      <c r="AB11" t="s">
        <v>157</v>
      </c>
      <c r="AC11" t="s">
        <v>146</v>
      </c>
      <c r="AD11">
        <v>1</v>
      </c>
      <c r="AE11">
        <v>6</v>
      </c>
      <c r="AF11">
        <v>14140</v>
      </c>
      <c r="AG11" t="s">
        <v>143</v>
      </c>
      <c r="AH11" t="s">
        <v>143</v>
      </c>
      <c r="AI11" t="s">
        <v>143</v>
      </c>
      <c r="AJ11" t="s">
        <v>143</v>
      </c>
      <c r="AK11" t="s">
        <v>143</v>
      </c>
      <c r="AL11" t="s">
        <v>147</v>
      </c>
      <c r="AM11">
        <v>65.23</v>
      </c>
      <c r="AN11" t="s">
        <v>148</v>
      </c>
      <c r="AO11" t="s">
        <v>159</v>
      </c>
      <c r="AP11" t="s">
        <v>43</v>
      </c>
    </row>
    <row r="12" spans="1:42" x14ac:dyDescent="0.3">
      <c r="A12" t="s">
        <v>39</v>
      </c>
      <c r="B12">
        <v>120</v>
      </c>
      <c r="C12" t="s">
        <v>40</v>
      </c>
      <c r="D12" t="s">
        <v>41</v>
      </c>
      <c r="E12" t="s">
        <v>986</v>
      </c>
      <c r="F12" t="s">
        <v>45</v>
      </c>
      <c r="G12" t="s">
        <v>43</v>
      </c>
      <c r="H12" t="s">
        <v>46</v>
      </c>
      <c r="I12">
        <v>26085</v>
      </c>
      <c r="J12" t="s">
        <v>41</v>
      </c>
      <c r="K12">
        <v>85</v>
      </c>
      <c r="L12" t="s">
        <v>146</v>
      </c>
      <c r="M12">
        <v>2</v>
      </c>
      <c r="N12" t="s">
        <v>202</v>
      </c>
      <c r="O12" t="s">
        <v>203</v>
      </c>
      <c r="P12">
        <v>2300</v>
      </c>
      <c r="Q12" t="s">
        <v>153</v>
      </c>
      <c r="R12" t="s">
        <v>204</v>
      </c>
      <c r="S12">
        <v>2300</v>
      </c>
      <c r="T12" t="s">
        <v>153</v>
      </c>
      <c r="U12" t="s">
        <v>154</v>
      </c>
      <c r="V12" t="s">
        <v>205</v>
      </c>
      <c r="W12" t="s">
        <v>166</v>
      </c>
      <c r="X12">
        <v>7561</v>
      </c>
      <c r="Y12" t="s">
        <v>156</v>
      </c>
      <c r="Z12" t="s">
        <v>143</v>
      </c>
      <c r="AA12" t="s">
        <v>144</v>
      </c>
      <c r="AB12" t="s">
        <v>145</v>
      </c>
      <c r="AC12" t="s">
        <v>146</v>
      </c>
      <c r="AD12">
        <v>1</v>
      </c>
      <c r="AE12">
        <v>5</v>
      </c>
      <c r="AF12">
        <v>14818</v>
      </c>
      <c r="AG12" t="s">
        <v>143</v>
      </c>
      <c r="AH12" t="s">
        <v>143</v>
      </c>
      <c r="AI12" t="s">
        <v>143</v>
      </c>
      <c r="AJ12" t="s">
        <v>143</v>
      </c>
      <c r="AK12" t="s">
        <v>143</v>
      </c>
      <c r="AL12" t="s">
        <v>147</v>
      </c>
      <c r="AM12">
        <v>37.81</v>
      </c>
      <c r="AN12" t="s">
        <v>148</v>
      </c>
      <c r="AO12" t="s">
        <v>206</v>
      </c>
      <c r="AP12" t="s">
        <v>43</v>
      </c>
    </row>
    <row r="13" spans="1:42" x14ac:dyDescent="0.3">
      <c r="A13" t="s">
        <v>39</v>
      </c>
      <c r="B13">
        <v>120</v>
      </c>
      <c r="C13" t="s">
        <v>40</v>
      </c>
      <c r="D13" t="s">
        <v>41</v>
      </c>
      <c r="E13" t="s">
        <v>986</v>
      </c>
      <c r="F13" t="s">
        <v>45</v>
      </c>
      <c r="G13" t="s">
        <v>43</v>
      </c>
      <c r="H13" t="s">
        <v>48</v>
      </c>
      <c r="I13">
        <v>21075</v>
      </c>
      <c r="J13" t="s">
        <v>41</v>
      </c>
      <c r="K13">
        <v>75</v>
      </c>
      <c r="L13" t="s">
        <v>158</v>
      </c>
      <c r="M13">
        <v>2</v>
      </c>
      <c r="N13" t="s">
        <v>160</v>
      </c>
      <c r="O13" t="s">
        <v>207</v>
      </c>
      <c r="P13">
        <v>944</v>
      </c>
      <c r="Q13" t="s">
        <v>208</v>
      </c>
      <c r="R13" t="s">
        <v>209</v>
      </c>
      <c r="S13">
        <v>4000</v>
      </c>
      <c r="T13" t="s">
        <v>189</v>
      </c>
      <c r="U13" t="s">
        <v>198</v>
      </c>
      <c r="V13" t="s">
        <v>199</v>
      </c>
      <c r="W13" t="s">
        <v>141</v>
      </c>
      <c r="X13">
        <v>20624</v>
      </c>
      <c r="Y13" t="s">
        <v>178</v>
      </c>
      <c r="Z13" t="s">
        <v>144</v>
      </c>
      <c r="AA13" t="s">
        <v>143</v>
      </c>
      <c r="AB13" t="s">
        <v>157</v>
      </c>
      <c r="AC13" t="s">
        <v>158</v>
      </c>
      <c r="AD13">
        <v>12</v>
      </c>
      <c r="AE13">
        <v>69</v>
      </c>
      <c r="AF13">
        <v>14137</v>
      </c>
      <c r="AG13" t="s">
        <v>143</v>
      </c>
      <c r="AH13" t="s">
        <v>143</v>
      </c>
      <c r="AI13" t="s">
        <v>143</v>
      </c>
      <c r="AJ13" t="s">
        <v>143</v>
      </c>
      <c r="AK13" t="s">
        <v>143</v>
      </c>
      <c r="AL13" t="s">
        <v>147</v>
      </c>
      <c r="AM13">
        <v>1423.06</v>
      </c>
      <c r="AN13" t="s">
        <v>148</v>
      </c>
      <c r="AO13" t="s">
        <v>210</v>
      </c>
      <c r="AP13" t="s">
        <v>43</v>
      </c>
    </row>
    <row r="14" spans="1:42" x14ac:dyDescent="0.3">
      <c r="A14" t="s">
        <v>39</v>
      </c>
      <c r="B14">
        <v>120</v>
      </c>
      <c r="C14" t="s">
        <v>40</v>
      </c>
      <c r="D14" t="s">
        <v>41</v>
      </c>
      <c r="E14" t="s">
        <v>986</v>
      </c>
      <c r="F14" t="s">
        <v>45</v>
      </c>
      <c r="G14" t="s">
        <v>43</v>
      </c>
      <c r="H14" t="s">
        <v>44</v>
      </c>
      <c r="I14">
        <v>52019</v>
      </c>
      <c r="J14" t="s">
        <v>41</v>
      </c>
      <c r="K14">
        <v>19</v>
      </c>
      <c r="L14" t="s">
        <v>146</v>
      </c>
      <c r="M14">
        <v>1</v>
      </c>
      <c r="N14" t="s">
        <v>160</v>
      </c>
      <c r="O14" t="s">
        <v>174</v>
      </c>
      <c r="P14">
        <v>240</v>
      </c>
      <c r="Q14" t="s">
        <v>162</v>
      </c>
      <c r="R14" t="s">
        <v>176</v>
      </c>
      <c r="S14">
        <v>240</v>
      </c>
      <c r="T14" t="s">
        <v>162</v>
      </c>
      <c r="U14" t="s">
        <v>175</v>
      </c>
      <c r="V14" t="s">
        <v>211</v>
      </c>
      <c r="W14" t="s">
        <v>166</v>
      </c>
      <c r="X14">
        <v>10389</v>
      </c>
      <c r="Y14" t="s">
        <v>178</v>
      </c>
      <c r="Z14" t="s">
        <v>143</v>
      </c>
      <c r="AA14" t="s">
        <v>144</v>
      </c>
      <c r="AB14" t="s">
        <v>157</v>
      </c>
      <c r="AC14" t="s">
        <v>146</v>
      </c>
      <c r="AD14">
        <v>3</v>
      </c>
      <c r="AE14">
        <v>16</v>
      </c>
      <c r="AF14">
        <v>25402</v>
      </c>
      <c r="AG14" t="s">
        <v>143</v>
      </c>
      <c r="AH14" t="s">
        <v>143</v>
      </c>
      <c r="AI14" t="s">
        <v>143</v>
      </c>
      <c r="AJ14" t="s">
        <v>143</v>
      </c>
      <c r="AK14" t="s">
        <v>143</v>
      </c>
      <c r="AL14" t="s">
        <v>147</v>
      </c>
      <c r="AM14">
        <v>166.22</v>
      </c>
      <c r="AN14" t="s">
        <v>179</v>
      </c>
      <c r="AO14" t="s">
        <v>180</v>
      </c>
      <c r="AP14" t="s">
        <v>43</v>
      </c>
    </row>
    <row r="15" spans="1:42" x14ac:dyDescent="0.3">
      <c r="A15" t="s">
        <v>39</v>
      </c>
      <c r="B15">
        <v>120</v>
      </c>
      <c r="C15" t="s">
        <v>40</v>
      </c>
      <c r="D15" t="s">
        <v>41</v>
      </c>
      <c r="E15" t="s">
        <v>986</v>
      </c>
      <c r="F15" t="s">
        <v>45</v>
      </c>
      <c r="G15" t="s">
        <v>43</v>
      </c>
      <c r="H15" t="s">
        <v>48</v>
      </c>
      <c r="I15">
        <v>16050</v>
      </c>
      <c r="J15" t="s">
        <v>41</v>
      </c>
      <c r="K15">
        <v>50</v>
      </c>
      <c r="L15" t="s">
        <v>158</v>
      </c>
      <c r="M15">
        <v>2</v>
      </c>
      <c r="N15" t="s">
        <v>168</v>
      </c>
      <c r="O15" t="s">
        <v>212</v>
      </c>
      <c r="P15">
        <v>240</v>
      </c>
      <c r="Q15" t="s">
        <v>162</v>
      </c>
      <c r="R15" t="s">
        <v>184</v>
      </c>
      <c r="S15">
        <v>4000</v>
      </c>
      <c r="T15" t="s">
        <v>189</v>
      </c>
      <c r="U15" t="s">
        <v>213</v>
      </c>
      <c r="V15" t="s">
        <v>214</v>
      </c>
      <c r="W15" t="s">
        <v>141</v>
      </c>
      <c r="X15">
        <v>34615</v>
      </c>
      <c r="Y15" t="s">
        <v>178</v>
      </c>
      <c r="Z15" t="s">
        <v>144</v>
      </c>
      <c r="AA15" t="s">
        <v>143</v>
      </c>
      <c r="AB15" t="s">
        <v>157</v>
      </c>
      <c r="AC15" t="s">
        <v>158</v>
      </c>
      <c r="AD15">
        <v>0</v>
      </c>
      <c r="AE15">
        <v>3</v>
      </c>
      <c r="AF15">
        <v>25875</v>
      </c>
      <c r="AG15" t="s">
        <v>143</v>
      </c>
      <c r="AH15" t="s">
        <v>143</v>
      </c>
      <c r="AI15" t="s">
        <v>143</v>
      </c>
      <c r="AJ15" t="s">
        <v>143</v>
      </c>
      <c r="AK15" t="s">
        <v>143</v>
      </c>
      <c r="AL15" t="s">
        <v>147</v>
      </c>
      <c r="AM15">
        <v>103.85</v>
      </c>
      <c r="AN15" t="s">
        <v>194</v>
      </c>
      <c r="AO15" t="s">
        <v>215</v>
      </c>
      <c r="AP15" t="s">
        <v>43</v>
      </c>
    </row>
    <row r="16" spans="1:42" x14ac:dyDescent="0.3">
      <c r="A16" t="s">
        <v>39</v>
      </c>
      <c r="B16">
        <v>120</v>
      </c>
      <c r="C16" t="s">
        <v>40</v>
      </c>
      <c r="D16" t="s">
        <v>41</v>
      </c>
      <c r="E16" t="s">
        <v>986</v>
      </c>
      <c r="F16" t="s">
        <v>45</v>
      </c>
      <c r="G16" t="s">
        <v>43</v>
      </c>
      <c r="H16" t="s">
        <v>47</v>
      </c>
      <c r="I16">
        <v>14157</v>
      </c>
      <c r="J16" t="s">
        <v>41</v>
      </c>
      <c r="K16">
        <v>157</v>
      </c>
      <c r="L16" t="s">
        <v>158</v>
      </c>
      <c r="M16">
        <v>1</v>
      </c>
      <c r="N16" t="s">
        <v>160</v>
      </c>
      <c r="O16" t="s">
        <v>181</v>
      </c>
      <c r="P16">
        <v>240</v>
      </c>
      <c r="Q16" t="s">
        <v>162</v>
      </c>
      <c r="R16" t="s">
        <v>184</v>
      </c>
      <c r="S16">
        <v>9800</v>
      </c>
      <c r="T16" t="s">
        <v>182</v>
      </c>
      <c r="U16" t="s">
        <v>183</v>
      </c>
      <c r="V16" t="s">
        <v>216</v>
      </c>
      <c r="W16" t="s">
        <v>141</v>
      </c>
      <c r="X16">
        <v>27089</v>
      </c>
      <c r="Y16" t="s">
        <v>178</v>
      </c>
      <c r="Z16" t="s">
        <v>143</v>
      </c>
      <c r="AA16" t="s">
        <v>143</v>
      </c>
      <c r="AB16" t="s">
        <v>157</v>
      </c>
      <c r="AC16" t="s">
        <v>158</v>
      </c>
      <c r="AD16">
        <v>6</v>
      </c>
      <c r="AE16">
        <v>32</v>
      </c>
      <c r="AF16">
        <v>20245</v>
      </c>
      <c r="AG16" t="s">
        <v>143</v>
      </c>
      <c r="AH16" t="s">
        <v>143</v>
      </c>
      <c r="AI16" t="s">
        <v>143</v>
      </c>
      <c r="AJ16" t="s">
        <v>143</v>
      </c>
      <c r="AK16" t="s">
        <v>143</v>
      </c>
      <c r="AL16" t="s">
        <v>147</v>
      </c>
      <c r="AM16">
        <v>866.85</v>
      </c>
      <c r="AN16" t="s">
        <v>186</v>
      </c>
      <c r="AO16" t="s">
        <v>217</v>
      </c>
      <c r="AP16" t="s">
        <v>43</v>
      </c>
    </row>
    <row r="17" spans="1:42" x14ac:dyDescent="0.3">
      <c r="A17" t="s">
        <v>39</v>
      </c>
      <c r="B17">
        <v>120</v>
      </c>
      <c r="C17" t="s">
        <v>40</v>
      </c>
      <c r="D17" t="s">
        <v>41</v>
      </c>
      <c r="E17" t="s">
        <v>986</v>
      </c>
      <c r="F17" t="s">
        <v>45</v>
      </c>
      <c r="G17" t="s">
        <v>43</v>
      </c>
      <c r="H17" t="s">
        <v>48</v>
      </c>
      <c r="I17">
        <v>21016</v>
      </c>
      <c r="J17" t="s">
        <v>41</v>
      </c>
      <c r="K17">
        <v>16</v>
      </c>
      <c r="L17" t="s">
        <v>146</v>
      </c>
      <c r="M17">
        <v>2</v>
      </c>
      <c r="N17" t="s">
        <v>134</v>
      </c>
      <c r="O17" t="s">
        <v>218</v>
      </c>
      <c r="P17">
        <v>240</v>
      </c>
      <c r="Q17" t="s">
        <v>162</v>
      </c>
      <c r="R17" t="s">
        <v>175</v>
      </c>
      <c r="S17">
        <v>240</v>
      </c>
      <c r="T17" t="s">
        <v>162</v>
      </c>
      <c r="U17" t="s">
        <v>219</v>
      </c>
      <c r="V17" t="s">
        <v>220</v>
      </c>
      <c r="W17" t="s">
        <v>166</v>
      </c>
      <c r="X17">
        <v>10089</v>
      </c>
      <c r="Y17" t="s">
        <v>178</v>
      </c>
      <c r="Z17" t="s">
        <v>144</v>
      </c>
      <c r="AA17" t="s">
        <v>144</v>
      </c>
      <c r="AB17" t="s">
        <v>157</v>
      </c>
      <c r="AC17" t="s">
        <v>146</v>
      </c>
      <c r="AD17">
        <v>51</v>
      </c>
      <c r="AE17">
        <v>293</v>
      </c>
      <c r="AF17">
        <v>25393</v>
      </c>
      <c r="AG17" t="s">
        <v>143</v>
      </c>
      <c r="AH17" t="s">
        <v>143</v>
      </c>
      <c r="AI17" t="s">
        <v>143</v>
      </c>
      <c r="AJ17" t="s">
        <v>143</v>
      </c>
      <c r="AK17" t="s">
        <v>143</v>
      </c>
      <c r="AL17" t="s">
        <v>147</v>
      </c>
      <c r="AM17">
        <v>2956.08</v>
      </c>
      <c r="AN17" t="s">
        <v>179</v>
      </c>
      <c r="AO17" t="s">
        <v>50</v>
      </c>
      <c r="AP17" t="s">
        <v>43</v>
      </c>
    </row>
    <row r="18" spans="1:42" x14ac:dyDescent="0.3">
      <c r="A18" t="s">
        <v>39</v>
      </c>
      <c r="B18">
        <v>120</v>
      </c>
      <c r="C18" t="s">
        <v>40</v>
      </c>
      <c r="D18" t="s">
        <v>41</v>
      </c>
      <c r="E18" t="s">
        <v>986</v>
      </c>
      <c r="F18" t="s">
        <v>42</v>
      </c>
      <c r="G18" t="s">
        <v>43</v>
      </c>
      <c r="H18" t="s">
        <v>48</v>
      </c>
      <c r="I18">
        <v>13180</v>
      </c>
      <c r="J18" t="s">
        <v>41</v>
      </c>
      <c r="K18">
        <v>180</v>
      </c>
      <c r="L18" t="s">
        <v>158</v>
      </c>
      <c r="M18">
        <v>2</v>
      </c>
      <c r="N18" t="s">
        <v>160</v>
      </c>
      <c r="O18" t="s">
        <v>221</v>
      </c>
      <c r="P18">
        <v>586</v>
      </c>
      <c r="Q18" t="s">
        <v>222</v>
      </c>
      <c r="R18" t="s">
        <v>223</v>
      </c>
      <c r="S18">
        <v>4000</v>
      </c>
      <c r="T18" t="s">
        <v>189</v>
      </c>
      <c r="U18" t="s">
        <v>198</v>
      </c>
      <c r="V18" t="s">
        <v>199</v>
      </c>
      <c r="W18" t="s">
        <v>141</v>
      </c>
      <c r="X18">
        <v>25616</v>
      </c>
      <c r="Y18" t="s">
        <v>178</v>
      </c>
      <c r="Z18" t="s">
        <v>143</v>
      </c>
      <c r="AA18" t="s">
        <v>143</v>
      </c>
      <c r="AB18" t="s">
        <v>157</v>
      </c>
      <c r="AC18" t="s">
        <v>158</v>
      </c>
      <c r="AD18">
        <v>1</v>
      </c>
      <c r="AE18">
        <v>5</v>
      </c>
      <c r="AF18">
        <v>14168</v>
      </c>
      <c r="AG18" t="s">
        <v>143</v>
      </c>
      <c r="AH18" t="s">
        <v>143</v>
      </c>
      <c r="AI18" t="s">
        <v>143</v>
      </c>
      <c r="AJ18" t="s">
        <v>143</v>
      </c>
      <c r="AK18" t="s">
        <v>143</v>
      </c>
      <c r="AL18" t="s">
        <v>147</v>
      </c>
      <c r="AM18">
        <v>128.08000000000001</v>
      </c>
      <c r="AN18" t="s">
        <v>148</v>
      </c>
      <c r="AO18" t="s">
        <v>215</v>
      </c>
      <c r="AP18" t="s">
        <v>43</v>
      </c>
    </row>
    <row r="19" spans="1:42" x14ac:dyDescent="0.3">
      <c r="A19" t="s">
        <v>39</v>
      </c>
      <c r="B19">
        <v>120</v>
      </c>
      <c r="C19" t="s">
        <v>40</v>
      </c>
      <c r="D19" t="s">
        <v>41</v>
      </c>
      <c r="E19" t="s">
        <v>986</v>
      </c>
      <c r="F19" t="s">
        <v>50</v>
      </c>
      <c r="G19" t="s">
        <v>43</v>
      </c>
      <c r="H19" t="s">
        <v>48</v>
      </c>
      <c r="I19">
        <v>13180</v>
      </c>
      <c r="J19" t="s">
        <v>41</v>
      </c>
      <c r="K19">
        <v>180</v>
      </c>
      <c r="L19" t="s">
        <v>158</v>
      </c>
      <c r="M19">
        <v>2</v>
      </c>
      <c r="N19" t="s">
        <v>134</v>
      </c>
      <c r="O19" t="s">
        <v>221</v>
      </c>
      <c r="P19">
        <v>240</v>
      </c>
      <c r="Q19" t="s">
        <v>162</v>
      </c>
      <c r="R19" t="s">
        <v>175</v>
      </c>
      <c r="S19">
        <v>4000</v>
      </c>
      <c r="T19" t="s">
        <v>189</v>
      </c>
      <c r="U19" t="s">
        <v>198</v>
      </c>
      <c r="V19" t="s">
        <v>199</v>
      </c>
      <c r="W19" t="s">
        <v>141</v>
      </c>
      <c r="X19">
        <v>22398</v>
      </c>
      <c r="Y19" t="s">
        <v>178</v>
      </c>
      <c r="Z19" t="s">
        <v>143</v>
      </c>
      <c r="AA19" t="s">
        <v>143</v>
      </c>
      <c r="AB19" t="s">
        <v>157</v>
      </c>
      <c r="AC19" t="s">
        <v>158</v>
      </c>
      <c r="AD19">
        <v>22</v>
      </c>
      <c r="AE19">
        <v>127</v>
      </c>
      <c r="AF19">
        <v>14167</v>
      </c>
      <c r="AG19" t="s">
        <v>143</v>
      </c>
      <c r="AH19" t="s">
        <v>143</v>
      </c>
      <c r="AI19" t="s">
        <v>143</v>
      </c>
      <c r="AJ19" t="s">
        <v>143</v>
      </c>
      <c r="AK19" t="s">
        <v>143</v>
      </c>
      <c r="AL19" t="s">
        <v>147</v>
      </c>
      <c r="AM19">
        <v>2844.55</v>
      </c>
      <c r="AN19" t="s">
        <v>148</v>
      </c>
      <c r="AO19" t="s">
        <v>50</v>
      </c>
      <c r="AP19" t="s">
        <v>43</v>
      </c>
    </row>
    <row r="20" spans="1:42" x14ac:dyDescent="0.3">
      <c r="A20" t="s">
        <v>39</v>
      </c>
      <c r="B20">
        <v>120</v>
      </c>
      <c r="C20" t="s">
        <v>40</v>
      </c>
      <c r="D20" t="s">
        <v>41</v>
      </c>
      <c r="E20" t="s">
        <v>986</v>
      </c>
      <c r="F20" t="s">
        <v>50</v>
      </c>
      <c r="G20" t="s">
        <v>43</v>
      </c>
      <c r="H20" t="s">
        <v>48</v>
      </c>
      <c r="I20">
        <v>20009</v>
      </c>
      <c r="J20" t="s">
        <v>41</v>
      </c>
      <c r="K20">
        <v>9</v>
      </c>
      <c r="L20" t="s">
        <v>146</v>
      </c>
      <c r="M20">
        <v>2</v>
      </c>
      <c r="N20" t="s">
        <v>168</v>
      </c>
      <c r="O20" t="s">
        <v>224</v>
      </c>
      <c r="P20">
        <v>140</v>
      </c>
      <c r="Q20" t="s">
        <v>136</v>
      </c>
      <c r="R20" t="s">
        <v>137</v>
      </c>
      <c r="S20">
        <v>1284</v>
      </c>
      <c r="T20" t="s">
        <v>225</v>
      </c>
      <c r="U20" t="s">
        <v>226</v>
      </c>
      <c r="V20" t="s">
        <v>227</v>
      </c>
      <c r="W20" t="s">
        <v>166</v>
      </c>
      <c r="X20">
        <v>26247</v>
      </c>
      <c r="Y20" t="s">
        <v>178</v>
      </c>
      <c r="Z20" t="s">
        <v>143</v>
      </c>
      <c r="AA20" t="s">
        <v>144</v>
      </c>
      <c r="AB20" t="s">
        <v>145</v>
      </c>
      <c r="AC20" t="s">
        <v>146</v>
      </c>
      <c r="AD20">
        <v>0</v>
      </c>
      <c r="AE20">
        <v>2</v>
      </c>
      <c r="AF20">
        <v>16515</v>
      </c>
      <c r="AG20" t="s">
        <v>143</v>
      </c>
      <c r="AH20" t="s">
        <v>143</v>
      </c>
      <c r="AI20" t="s">
        <v>143</v>
      </c>
      <c r="AJ20" t="s">
        <v>143</v>
      </c>
      <c r="AK20" t="s">
        <v>143</v>
      </c>
      <c r="AL20" t="s">
        <v>147</v>
      </c>
      <c r="AM20">
        <v>52.49</v>
      </c>
      <c r="AN20" t="s">
        <v>228</v>
      </c>
      <c r="AO20" t="s">
        <v>50</v>
      </c>
      <c r="AP20" t="s">
        <v>43</v>
      </c>
    </row>
    <row r="21" spans="1:42" x14ac:dyDescent="0.3">
      <c r="A21" t="s">
        <v>39</v>
      </c>
      <c r="B21">
        <v>120</v>
      </c>
      <c r="C21" t="s">
        <v>40</v>
      </c>
      <c r="D21" t="s">
        <v>49</v>
      </c>
      <c r="E21" t="s">
        <v>984</v>
      </c>
      <c r="F21" t="s">
        <v>45</v>
      </c>
      <c r="G21" t="s">
        <v>43</v>
      </c>
      <c r="H21" t="s">
        <v>48</v>
      </c>
      <c r="I21">
        <v>19046</v>
      </c>
      <c r="J21" t="s">
        <v>49</v>
      </c>
      <c r="K21">
        <v>46</v>
      </c>
      <c r="L21" t="s">
        <v>985</v>
      </c>
      <c r="M21">
        <v>1</v>
      </c>
      <c r="N21" t="s">
        <v>160</v>
      </c>
      <c r="O21" t="s">
        <v>229</v>
      </c>
      <c r="P21">
        <v>7700</v>
      </c>
      <c r="Q21" t="s">
        <v>49</v>
      </c>
      <c r="R21" t="s">
        <v>197</v>
      </c>
      <c r="S21">
        <v>1840</v>
      </c>
      <c r="T21" t="s">
        <v>230</v>
      </c>
      <c r="U21" t="s">
        <v>231</v>
      </c>
      <c r="V21" t="s">
        <v>232</v>
      </c>
      <c r="W21" t="s">
        <v>141</v>
      </c>
      <c r="X21">
        <v>13709</v>
      </c>
      <c r="Y21" t="s">
        <v>178</v>
      </c>
      <c r="Z21" t="s">
        <v>143</v>
      </c>
      <c r="AA21" t="s">
        <v>143</v>
      </c>
      <c r="AB21" t="s">
        <v>157</v>
      </c>
      <c r="AC21" t="s">
        <v>158</v>
      </c>
      <c r="AD21">
        <v>2</v>
      </c>
      <c r="AE21">
        <v>11</v>
      </c>
      <c r="AF21">
        <v>15108</v>
      </c>
      <c r="AG21" t="s">
        <v>143</v>
      </c>
      <c r="AH21" t="s">
        <v>143</v>
      </c>
      <c r="AI21" t="s">
        <v>143</v>
      </c>
      <c r="AJ21" t="s">
        <v>143</v>
      </c>
      <c r="AK21" t="s">
        <v>143</v>
      </c>
      <c r="AL21" t="s">
        <v>147</v>
      </c>
      <c r="AM21">
        <v>150.80000000000001</v>
      </c>
      <c r="AN21" t="s">
        <v>233</v>
      </c>
      <c r="AO21" t="s">
        <v>200</v>
      </c>
      <c r="AP21" t="s">
        <v>43</v>
      </c>
    </row>
    <row r="22" spans="1:42" x14ac:dyDescent="0.3">
      <c r="A22" t="s">
        <v>39</v>
      </c>
      <c r="B22">
        <v>120</v>
      </c>
      <c r="C22" t="s">
        <v>40</v>
      </c>
      <c r="D22" t="s">
        <v>49</v>
      </c>
      <c r="E22" t="s">
        <v>984</v>
      </c>
      <c r="F22" t="s">
        <v>45</v>
      </c>
      <c r="G22" t="s">
        <v>43</v>
      </c>
      <c r="H22" t="s">
        <v>48</v>
      </c>
      <c r="I22">
        <v>14352</v>
      </c>
      <c r="J22" t="s">
        <v>49</v>
      </c>
      <c r="K22">
        <v>352</v>
      </c>
      <c r="L22" t="s">
        <v>158</v>
      </c>
      <c r="M22">
        <v>1</v>
      </c>
      <c r="N22" t="s">
        <v>134</v>
      </c>
      <c r="O22" t="s">
        <v>234</v>
      </c>
      <c r="P22">
        <v>874</v>
      </c>
      <c r="Q22" t="s">
        <v>235</v>
      </c>
      <c r="R22" t="s">
        <v>236</v>
      </c>
      <c r="S22">
        <v>913</v>
      </c>
      <c r="T22" t="s">
        <v>237</v>
      </c>
      <c r="U22" t="s">
        <v>238</v>
      </c>
      <c r="V22" t="s">
        <v>239</v>
      </c>
      <c r="W22" t="s">
        <v>141</v>
      </c>
      <c r="X22">
        <v>38856</v>
      </c>
      <c r="Y22" t="s">
        <v>178</v>
      </c>
      <c r="Z22" t="s">
        <v>143</v>
      </c>
      <c r="AA22" t="s">
        <v>143</v>
      </c>
      <c r="AB22" t="s">
        <v>157</v>
      </c>
      <c r="AC22" t="s">
        <v>158</v>
      </c>
      <c r="AD22">
        <v>12</v>
      </c>
      <c r="AE22">
        <v>70</v>
      </c>
      <c r="AF22">
        <v>18242</v>
      </c>
      <c r="AG22" t="s">
        <v>143</v>
      </c>
      <c r="AH22" t="s">
        <v>143</v>
      </c>
      <c r="AI22" t="s">
        <v>143</v>
      </c>
      <c r="AJ22" t="s">
        <v>143</v>
      </c>
      <c r="AK22" t="s">
        <v>143</v>
      </c>
      <c r="AL22" t="s">
        <v>147</v>
      </c>
      <c r="AM22">
        <v>2719.92</v>
      </c>
      <c r="AN22" t="s">
        <v>186</v>
      </c>
      <c r="AO22" t="s">
        <v>50</v>
      </c>
      <c r="AP22" t="s">
        <v>43</v>
      </c>
    </row>
    <row r="23" spans="1:42" x14ac:dyDescent="0.3">
      <c r="A23" t="s">
        <v>39</v>
      </c>
      <c r="B23">
        <v>120</v>
      </c>
      <c r="C23" t="s">
        <v>40</v>
      </c>
      <c r="D23" t="s">
        <v>49</v>
      </c>
      <c r="E23" t="s">
        <v>984</v>
      </c>
      <c r="F23" t="s">
        <v>45</v>
      </c>
      <c r="G23" t="s">
        <v>43</v>
      </c>
      <c r="H23" t="s">
        <v>48</v>
      </c>
      <c r="I23">
        <v>24019</v>
      </c>
      <c r="J23" t="s">
        <v>49</v>
      </c>
      <c r="K23">
        <v>19</v>
      </c>
      <c r="L23" t="s">
        <v>985</v>
      </c>
      <c r="M23">
        <v>2</v>
      </c>
      <c r="N23" t="s">
        <v>134</v>
      </c>
      <c r="O23" t="s">
        <v>174</v>
      </c>
      <c r="P23">
        <v>526</v>
      </c>
      <c r="Q23" t="s">
        <v>240</v>
      </c>
      <c r="R23" t="s">
        <v>240</v>
      </c>
      <c r="S23">
        <v>7700</v>
      </c>
      <c r="T23" t="s">
        <v>49</v>
      </c>
      <c r="U23" t="s">
        <v>241</v>
      </c>
      <c r="V23" t="s">
        <v>242</v>
      </c>
      <c r="W23" t="s">
        <v>141</v>
      </c>
      <c r="X23">
        <v>11171</v>
      </c>
      <c r="Y23" t="s">
        <v>178</v>
      </c>
      <c r="Z23" t="s">
        <v>143</v>
      </c>
      <c r="AA23" t="s">
        <v>143</v>
      </c>
      <c r="AB23" t="s">
        <v>145</v>
      </c>
      <c r="AC23" t="s">
        <v>158</v>
      </c>
      <c r="AD23">
        <v>19</v>
      </c>
      <c r="AE23">
        <v>103</v>
      </c>
      <c r="AF23">
        <v>937</v>
      </c>
      <c r="AG23" t="s">
        <v>143</v>
      </c>
      <c r="AH23" t="s">
        <v>143</v>
      </c>
      <c r="AI23" t="s">
        <v>143</v>
      </c>
      <c r="AJ23" t="s">
        <v>143</v>
      </c>
      <c r="AK23" t="s">
        <v>143</v>
      </c>
      <c r="AL23" t="s">
        <v>147</v>
      </c>
      <c r="AM23">
        <v>1150.6099999999999</v>
      </c>
      <c r="AN23" t="s">
        <v>243</v>
      </c>
      <c r="AO23" t="s">
        <v>50</v>
      </c>
      <c r="AP23" t="s">
        <v>43</v>
      </c>
    </row>
    <row r="24" spans="1:42" x14ac:dyDescent="0.3">
      <c r="A24" t="s">
        <v>39</v>
      </c>
      <c r="B24">
        <v>120</v>
      </c>
      <c r="C24" t="s">
        <v>40</v>
      </c>
      <c r="D24" t="s">
        <v>49</v>
      </c>
      <c r="E24" t="s">
        <v>984</v>
      </c>
      <c r="F24" t="s">
        <v>45</v>
      </c>
      <c r="G24" t="s">
        <v>43</v>
      </c>
      <c r="H24" t="s">
        <v>48</v>
      </c>
      <c r="I24">
        <v>24019</v>
      </c>
      <c r="J24" t="s">
        <v>49</v>
      </c>
      <c r="K24">
        <v>19</v>
      </c>
      <c r="L24" t="s">
        <v>985</v>
      </c>
      <c r="M24">
        <v>2</v>
      </c>
      <c r="N24" t="s">
        <v>160</v>
      </c>
      <c r="O24" t="s">
        <v>174</v>
      </c>
      <c r="P24">
        <v>526</v>
      </c>
      <c r="Q24" t="s">
        <v>240</v>
      </c>
      <c r="R24" t="s">
        <v>244</v>
      </c>
      <c r="S24">
        <v>7700</v>
      </c>
      <c r="T24" t="s">
        <v>49</v>
      </c>
      <c r="U24" t="s">
        <v>241</v>
      </c>
      <c r="V24" t="s">
        <v>242</v>
      </c>
      <c r="W24" t="s">
        <v>141</v>
      </c>
      <c r="X24">
        <v>10017</v>
      </c>
      <c r="Y24" t="s">
        <v>178</v>
      </c>
      <c r="Z24" t="s">
        <v>143</v>
      </c>
      <c r="AA24" t="s">
        <v>143</v>
      </c>
      <c r="AB24" t="s">
        <v>145</v>
      </c>
      <c r="AC24" t="s">
        <v>158</v>
      </c>
      <c r="AD24">
        <v>9</v>
      </c>
      <c r="AE24">
        <v>59</v>
      </c>
      <c r="AF24">
        <v>22864</v>
      </c>
      <c r="AG24" t="s">
        <v>143</v>
      </c>
      <c r="AH24" t="s">
        <v>143</v>
      </c>
      <c r="AI24" t="s">
        <v>143</v>
      </c>
      <c r="AJ24" t="s">
        <v>143</v>
      </c>
      <c r="AK24" t="s">
        <v>143</v>
      </c>
      <c r="AL24" t="s">
        <v>147</v>
      </c>
      <c r="AM24">
        <v>591</v>
      </c>
      <c r="AN24" t="s">
        <v>245</v>
      </c>
      <c r="AO24" t="s">
        <v>50</v>
      </c>
      <c r="AP24" t="s">
        <v>43</v>
      </c>
    </row>
    <row r="25" spans="1:42" x14ac:dyDescent="0.3">
      <c r="A25" t="s">
        <v>39</v>
      </c>
      <c r="B25">
        <v>120</v>
      </c>
      <c r="C25" t="s">
        <v>40</v>
      </c>
      <c r="D25" t="s">
        <v>49</v>
      </c>
      <c r="E25" t="s">
        <v>984</v>
      </c>
      <c r="F25" t="s">
        <v>45</v>
      </c>
      <c r="G25" t="s">
        <v>43</v>
      </c>
      <c r="H25" t="s">
        <v>48</v>
      </c>
      <c r="I25">
        <v>32014</v>
      </c>
      <c r="J25" t="s">
        <v>49</v>
      </c>
      <c r="K25">
        <v>14</v>
      </c>
      <c r="L25" t="s">
        <v>146</v>
      </c>
      <c r="M25">
        <v>2</v>
      </c>
      <c r="N25" t="s">
        <v>134</v>
      </c>
      <c r="O25" t="s">
        <v>246</v>
      </c>
      <c r="P25">
        <v>7700</v>
      </c>
      <c r="Q25" t="s">
        <v>49</v>
      </c>
      <c r="R25" t="s">
        <v>247</v>
      </c>
      <c r="S25">
        <v>7700</v>
      </c>
      <c r="T25" t="s">
        <v>49</v>
      </c>
      <c r="U25" t="s">
        <v>248</v>
      </c>
      <c r="V25" t="s">
        <v>249</v>
      </c>
      <c r="W25" t="s">
        <v>166</v>
      </c>
      <c r="X25">
        <v>13093</v>
      </c>
      <c r="Y25" t="s">
        <v>178</v>
      </c>
      <c r="Z25" t="s">
        <v>143</v>
      </c>
      <c r="AA25" t="s">
        <v>144</v>
      </c>
      <c r="AB25" t="s">
        <v>157</v>
      </c>
      <c r="AC25" t="s">
        <v>146</v>
      </c>
      <c r="AD25">
        <v>57</v>
      </c>
      <c r="AE25">
        <v>328</v>
      </c>
      <c r="AF25">
        <v>872</v>
      </c>
      <c r="AG25" t="s">
        <v>143</v>
      </c>
      <c r="AH25" t="s">
        <v>143</v>
      </c>
      <c r="AI25" t="s">
        <v>143</v>
      </c>
      <c r="AJ25" t="s">
        <v>143</v>
      </c>
      <c r="AK25" t="s">
        <v>143</v>
      </c>
      <c r="AL25" t="s">
        <v>147</v>
      </c>
      <c r="AM25">
        <v>4294.5</v>
      </c>
      <c r="AN25" t="s">
        <v>250</v>
      </c>
      <c r="AO25" t="s">
        <v>50</v>
      </c>
      <c r="AP25" t="s">
        <v>43</v>
      </c>
    </row>
    <row r="26" spans="1:42" x14ac:dyDescent="0.3">
      <c r="A26" t="s">
        <v>39</v>
      </c>
      <c r="B26">
        <v>120</v>
      </c>
      <c r="C26" t="s">
        <v>40</v>
      </c>
      <c r="D26" t="s">
        <v>41</v>
      </c>
      <c r="E26" t="s">
        <v>984</v>
      </c>
      <c r="F26" t="s">
        <v>45</v>
      </c>
      <c r="G26" t="s">
        <v>43</v>
      </c>
      <c r="H26" t="s">
        <v>48</v>
      </c>
      <c r="I26">
        <v>12301</v>
      </c>
      <c r="J26" t="s">
        <v>41</v>
      </c>
      <c r="K26">
        <v>301</v>
      </c>
      <c r="L26" t="s">
        <v>158</v>
      </c>
      <c r="M26">
        <v>1</v>
      </c>
      <c r="N26" t="s">
        <v>160</v>
      </c>
      <c r="O26" t="s">
        <v>251</v>
      </c>
      <c r="P26">
        <v>4000</v>
      </c>
      <c r="Q26" t="s">
        <v>189</v>
      </c>
      <c r="R26" t="s">
        <v>252</v>
      </c>
      <c r="S26">
        <v>7700</v>
      </c>
      <c r="T26" t="s">
        <v>49</v>
      </c>
      <c r="U26" t="s">
        <v>248</v>
      </c>
      <c r="V26" t="s">
        <v>253</v>
      </c>
      <c r="W26" t="s">
        <v>141</v>
      </c>
      <c r="X26">
        <v>42840</v>
      </c>
      <c r="Y26" t="s">
        <v>178</v>
      </c>
      <c r="Z26" t="s">
        <v>144</v>
      </c>
      <c r="AA26" t="s">
        <v>144</v>
      </c>
      <c r="AB26" t="s">
        <v>157</v>
      </c>
      <c r="AC26" t="s">
        <v>158</v>
      </c>
      <c r="AD26">
        <v>6</v>
      </c>
      <c r="AE26">
        <v>31</v>
      </c>
      <c r="AF26">
        <v>14181</v>
      </c>
      <c r="AG26" t="s">
        <v>143</v>
      </c>
      <c r="AH26" t="s">
        <v>143</v>
      </c>
      <c r="AI26" t="s">
        <v>143</v>
      </c>
      <c r="AJ26" t="s">
        <v>143</v>
      </c>
      <c r="AK26" t="s">
        <v>143</v>
      </c>
      <c r="AL26" t="s">
        <v>147</v>
      </c>
      <c r="AM26">
        <v>1328.04</v>
      </c>
      <c r="AN26" t="s">
        <v>148</v>
      </c>
      <c r="AO26" t="s">
        <v>200</v>
      </c>
      <c r="AP26" t="s">
        <v>43</v>
      </c>
    </row>
    <row r="27" spans="1:42" x14ac:dyDescent="0.3">
      <c r="A27" t="s">
        <v>39</v>
      </c>
      <c r="B27">
        <v>120</v>
      </c>
      <c r="C27" t="s">
        <v>40</v>
      </c>
      <c r="D27" t="s">
        <v>41</v>
      </c>
      <c r="E27" t="s">
        <v>984</v>
      </c>
      <c r="F27" t="s">
        <v>45</v>
      </c>
      <c r="G27" t="s">
        <v>43</v>
      </c>
      <c r="H27" t="s">
        <v>51</v>
      </c>
      <c r="I27">
        <v>11300</v>
      </c>
      <c r="J27" t="s">
        <v>41</v>
      </c>
      <c r="K27">
        <v>300</v>
      </c>
      <c r="L27" t="s">
        <v>158</v>
      </c>
      <c r="M27">
        <v>2</v>
      </c>
      <c r="N27" t="s">
        <v>134</v>
      </c>
      <c r="O27" t="s">
        <v>254</v>
      </c>
      <c r="P27">
        <v>7700</v>
      </c>
      <c r="Q27" t="s">
        <v>49</v>
      </c>
      <c r="R27" t="s">
        <v>197</v>
      </c>
      <c r="S27">
        <v>4000</v>
      </c>
      <c r="T27" t="s">
        <v>189</v>
      </c>
      <c r="U27" t="s">
        <v>198</v>
      </c>
      <c r="V27" t="s">
        <v>199</v>
      </c>
      <c r="W27" t="s">
        <v>255</v>
      </c>
      <c r="X27">
        <v>40848</v>
      </c>
      <c r="Y27" t="s">
        <v>178</v>
      </c>
      <c r="Z27" t="s">
        <v>143</v>
      </c>
      <c r="AA27" t="s">
        <v>143</v>
      </c>
      <c r="AB27" t="s">
        <v>157</v>
      </c>
      <c r="AC27" t="s">
        <v>158</v>
      </c>
      <c r="AD27">
        <v>12</v>
      </c>
      <c r="AE27">
        <v>60</v>
      </c>
      <c r="AF27">
        <v>14800</v>
      </c>
      <c r="AG27" t="s">
        <v>143</v>
      </c>
      <c r="AH27" t="s">
        <v>143</v>
      </c>
      <c r="AI27" t="s">
        <v>143</v>
      </c>
      <c r="AJ27" t="s">
        <v>143</v>
      </c>
      <c r="AK27" t="s">
        <v>143</v>
      </c>
      <c r="AL27" t="s">
        <v>147</v>
      </c>
      <c r="AM27">
        <v>2450.88</v>
      </c>
      <c r="AN27" t="s">
        <v>148</v>
      </c>
      <c r="AO27" t="s">
        <v>256</v>
      </c>
      <c r="AP27" t="s">
        <v>43</v>
      </c>
    </row>
    <row r="28" spans="1:42" x14ac:dyDescent="0.3">
      <c r="A28" t="s">
        <v>39</v>
      </c>
      <c r="B28">
        <v>120</v>
      </c>
      <c r="C28" t="s">
        <v>40</v>
      </c>
      <c r="D28" t="s">
        <v>41</v>
      </c>
      <c r="E28" t="s">
        <v>984</v>
      </c>
      <c r="F28" t="s">
        <v>42</v>
      </c>
      <c r="G28" t="s">
        <v>43</v>
      </c>
      <c r="H28" t="s">
        <v>47</v>
      </c>
      <c r="I28">
        <v>20074</v>
      </c>
      <c r="J28" t="s">
        <v>41</v>
      </c>
      <c r="K28">
        <v>74</v>
      </c>
      <c r="L28" t="s">
        <v>158</v>
      </c>
      <c r="M28">
        <v>2</v>
      </c>
      <c r="N28" t="s">
        <v>134</v>
      </c>
      <c r="O28" t="s">
        <v>257</v>
      </c>
      <c r="P28">
        <v>944</v>
      </c>
      <c r="Q28" t="s">
        <v>208</v>
      </c>
      <c r="R28" t="s">
        <v>258</v>
      </c>
      <c r="S28">
        <v>4000</v>
      </c>
      <c r="T28" t="s">
        <v>189</v>
      </c>
      <c r="U28" t="s">
        <v>198</v>
      </c>
      <c r="V28" t="s">
        <v>199</v>
      </c>
      <c r="W28" t="s">
        <v>141</v>
      </c>
      <c r="X28">
        <v>18983</v>
      </c>
      <c r="Y28" t="s">
        <v>178</v>
      </c>
      <c r="Z28" t="s">
        <v>143</v>
      </c>
      <c r="AA28" t="s">
        <v>143</v>
      </c>
      <c r="AB28" t="s">
        <v>157</v>
      </c>
      <c r="AC28" t="s">
        <v>158</v>
      </c>
      <c r="AD28">
        <v>1</v>
      </c>
      <c r="AE28">
        <v>6</v>
      </c>
      <c r="AF28">
        <v>14133</v>
      </c>
      <c r="AG28" t="s">
        <v>143</v>
      </c>
      <c r="AH28" t="s">
        <v>143</v>
      </c>
      <c r="AI28" t="s">
        <v>143</v>
      </c>
      <c r="AJ28" t="s">
        <v>143</v>
      </c>
      <c r="AK28" t="s">
        <v>143</v>
      </c>
      <c r="AL28" t="s">
        <v>147</v>
      </c>
      <c r="AM28">
        <v>113.9</v>
      </c>
      <c r="AN28" t="s">
        <v>148</v>
      </c>
      <c r="AO28" t="s">
        <v>217</v>
      </c>
      <c r="AP28" t="s">
        <v>43</v>
      </c>
    </row>
    <row r="29" spans="1:42" x14ac:dyDescent="0.3">
      <c r="A29" t="s">
        <v>39</v>
      </c>
      <c r="B29">
        <v>120</v>
      </c>
      <c r="C29" t="s">
        <v>40</v>
      </c>
      <c r="D29" t="s">
        <v>41</v>
      </c>
      <c r="E29" t="s">
        <v>986</v>
      </c>
      <c r="F29" t="s">
        <v>45</v>
      </c>
      <c r="G29" t="s">
        <v>43</v>
      </c>
      <c r="H29" t="s">
        <v>46</v>
      </c>
      <c r="I29">
        <v>12793</v>
      </c>
      <c r="J29" t="s">
        <v>41</v>
      </c>
      <c r="K29">
        <v>793</v>
      </c>
      <c r="L29" t="s">
        <v>158</v>
      </c>
      <c r="M29">
        <v>2</v>
      </c>
      <c r="N29" t="s">
        <v>168</v>
      </c>
      <c r="O29" t="s">
        <v>259</v>
      </c>
      <c r="P29">
        <v>944</v>
      </c>
      <c r="Q29" t="s">
        <v>208</v>
      </c>
      <c r="R29" t="s">
        <v>260</v>
      </c>
      <c r="S29">
        <v>4000</v>
      </c>
      <c r="T29" t="s">
        <v>189</v>
      </c>
      <c r="U29" t="s">
        <v>261</v>
      </c>
      <c r="V29" t="s">
        <v>262</v>
      </c>
      <c r="W29" t="s">
        <v>141</v>
      </c>
      <c r="X29">
        <v>23200</v>
      </c>
      <c r="Y29" t="s">
        <v>178</v>
      </c>
      <c r="Z29" t="s">
        <v>143</v>
      </c>
      <c r="AA29" t="s">
        <v>144</v>
      </c>
      <c r="AB29" t="s">
        <v>157</v>
      </c>
      <c r="AC29" t="s">
        <v>158</v>
      </c>
      <c r="AD29">
        <v>1</v>
      </c>
      <c r="AE29">
        <v>5</v>
      </c>
      <c r="AF29">
        <v>14193</v>
      </c>
      <c r="AG29" t="s">
        <v>143</v>
      </c>
      <c r="AH29" t="s">
        <v>143</v>
      </c>
      <c r="AI29" t="s">
        <v>143</v>
      </c>
      <c r="AJ29" t="s">
        <v>143</v>
      </c>
      <c r="AK29" t="s">
        <v>143</v>
      </c>
      <c r="AL29" t="s">
        <v>147</v>
      </c>
      <c r="AM29">
        <v>116</v>
      </c>
      <c r="AN29" t="s">
        <v>148</v>
      </c>
      <c r="AO29" t="s">
        <v>159</v>
      </c>
      <c r="AP29" t="s">
        <v>43</v>
      </c>
    </row>
    <row r="30" spans="1:42" x14ac:dyDescent="0.3">
      <c r="A30" t="s">
        <v>39</v>
      </c>
      <c r="B30">
        <v>120</v>
      </c>
      <c r="C30" t="s">
        <v>40</v>
      </c>
      <c r="D30" t="s">
        <v>41</v>
      </c>
      <c r="E30" t="s">
        <v>986</v>
      </c>
      <c r="F30" t="s">
        <v>45</v>
      </c>
      <c r="G30" t="s">
        <v>43</v>
      </c>
      <c r="H30" t="s">
        <v>46</v>
      </c>
      <c r="I30">
        <v>27096</v>
      </c>
      <c r="J30" t="s">
        <v>41</v>
      </c>
      <c r="K30">
        <v>96</v>
      </c>
      <c r="L30" t="s">
        <v>146</v>
      </c>
      <c r="M30">
        <v>2</v>
      </c>
      <c r="N30" t="s">
        <v>160</v>
      </c>
      <c r="O30" t="s">
        <v>263</v>
      </c>
      <c r="P30">
        <v>240</v>
      </c>
      <c r="Q30" t="s">
        <v>162</v>
      </c>
      <c r="R30" t="s">
        <v>264</v>
      </c>
      <c r="S30">
        <v>240</v>
      </c>
      <c r="T30" t="s">
        <v>162</v>
      </c>
      <c r="U30" t="s">
        <v>265</v>
      </c>
      <c r="V30" t="s">
        <v>165</v>
      </c>
      <c r="W30" t="s">
        <v>166</v>
      </c>
      <c r="X30">
        <v>9703</v>
      </c>
      <c r="Y30" t="s">
        <v>156</v>
      </c>
      <c r="Z30" t="s">
        <v>143</v>
      </c>
      <c r="AA30" t="s">
        <v>144</v>
      </c>
      <c r="AB30" t="s">
        <v>157</v>
      </c>
      <c r="AC30" t="s">
        <v>146</v>
      </c>
      <c r="AD30">
        <v>1</v>
      </c>
      <c r="AE30">
        <v>6</v>
      </c>
      <c r="AF30">
        <v>14161</v>
      </c>
      <c r="AG30" t="s">
        <v>143</v>
      </c>
      <c r="AH30" t="s">
        <v>143</v>
      </c>
      <c r="AI30" t="s">
        <v>143</v>
      </c>
      <c r="AJ30" t="s">
        <v>143</v>
      </c>
      <c r="AK30" t="s">
        <v>143</v>
      </c>
      <c r="AL30" t="s">
        <v>147</v>
      </c>
      <c r="AM30">
        <v>58.22</v>
      </c>
      <c r="AN30" t="s">
        <v>148</v>
      </c>
      <c r="AO30" t="s">
        <v>159</v>
      </c>
      <c r="AP30" t="s">
        <v>43</v>
      </c>
    </row>
    <row r="31" spans="1:42" x14ac:dyDescent="0.3">
      <c r="A31" t="s">
        <v>39</v>
      </c>
      <c r="B31">
        <v>120</v>
      </c>
      <c r="C31" t="s">
        <v>40</v>
      </c>
      <c r="D31" t="s">
        <v>41</v>
      </c>
      <c r="E31" t="s">
        <v>986</v>
      </c>
      <c r="F31" t="s">
        <v>45</v>
      </c>
      <c r="G31" t="s">
        <v>43</v>
      </c>
      <c r="H31" t="s">
        <v>46</v>
      </c>
      <c r="I31">
        <v>26085</v>
      </c>
      <c r="J31" t="s">
        <v>41</v>
      </c>
      <c r="K31">
        <v>85</v>
      </c>
      <c r="L31" t="s">
        <v>146</v>
      </c>
      <c r="M31">
        <v>1</v>
      </c>
      <c r="N31" t="s">
        <v>202</v>
      </c>
      <c r="O31" t="s">
        <v>203</v>
      </c>
      <c r="P31">
        <v>2300</v>
      </c>
      <c r="Q31" t="s">
        <v>153</v>
      </c>
      <c r="R31" t="s">
        <v>154</v>
      </c>
      <c r="S31">
        <v>2300</v>
      </c>
      <c r="T31" t="s">
        <v>153</v>
      </c>
      <c r="U31" t="s">
        <v>266</v>
      </c>
      <c r="V31" t="s">
        <v>267</v>
      </c>
      <c r="W31" t="s">
        <v>166</v>
      </c>
      <c r="X31">
        <v>7208</v>
      </c>
      <c r="Y31" t="s">
        <v>156</v>
      </c>
      <c r="Z31" t="s">
        <v>143</v>
      </c>
      <c r="AA31" t="s">
        <v>144</v>
      </c>
      <c r="AB31" t="s">
        <v>145</v>
      </c>
      <c r="AC31" t="s">
        <v>146</v>
      </c>
      <c r="AD31">
        <v>3</v>
      </c>
      <c r="AE31">
        <v>15</v>
      </c>
      <c r="AF31">
        <v>14817</v>
      </c>
      <c r="AG31" t="s">
        <v>143</v>
      </c>
      <c r="AH31" t="s">
        <v>143</v>
      </c>
      <c r="AI31" t="s">
        <v>143</v>
      </c>
      <c r="AJ31" t="s">
        <v>143</v>
      </c>
      <c r="AK31" t="s">
        <v>143</v>
      </c>
      <c r="AL31" t="s">
        <v>147</v>
      </c>
      <c r="AM31">
        <v>108.12</v>
      </c>
      <c r="AN31" t="s">
        <v>148</v>
      </c>
      <c r="AO31" t="s">
        <v>206</v>
      </c>
      <c r="AP31" t="s">
        <v>43</v>
      </c>
    </row>
    <row r="32" spans="1:42" x14ac:dyDescent="0.3">
      <c r="A32" t="s">
        <v>39</v>
      </c>
      <c r="B32">
        <v>120</v>
      </c>
      <c r="C32" t="s">
        <v>40</v>
      </c>
      <c r="D32" t="s">
        <v>41</v>
      </c>
      <c r="E32" t="s">
        <v>986</v>
      </c>
      <c r="F32" t="s">
        <v>45</v>
      </c>
      <c r="G32" t="s">
        <v>43</v>
      </c>
      <c r="H32" t="s">
        <v>48</v>
      </c>
      <c r="I32">
        <v>16050</v>
      </c>
      <c r="J32" t="s">
        <v>41</v>
      </c>
      <c r="K32">
        <v>50</v>
      </c>
      <c r="L32" t="s">
        <v>158</v>
      </c>
      <c r="M32">
        <v>1</v>
      </c>
      <c r="N32" t="s">
        <v>134</v>
      </c>
      <c r="O32" t="s">
        <v>212</v>
      </c>
      <c r="P32">
        <v>534</v>
      </c>
      <c r="Q32" t="s">
        <v>268</v>
      </c>
      <c r="R32" t="s">
        <v>269</v>
      </c>
      <c r="S32">
        <v>240</v>
      </c>
      <c r="T32" t="s">
        <v>162</v>
      </c>
      <c r="U32" t="s">
        <v>184</v>
      </c>
      <c r="V32" t="s">
        <v>185</v>
      </c>
      <c r="W32" t="s">
        <v>141</v>
      </c>
      <c r="X32">
        <v>23731</v>
      </c>
      <c r="Y32" t="s">
        <v>178</v>
      </c>
      <c r="Z32" t="s">
        <v>144</v>
      </c>
      <c r="AA32" t="s">
        <v>143</v>
      </c>
      <c r="AB32" t="s">
        <v>157</v>
      </c>
      <c r="AC32" t="s">
        <v>158</v>
      </c>
      <c r="AD32">
        <v>9</v>
      </c>
      <c r="AE32">
        <v>51</v>
      </c>
      <c r="AF32">
        <v>14218</v>
      </c>
      <c r="AG32" t="s">
        <v>143</v>
      </c>
      <c r="AH32" t="s">
        <v>143</v>
      </c>
      <c r="AI32" t="s">
        <v>143</v>
      </c>
      <c r="AJ32" t="s">
        <v>143</v>
      </c>
      <c r="AK32" t="s">
        <v>143</v>
      </c>
      <c r="AL32" t="s">
        <v>147</v>
      </c>
      <c r="AM32">
        <v>1210.28</v>
      </c>
      <c r="AN32" t="s">
        <v>148</v>
      </c>
      <c r="AO32" t="s">
        <v>50</v>
      </c>
      <c r="AP32" t="s">
        <v>43</v>
      </c>
    </row>
    <row r="33" spans="1:42" x14ac:dyDescent="0.3">
      <c r="A33" t="s">
        <v>39</v>
      </c>
      <c r="B33">
        <v>120</v>
      </c>
      <c r="C33" t="s">
        <v>40</v>
      </c>
      <c r="D33" t="s">
        <v>41</v>
      </c>
      <c r="E33" t="s">
        <v>986</v>
      </c>
      <c r="F33" t="s">
        <v>52</v>
      </c>
      <c r="G33" t="s">
        <v>43</v>
      </c>
      <c r="H33" t="s">
        <v>48</v>
      </c>
      <c r="I33">
        <v>23095</v>
      </c>
      <c r="J33" t="s">
        <v>41</v>
      </c>
      <c r="K33">
        <v>95</v>
      </c>
      <c r="L33" t="s">
        <v>146</v>
      </c>
      <c r="M33">
        <v>2</v>
      </c>
      <c r="N33" t="s">
        <v>160</v>
      </c>
      <c r="O33" t="s">
        <v>161</v>
      </c>
      <c r="P33">
        <v>240</v>
      </c>
      <c r="Q33" t="s">
        <v>162</v>
      </c>
      <c r="R33" t="s">
        <v>270</v>
      </c>
      <c r="S33">
        <v>240</v>
      </c>
      <c r="T33" t="s">
        <v>162</v>
      </c>
      <c r="U33" t="s">
        <v>265</v>
      </c>
      <c r="V33" t="s">
        <v>165</v>
      </c>
      <c r="W33" t="s">
        <v>166</v>
      </c>
      <c r="X33">
        <v>11210</v>
      </c>
      <c r="Y33" t="s">
        <v>156</v>
      </c>
      <c r="Z33" t="s">
        <v>143</v>
      </c>
      <c r="AA33" t="s">
        <v>144</v>
      </c>
      <c r="AB33" t="s">
        <v>157</v>
      </c>
      <c r="AC33" t="s">
        <v>146</v>
      </c>
      <c r="AD33">
        <v>1</v>
      </c>
      <c r="AE33">
        <v>6</v>
      </c>
      <c r="AF33">
        <v>14156</v>
      </c>
      <c r="AG33" t="s">
        <v>143</v>
      </c>
      <c r="AH33" t="s">
        <v>143</v>
      </c>
      <c r="AI33" t="s">
        <v>143</v>
      </c>
      <c r="AJ33" t="s">
        <v>143</v>
      </c>
      <c r="AK33" t="s">
        <v>143</v>
      </c>
      <c r="AL33" t="s">
        <v>147</v>
      </c>
      <c r="AM33">
        <v>67.260000000000005</v>
      </c>
      <c r="AN33" t="s">
        <v>148</v>
      </c>
      <c r="AO33" t="s">
        <v>52</v>
      </c>
      <c r="AP33" t="s">
        <v>43</v>
      </c>
    </row>
    <row r="34" spans="1:42" x14ac:dyDescent="0.3">
      <c r="A34" t="s">
        <v>39</v>
      </c>
      <c r="B34">
        <v>120</v>
      </c>
      <c r="C34" t="s">
        <v>40</v>
      </c>
      <c r="D34" t="s">
        <v>41</v>
      </c>
      <c r="E34" t="s">
        <v>984</v>
      </c>
      <c r="F34" t="s">
        <v>45</v>
      </c>
      <c r="G34" t="s">
        <v>43</v>
      </c>
      <c r="H34" t="s">
        <v>46</v>
      </c>
      <c r="I34">
        <v>24021</v>
      </c>
      <c r="J34" t="s">
        <v>41</v>
      </c>
      <c r="K34">
        <v>21</v>
      </c>
      <c r="L34" t="s">
        <v>985</v>
      </c>
      <c r="M34">
        <v>2</v>
      </c>
      <c r="N34" t="s">
        <v>134</v>
      </c>
      <c r="O34" t="s">
        <v>271</v>
      </c>
      <c r="P34">
        <v>430</v>
      </c>
      <c r="Q34" t="s">
        <v>272</v>
      </c>
      <c r="R34" t="s">
        <v>273</v>
      </c>
      <c r="S34">
        <v>1860</v>
      </c>
      <c r="T34" t="s">
        <v>274</v>
      </c>
      <c r="U34" t="s">
        <v>275</v>
      </c>
      <c r="V34" t="s">
        <v>276</v>
      </c>
      <c r="W34" t="s">
        <v>141</v>
      </c>
      <c r="X34">
        <v>17417</v>
      </c>
      <c r="Y34" t="s">
        <v>178</v>
      </c>
      <c r="Z34" t="s">
        <v>143</v>
      </c>
      <c r="AA34" t="s">
        <v>143</v>
      </c>
      <c r="AB34" t="s">
        <v>145</v>
      </c>
      <c r="AC34" t="s">
        <v>158</v>
      </c>
      <c r="AD34">
        <v>8</v>
      </c>
      <c r="AE34">
        <v>42</v>
      </c>
      <c r="AF34">
        <v>14216</v>
      </c>
      <c r="AG34" t="s">
        <v>143</v>
      </c>
      <c r="AH34" t="s">
        <v>143</v>
      </c>
      <c r="AI34" t="s">
        <v>143</v>
      </c>
      <c r="AJ34" t="s">
        <v>143</v>
      </c>
      <c r="AK34" t="s">
        <v>143</v>
      </c>
      <c r="AL34" t="s">
        <v>147</v>
      </c>
      <c r="AM34">
        <v>731.51</v>
      </c>
      <c r="AN34" t="s">
        <v>148</v>
      </c>
      <c r="AO34" t="s">
        <v>277</v>
      </c>
      <c r="AP34" t="s">
        <v>43</v>
      </c>
    </row>
    <row r="35" spans="1:42" x14ac:dyDescent="0.3">
      <c r="A35" t="s">
        <v>39</v>
      </c>
      <c r="B35">
        <v>120</v>
      </c>
      <c r="C35" t="s">
        <v>40</v>
      </c>
      <c r="D35" t="s">
        <v>41</v>
      </c>
      <c r="E35" t="s">
        <v>984</v>
      </c>
      <c r="F35" t="s">
        <v>45</v>
      </c>
      <c r="G35" t="s">
        <v>43</v>
      </c>
      <c r="H35" t="s">
        <v>48</v>
      </c>
      <c r="I35">
        <v>11302</v>
      </c>
      <c r="J35" t="s">
        <v>41</v>
      </c>
      <c r="K35">
        <v>302</v>
      </c>
      <c r="L35" t="s">
        <v>158</v>
      </c>
      <c r="M35">
        <v>1</v>
      </c>
      <c r="N35" t="s">
        <v>134</v>
      </c>
      <c r="O35" t="s">
        <v>196</v>
      </c>
      <c r="P35">
        <v>4000</v>
      </c>
      <c r="Q35" t="s">
        <v>189</v>
      </c>
      <c r="R35" t="s">
        <v>252</v>
      </c>
      <c r="S35">
        <v>7700</v>
      </c>
      <c r="T35" t="s">
        <v>49</v>
      </c>
      <c r="U35" t="s">
        <v>248</v>
      </c>
      <c r="V35" t="s">
        <v>253</v>
      </c>
      <c r="W35" t="s">
        <v>141</v>
      </c>
      <c r="X35">
        <v>45603</v>
      </c>
      <c r="Y35" t="s">
        <v>178</v>
      </c>
      <c r="Z35" t="s">
        <v>143</v>
      </c>
      <c r="AA35" t="s">
        <v>143</v>
      </c>
      <c r="AB35" t="s">
        <v>157</v>
      </c>
      <c r="AC35" t="s">
        <v>158</v>
      </c>
      <c r="AD35">
        <v>2</v>
      </c>
      <c r="AE35">
        <v>11</v>
      </c>
      <c r="AF35">
        <v>14186</v>
      </c>
      <c r="AG35" t="s">
        <v>143</v>
      </c>
      <c r="AH35" t="s">
        <v>143</v>
      </c>
      <c r="AI35" t="s">
        <v>143</v>
      </c>
      <c r="AJ35" t="s">
        <v>143</v>
      </c>
      <c r="AK35" t="s">
        <v>143</v>
      </c>
      <c r="AL35" t="s">
        <v>147</v>
      </c>
      <c r="AM35">
        <v>501.63</v>
      </c>
      <c r="AN35" t="s">
        <v>148</v>
      </c>
      <c r="AO35" t="s">
        <v>200</v>
      </c>
      <c r="AP35" t="s">
        <v>43</v>
      </c>
    </row>
    <row r="36" spans="1:42" x14ac:dyDescent="0.3">
      <c r="A36" t="s">
        <v>39</v>
      </c>
      <c r="B36">
        <v>120</v>
      </c>
      <c r="C36" t="s">
        <v>40</v>
      </c>
      <c r="D36" t="s">
        <v>41</v>
      </c>
      <c r="E36" t="s">
        <v>984</v>
      </c>
      <c r="F36" t="s">
        <v>45</v>
      </c>
      <c r="G36" t="s">
        <v>43</v>
      </c>
      <c r="H36" t="s">
        <v>48</v>
      </c>
      <c r="I36">
        <v>12301</v>
      </c>
      <c r="J36" t="s">
        <v>41</v>
      </c>
      <c r="K36">
        <v>301</v>
      </c>
      <c r="L36" t="s">
        <v>158</v>
      </c>
      <c r="M36">
        <v>2</v>
      </c>
      <c r="N36" t="s">
        <v>160</v>
      </c>
      <c r="O36" t="s">
        <v>251</v>
      </c>
      <c r="P36">
        <v>7700</v>
      </c>
      <c r="Q36" t="s">
        <v>49</v>
      </c>
      <c r="R36" t="s">
        <v>197</v>
      </c>
      <c r="S36">
        <v>4000</v>
      </c>
      <c r="T36" t="s">
        <v>189</v>
      </c>
      <c r="U36" t="s">
        <v>198</v>
      </c>
      <c r="V36" t="s">
        <v>199</v>
      </c>
      <c r="W36" t="s">
        <v>141</v>
      </c>
      <c r="X36">
        <v>42128</v>
      </c>
      <c r="Y36" t="s">
        <v>178</v>
      </c>
      <c r="Z36" t="s">
        <v>144</v>
      </c>
      <c r="AA36" t="s">
        <v>144</v>
      </c>
      <c r="AB36" t="s">
        <v>157</v>
      </c>
      <c r="AC36" t="s">
        <v>158</v>
      </c>
      <c r="AD36">
        <v>4</v>
      </c>
      <c r="AE36">
        <v>20</v>
      </c>
      <c r="AF36">
        <v>14185</v>
      </c>
      <c r="AG36" t="s">
        <v>143</v>
      </c>
      <c r="AH36" t="s">
        <v>143</v>
      </c>
      <c r="AI36" t="s">
        <v>143</v>
      </c>
      <c r="AJ36" t="s">
        <v>143</v>
      </c>
      <c r="AK36" t="s">
        <v>143</v>
      </c>
      <c r="AL36" t="s">
        <v>147</v>
      </c>
      <c r="AM36">
        <v>842.56</v>
      </c>
      <c r="AN36" t="s">
        <v>148</v>
      </c>
      <c r="AO36" t="s">
        <v>200</v>
      </c>
      <c r="AP36" t="s">
        <v>43</v>
      </c>
    </row>
    <row r="37" spans="1:42" x14ac:dyDescent="0.3">
      <c r="A37" t="s">
        <v>39</v>
      </c>
      <c r="B37">
        <v>120</v>
      </c>
      <c r="C37" t="s">
        <v>40</v>
      </c>
      <c r="D37" t="s">
        <v>41</v>
      </c>
      <c r="E37" t="s">
        <v>986</v>
      </c>
      <c r="F37" t="s">
        <v>45</v>
      </c>
      <c r="G37" t="s">
        <v>43</v>
      </c>
      <c r="H37" t="s">
        <v>46</v>
      </c>
      <c r="I37">
        <v>23095</v>
      </c>
      <c r="J37" t="s">
        <v>41</v>
      </c>
      <c r="K37">
        <v>95</v>
      </c>
      <c r="L37" t="s">
        <v>146</v>
      </c>
      <c r="M37">
        <v>1</v>
      </c>
      <c r="N37" t="s">
        <v>134</v>
      </c>
      <c r="O37" t="s">
        <v>278</v>
      </c>
      <c r="P37">
        <v>240</v>
      </c>
      <c r="Q37" t="s">
        <v>162</v>
      </c>
      <c r="R37" t="s">
        <v>265</v>
      </c>
      <c r="S37">
        <v>240</v>
      </c>
      <c r="T37" t="s">
        <v>162</v>
      </c>
      <c r="U37" t="s">
        <v>279</v>
      </c>
      <c r="V37" t="s">
        <v>280</v>
      </c>
      <c r="W37" t="s">
        <v>166</v>
      </c>
      <c r="X37">
        <v>11810</v>
      </c>
      <c r="Y37" t="s">
        <v>156</v>
      </c>
      <c r="Z37" t="s">
        <v>143</v>
      </c>
      <c r="AA37" t="s">
        <v>144</v>
      </c>
      <c r="AB37" t="s">
        <v>157</v>
      </c>
      <c r="AC37" t="s">
        <v>146</v>
      </c>
      <c r="AD37">
        <v>3</v>
      </c>
      <c r="AE37">
        <v>17</v>
      </c>
      <c r="AF37">
        <v>14154</v>
      </c>
      <c r="AG37" t="s">
        <v>143</v>
      </c>
      <c r="AH37" t="s">
        <v>143</v>
      </c>
      <c r="AI37" t="s">
        <v>143</v>
      </c>
      <c r="AJ37" t="s">
        <v>143</v>
      </c>
      <c r="AK37" t="s">
        <v>143</v>
      </c>
      <c r="AL37" t="s">
        <v>147</v>
      </c>
      <c r="AM37">
        <v>200.77</v>
      </c>
      <c r="AN37" t="s">
        <v>148</v>
      </c>
      <c r="AO37" t="s">
        <v>159</v>
      </c>
      <c r="AP37" t="s">
        <v>43</v>
      </c>
    </row>
    <row r="38" spans="1:42" x14ac:dyDescent="0.3">
      <c r="A38" t="s">
        <v>39</v>
      </c>
      <c r="B38">
        <v>120</v>
      </c>
      <c r="C38" t="s">
        <v>40</v>
      </c>
      <c r="D38" t="s">
        <v>41</v>
      </c>
      <c r="E38" t="s">
        <v>986</v>
      </c>
      <c r="F38" t="s">
        <v>45</v>
      </c>
      <c r="G38" t="s">
        <v>43</v>
      </c>
      <c r="H38" t="s">
        <v>46</v>
      </c>
      <c r="I38">
        <v>24097</v>
      </c>
      <c r="J38" t="s">
        <v>41</v>
      </c>
      <c r="K38">
        <v>97</v>
      </c>
      <c r="L38" t="s">
        <v>146</v>
      </c>
      <c r="M38">
        <v>1</v>
      </c>
      <c r="N38" t="s">
        <v>160</v>
      </c>
      <c r="O38" t="s">
        <v>281</v>
      </c>
      <c r="P38">
        <v>240</v>
      </c>
      <c r="Q38" t="s">
        <v>162</v>
      </c>
      <c r="R38" t="s">
        <v>163</v>
      </c>
      <c r="S38">
        <v>240</v>
      </c>
      <c r="T38" t="s">
        <v>162</v>
      </c>
      <c r="U38" t="s">
        <v>164</v>
      </c>
      <c r="V38" t="s">
        <v>165</v>
      </c>
      <c r="W38" t="s">
        <v>166</v>
      </c>
      <c r="X38">
        <v>7566</v>
      </c>
      <c r="Y38" t="s">
        <v>156</v>
      </c>
      <c r="Z38" t="s">
        <v>143</v>
      </c>
      <c r="AA38" t="s">
        <v>144</v>
      </c>
      <c r="AB38" t="s">
        <v>157</v>
      </c>
      <c r="AC38" t="s">
        <v>146</v>
      </c>
      <c r="AD38">
        <v>1</v>
      </c>
      <c r="AE38">
        <v>8</v>
      </c>
      <c r="AF38">
        <v>14819</v>
      </c>
      <c r="AG38" t="s">
        <v>143</v>
      </c>
      <c r="AH38" t="s">
        <v>143</v>
      </c>
      <c r="AI38" t="s">
        <v>143</v>
      </c>
      <c r="AJ38" t="s">
        <v>143</v>
      </c>
      <c r="AK38" t="s">
        <v>143</v>
      </c>
      <c r="AL38" t="s">
        <v>147</v>
      </c>
      <c r="AM38">
        <v>60.53</v>
      </c>
      <c r="AN38" t="s">
        <v>148</v>
      </c>
      <c r="AO38" t="s">
        <v>159</v>
      </c>
      <c r="AP38" t="s">
        <v>43</v>
      </c>
    </row>
    <row r="39" spans="1:42" x14ac:dyDescent="0.3">
      <c r="A39" t="s">
        <v>39</v>
      </c>
      <c r="B39">
        <v>120</v>
      </c>
      <c r="C39" t="s">
        <v>40</v>
      </c>
      <c r="D39" t="s">
        <v>41</v>
      </c>
      <c r="E39" t="s">
        <v>986</v>
      </c>
      <c r="F39" t="s">
        <v>45</v>
      </c>
      <c r="G39" t="s">
        <v>43</v>
      </c>
      <c r="H39" t="s">
        <v>46</v>
      </c>
      <c r="I39">
        <v>16050</v>
      </c>
      <c r="J39" t="s">
        <v>41</v>
      </c>
      <c r="K39">
        <v>50</v>
      </c>
      <c r="L39" t="s">
        <v>158</v>
      </c>
      <c r="M39">
        <v>1</v>
      </c>
      <c r="N39" t="s">
        <v>168</v>
      </c>
      <c r="O39" t="s">
        <v>212</v>
      </c>
      <c r="P39">
        <v>4000</v>
      </c>
      <c r="Q39" t="s">
        <v>189</v>
      </c>
      <c r="R39" t="s">
        <v>282</v>
      </c>
      <c r="S39">
        <v>240</v>
      </c>
      <c r="T39" t="s">
        <v>162</v>
      </c>
      <c r="U39" t="s">
        <v>184</v>
      </c>
      <c r="V39" t="s">
        <v>185</v>
      </c>
      <c r="W39" t="s">
        <v>141</v>
      </c>
      <c r="X39">
        <v>34730</v>
      </c>
      <c r="Y39" t="s">
        <v>178</v>
      </c>
      <c r="Z39" t="s">
        <v>144</v>
      </c>
      <c r="AA39" t="s">
        <v>143</v>
      </c>
      <c r="AB39" t="s">
        <v>157</v>
      </c>
      <c r="AC39" t="s">
        <v>158</v>
      </c>
      <c r="AD39">
        <v>0</v>
      </c>
      <c r="AE39">
        <v>1</v>
      </c>
      <c r="AF39">
        <v>25874</v>
      </c>
      <c r="AG39" t="s">
        <v>143</v>
      </c>
      <c r="AH39" t="s">
        <v>143</v>
      </c>
      <c r="AI39" t="s">
        <v>143</v>
      </c>
      <c r="AJ39" t="s">
        <v>143</v>
      </c>
      <c r="AK39" t="s">
        <v>143</v>
      </c>
      <c r="AL39" t="s">
        <v>147</v>
      </c>
      <c r="AM39">
        <v>34.729999999999997</v>
      </c>
      <c r="AN39" t="s">
        <v>194</v>
      </c>
      <c r="AO39" t="s">
        <v>283</v>
      </c>
      <c r="AP39" t="s">
        <v>43</v>
      </c>
    </row>
    <row r="40" spans="1:42" x14ac:dyDescent="0.3">
      <c r="A40" t="s">
        <v>39</v>
      </c>
      <c r="B40">
        <v>120</v>
      </c>
      <c r="C40" t="s">
        <v>40</v>
      </c>
      <c r="D40" t="s">
        <v>41</v>
      </c>
      <c r="E40" t="s">
        <v>986</v>
      </c>
      <c r="F40" t="s">
        <v>45</v>
      </c>
      <c r="G40" t="s">
        <v>43</v>
      </c>
      <c r="H40" t="s">
        <v>48</v>
      </c>
      <c r="I40">
        <v>16050</v>
      </c>
      <c r="J40" t="s">
        <v>41</v>
      </c>
      <c r="K40">
        <v>50</v>
      </c>
      <c r="L40" t="s">
        <v>158</v>
      </c>
      <c r="M40">
        <v>2</v>
      </c>
      <c r="N40" t="s">
        <v>160</v>
      </c>
      <c r="O40" t="s">
        <v>212</v>
      </c>
      <c r="P40">
        <v>240</v>
      </c>
      <c r="Q40" t="s">
        <v>162</v>
      </c>
      <c r="R40" t="s">
        <v>184</v>
      </c>
      <c r="S40">
        <v>4000</v>
      </c>
      <c r="T40" t="s">
        <v>189</v>
      </c>
      <c r="U40" t="s">
        <v>213</v>
      </c>
      <c r="V40" t="s">
        <v>214</v>
      </c>
      <c r="W40" t="s">
        <v>141</v>
      </c>
      <c r="X40">
        <v>35051</v>
      </c>
      <c r="Y40" t="s">
        <v>178</v>
      </c>
      <c r="Z40" t="s">
        <v>144</v>
      </c>
      <c r="AA40" t="s">
        <v>143</v>
      </c>
      <c r="AB40" t="s">
        <v>157</v>
      </c>
      <c r="AC40" t="s">
        <v>158</v>
      </c>
      <c r="AD40">
        <v>4</v>
      </c>
      <c r="AE40">
        <v>20</v>
      </c>
      <c r="AF40">
        <v>14127</v>
      </c>
      <c r="AG40" t="s">
        <v>143</v>
      </c>
      <c r="AH40" t="s">
        <v>143</v>
      </c>
      <c r="AI40" t="s">
        <v>143</v>
      </c>
      <c r="AJ40" t="s">
        <v>143</v>
      </c>
      <c r="AK40" t="s">
        <v>143</v>
      </c>
      <c r="AL40" t="s">
        <v>147</v>
      </c>
      <c r="AM40">
        <v>701.02</v>
      </c>
      <c r="AN40" t="s">
        <v>148</v>
      </c>
      <c r="AO40" t="s">
        <v>215</v>
      </c>
      <c r="AP40" t="s">
        <v>43</v>
      </c>
    </row>
    <row r="41" spans="1:42" x14ac:dyDescent="0.3">
      <c r="A41" t="s">
        <v>39</v>
      </c>
      <c r="B41">
        <v>120</v>
      </c>
      <c r="C41" t="s">
        <v>40</v>
      </c>
      <c r="D41" t="s">
        <v>41</v>
      </c>
      <c r="E41" t="s">
        <v>986</v>
      </c>
      <c r="F41" t="s">
        <v>45</v>
      </c>
      <c r="G41" t="s">
        <v>43</v>
      </c>
      <c r="H41" t="s">
        <v>46</v>
      </c>
      <c r="I41">
        <v>31082</v>
      </c>
      <c r="J41" t="s">
        <v>41</v>
      </c>
      <c r="K41">
        <v>82</v>
      </c>
      <c r="L41" t="s">
        <v>146</v>
      </c>
      <c r="M41">
        <v>2</v>
      </c>
      <c r="N41" t="s">
        <v>160</v>
      </c>
      <c r="O41" t="s">
        <v>169</v>
      </c>
      <c r="P41">
        <v>2300</v>
      </c>
      <c r="Q41" t="s">
        <v>153</v>
      </c>
      <c r="R41" t="s">
        <v>284</v>
      </c>
      <c r="S41">
        <v>2300</v>
      </c>
      <c r="T41" t="s">
        <v>153</v>
      </c>
      <c r="U41" t="s">
        <v>171</v>
      </c>
      <c r="V41" t="s">
        <v>172</v>
      </c>
      <c r="W41" t="s">
        <v>166</v>
      </c>
      <c r="X41">
        <v>5671</v>
      </c>
      <c r="Y41" t="s">
        <v>156</v>
      </c>
      <c r="Z41" t="s">
        <v>143</v>
      </c>
      <c r="AA41" t="s">
        <v>144</v>
      </c>
      <c r="AB41" t="s">
        <v>157</v>
      </c>
      <c r="AC41" t="s">
        <v>146</v>
      </c>
      <c r="AD41">
        <v>1</v>
      </c>
      <c r="AE41">
        <v>6</v>
      </c>
      <c r="AF41">
        <v>14141</v>
      </c>
      <c r="AG41" t="s">
        <v>143</v>
      </c>
      <c r="AH41" t="s">
        <v>143</v>
      </c>
      <c r="AI41" t="s">
        <v>143</v>
      </c>
      <c r="AJ41" t="s">
        <v>143</v>
      </c>
      <c r="AK41" t="s">
        <v>143</v>
      </c>
      <c r="AL41" t="s">
        <v>147</v>
      </c>
      <c r="AM41">
        <v>34.03</v>
      </c>
      <c r="AN41" t="s">
        <v>148</v>
      </c>
      <c r="AO41" t="s">
        <v>285</v>
      </c>
      <c r="AP41" t="s">
        <v>43</v>
      </c>
    </row>
    <row r="42" spans="1:42" x14ac:dyDescent="0.3">
      <c r="A42" t="s">
        <v>39</v>
      </c>
      <c r="B42">
        <v>120</v>
      </c>
      <c r="C42" t="s">
        <v>40</v>
      </c>
      <c r="D42" t="s">
        <v>41</v>
      </c>
      <c r="E42" t="s">
        <v>986</v>
      </c>
      <c r="F42" t="s">
        <v>53</v>
      </c>
      <c r="G42" t="s">
        <v>43</v>
      </c>
      <c r="H42" t="s">
        <v>48</v>
      </c>
      <c r="I42">
        <v>35058</v>
      </c>
      <c r="J42" t="s">
        <v>41</v>
      </c>
      <c r="K42">
        <v>58</v>
      </c>
      <c r="L42" t="s">
        <v>146</v>
      </c>
      <c r="M42">
        <v>2</v>
      </c>
      <c r="N42" t="s">
        <v>134</v>
      </c>
      <c r="O42" t="s">
        <v>286</v>
      </c>
      <c r="P42">
        <v>494</v>
      </c>
      <c r="Q42" t="s">
        <v>287</v>
      </c>
      <c r="R42" t="s">
        <v>288</v>
      </c>
      <c r="S42">
        <v>4000</v>
      </c>
      <c r="T42" t="s">
        <v>189</v>
      </c>
      <c r="U42" t="s">
        <v>289</v>
      </c>
      <c r="V42" t="s">
        <v>290</v>
      </c>
      <c r="W42" t="s">
        <v>166</v>
      </c>
      <c r="X42">
        <v>28491</v>
      </c>
      <c r="Y42" t="s">
        <v>178</v>
      </c>
      <c r="Z42" t="s">
        <v>144</v>
      </c>
      <c r="AA42" t="s">
        <v>144</v>
      </c>
      <c r="AB42" t="s">
        <v>157</v>
      </c>
      <c r="AC42" t="s">
        <v>146</v>
      </c>
      <c r="AD42">
        <v>50</v>
      </c>
      <c r="AE42">
        <v>278</v>
      </c>
      <c r="AF42">
        <v>23819</v>
      </c>
      <c r="AG42" t="s">
        <v>143</v>
      </c>
      <c r="AH42" t="s">
        <v>143</v>
      </c>
      <c r="AI42" t="s">
        <v>143</v>
      </c>
      <c r="AJ42" t="s">
        <v>143</v>
      </c>
      <c r="AK42" t="s">
        <v>143</v>
      </c>
      <c r="AL42" t="s">
        <v>147</v>
      </c>
      <c r="AM42">
        <v>7920.5</v>
      </c>
      <c r="AN42" t="s">
        <v>291</v>
      </c>
      <c r="AO42" t="s">
        <v>53</v>
      </c>
      <c r="AP42" t="s">
        <v>43</v>
      </c>
    </row>
    <row r="43" spans="1:42" x14ac:dyDescent="0.3">
      <c r="A43" t="s">
        <v>39</v>
      </c>
      <c r="B43">
        <v>120</v>
      </c>
      <c r="C43" t="s">
        <v>40</v>
      </c>
      <c r="D43" t="s">
        <v>41</v>
      </c>
      <c r="E43" t="s">
        <v>986</v>
      </c>
      <c r="F43" t="s">
        <v>42</v>
      </c>
      <c r="G43" t="s">
        <v>43</v>
      </c>
      <c r="H43" t="s">
        <v>44</v>
      </c>
      <c r="I43">
        <v>10191</v>
      </c>
      <c r="J43" t="s">
        <v>41</v>
      </c>
      <c r="K43">
        <v>191</v>
      </c>
      <c r="L43" t="s">
        <v>158</v>
      </c>
      <c r="M43">
        <v>2</v>
      </c>
      <c r="N43" t="s">
        <v>134</v>
      </c>
      <c r="O43" t="s">
        <v>292</v>
      </c>
      <c r="P43">
        <v>122</v>
      </c>
      <c r="Q43" t="s">
        <v>138</v>
      </c>
      <c r="R43" t="s">
        <v>139</v>
      </c>
      <c r="S43">
        <v>1284</v>
      </c>
      <c r="T43" t="s">
        <v>225</v>
      </c>
      <c r="U43" t="s">
        <v>293</v>
      </c>
      <c r="V43" t="s">
        <v>227</v>
      </c>
      <c r="W43" t="s">
        <v>141</v>
      </c>
      <c r="X43">
        <v>23599</v>
      </c>
      <c r="Y43" t="s">
        <v>294</v>
      </c>
      <c r="Z43" t="s">
        <v>144</v>
      </c>
      <c r="AA43" t="s">
        <v>143</v>
      </c>
      <c r="AB43" t="s">
        <v>157</v>
      </c>
      <c r="AC43" t="s">
        <v>158</v>
      </c>
      <c r="AD43">
        <v>0</v>
      </c>
      <c r="AE43">
        <v>9</v>
      </c>
      <c r="AF43">
        <v>14794</v>
      </c>
      <c r="AG43" t="s">
        <v>143</v>
      </c>
      <c r="AH43" t="s">
        <v>143</v>
      </c>
      <c r="AI43" t="s">
        <v>143</v>
      </c>
      <c r="AJ43" t="s">
        <v>143</v>
      </c>
      <c r="AK43" t="s">
        <v>143</v>
      </c>
      <c r="AL43" t="s">
        <v>147</v>
      </c>
      <c r="AM43">
        <v>212.39</v>
      </c>
      <c r="AN43" t="s">
        <v>148</v>
      </c>
      <c r="AO43" t="s">
        <v>295</v>
      </c>
      <c r="AP43" t="s">
        <v>43</v>
      </c>
    </row>
    <row r="44" spans="1:42" x14ac:dyDescent="0.3">
      <c r="A44" t="s">
        <v>39</v>
      </c>
      <c r="B44">
        <v>120</v>
      </c>
      <c r="C44" t="s">
        <v>40</v>
      </c>
      <c r="D44" t="s">
        <v>49</v>
      </c>
      <c r="E44" t="s">
        <v>984</v>
      </c>
      <c r="F44" t="s">
        <v>45</v>
      </c>
      <c r="G44" t="s">
        <v>43</v>
      </c>
      <c r="H44" t="s">
        <v>48</v>
      </c>
      <c r="I44">
        <v>52003</v>
      </c>
      <c r="J44" t="s">
        <v>49</v>
      </c>
      <c r="K44">
        <v>3</v>
      </c>
      <c r="L44" t="s">
        <v>146</v>
      </c>
      <c r="M44">
        <v>2</v>
      </c>
      <c r="N44" t="s">
        <v>134</v>
      </c>
      <c r="O44" t="s">
        <v>202</v>
      </c>
      <c r="P44">
        <v>7700</v>
      </c>
      <c r="Q44" t="s">
        <v>49</v>
      </c>
      <c r="R44" t="s">
        <v>247</v>
      </c>
      <c r="S44">
        <v>7700</v>
      </c>
      <c r="T44" t="s">
        <v>49</v>
      </c>
      <c r="U44" t="s">
        <v>248</v>
      </c>
      <c r="V44" t="s">
        <v>249</v>
      </c>
      <c r="W44" t="s">
        <v>166</v>
      </c>
      <c r="X44">
        <v>9138</v>
      </c>
      <c r="Y44" t="s">
        <v>178</v>
      </c>
      <c r="Z44" t="s">
        <v>143</v>
      </c>
      <c r="AA44" t="s">
        <v>144</v>
      </c>
      <c r="AB44" t="s">
        <v>157</v>
      </c>
      <c r="AC44" t="s">
        <v>146</v>
      </c>
      <c r="AD44">
        <v>64</v>
      </c>
      <c r="AE44">
        <v>370</v>
      </c>
      <c r="AF44">
        <v>852</v>
      </c>
      <c r="AG44" t="s">
        <v>143</v>
      </c>
      <c r="AH44" t="s">
        <v>143</v>
      </c>
      <c r="AI44" t="s">
        <v>143</v>
      </c>
      <c r="AJ44" t="s">
        <v>143</v>
      </c>
      <c r="AK44" t="s">
        <v>143</v>
      </c>
      <c r="AL44" t="s">
        <v>147</v>
      </c>
      <c r="AM44">
        <v>3381.06</v>
      </c>
      <c r="AN44" t="s">
        <v>250</v>
      </c>
      <c r="AO44" t="s">
        <v>50</v>
      </c>
      <c r="AP44" t="s">
        <v>43</v>
      </c>
    </row>
    <row r="45" spans="1:42" x14ac:dyDescent="0.3">
      <c r="A45" t="s">
        <v>39</v>
      </c>
      <c r="B45">
        <v>120</v>
      </c>
      <c r="C45" t="s">
        <v>40</v>
      </c>
      <c r="D45" t="s">
        <v>49</v>
      </c>
      <c r="E45" t="s">
        <v>984</v>
      </c>
      <c r="F45" t="s">
        <v>45</v>
      </c>
      <c r="G45" t="s">
        <v>43</v>
      </c>
      <c r="H45" t="s">
        <v>48</v>
      </c>
      <c r="I45">
        <v>57002</v>
      </c>
      <c r="J45" t="s">
        <v>49</v>
      </c>
      <c r="K45">
        <v>2</v>
      </c>
      <c r="L45" t="s">
        <v>146</v>
      </c>
      <c r="M45">
        <v>2</v>
      </c>
      <c r="N45" t="s">
        <v>134</v>
      </c>
      <c r="O45" t="s">
        <v>168</v>
      </c>
      <c r="P45">
        <v>475</v>
      </c>
      <c r="Q45" t="s">
        <v>296</v>
      </c>
      <c r="R45" t="s">
        <v>297</v>
      </c>
      <c r="S45">
        <v>7700</v>
      </c>
      <c r="T45" t="s">
        <v>49</v>
      </c>
      <c r="U45" t="s">
        <v>248</v>
      </c>
      <c r="V45" t="s">
        <v>253</v>
      </c>
      <c r="W45" t="s">
        <v>166</v>
      </c>
      <c r="X45">
        <v>9592</v>
      </c>
      <c r="Y45" t="s">
        <v>178</v>
      </c>
      <c r="Z45" t="s">
        <v>143</v>
      </c>
      <c r="AA45" t="s">
        <v>144</v>
      </c>
      <c r="AB45" t="s">
        <v>157</v>
      </c>
      <c r="AC45" t="s">
        <v>146</v>
      </c>
      <c r="AD45">
        <v>37</v>
      </c>
      <c r="AE45">
        <v>213</v>
      </c>
      <c r="AF45">
        <v>849</v>
      </c>
      <c r="AG45" t="s">
        <v>143</v>
      </c>
      <c r="AH45" t="s">
        <v>143</v>
      </c>
      <c r="AI45" t="s">
        <v>143</v>
      </c>
      <c r="AJ45" t="s">
        <v>143</v>
      </c>
      <c r="AK45" t="s">
        <v>143</v>
      </c>
      <c r="AL45" t="s">
        <v>147</v>
      </c>
      <c r="AM45">
        <v>2043.1</v>
      </c>
      <c r="AN45" t="s">
        <v>250</v>
      </c>
      <c r="AO45" t="s">
        <v>50</v>
      </c>
      <c r="AP45" t="s">
        <v>43</v>
      </c>
    </row>
    <row r="46" spans="1:42" x14ac:dyDescent="0.3">
      <c r="A46" t="s">
        <v>39</v>
      </c>
      <c r="B46">
        <v>120</v>
      </c>
      <c r="C46" t="s">
        <v>40</v>
      </c>
      <c r="D46" t="s">
        <v>49</v>
      </c>
      <c r="E46" t="s">
        <v>984</v>
      </c>
      <c r="F46" t="s">
        <v>42</v>
      </c>
      <c r="G46" t="s">
        <v>43</v>
      </c>
      <c r="H46" t="s">
        <v>47</v>
      </c>
      <c r="I46">
        <v>12305</v>
      </c>
      <c r="J46" t="s">
        <v>49</v>
      </c>
      <c r="K46">
        <v>305</v>
      </c>
      <c r="L46" t="s">
        <v>146</v>
      </c>
      <c r="M46">
        <v>1</v>
      </c>
      <c r="N46" t="s">
        <v>134</v>
      </c>
      <c r="O46" t="s">
        <v>298</v>
      </c>
      <c r="P46">
        <v>874</v>
      </c>
      <c r="Q46" t="s">
        <v>235</v>
      </c>
      <c r="R46" t="s">
        <v>236</v>
      </c>
      <c r="S46">
        <v>80</v>
      </c>
      <c r="T46" t="s">
        <v>299</v>
      </c>
      <c r="U46" t="s">
        <v>300</v>
      </c>
      <c r="V46" t="s">
        <v>301</v>
      </c>
      <c r="W46" t="s">
        <v>166</v>
      </c>
      <c r="X46">
        <v>14261</v>
      </c>
      <c r="Y46" t="s">
        <v>178</v>
      </c>
      <c r="Z46" t="s">
        <v>143</v>
      </c>
      <c r="AA46" t="s">
        <v>144</v>
      </c>
      <c r="AB46" t="s">
        <v>157</v>
      </c>
      <c r="AC46" t="s">
        <v>146</v>
      </c>
      <c r="AD46">
        <v>6</v>
      </c>
      <c r="AE46">
        <v>30</v>
      </c>
      <c r="AF46">
        <v>17861</v>
      </c>
      <c r="AG46" t="s">
        <v>143</v>
      </c>
      <c r="AH46" t="s">
        <v>143</v>
      </c>
      <c r="AI46" t="s">
        <v>143</v>
      </c>
      <c r="AJ46" t="s">
        <v>143</v>
      </c>
      <c r="AK46" t="s">
        <v>143</v>
      </c>
      <c r="AL46" t="s">
        <v>147</v>
      </c>
      <c r="AM46">
        <v>427.83</v>
      </c>
      <c r="AN46" t="s">
        <v>302</v>
      </c>
      <c r="AO46" t="s">
        <v>303</v>
      </c>
      <c r="AP46" t="s">
        <v>43</v>
      </c>
    </row>
    <row r="47" spans="1:42" x14ac:dyDescent="0.3">
      <c r="A47" t="s">
        <v>39</v>
      </c>
      <c r="B47">
        <v>120</v>
      </c>
      <c r="C47" t="s">
        <v>40</v>
      </c>
      <c r="D47" t="s">
        <v>49</v>
      </c>
      <c r="E47" t="s">
        <v>984</v>
      </c>
      <c r="F47" t="s">
        <v>42</v>
      </c>
      <c r="G47" t="s">
        <v>43</v>
      </c>
      <c r="H47" t="s">
        <v>47</v>
      </c>
      <c r="I47">
        <v>12305</v>
      </c>
      <c r="J47" t="s">
        <v>49</v>
      </c>
      <c r="K47">
        <v>305</v>
      </c>
      <c r="L47" t="s">
        <v>146</v>
      </c>
      <c r="M47">
        <v>2</v>
      </c>
      <c r="N47" t="s">
        <v>134</v>
      </c>
      <c r="O47" t="s">
        <v>298</v>
      </c>
      <c r="P47">
        <v>80</v>
      </c>
      <c r="Q47" t="s">
        <v>299</v>
      </c>
      <c r="R47" t="s">
        <v>300</v>
      </c>
      <c r="S47">
        <v>874</v>
      </c>
      <c r="T47" t="s">
        <v>235</v>
      </c>
      <c r="U47" t="s">
        <v>304</v>
      </c>
      <c r="V47" t="s">
        <v>305</v>
      </c>
      <c r="W47" t="s">
        <v>166</v>
      </c>
      <c r="X47">
        <v>14343</v>
      </c>
      <c r="Y47" t="s">
        <v>178</v>
      </c>
      <c r="Z47" t="s">
        <v>143</v>
      </c>
      <c r="AA47" t="s">
        <v>144</v>
      </c>
      <c r="AB47" t="s">
        <v>157</v>
      </c>
      <c r="AC47" t="s">
        <v>146</v>
      </c>
      <c r="AD47">
        <v>6</v>
      </c>
      <c r="AE47">
        <v>30</v>
      </c>
      <c r="AF47">
        <v>17862</v>
      </c>
      <c r="AG47" t="s">
        <v>143</v>
      </c>
      <c r="AH47" t="s">
        <v>143</v>
      </c>
      <c r="AI47" t="s">
        <v>143</v>
      </c>
      <c r="AJ47" t="s">
        <v>143</v>
      </c>
      <c r="AK47" t="s">
        <v>143</v>
      </c>
      <c r="AL47" t="s">
        <v>147</v>
      </c>
      <c r="AM47">
        <v>430.29</v>
      </c>
      <c r="AN47" t="s">
        <v>302</v>
      </c>
      <c r="AO47" t="s">
        <v>303</v>
      </c>
      <c r="AP47" t="s">
        <v>43</v>
      </c>
    </row>
    <row r="48" spans="1:42" x14ac:dyDescent="0.3">
      <c r="A48" t="s">
        <v>39</v>
      </c>
      <c r="B48">
        <v>120</v>
      </c>
      <c r="C48" t="s">
        <v>40</v>
      </c>
      <c r="D48" t="s">
        <v>49</v>
      </c>
      <c r="E48" t="s">
        <v>984</v>
      </c>
      <c r="F48" t="s">
        <v>42</v>
      </c>
      <c r="G48" t="s">
        <v>43</v>
      </c>
      <c r="H48" t="s">
        <v>48</v>
      </c>
      <c r="I48">
        <v>21047</v>
      </c>
      <c r="J48" t="s">
        <v>49</v>
      </c>
      <c r="K48">
        <v>47</v>
      </c>
      <c r="L48" t="s">
        <v>158</v>
      </c>
      <c r="M48">
        <v>2</v>
      </c>
      <c r="N48" t="s">
        <v>160</v>
      </c>
      <c r="O48" t="s">
        <v>306</v>
      </c>
      <c r="P48">
        <v>478</v>
      </c>
      <c r="Q48" t="s">
        <v>307</v>
      </c>
      <c r="R48" t="s">
        <v>308</v>
      </c>
      <c r="S48">
        <v>7700</v>
      </c>
      <c r="T48" t="s">
        <v>49</v>
      </c>
      <c r="U48" t="s">
        <v>309</v>
      </c>
      <c r="V48" t="s">
        <v>242</v>
      </c>
      <c r="W48" t="s">
        <v>141</v>
      </c>
      <c r="X48">
        <v>15181</v>
      </c>
      <c r="Y48" t="s">
        <v>178</v>
      </c>
      <c r="Z48" t="s">
        <v>143</v>
      </c>
      <c r="AA48" t="s">
        <v>143</v>
      </c>
      <c r="AB48" t="s">
        <v>145</v>
      </c>
      <c r="AC48" t="s">
        <v>158</v>
      </c>
      <c r="AD48">
        <v>2</v>
      </c>
      <c r="AE48">
        <v>12</v>
      </c>
      <c r="AF48">
        <v>10781</v>
      </c>
      <c r="AG48" t="s">
        <v>143</v>
      </c>
      <c r="AH48" t="s">
        <v>143</v>
      </c>
      <c r="AI48" t="s">
        <v>143</v>
      </c>
      <c r="AJ48" t="s">
        <v>143</v>
      </c>
      <c r="AK48" t="s">
        <v>143</v>
      </c>
      <c r="AL48" t="s">
        <v>147</v>
      </c>
      <c r="AM48">
        <v>182.17</v>
      </c>
      <c r="AN48" t="s">
        <v>310</v>
      </c>
      <c r="AO48" t="s">
        <v>200</v>
      </c>
      <c r="AP48" t="s">
        <v>43</v>
      </c>
    </row>
    <row r="49" spans="1:42" x14ac:dyDescent="0.3">
      <c r="A49" t="s">
        <v>39</v>
      </c>
      <c r="B49">
        <v>120</v>
      </c>
      <c r="C49" t="s">
        <v>40</v>
      </c>
      <c r="D49" t="s">
        <v>49</v>
      </c>
      <c r="E49" t="s">
        <v>984</v>
      </c>
      <c r="F49" t="s">
        <v>42</v>
      </c>
      <c r="G49" t="s">
        <v>43</v>
      </c>
      <c r="H49" t="s">
        <v>48</v>
      </c>
      <c r="I49">
        <v>21051</v>
      </c>
      <c r="J49" t="s">
        <v>49</v>
      </c>
      <c r="K49">
        <v>51</v>
      </c>
      <c r="L49" t="s">
        <v>985</v>
      </c>
      <c r="M49">
        <v>1</v>
      </c>
      <c r="N49" t="s">
        <v>134</v>
      </c>
      <c r="O49" t="s">
        <v>311</v>
      </c>
      <c r="P49">
        <v>7700</v>
      </c>
      <c r="Q49" t="s">
        <v>49</v>
      </c>
      <c r="R49" t="s">
        <v>312</v>
      </c>
      <c r="S49">
        <v>145</v>
      </c>
      <c r="T49" t="s">
        <v>313</v>
      </c>
      <c r="U49" t="s">
        <v>314</v>
      </c>
      <c r="V49" t="s">
        <v>315</v>
      </c>
      <c r="W49" t="s">
        <v>141</v>
      </c>
      <c r="X49">
        <v>13578</v>
      </c>
      <c r="Y49" t="s">
        <v>178</v>
      </c>
      <c r="Z49" t="s">
        <v>143</v>
      </c>
      <c r="AA49" t="s">
        <v>143</v>
      </c>
      <c r="AB49" t="s">
        <v>145</v>
      </c>
      <c r="AC49" t="s">
        <v>158</v>
      </c>
      <c r="AD49">
        <v>6</v>
      </c>
      <c r="AE49">
        <v>34</v>
      </c>
      <c r="AF49">
        <v>899</v>
      </c>
      <c r="AG49" t="s">
        <v>143</v>
      </c>
      <c r="AH49" t="s">
        <v>143</v>
      </c>
      <c r="AI49" t="s">
        <v>143</v>
      </c>
      <c r="AJ49" t="s">
        <v>143</v>
      </c>
      <c r="AK49" t="s">
        <v>143</v>
      </c>
      <c r="AL49" t="s">
        <v>147</v>
      </c>
      <c r="AM49">
        <v>461.65</v>
      </c>
      <c r="AN49" t="s">
        <v>250</v>
      </c>
      <c r="AO49" t="s">
        <v>200</v>
      </c>
      <c r="AP49" t="s">
        <v>43</v>
      </c>
    </row>
    <row r="50" spans="1:42" x14ac:dyDescent="0.3">
      <c r="A50" t="s">
        <v>39</v>
      </c>
      <c r="B50">
        <v>120</v>
      </c>
      <c r="C50" t="s">
        <v>40</v>
      </c>
      <c r="D50" t="s">
        <v>49</v>
      </c>
      <c r="E50" t="s">
        <v>984</v>
      </c>
      <c r="F50" t="s">
        <v>45</v>
      </c>
      <c r="G50" t="s">
        <v>43</v>
      </c>
      <c r="H50" t="s">
        <v>48</v>
      </c>
      <c r="I50">
        <v>34010</v>
      </c>
      <c r="J50" t="s">
        <v>49</v>
      </c>
      <c r="K50">
        <v>10</v>
      </c>
      <c r="L50" t="s">
        <v>146</v>
      </c>
      <c r="M50">
        <v>2</v>
      </c>
      <c r="N50" t="s">
        <v>134</v>
      </c>
      <c r="O50" t="s">
        <v>316</v>
      </c>
      <c r="P50">
        <v>7700</v>
      </c>
      <c r="Q50" t="s">
        <v>49</v>
      </c>
      <c r="R50" t="s">
        <v>317</v>
      </c>
      <c r="S50">
        <v>7700</v>
      </c>
      <c r="T50" t="s">
        <v>49</v>
      </c>
      <c r="U50" t="s">
        <v>248</v>
      </c>
      <c r="V50" t="s">
        <v>249</v>
      </c>
      <c r="W50" t="s">
        <v>166</v>
      </c>
      <c r="X50">
        <v>10199</v>
      </c>
      <c r="Y50" t="s">
        <v>178</v>
      </c>
      <c r="Z50" t="s">
        <v>143</v>
      </c>
      <c r="AA50" t="s">
        <v>144</v>
      </c>
      <c r="AB50" t="s">
        <v>157</v>
      </c>
      <c r="AC50" t="s">
        <v>146</v>
      </c>
      <c r="AD50">
        <v>72</v>
      </c>
      <c r="AE50">
        <v>417</v>
      </c>
      <c r="AF50">
        <v>861</v>
      </c>
      <c r="AG50" t="s">
        <v>143</v>
      </c>
      <c r="AH50" t="s">
        <v>143</v>
      </c>
      <c r="AI50" t="s">
        <v>143</v>
      </c>
      <c r="AJ50" t="s">
        <v>143</v>
      </c>
      <c r="AK50" t="s">
        <v>143</v>
      </c>
      <c r="AL50" t="s">
        <v>147</v>
      </c>
      <c r="AM50">
        <v>4252.9799999999996</v>
      </c>
      <c r="AN50" t="s">
        <v>250</v>
      </c>
      <c r="AO50" t="s">
        <v>50</v>
      </c>
      <c r="AP50" t="s">
        <v>43</v>
      </c>
    </row>
    <row r="51" spans="1:42" x14ac:dyDescent="0.3">
      <c r="A51" t="s">
        <v>39</v>
      </c>
      <c r="B51">
        <v>120</v>
      </c>
      <c r="C51" t="s">
        <v>40</v>
      </c>
      <c r="D51" t="s">
        <v>49</v>
      </c>
      <c r="E51" t="s">
        <v>984</v>
      </c>
      <c r="F51" t="s">
        <v>45</v>
      </c>
      <c r="G51" t="s">
        <v>43</v>
      </c>
      <c r="H51" t="s">
        <v>48</v>
      </c>
      <c r="I51">
        <v>57002</v>
      </c>
      <c r="J51" t="s">
        <v>49</v>
      </c>
      <c r="K51">
        <v>2</v>
      </c>
      <c r="L51" t="s">
        <v>146</v>
      </c>
      <c r="M51">
        <v>1</v>
      </c>
      <c r="N51" t="s">
        <v>134</v>
      </c>
      <c r="O51" t="s">
        <v>168</v>
      </c>
      <c r="P51">
        <v>7700</v>
      </c>
      <c r="Q51" t="s">
        <v>49</v>
      </c>
      <c r="R51" t="s">
        <v>197</v>
      </c>
      <c r="S51">
        <v>475</v>
      </c>
      <c r="T51" t="s">
        <v>296</v>
      </c>
      <c r="U51" t="s">
        <v>318</v>
      </c>
      <c r="V51" t="s">
        <v>319</v>
      </c>
      <c r="W51" t="s">
        <v>166</v>
      </c>
      <c r="X51">
        <v>9324</v>
      </c>
      <c r="Y51" t="s">
        <v>178</v>
      </c>
      <c r="Z51" t="s">
        <v>143</v>
      </c>
      <c r="AA51" t="s">
        <v>144</v>
      </c>
      <c r="AB51" t="s">
        <v>157</v>
      </c>
      <c r="AC51" t="s">
        <v>146</v>
      </c>
      <c r="AD51">
        <v>36</v>
      </c>
      <c r="AE51">
        <v>207</v>
      </c>
      <c r="AF51">
        <v>847</v>
      </c>
      <c r="AG51" t="s">
        <v>143</v>
      </c>
      <c r="AH51" t="s">
        <v>143</v>
      </c>
      <c r="AI51" t="s">
        <v>143</v>
      </c>
      <c r="AJ51" t="s">
        <v>143</v>
      </c>
      <c r="AK51" t="s">
        <v>143</v>
      </c>
      <c r="AL51" t="s">
        <v>147</v>
      </c>
      <c r="AM51">
        <v>1930.07</v>
      </c>
      <c r="AN51" t="s">
        <v>250</v>
      </c>
      <c r="AO51" t="s">
        <v>50</v>
      </c>
      <c r="AP51" t="s">
        <v>43</v>
      </c>
    </row>
    <row r="52" spans="1:42" x14ac:dyDescent="0.3">
      <c r="A52" t="s">
        <v>39</v>
      </c>
      <c r="B52">
        <v>120</v>
      </c>
      <c r="C52" t="s">
        <v>40</v>
      </c>
      <c r="D52" t="s">
        <v>49</v>
      </c>
      <c r="E52" t="s">
        <v>984</v>
      </c>
      <c r="F52" t="s">
        <v>45</v>
      </c>
      <c r="G52" t="s">
        <v>43</v>
      </c>
      <c r="H52" t="s">
        <v>48</v>
      </c>
      <c r="I52">
        <v>57002</v>
      </c>
      <c r="J52" t="s">
        <v>49</v>
      </c>
      <c r="K52">
        <v>2</v>
      </c>
      <c r="L52" t="s">
        <v>146</v>
      </c>
      <c r="M52">
        <v>2</v>
      </c>
      <c r="N52" t="s">
        <v>160</v>
      </c>
      <c r="O52" t="s">
        <v>168</v>
      </c>
      <c r="P52">
        <v>475</v>
      </c>
      <c r="Q52" t="s">
        <v>296</v>
      </c>
      <c r="R52" t="s">
        <v>318</v>
      </c>
      <c r="S52">
        <v>7700</v>
      </c>
      <c r="T52" t="s">
        <v>49</v>
      </c>
      <c r="U52" t="s">
        <v>248</v>
      </c>
      <c r="V52" t="s">
        <v>253</v>
      </c>
      <c r="W52" t="s">
        <v>166</v>
      </c>
      <c r="X52">
        <v>10564</v>
      </c>
      <c r="Y52" t="s">
        <v>178</v>
      </c>
      <c r="Z52" t="s">
        <v>143</v>
      </c>
      <c r="AA52" t="s">
        <v>144</v>
      </c>
      <c r="AB52" t="s">
        <v>157</v>
      </c>
      <c r="AC52" t="s">
        <v>146</v>
      </c>
      <c r="AD52">
        <v>20</v>
      </c>
      <c r="AE52">
        <v>115</v>
      </c>
      <c r="AF52">
        <v>22862</v>
      </c>
      <c r="AG52" t="s">
        <v>143</v>
      </c>
      <c r="AH52" t="s">
        <v>143</v>
      </c>
      <c r="AI52" t="s">
        <v>143</v>
      </c>
      <c r="AJ52" t="s">
        <v>143</v>
      </c>
      <c r="AK52" t="s">
        <v>143</v>
      </c>
      <c r="AL52" t="s">
        <v>147</v>
      </c>
      <c r="AM52">
        <v>1214.8599999999999</v>
      </c>
      <c r="AN52" t="s">
        <v>245</v>
      </c>
      <c r="AO52" t="s">
        <v>50</v>
      </c>
      <c r="AP52" t="s">
        <v>43</v>
      </c>
    </row>
    <row r="53" spans="1:42" x14ac:dyDescent="0.3">
      <c r="A53" t="s">
        <v>39</v>
      </c>
      <c r="B53">
        <v>120</v>
      </c>
      <c r="C53" t="s">
        <v>40</v>
      </c>
      <c r="D53" t="s">
        <v>49</v>
      </c>
      <c r="E53" t="s">
        <v>984</v>
      </c>
      <c r="F53" t="s">
        <v>45</v>
      </c>
      <c r="G53" t="s">
        <v>43</v>
      </c>
      <c r="H53" t="s">
        <v>48</v>
      </c>
      <c r="I53">
        <v>81004</v>
      </c>
      <c r="J53" t="s">
        <v>49</v>
      </c>
      <c r="K53">
        <v>4</v>
      </c>
      <c r="L53" t="s">
        <v>146</v>
      </c>
      <c r="M53">
        <v>1</v>
      </c>
      <c r="N53" t="s">
        <v>134</v>
      </c>
      <c r="O53" t="s">
        <v>320</v>
      </c>
      <c r="P53">
        <v>874</v>
      </c>
      <c r="Q53" t="s">
        <v>235</v>
      </c>
      <c r="R53" t="s">
        <v>236</v>
      </c>
      <c r="S53">
        <v>874</v>
      </c>
      <c r="T53" t="s">
        <v>235</v>
      </c>
      <c r="U53" t="s">
        <v>321</v>
      </c>
      <c r="V53" t="s">
        <v>322</v>
      </c>
      <c r="W53" t="s">
        <v>166</v>
      </c>
      <c r="X53">
        <v>10116</v>
      </c>
      <c r="Y53" t="s">
        <v>178</v>
      </c>
      <c r="Z53" t="s">
        <v>143</v>
      </c>
      <c r="AA53" t="s">
        <v>144</v>
      </c>
      <c r="AB53" t="s">
        <v>157</v>
      </c>
      <c r="AC53" t="s">
        <v>146</v>
      </c>
      <c r="AD53">
        <v>55</v>
      </c>
      <c r="AE53">
        <v>308</v>
      </c>
      <c r="AF53">
        <v>20690</v>
      </c>
      <c r="AG53" t="s">
        <v>143</v>
      </c>
      <c r="AH53" t="s">
        <v>143</v>
      </c>
      <c r="AI53" t="s">
        <v>143</v>
      </c>
      <c r="AJ53" t="s">
        <v>143</v>
      </c>
      <c r="AK53" t="s">
        <v>143</v>
      </c>
      <c r="AL53" t="s">
        <v>147</v>
      </c>
      <c r="AM53">
        <v>3115.73</v>
      </c>
      <c r="AN53" t="s">
        <v>323</v>
      </c>
      <c r="AO53" t="s">
        <v>50</v>
      </c>
      <c r="AP53" t="s">
        <v>43</v>
      </c>
    </row>
    <row r="54" spans="1:42" x14ac:dyDescent="0.3">
      <c r="A54" t="s">
        <v>39</v>
      </c>
      <c r="B54">
        <v>120</v>
      </c>
      <c r="C54" t="s">
        <v>40</v>
      </c>
      <c r="D54" t="s">
        <v>49</v>
      </c>
      <c r="E54" t="s">
        <v>984</v>
      </c>
      <c r="F54" t="s">
        <v>45</v>
      </c>
      <c r="G54" t="s">
        <v>43</v>
      </c>
      <c r="H54" t="s">
        <v>48</v>
      </c>
      <c r="I54">
        <v>90011</v>
      </c>
      <c r="J54" t="s">
        <v>49</v>
      </c>
      <c r="K54">
        <v>11</v>
      </c>
      <c r="L54" t="s">
        <v>146</v>
      </c>
      <c r="M54">
        <v>2</v>
      </c>
      <c r="N54" t="s">
        <v>134</v>
      </c>
      <c r="O54" t="s">
        <v>324</v>
      </c>
      <c r="P54">
        <v>7700</v>
      </c>
      <c r="Q54" t="s">
        <v>49</v>
      </c>
      <c r="R54" t="s">
        <v>317</v>
      </c>
      <c r="S54">
        <v>7700</v>
      </c>
      <c r="T54" t="s">
        <v>49</v>
      </c>
      <c r="U54" t="s">
        <v>248</v>
      </c>
      <c r="V54" t="s">
        <v>249</v>
      </c>
      <c r="W54" t="s">
        <v>166</v>
      </c>
      <c r="X54">
        <v>10795</v>
      </c>
      <c r="Y54" t="s">
        <v>178</v>
      </c>
      <c r="Z54" t="s">
        <v>143</v>
      </c>
      <c r="AA54" t="s">
        <v>144</v>
      </c>
      <c r="AB54" t="s">
        <v>157</v>
      </c>
      <c r="AC54" t="s">
        <v>146</v>
      </c>
      <c r="AD54">
        <v>73</v>
      </c>
      <c r="AE54">
        <v>423</v>
      </c>
      <c r="AF54">
        <v>29931</v>
      </c>
      <c r="AG54" t="s">
        <v>143</v>
      </c>
      <c r="AH54" t="s">
        <v>143</v>
      </c>
      <c r="AI54" t="s">
        <v>143</v>
      </c>
      <c r="AJ54" t="s">
        <v>143</v>
      </c>
      <c r="AK54" t="s">
        <v>143</v>
      </c>
      <c r="AL54" t="s">
        <v>147</v>
      </c>
      <c r="AM54">
        <v>4566.29</v>
      </c>
      <c r="AN54" t="s">
        <v>325</v>
      </c>
      <c r="AO54" t="s">
        <v>50</v>
      </c>
      <c r="AP54" t="s">
        <v>43</v>
      </c>
    </row>
    <row r="55" spans="1:42" x14ac:dyDescent="0.3">
      <c r="A55" t="s">
        <v>39</v>
      </c>
      <c r="B55">
        <v>120</v>
      </c>
      <c r="C55" t="s">
        <v>40</v>
      </c>
      <c r="D55" t="s">
        <v>49</v>
      </c>
      <c r="E55" t="s">
        <v>984</v>
      </c>
      <c r="F55" t="s">
        <v>42</v>
      </c>
      <c r="G55" t="s">
        <v>43</v>
      </c>
      <c r="H55" t="s">
        <v>48</v>
      </c>
      <c r="I55">
        <v>21047</v>
      </c>
      <c r="J55" t="s">
        <v>49</v>
      </c>
      <c r="K55">
        <v>47</v>
      </c>
      <c r="L55" t="s">
        <v>158</v>
      </c>
      <c r="M55">
        <v>1</v>
      </c>
      <c r="N55" t="s">
        <v>160</v>
      </c>
      <c r="O55" t="s">
        <v>306</v>
      </c>
      <c r="P55">
        <v>7700</v>
      </c>
      <c r="Q55" t="s">
        <v>49</v>
      </c>
      <c r="R55" t="s">
        <v>309</v>
      </c>
      <c r="S55">
        <v>478</v>
      </c>
      <c r="T55" t="s">
        <v>307</v>
      </c>
      <c r="U55" t="s">
        <v>308</v>
      </c>
      <c r="V55" t="s">
        <v>326</v>
      </c>
      <c r="W55" t="s">
        <v>141</v>
      </c>
      <c r="X55">
        <v>15433</v>
      </c>
      <c r="Y55" t="s">
        <v>178</v>
      </c>
      <c r="Z55" t="s">
        <v>143</v>
      </c>
      <c r="AA55" t="s">
        <v>143</v>
      </c>
      <c r="AB55" t="s">
        <v>145</v>
      </c>
      <c r="AC55" t="s">
        <v>158</v>
      </c>
      <c r="AD55">
        <v>2</v>
      </c>
      <c r="AE55">
        <v>11</v>
      </c>
      <c r="AF55">
        <v>10779</v>
      </c>
      <c r="AG55" t="s">
        <v>143</v>
      </c>
      <c r="AH55" t="s">
        <v>143</v>
      </c>
      <c r="AI55" t="s">
        <v>143</v>
      </c>
      <c r="AJ55" t="s">
        <v>143</v>
      </c>
      <c r="AK55" t="s">
        <v>143</v>
      </c>
      <c r="AL55" t="s">
        <v>147</v>
      </c>
      <c r="AM55">
        <v>169.76</v>
      </c>
      <c r="AN55" t="s">
        <v>310</v>
      </c>
      <c r="AO55" t="s">
        <v>200</v>
      </c>
      <c r="AP55" t="s">
        <v>43</v>
      </c>
    </row>
    <row r="56" spans="1:42" x14ac:dyDescent="0.3">
      <c r="A56" t="s">
        <v>39</v>
      </c>
      <c r="B56">
        <v>120</v>
      </c>
      <c r="C56" t="s">
        <v>40</v>
      </c>
      <c r="D56" t="s">
        <v>49</v>
      </c>
      <c r="E56" t="s">
        <v>984</v>
      </c>
      <c r="F56" t="s">
        <v>42</v>
      </c>
      <c r="G56" t="s">
        <v>43</v>
      </c>
      <c r="H56" t="s">
        <v>48</v>
      </c>
      <c r="I56">
        <v>22049</v>
      </c>
      <c r="J56" t="s">
        <v>49</v>
      </c>
      <c r="K56">
        <v>49</v>
      </c>
      <c r="L56" t="s">
        <v>985</v>
      </c>
      <c r="M56">
        <v>2</v>
      </c>
      <c r="N56" t="s">
        <v>134</v>
      </c>
      <c r="O56" t="s">
        <v>327</v>
      </c>
      <c r="P56">
        <v>2052</v>
      </c>
      <c r="Q56" t="s">
        <v>328</v>
      </c>
      <c r="R56" t="s">
        <v>329</v>
      </c>
      <c r="S56">
        <v>7700</v>
      </c>
      <c r="T56" t="s">
        <v>49</v>
      </c>
      <c r="U56" t="s">
        <v>330</v>
      </c>
      <c r="V56" t="s">
        <v>331</v>
      </c>
      <c r="W56" t="s">
        <v>141</v>
      </c>
      <c r="X56">
        <v>16081</v>
      </c>
      <c r="Y56" t="s">
        <v>178</v>
      </c>
      <c r="Z56" t="s">
        <v>143</v>
      </c>
      <c r="AA56" t="s">
        <v>143</v>
      </c>
      <c r="AB56" t="s">
        <v>145</v>
      </c>
      <c r="AC56" t="s">
        <v>158</v>
      </c>
      <c r="AD56">
        <v>7</v>
      </c>
      <c r="AE56">
        <v>40</v>
      </c>
      <c r="AF56">
        <v>897</v>
      </c>
      <c r="AG56" t="s">
        <v>143</v>
      </c>
      <c r="AH56" t="s">
        <v>143</v>
      </c>
      <c r="AI56" t="s">
        <v>143</v>
      </c>
      <c r="AJ56" t="s">
        <v>143</v>
      </c>
      <c r="AK56" t="s">
        <v>143</v>
      </c>
      <c r="AL56" t="s">
        <v>147</v>
      </c>
      <c r="AM56">
        <v>643.24</v>
      </c>
      <c r="AN56" t="s">
        <v>250</v>
      </c>
      <c r="AO56" t="s">
        <v>200</v>
      </c>
      <c r="AP56" t="s">
        <v>43</v>
      </c>
    </row>
    <row r="57" spans="1:42" x14ac:dyDescent="0.3">
      <c r="A57" t="s">
        <v>39</v>
      </c>
      <c r="B57">
        <v>120</v>
      </c>
      <c r="C57" t="s">
        <v>40</v>
      </c>
      <c r="D57" t="s">
        <v>49</v>
      </c>
      <c r="E57" t="s">
        <v>984</v>
      </c>
      <c r="F57" t="s">
        <v>50</v>
      </c>
      <c r="G57" t="s">
        <v>43</v>
      </c>
      <c r="H57" t="s">
        <v>48</v>
      </c>
      <c r="I57">
        <v>10854</v>
      </c>
      <c r="J57" t="s">
        <v>49</v>
      </c>
      <c r="K57">
        <v>854</v>
      </c>
      <c r="L57" t="s">
        <v>158</v>
      </c>
      <c r="M57">
        <v>2</v>
      </c>
      <c r="N57" t="s">
        <v>134</v>
      </c>
      <c r="O57" t="s">
        <v>332</v>
      </c>
      <c r="P57">
        <v>3730</v>
      </c>
      <c r="Q57" t="s">
        <v>333</v>
      </c>
      <c r="R57" t="s">
        <v>334</v>
      </c>
      <c r="S57">
        <v>7700</v>
      </c>
      <c r="T57" t="s">
        <v>49</v>
      </c>
      <c r="U57" t="s">
        <v>335</v>
      </c>
      <c r="V57" t="s">
        <v>336</v>
      </c>
      <c r="W57" t="s">
        <v>337</v>
      </c>
      <c r="X57">
        <v>137814</v>
      </c>
      <c r="Y57" t="s">
        <v>178</v>
      </c>
      <c r="Z57" t="s">
        <v>143</v>
      </c>
      <c r="AA57" t="s">
        <v>143</v>
      </c>
      <c r="AB57" t="s">
        <v>157</v>
      </c>
      <c r="AC57" t="s">
        <v>158</v>
      </c>
      <c r="AD57">
        <v>0</v>
      </c>
      <c r="AE57">
        <v>4</v>
      </c>
      <c r="AF57">
        <v>21185</v>
      </c>
      <c r="AG57" t="s">
        <v>143</v>
      </c>
      <c r="AH57" t="s">
        <v>143</v>
      </c>
      <c r="AI57" t="s">
        <v>143</v>
      </c>
      <c r="AJ57" t="s">
        <v>143</v>
      </c>
      <c r="AK57" t="s">
        <v>143</v>
      </c>
      <c r="AL57" t="s">
        <v>147</v>
      </c>
      <c r="AM57">
        <v>551.26</v>
      </c>
      <c r="AN57" t="s">
        <v>338</v>
      </c>
      <c r="AO57" t="s">
        <v>50</v>
      </c>
      <c r="AP57" t="s">
        <v>43</v>
      </c>
    </row>
    <row r="58" spans="1:42" x14ac:dyDescent="0.3">
      <c r="A58" t="s">
        <v>39</v>
      </c>
      <c r="B58">
        <v>120</v>
      </c>
      <c r="C58" t="s">
        <v>40</v>
      </c>
      <c r="D58" t="s">
        <v>41</v>
      </c>
      <c r="E58" t="s">
        <v>986</v>
      </c>
      <c r="F58" t="s">
        <v>42</v>
      </c>
      <c r="G58" t="s">
        <v>43</v>
      </c>
      <c r="H58" t="s">
        <v>51</v>
      </c>
      <c r="I58">
        <v>50001</v>
      </c>
      <c r="J58" t="s">
        <v>41</v>
      </c>
      <c r="K58">
        <v>1</v>
      </c>
      <c r="L58" t="s">
        <v>146</v>
      </c>
      <c r="M58">
        <v>1</v>
      </c>
      <c r="N58" t="s">
        <v>134</v>
      </c>
      <c r="O58" t="s">
        <v>160</v>
      </c>
      <c r="P58">
        <v>494</v>
      </c>
      <c r="Q58" t="s">
        <v>287</v>
      </c>
      <c r="R58" t="s">
        <v>339</v>
      </c>
      <c r="S58">
        <v>494</v>
      </c>
      <c r="T58" t="s">
        <v>287</v>
      </c>
      <c r="U58" t="s">
        <v>340</v>
      </c>
      <c r="V58" t="s">
        <v>341</v>
      </c>
      <c r="W58" t="s">
        <v>166</v>
      </c>
      <c r="X58">
        <v>8739</v>
      </c>
      <c r="Y58" t="s">
        <v>178</v>
      </c>
      <c r="Z58" t="s">
        <v>144</v>
      </c>
      <c r="AA58" t="s">
        <v>144</v>
      </c>
      <c r="AB58" t="s">
        <v>145</v>
      </c>
      <c r="AC58" t="s">
        <v>146</v>
      </c>
      <c r="AD58">
        <v>34</v>
      </c>
      <c r="AE58">
        <v>203</v>
      </c>
      <c r="AF58">
        <v>14567</v>
      </c>
      <c r="AG58" t="s">
        <v>143</v>
      </c>
      <c r="AH58" t="s">
        <v>143</v>
      </c>
      <c r="AI58" t="s">
        <v>143</v>
      </c>
      <c r="AJ58" t="s">
        <v>143</v>
      </c>
      <c r="AK58" t="s">
        <v>143</v>
      </c>
      <c r="AL58" t="s">
        <v>147</v>
      </c>
      <c r="AM58">
        <v>1774.02</v>
      </c>
      <c r="AN58" t="s">
        <v>148</v>
      </c>
      <c r="AO58" t="s">
        <v>342</v>
      </c>
      <c r="AP58" t="s">
        <v>43</v>
      </c>
    </row>
    <row r="59" spans="1:42" x14ac:dyDescent="0.3">
      <c r="A59" t="s">
        <v>39</v>
      </c>
      <c r="B59">
        <v>120</v>
      </c>
      <c r="C59" t="s">
        <v>40</v>
      </c>
      <c r="D59" t="s">
        <v>41</v>
      </c>
      <c r="E59" t="s">
        <v>986</v>
      </c>
      <c r="F59" t="s">
        <v>42</v>
      </c>
      <c r="G59" t="s">
        <v>43</v>
      </c>
      <c r="H59" t="s">
        <v>47</v>
      </c>
      <c r="I59">
        <v>28011</v>
      </c>
      <c r="J59" t="s">
        <v>41</v>
      </c>
      <c r="K59">
        <v>11</v>
      </c>
      <c r="L59" t="s">
        <v>146</v>
      </c>
      <c r="M59">
        <v>1</v>
      </c>
      <c r="N59" t="s">
        <v>134</v>
      </c>
      <c r="O59" t="s">
        <v>324</v>
      </c>
      <c r="P59">
        <v>2300</v>
      </c>
      <c r="Q59" t="s">
        <v>153</v>
      </c>
      <c r="R59" t="s">
        <v>343</v>
      </c>
      <c r="S59">
        <v>2300</v>
      </c>
      <c r="T59" t="s">
        <v>153</v>
      </c>
      <c r="U59" t="s">
        <v>344</v>
      </c>
      <c r="V59" t="s">
        <v>344</v>
      </c>
      <c r="W59" t="s">
        <v>166</v>
      </c>
      <c r="X59">
        <v>14139</v>
      </c>
      <c r="Y59" t="s">
        <v>178</v>
      </c>
      <c r="Z59" t="s">
        <v>143</v>
      </c>
      <c r="AA59" t="s">
        <v>144</v>
      </c>
      <c r="AB59" t="s">
        <v>145</v>
      </c>
      <c r="AC59" t="s">
        <v>146</v>
      </c>
      <c r="AD59">
        <v>22</v>
      </c>
      <c r="AE59">
        <v>123</v>
      </c>
      <c r="AF59">
        <v>14669</v>
      </c>
      <c r="AG59" t="s">
        <v>143</v>
      </c>
      <c r="AH59" t="s">
        <v>143</v>
      </c>
      <c r="AI59" t="s">
        <v>143</v>
      </c>
      <c r="AJ59" t="s">
        <v>143</v>
      </c>
      <c r="AK59" t="s">
        <v>143</v>
      </c>
      <c r="AL59" t="s">
        <v>147</v>
      </c>
      <c r="AM59">
        <v>1739.1</v>
      </c>
      <c r="AN59" t="s">
        <v>148</v>
      </c>
      <c r="AO59" t="s">
        <v>217</v>
      </c>
      <c r="AP59" t="s">
        <v>43</v>
      </c>
    </row>
    <row r="60" spans="1:42" x14ac:dyDescent="0.3">
      <c r="A60" t="s">
        <v>39</v>
      </c>
      <c r="B60">
        <v>120</v>
      </c>
      <c r="C60" t="s">
        <v>40</v>
      </c>
      <c r="D60" t="s">
        <v>41</v>
      </c>
      <c r="E60" t="s">
        <v>986</v>
      </c>
      <c r="F60" t="s">
        <v>42</v>
      </c>
      <c r="G60" t="s">
        <v>43</v>
      </c>
      <c r="H60" t="s">
        <v>44</v>
      </c>
      <c r="I60">
        <v>10191</v>
      </c>
      <c r="J60" t="s">
        <v>41</v>
      </c>
      <c r="K60">
        <v>191</v>
      </c>
      <c r="L60" t="s">
        <v>158</v>
      </c>
      <c r="M60">
        <v>1</v>
      </c>
      <c r="N60" t="s">
        <v>134</v>
      </c>
      <c r="O60" t="s">
        <v>292</v>
      </c>
      <c r="P60">
        <v>1284</v>
      </c>
      <c r="Q60" t="s">
        <v>225</v>
      </c>
      <c r="R60" t="s">
        <v>293</v>
      </c>
      <c r="S60">
        <v>122</v>
      </c>
      <c r="T60" t="s">
        <v>138</v>
      </c>
      <c r="U60" t="s">
        <v>139</v>
      </c>
      <c r="V60" t="s">
        <v>140</v>
      </c>
      <c r="W60" t="s">
        <v>141</v>
      </c>
      <c r="X60">
        <v>23172</v>
      </c>
      <c r="Y60" t="s">
        <v>294</v>
      </c>
      <c r="Z60" t="s">
        <v>144</v>
      </c>
      <c r="AA60" t="s">
        <v>143</v>
      </c>
      <c r="AB60" t="s">
        <v>157</v>
      </c>
      <c r="AC60" t="s">
        <v>158</v>
      </c>
      <c r="AD60">
        <v>0</v>
      </c>
      <c r="AE60">
        <v>3</v>
      </c>
      <c r="AF60">
        <v>14793</v>
      </c>
      <c r="AG60" t="s">
        <v>143</v>
      </c>
      <c r="AH60" t="s">
        <v>143</v>
      </c>
      <c r="AI60" t="s">
        <v>143</v>
      </c>
      <c r="AJ60" t="s">
        <v>143</v>
      </c>
      <c r="AK60" t="s">
        <v>143</v>
      </c>
      <c r="AL60" t="s">
        <v>147</v>
      </c>
      <c r="AM60">
        <v>69.52</v>
      </c>
      <c r="AN60" t="s">
        <v>148</v>
      </c>
      <c r="AO60" t="s">
        <v>295</v>
      </c>
      <c r="AP60" t="s">
        <v>43</v>
      </c>
    </row>
    <row r="61" spans="1:42" x14ac:dyDescent="0.3">
      <c r="A61" t="s">
        <v>39</v>
      </c>
      <c r="B61">
        <v>120</v>
      </c>
      <c r="C61" t="s">
        <v>40</v>
      </c>
      <c r="D61" t="s">
        <v>41</v>
      </c>
      <c r="E61" t="s">
        <v>986</v>
      </c>
      <c r="F61" t="s">
        <v>42</v>
      </c>
      <c r="G61" t="s">
        <v>43</v>
      </c>
      <c r="H61" t="s">
        <v>48</v>
      </c>
      <c r="I61">
        <v>13407</v>
      </c>
      <c r="J61" t="s">
        <v>41</v>
      </c>
      <c r="K61">
        <v>407</v>
      </c>
      <c r="L61" t="s">
        <v>158</v>
      </c>
      <c r="M61">
        <v>2</v>
      </c>
      <c r="N61" t="s">
        <v>134</v>
      </c>
      <c r="O61" t="s">
        <v>345</v>
      </c>
      <c r="P61">
        <v>1284</v>
      </c>
      <c r="Q61" t="s">
        <v>225</v>
      </c>
      <c r="R61" t="s">
        <v>293</v>
      </c>
      <c r="S61">
        <v>240</v>
      </c>
      <c r="T61" t="s">
        <v>162</v>
      </c>
      <c r="U61" t="s">
        <v>346</v>
      </c>
      <c r="V61" t="s">
        <v>347</v>
      </c>
      <c r="W61" t="s">
        <v>141</v>
      </c>
      <c r="X61">
        <v>27737</v>
      </c>
      <c r="Y61" t="s">
        <v>178</v>
      </c>
      <c r="Z61" t="s">
        <v>143</v>
      </c>
      <c r="AA61" t="s">
        <v>143</v>
      </c>
      <c r="AB61" t="s">
        <v>157</v>
      </c>
      <c r="AC61" t="s">
        <v>158</v>
      </c>
      <c r="AD61">
        <v>19</v>
      </c>
      <c r="AE61">
        <v>95</v>
      </c>
      <c r="AF61">
        <v>17107</v>
      </c>
      <c r="AG61" t="s">
        <v>143</v>
      </c>
      <c r="AH61" t="s">
        <v>143</v>
      </c>
      <c r="AI61" t="s">
        <v>143</v>
      </c>
      <c r="AJ61" t="s">
        <v>143</v>
      </c>
      <c r="AK61" t="s">
        <v>143</v>
      </c>
      <c r="AL61" t="s">
        <v>147</v>
      </c>
      <c r="AM61">
        <v>2635.02</v>
      </c>
      <c r="AN61" t="s">
        <v>348</v>
      </c>
      <c r="AO61" t="s">
        <v>349</v>
      </c>
      <c r="AP61" t="s">
        <v>43</v>
      </c>
    </row>
    <row r="62" spans="1:42" x14ac:dyDescent="0.3">
      <c r="A62" t="s">
        <v>39</v>
      </c>
      <c r="B62">
        <v>120</v>
      </c>
      <c r="C62" t="s">
        <v>40</v>
      </c>
      <c r="D62" t="s">
        <v>41</v>
      </c>
      <c r="E62" t="s">
        <v>986</v>
      </c>
      <c r="F62" t="s">
        <v>42</v>
      </c>
      <c r="G62" t="s">
        <v>43</v>
      </c>
      <c r="H62" t="s">
        <v>51</v>
      </c>
      <c r="I62">
        <v>39002</v>
      </c>
      <c r="J62" t="s">
        <v>41</v>
      </c>
      <c r="K62">
        <v>2</v>
      </c>
      <c r="L62" t="s">
        <v>146</v>
      </c>
      <c r="M62">
        <v>1</v>
      </c>
      <c r="N62" t="s">
        <v>134</v>
      </c>
      <c r="O62" t="s">
        <v>168</v>
      </c>
      <c r="P62">
        <v>494</v>
      </c>
      <c r="Q62" t="s">
        <v>287</v>
      </c>
      <c r="R62" t="s">
        <v>350</v>
      </c>
      <c r="S62">
        <v>494</v>
      </c>
      <c r="T62" t="s">
        <v>287</v>
      </c>
      <c r="U62" t="s">
        <v>351</v>
      </c>
      <c r="V62" t="s">
        <v>352</v>
      </c>
      <c r="W62" t="s">
        <v>166</v>
      </c>
      <c r="X62">
        <v>6701</v>
      </c>
      <c r="Y62" t="s">
        <v>178</v>
      </c>
      <c r="Z62" t="s">
        <v>144</v>
      </c>
      <c r="AA62" t="s">
        <v>144</v>
      </c>
      <c r="AB62" t="s">
        <v>145</v>
      </c>
      <c r="AC62" t="s">
        <v>146</v>
      </c>
      <c r="AD62">
        <v>34</v>
      </c>
      <c r="AE62">
        <v>203</v>
      </c>
      <c r="AF62">
        <v>14788</v>
      </c>
      <c r="AG62" t="s">
        <v>143</v>
      </c>
      <c r="AH62" t="s">
        <v>143</v>
      </c>
      <c r="AI62" t="s">
        <v>143</v>
      </c>
      <c r="AJ62" t="s">
        <v>143</v>
      </c>
      <c r="AK62" t="s">
        <v>143</v>
      </c>
      <c r="AL62" t="s">
        <v>147</v>
      </c>
      <c r="AM62">
        <v>1360.3</v>
      </c>
      <c r="AN62" t="s">
        <v>148</v>
      </c>
      <c r="AO62" t="s">
        <v>353</v>
      </c>
      <c r="AP62" t="s">
        <v>43</v>
      </c>
    </row>
    <row r="63" spans="1:42" x14ac:dyDescent="0.3">
      <c r="A63" t="s">
        <v>39</v>
      </c>
      <c r="B63">
        <v>120</v>
      </c>
      <c r="C63" t="s">
        <v>40</v>
      </c>
      <c r="D63" t="s">
        <v>41</v>
      </c>
      <c r="E63" t="s">
        <v>986</v>
      </c>
      <c r="F63" t="s">
        <v>54</v>
      </c>
      <c r="G63" t="s">
        <v>43</v>
      </c>
      <c r="H63" t="s">
        <v>46</v>
      </c>
      <c r="I63">
        <v>12181</v>
      </c>
      <c r="J63" t="s">
        <v>41</v>
      </c>
      <c r="K63">
        <v>181</v>
      </c>
      <c r="L63" t="s">
        <v>158</v>
      </c>
      <c r="M63">
        <v>2</v>
      </c>
      <c r="N63" t="s">
        <v>134</v>
      </c>
      <c r="O63" t="s">
        <v>354</v>
      </c>
      <c r="P63">
        <v>240</v>
      </c>
      <c r="Q63" t="s">
        <v>162</v>
      </c>
      <c r="R63" t="s">
        <v>355</v>
      </c>
      <c r="S63">
        <v>4000</v>
      </c>
      <c r="T63" t="s">
        <v>189</v>
      </c>
      <c r="U63" t="s">
        <v>198</v>
      </c>
      <c r="V63" t="s">
        <v>199</v>
      </c>
      <c r="W63" t="s">
        <v>141</v>
      </c>
      <c r="X63">
        <v>34816</v>
      </c>
      <c r="Y63" t="s">
        <v>178</v>
      </c>
      <c r="Z63" t="s">
        <v>144</v>
      </c>
      <c r="AA63" t="s">
        <v>143</v>
      </c>
      <c r="AB63" t="s">
        <v>157</v>
      </c>
      <c r="AC63" t="s">
        <v>158</v>
      </c>
      <c r="AD63">
        <v>5</v>
      </c>
      <c r="AE63">
        <v>36</v>
      </c>
      <c r="AF63">
        <v>14170</v>
      </c>
      <c r="AG63" t="s">
        <v>143</v>
      </c>
      <c r="AH63" t="s">
        <v>143</v>
      </c>
      <c r="AI63" t="s">
        <v>143</v>
      </c>
      <c r="AJ63" t="s">
        <v>143</v>
      </c>
      <c r="AK63" t="s">
        <v>143</v>
      </c>
      <c r="AL63" t="s">
        <v>147</v>
      </c>
      <c r="AM63">
        <v>1253.3800000000001</v>
      </c>
      <c r="AN63" t="s">
        <v>148</v>
      </c>
      <c r="AO63" t="s">
        <v>54</v>
      </c>
      <c r="AP63" t="s">
        <v>43</v>
      </c>
    </row>
    <row r="64" spans="1:42" x14ac:dyDescent="0.3">
      <c r="A64" t="s">
        <v>39</v>
      </c>
      <c r="B64">
        <v>120</v>
      </c>
      <c r="C64" t="s">
        <v>40</v>
      </c>
      <c r="D64" t="s">
        <v>41</v>
      </c>
      <c r="E64" t="s">
        <v>986</v>
      </c>
      <c r="F64" t="s">
        <v>50</v>
      </c>
      <c r="G64" t="s">
        <v>43</v>
      </c>
      <c r="H64" t="s">
        <v>48</v>
      </c>
      <c r="I64">
        <v>12117</v>
      </c>
      <c r="J64" t="s">
        <v>41</v>
      </c>
      <c r="K64">
        <v>117</v>
      </c>
      <c r="L64" t="s">
        <v>146</v>
      </c>
      <c r="M64">
        <v>2</v>
      </c>
      <c r="N64" t="s">
        <v>134</v>
      </c>
      <c r="O64" t="s">
        <v>356</v>
      </c>
      <c r="P64">
        <v>240</v>
      </c>
      <c r="Q64" t="s">
        <v>162</v>
      </c>
      <c r="R64" t="s">
        <v>175</v>
      </c>
      <c r="S64">
        <v>140</v>
      </c>
      <c r="T64" t="s">
        <v>136</v>
      </c>
      <c r="U64" t="s">
        <v>357</v>
      </c>
      <c r="V64" t="s">
        <v>358</v>
      </c>
      <c r="W64" t="s">
        <v>166</v>
      </c>
      <c r="X64">
        <v>11458</v>
      </c>
      <c r="Y64" t="s">
        <v>142</v>
      </c>
      <c r="Z64" t="s">
        <v>143</v>
      </c>
      <c r="AA64" t="s">
        <v>144</v>
      </c>
      <c r="AB64" t="s">
        <v>157</v>
      </c>
      <c r="AC64" t="s">
        <v>146</v>
      </c>
      <c r="AD64">
        <v>35</v>
      </c>
      <c r="AE64">
        <v>193</v>
      </c>
      <c r="AF64">
        <v>17848</v>
      </c>
      <c r="AG64" t="s">
        <v>143</v>
      </c>
      <c r="AH64" t="s">
        <v>143</v>
      </c>
      <c r="AI64" t="s">
        <v>143</v>
      </c>
      <c r="AJ64" t="s">
        <v>143</v>
      </c>
      <c r="AK64" t="s">
        <v>143</v>
      </c>
      <c r="AL64" t="s">
        <v>147</v>
      </c>
      <c r="AM64">
        <v>2211.39</v>
      </c>
      <c r="AN64" t="s">
        <v>302</v>
      </c>
      <c r="AO64" t="s">
        <v>50</v>
      </c>
      <c r="AP64" t="s">
        <v>43</v>
      </c>
    </row>
    <row r="65" spans="1:42" x14ac:dyDescent="0.3">
      <c r="A65" t="s">
        <v>39</v>
      </c>
      <c r="B65">
        <v>120</v>
      </c>
      <c r="C65" t="s">
        <v>40</v>
      </c>
      <c r="D65" t="s">
        <v>41</v>
      </c>
      <c r="E65" t="s">
        <v>986</v>
      </c>
      <c r="F65" t="s">
        <v>50</v>
      </c>
      <c r="G65" t="s">
        <v>43</v>
      </c>
      <c r="H65" t="s">
        <v>48</v>
      </c>
      <c r="I65">
        <v>13180</v>
      </c>
      <c r="J65" t="s">
        <v>41</v>
      </c>
      <c r="K65">
        <v>180</v>
      </c>
      <c r="L65" t="s">
        <v>158</v>
      </c>
      <c r="M65">
        <v>1</v>
      </c>
      <c r="N65" t="s">
        <v>134</v>
      </c>
      <c r="O65" t="s">
        <v>221</v>
      </c>
      <c r="P65">
        <v>4000</v>
      </c>
      <c r="Q65" t="s">
        <v>189</v>
      </c>
      <c r="R65" t="s">
        <v>252</v>
      </c>
      <c r="S65">
        <v>240</v>
      </c>
      <c r="T65" t="s">
        <v>162</v>
      </c>
      <c r="U65" t="s">
        <v>346</v>
      </c>
      <c r="V65" t="s">
        <v>347</v>
      </c>
      <c r="W65" t="s">
        <v>141</v>
      </c>
      <c r="X65">
        <v>22551</v>
      </c>
      <c r="Y65" t="s">
        <v>178</v>
      </c>
      <c r="Z65" t="s">
        <v>143</v>
      </c>
      <c r="AA65" t="s">
        <v>143</v>
      </c>
      <c r="AB65" t="s">
        <v>157</v>
      </c>
      <c r="AC65" t="s">
        <v>158</v>
      </c>
      <c r="AD65">
        <v>12</v>
      </c>
      <c r="AE65">
        <v>77</v>
      </c>
      <c r="AF65">
        <v>14166</v>
      </c>
      <c r="AG65" t="s">
        <v>143</v>
      </c>
      <c r="AH65" t="s">
        <v>143</v>
      </c>
      <c r="AI65" t="s">
        <v>143</v>
      </c>
      <c r="AJ65" t="s">
        <v>143</v>
      </c>
      <c r="AK65" t="s">
        <v>143</v>
      </c>
      <c r="AL65" t="s">
        <v>147</v>
      </c>
      <c r="AM65">
        <v>1736.43</v>
      </c>
      <c r="AN65" t="s">
        <v>148</v>
      </c>
      <c r="AO65" t="s">
        <v>50</v>
      </c>
      <c r="AP65" t="s">
        <v>43</v>
      </c>
    </row>
    <row r="66" spans="1:42" x14ac:dyDescent="0.3">
      <c r="A66" t="s">
        <v>39</v>
      </c>
      <c r="B66">
        <v>120</v>
      </c>
      <c r="C66" t="s">
        <v>40</v>
      </c>
      <c r="D66" t="s">
        <v>41</v>
      </c>
      <c r="E66" t="s">
        <v>984</v>
      </c>
      <c r="F66" t="s">
        <v>45</v>
      </c>
      <c r="G66" t="s">
        <v>43</v>
      </c>
      <c r="H66" t="s">
        <v>46</v>
      </c>
      <c r="I66">
        <v>24021</v>
      </c>
      <c r="J66" t="s">
        <v>41</v>
      </c>
      <c r="K66">
        <v>21</v>
      </c>
      <c r="L66" t="s">
        <v>985</v>
      </c>
      <c r="M66">
        <v>2</v>
      </c>
      <c r="N66" t="s">
        <v>160</v>
      </c>
      <c r="O66" t="s">
        <v>271</v>
      </c>
      <c r="P66">
        <v>430</v>
      </c>
      <c r="Q66" t="s">
        <v>272</v>
      </c>
      <c r="R66" t="s">
        <v>273</v>
      </c>
      <c r="S66">
        <v>1860</v>
      </c>
      <c r="T66" t="s">
        <v>274</v>
      </c>
      <c r="U66" t="s">
        <v>275</v>
      </c>
      <c r="V66" t="s">
        <v>276</v>
      </c>
      <c r="W66" t="s">
        <v>141</v>
      </c>
      <c r="X66">
        <v>24212</v>
      </c>
      <c r="Y66" t="s">
        <v>178</v>
      </c>
      <c r="Z66" t="s">
        <v>143</v>
      </c>
      <c r="AA66" t="s">
        <v>143</v>
      </c>
      <c r="AB66" t="s">
        <v>145</v>
      </c>
      <c r="AC66" t="s">
        <v>158</v>
      </c>
      <c r="AD66">
        <v>1</v>
      </c>
      <c r="AE66">
        <v>6</v>
      </c>
      <c r="AF66">
        <v>14123</v>
      </c>
      <c r="AG66" t="s">
        <v>143</v>
      </c>
      <c r="AH66" t="s">
        <v>143</v>
      </c>
      <c r="AI66" t="s">
        <v>143</v>
      </c>
      <c r="AJ66" t="s">
        <v>143</v>
      </c>
      <c r="AK66" t="s">
        <v>143</v>
      </c>
      <c r="AL66" t="s">
        <v>147</v>
      </c>
      <c r="AM66">
        <v>145.27000000000001</v>
      </c>
      <c r="AN66" t="s">
        <v>148</v>
      </c>
      <c r="AO66" t="s">
        <v>277</v>
      </c>
      <c r="AP66" t="s">
        <v>43</v>
      </c>
    </row>
    <row r="67" spans="1:42" x14ac:dyDescent="0.3">
      <c r="A67" t="s">
        <v>39</v>
      </c>
      <c r="B67">
        <v>120</v>
      </c>
      <c r="C67" t="s">
        <v>40</v>
      </c>
      <c r="D67" t="s">
        <v>41</v>
      </c>
      <c r="E67" t="s">
        <v>984</v>
      </c>
      <c r="F67" t="s">
        <v>45</v>
      </c>
      <c r="G67" t="s">
        <v>43</v>
      </c>
      <c r="H67" t="s">
        <v>48</v>
      </c>
      <c r="I67">
        <v>12301</v>
      </c>
      <c r="J67" t="s">
        <v>41</v>
      </c>
      <c r="K67">
        <v>301</v>
      </c>
      <c r="L67" t="s">
        <v>158</v>
      </c>
      <c r="M67">
        <v>1</v>
      </c>
      <c r="N67" t="s">
        <v>202</v>
      </c>
      <c r="O67" t="s">
        <v>251</v>
      </c>
      <c r="P67">
        <v>4000</v>
      </c>
      <c r="Q67" t="s">
        <v>189</v>
      </c>
      <c r="R67" t="s">
        <v>252</v>
      </c>
      <c r="S67">
        <v>7700</v>
      </c>
      <c r="T67" t="s">
        <v>49</v>
      </c>
      <c r="U67" t="s">
        <v>248</v>
      </c>
      <c r="V67" t="s">
        <v>253</v>
      </c>
      <c r="W67" t="s">
        <v>141</v>
      </c>
      <c r="X67">
        <v>41219</v>
      </c>
      <c r="Y67" t="s">
        <v>178</v>
      </c>
      <c r="Z67" t="s">
        <v>144</v>
      </c>
      <c r="AA67" t="s">
        <v>144</v>
      </c>
      <c r="AB67" t="s">
        <v>157</v>
      </c>
      <c r="AC67" t="s">
        <v>158</v>
      </c>
      <c r="AD67">
        <v>1</v>
      </c>
      <c r="AE67">
        <v>6</v>
      </c>
      <c r="AF67">
        <v>14183</v>
      </c>
      <c r="AG67" t="s">
        <v>143</v>
      </c>
      <c r="AH67" t="s">
        <v>143</v>
      </c>
      <c r="AI67" t="s">
        <v>143</v>
      </c>
      <c r="AJ67" t="s">
        <v>143</v>
      </c>
      <c r="AK67" t="s">
        <v>143</v>
      </c>
      <c r="AL67" t="s">
        <v>147</v>
      </c>
      <c r="AM67">
        <v>247.31</v>
      </c>
      <c r="AN67" t="s">
        <v>148</v>
      </c>
      <c r="AO67" t="s">
        <v>200</v>
      </c>
      <c r="AP67" t="s">
        <v>43</v>
      </c>
    </row>
    <row r="68" spans="1:42" x14ac:dyDescent="0.3">
      <c r="A68" t="s">
        <v>39</v>
      </c>
      <c r="B68">
        <v>120</v>
      </c>
      <c r="C68" t="s">
        <v>40</v>
      </c>
      <c r="D68" t="s">
        <v>41</v>
      </c>
      <c r="E68" t="s">
        <v>984</v>
      </c>
      <c r="F68" t="s">
        <v>45</v>
      </c>
      <c r="G68" t="s">
        <v>43</v>
      </c>
      <c r="H68" t="s">
        <v>48</v>
      </c>
      <c r="I68">
        <v>13426</v>
      </c>
      <c r="J68" t="s">
        <v>41</v>
      </c>
      <c r="K68">
        <v>426</v>
      </c>
      <c r="L68" t="s">
        <v>158</v>
      </c>
      <c r="M68">
        <v>1</v>
      </c>
      <c r="N68" t="s">
        <v>134</v>
      </c>
      <c r="O68" t="s">
        <v>359</v>
      </c>
      <c r="P68">
        <v>240</v>
      </c>
      <c r="Q68" t="s">
        <v>162</v>
      </c>
      <c r="R68" t="s">
        <v>175</v>
      </c>
      <c r="S68">
        <v>1840</v>
      </c>
      <c r="T68" t="s">
        <v>230</v>
      </c>
      <c r="U68" t="s">
        <v>360</v>
      </c>
      <c r="V68" t="s">
        <v>361</v>
      </c>
      <c r="W68" t="s">
        <v>141</v>
      </c>
      <c r="X68">
        <v>30192</v>
      </c>
      <c r="Y68" t="s">
        <v>178</v>
      </c>
      <c r="Z68" t="s">
        <v>143</v>
      </c>
      <c r="AA68" t="s">
        <v>143</v>
      </c>
      <c r="AB68" t="s">
        <v>157</v>
      </c>
      <c r="AC68" t="s">
        <v>158</v>
      </c>
      <c r="AD68">
        <v>14</v>
      </c>
      <c r="AE68">
        <v>70</v>
      </c>
      <c r="AF68">
        <v>19959</v>
      </c>
      <c r="AG68" t="s">
        <v>143</v>
      </c>
      <c r="AH68" t="s">
        <v>143</v>
      </c>
      <c r="AI68" t="s">
        <v>143</v>
      </c>
      <c r="AJ68" t="s">
        <v>143</v>
      </c>
      <c r="AK68" t="s">
        <v>143</v>
      </c>
      <c r="AL68" t="s">
        <v>147</v>
      </c>
      <c r="AM68">
        <v>2113.44</v>
      </c>
      <c r="AN68" t="s">
        <v>362</v>
      </c>
      <c r="AO68" t="s">
        <v>215</v>
      </c>
      <c r="AP68" t="s">
        <v>43</v>
      </c>
    </row>
    <row r="69" spans="1:42" x14ac:dyDescent="0.3">
      <c r="A69" t="s">
        <v>39</v>
      </c>
      <c r="B69">
        <v>120</v>
      </c>
      <c r="C69" t="s">
        <v>40</v>
      </c>
      <c r="D69" t="s">
        <v>41</v>
      </c>
      <c r="E69" t="s">
        <v>984</v>
      </c>
      <c r="F69" t="s">
        <v>45</v>
      </c>
      <c r="G69" t="s">
        <v>43</v>
      </c>
      <c r="H69" t="s">
        <v>48</v>
      </c>
      <c r="I69">
        <v>13426</v>
      </c>
      <c r="J69" t="s">
        <v>41</v>
      </c>
      <c r="K69">
        <v>426</v>
      </c>
      <c r="L69" t="s">
        <v>158</v>
      </c>
      <c r="M69">
        <v>1</v>
      </c>
      <c r="N69" t="s">
        <v>160</v>
      </c>
      <c r="O69" t="s">
        <v>359</v>
      </c>
      <c r="P69">
        <v>240</v>
      </c>
      <c r="Q69" t="s">
        <v>162</v>
      </c>
      <c r="R69" t="s">
        <v>175</v>
      </c>
      <c r="S69">
        <v>1840</v>
      </c>
      <c r="T69" t="s">
        <v>230</v>
      </c>
      <c r="U69" t="s">
        <v>360</v>
      </c>
      <c r="V69" t="s">
        <v>361</v>
      </c>
      <c r="W69" t="s">
        <v>141</v>
      </c>
      <c r="X69">
        <v>33914</v>
      </c>
      <c r="Y69" t="s">
        <v>178</v>
      </c>
      <c r="Z69" t="s">
        <v>143</v>
      </c>
      <c r="AA69" t="s">
        <v>143</v>
      </c>
      <c r="AB69" t="s">
        <v>157</v>
      </c>
      <c r="AC69" t="s">
        <v>158</v>
      </c>
      <c r="AD69">
        <v>6</v>
      </c>
      <c r="AE69">
        <v>30</v>
      </c>
      <c r="AF69">
        <v>19969</v>
      </c>
      <c r="AG69" t="s">
        <v>143</v>
      </c>
      <c r="AH69" t="s">
        <v>143</v>
      </c>
      <c r="AI69" t="s">
        <v>143</v>
      </c>
      <c r="AJ69" t="s">
        <v>143</v>
      </c>
      <c r="AK69" t="s">
        <v>143</v>
      </c>
      <c r="AL69" t="s">
        <v>147</v>
      </c>
      <c r="AM69">
        <v>1017.42</v>
      </c>
      <c r="AN69" t="s">
        <v>362</v>
      </c>
      <c r="AO69" t="s">
        <v>215</v>
      </c>
      <c r="AP69" t="s">
        <v>43</v>
      </c>
    </row>
    <row r="70" spans="1:42" x14ac:dyDescent="0.3">
      <c r="A70" t="s">
        <v>39</v>
      </c>
      <c r="B70">
        <v>120</v>
      </c>
      <c r="C70" t="s">
        <v>40</v>
      </c>
      <c r="D70" t="s">
        <v>41</v>
      </c>
      <c r="E70" t="s">
        <v>984</v>
      </c>
      <c r="F70" t="s">
        <v>45</v>
      </c>
      <c r="G70" t="s">
        <v>43</v>
      </c>
      <c r="H70" t="s">
        <v>48</v>
      </c>
      <c r="I70">
        <v>13426</v>
      </c>
      <c r="J70" t="s">
        <v>41</v>
      </c>
      <c r="K70">
        <v>426</v>
      </c>
      <c r="L70" t="s">
        <v>158</v>
      </c>
      <c r="M70">
        <v>2</v>
      </c>
      <c r="N70" t="s">
        <v>134</v>
      </c>
      <c r="O70" t="s">
        <v>359</v>
      </c>
      <c r="P70">
        <v>1840</v>
      </c>
      <c r="Q70" t="s">
        <v>230</v>
      </c>
      <c r="R70" t="s">
        <v>360</v>
      </c>
      <c r="S70">
        <v>240</v>
      </c>
      <c r="T70" t="s">
        <v>162</v>
      </c>
      <c r="U70" t="s">
        <v>346</v>
      </c>
      <c r="V70" t="s">
        <v>347</v>
      </c>
      <c r="W70" t="s">
        <v>141</v>
      </c>
      <c r="X70">
        <v>31452</v>
      </c>
      <c r="Y70" t="s">
        <v>178</v>
      </c>
      <c r="Z70" t="s">
        <v>143</v>
      </c>
      <c r="AA70" t="s">
        <v>143</v>
      </c>
      <c r="AB70" t="s">
        <v>157</v>
      </c>
      <c r="AC70" t="s">
        <v>158</v>
      </c>
      <c r="AD70">
        <v>14</v>
      </c>
      <c r="AE70">
        <v>70</v>
      </c>
      <c r="AF70">
        <v>19960</v>
      </c>
      <c r="AG70" t="s">
        <v>143</v>
      </c>
      <c r="AH70" t="s">
        <v>143</v>
      </c>
      <c r="AI70" t="s">
        <v>143</v>
      </c>
      <c r="AJ70" t="s">
        <v>143</v>
      </c>
      <c r="AK70" t="s">
        <v>143</v>
      </c>
      <c r="AL70" t="s">
        <v>147</v>
      </c>
      <c r="AM70">
        <v>2201.64</v>
      </c>
      <c r="AN70" t="s">
        <v>362</v>
      </c>
      <c r="AO70" t="s">
        <v>215</v>
      </c>
      <c r="AP70" t="s">
        <v>43</v>
      </c>
    </row>
    <row r="71" spans="1:42" x14ac:dyDescent="0.3">
      <c r="A71" t="s">
        <v>39</v>
      </c>
      <c r="B71">
        <v>120</v>
      </c>
      <c r="C71" t="s">
        <v>40</v>
      </c>
      <c r="D71" t="s">
        <v>41</v>
      </c>
      <c r="E71" t="s">
        <v>986</v>
      </c>
      <c r="F71" t="s">
        <v>45</v>
      </c>
      <c r="G71" t="s">
        <v>43</v>
      </c>
      <c r="H71" t="s">
        <v>46</v>
      </c>
      <c r="I71">
        <v>22090</v>
      </c>
      <c r="J71" t="s">
        <v>41</v>
      </c>
      <c r="K71">
        <v>90</v>
      </c>
      <c r="L71" t="s">
        <v>985</v>
      </c>
      <c r="M71">
        <v>1</v>
      </c>
      <c r="N71" t="s">
        <v>134</v>
      </c>
      <c r="O71" t="s">
        <v>150</v>
      </c>
      <c r="P71">
        <v>2300</v>
      </c>
      <c r="Q71" t="s">
        <v>153</v>
      </c>
      <c r="R71" t="s">
        <v>154</v>
      </c>
      <c r="S71">
        <v>112</v>
      </c>
      <c r="T71" t="s">
        <v>151</v>
      </c>
      <c r="U71" t="s">
        <v>152</v>
      </c>
      <c r="V71" t="s">
        <v>363</v>
      </c>
      <c r="W71" t="s">
        <v>141</v>
      </c>
      <c r="X71">
        <v>17081</v>
      </c>
      <c r="Y71" t="s">
        <v>156</v>
      </c>
      <c r="Z71" t="s">
        <v>143</v>
      </c>
      <c r="AA71" t="s">
        <v>143</v>
      </c>
      <c r="AB71" t="s">
        <v>157</v>
      </c>
      <c r="AC71" t="s">
        <v>158</v>
      </c>
      <c r="AD71">
        <v>3</v>
      </c>
      <c r="AE71">
        <v>16</v>
      </c>
      <c r="AF71">
        <v>14152</v>
      </c>
      <c r="AG71" t="s">
        <v>143</v>
      </c>
      <c r="AH71" t="s">
        <v>143</v>
      </c>
      <c r="AI71" t="s">
        <v>143</v>
      </c>
      <c r="AJ71" t="s">
        <v>143</v>
      </c>
      <c r="AK71" t="s">
        <v>143</v>
      </c>
      <c r="AL71" t="s">
        <v>147</v>
      </c>
      <c r="AM71">
        <v>273.3</v>
      </c>
      <c r="AN71" t="s">
        <v>148</v>
      </c>
      <c r="AO71" t="s">
        <v>159</v>
      </c>
      <c r="AP71" t="s">
        <v>43</v>
      </c>
    </row>
    <row r="72" spans="1:42" x14ac:dyDescent="0.3">
      <c r="A72" t="s">
        <v>39</v>
      </c>
      <c r="B72">
        <v>120</v>
      </c>
      <c r="C72" t="s">
        <v>40</v>
      </c>
      <c r="D72" t="s">
        <v>41</v>
      </c>
      <c r="E72" t="s">
        <v>986</v>
      </c>
      <c r="F72" t="s">
        <v>45</v>
      </c>
      <c r="G72" t="s">
        <v>43</v>
      </c>
      <c r="H72" t="s">
        <v>46</v>
      </c>
      <c r="I72">
        <v>29087</v>
      </c>
      <c r="J72" t="s">
        <v>41</v>
      </c>
      <c r="K72">
        <v>87</v>
      </c>
      <c r="L72" t="s">
        <v>146</v>
      </c>
      <c r="M72">
        <v>2</v>
      </c>
      <c r="N72" t="s">
        <v>134</v>
      </c>
      <c r="O72" t="s">
        <v>364</v>
      </c>
      <c r="P72">
        <v>2300</v>
      </c>
      <c r="Q72" t="s">
        <v>153</v>
      </c>
      <c r="R72" t="s">
        <v>204</v>
      </c>
      <c r="S72">
        <v>2300</v>
      </c>
      <c r="T72" t="s">
        <v>153</v>
      </c>
      <c r="U72" t="s">
        <v>365</v>
      </c>
      <c r="V72" t="s">
        <v>366</v>
      </c>
      <c r="W72" t="s">
        <v>166</v>
      </c>
      <c r="X72">
        <v>10269</v>
      </c>
      <c r="Y72" t="s">
        <v>156</v>
      </c>
      <c r="Z72" t="s">
        <v>143</v>
      </c>
      <c r="AA72" t="s">
        <v>144</v>
      </c>
      <c r="AB72" t="s">
        <v>157</v>
      </c>
      <c r="AC72" t="s">
        <v>146</v>
      </c>
      <c r="AD72">
        <v>1</v>
      </c>
      <c r="AE72">
        <v>6</v>
      </c>
      <c r="AF72">
        <v>14151</v>
      </c>
      <c r="AG72" t="s">
        <v>143</v>
      </c>
      <c r="AH72" t="s">
        <v>143</v>
      </c>
      <c r="AI72" t="s">
        <v>143</v>
      </c>
      <c r="AJ72" t="s">
        <v>143</v>
      </c>
      <c r="AK72" t="s">
        <v>143</v>
      </c>
      <c r="AL72" t="s">
        <v>147</v>
      </c>
      <c r="AM72">
        <v>61.61</v>
      </c>
      <c r="AN72" t="s">
        <v>148</v>
      </c>
      <c r="AO72" t="s">
        <v>159</v>
      </c>
      <c r="AP72" t="s">
        <v>43</v>
      </c>
    </row>
    <row r="73" spans="1:42" x14ac:dyDescent="0.3">
      <c r="A73" t="s">
        <v>39</v>
      </c>
      <c r="B73">
        <v>120</v>
      </c>
      <c r="C73" t="s">
        <v>40</v>
      </c>
      <c r="D73" t="s">
        <v>41</v>
      </c>
      <c r="E73" t="s">
        <v>986</v>
      </c>
      <c r="F73" t="s">
        <v>45</v>
      </c>
      <c r="G73" t="s">
        <v>43</v>
      </c>
      <c r="H73" t="s">
        <v>46</v>
      </c>
      <c r="I73">
        <v>26085</v>
      </c>
      <c r="J73" t="s">
        <v>41</v>
      </c>
      <c r="K73">
        <v>85</v>
      </c>
      <c r="L73" t="s">
        <v>146</v>
      </c>
      <c r="M73">
        <v>1</v>
      </c>
      <c r="N73" t="s">
        <v>168</v>
      </c>
      <c r="O73" t="s">
        <v>203</v>
      </c>
      <c r="P73">
        <v>2300</v>
      </c>
      <c r="Q73" t="s">
        <v>153</v>
      </c>
      <c r="R73" t="s">
        <v>367</v>
      </c>
      <c r="S73">
        <v>2300</v>
      </c>
      <c r="T73" t="s">
        <v>153</v>
      </c>
      <c r="U73" t="s">
        <v>266</v>
      </c>
      <c r="V73" t="s">
        <v>267</v>
      </c>
      <c r="W73" t="s">
        <v>166</v>
      </c>
      <c r="X73">
        <v>4192</v>
      </c>
      <c r="Y73" t="s">
        <v>156</v>
      </c>
      <c r="Z73" t="s">
        <v>143</v>
      </c>
      <c r="AA73" t="s">
        <v>144</v>
      </c>
      <c r="AB73" t="s">
        <v>145</v>
      </c>
      <c r="AC73" t="s">
        <v>146</v>
      </c>
      <c r="AD73">
        <v>1</v>
      </c>
      <c r="AE73">
        <v>8</v>
      </c>
      <c r="AF73">
        <v>14816</v>
      </c>
      <c r="AG73" t="s">
        <v>143</v>
      </c>
      <c r="AH73" t="s">
        <v>143</v>
      </c>
      <c r="AI73" t="s">
        <v>143</v>
      </c>
      <c r="AJ73" t="s">
        <v>143</v>
      </c>
      <c r="AK73" t="s">
        <v>143</v>
      </c>
      <c r="AL73" t="s">
        <v>147</v>
      </c>
      <c r="AM73">
        <v>33.54</v>
      </c>
      <c r="AN73" t="s">
        <v>148</v>
      </c>
      <c r="AO73" t="s">
        <v>206</v>
      </c>
      <c r="AP73" t="s">
        <v>43</v>
      </c>
    </row>
    <row r="74" spans="1:42" x14ac:dyDescent="0.3">
      <c r="A74" t="s">
        <v>39</v>
      </c>
      <c r="B74">
        <v>120</v>
      </c>
      <c r="C74" t="s">
        <v>40</v>
      </c>
      <c r="D74" t="s">
        <v>41</v>
      </c>
      <c r="E74" t="s">
        <v>984</v>
      </c>
      <c r="F74" t="s">
        <v>45</v>
      </c>
      <c r="G74" t="s">
        <v>43</v>
      </c>
      <c r="H74" t="s">
        <v>48</v>
      </c>
      <c r="I74">
        <v>12301</v>
      </c>
      <c r="J74" t="s">
        <v>41</v>
      </c>
      <c r="K74">
        <v>301</v>
      </c>
      <c r="L74" t="s">
        <v>158</v>
      </c>
      <c r="M74">
        <v>1</v>
      </c>
      <c r="N74" t="s">
        <v>134</v>
      </c>
      <c r="O74" t="s">
        <v>251</v>
      </c>
      <c r="P74">
        <v>4000</v>
      </c>
      <c r="Q74" t="s">
        <v>189</v>
      </c>
      <c r="R74" t="s">
        <v>252</v>
      </c>
      <c r="S74">
        <v>7700</v>
      </c>
      <c r="T74" t="s">
        <v>49</v>
      </c>
      <c r="U74" t="s">
        <v>248</v>
      </c>
      <c r="V74" t="s">
        <v>253</v>
      </c>
      <c r="W74" t="s">
        <v>141</v>
      </c>
      <c r="X74">
        <v>39933</v>
      </c>
      <c r="Y74" t="s">
        <v>178</v>
      </c>
      <c r="Z74" t="s">
        <v>144</v>
      </c>
      <c r="AA74" t="s">
        <v>144</v>
      </c>
      <c r="AB74" t="s">
        <v>157</v>
      </c>
      <c r="AC74" t="s">
        <v>158</v>
      </c>
      <c r="AD74">
        <v>56</v>
      </c>
      <c r="AE74">
        <v>321</v>
      </c>
      <c r="AF74">
        <v>14180</v>
      </c>
      <c r="AG74" t="s">
        <v>143</v>
      </c>
      <c r="AH74" t="s">
        <v>143</v>
      </c>
      <c r="AI74" t="s">
        <v>143</v>
      </c>
      <c r="AJ74" t="s">
        <v>143</v>
      </c>
      <c r="AK74" t="s">
        <v>143</v>
      </c>
      <c r="AL74" t="s">
        <v>147</v>
      </c>
      <c r="AM74">
        <v>12818.49</v>
      </c>
      <c r="AN74" t="s">
        <v>148</v>
      </c>
      <c r="AO74" t="s">
        <v>50</v>
      </c>
      <c r="AP74" t="s">
        <v>43</v>
      </c>
    </row>
    <row r="75" spans="1:42" x14ac:dyDescent="0.3">
      <c r="A75" t="s">
        <v>39</v>
      </c>
      <c r="B75">
        <v>120</v>
      </c>
      <c r="C75" t="s">
        <v>40</v>
      </c>
      <c r="D75" t="s">
        <v>41</v>
      </c>
      <c r="E75" t="s">
        <v>986</v>
      </c>
      <c r="F75" t="s">
        <v>45</v>
      </c>
      <c r="G75" t="s">
        <v>43</v>
      </c>
      <c r="H75" t="s">
        <v>46</v>
      </c>
      <c r="I75">
        <v>12793</v>
      </c>
      <c r="J75" t="s">
        <v>41</v>
      </c>
      <c r="K75">
        <v>793</v>
      </c>
      <c r="L75" t="s">
        <v>158</v>
      </c>
      <c r="M75">
        <v>1</v>
      </c>
      <c r="N75" t="s">
        <v>160</v>
      </c>
      <c r="O75" t="s">
        <v>259</v>
      </c>
      <c r="P75">
        <v>4000</v>
      </c>
      <c r="Q75" t="s">
        <v>189</v>
      </c>
      <c r="R75" t="s">
        <v>368</v>
      </c>
      <c r="S75">
        <v>944</v>
      </c>
      <c r="T75" t="s">
        <v>208</v>
      </c>
      <c r="U75" t="s">
        <v>369</v>
      </c>
      <c r="V75" t="s">
        <v>370</v>
      </c>
      <c r="W75" t="s">
        <v>141</v>
      </c>
      <c r="X75">
        <v>29291</v>
      </c>
      <c r="Y75" t="s">
        <v>178</v>
      </c>
      <c r="Z75" t="s">
        <v>143</v>
      </c>
      <c r="AA75" t="s">
        <v>143</v>
      </c>
      <c r="AB75" t="s">
        <v>157</v>
      </c>
      <c r="AC75" t="s">
        <v>158</v>
      </c>
      <c r="AD75">
        <v>2</v>
      </c>
      <c r="AE75">
        <v>9</v>
      </c>
      <c r="AF75">
        <v>14189</v>
      </c>
      <c r="AG75" t="s">
        <v>143</v>
      </c>
      <c r="AH75" t="s">
        <v>143</v>
      </c>
      <c r="AI75" t="s">
        <v>143</v>
      </c>
      <c r="AJ75" t="s">
        <v>143</v>
      </c>
      <c r="AK75" t="s">
        <v>143</v>
      </c>
      <c r="AL75" t="s">
        <v>147</v>
      </c>
      <c r="AM75">
        <v>263.62</v>
      </c>
      <c r="AN75" t="s">
        <v>148</v>
      </c>
      <c r="AO75" t="s">
        <v>159</v>
      </c>
      <c r="AP75" t="s">
        <v>43</v>
      </c>
    </row>
    <row r="76" spans="1:42" x14ac:dyDescent="0.3">
      <c r="A76" t="s">
        <v>39</v>
      </c>
      <c r="B76">
        <v>120</v>
      </c>
      <c r="C76" t="s">
        <v>40</v>
      </c>
      <c r="D76" t="s">
        <v>41</v>
      </c>
      <c r="E76" t="s">
        <v>986</v>
      </c>
      <c r="F76" t="s">
        <v>45</v>
      </c>
      <c r="G76" t="s">
        <v>43</v>
      </c>
      <c r="H76" t="s">
        <v>46</v>
      </c>
      <c r="I76">
        <v>12793</v>
      </c>
      <c r="J76" t="s">
        <v>41</v>
      </c>
      <c r="K76">
        <v>793</v>
      </c>
      <c r="L76" t="s">
        <v>158</v>
      </c>
      <c r="M76">
        <v>2</v>
      </c>
      <c r="N76" t="s">
        <v>160</v>
      </c>
      <c r="O76" t="s">
        <v>259</v>
      </c>
      <c r="P76">
        <v>944</v>
      </c>
      <c r="Q76" t="s">
        <v>208</v>
      </c>
      <c r="R76" t="s">
        <v>258</v>
      </c>
      <c r="S76">
        <v>4000</v>
      </c>
      <c r="T76" t="s">
        <v>189</v>
      </c>
      <c r="U76" t="s">
        <v>261</v>
      </c>
      <c r="V76" t="s">
        <v>262</v>
      </c>
      <c r="W76" t="s">
        <v>141</v>
      </c>
      <c r="X76">
        <v>24367</v>
      </c>
      <c r="Y76" t="s">
        <v>178</v>
      </c>
      <c r="Z76" t="s">
        <v>143</v>
      </c>
      <c r="AA76" t="s">
        <v>144</v>
      </c>
      <c r="AB76" t="s">
        <v>157</v>
      </c>
      <c r="AC76" t="s">
        <v>158</v>
      </c>
      <c r="AD76">
        <v>1</v>
      </c>
      <c r="AE76">
        <v>5</v>
      </c>
      <c r="AF76">
        <v>14192</v>
      </c>
      <c r="AG76" t="s">
        <v>143</v>
      </c>
      <c r="AH76" t="s">
        <v>143</v>
      </c>
      <c r="AI76" t="s">
        <v>143</v>
      </c>
      <c r="AJ76" t="s">
        <v>143</v>
      </c>
      <c r="AK76" t="s">
        <v>143</v>
      </c>
      <c r="AL76" t="s">
        <v>147</v>
      </c>
      <c r="AM76">
        <v>121.84</v>
      </c>
      <c r="AN76" t="s">
        <v>148</v>
      </c>
      <c r="AO76" t="s">
        <v>159</v>
      </c>
      <c r="AP76" t="s">
        <v>43</v>
      </c>
    </row>
    <row r="77" spans="1:42" x14ac:dyDescent="0.3">
      <c r="A77" t="s">
        <v>39</v>
      </c>
      <c r="B77">
        <v>120</v>
      </c>
      <c r="C77" t="s">
        <v>40</v>
      </c>
      <c r="D77" t="s">
        <v>41</v>
      </c>
      <c r="E77" t="s">
        <v>986</v>
      </c>
      <c r="F77" t="s">
        <v>45</v>
      </c>
      <c r="G77" t="s">
        <v>43</v>
      </c>
      <c r="H77" t="s">
        <v>46</v>
      </c>
      <c r="I77">
        <v>54081</v>
      </c>
      <c r="J77" t="s">
        <v>41</v>
      </c>
      <c r="K77">
        <v>81</v>
      </c>
      <c r="L77" t="s">
        <v>146</v>
      </c>
      <c r="M77">
        <v>2</v>
      </c>
      <c r="N77" t="s">
        <v>134</v>
      </c>
      <c r="O77" t="s">
        <v>371</v>
      </c>
      <c r="P77">
        <v>494</v>
      </c>
      <c r="Q77" t="s">
        <v>287</v>
      </c>
      <c r="R77" t="s">
        <v>372</v>
      </c>
      <c r="S77">
        <v>494</v>
      </c>
      <c r="T77" t="s">
        <v>287</v>
      </c>
      <c r="U77" t="s">
        <v>339</v>
      </c>
      <c r="V77" t="s">
        <v>373</v>
      </c>
      <c r="W77" t="s">
        <v>166</v>
      </c>
      <c r="X77">
        <v>5469</v>
      </c>
      <c r="Y77" t="s">
        <v>156</v>
      </c>
      <c r="Z77" t="s">
        <v>143</v>
      </c>
      <c r="AA77" t="s">
        <v>144</v>
      </c>
      <c r="AB77" t="s">
        <v>145</v>
      </c>
      <c r="AC77" t="s">
        <v>146</v>
      </c>
      <c r="AD77">
        <v>1</v>
      </c>
      <c r="AE77">
        <v>6</v>
      </c>
      <c r="AF77">
        <v>14204</v>
      </c>
      <c r="AG77" t="s">
        <v>143</v>
      </c>
      <c r="AH77" t="s">
        <v>143</v>
      </c>
      <c r="AI77" t="s">
        <v>143</v>
      </c>
      <c r="AJ77" t="s">
        <v>143</v>
      </c>
      <c r="AK77" t="s">
        <v>143</v>
      </c>
      <c r="AL77" t="s">
        <v>147</v>
      </c>
      <c r="AM77">
        <v>32.81</v>
      </c>
      <c r="AN77" t="s">
        <v>148</v>
      </c>
      <c r="AO77" t="s">
        <v>159</v>
      </c>
      <c r="AP77" t="s">
        <v>43</v>
      </c>
    </row>
    <row r="78" spans="1:42" x14ac:dyDescent="0.3">
      <c r="A78" t="s">
        <v>39</v>
      </c>
      <c r="B78">
        <v>120</v>
      </c>
      <c r="C78" t="s">
        <v>40</v>
      </c>
      <c r="D78" t="s">
        <v>41</v>
      </c>
      <c r="E78" t="s">
        <v>986</v>
      </c>
      <c r="F78" t="s">
        <v>45</v>
      </c>
      <c r="G78" t="s">
        <v>43</v>
      </c>
      <c r="H78" t="s">
        <v>46</v>
      </c>
      <c r="I78">
        <v>29087</v>
      </c>
      <c r="J78" t="s">
        <v>41</v>
      </c>
      <c r="K78">
        <v>87</v>
      </c>
      <c r="L78" t="s">
        <v>146</v>
      </c>
      <c r="M78">
        <v>1</v>
      </c>
      <c r="N78" t="s">
        <v>134</v>
      </c>
      <c r="O78" t="s">
        <v>364</v>
      </c>
      <c r="P78">
        <v>2300</v>
      </c>
      <c r="Q78" t="s">
        <v>153</v>
      </c>
      <c r="R78" t="s">
        <v>365</v>
      </c>
      <c r="S78">
        <v>2300</v>
      </c>
      <c r="T78" t="s">
        <v>153</v>
      </c>
      <c r="U78" t="s">
        <v>266</v>
      </c>
      <c r="V78" t="s">
        <v>267</v>
      </c>
      <c r="W78" t="s">
        <v>166</v>
      </c>
      <c r="X78">
        <v>10095</v>
      </c>
      <c r="Y78" t="s">
        <v>156</v>
      </c>
      <c r="Z78" t="s">
        <v>143</v>
      </c>
      <c r="AA78" t="s">
        <v>144</v>
      </c>
      <c r="AB78" t="s">
        <v>157</v>
      </c>
      <c r="AC78" t="s">
        <v>146</v>
      </c>
      <c r="AD78">
        <v>2</v>
      </c>
      <c r="AE78">
        <v>9</v>
      </c>
      <c r="AF78">
        <v>14149</v>
      </c>
      <c r="AG78" t="s">
        <v>143</v>
      </c>
      <c r="AH78" t="s">
        <v>143</v>
      </c>
      <c r="AI78" t="s">
        <v>143</v>
      </c>
      <c r="AJ78" t="s">
        <v>143</v>
      </c>
      <c r="AK78" t="s">
        <v>143</v>
      </c>
      <c r="AL78" t="s">
        <v>147</v>
      </c>
      <c r="AM78">
        <v>90.86</v>
      </c>
      <c r="AN78" t="s">
        <v>148</v>
      </c>
      <c r="AO78" t="s">
        <v>206</v>
      </c>
      <c r="AP78" t="s">
        <v>43</v>
      </c>
    </row>
    <row r="79" spans="1:42" x14ac:dyDescent="0.3">
      <c r="A79" t="s">
        <v>39</v>
      </c>
      <c r="B79">
        <v>120</v>
      </c>
      <c r="C79" t="s">
        <v>40</v>
      </c>
      <c r="D79" t="s">
        <v>41</v>
      </c>
      <c r="E79" t="s">
        <v>986</v>
      </c>
      <c r="F79" t="s">
        <v>45</v>
      </c>
      <c r="G79" t="s">
        <v>43</v>
      </c>
      <c r="H79" t="s">
        <v>46</v>
      </c>
      <c r="I79">
        <v>16050</v>
      </c>
      <c r="J79" t="s">
        <v>41</v>
      </c>
      <c r="K79">
        <v>50</v>
      </c>
      <c r="L79" t="s">
        <v>158</v>
      </c>
      <c r="M79">
        <v>1</v>
      </c>
      <c r="N79" t="s">
        <v>160</v>
      </c>
      <c r="O79" t="s">
        <v>212</v>
      </c>
      <c r="P79">
        <v>4000</v>
      </c>
      <c r="Q79" t="s">
        <v>189</v>
      </c>
      <c r="R79" t="s">
        <v>282</v>
      </c>
      <c r="S79">
        <v>240</v>
      </c>
      <c r="T79" t="s">
        <v>162</v>
      </c>
      <c r="U79" t="s">
        <v>184</v>
      </c>
      <c r="V79" t="s">
        <v>185</v>
      </c>
      <c r="W79" t="s">
        <v>141</v>
      </c>
      <c r="X79">
        <v>35232</v>
      </c>
      <c r="Y79" t="s">
        <v>178</v>
      </c>
      <c r="Z79" t="s">
        <v>144</v>
      </c>
      <c r="AA79" t="s">
        <v>143</v>
      </c>
      <c r="AB79" t="s">
        <v>157</v>
      </c>
      <c r="AC79" t="s">
        <v>158</v>
      </c>
      <c r="AD79">
        <v>3</v>
      </c>
      <c r="AE79">
        <v>15</v>
      </c>
      <c r="AF79">
        <v>14126</v>
      </c>
      <c r="AG79" t="s">
        <v>143</v>
      </c>
      <c r="AH79" t="s">
        <v>143</v>
      </c>
      <c r="AI79" t="s">
        <v>143</v>
      </c>
      <c r="AJ79" t="s">
        <v>143</v>
      </c>
      <c r="AK79" t="s">
        <v>143</v>
      </c>
      <c r="AL79" t="s">
        <v>147</v>
      </c>
      <c r="AM79">
        <v>528.48</v>
      </c>
      <c r="AN79" t="s">
        <v>148</v>
      </c>
      <c r="AO79" t="s">
        <v>283</v>
      </c>
      <c r="AP79" t="s">
        <v>43</v>
      </c>
    </row>
    <row r="80" spans="1:42" x14ac:dyDescent="0.3">
      <c r="A80" t="s">
        <v>39</v>
      </c>
      <c r="B80">
        <v>120</v>
      </c>
      <c r="C80" t="s">
        <v>40</v>
      </c>
      <c r="D80" t="s">
        <v>41</v>
      </c>
      <c r="E80" t="s">
        <v>986</v>
      </c>
      <c r="F80" t="s">
        <v>45</v>
      </c>
      <c r="G80" t="s">
        <v>43</v>
      </c>
      <c r="H80" t="s">
        <v>48</v>
      </c>
      <c r="I80">
        <v>12793</v>
      </c>
      <c r="J80" t="s">
        <v>41</v>
      </c>
      <c r="K80">
        <v>793</v>
      </c>
      <c r="L80" t="s">
        <v>158</v>
      </c>
      <c r="M80">
        <v>2</v>
      </c>
      <c r="N80" t="s">
        <v>134</v>
      </c>
      <c r="O80" t="s">
        <v>259</v>
      </c>
      <c r="P80">
        <v>944</v>
      </c>
      <c r="Q80" t="s">
        <v>208</v>
      </c>
      <c r="R80" t="s">
        <v>258</v>
      </c>
      <c r="S80">
        <v>4000</v>
      </c>
      <c r="T80" t="s">
        <v>189</v>
      </c>
      <c r="U80" t="s">
        <v>198</v>
      </c>
      <c r="V80" t="s">
        <v>199</v>
      </c>
      <c r="W80" t="s">
        <v>141</v>
      </c>
      <c r="X80">
        <v>18021</v>
      </c>
      <c r="Y80" t="s">
        <v>178</v>
      </c>
      <c r="Z80" t="s">
        <v>143</v>
      </c>
      <c r="AA80" t="s">
        <v>144</v>
      </c>
      <c r="AB80" t="s">
        <v>157</v>
      </c>
      <c r="AC80" t="s">
        <v>158</v>
      </c>
      <c r="AD80">
        <v>5</v>
      </c>
      <c r="AE80">
        <v>28</v>
      </c>
      <c r="AF80">
        <v>14191</v>
      </c>
      <c r="AG80" t="s">
        <v>143</v>
      </c>
      <c r="AH80" t="s">
        <v>143</v>
      </c>
      <c r="AI80" t="s">
        <v>143</v>
      </c>
      <c r="AJ80" t="s">
        <v>143</v>
      </c>
      <c r="AK80" t="s">
        <v>143</v>
      </c>
      <c r="AL80" t="s">
        <v>147</v>
      </c>
      <c r="AM80">
        <v>504.59</v>
      </c>
      <c r="AN80" t="s">
        <v>148</v>
      </c>
      <c r="AO80" t="s">
        <v>349</v>
      </c>
      <c r="AP80" t="s">
        <v>43</v>
      </c>
    </row>
    <row r="81" spans="1:42" x14ac:dyDescent="0.3">
      <c r="A81" t="s">
        <v>39</v>
      </c>
      <c r="B81">
        <v>120</v>
      </c>
      <c r="C81" t="s">
        <v>40</v>
      </c>
      <c r="D81" t="s">
        <v>41</v>
      </c>
      <c r="E81" t="s">
        <v>986</v>
      </c>
      <c r="F81" t="s">
        <v>45</v>
      </c>
      <c r="G81" t="s">
        <v>43</v>
      </c>
      <c r="H81" t="s">
        <v>48</v>
      </c>
      <c r="I81">
        <v>21075</v>
      </c>
      <c r="J81" t="s">
        <v>41</v>
      </c>
      <c r="K81">
        <v>75</v>
      </c>
      <c r="L81" t="s">
        <v>158</v>
      </c>
      <c r="M81">
        <v>2</v>
      </c>
      <c r="N81" t="s">
        <v>134</v>
      </c>
      <c r="O81" t="s">
        <v>207</v>
      </c>
      <c r="P81">
        <v>944</v>
      </c>
      <c r="Q81" t="s">
        <v>208</v>
      </c>
      <c r="R81" t="s">
        <v>258</v>
      </c>
      <c r="S81">
        <v>4000</v>
      </c>
      <c r="T81" t="s">
        <v>189</v>
      </c>
      <c r="U81" t="s">
        <v>198</v>
      </c>
      <c r="V81" t="s">
        <v>199</v>
      </c>
      <c r="W81" t="s">
        <v>141</v>
      </c>
      <c r="X81">
        <v>20019</v>
      </c>
      <c r="Y81" t="s">
        <v>178</v>
      </c>
      <c r="Z81" t="s">
        <v>144</v>
      </c>
      <c r="AA81" t="s">
        <v>143</v>
      </c>
      <c r="AB81" t="s">
        <v>157</v>
      </c>
      <c r="AC81" t="s">
        <v>158</v>
      </c>
      <c r="AD81">
        <v>24</v>
      </c>
      <c r="AE81">
        <v>142</v>
      </c>
      <c r="AF81">
        <v>14136</v>
      </c>
      <c r="AG81" t="s">
        <v>143</v>
      </c>
      <c r="AH81" t="s">
        <v>143</v>
      </c>
      <c r="AI81" t="s">
        <v>143</v>
      </c>
      <c r="AJ81" t="s">
        <v>143</v>
      </c>
      <c r="AK81" t="s">
        <v>143</v>
      </c>
      <c r="AL81" t="s">
        <v>147</v>
      </c>
      <c r="AM81">
        <v>2842.7</v>
      </c>
      <c r="AN81" t="s">
        <v>148</v>
      </c>
      <c r="AO81" t="s">
        <v>374</v>
      </c>
      <c r="AP81" t="s">
        <v>43</v>
      </c>
    </row>
    <row r="82" spans="1:42" x14ac:dyDescent="0.3">
      <c r="A82" t="s">
        <v>39</v>
      </c>
      <c r="B82">
        <v>120</v>
      </c>
      <c r="C82" t="s">
        <v>40</v>
      </c>
      <c r="D82" t="s">
        <v>41</v>
      </c>
      <c r="E82" t="s">
        <v>986</v>
      </c>
      <c r="F82" t="s">
        <v>45</v>
      </c>
      <c r="G82" t="s">
        <v>43</v>
      </c>
      <c r="H82" t="s">
        <v>47</v>
      </c>
      <c r="I82">
        <v>14157</v>
      </c>
      <c r="J82" t="s">
        <v>41</v>
      </c>
      <c r="K82">
        <v>157</v>
      </c>
      <c r="L82" t="s">
        <v>158</v>
      </c>
      <c r="M82">
        <v>1</v>
      </c>
      <c r="N82" t="s">
        <v>134</v>
      </c>
      <c r="O82" t="s">
        <v>181</v>
      </c>
      <c r="P82">
        <v>240</v>
      </c>
      <c r="Q82" t="s">
        <v>162</v>
      </c>
      <c r="R82" t="s">
        <v>164</v>
      </c>
      <c r="S82">
        <v>9800</v>
      </c>
      <c r="T82" t="s">
        <v>182</v>
      </c>
      <c r="U82" t="s">
        <v>183</v>
      </c>
      <c r="V82" t="s">
        <v>216</v>
      </c>
      <c r="W82" t="s">
        <v>141</v>
      </c>
      <c r="X82">
        <v>26779</v>
      </c>
      <c r="Y82" t="s">
        <v>178</v>
      </c>
      <c r="Z82" t="s">
        <v>143</v>
      </c>
      <c r="AA82" t="s">
        <v>143</v>
      </c>
      <c r="AB82" t="s">
        <v>157</v>
      </c>
      <c r="AC82" t="s">
        <v>158</v>
      </c>
      <c r="AD82">
        <v>6</v>
      </c>
      <c r="AE82">
        <v>33</v>
      </c>
      <c r="AF82">
        <v>14201</v>
      </c>
      <c r="AG82" t="s">
        <v>143</v>
      </c>
      <c r="AH82" t="s">
        <v>143</v>
      </c>
      <c r="AI82" t="s">
        <v>143</v>
      </c>
      <c r="AJ82" t="s">
        <v>143</v>
      </c>
      <c r="AK82" t="s">
        <v>143</v>
      </c>
      <c r="AL82" t="s">
        <v>147</v>
      </c>
      <c r="AM82">
        <v>883.71</v>
      </c>
      <c r="AN82" t="s">
        <v>148</v>
      </c>
      <c r="AO82" t="s">
        <v>217</v>
      </c>
      <c r="AP82" t="s">
        <v>43</v>
      </c>
    </row>
    <row r="83" spans="1:42" x14ac:dyDescent="0.3">
      <c r="A83" t="s">
        <v>39</v>
      </c>
      <c r="B83">
        <v>120</v>
      </c>
      <c r="C83" t="s">
        <v>40</v>
      </c>
      <c r="D83" t="s">
        <v>41</v>
      </c>
      <c r="E83" t="s">
        <v>986</v>
      </c>
      <c r="F83" t="s">
        <v>45</v>
      </c>
      <c r="G83" t="s">
        <v>43</v>
      </c>
      <c r="H83" t="s">
        <v>46</v>
      </c>
      <c r="I83">
        <v>26085</v>
      </c>
      <c r="J83" t="s">
        <v>41</v>
      </c>
      <c r="K83">
        <v>85</v>
      </c>
      <c r="L83" t="s">
        <v>146</v>
      </c>
      <c r="M83">
        <v>1</v>
      </c>
      <c r="N83" t="s">
        <v>160</v>
      </c>
      <c r="O83" t="s">
        <v>375</v>
      </c>
      <c r="P83">
        <v>2300</v>
      </c>
      <c r="Q83" t="s">
        <v>153</v>
      </c>
      <c r="R83" t="s">
        <v>376</v>
      </c>
      <c r="S83">
        <v>2300</v>
      </c>
      <c r="T83" t="s">
        <v>153</v>
      </c>
      <c r="U83" t="s">
        <v>266</v>
      </c>
      <c r="V83" t="s">
        <v>267</v>
      </c>
      <c r="W83" t="s">
        <v>166</v>
      </c>
      <c r="X83">
        <v>13335</v>
      </c>
      <c r="Y83" t="s">
        <v>156</v>
      </c>
      <c r="Z83" t="s">
        <v>143</v>
      </c>
      <c r="AA83" t="s">
        <v>144</v>
      </c>
      <c r="AB83" t="s">
        <v>145</v>
      </c>
      <c r="AC83" t="s">
        <v>146</v>
      </c>
      <c r="AD83">
        <v>1</v>
      </c>
      <c r="AE83">
        <v>9</v>
      </c>
      <c r="AF83">
        <v>14144</v>
      </c>
      <c r="AG83" t="s">
        <v>143</v>
      </c>
      <c r="AH83" t="s">
        <v>143</v>
      </c>
      <c r="AI83" t="s">
        <v>143</v>
      </c>
      <c r="AJ83" t="s">
        <v>143</v>
      </c>
      <c r="AK83" t="s">
        <v>143</v>
      </c>
      <c r="AL83" t="s">
        <v>147</v>
      </c>
      <c r="AM83">
        <v>120.02</v>
      </c>
      <c r="AN83" t="s">
        <v>148</v>
      </c>
      <c r="AO83" t="s">
        <v>377</v>
      </c>
      <c r="AP83" t="s">
        <v>43</v>
      </c>
    </row>
    <row r="84" spans="1:42" x14ac:dyDescent="0.3">
      <c r="A84" t="s">
        <v>39</v>
      </c>
      <c r="B84">
        <v>120</v>
      </c>
      <c r="C84" t="s">
        <v>40</v>
      </c>
      <c r="D84" t="s">
        <v>41</v>
      </c>
      <c r="E84" t="s">
        <v>986</v>
      </c>
      <c r="F84" t="s">
        <v>45</v>
      </c>
      <c r="G84" t="s">
        <v>43</v>
      </c>
      <c r="H84" t="s">
        <v>44</v>
      </c>
      <c r="I84">
        <v>21055</v>
      </c>
      <c r="J84" t="s">
        <v>41</v>
      </c>
      <c r="K84">
        <v>55</v>
      </c>
      <c r="L84" t="s">
        <v>146</v>
      </c>
      <c r="M84">
        <v>2</v>
      </c>
      <c r="N84" t="s">
        <v>134</v>
      </c>
      <c r="O84" t="s">
        <v>378</v>
      </c>
      <c r="P84">
        <v>494</v>
      </c>
      <c r="Q84" t="s">
        <v>287</v>
      </c>
      <c r="R84" t="s">
        <v>288</v>
      </c>
      <c r="S84">
        <v>4000</v>
      </c>
      <c r="T84" t="s">
        <v>189</v>
      </c>
      <c r="U84" t="s">
        <v>198</v>
      </c>
      <c r="V84" t="s">
        <v>199</v>
      </c>
      <c r="W84" t="s">
        <v>379</v>
      </c>
      <c r="X84">
        <v>24682</v>
      </c>
      <c r="Y84" t="s">
        <v>178</v>
      </c>
      <c r="Z84" t="s">
        <v>144</v>
      </c>
      <c r="AA84" t="s">
        <v>144</v>
      </c>
      <c r="AB84" t="s">
        <v>157</v>
      </c>
      <c r="AC84" t="s">
        <v>146</v>
      </c>
      <c r="AD84">
        <v>48</v>
      </c>
      <c r="AE84">
        <v>240</v>
      </c>
      <c r="AF84">
        <v>14565</v>
      </c>
      <c r="AG84" t="s">
        <v>143</v>
      </c>
      <c r="AH84" t="s">
        <v>143</v>
      </c>
      <c r="AI84" t="s">
        <v>143</v>
      </c>
      <c r="AJ84" t="s">
        <v>143</v>
      </c>
      <c r="AK84" t="s">
        <v>143</v>
      </c>
      <c r="AL84" t="s">
        <v>147</v>
      </c>
      <c r="AM84">
        <v>5923.68</v>
      </c>
      <c r="AN84" t="s">
        <v>148</v>
      </c>
      <c r="AO84" t="s">
        <v>380</v>
      </c>
      <c r="AP84" t="s">
        <v>43</v>
      </c>
    </row>
    <row r="85" spans="1:42" x14ac:dyDescent="0.3">
      <c r="A85" t="s">
        <v>39</v>
      </c>
      <c r="B85">
        <v>120</v>
      </c>
      <c r="C85" t="s">
        <v>40</v>
      </c>
      <c r="D85" t="s">
        <v>41</v>
      </c>
      <c r="E85" t="s">
        <v>986</v>
      </c>
      <c r="F85" t="s">
        <v>45</v>
      </c>
      <c r="G85" t="s">
        <v>43</v>
      </c>
      <c r="H85" t="s">
        <v>51</v>
      </c>
      <c r="I85">
        <v>21075</v>
      </c>
      <c r="J85" t="s">
        <v>41</v>
      </c>
      <c r="K85">
        <v>75</v>
      </c>
      <c r="L85" t="s">
        <v>158</v>
      </c>
      <c r="M85">
        <v>1</v>
      </c>
      <c r="N85" t="s">
        <v>160</v>
      </c>
      <c r="O85" t="s">
        <v>207</v>
      </c>
      <c r="P85">
        <v>4000</v>
      </c>
      <c r="Q85" t="s">
        <v>189</v>
      </c>
      <c r="R85" t="s">
        <v>252</v>
      </c>
      <c r="S85">
        <v>944</v>
      </c>
      <c r="T85" t="s">
        <v>208</v>
      </c>
      <c r="U85" t="s">
        <v>381</v>
      </c>
      <c r="V85" t="s">
        <v>382</v>
      </c>
      <c r="W85" t="s">
        <v>141</v>
      </c>
      <c r="X85">
        <v>20790</v>
      </c>
      <c r="Y85" t="s">
        <v>178</v>
      </c>
      <c r="Z85" t="s">
        <v>144</v>
      </c>
      <c r="AA85" t="s">
        <v>143</v>
      </c>
      <c r="AB85" t="s">
        <v>157</v>
      </c>
      <c r="AC85" t="s">
        <v>158</v>
      </c>
      <c r="AD85">
        <v>14</v>
      </c>
      <c r="AE85">
        <v>82</v>
      </c>
      <c r="AF85">
        <v>14135</v>
      </c>
      <c r="AG85" t="s">
        <v>143</v>
      </c>
      <c r="AH85" t="s">
        <v>143</v>
      </c>
      <c r="AI85" t="s">
        <v>143</v>
      </c>
      <c r="AJ85" t="s">
        <v>143</v>
      </c>
      <c r="AK85" t="s">
        <v>143</v>
      </c>
      <c r="AL85" t="s">
        <v>147</v>
      </c>
      <c r="AM85">
        <v>1704.78</v>
      </c>
      <c r="AN85" t="s">
        <v>148</v>
      </c>
      <c r="AO85" t="s">
        <v>256</v>
      </c>
      <c r="AP85" t="s">
        <v>43</v>
      </c>
    </row>
    <row r="86" spans="1:42" x14ac:dyDescent="0.3">
      <c r="A86" t="s">
        <v>39</v>
      </c>
      <c r="B86">
        <v>120</v>
      </c>
      <c r="C86" t="s">
        <v>40</v>
      </c>
      <c r="D86" t="s">
        <v>41</v>
      </c>
      <c r="E86" t="s">
        <v>986</v>
      </c>
      <c r="F86" t="s">
        <v>45</v>
      </c>
      <c r="G86" t="s">
        <v>43</v>
      </c>
      <c r="H86" t="s">
        <v>44</v>
      </c>
      <c r="I86">
        <v>25027</v>
      </c>
      <c r="J86" t="s">
        <v>41</v>
      </c>
      <c r="K86">
        <v>27</v>
      </c>
      <c r="L86" t="s">
        <v>158</v>
      </c>
      <c r="M86">
        <v>2</v>
      </c>
      <c r="N86" t="s">
        <v>134</v>
      </c>
      <c r="O86" t="s">
        <v>188</v>
      </c>
      <c r="P86">
        <v>317</v>
      </c>
      <c r="Q86" t="s">
        <v>191</v>
      </c>
      <c r="R86" t="s">
        <v>192</v>
      </c>
      <c r="S86">
        <v>4000</v>
      </c>
      <c r="T86" t="s">
        <v>189</v>
      </c>
      <c r="U86" t="s">
        <v>383</v>
      </c>
      <c r="V86" t="s">
        <v>384</v>
      </c>
      <c r="W86" t="s">
        <v>141</v>
      </c>
      <c r="X86">
        <v>9555</v>
      </c>
      <c r="Y86" t="s">
        <v>178</v>
      </c>
      <c r="Z86" t="s">
        <v>143</v>
      </c>
      <c r="AA86" t="s">
        <v>143</v>
      </c>
      <c r="AB86" t="s">
        <v>145</v>
      </c>
      <c r="AC86" t="s">
        <v>158</v>
      </c>
      <c r="AD86">
        <v>6</v>
      </c>
      <c r="AE86">
        <v>30</v>
      </c>
      <c r="AF86">
        <v>14200</v>
      </c>
      <c r="AG86" t="s">
        <v>143</v>
      </c>
      <c r="AH86" t="s">
        <v>143</v>
      </c>
      <c r="AI86" t="s">
        <v>143</v>
      </c>
      <c r="AJ86" t="s">
        <v>143</v>
      </c>
      <c r="AK86" t="s">
        <v>143</v>
      </c>
      <c r="AL86" t="s">
        <v>147</v>
      </c>
      <c r="AM86">
        <v>286.64999999999998</v>
      </c>
      <c r="AN86" t="s">
        <v>148</v>
      </c>
      <c r="AO86" t="s">
        <v>385</v>
      </c>
      <c r="AP86" t="s">
        <v>43</v>
      </c>
    </row>
    <row r="87" spans="1:42" x14ac:dyDescent="0.3">
      <c r="A87" t="s">
        <v>39</v>
      </c>
      <c r="B87">
        <v>120</v>
      </c>
      <c r="C87" t="s">
        <v>40</v>
      </c>
      <c r="D87" t="s">
        <v>41</v>
      </c>
      <c r="E87" t="s">
        <v>986</v>
      </c>
      <c r="F87" t="s">
        <v>45</v>
      </c>
      <c r="G87" t="s">
        <v>43</v>
      </c>
      <c r="H87" t="s">
        <v>46</v>
      </c>
      <c r="I87">
        <v>29083</v>
      </c>
      <c r="J87" t="s">
        <v>41</v>
      </c>
      <c r="K87">
        <v>83</v>
      </c>
      <c r="L87" t="s">
        <v>146</v>
      </c>
      <c r="M87">
        <v>1</v>
      </c>
      <c r="N87" t="s">
        <v>134</v>
      </c>
      <c r="O87" t="s">
        <v>386</v>
      </c>
      <c r="P87">
        <v>2300</v>
      </c>
      <c r="Q87" t="s">
        <v>153</v>
      </c>
      <c r="R87" t="s">
        <v>171</v>
      </c>
      <c r="S87">
        <v>2300</v>
      </c>
      <c r="T87" t="s">
        <v>153</v>
      </c>
      <c r="U87" t="s">
        <v>387</v>
      </c>
      <c r="V87" t="s">
        <v>388</v>
      </c>
      <c r="W87" t="s">
        <v>166</v>
      </c>
      <c r="X87">
        <v>15036</v>
      </c>
      <c r="Y87" t="s">
        <v>156</v>
      </c>
      <c r="Z87" t="s">
        <v>143</v>
      </c>
      <c r="AA87" t="s">
        <v>144</v>
      </c>
      <c r="AB87" t="s">
        <v>157</v>
      </c>
      <c r="AC87" t="s">
        <v>146</v>
      </c>
      <c r="AD87">
        <v>5</v>
      </c>
      <c r="AE87">
        <v>25</v>
      </c>
      <c r="AF87">
        <v>14142</v>
      </c>
      <c r="AG87" t="s">
        <v>143</v>
      </c>
      <c r="AH87" t="s">
        <v>143</v>
      </c>
      <c r="AI87" t="s">
        <v>143</v>
      </c>
      <c r="AJ87" t="s">
        <v>143</v>
      </c>
      <c r="AK87" t="s">
        <v>143</v>
      </c>
      <c r="AL87" t="s">
        <v>147</v>
      </c>
      <c r="AM87">
        <v>375.9</v>
      </c>
      <c r="AN87" t="s">
        <v>148</v>
      </c>
      <c r="AO87" t="s">
        <v>389</v>
      </c>
      <c r="AP87" t="s">
        <v>43</v>
      </c>
    </row>
    <row r="88" spans="1:42" x14ac:dyDescent="0.3">
      <c r="A88" t="s">
        <v>39</v>
      </c>
      <c r="B88">
        <v>120</v>
      </c>
      <c r="C88" t="s">
        <v>40</v>
      </c>
      <c r="D88" t="s">
        <v>41</v>
      </c>
      <c r="E88" t="s">
        <v>986</v>
      </c>
      <c r="F88" t="s">
        <v>45</v>
      </c>
      <c r="G88" t="s">
        <v>43</v>
      </c>
      <c r="H88" t="s">
        <v>48</v>
      </c>
      <c r="I88">
        <v>21055</v>
      </c>
      <c r="J88" t="s">
        <v>41</v>
      </c>
      <c r="K88">
        <v>55</v>
      </c>
      <c r="L88" t="s">
        <v>146</v>
      </c>
      <c r="M88">
        <v>1</v>
      </c>
      <c r="N88" t="s">
        <v>160</v>
      </c>
      <c r="O88" t="s">
        <v>378</v>
      </c>
      <c r="P88">
        <v>4000</v>
      </c>
      <c r="Q88" t="s">
        <v>189</v>
      </c>
      <c r="R88" t="s">
        <v>252</v>
      </c>
      <c r="S88">
        <v>494</v>
      </c>
      <c r="T88" t="s">
        <v>287</v>
      </c>
      <c r="U88" t="s">
        <v>390</v>
      </c>
      <c r="V88" t="s">
        <v>391</v>
      </c>
      <c r="W88" t="s">
        <v>379</v>
      </c>
      <c r="X88">
        <v>24039</v>
      </c>
      <c r="Y88" t="s">
        <v>178</v>
      </c>
      <c r="Z88" t="s">
        <v>144</v>
      </c>
      <c r="AA88" t="s">
        <v>144</v>
      </c>
      <c r="AB88" t="s">
        <v>157</v>
      </c>
      <c r="AC88" t="s">
        <v>146</v>
      </c>
      <c r="AD88">
        <v>7</v>
      </c>
      <c r="AE88">
        <v>63</v>
      </c>
      <c r="AF88">
        <v>14128</v>
      </c>
      <c r="AG88" t="s">
        <v>143</v>
      </c>
      <c r="AH88" t="s">
        <v>143</v>
      </c>
      <c r="AI88" t="s">
        <v>143</v>
      </c>
      <c r="AJ88" t="s">
        <v>143</v>
      </c>
      <c r="AK88" t="s">
        <v>143</v>
      </c>
      <c r="AL88" t="s">
        <v>147</v>
      </c>
      <c r="AM88">
        <v>1514.46</v>
      </c>
      <c r="AN88" t="s">
        <v>194</v>
      </c>
      <c r="AO88" t="s">
        <v>50</v>
      </c>
      <c r="AP88" t="s">
        <v>43</v>
      </c>
    </row>
    <row r="89" spans="1:42" x14ac:dyDescent="0.3">
      <c r="A89" t="s">
        <v>39</v>
      </c>
      <c r="B89">
        <v>120</v>
      </c>
      <c r="C89" t="s">
        <v>40</v>
      </c>
      <c r="D89" t="s">
        <v>41</v>
      </c>
      <c r="E89" t="s">
        <v>986</v>
      </c>
      <c r="F89" t="s">
        <v>45</v>
      </c>
      <c r="G89" t="s">
        <v>43</v>
      </c>
      <c r="H89" t="s">
        <v>48</v>
      </c>
      <c r="I89">
        <v>52019</v>
      </c>
      <c r="J89" t="s">
        <v>41</v>
      </c>
      <c r="K89">
        <v>19</v>
      </c>
      <c r="L89" t="s">
        <v>146</v>
      </c>
      <c r="M89">
        <v>1</v>
      </c>
      <c r="N89" t="s">
        <v>134</v>
      </c>
      <c r="O89" t="s">
        <v>174</v>
      </c>
      <c r="P89">
        <v>240</v>
      </c>
      <c r="Q89" t="s">
        <v>162</v>
      </c>
      <c r="R89" t="s">
        <v>392</v>
      </c>
      <c r="S89">
        <v>240</v>
      </c>
      <c r="T89" t="s">
        <v>162</v>
      </c>
      <c r="U89" t="s">
        <v>175</v>
      </c>
      <c r="V89" t="s">
        <v>211</v>
      </c>
      <c r="W89" t="s">
        <v>166</v>
      </c>
      <c r="X89">
        <v>9457</v>
      </c>
      <c r="Y89" t="s">
        <v>178</v>
      </c>
      <c r="Z89" t="s">
        <v>143</v>
      </c>
      <c r="AA89" t="s">
        <v>144</v>
      </c>
      <c r="AB89" t="s">
        <v>157</v>
      </c>
      <c r="AC89" t="s">
        <v>146</v>
      </c>
      <c r="AD89">
        <v>60</v>
      </c>
      <c r="AE89">
        <v>344</v>
      </c>
      <c r="AF89">
        <v>25401</v>
      </c>
      <c r="AG89" t="s">
        <v>143</v>
      </c>
      <c r="AH89" t="s">
        <v>143</v>
      </c>
      <c r="AI89" t="s">
        <v>143</v>
      </c>
      <c r="AJ89" t="s">
        <v>143</v>
      </c>
      <c r="AK89" t="s">
        <v>143</v>
      </c>
      <c r="AL89" t="s">
        <v>147</v>
      </c>
      <c r="AM89">
        <v>3253.21</v>
      </c>
      <c r="AN89" t="s">
        <v>179</v>
      </c>
      <c r="AO89" t="s">
        <v>50</v>
      </c>
      <c r="AP89" t="s">
        <v>43</v>
      </c>
    </row>
    <row r="90" spans="1:42" x14ac:dyDescent="0.3">
      <c r="A90" t="s">
        <v>39</v>
      </c>
      <c r="B90">
        <v>120</v>
      </c>
      <c r="C90" t="s">
        <v>40</v>
      </c>
      <c r="D90" t="s">
        <v>41</v>
      </c>
      <c r="E90" t="s">
        <v>984</v>
      </c>
      <c r="F90" t="s">
        <v>45</v>
      </c>
      <c r="G90" t="s">
        <v>43</v>
      </c>
      <c r="H90" t="s">
        <v>48</v>
      </c>
      <c r="I90">
        <v>13426</v>
      </c>
      <c r="J90" t="s">
        <v>41</v>
      </c>
      <c r="K90">
        <v>426</v>
      </c>
      <c r="L90" t="s">
        <v>158</v>
      </c>
      <c r="M90">
        <v>2</v>
      </c>
      <c r="N90" t="s">
        <v>160</v>
      </c>
      <c r="O90" t="s">
        <v>359</v>
      </c>
      <c r="P90">
        <v>1840</v>
      </c>
      <c r="Q90" t="s">
        <v>230</v>
      </c>
      <c r="R90" t="s">
        <v>360</v>
      </c>
      <c r="S90">
        <v>240</v>
      </c>
      <c r="T90" t="s">
        <v>162</v>
      </c>
      <c r="U90" t="s">
        <v>346</v>
      </c>
      <c r="V90" t="s">
        <v>347</v>
      </c>
      <c r="W90" t="s">
        <v>141</v>
      </c>
      <c r="X90">
        <v>35273</v>
      </c>
      <c r="Y90" t="s">
        <v>178</v>
      </c>
      <c r="Z90" t="s">
        <v>143</v>
      </c>
      <c r="AA90" t="s">
        <v>143</v>
      </c>
      <c r="AB90" t="s">
        <v>157</v>
      </c>
      <c r="AC90" t="s">
        <v>158</v>
      </c>
      <c r="AD90">
        <v>6</v>
      </c>
      <c r="AE90">
        <v>30</v>
      </c>
      <c r="AF90">
        <v>19963</v>
      </c>
      <c r="AG90" t="s">
        <v>143</v>
      </c>
      <c r="AH90" t="s">
        <v>143</v>
      </c>
      <c r="AI90" t="s">
        <v>143</v>
      </c>
      <c r="AJ90" t="s">
        <v>143</v>
      </c>
      <c r="AK90" t="s">
        <v>143</v>
      </c>
      <c r="AL90" t="s">
        <v>147</v>
      </c>
      <c r="AM90">
        <v>1058.19</v>
      </c>
      <c r="AN90" t="s">
        <v>362</v>
      </c>
      <c r="AO90" t="s">
        <v>215</v>
      </c>
      <c r="AP90" t="s">
        <v>43</v>
      </c>
    </row>
    <row r="91" spans="1:42" x14ac:dyDescent="0.3">
      <c r="A91" t="s">
        <v>39</v>
      </c>
      <c r="B91">
        <v>120</v>
      </c>
      <c r="C91" t="s">
        <v>40</v>
      </c>
      <c r="D91" t="s">
        <v>41</v>
      </c>
      <c r="E91" t="s">
        <v>984</v>
      </c>
      <c r="F91" t="s">
        <v>45</v>
      </c>
      <c r="G91" t="s">
        <v>43</v>
      </c>
      <c r="H91" t="s">
        <v>47</v>
      </c>
      <c r="I91">
        <v>24021</v>
      </c>
      <c r="J91" t="s">
        <v>41</v>
      </c>
      <c r="K91">
        <v>21</v>
      </c>
      <c r="L91" t="s">
        <v>985</v>
      </c>
      <c r="M91">
        <v>1</v>
      </c>
      <c r="N91" t="s">
        <v>134</v>
      </c>
      <c r="O91" t="s">
        <v>271</v>
      </c>
      <c r="P91">
        <v>1860</v>
      </c>
      <c r="Q91" t="s">
        <v>274</v>
      </c>
      <c r="R91" t="s">
        <v>275</v>
      </c>
      <c r="S91">
        <v>430</v>
      </c>
      <c r="T91" t="s">
        <v>272</v>
      </c>
      <c r="U91" t="s">
        <v>393</v>
      </c>
      <c r="V91" t="s">
        <v>394</v>
      </c>
      <c r="W91" t="s">
        <v>141</v>
      </c>
      <c r="X91">
        <v>17073</v>
      </c>
      <c r="Y91" t="s">
        <v>178</v>
      </c>
      <c r="Z91" t="s">
        <v>143</v>
      </c>
      <c r="AA91" t="s">
        <v>143</v>
      </c>
      <c r="AB91" t="s">
        <v>145</v>
      </c>
      <c r="AC91" t="s">
        <v>158</v>
      </c>
      <c r="AD91">
        <v>9</v>
      </c>
      <c r="AE91">
        <v>47</v>
      </c>
      <c r="AF91">
        <v>14215</v>
      </c>
      <c r="AG91" t="s">
        <v>143</v>
      </c>
      <c r="AH91" t="s">
        <v>143</v>
      </c>
      <c r="AI91" t="s">
        <v>143</v>
      </c>
      <c r="AJ91" t="s">
        <v>143</v>
      </c>
      <c r="AK91" t="s">
        <v>143</v>
      </c>
      <c r="AL91" t="s">
        <v>147</v>
      </c>
      <c r="AM91">
        <v>802.43</v>
      </c>
      <c r="AN91" t="s">
        <v>148</v>
      </c>
      <c r="AO91" t="s">
        <v>217</v>
      </c>
      <c r="AP91" t="s">
        <v>43</v>
      </c>
    </row>
    <row r="92" spans="1:42" x14ac:dyDescent="0.3">
      <c r="A92" t="s">
        <v>39</v>
      </c>
      <c r="B92">
        <v>120</v>
      </c>
      <c r="C92" t="s">
        <v>40</v>
      </c>
      <c r="D92" t="s">
        <v>41</v>
      </c>
      <c r="E92" t="s">
        <v>984</v>
      </c>
      <c r="F92" t="s">
        <v>45</v>
      </c>
      <c r="G92" t="s">
        <v>43</v>
      </c>
      <c r="H92" t="s">
        <v>48</v>
      </c>
      <c r="I92">
        <v>11300</v>
      </c>
      <c r="J92" t="s">
        <v>41</v>
      </c>
      <c r="K92">
        <v>300</v>
      </c>
      <c r="L92" t="s">
        <v>158</v>
      </c>
      <c r="M92">
        <v>1</v>
      </c>
      <c r="N92" t="s">
        <v>134</v>
      </c>
      <c r="O92" t="s">
        <v>254</v>
      </c>
      <c r="P92">
        <v>4000</v>
      </c>
      <c r="Q92" t="s">
        <v>189</v>
      </c>
      <c r="R92" t="s">
        <v>252</v>
      </c>
      <c r="S92">
        <v>7700</v>
      </c>
      <c r="T92" t="s">
        <v>49</v>
      </c>
      <c r="U92" t="s">
        <v>248</v>
      </c>
      <c r="V92" t="s">
        <v>253</v>
      </c>
      <c r="W92" t="s">
        <v>255</v>
      </c>
      <c r="X92">
        <v>41590</v>
      </c>
      <c r="Y92" t="s">
        <v>178</v>
      </c>
      <c r="Z92" t="s">
        <v>143</v>
      </c>
      <c r="AA92" t="s">
        <v>143</v>
      </c>
      <c r="AB92" t="s">
        <v>157</v>
      </c>
      <c r="AC92" t="s">
        <v>158</v>
      </c>
      <c r="AD92">
        <v>13</v>
      </c>
      <c r="AE92">
        <v>65</v>
      </c>
      <c r="AF92">
        <v>14799</v>
      </c>
      <c r="AG92" t="s">
        <v>143</v>
      </c>
      <c r="AH92" t="s">
        <v>143</v>
      </c>
      <c r="AI92" t="s">
        <v>143</v>
      </c>
      <c r="AJ92" t="s">
        <v>143</v>
      </c>
      <c r="AK92" t="s">
        <v>143</v>
      </c>
      <c r="AL92" t="s">
        <v>147</v>
      </c>
      <c r="AM92">
        <v>2703.35</v>
      </c>
      <c r="AN92" t="s">
        <v>148</v>
      </c>
      <c r="AO92" t="s">
        <v>349</v>
      </c>
      <c r="AP92" t="s">
        <v>43</v>
      </c>
    </row>
    <row r="93" spans="1:42" x14ac:dyDescent="0.3">
      <c r="A93" t="s">
        <v>39</v>
      </c>
      <c r="B93">
        <v>120</v>
      </c>
      <c r="C93" t="s">
        <v>40</v>
      </c>
      <c r="D93" t="s">
        <v>41</v>
      </c>
      <c r="E93" t="s">
        <v>984</v>
      </c>
      <c r="F93" t="s">
        <v>45</v>
      </c>
      <c r="G93" t="s">
        <v>43</v>
      </c>
      <c r="H93" t="s">
        <v>48</v>
      </c>
      <c r="I93">
        <v>12301</v>
      </c>
      <c r="J93" t="s">
        <v>41</v>
      </c>
      <c r="K93">
        <v>301</v>
      </c>
      <c r="L93" t="s">
        <v>158</v>
      </c>
      <c r="M93">
        <v>2</v>
      </c>
      <c r="N93" t="s">
        <v>134</v>
      </c>
      <c r="O93" t="s">
        <v>251</v>
      </c>
      <c r="P93">
        <v>7700</v>
      </c>
      <c r="Q93" t="s">
        <v>49</v>
      </c>
      <c r="R93" t="s">
        <v>197</v>
      </c>
      <c r="S93">
        <v>4000</v>
      </c>
      <c r="T93" t="s">
        <v>189</v>
      </c>
      <c r="U93" t="s">
        <v>198</v>
      </c>
      <c r="V93" t="s">
        <v>199</v>
      </c>
      <c r="W93" t="s">
        <v>141</v>
      </c>
      <c r="X93">
        <v>39180</v>
      </c>
      <c r="Y93" t="s">
        <v>178</v>
      </c>
      <c r="Z93" t="s">
        <v>144</v>
      </c>
      <c r="AA93" t="s">
        <v>144</v>
      </c>
      <c r="AB93" t="s">
        <v>157</v>
      </c>
      <c r="AC93" t="s">
        <v>158</v>
      </c>
      <c r="AD93">
        <v>58</v>
      </c>
      <c r="AE93">
        <v>329</v>
      </c>
      <c r="AF93">
        <v>14184</v>
      </c>
      <c r="AG93" t="s">
        <v>143</v>
      </c>
      <c r="AH93" t="s">
        <v>143</v>
      </c>
      <c r="AI93" t="s">
        <v>143</v>
      </c>
      <c r="AJ93" t="s">
        <v>143</v>
      </c>
      <c r="AK93" t="s">
        <v>143</v>
      </c>
      <c r="AL93" t="s">
        <v>147</v>
      </c>
      <c r="AM93">
        <v>12890.22</v>
      </c>
      <c r="AN93" t="s">
        <v>148</v>
      </c>
      <c r="AO93" t="s">
        <v>349</v>
      </c>
      <c r="AP93" t="s">
        <v>43</v>
      </c>
    </row>
    <row r="94" spans="1:42" x14ac:dyDescent="0.3">
      <c r="A94" t="s">
        <v>39</v>
      </c>
      <c r="B94">
        <v>120</v>
      </c>
      <c r="C94" t="s">
        <v>40</v>
      </c>
      <c r="D94" t="s">
        <v>41</v>
      </c>
      <c r="E94" t="s">
        <v>986</v>
      </c>
      <c r="F94" t="s">
        <v>45</v>
      </c>
      <c r="G94" t="s">
        <v>43</v>
      </c>
      <c r="H94" t="s">
        <v>46</v>
      </c>
      <c r="I94">
        <v>22099</v>
      </c>
      <c r="J94" t="s">
        <v>41</v>
      </c>
      <c r="K94">
        <v>99</v>
      </c>
      <c r="L94" t="s">
        <v>146</v>
      </c>
      <c r="M94">
        <v>1</v>
      </c>
      <c r="N94" t="s">
        <v>134</v>
      </c>
      <c r="O94" t="s">
        <v>395</v>
      </c>
      <c r="P94">
        <v>240</v>
      </c>
      <c r="Q94" t="s">
        <v>162</v>
      </c>
      <c r="R94" t="s">
        <v>265</v>
      </c>
      <c r="S94">
        <v>240</v>
      </c>
      <c r="T94" t="s">
        <v>162</v>
      </c>
      <c r="U94" t="s">
        <v>396</v>
      </c>
      <c r="V94" t="s">
        <v>211</v>
      </c>
      <c r="W94" t="s">
        <v>166</v>
      </c>
      <c r="X94">
        <v>9730</v>
      </c>
      <c r="Y94" t="s">
        <v>156</v>
      </c>
      <c r="Z94" t="s">
        <v>143</v>
      </c>
      <c r="AA94" t="s">
        <v>144</v>
      </c>
      <c r="AB94" t="s">
        <v>157</v>
      </c>
      <c r="AC94" t="s">
        <v>146</v>
      </c>
      <c r="AD94">
        <v>2</v>
      </c>
      <c r="AE94">
        <v>7</v>
      </c>
      <c r="AF94">
        <v>14165</v>
      </c>
      <c r="AG94" t="s">
        <v>143</v>
      </c>
      <c r="AH94" t="s">
        <v>143</v>
      </c>
      <c r="AI94" t="s">
        <v>143</v>
      </c>
      <c r="AJ94" t="s">
        <v>143</v>
      </c>
      <c r="AK94" t="s">
        <v>143</v>
      </c>
      <c r="AL94" t="s">
        <v>147</v>
      </c>
      <c r="AM94">
        <v>68.11</v>
      </c>
      <c r="AN94" t="s">
        <v>148</v>
      </c>
      <c r="AO94" t="s">
        <v>159</v>
      </c>
      <c r="AP94" t="s">
        <v>43</v>
      </c>
    </row>
    <row r="95" spans="1:42" x14ac:dyDescent="0.3">
      <c r="A95" t="s">
        <v>39</v>
      </c>
      <c r="B95">
        <v>120</v>
      </c>
      <c r="C95" t="s">
        <v>40</v>
      </c>
      <c r="D95" t="s">
        <v>41</v>
      </c>
      <c r="E95" t="s">
        <v>986</v>
      </c>
      <c r="F95" t="s">
        <v>45</v>
      </c>
      <c r="G95" t="s">
        <v>43</v>
      </c>
      <c r="H95" t="s">
        <v>46</v>
      </c>
      <c r="I95">
        <v>24086</v>
      </c>
      <c r="J95" t="s">
        <v>41</v>
      </c>
      <c r="K95">
        <v>86</v>
      </c>
      <c r="L95" t="s">
        <v>146</v>
      </c>
      <c r="M95">
        <v>1</v>
      </c>
      <c r="N95" t="s">
        <v>134</v>
      </c>
      <c r="O95" t="s">
        <v>397</v>
      </c>
      <c r="P95">
        <v>2300</v>
      </c>
      <c r="Q95" t="s">
        <v>153</v>
      </c>
      <c r="R95" t="s">
        <v>365</v>
      </c>
      <c r="S95">
        <v>2300</v>
      </c>
      <c r="T95" t="s">
        <v>153</v>
      </c>
      <c r="U95" t="s">
        <v>398</v>
      </c>
      <c r="V95" t="s">
        <v>399</v>
      </c>
      <c r="W95" t="s">
        <v>166</v>
      </c>
      <c r="X95">
        <v>9387</v>
      </c>
      <c r="Y95" t="s">
        <v>156</v>
      </c>
      <c r="Z95" t="s">
        <v>143</v>
      </c>
      <c r="AA95" t="s">
        <v>144</v>
      </c>
      <c r="AB95" t="s">
        <v>157</v>
      </c>
      <c r="AC95" t="s">
        <v>146</v>
      </c>
      <c r="AD95">
        <v>4</v>
      </c>
      <c r="AE95">
        <v>21</v>
      </c>
      <c r="AF95">
        <v>14147</v>
      </c>
      <c r="AG95" t="s">
        <v>143</v>
      </c>
      <c r="AH95" t="s">
        <v>143</v>
      </c>
      <c r="AI95" t="s">
        <v>143</v>
      </c>
      <c r="AJ95" t="s">
        <v>143</v>
      </c>
      <c r="AK95" t="s">
        <v>143</v>
      </c>
      <c r="AL95" t="s">
        <v>147</v>
      </c>
      <c r="AM95">
        <v>197.13</v>
      </c>
      <c r="AN95" t="s">
        <v>148</v>
      </c>
      <c r="AO95" t="s">
        <v>206</v>
      </c>
      <c r="AP95" t="s">
        <v>43</v>
      </c>
    </row>
    <row r="96" spans="1:42" x14ac:dyDescent="0.3">
      <c r="A96" t="s">
        <v>39</v>
      </c>
      <c r="B96">
        <v>120</v>
      </c>
      <c r="C96" t="s">
        <v>40</v>
      </c>
      <c r="D96" t="s">
        <v>41</v>
      </c>
      <c r="E96" t="s">
        <v>986</v>
      </c>
      <c r="F96" t="s">
        <v>45</v>
      </c>
      <c r="G96" t="s">
        <v>43</v>
      </c>
      <c r="H96" t="s">
        <v>46</v>
      </c>
      <c r="I96">
        <v>29087</v>
      </c>
      <c r="J96" t="s">
        <v>41</v>
      </c>
      <c r="K96">
        <v>87</v>
      </c>
      <c r="L96" t="s">
        <v>146</v>
      </c>
      <c r="M96">
        <v>1</v>
      </c>
      <c r="N96" t="s">
        <v>160</v>
      </c>
      <c r="O96" t="s">
        <v>364</v>
      </c>
      <c r="P96">
        <v>2300</v>
      </c>
      <c r="Q96" t="s">
        <v>153</v>
      </c>
      <c r="R96" t="s">
        <v>365</v>
      </c>
      <c r="S96">
        <v>430</v>
      </c>
      <c r="T96" t="s">
        <v>272</v>
      </c>
      <c r="U96" t="s">
        <v>393</v>
      </c>
      <c r="V96" t="s">
        <v>394</v>
      </c>
      <c r="W96" t="s">
        <v>166</v>
      </c>
      <c r="X96">
        <v>18483</v>
      </c>
      <c r="Y96" t="s">
        <v>156</v>
      </c>
      <c r="Z96" t="s">
        <v>143</v>
      </c>
      <c r="AA96" t="s">
        <v>144</v>
      </c>
      <c r="AB96" t="s">
        <v>157</v>
      </c>
      <c r="AC96" t="s">
        <v>146</v>
      </c>
      <c r="AD96">
        <v>3</v>
      </c>
      <c r="AE96">
        <v>16</v>
      </c>
      <c r="AF96">
        <v>14150</v>
      </c>
      <c r="AG96" t="s">
        <v>143</v>
      </c>
      <c r="AH96" t="s">
        <v>143</v>
      </c>
      <c r="AI96" t="s">
        <v>143</v>
      </c>
      <c r="AJ96" t="s">
        <v>143</v>
      </c>
      <c r="AK96" t="s">
        <v>143</v>
      </c>
      <c r="AL96" t="s">
        <v>147</v>
      </c>
      <c r="AM96">
        <v>295.73</v>
      </c>
      <c r="AN96" t="s">
        <v>148</v>
      </c>
      <c r="AO96" t="s">
        <v>206</v>
      </c>
      <c r="AP96" t="s">
        <v>43</v>
      </c>
    </row>
    <row r="97" spans="1:42" x14ac:dyDescent="0.3">
      <c r="A97" t="s">
        <v>39</v>
      </c>
      <c r="B97">
        <v>120</v>
      </c>
      <c r="C97" t="s">
        <v>40</v>
      </c>
      <c r="D97" t="s">
        <v>41</v>
      </c>
      <c r="E97" t="s">
        <v>986</v>
      </c>
      <c r="F97" t="s">
        <v>45</v>
      </c>
      <c r="G97" t="s">
        <v>43</v>
      </c>
      <c r="H97" t="s">
        <v>48</v>
      </c>
      <c r="I97">
        <v>11188</v>
      </c>
      <c r="J97" t="s">
        <v>41</v>
      </c>
      <c r="K97">
        <v>188</v>
      </c>
      <c r="L97" t="s">
        <v>158</v>
      </c>
      <c r="M97">
        <v>1</v>
      </c>
      <c r="N97" t="s">
        <v>134</v>
      </c>
      <c r="O97" t="s">
        <v>400</v>
      </c>
      <c r="P97">
        <v>4000</v>
      </c>
      <c r="Q97" t="s">
        <v>189</v>
      </c>
      <c r="R97" t="s">
        <v>252</v>
      </c>
      <c r="S97">
        <v>240</v>
      </c>
      <c r="T97" t="s">
        <v>162</v>
      </c>
      <c r="U97" t="s">
        <v>346</v>
      </c>
      <c r="V97" t="s">
        <v>347</v>
      </c>
      <c r="W97" t="s">
        <v>141</v>
      </c>
      <c r="X97">
        <v>25777</v>
      </c>
      <c r="Y97" t="s">
        <v>178</v>
      </c>
      <c r="Z97" t="s">
        <v>144</v>
      </c>
      <c r="AA97" t="s">
        <v>143</v>
      </c>
      <c r="AB97" t="s">
        <v>157</v>
      </c>
      <c r="AC97" t="s">
        <v>158</v>
      </c>
      <c r="AD97">
        <v>20</v>
      </c>
      <c r="AE97">
        <v>117</v>
      </c>
      <c r="AF97">
        <v>14176</v>
      </c>
      <c r="AG97" t="s">
        <v>143</v>
      </c>
      <c r="AH97" t="s">
        <v>143</v>
      </c>
      <c r="AI97" t="s">
        <v>143</v>
      </c>
      <c r="AJ97" t="s">
        <v>143</v>
      </c>
      <c r="AK97" t="s">
        <v>143</v>
      </c>
      <c r="AL97" t="s">
        <v>147</v>
      </c>
      <c r="AM97">
        <v>3015.91</v>
      </c>
      <c r="AN97" t="s">
        <v>148</v>
      </c>
      <c r="AO97" t="s">
        <v>215</v>
      </c>
      <c r="AP97" t="s">
        <v>43</v>
      </c>
    </row>
    <row r="98" spans="1:42" x14ac:dyDescent="0.3">
      <c r="A98" t="s">
        <v>39</v>
      </c>
      <c r="B98">
        <v>120</v>
      </c>
      <c r="C98" t="s">
        <v>40</v>
      </c>
      <c r="D98" t="s">
        <v>49</v>
      </c>
      <c r="E98" t="s">
        <v>984</v>
      </c>
      <c r="F98" t="s">
        <v>50</v>
      </c>
      <c r="G98" t="s">
        <v>43</v>
      </c>
      <c r="H98" t="s">
        <v>48</v>
      </c>
      <c r="I98">
        <v>12350</v>
      </c>
      <c r="J98" t="s">
        <v>49</v>
      </c>
      <c r="K98">
        <v>350</v>
      </c>
      <c r="L98" t="s">
        <v>158</v>
      </c>
      <c r="M98">
        <v>2</v>
      </c>
      <c r="N98" t="s">
        <v>134</v>
      </c>
      <c r="O98" t="s">
        <v>401</v>
      </c>
      <c r="P98">
        <v>913</v>
      </c>
      <c r="Q98" t="s">
        <v>237</v>
      </c>
      <c r="R98" t="s">
        <v>402</v>
      </c>
      <c r="S98">
        <v>7700</v>
      </c>
      <c r="T98" t="s">
        <v>49</v>
      </c>
      <c r="U98" t="s">
        <v>248</v>
      </c>
      <c r="V98" t="s">
        <v>253</v>
      </c>
      <c r="W98" t="s">
        <v>141</v>
      </c>
      <c r="X98">
        <v>28708</v>
      </c>
      <c r="Y98" t="s">
        <v>178</v>
      </c>
      <c r="Z98" t="s">
        <v>143</v>
      </c>
      <c r="AA98" t="s">
        <v>143</v>
      </c>
      <c r="AB98" t="s">
        <v>157</v>
      </c>
      <c r="AC98" t="s">
        <v>158</v>
      </c>
      <c r="AD98">
        <v>13</v>
      </c>
      <c r="AE98">
        <v>71</v>
      </c>
      <c r="AF98">
        <v>941</v>
      </c>
      <c r="AG98" t="s">
        <v>143</v>
      </c>
      <c r="AH98" t="s">
        <v>143</v>
      </c>
      <c r="AI98" t="s">
        <v>143</v>
      </c>
      <c r="AJ98" t="s">
        <v>143</v>
      </c>
      <c r="AK98" t="s">
        <v>143</v>
      </c>
      <c r="AL98" t="s">
        <v>147</v>
      </c>
      <c r="AM98">
        <v>2038.27</v>
      </c>
      <c r="AN98" t="s">
        <v>403</v>
      </c>
      <c r="AO98" t="s">
        <v>50</v>
      </c>
      <c r="AP98" t="s">
        <v>43</v>
      </c>
    </row>
    <row r="99" spans="1:42" x14ac:dyDescent="0.3">
      <c r="A99" t="s">
        <v>39</v>
      </c>
      <c r="B99">
        <v>120</v>
      </c>
      <c r="C99" t="s">
        <v>40</v>
      </c>
      <c r="D99" t="s">
        <v>49</v>
      </c>
      <c r="E99" t="s">
        <v>984</v>
      </c>
      <c r="F99" t="s">
        <v>50</v>
      </c>
      <c r="G99" t="s">
        <v>43</v>
      </c>
      <c r="H99" t="s">
        <v>48</v>
      </c>
      <c r="I99">
        <v>13242</v>
      </c>
      <c r="J99" t="s">
        <v>49</v>
      </c>
      <c r="K99">
        <v>242</v>
      </c>
      <c r="L99" t="s">
        <v>158</v>
      </c>
      <c r="M99">
        <v>1</v>
      </c>
      <c r="N99" t="s">
        <v>134</v>
      </c>
      <c r="O99" t="s">
        <v>404</v>
      </c>
      <c r="P99">
        <v>7700</v>
      </c>
      <c r="Q99" t="s">
        <v>49</v>
      </c>
      <c r="R99" t="s">
        <v>197</v>
      </c>
      <c r="S99">
        <v>1139</v>
      </c>
      <c r="T99" t="s">
        <v>405</v>
      </c>
      <c r="U99" t="s">
        <v>406</v>
      </c>
      <c r="V99" t="s">
        <v>407</v>
      </c>
      <c r="W99" t="s">
        <v>141</v>
      </c>
      <c r="X99">
        <v>57887</v>
      </c>
      <c r="Y99" t="s">
        <v>178</v>
      </c>
      <c r="Z99" t="s">
        <v>143</v>
      </c>
      <c r="AA99" t="s">
        <v>143</v>
      </c>
      <c r="AB99" t="s">
        <v>157</v>
      </c>
      <c r="AC99" t="s">
        <v>158</v>
      </c>
      <c r="AD99">
        <v>14</v>
      </c>
      <c r="AE99">
        <v>78</v>
      </c>
      <c r="AF99">
        <v>14109</v>
      </c>
      <c r="AG99" t="s">
        <v>143</v>
      </c>
      <c r="AH99" t="s">
        <v>143</v>
      </c>
      <c r="AI99" t="s">
        <v>143</v>
      </c>
      <c r="AJ99" t="s">
        <v>143</v>
      </c>
      <c r="AK99" t="s">
        <v>143</v>
      </c>
      <c r="AL99" t="s">
        <v>147</v>
      </c>
      <c r="AM99">
        <v>4515.1899999999996</v>
      </c>
      <c r="AN99" t="s">
        <v>408</v>
      </c>
      <c r="AO99" t="s">
        <v>50</v>
      </c>
      <c r="AP99" t="s">
        <v>43</v>
      </c>
    </row>
    <row r="100" spans="1:42" x14ac:dyDescent="0.3">
      <c r="A100" t="s">
        <v>39</v>
      </c>
      <c r="B100">
        <v>120</v>
      </c>
      <c r="C100" t="s">
        <v>40</v>
      </c>
      <c r="D100" t="s">
        <v>49</v>
      </c>
      <c r="E100" t="s">
        <v>986</v>
      </c>
      <c r="F100" t="s">
        <v>42</v>
      </c>
      <c r="G100" t="s">
        <v>43</v>
      </c>
      <c r="H100" t="s">
        <v>48</v>
      </c>
      <c r="I100">
        <v>13246</v>
      </c>
      <c r="J100" t="s">
        <v>49</v>
      </c>
      <c r="K100">
        <v>246</v>
      </c>
      <c r="L100" t="s">
        <v>158</v>
      </c>
      <c r="M100">
        <v>2</v>
      </c>
      <c r="N100" t="s">
        <v>134</v>
      </c>
      <c r="O100" t="s">
        <v>409</v>
      </c>
      <c r="P100">
        <v>7700</v>
      </c>
      <c r="Q100" t="s">
        <v>49</v>
      </c>
      <c r="R100" t="s">
        <v>410</v>
      </c>
      <c r="S100">
        <v>2710</v>
      </c>
      <c r="T100" t="s">
        <v>411</v>
      </c>
      <c r="U100" t="s">
        <v>412</v>
      </c>
      <c r="V100" t="s">
        <v>413</v>
      </c>
      <c r="W100" t="s">
        <v>141</v>
      </c>
      <c r="X100">
        <v>30331</v>
      </c>
      <c r="Y100" t="s">
        <v>178</v>
      </c>
      <c r="Z100" t="s">
        <v>144</v>
      </c>
      <c r="AA100" t="s">
        <v>143</v>
      </c>
      <c r="AB100" t="s">
        <v>145</v>
      </c>
      <c r="AC100" t="s">
        <v>158</v>
      </c>
      <c r="AD100">
        <v>6</v>
      </c>
      <c r="AE100">
        <v>33</v>
      </c>
      <c r="AF100">
        <v>14806</v>
      </c>
      <c r="AG100" t="s">
        <v>143</v>
      </c>
      <c r="AH100" t="s">
        <v>143</v>
      </c>
      <c r="AI100" t="s">
        <v>143</v>
      </c>
      <c r="AJ100" t="s">
        <v>143</v>
      </c>
      <c r="AK100" t="s">
        <v>143</v>
      </c>
      <c r="AL100" t="s">
        <v>147</v>
      </c>
      <c r="AM100">
        <v>1000.92</v>
      </c>
      <c r="AN100" t="s">
        <v>148</v>
      </c>
      <c r="AO100" t="s">
        <v>200</v>
      </c>
      <c r="AP100" t="s">
        <v>43</v>
      </c>
    </row>
    <row r="101" spans="1:42" x14ac:dyDescent="0.3">
      <c r="A101" t="s">
        <v>39</v>
      </c>
      <c r="B101">
        <v>120</v>
      </c>
      <c r="C101" t="s">
        <v>40</v>
      </c>
      <c r="D101" t="s">
        <v>55</v>
      </c>
      <c r="E101" t="s">
        <v>984</v>
      </c>
      <c r="F101" t="s">
        <v>45</v>
      </c>
      <c r="G101" t="s">
        <v>43</v>
      </c>
      <c r="H101" t="s">
        <v>46</v>
      </c>
      <c r="I101">
        <v>26075</v>
      </c>
      <c r="J101" t="s">
        <v>55</v>
      </c>
      <c r="K101">
        <v>75</v>
      </c>
      <c r="L101" t="s">
        <v>146</v>
      </c>
      <c r="M101">
        <v>2</v>
      </c>
      <c r="N101" t="s">
        <v>134</v>
      </c>
      <c r="O101" t="s">
        <v>207</v>
      </c>
      <c r="P101">
        <v>6700</v>
      </c>
      <c r="Q101" t="s">
        <v>55</v>
      </c>
      <c r="R101" t="s">
        <v>414</v>
      </c>
      <c r="S101">
        <v>6700</v>
      </c>
      <c r="T101" t="s">
        <v>55</v>
      </c>
      <c r="U101" t="s">
        <v>415</v>
      </c>
      <c r="V101" t="s">
        <v>416</v>
      </c>
      <c r="W101" t="s">
        <v>166</v>
      </c>
      <c r="X101">
        <v>9753</v>
      </c>
      <c r="Y101" t="s">
        <v>156</v>
      </c>
      <c r="Z101" t="s">
        <v>143</v>
      </c>
      <c r="AA101" t="s">
        <v>144</v>
      </c>
      <c r="AB101" t="s">
        <v>157</v>
      </c>
      <c r="AC101" t="s">
        <v>146</v>
      </c>
      <c r="AD101">
        <v>1</v>
      </c>
      <c r="AE101">
        <v>6</v>
      </c>
      <c r="AF101">
        <v>15680</v>
      </c>
      <c r="AG101" t="s">
        <v>143</v>
      </c>
      <c r="AH101" t="s">
        <v>143</v>
      </c>
      <c r="AI101" t="s">
        <v>143</v>
      </c>
      <c r="AJ101" t="s">
        <v>143</v>
      </c>
      <c r="AK101" t="s">
        <v>143</v>
      </c>
      <c r="AL101" t="s">
        <v>147</v>
      </c>
      <c r="AM101">
        <v>58.52</v>
      </c>
      <c r="AN101" t="s">
        <v>417</v>
      </c>
      <c r="AO101" t="s">
        <v>159</v>
      </c>
      <c r="AP101" t="s">
        <v>43</v>
      </c>
    </row>
    <row r="102" spans="1:42" x14ac:dyDescent="0.3">
      <c r="A102" t="s">
        <v>39</v>
      </c>
      <c r="B102">
        <v>120</v>
      </c>
      <c r="C102" t="s">
        <v>40</v>
      </c>
      <c r="D102" t="s">
        <v>55</v>
      </c>
      <c r="E102" t="s">
        <v>984</v>
      </c>
      <c r="F102" t="s">
        <v>45</v>
      </c>
      <c r="G102" t="s">
        <v>43</v>
      </c>
      <c r="H102" t="s">
        <v>46</v>
      </c>
      <c r="I102">
        <v>30073</v>
      </c>
      <c r="J102" t="s">
        <v>55</v>
      </c>
      <c r="K102">
        <v>73</v>
      </c>
      <c r="L102" t="s">
        <v>985</v>
      </c>
      <c r="M102">
        <v>1</v>
      </c>
      <c r="N102" t="s">
        <v>134</v>
      </c>
      <c r="O102" t="s">
        <v>418</v>
      </c>
      <c r="P102">
        <v>1821</v>
      </c>
      <c r="Q102" t="s">
        <v>419</v>
      </c>
      <c r="R102" t="s">
        <v>420</v>
      </c>
      <c r="S102">
        <v>65</v>
      </c>
      <c r="T102" t="s">
        <v>421</v>
      </c>
      <c r="U102" t="s">
        <v>422</v>
      </c>
      <c r="V102" t="s">
        <v>423</v>
      </c>
      <c r="W102" t="s">
        <v>141</v>
      </c>
      <c r="X102">
        <v>20915</v>
      </c>
      <c r="Y102" t="s">
        <v>156</v>
      </c>
      <c r="Z102" t="s">
        <v>143</v>
      </c>
      <c r="AA102" t="s">
        <v>143</v>
      </c>
      <c r="AB102" t="s">
        <v>157</v>
      </c>
      <c r="AC102" t="s">
        <v>158</v>
      </c>
      <c r="AD102">
        <v>2</v>
      </c>
      <c r="AE102">
        <v>10</v>
      </c>
      <c r="AF102">
        <v>15558</v>
      </c>
      <c r="AG102" t="s">
        <v>143</v>
      </c>
      <c r="AH102" t="s">
        <v>143</v>
      </c>
      <c r="AI102" t="s">
        <v>143</v>
      </c>
      <c r="AJ102" t="s">
        <v>143</v>
      </c>
      <c r="AK102" t="s">
        <v>143</v>
      </c>
      <c r="AL102" t="s">
        <v>147</v>
      </c>
      <c r="AM102">
        <v>209.15</v>
      </c>
      <c r="AN102" t="s">
        <v>417</v>
      </c>
      <c r="AO102" t="s">
        <v>159</v>
      </c>
      <c r="AP102" t="s">
        <v>43</v>
      </c>
    </row>
    <row r="103" spans="1:42" x14ac:dyDescent="0.3">
      <c r="A103" t="s">
        <v>39</v>
      </c>
      <c r="B103">
        <v>120</v>
      </c>
      <c r="C103" t="s">
        <v>40</v>
      </c>
      <c r="D103" t="s">
        <v>55</v>
      </c>
      <c r="E103" t="s">
        <v>984</v>
      </c>
      <c r="F103" t="s">
        <v>45</v>
      </c>
      <c r="G103" t="s">
        <v>43</v>
      </c>
      <c r="H103" t="s">
        <v>46</v>
      </c>
      <c r="I103">
        <v>33006</v>
      </c>
      <c r="J103" t="s">
        <v>55</v>
      </c>
      <c r="K103">
        <v>6</v>
      </c>
      <c r="L103" t="s">
        <v>146</v>
      </c>
      <c r="M103">
        <v>2</v>
      </c>
      <c r="N103" t="s">
        <v>160</v>
      </c>
      <c r="O103" t="s">
        <v>424</v>
      </c>
      <c r="P103">
        <v>6700</v>
      </c>
      <c r="Q103" t="s">
        <v>55</v>
      </c>
      <c r="R103" t="s">
        <v>425</v>
      </c>
      <c r="S103">
        <v>6700</v>
      </c>
      <c r="T103" t="s">
        <v>55</v>
      </c>
      <c r="U103" t="s">
        <v>426</v>
      </c>
      <c r="V103" t="s">
        <v>249</v>
      </c>
      <c r="W103" t="s">
        <v>166</v>
      </c>
      <c r="X103">
        <v>11427</v>
      </c>
      <c r="Y103" t="s">
        <v>178</v>
      </c>
      <c r="Z103" t="s">
        <v>143</v>
      </c>
      <c r="AA103" t="s">
        <v>144</v>
      </c>
      <c r="AB103" t="s">
        <v>157</v>
      </c>
      <c r="AC103" t="s">
        <v>146</v>
      </c>
      <c r="AD103">
        <v>7</v>
      </c>
      <c r="AE103">
        <v>42</v>
      </c>
      <c r="AF103">
        <v>16347</v>
      </c>
      <c r="AG103" t="s">
        <v>143</v>
      </c>
      <c r="AH103" t="s">
        <v>143</v>
      </c>
      <c r="AI103" t="s">
        <v>143</v>
      </c>
      <c r="AJ103" t="s">
        <v>143</v>
      </c>
      <c r="AK103" t="s">
        <v>143</v>
      </c>
      <c r="AL103" t="s">
        <v>147</v>
      </c>
      <c r="AM103">
        <v>479.93</v>
      </c>
      <c r="AN103" t="s">
        <v>427</v>
      </c>
      <c r="AO103" t="s">
        <v>42</v>
      </c>
      <c r="AP103" t="s">
        <v>43</v>
      </c>
    </row>
    <row r="104" spans="1:42" x14ac:dyDescent="0.3">
      <c r="A104" t="s">
        <v>39</v>
      </c>
      <c r="B104">
        <v>120</v>
      </c>
      <c r="C104" t="s">
        <v>40</v>
      </c>
      <c r="D104" t="s">
        <v>55</v>
      </c>
      <c r="E104" t="s">
        <v>984</v>
      </c>
      <c r="F104" t="s">
        <v>45</v>
      </c>
      <c r="G104" t="s">
        <v>43</v>
      </c>
      <c r="H104" t="s">
        <v>48</v>
      </c>
      <c r="I104">
        <v>10969</v>
      </c>
      <c r="J104" t="s">
        <v>55</v>
      </c>
      <c r="K104">
        <v>969</v>
      </c>
      <c r="L104" t="s">
        <v>158</v>
      </c>
      <c r="M104">
        <v>1</v>
      </c>
      <c r="N104" t="s">
        <v>134</v>
      </c>
      <c r="O104" t="s">
        <v>428</v>
      </c>
      <c r="P104">
        <v>6700</v>
      </c>
      <c r="Q104" t="s">
        <v>55</v>
      </c>
      <c r="R104" t="s">
        <v>429</v>
      </c>
      <c r="S104">
        <v>6100</v>
      </c>
      <c r="T104" t="s">
        <v>430</v>
      </c>
      <c r="U104" t="s">
        <v>431</v>
      </c>
      <c r="V104" t="s">
        <v>432</v>
      </c>
      <c r="W104" t="s">
        <v>337</v>
      </c>
      <c r="X104">
        <v>137306</v>
      </c>
      <c r="Y104" t="s">
        <v>178</v>
      </c>
      <c r="Z104" t="s">
        <v>143</v>
      </c>
      <c r="AA104" t="s">
        <v>143</v>
      </c>
      <c r="AB104" t="s">
        <v>157</v>
      </c>
      <c r="AC104" t="s">
        <v>158</v>
      </c>
      <c r="AD104">
        <v>10</v>
      </c>
      <c r="AE104">
        <v>74</v>
      </c>
      <c r="AF104">
        <v>15739</v>
      </c>
      <c r="AG104" t="s">
        <v>143</v>
      </c>
      <c r="AH104" t="s">
        <v>143</v>
      </c>
      <c r="AI104" t="s">
        <v>143</v>
      </c>
      <c r="AJ104" t="s">
        <v>143</v>
      </c>
      <c r="AK104" t="s">
        <v>143</v>
      </c>
      <c r="AL104" t="s">
        <v>147</v>
      </c>
      <c r="AM104">
        <v>10160.64</v>
      </c>
      <c r="AN104" t="s">
        <v>417</v>
      </c>
      <c r="AO104" t="s">
        <v>50</v>
      </c>
      <c r="AP104" t="s">
        <v>43</v>
      </c>
    </row>
    <row r="105" spans="1:42" x14ac:dyDescent="0.3">
      <c r="A105" t="s">
        <v>39</v>
      </c>
      <c r="B105">
        <v>120</v>
      </c>
      <c r="C105" t="s">
        <v>40</v>
      </c>
      <c r="D105" t="s">
        <v>55</v>
      </c>
      <c r="E105" t="s">
        <v>984</v>
      </c>
      <c r="F105" t="s">
        <v>45</v>
      </c>
      <c r="G105" t="s">
        <v>43</v>
      </c>
      <c r="H105" t="s">
        <v>48</v>
      </c>
      <c r="I105">
        <v>10969</v>
      </c>
      <c r="J105" t="s">
        <v>55</v>
      </c>
      <c r="K105">
        <v>969</v>
      </c>
      <c r="L105" t="s">
        <v>158</v>
      </c>
      <c r="M105">
        <v>2</v>
      </c>
      <c r="N105" t="s">
        <v>134</v>
      </c>
      <c r="O105" t="s">
        <v>428</v>
      </c>
      <c r="P105">
        <v>6100</v>
      </c>
      <c r="Q105" t="s">
        <v>430</v>
      </c>
      <c r="R105" t="s">
        <v>431</v>
      </c>
      <c r="S105">
        <v>6700</v>
      </c>
      <c r="T105" t="s">
        <v>55</v>
      </c>
      <c r="U105" t="s">
        <v>426</v>
      </c>
      <c r="V105" t="s">
        <v>433</v>
      </c>
      <c r="W105" t="s">
        <v>337</v>
      </c>
      <c r="X105">
        <v>137800</v>
      </c>
      <c r="Y105" t="s">
        <v>178</v>
      </c>
      <c r="Z105" t="s">
        <v>143</v>
      </c>
      <c r="AA105" t="s">
        <v>143</v>
      </c>
      <c r="AB105" t="s">
        <v>157</v>
      </c>
      <c r="AC105" t="s">
        <v>158</v>
      </c>
      <c r="AD105">
        <v>10</v>
      </c>
      <c r="AE105">
        <v>73</v>
      </c>
      <c r="AF105">
        <v>15740</v>
      </c>
      <c r="AG105" t="s">
        <v>143</v>
      </c>
      <c r="AH105" t="s">
        <v>143</v>
      </c>
      <c r="AI105" t="s">
        <v>143</v>
      </c>
      <c r="AJ105" t="s">
        <v>143</v>
      </c>
      <c r="AK105" t="s">
        <v>143</v>
      </c>
      <c r="AL105" t="s">
        <v>147</v>
      </c>
      <c r="AM105">
        <v>10059.4</v>
      </c>
      <c r="AN105" t="s">
        <v>417</v>
      </c>
      <c r="AO105" t="s">
        <v>50</v>
      </c>
      <c r="AP105" t="s">
        <v>43</v>
      </c>
    </row>
    <row r="106" spans="1:42" x14ac:dyDescent="0.3">
      <c r="A106" t="s">
        <v>39</v>
      </c>
      <c r="B106">
        <v>120</v>
      </c>
      <c r="C106" t="s">
        <v>40</v>
      </c>
      <c r="D106" t="s">
        <v>49</v>
      </c>
      <c r="E106" t="s">
        <v>984</v>
      </c>
      <c r="F106" t="s">
        <v>42</v>
      </c>
      <c r="G106" t="s">
        <v>43</v>
      </c>
      <c r="H106" t="s">
        <v>48</v>
      </c>
      <c r="I106">
        <v>23053</v>
      </c>
      <c r="J106" t="s">
        <v>49</v>
      </c>
      <c r="K106">
        <v>53</v>
      </c>
      <c r="L106" t="s">
        <v>985</v>
      </c>
      <c r="M106">
        <v>2</v>
      </c>
      <c r="N106" t="s">
        <v>134</v>
      </c>
      <c r="O106" t="s">
        <v>434</v>
      </c>
      <c r="P106">
        <v>1154</v>
      </c>
      <c r="Q106" t="s">
        <v>435</v>
      </c>
      <c r="R106" t="s">
        <v>436</v>
      </c>
      <c r="S106">
        <v>7700</v>
      </c>
      <c r="T106" t="s">
        <v>49</v>
      </c>
      <c r="U106" t="s">
        <v>248</v>
      </c>
      <c r="V106" t="s">
        <v>253</v>
      </c>
      <c r="W106" t="s">
        <v>141</v>
      </c>
      <c r="X106">
        <v>35187</v>
      </c>
      <c r="Y106" t="s">
        <v>178</v>
      </c>
      <c r="Z106" t="s">
        <v>143</v>
      </c>
      <c r="AA106" t="s">
        <v>143</v>
      </c>
      <c r="AB106" t="s">
        <v>157</v>
      </c>
      <c r="AC106" t="s">
        <v>158</v>
      </c>
      <c r="AD106">
        <v>6</v>
      </c>
      <c r="AE106">
        <v>35</v>
      </c>
      <c r="AF106">
        <v>10823</v>
      </c>
      <c r="AG106" t="s">
        <v>143</v>
      </c>
      <c r="AH106" t="s">
        <v>143</v>
      </c>
      <c r="AI106" t="s">
        <v>143</v>
      </c>
      <c r="AJ106" t="s">
        <v>143</v>
      </c>
      <c r="AK106" t="s">
        <v>143</v>
      </c>
      <c r="AL106" t="s">
        <v>147</v>
      </c>
      <c r="AM106">
        <v>1231.55</v>
      </c>
      <c r="AN106" t="s">
        <v>437</v>
      </c>
      <c r="AO106" t="s">
        <v>200</v>
      </c>
      <c r="AP106" t="s">
        <v>43</v>
      </c>
    </row>
    <row r="107" spans="1:42" x14ac:dyDescent="0.3">
      <c r="A107" t="s">
        <v>39</v>
      </c>
      <c r="B107">
        <v>120</v>
      </c>
      <c r="C107" t="s">
        <v>40</v>
      </c>
      <c r="D107" t="s">
        <v>49</v>
      </c>
      <c r="E107" t="s">
        <v>984</v>
      </c>
      <c r="F107" t="s">
        <v>42</v>
      </c>
      <c r="G107" t="s">
        <v>43</v>
      </c>
      <c r="H107" t="s">
        <v>46</v>
      </c>
      <c r="I107">
        <v>10193</v>
      </c>
      <c r="J107" t="s">
        <v>49</v>
      </c>
      <c r="K107">
        <v>193</v>
      </c>
      <c r="L107" t="s">
        <v>158</v>
      </c>
      <c r="M107">
        <v>1</v>
      </c>
      <c r="N107" t="s">
        <v>134</v>
      </c>
      <c r="O107" t="s">
        <v>438</v>
      </c>
      <c r="P107">
        <v>7700</v>
      </c>
      <c r="Q107" t="s">
        <v>49</v>
      </c>
      <c r="R107" t="s">
        <v>439</v>
      </c>
      <c r="S107">
        <v>4000</v>
      </c>
      <c r="T107" t="s">
        <v>189</v>
      </c>
      <c r="U107" t="s">
        <v>440</v>
      </c>
      <c r="V107" t="s">
        <v>441</v>
      </c>
      <c r="W107" t="s">
        <v>141</v>
      </c>
      <c r="X107">
        <v>59342</v>
      </c>
      <c r="Y107" t="s">
        <v>294</v>
      </c>
      <c r="Z107" t="s">
        <v>144</v>
      </c>
      <c r="AA107" t="s">
        <v>143</v>
      </c>
      <c r="AB107" t="s">
        <v>157</v>
      </c>
      <c r="AC107" t="s">
        <v>158</v>
      </c>
      <c r="AD107">
        <v>0</v>
      </c>
      <c r="AE107">
        <v>15</v>
      </c>
      <c r="AF107">
        <v>14795</v>
      </c>
      <c r="AG107" t="s">
        <v>143</v>
      </c>
      <c r="AH107" t="s">
        <v>143</v>
      </c>
      <c r="AI107" t="s">
        <v>143</v>
      </c>
      <c r="AJ107" t="s">
        <v>143</v>
      </c>
      <c r="AK107" t="s">
        <v>143</v>
      </c>
      <c r="AL107" t="s">
        <v>147</v>
      </c>
      <c r="AM107">
        <v>890.13</v>
      </c>
      <c r="AN107" t="s">
        <v>148</v>
      </c>
      <c r="AO107" t="s">
        <v>442</v>
      </c>
      <c r="AP107" t="s">
        <v>43</v>
      </c>
    </row>
    <row r="108" spans="1:42" x14ac:dyDescent="0.3">
      <c r="A108" t="s">
        <v>39</v>
      </c>
      <c r="B108">
        <v>120</v>
      </c>
      <c r="C108" t="s">
        <v>40</v>
      </c>
      <c r="D108" t="s">
        <v>49</v>
      </c>
      <c r="E108" t="s">
        <v>984</v>
      </c>
      <c r="F108" t="s">
        <v>42</v>
      </c>
      <c r="G108" t="s">
        <v>43</v>
      </c>
      <c r="H108" t="s">
        <v>46</v>
      </c>
      <c r="I108">
        <v>10193</v>
      </c>
      <c r="J108" t="s">
        <v>49</v>
      </c>
      <c r="K108">
        <v>193</v>
      </c>
      <c r="L108" t="s">
        <v>158</v>
      </c>
      <c r="M108">
        <v>2</v>
      </c>
      <c r="N108" t="s">
        <v>134</v>
      </c>
      <c r="O108" t="s">
        <v>438</v>
      </c>
      <c r="P108">
        <v>4000</v>
      </c>
      <c r="Q108" t="s">
        <v>189</v>
      </c>
      <c r="R108" t="s">
        <v>440</v>
      </c>
      <c r="S108">
        <v>7700</v>
      </c>
      <c r="T108" t="s">
        <v>49</v>
      </c>
      <c r="U108" t="s">
        <v>443</v>
      </c>
      <c r="V108" t="s">
        <v>444</v>
      </c>
      <c r="W108" t="s">
        <v>141</v>
      </c>
      <c r="X108">
        <v>59267</v>
      </c>
      <c r="Y108" t="s">
        <v>294</v>
      </c>
      <c r="Z108" t="s">
        <v>144</v>
      </c>
      <c r="AA108" t="s">
        <v>143</v>
      </c>
      <c r="AB108" t="s">
        <v>157</v>
      </c>
      <c r="AC108" t="s">
        <v>158</v>
      </c>
      <c r="AD108">
        <v>0</v>
      </c>
      <c r="AE108">
        <v>18</v>
      </c>
      <c r="AF108">
        <v>14796</v>
      </c>
      <c r="AG108" t="s">
        <v>143</v>
      </c>
      <c r="AH108" t="s">
        <v>143</v>
      </c>
      <c r="AI108" t="s">
        <v>143</v>
      </c>
      <c r="AJ108" t="s">
        <v>143</v>
      </c>
      <c r="AK108" t="s">
        <v>143</v>
      </c>
      <c r="AL108" t="s">
        <v>147</v>
      </c>
      <c r="AM108">
        <v>1066.81</v>
      </c>
      <c r="AN108" t="s">
        <v>148</v>
      </c>
      <c r="AO108" t="s">
        <v>442</v>
      </c>
      <c r="AP108" t="s">
        <v>43</v>
      </c>
    </row>
    <row r="109" spans="1:42" x14ac:dyDescent="0.3">
      <c r="A109" t="s">
        <v>39</v>
      </c>
      <c r="B109">
        <v>120</v>
      </c>
      <c r="C109" t="s">
        <v>40</v>
      </c>
      <c r="D109" t="s">
        <v>49</v>
      </c>
      <c r="E109" t="s">
        <v>984</v>
      </c>
      <c r="F109" t="s">
        <v>42</v>
      </c>
      <c r="G109" t="s">
        <v>43</v>
      </c>
      <c r="H109" t="s">
        <v>48</v>
      </c>
      <c r="I109">
        <v>10348</v>
      </c>
      <c r="J109" t="s">
        <v>49</v>
      </c>
      <c r="K109">
        <v>348</v>
      </c>
      <c r="L109" t="s">
        <v>158</v>
      </c>
      <c r="M109">
        <v>2</v>
      </c>
      <c r="N109" t="s">
        <v>160</v>
      </c>
      <c r="O109" t="s">
        <v>445</v>
      </c>
      <c r="P109">
        <v>874</v>
      </c>
      <c r="Q109" t="s">
        <v>235</v>
      </c>
      <c r="R109" t="s">
        <v>236</v>
      </c>
      <c r="S109">
        <v>7700</v>
      </c>
      <c r="T109" t="s">
        <v>49</v>
      </c>
      <c r="U109" t="s">
        <v>446</v>
      </c>
      <c r="V109" t="s">
        <v>242</v>
      </c>
      <c r="W109" t="s">
        <v>141</v>
      </c>
      <c r="X109">
        <v>19742</v>
      </c>
      <c r="Y109" t="s">
        <v>178</v>
      </c>
      <c r="Z109" t="s">
        <v>143</v>
      </c>
      <c r="AA109" t="s">
        <v>143</v>
      </c>
      <c r="AB109" t="s">
        <v>157</v>
      </c>
      <c r="AC109" t="s">
        <v>158</v>
      </c>
      <c r="AD109">
        <v>3</v>
      </c>
      <c r="AE109">
        <v>15</v>
      </c>
      <c r="AF109">
        <v>15385</v>
      </c>
      <c r="AG109" t="s">
        <v>143</v>
      </c>
      <c r="AH109" t="s">
        <v>143</v>
      </c>
      <c r="AI109" t="s">
        <v>143</v>
      </c>
      <c r="AJ109" t="s">
        <v>143</v>
      </c>
      <c r="AK109" t="s">
        <v>143</v>
      </c>
      <c r="AL109" t="s">
        <v>147</v>
      </c>
      <c r="AM109">
        <v>296.13</v>
      </c>
      <c r="AN109" t="s">
        <v>447</v>
      </c>
      <c r="AO109" t="s">
        <v>448</v>
      </c>
      <c r="AP109" t="s">
        <v>43</v>
      </c>
    </row>
    <row r="110" spans="1:42" x14ac:dyDescent="0.3">
      <c r="A110" t="s">
        <v>39</v>
      </c>
      <c r="B110">
        <v>120</v>
      </c>
      <c r="C110" t="s">
        <v>40</v>
      </c>
      <c r="D110" t="s">
        <v>49</v>
      </c>
      <c r="E110" t="s">
        <v>984</v>
      </c>
      <c r="F110" t="s">
        <v>50</v>
      </c>
      <c r="G110" t="s">
        <v>43</v>
      </c>
      <c r="H110" t="s">
        <v>48</v>
      </c>
      <c r="I110">
        <v>12350</v>
      </c>
      <c r="J110" t="s">
        <v>49</v>
      </c>
      <c r="K110">
        <v>350</v>
      </c>
      <c r="L110" t="s">
        <v>158</v>
      </c>
      <c r="M110">
        <v>1</v>
      </c>
      <c r="N110" t="s">
        <v>160</v>
      </c>
      <c r="O110" t="s">
        <v>401</v>
      </c>
      <c r="P110">
        <v>7700</v>
      </c>
      <c r="Q110" t="s">
        <v>49</v>
      </c>
      <c r="R110" t="s">
        <v>197</v>
      </c>
      <c r="S110">
        <v>913</v>
      </c>
      <c r="T110" t="s">
        <v>237</v>
      </c>
      <c r="U110" t="s">
        <v>449</v>
      </c>
      <c r="V110" t="s">
        <v>450</v>
      </c>
      <c r="W110" t="s">
        <v>141</v>
      </c>
      <c r="X110">
        <v>26934</v>
      </c>
      <c r="Y110" t="s">
        <v>178</v>
      </c>
      <c r="Z110" t="s">
        <v>143</v>
      </c>
      <c r="AA110" t="s">
        <v>143</v>
      </c>
      <c r="AB110" t="s">
        <v>157</v>
      </c>
      <c r="AC110" t="s">
        <v>158</v>
      </c>
      <c r="AD110">
        <v>4</v>
      </c>
      <c r="AE110">
        <v>32</v>
      </c>
      <c r="AF110">
        <v>940</v>
      </c>
      <c r="AG110" t="s">
        <v>143</v>
      </c>
      <c r="AH110" t="s">
        <v>143</v>
      </c>
      <c r="AI110" t="s">
        <v>143</v>
      </c>
      <c r="AJ110" t="s">
        <v>143</v>
      </c>
      <c r="AK110" t="s">
        <v>143</v>
      </c>
      <c r="AL110" t="s">
        <v>147</v>
      </c>
      <c r="AM110">
        <v>861.89</v>
      </c>
      <c r="AN110" t="s">
        <v>451</v>
      </c>
      <c r="AO110" t="s">
        <v>50</v>
      </c>
      <c r="AP110" t="s">
        <v>43</v>
      </c>
    </row>
    <row r="111" spans="1:42" x14ac:dyDescent="0.3">
      <c r="A111" t="s">
        <v>39</v>
      </c>
      <c r="B111">
        <v>120</v>
      </c>
      <c r="C111" t="s">
        <v>40</v>
      </c>
      <c r="D111" t="s">
        <v>49</v>
      </c>
      <c r="E111" t="s">
        <v>984</v>
      </c>
      <c r="F111" t="s">
        <v>50</v>
      </c>
      <c r="G111" t="s">
        <v>43</v>
      </c>
      <c r="H111" t="s">
        <v>48</v>
      </c>
      <c r="I111">
        <v>13242</v>
      </c>
      <c r="J111" t="s">
        <v>49</v>
      </c>
      <c r="K111">
        <v>242</v>
      </c>
      <c r="L111" t="s">
        <v>158</v>
      </c>
      <c r="M111">
        <v>2</v>
      </c>
      <c r="N111" t="s">
        <v>134</v>
      </c>
      <c r="O111" t="s">
        <v>404</v>
      </c>
      <c r="P111">
        <v>1139</v>
      </c>
      <c r="Q111" t="s">
        <v>405</v>
      </c>
      <c r="R111" t="s">
        <v>452</v>
      </c>
      <c r="S111">
        <v>7700</v>
      </c>
      <c r="T111" t="s">
        <v>49</v>
      </c>
      <c r="U111" t="s">
        <v>248</v>
      </c>
      <c r="V111" t="s">
        <v>253</v>
      </c>
      <c r="W111" t="s">
        <v>141</v>
      </c>
      <c r="X111">
        <v>59319</v>
      </c>
      <c r="Y111" t="s">
        <v>178</v>
      </c>
      <c r="Z111" t="s">
        <v>143</v>
      </c>
      <c r="AA111" t="s">
        <v>143</v>
      </c>
      <c r="AB111" t="s">
        <v>157</v>
      </c>
      <c r="AC111" t="s">
        <v>158</v>
      </c>
      <c r="AD111">
        <v>14</v>
      </c>
      <c r="AE111">
        <v>78</v>
      </c>
      <c r="AF111">
        <v>14110</v>
      </c>
      <c r="AG111" t="s">
        <v>143</v>
      </c>
      <c r="AH111" t="s">
        <v>143</v>
      </c>
      <c r="AI111" t="s">
        <v>143</v>
      </c>
      <c r="AJ111" t="s">
        <v>143</v>
      </c>
      <c r="AK111" t="s">
        <v>143</v>
      </c>
      <c r="AL111" t="s">
        <v>147</v>
      </c>
      <c r="AM111">
        <v>4626.88</v>
      </c>
      <c r="AN111" t="s">
        <v>408</v>
      </c>
      <c r="AO111" t="s">
        <v>50</v>
      </c>
      <c r="AP111" t="s">
        <v>43</v>
      </c>
    </row>
    <row r="112" spans="1:42" x14ac:dyDescent="0.3">
      <c r="A112" t="s">
        <v>39</v>
      </c>
      <c r="B112">
        <v>120</v>
      </c>
      <c r="C112" t="s">
        <v>40</v>
      </c>
      <c r="D112" t="s">
        <v>49</v>
      </c>
      <c r="E112" t="s">
        <v>984</v>
      </c>
      <c r="F112" t="s">
        <v>50</v>
      </c>
      <c r="G112" t="s">
        <v>43</v>
      </c>
      <c r="H112" t="s">
        <v>48</v>
      </c>
      <c r="I112">
        <v>34025</v>
      </c>
      <c r="J112" t="s">
        <v>49</v>
      </c>
      <c r="K112">
        <v>25</v>
      </c>
      <c r="L112" t="s">
        <v>985</v>
      </c>
      <c r="M112">
        <v>2</v>
      </c>
      <c r="N112" t="s">
        <v>134</v>
      </c>
      <c r="O112" t="s">
        <v>453</v>
      </c>
      <c r="P112">
        <v>132</v>
      </c>
      <c r="Q112" t="s">
        <v>454</v>
      </c>
      <c r="R112" t="s">
        <v>455</v>
      </c>
      <c r="S112">
        <v>192</v>
      </c>
      <c r="T112" t="s">
        <v>456</v>
      </c>
      <c r="U112" t="s">
        <v>456</v>
      </c>
      <c r="V112" t="s">
        <v>457</v>
      </c>
      <c r="W112" t="s">
        <v>141</v>
      </c>
      <c r="X112">
        <v>18357</v>
      </c>
      <c r="Y112" t="s">
        <v>178</v>
      </c>
      <c r="Z112" t="s">
        <v>143</v>
      </c>
      <c r="AA112" t="s">
        <v>144</v>
      </c>
      <c r="AB112" t="s">
        <v>157</v>
      </c>
      <c r="AC112" t="s">
        <v>146</v>
      </c>
      <c r="AD112">
        <v>7</v>
      </c>
      <c r="AE112">
        <v>40</v>
      </c>
      <c r="AF112">
        <v>17858</v>
      </c>
      <c r="AG112" t="s">
        <v>143</v>
      </c>
      <c r="AH112" t="s">
        <v>143</v>
      </c>
      <c r="AI112" t="s">
        <v>143</v>
      </c>
      <c r="AJ112" t="s">
        <v>143</v>
      </c>
      <c r="AK112" t="s">
        <v>143</v>
      </c>
      <c r="AL112" t="s">
        <v>147</v>
      </c>
      <c r="AM112">
        <v>734.28</v>
      </c>
      <c r="AN112" t="s">
        <v>302</v>
      </c>
      <c r="AO112" t="s">
        <v>50</v>
      </c>
      <c r="AP112" t="s">
        <v>43</v>
      </c>
    </row>
    <row r="113" spans="1:42" x14ac:dyDescent="0.3">
      <c r="A113" t="s">
        <v>39</v>
      </c>
      <c r="B113">
        <v>120</v>
      </c>
      <c r="C113" t="s">
        <v>40</v>
      </c>
      <c r="D113" t="s">
        <v>49</v>
      </c>
      <c r="E113" t="s">
        <v>986</v>
      </c>
      <c r="F113" t="s">
        <v>45</v>
      </c>
      <c r="G113" t="s">
        <v>43</v>
      </c>
      <c r="H113" t="s">
        <v>46</v>
      </c>
      <c r="I113">
        <v>15296</v>
      </c>
      <c r="J113" t="s">
        <v>49</v>
      </c>
      <c r="K113">
        <v>296</v>
      </c>
      <c r="L113" t="s">
        <v>158</v>
      </c>
      <c r="M113">
        <v>2</v>
      </c>
      <c r="N113" t="s">
        <v>134</v>
      </c>
      <c r="O113" t="s">
        <v>458</v>
      </c>
      <c r="P113">
        <v>4000</v>
      </c>
      <c r="Q113" t="s">
        <v>189</v>
      </c>
      <c r="R113" t="s">
        <v>383</v>
      </c>
      <c r="S113">
        <v>2710</v>
      </c>
      <c r="T113" t="s">
        <v>411</v>
      </c>
      <c r="U113" t="s">
        <v>412</v>
      </c>
      <c r="V113" t="s">
        <v>413</v>
      </c>
      <c r="W113" t="s">
        <v>141</v>
      </c>
      <c r="X113">
        <v>42547</v>
      </c>
      <c r="Y113" t="s">
        <v>178</v>
      </c>
      <c r="Z113" t="s">
        <v>144</v>
      </c>
      <c r="AA113" t="s">
        <v>143</v>
      </c>
      <c r="AB113" t="s">
        <v>157</v>
      </c>
      <c r="AC113" t="s">
        <v>158</v>
      </c>
      <c r="AD113">
        <v>4</v>
      </c>
      <c r="AE113">
        <v>23</v>
      </c>
      <c r="AF113">
        <v>14952</v>
      </c>
      <c r="AG113" t="s">
        <v>143</v>
      </c>
      <c r="AH113" t="s">
        <v>143</v>
      </c>
      <c r="AI113" t="s">
        <v>143</v>
      </c>
      <c r="AJ113" t="s">
        <v>143</v>
      </c>
      <c r="AK113" t="s">
        <v>143</v>
      </c>
      <c r="AL113" t="s">
        <v>147</v>
      </c>
      <c r="AM113">
        <v>978.58</v>
      </c>
      <c r="AN113" t="s">
        <v>148</v>
      </c>
      <c r="AO113" t="s">
        <v>442</v>
      </c>
      <c r="AP113" t="s">
        <v>43</v>
      </c>
    </row>
    <row r="114" spans="1:42" x14ac:dyDescent="0.3">
      <c r="A114" t="s">
        <v>39</v>
      </c>
      <c r="B114">
        <v>120</v>
      </c>
      <c r="C114" t="s">
        <v>40</v>
      </c>
      <c r="D114" t="s">
        <v>41</v>
      </c>
      <c r="E114" t="s">
        <v>986</v>
      </c>
      <c r="F114" t="s">
        <v>50</v>
      </c>
      <c r="G114" t="s">
        <v>43</v>
      </c>
      <c r="H114" t="s">
        <v>48</v>
      </c>
      <c r="I114">
        <v>20009</v>
      </c>
      <c r="J114" t="s">
        <v>41</v>
      </c>
      <c r="K114">
        <v>9</v>
      </c>
      <c r="L114" t="s">
        <v>146</v>
      </c>
      <c r="M114">
        <v>1</v>
      </c>
      <c r="N114" t="s">
        <v>134</v>
      </c>
      <c r="O114" t="s">
        <v>224</v>
      </c>
      <c r="P114">
        <v>1284</v>
      </c>
      <c r="Q114" t="s">
        <v>225</v>
      </c>
      <c r="R114" t="s">
        <v>459</v>
      </c>
      <c r="S114">
        <v>140</v>
      </c>
      <c r="T114" t="s">
        <v>136</v>
      </c>
      <c r="U114" t="s">
        <v>357</v>
      </c>
      <c r="V114" t="s">
        <v>358</v>
      </c>
      <c r="W114" t="s">
        <v>166</v>
      </c>
      <c r="X114">
        <v>22038</v>
      </c>
      <c r="Y114" t="s">
        <v>178</v>
      </c>
      <c r="Z114" t="s">
        <v>143</v>
      </c>
      <c r="AA114" t="s">
        <v>144</v>
      </c>
      <c r="AB114" t="s">
        <v>145</v>
      </c>
      <c r="AC114" t="s">
        <v>146</v>
      </c>
      <c r="AD114">
        <v>17</v>
      </c>
      <c r="AE114">
        <v>95</v>
      </c>
      <c r="AF114">
        <v>14111</v>
      </c>
      <c r="AG114" t="s">
        <v>143</v>
      </c>
      <c r="AH114" t="s">
        <v>143</v>
      </c>
      <c r="AI114" t="s">
        <v>143</v>
      </c>
      <c r="AJ114" t="s">
        <v>143</v>
      </c>
      <c r="AK114" t="s">
        <v>143</v>
      </c>
      <c r="AL114" t="s">
        <v>147</v>
      </c>
      <c r="AM114">
        <v>2093.61</v>
      </c>
      <c r="AN114" t="s">
        <v>148</v>
      </c>
      <c r="AO114" t="s">
        <v>50</v>
      </c>
      <c r="AP114" t="s">
        <v>43</v>
      </c>
    </row>
    <row r="115" spans="1:42" x14ac:dyDescent="0.3">
      <c r="A115" t="s">
        <v>39</v>
      </c>
      <c r="B115">
        <v>120</v>
      </c>
      <c r="C115" t="s">
        <v>40</v>
      </c>
      <c r="D115" t="s">
        <v>49</v>
      </c>
      <c r="E115" t="s">
        <v>984</v>
      </c>
      <c r="F115" t="s">
        <v>45</v>
      </c>
      <c r="G115" t="s">
        <v>43</v>
      </c>
      <c r="H115" t="s">
        <v>48</v>
      </c>
      <c r="I115">
        <v>23052</v>
      </c>
      <c r="J115" t="s">
        <v>49</v>
      </c>
      <c r="K115">
        <v>52</v>
      </c>
      <c r="L115" t="s">
        <v>985</v>
      </c>
      <c r="M115">
        <v>1</v>
      </c>
      <c r="N115" t="s">
        <v>134</v>
      </c>
      <c r="O115" t="s">
        <v>460</v>
      </c>
      <c r="P115">
        <v>7700</v>
      </c>
      <c r="Q115" t="s">
        <v>49</v>
      </c>
      <c r="R115" t="s">
        <v>312</v>
      </c>
      <c r="S115">
        <v>1829</v>
      </c>
      <c r="T115" t="s">
        <v>461</v>
      </c>
      <c r="U115" t="s">
        <v>462</v>
      </c>
      <c r="V115" t="s">
        <v>463</v>
      </c>
      <c r="W115" t="s">
        <v>141</v>
      </c>
      <c r="X115">
        <v>28636</v>
      </c>
      <c r="Y115" t="s">
        <v>178</v>
      </c>
      <c r="Z115" t="s">
        <v>143</v>
      </c>
      <c r="AA115" t="s">
        <v>143</v>
      </c>
      <c r="AB115" t="s">
        <v>145</v>
      </c>
      <c r="AC115" t="s">
        <v>158</v>
      </c>
      <c r="AD115">
        <v>13</v>
      </c>
      <c r="AE115">
        <v>70</v>
      </c>
      <c r="AF115">
        <v>10820</v>
      </c>
      <c r="AG115" t="s">
        <v>143</v>
      </c>
      <c r="AH115" t="s">
        <v>143</v>
      </c>
      <c r="AI115" t="s">
        <v>143</v>
      </c>
      <c r="AJ115" t="s">
        <v>143</v>
      </c>
      <c r="AK115" t="s">
        <v>143</v>
      </c>
      <c r="AL115" t="s">
        <v>147</v>
      </c>
      <c r="AM115">
        <v>2004.52</v>
      </c>
      <c r="AN115" t="s">
        <v>437</v>
      </c>
      <c r="AO115" t="s">
        <v>349</v>
      </c>
      <c r="AP115" t="s">
        <v>43</v>
      </c>
    </row>
    <row r="116" spans="1:42" x14ac:dyDescent="0.3">
      <c r="A116" t="s">
        <v>39</v>
      </c>
      <c r="B116">
        <v>120</v>
      </c>
      <c r="C116" t="s">
        <v>40</v>
      </c>
      <c r="D116" t="s">
        <v>49</v>
      </c>
      <c r="E116" t="s">
        <v>984</v>
      </c>
      <c r="F116" t="s">
        <v>45</v>
      </c>
      <c r="G116" t="s">
        <v>43</v>
      </c>
      <c r="H116" t="s">
        <v>48</v>
      </c>
      <c r="I116">
        <v>23052</v>
      </c>
      <c r="J116" t="s">
        <v>49</v>
      </c>
      <c r="K116">
        <v>52</v>
      </c>
      <c r="L116" t="s">
        <v>985</v>
      </c>
      <c r="M116">
        <v>1</v>
      </c>
      <c r="N116" t="s">
        <v>160</v>
      </c>
      <c r="O116" t="s">
        <v>460</v>
      </c>
      <c r="P116">
        <v>7700</v>
      </c>
      <c r="Q116" t="s">
        <v>49</v>
      </c>
      <c r="R116" t="s">
        <v>312</v>
      </c>
      <c r="S116">
        <v>635</v>
      </c>
      <c r="T116" t="s">
        <v>464</v>
      </c>
      <c r="U116" t="s">
        <v>465</v>
      </c>
      <c r="V116" t="s">
        <v>466</v>
      </c>
      <c r="W116" t="s">
        <v>141</v>
      </c>
      <c r="X116">
        <v>26860</v>
      </c>
      <c r="Y116" t="s">
        <v>178</v>
      </c>
      <c r="Z116" t="s">
        <v>143</v>
      </c>
      <c r="AA116" t="s">
        <v>143</v>
      </c>
      <c r="AB116" t="s">
        <v>145</v>
      </c>
      <c r="AC116" t="s">
        <v>158</v>
      </c>
      <c r="AD116">
        <v>5</v>
      </c>
      <c r="AE116">
        <v>37</v>
      </c>
      <c r="AF116">
        <v>20243</v>
      </c>
      <c r="AG116" t="s">
        <v>143</v>
      </c>
      <c r="AH116" t="s">
        <v>143</v>
      </c>
      <c r="AI116" t="s">
        <v>143</v>
      </c>
      <c r="AJ116" t="s">
        <v>143</v>
      </c>
      <c r="AK116" t="s">
        <v>143</v>
      </c>
      <c r="AL116" t="s">
        <v>147</v>
      </c>
      <c r="AM116">
        <v>993.82</v>
      </c>
      <c r="AN116" t="s">
        <v>186</v>
      </c>
      <c r="AO116" t="s">
        <v>50</v>
      </c>
      <c r="AP116" t="s">
        <v>43</v>
      </c>
    </row>
    <row r="117" spans="1:42" x14ac:dyDescent="0.3">
      <c r="A117" t="s">
        <v>39</v>
      </c>
      <c r="B117">
        <v>120</v>
      </c>
      <c r="C117" t="s">
        <v>40</v>
      </c>
      <c r="D117" t="s">
        <v>49</v>
      </c>
      <c r="E117" t="s">
        <v>984</v>
      </c>
      <c r="F117" t="s">
        <v>45</v>
      </c>
      <c r="G117" t="s">
        <v>43</v>
      </c>
      <c r="H117" t="s">
        <v>48</v>
      </c>
      <c r="I117">
        <v>37009</v>
      </c>
      <c r="J117" t="s">
        <v>49</v>
      </c>
      <c r="K117">
        <v>9</v>
      </c>
      <c r="L117" t="s">
        <v>146</v>
      </c>
      <c r="M117">
        <v>1</v>
      </c>
      <c r="N117" t="s">
        <v>134</v>
      </c>
      <c r="O117" t="s">
        <v>224</v>
      </c>
      <c r="P117">
        <v>874</v>
      </c>
      <c r="Q117" t="s">
        <v>235</v>
      </c>
      <c r="R117" t="s">
        <v>467</v>
      </c>
      <c r="S117">
        <v>132</v>
      </c>
      <c r="T117" t="s">
        <v>454</v>
      </c>
      <c r="U117" t="s">
        <v>468</v>
      </c>
      <c r="V117" t="s">
        <v>469</v>
      </c>
      <c r="W117" t="s">
        <v>166</v>
      </c>
      <c r="X117">
        <v>14840</v>
      </c>
      <c r="Y117" t="s">
        <v>178</v>
      </c>
      <c r="Z117" t="s">
        <v>143</v>
      </c>
      <c r="AA117" t="s">
        <v>144</v>
      </c>
      <c r="AB117" t="s">
        <v>157</v>
      </c>
      <c r="AC117" t="s">
        <v>146</v>
      </c>
      <c r="AD117">
        <v>27</v>
      </c>
      <c r="AE117">
        <v>147</v>
      </c>
      <c r="AF117">
        <v>15154</v>
      </c>
      <c r="AG117" t="s">
        <v>143</v>
      </c>
      <c r="AH117" t="s">
        <v>143</v>
      </c>
      <c r="AI117" t="s">
        <v>143</v>
      </c>
      <c r="AJ117" t="s">
        <v>143</v>
      </c>
      <c r="AK117" t="s">
        <v>143</v>
      </c>
      <c r="AL117" t="s">
        <v>147</v>
      </c>
      <c r="AM117">
        <v>2181.48</v>
      </c>
      <c r="AN117" t="s">
        <v>233</v>
      </c>
      <c r="AO117" t="s">
        <v>50</v>
      </c>
      <c r="AP117" t="s">
        <v>43</v>
      </c>
    </row>
    <row r="118" spans="1:42" x14ac:dyDescent="0.3">
      <c r="A118" t="s">
        <v>39</v>
      </c>
      <c r="B118">
        <v>120</v>
      </c>
      <c r="C118" t="s">
        <v>40</v>
      </c>
      <c r="D118" t="s">
        <v>49</v>
      </c>
      <c r="E118" t="s">
        <v>984</v>
      </c>
      <c r="F118" t="s">
        <v>45</v>
      </c>
      <c r="G118" t="s">
        <v>43</v>
      </c>
      <c r="H118" t="s">
        <v>48</v>
      </c>
      <c r="I118">
        <v>37009</v>
      </c>
      <c r="J118" t="s">
        <v>49</v>
      </c>
      <c r="K118">
        <v>9</v>
      </c>
      <c r="L118" t="s">
        <v>146</v>
      </c>
      <c r="M118">
        <v>2</v>
      </c>
      <c r="N118" t="s">
        <v>134</v>
      </c>
      <c r="O118" t="s">
        <v>224</v>
      </c>
      <c r="P118">
        <v>132</v>
      </c>
      <c r="Q118" t="s">
        <v>454</v>
      </c>
      <c r="R118" t="s">
        <v>455</v>
      </c>
      <c r="S118">
        <v>874</v>
      </c>
      <c r="T118" t="s">
        <v>235</v>
      </c>
      <c r="U118" t="s">
        <v>467</v>
      </c>
      <c r="V118" t="s">
        <v>470</v>
      </c>
      <c r="W118" t="s">
        <v>166</v>
      </c>
      <c r="X118">
        <v>16469</v>
      </c>
      <c r="Y118" t="s">
        <v>178</v>
      </c>
      <c r="Z118" t="s">
        <v>143</v>
      </c>
      <c r="AA118" t="s">
        <v>144</v>
      </c>
      <c r="AB118" t="s">
        <v>157</v>
      </c>
      <c r="AC118" t="s">
        <v>146</v>
      </c>
      <c r="AD118">
        <v>28</v>
      </c>
      <c r="AE118">
        <v>152</v>
      </c>
      <c r="AF118">
        <v>15155</v>
      </c>
      <c r="AG118" t="s">
        <v>143</v>
      </c>
      <c r="AH118" t="s">
        <v>143</v>
      </c>
      <c r="AI118" t="s">
        <v>143</v>
      </c>
      <c r="AJ118" t="s">
        <v>143</v>
      </c>
      <c r="AK118" t="s">
        <v>143</v>
      </c>
      <c r="AL118" t="s">
        <v>147</v>
      </c>
      <c r="AM118">
        <v>2503.29</v>
      </c>
      <c r="AN118" t="s">
        <v>233</v>
      </c>
      <c r="AO118" t="s">
        <v>50</v>
      </c>
      <c r="AP118" t="s">
        <v>43</v>
      </c>
    </row>
    <row r="119" spans="1:42" x14ac:dyDescent="0.3">
      <c r="A119" t="s">
        <v>39</v>
      </c>
      <c r="B119">
        <v>120</v>
      </c>
      <c r="C119" t="s">
        <v>40</v>
      </c>
      <c r="D119" t="s">
        <v>49</v>
      </c>
      <c r="E119" t="s">
        <v>984</v>
      </c>
      <c r="F119" t="s">
        <v>45</v>
      </c>
      <c r="G119" t="s">
        <v>43</v>
      </c>
      <c r="H119" t="s">
        <v>48</v>
      </c>
      <c r="I119">
        <v>50006</v>
      </c>
      <c r="J119" t="s">
        <v>49</v>
      </c>
      <c r="K119">
        <v>6</v>
      </c>
      <c r="L119" t="s">
        <v>146</v>
      </c>
      <c r="M119">
        <v>1</v>
      </c>
      <c r="N119" t="s">
        <v>134</v>
      </c>
      <c r="O119" t="s">
        <v>424</v>
      </c>
      <c r="P119">
        <v>874</v>
      </c>
      <c r="Q119" t="s">
        <v>235</v>
      </c>
      <c r="R119" t="s">
        <v>236</v>
      </c>
      <c r="S119">
        <v>132</v>
      </c>
      <c r="T119" t="s">
        <v>454</v>
      </c>
      <c r="U119" t="s">
        <v>468</v>
      </c>
      <c r="V119" t="s">
        <v>469</v>
      </c>
      <c r="W119" t="s">
        <v>166</v>
      </c>
      <c r="X119">
        <v>15527</v>
      </c>
      <c r="Y119" t="s">
        <v>178</v>
      </c>
      <c r="Z119" t="s">
        <v>143</v>
      </c>
      <c r="AA119" t="s">
        <v>144</v>
      </c>
      <c r="AB119" t="s">
        <v>157</v>
      </c>
      <c r="AC119" t="s">
        <v>146</v>
      </c>
      <c r="AD119">
        <v>27</v>
      </c>
      <c r="AE119">
        <v>147</v>
      </c>
      <c r="AF119">
        <v>17853</v>
      </c>
      <c r="AG119" t="s">
        <v>143</v>
      </c>
      <c r="AH119" t="s">
        <v>143</v>
      </c>
      <c r="AI119" t="s">
        <v>143</v>
      </c>
      <c r="AJ119" t="s">
        <v>143</v>
      </c>
      <c r="AK119" t="s">
        <v>143</v>
      </c>
      <c r="AL119" t="s">
        <v>147</v>
      </c>
      <c r="AM119">
        <v>2282.4699999999998</v>
      </c>
      <c r="AN119" t="s">
        <v>302</v>
      </c>
      <c r="AO119" t="s">
        <v>50</v>
      </c>
      <c r="AP119" t="s">
        <v>43</v>
      </c>
    </row>
    <row r="120" spans="1:42" x14ac:dyDescent="0.3">
      <c r="A120" t="s">
        <v>39</v>
      </c>
      <c r="B120">
        <v>120</v>
      </c>
      <c r="C120" t="s">
        <v>40</v>
      </c>
      <c r="D120" t="s">
        <v>49</v>
      </c>
      <c r="E120" t="s">
        <v>984</v>
      </c>
      <c r="F120" t="s">
        <v>42</v>
      </c>
      <c r="G120" t="s">
        <v>43</v>
      </c>
      <c r="H120" t="s">
        <v>48</v>
      </c>
      <c r="I120">
        <v>12350</v>
      </c>
      <c r="J120" t="s">
        <v>49</v>
      </c>
      <c r="K120">
        <v>350</v>
      </c>
      <c r="L120" t="s">
        <v>158</v>
      </c>
      <c r="M120">
        <v>1</v>
      </c>
      <c r="N120" t="s">
        <v>168</v>
      </c>
      <c r="O120" t="s">
        <v>401</v>
      </c>
      <c r="P120">
        <v>7700</v>
      </c>
      <c r="Q120" t="s">
        <v>49</v>
      </c>
      <c r="R120" t="s">
        <v>197</v>
      </c>
      <c r="S120">
        <v>913</v>
      </c>
      <c r="T120" t="s">
        <v>237</v>
      </c>
      <c r="U120" t="s">
        <v>402</v>
      </c>
      <c r="V120" t="s">
        <v>471</v>
      </c>
      <c r="W120" t="s">
        <v>141</v>
      </c>
      <c r="X120">
        <v>30314</v>
      </c>
      <c r="Y120" t="s">
        <v>178</v>
      </c>
      <c r="Z120" t="s">
        <v>143</v>
      </c>
      <c r="AA120" t="s">
        <v>143</v>
      </c>
      <c r="AB120" t="s">
        <v>157</v>
      </c>
      <c r="AC120" t="s">
        <v>158</v>
      </c>
      <c r="AD120">
        <v>4</v>
      </c>
      <c r="AE120">
        <v>20</v>
      </c>
      <c r="AF120">
        <v>17863</v>
      </c>
      <c r="AG120" t="s">
        <v>143</v>
      </c>
      <c r="AH120" t="s">
        <v>143</v>
      </c>
      <c r="AI120" t="s">
        <v>143</v>
      </c>
      <c r="AJ120" t="s">
        <v>143</v>
      </c>
      <c r="AK120" t="s">
        <v>143</v>
      </c>
      <c r="AL120" t="s">
        <v>147</v>
      </c>
      <c r="AM120">
        <v>606.28</v>
      </c>
      <c r="AN120" t="s">
        <v>302</v>
      </c>
      <c r="AO120" t="s">
        <v>200</v>
      </c>
      <c r="AP120" t="s">
        <v>43</v>
      </c>
    </row>
    <row r="121" spans="1:42" x14ac:dyDescent="0.3">
      <c r="A121" t="s">
        <v>39</v>
      </c>
      <c r="B121">
        <v>120</v>
      </c>
      <c r="C121" t="s">
        <v>40</v>
      </c>
      <c r="D121" t="s">
        <v>49</v>
      </c>
      <c r="E121" t="s">
        <v>984</v>
      </c>
      <c r="F121" t="s">
        <v>42</v>
      </c>
      <c r="G121" t="s">
        <v>43</v>
      </c>
      <c r="H121" t="s">
        <v>44</v>
      </c>
      <c r="I121">
        <v>10869</v>
      </c>
      <c r="J121" t="s">
        <v>49</v>
      </c>
      <c r="K121">
        <v>869</v>
      </c>
      <c r="L121" t="s">
        <v>158</v>
      </c>
      <c r="M121">
        <v>2</v>
      </c>
      <c r="N121" t="s">
        <v>134</v>
      </c>
      <c r="O121" t="s">
        <v>472</v>
      </c>
      <c r="P121">
        <v>8600</v>
      </c>
      <c r="Q121" t="s">
        <v>473</v>
      </c>
      <c r="R121" t="s">
        <v>474</v>
      </c>
      <c r="S121">
        <v>7700</v>
      </c>
      <c r="T121" t="s">
        <v>49</v>
      </c>
      <c r="U121" t="s">
        <v>248</v>
      </c>
      <c r="V121" t="s">
        <v>253</v>
      </c>
      <c r="W121" t="s">
        <v>141</v>
      </c>
      <c r="X121">
        <v>91343</v>
      </c>
      <c r="Y121" t="s">
        <v>178</v>
      </c>
      <c r="Z121" t="s">
        <v>143</v>
      </c>
      <c r="AA121" t="s">
        <v>143</v>
      </c>
      <c r="AB121" t="s">
        <v>157</v>
      </c>
      <c r="AC121" t="s">
        <v>158</v>
      </c>
      <c r="AD121">
        <v>4</v>
      </c>
      <c r="AE121">
        <v>20</v>
      </c>
      <c r="AF121">
        <v>30776</v>
      </c>
      <c r="AG121" t="s">
        <v>143</v>
      </c>
      <c r="AH121" t="s">
        <v>143</v>
      </c>
      <c r="AI121" t="s">
        <v>143</v>
      </c>
      <c r="AJ121" t="s">
        <v>143</v>
      </c>
      <c r="AK121" t="s">
        <v>143</v>
      </c>
      <c r="AL121" t="s">
        <v>147</v>
      </c>
      <c r="AM121">
        <v>1826.86</v>
      </c>
      <c r="AN121" t="s">
        <v>475</v>
      </c>
      <c r="AO121" t="s">
        <v>476</v>
      </c>
      <c r="AP121" t="s">
        <v>43</v>
      </c>
    </row>
    <row r="122" spans="1:42" x14ac:dyDescent="0.3">
      <c r="A122" t="s">
        <v>39</v>
      </c>
      <c r="B122">
        <v>120</v>
      </c>
      <c r="C122" t="s">
        <v>40</v>
      </c>
      <c r="D122" t="s">
        <v>41</v>
      </c>
      <c r="E122" t="s">
        <v>986</v>
      </c>
      <c r="F122" t="s">
        <v>45</v>
      </c>
      <c r="G122" t="s">
        <v>43</v>
      </c>
      <c r="H122" t="s">
        <v>44</v>
      </c>
      <c r="I122">
        <v>21055</v>
      </c>
      <c r="J122" t="s">
        <v>41</v>
      </c>
      <c r="K122">
        <v>55</v>
      </c>
      <c r="L122" t="s">
        <v>146</v>
      </c>
      <c r="M122">
        <v>1</v>
      </c>
      <c r="N122" t="s">
        <v>134</v>
      </c>
      <c r="O122" t="s">
        <v>378</v>
      </c>
      <c r="P122">
        <v>4000</v>
      </c>
      <c r="Q122" t="s">
        <v>189</v>
      </c>
      <c r="R122" t="s">
        <v>252</v>
      </c>
      <c r="S122">
        <v>494</v>
      </c>
      <c r="T122" t="s">
        <v>287</v>
      </c>
      <c r="U122" t="s">
        <v>390</v>
      </c>
      <c r="V122" t="s">
        <v>391</v>
      </c>
      <c r="W122" t="s">
        <v>379</v>
      </c>
      <c r="X122">
        <v>24542</v>
      </c>
      <c r="Y122" t="s">
        <v>178</v>
      </c>
      <c r="Z122" t="s">
        <v>144</v>
      </c>
      <c r="AA122" t="s">
        <v>144</v>
      </c>
      <c r="AB122" t="s">
        <v>157</v>
      </c>
      <c r="AC122" t="s">
        <v>146</v>
      </c>
      <c r="AD122">
        <v>46</v>
      </c>
      <c r="AE122">
        <v>230</v>
      </c>
      <c r="AF122">
        <v>14564</v>
      </c>
      <c r="AG122" t="s">
        <v>143</v>
      </c>
      <c r="AH122" t="s">
        <v>143</v>
      </c>
      <c r="AI122" t="s">
        <v>143</v>
      </c>
      <c r="AJ122" t="s">
        <v>143</v>
      </c>
      <c r="AK122" t="s">
        <v>143</v>
      </c>
      <c r="AL122" t="s">
        <v>147</v>
      </c>
      <c r="AM122">
        <v>5644.66</v>
      </c>
      <c r="AN122" t="s">
        <v>148</v>
      </c>
      <c r="AO122" t="s">
        <v>380</v>
      </c>
      <c r="AP122" t="s">
        <v>43</v>
      </c>
    </row>
    <row r="123" spans="1:42" x14ac:dyDescent="0.3">
      <c r="A123" t="s">
        <v>39</v>
      </c>
      <c r="B123">
        <v>120</v>
      </c>
      <c r="C123" t="s">
        <v>40</v>
      </c>
      <c r="D123" t="s">
        <v>41</v>
      </c>
      <c r="E123" t="s">
        <v>986</v>
      </c>
      <c r="F123" t="s">
        <v>45</v>
      </c>
      <c r="G123" t="s">
        <v>43</v>
      </c>
      <c r="H123" t="s">
        <v>46</v>
      </c>
      <c r="I123">
        <v>26085</v>
      </c>
      <c r="J123" t="s">
        <v>41</v>
      </c>
      <c r="K123">
        <v>85</v>
      </c>
      <c r="L123" t="s">
        <v>146</v>
      </c>
      <c r="M123">
        <v>1</v>
      </c>
      <c r="N123" t="s">
        <v>134</v>
      </c>
      <c r="O123" t="s">
        <v>375</v>
      </c>
      <c r="P123">
        <v>2300</v>
      </c>
      <c r="Q123" t="s">
        <v>153</v>
      </c>
      <c r="R123" t="s">
        <v>171</v>
      </c>
      <c r="S123">
        <v>2300</v>
      </c>
      <c r="T123" t="s">
        <v>153</v>
      </c>
      <c r="U123" t="s">
        <v>398</v>
      </c>
      <c r="V123" t="s">
        <v>399</v>
      </c>
      <c r="W123" t="s">
        <v>166</v>
      </c>
      <c r="X123">
        <v>8856</v>
      </c>
      <c r="Y123" t="s">
        <v>156</v>
      </c>
      <c r="Z123" t="s">
        <v>143</v>
      </c>
      <c r="AA123" t="s">
        <v>144</v>
      </c>
      <c r="AB123" t="s">
        <v>145</v>
      </c>
      <c r="AC123" t="s">
        <v>146</v>
      </c>
      <c r="AD123">
        <v>5</v>
      </c>
      <c r="AE123">
        <v>26</v>
      </c>
      <c r="AF123">
        <v>14143</v>
      </c>
      <c r="AG123" t="s">
        <v>143</v>
      </c>
      <c r="AH123" t="s">
        <v>143</v>
      </c>
      <c r="AI123" t="s">
        <v>143</v>
      </c>
      <c r="AJ123" t="s">
        <v>143</v>
      </c>
      <c r="AK123" t="s">
        <v>143</v>
      </c>
      <c r="AL123" t="s">
        <v>147</v>
      </c>
      <c r="AM123">
        <v>230.26</v>
      </c>
      <c r="AN123" t="s">
        <v>148</v>
      </c>
      <c r="AO123" t="s">
        <v>389</v>
      </c>
      <c r="AP123" t="s">
        <v>43</v>
      </c>
    </row>
    <row r="124" spans="1:42" x14ac:dyDescent="0.3">
      <c r="A124" t="s">
        <v>39</v>
      </c>
      <c r="B124">
        <v>120</v>
      </c>
      <c r="C124" t="s">
        <v>40</v>
      </c>
      <c r="D124" t="s">
        <v>41</v>
      </c>
      <c r="E124" t="s">
        <v>986</v>
      </c>
      <c r="F124" t="s">
        <v>45</v>
      </c>
      <c r="G124" t="s">
        <v>43</v>
      </c>
      <c r="H124" t="s">
        <v>47</v>
      </c>
      <c r="I124">
        <v>25027</v>
      </c>
      <c r="J124" t="s">
        <v>41</v>
      </c>
      <c r="K124">
        <v>27</v>
      </c>
      <c r="L124" t="s">
        <v>158</v>
      </c>
      <c r="M124">
        <v>1</v>
      </c>
      <c r="N124" t="s">
        <v>134</v>
      </c>
      <c r="O124" t="s">
        <v>188</v>
      </c>
      <c r="P124">
        <v>4000</v>
      </c>
      <c r="Q124" t="s">
        <v>189</v>
      </c>
      <c r="R124" t="s">
        <v>477</v>
      </c>
      <c r="S124">
        <v>317</v>
      </c>
      <c r="T124" t="s">
        <v>191</v>
      </c>
      <c r="U124" t="s">
        <v>192</v>
      </c>
      <c r="V124" t="s">
        <v>193</v>
      </c>
      <c r="W124" t="s">
        <v>141</v>
      </c>
      <c r="X124">
        <v>8795</v>
      </c>
      <c r="Y124" t="s">
        <v>178</v>
      </c>
      <c r="Z124" t="s">
        <v>143</v>
      </c>
      <c r="AA124" t="s">
        <v>143</v>
      </c>
      <c r="AB124" t="s">
        <v>145</v>
      </c>
      <c r="AC124" t="s">
        <v>158</v>
      </c>
      <c r="AD124">
        <v>5</v>
      </c>
      <c r="AE124">
        <v>25</v>
      </c>
      <c r="AF124">
        <v>14199</v>
      </c>
      <c r="AG124" t="s">
        <v>143</v>
      </c>
      <c r="AH124" t="s">
        <v>143</v>
      </c>
      <c r="AI124" t="s">
        <v>143</v>
      </c>
      <c r="AJ124" t="s">
        <v>143</v>
      </c>
      <c r="AK124" t="s">
        <v>143</v>
      </c>
      <c r="AL124" t="s">
        <v>147</v>
      </c>
      <c r="AM124">
        <v>219.88</v>
      </c>
      <c r="AN124" t="s">
        <v>148</v>
      </c>
      <c r="AO124" t="s">
        <v>195</v>
      </c>
      <c r="AP124" t="s">
        <v>43</v>
      </c>
    </row>
    <row r="125" spans="1:42" x14ac:dyDescent="0.3">
      <c r="A125" t="s">
        <v>39</v>
      </c>
      <c r="B125">
        <v>120</v>
      </c>
      <c r="C125" t="s">
        <v>40</v>
      </c>
      <c r="D125" t="s">
        <v>41</v>
      </c>
      <c r="E125" t="s">
        <v>986</v>
      </c>
      <c r="F125" t="s">
        <v>45</v>
      </c>
      <c r="G125" t="s">
        <v>43</v>
      </c>
      <c r="H125" t="s">
        <v>48</v>
      </c>
      <c r="I125">
        <v>11184</v>
      </c>
      <c r="J125" t="s">
        <v>41</v>
      </c>
      <c r="K125">
        <v>184</v>
      </c>
      <c r="L125" t="s">
        <v>158</v>
      </c>
      <c r="M125">
        <v>1</v>
      </c>
      <c r="N125" t="s">
        <v>134</v>
      </c>
      <c r="O125" t="s">
        <v>478</v>
      </c>
      <c r="P125">
        <v>140</v>
      </c>
      <c r="Q125" t="s">
        <v>136</v>
      </c>
      <c r="R125" t="s">
        <v>137</v>
      </c>
      <c r="S125">
        <v>369</v>
      </c>
      <c r="T125" t="s">
        <v>479</v>
      </c>
      <c r="U125" t="s">
        <v>480</v>
      </c>
      <c r="V125" t="s">
        <v>481</v>
      </c>
      <c r="W125" t="s">
        <v>141</v>
      </c>
      <c r="X125">
        <v>26807</v>
      </c>
      <c r="Y125" t="s">
        <v>178</v>
      </c>
      <c r="Z125" t="s">
        <v>143</v>
      </c>
      <c r="AA125" t="s">
        <v>143</v>
      </c>
      <c r="AB125" t="s">
        <v>145</v>
      </c>
      <c r="AC125" t="s">
        <v>158</v>
      </c>
      <c r="AD125">
        <v>8</v>
      </c>
      <c r="AE125">
        <v>46</v>
      </c>
      <c r="AF125">
        <v>14174</v>
      </c>
      <c r="AG125" t="s">
        <v>143</v>
      </c>
      <c r="AH125" t="s">
        <v>143</v>
      </c>
      <c r="AI125" t="s">
        <v>143</v>
      </c>
      <c r="AJ125" t="s">
        <v>143</v>
      </c>
      <c r="AK125" t="s">
        <v>143</v>
      </c>
      <c r="AL125" t="s">
        <v>147</v>
      </c>
      <c r="AM125">
        <v>1233.1199999999999</v>
      </c>
      <c r="AN125" t="s">
        <v>148</v>
      </c>
      <c r="AO125" t="s">
        <v>50</v>
      </c>
      <c r="AP125" t="s">
        <v>43</v>
      </c>
    </row>
    <row r="126" spans="1:42" x14ac:dyDescent="0.3">
      <c r="A126" t="s">
        <v>39</v>
      </c>
      <c r="B126">
        <v>120</v>
      </c>
      <c r="C126" t="s">
        <v>40</v>
      </c>
      <c r="D126" t="s">
        <v>41</v>
      </c>
      <c r="E126" t="s">
        <v>986</v>
      </c>
      <c r="F126" t="s">
        <v>45</v>
      </c>
      <c r="G126" t="s">
        <v>43</v>
      </c>
      <c r="H126" t="s">
        <v>48</v>
      </c>
      <c r="I126">
        <v>13185</v>
      </c>
      <c r="J126" t="s">
        <v>41</v>
      </c>
      <c r="K126">
        <v>185</v>
      </c>
      <c r="L126" t="s">
        <v>158</v>
      </c>
      <c r="M126">
        <v>1</v>
      </c>
      <c r="N126" t="s">
        <v>134</v>
      </c>
      <c r="O126" t="s">
        <v>482</v>
      </c>
      <c r="P126">
        <v>140</v>
      </c>
      <c r="Q126" t="s">
        <v>136</v>
      </c>
      <c r="R126" t="s">
        <v>137</v>
      </c>
      <c r="S126">
        <v>586</v>
      </c>
      <c r="T126" t="s">
        <v>222</v>
      </c>
      <c r="U126" t="s">
        <v>483</v>
      </c>
      <c r="V126" t="s">
        <v>484</v>
      </c>
      <c r="W126" t="s">
        <v>141</v>
      </c>
      <c r="X126">
        <v>28460</v>
      </c>
      <c r="Y126" t="s">
        <v>178</v>
      </c>
      <c r="Z126" t="s">
        <v>143</v>
      </c>
      <c r="AA126" t="s">
        <v>143</v>
      </c>
      <c r="AB126" t="s">
        <v>145</v>
      </c>
      <c r="AC126" t="s">
        <v>158</v>
      </c>
      <c r="AD126">
        <v>8</v>
      </c>
      <c r="AE126">
        <v>47</v>
      </c>
      <c r="AF126">
        <v>14195</v>
      </c>
      <c r="AG126" t="s">
        <v>143</v>
      </c>
      <c r="AH126" t="s">
        <v>143</v>
      </c>
      <c r="AI126" t="s">
        <v>143</v>
      </c>
      <c r="AJ126" t="s">
        <v>143</v>
      </c>
      <c r="AK126" t="s">
        <v>143</v>
      </c>
      <c r="AL126" t="s">
        <v>147</v>
      </c>
      <c r="AM126">
        <v>1337.62</v>
      </c>
      <c r="AN126" t="s">
        <v>148</v>
      </c>
      <c r="AO126" t="s">
        <v>50</v>
      </c>
      <c r="AP126" t="s">
        <v>43</v>
      </c>
    </row>
    <row r="127" spans="1:42" x14ac:dyDescent="0.3">
      <c r="A127" t="s">
        <v>39</v>
      </c>
      <c r="B127">
        <v>120</v>
      </c>
      <c r="C127" t="s">
        <v>40</v>
      </c>
      <c r="D127" t="s">
        <v>41</v>
      </c>
      <c r="E127" t="s">
        <v>986</v>
      </c>
      <c r="F127" t="s">
        <v>45</v>
      </c>
      <c r="G127" t="s">
        <v>43</v>
      </c>
      <c r="H127" t="s">
        <v>48</v>
      </c>
      <c r="I127">
        <v>16050</v>
      </c>
      <c r="J127" t="s">
        <v>41</v>
      </c>
      <c r="K127">
        <v>50</v>
      </c>
      <c r="L127" t="s">
        <v>158</v>
      </c>
      <c r="M127">
        <v>2</v>
      </c>
      <c r="N127" t="s">
        <v>134</v>
      </c>
      <c r="O127" t="s">
        <v>212</v>
      </c>
      <c r="P127">
        <v>240</v>
      </c>
      <c r="Q127" t="s">
        <v>162</v>
      </c>
      <c r="R127" t="s">
        <v>184</v>
      </c>
      <c r="S127">
        <v>534</v>
      </c>
      <c r="T127" t="s">
        <v>268</v>
      </c>
      <c r="U127" t="s">
        <v>485</v>
      </c>
      <c r="V127" t="s">
        <v>486</v>
      </c>
      <c r="W127" t="s">
        <v>141</v>
      </c>
      <c r="X127">
        <v>23244</v>
      </c>
      <c r="Y127" t="s">
        <v>178</v>
      </c>
      <c r="Z127" t="s">
        <v>144</v>
      </c>
      <c r="AA127" t="s">
        <v>143</v>
      </c>
      <c r="AB127" t="s">
        <v>157</v>
      </c>
      <c r="AC127" t="s">
        <v>158</v>
      </c>
      <c r="AD127">
        <v>9</v>
      </c>
      <c r="AE127">
        <v>49</v>
      </c>
      <c r="AF127">
        <v>14219</v>
      </c>
      <c r="AG127" t="s">
        <v>143</v>
      </c>
      <c r="AH127" t="s">
        <v>143</v>
      </c>
      <c r="AI127" t="s">
        <v>143</v>
      </c>
      <c r="AJ127" t="s">
        <v>143</v>
      </c>
      <c r="AK127" t="s">
        <v>143</v>
      </c>
      <c r="AL127" t="s">
        <v>147</v>
      </c>
      <c r="AM127">
        <v>1138.96</v>
      </c>
      <c r="AN127" t="s">
        <v>148</v>
      </c>
      <c r="AO127" t="s">
        <v>50</v>
      </c>
      <c r="AP127" t="s">
        <v>43</v>
      </c>
    </row>
    <row r="128" spans="1:42" x14ac:dyDescent="0.3">
      <c r="A128" t="s">
        <v>39</v>
      </c>
      <c r="B128">
        <v>120</v>
      </c>
      <c r="C128" t="s">
        <v>40</v>
      </c>
      <c r="D128" t="s">
        <v>41</v>
      </c>
      <c r="E128" t="s">
        <v>986</v>
      </c>
      <c r="F128" t="s">
        <v>45</v>
      </c>
      <c r="G128" t="s">
        <v>43</v>
      </c>
      <c r="H128" t="s">
        <v>48</v>
      </c>
      <c r="I128">
        <v>21016</v>
      </c>
      <c r="J128" t="s">
        <v>41</v>
      </c>
      <c r="K128">
        <v>16</v>
      </c>
      <c r="L128" t="s">
        <v>146</v>
      </c>
      <c r="M128">
        <v>1</v>
      </c>
      <c r="N128" t="s">
        <v>134</v>
      </c>
      <c r="O128" t="s">
        <v>218</v>
      </c>
      <c r="P128">
        <v>240</v>
      </c>
      <c r="Q128" t="s">
        <v>162</v>
      </c>
      <c r="R128" t="s">
        <v>392</v>
      </c>
      <c r="S128">
        <v>240</v>
      </c>
      <c r="T128" t="s">
        <v>162</v>
      </c>
      <c r="U128" t="s">
        <v>175</v>
      </c>
      <c r="V128" t="s">
        <v>211</v>
      </c>
      <c r="W128" t="s">
        <v>166</v>
      </c>
      <c r="X128">
        <v>9977</v>
      </c>
      <c r="Y128" t="s">
        <v>178</v>
      </c>
      <c r="Z128" t="s">
        <v>144</v>
      </c>
      <c r="AA128" t="s">
        <v>144</v>
      </c>
      <c r="AB128" t="s">
        <v>157</v>
      </c>
      <c r="AC128" t="s">
        <v>146</v>
      </c>
      <c r="AD128">
        <v>53</v>
      </c>
      <c r="AE128">
        <v>302</v>
      </c>
      <c r="AF128">
        <v>25391</v>
      </c>
      <c r="AG128" t="s">
        <v>143</v>
      </c>
      <c r="AH128" t="s">
        <v>143</v>
      </c>
      <c r="AI128" t="s">
        <v>143</v>
      </c>
      <c r="AJ128" t="s">
        <v>143</v>
      </c>
      <c r="AK128" t="s">
        <v>143</v>
      </c>
      <c r="AL128" t="s">
        <v>147</v>
      </c>
      <c r="AM128">
        <v>3013.05</v>
      </c>
      <c r="AN128" t="s">
        <v>179</v>
      </c>
      <c r="AO128" t="s">
        <v>50</v>
      </c>
      <c r="AP128" t="s">
        <v>43</v>
      </c>
    </row>
    <row r="129" spans="1:42" x14ac:dyDescent="0.3">
      <c r="A129" t="s">
        <v>39</v>
      </c>
      <c r="B129">
        <v>120</v>
      </c>
      <c r="C129" t="s">
        <v>40</v>
      </c>
      <c r="D129" t="s">
        <v>41</v>
      </c>
      <c r="E129" t="s">
        <v>986</v>
      </c>
      <c r="F129" t="s">
        <v>53</v>
      </c>
      <c r="G129" t="s">
        <v>43</v>
      </c>
      <c r="H129" t="s">
        <v>48</v>
      </c>
      <c r="I129">
        <v>35058</v>
      </c>
      <c r="J129" t="s">
        <v>41</v>
      </c>
      <c r="K129">
        <v>58</v>
      </c>
      <c r="L129" t="s">
        <v>146</v>
      </c>
      <c r="M129">
        <v>1</v>
      </c>
      <c r="N129" t="s">
        <v>134</v>
      </c>
      <c r="O129" t="s">
        <v>286</v>
      </c>
      <c r="P129">
        <v>4000</v>
      </c>
      <c r="Q129" t="s">
        <v>189</v>
      </c>
      <c r="R129" t="s">
        <v>289</v>
      </c>
      <c r="S129">
        <v>494</v>
      </c>
      <c r="T129" t="s">
        <v>287</v>
      </c>
      <c r="U129" t="s">
        <v>390</v>
      </c>
      <c r="V129" t="s">
        <v>391</v>
      </c>
      <c r="W129" t="s">
        <v>166</v>
      </c>
      <c r="X129">
        <v>28015</v>
      </c>
      <c r="Y129" t="s">
        <v>178</v>
      </c>
      <c r="Z129" t="s">
        <v>144</v>
      </c>
      <c r="AA129" t="s">
        <v>144</v>
      </c>
      <c r="AB129" t="s">
        <v>157</v>
      </c>
      <c r="AC129" t="s">
        <v>146</v>
      </c>
      <c r="AD129">
        <v>48</v>
      </c>
      <c r="AE129">
        <v>267</v>
      </c>
      <c r="AF129">
        <v>23818</v>
      </c>
      <c r="AG129" t="s">
        <v>143</v>
      </c>
      <c r="AH129" t="s">
        <v>143</v>
      </c>
      <c r="AI129" t="s">
        <v>143</v>
      </c>
      <c r="AJ129" t="s">
        <v>143</v>
      </c>
      <c r="AK129" t="s">
        <v>143</v>
      </c>
      <c r="AL129" t="s">
        <v>147</v>
      </c>
      <c r="AM129">
        <v>7480.01</v>
      </c>
      <c r="AN129" t="s">
        <v>291</v>
      </c>
      <c r="AO129" t="s">
        <v>53</v>
      </c>
      <c r="AP129" t="s">
        <v>43</v>
      </c>
    </row>
    <row r="130" spans="1:42" x14ac:dyDescent="0.3">
      <c r="A130" t="s">
        <v>39</v>
      </c>
      <c r="B130">
        <v>120</v>
      </c>
      <c r="C130" t="s">
        <v>40</v>
      </c>
      <c r="D130" t="s">
        <v>41</v>
      </c>
      <c r="E130" t="s">
        <v>986</v>
      </c>
      <c r="F130" t="s">
        <v>45</v>
      </c>
      <c r="G130" t="s">
        <v>43</v>
      </c>
      <c r="H130" t="s">
        <v>48</v>
      </c>
      <c r="I130">
        <v>21055</v>
      </c>
      <c r="J130" t="s">
        <v>41</v>
      </c>
      <c r="K130">
        <v>55</v>
      </c>
      <c r="L130" t="s">
        <v>146</v>
      </c>
      <c r="M130">
        <v>2</v>
      </c>
      <c r="N130" t="s">
        <v>160</v>
      </c>
      <c r="O130" t="s">
        <v>378</v>
      </c>
      <c r="P130">
        <v>494</v>
      </c>
      <c r="Q130" t="s">
        <v>287</v>
      </c>
      <c r="R130" t="s">
        <v>288</v>
      </c>
      <c r="S130">
        <v>4000</v>
      </c>
      <c r="T130" t="s">
        <v>189</v>
      </c>
      <c r="U130" t="s">
        <v>198</v>
      </c>
      <c r="V130" t="s">
        <v>199</v>
      </c>
      <c r="W130" t="s">
        <v>379</v>
      </c>
      <c r="X130">
        <v>24245</v>
      </c>
      <c r="Y130" t="s">
        <v>178</v>
      </c>
      <c r="Z130" t="s">
        <v>144</v>
      </c>
      <c r="AA130" t="s">
        <v>144</v>
      </c>
      <c r="AB130" t="s">
        <v>157</v>
      </c>
      <c r="AC130" t="s">
        <v>146</v>
      </c>
      <c r="AD130">
        <v>6</v>
      </c>
      <c r="AE130">
        <v>59</v>
      </c>
      <c r="AF130">
        <v>14131</v>
      </c>
      <c r="AG130" t="s">
        <v>143</v>
      </c>
      <c r="AH130" t="s">
        <v>143</v>
      </c>
      <c r="AI130" t="s">
        <v>143</v>
      </c>
      <c r="AJ130" t="s">
        <v>143</v>
      </c>
      <c r="AK130" t="s">
        <v>143</v>
      </c>
      <c r="AL130" t="s">
        <v>147</v>
      </c>
      <c r="AM130">
        <v>1430.46</v>
      </c>
      <c r="AN130" t="s">
        <v>194</v>
      </c>
      <c r="AO130" t="s">
        <v>50</v>
      </c>
      <c r="AP130" t="s">
        <v>43</v>
      </c>
    </row>
    <row r="131" spans="1:42" x14ac:dyDescent="0.3">
      <c r="A131" t="s">
        <v>39</v>
      </c>
      <c r="B131">
        <v>120</v>
      </c>
      <c r="C131" t="s">
        <v>40</v>
      </c>
      <c r="D131" t="s">
        <v>41</v>
      </c>
      <c r="E131" t="s">
        <v>986</v>
      </c>
      <c r="F131" t="s">
        <v>45</v>
      </c>
      <c r="G131" t="s">
        <v>43</v>
      </c>
      <c r="H131" t="s">
        <v>48</v>
      </c>
      <c r="I131">
        <v>27096</v>
      </c>
      <c r="J131" t="s">
        <v>41</v>
      </c>
      <c r="K131">
        <v>96</v>
      </c>
      <c r="L131" t="s">
        <v>146</v>
      </c>
      <c r="M131">
        <v>1</v>
      </c>
      <c r="N131" t="s">
        <v>134</v>
      </c>
      <c r="O131" t="s">
        <v>263</v>
      </c>
      <c r="P131">
        <v>240</v>
      </c>
      <c r="Q131" t="s">
        <v>162</v>
      </c>
      <c r="R131" t="s">
        <v>487</v>
      </c>
      <c r="S131">
        <v>240</v>
      </c>
      <c r="T131" t="s">
        <v>162</v>
      </c>
      <c r="U131" t="s">
        <v>279</v>
      </c>
      <c r="V131" t="s">
        <v>280</v>
      </c>
      <c r="W131" t="s">
        <v>166</v>
      </c>
      <c r="X131">
        <v>10069</v>
      </c>
      <c r="Y131" t="s">
        <v>156</v>
      </c>
      <c r="Z131" t="s">
        <v>143</v>
      </c>
      <c r="AA131" t="s">
        <v>144</v>
      </c>
      <c r="AB131" t="s">
        <v>157</v>
      </c>
      <c r="AC131" t="s">
        <v>146</v>
      </c>
      <c r="AD131">
        <v>3</v>
      </c>
      <c r="AE131">
        <v>16</v>
      </c>
      <c r="AF131">
        <v>14157</v>
      </c>
      <c r="AG131" t="s">
        <v>143</v>
      </c>
      <c r="AH131" t="s">
        <v>143</v>
      </c>
      <c r="AI131" t="s">
        <v>143</v>
      </c>
      <c r="AJ131" t="s">
        <v>143</v>
      </c>
      <c r="AK131" t="s">
        <v>143</v>
      </c>
      <c r="AL131" t="s">
        <v>147</v>
      </c>
      <c r="AM131">
        <v>161.1</v>
      </c>
      <c r="AN131" t="s">
        <v>148</v>
      </c>
      <c r="AO131" t="s">
        <v>50</v>
      </c>
      <c r="AP131" t="s">
        <v>43</v>
      </c>
    </row>
    <row r="132" spans="1:42" x14ac:dyDescent="0.3">
      <c r="A132" t="s">
        <v>39</v>
      </c>
      <c r="B132">
        <v>120</v>
      </c>
      <c r="C132" t="s">
        <v>40</v>
      </c>
      <c r="D132" t="s">
        <v>41</v>
      </c>
      <c r="E132" t="s">
        <v>986</v>
      </c>
      <c r="F132" t="s">
        <v>45</v>
      </c>
      <c r="G132" t="s">
        <v>43</v>
      </c>
      <c r="H132" t="s">
        <v>48</v>
      </c>
      <c r="I132">
        <v>27096</v>
      </c>
      <c r="J132" t="s">
        <v>41</v>
      </c>
      <c r="K132">
        <v>96</v>
      </c>
      <c r="L132" t="s">
        <v>146</v>
      </c>
      <c r="M132">
        <v>1</v>
      </c>
      <c r="N132" t="s">
        <v>168</v>
      </c>
      <c r="O132" t="s">
        <v>263</v>
      </c>
      <c r="P132">
        <v>240</v>
      </c>
      <c r="Q132" t="s">
        <v>162</v>
      </c>
      <c r="R132" t="s">
        <v>487</v>
      </c>
      <c r="S132">
        <v>240</v>
      </c>
      <c r="T132" t="s">
        <v>162</v>
      </c>
      <c r="U132" t="s">
        <v>279</v>
      </c>
      <c r="V132" t="s">
        <v>280</v>
      </c>
      <c r="W132" t="s">
        <v>166</v>
      </c>
      <c r="X132">
        <v>2124</v>
      </c>
      <c r="Y132" t="s">
        <v>156</v>
      </c>
      <c r="Z132" t="s">
        <v>143</v>
      </c>
      <c r="AA132" t="s">
        <v>144</v>
      </c>
      <c r="AB132" t="s">
        <v>157</v>
      </c>
      <c r="AC132" t="s">
        <v>146</v>
      </c>
      <c r="AD132">
        <v>3</v>
      </c>
      <c r="AE132">
        <v>17</v>
      </c>
      <c r="AF132">
        <v>14159</v>
      </c>
      <c r="AG132" t="s">
        <v>143</v>
      </c>
      <c r="AH132" t="s">
        <v>143</v>
      </c>
      <c r="AI132" t="s">
        <v>143</v>
      </c>
      <c r="AJ132" t="s">
        <v>143</v>
      </c>
      <c r="AK132" t="s">
        <v>143</v>
      </c>
      <c r="AL132" t="s">
        <v>147</v>
      </c>
      <c r="AM132">
        <v>36.11</v>
      </c>
      <c r="AN132" t="s">
        <v>148</v>
      </c>
      <c r="AO132" t="s">
        <v>50</v>
      </c>
      <c r="AP132" t="s">
        <v>43</v>
      </c>
    </row>
    <row r="133" spans="1:42" x14ac:dyDescent="0.3">
      <c r="A133" t="s">
        <v>39</v>
      </c>
      <c r="B133">
        <v>120</v>
      </c>
      <c r="C133" t="s">
        <v>40</v>
      </c>
      <c r="D133" t="s">
        <v>41</v>
      </c>
      <c r="E133" t="s">
        <v>986</v>
      </c>
      <c r="F133" t="s">
        <v>45</v>
      </c>
      <c r="G133" t="s">
        <v>43</v>
      </c>
      <c r="H133" t="s">
        <v>48</v>
      </c>
      <c r="I133">
        <v>52018</v>
      </c>
      <c r="J133" t="s">
        <v>41</v>
      </c>
      <c r="K133">
        <v>18</v>
      </c>
      <c r="L133" t="s">
        <v>146</v>
      </c>
      <c r="M133">
        <v>1</v>
      </c>
      <c r="N133" t="s">
        <v>134</v>
      </c>
      <c r="O133" t="s">
        <v>488</v>
      </c>
      <c r="P133">
        <v>240</v>
      </c>
      <c r="Q133" t="s">
        <v>162</v>
      </c>
      <c r="R133" t="s">
        <v>392</v>
      </c>
      <c r="S133">
        <v>240</v>
      </c>
      <c r="T133" t="s">
        <v>162</v>
      </c>
      <c r="U133" t="s">
        <v>175</v>
      </c>
      <c r="V133" t="s">
        <v>211</v>
      </c>
      <c r="W133" t="s">
        <v>166</v>
      </c>
      <c r="X133">
        <v>9560</v>
      </c>
      <c r="Y133" t="s">
        <v>178</v>
      </c>
      <c r="Z133" t="s">
        <v>143</v>
      </c>
      <c r="AA133" t="s">
        <v>144</v>
      </c>
      <c r="AB133" t="s">
        <v>157</v>
      </c>
      <c r="AC133" t="s">
        <v>146</v>
      </c>
      <c r="AD133">
        <v>48</v>
      </c>
      <c r="AE133">
        <v>285</v>
      </c>
      <c r="AF133">
        <v>25397</v>
      </c>
      <c r="AG133" t="s">
        <v>143</v>
      </c>
      <c r="AH133" t="s">
        <v>143</v>
      </c>
      <c r="AI133" t="s">
        <v>143</v>
      </c>
      <c r="AJ133" t="s">
        <v>143</v>
      </c>
      <c r="AK133" t="s">
        <v>143</v>
      </c>
      <c r="AL133" t="s">
        <v>147</v>
      </c>
      <c r="AM133">
        <v>2724.6</v>
      </c>
      <c r="AN133" t="s">
        <v>179</v>
      </c>
      <c r="AO133" t="s">
        <v>50</v>
      </c>
      <c r="AP133" t="s">
        <v>43</v>
      </c>
    </row>
    <row r="134" spans="1:42" x14ac:dyDescent="0.3">
      <c r="A134" t="s">
        <v>39</v>
      </c>
      <c r="B134">
        <v>120</v>
      </c>
      <c r="C134" t="s">
        <v>40</v>
      </c>
      <c r="D134" t="s">
        <v>41</v>
      </c>
      <c r="E134" t="s">
        <v>986</v>
      </c>
      <c r="F134" t="s">
        <v>42</v>
      </c>
      <c r="G134" t="s">
        <v>43</v>
      </c>
      <c r="H134" t="s">
        <v>46</v>
      </c>
      <c r="I134">
        <v>10190</v>
      </c>
      <c r="J134" t="s">
        <v>41</v>
      </c>
      <c r="K134">
        <v>190</v>
      </c>
      <c r="L134" t="s">
        <v>158</v>
      </c>
      <c r="M134">
        <v>1</v>
      </c>
      <c r="N134" t="s">
        <v>134</v>
      </c>
      <c r="O134" t="s">
        <v>489</v>
      </c>
      <c r="P134">
        <v>240</v>
      </c>
      <c r="Q134" t="s">
        <v>162</v>
      </c>
      <c r="R134" t="s">
        <v>490</v>
      </c>
      <c r="S134">
        <v>4000</v>
      </c>
      <c r="T134" t="s">
        <v>189</v>
      </c>
      <c r="U134" t="s">
        <v>491</v>
      </c>
      <c r="V134" t="s">
        <v>492</v>
      </c>
      <c r="W134" t="s">
        <v>141</v>
      </c>
      <c r="X134">
        <v>38744</v>
      </c>
      <c r="Y134" t="s">
        <v>294</v>
      </c>
      <c r="Z134" t="s">
        <v>144</v>
      </c>
      <c r="AA134" t="s">
        <v>143</v>
      </c>
      <c r="AB134" t="s">
        <v>157</v>
      </c>
      <c r="AC134" t="s">
        <v>158</v>
      </c>
      <c r="AD134">
        <v>0</v>
      </c>
      <c r="AE134">
        <v>6</v>
      </c>
      <c r="AF134">
        <v>14791</v>
      </c>
      <c r="AG134" t="s">
        <v>143</v>
      </c>
      <c r="AH134" t="s">
        <v>143</v>
      </c>
      <c r="AI134" t="s">
        <v>143</v>
      </c>
      <c r="AJ134" t="s">
        <v>143</v>
      </c>
      <c r="AK134" t="s">
        <v>143</v>
      </c>
      <c r="AL134" t="s">
        <v>147</v>
      </c>
      <c r="AM134">
        <v>232.46</v>
      </c>
      <c r="AN134" t="s">
        <v>148</v>
      </c>
      <c r="AO134" t="s">
        <v>442</v>
      </c>
      <c r="AP134" t="s">
        <v>43</v>
      </c>
    </row>
    <row r="135" spans="1:42" x14ac:dyDescent="0.3">
      <c r="A135" t="s">
        <v>39</v>
      </c>
      <c r="B135">
        <v>120</v>
      </c>
      <c r="C135" t="s">
        <v>40</v>
      </c>
      <c r="D135" t="s">
        <v>41</v>
      </c>
      <c r="E135" t="s">
        <v>986</v>
      </c>
      <c r="F135" t="s">
        <v>42</v>
      </c>
      <c r="G135" t="s">
        <v>43</v>
      </c>
      <c r="H135" t="s">
        <v>47</v>
      </c>
      <c r="I135">
        <v>28011</v>
      </c>
      <c r="J135" t="s">
        <v>41</v>
      </c>
      <c r="K135">
        <v>11</v>
      </c>
      <c r="L135" t="s">
        <v>146</v>
      </c>
      <c r="M135">
        <v>2</v>
      </c>
      <c r="N135" t="s">
        <v>134</v>
      </c>
      <c r="O135" t="s">
        <v>324</v>
      </c>
      <c r="P135">
        <v>2300</v>
      </c>
      <c r="Q135" t="s">
        <v>153</v>
      </c>
      <c r="R135" t="s">
        <v>344</v>
      </c>
      <c r="S135">
        <v>2300</v>
      </c>
      <c r="T135" t="s">
        <v>153</v>
      </c>
      <c r="U135" t="s">
        <v>343</v>
      </c>
      <c r="V135" t="s">
        <v>493</v>
      </c>
      <c r="W135" t="s">
        <v>166</v>
      </c>
      <c r="X135">
        <v>14295</v>
      </c>
      <c r="Y135" t="s">
        <v>178</v>
      </c>
      <c r="Z135" t="s">
        <v>143</v>
      </c>
      <c r="AA135" t="s">
        <v>144</v>
      </c>
      <c r="AB135" t="s">
        <v>145</v>
      </c>
      <c r="AC135" t="s">
        <v>146</v>
      </c>
      <c r="AD135">
        <v>23</v>
      </c>
      <c r="AE135">
        <v>130</v>
      </c>
      <c r="AF135">
        <v>14670</v>
      </c>
      <c r="AG135" t="s">
        <v>143</v>
      </c>
      <c r="AH135" t="s">
        <v>143</v>
      </c>
      <c r="AI135" t="s">
        <v>143</v>
      </c>
      <c r="AJ135" t="s">
        <v>143</v>
      </c>
      <c r="AK135" t="s">
        <v>143</v>
      </c>
      <c r="AL135" t="s">
        <v>147</v>
      </c>
      <c r="AM135">
        <v>1858.35</v>
      </c>
      <c r="AN135" t="s">
        <v>148</v>
      </c>
      <c r="AO135" t="s">
        <v>217</v>
      </c>
      <c r="AP135" t="s">
        <v>43</v>
      </c>
    </row>
    <row r="136" spans="1:42" x14ac:dyDescent="0.3">
      <c r="A136" t="s">
        <v>39</v>
      </c>
      <c r="B136">
        <v>120</v>
      </c>
      <c r="C136" t="s">
        <v>40</v>
      </c>
      <c r="D136" t="s">
        <v>41</v>
      </c>
      <c r="E136" t="s">
        <v>986</v>
      </c>
      <c r="F136" t="s">
        <v>42</v>
      </c>
      <c r="G136" t="s">
        <v>43</v>
      </c>
      <c r="H136" t="s">
        <v>47</v>
      </c>
      <c r="I136">
        <v>33003</v>
      </c>
      <c r="J136" t="s">
        <v>41</v>
      </c>
      <c r="K136">
        <v>3</v>
      </c>
      <c r="L136" t="s">
        <v>146</v>
      </c>
      <c r="M136">
        <v>1</v>
      </c>
      <c r="N136" t="s">
        <v>134</v>
      </c>
      <c r="O136" t="s">
        <v>202</v>
      </c>
      <c r="P136">
        <v>534</v>
      </c>
      <c r="Q136" t="s">
        <v>268</v>
      </c>
      <c r="R136" t="s">
        <v>494</v>
      </c>
      <c r="S136">
        <v>534</v>
      </c>
      <c r="T136" t="s">
        <v>268</v>
      </c>
      <c r="U136" t="s">
        <v>495</v>
      </c>
      <c r="V136" t="s">
        <v>495</v>
      </c>
      <c r="W136" t="s">
        <v>166</v>
      </c>
      <c r="X136">
        <v>8316</v>
      </c>
      <c r="Y136" t="s">
        <v>178</v>
      </c>
      <c r="Z136" t="s">
        <v>144</v>
      </c>
      <c r="AA136" t="s">
        <v>144</v>
      </c>
      <c r="AB136" t="s">
        <v>145</v>
      </c>
      <c r="AC136" t="s">
        <v>146</v>
      </c>
      <c r="AD136">
        <v>36</v>
      </c>
      <c r="AE136">
        <v>216</v>
      </c>
      <c r="AF136">
        <v>14212</v>
      </c>
      <c r="AG136" t="s">
        <v>143</v>
      </c>
      <c r="AH136" t="s">
        <v>143</v>
      </c>
      <c r="AI136" t="s">
        <v>143</v>
      </c>
      <c r="AJ136" t="s">
        <v>143</v>
      </c>
      <c r="AK136" t="s">
        <v>143</v>
      </c>
      <c r="AL136" t="s">
        <v>147</v>
      </c>
      <c r="AM136">
        <v>1796.26</v>
      </c>
      <c r="AN136" t="s">
        <v>148</v>
      </c>
      <c r="AO136" t="s">
        <v>187</v>
      </c>
      <c r="AP136" t="s">
        <v>43</v>
      </c>
    </row>
    <row r="137" spans="1:42" x14ac:dyDescent="0.3">
      <c r="A137" t="s">
        <v>39</v>
      </c>
      <c r="B137">
        <v>120</v>
      </c>
      <c r="C137" t="s">
        <v>40</v>
      </c>
      <c r="D137" t="s">
        <v>41</v>
      </c>
      <c r="E137" t="s">
        <v>986</v>
      </c>
      <c r="F137" t="s">
        <v>42</v>
      </c>
      <c r="G137" t="s">
        <v>43</v>
      </c>
      <c r="H137" t="s">
        <v>51</v>
      </c>
      <c r="I137">
        <v>17068</v>
      </c>
      <c r="J137" t="s">
        <v>41</v>
      </c>
      <c r="K137">
        <v>68</v>
      </c>
      <c r="L137" t="s">
        <v>158</v>
      </c>
      <c r="M137">
        <v>2</v>
      </c>
      <c r="N137" t="s">
        <v>134</v>
      </c>
      <c r="O137" t="s">
        <v>496</v>
      </c>
      <c r="P137">
        <v>122</v>
      </c>
      <c r="Q137" t="s">
        <v>138</v>
      </c>
      <c r="R137" t="s">
        <v>139</v>
      </c>
      <c r="S137">
        <v>1284</v>
      </c>
      <c r="T137" t="s">
        <v>225</v>
      </c>
      <c r="U137" t="s">
        <v>293</v>
      </c>
      <c r="V137" t="s">
        <v>227</v>
      </c>
      <c r="W137" t="s">
        <v>141</v>
      </c>
      <c r="X137">
        <v>17398</v>
      </c>
      <c r="Y137" t="s">
        <v>178</v>
      </c>
      <c r="Z137" t="s">
        <v>143</v>
      </c>
      <c r="AA137" t="s">
        <v>143</v>
      </c>
      <c r="AB137" t="s">
        <v>145</v>
      </c>
      <c r="AC137" t="s">
        <v>158</v>
      </c>
      <c r="AD137">
        <v>8</v>
      </c>
      <c r="AE137">
        <v>44</v>
      </c>
      <c r="AF137">
        <v>30778</v>
      </c>
      <c r="AG137" t="s">
        <v>143</v>
      </c>
      <c r="AH137" t="s">
        <v>143</v>
      </c>
      <c r="AI137" t="s">
        <v>143</v>
      </c>
      <c r="AJ137" t="s">
        <v>143</v>
      </c>
      <c r="AK137" t="s">
        <v>143</v>
      </c>
      <c r="AL137" t="s">
        <v>147</v>
      </c>
      <c r="AM137">
        <v>765.51</v>
      </c>
      <c r="AN137" t="s">
        <v>349</v>
      </c>
      <c r="AO137" t="s">
        <v>256</v>
      </c>
      <c r="AP137" t="s">
        <v>43</v>
      </c>
    </row>
    <row r="138" spans="1:42" x14ac:dyDescent="0.3">
      <c r="A138" t="s">
        <v>39</v>
      </c>
      <c r="B138">
        <v>120</v>
      </c>
      <c r="C138" t="s">
        <v>40</v>
      </c>
      <c r="D138" t="s">
        <v>41</v>
      </c>
      <c r="E138" t="s">
        <v>986</v>
      </c>
      <c r="F138" t="s">
        <v>45</v>
      </c>
      <c r="G138" t="s">
        <v>43</v>
      </c>
      <c r="H138" t="s">
        <v>48</v>
      </c>
      <c r="I138">
        <v>52019</v>
      </c>
      <c r="J138" t="s">
        <v>41</v>
      </c>
      <c r="K138">
        <v>19</v>
      </c>
      <c r="L138" t="s">
        <v>146</v>
      </c>
      <c r="M138">
        <v>2</v>
      </c>
      <c r="N138" t="s">
        <v>134</v>
      </c>
      <c r="O138" t="s">
        <v>174</v>
      </c>
      <c r="P138">
        <v>240</v>
      </c>
      <c r="Q138" t="s">
        <v>162</v>
      </c>
      <c r="R138" t="s">
        <v>175</v>
      </c>
      <c r="S138">
        <v>240</v>
      </c>
      <c r="T138" t="s">
        <v>162</v>
      </c>
      <c r="U138" t="s">
        <v>219</v>
      </c>
      <c r="V138" t="s">
        <v>220</v>
      </c>
      <c r="W138" t="s">
        <v>166</v>
      </c>
      <c r="X138">
        <v>10137</v>
      </c>
      <c r="Y138" t="s">
        <v>178</v>
      </c>
      <c r="Z138" t="s">
        <v>143</v>
      </c>
      <c r="AA138" t="s">
        <v>144</v>
      </c>
      <c r="AB138" t="s">
        <v>157</v>
      </c>
      <c r="AC138" t="s">
        <v>146</v>
      </c>
      <c r="AD138">
        <v>56</v>
      </c>
      <c r="AE138">
        <v>322</v>
      </c>
      <c r="AF138">
        <v>25403</v>
      </c>
      <c r="AG138" t="s">
        <v>143</v>
      </c>
      <c r="AH138" t="s">
        <v>143</v>
      </c>
      <c r="AI138" t="s">
        <v>143</v>
      </c>
      <c r="AJ138" t="s">
        <v>143</v>
      </c>
      <c r="AK138" t="s">
        <v>143</v>
      </c>
      <c r="AL138" t="s">
        <v>147</v>
      </c>
      <c r="AM138">
        <v>3264.11</v>
      </c>
      <c r="AN138" t="s">
        <v>179</v>
      </c>
      <c r="AO138" t="s">
        <v>50</v>
      </c>
      <c r="AP138" t="s">
        <v>43</v>
      </c>
    </row>
    <row r="139" spans="1:42" x14ac:dyDescent="0.3">
      <c r="A139" t="s">
        <v>39</v>
      </c>
      <c r="B139">
        <v>120</v>
      </c>
      <c r="C139" t="s">
        <v>40</v>
      </c>
      <c r="D139" t="s">
        <v>41</v>
      </c>
      <c r="E139" t="s">
        <v>986</v>
      </c>
      <c r="F139" t="s">
        <v>42</v>
      </c>
      <c r="G139" t="s">
        <v>43</v>
      </c>
      <c r="H139" t="s">
        <v>46</v>
      </c>
      <c r="I139">
        <v>10190</v>
      </c>
      <c r="J139" t="s">
        <v>41</v>
      </c>
      <c r="K139">
        <v>190</v>
      </c>
      <c r="L139" t="s">
        <v>158</v>
      </c>
      <c r="M139">
        <v>2</v>
      </c>
      <c r="N139" t="s">
        <v>134</v>
      </c>
      <c r="O139" t="s">
        <v>489</v>
      </c>
      <c r="P139">
        <v>4000</v>
      </c>
      <c r="Q139" t="s">
        <v>189</v>
      </c>
      <c r="R139" t="s">
        <v>491</v>
      </c>
      <c r="S139">
        <v>240</v>
      </c>
      <c r="T139" t="s">
        <v>162</v>
      </c>
      <c r="U139" t="s">
        <v>396</v>
      </c>
      <c r="V139" t="s">
        <v>497</v>
      </c>
      <c r="W139" t="s">
        <v>141</v>
      </c>
      <c r="X139">
        <v>37735</v>
      </c>
      <c r="Y139" t="s">
        <v>294</v>
      </c>
      <c r="Z139" t="s">
        <v>144</v>
      </c>
      <c r="AA139" t="s">
        <v>143</v>
      </c>
      <c r="AB139" t="s">
        <v>157</v>
      </c>
      <c r="AC139" t="s">
        <v>158</v>
      </c>
      <c r="AD139">
        <v>0</v>
      </c>
      <c r="AE139">
        <v>12</v>
      </c>
      <c r="AF139">
        <v>14792</v>
      </c>
      <c r="AG139" t="s">
        <v>143</v>
      </c>
      <c r="AH139" t="s">
        <v>143</v>
      </c>
      <c r="AI139" t="s">
        <v>143</v>
      </c>
      <c r="AJ139" t="s">
        <v>143</v>
      </c>
      <c r="AK139" t="s">
        <v>143</v>
      </c>
      <c r="AL139" t="s">
        <v>147</v>
      </c>
      <c r="AM139">
        <v>452.82</v>
      </c>
      <c r="AN139" t="s">
        <v>148</v>
      </c>
      <c r="AO139" t="s">
        <v>442</v>
      </c>
      <c r="AP139" t="s">
        <v>43</v>
      </c>
    </row>
    <row r="140" spans="1:42" x14ac:dyDescent="0.3">
      <c r="A140" t="s">
        <v>39</v>
      </c>
      <c r="B140">
        <v>120</v>
      </c>
      <c r="C140" t="s">
        <v>40</v>
      </c>
      <c r="D140" t="s">
        <v>41</v>
      </c>
      <c r="E140" t="s">
        <v>986</v>
      </c>
      <c r="F140" t="s">
        <v>42</v>
      </c>
      <c r="G140" t="s">
        <v>43</v>
      </c>
      <c r="H140" t="s">
        <v>46</v>
      </c>
      <c r="I140">
        <v>33003</v>
      </c>
      <c r="J140" t="s">
        <v>41</v>
      </c>
      <c r="K140">
        <v>3</v>
      </c>
      <c r="L140" t="s">
        <v>146</v>
      </c>
      <c r="M140">
        <v>2</v>
      </c>
      <c r="N140" t="s">
        <v>134</v>
      </c>
      <c r="O140" t="s">
        <v>202</v>
      </c>
      <c r="P140">
        <v>534</v>
      </c>
      <c r="Q140" t="s">
        <v>268</v>
      </c>
      <c r="R140" t="s">
        <v>495</v>
      </c>
      <c r="S140">
        <v>534</v>
      </c>
      <c r="T140" t="s">
        <v>268</v>
      </c>
      <c r="U140" t="s">
        <v>494</v>
      </c>
      <c r="V140" t="s">
        <v>494</v>
      </c>
      <c r="W140" t="s">
        <v>166</v>
      </c>
      <c r="X140">
        <v>9195</v>
      </c>
      <c r="Y140" t="s">
        <v>178</v>
      </c>
      <c r="Z140" t="s">
        <v>144</v>
      </c>
      <c r="AA140" t="s">
        <v>144</v>
      </c>
      <c r="AB140" t="s">
        <v>145</v>
      </c>
      <c r="AC140" t="s">
        <v>146</v>
      </c>
      <c r="AD140">
        <v>36</v>
      </c>
      <c r="AE140">
        <v>216</v>
      </c>
      <c r="AF140">
        <v>14213</v>
      </c>
      <c r="AG140" t="s">
        <v>143</v>
      </c>
      <c r="AH140" t="s">
        <v>143</v>
      </c>
      <c r="AI140" t="s">
        <v>143</v>
      </c>
      <c r="AJ140" t="s">
        <v>143</v>
      </c>
      <c r="AK140" t="s">
        <v>143</v>
      </c>
      <c r="AL140" t="s">
        <v>147</v>
      </c>
      <c r="AM140">
        <v>1986.12</v>
      </c>
      <c r="AN140" t="s">
        <v>148</v>
      </c>
      <c r="AO140" t="s">
        <v>498</v>
      </c>
      <c r="AP140" t="s">
        <v>43</v>
      </c>
    </row>
    <row r="141" spans="1:42" x14ac:dyDescent="0.3">
      <c r="A141" t="s">
        <v>39</v>
      </c>
      <c r="B141">
        <v>120</v>
      </c>
      <c r="C141" t="s">
        <v>40</v>
      </c>
      <c r="D141" t="s">
        <v>41</v>
      </c>
      <c r="E141" t="s">
        <v>986</v>
      </c>
      <c r="F141" t="s">
        <v>54</v>
      </c>
      <c r="G141" t="s">
        <v>43</v>
      </c>
      <c r="H141" t="s">
        <v>46</v>
      </c>
      <c r="I141">
        <v>12181</v>
      </c>
      <c r="J141" t="s">
        <v>41</v>
      </c>
      <c r="K141">
        <v>181</v>
      </c>
      <c r="L141" t="s">
        <v>158</v>
      </c>
      <c r="M141">
        <v>2</v>
      </c>
      <c r="N141" t="s">
        <v>168</v>
      </c>
      <c r="O141" t="s">
        <v>354</v>
      </c>
      <c r="P141">
        <v>240</v>
      </c>
      <c r="Q141" t="s">
        <v>162</v>
      </c>
      <c r="R141" t="s">
        <v>355</v>
      </c>
      <c r="S141">
        <v>4000</v>
      </c>
      <c r="T141" t="s">
        <v>189</v>
      </c>
      <c r="U141" t="s">
        <v>499</v>
      </c>
      <c r="V141" t="s">
        <v>500</v>
      </c>
      <c r="W141" t="s">
        <v>141</v>
      </c>
      <c r="X141">
        <v>40877</v>
      </c>
      <c r="Y141" t="s">
        <v>178</v>
      </c>
      <c r="Z141" t="s">
        <v>144</v>
      </c>
      <c r="AA141" t="s">
        <v>143</v>
      </c>
      <c r="AB141" t="s">
        <v>157</v>
      </c>
      <c r="AC141" t="s">
        <v>158</v>
      </c>
      <c r="AD141">
        <v>0</v>
      </c>
      <c r="AE141">
        <v>1</v>
      </c>
      <c r="AF141">
        <v>14172</v>
      </c>
      <c r="AG141" t="s">
        <v>143</v>
      </c>
      <c r="AH141" t="s">
        <v>143</v>
      </c>
      <c r="AI141" t="s">
        <v>143</v>
      </c>
      <c r="AJ141" t="s">
        <v>143</v>
      </c>
      <c r="AK141" t="s">
        <v>143</v>
      </c>
      <c r="AL141" t="s">
        <v>147</v>
      </c>
      <c r="AM141">
        <v>40.880000000000003</v>
      </c>
      <c r="AN141" t="s">
        <v>148</v>
      </c>
      <c r="AO141" t="s">
        <v>54</v>
      </c>
      <c r="AP141" t="s">
        <v>43</v>
      </c>
    </row>
    <row r="142" spans="1:42" x14ac:dyDescent="0.3">
      <c r="A142" t="s">
        <v>39</v>
      </c>
      <c r="B142">
        <v>120</v>
      </c>
      <c r="C142" t="s">
        <v>40</v>
      </c>
      <c r="D142" t="s">
        <v>49</v>
      </c>
      <c r="E142" t="s">
        <v>984</v>
      </c>
      <c r="F142" t="s">
        <v>45</v>
      </c>
      <c r="G142" t="s">
        <v>43</v>
      </c>
      <c r="H142" t="s">
        <v>48</v>
      </c>
      <c r="I142">
        <v>19046</v>
      </c>
      <c r="J142" t="s">
        <v>49</v>
      </c>
      <c r="K142">
        <v>46</v>
      </c>
      <c r="L142" t="s">
        <v>985</v>
      </c>
      <c r="M142">
        <v>1</v>
      </c>
      <c r="N142" t="s">
        <v>134</v>
      </c>
      <c r="O142" t="s">
        <v>229</v>
      </c>
      <c r="P142">
        <v>7700</v>
      </c>
      <c r="Q142" t="s">
        <v>49</v>
      </c>
      <c r="R142" t="s">
        <v>197</v>
      </c>
      <c r="S142">
        <v>1840</v>
      </c>
      <c r="T142" t="s">
        <v>230</v>
      </c>
      <c r="U142" t="s">
        <v>231</v>
      </c>
      <c r="V142" t="s">
        <v>232</v>
      </c>
      <c r="W142" t="s">
        <v>141</v>
      </c>
      <c r="X142">
        <v>18242</v>
      </c>
      <c r="Y142" t="s">
        <v>178</v>
      </c>
      <c r="Z142" t="s">
        <v>143</v>
      </c>
      <c r="AA142" t="s">
        <v>143</v>
      </c>
      <c r="AB142" t="s">
        <v>157</v>
      </c>
      <c r="AC142" t="s">
        <v>158</v>
      </c>
      <c r="AD142">
        <v>8</v>
      </c>
      <c r="AE142">
        <v>46</v>
      </c>
      <c r="AF142">
        <v>893</v>
      </c>
      <c r="AG142" t="s">
        <v>143</v>
      </c>
      <c r="AH142" t="s">
        <v>143</v>
      </c>
      <c r="AI142" t="s">
        <v>143</v>
      </c>
      <c r="AJ142" t="s">
        <v>143</v>
      </c>
      <c r="AK142" t="s">
        <v>143</v>
      </c>
      <c r="AL142" t="s">
        <v>147</v>
      </c>
      <c r="AM142">
        <v>839.13</v>
      </c>
      <c r="AN142" t="s">
        <v>250</v>
      </c>
      <c r="AO142" t="s">
        <v>50</v>
      </c>
      <c r="AP142" t="s">
        <v>43</v>
      </c>
    </row>
    <row r="143" spans="1:42" x14ac:dyDescent="0.3">
      <c r="A143" t="s">
        <v>39</v>
      </c>
      <c r="B143">
        <v>120</v>
      </c>
      <c r="C143" t="s">
        <v>40</v>
      </c>
      <c r="D143" t="s">
        <v>49</v>
      </c>
      <c r="E143" t="s">
        <v>984</v>
      </c>
      <c r="F143" t="s">
        <v>45</v>
      </c>
      <c r="G143" t="s">
        <v>43</v>
      </c>
      <c r="H143" t="s">
        <v>48</v>
      </c>
      <c r="I143">
        <v>32013</v>
      </c>
      <c r="J143" t="s">
        <v>49</v>
      </c>
      <c r="K143">
        <v>13</v>
      </c>
      <c r="L143" t="s">
        <v>146</v>
      </c>
      <c r="M143">
        <v>1</v>
      </c>
      <c r="N143" t="s">
        <v>134</v>
      </c>
      <c r="O143" t="s">
        <v>501</v>
      </c>
      <c r="P143">
        <v>7700</v>
      </c>
      <c r="Q143" t="s">
        <v>49</v>
      </c>
      <c r="R143" t="s">
        <v>197</v>
      </c>
      <c r="S143">
        <v>7700</v>
      </c>
      <c r="T143" t="s">
        <v>49</v>
      </c>
      <c r="U143" t="s">
        <v>502</v>
      </c>
      <c r="V143" t="s">
        <v>503</v>
      </c>
      <c r="W143" t="s">
        <v>166</v>
      </c>
      <c r="X143">
        <v>23946</v>
      </c>
      <c r="Y143" t="s">
        <v>178</v>
      </c>
      <c r="Z143" t="s">
        <v>144</v>
      </c>
      <c r="AA143" t="s">
        <v>144</v>
      </c>
      <c r="AB143" t="s">
        <v>157</v>
      </c>
      <c r="AC143" t="s">
        <v>146</v>
      </c>
      <c r="AD143">
        <v>75</v>
      </c>
      <c r="AE143">
        <v>429</v>
      </c>
      <c r="AF143">
        <v>866</v>
      </c>
      <c r="AG143" t="s">
        <v>143</v>
      </c>
      <c r="AH143" t="s">
        <v>143</v>
      </c>
      <c r="AI143" t="s">
        <v>143</v>
      </c>
      <c r="AJ143" t="s">
        <v>143</v>
      </c>
      <c r="AK143" t="s">
        <v>143</v>
      </c>
      <c r="AL143" t="s">
        <v>147</v>
      </c>
      <c r="AM143">
        <v>10272.83</v>
      </c>
      <c r="AN143" t="s">
        <v>250</v>
      </c>
      <c r="AO143" t="s">
        <v>50</v>
      </c>
      <c r="AP143" t="s">
        <v>43</v>
      </c>
    </row>
    <row r="144" spans="1:42" x14ac:dyDescent="0.3">
      <c r="A144" t="s">
        <v>39</v>
      </c>
      <c r="B144">
        <v>120</v>
      </c>
      <c r="C144" t="s">
        <v>40</v>
      </c>
      <c r="D144" t="s">
        <v>49</v>
      </c>
      <c r="E144" t="s">
        <v>984</v>
      </c>
      <c r="F144" t="s">
        <v>45</v>
      </c>
      <c r="G144" t="s">
        <v>43</v>
      </c>
      <c r="H144" t="s">
        <v>48</v>
      </c>
      <c r="I144">
        <v>50006</v>
      </c>
      <c r="J144" t="s">
        <v>49</v>
      </c>
      <c r="K144">
        <v>6</v>
      </c>
      <c r="L144" t="s">
        <v>146</v>
      </c>
      <c r="M144">
        <v>2</v>
      </c>
      <c r="N144" t="s">
        <v>160</v>
      </c>
      <c r="O144" t="s">
        <v>504</v>
      </c>
      <c r="P144">
        <v>1840</v>
      </c>
      <c r="Q144" t="s">
        <v>230</v>
      </c>
      <c r="R144" t="s">
        <v>360</v>
      </c>
      <c r="S144">
        <v>874</v>
      </c>
      <c r="T144" t="s">
        <v>235</v>
      </c>
      <c r="U144" t="s">
        <v>304</v>
      </c>
      <c r="V144" t="s">
        <v>305</v>
      </c>
      <c r="W144" t="s">
        <v>166</v>
      </c>
      <c r="X144">
        <v>13582</v>
      </c>
      <c r="Y144" t="s">
        <v>178</v>
      </c>
      <c r="Z144" t="s">
        <v>143</v>
      </c>
      <c r="AA144" t="s">
        <v>144</v>
      </c>
      <c r="AB144" t="s">
        <v>157</v>
      </c>
      <c r="AC144" t="s">
        <v>146</v>
      </c>
      <c r="AD144">
        <v>18</v>
      </c>
      <c r="AE144">
        <v>102</v>
      </c>
      <c r="AF144">
        <v>20686</v>
      </c>
      <c r="AG144" t="s">
        <v>143</v>
      </c>
      <c r="AH144" t="s">
        <v>143</v>
      </c>
      <c r="AI144" t="s">
        <v>143</v>
      </c>
      <c r="AJ144" t="s">
        <v>143</v>
      </c>
      <c r="AK144" t="s">
        <v>143</v>
      </c>
      <c r="AL144" t="s">
        <v>147</v>
      </c>
      <c r="AM144">
        <v>1385.36</v>
      </c>
      <c r="AN144" t="s">
        <v>323</v>
      </c>
      <c r="AO144" t="s">
        <v>50</v>
      </c>
      <c r="AP144" t="s">
        <v>43</v>
      </c>
    </row>
    <row r="145" spans="1:42" x14ac:dyDescent="0.3">
      <c r="A145" t="s">
        <v>39</v>
      </c>
      <c r="B145">
        <v>120</v>
      </c>
      <c r="C145" t="s">
        <v>40</v>
      </c>
      <c r="D145" t="s">
        <v>49</v>
      </c>
      <c r="E145" t="s">
        <v>984</v>
      </c>
      <c r="F145" t="s">
        <v>45</v>
      </c>
      <c r="G145" t="s">
        <v>43</v>
      </c>
      <c r="H145" t="s">
        <v>48</v>
      </c>
      <c r="I145">
        <v>80005</v>
      </c>
      <c r="J145" t="s">
        <v>49</v>
      </c>
      <c r="K145">
        <v>5</v>
      </c>
      <c r="L145" t="s">
        <v>146</v>
      </c>
      <c r="M145">
        <v>1</v>
      </c>
      <c r="N145" t="s">
        <v>134</v>
      </c>
      <c r="O145" t="s">
        <v>505</v>
      </c>
      <c r="P145">
        <v>874</v>
      </c>
      <c r="Q145" t="s">
        <v>235</v>
      </c>
      <c r="R145" t="s">
        <v>236</v>
      </c>
      <c r="S145">
        <v>874</v>
      </c>
      <c r="T145" t="s">
        <v>235</v>
      </c>
      <c r="U145" t="s">
        <v>321</v>
      </c>
      <c r="V145" t="s">
        <v>322</v>
      </c>
      <c r="W145" t="s">
        <v>166</v>
      </c>
      <c r="X145">
        <v>16194</v>
      </c>
      <c r="Y145" t="s">
        <v>178</v>
      </c>
      <c r="Z145" t="s">
        <v>143</v>
      </c>
      <c r="AA145" t="s">
        <v>144</v>
      </c>
      <c r="AB145" t="s">
        <v>157</v>
      </c>
      <c r="AC145" t="s">
        <v>146</v>
      </c>
      <c r="AD145">
        <v>60</v>
      </c>
      <c r="AE145">
        <v>332</v>
      </c>
      <c r="AF145">
        <v>17855</v>
      </c>
      <c r="AG145" t="s">
        <v>143</v>
      </c>
      <c r="AH145" t="s">
        <v>143</v>
      </c>
      <c r="AI145" t="s">
        <v>143</v>
      </c>
      <c r="AJ145" t="s">
        <v>143</v>
      </c>
      <c r="AK145" t="s">
        <v>143</v>
      </c>
      <c r="AL145" t="s">
        <v>147</v>
      </c>
      <c r="AM145">
        <v>5376.41</v>
      </c>
      <c r="AN145" t="s">
        <v>302</v>
      </c>
      <c r="AO145" t="s">
        <v>50</v>
      </c>
      <c r="AP145" t="s">
        <v>43</v>
      </c>
    </row>
    <row r="146" spans="1:42" x14ac:dyDescent="0.3">
      <c r="A146" t="s">
        <v>39</v>
      </c>
      <c r="B146">
        <v>120</v>
      </c>
      <c r="C146" t="s">
        <v>40</v>
      </c>
      <c r="D146" t="s">
        <v>41</v>
      </c>
      <c r="E146" t="s">
        <v>986</v>
      </c>
      <c r="F146" t="s">
        <v>45</v>
      </c>
      <c r="G146" t="s">
        <v>43</v>
      </c>
      <c r="H146" t="s">
        <v>48</v>
      </c>
      <c r="I146">
        <v>11184</v>
      </c>
      <c r="J146" t="s">
        <v>41</v>
      </c>
      <c r="K146">
        <v>184</v>
      </c>
      <c r="L146" t="s">
        <v>158</v>
      </c>
      <c r="M146">
        <v>2</v>
      </c>
      <c r="N146" t="s">
        <v>134</v>
      </c>
      <c r="O146" t="s">
        <v>478</v>
      </c>
      <c r="P146">
        <v>369</v>
      </c>
      <c r="Q146" t="s">
        <v>479</v>
      </c>
      <c r="R146" t="s">
        <v>480</v>
      </c>
      <c r="S146">
        <v>140</v>
      </c>
      <c r="T146" t="s">
        <v>136</v>
      </c>
      <c r="U146" t="s">
        <v>357</v>
      </c>
      <c r="V146" t="s">
        <v>358</v>
      </c>
      <c r="W146" t="s">
        <v>141</v>
      </c>
      <c r="X146">
        <v>26957</v>
      </c>
      <c r="Y146" t="s">
        <v>178</v>
      </c>
      <c r="Z146" t="s">
        <v>143</v>
      </c>
      <c r="AA146" t="s">
        <v>143</v>
      </c>
      <c r="AB146" t="s">
        <v>145</v>
      </c>
      <c r="AC146" t="s">
        <v>158</v>
      </c>
      <c r="AD146">
        <v>8</v>
      </c>
      <c r="AE146">
        <v>48</v>
      </c>
      <c r="AF146">
        <v>14175</v>
      </c>
      <c r="AG146" t="s">
        <v>143</v>
      </c>
      <c r="AH146" t="s">
        <v>143</v>
      </c>
      <c r="AI146" t="s">
        <v>143</v>
      </c>
      <c r="AJ146" t="s">
        <v>143</v>
      </c>
      <c r="AK146" t="s">
        <v>143</v>
      </c>
      <c r="AL146" t="s">
        <v>147</v>
      </c>
      <c r="AM146">
        <v>1293.94</v>
      </c>
      <c r="AN146" t="s">
        <v>148</v>
      </c>
      <c r="AO146" t="s">
        <v>50</v>
      </c>
      <c r="AP146" t="s">
        <v>43</v>
      </c>
    </row>
    <row r="147" spans="1:42" x14ac:dyDescent="0.3">
      <c r="A147" t="s">
        <v>39</v>
      </c>
      <c r="B147">
        <v>120</v>
      </c>
      <c r="C147" t="s">
        <v>40</v>
      </c>
      <c r="D147" t="s">
        <v>41</v>
      </c>
      <c r="E147" t="s">
        <v>986</v>
      </c>
      <c r="F147" t="s">
        <v>45</v>
      </c>
      <c r="G147" t="s">
        <v>43</v>
      </c>
      <c r="H147" t="s">
        <v>48</v>
      </c>
      <c r="I147">
        <v>13185</v>
      </c>
      <c r="J147" t="s">
        <v>41</v>
      </c>
      <c r="K147">
        <v>185</v>
      </c>
      <c r="L147" t="s">
        <v>158</v>
      </c>
      <c r="M147">
        <v>2</v>
      </c>
      <c r="N147" t="s">
        <v>134</v>
      </c>
      <c r="O147" t="s">
        <v>482</v>
      </c>
      <c r="P147">
        <v>586</v>
      </c>
      <c r="Q147" t="s">
        <v>222</v>
      </c>
      <c r="R147" t="s">
        <v>483</v>
      </c>
      <c r="S147">
        <v>140</v>
      </c>
      <c r="T147" t="s">
        <v>136</v>
      </c>
      <c r="U147" t="s">
        <v>357</v>
      </c>
      <c r="V147" t="s">
        <v>358</v>
      </c>
      <c r="W147" t="s">
        <v>141</v>
      </c>
      <c r="X147">
        <v>29067</v>
      </c>
      <c r="Y147" t="s">
        <v>178</v>
      </c>
      <c r="Z147" t="s">
        <v>143</v>
      </c>
      <c r="AA147" t="s">
        <v>143</v>
      </c>
      <c r="AB147" t="s">
        <v>145</v>
      </c>
      <c r="AC147" t="s">
        <v>158</v>
      </c>
      <c r="AD147">
        <v>8</v>
      </c>
      <c r="AE147">
        <v>48</v>
      </c>
      <c r="AF147">
        <v>14196</v>
      </c>
      <c r="AG147" t="s">
        <v>143</v>
      </c>
      <c r="AH147" t="s">
        <v>143</v>
      </c>
      <c r="AI147" t="s">
        <v>143</v>
      </c>
      <c r="AJ147" t="s">
        <v>143</v>
      </c>
      <c r="AK147" t="s">
        <v>143</v>
      </c>
      <c r="AL147" t="s">
        <v>147</v>
      </c>
      <c r="AM147">
        <v>1395.22</v>
      </c>
      <c r="AN147" t="s">
        <v>148</v>
      </c>
      <c r="AO147" t="s">
        <v>50</v>
      </c>
      <c r="AP147" t="s">
        <v>43</v>
      </c>
    </row>
    <row r="148" spans="1:42" x14ac:dyDescent="0.3">
      <c r="A148" t="s">
        <v>39</v>
      </c>
      <c r="B148">
        <v>120</v>
      </c>
      <c r="C148" t="s">
        <v>40</v>
      </c>
      <c r="D148" t="s">
        <v>41</v>
      </c>
      <c r="E148" t="s">
        <v>986</v>
      </c>
      <c r="F148" t="s">
        <v>45</v>
      </c>
      <c r="G148" t="s">
        <v>43</v>
      </c>
      <c r="H148" t="s">
        <v>48</v>
      </c>
      <c r="I148">
        <v>21075</v>
      </c>
      <c r="J148" t="s">
        <v>41</v>
      </c>
      <c r="K148">
        <v>75</v>
      </c>
      <c r="L148" t="s">
        <v>158</v>
      </c>
      <c r="M148">
        <v>1</v>
      </c>
      <c r="N148" t="s">
        <v>134</v>
      </c>
      <c r="O148" t="s">
        <v>207</v>
      </c>
      <c r="P148">
        <v>4000</v>
      </c>
      <c r="Q148" t="s">
        <v>189</v>
      </c>
      <c r="R148" t="s">
        <v>252</v>
      </c>
      <c r="S148">
        <v>944</v>
      </c>
      <c r="T148" t="s">
        <v>208</v>
      </c>
      <c r="U148" t="s">
        <v>369</v>
      </c>
      <c r="V148" t="s">
        <v>370</v>
      </c>
      <c r="W148" t="s">
        <v>141</v>
      </c>
      <c r="X148">
        <v>20259</v>
      </c>
      <c r="Y148" t="s">
        <v>178</v>
      </c>
      <c r="Z148" t="s">
        <v>144</v>
      </c>
      <c r="AA148" t="s">
        <v>143</v>
      </c>
      <c r="AB148" t="s">
        <v>157</v>
      </c>
      <c r="AC148" t="s">
        <v>158</v>
      </c>
      <c r="AD148">
        <v>26</v>
      </c>
      <c r="AE148">
        <v>149</v>
      </c>
      <c r="AF148">
        <v>14134</v>
      </c>
      <c r="AG148" t="s">
        <v>143</v>
      </c>
      <c r="AH148" t="s">
        <v>143</v>
      </c>
      <c r="AI148" t="s">
        <v>143</v>
      </c>
      <c r="AJ148" t="s">
        <v>143</v>
      </c>
      <c r="AK148" t="s">
        <v>143</v>
      </c>
      <c r="AL148" t="s">
        <v>147</v>
      </c>
      <c r="AM148">
        <v>3018.59</v>
      </c>
      <c r="AN148" t="s">
        <v>148</v>
      </c>
      <c r="AO148" t="s">
        <v>50</v>
      </c>
      <c r="AP148" t="s">
        <v>43</v>
      </c>
    </row>
    <row r="149" spans="1:42" x14ac:dyDescent="0.3">
      <c r="A149" t="s">
        <v>39</v>
      </c>
      <c r="B149">
        <v>120</v>
      </c>
      <c r="C149" t="s">
        <v>40</v>
      </c>
      <c r="D149" t="s">
        <v>41</v>
      </c>
      <c r="E149" t="s">
        <v>986</v>
      </c>
      <c r="F149" t="s">
        <v>45</v>
      </c>
      <c r="G149" t="s">
        <v>43</v>
      </c>
      <c r="H149" t="s">
        <v>48</v>
      </c>
      <c r="I149">
        <v>52018</v>
      </c>
      <c r="J149" t="s">
        <v>41</v>
      </c>
      <c r="K149">
        <v>18</v>
      </c>
      <c r="L149" t="s">
        <v>146</v>
      </c>
      <c r="M149">
        <v>2</v>
      </c>
      <c r="N149" t="s">
        <v>134</v>
      </c>
      <c r="O149" t="s">
        <v>488</v>
      </c>
      <c r="P149">
        <v>240</v>
      </c>
      <c r="Q149" t="s">
        <v>162</v>
      </c>
      <c r="R149" t="s">
        <v>175</v>
      </c>
      <c r="S149">
        <v>240</v>
      </c>
      <c r="T149" t="s">
        <v>162</v>
      </c>
      <c r="U149" t="s">
        <v>219</v>
      </c>
      <c r="V149" t="s">
        <v>220</v>
      </c>
      <c r="W149" t="s">
        <v>166</v>
      </c>
      <c r="X149">
        <v>10230</v>
      </c>
      <c r="Y149" t="s">
        <v>178</v>
      </c>
      <c r="Z149" t="s">
        <v>143</v>
      </c>
      <c r="AA149" t="s">
        <v>144</v>
      </c>
      <c r="AB149" t="s">
        <v>157</v>
      </c>
      <c r="AC149" t="s">
        <v>146</v>
      </c>
      <c r="AD149">
        <v>63</v>
      </c>
      <c r="AE149">
        <v>361</v>
      </c>
      <c r="AF149">
        <v>25399</v>
      </c>
      <c r="AG149" t="s">
        <v>143</v>
      </c>
      <c r="AH149" t="s">
        <v>143</v>
      </c>
      <c r="AI149" t="s">
        <v>143</v>
      </c>
      <c r="AJ149" t="s">
        <v>143</v>
      </c>
      <c r="AK149" t="s">
        <v>143</v>
      </c>
      <c r="AL149" t="s">
        <v>147</v>
      </c>
      <c r="AM149">
        <v>3693.03</v>
      </c>
      <c r="AN149" t="s">
        <v>179</v>
      </c>
      <c r="AO149" t="s">
        <v>50</v>
      </c>
      <c r="AP149" t="s">
        <v>43</v>
      </c>
    </row>
    <row r="150" spans="1:42" x14ac:dyDescent="0.3">
      <c r="A150" t="s">
        <v>39</v>
      </c>
      <c r="B150">
        <v>120</v>
      </c>
      <c r="C150" t="s">
        <v>40</v>
      </c>
      <c r="D150" t="s">
        <v>41</v>
      </c>
      <c r="E150" t="s">
        <v>986</v>
      </c>
      <c r="F150" t="s">
        <v>45</v>
      </c>
      <c r="G150" t="s">
        <v>56</v>
      </c>
      <c r="H150" t="s">
        <v>48</v>
      </c>
      <c r="I150">
        <v>35058</v>
      </c>
      <c r="J150" t="s">
        <v>41</v>
      </c>
      <c r="K150">
        <v>58</v>
      </c>
      <c r="L150" t="s">
        <v>146</v>
      </c>
      <c r="M150">
        <v>1</v>
      </c>
      <c r="N150" t="s">
        <v>134</v>
      </c>
      <c r="O150" t="s">
        <v>286</v>
      </c>
      <c r="P150">
        <v>4000</v>
      </c>
      <c r="Q150" t="s">
        <v>189</v>
      </c>
      <c r="R150" t="s">
        <v>289</v>
      </c>
      <c r="S150">
        <v>494</v>
      </c>
      <c r="T150" t="s">
        <v>287</v>
      </c>
      <c r="U150" t="s">
        <v>390</v>
      </c>
      <c r="V150" t="s">
        <v>391</v>
      </c>
      <c r="W150" t="s">
        <v>166</v>
      </c>
      <c r="X150">
        <v>28031</v>
      </c>
      <c r="Y150" t="s">
        <v>178</v>
      </c>
      <c r="Z150" t="s">
        <v>144</v>
      </c>
      <c r="AA150" t="s">
        <v>144</v>
      </c>
      <c r="AB150" t="s">
        <v>157</v>
      </c>
      <c r="AC150" t="s">
        <v>146</v>
      </c>
      <c r="AD150">
        <v>48</v>
      </c>
      <c r="AE150">
        <v>267</v>
      </c>
      <c r="AF150">
        <v>23818</v>
      </c>
      <c r="AG150" t="s">
        <v>143</v>
      </c>
      <c r="AH150" t="s">
        <v>143</v>
      </c>
      <c r="AI150" t="s">
        <v>143</v>
      </c>
      <c r="AJ150" t="s">
        <v>143</v>
      </c>
      <c r="AK150" t="s">
        <v>143</v>
      </c>
      <c r="AL150" t="s">
        <v>147</v>
      </c>
      <c r="AM150">
        <v>7484.28</v>
      </c>
      <c r="AN150" t="s">
        <v>291</v>
      </c>
      <c r="AO150" t="s">
        <v>50</v>
      </c>
      <c r="AP150" t="s">
        <v>56</v>
      </c>
    </row>
    <row r="151" spans="1:42" x14ac:dyDescent="0.3">
      <c r="A151" t="s">
        <v>39</v>
      </c>
      <c r="B151">
        <v>120</v>
      </c>
      <c r="C151" t="s">
        <v>40</v>
      </c>
      <c r="D151" t="s">
        <v>41</v>
      </c>
      <c r="E151" t="s">
        <v>986</v>
      </c>
      <c r="F151" t="s">
        <v>45</v>
      </c>
      <c r="G151" t="s">
        <v>56</v>
      </c>
      <c r="H151" t="s">
        <v>48</v>
      </c>
      <c r="I151">
        <v>35058</v>
      </c>
      <c r="J151" t="s">
        <v>41</v>
      </c>
      <c r="K151">
        <v>58</v>
      </c>
      <c r="L151" t="s">
        <v>146</v>
      </c>
      <c r="M151">
        <v>2</v>
      </c>
      <c r="N151" t="s">
        <v>134</v>
      </c>
      <c r="O151" t="s">
        <v>286</v>
      </c>
      <c r="P151">
        <v>494</v>
      </c>
      <c r="Q151" t="s">
        <v>287</v>
      </c>
      <c r="R151" t="s">
        <v>288</v>
      </c>
      <c r="S151">
        <v>4000</v>
      </c>
      <c r="T151" t="s">
        <v>189</v>
      </c>
      <c r="U151" t="s">
        <v>289</v>
      </c>
      <c r="V151" t="s">
        <v>290</v>
      </c>
      <c r="W151" t="s">
        <v>166</v>
      </c>
      <c r="X151">
        <v>28477</v>
      </c>
      <c r="Y151" t="s">
        <v>178</v>
      </c>
      <c r="Z151" t="s">
        <v>144</v>
      </c>
      <c r="AA151" t="s">
        <v>144</v>
      </c>
      <c r="AB151" t="s">
        <v>157</v>
      </c>
      <c r="AC151" t="s">
        <v>146</v>
      </c>
      <c r="AD151">
        <v>50</v>
      </c>
      <c r="AE151">
        <v>278</v>
      </c>
      <c r="AF151">
        <v>23819</v>
      </c>
      <c r="AG151" t="s">
        <v>143</v>
      </c>
      <c r="AH151" t="s">
        <v>143</v>
      </c>
      <c r="AI151" t="s">
        <v>143</v>
      </c>
      <c r="AJ151" t="s">
        <v>143</v>
      </c>
      <c r="AK151" t="s">
        <v>143</v>
      </c>
      <c r="AL151" t="s">
        <v>147</v>
      </c>
      <c r="AM151">
        <v>7916.61</v>
      </c>
      <c r="AN151" t="s">
        <v>291</v>
      </c>
      <c r="AO151" t="s">
        <v>50</v>
      </c>
      <c r="AP151" t="s">
        <v>56</v>
      </c>
    </row>
    <row r="152" spans="1:42" x14ac:dyDescent="0.3">
      <c r="A152" t="s">
        <v>39</v>
      </c>
      <c r="B152">
        <v>120</v>
      </c>
      <c r="C152" t="s">
        <v>40</v>
      </c>
      <c r="D152" t="s">
        <v>41</v>
      </c>
      <c r="E152" t="s">
        <v>986</v>
      </c>
      <c r="F152" t="s">
        <v>42</v>
      </c>
      <c r="G152" t="s">
        <v>43</v>
      </c>
      <c r="H152" t="s">
        <v>46</v>
      </c>
      <c r="I152">
        <v>12181</v>
      </c>
      <c r="J152" t="s">
        <v>41</v>
      </c>
      <c r="K152">
        <v>181</v>
      </c>
      <c r="L152" t="s">
        <v>158</v>
      </c>
      <c r="M152">
        <v>1</v>
      </c>
      <c r="N152" t="s">
        <v>134</v>
      </c>
      <c r="O152" t="s">
        <v>354</v>
      </c>
      <c r="P152">
        <v>4000</v>
      </c>
      <c r="Q152" t="s">
        <v>189</v>
      </c>
      <c r="R152" t="s">
        <v>252</v>
      </c>
      <c r="S152">
        <v>241</v>
      </c>
      <c r="T152" t="s">
        <v>41</v>
      </c>
      <c r="U152" t="s">
        <v>506</v>
      </c>
      <c r="V152" t="s">
        <v>507</v>
      </c>
      <c r="W152" t="s">
        <v>141</v>
      </c>
      <c r="X152">
        <v>35329</v>
      </c>
      <c r="Y152" t="s">
        <v>178</v>
      </c>
      <c r="Z152" t="s">
        <v>144</v>
      </c>
      <c r="AA152" t="s">
        <v>143</v>
      </c>
      <c r="AB152" t="s">
        <v>157</v>
      </c>
      <c r="AC152" t="s">
        <v>158</v>
      </c>
      <c r="AD152">
        <v>6</v>
      </c>
      <c r="AE152">
        <v>41</v>
      </c>
      <c r="AF152">
        <v>14169</v>
      </c>
      <c r="AG152" t="s">
        <v>143</v>
      </c>
      <c r="AH152" t="s">
        <v>143</v>
      </c>
      <c r="AI152" t="s">
        <v>143</v>
      </c>
      <c r="AJ152" t="s">
        <v>143</v>
      </c>
      <c r="AK152" t="s">
        <v>143</v>
      </c>
      <c r="AL152" t="s">
        <v>147</v>
      </c>
      <c r="AM152">
        <v>1448.49</v>
      </c>
      <c r="AN152" t="s">
        <v>148</v>
      </c>
      <c r="AO152" t="s">
        <v>442</v>
      </c>
      <c r="AP152" t="s">
        <v>43</v>
      </c>
    </row>
    <row r="153" spans="1:42" x14ac:dyDescent="0.3">
      <c r="A153" t="s">
        <v>39</v>
      </c>
      <c r="B153">
        <v>120</v>
      </c>
      <c r="C153" t="s">
        <v>40</v>
      </c>
      <c r="D153" t="s">
        <v>41</v>
      </c>
      <c r="E153" t="s">
        <v>986</v>
      </c>
      <c r="F153" t="s">
        <v>42</v>
      </c>
      <c r="G153" t="s">
        <v>43</v>
      </c>
      <c r="H153" t="s">
        <v>44</v>
      </c>
      <c r="I153">
        <v>39002</v>
      </c>
      <c r="J153" t="s">
        <v>41</v>
      </c>
      <c r="K153">
        <v>2</v>
      </c>
      <c r="L153" t="s">
        <v>146</v>
      </c>
      <c r="M153">
        <v>2</v>
      </c>
      <c r="N153" t="s">
        <v>134</v>
      </c>
      <c r="O153" t="s">
        <v>168</v>
      </c>
      <c r="P153">
        <v>494</v>
      </c>
      <c r="Q153" t="s">
        <v>287</v>
      </c>
      <c r="R153" t="s">
        <v>508</v>
      </c>
      <c r="S153">
        <v>494</v>
      </c>
      <c r="T153" t="s">
        <v>287</v>
      </c>
      <c r="U153" t="s">
        <v>350</v>
      </c>
      <c r="V153" t="s">
        <v>350</v>
      </c>
      <c r="W153" t="s">
        <v>166</v>
      </c>
      <c r="X153">
        <v>9281</v>
      </c>
      <c r="Y153" t="s">
        <v>178</v>
      </c>
      <c r="Z153" t="s">
        <v>144</v>
      </c>
      <c r="AA153" t="s">
        <v>144</v>
      </c>
      <c r="AB153" t="s">
        <v>145</v>
      </c>
      <c r="AC153" t="s">
        <v>146</v>
      </c>
      <c r="AD153">
        <v>34</v>
      </c>
      <c r="AE153">
        <v>203</v>
      </c>
      <c r="AF153">
        <v>14789</v>
      </c>
      <c r="AG153" t="s">
        <v>143</v>
      </c>
      <c r="AH153" t="s">
        <v>143</v>
      </c>
      <c r="AI153" t="s">
        <v>143</v>
      </c>
      <c r="AJ153" t="s">
        <v>143</v>
      </c>
      <c r="AK153" t="s">
        <v>143</v>
      </c>
      <c r="AL153" t="s">
        <v>147</v>
      </c>
      <c r="AM153">
        <v>1884.04</v>
      </c>
      <c r="AN153" t="s">
        <v>148</v>
      </c>
      <c r="AO153" t="s">
        <v>509</v>
      </c>
      <c r="AP153" t="s">
        <v>43</v>
      </c>
    </row>
    <row r="154" spans="1:42" x14ac:dyDescent="0.3">
      <c r="A154" t="s">
        <v>39</v>
      </c>
      <c r="B154">
        <v>120</v>
      </c>
      <c r="C154" t="s">
        <v>40</v>
      </c>
      <c r="D154" t="s">
        <v>49</v>
      </c>
      <c r="E154" t="s">
        <v>984</v>
      </c>
      <c r="F154" t="s">
        <v>42</v>
      </c>
      <c r="G154" t="s">
        <v>43</v>
      </c>
      <c r="H154" t="s">
        <v>48</v>
      </c>
      <c r="I154">
        <v>14413</v>
      </c>
      <c r="J154" t="s">
        <v>49</v>
      </c>
      <c r="K154">
        <v>413</v>
      </c>
      <c r="L154" t="s">
        <v>158</v>
      </c>
      <c r="M154">
        <v>2</v>
      </c>
      <c r="N154" t="s">
        <v>134</v>
      </c>
      <c r="O154" t="s">
        <v>510</v>
      </c>
      <c r="P154">
        <v>1824</v>
      </c>
      <c r="Q154" t="s">
        <v>511</v>
      </c>
      <c r="R154" t="s">
        <v>512</v>
      </c>
      <c r="S154">
        <v>7700</v>
      </c>
      <c r="T154" t="s">
        <v>49</v>
      </c>
      <c r="U154" t="s">
        <v>248</v>
      </c>
      <c r="V154" t="s">
        <v>253</v>
      </c>
      <c r="W154" t="s">
        <v>141</v>
      </c>
      <c r="X154">
        <v>47640</v>
      </c>
      <c r="Y154" t="s">
        <v>178</v>
      </c>
      <c r="Z154" t="s">
        <v>143</v>
      </c>
      <c r="AA154" t="s">
        <v>143</v>
      </c>
      <c r="AB154" t="s">
        <v>157</v>
      </c>
      <c r="AC154" t="s">
        <v>158</v>
      </c>
      <c r="AD154">
        <v>10</v>
      </c>
      <c r="AE154">
        <v>50</v>
      </c>
      <c r="AF154">
        <v>19962</v>
      </c>
      <c r="AG154" t="s">
        <v>143</v>
      </c>
      <c r="AH154" t="s">
        <v>143</v>
      </c>
      <c r="AI154" t="s">
        <v>143</v>
      </c>
      <c r="AJ154" t="s">
        <v>143</v>
      </c>
      <c r="AK154" t="s">
        <v>143</v>
      </c>
      <c r="AL154" t="s">
        <v>147</v>
      </c>
      <c r="AM154">
        <v>2382</v>
      </c>
      <c r="AN154" t="s">
        <v>362</v>
      </c>
      <c r="AO154" t="s">
        <v>200</v>
      </c>
      <c r="AP154" t="s">
        <v>43</v>
      </c>
    </row>
    <row r="155" spans="1:42" x14ac:dyDescent="0.3">
      <c r="A155" t="s">
        <v>39</v>
      </c>
      <c r="B155">
        <v>120</v>
      </c>
      <c r="C155" t="s">
        <v>40</v>
      </c>
      <c r="D155" t="s">
        <v>49</v>
      </c>
      <c r="E155" t="s">
        <v>984</v>
      </c>
      <c r="F155" t="s">
        <v>42</v>
      </c>
      <c r="G155" t="s">
        <v>43</v>
      </c>
      <c r="H155" t="s">
        <v>48</v>
      </c>
      <c r="I155">
        <v>21051</v>
      </c>
      <c r="J155" t="s">
        <v>49</v>
      </c>
      <c r="K155">
        <v>51</v>
      </c>
      <c r="L155" t="s">
        <v>985</v>
      </c>
      <c r="M155">
        <v>2</v>
      </c>
      <c r="N155" t="s">
        <v>134</v>
      </c>
      <c r="O155" t="s">
        <v>311</v>
      </c>
      <c r="P155">
        <v>145</v>
      </c>
      <c r="Q155" t="s">
        <v>313</v>
      </c>
      <c r="R155" t="s">
        <v>314</v>
      </c>
      <c r="S155">
        <v>7700</v>
      </c>
      <c r="T155" t="s">
        <v>49</v>
      </c>
      <c r="U155" t="s">
        <v>330</v>
      </c>
      <c r="V155" t="s">
        <v>331</v>
      </c>
      <c r="W155" t="s">
        <v>141</v>
      </c>
      <c r="X155">
        <v>13468</v>
      </c>
      <c r="Y155" t="s">
        <v>178</v>
      </c>
      <c r="Z155" t="s">
        <v>143</v>
      </c>
      <c r="AA155" t="s">
        <v>143</v>
      </c>
      <c r="AB155" t="s">
        <v>145</v>
      </c>
      <c r="AC155" t="s">
        <v>158</v>
      </c>
      <c r="AD155">
        <v>6</v>
      </c>
      <c r="AE155">
        <v>35</v>
      </c>
      <c r="AF155">
        <v>900</v>
      </c>
      <c r="AG155" t="s">
        <v>143</v>
      </c>
      <c r="AH155" t="s">
        <v>143</v>
      </c>
      <c r="AI155" t="s">
        <v>143</v>
      </c>
      <c r="AJ155" t="s">
        <v>143</v>
      </c>
      <c r="AK155" t="s">
        <v>143</v>
      </c>
      <c r="AL155" t="s">
        <v>147</v>
      </c>
      <c r="AM155">
        <v>471.38</v>
      </c>
      <c r="AN155" t="s">
        <v>250</v>
      </c>
      <c r="AO155" t="s">
        <v>200</v>
      </c>
      <c r="AP155" t="s">
        <v>43</v>
      </c>
    </row>
    <row r="156" spans="1:42" x14ac:dyDescent="0.3">
      <c r="A156" t="s">
        <v>39</v>
      </c>
      <c r="B156">
        <v>120</v>
      </c>
      <c r="C156" t="s">
        <v>40</v>
      </c>
      <c r="D156" t="s">
        <v>49</v>
      </c>
      <c r="E156" t="s">
        <v>984</v>
      </c>
      <c r="F156" t="s">
        <v>42</v>
      </c>
      <c r="G156" t="s">
        <v>43</v>
      </c>
      <c r="H156" t="s">
        <v>48</v>
      </c>
      <c r="I156">
        <v>29020</v>
      </c>
      <c r="J156" t="s">
        <v>49</v>
      </c>
      <c r="K156">
        <v>20</v>
      </c>
      <c r="L156" t="s">
        <v>146</v>
      </c>
      <c r="M156">
        <v>1</v>
      </c>
      <c r="N156" t="s">
        <v>134</v>
      </c>
      <c r="O156" t="s">
        <v>513</v>
      </c>
      <c r="P156">
        <v>7700</v>
      </c>
      <c r="Q156" t="s">
        <v>49</v>
      </c>
      <c r="R156" t="s">
        <v>410</v>
      </c>
      <c r="S156">
        <v>7700</v>
      </c>
      <c r="T156" t="s">
        <v>49</v>
      </c>
      <c r="U156" t="s">
        <v>514</v>
      </c>
      <c r="V156" t="s">
        <v>515</v>
      </c>
      <c r="W156" t="s">
        <v>166</v>
      </c>
      <c r="X156">
        <v>1791</v>
      </c>
      <c r="Y156" t="s">
        <v>178</v>
      </c>
      <c r="Z156" t="s">
        <v>143</v>
      </c>
      <c r="AA156" t="s">
        <v>143</v>
      </c>
      <c r="AB156" t="s">
        <v>157</v>
      </c>
      <c r="AC156" t="s">
        <v>146</v>
      </c>
      <c r="AD156">
        <v>0</v>
      </c>
      <c r="AE156">
        <v>23</v>
      </c>
      <c r="AF156">
        <v>878</v>
      </c>
      <c r="AG156" t="s">
        <v>143</v>
      </c>
      <c r="AH156" t="s">
        <v>143</v>
      </c>
      <c r="AI156" t="s">
        <v>143</v>
      </c>
      <c r="AJ156" t="s">
        <v>143</v>
      </c>
      <c r="AK156" t="s">
        <v>143</v>
      </c>
      <c r="AL156" t="s">
        <v>147</v>
      </c>
      <c r="AM156">
        <v>41.19</v>
      </c>
      <c r="AN156" t="s">
        <v>250</v>
      </c>
      <c r="AO156" t="s">
        <v>200</v>
      </c>
      <c r="AP156" t="s">
        <v>43</v>
      </c>
    </row>
    <row r="157" spans="1:42" x14ac:dyDescent="0.3">
      <c r="A157" t="s">
        <v>39</v>
      </c>
      <c r="B157">
        <v>120</v>
      </c>
      <c r="C157" t="s">
        <v>40</v>
      </c>
      <c r="D157" t="s">
        <v>49</v>
      </c>
      <c r="E157" t="s">
        <v>984</v>
      </c>
      <c r="F157" t="s">
        <v>50</v>
      </c>
      <c r="G157" t="s">
        <v>43</v>
      </c>
      <c r="H157" t="s">
        <v>48</v>
      </c>
      <c r="I157">
        <v>10356</v>
      </c>
      <c r="J157" t="s">
        <v>49</v>
      </c>
      <c r="K157">
        <v>356</v>
      </c>
      <c r="L157" t="s">
        <v>158</v>
      </c>
      <c r="M157">
        <v>2</v>
      </c>
      <c r="N157" t="s">
        <v>134</v>
      </c>
      <c r="O157" t="s">
        <v>516</v>
      </c>
      <c r="P157">
        <v>1061</v>
      </c>
      <c r="Q157" t="s">
        <v>517</v>
      </c>
      <c r="R157" t="s">
        <v>518</v>
      </c>
      <c r="S157">
        <v>7700</v>
      </c>
      <c r="T157" t="s">
        <v>49</v>
      </c>
      <c r="U157" t="s">
        <v>248</v>
      </c>
      <c r="V157" t="s">
        <v>253</v>
      </c>
      <c r="W157" t="s">
        <v>141</v>
      </c>
      <c r="X157">
        <v>25555</v>
      </c>
      <c r="Y157" t="s">
        <v>178</v>
      </c>
      <c r="Z157" t="s">
        <v>143</v>
      </c>
      <c r="AA157" t="s">
        <v>143</v>
      </c>
      <c r="AB157" t="s">
        <v>157</v>
      </c>
      <c r="AC157" t="s">
        <v>158</v>
      </c>
      <c r="AD157">
        <v>34</v>
      </c>
      <c r="AE157">
        <v>189</v>
      </c>
      <c r="AF157">
        <v>918</v>
      </c>
      <c r="AG157" t="s">
        <v>143</v>
      </c>
      <c r="AH157" t="s">
        <v>143</v>
      </c>
      <c r="AI157" t="s">
        <v>143</v>
      </c>
      <c r="AJ157" t="s">
        <v>143</v>
      </c>
      <c r="AK157" t="s">
        <v>143</v>
      </c>
      <c r="AL157" t="s">
        <v>147</v>
      </c>
      <c r="AM157">
        <v>4829.8999999999996</v>
      </c>
      <c r="AN157" t="s">
        <v>250</v>
      </c>
      <c r="AO157" t="s">
        <v>50</v>
      </c>
      <c r="AP157" t="s">
        <v>43</v>
      </c>
    </row>
    <row r="158" spans="1:42" x14ac:dyDescent="0.3">
      <c r="A158" t="s">
        <v>39</v>
      </c>
      <c r="B158">
        <v>120</v>
      </c>
      <c r="C158" t="s">
        <v>40</v>
      </c>
      <c r="D158" t="s">
        <v>49</v>
      </c>
      <c r="E158" t="s">
        <v>984</v>
      </c>
      <c r="F158" t="s">
        <v>50</v>
      </c>
      <c r="G158" t="s">
        <v>43</v>
      </c>
      <c r="H158" t="s">
        <v>48</v>
      </c>
      <c r="I158">
        <v>11411</v>
      </c>
      <c r="J158" t="s">
        <v>49</v>
      </c>
      <c r="K158">
        <v>411</v>
      </c>
      <c r="L158" t="s">
        <v>158</v>
      </c>
      <c r="M158">
        <v>2</v>
      </c>
      <c r="N158" t="s">
        <v>134</v>
      </c>
      <c r="O158" t="s">
        <v>519</v>
      </c>
      <c r="P158">
        <v>9200</v>
      </c>
      <c r="Q158" t="s">
        <v>520</v>
      </c>
      <c r="R158" t="s">
        <v>521</v>
      </c>
      <c r="S158">
        <v>7700</v>
      </c>
      <c r="T158" t="s">
        <v>49</v>
      </c>
      <c r="U158" t="s">
        <v>248</v>
      </c>
      <c r="V158" t="s">
        <v>253</v>
      </c>
      <c r="W158" t="s">
        <v>141</v>
      </c>
      <c r="X158">
        <v>29298</v>
      </c>
      <c r="Y158" t="s">
        <v>178</v>
      </c>
      <c r="Z158" t="s">
        <v>144</v>
      </c>
      <c r="AA158" t="s">
        <v>143</v>
      </c>
      <c r="AB158" t="s">
        <v>157</v>
      </c>
      <c r="AC158" t="s">
        <v>158</v>
      </c>
      <c r="AD158">
        <v>20</v>
      </c>
      <c r="AE158">
        <v>117</v>
      </c>
      <c r="AF158">
        <v>923</v>
      </c>
      <c r="AG158" t="s">
        <v>143</v>
      </c>
      <c r="AH158" t="s">
        <v>143</v>
      </c>
      <c r="AI158" t="s">
        <v>143</v>
      </c>
      <c r="AJ158" t="s">
        <v>143</v>
      </c>
      <c r="AK158" t="s">
        <v>143</v>
      </c>
      <c r="AL158" t="s">
        <v>147</v>
      </c>
      <c r="AM158">
        <v>3427.87</v>
      </c>
      <c r="AN158" t="s">
        <v>250</v>
      </c>
      <c r="AO158" t="s">
        <v>50</v>
      </c>
      <c r="AP158" t="s">
        <v>43</v>
      </c>
    </row>
    <row r="159" spans="1:42" x14ac:dyDescent="0.3">
      <c r="A159" t="s">
        <v>39</v>
      </c>
      <c r="B159">
        <v>120</v>
      </c>
      <c r="C159" t="s">
        <v>40</v>
      </c>
      <c r="D159" t="s">
        <v>49</v>
      </c>
      <c r="E159" t="s">
        <v>984</v>
      </c>
      <c r="F159" t="s">
        <v>50</v>
      </c>
      <c r="G159" t="s">
        <v>43</v>
      </c>
      <c r="H159" t="s">
        <v>48</v>
      </c>
      <c r="I159">
        <v>20042</v>
      </c>
      <c r="J159" t="s">
        <v>49</v>
      </c>
      <c r="K159">
        <v>42</v>
      </c>
      <c r="L159" t="s">
        <v>985</v>
      </c>
      <c r="M159">
        <v>1</v>
      </c>
      <c r="N159" t="s">
        <v>134</v>
      </c>
      <c r="O159" t="s">
        <v>522</v>
      </c>
      <c r="P159">
        <v>7700</v>
      </c>
      <c r="Q159" t="s">
        <v>49</v>
      </c>
      <c r="R159" t="s">
        <v>197</v>
      </c>
      <c r="S159">
        <v>457</v>
      </c>
      <c r="T159" t="s">
        <v>523</v>
      </c>
      <c r="U159" t="s">
        <v>524</v>
      </c>
      <c r="V159" t="s">
        <v>525</v>
      </c>
      <c r="W159" t="s">
        <v>141</v>
      </c>
      <c r="X159">
        <v>31732</v>
      </c>
      <c r="Y159" t="s">
        <v>178</v>
      </c>
      <c r="Z159" t="s">
        <v>143</v>
      </c>
      <c r="AA159" t="s">
        <v>143</v>
      </c>
      <c r="AB159" t="s">
        <v>157</v>
      </c>
      <c r="AC159" t="s">
        <v>158</v>
      </c>
      <c r="AD159">
        <v>12</v>
      </c>
      <c r="AE159">
        <v>69</v>
      </c>
      <c r="AF159">
        <v>887</v>
      </c>
      <c r="AG159" t="s">
        <v>143</v>
      </c>
      <c r="AH159" t="s">
        <v>143</v>
      </c>
      <c r="AI159" t="s">
        <v>143</v>
      </c>
      <c r="AJ159" t="s">
        <v>143</v>
      </c>
      <c r="AK159" t="s">
        <v>143</v>
      </c>
      <c r="AL159" t="s">
        <v>147</v>
      </c>
      <c r="AM159">
        <v>2189.5100000000002</v>
      </c>
      <c r="AN159" t="s">
        <v>243</v>
      </c>
      <c r="AO159" t="s">
        <v>50</v>
      </c>
      <c r="AP159" t="s">
        <v>43</v>
      </c>
    </row>
    <row r="160" spans="1:42" x14ac:dyDescent="0.3">
      <c r="A160" t="s">
        <v>39</v>
      </c>
      <c r="B160">
        <v>120</v>
      </c>
      <c r="C160" t="s">
        <v>40</v>
      </c>
      <c r="D160" t="s">
        <v>49</v>
      </c>
      <c r="E160" t="s">
        <v>984</v>
      </c>
      <c r="F160" t="s">
        <v>50</v>
      </c>
      <c r="G160" t="s">
        <v>43</v>
      </c>
      <c r="H160" t="s">
        <v>48</v>
      </c>
      <c r="I160">
        <v>22049</v>
      </c>
      <c r="J160" t="s">
        <v>49</v>
      </c>
      <c r="K160">
        <v>49</v>
      </c>
      <c r="L160" t="s">
        <v>985</v>
      </c>
      <c r="M160">
        <v>1</v>
      </c>
      <c r="N160" t="s">
        <v>134</v>
      </c>
      <c r="O160" t="s">
        <v>327</v>
      </c>
      <c r="P160">
        <v>7700</v>
      </c>
      <c r="Q160" t="s">
        <v>49</v>
      </c>
      <c r="R160" t="s">
        <v>312</v>
      </c>
      <c r="S160">
        <v>1117</v>
      </c>
      <c r="T160" t="s">
        <v>526</v>
      </c>
      <c r="U160" t="s">
        <v>527</v>
      </c>
      <c r="V160" t="s">
        <v>528</v>
      </c>
      <c r="W160" t="s">
        <v>141</v>
      </c>
      <c r="X160">
        <v>16032</v>
      </c>
      <c r="Y160" t="s">
        <v>178</v>
      </c>
      <c r="Z160" t="s">
        <v>143</v>
      </c>
      <c r="AA160" t="s">
        <v>143</v>
      </c>
      <c r="AB160" t="s">
        <v>145</v>
      </c>
      <c r="AC160" t="s">
        <v>158</v>
      </c>
      <c r="AD160">
        <v>6</v>
      </c>
      <c r="AE160">
        <v>34</v>
      </c>
      <c r="AF160">
        <v>896</v>
      </c>
      <c r="AG160" t="s">
        <v>143</v>
      </c>
      <c r="AH160" t="s">
        <v>143</v>
      </c>
      <c r="AI160" t="s">
        <v>143</v>
      </c>
      <c r="AJ160" t="s">
        <v>143</v>
      </c>
      <c r="AK160" t="s">
        <v>143</v>
      </c>
      <c r="AL160" t="s">
        <v>147</v>
      </c>
      <c r="AM160">
        <v>545.09</v>
      </c>
      <c r="AN160" t="s">
        <v>250</v>
      </c>
      <c r="AO160" t="s">
        <v>50</v>
      </c>
      <c r="AP160" t="s">
        <v>43</v>
      </c>
    </row>
    <row r="161" spans="1:42" x14ac:dyDescent="0.3">
      <c r="A161" t="s">
        <v>39</v>
      </c>
      <c r="B161">
        <v>120</v>
      </c>
      <c r="C161" t="s">
        <v>40</v>
      </c>
      <c r="D161" t="s">
        <v>49</v>
      </c>
      <c r="E161" t="s">
        <v>984</v>
      </c>
      <c r="F161" t="s">
        <v>50</v>
      </c>
      <c r="G161" t="s">
        <v>43</v>
      </c>
      <c r="H161" t="s">
        <v>48</v>
      </c>
      <c r="I161">
        <v>24050</v>
      </c>
      <c r="J161" t="s">
        <v>49</v>
      </c>
      <c r="K161">
        <v>50</v>
      </c>
      <c r="L161" t="s">
        <v>985</v>
      </c>
      <c r="M161">
        <v>1</v>
      </c>
      <c r="N161" t="s">
        <v>134</v>
      </c>
      <c r="O161" t="s">
        <v>212</v>
      </c>
      <c r="P161">
        <v>7700</v>
      </c>
      <c r="Q161" t="s">
        <v>49</v>
      </c>
      <c r="R161" t="s">
        <v>312</v>
      </c>
      <c r="S161">
        <v>1069</v>
      </c>
      <c r="T161" t="s">
        <v>529</v>
      </c>
      <c r="U161" t="s">
        <v>530</v>
      </c>
      <c r="V161" t="s">
        <v>531</v>
      </c>
      <c r="W161" t="s">
        <v>141</v>
      </c>
      <c r="X161">
        <v>22598</v>
      </c>
      <c r="Y161" t="s">
        <v>178</v>
      </c>
      <c r="Z161" t="s">
        <v>143</v>
      </c>
      <c r="AA161" t="s">
        <v>143</v>
      </c>
      <c r="AB161" t="s">
        <v>145</v>
      </c>
      <c r="AC161" t="s">
        <v>158</v>
      </c>
      <c r="AD161">
        <v>7</v>
      </c>
      <c r="AE161">
        <v>40</v>
      </c>
      <c r="AF161">
        <v>15111</v>
      </c>
      <c r="AG161" t="s">
        <v>143</v>
      </c>
      <c r="AH161" t="s">
        <v>143</v>
      </c>
      <c r="AI161" t="s">
        <v>143</v>
      </c>
      <c r="AJ161" t="s">
        <v>143</v>
      </c>
      <c r="AK161" t="s">
        <v>143</v>
      </c>
      <c r="AL161" t="s">
        <v>147</v>
      </c>
      <c r="AM161">
        <v>903.92</v>
      </c>
      <c r="AN161" t="s">
        <v>233</v>
      </c>
      <c r="AO161" t="s">
        <v>50</v>
      </c>
      <c r="AP161" t="s">
        <v>43</v>
      </c>
    </row>
    <row r="162" spans="1:42" x14ac:dyDescent="0.3">
      <c r="A162" t="s">
        <v>39</v>
      </c>
      <c r="B162">
        <v>120</v>
      </c>
      <c r="C162" t="s">
        <v>40</v>
      </c>
      <c r="D162" t="s">
        <v>49</v>
      </c>
      <c r="E162" t="s">
        <v>986</v>
      </c>
      <c r="F162" t="s">
        <v>45</v>
      </c>
      <c r="G162" t="s">
        <v>43</v>
      </c>
      <c r="H162" t="s">
        <v>48</v>
      </c>
      <c r="I162">
        <v>14156</v>
      </c>
      <c r="J162" t="s">
        <v>49</v>
      </c>
      <c r="K162">
        <v>156</v>
      </c>
      <c r="L162" t="s">
        <v>158</v>
      </c>
      <c r="M162">
        <v>1</v>
      </c>
      <c r="N162" t="s">
        <v>160</v>
      </c>
      <c r="O162" t="s">
        <v>532</v>
      </c>
      <c r="P162">
        <v>7700</v>
      </c>
      <c r="Q162" t="s">
        <v>49</v>
      </c>
      <c r="R162" t="s">
        <v>197</v>
      </c>
      <c r="S162">
        <v>9800</v>
      </c>
      <c r="T162" t="s">
        <v>182</v>
      </c>
      <c r="U162" t="s">
        <v>183</v>
      </c>
      <c r="V162" t="s">
        <v>216</v>
      </c>
      <c r="W162" t="s">
        <v>141</v>
      </c>
      <c r="X162">
        <v>61202</v>
      </c>
      <c r="Y162" t="s">
        <v>178</v>
      </c>
      <c r="Z162" t="s">
        <v>143</v>
      </c>
      <c r="AA162" t="s">
        <v>143</v>
      </c>
      <c r="AB162" t="s">
        <v>157</v>
      </c>
      <c r="AC162" t="s">
        <v>158</v>
      </c>
      <c r="AD162">
        <v>2</v>
      </c>
      <c r="AE162">
        <v>10</v>
      </c>
      <c r="AF162">
        <v>909</v>
      </c>
      <c r="AG162" t="s">
        <v>143</v>
      </c>
      <c r="AH162" t="s">
        <v>143</v>
      </c>
      <c r="AI162" t="s">
        <v>143</v>
      </c>
      <c r="AJ162" t="s">
        <v>143</v>
      </c>
      <c r="AK162" t="s">
        <v>143</v>
      </c>
      <c r="AL162" t="s">
        <v>147</v>
      </c>
      <c r="AM162">
        <v>612.02</v>
      </c>
      <c r="AN162" t="s">
        <v>533</v>
      </c>
      <c r="AO162" t="s">
        <v>448</v>
      </c>
      <c r="AP162" t="s">
        <v>43</v>
      </c>
    </row>
    <row r="163" spans="1:42" x14ac:dyDescent="0.3">
      <c r="A163" t="s">
        <v>39</v>
      </c>
      <c r="B163">
        <v>120</v>
      </c>
      <c r="C163" t="s">
        <v>40</v>
      </c>
      <c r="D163" t="s">
        <v>49</v>
      </c>
      <c r="E163" t="s">
        <v>986</v>
      </c>
      <c r="F163" t="s">
        <v>50</v>
      </c>
      <c r="G163" t="s">
        <v>43</v>
      </c>
      <c r="H163" t="s">
        <v>48</v>
      </c>
      <c r="I163">
        <v>11247</v>
      </c>
      <c r="J163" t="s">
        <v>49</v>
      </c>
      <c r="K163">
        <v>247</v>
      </c>
      <c r="L163" t="s">
        <v>158</v>
      </c>
      <c r="M163">
        <v>2</v>
      </c>
      <c r="N163" t="s">
        <v>134</v>
      </c>
      <c r="O163" t="s">
        <v>534</v>
      </c>
      <c r="P163">
        <v>7700</v>
      </c>
      <c r="Q163" t="s">
        <v>49</v>
      </c>
      <c r="R163" t="s">
        <v>241</v>
      </c>
      <c r="S163">
        <v>2710</v>
      </c>
      <c r="T163" t="s">
        <v>411</v>
      </c>
      <c r="U163" t="s">
        <v>412</v>
      </c>
      <c r="V163" t="s">
        <v>413</v>
      </c>
      <c r="W163" t="s">
        <v>141</v>
      </c>
      <c r="X163">
        <v>20970</v>
      </c>
      <c r="Y163" t="s">
        <v>178</v>
      </c>
      <c r="Z163" t="s">
        <v>143</v>
      </c>
      <c r="AA163" t="s">
        <v>143</v>
      </c>
      <c r="AB163" t="s">
        <v>145</v>
      </c>
      <c r="AC163" t="s">
        <v>158</v>
      </c>
      <c r="AD163">
        <v>15</v>
      </c>
      <c r="AE163">
        <v>89</v>
      </c>
      <c r="AF163">
        <v>14802</v>
      </c>
      <c r="AG163" t="s">
        <v>143</v>
      </c>
      <c r="AH163" t="s">
        <v>143</v>
      </c>
      <c r="AI163" t="s">
        <v>143</v>
      </c>
      <c r="AJ163" t="s">
        <v>143</v>
      </c>
      <c r="AK163" t="s">
        <v>143</v>
      </c>
      <c r="AL163" t="s">
        <v>147</v>
      </c>
      <c r="AM163">
        <v>1866.33</v>
      </c>
      <c r="AN163" t="s">
        <v>148</v>
      </c>
      <c r="AO163" t="s">
        <v>50</v>
      </c>
      <c r="AP163" t="s">
        <v>43</v>
      </c>
    </row>
    <row r="164" spans="1:42" x14ac:dyDescent="0.3">
      <c r="A164" t="s">
        <v>39</v>
      </c>
      <c r="B164">
        <v>120</v>
      </c>
      <c r="C164" t="s">
        <v>40</v>
      </c>
      <c r="D164" t="s">
        <v>55</v>
      </c>
      <c r="E164" t="s">
        <v>984</v>
      </c>
      <c r="F164" t="s">
        <v>45</v>
      </c>
      <c r="G164" t="s">
        <v>43</v>
      </c>
      <c r="H164" t="s">
        <v>46</v>
      </c>
      <c r="I164">
        <v>24074</v>
      </c>
      <c r="J164" t="s">
        <v>55</v>
      </c>
      <c r="K164">
        <v>74</v>
      </c>
      <c r="L164" t="s">
        <v>146</v>
      </c>
      <c r="M164">
        <v>1</v>
      </c>
      <c r="N164" t="s">
        <v>134</v>
      </c>
      <c r="O164" t="s">
        <v>257</v>
      </c>
      <c r="P164">
        <v>6700</v>
      </c>
      <c r="Q164" t="s">
        <v>55</v>
      </c>
      <c r="R164" t="s">
        <v>535</v>
      </c>
      <c r="S164">
        <v>6700</v>
      </c>
      <c r="T164" t="s">
        <v>55</v>
      </c>
      <c r="U164" t="s">
        <v>536</v>
      </c>
      <c r="V164" t="s">
        <v>537</v>
      </c>
      <c r="W164" t="s">
        <v>166</v>
      </c>
      <c r="X164">
        <v>10713</v>
      </c>
      <c r="Y164" t="s">
        <v>156</v>
      </c>
      <c r="Z164" t="s">
        <v>143</v>
      </c>
      <c r="AA164" t="s">
        <v>144</v>
      </c>
      <c r="AB164" t="s">
        <v>157</v>
      </c>
      <c r="AC164" t="s">
        <v>146</v>
      </c>
      <c r="AD164">
        <v>1</v>
      </c>
      <c r="AE164">
        <v>6</v>
      </c>
      <c r="AF164">
        <v>16147</v>
      </c>
      <c r="AG164" t="s">
        <v>143</v>
      </c>
      <c r="AH164" t="s">
        <v>143</v>
      </c>
      <c r="AI164" t="s">
        <v>143</v>
      </c>
      <c r="AJ164" t="s">
        <v>143</v>
      </c>
      <c r="AK164" t="s">
        <v>143</v>
      </c>
      <c r="AL164" t="s">
        <v>147</v>
      </c>
      <c r="AM164">
        <v>64.28</v>
      </c>
      <c r="AN164" t="s">
        <v>538</v>
      </c>
      <c r="AO164" t="s">
        <v>159</v>
      </c>
      <c r="AP164" t="s">
        <v>43</v>
      </c>
    </row>
    <row r="165" spans="1:42" x14ac:dyDescent="0.3">
      <c r="A165" t="s">
        <v>39</v>
      </c>
      <c r="B165">
        <v>120</v>
      </c>
      <c r="C165" t="s">
        <v>40</v>
      </c>
      <c r="D165" t="s">
        <v>55</v>
      </c>
      <c r="E165" t="s">
        <v>984</v>
      </c>
      <c r="F165" t="s">
        <v>45</v>
      </c>
      <c r="G165" t="s">
        <v>43</v>
      </c>
      <c r="H165" t="s">
        <v>46</v>
      </c>
      <c r="I165">
        <v>26070</v>
      </c>
      <c r="J165" t="s">
        <v>55</v>
      </c>
      <c r="K165">
        <v>70</v>
      </c>
      <c r="L165" t="s">
        <v>146</v>
      </c>
      <c r="M165">
        <v>1</v>
      </c>
      <c r="N165" t="s">
        <v>134</v>
      </c>
      <c r="O165" t="s">
        <v>539</v>
      </c>
      <c r="P165">
        <v>6700</v>
      </c>
      <c r="Q165" t="s">
        <v>55</v>
      </c>
      <c r="R165" t="s">
        <v>540</v>
      </c>
      <c r="S165">
        <v>6700</v>
      </c>
      <c r="T165" t="s">
        <v>55</v>
      </c>
      <c r="U165" t="s">
        <v>541</v>
      </c>
      <c r="V165" t="s">
        <v>542</v>
      </c>
      <c r="W165" t="s">
        <v>166</v>
      </c>
      <c r="X165">
        <v>10214</v>
      </c>
      <c r="Y165" t="s">
        <v>156</v>
      </c>
      <c r="Z165" t="s">
        <v>143</v>
      </c>
      <c r="AA165" t="s">
        <v>144</v>
      </c>
      <c r="AB165" t="s">
        <v>157</v>
      </c>
      <c r="AC165" t="s">
        <v>146</v>
      </c>
      <c r="AD165">
        <v>1</v>
      </c>
      <c r="AE165">
        <v>5</v>
      </c>
      <c r="AF165">
        <v>15707</v>
      </c>
      <c r="AG165" t="s">
        <v>143</v>
      </c>
      <c r="AH165" t="s">
        <v>143</v>
      </c>
      <c r="AI165" t="s">
        <v>143</v>
      </c>
      <c r="AJ165" t="s">
        <v>143</v>
      </c>
      <c r="AK165" t="s">
        <v>143</v>
      </c>
      <c r="AL165" t="s">
        <v>147</v>
      </c>
      <c r="AM165">
        <v>51.07</v>
      </c>
      <c r="AN165" t="s">
        <v>417</v>
      </c>
      <c r="AO165" t="s">
        <v>159</v>
      </c>
      <c r="AP165" t="s">
        <v>43</v>
      </c>
    </row>
    <row r="166" spans="1:42" x14ac:dyDescent="0.3">
      <c r="A166" t="s">
        <v>39</v>
      </c>
      <c r="B166">
        <v>120</v>
      </c>
      <c r="C166" t="s">
        <v>40</v>
      </c>
      <c r="D166" t="s">
        <v>55</v>
      </c>
      <c r="E166" t="s">
        <v>984</v>
      </c>
      <c r="F166" t="s">
        <v>45</v>
      </c>
      <c r="G166" t="s">
        <v>43</v>
      </c>
      <c r="H166" t="s">
        <v>46</v>
      </c>
      <c r="I166">
        <v>28093</v>
      </c>
      <c r="J166" t="s">
        <v>55</v>
      </c>
      <c r="K166">
        <v>93</v>
      </c>
      <c r="L166" t="s">
        <v>146</v>
      </c>
      <c r="M166">
        <v>2</v>
      </c>
      <c r="N166" t="s">
        <v>134</v>
      </c>
      <c r="O166" t="s">
        <v>543</v>
      </c>
      <c r="P166">
        <v>6700</v>
      </c>
      <c r="Q166" t="s">
        <v>55</v>
      </c>
      <c r="R166" t="s">
        <v>544</v>
      </c>
      <c r="S166">
        <v>6700</v>
      </c>
      <c r="T166" t="s">
        <v>55</v>
      </c>
      <c r="U166" t="s">
        <v>426</v>
      </c>
      <c r="V166" t="s">
        <v>249</v>
      </c>
      <c r="W166" t="s">
        <v>166</v>
      </c>
      <c r="X166">
        <v>7190</v>
      </c>
      <c r="Y166" t="s">
        <v>156</v>
      </c>
      <c r="Z166" t="s">
        <v>143</v>
      </c>
      <c r="AA166" t="s">
        <v>144</v>
      </c>
      <c r="AB166" t="s">
        <v>157</v>
      </c>
      <c r="AC166" t="s">
        <v>146</v>
      </c>
      <c r="AD166">
        <v>1</v>
      </c>
      <c r="AE166">
        <v>6</v>
      </c>
      <c r="AF166">
        <v>15694</v>
      </c>
      <c r="AG166" t="s">
        <v>143</v>
      </c>
      <c r="AH166" t="s">
        <v>143</v>
      </c>
      <c r="AI166" t="s">
        <v>143</v>
      </c>
      <c r="AJ166" t="s">
        <v>143</v>
      </c>
      <c r="AK166" t="s">
        <v>143</v>
      </c>
      <c r="AL166" t="s">
        <v>147</v>
      </c>
      <c r="AM166">
        <v>43.14</v>
      </c>
      <c r="AN166" t="s">
        <v>417</v>
      </c>
      <c r="AO166" t="s">
        <v>159</v>
      </c>
      <c r="AP166" t="s">
        <v>43</v>
      </c>
    </row>
    <row r="167" spans="1:42" x14ac:dyDescent="0.3">
      <c r="A167" t="s">
        <v>39</v>
      </c>
      <c r="B167">
        <v>120</v>
      </c>
      <c r="C167" t="s">
        <v>40</v>
      </c>
      <c r="D167" t="s">
        <v>55</v>
      </c>
      <c r="E167" t="s">
        <v>984</v>
      </c>
      <c r="F167" t="s">
        <v>45</v>
      </c>
      <c r="G167" t="s">
        <v>43</v>
      </c>
      <c r="H167" t="s">
        <v>46</v>
      </c>
      <c r="I167">
        <v>29097</v>
      </c>
      <c r="J167" t="s">
        <v>55</v>
      </c>
      <c r="K167">
        <v>97</v>
      </c>
      <c r="L167" t="s">
        <v>146</v>
      </c>
      <c r="M167">
        <v>2</v>
      </c>
      <c r="N167" t="s">
        <v>134</v>
      </c>
      <c r="O167" t="s">
        <v>167</v>
      </c>
      <c r="P167">
        <v>6700</v>
      </c>
      <c r="Q167" t="s">
        <v>55</v>
      </c>
      <c r="R167" t="s">
        <v>545</v>
      </c>
      <c r="S167">
        <v>6700</v>
      </c>
      <c r="T167" t="s">
        <v>55</v>
      </c>
      <c r="U167" t="s">
        <v>546</v>
      </c>
      <c r="V167" t="s">
        <v>547</v>
      </c>
      <c r="W167" t="s">
        <v>166</v>
      </c>
      <c r="X167">
        <v>7632</v>
      </c>
      <c r="Y167" t="s">
        <v>156</v>
      </c>
      <c r="Z167" t="s">
        <v>143</v>
      </c>
      <c r="AA167" t="s">
        <v>144</v>
      </c>
      <c r="AB167" t="s">
        <v>157</v>
      </c>
      <c r="AC167" t="s">
        <v>146</v>
      </c>
      <c r="AD167">
        <v>1</v>
      </c>
      <c r="AE167">
        <v>6</v>
      </c>
      <c r="AF167">
        <v>15700</v>
      </c>
      <c r="AG167" t="s">
        <v>143</v>
      </c>
      <c r="AH167" t="s">
        <v>143</v>
      </c>
      <c r="AI167" t="s">
        <v>143</v>
      </c>
      <c r="AJ167" t="s">
        <v>143</v>
      </c>
      <c r="AK167" t="s">
        <v>143</v>
      </c>
      <c r="AL167" t="s">
        <v>147</v>
      </c>
      <c r="AM167">
        <v>45.79</v>
      </c>
      <c r="AN167" t="s">
        <v>417</v>
      </c>
      <c r="AO167" t="s">
        <v>159</v>
      </c>
      <c r="AP167" t="s">
        <v>43</v>
      </c>
    </row>
    <row r="168" spans="1:42" x14ac:dyDescent="0.3">
      <c r="A168" t="s">
        <v>39</v>
      </c>
      <c r="B168">
        <v>120</v>
      </c>
      <c r="C168" t="s">
        <v>40</v>
      </c>
      <c r="D168" t="s">
        <v>55</v>
      </c>
      <c r="E168" t="s">
        <v>984</v>
      </c>
      <c r="F168" t="s">
        <v>45</v>
      </c>
      <c r="G168" t="s">
        <v>43</v>
      </c>
      <c r="H168" t="s">
        <v>47</v>
      </c>
      <c r="I168">
        <v>21044</v>
      </c>
      <c r="J168" t="s">
        <v>55</v>
      </c>
      <c r="K168">
        <v>44</v>
      </c>
      <c r="L168" t="s">
        <v>985</v>
      </c>
      <c r="M168">
        <v>1</v>
      </c>
      <c r="N168" t="s">
        <v>134</v>
      </c>
      <c r="O168" t="s">
        <v>548</v>
      </c>
      <c r="P168">
        <v>6700</v>
      </c>
      <c r="Q168" t="s">
        <v>55</v>
      </c>
      <c r="R168" t="s">
        <v>429</v>
      </c>
      <c r="S168">
        <v>1714</v>
      </c>
      <c r="T168" t="s">
        <v>549</v>
      </c>
      <c r="U168" t="s">
        <v>550</v>
      </c>
      <c r="V168" t="s">
        <v>551</v>
      </c>
      <c r="W168" t="s">
        <v>141</v>
      </c>
      <c r="X168">
        <v>16635</v>
      </c>
      <c r="Y168" t="s">
        <v>178</v>
      </c>
      <c r="Z168" t="s">
        <v>143</v>
      </c>
      <c r="AA168" t="s">
        <v>144</v>
      </c>
      <c r="AB168" t="s">
        <v>157</v>
      </c>
      <c r="AC168" t="s">
        <v>146</v>
      </c>
      <c r="AD168">
        <v>3</v>
      </c>
      <c r="AE168">
        <v>18</v>
      </c>
      <c r="AF168">
        <v>15616</v>
      </c>
      <c r="AG168" t="s">
        <v>143</v>
      </c>
      <c r="AH168" t="s">
        <v>143</v>
      </c>
      <c r="AI168" t="s">
        <v>143</v>
      </c>
      <c r="AJ168" t="s">
        <v>143</v>
      </c>
      <c r="AK168" t="s">
        <v>143</v>
      </c>
      <c r="AL168" t="s">
        <v>147</v>
      </c>
      <c r="AM168">
        <v>299.43</v>
      </c>
      <c r="AN168" t="s">
        <v>417</v>
      </c>
      <c r="AO168" t="s">
        <v>552</v>
      </c>
      <c r="AP168" t="s">
        <v>43</v>
      </c>
    </row>
    <row r="169" spans="1:42" x14ac:dyDescent="0.3">
      <c r="A169" t="s">
        <v>39</v>
      </c>
      <c r="B169">
        <v>120</v>
      </c>
      <c r="C169" t="s">
        <v>40</v>
      </c>
      <c r="D169" t="s">
        <v>55</v>
      </c>
      <c r="E169" t="s">
        <v>984</v>
      </c>
      <c r="F169" t="s">
        <v>45</v>
      </c>
      <c r="G169" t="s">
        <v>43</v>
      </c>
      <c r="H169" t="s">
        <v>46</v>
      </c>
      <c r="I169">
        <v>26030</v>
      </c>
      <c r="J169" t="s">
        <v>55</v>
      </c>
      <c r="K169">
        <v>30</v>
      </c>
      <c r="L169" t="s">
        <v>158</v>
      </c>
      <c r="M169">
        <v>1</v>
      </c>
      <c r="N169" t="s">
        <v>168</v>
      </c>
      <c r="O169" t="s">
        <v>553</v>
      </c>
      <c r="P169">
        <v>6700</v>
      </c>
      <c r="Q169" t="s">
        <v>55</v>
      </c>
      <c r="R169" t="s">
        <v>429</v>
      </c>
      <c r="S169">
        <v>7700</v>
      </c>
      <c r="T169" t="s">
        <v>49</v>
      </c>
      <c r="U169" t="s">
        <v>248</v>
      </c>
      <c r="V169" t="s">
        <v>253</v>
      </c>
      <c r="W169" t="s">
        <v>141</v>
      </c>
      <c r="X169">
        <v>55518</v>
      </c>
      <c r="Y169" t="s">
        <v>178</v>
      </c>
      <c r="Z169" t="s">
        <v>143</v>
      </c>
      <c r="AA169" t="s">
        <v>143</v>
      </c>
      <c r="AB169" t="s">
        <v>157</v>
      </c>
      <c r="AC169" t="s">
        <v>158</v>
      </c>
      <c r="AD169">
        <v>6</v>
      </c>
      <c r="AE169">
        <v>32</v>
      </c>
      <c r="AF169">
        <v>15733</v>
      </c>
      <c r="AG169" t="s">
        <v>143</v>
      </c>
      <c r="AH169" t="s">
        <v>143</v>
      </c>
      <c r="AI169" t="s">
        <v>143</v>
      </c>
      <c r="AJ169" t="s">
        <v>143</v>
      </c>
      <c r="AK169" t="s">
        <v>143</v>
      </c>
      <c r="AL169" t="s">
        <v>147</v>
      </c>
      <c r="AM169">
        <v>1776.58</v>
      </c>
      <c r="AN169" t="s">
        <v>417</v>
      </c>
      <c r="AO169" t="s">
        <v>42</v>
      </c>
      <c r="AP169" t="s">
        <v>43</v>
      </c>
    </row>
    <row r="170" spans="1:42" x14ac:dyDescent="0.3">
      <c r="A170" t="s">
        <v>39</v>
      </c>
      <c r="B170">
        <v>120</v>
      </c>
      <c r="C170" t="s">
        <v>40</v>
      </c>
      <c r="D170" t="s">
        <v>49</v>
      </c>
      <c r="E170" t="s">
        <v>984</v>
      </c>
      <c r="F170" t="s">
        <v>42</v>
      </c>
      <c r="G170" t="s">
        <v>43</v>
      </c>
      <c r="H170" t="s">
        <v>44</v>
      </c>
      <c r="I170">
        <v>22044</v>
      </c>
      <c r="J170" t="s">
        <v>49</v>
      </c>
      <c r="K170">
        <v>44</v>
      </c>
      <c r="L170" t="s">
        <v>985</v>
      </c>
      <c r="M170">
        <v>1</v>
      </c>
      <c r="N170" t="s">
        <v>134</v>
      </c>
      <c r="O170" t="s">
        <v>548</v>
      </c>
      <c r="P170">
        <v>7700</v>
      </c>
      <c r="Q170" t="s">
        <v>49</v>
      </c>
      <c r="R170" t="s">
        <v>197</v>
      </c>
      <c r="S170">
        <v>524</v>
      </c>
      <c r="T170" t="s">
        <v>554</v>
      </c>
      <c r="U170" t="s">
        <v>555</v>
      </c>
      <c r="V170" t="s">
        <v>556</v>
      </c>
      <c r="W170" t="s">
        <v>141</v>
      </c>
      <c r="X170">
        <v>24905</v>
      </c>
      <c r="Y170" t="s">
        <v>178</v>
      </c>
      <c r="Z170" t="s">
        <v>143</v>
      </c>
      <c r="AA170" t="s">
        <v>143</v>
      </c>
      <c r="AB170" t="s">
        <v>157</v>
      </c>
      <c r="AC170" t="s">
        <v>158</v>
      </c>
      <c r="AD170">
        <v>12</v>
      </c>
      <c r="AE170">
        <v>69</v>
      </c>
      <c r="AF170">
        <v>10818</v>
      </c>
      <c r="AG170" t="s">
        <v>143</v>
      </c>
      <c r="AH170" t="s">
        <v>143</v>
      </c>
      <c r="AI170" t="s">
        <v>143</v>
      </c>
      <c r="AJ170" t="s">
        <v>143</v>
      </c>
      <c r="AK170" t="s">
        <v>143</v>
      </c>
      <c r="AL170" t="s">
        <v>147</v>
      </c>
      <c r="AM170">
        <v>1718.45</v>
      </c>
      <c r="AN170" t="s">
        <v>437</v>
      </c>
      <c r="AO170" t="s">
        <v>557</v>
      </c>
      <c r="AP170" t="s">
        <v>43</v>
      </c>
    </row>
    <row r="171" spans="1:42" x14ac:dyDescent="0.3">
      <c r="A171" t="s">
        <v>39</v>
      </c>
      <c r="B171">
        <v>120</v>
      </c>
      <c r="C171" t="s">
        <v>40</v>
      </c>
      <c r="D171" t="s">
        <v>49</v>
      </c>
      <c r="E171" t="s">
        <v>984</v>
      </c>
      <c r="F171" t="s">
        <v>50</v>
      </c>
      <c r="G171" t="s">
        <v>43</v>
      </c>
      <c r="H171" t="s">
        <v>48</v>
      </c>
      <c r="I171">
        <v>10348</v>
      </c>
      <c r="J171" t="s">
        <v>49</v>
      </c>
      <c r="K171">
        <v>348</v>
      </c>
      <c r="L171" t="s">
        <v>158</v>
      </c>
      <c r="M171">
        <v>1</v>
      </c>
      <c r="N171" t="s">
        <v>134</v>
      </c>
      <c r="O171" t="s">
        <v>445</v>
      </c>
      <c r="P171">
        <v>7700</v>
      </c>
      <c r="Q171" t="s">
        <v>49</v>
      </c>
      <c r="R171" t="s">
        <v>197</v>
      </c>
      <c r="S171">
        <v>874</v>
      </c>
      <c r="T171" t="s">
        <v>235</v>
      </c>
      <c r="U171" t="s">
        <v>236</v>
      </c>
      <c r="V171" t="s">
        <v>305</v>
      </c>
      <c r="W171" t="s">
        <v>141</v>
      </c>
      <c r="X171">
        <v>16312</v>
      </c>
      <c r="Y171" t="s">
        <v>178</v>
      </c>
      <c r="Z171" t="s">
        <v>143</v>
      </c>
      <c r="AA171" t="s">
        <v>143</v>
      </c>
      <c r="AB171" t="s">
        <v>157</v>
      </c>
      <c r="AC171" t="s">
        <v>158</v>
      </c>
      <c r="AD171">
        <v>29</v>
      </c>
      <c r="AE171">
        <v>168</v>
      </c>
      <c r="AF171">
        <v>912</v>
      </c>
      <c r="AG171" t="s">
        <v>143</v>
      </c>
      <c r="AH171" t="s">
        <v>143</v>
      </c>
      <c r="AI171" t="s">
        <v>143</v>
      </c>
      <c r="AJ171" t="s">
        <v>143</v>
      </c>
      <c r="AK171" t="s">
        <v>143</v>
      </c>
      <c r="AL171" t="s">
        <v>147</v>
      </c>
      <c r="AM171">
        <v>2740.42</v>
      </c>
      <c r="AN171" t="s">
        <v>250</v>
      </c>
      <c r="AO171" t="s">
        <v>50</v>
      </c>
      <c r="AP171" t="s">
        <v>43</v>
      </c>
    </row>
    <row r="172" spans="1:42" x14ac:dyDescent="0.3">
      <c r="A172" t="s">
        <v>39</v>
      </c>
      <c r="B172">
        <v>120</v>
      </c>
      <c r="C172" t="s">
        <v>40</v>
      </c>
      <c r="D172" t="s">
        <v>49</v>
      </c>
      <c r="E172" t="s">
        <v>984</v>
      </c>
      <c r="F172" t="s">
        <v>50</v>
      </c>
      <c r="G172" t="s">
        <v>43</v>
      </c>
      <c r="H172" t="s">
        <v>48</v>
      </c>
      <c r="I172">
        <v>11855</v>
      </c>
      <c r="J172" t="s">
        <v>49</v>
      </c>
      <c r="K172">
        <v>855</v>
      </c>
      <c r="L172" t="s">
        <v>158</v>
      </c>
      <c r="M172">
        <v>1</v>
      </c>
      <c r="N172" t="s">
        <v>134</v>
      </c>
      <c r="O172" t="s">
        <v>558</v>
      </c>
      <c r="P172">
        <v>7700</v>
      </c>
      <c r="Q172" t="s">
        <v>49</v>
      </c>
      <c r="R172" t="s">
        <v>335</v>
      </c>
      <c r="S172">
        <v>3797</v>
      </c>
      <c r="T172" t="s">
        <v>559</v>
      </c>
      <c r="U172" t="s">
        <v>560</v>
      </c>
      <c r="V172" t="s">
        <v>561</v>
      </c>
      <c r="W172" t="s">
        <v>337</v>
      </c>
      <c r="X172">
        <v>118835</v>
      </c>
      <c r="Y172" t="s">
        <v>178</v>
      </c>
      <c r="Z172" t="s">
        <v>143</v>
      </c>
      <c r="AA172" t="s">
        <v>143</v>
      </c>
      <c r="AB172" t="s">
        <v>157</v>
      </c>
      <c r="AC172" t="s">
        <v>158</v>
      </c>
      <c r="AD172">
        <v>0</v>
      </c>
      <c r="AE172">
        <v>6</v>
      </c>
      <c r="AF172">
        <v>21186</v>
      </c>
      <c r="AG172" t="s">
        <v>143</v>
      </c>
      <c r="AH172" t="s">
        <v>143</v>
      </c>
      <c r="AI172" t="s">
        <v>143</v>
      </c>
      <c r="AJ172" t="s">
        <v>143</v>
      </c>
      <c r="AK172" t="s">
        <v>143</v>
      </c>
      <c r="AL172" t="s">
        <v>147</v>
      </c>
      <c r="AM172">
        <v>713.01</v>
      </c>
      <c r="AN172" t="s">
        <v>338</v>
      </c>
      <c r="AO172" t="s">
        <v>50</v>
      </c>
      <c r="AP172" t="s">
        <v>43</v>
      </c>
    </row>
    <row r="173" spans="1:42" x14ac:dyDescent="0.3">
      <c r="A173" t="s">
        <v>39</v>
      </c>
      <c r="B173">
        <v>120</v>
      </c>
      <c r="C173" t="s">
        <v>40</v>
      </c>
      <c r="D173" t="s">
        <v>49</v>
      </c>
      <c r="E173" t="s">
        <v>984</v>
      </c>
      <c r="F173" t="s">
        <v>50</v>
      </c>
      <c r="G173" t="s">
        <v>43</v>
      </c>
      <c r="H173" t="s">
        <v>48</v>
      </c>
      <c r="I173">
        <v>12354</v>
      </c>
      <c r="J173" t="s">
        <v>49</v>
      </c>
      <c r="K173">
        <v>354</v>
      </c>
      <c r="L173" t="s">
        <v>158</v>
      </c>
      <c r="M173">
        <v>1</v>
      </c>
      <c r="N173" t="s">
        <v>134</v>
      </c>
      <c r="O173" t="s">
        <v>562</v>
      </c>
      <c r="P173">
        <v>7700</v>
      </c>
      <c r="Q173" t="s">
        <v>49</v>
      </c>
      <c r="R173" t="s">
        <v>197</v>
      </c>
      <c r="S173">
        <v>1061</v>
      </c>
      <c r="T173" t="s">
        <v>517</v>
      </c>
      <c r="U173" t="s">
        <v>563</v>
      </c>
      <c r="V173" t="s">
        <v>564</v>
      </c>
      <c r="W173" t="s">
        <v>141</v>
      </c>
      <c r="X173">
        <v>19684</v>
      </c>
      <c r="Y173" t="s">
        <v>178</v>
      </c>
      <c r="Z173" t="s">
        <v>144</v>
      </c>
      <c r="AA173" t="s">
        <v>143</v>
      </c>
      <c r="AB173" t="s">
        <v>157</v>
      </c>
      <c r="AC173" t="s">
        <v>158</v>
      </c>
      <c r="AD173">
        <v>34</v>
      </c>
      <c r="AE173">
        <v>189</v>
      </c>
      <c r="AF173">
        <v>943</v>
      </c>
      <c r="AG173" t="s">
        <v>143</v>
      </c>
      <c r="AH173" t="s">
        <v>143</v>
      </c>
      <c r="AI173" t="s">
        <v>143</v>
      </c>
      <c r="AJ173" t="s">
        <v>143</v>
      </c>
      <c r="AK173" t="s">
        <v>143</v>
      </c>
      <c r="AL173" t="s">
        <v>147</v>
      </c>
      <c r="AM173">
        <v>3720.28</v>
      </c>
      <c r="AN173" t="s">
        <v>403</v>
      </c>
      <c r="AO173" t="s">
        <v>50</v>
      </c>
      <c r="AP173" t="s">
        <v>43</v>
      </c>
    </row>
    <row r="174" spans="1:42" x14ac:dyDescent="0.3">
      <c r="A174" t="s">
        <v>39</v>
      </c>
      <c r="B174">
        <v>120</v>
      </c>
      <c r="C174" t="s">
        <v>40</v>
      </c>
      <c r="D174" t="s">
        <v>49</v>
      </c>
      <c r="E174" t="s">
        <v>984</v>
      </c>
      <c r="F174" t="s">
        <v>50</v>
      </c>
      <c r="G174" t="s">
        <v>43</v>
      </c>
      <c r="H174" t="s">
        <v>48</v>
      </c>
      <c r="I174">
        <v>12354</v>
      </c>
      <c r="J174" t="s">
        <v>49</v>
      </c>
      <c r="K174">
        <v>354</v>
      </c>
      <c r="L174" t="s">
        <v>158</v>
      </c>
      <c r="M174">
        <v>2</v>
      </c>
      <c r="N174" t="s">
        <v>134</v>
      </c>
      <c r="O174" t="s">
        <v>562</v>
      </c>
      <c r="P174">
        <v>1061</v>
      </c>
      <c r="Q174" t="s">
        <v>517</v>
      </c>
      <c r="R174" t="s">
        <v>565</v>
      </c>
      <c r="S174">
        <v>7700</v>
      </c>
      <c r="T174" t="s">
        <v>49</v>
      </c>
      <c r="U174" t="s">
        <v>248</v>
      </c>
      <c r="V174" t="s">
        <v>253</v>
      </c>
      <c r="W174" t="s">
        <v>141</v>
      </c>
      <c r="X174">
        <v>19982</v>
      </c>
      <c r="Y174" t="s">
        <v>178</v>
      </c>
      <c r="Z174" t="s">
        <v>144</v>
      </c>
      <c r="AA174" t="s">
        <v>143</v>
      </c>
      <c r="AB174" t="s">
        <v>157</v>
      </c>
      <c r="AC174" t="s">
        <v>158</v>
      </c>
      <c r="AD174">
        <v>34</v>
      </c>
      <c r="AE174">
        <v>189</v>
      </c>
      <c r="AF174">
        <v>945</v>
      </c>
      <c r="AG174" t="s">
        <v>143</v>
      </c>
      <c r="AH174" t="s">
        <v>143</v>
      </c>
      <c r="AI174" t="s">
        <v>143</v>
      </c>
      <c r="AJ174" t="s">
        <v>143</v>
      </c>
      <c r="AK174" t="s">
        <v>143</v>
      </c>
      <c r="AL174" t="s">
        <v>147</v>
      </c>
      <c r="AM174">
        <v>3776.6</v>
      </c>
      <c r="AN174" t="s">
        <v>403</v>
      </c>
      <c r="AO174" t="s">
        <v>50</v>
      </c>
      <c r="AP174" t="s">
        <v>43</v>
      </c>
    </row>
    <row r="175" spans="1:42" x14ac:dyDescent="0.3">
      <c r="A175" t="s">
        <v>39</v>
      </c>
      <c r="B175">
        <v>120</v>
      </c>
      <c r="C175" t="s">
        <v>40</v>
      </c>
      <c r="D175" t="s">
        <v>49</v>
      </c>
      <c r="E175" t="s">
        <v>984</v>
      </c>
      <c r="F175" t="s">
        <v>50</v>
      </c>
      <c r="G175" t="s">
        <v>43</v>
      </c>
      <c r="H175" t="s">
        <v>48</v>
      </c>
      <c r="I175">
        <v>19041</v>
      </c>
      <c r="J175" t="s">
        <v>49</v>
      </c>
      <c r="K175">
        <v>41</v>
      </c>
      <c r="L175" t="s">
        <v>985</v>
      </c>
      <c r="M175">
        <v>2</v>
      </c>
      <c r="N175" t="s">
        <v>134</v>
      </c>
      <c r="O175" t="s">
        <v>566</v>
      </c>
      <c r="P175">
        <v>497</v>
      </c>
      <c r="Q175" t="s">
        <v>567</v>
      </c>
      <c r="R175" t="s">
        <v>568</v>
      </c>
      <c r="S175">
        <v>7700</v>
      </c>
      <c r="T175" t="s">
        <v>49</v>
      </c>
      <c r="U175" t="s">
        <v>248</v>
      </c>
      <c r="V175" t="s">
        <v>253</v>
      </c>
      <c r="W175" t="s">
        <v>141</v>
      </c>
      <c r="X175">
        <v>24803</v>
      </c>
      <c r="Y175" t="s">
        <v>178</v>
      </c>
      <c r="Z175" t="s">
        <v>143</v>
      </c>
      <c r="AA175" t="s">
        <v>143</v>
      </c>
      <c r="AB175" t="s">
        <v>145</v>
      </c>
      <c r="AC175" t="s">
        <v>158</v>
      </c>
      <c r="AD175">
        <v>10</v>
      </c>
      <c r="AE175">
        <v>58</v>
      </c>
      <c r="AF175">
        <v>881</v>
      </c>
      <c r="AG175" t="s">
        <v>143</v>
      </c>
      <c r="AH175" t="s">
        <v>143</v>
      </c>
      <c r="AI175" t="s">
        <v>143</v>
      </c>
      <c r="AJ175" t="s">
        <v>143</v>
      </c>
      <c r="AK175" t="s">
        <v>143</v>
      </c>
      <c r="AL175" t="s">
        <v>147</v>
      </c>
      <c r="AM175">
        <v>1438.57</v>
      </c>
      <c r="AN175" t="s">
        <v>250</v>
      </c>
      <c r="AO175" t="s">
        <v>50</v>
      </c>
      <c r="AP175" t="s">
        <v>43</v>
      </c>
    </row>
    <row r="176" spans="1:42" x14ac:dyDescent="0.3">
      <c r="A176" t="s">
        <v>39</v>
      </c>
      <c r="B176">
        <v>120</v>
      </c>
      <c r="C176" t="s">
        <v>40</v>
      </c>
      <c r="D176" t="s">
        <v>55</v>
      </c>
      <c r="E176" t="s">
        <v>984</v>
      </c>
      <c r="F176" t="s">
        <v>45</v>
      </c>
      <c r="G176" t="s">
        <v>43</v>
      </c>
      <c r="H176" t="s">
        <v>46</v>
      </c>
      <c r="I176">
        <v>22076</v>
      </c>
      <c r="J176" t="s">
        <v>55</v>
      </c>
      <c r="K176">
        <v>76</v>
      </c>
      <c r="L176" t="s">
        <v>146</v>
      </c>
      <c r="M176">
        <v>2</v>
      </c>
      <c r="N176" t="s">
        <v>134</v>
      </c>
      <c r="O176" t="s">
        <v>569</v>
      </c>
      <c r="P176">
        <v>6700</v>
      </c>
      <c r="Q176" t="s">
        <v>55</v>
      </c>
      <c r="R176" t="s">
        <v>414</v>
      </c>
      <c r="S176">
        <v>6700</v>
      </c>
      <c r="T176" t="s">
        <v>55</v>
      </c>
      <c r="U176" t="s">
        <v>570</v>
      </c>
      <c r="V176" t="s">
        <v>571</v>
      </c>
      <c r="W176" t="s">
        <v>166</v>
      </c>
      <c r="X176">
        <v>13816</v>
      </c>
      <c r="Y176" t="s">
        <v>156</v>
      </c>
      <c r="Z176" t="s">
        <v>143</v>
      </c>
      <c r="AA176" t="s">
        <v>144</v>
      </c>
      <c r="AB176" t="s">
        <v>157</v>
      </c>
      <c r="AC176" t="s">
        <v>146</v>
      </c>
      <c r="AD176">
        <v>1</v>
      </c>
      <c r="AE176">
        <v>6</v>
      </c>
      <c r="AF176">
        <v>15683</v>
      </c>
      <c r="AG176" t="s">
        <v>143</v>
      </c>
      <c r="AH176" t="s">
        <v>143</v>
      </c>
      <c r="AI176" t="s">
        <v>143</v>
      </c>
      <c r="AJ176" t="s">
        <v>143</v>
      </c>
      <c r="AK176" t="s">
        <v>143</v>
      </c>
      <c r="AL176" t="s">
        <v>147</v>
      </c>
      <c r="AM176">
        <v>82.9</v>
      </c>
      <c r="AN176" t="s">
        <v>417</v>
      </c>
      <c r="AO176" t="s">
        <v>159</v>
      </c>
      <c r="AP176" t="s">
        <v>43</v>
      </c>
    </row>
    <row r="177" spans="1:42" x14ac:dyDescent="0.3">
      <c r="A177" t="s">
        <v>39</v>
      </c>
      <c r="B177">
        <v>120</v>
      </c>
      <c r="C177" t="s">
        <v>40</v>
      </c>
      <c r="D177" t="s">
        <v>55</v>
      </c>
      <c r="E177" t="s">
        <v>984</v>
      </c>
      <c r="F177" t="s">
        <v>45</v>
      </c>
      <c r="G177" t="s">
        <v>43</v>
      </c>
      <c r="H177" t="s">
        <v>46</v>
      </c>
      <c r="I177">
        <v>27020</v>
      </c>
      <c r="J177" t="s">
        <v>55</v>
      </c>
      <c r="K177">
        <v>20</v>
      </c>
      <c r="L177" t="s">
        <v>985</v>
      </c>
      <c r="M177">
        <v>1</v>
      </c>
      <c r="N177" t="s">
        <v>134</v>
      </c>
      <c r="O177" t="s">
        <v>513</v>
      </c>
      <c r="P177">
        <v>6700</v>
      </c>
      <c r="Q177" t="s">
        <v>55</v>
      </c>
      <c r="R177" t="s">
        <v>540</v>
      </c>
      <c r="S177">
        <v>1821</v>
      </c>
      <c r="T177" t="s">
        <v>419</v>
      </c>
      <c r="U177" t="s">
        <v>572</v>
      </c>
      <c r="V177" t="s">
        <v>573</v>
      </c>
      <c r="W177" t="s">
        <v>141</v>
      </c>
      <c r="X177">
        <v>22594</v>
      </c>
      <c r="Y177" t="s">
        <v>156</v>
      </c>
      <c r="Z177" t="s">
        <v>143</v>
      </c>
      <c r="AA177" t="s">
        <v>143</v>
      </c>
      <c r="AB177" t="s">
        <v>157</v>
      </c>
      <c r="AC177" t="s">
        <v>158</v>
      </c>
      <c r="AD177">
        <v>1</v>
      </c>
      <c r="AE177">
        <v>5</v>
      </c>
      <c r="AF177">
        <v>15586</v>
      </c>
      <c r="AG177" t="s">
        <v>143</v>
      </c>
      <c r="AH177" t="s">
        <v>143</v>
      </c>
      <c r="AI177" t="s">
        <v>143</v>
      </c>
      <c r="AJ177" t="s">
        <v>143</v>
      </c>
      <c r="AK177" t="s">
        <v>143</v>
      </c>
      <c r="AL177" t="s">
        <v>147</v>
      </c>
      <c r="AM177">
        <v>112.97</v>
      </c>
      <c r="AN177" t="s">
        <v>417</v>
      </c>
      <c r="AO177" t="s">
        <v>159</v>
      </c>
      <c r="AP177" t="s">
        <v>43</v>
      </c>
    </row>
    <row r="178" spans="1:42" x14ac:dyDescent="0.3">
      <c r="A178" t="s">
        <v>39</v>
      </c>
      <c r="B178">
        <v>120</v>
      </c>
      <c r="C178" t="s">
        <v>40</v>
      </c>
      <c r="D178" t="s">
        <v>55</v>
      </c>
      <c r="E178" t="s">
        <v>984</v>
      </c>
      <c r="F178" t="s">
        <v>45</v>
      </c>
      <c r="G178" t="s">
        <v>43</v>
      </c>
      <c r="H178" t="s">
        <v>46</v>
      </c>
      <c r="I178">
        <v>26030</v>
      </c>
      <c r="J178" t="s">
        <v>55</v>
      </c>
      <c r="K178">
        <v>30</v>
      </c>
      <c r="L178" t="s">
        <v>158</v>
      </c>
      <c r="M178">
        <v>2</v>
      </c>
      <c r="N178" t="s">
        <v>160</v>
      </c>
      <c r="O178" t="s">
        <v>553</v>
      </c>
      <c r="P178">
        <v>46</v>
      </c>
      <c r="Q178" t="s">
        <v>574</v>
      </c>
      <c r="R178" t="s">
        <v>575</v>
      </c>
      <c r="S178">
        <v>6700</v>
      </c>
      <c r="T178" t="s">
        <v>55</v>
      </c>
      <c r="U178" t="s">
        <v>426</v>
      </c>
      <c r="V178" t="s">
        <v>433</v>
      </c>
      <c r="W178" t="s">
        <v>141</v>
      </c>
      <c r="X178">
        <v>34925</v>
      </c>
      <c r="Y178" t="s">
        <v>178</v>
      </c>
      <c r="Z178" t="s">
        <v>143</v>
      </c>
      <c r="AA178" t="s">
        <v>143</v>
      </c>
      <c r="AB178" t="s">
        <v>157</v>
      </c>
      <c r="AC178" t="s">
        <v>158</v>
      </c>
      <c r="AD178">
        <v>1</v>
      </c>
      <c r="AE178">
        <v>6</v>
      </c>
      <c r="AF178">
        <v>15734</v>
      </c>
      <c r="AG178" t="s">
        <v>143</v>
      </c>
      <c r="AH178" t="s">
        <v>143</v>
      </c>
      <c r="AI178" t="s">
        <v>143</v>
      </c>
      <c r="AJ178" t="s">
        <v>143</v>
      </c>
      <c r="AK178" t="s">
        <v>143</v>
      </c>
      <c r="AL178" t="s">
        <v>147</v>
      </c>
      <c r="AM178">
        <v>209.55</v>
      </c>
      <c r="AN178" t="s">
        <v>417</v>
      </c>
      <c r="AO178" t="s">
        <v>42</v>
      </c>
      <c r="AP178" t="s">
        <v>43</v>
      </c>
    </row>
    <row r="179" spans="1:42" x14ac:dyDescent="0.3">
      <c r="A179" t="s">
        <v>39</v>
      </c>
      <c r="B179">
        <v>120</v>
      </c>
      <c r="C179" t="s">
        <v>40</v>
      </c>
      <c r="D179" t="s">
        <v>55</v>
      </c>
      <c r="E179" t="s">
        <v>984</v>
      </c>
      <c r="F179" t="s">
        <v>45</v>
      </c>
      <c r="G179" t="s">
        <v>43</v>
      </c>
      <c r="H179" t="s">
        <v>48</v>
      </c>
      <c r="I179">
        <v>27055</v>
      </c>
      <c r="J179" t="s">
        <v>55</v>
      </c>
      <c r="K179">
        <v>55</v>
      </c>
      <c r="L179" t="s">
        <v>158</v>
      </c>
      <c r="M179">
        <v>2</v>
      </c>
      <c r="N179" t="s">
        <v>134</v>
      </c>
      <c r="O179" t="s">
        <v>378</v>
      </c>
      <c r="P179">
        <v>7500</v>
      </c>
      <c r="Q179" t="s">
        <v>576</v>
      </c>
      <c r="R179" t="s">
        <v>577</v>
      </c>
      <c r="S179">
        <v>6700</v>
      </c>
      <c r="T179" t="s">
        <v>55</v>
      </c>
      <c r="U179" t="s">
        <v>426</v>
      </c>
      <c r="V179" t="s">
        <v>433</v>
      </c>
      <c r="W179" t="s">
        <v>141</v>
      </c>
      <c r="X179">
        <v>35882</v>
      </c>
      <c r="Y179" t="s">
        <v>178</v>
      </c>
      <c r="Z179" t="s">
        <v>143</v>
      </c>
      <c r="AA179" t="s">
        <v>143</v>
      </c>
      <c r="AB179" t="s">
        <v>157</v>
      </c>
      <c r="AC179" t="s">
        <v>158</v>
      </c>
      <c r="AD179">
        <v>17</v>
      </c>
      <c r="AE179">
        <v>92</v>
      </c>
      <c r="AF179">
        <v>15601</v>
      </c>
      <c r="AG179" t="s">
        <v>143</v>
      </c>
      <c r="AH179" t="s">
        <v>143</v>
      </c>
      <c r="AI179" t="s">
        <v>143</v>
      </c>
      <c r="AJ179" t="s">
        <v>143</v>
      </c>
      <c r="AK179" t="s">
        <v>143</v>
      </c>
      <c r="AL179" t="s">
        <v>147</v>
      </c>
      <c r="AM179">
        <v>3301.14</v>
      </c>
      <c r="AN179" t="s">
        <v>417</v>
      </c>
      <c r="AO179" t="s">
        <v>50</v>
      </c>
      <c r="AP179" t="s">
        <v>43</v>
      </c>
    </row>
    <row r="180" spans="1:42" x14ac:dyDescent="0.3">
      <c r="A180" t="s">
        <v>39</v>
      </c>
      <c r="B180">
        <v>120</v>
      </c>
      <c r="C180" t="s">
        <v>40</v>
      </c>
      <c r="D180" t="s">
        <v>55</v>
      </c>
      <c r="E180" t="s">
        <v>984</v>
      </c>
      <c r="F180" t="s">
        <v>45</v>
      </c>
      <c r="G180" t="s">
        <v>43</v>
      </c>
      <c r="H180" t="s">
        <v>48</v>
      </c>
      <c r="I180">
        <v>34008</v>
      </c>
      <c r="J180" t="s">
        <v>55</v>
      </c>
      <c r="K180">
        <v>8</v>
      </c>
      <c r="L180" t="s">
        <v>146</v>
      </c>
      <c r="M180">
        <v>1</v>
      </c>
      <c r="N180" t="s">
        <v>134</v>
      </c>
      <c r="O180" t="s">
        <v>578</v>
      </c>
      <c r="P180">
        <v>6700</v>
      </c>
      <c r="Q180" t="s">
        <v>55</v>
      </c>
      <c r="R180" t="s">
        <v>429</v>
      </c>
      <c r="S180">
        <v>6700</v>
      </c>
      <c r="T180" t="s">
        <v>55</v>
      </c>
      <c r="U180" t="s">
        <v>546</v>
      </c>
      <c r="V180" t="s">
        <v>547</v>
      </c>
      <c r="W180" t="s">
        <v>166</v>
      </c>
      <c r="X180">
        <v>12058</v>
      </c>
      <c r="Y180" t="s">
        <v>178</v>
      </c>
      <c r="Z180" t="s">
        <v>143</v>
      </c>
      <c r="AA180" t="s">
        <v>144</v>
      </c>
      <c r="AB180" t="s">
        <v>157</v>
      </c>
      <c r="AC180" t="s">
        <v>146</v>
      </c>
      <c r="AD180">
        <v>49</v>
      </c>
      <c r="AE180">
        <v>289</v>
      </c>
      <c r="AF180">
        <v>15582</v>
      </c>
      <c r="AG180" t="s">
        <v>143</v>
      </c>
      <c r="AH180" t="s">
        <v>143</v>
      </c>
      <c r="AI180" t="s">
        <v>143</v>
      </c>
      <c r="AJ180" t="s">
        <v>143</v>
      </c>
      <c r="AK180" t="s">
        <v>143</v>
      </c>
      <c r="AL180" t="s">
        <v>147</v>
      </c>
      <c r="AM180">
        <v>3484.76</v>
      </c>
      <c r="AN180" t="s">
        <v>417</v>
      </c>
      <c r="AO180" t="s">
        <v>50</v>
      </c>
      <c r="AP180" t="s">
        <v>43</v>
      </c>
    </row>
    <row r="181" spans="1:42" x14ac:dyDescent="0.3">
      <c r="A181" t="s">
        <v>39</v>
      </c>
      <c r="B181">
        <v>120</v>
      </c>
      <c r="C181" t="s">
        <v>40</v>
      </c>
      <c r="D181" t="s">
        <v>55</v>
      </c>
      <c r="E181" t="s">
        <v>984</v>
      </c>
      <c r="F181" t="s">
        <v>45</v>
      </c>
      <c r="G181" t="s">
        <v>43</v>
      </c>
      <c r="H181" t="s">
        <v>48</v>
      </c>
      <c r="I181">
        <v>35012</v>
      </c>
      <c r="J181" t="s">
        <v>55</v>
      </c>
      <c r="K181">
        <v>12</v>
      </c>
      <c r="L181" t="s">
        <v>146</v>
      </c>
      <c r="M181">
        <v>1</v>
      </c>
      <c r="N181" t="s">
        <v>134</v>
      </c>
      <c r="O181" t="s">
        <v>579</v>
      </c>
      <c r="P181">
        <v>6700</v>
      </c>
      <c r="Q181" t="s">
        <v>55</v>
      </c>
      <c r="R181" t="s">
        <v>429</v>
      </c>
      <c r="S181">
        <v>6700</v>
      </c>
      <c r="T181" t="s">
        <v>55</v>
      </c>
      <c r="U181" t="s">
        <v>546</v>
      </c>
      <c r="V181" t="s">
        <v>547</v>
      </c>
      <c r="W181" t="s">
        <v>166</v>
      </c>
      <c r="X181">
        <v>12468</v>
      </c>
      <c r="Y181" t="s">
        <v>178</v>
      </c>
      <c r="Z181" t="s">
        <v>143</v>
      </c>
      <c r="AA181" t="s">
        <v>144</v>
      </c>
      <c r="AB181" t="s">
        <v>157</v>
      </c>
      <c r="AC181" t="s">
        <v>146</v>
      </c>
      <c r="AD181">
        <v>53</v>
      </c>
      <c r="AE181">
        <v>302</v>
      </c>
      <c r="AF181">
        <v>15606</v>
      </c>
      <c r="AG181" t="s">
        <v>143</v>
      </c>
      <c r="AH181" t="s">
        <v>143</v>
      </c>
      <c r="AI181" t="s">
        <v>143</v>
      </c>
      <c r="AJ181" t="s">
        <v>143</v>
      </c>
      <c r="AK181" t="s">
        <v>143</v>
      </c>
      <c r="AL181" t="s">
        <v>147</v>
      </c>
      <c r="AM181">
        <v>3765.34</v>
      </c>
      <c r="AN181" t="s">
        <v>417</v>
      </c>
      <c r="AO181" t="s">
        <v>50</v>
      </c>
      <c r="AP181" t="s">
        <v>43</v>
      </c>
    </row>
    <row r="182" spans="1:42" x14ac:dyDescent="0.3">
      <c r="A182" t="s">
        <v>39</v>
      </c>
      <c r="B182">
        <v>120</v>
      </c>
      <c r="C182" t="s">
        <v>40</v>
      </c>
      <c r="D182" t="s">
        <v>55</v>
      </c>
      <c r="E182" t="s">
        <v>984</v>
      </c>
      <c r="F182" t="s">
        <v>42</v>
      </c>
      <c r="G182" t="s">
        <v>43</v>
      </c>
      <c r="H182" t="s">
        <v>47</v>
      </c>
      <c r="I182">
        <v>24036</v>
      </c>
      <c r="J182" t="s">
        <v>55</v>
      </c>
      <c r="K182">
        <v>36</v>
      </c>
      <c r="L182" t="s">
        <v>985</v>
      </c>
      <c r="M182">
        <v>1</v>
      </c>
      <c r="N182" t="s">
        <v>134</v>
      </c>
      <c r="O182" t="s">
        <v>580</v>
      </c>
      <c r="P182">
        <v>6700</v>
      </c>
      <c r="Q182" t="s">
        <v>55</v>
      </c>
      <c r="R182" t="s">
        <v>429</v>
      </c>
      <c r="S182">
        <v>1162</v>
      </c>
      <c r="T182" t="s">
        <v>581</v>
      </c>
      <c r="U182" t="s">
        <v>581</v>
      </c>
      <c r="V182" t="s">
        <v>582</v>
      </c>
      <c r="W182" t="s">
        <v>141</v>
      </c>
      <c r="X182">
        <v>32865</v>
      </c>
      <c r="Y182" t="s">
        <v>178</v>
      </c>
      <c r="Z182" t="s">
        <v>143</v>
      </c>
      <c r="AA182" t="s">
        <v>143</v>
      </c>
      <c r="AB182" t="s">
        <v>145</v>
      </c>
      <c r="AC182" t="s">
        <v>158</v>
      </c>
      <c r="AD182">
        <v>6</v>
      </c>
      <c r="AE182">
        <v>34</v>
      </c>
      <c r="AF182">
        <v>15565</v>
      </c>
      <c r="AG182" t="s">
        <v>143</v>
      </c>
      <c r="AH182" t="s">
        <v>143</v>
      </c>
      <c r="AI182" t="s">
        <v>143</v>
      </c>
      <c r="AJ182" t="s">
        <v>143</v>
      </c>
      <c r="AK182" t="s">
        <v>143</v>
      </c>
      <c r="AL182" t="s">
        <v>147</v>
      </c>
      <c r="AM182">
        <v>1117.4100000000001</v>
      </c>
      <c r="AN182" t="s">
        <v>417</v>
      </c>
      <c r="AO182" t="s">
        <v>552</v>
      </c>
      <c r="AP182" t="s">
        <v>43</v>
      </c>
    </row>
    <row r="183" spans="1:42" x14ac:dyDescent="0.3">
      <c r="A183" t="s">
        <v>39</v>
      </c>
      <c r="B183">
        <v>120</v>
      </c>
      <c r="C183" t="s">
        <v>40</v>
      </c>
      <c r="D183" t="s">
        <v>55</v>
      </c>
      <c r="E183" t="s">
        <v>984</v>
      </c>
      <c r="F183" t="s">
        <v>42</v>
      </c>
      <c r="G183" t="s">
        <v>43</v>
      </c>
      <c r="H183" t="s">
        <v>47</v>
      </c>
      <c r="I183">
        <v>19037</v>
      </c>
      <c r="J183" t="s">
        <v>55</v>
      </c>
      <c r="K183">
        <v>37</v>
      </c>
      <c r="L183" t="s">
        <v>146</v>
      </c>
      <c r="M183">
        <v>1</v>
      </c>
      <c r="N183" t="s">
        <v>134</v>
      </c>
      <c r="O183" t="s">
        <v>583</v>
      </c>
      <c r="P183">
        <v>6700</v>
      </c>
      <c r="Q183" t="s">
        <v>55</v>
      </c>
      <c r="R183" t="s">
        <v>429</v>
      </c>
      <c r="S183">
        <v>330</v>
      </c>
      <c r="T183" t="s">
        <v>584</v>
      </c>
      <c r="U183" t="s">
        <v>585</v>
      </c>
      <c r="V183" t="s">
        <v>586</v>
      </c>
      <c r="W183" t="s">
        <v>166</v>
      </c>
      <c r="X183">
        <v>24696</v>
      </c>
      <c r="Y183" t="s">
        <v>178</v>
      </c>
      <c r="Z183" t="s">
        <v>143</v>
      </c>
      <c r="AA183" t="s">
        <v>144</v>
      </c>
      <c r="AB183" t="s">
        <v>157</v>
      </c>
      <c r="AC183" t="s">
        <v>146</v>
      </c>
      <c r="AD183">
        <v>4</v>
      </c>
      <c r="AE183">
        <v>24</v>
      </c>
      <c r="AF183">
        <v>15592</v>
      </c>
      <c r="AG183" t="s">
        <v>143</v>
      </c>
      <c r="AH183" t="s">
        <v>143</v>
      </c>
      <c r="AI183" t="s">
        <v>143</v>
      </c>
      <c r="AJ183" t="s">
        <v>143</v>
      </c>
      <c r="AK183" t="s">
        <v>143</v>
      </c>
      <c r="AL183" t="s">
        <v>147</v>
      </c>
      <c r="AM183">
        <v>592.70000000000005</v>
      </c>
      <c r="AN183" t="s">
        <v>417</v>
      </c>
      <c r="AO183" t="s">
        <v>587</v>
      </c>
      <c r="AP183" t="s">
        <v>43</v>
      </c>
    </row>
    <row r="184" spans="1:42" x14ac:dyDescent="0.3">
      <c r="A184" t="s">
        <v>39</v>
      </c>
      <c r="B184">
        <v>120</v>
      </c>
      <c r="C184" t="s">
        <v>40</v>
      </c>
      <c r="D184" t="s">
        <v>55</v>
      </c>
      <c r="E184" t="s">
        <v>984</v>
      </c>
      <c r="F184" t="s">
        <v>42</v>
      </c>
      <c r="G184" t="s">
        <v>43</v>
      </c>
      <c r="H184" t="s">
        <v>47</v>
      </c>
      <c r="I184">
        <v>19037</v>
      </c>
      <c r="J184" t="s">
        <v>55</v>
      </c>
      <c r="K184">
        <v>37</v>
      </c>
      <c r="L184" t="s">
        <v>146</v>
      </c>
      <c r="M184">
        <v>2</v>
      </c>
      <c r="N184" t="s">
        <v>134</v>
      </c>
      <c r="O184" t="s">
        <v>583</v>
      </c>
      <c r="P184">
        <v>330</v>
      </c>
      <c r="Q184" t="s">
        <v>584</v>
      </c>
      <c r="R184" t="s">
        <v>585</v>
      </c>
      <c r="S184">
        <v>6700</v>
      </c>
      <c r="T184" t="s">
        <v>55</v>
      </c>
      <c r="U184" t="s">
        <v>426</v>
      </c>
      <c r="V184" t="s">
        <v>433</v>
      </c>
      <c r="W184" t="s">
        <v>166</v>
      </c>
      <c r="X184">
        <v>24730</v>
      </c>
      <c r="Y184" t="s">
        <v>178</v>
      </c>
      <c r="Z184" t="s">
        <v>143</v>
      </c>
      <c r="AA184" t="s">
        <v>144</v>
      </c>
      <c r="AB184" t="s">
        <v>157</v>
      </c>
      <c r="AC184" t="s">
        <v>146</v>
      </c>
      <c r="AD184">
        <v>4</v>
      </c>
      <c r="AE184">
        <v>23</v>
      </c>
      <c r="AF184">
        <v>15593</v>
      </c>
      <c r="AG184" t="s">
        <v>143</v>
      </c>
      <c r="AH184" t="s">
        <v>143</v>
      </c>
      <c r="AI184" t="s">
        <v>143</v>
      </c>
      <c r="AJ184" t="s">
        <v>143</v>
      </c>
      <c r="AK184" t="s">
        <v>143</v>
      </c>
      <c r="AL184" t="s">
        <v>147</v>
      </c>
      <c r="AM184">
        <v>568.79</v>
      </c>
      <c r="AN184" t="s">
        <v>417</v>
      </c>
      <c r="AO184" t="s">
        <v>587</v>
      </c>
      <c r="AP184" t="s">
        <v>43</v>
      </c>
    </row>
    <row r="185" spans="1:42" x14ac:dyDescent="0.3">
      <c r="A185" t="s">
        <v>39</v>
      </c>
      <c r="B185">
        <v>120</v>
      </c>
      <c r="C185" t="s">
        <v>40</v>
      </c>
      <c r="D185" t="s">
        <v>55</v>
      </c>
      <c r="E185" t="s">
        <v>984</v>
      </c>
      <c r="F185" t="s">
        <v>57</v>
      </c>
      <c r="G185" t="s">
        <v>43</v>
      </c>
      <c r="H185" t="s">
        <v>46</v>
      </c>
      <c r="I185">
        <v>54082</v>
      </c>
      <c r="J185" t="s">
        <v>55</v>
      </c>
      <c r="K185">
        <v>82</v>
      </c>
      <c r="L185" t="s">
        <v>146</v>
      </c>
      <c r="M185">
        <v>1</v>
      </c>
      <c r="N185" t="s">
        <v>134</v>
      </c>
      <c r="O185" t="s">
        <v>169</v>
      </c>
      <c r="P185">
        <v>6700</v>
      </c>
      <c r="Q185" t="s">
        <v>55</v>
      </c>
      <c r="R185" t="s">
        <v>588</v>
      </c>
      <c r="S185">
        <v>6700</v>
      </c>
      <c r="T185" t="s">
        <v>55</v>
      </c>
      <c r="U185" t="s">
        <v>589</v>
      </c>
      <c r="V185" t="s">
        <v>590</v>
      </c>
      <c r="W185" t="s">
        <v>166</v>
      </c>
      <c r="X185">
        <v>4901</v>
      </c>
      <c r="Y185" t="s">
        <v>156</v>
      </c>
      <c r="Z185" t="s">
        <v>143</v>
      </c>
      <c r="AA185" t="s">
        <v>144</v>
      </c>
      <c r="AB185" t="s">
        <v>157</v>
      </c>
      <c r="AC185" t="s">
        <v>146</v>
      </c>
      <c r="AD185">
        <v>2</v>
      </c>
      <c r="AE185">
        <v>12</v>
      </c>
      <c r="AF185">
        <v>15713</v>
      </c>
      <c r="AG185" t="s">
        <v>143</v>
      </c>
      <c r="AH185" t="s">
        <v>143</v>
      </c>
      <c r="AI185" t="s">
        <v>143</v>
      </c>
      <c r="AJ185" t="s">
        <v>143</v>
      </c>
      <c r="AK185" t="s">
        <v>143</v>
      </c>
      <c r="AL185" t="s">
        <v>147</v>
      </c>
      <c r="AM185">
        <v>58.81</v>
      </c>
      <c r="AN185" t="s">
        <v>417</v>
      </c>
      <c r="AO185" t="s">
        <v>159</v>
      </c>
      <c r="AP185" t="s">
        <v>43</v>
      </c>
    </row>
    <row r="186" spans="1:42" x14ac:dyDescent="0.3">
      <c r="A186" t="s">
        <v>39</v>
      </c>
      <c r="B186">
        <v>120</v>
      </c>
      <c r="C186" t="s">
        <v>40</v>
      </c>
      <c r="D186" t="s">
        <v>41</v>
      </c>
      <c r="E186" t="s">
        <v>986</v>
      </c>
      <c r="F186" t="s">
        <v>42</v>
      </c>
      <c r="G186" t="s">
        <v>43</v>
      </c>
      <c r="H186" t="s">
        <v>47</v>
      </c>
      <c r="I186">
        <v>23013</v>
      </c>
      <c r="J186" t="s">
        <v>41</v>
      </c>
      <c r="K186">
        <v>13</v>
      </c>
      <c r="L186" t="s">
        <v>146</v>
      </c>
      <c r="M186">
        <v>1</v>
      </c>
      <c r="N186" t="s">
        <v>134</v>
      </c>
      <c r="O186" t="s">
        <v>501</v>
      </c>
      <c r="P186">
        <v>2300</v>
      </c>
      <c r="Q186" t="s">
        <v>153</v>
      </c>
      <c r="R186" t="s">
        <v>344</v>
      </c>
      <c r="S186">
        <v>140</v>
      </c>
      <c r="T186" t="s">
        <v>136</v>
      </c>
      <c r="U186" t="s">
        <v>357</v>
      </c>
      <c r="V186" t="s">
        <v>358</v>
      </c>
      <c r="W186" t="s">
        <v>166</v>
      </c>
      <c r="X186">
        <v>15401</v>
      </c>
      <c r="Y186" t="s">
        <v>178</v>
      </c>
      <c r="Z186" t="s">
        <v>143</v>
      </c>
      <c r="AA186" t="s">
        <v>144</v>
      </c>
      <c r="AB186" t="s">
        <v>145</v>
      </c>
      <c r="AC186" t="s">
        <v>146</v>
      </c>
      <c r="AD186">
        <v>9</v>
      </c>
      <c r="AE186">
        <v>51</v>
      </c>
      <c r="AF186">
        <v>14115</v>
      </c>
      <c r="AG186" t="s">
        <v>143</v>
      </c>
      <c r="AH186" t="s">
        <v>143</v>
      </c>
      <c r="AI186" t="s">
        <v>143</v>
      </c>
      <c r="AJ186" t="s">
        <v>143</v>
      </c>
      <c r="AK186" t="s">
        <v>143</v>
      </c>
      <c r="AL186" t="s">
        <v>147</v>
      </c>
      <c r="AM186">
        <v>785.45</v>
      </c>
      <c r="AN186" t="s">
        <v>148</v>
      </c>
      <c r="AO186" t="s">
        <v>187</v>
      </c>
      <c r="AP186" t="s">
        <v>43</v>
      </c>
    </row>
    <row r="187" spans="1:42" x14ac:dyDescent="0.3">
      <c r="A187" t="s">
        <v>39</v>
      </c>
      <c r="B187">
        <v>120</v>
      </c>
      <c r="C187" t="s">
        <v>40</v>
      </c>
      <c r="D187" t="s">
        <v>41</v>
      </c>
      <c r="E187" t="s">
        <v>986</v>
      </c>
      <c r="F187" t="s">
        <v>42</v>
      </c>
      <c r="G187" t="s">
        <v>43</v>
      </c>
      <c r="H187" t="s">
        <v>47</v>
      </c>
      <c r="I187">
        <v>23013</v>
      </c>
      <c r="J187" t="s">
        <v>41</v>
      </c>
      <c r="K187">
        <v>13</v>
      </c>
      <c r="L187" t="s">
        <v>146</v>
      </c>
      <c r="M187">
        <v>1</v>
      </c>
      <c r="N187" t="s">
        <v>160</v>
      </c>
      <c r="O187" t="s">
        <v>591</v>
      </c>
      <c r="P187">
        <v>2300</v>
      </c>
      <c r="Q187" t="s">
        <v>153</v>
      </c>
      <c r="R187" t="s">
        <v>344</v>
      </c>
      <c r="S187">
        <v>140</v>
      </c>
      <c r="T187" t="s">
        <v>136</v>
      </c>
      <c r="U187" t="s">
        <v>357</v>
      </c>
      <c r="V187" t="s">
        <v>358</v>
      </c>
      <c r="W187" t="s">
        <v>166</v>
      </c>
      <c r="X187">
        <v>19310</v>
      </c>
      <c r="Y187" t="s">
        <v>178</v>
      </c>
      <c r="Z187" t="s">
        <v>143</v>
      </c>
      <c r="AA187" t="s">
        <v>144</v>
      </c>
      <c r="AB187" t="s">
        <v>145</v>
      </c>
      <c r="AC187" t="s">
        <v>146</v>
      </c>
      <c r="AD187">
        <v>4</v>
      </c>
      <c r="AE187">
        <v>22</v>
      </c>
      <c r="AF187">
        <v>14116</v>
      </c>
      <c r="AG187" t="s">
        <v>143</v>
      </c>
      <c r="AH187" t="s">
        <v>143</v>
      </c>
      <c r="AI187" t="s">
        <v>143</v>
      </c>
      <c r="AJ187" t="s">
        <v>143</v>
      </c>
      <c r="AK187" t="s">
        <v>143</v>
      </c>
      <c r="AL187" t="s">
        <v>147</v>
      </c>
      <c r="AM187">
        <v>424.82</v>
      </c>
      <c r="AN187" t="s">
        <v>148</v>
      </c>
      <c r="AO187" t="s">
        <v>187</v>
      </c>
      <c r="AP187" t="s">
        <v>43</v>
      </c>
    </row>
    <row r="188" spans="1:42" x14ac:dyDescent="0.3">
      <c r="A188" t="s">
        <v>39</v>
      </c>
      <c r="B188">
        <v>120</v>
      </c>
      <c r="C188" t="s">
        <v>40</v>
      </c>
      <c r="D188" t="s">
        <v>41</v>
      </c>
      <c r="E188" t="s">
        <v>986</v>
      </c>
      <c r="F188" t="s">
        <v>42</v>
      </c>
      <c r="G188" t="s">
        <v>43</v>
      </c>
      <c r="H188" t="s">
        <v>48</v>
      </c>
      <c r="I188">
        <v>13407</v>
      </c>
      <c r="J188" t="s">
        <v>41</v>
      </c>
      <c r="K188">
        <v>407</v>
      </c>
      <c r="L188" t="s">
        <v>158</v>
      </c>
      <c r="M188">
        <v>1</v>
      </c>
      <c r="N188" t="s">
        <v>134</v>
      </c>
      <c r="O188" t="s">
        <v>345</v>
      </c>
      <c r="P188">
        <v>240</v>
      </c>
      <c r="Q188" t="s">
        <v>162</v>
      </c>
      <c r="R188" t="s">
        <v>175</v>
      </c>
      <c r="S188">
        <v>1284</v>
      </c>
      <c r="T188" t="s">
        <v>225</v>
      </c>
      <c r="U188" t="s">
        <v>293</v>
      </c>
      <c r="V188" t="s">
        <v>227</v>
      </c>
      <c r="W188" t="s">
        <v>141</v>
      </c>
      <c r="X188">
        <v>27968</v>
      </c>
      <c r="Y188" t="s">
        <v>178</v>
      </c>
      <c r="Z188" t="s">
        <v>143</v>
      </c>
      <c r="AA188" t="s">
        <v>143</v>
      </c>
      <c r="AB188" t="s">
        <v>157</v>
      </c>
      <c r="AC188" t="s">
        <v>158</v>
      </c>
      <c r="AD188">
        <v>18</v>
      </c>
      <c r="AE188">
        <v>90</v>
      </c>
      <c r="AF188">
        <v>17110</v>
      </c>
      <c r="AG188" t="s">
        <v>143</v>
      </c>
      <c r="AH188" t="s">
        <v>143</v>
      </c>
      <c r="AI188" t="s">
        <v>143</v>
      </c>
      <c r="AJ188" t="s">
        <v>143</v>
      </c>
      <c r="AK188" t="s">
        <v>143</v>
      </c>
      <c r="AL188" t="s">
        <v>147</v>
      </c>
      <c r="AM188">
        <v>2517.12</v>
      </c>
      <c r="AN188" t="s">
        <v>348</v>
      </c>
      <c r="AO188" t="s">
        <v>349</v>
      </c>
      <c r="AP188" t="s">
        <v>43</v>
      </c>
    </row>
    <row r="189" spans="1:42" x14ac:dyDescent="0.3">
      <c r="A189" t="s">
        <v>39</v>
      </c>
      <c r="B189">
        <v>120</v>
      </c>
      <c r="C189" t="s">
        <v>40</v>
      </c>
      <c r="D189" t="s">
        <v>49</v>
      </c>
      <c r="E189" t="s">
        <v>984</v>
      </c>
      <c r="F189" t="s">
        <v>45</v>
      </c>
      <c r="G189" t="s">
        <v>43</v>
      </c>
      <c r="H189" t="s">
        <v>51</v>
      </c>
      <c r="I189">
        <v>38006</v>
      </c>
      <c r="J189" t="s">
        <v>49</v>
      </c>
      <c r="K189">
        <v>6</v>
      </c>
      <c r="L189" t="s">
        <v>146</v>
      </c>
      <c r="M189">
        <v>1</v>
      </c>
      <c r="N189" t="s">
        <v>134</v>
      </c>
      <c r="O189" t="s">
        <v>424</v>
      </c>
      <c r="P189">
        <v>7700</v>
      </c>
      <c r="Q189" t="s">
        <v>49</v>
      </c>
      <c r="R189" t="s">
        <v>197</v>
      </c>
      <c r="S189">
        <v>7700</v>
      </c>
      <c r="T189" t="s">
        <v>49</v>
      </c>
      <c r="U189" t="s">
        <v>592</v>
      </c>
      <c r="V189" t="s">
        <v>593</v>
      </c>
      <c r="W189" t="s">
        <v>166</v>
      </c>
      <c r="X189">
        <v>2160</v>
      </c>
      <c r="Y189" t="s">
        <v>178</v>
      </c>
      <c r="Z189" t="s">
        <v>143</v>
      </c>
      <c r="AA189" t="s">
        <v>143</v>
      </c>
      <c r="AB189" t="s">
        <v>157</v>
      </c>
      <c r="AC189" t="s">
        <v>146</v>
      </c>
      <c r="AD189">
        <v>5</v>
      </c>
      <c r="AE189">
        <v>28</v>
      </c>
      <c r="AF189">
        <v>947</v>
      </c>
      <c r="AG189" t="s">
        <v>143</v>
      </c>
      <c r="AH189" t="s">
        <v>143</v>
      </c>
      <c r="AI189" t="s">
        <v>143</v>
      </c>
      <c r="AJ189" t="s">
        <v>143</v>
      </c>
      <c r="AK189" t="s">
        <v>143</v>
      </c>
      <c r="AL189" t="s">
        <v>147</v>
      </c>
      <c r="AM189">
        <v>60.48</v>
      </c>
      <c r="AN189" t="s">
        <v>594</v>
      </c>
      <c r="AO189" t="s">
        <v>595</v>
      </c>
      <c r="AP189" t="s">
        <v>43</v>
      </c>
    </row>
    <row r="190" spans="1:42" x14ac:dyDescent="0.3">
      <c r="A190" t="s">
        <v>39</v>
      </c>
      <c r="B190">
        <v>120</v>
      </c>
      <c r="C190" t="s">
        <v>40</v>
      </c>
      <c r="D190" t="s">
        <v>49</v>
      </c>
      <c r="E190" t="s">
        <v>984</v>
      </c>
      <c r="F190" t="s">
        <v>45</v>
      </c>
      <c r="G190" t="s">
        <v>43</v>
      </c>
      <c r="H190" t="s">
        <v>48</v>
      </c>
      <c r="I190">
        <v>23052</v>
      </c>
      <c r="J190" t="s">
        <v>49</v>
      </c>
      <c r="K190">
        <v>52</v>
      </c>
      <c r="L190" t="s">
        <v>985</v>
      </c>
      <c r="M190">
        <v>2</v>
      </c>
      <c r="N190" t="s">
        <v>134</v>
      </c>
      <c r="O190" t="s">
        <v>460</v>
      </c>
      <c r="P190">
        <v>1829</v>
      </c>
      <c r="Q190" t="s">
        <v>461</v>
      </c>
      <c r="R190" t="s">
        <v>462</v>
      </c>
      <c r="S190">
        <v>7700</v>
      </c>
      <c r="T190" t="s">
        <v>49</v>
      </c>
      <c r="U190" t="s">
        <v>330</v>
      </c>
      <c r="V190" t="s">
        <v>331</v>
      </c>
      <c r="W190" t="s">
        <v>141</v>
      </c>
      <c r="X190">
        <v>26660</v>
      </c>
      <c r="Y190" t="s">
        <v>178</v>
      </c>
      <c r="Z190" t="s">
        <v>143</v>
      </c>
      <c r="AA190" t="s">
        <v>143</v>
      </c>
      <c r="AB190" t="s">
        <v>145</v>
      </c>
      <c r="AC190" t="s">
        <v>158</v>
      </c>
      <c r="AD190">
        <v>13</v>
      </c>
      <c r="AE190">
        <v>70</v>
      </c>
      <c r="AF190">
        <v>10821</v>
      </c>
      <c r="AG190" t="s">
        <v>143</v>
      </c>
      <c r="AH190" t="s">
        <v>143</v>
      </c>
      <c r="AI190" t="s">
        <v>143</v>
      </c>
      <c r="AJ190" t="s">
        <v>143</v>
      </c>
      <c r="AK190" t="s">
        <v>143</v>
      </c>
      <c r="AL190" t="s">
        <v>147</v>
      </c>
      <c r="AM190">
        <v>1866.2</v>
      </c>
      <c r="AN190" t="s">
        <v>437</v>
      </c>
      <c r="AO190" t="s">
        <v>349</v>
      </c>
      <c r="AP190" t="s">
        <v>43</v>
      </c>
    </row>
    <row r="191" spans="1:42" x14ac:dyDescent="0.3">
      <c r="A191" t="s">
        <v>39</v>
      </c>
      <c r="B191">
        <v>120</v>
      </c>
      <c r="C191" t="s">
        <v>40</v>
      </c>
      <c r="D191" t="s">
        <v>49</v>
      </c>
      <c r="E191" t="s">
        <v>984</v>
      </c>
      <c r="F191" t="s">
        <v>45</v>
      </c>
      <c r="G191" t="s">
        <v>43</v>
      </c>
      <c r="H191" t="s">
        <v>48</v>
      </c>
      <c r="I191">
        <v>23045</v>
      </c>
      <c r="J191" t="s">
        <v>49</v>
      </c>
      <c r="K191">
        <v>45</v>
      </c>
      <c r="L191" t="s">
        <v>985</v>
      </c>
      <c r="M191">
        <v>2</v>
      </c>
      <c r="N191" t="s">
        <v>134</v>
      </c>
      <c r="O191" t="s">
        <v>596</v>
      </c>
      <c r="P191">
        <v>478</v>
      </c>
      <c r="Q191" t="s">
        <v>307</v>
      </c>
      <c r="R191" t="s">
        <v>308</v>
      </c>
      <c r="S191">
        <v>1061</v>
      </c>
      <c r="T191" t="s">
        <v>517</v>
      </c>
      <c r="U191" t="s">
        <v>597</v>
      </c>
      <c r="V191" t="s">
        <v>598</v>
      </c>
      <c r="W191" t="s">
        <v>141</v>
      </c>
      <c r="X191">
        <v>14677</v>
      </c>
      <c r="Y191" t="s">
        <v>178</v>
      </c>
      <c r="Z191" t="s">
        <v>144</v>
      </c>
      <c r="AA191" t="s">
        <v>143</v>
      </c>
      <c r="AB191" t="s">
        <v>145</v>
      </c>
      <c r="AC191" t="s">
        <v>158</v>
      </c>
      <c r="AD191">
        <v>55</v>
      </c>
      <c r="AE191">
        <v>316</v>
      </c>
      <c r="AF191">
        <v>892</v>
      </c>
      <c r="AG191" t="s">
        <v>143</v>
      </c>
      <c r="AH191" t="s">
        <v>143</v>
      </c>
      <c r="AI191" t="s">
        <v>143</v>
      </c>
      <c r="AJ191" t="s">
        <v>143</v>
      </c>
      <c r="AK191" t="s">
        <v>143</v>
      </c>
      <c r="AL191" t="s">
        <v>147</v>
      </c>
      <c r="AM191">
        <v>4637.93</v>
      </c>
      <c r="AN191" t="s">
        <v>250</v>
      </c>
      <c r="AO191" t="s">
        <v>50</v>
      </c>
      <c r="AP191" t="s">
        <v>43</v>
      </c>
    </row>
    <row r="192" spans="1:42" x14ac:dyDescent="0.3">
      <c r="A192" t="s">
        <v>39</v>
      </c>
      <c r="B192">
        <v>120</v>
      </c>
      <c r="C192" t="s">
        <v>40</v>
      </c>
      <c r="D192" t="s">
        <v>49</v>
      </c>
      <c r="E192" t="s">
        <v>984</v>
      </c>
      <c r="F192" t="s">
        <v>45</v>
      </c>
      <c r="G192" t="s">
        <v>43</v>
      </c>
      <c r="H192" t="s">
        <v>48</v>
      </c>
      <c r="I192">
        <v>32013</v>
      </c>
      <c r="J192" t="s">
        <v>49</v>
      </c>
      <c r="K192">
        <v>13</v>
      </c>
      <c r="L192" t="s">
        <v>146</v>
      </c>
      <c r="M192">
        <v>2</v>
      </c>
      <c r="N192" t="s">
        <v>134</v>
      </c>
      <c r="O192" t="s">
        <v>501</v>
      </c>
      <c r="P192">
        <v>7700</v>
      </c>
      <c r="Q192" t="s">
        <v>49</v>
      </c>
      <c r="R192" t="s">
        <v>599</v>
      </c>
      <c r="S192">
        <v>7700</v>
      </c>
      <c r="T192" t="s">
        <v>49</v>
      </c>
      <c r="U192" t="s">
        <v>248</v>
      </c>
      <c r="V192" t="s">
        <v>249</v>
      </c>
      <c r="W192" t="s">
        <v>166</v>
      </c>
      <c r="X192">
        <v>24442</v>
      </c>
      <c r="Y192" t="s">
        <v>178</v>
      </c>
      <c r="Z192" t="s">
        <v>144</v>
      </c>
      <c r="AA192" t="s">
        <v>143</v>
      </c>
      <c r="AB192" t="s">
        <v>157</v>
      </c>
      <c r="AC192" t="s">
        <v>146</v>
      </c>
      <c r="AD192">
        <v>78</v>
      </c>
      <c r="AE192">
        <v>445</v>
      </c>
      <c r="AF192">
        <v>867</v>
      </c>
      <c r="AG192" t="s">
        <v>143</v>
      </c>
      <c r="AH192" t="s">
        <v>143</v>
      </c>
      <c r="AI192" t="s">
        <v>143</v>
      </c>
      <c r="AJ192" t="s">
        <v>143</v>
      </c>
      <c r="AK192" t="s">
        <v>143</v>
      </c>
      <c r="AL192" t="s">
        <v>147</v>
      </c>
      <c r="AM192">
        <v>10876.69</v>
      </c>
      <c r="AN192" t="s">
        <v>250</v>
      </c>
      <c r="AO192" t="s">
        <v>50</v>
      </c>
      <c r="AP192" t="s">
        <v>43</v>
      </c>
    </row>
    <row r="193" spans="1:42" x14ac:dyDescent="0.3">
      <c r="A193" t="s">
        <v>39</v>
      </c>
      <c r="B193">
        <v>120</v>
      </c>
      <c r="C193" t="s">
        <v>40</v>
      </c>
      <c r="D193" t="s">
        <v>49</v>
      </c>
      <c r="E193" t="s">
        <v>984</v>
      </c>
      <c r="F193" t="s">
        <v>45</v>
      </c>
      <c r="G193" t="s">
        <v>43</v>
      </c>
      <c r="H193" t="s">
        <v>48</v>
      </c>
      <c r="I193">
        <v>37009</v>
      </c>
      <c r="J193" t="s">
        <v>49</v>
      </c>
      <c r="K193">
        <v>9</v>
      </c>
      <c r="L193" t="s">
        <v>146</v>
      </c>
      <c r="M193">
        <v>2</v>
      </c>
      <c r="N193" t="s">
        <v>160</v>
      </c>
      <c r="O193" t="s">
        <v>600</v>
      </c>
      <c r="P193">
        <v>1840</v>
      </c>
      <c r="Q193" t="s">
        <v>230</v>
      </c>
      <c r="R193" t="s">
        <v>360</v>
      </c>
      <c r="S193">
        <v>874</v>
      </c>
      <c r="T193" t="s">
        <v>235</v>
      </c>
      <c r="U193" t="s">
        <v>467</v>
      </c>
      <c r="V193" t="s">
        <v>470</v>
      </c>
      <c r="W193" t="s">
        <v>166</v>
      </c>
      <c r="X193">
        <v>15023</v>
      </c>
      <c r="Y193" t="s">
        <v>178</v>
      </c>
      <c r="Z193" t="s">
        <v>143</v>
      </c>
      <c r="AA193" t="s">
        <v>144</v>
      </c>
      <c r="AB193" t="s">
        <v>157</v>
      </c>
      <c r="AC193" t="s">
        <v>146</v>
      </c>
      <c r="AD193">
        <v>18</v>
      </c>
      <c r="AE193">
        <v>100</v>
      </c>
      <c r="AF193">
        <v>20682</v>
      </c>
      <c r="AG193" t="s">
        <v>143</v>
      </c>
      <c r="AH193" t="s">
        <v>143</v>
      </c>
      <c r="AI193" t="s">
        <v>143</v>
      </c>
      <c r="AJ193" t="s">
        <v>143</v>
      </c>
      <c r="AK193" t="s">
        <v>143</v>
      </c>
      <c r="AL193" t="s">
        <v>147</v>
      </c>
      <c r="AM193">
        <v>1502.3</v>
      </c>
      <c r="AN193" t="s">
        <v>323</v>
      </c>
      <c r="AO193" t="s">
        <v>50</v>
      </c>
      <c r="AP193" t="s">
        <v>43</v>
      </c>
    </row>
    <row r="194" spans="1:42" x14ac:dyDescent="0.3">
      <c r="A194" t="s">
        <v>39</v>
      </c>
      <c r="B194">
        <v>120</v>
      </c>
      <c r="C194" t="s">
        <v>40</v>
      </c>
      <c r="D194" t="s">
        <v>55</v>
      </c>
      <c r="E194" t="s">
        <v>984</v>
      </c>
      <c r="F194" t="s">
        <v>45</v>
      </c>
      <c r="G194" t="s">
        <v>43</v>
      </c>
      <c r="H194" t="s">
        <v>46</v>
      </c>
      <c r="I194">
        <v>36083</v>
      </c>
      <c r="J194" t="s">
        <v>55</v>
      </c>
      <c r="K194">
        <v>83</v>
      </c>
      <c r="L194" t="s">
        <v>146</v>
      </c>
      <c r="M194">
        <v>2</v>
      </c>
      <c r="N194" t="s">
        <v>134</v>
      </c>
      <c r="O194" t="s">
        <v>386</v>
      </c>
      <c r="P194">
        <v>6700</v>
      </c>
      <c r="Q194" t="s">
        <v>55</v>
      </c>
      <c r="R194" t="s">
        <v>601</v>
      </c>
      <c r="S194">
        <v>6700</v>
      </c>
      <c r="T194" t="s">
        <v>55</v>
      </c>
      <c r="U194" t="s">
        <v>570</v>
      </c>
      <c r="V194" t="s">
        <v>602</v>
      </c>
      <c r="W194" t="s">
        <v>166</v>
      </c>
      <c r="X194">
        <v>6315</v>
      </c>
      <c r="Y194" t="s">
        <v>156</v>
      </c>
      <c r="Z194" t="s">
        <v>143</v>
      </c>
      <c r="AA194" t="s">
        <v>144</v>
      </c>
      <c r="AB194" t="s">
        <v>157</v>
      </c>
      <c r="AC194" t="s">
        <v>146</v>
      </c>
      <c r="AD194">
        <v>2</v>
      </c>
      <c r="AE194">
        <v>7</v>
      </c>
      <c r="AF194">
        <v>15685</v>
      </c>
      <c r="AG194" t="s">
        <v>143</v>
      </c>
      <c r="AH194" t="s">
        <v>143</v>
      </c>
      <c r="AI194" t="s">
        <v>143</v>
      </c>
      <c r="AJ194" t="s">
        <v>143</v>
      </c>
      <c r="AK194" t="s">
        <v>143</v>
      </c>
      <c r="AL194" t="s">
        <v>147</v>
      </c>
      <c r="AM194">
        <v>44.21</v>
      </c>
      <c r="AN194" t="s">
        <v>417</v>
      </c>
      <c r="AO194" t="s">
        <v>159</v>
      </c>
      <c r="AP194" t="s">
        <v>43</v>
      </c>
    </row>
    <row r="195" spans="1:42" x14ac:dyDescent="0.3">
      <c r="A195" t="s">
        <v>39</v>
      </c>
      <c r="B195">
        <v>120</v>
      </c>
      <c r="C195" t="s">
        <v>40</v>
      </c>
      <c r="D195" t="s">
        <v>55</v>
      </c>
      <c r="E195" t="s">
        <v>984</v>
      </c>
      <c r="F195" t="s">
        <v>45</v>
      </c>
      <c r="G195" t="s">
        <v>43</v>
      </c>
      <c r="H195" t="s">
        <v>46</v>
      </c>
      <c r="I195">
        <v>43085</v>
      </c>
      <c r="J195" t="s">
        <v>55</v>
      </c>
      <c r="K195">
        <v>85</v>
      </c>
      <c r="L195" t="s">
        <v>158</v>
      </c>
      <c r="M195">
        <v>1</v>
      </c>
      <c r="N195" t="s">
        <v>134</v>
      </c>
      <c r="O195" t="s">
        <v>375</v>
      </c>
      <c r="P195">
        <v>6700</v>
      </c>
      <c r="Q195" t="s">
        <v>55</v>
      </c>
      <c r="R195" t="s">
        <v>603</v>
      </c>
      <c r="S195">
        <v>65</v>
      </c>
      <c r="T195" t="s">
        <v>421</v>
      </c>
      <c r="U195" t="s">
        <v>604</v>
      </c>
      <c r="V195" t="s">
        <v>423</v>
      </c>
      <c r="W195" t="s">
        <v>141</v>
      </c>
      <c r="X195">
        <v>15266</v>
      </c>
      <c r="Y195" t="s">
        <v>156</v>
      </c>
      <c r="Z195" t="s">
        <v>143</v>
      </c>
      <c r="AA195" t="s">
        <v>143</v>
      </c>
      <c r="AB195" t="s">
        <v>157</v>
      </c>
      <c r="AC195" t="s">
        <v>158</v>
      </c>
      <c r="AD195">
        <v>2</v>
      </c>
      <c r="AE195">
        <v>10</v>
      </c>
      <c r="AF195">
        <v>15771</v>
      </c>
      <c r="AG195" t="s">
        <v>143</v>
      </c>
      <c r="AH195" t="s">
        <v>143</v>
      </c>
      <c r="AI195" t="s">
        <v>143</v>
      </c>
      <c r="AJ195" t="s">
        <v>143</v>
      </c>
      <c r="AK195" t="s">
        <v>143</v>
      </c>
      <c r="AL195" t="s">
        <v>147</v>
      </c>
      <c r="AM195">
        <v>152.66</v>
      </c>
      <c r="AN195" t="s">
        <v>417</v>
      </c>
      <c r="AO195" t="s">
        <v>159</v>
      </c>
      <c r="AP195" t="s">
        <v>43</v>
      </c>
    </row>
    <row r="196" spans="1:42" x14ac:dyDescent="0.3">
      <c r="A196" t="s">
        <v>39</v>
      </c>
      <c r="B196">
        <v>120</v>
      </c>
      <c r="C196" t="s">
        <v>40</v>
      </c>
      <c r="D196" t="s">
        <v>55</v>
      </c>
      <c r="E196" t="s">
        <v>984</v>
      </c>
      <c r="F196" t="s">
        <v>45</v>
      </c>
      <c r="G196" t="s">
        <v>43</v>
      </c>
      <c r="H196" t="s">
        <v>44</v>
      </c>
      <c r="I196">
        <v>22053</v>
      </c>
      <c r="J196" t="s">
        <v>55</v>
      </c>
      <c r="K196">
        <v>53</v>
      </c>
      <c r="L196" t="s">
        <v>158</v>
      </c>
      <c r="M196">
        <v>2</v>
      </c>
      <c r="N196" t="s">
        <v>134</v>
      </c>
      <c r="O196" t="s">
        <v>434</v>
      </c>
      <c r="P196">
        <v>530</v>
      </c>
      <c r="Q196" t="s">
        <v>605</v>
      </c>
      <c r="R196" t="s">
        <v>606</v>
      </c>
      <c r="S196">
        <v>1821</v>
      </c>
      <c r="T196" t="s">
        <v>419</v>
      </c>
      <c r="U196" t="s">
        <v>607</v>
      </c>
      <c r="V196" t="s">
        <v>573</v>
      </c>
      <c r="W196" t="s">
        <v>141</v>
      </c>
      <c r="X196">
        <v>36971</v>
      </c>
      <c r="Y196" t="s">
        <v>178</v>
      </c>
      <c r="Z196" t="s">
        <v>143</v>
      </c>
      <c r="AA196" t="s">
        <v>143</v>
      </c>
      <c r="AB196" t="s">
        <v>157</v>
      </c>
      <c r="AC196" t="s">
        <v>158</v>
      </c>
      <c r="AD196">
        <v>7</v>
      </c>
      <c r="AE196">
        <v>37</v>
      </c>
      <c r="AF196">
        <v>15613</v>
      </c>
      <c r="AG196" t="s">
        <v>143</v>
      </c>
      <c r="AH196" t="s">
        <v>143</v>
      </c>
      <c r="AI196" t="s">
        <v>143</v>
      </c>
      <c r="AJ196" t="s">
        <v>143</v>
      </c>
      <c r="AK196" t="s">
        <v>143</v>
      </c>
      <c r="AL196" t="s">
        <v>147</v>
      </c>
      <c r="AM196">
        <v>1367.93</v>
      </c>
      <c r="AN196" t="s">
        <v>417</v>
      </c>
      <c r="AO196" t="s">
        <v>608</v>
      </c>
      <c r="AP196" t="s">
        <v>43</v>
      </c>
    </row>
    <row r="197" spans="1:42" x14ac:dyDescent="0.3">
      <c r="A197" t="s">
        <v>39</v>
      </c>
      <c r="B197">
        <v>120</v>
      </c>
      <c r="C197" t="s">
        <v>40</v>
      </c>
      <c r="D197" t="s">
        <v>55</v>
      </c>
      <c r="E197" t="s">
        <v>984</v>
      </c>
      <c r="F197" t="s">
        <v>45</v>
      </c>
      <c r="G197" t="s">
        <v>43</v>
      </c>
      <c r="H197" t="s">
        <v>47</v>
      </c>
      <c r="I197">
        <v>31027</v>
      </c>
      <c r="J197" t="s">
        <v>55</v>
      </c>
      <c r="K197">
        <v>27</v>
      </c>
      <c r="L197" t="s">
        <v>985</v>
      </c>
      <c r="M197">
        <v>2</v>
      </c>
      <c r="N197" t="s">
        <v>134</v>
      </c>
      <c r="O197" t="s">
        <v>188</v>
      </c>
      <c r="P197">
        <v>1711</v>
      </c>
      <c r="Q197" t="s">
        <v>609</v>
      </c>
      <c r="R197" t="s">
        <v>609</v>
      </c>
      <c r="S197">
        <v>9200</v>
      </c>
      <c r="T197" t="s">
        <v>520</v>
      </c>
      <c r="U197" t="s">
        <v>610</v>
      </c>
      <c r="V197" t="s">
        <v>611</v>
      </c>
      <c r="W197" t="s">
        <v>141</v>
      </c>
      <c r="X197">
        <v>27200</v>
      </c>
      <c r="Y197" t="s">
        <v>142</v>
      </c>
      <c r="Z197" t="s">
        <v>143</v>
      </c>
      <c r="AA197" t="s">
        <v>143</v>
      </c>
      <c r="AB197" t="s">
        <v>157</v>
      </c>
      <c r="AC197" t="s">
        <v>158</v>
      </c>
      <c r="AD197">
        <v>3</v>
      </c>
      <c r="AE197">
        <v>15</v>
      </c>
      <c r="AF197">
        <v>19921</v>
      </c>
      <c r="AG197" t="s">
        <v>143</v>
      </c>
      <c r="AH197" t="s">
        <v>143</v>
      </c>
      <c r="AI197" t="s">
        <v>143</v>
      </c>
      <c r="AJ197" t="s">
        <v>143</v>
      </c>
      <c r="AK197" t="s">
        <v>143</v>
      </c>
      <c r="AL197" t="s">
        <v>147</v>
      </c>
      <c r="AM197">
        <v>408</v>
      </c>
      <c r="AN197" t="s">
        <v>612</v>
      </c>
      <c r="AO197" t="s">
        <v>217</v>
      </c>
      <c r="AP197" t="s">
        <v>43</v>
      </c>
    </row>
    <row r="198" spans="1:42" x14ac:dyDescent="0.3">
      <c r="A198" t="s">
        <v>39</v>
      </c>
      <c r="B198">
        <v>120</v>
      </c>
      <c r="C198" t="s">
        <v>40</v>
      </c>
      <c r="D198" t="s">
        <v>55</v>
      </c>
      <c r="E198" t="s">
        <v>984</v>
      </c>
      <c r="F198" t="s">
        <v>45</v>
      </c>
      <c r="G198" t="s">
        <v>43</v>
      </c>
      <c r="H198" t="s">
        <v>47</v>
      </c>
      <c r="I198">
        <v>31027</v>
      </c>
      <c r="J198" t="s">
        <v>55</v>
      </c>
      <c r="K198">
        <v>27</v>
      </c>
      <c r="L198" t="s">
        <v>985</v>
      </c>
      <c r="M198">
        <v>1</v>
      </c>
      <c r="N198" t="s">
        <v>134</v>
      </c>
      <c r="O198" t="s">
        <v>188</v>
      </c>
      <c r="P198">
        <v>9200</v>
      </c>
      <c r="Q198" t="s">
        <v>520</v>
      </c>
      <c r="R198" t="s">
        <v>613</v>
      </c>
      <c r="S198">
        <v>1711</v>
      </c>
      <c r="T198" t="s">
        <v>609</v>
      </c>
      <c r="U198" t="s">
        <v>609</v>
      </c>
      <c r="V198" t="s">
        <v>614</v>
      </c>
      <c r="W198" t="s">
        <v>141</v>
      </c>
      <c r="X198">
        <v>27335</v>
      </c>
      <c r="Y198" t="s">
        <v>142</v>
      </c>
      <c r="Z198" t="s">
        <v>143</v>
      </c>
      <c r="AA198" t="s">
        <v>143</v>
      </c>
      <c r="AB198" t="s">
        <v>157</v>
      </c>
      <c r="AC198" t="s">
        <v>158</v>
      </c>
      <c r="AD198">
        <v>3</v>
      </c>
      <c r="AE198">
        <v>15</v>
      </c>
      <c r="AF198">
        <v>19920</v>
      </c>
      <c r="AG198" t="s">
        <v>143</v>
      </c>
      <c r="AH198" t="s">
        <v>143</v>
      </c>
      <c r="AI198" t="s">
        <v>143</v>
      </c>
      <c r="AJ198" t="s">
        <v>143</v>
      </c>
      <c r="AK198" t="s">
        <v>143</v>
      </c>
      <c r="AL198" t="s">
        <v>147</v>
      </c>
      <c r="AM198">
        <v>410.03</v>
      </c>
      <c r="AN198" t="s">
        <v>612</v>
      </c>
      <c r="AO198" t="s">
        <v>615</v>
      </c>
      <c r="AP198" t="s">
        <v>43</v>
      </c>
    </row>
    <row r="199" spans="1:42" x14ac:dyDescent="0.3">
      <c r="A199" t="s">
        <v>39</v>
      </c>
      <c r="B199">
        <v>120</v>
      </c>
      <c r="C199" t="s">
        <v>40</v>
      </c>
      <c r="D199" t="s">
        <v>55</v>
      </c>
      <c r="E199" t="s">
        <v>984</v>
      </c>
      <c r="F199" t="s">
        <v>45</v>
      </c>
      <c r="G199" t="s">
        <v>43</v>
      </c>
      <c r="H199" t="s">
        <v>51</v>
      </c>
      <c r="I199">
        <v>10432</v>
      </c>
      <c r="J199" t="s">
        <v>55</v>
      </c>
      <c r="K199">
        <v>432</v>
      </c>
      <c r="L199" t="s">
        <v>158</v>
      </c>
      <c r="M199">
        <v>1</v>
      </c>
      <c r="N199" t="s">
        <v>134</v>
      </c>
      <c r="O199" t="s">
        <v>616</v>
      </c>
      <c r="P199">
        <v>4000</v>
      </c>
      <c r="Q199" t="s">
        <v>189</v>
      </c>
      <c r="R199" t="s">
        <v>252</v>
      </c>
      <c r="S199">
        <v>305</v>
      </c>
      <c r="T199" t="s">
        <v>617</v>
      </c>
      <c r="U199" t="s">
        <v>618</v>
      </c>
      <c r="V199" t="s">
        <v>619</v>
      </c>
      <c r="W199" t="s">
        <v>141</v>
      </c>
      <c r="X199">
        <v>86949</v>
      </c>
      <c r="Y199" t="s">
        <v>178</v>
      </c>
      <c r="Z199" t="s">
        <v>143</v>
      </c>
      <c r="AA199" t="s">
        <v>143</v>
      </c>
      <c r="AB199" t="s">
        <v>157</v>
      </c>
      <c r="AC199" t="s">
        <v>158</v>
      </c>
      <c r="AD199">
        <v>1</v>
      </c>
      <c r="AE199">
        <v>5</v>
      </c>
      <c r="AF199">
        <v>15901</v>
      </c>
      <c r="AG199" t="s">
        <v>143</v>
      </c>
      <c r="AH199" t="s">
        <v>143</v>
      </c>
      <c r="AI199" t="s">
        <v>143</v>
      </c>
      <c r="AJ199" t="s">
        <v>143</v>
      </c>
      <c r="AK199" t="s">
        <v>143</v>
      </c>
      <c r="AL199" t="s">
        <v>147</v>
      </c>
      <c r="AM199">
        <v>434.75</v>
      </c>
      <c r="AN199" t="s">
        <v>417</v>
      </c>
      <c r="AO199" t="s">
        <v>620</v>
      </c>
      <c r="AP199" t="s">
        <v>43</v>
      </c>
    </row>
    <row r="200" spans="1:42" x14ac:dyDescent="0.3">
      <c r="A200" t="s">
        <v>39</v>
      </c>
      <c r="B200">
        <v>120</v>
      </c>
      <c r="C200" t="s">
        <v>40</v>
      </c>
      <c r="D200" t="s">
        <v>55</v>
      </c>
      <c r="E200" t="s">
        <v>984</v>
      </c>
      <c r="F200" t="s">
        <v>45</v>
      </c>
      <c r="G200" t="s">
        <v>43</v>
      </c>
      <c r="H200" t="s">
        <v>46</v>
      </c>
      <c r="I200">
        <v>26030</v>
      </c>
      <c r="J200" t="s">
        <v>55</v>
      </c>
      <c r="K200">
        <v>30</v>
      </c>
      <c r="L200" t="s">
        <v>158</v>
      </c>
      <c r="M200">
        <v>2</v>
      </c>
      <c r="N200" t="s">
        <v>168</v>
      </c>
      <c r="O200" t="s">
        <v>553</v>
      </c>
      <c r="P200">
        <v>7700</v>
      </c>
      <c r="Q200" t="s">
        <v>49</v>
      </c>
      <c r="R200" t="s">
        <v>197</v>
      </c>
      <c r="S200">
        <v>6700</v>
      </c>
      <c r="T200" t="s">
        <v>55</v>
      </c>
      <c r="U200" t="s">
        <v>426</v>
      </c>
      <c r="V200" t="s">
        <v>433</v>
      </c>
      <c r="W200" t="s">
        <v>141</v>
      </c>
      <c r="X200">
        <v>56310</v>
      </c>
      <c r="Y200" t="s">
        <v>178</v>
      </c>
      <c r="Z200" t="s">
        <v>143</v>
      </c>
      <c r="AA200" t="s">
        <v>143</v>
      </c>
      <c r="AB200" t="s">
        <v>157</v>
      </c>
      <c r="AC200" t="s">
        <v>158</v>
      </c>
      <c r="AD200">
        <v>6</v>
      </c>
      <c r="AE200">
        <v>32</v>
      </c>
      <c r="AF200">
        <v>15735</v>
      </c>
      <c r="AG200" t="s">
        <v>143</v>
      </c>
      <c r="AH200" t="s">
        <v>143</v>
      </c>
      <c r="AI200" t="s">
        <v>143</v>
      </c>
      <c r="AJ200" t="s">
        <v>143</v>
      </c>
      <c r="AK200" t="s">
        <v>143</v>
      </c>
      <c r="AL200" t="s">
        <v>147</v>
      </c>
      <c r="AM200">
        <v>1801.92</v>
      </c>
      <c r="AN200" t="s">
        <v>417</v>
      </c>
      <c r="AO200" t="s">
        <v>42</v>
      </c>
      <c r="AP200" t="s">
        <v>43</v>
      </c>
    </row>
    <row r="201" spans="1:42" x14ac:dyDescent="0.3">
      <c r="A201" t="s">
        <v>39</v>
      </c>
      <c r="B201">
        <v>120</v>
      </c>
      <c r="C201" t="s">
        <v>40</v>
      </c>
      <c r="D201" t="s">
        <v>55</v>
      </c>
      <c r="E201" t="s">
        <v>984</v>
      </c>
      <c r="F201" t="s">
        <v>45</v>
      </c>
      <c r="G201" t="s">
        <v>43</v>
      </c>
      <c r="H201" t="s">
        <v>48</v>
      </c>
      <c r="I201">
        <v>22033</v>
      </c>
      <c r="J201" t="s">
        <v>55</v>
      </c>
      <c r="K201">
        <v>33</v>
      </c>
      <c r="L201" t="s">
        <v>985</v>
      </c>
      <c r="M201">
        <v>2</v>
      </c>
      <c r="N201" t="s">
        <v>134</v>
      </c>
      <c r="O201" t="s">
        <v>621</v>
      </c>
      <c r="P201">
        <v>508</v>
      </c>
      <c r="Q201" t="s">
        <v>622</v>
      </c>
      <c r="R201" t="s">
        <v>623</v>
      </c>
      <c r="S201">
        <v>6700</v>
      </c>
      <c r="T201" t="s">
        <v>55</v>
      </c>
      <c r="U201" t="s">
        <v>426</v>
      </c>
      <c r="V201" t="s">
        <v>433</v>
      </c>
      <c r="W201" t="s">
        <v>141</v>
      </c>
      <c r="X201">
        <v>36321</v>
      </c>
      <c r="Y201" t="s">
        <v>178</v>
      </c>
      <c r="Z201" t="s">
        <v>143</v>
      </c>
      <c r="AA201" t="s">
        <v>143</v>
      </c>
      <c r="AB201" t="s">
        <v>157</v>
      </c>
      <c r="AC201" t="s">
        <v>158</v>
      </c>
      <c r="AD201">
        <v>6</v>
      </c>
      <c r="AE201">
        <v>36</v>
      </c>
      <c r="AF201">
        <v>20257</v>
      </c>
      <c r="AG201" t="s">
        <v>143</v>
      </c>
      <c r="AH201" t="s">
        <v>143</v>
      </c>
      <c r="AI201" t="s">
        <v>143</v>
      </c>
      <c r="AJ201" t="s">
        <v>143</v>
      </c>
      <c r="AK201" t="s">
        <v>143</v>
      </c>
      <c r="AL201" t="s">
        <v>147</v>
      </c>
      <c r="AM201">
        <v>1307.56</v>
      </c>
      <c r="AN201" t="s">
        <v>186</v>
      </c>
      <c r="AO201" t="s">
        <v>50</v>
      </c>
      <c r="AP201" t="s">
        <v>43</v>
      </c>
    </row>
    <row r="202" spans="1:42" x14ac:dyDescent="0.3">
      <c r="A202" t="s">
        <v>39</v>
      </c>
      <c r="B202">
        <v>120</v>
      </c>
      <c r="C202" t="s">
        <v>40</v>
      </c>
      <c r="D202" t="s">
        <v>49</v>
      </c>
      <c r="E202" t="s">
        <v>984</v>
      </c>
      <c r="F202" t="s">
        <v>45</v>
      </c>
      <c r="G202" t="s">
        <v>43</v>
      </c>
      <c r="H202" t="s">
        <v>48</v>
      </c>
      <c r="I202">
        <v>50006</v>
      </c>
      <c r="J202" t="s">
        <v>49</v>
      </c>
      <c r="K202">
        <v>6</v>
      </c>
      <c r="L202" t="s">
        <v>146</v>
      </c>
      <c r="M202">
        <v>2</v>
      </c>
      <c r="N202" t="s">
        <v>134</v>
      </c>
      <c r="O202" t="s">
        <v>424</v>
      </c>
      <c r="P202">
        <v>132</v>
      </c>
      <c r="Q202" t="s">
        <v>454</v>
      </c>
      <c r="R202" t="s">
        <v>455</v>
      </c>
      <c r="S202">
        <v>874</v>
      </c>
      <c r="T202" t="s">
        <v>235</v>
      </c>
      <c r="U202" t="s">
        <v>304</v>
      </c>
      <c r="V202" t="s">
        <v>305</v>
      </c>
      <c r="W202" t="s">
        <v>166</v>
      </c>
      <c r="X202">
        <v>15028</v>
      </c>
      <c r="Y202" t="s">
        <v>178</v>
      </c>
      <c r="Z202" t="s">
        <v>143</v>
      </c>
      <c r="AA202" t="s">
        <v>144</v>
      </c>
      <c r="AB202" t="s">
        <v>157</v>
      </c>
      <c r="AC202" t="s">
        <v>146</v>
      </c>
      <c r="AD202">
        <v>28</v>
      </c>
      <c r="AE202">
        <v>152</v>
      </c>
      <c r="AF202">
        <v>17854</v>
      </c>
      <c r="AG202" t="s">
        <v>143</v>
      </c>
      <c r="AH202" t="s">
        <v>143</v>
      </c>
      <c r="AI202" t="s">
        <v>143</v>
      </c>
      <c r="AJ202" t="s">
        <v>143</v>
      </c>
      <c r="AK202" t="s">
        <v>143</v>
      </c>
      <c r="AL202" t="s">
        <v>147</v>
      </c>
      <c r="AM202">
        <v>2284.2600000000002</v>
      </c>
      <c r="AN202" t="s">
        <v>302</v>
      </c>
      <c r="AO202" t="s">
        <v>50</v>
      </c>
      <c r="AP202" t="s">
        <v>43</v>
      </c>
    </row>
    <row r="203" spans="1:42" x14ac:dyDescent="0.3">
      <c r="A203" t="s">
        <v>39</v>
      </c>
      <c r="B203">
        <v>120</v>
      </c>
      <c r="C203" t="s">
        <v>40</v>
      </c>
      <c r="D203" t="s">
        <v>49</v>
      </c>
      <c r="E203" t="s">
        <v>984</v>
      </c>
      <c r="F203" t="s">
        <v>42</v>
      </c>
      <c r="G203" t="s">
        <v>43</v>
      </c>
      <c r="H203" t="s">
        <v>44</v>
      </c>
      <c r="I203">
        <v>24067</v>
      </c>
      <c r="J203" t="s">
        <v>49</v>
      </c>
      <c r="K203">
        <v>67</v>
      </c>
      <c r="L203" t="s">
        <v>158</v>
      </c>
      <c r="M203">
        <v>2</v>
      </c>
      <c r="N203" t="s">
        <v>134</v>
      </c>
      <c r="O203" t="s">
        <v>624</v>
      </c>
      <c r="P203">
        <v>978</v>
      </c>
      <c r="Q203" t="s">
        <v>625</v>
      </c>
      <c r="R203" t="s">
        <v>626</v>
      </c>
      <c r="S203">
        <v>7700</v>
      </c>
      <c r="T203" t="s">
        <v>49</v>
      </c>
      <c r="U203" t="s">
        <v>248</v>
      </c>
      <c r="V203" t="s">
        <v>253</v>
      </c>
      <c r="W203" t="s">
        <v>141</v>
      </c>
      <c r="X203">
        <v>38019</v>
      </c>
      <c r="Y203" t="s">
        <v>178</v>
      </c>
      <c r="Z203" t="s">
        <v>143</v>
      </c>
      <c r="AA203" t="s">
        <v>143</v>
      </c>
      <c r="AB203" t="s">
        <v>157</v>
      </c>
      <c r="AC203" t="s">
        <v>158</v>
      </c>
      <c r="AD203">
        <v>6</v>
      </c>
      <c r="AE203">
        <v>36</v>
      </c>
      <c r="AF203">
        <v>18395</v>
      </c>
      <c r="AG203" t="s">
        <v>143</v>
      </c>
      <c r="AH203" t="s">
        <v>143</v>
      </c>
      <c r="AI203" t="s">
        <v>143</v>
      </c>
      <c r="AJ203" t="s">
        <v>143</v>
      </c>
      <c r="AK203" t="s">
        <v>143</v>
      </c>
      <c r="AL203" t="s">
        <v>147</v>
      </c>
      <c r="AM203">
        <v>1368.68</v>
      </c>
      <c r="AN203" t="s">
        <v>186</v>
      </c>
      <c r="AO203" t="s">
        <v>627</v>
      </c>
      <c r="AP203" t="s">
        <v>43</v>
      </c>
    </row>
    <row r="204" spans="1:42" x14ac:dyDescent="0.3">
      <c r="A204" t="s">
        <v>39</v>
      </c>
      <c r="B204">
        <v>120</v>
      </c>
      <c r="C204" t="s">
        <v>40</v>
      </c>
      <c r="D204" t="s">
        <v>49</v>
      </c>
      <c r="E204" t="s">
        <v>984</v>
      </c>
      <c r="F204" t="s">
        <v>42</v>
      </c>
      <c r="G204" t="s">
        <v>43</v>
      </c>
      <c r="H204" t="s">
        <v>47</v>
      </c>
      <c r="I204">
        <v>11412</v>
      </c>
      <c r="J204" t="s">
        <v>49</v>
      </c>
      <c r="K204">
        <v>412</v>
      </c>
      <c r="L204" t="s">
        <v>158</v>
      </c>
      <c r="M204">
        <v>2</v>
      </c>
      <c r="N204" t="s">
        <v>160</v>
      </c>
      <c r="O204" t="s">
        <v>628</v>
      </c>
      <c r="P204">
        <v>9200</v>
      </c>
      <c r="Q204" t="s">
        <v>520</v>
      </c>
      <c r="R204" t="s">
        <v>521</v>
      </c>
      <c r="S204">
        <v>7700</v>
      </c>
      <c r="T204" t="s">
        <v>49</v>
      </c>
      <c r="U204" t="s">
        <v>446</v>
      </c>
      <c r="V204" t="s">
        <v>242</v>
      </c>
      <c r="W204" t="s">
        <v>141</v>
      </c>
      <c r="X204">
        <v>35903</v>
      </c>
      <c r="Y204" t="s">
        <v>178</v>
      </c>
      <c r="Z204" t="s">
        <v>144</v>
      </c>
      <c r="AA204" t="s">
        <v>143</v>
      </c>
      <c r="AB204" t="s">
        <v>157</v>
      </c>
      <c r="AC204" t="s">
        <v>158</v>
      </c>
      <c r="AD204">
        <v>1</v>
      </c>
      <c r="AE204">
        <v>5</v>
      </c>
      <c r="AF204">
        <v>932</v>
      </c>
      <c r="AG204" t="s">
        <v>143</v>
      </c>
      <c r="AH204" t="s">
        <v>143</v>
      </c>
      <c r="AI204" t="s">
        <v>143</v>
      </c>
      <c r="AJ204" t="s">
        <v>143</v>
      </c>
      <c r="AK204" t="s">
        <v>143</v>
      </c>
      <c r="AL204" t="s">
        <v>147</v>
      </c>
      <c r="AM204">
        <v>179.52</v>
      </c>
      <c r="AN204" t="s">
        <v>250</v>
      </c>
      <c r="AO204" t="s">
        <v>587</v>
      </c>
      <c r="AP204" t="s">
        <v>43</v>
      </c>
    </row>
    <row r="205" spans="1:42" x14ac:dyDescent="0.3">
      <c r="A205" t="s">
        <v>39</v>
      </c>
      <c r="B205">
        <v>120</v>
      </c>
      <c r="C205" t="s">
        <v>40</v>
      </c>
      <c r="D205" t="s">
        <v>49</v>
      </c>
      <c r="E205" t="s">
        <v>984</v>
      </c>
      <c r="F205" t="s">
        <v>50</v>
      </c>
      <c r="G205" t="s">
        <v>43</v>
      </c>
      <c r="H205" t="s">
        <v>48</v>
      </c>
      <c r="I205">
        <v>10356</v>
      </c>
      <c r="J205" t="s">
        <v>49</v>
      </c>
      <c r="K205">
        <v>356</v>
      </c>
      <c r="L205" t="s">
        <v>158</v>
      </c>
      <c r="M205">
        <v>1</v>
      </c>
      <c r="N205" t="s">
        <v>134</v>
      </c>
      <c r="O205" t="s">
        <v>516</v>
      </c>
      <c r="P205">
        <v>7700</v>
      </c>
      <c r="Q205" t="s">
        <v>49</v>
      </c>
      <c r="R205" t="s">
        <v>197</v>
      </c>
      <c r="S205">
        <v>1061</v>
      </c>
      <c r="T205" t="s">
        <v>517</v>
      </c>
      <c r="U205" t="s">
        <v>518</v>
      </c>
      <c r="V205" t="s">
        <v>629</v>
      </c>
      <c r="W205" t="s">
        <v>141</v>
      </c>
      <c r="X205">
        <v>25119</v>
      </c>
      <c r="Y205" t="s">
        <v>178</v>
      </c>
      <c r="Z205" t="s">
        <v>143</v>
      </c>
      <c r="AA205" t="s">
        <v>143</v>
      </c>
      <c r="AB205" t="s">
        <v>157</v>
      </c>
      <c r="AC205" t="s">
        <v>158</v>
      </c>
      <c r="AD205">
        <v>35</v>
      </c>
      <c r="AE205">
        <v>195</v>
      </c>
      <c r="AF205">
        <v>916</v>
      </c>
      <c r="AG205" t="s">
        <v>143</v>
      </c>
      <c r="AH205" t="s">
        <v>143</v>
      </c>
      <c r="AI205" t="s">
        <v>143</v>
      </c>
      <c r="AJ205" t="s">
        <v>143</v>
      </c>
      <c r="AK205" t="s">
        <v>143</v>
      </c>
      <c r="AL205" t="s">
        <v>147</v>
      </c>
      <c r="AM205">
        <v>4898.21</v>
      </c>
      <c r="AN205" t="s">
        <v>250</v>
      </c>
      <c r="AO205" t="s">
        <v>50</v>
      </c>
      <c r="AP205" t="s">
        <v>43</v>
      </c>
    </row>
    <row r="206" spans="1:42" x14ac:dyDescent="0.3">
      <c r="A206" t="s">
        <v>39</v>
      </c>
      <c r="B206">
        <v>120</v>
      </c>
      <c r="C206" t="s">
        <v>40</v>
      </c>
      <c r="D206" t="s">
        <v>49</v>
      </c>
      <c r="E206" t="s">
        <v>984</v>
      </c>
      <c r="F206" t="s">
        <v>50</v>
      </c>
      <c r="G206" t="s">
        <v>43</v>
      </c>
      <c r="H206" t="s">
        <v>48</v>
      </c>
      <c r="I206">
        <v>10356</v>
      </c>
      <c r="J206" t="s">
        <v>49</v>
      </c>
      <c r="K206">
        <v>356</v>
      </c>
      <c r="L206" t="s">
        <v>158</v>
      </c>
      <c r="M206">
        <v>1</v>
      </c>
      <c r="N206" t="s">
        <v>160</v>
      </c>
      <c r="O206" t="s">
        <v>516</v>
      </c>
      <c r="P206">
        <v>7700</v>
      </c>
      <c r="Q206" t="s">
        <v>49</v>
      </c>
      <c r="R206" t="s">
        <v>309</v>
      </c>
      <c r="S206">
        <v>1061</v>
      </c>
      <c r="T206" t="s">
        <v>517</v>
      </c>
      <c r="U206" t="s">
        <v>518</v>
      </c>
      <c r="V206" t="s">
        <v>629</v>
      </c>
      <c r="W206" t="s">
        <v>141</v>
      </c>
      <c r="X206">
        <v>28545</v>
      </c>
      <c r="Y206" t="s">
        <v>178</v>
      </c>
      <c r="Z206" t="s">
        <v>143</v>
      </c>
      <c r="AA206" t="s">
        <v>143</v>
      </c>
      <c r="AB206" t="s">
        <v>157</v>
      </c>
      <c r="AC206" t="s">
        <v>158</v>
      </c>
      <c r="AD206">
        <v>0</v>
      </c>
      <c r="AE206">
        <v>5</v>
      </c>
      <c r="AF206">
        <v>917</v>
      </c>
      <c r="AG206" t="s">
        <v>143</v>
      </c>
      <c r="AH206" t="s">
        <v>143</v>
      </c>
      <c r="AI206" t="s">
        <v>143</v>
      </c>
      <c r="AJ206" t="s">
        <v>143</v>
      </c>
      <c r="AK206" t="s">
        <v>143</v>
      </c>
      <c r="AL206" t="s">
        <v>147</v>
      </c>
      <c r="AM206">
        <v>142.72999999999999</v>
      </c>
      <c r="AN206" t="s">
        <v>250</v>
      </c>
      <c r="AO206" t="s">
        <v>50</v>
      </c>
      <c r="AP206" t="s">
        <v>43</v>
      </c>
    </row>
    <row r="207" spans="1:42" x14ac:dyDescent="0.3">
      <c r="A207" t="s">
        <v>39</v>
      </c>
      <c r="B207">
        <v>120</v>
      </c>
      <c r="C207" t="s">
        <v>40</v>
      </c>
      <c r="D207" t="s">
        <v>49</v>
      </c>
      <c r="E207" t="s">
        <v>984</v>
      </c>
      <c r="F207" t="s">
        <v>50</v>
      </c>
      <c r="G207" t="s">
        <v>43</v>
      </c>
      <c r="H207" t="s">
        <v>48</v>
      </c>
      <c r="I207">
        <v>10356</v>
      </c>
      <c r="J207" t="s">
        <v>49</v>
      </c>
      <c r="K207">
        <v>356</v>
      </c>
      <c r="L207" t="s">
        <v>158</v>
      </c>
      <c r="M207">
        <v>2</v>
      </c>
      <c r="N207" t="s">
        <v>160</v>
      </c>
      <c r="O207" t="s">
        <v>516</v>
      </c>
      <c r="P207">
        <v>1061</v>
      </c>
      <c r="Q207" t="s">
        <v>517</v>
      </c>
      <c r="R207" t="s">
        <v>518</v>
      </c>
      <c r="S207">
        <v>7700</v>
      </c>
      <c r="T207" t="s">
        <v>49</v>
      </c>
      <c r="U207" t="s">
        <v>309</v>
      </c>
      <c r="V207" t="s">
        <v>242</v>
      </c>
      <c r="W207" t="s">
        <v>141</v>
      </c>
      <c r="X207">
        <v>28686</v>
      </c>
      <c r="Y207" t="s">
        <v>178</v>
      </c>
      <c r="Z207" t="s">
        <v>143</v>
      </c>
      <c r="AA207" t="s">
        <v>143</v>
      </c>
      <c r="AB207" t="s">
        <v>157</v>
      </c>
      <c r="AC207" t="s">
        <v>158</v>
      </c>
      <c r="AD207">
        <v>1</v>
      </c>
      <c r="AE207">
        <v>11</v>
      </c>
      <c r="AF207">
        <v>919</v>
      </c>
      <c r="AG207" t="s">
        <v>143</v>
      </c>
      <c r="AH207" t="s">
        <v>143</v>
      </c>
      <c r="AI207" t="s">
        <v>143</v>
      </c>
      <c r="AJ207" t="s">
        <v>143</v>
      </c>
      <c r="AK207" t="s">
        <v>143</v>
      </c>
      <c r="AL207" t="s">
        <v>147</v>
      </c>
      <c r="AM207">
        <v>315.55</v>
      </c>
      <c r="AN207" t="s">
        <v>250</v>
      </c>
      <c r="AO207" t="s">
        <v>50</v>
      </c>
      <c r="AP207" t="s">
        <v>43</v>
      </c>
    </row>
    <row r="208" spans="1:42" x14ac:dyDescent="0.3">
      <c r="A208" t="s">
        <v>39</v>
      </c>
      <c r="B208">
        <v>120</v>
      </c>
      <c r="C208" t="s">
        <v>40</v>
      </c>
      <c r="D208" t="s">
        <v>49</v>
      </c>
      <c r="E208" t="s">
        <v>984</v>
      </c>
      <c r="F208" t="s">
        <v>50</v>
      </c>
      <c r="G208" t="s">
        <v>43</v>
      </c>
      <c r="H208" t="s">
        <v>48</v>
      </c>
      <c r="I208">
        <v>11412</v>
      </c>
      <c r="J208" t="s">
        <v>49</v>
      </c>
      <c r="K208">
        <v>412</v>
      </c>
      <c r="L208" t="s">
        <v>158</v>
      </c>
      <c r="M208">
        <v>1</v>
      </c>
      <c r="N208" t="s">
        <v>134</v>
      </c>
      <c r="O208" t="s">
        <v>628</v>
      </c>
      <c r="P208">
        <v>7700</v>
      </c>
      <c r="Q208" t="s">
        <v>49</v>
      </c>
      <c r="R208" t="s">
        <v>197</v>
      </c>
      <c r="S208">
        <v>9200</v>
      </c>
      <c r="T208" t="s">
        <v>520</v>
      </c>
      <c r="U208" t="s">
        <v>630</v>
      </c>
      <c r="V208" t="s">
        <v>631</v>
      </c>
      <c r="W208" t="s">
        <v>141</v>
      </c>
      <c r="X208">
        <v>32549</v>
      </c>
      <c r="Y208" t="s">
        <v>178</v>
      </c>
      <c r="Z208" t="s">
        <v>144</v>
      </c>
      <c r="AA208" t="s">
        <v>143</v>
      </c>
      <c r="AB208" t="s">
        <v>157</v>
      </c>
      <c r="AC208" t="s">
        <v>158</v>
      </c>
      <c r="AD208">
        <v>30</v>
      </c>
      <c r="AE208">
        <v>178</v>
      </c>
      <c r="AF208">
        <v>927</v>
      </c>
      <c r="AG208" t="s">
        <v>143</v>
      </c>
      <c r="AH208" t="s">
        <v>143</v>
      </c>
      <c r="AI208" t="s">
        <v>143</v>
      </c>
      <c r="AJ208" t="s">
        <v>143</v>
      </c>
      <c r="AK208" t="s">
        <v>143</v>
      </c>
      <c r="AL208" t="s">
        <v>147</v>
      </c>
      <c r="AM208">
        <v>5793.72</v>
      </c>
      <c r="AN208" t="s">
        <v>250</v>
      </c>
      <c r="AO208" t="s">
        <v>50</v>
      </c>
      <c r="AP208" t="s">
        <v>43</v>
      </c>
    </row>
    <row r="209" spans="1:42" x14ac:dyDescent="0.3">
      <c r="A209" t="s">
        <v>39</v>
      </c>
      <c r="B209">
        <v>120</v>
      </c>
      <c r="C209" t="s">
        <v>40</v>
      </c>
      <c r="D209" t="s">
        <v>49</v>
      </c>
      <c r="E209" t="s">
        <v>984</v>
      </c>
      <c r="F209" t="s">
        <v>50</v>
      </c>
      <c r="G209" t="s">
        <v>43</v>
      </c>
      <c r="H209" t="s">
        <v>48</v>
      </c>
      <c r="I209">
        <v>11412</v>
      </c>
      <c r="J209" t="s">
        <v>49</v>
      </c>
      <c r="K209">
        <v>412</v>
      </c>
      <c r="L209" t="s">
        <v>158</v>
      </c>
      <c r="M209">
        <v>2</v>
      </c>
      <c r="N209" t="s">
        <v>134</v>
      </c>
      <c r="O209" t="s">
        <v>628</v>
      </c>
      <c r="P209">
        <v>9200</v>
      </c>
      <c r="Q209" t="s">
        <v>520</v>
      </c>
      <c r="R209" t="s">
        <v>521</v>
      </c>
      <c r="S209">
        <v>7700</v>
      </c>
      <c r="T209" t="s">
        <v>49</v>
      </c>
      <c r="U209" t="s">
        <v>248</v>
      </c>
      <c r="V209" t="s">
        <v>253</v>
      </c>
      <c r="W209" t="s">
        <v>141</v>
      </c>
      <c r="X209">
        <v>32382</v>
      </c>
      <c r="Y209" t="s">
        <v>178</v>
      </c>
      <c r="Z209" t="s">
        <v>144</v>
      </c>
      <c r="AA209" t="s">
        <v>143</v>
      </c>
      <c r="AB209" t="s">
        <v>157</v>
      </c>
      <c r="AC209" t="s">
        <v>158</v>
      </c>
      <c r="AD209">
        <v>29</v>
      </c>
      <c r="AE209">
        <v>171</v>
      </c>
      <c r="AF209">
        <v>931</v>
      </c>
      <c r="AG209" t="s">
        <v>143</v>
      </c>
      <c r="AH209" t="s">
        <v>143</v>
      </c>
      <c r="AI209" t="s">
        <v>143</v>
      </c>
      <c r="AJ209" t="s">
        <v>143</v>
      </c>
      <c r="AK209" t="s">
        <v>143</v>
      </c>
      <c r="AL209" t="s">
        <v>147</v>
      </c>
      <c r="AM209">
        <v>5537.32</v>
      </c>
      <c r="AN209" t="s">
        <v>250</v>
      </c>
      <c r="AO209" t="s">
        <v>50</v>
      </c>
      <c r="AP209" t="s">
        <v>43</v>
      </c>
    </row>
    <row r="210" spans="1:42" x14ac:dyDescent="0.3">
      <c r="A210" t="s">
        <v>39</v>
      </c>
      <c r="B210">
        <v>120</v>
      </c>
      <c r="C210" t="s">
        <v>40</v>
      </c>
      <c r="D210" t="s">
        <v>55</v>
      </c>
      <c r="E210" t="s">
        <v>984</v>
      </c>
      <c r="F210" t="s">
        <v>57</v>
      </c>
      <c r="G210" t="s">
        <v>43</v>
      </c>
      <c r="H210" t="s">
        <v>46</v>
      </c>
      <c r="I210">
        <v>55080</v>
      </c>
      <c r="J210" t="s">
        <v>55</v>
      </c>
      <c r="K210">
        <v>80</v>
      </c>
      <c r="L210" t="s">
        <v>146</v>
      </c>
      <c r="M210">
        <v>2</v>
      </c>
      <c r="N210" t="s">
        <v>134</v>
      </c>
      <c r="O210" t="s">
        <v>632</v>
      </c>
      <c r="P210">
        <v>6700</v>
      </c>
      <c r="Q210" t="s">
        <v>55</v>
      </c>
      <c r="R210" t="s">
        <v>589</v>
      </c>
      <c r="S210">
        <v>6700</v>
      </c>
      <c r="T210" t="s">
        <v>55</v>
      </c>
      <c r="U210" t="s">
        <v>633</v>
      </c>
      <c r="V210" t="s">
        <v>634</v>
      </c>
      <c r="W210" t="s">
        <v>166</v>
      </c>
      <c r="X210">
        <v>10230</v>
      </c>
      <c r="Y210" t="s">
        <v>156</v>
      </c>
      <c r="Z210" t="s">
        <v>143</v>
      </c>
      <c r="AA210" t="s">
        <v>144</v>
      </c>
      <c r="AB210" t="s">
        <v>157</v>
      </c>
      <c r="AC210" t="s">
        <v>146</v>
      </c>
      <c r="AD210">
        <v>2</v>
      </c>
      <c r="AE210">
        <v>12</v>
      </c>
      <c r="AF210">
        <v>15710</v>
      </c>
      <c r="AG210" t="s">
        <v>143</v>
      </c>
      <c r="AH210" t="s">
        <v>143</v>
      </c>
      <c r="AI210" t="s">
        <v>143</v>
      </c>
      <c r="AJ210" t="s">
        <v>143</v>
      </c>
      <c r="AK210" t="s">
        <v>143</v>
      </c>
      <c r="AL210" t="s">
        <v>147</v>
      </c>
      <c r="AM210">
        <v>122.76</v>
      </c>
      <c r="AN210" t="s">
        <v>417</v>
      </c>
      <c r="AO210" t="s">
        <v>159</v>
      </c>
      <c r="AP210" t="s">
        <v>43</v>
      </c>
    </row>
    <row r="211" spans="1:42" x14ac:dyDescent="0.3">
      <c r="A211" t="s">
        <v>39</v>
      </c>
      <c r="B211">
        <v>120</v>
      </c>
      <c r="C211" t="s">
        <v>40</v>
      </c>
      <c r="D211" t="s">
        <v>55</v>
      </c>
      <c r="E211" t="s">
        <v>984</v>
      </c>
      <c r="F211" t="s">
        <v>57</v>
      </c>
      <c r="G211" t="s">
        <v>43</v>
      </c>
      <c r="H211" t="s">
        <v>46</v>
      </c>
      <c r="I211">
        <v>58081</v>
      </c>
      <c r="J211" t="s">
        <v>55</v>
      </c>
      <c r="K211">
        <v>81</v>
      </c>
      <c r="L211" t="s">
        <v>146</v>
      </c>
      <c r="M211">
        <v>2</v>
      </c>
      <c r="N211" t="s">
        <v>134</v>
      </c>
      <c r="O211" t="s">
        <v>371</v>
      </c>
      <c r="P211">
        <v>6700</v>
      </c>
      <c r="Q211" t="s">
        <v>55</v>
      </c>
      <c r="R211" t="s">
        <v>589</v>
      </c>
      <c r="S211">
        <v>6700</v>
      </c>
      <c r="T211" t="s">
        <v>55</v>
      </c>
      <c r="U211" t="s">
        <v>635</v>
      </c>
      <c r="V211" t="s">
        <v>636</v>
      </c>
      <c r="W211" t="s">
        <v>166</v>
      </c>
      <c r="X211">
        <v>7650</v>
      </c>
      <c r="Y211" t="s">
        <v>156</v>
      </c>
      <c r="Z211" t="s">
        <v>143</v>
      </c>
      <c r="AA211" t="s">
        <v>144</v>
      </c>
      <c r="AB211" t="s">
        <v>157</v>
      </c>
      <c r="AC211" t="s">
        <v>146</v>
      </c>
      <c r="AD211">
        <v>1</v>
      </c>
      <c r="AE211">
        <v>6</v>
      </c>
      <c r="AF211">
        <v>15712</v>
      </c>
      <c r="AG211" t="s">
        <v>143</v>
      </c>
      <c r="AH211" t="s">
        <v>143</v>
      </c>
      <c r="AI211" t="s">
        <v>143</v>
      </c>
      <c r="AJ211" t="s">
        <v>143</v>
      </c>
      <c r="AK211" t="s">
        <v>143</v>
      </c>
      <c r="AL211" t="s">
        <v>147</v>
      </c>
      <c r="AM211">
        <v>45.9</v>
      </c>
      <c r="AN211" t="s">
        <v>417</v>
      </c>
      <c r="AO211" t="s">
        <v>159</v>
      </c>
      <c r="AP211" t="s">
        <v>43</v>
      </c>
    </row>
    <row r="212" spans="1:42" x14ac:dyDescent="0.3">
      <c r="A212" t="s">
        <v>39</v>
      </c>
      <c r="B212">
        <v>120</v>
      </c>
      <c r="C212" t="s">
        <v>40</v>
      </c>
      <c r="D212" t="s">
        <v>55</v>
      </c>
      <c r="E212" t="s">
        <v>984</v>
      </c>
      <c r="F212" t="s">
        <v>50</v>
      </c>
      <c r="G212" t="s">
        <v>43</v>
      </c>
      <c r="H212" t="s">
        <v>48</v>
      </c>
      <c r="I212">
        <v>19039</v>
      </c>
      <c r="J212" t="s">
        <v>55</v>
      </c>
      <c r="K212">
        <v>39</v>
      </c>
      <c r="L212" t="s">
        <v>146</v>
      </c>
      <c r="M212">
        <v>1</v>
      </c>
      <c r="N212" t="s">
        <v>134</v>
      </c>
      <c r="O212" t="s">
        <v>637</v>
      </c>
      <c r="P212">
        <v>6700</v>
      </c>
      <c r="Q212" t="s">
        <v>55</v>
      </c>
      <c r="R212" t="s">
        <v>429</v>
      </c>
      <c r="S212">
        <v>330</v>
      </c>
      <c r="T212" t="s">
        <v>584</v>
      </c>
      <c r="U212" t="s">
        <v>585</v>
      </c>
      <c r="V212" t="s">
        <v>586</v>
      </c>
      <c r="W212" t="s">
        <v>166</v>
      </c>
      <c r="X212">
        <v>21356</v>
      </c>
      <c r="Y212" t="s">
        <v>178</v>
      </c>
      <c r="Z212" t="s">
        <v>143</v>
      </c>
      <c r="AA212" t="s">
        <v>144</v>
      </c>
      <c r="AB212" t="s">
        <v>157</v>
      </c>
      <c r="AC212" t="s">
        <v>146</v>
      </c>
      <c r="AD212">
        <v>13</v>
      </c>
      <c r="AE212">
        <v>76</v>
      </c>
      <c r="AF212">
        <v>15594</v>
      </c>
      <c r="AG212" t="s">
        <v>143</v>
      </c>
      <c r="AH212" t="s">
        <v>143</v>
      </c>
      <c r="AI212" t="s">
        <v>143</v>
      </c>
      <c r="AJ212" t="s">
        <v>143</v>
      </c>
      <c r="AK212" t="s">
        <v>143</v>
      </c>
      <c r="AL212" t="s">
        <v>147</v>
      </c>
      <c r="AM212">
        <v>1623.06</v>
      </c>
      <c r="AN212" t="s">
        <v>417</v>
      </c>
      <c r="AO212" t="s">
        <v>50</v>
      </c>
      <c r="AP212" t="s">
        <v>43</v>
      </c>
    </row>
    <row r="213" spans="1:42" x14ac:dyDescent="0.3">
      <c r="A213" t="s">
        <v>39</v>
      </c>
      <c r="B213">
        <v>120</v>
      </c>
      <c r="C213" t="s">
        <v>40</v>
      </c>
      <c r="D213" t="s">
        <v>55</v>
      </c>
      <c r="E213" t="s">
        <v>984</v>
      </c>
      <c r="F213" t="s">
        <v>50</v>
      </c>
      <c r="G213" t="s">
        <v>43</v>
      </c>
      <c r="H213" t="s">
        <v>48</v>
      </c>
      <c r="I213">
        <v>19039</v>
      </c>
      <c r="J213" t="s">
        <v>55</v>
      </c>
      <c r="K213">
        <v>39</v>
      </c>
      <c r="L213" t="s">
        <v>146</v>
      </c>
      <c r="M213">
        <v>2</v>
      </c>
      <c r="N213" t="s">
        <v>134</v>
      </c>
      <c r="O213" t="s">
        <v>637</v>
      </c>
      <c r="P213">
        <v>330</v>
      </c>
      <c r="Q213" t="s">
        <v>584</v>
      </c>
      <c r="R213" t="s">
        <v>585</v>
      </c>
      <c r="S213">
        <v>6700</v>
      </c>
      <c r="T213" t="s">
        <v>55</v>
      </c>
      <c r="U213" t="s">
        <v>426</v>
      </c>
      <c r="V213" t="s">
        <v>433</v>
      </c>
      <c r="W213" t="s">
        <v>166</v>
      </c>
      <c r="X213">
        <v>21372</v>
      </c>
      <c r="Y213" t="s">
        <v>178</v>
      </c>
      <c r="Z213" t="s">
        <v>143</v>
      </c>
      <c r="AA213" t="s">
        <v>144</v>
      </c>
      <c r="AB213" t="s">
        <v>157</v>
      </c>
      <c r="AC213" t="s">
        <v>146</v>
      </c>
      <c r="AD213">
        <v>10</v>
      </c>
      <c r="AE213">
        <v>59</v>
      </c>
      <c r="AF213">
        <v>15595</v>
      </c>
      <c r="AG213" t="s">
        <v>143</v>
      </c>
      <c r="AH213" t="s">
        <v>143</v>
      </c>
      <c r="AI213" t="s">
        <v>143</v>
      </c>
      <c r="AJ213" t="s">
        <v>143</v>
      </c>
      <c r="AK213" t="s">
        <v>143</v>
      </c>
      <c r="AL213" t="s">
        <v>147</v>
      </c>
      <c r="AM213">
        <v>1260.95</v>
      </c>
      <c r="AN213" t="s">
        <v>417</v>
      </c>
      <c r="AO213" t="s">
        <v>50</v>
      </c>
      <c r="AP213" t="s">
        <v>43</v>
      </c>
    </row>
    <row r="214" spans="1:42" x14ac:dyDescent="0.3">
      <c r="A214" t="s">
        <v>39</v>
      </c>
      <c r="B214">
        <v>120</v>
      </c>
      <c r="C214" t="s">
        <v>40</v>
      </c>
      <c r="D214" t="s">
        <v>55</v>
      </c>
      <c r="E214" t="s">
        <v>984</v>
      </c>
      <c r="F214" t="s">
        <v>50</v>
      </c>
      <c r="G214" t="s">
        <v>43</v>
      </c>
      <c r="H214" t="s">
        <v>48</v>
      </c>
      <c r="I214">
        <v>51021</v>
      </c>
      <c r="J214" t="s">
        <v>55</v>
      </c>
      <c r="K214">
        <v>21</v>
      </c>
      <c r="L214" t="s">
        <v>985</v>
      </c>
      <c r="M214">
        <v>1</v>
      </c>
      <c r="N214" t="s">
        <v>134</v>
      </c>
      <c r="O214" t="s">
        <v>271</v>
      </c>
      <c r="P214">
        <v>9200</v>
      </c>
      <c r="Q214" t="s">
        <v>520</v>
      </c>
      <c r="R214" t="s">
        <v>613</v>
      </c>
      <c r="S214">
        <v>2016</v>
      </c>
      <c r="T214" t="s">
        <v>638</v>
      </c>
      <c r="U214" t="s">
        <v>638</v>
      </c>
      <c r="V214" t="s">
        <v>639</v>
      </c>
      <c r="W214" t="s">
        <v>141</v>
      </c>
      <c r="X214">
        <v>16346</v>
      </c>
      <c r="Y214" t="s">
        <v>142</v>
      </c>
      <c r="Z214" t="s">
        <v>143</v>
      </c>
      <c r="AA214" t="s">
        <v>143</v>
      </c>
      <c r="AB214" t="s">
        <v>145</v>
      </c>
      <c r="AC214" t="s">
        <v>158</v>
      </c>
      <c r="AD214">
        <v>6</v>
      </c>
      <c r="AE214">
        <v>34</v>
      </c>
      <c r="AF214">
        <v>17843</v>
      </c>
      <c r="AG214" t="s">
        <v>143</v>
      </c>
      <c r="AH214" t="s">
        <v>143</v>
      </c>
      <c r="AI214" t="s">
        <v>143</v>
      </c>
      <c r="AJ214" t="s">
        <v>143</v>
      </c>
      <c r="AK214" t="s">
        <v>143</v>
      </c>
      <c r="AL214" t="s">
        <v>147</v>
      </c>
      <c r="AM214">
        <v>555.76</v>
      </c>
      <c r="AN214" t="s">
        <v>302</v>
      </c>
      <c r="AO214" t="s">
        <v>50</v>
      </c>
      <c r="AP214" t="s">
        <v>43</v>
      </c>
    </row>
    <row r="215" spans="1:42" x14ac:dyDescent="0.3">
      <c r="A215" t="s">
        <v>39</v>
      </c>
      <c r="B215">
        <v>120</v>
      </c>
      <c r="C215" t="s">
        <v>40</v>
      </c>
      <c r="D215" t="s">
        <v>55</v>
      </c>
      <c r="E215" t="s">
        <v>984</v>
      </c>
      <c r="F215" t="s">
        <v>50</v>
      </c>
      <c r="G215" t="s">
        <v>43</v>
      </c>
      <c r="H215" t="s">
        <v>48</v>
      </c>
      <c r="I215">
        <v>84001</v>
      </c>
      <c r="J215" t="s">
        <v>55</v>
      </c>
      <c r="K215">
        <v>1</v>
      </c>
      <c r="L215" t="s">
        <v>146</v>
      </c>
      <c r="M215">
        <v>2</v>
      </c>
      <c r="N215" t="s">
        <v>134</v>
      </c>
      <c r="O215" t="s">
        <v>160</v>
      </c>
      <c r="P215">
        <v>9200</v>
      </c>
      <c r="Q215" t="s">
        <v>520</v>
      </c>
      <c r="R215" t="s">
        <v>521</v>
      </c>
      <c r="S215">
        <v>9200</v>
      </c>
      <c r="T215" t="s">
        <v>520</v>
      </c>
      <c r="U215" t="s">
        <v>610</v>
      </c>
      <c r="V215" t="s">
        <v>640</v>
      </c>
      <c r="W215" t="s">
        <v>166</v>
      </c>
      <c r="X215">
        <v>8832</v>
      </c>
      <c r="Y215" t="s">
        <v>178</v>
      </c>
      <c r="Z215" t="s">
        <v>143</v>
      </c>
      <c r="AA215" t="s">
        <v>144</v>
      </c>
      <c r="AB215" t="s">
        <v>157</v>
      </c>
      <c r="AC215" t="s">
        <v>146</v>
      </c>
      <c r="AD215">
        <v>37</v>
      </c>
      <c r="AE215">
        <v>214</v>
      </c>
      <c r="AF215">
        <v>17841</v>
      </c>
      <c r="AG215" t="s">
        <v>143</v>
      </c>
      <c r="AH215" t="s">
        <v>143</v>
      </c>
      <c r="AI215" t="s">
        <v>143</v>
      </c>
      <c r="AJ215" t="s">
        <v>143</v>
      </c>
      <c r="AK215" t="s">
        <v>143</v>
      </c>
      <c r="AL215" t="s">
        <v>147</v>
      </c>
      <c r="AM215">
        <v>1890.05</v>
      </c>
      <c r="AN215" t="s">
        <v>302</v>
      </c>
      <c r="AO215" t="s">
        <v>50</v>
      </c>
      <c r="AP215" t="s">
        <v>43</v>
      </c>
    </row>
    <row r="216" spans="1:42" x14ac:dyDescent="0.3">
      <c r="A216" t="s">
        <v>39</v>
      </c>
      <c r="B216">
        <v>134</v>
      </c>
      <c r="C216" t="s">
        <v>58</v>
      </c>
      <c r="D216" t="s">
        <v>59</v>
      </c>
      <c r="E216" t="s">
        <v>987</v>
      </c>
      <c r="F216" t="s">
        <v>45</v>
      </c>
      <c r="G216" t="s">
        <v>43</v>
      </c>
      <c r="H216" t="s">
        <v>46</v>
      </c>
      <c r="I216">
        <v>10735</v>
      </c>
      <c r="J216" t="s">
        <v>59</v>
      </c>
      <c r="K216">
        <v>735</v>
      </c>
      <c r="L216" t="s">
        <v>146</v>
      </c>
      <c r="M216">
        <v>1</v>
      </c>
      <c r="N216" t="s">
        <v>134</v>
      </c>
      <c r="O216" t="s">
        <v>641</v>
      </c>
      <c r="P216">
        <v>3000</v>
      </c>
      <c r="Q216" t="s">
        <v>60</v>
      </c>
      <c r="R216" t="s">
        <v>642</v>
      </c>
      <c r="S216">
        <v>3000</v>
      </c>
      <c r="T216" t="s">
        <v>60</v>
      </c>
      <c r="U216" t="s">
        <v>643</v>
      </c>
      <c r="V216" t="s">
        <v>644</v>
      </c>
      <c r="W216" t="s">
        <v>166</v>
      </c>
      <c r="X216">
        <v>11799</v>
      </c>
      <c r="Y216" t="s">
        <v>156</v>
      </c>
      <c r="Z216" t="s">
        <v>143</v>
      </c>
      <c r="AA216" t="s">
        <v>144</v>
      </c>
      <c r="AB216" t="s">
        <v>157</v>
      </c>
      <c r="AC216" t="s">
        <v>146</v>
      </c>
      <c r="AD216">
        <v>1</v>
      </c>
      <c r="AE216">
        <v>5</v>
      </c>
      <c r="AF216">
        <v>34110</v>
      </c>
      <c r="AG216" t="s">
        <v>143</v>
      </c>
      <c r="AH216" t="s">
        <v>143</v>
      </c>
      <c r="AI216" t="s">
        <v>143</v>
      </c>
      <c r="AJ216" t="s">
        <v>143</v>
      </c>
      <c r="AK216" t="s">
        <v>143</v>
      </c>
      <c r="AL216" t="s">
        <v>147</v>
      </c>
      <c r="AM216">
        <v>59</v>
      </c>
      <c r="AN216" t="s">
        <v>645</v>
      </c>
      <c r="AO216" t="s">
        <v>159</v>
      </c>
      <c r="AP216" t="s">
        <v>43</v>
      </c>
    </row>
    <row r="217" spans="1:42" x14ac:dyDescent="0.3">
      <c r="A217" t="s">
        <v>39</v>
      </c>
      <c r="B217">
        <v>134</v>
      </c>
      <c r="C217" t="s">
        <v>58</v>
      </c>
      <c r="D217" t="s">
        <v>59</v>
      </c>
      <c r="E217" t="s">
        <v>987</v>
      </c>
      <c r="F217" t="s">
        <v>45</v>
      </c>
      <c r="G217" t="s">
        <v>43</v>
      </c>
      <c r="H217" t="s">
        <v>46</v>
      </c>
      <c r="I217">
        <v>10749</v>
      </c>
      <c r="J217" t="s">
        <v>59</v>
      </c>
      <c r="K217">
        <v>749</v>
      </c>
      <c r="L217" t="s">
        <v>146</v>
      </c>
      <c r="M217">
        <v>1</v>
      </c>
      <c r="N217" t="s">
        <v>134</v>
      </c>
      <c r="O217" t="s">
        <v>646</v>
      </c>
      <c r="P217">
        <v>3000</v>
      </c>
      <c r="Q217" t="s">
        <v>60</v>
      </c>
      <c r="R217" t="s">
        <v>647</v>
      </c>
      <c r="S217">
        <v>3000</v>
      </c>
      <c r="T217" t="s">
        <v>60</v>
      </c>
      <c r="U217" t="s">
        <v>648</v>
      </c>
      <c r="V217" t="s">
        <v>649</v>
      </c>
      <c r="W217" t="s">
        <v>166</v>
      </c>
      <c r="X217">
        <v>8870</v>
      </c>
      <c r="Y217" t="s">
        <v>156</v>
      </c>
      <c r="Z217" t="s">
        <v>143</v>
      </c>
      <c r="AA217" t="s">
        <v>144</v>
      </c>
      <c r="AB217" t="s">
        <v>650</v>
      </c>
      <c r="AC217" t="s">
        <v>146</v>
      </c>
      <c r="AD217">
        <v>1</v>
      </c>
      <c r="AE217">
        <v>6</v>
      </c>
      <c r="AF217">
        <v>34111</v>
      </c>
      <c r="AG217" t="s">
        <v>143</v>
      </c>
      <c r="AH217" t="s">
        <v>143</v>
      </c>
      <c r="AI217" t="s">
        <v>143</v>
      </c>
      <c r="AJ217" t="s">
        <v>143</v>
      </c>
      <c r="AK217" t="s">
        <v>143</v>
      </c>
      <c r="AL217" t="s">
        <v>147</v>
      </c>
      <c r="AM217">
        <v>53.22</v>
      </c>
      <c r="AN217" t="s">
        <v>645</v>
      </c>
      <c r="AO217" t="s">
        <v>159</v>
      </c>
      <c r="AP217" t="s">
        <v>43</v>
      </c>
    </row>
    <row r="218" spans="1:42" x14ac:dyDescent="0.3">
      <c r="A218" t="s">
        <v>39</v>
      </c>
      <c r="B218">
        <v>120</v>
      </c>
      <c r="C218" t="s">
        <v>40</v>
      </c>
      <c r="D218" t="s">
        <v>49</v>
      </c>
      <c r="E218" t="s">
        <v>984</v>
      </c>
      <c r="F218" t="s">
        <v>50</v>
      </c>
      <c r="G218" t="s">
        <v>43</v>
      </c>
      <c r="H218" t="s">
        <v>48</v>
      </c>
      <c r="I218">
        <v>12350</v>
      </c>
      <c r="J218" t="s">
        <v>49</v>
      </c>
      <c r="K218">
        <v>350</v>
      </c>
      <c r="L218" t="s">
        <v>158</v>
      </c>
      <c r="M218">
        <v>1</v>
      </c>
      <c r="N218" t="s">
        <v>134</v>
      </c>
      <c r="O218" t="s">
        <v>401</v>
      </c>
      <c r="P218">
        <v>7700</v>
      </c>
      <c r="Q218" t="s">
        <v>49</v>
      </c>
      <c r="R218" t="s">
        <v>197</v>
      </c>
      <c r="S218">
        <v>913</v>
      </c>
      <c r="T218" t="s">
        <v>237</v>
      </c>
      <c r="U218" t="s">
        <v>402</v>
      </c>
      <c r="V218" t="s">
        <v>471</v>
      </c>
      <c r="W218" t="s">
        <v>141</v>
      </c>
      <c r="X218">
        <v>28617</v>
      </c>
      <c r="Y218" t="s">
        <v>178</v>
      </c>
      <c r="Z218" t="s">
        <v>143</v>
      </c>
      <c r="AA218" t="s">
        <v>143</v>
      </c>
      <c r="AB218" t="s">
        <v>157</v>
      </c>
      <c r="AC218" t="s">
        <v>158</v>
      </c>
      <c r="AD218">
        <v>12</v>
      </c>
      <c r="AE218">
        <v>66</v>
      </c>
      <c r="AF218">
        <v>939</v>
      </c>
      <c r="AG218" t="s">
        <v>143</v>
      </c>
      <c r="AH218" t="s">
        <v>143</v>
      </c>
      <c r="AI218" t="s">
        <v>143</v>
      </c>
      <c r="AJ218" t="s">
        <v>143</v>
      </c>
      <c r="AK218" t="s">
        <v>143</v>
      </c>
      <c r="AL218" t="s">
        <v>147</v>
      </c>
      <c r="AM218">
        <v>1888.72</v>
      </c>
      <c r="AN218" t="s">
        <v>403</v>
      </c>
      <c r="AO218" t="s">
        <v>50</v>
      </c>
      <c r="AP218" t="s">
        <v>43</v>
      </c>
    </row>
    <row r="219" spans="1:42" x14ac:dyDescent="0.3">
      <c r="A219" t="s">
        <v>39</v>
      </c>
      <c r="B219">
        <v>120</v>
      </c>
      <c r="C219" t="s">
        <v>40</v>
      </c>
      <c r="D219" t="s">
        <v>49</v>
      </c>
      <c r="E219" t="s">
        <v>984</v>
      </c>
      <c r="F219" t="s">
        <v>50</v>
      </c>
      <c r="G219" t="s">
        <v>43</v>
      </c>
      <c r="H219" t="s">
        <v>48</v>
      </c>
      <c r="I219">
        <v>24050</v>
      </c>
      <c r="J219" t="s">
        <v>49</v>
      </c>
      <c r="K219">
        <v>50</v>
      </c>
      <c r="L219" t="s">
        <v>985</v>
      </c>
      <c r="M219">
        <v>2</v>
      </c>
      <c r="N219" t="s">
        <v>134</v>
      </c>
      <c r="O219" t="s">
        <v>212</v>
      </c>
      <c r="P219">
        <v>1069</v>
      </c>
      <c r="Q219" t="s">
        <v>529</v>
      </c>
      <c r="R219" t="s">
        <v>530</v>
      </c>
      <c r="S219">
        <v>7700</v>
      </c>
      <c r="T219" t="s">
        <v>49</v>
      </c>
      <c r="U219" t="s">
        <v>330</v>
      </c>
      <c r="V219" t="s">
        <v>331</v>
      </c>
      <c r="W219" t="s">
        <v>141</v>
      </c>
      <c r="X219">
        <v>23756</v>
      </c>
      <c r="Y219" t="s">
        <v>178</v>
      </c>
      <c r="Z219" t="s">
        <v>143</v>
      </c>
      <c r="AA219" t="s">
        <v>143</v>
      </c>
      <c r="AB219" t="s">
        <v>145</v>
      </c>
      <c r="AC219" t="s">
        <v>158</v>
      </c>
      <c r="AD219">
        <v>7</v>
      </c>
      <c r="AE219">
        <v>40</v>
      </c>
      <c r="AF219">
        <v>15112</v>
      </c>
      <c r="AG219" t="s">
        <v>143</v>
      </c>
      <c r="AH219" t="s">
        <v>143</v>
      </c>
      <c r="AI219" t="s">
        <v>143</v>
      </c>
      <c r="AJ219" t="s">
        <v>143</v>
      </c>
      <c r="AK219" t="s">
        <v>143</v>
      </c>
      <c r="AL219" t="s">
        <v>147</v>
      </c>
      <c r="AM219">
        <v>950.24</v>
      </c>
      <c r="AN219" t="s">
        <v>233</v>
      </c>
      <c r="AO219" t="s">
        <v>50</v>
      </c>
      <c r="AP219" t="s">
        <v>43</v>
      </c>
    </row>
    <row r="220" spans="1:42" x14ac:dyDescent="0.3">
      <c r="A220" t="s">
        <v>39</v>
      </c>
      <c r="B220">
        <v>120</v>
      </c>
      <c r="C220" t="s">
        <v>40</v>
      </c>
      <c r="D220" t="s">
        <v>49</v>
      </c>
      <c r="E220" t="s">
        <v>984</v>
      </c>
      <c r="F220" t="s">
        <v>50</v>
      </c>
      <c r="G220" t="s">
        <v>43</v>
      </c>
      <c r="H220" t="s">
        <v>48</v>
      </c>
      <c r="I220">
        <v>32057</v>
      </c>
      <c r="J220" t="s">
        <v>49</v>
      </c>
      <c r="K220">
        <v>57</v>
      </c>
      <c r="L220" t="s">
        <v>985</v>
      </c>
      <c r="M220">
        <v>2</v>
      </c>
      <c r="N220" t="s">
        <v>134</v>
      </c>
      <c r="O220" t="s">
        <v>651</v>
      </c>
      <c r="P220">
        <v>442</v>
      </c>
      <c r="Q220" t="s">
        <v>652</v>
      </c>
      <c r="R220" t="s">
        <v>652</v>
      </c>
      <c r="S220">
        <v>7700</v>
      </c>
      <c r="T220" t="s">
        <v>49</v>
      </c>
      <c r="U220" t="s">
        <v>330</v>
      </c>
      <c r="V220" t="s">
        <v>331</v>
      </c>
      <c r="W220" t="s">
        <v>141</v>
      </c>
      <c r="X220">
        <v>19846</v>
      </c>
      <c r="Y220" t="s">
        <v>178</v>
      </c>
      <c r="Z220" t="s">
        <v>143</v>
      </c>
      <c r="AA220" t="s">
        <v>143</v>
      </c>
      <c r="AB220" t="s">
        <v>145</v>
      </c>
      <c r="AC220" t="s">
        <v>158</v>
      </c>
      <c r="AD220">
        <v>9</v>
      </c>
      <c r="AE220">
        <v>53</v>
      </c>
      <c r="AF220">
        <v>17876</v>
      </c>
      <c r="AG220" t="s">
        <v>143</v>
      </c>
      <c r="AH220" t="s">
        <v>143</v>
      </c>
      <c r="AI220" t="s">
        <v>143</v>
      </c>
      <c r="AJ220" t="s">
        <v>143</v>
      </c>
      <c r="AK220" t="s">
        <v>143</v>
      </c>
      <c r="AL220" t="s">
        <v>147</v>
      </c>
      <c r="AM220">
        <v>1051.8399999999999</v>
      </c>
      <c r="AN220" t="s">
        <v>302</v>
      </c>
      <c r="AO220" t="s">
        <v>50</v>
      </c>
      <c r="AP220" t="s">
        <v>43</v>
      </c>
    </row>
    <row r="221" spans="1:42" x14ac:dyDescent="0.3">
      <c r="A221" t="s">
        <v>39</v>
      </c>
      <c r="B221">
        <v>120</v>
      </c>
      <c r="C221" t="s">
        <v>40</v>
      </c>
      <c r="D221" t="s">
        <v>49</v>
      </c>
      <c r="E221" t="s">
        <v>986</v>
      </c>
      <c r="F221" t="s">
        <v>45</v>
      </c>
      <c r="G221" t="s">
        <v>43</v>
      </c>
      <c r="H221" t="s">
        <v>48</v>
      </c>
      <c r="I221">
        <v>14156</v>
      </c>
      <c r="J221" t="s">
        <v>49</v>
      </c>
      <c r="K221">
        <v>156</v>
      </c>
      <c r="L221" t="s">
        <v>158</v>
      </c>
      <c r="M221">
        <v>1</v>
      </c>
      <c r="N221" t="s">
        <v>134</v>
      </c>
      <c r="O221" t="s">
        <v>532</v>
      </c>
      <c r="P221">
        <v>7700</v>
      </c>
      <c r="Q221" t="s">
        <v>49</v>
      </c>
      <c r="R221" t="s">
        <v>197</v>
      </c>
      <c r="S221">
        <v>9800</v>
      </c>
      <c r="T221" t="s">
        <v>182</v>
      </c>
      <c r="U221" t="s">
        <v>183</v>
      </c>
      <c r="V221" t="s">
        <v>216</v>
      </c>
      <c r="W221" t="s">
        <v>141</v>
      </c>
      <c r="X221">
        <v>57975</v>
      </c>
      <c r="Y221" t="s">
        <v>178</v>
      </c>
      <c r="Z221" t="s">
        <v>143</v>
      </c>
      <c r="AA221" t="s">
        <v>143</v>
      </c>
      <c r="AB221" t="s">
        <v>157</v>
      </c>
      <c r="AC221" t="s">
        <v>158</v>
      </c>
      <c r="AD221">
        <v>2</v>
      </c>
      <c r="AE221">
        <v>11</v>
      </c>
      <c r="AF221">
        <v>908</v>
      </c>
      <c r="AG221" t="s">
        <v>143</v>
      </c>
      <c r="AH221" t="s">
        <v>143</v>
      </c>
      <c r="AI221" t="s">
        <v>143</v>
      </c>
      <c r="AJ221" t="s">
        <v>143</v>
      </c>
      <c r="AK221" t="s">
        <v>143</v>
      </c>
      <c r="AL221" t="s">
        <v>147</v>
      </c>
      <c r="AM221">
        <v>637.73</v>
      </c>
      <c r="AN221" t="s">
        <v>250</v>
      </c>
      <c r="AO221" t="s">
        <v>200</v>
      </c>
      <c r="AP221" t="s">
        <v>43</v>
      </c>
    </row>
    <row r="222" spans="1:42" x14ac:dyDescent="0.3">
      <c r="A222" t="s">
        <v>39</v>
      </c>
      <c r="B222">
        <v>120</v>
      </c>
      <c r="C222" t="s">
        <v>40</v>
      </c>
      <c r="D222" t="s">
        <v>49</v>
      </c>
      <c r="E222" t="s">
        <v>986</v>
      </c>
      <c r="F222" t="s">
        <v>50</v>
      </c>
      <c r="G222" t="s">
        <v>43</v>
      </c>
      <c r="H222" t="s">
        <v>48</v>
      </c>
      <c r="I222">
        <v>11247</v>
      </c>
      <c r="J222" t="s">
        <v>49</v>
      </c>
      <c r="K222">
        <v>247</v>
      </c>
      <c r="L222" t="s">
        <v>158</v>
      </c>
      <c r="M222">
        <v>1</v>
      </c>
      <c r="N222" t="s">
        <v>134</v>
      </c>
      <c r="O222" t="s">
        <v>534</v>
      </c>
      <c r="P222">
        <v>2710</v>
      </c>
      <c r="Q222" t="s">
        <v>411</v>
      </c>
      <c r="R222" t="s">
        <v>412</v>
      </c>
      <c r="S222">
        <v>7700</v>
      </c>
      <c r="T222" t="s">
        <v>49</v>
      </c>
      <c r="U222" t="s">
        <v>241</v>
      </c>
      <c r="V222" t="s">
        <v>242</v>
      </c>
      <c r="W222" t="s">
        <v>141</v>
      </c>
      <c r="X222">
        <v>20794</v>
      </c>
      <c r="Y222" t="s">
        <v>178</v>
      </c>
      <c r="Z222" t="s">
        <v>143</v>
      </c>
      <c r="AA222" t="s">
        <v>143</v>
      </c>
      <c r="AB222" t="s">
        <v>145</v>
      </c>
      <c r="AC222" t="s">
        <v>158</v>
      </c>
      <c r="AD222">
        <v>16</v>
      </c>
      <c r="AE222">
        <v>96</v>
      </c>
      <c r="AF222">
        <v>14801</v>
      </c>
      <c r="AG222" t="s">
        <v>143</v>
      </c>
      <c r="AH222" t="s">
        <v>143</v>
      </c>
      <c r="AI222" t="s">
        <v>143</v>
      </c>
      <c r="AJ222" t="s">
        <v>143</v>
      </c>
      <c r="AK222" t="s">
        <v>143</v>
      </c>
      <c r="AL222" t="s">
        <v>147</v>
      </c>
      <c r="AM222">
        <v>1996.22</v>
      </c>
      <c r="AN222" t="s">
        <v>148</v>
      </c>
      <c r="AO222" t="s">
        <v>50</v>
      </c>
      <c r="AP222" t="s">
        <v>43</v>
      </c>
    </row>
    <row r="223" spans="1:42" x14ac:dyDescent="0.3">
      <c r="A223" t="s">
        <v>39</v>
      </c>
      <c r="B223">
        <v>120</v>
      </c>
      <c r="C223" t="s">
        <v>40</v>
      </c>
      <c r="D223" t="s">
        <v>49</v>
      </c>
      <c r="E223" t="s">
        <v>986</v>
      </c>
      <c r="F223" t="s">
        <v>50</v>
      </c>
      <c r="G223" t="s">
        <v>43</v>
      </c>
      <c r="H223" t="s">
        <v>48</v>
      </c>
      <c r="I223">
        <v>22056</v>
      </c>
      <c r="J223" t="s">
        <v>49</v>
      </c>
      <c r="K223">
        <v>56</v>
      </c>
      <c r="L223" t="s">
        <v>158</v>
      </c>
      <c r="M223">
        <v>1</v>
      </c>
      <c r="N223" t="s">
        <v>134</v>
      </c>
      <c r="O223" t="s">
        <v>653</v>
      </c>
      <c r="P223">
        <v>7700</v>
      </c>
      <c r="Q223" t="s">
        <v>49</v>
      </c>
      <c r="R223" t="s">
        <v>197</v>
      </c>
      <c r="S223">
        <v>240</v>
      </c>
      <c r="T223" t="s">
        <v>162</v>
      </c>
      <c r="U223" t="s">
        <v>346</v>
      </c>
      <c r="V223" t="s">
        <v>347</v>
      </c>
      <c r="W223" t="s">
        <v>141</v>
      </c>
      <c r="X223">
        <v>44067</v>
      </c>
      <c r="Y223" t="s">
        <v>178</v>
      </c>
      <c r="Z223" t="s">
        <v>143</v>
      </c>
      <c r="AA223" t="s">
        <v>143</v>
      </c>
      <c r="AB223" t="s">
        <v>157</v>
      </c>
      <c r="AC223" t="s">
        <v>158</v>
      </c>
      <c r="AD223">
        <v>4</v>
      </c>
      <c r="AE223">
        <v>25</v>
      </c>
      <c r="AF223">
        <v>906</v>
      </c>
      <c r="AG223" t="s">
        <v>143</v>
      </c>
      <c r="AH223" t="s">
        <v>143</v>
      </c>
      <c r="AI223" t="s">
        <v>143</v>
      </c>
      <c r="AJ223" t="s">
        <v>143</v>
      </c>
      <c r="AK223" t="s">
        <v>143</v>
      </c>
      <c r="AL223" t="s">
        <v>147</v>
      </c>
      <c r="AM223">
        <v>1101.68</v>
      </c>
      <c r="AN223" t="s">
        <v>250</v>
      </c>
      <c r="AO223" t="s">
        <v>50</v>
      </c>
      <c r="AP223" t="s">
        <v>43</v>
      </c>
    </row>
    <row r="224" spans="1:42" x14ac:dyDescent="0.3">
      <c r="A224" t="s">
        <v>39</v>
      </c>
      <c r="B224">
        <v>120</v>
      </c>
      <c r="C224" t="s">
        <v>40</v>
      </c>
      <c r="D224" t="s">
        <v>55</v>
      </c>
      <c r="E224" t="s">
        <v>984</v>
      </c>
      <c r="F224" t="s">
        <v>45</v>
      </c>
      <c r="G224" t="s">
        <v>43</v>
      </c>
      <c r="H224" t="s">
        <v>46</v>
      </c>
      <c r="I224">
        <v>24074</v>
      </c>
      <c r="J224" t="s">
        <v>55</v>
      </c>
      <c r="K224">
        <v>74</v>
      </c>
      <c r="L224" t="s">
        <v>146</v>
      </c>
      <c r="M224">
        <v>2</v>
      </c>
      <c r="N224" t="s">
        <v>134</v>
      </c>
      <c r="O224" t="s">
        <v>257</v>
      </c>
      <c r="P224">
        <v>6700</v>
      </c>
      <c r="Q224" t="s">
        <v>55</v>
      </c>
      <c r="R224" t="s">
        <v>536</v>
      </c>
      <c r="S224">
        <v>6700</v>
      </c>
      <c r="T224" t="s">
        <v>55</v>
      </c>
      <c r="U224" t="s">
        <v>654</v>
      </c>
      <c r="V224" t="s">
        <v>655</v>
      </c>
      <c r="W224" t="s">
        <v>166</v>
      </c>
      <c r="X224">
        <v>10119</v>
      </c>
      <c r="Y224" t="s">
        <v>156</v>
      </c>
      <c r="Z224" t="s">
        <v>143</v>
      </c>
      <c r="AA224" t="s">
        <v>144</v>
      </c>
      <c r="AB224" t="s">
        <v>157</v>
      </c>
      <c r="AC224" t="s">
        <v>146</v>
      </c>
      <c r="AD224">
        <v>1</v>
      </c>
      <c r="AE224">
        <v>6</v>
      </c>
      <c r="AF224">
        <v>16148</v>
      </c>
      <c r="AG224" t="s">
        <v>143</v>
      </c>
      <c r="AH224" t="s">
        <v>143</v>
      </c>
      <c r="AI224" t="s">
        <v>143</v>
      </c>
      <c r="AJ224" t="s">
        <v>143</v>
      </c>
      <c r="AK224" t="s">
        <v>143</v>
      </c>
      <c r="AL224" t="s">
        <v>147</v>
      </c>
      <c r="AM224">
        <v>60.71</v>
      </c>
      <c r="AN224" t="s">
        <v>538</v>
      </c>
      <c r="AO224" t="s">
        <v>159</v>
      </c>
      <c r="AP224" t="s">
        <v>43</v>
      </c>
    </row>
    <row r="225" spans="1:42" x14ac:dyDescent="0.3">
      <c r="A225" t="s">
        <v>39</v>
      </c>
      <c r="B225">
        <v>120</v>
      </c>
      <c r="C225" t="s">
        <v>40</v>
      </c>
      <c r="D225" t="s">
        <v>55</v>
      </c>
      <c r="E225" t="s">
        <v>984</v>
      </c>
      <c r="F225" t="s">
        <v>45</v>
      </c>
      <c r="G225" t="s">
        <v>43</v>
      </c>
      <c r="H225" t="s">
        <v>46</v>
      </c>
      <c r="I225">
        <v>37077</v>
      </c>
      <c r="J225" t="s">
        <v>55</v>
      </c>
      <c r="K225">
        <v>77</v>
      </c>
      <c r="L225" t="s">
        <v>146</v>
      </c>
      <c r="M225">
        <v>2</v>
      </c>
      <c r="N225" t="s">
        <v>134</v>
      </c>
      <c r="O225" t="s">
        <v>656</v>
      </c>
      <c r="P225">
        <v>6700</v>
      </c>
      <c r="Q225" t="s">
        <v>55</v>
      </c>
      <c r="R225" t="s">
        <v>414</v>
      </c>
      <c r="S225">
        <v>6700</v>
      </c>
      <c r="T225" t="s">
        <v>55</v>
      </c>
      <c r="U225" t="s">
        <v>657</v>
      </c>
      <c r="V225" t="s">
        <v>658</v>
      </c>
      <c r="W225" t="s">
        <v>166</v>
      </c>
      <c r="X225">
        <v>10398</v>
      </c>
      <c r="Y225" t="s">
        <v>156</v>
      </c>
      <c r="Z225" t="s">
        <v>143</v>
      </c>
      <c r="AA225" t="s">
        <v>144</v>
      </c>
      <c r="AB225" t="s">
        <v>157</v>
      </c>
      <c r="AC225" t="s">
        <v>146</v>
      </c>
      <c r="AD225">
        <v>1</v>
      </c>
      <c r="AE225">
        <v>6</v>
      </c>
      <c r="AF225">
        <v>16351</v>
      </c>
      <c r="AG225" t="s">
        <v>143</v>
      </c>
      <c r="AH225" t="s">
        <v>143</v>
      </c>
      <c r="AI225" t="s">
        <v>143</v>
      </c>
      <c r="AJ225" t="s">
        <v>143</v>
      </c>
      <c r="AK225" t="s">
        <v>143</v>
      </c>
      <c r="AL225" t="s">
        <v>147</v>
      </c>
      <c r="AM225">
        <v>62.39</v>
      </c>
      <c r="AN225" t="s">
        <v>659</v>
      </c>
      <c r="AO225" t="s">
        <v>159</v>
      </c>
      <c r="AP225" t="s">
        <v>43</v>
      </c>
    </row>
    <row r="226" spans="1:42" x14ac:dyDescent="0.3">
      <c r="A226" t="s">
        <v>39</v>
      </c>
      <c r="B226">
        <v>120</v>
      </c>
      <c r="C226" t="s">
        <v>40</v>
      </c>
      <c r="D226" t="s">
        <v>49</v>
      </c>
      <c r="E226" t="s">
        <v>984</v>
      </c>
      <c r="F226" t="s">
        <v>50</v>
      </c>
      <c r="G226" t="s">
        <v>43</v>
      </c>
      <c r="H226" t="s">
        <v>48</v>
      </c>
      <c r="I226">
        <v>99005</v>
      </c>
      <c r="J226" t="s">
        <v>49</v>
      </c>
      <c r="K226">
        <v>5</v>
      </c>
      <c r="L226" t="s">
        <v>146</v>
      </c>
      <c r="M226">
        <v>2</v>
      </c>
      <c r="N226" t="s">
        <v>134</v>
      </c>
      <c r="O226" t="s">
        <v>505</v>
      </c>
      <c r="P226">
        <v>7700</v>
      </c>
      <c r="Q226" t="s">
        <v>49</v>
      </c>
      <c r="R226" t="s">
        <v>599</v>
      </c>
      <c r="S226">
        <v>7700</v>
      </c>
      <c r="T226" t="s">
        <v>49</v>
      </c>
      <c r="U226" t="s">
        <v>248</v>
      </c>
      <c r="V226" t="s">
        <v>249</v>
      </c>
      <c r="W226" t="s">
        <v>166</v>
      </c>
      <c r="X226">
        <v>11956</v>
      </c>
      <c r="Y226" t="s">
        <v>178</v>
      </c>
      <c r="Z226" t="s">
        <v>143</v>
      </c>
      <c r="AA226" t="s">
        <v>144</v>
      </c>
      <c r="AB226" t="s">
        <v>157</v>
      </c>
      <c r="AC226" t="s">
        <v>146</v>
      </c>
      <c r="AD226">
        <v>53</v>
      </c>
      <c r="AE226">
        <v>307</v>
      </c>
      <c r="AF226">
        <v>29929</v>
      </c>
      <c r="AG226" t="s">
        <v>143</v>
      </c>
      <c r="AH226" t="s">
        <v>143</v>
      </c>
      <c r="AI226" t="s">
        <v>143</v>
      </c>
      <c r="AJ226" t="s">
        <v>143</v>
      </c>
      <c r="AK226" t="s">
        <v>143</v>
      </c>
      <c r="AL226" t="s">
        <v>147</v>
      </c>
      <c r="AM226">
        <v>3670.49</v>
      </c>
      <c r="AN226" t="s">
        <v>325</v>
      </c>
      <c r="AO226" t="s">
        <v>50</v>
      </c>
      <c r="AP226" t="s">
        <v>43</v>
      </c>
    </row>
    <row r="227" spans="1:42" x14ac:dyDescent="0.3">
      <c r="A227" t="s">
        <v>39</v>
      </c>
      <c r="B227">
        <v>120</v>
      </c>
      <c r="C227" t="s">
        <v>40</v>
      </c>
      <c r="D227" t="s">
        <v>49</v>
      </c>
      <c r="E227" t="s">
        <v>986</v>
      </c>
      <c r="F227" t="s">
        <v>45</v>
      </c>
      <c r="G227" t="s">
        <v>61</v>
      </c>
      <c r="H227" t="s">
        <v>48</v>
      </c>
      <c r="I227">
        <v>12248</v>
      </c>
      <c r="J227" t="s">
        <v>49</v>
      </c>
      <c r="K227">
        <v>248</v>
      </c>
      <c r="L227" t="s">
        <v>158</v>
      </c>
      <c r="M227">
        <v>2</v>
      </c>
      <c r="N227" t="s">
        <v>134</v>
      </c>
      <c r="O227" t="s">
        <v>660</v>
      </c>
      <c r="P227">
        <v>4000</v>
      </c>
      <c r="Q227" t="s">
        <v>189</v>
      </c>
      <c r="R227" t="s">
        <v>252</v>
      </c>
      <c r="S227">
        <v>637</v>
      </c>
      <c r="T227" t="s">
        <v>661</v>
      </c>
      <c r="U227" t="s">
        <v>662</v>
      </c>
      <c r="V227" t="s">
        <v>663</v>
      </c>
      <c r="W227" t="s">
        <v>141</v>
      </c>
      <c r="X227">
        <v>45425</v>
      </c>
      <c r="Y227" t="s">
        <v>178</v>
      </c>
      <c r="Z227" t="s">
        <v>143</v>
      </c>
      <c r="AA227" t="s">
        <v>143</v>
      </c>
      <c r="AB227" t="s">
        <v>157</v>
      </c>
      <c r="AC227" t="s">
        <v>158</v>
      </c>
      <c r="AD227">
        <v>14</v>
      </c>
      <c r="AE227">
        <v>78</v>
      </c>
      <c r="AF227">
        <v>14798</v>
      </c>
      <c r="AG227" t="s">
        <v>143</v>
      </c>
      <c r="AH227" t="s">
        <v>143</v>
      </c>
      <c r="AI227" t="s">
        <v>143</v>
      </c>
      <c r="AJ227" t="s">
        <v>143</v>
      </c>
      <c r="AK227" t="s">
        <v>143</v>
      </c>
      <c r="AL227" t="s">
        <v>147</v>
      </c>
      <c r="AM227">
        <v>3543.15</v>
      </c>
      <c r="AN227" t="s">
        <v>148</v>
      </c>
      <c r="AO227" t="s">
        <v>45</v>
      </c>
      <c r="AP227" t="s">
        <v>61</v>
      </c>
    </row>
    <row r="228" spans="1:42" x14ac:dyDescent="0.3">
      <c r="A228" t="s">
        <v>39</v>
      </c>
      <c r="B228">
        <v>120</v>
      </c>
      <c r="C228" t="s">
        <v>40</v>
      </c>
      <c r="D228" t="s">
        <v>55</v>
      </c>
      <c r="E228" t="s">
        <v>984</v>
      </c>
      <c r="F228" t="s">
        <v>45</v>
      </c>
      <c r="G228" t="s">
        <v>43</v>
      </c>
      <c r="H228" t="s">
        <v>46</v>
      </c>
      <c r="I228">
        <v>14069</v>
      </c>
      <c r="J228" t="s">
        <v>55</v>
      </c>
      <c r="K228">
        <v>69</v>
      </c>
      <c r="L228" t="s">
        <v>146</v>
      </c>
      <c r="M228">
        <v>1</v>
      </c>
      <c r="N228" t="s">
        <v>134</v>
      </c>
      <c r="O228" t="s">
        <v>664</v>
      </c>
      <c r="P228">
        <v>6700</v>
      </c>
      <c r="Q228" t="s">
        <v>55</v>
      </c>
      <c r="R228" t="s">
        <v>665</v>
      </c>
      <c r="S228">
        <v>6700</v>
      </c>
      <c r="T228" t="s">
        <v>55</v>
      </c>
      <c r="U228" t="s">
        <v>541</v>
      </c>
      <c r="V228" t="s">
        <v>542</v>
      </c>
      <c r="W228" t="s">
        <v>166</v>
      </c>
      <c r="X228">
        <v>8772</v>
      </c>
      <c r="Y228" t="s">
        <v>156</v>
      </c>
      <c r="Z228" t="s">
        <v>143</v>
      </c>
      <c r="AA228" t="s">
        <v>144</v>
      </c>
      <c r="AB228" t="s">
        <v>157</v>
      </c>
      <c r="AC228" t="s">
        <v>146</v>
      </c>
      <c r="AD228">
        <v>1</v>
      </c>
      <c r="AE228">
        <v>5</v>
      </c>
      <c r="AF228">
        <v>15705</v>
      </c>
      <c r="AG228" t="s">
        <v>143</v>
      </c>
      <c r="AH228" t="s">
        <v>143</v>
      </c>
      <c r="AI228" t="s">
        <v>143</v>
      </c>
      <c r="AJ228" t="s">
        <v>143</v>
      </c>
      <c r="AK228" t="s">
        <v>143</v>
      </c>
      <c r="AL228" t="s">
        <v>147</v>
      </c>
      <c r="AM228">
        <v>43.86</v>
      </c>
      <c r="AN228" t="s">
        <v>417</v>
      </c>
      <c r="AO228" t="s">
        <v>159</v>
      </c>
      <c r="AP228" t="s">
        <v>43</v>
      </c>
    </row>
    <row r="229" spans="1:42" x14ac:dyDescent="0.3">
      <c r="A229" t="s">
        <v>39</v>
      </c>
      <c r="B229">
        <v>120</v>
      </c>
      <c r="C229" t="s">
        <v>40</v>
      </c>
      <c r="D229" t="s">
        <v>55</v>
      </c>
      <c r="E229" t="s">
        <v>984</v>
      </c>
      <c r="F229" t="s">
        <v>45</v>
      </c>
      <c r="G229" t="s">
        <v>43</v>
      </c>
      <c r="H229" t="s">
        <v>46</v>
      </c>
      <c r="I229">
        <v>22076</v>
      </c>
      <c r="J229" t="s">
        <v>55</v>
      </c>
      <c r="K229">
        <v>76</v>
      </c>
      <c r="L229" t="s">
        <v>146</v>
      </c>
      <c r="M229">
        <v>1</v>
      </c>
      <c r="N229" t="s">
        <v>134</v>
      </c>
      <c r="O229" t="s">
        <v>569</v>
      </c>
      <c r="P229">
        <v>6700</v>
      </c>
      <c r="Q229" t="s">
        <v>55</v>
      </c>
      <c r="R229" t="s">
        <v>570</v>
      </c>
      <c r="S229">
        <v>6700</v>
      </c>
      <c r="T229" t="s">
        <v>55</v>
      </c>
      <c r="U229" t="s">
        <v>414</v>
      </c>
      <c r="V229" t="s">
        <v>414</v>
      </c>
      <c r="W229" t="s">
        <v>166</v>
      </c>
      <c r="X229">
        <v>14627</v>
      </c>
      <c r="Y229" t="s">
        <v>156</v>
      </c>
      <c r="Z229" t="s">
        <v>143</v>
      </c>
      <c r="AA229" t="s">
        <v>144</v>
      </c>
      <c r="AB229" t="s">
        <v>157</v>
      </c>
      <c r="AC229" t="s">
        <v>146</v>
      </c>
      <c r="AD229">
        <v>1</v>
      </c>
      <c r="AE229">
        <v>6</v>
      </c>
      <c r="AF229">
        <v>15682</v>
      </c>
      <c r="AG229" t="s">
        <v>143</v>
      </c>
      <c r="AH229" t="s">
        <v>143</v>
      </c>
      <c r="AI229" t="s">
        <v>143</v>
      </c>
      <c r="AJ229" t="s">
        <v>143</v>
      </c>
      <c r="AK229" t="s">
        <v>143</v>
      </c>
      <c r="AL229" t="s">
        <v>147</v>
      </c>
      <c r="AM229">
        <v>87.76</v>
      </c>
      <c r="AN229" t="s">
        <v>417</v>
      </c>
      <c r="AO229" t="s">
        <v>159</v>
      </c>
      <c r="AP229" t="s">
        <v>43</v>
      </c>
    </row>
    <row r="230" spans="1:42" x14ac:dyDescent="0.3">
      <c r="A230" t="s">
        <v>39</v>
      </c>
      <c r="B230">
        <v>120</v>
      </c>
      <c r="C230" t="s">
        <v>40</v>
      </c>
      <c r="D230" t="s">
        <v>55</v>
      </c>
      <c r="E230" t="s">
        <v>984</v>
      </c>
      <c r="F230" t="s">
        <v>45</v>
      </c>
      <c r="G230" t="s">
        <v>43</v>
      </c>
      <c r="H230" t="s">
        <v>47</v>
      </c>
      <c r="I230">
        <v>18059</v>
      </c>
      <c r="J230" t="s">
        <v>55</v>
      </c>
      <c r="K230">
        <v>59</v>
      </c>
      <c r="L230" t="s">
        <v>158</v>
      </c>
      <c r="M230">
        <v>1</v>
      </c>
      <c r="N230" t="s">
        <v>134</v>
      </c>
      <c r="O230" t="s">
        <v>666</v>
      </c>
      <c r="P230">
        <v>6700</v>
      </c>
      <c r="Q230" t="s">
        <v>55</v>
      </c>
      <c r="R230" t="s">
        <v>429</v>
      </c>
      <c r="S230">
        <v>2034</v>
      </c>
      <c r="T230" t="s">
        <v>667</v>
      </c>
      <c r="U230" t="s">
        <v>668</v>
      </c>
      <c r="V230" t="s">
        <v>669</v>
      </c>
      <c r="W230" t="s">
        <v>141</v>
      </c>
      <c r="X230">
        <v>30652</v>
      </c>
      <c r="Y230" t="s">
        <v>178</v>
      </c>
      <c r="Z230" t="s">
        <v>143</v>
      </c>
      <c r="AA230" t="s">
        <v>143</v>
      </c>
      <c r="AB230" t="s">
        <v>157</v>
      </c>
      <c r="AC230" t="s">
        <v>158</v>
      </c>
      <c r="AD230">
        <v>5</v>
      </c>
      <c r="AE230">
        <v>25</v>
      </c>
      <c r="AF230">
        <v>15614</v>
      </c>
      <c r="AG230" t="s">
        <v>143</v>
      </c>
      <c r="AH230" t="s">
        <v>143</v>
      </c>
      <c r="AI230" t="s">
        <v>143</v>
      </c>
      <c r="AJ230" t="s">
        <v>143</v>
      </c>
      <c r="AK230" t="s">
        <v>143</v>
      </c>
      <c r="AL230" t="s">
        <v>147</v>
      </c>
      <c r="AM230">
        <v>766.3</v>
      </c>
      <c r="AN230" t="s">
        <v>417</v>
      </c>
      <c r="AO230" t="s">
        <v>552</v>
      </c>
      <c r="AP230" t="s">
        <v>43</v>
      </c>
    </row>
    <row r="231" spans="1:42" x14ac:dyDescent="0.3">
      <c r="A231" t="s">
        <v>39</v>
      </c>
      <c r="B231">
        <v>120</v>
      </c>
      <c r="C231" t="s">
        <v>40</v>
      </c>
      <c r="D231" t="s">
        <v>55</v>
      </c>
      <c r="E231" t="s">
        <v>984</v>
      </c>
      <c r="F231" t="s">
        <v>45</v>
      </c>
      <c r="G231" t="s">
        <v>43</v>
      </c>
      <c r="H231" t="s">
        <v>48</v>
      </c>
      <c r="I231">
        <v>26030</v>
      </c>
      <c r="J231" t="s">
        <v>55</v>
      </c>
      <c r="K231">
        <v>30</v>
      </c>
      <c r="L231" t="s">
        <v>158</v>
      </c>
      <c r="M231">
        <v>1</v>
      </c>
      <c r="N231" t="s">
        <v>160</v>
      </c>
      <c r="O231" t="s">
        <v>553</v>
      </c>
      <c r="P231">
        <v>46</v>
      </c>
      <c r="Q231" t="s">
        <v>574</v>
      </c>
      <c r="R231" t="s">
        <v>670</v>
      </c>
      <c r="S231">
        <v>7700</v>
      </c>
      <c r="T231" t="s">
        <v>49</v>
      </c>
      <c r="U231" t="s">
        <v>248</v>
      </c>
      <c r="V231" t="s">
        <v>253</v>
      </c>
      <c r="W231" t="s">
        <v>141</v>
      </c>
      <c r="X231">
        <v>38194</v>
      </c>
      <c r="Y231" t="s">
        <v>178</v>
      </c>
      <c r="Z231" t="s">
        <v>143</v>
      </c>
      <c r="AA231" t="s">
        <v>143</v>
      </c>
      <c r="AB231" t="s">
        <v>157</v>
      </c>
      <c r="AC231" t="s">
        <v>158</v>
      </c>
      <c r="AD231">
        <v>1</v>
      </c>
      <c r="AE231">
        <v>6</v>
      </c>
      <c r="AF231">
        <v>15180</v>
      </c>
      <c r="AG231" t="s">
        <v>143</v>
      </c>
      <c r="AH231" t="s">
        <v>143</v>
      </c>
      <c r="AI231" t="s">
        <v>143</v>
      </c>
      <c r="AJ231" t="s">
        <v>143</v>
      </c>
      <c r="AK231" t="s">
        <v>143</v>
      </c>
      <c r="AL231" t="s">
        <v>147</v>
      </c>
      <c r="AM231">
        <v>229.16</v>
      </c>
      <c r="AN231" t="s">
        <v>233</v>
      </c>
      <c r="AO231" t="s">
        <v>200</v>
      </c>
      <c r="AP231" t="s">
        <v>43</v>
      </c>
    </row>
    <row r="232" spans="1:42" x14ac:dyDescent="0.3">
      <c r="A232" t="s">
        <v>39</v>
      </c>
      <c r="B232">
        <v>120</v>
      </c>
      <c r="C232" t="s">
        <v>40</v>
      </c>
      <c r="D232" t="s">
        <v>55</v>
      </c>
      <c r="E232" t="s">
        <v>984</v>
      </c>
      <c r="F232" t="s">
        <v>45</v>
      </c>
      <c r="G232" t="s">
        <v>43</v>
      </c>
      <c r="H232" t="s">
        <v>46</v>
      </c>
      <c r="I232">
        <v>22053</v>
      </c>
      <c r="J232" t="s">
        <v>55</v>
      </c>
      <c r="K232">
        <v>53</v>
      </c>
      <c r="L232" t="s">
        <v>158</v>
      </c>
      <c r="M232">
        <v>1</v>
      </c>
      <c r="N232" t="s">
        <v>134</v>
      </c>
      <c r="O232" t="s">
        <v>434</v>
      </c>
      <c r="P232">
        <v>1821</v>
      </c>
      <c r="Q232" t="s">
        <v>419</v>
      </c>
      <c r="R232" t="s">
        <v>572</v>
      </c>
      <c r="S232">
        <v>530</v>
      </c>
      <c r="T232" t="s">
        <v>605</v>
      </c>
      <c r="U232" t="s">
        <v>671</v>
      </c>
      <c r="V232" t="s">
        <v>672</v>
      </c>
      <c r="W232" t="s">
        <v>141</v>
      </c>
      <c r="X232">
        <v>39839</v>
      </c>
      <c r="Y232" t="s">
        <v>178</v>
      </c>
      <c r="Z232" t="s">
        <v>143</v>
      </c>
      <c r="AA232" t="s">
        <v>143</v>
      </c>
      <c r="AB232" t="s">
        <v>157</v>
      </c>
      <c r="AC232" t="s">
        <v>158</v>
      </c>
      <c r="AD232">
        <v>7</v>
      </c>
      <c r="AE232">
        <v>37</v>
      </c>
      <c r="AF232">
        <v>15612</v>
      </c>
      <c r="AG232" t="s">
        <v>143</v>
      </c>
      <c r="AH232" t="s">
        <v>143</v>
      </c>
      <c r="AI232" t="s">
        <v>143</v>
      </c>
      <c r="AJ232" t="s">
        <v>143</v>
      </c>
      <c r="AK232" t="s">
        <v>143</v>
      </c>
      <c r="AL232" t="s">
        <v>147</v>
      </c>
      <c r="AM232">
        <v>1474.04</v>
      </c>
      <c r="AN232" t="s">
        <v>417</v>
      </c>
      <c r="AO232" t="s">
        <v>498</v>
      </c>
      <c r="AP232" t="s">
        <v>43</v>
      </c>
    </row>
    <row r="233" spans="1:42" x14ac:dyDescent="0.3">
      <c r="A233" t="s">
        <v>39</v>
      </c>
      <c r="B233">
        <v>120</v>
      </c>
      <c r="C233" t="s">
        <v>40</v>
      </c>
      <c r="D233" t="s">
        <v>55</v>
      </c>
      <c r="E233" t="s">
        <v>984</v>
      </c>
      <c r="F233" t="s">
        <v>45</v>
      </c>
      <c r="G233" t="s">
        <v>43</v>
      </c>
      <c r="H233" t="s">
        <v>48</v>
      </c>
      <c r="I233">
        <v>30007</v>
      </c>
      <c r="J233" t="s">
        <v>55</v>
      </c>
      <c r="K233">
        <v>7</v>
      </c>
      <c r="L233" t="s">
        <v>146</v>
      </c>
      <c r="M233">
        <v>1</v>
      </c>
      <c r="N233" t="s">
        <v>134</v>
      </c>
      <c r="O233" t="s">
        <v>673</v>
      </c>
      <c r="P233">
        <v>6700</v>
      </c>
      <c r="Q233" t="s">
        <v>55</v>
      </c>
      <c r="R233" t="s">
        <v>429</v>
      </c>
      <c r="S233">
        <v>6700</v>
      </c>
      <c r="T233" t="s">
        <v>55</v>
      </c>
      <c r="U233" t="s">
        <v>674</v>
      </c>
      <c r="V233" t="s">
        <v>674</v>
      </c>
      <c r="W233" t="s">
        <v>166</v>
      </c>
      <c r="X233">
        <v>15159</v>
      </c>
      <c r="Y233" t="s">
        <v>178</v>
      </c>
      <c r="Z233" t="s">
        <v>143</v>
      </c>
      <c r="AA233" t="s">
        <v>144</v>
      </c>
      <c r="AB233" t="s">
        <v>157</v>
      </c>
      <c r="AC233" t="s">
        <v>146</v>
      </c>
      <c r="AD233">
        <v>54</v>
      </c>
      <c r="AE233">
        <v>308</v>
      </c>
      <c r="AF233">
        <v>15618</v>
      </c>
      <c r="AG233" t="s">
        <v>143</v>
      </c>
      <c r="AH233" t="s">
        <v>143</v>
      </c>
      <c r="AI233" t="s">
        <v>143</v>
      </c>
      <c r="AJ233" t="s">
        <v>143</v>
      </c>
      <c r="AK233" t="s">
        <v>143</v>
      </c>
      <c r="AL233" t="s">
        <v>147</v>
      </c>
      <c r="AM233">
        <v>4668.97</v>
      </c>
      <c r="AN233" t="s">
        <v>417</v>
      </c>
      <c r="AO233" t="s">
        <v>50</v>
      </c>
      <c r="AP233" t="s">
        <v>43</v>
      </c>
    </row>
    <row r="234" spans="1:42" x14ac:dyDescent="0.3">
      <c r="A234" t="s">
        <v>39</v>
      </c>
      <c r="B234">
        <v>120</v>
      </c>
      <c r="C234" t="s">
        <v>40</v>
      </c>
      <c r="D234" t="s">
        <v>55</v>
      </c>
      <c r="E234" t="s">
        <v>984</v>
      </c>
      <c r="F234" t="s">
        <v>45</v>
      </c>
      <c r="G234" t="s">
        <v>43</v>
      </c>
      <c r="H234" t="s">
        <v>47</v>
      </c>
      <c r="I234">
        <v>45004</v>
      </c>
      <c r="J234" t="s">
        <v>55</v>
      </c>
      <c r="K234">
        <v>4</v>
      </c>
      <c r="L234" t="s">
        <v>146</v>
      </c>
      <c r="M234">
        <v>2</v>
      </c>
      <c r="N234" t="s">
        <v>160</v>
      </c>
      <c r="O234" t="s">
        <v>320</v>
      </c>
      <c r="P234">
        <v>6700</v>
      </c>
      <c r="Q234" t="s">
        <v>55</v>
      </c>
      <c r="R234" t="s">
        <v>425</v>
      </c>
      <c r="S234">
        <v>6700</v>
      </c>
      <c r="T234" t="s">
        <v>55</v>
      </c>
      <c r="U234" t="s">
        <v>426</v>
      </c>
      <c r="V234" t="s">
        <v>249</v>
      </c>
      <c r="W234" t="s">
        <v>166</v>
      </c>
      <c r="X234">
        <v>10648</v>
      </c>
      <c r="Y234" t="s">
        <v>178</v>
      </c>
      <c r="Z234" t="s">
        <v>143</v>
      </c>
      <c r="AA234" t="s">
        <v>144</v>
      </c>
      <c r="AB234" t="s">
        <v>157</v>
      </c>
      <c r="AC234" t="s">
        <v>146</v>
      </c>
      <c r="AD234">
        <v>6</v>
      </c>
      <c r="AE234">
        <v>36</v>
      </c>
      <c r="AF234">
        <v>16346</v>
      </c>
      <c r="AG234" t="s">
        <v>143</v>
      </c>
      <c r="AH234" t="s">
        <v>143</v>
      </c>
      <c r="AI234" t="s">
        <v>143</v>
      </c>
      <c r="AJ234" t="s">
        <v>143</v>
      </c>
      <c r="AK234" t="s">
        <v>143</v>
      </c>
      <c r="AL234" t="s">
        <v>147</v>
      </c>
      <c r="AM234">
        <v>383.33</v>
      </c>
      <c r="AN234" t="s">
        <v>427</v>
      </c>
      <c r="AO234" t="s">
        <v>675</v>
      </c>
      <c r="AP234" t="s">
        <v>43</v>
      </c>
    </row>
    <row r="235" spans="1:42" x14ac:dyDescent="0.3">
      <c r="A235" t="s">
        <v>39</v>
      </c>
      <c r="B235">
        <v>120</v>
      </c>
      <c r="C235" t="s">
        <v>40</v>
      </c>
      <c r="D235" t="s">
        <v>55</v>
      </c>
      <c r="E235" t="s">
        <v>984</v>
      </c>
      <c r="F235" t="s">
        <v>45</v>
      </c>
      <c r="G235" t="s">
        <v>43</v>
      </c>
      <c r="H235" t="s">
        <v>46</v>
      </c>
      <c r="I235">
        <v>14069</v>
      </c>
      <c r="J235" t="s">
        <v>55</v>
      </c>
      <c r="K235">
        <v>69</v>
      </c>
      <c r="L235" t="s">
        <v>146</v>
      </c>
      <c r="M235">
        <v>2</v>
      </c>
      <c r="N235" t="s">
        <v>134</v>
      </c>
      <c r="O235" t="s">
        <v>664</v>
      </c>
      <c r="P235">
        <v>6700</v>
      </c>
      <c r="Q235" t="s">
        <v>55</v>
      </c>
      <c r="R235" t="s">
        <v>541</v>
      </c>
      <c r="S235">
        <v>6700</v>
      </c>
      <c r="T235" t="s">
        <v>55</v>
      </c>
      <c r="U235" t="s">
        <v>426</v>
      </c>
      <c r="V235" t="s">
        <v>249</v>
      </c>
      <c r="W235" t="s">
        <v>166</v>
      </c>
      <c r="X235">
        <v>6314</v>
      </c>
      <c r="Y235" t="s">
        <v>156</v>
      </c>
      <c r="Z235" t="s">
        <v>143</v>
      </c>
      <c r="AA235" t="s">
        <v>144</v>
      </c>
      <c r="AB235" t="s">
        <v>157</v>
      </c>
      <c r="AC235" t="s">
        <v>146</v>
      </c>
      <c r="AD235">
        <v>0</v>
      </c>
      <c r="AE235">
        <v>4</v>
      </c>
      <c r="AF235">
        <v>15706</v>
      </c>
      <c r="AG235" t="s">
        <v>143</v>
      </c>
      <c r="AH235" t="s">
        <v>143</v>
      </c>
      <c r="AI235" t="s">
        <v>143</v>
      </c>
      <c r="AJ235" t="s">
        <v>143</v>
      </c>
      <c r="AK235" t="s">
        <v>143</v>
      </c>
      <c r="AL235" t="s">
        <v>147</v>
      </c>
      <c r="AM235">
        <v>25.26</v>
      </c>
      <c r="AN235" t="s">
        <v>417</v>
      </c>
      <c r="AO235" t="s">
        <v>57</v>
      </c>
      <c r="AP235" t="s">
        <v>43</v>
      </c>
    </row>
    <row r="236" spans="1:42" x14ac:dyDescent="0.3">
      <c r="A236" t="s">
        <v>39</v>
      </c>
      <c r="B236">
        <v>120</v>
      </c>
      <c r="C236" t="s">
        <v>40</v>
      </c>
      <c r="D236" t="s">
        <v>55</v>
      </c>
      <c r="E236" t="s">
        <v>984</v>
      </c>
      <c r="F236" t="s">
        <v>45</v>
      </c>
      <c r="G236" t="s">
        <v>43</v>
      </c>
      <c r="H236" t="s">
        <v>51</v>
      </c>
      <c r="I236">
        <v>21044</v>
      </c>
      <c r="J236" t="s">
        <v>55</v>
      </c>
      <c r="K236">
        <v>44</v>
      </c>
      <c r="L236" t="s">
        <v>985</v>
      </c>
      <c r="M236">
        <v>2</v>
      </c>
      <c r="N236" t="s">
        <v>134</v>
      </c>
      <c r="O236" t="s">
        <v>548</v>
      </c>
      <c r="P236">
        <v>1714</v>
      </c>
      <c r="Q236" t="s">
        <v>549</v>
      </c>
      <c r="R236" t="s">
        <v>676</v>
      </c>
      <c r="S236">
        <v>6700</v>
      </c>
      <c r="T236" t="s">
        <v>55</v>
      </c>
      <c r="U236" t="s">
        <v>426</v>
      </c>
      <c r="V236" t="s">
        <v>433</v>
      </c>
      <c r="W236" t="s">
        <v>141</v>
      </c>
      <c r="X236">
        <v>15670</v>
      </c>
      <c r="Y236" t="s">
        <v>178</v>
      </c>
      <c r="Z236" t="s">
        <v>143</v>
      </c>
      <c r="AA236" t="s">
        <v>144</v>
      </c>
      <c r="AB236" t="s">
        <v>157</v>
      </c>
      <c r="AC236" t="s">
        <v>146</v>
      </c>
      <c r="AD236">
        <v>3</v>
      </c>
      <c r="AE236">
        <v>16</v>
      </c>
      <c r="AF236">
        <v>15617</v>
      </c>
      <c r="AG236" t="s">
        <v>143</v>
      </c>
      <c r="AH236" t="s">
        <v>143</v>
      </c>
      <c r="AI236" t="s">
        <v>143</v>
      </c>
      <c r="AJ236" t="s">
        <v>143</v>
      </c>
      <c r="AK236" t="s">
        <v>143</v>
      </c>
      <c r="AL236" t="s">
        <v>147</v>
      </c>
      <c r="AM236">
        <v>250.72</v>
      </c>
      <c r="AN236" t="s">
        <v>417</v>
      </c>
      <c r="AO236" t="s">
        <v>677</v>
      </c>
      <c r="AP236" t="s">
        <v>43</v>
      </c>
    </row>
    <row r="237" spans="1:42" x14ac:dyDescent="0.3">
      <c r="A237" t="s">
        <v>39</v>
      </c>
      <c r="B237">
        <v>120</v>
      </c>
      <c r="C237" t="s">
        <v>40</v>
      </c>
      <c r="D237" t="s">
        <v>55</v>
      </c>
      <c r="E237" t="s">
        <v>984</v>
      </c>
      <c r="F237" t="s">
        <v>45</v>
      </c>
      <c r="G237" t="s">
        <v>43</v>
      </c>
      <c r="H237" t="s">
        <v>44</v>
      </c>
      <c r="I237">
        <v>10432</v>
      </c>
      <c r="J237" t="s">
        <v>55</v>
      </c>
      <c r="K237">
        <v>432</v>
      </c>
      <c r="L237" t="s">
        <v>158</v>
      </c>
      <c r="M237">
        <v>2</v>
      </c>
      <c r="N237" t="s">
        <v>134</v>
      </c>
      <c r="O237" t="s">
        <v>616</v>
      </c>
      <c r="P237">
        <v>305</v>
      </c>
      <c r="Q237" t="s">
        <v>617</v>
      </c>
      <c r="R237" t="s">
        <v>618</v>
      </c>
      <c r="S237">
        <v>4000</v>
      </c>
      <c r="T237" t="s">
        <v>189</v>
      </c>
      <c r="U237" t="s">
        <v>198</v>
      </c>
      <c r="V237" t="s">
        <v>199</v>
      </c>
      <c r="W237" t="s">
        <v>141</v>
      </c>
      <c r="X237">
        <v>86206</v>
      </c>
      <c r="Y237" t="s">
        <v>178</v>
      </c>
      <c r="Z237" t="s">
        <v>143</v>
      </c>
      <c r="AA237" t="s">
        <v>143</v>
      </c>
      <c r="AB237" t="s">
        <v>157</v>
      </c>
      <c r="AC237" t="s">
        <v>158</v>
      </c>
      <c r="AD237">
        <v>1</v>
      </c>
      <c r="AE237">
        <v>5</v>
      </c>
      <c r="AF237">
        <v>15738</v>
      </c>
      <c r="AG237" t="s">
        <v>143</v>
      </c>
      <c r="AH237" t="s">
        <v>143</v>
      </c>
      <c r="AI237" t="s">
        <v>143</v>
      </c>
      <c r="AJ237" t="s">
        <v>143</v>
      </c>
      <c r="AK237" t="s">
        <v>143</v>
      </c>
      <c r="AL237" t="s">
        <v>147</v>
      </c>
      <c r="AM237">
        <v>431.03</v>
      </c>
      <c r="AN237" t="s">
        <v>417</v>
      </c>
      <c r="AO237" t="s">
        <v>678</v>
      </c>
      <c r="AP237" t="s">
        <v>43</v>
      </c>
    </row>
    <row r="238" spans="1:42" x14ac:dyDescent="0.3">
      <c r="A238" t="s">
        <v>39</v>
      </c>
      <c r="B238">
        <v>120</v>
      </c>
      <c r="C238" t="s">
        <v>40</v>
      </c>
      <c r="D238" t="s">
        <v>55</v>
      </c>
      <c r="E238" t="s">
        <v>984</v>
      </c>
      <c r="F238" t="s">
        <v>45</v>
      </c>
      <c r="G238" t="s">
        <v>43</v>
      </c>
      <c r="H238" t="s">
        <v>48</v>
      </c>
      <c r="I238">
        <v>26030</v>
      </c>
      <c r="J238" t="s">
        <v>55</v>
      </c>
      <c r="K238">
        <v>30</v>
      </c>
      <c r="L238" t="s">
        <v>158</v>
      </c>
      <c r="M238">
        <v>2</v>
      </c>
      <c r="N238" t="s">
        <v>134</v>
      </c>
      <c r="O238" t="s">
        <v>553</v>
      </c>
      <c r="P238">
        <v>7700</v>
      </c>
      <c r="Q238" t="s">
        <v>49</v>
      </c>
      <c r="R238" t="s">
        <v>197</v>
      </c>
      <c r="S238">
        <v>6700</v>
      </c>
      <c r="T238" t="s">
        <v>55</v>
      </c>
      <c r="U238" t="s">
        <v>426</v>
      </c>
      <c r="V238" t="s">
        <v>433</v>
      </c>
      <c r="W238" t="s">
        <v>141</v>
      </c>
      <c r="X238">
        <v>59004</v>
      </c>
      <c r="Y238" t="s">
        <v>178</v>
      </c>
      <c r="Z238" t="s">
        <v>143</v>
      </c>
      <c r="AA238" t="s">
        <v>143</v>
      </c>
      <c r="AB238" t="s">
        <v>157</v>
      </c>
      <c r="AC238" t="s">
        <v>158</v>
      </c>
      <c r="AD238">
        <v>8</v>
      </c>
      <c r="AE238">
        <v>47</v>
      </c>
      <c r="AF238">
        <v>15181</v>
      </c>
      <c r="AG238" t="s">
        <v>143</v>
      </c>
      <c r="AH238" t="s">
        <v>143</v>
      </c>
      <c r="AI238" t="s">
        <v>143</v>
      </c>
      <c r="AJ238" t="s">
        <v>143</v>
      </c>
      <c r="AK238" t="s">
        <v>143</v>
      </c>
      <c r="AL238" t="s">
        <v>147</v>
      </c>
      <c r="AM238">
        <v>2773.19</v>
      </c>
      <c r="AN238" t="s">
        <v>233</v>
      </c>
      <c r="AO238" t="s">
        <v>50</v>
      </c>
      <c r="AP238" t="s">
        <v>43</v>
      </c>
    </row>
    <row r="239" spans="1:42" x14ac:dyDescent="0.3">
      <c r="A239" t="s">
        <v>39</v>
      </c>
      <c r="B239">
        <v>120</v>
      </c>
      <c r="C239" t="s">
        <v>40</v>
      </c>
      <c r="D239" t="s">
        <v>55</v>
      </c>
      <c r="E239" t="s">
        <v>984</v>
      </c>
      <c r="F239" t="s">
        <v>45</v>
      </c>
      <c r="G239" t="s">
        <v>43</v>
      </c>
      <c r="H239" t="s">
        <v>48</v>
      </c>
      <c r="I239">
        <v>33006</v>
      </c>
      <c r="J239" t="s">
        <v>55</v>
      </c>
      <c r="K239">
        <v>6</v>
      </c>
      <c r="L239" t="s">
        <v>146</v>
      </c>
      <c r="M239">
        <v>2</v>
      </c>
      <c r="N239" t="s">
        <v>134</v>
      </c>
      <c r="O239" t="s">
        <v>424</v>
      </c>
      <c r="P239">
        <v>6700</v>
      </c>
      <c r="Q239" t="s">
        <v>55</v>
      </c>
      <c r="R239" t="s">
        <v>679</v>
      </c>
      <c r="S239">
        <v>6700</v>
      </c>
      <c r="T239" t="s">
        <v>55</v>
      </c>
      <c r="U239" t="s">
        <v>426</v>
      </c>
      <c r="V239" t="s">
        <v>249</v>
      </c>
      <c r="W239" t="s">
        <v>166</v>
      </c>
      <c r="X239">
        <v>12234</v>
      </c>
      <c r="Y239" t="s">
        <v>178</v>
      </c>
      <c r="Z239" t="s">
        <v>143</v>
      </c>
      <c r="AA239" t="s">
        <v>144</v>
      </c>
      <c r="AB239" t="s">
        <v>157</v>
      </c>
      <c r="AC239" t="s">
        <v>146</v>
      </c>
      <c r="AD239">
        <v>38</v>
      </c>
      <c r="AE239">
        <v>210</v>
      </c>
      <c r="AF239">
        <v>15581</v>
      </c>
      <c r="AG239" t="s">
        <v>143</v>
      </c>
      <c r="AH239" t="s">
        <v>143</v>
      </c>
      <c r="AI239" t="s">
        <v>143</v>
      </c>
      <c r="AJ239" t="s">
        <v>143</v>
      </c>
      <c r="AK239" t="s">
        <v>143</v>
      </c>
      <c r="AL239" t="s">
        <v>147</v>
      </c>
      <c r="AM239">
        <v>2569.14</v>
      </c>
      <c r="AN239" t="s">
        <v>417</v>
      </c>
      <c r="AO239" t="s">
        <v>50</v>
      </c>
      <c r="AP239" t="s">
        <v>43</v>
      </c>
    </row>
    <row r="240" spans="1:42" x14ac:dyDescent="0.3">
      <c r="A240" t="s">
        <v>39</v>
      </c>
      <c r="B240">
        <v>120</v>
      </c>
      <c r="C240" t="s">
        <v>40</v>
      </c>
      <c r="D240" t="s">
        <v>55</v>
      </c>
      <c r="E240" t="s">
        <v>984</v>
      </c>
      <c r="F240" t="s">
        <v>45</v>
      </c>
      <c r="G240" t="s">
        <v>43</v>
      </c>
      <c r="H240" t="s">
        <v>48</v>
      </c>
      <c r="I240">
        <v>34008</v>
      </c>
      <c r="J240" t="s">
        <v>55</v>
      </c>
      <c r="K240">
        <v>8</v>
      </c>
      <c r="L240" t="s">
        <v>146</v>
      </c>
      <c r="M240">
        <v>2</v>
      </c>
      <c r="N240" t="s">
        <v>134</v>
      </c>
      <c r="O240" t="s">
        <v>578</v>
      </c>
      <c r="P240">
        <v>6700</v>
      </c>
      <c r="Q240" t="s">
        <v>55</v>
      </c>
      <c r="R240" t="s">
        <v>540</v>
      </c>
      <c r="S240">
        <v>6700</v>
      </c>
      <c r="T240" t="s">
        <v>55</v>
      </c>
      <c r="U240" t="s">
        <v>426</v>
      </c>
      <c r="V240" t="s">
        <v>249</v>
      </c>
      <c r="W240" t="s">
        <v>166</v>
      </c>
      <c r="X240">
        <v>13325</v>
      </c>
      <c r="Y240" t="s">
        <v>178</v>
      </c>
      <c r="Z240" t="s">
        <v>143</v>
      </c>
      <c r="AA240" t="s">
        <v>144</v>
      </c>
      <c r="AB240" t="s">
        <v>157</v>
      </c>
      <c r="AC240" t="s">
        <v>146</v>
      </c>
      <c r="AD240">
        <v>50</v>
      </c>
      <c r="AE240">
        <v>297</v>
      </c>
      <c r="AF240">
        <v>15583</v>
      </c>
      <c r="AG240" t="s">
        <v>143</v>
      </c>
      <c r="AH240" t="s">
        <v>143</v>
      </c>
      <c r="AI240" t="s">
        <v>143</v>
      </c>
      <c r="AJ240" t="s">
        <v>143</v>
      </c>
      <c r="AK240" t="s">
        <v>143</v>
      </c>
      <c r="AL240" t="s">
        <v>147</v>
      </c>
      <c r="AM240">
        <v>3957.53</v>
      </c>
      <c r="AN240" t="s">
        <v>417</v>
      </c>
      <c r="AO240" t="s">
        <v>50</v>
      </c>
      <c r="AP240" t="s">
        <v>43</v>
      </c>
    </row>
    <row r="241" spans="1:42" x14ac:dyDescent="0.3">
      <c r="A241" t="s">
        <v>39</v>
      </c>
      <c r="B241">
        <v>120</v>
      </c>
      <c r="C241" t="s">
        <v>40</v>
      </c>
      <c r="D241" t="s">
        <v>55</v>
      </c>
      <c r="E241" t="s">
        <v>984</v>
      </c>
      <c r="F241" t="s">
        <v>45</v>
      </c>
      <c r="G241" t="s">
        <v>43</v>
      </c>
      <c r="H241" t="s">
        <v>48</v>
      </c>
      <c r="I241">
        <v>35012</v>
      </c>
      <c r="J241" t="s">
        <v>55</v>
      </c>
      <c r="K241">
        <v>12</v>
      </c>
      <c r="L241" t="s">
        <v>146</v>
      </c>
      <c r="M241">
        <v>2</v>
      </c>
      <c r="N241" t="s">
        <v>134</v>
      </c>
      <c r="O241" t="s">
        <v>579</v>
      </c>
      <c r="P241">
        <v>6700</v>
      </c>
      <c r="Q241" t="s">
        <v>55</v>
      </c>
      <c r="R241" t="s">
        <v>540</v>
      </c>
      <c r="S241">
        <v>6700</v>
      </c>
      <c r="T241" t="s">
        <v>55</v>
      </c>
      <c r="U241" t="s">
        <v>426</v>
      </c>
      <c r="V241" t="s">
        <v>249</v>
      </c>
      <c r="W241" t="s">
        <v>166</v>
      </c>
      <c r="X241">
        <v>11863</v>
      </c>
      <c r="Y241" t="s">
        <v>178</v>
      </c>
      <c r="Z241" t="s">
        <v>143</v>
      </c>
      <c r="AA241" t="s">
        <v>144</v>
      </c>
      <c r="AB241" t="s">
        <v>157</v>
      </c>
      <c r="AC241" t="s">
        <v>146</v>
      </c>
      <c r="AD241">
        <v>54</v>
      </c>
      <c r="AE241">
        <v>309</v>
      </c>
      <c r="AF241">
        <v>15607</v>
      </c>
      <c r="AG241" t="s">
        <v>143</v>
      </c>
      <c r="AH241" t="s">
        <v>143</v>
      </c>
      <c r="AI241" t="s">
        <v>143</v>
      </c>
      <c r="AJ241" t="s">
        <v>143</v>
      </c>
      <c r="AK241" t="s">
        <v>143</v>
      </c>
      <c r="AL241" t="s">
        <v>147</v>
      </c>
      <c r="AM241">
        <v>3665.67</v>
      </c>
      <c r="AN241" t="s">
        <v>417</v>
      </c>
      <c r="AO241" t="s">
        <v>50</v>
      </c>
      <c r="AP241" t="s">
        <v>43</v>
      </c>
    </row>
    <row r="242" spans="1:42" x14ac:dyDescent="0.3">
      <c r="A242" t="s">
        <v>39</v>
      </c>
      <c r="B242">
        <v>120</v>
      </c>
      <c r="C242" t="s">
        <v>40</v>
      </c>
      <c r="D242" t="s">
        <v>55</v>
      </c>
      <c r="E242" t="s">
        <v>984</v>
      </c>
      <c r="F242" t="s">
        <v>42</v>
      </c>
      <c r="G242" t="s">
        <v>43</v>
      </c>
      <c r="H242" t="s">
        <v>44</v>
      </c>
      <c r="I242">
        <v>45025</v>
      </c>
      <c r="J242" t="s">
        <v>55</v>
      </c>
      <c r="K242">
        <v>25</v>
      </c>
      <c r="L242" t="s">
        <v>985</v>
      </c>
      <c r="M242">
        <v>2</v>
      </c>
      <c r="N242" t="s">
        <v>134</v>
      </c>
      <c r="O242" t="s">
        <v>453</v>
      </c>
      <c r="P242">
        <v>199</v>
      </c>
      <c r="Q242" t="s">
        <v>680</v>
      </c>
      <c r="R242" t="s">
        <v>681</v>
      </c>
      <c r="S242">
        <v>6700</v>
      </c>
      <c r="T242" t="s">
        <v>55</v>
      </c>
      <c r="U242" t="s">
        <v>674</v>
      </c>
      <c r="V242" t="s">
        <v>682</v>
      </c>
      <c r="W242" t="s">
        <v>141</v>
      </c>
      <c r="X242">
        <v>28726</v>
      </c>
      <c r="Y242" t="s">
        <v>178</v>
      </c>
      <c r="Z242" t="s">
        <v>143</v>
      </c>
      <c r="AA242" t="s">
        <v>143</v>
      </c>
      <c r="AB242" t="s">
        <v>145</v>
      </c>
      <c r="AC242" t="s">
        <v>158</v>
      </c>
      <c r="AD242">
        <v>6</v>
      </c>
      <c r="AE242">
        <v>33</v>
      </c>
      <c r="AF242">
        <v>20542</v>
      </c>
      <c r="AG242" t="s">
        <v>143</v>
      </c>
      <c r="AH242" t="s">
        <v>143</v>
      </c>
      <c r="AI242" t="s">
        <v>143</v>
      </c>
      <c r="AJ242" t="s">
        <v>143</v>
      </c>
      <c r="AK242" t="s">
        <v>143</v>
      </c>
      <c r="AL242" t="s">
        <v>147</v>
      </c>
      <c r="AM242">
        <v>947.96</v>
      </c>
      <c r="AN242" t="s">
        <v>683</v>
      </c>
      <c r="AO242" t="s">
        <v>684</v>
      </c>
      <c r="AP242" t="s">
        <v>43</v>
      </c>
    </row>
    <row r="243" spans="1:42" x14ac:dyDescent="0.3">
      <c r="A243" t="s">
        <v>39</v>
      </c>
      <c r="B243">
        <v>120</v>
      </c>
      <c r="C243" t="s">
        <v>40</v>
      </c>
      <c r="D243" t="s">
        <v>55</v>
      </c>
      <c r="E243" t="s">
        <v>984</v>
      </c>
      <c r="F243" t="s">
        <v>42</v>
      </c>
      <c r="G243" t="s">
        <v>43</v>
      </c>
      <c r="H243" t="s">
        <v>47</v>
      </c>
      <c r="I243">
        <v>19042</v>
      </c>
      <c r="J243" t="s">
        <v>55</v>
      </c>
      <c r="K243">
        <v>42</v>
      </c>
      <c r="L243" t="s">
        <v>985</v>
      </c>
      <c r="M243">
        <v>2</v>
      </c>
      <c r="N243" t="s">
        <v>134</v>
      </c>
      <c r="O243" t="s">
        <v>522</v>
      </c>
      <c r="P243">
        <v>786</v>
      </c>
      <c r="Q243" t="s">
        <v>685</v>
      </c>
      <c r="R243" t="s">
        <v>686</v>
      </c>
      <c r="S243">
        <v>6700</v>
      </c>
      <c r="T243" t="s">
        <v>55</v>
      </c>
      <c r="U243" t="s">
        <v>426</v>
      </c>
      <c r="V243" t="s">
        <v>433</v>
      </c>
      <c r="W243" t="s">
        <v>141</v>
      </c>
      <c r="X243">
        <v>16379</v>
      </c>
      <c r="Y243" t="s">
        <v>178</v>
      </c>
      <c r="Z243" t="s">
        <v>143</v>
      </c>
      <c r="AA243" t="s">
        <v>143</v>
      </c>
      <c r="AB243" t="s">
        <v>145</v>
      </c>
      <c r="AC243" t="s">
        <v>158</v>
      </c>
      <c r="AD243">
        <v>6</v>
      </c>
      <c r="AE243">
        <v>35</v>
      </c>
      <c r="AF243">
        <v>15597</v>
      </c>
      <c r="AG243" t="s">
        <v>143</v>
      </c>
      <c r="AH243" t="s">
        <v>143</v>
      </c>
      <c r="AI243" t="s">
        <v>143</v>
      </c>
      <c r="AJ243" t="s">
        <v>143</v>
      </c>
      <c r="AK243" t="s">
        <v>143</v>
      </c>
      <c r="AL243" t="s">
        <v>147</v>
      </c>
      <c r="AM243">
        <v>573.27</v>
      </c>
      <c r="AN243" t="s">
        <v>417</v>
      </c>
      <c r="AO243" t="s">
        <v>687</v>
      </c>
      <c r="AP243" t="s">
        <v>43</v>
      </c>
    </row>
    <row r="244" spans="1:42" x14ac:dyDescent="0.3">
      <c r="A244" t="s">
        <v>39</v>
      </c>
      <c r="B244">
        <v>120</v>
      </c>
      <c r="C244" t="s">
        <v>40</v>
      </c>
      <c r="D244" t="s">
        <v>55</v>
      </c>
      <c r="E244" t="s">
        <v>984</v>
      </c>
      <c r="F244" t="s">
        <v>42</v>
      </c>
      <c r="G244" t="s">
        <v>43</v>
      </c>
      <c r="H244" t="s">
        <v>48</v>
      </c>
      <c r="I244">
        <v>36048</v>
      </c>
      <c r="J244" t="s">
        <v>55</v>
      </c>
      <c r="K244">
        <v>48</v>
      </c>
      <c r="L244" t="s">
        <v>985</v>
      </c>
      <c r="M244">
        <v>2</v>
      </c>
      <c r="N244" t="s">
        <v>134</v>
      </c>
      <c r="O244" t="s">
        <v>688</v>
      </c>
      <c r="P244">
        <v>1230</v>
      </c>
      <c r="Q244" t="s">
        <v>689</v>
      </c>
      <c r="R244" t="s">
        <v>690</v>
      </c>
      <c r="S244">
        <v>6700</v>
      </c>
      <c r="T244" t="s">
        <v>55</v>
      </c>
      <c r="U244" t="s">
        <v>426</v>
      </c>
      <c r="V244" t="s">
        <v>433</v>
      </c>
      <c r="W244" t="s">
        <v>141</v>
      </c>
      <c r="X244">
        <v>19723</v>
      </c>
      <c r="Y244" t="s">
        <v>178</v>
      </c>
      <c r="Z244" t="s">
        <v>143</v>
      </c>
      <c r="AA244" t="s">
        <v>143</v>
      </c>
      <c r="AB244" t="s">
        <v>145</v>
      </c>
      <c r="AC244" t="s">
        <v>158</v>
      </c>
      <c r="AD244">
        <v>6</v>
      </c>
      <c r="AE244">
        <v>34</v>
      </c>
      <c r="AF244">
        <v>15476</v>
      </c>
      <c r="AG244" t="s">
        <v>143</v>
      </c>
      <c r="AH244" t="s">
        <v>143</v>
      </c>
      <c r="AI244" t="s">
        <v>143</v>
      </c>
      <c r="AJ244" t="s">
        <v>143</v>
      </c>
      <c r="AK244" t="s">
        <v>143</v>
      </c>
      <c r="AL244" t="s">
        <v>147</v>
      </c>
      <c r="AM244">
        <v>670.58</v>
      </c>
      <c r="AN244" t="s">
        <v>417</v>
      </c>
      <c r="AO244" t="s">
        <v>691</v>
      </c>
      <c r="AP244" t="s">
        <v>43</v>
      </c>
    </row>
    <row r="245" spans="1:42" x14ac:dyDescent="0.3">
      <c r="A245" t="s">
        <v>39</v>
      </c>
      <c r="B245">
        <v>120</v>
      </c>
      <c r="C245" t="s">
        <v>40</v>
      </c>
      <c r="D245" t="s">
        <v>55</v>
      </c>
      <c r="E245" t="s">
        <v>984</v>
      </c>
      <c r="F245" t="s">
        <v>57</v>
      </c>
      <c r="G245" t="s">
        <v>43</v>
      </c>
      <c r="H245" t="s">
        <v>46</v>
      </c>
      <c r="I245">
        <v>47084</v>
      </c>
      <c r="J245" t="s">
        <v>55</v>
      </c>
      <c r="K245">
        <v>84</v>
      </c>
      <c r="L245" t="s">
        <v>146</v>
      </c>
      <c r="M245">
        <v>1</v>
      </c>
      <c r="N245" t="s">
        <v>134</v>
      </c>
      <c r="O245" t="s">
        <v>692</v>
      </c>
      <c r="P245">
        <v>6700</v>
      </c>
      <c r="Q245" t="s">
        <v>55</v>
      </c>
      <c r="R245" t="s">
        <v>693</v>
      </c>
      <c r="S245">
        <v>6700</v>
      </c>
      <c r="T245" t="s">
        <v>55</v>
      </c>
      <c r="U245" t="s">
        <v>589</v>
      </c>
      <c r="V245" t="s">
        <v>590</v>
      </c>
      <c r="W245" t="s">
        <v>166</v>
      </c>
      <c r="X245">
        <v>3938</v>
      </c>
      <c r="Y245" t="s">
        <v>156</v>
      </c>
      <c r="Z245" t="s">
        <v>143</v>
      </c>
      <c r="AA245" t="s">
        <v>144</v>
      </c>
      <c r="AB245" t="s">
        <v>157</v>
      </c>
      <c r="AC245" t="s">
        <v>146</v>
      </c>
      <c r="AD245">
        <v>1</v>
      </c>
      <c r="AE245">
        <v>6</v>
      </c>
      <c r="AF245">
        <v>15741</v>
      </c>
      <c r="AG245" t="s">
        <v>143</v>
      </c>
      <c r="AH245" t="s">
        <v>143</v>
      </c>
      <c r="AI245" t="s">
        <v>143</v>
      </c>
      <c r="AJ245" t="s">
        <v>143</v>
      </c>
      <c r="AK245" t="s">
        <v>143</v>
      </c>
      <c r="AL245" t="s">
        <v>147</v>
      </c>
      <c r="AM245">
        <v>23.63</v>
      </c>
      <c r="AN245" t="s">
        <v>417</v>
      </c>
      <c r="AO245" t="s">
        <v>159</v>
      </c>
      <c r="AP245" t="s">
        <v>43</v>
      </c>
    </row>
    <row r="246" spans="1:42" x14ac:dyDescent="0.3">
      <c r="A246" t="s">
        <v>39</v>
      </c>
      <c r="B246">
        <v>120</v>
      </c>
      <c r="C246" t="s">
        <v>40</v>
      </c>
      <c r="D246" t="s">
        <v>55</v>
      </c>
      <c r="E246" t="s">
        <v>984</v>
      </c>
      <c r="F246" t="s">
        <v>50</v>
      </c>
      <c r="G246" t="s">
        <v>43</v>
      </c>
      <c r="H246" t="s">
        <v>48</v>
      </c>
      <c r="I246">
        <v>10851</v>
      </c>
      <c r="J246" t="s">
        <v>55</v>
      </c>
      <c r="K246">
        <v>851</v>
      </c>
      <c r="L246" t="s">
        <v>158</v>
      </c>
      <c r="M246">
        <v>2</v>
      </c>
      <c r="N246" t="s">
        <v>134</v>
      </c>
      <c r="O246" t="s">
        <v>694</v>
      </c>
      <c r="P246">
        <v>7400</v>
      </c>
      <c r="Q246" t="s">
        <v>695</v>
      </c>
      <c r="R246" t="s">
        <v>696</v>
      </c>
      <c r="S246">
        <v>6700</v>
      </c>
      <c r="T246" t="s">
        <v>55</v>
      </c>
      <c r="U246" t="s">
        <v>426</v>
      </c>
      <c r="V246" t="s">
        <v>433</v>
      </c>
      <c r="W246" t="s">
        <v>337</v>
      </c>
      <c r="X246">
        <v>114672</v>
      </c>
      <c r="Y246" t="s">
        <v>178</v>
      </c>
      <c r="Z246" t="s">
        <v>143</v>
      </c>
      <c r="AA246" t="s">
        <v>143</v>
      </c>
      <c r="AB246" t="s">
        <v>157</v>
      </c>
      <c r="AC246" t="s">
        <v>158</v>
      </c>
      <c r="AD246">
        <v>0</v>
      </c>
      <c r="AE246">
        <v>7</v>
      </c>
      <c r="AF246">
        <v>15562</v>
      </c>
      <c r="AG246" t="s">
        <v>143</v>
      </c>
      <c r="AH246" t="s">
        <v>143</v>
      </c>
      <c r="AI246" t="s">
        <v>143</v>
      </c>
      <c r="AJ246" t="s">
        <v>143</v>
      </c>
      <c r="AK246" t="s">
        <v>143</v>
      </c>
      <c r="AL246" t="s">
        <v>147</v>
      </c>
      <c r="AM246">
        <v>802.7</v>
      </c>
      <c r="AN246" t="s">
        <v>417</v>
      </c>
      <c r="AO246" t="s">
        <v>50</v>
      </c>
      <c r="AP246" t="s">
        <v>43</v>
      </c>
    </row>
    <row r="247" spans="1:42" x14ac:dyDescent="0.3">
      <c r="A247" t="s">
        <v>39</v>
      </c>
      <c r="B247">
        <v>120</v>
      </c>
      <c r="C247" t="s">
        <v>40</v>
      </c>
      <c r="D247" t="s">
        <v>55</v>
      </c>
      <c r="E247" t="s">
        <v>984</v>
      </c>
      <c r="F247" t="s">
        <v>50</v>
      </c>
      <c r="G247" t="s">
        <v>43</v>
      </c>
      <c r="H247" t="s">
        <v>48</v>
      </c>
      <c r="I247">
        <v>11849</v>
      </c>
      <c r="J247" t="s">
        <v>55</v>
      </c>
      <c r="K247">
        <v>849</v>
      </c>
      <c r="L247" t="s">
        <v>158</v>
      </c>
      <c r="M247">
        <v>1</v>
      </c>
      <c r="N247" t="s">
        <v>134</v>
      </c>
      <c r="O247" t="s">
        <v>697</v>
      </c>
      <c r="P247">
        <v>6700</v>
      </c>
      <c r="Q247" t="s">
        <v>55</v>
      </c>
      <c r="R247" t="s">
        <v>429</v>
      </c>
      <c r="S247">
        <v>3730</v>
      </c>
      <c r="T247" t="s">
        <v>333</v>
      </c>
      <c r="U247" t="s">
        <v>334</v>
      </c>
      <c r="V247" t="s">
        <v>698</v>
      </c>
      <c r="W247" t="s">
        <v>337</v>
      </c>
      <c r="X247">
        <v>174119</v>
      </c>
      <c r="Y247" t="s">
        <v>178</v>
      </c>
      <c r="Z247" t="s">
        <v>143</v>
      </c>
      <c r="AA247" t="s">
        <v>143</v>
      </c>
      <c r="AB247" t="s">
        <v>157</v>
      </c>
      <c r="AC247" t="s">
        <v>158</v>
      </c>
      <c r="AD247">
        <v>0</v>
      </c>
      <c r="AE247">
        <v>6</v>
      </c>
      <c r="AF247">
        <v>15715</v>
      </c>
      <c r="AG247" t="s">
        <v>143</v>
      </c>
      <c r="AH247" t="s">
        <v>143</v>
      </c>
      <c r="AI247" t="s">
        <v>143</v>
      </c>
      <c r="AJ247" t="s">
        <v>143</v>
      </c>
      <c r="AK247" t="s">
        <v>143</v>
      </c>
      <c r="AL247" t="s">
        <v>147</v>
      </c>
      <c r="AM247">
        <v>1044.71</v>
      </c>
      <c r="AN247" t="s">
        <v>417</v>
      </c>
      <c r="AO247" t="s">
        <v>50</v>
      </c>
      <c r="AP247" t="s">
        <v>43</v>
      </c>
    </row>
    <row r="248" spans="1:42" x14ac:dyDescent="0.3">
      <c r="A248" t="s">
        <v>39</v>
      </c>
      <c r="B248">
        <v>120</v>
      </c>
      <c r="C248" t="s">
        <v>40</v>
      </c>
      <c r="D248" t="s">
        <v>55</v>
      </c>
      <c r="E248" t="s">
        <v>984</v>
      </c>
      <c r="F248" t="s">
        <v>50</v>
      </c>
      <c r="G248" t="s">
        <v>43</v>
      </c>
      <c r="H248" t="s">
        <v>48</v>
      </c>
      <c r="I248">
        <v>14856</v>
      </c>
      <c r="J248" t="s">
        <v>55</v>
      </c>
      <c r="K248">
        <v>856</v>
      </c>
      <c r="L248" t="s">
        <v>158</v>
      </c>
      <c r="M248">
        <v>1</v>
      </c>
      <c r="N248" t="s">
        <v>134</v>
      </c>
      <c r="O248" t="s">
        <v>699</v>
      </c>
      <c r="P248">
        <v>6700</v>
      </c>
      <c r="Q248" t="s">
        <v>55</v>
      </c>
      <c r="R248" t="s">
        <v>429</v>
      </c>
      <c r="S248">
        <v>3780</v>
      </c>
      <c r="T248" t="s">
        <v>700</v>
      </c>
      <c r="U248" t="s">
        <v>701</v>
      </c>
      <c r="V248" t="s">
        <v>702</v>
      </c>
      <c r="W248" t="s">
        <v>337</v>
      </c>
      <c r="X248">
        <v>197759</v>
      </c>
      <c r="Y248" t="s">
        <v>178</v>
      </c>
      <c r="Z248" t="s">
        <v>143</v>
      </c>
      <c r="AA248" t="s">
        <v>143</v>
      </c>
      <c r="AB248" t="s">
        <v>157</v>
      </c>
      <c r="AC248" t="s">
        <v>158</v>
      </c>
      <c r="AD248">
        <v>1</v>
      </c>
      <c r="AE248">
        <v>13</v>
      </c>
      <c r="AF248">
        <v>29535</v>
      </c>
      <c r="AG248" t="s">
        <v>143</v>
      </c>
      <c r="AH248" t="s">
        <v>143</v>
      </c>
      <c r="AI248" t="s">
        <v>143</v>
      </c>
      <c r="AJ248" t="s">
        <v>143</v>
      </c>
      <c r="AK248" t="s">
        <v>143</v>
      </c>
      <c r="AL248" t="s">
        <v>147</v>
      </c>
      <c r="AM248">
        <v>2570.87</v>
      </c>
      <c r="AN248" t="s">
        <v>608</v>
      </c>
      <c r="AO248" t="s">
        <v>50</v>
      </c>
      <c r="AP248" t="s">
        <v>43</v>
      </c>
    </row>
    <row r="249" spans="1:42" x14ac:dyDescent="0.3">
      <c r="A249" t="s">
        <v>39</v>
      </c>
      <c r="B249">
        <v>120</v>
      </c>
      <c r="C249" t="s">
        <v>40</v>
      </c>
      <c r="D249" t="s">
        <v>55</v>
      </c>
      <c r="E249" t="s">
        <v>984</v>
      </c>
      <c r="F249" t="s">
        <v>50</v>
      </c>
      <c r="G249" t="s">
        <v>43</v>
      </c>
      <c r="H249" t="s">
        <v>48</v>
      </c>
      <c r="I249">
        <v>19039</v>
      </c>
      <c r="J249" t="s">
        <v>55</v>
      </c>
      <c r="K249">
        <v>39</v>
      </c>
      <c r="L249" t="s">
        <v>146</v>
      </c>
      <c r="M249">
        <v>1</v>
      </c>
      <c r="N249" t="s">
        <v>168</v>
      </c>
      <c r="O249" t="s">
        <v>637</v>
      </c>
      <c r="P249">
        <v>6700</v>
      </c>
      <c r="Q249" t="s">
        <v>55</v>
      </c>
      <c r="R249" t="s">
        <v>429</v>
      </c>
      <c r="S249">
        <v>330</v>
      </c>
      <c r="T249" t="s">
        <v>584</v>
      </c>
      <c r="U249" t="s">
        <v>585</v>
      </c>
      <c r="V249" t="s">
        <v>586</v>
      </c>
      <c r="W249" t="s">
        <v>166</v>
      </c>
      <c r="X249">
        <v>21857</v>
      </c>
      <c r="Y249" t="s">
        <v>178</v>
      </c>
      <c r="Z249" t="s">
        <v>143</v>
      </c>
      <c r="AA249" t="s">
        <v>144</v>
      </c>
      <c r="AB249" t="s">
        <v>157</v>
      </c>
      <c r="AC249" t="s">
        <v>146</v>
      </c>
      <c r="AD249">
        <v>13</v>
      </c>
      <c r="AE249">
        <v>77</v>
      </c>
      <c r="AF249">
        <v>23375</v>
      </c>
      <c r="AG249" t="s">
        <v>143</v>
      </c>
      <c r="AH249" t="s">
        <v>143</v>
      </c>
      <c r="AI249" t="s">
        <v>143</v>
      </c>
      <c r="AJ249" t="s">
        <v>143</v>
      </c>
      <c r="AK249" t="s">
        <v>143</v>
      </c>
      <c r="AL249" t="s">
        <v>147</v>
      </c>
      <c r="AM249">
        <v>1682.99</v>
      </c>
      <c r="AN249" t="s">
        <v>703</v>
      </c>
      <c r="AO249" t="s">
        <v>50</v>
      </c>
      <c r="AP249" t="s">
        <v>43</v>
      </c>
    </row>
    <row r="250" spans="1:42" x14ac:dyDescent="0.3">
      <c r="A250" t="s">
        <v>39</v>
      </c>
      <c r="B250">
        <v>120</v>
      </c>
      <c r="C250" t="s">
        <v>40</v>
      </c>
      <c r="D250" t="s">
        <v>55</v>
      </c>
      <c r="E250" t="s">
        <v>984</v>
      </c>
      <c r="F250" t="s">
        <v>45</v>
      </c>
      <c r="G250" t="s">
        <v>43</v>
      </c>
      <c r="H250" t="s">
        <v>48</v>
      </c>
      <c r="I250">
        <v>24028</v>
      </c>
      <c r="J250" t="s">
        <v>55</v>
      </c>
      <c r="K250">
        <v>28</v>
      </c>
      <c r="L250" t="s">
        <v>158</v>
      </c>
      <c r="M250">
        <v>2</v>
      </c>
      <c r="N250" t="s">
        <v>134</v>
      </c>
      <c r="O250" t="s">
        <v>704</v>
      </c>
      <c r="P250">
        <v>9200</v>
      </c>
      <c r="Q250" t="s">
        <v>520</v>
      </c>
      <c r="R250" t="s">
        <v>521</v>
      </c>
      <c r="S250">
        <v>6700</v>
      </c>
      <c r="T250" t="s">
        <v>55</v>
      </c>
      <c r="U250" t="s">
        <v>426</v>
      </c>
      <c r="V250" t="s">
        <v>433</v>
      </c>
      <c r="W250" t="s">
        <v>141</v>
      </c>
      <c r="X250">
        <v>38097</v>
      </c>
      <c r="Y250" t="s">
        <v>178</v>
      </c>
      <c r="Z250" t="s">
        <v>143</v>
      </c>
      <c r="AA250" t="s">
        <v>143</v>
      </c>
      <c r="AB250" t="s">
        <v>157</v>
      </c>
      <c r="AC250" t="s">
        <v>158</v>
      </c>
      <c r="AD250">
        <v>33</v>
      </c>
      <c r="AE250">
        <v>183</v>
      </c>
      <c r="AF250">
        <v>15590</v>
      </c>
      <c r="AG250" t="s">
        <v>143</v>
      </c>
      <c r="AH250" t="s">
        <v>143</v>
      </c>
      <c r="AI250" t="s">
        <v>143</v>
      </c>
      <c r="AJ250" t="s">
        <v>143</v>
      </c>
      <c r="AK250" t="s">
        <v>143</v>
      </c>
      <c r="AL250" t="s">
        <v>147</v>
      </c>
      <c r="AM250">
        <v>6971.75</v>
      </c>
      <c r="AN250" t="s">
        <v>417</v>
      </c>
      <c r="AO250" t="s">
        <v>50</v>
      </c>
      <c r="AP250" t="s">
        <v>43</v>
      </c>
    </row>
    <row r="251" spans="1:42" x14ac:dyDescent="0.3">
      <c r="A251" t="s">
        <v>39</v>
      </c>
      <c r="B251">
        <v>120</v>
      </c>
      <c r="C251" t="s">
        <v>40</v>
      </c>
      <c r="D251" t="s">
        <v>55</v>
      </c>
      <c r="E251" t="s">
        <v>984</v>
      </c>
      <c r="F251" t="s">
        <v>45</v>
      </c>
      <c r="G251" t="s">
        <v>43</v>
      </c>
      <c r="H251" t="s">
        <v>48</v>
      </c>
      <c r="I251">
        <v>30007</v>
      </c>
      <c r="J251" t="s">
        <v>55</v>
      </c>
      <c r="K251">
        <v>7</v>
      </c>
      <c r="L251" t="s">
        <v>146</v>
      </c>
      <c r="M251">
        <v>2</v>
      </c>
      <c r="N251" t="s">
        <v>134</v>
      </c>
      <c r="O251" t="s">
        <v>673</v>
      </c>
      <c r="P251">
        <v>6700</v>
      </c>
      <c r="Q251" t="s">
        <v>55</v>
      </c>
      <c r="R251" t="s">
        <v>674</v>
      </c>
      <c r="S251">
        <v>6700</v>
      </c>
      <c r="T251" t="s">
        <v>55</v>
      </c>
      <c r="U251" t="s">
        <v>426</v>
      </c>
      <c r="V251" t="s">
        <v>249</v>
      </c>
      <c r="W251" t="s">
        <v>166</v>
      </c>
      <c r="X251">
        <v>15348</v>
      </c>
      <c r="Y251" t="s">
        <v>178</v>
      </c>
      <c r="Z251" t="s">
        <v>143</v>
      </c>
      <c r="AA251" t="s">
        <v>144</v>
      </c>
      <c r="AB251" t="s">
        <v>157</v>
      </c>
      <c r="AC251" t="s">
        <v>146</v>
      </c>
      <c r="AD251">
        <v>57</v>
      </c>
      <c r="AE251">
        <v>325</v>
      </c>
      <c r="AF251">
        <v>15622</v>
      </c>
      <c r="AG251" t="s">
        <v>143</v>
      </c>
      <c r="AH251" t="s">
        <v>143</v>
      </c>
      <c r="AI251" t="s">
        <v>143</v>
      </c>
      <c r="AJ251" t="s">
        <v>143</v>
      </c>
      <c r="AK251" t="s">
        <v>143</v>
      </c>
      <c r="AL251" t="s">
        <v>147</v>
      </c>
      <c r="AM251">
        <v>4988.1000000000004</v>
      </c>
      <c r="AN251" t="s">
        <v>417</v>
      </c>
      <c r="AO251" t="s">
        <v>50</v>
      </c>
      <c r="AP251" t="s">
        <v>43</v>
      </c>
    </row>
    <row r="252" spans="1:42" x14ac:dyDescent="0.3">
      <c r="A252" t="s">
        <v>39</v>
      </c>
      <c r="B252">
        <v>120</v>
      </c>
      <c r="C252" t="s">
        <v>40</v>
      </c>
      <c r="D252" t="s">
        <v>55</v>
      </c>
      <c r="E252" t="s">
        <v>984</v>
      </c>
      <c r="F252" t="s">
        <v>42</v>
      </c>
      <c r="G252" t="s">
        <v>43</v>
      </c>
      <c r="H252" t="s">
        <v>46</v>
      </c>
      <c r="I252">
        <v>39005</v>
      </c>
      <c r="J252" t="s">
        <v>55</v>
      </c>
      <c r="K252">
        <v>5</v>
      </c>
      <c r="L252" t="s">
        <v>146</v>
      </c>
      <c r="M252">
        <v>2</v>
      </c>
      <c r="N252" t="s">
        <v>160</v>
      </c>
      <c r="O252" t="s">
        <v>505</v>
      </c>
      <c r="P252">
        <v>6700</v>
      </c>
      <c r="Q252" t="s">
        <v>55</v>
      </c>
      <c r="R252" t="s">
        <v>674</v>
      </c>
      <c r="S252">
        <v>6700</v>
      </c>
      <c r="T252" t="s">
        <v>55</v>
      </c>
      <c r="U252" t="s">
        <v>705</v>
      </c>
      <c r="V252" t="s">
        <v>706</v>
      </c>
      <c r="W252" t="s">
        <v>166</v>
      </c>
      <c r="X252">
        <v>18384</v>
      </c>
      <c r="Y252" t="s">
        <v>178</v>
      </c>
      <c r="Z252" t="s">
        <v>143</v>
      </c>
      <c r="AA252" t="s">
        <v>144</v>
      </c>
      <c r="AB252" t="s">
        <v>157</v>
      </c>
      <c r="AC252" t="s">
        <v>146</v>
      </c>
      <c r="AD252">
        <v>2</v>
      </c>
      <c r="AE252">
        <v>12</v>
      </c>
      <c r="AF252">
        <v>16123</v>
      </c>
      <c r="AG252" t="s">
        <v>143</v>
      </c>
      <c r="AH252" t="s">
        <v>143</v>
      </c>
      <c r="AI252" t="s">
        <v>143</v>
      </c>
      <c r="AJ252" t="s">
        <v>143</v>
      </c>
      <c r="AK252" t="s">
        <v>143</v>
      </c>
      <c r="AL252" t="s">
        <v>147</v>
      </c>
      <c r="AM252">
        <v>220.61</v>
      </c>
      <c r="AN252" t="s">
        <v>707</v>
      </c>
      <c r="AO252" t="s">
        <v>42</v>
      </c>
      <c r="AP252" t="s">
        <v>43</v>
      </c>
    </row>
    <row r="253" spans="1:42" x14ac:dyDescent="0.3">
      <c r="A253" t="s">
        <v>39</v>
      </c>
      <c r="B253">
        <v>120</v>
      </c>
      <c r="C253" t="s">
        <v>40</v>
      </c>
      <c r="D253" t="s">
        <v>55</v>
      </c>
      <c r="E253" t="s">
        <v>984</v>
      </c>
      <c r="F253" t="s">
        <v>57</v>
      </c>
      <c r="G253" t="s">
        <v>43</v>
      </c>
      <c r="H253" t="s">
        <v>46</v>
      </c>
      <c r="I253">
        <v>55080</v>
      </c>
      <c r="J253" t="s">
        <v>55</v>
      </c>
      <c r="K253">
        <v>80</v>
      </c>
      <c r="L253" t="s">
        <v>146</v>
      </c>
      <c r="M253">
        <v>1</v>
      </c>
      <c r="N253" t="s">
        <v>134</v>
      </c>
      <c r="O253" t="s">
        <v>632</v>
      </c>
      <c r="P253">
        <v>6700</v>
      </c>
      <c r="Q253" t="s">
        <v>55</v>
      </c>
      <c r="R253" t="s">
        <v>708</v>
      </c>
      <c r="S253">
        <v>6700</v>
      </c>
      <c r="T253" t="s">
        <v>55</v>
      </c>
      <c r="U253" t="s">
        <v>589</v>
      </c>
      <c r="V253" t="s">
        <v>590</v>
      </c>
      <c r="W253" t="s">
        <v>166</v>
      </c>
      <c r="X253">
        <v>10285</v>
      </c>
      <c r="Y253" t="s">
        <v>156</v>
      </c>
      <c r="Z253" t="s">
        <v>143</v>
      </c>
      <c r="AA253" t="s">
        <v>144</v>
      </c>
      <c r="AB253" t="s">
        <v>157</v>
      </c>
      <c r="AC253" t="s">
        <v>146</v>
      </c>
      <c r="AD253">
        <v>2</v>
      </c>
      <c r="AE253">
        <v>12</v>
      </c>
      <c r="AF253">
        <v>15709</v>
      </c>
      <c r="AG253" t="s">
        <v>143</v>
      </c>
      <c r="AH253" t="s">
        <v>143</v>
      </c>
      <c r="AI253" t="s">
        <v>143</v>
      </c>
      <c r="AJ253" t="s">
        <v>143</v>
      </c>
      <c r="AK253" t="s">
        <v>143</v>
      </c>
      <c r="AL253" t="s">
        <v>147</v>
      </c>
      <c r="AM253">
        <v>123.42</v>
      </c>
      <c r="AN253" t="s">
        <v>417</v>
      </c>
      <c r="AO253" t="s">
        <v>159</v>
      </c>
      <c r="AP253" t="s">
        <v>43</v>
      </c>
    </row>
    <row r="254" spans="1:42" x14ac:dyDescent="0.3">
      <c r="A254" t="s">
        <v>39</v>
      </c>
      <c r="B254">
        <v>120</v>
      </c>
      <c r="C254" t="s">
        <v>40</v>
      </c>
      <c r="D254" t="s">
        <v>55</v>
      </c>
      <c r="E254" t="s">
        <v>984</v>
      </c>
      <c r="F254" t="s">
        <v>57</v>
      </c>
      <c r="G254" t="s">
        <v>43</v>
      </c>
      <c r="H254" t="s">
        <v>46</v>
      </c>
      <c r="I254">
        <v>54082</v>
      </c>
      <c r="J254" t="s">
        <v>55</v>
      </c>
      <c r="K254">
        <v>82</v>
      </c>
      <c r="L254" t="s">
        <v>146</v>
      </c>
      <c r="M254">
        <v>2</v>
      </c>
      <c r="N254" t="s">
        <v>134</v>
      </c>
      <c r="O254" t="s">
        <v>169</v>
      </c>
      <c r="P254">
        <v>6700</v>
      </c>
      <c r="Q254" t="s">
        <v>55</v>
      </c>
      <c r="R254" t="s">
        <v>589</v>
      </c>
      <c r="S254">
        <v>6700</v>
      </c>
      <c r="T254" t="s">
        <v>55</v>
      </c>
      <c r="U254" t="s">
        <v>426</v>
      </c>
      <c r="V254" t="s">
        <v>249</v>
      </c>
      <c r="W254" t="s">
        <v>166</v>
      </c>
      <c r="X254">
        <v>5516</v>
      </c>
      <c r="Y254" t="s">
        <v>156</v>
      </c>
      <c r="Z254" t="s">
        <v>143</v>
      </c>
      <c r="AA254" t="s">
        <v>144</v>
      </c>
      <c r="AB254" t="s">
        <v>157</v>
      </c>
      <c r="AC254" t="s">
        <v>146</v>
      </c>
      <c r="AD254">
        <v>2</v>
      </c>
      <c r="AE254">
        <v>12</v>
      </c>
      <c r="AF254">
        <v>15714</v>
      </c>
      <c r="AG254" t="s">
        <v>143</v>
      </c>
      <c r="AH254" t="s">
        <v>143</v>
      </c>
      <c r="AI254" t="s">
        <v>143</v>
      </c>
      <c r="AJ254" t="s">
        <v>143</v>
      </c>
      <c r="AK254" t="s">
        <v>143</v>
      </c>
      <c r="AL254" t="s">
        <v>147</v>
      </c>
      <c r="AM254">
        <v>66.19</v>
      </c>
      <c r="AN254" t="s">
        <v>417</v>
      </c>
      <c r="AO254" t="s">
        <v>57</v>
      </c>
      <c r="AP254" t="s">
        <v>43</v>
      </c>
    </row>
    <row r="255" spans="1:42" x14ac:dyDescent="0.3">
      <c r="A255" t="s">
        <v>39</v>
      </c>
      <c r="B255">
        <v>120</v>
      </c>
      <c r="C255" t="s">
        <v>40</v>
      </c>
      <c r="D255" t="s">
        <v>55</v>
      </c>
      <c r="E255" t="s">
        <v>984</v>
      </c>
      <c r="F255" t="s">
        <v>50</v>
      </c>
      <c r="G255" t="s">
        <v>43</v>
      </c>
      <c r="H255" t="s">
        <v>48</v>
      </c>
      <c r="I255">
        <v>25029</v>
      </c>
      <c r="J255" t="s">
        <v>55</v>
      </c>
      <c r="K255">
        <v>29</v>
      </c>
      <c r="L255" t="s">
        <v>985</v>
      </c>
      <c r="M255">
        <v>1</v>
      </c>
      <c r="N255" t="s">
        <v>134</v>
      </c>
      <c r="O255" t="s">
        <v>709</v>
      </c>
      <c r="P255">
        <v>9200</v>
      </c>
      <c r="Q255" t="s">
        <v>520</v>
      </c>
      <c r="R255" t="s">
        <v>613</v>
      </c>
      <c r="S255">
        <v>48</v>
      </c>
      <c r="T255" t="s">
        <v>710</v>
      </c>
      <c r="U255" t="s">
        <v>711</v>
      </c>
      <c r="V255" t="s">
        <v>712</v>
      </c>
      <c r="W255" t="s">
        <v>141</v>
      </c>
      <c r="X255">
        <v>35446</v>
      </c>
      <c r="Y255" t="s">
        <v>178</v>
      </c>
      <c r="Z255" t="s">
        <v>143</v>
      </c>
      <c r="AA255" t="s">
        <v>143</v>
      </c>
      <c r="AB255" t="s">
        <v>145</v>
      </c>
      <c r="AC255" t="s">
        <v>158</v>
      </c>
      <c r="AD255">
        <v>4</v>
      </c>
      <c r="AE255">
        <v>23</v>
      </c>
      <c r="AF255">
        <v>15563</v>
      </c>
      <c r="AG255" t="s">
        <v>143</v>
      </c>
      <c r="AH255" t="s">
        <v>143</v>
      </c>
      <c r="AI255" t="s">
        <v>143</v>
      </c>
      <c r="AJ255" t="s">
        <v>143</v>
      </c>
      <c r="AK255" t="s">
        <v>143</v>
      </c>
      <c r="AL255" t="s">
        <v>147</v>
      </c>
      <c r="AM255">
        <v>815.26</v>
      </c>
      <c r="AN255" t="s">
        <v>417</v>
      </c>
      <c r="AO255" t="s">
        <v>50</v>
      </c>
      <c r="AP255" t="s">
        <v>43</v>
      </c>
    </row>
    <row r="256" spans="1:42" x14ac:dyDescent="0.3">
      <c r="A256" t="s">
        <v>39</v>
      </c>
      <c r="B256">
        <v>120</v>
      </c>
      <c r="C256" t="s">
        <v>40</v>
      </c>
      <c r="D256" t="s">
        <v>55</v>
      </c>
      <c r="E256" t="s">
        <v>984</v>
      </c>
      <c r="F256" t="s">
        <v>50</v>
      </c>
      <c r="G256" t="s">
        <v>43</v>
      </c>
      <c r="H256" t="s">
        <v>48</v>
      </c>
      <c r="I256">
        <v>42023</v>
      </c>
      <c r="J256" t="s">
        <v>55</v>
      </c>
      <c r="K256">
        <v>23</v>
      </c>
      <c r="L256" t="s">
        <v>985</v>
      </c>
      <c r="M256">
        <v>2</v>
      </c>
      <c r="N256" t="s">
        <v>134</v>
      </c>
      <c r="O256" t="s">
        <v>713</v>
      </c>
      <c r="P256">
        <v>719</v>
      </c>
      <c r="Q256" t="s">
        <v>714</v>
      </c>
      <c r="R256" t="s">
        <v>714</v>
      </c>
      <c r="S256">
        <v>6700</v>
      </c>
      <c r="T256" t="s">
        <v>55</v>
      </c>
      <c r="U256" t="s">
        <v>426</v>
      </c>
      <c r="V256" t="s">
        <v>433</v>
      </c>
      <c r="W256" t="s">
        <v>141</v>
      </c>
      <c r="X256">
        <v>21793</v>
      </c>
      <c r="Y256" t="s">
        <v>178</v>
      </c>
      <c r="Z256" t="s">
        <v>143</v>
      </c>
      <c r="AA256" t="s">
        <v>143</v>
      </c>
      <c r="AB256" t="s">
        <v>157</v>
      </c>
      <c r="AC256" t="s">
        <v>158</v>
      </c>
      <c r="AD256">
        <v>7</v>
      </c>
      <c r="AE256">
        <v>38</v>
      </c>
      <c r="AF256">
        <v>15474</v>
      </c>
      <c r="AG256" t="s">
        <v>143</v>
      </c>
      <c r="AH256" t="s">
        <v>143</v>
      </c>
      <c r="AI256" t="s">
        <v>143</v>
      </c>
      <c r="AJ256" t="s">
        <v>143</v>
      </c>
      <c r="AK256" t="s">
        <v>143</v>
      </c>
      <c r="AL256" t="s">
        <v>147</v>
      </c>
      <c r="AM256">
        <v>828.13</v>
      </c>
      <c r="AN256" t="s">
        <v>417</v>
      </c>
      <c r="AO256" t="s">
        <v>50</v>
      </c>
      <c r="AP256" t="s">
        <v>43</v>
      </c>
    </row>
    <row r="257" spans="1:42" x14ac:dyDescent="0.3">
      <c r="A257" t="s">
        <v>39</v>
      </c>
      <c r="B257">
        <v>134</v>
      </c>
      <c r="C257" t="s">
        <v>58</v>
      </c>
      <c r="D257" t="s">
        <v>59</v>
      </c>
      <c r="E257" t="s">
        <v>987</v>
      </c>
      <c r="F257" t="s">
        <v>45</v>
      </c>
      <c r="G257" t="s">
        <v>43</v>
      </c>
      <c r="H257" t="s">
        <v>46</v>
      </c>
      <c r="I257">
        <v>10804</v>
      </c>
      <c r="J257" t="s">
        <v>59</v>
      </c>
      <c r="K257">
        <v>804</v>
      </c>
      <c r="L257" t="s">
        <v>146</v>
      </c>
      <c r="M257">
        <v>2</v>
      </c>
      <c r="N257" t="s">
        <v>134</v>
      </c>
      <c r="O257" t="s">
        <v>715</v>
      </c>
      <c r="P257">
        <v>3000</v>
      </c>
      <c r="Q257" t="s">
        <v>60</v>
      </c>
      <c r="R257" t="s">
        <v>716</v>
      </c>
      <c r="S257">
        <v>3000</v>
      </c>
      <c r="T257" t="s">
        <v>60</v>
      </c>
      <c r="U257" t="s">
        <v>717</v>
      </c>
      <c r="V257" t="s">
        <v>718</v>
      </c>
      <c r="W257" t="s">
        <v>166</v>
      </c>
      <c r="X257">
        <v>9769</v>
      </c>
      <c r="Y257" t="s">
        <v>156</v>
      </c>
      <c r="Z257" t="s">
        <v>143</v>
      </c>
      <c r="AA257" t="s">
        <v>144</v>
      </c>
      <c r="AB257" t="s">
        <v>650</v>
      </c>
      <c r="AC257" t="s">
        <v>146</v>
      </c>
      <c r="AD257">
        <v>1</v>
      </c>
      <c r="AE257">
        <v>6</v>
      </c>
      <c r="AF257">
        <v>31816</v>
      </c>
      <c r="AG257" t="s">
        <v>143</v>
      </c>
      <c r="AH257" t="s">
        <v>143</v>
      </c>
      <c r="AI257" t="s">
        <v>143</v>
      </c>
      <c r="AJ257" t="s">
        <v>143</v>
      </c>
      <c r="AK257" t="s">
        <v>143</v>
      </c>
      <c r="AL257" t="s">
        <v>147</v>
      </c>
      <c r="AM257">
        <v>58.61</v>
      </c>
      <c r="AN257" t="s">
        <v>719</v>
      </c>
      <c r="AO257" t="s">
        <v>206</v>
      </c>
      <c r="AP257" t="s">
        <v>43</v>
      </c>
    </row>
    <row r="258" spans="1:42" x14ac:dyDescent="0.3">
      <c r="A258" t="s">
        <v>39</v>
      </c>
      <c r="B258">
        <v>120</v>
      </c>
      <c r="C258" t="s">
        <v>40</v>
      </c>
      <c r="D258" t="s">
        <v>55</v>
      </c>
      <c r="E258" t="s">
        <v>984</v>
      </c>
      <c r="F258" t="s">
        <v>45</v>
      </c>
      <c r="G258" t="s">
        <v>43</v>
      </c>
      <c r="H258" t="s">
        <v>48</v>
      </c>
      <c r="I258">
        <v>38011</v>
      </c>
      <c r="J258" t="s">
        <v>55</v>
      </c>
      <c r="K258">
        <v>11</v>
      </c>
      <c r="L258" t="s">
        <v>146</v>
      </c>
      <c r="M258">
        <v>1</v>
      </c>
      <c r="N258" t="s">
        <v>134</v>
      </c>
      <c r="O258" t="s">
        <v>324</v>
      </c>
      <c r="P258">
        <v>6700</v>
      </c>
      <c r="Q258" t="s">
        <v>55</v>
      </c>
      <c r="R258" t="s">
        <v>429</v>
      </c>
      <c r="S258">
        <v>6700</v>
      </c>
      <c r="T258" t="s">
        <v>55</v>
      </c>
      <c r="U258" t="s">
        <v>674</v>
      </c>
      <c r="V258" t="s">
        <v>674</v>
      </c>
      <c r="W258" t="s">
        <v>166</v>
      </c>
      <c r="X258">
        <v>14472</v>
      </c>
      <c r="Y258" t="s">
        <v>178</v>
      </c>
      <c r="Z258" t="s">
        <v>143</v>
      </c>
      <c r="AA258" t="s">
        <v>144</v>
      </c>
      <c r="AB258" t="s">
        <v>157</v>
      </c>
      <c r="AC258" t="s">
        <v>146</v>
      </c>
      <c r="AD258">
        <v>55</v>
      </c>
      <c r="AE258">
        <v>317</v>
      </c>
      <c r="AF258">
        <v>15584</v>
      </c>
      <c r="AG258" t="s">
        <v>143</v>
      </c>
      <c r="AH258" t="s">
        <v>143</v>
      </c>
      <c r="AI258" t="s">
        <v>143</v>
      </c>
      <c r="AJ258" t="s">
        <v>143</v>
      </c>
      <c r="AK258" t="s">
        <v>143</v>
      </c>
      <c r="AL258" t="s">
        <v>147</v>
      </c>
      <c r="AM258">
        <v>4587.62</v>
      </c>
      <c r="AN258" t="s">
        <v>417</v>
      </c>
      <c r="AO258" t="s">
        <v>50</v>
      </c>
      <c r="AP258" t="s">
        <v>43</v>
      </c>
    </row>
    <row r="259" spans="1:42" x14ac:dyDescent="0.3">
      <c r="A259" t="s">
        <v>39</v>
      </c>
      <c r="B259">
        <v>120</v>
      </c>
      <c r="C259" t="s">
        <v>40</v>
      </c>
      <c r="D259" t="s">
        <v>55</v>
      </c>
      <c r="E259" t="s">
        <v>984</v>
      </c>
      <c r="F259" t="s">
        <v>45</v>
      </c>
      <c r="G259" t="s">
        <v>61</v>
      </c>
      <c r="H259" t="s">
        <v>44</v>
      </c>
      <c r="I259">
        <v>18059</v>
      </c>
      <c r="J259" t="s">
        <v>55</v>
      </c>
      <c r="K259">
        <v>59</v>
      </c>
      <c r="L259" t="s">
        <v>158</v>
      </c>
      <c r="M259">
        <v>2</v>
      </c>
      <c r="N259" t="s">
        <v>134</v>
      </c>
      <c r="O259" t="s">
        <v>666</v>
      </c>
      <c r="P259">
        <v>2034</v>
      </c>
      <c r="Q259" t="s">
        <v>667</v>
      </c>
      <c r="R259" t="s">
        <v>668</v>
      </c>
      <c r="S259">
        <v>6700</v>
      </c>
      <c r="T259" t="s">
        <v>55</v>
      </c>
      <c r="U259" t="s">
        <v>426</v>
      </c>
      <c r="V259" t="s">
        <v>433</v>
      </c>
      <c r="W259" t="s">
        <v>141</v>
      </c>
      <c r="X259">
        <v>30188</v>
      </c>
      <c r="Y259" t="s">
        <v>178</v>
      </c>
      <c r="Z259" t="s">
        <v>143</v>
      </c>
      <c r="AA259" t="s">
        <v>143</v>
      </c>
      <c r="AB259" t="s">
        <v>157</v>
      </c>
      <c r="AC259" t="s">
        <v>158</v>
      </c>
      <c r="AD259">
        <v>5</v>
      </c>
      <c r="AE259">
        <v>25</v>
      </c>
      <c r="AF259">
        <v>15615</v>
      </c>
      <c r="AG259" t="s">
        <v>143</v>
      </c>
      <c r="AH259" t="s">
        <v>143</v>
      </c>
      <c r="AI259" t="s">
        <v>143</v>
      </c>
      <c r="AJ259" t="s">
        <v>143</v>
      </c>
      <c r="AK259" t="s">
        <v>143</v>
      </c>
      <c r="AL259" t="s">
        <v>147</v>
      </c>
      <c r="AM259">
        <v>754.7</v>
      </c>
      <c r="AN259" t="s">
        <v>417</v>
      </c>
      <c r="AO259" t="s">
        <v>720</v>
      </c>
      <c r="AP259" t="s">
        <v>61</v>
      </c>
    </row>
    <row r="260" spans="1:42" x14ac:dyDescent="0.3">
      <c r="A260" t="s">
        <v>39</v>
      </c>
      <c r="B260">
        <v>120</v>
      </c>
      <c r="C260" t="s">
        <v>40</v>
      </c>
      <c r="D260" t="s">
        <v>55</v>
      </c>
      <c r="E260" t="s">
        <v>984</v>
      </c>
      <c r="F260" t="s">
        <v>57</v>
      </c>
      <c r="G260" t="s">
        <v>43</v>
      </c>
      <c r="H260" t="s">
        <v>46</v>
      </c>
      <c r="I260">
        <v>58081</v>
      </c>
      <c r="J260" t="s">
        <v>55</v>
      </c>
      <c r="K260">
        <v>81</v>
      </c>
      <c r="L260" t="s">
        <v>146</v>
      </c>
      <c r="M260">
        <v>1</v>
      </c>
      <c r="N260" t="s">
        <v>134</v>
      </c>
      <c r="O260" t="s">
        <v>371</v>
      </c>
      <c r="P260">
        <v>6700</v>
      </c>
      <c r="Q260" t="s">
        <v>55</v>
      </c>
      <c r="R260" t="s">
        <v>721</v>
      </c>
      <c r="S260">
        <v>6700</v>
      </c>
      <c r="T260" t="s">
        <v>55</v>
      </c>
      <c r="U260" t="s">
        <v>589</v>
      </c>
      <c r="V260" t="s">
        <v>590</v>
      </c>
      <c r="W260" t="s">
        <v>166</v>
      </c>
      <c r="X260">
        <v>7448</v>
      </c>
      <c r="Y260" t="s">
        <v>156</v>
      </c>
      <c r="Z260" t="s">
        <v>143</v>
      </c>
      <c r="AA260" t="s">
        <v>144</v>
      </c>
      <c r="AB260" t="s">
        <v>157</v>
      </c>
      <c r="AC260" t="s">
        <v>146</v>
      </c>
      <c r="AD260">
        <v>1</v>
      </c>
      <c r="AE260">
        <v>6</v>
      </c>
      <c r="AF260">
        <v>15711</v>
      </c>
      <c r="AG260" t="s">
        <v>143</v>
      </c>
      <c r="AH260" t="s">
        <v>143</v>
      </c>
      <c r="AI260" t="s">
        <v>143</v>
      </c>
      <c r="AJ260" t="s">
        <v>143</v>
      </c>
      <c r="AK260" t="s">
        <v>143</v>
      </c>
      <c r="AL260" t="s">
        <v>147</v>
      </c>
      <c r="AM260">
        <v>44.69</v>
      </c>
      <c r="AN260" t="s">
        <v>417</v>
      </c>
      <c r="AO260" t="s">
        <v>159</v>
      </c>
      <c r="AP260" t="s">
        <v>43</v>
      </c>
    </row>
    <row r="261" spans="1:42" x14ac:dyDescent="0.3">
      <c r="A261" t="s">
        <v>39</v>
      </c>
      <c r="B261">
        <v>120</v>
      </c>
      <c r="C261" t="s">
        <v>40</v>
      </c>
      <c r="D261" t="s">
        <v>55</v>
      </c>
      <c r="E261" t="s">
        <v>984</v>
      </c>
      <c r="F261" t="s">
        <v>50</v>
      </c>
      <c r="G261" t="s">
        <v>43</v>
      </c>
      <c r="H261" t="s">
        <v>48</v>
      </c>
      <c r="I261">
        <v>14856</v>
      </c>
      <c r="J261" t="s">
        <v>55</v>
      </c>
      <c r="K261">
        <v>856</v>
      </c>
      <c r="L261" t="s">
        <v>158</v>
      </c>
      <c r="M261">
        <v>2</v>
      </c>
      <c r="N261" t="s">
        <v>134</v>
      </c>
      <c r="O261" t="s">
        <v>699</v>
      </c>
      <c r="P261">
        <v>3780</v>
      </c>
      <c r="Q261" t="s">
        <v>700</v>
      </c>
      <c r="R261" t="s">
        <v>722</v>
      </c>
      <c r="S261">
        <v>6700</v>
      </c>
      <c r="T261" t="s">
        <v>55</v>
      </c>
      <c r="U261" t="s">
        <v>426</v>
      </c>
      <c r="V261" t="s">
        <v>433</v>
      </c>
      <c r="W261" t="s">
        <v>337</v>
      </c>
      <c r="X261">
        <v>197670</v>
      </c>
      <c r="Y261" t="s">
        <v>178</v>
      </c>
      <c r="Z261" t="s">
        <v>143</v>
      </c>
      <c r="AA261" t="s">
        <v>143</v>
      </c>
      <c r="AB261" t="s">
        <v>157</v>
      </c>
      <c r="AC261" t="s">
        <v>158</v>
      </c>
      <c r="AD261">
        <v>1</v>
      </c>
      <c r="AE261">
        <v>13</v>
      </c>
      <c r="AF261">
        <v>29536</v>
      </c>
      <c r="AG261" t="s">
        <v>143</v>
      </c>
      <c r="AH261" t="s">
        <v>143</v>
      </c>
      <c r="AI261" t="s">
        <v>143</v>
      </c>
      <c r="AJ261" t="s">
        <v>143</v>
      </c>
      <c r="AK261" t="s">
        <v>143</v>
      </c>
      <c r="AL261" t="s">
        <v>147</v>
      </c>
      <c r="AM261">
        <v>2569.71</v>
      </c>
      <c r="AN261" t="s">
        <v>608</v>
      </c>
      <c r="AO261" t="s">
        <v>50</v>
      </c>
      <c r="AP261" t="s">
        <v>43</v>
      </c>
    </row>
    <row r="262" spans="1:42" x14ac:dyDescent="0.3">
      <c r="A262" t="s">
        <v>39</v>
      </c>
      <c r="B262">
        <v>120</v>
      </c>
      <c r="C262" t="s">
        <v>40</v>
      </c>
      <c r="D262" t="s">
        <v>55</v>
      </c>
      <c r="E262" t="s">
        <v>984</v>
      </c>
      <c r="F262" t="s">
        <v>50</v>
      </c>
      <c r="G262" t="s">
        <v>43</v>
      </c>
      <c r="H262" t="s">
        <v>48</v>
      </c>
      <c r="I262">
        <v>22026</v>
      </c>
      <c r="J262" t="s">
        <v>55</v>
      </c>
      <c r="K262">
        <v>26</v>
      </c>
      <c r="L262" t="s">
        <v>985</v>
      </c>
      <c r="M262">
        <v>1</v>
      </c>
      <c r="N262" t="s">
        <v>134</v>
      </c>
      <c r="O262" t="s">
        <v>723</v>
      </c>
      <c r="P262">
        <v>6700</v>
      </c>
      <c r="Q262" t="s">
        <v>55</v>
      </c>
      <c r="R262" t="s">
        <v>429</v>
      </c>
      <c r="S262">
        <v>48</v>
      </c>
      <c r="T262" t="s">
        <v>710</v>
      </c>
      <c r="U262" t="s">
        <v>711</v>
      </c>
      <c r="V262" t="s">
        <v>712</v>
      </c>
      <c r="W262" t="s">
        <v>141</v>
      </c>
      <c r="X262">
        <v>29759</v>
      </c>
      <c r="Y262" t="s">
        <v>178</v>
      </c>
      <c r="Z262" t="s">
        <v>143</v>
      </c>
      <c r="AA262" t="s">
        <v>143</v>
      </c>
      <c r="AB262" t="s">
        <v>157</v>
      </c>
      <c r="AC262" t="s">
        <v>158</v>
      </c>
      <c r="AD262">
        <v>12</v>
      </c>
      <c r="AE262">
        <v>68</v>
      </c>
      <c r="AF262">
        <v>15587</v>
      </c>
      <c r="AG262" t="s">
        <v>143</v>
      </c>
      <c r="AH262" t="s">
        <v>143</v>
      </c>
      <c r="AI262" t="s">
        <v>143</v>
      </c>
      <c r="AJ262" t="s">
        <v>143</v>
      </c>
      <c r="AK262" t="s">
        <v>143</v>
      </c>
      <c r="AL262" t="s">
        <v>147</v>
      </c>
      <c r="AM262">
        <v>2023.61</v>
      </c>
      <c r="AN262" t="s">
        <v>417</v>
      </c>
      <c r="AO262" t="s">
        <v>50</v>
      </c>
      <c r="AP262" t="s">
        <v>43</v>
      </c>
    </row>
    <row r="263" spans="1:42" x14ac:dyDescent="0.3">
      <c r="A263" t="s">
        <v>39</v>
      </c>
      <c r="B263">
        <v>120</v>
      </c>
      <c r="C263" t="s">
        <v>40</v>
      </c>
      <c r="D263" t="s">
        <v>55</v>
      </c>
      <c r="E263" t="s">
        <v>984</v>
      </c>
      <c r="F263" t="s">
        <v>50</v>
      </c>
      <c r="G263" t="s">
        <v>43</v>
      </c>
      <c r="H263" t="s">
        <v>48</v>
      </c>
      <c r="I263">
        <v>22026</v>
      </c>
      <c r="J263" t="s">
        <v>55</v>
      </c>
      <c r="K263">
        <v>26</v>
      </c>
      <c r="L263" t="s">
        <v>985</v>
      </c>
      <c r="M263">
        <v>2</v>
      </c>
      <c r="N263" t="s">
        <v>134</v>
      </c>
      <c r="O263" t="s">
        <v>723</v>
      </c>
      <c r="P263">
        <v>48</v>
      </c>
      <c r="Q263" t="s">
        <v>710</v>
      </c>
      <c r="R263" t="s">
        <v>711</v>
      </c>
      <c r="S263">
        <v>6700</v>
      </c>
      <c r="T263" t="s">
        <v>55</v>
      </c>
      <c r="U263" t="s">
        <v>426</v>
      </c>
      <c r="V263" t="s">
        <v>433</v>
      </c>
      <c r="W263" t="s">
        <v>141</v>
      </c>
      <c r="X263">
        <v>30026</v>
      </c>
      <c r="Y263" t="s">
        <v>178</v>
      </c>
      <c r="Z263" t="s">
        <v>143</v>
      </c>
      <c r="AA263" t="s">
        <v>143</v>
      </c>
      <c r="AB263" t="s">
        <v>157</v>
      </c>
      <c r="AC263" t="s">
        <v>158</v>
      </c>
      <c r="AD263">
        <v>12</v>
      </c>
      <c r="AE263">
        <v>67</v>
      </c>
      <c r="AF263">
        <v>15588</v>
      </c>
      <c r="AG263" t="s">
        <v>143</v>
      </c>
      <c r="AH263" t="s">
        <v>143</v>
      </c>
      <c r="AI263" t="s">
        <v>143</v>
      </c>
      <c r="AJ263" t="s">
        <v>143</v>
      </c>
      <c r="AK263" t="s">
        <v>143</v>
      </c>
      <c r="AL263" t="s">
        <v>147</v>
      </c>
      <c r="AM263">
        <v>2011.74</v>
      </c>
      <c r="AN263" t="s">
        <v>417</v>
      </c>
      <c r="AO263" t="s">
        <v>50</v>
      </c>
      <c r="AP263" t="s">
        <v>43</v>
      </c>
    </row>
    <row r="264" spans="1:42" x14ac:dyDescent="0.3">
      <c r="A264" t="s">
        <v>39</v>
      </c>
      <c r="B264">
        <v>120</v>
      </c>
      <c r="C264" t="s">
        <v>40</v>
      </c>
      <c r="D264" t="s">
        <v>55</v>
      </c>
      <c r="E264" t="s">
        <v>984</v>
      </c>
      <c r="F264" t="s">
        <v>50</v>
      </c>
      <c r="G264" t="s">
        <v>43</v>
      </c>
      <c r="H264" t="s">
        <v>48</v>
      </c>
      <c r="I264">
        <v>25029</v>
      </c>
      <c r="J264" t="s">
        <v>55</v>
      </c>
      <c r="K264">
        <v>29</v>
      </c>
      <c r="L264" t="s">
        <v>985</v>
      </c>
      <c r="M264">
        <v>2</v>
      </c>
      <c r="N264" t="s">
        <v>134</v>
      </c>
      <c r="O264" t="s">
        <v>709</v>
      </c>
      <c r="P264">
        <v>48</v>
      </c>
      <c r="Q264" t="s">
        <v>710</v>
      </c>
      <c r="R264" t="s">
        <v>711</v>
      </c>
      <c r="S264">
        <v>9200</v>
      </c>
      <c r="T264" t="s">
        <v>520</v>
      </c>
      <c r="U264" t="s">
        <v>610</v>
      </c>
      <c r="V264" t="s">
        <v>611</v>
      </c>
      <c r="W264" t="s">
        <v>141</v>
      </c>
      <c r="X264">
        <v>35366</v>
      </c>
      <c r="Y264" t="s">
        <v>178</v>
      </c>
      <c r="Z264" t="s">
        <v>143</v>
      </c>
      <c r="AA264" t="s">
        <v>143</v>
      </c>
      <c r="AB264" t="s">
        <v>145</v>
      </c>
      <c r="AC264" t="s">
        <v>158</v>
      </c>
      <c r="AD264">
        <v>4</v>
      </c>
      <c r="AE264">
        <v>24</v>
      </c>
      <c r="AF264">
        <v>15564</v>
      </c>
      <c r="AG264" t="s">
        <v>143</v>
      </c>
      <c r="AH264" t="s">
        <v>143</v>
      </c>
      <c r="AI264" t="s">
        <v>143</v>
      </c>
      <c r="AJ264" t="s">
        <v>143</v>
      </c>
      <c r="AK264" t="s">
        <v>143</v>
      </c>
      <c r="AL264" t="s">
        <v>147</v>
      </c>
      <c r="AM264">
        <v>848.78</v>
      </c>
      <c r="AN264" t="s">
        <v>417</v>
      </c>
      <c r="AO264" t="s">
        <v>50</v>
      </c>
      <c r="AP264" t="s">
        <v>43</v>
      </c>
    </row>
    <row r="265" spans="1:42" x14ac:dyDescent="0.3">
      <c r="A265" t="s">
        <v>39</v>
      </c>
      <c r="B265">
        <v>120</v>
      </c>
      <c r="C265" t="s">
        <v>40</v>
      </c>
      <c r="D265" t="s">
        <v>55</v>
      </c>
      <c r="E265" t="s">
        <v>984</v>
      </c>
      <c r="F265" t="s">
        <v>50</v>
      </c>
      <c r="G265" t="s">
        <v>43</v>
      </c>
      <c r="H265" t="s">
        <v>48</v>
      </c>
      <c r="I265">
        <v>78015</v>
      </c>
      <c r="J265" t="s">
        <v>55</v>
      </c>
      <c r="K265">
        <v>15</v>
      </c>
      <c r="L265" t="s">
        <v>146</v>
      </c>
      <c r="M265">
        <v>2</v>
      </c>
      <c r="N265" t="s">
        <v>134</v>
      </c>
      <c r="O265" t="s">
        <v>724</v>
      </c>
      <c r="P265">
        <v>6700</v>
      </c>
      <c r="Q265" t="s">
        <v>55</v>
      </c>
      <c r="R265" t="s">
        <v>674</v>
      </c>
      <c r="S265">
        <v>6700</v>
      </c>
      <c r="T265" t="s">
        <v>55</v>
      </c>
      <c r="U265" t="s">
        <v>705</v>
      </c>
      <c r="V265" t="s">
        <v>706</v>
      </c>
      <c r="W265" t="s">
        <v>166</v>
      </c>
      <c r="X265">
        <v>14340</v>
      </c>
      <c r="Y265" t="s">
        <v>178</v>
      </c>
      <c r="Z265" t="s">
        <v>143</v>
      </c>
      <c r="AA265" t="s">
        <v>144</v>
      </c>
      <c r="AB265" t="s">
        <v>157</v>
      </c>
      <c r="AC265" t="s">
        <v>146</v>
      </c>
      <c r="AD265">
        <v>52</v>
      </c>
      <c r="AE265">
        <v>303</v>
      </c>
      <c r="AF265">
        <v>25833</v>
      </c>
      <c r="AG265" t="s">
        <v>143</v>
      </c>
      <c r="AH265" t="s">
        <v>143</v>
      </c>
      <c r="AI265" t="s">
        <v>143</v>
      </c>
      <c r="AJ265" t="s">
        <v>143</v>
      </c>
      <c r="AK265" t="s">
        <v>143</v>
      </c>
      <c r="AL265" t="s">
        <v>147</v>
      </c>
      <c r="AM265">
        <v>4345.0200000000004</v>
      </c>
      <c r="AN265" t="s">
        <v>725</v>
      </c>
      <c r="AO265" t="s">
        <v>50</v>
      </c>
      <c r="AP265" t="s">
        <v>43</v>
      </c>
    </row>
    <row r="266" spans="1:42" x14ac:dyDescent="0.3">
      <c r="A266" t="s">
        <v>39</v>
      </c>
      <c r="B266">
        <v>134</v>
      </c>
      <c r="C266" t="s">
        <v>58</v>
      </c>
      <c r="D266" t="s">
        <v>59</v>
      </c>
      <c r="E266" t="s">
        <v>987</v>
      </c>
      <c r="F266" t="s">
        <v>45</v>
      </c>
      <c r="G266" t="s">
        <v>43</v>
      </c>
      <c r="H266" t="s">
        <v>44</v>
      </c>
      <c r="I266">
        <v>30062</v>
      </c>
      <c r="J266" t="s">
        <v>59</v>
      </c>
      <c r="K266">
        <v>62</v>
      </c>
      <c r="L266" t="s">
        <v>146</v>
      </c>
      <c r="M266">
        <v>1</v>
      </c>
      <c r="N266" t="s">
        <v>134</v>
      </c>
      <c r="O266" t="s">
        <v>726</v>
      </c>
      <c r="P266">
        <v>3000</v>
      </c>
      <c r="Q266" t="s">
        <v>60</v>
      </c>
      <c r="R266" t="s">
        <v>727</v>
      </c>
      <c r="S266">
        <v>3000</v>
      </c>
      <c r="T266" t="s">
        <v>60</v>
      </c>
      <c r="U266" t="s">
        <v>728</v>
      </c>
      <c r="V266" t="s">
        <v>729</v>
      </c>
      <c r="W266" t="s">
        <v>166</v>
      </c>
      <c r="X266">
        <v>9329</v>
      </c>
      <c r="Y266" t="s">
        <v>178</v>
      </c>
      <c r="Z266" t="s">
        <v>143</v>
      </c>
      <c r="AA266" t="s">
        <v>144</v>
      </c>
      <c r="AB266" t="s">
        <v>650</v>
      </c>
      <c r="AC266" t="s">
        <v>146</v>
      </c>
      <c r="AD266">
        <v>5</v>
      </c>
      <c r="AE266">
        <v>25</v>
      </c>
      <c r="AF266">
        <v>33265</v>
      </c>
      <c r="AG266" t="s">
        <v>143</v>
      </c>
      <c r="AH266" t="s">
        <v>143</v>
      </c>
      <c r="AI266" t="s">
        <v>143</v>
      </c>
      <c r="AJ266" t="s">
        <v>143</v>
      </c>
      <c r="AK266" t="s">
        <v>143</v>
      </c>
      <c r="AL266" t="s">
        <v>147</v>
      </c>
      <c r="AM266">
        <v>233.23</v>
      </c>
      <c r="AN266" t="s">
        <v>730</v>
      </c>
      <c r="AO266" t="s">
        <v>730</v>
      </c>
      <c r="AP266" t="s">
        <v>43</v>
      </c>
    </row>
    <row r="267" spans="1:42" x14ac:dyDescent="0.3">
      <c r="A267" t="s">
        <v>39</v>
      </c>
      <c r="B267">
        <v>134</v>
      </c>
      <c r="C267" t="s">
        <v>58</v>
      </c>
      <c r="D267" t="s">
        <v>59</v>
      </c>
      <c r="E267" t="s">
        <v>987</v>
      </c>
      <c r="F267" t="s">
        <v>45</v>
      </c>
      <c r="G267" t="s">
        <v>43</v>
      </c>
      <c r="H267" t="s">
        <v>47</v>
      </c>
      <c r="I267">
        <v>10822</v>
      </c>
      <c r="J267" t="s">
        <v>59</v>
      </c>
      <c r="K267">
        <v>822</v>
      </c>
      <c r="L267" t="s">
        <v>146</v>
      </c>
      <c r="M267">
        <v>2</v>
      </c>
      <c r="N267" t="s">
        <v>134</v>
      </c>
      <c r="O267" t="s">
        <v>731</v>
      </c>
      <c r="P267">
        <v>3000</v>
      </c>
      <c r="Q267" t="s">
        <v>60</v>
      </c>
      <c r="R267" t="s">
        <v>732</v>
      </c>
      <c r="S267">
        <v>3000</v>
      </c>
      <c r="T267" t="s">
        <v>60</v>
      </c>
      <c r="U267" t="s">
        <v>733</v>
      </c>
      <c r="V267" t="s">
        <v>734</v>
      </c>
      <c r="W267" t="s">
        <v>166</v>
      </c>
      <c r="X267">
        <v>10423</v>
      </c>
      <c r="Y267" t="s">
        <v>156</v>
      </c>
      <c r="Z267" t="s">
        <v>143</v>
      </c>
      <c r="AA267" t="s">
        <v>144</v>
      </c>
      <c r="AB267" t="s">
        <v>157</v>
      </c>
      <c r="AC267" t="s">
        <v>146</v>
      </c>
      <c r="AD267">
        <v>1</v>
      </c>
      <c r="AE267">
        <v>5</v>
      </c>
      <c r="AF267">
        <v>31818</v>
      </c>
      <c r="AG267" t="s">
        <v>143</v>
      </c>
      <c r="AH267" t="s">
        <v>143</v>
      </c>
      <c r="AI267" t="s">
        <v>143</v>
      </c>
      <c r="AJ267" t="s">
        <v>143</v>
      </c>
      <c r="AK267" t="s">
        <v>143</v>
      </c>
      <c r="AL267" t="s">
        <v>147</v>
      </c>
      <c r="AM267">
        <v>52.12</v>
      </c>
      <c r="AN267" t="s">
        <v>719</v>
      </c>
      <c r="AO267" t="s">
        <v>587</v>
      </c>
      <c r="AP267" t="s">
        <v>43</v>
      </c>
    </row>
    <row r="268" spans="1:42" x14ac:dyDescent="0.3">
      <c r="A268" t="s">
        <v>39</v>
      </c>
      <c r="B268">
        <v>134</v>
      </c>
      <c r="C268" t="s">
        <v>58</v>
      </c>
      <c r="D268" t="s">
        <v>59</v>
      </c>
      <c r="E268" t="s">
        <v>987</v>
      </c>
      <c r="F268" t="s">
        <v>45</v>
      </c>
      <c r="G268" t="s">
        <v>43</v>
      </c>
      <c r="H268" t="s">
        <v>47</v>
      </c>
      <c r="I268">
        <v>11882</v>
      </c>
      <c r="J268" t="s">
        <v>59</v>
      </c>
      <c r="K268">
        <v>882</v>
      </c>
      <c r="L268" t="s">
        <v>146</v>
      </c>
      <c r="M268">
        <v>1</v>
      </c>
      <c r="N268" t="s">
        <v>134</v>
      </c>
      <c r="O268" t="s">
        <v>735</v>
      </c>
      <c r="P268">
        <v>3000</v>
      </c>
      <c r="Q268" t="s">
        <v>60</v>
      </c>
      <c r="R268" t="s">
        <v>736</v>
      </c>
      <c r="S268">
        <v>3000</v>
      </c>
      <c r="T268" t="s">
        <v>60</v>
      </c>
      <c r="U268" t="s">
        <v>737</v>
      </c>
      <c r="V268" t="s">
        <v>738</v>
      </c>
      <c r="W268" t="s">
        <v>166</v>
      </c>
      <c r="X268">
        <v>6469</v>
      </c>
      <c r="Y268" t="s">
        <v>156</v>
      </c>
      <c r="Z268" t="s">
        <v>143</v>
      </c>
      <c r="AA268" t="s">
        <v>144</v>
      </c>
      <c r="AB268" t="s">
        <v>145</v>
      </c>
      <c r="AC268" t="s">
        <v>146</v>
      </c>
      <c r="AD268">
        <v>2</v>
      </c>
      <c r="AE268">
        <v>12</v>
      </c>
      <c r="AF268">
        <v>29623</v>
      </c>
      <c r="AG268" t="s">
        <v>144</v>
      </c>
      <c r="AH268" t="s">
        <v>143</v>
      </c>
      <c r="AI268" t="s">
        <v>143</v>
      </c>
      <c r="AJ268" t="s">
        <v>143</v>
      </c>
      <c r="AK268" t="s">
        <v>143</v>
      </c>
      <c r="AL268" t="s">
        <v>147</v>
      </c>
      <c r="AM268">
        <v>77.63</v>
      </c>
      <c r="AN268" t="s">
        <v>739</v>
      </c>
      <c r="AO268" t="s">
        <v>587</v>
      </c>
      <c r="AP268" t="s">
        <v>43</v>
      </c>
    </row>
    <row r="269" spans="1:42" x14ac:dyDescent="0.3">
      <c r="A269" t="s">
        <v>39</v>
      </c>
      <c r="B269">
        <v>134</v>
      </c>
      <c r="C269" t="s">
        <v>58</v>
      </c>
      <c r="D269" t="s">
        <v>59</v>
      </c>
      <c r="E269" t="s">
        <v>987</v>
      </c>
      <c r="F269" t="s">
        <v>52</v>
      </c>
      <c r="G269" t="s">
        <v>62</v>
      </c>
      <c r="H269" t="s">
        <v>63</v>
      </c>
      <c r="I269">
        <v>11517</v>
      </c>
      <c r="J269" t="s">
        <v>59</v>
      </c>
      <c r="K269">
        <v>517</v>
      </c>
      <c r="L269" t="s">
        <v>146</v>
      </c>
      <c r="M269">
        <v>2</v>
      </c>
      <c r="N269" t="s">
        <v>134</v>
      </c>
      <c r="O269" t="s">
        <v>740</v>
      </c>
      <c r="P269">
        <v>3000</v>
      </c>
      <c r="Q269" t="s">
        <v>60</v>
      </c>
      <c r="R269" t="s">
        <v>741</v>
      </c>
      <c r="S269">
        <v>3000</v>
      </c>
      <c r="T269" t="s">
        <v>60</v>
      </c>
      <c r="U269" t="s">
        <v>742</v>
      </c>
      <c r="V269" t="s">
        <v>743</v>
      </c>
      <c r="W269" t="s">
        <v>379</v>
      </c>
      <c r="X269">
        <v>15459</v>
      </c>
      <c r="Y269" t="s">
        <v>178</v>
      </c>
      <c r="Z269" t="s">
        <v>143</v>
      </c>
      <c r="AA269" t="s">
        <v>144</v>
      </c>
      <c r="AB269" t="s">
        <v>157</v>
      </c>
      <c r="AC269" t="s">
        <v>146</v>
      </c>
      <c r="AD269">
        <v>0</v>
      </c>
      <c r="AE269">
        <v>155</v>
      </c>
      <c r="AF269">
        <v>20298</v>
      </c>
      <c r="AG269" t="s">
        <v>143</v>
      </c>
      <c r="AH269" t="s">
        <v>143</v>
      </c>
      <c r="AI269" t="s">
        <v>143</v>
      </c>
      <c r="AJ269" t="s">
        <v>143</v>
      </c>
      <c r="AK269" t="s">
        <v>143</v>
      </c>
      <c r="AL269" t="s">
        <v>147</v>
      </c>
      <c r="AM269">
        <v>2396.15</v>
      </c>
      <c r="AN269" t="s">
        <v>744</v>
      </c>
      <c r="AO269" t="s">
        <v>52</v>
      </c>
      <c r="AP269" t="s">
        <v>62</v>
      </c>
    </row>
    <row r="270" spans="1:42" x14ac:dyDescent="0.3">
      <c r="A270" t="s">
        <v>39</v>
      </c>
      <c r="B270">
        <v>134</v>
      </c>
      <c r="C270" t="s">
        <v>58</v>
      </c>
      <c r="D270" t="s">
        <v>59</v>
      </c>
      <c r="E270" t="s">
        <v>987</v>
      </c>
      <c r="F270" t="s">
        <v>52</v>
      </c>
      <c r="G270" t="s">
        <v>62</v>
      </c>
      <c r="H270" t="s">
        <v>63</v>
      </c>
      <c r="I270">
        <v>11663</v>
      </c>
      <c r="J270" t="s">
        <v>59</v>
      </c>
      <c r="K270">
        <v>663</v>
      </c>
      <c r="L270" t="s">
        <v>146</v>
      </c>
      <c r="M270">
        <v>2</v>
      </c>
      <c r="N270" t="s">
        <v>134</v>
      </c>
      <c r="O270" t="s">
        <v>745</v>
      </c>
      <c r="P270">
        <v>3000</v>
      </c>
      <c r="Q270" t="s">
        <v>60</v>
      </c>
      <c r="R270" t="s">
        <v>746</v>
      </c>
      <c r="S270">
        <v>3000</v>
      </c>
      <c r="T270" t="s">
        <v>60</v>
      </c>
      <c r="U270" t="s">
        <v>747</v>
      </c>
      <c r="V270" t="s">
        <v>748</v>
      </c>
      <c r="W270" t="s">
        <v>166</v>
      </c>
      <c r="X270">
        <v>5260</v>
      </c>
      <c r="Y270" t="s">
        <v>178</v>
      </c>
      <c r="Z270" t="s">
        <v>143</v>
      </c>
      <c r="AA270" t="s">
        <v>144</v>
      </c>
      <c r="AB270" t="s">
        <v>650</v>
      </c>
      <c r="AC270" t="s">
        <v>146</v>
      </c>
      <c r="AD270">
        <v>0</v>
      </c>
      <c r="AE270">
        <v>88</v>
      </c>
      <c r="AF270">
        <v>34622</v>
      </c>
      <c r="AG270" t="s">
        <v>143</v>
      </c>
      <c r="AH270" t="s">
        <v>143</v>
      </c>
      <c r="AI270" t="s">
        <v>143</v>
      </c>
      <c r="AJ270" t="s">
        <v>143</v>
      </c>
      <c r="AK270" t="s">
        <v>143</v>
      </c>
      <c r="AL270" t="s">
        <v>147</v>
      </c>
      <c r="AM270">
        <v>462.88</v>
      </c>
      <c r="AN270" t="s">
        <v>52</v>
      </c>
      <c r="AO270" t="s">
        <v>52</v>
      </c>
      <c r="AP270" t="s">
        <v>62</v>
      </c>
    </row>
    <row r="271" spans="1:42" x14ac:dyDescent="0.3">
      <c r="A271" t="s">
        <v>39</v>
      </c>
      <c r="B271">
        <v>134</v>
      </c>
      <c r="C271" t="s">
        <v>58</v>
      </c>
      <c r="D271" t="s">
        <v>59</v>
      </c>
      <c r="E271" t="s">
        <v>987</v>
      </c>
      <c r="F271" t="s">
        <v>52</v>
      </c>
      <c r="G271" t="s">
        <v>62</v>
      </c>
      <c r="H271" t="s">
        <v>63</v>
      </c>
      <c r="I271">
        <v>19075</v>
      </c>
      <c r="J271" t="s">
        <v>59</v>
      </c>
      <c r="K271">
        <v>75</v>
      </c>
      <c r="L271" t="s">
        <v>146</v>
      </c>
      <c r="M271">
        <v>1</v>
      </c>
      <c r="N271" t="s">
        <v>134</v>
      </c>
      <c r="O271" t="s">
        <v>207</v>
      </c>
      <c r="P271">
        <v>3000</v>
      </c>
      <c r="Q271" t="s">
        <v>60</v>
      </c>
      <c r="R271" t="s">
        <v>749</v>
      </c>
      <c r="S271">
        <v>3000</v>
      </c>
      <c r="T271" t="s">
        <v>60</v>
      </c>
      <c r="U271" t="s">
        <v>750</v>
      </c>
      <c r="V271" t="s">
        <v>751</v>
      </c>
      <c r="W271" t="s">
        <v>166</v>
      </c>
      <c r="X271">
        <v>17314</v>
      </c>
      <c r="Y271" t="s">
        <v>178</v>
      </c>
      <c r="Z271" t="s">
        <v>143</v>
      </c>
      <c r="AA271" t="s">
        <v>144</v>
      </c>
      <c r="AB271" t="s">
        <v>650</v>
      </c>
      <c r="AC271" t="s">
        <v>146</v>
      </c>
      <c r="AD271">
        <v>0</v>
      </c>
      <c r="AE271">
        <v>164</v>
      </c>
      <c r="AF271">
        <v>30728</v>
      </c>
      <c r="AG271" t="s">
        <v>144</v>
      </c>
      <c r="AH271" t="s">
        <v>143</v>
      </c>
      <c r="AI271" t="s">
        <v>143</v>
      </c>
      <c r="AJ271" t="s">
        <v>143</v>
      </c>
      <c r="AK271" t="s">
        <v>143</v>
      </c>
      <c r="AL271" t="s">
        <v>147</v>
      </c>
      <c r="AM271">
        <v>2839.5</v>
      </c>
      <c r="AN271" t="s">
        <v>200</v>
      </c>
      <c r="AO271" t="s">
        <v>52</v>
      </c>
      <c r="AP271" t="s">
        <v>62</v>
      </c>
    </row>
    <row r="272" spans="1:42" x14ac:dyDescent="0.3">
      <c r="A272" t="s">
        <v>39</v>
      </c>
      <c r="B272">
        <v>134</v>
      </c>
      <c r="C272" t="s">
        <v>58</v>
      </c>
      <c r="D272" t="s">
        <v>59</v>
      </c>
      <c r="E272" t="s">
        <v>987</v>
      </c>
      <c r="F272" t="s">
        <v>64</v>
      </c>
      <c r="G272" t="s">
        <v>43</v>
      </c>
      <c r="H272" t="s">
        <v>48</v>
      </c>
      <c r="I272">
        <v>17071</v>
      </c>
      <c r="J272" t="s">
        <v>59</v>
      </c>
      <c r="K272">
        <v>71</v>
      </c>
      <c r="L272" t="s">
        <v>146</v>
      </c>
      <c r="M272">
        <v>1</v>
      </c>
      <c r="N272" t="s">
        <v>134</v>
      </c>
      <c r="O272" t="s">
        <v>752</v>
      </c>
      <c r="P272">
        <v>3000</v>
      </c>
      <c r="Q272" t="s">
        <v>60</v>
      </c>
      <c r="R272" t="s">
        <v>727</v>
      </c>
      <c r="S272">
        <v>3000</v>
      </c>
      <c r="T272" t="s">
        <v>60</v>
      </c>
      <c r="U272" t="s">
        <v>753</v>
      </c>
      <c r="V272" t="s">
        <v>754</v>
      </c>
      <c r="W272" t="s">
        <v>166</v>
      </c>
      <c r="X272">
        <v>21336</v>
      </c>
      <c r="Y272" t="s">
        <v>178</v>
      </c>
      <c r="Z272" t="s">
        <v>143</v>
      </c>
      <c r="AA272" t="s">
        <v>144</v>
      </c>
      <c r="AB272" t="s">
        <v>650</v>
      </c>
      <c r="AC272" t="s">
        <v>146</v>
      </c>
      <c r="AD272">
        <v>98</v>
      </c>
      <c r="AE272">
        <v>564</v>
      </c>
      <c r="AF272">
        <v>34117</v>
      </c>
      <c r="AG272" t="s">
        <v>144</v>
      </c>
      <c r="AH272" t="s">
        <v>143</v>
      </c>
      <c r="AI272" t="s">
        <v>143</v>
      </c>
      <c r="AJ272" t="s">
        <v>143</v>
      </c>
      <c r="AK272" t="s">
        <v>143</v>
      </c>
      <c r="AL272" t="s">
        <v>147</v>
      </c>
      <c r="AM272">
        <v>12033.5</v>
      </c>
      <c r="AN272" t="s">
        <v>645</v>
      </c>
      <c r="AO272" t="s">
        <v>50</v>
      </c>
      <c r="AP272" t="s">
        <v>43</v>
      </c>
    </row>
    <row r="273" spans="1:42" x14ac:dyDescent="0.3">
      <c r="A273" t="s">
        <v>39</v>
      </c>
      <c r="B273">
        <v>134</v>
      </c>
      <c r="C273" t="s">
        <v>58</v>
      </c>
      <c r="D273" t="s">
        <v>59</v>
      </c>
      <c r="E273" t="s">
        <v>987</v>
      </c>
      <c r="F273" t="s">
        <v>64</v>
      </c>
      <c r="G273" t="s">
        <v>43</v>
      </c>
      <c r="H273" t="s">
        <v>48</v>
      </c>
      <c r="I273">
        <v>31077</v>
      </c>
      <c r="J273" t="s">
        <v>59</v>
      </c>
      <c r="K273">
        <v>77</v>
      </c>
      <c r="L273" t="s">
        <v>146</v>
      </c>
      <c r="M273">
        <v>2</v>
      </c>
      <c r="N273" t="s">
        <v>160</v>
      </c>
      <c r="O273" t="s">
        <v>755</v>
      </c>
      <c r="P273">
        <v>3000</v>
      </c>
      <c r="Q273" t="s">
        <v>60</v>
      </c>
      <c r="R273" t="s">
        <v>747</v>
      </c>
      <c r="S273">
        <v>3000</v>
      </c>
      <c r="T273" t="s">
        <v>60</v>
      </c>
      <c r="U273" t="s">
        <v>756</v>
      </c>
      <c r="V273" t="s">
        <v>757</v>
      </c>
      <c r="W273" t="s">
        <v>166</v>
      </c>
      <c r="X273">
        <v>14210</v>
      </c>
      <c r="Y273" t="s">
        <v>178</v>
      </c>
      <c r="Z273" t="s">
        <v>143</v>
      </c>
      <c r="AA273" t="s">
        <v>144</v>
      </c>
      <c r="AB273" t="s">
        <v>650</v>
      </c>
      <c r="AC273" t="s">
        <v>146</v>
      </c>
      <c r="AD273">
        <v>39</v>
      </c>
      <c r="AE273">
        <v>218</v>
      </c>
      <c r="AF273">
        <v>30797</v>
      </c>
      <c r="AG273" t="s">
        <v>144</v>
      </c>
      <c r="AH273" t="s">
        <v>143</v>
      </c>
      <c r="AI273" t="s">
        <v>143</v>
      </c>
      <c r="AJ273" t="s">
        <v>143</v>
      </c>
      <c r="AK273" t="s">
        <v>143</v>
      </c>
      <c r="AL273" t="s">
        <v>147</v>
      </c>
      <c r="AM273">
        <v>3097.78</v>
      </c>
      <c r="AN273" t="s">
        <v>758</v>
      </c>
      <c r="AO273" t="s">
        <v>50</v>
      </c>
      <c r="AP273" t="s">
        <v>43</v>
      </c>
    </row>
    <row r="274" spans="1:42" x14ac:dyDescent="0.3">
      <c r="A274" t="s">
        <v>39</v>
      </c>
      <c r="B274">
        <v>134</v>
      </c>
      <c r="C274" t="s">
        <v>58</v>
      </c>
      <c r="D274" t="s">
        <v>59</v>
      </c>
      <c r="E274" t="s">
        <v>987</v>
      </c>
      <c r="F274" t="s">
        <v>64</v>
      </c>
      <c r="G274" t="s">
        <v>43</v>
      </c>
      <c r="H274" t="s">
        <v>48</v>
      </c>
      <c r="I274">
        <v>47091</v>
      </c>
      <c r="J274" t="s">
        <v>59</v>
      </c>
      <c r="K274">
        <v>91</v>
      </c>
      <c r="L274" t="s">
        <v>146</v>
      </c>
      <c r="M274">
        <v>1</v>
      </c>
      <c r="N274" t="s">
        <v>134</v>
      </c>
      <c r="O274" t="s">
        <v>759</v>
      </c>
      <c r="P274">
        <v>3000</v>
      </c>
      <c r="Q274" t="s">
        <v>60</v>
      </c>
      <c r="R274" t="s">
        <v>760</v>
      </c>
      <c r="S274">
        <v>3000</v>
      </c>
      <c r="T274" t="s">
        <v>60</v>
      </c>
      <c r="U274" t="s">
        <v>761</v>
      </c>
      <c r="V274" t="s">
        <v>762</v>
      </c>
      <c r="W274" t="s">
        <v>166</v>
      </c>
      <c r="X274">
        <v>18422</v>
      </c>
      <c r="Y274" t="s">
        <v>178</v>
      </c>
      <c r="Z274" t="s">
        <v>143</v>
      </c>
      <c r="AA274" t="s">
        <v>144</v>
      </c>
      <c r="AB274" t="s">
        <v>157</v>
      </c>
      <c r="AC274" t="s">
        <v>146</v>
      </c>
      <c r="AD274">
        <v>83</v>
      </c>
      <c r="AE274">
        <v>475</v>
      </c>
      <c r="AF274">
        <v>23503</v>
      </c>
      <c r="AG274" t="s">
        <v>144</v>
      </c>
      <c r="AH274" t="s">
        <v>143</v>
      </c>
      <c r="AI274" t="s">
        <v>143</v>
      </c>
      <c r="AJ274" t="s">
        <v>143</v>
      </c>
      <c r="AK274" t="s">
        <v>143</v>
      </c>
      <c r="AL274" t="s">
        <v>147</v>
      </c>
      <c r="AM274">
        <v>8750.4500000000007</v>
      </c>
      <c r="AN274" t="s">
        <v>200</v>
      </c>
      <c r="AO274" t="s">
        <v>50</v>
      </c>
      <c r="AP274" t="s">
        <v>43</v>
      </c>
    </row>
    <row r="275" spans="1:42" x14ac:dyDescent="0.3">
      <c r="A275" t="s">
        <v>39</v>
      </c>
      <c r="B275">
        <v>134</v>
      </c>
      <c r="C275" t="s">
        <v>58</v>
      </c>
      <c r="D275" t="s">
        <v>59</v>
      </c>
      <c r="E275" t="s">
        <v>987</v>
      </c>
      <c r="F275" t="s">
        <v>45</v>
      </c>
      <c r="G275" t="s">
        <v>43</v>
      </c>
      <c r="H275" t="s">
        <v>46</v>
      </c>
      <c r="I275">
        <v>10773</v>
      </c>
      <c r="J275" t="s">
        <v>59</v>
      </c>
      <c r="K275">
        <v>773</v>
      </c>
      <c r="L275" t="s">
        <v>146</v>
      </c>
      <c r="M275">
        <v>1</v>
      </c>
      <c r="N275" t="s">
        <v>134</v>
      </c>
      <c r="O275" t="s">
        <v>763</v>
      </c>
      <c r="P275">
        <v>3000</v>
      </c>
      <c r="Q275" t="s">
        <v>60</v>
      </c>
      <c r="R275" t="s">
        <v>732</v>
      </c>
      <c r="S275">
        <v>3000</v>
      </c>
      <c r="T275" t="s">
        <v>60</v>
      </c>
      <c r="U275" t="s">
        <v>764</v>
      </c>
      <c r="V275" t="s">
        <v>765</v>
      </c>
      <c r="W275" t="s">
        <v>166</v>
      </c>
      <c r="X275">
        <v>5297</v>
      </c>
      <c r="Y275" t="s">
        <v>156</v>
      </c>
      <c r="Z275" t="s">
        <v>143</v>
      </c>
      <c r="AA275" t="s">
        <v>144</v>
      </c>
      <c r="AB275" t="s">
        <v>157</v>
      </c>
      <c r="AC275" t="s">
        <v>146</v>
      </c>
      <c r="AD275">
        <v>1</v>
      </c>
      <c r="AE275">
        <v>6</v>
      </c>
      <c r="AF275">
        <v>34112</v>
      </c>
      <c r="AG275" t="s">
        <v>143</v>
      </c>
      <c r="AH275" t="s">
        <v>143</v>
      </c>
      <c r="AI275" t="s">
        <v>143</v>
      </c>
      <c r="AJ275" t="s">
        <v>143</v>
      </c>
      <c r="AK275" t="s">
        <v>143</v>
      </c>
      <c r="AL275" t="s">
        <v>147</v>
      </c>
      <c r="AM275">
        <v>31.78</v>
      </c>
      <c r="AN275" t="s">
        <v>645</v>
      </c>
      <c r="AO275" t="s">
        <v>159</v>
      </c>
      <c r="AP275" t="s">
        <v>43</v>
      </c>
    </row>
    <row r="276" spans="1:42" x14ac:dyDescent="0.3">
      <c r="A276" t="s">
        <v>39</v>
      </c>
      <c r="B276">
        <v>134</v>
      </c>
      <c r="C276" t="s">
        <v>58</v>
      </c>
      <c r="D276" t="s">
        <v>59</v>
      </c>
      <c r="E276" t="s">
        <v>987</v>
      </c>
      <c r="F276" t="s">
        <v>45</v>
      </c>
      <c r="G276" t="s">
        <v>43</v>
      </c>
      <c r="H276" t="s">
        <v>46</v>
      </c>
      <c r="I276">
        <v>11933</v>
      </c>
      <c r="J276" t="s">
        <v>59</v>
      </c>
      <c r="K276">
        <v>933</v>
      </c>
      <c r="L276" t="s">
        <v>146</v>
      </c>
      <c r="M276">
        <v>1</v>
      </c>
      <c r="N276" t="s">
        <v>134</v>
      </c>
      <c r="O276" t="s">
        <v>766</v>
      </c>
      <c r="P276">
        <v>3000</v>
      </c>
      <c r="Q276" t="s">
        <v>60</v>
      </c>
      <c r="R276" t="s">
        <v>767</v>
      </c>
      <c r="S276">
        <v>3000</v>
      </c>
      <c r="T276" t="s">
        <v>60</v>
      </c>
      <c r="U276" t="s">
        <v>768</v>
      </c>
      <c r="V276" t="s">
        <v>769</v>
      </c>
      <c r="W276" t="s">
        <v>166</v>
      </c>
      <c r="X276">
        <v>8388</v>
      </c>
      <c r="Y276" t="s">
        <v>156</v>
      </c>
      <c r="Z276" t="s">
        <v>143</v>
      </c>
      <c r="AA276" t="s">
        <v>144</v>
      </c>
      <c r="AB276" t="s">
        <v>157</v>
      </c>
      <c r="AC276" t="s">
        <v>146</v>
      </c>
      <c r="AD276">
        <v>1</v>
      </c>
      <c r="AE276">
        <v>5</v>
      </c>
      <c r="AF276">
        <v>30790</v>
      </c>
      <c r="AG276" t="s">
        <v>143</v>
      </c>
      <c r="AH276" t="s">
        <v>143</v>
      </c>
      <c r="AI276" t="s">
        <v>143</v>
      </c>
      <c r="AJ276" t="s">
        <v>143</v>
      </c>
      <c r="AK276" t="s">
        <v>143</v>
      </c>
      <c r="AL276" t="s">
        <v>147</v>
      </c>
      <c r="AM276">
        <v>41.94</v>
      </c>
      <c r="AN276" t="s">
        <v>758</v>
      </c>
      <c r="AO276" t="s">
        <v>159</v>
      </c>
      <c r="AP276" t="s">
        <v>43</v>
      </c>
    </row>
    <row r="277" spans="1:42" x14ac:dyDescent="0.3">
      <c r="A277" t="s">
        <v>39</v>
      </c>
      <c r="B277">
        <v>134</v>
      </c>
      <c r="C277" t="s">
        <v>58</v>
      </c>
      <c r="D277" t="s">
        <v>59</v>
      </c>
      <c r="E277" t="s">
        <v>987</v>
      </c>
      <c r="F277" t="s">
        <v>45</v>
      </c>
      <c r="G277" t="s">
        <v>43</v>
      </c>
      <c r="H277" t="s">
        <v>47</v>
      </c>
      <c r="I277">
        <v>11824</v>
      </c>
      <c r="J277" t="s">
        <v>59</v>
      </c>
      <c r="K277">
        <v>824</v>
      </c>
      <c r="L277" t="s">
        <v>146</v>
      </c>
      <c r="M277">
        <v>2</v>
      </c>
      <c r="N277" t="s">
        <v>134</v>
      </c>
      <c r="O277" t="s">
        <v>770</v>
      </c>
      <c r="P277">
        <v>3000</v>
      </c>
      <c r="Q277" t="s">
        <v>60</v>
      </c>
      <c r="R277" t="s">
        <v>732</v>
      </c>
      <c r="S277">
        <v>3000</v>
      </c>
      <c r="T277" t="s">
        <v>60</v>
      </c>
      <c r="U277" t="s">
        <v>771</v>
      </c>
      <c r="V277" t="s">
        <v>772</v>
      </c>
      <c r="W277" t="s">
        <v>166</v>
      </c>
      <c r="X277">
        <v>10772</v>
      </c>
      <c r="Y277" t="s">
        <v>156</v>
      </c>
      <c r="Z277" t="s">
        <v>143</v>
      </c>
      <c r="AA277" t="s">
        <v>144</v>
      </c>
      <c r="AB277" t="s">
        <v>157</v>
      </c>
      <c r="AC277" t="s">
        <v>146</v>
      </c>
      <c r="AD277">
        <v>1</v>
      </c>
      <c r="AE277">
        <v>5</v>
      </c>
      <c r="AF277">
        <v>31822</v>
      </c>
      <c r="AG277" t="s">
        <v>143</v>
      </c>
      <c r="AH277" t="s">
        <v>143</v>
      </c>
      <c r="AI277" t="s">
        <v>143</v>
      </c>
      <c r="AJ277" t="s">
        <v>143</v>
      </c>
      <c r="AK277" t="s">
        <v>143</v>
      </c>
      <c r="AL277" t="s">
        <v>147</v>
      </c>
      <c r="AM277">
        <v>53.86</v>
      </c>
      <c r="AN277" t="s">
        <v>719</v>
      </c>
      <c r="AO277" t="s">
        <v>587</v>
      </c>
      <c r="AP277" t="s">
        <v>43</v>
      </c>
    </row>
    <row r="278" spans="1:42" x14ac:dyDescent="0.3">
      <c r="A278" t="s">
        <v>39</v>
      </c>
      <c r="B278">
        <v>134</v>
      </c>
      <c r="C278" t="s">
        <v>58</v>
      </c>
      <c r="D278" t="s">
        <v>59</v>
      </c>
      <c r="E278" t="s">
        <v>987</v>
      </c>
      <c r="F278" t="s">
        <v>45</v>
      </c>
      <c r="G278" t="s">
        <v>43</v>
      </c>
      <c r="H278" t="s">
        <v>47</v>
      </c>
      <c r="I278">
        <v>11825</v>
      </c>
      <c r="J278" t="s">
        <v>59</v>
      </c>
      <c r="K278">
        <v>825</v>
      </c>
      <c r="L278" t="s">
        <v>146</v>
      </c>
      <c r="M278">
        <v>1</v>
      </c>
      <c r="N278" t="s">
        <v>134</v>
      </c>
      <c r="O278" t="s">
        <v>773</v>
      </c>
      <c r="P278">
        <v>3000</v>
      </c>
      <c r="Q278" t="s">
        <v>60</v>
      </c>
      <c r="R278" t="s">
        <v>774</v>
      </c>
      <c r="S278">
        <v>3000</v>
      </c>
      <c r="T278" t="s">
        <v>60</v>
      </c>
      <c r="U278" t="s">
        <v>775</v>
      </c>
      <c r="V278" t="s">
        <v>718</v>
      </c>
      <c r="W278" t="s">
        <v>166</v>
      </c>
      <c r="X278">
        <v>18401</v>
      </c>
      <c r="Y278" t="s">
        <v>156</v>
      </c>
      <c r="Z278" t="s">
        <v>143</v>
      </c>
      <c r="AA278" t="s">
        <v>144</v>
      </c>
      <c r="AB278" t="s">
        <v>650</v>
      </c>
      <c r="AC278" t="s">
        <v>146</v>
      </c>
      <c r="AD278">
        <v>1</v>
      </c>
      <c r="AE278">
        <v>6</v>
      </c>
      <c r="AF278">
        <v>31823</v>
      </c>
      <c r="AG278" t="s">
        <v>143</v>
      </c>
      <c r="AH278" t="s">
        <v>143</v>
      </c>
      <c r="AI278" t="s">
        <v>143</v>
      </c>
      <c r="AJ278" t="s">
        <v>143</v>
      </c>
      <c r="AK278" t="s">
        <v>143</v>
      </c>
      <c r="AL278" t="s">
        <v>147</v>
      </c>
      <c r="AM278">
        <v>110.41</v>
      </c>
      <c r="AN278" t="s">
        <v>719</v>
      </c>
      <c r="AO278" t="s">
        <v>776</v>
      </c>
      <c r="AP278" t="s">
        <v>43</v>
      </c>
    </row>
    <row r="279" spans="1:42" x14ac:dyDescent="0.3">
      <c r="A279" t="s">
        <v>39</v>
      </c>
      <c r="B279">
        <v>134</v>
      </c>
      <c r="C279" t="s">
        <v>58</v>
      </c>
      <c r="D279" t="s">
        <v>59</v>
      </c>
      <c r="E279" t="s">
        <v>987</v>
      </c>
      <c r="F279" t="s">
        <v>45</v>
      </c>
      <c r="G279" t="s">
        <v>43</v>
      </c>
      <c r="H279" t="s">
        <v>48</v>
      </c>
      <c r="I279">
        <v>58082</v>
      </c>
      <c r="J279" t="s">
        <v>59</v>
      </c>
      <c r="K279">
        <v>82</v>
      </c>
      <c r="L279" t="s">
        <v>146</v>
      </c>
      <c r="M279">
        <v>3</v>
      </c>
      <c r="N279" t="s">
        <v>134</v>
      </c>
      <c r="O279" t="s">
        <v>169</v>
      </c>
      <c r="P279">
        <v>3000</v>
      </c>
      <c r="Q279" t="s">
        <v>60</v>
      </c>
      <c r="R279" t="s">
        <v>736</v>
      </c>
      <c r="S279">
        <v>3000</v>
      </c>
      <c r="T279" t="s">
        <v>60</v>
      </c>
      <c r="U279" t="s">
        <v>736</v>
      </c>
      <c r="V279" t="s">
        <v>777</v>
      </c>
      <c r="W279" t="s">
        <v>166</v>
      </c>
      <c r="X279">
        <v>8648</v>
      </c>
      <c r="Y279" t="s">
        <v>178</v>
      </c>
      <c r="Z279" t="s">
        <v>143</v>
      </c>
      <c r="AA279" t="s">
        <v>144</v>
      </c>
      <c r="AB279" t="s">
        <v>145</v>
      </c>
      <c r="AC279" t="s">
        <v>146</v>
      </c>
      <c r="AD279">
        <v>26</v>
      </c>
      <c r="AE279">
        <v>153</v>
      </c>
      <c r="AF279">
        <v>29620</v>
      </c>
      <c r="AG279" t="s">
        <v>144</v>
      </c>
      <c r="AH279" t="s">
        <v>143</v>
      </c>
      <c r="AI279" t="s">
        <v>143</v>
      </c>
      <c r="AJ279" t="s">
        <v>143</v>
      </c>
      <c r="AK279" t="s">
        <v>143</v>
      </c>
      <c r="AL279" t="s">
        <v>147</v>
      </c>
      <c r="AM279">
        <v>1323.14</v>
      </c>
      <c r="AN279" t="s">
        <v>739</v>
      </c>
      <c r="AO279" t="s">
        <v>50</v>
      </c>
      <c r="AP279" t="s">
        <v>43</v>
      </c>
    </row>
    <row r="280" spans="1:42" x14ac:dyDescent="0.3">
      <c r="A280" t="s">
        <v>39</v>
      </c>
      <c r="B280">
        <v>134</v>
      </c>
      <c r="C280" t="s">
        <v>58</v>
      </c>
      <c r="D280" t="s">
        <v>59</v>
      </c>
      <c r="E280" t="s">
        <v>987</v>
      </c>
      <c r="F280" t="s">
        <v>52</v>
      </c>
      <c r="G280" t="s">
        <v>62</v>
      </c>
      <c r="H280" t="s">
        <v>63</v>
      </c>
      <c r="I280">
        <v>11663</v>
      </c>
      <c r="J280" t="s">
        <v>59</v>
      </c>
      <c r="K280">
        <v>663</v>
      </c>
      <c r="L280" t="s">
        <v>146</v>
      </c>
      <c r="M280">
        <v>3</v>
      </c>
      <c r="N280" t="s">
        <v>134</v>
      </c>
      <c r="O280" t="s">
        <v>745</v>
      </c>
      <c r="P280">
        <v>3000</v>
      </c>
      <c r="Q280" t="s">
        <v>60</v>
      </c>
      <c r="R280" t="s">
        <v>778</v>
      </c>
      <c r="S280">
        <v>3000</v>
      </c>
      <c r="T280" t="s">
        <v>60</v>
      </c>
      <c r="U280" t="s">
        <v>779</v>
      </c>
      <c r="V280" t="s">
        <v>780</v>
      </c>
      <c r="W280" t="s">
        <v>166</v>
      </c>
      <c r="X280">
        <v>10138</v>
      </c>
      <c r="Y280" t="s">
        <v>178</v>
      </c>
      <c r="Z280" t="s">
        <v>143</v>
      </c>
      <c r="AA280" t="s">
        <v>144</v>
      </c>
      <c r="AB280" t="s">
        <v>650</v>
      </c>
      <c r="AC280" t="s">
        <v>146</v>
      </c>
      <c r="AD280">
        <v>0</v>
      </c>
      <c r="AE280">
        <v>615</v>
      </c>
      <c r="AF280">
        <v>34623</v>
      </c>
      <c r="AG280" t="s">
        <v>143</v>
      </c>
      <c r="AH280" t="s">
        <v>143</v>
      </c>
      <c r="AI280" t="s">
        <v>143</v>
      </c>
      <c r="AJ280" t="s">
        <v>143</v>
      </c>
      <c r="AK280" t="s">
        <v>143</v>
      </c>
      <c r="AL280" t="s">
        <v>147</v>
      </c>
      <c r="AM280">
        <v>6234.87</v>
      </c>
      <c r="AN280" t="s">
        <v>52</v>
      </c>
      <c r="AO280" t="s">
        <v>52</v>
      </c>
      <c r="AP280" t="s">
        <v>62</v>
      </c>
    </row>
    <row r="281" spans="1:42" x14ac:dyDescent="0.3">
      <c r="A281" t="s">
        <v>39</v>
      </c>
      <c r="B281">
        <v>134</v>
      </c>
      <c r="C281" t="s">
        <v>58</v>
      </c>
      <c r="D281" t="s">
        <v>59</v>
      </c>
      <c r="E281" t="s">
        <v>987</v>
      </c>
      <c r="F281" t="s">
        <v>52</v>
      </c>
      <c r="G281" t="s">
        <v>62</v>
      </c>
      <c r="H281" t="s">
        <v>63</v>
      </c>
      <c r="I281">
        <v>31077</v>
      </c>
      <c r="J281" t="s">
        <v>59</v>
      </c>
      <c r="K281">
        <v>77</v>
      </c>
      <c r="L281" t="s">
        <v>146</v>
      </c>
      <c r="M281">
        <v>2</v>
      </c>
      <c r="N281" t="s">
        <v>134</v>
      </c>
      <c r="O281" t="s">
        <v>656</v>
      </c>
      <c r="P281">
        <v>3000</v>
      </c>
      <c r="Q281" t="s">
        <v>60</v>
      </c>
      <c r="R281" t="s">
        <v>747</v>
      </c>
      <c r="S281">
        <v>3000</v>
      </c>
      <c r="T281" t="s">
        <v>60</v>
      </c>
      <c r="U281" t="s">
        <v>756</v>
      </c>
      <c r="V281" t="s">
        <v>757</v>
      </c>
      <c r="W281" t="s">
        <v>166</v>
      </c>
      <c r="X281">
        <v>12906</v>
      </c>
      <c r="Y281" t="s">
        <v>178</v>
      </c>
      <c r="Z281" t="s">
        <v>143</v>
      </c>
      <c r="AA281" t="s">
        <v>144</v>
      </c>
      <c r="AB281" t="s">
        <v>650</v>
      </c>
      <c r="AC281" t="s">
        <v>146</v>
      </c>
      <c r="AD281">
        <v>0</v>
      </c>
      <c r="AE281">
        <v>134</v>
      </c>
      <c r="AF281">
        <v>30796</v>
      </c>
      <c r="AG281" t="s">
        <v>144</v>
      </c>
      <c r="AH281" t="s">
        <v>143</v>
      </c>
      <c r="AI281" t="s">
        <v>143</v>
      </c>
      <c r="AJ281" t="s">
        <v>143</v>
      </c>
      <c r="AK281" t="s">
        <v>143</v>
      </c>
      <c r="AL281" t="s">
        <v>147</v>
      </c>
      <c r="AM281">
        <v>1729.4</v>
      </c>
      <c r="AN281" t="s">
        <v>758</v>
      </c>
      <c r="AO281" t="s">
        <v>52</v>
      </c>
      <c r="AP281" t="s">
        <v>62</v>
      </c>
    </row>
    <row r="282" spans="1:42" x14ac:dyDescent="0.3">
      <c r="A282" t="s">
        <v>39</v>
      </c>
      <c r="B282">
        <v>134</v>
      </c>
      <c r="C282" t="s">
        <v>58</v>
      </c>
      <c r="D282" t="s">
        <v>59</v>
      </c>
      <c r="E282" t="s">
        <v>987</v>
      </c>
      <c r="F282" t="s">
        <v>52</v>
      </c>
      <c r="G282" t="s">
        <v>62</v>
      </c>
      <c r="H282" t="s">
        <v>63</v>
      </c>
      <c r="I282">
        <v>31077</v>
      </c>
      <c r="J282" t="s">
        <v>59</v>
      </c>
      <c r="K282">
        <v>77</v>
      </c>
      <c r="L282" t="s">
        <v>146</v>
      </c>
      <c r="M282">
        <v>2</v>
      </c>
      <c r="N282" t="s">
        <v>160</v>
      </c>
      <c r="O282" t="s">
        <v>755</v>
      </c>
      <c r="P282">
        <v>3000</v>
      </c>
      <c r="Q282" t="s">
        <v>60</v>
      </c>
      <c r="R282" t="s">
        <v>747</v>
      </c>
      <c r="S282">
        <v>3000</v>
      </c>
      <c r="T282" t="s">
        <v>60</v>
      </c>
      <c r="U282" t="s">
        <v>756</v>
      </c>
      <c r="V282" t="s">
        <v>757</v>
      </c>
      <c r="W282" t="s">
        <v>166</v>
      </c>
      <c r="X282">
        <v>14210</v>
      </c>
      <c r="Y282" t="s">
        <v>178</v>
      </c>
      <c r="Z282" t="s">
        <v>143</v>
      </c>
      <c r="AA282" t="s">
        <v>144</v>
      </c>
      <c r="AB282" t="s">
        <v>650</v>
      </c>
      <c r="AC282" t="s">
        <v>146</v>
      </c>
      <c r="AD282">
        <v>0</v>
      </c>
      <c r="AE282">
        <v>72</v>
      </c>
      <c r="AF282">
        <v>30797</v>
      </c>
      <c r="AG282" t="s">
        <v>144</v>
      </c>
      <c r="AH282" t="s">
        <v>143</v>
      </c>
      <c r="AI282" t="s">
        <v>143</v>
      </c>
      <c r="AJ282" t="s">
        <v>143</v>
      </c>
      <c r="AK282" t="s">
        <v>143</v>
      </c>
      <c r="AL282" t="s">
        <v>147</v>
      </c>
      <c r="AM282">
        <v>1023.12</v>
      </c>
      <c r="AN282" t="s">
        <v>758</v>
      </c>
      <c r="AO282" t="s">
        <v>52</v>
      </c>
      <c r="AP282" t="s">
        <v>62</v>
      </c>
    </row>
    <row r="283" spans="1:42" x14ac:dyDescent="0.3">
      <c r="A283" t="s">
        <v>39</v>
      </c>
      <c r="B283">
        <v>134</v>
      </c>
      <c r="C283" t="s">
        <v>58</v>
      </c>
      <c r="D283" t="s">
        <v>59</v>
      </c>
      <c r="E283" t="s">
        <v>987</v>
      </c>
      <c r="F283" t="s">
        <v>64</v>
      </c>
      <c r="G283" t="s">
        <v>43</v>
      </c>
      <c r="H283" t="s">
        <v>48</v>
      </c>
      <c r="I283">
        <v>31077</v>
      </c>
      <c r="J283" t="s">
        <v>59</v>
      </c>
      <c r="K283">
        <v>77</v>
      </c>
      <c r="L283" t="s">
        <v>146</v>
      </c>
      <c r="M283">
        <v>1</v>
      </c>
      <c r="N283" t="s">
        <v>134</v>
      </c>
      <c r="O283" t="s">
        <v>656</v>
      </c>
      <c r="P283">
        <v>3000</v>
      </c>
      <c r="Q283" t="s">
        <v>60</v>
      </c>
      <c r="R283" t="s">
        <v>756</v>
      </c>
      <c r="S283">
        <v>3000</v>
      </c>
      <c r="T283" t="s">
        <v>60</v>
      </c>
      <c r="U283" t="s">
        <v>781</v>
      </c>
      <c r="V283" t="s">
        <v>748</v>
      </c>
      <c r="W283" t="s">
        <v>166</v>
      </c>
      <c r="X283">
        <v>12960</v>
      </c>
      <c r="Y283" t="s">
        <v>178</v>
      </c>
      <c r="Z283" t="s">
        <v>143</v>
      </c>
      <c r="AA283" t="s">
        <v>144</v>
      </c>
      <c r="AB283" t="s">
        <v>650</v>
      </c>
      <c r="AC283" t="s">
        <v>146</v>
      </c>
      <c r="AD283">
        <v>60</v>
      </c>
      <c r="AE283">
        <v>354</v>
      </c>
      <c r="AF283">
        <v>30794</v>
      </c>
      <c r="AG283" t="s">
        <v>144</v>
      </c>
      <c r="AH283" t="s">
        <v>143</v>
      </c>
      <c r="AI283" t="s">
        <v>143</v>
      </c>
      <c r="AJ283" t="s">
        <v>143</v>
      </c>
      <c r="AK283" t="s">
        <v>143</v>
      </c>
      <c r="AL283" t="s">
        <v>147</v>
      </c>
      <c r="AM283">
        <v>4587.84</v>
      </c>
      <c r="AN283" t="s">
        <v>758</v>
      </c>
      <c r="AO283" t="s">
        <v>50</v>
      </c>
      <c r="AP283" t="s">
        <v>43</v>
      </c>
    </row>
    <row r="284" spans="1:42" x14ac:dyDescent="0.3">
      <c r="A284" t="s">
        <v>39</v>
      </c>
      <c r="B284">
        <v>134</v>
      </c>
      <c r="C284" t="s">
        <v>58</v>
      </c>
      <c r="D284" t="s">
        <v>59</v>
      </c>
      <c r="E284" t="s">
        <v>987</v>
      </c>
      <c r="F284" t="s">
        <v>45</v>
      </c>
      <c r="G284" t="s">
        <v>43</v>
      </c>
      <c r="H284" t="s">
        <v>46</v>
      </c>
      <c r="I284">
        <v>13932</v>
      </c>
      <c r="J284" t="s">
        <v>59</v>
      </c>
      <c r="K284">
        <v>932</v>
      </c>
      <c r="L284" t="s">
        <v>146</v>
      </c>
      <c r="M284">
        <v>1</v>
      </c>
      <c r="N284" t="s">
        <v>134</v>
      </c>
      <c r="O284" t="s">
        <v>782</v>
      </c>
      <c r="P284">
        <v>3000</v>
      </c>
      <c r="Q284" t="s">
        <v>60</v>
      </c>
      <c r="R284" t="s">
        <v>767</v>
      </c>
      <c r="S284">
        <v>3000</v>
      </c>
      <c r="T284" t="s">
        <v>60</v>
      </c>
      <c r="U284" t="s">
        <v>768</v>
      </c>
      <c r="V284" t="s">
        <v>769</v>
      </c>
      <c r="W284" t="s">
        <v>166</v>
      </c>
      <c r="X284">
        <v>5378</v>
      </c>
      <c r="Y284" t="s">
        <v>156</v>
      </c>
      <c r="Z284" t="s">
        <v>143</v>
      </c>
      <c r="AA284" t="s">
        <v>144</v>
      </c>
      <c r="AB284" t="s">
        <v>157</v>
      </c>
      <c r="AC284" t="s">
        <v>146</v>
      </c>
      <c r="AD284">
        <v>1</v>
      </c>
      <c r="AE284">
        <v>5</v>
      </c>
      <c r="AF284">
        <v>30791</v>
      </c>
      <c r="AG284" t="s">
        <v>143</v>
      </c>
      <c r="AH284" t="s">
        <v>143</v>
      </c>
      <c r="AI284" t="s">
        <v>143</v>
      </c>
      <c r="AJ284" t="s">
        <v>143</v>
      </c>
      <c r="AK284" t="s">
        <v>143</v>
      </c>
      <c r="AL284" t="s">
        <v>147</v>
      </c>
      <c r="AM284">
        <v>26.89</v>
      </c>
      <c r="AN284" t="s">
        <v>758</v>
      </c>
      <c r="AO284" t="s">
        <v>159</v>
      </c>
      <c r="AP284" t="s">
        <v>43</v>
      </c>
    </row>
    <row r="285" spans="1:42" x14ac:dyDescent="0.3">
      <c r="A285" t="s">
        <v>39</v>
      </c>
      <c r="B285">
        <v>134</v>
      </c>
      <c r="C285" t="s">
        <v>58</v>
      </c>
      <c r="D285" t="s">
        <v>59</v>
      </c>
      <c r="E285" t="s">
        <v>987</v>
      </c>
      <c r="F285" t="s">
        <v>45</v>
      </c>
      <c r="G285" t="s">
        <v>43</v>
      </c>
      <c r="H285" t="s">
        <v>47</v>
      </c>
      <c r="I285">
        <v>10746</v>
      </c>
      <c r="J285" t="s">
        <v>59</v>
      </c>
      <c r="K285">
        <v>746</v>
      </c>
      <c r="L285" t="s">
        <v>146</v>
      </c>
      <c r="M285">
        <v>1</v>
      </c>
      <c r="N285" t="s">
        <v>134</v>
      </c>
      <c r="O285" t="s">
        <v>783</v>
      </c>
      <c r="P285">
        <v>3000</v>
      </c>
      <c r="Q285" t="s">
        <v>60</v>
      </c>
      <c r="R285" t="s">
        <v>784</v>
      </c>
      <c r="S285">
        <v>3000</v>
      </c>
      <c r="T285" t="s">
        <v>60</v>
      </c>
      <c r="U285" t="s">
        <v>785</v>
      </c>
      <c r="V285" t="s">
        <v>785</v>
      </c>
      <c r="W285" t="s">
        <v>166</v>
      </c>
      <c r="X285">
        <v>2208</v>
      </c>
      <c r="Y285" t="s">
        <v>156</v>
      </c>
      <c r="Z285" t="s">
        <v>143</v>
      </c>
      <c r="AA285" t="s">
        <v>144</v>
      </c>
      <c r="AB285" t="s">
        <v>157</v>
      </c>
      <c r="AC285" t="s">
        <v>146</v>
      </c>
      <c r="AD285">
        <v>1</v>
      </c>
      <c r="AE285">
        <v>6</v>
      </c>
      <c r="AF285">
        <v>30786</v>
      </c>
      <c r="AG285" t="s">
        <v>144</v>
      </c>
      <c r="AH285" t="s">
        <v>143</v>
      </c>
      <c r="AI285" t="s">
        <v>143</v>
      </c>
      <c r="AJ285" t="s">
        <v>143</v>
      </c>
      <c r="AK285" t="s">
        <v>143</v>
      </c>
      <c r="AL285" t="s">
        <v>147</v>
      </c>
      <c r="AM285">
        <v>13.25</v>
      </c>
      <c r="AN285" t="s">
        <v>758</v>
      </c>
      <c r="AO285" t="s">
        <v>587</v>
      </c>
      <c r="AP285" t="s">
        <v>43</v>
      </c>
    </row>
    <row r="286" spans="1:42" x14ac:dyDescent="0.3">
      <c r="A286" t="s">
        <v>39</v>
      </c>
      <c r="B286">
        <v>134</v>
      </c>
      <c r="C286" t="s">
        <v>58</v>
      </c>
      <c r="D286" t="s">
        <v>59</v>
      </c>
      <c r="E286" t="s">
        <v>987</v>
      </c>
      <c r="F286" t="s">
        <v>45</v>
      </c>
      <c r="G286" t="s">
        <v>43</v>
      </c>
      <c r="H286" t="s">
        <v>48</v>
      </c>
      <c r="I286">
        <v>48083</v>
      </c>
      <c r="J286" t="s">
        <v>59</v>
      </c>
      <c r="K286">
        <v>83</v>
      </c>
      <c r="L286" t="s">
        <v>146</v>
      </c>
      <c r="M286">
        <v>3</v>
      </c>
      <c r="N286" t="s">
        <v>134</v>
      </c>
      <c r="O286" t="s">
        <v>386</v>
      </c>
      <c r="P286">
        <v>3000</v>
      </c>
      <c r="Q286" t="s">
        <v>60</v>
      </c>
      <c r="R286" t="s">
        <v>784</v>
      </c>
      <c r="S286">
        <v>3000</v>
      </c>
      <c r="T286" t="s">
        <v>60</v>
      </c>
      <c r="U286" t="s">
        <v>784</v>
      </c>
      <c r="V286" t="s">
        <v>784</v>
      </c>
      <c r="W286" t="s">
        <v>166</v>
      </c>
      <c r="X286">
        <v>9250</v>
      </c>
      <c r="Y286" t="s">
        <v>178</v>
      </c>
      <c r="Z286" t="s">
        <v>143</v>
      </c>
      <c r="AA286" t="s">
        <v>144</v>
      </c>
      <c r="AB286" t="s">
        <v>145</v>
      </c>
      <c r="AC286" t="s">
        <v>146</v>
      </c>
      <c r="AD286">
        <v>33</v>
      </c>
      <c r="AE286">
        <v>187</v>
      </c>
      <c r="AF286">
        <v>29621</v>
      </c>
      <c r="AG286" t="s">
        <v>144</v>
      </c>
      <c r="AH286" t="s">
        <v>143</v>
      </c>
      <c r="AI286" t="s">
        <v>143</v>
      </c>
      <c r="AJ286" t="s">
        <v>143</v>
      </c>
      <c r="AK286" t="s">
        <v>143</v>
      </c>
      <c r="AL286" t="s">
        <v>147</v>
      </c>
      <c r="AM286">
        <v>1729.75</v>
      </c>
      <c r="AN286" t="s">
        <v>739</v>
      </c>
      <c r="AO286" t="s">
        <v>50</v>
      </c>
      <c r="AP286" t="s">
        <v>43</v>
      </c>
    </row>
    <row r="287" spans="1:42" x14ac:dyDescent="0.3">
      <c r="A287" t="s">
        <v>39</v>
      </c>
      <c r="B287">
        <v>134</v>
      </c>
      <c r="C287" t="s">
        <v>58</v>
      </c>
      <c r="D287" t="s">
        <v>59</v>
      </c>
      <c r="E287" t="s">
        <v>987</v>
      </c>
      <c r="F287" t="s">
        <v>52</v>
      </c>
      <c r="G287" t="s">
        <v>62</v>
      </c>
      <c r="H287" t="s">
        <v>63</v>
      </c>
      <c r="I287">
        <v>14506</v>
      </c>
      <c r="J287" t="s">
        <v>59</v>
      </c>
      <c r="K287">
        <v>506</v>
      </c>
      <c r="L287" t="s">
        <v>146</v>
      </c>
      <c r="M287">
        <v>1</v>
      </c>
      <c r="N287" t="s">
        <v>134</v>
      </c>
      <c r="O287" t="s">
        <v>786</v>
      </c>
      <c r="P287">
        <v>3000</v>
      </c>
      <c r="Q287" t="s">
        <v>60</v>
      </c>
      <c r="R287" t="s">
        <v>749</v>
      </c>
      <c r="S287">
        <v>3000</v>
      </c>
      <c r="T287" t="s">
        <v>60</v>
      </c>
      <c r="U287" t="s">
        <v>787</v>
      </c>
      <c r="V287" t="s">
        <v>788</v>
      </c>
      <c r="W287" t="s">
        <v>166</v>
      </c>
      <c r="X287">
        <v>19788</v>
      </c>
      <c r="Y287" t="s">
        <v>178</v>
      </c>
      <c r="Z287" t="s">
        <v>143</v>
      </c>
      <c r="AA287" t="s">
        <v>144</v>
      </c>
      <c r="AB287" t="s">
        <v>157</v>
      </c>
      <c r="AC287" t="s">
        <v>146</v>
      </c>
      <c r="AD287">
        <v>0</v>
      </c>
      <c r="AE287">
        <v>92</v>
      </c>
      <c r="AF287">
        <v>23532</v>
      </c>
      <c r="AG287" t="s">
        <v>144</v>
      </c>
      <c r="AH287" t="s">
        <v>143</v>
      </c>
      <c r="AI287" t="s">
        <v>143</v>
      </c>
      <c r="AJ287" t="s">
        <v>143</v>
      </c>
      <c r="AK287" t="s">
        <v>143</v>
      </c>
      <c r="AL287" t="s">
        <v>147</v>
      </c>
      <c r="AM287">
        <v>1820.5</v>
      </c>
      <c r="AN287" t="s">
        <v>200</v>
      </c>
      <c r="AO287" t="s">
        <v>52</v>
      </c>
      <c r="AP287" t="s">
        <v>62</v>
      </c>
    </row>
    <row r="288" spans="1:42" x14ac:dyDescent="0.3">
      <c r="A288" t="s">
        <v>39</v>
      </c>
      <c r="B288">
        <v>134</v>
      </c>
      <c r="C288" t="s">
        <v>58</v>
      </c>
      <c r="D288" t="s">
        <v>59</v>
      </c>
      <c r="E288" t="s">
        <v>987</v>
      </c>
      <c r="F288" t="s">
        <v>52</v>
      </c>
      <c r="G288" t="s">
        <v>62</v>
      </c>
      <c r="H288" t="s">
        <v>63</v>
      </c>
      <c r="I288">
        <v>18074</v>
      </c>
      <c r="J288" t="s">
        <v>59</v>
      </c>
      <c r="K288">
        <v>74</v>
      </c>
      <c r="L288" t="s">
        <v>146</v>
      </c>
      <c r="M288">
        <v>2</v>
      </c>
      <c r="N288" t="s">
        <v>134</v>
      </c>
      <c r="O288" t="s">
        <v>257</v>
      </c>
      <c r="P288">
        <v>3000</v>
      </c>
      <c r="Q288" t="s">
        <v>60</v>
      </c>
      <c r="R288" t="s">
        <v>789</v>
      </c>
      <c r="S288">
        <v>3000</v>
      </c>
      <c r="T288" t="s">
        <v>60</v>
      </c>
      <c r="U288" t="s">
        <v>790</v>
      </c>
      <c r="V288" t="s">
        <v>791</v>
      </c>
      <c r="W288" t="s">
        <v>166</v>
      </c>
      <c r="X288">
        <v>20016</v>
      </c>
      <c r="Y288" t="s">
        <v>178</v>
      </c>
      <c r="Z288" t="s">
        <v>143</v>
      </c>
      <c r="AA288" t="s">
        <v>144</v>
      </c>
      <c r="AB288" t="s">
        <v>650</v>
      </c>
      <c r="AC288" t="s">
        <v>146</v>
      </c>
      <c r="AD288">
        <v>0</v>
      </c>
      <c r="AE288">
        <v>179</v>
      </c>
      <c r="AF288">
        <v>30727</v>
      </c>
      <c r="AG288" t="s">
        <v>144</v>
      </c>
      <c r="AH288" t="s">
        <v>143</v>
      </c>
      <c r="AI288" t="s">
        <v>143</v>
      </c>
      <c r="AJ288" t="s">
        <v>143</v>
      </c>
      <c r="AK288" t="s">
        <v>143</v>
      </c>
      <c r="AL288" t="s">
        <v>147</v>
      </c>
      <c r="AM288">
        <v>3582.86</v>
      </c>
      <c r="AN288" t="s">
        <v>200</v>
      </c>
      <c r="AO288" t="s">
        <v>52</v>
      </c>
      <c r="AP288" t="s">
        <v>62</v>
      </c>
    </row>
    <row r="289" spans="1:42" x14ac:dyDescent="0.3">
      <c r="A289" t="s">
        <v>39</v>
      </c>
      <c r="B289">
        <v>134</v>
      </c>
      <c r="C289" t="s">
        <v>58</v>
      </c>
      <c r="D289" t="s">
        <v>59</v>
      </c>
      <c r="E289" t="s">
        <v>987</v>
      </c>
      <c r="F289" t="s">
        <v>52</v>
      </c>
      <c r="G289" t="s">
        <v>62</v>
      </c>
      <c r="H289" t="s">
        <v>63</v>
      </c>
      <c r="I289">
        <v>21078</v>
      </c>
      <c r="J289" t="s">
        <v>59</v>
      </c>
      <c r="K289">
        <v>78</v>
      </c>
      <c r="L289" t="s">
        <v>146</v>
      </c>
      <c r="M289">
        <v>2</v>
      </c>
      <c r="N289" t="s">
        <v>160</v>
      </c>
      <c r="O289" t="s">
        <v>792</v>
      </c>
      <c r="P289">
        <v>3000</v>
      </c>
      <c r="Q289" t="s">
        <v>60</v>
      </c>
      <c r="R289" t="s">
        <v>793</v>
      </c>
      <c r="S289">
        <v>3000</v>
      </c>
      <c r="T289" t="s">
        <v>60</v>
      </c>
      <c r="U289" t="s">
        <v>794</v>
      </c>
      <c r="V289" t="s">
        <v>795</v>
      </c>
      <c r="W289" t="s">
        <v>166</v>
      </c>
      <c r="X289">
        <v>13305</v>
      </c>
      <c r="Y289" t="s">
        <v>178</v>
      </c>
      <c r="Z289" t="s">
        <v>143</v>
      </c>
      <c r="AA289" t="s">
        <v>144</v>
      </c>
      <c r="AB289" t="s">
        <v>650</v>
      </c>
      <c r="AC289" t="s">
        <v>146</v>
      </c>
      <c r="AD289">
        <v>0</v>
      </c>
      <c r="AE289">
        <v>46</v>
      </c>
      <c r="AF289">
        <v>31834</v>
      </c>
      <c r="AG289" t="s">
        <v>144</v>
      </c>
      <c r="AH289" t="s">
        <v>143</v>
      </c>
      <c r="AI289" t="s">
        <v>143</v>
      </c>
      <c r="AJ289" t="s">
        <v>143</v>
      </c>
      <c r="AK289" t="s">
        <v>143</v>
      </c>
      <c r="AL289" t="s">
        <v>147</v>
      </c>
      <c r="AM289">
        <v>612.03</v>
      </c>
      <c r="AN289" t="s">
        <v>719</v>
      </c>
      <c r="AO289" t="s">
        <v>52</v>
      </c>
      <c r="AP289" t="s">
        <v>62</v>
      </c>
    </row>
    <row r="290" spans="1:42" x14ac:dyDescent="0.3">
      <c r="A290" t="s">
        <v>39</v>
      </c>
      <c r="B290">
        <v>134</v>
      </c>
      <c r="C290" t="s">
        <v>58</v>
      </c>
      <c r="D290" t="s">
        <v>59</v>
      </c>
      <c r="E290" t="s">
        <v>987</v>
      </c>
      <c r="F290" t="s">
        <v>52</v>
      </c>
      <c r="G290" t="s">
        <v>62</v>
      </c>
      <c r="H290" t="s">
        <v>63</v>
      </c>
      <c r="I290">
        <v>47091</v>
      </c>
      <c r="J290" t="s">
        <v>59</v>
      </c>
      <c r="K290">
        <v>91</v>
      </c>
      <c r="L290" t="s">
        <v>146</v>
      </c>
      <c r="M290">
        <v>1</v>
      </c>
      <c r="N290" t="s">
        <v>134</v>
      </c>
      <c r="O290" t="s">
        <v>759</v>
      </c>
      <c r="P290">
        <v>3000</v>
      </c>
      <c r="Q290" t="s">
        <v>60</v>
      </c>
      <c r="R290" t="s">
        <v>760</v>
      </c>
      <c r="S290">
        <v>3000</v>
      </c>
      <c r="T290" t="s">
        <v>60</v>
      </c>
      <c r="U290" t="s">
        <v>761</v>
      </c>
      <c r="V290" t="s">
        <v>762</v>
      </c>
      <c r="W290" t="s">
        <v>166</v>
      </c>
      <c r="X290">
        <v>18422</v>
      </c>
      <c r="Y290" t="s">
        <v>178</v>
      </c>
      <c r="Z290" t="s">
        <v>143</v>
      </c>
      <c r="AA290" t="s">
        <v>144</v>
      </c>
      <c r="AB290" t="s">
        <v>157</v>
      </c>
      <c r="AC290" t="s">
        <v>146</v>
      </c>
      <c r="AD290">
        <v>0</v>
      </c>
      <c r="AE290">
        <v>184</v>
      </c>
      <c r="AF290">
        <v>23503</v>
      </c>
      <c r="AG290" t="s">
        <v>144</v>
      </c>
      <c r="AH290" t="s">
        <v>143</v>
      </c>
      <c r="AI290" t="s">
        <v>143</v>
      </c>
      <c r="AJ290" t="s">
        <v>143</v>
      </c>
      <c r="AK290" t="s">
        <v>143</v>
      </c>
      <c r="AL290" t="s">
        <v>147</v>
      </c>
      <c r="AM290">
        <v>3389.65</v>
      </c>
      <c r="AN290" t="s">
        <v>200</v>
      </c>
      <c r="AO290" t="s">
        <v>52</v>
      </c>
      <c r="AP290" t="s">
        <v>62</v>
      </c>
    </row>
    <row r="291" spans="1:42" x14ac:dyDescent="0.3">
      <c r="A291" t="s">
        <v>39</v>
      </c>
      <c r="B291">
        <v>134</v>
      </c>
      <c r="C291" t="s">
        <v>58</v>
      </c>
      <c r="D291" t="s">
        <v>59</v>
      </c>
      <c r="E291" t="s">
        <v>987</v>
      </c>
      <c r="F291" t="s">
        <v>52</v>
      </c>
      <c r="G291" t="s">
        <v>62</v>
      </c>
      <c r="H291" t="s">
        <v>63</v>
      </c>
      <c r="I291">
        <v>47091</v>
      </c>
      <c r="J291" t="s">
        <v>59</v>
      </c>
      <c r="K291">
        <v>91</v>
      </c>
      <c r="L291" t="s">
        <v>146</v>
      </c>
      <c r="M291">
        <v>2</v>
      </c>
      <c r="N291" t="s">
        <v>134</v>
      </c>
      <c r="O291" t="s">
        <v>759</v>
      </c>
      <c r="P291">
        <v>3000</v>
      </c>
      <c r="Q291" t="s">
        <v>60</v>
      </c>
      <c r="R291" t="s">
        <v>761</v>
      </c>
      <c r="S291">
        <v>3000</v>
      </c>
      <c r="T291" t="s">
        <v>60</v>
      </c>
      <c r="U291" t="s">
        <v>760</v>
      </c>
      <c r="V291" t="s">
        <v>796</v>
      </c>
      <c r="W291" t="s">
        <v>166</v>
      </c>
      <c r="X291">
        <v>18611</v>
      </c>
      <c r="Y291" t="s">
        <v>178</v>
      </c>
      <c r="Z291" t="s">
        <v>143</v>
      </c>
      <c r="AA291" t="s">
        <v>144</v>
      </c>
      <c r="AB291" t="s">
        <v>157</v>
      </c>
      <c r="AC291" t="s">
        <v>146</v>
      </c>
      <c r="AD291">
        <v>0</v>
      </c>
      <c r="AE291">
        <v>184</v>
      </c>
      <c r="AF291">
        <v>23504</v>
      </c>
      <c r="AG291" t="s">
        <v>144</v>
      </c>
      <c r="AH291" t="s">
        <v>143</v>
      </c>
      <c r="AI291" t="s">
        <v>143</v>
      </c>
      <c r="AJ291" t="s">
        <v>143</v>
      </c>
      <c r="AK291" t="s">
        <v>143</v>
      </c>
      <c r="AL291" t="s">
        <v>147</v>
      </c>
      <c r="AM291">
        <v>3424.42</v>
      </c>
      <c r="AN291" t="s">
        <v>200</v>
      </c>
      <c r="AO291" t="s">
        <v>52</v>
      </c>
      <c r="AP291" t="s">
        <v>62</v>
      </c>
    </row>
    <row r="292" spans="1:42" x14ac:dyDescent="0.3">
      <c r="A292" t="s">
        <v>39</v>
      </c>
      <c r="B292">
        <v>134</v>
      </c>
      <c r="C292" t="s">
        <v>58</v>
      </c>
      <c r="D292" t="s">
        <v>59</v>
      </c>
      <c r="E292" t="s">
        <v>987</v>
      </c>
      <c r="F292" t="s">
        <v>52</v>
      </c>
      <c r="G292" t="s">
        <v>62</v>
      </c>
      <c r="H292" t="s">
        <v>63</v>
      </c>
      <c r="I292">
        <v>92002</v>
      </c>
      <c r="J292" t="s">
        <v>59</v>
      </c>
      <c r="K292">
        <v>2</v>
      </c>
      <c r="L292" t="s">
        <v>146</v>
      </c>
      <c r="M292">
        <v>3</v>
      </c>
      <c r="N292" t="s">
        <v>134</v>
      </c>
      <c r="O292" t="s">
        <v>168</v>
      </c>
      <c r="P292">
        <v>3000</v>
      </c>
      <c r="Q292" t="s">
        <v>60</v>
      </c>
      <c r="R292" t="s">
        <v>797</v>
      </c>
      <c r="S292">
        <v>3000</v>
      </c>
      <c r="T292" t="s">
        <v>60</v>
      </c>
      <c r="U292" t="s">
        <v>798</v>
      </c>
      <c r="V292" t="s">
        <v>799</v>
      </c>
      <c r="W292" t="s">
        <v>166</v>
      </c>
      <c r="X292">
        <v>4939</v>
      </c>
      <c r="Y292" t="s">
        <v>178</v>
      </c>
      <c r="Z292" t="s">
        <v>143</v>
      </c>
      <c r="AA292" t="s">
        <v>144</v>
      </c>
      <c r="AB292" t="s">
        <v>145</v>
      </c>
      <c r="AC292" t="s">
        <v>146</v>
      </c>
      <c r="AD292">
        <v>0</v>
      </c>
      <c r="AE292">
        <v>130</v>
      </c>
      <c r="AF292">
        <v>23484</v>
      </c>
      <c r="AG292" t="s">
        <v>144</v>
      </c>
      <c r="AH292" t="s">
        <v>143</v>
      </c>
      <c r="AI292" t="s">
        <v>143</v>
      </c>
      <c r="AJ292" t="s">
        <v>143</v>
      </c>
      <c r="AK292" t="s">
        <v>143</v>
      </c>
      <c r="AL292" t="s">
        <v>147</v>
      </c>
      <c r="AM292">
        <v>642.07000000000005</v>
      </c>
      <c r="AN292" t="s">
        <v>800</v>
      </c>
      <c r="AO292" t="s">
        <v>52</v>
      </c>
      <c r="AP292" t="s">
        <v>62</v>
      </c>
    </row>
    <row r="293" spans="1:42" x14ac:dyDescent="0.3">
      <c r="A293" t="s">
        <v>39</v>
      </c>
      <c r="B293">
        <v>120</v>
      </c>
      <c r="C293" t="s">
        <v>40</v>
      </c>
      <c r="D293" t="s">
        <v>55</v>
      </c>
      <c r="E293" t="s">
        <v>984</v>
      </c>
      <c r="F293" t="s">
        <v>50</v>
      </c>
      <c r="G293" t="s">
        <v>43</v>
      </c>
      <c r="H293" t="s">
        <v>48</v>
      </c>
      <c r="I293">
        <v>28017</v>
      </c>
      <c r="J293" t="s">
        <v>55</v>
      </c>
      <c r="K293">
        <v>17</v>
      </c>
      <c r="L293" t="s">
        <v>985</v>
      </c>
      <c r="M293">
        <v>1</v>
      </c>
      <c r="N293" t="s">
        <v>134</v>
      </c>
      <c r="O293" t="s">
        <v>801</v>
      </c>
      <c r="P293">
        <v>9200</v>
      </c>
      <c r="Q293" t="s">
        <v>520</v>
      </c>
      <c r="R293" t="s">
        <v>613</v>
      </c>
      <c r="S293">
        <v>268</v>
      </c>
      <c r="T293" t="s">
        <v>802</v>
      </c>
      <c r="U293" t="s">
        <v>802</v>
      </c>
      <c r="V293" t="s">
        <v>803</v>
      </c>
      <c r="W293" t="s">
        <v>141</v>
      </c>
      <c r="X293">
        <v>16043</v>
      </c>
      <c r="Y293" t="s">
        <v>142</v>
      </c>
      <c r="Z293" t="s">
        <v>143</v>
      </c>
      <c r="AA293" t="s">
        <v>143</v>
      </c>
      <c r="AB293" t="s">
        <v>145</v>
      </c>
      <c r="AC293" t="s">
        <v>158</v>
      </c>
      <c r="AD293">
        <v>6</v>
      </c>
      <c r="AE293">
        <v>35</v>
      </c>
      <c r="AF293">
        <v>10816</v>
      </c>
      <c r="AG293" t="s">
        <v>143</v>
      </c>
      <c r="AH293" t="s">
        <v>143</v>
      </c>
      <c r="AI293" t="s">
        <v>143</v>
      </c>
      <c r="AJ293" t="s">
        <v>143</v>
      </c>
      <c r="AK293" t="s">
        <v>143</v>
      </c>
      <c r="AL293" t="s">
        <v>147</v>
      </c>
      <c r="AM293">
        <v>561.51</v>
      </c>
      <c r="AN293" t="s">
        <v>437</v>
      </c>
      <c r="AO293" t="s">
        <v>50</v>
      </c>
      <c r="AP293" t="s">
        <v>43</v>
      </c>
    </row>
    <row r="294" spans="1:42" x14ac:dyDescent="0.3">
      <c r="A294" t="s">
        <v>39</v>
      </c>
      <c r="B294">
        <v>120</v>
      </c>
      <c r="C294" t="s">
        <v>40</v>
      </c>
      <c r="D294" t="s">
        <v>55</v>
      </c>
      <c r="E294" t="s">
        <v>984</v>
      </c>
      <c r="F294" t="s">
        <v>50</v>
      </c>
      <c r="G294" t="s">
        <v>43</v>
      </c>
      <c r="H294" t="s">
        <v>48</v>
      </c>
      <c r="I294">
        <v>40019</v>
      </c>
      <c r="J294" t="s">
        <v>55</v>
      </c>
      <c r="K294">
        <v>19</v>
      </c>
      <c r="L294" t="s">
        <v>985</v>
      </c>
      <c r="M294">
        <v>2</v>
      </c>
      <c r="N294" t="s">
        <v>134</v>
      </c>
      <c r="O294" t="s">
        <v>174</v>
      </c>
      <c r="P294">
        <v>437</v>
      </c>
      <c r="Q294" t="s">
        <v>804</v>
      </c>
      <c r="R294" t="s">
        <v>805</v>
      </c>
      <c r="S294">
        <v>9200</v>
      </c>
      <c r="T294" t="s">
        <v>520</v>
      </c>
      <c r="U294" t="s">
        <v>610</v>
      </c>
      <c r="V294" t="s">
        <v>611</v>
      </c>
      <c r="W294" t="s">
        <v>141</v>
      </c>
      <c r="X294">
        <v>12377</v>
      </c>
      <c r="Y294" t="s">
        <v>142</v>
      </c>
      <c r="Z294" t="s">
        <v>143</v>
      </c>
      <c r="AA294" t="s">
        <v>143</v>
      </c>
      <c r="AB294" t="s">
        <v>145</v>
      </c>
      <c r="AC294" t="s">
        <v>158</v>
      </c>
      <c r="AD294">
        <v>7</v>
      </c>
      <c r="AE294">
        <v>39</v>
      </c>
      <c r="AF294">
        <v>15081</v>
      </c>
      <c r="AG294" t="s">
        <v>143</v>
      </c>
      <c r="AH294" t="s">
        <v>143</v>
      </c>
      <c r="AI294" t="s">
        <v>143</v>
      </c>
      <c r="AJ294" t="s">
        <v>143</v>
      </c>
      <c r="AK294" t="s">
        <v>143</v>
      </c>
      <c r="AL294" t="s">
        <v>147</v>
      </c>
      <c r="AM294">
        <v>482.7</v>
      </c>
      <c r="AN294" t="s">
        <v>233</v>
      </c>
      <c r="AO294" t="s">
        <v>50</v>
      </c>
      <c r="AP294" t="s">
        <v>43</v>
      </c>
    </row>
    <row r="295" spans="1:42" x14ac:dyDescent="0.3">
      <c r="A295" t="s">
        <v>39</v>
      </c>
      <c r="B295">
        <v>120</v>
      </c>
      <c r="C295" t="s">
        <v>40</v>
      </c>
      <c r="D295" t="s">
        <v>55</v>
      </c>
      <c r="E295" t="s">
        <v>984</v>
      </c>
      <c r="F295" t="s">
        <v>50</v>
      </c>
      <c r="G295" t="s">
        <v>43</v>
      </c>
      <c r="H295" t="s">
        <v>48</v>
      </c>
      <c r="I295">
        <v>65001</v>
      </c>
      <c r="J295" t="s">
        <v>55</v>
      </c>
      <c r="K295">
        <v>1</v>
      </c>
      <c r="L295" t="s">
        <v>146</v>
      </c>
      <c r="M295">
        <v>3</v>
      </c>
      <c r="N295" t="s">
        <v>134</v>
      </c>
      <c r="O295" t="s">
        <v>160</v>
      </c>
      <c r="P295">
        <v>6700</v>
      </c>
      <c r="Q295" t="s">
        <v>55</v>
      </c>
      <c r="R295" t="s">
        <v>674</v>
      </c>
      <c r="S295">
        <v>6700</v>
      </c>
      <c r="T295" t="s">
        <v>55</v>
      </c>
      <c r="U295" t="s">
        <v>674</v>
      </c>
      <c r="V295" t="s">
        <v>674</v>
      </c>
      <c r="W295" t="s">
        <v>166</v>
      </c>
      <c r="X295">
        <v>28574</v>
      </c>
      <c r="Y295" t="s">
        <v>178</v>
      </c>
      <c r="Z295" t="s">
        <v>143</v>
      </c>
      <c r="AA295" t="s">
        <v>144</v>
      </c>
      <c r="AB295" t="s">
        <v>157</v>
      </c>
      <c r="AC295" t="s">
        <v>146</v>
      </c>
      <c r="AD295">
        <v>34</v>
      </c>
      <c r="AE295">
        <v>199</v>
      </c>
      <c r="AF295">
        <v>21339</v>
      </c>
      <c r="AG295" t="s">
        <v>143</v>
      </c>
      <c r="AH295" t="s">
        <v>143</v>
      </c>
      <c r="AI295" t="s">
        <v>143</v>
      </c>
      <c r="AJ295" t="s">
        <v>143</v>
      </c>
      <c r="AK295" t="s">
        <v>143</v>
      </c>
      <c r="AL295" t="s">
        <v>147</v>
      </c>
      <c r="AM295">
        <v>5686.23</v>
      </c>
      <c r="AN295" t="s">
        <v>806</v>
      </c>
      <c r="AO295" t="s">
        <v>50</v>
      </c>
      <c r="AP295" t="s">
        <v>43</v>
      </c>
    </row>
    <row r="296" spans="1:42" x14ac:dyDescent="0.3">
      <c r="A296" t="s">
        <v>39</v>
      </c>
      <c r="B296">
        <v>134</v>
      </c>
      <c r="C296" t="s">
        <v>58</v>
      </c>
      <c r="D296" t="s">
        <v>59</v>
      </c>
      <c r="E296" t="s">
        <v>987</v>
      </c>
      <c r="F296" t="s">
        <v>45</v>
      </c>
      <c r="G296" t="s">
        <v>43</v>
      </c>
      <c r="H296" t="s">
        <v>46</v>
      </c>
      <c r="I296">
        <v>11851</v>
      </c>
      <c r="J296" t="s">
        <v>59</v>
      </c>
      <c r="K296">
        <v>851</v>
      </c>
      <c r="L296" t="s">
        <v>146</v>
      </c>
      <c r="M296">
        <v>1</v>
      </c>
      <c r="N296" t="s">
        <v>134</v>
      </c>
      <c r="O296" t="s">
        <v>694</v>
      </c>
      <c r="P296">
        <v>3000</v>
      </c>
      <c r="Q296" t="s">
        <v>60</v>
      </c>
      <c r="R296" t="s">
        <v>807</v>
      </c>
      <c r="S296">
        <v>3000</v>
      </c>
      <c r="T296" t="s">
        <v>60</v>
      </c>
      <c r="U296" t="s">
        <v>808</v>
      </c>
      <c r="V296" t="s">
        <v>809</v>
      </c>
      <c r="W296" t="s">
        <v>166</v>
      </c>
      <c r="X296">
        <v>12998</v>
      </c>
      <c r="Y296" t="s">
        <v>156</v>
      </c>
      <c r="Z296" t="s">
        <v>143</v>
      </c>
      <c r="AA296" t="s">
        <v>144</v>
      </c>
      <c r="AB296" t="s">
        <v>157</v>
      </c>
      <c r="AC296" t="s">
        <v>146</v>
      </c>
      <c r="AD296">
        <v>1</v>
      </c>
      <c r="AE296">
        <v>6</v>
      </c>
      <c r="AF296">
        <v>30788</v>
      </c>
      <c r="AG296" t="s">
        <v>143</v>
      </c>
      <c r="AH296" t="s">
        <v>143</v>
      </c>
      <c r="AI296" t="s">
        <v>143</v>
      </c>
      <c r="AJ296" t="s">
        <v>143</v>
      </c>
      <c r="AK296" t="s">
        <v>143</v>
      </c>
      <c r="AL296" t="s">
        <v>147</v>
      </c>
      <c r="AM296">
        <v>77.989999999999995</v>
      </c>
      <c r="AN296" t="s">
        <v>758</v>
      </c>
      <c r="AO296" t="s">
        <v>810</v>
      </c>
      <c r="AP296" t="s">
        <v>43</v>
      </c>
    </row>
    <row r="297" spans="1:42" x14ac:dyDescent="0.3">
      <c r="A297" t="s">
        <v>39</v>
      </c>
      <c r="B297">
        <v>134</v>
      </c>
      <c r="C297" t="s">
        <v>58</v>
      </c>
      <c r="D297" t="s">
        <v>59</v>
      </c>
      <c r="E297" t="s">
        <v>987</v>
      </c>
      <c r="F297" t="s">
        <v>45</v>
      </c>
      <c r="G297" t="s">
        <v>43</v>
      </c>
      <c r="H297" t="s">
        <v>46</v>
      </c>
      <c r="I297">
        <v>10750</v>
      </c>
      <c r="J297" t="s">
        <v>59</v>
      </c>
      <c r="K297">
        <v>750</v>
      </c>
      <c r="L297" t="s">
        <v>146</v>
      </c>
      <c r="M297">
        <v>1</v>
      </c>
      <c r="N297" t="s">
        <v>134</v>
      </c>
      <c r="O297" t="s">
        <v>811</v>
      </c>
      <c r="P297">
        <v>3000</v>
      </c>
      <c r="Q297" t="s">
        <v>60</v>
      </c>
      <c r="R297" t="s">
        <v>732</v>
      </c>
      <c r="S297">
        <v>3000</v>
      </c>
      <c r="T297" t="s">
        <v>60</v>
      </c>
      <c r="U297" t="s">
        <v>812</v>
      </c>
      <c r="V297" t="s">
        <v>813</v>
      </c>
      <c r="W297" t="s">
        <v>166</v>
      </c>
      <c r="X297">
        <v>9544</v>
      </c>
      <c r="Y297" t="s">
        <v>156</v>
      </c>
      <c r="Z297" t="s">
        <v>143</v>
      </c>
      <c r="AA297" t="s">
        <v>144</v>
      </c>
      <c r="AB297" t="s">
        <v>650</v>
      </c>
      <c r="AC297" t="s">
        <v>146</v>
      </c>
      <c r="AD297">
        <v>1</v>
      </c>
      <c r="AE297">
        <v>6</v>
      </c>
      <c r="AF297">
        <v>31813</v>
      </c>
      <c r="AG297" t="s">
        <v>143</v>
      </c>
      <c r="AH297" t="s">
        <v>143</v>
      </c>
      <c r="AI297" t="s">
        <v>143</v>
      </c>
      <c r="AJ297" t="s">
        <v>143</v>
      </c>
      <c r="AK297" t="s">
        <v>143</v>
      </c>
      <c r="AL297" t="s">
        <v>147</v>
      </c>
      <c r="AM297">
        <v>57.26</v>
      </c>
      <c r="AN297" t="s">
        <v>719</v>
      </c>
      <c r="AO297" t="s">
        <v>206</v>
      </c>
      <c r="AP297" t="s">
        <v>43</v>
      </c>
    </row>
    <row r="298" spans="1:42" x14ac:dyDescent="0.3">
      <c r="A298" t="s">
        <v>39</v>
      </c>
      <c r="B298">
        <v>134</v>
      </c>
      <c r="C298" t="s">
        <v>58</v>
      </c>
      <c r="D298" t="s">
        <v>59</v>
      </c>
      <c r="E298" t="s">
        <v>987</v>
      </c>
      <c r="F298" t="s">
        <v>45</v>
      </c>
      <c r="G298" t="s">
        <v>43</v>
      </c>
      <c r="H298" t="s">
        <v>46</v>
      </c>
      <c r="I298">
        <v>11844</v>
      </c>
      <c r="J298" t="s">
        <v>59</v>
      </c>
      <c r="K298">
        <v>844</v>
      </c>
      <c r="L298" t="s">
        <v>146</v>
      </c>
      <c r="M298">
        <v>2</v>
      </c>
      <c r="N298" t="s">
        <v>134</v>
      </c>
      <c r="O298" t="s">
        <v>814</v>
      </c>
      <c r="P298">
        <v>3000</v>
      </c>
      <c r="Q298" t="s">
        <v>60</v>
      </c>
      <c r="R298" t="s">
        <v>815</v>
      </c>
      <c r="S298">
        <v>3000</v>
      </c>
      <c r="T298" t="s">
        <v>60</v>
      </c>
      <c r="U298" t="s">
        <v>816</v>
      </c>
      <c r="V298" t="s">
        <v>817</v>
      </c>
      <c r="W298" t="s">
        <v>166</v>
      </c>
      <c r="X298">
        <v>15154</v>
      </c>
      <c r="Y298" t="s">
        <v>156</v>
      </c>
      <c r="Z298" t="s">
        <v>143</v>
      </c>
      <c r="AA298" t="s">
        <v>144</v>
      </c>
      <c r="AB298" t="s">
        <v>650</v>
      </c>
      <c r="AC298" t="s">
        <v>146</v>
      </c>
      <c r="AD298">
        <v>1</v>
      </c>
      <c r="AE298">
        <v>7</v>
      </c>
      <c r="AF298">
        <v>31826</v>
      </c>
      <c r="AG298" t="s">
        <v>143</v>
      </c>
      <c r="AH298" t="s">
        <v>143</v>
      </c>
      <c r="AI298" t="s">
        <v>143</v>
      </c>
      <c r="AJ298" t="s">
        <v>143</v>
      </c>
      <c r="AK298" t="s">
        <v>143</v>
      </c>
      <c r="AL298" t="s">
        <v>147</v>
      </c>
      <c r="AM298">
        <v>106.08</v>
      </c>
      <c r="AN298" t="s">
        <v>719</v>
      </c>
      <c r="AO298" t="s">
        <v>206</v>
      </c>
      <c r="AP298" t="s">
        <v>43</v>
      </c>
    </row>
    <row r="299" spans="1:42" x14ac:dyDescent="0.3">
      <c r="A299" t="s">
        <v>39</v>
      </c>
      <c r="B299">
        <v>134</v>
      </c>
      <c r="C299" t="s">
        <v>58</v>
      </c>
      <c r="D299" t="s">
        <v>59</v>
      </c>
      <c r="E299" t="s">
        <v>987</v>
      </c>
      <c r="F299" t="s">
        <v>45</v>
      </c>
      <c r="G299" t="s">
        <v>43</v>
      </c>
      <c r="H299" t="s">
        <v>46</v>
      </c>
      <c r="I299">
        <v>15031</v>
      </c>
      <c r="J299" t="s">
        <v>59</v>
      </c>
      <c r="K299">
        <v>31</v>
      </c>
      <c r="L299" t="s">
        <v>146</v>
      </c>
      <c r="M299">
        <v>2</v>
      </c>
      <c r="N299" t="s">
        <v>160</v>
      </c>
      <c r="O299" t="s">
        <v>818</v>
      </c>
      <c r="P299">
        <v>3000</v>
      </c>
      <c r="Q299" t="s">
        <v>60</v>
      </c>
      <c r="R299" t="s">
        <v>753</v>
      </c>
      <c r="S299">
        <v>3000</v>
      </c>
      <c r="T299" t="s">
        <v>60</v>
      </c>
      <c r="U299" t="s">
        <v>727</v>
      </c>
      <c r="V299" t="s">
        <v>819</v>
      </c>
      <c r="W299" t="s">
        <v>166</v>
      </c>
      <c r="X299">
        <v>22735</v>
      </c>
      <c r="Y299" t="s">
        <v>178</v>
      </c>
      <c r="Z299" t="s">
        <v>143</v>
      </c>
      <c r="AA299" t="s">
        <v>144</v>
      </c>
      <c r="AB299" t="s">
        <v>650</v>
      </c>
      <c r="AC299" t="s">
        <v>146</v>
      </c>
      <c r="AD299">
        <v>8</v>
      </c>
      <c r="AE299">
        <v>48</v>
      </c>
      <c r="AF299">
        <v>33287</v>
      </c>
      <c r="AG299" t="s">
        <v>144</v>
      </c>
      <c r="AH299" t="s">
        <v>143</v>
      </c>
      <c r="AI299" t="s">
        <v>143</v>
      </c>
      <c r="AJ299" t="s">
        <v>143</v>
      </c>
      <c r="AK299" t="s">
        <v>143</v>
      </c>
      <c r="AL299" t="s">
        <v>147</v>
      </c>
      <c r="AM299">
        <v>1091.28</v>
      </c>
      <c r="AN299" t="s">
        <v>730</v>
      </c>
      <c r="AO299" t="s">
        <v>820</v>
      </c>
      <c r="AP299" t="s">
        <v>43</v>
      </c>
    </row>
    <row r="300" spans="1:42" x14ac:dyDescent="0.3">
      <c r="A300" t="s">
        <v>39</v>
      </c>
      <c r="B300">
        <v>134</v>
      </c>
      <c r="C300" t="s">
        <v>58</v>
      </c>
      <c r="D300" t="s">
        <v>59</v>
      </c>
      <c r="E300" t="s">
        <v>987</v>
      </c>
      <c r="F300" t="s">
        <v>45</v>
      </c>
      <c r="G300" t="s">
        <v>43</v>
      </c>
      <c r="H300" t="s">
        <v>47</v>
      </c>
      <c r="I300">
        <v>10746</v>
      </c>
      <c r="J300" t="s">
        <v>59</v>
      </c>
      <c r="K300">
        <v>746</v>
      </c>
      <c r="L300" t="s">
        <v>146</v>
      </c>
      <c r="M300">
        <v>2</v>
      </c>
      <c r="N300" t="s">
        <v>134</v>
      </c>
      <c r="O300" t="s">
        <v>783</v>
      </c>
      <c r="P300">
        <v>3000</v>
      </c>
      <c r="Q300" t="s">
        <v>60</v>
      </c>
      <c r="R300" t="s">
        <v>785</v>
      </c>
      <c r="S300">
        <v>3000</v>
      </c>
      <c r="T300" t="s">
        <v>60</v>
      </c>
      <c r="U300" t="s">
        <v>784</v>
      </c>
      <c r="V300" t="s">
        <v>784</v>
      </c>
      <c r="W300" t="s">
        <v>166</v>
      </c>
      <c r="X300">
        <v>2024</v>
      </c>
      <c r="Y300" t="s">
        <v>156</v>
      </c>
      <c r="Z300" t="s">
        <v>143</v>
      </c>
      <c r="AA300" t="s">
        <v>144</v>
      </c>
      <c r="AB300" t="s">
        <v>157</v>
      </c>
      <c r="AC300" t="s">
        <v>146</v>
      </c>
      <c r="AD300">
        <v>1</v>
      </c>
      <c r="AE300">
        <v>6</v>
      </c>
      <c r="AF300">
        <v>30787</v>
      </c>
      <c r="AG300" t="s">
        <v>144</v>
      </c>
      <c r="AH300" t="s">
        <v>143</v>
      </c>
      <c r="AI300" t="s">
        <v>143</v>
      </c>
      <c r="AJ300" t="s">
        <v>143</v>
      </c>
      <c r="AK300" t="s">
        <v>143</v>
      </c>
      <c r="AL300" t="s">
        <v>147</v>
      </c>
      <c r="AM300">
        <v>12.14</v>
      </c>
      <c r="AN300" t="s">
        <v>758</v>
      </c>
      <c r="AO300" t="s">
        <v>587</v>
      </c>
      <c r="AP300" t="s">
        <v>43</v>
      </c>
    </row>
    <row r="301" spans="1:42" x14ac:dyDescent="0.3">
      <c r="A301" t="s">
        <v>39</v>
      </c>
      <c r="B301">
        <v>134</v>
      </c>
      <c r="C301" t="s">
        <v>58</v>
      </c>
      <c r="D301" t="s">
        <v>59</v>
      </c>
      <c r="E301" t="s">
        <v>987</v>
      </c>
      <c r="F301" t="s">
        <v>64</v>
      </c>
      <c r="G301" t="s">
        <v>65</v>
      </c>
      <c r="H301" t="s">
        <v>63</v>
      </c>
      <c r="I301">
        <v>18074</v>
      </c>
      <c r="J301" t="s">
        <v>59</v>
      </c>
      <c r="K301">
        <v>74</v>
      </c>
      <c r="L301" t="s">
        <v>146</v>
      </c>
      <c r="M301">
        <v>2</v>
      </c>
      <c r="N301" t="s">
        <v>134</v>
      </c>
      <c r="O301" t="s">
        <v>257</v>
      </c>
      <c r="P301">
        <v>3000</v>
      </c>
      <c r="Q301" t="s">
        <v>60</v>
      </c>
      <c r="R301" t="s">
        <v>789</v>
      </c>
      <c r="S301">
        <v>3000</v>
      </c>
      <c r="T301" t="s">
        <v>60</v>
      </c>
      <c r="U301" t="s">
        <v>790</v>
      </c>
      <c r="V301" t="s">
        <v>791</v>
      </c>
      <c r="W301" t="s">
        <v>166</v>
      </c>
      <c r="X301">
        <v>20016</v>
      </c>
      <c r="Y301" t="s">
        <v>178</v>
      </c>
      <c r="Z301" t="s">
        <v>143</v>
      </c>
      <c r="AA301" t="s">
        <v>144</v>
      </c>
      <c r="AB301" t="s">
        <v>650</v>
      </c>
      <c r="AC301" t="s">
        <v>146</v>
      </c>
      <c r="AD301">
        <v>81</v>
      </c>
      <c r="AE301">
        <v>471</v>
      </c>
      <c r="AF301">
        <v>30727</v>
      </c>
      <c r="AG301" t="s">
        <v>144</v>
      </c>
      <c r="AH301" t="s">
        <v>143</v>
      </c>
      <c r="AI301" t="s">
        <v>143</v>
      </c>
      <c r="AJ301" t="s">
        <v>143</v>
      </c>
      <c r="AK301" t="s">
        <v>143</v>
      </c>
      <c r="AL301" t="s">
        <v>147</v>
      </c>
      <c r="AM301">
        <v>9427.5400000000009</v>
      </c>
      <c r="AN301" t="s">
        <v>200</v>
      </c>
      <c r="AO301" t="s">
        <v>64</v>
      </c>
      <c r="AP301" t="s">
        <v>65</v>
      </c>
    </row>
    <row r="302" spans="1:42" x14ac:dyDescent="0.3">
      <c r="A302" t="s">
        <v>39</v>
      </c>
      <c r="B302">
        <v>134</v>
      </c>
      <c r="C302" t="s">
        <v>58</v>
      </c>
      <c r="D302" t="s">
        <v>59</v>
      </c>
      <c r="E302" t="s">
        <v>987</v>
      </c>
      <c r="F302" t="s">
        <v>64</v>
      </c>
      <c r="G302" t="s">
        <v>65</v>
      </c>
      <c r="H302" t="s">
        <v>63</v>
      </c>
      <c r="I302">
        <v>21078</v>
      </c>
      <c r="J302" t="s">
        <v>59</v>
      </c>
      <c r="K302">
        <v>78</v>
      </c>
      <c r="L302" t="s">
        <v>146</v>
      </c>
      <c r="M302">
        <v>2</v>
      </c>
      <c r="N302" t="s">
        <v>134</v>
      </c>
      <c r="O302" t="s">
        <v>821</v>
      </c>
      <c r="P302">
        <v>3000</v>
      </c>
      <c r="Q302" t="s">
        <v>60</v>
      </c>
      <c r="R302" t="s">
        <v>793</v>
      </c>
      <c r="S302">
        <v>3000</v>
      </c>
      <c r="T302" t="s">
        <v>60</v>
      </c>
      <c r="U302" t="s">
        <v>760</v>
      </c>
      <c r="V302" t="s">
        <v>796</v>
      </c>
      <c r="W302" t="s">
        <v>166</v>
      </c>
      <c r="X302">
        <v>12625</v>
      </c>
      <c r="Y302" t="s">
        <v>178</v>
      </c>
      <c r="Z302" t="s">
        <v>143</v>
      </c>
      <c r="AA302" t="s">
        <v>144</v>
      </c>
      <c r="AB302" t="s">
        <v>650</v>
      </c>
      <c r="AC302" t="s">
        <v>146</v>
      </c>
      <c r="AD302">
        <v>100</v>
      </c>
      <c r="AE302">
        <v>562</v>
      </c>
      <c r="AF302">
        <v>31833</v>
      </c>
      <c r="AG302" t="s">
        <v>144</v>
      </c>
      <c r="AH302" t="s">
        <v>143</v>
      </c>
      <c r="AI302" t="s">
        <v>143</v>
      </c>
      <c r="AJ302" t="s">
        <v>143</v>
      </c>
      <c r="AK302" t="s">
        <v>143</v>
      </c>
      <c r="AL302" t="s">
        <v>147</v>
      </c>
      <c r="AM302">
        <v>7095.25</v>
      </c>
      <c r="AN302" t="s">
        <v>719</v>
      </c>
      <c r="AO302" t="s">
        <v>64</v>
      </c>
      <c r="AP302" t="s">
        <v>65</v>
      </c>
    </row>
    <row r="303" spans="1:42" x14ac:dyDescent="0.3">
      <c r="A303" t="s">
        <v>39</v>
      </c>
      <c r="B303">
        <v>134</v>
      </c>
      <c r="C303" t="s">
        <v>58</v>
      </c>
      <c r="D303" t="s">
        <v>59</v>
      </c>
      <c r="E303" t="s">
        <v>987</v>
      </c>
      <c r="F303" t="s">
        <v>66</v>
      </c>
      <c r="G303" t="s">
        <v>43</v>
      </c>
      <c r="H303" t="s">
        <v>48</v>
      </c>
      <c r="I303">
        <v>19075</v>
      </c>
      <c r="J303" t="s">
        <v>59</v>
      </c>
      <c r="K303">
        <v>75</v>
      </c>
      <c r="L303" t="s">
        <v>146</v>
      </c>
      <c r="M303">
        <v>1</v>
      </c>
      <c r="N303" t="s">
        <v>134</v>
      </c>
      <c r="O303" t="s">
        <v>207</v>
      </c>
      <c r="P303">
        <v>3000</v>
      </c>
      <c r="Q303" t="s">
        <v>60</v>
      </c>
      <c r="R303" t="s">
        <v>749</v>
      </c>
      <c r="S303">
        <v>3000</v>
      </c>
      <c r="T303" t="s">
        <v>60</v>
      </c>
      <c r="U303" t="s">
        <v>750</v>
      </c>
      <c r="V303" t="s">
        <v>751</v>
      </c>
      <c r="W303" t="s">
        <v>166</v>
      </c>
      <c r="X303">
        <v>17248</v>
      </c>
      <c r="Y303" t="s">
        <v>178</v>
      </c>
      <c r="Z303" t="s">
        <v>143</v>
      </c>
      <c r="AA303" t="s">
        <v>144</v>
      </c>
      <c r="AB303" t="s">
        <v>650</v>
      </c>
      <c r="AC303" t="s">
        <v>146</v>
      </c>
      <c r="AD303">
        <v>78</v>
      </c>
      <c r="AE303">
        <v>456</v>
      </c>
      <c r="AF303">
        <v>30728</v>
      </c>
      <c r="AG303" t="s">
        <v>144</v>
      </c>
      <c r="AH303" t="s">
        <v>143</v>
      </c>
      <c r="AI303" t="s">
        <v>143</v>
      </c>
      <c r="AJ303" t="s">
        <v>143</v>
      </c>
      <c r="AK303" t="s">
        <v>143</v>
      </c>
      <c r="AL303" t="s">
        <v>147</v>
      </c>
      <c r="AM303">
        <v>7865.09</v>
      </c>
      <c r="AN303" t="s">
        <v>200</v>
      </c>
      <c r="AO303" t="s">
        <v>66</v>
      </c>
      <c r="AP303" t="s">
        <v>43</v>
      </c>
    </row>
    <row r="304" spans="1:42" x14ac:dyDescent="0.3">
      <c r="A304" t="s">
        <v>39</v>
      </c>
      <c r="B304">
        <v>134</v>
      </c>
      <c r="C304" t="s">
        <v>58</v>
      </c>
      <c r="D304" t="s">
        <v>59</v>
      </c>
      <c r="E304" t="s">
        <v>987</v>
      </c>
      <c r="F304" t="s">
        <v>67</v>
      </c>
      <c r="G304" t="s">
        <v>43</v>
      </c>
      <c r="H304" t="s">
        <v>46</v>
      </c>
      <c r="I304">
        <v>18074</v>
      </c>
      <c r="J304" t="s">
        <v>59</v>
      </c>
      <c r="K304">
        <v>74</v>
      </c>
      <c r="L304" t="s">
        <v>146</v>
      </c>
      <c r="M304">
        <v>2</v>
      </c>
      <c r="N304" t="s">
        <v>134</v>
      </c>
      <c r="O304" t="s">
        <v>257</v>
      </c>
      <c r="P304">
        <v>3000</v>
      </c>
      <c r="Q304" t="s">
        <v>60</v>
      </c>
      <c r="R304" t="s">
        <v>789</v>
      </c>
      <c r="S304">
        <v>3000</v>
      </c>
      <c r="T304" t="s">
        <v>60</v>
      </c>
      <c r="U304" t="s">
        <v>790</v>
      </c>
      <c r="V304" t="s">
        <v>791</v>
      </c>
      <c r="W304" t="s">
        <v>166</v>
      </c>
      <c r="X304">
        <v>20016</v>
      </c>
      <c r="Y304" t="s">
        <v>178</v>
      </c>
      <c r="Z304" t="s">
        <v>143</v>
      </c>
      <c r="AA304" t="s">
        <v>144</v>
      </c>
      <c r="AB304" t="s">
        <v>650</v>
      </c>
      <c r="AC304" t="s">
        <v>146</v>
      </c>
      <c r="AD304">
        <v>102</v>
      </c>
      <c r="AE304">
        <v>588</v>
      </c>
      <c r="AF304">
        <v>30727</v>
      </c>
      <c r="AG304" t="s">
        <v>144</v>
      </c>
      <c r="AH304" t="s">
        <v>143</v>
      </c>
      <c r="AI304" t="s">
        <v>143</v>
      </c>
      <c r="AJ304" t="s">
        <v>143</v>
      </c>
      <c r="AK304" t="s">
        <v>143</v>
      </c>
      <c r="AL304" t="s">
        <v>147</v>
      </c>
      <c r="AM304">
        <v>11769.41</v>
      </c>
      <c r="AN304" t="s">
        <v>200</v>
      </c>
      <c r="AO304" t="s">
        <v>822</v>
      </c>
      <c r="AP304" t="s">
        <v>43</v>
      </c>
    </row>
    <row r="305" spans="1:42" x14ac:dyDescent="0.3">
      <c r="A305" t="s">
        <v>39</v>
      </c>
      <c r="B305">
        <v>215</v>
      </c>
      <c r="C305" t="s">
        <v>68</v>
      </c>
      <c r="D305" t="s">
        <v>59</v>
      </c>
      <c r="E305" t="s">
        <v>986</v>
      </c>
      <c r="F305" t="s">
        <v>45</v>
      </c>
      <c r="G305" t="s">
        <v>69</v>
      </c>
      <c r="H305" t="s">
        <v>48</v>
      </c>
      <c r="I305">
        <v>52005</v>
      </c>
      <c r="J305" t="s">
        <v>59</v>
      </c>
      <c r="K305">
        <v>5</v>
      </c>
      <c r="L305" t="s">
        <v>146</v>
      </c>
      <c r="M305">
        <v>3</v>
      </c>
      <c r="N305" t="s">
        <v>134</v>
      </c>
      <c r="O305" t="s">
        <v>505</v>
      </c>
      <c r="P305">
        <v>96</v>
      </c>
      <c r="Q305" t="s">
        <v>823</v>
      </c>
      <c r="R305" t="s">
        <v>824</v>
      </c>
      <c r="S305">
        <v>96</v>
      </c>
      <c r="T305" t="s">
        <v>823</v>
      </c>
      <c r="U305" t="s">
        <v>824</v>
      </c>
      <c r="V305" t="s">
        <v>824</v>
      </c>
      <c r="W305" t="s">
        <v>379</v>
      </c>
      <c r="X305">
        <v>21218</v>
      </c>
      <c r="Y305" t="s">
        <v>178</v>
      </c>
      <c r="Z305" t="s">
        <v>144</v>
      </c>
      <c r="AA305" t="s">
        <v>144</v>
      </c>
      <c r="AB305" t="s">
        <v>650</v>
      </c>
      <c r="AC305" t="s">
        <v>146</v>
      </c>
      <c r="AD305">
        <v>142</v>
      </c>
      <c r="AE305">
        <v>789</v>
      </c>
      <c r="AF305">
        <v>34095</v>
      </c>
      <c r="AG305" t="s">
        <v>144</v>
      </c>
      <c r="AH305" t="s">
        <v>143</v>
      </c>
      <c r="AI305" t="s">
        <v>143</v>
      </c>
      <c r="AJ305" t="s">
        <v>143</v>
      </c>
      <c r="AK305" t="s">
        <v>143</v>
      </c>
      <c r="AL305" t="s">
        <v>147</v>
      </c>
      <c r="AM305">
        <v>16741</v>
      </c>
      <c r="AN305" t="s">
        <v>820</v>
      </c>
      <c r="AO305" t="s">
        <v>50</v>
      </c>
      <c r="AP305" t="s">
        <v>43</v>
      </c>
    </row>
    <row r="306" spans="1:42" x14ac:dyDescent="0.3">
      <c r="A306" t="s">
        <v>39</v>
      </c>
      <c r="B306">
        <v>134</v>
      </c>
      <c r="C306" t="s">
        <v>58</v>
      </c>
      <c r="D306" t="s">
        <v>59</v>
      </c>
      <c r="E306" t="s">
        <v>987</v>
      </c>
      <c r="F306" t="s">
        <v>64</v>
      </c>
      <c r="G306" t="s">
        <v>61</v>
      </c>
      <c r="H306" t="s">
        <v>48</v>
      </c>
      <c r="I306">
        <v>17071</v>
      </c>
      <c r="J306" t="s">
        <v>59</v>
      </c>
      <c r="K306">
        <v>71</v>
      </c>
      <c r="L306" t="s">
        <v>146</v>
      </c>
      <c r="M306">
        <v>2</v>
      </c>
      <c r="N306" t="s">
        <v>134</v>
      </c>
      <c r="O306" t="s">
        <v>752</v>
      </c>
      <c r="P306">
        <v>3000</v>
      </c>
      <c r="Q306" t="s">
        <v>60</v>
      </c>
      <c r="R306" t="s">
        <v>753</v>
      </c>
      <c r="S306">
        <v>3000</v>
      </c>
      <c r="T306" t="s">
        <v>60</v>
      </c>
      <c r="U306" t="s">
        <v>727</v>
      </c>
      <c r="V306" t="s">
        <v>819</v>
      </c>
      <c r="W306" t="s">
        <v>166</v>
      </c>
      <c r="X306">
        <v>21220</v>
      </c>
      <c r="Y306" t="s">
        <v>178</v>
      </c>
      <c r="Z306" t="s">
        <v>143</v>
      </c>
      <c r="AA306" t="s">
        <v>144</v>
      </c>
      <c r="AB306" t="s">
        <v>650</v>
      </c>
      <c r="AC306" t="s">
        <v>146</v>
      </c>
      <c r="AD306">
        <v>99</v>
      </c>
      <c r="AE306">
        <v>569</v>
      </c>
      <c r="AF306">
        <v>34118</v>
      </c>
      <c r="AG306" t="s">
        <v>144</v>
      </c>
      <c r="AH306" t="s">
        <v>143</v>
      </c>
      <c r="AI306" t="s">
        <v>143</v>
      </c>
      <c r="AJ306" t="s">
        <v>143</v>
      </c>
      <c r="AK306" t="s">
        <v>143</v>
      </c>
      <c r="AL306" t="s">
        <v>147</v>
      </c>
      <c r="AM306">
        <v>12074.18</v>
      </c>
      <c r="AN306" t="s">
        <v>645</v>
      </c>
      <c r="AO306" t="s">
        <v>50</v>
      </c>
      <c r="AP306" t="s">
        <v>61</v>
      </c>
    </row>
    <row r="307" spans="1:42" x14ac:dyDescent="0.3">
      <c r="A307" t="s">
        <v>39</v>
      </c>
      <c r="B307">
        <v>134</v>
      </c>
      <c r="C307" t="s">
        <v>58</v>
      </c>
      <c r="D307" t="s">
        <v>59</v>
      </c>
      <c r="E307" t="s">
        <v>987</v>
      </c>
      <c r="F307" t="s">
        <v>64</v>
      </c>
      <c r="G307" t="s">
        <v>61</v>
      </c>
      <c r="H307" t="s">
        <v>48</v>
      </c>
      <c r="I307">
        <v>19075</v>
      </c>
      <c r="J307" t="s">
        <v>59</v>
      </c>
      <c r="K307">
        <v>75</v>
      </c>
      <c r="L307" t="s">
        <v>146</v>
      </c>
      <c r="M307">
        <v>1</v>
      </c>
      <c r="N307" t="s">
        <v>134</v>
      </c>
      <c r="O307" t="s">
        <v>207</v>
      </c>
      <c r="P307">
        <v>3000</v>
      </c>
      <c r="Q307" t="s">
        <v>60</v>
      </c>
      <c r="R307" t="s">
        <v>749</v>
      </c>
      <c r="S307">
        <v>3000</v>
      </c>
      <c r="T307" t="s">
        <v>60</v>
      </c>
      <c r="U307" t="s">
        <v>750</v>
      </c>
      <c r="V307" t="s">
        <v>751</v>
      </c>
      <c r="W307" t="s">
        <v>166</v>
      </c>
      <c r="X307">
        <v>17314</v>
      </c>
      <c r="Y307" t="s">
        <v>178</v>
      </c>
      <c r="Z307" t="s">
        <v>143</v>
      </c>
      <c r="AA307" t="s">
        <v>144</v>
      </c>
      <c r="AB307" t="s">
        <v>650</v>
      </c>
      <c r="AC307" t="s">
        <v>146</v>
      </c>
      <c r="AD307">
        <v>78</v>
      </c>
      <c r="AE307">
        <v>456</v>
      </c>
      <c r="AF307">
        <v>30728</v>
      </c>
      <c r="AG307" t="s">
        <v>144</v>
      </c>
      <c r="AH307" t="s">
        <v>143</v>
      </c>
      <c r="AI307" t="s">
        <v>143</v>
      </c>
      <c r="AJ307" t="s">
        <v>143</v>
      </c>
      <c r="AK307" t="s">
        <v>143</v>
      </c>
      <c r="AL307" t="s">
        <v>147</v>
      </c>
      <c r="AM307">
        <v>7895.18</v>
      </c>
      <c r="AN307" t="s">
        <v>200</v>
      </c>
      <c r="AO307" t="s">
        <v>50</v>
      </c>
      <c r="AP307" t="s">
        <v>61</v>
      </c>
    </row>
    <row r="308" spans="1:42" x14ac:dyDescent="0.3">
      <c r="A308" t="s">
        <v>39</v>
      </c>
      <c r="B308">
        <v>134</v>
      </c>
      <c r="C308" t="s">
        <v>58</v>
      </c>
      <c r="D308" t="s">
        <v>59</v>
      </c>
      <c r="E308" t="s">
        <v>987</v>
      </c>
      <c r="F308" t="s">
        <v>64</v>
      </c>
      <c r="G308" t="s">
        <v>65</v>
      </c>
      <c r="H308" t="s">
        <v>63</v>
      </c>
      <c r="I308">
        <v>21078</v>
      </c>
      <c r="J308" t="s">
        <v>59</v>
      </c>
      <c r="K308">
        <v>78</v>
      </c>
      <c r="L308" t="s">
        <v>146</v>
      </c>
      <c r="M308">
        <v>1</v>
      </c>
      <c r="N308" t="s">
        <v>134</v>
      </c>
      <c r="O308" t="s">
        <v>821</v>
      </c>
      <c r="P308">
        <v>3000</v>
      </c>
      <c r="Q308" t="s">
        <v>60</v>
      </c>
      <c r="R308" t="s">
        <v>760</v>
      </c>
      <c r="S308">
        <v>3000</v>
      </c>
      <c r="T308" t="s">
        <v>60</v>
      </c>
      <c r="U308" t="s">
        <v>825</v>
      </c>
      <c r="V308" t="s">
        <v>826</v>
      </c>
      <c r="W308" t="s">
        <v>166</v>
      </c>
      <c r="X308">
        <v>12696</v>
      </c>
      <c r="Y308" t="s">
        <v>178</v>
      </c>
      <c r="Z308" t="s">
        <v>143</v>
      </c>
      <c r="AA308" t="s">
        <v>144</v>
      </c>
      <c r="AB308" t="s">
        <v>650</v>
      </c>
      <c r="AC308" t="s">
        <v>146</v>
      </c>
      <c r="AD308">
        <v>92</v>
      </c>
      <c r="AE308">
        <v>522</v>
      </c>
      <c r="AF308">
        <v>31831</v>
      </c>
      <c r="AG308" t="s">
        <v>144</v>
      </c>
      <c r="AH308" t="s">
        <v>143</v>
      </c>
      <c r="AI308" t="s">
        <v>143</v>
      </c>
      <c r="AJ308" t="s">
        <v>143</v>
      </c>
      <c r="AK308" t="s">
        <v>143</v>
      </c>
      <c r="AL308" t="s">
        <v>147</v>
      </c>
      <c r="AM308">
        <v>6627.31</v>
      </c>
      <c r="AN308" t="s">
        <v>719</v>
      </c>
      <c r="AO308" t="s">
        <v>64</v>
      </c>
      <c r="AP308" t="s">
        <v>65</v>
      </c>
    </row>
    <row r="309" spans="1:42" x14ac:dyDescent="0.3">
      <c r="A309" t="s">
        <v>39</v>
      </c>
      <c r="B309">
        <v>215</v>
      </c>
      <c r="C309" t="s">
        <v>68</v>
      </c>
      <c r="D309" t="s">
        <v>59</v>
      </c>
      <c r="E309" t="s">
        <v>986</v>
      </c>
      <c r="F309" t="s">
        <v>45</v>
      </c>
      <c r="G309" t="s">
        <v>43</v>
      </c>
      <c r="H309" t="s">
        <v>46</v>
      </c>
      <c r="I309">
        <v>67002</v>
      </c>
      <c r="J309" t="s">
        <v>59</v>
      </c>
      <c r="K309">
        <v>2</v>
      </c>
      <c r="L309" t="s">
        <v>146</v>
      </c>
      <c r="M309">
        <v>2</v>
      </c>
      <c r="N309" t="s">
        <v>673</v>
      </c>
      <c r="O309" t="s">
        <v>168</v>
      </c>
      <c r="P309">
        <v>6800</v>
      </c>
      <c r="Q309" t="s">
        <v>827</v>
      </c>
      <c r="R309" t="s">
        <v>828</v>
      </c>
      <c r="S309">
        <v>4000</v>
      </c>
      <c r="T309" t="s">
        <v>189</v>
      </c>
      <c r="U309" t="s">
        <v>829</v>
      </c>
      <c r="V309" t="s">
        <v>830</v>
      </c>
      <c r="W309" t="s">
        <v>166</v>
      </c>
      <c r="X309">
        <v>17926</v>
      </c>
      <c r="Y309" t="s">
        <v>178</v>
      </c>
      <c r="Z309" t="s">
        <v>144</v>
      </c>
      <c r="AA309" t="s">
        <v>144</v>
      </c>
      <c r="AB309" t="s">
        <v>650</v>
      </c>
      <c r="AC309" t="s">
        <v>146</v>
      </c>
      <c r="AD309">
        <v>3</v>
      </c>
      <c r="AE309">
        <v>18</v>
      </c>
      <c r="AF309">
        <v>11696</v>
      </c>
      <c r="AG309" t="s">
        <v>144</v>
      </c>
      <c r="AH309" t="s">
        <v>143</v>
      </c>
      <c r="AI309" t="s">
        <v>143</v>
      </c>
      <c r="AJ309" t="s">
        <v>143</v>
      </c>
      <c r="AK309" t="s">
        <v>143</v>
      </c>
      <c r="AL309" t="s">
        <v>147</v>
      </c>
      <c r="AM309">
        <v>322.67</v>
      </c>
      <c r="AN309" t="s">
        <v>831</v>
      </c>
      <c r="AO309" t="s">
        <v>832</v>
      </c>
      <c r="AP309" t="s">
        <v>43</v>
      </c>
    </row>
    <row r="310" spans="1:42" x14ac:dyDescent="0.3">
      <c r="A310" t="s">
        <v>39</v>
      </c>
      <c r="B310">
        <v>134</v>
      </c>
      <c r="C310" t="s">
        <v>58</v>
      </c>
      <c r="D310" t="s">
        <v>59</v>
      </c>
      <c r="E310" t="s">
        <v>987</v>
      </c>
      <c r="F310" t="s">
        <v>64</v>
      </c>
      <c r="G310" t="s">
        <v>43</v>
      </c>
      <c r="H310" t="s">
        <v>48</v>
      </c>
      <c r="I310">
        <v>10163</v>
      </c>
      <c r="J310" t="s">
        <v>59</v>
      </c>
      <c r="K310">
        <v>163</v>
      </c>
      <c r="L310" t="s">
        <v>146</v>
      </c>
      <c r="M310">
        <v>1</v>
      </c>
      <c r="N310" t="s">
        <v>134</v>
      </c>
      <c r="O310" t="s">
        <v>833</v>
      </c>
      <c r="P310">
        <v>3000</v>
      </c>
      <c r="Q310" t="s">
        <v>60</v>
      </c>
      <c r="R310" t="s">
        <v>793</v>
      </c>
      <c r="S310">
        <v>3000</v>
      </c>
      <c r="T310" t="s">
        <v>60</v>
      </c>
      <c r="U310" t="s">
        <v>746</v>
      </c>
      <c r="V310" t="s">
        <v>746</v>
      </c>
      <c r="W310" t="s">
        <v>166</v>
      </c>
      <c r="X310">
        <v>12925</v>
      </c>
      <c r="Y310" t="s">
        <v>178</v>
      </c>
      <c r="Z310" t="s">
        <v>143</v>
      </c>
      <c r="AA310" t="s">
        <v>144</v>
      </c>
      <c r="AB310" t="s">
        <v>650</v>
      </c>
      <c r="AC310" t="s">
        <v>146</v>
      </c>
      <c r="AD310">
        <v>9</v>
      </c>
      <c r="AE310">
        <v>55</v>
      </c>
      <c r="AF310">
        <v>30784</v>
      </c>
      <c r="AG310" t="s">
        <v>143</v>
      </c>
      <c r="AH310" t="s">
        <v>143</v>
      </c>
      <c r="AI310" t="s">
        <v>143</v>
      </c>
      <c r="AJ310" t="s">
        <v>143</v>
      </c>
      <c r="AK310" t="s">
        <v>143</v>
      </c>
      <c r="AL310" t="s">
        <v>147</v>
      </c>
      <c r="AM310">
        <v>710.88</v>
      </c>
      <c r="AN310" t="s">
        <v>758</v>
      </c>
      <c r="AO310" t="s">
        <v>50</v>
      </c>
      <c r="AP310" t="s">
        <v>43</v>
      </c>
    </row>
    <row r="311" spans="1:42" x14ac:dyDescent="0.3">
      <c r="A311" t="s">
        <v>39</v>
      </c>
      <c r="B311">
        <v>134</v>
      </c>
      <c r="C311" t="s">
        <v>58</v>
      </c>
      <c r="D311" t="s">
        <v>59</v>
      </c>
      <c r="E311" t="s">
        <v>987</v>
      </c>
      <c r="F311" t="s">
        <v>64</v>
      </c>
      <c r="G311" t="s">
        <v>43</v>
      </c>
      <c r="H311" t="s">
        <v>48</v>
      </c>
      <c r="I311">
        <v>19075</v>
      </c>
      <c r="J311" t="s">
        <v>59</v>
      </c>
      <c r="K311">
        <v>75</v>
      </c>
      <c r="L311" t="s">
        <v>146</v>
      </c>
      <c r="M311">
        <v>2</v>
      </c>
      <c r="N311" t="s">
        <v>134</v>
      </c>
      <c r="O311" t="s">
        <v>207</v>
      </c>
      <c r="P311">
        <v>3000</v>
      </c>
      <c r="Q311" t="s">
        <v>60</v>
      </c>
      <c r="R311" t="s">
        <v>834</v>
      </c>
      <c r="S311">
        <v>3000</v>
      </c>
      <c r="T311" t="s">
        <v>60</v>
      </c>
      <c r="U311" t="s">
        <v>790</v>
      </c>
      <c r="V311" t="s">
        <v>791</v>
      </c>
      <c r="W311" t="s">
        <v>166</v>
      </c>
      <c r="X311">
        <v>17193</v>
      </c>
      <c r="Y311" t="s">
        <v>178</v>
      </c>
      <c r="Z311" t="s">
        <v>143</v>
      </c>
      <c r="AA311" t="s">
        <v>144</v>
      </c>
      <c r="AB311" t="s">
        <v>650</v>
      </c>
      <c r="AC311" t="s">
        <v>146</v>
      </c>
      <c r="AD311">
        <v>82</v>
      </c>
      <c r="AE311">
        <v>475</v>
      </c>
      <c r="AF311">
        <v>30729</v>
      </c>
      <c r="AG311" t="s">
        <v>144</v>
      </c>
      <c r="AH311" t="s">
        <v>143</v>
      </c>
      <c r="AI311" t="s">
        <v>143</v>
      </c>
      <c r="AJ311" t="s">
        <v>143</v>
      </c>
      <c r="AK311" t="s">
        <v>143</v>
      </c>
      <c r="AL311" t="s">
        <v>147</v>
      </c>
      <c r="AM311">
        <v>8166.68</v>
      </c>
      <c r="AN311" t="s">
        <v>200</v>
      </c>
      <c r="AO311" t="s">
        <v>50</v>
      </c>
      <c r="AP311" t="s">
        <v>43</v>
      </c>
    </row>
    <row r="312" spans="1:42" x14ac:dyDescent="0.3">
      <c r="A312" t="s">
        <v>39</v>
      </c>
      <c r="B312">
        <v>134</v>
      </c>
      <c r="C312" t="s">
        <v>58</v>
      </c>
      <c r="D312" t="s">
        <v>59</v>
      </c>
      <c r="E312" t="s">
        <v>987</v>
      </c>
      <c r="F312" t="s">
        <v>64</v>
      </c>
      <c r="G312" t="s">
        <v>43</v>
      </c>
      <c r="H312" t="s">
        <v>48</v>
      </c>
      <c r="I312">
        <v>20038</v>
      </c>
      <c r="J312" t="s">
        <v>59</v>
      </c>
      <c r="K312">
        <v>38</v>
      </c>
      <c r="L312" t="s">
        <v>146</v>
      </c>
      <c r="M312">
        <v>3</v>
      </c>
      <c r="N312" t="s">
        <v>134</v>
      </c>
      <c r="O312" t="s">
        <v>835</v>
      </c>
      <c r="P312">
        <v>3000</v>
      </c>
      <c r="Q312" t="s">
        <v>60</v>
      </c>
      <c r="R312" t="s">
        <v>737</v>
      </c>
      <c r="S312">
        <v>3000</v>
      </c>
      <c r="T312" t="s">
        <v>60</v>
      </c>
      <c r="U312" t="s">
        <v>737</v>
      </c>
      <c r="V312" t="s">
        <v>738</v>
      </c>
      <c r="W312" t="s">
        <v>166</v>
      </c>
      <c r="X312">
        <v>5675</v>
      </c>
      <c r="Y312" t="s">
        <v>178</v>
      </c>
      <c r="Z312" t="s">
        <v>143</v>
      </c>
      <c r="AA312" t="s">
        <v>144</v>
      </c>
      <c r="AB312" t="s">
        <v>145</v>
      </c>
      <c r="AC312" t="s">
        <v>146</v>
      </c>
      <c r="AD312">
        <v>91</v>
      </c>
      <c r="AE312">
        <v>521</v>
      </c>
      <c r="AF312">
        <v>29619</v>
      </c>
      <c r="AG312" t="s">
        <v>144</v>
      </c>
      <c r="AH312" t="s">
        <v>143</v>
      </c>
      <c r="AI312" t="s">
        <v>143</v>
      </c>
      <c r="AJ312" t="s">
        <v>143</v>
      </c>
      <c r="AK312" t="s">
        <v>143</v>
      </c>
      <c r="AL312" t="s">
        <v>147</v>
      </c>
      <c r="AM312">
        <v>2956.68</v>
      </c>
      <c r="AN312" t="s">
        <v>739</v>
      </c>
      <c r="AO312" t="s">
        <v>50</v>
      </c>
      <c r="AP312" t="s">
        <v>43</v>
      </c>
    </row>
    <row r="313" spans="1:42" x14ac:dyDescent="0.3">
      <c r="A313" t="s">
        <v>39</v>
      </c>
      <c r="B313">
        <v>134</v>
      </c>
      <c r="C313" t="s">
        <v>58</v>
      </c>
      <c r="D313" t="s">
        <v>59</v>
      </c>
      <c r="E313" t="s">
        <v>987</v>
      </c>
      <c r="F313" t="s">
        <v>64</v>
      </c>
      <c r="G313" t="s">
        <v>61</v>
      </c>
      <c r="H313" t="s">
        <v>48</v>
      </c>
      <c r="I313">
        <v>17072</v>
      </c>
      <c r="J313" t="s">
        <v>59</v>
      </c>
      <c r="K313">
        <v>72</v>
      </c>
      <c r="L313" t="s">
        <v>146</v>
      </c>
      <c r="M313">
        <v>2</v>
      </c>
      <c r="N313" t="s">
        <v>134</v>
      </c>
      <c r="O313" t="s">
        <v>836</v>
      </c>
      <c r="P313">
        <v>3000</v>
      </c>
      <c r="Q313" t="s">
        <v>60</v>
      </c>
      <c r="R313" t="s">
        <v>753</v>
      </c>
      <c r="S313">
        <v>3000</v>
      </c>
      <c r="T313" t="s">
        <v>60</v>
      </c>
      <c r="U313" t="s">
        <v>727</v>
      </c>
      <c r="V313" t="s">
        <v>819</v>
      </c>
      <c r="W313" t="s">
        <v>166</v>
      </c>
      <c r="X313">
        <v>19626</v>
      </c>
      <c r="Y313" t="s">
        <v>178</v>
      </c>
      <c r="Z313" t="s">
        <v>143</v>
      </c>
      <c r="AA313" t="s">
        <v>144</v>
      </c>
      <c r="AB313" t="s">
        <v>650</v>
      </c>
      <c r="AC313" t="s">
        <v>146</v>
      </c>
      <c r="AD313">
        <v>89</v>
      </c>
      <c r="AE313">
        <v>514</v>
      </c>
      <c r="AF313">
        <v>34120</v>
      </c>
      <c r="AG313" t="s">
        <v>144</v>
      </c>
      <c r="AH313" t="s">
        <v>143</v>
      </c>
      <c r="AI313" t="s">
        <v>143</v>
      </c>
      <c r="AJ313" t="s">
        <v>143</v>
      </c>
      <c r="AK313" t="s">
        <v>143</v>
      </c>
      <c r="AL313" t="s">
        <v>147</v>
      </c>
      <c r="AM313">
        <v>10087.76</v>
      </c>
      <c r="AN313" t="s">
        <v>645</v>
      </c>
      <c r="AO313" t="s">
        <v>50</v>
      </c>
      <c r="AP313" t="s">
        <v>61</v>
      </c>
    </row>
    <row r="314" spans="1:42" x14ac:dyDescent="0.3">
      <c r="A314" t="s">
        <v>39</v>
      </c>
      <c r="B314">
        <v>134</v>
      </c>
      <c r="C314" t="s">
        <v>58</v>
      </c>
      <c r="D314" t="s">
        <v>59</v>
      </c>
      <c r="E314" t="s">
        <v>987</v>
      </c>
      <c r="F314" t="s">
        <v>66</v>
      </c>
      <c r="G314" t="s">
        <v>43</v>
      </c>
      <c r="H314" t="s">
        <v>48</v>
      </c>
      <c r="I314">
        <v>11793</v>
      </c>
      <c r="J314" t="s">
        <v>59</v>
      </c>
      <c r="K314">
        <v>793</v>
      </c>
      <c r="L314" t="s">
        <v>146</v>
      </c>
      <c r="M314">
        <v>2</v>
      </c>
      <c r="N314" t="s">
        <v>134</v>
      </c>
      <c r="O314" t="s">
        <v>259</v>
      </c>
      <c r="P314">
        <v>3000</v>
      </c>
      <c r="Q314" t="s">
        <v>60</v>
      </c>
      <c r="R314" t="s">
        <v>837</v>
      </c>
      <c r="S314">
        <v>3000</v>
      </c>
      <c r="T314" t="s">
        <v>60</v>
      </c>
      <c r="U314" t="s">
        <v>838</v>
      </c>
      <c r="V314" t="s">
        <v>791</v>
      </c>
      <c r="W314" t="s">
        <v>166</v>
      </c>
      <c r="X314">
        <v>27756</v>
      </c>
      <c r="Y314" t="s">
        <v>156</v>
      </c>
      <c r="Z314" t="s">
        <v>143</v>
      </c>
      <c r="AA314" t="s">
        <v>144</v>
      </c>
      <c r="AB314" t="s">
        <v>650</v>
      </c>
      <c r="AC314" t="s">
        <v>146</v>
      </c>
      <c r="AD314">
        <v>1</v>
      </c>
      <c r="AE314">
        <v>6</v>
      </c>
      <c r="AF314">
        <v>34116</v>
      </c>
      <c r="AG314" t="s">
        <v>143</v>
      </c>
      <c r="AH314" t="s">
        <v>143</v>
      </c>
      <c r="AI314" t="s">
        <v>143</v>
      </c>
      <c r="AJ314" t="s">
        <v>143</v>
      </c>
      <c r="AK314" t="s">
        <v>143</v>
      </c>
      <c r="AL314" t="s">
        <v>147</v>
      </c>
      <c r="AM314">
        <v>166.54</v>
      </c>
      <c r="AN314" t="s">
        <v>645</v>
      </c>
      <c r="AO314" t="s">
        <v>66</v>
      </c>
      <c r="AP314" t="s">
        <v>43</v>
      </c>
    </row>
    <row r="315" spans="1:42" x14ac:dyDescent="0.3">
      <c r="A315" t="s">
        <v>39</v>
      </c>
      <c r="B315">
        <v>215</v>
      </c>
      <c r="C315" t="s">
        <v>68</v>
      </c>
      <c r="D315" t="s">
        <v>59</v>
      </c>
      <c r="E315" t="s">
        <v>986</v>
      </c>
      <c r="F315" t="s">
        <v>45</v>
      </c>
      <c r="G315" t="s">
        <v>43</v>
      </c>
      <c r="H315" t="s">
        <v>44</v>
      </c>
      <c r="I315">
        <v>83001</v>
      </c>
      <c r="J315" t="s">
        <v>59</v>
      </c>
      <c r="K315">
        <v>1</v>
      </c>
      <c r="L315" t="s">
        <v>146</v>
      </c>
      <c r="M315">
        <v>1</v>
      </c>
      <c r="N315" t="s">
        <v>673</v>
      </c>
      <c r="O315" t="s">
        <v>160</v>
      </c>
      <c r="P315">
        <v>4000</v>
      </c>
      <c r="Q315" t="s">
        <v>189</v>
      </c>
      <c r="R315" t="s">
        <v>839</v>
      </c>
      <c r="S315">
        <v>8200</v>
      </c>
      <c r="T315" t="s">
        <v>840</v>
      </c>
      <c r="U315" t="s">
        <v>841</v>
      </c>
      <c r="V315" t="s">
        <v>842</v>
      </c>
      <c r="W315" t="s">
        <v>166</v>
      </c>
      <c r="X315">
        <v>25972</v>
      </c>
      <c r="Y315" t="s">
        <v>178</v>
      </c>
      <c r="Z315" t="s">
        <v>144</v>
      </c>
      <c r="AA315" t="s">
        <v>144</v>
      </c>
      <c r="AB315" t="s">
        <v>650</v>
      </c>
      <c r="AC315" t="s">
        <v>146</v>
      </c>
      <c r="AD315">
        <v>11</v>
      </c>
      <c r="AE315">
        <v>126</v>
      </c>
      <c r="AF315">
        <v>11688</v>
      </c>
      <c r="AG315" t="s">
        <v>144</v>
      </c>
      <c r="AH315" t="s">
        <v>143</v>
      </c>
      <c r="AI315" t="s">
        <v>143</v>
      </c>
      <c r="AJ315" t="s">
        <v>143</v>
      </c>
      <c r="AK315" t="s">
        <v>143</v>
      </c>
      <c r="AL315" t="s">
        <v>147</v>
      </c>
      <c r="AM315">
        <v>3272.47</v>
      </c>
      <c r="AN315" t="s">
        <v>831</v>
      </c>
      <c r="AO315" t="s">
        <v>380</v>
      </c>
      <c r="AP315" t="s">
        <v>43</v>
      </c>
    </row>
    <row r="316" spans="1:42" x14ac:dyDescent="0.3">
      <c r="A316" t="s">
        <v>39</v>
      </c>
      <c r="B316">
        <v>215</v>
      </c>
      <c r="C316" t="s">
        <v>68</v>
      </c>
      <c r="D316" t="s">
        <v>59</v>
      </c>
      <c r="E316" t="s">
        <v>986</v>
      </c>
      <c r="F316" t="s">
        <v>45</v>
      </c>
      <c r="G316" t="s">
        <v>43</v>
      </c>
      <c r="H316" t="s">
        <v>48</v>
      </c>
      <c r="I316">
        <v>62004</v>
      </c>
      <c r="J316" t="s">
        <v>59</v>
      </c>
      <c r="K316">
        <v>4</v>
      </c>
      <c r="L316" t="s">
        <v>146</v>
      </c>
      <c r="M316">
        <v>2</v>
      </c>
      <c r="N316" t="s">
        <v>134</v>
      </c>
      <c r="O316" t="s">
        <v>320</v>
      </c>
      <c r="P316">
        <v>8200</v>
      </c>
      <c r="Q316" t="s">
        <v>840</v>
      </c>
      <c r="R316" t="s">
        <v>841</v>
      </c>
      <c r="S316">
        <v>4000</v>
      </c>
      <c r="T316" t="s">
        <v>189</v>
      </c>
      <c r="U316" t="s">
        <v>843</v>
      </c>
      <c r="V316" t="s">
        <v>844</v>
      </c>
      <c r="W316" t="s">
        <v>166</v>
      </c>
      <c r="X316">
        <v>20508</v>
      </c>
      <c r="Y316" t="s">
        <v>178</v>
      </c>
      <c r="Z316" t="s">
        <v>144</v>
      </c>
      <c r="AA316" t="s">
        <v>144</v>
      </c>
      <c r="AB316" t="s">
        <v>650</v>
      </c>
      <c r="AC316" t="s">
        <v>146</v>
      </c>
      <c r="AD316">
        <v>142</v>
      </c>
      <c r="AE316">
        <v>819</v>
      </c>
      <c r="AF316">
        <v>32348</v>
      </c>
      <c r="AG316" t="s">
        <v>144</v>
      </c>
      <c r="AH316" t="s">
        <v>143</v>
      </c>
      <c r="AI316" t="s">
        <v>143</v>
      </c>
      <c r="AJ316" t="s">
        <v>143</v>
      </c>
      <c r="AK316" t="s">
        <v>143</v>
      </c>
      <c r="AL316" t="s">
        <v>147</v>
      </c>
      <c r="AM316">
        <v>16796.05</v>
      </c>
      <c r="AN316" t="s">
        <v>845</v>
      </c>
      <c r="AO316" t="s">
        <v>50</v>
      </c>
      <c r="AP316" t="s">
        <v>43</v>
      </c>
    </row>
    <row r="317" spans="1:42" x14ac:dyDescent="0.3">
      <c r="A317" t="s">
        <v>39</v>
      </c>
      <c r="B317">
        <v>215</v>
      </c>
      <c r="C317" t="s">
        <v>68</v>
      </c>
      <c r="D317" t="s">
        <v>59</v>
      </c>
      <c r="E317" t="s">
        <v>986</v>
      </c>
      <c r="F317" t="s">
        <v>61</v>
      </c>
      <c r="G317" t="s">
        <v>43</v>
      </c>
      <c r="H317" t="s">
        <v>48</v>
      </c>
      <c r="I317">
        <v>52005</v>
      </c>
      <c r="J317" t="s">
        <v>59</v>
      </c>
      <c r="K317">
        <v>5</v>
      </c>
      <c r="L317" t="s">
        <v>146</v>
      </c>
      <c r="M317">
        <v>3</v>
      </c>
      <c r="N317" t="s">
        <v>134</v>
      </c>
      <c r="O317" t="s">
        <v>505</v>
      </c>
      <c r="P317">
        <v>96</v>
      </c>
      <c r="Q317" t="s">
        <v>823</v>
      </c>
      <c r="R317" t="s">
        <v>824</v>
      </c>
      <c r="S317">
        <v>96</v>
      </c>
      <c r="T317" t="s">
        <v>823</v>
      </c>
      <c r="U317" t="s">
        <v>824</v>
      </c>
      <c r="V317" t="s">
        <v>824</v>
      </c>
      <c r="W317" t="s">
        <v>379</v>
      </c>
      <c r="X317">
        <v>21218</v>
      </c>
      <c r="Y317" t="s">
        <v>178</v>
      </c>
      <c r="Z317" t="s">
        <v>144</v>
      </c>
      <c r="AA317" t="s">
        <v>144</v>
      </c>
      <c r="AB317" t="s">
        <v>650</v>
      </c>
      <c r="AC317" t="s">
        <v>146</v>
      </c>
      <c r="AD317">
        <v>142</v>
      </c>
      <c r="AE317">
        <v>789</v>
      </c>
      <c r="AF317">
        <v>34095</v>
      </c>
      <c r="AG317" t="s">
        <v>144</v>
      </c>
      <c r="AH317" t="s">
        <v>143</v>
      </c>
      <c r="AI317" t="s">
        <v>143</v>
      </c>
      <c r="AJ317" t="s">
        <v>143</v>
      </c>
      <c r="AK317" t="s">
        <v>143</v>
      </c>
      <c r="AL317" t="s">
        <v>147</v>
      </c>
      <c r="AM317">
        <v>16741</v>
      </c>
      <c r="AN317" t="s">
        <v>820</v>
      </c>
      <c r="AO317" t="s">
        <v>50</v>
      </c>
      <c r="AP317" t="s">
        <v>43</v>
      </c>
    </row>
    <row r="318" spans="1:42" x14ac:dyDescent="0.3">
      <c r="A318" t="s">
        <v>39</v>
      </c>
      <c r="B318">
        <v>134</v>
      </c>
      <c r="C318" t="s">
        <v>58</v>
      </c>
      <c r="D318" t="s">
        <v>59</v>
      </c>
      <c r="E318" t="s">
        <v>987</v>
      </c>
      <c r="F318" t="s">
        <v>45</v>
      </c>
      <c r="G318" t="s">
        <v>43</v>
      </c>
      <c r="H318" t="s">
        <v>47</v>
      </c>
      <c r="I318">
        <v>11823</v>
      </c>
      <c r="J318" t="s">
        <v>59</v>
      </c>
      <c r="K318">
        <v>823</v>
      </c>
      <c r="L318" t="s">
        <v>146</v>
      </c>
      <c r="M318">
        <v>1</v>
      </c>
      <c r="N318" t="s">
        <v>134</v>
      </c>
      <c r="O318" t="s">
        <v>846</v>
      </c>
      <c r="P318">
        <v>3000</v>
      </c>
      <c r="Q318" t="s">
        <v>60</v>
      </c>
      <c r="R318" t="s">
        <v>847</v>
      </c>
      <c r="S318">
        <v>3000</v>
      </c>
      <c r="T318" t="s">
        <v>60</v>
      </c>
      <c r="U318" t="s">
        <v>775</v>
      </c>
      <c r="V318" t="s">
        <v>718</v>
      </c>
      <c r="W318" t="s">
        <v>166</v>
      </c>
      <c r="X318">
        <v>14124</v>
      </c>
      <c r="Y318" t="s">
        <v>156</v>
      </c>
      <c r="Z318" t="s">
        <v>143</v>
      </c>
      <c r="AA318" t="s">
        <v>144</v>
      </c>
      <c r="AB318" t="s">
        <v>157</v>
      </c>
      <c r="AC318" t="s">
        <v>146</v>
      </c>
      <c r="AD318">
        <v>1</v>
      </c>
      <c r="AE318">
        <v>6</v>
      </c>
      <c r="AF318">
        <v>31819</v>
      </c>
      <c r="AG318" t="s">
        <v>143</v>
      </c>
      <c r="AH318" t="s">
        <v>143</v>
      </c>
      <c r="AI318" t="s">
        <v>143</v>
      </c>
      <c r="AJ318" t="s">
        <v>143</v>
      </c>
      <c r="AK318" t="s">
        <v>143</v>
      </c>
      <c r="AL318" t="s">
        <v>147</v>
      </c>
      <c r="AM318">
        <v>84.74</v>
      </c>
      <c r="AN318" t="s">
        <v>719</v>
      </c>
      <c r="AO318" t="s">
        <v>776</v>
      </c>
      <c r="AP318" t="s">
        <v>43</v>
      </c>
    </row>
    <row r="319" spans="1:42" x14ac:dyDescent="0.3">
      <c r="A319" t="s">
        <v>39</v>
      </c>
      <c r="B319">
        <v>134</v>
      </c>
      <c r="C319" t="s">
        <v>58</v>
      </c>
      <c r="D319" t="s">
        <v>59</v>
      </c>
      <c r="E319" t="s">
        <v>987</v>
      </c>
      <c r="F319" t="s">
        <v>45</v>
      </c>
      <c r="G319" t="s">
        <v>43</v>
      </c>
      <c r="H319" t="s">
        <v>47</v>
      </c>
      <c r="I319">
        <v>11793</v>
      </c>
      <c r="J319" t="s">
        <v>59</v>
      </c>
      <c r="K319">
        <v>793</v>
      </c>
      <c r="L319" t="s">
        <v>146</v>
      </c>
      <c r="M319">
        <v>1</v>
      </c>
      <c r="N319" t="s">
        <v>134</v>
      </c>
      <c r="O319" t="s">
        <v>259</v>
      </c>
      <c r="P319">
        <v>3000</v>
      </c>
      <c r="Q319" t="s">
        <v>60</v>
      </c>
      <c r="R319" t="s">
        <v>848</v>
      </c>
      <c r="S319">
        <v>3000</v>
      </c>
      <c r="T319" t="s">
        <v>60</v>
      </c>
      <c r="U319" t="s">
        <v>837</v>
      </c>
      <c r="V319" t="s">
        <v>849</v>
      </c>
      <c r="W319" t="s">
        <v>166</v>
      </c>
      <c r="X319">
        <v>25059</v>
      </c>
      <c r="Y319" t="s">
        <v>156</v>
      </c>
      <c r="Z319" t="s">
        <v>143</v>
      </c>
      <c r="AA319" t="s">
        <v>144</v>
      </c>
      <c r="AB319" t="s">
        <v>650</v>
      </c>
      <c r="AC319" t="s">
        <v>146</v>
      </c>
      <c r="AD319">
        <v>1</v>
      </c>
      <c r="AE319">
        <v>6</v>
      </c>
      <c r="AF319">
        <v>34115</v>
      </c>
      <c r="AG319" t="s">
        <v>143</v>
      </c>
      <c r="AH319" t="s">
        <v>143</v>
      </c>
      <c r="AI319" t="s">
        <v>143</v>
      </c>
      <c r="AJ319" t="s">
        <v>143</v>
      </c>
      <c r="AK319" t="s">
        <v>143</v>
      </c>
      <c r="AL319" t="s">
        <v>147</v>
      </c>
      <c r="AM319">
        <v>150.35</v>
      </c>
      <c r="AN319" t="s">
        <v>645</v>
      </c>
      <c r="AO319" t="s">
        <v>850</v>
      </c>
      <c r="AP319" t="s">
        <v>43</v>
      </c>
    </row>
    <row r="320" spans="1:42" x14ac:dyDescent="0.3">
      <c r="A320" t="s">
        <v>39</v>
      </c>
      <c r="B320">
        <v>134</v>
      </c>
      <c r="C320" t="s">
        <v>58</v>
      </c>
      <c r="D320" t="s">
        <v>59</v>
      </c>
      <c r="E320" t="s">
        <v>987</v>
      </c>
      <c r="F320" t="s">
        <v>45</v>
      </c>
      <c r="G320" t="s">
        <v>43</v>
      </c>
      <c r="H320" t="s">
        <v>48</v>
      </c>
      <c r="I320">
        <v>15031</v>
      </c>
      <c r="J320" t="s">
        <v>59</v>
      </c>
      <c r="K320">
        <v>31</v>
      </c>
      <c r="L320" t="s">
        <v>146</v>
      </c>
      <c r="M320">
        <v>2</v>
      </c>
      <c r="N320" t="s">
        <v>134</v>
      </c>
      <c r="O320" t="s">
        <v>818</v>
      </c>
      <c r="P320">
        <v>3000</v>
      </c>
      <c r="Q320" t="s">
        <v>60</v>
      </c>
      <c r="R320" t="s">
        <v>753</v>
      </c>
      <c r="S320">
        <v>3000</v>
      </c>
      <c r="T320" t="s">
        <v>60</v>
      </c>
      <c r="U320" t="s">
        <v>727</v>
      </c>
      <c r="V320" t="s">
        <v>819</v>
      </c>
      <c r="W320" t="s">
        <v>166</v>
      </c>
      <c r="X320">
        <v>24036</v>
      </c>
      <c r="Y320" t="s">
        <v>178</v>
      </c>
      <c r="Z320" t="s">
        <v>143</v>
      </c>
      <c r="AA320" t="s">
        <v>144</v>
      </c>
      <c r="AB320" t="s">
        <v>650</v>
      </c>
      <c r="AC320" t="s">
        <v>146</v>
      </c>
      <c r="AD320">
        <v>66</v>
      </c>
      <c r="AE320">
        <v>384</v>
      </c>
      <c r="AF320">
        <v>33286</v>
      </c>
      <c r="AG320" t="s">
        <v>144</v>
      </c>
      <c r="AH320" t="s">
        <v>143</v>
      </c>
      <c r="AI320" t="s">
        <v>143</v>
      </c>
      <c r="AJ320" t="s">
        <v>143</v>
      </c>
      <c r="AK320" t="s">
        <v>143</v>
      </c>
      <c r="AL320" t="s">
        <v>147</v>
      </c>
      <c r="AM320">
        <v>9229.82</v>
      </c>
      <c r="AN320" t="s">
        <v>730</v>
      </c>
      <c r="AO320" t="s">
        <v>50</v>
      </c>
      <c r="AP320" t="s">
        <v>43</v>
      </c>
    </row>
    <row r="321" spans="1:42" x14ac:dyDescent="0.3">
      <c r="A321" t="s">
        <v>39</v>
      </c>
      <c r="B321">
        <v>134</v>
      </c>
      <c r="C321" t="s">
        <v>58</v>
      </c>
      <c r="D321" t="s">
        <v>59</v>
      </c>
      <c r="E321" t="s">
        <v>987</v>
      </c>
      <c r="F321" t="s">
        <v>52</v>
      </c>
      <c r="G321" t="s">
        <v>62</v>
      </c>
      <c r="H321" t="s">
        <v>63</v>
      </c>
      <c r="I321">
        <v>11517</v>
      </c>
      <c r="J321" t="s">
        <v>59</v>
      </c>
      <c r="K321">
        <v>517</v>
      </c>
      <c r="L321" t="s">
        <v>146</v>
      </c>
      <c r="M321">
        <v>1</v>
      </c>
      <c r="N321" t="s">
        <v>134</v>
      </c>
      <c r="O321" t="s">
        <v>740</v>
      </c>
      <c r="P321">
        <v>3000</v>
      </c>
      <c r="Q321" t="s">
        <v>60</v>
      </c>
      <c r="R321" t="s">
        <v>742</v>
      </c>
      <c r="S321">
        <v>3000</v>
      </c>
      <c r="T321" t="s">
        <v>60</v>
      </c>
      <c r="U321" t="s">
        <v>851</v>
      </c>
      <c r="V321" t="s">
        <v>852</v>
      </c>
      <c r="W321" t="s">
        <v>379</v>
      </c>
      <c r="X321">
        <v>15732</v>
      </c>
      <c r="Y321" t="s">
        <v>178</v>
      </c>
      <c r="Z321" t="s">
        <v>143</v>
      </c>
      <c r="AA321" t="s">
        <v>144</v>
      </c>
      <c r="AB321" t="s">
        <v>157</v>
      </c>
      <c r="AC321" t="s">
        <v>146</v>
      </c>
      <c r="AD321">
        <v>0</v>
      </c>
      <c r="AE321">
        <v>155</v>
      </c>
      <c r="AF321">
        <v>20297</v>
      </c>
      <c r="AG321" t="s">
        <v>143</v>
      </c>
      <c r="AH321" t="s">
        <v>143</v>
      </c>
      <c r="AI321" t="s">
        <v>143</v>
      </c>
      <c r="AJ321" t="s">
        <v>143</v>
      </c>
      <c r="AK321" t="s">
        <v>143</v>
      </c>
      <c r="AL321" t="s">
        <v>147</v>
      </c>
      <c r="AM321">
        <v>2438.46</v>
      </c>
      <c r="AN321" t="s">
        <v>744</v>
      </c>
      <c r="AO321" t="s">
        <v>52</v>
      </c>
      <c r="AP321" t="s">
        <v>62</v>
      </c>
    </row>
    <row r="322" spans="1:42" x14ac:dyDescent="0.3">
      <c r="A322" t="s">
        <v>39</v>
      </c>
      <c r="B322">
        <v>134</v>
      </c>
      <c r="C322" t="s">
        <v>58</v>
      </c>
      <c r="D322" t="s">
        <v>59</v>
      </c>
      <c r="E322" t="s">
        <v>987</v>
      </c>
      <c r="F322" t="s">
        <v>52</v>
      </c>
      <c r="G322" t="s">
        <v>62</v>
      </c>
      <c r="H322" t="s">
        <v>63</v>
      </c>
      <c r="I322">
        <v>12531</v>
      </c>
      <c r="J322" t="s">
        <v>59</v>
      </c>
      <c r="K322">
        <v>531</v>
      </c>
      <c r="L322" t="s">
        <v>146</v>
      </c>
      <c r="M322">
        <v>3</v>
      </c>
      <c r="N322" t="s">
        <v>134</v>
      </c>
      <c r="O322" t="s">
        <v>853</v>
      </c>
      <c r="P322">
        <v>3000</v>
      </c>
      <c r="Q322" t="s">
        <v>60</v>
      </c>
      <c r="R322" t="s">
        <v>753</v>
      </c>
      <c r="S322">
        <v>3000</v>
      </c>
      <c r="T322" t="s">
        <v>60</v>
      </c>
      <c r="U322" t="s">
        <v>753</v>
      </c>
      <c r="V322" t="s">
        <v>754</v>
      </c>
      <c r="W322" t="s">
        <v>166</v>
      </c>
      <c r="X322">
        <v>21925</v>
      </c>
      <c r="Y322" t="s">
        <v>178</v>
      </c>
      <c r="Z322" t="s">
        <v>143</v>
      </c>
      <c r="AA322" t="s">
        <v>144</v>
      </c>
      <c r="AB322" t="s">
        <v>157</v>
      </c>
      <c r="AC322" t="s">
        <v>146</v>
      </c>
      <c r="AD322">
        <v>0</v>
      </c>
      <c r="AE322">
        <v>217</v>
      </c>
      <c r="AF322">
        <v>33244</v>
      </c>
      <c r="AG322" t="s">
        <v>144</v>
      </c>
      <c r="AH322" t="s">
        <v>143</v>
      </c>
      <c r="AI322" t="s">
        <v>143</v>
      </c>
      <c r="AJ322" t="s">
        <v>143</v>
      </c>
      <c r="AK322" t="s">
        <v>143</v>
      </c>
      <c r="AL322" t="s">
        <v>147</v>
      </c>
      <c r="AM322">
        <v>4757.7299999999996</v>
      </c>
      <c r="AN322" t="s">
        <v>730</v>
      </c>
      <c r="AO322" t="s">
        <v>52</v>
      </c>
      <c r="AP322" t="s">
        <v>62</v>
      </c>
    </row>
    <row r="323" spans="1:42" x14ac:dyDescent="0.3">
      <c r="A323" t="s">
        <v>39</v>
      </c>
      <c r="B323">
        <v>134</v>
      </c>
      <c r="C323" t="s">
        <v>58</v>
      </c>
      <c r="D323" t="s">
        <v>59</v>
      </c>
      <c r="E323" t="s">
        <v>987</v>
      </c>
      <c r="F323" t="s">
        <v>64</v>
      </c>
      <c r="G323" t="s">
        <v>43</v>
      </c>
      <c r="H323" t="s">
        <v>46</v>
      </c>
      <c r="I323">
        <v>14506</v>
      </c>
      <c r="J323" t="s">
        <v>59</v>
      </c>
      <c r="K323">
        <v>506</v>
      </c>
      <c r="L323" t="s">
        <v>146</v>
      </c>
      <c r="M323">
        <v>1</v>
      </c>
      <c r="N323" t="s">
        <v>134</v>
      </c>
      <c r="O323" t="s">
        <v>786</v>
      </c>
      <c r="P323">
        <v>3000</v>
      </c>
      <c r="Q323" t="s">
        <v>60</v>
      </c>
      <c r="R323" t="s">
        <v>749</v>
      </c>
      <c r="S323">
        <v>3000</v>
      </c>
      <c r="T323" t="s">
        <v>60</v>
      </c>
      <c r="U323" t="s">
        <v>787</v>
      </c>
      <c r="V323" t="s">
        <v>788</v>
      </c>
      <c r="W323" t="s">
        <v>166</v>
      </c>
      <c r="X323">
        <v>19788</v>
      </c>
      <c r="Y323" t="s">
        <v>178</v>
      </c>
      <c r="Z323" t="s">
        <v>143</v>
      </c>
      <c r="AA323" t="s">
        <v>144</v>
      </c>
      <c r="AB323" t="s">
        <v>157</v>
      </c>
      <c r="AC323" t="s">
        <v>146</v>
      </c>
      <c r="AD323">
        <v>49</v>
      </c>
      <c r="AE323">
        <v>245</v>
      </c>
      <c r="AF323">
        <v>23532</v>
      </c>
      <c r="AG323" t="s">
        <v>144</v>
      </c>
      <c r="AH323" t="s">
        <v>143</v>
      </c>
      <c r="AI323" t="s">
        <v>143</v>
      </c>
      <c r="AJ323" t="s">
        <v>143</v>
      </c>
      <c r="AK323" t="s">
        <v>143</v>
      </c>
      <c r="AL323" t="s">
        <v>147</v>
      </c>
      <c r="AM323">
        <v>4848.0600000000004</v>
      </c>
      <c r="AN323" t="s">
        <v>200</v>
      </c>
      <c r="AO323" t="s">
        <v>442</v>
      </c>
      <c r="AP323" t="s">
        <v>43</v>
      </c>
    </row>
    <row r="324" spans="1:42" x14ac:dyDescent="0.3">
      <c r="A324" t="s">
        <v>39</v>
      </c>
      <c r="B324">
        <v>134</v>
      </c>
      <c r="C324" t="s">
        <v>58</v>
      </c>
      <c r="D324" t="s">
        <v>59</v>
      </c>
      <c r="E324" t="s">
        <v>987</v>
      </c>
      <c r="F324" t="s">
        <v>64</v>
      </c>
      <c r="G324" t="s">
        <v>43</v>
      </c>
      <c r="H324" t="s">
        <v>48</v>
      </c>
      <c r="I324">
        <v>30062</v>
      </c>
      <c r="J324" t="s">
        <v>59</v>
      </c>
      <c r="K324">
        <v>62</v>
      </c>
      <c r="L324" t="s">
        <v>146</v>
      </c>
      <c r="M324">
        <v>3</v>
      </c>
      <c r="N324" t="s">
        <v>134</v>
      </c>
      <c r="O324" t="s">
        <v>854</v>
      </c>
      <c r="P324">
        <v>3000</v>
      </c>
      <c r="Q324" t="s">
        <v>60</v>
      </c>
      <c r="R324" t="s">
        <v>727</v>
      </c>
      <c r="S324">
        <v>3000</v>
      </c>
      <c r="T324" t="s">
        <v>60</v>
      </c>
      <c r="U324" t="s">
        <v>855</v>
      </c>
      <c r="V324" t="s">
        <v>819</v>
      </c>
      <c r="W324" t="s">
        <v>166</v>
      </c>
      <c r="X324">
        <v>20320</v>
      </c>
      <c r="Y324" t="s">
        <v>178</v>
      </c>
      <c r="Z324" t="s">
        <v>143</v>
      </c>
      <c r="AA324" t="s">
        <v>144</v>
      </c>
      <c r="AB324" t="s">
        <v>650</v>
      </c>
      <c r="AC324" t="s">
        <v>146</v>
      </c>
      <c r="AD324">
        <v>93</v>
      </c>
      <c r="AE324">
        <v>537</v>
      </c>
      <c r="AF324">
        <v>33266</v>
      </c>
      <c r="AG324" t="s">
        <v>143</v>
      </c>
      <c r="AH324" t="s">
        <v>143</v>
      </c>
      <c r="AI324" t="s">
        <v>143</v>
      </c>
      <c r="AJ324" t="s">
        <v>143</v>
      </c>
      <c r="AK324" t="s">
        <v>143</v>
      </c>
      <c r="AL324" t="s">
        <v>147</v>
      </c>
      <c r="AM324">
        <v>10911.84</v>
      </c>
      <c r="AN324" t="s">
        <v>730</v>
      </c>
      <c r="AO324" t="s">
        <v>50</v>
      </c>
      <c r="AP324" t="s">
        <v>43</v>
      </c>
    </row>
    <row r="325" spans="1:42" x14ac:dyDescent="0.3">
      <c r="A325" t="s">
        <v>39</v>
      </c>
      <c r="B325">
        <v>134</v>
      </c>
      <c r="C325" t="s">
        <v>58</v>
      </c>
      <c r="D325" t="s">
        <v>59</v>
      </c>
      <c r="E325" t="s">
        <v>987</v>
      </c>
      <c r="F325" t="s">
        <v>64</v>
      </c>
      <c r="G325" t="s">
        <v>43</v>
      </c>
      <c r="H325" t="s">
        <v>48</v>
      </c>
      <c r="I325">
        <v>92002</v>
      </c>
      <c r="J325" t="s">
        <v>59</v>
      </c>
      <c r="K325">
        <v>2</v>
      </c>
      <c r="L325" t="s">
        <v>146</v>
      </c>
      <c r="M325">
        <v>3</v>
      </c>
      <c r="N325" t="s">
        <v>134</v>
      </c>
      <c r="O325" t="s">
        <v>168</v>
      </c>
      <c r="P325">
        <v>3000</v>
      </c>
      <c r="Q325" t="s">
        <v>60</v>
      </c>
      <c r="R325" t="s">
        <v>797</v>
      </c>
      <c r="S325">
        <v>3000</v>
      </c>
      <c r="T325" t="s">
        <v>60</v>
      </c>
      <c r="U325" t="s">
        <v>798</v>
      </c>
      <c r="V325" t="s">
        <v>799</v>
      </c>
      <c r="W325" t="s">
        <v>166</v>
      </c>
      <c r="X325">
        <v>4939</v>
      </c>
      <c r="Y325" t="s">
        <v>178</v>
      </c>
      <c r="Z325" t="s">
        <v>143</v>
      </c>
      <c r="AA325" t="s">
        <v>144</v>
      </c>
      <c r="AB325" t="s">
        <v>145</v>
      </c>
      <c r="AC325" t="s">
        <v>146</v>
      </c>
      <c r="AD325">
        <v>89</v>
      </c>
      <c r="AE325">
        <v>517</v>
      </c>
      <c r="AF325">
        <v>23484</v>
      </c>
      <c r="AG325" t="s">
        <v>144</v>
      </c>
      <c r="AH325" t="s">
        <v>143</v>
      </c>
      <c r="AI325" t="s">
        <v>143</v>
      </c>
      <c r="AJ325" t="s">
        <v>143</v>
      </c>
      <c r="AK325" t="s">
        <v>143</v>
      </c>
      <c r="AL325" t="s">
        <v>147</v>
      </c>
      <c r="AM325">
        <v>2553.46</v>
      </c>
      <c r="AN325" t="s">
        <v>800</v>
      </c>
      <c r="AO325" t="s">
        <v>50</v>
      </c>
      <c r="AP325" t="s">
        <v>43</v>
      </c>
    </row>
    <row r="326" spans="1:42" x14ac:dyDescent="0.3">
      <c r="A326" t="s">
        <v>39</v>
      </c>
      <c r="B326">
        <v>215</v>
      </c>
      <c r="C326" t="s">
        <v>68</v>
      </c>
      <c r="D326" t="s">
        <v>59</v>
      </c>
      <c r="E326" t="s">
        <v>986</v>
      </c>
      <c r="F326" t="s">
        <v>45</v>
      </c>
      <c r="G326" t="s">
        <v>43</v>
      </c>
      <c r="H326" t="s">
        <v>48</v>
      </c>
      <c r="I326">
        <v>52005</v>
      </c>
      <c r="J326" t="s">
        <v>59</v>
      </c>
      <c r="K326">
        <v>5</v>
      </c>
      <c r="L326" t="s">
        <v>146</v>
      </c>
      <c r="M326">
        <v>1</v>
      </c>
      <c r="N326" t="s">
        <v>134</v>
      </c>
      <c r="O326" t="s">
        <v>856</v>
      </c>
      <c r="P326">
        <v>4000</v>
      </c>
      <c r="Q326" t="s">
        <v>189</v>
      </c>
      <c r="R326" t="s">
        <v>829</v>
      </c>
      <c r="S326">
        <v>96</v>
      </c>
      <c r="T326" t="s">
        <v>823</v>
      </c>
      <c r="U326" t="s">
        <v>824</v>
      </c>
      <c r="V326" t="s">
        <v>857</v>
      </c>
      <c r="W326" t="s">
        <v>379</v>
      </c>
      <c r="X326">
        <v>13433</v>
      </c>
      <c r="Y326" t="s">
        <v>178</v>
      </c>
      <c r="Z326" t="s">
        <v>144</v>
      </c>
      <c r="AA326" t="s">
        <v>144</v>
      </c>
      <c r="AB326" t="s">
        <v>650</v>
      </c>
      <c r="AC326" t="s">
        <v>146</v>
      </c>
      <c r="AD326">
        <v>0</v>
      </c>
      <c r="AE326">
        <v>44</v>
      </c>
      <c r="AF326">
        <v>34395</v>
      </c>
      <c r="AG326" t="s">
        <v>144</v>
      </c>
      <c r="AH326" t="s">
        <v>143</v>
      </c>
      <c r="AI326" t="s">
        <v>143</v>
      </c>
      <c r="AJ326" t="s">
        <v>143</v>
      </c>
      <c r="AK326" t="s">
        <v>143</v>
      </c>
      <c r="AL326" t="s">
        <v>147</v>
      </c>
      <c r="AM326">
        <v>591.04999999999995</v>
      </c>
      <c r="AN326" t="s">
        <v>858</v>
      </c>
      <c r="AO326" t="s">
        <v>50</v>
      </c>
      <c r="AP326" t="s">
        <v>43</v>
      </c>
    </row>
    <row r="327" spans="1:42" x14ac:dyDescent="0.3">
      <c r="A327" t="s">
        <v>39</v>
      </c>
      <c r="B327">
        <v>120</v>
      </c>
      <c r="C327" t="s">
        <v>40</v>
      </c>
      <c r="D327" t="s">
        <v>41</v>
      </c>
      <c r="E327" t="s">
        <v>986</v>
      </c>
      <c r="F327" t="s">
        <v>42</v>
      </c>
      <c r="G327" t="s">
        <v>43</v>
      </c>
      <c r="H327" t="s">
        <v>48</v>
      </c>
      <c r="I327">
        <v>17068</v>
      </c>
      <c r="J327" t="s">
        <v>41</v>
      </c>
      <c r="K327">
        <v>68</v>
      </c>
      <c r="L327" t="s">
        <v>158</v>
      </c>
      <c r="M327">
        <v>1</v>
      </c>
      <c r="N327" t="s">
        <v>134</v>
      </c>
      <c r="O327" t="s">
        <v>496</v>
      </c>
      <c r="P327">
        <v>1284</v>
      </c>
      <c r="Q327" t="s">
        <v>225</v>
      </c>
      <c r="R327" t="s">
        <v>293</v>
      </c>
      <c r="S327">
        <v>122</v>
      </c>
      <c r="T327" t="s">
        <v>138</v>
      </c>
      <c r="U327" t="s">
        <v>139</v>
      </c>
      <c r="V327" t="s">
        <v>140</v>
      </c>
      <c r="W327" t="s">
        <v>141</v>
      </c>
      <c r="X327">
        <v>16842</v>
      </c>
      <c r="Y327" t="s">
        <v>178</v>
      </c>
      <c r="Z327" t="s">
        <v>143</v>
      </c>
      <c r="AA327" t="s">
        <v>143</v>
      </c>
      <c r="AB327" t="s">
        <v>145</v>
      </c>
      <c r="AC327" t="s">
        <v>158</v>
      </c>
      <c r="AD327">
        <v>8</v>
      </c>
      <c r="AE327">
        <v>44</v>
      </c>
      <c r="AF327">
        <v>30777</v>
      </c>
      <c r="AG327" t="s">
        <v>143</v>
      </c>
      <c r="AH327" t="s">
        <v>143</v>
      </c>
      <c r="AI327" t="s">
        <v>143</v>
      </c>
      <c r="AJ327" t="s">
        <v>143</v>
      </c>
      <c r="AK327" t="s">
        <v>143</v>
      </c>
      <c r="AL327" t="s">
        <v>147</v>
      </c>
      <c r="AM327">
        <v>741.05</v>
      </c>
      <c r="AN327" t="s">
        <v>349</v>
      </c>
      <c r="AO327" t="s">
        <v>859</v>
      </c>
      <c r="AP327" t="s">
        <v>43</v>
      </c>
    </row>
    <row r="328" spans="1:42" x14ac:dyDescent="0.3">
      <c r="A328" t="s">
        <v>39</v>
      </c>
      <c r="B328">
        <v>120</v>
      </c>
      <c r="C328" t="s">
        <v>40</v>
      </c>
      <c r="D328" t="s">
        <v>49</v>
      </c>
      <c r="E328" t="s">
        <v>984</v>
      </c>
      <c r="F328" t="s">
        <v>45</v>
      </c>
      <c r="G328" t="s">
        <v>43</v>
      </c>
      <c r="H328" t="s">
        <v>46</v>
      </c>
      <c r="I328">
        <v>11395</v>
      </c>
      <c r="J328" t="s">
        <v>49</v>
      </c>
      <c r="K328">
        <v>395</v>
      </c>
      <c r="L328" t="s">
        <v>146</v>
      </c>
      <c r="M328">
        <v>1</v>
      </c>
      <c r="N328" t="s">
        <v>168</v>
      </c>
      <c r="O328" t="s">
        <v>860</v>
      </c>
      <c r="P328">
        <v>874</v>
      </c>
      <c r="Q328" t="s">
        <v>235</v>
      </c>
      <c r="R328" t="s">
        <v>861</v>
      </c>
      <c r="S328">
        <v>874</v>
      </c>
      <c r="T328" t="s">
        <v>235</v>
      </c>
      <c r="U328" t="s">
        <v>862</v>
      </c>
      <c r="V328" t="s">
        <v>863</v>
      </c>
      <c r="W328" t="s">
        <v>166</v>
      </c>
      <c r="X328">
        <v>8127</v>
      </c>
      <c r="Y328" t="s">
        <v>156</v>
      </c>
      <c r="Z328" t="s">
        <v>143</v>
      </c>
      <c r="AA328" t="s">
        <v>144</v>
      </c>
      <c r="AB328" t="s">
        <v>157</v>
      </c>
      <c r="AC328" t="s">
        <v>146</v>
      </c>
      <c r="AD328">
        <v>1</v>
      </c>
      <c r="AE328">
        <v>6</v>
      </c>
      <c r="AF328">
        <v>11495</v>
      </c>
      <c r="AG328" t="s">
        <v>143</v>
      </c>
      <c r="AH328" t="s">
        <v>143</v>
      </c>
      <c r="AI328" t="s">
        <v>143</v>
      </c>
      <c r="AJ328" t="s">
        <v>143</v>
      </c>
      <c r="AK328" t="s">
        <v>143</v>
      </c>
      <c r="AL328" t="s">
        <v>147</v>
      </c>
      <c r="AM328">
        <v>48.76</v>
      </c>
      <c r="AN328" t="s">
        <v>864</v>
      </c>
      <c r="AO328" t="s">
        <v>159</v>
      </c>
      <c r="AP328" t="s">
        <v>43</v>
      </c>
    </row>
    <row r="329" spans="1:42" x14ac:dyDescent="0.3">
      <c r="A329" t="s">
        <v>39</v>
      </c>
      <c r="B329">
        <v>120</v>
      </c>
      <c r="C329" t="s">
        <v>40</v>
      </c>
      <c r="D329" t="s">
        <v>49</v>
      </c>
      <c r="E329" t="s">
        <v>984</v>
      </c>
      <c r="F329" t="s">
        <v>45</v>
      </c>
      <c r="G329" t="s">
        <v>43</v>
      </c>
      <c r="H329" t="s">
        <v>46</v>
      </c>
      <c r="I329">
        <v>11395</v>
      </c>
      <c r="J329" t="s">
        <v>49</v>
      </c>
      <c r="K329">
        <v>395</v>
      </c>
      <c r="L329" t="s">
        <v>146</v>
      </c>
      <c r="M329">
        <v>2</v>
      </c>
      <c r="N329" t="s">
        <v>168</v>
      </c>
      <c r="O329" t="s">
        <v>860</v>
      </c>
      <c r="P329">
        <v>874</v>
      </c>
      <c r="Q329" t="s">
        <v>235</v>
      </c>
      <c r="R329" t="s">
        <v>865</v>
      </c>
      <c r="S329">
        <v>874</v>
      </c>
      <c r="T329" t="s">
        <v>235</v>
      </c>
      <c r="U329" t="s">
        <v>866</v>
      </c>
      <c r="V329" t="s">
        <v>867</v>
      </c>
      <c r="W329" t="s">
        <v>166</v>
      </c>
      <c r="X329">
        <v>8153</v>
      </c>
      <c r="Y329" t="s">
        <v>156</v>
      </c>
      <c r="Z329" t="s">
        <v>143</v>
      </c>
      <c r="AA329" t="s">
        <v>144</v>
      </c>
      <c r="AB329" t="s">
        <v>157</v>
      </c>
      <c r="AC329" t="s">
        <v>146</v>
      </c>
      <c r="AD329">
        <v>1</v>
      </c>
      <c r="AE329">
        <v>6</v>
      </c>
      <c r="AF329">
        <v>16124</v>
      </c>
      <c r="AG329" t="s">
        <v>143</v>
      </c>
      <c r="AH329" t="s">
        <v>143</v>
      </c>
      <c r="AI329" t="s">
        <v>143</v>
      </c>
      <c r="AJ329" t="s">
        <v>143</v>
      </c>
      <c r="AK329" t="s">
        <v>143</v>
      </c>
      <c r="AL329" t="s">
        <v>147</v>
      </c>
      <c r="AM329">
        <v>48.92</v>
      </c>
      <c r="AN329" t="s">
        <v>868</v>
      </c>
      <c r="AO329" t="s">
        <v>159</v>
      </c>
      <c r="AP329" t="s">
        <v>43</v>
      </c>
    </row>
    <row r="330" spans="1:42" x14ac:dyDescent="0.3">
      <c r="A330" t="s">
        <v>39</v>
      </c>
      <c r="B330">
        <v>120</v>
      </c>
      <c r="C330" t="s">
        <v>40</v>
      </c>
      <c r="D330" t="s">
        <v>49</v>
      </c>
      <c r="E330" t="s">
        <v>984</v>
      </c>
      <c r="F330" t="s">
        <v>45</v>
      </c>
      <c r="G330" t="s">
        <v>43</v>
      </c>
      <c r="H330" t="s">
        <v>48</v>
      </c>
      <c r="I330">
        <v>32013</v>
      </c>
      <c r="J330" t="s">
        <v>49</v>
      </c>
      <c r="K330">
        <v>13</v>
      </c>
      <c r="L330" t="s">
        <v>146</v>
      </c>
      <c r="M330">
        <v>1</v>
      </c>
      <c r="N330" t="s">
        <v>168</v>
      </c>
      <c r="O330" t="s">
        <v>501</v>
      </c>
      <c r="P330">
        <v>7700</v>
      </c>
      <c r="Q330" t="s">
        <v>49</v>
      </c>
      <c r="R330" t="s">
        <v>869</v>
      </c>
      <c r="S330">
        <v>7700</v>
      </c>
      <c r="T330" t="s">
        <v>49</v>
      </c>
      <c r="U330" t="s">
        <v>502</v>
      </c>
      <c r="V330" t="s">
        <v>503</v>
      </c>
      <c r="W330" t="s">
        <v>166</v>
      </c>
      <c r="X330">
        <v>18329</v>
      </c>
      <c r="Y330" t="s">
        <v>178</v>
      </c>
      <c r="Z330" t="s">
        <v>144</v>
      </c>
      <c r="AA330" t="s">
        <v>144</v>
      </c>
      <c r="AB330" t="s">
        <v>157</v>
      </c>
      <c r="AC330" t="s">
        <v>146</v>
      </c>
      <c r="AD330">
        <v>0</v>
      </c>
      <c r="AE330">
        <v>12</v>
      </c>
      <c r="AF330">
        <v>15254</v>
      </c>
      <c r="AG330" t="s">
        <v>143</v>
      </c>
      <c r="AH330" t="s">
        <v>143</v>
      </c>
      <c r="AI330" t="s">
        <v>143</v>
      </c>
      <c r="AJ330" t="s">
        <v>143</v>
      </c>
      <c r="AK330" t="s">
        <v>143</v>
      </c>
      <c r="AL330" t="s">
        <v>147</v>
      </c>
      <c r="AM330">
        <v>219.95</v>
      </c>
      <c r="AN330" t="s">
        <v>233</v>
      </c>
      <c r="AO330" t="s">
        <v>50</v>
      </c>
      <c r="AP330" t="s">
        <v>43</v>
      </c>
    </row>
    <row r="331" spans="1:42" x14ac:dyDescent="0.3">
      <c r="A331" t="s">
        <v>39</v>
      </c>
      <c r="B331">
        <v>120</v>
      </c>
      <c r="C331" t="s">
        <v>40</v>
      </c>
      <c r="D331" t="s">
        <v>49</v>
      </c>
      <c r="E331" t="s">
        <v>984</v>
      </c>
      <c r="F331" t="s">
        <v>45</v>
      </c>
      <c r="G331" t="s">
        <v>43</v>
      </c>
      <c r="H331" t="s">
        <v>48</v>
      </c>
      <c r="I331">
        <v>74015</v>
      </c>
      <c r="J331" t="s">
        <v>49</v>
      </c>
      <c r="K331">
        <v>15</v>
      </c>
      <c r="L331" t="s">
        <v>146</v>
      </c>
      <c r="M331">
        <v>2</v>
      </c>
      <c r="N331" t="s">
        <v>134</v>
      </c>
      <c r="O331" t="s">
        <v>724</v>
      </c>
      <c r="P331">
        <v>874</v>
      </c>
      <c r="Q331" t="s">
        <v>235</v>
      </c>
      <c r="R331" t="s">
        <v>321</v>
      </c>
      <c r="S331">
        <v>874</v>
      </c>
      <c r="T331" t="s">
        <v>235</v>
      </c>
      <c r="U331" t="s">
        <v>304</v>
      </c>
      <c r="V331" t="s">
        <v>870</v>
      </c>
      <c r="W331" t="s">
        <v>166</v>
      </c>
      <c r="X331">
        <v>15388</v>
      </c>
      <c r="Y331" t="s">
        <v>178</v>
      </c>
      <c r="Z331" t="s">
        <v>143</v>
      </c>
      <c r="AA331" t="s">
        <v>144</v>
      </c>
      <c r="AB331" t="s">
        <v>157</v>
      </c>
      <c r="AC331" t="s">
        <v>146</v>
      </c>
      <c r="AD331">
        <v>60</v>
      </c>
      <c r="AE331">
        <v>332</v>
      </c>
      <c r="AF331">
        <v>21175</v>
      </c>
      <c r="AG331" t="s">
        <v>143</v>
      </c>
      <c r="AH331" t="s">
        <v>143</v>
      </c>
      <c r="AI331" t="s">
        <v>143</v>
      </c>
      <c r="AJ331" t="s">
        <v>143</v>
      </c>
      <c r="AK331" t="s">
        <v>143</v>
      </c>
      <c r="AL331" t="s">
        <v>147</v>
      </c>
      <c r="AM331">
        <v>5108.82</v>
      </c>
      <c r="AN331" t="s">
        <v>871</v>
      </c>
      <c r="AO331" t="s">
        <v>50</v>
      </c>
      <c r="AP331" t="s">
        <v>43</v>
      </c>
    </row>
    <row r="332" spans="1:42" x14ac:dyDescent="0.3">
      <c r="A332" t="s">
        <v>39</v>
      </c>
      <c r="B332">
        <v>120</v>
      </c>
      <c r="C332" t="s">
        <v>40</v>
      </c>
      <c r="D332" t="s">
        <v>49</v>
      </c>
      <c r="E332" t="s">
        <v>984</v>
      </c>
      <c r="F332" t="s">
        <v>45</v>
      </c>
      <c r="G332" t="s">
        <v>43</v>
      </c>
      <c r="H332" t="s">
        <v>48</v>
      </c>
      <c r="I332">
        <v>81004</v>
      </c>
      <c r="J332" t="s">
        <v>49</v>
      </c>
      <c r="K332">
        <v>4</v>
      </c>
      <c r="L332" t="s">
        <v>146</v>
      </c>
      <c r="M332">
        <v>2</v>
      </c>
      <c r="N332" t="s">
        <v>134</v>
      </c>
      <c r="O332" t="s">
        <v>320</v>
      </c>
      <c r="P332">
        <v>874</v>
      </c>
      <c r="Q332" t="s">
        <v>235</v>
      </c>
      <c r="R332" t="s">
        <v>321</v>
      </c>
      <c r="S332">
        <v>874</v>
      </c>
      <c r="T332" t="s">
        <v>235</v>
      </c>
      <c r="U332" t="s">
        <v>304</v>
      </c>
      <c r="V332" t="s">
        <v>870</v>
      </c>
      <c r="W332" t="s">
        <v>166</v>
      </c>
      <c r="X332">
        <v>7334</v>
      </c>
      <c r="Y332" t="s">
        <v>178</v>
      </c>
      <c r="Z332" t="s">
        <v>143</v>
      </c>
      <c r="AA332" t="s">
        <v>144</v>
      </c>
      <c r="AB332" t="s">
        <v>157</v>
      </c>
      <c r="AC332" t="s">
        <v>146</v>
      </c>
      <c r="AD332">
        <v>56</v>
      </c>
      <c r="AE332">
        <v>312</v>
      </c>
      <c r="AF332">
        <v>20691</v>
      </c>
      <c r="AG332" t="s">
        <v>143</v>
      </c>
      <c r="AH332" t="s">
        <v>143</v>
      </c>
      <c r="AI332" t="s">
        <v>143</v>
      </c>
      <c r="AJ332" t="s">
        <v>143</v>
      </c>
      <c r="AK332" t="s">
        <v>143</v>
      </c>
      <c r="AL332" t="s">
        <v>147</v>
      </c>
      <c r="AM332">
        <v>2288.21</v>
      </c>
      <c r="AN332" t="s">
        <v>323</v>
      </c>
      <c r="AO332" t="s">
        <v>50</v>
      </c>
      <c r="AP332" t="s">
        <v>43</v>
      </c>
    </row>
    <row r="333" spans="1:42" x14ac:dyDescent="0.3">
      <c r="A333" t="s">
        <v>39</v>
      </c>
      <c r="B333">
        <v>120</v>
      </c>
      <c r="C333" t="s">
        <v>40</v>
      </c>
      <c r="D333" t="s">
        <v>49</v>
      </c>
      <c r="E333" t="s">
        <v>984</v>
      </c>
      <c r="F333" t="s">
        <v>69</v>
      </c>
      <c r="G333" t="s">
        <v>43</v>
      </c>
      <c r="H333" t="s">
        <v>48</v>
      </c>
      <c r="I333">
        <v>12350</v>
      </c>
      <c r="J333" t="s">
        <v>49</v>
      </c>
      <c r="K333">
        <v>350</v>
      </c>
      <c r="L333" t="s">
        <v>158</v>
      </c>
      <c r="M333">
        <v>2</v>
      </c>
      <c r="N333" t="s">
        <v>202</v>
      </c>
      <c r="O333" t="s">
        <v>401</v>
      </c>
      <c r="P333">
        <v>913</v>
      </c>
      <c r="Q333" t="s">
        <v>237</v>
      </c>
      <c r="R333" t="s">
        <v>449</v>
      </c>
      <c r="S333">
        <v>7700</v>
      </c>
      <c r="T333" t="s">
        <v>49</v>
      </c>
      <c r="U333" t="s">
        <v>248</v>
      </c>
      <c r="V333" t="s">
        <v>253</v>
      </c>
      <c r="W333" t="s">
        <v>141</v>
      </c>
      <c r="X333">
        <v>28638</v>
      </c>
      <c r="Y333" t="s">
        <v>178</v>
      </c>
      <c r="Z333" t="s">
        <v>143</v>
      </c>
      <c r="AA333" t="s">
        <v>143</v>
      </c>
      <c r="AB333" t="s">
        <v>157</v>
      </c>
      <c r="AC333" t="s">
        <v>158</v>
      </c>
      <c r="AD333">
        <v>3</v>
      </c>
      <c r="AE333">
        <v>15</v>
      </c>
      <c r="AF333">
        <v>22871</v>
      </c>
      <c r="AG333" t="s">
        <v>143</v>
      </c>
      <c r="AH333" t="s">
        <v>143</v>
      </c>
      <c r="AI333" t="s">
        <v>143</v>
      </c>
      <c r="AJ333" t="s">
        <v>143</v>
      </c>
      <c r="AK333" t="s">
        <v>143</v>
      </c>
      <c r="AL333" t="s">
        <v>147</v>
      </c>
      <c r="AM333">
        <v>429.57</v>
      </c>
      <c r="AN333" t="s">
        <v>245</v>
      </c>
      <c r="AO333" t="s">
        <v>69</v>
      </c>
      <c r="AP333" t="s">
        <v>43</v>
      </c>
    </row>
    <row r="334" spans="1:42" x14ac:dyDescent="0.3">
      <c r="A334" t="s">
        <v>39</v>
      </c>
      <c r="B334">
        <v>120</v>
      </c>
      <c r="C334" t="s">
        <v>40</v>
      </c>
      <c r="D334" t="s">
        <v>49</v>
      </c>
      <c r="E334" t="s">
        <v>984</v>
      </c>
      <c r="F334" t="s">
        <v>42</v>
      </c>
      <c r="G334" t="s">
        <v>43</v>
      </c>
      <c r="H334" t="s">
        <v>48</v>
      </c>
      <c r="I334">
        <v>21047</v>
      </c>
      <c r="J334" t="s">
        <v>49</v>
      </c>
      <c r="K334">
        <v>47</v>
      </c>
      <c r="L334" t="s">
        <v>158</v>
      </c>
      <c r="M334">
        <v>1</v>
      </c>
      <c r="N334" t="s">
        <v>168</v>
      </c>
      <c r="O334" t="s">
        <v>306</v>
      </c>
      <c r="P334">
        <v>7700</v>
      </c>
      <c r="Q334" t="s">
        <v>49</v>
      </c>
      <c r="R334" t="s">
        <v>197</v>
      </c>
      <c r="S334">
        <v>478</v>
      </c>
      <c r="T334" t="s">
        <v>307</v>
      </c>
      <c r="U334" t="s">
        <v>308</v>
      </c>
      <c r="V334" t="s">
        <v>326</v>
      </c>
      <c r="W334" t="s">
        <v>141</v>
      </c>
      <c r="X334">
        <v>12938</v>
      </c>
      <c r="Y334" t="s">
        <v>178</v>
      </c>
      <c r="Z334" t="s">
        <v>143</v>
      </c>
      <c r="AA334" t="s">
        <v>143</v>
      </c>
      <c r="AB334" t="s">
        <v>145</v>
      </c>
      <c r="AC334" t="s">
        <v>158</v>
      </c>
      <c r="AD334">
        <v>15</v>
      </c>
      <c r="AE334">
        <v>75</v>
      </c>
      <c r="AF334">
        <v>18788</v>
      </c>
      <c r="AG334" t="s">
        <v>143</v>
      </c>
      <c r="AH334" t="s">
        <v>143</v>
      </c>
      <c r="AI334" t="s">
        <v>143</v>
      </c>
      <c r="AJ334" t="s">
        <v>143</v>
      </c>
      <c r="AK334" t="s">
        <v>143</v>
      </c>
      <c r="AL334" t="s">
        <v>147</v>
      </c>
      <c r="AM334">
        <v>970.35</v>
      </c>
      <c r="AN334" t="s">
        <v>245</v>
      </c>
      <c r="AO334" t="s">
        <v>200</v>
      </c>
      <c r="AP334" t="s">
        <v>43</v>
      </c>
    </row>
    <row r="335" spans="1:42" x14ac:dyDescent="0.3">
      <c r="A335" t="s">
        <v>39</v>
      </c>
      <c r="B335">
        <v>215</v>
      </c>
      <c r="C335" t="s">
        <v>68</v>
      </c>
      <c r="D335" t="s">
        <v>59</v>
      </c>
      <c r="E335" t="s">
        <v>986</v>
      </c>
      <c r="F335" t="s">
        <v>52</v>
      </c>
      <c r="G335" t="s">
        <v>43</v>
      </c>
      <c r="H335" t="s">
        <v>44</v>
      </c>
      <c r="I335">
        <v>83001</v>
      </c>
      <c r="J335" t="s">
        <v>59</v>
      </c>
      <c r="K335">
        <v>1</v>
      </c>
      <c r="L335" t="s">
        <v>146</v>
      </c>
      <c r="M335">
        <v>2</v>
      </c>
      <c r="N335" t="s">
        <v>134</v>
      </c>
      <c r="O335" t="s">
        <v>160</v>
      </c>
      <c r="P335">
        <v>8200</v>
      </c>
      <c r="Q335" t="s">
        <v>840</v>
      </c>
      <c r="R335" t="s">
        <v>841</v>
      </c>
      <c r="S335">
        <v>4000</v>
      </c>
      <c r="T335" t="s">
        <v>189</v>
      </c>
      <c r="U335" t="s">
        <v>872</v>
      </c>
      <c r="V335" t="s">
        <v>844</v>
      </c>
      <c r="W335" t="s">
        <v>166</v>
      </c>
      <c r="X335">
        <v>25418</v>
      </c>
      <c r="Y335" t="s">
        <v>178</v>
      </c>
      <c r="Z335" t="s">
        <v>144</v>
      </c>
      <c r="AA335" t="s">
        <v>144</v>
      </c>
      <c r="AB335" t="s">
        <v>650</v>
      </c>
      <c r="AC335" t="s">
        <v>146</v>
      </c>
      <c r="AD335">
        <v>142</v>
      </c>
      <c r="AE335">
        <v>830</v>
      </c>
      <c r="AF335">
        <v>11689</v>
      </c>
      <c r="AG335" t="s">
        <v>144</v>
      </c>
      <c r="AH335" t="s">
        <v>143</v>
      </c>
      <c r="AI335" t="s">
        <v>143</v>
      </c>
      <c r="AJ335" t="s">
        <v>143</v>
      </c>
      <c r="AK335" t="s">
        <v>143</v>
      </c>
      <c r="AL335" t="s">
        <v>147</v>
      </c>
      <c r="AM335">
        <v>21096.94</v>
      </c>
      <c r="AN335" t="s">
        <v>831</v>
      </c>
      <c r="AO335" t="s">
        <v>380</v>
      </c>
      <c r="AP335" t="s">
        <v>43</v>
      </c>
    </row>
    <row r="336" spans="1:42" x14ac:dyDescent="0.3">
      <c r="A336" t="s">
        <v>39</v>
      </c>
      <c r="B336">
        <v>120</v>
      </c>
      <c r="C336" t="s">
        <v>40</v>
      </c>
      <c r="D336" t="s">
        <v>55</v>
      </c>
      <c r="E336" t="s">
        <v>984</v>
      </c>
      <c r="F336" t="s">
        <v>45</v>
      </c>
      <c r="G336" t="s">
        <v>43</v>
      </c>
      <c r="H336" t="s">
        <v>48</v>
      </c>
      <c r="I336">
        <v>12450</v>
      </c>
      <c r="J336" t="s">
        <v>55</v>
      </c>
      <c r="K336">
        <v>450</v>
      </c>
      <c r="L336" t="s">
        <v>158</v>
      </c>
      <c r="M336">
        <v>1</v>
      </c>
      <c r="N336" t="s">
        <v>134</v>
      </c>
      <c r="O336" t="s">
        <v>873</v>
      </c>
      <c r="P336">
        <v>6700</v>
      </c>
      <c r="Q336" t="s">
        <v>55</v>
      </c>
      <c r="R336" t="s">
        <v>429</v>
      </c>
      <c r="S336">
        <v>8000</v>
      </c>
      <c r="T336" t="s">
        <v>874</v>
      </c>
      <c r="U336" t="s">
        <v>875</v>
      </c>
      <c r="V336" t="s">
        <v>876</v>
      </c>
      <c r="W336" t="s">
        <v>141</v>
      </c>
      <c r="X336">
        <v>37795</v>
      </c>
      <c r="Y336" t="s">
        <v>178</v>
      </c>
      <c r="Z336" t="s">
        <v>143</v>
      </c>
      <c r="AA336" t="s">
        <v>143</v>
      </c>
      <c r="AB336" t="s">
        <v>157</v>
      </c>
      <c r="AC336" t="s">
        <v>158</v>
      </c>
      <c r="AD336">
        <v>28</v>
      </c>
      <c r="AE336">
        <v>160</v>
      </c>
      <c r="AF336">
        <v>15604</v>
      </c>
      <c r="AG336" t="s">
        <v>143</v>
      </c>
      <c r="AH336" t="s">
        <v>143</v>
      </c>
      <c r="AI336" t="s">
        <v>143</v>
      </c>
      <c r="AJ336" t="s">
        <v>143</v>
      </c>
      <c r="AK336" t="s">
        <v>143</v>
      </c>
      <c r="AL336" t="s">
        <v>147</v>
      </c>
      <c r="AM336">
        <v>6047.2</v>
      </c>
      <c r="AN336" t="s">
        <v>417</v>
      </c>
      <c r="AO336" t="s">
        <v>50</v>
      </c>
      <c r="AP336" t="s">
        <v>43</v>
      </c>
    </row>
    <row r="337" spans="1:42" x14ac:dyDescent="0.3">
      <c r="A337" t="s">
        <v>39</v>
      </c>
      <c r="B337">
        <v>120</v>
      </c>
      <c r="C337" t="s">
        <v>40</v>
      </c>
      <c r="D337" t="s">
        <v>55</v>
      </c>
      <c r="E337" t="s">
        <v>984</v>
      </c>
      <c r="F337" t="s">
        <v>45</v>
      </c>
      <c r="G337" t="s">
        <v>43</v>
      </c>
      <c r="H337" t="s">
        <v>48</v>
      </c>
      <c r="I337">
        <v>12450</v>
      </c>
      <c r="J337" t="s">
        <v>55</v>
      </c>
      <c r="K337">
        <v>450</v>
      </c>
      <c r="L337" t="s">
        <v>158</v>
      </c>
      <c r="M337">
        <v>2</v>
      </c>
      <c r="N337" t="s">
        <v>134</v>
      </c>
      <c r="O337" t="s">
        <v>873</v>
      </c>
      <c r="P337">
        <v>8000</v>
      </c>
      <c r="Q337" t="s">
        <v>874</v>
      </c>
      <c r="R337" t="s">
        <v>875</v>
      </c>
      <c r="S337">
        <v>6700</v>
      </c>
      <c r="T337" t="s">
        <v>55</v>
      </c>
      <c r="U337" t="s">
        <v>426</v>
      </c>
      <c r="V337" t="s">
        <v>433</v>
      </c>
      <c r="W337" t="s">
        <v>141</v>
      </c>
      <c r="X337">
        <v>37468</v>
      </c>
      <c r="Y337" t="s">
        <v>178</v>
      </c>
      <c r="Z337" t="s">
        <v>143</v>
      </c>
      <c r="AA337" t="s">
        <v>143</v>
      </c>
      <c r="AB337" t="s">
        <v>157</v>
      </c>
      <c r="AC337" t="s">
        <v>158</v>
      </c>
      <c r="AD337">
        <v>28</v>
      </c>
      <c r="AE337">
        <v>160</v>
      </c>
      <c r="AF337">
        <v>15605</v>
      </c>
      <c r="AG337" t="s">
        <v>143</v>
      </c>
      <c r="AH337" t="s">
        <v>143</v>
      </c>
      <c r="AI337" t="s">
        <v>143</v>
      </c>
      <c r="AJ337" t="s">
        <v>143</v>
      </c>
      <c r="AK337" t="s">
        <v>143</v>
      </c>
      <c r="AL337" t="s">
        <v>147</v>
      </c>
      <c r="AM337">
        <v>5994.88</v>
      </c>
      <c r="AN337" t="s">
        <v>417</v>
      </c>
      <c r="AO337" t="s">
        <v>50</v>
      </c>
      <c r="AP337" t="s">
        <v>43</v>
      </c>
    </row>
    <row r="338" spans="1:42" x14ac:dyDescent="0.3">
      <c r="A338" t="s">
        <v>39</v>
      </c>
      <c r="B338">
        <v>120</v>
      </c>
      <c r="C338" t="s">
        <v>40</v>
      </c>
      <c r="D338" t="s">
        <v>55</v>
      </c>
      <c r="E338" t="s">
        <v>984</v>
      </c>
      <c r="F338" t="s">
        <v>45</v>
      </c>
      <c r="G338" t="s">
        <v>43</v>
      </c>
      <c r="H338" t="s">
        <v>48</v>
      </c>
      <c r="I338">
        <v>45004</v>
      </c>
      <c r="J338" t="s">
        <v>55</v>
      </c>
      <c r="K338">
        <v>4</v>
      </c>
      <c r="L338" t="s">
        <v>146</v>
      </c>
      <c r="M338">
        <v>1</v>
      </c>
      <c r="N338" t="s">
        <v>134</v>
      </c>
      <c r="O338" t="s">
        <v>320</v>
      </c>
      <c r="P338">
        <v>6700</v>
      </c>
      <c r="Q338" t="s">
        <v>55</v>
      </c>
      <c r="R338" t="s">
        <v>429</v>
      </c>
      <c r="S338">
        <v>6700</v>
      </c>
      <c r="T338" t="s">
        <v>55</v>
      </c>
      <c r="U338" t="s">
        <v>425</v>
      </c>
      <c r="V338" t="s">
        <v>877</v>
      </c>
      <c r="W338" t="s">
        <v>166</v>
      </c>
      <c r="X338">
        <v>11169</v>
      </c>
      <c r="Y338" t="s">
        <v>178</v>
      </c>
      <c r="Z338" t="s">
        <v>143</v>
      </c>
      <c r="AA338" t="s">
        <v>144</v>
      </c>
      <c r="AB338" t="s">
        <v>157</v>
      </c>
      <c r="AC338" t="s">
        <v>146</v>
      </c>
      <c r="AD338">
        <v>47</v>
      </c>
      <c r="AE338">
        <v>261</v>
      </c>
      <c r="AF338">
        <v>15577</v>
      </c>
      <c r="AG338" t="s">
        <v>143</v>
      </c>
      <c r="AH338" t="s">
        <v>143</v>
      </c>
      <c r="AI338" t="s">
        <v>143</v>
      </c>
      <c r="AJ338" t="s">
        <v>143</v>
      </c>
      <c r="AK338" t="s">
        <v>143</v>
      </c>
      <c r="AL338" t="s">
        <v>147</v>
      </c>
      <c r="AM338">
        <v>2915.11</v>
      </c>
      <c r="AN338" t="s">
        <v>417</v>
      </c>
      <c r="AO338" t="s">
        <v>50</v>
      </c>
      <c r="AP338" t="s">
        <v>43</v>
      </c>
    </row>
    <row r="339" spans="1:42" x14ac:dyDescent="0.3">
      <c r="A339" t="s">
        <v>39</v>
      </c>
      <c r="B339">
        <v>120</v>
      </c>
      <c r="C339" t="s">
        <v>40</v>
      </c>
      <c r="D339" t="s">
        <v>55</v>
      </c>
      <c r="E339" t="s">
        <v>984</v>
      </c>
      <c r="F339" t="s">
        <v>45</v>
      </c>
      <c r="G339" t="s">
        <v>43</v>
      </c>
      <c r="H339" t="s">
        <v>48</v>
      </c>
      <c r="I339">
        <v>45004</v>
      </c>
      <c r="J339" t="s">
        <v>55</v>
      </c>
      <c r="K339">
        <v>4</v>
      </c>
      <c r="L339" t="s">
        <v>146</v>
      </c>
      <c r="M339">
        <v>2</v>
      </c>
      <c r="N339" t="s">
        <v>134</v>
      </c>
      <c r="O339" t="s">
        <v>320</v>
      </c>
      <c r="P339">
        <v>6700</v>
      </c>
      <c r="Q339" t="s">
        <v>55</v>
      </c>
      <c r="R339" t="s">
        <v>679</v>
      </c>
      <c r="S339">
        <v>6700</v>
      </c>
      <c r="T339" t="s">
        <v>55</v>
      </c>
      <c r="U339" t="s">
        <v>426</v>
      </c>
      <c r="V339" t="s">
        <v>249</v>
      </c>
      <c r="W339" t="s">
        <v>166</v>
      </c>
      <c r="X339">
        <v>11454</v>
      </c>
      <c r="Y339" t="s">
        <v>178</v>
      </c>
      <c r="Z339" t="s">
        <v>143</v>
      </c>
      <c r="AA339" t="s">
        <v>144</v>
      </c>
      <c r="AB339" t="s">
        <v>157</v>
      </c>
      <c r="AC339" t="s">
        <v>146</v>
      </c>
      <c r="AD339">
        <v>40</v>
      </c>
      <c r="AE339">
        <v>221</v>
      </c>
      <c r="AF339">
        <v>15578</v>
      </c>
      <c r="AG339" t="s">
        <v>143</v>
      </c>
      <c r="AH339" t="s">
        <v>143</v>
      </c>
      <c r="AI339" t="s">
        <v>143</v>
      </c>
      <c r="AJ339" t="s">
        <v>143</v>
      </c>
      <c r="AK339" t="s">
        <v>143</v>
      </c>
      <c r="AL339" t="s">
        <v>147</v>
      </c>
      <c r="AM339">
        <v>2531.33</v>
      </c>
      <c r="AN339" t="s">
        <v>417</v>
      </c>
      <c r="AO339" t="s">
        <v>50</v>
      </c>
      <c r="AP339" t="s">
        <v>43</v>
      </c>
    </row>
    <row r="340" spans="1:42" x14ac:dyDescent="0.3">
      <c r="A340" t="s">
        <v>39</v>
      </c>
      <c r="B340">
        <v>120</v>
      </c>
      <c r="C340" t="s">
        <v>40</v>
      </c>
      <c r="D340" t="s">
        <v>55</v>
      </c>
      <c r="E340" t="s">
        <v>984</v>
      </c>
      <c r="F340" t="s">
        <v>42</v>
      </c>
      <c r="G340" t="s">
        <v>43</v>
      </c>
      <c r="H340" t="s">
        <v>51</v>
      </c>
      <c r="I340">
        <v>19039</v>
      </c>
      <c r="J340" t="s">
        <v>55</v>
      </c>
      <c r="K340">
        <v>39</v>
      </c>
      <c r="L340" t="s">
        <v>146</v>
      </c>
      <c r="M340">
        <v>2</v>
      </c>
      <c r="N340" t="s">
        <v>160</v>
      </c>
      <c r="O340" t="s">
        <v>637</v>
      </c>
      <c r="P340">
        <v>330</v>
      </c>
      <c r="Q340" t="s">
        <v>584</v>
      </c>
      <c r="R340" t="s">
        <v>585</v>
      </c>
      <c r="S340">
        <v>6700</v>
      </c>
      <c r="T340" t="s">
        <v>55</v>
      </c>
      <c r="U340" t="s">
        <v>426</v>
      </c>
      <c r="V340" t="s">
        <v>433</v>
      </c>
      <c r="W340" t="s">
        <v>166</v>
      </c>
      <c r="X340">
        <v>31308</v>
      </c>
      <c r="Y340" t="s">
        <v>178</v>
      </c>
      <c r="Z340" t="s">
        <v>143</v>
      </c>
      <c r="AA340" t="s">
        <v>144</v>
      </c>
      <c r="AB340" t="s">
        <v>157</v>
      </c>
      <c r="AC340" t="s">
        <v>146</v>
      </c>
      <c r="AD340">
        <v>1</v>
      </c>
      <c r="AE340">
        <v>6</v>
      </c>
      <c r="AF340">
        <v>15972</v>
      </c>
      <c r="AG340" t="s">
        <v>143</v>
      </c>
      <c r="AH340" t="s">
        <v>143</v>
      </c>
      <c r="AI340" t="s">
        <v>143</v>
      </c>
      <c r="AJ340" t="s">
        <v>143</v>
      </c>
      <c r="AK340" t="s">
        <v>143</v>
      </c>
      <c r="AL340" t="s">
        <v>147</v>
      </c>
      <c r="AM340">
        <v>187.85</v>
      </c>
      <c r="AN340" t="s">
        <v>878</v>
      </c>
      <c r="AO340" t="s">
        <v>879</v>
      </c>
      <c r="AP340" t="s">
        <v>43</v>
      </c>
    </row>
    <row r="341" spans="1:42" x14ac:dyDescent="0.3">
      <c r="A341" t="s">
        <v>39</v>
      </c>
      <c r="B341">
        <v>120</v>
      </c>
      <c r="C341" t="s">
        <v>40</v>
      </c>
      <c r="D341" t="s">
        <v>55</v>
      </c>
      <c r="E341" t="s">
        <v>984</v>
      </c>
      <c r="F341" t="s">
        <v>50</v>
      </c>
      <c r="G341" t="s">
        <v>43</v>
      </c>
      <c r="H341" t="s">
        <v>48</v>
      </c>
      <c r="I341">
        <v>10851</v>
      </c>
      <c r="J341" t="s">
        <v>55</v>
      </c>
      <c r="K341">
        <v>851</v>
      </c>
      <c r="L341" t="s">
        <v>158</v>
      </c>
      <c r="M341">
        <v>1</v>
      </c>
      <c r="N341" t="s">
        <v>134</v>
      </c>
      <c r="O341" t="s">
        <v>694</v>
      </c>
      <c r="P341">
        <v>6700</v>
      </c>
      <c r="Q341" t="s">
        <v>55</v>
      </c>
      <c r="R341" t="s">
        <v>429</v>
      </c>
      <c r="S341">
        <v>7400</v>
      </c>
      <c r="T341" t="s">
        <v>695</v>
      </c>
      <c r="U341" t="s">
        <v>696</v>
      </c>
      <c r="V341" t="s">
        <v>880</v>
      </c>
      <c r="W341" t="s">
        <v>337</v>
      </c>
      <c r="X341">
        <v>110475</v>
      </c>
      <c r="Y341" t="s">
        <v>178</v>
      </c>
      <c r="Z341" t="s">
        <v>143</v>
      </c>
      <c r="AA341" t="s">
        <v>143</v>
      </c>
      <c r="AB341" t="s">
        <v>157</v>
      </c>
      <c r="AC341" t="s">
        <v>158</v>
      </c>
      <c r="AD341">
        <v>0</v>
      </c>
      <c r="AE341">
        <v>7</v>
      </c>
      <c r="AF341">
        <v>15561</v>
      </c>
      <c r="AG341" t="s">
        <v>143</v>
      </c>
      <c r="AH341" t="s">
        <v>143</v>
      </c>
      <c r="AI341" t="s">
        <v>143</v>
      </c>
      <c r="AJ341" t="s">
        <v>143</v>
      </c>
      <c r="AK341" t="s">
        <v>143</v>
      </c>
      <c r="AL341" t="s">
        <v>147</v>
      </c>
      <c r="AM341">
        <v>773.33</v>
      </c>
      <c r="AN341" t="s">
        <v>417</v>
      </c>
      <c r="AO341" t="s">
        <v>50</v>
      </c>
      <c r="AP341" t="s">
        <v>43</v>
      </c>
    </row>
    <row r="342" spans="1:42" x14ac:dyDescent="0.3">
      <c r="A342" t="s">
        <v>39</v>
      </c>
      <c r="B342">
        <v>120</v>
      </c>
      <c r="C342" t="s">
        <v>40</v>
      </c>
      <c r="D342" t="s">
        <v>55</v>
      </c>
      <c r="E342" t="s">
        <v>984</v>
      </c>
      <c r="F342" t="s">
        <v>50</v>
      </c>
      <c r="G342" t="s">
        <v>43</v>
      </c>
      <c r="H342" t="s">
        <v>48</v>
      </c>
      <c r="I342">
        <v>12850</v>
      </c>
      <c r="J342" t="s">
        <v>55</v>
      </c>
      <c r="K342">
        <v>850</v>
      </c>
      <c r="L342" t="s">
        <v>158</v>
      </c>
      <c r="M342">
        <v>2</v>
      </c>
      <c r="N342" t="s">
        <v>134</v>
      </c>
      <c r="O342" t="s">
        <v>881</v>
      </c>
      <c r="P342">
        <v>3797</v>
      </c>
      <c r="Q342" t="s">
        <v>559</v>
      </c>
      <c r="R342" t="s">
        <v>882</v>
      </c>
      <c r="S342">
        <v>6700</v>
      </c>
      <c r="T342" t="s">
        <v>55</v>
      </c>
      <c r="U342" t="s">
        <v>426</v>
      </c>
      <c r="V342" t="s">
        <v>433</v>
      </c>
      <c r="W342" t="s">
        <v>337</v>
      </c>
      <c r="X342">
        <v>153676</v>
      </c>
      <c r="Y342" t="s">
        <v>178</v>
      </c>
      <c r="Z342" t="s">
        <v>143</v>
      </c>
      <c r="AA342" t="s">
        <v>143</v>
      </c>
      <c r="AB342" t="s">
        <v>157</v>
      </c>
      <c r="AC342" t="s">
        <v>158</v>
      </c>
      <c r="AD342">
        <v>0</v>
      </c>
      <c r="AE342">
        <v>7</v>
      </c>
      <c r="AF342">
        <v>15560</v>
      </c>
      <c r="AG342" t="s">
        <v>143</v>
      </c>
      <c r="AH342" t="s">
        <v>143</v>
      </c>
      <c r="AI342" t="s">
        <v>143</v>
      </c>
      <c r="AJ342" t="s">
        <v>143</v>
      </c>
      <c r="AK342" t="s">
        <v>143</v>
      </c>
      <c r="AL342" t="s">
        <v>147</v>
      </c>
      <c r="AM342">
        <v>1075.73</v>
      </c>
      <c r="AN342" t="s">
        <v>417</v>
      </c>
      <c r="AO342" t="s">
        <v>50</v>
      </c>
      <c r="AP342" t="s">
        <v>43</v>
      </c>
    </row>
    <row r="343" spans="1:42" x14ac:dyDescent="0.3">
      <c r="A343" t="s">
        <v>39</v>
      </c>
      <c r="B343">
        <v>120</v>
      </c>
      <c r="C343" t="s">
        <v>40</v>
      </c>
      <c r="D343" t="s">
        <v>55</v>
      </c>
      <c r="E343" t="s">
        <v>984</v>
      </c>
      <c r="F343" t="s">
        <v>50</v>
      </c>
      <c r="G343" t="s">
        <v>43</v>
      </c>
      <c r="H343" t="s">
        <v>48</v>
      </c>
      <c r="I343">
        <v>40019</v>
      </c>
      <c r="J343" t="s">
        <v>55</v>
      </c>
      <c r="K343">
        <v>19</v>
      </c>
      <c r="L343" t="s">
        <v>985</v>
      </c>
      <c r="M343">
        <v>1</v>
      </c>
      <c r="N343" t="s">
        <v>134</v>
      </c>
      <c r="O343" t="s">
        <v>174</v>
      </c>
      <c r="P343">
        <v>9200</v>
      </c>
      <c r="Q343" t="s">
        <v>520</v>
      </c>
      <c r="R343" t="s">
        <v>613</v>
      </c>
      <c r="S343">
        <v>437</v>
      </c>
      <c r="T343" t="s">
        <v>804</v>
      </c>
      <c r="U343" t="s">
        <v>805</v>
      </c>
      <c r="V343" t="s">
        <v>883</v>
      </c>
      <c r="W343" t="s">
        <v>141</v>
      </c>
      <c r="X343">
        <v>12281</v>
      </c>
      <c r="Y343" t="s">
        <v>142</v>
      </c>
      <c r="Z343" t="s">
        <v>143</v>
      </c>
      <c r="AA343" t="s">
        <v>143</v>
      </c>
      <c r="AB343" t="s">
        <v>145</v>
      </c>
      <c r="AC343" t="s">
        <v>158</v>
      </c>
      <c r="AD343">
        <v>6</v>
      </c>
      <c r="AE343">
        <v>34</v>
      </c>
      <c r="AF343">
        <v>15082</v>
      </c>
      <c r="AG343" t="s">
        <v>143</v>
      </c>
      <c r="AH343" t="s">
        <v>143</v>
      </c>
      <c r="AI343" t="s">
        <v>143</v>
      </c>
      <c r="AJ343" t="s">
        <v>143</v>
      </c>
      <c r="AK343" t="s">
        <v>143</v>
      </c>
      <c r="AL343" t="s">
        <v>147</v>
      </c>
      <c r="AM343">
        <v>417.55</v>
      </c>
      <c r="AN343" t="s">
        <v>233</v>
      </c>
      <c r="AO343" t="s">
        <v>50</v>
      </c>
      <c r="AP343" t="s">
        <v>43</v>
      </c>
    </row>
    <row r="344" spans="1:42" x14ac:dyDescent="0.3">
      <c r="A344" t="s">
        <v>39</v>
      </c>
      <c r="B344">
        <v>120</v>
      </c>
      <c r="C344" t="s">
        <v>40</v>
      </c>
      <c r="D344" t="s">
        <v>41</v>
      </c>
      <c r="E344" t="s">
        <v>986</v>
      </c>
      <c r="F344" t="s">
        <v>42</v>
      </c>
      <c r="G344" t="s">
        <v>43</v>
      </c>
      <c r="H344" t="s">
        <v>44</v>
      </c>
      <c r="I344">
        <v>12773</v>
      </c>
      <c r="J344" t="s">
        <v>41</v>
      </c>
      <c r="K344">
        <v>773</v>
      </c>
      <c r="L344" t="s">
        <v>158</v>
      </c>
      <c r="M344">
        <v>1</v>
      </c>
      <c r="N344" t="s">
        <v>134</v>
      </c>
      <c r="O344" t="s">
        <v>763</v>
      </c>
      <c r="P344">
        <v>4000</v>
      </c>
      <c r="Q344" t="s">
        <v>189</v>
      </c>
      <c r="R344" t="s">
        <v>252</v>
      </c>
      <c r="S344">
        <v>1284</v>
      </c>
      <c r="T344" t="s">
        <v>225</v>
      </c>
      <c r="U344" t="s">
        <v>884</v>
      </c>
      <c r="V344" t="s">
        <v>227</v>
      </c>
      <c r="W344" t="s">
        <v>141</v>
      </c>
      <c r="X344">
        <v>25427</v>
      </c>
      <c r="Y344" t="s">
        <v>178</v>
      </c>
      <c r="Z344" t="s">
        <v>143</v>
      </c>
      <c r="AA344" t="s">
        <v>143</v>
      </c>
      <c r="AB344" t="s">
        <v>157</v>
      </c>
      <c r="AC344" t="s">
        <v>158</v>
      </c>
      <c r="AD344">
        <v>12</v>
      </c>
      <c r="AE344">
        <v>67</v>
      </c>
      <c r="AF344">
        <v>17108</v>
      </c>
      <c r="AG344" t="s">
        <v>143</v>
      </c>
      <c r="AH344" t="s">
        <v>143</v>
      </c>
      <c r="AI344" t="s">
        <v>143</v>
      </c>
      <c r="AJ344" t="s">
        <v>143</v>
      </c>
      <c r="AK344" t="s">
        <v>143</v>
      </c>
      <c r="AL344" t="s">
        <v>147</v>
      </c>
      <c r="AM344">
        <v>1703.61</v>
      </c>
      <c r="AN344" t="s">
        <v>348</v>
      </c>
      <c r="AO344" t="s">
        <v>885</v>
      </c>
      <c r="AP344" t="s">
        <v>43</v>
      </c>
    </row>
    <row r="345" spans="1:42" x14ac:dyDescent="0.3">
      <c r="A345" t="s">
        <v>39</v>
      </c>
      <c r="B345">
        <v>120</v>
      </c>
      <c r="C345" t="s">
        <v>40</v>
      </c>
      <c r="D345" t="s">
        <v>41</v>
      </c>
      <c r="E345" t="s">
        <v>986</v>
      </c>
      <c r="F345" t="s">
        <v>42</v>
      </c>
      <c r="G345" t="s">
        <v>43</v>
      </c>
      <c r="H345" t="s">
        <v>51</v>
      </c>
      <c r="I345">
        <v>50001</v>
      </c>
      <c r="J345" t="s">
        <v>41</v>
      </c>
      <c r="K345">
        <v>1</v>
      </c>
      <c r="L345" t="s">
        <v>146</v>
      </c>
      <c r="M345">
        <v>2</v>
      </c>
      <c r="N345" t="s">
        <v>134</v>
      </c>
      <c r="O345" t="s">
        <v>160</v>
      </c>
      <c r="P345">
        <v>494</v>
      </c>
      <c r="Q345" t="s">
        <v>287</v>
      </c>
      <c r="R345" t="s">
        <v>340</v>
      </c>
      <c r="S345">
        <v>494</v>
      </c>
      <c r="T345" t="s">
        <v>287</v>
      </c>
      <c r="U345" t="s">
        <v>339</v>
      </c>
      <c r="V345" t="s">
        <v>373</v>
      </c>
      <c r="W345" t="s">
        <v>166</v>
      </c>
      <c r="X345">
        <v>8596</v>
      </c>
      <c r="Y345" t="s">
        <v>178</v>
      </c>
      <c r="Z345" t="s">
        <v>144</v>
      </c>
      <c r="AA345" t="s">
        <v>144</v>
      </c>
      <c r="AB345" t="s">
        <v>145</v>
      </c>
      <c r="AC345" t="s">
        <v>146</v>
      </c>
      <c r="AD345">
        <v>33</v>
      </c>
      <c r="AE345">
        <v>198</v>
      </c>
      <c r="AF345">
        <v>14568</v>
      </c>
      <c r="AG345" t="s">
        <v>143</v>
      </c>
      <c r="AH345" t="s">
        <v>143</v>
      </c>
      <c r="AI345" t="s">
        <v>143</v>
      </c>
      <c r="AJ345" t="s">
        <v>143</v>
      </c>
      <c r="AK345" t="s">
        <v>143</v>
      </c>
      <c r="AL345" t="s">
        <v>147</v>
      </c>
      <c r="AM345">
        <v>1702.01</v>
      </c>
      <c r="AN345" t="s">
        <v>148</v>
      </c>
      <c r="AO345" t="s">
        <v>886</v>
      </c>
      <c r="AP345" t="s">
        <v>43</v>
      </c>
    </row>
    <row r="346" spans="1:42" x14ac:dyDescent="0.3">
      <c r="A346" t="s">
        <v>39</v>
      </c>
      <c r="B346">
        <v>120</v>
      </c>
      <c r="C346" t="s">
        <v>40</v>
      </c>
      <c r="D346" t="s">
        <v>41</v>
      </c>
      <c r="E346" t="s">
        <v>986</v>
      </c>
      <c r="F346" t="s">
        <v>42</v>
      </c>
      <c r="G346" t="s">
        <v>43</v>
      </c>
      <c r="H346" t="s">
        <v>47</v>
      </c>
      <c r="I346">
        <v>12118</v>
      </c>
      <c r="J346" t="s">
        <v>41</v>
      </c>
      <c r="K346">
        <v>118</v>
      </c>
      <c r="L346" t="s">
        <v>146</v>
      </c>
      <c r="M346">
        <v>1</v>
      </c>
      <c r="N346" t="s">
        <v>134</v>
      </c>
      <c r="O346" t="s">
        <v>887</v>
      </c>
      <c r="P346">
        <v>240</v>
      </c>
      <c r="Q346" t="s">
        <v>162</v>
      </c>
      <c r="R346" t="s">
        <v>392</v>
      </c>
      <c r="S346">
        <v>140</v>
      </c>
      <c r="T346" t="s">
        <v>136</v>
      </c>
      <c r="U346" t="s">
        <v>357</v>
      </c>
      <c r="V346" t="s">
        <v>358</v>
      </c>
      <c r="W346" t="s">
        <v>166</v>
      </c>
      <c r="X346">
        <v>6710</v>
      </c>
      <c r="Y346" t="s">
        <v>142</v>
      </c>
      <c r="Z346" t="s">
        <v>143</v>
      </c>
      <c r="AA346" t="s">
        <v>144</v>
      </c>
      <c r="AB346" t="s">
        <v>145</v>
      </c>
      <c r="AC346" t="s">
        <v>146</v>
      </c>
      <c r="AD346">
        <v>7</v>
      </c>
      <c r="AE346">
        <v>35</v>
      </c>
      <c r="AF346">
        <v>17849</v>
      </c>
      <c r="AG346" t="s">
        <v>143</v>
      </c>
      <c r="AH346" t="s">
        <v>143</v>
      </c>
      <c r="AI346" t="s">
        <v>143</v>
      </c>
      <c r="AJ346" t="s">
        <v>143</v>
      </c>
      <c r="AK346" t="s">
        <v>143</v>
      </c>
      <c r="AL346" t="s">
        <v>147</v>
      </c>
      <c r="AM346">
        <v>234.85</v>
      </c>
      <c r="AN346" t="s">
        <v>302</v>
      </c>
      <c r="AO346" t="s">
        <v>217</v>
      </c>
      <c r="AP346" t="s">
        <v>43</v>
      </c>
    </row>
    <row r="347" spans="1:42" x14ac:dyDescent="0.3">
      <c r="A347" t="s">
        <v>39</v>
      </c>
      <c r="B347">
        <v>120</v>
      </c>
      <c r="C347" t="s">
        <v>40</v>
      </c>
      <c r="D347" t="s">
        <v>41</v>
      </c>
      <c r="E347" t="s">
        <v>986</v>
      </c>
      <c r="F347" t="s">
        <v>50</v>
      </c>
      <c r="G347" t="s">
        <v>43</v>
      </c>
      <c r="H347" t="s">
        <v>48</v>
      </c>
      <c r="I347">
        <v>12117</v>
      </c>
      <c r="J347" t="s">
        <v>41</v>
      </c>
      <c r="K347">
        <v>117</v>
      </c>
      <c r="L347" t="s">
        <v>146</v>
      </c>
      <c r="M347">
        <v>1</v>
      </c>
      <c r="N347" t="s">
        <v>134</v>
      </c>
      <c r="O347" t="s">
        <v>356</v>
      </c>
      <c r="P347">
        <v>140</v>
      </c>
      <c r="Q347" t="s">
        <v>136</v>
      </c>
      <c r="R347" t="s">
        <v>137</v>
      </c>
      <c r="S347">
        <v>240</v>
      </c>
      <c r="T347" t="s">
        <v>162</v>
      </c>
      <c r="U347" t="s">
        <v>175</v>
      </c>
      <c r="V347" t="s">
        <v>497</v>
      </c>
      <c r="W347" t="s">
        <v>166</v>
      </c>
      <c r="X347">
        <v>12083</v>
      </c>
      <c r="Y347" t="s">
        <v>142</v>
      </c>
      <c r="Z347" t="s">
        <v>143</v>
      </c>
      <c r="AA347" t="s">
        <v>144</v>
      </c>
      <c r="AB347" t="s">
        <v>157</v>
      </c>
      <c r="AC347" t="s">
        <v>146</v>
      </c>
      <c r="AD347">
        <v>33</v>
      </c>
      <c r="AE347">
        <v>183</v>
      </c>
      <c r="AF347">
        <v>17847</v>
      </c>
      <c r="AG347" t="s">
        <v>143</v>
      </c>
      <c r="AH347" t="s">
        <v>143</v>
      </c>
      <c r="AI347" t="s">
        <v>143</v>
      </c>
      <c r="AJ347" t="s">
        <v>143</v>
      </c>
      <c r="AK347" t="s">
        <v>143</v>
      </c>
      <c r="AL347" t="s">
        <v>147</v>
      </c>
      <c r="AM347">
        <v>2211.19</v>
      </c>
      <c r="AN347" t="s">
        <v>302</v>
      </c>
      <c r="AO347" t="s">
        <v>50</v>
      </c>
      <c r="AP347" t="s">
        <v>43</v>
      </c>
    </row>
    <row r="348" spans="1:42" x14ac:dyDescent="0.3">
      <c r="A348" t="s">
        <v>39</v>
      </c>
      <c r="B348">
        <v>120</v>
      </c>
      <c r="C348" t="s">
        <v>40</v>
      </c>
      <c r="D348" t="s">
        <v>41</v>
      </c>
      <c r="E348" t="s">
        <v>986</v>
      </c>
      <c r="F348" t="s">
        <v>50</v>
      </c>
      <c r="G348" t="s">
        <v>43</v>
      </c>
      <c r="H348" t="s">
        <v>48</v>
      </c>
      <c r="I348">
        <v>20009</v>
      </c>
      <c r="J348" t="s">
        <v>41</v>
      </c>
      <c r="K348">
        <v>9</v>
      </c>
      <c r="L348" t="s">
        <v>146</v>
      </c>
      <c r="M348">
        <v>2</v>
      </c>
      <c r="N348" t="s">
        <v>134</v>
      </c>
      <c r="O348" t="s">
        <v>224</v>
      </c>
      <c r="P348">
        <v>140</v>
      </c>
      <c r="Q348" t="s">
        <v>136</v>
      </c>
      <c r="R348" t="s">
        <v>137</v>
      </c>
      <c r="S348">
        <v>1284</v>
      </c>
      <c r="T348" t="s">
        <v>225</v>
      </c>
      <c r="U348" t="s">
        <v>226</v>
      </c>
      <c r="V348" t="s">
        <v>227</v>
      </c>
      <c r="W348" t="s">
        <v>166</v>
      </c>
      <c r="X348">
        <v>22260</v>
      </c>
      <c r="Y348" t="s">
        <v>178</v>
      </c>
      <c r="Z348" t="s">
        <v>143</v>
      </c>
      <c r="AA348" t="s">
        <v>144</v>
      </c>
      <c r="AB348" t="s">
        <v>145</v>
      </c>
      <c r="AC348" t="s">
        <v>146</v>
      </c>
      <c r="AD348">
        <v>16</v>
      </c>
      <c r="AE348">
        <v>89</v>
      </c>
      <c r="AF348">
        <v>14113</v>
      </c>
      <c r="AG348" t="s">
        <v>143</v>
      </c>
      <c r="AH348" t="s">
        <v>143</v>
      </c>
      <c r="AI348" t="s">
        <v>143</v>
      </c>
      <c r="AJ348" t="s">
        <v>143</v>
      </c>
      <c r="AK348" t="s">
        <v>143</v>
      </c>
      <c r="AL348" t="s">
        <v>147</v>
      </c>
      <c r="AM348">
        <v>1981.14</v>
      </c>
      <c r="AN348" t="s">
        <v>148</v>
      </c>
      <c r="AO348" t="s">
        <v>50</v>
      </c>
      <c r="AP348" t="s">
        <v>43</v>
      </c>
    </row>
    <row r="349" spans="1:42" x14ac:dyDescent="0.3">
      <c r="A349" t="s">
        <v>39</v>
      </c>
      <c r="B349">
        <v>120</v>
      </c>
      <c r="C349" t="s">
        <v>40</v>
      </c>
      <c r="D349" t="s">
        <v>49</v>
      </c>
      <c r="E349" t="s">
        <v>984</v>
      </c>
      <c r="F349" t="s">
        <v>45</v>
      </c>
      <c r="G349" t="s">
        <v>43</v>
      </c>
      <c r="H349" t="s">
        <v>48</v>
      </c>
      <c r="I349">
        <v>38006</v>
      </c>
      <c r="J349" t="s">
        <v>49</v>
      </c>
      <c r="K349">
        <v>6</v>
      </c>
      <c r="L349" t="s">
        <v>146</v>
      </c>
      <c r="M349">
        <v>2</v>
      </c>
      <c r="N349" t="s">
        <v>134</v>
      </c>
      <c r="O349" t="s">
        <v>424</v>
      </c>
      <c r="P349">
        <v>7700</v>
      </c>
      <c r="Q349" t="s">
        <v>49</v>
      </c>
      <c r="R349" t="s">
        <v>592</v>
      </c>
      <c r="S349">
        <v>7700</v>
      </c>
      <c r="T349" t="s">
        <v>49</v>
      </c>
      <c r="U349" t="s">
        <v>248</v>
      </c>
      <c r="V349" t="s">
        <v>249</v>
      </c>
      <c r="W349" t="s">
        <v>166</v>
      </c>
      <c r="X349">
        <v>2452</v>
      </c>
      <c r="Y349" t="s">
        <v>178</v>
      </c>
      <c r="Z349" t="s">
        <v>143</v>
      </c>
      <c r="AA349" t="s">
        <v>143</v>
      </c>
      <c r="AB349" t="s">
        <v>157</v>
      </c>
      <c r="AC349" t="s">
        <v>146</v>
      </c>
      <c r="AD349">
        <v>5</v>
      </c>
      <c r="AE349">
        <v>28</v>
      </c>
      <c r="AF349">
        <v>948</v>
      </c>
      <c r="AG349" t="s">
        <v>143</v>
      </c>
      <c r="AH349" t="s">
        <v>143</v>
      </c>
      <c r="AI349" t="s">
        <v>143</v>
      </c>
      <c r="AJ349" t="s">
        <v>143</v>
      </c>
      <c r="AK349" t="s">
        <v>143</v>
      </c>
      <c r="AL349" t="s">
        <v>147</v>
      </c>
      <c r="AM349">
        <v>68.66</v>
      </c>
      <c r="AN349" t="s">
        <v>594</v>
      </c>
      <c r="AO349" t="s">
        <v>200</v>
      </c>
      <c r="AP349" t="s">
        <v>43</v>
      </c>
    </row>
    <row r="350" spans="1:42" x14ac:dyDescent="0.3">
      <c r="A350" t="s">
        <v>39</v>
      </c>
      <c r="B350">
        <v>120</v>
      </c>
      <c r="C350" t="s">
        <v>40</v>
      </c>
      <c r="D350" t="s">
        <v>49</v>
      </c>
      <c r="E350" t="s">
        <v>984</v>
      </c>
      <c r="F350" t="s">
        <v>45</v>
      </c>
      <c r="G350" t="s">
        <v>43</v>
      </c>
      <c r="H350" t="s">
        <v>48</v>
      </c>
      <c r="I350">
        <v>14352</v>
      </c>
      <c r="J350" t="s">
        <v>49</v>
      </c>
      <c r="K350">
        <v>352</v>
      </c>
      <c r="L350" t="s">
        <v>158</v>
      </c>
      <c r="M350">
        <v>2</v>
      </c>
      <c r="N350" t="s">
        <v>134</v>
      </c>
      <c r="O350" t="s">
        <v>234</v>
      </c>
      <c r="P350">
        <v>913</v>
      </c>
      <c r="Q350" t="s">
        <v>237</v>
      </c>
      <c r="R350" t="s">
        <v>888</v>
      </c>
      <c r="S350">
        <v>874</v>
      </c>
      <c r="T350" t="s">
        <v>235</v>
      </c>
      <c r="U350" t="s">
        <v>304</v>
      </c>
      <c r="V350" t="s">
        <v>305</v>
      </c>
      <c r="W350" t="s">
        <v>141</v>
      </c>
      <c r="X350">
        <v>39368</v>
      </c>
      <c r="Y350" t="s">
        <v>178</v>
      </c>
      <c r="Z350" t="s">
        <v>143</v>
      </c>
      <c r="AA350" t="s">
        <v>143</v>
      </c>
      <c r="AB350" t="s">
        <v>157</v>
      </c>
      <c r="AC350" t="s">
        <v>158</v>
      </c>
      <c r="AD350">
        <v>12</v>
      </c>
      <c r="AE350">
        <v>70</v>
      </c>
      <c r="AF350">
        <v>18471</v>
      </c>
      <c r="AG350" t="s">
        <v>143</v>
      </c>
      <c r="AH350" t="s">
        <v>143</v>
      </c>
      <c r="AI350" t="s">
        <v>143</v>
      </c>
      <c r="AJ350" t="s">
        <v>143</v>
      </c>
      <c r="AK350" t="s">
        <v>143</v>
      </c>
      <c r="AL350" t="s">
        <v>147</v>
      </c>
      <c r="AM350">
        <v>2755.76</v>
      </c>
      <c r="AN350" t="s">
        <v>186</v>
      </c>
      <c r="AO350" t="s">
        <v>50</v>
      </c>
      <c r="AP350" t="s">
        <v>43</v>
      </c>
    </row>
    <row r="351" spans="1:42" x14ac:dyDescent="0.3">
      <c r="A351" t="s">
        <v>39</v>
      </c>
      <c r="B351">
        <v>120</v>
      </c>
      <c r="C351" t="s">
        <v>40</v>
      </c>
      <c r="D351" t="s">
        <v>49</v>
      </c>
      <c r="E351" t="s">
        <v>984</v>
      </c>
      <c r="F351" t="s">
        <v>45</v>
      </c>
      <c r="G351" t="s">
        <v>43</v>
      </c>
      <c r="H351" t="s">
        <v>48</v>
      </c>
      <c r="I351">
        <v>19046</v>
      </c>
      <c r="J351" t="s">
        <v>49</v>
      </c>
      <c r="K351">
        <v>46</v>
      </c>
      <c r="L351" t="s">
        <v>985</v>
      </c>
      <c r="M351">
        <v>2</v>
      </c>
      <c r="N351" t="s">
        <v>134</v>
      </c>
      <c r="O351" t="s">
        <v>229</v>
      </c>
      <c r="P351">
        <v>1840</v>
      </c>
      <c r="Q351" t="s">
        <v>230</v>
      </c>
      <c r="R351" t="s">
        <v>231</v>
      </c>
      <c r="S351">
        <v>7700</v>
      </c>
      <c r="T351" t="s">
        <v>49</v>
      </c>
      <c r="U351" t="s">
        <v>248</v>
      </c>
      <c r="V351" t="s">
        <v>253</v>
      </c>
      <c r="W351" t="s">
        <v>141</v>
      </c>
      <c r="X351">
        <v>18476</v>
      </c>
      <c r="Y351" t="s">
        <v>178</v>
      </c>
      <c r="Z351" t="s">
        <v>143</v>
      </c>
      <c r="AA351" t="s">
        <v>143</v>
      </c>
      <c r="AB351" t="s">
        <v>157</v>
      </c>
      <c r="AC351" t="s">
        <v>158</v>
      </c>
      <c r="AD351">
        <v>10</v>
      </c>
      <c r="AE351">
        <v>58</v>
      </c>
      <c r="AF351">
        <v>894</v>
      </c>
      <c r="AG351" t="s">
        <v>143</v>
      </c>
      <c r="AH351" t="s">
        <v>143</v>
      </c>
      <c r="AI351" t="s">
        <v>143</v>
      </c>
      <c r="AJ351" t="s">
        <v>143</v>
      </c>
      <c r="AK351" t="s">
        <v>143</v>
      </c>
      <c r="AL351" t="s">
        <v>147</v>
      </c>
      <c r="AM351">
        <v>1071.6099999999999</v>
      </c>
      <c r="AN351" t="s">
        <v>250</v>
      </c>
      <c r="AO351" t="s">
        <v>50</v>
      </c>
      <c r="AP351" t="s">
        <v>43</v>
      </c>
    </row>
    <row r="352" spans="1:42" x14ac:dyDescent="0.3">
      <c r="A352" t="s">
        <v>39</v>
      </c>
      <c r="B352">
        <v>120</v>
      </c>
      <c r="C352" t="s">
        <v>40</v>
      </c>
      <c r="D352" t="s">
        <v>49</v>
      </c>
      <c r="E352" t="s">
        <v>984</v>
      </c>
      <c r="F352" t="s">
        <v>42</v>
      </c>
      <c r="G352" t="s">
        <v>43</v>
      </c>
      <c r="H352" t="s">
        <v>48</v>
      </c>
      <c r="I352">
        <v>29020</v>
      </c>
      <c r="J352" t="s">
        <v>49</v>
      </c>
      <c r="K352">
        <v>20</v>
      </c>
      <c r="L352" t="s">
        <v>146</v>
      </c>
      <c r="M352">
        <v>2</v>
      </c>
      <c r="N352" t="s">
        <v>134</v>
      </c>
      <c r="O352" t="s">
        <v>513</v>
      </c>
      <c r="P352">
        <v>7700</v>
      </c>
      <c r="Q352" t="s">
        <v>49</v>
      </c>
      <c r="R352" t="s">
        <v>514</v>
      </c>
      <c r="S352">
        <v>7700</v>
      </c>
      <c r="T352" t="s">
        <v>49</v>
      </c>
      <c r="U352" t="s">
        <v>410</v>
      </c>
      <c r="V352" t="s">
        <v>249</v>
      </c>
      <c r="W352" t="s">
        <v>166</v>
      </c>
      <c r="X352">
        <v>1945</v>
      </c>
      <c r="Y352" t="s">
        <v>178</v>
      </c>
      <c r="Z352" t="s">
        <v>143</v>
      </c>
      <c r="AA352" t="s">
        <v>143</v>
      </c>
      <c r="AB352" t="s">
        <v>157</v>
      </c>
      <c r="AC352" t="s">
        <v>146</v>
      </c>
      <c r="AD352">
        <v>0</v>
      </c>
      <c r="AE352">
        <v>23</v>
      </c>
      <c r="AF352">
        <v>879</v>
      </c>
      <c r="AG352" t="s">
        <v>143</v>
      </c>
      <c r="AH352" t="s">
        <v>143</v>
      </c>
      <c r="AI352" t="s">
        <v>143</v>
      </c>
      <c r="AJ352" t="s">
        <v>143</v>
      </c>
      <c r="AK352" t="s">
        <v>143</v>
      </c>
      <c r="AL352" t="s">
        <v>147</v>
      </c>
      <c r="AM352">
        <v>44.74</v>
      </c>
      <c r="AN352" t="s">
        <v>250</v>
      </c>
      <c r="AO352" t="s">
        <v>200</v>
      </c>
      <c r="AP352" t="s">
        <v>43</v>
      </c>
    </row>
    <row r="353" spans="1:42" x14ac:dyDescent="0.3">
      <c r="A353" t="s">
        <v>39</v>
      </c>
      <c r="B353">
        <v>120</v>
      </c>
      <c r="C353" t="s">
        <v>40</v>
      </c>
      <c r="D353" t="s">
        <v>49</v>
      </c>
      <c r="E353" t="s">
        <v>984</v>
      </c>
      <c r="F353" t="s">
        <v>50</v>
      </c>
      <c r="G353" t="s">
        <v>43</v>
      </c>
      <c r="H353" t="s">
        <v>48</v>
      </c>
      <c r="I353">
        <v>10348</v>
      </c>
      <c r="J353" t="s">
        <v>49</v>
      </c>
      <c r="K353">
        <v>348</v>
      </c>
      <c r="L353" t="s">
        <v>158</v>
      </c>
      <c r="M353">
        <v>2</v>
      </c>
      <c r="N353" t="s">
        <v>134</v>
      </c>
      <c r="O353" t="s">
        <v>445</v>
      </c>
      <c r="P353">
        <v>874</v>
      </c>
      <c r="Q353" t="s">
        <v>235</v>
      </c>
      <c r="R353" t="s">
        <v>236</v>
      </c>
      <c r="S353">
        <v>7700</v>
      </c>
      <c r="T353" t="s">
        <v>49</v>
      </c>
      <c r="U353" t="s">
        <v>248</v>
      </c>
      <c r="V353" t="s">
        <v>253</v>
      </c>
      <c r="W353" t="s">
        <v>141</v>
      </c>
      <c r="X353">
        <v>16221</v>
      </c>
      <c r="Y353" t="s">
        <v>178</v>
      </c>
      <c r="Z353" t="s">
        <v>143</v>
      </c>
      <c r="AA353" t="s">
        <v>143</v>
      </c>
      <c r="AB353" t="s">
        <v>157</v>
      </c>
      <c r="AC353" t="s">
        <v>158</v>
      </c>
      <c r="AD353">
        <v>29</v>
      </c>
      <c r="AE353">
        <v>169</v>
      </c>
      <c r="AF353">
        <v>913</v>
      </c>
      <c r="AG353" t="s">
        <v>143</v>
      </c>
      <c r="AH353" t="s">
        <v>143</v>
      </c>
      <c r="AI353" t="s">
        <v>143</v>
      </c>
      <c r="AJ353" t="s">
        <v>143</v>
      </c>
      <c r="AK353" t="s">
        <v>143</v>
      </c>
      <c r="AL353" t="s">
        <v>147</v>
      </c>
      <c r="AM353">
        <v>2741.35</v>
      </c>
      <c r="AN353" t="s">
        <v>250</v>
      </c>
      <c r="AO353" t="s">
        <v>50</v>
      </c>
      <c r="AP353" t="s">
        <v>43</v>
      </c>
    </row>
    <row r="354" spans="1:42" x14ac:dyDescent="0.3">
      <c r="A354" t="s">
        <v>39</v>
      </c>
      <c r="B354">
        <v>120</v>
      </c>
      <c r="C354" t="s">
        <v>40</v>
      </c>
      <c r="D354" t="s">
        <v>49</v>
      </c>
      <c r="E354" t="s">
        <v>984</v>
      </c>
      <c r="F354" t="s">
        <v>50</v>
      </c>
      <c r="G354" t="s">
        <v>43</v>
      </c>
      <c r="H354" t="s">
        <v>48</v>
      </c>
      <c r="I354">
        <v>11411</v>
      </c>
      <c r="J354" t="s">
        <v>49</v>
      </c>
      <c r="K354">
        <v>411</v>
      </c>
      <c r="L354" t="s">
        <v>158</v>
      </c>
      <c r="M354">
        <v>1</v>
      </c>
      <c r="N354" t="s">
        <v>134</v>
      </c>
      <c r="O354" t="s">
        <v>519</v>
      </c>
      <c r="P354">
        <v>7700</v>
      </c>
      <c r="Q354" t="s">
        <v>49</v>
      </c>
      <c r="R354" t="s">
        <v>197</v>
      </c>
      <c r="S354">
        <v>9200</v>
      </c>
      <c r="T354" t="s">
        <v>520</v>
      </c>
      <c r="U354" t="s">
        <v>630</v>
      </c>
      <c r="V354" t="s">
        <v>631</v>
      </c>
      <c r="W354" t="s">
        <v>141</v>
      </c>
      <c r="X354">
        <v>28818</v>
      </c>
      <c r="Y354" t="s">
        <v>178</v>
      </c>
      <c r="Z354" t="s">
        <v>144</v>
      </c>
      <c r="AA354" t="s">
        <v>143</v>
      </c>
      <c r="AB354" t="s">
        <v>157</v>
      </c>
      <c r="AC354" t="s">
        <v>158</v>
      </c>
      <c r="AD354">
        <v>21</v>
      </c>
      <c r="AE354">
        <v>121</v>
      </c>
      <c r="AF354">
        <v>920</v>
      </c>
      <c r="AG354" t="s">
        <v>143</v>
      </c>
      <c r="AH354" t="s">
        <v>143</v>
      </c>
      <c r="AI354" t="s">
        <v>143</v>
      </c>
      <c r="AJ354" t="s">
        <v>143</v>
      </c>
      <c r="AK354" t="s">
        <v>143</v>
      </c>
      <c r="AL354" t="s">
        <v>147</v>
      </c>
      <c r="AM354">
        <v>3486.98</v>
      </c>
      <c r="AN354" t="s">
        <v>250</v>
      </c>
      <c r="AO354" t="s">
        <v>50</v>
      </c>
      <c r="AP354" t="s">
        <v>43</v>
      </c>
    </row>
    <row r="355" spans="1:42" x14ac:dyDescent="0.3">
      <c r="A355" t="s">
        <v>39</v>
      </c>
      <c r="B355">
        <v>120</v>
      </c>
      <c r="C355" t="s">
        <v>40</v>
      </c>
      <c r="D355" t="s">
        <v>49</v>
      </c>
      <c r="E355" t="s">
        <v>984</v>
      </c>
      <c r="F355" t="s">
        <v>50</v>
      </c>
      <c r="G355" t="s">
        <v>43</v>
      </c>
      <c r="H355" t="s">
        <v>48</v>
      </c>
      <c r="I355">
        <v>12354</v>
      </c>
      <c r="J355" t="s">
        <v>49</v>
      </c>
      <c r="K355">
        <v>354</v>
      </c>
      <c r="L355" t="s">
        <v>158</v>
      </c>
      <c r="M355">
        <v>1</v>
      </c>
      <c r="N355" t="s">
        <v>160</v>
      </c>
      <c r="O355" t="s">
        <v>562</v>
      </c>
      <c r="P355">
        <v>7700</v>
      </c>
      <c r="Q355" t="s">
        <v>49</v>
      </c>
      <c r="R355" t="s">
        <v>309</v>
      </c>
      <c r="S355">
        <v>1061</v>
      </c>
      <c r="T355" t="s">
        <v>517</v>
      </c>
      <c r="U355" t="s">
        <v>563</v>
      </c>
      <c r="V355" t="s">
        <v>564</v>
      </c>
      <c r="W355" t="s">
        <v>141</v>
      </c>
      <c r="X355">
        <v>23110</v>
      </c>
      <c r="Y355" t="s">
        <v>178</v>
      </c>
      <c r="Z355" t="s">
        <v>144</v>
      </c>
      <c r="AA355" t="s">
        <v>143</v>
      </c>
      <c r="AB355" t="s">
        <v>157</v>
      </c>
      <c r="AC355" t="s">
        <v>158</v>
      </c>
      <c r="AD355">
        <v>0</v>
      </c>
      <c r="AE355">
        <v>5</v>
      </c>
      <c r="AF355">
        <v>944</v>
      </c>
      <c r="AG355" t="s">
        <v>143</v>
      </c>
      <c r="AH355" t="s">
        <v>143</v>
      </c>
      <c r="AI355" t="s">
        <v>143</v>
      </c>
      <c r="AJ355" t="s">
        <v>143</v>
      </c>
      <c r="AK355" t="s">
        <v>143</v>
      </c>
      <c r="AL355" t="s">
        <v>147</v>
      </c>
      <c r="AM355">
        <v>115.55</v>
      </c>
      <c r="AN355" t="s">
        <v>889</v>
      </c>
      <c r="AO355" t="s">
        <v>50</v>
      </c>
      <c r="AP355" t="s">
        <v>43</v>
      </c>
    </row>
    <row r="356" spans="1:42" x14ac:dyDescent="0.3">
      <c r="A356" t="s">
        <v>39</v>
      </c>
      <c r="B356">
        <v>120</v>
      </c>
      <c r="C356" t="s">
        <v>40</v>
      </c>
      <c r="D356" t="s">
        <v>49</v>
      </c>
      <c r="E356" t="s">
        <v>984</v>
      </c>
      <c r="F356" t="s">
        <v>50</v>
      </c>
      <c r="G356" t="s">
        <v>43</v>
      </c>
      <c r="H356" t="s">
        <v>48</v>
      </c>
      <c r="I356">
        <v>19041</v>
      </c>
      <c r="J356" t="s">
        <v>49</v>
      </c>
      <c r="K356">
        <v>41</v>
      </c>
      <c r="L356" t="s">
        <v>985</v>
      </c>
      <c r="M356">
        <v>1</v>
      </c>
      <c r="N356" t="s">
        <v>134</v>
      </c>
      <c r="O356" t="s">
        <v>566</v>
      </c>
      <c r="P356">
        <v>7700</v>
      </c>
      <c r="Q356" t="s">
        <v>49</v>
      </c>
      <c r="R356" t="s">
        <v>197</v>
      </c>
      <c r="S356">
        <v>497</v>
      </c>
      <c r="T356" t="s">
        <v>567</v>
      </c>
      <c r="U356" t="s">
        <v>568</v>
      </c>
      <c r="V356" t="s">
        <v>890</v>
      </c>
      <c r="W356" t="s">
        <v>141</v>
      </c>
      <c r="X356">
        <v>24637</v>
      </c>
      <c r="Y356" t="s">
        <v>178</v>
      </c>
      <c r="Z356" t="s">
        <v>143</v>
      </c>
      <c r="AA356" t="s">
        <v>143</v>
      </c>
      <c r="AB356" t="s">
        <v>145</v>
      </c>
      <c r="AC356" t="s">
        <v>158</v>
      </c>
      <c r="AD356">
        <v>9</v>
      </c>
      <c r="AE356">
        <v>52</v>
      </c>
      <c r="AF356">
        <v>880</v>
      </c>
      <c r="AG356" t="s">
        <v>143</v>
      </c>
      <c r="AH356" t="s">
        <v>143</v>
      </c>
      <c r="AI356" t="s">
        <v>143</v>
      </c>
      <c r="AJ356" t="s">
        <v>143</v>
      </c>
      <c r="AK356" t="s">
        <v>143</v>
      </c>
      <c r="AL356" t="s">
        <v>147</v>
      </c>
      <c r="AM356">
        <v>1281.1199999999999</v>
      </c>
      <c r="AN356" t="s">
        <v>891</v>
      </c>
      <c r="AO356" t="s">
        <v>50</v>
      </c>
      <c r="AP356" t="s">
        <v>43</v>
      </c>
    </row>
    <row r="357" spans="1:42" x14ac:dyDescent="0.3">
      <c r="A357" t="s">
        <v>39</v>
      </c>
      <c r="B357">
        <v>120</v>
      </c>
      <c r="C357" t="s">
        <v>40</v>
      </c>
      <c r="D357" t="s">
        <v>49</v>
      </c>
      <c r="E357" t="s">
        <v>984</v>
      </c>
      <c r="F357" t="s">
        <v>50</v>
      </c>
      <c r="G357" t="s">
        <v>43</v>
      </c>
      <c r="H357" t="s">
        <v>48</v>
      </c>
      <c r="I357">
        <v>24067</v>
      </c>
      <c r="J357" t="s">
        <v>49</v>
      </c>
      <c r="K357">
        <v>67</v>
      </c>
      <c r="L357" t="s">
        <v>158</v>
      </c>
      <c r="M357">
        <v>1</v>
      </c>
      <c r="N357" t="s">
        <v>134</v>
      </c>
      <c r="O357" t="s">
        <v>624</v>
      </c>
      <c r="P357">
        <v>7700</v>
      </c>
      <c r="Q357" t="s">
        <v>49</v>
      </c>
      <c r="R357" t="s">
        <v>197</v>
      </c>
      <c r="S357">
        <v>978</v>
      </c>
      <c r="T357" t="s">
        <v>625</v>
      </c>
      <c r="U357" t="s">
        <v>892</v>
      </c>
      <c r="V357" t="s">
        <v>893</v>
      </c>
      <c r="W357" t="s">
        <v>141</v>
      </c>
      <c r="X357">
        <v>37487</v>
      </c>
      <c r="Y357" t="s">
        <v>178</v>
      </c>
      <c r="Z357" t="s">
        <v>143</v>
      </c>
      <c r="AA357" t="s">
        <v>143</v>
      </c>
      <c r="AB357" t="s">
        <v>157</v>
      </c>
      <c r="AC357" t="s">
        <v>158</v>
      </c>
      <c r="AD357">
        <v>6</v>
      </c>
      <c r="AE357">
        <v>35</v>
      </c>
      <c r="AF357">
        <v>18832</v>
      </c>
      <c r="AG357" t="s">
        <v>143</v>
      </c>
      <c r="AH357" t="s">
        <v>143</v>
      </c>
      <c r="AI357" t="s">
        <v>143</v>
      </c>
      <c r="AJ357" t="s">
        <v>143</v>
      </c>
      <c r="AK357" t="s">
        <v>143</v>
      </c>
      <c r="AL357" t="s">
        <v>147</v>
      </c>
      <c r="AM357">
        <v>1312.05</v>
      </c>
      <c r="AN357" t="s">
        <v>186</v>
      </c>
      <c r="AO357" t="s">
        <v>50</v>
      </c>
      <c r="AP357" t="s">
        <v>43</v>
      </c>
    </row>
    <row r="358" spans="1:42" x14ac:dyDescent="0.3">
      <c r="A358" t="s">
        <v>39</v>
      </c>
      <c r="B358">
        <v>120</v>
      </c>
      <c r="C358" t="s">
        <v>40</v>
      </c>
      <c r="D358" t="s">
        <v>49</v>
      </c>
      <c r="E358" t="s">
        <v>984</v>
      </c>
      <c r="F358" t="s">
        <v>50</v>
      </c>
      <c r="G358" t="s">
        <v>43</v>
      </c>
      <c r="H358" t="s">
        <v>48</v>
      </c>
      <c r="I358">
        <v>32057</v>
      </c>
      <c r="J358" t="s">
        <v>49</v>
      </c>
      <c r="K358">
        <v>57</v>
      </c>
      <c r="L358" t="s">
        <v>985</v>
      </c>
      <c r="M358">
        <v>1</v>
      </c>
      <c r="N358" t="s">
        <v>134</v>
      </c>
      <c r="O358" t="s">
        <v>651</v>
      </c>
      <c r="P358">
        <v>7700</v>
      </c>
      <c r="Q358" t="s">
        <v>49</v>
      </c>
      <c r="R358" t="s">
        <v>312</v>
      </c>
      <c r="S358">
        <v>442</v>
      </c>
      <c r="T358" t="s">
        <v>652</v>
      </c>
      <c r="U358" t="s">
        <v>652</v>
      </c>
      <c r="V358" t="s">
        <v>894</v>
      </c>
      <c r="W358" t="s">
        <v>141</v>
      </c>
      <c r="X358">
        <v>19969</v>
      </c>
      <c r="Y358" t="s">
        <v>178</v>
      </c>
      <c r="Z358" t="s">
        <v>143</v>
      </c>
      <c r="AA358" t="s">
        <v>143</v>
      </c>
      <c r="AB358" t="s">
        <v>145</v>
      </c>
      <c r="AC358" t="s">
        <v>158</v>
      </c>
      <c r="AD358">
        <v>9</v>
      </c>
      <c r="AE358">
        <v>51</v>
      </c>
      <c r="AF358">
        <v>17875</v>
      </c>
      <c r="AG358" t="s">
        <v>143</v>
      </c>
      <c r="AH358" t="s">
        <v>143</v>
      </c>
      <c r="AI358" t="s">
        <v>143</v>
      </c>
      <c r="AJ358" t="s">
        <v>143</v>
      </c>
      <c r="AK358" t="s">
        <v>143</v>
      </c>
      <c r="AL358" t="s">
        <v>147</v>
      </c>
      <c r="AM358">
        <v>1018.42</v>
      </c>
      <c r="AN358" t="s">
        <v>302</v>
      </c>
      <c r="AO358" t="s">
        <v>50</v>
      </c>
      <c r="AP358" t="s">
        <v>43</v>
      </c>
    </row>
    <row r="359" spans="1:42" x14ac:dyDescent="0.3">
      <c r="A359" t="s">
        <v>39</v>
      </c>
      <c r="B359">
        <v>120</v>
      </c>
      <c r="C359" t="s">
        <v>40</v>
      </c>
      <c r="D359" t="s">
        <v>49</v>
      </c>
      <c r="E359" t="s">
        <v>986</v>
      </c>
      <c r="F359" t="s">
        <v>45</v>
      </c>
      <c r="G359" t="s">
        <v>43</v>
      </c>
      <c r="H359" t="s">
        <v>46</v>
      </c>
      <c r="I359">
        <v>15296</v>
      </c>
      <c r="J359" t="s">
        <v>49</v>
      </c>
      <c r="K359">
        <v>296</v>
      </c>
      <c r="L359" t="s">
        <v>158</v>
      </c>
      <c r="M359">
        <v>1</v>
      </c>
      <c r="N359" t="s">
        <v>134</v>
      </c>
      <c r="O359" t="s">
        <v>458</v>
      </c>
      <c r="P359">
        <v>2710</v>
      </c>
      <c r="Q359" t="s">
        <v>411</v>
      </c>
      <c r="R359" t="s">
        <v>412</v>
      </c>
      <c r="S359">
        <v>4000</v>
      </c>
      <c r="T359" t="s">
        <v>189</v>
      </c>
      <c r="U359" t="s">
        <v>383</v>
      </c>
      <c r="V359" t="s">
        <v>384</v>
      </c>
      <c r="W359" t="s">
        <v>141</v>
      </c>
      <c r="X359">
        <v>43652</v>
      </c>
      <c r="Y359" t="s">
        <v>178</v>
      </c>
      <c r="Z359" t="s">
        <v>144</v>
      </c>
      <c r="AA359" t="s">
        <v>143</v>
      </c>
      <c r="AB359" t="s">
        <v>157</v>
      </c>
      <c r="AC359" t="s">
        <v>158</v>
      </c>
      <c r="AD359">
        <v>4</v>
      </c>
      <c r="AE359">
        <v>24</v>
      </c>
      <c r="AF359">
        <v>14951</v>
      </c>
      <c r="AG359" t="s">
        <v>143</v>
      </c>
      <c r="AH359" t="s">
        <v>143</v>
      </c>
      <c r="AI359" t="s">
        <v>143</v>
      </c>
      <c r="AJ359" t="s">
        <v>143</v>
      </c>
      <c r="AK359" t="s">
        <v>143</v>
      </c>
      <c r="AL359" t="s">
        <v>147</v>
      </c>
      <c r="AM359">
        <v>1047.6500000000001</v>
      </c>
      <c r="AN359" t="s">
        <v>148</v>
      </c>
      <c r="AO359" t="s">
        <v>442</v>
      </c>
      <c r="AP359" t="s">
        <v>43</v>
      </c>
    </row>
    <row r="360" spans="1:42" x14ac:dyDescent="0.3">
      <c r="A360" t="s">
        <v>39</v>
      </c>
      <c r="B360">
        <v>120</v>
      </c>
      <c r="C360" t="s">
        <v>40</v>
      </c>
      <c r="D360" t="s">
        <v>55</v>
      </c>
      <c r="E360" t="s">
        <v>984</v>
      </c>
      <c r="F360" t="s">
        <v>50</v>
      </c>
      <c r="G360" t="s">
        <v>43</v>
      </c>
      <c r="H360" t="s">
        <v>48</v>
      </c>
      <c r="I360">
        <v>78015</v>
      </c>
      <c r="J360" t="s">
        <v>55</v>
      </c>
      <c r="K360">
        <v>15</v>
      </c>
      <c r="L360" t="s">
        <v>146</v>
      </c>
      <c r="M360">
        <v>1</v>
      </c>
      <c r="N360" t="s">
        <v>134</v>
      </c>
      <c r="O360" t="s">
        <v>724</v>
      </c>
      <c r="P360">
        <v>6700</v>
      </c>
      <c r="Q360" t="s">
        <v>55</v>
      </c>
      <c r="R360" t="s">
        <v>895</v>
      </c>
      <c r="S360">
        <v>6700</v>
      </c>
      <c r="T360" t="s">
        <v>55</v>
      </c>
      <c r="U360" t="s">
        <v>674</v>
      </c>
      <c r="V360" t="s">
        <v>674</v>
      </c>
      <c r="W360" t="s">
        <v>166</v>
      </c>
      <c r="X360">
        <v>14339</v>
      </c>
      <c r="Y360" t="s">
        <v>178</v>
      </c>
      <c r="Z360" t="s">
        <v>143</v>
      </c>
      <c r="AA360" t="s">
        <v>144</v>
      </c>
      <c r="AB360" t="s">
        <v>157</v>
      </c>
      <c r="AC360" t="s">
        <v>146</v>
      </c>
      <c r="AD360">
        <v>52</v>
      </c>
      <c r="AE360">
        <v>301</v>
      </c>
      <c r="AF360">
        <v>25832</v>
      </c>
      <c r="AG360" t="s">
        <v>143</v>
      </c>
      <c r="AH360" t="s">
        <v>143</v>
      </c>
      <c r="AI360" t="s">
        <v>143</v>
      </c>
      <c r="AJ360" t="s">
        <v>143</v>
      </c>
      <c r="AK360" t="s">
        <v>143</v>
      </c>
      <c r="AL360" t="s">
        <v>147</v>
      </c>
      <c r="AM360">
        <v>4316.04</v>
      </c>
      <c r="AN360" t="s">
        <v>725</v>
      </c>
      <c r="AO360" t="s">
        <v>50</v>
      </c>
      <c r="AP360" t="s">
        <v>43</v>
      </c>
    </row>
    <row r="361" spans="1:42" x14ac:dyDescent="0.3">
      <c r="A361" t="s">
        <v>39</v>
      </c>
      <c r="B361">
        <v>120</v>
      </c>
      <c r="C361" t="s">
        <v>40</v>
      </c>
      <c r="D361" t="s">
        <v>55</v>
      </c>
      <c r="E361" t="s">
        <v>984</v>
      </c>
      <c r="F361" t="s">
        <v>50</v>
      </c>
      <c r="G361" t="s">
        <v>43</v>
      </c>
      <c r="H361" t="s">
        <v>48</v>
      </c>
      <c r="I361">
        <v>84002</v>
      </c>
      <c r="J361" t="s">
        <v>55</v>
      </c>
      <c r="K361">
        <v>2</v>
      </c>
      <c r="L361" t="s">
        <v>146</v>
      </c>
      <c r="M361">
        <v>1</v>
      </c>
      <c r="N361" t="s">
        <v>134</v>
      </c>
      <c r="O361" t="s">
        <v>168</v>
      </c>
      <c r="P361">
        <v>9200</v>
      </c>
      <c r="Q361" t="s">
        <v>520</v>
      </c>
      <c r="R361" t="s">
        <v>613</v>
      </c>
      <c r="S361">
        <v>9200</v>
      </c>
      <c r="T361" t="s">
        <v>520</v>
      </c>
      <c r="U361" t="s">
        <v>630</v>
      </c>
      <c r="V361" t="s">
        <v>896</v>
      </c>
      <c r="W361" t="s">
        <v>166</v>
      </c>
      <c r="X361">
        <v>9923</v>
      </c>
      <c r="Y361" t="s">
        <v>178</v>
      </c>
      <c r="Z361" t="s">
        <v>143</v>
      </c>
      <c r="AA361" t="s">
        <v>144</v>
      </c>
      <c r="AB361" t="s">
        <v>157</v>
      </c>
      <c r="AC361" t="s">
        <v>146</v>
      </c>
      <c r="AD361">
        <v>33</v>
      </c>
      <c r="AE361">
        <v>195</v>
      </c>
      <c r="AF361">
        <v>17839</v>
      </c>
      <c r="AG361" t="s">
        <v>143</v>
      </c>
      <c r="AH361" t="s">
        <v>143</v>
      </c>
      <c r="AI361" t="s">
        <v>143</v>
      </c>
      <c r="AJ361" t="s">
        <v>143</v>
      </c>
      <c r="AK361" t="s">
        <v>143</v>
      </c>
      <c r="AL361" t="s">
        <v>147</v>
      </c>
      <c r="AM361">
        <v>1934.99</v>
      </c>
      <c r="AN361" t="s">
        <v>302</v>
      </c>
      <c r="AO361" t="s">
        <v>50</v>
      </c>
      <c r="AP361" t="s">
        <v>43</v>
      </c>
    </row>
    <row r="362" spans="1:42" x14ac:dyDescent="0.3">
      <c r="A362" t="s">
        <v>39</v>
      </c>
      <c r="B362">
        <v>120</v>
      </c>
      <c r="C362" t="s">
        <v>40</v>
      </c>
      <c r="D362" t="s">
        <v>55</v>
      </c>
      <c r="E362" t="s">
        <v>984</v>
      </c>
      <c r="F362" t="s">
        <v>50</v>
      </c>
      <c r="G362" t="s">
        <v>43</v>
      </c>
      <c r="H362" t="s">
        <v>48</v>
      </c>
      <c r="I362">
        <v>84002</v>
      </c>
      <c r="J362" t="s">
        <v>55</v>
      </c>
      <c r="K362">
        <v>2</v>
      </c>
      <c r="L362" t="s">
        <v>146</v>
      </c>
      <c r="M362">
        <v>2</v>
      </c>
      <c r="N362" t="s">
        <v>134</v>
      </c>
      <c r="O362" t="s">
        <v>168</v>
      </c>
      <c r="P362">
        <v>9200</v>
      </c>
      <c r="Q362" t="s">
        <v>520</v>
      </c>
      <c r="R362" t="s">
        <v>521</v>
      </c>
      <c r="S362">
        <v>9200</v>
      </c>
      <c r="T362" t="s">
        <v>520</v>
      </c>
      <c r="U362" t="s">
        <v>610</v>
      </c>
      <c r="V362" t="s">
        <v>640</v>
      </c>
      <c r="W362" t="s">
        <v>166</v>
      </c>
      <c r="X362">
        <v>10273</v>
      </c>
      <c r="Y362" t="s">
        <v>178</v>
      </c>
      <c r="Z362" t="s">
        <v>143</v>
      </c>
      <c r="AA362" t="s">
        <v>144</v>
      </c>
      <c r="AB362" t="s">
        <v>157</v>
      </c>
      <c r="AC362" t="s">
        <v>146</v>
      </c>
      <c r="AD362">
        <v>37</v>
      </c>
      <c r="AE362">
        <v>214</v>
      </c>
      <c r="AF362">
        <v>17842</v>
      </c>
      <c r="AG362" t="s">
        <v>143</v>
      </c>
      <c r="AH362" t="s">
        <v>143</v>
      </c>
      <c r="AI362" t="s">
        <v>143</v>
      </c>
      <c r="AJ362" t="s">
        <v>143</v>
      </c>
      <c r="AK362" t="s">
        <v>143</v>
      </c>
      <c r="AL362" t="s">
        <v>147</v>
      </c>
      <c r="AM362">
        <v>2198.42</v>
      </c>
      <c r="AN362" t="s">
        <v>302</v>
      </c>
      <c r="AO362" t="s">
        <v>50</v>
      </c>
      <c r="AP362" t="s">
        <v>43</v>
      </c>
    </row>
    <row r="363" spans="1:42" x14ac:dyDescent="0.3">
      <c r="A363" t="s">
        <v>39</v>
      </c>
      <c r="B363">
        <v>134</v>
      </c>
      <c r="C363" t="s">
        <v>58</v>
      </c>
      <c r="D363" t="s">
        <v>59</v>
      </c>
      <c r="E363" t="s">
        <v>987</v>
      </c>
      <c r="F363" t="s">
        <v>45</v>
      </c>
      <c r="G363" t="s">
        <v>43</v>
      </c>
      <c r="H363" t="s">
        <v>46</v>
      </c>
      <c r="I363">
        <v>11729</v>
      </c>
      <c r="J363" t="s">
        <v>59</v>
      </c>
      <c r="K363">
        <v>729</v>
      </c>
      <c r="L363" t="s">
        <v>146</v>
      </c>
      <c r="M363">
        <v>1</v>
      </c>
      <c r="N363" t="s">
        <v>134</v>
      </c>
      <c r="O363" t="s">
        <v>897</v>
      </c>
      <c r="P363">
        <v>3000</v>
      </c>
      <c r="Q363" t="s">
        <v>60</v>
      </c>
      <c r="R363" t="s">
        <v>898</v>
      </c>
      <c r="S363">
        <v>3000</v>
      </c>
      <c r="T363" t="s">
        <v>60</v>
      </c>
      <c r="U363" t="s">
        <v>899</v>
      </c>
      <c r="V363" t="s">
        <v>900</v>
      </c>
      <c r="W363" t="s">
        <v>166</v>
      </c>
      <c r="X363">
        <v>14129</v>
      </c>
      <c r="Y363" t="s">
        <v>156</v>
      </c>
      <c r="Z363" t="s">
        <v>143</v>
      </c>
      <c r="AA363" t="s">
        <v>144</v>
      </c>
      <c r="AB363" t="s">
        <v>157</v>
      </c>
      <c r="AC363" t="s">
        <v>146</v>
      </c>
      <c r="AD363">
        <v>1</v>
      </c>
      <c r="AE363">
        <v>6</v>
      </c>
      <c r="AF363">
        <v>34114</v>
      </c>
      <c r="AG363" t="s">
        <v>143</v>
      </c>
      <c r="AH363" t="s">
        <v>143</v>
      </c>
      <c r="AI363" t="s">
        <v>143</v>
      </c>
      <c r="AJ363" t="s">
        <v>143</v>
      </c>
      <c r="AK363" t="s">
        <v>143</v>
      </c>
      <c r="AL363" t="s">
        <v>147</v>
      </c>
      <c r="AM363">
        <v>84.77</v>
      </c>
      <c r="AN363" t="s">
        <v>645</v>
      </c>
      <c r="AO363" t="s">
        <v>159</v>
      </c>
      <c r="AP363" t="s">
        <v>43</v>
      </c>
    </row>
    <row r="364" spans="1:42" x14ac:dyDescent="0.3">
      <c r="A364" t="s">
        <v>39</v>
      </c>
      <c r="B364">
        <v>134</v>
      </c>
      <c r="C364" t="s">
        <v>58</v>
      </c>
      <c r="D364" t="s">
        <v>59</v>
      </c>
      <c r="E364" t="s">
        <v>987</v>
      </c>
      <c r="F364" t="s">
        <v>45</v>
      </c>
      <c r="G364" t="s">
        <v>43</v>
      </c>
      <c r="H364" t="s">
        <v>47</v>
      </c>
      <c r="I364">
        <v>11823</v>
      </c>
      <c r="J364" t="s">
        <v>59</v>
      </c>
      <c r="K364">
        <v>823</v>
      </c>
      <c r="L364" t="s">
        <v>146</v>
      </c>
      <c r="M364">
        <v>2</v>
      </c>
      <c r="N364" t="s">
        <v>134</v>
      </c>
      <c r="O364" t="s">
        <v>846</v>
      </c>
      <c r="P364">
        <v>3000</v>
      </c>
      <c r="Q364" t="s">
        <v>60</v>
      </c>
      <c r="R364" t="s">
        <v>732</v>
      </c>
      <c r="S364">
        <v>3000</v>
      </c>
      <c r="T364" t="s">
        <v>60</v>
      </c>
      <c r="U364" t="s">
        <v>901</v>
      </c>
      <c r="V364" t="s">
        <v>849</v>
      </c>
      <c r="W364" t="s">
        <v>166</v>
      </c>
      <c r="X364">
        <v>15321</v>
      </c>
      <c r="Y364" t="s">
        <v>156</v>
      </c>
      <c r="Z364" t="s">
        <v>143</v>
      </c>
      <c r="AA364" t="s">
        <v>144</v>
      </c>
      <c r="AB364" t="s">
        <v>157</v>
      </c>
      <c r="AC364" t="s">
        <v>146</v>
      </c>
      <c r="AD364">
        <v>1</v>
      </c>
      <c r="AE364">
        <v>5</v>
      </c>
      <c r="AF364">
        <v>31820</v>
      </c>
      <c r="AG364" t="s">
        <v>143</v>
      </c>
      <c r="AH364" t="s">
        <v>143</v>
      </c>
      <c r="AI364" t="s">
        <v>143</v>
      </c>
      <c r="AJ364" t="s">
        <v>143</v>
      </c>
      <c r="AK364" t="s">
        <v>143</v>
      </c>
      <c r="AL364" t="s">
        <v>147</v>
      </c>
      <c r="AM364">
        <v>76.61</v>
      </c>
      <c r="AN364" t="s">
        <v>719</v>
      </c>
      <c r="AO364" t="s">
        <v>587</v>
      </c>
      <c r="AP364" t="s">
        <v>43</v>
      </c>
    </row>
    <row r="365" spans="1:42" x14ac:dyDescent="0.3">
      <c r="A365" t="s">
        <v>39</v>
      </c>
      <c r="B365">
        <v>134</v>
      </c>
      <c r="C365" t="s">
        <v>58</v>
      </c>
      <c r="D365" t="s">
        <v>59</v>
      </c>
      <c r="E365" t="s">
        <v>987</v>
      </c>
      <c r="F365" t="s">
        <v>45</v>
      </c>
      <c r="G365" t="s">
        <v>43</v>
      </c>
      <c r="H365" t="s">
        <v>47</v>
      </c>
      <c r="I365">
        <v>11882</v>
      </c>
      <c r="J365" t="s">
        <v>59</v>
      </c>
      <c r="K365">
        <v>882</v>
      </c>
      <c r="L365" t="s">
        <v>146</v>
      </c>
      <c r="M365">
        <v>1</v>
      </c>
      <c r="N365" t="s">
        <v>160</v>
      </c>
      <c r="O365" t="s">
        <v>735</v>
      </c>
      <c r="P365">
        <v>3000</v>
      </c>
      <c r="Q365" t="s">
        <v>60</v>
      </c>
      <c r="R365" t="s">
        <v>736</v>
      </c>
      <c r="S365">
        <v>3000</v>
      </c>
      <c r="T365" t="s">
        <v>60</v>
      </c>
      <c r="U365" t="s">
        <v>737</v>
      </c>
      <c r="V365" t="s">
        <v>738</v>
      </c>
      <c r="W365" t="s">
        <v>166</v>
      </c>
      <c r="X365">
        <v>5834</v>
      </c>
      <c r="Y365" t="s">
        <v>156</v>
      </c>
      <c r="Z365" t="s">
        <v>143</v>
      </c>
      <c r="AA365" t="s">
        <v>144</v>
      </c>
      <c r="AB365" t="s">
        <v>145</v>
      </c>
      <c r="AC365" t="s">
        <v>146</v>
      </c>
      <c r="AD365">
        <v>1</v>
      </c>
      <c r="AE365">
        <v>5</v>
      </c>
      <c r="AF365">
        <v>29624</v>
      </c>
      <c r="AG365" t="s">
        <v>144</v>
      </c>
      <c r="AH365" t="s">
        <v>143</v>
      </c>
      <c r="AI365" t="s">
        <v>143</v>
      </c>
      <c r="AJ365" t="s">
        <v>143</v>
      </c>
      <c r="AK365" t="s">
        <v>143</v>
      </c>
      <c r="AL365" t="s">
        <v>147</v>
      </c>
      <c r="AM365">
        <v>29.17</v>
      </c>
      <c r="AN365" t="s">
        <v>739</v>
      </c>
      <c r="AO365" t="s">
        <v>587</v>
      </c>
      <c r="AP365" t="s">
        <v>43</v>
      </c>
    </row>
    <row r="366" spans="1:42" x14ac:dyDescent="0.3">
      <c r="A366" t="s">
        <v>39</v>
      </c>
      <c r="B366">
        <v>134</v>
      </c>
      <c r="C366" t="s">
        <v>58</v>
      </c>
      <c r="D366" t="s">
        <v>59</v>
      </c>
      <c r="E366" t="s">
        <v>987</v>
      </c>
      <c r="F366" t="s">
        <v>45</v>
      </c>
      <c r="G366" t="s">
        <v>61</v>
      </c>
      <c r="H366" t="s">
        <v>46</v>
      </c>
      <c r="I366">
        <v>14850</v>
      </c>
      <c r="J366" t="s">
        <v>59</v>
      </c>
      <c r="K366">
        <v>850</v>
      </c>
      <c r="L366" t="s">
        <v>146</v>
      </c>
      <c r="M366">
        <v>1</v>
      </c>
      <c r="N366" t="s">
        <v>134</v>
      </c>
      <c r="O366" t="s">
        <v>881</v>
      </c>
      <c r="P366">
        <v>3000</v>
      </c>
      <c r="Q366" t="s">
        <v>60</v>
      </c>
      <c r="R366" t="s">
        <v>902</v>
      </c>
      <c r="S366">
        <v>3000</v>
      </c>
      <c r="T366" t="s">
        <v>60</v>
      </c>
      <c r="U366" t="s">
        <v>808</v>
      </c>
      <c r="V366" t="s">
        <v>809</v>
      </c>
      <c r="W366" t="s">
        <v>166</v>
      </c>
      <c r="X366">
        <v>17255</v>
      </c>
      <c r="Y366" t="s">
        <v>156</v>
      </c>
      <c r="Z366" t="s">
        <v>143</v>
      </c>
      <c r="AA366" t="s">
        <v>144</v>
      </c>
      <c r="AB366" t="s">
        <v>157</v>
      </c>
      <c r="AC366" t="s">
        <v>146</v>
      </c>
      <c r="AD366">
        <v>1</v>
      </c>
      <c r="AE366">
        <v>6</v>
      </c>
      <c r="AF366">
        <v>30792</v>
      </c>
      <c r="AG366" t="s">
        <v>143</v>
      </c>
      <c r="AH366" t="s">
        <v>143</v>
      </c>
      <c r="AI366" t="s">
        <v>143</v>
      </c>
      <c r="AJ366" t="s">
        <v>143</v>
      </c>
      <c r="AK366" t="s">
        <v>143</v>
      </c>
      <c r="AL366" t="s">
        <v>147</v>
      </c>
      <c r="AM366">
        <v>103.53</v>
      </c>
      <c r="AN366" t="s">
        <v>758</v>
      </c>
      <c r="AO366" t="s">
        <v>810</v>
      </c>
      <c r="AP366" t="s">
        <v>61</v>
      </c>
    </row>
    <row r="367" spans="1:42" x14ac:dyDescent="0.3">
      <c r="A367" t="s">
        <v>39</v>
      </c>
      <c r="B367">
        <v>134</v>
      </c>
      <c r="C367" t="s">
        <v>58</v>
      </c>
      <c r="D367" t="s">
        <v>59</v>
      </c>
      <c r="E367" t="s">
        <v>987</v>
      </c>
      <c r="F367" t="s">
        <v>52</v>
      </c>
      <c r="G367" t="s">
        <v>62</v>
      </c>
      <c r="H367" t="s">
        <v>63</v>
      </c>
      <c r="I367">
        <v>17072</v>
      </c>
      <c r="J367" t="s">
        <v>59</v>
      </c>
      <c r="K367">
        <v>72</v>
      </c>
      <c r="L367" t="s">
        <v>146</v>
      </c>
      <c r="M367">
        <v>2</v>
      </c>
      <c r="N367" t="s">
        <v>134</v>
      </c>
      <c r="O367" t="s">
        <v>836</v>
      </c>
      <c r="P367">
        <v>3000</v>
      </c>
      <c r="Q367" t="s">
        <v>60</v>
      </c>
      <c r="R367" t="s">
        <v>753</v>
      </c>
      <c r="S367">
        <v>3000</v>
      </c>
      <c r="T367" t="s">
        <v>60</v>
      </c>
      <c r="U367" t="s">
        <v>727</v>
      </c>
      <c r="V367" t="s">
        <v>819</v>
      </c>
      <c r="W367" t="s">
        <v>166</v>
      </c>
      <c r="X367">
        <v>19626</v>
      </c>
      <c r="Y367" t="s">
        <v>178</v>
      </c>
      <c r="Z367" t="s">
        <v>143</v>
      </c>
      <c r="AA367" t="s">
        <v>144</v>
      </c>
      <c r="AB367" t="s">
        <v>650</v>
      </c>
      <c r="AC367" t="s">
        <v>146</v>
      </c>
      <c r="AD367">
        <v>0</v>
      </c>
      <c r="AE367">
        <v>209</v>
      </c>
      <c r="AF367">
        <v>34120</v>
      </c>
      <c r="AG367" t="s">
        <v>144</v>
      </c>
      <c r="AH367" t="s">
        <v>143</v>
      </c>
      <c r="AI367" t="s">
        <v>143</v>
      </c>
      <c r="AJ367" t="s">
        <v>143</v>
      </c>
      <c r="AK367" t="s">
        <v>143</v>
      </c>
      <c r="AL367" t="s">
        <v>147</v>
      </c>
      <c r="AM367">
        <v>4101.83</v>
      </c>
      <c r="AN367" t="s">
        <v>645</v>
      </c>
      <c r="AO367" t="s">
        <v>52</v>
      </c>
      <c r="AP367" t="s">
        <v>62</v>
      </c>
    </row>
    <row r="368" spans="1:42" x14ac:dyDescent="0.3">
      <c r="A368" t="s">
        <v>39</v>
      </c>
      <c r="B368">
        <v>134</v>
      </c>
      <c r="C368" t="s">
        <v>58</v>
      </c>
      <c r="D368" t="s">
        <v>59</v>
      </c>
      <c r="E368" t="s">
        <v>987</v>
      </c>
      <c r="F368" t="s">
        <v>52</v>
      </c>
      <c r="G368" t="s">
        <v>62</v>
      </c>
      <c r="H368" t="s">
        <v>63</v>
      </c>
      <c r="I368">
        <v>21078</v>
      </c>
      <c r="J368" t="s">
        <v>59</v>
      </c>
      <c r="K368">
        <v>78</v>
      </c>
      <c r="L368" t="s">
        <v>146</v>
      </c>
      <c r="M368">
        <v>1</v>
      </c>
      <c r="N368" t="s">
        <v>160</v>
      </c>
      <c r="O368" t="s">
        <v>821</v>
      </c>
      <c r="P368">
        <v>3000</v>
      </c>
      <c r="Q368" t="s">
        <v>60</v>
      </c>
      <c r="R368" t="s">
        <v>794</v>
      </c>
      <c r="S368">
        <v>3000</v>
      </c>
      <c r="T368" t="s">
        <v>60</v>
      </c>
      <c r="U368" t="s">
        <v>825</v>
      </c>
      <c r="V368" t="s">
        <v>826</v>
      </c>
      <c r="W368" t="s">
        <v>166</v>
      </c>
      <c r="X368">
        <v>13287</v>
      </c>
      <c r="Y368" t="s">
        <v>178</v>
      </c>
      <c r="Z368" t="s">
        <v>143</v>
      </c>
      <c r="AA368" t="s">
        <v>144</v>
      </c>
      <c r="AB368" t="s">
        <v>650</v>
      </c>
      <c r="AC368" t="s">
        <v>146</v>
      </c>
      <c r="AD368">
        <v>0</v>
      </c>
      <c r="AE368">
        <v>42</v>
      </c>
      <c r="AF368">
        <v>31832</v>
      </c>
      <c r="AG368" t="s">
        <v>144</v>
      </c>
      <c r="AH368" t="s">
        <v>143</v>
      </c>
      <c r="AI368" t="s">
        <v>143</v>
      </c>
      <c r="AJ368" t="s">
        <v>143</v>
      </c>
      <c r="AK368" t="s">
        <v>143</v>
      </c>
      <c r="AL368" t="s">
        <v>147</v>
      </c>
      <c r="AM368">
        <v>558.04999999999995</v>
      </c>
      <c r="AN368" t="s">
        <v>719</v>
      </c>
      <c r="AO368" t="s">
        <v>52</v>
      </c>
      <c r="AP368" t="s">
        <v>62</v>
      </c>
    </row>
    <row r="369" spans="1:42" x14ac:dyDescent="0.3">
      <c r="A369" t="s">
        <v>39</v>
      </c>
      <c r="B369">
        <v>120</v>
      </c>
      <c r="C369" t="s">
        <v>40</v>
      </c>
      <c r="D369" t="s">
        <v>49</v>
      </c>
      <c r="E369" t="s">
        <v>984</v>
      </c>
      <c r="F369" t="s">
        <v>45</v>
      </c>
      <c r="G369" t="s">
        <v>43</v>
      </c>
      <c r="H369" t="s">
        <v>48</v>
      </c>
      <c r="I369">
        <v>23052</v>
      </c>
      <c r="J369" t="s">
        <v>49</v>
      </c>
      <c r="K369">
        <v>52</v>
      </c>
      <c r="L369" t="s">
        <v>985</v>
      </c>
      <c r="M369">
        <v>2</v>
      </c>
      <c r="N369" t="s">
        <v>160</v>
      </c>
      <c r="O369" t="s">
        <v>460</v>
      </c>
      <c r="P369">
        <v>635</v>
      </c>
      <c r="Q369" t="s">
        <v>464</v>
      </c>
      <c r="R369" t="s">
        <v>465</v>
      </c>
      <c r="S369">
        <v>7700</v>
      </c>
      <c r="T369" t="s">
        <v>49</v>
      </c>
      <c r="U369" t="s">
        <v>330</v>
      </c>
      <c r="V369" t="s">
        <v>331</v>
      </c>
      <c r="W369" t="s">
        <v>141</v>
      </c>
      <c r="X369">
        <v>25335</v>
      </c>
      <c r="Y369" t="s">
        <v>178</v>
      </c>
      <c r="Z369" t="s">
        <v>143</v>
      </c>
      <c r="AA369" t="s">
        <v>143</v>
      </c>
      <c r="AB369" t="s">
        <v>145</v>
      </c>
      <c r="AC369" t="s">
        <v>158</v>
      </c>
      <c r="AD369">
        <v>5</v>
      </c>
      <c r="AE369">
        <v>37</v>
      </c>
      <c r="AF369">
        <v>20244</v>
      </c>
      <c r="AG369" t="s">
        <v>143</v>
      </c>
      <c r="AH369" t="s">
        <v>143</v>
      </c>
      <c r="AI369" t="s">
        <v>143</v>
      </c>
      <c r="AJ369" t="s">
        <v>143</v>
      </c>
      <c r="AK369" t="s">
        <v>143</v>
      </c>
      <c r="AL369" t="s">
        <v>147</v>
      </c>
      <c r="AM369">
        <v>937.4</v>
      </c>
      <c r="AN369" t="s">
        <v>186</v>
      </c>
      <c r="AO369" t="s">
        <v>50</v>
      </c>
      <c r="AP369" t="s">
        <v>43</v>
      </c>
    </row>
    <row r="370" spans="1:42" x14ac:dyDescent="0.3">
      <c r="A370" t="s">
        <v>39</v>
      </c>
      <c r="B370">
        <v>120</v>
      </c>
      <c r="C370" t="s">
        <v>40</v>
      </c>
      <c r="D370" t="s">
        <v>49</v>
      </c>
      <c r="E370" t="s">
        <v>984</v>
      </c>
      <c r="F370" t="s">
        <v>45</v>
      </c>
      <c r="G370" t="s">
        <v>43</v>
      </c>
      <c r="H370" t="s">
        <v>48</v>
      </c>
      <c r="I370">
        <v>24019</v>
      </c>
      <c r="J370" t="s">
        <v>49</v>
      </c>
      <c r="K370">
        <v>19</v>
      </c>
      <c r="L370" t="s">
        <v>985</v>
      </c>
      <c r="M370">
        <v>1</v>
      </c>
      <c r="N370" t="s">
        <v>134</v>
      </c>
      <c r="O370" t="s">
        <v>174</v>
      </c>
      <c r="P370">
        <v>7700</v>
      </c>
      <c r="Q370" t="s">
        <v>49</v>
      </c>
      <c r="R370" t="s">
        <v>241</v>
      </c>
      <c r="S370">
        <v>526</v>
      </c>
      <c r="T370" t="s">
        <v>240</v>
      </c>
      <c r="U370" t="s">
        <v>903</v>
      </c>
      <c r="V370" t="s">
        <v>904</v>
      </c>
      <c r="W370" t="s">
        <v>141</v>
      </c>
      <c r="X370">
        <v>10744</v>
      </c>
      <c r="Y370" t="s">
        <v>178</v>
      </c>
      <c r="Z370" t="s">
        <v>143</v>
      </c>
      <c r="AA370" t="s">
        <v>143</v>
      </c>
      <c r="AB370" t="s">
        <v>145</v>
      </c>
      <c r="AC370" t="s">
        <v>158</v>
      </c>
      <c r="AD370">
        <v>18</v>
      </c>
      <c r="AE370">
        <v>97</v>
      </c>
      <c r="AF370">
        <v>936</v>
      </c>
      <c r="AG370" t="s">
        <v>143</v>
      </c>
      <c r="AH370" t="s">
        <v>143</v>
      </c>
      <c r="AI370" t="s">
        <v>143</v>
      </c>
      <c r="AJ370" t="s">
        <v>143</v>
      </c>
      <c r="AK370" t="s">
        <v>143</v>
      </c>
      <c r="AL370" t="s">
        <v>147</v>
      </c>
      <c r="AM370">
        <v>1042.17</v>
      </c>
      <c r="AN370" t="s">
        <v>243</v>
      </c>
      <c r="AO370" t="s">
        <v>50</v>
      </c>
      <c r="AP370" t="s">
        <v>43</v>
      </c>
    </row>
    <row r="371" spans="1:42" x14ac:dyDescent="0.3">
      <c r="A371" t="s">
        <v>39</v>
      </c>
      <c r="B371">
        <v>120</v>
      </c>
      <c r="C371" t="s">
        <v>40</v>
      </c>
      <c r="D371" t="s">
        <v>49</v>
      </c>
      <c r="E371" t="s">
        <v>984</v>
      </c>
      <c r="F371" t="s">
        <v>45</v>
      </c>
      <c r="G371" t="s">
        <v>43</v>
      </c>
      <c r="H371" t="s">
        <v>48</v>
      </c>
      <c r="I371">
        <v>32014</v>
      </c>
      <c r="J371" t="s">
        <v>49</v>
      </c>
      <c r="K371">
        <v>14</v>
      </c>
      <c r="L371" t="s">
        <v>146</v>
      </c>
      <c r="M371">
        <v>1</v>
      </c>
      <c r="N371" t="s">
        <v>134</v>
      </c>
      <c r="O371" t="s">
        <v>246</v>
      </c>
      <c r="P371">
        <v>7700</v>
      </c>
      <c r="Q371" t="s">
        <v>49</v>
      </c>
      <c r="R371" t="s">
        <v>197</v>
      </c>
      <c r="S371">
        <v>7700</v>
      </c>
      <c r="T371" t="s">
        <v>49</v>
      </c>
      <c r="U371" t="s">
        <v>247</v>
      </c>
      <c r="V371" t="s">
        <v>503</v>
      </c>
      <c r="W371" t="s">
        <v>166</v>
      </c>
      <c r="X371">
        <v>11818</v>
      </c>
      <c r="Y371" t="s">
        <v>178</v>
      </c>
      <c r="Z371" t="s">
        <v>143</v>
      </c>
      <c r="AA371" t="s">
        <v>144</v>
      </c>
      <c r="AB371" t="s">
        <v>157</v>
      </c>
      <c r="AC371" t="s">
        <v>146</v>
      </c>
      <c r="AD371">
        <v>59</v>
      </c>
      <c r="AE371">
        <v>340</v>
      </c>
      <c r="AF371">
        <v>15153</v>
      </c>
      <c r="AG371" t="s">
        <v>143</v>
      </c>
      <c r="AH371" t="s">
        <v>143</v>
      </c>
      <c r="AI371" t="s">
        <v>143</v>
      </c>
      <c r="AJ371" t="s">
        <v>143</v>
      </c>
      <c r="AK371" t="s">
        <v>143</v>
      </c>
      <c r="AL371" t="s">
        <v>147</v>
      </c>
      <c r="AM371">
        <v>4018.12</v>
      </c>
      <c r="AN371" t="s">
        <v>233</v>
      </c>
      <c r="AO371" t="s">
        <v>50</v>
      </c>
      <c r="AP371" t="s">
        <v>43</v>
      </c>
    </row>
    <row r="372" spans="1:42" x14ac:dyDescent="0.3">
      <c r="A372" t="s">
        <v>39</v>
      </c>
      <c r="B372">
        <v>120</v>
      </c>
      <c r="C372" t="s">
        <v>40</v>
      </c>
      <c r="D372" t="s">
        <v>49</v>
      </c>
      <c r="E372" t="s">
        <v>984</v>
      </c>
      <c r="F372" t="s">
        <v>45</v>
      </c>
      <c r="G372" t="s">
        <v>43</v>
      </c>
      <c r="H372" t="s">
        <v>48</v>
      </c>
      <c r="I372">
        <v>34010</v>
      </c>
      <c r="J372" t="s">
        <v>49</v>
      </c>
      <c r="K372">
        <v>10</v>
      </c>
      <c r="L372" t="s">
        <v>146</v>
      </c>
      <c r="M372">
        <v>1</v>
      </c>
      <c r="N372" t="s">
        <v>134</v>
      </c>
      <c r="O372" t="s">
        <v>316</v>
      </c>
      <c r="P372">
        <v>7700</v>
      </c>
      <c r="Q372" t="s">
        <v>49</v>
      </c>
      <c r="R372" t="s">
        <v>197</v>
      </c>
      <c r="S372">
        <v>7700</v>
      </c>
      <c r="T372" t="s">
        <v>49</v>
      </c>
      <c r="U372" t="s">
        <v>905</v>
      </c>
      <c r="V372" t="s">
        <v>906</v>
      </c>
      <c r="W372" t="s">
        <v>166</v>
      </c>
      <c r="X372">
        <v>10099</v>
      </c>
      <c r="Y372" t="s">
        <v>178</v>
      </c>
      <c r="Z372" t="s">
        <v>143</v>
      </c>
      <c r="AA372" t="s">
        <v>144</v>
      </c>
      <c r="AB372" t="s">
        <v>157</v>
      </c>
      <c r="AC372" t="s">
        <v>146</v>
      </c>
      <c r="AD372">
        <v>70</v>
      </c>
      <c r="AE372">
        <v>407</v>
      </c>
      <c r="AF372">
        <v>860</v>
      </c>
      <c r="AG372" t="s">
        <v>143</v>
      </c>
      <c r="AH372" t="s">
        <v>143</v>
      </c>
      <c r="AI372" t="s">
        <v>143</v>
      </c>
      <c r="AJ372" t="s">
        <v>143</v>
      </c>
      <c r="AK372" t="s">
        <v>143</v>
      </c>
      <c r="AL372" t="s">
        <v>147</v>
      </c>
      <c r="AM372">
        <v>4110.29</v>
      </c>
      <c r="AN372" t="s">
        <v>250</v>
      </c>
      <c r="AO372" t="s">
        <v>50</v>
      </c>
      <c r="AP372" t="s">
        <v>43</v>
      </c>
    </row>
    <row r="373" spans="1:42" x14ac:dyDescent="0.3">
      <c r="A373" t="s">
        <v>39</v>
      </c>
      <c r="B373">
        <v>120</v>
      </c>
      <c r="C373" t="s">
        <v>40</v>
      </c>
      <c r="D373" t="s">
        <v>49</v>
      </c>
      <c r="E373" t="s">
        <v>984</v>
      </c>
      <c r="F373" t="s">
        <v>45</v>
      </c>
      <c r="G373" t="s">
        <v>43</v>
      </c>
      <c r="H373" t="s">
        <v>48</v>
      </c>
      <c r="I373">
        <v>50006</v>
      </c>
      <c r="J373" t="s">
        <v>49</v>
      </c>
      <c r="K373">
        <v>6</v>
      </c>
      <c r="L373" t="s">
        <v>146</v>
      </c>
      <c r="M373">
        <v>1</v>
      </c>
      <c r="N373" t="s">
        <v>160</v>
      </c>
      <c r="O373" t="s">
        <v>504</v>
      </c>
      <c r="P373">
        <v>874</v>
      </c>
      <c r="Q373" t="s">
        <v>235</v>
      </c>
      <c r="R373" t="s">
        <v>236</v>
      </c>
      <c r="S373">
        <v>1840</v>
      </c>
      <c r="T373" t="s">
        <v>230</v>
      </c>
      <c r="U373" t="s">
        <v>360</v>
      </c>
      <c r="V373" t="s">
        <v>361</v>
      </c>
      <c r="W373" t="s">
        <v>166</v>
      </c>
      <c r="X373">
        <v>14285</v>
      </c>
      <c r="Y373" t="s">
        <v>178</v>
      </c>
      <c r="Z373" t="s">
        <v>143</v>
      </c>
      <c r="AA373" t="s">
        <v>144</v>
      </c>
      <c r="AB373" t="s">
        <v>157</v>
      </c>
      <c r="AC373" t="s">
        <v>146</v>
      </c>
      <c r="AD373">
        <v>20</v>
      </c>
      <c r="AE373">
        <v>111</v>
      </c>
      <c r="AF373">
        <v>20684</v>
      </c>
      <c r="AG373" t="s">
        <v>143</v>
      </c>
      <c r="AH373" t="s">
        <v>143</v>
      </c>
      <c r="AI373" t="s">
        <v>143</v>
      </c>
      <c r="AJ373" t="s">
        <v>143</v>
      </c>
      <c r="AK373" t="s">
        <v>143</v>
      </c>
      <c r="AL373" t="s">
        <v>147</v>
      </c>
      <c r="AM373">
        <v>1585.64</v>
      </c>
      <c r="AN373" t="s">
        <v>323</v>
      </c>
      <c r="AO373" t="s">
        <v>50</v>
      </c>
      <c r="AP373" t="s">
        <v>43</v>
      </c>
    </row>
    <row r="374" spans="1:42" x14ac:dyDescent="0.3">
      <c r="A374" t="s">
        <v>39</v>
      </c>
      <c r="B374">
        <v>120</v>
      </c>
      <c r="C374" t="s">
        <v>40</v>
      </c>
      <c r="D374" t="s">
        <v>49</v>
      </c>
      <c r="E374" t="s">
        <v>984</v>
      </c>
      <c r="F374" t="s">
        <v>45</v>
      </c>
      <c r="G374" t="s">
        <v>43</v>
      </c>
      <c r="H374" t="s">
        <v>48</v>
      </c>
      <c r="I374">
        <v>52003</v>
      </c>
      <c r="J374" t="s">
        <v>49</v>
      </c>
      <c r="K374">
        <v>3</v>
      </c>
      <c r="L374" t="s">
        <v>146</v>
      </c>
      <c r="M374">
        <v>1</v>
      </c>
      <c r="N374" t="s">
        <v>134</v>
      </c>
      <c r="O374" t="s">
        <v>202</v>
      </c>
      <c r="P374">
        <v>7700</v>
      </c>
      <c r="Q374" t="s">
        <v>49</v>
      </c>
      <c r="R374" t="s">
        <v>197</v>
      </c>
      <c r="S374">
        <v>7700</v>
      </c>
      <c r="T374" t="s">
        <v>49</v>
      </c>
      <c r="U374" t="s">
        <v>247</v>
      </c>
      <c r="V374" t="s">
        <v>503</v>
      </c>
      <c r="W374" t="s">
        <v>166</v>
      </c>
      <c r="X374">
        <v>10444</v>
      </c>
      <c r="Y374" t="s">
        <v>178</v>
      </c>
      <c r="Z374" t="s">
        <v>143</v>
      </c>
      <c r="AA374" t="s">
        <v>144</v>
      </c>
      <c r="AB374" t="s">
        <v>157</v>
      </c>
      <c r="AC374" t="s">
        <v>146</v>
      </c>
      <c r="AD374">
        <v>64</v>
      </c>
      <c r="AE374">
        <v>369</v>
      </c>
      <c r="AF374">
        <v>850</v>
      </c>
      <c r="AG374" t="s">
        <v>143</v>
      </c>
      <c r="AH374" t="s">
        <v>143</v>
      </c>
      <c r="AI374" t="s">
        <v>143</v>
      </c>
      <c r="AJ374" t="s">
        <v>143</v>
      </c>
      <c r="AK374" t="s">
        <v>143</v>
      </c>
      <c r="AL374" t="s">
        <v>147</v>
      </c>
      <c r="AM374">
        <v>3853.84</v>
      </c>
      <c r="AN374" t="s">
        <v>250</v>
      </c>
      <c r="AO374" t="s">
        <v>50</v>
      </c>
      <c r="AP374" t="s">
        <v>43</v>
      </c>
    </row>
    <row r="375" spans="1:42" x14ac:dyDescent="0.3">
      <c r="A375" t="s">
        <v>39</v>
      </c>
      <c r="B375">
        <v>120</v>
      </c>
      <c r="C375" t="s">
        <v>40</v>
      </c>
      <c r="D375" t="s">
        <v>49</v>
      </c>
      <c r="E375" t="s">
        <v>984</v>
      </c>
      <c r="F375" t="s">
        <v>45</v>
      </c>
      <c r="G375" t="s">
        <v>43</v>
      </c>
      <c r="H375" t="s">
        <v>48</v>
      </c>
      <c r="I375">
        <v>57002</v>
      </c>
      <c r="J375" t="s">
        <v>49</v>
      </c>
      <c r="K375">
        <v>2</v>
      </c>
      <c r="L375" t="s">
        <v>146</v>
      </c>
      <c r="M375">
        <v>1</v>
      </c>
      <c r="N375" t="s">
        <v>160</v>
      </c>
      <c r="O375" t="s">
        <v>168</v>
      </c>
      <c r="P375">
        <v>7700</v>
      </c>
      <c r="Q375" t="s">
        <v>49</v>
      </c>
      <c r="R375" t="s">
        <v>197</v>
      </c>
      <c r="S375">
        <v>475</v>
      </c>
      <c r="T375" t="s">
        <v>296</v>
      </c>
      <c r="U375" t="s">
        <v>297</v>
      </c>
      <c r="V375" t="s">
        <v>319</v>
      </c>
      <c r="W375" t="s">
        <v>166</v>
      </c>
      <c r="X375">
        <v>10277</v>
      </c>
      <c r="Y375" t="s">
        <v>178</v>
      </c>
      <c r="Z375" t="s">
        <v>143</v>
      </c>
      <c r="AA375" t="s">
        <v>144</v>
      </c>
      <c r="AB375" t="s">
        <v>157</v>
      </c>
      <c r="AC375" t="s">
        <v>146</v>
      </c>
      <c r="AD375">
        <v>20</v>
      </c>
      <c r="AE375">
        <v>115</v>
      </c>
      <c r="AF375">
        <v>22861</v>
      </c>
      <c r="AG375" t="s">
        <v>143</v>
      </c>
      <c r="AH375" t="s">
        <v>143</v>
      </c>
      <c r="AI375" t="s">
        <v>143</v>
      </c>
      <c r="AJ375" t="s">
        <v>143</v>
      </c>
      <c r="AK375" t="s">
        <v>143</v>
      </c>
      <c r="AL375" t="s">
        <v>147</v>
      </c>
      <c r="AM375">
        <v>1181.8599999999999</v>
      </c>
      <c r="AN375" t="s">
        <v>245</v>
      </c>
      <c r="AO375" t="s">
        <v>50</v>
      </c>
      <c r="AP375" t="s">
        <v>43</v>
      </c>
    </row>
    <row r="376" spans="1:42" x14ac:dyDescent="0.3">
      <c r="A376" t="s">
        <v>39</v>
      </c>
      <c r="B376">
        <v>120</v>
      </c>
      <c r="C376" t="s">
        <v>40</v>
      </c>
      <c r="D376" t="s">
        <v>49</v>
      </c>
      <c r="E376" t="s">
        <v>984</v>
      </c>
      <c r="F376" t="s">
        <v>42</v>
      </c>
      <c r="G376" t="s">
        <v>43</v>
      </c>
      <c r="H376" t="s">
        <v>48</v>
      </c>
      <c r="I376">
        <v>10348</v>
      </c>
      <c r="J376" t="s">
        <v>49</v>
      </c>
      <c r="K376">
        <v>348</v>
      </c>
      <c r="L376" t="s">
        <v>158</v>
      </c>
      <c r="M376">
        <v>1</v>
      </c>
      <c r="N376" t="s">
        <v>160</v>
      </c>
      <c r="O376" t="s">
        <v>445</v>
      </c>
      <c r="P376">
        <v>7700</v>
      </c>
      <c r="Q376" t="s">
        <v>49</v>
      </c>
      <c r="R376" t="s">
        <v>309</v>
      </c>
      <c r="S376">
        <v>874</v>
      </c>
      <c r="T376" t="s">
        <v>235</v>
      </c>
      <c r="U376" t="s">
        <v>236</v>
      </c>
      <c r="V376" t="s">
        <v>305</v>
      </c>
      <c r="W376" t="s">
        <v>141</v>
      </c>
      <c r="X376">
        <v>19739</v>
      </c>
      <c r="Y376" t="s">
        <v>178</v>
      </c>
      <c r="Z376" t="s">
        <v>143</v>
      </c>
      <c r="AA376" t="s">
        <v>143</v>
      </c>
      <c r="AB376" t="s">
        <v>157</v>
      </c>
      <c r="AC376" t="s">
        <v>158</v>
      </c>
      <c r="AD376">
        <v>2</v>
      </c>
      <c r="AE376">
        <v>10</v>
      </c>
      <c r="AF376">
        <v>15384</v>
      </c>
      <c r="AG376" t="s">
        <v>143</v>
      </c>
      <c r="AH376" t="s">
        <v>143</v>
      </c>
      <c r="AI376" t="s">
        <v>143</v>
      </c>
      <c r="AJ376" t="s">
        <v>143</v>
      </c>
      <c r="AK376" t="s">
        <v>143</v>
      </c>
      <c r="AL376" t="s">
        <v>147</v>
      </c>
      <c r="AM376">
        <v>197.39</v>
      </c>
      <c r="AN376" t="s">
        <v>447</v>
      </c>
      <c r="AO376" t="s">
        <v>200</v>
      </c>
      <c r="AP376" t="s">
        <v>43</v>
      </c>
    </row>
    <row r="377" spans="1:42" x14ac:dyDescent="0.3">
      <c r="A377" t="s">
        <v>39</v>
      </c>
      <c r="B377">
        <v>134</v>
      </c>
      <c r="C377" t="s">
        <v>58</v>
      </c>
      <c r="D377" t="s">
        <v>59</v>
      </c>
      <c r="E377" t="s">
        <v>987</v>
      </c>
      <c r="F377" t="s">
        <v>52</v>
      </c>
      <c r="G377" t="s">
        <v>62</v>
      </c>
      <c r="H377" t="s">
        <v>63</v>
      </c>
      <c r="I377">
        <v>30062</v>
      </c>
      <c r="J377" t="s">
        <v>59</v>
      </c>
      <c r="K377">
        <v>62</v>
      </c>
      <c r="L377" t="s">
        <v>146</v>
      </c>
      <c r="M377">
        <v>3</v>
      </c>
      <c r="N377" t="s">
        <v>134</v>
      </c>
      <c r="O377" t="s">
        <v>854</v>
      </c>
      <c r="P377">
        <v>3000</v>
      </c>
      <c r="Q377" t="s">
        <v>60</v>
      </c>
      <c r="R377" t="s">
        <v>727</v>
      </c>
      <c r="S377">
        <v>3000</v>
      </c>
      <c r="T377" t="s">
        <v>60</v>
      </c>
      <c r="U377" t="s">
        <v>855</v>
      </c>
      <c r="V377" t="s">
        <v>819</v>
      </c>
      <c r="W377" t="s">
        <v>166</v>
      </c>
      <c r="X377">
        <v>20320</v>
      </c>
      <c r="Y377" t="s">
        <v>178</v>
      </c>
      <c r="Z377" t="s">
        <v>143</v>
      </c>
      <c r="AA377" t="s">
        <v>144</v>
      </c>
      <c r="AB377" t="s">
        <v>650</v>
      </c>
      <c r="AC377" t="s">
        <v>146</v>
      </c>
      <c r="AD377">
        <v>0</v>
      </c>
      <c r="AE377">
        <v>171</v>
      </c>
      <c r="AF377">
        <v>33266</v>
      </c>
      <c r="AG377" t="s">
        <v>143</v>
      </c>
      <c r="AH377" t="s">
        <v>143</v>
      </c>
      <c r="AI377" t="s">
        <v>143</v>
      </c>
      <c r="AJ377" t="s">
        <v>143</v>
      </c>
      <c r="AK377" t="s">
        <v>143</v>
      </c>
      <c r="AL377" t="s">
        <v>147</v>
      </c>
      <c r="AM377">
        <v>3474.72</v>
      </c>
      <c r="AN377" t="s">
        <v>730</v>
      </c>
      <c r="AO377" t="s">
        <v>52</v>
      </c>
      <c r="AP377" t="s">
        <v>62</v>
      </c>
    </row>
    <row r="378" spans="1:42" x14ac:dyDescent="0.3">
      <c r="A378" t="s">
        <v>39</v>
      </c>
      <c r="B378">
        <v>134</v>
      </c>
      <c r="C378" t="s">
        <v>58</v>
      </c>
      <c r="D378" t="s">
        <v>59</v>
      </c>
      <c r="E378" t="s">
        <v>987</v>
      </c>
      <c r="F378" t="s">
        <v>52</v>
      </c>
      <c r="G378" t="s">
        <v>62</v>
      </c>
      <c r="H378" t="s">
        <v>63</v>
      </c>
      <c r="I378">
        <v>39092</v>
      </c>
      <c r="J378" t="s">
        <v>59</v>
      </c>
      <c r="K378">
        <v>92</v>
      </c>
      <c r="L378" t="s">
        <v>146</v>
      </c>
      <c r="M378">
        <v>3</v>
      </c>
      <c r="N378" t="s">
        <v>134</v>
      </c>
      <c r="O378" t="s">
        <v>907</v>
      </c>
      <c r="P378">
        <v>3000</v>
      </c>
      <c r="Q378" t="s">
        <v>60</v>
      </c>
      <c r="R378" t="s">
        <v>753</v>
      </c>
      <c r="S378">
        <v>3000</v>
      </c>
      <c r="T378" t="s">
        <v>60</v>
      </c>
      <c r="U378" t="s">
        <v>753</v>
      </c>
      <c r="V378" t="s">
        <v>754</v>
      </c>
      <c r="W378" t="s">
        <v>166</v>
      </c>
      <c r="X378">
        <v>25951</v>
      </c>
      <c r="Y378" t="s">
        <v>178</v>
      </c>
      <c r="Z378" t="s">
        <v>143</v>
      </c>
      <c r="AA378" t="s">
        <v>144</v>
      </c>
      <c r="AB378" t="s">
        <v>650</v>
      </c>
      <c r="AC378" t="s">
        <v>146</v>
      </c>
      <c r="AD378">
        <v>0</v>
      </c>
      <c r="AE378">
        <v>161</v>
      </c>
      <c r="AF378">
        <v>33252</v>
      </c>
      <c r="AG378" t="s">
        <v>143</v>
      </c>
      <c r="AH378" t="s">
        <v>143</v>
      </c>
      <c r="AI378" t="s">
        <v>143</v>
      </c>
      <c r="AJ378" t="s">
        <v>143</v>
      </c>
      <c r="AK378" t="s">
        <v>143</v>
      </c>
      <c r="AL378" t="s">
        <v>147</v>
      </c>
      <c r="AM378">
        <v>4178.1099999999997</v>
      </c>
      <c r="AN378" t="s">
        <v>730</v>
      </c>
      <c r="AO378" t="s">
        <v>52</v>
      </c>
      <c r="AP378" t="s">
        <v>62</v>
      </c>
    </row>
    <row r="379" spans="1:42" x14ac:dyDescent="0.3">
      <c r="A379" t="s">
        <v>39</v>
      </c>
      <c r="B379">
        <v>134</v>
      </c>
      <c r="C379" t="s">
        <v>58</v>
      </c>
      <c r="D379" t="s">
        <v>59</v>
      </c>
      <c r="E379" t="s">
        <v>987</v>
      </c>
      <c r="F379" t="s">
        <v>62</v>
      </c>
      <c r="G379" t="s">
        <v>62</v>
      </c>
      <c r="H379" t="s">
        <v>63</v>
      </c>
      <c r="I379">
        <v>10163</v>
      </c>
      <c r="J379" t="s">
        <v>59</v>
      </c>
      <c r="K379">
        <v>163</v>
      </c>
      <c r="L379" t="s">
        <v>146</v>
      </c>
      <c r="M379">
        <v>2</v>
      </c>
      <c r="N379" t="s">
        <v>160</v>
      </c>
      <c r="O379" t="s">
        <v>833</v>
      </c>
      <c r="P379">
        <v>3000</v>
      </c>
      <c r="Q379" t="s">
        <v>60</v>
      </c>
      <c r="R379" t="s">
        <v>746</v>
      </c>
      <c r="S379">
        <v>3000</v>
      </c>
      <c r="T379" t="s">
        <v>60</v>
      </c>
      <c r="U379" t="s">
        <v>908</v>
      </c>
      <c r="V379" t="s">
        <v>826</v>
      </c>
      <c r="W379" t="s">
        <v>166</v>
      </c>
      <c r="X379">
        <v>9264</v>
      </c>
      <c r="Y379" t="s">
        <v>178</v>
      </c>
      <c r="Z379" t="s">
        <v>143</v>
      </c>
      <c r="AA379" t="s">
        <v>144</v>
      </c>
      <c r="AB379" t="s">
        <v>650</v>
      </c>
      <c r="AC379" t="s">
        <v>146</v>
      </c>
      <c r="AD379">
        <v>0</v>
      </c>
      <c r="AE379">
        <v>12</v>
      </c>
      <c r="AF379">
        <v>14656</v>
      </c>
      <c r="AG379" t="s">
        <v>143</v>
      </c>
      <c r="AH379" t="s">
        <v>143</v>
      </c>
      <c r="AI379" t="s">
        <v>143</v>
      </c>
      <c r="AJ379" t="s">
        <v>143</v>
      </c>
      <c r="AK379" t="s">
        <v>143</v>
      </c>
      <c r="AL379" t="s">
        <v>147</v>
      </c>
      <c r="AM379">
        <v>111.17</v>
      </c>
      <c r="AN379" t="s">
        <v>909</v>
      </c>
      <c r="AO379" t="s">
        <v>62</v>
      </c>
      <c r="AP379" t="s">
        <v>62</v>
      </c>
    </row>
    <row r="380" spans="1:42" x14ac:dyDescent="0.3">
      <c r="A380" t="s">
        <v>39</v>
      </c>
      <c r="B380">
        <v>134</v>
      </c>
      <c r="C380" t="s">
        <v>58</v>
      </c>
      <c r="D380" t="s">
        <v>59</v>
      </c>
      <c r="E380" t="s">
        <v>987</v>
      </c>
      <c r="F380" t="s">
        <v>64</v>
      </c>
      <c r="G380" t="s">
        <v>43</v>
      </c>
      <c r="H380" t="s">
        <v>48</v>
      </c>
      <c r="I380">
        <v>47091</v>
      </c>
      <c r="J380" t="s">
        <v>59</v>
      </c>
      <c r="K380">
        <v>91</v>
      </c>
      <c r="L380" t="s">
        <v>146</v>
      </c>
      <c r="M380">
        <v>2</v>
      </c>
      <c r="N380" t="s">
        <v>134</v>
      </c>
      <c r="O380" t="s">
        <v>759</v>
      </c>
      <c r="P380">
        <v>3000</v>
      </c>
      <c r="Q380" t="s">
        <v>60</v>
      </c>
      <c r="R380" t="s">
        <v>761</v>
      </c>
      <c r="S380">
        <v>3000</v>
      </c>
      <c r="T380" t="s">
        <v>60</v>
      </c>
      <c r="U380" t="s">
        <v>760</v>
      </c>
      <c r="V380" t="s">
        <v>796</v>
      </c>
      <c r="W380" t="s">
        <v>166</v>
      </c>
      <c r="X380">
        <v>18611</v>
      </c>
      <c r="Y380" t="s">
        <v>178</v>
      </c>
      <c r="Z380" t="s">
        <v>143</v>
      </c>
      <c r="AA380" t="s">
        <v>144</v>
      </c>
      <c r="AB380" t="s">
        <v>157</v>
      </c>
      <c r="AC380" t="s">
        <v>146</v>
      </c>
      <c r="AD380">
        <v>79</v>
      </c>
      <c r="AE380">
        <v>453</v>
      </c>
      <c r="AF380">
        <v>23504</v>
      </c>
      <c r="AG380" t="s">
        <v>144</v>
      </c>
      <c r="AH380" t="s">
        <v>143</v>
      </c>
      <c r="AI380" t="s">
        <v>143</v>
      </c>
      <c r="AJ380" t="s">
        <v>143</v>
      </c>
      <c r="AK380" t="s">
        <v>143</v>
      </c>
      <c r="AL380" t="s">
        <v>147</v>
      </c>
      <c r="AM380">
        <v>8430.7800000000007</v>
      </c>
      <c r="AN380" t="s">
        <v>200</v>
      </c>
      <c r="AO380" t="s">
        <v>50</v>
      </c>
      <c r="AP380" t="s">
        <v>43</v>
      </c>
    </row>
    <row r="381" spans="1:42" x14ac:dyDescent="0.3">
      <c r="A381" t="s">
        <v>39</v>
      </c>
      <c r="B381">
        <v>134</v>
      </c>
      <c r="C381" t="s">
        <v>58</v>
      </c>
      <c r="D381" t="s">
        <v>59</v>
      </c>
      <c r="E381" t="s">
        <v>987</v>
      </c>
      <c r="F381" t="s">
        <v>67</v>
      </c>
      <c r="G381" t="s">
        <v>43</v>
      </c>
      <c r="H381" t="s">
        <v>44</v>
      </c>
      <c r="I381">
        <v>21078</v>
      </c>
      <c r="J381" t="s">
        <v>59</v>
      </c>
      <c r="K381">
        <v>78</v>
      </c>
      <c r="L381" t="s">
        <v>146</v>
      </c>
      <c r="M381">
        <v>1</v>
      </c>
      <c r="N381" t="s">
        <v>134</v>
      </c>
      <c r="O381" t="s">
        <v>821</v>
      </c>
      <c r="P381">
        <v>3000</v>
      </c>
      <c r="Q381" t="s">
        <v>60</v>
      </c>
      <c r="R381" t="s">
        <v>760</v>
      </c>
      <c r="S381">
        <v>3000</v>
      </c>
      <c r="T381" t="s">
        <v>60</v>
      </c>
      <c r="U381" t="s">
        <v>825</v>
      </c>
      <c r="V381" t="s">
        <v>826</v>
      </c>
      <c r="W381" t="s">
        <v>166</v>
      </c>
      <c r="X381">
        <v>12696</v>
      </c>
      <c r="Y381" t="s">
        <v>178</v>
      </c>
      <c r="Z381" t="s">
        <v>143</v>
      </c>
      <c r="AA381" t="s">
        <v>144</v>
      </c>
      <c r="AB381" t="s">
        <v>650</v>
      </c>
      <c r="AC381" t="s">
        <v>146</v>
      </c>
      <c r="AD381">
        <v>101</v>
      </c>
      <c r="AE381">
        <v>566</v>
      </c>
      <c r="AF381">
        <v>31831</v>
      </c>
      <c r="AG381" t="s">
        <v>144</v>
      </c>
      <c r="AH381" t="s">
        <v>143</v>
      </c>
      <c r="AI381" t="s">
        <v>143</v>
      </c>
      <c r="AJ381" t="s">
        <v>143</v>
      </c>
      <c r="AK381" t="s">
        <v>143</v>
      </c>
      <c r="AL381" t="s">
        <v>147</v>
      </c>
      <c r="AM381">
        <v>7185.94</v>
      </c>
      <c r="AN381" t="s">
        <v>719</v>
      </c>
      <c r="AO381" t="s">
        <v>910</v>
      </c>
      <c r="AP381" t="s">
        <v>43</v>
      </c>
    </row>
    <row r="382" spans="1:42" x14ac:dyDescent="0.3">
      <c r="A382" t="s">
        <v>39</v>
      </c>
      <c r="B382">
        <v>134</v>
      </c>
      <c r="C382" t="s">
        <v>58</v>
      </c>
      <c r="D382" t="s">
        <v>59</v>
      </c>
      <c r="E382" t="s">
        <v>987</v>
      </c>
      <c r="F382" t="s">
        <v>67</v>
      </c>
      <c r="G382" t="s">
        <v>43</v>
      </c>
      <c r="H382" t="s">
        <v>46</v>
      </c>
      <c r="I382">
        <v>21078</v>
      </c>
      <c r="J382" t="s">
        <v>59</v>
      </c>
      <c r="K382">
        <v>78</v>
      </c>
      <c r="L382" t="s">
        <v>146</v>
      </c>
      <c r="M382">
        <v>2</v>
      </c>
      <c r="N382" t="s">
        <v>134</v>
      </c>
      <c r="O382" t="s">
        <v>821</v>
      </c>
      <c r="P382">
        <v>3000</v>
      </c>
      <c r="Q382" t="s">
        <v>60</v>
      </c>
      <c r="R382" t="s">
        <v>793</v>
      </c>
      <c r="S382">
        <v>3000</v>
      </c>
      <c r="T382" t="s">
        <v>60</v>
      </c>
      <c r="U382" t="s">
        <v>760</v>
      </c>
      <c r="V382" t="s">
        <v>796</v>
      </c>
      <c r="W382" t="s">
        <v>166</v>
      </c>
      <c r="X382">
        <v>12625</v>
      </c>
      <c r="Y382" t="s">
        <v>178</v>
      </c>
      <c r="Z382" t="s">
        <v>143</v>
      </c>
      <c r="AA382" t="s">
        <v>144</v>
      </c>
      <c r="AB382" t="s">
        <v>650</v>
      </c>
      <c r="AC382" t="s">
        <v>146</v>
      </c>
      <c r="AD382">
        <v>102</v>
      </c>
      <c r="AE382">
        <v>573</v>
      </c>
      <c r="AF382">
        <v>31833</v>
      </c>
      <c r="AG382" t="s">
        <v>144</v>
      </c>
      <c r="AH382" t="s">
        <v>143</v>
      </c>
      <c r="AI382" t="s">
        <v>143</v>
      </c>
      <c r="AJ382" t="s">
        <v>143</v>
      </c>
      <c r="AK382" t="s">
        <v>143</v>
      </c>
      <c r="AL382" t="s">
        <v>147</v>
      </c>
      <c r="AM382">
        <v>7234.13</v>
      </c>
      <c r="AN382" t="s">
        <v>719</v>
      </c>
      <c r="AO382" t="s">
        <v>911</v>
      </c>
      <c r="AP382" t="s">
        <v>43</v>
      </c>
    </row>
    <row r="383" spans="1:42" x14ac:dyDescent="0.3">
      <c r="A383" t="s">
        <v>39</v>
      </c>
      <c r="B383">
        <v>215</v>
      </c>
      <c r="C383" t="s">
        <v>68</v>
      </c>
      <c r="D383" t="s">
        <v>59</v>
      </c>
      <c r="E383" t="s">
        <v>986</v>
      </c>
      <c r="F383" t="s">
        <v>45</v>
      </c>
      <c r="G383" t="s">
        <v>43</v>
      </c>
      <c r="H383" t="s">
        <v>44</v>
      </c>
      <c r="I383">
        <v>83001</v>
      </c>
      <c r="J383" t="s">
        <v>59</v>
      </c>
      <c r="K383">
        <v>1</v>
      </c>
      <c r="L383" t="s">
        <v>146</v>
      </c>
      <c r="M383">
        <v>2</v>
      </c>
      <c r="N383" t="s">
        <v>673</v>
      </c>
      <c r="O383" t="s">
        <v>160</v>
      </c>
      <c r="P383">
        <v>8200</v>
      </c>
      <c r="Q383" t="s">
        <v>840</v>
      </c>
      <c r="R383" t="s">
        <v>841</v>
      </c>
      <c r="S383">
        <v>4000</v>
      </c>
      <c r="T383" t="s">
        <v>189</v>
      </c>
      <c r="U383" t="s">
        <v>839</v>
      </c>
      <c r="V383" t="s">
        <v>844</v>
      </c>
      <c r="W383" t="s">
        <v>166</v>
      </c>
      <c r="X383">
        <v>25392</v>
      </c>
      <c r="Y383" t="s">
        <v>178</v>
      </c>
      <c r="Z383" t="s">
        <v>144</v>
      </c>
      <c r="AA383" t="s">
        <v>144</v>
      </c>
      <c r="AB383" t="s">
        <v>650</v>
      </c>
      <c r="AC383" t="s">
        <v>146</v>
      </c>
      <c r="AD383">
        <v>11</v>
      </c>
      <c r="AE383">
        <v>125</v>
      </c>
      <c r="AF383">
        <v>11692</v>
      </c>
      <c r="AG383" t="s">
        <v>144</v>
      </c>
      <c r="AH383" t="s">
        <v>143</v>
      </c>
      <c r="AI383" t="s">
        <v>143</v>
      </c>
      <c r="AJ383" t="s">
        <v>143</v>
      </c>
      <c r="AK383" t="s">
        <v>143</v>
      </c>
      <c r="AL383" t="s">
        <v>147</v>
      </c>
      <c r="AM383">
        <v>3174</v>
      </c>
      <c r="AN383" t="s">
        <v>831</v>
      </c>
      <c r="AO383" t="s">
        <v>380</v>
      </c>
      <c r="AP383" t="s">
        <v>43</v>
      </c>
    </row>
    <row r="384" spans="1:42" x14ac:dyDescent="0.3">
      <c r="A384" t="s">
        <v>39</v>
      </c>
      <c r="B384">
        <v>215</v>
      </c>
      <c r="C384" t="s">
        <v>68</v>
      </c>
      <c r="D384" t="s">
        <v>59</v>
      </c>
      <c r="E384" t="s">
        <v>986</v>
      </c>
      <c r="F384" t="s">
        <v>45</v>
      </c>
      <c r="G384" t="s">
        <v>43</v>
      </c>
      <c r="H384" t="s">
        <v>48</v>
      </c>
      <c r="I384">
        <v>62004</v>
      </c>
      <c r="J384" t="s">
        <v>59</v>
      </c>
      <c r="K384">
        <v>4</v>
      </c>
      <c r="L384" t="s">
        <v>146</v>
      </c>
      <c r="M384">
        <v>1</v>
      </c>
      <c r="N384" t="s">
        <v>134</v>
      </c>
      <c r="O384" t="s">
        <v>320</v>
      </c>
      <c r="P384">
        <v>4000</v>
      </c>
      <c r="Q384" t="s">
        <v>189</v>
      </c>
      <c r="R384" t="s">
        <v>912</v>
      </c>
      <c r="S384">
        <v>8200</v>
      </c>
      <c r="T384" t="s">
        <v>840</v>
      </c>
      <c r="U384" t="s">
        <v>841</v>
      </c>
      <c r="V384" t="s">
        <v>842</v>
      </c>
      <c r="W384" t="s">
        <v>166</v>
      </c>
      <c r="X384">
        <v>20523</v>
      </c>
      <c r="Y384" t="s">
        <v>178</v>
      </c>
      <c r="Z384" t="s">
        <v>144</v>
      </c>
      <c r="AA384" t="s">
        <v>144</v>
      </c>
      <c r="AB384" t="s">
        <v>650</v>
      </c>
      <c r="AC384" t="s">
        <v>146</v>
      </c>
      <c r="AD384">
        <v>142</v>
      </c>
      <c r="AE384">
        <v>819</v>
      </c>
      <c r="AF384">
        <v>32346</v>
      </c>
      <c r="AG384" t="s">
        <v>144</v>
      </c>
      <c r="AH384" t="s">
        <v>143</v>
      </c>
      <c r="AI384" t="s">
        <v>143</v>
      </c>
      <c r="AJ384" t="s">
        <v>143</v>
      </c>
      <c r="AK384" t="s">
        <v>143</v>
      </c>
      <c r="AL384" t="s">
        <v>147</v>
      </c>
      <c r="AM384">
        <v>16808.34</v>
      </c>
      <c r="AN384" t="s">
        <v>845</v>
      </c>
      <c r="AO384" t="s">
        <v>50</v>
      </c>
      <c r="AP384" t="s">
        <v>43</v>
      </c>
    </row>
    <row r="385" spans="1:42" x14ac:dyDescent="0.3">
      <c r="A385" t="s">
        <v>39</v>
      </c>
      <c r="B385">
        <v>120</v>
      </c>
      <c r="C385" t="s">
        <v>40</v>
      </c>
      <c r="D385" t="s">
        <v>49</v>
      </c>
      <c r="E385" t="s">
        <v>986</v>
      </c>
      <c r="F385" t="s">
        <v>45</v>
      </c>
      <c r="G385" t="s">
        <v>43</v>
      </c>
      <c r="H385" t="s">
        <v>47</v>
      </c>
      <c r="I385">
        <v>14156</v>
      </c>
      <c r="J385" t="s">
        <v>49</v>
      </c>
      <c r="K385">
        <v>156</v>
      </c>
      <c r="L385" t="s">
        <v>158</v>
      </c>
      <c r="M385">
        <v>2</v>
      </c>
      <c r="N385" t="s">
        <v>160</v>
      </c>
      <c r="O385" t="s">
        <v>532</v>
      </c>
      <c r="P385">
        <v>9800</v>
      </c>
      <c r="Q385" t="s">
        <v>182</v>
      </c>
      <c r="R385" t="s">
        <v>183</v>
      </c>
      <c r="S385">
        <v>7700</v>
      </c>
      <c r="T385" t="s">
        <v>49</v>
      </c>
      <c r="U385" t="s">
        <v>248</v>
      </c>
      <c r="V385" t="s">
        <v>253</v>
      </c>
      <c r="W385" t="s">
        <v>141</v>
      </c>
      <c r="X385">
        <v>61080</v>
      </c>
      <c r="Y385" t="s">
        <v>178</v>
      </c>
      <c r="Z385" t="s">
        <v>143</v>
      </c>
      <c r="AA385" t="s">
        <v>143</v>
      </c>
      <c r="AB385" t="s">
        <v>157</v>
      </c>
      <c r="AC385" t="s">
        <v>158</v>
      </c>
      <c r="AD385">
        <v>2</v>
      </c>
      <c r="AE385">
        <v>10</v>
      </c>
      <c r="AF385">
        <v>911</v>
      </c>
      <c r="AG385" t="s">
        <v>143</v>
      </c>
      <c r="AH385" t="s">
        <v>143</v>
      </c>
      <c r="AI385" t="s">
        <v>143</v>
      </c>
      <c r="AJ385" t="s">
        <v>143</v>
      </c>
      <c r="AK385" t="s">
        <v>143</v>
      </c>
      <c r="AL385" t="s">
        <v>147</v>
      </c>
      <c r="AM385">
        <v>610.79999999999995</v>
      </c>
      <c r="AN385" t="s">
        <v>533</v>
      </c>
      <c r="AO385" t="s">
        <v>187</v>
      </c>
      <c r="AP385" t="s">
        <v>43</v>
      </c>
    </row>
    <row r="386" spans="1:42" x14ac:dyDescent="0.3">
      <c r="A386" t="s">
        <v>39</v>
      </c>
      <c r="B386">
        <v>120</v>
      </c>
      <c r="C386" t="s">
        <v>40</v>
      </c>
      <c r="D386" t="s">
        <v>49</v>
      </c>
      <c r="E386" t="s">
        <v>986</v>
      </c>
      <c r="F386" t="s">
        <v>42</v>
      </c>
      <c r="G386" t="s">
        <v>43</v>
      </c>
      <c r="H386" t="s">
        <v>48</v>
      </c>
      <c r="I386">
        <v>13246</v>
      </c>
      <c r="J386" t="s">
        <v>49</v>
      </c>
      <c r="K386">
        <v>246</v>
      </c>
      <c r="L386" t="s">
        <v>158</v>
      </c>
      <c r="M386">
        <v>1</v>
      </c>
      <c r="N386" t="s">
        <v>134</v>
      </c>
      <c r="O386" t="s">
        <v>409</v>
      </c>
      <c r="P386">
        <v>2710</v>
      </c>
      <c r="Q386" t="s">
        <v>411</v>
      </c>
      <c r="R386" t="s">
        <v>412</v>
      </c>
      <c r="S386">
        <v>7700</v>
      </c>
      <c r="T386" t="s">
        <v>49</v>
      </c>
      <c r="U386" t="s">
        <v>410</v>
      </c>
      <c r="V386" t="s">
        <v>253</v>
      </c>
      <c r="W386" t="s">
        <v>141</v>
      </c>
      <c r="X386">
        <v>30358</v>
      </c>
      <c r="Y386" t="s">
        <v>178</v>
      </c>
      <c r="Z386" t="s">
        <v>144</v>
      </c>
      <c r="AA386" t="s">
        <v>143</v>
      </c>
      <c r="AB386" t="s">
        <v>145</v>
      </c>
      <c r="AC386" t="s">
        <v>158</v>
      </c>
      <c r="AD386">
        <v>6</v>
      </c>
      <c r="AE386">
        <v>34</v>
      </c>
      <c r="AF386">
        <v>14805</v>
      </c>
      <c r="AG386" t="s">
        <v>143</v>
      </c>
      <c r="AH386" t="s">
        <v>143</v>
      </c>
      <c r="AI386" t="s">
        <v>143</v>
      </c>
      <c r="AJ386" t="s">
        <v>143</v>
      </c>
      <c r="AK386" t="s">
        <v>143</v>
      </c>
      <c r="AL386" t="s">
        <v>147</v>
      </c>
      <c r="AM386">
        <v>1032.17</v>
      </c>
      <c r="AN386" t="s">
        <v>148</v>
      </c>
      <c r="AO386" t="s">
        <v>200</v>
      </c>
      <c r="AP386" t="s">
        <v>43</v>
      </c>
    </row>
    <row r="387" spans="1:42" x14ac:dyDescent="0.3">
      <c r="A387" t="s">
        <v>39</v>
      </c>
      <c r="B387">
        <v>120</v>
      </c>
      <c r="C387" t="s">
        <v>40</v>
      </c>
      <c r="D387" t="s">
        <v>55</v>
      </c>
      <c r="E387" t="s">
        <v>984</v>
      </c>
      <c r="F387" t="s">
        <v>45</v>
      </c>
      <c r="G387" t="s">
        <v>43</v>
      </c>
      <c r="H387" t="s">
        <v>46</v>
      </c>
      <c r="I387">
        <v>25095</v>
      </c>
      <c r="J387" t="s">
        <v>55</v>
      </c>
      <c r="K387">
        <v>95</v>
      </c>
      <c r="L387" t="s">
        <v>146</v>
      </c>
      <c r="M387">
        <v>1</v>
      </c>
      <c r="N387" t="s">
        <v>134</v>
      </c>
      <c r="O387" t="s">
        <v>278</v>
      </c>
      <c r="P387">
        <v>6700</v>
      </c>
      <c r="Q387" t="s">
        <v>55</v>
      </c>
      <c r="R387" t="s">
        <v>570</v>
      </c>
      <c r="S387">
        <v>6700</v>
      </c>
      <c r="T387" t="s">
        <v>55</v>
      </c>
      <c r="U387" t="s">
        <v>913</v>
      </c>
      <c r="V387" t="s">
        <v>914</v>
      </c>
      <c r="W387" t="s">
        <v>166</v>
      </c>
      <c r="X387">
        <v>10965</v>
      </c>
      <c r="Y387" t="s">
        <v>156</v>
      </c>
      <c r="Z387" t="s">
        <v>143</v>
      </c>
      <c r="AA387" t="s">
        <v>144</v>
      </c>
      <c r="AB387" t="s">
        <v>157</v>
      </c>
      <c r="AC387" t="s">
        <v>146</v>
      </c>
      <c r="AD387">
        <v>1</v>
      </c>
      <c r="AE387">
        <v>6</v>
      </c>
      <c r="AF387">
        <v>15695</v>
      </c>
      <c r="AG387" t="s">
        <v>143</v>
      </c>
      <c r="AH387" t="s">
        <v>143</v>
      </c>
      <c r="AI387" t="s">
        <v>143</v>
      </c>
      <c r="AJ387" t="s">
        <v>143</v>
      </c>
      <c r="AK387" t="s">
        <v>143</v>
      </c>
      <c r="AL387" t="s">
        <v>147</v>
      </c>
      <c r="AM387">
        <v>65.790000000000006</v>
      </c>
      <c r="AN387" t="s">
        <v>417</v>
      </c>
      <c r="AO387" t="s">
        <v>159</v>
      </c>
      <c r="AP387" t="s">
        <v>43</v>
      </c>
    </row>
    <row r="388" spans="1:42" x14ac:dyDescent="0.3">
      <c r="A388" t="s">
        <v>39</v>
      </c>
      <c r="B388">
        <v>120</v>
      </c>
      <c r="C388" t="s">
        <v>40</v>
      </c>
      <c r="D388" t="s">
        <v>55</v>
      </c>
      <c r="E388" t="s">
        <v>984</v>
      </c>
      <c r="F388" t="s">
        <v>45</v>
      </c>
      <c r="G388" t="s">
        <v>43</v>
      </c>
      <c r="H388" t="s">
        <v>48</v>
      </c>
      <c r="I388">
        <v>24028</v>
      </c>
      <c r="J388" t="s">
        <v>55</v>
      </c>
      <c r="K388">
        <v>28</v>
      </c>
      <c r="L388" t="s">
        <v>158</v>
      </c>
      <c r="M388">
        <v>1</v>
      </c>
      <c r="N388" t="s">
        <v>134</v>
      </c>
      <c r="O388" t="s">
        <v>704</v>
      </c>
      <c r="P388">
        <v>6700</v>
      </c>
      <c r="Q388" t="s">
        <v>55</v>
      </c>
      <c r="R388" t="s">
        <v>429</v>
      </c>
      <c r="S388">
        <v>9200</v>
      </c>
      <c r="T388" t="s">
        <v>520</v>
      </c>
      <c r="U388" t="s">
        <v>630</v>
      </c>
      <c r="V388" t="s">
        <v>631</v>
      </c>
      <c r="W388" t="s">
        <v>141</v>
      </c>
      <c r="X388">
        <v>38533</v>
      </c>
      <c r="Y388" t="s">
        <v>178</v>
      </c>
      <c r="Z388" t="s">
        <v>143</v>
      </c>
      <c r="AA388" t="s">
        <v>143</v>
      </c>
      <c r="AB388" t="s">
        <v>157</v>
      </c>
      <c r="AC388" t="s">
        <v>158</v>
      </c>
      <c r="AD388">
        <v>33</v>
      </c>
      <c r="AE388">
        <v>183</v>
      </c>
      <c r="AF388">
        <v>15589</v>
      </c>
      <c r="AG388" t="s">
        <v>143</v>
      </c>
      <c r="AH388" t="s">
        <v>143</v>
      </c>
      <c r="AI388" t="s">
        <v>143</v>
      </c>
      <c r="AJ388" t="s">
        <v>143</v>
      </c>
      <c r="AK388" t="s">
        <v>143</v>
      </c>
      <c r="AL388" t="s">
        <v>147</v>
      </c>
      <c r="AM388">
        <v>7051.54</v>
      </c>
      <c r="AN388" t="s">
        <v>417</v>
      </c>
      <c r="AO388" t="s">
        <v>50</v>
      </c>
      <c r="AP388" t="s">
        <v>43</v>
      </c>
    </row>
    <row r="389" spans="1:42" x14ac:dyDescent="0.3">
      <c r="A389" t="s">
        <v>39</v>
      </c>
      <c r="B389">
        <v>120</v>
      </c>
      <c r="C389" t="s">
        <v>40</v>
      </c>
      <c r="D389" t="s">
        <v>55</v>
      </c>
      <c r="E389" t="s">
        <v>984</v>
      </c>
      <c r="F389" t="s">
        <v>45</v>
      </c>
      <c r="G389" t="s">
        <v>43</v>
      </c>
      <c r="H389" t="s">
        <v>48</v>
      </c>
      <c r="I389">
        <v>27055</v>
      </c>
      <c r="J389" t="s">
        <v>55</v>
      </c>
      <c r="K389">
        <v>55</v>
      </c>
      <c r="L389" t="s">
        <v>158</v>
      </c>
      <c r="M389">
        <v>1</v>
      </c>
      <c r="N389" t="s">
        <v>134</v>
      </c>
      <c r="O389" t="s">
        <v>378</v>
      </c>
      <c r="P389">
        <v>6700</v>
      </c>
      <c r="Q389" t="s">
        <v>55</v>
      </c>
      <c r="R389" t="s">
        <v>429</v>
      </c>
      <c r="S389">
        <v>7500</v>
      </c>
      <c r="T389" t="s">
        <v>576</v>
      </c>
      <c r="U389" t="s">
        <v>915</v>
      </c>
      <c r="V389" t="s">
        <v>916</v>
      </c>
      <c r="W389" t="s">
        <v>141</v>
      </c>
      <c r="X389">
        <v>37189</v>
      </c>
      <c r="Y389" t="s">
        <v>178</v>
      </c>
      <c r="Z389" t="s">
        <v>143</v>
      </c>
      <c r="AA389" t="s">
        <v>143</v>
      </c>
      <c r="AB389" t="s">
        <v>157</v>
      </c>
      <c r="AC389" t="s">
        <v>158</v>
      </c>
      <c r="AD389">
        <v>16</v>
      </c>
      <c r="AE389">
        <v>87</v>
      </c>
      <c r="AF389">
        <v>15600</v>
      </c>
      <c r="AG389" t="s">
        <v>143</v>
      </c>
      <c r="AH389" t="s">
        <v>143</v>
      </c>
      <c r="AI389" t="s">
        <v>143</v>
      </c>
      <c r="AJ389" t="s">
        <v>143</v>
      </c>
      <c r="AK389" t="s">
        <v>143</v>
      </c>
      <c r="AL389" t="s">
        <v>147</v>
      </c>
      <c r="AM389">
        <v>3235.44</v>
      </c>
      <c r="AN389" t="s">
        <v>417</v>
      </c>
      <c r="AO389" t="s">
        <v>50</v>
      </c>
      <c r="AP389" t="s">
        <v>43</v>
      </c>
    </row>
    <row r="390" spans="1:42" x14ac:dyDescent="0.3">
      <c r="A390" t="s">
        <v>39</v>
      </c>
      <c r="B390">
        <v>120</v>
      </c>
      <c r="C390" t="s">
        <v>40</v>
      </c>
      <c r="D390" t="s">
        <v>55</v>
      </c>
      <c r="E390" t="s">
        <v>984</v>
      </c>
      <c r="F390" t="s">
        <v>66</v>
      </c>
      <c r="G390" t="s">
        <v>43</v>
      </c>
      <c r="H390" t="s">
        <v>48</v>
      </c>
      <c r="I390">
        <v>18059</v>
      </c>
      <c r="J390" t="s">
        <v>55</v>
      </c>
      <c r="K390">
        <v>59</v>
      </c>
      <c r="L390" t="s">
        <v>158</v>
      </c>
      <c r="M390">
        <v>2</v>
      </c>
      <c r="N390" t="s">
        <v>134</v>
      </c>
      <c r="O390" t="s">
        <v>666</v>
      </c>
      <c r="P390">
        <v>2034</v>
      </c>
      <c r="Q390" t="s">
        <v>667</v>
      </c>
      <c r="R390" t="s">
        <v>668</v>
      </c>
      <c r="S390">
        <v>6700</v>
      </c>
      <c r="T390" t="s">
        <v>55</v>
      </c>
      <c r="U390" t="s">
        <v>426</v>
      </c>
      <c r="V390" t="s">
        <v>433</v>
      </c>
      <c r="W390" t="s">
        <v>141</v>
      </c>
      <c r="X390">
        <v>30188</v>
      </c>
      <c r="Y390" t="s">
        <v>178</v>
      </c>
      <c r="Z390" t="s">
        <v>143</v>
      </c>
      <c r="AA390" t="s">
        <v>143</v>
      </c>
      <c r="AB390" t="s">
        <v>157</v>
      </c>
      <c r="AC390" t="s">
        <v>158</v>
      </c>
      <c r="AD390">
        <v>5</v>
      </c>
      <c r="AE390">
        <v>25</v>
      </c>
      <c r="AF390">
        <v>15615</v>
      </c>
      <c r="AG390" t="s">
        <v>143</v>
      </c>
      <c r="AH390" t="s">
        <v>143</v>
      </c>
      <c r="AI390" t="s">
        <v>143</v>
      </c>
      <c r="AJ390" t="s">
        <v>143</v>
      </c>
      <c r="AK390" t="s">
        <v>143</v>
      </c>
      <c r="AL390" t="s">
        <v>147</v>
      </c>
      <c r="AM390">
        <v>754.7</v>
      </c>
      <c r="AN390" t="s">
        <v>417</v>
      </c>
      <c r="AO390" t="s">
        <v>66</v>
      </c>
      <c r="AP390" t="s">
        <v>43</v>
      </c>
    </row>
    <row r="391" spans="1:42" x14ac:dyDescent="0.3">
      <c r="A391" t="s">
        <v>39</v>
      </c>
      <c r="B391">
        <v>120</v>
      </c>
      <c r="C391" t="s">
        <v>40</v>
      </c>
      <c r="D391" t="s">
        <v>55</v>
      </c>
      <c r="E391" t="s">
        <v>984</v>
      </c>
      <c r="F391" t="s">
        <v>42</v>
      </c>
      <c r="G391" t="s">
        <v>43</v>
      </c>
      <c r="H391" t="s">
        <v>44</v>
      </c>
      <c r="I391">
        <v>45025</v>
      </c>
      <c r="J391" t="s">
        <v>55</v>
      </c>
      <c r="K391">
        <v>25</v>
      </c>
      <c r="L391" t="s">
        <v>985</v>
      </c>
      <c r="M391">
        <v>1</v>
      </c>
      <c r="N391" t="s">
        <v>134</v>
      </c>
      <c r="O391" t="s">
        <v>453</v>
      </c>
      <c r="P391">
        <v>6700</v>
      </c>
      <c r="Q391" t="s">
        <v>55</v>
      </c>
      <c r="R391" t="s">
        <v>674</v>
      </c>
      <c r="S391">
        <v>199</v>
      </c>
      <c r="T391" t="s">
        <v>680</v>
      </c>
      <c r="U391" t="s">
        <v>681</v>
      </c>
      <c r="V391" t="s">
        <v>917</v>
      </c>
      <c r="W391" t="s">
        <v>141</v>
      </c>
      <c r="X391">
        <v>28162</v>
      </c>
      <c r="Y391" t="s">
        <v>178</v>
      </c>
      <c r="Z391" t="s">
        <v>143</v>
      </c>
      <c r="AA391" t="s">
        <v>143</v>
      </c>
      <c r="AB391" t="s">
        <v>145</v>
      </c>
      <c r="AC391" t="s">
        <v>158</v>
      </c>
      <c r="AD391">
        <v>6</v>
      </c>
      <c r="AE391">
        <v>33</v>
      </c>
      <c r="AF391">
        <v>20541</v>
      </c>
      <c r="AG391" t="s">
        <v>143</v>
      </c>
      <c r="AH391" t="s">
        <v>143</v>
      </c>
      <c r="AI391" t="s">
        <v>143</v>
      </c>
      <c r="AJ391" t="s">
        <v>143</v>
      </c>
      <c r="AK391" t="s">
        <v>143</v>
      </c>
      <c r="AL391" t="s">
        <v>147</v>
      </c>
      <c r="AM391">
        <v>929.35</v>
      </c>
      <c r="AN391" t="s">
        <v>683</v>
      </c>
      <c r="AO391" t="s">
        <v>918</v>
      </c>
      <c r="AP391" t="s">
        <v>43</v>
      </c>
    </row>
    <row r="392" spans="1:42" x14ac:dyDescent="0.3">
      <c r="A392" t="s">
        <v>39</v>
      </c>
      <c r="B392">
        <v>120</v>
      </c>
      <c r="C392" t="s">
        <v>40</v>
      </c>
      <c r="D392" t="s">
        <v>55</v>
      </c>
      <c r="E392" t="s">
        <v>984</v>
      </c>
      <c r="F392" t="s">
        <v>42</v>
      </c>
      <c r="G392" t="s">
        <v>43</v>
      </c>
      <c r="H392" t="s">
        <v>46</v>
      </c>
      <c r="I392">
        <v>21054</v>
      </c>
      <c r="J392" t="s">
        <v>55</v>
      </c>
      <c r="K392">
        <v>54</v>
      </c>
      <c r="L392" t="s">
        <v>985</v>
      </c>
      <c r="M392">
        <v>1</v>
      </c>
      <c r="N392" t="s">
        <v>134</v>
      </c>
      <c r="O392" t="s">
        <v>919</v>
      </c>
      <c r="P392">
        <v>6700</v>
      </c>
      <c r="Q392" t="s">
        <v>55</v>
      </c>
      <c r="R392" t="s">
        <v>429</v>
      </c>
      <c r="S392">
        <v>530</v>
      </c>
      <c r="T392" t="s">
        <v>605</v>
      </c>
      <c r="U392" t="s">
        <v>671</v>
      </c>
      <c r="V392" t="s">
        <v>672</v>
      </c>
      <c r="W392" t="s">
        <v>141</v>
      </c>
      <c r="X392">
        <v>27381</v>
      </c>
      <c r="Y392" t="s">
        <v>178</v>
      </c>
      <c r="Z392" t="s">
        <v>143</v>
      </c>
      <c r="AA392" t="s">
        <v>143</v>
      </c>
      <c r="AB392" t="s">
        <v>157</v>
      </c>
      <c r="AC392" t="s">
        <v>158</v>
      </c>
      <c r="AD392">
        <v>8</v>
      </c>
      <c r="AE392">
        <v>46</v>
      </c>
      <c r="AF392">
        <v>15598</v>
      </c>
      <c r="AG392" t="s">
        <v>143</v>
      </c>
      <c r="AH392" t="s">
        <v>143</v>
      </c>
      <c r="AI392" t="s">
        <v>143</v>
      </c>
      <c r="AJ392" t="s">
        <v>143</v>
      </c>
      <c r="AK392" t="s">
        <v>143</v>
      </c>
      <c r="AL392" t="s">
        <v>147</v>
      </c>
      <c r="AM392">
        <v>1259.53</v>
      </c>
      <c r="AN392" t="s">
        <v>417</v>
      </c>
      <c r="AO392" t="s">
        <v>858</v>
      </c>
      <c r="AP392" t="s">
        <v>43</v>
      </c>
    </row>
    <row r="393" spans="1:42" x14ac:dyDescent="0.3">
      <c r="A393" t="s">
        <v>39</v>
      </c>
      <c r="B393">
        <v>120</v>
      </c>
      <c r="C393" t="s">
        <v>40</v>
      </c>
      <c r="D393" t="s">
        <v>55</v>
      </c>
      <c r="E393" t="s">
        <v>984</v>
      </c>
      <c r="F393" t="s">
        <v>42</v>
      </c>
      <c r="G393" t="s">
        <v>43</v>
      </c>
      <c r="H393" t="s">
        <v>48</v>
      </c>
      <c r="I393">
        <v>21050</v>
      </c>
      <c r="J393" t="s">
        <v>55</v>
      </c>
      <c r="K393">
        <v>50</v>
      </c>
      <c r="L393" t="s">
        <v>985</v>
      </c>
      <c r="M393">
        <v>2</v>
      </c>
      <c r="N393" t="s">
        <v>134</v>
      </c>
      <c r="O393" t="s">
        <v>212</v>
      </c>
      <c r="P393">
        <v>993</v>
      </c>
      <c r="Q393" t="s">
        <v>920</v>
      </c>
      <c r="R393" t="s">
        <v>921</v>
      </c>
      <c r="S393">
        <v>6700</v>
      </c>
      <c r="T393" t="s">
        <v>55</v>
      </c>
      <c r="U393" t="s">
        <v>426</v>
      </c>
      <c r="V393" t="s">
        <v>433</v>
      </c>
      <c r="W393" t="s">
        <v>141</v>
      </c>
      <c r="X393">
        <v>12495</v>
      </c>
      <c r="Y393" t="s">
        <v>178</v>
      </c>
      <c r="Z393" t="s">
        <v>143</v>
      </c>
      <c r="AA393" t="s">
        <v>143</v>
      </c>
      <c r="AB393" t="s">
        <v>157</v>
      </c>
      <c r="AC393" t="s">
        <v>158</v>
      </c>
      <c r="AD393">
        <v>14</v>
      </c>
      <c r="AE393">
        <v>82</v>
      </c>
      <c r="AF393">
        <v>15653</v>
      </c>
      <c r="AG393" t="s">
        <v>143</v>
      </c>
      <c r="AH393" t="s">
        <v>143</v>
      </c>
      <c r="AI393" t="s">
        <v>143</v>
      </c>
      <c r="AJ393" t="s">
        <v>143</v>
      </c>
      <c r="AK393" t="s">
        <v>143</v>
      </c>
      <c r="AL393" t="s">
        <v>147</v>
      </c>
      <c r="AM393">
        <v>1024.5899999999999</v>
      </c>
      <c r="AN393" t="s">
        <v>417</v>
      </c>
      <c r="AO393" t="s">
        <v>691</v>
      </c>
      <c r="AP393" t="s">
        <v>43</v>
      </c>
    </row>
    <row r="394" spans="1:42" x14ac:dyDescent="0.3">
      <c r="A394" t="s">
        <v>39</v>
      </c>
      <c r="B394">
        <v>120</v>
      </c>
      <c r="C394" t="s">
        <v>40</v>
      </c>
      <c r="D394" t="s">
        <v>55</v>
      </c>
      <c r="E394" t="s">
        <v>984</v>
      </c>
      <c r="F394" t="s">
        <v>42</v>
      </c>
      <c r="G394" t="s">
        <v>43</v>
      </c>
      <c r="H394" t="s">
        <v>51</v>
      </c>
      <c r="I394">
        <v>24036</v>
      </c>
      <c r="J394" t="s">
        <v>55</v>
      </c>
      <c r="K394">
        <v>36</v>
      </c>
      <c r="L394" t="s">
        <v>985</v>
      </c>
      <c r="M394">
        <v>2</v>
      </c>
      <c r="N394" t="s">
        <v>134</v>
      </c>
      <c r="O394" t="s">
        <v>580</v>
      </c>
      <c r="P394">
        <v>1162</v>
      </c>
      <c r="Q394" t="s">
        <v>581</v>
      </c>
      <c r="R394" t="s">
        <v>581</v>
      </c>
      <c r="S394">
        <v>6700</v>
      </c>
      <c r="T394" t="s">
        <v>55</v>
      </c>
      <c r="U394" t="s">
        <v>426</v>
      </c>
      <c r="V394" t="s">
        <v>433</v>
      </c>
      <c r="W394" t="s">
        <v>141</v>
      </c>
      <c r="X394">
        <v>33675</v>
      </c>
      <c r="Y394" t="s">
        <v>178</v>
      </c>
      <c r="Z394" t="s">
        <v>143</v>
      </c>
      <c r="AA394" t="s">
        <v>143</v>
      </c>
      <c r="AB394" t="s">
        <v>145</v>
      </c>
      <c r="AC394" t="s">
        <v>158</v>
      </c>
      <c r="AD394">
        <v>6</v>
      </c>
      <c r="AE394">
        <v>34</v>
      </c>
      <c r="AF394">
        <v>15566</v>
      </c>
      <c r="AG394" t="s">
        <v>143</v>
      </c>
      <c r="AH394" t="s">
        <v>143</v>
      </c>
      <c r="AI394" t="s">
        <v>143</v>
      </c>
      <c r="AJ394" t="s">
        <v>143</v>
      </c>
      <c r="AK394" t="s">
        <v>143</v>
      </c>
      <c r="AL394" t="s">
        <v>147</v>
      </c>
      <c r="AM394">
        <v>1144.95</v>
      </c>
      <c r="AN394" t="s">
        <v>417</v>
      </c>
      <c r="AO394" t="s">
        <v>922</v>
      </c>
      <c r="AP394" t="s">
        <v>43</v>
      </c>
    </row>
    <row r="395" spans="1:42" x14ac:dyDescent="0.3">
      <c r="A395" t="s">
        <v>39</v>
      </c>
      <c r="B395">
        <v>120</v>
      </c>
      <c r="C395" t="s">
        <v>40</v>
      </c>
      <c r="D395" t="s">
        <v>55</v>
      </c>
      <c r="E395" t="s">
        <v>984</v>
      </c>
      <c r="F395" t="s">
        <v>50</v>
      </c>
      <c r="G395" t="s">
        <v>43</v>
      </c>
      <c r="H395" t="s">
        <v>48</v>
      </c>
      <c r="I395">
        <v>12850</v>
      </c>
      <c r="J395" t="s">
        <v>55</v>
      </c>
      <c r="K395">
        <v>850</v>
      </c>
      <c r="L395" t="s">
        <v>158</v>
      </c>
      <c r="M395">
        <v>1</v>
      </c>
      <c r="N395" t="s">
        <v>134</v>
      </c>
      <c r="O395" t="s">
        <v>881</v>
      </c>
      <c r="P395">
        <v>6700</v>
      </c>
      <c r="Q395" t="s">
        <v>55</v>
      </c>
      <c r="R395" t="s">
        <v>429</v>
      </c>
      <c r="S395">
        <v>3797</v>
      </c>
      <c r="T395" t="s">
        <v>559</v>
      </c>
      <c r="U395" t="s">
        <v>560</v>
      </c>
      <c r="V395" t="s">
        <v>561</v>
      </c>
      <c r="W395" t="s">
        <v>337</v>
      </c>
      <c r="X395">
        <v>154512</v>
      </c>
      <c r="Y395" t="s">
        <v>178</v>
      </c>
      <c r="Z395" t="s">
        <v>143</v>
      </c>
      <c r="AA395" t="s">
        <v>143</v>
      </c>
      <c r="AB395" t="s">
        <v>157</v>
      </c>
      <c r="AC395" t="s">
        <v>158</v>
      </c>
      <c r="AD395">
        <v>0</v>
      </c>
      <c r="AE395">
        <v>6</v>
      </c>
      <c r="AF395">
        <v>15559</v>
      </c>
      <c r="AG395" t="s">
        <v>143</v>
      </c>
      <c r="AH395" t="s">
        <v>143</v>
      </c>
      <c r="AI395" t="s">
        <v>143</v>
      </c>
      <c r="AJ395" t="s">
        <v>143</v>
      </c>
      <c r="AK395" t="s">
        <v>143</v>
      </c>
      <c r="AL395" t="s">
        <v>147</v>
      </c>
      <c r="AM395">
        <v>927.07</v>
      </c>
      <c r="AN395" t="s">
        <v>417</v>
      </c>
      <c r="AO395" t="s">
        <v>50</v>
      </c>
      <c r="AP395" t="s">
        <v>43</v>
      </c>
    </row>
    <row r="396" spans="1:42" x14ac:dyDescent="0.3">
      <c r="A396" t="s">
        <v>39</v>
      </c>
      <c r="B396">
        <v>120</v>
      </c>
      <c r="C396" t="s">
        <v>40</v>
      </c>
      <c r="D396" t="s">
        <v>55</v>
      </c>
      <c r="E396" t="s">
        <v>984</v>
      </c>
      <c r="F396" t="s">
        <v>50</v>
      </c>
      <c r="G396" t="s">
        <v>43</v>
      </c>
      <c r="H396" t="s">
        <v>48</v>
      </c>
      <c r="I396">
        <v>19039</v>
      </c>
      <c r="J396" t="s">
        <v>55</v>
      </c>
      <c r="K396">
        <v>39</v>
      </c>
      <c r="L396" t="s">
        <v>146</v>
      </c>
      <c r="M396">
        <v>2</v>
      </c>
      <c r="N396" t="s">
        <v>168</v>
      </c>
      <c r="O396" t="s">
        <v>637</v>
      </c>
      <c r="P396">
        <v>330</v>
      </c>
      <c r="Q396" t="s">
        <v>584</v>
      </c>
      <c r="R396" t="s">
        <v>585</v>
      </c>
      <c r="S396">
        <v>6700</v>
      </c>
      <c r="T396" t="s">
        <v>55</v>
      </c>
      <c r="U396" t="s">
        <v>426</v>
      </c>
      <c r="V396" t="s">
        <v>433</v>
      </c>
      <c r="W396" t="s">
        <v>166</v>
      </c>
      <c r="X396">
        <v>21889</v>
      </c>
      <c r="Y396" t="s">
        <v>178</v>
      </c>
      <c r="Z396" t="s">
        <v>143</v>
      </c>
      <c r="AA396" t="s">
        <v>144</v>
      </c>
      <c r="AB396" t="s">
        <v>157</v>
      </c>
      <c r="AC396" t="s">
        <v>146</v>
      </c>
      <c r="AD396">
        <v>16</v>
      </c>
      <c r="AE396">
        <v>93</v>
      </c>
      <c r="AF396">
        <v>23376</v>
      </c>
      <c r="AG396" t="s">
        <v>143</v>
      </c>
      <c r="AH396" t="s">
        <v>143</v>
      </c>
      <c r="AI396" t="s">
        <v>143</v>
      </c>
      <c r="AJ396" t="s">
        <v>143</v>
      </c>
      <c r="AK396" t="s">
        <v>143</v>
      </c>
      <c r="AL396" t="s">
        <v>147</v>
      </c>
      <c r="AM396">
        <v>2035.68</v>
      </c>
      <c r="AN396" t="s">
        <v>703</v>
      </c>
      <c r="AO396" t="s">
        <v>50</v>
      </c>
      <c r="AP396" t="s">
        <v>43</v>
      </c>
    </row>
    <row r="397" spans="1:42" x14ac:dyDescent="0.3">
      <c r="A397" t="s">
        <v>39</v>
      </c>
      <c r="B397">
        <v>120</v>
      </c>
      <c r="C397" t="s">
        <v>40</v>
      </c>
      <c r="D397" t="s">
        <v>55</v>
      </c>
      <c r="E397" t="s">
        <v>984</v>
      </c>
      <c r="F397" t="s">
        <v>50</v>
      </c>
      <c r="G397" t="s">
        <v>43</v>
      </c>
      <c r="H397" t="s">
        <v>48</v>
      </c>
      <c r="I397">
        <v>21054</v>
      </c>
      <c r="J397" t="s">
        <v>55</v>
      </c>
      <c r="K397">
        <v>54</v>
      </c>
      <c r="L397" t="s">
        <v>985</v>
      </c>
      <c r="M397">
        <v>2</v>
      </c>
      <c r="N397" t="s">
        <v>134</v>
      </c>
      <c r="O397" t="s">
        <v>919</v>
      </c>
      <c r="P397">
        <v>530</v>
      </c>
      <c r="Q397" t="s">
        <v>605</v>
      </c>
      <c r="R397" t="s">
        <v>606</v>
      </c>
      <c r="S397">
        <v>6700</v>
      </c>
      <c r="T397" t="s">
        <v>55</v>
      </c>
      <c r="U397" t="s">
        <v>426</v>
      </c>
      <c r="V397" t="s">
        <v>433</v>
      </c>
      <c r="W397" t="s">
        <v>141</v>
      </c>
      <c r="X397">
        <v>25982</v>
      </c>
      <c r="Y397" t="s">
        <v>178</v>
      </c>
      <c r="Z397" t="s">
        <v>143</v>
      </c>
      <c r="AA397" t="s">
        <v>143</v>
      </c>
      <c r="AB397" t="s">
        <v>157</v>
      </c>
      <c r="AC397" t="s">
        <v>158</v>
      </c>
      <c r="AD397">
        <v>7</v>
      </c>
      <c r="AE397">
        <v>40</v>
      </c>
      <c r="AF397">
        <v>15599</v>
      </c>
      <c r="AG397" t="s">
        <v>143</v>
      </c>
      <c r="AH397" t="s">
        <v>143</v>
      </c>
      <c r="AI397" t="s">
        <v>143</v>
      </c>
      <c r="AJ397" t="s">
        <v>143</v>
      </c>
      <c r="AK397" t="s">
        <v>143</v>
      </c>
      <c r="AL397" t="s">
        <v>147</v>
      </c>
      <c r="AM397">
        <v>1039.28</v>
      </c>
      <c r="AN397" t="s">
        <v>417</v>
      </c>
      <c r="AO397" t="s">
        <v>50</v>
      </c>
      <c r="AP397" t="s">
        <v>43</v>
      </c>
    </row>
    <row r="398" spans="1:42" x14ac:dyDescent="0.3">
      <c r="A398" t="s">
        <v>39</v>
      </c>
      <c r="B398">
        <v>120</v>
      </c>
      <c r="C398" t="s">
        <v>40</v>
      </c>
      <c r="D398" t="s">
        <v>55</v>
      </c>
      <c r="E398" t="s">
        <v>984</v>
      </c>
      <c r="F398" t="s">
        <v>50</v>
      </c>
      <c r="G398" t="s">
        <v>43</v>
      </c>
      <c r="H398" t="s">
        <v>48</v>
      </c>
      <c r="I398">
        <v>30016</v>
      </c>
      <c r="J398" t="s">
        <v>55</v>
      </c>
      <c r="K398">
        <v>16</v>
      </c>
      <c r="L398" t="s">
        <v>985</v>
      </c>
      <c r="M398">
        <v>1</v>
      </c>
      <c r="N398" t="s">
        <v>134</v>
      </c>
      <c r="O398" t="s">
        <v>218</v>
      </c>
      <c r="P398">
        <v>9200</v>
      </c>
      <c r="Q398" t="s">
        <v>520</v>
      </c>
      <c r="R398" t="s">
        <v>613</v>
      </c>
      <c r="S398">
        <v>295</v>
      </c>
      <c r="T398" t="s">
        <v>923</v>
      </c>
      <c r="U398" t="s">
        <v>924</v>
      </c>
      <c r="V398" t="s">
        <v>925</v>
      </c>
      <c r="W398" t="s">
        <v>141</v>
      </c>
      <c r="X398">
        <v>15875</v>
      </c>
      <c r="Y398" t="s">
        <v>142</v>
      </c>
      <c r="Z398" t="s">
        <v>143</v>
      </c>
      <c r="AA398" t="s">
        <v>143</v>
      </c>
      <c r="AB398" t="s">
        <v>145</v>
      </c>
      <c r="AC398" t="s">
        <v>158</v>
      </c>
      <c r="AD398">
        <v>6</v>
      </c>
      <c r="AE398">
        <v>35</v>
      </c>
      <c r="AF398">
        <v>875</v>
      </c>
      <c r="AG398" t="s">
        <v>143</v>
      </c>
      <c r="AH398" t="s">
        <v>143</v>
      </c>
      <c r="AI398" t="s">
        <v>143</v>
      </c>
      <c r="AJ398" t="s">
        <v>143</v>
      </c>
      <c r="AK398" t="s">
        <v>143</v>
      </c>
      <c r="AL398" t="s">
        <v>147</v>
      </c>
      <c r="AM398">
        <v>555.63</v>
      </c>
      <c r="AN398" t="s">
        <v>250</v>
      </c>
      <c r="AO398" t="s">
        <v>50</v>
      </c>
      <c r="AP398" t="s">
        <v>43</v>
      </c>
    </row>
    <row r="399" spans="1:42" x14ac:dyDescent="0.3">
      <c r="A399" t="s">
        <v>39</v>
      </c>
      <c r="B399">
        <v>120</v>
      </c>
      <c r="C399" t="s">
        <v>40</v>
      </c>
      <c r="D399" t="s">
        <v>55</v>
      </c>
      <c r="E399" t="s">
        <v>984</v>
      </c>
      <c r="F399" t="s">
        <v>50</v>
      </c>
      <c r="G399" t="s">
        <v>43</v>
      </c>
      <c r="H399" t="s">
        <v>48</v>
      </c>
      <c r="I399">
        <v>30016</v>
      </c>
      <c r="J399" t="s">
        <v>55</v>
      </c>
      <c r="K399">
        <v>16</v>
      </c>
      <c r="L399" t="s">
        <v>985</v>
      </c>
      <c r="M399">
        <v>2</v>
      </c>
      <c r="N399" t="s">
        <v>134</v>
      </c>
      <c r="O399" t="s">
        <v>218</v>
      </c>
      <c r="P399">
        <v>295</v>
      </c>
      <c r="Q399" t="s">
        <v>923</v>
      </c>
      <c r="R399" t="s">
        <v>924</v>
      </c>
      <c r="S399">
        <v>9200</v>
      </c>
      <c r="T399" t="s">
        <v>520</v>
      </c>
      <c r="U399" t="s">
        <v>610</v>
      </c>
      <c r="V399" t="s">
        <v>611</v>
      </c>
      <c r="W399" t="s">
        <v>141</v>
      </c>
      <c r="X399">
        <v>15719</v>
      </c>
      <c r="Y399" t="s">
        <v>142</v>
      </c>
      <c r="Z399" t="s">
        <v>143</v>
      </c>
      <c r="AA399" t="s">
        <v>143</v>
      </c>
      <c r="AB399" t="s">
        <v>145</v>
      </c>
      <c r="AC399" t="s">
        <v>158</v>
      </c>
      <c r="AD399">
        <v>6</v>
      </c>
      <c r="AE399">
        <v>35</v>
      </c>
      <c r="AF399">
        <v>877</v>
      </c>
      <c r="AG399" t="s">
        <v>143</v>
      </c>
      <c r="AH399" t="s">
        <v>143</v>
      </c>
      <c r="AI399" t="s">
        <v>143</v>
      </c>
      <c r="AJ399" t="s">
        <v>143</v>
      </c>
      <c r="AK399" t="s">
        <v>143</v>
      </c>
      <c r="AL399" t="s">
        <v>147</v>
      </c>
      <c r="AM399">
        <v>550.16999999999996</v>
      </c>
      <c r="AN399" t="s">
        <v>250</v>
      </c>
      <c r="AO399" t="s">
        <v>50</v>
      </c>
      <c r="AP399" t="s">
        <v>43</v>
      </c>
    </row>
    <row r="400" spans="1:42" x14ac:dyDescent="0.3">
      <c r="A400" t="s">
        <v>39</v>
      </c>
      <c r="B400">
        <v>120</v>
      </c>
      <c r="C400" t="s">
        <v>40</v>
      </c>
      <c r="D400" t="s">
        <v>55</v>
      </c>
      <c r="E400" t="s">
        <v>984</v>
      </c>
      <c r="F400" t="s">
        <v>50</v>
      </c>
      <c r="G400" t="s">
        <v>43</v>
      </c>
      <c r="H400" t="s">
        <v>48</v>
      </c>
      <c r="I400">
        <v>39005</v>
      </c>
      <c r="J400" t="s">
        <v>55</v>
      </c>
      <c r="K400">
        <v>5</v>
      </c>
      <c r="L400" t="s">
        <v>146</v>
      </c>
      <c r="M400">
        <v>1</v>
      </c>
      <c r="N400" t="s">
        <v>134</v>
      </c>
      <c r="O400" t="s">
        <v>505</v>
      </c>
      <c r="P400">
        <v>6700</v>
      </c>
      <c r="Q400" t="s">
        <v>55</v>
      </c>
      <c r="R400" t="s">
        <v>895</v>
      </c>
      <c r="S400">
        <v>6700</v>
      </c>
      <c r="T400" t="s">
        <v>55</v>
      </c>
      <c r="U400" t="s">
        <v>674</v>
      </c>
      <c r="V400" t="s">
        <v>674</v>
      </c>
      <c r="W400" t="s">
        <v>166</v>
      </c>
      <c r="X400">
        <v>19672</v>
      </c>
      <c r="Y400" t="s">
        <v>178</v>
      </c>
      <c r="Z400" t="s">
        <v>143</v>
      </c>
      <c r="AA400" t="s">
        <v>144</v>
      </c>
      <c r="AB400" t="s">
        <v>157</v>
      </c>
      <c r="AC400" t="s">
        <v>146</v>
      </c>
      <c r="AD400">
        <v>50</v>
      </c>
      <c r="AE400">
        <v>289</v>
      </c>
      <c r="AF400">
        <v>15610</v>
      </c>
      <c r="AG400" t="s">
        <v>143</v>
      </c>
      <c r="AH400" t="s">
        <v>143</v>
      </c>
      <c r="AI400" t="s">
        <v>143</v>
      </c>
      <c r="AJ400" t="s">
        <v>143</v>
      </c>
      <c r="AK400" t="s">
        <v>143</v>
      </c>
      <c r="AL400" t="s">
        <v>147</v>
      </c>
      <c r="AM400">
        <v>5685.21</v>
      </c>
      <c r="AN400" t="s">
        <v>417</v>
      </c>
      <c r="AO400" t="s">
        <v>50</v>
      </c>
      <c r="AP400" t="s">
        <v>43</v>
      </c>
    </row>
    <row r="401" spans="1:42" x14ac:dyDescent="0.3">
      <c r="A401" t="s">
        <v>39</v>
      </c>
      <c r="B401">
        <v>120</v>
      </c>
      <c r="C401" t="s">
        <v>40</v>
      </c>
      <c r="D401" t="s">
        <v>55</v>
      </c>
      <c r="E401" t="s">
        <v>984</v>
      </c>
      <c r="F401" t="s">
        <v>50</v>
      </c>
      <c r="G401" t="s">
        <v>43</v>
      </c>
      <c r="H401" t="s">
        <v>48</v>
      </c>
      <c r="I401">
        <v>39005</v>
      </c>
      <c r="J401" t="s">
        <v>55</v>
      </c>
      <c r="K401">
        <v>5</v>
      </c>
      <c r="L401" t="s">
        <v>146</v>
      </c>
      <c r="M401">
        <v>2</v>
      </c>
      <c r="N401" t="s">
        <v>134</v>
      </c>
      <c r="O401" t="s">
        <v>505</v>
      </c>
      <c r="P401">
        <v>6700</v>
      </c>
      <c r="Q401" t="s">
        <v>55</v>
      </c>
      <c r="R401" t="s">
        <v>674</v>
      </c>
      <c r="S401">
        <v>6700</v>
      </c>
      <c r="T401" t="s">
        <v>55</v>
      </c>
      <c r="U401" t="s">
        <v>705</v>
      </c>
      <c r="V401" t="s">
        <v>706</v>
      </c>
      <c r="W401" t="s">
        <v>166</v>
      </c>
      <c r="X401">
        <v>18351</v>
      </c>
      <c r="Y401" t="s">
        <v>178</v>
      </c>
      <c r="Z401" t="s">
        <v>143</v>
      </c>
      <c r="AA401" t="s">
        <v>144</v>
      </c>
      <c r="AB401" t="s">
        <v>157</v>
      </c>
      <c r="AC401" t="s">
        <v>146</v>
      </c>
      <c r="AD401">
        <v>47</v>
      </c>
      <c r="AE401">
        <v>274</v>
      </c>
      <c r="AF401">
        <v>15611</v>
      </c>
      <c r="AG401" t="s">
        <v>143</v>
      </c>
      <c r="AH401" t="s">
        <v>143</v>
      </c>
      <c r="AI401" t="s">
        <v>143</v>
      </c>
      <c r="AJ401" t="s">
        <v>143</v>
      </c>
      <c r="AK401" t="s">
        <v>143</v>
      </c>
      <c r="AL401" t="s">
        <v>147</v>
      </c>
      <c r="AM401">
        <v>5028.17</v>
      </c>
      <c r="AN401" t="s">
        <v>417</v>
      </c>
      <c r="AO401" t="s">
        <v>50</v>
      </c>
      <c r="AP401" t="s">
        <v>43</v>
      </c>
    </row>
    <row r="402" spans="1:42" x14ac:dyDescent="0.3">
      <c r="A402" t="s">
        <v>39</v>
      </c>
      <c r="B402">
        <v>120</v>
      </c>
      <c r="C402" t="s">
        <v>40</v>
      </c>
      <c r="D402" t="s">
        <v>55</v>
      </c>
      <c r="E402" t="s">
        <v>984</v>
      </c>
      <c r="F402" t="s">
        <v>50</v>
      </c>
      <c r="G402" t="s">
        <v>43</v>
      </c>
      <c r="H402" t="s">
        <v>48</v>
      </c>
      <c r="I402">
        <v>51021</v>
      </c>
      <c r="J402" t="s">
        <v>55</v>
      </c>
      <c r="K402">
        <v>21</v>
      </c>
      <c r="L402" t="s">
        <v>985</v>
      </c>
      <c r="M402">
        <v>2</v>
      </c>
      <c r="N402" t="s">
        <v>134</v>
      </c>
      <c r="O402" t="s">
        <v>271</v>
      </c>
      <c r="P402">
        <v>2016</v>
      </c>
      <c r="Q402" t="s">
        <v>638</v>
      </c>
      <c r="R402" t="s">
        <v>638</v>
      </c>
      <c r="S402">
        <v>9200</v>
      </c>
      <c r="T402" t="s">
        <v>520</v>
      </c>
      <c r="U402" t="s">
        <v>610</v>
      </c>
      <c r="V402" t="s">
        <v>611</v>
      </c>
      <c r="W402" t="s">
        <v>141</v>
      </c>
      <c r="X402">
        <v>15419</v>
      </c>
      <c r="Y402" t="s">
        <v>142</v>
      </c>
      <c r="Z402" t="s">
        <v>143</v>
      </c>
      <c r="AA402" t="s">
        <v>143</v>
      </c>
      <c r="AB402" t="s">
        <v>145</v>
      </c>
      <c r="AC402" t="s">
        <v>158</v>
      </c>
      <c r="AD402">
        <v>6</v>
      </c>
      <c r="AE402">
        <v>34</v>
      </c>
      <c r="AF402">
        <v>17844</v>
      </c>
      <c r="AG402" t="s">
        <v>143</v>
      </c>
      <c r="AH402" t="s">
        <v>143</v>
      </c>
      <c r="AI402" t="s">
        <v>143</v>
      </c>
      <c r="AJ402" t="s">
        <v>143</v>
      </c>
      <c r="AK402" t="s">
        <v>143</v>
      </c>
      <c r="AL402" t="s">
        <v>147</v>
      </c>
      <c r="AM402">
        <v>524.25</v>
      </c>
      <c r="AN402" t="s">
        <v>302</v>
      </c>
      <c r="AO402" t="s">
        <v>50</v>
      </c>
      <c r="AP402" t="s">
        <v>43</v>
      </c>
    </row>
    <row r="403" spans="1:42" x14ac:dyDescent="0.3">
      <c r="A403" t="s">
        <v>39</v>
      </c>
      <c r="B403">
        <v>120</v>
      </c>
      <c r="C403" t="s">
        <v>40</v>
      </c>
      <c r="D403" t="s">
        <v>55</v>
      </c>
      <c r="E403" t="s">
        <v>984</v>
      </c>
      <c r="F403" t="s">
        <v>50</v>
      </c>
      <c r="G403" t="s">
        <v>43</v>
      </c>
      <c r="H403" t="s">
        <v>48</v>
      </c>
      <c r="I403">
        <v>84001</v>
      </c>
      <c r="J403" t="s">
        <v>55</v>
      </c>
      <c r="K403">
        <v>1</v>
      </c>
      <c r="L403" t="s">
        <v>146</v>
      </c>
      <c r="M403">
        <v>1</v>
      </c>
      <c r="N403" t="s">
        <v>134</v>
      </c>
      <c r="O403" t="s">
        <v>160</v>
      </c>
      <c r="P403">
        <v>9200</v>
      </c>
      <c r="Q403" t="s">
        <v>520</v>
      </c>
      <c r="R403" t="s">
        <v>613</v>
      </c>
      <c r="S403">
        <v>9200</v>
      </c>
      <c r="T403" t="s">
        <v>520</v>
      </c>
      <c r="U403" t="s">
        <v>630</v>
      </c>
      <c r="V403" t="s">
        <v>896</v>
      </c>
      <c r="W403" t="s">
        <v>166</v>
      </c>
      <c r="X403">
        <v>8215</v>
      </c>
      <c r="Y403" t="s">
        <v>178</v>
      </c>
      <c r="Z403" t="s">
        <v>143</v>
      </c>
      <c r="AA403" t="s">
        <v>144</v>
      </c>
      <c r="AB403" t="s">
        <v>157</v>
      </c>
      <c r="AC403" t="s">
        <v>146</v>
      </c>
      <c r="AD403">
        <v>33</v>
      </c>
      <c r="AE403">
        <v>195</v>
      </c>
      <c r="AF403">
        <v>17840</v>
      </c>
      <c r="AG403" t="s">
        <v>143</v>
      </c>
      <c r="AH403" t="s">
        <v>143</v>
      </c>
      <c r="AI403" t="s">
        <v>143</v>
      </c>
      <c r="AJ403" t="s">
        <v>143</v>
      </c>
      <c r="AK403" t="s">
        <v>143</v>
      </c>
      <c r="AL403" t="s">
        <v>147</v>
      </c>
      <c r="AM403">
        <v>1601.93</v>
      </c>
      <c r="AN403" t="s">
        <v>302</v>
      </c>
      <c r="AO403" t="s">
        <v>50</v>
      </c>
      <c r="AP403" t="s">
        <v>43</v>
      </c>
    </row>
    <row r="404" spans="1:42" x14ac:dyDescent="0.3">
      <c r="A404" t="s">
        <v>39</v>
      </c>
      <c r="B404">
        <v>134</v>
      </c>
      <c r="C404" t="s">
        <v>58</v>
      </c>
      <c r="D404" t="s">
        <v>59</v>
      </c>
      <c r="E404" t="s">
        <v>987</v>
      </c>
      <c r="F404" t="s">
        <v>45</v>
      </c>
      <c r="G404" t="s">
        <v>43</v>
      </c>
      <c r="H404" t="s">
        <v>46</v>
      </c>
      <c r="I404">
        <v>11851</v>
      </c>
      <c r="J404" t="s">
        <v>59</v>
      </c>
      <c r="K404">
        <v>851</v>
      </c>
      <c r="L404" t="s">
        <v>146</v>
      </c>
      <c r="M404">
        <v>2</v>
      </c>
      <c r="N404" t="s">
        <v>134</v>
      </c>
      <c r="O404" t="s">
        <v>694</v>
      </c>
      <c r="P404">
        <v>3000</v>
      </c>
      <c r="Q404" t="s">
        <v>60</v>
      </c>
      <c r="R404" t="s">
        <v>808</v>
      </c>
      <c r="S404">
        <v>3000</v>
      </c>
      <c r="T404" t="s">
        <v>60</v>
      </c>
      <c r="U404" t="s">
        <v>753</v>
      </c>
      <c r="V404" t="s">
        <v>754</v>
      </c>
      <c r="W404" t="s">
        <v>166</v>
      </c>
      <c r="X404">
        <v>15804</v>
      </c>
      <c r="Y404" t="s">
        <v>156</v>
      </c>
      <c r="Z404" t="s">
        <v>143</v>
      </c>
      <c r="AA404" t="s">
        <v>144</v>
      </c>
      <c r="AB404" t="s">
        <v>157</v>
      </c>
      <c r="AC404" t="s">
        <v>146</v>
      </c>
      <c r="AD404">
        <v>2</v>
      </c>
      <c r="AE404">
        <v>12</v>
      </c>
      <c r="AF404">
        <v>30809</v>
      </c>
      <c r="AG404" t="s">
        <v>143</v>
      </c>
      <c r="AH404" t="s">
        <v>143</v>
      </c>
      <c r="AI404" t="s">
        <v>143</v>
      </c>
      <c r="AJ404" t="s">
        <v>143</v>
      </c>
      <c r="AK404" t="s">
        <v>143</v>
      </c>
      <c r="AL404" t="s">
        <v>147</v>
      </c>
      <c r="AM404">
        <v>189.65</v>
      </c>
      <c r="AN404" t="s">
        <v>758</v>
      </c>
      <c r="AO404" t="s">
        <v>810</v>
      </c>
      <c r="AP404" t="s">
        <v>43</v>
      </c>
    </row>
    <row r="405" spans="1:42" x14ac:dyDescent="0.3">
      <c r="A405" t="s">
        <v>39</v>
      </c>
      <c r="B405">
        <v>134</v>
      </c>
      <c r="C405" t="s">
        <v>58</v>
      </c>
      <c r="D405" t="s">
        <v>59</v>
      </c>
      <c r="E405" t="s">
        <v>987</v>
      </c>
      <c r="F405" t="s">
        <v>45</v>
      </c>
      <c r="G405" t="s">
        <v>43</v>
      </c>
      <c r="H405" t="s">
        <v>47</v>
      </c>
      <c r="I405">
        <v>11825</v>
      </c>
      <c r="J405" t="s">
        <v>59</v>
      </c>
      <c r="K405">
        <v>825</v>
      </c>
      <c r="L405" t="s">
        <v>146</v>
      </c>
      <c r="M405">
        <v>2</v>
      </c>
      <c r="N405" t="s">
        <v>134</v>
      </c>
      <c r="O405" t="s">
        <v>773</v>
      </c>
      <c r="P405">
        <v>3000</v>
      </c>
      <c r="Q405" t="s">
        <v>60</v>
      </c>
      <c r="R405" t="s">
        <v>732</v>
      </c>
      <c r="S405">
        <v>3000</v>
      </c>
      <c r="T405" t="s">
        <v>60</v>
      </c>
      <c r="U405" t="s">
        <v>926</v>
      </c>
      <c r="V405" t="s">
        <v>927</v>
      </c>
      <c r="W405" t="s">
        <v>166</v>
      </c>
      <c r="X405">
        <v>21643</v>
      </c>
      <c r="Y405" t="s">
        <v>156</v>
      </c>
      <c r="Z405" t="s">
        <v>143</v>
      </c>
      <c r="AA405" t="s">
        <v>144</v>
      </c>
      <c r="AB405" t="s">
        <v>650</v>
      </c>
      <c r="AC405" t="s">
        <v>146</v>
      </c>
      <c r="AD405">
        <v>1</v>
      </c>
      <c r="AE405">
        <v>5</v>
      </c>
      <c r="AF405">
        <v>31824</v>
      </c>
      <c r="AG405" t="s">
        <v>143</v>
      </c>
      <c r="AH405" t="s">
        <v>143</v>
      </c>
      <c r="AI405" t="s">
        <v>143</v>
      </c>
      <c r="AJ405" t="s">
        <v>143</v>
      </c>
      <c r="AK405" t="s">
        <v>143</v>
      </c>
      <c r="AL405" t="s">
        <v>147</v>
      </c>
      <c r="AM405">
        <v>108.22</v>
      </c>
      <c r="AN405" t="s">
        <v>719</v>
      </c>
      <c r="AO405" t="s">
        <v>587</v>
      </c>
      <c r="AP405" t="s">
        <v>43</v>
      </c>
    </row>
    <row r="406" spans="1:42" x14ac:dyDescent="0.3">
      <c r="A406" t="s">
        <v>39</v>
      </c>
      <c r="B406">
        <v>134</v>
      </c>
      <c r="C406" t="s">
        <v>58</v>
      </c>
      <c r="D406" t="s">
        <v>59</v>
      </c>
      <c r="E406" t="s">
        <v>987</v>
      </c>
      <c r="F406" t="s">
        <v>45</v>
      </c>
      <c r="G406" t="s">
        <v>43</v>
      </c>
      <c r="H406" t="s">
        <v>47</v>
      </c>
      <c r="I406">
        <v>10822</v>
      </c>
      <c r="J406" t="s">
        <v>59</v>
      </c>
      <c r="K406">
        <v>822</v>
      </c>
      <c r="L406" t="s">
        <v>146</v>
      </c>
      <c r="M406">
        <v>1</v>
      </c>
      <c r="N406" t="s">
        <v>134</v>
      </c>
      <c r="O406" t="s">
        <v>731</v>
      </c>
      <c r="P406">
        <v>3000</v>
      </c>
      <c r="Q406" t="s">
        <v>60</v>
      </c>
      <c r="R406" t="s">
        <v>789</v>
      </c>
      <c r="S406">
        <v>3000</v>
      </c>
      <c r="T406" t="s">
        <v>60</v>
      </c>
      <c r="U406" t="s">
        <v>775</v>
      </c>
      <c r="V406" t="s">
        <v>718</v>
      </c>
      <c r="W406" t="s">
        <v>166</v>
      </c>
      <c r="X406">
        <v>10706</v>
      </c>
      <c r="Y406" t="s">
        <v>156</v>
      </c>
      <c r="Z406" t="s">
        <v>143</v>
      </c>
      <c r="AA406" t="s">
        <v>144</v>
      </c>
      <c r="AB406" t="s">
        <v>157</v>
      </c>
      <c r="AC406" t="s">
        <v>146</v>
      </c>
      <c r="AD406">
        <v>1</v>
      </c>
      <c r="AE406">
        <v>5</v>
      </c>
      <c r="AF406">
        <v>31817</v>
      </c>
      <c r="AG406" t="s">
        <v>143</v>
      </c>
      <c r="AH406" t="s">
        <v>143</v>
      </c>
      <c r="AI406" t="s">
        <v>143</v>
      </c>
      <c r="AJ406" t="s">
        <v>143</v>
      </c>
      <c r="AK406" t="s">
        <v>143</v>
      </c>
      <c r="AL406" t="s">
        <v>147</v>
      </c>
      <c r="AM406">
        <v>53.53</v>
      </c>
      <c r="AN406" t="s">
        <v>719</v>
      </c>
      <c r="AO406" t="s">
        <v>776</v>
      </c>
      <c r="AP406" t="s">
        <v>43</v>
      </c>
    </row>
    <row r="407" spans="1:42" x14ac:dyDescent="0.3">
      <c r="A407" t="s">
        <v>39</v>
      </c>
      <c r="B407">
        <v>134</v>
      </c>
      <c r="C407" t="s">
        <v>58</v>
      </c>
      <c r="D407" t="s">
        <v>59</v>
      </c>
      <c r="E407" t="s">
        <v>987</v>
      </c>
      <c r="F407" t="s">
        <v>45</v>
      </c>
      <c r="G407" t="s">
        <v>43</v>
      </c>
      <c r="H407" t="s">
        <v>48</v>
      </c>
      <c r="I407">
        <v>15031</v>
      </c>
      <c r="J407" t="s">
        <v>59</v>
      </c>
      <c r="K407">
        <v>31</v>
      </c>
      <c r="L407" t="s">
        <v>146</v>
      </c>
      <c r="M407">
        <v>1</v>
      </c>
      <c r="N407" t="s">
        <v>134</v>
      </c>
      <c r="O407" t="s">
        <v>818</v>
      </c>
      <c r="P407">
        <v>3000</v>
      </c>
      <c r="Q407" t="s">
        <v>60</v>
      </c>
      <c r="R407" t="s">
        <v>727</v>
      </c>
      <c r="S407">
        <v>3000</v>
      </c>
      <c r="T407" t="s">
        <v>60</v>
      </c>
      <c r="U407" t="s">
        <v>753</v>
      </c>
      <c r="V407" t="s">
        <v>754</v>
      </c>
      <c r="W407" t="s">
        <v>166</v>
      </c>
      <c r="X407">
        <v>23586</v>
      </c>
      <c r="Y407" t="s">
        <v>178</v>
      </c>
      <c r="Z407" t="s">
        <v>143</v>
      </c>
      <c r="AA407" t="s">
        <v>144</v>
      </c>
      <c r="AB407" t="s">
        <v>650</v>
      </c>
      <c r="AC407" t="s">
        <v>146</v>
      </c>
      <c r="AD407">
        <v>73</v>
      </c>
      <c r="AE407">
        <v>426</v>
      </c>
      <c r="AF407">
        <v>33285</v>
      </c>
      <c r="AG407" t="s">
        <v>144</v>
      </c>
      <c r="AH407" t="s">
        <v>143</v>
      </c>
      <c r="AI407" t="s">
        <v>143</v>
      </c>
      <c r="AJ407" t="s">
        <v>143</v>
      </c>
      <c r="AK407" t="s">
        <v>143</v>
      </c>
      <c r="AL407" t="s">
        <v>147</v>
      </c>
      <c r="AM407">
        <v>10047.64</v>
      </c>
      <c r="AN407" t="s">
        <v>730</v>
      </c>
      <c r="AO407" t="s">
        <v>50</v>
      </c>
      <c r="AP407" t="s">
        <v>43</v>
      </c>
    </row>
    <row r="408" spans="1:42" x14ac:dyDescent="0.3">
      <c r="A408" t="s">
        <v>39</v>
      </c>
      <c r="B408">
        <v>134</v>
      </c>
      <c r="C408" t="s">
        <v>58</v>
      </c>
      <c r="D408" t="s">
        <v>59</v>
      </c>
      <c r="E408" t="s">
        <v>987</v>
      </c>
      <c r="F408" t="s">
        <v>45</v>
      </c>
      <c r="G408" t="s">
        <v>61</v>
      </c>
      <c r="H408" t="s">
        <v>46</v>
      </c>
      <c r="I408">
        <v>11931</v>
      </c>
      <c r="J408" t="s">
        <v>59</v>
      </c>
      <c r="K408">
        <v>931</v>
      </c>
      <c r="L408" t="s">
        <v>146</v>
      </c>
      <c r="M408">
        <v>1</v>
      </c>
      <c r="N408" t="s">
        <v>134</v>
      </c>
      <c r="O408" t="s">
        <v>928</v>
      </c>
      <c r="P408">
        <v>3000</v>
      </c>
      <c r="Q408" t="s">
        <v>60</v>
      </c>
      <c r="R408" t="s">
        <v>929</v>
      </c>
      <c r="S408">
        <v>3000</v>
      </c>
      <c r="T408" t="s">
        <v>60</v>
      </c>
      <c r="U408" t="s">
        <v>768</v>
      </c>
      <c r="V408" t="s">
        <v>769</v>
      </c>
      <c r="W408" t="s">
        <v>166</v>
      </c>
      <c r="X408">
        <v>15226</v>
      </c>
      <c r="Y408" t="s">
        <v>156</v>
      </c>
      <c r="Z408" t="s">
        <v>143</v>
      </c>
      <c r="AA408" t="s">
        <v>144</v>
      </c>
      <c r="AB408" t="s">
        <v>650</v>
      </c>
      <c r="AC408" t="s">
        <v>146</v>
      </c>
      <c r="AD408">
        <v>1</v>
      </c>
      <c r="AE408">
        <v>5</v>
      </c>
      <c r="AF408">
        <v>30789</v>
      </c>
      <c r="AG408" t="s">
        <v>143</v>
      </c>
      <c r="AH408" t="s">
        <v>143</v>
      </c>
      <c r="AI408" t="s">
        <v>143</v>
      </c>
      <c r="AJ408" t="s">
        <v>143</v>
      </c>
      <c r="AK408" t="s">
        <v>143</v>
      </c>
      <c r="AL408" t="s">
        <v>147</v>
      </c>
      <c r="AM408">
        <v>76.13</v>
      </c>
      <c r="AN408" t="s">
        <v>758</v>
      </c>
      <c r="AO408" t="s">
        <v>159</v>
      </c>
      <c r="AP408" t="s">
        <v>61</v>
      </c>
    </row>
    <row r="409" spans="1:42" x14ac:dyDescent="0.3">
      <c r="A409" t="s">
        <v>39</v>
      </c>
      <c r="B409">
        <v>134</v>
      </c>
      <c r="C409" t="s">
        <v>58</v>
      </c>
      <c r="D409" t="s">
        <v>59</v>
      </c>
      <c r="E409" t="s">
        <v>987</v>
      </c>
      <c r="F409" t="s">
        <v>52</v>
      </c>
      <c r="G409" t="s">
        <v>62</v>
      </c>
      <c r="H409" t="s">
        <v>63</v>
      </c>
      <c r="I409">
        <v>10163</v>
      </c>
      <c r="J409" t="s">
        <v>59</v>
      </c>
      <c r="K409">
        <v>163</v>
      </c>
      <c r="L409" t="s">
        <v>146</v>
      </c>
      <c r="M409">
        <v>1</v>
      </c>
      <c r="N409" t="s">
        <v>134</v>
      </c>
      <c r="O409" t="s">
        <v>833</v>
      </c>
      <c r="P409">
        <v>3000</v>
      </c>
      <c r="Q409" t="s">
        <v>60</v>
      </c>
      <c r="R409" t="s">
        <v>793</v>
      </c>
      <c r="S409">
        <v>3000</v>
      </c>
      <c r="T409" t="s">
        <v>60</v>
      </c>
      <c r="U409" t="s">
        <v>746</v>
      </c>
      <c r="V409" t="s">
        <v>746</v>
      </c>
      <c r="W409" t="s">
        <v>166</v>
      </c>
      <c r="X409">
        <v>12925</v>
      </c>
      <c r="Y409" t="s">
        <v>178</v>
      </c>
      <c r="Z409" t="s">
        <v>143</v>
      </c>
      <c r="AA409" t="s">
        <v>144</v>
      </c>
      <c r="AB409" t="s">
        <v>650</v>
      </c>
      <c r="AC409" t="s">
        <v>146</v>
      </c>
      <c r="AD409">
        <v>0</v>
      </c>
      <c r="AE409">
        <v>6</v>
      </c>
      <c r="AF409">
        <v>30784</v>
      </c>
      <c r="AG409" t="s">
        <v>143</v>
      </c>
      <c r="AH409" t="s">
        <v>143</v>
      </c>
      <c r="AI409" t="s">
        <v>143</v>
      </c>
      <c r="AJ409" t="s">
        <v>143</v>
      </c>
      <c r="AK409" t="s">
        <v>143</v>
      </c>
      <c r="AL409" t="s">
        <v>147</v>
      </c>
      <c r="AM409">
        <v>77.55</v>
      </c>
      <c r="AN409" t="s">
        <v>758</v>
      </c>
      <c r="AO409" t="s">
        <v>52</v>
      </c>
      <c r="AP409" t="s">
        <v>62</v>
      </c>
    </row>
    <row r="410" spans="1:42" x14ac:dyDescent="0.3">
      <c r="A410" t="s">
        <v>39</v>
      </c>
      <c r="B410">
        <v>120</v>
      </c>
      <c r="C410" t="s">
        <v>40</v>
      </c>
      <c r="D410" t="s">
        <v>49</v>
      </c>
      <c r="E410" t="s">
        <v>984</v>
      </c>
      <c r="F410" t="s">
        <v>42</v>
      </c>
      <c r="G410" t="s">
        <v>43</v>
      </c>
      <c r="H410" t="s">
        <v>48</v>
      </c>
      <c r="I410">
        <v>14413</v>
      </c>
      <c r="J410" t="s">
        <v>49</v>
      </c>
      <c r="K410">
        <v>413</v>
      </c>
      <c r="L410" t="s">
        <v>158</v>
      </c>
      <c r="M410">
        <v>1</v>
      </c>
      <c r="N410" t="s">
        <v>134</v>
      </c>
      <c r="O410" t="s">
        <v>510</v>
      </c>
      <c r="P410">
        <v>7700</v>
      </c>
      <c r="Q410" t="s">
        <v>49</v>
      </c>
      <c r="R410" t="s">
        <v>197</v>
      </c>
      <c r="S410">
        <v>1824</v>
      </c>
      <c r="T410" t="s">
        <v>511</v>
      </c>
      <c r="U410" t="s">
        <v>512</v>
      </c>
      <c r="V410" t="s">
        <v>930</v>
      </c>
      <c r="W410" t="s">
        <v>141</v>
      </c>
      <c r="X410">
        <v>50007</v>
      </c>
      <c r="Y410" t="s">
        <v>178</v>
      </c>
      <c r="Z410" t="s">
        <v>143</v>
      </c>
      <c r="AA410" t="s">
        <v>143</v>
      </c>
      <c r="AB410" t="s">
        <v>157</v>
      </c>
      <c r="AC410" t="s">
        <v>158</v>
      </c>
      <c r="AD410">
        <v>10</v>
      </c>
      <c r="AE410">
        <v>50</v>
      </c>
      <c r="AF410">
        <v>19961</v>
      </c>
      <c r="AG410" t="s">
        <v>143</v>
      </c>
      <c r="AH410" t="s">
        <v>143</v>
      </c>
      <c r="AI410" t="s">
        <v>143</v>
      </c>
      <c r="AJ410" t="s">
        <v>143</v>
      </c>
      <c r="AK410" t="s">
        <v>143</v>
      </c>
      <c r="AL410" t="s">
        <v>147</v>
      </c>
      <c r="AM410">
        <v>2500.35</v>
      </c>
      <c r="AN410" t="s">
        <v>362</v>
      </c>
      <c r="AO410" t="s">
        <v>200</v>
      </c>
      <c r="AP410" t="s">
        <v>43</v>
      </c>
    </row>
    <row r="411" spans="1:42" x14ac:dyDescent="0.3">
      <c r="A411" t="s">
        <v>39</v>
      </c>
      <c r="B411">
        <v>120</v>
      </c>
      <c r="C411" t="s">
        <v>40</v>
      </c>
      <c r="D411" t="s">
        <v>49</v>
      </c>
      <c r="E411" t="s">
        <v>984</v>
      </c>
      <c r="F411" t="s">
        <v>42</v>
      </c>
      <c r="G411" t="s">
        <v>53</v>
      </c>
      <c r="H411" t="s">
        <v>48</v>
      </c>
      <c r="I411">
        <v>12350</v>
      </c>
      <c r="J411" t="s">
        <v>49</v>
      </c>
      <c r="K411">
        <v>350</v>
      </c>
      <c r="L411" t="s">
        <v>158</v>
      </c>
      <c r="M411">
        <v>2</v>
      </c>
      <c r="N411" t="s">
        <v>202</v>
      </c>
      <c r="O411" t="s">
        <v>401</v>
      </c>
      <c r="P411">
        <v>913</v>
      </c>
      <c r="Q411" t="s">
        <v>237</v>
      </c>
      <c r="R411" t="s">
        <v>449</v>
      </c>
      <c r="S411">
        <v>7700</v>
      </c>
      <c r="T411" t="s">
        <v>49</v>
      </c>
      <c r="U411" t="s">
        <v>248</v>
      </c>
      <c r="V411" t="s">
        <v>253</v>
      </c>
      <c r="W411" t="s">
        <v>141</v>
      </c>
      <c r="X411">
        <v>28638</v>
      </c>
      <c r="Y411" t="s">
        <v>178</v>
      </c>
      <c r="Z411" t="s">
        <v>143</v>
      </c>
      <c r="AA411" t="s">
        <v>143</v>
      </c>
      <c r="AB411" t="s">
        <v>157</v>
      </c>
      <c r="AC411" t="s">
        <v>158</v>
      </c>
      <c r="AD411">
        <v>3</v>
      </c>
      <c r="AE411">
        <v>15</v>
      </c>
      <c r="AF411">
        <v>22871</v>
      </c>
      <c r="AG411" t="s">
        <v>143</v>
      </c>
      <c r="AH411" t="s">
        <v>143</v>
      </c>
      <c r="AI411" t="s">
        <v>143</v>
      </c>
      <c r="AJ411" t="s">
        <v>143</v>
      </c>
      <c r="AK411" t="s">
        <v>143</v>
      </c>
      <c r="AL411" t="s">
        <v>147</v>
      </c>
      <c r="AM411">
        <v>429.57</v>
      </c>
      <c r="AN411" t="s">
        <v>245</v>
      </c>
      <c r="AO411" t="s">
        <v>200</v>
      </c>
      <c r="AP411" t="s">
        <v>53</v>
      </c>
    </row>
    <row r="412" spans="1:42" x14ac:dyDescent="0.3">
      <c r="A412" t="s">
        <v>39</v>
      </c>
      <c r="B412">
        <v>120</v>
      </c>
      <c r="C412" t="s">
        <v>40</v>
      </c>
      <c r="D412" t="s">
        <v>49</v>
      </c>
      <c r="E412" t="s">
        <v>984</v>
      </c>
      <c r="F412" t="s">
        <v>50</v>
      </c>
      <c r="G412" t="s">
        <v>43</v>
      </c>
      <c r="H412" t="s">
        <v>48</v>
      </c>
      <c r="I412">
        <v>21047</v>
      </c>
      <c r="J412" t="s">
        <v>49</v>
      </c>
      <c r="K412">
        <v>47</v>
      </c>
      <c r="L412" t="s">
        <v>158</v>
      </c>
      <c r="M412">
        <v>2</v>
      </c>
      <c r="N412" t="s">
        <v>134</v>
      </c>
      <c r="O412" t="s">
        <v>306</v>
      </c>
      <c r="P412">
        <v>478</v>
      </c>
      <c r="Q412" t="s">
        <v>307</v>
      </c>
      <c r="R412" t="s">
        <v>308</v>
      </c>
      <c r="S412">
        <v>7700</v>
      </c>
      <c r="T412" t="s">
        <v>49</v>
      </c>
      <c r="U412" t="s">
        <v>248</v>
      </c>
      <c r="V412" t="s">
        <v>253</v>
      </c>
      <c r="W412" t="s">
        <v>141</v>
      </c>
      <c r="X412">
        <v>12050</v>
      </c>
      <c r="Y412" t="s">
        <v>178</v>
      </c>
      <c r="Z412" t="s">
        <v>143</v>
      </c>
      <c r="AA412" t="s">
        <v>143</v>
      </c>
      <c r="AB412" t="s">
        <v>145</v>
      </c>
      <c r="AC412" t="s">
        <v>158</v>
      </c>
      <c r="AD412">
        <v>18</v>
      </c>
      <c r="AE412">
        <v>115</v>
      </c>
      <c r="AF412">
        <v>10780</v>
      </c>
      <c r="AG412" t="s">
        <v>143</v>
      </c>
      <c r="AH412" t="s">
        <v>143</v>
      </c>
      <c r="AI412" t="s">
        <v>143</v>
      </c>
      <c r="AJ412" t="s">
        <v>143</v>
      </c>
      <c r="AK412" t="s">
        <v>143</v>
      </c>
      <c r="AL412" t="s">
        <v>147</v>
      </c>
      <c r="AM412">
        <v>1385.75</v>
      </c>
      <c r="AN412" t="s">
        <v>310</v>
      </c>
      <c r="AO412" t="s">
        <v>50</v>
      </c>
      <c r="AP412" t="s">
        <v>43</v>
      </c>
    </row>
    <row r="413" spans="1:42" x14ac:dyDescent="0.3">
      <c r="A413" t="s">
        <v>39</v>
      </c>
      <c r="B413">
        <v>120</v>
      </c>
      <c r="C413" t="s">
        <v>40</v>
      </c>
      <c r="D413" t="s">
        <v>49</v>
      </c>
      <c r="E413" t="s">
        <v>984</v>
      </c>
      <c r="F413" t="s">
        <v>50</v>
      </c>
      <c r="G413" t="s">
        <v>43</v>
      </c>
      <c r="H413" t="s">
        <v>48</v>
      </c>
      <c r="I413">
        <v>99005</v>
      </c>
      <c r="J413" t="s">
        <v>49</v>
      </c>
      <c r="K413">
        <v>5</v>
      </c>
      <c r="L413" t="s">
        <v>146</v>
      </c>
      <c r="M413">
        <v>1</v>
      </c>
      <c r="N413" t="s">
        <v>134</v>
      </c>
      <c r="O413" t="s">
        <v>505</v>
      </c>
      <c r="P413">
        <v>7700</v>
      </c>
      <c r="Q413" t="s">
        <v>49</v>
      </c>
      <c r="R413" t="s">
        <v>197</v>
      </c>
      <c r="S413">
        <v>7700</v>
      </c>
      <c r="T413" t="s">
        <v>49</v>
      </c>
      <c r="U413" t="s">
        <v>599</v>
      </c>
      <c r="V413" t="s">
        <v>599</v>
      </c>
      <c r="W413" t="s">
        <v>166</v>
      </c>
      <c r="X413">
        <v>12106</v>
      </c>
      <c r="Y413" t="s">
        <v>178</v>
      </c>
      <c r="Z413" t="s">
        <v>143</v>
      </c>
      <c r="AA413" t="s">
        <v>143</v>
      </c>
      <c r="AB413" t="s">
        <v>157</v>
      </c>
      <c r="AC413" t="s">
        <v>146</v>
      </c>
      <c r="AD413">
        <v>53</v>
      </c>
      <c r="AE413">
        <v>307</v>
      </c>
      <c r="AF413">
        <v>29928</v>
      </c>
      <c r="AG413" t="s">
        <v>143</v>
      </c>
      <c r="AH413" t="s">
        <v>143</v>
      </c>
      <c r="AI413" t="s">
        <v>143</v>
      </c>
      <c r="AJ413" t="s">
        <v>143</v>
      </c>
      <c r="AK413" t="s">
        <v>143</v>
      </c>
      <c r="AL413" t="s">
        <v>147</v>
      </c>
      <c r="AM413">
        <v>3716.54</v>
      </c>
      <c r="AN413" t="s">
        <v>325</v>
      </c>
      <c r="AO413" t="s">
        <v>50</v>
      </c>
      <c r="AP413" t="s">
        <v>43</v>
      </c>
    </row>
    <row r="414" spans="1:42" x14ac:dyDescent="0.3">
      <c r="A414" t="s">
        <v>39</v>
      </c>
      <c r="B414">
        <v>120</v>
      </c>
      <c r="C414" t="s">
        <v>40</v>
      </c>
      <c r="D414" t="s">
        <v>49</v>
      </c>
      <c r="E414" t="s">
        <v>986</v>
      </c>
      <c r="F414" t="s">
        <v>66</v>
      </c>
      <c r="G414" t="s">
        <v>43</v>
      </c>
      <c r="H414" t="s">
        <v>48</v>
      </c>
      <c r="I414">
        <v>12248</v>
      </c>
      <c r="J414" t="s">
        <v>49</v>
      </c>
      <c r="K414">
        <v>248</v>
      </c>
      <c r="L414" t="s">
        <v>158</v>
      </c>
      <c r="M414">
        <v>1</v>
      </c>
      <c r="N414" t="s">
        <v>134</v>
      </c>
      <c r="O414" t="s">
        <v>660</v>
      </c>
      <c r="P414">
        <v>637</v>
      </c>
      <c r="Q414" t="s">
        <v>661</v>
      </c>
      <c r="R414" t="s">
        <v>662</v>
      </c>
      <c r="S414">
        <v>4000</v>
      </c>
      <c r="T414" t="s">
        <v>189</v>
      </c>
      <c r="U414" t="s">
        <v>198</v>
      </c>
      <c r="V414" t="s">
        <v>199</v>
      </c>
      <c r="W414" t="s">
        <v>141</v>
      </c>
      <c r="X414">
        <v>45418</v>
      </c>
      <c r="Y414" t="s">
        <v>178</v>
      </c>
      <c r="Z414" t="s">
        <v>143</v>
      </c>
      <c r="AA414" t="s">
        <v>143</v>
      </c>
      <c r="AB414" t="s">
        <v>157</v>
      </c>
      <c r="AC414" t="s">
        <v>158</v>
      </c>
      <c r="AD414">
        <v>15</v>
      </c>
      <c r="AE414">
        <v>82</v>
      </c>
      <c r="AF414">
        <v>14797</v>
      </c>
      <c r="AG414" t="s">
        <v>143</v>
      </c>
      <c r="AH414" t="s">
        <v>143</v>
      </c>
      <c r="AI414" t="s">
        <v>143</v>
      </c>
      <c r="AJ414" t="s">
        <v>143</v>
      </c>
      <c r="AK414" t="s">
        <v>143</v>
      </c>
      <c r="AL414" t="s">
        <v>147</v>
      </c>
      <c r="AM414">
        <v>3724.28</v>
      </c>
      <c r="AN414" t="s">
        <v>148</v>
      </c>
      <c r="AO414" t="s">
        <v>66</v>
      </c>
      <c r="AP414" t="s">
        <v>43</v>
      </c>
    </row>
    <row r="415" spans="1:42" x14ac:dyDescent="0.3">
      <c r="A415" t="s">
        <v>39</v>
      </c>
      <c r="B415">
        <v>120</v>
      </c>
      <c r="C415" t="s">
        <v>40</v>
      </c>
      <c r="D415" t="s">
        <v>49</v>
      </c>
      <c r="E415" t="s">
        <v>986</v>
      </c>
      <c r="F415" t="s">
        <v>66</v>
      </c>
      <c r="G415" t="s">
        <v>43</v>
      </c>
      <c r="H415" t="s">
        <v>48</v>
      </c>
      <c r="I415">
        <v>12248</v>
      </c>
      <c r="J415" t="s">
        <v>49</v>
      </c>
      <c r="K415">
        <v>248</v>
      </c>
      <c r="L415" t="s">
        <v>158</v>
      </c>
      <c r="M415">
        <v>2</v>
      </c>
      <c r="N415" t="s">
        <v>134</v>
      </c>
      <c r="O415" t="s">
        <v>660</v>
      </c>
      <c r="P415">
        <v>4000</v>
      </c>
      <c r="Q415" t="s">
        <v>189</v>
      </c>
      <c r="R415" t="s">
        <v>252</v>
      </c>
      <c r="S415">
        <v>637</v>
      </c>
      <c r="T415" t="s">
        <v>661</v>
      </c>
      <c r="U415" t="s">
        <v>662</v>
      </c>
      <c r="V415" t="s">
        <v>663</v>
      </c>
      <c r="W415" t="s">
        <v>141</v>
      </c>
      <c r="X415">
        <v>45425</v>
      </c>
      <c r="Y415" t="s">
        <v>178</v>
      </c>
      <c r="Z415" t="s">
        <v>143</v>
      </c>
      <c r="AA415" t="s">
        <v>143</v>
      </c>
      <c r="AB415" t="s">
        <v>157</v>
      </c>
      <c r="AC415" t="s">
        <v>158</v>
      </c>
      <c r="AD415">
        <v>14</v>
      </c>
      <c r="AE415">
        <v>78</v>
      </c>
      <c r="AF415">
        <v>14798</v>
      </c>
      <c r="AG415" t="s">
        <v>143</v>
      </c>
      <c r="AH415" t="s">
        <v>143</v>
      </c>
      <c r="AI415" t="s">
        <v>143</v>
      </c>
      <c r="AJ415" t="s">
        <v>143</v>
      </c>
      <c r="AK415" t="s">
        <v>143</v>
      </c>
      <c r="AL415" t="s">
        <v>147</v>
      </c>
      <c r="AM415">
        <v>3543.15</v>
      </c>
      <c r="AN415" t="s">
        <v>148</v>
      </c>
      <c r="AO415" t="s">
        <v>66</v>
      </c>
      <c r="AP415" t="s">
        <v>43</v>
      </c>
    </row>
    <row r="416" spans="1:42" x14ac:dyDescent="0.3">
      <c r="A416" t="s">
        <v>39</v>
      </c>
      <c r="B416">
        <v>120</v>
      </c>
      <c r="C416" t="s">
        <v>40</v>
      </c>
      <c r="D416" t="s">
        <v>49</v>
      </c>
      <c r="E416" t="s">
        <v>986</v>
      </c>
      <c r="F416" t="s">
        <v>50</v>
      </c>
      <c r="G416" t="s">
        <v>43</v>
      </c>
      <c r="H416" t="s">
        <v>48</v>
      </c>
      <c r="I416">
        <v>22056</v>
      </c>
      <c r="J416" t="s">
        <v>49</v>
      </c>
      <c r="K416">
        <v>56</v>
      </c>
      <c r="L416" t="s">
        <v>158</v>
      </c>
      <c r="M416">
        <v>2</v>
      </c>
      <c r="N416" t="s">
        <v>134</v>
      </c>
      <c r="O416" t="s">
        <v>653</v>
      </c>
      <c r="P416">
        <v>240</v>
      </c>
      <c r="Q416" t="s">
        <v>162</v>
      </c>
      <c r="R416" t="s">
        <v>175</v>
      </c>
      <c r="S416">
        <v>7700</v>
      </c>
      <c r="T416" t="s">
        <v>49</v>
      </c>
      <c r="U416" t="s">
        <v>248</v>
      </c>
      <c r="V416" t="s">
        <v>253</v>
      </c>
      <c r="W416" t="s">
        <v>141</v>
      </c>
      <c r="X416">
        <v>41060</v>
      </c>
      <c r="Y416" t="s">
        <v>178</v>
      </c>
      <c r="Z416" t="s">
        <v>143</v>
      </c>
      <c r="AA416" t="s">
        <v>143</v>
      </c>
      <c r="AB416" t="s">
        <v>157</v>
      </c>
      <c r="AC416" t="s">
        <v>158</v>
      </c>
      <c r="AD416">
        <v>4</v>
      </c>
      <c r="AE416">
        <v>24</v>
      </c>
      <c r="AF416">
        <v>907</v>
      </c>
      <c r="AG416" t="s">
        <v>143</v>
      </c>
      <c r="AH416" t="s">
        <v>143</v>
      </c>
      <c r="AI416" t="s">
        <v>143</v>
      </c>
      <c r="AJ416" t="s">
        <v>143</v>
      </c>
      <c r="AK416" t="s">
        <v>143</v>
      </c>
      <c r="AL416" t="s">
        <v>147</v>
      </c>
      <c r="AM416">
        <v>985.44</v>
      </c>
      <c r="AN416" t="s">
        <v>250</v>
      </c>
      <c r="AO416" t="s">
        <v>50</v>
      </c>
      <c r="AP416" t="s">
        <v>43</v>
      </c>
    </row>
    <row r="417" spans="1:42" x14ac:dyDescent="0.3">
      <c r="A417" t="s">
        <v>39</v>
      </c>
      <c r="B417">
        <v>120</v>
      </c>
      <c r="C417" t="s">
        <v>40</v>
      </c>
      <c r="D417" t="s">
        <v>55</v>
      </c>
      <c r="E417" t="s">
        <v>984</v>
      </c>
      <c r="F417" t="s">
        <v>45</v>
      </c>
      <c r="G417" t="s">
        <v>43</v>
      </c>
      <c r="H417" t="s">
        <v>46</v>
      </c>
      <c r="I417">
        <v>25098</v>
      </c>
      <c r="J417" t="s">
        <v>55</v>
      </c>
      <c r="K417">
        <v>98</v>
      </c>
      <c r="L417" t="s">
        <v>146</v>
      </c>
      <c r="M417">
        <v>1</v>
      </c>
      <c r="N417" t="s">
        <v>160</v>
      </c>
      <c r="O417" t="s">
        <v>931</v>
      </c>
      <c r="P417">
        <v>6700</v>
      </c>
      <c r="Q417" t="s">
        <v>55</v>
      </c>
      <c r="R417" t="s">
        <v>540</v>
      </c>
      <c r="S417">
        <v>6700</v>
      </c>
      <c r="T417" t="s">
        <v>55</v>
      </c>
      <c r="U417" t="s">
        <v>913</v>
      </c>
      <c r="V417" t="s">
        <v>914</v>
      </c>
      <c r="W417" t="s">
        <v>166</v>
      </c>
      <c r="X417">
        <v>10644</v>
      </c>
      <c r="Y417" t="s">
        <v>156</v>
      </c>
      <c r="Z417" t="s">
        <v>143</v>
      </c>
      <c r="AA417" t="s">
        <v>144</v>
      </c>
      <c r="AB417" t="s">
        <v>157</v>
      </c>
      <c r="AC417" t="s">
        <v>146</v>
      </c>
      <c r="AD417">
        <v>1</v>
      </c>
      <c r="AE417">
        <v>6</v>
      </c>
      <c r="AF417">
        <v>8952</v>
      </c>
      <c r="AG417" t="s">
        <v>143</v>
      </c>
      <c r="AH417" t="s">
        <v>143</v>
      </c>
      <c r="AI417" t="s">
        <v>143</v>
      </c>
      <c r="AJ417" t="s">
        <v>143</v>
      </c>
      <c r="AK417" t="s">
        <v>143</v>
      </c>
      <c r="AL417" t="s">
        <v>147</v>
      </c>
      <c r="AM417">
        <v>63.86</v>
      </c>
      <c r="AN417" t="s">
        <v>932</v>
      </c>
      <c r="AO417" t="s">
        <v>159</v>
      </c>
      <c r="AP417" t="s">
        <v>43</v>
      </c>
    </row>
    <row r="418" spans="1:42" x14ac:dyDescent="0.3">
      <c r="A418" t="s">
        <v>39</v>
      </c>
      <c r="B418">
        <v>120</v>
      </c>
      <c r="C418" t="s">
        <v>40</v>
      </c>
      <c r="D418" t="s">
        <v>55</v>
      </c>
      <c r="E418" t="s">
        <v>984</v>
      </c>
      <c r="F418" t="s">
        <v>45</v>
      </c>
      <c r="G418" t="s">
        <v>43</v>
      </c>
      <c r="H418" t="s">
        <v>46</v>
      </c>
      <c r="I418">
        <v>26075</v>
      </c>
      <c r="J418" t="s">
        <v>55</v>
      </c>
      <c r="K418">
        <v>75</v>
      </c>
      <c r="L418" t="s">
        <v>146</v>
      </c>
      <c r="M418">
        <v>1</v>
      </c>
      <c r="N418" t="s">
        <v>134</v>
      </c>
      <c r="O418" t="s">
        <v>207</v>
      </c>
      <c r="P418">
        <v>6700</v>
      </c>
      <c r="Q418" t="s">
        <v>55</v>
      </c>
      <c r="R418" t="s">
        <v>933</v>
      </c>
      <c r="S418">
        <v>6700</v>
      </c>
      <c r="T418" t="s">
        <v>55</v>
      </c>
      <c r="U418" t="s">
        <v>414</v>
      </c>
      <c r="V418" t="s">
        <v>414</v>
      </c>
      <c r="W418" t="s">
        <v>166</v>
      </c>
      <c r="X418">
        <v>10218</v>
      </c>
      <c r="Y418" t="s">
        <v>156</v>
      </c>
      <c r="Z418" t="s">
        <v>143</v>
      </c>
      <c r="AA418" t="s">
        <v>144</v>
      </c>
      <c r="AB418" t="s">
        <v>157</v>
      </c>
      <c r="AC418" t="s">
        <v>146</v>
      </c>
      <c r="AD418">
        <v>1</v>
      </c>
      <c r="AE418">
        <v>6</v>
      </c>
      <c r="AF418">
        <v>15679</v>
      </c>
      <c r="AG418" t="s">
        <v>143</v>
      </c>
      <c r="AH418" t="s">
        <v>143</v>
      </c>
      <c r="AI418" t="s">
        <v>143</v>
      </c>
      <c r="AJ418" t="s">
        <v>143</v>
      </c>
      <c r="AK418" t="s">
        <v>143</v>
      </c>
      <c r="AL418" t="s">
        <v>147</v>
      </c>
      <c r="AM418">
        <v>61.31</v>
      </c>
      <c r="AN418" t="s">
        <v>417</v>
      </c>
      <c r="AO418" t="s">
        <v>159</v>
      </c>
      <c r="AP418" t="s">
        <v>43</v>
      </c>
    </row>
    <row r="419" spans="1:42" x14ac:dyDescent="0.3">
      <c r="A419" t="s">
        <v>39</v>
      </c>
      <c r="B419">
        <v>120</v>
      </c>
      <c r="C419" t="s">
        <v>40</v>
      </c>
      <c r="D419" t="s">
        <v>55</v>
      </c>
      <c r="E419" t="s">
        <v>984</v>
      </c>
      <c r="F419" t="s">
        <v>45</v>
      </c>
      <c r="G419" t="s">
        <v>43</v>
      </c>
      <c r="H419" t="s">
        <v>46</v>
      </c>
      <c r="I419">
        <v>27020</v>
      </c>
      <c r="J419" t="s">
        <v>55</v>
      </c>
      <c r="K419">
        <v>20</v>
      </c>
      <c r="L419" t="s">
        <v>985</v>
      </c>
      <c r="M419">
        <v>2</v>
      </c>
      <c r="N419" t="s">
        <v>134</v>
      </c>
      <c r="O419" t="s">
        <v>513</v>
      </c>
      <c r="P419">
        <v>1821</v>
      </c>
      <c r="Q419" t="s">
        <v>419</v>
      </c>
      <c r="R419" t="s">
        <v>572</v>
      </c>
      <c r="S419">
        <v>6700</v>
      </c>
      <c r="T419" t="s">
        <v>55</v>
      </c>
      <c r="U419" t="s">
        <v>546</v>
      </c>
      <c r="V419" t="s">
        <v>934</v>
      </c>
      <c r="W419" t="s">
        <v>141</v>
      </c>
      <c r="X419">
        <v>21645</v>
      </c>
      <c r="Y419" t="s">
        <v>156</v>
      </c>
      <c r="Z419" t="s">
        <v>143</v>
      </c>
      <c r="AA419" t="s">
        <v>143</v>
      </c>
      <c r="AB419" t="s">
        <v>157</v>
      </c>
      <c r="AC419" t="s">
        <v>158</v>
      </c>
      <c r="AD419">
        <v>1</v>
      </c>
      <c r="AE419">
        <v>5</v>
      </c>
      <c r="AF419">
        <v>16157</v>
      </c>
      <c r="AG419" t="s">
        <v>143</v>
      </c>
      <c r="AH419" t="s">
        <v>143</v>
      </c>
      <c r="AI419" t="s">
        <v>143</v>
      </c>
      <c r="AJ419" t="s">
        <v>143</v>
      </c>
      <c r="AK419" t="s">
        <v>143</v>
      </c>
      <c r="AL419" t="s">
        <v>147</v>
      </c>
      <c r="AM419">
        <v>108.23</v>
      </c>
      <c r="AN419" t="s">
        <v>868</v>
      </c>
      <c r="AO419" t="s">
        <v>159</v>
      </c>
      <c r="AP419" t="s">
        <v>43</v>
      </c>
    </row>
    <row r="420" spans="1:42" x14ac:dyDescent="0.3">
      <c r="A420" t="s">
        <v>39</v>
      </c>
      <c r="B420">
        <v>120</v>
      </c>
      <c r="C420" t="s">
        <v>40</v>
      </c>
      <c r="D420" t="s">
        <v>55</v>
      </c>
      <c r="E420" t="s">
        <v>984</v>
      </c>
      <c r="F420" t="s">
        <v>45</v>
      </c>
      <c r="G420" t="s">
        <v>43</v>
      </c>
      <c r="H420" t="s">
        <v>48</v>
      </c>
      <c r="I420">
        <v>33006</v>
      </c>
      <c r="J420" t="s">
        <v>55</v>
      </c>
      <c r="K420">
        <v>6</v>
      </c>
      <c r="L420" t="s">
        <v>146</v>
      </c>
      <c r="M420">
        <v>1</v>
      </c>
      <c r="N420" t="s">
        <v>134</v>
      </c>
      <c r="O420" t="s">
        <v>424</v>
      </c>
      <c r="P420">
        <v>6700</v>
      </c>
      <c r="Q420" t="s">
        <v>55</v>
      </c>
      <c r="R420" t="s">
        <v>429</v>
      </c>
      <c r="S420">
        <v>6700</v>
      </c>
      <c r="T420" t="s">
        <v>55</v>
      </c>
      <c r="U420" t="s">
        <v>425</v>
      </c>
      <c r="V420" t="s">
        <v>877</v>
      </c>
      <c r="W420" t="s">
        <v>166</v>
      </c>
      <c r="X420">
        <v>13291</v>
      </c>
      <c r="Y420" t="s">
        <v>178</v>
      </c>
      <c r="Z420" t="s">
        <v>143</v>
      </c>
      <c r="AA420" t="s">
        <v>144</v>
      </c>
      <c r="AB420" t="s">
        <v>157</v>
      </c>
      <c r="AC420" t="s">
        <v>146</v>
      </c>
      <c r="AD420">
        <v>45</v>
      </c>
      <c r="AE420">
        <v>250</v>
      </c>
      <c r="AF420">
        <v>15580</v>
      </c>
      <c r="AG420" t="s">
        <v>143</v>
      </c>
      <c r="AH420" t="s">
        <v>143</v>
      </c>
      <c r="AI420" t="s">
        <v>143</v>
      </c>
      <c r="AJ420" t="s">
        <v>143</v>
      </c>
      <c r="AK420" t="s">
        <v>143</v>
      </c>
      <c r="AL420" t="s">
        <v>147</v>
      </c>
      <c r="AM420">
        <v>3322.75</v>
      </c>
      <c r="AN420" t="s">
        <v>417</v>
      </c>
      <c r="AO420" t="s">
        <v>50</v>
      </c>
      <c r="AP420" t="s">
        <v>43</v>
      </c>
    </row>
    <row r="421" spans="1:42" x14ac:dyDescent="0.3">
      <c r="A421" t="s">
        <v>39</v>
      </c>
      <c r="B421">
        <v>120</v>
      </c>
      <c r="C421" t="s">
        <v>40</v>
      </c>
      <c r="D421" t="s">
        <v>55</v>
      </c>
      <c r="E421" t="s">
        <v>984</v>
      </c>
      <c r="F421" t="s">
        <v>42</v>
      </c>
      <c r="G421" t="s">
        <v>43</v>
      </c>
      <c r="H421" t="s">
        <v>47</v>
      </c>
      <c r="I421">
        <v>21050</v>
      </c>
      <c r="J421" t="s">
        <v>55</v>
      </c>
      <c r="K421">
        <v>50</v>
      </c>
      <c r="L421" t="s">
        <v>985</v>
      </c>
      <c r="M421">
        <v>1</v>
      </c>
      <c r="N421" t="s">
        <v>134</v>
      </c>
      <c r="O421" t="s">
        <v>212</v>
      </c>
      <c r="P421">
        <v>6700</v>
      </c>
      <c r="Q421" t="s">
        <v>55</v>
      </c>
      <c r="R421" t="s">
        <v>429</v>
      </c>
      <c r="S421">
        <v>993</v>
      </c>
      <c r="T421" t="s">
        <v>920</v>
      </c>
      <c r="U421" t="s">
        <v>921</v>
      </c>
      <c r="V421" t="s">
        <v>935</v>
      </c>
      <c r="W421" t="s">
        <v>141</v>
      </c>
      <c r="X421">
        <v>14017</v>
      </c>
      <c r="Y421" t="s">
        <v>178</v>
      </c>
      <c r="Z421" t="s">
        <v>143</v>
      </c>
      <c r="AA421" t="s">
        <v>143</v>
      </c>
      <c r="AB421" t="s">
        <v>157</v>
      </c>
      <c r="AC421" t="s">
        <v>158</v>
      </c>
      <c r="AD421">
        <v>13</v>
      </c>
      <c r="AE421">
        <v>74</v>
      </c>
      <c r="AF421">
        <v>15652</v>
      </c>
      <c r="AG421" t="s">
        <v>143</v>
      </c>
      <c r="AH421" t="s">
        <v>143</v>
      </c>
      <c r="AI421" t="s">
        <v>143</v>
      </c>
      <c r="AJ421" t="s">
        <v>143</v>
      </c>
      <c r="AK421" t="s">
        <v>143</v>
      </c>
      <c r="AL421" t="s">
        <v>147</v>
      </c>
      <c r="AM421">
        <v>1037.26</v>
      </c>
      <c r="AN421" t="s">
        <v>417</v>
      </c>
      <c r="AO421" t="s">
        <v>552</v>
      </c>
      <c r="AP421" t="s">
        <v>43</v>
      </c>
    </row>
    <row r="422" spans="1:42" x14ac:dyDescent="0.3">
      <c r="A422" t="s">
        <v>39</v>
      </c>
      <c r="B422">
        <v>120</v>
      </c>
      <c r="C422" t="s">
        <v>40</v>
      </c>
      <c r="D422" t="s">
        <v>55</v>
      </c>
      <c r="E422" t="s">
        <v>984</v>
      </c>
      <c r="F422" t="s">
        <v>42</v>
      </c>
      <c r="G422" t="s">
        <v>43</v>
      </c>
      <c r="H422" t="s">
        <v>46</v>
      </c>
      <c r="I422">
        <v>19042</v>
      </c>
      <c r="J422" t="s">
        <v>55</v>
      </c>
      <c r="K422">
        <v>42</v>
      </c>
      <c r="L422" t="s">
        <v>985</v>
      </c>
      <c r="M422">
        <v>1</v>
      </c>
      <c r="N422" t="s">
        <v>134</v>
      </c>
      <c r="O422" t="s">
        <v>522</v>
      </c>
      <c r="P422">
        <v>6700</v>
      </c>
      <c r="Q422" t="s">
        <v>55</v>
      </c>
      <c r="R422" t="s">
        <v>429</v>
      </c>
      <c r="S422">
        <v>786</v>
      </c>
      <c r="T422" t="s">
        <v>685</v>
      </c>
      <c r="U422" t="s">
        <v>686</v>
      </c>
      <c r="V422" t="s">
        <v>936</v>
      </c>
      <c r="W422" t="s">
        <v>141</v>
      </c>
      <c r="X422">
        <v>14809</v>
      </c>
      <c r="Y422" t="s">
        <v>178</v>
      </c>
      <c r="Z422" t="s">
        <v>143</v>
      </c>
      <c r="AA422" t="s">
        <v>143</v>
      </c>
      <c r="AB422" t="s">
        <v>145</v>
      </c>
      <c r="AC422" t="s">
        <v>158</v>
      </c>
      <c r="AD422">
        <v>6</v>
      </c>
      <c r="AE422">
        <v>34</v>
      </c>
      <c r="AF422">
        <v>15596</v>
      </c>
      <c r="AG422" t="s">
        <v>143</v>
      </c>
      <c r="AH422" t="s">
        <v>143</v>
      </c>
      <c r="AI422" t="s">
        <v>143</v>
      </c>
      <c r="AJ422" t="s">
        <v>143</v>
      </c>
      <c r="AK422" t="s">
        <v>143</v>
      </c>
      <c r="AL422" t="s">
        <v>147</v>
      </c>
      <c r="AM422">
        <v>503.51</v>
      </c>
      <c r="AN422" t="s">
        <v>417</v>
      </c>
      <c r="AO422" t="s">
        <v>42</v>
      </c>
      <c r="AP422" t="s">
        <v>43</v>
      </c>
    </row>
    <row r="423" spans="1:42" x14ac:dyDescent="0.3">
      <c r="A423" t="s">
        <v>39</v>
      </c>
      <c r="B423">
        <v>120</v>
      </c>
      <c r="C423" t="s">
        <v>40</v>
      </c>
      <c r="D423" t="s">
        <v>55</v>
      </c>
      <c r="E423" t="s">
        <v>984</v>
      </c>
      <c r="F423" t="s">
        <v>42</v>
      </c>
      <c r="G423" t="s">
        <v>43</v>
      </c>
      <c r="H423" t="s">
        <v>51</v>
      </c>
      <c r="I423">
        <v>19039</v>
      </c>
      <c r="J423" t="s">
        <v>55</v>
      </c>
      <c r="K423">
        <v>39</v>
      </c>
      <c r="L423" t="s">
        <v>146</v>
      </c>
      <c r="M423">
        <v>1</v>
      </c>
      <c r="N423" t="s">
        <v>160</v>
      </c>
      <c r="O423" t="s">
        <v>637</v>
      </c>
      <c r="P423">
        <v>6700</v>
      </c>
      <c r="Q423" t="s">
        <v>55</v>
      </c>
      <c r="R423" t="s">
        <v>429</v>
      </c>
      <c r="S423">
        <v>330</v>
      </c>
      <c r="T423" t="s">
        <v>584</v>
      </c>
      <c r="U423" t="s">
        <v>585</v>
      </c>
      <c r="V423" t="s">
        <v>586</v>
      </c>
      <c r="W423" t="s">
        <v>166</v>
      </c>
      <c r="X423">
        <v>29573</v>
      </c>
      <c r="Y423" t="s">
        <v>178</v>
      </c>
      <c r="Z423" t="s">
        <v>143</v>
      </c>
      <c r="AA423" t="s">
        <v>144</v>
      </c>
      <c r="AB423" t="s">
        <v>157</v>
      </c>
      <c r="AC423" t="s">
        <v>146</v>
      </c>
      <c r="AD423">
        <v>3</v>
      </c>
      <c r="AE423">
        <v>16</v>
      </c>
      <c r="AF423">
        <v>8887</v>
      </c>
      <c r="AG423" t="s">
        <v>143</v>
      </c>
      <c r="AH423" t="s">
        <v>143</v>
      </c>
      <c r="AI423" t="s">
        <v>143</v>
      </c>
      <c r="AJ423" t="s">
        <v>143</v>
      </c>
      <c r="AK423" t="s">
        <v>143</v>
      </c>
      <c r="AL423" t="s">
        <v>147</v>
      </c>
      <c r="AM423">
        <v>473.17</v>
      </c>
      <c r="AN423" t="s">
        <v>932</v>
      </c>
      <c r="AO423" t="s">
        <v>879</v>
      </c>
      <c r="AP423" t="s">
        <v>43</v>
      </c>
    </row>
    <row r="424" spans="1:42" x14ac:dyDescent="0.3">
      <c r="A424" t="s">
        <v>39</v>
      </c>
      <c r="B424">
        <v>120</v>
      </c>
      <c r="C424" t="s">
        <v>40</v>
      </c>
      <c r="D424" t="s">
        <v>55</v>
      </c>
      <c r="E424" t="s">
        <v>984</v>
      </c>
      <c r="F424" t="s">
        <v>57</v>
      </c>
      <c r="G424" t="s">
        <v>43</v>
      </c>
      <c r="H424" t="s">
        <v>46</v>
      </c>
      <c r="I424">
        <v>47084</v>
      </c>
      <c r="J424" t="s">
        <v>55</v>
      </c>
      <c r="K424">
        <v>84</v>
      </c>
      <c r="L424" t="s">
        <v>146</v>
      </c>
      <c r="M424">
        <v>2</v>
      </c>
      <c r="N424" t="s">
        <v>134</v>
      </c>
      <c r="O424" t="s">
        <v>692</v>
      </c>
      <c r="P424">
        <v>6700</v>
      </c>
      <c r="Q424" t="s">
        <v>55</v>
      </c>
      <c r="R424" t="s">
        <v>589</v>
      </c>
      <c r="S424">
        <v>6700</v>
      </c>
      <c r="T424" t="s">
        <v>55</v>
      </c>
      <c r="U424" t="s">
        <v>937</v>
      </c>
      <c r="V424" t="s">
        <v>938</v>
      </c>
      <c r="W424" t="s">
        <v>166</v>
      </c>
      <c r="X424">
        <v>4125</v>
      </c>
      <c r="Y424" t="s">
        <v>156</v>
      </c>
      <c r="Z424" t="s">
        <v>143</v>
      </c>
      <c r="AA424" t="s">
        <v>144</v>
      </c>
      <c r="AB424" t="s">
        <v>157</v>
      </c>
      <c r="AC424" t="s">
        <v>146</v>
      </c>
      <c r="AD424">
        <v>1</v>
      </c>
      <c r="AE424">
        <v>6</v>
      </c>
      <c r="AF424">
        <v>15742</v>
      </c>
      <c r="AG424" t="s">
        <v>143</v>
      </c>
      <c r="AH424" t="s">
        <v>143</v>
      </c>
      <c r="AI424" t="s">
        <v>143</v>
      </c>
      <c r="AJ424" t="s">
        <v>143</v>
      </c>
      <c r="AK424" t="s">
        <v>143</v>
      </c>
      <c r="AL424" t="s">
        <v>147</v>
      </c>
      <c r="AM424">
        <v>24.75</v>
      </c>
      <c r="AN424" t="s">
        <v>417</v>
      </c>
      <c r="AO424" t="s">
        <v>159</v>
      </c>
      <c r="AP424" t="s">
        <v>43</v>
      </c>
    </row>
    <row r="425" spans="1:42" x14ac:dyDescent="0.3">
      <c r="A425" t="s">
        <v>39</v>
      </c>
      <c r="B425">
        <v>120</v>
      </c>
      <c r="C425" t="s">
        <v>40</v>
      </c>
      <c r="D425" t="s">
        <v>55</v>
      </c>
      <c r="E425" t="s">
        <v>984</v>
      </c>
      <c r="F425" t="s">
        <v>50</v>
      </c>
      <c r="G425" t="s">
        <v>43</v>
      </c>
      <c r="H425" t="s">
        <v>48</v>
      </c>
      <c r="I425">
        <v>11849</v>
      </c>
      <c r="J425" t="s">
        <v>55</v>
      </c>
      <c r="K425">
        <v>849</v>
      </c>
      <c r="L425" t="s">
        <v>158</v>
      </c>
      <c r="M425">
        <v>2</v>
      </c>
      <c r="N425" t="s">
        <v>134</v>
      </c>
      <c r="O425" t="s">
        <v>697</v>
      </c>
      <c r="P425">
        <v>3730</v>
      </c>
      <c r="Q425" t="s">
        <v>333</v>
      </c>
      <c r="R425" t="s">
        <v>334</v>
      </c>
      <c r="S425">
        <v>6700</v>
      </c>
      <c r="T425" t="s">
        <v>55</v>
      </c>
      <c r="U425" t="s">
        <v>426</v>
      </c>
      <c r="V425" t="s">
        <v>433</v>
      </c>
      <c r="W425" t="s">
        <v>337</v>
      </c>
      <c r="X425">
        <v>172864</v>
      </c>
      <c r="Y425" t="s">
        <v>178</v>
      </c>
      <c r="Z425" t="s">
        <v>143</v>
      </c>
      <c r="AA425" t="s">
        <v>143</v>
      </c>
      <c r="AB425" t="s">
        <v>157</v>
      </c>
      <c r="AC425" t="s">
        <v>158</v>
      </c>
      <c r="AD425">
        <v>0</v>
      </c>
      <c r="AE425">
        <v>7</v>
      </c>
      <c r="AF425">
        <v>15716</v>
      </c>
      <c r="AG425" t="s">
        <v>143</v>
      </c>
      <c r="AH425" t="s">
        <v>143</v>
      </c>
      <c r="AI425" t="s">
        <v>143</v>
      </c>
      <c r="AJ425" t="s">
        <v>143</v>
      </c>
      <c r="AK425" t="s">
        <v>143</v>
      </c>
      <c r="AL425" t="s">
        <v>147</v>
      </c>
      <c r="AM425">
        <v>1210.05</v>
      </c>
      <c r="AN425" t="s">
        <v>417</v>
      </c>
      <c r="AO425" t="s">
        <v>50</v>
      </c>
      <c r="AP425" t="s">
        <v>43</v>
      </c>
    </row>
    <row r="426" spans="1:42" x14ac:dyDescent="0.3">
      <c r="A426" t="s">
        <v>39</v>
      </c>
      <c r="B426">
        <v>134</v>
      </c>
      <c r="C426" t="s">
        <v>58</v>
      </c>
      <c r="D426" t="s">
        <v>59</v>
      </c>
      <c r="E426" t="s">
        <v>987</v>
      </c>
      <c r="F426" t="s">
        <v>52</v>
      </c>
      <c r="G426" t="s">
        <v>62</v>
      </c>
      <c r="H426" t="s">
        <v>63</v>
      </c>
      <c r="I426">
        <v>14506</v>
      </c>
      <c r="J426" t="s">
        <v>59</v>
      </c>
      <c r="K426">
        <v>506</v>
      </c>
      <c r="L426" t="s">
        <v>146</v>
      </c>
      <c r="M426">
        <v>2</v>
      </c>
      <c r="N426" t="s">
        <v>134</v>
      </c>
      <c r="O426" t="s">
        <v>786</v>
      </c>
      <c r="P426">
        <v>3000</v>
      </c>
      <c r="Q426" t="s">
        <v>60</v>
      </c>
      <c r="R426" t="s">
        <v>939</v>
      </c>
      <c r="S426">
        <v>3000</v>
      </c>
      <c r="T426" t="s">
        <v>60</v>
      </c>
      <c r="U426" t="s">
        <v>790</v>
      </c>
      <c r="V426" t="s">
        <v>791</v>
      </c>
      <c r="W426" t="s">
        <v>166</v>
      </c>
      <c r="X426">
        <v>20781</v>
      </c>
      <c r="Y426" t="s">
        <v>178</v>
      </c>
      <c r="Z426" t="s">
        <v>143</v>
      </c>
      <c r="AA426" t="s">
        <v>144</v>
      </c>
      <c r="AB426" t="s">
        <v>157</v>
      </c>
      <c r="AC426" t="s">
        <v>146</v>
      </c>
      <c r="AD426">
        <v>0</v>
      </c>
      <c r="AE426">
        <v>86</v>
      </c>
      <c r="AF426">
        <v>23533</v>
      </c>
      <c r="AG426" t="s">
        <v>144</v>
      </c>
      <c r="AH426" t="s">
        <v>143</v>
      </c>
      <c r="AI426" t="s">
        <v>143</v>
      </c>
      <c r="AJ426" t="s">
        <v>143</v>
      </c>
      <c r="AK426" t="s">
        <v>143</v>
      </c>
      <c r="AL426" t="s">
        <v>147</v>
      </c>
      <c r="AM426">
        <v>1787.17</v>
      </c>
      <c r="AN426" t="s">
        <v>200</v>
      </c>
      <c r="AO426" t="s">
        <v>52</v>
      </c>
      <c r="AP426" t="s">
        <v>62</v>
      </c>
    </row>
    <row r="427" spans="1:42" x14ac:dyDescent="0.3">
      <c r="A427" t="s">
        <v>39</v>
      </c>
      <c r="B427">
        <v>134</v>
      </c>
      <c r="C427" t="s">
        <v>58</v>
      </c>
      <c r="D427" t="s">
        <v>59</v>
      </c>
      <c r="E427" t="s">
        <v>987</v>
      </c>
      <c r="F427" t="s">
        <v>52</v>
      </c>
      <c r="G427" t="s">
        <v>62</v>
      </c>
      <c r="H427" t="s">
        <v>63</v>
      </c>
      <c r="I427">
        <v>17072</v>
      </c>
      <c r="J427" t="s">
        <v>59</v>
      </c>
      <c r="K427">
        <v>72</v>
      </c>
      <c r="L427" t="s">
        <v>146</v>
      </c>
      <c r="M427">
        <v>1</v>
      </c>
      <c r="N427" t="s">
        <v>134</v>
      </c>
      <c r="O427" t="s">
        <v>836</v>
      </c>
      <c r="P427">
        <v>3000</v>
      </c>
      <c r="Q427" t="s">
        <v>60</v>
      </c>
      <c r="R427" t="s">
        <v>727</v>
      </c>
      <c r="S427">
        <v>3000</v>
      </c>
      <c r="T427" t="s">
        <v>60</v>
      </c>
      <c r="U427" t="s">
        <v>753</v>
      </c>
      <c r="V427" t="s">
        <v>754</v>
      </c>
      <c r="W427" t="s">
        <v>166</v>
      </c>
      <c r="X427">
        <v>19564</v>
      </c>
      <c r="Y427" t="s">
        <v>178</v>
      </c>
      <c r="Z427" t="s">
        <v>143</v>
      </c>
      <c r="AA427" t="s">
        <v>144</v>
      </c>
      <c r="AB427" t="s">
        <v>650</v>
      </c>
      <c r="AC427" t="s">
        <v>146</v>
      </c>
      <c r="AD427">
        <v>0</v>
      </c>
      <c r="AE427">
        <v>209</v>
      </c>
      <c r="AF427">
        <v>34119</v>
      </c>
      <c r="AG427" t="s">
        <v>144</v>
      </c>
      <c r="AH427" t="s">
        <v>143</v>
      </c>
      <c r="AI427" t="s">
        <v>143</v>
      </c>
      <c r="AJ427" t="s">
        <v>143</v>
      </c>
      <c r="AK427" t="s">
        <v>143</v>
      </c>
      <c r="AL427" t="s">
        <v>147</v>
      </c>
      <c r="AM427">
        <v>4088.88</v>
      </c>
      <c r="AN427" t="s">
        <v>645</v>
      </c>
      <c r="AO427" t="s">
        <v>52</v>
      </c>
      <c r="AP427" t="s">
        <v>62</v>
      </c>
    </row>
    <row r="428" spans="1:42" x14ac:dyDescent="0.3">
      <c r="A428" t="s">
        <v>39</v>
      </c>
      <c r="B428">
        <v>134</v>
      </c>
      <c r="C428" t="s">
        <v>58</v>
      </c>
      <c r="D428" t="s">
        <v>59</v>
      </c>
      <c r="E428" t="s">
        <v>987</v>
      </c>
      <c r="F428" t="s">
        <v>52</v>
      </c>
      <c r="G428" t="s">
        <v>62</v>
      </c>
      <c r="H428" t="s">
        <v>63</v>
      </c>
      <c r="I428">
        <v>21078</v>
      </c>
      <c r="J428" t="s">
        <v>59</v>
      </c>
      <c r="K428">
        <v>78</v>
      </c>
      <c r="L428" t="s">
        <v>146</v>
      </c>
      <c r="M428">
        <v>1</v>
      </c>
      <c r="N428" t="s">
        <v>134</v>
      </c>
      <c r="O428" t="s">
        <v>821</v>
      </c>
      <c r="P428">
        <v>3000</v>
      </c>
      <c r="Q428" t="s">
        <v>60</v>
      </c>
      <c r="R428" t="s">
        <v>760</v>
      </c>
      <c r="S428">
        <v>3000</v>
      </c>
      <c r="T428" t="s">
        <v>60</v>
      </c>
      <c r="U428" t="s">
        <v>825</v>
      </c>
      <c r="V428" t="s">
        <v>826</v>
      </c>
      <c r="W428" t="s">
        <v>166</v>
      </c>
      <c r="X428">
        <v>12696</v>
      </c>
      <c r="Y428" t="s">
        <v>178</v>
      </c>
      <c r="Z428" t="s">
        <v>143</v>
      </c>
      <c r="AA428" t="s">
        <v>144</v>
      </c>
      <c r="AB428" t="s">
        <v>650</v>
      </c>
      <c r="AC428" t="s">
        <v>146</v>
      </c>
      <c r="AD428">
        <v>0</v>
      </c>
      <c r="AE428">
        <v>141</v>
      </c>
      <c r="AF428">
        <v>31831</v>
      </c>
      <c r="AG428" t="s">
        <v>144</v>
      </c>
      <c r="AH428" t="s">
        <v>143</v>
      </c>
      <c r="AI428" t="s">
        <v>143</v>
      </c>
      <c r="AJ428" t="s">
        <v>143</v>
      </c>
      <c r="AK428" t="s">
        <v>143</v>
      </c>
      <c r="AL428" t="s">
        <v>147</v>
      </c>
      <c r="AM428">
        <v>1790.14</v>
      </c>
      <c r="AN428" t="s">
        <v>719</v>
      </c>
      <c r="AO428" t="s">
        <v>52</v>
      </c>
      <c r="AP428" t="s">
        <v>62</v>
      </c>
    </row>
    <row r="429" spans="1:42" x14ac:dyDescent="0.3">
      <c r="A429" t="s">
        <v>39</v>
      </c>
      <c r="B429">
        <v>134</v>
      </c>
      <c r="C429" t="s">
        <v>58</v>
      </c>
      <c r="D429" t="s">
        <v>59</v>
      </c>
      <c r="E429" t="s">
        <v>987</v>
      </c>
      <c r="F429" t="s">
        <v>64</v>
      </c>
      <c r="G429" t="s">
        <v>43</v>
      </c>
      <c r="H429" t="s">
        <v>48</v>
      </c>
      <c r="I429">
        <v>10163</v>
      </c>
      <c r="J429" t="s">
        <v>59</v>
      </c>
      <c r="K429">
        <v>163</v>
      </c>
      <c r="L429" t="s">
        <v>146</v>
      </c>
      <c r="M429">
        <v>2</v>
      </c>
      <c r="N429" t="s">
        <v>134</v>
      </c>
      <c r="O429" t="s">
        <v>833</v>
      </c>
      <c r="P429">
        <v>3000</v>
      </c>
      <c r="Q429" t="s">
        <v>60</v>
      </c>
      <c r="R429" t="s">
        <v>746</v>
      </c>
      <c r="S429">
        <v>3000</v>
      </c>
      <c r="T429" t="s">
        <v>60</v>
      </c>
      <c r="U429" t="s">
        <v>825</v>
      </c>
      <c r="V429" t="s">
        <v>826</v>
      </c>
      <c r="W429" t="s">
        <v>166</v>
      </c>
      <c r="X429">
        <v>11079</v>
      </c>
      <c r="Y429" t="s">
        <v>178</v>
      </c>
      <c r="Z429" t="s">
        <v>143</v>
      </c>
      <c r="AA429" t="s">
        <v>144</v>
      </c>
      <c r="AB429" t="s">
        <v>650</v>
      </c>
      <c r="AC429" t="s">
        <v>146</v>
      </c>
      <c r="AD429">
        <v>9</v>
      </c>
      <c r="AE429">
        <v>54</v>
      </c>
      <c r="AF429">
        <v>30785</v>
      </c>
      <c r="AG429" t="s">
        <v>143</v>
      </c>
      <c r="AH429" t="s">
        <v>143</v>
      </c>
      <c r="AI429" t="s">
        <v>143</v>
      </c>
      <c r="AJ429" t="s">
        <v>143</v>
      </c>
      <c r="AK429" t="s">
        <v>143</v>
      </c>
      <c r="AL429" t="s">
        <v>147</v>
      </c>
      <c r="AM429">
        <v>598.27</v>
      </c>
      <c r="AN429" t="s">
        <v>758</v>
      </c>
      <c r="AO429" t="s">
        <v>50</v>
      </c>
      <c r="AP429" t="s">
        <v>43</v>
      </c>
    </row>
    <row r="430" spans="1:42" x14ac:dyDescent="0.3">
      <c r="A430" t="s">
        <v>39</v>
      </c>
      <c r="B430">
        <v>134</v>
      </c>
      <c r="C430" t="s">
        <v>58</v>
      </c>
      <c r="D430" t="s">
        <v>59</v>
      </c>
      <c r="E430" t="s">
        <v>987</v>
      </c>
      <c r="F430" t="s">
        <v>64</v>
      </c>
      <c r="G430" t="s">
        <v>43</v>
      </c>
      <c r="H430" t="s">
        <v>48</v>
      </c>
      <c r="I430">
        <v>31077</v>
      </c>
      <c r="J430" t="s">
        <v>59</v>
      </c>
      <c r="K430">
        <v>77</v>
      </c>
      <c r="L430" t="s">
        <v>146</v>
      </c>
      <c r="M430">
        <v>2</v>
      </c>
      <c r="N430" t="s">
        <v>134</v>
      </c>
      <c r="O430" t="s">
        <v>656</v>
      </c>
      <c r="P430">
        <v>3000</v>
      </c>
      <c r="Q430" t="s">
        <v>60</v>
      </c>
      <c r="R430" t="s">
        <v>747</v>
      </c>
      <c r="S430">
        <v>3000</v>
      </c>
      <c r="T430" t="s">
        <v>60</v>
      </c>
      <c r="U430" t="s">
        <v>756</v>
      </c>
      <c r="V430" t="s">
        <v>757</v>
      </c>
      <c r="W430" t="s">
        <v>166</v>
      </c>
      <c r="X430">
        <v>12906</v>
      </c>
      <c r="Y430" t="s">
        <v>178</v>
      </c>
      <c r="Z430" t="s">
        <v>143</v>
      </c>
      <c r="AA430" t="s">
        <v>144</v>
      </c>
      <c r="AB430" t="s">
        <v>650</v>
      </c>
      <c r="AC430" t="s">
        <v>146</v>
      </c>
      <c r="AD430">
        <v>61</v>
      </c>
      <c r="AE430">
        <v>359</v>
      </c>
      <c r="AF430">
        <v>30796</v>
      </c>
      <c r="AG430" t="s">
        <v>144</v>
      </c>
      <c r="AH430" t="s">
        <v>143</v>
      </c>
      <c r="AI430" t="s">
        <v>143</v>
      </c>
      <c r="AJ430" t="s">
        <v>143</v>
      </c>
      <c r="AK430" t="s">
        <v>143</v>
      </c>
      <c r="AL430" t="s">
        <v>147</v>
      </c>
      <c r="AM430">
        <v>4633.25</v>
      </c>
      <c r="AN430" t="s">
        <v>758</v>
      </c>
      <c r="AO430" t="s">
        <v>50</v>
      </c>
      <c r="AP430" t="s">
        <v>43</v>
      </c>
    </row>
    <row r="431" spans="1:42" x14ac:dyDescent="0.3">
      <c r="A431" t="s">
        <v>39</v>
      </c>
      <c r="B431">
        <v>134</v>
      </c>
      <c r="C431" t="s">
        <v>58</v>
      </c>
      <c r="D431" t="s">
        <v>59</v>
      </c>
      <c r="E431" t="s">
        <v>987</v>
      </c>
      <c r="F431" t="s">
        <v>64</v>
      </c>
      <c r="G431" t="s">
        <v>65</v>
      </c>
      <c r="H431" t="s">
        <v>63</v>
      </c>
      <c r="I431">
        <v>18074</v>
      </c>
      <c r="J431" t="s">
        <v>59</v>
      </c>
      <c r="K431">
        <v>74</v>
      </c>
      <c r="L431" t="s">
        <v>146</v>
      </c>
      <c r="M431">
        <v>1</v>
      </c>
      <c r="N431" t="s">
        <v>134</v>
      </c>
      <c r="O431" t="s">
        <v>257</v>
      </c>
      <c r="P431">
        <v>3000</v>
      </c>
      <c r="Q431" t="s">
        <v>60</v>
      </c>
      <c r="R431" t="s">
        <v>749</v>
      </c>
      <c r="S431">
        <v>3000</v>
      </c>
      <c r="T431" t="s">
        <v>60</v>
      </c>
      <c r="U431" t="s">
        <v>834</v>
      </c>
      <c r="V431" t="s">
        <v>734</v>
      </c>
      <c r="W431" t="s">
        <v>166</v>
      </c>
      <c r="X431">
        <v>20670</v>
      </c>
      <c r="Y431" t="s">
        <v>178</v>
      </c>
      <c r="Z431" t="s">
        <v>143</v>
      </c>
      <c r="AA431" t="s">
        <v>144</v>
      </c>
      <c r="AB431" t="s">
        <v>650</v>
      </c>
      <c r="AC431" t="s">
        <v>146</v>
      </c>
      <c r="AD431">
        <v>82</v>
      </c>
      <c r="AE431">
        <v>476</v>
      </c>
      <c r="AF431">
        <v>30726</v>
      </c>
      <c r="AG431" t="s">
        <v>144</v>
      </c>
      <c r="AH431" t="s">
        <v>143</v>
      </c>
      <c r="AI431" t="s">
        <v>143</v>
      </c>
      <c r="AJ431" t="s">
        <v>143</v>
      </c>
      <c r="AK431" t="s">
        <v>143</v>
      </c>
      <c r="AL431" t="s">
        <v>147</v>
      </c>
      <c r="AM431">
        <v>9838.92</v>
      </c>
      <c r="AN431" t="s">
        <v>200</v>
      </c>
      <c r="AO431" t="s">
        <v>64</v>
      </c>
      <c r="AP431" t="s">
        <v>65</v>
      </c>
    </row>
    <row r="432" spans="1:42" x14ac:dyDescent="0.3">
      <c r="A432" t="s">
        <v>39</v>
      </c>
      <c r="B432">
        <v>134</v>
      </c>
      <c r="C432" t="s">
        <v>58</v>
      </c>
      <c r="D432" t="s">
        <v>59</v>
      </c>
      <c r="E432" t="s">
        <v>987</v>
      </c>
      <c r="F432" t="s">
        <v>64</v>
      </c>
      <c r="G432" t="s">
        <v>65</v>
      </c>
      <c r="H432" t="s">
        <v>63</v>
      </c>
      <c r="I432">
        <v>21078</v>
      </c>
      <c r="J432" t="s">
        <v>59</v>
      </c>
      <c r="K432">
        <v>78</v>
      </c>
      <c r="L432" t="s">
        <v>146</v>
      </c>
      <c r="M432">
        <v>2</v>
      </c>
      <c r="N432" t="s">
        <v>160</v>
      </c>
      <c r="O432" t="s">
        <v>792</v>
      </c>
      <c r="P432">
        <v>3000</v>
      </c>
      <c r="Q432" t="s">
        <v>60</v>
      </c>
      <c r="R432" t="s">
        <v>793</v>
      </c>
      <c r="S432">
        <v>3000</v>
      </c>
      <c r="T432" t="s">
        <v>60</v>
      </c>
      <c r="U432" t="s">
        <v>794</v>
      </c>
      <c r="V432" t="s">
        <v>795</v>
      </c>
      <c r="W432" t="s">
        <v>166</v>
      </c>
      <c r="X432">
        <v>13305</v>
      </c>
      <c r="Y432" t="s">
        <v>178</v>
      </c>
      <c r="Z432" t="s">
        <v>143</v>
      </c>
      <c r="AA432" t="s">
        <v>144</v>
      </c>
      <c r="AB432" t="s">
        <v>650</v>
      </c>
      <c r="AC432" t="s">
        <v>146</v>
      </c>
      <c r="AD432">
        <v>15</v>
      </c>
      <c r="AE432">
        <v>87</v>
      </c>
      <c r="AF432">
        <v>31834</v>
      </c>
      <c r="AG432" t="s">
        <v>144</v>
      </c>
      <c r="AH432" t="s">
        <v>143</v>
      </c>
      <c r="AI432" t="s">
        <v>143</v>
      </c>
      <c r="AJ432" t="s">
        <v>143</v>
      </c>
      <c r="AK432" t="s">
        <v>143</v>
      </c>
      <c r="AL432" t="s">
        <v>147</v>
      </c>
      <c r="AM432">
        <v>1157.54</v>
      </c>
      <c r="AN432" t="s">
        <v>719</v>
      </c>
      <c r="AO432" t="s">
        <v>64</v>
      </c>
      <c r="AP432" t="s">
        <v>65</v>
      </c>
    </row>
    <row r="433" spans="1:42" x14ac:dyDescent="0.3">
      <c r="A433" t="s">
        <v>39</v>
      </c>
      <c r="B433">
        <v>134</v>
      </c>
      <c r="C433" t="s">
        <v>58</v>
      </c>
      <c r="D433" t="s">
        <v>59</v>
      </c>
      <c r="E433" t="s">
        <v>987</v>
      </c>
      <c r="F433" t="s">
        <v>67</v>
      </c>
      <c r="G433" t="s">
        <v>43</v>
      </c>
      <c r="H433" t="s">
        <v>44</v>
      </c>
      <c r="I433">
        <v>21078</v>
      </c>
      <c r="J433" t="s">
        <v>59</v>
      </c>
      <c r="K433">
        <v>78</v>
      </c>
      <c r="L433" t="s">
        <v>146</v>
      </c>
      <c r="M433">
        <v>1</v>
      </c>
      <c r="N433" t="s">
        <v>160</v>
      </c>
      <c r="O433" t="s">
        <v>821</v>
      </c>
      <c r="P433">
        <v>3000</v>
      </c>
      <c r="Q433" t="s">
        <v>60</v>
      </c>
      <c r="R433" t="s">
        <v>794</v>
      </c>
      <c r="S433">
        <v>3000</v>
      </c>
      <c r="T433" t="s">
        <v>60</v>
      </c>
      <c r="U433" t="s">
        <v>825</v>
      </c>
      <c r="V433" t="s">
        <v>826</v>
      </c>
      <c r="W433" t="s">
        <v>166</v>
      </c>
      <c r="X433">
        <v>13287</v>
      </c>
      <c r="Y433" t="s">
        <v>178</v>
      </c>
      <c r="Z433" t="s">
        <v>143</v>
      </c>
      <c r="AA433" t="s">
        <v>144</v>
      </c>
      <c r="AB433" t="s">
        <v>650</v>
      </c>
      <c r="AC433" t="s">
        <v>146</v>
      </c>
      <c r="AD433">
        <v>14</v>
      </c>
      <c r="AE433">
        <v>84</v>
      </c>
      <c r="AF433">
        <v>31832</v>
      </c>
      <c r="AG433" t="s">
        <v>144</v>
      </c>
      <c r="AH433" t="s">
        <v>143</v>
      </c>
      <c r="AI433" t="s">
        <v>143</v>
      </c>
      <c r="AJ433" t="s">
        <v>143</v>
      </c>
      <c r="AK433" t="s">
        <v>143</v>
      </c>
      <c r="AL433" t="s">
        <v>147</v>
      </c>
      <c r="AM433">
        <v>1116.1099999999999</v>
      </c>
      <c r="AN433" t="s">
        <v>719</v>
      </c>
      <c r="AO433" t="s">
        <v>910</v>
      </c>
      <c r="AP433" t="s">
        <v>43</v>
      </c>
    </row>
    <row r="434" spans="1:42" x14ac:dyDescent="0.3">
      <c r="A434" t="s">
        <v>39</v>
      </c>
      <c r="B434">
        <v>134</v>
      </c>
      <c r="C434" t="s">
        <v>58</v>
      </c>
      <c r="D434" t="s">
        <v>59</v>
      </c>
      <c r="E434" t="s">
        <v>987</v>
      </c>
      <c r="F434" t="s">
        <v>67</v>
      </c>
      <c r="G434" t="s">
        <v>43</v>
      </c>
      <c r="H434" t="s">
        <v>46</v>
      </c>
      <c r="I434">
        <v>21078</v>
      </c>
      <c r="J434" t="s">
        <v>59</v>
      </c>
      <c r="K434">
        <v>78</v>
      </c>
      <c r="L434" t="s">
        <v>146</v>
      </c>
      <c r="M434">
        <v>2</v>
      </c>
      <c r="N434" t="s">
        <v>160</v>
      </c>
      <c r="O434" t="s">
        <v>792</v>
      </c>
      <c r="P434">
        <v>3000</v>
      </c>
      <c r="Q434" t="s">
        <v>60</v>
      </c>
      <c r="R434" t="s">
        <v>793</v>
      </c>
      <c r="S434">
        <v>3000</v>
      </c>
      <c r="T434" t="s">
        <v>60</v>
      </c>
      <c r="U434" t="s">
        <v>794</v>
      </c>
      <c r="V434" t="s">
        <v>795</v>
      </c>
      <c r="W434" t="s">
        <v>166</v>
      </c>
      <c r="X434">
        <v>13305</v>
      </c>
      <c r="Y434" t="s">
        <v>178</v>
      </c>
      <c r="Z434" t="s">
        <v>143</v>
      </c>
      <c r="AA434" t="s">
        <v>144</v>
      </c>
      <c r="AB434" t="s">
        <v>650</v>
      </c>
      <c r="AC434" t="s">
        <v>146</v>
      </c>
      <c r="AD434">
        <v>15</v>
      </c>
      <c r="AE434">
        <v>89</v>
      </c>
      <c r="AF434">
        <v>31834</v>
      </c>
      <c r="AG434" t="s">
        <v>144</v>
      </c>
      <c r="AH434" t="s">
        <v>143</v>
      </c>
      <c r="AI434" t="s">
        <v>143</v>
      </c>
      <c r="AJ434" t="s">
        <v>143</v>
      </c>
      <c r="AK434" t="s">
        <v>143</v>
      </c>
      <c r="AL434" t="s">
        <v>147</v>
      </c>
      <c r="AM434">
        <v>1184.1500000000001</v>
      </c>
      <c r="AN434" t="s">
        <v>719</v>
      </c>
      <c r="AO434" t="s">
        <v>911</v>
      </c>
      <c r="AP434" t="s">
        <v>43</v>
      </c>
    </row>
    <row r="435" spans="1:42" x14ac:dyDescent="0.3">
      <c r="A435" t="s">
        <v>39</v>
      </c>
      <c r="B435">
        <v>120</v>
      </c>
      <c r="C435" t="s">
        <v>40</v>
      </c>
      <c r="D435" t="s">
        <v>55</v>
      </c>
      <c r="E435" t="s">
        <v>984</v>
      </c>
      <c r="F435" t="s">
        <v>50</v>
      </c>
      <c r="G435" t="s">
        <v>43</v>
      </c>
      <c r="H435" t="s">
        <v>48</v>
      </c>
      <c r="I435">
        <v>28017</v>
      </c>
      <c r="J435" t="s">
        <v>55</v>
      </c>
      <c r="K435">
        <v>17</v>
      </c>
      <c r="L435" t="s">
        <v>985</v>
      </c>
      <c r="M435">
        <v>2</v>
      </c>
      <c r="N435" t="s">
        <v>134</v>
      </c>
      <c r="O435" t="s">
        <v>801</v>
      </c>
      <c r="P435">
        <v>268</v>
      </c>
      <c r="Q435" t="s">
        <v>802</v>
      </c>
      <c r="R435" t="s">
        <v>802</v>
      </c>
      <c r="S435">
        <v>9200</v>
      </c>
      <c r="T435" t="s">
        <v>520</v>
      </c>
      <c r="U435" t="s">
        <v>610</v>
      </c>
      <c r="V435" t="s">
        <v>611</v>
      </c>
      <c r="W435" t="s">
        <v>141</v>
      </c>
      <c r="X435">
        <v>16169</v>
      </c>
      <c r="Y435" t="s">
        <v>142</v>
      </c>
      <c r="Z435" t="s">
        <v>143</v>
      </c>
      <c r="AA435" t="s">
        <v>143</v>
      </c>
      <c r="AB435" t="s">
        <v>145</v>
      </c>
      <c r="AC435" t="s">
        <v>158</v>
      </c>
      <c r="AD435">
        <v>6</v>
      </c>
      <c r="AE435">
        <v>35</v>
      </c>
      <c r="AF435">
        <v>10817</v>
      </c>
      <c r="AG435" t="s">
        <v>143</v>
      </c>
      <c r="AH435" t="s">
        <v>143</v>
      </c>
      <c r="AI435" t="s">
        <v>143</v>
      </c>
      <c r="AJ435" t="s">
        <v>143</v>
      </c>
      <c r="AK435" t="s">
        <v>143</v>
      </c>
      <c r="AL435" t="s">
        <v>147</v>
      </c>
      <c r="AM435">
        <v>565.91999999999996</v>
      </c>
      <c r="AN435" t="s">
        <v>437</v>
      </c>
      <c r="AO435" t="s">
        <v>50</v>
      </c>
      <c r="AP435" t="s">
        <v>43</v>
      </c>
    </row>
    <row r="436" spans="1:42" x14ac:dyDescent="0.3">
      <c r="A436" t="s">
        <v>39</v>
      </c>
      <c r="B436">
        <v>120</v>
      </c>
      <c r="C436" t="s">
        <v>40</v>
      </c>
      <c r="D436" t="s">
        <v>55</v>
      </c>
      <c r="E436" t="s">
        <v>984</v>
      </c>
      <c r="F436" t="s">
        <v>50</v>
      </c>
      <c r="G436" t="s">
        <v>43</v>
      </c>
      <c r="H436" t="s">
        <v>48</v>
      </c>
      <c r="I436">
        <v>42023</v>
      </c>
      <c r="J436" t="s">
        <v>55</v>
      </c>
      <c r="K436">
        <v>23</v>
      </c>
      <c r="L436" t="s">
        <v>985</v>
      </c>
      <c r="M436">
        <v>1</v>
      </c>
      <c r="N436" t="s">
        <v>134</v>
      </c>
      <c r="O436" t="s">
        <v>713</v>
      </c>
      <c r="P436">
        <v>6700</v>
      </c>
      <c r="Q436" t="s">
        <v>55</v>
      </c>
      <c r="R436" t="s">
        <v>429</v>
      </c>
      <c r="S436">
        <v>719</v>
      </c>
      <c r="T436" t="s">
        <v>714</v>
      </c>
      <c r="U436" t="s">
        <v>714</v>
      </c>
      <c r="V436" t="s">
        <v>940</v>
      </c>
      <c r="W436" t="s">
        <v>141</v>
      </c>
      <c r="X436">
        <v>21207</v>
      </c>
      <c r="Y436" t="s">
        <v>178</v>
      </c>
      <c r="Z436" t="s">
        <v>143</v>
      </c>
      <c r="AA436" t="s">
        <v>143</v>
      </c>
      <c r="AB436" t="s">
        <v>157</v>
      </c>
      <c r="AC436" t="s">
        <v>158</v>
      </c>
      <c r="AD436">
        <v>6</v>
      </c>
      <c r="AE436">
        <v>32</v>
      </c>
      <c r="AF436">
        <v>15473</v>
      </c>
      <c r="AG436" t="s">
        <v>143</v>
      </c>
      <c r="AH436" t="s">
        <v>143</v>
      </c>
      <c r="AI436" t="s">
        <v>143</v>
      </c>
      <c r="AJ436" t="s">
        <v>143</v>
      </c>
      <c r="AK436" t="s">
        <v>143</v>
      </c>
      <c r="AL436" t="s">
        <v>147</v>
      </c>
      <c r="AM436">
        <v>678.62</v>
      </c>
      <c r="AN436" t="s">
        <v>417</v>
      </c>
      <c r="AO436" t="s">
        <v>50</v>
      </c>
      <c r="AP436" t="s">
        <v>43</v>
      </c>
    </row>
    <row r="437" spans="1:42" x14ac:dyDescent="0.3">
      <c r="A437" t="s">
        <v>39</v>
      </c>
      <c r="B437">
        <v>134</v>
      </c>
      <c r="C437" t="s">
        <v>58</v>
      </c>
      <c r="D437" t="s">
        <v>59</v>
      </c>
      <c r="E437" t="s">
        <v>987</v>
      </c>
      <c r="F437" t="s">
        <v>45</v>
      </c>
      <c r="G437" t="s">
        <v>43</v>
      </c>
      <c r="H437" t="s">
        <v>46</v>
      </c>
      <c r="I437">
        <v>12870</v>
      </c>
      <c r="J437" t="s">
        <v>59</v>
      </c>
      <c r="K437">
        <v>870</v>
      </c>
      <c r="L437" t="s">
        <v>146</v>
      </c>
      <c r="M437">
        <v>1</v>
      </c>
      <c r="N437" t="s">
        <v>134</v>
      </c>
      <c r="O437" t="s">
        <v>941</v>
      </c>
      <c r="P437">
        <v>3000</v>
      </c>
      <c r="Q437" t="s">
        <v>60</v>
      </c>
      <c r="R437" t="s">
        <v>929</v>
      </c>
      <c r="S437">
        <v>3000</v>
      </c>
      <c r="T437" t="s">
        <v>60</v>
      </c>
      <c r="U437" t="s">
        <v>942</v>
      </c>
      <c r="V437" t="s">
        <v>796</v>
      </c>
      <c r="W437" t="s">
        <v>166</v>
      </c>
      <c r="X437">
        <v>13352</v>
      </c>
      <c r="Y437" t="s">
        <v>156</v>
      </c>
      <c r="Z437" t="s">
        <v>143</v>
      </c>
      <c r="AA437" t="s">
        <v>144</v>
      </c>
      <c r="AB437" t="s">
        <v>157</v>
      </c>
      <c r="AC437" t="s">
        <v>146</v>
      </c>
      <c r="AD437">
        <v>1</v>
      </c>
      <c r="AE437">
        <v>6</v>
      </c>
      <c r="AF437">
        <v>31827</v>
      </c>
      <c r="AG437" t="s">
        <v>143</v>
      </c>
      <c r="AH437" t="s">
        <v>143</v>
      </c>
      <c r="AI437" t="s">
        <v>143</v>
      </c>
      <c r="AJ437" t="s">
        <v>143</v>
      </c>
      <c r="AK437" t="s">
        <v>143</v>
      </c>
      <c r="AL437" t="s">
        <v>147</v>
      </c>
      <c r="AM437">
        <v>80.11</v>
      </c>
      <c r="AN437" t="s">
        <v>719</v>
      </c>
      <c r="AO437" t="s">
        <v>159</v>
      </c>
      <c r="AP437" t="s">
        <v>43</v>
      </c>
    </row>
    <row r="438" spans="1:42" x14ac:dyDescent="0.3">
      <c r="A438" t="s">
        <v>39</v>
      </c>
      <c r="B438">
        <v>134</v>
      </c>
      <c r="C438" t="s">
        <v>58</v>
      </c>
      <c r="D438" t="s">
        <v>59</v>
      </c>
      <c r="E438" t="s">
        <v>987</v>
      </c>
      <c r="F438" t="s">
        <v>45</v>
      </c>
      <c r="G438" t="s">
        <v>43</v>
      </c>
      <c r="H438" t="s">
        <v>46</v>
      </c>
      <c r="I438">
        <v>11844</v>
      </c>
      <c r="J438" t="s">
        <v>59</v>
      </c>
      <c r="K438">
        <v>844</v>
      </c>
      <c r="L438" t="s">
        <v>146</v>
      </c>
      <c r="M438">
        <v>1</v>
      </c>
      <c r="N438" t="s">
        <v>134</v>
      </c>
      <c r="O438" t="s">
        <v>814</v>
      </c>
      <c r="P438">
        <v>3000</v>
      </c>
      <c r="Q438" t="s">
        <v>60</v>
      </c>
      <c r="R438" t="s">
        <v>732</v>
      </c>
      <c r="S438">
        <v>3000</v>
      </c>
      <c r="T438" t="s">
        <v>60</v>
      </c>
      <c r="U438" t="s">
        <v>815</v>
      </c>
      <c r="V438" t="s">
        <v>943</v>
      </c>
      <c r="W438" t="s">
        <v>166</v>
      </c>
      <c r="X438">
        <v>14381</v>
      </c>
      <c r="Y438" t="s">
        <v>156</v>
      </c>
      <c r="Z438" t="s">
        <v>143</v>
      </c>
      <c r="AA438" t="s">
        <v>144</v>
      </c>
      <c r="AB438" t="s">
        <v>650</v>
      </c>
      <c r="AC438" t="s">
        <v>146</v>
      </c>
      <c r="AD438">
        <v>2</v>
      </c>
      <c r="AE438">
        <v>12</v>
      </c>
      <c r="AF438">
        <v>31825</v>
      </c>
      <c r="AG438" t="s">
        <v>143</v>
      </c>
      <c r="AH438" t="s">
        <v>143</v>
      </c>
      <c r="AI438" t="s">
        <v>143</v>
      </c>
      <c r="AJ438" t="s">
        <v>143</v>
      </c>
      <c r="AK438" t="s">
        <v>143</v>
      </c>
      <c r="AL438" t="s">
        <v>147</v>
      </c>
      <c r="AM438">
        <v>172.57</v>
      </c>
      <c r="AN438" t="s">
        <v>719</v>
      </c>
      <c r="AO438" t="s">
        <v>206</v>
      </c>
      <c r="AP438" t="s">
        <v>43</v>
      </c>
    </row>
    <row r="439" spans="1:42" x14ac:dyDescent="0.3">
      <c r="A439" t="s">
        <v>39</v>
      </c>
      <c r="B439">
        <v>134</v>
      </c>
      <c r="C439" t="s">
        <v>58</v>
      </c>
      <c r="D439" t="s">
        <v>59</v>
      </c>
      <c r="E439" t="s">
        <v>987</v>
      </c>
      <c r="F439" t="s">
        <v>45</v>
      </c>
      <c r="G439" t="s">
        <v>43</v>
      </c>
      <c r="H439" t="s">
        <v>48</v>
      </c>
      <c r="I439">
        <v>14136</v>
      </c>
      <c r="J439" t="s">
        <v>59</v>
      </c>
      <c r="K439">
        <v>136</v>
      </c>
      <c r="L439" t="s">
        <v>146</v>
      </c>
      <c r="M439">
        <v>2</v>
      </c>
      <c r="N439" t="s">
        <v>134</v>
      </c>
      <c r="O439" t="s">
        <v>944</v>
      </c>
      <c r="P439">
        <v>73</v>
      </c>
      <c r="Q439" t="s">
        <v>945</v>
      </c>
      <c r="R439" t="s">
        <v>946</v>
      </c>
      <c r="S439">
        <v>3000</v>
      </c>
      <c r="T439" t="s">
        <v>60</v>
      </c>
      <c r="U439" t="s">
        <v>947</v>
      </c>
      <c r="V439" t="s">
        <v>948</v>
      </c>
      <c r="W439" t="s">
        <v>166</v>
      </c>
      <c r="X439">
        <v>7466</v>
      </c>
      <c r="Y439" t="s">
        <v>178</v>
      </c>
      <c r="Z439" t="s">
        <v>143</v>
      </c>
      <c r="AA439" t="s">
        <v>144</v>
      </c>
      <c r="AB439" t="s">
        <v>145</v>
      </c>
      <c r="AC439" t="s">
        <v>146</v>
      </c>
      <c r="AD439">
        <v>10</v>
      </c>
      <c r="AE439">
        <v>54</v>
      </c>
      <c r="AF439">
        <v>29618</v>
      </c>
      <c r="AG439" t="s">
        <v>144</v>
      </c>
      <c r="AH439" t="s">
        <v>143</v>
      </c>
      <c r="AI439" t="s">
        <v>143</v>
      </c>
      <c r="AJ439" t="s">
        <v>143</v>
      </c>
      <c r="AK439" t="s">
        <v>143</v>
      </c>
      <c r="AL439" t="s">
        <v>147</v>
      </c>
      <c r="AM439">
        <v>403.16</v>
      </c>
      <c r="AN439" t="s">
        <v>739</v>
      </c>
      <c r="AO439" t="s">
        <v>50</v>
      </c>
      <c r="AP439" t="s">
        <v>43</v>
      </c>
    </row>
    <row r="440" spans="1:42" x14ac:dyDescent="0.3">
      <c r="A440" t="s">
        <v>39</v>
      </c>
      <c r="B440">
        <v>134</v>
      </c>
      <c r="C440" t="s">
        <v>58</v>
      </c>
      <c r="D440" t="s">
        <v>59</v>
      </c>
      <c r="E440" t="s">
        <v>987</v>
      </c>
      <c r="F440" t="s">
        <v>52</v>
      </c>
      <c r="G440" t="s">
        <v>62</v>
      </c>
      <c r="H440" t="s">
        <v>63</v>
      </c>
      <c r="I440">
        <v>15504</v>
      </c>
      <c r="J440" t="s">
        <v>59</v>
      </c>
      <c r="K440">
        <v>504</v>
      </c>
      <c r="L440" t="s">
        <v>146</v>
      </c>
      <c r="M440">
        <v>3</v>
      </c>
      <c r="N440" t="s">
        <v>134</v>
      </c>
      <c r="O440" t="s">
        <v>949</v>
      </c>
      <c r="P440">
        <v>3000</v>
      </c>
      <c r="Q440" t="s">
        <v>60</v>
      </c>
      <c r="R440" t="s">
        <v>749</v>
      </c>
      <c r="S440">
        <v>3000</v>
      </c>
      <c r="T440" t="s">
        <v>60</v>
      </c>
      <c r="U440" t="s">
        <v>790</v>
      </c>
      <c r="V440" t="s">
        <v>791</v>
      </c>
      <c r="W440" t="s">
        <v>166</v>
      </c>
      <c r="X440">
        <v>28253</v>
      </c>
      <c r="Y440" t="s">
        <v>178</v>
      </c>
      <c r="Z440" t="s">
        <v>143</v>
      </c>
      <c r="AA440" t="s">
        <v>144</v>
      </c>
      <c r="AB440" t="s">
        <v>157</v>
      </c>
      <c r="AC440" t="s">
        <v>146</v>
      </c>
      <c r="AD440">
        <v>0</v>
      </c>
      <c r="AE440">
        <v>229</v>
      </c>
      <c r="AF440">
        <v>33245</v>
      </c>
      <c r="AG440" t="s">
        <v>144</v>
      </c>
      <c r="AH440" t="s">
        <v>143</v>
      </c>
      <c r="AI440" t="s">
        <v>143</v>
      </c>
      <c r="AJ440" t="s">
        <v>143</v>
      </c>
      <c r="AK440" t="s">
        <v>143</v>
      </c>
      <c r="AL440" t="s">
        <v>147</v>
      </c>
      <c r="AM440">
        <v>6469.94</v>
      </c>
      <c r="AN440" t="s">
        <v>730</v>
      </c>
      <c r="AO440" t="s">
        <v>52</v>
      </c>
      <c r="AP440" t="s">
        <v>62</v>
      </c>
    </row>
    <row r="441" spans="1:42" x14ac:dyDescent="0.3">
      <c r="A441" t="s">
        <v>39</v>
      </c>
      <c r="B441">
        <v>134</v>
      </c>
      <c r="C441" t="s">
        <v>58</v>
      </c>
      <c r="D441" t="s">
        <v>59</v>
      </c>
      <c r="E441" t="s">
        <v>987</v>
      </c>
      <c r="F441" t="s">
        <v>52</v>
      </c>
      <c r="G441" t="s">
        <v>62</v>
      </c>
      <c r="H441" t="s">
        <v>63</v>
      </c>
      <c r="I441">
        <v>17071</v>
      </c>
      <c r="J441" t="s">
        <v>59</v>
      </c>
      <c r="K441">
        <v>71</v>
      </c>
      <c r="L441" t="s">
        <v>146</v>
      </c>
      <c r="M441">
        <v>1</v>
      </c>
      <c r="N441" t="s">
        <v>134</v>
      </c>
      <c r="O441" t="s">
        <v>752</v>
      </c>
      <c r="P441">
        <v>3000</v>
      </c>
      <c r="Q441" t="s">
        <v>60</v>
      </c>
      <c r="R441" t="s">
        <v>727</v>
      </c>
      <c r="S441">
        <v>3000</v>
      </c>
      <c r="T441" t="s">
        <v>60</v>
      </c>
      <c r="U441" t="s">
        <v>753</v>
      </c>
      <c r="V441" t="s">
        <v>754</v>
      </c>
      <c r="W441" t="s">
        <v>166</v>
      </c>
      <c r="X441">
        <v>21336</v>
      </c>
      <c r="Y441" t="s">
        <v>178</v>
      </c>
      <c r="Z441" t="s">
        <v>143</v>
      </c>
      <c r="AA441" t="s">
        <v>144</v>
      </c>
      <c r="AB441" t="s">
        <v>650</v>
      </c>
      <c r="AC441" t="s">
        <v>146</v>
      </c>
      <c r="AD441">
        <v>0</v>
      </c>
      <c r="AE441">
        <v>232</v>
      </c>
      <c r="AF441">
        <v>34117</v>
      </c>
      <c r="AG441" t="s">
        <v>144</v>
      </c>
      <c r="AH441" t="s">
        <v>143</v>
      </c>
      <c r="AI441" t="s">
        <v>143</v>
      </c>
      <c r="AJ441" t="s">
        <v>143</v>
      </c>
      <c r="AK441" t="s">
        <v>143</v>
      </c>
      <c r="AL441" t="s">
        <v>147</v>
      </c>
      <c r="AM441">
        <v>4949.95</v>
      </c>
      <c r="AN441" t="s">
        <v>645</v>
      </c>
      <c r="AO441" t="s">
        <v>52</v>
      </c>
      <c r="AP441" t="s">
        <v>62</v>
      </c>
    </row>
    <row r="442" spans="1:42" x14ac:dyDescent="0.3">
      <c r="A442" t="s">
        <v>39</v>
      </c>
      <c r="B442">
        <v>134</v>
      </c>
      <c r="C442" t="s">
        <v>58</v>
      </c>
      <c r="D442" t="s">
        <v>59</v>
      </c>
      <c r="E442" t="s">
        <v>987</v>
      </c>
      <c r="F442" t="s">
        <v>52</v>
      </c>
      <c r="G442" t="s">
        <v>62</v>
      </c>
      <c r="H442" t="s">
        <v>63</v>
      </c>
      <c r="I442">
        <v>17071</v>
      </c>
      <c r="J442" t="s">
        <v>59</v>
      </c>
      <c r="K442">
        <v>71</v>
      </c>
      <c r="L442" t="s">
        <v>146</v>
      </c>
      <c r="M442">
        <v>2</v>
      </c>
      <c r="N442" t="s">
        <v>134</v>
      </c>
      <c r="O442" t="s">
        <v>752</v>
      </c>
      <c r="P442">
        <v>3000</v>
      </c>
      <c r="Q442" t="s">
        <v>60</v>
      </c>
      <c r="R442" t="s">
        <v>753</v>
      </c>
      <c r="S442">
        <v>3000</v>
      </c>
      <c r="T442" t="s">
        <v>60</v>
      </c>
      <c r="U442" t="s">
        <v>727</v>
      </c>
      <c r="V442" t="s">
        <v>819</v>
      </c>
      <c r="W442" t="s">
        <v>166</v>
      </c>
      <c r="X442">
        <v>21220</v>
      </c>
      <c r="Y442" t="s">
        <v>178</v>
      </c>
      <c r="Z442" t="s">
        <v>143</v>
      </c>
      <c r="AA442" t="s">
        <v>144</v>
      </c>
      <c r="AB442" t="s">
        <v>650</v>
      </c>
      <c r="AC442" t="s">
        <v>146</v>
      </c>
      <c r="AD442">
        <v>0</v>
      </c>
      <c r="AE442">
        <v>232</v>
      </c>
      <c r="AF442">
        <v>34118</v>
      </c>
      <c r="AG442" t="s">
        <v>144</v>
      </c>
      <c r="AH442" t="s">
        <v>143</v>
      </c>
      <c r="AI442" t="s">
        <v>143</v>
      </c>
      <c r="AJ442" t="s">
        <v>143</v>
      </c>
      <c r="AK442" t="s">
        <v>143</v>
      </c>
      <c r="AL442" t="s">
        <v>147</v>
      </c>
      <c r="AM442">
        <v>4923.04</v>
      </c>
      <c r="AN442" t="s">
        <v>645</v>
      </c>
      <c r="AO442" t="s">
        <v>52</v>
      </c>
      <c r="AP442" t="s">
        <v>62</v>
      </c>
    </row>
    <row r="443" spans="1:42" x14ac:dyDescent="0.3">
      <c r="A443" t="s">
        <v>39</v>
      </c>
      <c r="B443">
        <v>134</v>
      </c>
      <c r="C443" t="s">
        <v>58</v>
      </c>
      <c r="D443" t="s">
        <v>59</v>
      </c>
      <c r="E443" t="s">
        <v>987</v>
      </c>
      <c r="F443" t="s">
        <v>52</v>
      </c>
      <c r="G443" t="s">
        <v>62</v>
      </c>
      <c r="H443" t="s">
        <v>63</v>
      </c>
      <c r="I443">
        <v>18074</v>
      </c>
      <c r="J443" t="s">
        <v>59</v>
      </c>
      <c r="K443">
        <v>74</v>
      </c>
      <c r="L443" t="s">
        <v>146</v>
      </c>
      <c r="M443">
        <v>1</v>
      </c>
      <c r="N443" t="s">
        <v>134</v>
      </c>
      <c r="O443" t="s">
        <v>257</v>
      </c>
      <c r="P443">
        <v>3000</v>
      </c>
      <c r="Q443" t="s">
        <v>60</v>
      </c>
      <c r="R443" t="s">
        <v>749</v>
      </c>
      <c r="S443">
        <v>3000</v>
      </c>
      <c r="T443" t="s">
        <v>60</v>
      </c>
      <c r="U443" t="s">
        <v>834</v>
      </c>
      <c r="V443" t="s">
        <v>734</v>
      </c>
      <c r="W443" t="s">
        <v>166</v>
      </c>
      <c r="X443">
        <v>20670</v>
      </c>
      <c r="Y443" t="s">
        <v>178</v>
      </c>
      <c r="Z443" t="s">
        <v>143</v>
      </c>
      <c r="AA443" t="s">
        <v>144</v>
      </c>
      <c r="AB443" t="s">
        <v>650</v>
      </c>
      <c r="AC443" t="s">
        <v>146</v>
      </c>
      <c r="AD443">
        <v>0</v>
      </c>
      <c r="AE443">
        <v>181</v>
      </c>
      <c r="AF443">
        <v>30726</v>
      </c>
      <c r="AG443" t="s">
        <v>144</v>
      </c>
      <c r="AH443" t="s">
        <v>143</v>
      </c>
      <c r="AI443" t="s">
        <v>143</v>
      </c>
      <c r="AJ443" t="s">
        <v>143</v>
      </c>
      <c r="AK443" t="s">
        <v>143</v>
      </c>
      <c r="AL443" t="s">
        <v>147</v>
      </c>
      <c r="AM443">
        <v>3741.27</v>
      </c>
      <c r="AN443" t="s">
        <v>200</v>
      </c>
      <c r="AO443" t="s">
        <v>52</v>
      </c>
      <c r="AP443" t="s">
        <v>62</v>
      </c>
    </row>
    <row r="444" spans="1:42" x14ac:dyDescent="0.3">
      <c r="A444" t="s">
        <v>39</v>
      </c>
      <c r="B444">
        <v>215</v>
      </c>
      <c r="C444" t="s">
        <v>68</v>
      </c>
      <c r="D444" t="s">
        <v>59</v>
      </c>
      <c r="E444" t="s">
        <v>986</v>
      </c>
      <c r="F444" t="s">
        <v>45</v>
      </c>
      <c r="G444" t="s">
        <v>43</v>
      </c>
      <c r="H444" t="s">
        <v>48</v>
      </c>
      <c r="I444">
        <v>67002</v>
      </c>
      <c r="J444" t="s">
        <v>59</v>
      </c>
      <c r="K444">
        <v>2</v>
      </c>
      <c r="L444" t="s">
        <v>146</v>
      </c>
      <c r="M444">
        <v>1</v>
      </c>
      <c r="N444" t="s">
        <v>134</v>
      </c>
      <c r="O444" t="s">
        <v>168</v>
      </c>
      <c r="P444">
        <v>4000</v>
      </c>
      <c r="Q444" t="s">
        <v>189</v>
      </c>
      <c r="R444" t="s">
        <v>829</v>
      </c>
      <c r="S444">
        <v>6800</v>
      </c>
      <c r="T444" t="s">
        <v>827</v>
      </c>
      <c r="U444" t="s">
        <v>828</v>
      </c>
      <c r="V444" t="s">
        <v>950</v>
      </c>
      <c r="W444" t="s">
        <v>166</v>
      </c>
      <c r="X444">
        <v>17970</v>
      </c>
      <c r="Y444" t="s">
        <v>178</v>
      </c>
      <c r="Z444" t="s">
        <v>144</v>
      </c>
      <c r="AA444" t="s">
        <v>144</v>
      </c>
      <c r="AB444" t="s">
        <v>650</v>
      </c>
      <c r="AC444" t="s">
        <v>146</v>
      </c>
      <c r="AD444">
        <v>128</v>
      </c>
      <c r="AE444">
        <v>757</v>
      </c>
      <c r="AF444">
        <v>11693</v>
      </c>
      <c r="AG444" t="s">
        <v>144</v>
      </c>
      <c r="AH444" t="s">
        <v>143</v>
      </c>
      <c r="AI444" t="s">
        <v>143</v>
      </c>
      <c r="AJ444" t="s">
        <v>143</v>
      </c>
      <c r="AK444" t="s">
        <v>143</v>
      </c>
      <c r="AL444" t="s">
        <v>147</v>
      </c>
      <c r="AM444">
        <v>13603.29</v>
      </c>
      <c r="AN444" t="s">
        <v>831</v>
      </c>
      <c r="AO444" t="s">
        <v>50</v>
      </c>
      <c r="AP444" t="s">
        <v>43</v>
      </c>
    </row>
    <row r="445" spans="1:42" x14ac:dyDescent="0.3">
      <c r="A445" t="s">
        <v>39</v>
      </c>
      <c r="B445">
        <v>215</v>
      </c>
      <c r="C445" t="s">
        <v>68</v>
      </c>
      <c r="D445" t="s">
        <v>59</v>
      </c>
      <c r="E445" t="s">
        <v>986</v>
      </c>
      <c r="F445" t="s">
        <v>45</v>
      </c>
      <c r="G445" t="s">
        <v>43</v>
      </c>
      <c r="H445" t="s">
        <v>48</v>
      </c>
      <c r="I445">
        <v>67002</v>
      </c>
      <c r="J445" t="s">
        <v>59</v>
      </c>
      <c r="K445">
        <v>2</v>
      </c>
      <c r="L445" t="s">
        <v>146</v>
      </c>
      <c r="M445">
        <v>2</v>
      </c>
      <c r="N445" t="s">
        <v>134</v>
      </c>
      <c r="O445" t="s">
        <v>168</v>
      </c>
      <c r="P445">
        <v>6800</v>
      </c>
      <c r="Q445" t="s">
        <v>827</v>
      </c>
      <c r="R445" t="s">
        <v>828</v>
      </c>
      <c r="S445">
        <v>4000</v>
      </c>
      <c r="T445" t="s">
        <v>189</v>
      </c>
      <c r="U445" t="s">
        <v>829</v>
      </c>
      <c r="V445" t="s">
        <v>830</v>
      </c>
      <c r="W445" t="s">
        <v>166</v>
      </c>
      <c r="X445">
        <v>17926</v>
      </c>
      <c r="Y445" t="s">
        <v>178</v>
      </c>
      <c r="Z445" t="s">
        <v>144</v>
      </c>
      <c r="AA445" t="s">
        <v>144</v>
      </c>
      <c r="AB445" t="s">
        <v>650</v>
      </c>
      <c r="AC445" t="s">
        <v>146</v>
      </c>
      <c r="AD445">
        <v>128</v>
      </c>
      <c r="AE445">
        <v>755</v>
      </c>
      <c r="AF445">
        <v>11695</v>
      </c>
      <c r="AG445" t="s">
        <v>144</v>
      </c>
      <c r="AH445" t="s">
        <v>143</v>
      </c>
      <c r="AI445" t="s">
        <v>143</v>
      </c>
      <c r="AJ445" t="s">
        <v>143</v>
      </c>
      <c r="AK445" t="s">
        <v>143</v>
      </c>
      <c r="AL445" t="s">
        <v>147</v>
      </c>
      <c r="AM445">
        <v>13534.13</v>
      </c>
      <c r="AN445" t="s">
        <v>831</v>
      </c>
      <c r="AO445" t="s">
        <v>50</v>
      </c>
      <c r="AP445" t="s">
        <v>43</v>
      </c>
    </row>
    <row r="446" spans="1:42" x14ac:dyDescent="0.3">
      <c r="A446" t="s">
        <v>39</v>
      </c>
      <c r="B446">
        <v>134</v>
      </c>
      <c r="C446" t="s">
        <v>58</v>
      </c>
      <c r="D446" t="s">
        <v>59</v>
      </c>
      <c r="E446" t="s">
        <v>987</v>
      </c>
      <c r="F446" t="s">
        <v>52</v>
      </c>
      <c r="G446" t="s">
        <v>62</v>
      </c>
      <c r="H446" t="s">
        <v>63</v>
      </c>
      <c r="I446">
        <v>21078</v>
      </c>
      <c r="J446" t="s">
        <v>59</v>
      </c>
      <c r="K446">
        <v>78</v>
      </c>
      <c r="L446" t="s">
        <v>146</v>
      </c>
      <c r="M446">
        <v>2</v>
      </c>
      <c r="N446" t="s">
        <v>134</v>
      </c>
      <c r="O446" t="s">
        <v>821</v>
      </c>
      <c r="P446">
        <v>3000</v>
      </c>
      <c r="Q446" t="s">
        <v>60</v>
      </c>
      <c r="R446" t="s">
        <v>793</v>
      </c>
      <c r="S446">
        <v>3000</v>
      </c>
      <c r="T446" t="s">
        <v>60</v>
      </c>
      <c r="U446" t="s">
        <v>760</v>
      </c>
      <c r="V446" t="s">
        <v>796</v>
      </c>
      <c r="W446" t="s">
        <v>166</v>
      </c>
      <c r="X446">
        <v>12625</v>
      </c>
      <c r="Y446" t="s">
        <v>178</v>
      </c>
      <c r="Z446" t="s">
        <v>143</v>
      </c>
      <c r="AA446" t="s">
        <v>144</v>
      </c>
      <c r="AB446" t="s">
        <v>650</v>
      </c>
      <c r="AC446" t="s">
        <v>146</v>
      </c>
      <c r="AD446">
        <v>0</v>
      </c>
      <c r="AE446">
        <v>137</v>
      </c>
      <c r="AF446">
        <v>31833</v>
      </c>
      <c r="AG446" t="s">
        <v>144</v>
      </c>
      <c r="AH446" t="s">
        <v>143</v>
      </c>
      <c r="AI446" t="s">
        <v>143</v>
      </c>
      <c r="AJ446" t="s">
        <v>143</v>
      </c>
      <c r="AK446" t="s">
        <v>143</v>
      </c>
      <c r="AL446" t="s">
        <v>147</v>
      </c>
      <c r="AM446">
        <v>1729.63</v>
      </c>
      <c r="AN446" t="s">
        <v>719</v>
      </c>
      <c r="AO446" t="s">
        <v>52</v>
      </c>
      <c r="AP446" t="s">
        <v>62</v>
      </c>
    </row>
    <row r="447" spans="1:42" x14ac:dyDescent="0.3">
      <c r="A447" t="s">
        <v>39</v>
      </c>
      <c r="B447">
        <v>134</v>
      </c>
      <c r="C447" t="s">
        <v>58</v>
      </c>
      <c r="D447" t="s">
        <v>59</v>
      </c>
      <c r="E447" t="s">
        <v>987</v>
      </c>
      <c r="F447" t="s">
        <v>52</v>
      </c>
      <c r="G447" t="s">
        <v>62</v>
      </c>
      <c r="H447" t="s">
        <v>63</v>
      </c>
      <c r="I447">
        <v>31077</v>
      </c>
      <c r="J447" t="s">
        <v>59</v>
      </c>
      <c r="K447">
        <v>77</v>
      </c>
      <c r="L447" t="s">
        <v>146</v>
      </c>
      <c r="M447">
        <v>1</v>
      </c>
      <c r="N447" t="s">
        <v>134</v>
      </c>
      <c r="O447" t="s">
        <v>656</v>
      </c>
      <c r="P447">
        <v>3000</v>
      </c>
      <c r="Q447" t="s">
        <v>60</v>
      </c>
      <c r="R447" t="s">
        <v>756</v>
      </c>
      <c r="S447">
        <v>3000</v>
      </c>
      <c r="T447" t="s">
        <v>60</v>
      </c>
      <c r="U447" t="s">
        <v>781</v>
      </c>
      <c r="V447" t="s">
        <v>748</v>
      </c>
      <c r="W447" t="s">
        <v>166</v>
      </c>
      <c r="X447">
        <v>12960</v>
      </c>
      <c r="Y447" t="s">
        <v>178</v>
      </c>
      <c r="Z447" t="s">
        <v>143</v>
      </c>
      <c r="AA447" t="s">
        <v>144</v>
      </c>
      <c r="AB447" t="s">
        <v>650</v>
      </c>
      <c r="AC447" t="s">
        <v>146</v>
      </c>
      <c r="AD447">
        <v>0</v>
      </c>
      <c r="AE447">
        <v>134</v>
      </c>
      <c r="AF447">
        <v>30794</v>
      </c>
      <c r="AG447" t="s">
        <v>144</v>
      </c>
      <c r="AH447" t="s">
        <v>143</v>
      </c>
      <c r="AI447" t="s">
        <v>143</v>
      </c>
      <c r="AJ447" t="s">
        <v>143</v>
      </c>
      <c r="AK447" t="s">
        <v>143</v>
      </c>
      <c r="AL447" t="s">
        <v>147</v>
      </c>
      <c r="AM447">
        <v>1736.64</v>
      </c>
      <c r="AN447" t="s">
        <v>758</v>
      </c>
      <c r="AO447" t="s">
        <v>52</v>
      </c>
      <c r="AP447" t="s">
        <v>62</v>
      </c>
    </row>
    <row r="448" spans="1:42" x14ac:dyDescent="0.3">
      <c r="A448" t="s">
        <v>39</v>
      </c>
      <c r="B448">
        <v>134</v>
      </c>
      <c r="C448" t="s">
        <v>58</v>
      </c>
      <c r="D448" t="s">
        <v>59</v>
      </c>
      <c r="E448" t="s">
        <v>987</v>
      </c>
      <c r="F448" t="s">
        <v>52</v>
      </c>
      <c r="G448" t="s">
        <v>62</v>
      </c>
      <c r="H448" t="s">
        <v>63</v>
      </c>
      <c r="I448">
        <v>31077</v>
      </c>
      <c r="J448" t="s">
        <v>59</v>
      </c>
      <c r="K448">
        <v>77</v>
      </c>
      <c r="L448" t="s">
        <v>146</v>
      </c>
      <c r="M448">
        <v>1</v>
      </c>
      <c r="N448" t="s">
        <v>160</v>
      </c>
      <c r="O448" t="s">
        <v>755</v>
      </c>
      <c r="P448">
        <v>3000</v>
      </c>
      <c r="Q448" t="s">
        <v>60</v>
      </c>
      <c r="R448" t="s">
        <v>756</v>
      </c>
      <c r="S448">
        <v>3000</v>
      </c>
      <c r="T448" t="s">
        <v>60</v>
      </c>
      <c r="U448" t="s">
        <v>781</v>
      </c>
      <c r="V448" t="s">
        <v>748</v>
      </c>
      <c r="W448" t="s">
        <v>166</v>
      </c>
      <c r="X448">
        <v>14234</v>
      </c>
      <c r="Y448" t="s">
        <v>178</v>
      </c>
      <c r="Z448" t="s">
        <v>143</v>
      </c>
      <c r="AA448" t="s">
        <v>144</v>
      </c>
      <c r="AB448" t="s">
        <v>650</v>
      </c>
      <c r="AC448" t="s">
        <v>146</v>
      </c>
      <c r="AD448">
        <v>0</v>
      </c>
      <c r="AE448">
        <v>72</v>
      </c>
      <c r="AF448">
        <v>30795</v>
      </c>
      <c r="AG448" t="s">
        <v>144</v>
      </c>
      <c r="AH448" t="s">
        <v>143</v>
      </c>
      <c r="AI448" t="s">
        <v>143</v>
      </c>
      <c r="AJ448" t="s">
        <v>143</v>
      </c>
      <c r="AK448" t="s">
        <v>143</v>
      </c>
      <c r="AL448" t="s">
        <v>147</v>
      </c>
      <c r="AM448">
        <v>1024.8499999999999</v>
      </c>
      <c r="AN448" t="s">
        <v>758</v>
      </c>
      <c r="AO448" t="s">
        <v>52</v>
      </c>
      <c r="AP448" t="s">
        <v>62</v>
      </c>
    </row>
    <row r="449" spans="1:42" x14ac:dyDescent="0.3">
      <c r="A449" t="s">
        <v>39</v>
      </c>
      <c r="B449">
        <v>134</v>
      </c>
      <c r="C449" t="s">
        <v>58</v>
      </c>
      <c r="D449" t="s">
        <v>59</v>
      </c>
      <c r="E449" t="s">
        <v>987</v>
      </c>
      <c r="F449" t="s">
        <v>64</v>
      </c>
      <c r="G449" t="s">
        <v>43</v>
      </c>
      <c r="H449" t="s">
        <v>48</v>
      </c>
      <c r="I449">
        <v>14506</v>
      </c>
      <c r="J449" t="s">
        <v>59</v>
      </c>
      <c r="K449">
        <v>506</v>
      </c>
      <c r="L449" t="s">
        <v>146</v>
      </c>
      <c r="M449">
        <v>2</v>
      </c>
      <c r="N449" t="s">
        <v>134</v>
      </c>
      <c r="O449" t="s">
        <v>786</v>
      </c>
      <c r="P449">
        <v>3000</v>
      </c>
      <c r="Q449" t="s">
        <v>60</v>
      </c>
      <c r="R449" t="s">
        <v>939</v>
      </c>
      <c r="S449">
        <v>3000</v>
      </c>
      <c r="T449" t="s">
        <v>60</v>
      </c>
      <c r="U449" t="s">
        <v>790</v>
      </c>
      <c r="V449" t="s">
        <v>791</v>
      </c>
      <c r="W449" t="s">
        <v>166</v>
      </c>
      <c r="X449">
        <v>20781</v>
      </c>
      <c r="Y449" t="s">
        <v>178</v>
      </c>
      <c r="Z449" t="s">
        <v>143</v>
      </c>
      <c r="AA449" t="s">
        <v>144</v>
      </c>
      <c r="AB449" t="s">
        <v>157</v>
      </c>
      <c r="AC449" t="s">
        <v>146</v>
      </c>
      <c r="AD449">
        <v>49</v>
      </c>
      <c r="AE449">
        <v>245</v>
      </c>
      <c r="AF449">
        <v>23533</v>
      </c>
      <c r="AG449" t="s">
        <v>144</v>
      </c>
      <c r="AH449" t="s">
        <v>143</v>
      </c>
      <c r="AI449" t="s">
        <v>143</v>
      </c>
      <c r="AJ449" t="s">
        <v>143</v>
      </c>
      <c r="AK449" t="s">
        <v>143</v>
      </c>
      <c r="AL449" t="s">
        <v>147</v>
      </c>
      <c r="AM449">
        <v>5091.3500000000004</v>
      </c>
      <c r="AN449" t="s">
        <v>200</v>
      </c>
      <c r="AO449" t="s">
        <v>200</v>
      </c>
      <c r="AP449" t="s">
        <v>43</v>
      </c>
    </row>
    <row r="450" spans="1:42" x14ac:dyDescent="0.3">
      <c r="A450" t="s">
        <v>39</v>
      </c>
      <c r="B450">
        <v>134</v>
      </c>
      <c r="C450" t="s">
        <v>58</v>
      </c>
      <c r="D450" t="s">
        <v>59</v>
      </c>
      <c r="E450" t="s">
        <v>987</v>
      </c>
      <c r="F450" t="s">
        <v>64</v>
      </c>
      <c r="G450" t="s">
        <v>43</v>
      </c>
      <c r="H450" t="s">
        <v>48</v>
      </c>
      <c r="I450">
        <v>12531</v>
      </c>
      <c r="J450" t="s">
        <v>59</v>
      </c>
      <c r="K450">
        <v>531</v>
      </c>
      <c r="L450" t="s">
        <v>146</v>
      </c>
      <c r="M450">
        <v>3</v>
      </c>
      <c r="N450" t="s">
        <v>134</v>
      </c>
      <c r="O450" t="s">
        <v>853</v>
      </c>
      <c r="P450">
        <v>3000</v>
      </c>
      <c r="Q450" t="s">
        <v>60</v>
      </c>
      <c r="R450" t="s">
        <v>753</v>
      </c>
      <c r="S450">
        <v>3000</v>
      </c>
      <c r="T450" t="s">
        <v>60</v>
      </c>
      <c r="U450" t="s">
        <v>753</v>
      </c>
      <c r="V450" t="s">
        <v>754</v>
      </c>
      <c r="W450" t="s">
        <v>166</v>
      </c>
      <c r="X450">
        <v>21925</v>
      </c>
      <c r="Y450" t="s">
        <v>178</v>
      </c>
      <c r="Z450" t="s">
        <v>143</v>
      </c>
      <c r="AA450" t="s">
        <v>144</v>
      </c>
      <c r="AB450" t="s">
        <v>157</v>
      </c>
      <c r="AC450" t="s">
        <v>146</v>
      </c>
      <c r="AD450">
        <v>86</v>
      </c>
      <c r="AE450">
        <v>497</v>
      </c>
      <c r="AF450">
        <v>33244</v>
      </c>
      <c r="AG450" t="s">
        <v>144</v>
      </c>
      <c r="AH450" t="s">
        <v>143</v>
      </c>
      <c r="AI450" t="s">
        <v>143</v>
      </c>
      <c r="AJ450" t="s">
        <v>143</v>
      </c>
      <c r="AK450" t="s">
        <v>143</v>
      </c>
      <c r="AL450" t="s">
        <v>147</v>
      </c>
      <c r="AM450">
        <v>10896.73</v>
      </c>
      <c r="AN450" t="s">
        <v>730</v>
      </c>
      <c r="AO450" t="s">
        <v>50</v>
      </c>
      <c r="AP450" t="s">
        <v>43</v>
      </c>
    </row>
    <row r="451" spans="1:42" x14ac:dyDescent="0.3">
      <c r="A451" t="s">
        <v>39</v>
      </c>
      <c r="B451">
        <v>134</v>
      </c>
      <c r="C451" t="s">
        <v>58</v>
      </c>
      <c r="D451" t="s">
        <v>59</v>
      </c>
      <c r="E451" t="s">
        <v>987</v>
      </c>
      <c r="F451" t="s">
        <v>64</v>
      </c>
      <c r="G451" t="s">
        <v>43</v>
      </c>
      <c r="H451" t="s">
        <v>48</v>
      </c>
      <c r="I451">
        <v>17072</v>
      </c>
      <c r="J451" t="s">
        <v>59</v>
      </c>
      <c r="K451">
        <v>72</v>
      </c>
      <c r="L451" t="s">
        <v>146</v>
      </c>
      <c r="M451">
        <v>1</v>
      </c>
      <c r="N451" t="s">
        <v>134</v>
      </c>
      <c r="O451" t="s">
        <v>836</v>
      </c>
      <c r="P451">
        <v>3000</v>
      </c>
      <c r="Q451" t="s">
        <v>60</v>
      </c>
      <c r="R451" t="s">
        <v>727</v>
      </c>
      <c r="S451">
        <v>3000</v>
      </c>
      <c r="T451" t="s">
        <v>60</v>
      </c>
      <c r="U451" t="s">
        <v>753</v>
      </c>
      <c r="V451" t="s">
        <v>754</v>
      </c>
      <c r="W451" t="s">
        <v>166</v>
      </c>
      <c r="X451">
        <v>19564</v>
      </c>
      <c r="Y451" t="s">
        <v>178</v>
      </c>
      <c r="Z451" t="s">
        <v>143</v>
      </c>
      <c r="AA451" t="s">
        <v>144</v>
      </c>
      <c r="AB451" t="s">
        <v>650</v>
      </c>
      <c r="AC451" t="s">
        <v>146</v>
      </c>
      <c r="AD451">
        <v>89</v>
      </c>
      <c r="AE451">
        <v>514</v>
      </c>
      <c r="AF451">
        <v>34119</v>
      </c>
      <c r="AG451" t="s">
        <v>144</v>
      </c>
      <c r="AH451" t="s">
        <v>143</v>
      </c>
      <c r="AI451" t="s">
        <v>143</v>
      </c>
      <c r="AJ451" t="s">
        <v>143</v>
      </c>
      <c r="AK451" t="s">
        <v>143</v>
      </c>
      <c r="AL451" t="s">
        <v>147</v>
      </c>
      <c r="AM451">
        <v>10055.9</v>
      </c>
      <c r="AN451" t="s">
        <v>645</v>
      </c>
      <c r="AO451" t="s">
        <v>50</v>
      </c>
      <c r="AP451" t="s">
        <v>43</v>
      </c>
    </row>
    <row r="452" spans="1:42" x14ac:dyDescent="0.3">
      <c r="A452" t="s">
        <v>39</v>
      </c>
      <c r="B452">
        <v>134</v>
      </c>
      <c r="C452" t="s">
        <v>58</v>
      </c>
      <c r="D452" t="s">
        <v>59</v>
      </c>
      <c r="E452" t="s">
        <v>987</v>
      </c>
      <c r="F452" t="s">
        <v>64</v>
      </c>
      <c r="G452" t="s">
        <v>43</v>
      </c>
      <c r="H452" t="s">
        <v>48</v>
      </c>
      <c r="I452">
        <v>31077</v>
      </c>
      <c r="J452" t="s">
        <v>59</v>
      </c>
      <c r="K452">
        <v>77</v>
      </c>
      <c r="L452" t="s">
        <v>146</v>
      </c>
      <c r="M452">
        <v>1</v>
      </c>
      <c r="N452" t="s">
        <v>160</v>
      </c>
      <c r="O452" t="s">
        <v>755</v>
      </c>
      <c r="P452">
        <v>3000</v>
      </c>
      <c r="Q452" t="s">
        <v>60</v>
      </c>
      <c r="R452" t="s">
        <v>756</v>
      </c>
      <c r="S452">
        <v>3000</v>
      </c>
      <c r="T452" t="s">
        <v>60</v>
      </c>
      <c r="U452" t="s">
        <v>781</v>
      </c>
      <c r="V452" t="s">
        <v>748</v>
      </c>
      <c r="W452" t="s">
        <v>166</v>
      </c>
      <c r="X452">
        <v>14234</v>
      </c>
      <c r="Y452" t="s">
        <v>178</v>
      </c>
      <c r="Z452" t="s">
        <v>143</v>
      </c>
      <c r="AA452" t="s">
        <v>144</v>
      </c>
      <c r="AB452" t="s">
        <v>650</v>
      </c>
      <c r="AC452" t="s">
        <v>146</v>
      </c>
      <c r="AD452">
        <v>40</v>
      </c>
      <c r="AE452">
        <v>223</v>
      </c>
      <c r="AF452">
        <v>30795</v>
      </c>
      <c r="AG452" t="s">
        <v>144</v>
      </c>
      <c r="AH452" t="s">
        <v>143</v>
      </c>
      <c r="AI452" t="s">
        <v>143</v>
      </c>
      <c r="AJ452" t="s">
        <v>143</v>
      </c>
      <c r="AK452" t="s">
        <v>143</v>
      </c>
      <c r="AL452" t="s">
        <v>147</v>
      </c>
      <c r="AM452">
        <v>3174.18</v>
      </c>
      <c r="AN452" t="s">
        <v>758</v>
      </c>
      <c r="AO452" t="s">
        <v>50</v>
      </c>
      <c r="AP452" t="s">
        <v>43</v>
      </c>
    </row>
    <row r="453" spans="1:42" x14ac:dyDescent="0.3">
      <c r="A453" t="s">
        <v>39</v>
      </c>
      <c r="B453">
        <v>134</v>
      </c>
      <c r="C453" t="s">
        <v>58</v>
      </c>
      <c r="D453" t="s">
        <v>59</v>
      </c>
      <c r="E453" t="s">
        <v>987</v>
      </c>
      <c r="F453" t="s">
        <v>64</v>
      </c>
      <c r="G453" t="s">
        <v>43</v>
      </c>
      <c r="H453" t="s">
        <v>48</v>
      </c>
      <c r="I453">
        <v>39092</v>
      </c>
      <c r="J453" t="s">
        <v>59</v>
      </c>
      <c r="K453">
        <v>92</v>
      </c>
      <c r="L453" t="s">
        <v>146</v>
      </c>
      <c r="M453">
        <v>3</v>
      </c>
      <c r="N453" t="s">
        <v>134</v>
      </c>
      <c r="O453" t="s">
        <v>907</v>
      </c>
      <c r="P453">
        <v>3000</v>
      </c>
      <c r="Q453" t="s">
        <v>60</v>
      </c>
      <c r="R453" t="s">
        <v>753</v>
      </c>
      <c r="S453">
        <v>3000</v>
      </c>
      <c r="T453" t="s">
        <v>60</v>
      </c>
      <c r="U453" t="s">
        <v>753</v>
      </c>
      <c r="V453" t="s">
        <v>754</v>
      </c>
      <c r="W453" t="s">
        <v>166</v>
      </c>
      <c r="X453">
        <v>25951</v>
      </c>
      <c r="Y453" t="s">
        <v>178</v>
      </c>
      <c r="Z453" t="s">
        <v>143</v>
      </c>
      <c r="AA453" t="s">
        <v>144</v>
      </c>
      <c r="AB453" t="s">
        <v>650</v>
      </c>
      <c r="AC453" t="s">
        <v>146</v>
      </c>
      <c r="AD453">
        <v>90</v>
      </c>
      <c r="AE453">
        <v>517</v>
      </c>
      <c r="AF453">
        <v>33252</v>
      </c>
      <c r="AG453" t="s">
        <v>143</v>
      </c>
      <c r="AH453" t="s">
        <v>143</v>
      </c>
      <c r="AI453" t="s">
        <v>143</v>
      </c>
      <c r="AJ453" t="s">
        <v>143</v>
      </c>
      <c r="AK453" t="s">
        <v>143</v>
      </c>
      <c r="AL453" t="s">
        <v>147</v>
      </c>
      <c r="AM453">
        <v>13416.67</v>
      </c>
      <c r="AN453" t="s">
        <v>730</v>
      </c>
      <c r="AO453" t="s">
        <v>50</v>
      </c>
      <c r="AP453" t="s">
        <v>43</v>
      </c>
    </row>
    <row r="454" spans="1:42" x14ac:dyDescent="0.3">
      <c r="A454" t="s">
        <v>39</v>
      </c>
      <c r="B454">
        <v>134</v>
      </c>
      <c r="C454" t="s">
        <v>58</v>
      </c>
      <c r="D454" t="s">
        <v>59</v>
      </c>
      <c r="E454" t="s">
        <v>987</v>
      </c>
      <c r="F454" t="s">
        <v>64</v>
      </c>
      <c r="G454" t="s">
        <v>65</v>
      </c>
      <c r="H454" t="s">
        <v>63</v>
      </c>
      <c r="I454">
        <v>21078</v>
      </c>
      <c r="J454" t="s">
        <v>59</v>
      </c>
      <c r="K454">
        <v>78</v>
      </c>
      <c r="L454" t="s">
        <v>146</v>
      </c>
      <c r="M454">
        <v>1</v>
      </c>
      <c r="N454" t="s">
        <v>160</v>
      </c>
      <c r="O454" t="s">
        <v>821</v>
      </c>
      <c r="P454">
        <v>3000</v>
      </c>
      <c r="Q454" t="s">
        <v>60</v>
      </c>
      <c r="R454" t="s">
        <v>794</v>
      </c>
      <c r="S454">
        <v>3000</v>
      </c>
      <c r="T454" t="s">
        <v>60</v>
      </c>
      <c r="U454" t="s">
        <v>825</v>
      </c>
      <c r="V454" t="s">
        <v>826</v>
      </c>
      <c r="W454" t="s">
        <v>166</v>
      </c>
      <c r="X454">
        <v>13287</v>
      </c>
      <c r="Y454" t="s">
        <v>178</v>
      </c>
      <c r="Z454" t="s">
        <v>143</v>
      </c>
      <c r="AA454" t="s">
        <v>144</v>
      </c>
      <c r="AB454" t="s">
        <v>650</v>
      </c>
      <c r="AC454" t="s">
        <v>146</v>
      </c>
      <c r="AD454">
        <v>14</v>
      </c>
      <c r="AE454">
        <v>83</v>
      </c>
      <c r="AF454">
        <v>31832</v>
      </c>
      <c r="AG454" t="s">
        <v>144</v>
      </c>
      <c r="AH454" t="s">
        <v>143</v>
      </c>
      <c r="AI454" t="s">
        <v>143</v>
      </c>
      <c r="AJ454" t="s">
        <v>143</v>
      </c>
      <c r="AK454" t="s">
        <v>143</v>
      </c>
      <c r="AL454" t="s">
        <v>147</v>
      </c>
      <c r="AM454">
        <v>1102.82</v>
      </c>
      <c r="AN454" t="s">
        <v>719</v>
      </c>
      <c r="AO454" t="s">
        <v>64</v>
      </c>
      <c r="AP454" t="s">
        <v>65</v>
      </c>
    </row>
    <row r="455" spans="1:42" x14ac:dyDescent="0.3">
      <c r="A455" t="s">
        <v>39</v>
      </c>
      <c r="B455">
        <v>134</v>
      </c>
      <c r="C455" t="s">
        <v>58</v>
      </c>
      <c r="D455" t="s">
        <v>59</v>
      </c>
      <c r="E455" t="s">
        <v>987</v>
      </c>
      <c r="F455" t="s">
        <v>66</v>
      </c>
      <c r="G455" t="s">
        <v>43</v>
      </c>
      <c r="H455" t="s">
        <v>48</v>
      </c>
      <c r="I455">
        <v>14850</v>
      </c>
      <c r="J455" t="s">
        <v>59</v>
      </c>
      <c r="K455">
        <v>850</v>
      </c>
      <c r="L455" t="s">
        <v>146</v>
      </c>
      <c r="M455">
        <v>1</v>
      </c>
      <c r="N455" t="s">
        <v>134</v>
      </c>
      <c r="O455" t="s">
        <v>881</v>
      </c>
      <c r="P455">
        <v>3000</v>
      </c>
      <c r="Q455" t="s">
        <v>60</v>
      </c>
      <c r="R455" t="s">
        <v>902</v>
      </c>
      <c r="S455">
        <v>3000</v>
      </c>
      <c r="T455" t="s">
        <v>60</v>
      </c>
      <c r="U455" t="s">
        <v>808</v>
      </c>
      <c r="V455" t="s">
        <v>809</v>
      </c>
      <c r="W455" t="s">
        <v>166</v>
      </c>
      <c r="X455">
        <v>17256</v>
      </c>
      <c r="Y455" t="s">
        <v>156</v>
      </c>
      <c r="Z455" t="s">
        <v>143</v>
      </c>
      <c r="AA455" t="s">
        <v>144</v>
      </c>
      <c r="AB455" t="s">
        <v>157</v>
      </c>
      <c r="AC455" t="s">
        <v>146</v>
      </c>
      <c r="AD455">
        <v>1</v>
      </c>
      <c r="AE455">
        <v>6</v>
      </c>
      <c r="AF455">
        <v>30792</v>
      </c>
      <c r="AG455" t="s">
        <v>143</v>
      </c>
      <c r="AH455" t="s">
        <v>143</v>
      </c>
      <c r="AI455" t="s">
        <v>143</v>
      </c>
      <c r="AJ455" t="s">
        <v>143</v>
      </c>
      <c r="AK455" t="s">
        <v>143</v>
      </c>
      <c r="AL455" t="s">
        <v>147</v>
      </c>
      <c r="AM455">
        <v>103.54</v>
      </c>
      <c r="AN455" t="s">
        <v>758</v>
      </c>
      <c r="AO455" t="s">
        <v>66</v>
      </c>
      <c r="AP455" t="s">
        <v>43</v>
      </c>
    </row>
    <row r="456" spans="1:42" x14ac:dyDescent="0.3">
      <c r="A456" t="s">
        <v>39</v>
      </c>
      <c r="B456">
        <v>134</v>
      </c>
      <c r="C456" t="s">
        <v>58</v>
      </c>
      <c r="D456" t="s">
        <v>59</v>
      </c>
      <c r="E456" t="s">
        <v>987</v>
      </c>
      <c r="F456" t="s">
        <v>66</v>
      </c>
      <c r="G456" t="s">
        <v>43</v>
      </c>
      <c r="H456" t="s">
        <v>48</v>
      </c>
      <c r="I456">
        <v>17071</v>
      </c>
      <c r="J456" t="s">
        <v>59</v>
      </c>
      <c r="K456">
        <v>71</v>
      </c>
      <c r="L456" t="s">
        <v>146</v>
      </c>
      <c r="M456">
        <v>2</v>
      </c>
      <c r="N456" t="s">
        <v>134</v>
      </c>
      <c r="O456" t="s">
        <v>752</v>
      </c>
      <c r="P456">
        <v>3000</v>
      </c>
      <c r="Q456" t="s">
        <v>60</v>
      </c>
      <c r="R456" t="s">
        <v>753</v>
      </c>
      <c r="S456">
        <v>3000</v>
      </c>
      <c r="T456" t="s">
        <v>60</v>
      </c>
      <c r="U456" t="s">
        <v>727</v>
      </c>
      <c r="V456" t="s">
        <v>819</v>
      </c>
      <c r="W456" t="s">
        <v>166</v>
      </c>
      <c r="X456">
        <v>21221</v>
      </c>
      <c r="Y456" t="s">
        <v>178</v>
      </c>
      <c r="Z456" t="s">
        <v>143</v>
      </c>
      <c r="AA456" t="s">
        <v>144</v>
      </c>
      <c r="AB456" t="s">
        <v>650</v>
      </c>
      <c r="AC456" t="s">
        <v>146</v>
      </c>
      <c r="AD456">
        <v>99</v>
      </c>
      <c r="AE456">
        <v>569</v>
      </c>
      <c r="AF456">
        <v>34118</v>
      </c>
      <c r="AG456" t="s">
        <v>144</v>
      </c>
      <c r="AH456" t="s">
        <v>143</v>
      </c>
      <c r="AI456" t="s">
        <v>143</v>
      </c>
      <c r="AJ456" t="s">
        <v>143</v>
      </c>
      <c r="AK456" t="s">
        <v>143</v>
      </c>
      <c r="AL456" t="s">
        <v>147</v>
      </c>
      <c r="AM456">
        <v>12074.75</v>
      </c>
      <c r="AN456" t="s">
        <v>645</v>
      </c>
      <c r="AO456" t="s">
        <v>66</v>
      </c>
      <c r="AP456" t="s">
        <v>43</v>
      </c>
    </row>
    <row r="457" spans="1:42" x14ac:dyDescent="0.3">
      <c r="A457" t="s">
        <v>39</v>
      </c>
      <c r="B457">
        <v>134</v>
      </c>
      <c r="C457" t="s">
        <v>58</v>
      </c>
      <c r="D457" t="s">
        <v>59</v>
      </c>
      <c r="E457" t="s">
        <v>987</v>
      </c>
      <c r="F457" t="s">
        <v>67</v>
      </c>
      <c r="G457" t="s">
        <v>43</v>
      </c>
      <c r="H457" t="s">
        <v>48</v>
      </c>
      <c r="I457">
        <v>18074</v>
      </c>
      <c r="J457" t="s">
        <v>59</v>
      </c>
      <c r="K457">
        <v>74</v>
      </c>
      <c r="L457" t="s">
        <v>146</v>
      </c>
      <c r="M457">
        <v>1</v>
      </c>
      <c r="N457" t="s">
        <v>134</v>
      </c>
      <c r="O457" t="s">
        <v>257</v>
      </c>
      <c r="P457">
        <v>3000</v>
      </c>
      <c r="Q457" t="s">
        <v>60</v>
      </c>
      <c r="R457" t="s">
        <v>749</v>
      </c>
      <c r="S457">
        <v>3000</v>
      </c>
      <c r="T457" t="s">
        <v>60</v>
      </c>
      <c r="U457" t="s">
        <v>834</v>
      </c>
      <c r="V457" t="s">
        <v>734</v>
      </c>
      <c r="W457" t="s">
        <v>166</v>
      </c>
      <c r="X457">
        <v>20604</v>
      </c>
      <c r="Y457" t="s">
        <v>178</v>
      </c>
      <c r="Z457" t="s">
        <v>143</v>
      </c>
      <c r="AA457" t="s">
        <v>144</v>
      </c>
      <c r="AB457" t="s">
        <v>650</v>
      </c>
      <c r="AC457" t="s">
        <v>146</v>
      </c>
      <c r="AD457">
        <v>99</v>
      </c>
      <c r="AE457">
        <v>575</v>
      </c>
      <c r="AF457">
        <v>30726</v>
      </c>
      <c r="AG457" t="s">
        <v>144</v>
      </c>
      <c r="AH457" t="s">
        <v>143</v>
      </c>
      <c r="AI457" t="s">
        <v>143</v>
      </c>
      <c r="AJ457" t="s">
        <v>143</v>
      </c>
      <c r="AK457" t="s">
        <v>143</v>
      </c>
      <c r="AL457" t="s">
        <v>147</v>
      </c>
      <c r="AM457">
        <v>11847.3</v>
      </c>
      <c r="AN457" t="s">
        <v>200</v>
      </c>
      <c r="AO457" t="s">
        <v>66</v>
      </c>
      <c r="AP457" t="s">
        <v>43</v>
      </c>
    </row>
    <row r="458" spans="1:42" x14ac:dyDescent="0.3">
      <c r="A458" t="s">
        <v>39</v>
      </c>
      <c r="B458">
        <v>215</v>
      </c>
      <c r="C458" t="s">
        <v>68</v>
      </c>
      <c r="D458" t="s">
        <v>59</v>
      </c>
      <c r="E458" t="s">
        <v>986</v>
      </c>
      <c r="F458" t="s">
        <v>45</v>
      </c>
      <c r="G458" t="s">
        <v>43</v>
      </c>
      <c r="H458" t="s">
        <v>46</v>
      </c>
      <c r="I458">
        <v>67002</v>
      </c>
      <c r="J458" t="s">
        <v>59</v>
      </c>
      <c r="K458">
        <v>2</v>
      </c>
      <c r="L458" t="s">
        <v>146</v>
      </c>
      <c r="M458">
        <v>1</v>
      </c>
      <c r="N458" t="s">
        <v>673</v>
      </c>
      <c r="O458" t="s">
        <v>168</v>
      </c>
      <c r="P458">
        <v>4000</v>
      </c>
      <c r="Q458" t="s">
        <v>189</v>
      </c>
      <c r="R458" t="s">
        <v>829</v>
      </c>
      <c r="S458">
        <v>6800</v>
      </c>
      <c r="T458" t="s">
        <v>827</v>
      </c>
      <c r="U458" t="s">
        <v>828</v>
      </c>
      <c r="V458" t="s">
        <v>950</v>
      </c>
      <c r="W458" t="s">
        <v>166</v>
      </c>
      <c r="X458">
        <v>17970</v>
      </c>
      <c r="Y458" t="s">
        <v>178</v>
      </c>
      <c r="Z458" t="s">
        <v>144</v>
      </c>
      <c r="AA458" t="s">
        <v>144</v>
      </c>
      <c r="AB458" t="s">
        <v>650</v>
      </c>
      <c r="AC458" t="s">
        <v>146</v>
      </c>
      <c r="AD458">
        <v>3</v>
      </c>
      <c r="AE458">
        <v>17</v>
      </c>
      <c r="AF458">
        <v>11694</v>
      </c>
      <c r="AG458" t="s">
        <v>144</v>
      </c>
      <c r="AH458" t="s">
        <v>143</v>
      </c>
      <c r="AI458" t="s">
        <v>143</v>
      </c>
      <c r="AJ458" t="s">
        <v>143</v>
      </c>
      <c r="AK458" t="s">
        <v>143</v>
      </c>
      <c r="AL458" t="s">
        <v>147</v>
      </c>
      <c r="AM458">
        <v>305.49</v>
      </c>
      <c r="AN458" t="s">
        <v>831</v>
      </c>
      <c r="AO458" t="s">
        <v>832</v>
      </c>
      <c r="AP458" t="s">
        <v>43</v>
      </c>
    </row>
    <row r="459" spans="1:42" x14ac:dyDescent="0.3">
      <c r="A459" t="s">
        <v>39</v>
      </c>
      <c r="B459">
        <v>215</v>
      </c>
      <c r="C459" t="s">
        <v>68</v>
      </c>
      <c r="D459" t="s">
        <v>59</v>
      </c>
      <c r="E459" t="s">
        <v>986</v>
      </c>
      <c r="F459" t="s">
        <v>45</v>
      </c>
      <c r="G459" t="s">
        <v>43</v>
      </c>
      <c r="H459" t="s">
        <v>48</v>
      </c>
      <c r="I459">
        <v>52005</v>
      </c>
      <c r="J459" t="s">
        <v>59</v>
      </c>
      <c r="K459">
        <v>5</v>
      </c>
      <c r="L459" t="s">
        <v>146</v>
      </c>
      <c r="M459">
        <v>2</v>
      </c>
      <c r="N459" t="s">
        <v>134</v>
      </c>
      <c r="O459" t="s">
        <v>856</v>
      </c>
      <c r="P459">
        <v>96</v>
      </c>
      <c r="Q459" t="s">
        <v>823</v>
      </c>
      <c r="R459" t="s">
        <v>824</v>
      </c>
      <c r="S459">
        <v>4000</v>
      </c>
      <c r="T459" t="s">
        <v>189</v>
      </c>
      <c r="U459" t="s">
        <v>829</v>
      </c>
      <c r="V459" t="s">
        <v>830</v>
      </c>
      <c r="W459" t="s">
        <v>379</v>
      </c>
      <c r="X459">
        <v>13970</v>
      </c>
      <c r="Y459" t="s">
        <v>178</v>
      </c>
      <c r="Z459" t="s">
        <v>144</v>
      </c>
      <c r="AA459" t="s">
        <v>144</v>
      </c>
      <c r="AB459" t="s">
        <v>650</v>
      </c>
      <c r="AC459" t="s">
        <v>146</v>
      </c>
      <c r="AD459">
        <v>0</v>
      </c>
      <c r="AE459">
        <v>44</v>
      </c>
      <c r="AF459">
        <v>34396</v>
      </c>
      <c r="AG459" t="s">
        <v>144</v>
      </c>
      <c r="AH459" t="s">
        <v>143</v>
      </c>
      <c r="AI459" t="s">
        <v>143</v>
      </c>
      <c r="AJ459" t="s">
        <v>143</v>
      </c>
      <c r="AK459" t="s">
        <v>143</v>
      </c>
      <c r="AL459" t="s">
        <v>147</v>
      </c>
      <c r="AM459">
        <v>614.67999999999995</v>
      </c>
      <c r="AN459" t="s">
        <v>858</v>
      </c>
      <c r="AO459" t="s">
        <v>50</v>
      </c>
      <c r="AP459" t="s">
        <v>43</v>
      </c>
    </row>
    <row r="460" spans="1:42" x14ac:dyDescent="0.3">
      <c r="A460" t="s">
        <v>39</v>
      </c>
      <c r="B460">
        <v>215</v>
      </c>
      <c r="C460" t="s">
        <v>68</v>
      </c>
      <c r="D460" t="s">
        <v>59</v>
      </c>
      <c r="E460" t="s">
        <v>986</v>
      </c>
      <c r="F460" t="s">
        <v>45</v>
      </c>
      <c r="G460" t="s">
        <v>43</v>
      </c>
      <c r="H460" t="s">
        <v>48</v>
      </c>
      <c r="I460">
        <v>67003</v>
      </c>
      <c r="J460" t="s">
        <v>59</v>
      </c>
      <c r="K460">
        <v>3</v>
      </c>
      <c r="L460" t="s">
        <v>146</v>
      </c>
      <c r="M460">
        <v>3</v>
      </c>
      <c r="N460" t="s">
        <v>134</v>
      </c>
      <c r="O460" t="s">
        <v>202</v>
      </c>
      <c r="P460">
        <v>8200</v>
      </c>
      <c r="Q460" t="s">
        <v>840</v>
      </c>
      <c r="R460" t="s">
        <v>841</v>
      </c>
      <c r="S460">
        <v>8200</v>
      </c>
      <c r="T460" t="s">
        <v>840</v>
      </c>
      <c r="U460" t="s">
        <v>841</v>
      </c>
      <c r="V460" t="s">
        <v>841</v>
      </c>
      <c r="W460" t="s">
        <v>166</v>
      </c>
      <c r="X460">
        <v>31637</v>
      </c>
      <c r="Y460" t="s">
        <v>178</v>
      </c>
      <c r="Z460" t="s">
        <v>144</v>
      </c>
      <c r="AA460" t="s">
        <v>144</v>
      </c>
      <c r="AB460" t="s">
        <v>650</v>
      </c>
      <c r="AC460" t="s">
        <v>146</v>
      </c>
      <c r="AD460">
        <v>153</v>
      </c>
      <c r="AE460">
        <v>838</v>
      </c>
      <c r="AF460">
        <v>29919</v>
      </c>
      <c r="AG460" t="s">
        <v>144</v>
      </c>
      <c r="AH460" t="s">
        <v>143</v>
      </c>
      <c r="AI460" t="s">
        <v>143</v>
      </c>
      <c r="AJ460" t="s">
        <v>143</v>
      </c>
      <c r="AK460" t="s">
        <v>143</v>
      </c>
      <c r="AL460" t="s">
        <v>147</v>
      </c>
      <c r="AM460">
        <v>26511.81</v>
      </c>
      <c r="AN460" t="s">
        <v>951</v>
      </c>
      <c r="AO460" t="s">
        <v>50</v>
      </c>
      <c r="AP460" t="s">
        <v>43</v>
      </c>
    </row>
    <row r="461" spans="1:42" x14ac:dyDescent="0.3">
      <c r="A461" t="s">
        <v>39</v>
      </c>
      <c r="B461">
        <v>215</v>
      </c>
      <c r="C461" t="s">
        <v>68</v>
      </c>
      <c r="D461" t="s">
        <v>59</v>
      </c>
      <c r="E461" t="s">
        <v>986</v>
      </c>
      <c r="F461" t="s">
        <v>70</v>
      </c>
      <c r="G461" t="s">
        <v>70</v>
      </c>
      <c r="H461" t="s">
        <v>63</v>
      </c>
      <c r="I461">
        <v>52005</v>
      </c>
      <c r="J461" t="s">
        <v>59</v>
      </c>
      <c r="K461">
        <v>5</v>
      </c>
      <c r="L461" t="s">
        <v>146</v>
      </c>
      <c r="M461">
        <v>3</v>
      </c>
      <c r="N461" t="s">
        <v>134</v>
      </c>
      <c r="O461" t="s">
        <v>505</v>
      </c>
      <c r="P461">
        <v>96</v>
      </c>
      <c r="Q461" t="s">
        <v>823</v>
      </c>
      <c r="R461" t="s">
        <v>824</v>
      </c>
      <c r="S461">
        <v>96</v>
      </c>
      <c r="T461" t="s">
        <v>823</v>
      </c>
      <c r="U461" t="s">
        <v>824</v>
      </c>
      <c r="V461" t="s">
        <v>824</v>
      </c>
      <c r="W461" t="s">
        <v>379</v>
      </c>
      <c r="X461">
        <v>21218</v>
      </c>
      <c r="Y461" t="s">
        <v>178</v>
      </c>
      <c r="Z461" t="s">
        <v>144</v>
      </c>
      <c r="AA461" t="s">
        <v>144</v>
      </c>
      <c r="AB461" t="s">
        <v>650</v>
      </c>
      <c r="AC461" t="s">
        <v>146</v>
      </c>
      <c r="AD461">
        <v>0</v>
      </c>
      <c r="AE461">
        <v>25</v>
      </c>
      <c r="AF461">
        <v>34095</v>
      </c>
      <c r="AG461" t="s">
        <v>144</v>
      </c>
      <c r="AH461" t="s">
        <v>143</v>
      </c>
      <c r="AI461" t="s">
        <v>143</v>
      </c>
      <c r="AJ461" t="s">
        <v>143</v>
      </c>
      <c r="AK461" t="s">
        <v>143</v>
      </c>
      <c r="AL461" t="s">
        <v>147</v>
      </c>
      <c r="AM461">
        <v>530.45000000000005</v>
      </c>
      <c r="AN461" t="s">
        <v>820</v>
      </c>
      <c r="AO461" t="s">
        <v>70</v>
      </c>
      <c r="AP461" t="s">
        <v>70</v>
      </c>
    </row>
    <row r="462" spans="1:42" x14ac:dyDescent="0.3">
      <c r="A462" t="s">
        <v>39</v>
      </c>
      <c r="B462">
        <v>120</v>
      </c>
      <c r="C462" t="s">
        <v>40</v>
      </c>
      <c r="D462" t="s">
        <v>41</v>
      </c>
      <c r="E462" t="s">
        <v>984</v>
      </c>
      <c r="F462" t="s">
        <v>42</v>
      </c>
      <c r="G462" t="s">
        <v>43</v>
      </c>
      <c r="H462" t="s">
        <v>44</v>
      </c>
      <c r="I462">
        <v>22022</v>
      </c>
      <c r="J462" t="s">
        <v>41</v>
      </c>
      <c r="K462">
        <v>22</v>
      </c>
      <c r="L462" t="s">
        <v>985</v>
      </c>
      <c r="M462">
        <v>1</v>
      </c>
      <c r="N462" t="s">
        <v>134</v>
      </c>
      <c r="O462" t="s">
        <v>135</v>
      </c>
      <c r="P462">
        <v>122</v>
      </c>
      <c r="Q462" t="s">
        <v>138</v>
      </c>
      <c r="R462" t="s">
        <v>139</v>
      </c>
      <c r="S462">
        <v>140</v>
      </c>
      <c r="T462" t="s">
        <v>136</v>
      </c>
      <c r="U462" t="s">
        <v>357</v>
      </c>
      <c r="V462" t="s">
        <v>358</v>
      </c>
      <c r="W462" t="s">
        <v>141</v>
      </c>
      <c r="X462">
        <v>9707</v>
      </c>
      <c r="Y462" t="s">
        <v>142</v>
      </c>
      <c r="Z462" t="s">
        <v>143</v>
      </c>
      <c r="AA462" t="s">
        <v>144</v>
      </c>
      <c r="AB462" t="s">
        <v>145</v>
      </c>
      <c r="AC462" t="s">
        <v>146</v>
      </c>
      <c r="AD462">
        <v>14</v>
      </c>
      <c r="AE462">
        <v>75</v>
      </c>
      <c r="AF462">
        <v>14786</v>
      </c>
      <c r="AG462" t="s">
        <v>143</v>
      </c>
      <c r="AH462" t="s">
        <v>143</v>
      </c>
      <c r="AI462" t="s">
        <v>143</v>
      </c>
      <c r="AJ462" t="s">
        <v>143</v>
      </c>
      <c r="AK462" t="s">
        <v>143</v>
      </c>
      <c r="AL462" t="s">
        <v>147</v>
      </c>
      <c r="AM462">
        <v>728.03</v>
      </c>
      <c r="AN462" t="s">
        <v>148</v>
      </c>
      <c r="AO462" t="s">
        <v>952</v>
      </c>
      <c r="AP462" t="s">
        <v>43</v>
      </c>
    </row>
    <row r="463" spans="1:42" x14ac:dyDescent="0.3">
      <c r="A463" t="s">
        <v>39</v>
      </c>
      <c r="B463">
        <v>120</v>
      </c>
      <c r="C463" t="s">
        <v>40</v>
      </c>
      <c r="D463" t="s">
        <v>41</v>
      </c>
      <c r="E463" t="s">
        <v>986</v>
      </c>
      <c r="F463" t="s">
        <v>45</v>
      </c>
      <c r="G463" t="s">
        <v>43</v>
      </c>
      <c r="H463" t="s">
        <v>46</v>
      </c>
      <c r="I463">
        <v>24086</v>
      </c>
      <c r="J463" t="s">
        <v>41</v>
      </c>
      <c r="K463">
        <v>86</v>
      </c>
      <c r="L463" t="s">
        <v>146</v>
      </c>
      <c r="M463">
        <v>2</v>
      </c>
      <c r="N463" t="s">
        <v>134</v>
      </c>
      <c r="O463" t="s">
        <v>397</v>
      </c>
      <c r="P463">
        <v>2300</v>
      </c>
      <c r="Q463" t="s">
        <v>153</v>
      </c>
      <c r="R463" t="s">
        <v>953</v>
      </c>
      <c r="S463">
        <v>2300</v>
      </c>
      <c r="T463" t="s">
        <v>153</v>
      </c>
      <c r="U463" t="s">
        <v>365</v>
      </c>
      <c r="V463" t="s">
        <v>366</v>
      </c>
      <c r="W463" t="s">
        <v>166</v>
      </c>
      <c r="X463">
        <v>4695</v>
      </c>
      <c r="Y463" t="s">
        <v>156</v>
      </c>
      <c r="Z463" t="s">
        <v>143</v>
      </c>
      <c r="AA463" t="s">
        <v>144</v>
      </c>
      <c r="AB463" t="s">
        <v>157</v>
      </c>
      <c r="AC463" t="s">
        <v>146</v>
      </c>
      <c r="AD463">
        <v>1</v>
      </c>
      <c r="AE463">
        <v>6</v>
      </c>
      <c r="AF463">
        <v>14148</v>
      </c>
      <c r="AG463" t="s">
        <v>143</v>
      </c>
      <c r="AH463" t="s">
        <v>143</v>
      </c>
      <c r="AI463" t="s">
        <v>143</v>
      </c>
      <c r="AJ463" t="s">
        <v>143</v>
      </c>
      <c r="AK463" t="s">
        <v>143</v>
      </c>
      <c r="AL463" t="s">
        <v>147</v>
      </c>
      <c r="AM463">
        <v>28.17</v>
      </c>
      <c r="AN463" t="s">
        <v>148</v>
      </c>
      <c r="AO463" t="s">
        <v>159</v>
      </c>
      <c r="AP463" t="s">
        <v>43</v>
      </c>
    </row>
    <row r="464" spans="1:42" x14ac:dyDescent="0.3">
      <c r="A464" t="s">
        <v>39</v>
      </c>
      <c r="B464">
        <v>120</v>
      </c>
      <c r="C464" t="s">
        <v>40</v>
      </c>
      <c r="D464" t="s">
        <v>41</v>
      </c>
      <c r="E464" t="s">
        <v>986</v>
      </c>
      <c r="F464" t="s">
        <v>45</v>
      </c>
      <c r="G464" t="s">
        <v>43</v>
      </c>
      <c r="H464" t="s">
        <v>46</v>
      </c>
      <c r="I464">
        <v>24097</v>
      </c>
      <c r="J464" t="s">
        <v>41</v>
      </c>
      <c r="K464">
        <v>97</v>
      </c>
      <c r="L464" t="s">
        <v>146</v>
      </c>
      <c r="M464">
        <v>2</v>
      </c>
      <c r="N464" t="s">
        <v>134</v>
      </c>
      <c r="O464" t="s">
        <v>167</v>
      </c>
      <c r="P464">
        <v>240</v>
      </c>
      <c r="Q464" t="s">
        <v>162</v>
      </c>
      <c r="R464" t="s">
        <v>164</v>
      </c>
      <c r="S464">
        <v>240</v>
      </c>
      <c r="T464" t="s">
        <v>162</v>
      </c>
      <c r="U464" t="s">
        <v>265</v>
      </c>
      <c r="V464" t="s">
        <v>165</v>
      </c>
      <c r="W464" t="s">
        <v>166</v>
      </c>
      <c r="X464">
        <v>13068</v>
      </c>
      <c r="Y464" t="s">
        <v>156</v>
      </c>
      <c r="Z464" t="s">
        <v>143</v>
      </c>
      <c r="AA464" t="s">
        <v>144</v>
      </c>
      <c r="AB464" t="s">
        <v>157</v>
      </c>
      <c r="AC464" t="s">
        <v>146</v>
      </c>
      <c r="AD464">
        <v>1</v>
      </c>
      <c r="AE464">
        <v>6</v>
      </c>
      <c r="AF464">
        <v>14164</v>
      </c>
      <c r="AG464" t="s">
        <v>143</v>
      </c>
      <c r="AH464" t="s">
        <v>143</v>
      </c>
      <c r="AI464" t="s">
        <v>143</v>
      </c>
      <c r="AJ464" t="s">
        <v>143</v>
      </c>
      <c r="AK464" t="s">
        <v>143</v>
      </c>
      <c r="AL464" t="s">
        <v>147</v>
      </c>
      <c r="AM464">
        <v>78.41</v>
      </c>
      <c r="AN464" t="s">
        <v>148</v>
      </c>
      <c r="AO464" t="s">
        <v>159</v>
      </c>
      <c r="AP464" t="s">
        <v>43</v>
      </c>
    </row>
    <row r="465" spans="1:42" x14ac:dyDescent="0.3">
      <c r="A465" t="s">
        <v>39</v>
      </c>
      <c r="B465">
        <v>120</v>
      </c>
      <c r="C465" t="s">
        <v>40</v>
      </c>
      <c r="D465" t="s">
        <v>41</v>
      </c>
      <c r="E465" t="s">
        <v>986</v>
      </c>
      <c r="F465" t="s">
        <v>45</v>
      </c>
      <c r="G465" t="s">
        <v>43</v>
      </c>
      <c r="H465" t="s">
        <v>46</v>
      </c>
      <c r="I465">
        <v>26085</v>
      </c>
      <c r="J465" t="s">
        <v>41</v>
      </c>
      <c r="K465">
        <v>85</v>
      </c>
      <c r="L465" t="s">
        <v>146</v>
      </c>
      <c r="M465">
        <v>2</v>
      </c>
      <c r="N465" t="s">
        <v>134</v>
      </c>
      <c r="O465" t="s">
        <v>375</v>
      </c>
      <c r="P465">
        <v>2300</v>
      </c>
      <c r="Q465" t="s">
        <v>153</v>
      </c>
      <c r="R465" t="s">
        <v>953</v>
      </c>
      <c r="S465">
        <v>2300</v>
      </c>
      <c r="T465" t="s">
        <v>153</v>
      </c>
      <c r="U465" t="s">
        <v>171</v>
      </c>
      <c r="V465" t="s">
        <v>172</v>
      </c>
      <c r="W465" t="s">
        <v>166</v>
      </c>
      <c r="X465">
        <v>5759</v>
      </c>
      <c r="Y465" t="s">
        <v>156</v>
      </c>
      <c r="Z465" t="s">
        <v>143</v>
      </c>
      <c r="AA465" t="s">
        <v>144</v>
      </c>
      <c r="AB465" t="s">
        <v>145</v>
      </c>
      <c r="AC465" t="s">
        <v>146</v>
      </c>
      <c r="AD465">
        <v>1</v>
      </c>
      <c r="AE465">
        <v>6</v>
      </c>
      <c r="AF465">
        <v>14145</v>
      </c>
      <c r="AG465" t="s">
        <v>143</v>
      </c>
      <c r="AH465" t="s">
        <v>143</v>
      </c>
      <c r="AI465" t="s">
        <v>143</v>
      </c>
      <c r="AJ465" t="s">
        <v>143</v>
      </c>
      <c r="AK465" t="s">
        <v>143</v>
      </c>
      <c r="AL465" t="s">
        <v>147</v>
      </c>
      <c r="AM465">
        <v>34.549999999999997</v>
      </c>
      <c r="AN465" t="s">
        <v>148</v>
      </c>
      <c r="AO465" t="s">
        <v>159</v>
      </c>
      <c r="AP465" t="s">
        <v>43</v>
      </c>
    </row>
    <row r="466" spans="1:42" x14ac:dyDescent="0.3">
      <c r="A466" t="s">
        <v>39</v>
      </c>
      <c r="B466">
        <v>120</v>
      </c>
      <c r="C466" t="s">
        <v>40</v>
      </c>
      <c r="D466" t="s">
        <v>41</v>
      </c>
      <c r="E466" t="s">
        <v>986</v>
      </c>
      <c r="F466" t="s">
        <v>45</v>
      </c>
      <c r="G466" t="s">
        <v>43</v>
      </c>
      <c r="H466" t="s">
        <v>46</v>
      </c>
      <c r="I466">
        <v>33080</v>
      </c>
      <c r="J466" t="s">
        <v>41</v>
      </c>
      <c r="K466">
        <v>80</v>
      </c>
      <c r="L466" t="s">
        <v>146</v>
      </c>
      <c r="M466">
        <v>2</v>
      </c>
      <c r="N466" t="s">
        <v>134</v>
      </c>
      <c r="O466" t="s">
        <v>632</v>
      </c>
      <c r="P466">
        <v>2300</v>
      </c>
      <c r="Q466" t="s">
        <v>153</v>
      </c>
      <c r="R466" t="s">
        <v>954</v>
      </c>
      <c r="S466">
        <v>2300</v>
      </c>
      <c r="T466" t="s">
        <v>153</v>
      </c>
      <c r="U466" t="s">
        <v>171</v>
      </c>
      <c r="V466" t="s">
        <v>172</v>
      </c>
      <c r="W466" t="s">
        <v>166</v>
      </c>
      <c r="X466">
        <v>10932</v>
      </c>
      <c r="Y466" t="s">
        <v>156</v>
      </c>
      <c r="Z466" t="s">
        <v>143</v>
      </c>
      <c r="AA466" t="s">
        <v>144</v>
      </c>
      <c r="AB466" t="s">
        <v>157</v>
      </c>
      <c r="AC466" t="s">
        <v>146</v>
      </c>
      <c r="AD466">
        <v>1</v>
      </c>
      <c r="AE466">
        <v>6</v>
      </c>
      <c r="AF466">
        <v>14139</v>
      </c>
      <c r="AG466" t="s">
        <v>143</v>
      </c>
      <c r="AH466" t="s">
        <v>143</v>
      </c>
      <c r="AI466" t="s">
        <v>143</v>
      </c>
      <c r="AJ466" t="s">
        <v>143</v>
      </c>
      <c r="AK466" t="s">
        <v>143</v>
      </c>
      <c r="AL466" t="s">
        <v>147</v>
      </c>
      <c r="AM466">
        <v>65.59</v>
      </c>
      <c r="AN466" t="s">
        <v>148</v>
      </c>
      <c r="AO466" t="s">
        <v>159</v>
      </c>
      <c r="AP466" t="s">
        <v>43</v>
      </c>
    </row>
    <row r="467" spans="1:42" x14ac:dyDescent="0.3">
      <c r="A467" t="s">
        <v>39</v>
      </c>
      <c r="B467">
        <v>120</v>
      </c>
      <c r="C467" t="s">
        <v>40</v>
      </c>
      <c r="D467" t="s">
        <v>41</v>
      </c>
      <c r="E467" t="s">
        <v>986</v>
      </c>
      <c r="F467" t="s">
        <v>45</v>
      </c>
      <c r="G467" t="s">
        <v>43</v>
      </c>
      <c r="H467" t="s">
        <v>46</v>
      </c>
      <c r="I467">
        <v>54081</v>
      </c>
      <c r="J467" t="s">
        <v>41</v>
      </c>
      <c r="K467">
        <v>81</v>
      </c>
      <c r="L467" t="s">
        <v>146</v>
      </c>
      <c r="M467">
        <v>1</v>
      </c>
      <c r="N467" t="s">
        <v>134</v>
      </c>
      <c r="O467" t="s">
        <v>371</v>
      </c>
      <c r="P467">
        <v>494</v>
      </c>
      <c r="Q467" t="s">
        <v>287</v>
      </c>
      <c r="R467" t="s">
        <v>339</v>
      </c>
      <c r="S467">
        <v>494</v>
      </c>
      <c r="T467" t="s">
        <v>287</v>
      </c>
      <c r="U467" t="s">
        <v>372</v>
      </c>
      <c r="V467" t="s">
        <v>955</v>
      </c>
      <c r="W467" t="s">
        <v>166</v>
      </c>
      <c r="X467">
        <v>6328</v>
      </c>
      <c r="Y467" t="s">
        <v>156</v>
      </c>
      <c r="Z467" t="s">
        <v>143</v>
      </c>
      <c r="AA467" t="s">
        <v>144</v>
      </c>
      <c r="AB467" t="s">
        <v>145</v>
      </c>
      <c r="AC467" t="s">
        <v>146</v>
      </c>
      <c r="AD467">
        <v>1</v>
      </c>
      <c r="AE467">
        <v>6</v>
      </c>
      <c r="AF467">
        <v>14203</v>
      </c>
      <c r="AG467" t="s">
        <v>143</v>
      </c>
      <c r="AH467" t="s">
        <v>143</v>
      </c>
      <c r="AI467" t="s">
        <v>143</v>
      </c>
      <c r="AJ467" t="s">
        <v>143</v>
      </c>
      <c r="AK467" t="s">
        <v>143</v>
      </c>
      <c r="AL467" t="s">
        <v>147</v>
      </c>
      <c r="AM467">
        <v>37.97</v>
      </c>
      <c r="AN467" t="s">
        <v>148</v>
      </c>
      <c r="AO467" t="s">
        <v>159</v>
      </c>
      <c r="AP467" t="s">
        <v>43</v>
      </c>
    </row>
    <row r="468" spans="1:42" x14ac:dyDescent="0.3">
      <c r="A468" t="s">
        <v>39</v>
      </c>
      <c r="B468">
        <v>120</v>
      </c>
      <c r="C468" t="s">
        <v>40</v>
      </c>
      <c r="D468" t="s">
        <v>41</v>
      </c>
      <c r="E468" t="s">
        <v>986</v>
      </c>
      <c r="F468" t="s">
        <v>45</v>
      </c>
      <c r="G468" t="s">
        <v>43</v>
      </c>
      <c r="H468" t="s">
        <v>47</v>
      </c>
      <c r="I468">
        <v>14157</v>
      </c>
      <c r="J468" t="s">
        <v>41</v>
      </c>
      <c r="K468">
        <v>157</v>
      </c>
      <c r="L468" t="s">
        <v>158</v>
      </c>
      <c r="M468">
        <v>2</v>
      </c>
      <c r="N468" t="s">
        <v>134</v>
      </c>
      <c r="O468" t="s">
        <v>181</v>
      </c>
      <c r="P468">
        <v>9800</v>
      </c>
      <c r="Q468" t="s">
        <v>182</v>
      </c>
      <c r="R468" t="s">
        <v>183</v>
      </c>
      <c r="S468">
        <v>240</v>
      </c>
      <c r="T468" t="s">
        <v>162</v>
      </c>
      <c r="U468" t="s">
        <v>956</v>
      </c>
      <c r="V468" t="s">
        <v>957</v>
      </c>
      <c r="W468" t="s">
        <v>141</v>
      </c>
      <c r="X468">
        <v>26585</v>
      </c>
      <c r="Y468" t="s">
        <v>178</v>
      </c>
      <c r="Z468" t="s">
        <v>143</v>
      </c>
      <c r="AA468" t="s">
        <v>143</v>
      </c>
      <c r="AB468" t="s">
        <v>157</v>
      </c>
      <c r="AC468" t="s">
        <v>158</v>
      </c>
      <c r="AD468">
        <v>6</v>
      </c>
      <c r="AE468">
        <v>32</v>
      </c>
      <c r="AF468">
        <v>14202</v>
      </c>
      <c r="AG468" t="s">
        <v>143</v>
      </c>
      <c r="AH468" t="s">
        <v>143</v>
      </c>
      <c r="AI468" t="s">
        <v>143</v>
      </c>
      <c r="AJ468" t="s">
        <v>143</v>
      </c>
      <c r="AK468" t="s">
        <v>143</v>
      </c>
      <c r="AL468" t="s">
        <v>147</v>
      </c>
      <c r="AM468">
        <v>850.72</v>
      </c>
      <c r="AN468" t="s">
        <v>148</v>
      </c>
      <c r="AO468" t="s">
        <v>187</v>
      </c>
      <c r="AP468" t="s">
        <v>43</v>
      </c>
    </row>
    <row r="469" spans="1:42" x14ac:dyDescent="0.3">
      <c r="A469" t="s">
        <v>39</v>
      </c>
      <c r="B469">
        <v>120</v>
      </c>
      <c r="C469" t="s">
        <v>40</v>
      </c>
      <c r="D469" t="s">
        <v>41</v>
      </c>
      <c r="E469" t="s">
        <v>986</v>
      </c>
      <c r="F469" t="s">
        <v>45</v>
      </c>
      <c r="G469" t="s">
        <v>43</v>
      </c>
      <c r="H469" t="s">
        <v>44</v>
      </c>
      <c r="I469">
        <v>12793</v>
      </c>
      <c r="J469" t="s">
        <v>41</v>
      </c>
      <c r="K469">
        <v>793</v>
      </c>
      <c r="L469" t="s">
        <v>158</v>
      </c>
      <c r="M469">
        <v>1</v>
      </c>
      <c r="N469" t="s">
        <v>134</v>
      </c>
      <c r="O469" t="s">
        <v>259</v>
      </c>
      <c r="P469">
        <v>4000</v>
      </c>
      <c r="Q469" t="s">
        <v>189</v>
      </c>
      <c r="R469" t="s">
        <v>252</v>
      </c>
      <c r="S469">
        <v>944</v>
      </c>
      <c r="T469" t="s">
        <v>208</v>
      </c>
      <c r="U469" t="s">
        <v>369</v>
      </c>
      <c r="V469" t="s">
        <v>370</v>
      </c>
      <c r="W469" t="s">
        <v>141</v>
      </c>
      <c r="X469">
        <v>18690</v>
      </c>
      <c r="Y469" t="s">
        <v>178</v>
      </c>
      <c r="Z469" t="s">
        <v>143</v>
      </c>
      <c r="AA469" t="s">
        <v>144</v>
      </c>
      <c r="AB469" t="s">
        <v>157</v>
      </c>
      <c r="AC469" t="s">
        <v>158</v>
      </c>
      <c r="AD469">
        <v>7</v>
      </c>
      <c r="AE469">
        <v>39</v>
      </c>
      <c r="AF469">
        <v>14188</v>
      </c>
      <c r="AG469" t="s">
        <v>143</v>
      </c>
      <c r="AH469" t="s">
        <v>143</v>
      </c>
      <c r="AI469" t="s">
        <v>143</v>
      </c>
      <c r="AJ469" t="s">
        <v>143</v>
      </c>
      <c r="AK469" t="s">
        <v>143</v>
      </c>
      <c r="AL469" t="s">
        <v>147</v>
      </c>
      <c r="AM469">
        <v>728.91</v>
      </c>
      <c r="AN469" t="s">
        <v>148</v>
      </c>
      <c r="AO469" t="s">
        <v>958</v>
      </c>
      <c r="AP469" t="s">
        <v>43</v>
      </c>
    </row>
    <row r="470" spans="1:42" x14ac:dyDescent="0.3">
      <c r="A470" t="s">
        <v>39</v>
      </c>
      <c r="B470">
        <v>120</v>
      </c>
      <c r="C470" t="s">
        <v>40</v>
      </c>
      <c r="D470" t="s">
        <v>41</v>
      </c>
      <c r="E470" t="s">
        <v>986</v>
      </c>
      <c r="F470" t="s">
        <v>45</v>
      </c>
      <c r="G470" t="s">
        <v>43</v>
      </c>
      <c r="H470" t="s">
        <v>51</v>
      </c>
      <c r="I470">
        <v>11188</v>
      </c>
      <c r="J470" t="s">
        <v>41</v>
      </c>
      <c r="K470">
        <v>188</v>
      </c>
      <c r="L470" t="s">
        <v>158</v>
      </c>
      <c r="M470">
        <v>2</v>
      </c>
      <c r="N470" t="s">
        <v>134</v>
      </c>
      <c r="O470" t="s">
        <v>400</v>
      </c>
      <c r="P470">
        <v>240</v>
      </c>
      <c r="Q470" t="s">
        <v>162</v>
      </c>
      <c r="R470" t="s">
        <v>175</v>
      </c>
      <c r="S470">
        <v>4000</v>
      </c>
      <c r="T470" t="s">
        <v>189</v>
      </c>
      <c r="U470" t="s">
        <v>198</v>
      </c>
      <c r="V470" t="s">
        <v>199</v>
      </c>
      <c r="W470" t="s">
        <v>141</v>
      </c>
      <c r="X470">
        <v>25899</v>
      </c>
      <c r="Y470" t="s">
        <v>178</v>
      </c>
      <c r="Z470" t="s">
        <v>144</v>
      </c>
      <c r="AA470" t="s">
        <v>143</v>
      </c>
      <c r="AB470" t="s">
        <v>157</v>
      </c>
      <c r="AC470" t="s">
        <v>158</v>
      </c>
      <c r="AD470">
        <v>12</v>
      </c>
      <c r="AE470">
        <v>78</v>
      </c>
      <c r="AF470">
        <v>14177</v>
      </c>
      <c r="AG470" t="s">
        <v>143</v>
      </c>
      <c r="AH470" t="s">
        <v>143</v>
      </c>
      <c r="AI470" t="s">
        <v>143</v>
      </c>
      <c r="AJ470" t="s">
        <v>143</v>
      </c>
      <c r="AK470" t="s">
        <v>143</v>
      </c>
      <c r="AL470" t="s">
        <v>147</v>
      </c>
      <c r="AM470">
        <v>2020.12</v>
      </c>
      <c r="AN470" t="s">
        <v>148</v>
      </c>
      <c r="AO470" t="s">
        <v>256</v>
      </c>
      <c r="AP470" t="s">
        <v>43</v>
      </c>
    </row>
    <row r="471" spans="1:42" x14ac:dyDescent="0.3">
      <c r="A471" t="s">
        <v>39</v>
      </c>
      <c r="B471">
        <v>120</v>
      </c>
      <c r="C471" t="s">
        <v>40</v>
      </c>
      <c r="D471" t="s">
        <v>41</v>
      </c>
      <c r="E471" t="s">
        <v>986</v>
      </c>
      <c r="F471" t="s">
        <v>45</v>
      </c>
      <c r="G471" t="s">
        <v>43</v>
      </c>
      <c r="H471" t="s">
        <v>51</v>
      </c>
      <c r="I471">
        <v>52018</v>
      </c>
      <c r="J471" t="s">
        <v>41</v>
      </c>
      <c r="K471">
        <v>18</v>
      </c>
      <c r="L471" t="s">
        <v>146</v>
      </c>
      <c r="M471">
        <v>1</v>
      </c>
      <c r="N471" t="s">
        <v>168</v>
      </c>
      <c r="O471" t="s">
        <v>488</v>
      </c>
      <c r="P471">
        <v>240</v>
      </c>
      <c r="Q471" t="s">
        <v>162</v>
      </c>
      <c r="R471" t="s">
        <v>392</v>
      </c>
      <c r="S471">
        <v>240</v>
      </c>
      <c r="T471" t="s">
        <v>162</v>
      </c>
      <c r="U471" t="s">
        <v>175</v>
      </c>
      <c r="V471" t="s">
        <v>211</v>
      </c>
      <c r="W471" t="s">
        <v>166</v>
      </c>
      <c r="X471">
        <v>9689</v>
      </c>
      <c r="Y471" t="s">
        <v>178</v>
      </c>
      <c r="Z471" t="s">
        <v>143</v>
      </c>
      <c r="AA471" t="s">
        <v>144</v>
      </c>
      <c r="AB471" t="s">
        <v>157</v>
      </c>
      <c r="AC471" t="s">
        <v>146</v>
      </c>
      <c r="AD471">
        <v>13</v>
      </c>
      <c r="AE471">
        <v>65</v>
      </c>
      <c r="AF471">
        <v>30721</v>
      </c>
      <c r="AG471" t="s">
        <v>143</v>
      </c>
      <c r="AH471" t="s">
        <v>143</v>
      </c>
      <c r="AI471" t="s">
        <v>143</v>
      </c>
      <c r="AJ471" t="s">
        <v>143</v>
      </c>
      <c r="AK471" t="s">
        <v>143</v>
      </c>
      <c r="AL471" t="s">
        <v>147</v>
      </c>
      <c r="AM471">
        <v>629.79</v>
      </c>
      <c r="AN471" t="s">
        <v>959</v>
      </c>
      <c r="AO471" t="s">
        <v>960</v>
      </c>
      <c r="AP471" t="s">
        <v>43</v>
      </c>
    </row>
    <row r="472" spans="1:42" x14ac:dyDescent="0.3">
      <c r="A472" t="s">
        <v>39</v>
      </c>
      <c r="B472">
        <v>120</v>
      </c>
      <c r="C472" t="s">
        <v>40</v>
      </c>
      <c r="D472" t="s">
        <v>41</v>
      </c>
      <c r="E472" t="s">
        <v>986</v>
      </c>
      <c r="F472" t="s">
        <v>42</v>
      </c>
      <c r="G472" t="s">
        <v>43</v>
      </c>
      <c r="H472" t="s">
        <v>47</v>
      </c>
      <c r="I472">
        <v>12118</v>
      </c>
      <c r="J472" t="s">
        <v>41</v>
      </c>
      <c r="K472">
        <v>118</v>
      </c>
      <c r="L472" t="s">
        <v>146</v>
      </c>
      <c r="M472">
        <v>2</v>
      </c>
      <c r="N472" t="s">
        <v>134</v>
      </c>
      <c r="O472" t="s">
        <v>887</v>
      </c>
      <c r="P472">
        <v>140</v>
      </c>
      <c r="Q472" t="s">
        <v>136</v>
      </c>
      <c r="R472" t="s">
        <v>137</v>
      </c>
      <c r="S472">
        <v>240</v>
      </c>
      <c r="T472" t="s">
        <v>162</v>
      </c>
      <c r="U472" t="s">
        <v>219</v>
      </c>
      <c r="V472" t="s">
        <v>961</v>
      </c>
      <c r="W472" t="s">
        <v>166</v>
      </c>
      <c r="X472">
        <v>6140</v>
      </c>
      <c r="Y472" t="s">
        <v>142</v>
      </c>
      <c r="Z472" t="s">
        <v>143</v>
      </c>
      <c r="AA472" t="s">
        <v>144</v>
      </c>
      <c r="AB472" t="s">
        <v>145</v>
      </c>
      <c r="AC472" t="s">
        <v>146</v>
      </c>
      <c r="AD472">
        <v>4</v>
      </c>
      <c r="AE472">
        <v>20</v>
      </c>
      <c r="AF472">
        <v>17850</v>
      </c>
      <c r="AG472" t="s">
        <v>143</v>
      </c>
      <c r="AH472" t="s">
        <v>143</v>
      </c>
      <c r="AI472" t="s">
        <v>143</v>
      </c>
      <c r="AJ472" t="s">
        <v>143</v>
      </c>
      <c r="AK472" t="s">
        <v>143</v>
      </c>
      <c r="AL472" t="s">
        <v>147</v>
      </c>
      <c r="AM472">
        <v>122.8</v>
      </c>
      <c r="AN472" t="s">
        <v>302</v>
      </c>
      <c r="AO472" t="s">
        <v>217</v>
      </c>
      <c r="AP472" t="s">
        <v>43</v>
      </c>
    </row>
    <row r="473" spans="1:42" x14ac:dyDescent="0.3">
      <c r="A473" t="s">
        <v>39</v>
      </c>
      <c r="B473">
        <v>120</v>
      </c>
      <c r="C473" t="s">
        <v>40</v>
      </c>
      <c r="D473" t="s">
        <v>41</v>
      </c>
      <c r="E473" t="s">
        <v>986</v>
      </c>
      <c r="F473" t="s">
        <v>42</v>
      </c>
      <c r="G473" t="s">
        <v>43</v>
      </c>
      <c r="H473" t="s">
        <v>46</v>
      </c>
      <c r="I473">
        <v>23013</v>
      </c>
      <c r="J473" t="s">
        <v>41</v>
      </c>
      <c r="K473">
        <v>13</v>
      </c>
      <c r="L473" t="s">
        <v>146</v>
      </c>
      <c r="M473">
        <v>2</v>
      </c>
      <c r="N473" t="s">
        <v>134</v>
      </c>
      <c r="O473" t="s">
        <v>501</v>
      </c>
      <c r="P473">
        <v>140</v>
      </c>
      <c r="Q473" t="s">
        <v>136</v>
      </c>
      <c r="R473" t="s">
        <v>137</v>
      </c>
      <c r="S473">
        <v>2300</v>
      </c>
      <c r="T473" t="s">
        <v>153</v>
      </c>
      <c r="U473" t="s">
        <v>344</v>
      </c>
      <c r="V473" t="s">
        <v>962</v>
      </c>
      <c r="W473" t="s">
        <v>166</v>
      </c>
      <c r="X473">
        <v>14875</v>
      </c>
      <c r="Y473" t="s">
        <v>178</v>
      </c>
      <c r="Z473" t="s">
        <v>143</v>
      </c>
      <c r="AA473" t="s">
        <v>144</v>
      </c>
      <c r="AB473" t="s">
        <v>145</v>
      </c>
      <c r="AC473" t="s">
        <v>146</v>
      </c>
      <c r="AD473">
        <v>10</v>
      </c>
      <c r="AE473">
        <v>56</v>
      </c>
      <c r="AF473">
        <v>14117</v>
      </c>
      <c r="AG473" t="s">
        <v>143</v>
      </c>
      <c r="AH473" t="s">
        <v>143</v>
      </c>
      <c r="AI473" t="s">
        <v>143</v>
      </c>
      <c r="AJ473" t="s">
        <v>143</v>
      </c>
      <c r="AK473" t="s">
        <v>143</v>
      </c>
      <c r="AL473" t="s">
        <v>147</v>
      </c>
      <c r="AM473">
        <v>833</v>
      </c>
      <c r="AN473" t="s">
        <v>148</v>
      </c>
      <c r="AO473" t="s">
        <v>963</v>
      </c>
      <c r="AP473" t="s">
        <v>43</v>
      </c>
    </row>
    <row r="474" spans="1:42" x14ac:dyDescent="0.3">
      <c r="A474" t="s">
        <v>39</v>
      </c>
      <c r="B474">
        <v>120</v>
      </c>
      <c r="C474" t="s">
        <v>40</v>
      </c>
      <c r="D474" t="s">
        <v>41</v>
      </c>
      <c r="E474" t="s">
        <v>986</v>
      </c>
      <c r="F474" t="s">
        <v>42</v>
      </c>
      <c r="G474" t="s">
        <v>43</v>
      </c>
      <c r="H474" t="s">
        <v>46</v>
      </c>
      <c r="I474">
        <v>23013</v>
      </c>
      <c r="J474" t="s">
        <v>41</v>
      </c>
      <c r="K474">
        <v>13</v>
      </c>
      <c r="L474" t="s">
        <v>146</v>
      </c>
      <c r="M474">
        <v>2</v>
      </c>
      <c r="N474" t="s">
        <v>160</v>
      </c>
      <c r="O474" t="s">
        <v>591</v>
      </c>
      <c r="P474">
        <v>140</v>
      </c>
      <c r="Q474" t="s">
        <v>136</v>
      </c>
      <c r="R474" t="s">
        <v>137</v>
      </c>
      <c r="S474">
        <v>2300</v>
      </c>
      <c r="T474" t="s">
        <v>153</v>
      </c>
      <c r="U474" t="s">
        <v>344</v>
      </c>
      <c r="V474" t="s">
        <v>962</v>
      </c>
      <c r="W474" t="s">
        <v>166</v>
      </c>
      <c r="X474">
        <v>18784</v>
      </c>
      <c r="Y474" t="s">
        <v>178</v>
      </c>
      <c r="Z474" t="s">
        <v>143</v>
      </c>
      <c r="AA474" t="s">
        <v>144</v>
      </c>
      <c r="AB474" t="s">
        <v>145</v>
      </c>
      <c r="AC474" t="s">
        <v>146</v>
      </c>
      <c r="AD474">
        <v>4</v>
      </c>
      <c r="AE474">
        <v>22</v>
      </c>
      <c r="AF474">
        <v>14118</v>
      </c>
      <c r="AG474" t="s">
        <v>143</v>
      </c>
      <c r="AH474" t="s">
        <v>143</v>
      </c>
      <c r="AI474" t="s">
        <v>143</v>
      </c>
      <c r="AJ474" t="s">
        <v>143</v>
      </c>
      <c r="AK474" t="s">
        <v>143</v>
      </c>
      <c r="AL474" t="s">
        <v>147</v>
      </c>
      <c r="AM474">
        <v>413.25</v>
      </c>
      <c r="AN474" t="s">
        <v>148</v>
      </c>
      <c r="AO474" t="s">
        <v>963</v>
      </c>
      <c r="AP474" t="s">
        <v>43</v>
      </c>
    </row>
    <row r="475" spans="1:42" x14ac:dyDescent="0.3">
      <c r="A475" t="s">
        <v>39</v>
      </c>
      <c r="B475">
        <v>120</v>
      </c>
      <c r="C475" t="s">
        <v>40</v>
      </c>
      <c r="D475" t="s">
        <v>41</v>
      </c>
      <c r="E475" t="s">
        <v>986</v>
      </c>
      <c r="F475" t="s">
        <v>42</v>
      </c>
      <c r="G475" t="s">
        <v>43</v>
      </c>
      <c r="H475" t="s">
        <v>48</v>
      </c>
      <c r="I475">
        <v>12773</v>
      </c>
      <c r="J475" t="s">
        <v>41</v>
      </c>
      <c r="K475">
        <v>773</v>
      </c>
      <c r="L475" t="s">
        <v>158</v>
      </c>
      <c r="M475">
        <v>2</v>
      </c>
      <c r="N475" t="s">
        <v>134</v>
      </c>
      <c r="O475" t="s">
        <v>763</v>
      </c>
      <c r="P475">
        <v>1284</v>
      </c>
      <c r="Q475" t="s">
        <v>225</v>
      </c>
      <c r="R475" t="s">
        <v>964</v>
      </c>
      <c r="S475">
        <v>4000</v>
      </c>
      <c r="T475" t="s">
        <v>189</v>
      </c>
      <c r="U475" t="s">
        <v>198</v>
      </c>
      <c r="V475" t="s">
        <v>199</v>
      </c>
      <c r="W475" t="s">
        <v>141</v>
      </c>
      <c r="X475">
        <v>24887</v>
      </c>
      <c r="Y475" t="s">
        <v>178</v>
      </c>
      <c r="Z475" t="s">
        <v>143</v>
      </c>
      <c r="AA475" t="s">
        <v>143</v>
      </c>
      <c r="AB475" t="s">
        <v>157</v>
      </c>
      <c r="AC475" t="s">
        <v>158</v>
      </c>
      <c r="AD475">
        <v>12</v>
      </c>
      <c r="AE475">
        <v>68</v>
      </c>
      <c r="AF475">
        <v>17109</v>
      </c>
      <c r="AG475" t="s">
        <v>143</v>
      </c>
      <c r="AH475" t="s">
        <v>143</v>
      </c>
      <c r="AI475" t="s">
        <v>143</v>
      </c>
      <c r="AJ475" t="s">
        <v>143</v>
      </c>
      <c r="AK475" t="s">
        <v>143</v>
      </c>
      <c r="AL475" t="s">
        <v>147</v>
      </c>
      <c r="AM475">
        <v>1692.32</v>
      </c>
      <c r="AN475" t="s">
        <v>348</v>
      </c>
      <c r="AO475" t="s">
        <v>349</v>
      </c>
      <c r="AP475" t="s">
        <v>43</v>
      </c>
    </row>
    <row r="476" spans="1:42" x14ac:dyDescent="0.3">
      <c r="A476" t="s">
        <v>39</v>
      </c>
      <c r="B476">
        <v>120</v>
      </c>
      <c r="C476" t="s">
        <v>40</v>
      </c>
      <c r="D476" t="s">
        <v>41</v>
      </c>
      <c r="E476" t="s">
        <v>986</v>
      </c>
      <c r="F476" t="s">
        <v>50</v>
      </c>
      <c r="G476" t="s">
        <v>43</v>
      </c>
      <c r="H476" t="s">
        <v>48</v>
      </c>
      <c r="I476">
        <v>20009</v>
      </c>
      <c r="J476" t="s">
        <v>41</v>
      </c>
      <c r="K476">
        <v>9</v>
      </c>
      <c r="L476" t="s">
        <v>146</v>
      </c>
      <c r="M476">
        <v>1</v>
      </c>
      <c r="N476" t="s">
        <v>168</v>
      </c>
      <c r="O476" t="s">
        <v>224</v>
      </c>
      <c r="P476">
        <v>1284</v>
      </c>
      <c r="Q476" t="s">
        <v>225</v>
      </c>
      <c r="R476" t="s">
        <v>964</v>
      </c>
      <c r="S476">
        <v>140</v>
      </c>
      <c r="T476" t="s">
        <v>136</v>
      </c>
      <c r="U476" t="s">
        <v>357</v>
      </c>
      <c r="V476" t="s">
        <v>358</v>
      </c>
      <c r="W476" t="s">
        <v>166</v>
      </c>
      <c r="X476">
        <v>26636</v>
      </c>
      <c r="Y476" t="s">
        <v>178</v>
      </c>
      <c r="Z476" t="s">
        <v>143</v>
      </c>
      <c r="AA476" t="s">
        <v>144</v>
      </c>
      <c r="AB476" t="s">
        <v>145</v>
      </c>
      <c r="AC476" t="s">
        <v>146</v>
      </c>
      <c r="AD476">
        <v>0</v>
      </c>
      <c r="AE476">
        <v>2</v>
      </c>
      <c r="AF476">
        <v>16514</v>
      </c>
      <c r="AG476" t="s">
        <v>143</v>
      </c>
      <c r="AH476" t="s">
        <v>143</v>
      </c>
      <c r="AI476" t="s">
        <v>143</v>
      </c>
      <c r="AJ476" t="s">
        <v>143</v>
      </c>
      <c r="AK476" t="s">
        <v>143</v>
      </c>
      <c r="AL476" t="s">
        <v>147</v>
      </c>
      <c r="AM476">
        <v>53.27</v>
      </c>
      <c r="AN476" t="s">
        <v>228</v>
      </c>
      <c r="AO476" t="s">
        <v>50</v>
      </c>
      <c r="AP476" t="s">
        <v>43</v>
      </c>
    </row>
    <row r="477" spans="1:42" x14ac:dyDescent="0.3">
      <c r="A477" t="s">
        <v>39</v>
      </c>
      <c r="B477">
        <v>120</v>
      </c>
      <c r="C477" t="s">
        <v>40</v>
      </c>
      <c r="D477" t="s">
        <v>41</v>
      </c>
      <c r="E477" t="s">
        <v>986</v>
      </c>
      <c r="F477" t="s">
        <v>50</v>
      </c>
      <c r="G477" t="s">
        <v>43</v>
      </c>
      <c r="H477" t="s">
        <v>48</v>
      </c>
      <c r="I477">
        <v>23017</v>
      </c>
      <c r="J477" t="s">
        <v>41</v>
      </c>
      <c r="K477">
        <v>17</v>
      </c>
      <c r="L477" t="s">
        <v>146</v>
      </c>
      <c r="M477">
        <v>3</v>
      </c>
      <c r="N477" t="s">
        <v>134</v>
      </c>
      <c r="O477" t="s">
        <v>801</v>
      </c>
      <c r="P477">
        <v>240</v>
      </c>
      <c r="Q477" t="s">
        <v>162</v>
      </c>
      <c r="R477" t="s">
        <v>392</v>
      </c>
      <c r="S477">
        <v>240</v>
      </c>
      <c r="T477" t="s">
        <v>162</v>
      </c>
      <c r="U477" t="s">
        <v>219</v>
      </c>
      <c r="V477" t="s">
        <v>220</v>
      </c>
      <c r="W477" t="s">
        <v>166</v>
      </c>
      <c r="X477">
        <v>7402</v>
      </c>
      <c r="Y477" t="s">
        <v>178</v>
      </c>
      <c r="Z477" t="s">
        <v>143</v>
      </c>
      <c r="AA477" t="s">
        <v>144</v>
      </c>
      <c r="AB477" t="s">
        <v>157</v>
      </c>
      <c r="AC477" t="s">
        <v>146</v>
      </c>
      <c r="AD477">
        <v>15</v>
      </c>
      <c r="AE477">
        <v>85</v>
      </c>
      <c r="AF477">
        <v>14122</v>
      </c>
      <c r="AG477" t="s">
        <v>143</v>
      </c>
      <c r="AH477" t="s">
        <v>143</v>
      </c>
      <c r="AI477" t="s">
        <v>143</v>
      </c>
      <c r="AJ477" t="s">
        <v>143</v>
      </c>
      <c r="AK477" t="s">
        <v>143</v>
      </c>
      <c r="AL477" t="s">
        <v>147</v>
      </c>
      <c r="AM477">
        <v>629.16999999999996</v>
      </c>
      <c r="AN477" t="s">
        <v>148</v>
      </c>
      <c r="AO477" t="s">
        <v>50</v>
      </c>
      <c r="AP477" t="s">
        <v>43</v>
      </c>
    </row>
    <row r="478" spans="1:42" x14ac:dyDescent="0.3">
      <c r="A478" t="s">
        <v>39</v>
      </c>
      <c r="B478">
        <v>120</v>
      </c>
      <c r="C478" t="s">
        <v>40</v>
      </c>
      <c r="D478" t="s">
        <v>49</v>
      </c>
      <c r="E478" t="s">
        <v>984</v>
      </c>
      <c r="F478" t="s">
        <v>45</v>
      </c>
      <c r="G478" t="s">
        <v>43</v>
      </c>
      <c r="H478" t="s">
        <v>48</v>
      </c>
      <c r="I478">
        <v>23045</v>
      </c>
      <c r="J478" t="s">
        <v>49</v>
      </c>
      <c r="K478">
        <v>45</v>
      </c>
      <c r="L478" t="s">
        <v>985</v>
      </c>
      <c r="M478">
        <v>1</v>
      </c>
      <c r="N478" t="s">
        <v>134</v>
      </c>
      <c r="O478" t="s">
        <v>596</v>
      </c>
      <c r="P478">
        <v>1061</v>
      </c>
      <c r="Q478" t="s">
        <v>517</v>
      </c>
      <c r="R478" t="s">
        <v>965</v>
      </c>
      <c r="S478">
        <v>478</v>
      </c>
      <c r="T478" t="s">
        <v>307</v>
      </c>
      <c r="U478" t="s">
        <v>966</v>
      </c>
      <c r="V478" t="s">
        <v>326</v>
      </c>
      <c r="W478" t="s">
        <v>141</v>
      </c>
      <c r="X478">
        <v>14282</v>
      </c>
      <c r="Y478" t="s">
        <v>178</v>
      </c>
      <c r="Z478" t="s">
        <v>144</v>
      </c>
      <c r="AA478" t="s">
        <v>143</v>
      </c>
      <c r="AB478" t="s">
        <v>145</v>
      </c>
      <c r="AC478" t="s">
        <v>158</v>
      </c>
      <c r="AD478">
        <v>55</v>
      </c>
      <c r="AE478">
        <v>317</v>
      </c>
      <c r="AF478">
        <v>891</v>
      </c>
      <c r="AG478" t="s">
        <v>143</v>
      </c>
      <c r="AH478" t="s">
        <v>143</v>
      </c>
      <c r="AI478" t="s">
        <v>143</v>
      </c>
      <c r="AJ478" t="s">
        <v>143</v>
      </c>
      <c r="AK478" t="s">
        <v>143</v>
      </c>
      <c r="AL478" t="s">
        <v>147</v>
      </c>
      <c r="AM478">
        <v>4527.3900000000003</v>
      </c>
      <c r="AN478" t="s">
        <v>250</v>
      </c>
      <c r="AO478" t="s">
        <v>50</v>
      </c>
      <c r="AP478" t="s">
        <v>43</v>
      </c>
    </row>
    <row r="479" spans="1:42" x14ac:dyDescent="0.3">
      <c r="A479" t="s">
        <v>39</v>
      </c>
      <c r="B479">
        <v>120</v>
      </c>
      <c r="C479" t="s">
        <v>40</v>
      </c>
      <c r="D479" t="s">
        <v>49</v>
      </c>
      <c r="E479" t="s">
        <v>984</v>
      </c>
      <c r="F479" t="s">
        <v>45</v>
      </c>
      <c r="G479" t="s">
        <v>43</v>
      </c>
      <c r="H479" t="s">
        <v>48</v>
      </c>
      <c r="I479">
        <v>24019</v>
      </c>
      <c r="J479" t="s">
        <v>49</v>
      </c>
      <c r="K479">
        <v>19</v>
      </c>
      <c r="L479" t="s">
        <v>985</v>
      </c>
      <c r="M479">
        <v>1</v>
      </c>
      <c r="N479" t="s">
        <v>160</v>
      </c>
      <c r="O479" t="s">
        <v>174</v>
      </c>
      <c r="P479">
        <v>7700</v>
      </c>
      <c r="Q479" t="s">
        <v>49</v>
      </c>
      <c r="R479" t="s">
        <v>241</v>
      </c>
      <c r="S479">
        <v>526</v>
      </c>
      <c r="T479" t="s">
        <v>240</v>
      </c>
      <c r="U479" t="s">
        <v>244</v>
      </c>
      <c r="V479" t="s">
        <v>904</v>
      </c>
      <c r="W479" t="s">
        <v>141</v>
      </c>
      <c r="X479">
        <v>10175</v>
      </c>
      <c r="Y479" t="s">
        <v>178</v>
      </c>
      <c r="Z479" t="s">
        <v>143</v>
      </c>
      <c r="AA479" t="s">
        <v>143</v>
      </c>
      <c r="AB479" t="s">
        <v>145</v>
      </c>
      <c r="AC479" t="s">
        <v>158</v>
      </c>
      <c r="AD479">
        <v>10</v>
      </c>
      <c r="AE479">
        <v>66</v>
      </c>
      <c r="AF479">
        <v>22863</v>
      </c>
      <c r="AG479" t="s">
        <v>143</v>
      </c>
      <c r="AH479" t="s">
        <v>143</v>
      </c>
      <c r="AI479" t="s">
        <v>143</v>
      </c>
      <c r="AJ479" t="s">
        <v>143</v>
      </c>
      <c r="AK479" t="s">
        <v>143</v>
      </c>
      <c r="AL479" t="s">
        <v>147</v>
      </c>
      <c r="AM479">
        <v>671.55</v>
      </c>
      <c r="AN479" t="s">
        <v>245</v>
      </c>
      <c r="AO479" t="s">
        <v>50</v>
      </c>
      <c r="AP479" t="s">
        <v>43</v>
      </c>
    </row>
    <row r="480" spans="1:42" x14ac:dyDescent="0.3">
      <c r="A480" t="s">
        <v>39</v>
      </c>
      <c r="B480">
        <v>120</v>
      </c>
      <c r="C480" t="s">
        <v>40</v>
      </c>
      <c r="D480" t="s">
        <v>49</v>
      </c>
      <c r="E480" t="s">
        <v>984</v>
      </c>
      <c r="F480" t="s">
        <v>45</v>
      </c>
      <c r="G480" t="s">
        <v>43</v>
      </c>
      <c r="H480" t="s">
        <v>48</v>
      </c>
      <c r="I480">
        <v>32013</v>
      </c>
      <c r="J480" t="s">
        <v>49</v>
      </c>
      <c r="K480">
        <v>13</v>
      </c>
      <c r="L480" t="s">
        <v>146</v>
      </c>
      <c r="M480">
        <v>2</v>
      </c>
      <c r="N480" t="s">
        <v>168</v>
      </c>
      <c r="O480" t="s">
        <v>501</v>
      </c>
      <c r="P480">
        <v>7700</v>
      </c>
      <c r="Q480" t="s">
        <v>49</v>
      </c>
      <c r="R480" t="s">
        <v>599</v>
      </c>
      <c r="S480">
        <v>7700</v>
      </c>
      <c r="T480" t="s">
        <v>49</v>
      </c>
      <c r="U480" t="s">
        <v>410</v>
      </c>
      <c r="V480" t="s">
        <v>249</v>
      </c>
      <c r="W480" t="s">
        <v>166</v>
      </c>
      <c r="X480">
        <v>18273</v>
      </c>
      <c r="Y480" t="s">
        <v>178</v>
      </c>
      <c r="Z480" t="s">
        <v>144</v>
      </c>
      <c r="AA480" t="s">
        <v>144</v>
      </c>
      <c r="AB480" t="s">
        <v>157</v>
      </c>
      <c r="AC480" t="s">
        <v>146</v>
      </c>
      <c r="AD480">
        <v>0</v>
      </c>
      <c r="AE480">
        <v>12</v>
      </c>
      <c r="AF480">
        <v>869</v>
      </c>
      <c r="AG480" t="s">
        <v>143</v>
      </c>
      <c r="AH480" t="s">
        <v>143</v>
      </c>
      <c r="AI480" t="s">
        <v>143</v>
      </c>
      <c r="AJ480" t="s">
        <v>143</v>
      </c>
      <c r="AK480" t="s">
        <v>143</v>
      </c>
      <c r="AL480" t="s">
        <v>147</v>
      </c>
      <c r="AM480">
        <v>219.28</v>
      </c>
      <c r="AN480" t="s">
        <v>250</v>
      </c>
      <c r="AO480" t="s">
        <v>50</v>
      </c>
      <c r="AP480" t="s">
        <v>43</v>
      </c>
    </row>
    <row r="481" spans="1:42" x14ac:dyDescent="0.3">
      <c r="A481" t="s">
        <v>39</v>
      </c>
      <c r="B481">
        <v>120</v>
      </c>
      <c r="C481" t="s">
        <v>40</v>
      </c>
      <c r="D481" t="s">
        <v>49</v>
      </c>
      <c r="E481" t="s">
        <v>984</v>
      </c>
      <c r="F481" t="s">
        <v>45</v>
      </c>
      <c r="G481" t="s">
        <v>43</v>
      </c>
      <c r="H481" t="s">
        <v>48</v>
      </c>
      <c r="I481">
        <v>37009</v>
      </c>
      <c r="J481" t="s">
        <v>49</v>
      </c>
      <c r="K481">
        <v>9</v>
      </c>
      <c r="L481" t="s">
        <v>146</v>
      </c>
      <c r="M481">
        <v>1</v>
      </c>
      <c r="N481" t="s">
        <v>160</v>
      </c>
      <c r="O481" t="s">
        <v>600</v>
      </c>
      <c r="P481">
        <v>874</v>
      </c>
      <c r="Q481" t="s">
        <v>235</v>
      </c>
      <c r="R481" t="s">
        <v>467</v>
      </c>
      <c r="S481">
        <v>1840</v>
      </c>
      <c r="T481" t="s">
        <v>230</v>
      </c>
      <c r="U481" t="s">
        <v>360</v>
      </c>
      <c r="V481" t="s">
        <v>361</v>
      </c>
      <c r="W481" t="s">
        <v>166</v>
      </c>
      <c r="X481">
        <v>13597</v>
      </c>
      <c r="Y481" t="s">
        <v>178</v>
      </c>
      <c r="Z481" t="s">
        <v>143</v>
      </c>
      <c r="AA481" t="s">
        <v>144</v>
      </c>
      <c r="AB481" t="s">
        <v>157</v>
      </c>
      <c r="AC481" t="s">
        <v>146</v>
      </c>
      <c r="AD481">
        <v>20</v>
      </c>
      <c r="AE481">
        <v>109</v>
      </c>
      <c r="AF481">
        <v>20680</v>
      </c>
      <c r="AG481" t="s">
        <v>143</v>
      </c>
      <c r="AH481" t="s">
        <v>143</v>
      </c>
      <c r="AI481" t="s">
        <v>143</v>
      </c>
      <c r="AJ481" t="s">
        <v>143</v>
      </c>
      <c r="AK481" t="s">
        <v>143</v>
      </c>
      <c r="AL481" t="s">
        <v>147</v>
      </c>
      <c r="AM481">
        <v>1482.07</v>
      </c>
      <c r="AN481" t="s">
        <v>323</v>
      </c>
      <c r="AO481" t="s">
        <v>50</v>
      </c>
      <c r="AP481" t="s">
        <v>43</v>
      </c>
    </row>
    <row r="482" spans="1:42" x14ac:dyDescent="0.3">
      <c r="A482" t="s">
        <v>39</v>
      </c>
      <c r="B482">
        <v>120</v>
      </c>
      <c r="C482" t="s">
        <v>40</v>
      </c>
      <c r="D482" t="s">
        <v>49</v>
      </c>
      <c r="E482" t="s">
        <v>984</v>
      </c>
      <c r="F482" t="s">
        <v>45</v>
      </c>
      <c r="G482" t="s">
        <v>43</v>
      </c>
      <c r="H482" t="s">
        <v>48</v>
      </c>
      <c r="I482">
        <v>90011</v>
      </c>
      <c r="J482" t="s">
        <v>49</v>
      </c>
      <c r="K482">
        <v>11</v>
      </c>
      <c r="L482" t="s">
        <v>146</v>
      </c>
      <c r="M482">
        <v>1</v>
      </c>
      <c r="N482" t="s">
        <v>134</v>
      </c>
      <c r="O482" t="s">
        <v>324</v>
      </c>
      <c r="P482">
        <v>7700</v>
      </c>
      <c r="Q482" t="s">
        <v>49</v>
      </c>
      <c r="R482" t="s">
        <v>197</v>
      </c>
      <c r="S482">
        <v>7700</v>
      </c>
      <c r="T482" t="s">
        <v>49</v>
      </c>
      <c r="U482" t="s">
        <v>905</v>
      </c>
      <c r="V482" t="s">
        <v>906</v>
      </c>
      <c r="W482" t="s">
        <v>166</v>
      </c>
      <c r="X482">
        <v>10625</v>
      </c>
      <c r="Y482" t="s">
        <v>178</v>
      </c>
      <c r="Z482" t="s">
        <v>143</v>
      </c>
      <c r="AA482" t="s">
        <v>144</v>
      </c>
      <c r="AB482" t="s">
        <v>157</v>
      </c>
      <c r="AC482" t="s">
        <v>146</v>
      </c>
      <c r="AD482">
        <v>71</v>
      </c>
      <c r="AE482">
        <v>413</v>
      </c>
      <c r="AF482">
        <v>29930</v>
      </c>
      <c r="AG482" t="s">
        <v>143</v>
      </c>
      <c r="AH482" t="s">
        <v>143</v>
      </c>
      <c r="AI482" t="s">
        <v>143</v>
      </c>
      <c r="AJ482" t="s">
        <v>143</v>
      </c>
      <c r="AK482" t="s">
        <v>143</v>
      </c>
      <c r="AL482" t="s">
        <v>147</v>
      </c>
      <c r="AM482">
        <v>4388.13</v>
      </c>
      <c r="AN482" t="s">
        <v>325</v>
      </c>
      <c r="AO482" t="s">
        <v>50</v>
      </c>
      <c r="AP482" t="s">
        <v>43</v>
      </c>
    </row>
    <row r="483" spans="1:42" x14ac:dyDescent="0.3">
      <c r="A483" t="s">
        <v>39</v>
      </c>
      <c r="B483">
        <v>120</v>
      </c>
      <c r="C483" t="s">
        <v>40</v>
      </c>
      <c r="D483" t="s">
        <v>49</v>
      </c>
      <c r="E483" t="s">
        <v>984</v>
      </c>
      <c r="F483" t="s">
        <v>42</v>
      </c>
      <c r="G483" t="s">
        <v>43</v>
      </c>
      <c r="H483" t="s">
        <v>48</v>
      </c>
      <c r="I483">
        <v>12350</v>
      </c>
      <c r="J483" t="s">
        <v>49</v>
      </c>
      <c r="K483">
        <v>350</v>
      </c>
      <c r="L483" t="s">
        <v>158</v>
      </c>
      <c r="M483">
        <v>1</v>
      </c>
      <c r="N483" t="s">
        <v>202</v>
      </c>
      <c r="O483" t="s">
        <v>401</v>
      </c>
      <c r="P483">
        <v>7700</v>
      </c>
      <c r="Q483" t="s">
        <v>49</v>
      </c>
      <c r="R483" t="s">
        <v>197</v>
      </c>
      <c r="S483">
        <v>913</v>
      </c>
      <c r="T483" t="s">
        <v>237</v>
      </c>
      <c r="U483" t="s">
        <v>449</v>
      </c>
      <c r="V483" t="s">
        <v>450</v>
      </c>
      <c r="W483" t="s">
        <v>141</v>
      </c>
      <c r="X483">
        <v>28631</v>
      </c>
      <c r="Y483" t="s">
        <v>178</v>
      </c>
      <c r="Z483" t="s">
        <v>143</v>
      </c>
      <c r="AA483" t="s">
        <v>143</v>
      </c>
      <c r="AB483" t="s">
        <v>157</v>
      </c>
      <c r="AC483" t="s">
        <v>158</v>
      </c>
      <c r="AD483">
        <v>2</v>
      </c>
      <c r="AE483">
        <v>10</v>
      </c>
      <c r="AF483">
        <v>22870</v>
      </c>
      <c r="AG483" t="s">
        <v>143</v>
      </c>
      <c r="AH483" t="s">
        <v>143</v>
      </c>
      <c r="AI483" t="s">
        <v>143</v>
      </c>
      <c r="AJ483" t="s">
        <v>143</v>
      </c>
      <c r="AK483" t="s">
        <v>143</v>
      </c>
      <c r="AL483" t="s">
        <v>147</v>
      </c>
      <c r="AM483">
        <v>286.31</v>
      </c>
      <c r="AN483" t="s">
        <v>245</v>
      </c>
      <c r="AO483" t="s">
        <v>200</v>
      </c>
      <c r="AP483" t="s">
        <v>43</v>
      </c>
    </row>
    <row r="484" spans="1:42" x14ac:dyDescent="0.3">
      <c r="A484" t="s">
        <v>39</v>
      </c>
      <c r="B484">
        <v>120</v>
      </c>
      <c r="C484" t="s">
        <v>40</v>
      </c>
      <c r="D484" t="s">
        <v>49</v>
      </c>
      <c r="E484" t="s">
        <v>984</v>
      </c>
      <c r="F484" t="s">
        <v>42</v>
      </c>
      <c r="G484" t="s">
        <v>43</v>
      </c>
      <c r="H484" t="s">
        <v>48</v>
      </c>
      <c r="I484">
        <v>12350</v>
      </c>
      <c r="J484" t="s">
        <v>49</v>
      </c>
      <c r="K484">
        <v>350</v>
      </c>
      <c r="L484" t="s">
        <v>158</v>
      </c>
      <c r="M484">
        <v>2</v>
      </c>
      <c r="N484" t="s">
        <v>168</v>
      </c>
      <c r="O484" t="s">
        <v>401</v>
      </c>
      <c r="P484">
        <v>913</v>
      </c>
      <c r="Q484" t="s">
        <v>237</v>
      </c>
      <c r="R484" t="s">
        <v>402</v>
      </c>
      <c r="S484">
        <v>7700</v>
      </c>
      <c r="T484" t="s">
        <v>49</v>
      </c>
      <c r="U484" t="s">
        <v>248</v>
      </c>
      <c r="V484" t="s">
        <v>253</v>
      </c>
      <c r="W484" t="s">
        <v>141</v>
      </c>
      <c r="X484">
        <v>30326</v>
      </c>
      <c r="Y484" t="s">
        <v>178</v>
      </c>
      <c r="Z484" t="s">
        <v>143</v>
      </c>
      <c r="AA484" t="s">
        <v>143</v>
      </c>
      <c r="AB484" t="s">
        <v>157</v>
      </c>
      <c r="AC484" t="s">
        <v>158</v>
      </c>
      <c r="AD484">
        <v>2</v>
      </c>
      <c r="AE484">
        <v>10</v>
      </c>
      <c r="AF484">
        <v>17864</v>
      </c>
      <c r="AG484" t="s">
        <v>143</v>
      </c>
      <c r="AH484" t="s">
        <v>143</v>
      </c>
      <c r="AI484" t="s">
        <v>143</v>
      </c>
      <c r="AJ484" t="s">
        <v>143</v>
      </c>
      <c r="AK484" t="s">
        <v>143</v>
      </c>
      <c r="AL484" t="s">
        <v>147</v>
      </c>
      <c r="AM484">
        <v>303.26</v>
      </c>
      <c r="AN484" t="s">
        <v>302</v>
      </c>
      <c r="AO484" t="s">
        <v>200</v>
      </c>
      <c r="AP484" t="s">
        <v>43</v>
      </c>
    </row>
    <row r="485" spans="1:42" x14ac:dyDescent="0.3">
      <c r="A485" t="s">
        <v>39</v>
      </c>
      <c r="B485">
        <v>120</v>
      </c>
      <c r="C485" t="s">
        <v>40</v>
      </c>
      <c r="D485" t="s">
        <v>49</v>
      </c>
      <c r="E485" t="s">
        <v>984</v>
      </c>
      <c r="F485" t="s">
        <v>42</v>
      </c>
      <c r="G485" t="s">
        <v>43</v>
      </c>
      <c r="H485" t="s">
        <v>48</v>
      </c>
      <c r="I485">
        <v>21047</v>
      </c>
      <c r="J485" t="s">
        <v>49</v>
      </c>
      <c r="K485">
        <v>47</v>
      </c>
      <c r="L485" t="s">
        <v>158</v>
      </c>
      <c r="M485">
        <v>2</v>
      </c>
      <c r="N485" t="s">
        <v>168</v>
      </c>
      <c r="O485" t="s">
        <v>306</v>
      </c>
      <c r="P485">
        <v>478</v>
      </c>
      <c r="Q485" t="s">
        <v>307</v>
      </c>
      <c r="R485" t="s">
        <v>308</v>
      </c>
      <c r="S485">
        <v>7700</v>
      </c>
      <c r="T485" t="s">
        <v>49</v>
      </c>
      <c r="U485" t="s">
        <v>248</v>
      </c>
      <c r="V485" t="s">
        <v>253</v>
      </c>
      <c r="W485" t="s">
        <v>141</v>
      </c>
      <c r="X485">
        <v>13040</v>
      </c>
      <c r="Y485" t="s">
        <v>178</v>
      </c>
      <c r="Z485" t="s">
        <v>143</v>
      </c>
      <c r="AA485" t="s">
        <v>143</v>
      </c>
      <c r="AB485" t="s">
        <v>145</v>
      </c>
      <c r="AC485" t="s">
        <v>158</v>
      </c>
      <c r="AD485">
        <v>16</v>
      </c>
      <c r="AE485">
        <v>80</v>
      </c>
      <c r="AF485">
        <v>18446</v>
      </c>
      <c r="AG485" t="s">
        <v>143</v>
      </c>
      <c r="AH485" t="s">
        <v>143</v>
      </c>
      <c r="AI485" t="s">
        <v>143</v>
      </c>
      <c r="AJ485" t="s">
        <v>143</v>
      </c>
      <c r="AK485" t="s">
        <v>143</v>
      </c>
      <c r="AL485" t="s">
        <v>147</v>
      </c>
      <c r="AM485">
        <v>1043.2</v>
      </c>
      <c r="AN485" t="s">
        <v>245</v>
      </c>
      <c r="AO485" t="s">
        <v>200</v>
      </c>
      <c r="AP485" t="s">
        <v>43</v>
      </c>
    </row>
    <row r="486" spans="1:42" x14ac:dyDescent="0.3">
      <c r="A486" t="s">
        <v>39</v>
      </c>
      <c r="B486">
        <v>120</v>
      </c>
      <c r="C486" t="s">
        <v>40</v>
      </c>
      <c r="D486" t="s">
        <v>49</v>
      </c>
      <c r="E486" t="s">
        <v>984</v>
      </c>
      <c r="F486" t="s">
        <v>42</v>
      </c>
      <c r="G486" t="s">
        <v>43</v>
      </c>
      <c r="H486" t="s">
        <v>48</v>
      </c>
      <c r="I486">
        <v>23053</v>
      </c>
      <c r="J486" t="s">
        <v>49</v>
      </c>
      <c r="K486">
        <v>53</v>
      </c>
      <c r="L486" t="s">
        <v>985</v>
      </c>
      <c r="M486">
        <v>1</v>
      </c>
      <c r="N486" t="s">
        <v>134</v>
      </c>
      <c r="O486" t="s">
        <v>434</v>
      </c>
      <c r="P486">
        <v>7700</v>
      </c>
      <c r="Q486" t="s">
        <v>49</v>
      </c>
      <c r="R486" t="s">
        <v>197</v>
      </c>
      <c r="S486">
        <v>1154</v>
      </c>
      <c r="T486" t="s">
        <v>435</v>
      </c>
      <c r="U486" t="s">
        <v>436</v>
      </c>
      <c r="V486" t="s">
        <v>967</v>
      </c>
      <c r="W486" t="s">
        <v>141</v>
      </c>
      <c r="X486">
        <v>34336</v>
      </c>
      <c r="Y486" t="s">
        <v>178</v>
      </c>
      <c r="Z486" t="s">
        <v>143</v>
      </c>
      <c r="AA486" t="s">
        <v>143</v>
      </c>
      <c r="AB486" t="s">
        <v>157</v>
      </c>
      <c r="AC486" t="s">
        <v>158</v>
      </c>
      <c r="AD486">
        <v>6</v>
      </c>
      <c r="AE486">
        <v>35</v>
      </c>
      <c r="AF486">
        <v>10822</v>
      </c>
      <c r="AG486" t="s">
        <v>143</v>
      </c>
      <c r="AH486" t="s">
        <v>143</v>
      </c>
      <c r="AI486" t="s">
        <v>143</v>
      </c>
      <c r="AJ486" t="s">
        <v>143</v>
      </c>
      <c r="AK486" t="s">
        <v>143</v>
      </c>
      <c r="AL486" t="s">
        <v>147</v>
      </c>
      <c r="AM486">
        <v>1201.76</v>
      </c>
      <c r="AN486" t="s">
        <v>437</v>
      </c>
      <c r="AO486" t="s">
        <v>200</v>
      </c>
      <c r="AP486" t="s">
        <v>43</v>
      </c>
    </row>
    <row r="487" spans="1:42" x14ac:dyDescent="0.3">
      <c r="A487" t="s">
        <v>39</v>
      </c>
      <c r="B487">
        <v>120</v>
      </c>
      <c r="C487" t="s">
        <v>40</v>
      </c>
      <c r="D487" t="s">
        <v>49</v>
      </c>
      <c r="E487" t="s">
        <v>984</v>
      </c>
      <c r="F487" t="s">
        <v>42</v>
      </c>
      <c r="G487" t="s">
        <v>43</v>
      </c>
      <c r="H487" t="s">
        <v>44</v>
      </c>
      <c r="I487">
        <v>10869</v>
      </c>
      <c r="J487" t="s">
        <v>49</v>
      </c>
      <c r="K487">
        <v>869</v>
      </c>
      <c r="L487" t="s">
        <v>158</v>
      </c>
      <c r="M487">
        <v>1</v>
      </c>
      <c r="N487" t="s">
        <v>134</v>
      </c>
      <c r="O487" t="s">
        <v>472</v>
      </c>
      <c r="P487">
        <v>7700</v>
      </c>
      <c r="Q487" t="s">
        <v>49</v>
      </c>
      <c r="R487" t="s">
        <v>197</v>
      </c>
      <c r="S487">
        <v>8600</v>
      </c>
      <c r="T487" t="s">
        <v>473</v>
      </c>
      <c r="U487" t="s">
        <v>474</v>
      </c>
      <c r="V487" t="s">
        <v>968</v>
      </c>
      <c r="W487" t="s">
        <v>141</v>
      </c>
      <c r="X487">
        <v>90983</v>
      </c>
      <c r="Y487" t="s">
        <v>178</v>
      </c>
      <c r="Z487" t="s">
        <v>143</v>
      </c>
      <c r="AA487" t="s">
        <v>143</v>
      </c>
      <c r="AB487" t="s">
        <v>157</v>
      </c>
      <c r="AC487" t="s">
        <v>158</v>
      </c>
      <c r="AD487">
        <v>4</v>
      </c>
      <c r="AE487">
        <v>20</v>
      </c>
      <c r="AF487">
        <v>30775</v>
      </c>
      <c r="AG487" t="s">
        <v>143</v>
      </c>
      <c r="AH487" t="s">
        <v>143</v>
      </c>
      <c r="AI487" t="s">
        <v>143</v>
      </c>
      <c r="AJ487" t="s">
        <v>143</v>
      </c>
      <c r="AK487" t="s">
        <v>143</v>
      </c>
      <c r="AL487" t="s">
        <v>147</v>
      </c>
      <c r="AM487">
        <v>1819.66</v>
      </c>
      <c r="AN487" t="s">
        <v>475</v>
      </c>
      <c r="AO487" t="s">
        <v>476</v>
      </c>
      <c r="AP487" t="s">
        <v>43</v>
      </c>
    </row>
    <row r="488" spans="1:42" x14ac:dyDescent="0.3">
      <c r="A488" t="s">
        <v>39</v>
      </c>
      <c r="B488">
        <v>120</v>
      </c>
      <c r="C488" t="s">
        <v>40</v>
      </c>
      <c r="D488" t="s">
        <v>49</v>
      </c>
      <c r="E488" t="s">
        <v>984</v>
      </c>
      <c r="F488" t="s">
        <v>50</v>
      </c>
      <c r="G488" t="s">
        <v>43</v>
      </c>
      <c r="H488" t="s">
        <v>48</v>
      </c>
      <c r="I488">
        <v>10854</v>
      </c>
      <c r="J488" t="s">
        <v>49</v>
      </c>
      <c r="K488">
        <v>854</v>
      </c>
      <c r="L488" t="s">
        <v>158</v>
      </c>
      <c r="M488">
        <v>1</v>
      </c>
      <c r="N488" t="s">
        <v>134</v>
      </c>
      <c r="O488" t="s">
        <v>332</v>
      </c>
      <c r="P488">
        <v>7700</v>
      </c>
      <c r="Q488" t="s">
        <v>49</v>
      </c>
      <c r="R488" t="s">
        <v>335</v>
      </c>
      <c r="S488">
        <v>3730</v>
      </c>
      <c r="T488" t="s">
        <v>333</v>
      </c>
      <c r="U488" t="s">
        <v>334</v>
      </c>
      <c r="V488" t="s">
        <v>698</v>
      </c>
      <c r="W488" t="s">
        <v>337</v>
      </c>
      <c r="X488">
        <v>138521</v>
      </c>
      <c r="Y488" t="s">
        <v>178</v>
      </c>
      <c r="Z488" t="s">
        <v>143</v>
      </c>
      <c r="AA488" t="s">
        <v>143</v>
      </c>
      <c r="AB488" t="s">
        <v>157</v>
      </c>
      <c r="AC488" t="s">
        <v>158</v>
      </c>
      <c r="AD488">
        <v>0</v>
      </c>
      <c r="AE488">
        <v>4</v>
      </c>
      <c r="AF488">
        <v>21184</v>
      </c>
      <c r="AG488" t="s">
        <v>143</v>
      </c>
      <c r="AH488" t="s">
        <v>143</v>
      </c>
      <c r="AI488" t="s">
        <v>143</v>
      </c>
      <c r="AJ488" t="s">
        <v>143</v>
      </c>
      <c r="AK488" t="s">
        <v>143</v>
      </c>
      <c r="AL488" t="s">
        <v>147</v>
      </c>
      <c r="AM488">
        <v>554.08000000000004</v>
      </c>
      <c r="AN488" t="s">
        <v>338</v>
      </c>
      <c r="AO488" t="s">
        <v>50</v>
      </c>
      <c r="AP488" t="s">
        <v>43</v>
      </c>
    </row>
    <row r="489" spans="1:42" x14ac:dyDescent="0.3">
      <c r="A489" t="s">
        <v>39</v>
      </c>
      <c r="B489">
        <v>120</v>
      </c>
      <c r="C489" t="s">
        <v>40</v>
      </c>
      <c r="D489" t="s">
        <v>49</v>
      </c>
      <c r="E489" t="s">
        <v>984</v>
      </c>
      <c r="F489" t="s">
        <v>50</v>
      </c>
      <c r="G489" t="s">
        <v>43</v>
      </c>
      <c r="H489" t="s">
        <v>48</v>
      </c>
      <c r="I489">
        <v>11855</v>
      </c>
      <c r="J489" t="s">
        <v>49</v>
      </c>
      <c r="K489">
        <v>855</v>
      </c>
      <c r="L489" t="s">
        <v>158</v>
      </c>
      <c r="M489">
        <v>2</v>
      </c>
      <c r="N489" t="s">
        <v>134</v>
      </c>
      <c r="O489" t="s">
        <v>558</v>
      </c>
      <c r="P489">
        <v>3797</v>
      </c>
      <c r="Q489" t="s">
        <v>559</v>
      </c>
      <c r="R489" t="s">
        <v>882</v>
      </c>
      <c r="S489">
        <v>7700</v>
      </c>
      <c r="T489" t="s">
        <v>49</v>
      </c>
      <c r="U489" t="s">
        <v>335</v>
      </c>
      <c r="V489" t="s">
        <v>336</v>
      </c>
      <c r="W489" t="s">
        <v>337</v>
      </c>
      <c r="X489">
        <v>118652</v>
      </c>
      <c r="Y489" t="s">
        <v>178</v>
      </c>
      <c r="Z489" t="s">
        <v>143</v>
      </c>
      <c r="AA489" t="s">
        <v>143</v>
      </c>
      <c r="AB489" t="s">
        <v>157</v>
      </c>
      <c r="AC489" t="s">
        <v>158</v>
      </c>
      <c r="AD489">
        <v>0</v>
      </c>
      <c r="AE489">
        <v>6</v>
      </c>
      <c r="AF489">
        <v>21187</v>
      </c>
      <c r="AG489" t="s">
        <v>143</v>
      </c>
      <c r="AH489" t="s">
        <v>143</v>
      </c>
      <c r="AI489" t="s">
        <v>143</v>
      </c>
      <c r="AJ489" t="s">
        <v>143</v>
      </c>
      <c r="AK489" t="s">
        <v>143</v>
      </c>
      <c r="AL489" t="s">
        <v>147</v>
      </c>
      <c r="AM489">
        <v>711.91</v>
      </c>
      <c r="AN489" t="s">
        <v>338</v>
      </c>
      <c r="AO489" t="s">
        <v>50</v>
      </c>
      <c r="AP489" t="s">
        <v>43</v>
      </c>
    </row>
    <row r="490" spans="1:42" x14ac:dyDescent="0.3">
      <c r="A490" t="s">
        <v>39</v>
      </c>
      <c r="B490">
        <v>120</v>
      </c>
      <c r="C490" t="s">
        <v>40</v>
      </c>
      <c r="D490" t="s">
        <v>49</v>
      </c>
      <c r="E490" t="s">
        <v>984</v>
      </c>
      <c r="F490" t="s">
        <v>50</v>
      </c>
      <c r="G490" t="s">
        <v>43</v>
      </c>
      <c r="H490" t="s">
        <v>48</v>
      </c>
      <c r="I490">
        <v>12350</v>
      </c>
      <c r="J490" t="s">
        <v>49</v>
      </c>
      <c r="K490">
        <v>350</v>
      </c>
      <c r="L490" t="s">
        <v>158</v>
      </c>
      <c r="M490">
        <v>2</v>
      </c>
      <c r="N490" t="s">
        <v>160</v>
      </c>
      <c r="O490" t="s">
        <v>401</v>
      </c>
      <c r="P490">
        <v>913</v>
      </c>
      <c r="Q490" t="s">
        <v>237</v>
      </c>
      <c r="R490" t="s">
        <v>449</v>
      </c>
      <c r="S490">
        <v>7700</v>
      </c>
      <c r="T490" t="s">
        <v>49</v>
      </c>
      <c r="U490" t="s">
        <v>248</v>
      </c>
      <c r="V490" t="s">
        <v>253</v>
      </c>
      <c r="W490" t="s">
        <v>141</v>
      </c>
      <c r="X490">
        <v>27021</v>
      </c>
      <c r="Y490" t="s">
        <v>178</v>
      </c>
      <c r="Z490" t="s">
        <v>143</v>
      </c>
      <c r="AA490" t="s">
        <v>143</v>
      </c>
      <c r="AB490" t="s">
        <v>157</v>
      </c>
      <c r="AC490" t="s">
        <v>158</v>
      </c>
      <c r="AD490">
        <v>3</v>
      </c>
      <c r="AE490">
        <v>28</v>
      </c>
      <c r="AF490">
        <v>942</v>
      </c>
      <c r="AG490" t="s">
        <v>143</v>
      </c>
      <c r="AH490" t="s">
        <v>143</v>
      </c>
      <c r="AI490" t="s">
        <v>143</v>
      </c>
      <c r="AJ490" t="s">
        <v>143</v>
      </c>
      <c r="AK490" t="s">
        <v>143</v>
      </c>
      <c r="AL490" t="s">
        <v>147</v>
      </c>
      <c r="AM490">
        <v>756.59</v>
      </c>
      <c r="AN490" t="s">
        <v>451</v>
      </c>
      <c r="AO490" t="s">
        <v>50</v>
      </c>
      <c r="AP490" t="s">
        <v>43</v>
      </c>
    </row>
    <row r="491" spans="1:42" x14ac:dyDescent="0.3">
      <c r="A491" t="s">
        <v>39</v>
      </c>
      <c r="B491">
        <v>120</v>
      </c>
      <c r="C491" t="s">
        <v>40</v>
      </c>
      <c r="D491" t="s">
        <v>49</v>
      </c>
      <c r="E491" t="s">
        <v>984</v>
      </c>
      <c r="F491" t="s">
        <v>50</v>
      </c>
      <c r="G491" t="s">
        <v>43</v>
      </c>
      <c r="H491" t="s">
        <v>48</v>
      </c>
      <c r="I491">
        <v>12354</v>
      </c>
      <c r="J491" t="s">
        <v>49</v>
      </c>
      <c r="K491">
        <v>354</v>
      </c>
      <c r="L491" t="s">
        <v>158</v>
      </c>
      <c r="M491">
        <v>2</v>
      </c>
      <c r="N491" t="s">
        <v>160</v>
      </c>
      <c r="O491" t="s">
        <v>562</v>
      </c>
      <c r="P491">
        <v>1061</v>
      </c>
      <c r="Q491" t="s">
        <v>517</v>
      </c>
      <c r="R491" t="s">
        <v>565</v>
      </c>
      <c r="S491">
        <v>7700</v>
      </c>
      <c r="T491" t="s">
        <v>49</v>
      </c>
      <c r="U491" t="s">
        <v>309</v>
      </c>
      <c r="V491" t="s">
        <v>242</v>
      </c>
      <c r="W491" t="s">
        <v>141</v>
      </c>
      <c r="X491">
        <v>23113</v>
      </c>
      <c r="Y491" t="s">
        <v>178</v>
      </c>
      <c r="Z491" t="s">
        <v>144</v>
      </c>
      <c r="AA491" t="s">
        <v>143</v>
      </c>
      <c r="AB491" t="s">
        <v>157</v>
      </c>
      <c r="AC491" t="s">
        <v>158</v>
      </c>
      <c r="AD491">
        <v>0</v>
      </c>
      <c r="AE491">
        <v>5</v>
      </c>
      <c r="AF491">
        <v>946</v>
      </c>
      <c r="AG491" t="s">
        <v>143</v>
      </c>
      <c r="AH491" t="s">
        <v>143</v>
      </c>
      <c r="AI491" t="s">
        <v>143</v>
      </c>
      <c r="AJ491" t="s">
        <v>143</v>
      </c>
      <c r="AK491" t="s">
        <v>143</v>
      </c>
      <c r="AL491" t="s">
        <v>147</v>
      </c>
      <c r="AM491">
        <v>115.57</v>
      </c>
      <c r="AN491" t="s">
        <v>889</v>
      </c>
      <c r="AO491" t="s">
        <v>50</v>
      </c>
      <c r="AP491" t="s">
        <v>43</v>
      </c>
    </row>
    <row r="492" spans="1:42" x14ac:dyDescent="0.3">
      <c r="A492" t="s">
        <v>39</v>
      </c>
      <c r="B492">
        <v>120</v>
      </c>
      <c r="C492" t="s">
        <v>40</v>
      </c>
      <c r="D492" t="s">
        <v>49</v>
      </c>
      <c r="E492" t="s">
        <v>984</v>
      </c>
      <c r="F492" t="s">
        <v>50</v>
      </c>
      <c r="G492" t="s">
        <v>43</v>
      </c>
      <c r="H492" t="s">
        <v>48</v>
      </c>
      <c r="I492">
        <v>20042</v>
      </c>
      <c r="J492" t="s">
        <v>49</v>
      </c>
      <c r="K492">
        <v>42</v>
      </c>
      <c r="L492" t="s">
        <v>985</v>
      </c>
      <c r="M492">
        <v>2</v>
      </c>
      <c r="N492" t="s">
        <v>134</v>
      </c>
      <c r="O492" t="s">
        <v>522</v>
      </c>
      <c r="P492">
        <v>457</v>
      </c>
      <c r="Q492" t="s">
        <v>523</v>
      </c>
      <c r="R492" t="s">
        <v>524</v>
      </c>
      <c r="S492">
        <v>7700</v>
      </c>
      <c r="T492" t="s">
        <v>49</v>
      </c>
      <c r="U492" t="s">
        <v>248</v>
      </c>
      <c r="V492" t="s">
        <v>253</v>
      </c>
      <c r="W492" t="s">
        <v>141</v>
      </c>
      <c r="X492">
        <v>31874</v>
      </c>
      <c r="Y492" t="s">
        <v>178</v>
      </c>
      <c r="Z492" t="s">
        <v>143</v>
      </c>
      <c r="AA492" t="s">
        <v>143</v>
      </c>
      <c r="AB492" t="s">
        <v>157</v>
      </c>
      <c r="AC492" t="s">
        <v>158</v>
      </c>
      <c r="AD492">
        <v>12</v>
      </c>
      <c r="AE492">
        <v>70</v>
      </c>
      <c r="AF492">
        <v>889</v>
      </c>
      <c r="AG492" t="s">
        <v>143</v>
      </c>
      <c r="AH492" t="s">
        <v>143</v>
      </c>
      <c r="AI492" t="s">
        <v>143</v>
      </c>
      <c r="AJ492" t="s">
        <v>143</v>
      </c>
      <c r="AK492" t="s">
        <v>143</v>
      </c>
      <c r="AL492" t="s">
        <v>147</v>
      </c>
      <c r="AM492">
        <v>2231.1799999999998</v>
      </c>
      <c r="AN492" t="s">
        <v>243</v>
      </c>
      <c r="AO492" t="s">
        <v>50</v>
      </c>
      <c r="AP492" t="s">
        <v>43</v>
      </c>
    </row>
    <row r="493" spans="1:42" x14ac:dyDescent="0.3">
      <c r="A493" t="s">
        <v>39</v>
      </c>
      <c r="B493">
        <v>120</v>
      </c>
      <c r="C493" t="s">
        <v>40</v>
      </c>
      <c r="D493" t="s">
        <v>49</v>
      </c>
      <c r="E493" t="s">
        <v>984</v>
      </c>
      <c r="F493" t="s">
        <v>50</v>
      </c>
      <c r="G493" t="s">
        <v>43</v>
      </c>
      <c r="H493" t="s">
        <v>48</v>
      </c>
      <c r="I493">
        <v>21047</v>
      </c>
      <c r="J493" t="s">
        <v>49</v>
      </c>
      <c r="K493">
        <v>47</v>
      </c>
      <c r="L493" t="s">
        <v>158</v>
      </c>
      <c r="M493">
        <v>1</v>
      </c>
      <c r="N493" t="s">
        <v>134</v>
      </c>
      <c r="O493" t="s">
        <v>306</v>
      </c>
      <c r="P493">
        <v>7700</v>
      </c>
      <c r="Q493" t="s">
        <v>49</v>
      </c>
      <c r="R493" t="s">
        <v>197</v>
      </c>
      <c r="S493">
        <v>478</v>
      </c>
      <c r="T493" t="s">
        <v>307</v>
      </c>
      <c r="U493" t="s">
        <v>308</v>
      </c>
      <c r="V493" t="s">
        <v>326</v>
      </c>
      <c r="W493" t="s">
        <v>141</v>
      </c>
      <c r="X493">
        <v>12006</v>
      </c>
      <c r="Y493" t="s">
        <v>178</v>
      </c>
      <c r="Z493" t="s">
        <v>143</v>
      </c>
      <c r="AA493" t="s">
        <v>143</v>
      </c>
      <c r="AB493" t="s">
        <v>145</v>
      </c>
      <c r="AC493" t="s">
        <v>158</v>
      </c>
      <c r="AD493">
        <v>19</v>
      </c>
      <c r="AE493">
        <v>122</v>
      </c>
      <c r="AF493">
        <v>10778</v>
      </c>
      <c r="AG493" t="s">
        <v>143</v>
      </c>
      <c r="AH493" t="s">
        <v>143</v>
      </c>
      <c r="AI493" t="s">
        <v>143</v>
      </c>
      <c r="AJ493" t="s">
        <v>143</v>
      </c>
      <c r="AK493" t="s">
        <v>143</v>
      </c>
      <c r="AL493" t="s">
        <v>147</v>
      </c>
      <c r="AM493">
        <v>1464.73</v>
      </c>
      <c r="AN493" t="s">
        <v>310</v>
      </c>
      <c r="AO493" t="s">
        <v>50</v>
      </c>
      <c r="AP493" t="s">
        <v>43</v>
      </c>
    </row>
    <row r="494" spans="1:42" x14ac:dyDescent="0.3">
      <c r="A494" t="s">
        <v>39</v>
      </c>
      <c r="B494">
        <v>120</v>
      </c>
      <c r="C494" t="s">
        <v>40</v>
      </c>
      <c r="D494" t="s">
        <v>49</v>
      </c>
      <c r="E494" t="s">
        <v>984</v>
      </c>
      <c r="F494" t="s">
        <v>50</v>
      </c>
      <c r="G494" t="s">
        <v>43</v>
      </c>
      <c r="H494" t="s">
        <v>48</v>
      </c>
      <c r="I494">
        <v>22044</v>
      </c>
      <c r="J494" t="s">
        <v>49</v>
      </c>
      <c r="K494">
        <v>44</v>
      </c>
      <c r="L494" t="s">
        <v>985</v>
      </c>
      <c r="M494">
        <v>2</v>
      </c>
      <c r="N494" t="s">
        <v>134</v>
      </c>
      <c r="O494" t="s">
        <v>548</v>
      </c>
      <c r="P494">
        <v>524</v>
      </c>
      <c r="Q494" t="s">
        <v>554</v>
      </c>
      <c r="R494" t="s">
        <v>555</v>
      </c>
      <c r="S494">
        <v>7700</v>
      </c>
      <c r="T494" t="s">
        <v>49</v>
      </c>
      <c r="U494" t="s">
        <v>248</v>
      </c>
      <c r="V494" t="s">
        <v>253</v>
      </c>
      <c r="W494" t="s">
        <v>141</v>
      </c>
      <c r="X494">
        <v>25454</v>
      </c>
      <c r="Y494" t="s">
        <v>178</v>
      </c>
      <c r="Z494" t="s">
        <v>143</v>
      </c>
      <c r="AA494" t="s">
        <v>143</v>
      </c>
      <c r="AB494" t="s">
        <v>157</v>
      </c>
      <c r="AC494" t="s">
        <v>158</v>
      </c>
      <c r="AD494">
        <v>13</v>
      </c>
      <c r="AE494">
        <v>74</v>
      </c>
      <c r="AF494">
        <v>10819</v>
      </c>
      <c r="AG494" t="s">
        <v>143</v>
      </c>
      <c r="AH494" t="s">
        <v>143</v>
      </c>
      <c r="AI494" t="s">
        <v>143</v>
      </c>
      <c r="AJ494" t="s">
        <v>143</v>
      </c>
      <c r="AK494" t="s">
        <v>143</v>
      </c>
      <c r="AL494" t="s">
        <v>147</v>
      </c>
      <c r="AM494">
        <v>1883.6</v>
      </c>
      <c r="AN494" t="s">
        <v>437</v>
      </c>
      <c r="AO494" t="s">
        <v>50</v>
      </c>
      <c r="AP494" t="s">
        <v>43</v>
      </c>
    </row>
    <row r="495" spans="1:42" x14ac:dyDescent="0.3">
      <c r="A495" t="s">
        <v>39</v>
      </c>
      <c r="B495">
        <v>120</v>
      </c>
      <c r="C495" t="s">
        <v>40</v>
      </c>
      <c r="D495" t="s">
        <v>49</v>
      </c>
      <c r="E495" t="s">
        <v>984</v>
      </c>
      <c r="F495" t="s">
        <v>50</v>
      </c>
      <c r="G495" t="s">
        <v>43</v>
      </c>
      <c r="H495" t="s">
        <v>48</v>
      </c>
      <c r="I495">
        <v>34025</v>
      </c>
      <c r="J495" t="s">
        <v>49</v>
      </c>
      <c r="K495">
        <v>25</v>
      </c>
      <c r="L495" t="s">
        <v>985</v>
      </c>
      <c r="M495">
        <v>1</v>
      </c>
      <c r="N495" t="s">
        <v>134</v>
      </c>
      <c r="O495" t="s">
        <v>453</v>
      </c>
      <c r="P495">
        <v>192</v>
      </c>
      <c r="Q495" t="s">
        <v>456</v>
      </c>
      <c r="R495" t="s">
        <v>456</v>
      </c>
      <c r="S495">
        <v>132</v>
      </c>
      <c r="T495" t="s">
        <v>454</v>
      </c>
      <c r="U495" t="s">
        <v>468</v>
      </c>
      <c r="V495" t="s">
        <v>469</v>
      </c>
      <c r="W495" t="s">
        <v>141</v>
      </c>
      <c r="X495">
        <v>18499</v>
      </c>
      <c r="Y495" t="s">
        <v>178</v>
      </c>
      <c r="Z495" t="s">
        <v>143</v>
      </c>
      <c r="AA495" t="s">
        <v>144</v>
      </c>
      <c r="AB495" t="s">
        <v>157</v>
      </c>
      <c r="AC495" t="s">
        <v>146</v>
      </c>
      <c r="AD495">
        <v>6</v>
      </c>
      <c r="AE495">
        <v>35</v>
      </c>
      <c r="AF495">
        <v>17857</v>
      </c>
      <c r="AG495" t="s">
        <v>143</v>
      </c>
      <c r="AH495" t="s">
        <v>143</v>
      </c>
      <c r="AI495" t="s">
        <v>143</v>
      </c>
      <c r="AJ495" t="s">
        <v>143</v>
      </c>
      <c r="AK495" t="s">
        <v>143</v>
      </c>
      <c r="AL495" t="s">
        <v>147</v>
      </c>
      <c r="AM495">
        <v>647.47</v>
      </c>
      <c r="AN495" t="s">
        <v>302</v>
      </c>
      <c r="AO495" t="s">
        <v>50</v>
      </c>
      <c r="AP495" t="s">
        <v>43</v>
      </c>
    </row>
    <row r="496" spans="1:42" x14ac:dyDescent="0.3">
      <c r="A496" t="s">
        <v>39</v>
      </c>
      <c r="B496">
        <v>120</v>
      </c>
      <c r="C496" t="s">
        <v>40</v>
      </c>
      <c r="D496" t="s">
        <v>49</v>
      </c>
      <c r="E496" t="s">
        <v>986</v>
      </c>
      <c r="F496" t="s">
        <v>45</v>
      </c>
      <c r="G496" t="s">
        <v>43</v>
      </c>
      <c r="H496" t="s">
        <v>47</v>
      </c>
      <c r="I496">
        <v>14156</v>
      </c>
      <c r="J496" t="s">
        <v>49</v>
      </c>
      <c r="K496">
        <v>156</v>
      </c>
      <c r="L496" t="s">
        <v>158</v>
      </c>
      <c r="M496">
        <v>2</v>
      </c>
      <c r="N496" t="s">
        <v>134</v>
      </c>
      <c r="O496" t="s">
        <v>532</v>
      </c>
      <c r="P496">
        <v>9800</v>
      </c>
      <c r="Q496" t="s">
        <v>182</v>
      </c>
      <c r="R496" t="s">
        <v>183</v>
      </c>
      <c r="S496">
        <v>7700</v>
      </c>
      <c r="T496" t="s">
        <v>49</v>
      </c>
      <c r="U496" t="s">
        <v>248</v>
      </c>
      <c r="V496" t="s">
        <v>253</v>
      </c>
      <c r="W496" t="s">
        <v>141</v>
      </c>
      <c r="X496">
        <v>54195</v>
      </c>
      <c r="Y496" t="s">
        <v>178</v>
      </c>
      <c r="Z496" t="s">
        <v>143</v>
      </c>
      <c r="AA496" t="s">
        <v>143</v>
      </c>
      <c r="AB496" t="s">
        <v>157</v>
      </c>
      <c r="AC496" t="s">
        <v>158</v>
      </c>
      <c r="AD496">
        <v>2</v>
      </c>
      <c r="AE496">
        <v>11</v>
      </c>
      <c r="AF496">
        <v>910</v>
      </c>
      <c r="AG496" t="s">
        <v>143</v>
      </c>
      <c r="AH496" t="s">
        <v>143</v>
      </c>
      <c r="AI496" t="s">
        <v>143</v>
      </c>
      <c r="AJ496" t="s">
        <v>143</v>
      </c>
      <c r="AK496" t="s">
        <v>143</v>
      </c>
      <c r="AL496" t="s">
        <v>147</v>
      </c>
      <c r="AM496">
        <v>596.15</v>
      </c>
      <c r="AN496" t="s">
        <v>250</v>
      </c>
      <c r="AO496" t="s">
        <v>187</v>
      </c>
      <c r="AP496" t="s">
        <v>43</v>
      </c>
    </row>
    <row r="497" spans="1:42" x14ac:dyDescent="0.3">
      <c r="A497" t="s">
        <v>39</v>
      </c>
      <c r="B497">
        <v>120</v>
      </c>
      <c r="C497" t="s">
        <v>40</v>
      </c>
      <c r="D497" t="s">
        <v>49</v>
      </c>
      <c r="E497" t="s">
        <v>986</v>
      </c>
      <c r="F497" t="s">
        <v>45</v>
      </c>
      <c r="G497" t="s">
        <v>61</v>
      </c>
      <c r="H497" t="s">
        <v>48</v>
      </c>
      <c r="I497">
        <v>12248</v>
      </c>
      <c r="J497" t="s">
        <v>49</v>
      </c>
      <c r="K497">
        <v>248</v>
      </c>
      <c r="L497" t="s">
        <v>158</v>
      </c>
      <c r="M497">
        <v>1</v>
      </c>
      <c r="N497" t="s">
        <v>134</v>
      </c>
      <c r="O497" t="s">
        <v>660</v>
      </c>
      <c r="P497">
        <v>637</v>
      </c>
      <c r="Q497" t="s">
        <v>661</v>
      </c>
      <c r="R497" t="s">
        <v>662</v>
      </c>
      <c r="S497">
        <v>4000</v>
      </c>
      <c r="T497" t="s">
        <v>189</v>
      </c>
      <c r="U497" t="s">
        <v>198</v>
      </c>
      <c r="V497" t="s">
        <v>199</v>
      </c>
      <c r="W497" t="s">
        <v>141</v>
      </c>
      <c r="X497">
        <v>45418</v>
      </c>
      <c r="Y497" t="s">
        <v>178</v>
      </c>
      <c r="Z497" t="s">
        <v>143</v>
      </c>
      <c r="AA497" t="s">
        <v>143</v>
      </c>
      <c r="AB497" t="s">
        <v>157</v>
      </c>
      <c r="AC497" t="s">
        <v>158</v>
      </c>
      <c r="AD497">
        <v>15</v>
      </c>
      <c r="AE497">
        <v>82</v>
      </c>
      <c r="AF497">
        <v>14797</v>
      </c>
      <c r="AG497" t="s">
        <v>143</v>
      </c>
      <c r="AH497" t="s">
        <v>143</v>
      </c>
      <c r="AI497" t="s">
        <v>143</v>
      </c>
      <c r="AJ497" t="s">
        <v>143</v>
      </c>
      <c r="AK497" t="s">
        <v>143</v>
      </c>
      <c r="AL497" t="s">
        <v>147</v>
      </c>
      <c r="AM497">
        <v>3724.28</v>
      </c>
      <c r="AN497" t="s">
        <v>148</v>
      </c>
      <c r="AO497" t="s">
        <v>50</v>
      </c>
      <c r="AP497" t="s">
        <v>61</v>
      </c>
    </row>
    <row r="498" spans="1:42" x14ac:dyDescent="0.3">
      <c r="A498" t="s">
        <v>39</v>
      </c>
      <c r="B498">
        <v>120</v>
      </c>
      <c r="C498" t="s">
        <v>40</v>
      </c>
      <c r="D498" t="s">
        <v>55</v>
      </c>
      <c r="E498" t="s">
        <v>984</v>
      </c>
      <c r="F498" t="s">
        <v>45</v>
      </c>
      <c r="G498" t="s">
        <v>43</v>
      </c>
      <c r="H498" t="s">
        <v>46</v>
      </c>
      <c r="I498">
        <v>25098</v>
      </c>
      <c r="J498" t="s">
        <v>55</v>
      </c>
      <c r="K498">
        <v>98</v>
      </c>
      <c r="L498" t="s">
        <v>146</v>
      </c>
      <c r="M498">
        <v>2</v>
      </c>
      <c r="N498" t="s">
        <v>134</v>
      </c>
      <c r="O498" t="s">
        <v>931</v>
      </c>
      <c r="P498">
        <v>6700</v>
      </c>
      <c r="Q498" t="s">
        <v>55</v>
      </c>
      <c r="R498" t="s">
        <v>545</v>
      </c>
      <c r="S498">
        <v>6700</v>
      </c>
      <c r="T498" t="s">
        <v>55</v>
      </c>
      <c r="U498" t="s">
        <v>546</v>
      </c>
      <c r="V498" t="s">
        <v>547</v>
      </c>
      <c r="W498" t="s">
        <v>166</v>
      </c>
      <c r="X498">
        <v>8373</v>
      </c>
      <c r="Y498" t="s">
        <v>156</v>
      </c>
      <c r="Z498" t="s">
        <v>143</v>
      </c>
      <c r="AA498" t="s">
        <v>144</v>
      </c>
      <c r="AB498" t="s">
        <v>157</v>
      </c>
      <c r="AC498" t="s">
        <v>146</v>
      </c>
      <c r="AD498">
        <v>2</v>
      </c>
      <c r="AE498">
        <v>10</v>
      </c>
      <c r="AF498">
        <v>15702</v>
      </c>
      <c r="AG498" t="s">
        <v>143</v>
      </c>
      <c r="AH498" t="s">
        <v>143</v>
      </c>
      <c r="AI498" t="s">
        <v>143</v>
      </c>
      <c r="AJ498" t="s">
        <v>143</v>
      </c>
      <c r="AK498" t="s">
        <v>143</v>
      </c>
      <c r="AL498" t="s">
        <v>147</v>
      </c>
      <c r="AM498">
        <v>83.73</v>
      </c>
      <c r="AN498" t="s">
        <v>417</v>
      </c>
      <c r="AO498" t="s">
        <v>159</v>
      </c>
      <c r="AP498" t="s">
        <v>43</v>
      </c>
    </row>
    <row r="499" spans="1:42" x14ac:dyDescent="0.3">
      <c r="A499" t="s">
        <v>39</v>
      </c>
      <c r="B499">
        <v>120</v>
      </c>
      <c r="C499" t="s">
        <v>40</v>
      </c>
      <c r="D499" t="s">
        <v>55</v>
      </c>
      <c r="E499" t="s">
        <v>984</v>
      </c>
      <c r="F499" t="s">
        <v>45</v>
      </c>
      <c r="G499" t="s">
        <v>43</v>
      </c>
      <c r="H499" t="s">
        <v>46</v>
      </c>
      <c r="I499">
        <v>26070</v>
      </c>
      <c r="J499" t="s">
        <v>55</v>
      </c>
      <c r="K499">
        <v>70</v>
      </c>
      <c r="L499" t="s">
        <v>146</v>
      </c>
      <c r="M499">
        <v>2</v>
      </c>
      <c r="N499" t="s">
        <v>134</v>
      </c>
      <c r="O499" t="s">
        <v>539</v>
      </c>
      <c r="P499">
        <v>6700</v>
      </c>
      <c r="Q499" t="s">
        <v>55</v>
      </c>
      <c r="R499" t="s">
        <v>603</v>
      </c>
      <c r="S499">
        <v>6700</v>
      </c>
      <c r="T499" t="s">
        <v>55</v>
      </c>
      <c r="U499" t="s">
        <v>969</v>
      </c>
      <c r="V499" t="s">
        <v>970</v>
      </c>
      <c r="W499" t="s">
        <v>166</v>
      </c>
      <c r="X499">
        <v>9047</v>
      </c>
      <c r="Y499" t="s">
        <v>156</v>
      </c>
      <c r="Z499" t="s">
        <v>143</v>
      </c>
      <c r="AA499" t="s">
        <v>144</v>
      </c>
      <c r="AB499" t="s">
        <v>157</v>
      </c>
      <c r="AC499" t="s">
        <v>146</v>
      </c>
      <c r="AD499">
        <v>0</v>
      </c>
      <c r="AE499">
        <v>4</v>
      </c>
      <c r="AF499">
        <v>15708</v>
      </c>
      <c r="AG499" t="s">
        <v>143</v>
      </c>
      <c r="AH499" t="s">
        <v>143</v>
      </c>
      <c r="AI499" t="s">
        <v>143</v>
      </c>
      <c r="AJ499" t="s">
        <v>143</v>
      </c>
      <c r="AK499" t="s">
        <v>143</v>
      </c>
      <c r="AL499" t="s">
        <v>147</v>
      </c>
      <c r="AM499">
        <v>36.19</v>
      </c>
      <c r="AN499" t="s">
        <v>417</v>
      </c>
      <c r="AO499" t="s">
        <v>159</v>
      </c>
      <c r="AP499" t="s">
        <v>43</v>
      </c>
    </row>
    <row r="500" spans="1:42" x14ac:dyDescent="0.3">
      <c r="A500" t="s">
        <v>39</v>
      </c>
      <c r="B500">
        <v>120</v>
      </c>
      <c r="C500" t="s">
        <v>40</v>
      </c>
      <c r="D500" t="s">
        <v>55</v>
      </c>
      <c r="E500" t="s">
        <v>984</v>
      </c>
      <c r="F500" t="s">
        <v>45</v>
      </c>
      <c r="G500" t="s">
        <v>43</v>
      </c>
      <c r="H500" t="s">
        <v>46</v>
      </c>
      <c r="I500">
        <v>29097</v>
      </c>
      <c r="J500" t="s">
        <v>55</v>
      </c>
      <c r="K500">
        <v>97</v>
      </c>
      <c r="L500" t="s">
        <v>146</v>
      </c>
      <c r="M500">
        <v>1</v>
      </c>
      <c r="N500" t="s">
        <v>134</v>
      </c>
      <c r="O500" t="s">
        <v>167</v>
      </c>
      <c r="P500">
        <v>6700</v>
      </c>
      <c r="Q500" t="s">
        <v>55</v>
      </c>
      <c r="R500" t="s">
        <v>971</v>
      </c>
      <c r="S500">
        <v>6700</v>
      </c>
      <c r="T500" t="s">
        <v>55</v>
      </c>
      <c r="U500" t="s">
        <v>913</v>
      </c>
      <c r="V500" t="s">
        <v>914</v>
      </c>
      <c r="W500" t="s">
        <v>166</v>
      </c>
      <c r="X500">
        <v>7568</v>
      </c>
      <c r="Y500" t="s">
        <v>156</v>
      </c>
      <c r="Z500" t="s">
        <v>143</v>
      </c>
      <c r="AA500" t="s">
        <v>144</v>
      </c>
      <c r="AB500" t="s">
        <v>157</v>
      </c>
      <c r="AC500" t="s">
        <v>146</v>
      </c>
      <c r="AD500">
        <v>1</v>
      </c>
      <c r="AE500">
        <v>6</v>
      </c>
      <c r="AF500">
        <v>15699</v>
      </c>
      <c r="AG500" t="s">
        <v>143</v>
      </c>
      <c r="AH500" t="s">
        <v>143</v>
      </c>
      <c r="AI500" t="s">
        <v>143</v>
      </c>
      <c r="AJ500" t="s">
        <v>143</v>
      </c>
      <c r="AK500" t="s">
        <v>143</v>
      </c>
      <c r="AL500" t="s">
        <v>147</v>
      </c>
      <c r="AM500">
        <v>45.41</v>
      </c>
      <c r="AN500" t="s">
        <v>417</v>
      </c>
      <c r="AO500" t="s">
        <v>159</v>
      </c>
      <c r="AP500" t="s">
        <v>43</v>
      </c>
    </row>
    <row r="501" spans="1:42" x14ac:dyDescent="0.3">
      <c r="A501" t="s">
        <v>39</v>
      </c>
      <c r="B501">
        <v>120</v>
      </c>
      <c r="C501" t="s">
        <v>40</v>
      </c>
      <c r="D501" t="s">
        <v>55</v>
      </c>
      <c r="E501" t="s">
        <v>984</v>
      </c>
      <c r="F501" t="s">
        <v>45</v>
      </c>
      <c r="G501" t="s">
        <v>43</v>
      </c>
      <c r="H501" t="s">
        <v>48</v>
      </c>
      <c r="I501">
        <v>22033</v>
      </c>
      <c r="J501" t="s">
        <v>55</v>
      </c>
      <c r="K501">
        <v>33</v>
      </c>
      <c r="L501" t="s">
        <v>985</v>
      </c>
      <c r="M501">
        <v>1</v>
      </c>
      <c r="N501" t="s">
        <v>134</v>
      </c>
      <c r="O501" t="s">
        <v>621</v>
      </c>
      <c r="P501">
        <v>6700</v>
      </c>
      <c r="Q501" t="s">
        <v>55</v>
      </c>
      <c r="R501" t="s">
        <v>429</v>
      </c>
      <c r="S501">
        <v>508</v>
      </c>
      <c r="T501" t="s">
        <v>622</v>
      </c>
      <c r="U501" t="s">
        <v>623</v>
      </c>
      <c r="V501" t="s">
        <v>972</v>
      </c>
      <c r="W501" t="s">
        <v>141</v>
      </c>
      <c r="X501">
        <v>35996</v>
      </c>
      <c r="Y501" t="s">
        <v>178</v>
      </c>
      <c r="Z501" t="s">
        <v>143</v>
      </c>
      <c r="AA501" t="s">
        <v>143</v>
      </c>
      <c r="AB501" t="s">
        <v>157</v>
      </c>
      <c r="AC501" t="s">
        <v>158</v>
      </c>
      <c r="AD501">
        <v>6</v>
      </c>
      <c r="AE501">
        <v>35</v>
      </c>
      <c r="AF501">
        <v>15591</v>
      </c>
      <c r="AG501" t="s">
        <v>143</v>
      </c>
      <c r="AH501" t="s">
        <v>143</v>
      </c>
      <c r="AI501" t="s">
        <v>143</v>
      </c>
      <c r="AJ501" t="s">
        <v>143</v>
      </c>
      <c r="AK501" t="s">
        <v>143</v>
      </c>
      <c r="AL501" t="s">
        <v>147</v>
      </c>
      <c r="AM501">
        <v>1259.8599999999999</v>
      </c>
      <c r="AN501" t="s">
        <v>417</v>
      </c>
      <c r="AO501" t="s">
        <v>50</v>
      </c>
      <c r="AP501" t="s">
        <v>43</v>
      </c>
    </row>
    <row r="502" spans="1:42" x14ac:dyDescent="0.3">
      <c r="A502" t="s">
        <v>39</v>
      </c>
      <c r="B502">
        <v>120</v>
      </c>
      <c r="C502" t="s">
        <v>40</v>
      </c>
      <c r="D502" t="s">
        <v>55</v>
      </c>
      <c r="E502" t="s">
        <v>984</v>
      </c>
      <c r="F502" t="s">
        <v>45</v>
      </c>
      <c r="G502" t="s">
        <v>43</v>
      </c>
      <c r="H502" t="s">
        <v>48</v>
      </c>
      <c r="I502">
        <v>26030</v>
      </c>
      <c r="J502" t="s">
        <v>55</v>
      </c>
      <c r="K502">
        <v>30</v>
      </c>
      <c r="L502" t="s">
        <v>158</v>
      </c>
      <c r="M502">
        <v>1</v>
      </c>
      <c r="N502" t="s">
        <v>134</v>
      </c>
      <c r="O502" t="s">
        <v>553</v>
      </c>
      <c r="P502">
        <v>6700</v>
      </c>
      <c r="Q502" t="s">
        <v>55</v>
      </c>
      <c r="R502" t="s">
        <v>429</v>
      </c>
      <c r="S502">
        <v>7700</v>
      </c>
      <c r="T502" t="s">
        <v>49</v>
      </c>
      <c r="U502" t="s">
        <v>248</v>
      </c>
      <c r="V502" t="s">
        <v>253</v>
      </c>
      <c r="W502" t="s">
        <v>141</v>
      </c>
      <c r="X502">
        <v>58212</v>
      </c>
      <c r="Y502" t="s">
        <v>178</v>
      </c>
      <c r="Z502" t="s">
        <v>143</v>
      </c>
      <c r="AA502" t="s">
        <v>143</v>
      </c>
      <c r="AB502" t="s">
        <v>157</v>
      </c>
      <c r="AC502" t="s">
        <v>158</v>
      </c>
      <c r="AD502">
        <v>8</v>
      </c>
      <c r="AE502">
        <v>46</v>
      </c>
      <c r="AF502">
        <v>15179</v>
      </c>
      <c r="AG502" t="s">
        <v>143</v>
      </c>
      <c r="AH502" t="s">
        <v>143</v>
      </c>
      <c r="AI502" t="s">
        <v>143</v>
      </c>
      <c r="AJ502" t="s">
        <v>143</v>
      </c>
      <c r="AK502" t="s">
        <v>143</v>
      </c>
      <c r="AL502" t="s">
        <v>147</v>
      </c>
      <c r="AM502">
        <v>2677.75</v>
      </c>
      <c r="AN502" t="s">
        <v>233</v>
      </c>
      <c r="AO502" t="s">
        <v>50</v>
      </c>
      <c r="AP502" t="s">
        <v>43</v>
      </c>
    </row>
    <row r="503" spans="1:42" x14ac:dyDescent="0.3">
      <c r="A503" t="s">
        <v>39</v>
      </c>
      <c r="B503">
        <v>120</v>
      </c>
      <c r="C503" t="s">
        <v>40</v>
      </c>
      <c r="D503" t="s">
        <v>55</v>
      </c>
      <c r="E503" t="s">
        <v>984</v>
      </c>
      <c r="F503" t="s">
        <v>45</v>
      </c>
      <c r="G503" t="s">
        <v>43</v>
      </c>
      <c r="H503" t="s">
        <v>48</v>
      </c>
      <c r="I503">
        <v>38011</v>
      </c>
      <c r="J503" t="s">
        <v>55</v>
      </c>
      <c r="K503">
        <v>11</v>
      </c>
      <c r="L503" t="s">
        <v>146</v>
      </c>
      <c r="M503">
        <v>2</v>
      </c>
      <c r="N503" t="s">
        <v>134</v>
      </c>
      <c r="O503" t="s">
        <v>324</v>
      </c>
      <c r="P503">
        <v>6700</v>
      </c>
      <c r="Q503" t="s">
        <v>55</v>
      </c>
      <c r="R503" t="s">
        <v>674</v>
      </c>
      <c r="S503">
        <v>6700</v>
      </c>
      <c r="T503" t="s">
        <v>55</v>
      </c>
      <c r="U503" t="s">
        <v>426</v>
      </c>
      <c r="V503" t="s">
        <v>249</v>
      </c>
      <c r="W503" t="s">
        <v>166</v>
      </c>
      <c r="X503">
        <v>13398</v>
      </c>
      <c r="Y503" t="s">
        <v>178</v>
      </c>
      <c r="Z503" t="s">
        <v>143</v>
      </c>
      <c r="AA503" t="s">
        <v>144</v>
      </c>
      <c r="AB503" t="s">
        <v>157</v>
      </c>
      <c r="AC503" t="s">
        <v>146</v>
      </c>
      <c r="AD503">
        <v>55</v>
      </c>
      <c r="AE503">
        <v>317</v>
      </c>
      <c r="AF503">
        <v>15585</v>
      </c>
      <c r="AG503" t="s">
        <v>143</v>
      </c>
      <c r="AH503" t="s">
        <v>143</v>
      </c>
      <c r="AI503" t="s">
        <v>143</v>
      </c>
      <c r="AJ503" t="s">
        <v>143</v>
      </c>
      <c r="AK503" t="s">
        <v>143</v>
      </c>
      <c r="AL503" t="s">
        <v>147</v>
      </c>
      <c r="AM503">
        <v>4247.17</v>
      </c>
      <c r="AN503" t="s">
        <v>417</v>
      </c>
      <c r="AO503" t="s">
        <v>50</v>
      </c>
      <c r="AP503" t="s">
        <v>43</v>
      </c>
    </row>
    <row r="504" spans="1:42" x14ac:dyDescent="0.3">
      <c r="A504" t="s">
        <v>39</v>
      </c>
      <c r="B504">
        <v>120</v>
      </c>
      <c r="C504" t="s">
        <v>40</v>
      </c>
      <c r="D504" t="s">
        <v>55</v>
      </c>
      <c r="E504" t="s">
        <v>984</v>
      </c>
      <c r="F504" t="s">
        <v>42</v>
      </c>
      <c r="G504" t="s">
        <v>43</v>
      </c>
      <c r="H504" t="s">
        <v>47</v>
      </c>
      <c r="I504">
        <v>36048</v>
      </c>
      <c r="J504" t="s">
        <v>55</v>
      </c>
      <c r="K504">
        <v>48</v>
      </c>
      <c r="L504" t="s">
        <v>985</v>
      </c>
      <c r="M504">
        <v>1</v>
      </c>
      <c r="N504" t="s">
        <v>134</v>
      </c>
      <c r="O504" t="s">
        <v>688</v>
      </c>
      <c r="P504">
        <v>6700</v>
      </c>
      <c r="Q504" t="s">
        <v>55</v>
      </c>
      <c r="R504" t="s">
        <v>429</v>
      </c>
      <c r="S504">
        <v>1230</v>
      </c>
      <c r="T504" t="s">
        <v>689</v>
      </c>
      <c r="U504" t="s">
        <v>690</v>
      </c>
      <c r="V504" t="s">
        <v>973</v>
      </c>
      <c r="W504" t="s">
        <v>141</v>
      </c>
      <c r="X504">
        <v>20915</v>
      </c>
      <c r="Y504" t="s">
        <v>178</v>
      </c>
      <c r="Z504" t="s">
        <v>143</v>
      </c>
      <c r="AA504" t="s">
        <v>143</v>
      </c>
      <c r="AB504" t="s">
        <v>145</v>
      </c>
      <c r="AC504" t="s">
        <v>158</v>
      </c>
      <c r="AD504">
        <v>6</v>
      </c>
      <c r="AE504">
        <v>34</v>
      </c>
      <c r="AF504">
        <v>15475</v>
      </c>
      <c r="AG504" t="s">
        <v>143</v>
      </c>
      <c r="AH504" t="s">
        <v>143</v>
      </c>
      <c r="AI504" t="s">
        <v>143</v>
      </c>
      <c r="AJ504" t="s">
        <v>143</v>
      </c>
      <c r="AK504" t="s">
        <v>143</v>
      </c>
      <c r="AL504" t="s">
        <v>147</v>
      </c>
      <c r="AM504">
        <v>711.11</v>
      </c>
      <c r="AN504" t="s">
        <v>417</v>
      </c>
      <c r="AO504" t="s">
        <v>552</v>
      </c>
      <c r="AP504" t="s">
        <v>43</v>
      </c>
    </row>
    <row r="505" spans="1:42" x14ac:dyDescent="0.3">
      <c r="A505" t="s">
        <v>39</v>
      </c>
      <c r="B505">
        <v>120</v>
      </c>
      <c r="C505" t="s">
        <v>40</v>
      </c>
      <c r="D505" t="s">
        <v>55</v>
      </c>
      <c r="E505" t="s">
        <v>984</v>
      </c>
      <c r="F505" t="s">
        <v>50</v>
      </c>
      <c r="G505" t="s">
        <v>43</v>
      </c>
      <c r="H505" t="s">
        <v>48</v>
      </c>
      <c r="I505">
        <v>27009</v>
      </c>
      <c r="J505" t="s">
        <v>55</v>
      </c>
      <c r="K505">
        <v>9</v>
      </c>
      <c r="L505" t="s">
        <v>146</v>
      </c>
      <c r="M505">
        <v>1</v>
      </c>
      <c r="N505" t="s">
        <v>134</v>
      </c>
      <c r="O505" t="s">
        <v>224</v>
      </c>
      <c r="P505">
        <v>6700</v>
      </c>
      <c r="Q505" t="s">
        <v>55</v>
      </c>
      <c r="R505" t="s">
        <v>429</v>
      </c>
      <c r="S505">
        <v>6700</v>
      </c>
      <c r="T505" t="s">
        <v>55</v>
      </c>
      <c r="U505" t="s">
        <v>546</v>
      </c>
      <c r="V505" t="s">
        <v>547</v>
      </c>
      <c r="W505" t="s">
        <v>166</v>
      </c>
      <c r="X505">
        <v>9506</v>
      </c>
      <c r="Y505" t="s">
        <v>178</v>
      </c>
      <c r="Z505" t="s">
        <v>143</v>
      </c>
      <c r="AA505" t="s">
        <v>144</v>
      </c>
      <c r="AB505" t="s">
        <v>157</v>
      </c>
      <c r="AC505" t="s">
        <v>146</v>
      </c>
      <c r="AD505">
        <v>48</v>
      </c>
      <c r="AE505">
        <v>275</v>
      </c>
      <c r="AF505">
        <v>15619</v>
      </c>
      <c r="AG505" t="s">
        <v>143</v>
      </c>
      <c r="AH505" t="s">
        <v>143</v>
      </c>
      <c r="AI505" t="s">
        <v>143</v>
      </c>
      <c r="AJ505" t="s">
        <v>143</v>
      </c>
      <c r="AK505" t="s">
        <v>143</v>
      </c>
      <c r="AL505" t="s">
        <v>147</v>
      </c>
      <c r="AM505">
        <v>2614.15</v>
      </c>
      <c r="AN505" t="s">
        <v>417</v>
      </c>
      <c r="AO505" t="s">
        <v>50</v>
      </c>
      <c r="AP505" t="s">
        <v>43</v>
      </c>
    </row>
    <row r="506" spans="1:42" x14ac:dyDescent="0.3">
      <c r="A506" t="s">
        <v>39</v>
      </c>
      <c r="B506">
        <v>120</v>
      </c>
      <c r="C506" t="s">
        <v>40</v>
      </c>
      <c r="D506" t="s">
        <v>55</v>
      </c>
      <c r="E506" t="s">
        <v>984</v>
      </c>
      <c r="F506" t="s">
        <v>50</v>
      </c>
      <c r="G506" t="s">
        <v>43</v>
      </c>
      <c r="H506" t="s">
        <v>48</v>
      </c>
      <c r="I506">
        <v>27009</v>
      </c>
      <c r="J506" t="s">
        <v>55</v>
      </c>
      <c r="K506">
        <v>9</v>
      </c>
      <c r="L506" t="s">
        <v>146</v>
      </c>
      <c r="M506">
        <v>2</v>
      </c>
      <c r="N506" t="s">
        <v>134</v>
      </c>
      <c r="O506" t="s">
        <v>224</v>
      </c>
      <c r="P506">
        <v>6700</v>
      </c>
      <c r="Q506" t="s">
        <v>55</v>
      </c>
      <c r="R506" t="s">
        <v>540</v>
      </c>
      <c r="S506">
        <v>6700</v>
      </c>
      <c r="T506" t="s">
        <v>55</v>
      </c>
      <c r="U506" t="s">
        <v>426</v>
      </c>
      <c r="V506" t="s">
        <v>249</v>
      </c>
      <c r="W506" t="s">
        <v>166</v>
      </c>
      <c r="X506">
        <v>9865</v>
      </c>
      <c r="Y506" t="s">
        <v>178</v>
      </c>
      <c r="Z506" t="s">
        <v>143</v>
      </c>
      <c r="AA506" t="s">
        <v>144</v>
      </c>
      <c r="AB506" t="s">
        <v>157</v>
      </c>
      <c r="AC506" t="s">
        <v>146</v>
      </c>
      <c r="AD506">
        <v>57</v>
      </c>
      <c r="AE506">
        <v>327</v>
      </c>
      <c r="AF506">
        <v>15620</v>
      </c>
      <c r="AG506" t="s">
        <v>143</v>
      </c>
      <c r="AH506" t="s">
        <v>143</v>
      </c>
      <c r="AI506" t="s">
        <v>143</v>
      </c>
      <c r="AJ506" t="s">
        <v>143</v>
      </c>
      <c r="AK506" t="s">
        <v>143</v>
      </c>
      <c r="AL506" t="s">
        <v>147</v>
      </c>
      <c r="AM506">
        <v>3225.86</v>
      </c>
      <c r="AN506" t="s">
        <v>417</v>
      </c>
      <c r="AO506" t="s">
        <v>50</v>
      </c>
      <c r="AP506" t="s">
        <v>43</v>
      </c>
    </row>
    <row r="507" spans="1:42" x14ac:dyDescent="0.3">
      <c r="A507" t="s">
        <v>39</v>
      </c>
      <c r="B507">
        <v>120</v>
      </c>
      <c r="C507" t="s">
        <v>40</v>
      </c>
      <c r="D507" t="s">
        <v>55</v>
      </c>
      <c r="I507">
        <v>11452</v>
      </c>
      <c r="J507" t="s">
        <v>55</v>
      </c>
      <c r="K507">
        <v>452</v>
      </c>
    </row>
    <row r="508" spans="1:42" x14ac:dyDescent="0.3">
      <c r="A508" t="s">
        <v>39</v>
      </c>
      <c r="B508">
        <v>120</v>
      </c>
      <c r="C508" t="s">
        <v>40</v>
      </c>
      <c r="D508" t="s">
        <v>55</v>
      </c>
      <c r="I508">
        <v>10859</v>
      </c>
      <c r="J508" t="s">
        <v>55</v>
      </c>
      <c r="K508">
        <v>859</v>
      </c>
    </row>
    <row r="509" spans="1:42" x14ac:dyDescent="0.3">
      <c r="A509" t="s">
        <v>39</v>
      </c>
      <c r="B509">
        <v>120</v>
      </c>
      <c r="C509" t="s">
        <v>40</v>
      </c>
      <c r="D509" t="s">
        <v>49</v>
      </c>
      <c r="I509">
        <v>13456</v>
      </c>
      <c r="J509" t="s">
        <v>49</v>
      </c>
      <c r="K509">
        <v>456</v>
      </c>
    </row>
    <row r="510" spans="1:42" x14ac:dyDescent="0.3">
      <c r="A510" t="s">
        <v>39</v>
      </c>
      <c r="B510">
        <v>120</v>
      </c>
      <c r="C510" t="s">
        <v>40</v>
      </c>
      <c r="D510" t="s">
        <v>41</v>
      </c>
      <c r="I510">
        <v>11457</v>
      </c>
      <c r="J510" t="s">
        <v>41</v>
      </c>
      <c r="K510">
        <v>457</v>
      </c>
    </row>
    <row r="511" spans="1:42" x14ac:dyDescent="0.3">
      <c r="A511" t="s">
        <v>39</v>
      </c>
      <c r="B511">
        <v>134</v>
      </c>
      <c r="C511" t="s">
        <v>58</v>
      </c>
      <c r="D511" t="s">
        <v>59</v>
      </c>
      <c r="E511" t="s">
        <v>987</v>
      </c>
      <c r="F511" t="s">
        <v>45</v>
      </c>
      <c r="G511" t="s">
        <v>43</v>
      </c>
      <c r="H511" t="s">
        <v>46</v>
      </c>
      <c r="I511">
        <v>10773</v>
      </c>
      <c r="J511" t="s">
        <v>59</v>
      </c>
      <c r="K511">
        <v>773</v>
      </c>
      <c r="L511" t="s">
        <v>146</v>
      </c>
      <c r="M511">
        <v>2</v>
      </c>
      <c r="N511" t="s">
        <v>134</v>
      </c>
      <c r="O511" t="s">
        <v>763</v>
      </c>
      <c r="P511">
        <v>3000</v>
      </c>
      <c r="Q511" t="s">
        <v>60</v>
      </c>
      <c r="R511" t="s">
        <v>764</v>
      </c>
      <c r="S511">
        <v>3000</v>
      </c>
      <c r="T511" t="s">
        <v>60</v>
      </c>
      <c r="U511" t="s">
        <v>717</v>
      </c>
      <c r="V511" t="s">
        <v>718</v>
      </c>
      <c r="W511" t="s">
        <v>166</v>
      </c>
      <c r="X511">
        <v>5770</v>
      </c>
      <c r="Y511" t="s">
        <v>156</v>
      </c>
      <c r="Z511" t="s">
        <v>143</v>
      </c>
      <c r="AA511" t="s">
        <v>144</v>
      </c>
      <c r="AB511" t="s">
        <v>157</v>
      </c>
      <c r="AC511" t="s">
        <v>146</v>
      </c>
      <c r="AD511">
        <v>1</v>
      </c>
      <c r="AE511">
        <v>6</v>
      </c>
      <c r="AF511">
        <v>34113</v>
      </c>
      <c r="AG511" t="s">
        <v>143</v>
      </c>
      <c r="AH511" t="s">
        <v>143</v>
      </c>
      <c r="AI511" t="s">
        <v>143</v>
      </c>
      <c r="AJ511" t="s">
        <v>143</v>
      </c>
      <c r="AK511" t="s">
        <v>143</v>
      </c>
      <c r="AL511" t="s">
        <v>147</v>
      </c>
      <c r="AM511">
        <v>34.619999999999997</v>
      </c>
      <c r="AN511" t="s">
        <v>645</v>
      </c>
      <c r="AO511" t="s">
        <v>159</v>
      </c>
      <c r="AP511" t="s">
        <v>43</v>
      </c>
    </row>
    <row r="512" spans="1:42" x14ac:dyDescent="0.3">
      <c r="A512" t="s">
        <v>39</v>
      </c>
      <c r="B512">
        <v>134</v>
      </c>
      <c r="C512" t="s">
        <v>58</v>
      </c>
      <c r="D512" t="s">
        <v>59</v>
      </c>
      <c r="E512" t="s">
        <v>987</v>
      </c>
      <c r="F512" t="s">
        <v>45</v>
      </c>
      <c r="G512" t="s">
        <v>43</v>
      </c>
      <c r="H512" t="s">
        <v>46</v>
      </c>
      <c r="I512">
        <v>12870</v>
      </c>
      <c r="J512" t="s">
        <v>59</v>
      </c>
      <c r="K512">
        <v>870</v>
      </c>
      <c r="L512" t="s">
        <v>146</v>
      </c>
      <c r="M512">
        <v>2</v>
      </c>
      <c r="N512" t="s">
        <v>134</v>
      </c>
      <c r="O512" t="s">
        <v>941</v>
      </c>
      <c r="P512">
        <v>3000</v>
      </c>
      <c r="Q512" t="s">
        <v>60</v>
      </c>
      <c r="R512" t="s">
        <v>942</v>
      </c>
      <c r="S512">
        <v>3000</v>
      </c>
      <c r="T512" t="s">
        <v>60</v>
      </c>
      <c r="U512" t="s">
        <v>974</v>
      </c>
      <c r="V512" t="s">
        <v>791</v>
      </c>
      <c r="W512" t="s">
        <v>166</v>
      </c>
      <c r="X512">
        <v>14706</v>
      </c>
      <c r="Y512" t="s">
        <v>156</v>
      </c>
      <c r="Z512" t="s">
        <v>143</v>
      </c>
      <c r="AA512" t="s">
        <v>144</v>
      </c>
      <c r="AB512" t="s">
        <v>157</v>
      </c>
      <c r="AC512" t="s">
        <v>146</v>
      </c>
      <c r="AD512">
        <v>2</v>
      </c>
      <c r="AE512">
        <v>11</v>
      </c>
      <c r="AF512">
        <v>31828</v>
      </c>
      <c r="AG512" t="s">
        <v>143</v>
      </c>
      <c r="AH512" t="s">
        <v>143</v>
      </c>
      <c r="AI512" t="s">
        <v>143</v>
      </c>
      <c r="AJ512" t="s">
        <v>143</v>
      </c>
      <c r="AK512" t="s">
        <v>143</v>
      </c>
      <c r="AL512" t="s">
        <v>147</v>
      </c>
      <c r="AM512">
        <v>161.77000000000001</v>
      </c>
      <c r="AN512" t="s">
        <v>719</v>
      </c>
      <c r="AO512" t="s">
        <v>159</v>
      </c>
      <c r="AP512" t="s">
        <v>43</v>
      </c>
    </row>
    <row r="513" spans="1:42" x14ac:dyDescent="0.3">
      <c r="A513" t="s">
        <v>39</v>
      </c>
      <c r="B513">
        <v>134</v>
      </c>
      <c r="C513" t="s">
        <v>58</v>
      </c>
      <c r="D513" t="s">
        <v>59</v>
      </c>
      <c r="E513" t="s">
        <v>987</v>
      </c>
      <c r="F513" t="s">
        <v>45</v>
      </c>
      <c r="G513" t="s">
        <v>43</v>
      </c>
      <c r="H513" t="s">
        <v>46</v>
      </c>
      <c r="I513">
        <v>14850</v>
      </c>
      <c r="J513" t="s">
        <v>59</v>
      </c>
      <c r="K513">
        <v>850</v>
      </c>
      <c r="L513" t="s">
        <v>146</v>
      </c>
      <c r="M513">
        <v>2</v>
      </c>
      <c r="N513" t="s">
        <v>134</v>
      </c>
      <c r="O513" t="s">
        <v>881</v>
      </c>
      <c r="P513">
        <v>3000</v>
      </c>
      <c r="Q513" t="s">
        <v>60</v>
      </c>
      <c r="R513" t="s">
        <v>808</v>
      </c>
      <c r="S513">
        <v>3000</v>
      </c>
      <c r="T513" t="s">
        <v>60</v>
      </c>
      <c r="U513" t="s">
        <v>975</v>
      </c>
      <c r="V513" t="s">
        <v>791</v>
      </c>
      <c r="W513" t="s">
        <v>166</v>
      </c>
      <c r="X513">
        <v>17428</v>
      </c>
      <c r="Y513" t="s">
        <v>156</v>
      </c>
      <c r="Z513" t="s">
        <v>143</v>
      </c>
      <c r="AA513" t="s">
        <v>144</v>
      </c>
      <c r="AB513" t="s">
        <v>157</v>
      </c>
      <c r="AC513" t="s">
        <v>146</v>
      </c>
      <c r="AD513">
        <v>2</v>
      </c>
      <c r="AE513">
        <v>12</v>
      </c>
      <c r="AF513">
        <v>30793</v>
      </c>
      <c r="AG513" t="s">
        <v>143</v>
      </c>
      <c r="AH513" t="s">
        <v>143</v>
      </c>
      <c r="AI513" t="s">
        <v>143</v>
      </c>
      <c r="AJ513" t="s">
        <v>143</v>
      </c>
      <c r="AK513" t="s">
        <v>143</v>
      </c>
      <c r="AL513" t="s">
        <v>147</v>
      </c>
      <c r="AM513">
        <v>209.14</v>
      </c>
      <c r="AN513" t="s">
        <v>758</v>
      </c>
      <c r="AO513" t="s">
        <v>810</v>
      </c>
      <c r="AP513" t="s">
        <v>43</v>
      </c>
    </row>
    <row r="514" spans="1:42" x14ac:dyDescent="0.3">
      <c r="A514" t="s">
        <v>39</v>
      </c>
      <c r="B514">
        <v>134</v>
      </c>
      <c r="C514" t="s">
        <v>58</v>
      </c>
      <c r="D514" t="s">
        <v>59</v>
      </c>
      <c r="E514" t="s">
        <v>987</v>
      </c>
      <c r="F514" t="s">
        <v>45</v>
      </c>
      <c r="G514" t="s">
        <v>43</v>
      </c>
      <c r="H514" t="s">
        <v>46</v>
      </c>
      <c r="I514">
        <v>10750</v>
      </c>
      <c r="J514" t="s">
        <v>59</v>
      </c>
      <c r="K514">
        <v>750</v>
      </c>
      <c r="L514" t="s">
        <v>146</v>
      </c>
      <c r="M514">
        <v>2</v>
      </c>
      <c r="N514" t="s">
        <v>134</v>
      </c>
      <c r="O514" t="s">
        <v>811</v>
      </c>
      <c r="P514">
        <v>3000</v>
      </c>
      <c r="Q514" t="s">
        <v>60</v>
      </c>
      <c r="R514" t="s">
        <v>812</v>
      </c>
      <c r="S514">
        <v>3000</v>
      </c>
      <c r="T514" t="s">
        <v>60</v>
      </c>
      <c r="U514" t="s">
        <v>816</v>
      </c>
      <c r="V514" t="s">
        <v>817</v>
      </c>
      <c r="W514" t="s">
        <v>166</v>
      </c>
      <c r="X514">
        <v>12030</v>
      </c>
      <c r="Y514" t="s">
        <v>156</v>
      </c>
      <c r="Z514" t="s">
        <v>143</v>
      </c>
      <c r="AA514" t="s">
        <v>144</v>
      </c>
      <c r="AB514" t="s">
        <v>650</v>
      </c>
      <c r="AC514" t="s">
        <v>146</v>
      </c>
      <c r="AD514">
        <v>1</v>
      </c>
      <c r="AE514">
        <v>6</v>
      </c>
      <c r="AF514">
        <v>31814</v>
      </c>
      <c r="AG514" t="s">
        <v>143</v>
      </c>
      <c r="AH514" t="s">
        <v>143</v>
      </c>
      <c r="AI514" t="s">
        <v>143</v>
      </c>
      <c r="AJ514" t="s">
        <v>143</v>
      </c>
      <c r="AK514" t="s">
        <v>143</v>
      </c>
      <c r="AL514" t="s">
        <v>147</v>
      </c>
      <c r="AM514">
        <v>72.180000000000007</v>
      </c>
      <c r="AN514" t="s">
        <v>719</v>
      </c>
      <c r="AO514" t="s">
        <v>206</v>
      </c>
      <c r="AP514" t="s">
        <v>43</v>
      </c>
    </row>
    <row r="515" spans="1:42" x14ac:dyDescent="0.3">
      <c r="A515" t="s">
        <v>39</v>
      </c>
      <c r="B515">
        <v>134</v>
      </c>
      <c r="C515" t="s">
        <v>58</v>
      </c>
      <c r="D515" t="s">
        <v>59</v>
      </c>
      <c r="E515" t="s">
        <v>987</v>
      </c>
      <c r="F515" t="s">
        <v>45</v>
      </c>
      <c r="G515" t="s">
        <v>43</v>
      </c>
      <c r="H515" t="s">
        <v>46</v>
      </c>
      <c r="I515">
        <v>10804</v>
      </c>
      <c r="J515" t="s">
        <v>59</v>
      </c>
      <c r="K515">
        <v>804</v>
      </c>
      <c r="L515" t="s">
        <v>146</v>
      </c>
      <c r="M515">
        <v>1</v>
      </c>
      <c r="N515" t="s">
        <v>134</v>
      </c>
      <c r="O515" t="s">
        <v>715</v>
      </c>
      <c r="P515">
        <v>3000</v>
      </c>
      <c r="Q515" t="s">
        <v>60</v>
      </c>
      <c r="R515" t="s">
        <v>732</v>
      </c>
      <c r="S515">
        <v>3000</v>
      </c>
      <c r="T515" t="s">
        <v>60</v>
      </c>
      <c r="U515" t="s">
        <v>976</v>
      </c>
      <c r="V515" t="s">
        <v>977</v>
      </c>
      <c r="W515" t="s">
        <v>166</v>
      </c>
      <c r="X515">
        <v>10900</v>
      </c>
      <c r="Y515" t="s">
        <v>156</v>
      </c>
      <c r="Z515" t="s">
        <v>143</v>
      </c>
      <c r="AA515" t="s">
        <v>144</v>
      </c>
      <c r="AB515" t="s">
        <v>650</v>
      </c>
      <c r="AC515" t="s">
        <v>146</v>
      </c>
      <c r="AD515">
        <v>1</v>
      </c>
      <c r="AE515">
        <v>6</v>
      </c>
      <c r="AF515">
        <v>31815</v>
      </c>
      <c r="AG515" t="s">
        <v>143</v>
      </c>
      <c r="AH515" t="s">
        <v>143</v>
      </c>
      <c r="AI515" t="s">
        <v>143</v>
      </c>
      <c r="AJ515" t="s">
        <v>143</v>
      </c>
      <c r="AK515" t="s">
        <v>143</v>
      </c>
      <c r="AL515" t="s">
        <v>147</v>
      </c>
      <c r="AM515">
        <v>65.400000000000006</v>
      </c>
      <c r="AN515" t="s">
        <v>719</v>
      </c>
      <c r="AO515" t="s">
        <v>206</v>
      </c>
      <c r="AP515" t="s">
        <v>43</v>
      </c>
    </row>
    <row r="516" spans="1:42" x14ac:dyDescent="0.3">
      <c r="A516" t="s">
        <v>39</v>
      </c>
      <c r="B516">
        <v>134</v>
      </c>
      <c r="C516" t="s">
        <v>58</v>
      </c>
      <c r="D516" t="s">
        <v>59</v>
      </c>
      <c r="E516" t="s">
        <v>987</v>
      </c>
      <c r="F516" t="s">
        <v>45</v>
      </c>
      <c r="G516" t="s">
        <v>43</v>
      </c>
      <c r="H516" t="s">
        <v>47</v>
      </c>
      <c r="I516">
        <v>14136</v>
      </c>
      <c r="J516" t="s">
        <v>59</v>
      </c>
      <c r="K516">
        <v>136</v>
      </c>
      <c r="L516" t="s">
        <v>146</v>
      </c>
      <c r="M516">
        <v>1</v>
      </c>
      <c r="N516" t="s">
        <v>134</v>
      </c>
      <c r="O516" t="s">
        <v>944</v>
      </c>
      <c r="P516">
        <v>3000</v>
      </c>
      <c r="Q516" t="s">
        <v>60</v>
      </c>
      <c r="R516" t="s">
        <v>978</v>
      </c>
      <c r="S516">
        <v>73</v>
      </c>
      <c r="T516" t="s">
        <v>945</v>
      </c>
      <c r="U516" t="s">
        <v>946</v>
      </c>
      <c r="V516" t="s">
        <v>979</v>
      </c>
      <c r="W516" t="s">
        <v>166</v>
      </c>
      <c r="X516">
        <v>7423</v>
      </c>
      <c r="Y516" t="s">
        <v>178</v>
      </c>
      <c r="Z516" t="s">
        <v>143</v>
      </c>
      <c r="AA516" t="s">
        <v>144</v>
      </c>
      <c r="AB516" t="s">
        <v>145</v>
      </c>
      <c r="AC516" t="s">
        <v>146</v>
      </c>
      <c r="AD516">
        <v>10</v>
      </c>
      <c r="AE516">
        <v>55</v>
      </c>
      <c r="AF516">
        <v>29617</v>
      </c>
      <c r="AG516" t="s">
        <v>144</v>
      </c>
      <c r="AH516" t="s">
        <v>143</v>
      </c>
      <c r="AI516" t="s">
        <v>143</v>
      </c>
      <c r="AJ516" t="s">
        <v>143</v>
      </c>
      <c r="AK516" t="s">
        <v>143</v>
      </c>
      <c r="AL516" t="s">
        <v>147</v>
      </c>
      <c r="AM516">
        <v>408.27</v>
      </c>
      <c r="AN516" t="s">
        <v>739</v>
      </c>
      <c r="AO516" t="s">
        <v>739</v>
      </c>
      <c r="AP516" t="s">
        <v>43</v>
      </c>
    </row>
    <row r="517" spans="1:42" x14ac:dyDescent="0.3">
      <c r="A517" t="s">
        <v>39</v>
      </c>
      <c r="B517">
        <v>134</v>
      </c>
      <c r="C517" t="s">
        <v>58</v>
      </c>
      <c r="D517" t="s">
        <v>59</v>
      </c>
      <c r="E517" t="s">
        <v>987</v>
      </c>
      <c r="F517" t="s">
        <v>45</v>
      </c>
      <c r="G517" t="s">
        <v>43</v>
      </c>
      <c r="H517" t="s">
        <v>46</v>
      </c>
      <c r="I517">
        <v>48083</v>
      </c>
      <c r="J517" t="s">
        <v>59</v>
      </c>
      <c r="K517">
        <v>83</v>
      </c>
      <c r="L517" t="s">
        <v>146</v>
      </c>
      <c r="M517">
        <v>3</v>
      </c>
      <c r="N517" t="s">
        <v>160</v>
      </c>
      <c r="O517" t="s">
        <v>980</v>
      </c>
      <c r="P517">
        <v>3000</v>
      </c>
      <c r="Q517" t="s">
        <v>60</v>
      </c>
      <c r="R517" t="s">
        <v>784</v>
      </c>
      <c r="S517">
        <v>3000</v>
      </c>
      <c r="T517" t="s">
        <v>60</v>
      </c>
      <c r="U517" t="s">
        <v>784</v>
      </c>
      <c r="V517" t="s">
        <v>784</v>
      </c>
      <c r="W517" t="s">
        <v>166</v>
      </c>
      <c r="X517">
        <v>9511</v>
      </c>
      <c r="Y517" t="s">
        <v>178</v>
      </c>
      <c r="Z517" t="s">
        <v>143</v>
      </c>
      <c r="AA517" t="s">
        <v>144</v>
      </c>
      <c r="AB517" t="s">
        <v>145</v>
      </c>
      <c r="AC517" t="s">
        <v>146</v>
      </c>
      <c r="AD517">
        <v>10</v>
      </c>
      <c r="AE517">
        <v>58</v>
      </c>
      <c r="AF517">
        <v>29622</v>
      </c>
      <c r="AG517" t="s">
        <v>144</v>
      </c>
      <c r="AH517" t="s">
        <v>143</v>
      </c>
      <c r="AI517" t="s">
        <v>143</v>
      </c>
      <c r="AJ517" t="s">
        <v>143</v>
      </c>
      <c r="AK517" t="s">
        <v>143</v>
      </c>
      <c r="AL517" t="s">
        <v>147</v>
      </c>
      <c r="AM517">
        <v>551.64</v>
      </c>
      <c r="AN517" t="s">
        <v>739</v>
      </c>
      <c r="AO517" t="s">
        <v>54</v>
      </c>
      <c r="AP517" t="s">
        <v>43</v>
      </c>
    </row>
    <row r="518" spans="1:42" x14ac:dyDescent="0.3">
      <c r="A518" t="s">
        <v>39</v>
      </c>
      <c r="B518">
        <v>134</v>
      </c>
      <c r="C518" t="s">
        <v>58</v>
      </c>
      <c r="D518" t="s">
        <v>59</v>
      </c>
      <c r="E518" t="s">
        <v>987</v>
      </c>
      <c r="F518" t="s">
        <v>45</v>
      </c>
      <c r="G518" t="s">
        <v>43</v>
      </c>
      <c r="H518" t="s">
        <v>47</v>
      </c>
      <c r="I518">
        <v>11882</v>
      </c>
      <c r="J518" t="s">
        <v>59</v>
      </c>
      <c r="K518">
        <v>882</v>
      </c>
      <c r="L518" t="s">
        <v>146</v>
      </c>
      <c r="M518">
        <v>2</v>
      </c>
      <c r="N518" t="s">
        <v>134</v>
      </c>
      <c r="O518" t="s">
        <v>735</v>
      </c>
      <c r="P518">
        <v>3000</v>
      </c>
      <c r="Q518" t="s">
        <v>60</v>
      </c>
      <c r="R518" t="s">
        <v>785</v>
      </c>
      <c r="S518">
        <v>3000</v>
      </c>
      <c r="T518" t="s">
        <v>60</v>
      </c>
      <c r="U518" t="s">
        <v>736</v>
      </c>
      <c r="V518" t="s">
        <v>777</v>
      </c>
      <c r="W518" t="s">
        <v>166</v>
      </c>
      <c r="X518">
        <v>7677</v>
      </c>
      <c r="Y518" t="s">
        <v>156</v>
      </c>
      <c r="Z518" t="s">
        <v>143</v>
      </c>
      <c r="AA518" t="s">
        <v>144</v>
      </c>
      <c r="AB518" t="s">
        <v>145</v>
      </c>
      <c r="AC518" t="s">
        <v>146</v>
      </c>
      <c r="AD518">
        <v>2</v>
      </c>
      <c r="AE518">
        <v>11</v>
      </c>
      <c r="AF518">
        <v>29625</v>
      </c>
      <c r="AG518" t="s">
        <v>144</v>
      </c>
      <c r="AH518" t="s">
        <v>143</v>
      </c>
      <c r="AI518" t="s">
        <v>143</v>
      </c>
      <c r="AJ518" t="s">
        <v>143</v>
      </c>
      <c r="AK518" t="s">
        <v>143</v>
      </c>
      <c r="AL518" t="s">
        <v>147</v>
      </c>
      <c r="AM518">
        <v>84.45</v>
      </c>
      <c r="AN518" t="s">
        <v>739</v>
      </c>
      <c r="AO518" t="s">
        <v>587</v>
      </c>
      <c r="AP518" t="s">
        <v>43</v>
      </c>
    </row>
    <row r="519" spans="1:42" x14ac:dyDescent="0.3">
      <c r="A519" t="s">
        <v>39</v>
      </c>
      <c r="B519">
        <v>134</v>
      </c>
      <c r="C519" t="s">
        <v>58</v>
      </c>
      <c r="D519" t="s">
        <v>59</v>
      </c>
      <c r="E519" t="s">
        <v>987</v>
      </c>
      <c r="F519" t="s">
        <v>45</v>
      </c>
      <c r="G519" t="s">
        <v>43</v>
      </c>
      <c r="H519" t="s">
        <v>47</v>
      </c>
      <c r="I519">
        <v>11824</v>
      </c>
      <c r="J519" t="s">
        <v>59</v>
      </c>
      <c r="K519">
        <v>824</v>
      </c>
      <c r="L519" t="s">
        <v>146</v>
      </c>
      <c r="M519">
        <v>1</v>
      </c>
      <c r="N519" t="s">
        <v>134</v>
      </c>
      <c r="O519" t="s">
        <v>770</v>
      </c>
      <c r="P519">
        <v>3000</v>
      </c>
      <c r="Q519" t="s">
        <v>60</v>
      </c>
      <c r="R519" t="s">
        <v>771</v>
      </c>
      <c r="S519">
        <v>3000</v>
      </c>
      <c r="T519" t="s">
        <v>60</v>
      </c>
      <c r="U519" t="s">
        <v>775</v>
      </c>
      <c r="V519" t="s">
        <v>718</v>
      </c>
      <c r="W519" t="s">
        <v>166</v>
      </c>
      <c r="X519">
        <v>11830</v>
      </c>
      <c r="Y519" t="s">
        <v>156</v>
      </c>
      <c r="Z519" t="s">
        <v>143</v>
      </c>
      <c r="AA519" t="s">
        <v>144</v>
      </c>
      <c r="AB519" t="s">
        <v>157</v>
      </c>
      <c r="AC519" t="s">
        <v>146</v>
      </c>
      <c r="AD519">
        <v>1</v>
      </c>
      <c r="AE519">
        <v>6</v>
      </c>
      <c r="AF519">
        <v>31821</v>
      </c>
      <c r="AG519" t="s">
        <v>143</v>
      </c>
      <c r="AH519" t="s">
        <v>143</v>
      </c>
      <c r="AI519" t="s">
        <v>143</v>
      </c>
      <c r="AJ519" t="s">
        <v>143</v>
      </c>
      <c r="AK519" t="s">
        <v>143</v>
      </c>
      <c r="AL519" t="s">
        <v>147</v>
      </c>
      <c r="AM519">
        <v>70.98</v>
      </c>
      <c r="AN519" t="s">
        <v>719</v>
      </c>
      <c r="AO519" t="s">
        <v>776</v>
      </c>
      <c r="AP519" t="s">
        <v>43</v>
      </c>
    </row>
    <row r="520" spans="1:42" x14ac:dyDescent="0.3">
      <c r="A520" t="s">
        <v>39</v>
      </c>
      <c r="B520">
        <v>134</v>
      </c>
      <c r="C520" t="s">
        <v>58</v>
      </c>
      <c r="D520" t="s">
        <v>59</v>
      </c>
      <c r="E520" t="s">
        <v>987</v>
      </c>
      <c r="F520" t="s">
        <v>45</v>
      </c>
      <c r="G520" t="s">
        <v>61</v>
      </c>
      <c r="H520" t="s">
        <v>47</v>
      </c>
      <c r="I520">
        <v>11793</v>
      </c>
      <c r="J520" t="s">
        <v>59</v>
      </c>
      <c r="K520">
        <v>793</v>
      </c>
      <c r="L520" t="s">
        <v>146</v>
      </c>
      <c r="M520">
        <v>2</v>
      </c>
      <c r="N520" t="s">
        <v>134</v>
      </c>
      <c r="O520" t="s">
        <v>259</v>
      </c>
      <c r="P520">
        <v>3000</v>
      </c>
      <c r="Q520" t="s">
        <v>60</v>
      </c>
      <c r="R520" t="s">
        <v>837</v>
      </c>
      <c r="S520">
        <v>3000</v>
      </c>
      <c r="T520" t="s">
        <v>60</v>
      </c>
      <c r="U520" t="s">
        <v>838</v>
      </c>
      <c r="V520" t="s">
        <v>791</v>
      </c>
      <c r="W520" t="s">
        <v>166</v>
      </c>
      <c r="X520">
        <v>27756</v>
      </c>
      <c r="Y520" t="s">
        <v>156</v>
      </c>
      <c r="Z520" t="s">
        <v>143</v>
      </c>
      <c r="AA520" t="s">
        <v>144</v>
      </c>
      <c r="AB520" t="s">
        <v>650</v>
      </c>
      <c r="AC520" t="s">
        <v>146</v>
      </c>
      <c r="AD520">
        <v>1</v>
      </c>
      <c r="AE520">
        <v>6</v>
      </c>
      <c r="AF520">
        <v>34116</v>
      </c>
      <c r="AG520" t="s">
        <v>143</v>
      </c>
      <c r="AH520" t="s">
        <v>143</v>
      </c>
      <c r="AI520" t="s">
        <v>143</v>
      </c>
      <c r="AJ520" t="s">
        <v>143</v>
      </c>
      <c r="AK520" t="s">
        <v>143</v>
      </c>
      <c r="AL520" t="s">
        <v>147</v>
      </c>
      <c r="AM520">
        <v>166.54</v>
      </c>
      <c r="AN520" t="s">
        <v>645</v>
      </c>
      <c r="AO520" t="s">
        <v>850</v>
      </c>
      <c r="AP520" t="s">
        <v>61</v>
      </c>
    </row>
    <row r="521" spans="1:42" x14ac:dyDescent="0.3">
      <c r="A521" t="s">
        <v>39</v>
      </c>
      <c r="B521">
        <v>134</v>
      </c>
      <c r="C521" t="s">
        <v>58</v>
      </c>
      <c r="D521" t="s">
        <v>59</v>
      </c>
      <c r="E521" t="s">
        <v>987</v>
      </c>
      <c r="F521" t="s">
        <v>52</v>
      </c>
      <c r="G521" t="s">
        <v>62</v>
      </c>
      <c r="H521" t="s">
        <v>63</v>
      </c>
      <c r="I521">
        <v>10163</v>
      </c>
      <c r="J521" t="s">
        <v>59</v>
      </c>
      <c r="K521">
        <v>163</v>
      </c>
      <c r="L521" t="s">
        <v>146</v>
      </c>
      <c r="M521">
        <v>2</v>
      </c>
      <c r="N521" t="s">
        <v>134</v>
      </c>
      <c r="O521" t="s">
        <v>833</v>
      </c>
      <c r="P521">
        <v>3000</v>
      </c>
      <c r="Q521" t="s">
        <v>60</v>
      </c>
      <c r="R521" t="s">
        <v>746</v>
      </c>
      <c r="S521">
        <v>3000</v>
      </c>
      <c r="T521" t="s">
        <v>60</v>
      </c>
      <c r="U521" t="s">
        <v>825</v>
      </c>
      <c r="V521" t="s">
        <v>826</v>
      </c>
      <c r="W521" t="s">
        <v>166</v>
      </c>
      <c r="X521">
        <v>11079</v>
      </c>
      <c r="Y521" t="s">
        <v>178</v>
      </c>
      <c r="Z521" t="s">
        <v>143</v>
      </c>
      <c r="AA521" t="s">
        <v>144</v>
      </c>
      <c r="AB521" t="s">
        <v>650</v>
      </c>
      <c r="AC521" t="s">
        <v>146</v>
      </c>
      <c r="AD521">
        <v>0</v>
      </c>
      <c r="AE521">
        <v>6</v>
      </c>
      <c r="AF521">
        <v>30785</v>
      </c>
      <c r="AG521" t="s">
        <v>143</v>
      </c>
      <c r="AH521" t="s">
        <v>143</v>
      </c>
      <c r="AI521" t="s">
        <v>143</v>
      </c>
      <c r="AJ521" t="s">
        <v>143</v>
      </c>
      <c r="AK521" t="s">
        <v>143</v>
      </c>
      <c r="AL521" t="s">
        <v>147</v>
      </c>
      <c r="AM521">
        <v>66.47</v>
      </c>
      <c r="AN521" t="s">
        <v>758</v>
      </c>
      <c r="AO521" t="s">
        <v>52</v>
      </c>
      <c r="AP521" t="s">
        <v>62</v>
      </c>
    </row>
    <row r="522" spans="1:42" x14ac:dyDescent="0.3">
      <c r="A522" t="s">
        <v>39</v>
      </c>
      <c r="B522">
        <v>134</v>
      </c>
      <c r="C522" t="s">
        <v>58</v>
      </c>
      <c r="D522" t="s">
        <v>59</v>
      </c>
      <c r="E522" t="s">
        <v>987</v>
      </c>
      <c r="F522" t="s">
        <v>52</v>
      </c>
      <c r="G522" t="s">
        <v>62</v>
      </c>
      <c r="H522" t="s">
        <v>63</v>
      </c>
      <c r="I522">
        <v>19075</v>
      </c>
      <c r="J522" t="s">
        <v>59</v>
      </c>
      <c r="K522">
        <v>75</v>
      </c>
      <c r="L522" t="s">
        <v>146</v>
      </c>
      <c r="M522">
        <v>2</v>
      </c>
      <c r="N522" t="s">
        <v>134</v>
      </c>
      <c r="O522" t="s">
        <v>207</v>
      </c>
      <c r="P522">
        <v>3000</v>
      </c>
      <c r="Q522" t="s">
        <v>60</v>
      </c>
      <c r="R522" t="s">
        <v>834</v>
      </c>
      <c r="S522">
        <v>3000</v>
      </c>
      <c r="T522" t="s">
        <v>60</v>
      </c>
      <c r="U522" t="s">
        <v>790</v>
      </c>
      <c r="V522" t="s">
        <v>791</v>
      </c>
      <c r="W522" t="s">
        <v>166</v>
      </c>
      <c r="X522">
        <v>17193</v>
      </c>
      <c r="Y522" t="s">
        <v>178</v>
      </c>
      <c r="Z522" t="s">
        <v>143</v>
      </c>
      <c r="AA522" t="s">
        <v>144</v>
      </c>
      <c r="AB522" t="s">
        <v>650</v>
      </c>
      <c r="AC522" t="s">
        <v>146</v>
      </c>
      <c r="AD522">
        <v>0</v>
      </c>
      <c r="AE522">
        <v>164</v>
      </c>
      <c r="AF522">
        <v>30729</v>
      </c>
      <c r="AG522" t="s">
        <v>144</v>
      </c>
      <c r="AH522" t="s">
        <v>143</v>
      </c>
      <c r="AI522" t="s">
        <v>143</v>
      </c>
      <c r="AJ522" t="s">
        <v>143</v>
      </c>
      <c r="AK522" t="s">
        <v>143</v>
      </c>
      <c r="AL522" t="s">
        <v>147</v>
      </c>
      <c r="AM522">
        <v>2819.65</v>
      </c>
      <c r="AN522" t="s">
        <v>200</v>
      </c>
      <c r="AO522" t="s">
        <v>52</v>
      </c>
      <c r="AP522" t="s">
        <v>62</v>
      </c>
    </row>
    <row r="523" spans="1:42" x14ac:dyDescent="0.3">
      <c r="A523" t="s">
        <v>39</v>
      </c>
      <c r="B523">
        <v>134</v>
      </c>
      <c r="C523" t="s">
        <v>58</v>
      </c>
      <c r="D523" t="s">
        <v>59</v>
      </c>
      <c r="E523" t="s">
        <v>987</v>
      </c>
      <c r="F523" t="s">
        <v>52</v>
      </c>
      <c r="G523" t="s">
        <v>62</v>
      </c>
      <c r="H523" t="s">
        <v>63</v>
      </c>
      <c r="I523">
        <v>20038</v>
      </c>
      <c r="J523" t="s">
        <v>59</v>
      </c>
      <c r="K523">
        <v>38</v>
      </c>
      <c r="L523" t="s">
        <v>146</v>
      </c>
      <c r="M523">
        <v>3</v>
      </c>
      <c r="N523" t="s">
        <v>134</v>
      </c>
      <c r="O523" t="s">
        <v>835</v>
      </c>
      <c r="P523">
        <v>3000</v>
      </c>
      <c r="Q523" t="s">
        <v>60</v>
      </c>
      <c r="R523" t="s">
        <v>737</v>
      </c>
      <c r="S523">
        <v>3000</v>
      </c>
      <c r="T523" t="s">
        <v>60</v>
      </c>
      <c r="U523" t="s">
        <v>737</v>
      </c>
      <c r="V523" t="s">
        <v>738</v>
      </c>
      <c r="W523" t="s">
        <v>166</v>
      </c>
      <c r="X523">
        <v>5675</v>
      </c>
      <c r="Y523" t="s">
        <v>178</v>
      </c>
      <c r="Z523" t="s">
        <v>143</v>
      </c>
      <c r="AA523" t="s">
        <v>144</v>
      </c>
      <c r="AB523" t="s">
        <v>145</v>
      </c>
      <c r="AC523" t="s">
        <v>146</v>
      </c>
      <c r="AD523">
        <v>0</v>
      </c>
      <c r="AE523">
        <v>204</v>
      </c>
      <c r="AF523">
        <v>29619</v>
      </c>
      <c r="AG523" t="s">
        <v>144</v>
      </c>
      <c r="AH523" t="s">
        <v>143</v>
      </c>
      <c r="AI523" t="s">
        <v>143</v>
      </c>
      <c r="AJ523" t="s">
        <v>143</v>
      </c>
      <c r="AK523" t="s">
        <v>143</v>
      </c>
      <c r="AL523" t="s">
        <v>147</v>
      </c>
      <c r="AM523">
        <v>1157.7</v>
      </c>
      <c r="AN523" t="s">
        <v>739</v>
      </c>
      <c r="AO523" t="s">
        <v>52</v>
      </c>
      <c r="AP523" t="s">
        <v>62</v>
      </c>
    </row>
    <row r="524" spans="1:42" x14ac:dyDescent="0.3">
      <c r="A524" t="s">
        <v>39</v>
      </c>
      <c r="B524">
        <v>134</v>
      </c>
      <c r="C524" t="s">
        <v>58</v>
      </c>
      <c r="D524" t="s">
        <v>59</v>
      </c>
      <c r="E524" t="s">
        <v>987</v>
      </c>
      <c r="F524" t="s">
        <v>62</v>
      </c>
      <c r="G524" t="s">
        <v>62</v>
      </c>
      <c r="H524" t="s">
        <v>63</v>
      </c>
      <c r="I524">
        <v>10163</v>
      </c>
      <c r="J524" t="s">
        <v>59</v>
      </c>
      <c r="K524">
        <v>163</v>
      </c>
      <c r="L524" t="s">
        <v>146</v>
      </c>
      <c r="M524">
        <v>3</v>
      </c>
      <c r="N524" t="s">
        <v>134</v>
      </c>
      <c r="O524" t="s">
        <v>833</v>
      </c>
      <c r="P524">
        <v>3000</v>
      </c>
      <c r="Q524" t="s">
        <v>60</v>
      </c>
      <c r="R524" t="s">
        <v>981</v>
      </c>
      <c r="S524">
        <v>3000</v>
      </c>
      <c r="T524" t="s">
        <v>60</v>
      </c>
      <c r="U524" t="s">
        <v>825</v>
      </c>
      <c r="V524" t="s">
        <v>826</v>
      </c>
      <c r="W524" t="s">
        <v>166</v>
      </c>
      <c r="X524">
        <v>18543</v>
      </c>
      <c r="Y524" t="s">
        <v>178</v>
      </c>
      <c r="Z524" t="s">
        <v>143</v>
      </c>
      <c r="AA524" t="s">
        <v>144</v>
      </c>
      <c r="AB524" t="s">
        <v>650</v>
      </c>
      <c r="AC524" t="s">
        <v>146</v>
      </c>
      <c r="AD524">
        <v>0</v>
      </c>
      <c r="AE524">
        <v>380</v>
      </c>
      <c r="AF524">
        <v>34621</v>
      </c>
      <c r="AG524" t="s">
        <v>143</v>
      </c>
      <c r="AH524" t="s">
        <v>143</v>
      </c>
      <c r="AI524" t="s">
        <v>143</v>
      </c>
      <c r="AJ524" t="s">
        <v>143</v>
      </c>
      <c r="AK524" t="s">
        <v>143</v>
      </c>
      <c r="AL524" t="s">
        <v>147</v>
      </c>
      <c r="AM524">
        <v>7046.34</v>
      </c>
      <c r="AN524" t="s">
        <v>52</v>
      </c>
      <c r="AO524" t="s">
        <v>62</v>
      </c>
      <c r="AP524" t="s">
        <v>62</v>
      </c>
    </row>
    <row r="525" spans="1:42" x14ac:dyDescent="0.3">
      <c r="A525" t="s">
        <v>39</v>
      </c>
      <c r="B525">
        <v>134</v>
      </c>
      <c r="C525" t="s">
        <v>58</v>
      </c>
      <c r="D525" t="s">
        <v>59</v>
      </c>
      <c r="E525" t="s">
        <v>987</v>
      </c>
      <c r="F525" t="s">
        <v>64</v>
      </c>
      <c r="G525" t="s">
        <v>43</v>
      </c>
      <c r="H525" t="s">
        <v>48</v>
      </c>
      <c r="I525">
        <v>11517</v>
      </c>
      <c r="J525" t="s">
        <v>59</v>
      </c>
      <c r="K525">
        <v>517</v>
      </c>
      <c r="L525" t="s">
        <v>146</v>
      </c>
      <c r="M525">
        <v>1</v>
      </c>
      <c r="N525" t="s">
        <v>134</v>
      </c>
      <c r="O525" t="s">
        <v>740</v>
      </c>
      <c r="P525">
        <v>3000</v>
      </c>
      <c r="Q525" t="s">
        <v>60</v>
      </c>
      <c r="R525" t="s">
        <v>742</v>
      </c>
      <c r="S525">
        <v>3000</v>
      </c>
      <c r="T525" t="s">
        <v>60</v>
      </c>
      <c r="U525" t="s">
        <v>851</v>
      </c>
      <c r="V525" t="s">
        <v>852</v>
      </c>
      <c r="W525" t="s">
        <v>379</v>
      </c>
      <c r="X525">
        <v>15732</v>
      </c>
      <c r="Y525" t="s">
        <v>178</v>
      </c>
      <c r="Z525" t="s">
        <v>143</v>
      </c>
      <c r="AA525" t="s">
        <v>144</v>
      </c>
      <c r="AB525" t="s">
        <v>157</v>
      </c>
      <c r="AC525" t="s">
        <v>146</v>
      </c>
      <c r="AD525">
        <v>71</v>
      </c>
      <c r="AE525">
        <v>400</v>
      </c>
      <c r="AF525">
        <v>20297</v>
      </c>
      <c r="AG525" t="s">
        <v>143</v>
      </c>
      <c r="AH525" t="s">
        <v>143</v>
      </c>
      <c r="AI525" t="s">
        <v>143</v>
      </c>
      <c r="AJ525" t="s">
        <v>143</v>
      </c>
      <c r="AK525" t="s">
        <v>143</v>
      </c>
      <c r="AL525" t="s">
        <v>147</v>
      </c>
      <c r="AM525">
        <v>6292.8</v>
      </c>
      <c r="AN525" t="s">
        <v>744</v>
      </c>
      <c r="AO525" t="s">
        <v>50</v>
      </c>
      <c r="AP525" t="s">
        <v>43</v>
      </c>
    </row>
    <row r="526" spans="1:42" x14ac:dyDescent="0.3">
      <c r="A526" t="s">
        <v>39</v>
      </c>
      <c r="B526">
        <v>134</v>
      </c>
      <c r="C526" t="s">
        <v>58</v>
      </c>
      <c r="D526" t="s">
        <v>59</v>
      </c>
      <c r="E526" t="s">
        <v>987</v>
      </c>
      <c r="F526" t="s">
        <v>64</v>
      </c>
      <c r="G526" t="s">
        <v>43</v>
      </c>
      <c r="H526" t="s">
        <v>48</v>
      </c>
      <c r="I526">
        <v>11517</v>
      </c>
      <c r="J526" t="s">
        <v>59</v>
      </c>
      <c r="K526">
        <v>517</v>
      </c>
      <c r="L526" t="s">
        <v>146</v>
      </c>
      <c r="M526">
        <v>2</v>
      </c>
      <c r="N526" t="s">
        <v>134</v>
      </c>
      <c r="O526" t="s">
        <v>740</v>
      </c>
      <c r="P526">
        <v>3000</v>
      </c>
      <c r="Q526" t="s">
        <v>60</v>
      </c>
      <c r="R526" t="s">
        <v>741</v>
      </c>
      <c r="S526">
        <v>3000</v>
      </c>
      <c r="T526" t="s">
        <v>60</v>
      </c>
      <c r="U526" t="s">
        <v>742</v>
      </c>
      <c r="V526" t="s">
        <v>743</v>
      </c>
      <c r="W526" t="s">
        <v>379</v>
      </c>
      <c r="X526">
        <v>15459</v>
      </c>
      <c r="Y526" t="s">
        <v>178</v>
      </c>
      <c r="Z526" t="s">
        <v>143</v>
      </c>
      <c r="AA526" t="s">
        <v>144</v>
      </c>
      <c r="AB526" t="s">
        <v>157</v>
      </c>
      <c r="AC526" t="s">
        <v>146</v>
      </c>
      <c r="AD526">
        <v>65</v>
      </c>
      <c r="AE526">
        <v>370</v>
      </c>
      <c r="AF526">
        <v>20298</v>
      </c>
      <c r="AG526" t="s">
        <v>143</v>
      </c>
      <c r="AH526" t="s">
        <v>143</v>
      </c>
      <c r="AI526" t="s">
        <v>143</v>
      </c>
      <c r="AJ526" t="s">
        <v>143</v>
      </c>
      <c r="AK526" t="s">
        <v>143</v>
      </c>
      <c r="AL526" t="s">
        <v>147</v>
      </c>
      <c r="AM526">
        <v>5719.83</v>
      </c>
      <c r="AN526" t="s">
        <v>744</v>
      </c>
      <c r="AO526" t="s">
        <v>50</v>
      </c>
      <c r="AP526" t="s">
        <v>43</v>
      </c>
    </row>
    <row r="527" spans="1:42" x14ac:dyDescent="0.3">
      <c r="A527" t="s">
        <v>39</v>
      </c>
      <c r="B527">
        <v>134</v>
      </c>
      <c r="C527" t="s">
        <v>58</v>
      </c>
      <c r="D527" t="s">
        <v>59</v>
      </c>
      <c r="E527" t="s">
        <v>987</v>
      </c>
      <c r="F527" t="s">
        <v>64</v>
      </c>
      <c r="G527" t="s">
        <v>43</v>
      </c>
      <c r="H527" t="s">
        <v>48</v>
      </c>
      <c r="I527">
        <v>15504</v>
      </c>
      <c r="J527" t="s">
        <v>59</v>
      </c>
      <c r="K527">
        <v>504</v>
      </c>
      <c r="L527" t="s">
        <v>146</v>
      </c>
      <c r="M527">
        <v>3</v>
      </c>
      <c r="N527" t="s">
        <v>134</v>
      </c>
      <c r="O527" t="s">
        <v>949</v>
      </c>
      <c r="P527">
        <v>3000</v>
      </c>
      <c r="Q527" t="s">
        <v>60</v>
      </c>
      <c r="R527" t="s">
        <v>749</v>
      </c>
      <c r="S527">
        <v>3000</v>
      </c>
      <c r="T527" t="s">
        <v>60</v>
      </c>
      <c r="U527" t="s">
        <v>790</v>
      </c>
      <c r="V527" t="s">
        <v>791</v>
      </c>
      <c r="W527" t="s">
        <v>166</v>
      </c>
      <c r="X527">
        <v>28253</v>
      </c>
      <c r="Y527" t="s">
        <v>178</v>
      </c>
      <c r="Z527" t="s">
        <v>143</v>
      </c>
      <c r="AA527" t="s">
        <v>144</v>
      </c>
      <c r="AB527" t="s">
        <v>157</v>
      </c>
      <c r="AC527" t="s">
        <v>146</v>
      </c>
      <c r="AD527">
        <v>89</v>
      </c>
      <c r="AE527">
        <v>510</v>
      </c>
      <c r="AF527">
        <v>33245</v>
      </c>
      <c r="AG527" t="s">
        <v>144</v>
      </c>
      <c r="AH527" t="s">
        <v>143</v>
      </c>
      <c r="AI527" t="s">
        <v>143</v>
      </c>
      <c r="AJ527" t="s">
        <v>143</v>
      </c>
      <c r="AK527" t="s">
        <v>143</v>
      </c>
      <c r="AL527" t="s">
        <v>147</v>
      </c>
      <c r="AM527">
        <v>14409.03</v>
      </c>
      <c r="AN527" t="s">
        <v>730</v>
      </c>
      <c r="AO527" t="s">
        <v>50</v>
      </c>
      <c r="AP527" t="s">
        <v>43</v>
      </c>
    </row>
    <row r="528" spans="1:42" x14ac:dyDescent="0.3">
      <c r="A528" t="s">
        <v>39</v>
      </c>
      <c r="B528">
        <v>134</v>
      </c>
      <c r="C528" t="s">
        <v>58</v>
      </c>
      <c r="D528" t="s">
        <v>59</v>
      </c>
      <c r="E528" t="s">
        <v>987</v>
      </c>
      <c r="F528" t="s">
        <v>66</v>
      </c>
      <c r="G528" t="s">
        <v>43</v>
      </c>
      <c r="H528" t="s">
        <v>48</v>
      </c>
      <c r="I528">
        <v>11931</v>
      </c>
      <c r="J528" t="s">
        <v>59</v>
      </c>
      <c r="K528">
        <v>931</v>
      </c>
      <c r="L528" t="s">
        <v>146</v>
      </c>
      <c r="M528">
        <v>1</v>
      </c>
      <c r="N528" t="s">
        <v>134</v>
      </c>
      <c r="O528" t="s">
        <v>928</v>
      </c>
      <c r="P528">
        <v>3000</v>
      </c>
      <c r="Q528" t="s">
        <v>60</v>
      </c>
      <c r="R528" t="s">
        <v>929</v>
      </c>
      <c r="S528">
        <v>3000</v>
      </c>
      <c r="T528" t="s">
        <v>60</v>
      </c>
      <c r="U528" t="s">
        <v>768</v>
      </c>
      <c r="V528" t="s">
        <v>769</v>
      </c>
      <c r="W528" t="s">
        <v>166</v>
      </c>
      <c r="X528">
        <v>15226</v>
      </c>
      <c r="Y528" t="s">
        <v>156</v>
      </c>
      <c r="Z528" t="s">
        <v>143</v>
      </c>
      <c r="AA528" t="s">
        <v>144</v>
      </c>
      <c r="AB528" t="s">
        <v>650</v>
      </c>
      <c r="AC528" t="s">
        <v>146</v>
      </c>
      <c r="AD528">
        <v>1</v>
      </c>
      <c r="AE528">
        <v>5</v>
      </c>
      <c r="AF528">
        <v>30789</v>
      </c>
      <c r="AG528" t="s">
        <v>143</v>
      </c>
      <c r="AH528" t="s">
        <v>143</v>
      </c>
      <c r="AI528" t="s">
        <v>143</v>
      </c>
      <c r="AJ528" t="s">
        <v>143</v>
      </c>
      <c r="AK528" t="s">
        <v>143</v>
      </c>
      <c r="AL528" t="s">
        <v>147</v>
      </c>
      <c r="AM528">
        <v>76.13</v>
      </c>
      <c r="AN528" t="s">
        <v>758</v>
      </c>
      <c r="AO528" t="s">
        <v>66</v>
      </c>
      <c r="AP528" t="s">
        <v>43</v>
      </c>
    </row>
    <row r="529" spans="1:42" x14ac:dyDescent="0.3">
      <c r="A529" t="s">
        <v>39</v>
      </c>
      <c r="B529">
        <v>134</v>
      </c>
      <c r="C529" t="s">
        <v>58</v>
      </c>
      <c r="D529" t="s">
        <v>59</v>
      </c>
      <c r="E529" t="s">
        <v>987</v>
      </c>
      <c r="F529" t="s">
        <v>66</v>
      </c>
      <c r="G529" t="s">
        <v>43</v>
      </c>
      <c r="H529" t="s">
        <v>48</v>
      </c>
      <c r="I529">
        <v>17072</v>
      </c>
      <c r="J529" t="s">
        <v>59</v>
      </c>
      <c r="K529">
        <v>72</v>
      </c>
      <c r="L529" t="s">
        <v>146</v>
      </c>
      <c r="M529">
        <v>2</v>
      </c>
      <c r="N529" t="s">
        <v>134</v>
      </c>
      <c r="O529" t="s">
        <v>836</v>
      </c>
      <c r="P529">
        <v>3000</v>
      </c>
      <c r="Q529" t="s">
        <v>60</v>
      </c>
      <c r="R529" t="s">
        <v>753</v>
      </c>
      <c r="S529">
        <v>3000</v>
      </c>
      <c r="T529" t="s">
        <v>60</v>
      </c>
      <c r="U529" t="s">
        <v>727</v>
      </c>
      <c r="V529" t="s">
        <v>819</v>
      </c>
      <c r="W529" t="s">
        <v>166</v>
      </c>
      <c r="X529">
        <v>19627</v>
      </c>
      <c r="Y529" t="s">
        <v>178</v>
      </c>
      <c r="Z529" t="s">
        <v>143</v>
      </c>
      <c r="AA529" t="s">
        <v>144</v>
      </c>
      <c r="AB529" t="s">
        <v>650</v>
      </c>
      <c r="AC529" t="s">
        <v>146</v>
      </c>
      <c r="AD529">
        <v>89</v>
      </c>
      <c r="AE529">
        <v>514</v>
      </c>
      <c r="AF529">
        <v>34120</v>
      </c>
      <c r="AG529" t="s">
        <v>144</v>
      </c>
      <c r="AH529" t="s">
        <v>143</v>
      </c>
      <c r="AI529" t="s">
        <v>143</v>
      </c>
      <c r="AJ529" t="s">
        <v>143</v>
      </c>
      <c r="AK529" t="s">
        <v>143</v>
      </c>
      <c r="AL529" t="s">
        <v>147</v>
      </c>
      <c r="AM529">
        <v>10088.280000000001</v>
      </c>
      <c r="AN529" t="s">
        <v>645</v>
      </c>
      <c r="AO529" t="s">
        <v>66</v>
      </c>
      <c r="AP529" t="s">
        <v>43</v>
      </c>
    </row>
    <row r="530" spans="1:42" x14ac:dyDescent="0.3">
      <c r="A530" t="s">
        <v>39</v>
      </c>
      <c r="B530">
        <v>215</v>
      </c>
      <c r="C530" t="s">
        <v>68</v>
      </c>
      <c r="D530" t="s">
        <v>59</v>
      </c>
      <c r="E530" t="s">
        <v>986</v>
      </c>
      <c r="F530" t="s">
        <v>45</v>
      </c>
      <c r="G530" t="s">
        <v>43</v>
      </c>
      <c r="H530" t="s">
        <v>46</v>
      </c>
      <c r="I530">
        <v>67003</v>
      </c>
      <c r="J530" t="s">
        <v>59</v>
      </c>
      <c r="K530">
        <v>3</v>
      </c>
      <c r="L530" t="s">
        <v>146</v>
      </c>
      <c r="M530">
        <v>3</v>
      </c>
      <c r="N530" t="s">
        <v>673</v>
      </c>
      <c r="O530" t="s">
        <v>202</v>
      </c>
      <c r="P530">
        <v>8200</v>
      </c>
      <c r="Q530" t="s">
        <v>840</v>
      </c>
      <c r="R530" t="s">
        <v>841</v>
      </c>
      <c r="S530">
        <v>8200</v>
      </c>
      <c r="T530" t="s">
        <v>840</v>
      </c>
      <c r="U530" t="s">
        <v>841</v>
      </c>
      <c r="V530" t="s">
        <v>841</v>
      </c>
      <c r="W530" t="s">
        <v>166</v>
      </c>
      <c r="X530">
        <v>31637</v>
      </c>
      <c r="Y530" t="s">
        <v>178</v>
      </c>
      <c r="Z530" t="s">
        <v>144</v>
      </c>
      <c r="AA530" t="s">
        <v>144</v>
      </c>
      <c r="AB530" t="s">
        <v>650</v>
      </c>
      <c r="AC530" t="s">
        <v>146</v>
      </c>
      <c r="AD530">
        <v>4</v>
      </c>
      <c r="AE530">
        <v>20</v>
      </c>
      <c r="AF530">
        <v>29920</v>
      </c>
      <c r="AG530" t="s">
        <v>144</v>
      </c>
      <c r="AH530" t="s">
        <v>143</v>
      </c>
      <c r="AI530" t="s">
        <v>143</v>
      </c>
      <c r="AJ530" t="s">
        <v>143</v>
      </c>
      <c r="AK530" t="s">
        <v>143</v>
      </c>
      <c r="AL530" t="s">
        <v>147</v>
      </c>
      <c r="AM530">
        <v>632.74</v>
      </c>
      <c r="AN530" t="s">
        <v>951</v>
      </c>
      <c r="AO530" t="s">
        <v>442</v>
      </c>
      <c r="AP530" t="s">
        <v>43</v>
      </c>
    </row>
    <row r="531" spans="1:42" x14ac:dyDescent="0.3">
      <c r="A531" t="s">
        <v>39</v>
      </c>
      <c r="B531">
        <v>215</v>
      </c>
      <c r="C531" t="s">
        <v>68</v>
      </c>
      <c r="D531" t="s">
        <v>59</v>
      </c>
      <c r="E531" t="s">
        <v>986</v>
      </c>
      <c r="F531" t="s">
        <v>52</v>
      </c>
      <c r="G531" t="s">
        <v>43</v>
      </c>
      <c r="H531" t="s">
        <v>44</v>
      </c>
      <c r="I531">
        <v>83001</v>
      </c>
      <c r="J531" t="s">
        <v>59</v>
      </c>
      <c r="K531">
        <v>1</v>
      </c>
      <c r="L531" t="s">
        <v>146</v>
      </c>
      <c r="M531">
        <v>1</v>
      </c>
      <c r="N531" t="s">
        <v>134</v>
      </c>
      <c r="O531" t="s">
        <v>160</v>
      </c>
      <c r="P531">
        <v>4000</v>
      </c>
      <c r="Q531" t="s">
        <v>189</v>
      </c>
      <c r="R531" t="s">
        <v>912</v>
      </c>
      <c r="S531">
        <v>8200</v>
      </c>
      <c r="T531" t="s">
        <v>840</v>
      </c>
      <c r="U531" t="s">
        <v>841</v>
      </c>
      <c r="V531" t="s">
        <v>842</v>
      </c>
      <c r="W531" t="s">
        <v>166</v>
      </c>
      <c r="X531">
        <v>25601</v>
      </c>
      <c r="Y531" t="s">
        <v>178</v>
      </c>
      <c r="Z531" t="s">
        <v>144</v>
      </c>
      <c r="AA531" t="s">
        <v>144</v>
      </c>
      <c r="AB531" t="s">
        <v>650</v>
      </c>
      <c r="AC531" t="s">
        <v>146</v>
      </c>
      <c r="AD531">
        <v>142</v>
      </c>
      <c r="AE531">
        <v>829</v>
      </c>
      <c r="AF531">
        <v>11685</v>
      </c>
      <c r="AG531" t="s">
        <v>144</v>
      </c>
      <c r="AH531" t="s">
        <v>143</v>
      </c>
      <c r="AI531" t="s">
        <v>143</v>
      </c>
      <c r="AJ531" t="s">
        <v>143</v>
      </c>
      <c r="AK531" t="s">
        <v>143</v>
      </c>
      <c r="AL531" t="s">
        <v>147</v>
      </c>
      <c r="AM531">
        <v>21223.23</v>
      </c>
      <c r="AN531" t="s">
        <v>831</v>
      </c>
      <c r="AO531" t="s">
        <v>982</v>
      </c>
      <c r="AP531" t="s">
        <v>43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גיליון3"/>
  <dimension ref="A1:T149336"/>
  <sheetViews>
    <sheetView rightToLeft="1" topLeftCell="M1" zoomScaleNormal="100" workbookViewId="0">
      <selection activeCell="Q4" sqref="Q4"/>
    </sheetView>
  </sheetViews>
  <sheetFormatPr defaultRowHeight="14" x14ac:dyDescent="0.3"/>
  <cols>
    <col min="1" max="1" width="16.08203125" customWidth="1"/>
    <col min="2" max="2" width="9.08203125" customWidth="1"/>
    <col min="3" max="3" width="11.33203125" customWidth="1"/>
    <col min="4" max="4" width="9.33203125" customWidth="1"/>
    <col min="6" max="6" width="10.25" customWidth="1"/>
    <col min="7" max="7" width="11" customWidth="1"/>
    <col min="8" max="8" width="9.5" customWidth="1"/>
    <col min="9" max="9" width="10.5" customWidth="1"/>
    <col min="10" max="10" width="12.08203125" style="37" customWidth="1"/>
    <col min="11" max="11" width="9.58203125" customWidth="1"/>
    <col min="15" max="15" width="11.08203125" customWidth="1"/>
    <col min="16" max="16" width="10.25" customWidth="1"/>
    <col min="17" max="17" width="9.75" customWidth="1"/>
    <col min="18" max="18" width="10.83203125" customWidth="1"/>
    <col min="19" max="19" width="13" style="28" customWidth="1"/>
  </cols>
  <sheetData>
    <row r="1" spans="1:20" x14ac:dyDescent="0.3">
      <c r="A1" t="s">
        <v>71</v>
      </c>
      <c r="B1" t="s">
        <v>72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s="37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s="28" t="s">
        <v>89</v>
      </c>
      <c r="T1" t="s">
        <v>996</v>
      </c>
    </row>
    <row r="2" spans="1:20" x14ac:dyDescent="0.3">
      <c r="J2"/>
    </row>
    <row r="3" spans="1:20" x14ac:dyDescent="0.3">
      <c r="J3"/>
    </row>
    <row r="4" spans="1:20" x14ac:dyDescent="0.3">
      <c r="J4"/>
    </row>
    <row r="5" spans="1:20" x14ac:dyDescent="0.3">
      <c r="J5"/>
    </row>
    <row r="6" spans="1:20" x14ac:dyDescent="0.3">
      <c r="J6"/>
    </row>
    <row r="7" spans="1:20" x14ac:dyDescent="0.3">
      <c r="J7"/>
    </row>
    <row r="8" spans="1:20" x14ac:dyDescent="0.3">
      <c r="J8"/>
    </row>
    <row r="9" spans="1:20" x14ac:dyDescent="0.3">
      <c r="J9"/>
    </row>
    <row r="10" spans="1:20" x14ac:dyDescent="0.3">
      <c r="J10"/>
    </row>
    <row r="11" spans="1:20" x14ac:dyDescent="0.3">
      <c r="J11"/>
    </row>
    <row r="12" spans="1:20" x14ac:dyDescent="0.3">
      <c r="J12"/>
    </row>
    <row r="13" spans="1:20" x14ac:dyDescent="0.3">
      <c r="J13"/>
    </row>
    <row r="14" spans="1:20" x14ac:dyDescent="0.3">
      <c r="J14"/>
    </row>
    <row r="15" spans="1:20" x14ac:dyDescent="0.3">
      <c r="J15"/>
    </row>
    <row r="16" spans="1:20" x14ac:dyDescent="0.3">
      <c r="J16"/>
    </row>
    <row r="17" spans="10:10" x14ac:dyDescent="0.3">
      <c r="J17"/>
    </row>
    <row r="18" spans="10:10" x14ac:dyDescent="0.3">
      <c r="J18"/>
    </row>
    <row r="19" spans="10:10" x14ac:dyDescent="0.3">
      <c r="J19"/>
    </row>
    <row r="20" spans="10:10" x14ac:dyDescent="0.3">
      <c r="J20"/>
    </row>
    <row r="21" spans="10:10" x14ac:dyDescent="0.3">
      <c r="J21"/>
    </row>
    <row r="22" spans="10:10" x14ac:dyDescent="0.3">
      <c r="J22"/>
    </row>
    <row r="23" spans="10:10" x14ac:dyDescent="0.3">
      <c r="J23"/>
    </row>
    <row r="24" spans="10:10" x14ac:dyDescent="0.3">
      <c r="J24"/>
    </row>
    <row r="25" spans="10:10" x14ac:dyDescent="0.3">
      <c r="J25"/>
    </row>
    <row r="26" spans="10:10" x14ac:dyDescent="0.3">
      <c r="J26"/>
    </row>
    <row r="27" spans="10:10" x14ac:dyDescent="0.3">
      <c r="J27"/>
    </row>
    <row r="28" spans="10:10" x14ac:dyDescent="0.3">
      <c r="J28"/>
    </row>
    <row r="29" spans="10:10" x14ac:dyDescent="0.3">
      <c r="J29"/>
    </row>
    <row r="30" spans="10:10" x14ac:dyDescent="0.3">
      <c r="J30"/>
    </row>
    <row r="31" spans="10:10" x14ac:dyDescent="0.3">
      <c r="J31"/>
    </row>
    <row r="32" spans="10:10" x14ac:dyDescent="0.3">
      <c r="J32"/>
    </row>
    <row r="33" spans="10:10" x14ac:dyDescent="0.3">
      <c r="J33"/>
    </row>
    <row r="34" spans="10:10" x14ac:dyDescent="0.3">
      <c r="J34"/>
    </row>
    <row r="35" spans="10:10" x14ac:dyDescent="0.3">
      <c r="J35"/>
    </row>
    <row r="36" spans="10:10" x14ac:dyDescent="0.3">
      <c r="J36"/>
    </row>
    <row r="37" spans="10:10" x14ac:dyDescent="0.3">
      <c r="J37"/>
    </row>
    <row r="38" spans="10:10" x14ac:dyDescent="0.3">
      <c r="J38"/>
    </row>
    <row r="39" spans="10:10" x14ac:dyDescent="0.3">
      <c r="J39"/>
    </row>
    <row r="40" spans="10:10" x14ac:dyDescent="0.3">
      <c r="J40"/>
    </row>
    <row r="41" spans="10:10" x14ac:dyDescent="0.3">
      <c r="J41"/>
    </row>
    <row r="42" spans="10:10" x14ac:dyDescent="0.3">
      <c r="J42"/>
    </row>
    <row r="43" spans="10:10" x14ac:dyDescent="0.3">
      <c r="J43"/>
    </row>
    <row r="44" spans="10:10" x14ac:dyDescent="0.3">
      <c r="J44"/>
    </row>
    <row r="45" spans="10:10" x14ac:dyDescent="0.3">
      <c r="J45"/>
    </row>
    <row r="46" spans="10:10" x14ac:dyDescent="0.3">
      <c r="J46"/>
    </row>
    <row r="47" spans="10:10" x14ac:dyDescent="0.3">
      <c r="J47"/>
    </row>
    <row r="48" spans="10:10" x14ac:dyDescent="0.3">
      <c r="J48"/>
    </row>
    <row r="49" spans="10:10" x14ac:dyDescent="0.3">
      <c r="J49"/>
    </row>
    <row r="50" spans="10:10" x14ac:dyDescent="0.3">
      <c r="J50"/>
    </row>
    <row r="51" spans="10:10" x14ac:dyDescent="0.3">
      <c r="J51"/>
    </row>
    <row r="52" spans="10:10" x14ac:dyDescent="0.3">
      <c r="J52"/>
    </row>
    <row r="53" spans="10:10" x14ac:dyDescent="0.3">
      <c r="J53"/>
    </row>
    <row r="54" spans="10:10" x14ac:dyDescent="0.3">
      <c r="J54"/>
    </row>
    <row r="55" spans="10:10" x14ac:dyDescent="0.3">
      <c r="J55"/>
    </row>
    <row r="56" spans="10:10" x14ac:dyDescent="0.3">
      <c r="J56"/>
    </row>
    <row r="57" spans="10:10" x14ac:dyDescent="0.3">
      <c r="J57"/>
    </row>
    <row r="58" spans="10:10" x14ac:dyDescent="0.3">
      <c r="J58"/>
    </row>
    <row r="59" spans="10:10" x14ac:dyDescent="0.3">
      <c r="J59"/>
    </row>
    <row r="60" spans="10:10" x14ac:dyDescent="0.3">
      <c r="J60"/>
    </row>
    <row r="61" spans="10:10" x14ac:dyDescent="0.3">
      <c r="J61"/>
    </row>
    <row r="62" spans="10:10" x14ac:dyDescent="0.3">
      <c r="J62"/>
    </row>
    <row r="63" spans="10:10" x14ac:dyDescent="0.3">
      <c r="J63"/>
    </row>
    <row r="64" spans="10:10" x14ac:dyDescent="0.3">
      <c r="J64"/>
    </row>
    <row r="65" spans="10:10" x14ac:dyDescent="0.3">
      <c r="J65"/>
    </row>
    <row r="66" spans="10:10" x14ac:dyDescent="0.3">
      <c r="J66"/>
    </row>
    <row r="67" spans="10:10" x14ac:dyDescent="0.3">
      <c r="J67"/>
    </row>
    <row r="68" spans="10:10" x14ac:dyDescent="0.3">
      <c r="J68"/>
    </row>
    <row r="69" spans="10:10" x14ac:dyDescent="0.3">
      <c r="J69"/>
    </row>
    <row r="70" spans="10:10" x14ac:dyDescent="0.3">
      <c r="J70"/>
    </row>
    <row r="71" spans="10:10" x14ac:dyDescent="0.3">
      <c r="J71"/>
    </row>
    <row r="72" spans="10:10" x14ac:dyDescent="0.3">
      <c r="J72"/>
    </row>
    <row r="73" spans="10:10" x14ac:dyDescent="0.3">
      <c r="J73"/>
    </row>
    <row r="74" spans="10:10" x14ac:dyDescent="0.3">
      <c r="J74"/>
    </row>
    <row r="75" spans="10:10" x14ac:dyDescent="0.3">
      <c r="J75"/>
    </row>
    <row r="76" spans="10:10" x14ac:dyDescent="0.3">
      <c r="J76"/>
    </row>
    <row r="77" spans="10:10" x14ac:dyDescent="0.3">
      <c r="J77"/>
    </row>
    <row r="78" spans="10:10" x14ac:dyDescent="0.3">
      <c r="J78"/>
    </row>
    <row r="79" spans="10:10" x14ac:dyDescent="0.3">
      <c r="J79"/>
    </row>
    <row r="80" spans="10:10" x14ac:dyDescent="0.3">
      <c r="J80"/>
    </row>
    <row r="81" spans="10:10" x14ac:dyDescent="0.3">
      <c r="J81"/>
    </row>
    <row r="82" spans="10:10" x14ac:dyDescent="0.3">
      <c r="J82"/>
    </row>
    <row r="83" spans="10:10" x14ac:dyDescent="0.3">
      <c r="J83"/>
    </row>
    <row r="84" spans="10:10" x14ac:dyDescent="0.3">
      <c r="J84"/>
    </row>
    <row r="85" spans="10:10" x14ac:dyDescent="0.3">
      <c r="J85"/>
    </row>
    <row r="86" spans="10:10" x14ac:dyDescent="0.3">
      <c r="J86"/>
    </row>
    <row r="87" spans="10:10" x14ac:dyDescent="0.3">
      <c r="J87"/>
    </row>
    <row r="88" spans="10:10" x14ac:dyDescent="0.3">
      <c r="J88"/>
    </row>
    <row r="89" spans="10:10" x14ac:dyDescent="0.3">
      <c r="J89"/>
    </row>
    <row r="90" spans="10:10" x14ac:dyDescent="0.3">
      <c r="J90"/>
    </row>
    <row r="91" spans="10:10" x14ac:dyDescent="0.3">
      <c r="J91"/>
    </row>
    <row r="92" spans="10:10" x14ac:dyDescent="0.3">
      <c r="J92"/>
    </row>
    <row r="93" spans="10:10" x14ac:dyDescent="0.3">
      <c r="J93"/>
    </row>
    <row r="94" spans="10:10" x14ac:dyDescent="0.3">
      <c r="J94"/>
    </row>
    <row r="95" spans="10:10" x14ac:dyDescent="0.3">
      <c r="J95"/>
    </row>
    <row r="96" spans="10:10" x14ac:dyDescent="0.3">
      <c r="J96"/>
    </row>
    <row r="97" spans="10:10" x14ac:dyDescent="0.3">
      <c r="J97"/>
    </row>
    <row r="98" spans="10:10" x14ac:dyDescent="0.3">
      <c r="J98"/>
    </row>
    <row r="99" spans="10:10" x14ac:dyDescent="0.3">
      <c r="J99"/>
    </row>
    <row r="100" spans="10:10" x14ac:dyDescent="0.3">
      <c r="J100"/>
    </row>
    <row r="101" spans="10:10" x14ac:dyDescent="0.3">
      <c r="J101"/>
    </row>
    <row r="102" spans="10:10" x14ac:dyDescent="0.3">
      <c r="J102"/>
    </row>
    <row r="103" spans="10:10" x14ac:dyDescent="0.3">
      <c r="J103"/>
    </row>
    <row r="104" spans="10:10" x14ac:dyDescent="0.3">
      <c r="J104"/>
    </row>
    <row r="105" spans="10:10" x14ac:dyDescent="0.3">
      <c r="J105"/>
    </row>
    <row r="106" spans="10:10" x14ac:dyDescent="0.3">
      <c r="J106"/>
    </row>
    <row r="107" spans="10:10" x14ac:dyDescent="0.3">
      <c r="J107"/>
    </row>
    <row r="108" spans="10:10" x14ac:dyDescent="0.3">
      <c r="J108"/>
    </row>
    <row r="109" spans="10:10" x14ac:dyDescent="0.3">
      <c r="J109"/>
    </row>
    <row r="110" spans="10:10" x14ac:dyDescent="0.3">
      <c r="J110"/>
    </row>
    <row r="111" spans="10:10" x14ac:dyDescent="0.3">
      <c r="J111"/>
    </row>
    <row r="112" spans="10:10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  <row r="124" spans="10:10" x14ac:dyDescent="0.3">
      <c r="J124"/>
    </row>
    <row r="125" spans="10:10" x14ac:dyDescent="0.3">
      <c r="J125"/>
    </row>
    <row r="126" spans="10:10" x14ac:dyDescent="0.3">
      <c r="J126"/>
    </row>
    <row r="127" spans="10:10" x14ac:dyDescent="0.3">
      <c r="J127"/>
    </row>
    <row r="128" spans="10:10" x14ac:dyDescent="0.3">
      <c r="J128"/>
    </row>
    <row r="129" spans="10:10" x14ac:dyDescent="0.3">
      <c r="J129"/>
    </row>
    <row r="130" spans="10:10" x14ac:dyDescent="0.3">
      <c r="J130"/>
    </row>
    <row r="131" spans="10:10" x14ac:dyDescent="0.3">
      <c r="J131"/>
    </row>
    <row r="132" spans="10:10" x14ac:dyDescent="0.3">
      <c r="J132"/>
    </row>
    <row r="133" spans="10:10" x14ac:dyDescent="0.3">
      <c r="J133"/>
    </row>
    <row r="134" spans="10:10" x14ac:dyDescent="0.3">
      <c r="J134"/>
    </row>
    <row r="135" spans="10:10" x14ac:dyDescent="0.3">
      <c r="J135"/>
    </row>
    <row r="136" spans="10:10" x14ac:dyDescent="0.3">
      <c r="J136"/>
    </row>
    <row r="137" spans="10:10" x14ac:dyDescent="0.3">
      <c r="J137"/>
    </row>
    <row r="138" spans="10:10" x14ac:dyDescent="0.3">
      <c r="J138"/>
    </row>
    <row r="139" spans="10:10" x14ac:dyDescent="0.3">
      <c r="J139"/>
    </row>
    <row r="140" spans="10:10" x14ac:dyDescent="0.3">
      <c r="J140"/>
    </row>
    <row r="141" spans="10:10" x14ac:dyDescent="0.3">
      <c r="J141"/>
    </row>
    <row r="142" spans="10:10" x14ac:dyDescent="0.3">
      <c r="J142"/>
    </row>
    <row r="143" spans="10:10" x14ac:dyDescent="0.3">
      <c r="J143"/>
    </row>
    <row r="144" spans="10:10" x14ac:dyDescent="0.3">
      <c r="J144"/>
    </row>
    <row r="145" spans="10:10" x14ac:dyDescent="0.3">
      <c r="J145"/>
    </row>
    <row r="146" spans="10:10" x14ac:dyDescent="0.3">
      <c r="J146"/>
    </row>
    <row r="147" spans="10:10" x14ac:dyDescent="0.3">
      <c r="J147"/>
    </row>
    <row r="148" spans="10:10" x14ac:dyDescent="0.3">
      <c r="J148"/>
    </row>
    <row r="149" spans="10:10" x14ac:dyDescent="0.3">
      <c r="J149"/>
    </row>
    <row r="150" spans="10:10" x14ac:dyDescent="0.3">
      <c r="J150"/>
    </row>
    <row r="151" spans="10:10" x14ac:dyDescent="0.3">
      <c r="J151"/>
    </row>
    <row r="152" spans="10:10" x14ac:dyDescent="0.3">
      <c r="J152"/>
    </row>
    <row r="153" spans="10:10" x14ac:dyDescent="0.3">
      <c r="J153"/>
    </row>
    <row r="154" spans="10:10" x14ac:dyDescent="0.3">
      <c r="J154"/>
    </row>
    <row r="155" spans="10:10" x14ac:dyDescent="0.3">
      <c r="J155"/>
    </row>
    <row r="156" spans="10:10" x14ac:dyDescent="0.3">
      <c r="J156"/>
    </row>
    <row r="157" spans="10:10" x14ac:dyDescent="0.3">
      <c r="J157"/>
    </row>
    <row r="158" spans="10:10" x14ac:dyDescent="0.3">
      <c r="J158"/>
    </row>
    <row r="159" spans="10:10" x14ac:dyDescent="0.3">
      <c r="J159"/>
    </row>
    <row r="160" spans="10:10" x14ac:dyDescent="0.3">
      <c r="J160"/>
    </row>
    <row r="161" spans="10:10" x14ac:dyDescent="0.3">
      <c r="J161"/>
    </row>
    <row r="162" spans="10:10" x14ac:dyDescent="0.3">
      <c r="J162"/>
    </row>
    <row r="163" spans="10:10" x14ac:dyDescent="0.3">
      <c r="J163"/>
    </row>
    <row r="164" spans="10:10" x14ac:dyDescent="0.3">
      <c r="J164"/>
    </row>
    <row r="165" spans="10:10" x14ac:dyDescent="0.3">
      <c r="J165"/>
    </row>
    <row r="166" spans="10:10" x14ac:dyDescent="0.3">
      <c r="J166"/>
    </row>
    <row r="167" spans="10:10" x14ac:dyDescent="0.3">
      <c r="J167"/>
    </row>
    <row r="168" spans="10:10" x14ac:dyDescent="0.3">
      <c r="J168"/>
    </row>
    <row r="169" spans="10:10" x14ac:dyDescent="0.3">
      <c r="J169"/>
    </row>
    <row r="170" spans="10:10" x14ac:dyDescent="0.3">
      <c r="J170"/>
    </row>
    <row r="171" spans="10:10" x14ac:dyDescent="0.3">
      <c r="J171"/>
    </row>
    <row r="172" spans="10:10" x14ac:dyDescent="0.3">
      <c r="J172"/>
    </row>
    <row r="173" spans="10:10" x14ac:dyDescent="0.3">
      <c r="J173"/>
    </row>
    <row r="174" spans="10:10" x14ac:dyDescent="0.3">
      <c r="J174"/>
    </row>
    <row r="175" spans="10:10" x14ac:dyDescent="0.3">
      <c r="J175"/>
    </row>
    <row r="176" spans="10:10" x14ac:dyDescent="0.3">
      <c r="J176"/>
    </row>
    <row r="177" spans="10:10" x14ac:dyDescent="0.3">
      <c r="J177"/>
    </row>
    <row r="178" spans="10:10" x14ac:dyDescent="0.3">
      <c r="J178"/>
    </row>
    <row r="179" spans="10:10" x14ac:dyDescent="0.3">
      <c r="J179"/>
    </row>
    <row r="180" spans="10:10" x14ac:dyDescent="0.3">
      <c r="J180"/>
    </row>
    <row r="181" spans="10:10" x14ac:dyDescent="0.3">
      <c r="J181"/>
    </row>
    <row r="182" spans="10:10" x14ac:dyDescent="0.3">
      <c r="J182"/>
    </row>
    <row r="183" spans="10:10" x14ac:dyDescent="0.3">
      <c r="J183"/>
    </row>
    <row r="184" spans="10:10" x14ac:dyDescent="0.3">
      <c r="J184"/>
    </row>
    <row r="185" spans="10:10" x14ac:dyDescent="0.3">
      <c r="J185"/>
    </row>
    <row r="186" spans="10:10" x14ac:dyDescent="0.3">
      <c r="J186"/>
    </row>
    <row r="187" spans="10:10" x14ac:dyDescent="0.3">
      <c r="J187"/>
    </row>
    <row r="188" spans="10:10" x14ac:dyDescent="0.3">
      <c r="J188"/>
    </row>
    <row r="189" spans="10:10" x14ac:dyDescent="0.3">
      <c r="J189"/>
    </row>
    <row r="190" spans="10:10" x14ac:dyDescent="0.3">
      <c r="J190"/>
    </row>
    <row r="191" spans="10:10" x14ac:dyDescent="0.3">
      <c r="J191"/>
    </row>
    <row r="192" spans="10:10" x14ac:dyDescent="0.3">
      <c r="J192"/>
    </row>
    <row r="193" spans="10:10" x14ac:dyDescent="0.3">
      <c r="J193"/>
    </row>
    <row r="194" spans="10:10" x14ac:dyDescent="0.3">
      <c r="J194"/>
    </row>
    <row r="195" spans="10:10" x14ac:dyDescent="0.3">
      <c r="J195"/>
    </row>
    <row r="196" spans="10:10" x14ac:dyDescent="0.3">
      <c r="J196"/>
    </row>
    <row r="197" spans="10:10" x14ac:dyDescent="0.3">
      <c r="J197"/>
    </row>
    <row r="198" spans="10:10" x14ac:dyDescent="0.3">
      <c r="J198"/>
    </row>
    <row r="199" spans="10:10" x14ac:dyDescent="0.3">
      <c r="J199"/>
    </row>
    <row r="200" spans="10:10" x14ac:dyDescent="0.3">
      <c r="J200"/>
    </row>
    <row r="201" spans="10:10" x14ac:dyDescent="0.3">
      <c r="J201"/>
    </row>
    <row r="202" spans="10:10" x14ac:dyDescent="0.3">
      <c r="J202"/>
    </row>
    <row r="203" spans="10:10" x14ac:dyDescent="0.3">
      <c r="J203"/>
    </row>
    <row r="204" spans="10:10" x14ac:dyDescent="0.3">
      <c r="J204"/>
    </row>
    <row r="205" spans="10:10" x14ac:dyDescent="0.3">
      <c r="J205"/>
    </row>
    <row r="206" spans="10:10" x14ac:dyDescent="0.3">
      <c r="J206"/>
    </row>
    <row r="207" spans="10:10" x14ac:dyDescent="0.3">
      <c r="J207"/>
    </row>
    <row r="208" spans="10:10" x14ac:dyDescent="0.3">
      <c r="J208"/>
    </row>
    <row r="209" spans="10:10" x14ac:dyDescent="0.3">
      <c r="J209"/>
    </row>
    <row r="210" spans="10:10" x14ac:dyDescent="0.3">
      <c r="J210"/>
    </row>
    <row r="211" spans="10:10" x14ac:dyDescent="0.3">
      <c r="J211"/>
    </row>
    <row r="212" spans="10:10" x14ac:dyDescent="0.3">
      <c r="J212"/>
    </row>
    <row r="213" spans="10:10" x14ac:dyDescent="0.3">
      <c r="J213"/>
    </row>
    <row r="214" spans="10:10" x14ac:dyDescent="0.3">
      <c r="J214"/>
    </row>
    <row r="215" spans="10:10" x14ac:dyDescent="0.3">
      <c r="J215"/>
    </row>
    <row r="216" spans="10:10" x14ac:dyDescent="0.3">
      <c r="J216"/>
    </row>
    <row r="217" spans="10:10" x14ac:dyDescent="0.3">
      <c r="J217"/>
    </row>
    <row r="218" spans="10:10" x14ac:dyDescent="0.3">
      <c r="J218"/>
    </row>
    <row r="219" spans="10:10" x14ac:dyDescent="0.3">
      <c r="J219"/>
    </row>
    <row r="220" spans="10:10" x14ac:dyDescent="0.3">
      <c r="J220"/>
    </row>
    <row r="221" spans="10:10" x14ac:dyDescent="0.3">
      <c r="J221"/>
    </row>
    <row r="222" spans="10:10" x14ac:dyDescent="0.3">
      <c r="J222"/>
    </row>
    <row r="223" spans="10:10" x14ac:dyDescent="0.3">
      <c r="J223"/>
    </row>
    <row r="224" spans="10:10" x14ac:dyDescent="0.3">
      <c r="J224"/>
    </row>
    <row r="225" spans="10:10" x14ac:dyDescent="0.3">
      <c r="J225"/>
    </row>
    <row r="226" spans="10:10" x14ac:dyDescent="0.3">
      <c r="J226"/>
    </row>
    <row r="227" spans="10:10" x14ac:dyDescent="0.3">
      <c r="J227"/>
    </row>
    <row r="228" spans="10:10" x14ac:dyDescent="0.3">
      <c r="J228"/>
    </row>
    <row r="229" spans="10:10" x14ac:dyDescent="0.3">
      <c r="J229"/>
    </row>
    <row r="230" spans="10:10" x14ac:dyDescent="0.3">
      <c r="J230"/>
    </row>
    <row r="231" spans="10:10" x14ac:dyDescent="0.3">
      <c r="J231"/>
    </row>
    <row r="232" spans="10:10" x14ac:dyDescent="0.3">
      <c r="J232"/>
    </row>
    <row r="233" spans="10:10" x14ac:dyDescent="0.3">
      <c r="J233"/>
    </row>
    <row r="234" spans="10:10" x14ac:dyDescent="0.3">
      <c r="J234"/>
    </row>
    <row r="235" spans="10:10" x14ac:dyDescent="0.3">
      <c r="J235"/>
    </row>
    <row r="236" spans="10:10" x14ac:dyDescent="0.3">
      <c r="J236"/>
    </row>
    <row r="237" spans="10:10" x14ac:dyDescent="0.3">
      <c r="J237"/>
    </row>
    <row r="238" spans="10:10" x14ac:dyDescent="0.3">
      <c r="J238"/>
    </row>
    <row r="239" spans="10:10" x14ac:dyDescent="0.3">
      <c r="J239"/>
    </row>
    <row r="240" spans="10:10" x14ac:dyDescent="0.3">
      <c r="J240"/>
    </row>
    <row r="241" spans="10:10" x14ac:dyDescent="0.3">
      <c r="J241"/>
    </row>
    <row r="242" spans="10:10" x14ac:dyDescent="0.3">
      <c r="J242"/>
    </row>
    <row r="243" spans="10:10" x14ac:dyDescent="0.3">
      <c r="J243"/>
    </row>
    <row r="244" spans="10:10" x14ac:dyDescent="0.3">
      <c r="J244"/>
    </row>
    <row r="245" spans="10:10" x14ac:dyDescent="0.3">
      <c r="J245"/>
    </row>
    <row r="246" spans="10:10" x14ac:dyDescent="0.3">
      <c r="J246"/>
    </row>
    <row r="247" spans="10:10" x14ac:dyDescent="0.3">
      <c r="J247"/>
    </row>
    <row r="248" spans="10:10" x14ac:dyDescent="0.3">
      <c r="J248"/>
    </row>
    <row r="249" spans="10:10" x14ac:dyDescent="0.3">
      <c r="J249"/>
    </row>
    <row r="250" spans="10:10" x14ac:dyDescent="0.3">
      <c r="J250"/>
    </row>
    <row r="251" spans="10:10" x14ac:dyDescent="0.3">
      <c r="J251"/>
    </row>
    <row r="252" spans="10:10" x14ac:dyDescent="0.3">
      <c r="J252"/>
    </row>
    <row r="253" spans="10:10" x14ac:dyDescent="0.3">
      <c r="J253"/>
    </row>
    <row r="254" spans="10:10" x14ac:dyDescent="0.3">
      <c r="J254"/>
    </row>
    <row r="255" spans="10:10" x14ac:dyDescent="0.3">
      <c r="J255"/>
    </row>
    <row r="256" spans="10:10" x14ac:dyDescent="0.3">
      <c r="J256"/>
    </row>
    <row r="257" spans="10:10" x14ac:dyDescent="0.3">
      <c r="J257"/>
    </row>
    <row r="258" spans="10:10" x14ac:dyDescent="0.3">
      <c r="J258"/>
    </row>
    <row r="259" spans="10:10" x14ac:dyDescent="0.3">
      <c r="J259"/>
    </row>
    <row r="260" spans="10:10" x14ac:dyDescent="0.3">
      <c r="J260"/>
    </row>
    <row r="261" spans="10:10" x14ac:dyDescent="0.3">
      <c r="J261"/>
    </row>
    <row r="262" spans="10:10" x14ac:dyDescent="0.3">
      <c r="J262"/>
    </row>
    <row r="263" spans="10:10" x14ac:dyDescent="0.3">
      <c r="J263"/>
    </row>
    <row r="264" spans="10:10" x14ac:dyDescent="0.3">
      <c r="J264"/>
    </row>
    <row r="265" spans="10:10" x14ac:dyDescent="0.3">
      <c r="J265"/>
    </row>
    <row r="266" spans="10:10" x14ac:dyDescent="0.3">
      <c r="J266"/>
    </row>
    <row r="267" spans="10:10" x14ac:dyDescent="0.3">
      <c r="J267"/>
    </row>
    <row r="268" spans="10:10" x14ac:dyDescent="0.3">
      <c r="J268"/>
    </row>
    <row r="269" spans="10:10" x14ac:dyDescent="0.3">
      <c r="J269"/>
    </row>
    <row r="270" spans="10:10" x14ac:dyDescent="0.3">
      <c r="J270"/>
    </row>
    <row r="271" spans="10:10" x14ac:dyDescent="0.3">
      <c r="J271"/>
    </row>
    <row r="272" spans="10:10" x14ac:dyDescent="0.3">
      <c r="J272"/>
    </row>
    <row r="273" spans="10:10" x14ac:dyDescent="0.3">
      <c r="J273"/>
    </row>
    <row r="274" spans="10:10" x14ac:dyDescent="0.3">
      <c r="J274"/>
    </row>
    <row r="275" spans="10:10" x14ac:dyDescent="0.3">
      <c r="J275"/>
    </row>
    <row r="276" spans="10:10" x14ac:dyDescent="0.3">
      <c r="J276"/>
    </row>
    <row r="277" spans="10:10" x14ac:dyDescent="0.3">
      <c r="J277"/>
    </row>
    <row r="278" spans="10:10" x14ac:dyDescent="0.3">
      <c r="J278"/>
    </row>
    <row r="279" spans="10:10" x14ac:dyDescent="0.3">
      <c r="J279"/>
    </row>
    <row r="280" spans="10:10" x14ac:dyDescent="0.3">
      <c r="J280"/>
    </row>
    <row r="281" spans="10:10" x14ac:dyDescent="0.3">
      <c r="J281"/>
    </row>
    <row r="282" spans="10:10" x14ac:dyDescent="0.3">
      <c r="J282"/>
    </row>
    <row r="283" spans="10:10" x14ac:dyDescent="0.3">
      <c r="J283"/>
    </row>
    <row r="284" spans="10:10" x14ac:dyDescent="0.3">
      <c r="J284"/>
    </row>
    <row r="285" spans="10:10" x14ac:dyDescent="0.3">
      <c r="J285"/>
    </row>
    <row r="286" spans="10:10" x14ac:dyDescent="0.3">
      <c r="J286"/>
    </row>
    <row r="287" spans="10:10" x14ac:dyDescent="0.3">
      <c r="J287"/>
    </row>
    <row r="288" spans="10:10" x14ac:dyDescent="0.3">
      <c r="J288"/>
    </row>
    <row r="289" spans="10:10" x14ac:dyDescent="0.3">
      <c r="J289"/>
    </row>
    <row r="290" spans="10:10" x14ac:dyDescent="0.3">
      <c r="J290"/>
    </row>
    <row r="291" spans="10:10" x14ac:dyDescent="0.3">
      <c r="J291"/>
    </row>
    <row r="292" spans="10:10" x14ac:dyDescent="0.3">
      <c r="J292"/>
    </row>
    <row r="293" spans="10:10" x14ac:dyDescent="0.3">
      <c r="J293"/>
    </row>
    <row r="294" spans="10:10" x14ac:dyDescent="0.3">
      <c r="J294"/>
    </row>
    <row r="295" spans="10:10" x14ac:dyDescent="0.3">
      <c r="J295"/>
    </row>
    <row r="296" spans="10:10" x14ac:dyDescent="0.3">
      <c r="J296"/>
    </row>
    <row r="297" spans="10:10" x14ac:dyDescent="0.3">
      <c r="J297"/>
    </row>
    <row r="298" spans="10:10" x14ac:dyDescent="0.3">
      <c r="J298"/>
    </row>
    <row r="299" spans="10:10" x14ac:dyDescent="0.3">
      <c r="J299"/>
    </row>
    <row r="300" spans="10:10" x14ac:dyDescent="0.3">
      <c r="J300"/>
    </row>
    <row r="301" spans="10:10" x14ac:dyDescent="0.3">
      <c r="J301"/>
    </row>
    <row r="302" spans="10:10" x14ac:dyDescent="0.3">
      <c r="J302"/>
    </row>
    <row r="303" spans="10:10" x14ac:dyDescent="0.3">
      <c r="J303"/>
    </row>
    <row r="304" spans="10:10" x14ac:dyDescent="0.3">
      <c r="J304"/>
    </row>
    <row r="305" spans="10:10" x14ac:dyDescent="0.3">
      <c r="J305"/>
    </row>
    <row r="306" spans="10:10" x14ac:dyDescent="0.3">
      <c r="J306"/>
    </row>
    <row r="307" spans="10:10" x14ac:dyDescent="0.3">
      <c r="J307"/>
    </row>
    <row r="308" spans="10:10" x14ac:dyDescent="0.3">
      <c r="J308"/>
    </row>
    <row r="309" spans="10:10" x14ac:dyDescent="0.3">
      <c r="J309"/>
    </row>
    <row r="310" spans="10:10" x14ac:dyDescent="0.3">
      <c r="J310"/>
    </row>
    <row r="311" spans="10:10" x14ac:dyDescent="0.3">
      <c r="J311"/>
    </row>
    <row r="312" spans="10:10" x14ac:dyDescent="0.3">
      <c r="J312"/>
    </row>
    <row r="313" spans="10:10" x14ac:dyDescent="0.3">
      <c r="J313"/>
    </row>
    <row r="314" spans="10:10" x14ac:dyDescent="0.3">
      <c r="J314"/>
    </row>
    <row r="315" spans="10:10" x14ac:dyDescent="0.3">
      <c r="J315"/>
    </row>
    <row r="316" spans="10:10" x14ac:dyDescent="0.3">
      <c r="J316"/>
    </row>
    <row r="317" spans="10:10" x14ac:dyDescent="0.3">
      <c r="J317"/>
    </row>
    <row r="318" spans="10:10" x14ac:dyDescent="0.3">
      <c r="J318"/>
    </row>
    <row r="319" spans="10:10" x14ac:dyDescent="0.3">
      <c r="J319"/>
    </row>
    <row r="320" spans="10:10" x14ac:dyDescent="0.3">
      <c r="J320"/>
    </row>
    <row r="321" spans="10:10" x14ac:dyDescent="0.3">
      <c r="J321"/>
    </row>
    <row r="322" spans="10:10" x14ac:dyDescent="0.3">
      <c r="J322"/>
    </row>
    <row r="323" spans="10:10" x14ac:dyDescent="0.3">
      <c r="J323"/>
    </row>
    <row r="324" spans="10:10" x14ac:dyDescent="0.3">
      <c r="J324"/>
    </row>
    <row r="325" spans="10:10" x14ac:dyDescent="0.3">
      <c r="J325"/>
    </row>
    <row r="326" spans="10:10" x14ac:dyDescent="0.3">
      <c r="J326"/>
    </row>
    <row r="327" spans="10:10" x14ac:dyDescent="0.3">
      <c r="J327"/>
    </row>
    <row r="328" spans="10:10" x14ac:dyDescent="0.3">
      <c r="J328"/>
    </row>
    <row r="329" spans="10:10" x14ac:dyDescent="0.3">
      <c r="J329"/>
    </row>
    <row r="330" spans="10:10" x14ac:dyDescent="0.3">
      <c r="J330"/>
    </row>
    <row r="331" spans="10:10" x14ac:dyDescent="0.3">
      <c r="J331"/>
    </row>
    <row r="332" spans="10:10" x14ac:dyDescent="0.3">
      <c r="J332"/>
    </row>
    <row r="333" spans="10:10" x14ac:dyDescent="0.3">
      <c r="J333"/>
    </row>
    <row r="334" spans="10:10" x14ac:dyDescent="0.3">
      <c r="J334"/>
    </row>
    <row r="335" spans="10:10" x14ac:dyDescent="0.3">
      <c r="J335"/>
    </row>
    <row r="336" spans="10:10" x14ac:dyDescent="0.3">
      <c r="J336"/>
    </row>
    <row r="337" spans="10:10" x14ac:dyDescent="0.3">
      <c r="J337"/>
    </row>
    <row r="338" spans="10:10" x14ac:dyDescent="0.3">
      <c r="J338"/>
    </row>
    <row r="339" spans="10:10" x14ac:dyDescent="0.3">
      <c r="J339"/>
    </row>
    <row r="340" spans="10:10" x14ac:dyDescent="0.3">
      <c r="J340"/>
    </row>
    <row r="341" spans="10:10" x14ac:dyDescent="0.3">
      <c r="J341"/>
    </row>
    <row r="342" spans="10:10" x14ac:dyDescent="0.3">
      <c r="J342"/>
    </row>
    <row r="343" spans="10:10" x14ac:dyDescent="0.3">
      <c r="J343"/>
    </row>
    <row r="344" spans="10:10" x14ac:dyDescent="0.3">
      <c r="J344"/>
    </row>
    <row r="345" spans="10:10" x14ac:dyDescent="0.3">
      <c r="J345"/>
    </row>
    <row r="346" spans="10:10" x14ac:dyDescent="0.3">
      <c r="J346"/>
    </row>
    <row r="347" spans="10:10" x14ac:dyDescent="0.3">
      <c r="J347"/>
    </row>
    <row r="348" spans="10:10" x14ac:dyDescent="0.3">
      <c r="J348"/>
    </row>
    <row r="349" spans="10:10" x14ac:dyDescent="0.3">
      <c r="J349"/>
    </row>
    <row r="350" spans="10:10" x14ac:dyDescent="0.3">
      <c r="J350"/>
    </row>
    <row r="351" spans="10:10" x14ac:dyDescent="0.3">
      <c r="J351"/>
    </row>
    <row r="352" spans="10:10" x14ac:dyDescent="0.3">
      <c r="J352"/>
    </row>
    <row r="353" spans="10:10" x14ac:dyDescent="0.3">
      <c r="J353"/>
    </row>
    <row r="354" spans="10:10" x14ac:dyDescent="0.3">
      <c r="J354"/>
    </row>
    <row r="355" spans="10:10" x14ac:dyDescent="0.3">
      <c r="J355"/>
    </row>
    <row r="356" spans="10:10" x14ac:dyDescent="0.3">
      <c r="J356"/>
    </row>
    <row r="357" spans="10:10" x14ac:dyDescent="0.3">
      <c r="J357"/>
    </row>
    <row r="358" spans="10:10" x14ac:dyDescent="0.3">
      <c r="J358"/>
    </row>
    <row r="359" spans="10:10" x14ac:dyDescent="0.3">
      <c r="J359"/>
    </row>
    <row r="360" spans="10:10" x14ac:dyDescent="0.3">
      <c r="J360"/>
    </row>
    <row r="361" spans="10:10" x14ac:dyDescent="0.3">
      <c r="J361"/>
    </row>
    <row r="362" spans="10:10" x14ac:dyDescent="0.3">
      <c r="J362"/>
    </row>
    <row r="363" spans="10:10" x14ac:dyDescent="0.3">
      <c r="J363"/>
    </row>
    <row r="364" spans="10:10" x14ac:dyDescent="0.3">
      <c r="J364"/>
    </row>
    <row r="365" spans="10:10" x14ac:dyDescent="0.3">
      <c r="J365"/>
    </row>
    <row r="366" spans="10:10" x14ac:dyDescent="0.3">
      <c r="J366"/>
    </row>
    <row r="367" spans="10:10" x14ac:dyDescent="0.3">
      <c r="J367"/>
    </row>
    <row r="368" spans="10:10" x14ac:dyDescent="0.3">
      <c r="J368"/>
    </row>
    <row r="369" spans="10:10" x14ac:dyDescent="0.3">
      <c r="J369"/>
    </row>
    <row r="370" spans="10:10" x14ac:dyDescent="0.3">
      <c r="J370"/>
    </row>
    <row r="371" spans="10:10" x14ac:dyDescent="0.3">
      <c r="J371"/>
    </row>
    <row r="372" spans="10:10" x14ac:dyDescent="0.3">
      <c r="J372"/>
    </row>
    <row r="373" spans="10:10" x14ac:dyDescent="0.3">
      <c r="J373"/>
    </row>
    <row r="374" spans="10:10" x14ac:dyDescent="0.3">
      <c r="J374"/>
    </row>
    <row r="375" spans="10:10" x14ac:dyDescent="0.3">
      <c r="J375"/>
    </row>
    <row r="376" spans="10:10" x14ac:dyDescent="0.3">
      <c r="J376"/>
    </row>
    <row r="377" spans="10:10" x14ac:dyDescent="0.3">
      <c r="J377"/>
    </row>
    <row r="378" spans="10:10" x14ac:dyDescent="0.3">
      <c r="J378"/>
    </row>
    <row r="379" spans="10:10" x14ac:dyDescent="0.3">
      <c r="J379"/>
    </row>
    <row r="380" spans="10:10" x14ac:dyDescent="0.3">
      <c r="J380"/>
    </row>
    <row r="381" spans="10:10" x14ac:dyDescent="0.3">
      <c r="J381"/>
    </row>
    <row r="382" spans="10:10" x14ac:dyDescent="0.3">
      <c r="J382"/>
    </row>
    <row r="383" spans="10:10" x14ac:dyDescent="0.3">
      <c r="J383"/>
    </row>
    <row r="384" spans="10:10" x14ac:dyDescent="0.3">
      <c r="J384"/>
    </row>
    <row r="385" spans="10:10" x14ac:dyDescent="0.3">
      <c r="J385"/>
    </row>
    <row r="386" spans="10:10" x14ac:dyDescent="0.3">
      <c r="J386"/>
    </row>
    <row r="387" spans="10:10" x14ac:dyDescent="0.3">
      <c r="J387"/>
    </row>
    <row r="388" spans="10:10" x14ac:dyDescent="0.3">
      <c r="J388"/>
    </row>
    <row r="389" spans="10:10" x14ac:dyDescent="0.3">
      <c r="J389"/>
    </row>
    <row r="390" spans="10:10" x14ac:dyDescent="0.3">
      <c r="J390"/>
    </row>
    <row r="391" spans="10:10" x14ac:dyDescent="0.3">
      <c r="J391"/>
    </row>
    <row r="392" spans="10:10" x14ac:dyDescent="0.3">
      <c r="J392"/>
    </row>
    <row r="393" spans="10:10" x14ac:dyDescent="0.3">
      <c r="J393"/>
    </row>
    <row r="394" spans="10:10" x14ac:dyDescent="0.3">
      <c r="J394"/>
    </row>
    <row r="395" spans="10:10" x14ac:dyDescent="0.3">
      <c r="J395"/>
    </row>
    <row r="396" spans="10:10" x14ac:dyDescent="0.3">
      <c r="J396"/>
    </row>
    <row r="397" spans="10:10" x14ac:dyDescent="0.3">
      <c r="J397"/>
    </row>
    <row r="398" spans="10:10" x14ac:dyDescent="0.3">
      <c r="J398"/>
    </row>
    <row r="399" spans="10:10" x14ac:dyDescent="0.3">
      <c r="J399"/>
    </row>
    <row r="400" spans="10:10" x14ac:dyDescent="0.3">
      <c r="J400"/>
    </row>
    <row r="401" spans="10:10" x14ac:dyDescent="0.3">
      <c r="J401"/>
    </row>
    <row r="402" spans="10:10" x14ac:dyDescent="0.3">
      <c r="J402"/>
    </row>
    <row r="403" spans="10:10" x14ac:dyDescent="0.3">
      <c r="J403"/>
    </row>
    <row r="404" spans="10:10" x14ac:dyDescent="0.3">
      <c r="J404"/>
    </row>
    <row r="405" spans="10:10" x14ac:dyDescent="0.3">
      <c r="J405"/>
    </row>
    <row r="406" spans="10:10" x14ac:dyDescent="0.3">
      <c r="J406"/>
    </row>
    <row r="407" spans="10:10" x14ac:dyDescent="0.3">
      <c r="J407"/>
    </row>
    <row r="408" spans="10:10" x14ac:dyDescent="0.3">
      <c r="J408"/>
    </row>
    <row r="409" spans="10:10" x14ac:dyDescent="0.3">
      <c r="J409"/>
    </row>
    <row r="410" spans="10:10" x14ac:dyDescent="0.3">
      <c r="J410"/>
    </row>
    <row r="411" spans="10:10" x14ac:dyDescent="0.3">
      <c r="J411"/>
    </row>
    <row r="412" spans="10:10" x14ac:dyDescent="0.3">
      <c r="J412"/>
    </row>
    <row r="413" spans="10:10" x14ac:dyDescent="0.3">
      <c r="J413"/>
    </row>
    <row r="414" spans="10:10" x14ac:dyDescent="0.3">
      <c r="J414"/>
    </row>
    <row r="415" spans="10:10" x14ac:dyDescent="0.3">
      <c r="J415"/>
    </row>
    <row r="416" spans="10:10" x14ac:dyDescent="0.3">
      <c r="J416"/>
    </row>
    <row r="417" spans="10:10" x14ac:dyDescent="0.3">
      <c r="J417"/>
    </row>
    <row r="418" spans="10:10" x14ac:dyDescent="0.3">
      <c r="J418"/>
    </row>
    <row r="419" spans="10:10" x14ac:dyDescent="0.3">
      <c r="J419"/>
    </row>
    <row r="420" spans="10:10" x14ac:dyDescent="0.3">
      <c r="J420"/>
    </row>
    <row r="421" spans="10:10" x14ac:dyDescent="0.3">
      <c r="J421"/>
    </row>
    <row r="422" spans="10:10" x14ac:dyDescent="0.3">
      <c r="J422"/>
    </row>
    <row r="423" spans="10:10" x14ac:dyDescent="0.3">
      <c r="J423"/>
    </row>
    <row r="424" spans="10:10" x14ac:dyDescent="0.3">
      <c r="J424"/>
    </row>
    <row r="425" spans="10:10" x14ac:dyDescent="0.3">
      <c r="J425"/>
    </row>
    <row r="426" spans="10:10" x14ac:dyDescent="0.3">
      <c r="J426"/>
    </row>
    <row r="427" spans="10:10" x14ac:dyDescent="0.3">
      <c r="J427"/>
    </row>
    <row r="428" spans="10:10" x14ac:dyDescent="0.3">
      <c r="J428"/>
    </row>
    <row r="429" spans="10:10" x14ac:dyDescent="0.3">
      <c r="J429"/>
    </row>
    <row r="430" spans="10:10" x14ac:dyDescent="0.3">
      <c r="J430"/>
    </row>
    <row r="431" spans="10:10" x14ac:dyDescent="0.3">
      <c r="J431"/>
    </row>
    <row r="432" spans="10:10" x14ac:dyDescent="0.3">
      <c r="J432"/>
    </row>
    <row r="433" spans="10:10" x14ac:dyDescent="0.3">
      <c r="J433"/>
    </row>
    <row r="434" spans="10:10" x14ac:dyDescent="0.3">
      <c r="J434"/>
    </row>
    <row r="435" spans="10:10" x14ac:dyDescent="0.3">
      <c r="J435"/>
    </row>
    <row r="436" spans="10:10" x14ac:dyDescent="0.3">
      <c r="J436"/>
    </row>
    <row r="437" spans="10:10" x14ac:dyDescent="0.3">
      <c r="J437"/>
    </row>
    <row r="438" spans="10:10" x14ac:dyDescent="0.3">
      <c r="J438"/>
    </row>
    <row r="439" spans="10:10" x14ac:dyDescent="0.3">
      <c r="J439"/>
    </row>
    <row r="440" spans="10:10" x14ac:dyDescent="0.3">
      <c r="J440"/>
    </row>
    <row r="441" spans="10:10" x14ac:dyDescent="0.3">
      <c r="J441"/>
    </row>
    <row r="442" spans="10:10" x14ac:dyDescent="0.3">
      <c r="J442"/>
    </row>
    <row r="443" spans="10:10" x14ac:dyDescent="0.3">
      <c r="J443"/>
    </row>
    <row r="444" spans="10:10" x14ac:dyDescent="0.3">
      <c r="J444"/>
    </row>
    <row r="445" spans="10:10" x14ac:dyDescent="0.3">
      <c r="J445"/>
    </row>
    <row r="446" spans="10:10" x14ac:dyDescent="0.3">
      <c r="J446"/>
    </row>
    <row r="447" spans="10:10" x14ac:dyDescent="0.3">
      <c r="J447"/>
    </row>
    <row r="448" spans="10:10" x14ac:dyDescent="0.3">
      <c r="J448"/>
    </row>
    <row r="449" spans="10:10" x14ac:dyDescent="0.3">
      <c r="J449"/>
    </row>
    <row r="450" spans="10:10" x14ac:dyDescent="0.3">
      <c r="J450"/>
    </row>
    <row r="451" spans="10:10" x14ac:dyDescent="0.3">
      <c r="J451"/>
    </row>
    <row r="452" spans="10:10" x14ac:dyDescent="0.3">
      <c r="J452"/>
    </row>
    <row r="453" spans="10:10" x14ac:dyDescent="0.3">
      <c r="J453"/>
    </row>
    <row r="454" spans="10:10" x14ac:dyDescent="0.3">
      <c r="J454"/>
    </row>
    <row r="455" spans="10:10" x14ac:dyDescent="0.3">
      <c r="J455"/>
    </row>
    <row r="456" spans="10:10" x14ac:dyDescent="0.3">
      <c r="J456"/>
    </row>
    <row r="457" spans="10:10" x14ac:dyDescent="0.3">
      <c r="J457"/>
    </row>
    <row r="458" spans="10:10" x14ac:dyDescent="0.3">
      <c r="J458"/>
    </row>
    <row r="459" spans="10:10" x14ac:dyDescent="0.3">
      <c r="J459"/>
    </row>
    <row r="460" spans="10:10" x14ac:dyDescent="0.3">
      <c r="J460"/>
    </row>
    <row r="461" spans="10:10" x14ac:dyDescent="0.3">
      <c r="J461"/>
    </row>
    <row r="462" spans="10:10" x14ac:dyDescent="0.3">
      <c r="J462"/>
    </row>
    <row r="463" spans="10:10" x14ac:dyDescent="0.3">
      <c r="J463"/>
    </row>
    <row r="464" spans="10:10" x14ac:dyDescent="0.3">
      <c r="J464"/>
    </row>
    <row r="465" spans="10:10" x14ac:dyDescent="0.3">
      <c r="J465"/>
    </row>
    <row r="466" spans="10:10" x14ac:dyDescent="0.3">
      <c r="J466"/>
    </row>
    <row r="467" spans="10:10" x14ac:dyDescent="0.3">
      <c r="J467"/>
    </row>
    <row r="468" spans="10:10" x14ac:dyDescent="0.3">
      <c r="J468"/>
    </row>
    <row r="469" spans="10:10" x14ac:dyDescent="0.3">
      <c r="J469"/>
    </row>
    <row r="470" spans="10:10" x14ac:dyDescent="0.3">
      <c r="J470"/>
    </row>
    <row r="471" spans="10:10" x14ac:dyDescent="0.3">
      <c r="J471"/>
    </row>
    <row r="472" spans="10:10" x14ac:dyDescent="0.3">
      <c r="J472"/>
    </row>
    <row r="473" spans="10:10" x14ac:dyDescent="0.3">
      <c r="J473"/>
    </row>
    <row r="474" spans="10:10" x14ac:dyDescent="0.3">
      <c r="J474"/>
    </row>
    <row r="475" spans="10:10" x14ac:dyDescent="0.3">
      <c r="J475"/>
    </row>
    <row r="476" spans="10:10" x14ac:dyDescent="0.3">
      <c r="J476"/>
    </row>
    <row r="477" spans="10:10" x14ac:dyDescent="0.3">
      <c r="J477"/>
    </row>
    <row r="478" spans="10:10" x14ac:dyDescent="0.3">
      <c r="J478"/>
    </row>
    <row r="479" spans="10:10" x14ac:dyDescent="0.3">
      <c r="J479"/>
    </row>
    <row r="480" spans="10:10" x14ac:dyDescent="0.3">
      <c r="J480"/>
    </row>
    <row r="481" spans="10:10" x14ac:dyDescent="0.3">
      <c r="J481"/>
    </row>
    <row r="482" spans="10:10" x14ac:dyDescent="0.3">
      <c r="J482"/>
    </row>
    <row r="483" spans="10:10" x14ac:dyDescent="0.3">
      <c r="J483"/>
    </row>
    <row r="484" spans="10:10" x14ac:dyDescent="0.3">
      <c r="J484"/>
    </row>
    <row r="485" spans="10:10" x14ac:dyDescent="0.3">
      <c r="J485"/>
    </row>
    <row r="486" spans="10:10" x14ac:dyDescent="0.3">
      <c r="J486"/>
    </row>
    <row r="487" spans="10:10" x14ac:dyDescent="0.3">
      <c r="J487"/>
    </row>
    <row r="488" spans="10:10" x14ac:dyDescent="0.3">
      <c r="J488"/>
    </row>
    <row r="489" spans="10:10" x14ac:dyDescent="0.3">
      <c r="J489"/>
    </row>
    <row r="490" spans="10:10" x14ac:dyDescent="0.3">
      <c r="J490"/>
    </row>
    <row r="491" spans="10:10" x14ac:dyDescent="0.3">
      <c r="J491"/>
    </row>
    <row r="492" spans="10:10" x14ac:dyDescent="0.3">
      <c r="J492"/>
    </row>
    <row r="493" spans="10:10" x14ac:dyDescent="0.3">
      <c r="J493"/>
    </row>
    <row r="494" spans="10:10" x14ac:dyDescent="0.3">
      <c r="J494"/>
    </row>
    <row r="495" spans="10:10" x14ac:dyDescent="0.3">
      <c r="J495"/>
    </row>
    <row r="496" spans="10:10" x14ac:dyDescent="0.3">
      <c r="J496"/>
    </row>
    <row r="497" spans="10:10" x14ac:dyDescent="0.3">
      <c r="J497"/>
    </row>
    <row r="498" spans="10:10" x14ac:dyDescent="0.3">
      <c r="J498"/>
    </row>
    <row r="499" spans="10:10" x14ac:dyDescent="0.3">
      <c r="J499"/>
    </row>
    <row r="500" spans="10:10" x14ac:dyDescent="0.3">
      <c r="J500"/>
    </row>
    <row r="501" spans="10:10" x14ac:dyDescent="0.3">
      <c r="J501"/>
    </row>
    <row r="502" spans="10:10" x14ac:dyDescent="0.3">
      <c r="J502"/>
    </row>
    <row r="503" spans="10:10" x14ac:dyDescent="0.3">
      <c r="J503"/>
    </row>
    <row r="504" spans="10:10" x14ac:dyDescent="0.3">
      <c r="J504"/>
    </row>
    <row r="505" spans="10:10" x14ac:dyDescent="0.3">
      <c r="J505"/>
    </row>
    <row r="506" spans="10:10" x14ac:dyDescent="0.3">
      <c r="J506"/>
    </row>
    <row r="507" spans="10:10" x14ac:dyDescent="0.3">
      <c r="J507"/>
    </row>
    <row r="508" spans="10:10" x14ac:dyDescent="0.3">
      <c r="J508"/>
    </row>
    <row r="509" spans="10:10" x14ac:dyDescent="0.3">
      <c r="J509"/>
    </row>
    <row r="510" spans="10:10" x14ac:dyDescent="0.3">
      <c r="J510"/>
    </row>
    <row r="511" spans="10:10" x14ac:dyDescent="0.3">
      <c r="J511"/>
    </row>
    <row r="512" spans="10:10" x14ac:dyDescent="0.3">
      <c r="J512"/>
    </row>
    <row r="513" spans="10:10" x14ac:dyDescent="0.3">
      <c r="J513"/>
    </row>
    <row r="514" spans="10:10" x14ac:dyDescent="0.3">
      <c r="J514"/>
    </row>
    <row r="515" spans="10:10" x14ac:dyDescent="0.3">
      <c r="J515"/>
    </row>
    <row r="516" spans="10:10" x14ac:dyDescent="0.3">
      <c r="J516"/>
    </row>
    <row r="517" spans="10:10" x14ac:dyDescent="0.3">
      <c r="J517"/>
    </row>
    <row r="518" spans="10:10" x14ac:dyDescent="0.3">
      <c r="J518"/>
    </row>
    <row r="519" spans="10:10" x14ac:dyDescent="0.3">
      <c r="J519"/>
    </row>
    <row r="520" spans="10:10" x14ac:dyDescent="0.3">
      <c r="J520"/>
    </row>
    <row r="521" spans="10:10" x14ac:dyDescent="0.3">
      <c r="J521"/>
    </row>
    <row r="522" spans="10:10" x14ac:dyDescent="0.3">
      <c r="J522"/>
    </row>
    <row r="523" spans="10:10" x14ac:dyDescent="0.3">
      <c r="J523"/>
    </row>
    <row r="524" spans="10:10" x14ac:dyDescent="0.3">
      <c r="J524"/>
    </row>
    <row r="525" spans="10:10" x14ac:dyDescent="0.3">
      <c r="J525"/>
    </row>
    <row r="526" spans="10:10" x14ac:dyDescent="0.3">
      <c r="J526"/>
    </row>
    <row r="527" spans="10:10" x14ac:dyDescent="0.3">
      <c r="J527"/>
    </row>
    <row r="528" spans="10:10" x14ac:dyDescent="0.3">
      <c r="J528"/>
    </row>
    <row r="529" spans="10:10" x14ac:dyDescent="0.3">
      <c r="J529"/>
    </row>
    <row r="530" spans="10:10" x14ac:dyDescent="0.3">
      <c r="J530"/>
    </row>
    <row r="531" spans="10:10" x14ac:dyDescent="0.3">
      <c r="J531"/>
    </row>
    <row r="532" spans="10:10" x14ac:dyDescent="0.3">
      <c r="J532"/>
    </row>
    <row r="533" spans="10:10" x14ac:dyDescent="0.3">
      <c r="J533"/>
    </row>
    <row r="534" spans="10:10" x14ac:dyDescent="0.3">
      <c r="J534"/>
    </row>
    <row r="535" spans="10:10" x14ac:dyDescent="0.3">
      <c r="J535"/>
    </row>
    <row r="536" spans="10:10" x14ac:dyDescent="0.3">
      <c r="J536"/>
    </row>
    <row r="537" spans="10:10" x14ac:dyDescent="0.3">
      <c r="J537"/>
    </row>
    <row r="538" spans="10:10" x14ac:dyDescent="0.3">
      <c r="J538"/>
    </row>
    <row r="539" spans="10:10" x14ac:dyDescent="0.3">
      <c r="J539"/>
    </row>
    <row r="540" spans="10:10" x14ac:dyDescent="0.3">
      <c r="J540"/>
    </row>
    <row r="541" spans="10:10" x14ac:dyDescent="0.3">
      <c r="J541"/>
    </row>
    <row r="542" spans="10:10" x14ac:dyDescent="0.3">
      <c r="J542"/>
    </row>
    <row r="543" spans="10:10" x14ac:dyDescent="0.3">
      <c r="J543"/>
    </row>
    <row r="544" spans="10:10" x14ac:dyDescent="0.3">
      <c r="J544"/>
    </row>
    <row r="545" spans="10:10" x14ac:dyDescent="0.3">
      <c r="J545"/>
    </row>
    <row r="546" spans="10:10" x14ac:dyDescent="0.3">
      <c r="J546"/>
    </row>
    <row r="547" spans="10:10" x14ac:dyDescent="0.3">
      <c r="J547"/>
    </row>
    <row r="548" spans="10:10" x14ac:dyDescent="0.3">
      <c r="J548"/>
    </row>
    <row r="549" spans="10:10" x14ac:dyDescent="0.3">
      <c r="J549"/>
    </row>
    <row r="550" spans="10:10" x14ac:dyDescent="0.3">
      <c r="J550"/>
    </row>
    <row r="551" spans="10:10" x14ac:dyDescent="0.3">
      <c r="J551"/>
    </row>
    <row r="552" spans="10:10" x14ac:dyDescent="0.3">
      <c r="J552"/>
    </row>
    <row r="553" spans="10:10" x14ac:dyDescent="0.3">
      <c r="J553"/>
    </row>
    <row r="554" spans="10:10" x14ac:dyDescent="0.3">
      <c r="J554"/>
    </row>
    <row r="555" spans="10:10" x14ac:dyDescent="0.3">
      <c r="J555"/>
    </row>
    <row r="556" spans="10:10" x14ac:dyDescent="0.3">
      <c r="J556"/>
    </row>
    <row r="557" spans="10:10" x14ac:dyDescent="0.3">
      <c r="J557"/>
    </row>
    <row r="558" spans="10:10" x14ac:dyDescent="0.3">
      <c r="J558"/>
    </row>
    <row r="559" spans="10:10" x14ac:dyDescent="0.3">
      <c r="J559"/>
    </row>
    <row r="560" spans="10:10" x14ac:dyDescent="0.3">
      <c r="J560"/>
    </row>
    <row r="561" spans="10:10" x14ac:dyDescent="0.3">
      <c r="J561"/>
    </row>
    <row r="562" spans="10:10" x14ac:dyDescent="0.3">
      <c r="J562"/>
    </row>
    <row r="563" spans="10:10" x14ac:dyDescent="0.3">
      <c r="J563"/>
    </row>
    <row r="564" spans="10:10" x14ac:dyDescent="0.3">
      <c r="J564"/>
    </row>
    <row r="565" spans="10:10" x14ac:dyDescent="0.3">
      <c r="J565"/>
    </row>
    <row r="566" spans="10:10" x14ac:dyDescent="0.3">
      <c r="J566"/>
    </row>
    <row r="567" spans="10:10" x14ac:dyDescent="0.3">
      <c r="J567"/>
    </row>
    <row r="568" spans="10:10" x14ac:dyDescent="0.3">
      <c r="J568"/>
    </row>
    <row r="569" spans="10:10" x14ac:dyDescent="0.3">
      <c r="J569"/>
    </row>
    <row r="570" spans="10:10" x14ac:dyDescent="0.3">
      <c r="J570"/>
    </row>
    <row r="571" spans="10:10" x14ac:dyDescent="0.3">
      <c r="J571"/>
    </row>
    <row r="572" spans="10:10" x14ac:dyDescent="0.3">
      <c r="J572"/>
    </row>
    <row r="573" spans="10:10" x14ac:dyDescent="0.3">
      <c r="J573"/>
    </row>
    <row r="574" spans="10:10" x14ac:dyDescent="0.3">
      <c r="J574"/>
    </row>
    <row r="575" spans="10:10" x14ac:dyDescent="0.3">
      <c r="J575"/>
    </row>
    <row r="576" spans="10:10" x14ac:dyDescent="0.3">
      <c r="J576"/>
    </row>
    <row r="577" spans="10:10" x14ac:dyDescent="0.3">
      <c r="J577"/>
    </row>
    <row r="578" spans="10:10" x14ac:dyDescent="0.3">
      <c r="J578"/>
    </row>
    <row r="579" spans="10:10" x14ac:dyDescent="0.3">
      <c r="J579"/>
    </row>
    <row r="580" spans="10:10" x14ac:dyDescent="0.3">
      <c r="J580"/>
    </row>
    <row r="581" spans="10:10" x14ac:dyDescent="0.3">
      <c r="J581"/>
    </row>
    <row r="582" spans="10:10" x14ac:dyDescent="0.3">
      <c r="J582"/>
    </row>
    <row r="583" spans="10:10" x14ac:dyDescent="0.3">
      <c r="J583"/>
    </row>
    <row r="584" spans="10:10" x14ac:dyDescent="0.3">
      <c r="J584"/>
    </row>
    <row r="585" spans="10:10" x14ac:dyDescent="0.3">
      <c r="J585"/>
    </row>
    <row r="586" spans="10:10" x14ac:dyDescent="0.3">
      <c r="J586"/>
    </row>
    <row r="587" spans="10:10" x14ac:dyDescent="0.3">
      <c r="J587"/>
    </row>
    <row r="588" spans="10:10" x14ac:dyDescent="0.3">
      <c r="J588"/>
    </row>
    <row r="589" spans="10:10" x14ac:dyDescent="0.3">
      <c r="J589"/>
    </row>
    <row r="590" spans="10:10" x14ac:dyDescent="0.3">
      <c r="J590"/>
    </row>
    <row r="591" spans="10:10" x14ac:dyDescent="0.3">
      <c r="J591"/>
    </row>
    <row r="592" spans="10:10" x14ac:dyDescent="0.3">
      <c r="J592"/>
    </row>
    <row r="593" spans="10:10" x14ac:dyDescent="0.3">
      <c r="J593"/>
    </row>
    <row r="594" spans="10:10" x14ac:dyDescent="0.3">
      <c r="J594"/>
    </row>
    <row r="595" spans="10:10" x14ac:dyDescent="0.3">
      <c r="J595"/>
    </row>
    <row r="596" spans="10:10" x14ac:dyDescent="0.3">
      <c r="J596"/>
    </row>
    <row r="597" spans="10:10" x14ac:dyDescent="0.3">
      <c r="J597"/>
    </row>
    <row r="598" spans="10:10" x14ac:dyDescent="0.3">
      <c r="J598"/>
    </row>
    <row r="599" spans="10:10" x14ac:dyDescent="0.3">
      <c r="J599"/>
    </row>
    <row r="600" spans="10:10" x14ac:dyDescent="0.3">
      <c r="J600"/>
    </row>
    <row r="601" spans="10:10" x14ac:dyDescent="0.3">
      <c r="J601"/>
    </row>
    <row r="602" spans="10:10" x14ac:dyDescent="0.3">
      <c r="J602"/>
    </row>
    <row r="603" spans="10:10" x14ac:dyDescent="0.3">
      <c r="J603"/>
    </row>
    <row r="604" spans="10:10" x14ac:dyDescent="0.3">
      <c r="J604"/>
    </row>
    <row r="605" spans="10:10" x14ac:dyDescent="0.3">
      <c r="J605"/>
    </row>
    <row r="606" spans="10:10" x14ac:dyDescent="0.3">
      <c r="J606"/>
    </row>
    <row r="607" spans="10:10" x14ac:dyDescent="0.3">
      <c r="J607"/>
    </row>
    <row r="608" spans="10:10" x14ac:dyDescent="0.3">
      <c r="J608"/>
    </row>
    <row r="609" spans="10:10" x14ac:dyDescent="0.3">
      <c r="J609"/>
    </row>
    <row r="610" spans="10:10" x14ac:dyDescent="0.3">
      <c r="J610"/>
    </row>
    <row r="611" spans="10:10" x14ac:dyDescent="0.3">
      <c r="J611"/>
    </row>
    <row r="612" spans="10:10" x14ac:dyDescent="0.3">
      <c r="J612"/>
    </row>
    <row r="613" spans="10:10" x14ac:dyDescent="0.3">
      <c r="J613"/>
    </row>
    <row r="614" spans="10:10" x14ac:dyDescent="0.3">
      <c r="J614"/>
    </row>
    <row r="615" spans="10:10" x14ac:dyDescent="0.3">
      <c r="J615"/>
    </row>
    <row r="616" spans="10:10" x14ac:dyDescent="0.3">
      <c r="J616"/>
    </row>
    <row r="617" spans="10:10" x14ac:dyDescent="0.3">
      <c r="J617"/>
    </row>
    <row r="618" spans="10:10" x14ac:dyDescent="0.3">
      <c r="J618"/>
    </row>
    <row r="619" spans="10:10" x14ac:dyDescent="0.3">
      <c r="J619"/>
    </row>
    <row r="620" spans="10:10" x14ac:dyDescent="0.3">
      <c r="J620"/>
    </row>
    <row r="621" spans="10:10" x14ac:dyDescent="0.3">
      <c r="J621"/>
    </row>
    <row r="622" spans="10:10" x14ac:dyDescent="0.3">
      <c r="J622"/>
    </row>
    <row r="623" spans="10:10" x14ac:dyDescent="0.3">
      <c r="J623"/>
    </row>
    <row r="624" spans="10:10" x14ac:dyDescent="0.3">
      <c r="J624"/>
    </row>
    <row r="625" spans="10:10" x14ac:dyDescent="0.3">
      <c r="J625"/>
    </row>
    <row r="626" spans="10:10" x14ac:dyDescent="0.3">
      <c r="J626"/>
    </row>
    <row r="627" spans="10:10" x14ac:dyDescent="0.3">
      <c r="J627"/>
    </row>
    <row r="628" spans="10:10" x14ac:dyDescent="0.3">
      <c r="J628"/>
    </row>
    <row r="629" spans="10:10" x14ac:dyDescent="0.3">
      <c r="J629"/>
    </row>
    <row r="630" spans="10:10" x14ac:dyDescent="0.3">
      <c r="J630"/>
    </row>
    <row r="631" spans="10:10" x14ac:dyDescent="0.3">
      <c r="J631"/>
    </row>
    <row r="632" spans="10:10" x14ac:dyDescent="0.3">
      <c r="J632"/>
    </row>
    <row r="633" spans="10:10" x14ac:dyDescent="0.3">
      <c r="J633"/>
    </row>
    <row r="634" spans="10:10" x14ac:dyDescent="0.3">
      <c r="J634"/>
    </row>
    <row r="635" spans="10:10" x14ac:dyDescent="0.3">
      <c r="J635"/>
    </row>
    <row r="636" spans="10:10" x14ac:dyDescent="0.3">
      <c r="J636"/>
    </row>
    <row r="637" spans="10:10" x14ac:dyDescent="0.3">
      <c r="J637"/>
    </row>
    <row r="638" spans="10:10" x14ac:dyDescent="0.3">
      <c r="J638"/>
    </row>
    <row r="639" spans="10:10" x14ac:dyDescent="0.3">
      <c r="J639"/>
    </row>
    <row r="640" spans="10:10" x14ac:dyDescent="0.3">
      <c r="J640"/>
    </row>
    <row r="641" spans="10:10" x14ac:dyDescent="0.3">
      <c r="J641"/>
    </row>
    <row r="642" spans="10:10" x14ac:dyDescent="0.3">
      <c r="J642"/>
    </row>
    <row r="643" spans="10:10" x14ac:dyDescent="0.3">
      <c r="J643"/>
    </row>
    <row r="644" spans="10:10" x14ac:dyDescent="0.3">
      <c r="J644"/>
    </row>
    <row r="645" spans="10:10" x14ac:dyDescent="0.3">
      <c r="J645"/>
    </row>
    <row r="646" spans="10:10" x14ac:dyDescent="0.3">
      <c r="J646"/>
    </row>
    <row r="647" spans="10:10" x14ac:dyDescent="0.3">
      <c r="J647"/>
    </row>
    <row r="648" spans="10:10" x14ac:dyDescent="0.3">
      <c r="J648"/>
    </row>
    <row r="649" spans="10:10" x14ac:dyDescent="0.3">
      <c r="J649"/>
    </row>
    <row r="650" spans="10:10" x14ac:dyDescent="0.3">
      <c r="J650"/>
    </row>
    <row r="651" spans="10:10" x14ac:dyDescent="0.3">
      <c r="J651"/>
    </row>
    <row r="652" spans="10:10" x14ac:dyDescent="0.3">
      <c r="J652"/>
    </row>
    <row r="653" spans="10:10" x14ac:dyDescent="0.3">
      <c r="J653"/>
    </row>
    <row r="654" spans="10:10" x14ac:dyDescent="0.3">
      <c r="J654"/>
    </row>
    <row r="655" spans="10:10" x14ac:dyDescent="0.3">
      <c r="J655"/>
    </row>
    <row r="656" spans="10:10" x14ac:dyDescent="0.3">
      <c r="J656"/>
    </row>
    <row r="657" spans="10:10" x14ac:dyDescent="0.3">
      <c r="J657"/>
    </row>
    <row r="658" spans="10:10" x14ac:dyDescent="0.3">
      <c r="J658"/>
    </row>
    <row r="659" spans="10:10" x14ac:dyDescent="0.3">
      <c r="J659"/>
    </row>
    <row r="660" spans="10:10" x14ac:dyDescent="0.3">
      <c r="J660"/>
    </row>
    <row r="661" spans="10:10" x14ac:dyDescent="0.3">
      <c r="J661"/>
    </row>
    <row r="662" spans="10:10" x14ac:dyDescent="0.3">
      <c r="J662"/>
    </row>
    <row r="663" spans="10:10" x14ac:dyDescent="0.3">
      <c r="J663"/>
    </row>
    <row r="664" spans="10:10" x14ac:dyDescent="0.3">
      <c r="J664"/>
    </row>
    <row r="665" spans="10:10" x14ac:dyDescent="0.3">
      <c r="J665"/>
    </row>
    <row r="666" spans="10:10" x14ac:dyDescent="0.3">
      <c r="J666"/>
    </row>
    <row r="667" spans="10:10" x14ac:dyDescent="0.3">
      <c r="J667"/>
    </row>
    <row r="668" spans="10:10" x14ac:dyDescent="0.3">
      <c r="J668"/>
    </row>
    <row r="669" spans="10:10" x14ac:dyDescent="0.3">
      <c r="J669"/>
    </row>
    <row r="670" spans="10:10" x14ac:dyDescent="0.3">
      <c r="J670"/>
    </row>
    <row r="671" spans="10:10" x14ac:dyDescent="0.3">
      <c r="J671"/>
    </row>
    <row r="672" spans="10:10" x14ac:dyDescent="0.3">
      <c r="J672"/>
    </row>
    <row r="673" spans="10:10" x14ac:dyDescent="0.3">
      <c r="J673"/>
    </row>
    <row r="674" spans="10:10" x14ac:dyDescent="0.3">
      <c r="J674"/>
    </row>
    <row r="675" spans="10:10" x14ac:dyDescent="0.3">
      <c r="J675"/>
    </row>
    <row r="676" spans="10:10" x14ac:dyDescent="0.3">
      <c r="J676"/>
    </row>
    <row r="677" spans="10:10" x14ac:dyDescent="0.3">
      <c r="J677"/>
    </row>
    <row r="678" spans="10:10" x14ac:dyDescent="0.3">
      <c r="J678"/>
    </row>
    <row r="679" spans="10:10" x14ac:dyDescent="0.3">
      <c r="J679"/>
    </row>
    <row r="680" spans="10:10" x14ac:dyDescent="0.3">
      <c r="J680"/>
    </row>
    <row r="681" spans="10:10" x14ac:dyDescent="0.3">
      <c r="J681"/>
    </row>
    <row r="682" spans="10:10" x14ac:dyDescent="0.3">
      <c r="J682"/>
    </row>
    <row r="683" spans="10:10" x14ac:dyDescent="0.3">
      <c r="J683"/>
    </row>
    <row r="684" spans="10:10" x14ac:dyDescent="0.3">
      <c r="J684"/>
    </row>
    <row r="685" spans="10:10" x14ac:dyDescent="0.3">
      <c r="J685"/>
    </row>
    <row r="686" spans="10:10" x14ac:dyDescent="0.3">
      <c r="J686"/>
    </row>
    <row r="687" spans="10:10" x14ac:dyDescent="0.3">
      <c r="J687"/>
    </row>
    <row r="688" spans="10:10" x14ac:dyDescent="0.3">
      <c r="J688"/>
    </row>
    <row r="689" spans="10:10" x14ac:dyDescent="0.3">
      <c r="J689"/>
    </row>
    <row r="690" spans="10:10" x14ac:dyDescent="0.3">
      <c r="J690"/>
    </row>
    <row r="691" spans="10:10" x14ac:dyDescent="0.3">
      <c r="J691"/>
    </row>
    <row r="692" spans="10:10" x14ac:dyDescent="0.3">
      <c r="J692"/>
    </row>
    <row r="693" spans="10:10" x14ac:dyDescent="0.3">
      <c r="J693"/>
    </row>
    <row r="694" spans="10:10" x14ac:dyDescent="0.3">
      <c r="J694"/>
    </row>
    <row r="695" spans="10:10" x14ac:dyDescent="0.3">
      <c r="J695"/>
    </row>
    <row r="696" spans="10:10" x14ac:dyDescent="0.3">
      <c r="J696"/>
    </row>
    <row r="697" spans="10:10" x14ac:dyDescent="0.3">
      <c r="J697"/>
    </row>
    <row r="698" spans="10:10" x14ac:dyDescent="0.3">
      <c r="J698"/>
    </row>
    <row r="699" spans="10:10" x14ac:dyDescent="0.3">
      <c r="J699"/>
    </row>
    <row r="700" spans="10:10" x14ac:dyDescent="0.3">
      <c r="J700"/>
    </row>
    <row r="701" spans="10:10" x14ac:dyDescent="0.3">
      <c r="J701"/>
    </row>
    <row r="702" spans="10:10" x14ac:dyDescent="0.3">
      <c r="J702"/>
    </row>
    <row r="703" spans="10:10" x14ac:dyDescent="0.3">
      <c r="J703"/>
    </row>
    <row r="704" spans="10:10" x14ac:dyDescent="0.3">
      <c r="J704"/>
    </row>
    <row r="705" spans="10:10" x14ac:dyDescent="0.3">
      <c r="J705"/>
    </row>
    <row r="706" spans="10:10" x14ac:dyDescent="0.3">
      <c r="J706"/>
    </row>
    <row r="707" spans="10:10" x14ac:dyDescent="0.3">
      <c r="J707"/>
    </row>
    <row r="708" spans="10:10" x14ac:dyDescent="0.3">
      <c r="J708"/>
    </row>
    <row r="709" spans="10:10" x14ac:dyDescent="0.3">
      <c r="J709"/>
    </row>
    <row r="710" spans="10:10" x14ac:dyDescent="0.3">
      <c r="J710"/>
    </row>
    <row r="711" spans="10:10" x14ac:dyDescent="0.3">
      <c r="J711"/>
    </row>
    <row r="712" spans="10:10" x14ac:dyDescent="0.3">
      <c r="J712"/>
    </row>
    <row r="713" spans="10:10" x14ac:dyDescent="0.3">
      <c r="J713"/>
    </row>
    <row r="714" spans="10:10" x14ac:dyDescent="0.3">
      <c r="J714"/>
    </row>
    <row r="715" spans="10:10" x14ac:dyDescent="0.3">
      <c r="J715"/>
    </row>
    <row r="716" spans="10:10" x14ac:dyDescent="0.3">
      <c r="J716"/>
    </row>
    <row r="717" spans="10:10" x14ac:dyDescent="0.3">
      <c r="J717"/>
    </row>
    <row r="718" spans="10:10" x14ac:dyDescent="0.3">
      <c r="J718"/>
    </row>
    <row r="719" spans="10:10" x14ac:dyDescent="0.3">
      <c r="J719"/>
    </row>
    <row r="720" spans="10:10" x14ac:dyDescent="0.3">
      <c r="J720"/>
    </row>
    <row r="721" spans="10:10" x14ac:dyDescent="0.3">
      <c r="J721"/>
    </row>
    <row r="722" spans="10:10" x14ac:dyDescent="0.3">
      <c r="J722"/>
    </row>
    <row r="723" spans="10:10" x14ac:dyDescent="0.3">
      <c r="J723"/>
    </row>
    <row r="724" spans="10:10" x14ac:dyDescent="0.3">
      <c r="J724"/>
    </row>
    <row r="725" spans="10:10" x14ac:dyDescent="0.3">
      <c r="J725"/>
    </row>
    <row r="726" spans="10:10" x14ac:dyDescent="0.3">
      <c r="J726"/>
    </row>
    <row r="727" spans="10:10" x14ac:dyDescent="0.3">
      <c r="J727"/>
    </row>
    <row r="728" spans="10:10" x14ac:dyDescent="0.3">
      <c r="J728"/>
    </row>
    <row r="729" spans="10:10" x14ac:dyDescent="0.3">
      <c r="J729"/>
    </row>
    <row r="730" spans="10:10" x14ac:dyDescent="0.3">
      <c r="J730"/>
    </row>
    <row r="731" spans="10:10" x14ac:dyDescent="0.3">
      <c r="J731"/>
    </row>
    <row r="732" spans="10:10" x14ac:dyDescent="0.3">
      <c r="J732"/>
    </row>
    <row r="733" spans="10:10" x14ac:dyDescent="0.3">
      <c r="J733"/>
    </row>
    <row r="734" spans="10:10" x14ac:dyDescent="0.3">
      <c r="J734"/>
    </row>
    <row r="735" spans="10:10" x14ac:dyDescent="0.3">
      <c r="J735"/>
    </row>
    <row r="736" spans="10:10" x14ac:dyDescent="0.3">
      <c r="J736"/>
    </row>
    <row r="737" spans="10:10" x14ac:dyDescent="0.3">
      <c r="J737"/>
    </row>
    <row r="738" spans="10:10" x14ac:dyDescent="0.3">
      <c r="J738"/>
    </row>
    <row r="739" spans="10:10" x14ac:dyDescent="0.3">
      <c r="J739"/>
    </row>
    <row r="740" spans="10:10" x14ac:dyDescent="0.3">
      <c r="J740"/>
    </row>
    <row r="741" spans="10:10" x14ac:dyDescent="0.3">
      <c r="J741"/>
    </row>
    <row r="742" spans="10:10" x14ac:dyDescent="0.3">
      <c r="J742"/>
    </row>
    <row r="743" spans="10:10" x14ac:dyDescent="0.3">
      <c r="J743"/>
    </row>
    <row r="744" spans="10:10" x14ac:dyDescent="0.3">
      <c r="J744"/>
    </row>
    <row r="745" spans="10:10" x14ac:dyDescent="0.3">
      <c r="J745"/>
    </row>
    <row r="746" spans="10:10" x14ac:dyDescent="0.3">
      <c r="J746"/>
    </row>
    <row r="747" spans="10:10" x14ac:dyDescent="0.3">
      <c r="J747"/>
    </row>
    <row r="748" spans="10:10" x14ac:dyDescent="0.3">
      <c r="J748"/>
    </row>
    <row r="749" spans="10:10" x14ac:dyDescent="0.3">
      <c r="J749"/>
    </row>
    <row r="750" spans="10:10" x14ac:dyDescent="0.3">
      <c r="J750"/>
    </row>
    <row r="751" spans="10:10" x14ac:dyDescent="0.3">
      <c r="J751"/>
    </row>
    <row r="752" spans="10:10" x14ac:dyDescent="0.3">
      <c r="J752"/>
    </row>
    <row r="753" spans="10:10" x14ac:dyDescent="0.3">
      <c r="J753"/>
    </row>
    <row r="754" spans="10:10" x14ac:dyDescent="0.3">
      <c r="J754"/>
    </row>
    <row r="755" spans="10:10" x14ac:dyDescent="0.3">
      <c r="J755"/>
    </row>
    <row r="756" spans="10:10" x14ac:dyDescent="0.3">
      <c r="J756"/>
    </row>
    <row r="757" spans="10:10" x14ac:dyDescent="0.3">
      <c r="J757"/>
    </row>
    <row r="758" spans="10:10" x14ac:dyDescent="0.3">
      <c r="J758"/>
    </row>
    <row r="759" spans="10:10" x14ac:dyDescent="0.3">
      <c r="J759"/>
    </row>
    <row r="760" spans="10:10" x14ac:dyDescent="0.3">
      <c r="J760"/>
    </row>
    <row r="761" spans="10:10" x14ac:dyDescent="0.3">
      <c r="J761"/>
    </row>
    <row r="762" spans="10:10" x14ac:dyDescent="0.3">
      <c r="J762"/>
    </row>
    <row r="763" spans="10:10" x14ac:dyDescent="0.3">
      <c r="J763"/>
    </row>
    <row r="764" spans="10:10" x14ac:dyDescent="0.3">
      <c r="J764"/>
    </row>
    <row r="765" spans="10:10" x14ac:dyDescent="0.3">
      <c r="J765"/>
    </row>
    <row r="766" spans="10:10" x14ac:dyDescent="0.3">
      <c r="J766"/>
    </row>
    <row r="767" spans="10:10" x14ac:dyDescent="0.3">
      <c r="J767"/>
    </row>
    <row r="768" spans="10:10" x14ac:dyDescent="0.3">
      <c r="J768"/>
    </row>
    <row r="769" spans="10:10" x14ac:dyDescent="0.3">
      <c r="J769"/>
    </row>
    <row r="770" spans="10:10" x14ac:dyDescent="0.3">
      <c r="J770"/>
    </row>
    <row r="771" spans="10:10" x14ac:dyDescent="0.3">
      <c r="J771"/>
    </row>
    <row r="772" spans="10:10" x14ac:dyDescent="0.3">
      <c r="J772"/>
    </row>
    <row r="773" spans="10:10" x14ac:dyDescent="0.3">
      <c r="J773"/>
    </row>
    <row r="774" spans="10:10" x14ac:dyDescent="0.3">
      <c r="J774"/>
    </row>
    <row r="775" spans="10:10" x14ac:dyDescent="0.3">
      <c r="J775"/>
    </row>
    <row r="776" spans="10:10" x14ac:dyDescent="0.3">
      <c r="J776"/>
    </row>
    <row r="777" spans="10:10" x14ac:dyDescent="0.3">
      <c r="J777"/>
    </row>
    <row r="778" spans="10:10" x14ac:dyDescent="0.3">
      <c r="J778"/>
    </row>
    <row r="779" spans="10:10" x14ac:dyDescent="0.3">
      <c r="J779"/>
    </row>
    <row r="780" spans="10:10" x14ac:dyDescent="0.3">
      <c r="J780"/>
    </row>
    <row r="781" spans="10:10" x14ac:dyDescent="0.3">
      <c r="J781"/>
    </row>
    <row r="782" spans="10:10" x14ac:dyDescent="0.3">
      <c r="J782"/>
    </row>
    <row r="783" spans="10:10" x14ac:dyDescent="0.3">
      <c r="J783"/>
    </row>
    <row r="784" spans="10:10" x14ac:dyDescent="0.3">
      <c r="J784"/>
    </row>
    <row r="785" spans="10:10" x14ac:dyDescent="0.3">
      <c r="J785"/>
    </row>
    <row r="786" spans="10:10" x14ac:dyDescent="0.3">
      <c r="J786"/>
    </row>
    <row r="787" spans="10:10" x14ac:dyDescent="0.3">
      <c r="J787"/>
    </row>
    <row r="788" spans="10:10" x14ac:dyDescent="0.3">
      <c r="J788"/>
    </row>
    <row r="789" spans="10:10" x14ac:dyDescent="0.3">
      <c r="J789"/>
    </row>
    <row r="790" spans="10:10" x14ac:dyDescent="0.3">
      <c r="J790"/>
    </row>
    <row r="791" spans="10:10" x14ac:dyDescent="0.3">
      <c r="J791"/>
    </row>
    <row r="792" spans="10:10" x14ac:dyDescent="0.3">
      <c r="J792"/>
    </row>
    <row r="793" spans="10:10" x14ac:dyDescent="0.3">
      <c r="J793"/>
    </row>
    <row r="794" spans="10:10" x14ac:dyDescent="0.3">
      <c r="J794"/>
    </row>
    <row r="795" spans="10:10" x14ac:dyDescent="0.3">
      <c r="J795"/>
    </row>
    <row r="796" spans="10:10" x14ac:dyDescent="0.3">
      <c r="J796"/>
    </row>
    <row r="797" spans="10:10" x14ac:dyDescent="0.3">
      <c r="J797"/>
    </row>
    <row r="798" spans="10:10" x14ac:dyDescent="0.3">
      <c r="J798"/>
    </row>
    <row r="799" spans="10:10" x14ac:dyDescent="0.3">
      <c r="J799"/>
    </row>
    <row r="800" spans="10:10" x14ac:dyDescent="0.3">
      <c r="J800"/>
    </row>
    <row r="801" spans="10:10" x14ac:dyDescent="0.3">
      <c r="J801"/>
    </row>
    <row r="802" spans="10:10" x14ac:dyDescent="0.3">
      <c r="J802"/>
    </row>
    <row r="803" spans="10:10" x14ac:dyDescent="0.3">
      <c r="J803"/>
    </row>
    <row r="804" spans="10:10" x14ac:dyDescent="0.3">
      <c r="J804"/>
    </row>
    <row r="805" spans="10:10" x14ac:dyDescent="0.3">
      <c r="J805"/>
    </row>
    <row r="806" spans="10:10" x14ac:dyDescent="0.3">
      <c r="J806"/>
    </row>
    <row r="807" spans="10:10" x14ac:dyDescent="0.3">
      <c r="J807"/>
    </row>
    <row r="808" spans="10:10" x14ac:dyDescent="0.3">
      <c r="J808"/>
    </row>
    <row r="809" spans="10:10" x14ac:dyDescent="0.3">
      <c r="J809"/>
    </row>
    <row r="810" spans="10:10" x14ac:dyDescent="0.3">
      <c r="J810"/>
    </row>
    <row r="811" spans="10:10" x14ac:dyDescent="0.3">
      <c r="J811"/>
    </row>
    <row r="812" spans="10:10" x14ac:dyDescent="0.3">
      <c r="J812"/>
    </row>
    <row r="813" spans="10:10" x14ac:dyDescent="0.3">
      <c r="J813"/>
    </row>
    <row r="814" spans="10:10" x14ac:dyDescent="0.3">
      <c r="J814"/>
    </row>
    <row r="815" spans="10:10" x14ac:dyDescent="0.3">
      <c r="J815"/>
    </row>
    <row r="816" spans="10:10" x14ac:dyDescent="0.3">
      <c r="J816"/>
    </row>
    <row r="817" spans="10:10" x14ac:dyDescent="0.3">
      <c r="J817"/>
    </row>
    <row r="818" spans="10:10" x14ac:dyDescent="0.3">
      <c r="J818"/>
    </row>
    <row r="819" spans="10:10" x14ac:dyDescent="0.3">
      <c r="J819"/>
    </row>
    <row r="820" spans="10:10" x14ac:dyDescent="0.3">
      <c r="J820"/>
    </row>
    <row r="821" spans="10:10" x14ac:dyDescent="0.3">
      <c r="J821"/>
    </row>
    <row r="822" spans="10:10" x14ac:dyDescent="0.3">
      <c r="J822"/>
    </row>
    <row r="823" spans="10:10" x14ac:dyDescent="0.3">
      <c r="J823"/>
    </row>
    <row r="824" spans="10:10" x14ac:dyDescent="0.3">
      <c r="J824"/>
    </row>
    <row r="825" spans="10:10" x14ac:dyDescent="0.3">
      <c r="J825"/>
    </row>
    <row r="826" spans="10:10" x14ac:dyDescent="0.3">
      <c r="J826"/>
    </row>
    <row r="827" spans="10:10" x14ac:dyDescent="0.3">
      <c r="J827"/>
    </row>
    <row r="828" spans="10:10" x14ac:dyDescent="0.3">
      <c r="J828"/>
    </row>
    <row r="829" spans="10:10" x14ac:dyDescent="0.3">
      <c r="J829"/>
    </row>
    <row r="830" spans="10:10" x14ac:dyDescent="0.3">
      <c r="J830"/>
    </row>
    <row r="831" spans="10:10" x14ac:dyDescent="0.3">
      <c r="J831"/>
    </row>
    <row r="832" spans="10:10" x14ac:dyDescent="0.3">
      <c r="J832"/>
    </row>
    <row r="833" spans="10:10" x14ac:dyDescent="0.3">
      <c r="J833"/>
    </row>
    <row r="834" spans="10:10" x14ac:dyDescent="0.3">
      <c r="J834"/>
    </row>
    <row r="835" spans="10:10" x14ac:dyDescent="0.3">
      <c r="J835"/>
    </row>
    <row r="836" spans="10:10" x14ac:dyDescent="0.3">
      <c r="J836"/>
    </row>
    <row r="837" spans="10:10" x14ac:dyDescent="0.3">
      <c r="J837"/>
    </row>
    <row r="838" spans="10:10" x14ac:dyDescent="0.3">
      <c r="J838"/>
    </row>
    <row r="839" spans="10:10" x14ac:dyDescent="0.3">
      <c r="J839"/>
    </row>
    <row r="840" spans="10:10" x14ac:dyDescent="0.3">
      <c r="J840"/>
    </row>
    <row r="841" spans="10:10" x14ac:dyDescent="0.3">
      <c r="J841"/>
    </row>
    <row r="842" spans="10:10" x14ac:dyDescent="0.3">
      <c r="J842"/>
    </row>
    <row r="843" spans="10:10" x14ac:dyDescent="0.3">
      <c r="J843"/>
    </row>
    <row r="844" spans="10:10" x14ac:dyDescent="0.3">
      <c r="J844"/>
    </row>
    <row r="845" spans="10:10" x14ac:dyDescent="0.3">
      <c r="J845"/>
    </row>
    <row r="846" spans="10:10" x14ac:dyDescent="0.3">
      <c r="J846"/>
    </row>
    <row r="847" spans="10:10" x14ac:dyDescent="0.3">
      <c r="J847"/>
    </row>
    <row r="848" spans="10:10" x14ac:dyDescent="0.3">
      <c r="J848"/>
    </row>
    <row r="849" spans="10:10" x14ac:dyDescent="0.3">
      <c r="J849"/>
    </row>
    <row r="850" spans="10:10" x14ac:dyDescent="0.3">
      <c r="J850"/>
    </row>
    <row r="851" spans="10:10" x14ac:dyDescent="0.3">
      <c r="J851"/>
    </row>
    <row r="852" spans="10:10" x14ac:dyDescent="0.3">
      <c r="J852"/>
    </row>
    <row r="853" spans="10:10" x14ac:dyDescent="0.3">
      <c r="J853"/>
    </row>
    <row r="854" spans="10:10" x14ac:dyDescent="0.3">
      <c r="J854"/>
    </row>
    <row r="855" spans="10:10" x14ac:dyDescent="0.3">
      <c r="J855"/>
    </row>
    <row r="856" spans="10:10" x14ac:dyDescent="0.3">
      <c r="J856"/>
    </row>
    <row r="857" spans="10:10" x14ac:dyDescent="0.3">
      <c r="J857"/>
    </row>
    <row r="858" spans="10:10" x14ac:dyDescent="0.3">
      <c r="J858"/>
    </row>
    <row r="859" spans="10:10" x14ac:dyDescent="0.3">
      <c r="J859"/>
    </row>
    <row r="860" spans="10:10" x14ac:dyDescent="0.3">
      <c r="J860"/>
    </row>
    <row r="861" spans="10:10" x14ac:dyDescent="0.3">
      <c r="J861"/>
    </row>
    <row r="862" spans="10:10" x14ac:dyDescent="0.3">
      <c r="J862"/>
    </row>
    <row r="863" spans="10:10" x14ac:dyDescent="0.3">
      <c r="J863"/>
    </row>
    <row r="864" spans="10:10" x14ac:dyDescent="0.3">
      <c r="J864"/>
    </row>
    <row r="865" spans="10:10" x14ac:dyDescent="0.3">
      <c r="J865"/>
    </row>
    <row r="866" spans="10:10" x14ac:dyDescent="0.3">
      <c r="J866"/>
    </row>
    <row r="867" spans="10:10" x14ac:dyDescent="0.3">
      <c r="J867"/>
    </row>
    <row r="868" spans="10:10" x14ac:dyDescent="0.3">
      <c r="J868"/>
    </row>
    <row r="869" spans="10:10" x14ac:dyDescent="0.3">
      <c r="J869"/>
    </row>
    <row r="870" spans="10:10" x14ac:dyDescent="0.3">
      <c r="J870"/>
    </row>
    <row r="871" spans="10:10" x14ac:dyDescent="0.3">
      <c r="J871"/>
    </row>
    <row r="872" spans="10:10" x14ac:dyDescent="0.3">
      <c r="J872"/>
    </row>
    <row r="873" spans="10:10" x14ac:dyDescent="0.3">
      <c r="J873"/>
    </row>
    <row r="874" spans="10:10" x14ac:dyDescent="0.3">
      <c r="J874"/>
    </row>
    <row r="875" spans="10:10" x14ac:dyDescent="0.3">
      <c r="J875"/>
    </row>
    <row r="876" spans="10:10" x14ac:dyDescent="0.3">
      <c r="J876"/>
    </row>
    <row r="877" spans="10:10" x14ac:dyDescent="0.3">
      <c r="J877"/>
    </row>
    <row r="878" spans="10:10" x14ac:dyDescent="0.3">
      <c r="J878"/>
    </row>
    <row r="879" spans="10:10" x14ac:dyDescent="0.3">
      <c r="J879"/>
    </row>
    <row r="880" spans="10:10" x14ac:dyDescent="0.3">
      <c r="J880"/>
    </row>
    <row r="881" spans="10:10" x14ac:dyDescent="0.3">
      <c r="J881"/>
    </row>
    <row r="882" spans="10:10" x14ac:dyDescent="0.3">
      <c r="J882"/>
    </row>
    <row r="883" spans="10:10" x14ac:dyDescent="0.3">
      <c r="J883"/>
    </row>
    <row r="884" spans="10:10" x14ac:dyDescent="0.3">
      <c r="J884"/>
    </row>
    <row r="885" spans="10:10" x14ac:dyDescent="0.3">
      <c r="J885"/>
    </row>
    <row r="886" spans="10:10" x14ac:dyDescent="0.3">
      <c r="J886"/>
    </row>
    <row r="887" spans="10:10" x14ac:dyDescent="0.3">
      <c r="J887"/>
    </row>
    <row r="888" spans="10:10" x14ac:dyDescent="0.3">
      <c r="J888"/>
    </row>
    <row r="889" spans="10:10" x14ac:dyDescent="0.3">
      <c r="J889"/>
    </row>
    <row r="890" spans="10:10" x14ac:dyDescent="0.3">
      <c r="J890"/>
    </row>
    <row r="891" spans="10:10" x14ac:dyDescent="0.3">
      <c r="J891"/>
    </row>
    <row r="892" spans="10:10" x14ac:dyDescent="0.3">
      <c r="J892"/>
    </row>
    <row r="893" spans="10:10" x14ac:dyDescent="0.3">
      <c r="J893"/>
    </row>
    <row r="894" spans="10:10" x14ac:dyDescent="0.3">
      <c r="J894"/>
    </row>
    <row r="895" spans="10:10" x14ac:dyDescent="0.3">
      <c r="J895"/>
    </row>
    <row r="896" spans="10:10" x14ac:dyDescent="0.3">
      <c r="J896"/>
    </row>
    <row r="897" spans="10:10" x14ac:dyDescent="0.3">
      <c r="J897"/>
    </row>
    <row r="898" spans="10:10" x14ac:dyDescent="0.3">
      <c r="J898"/>
    </row>
    <row r="899" spans="10:10" x14ac:dyDescent="0.3">
      <c r="J899"/>
    </row>
    <row r="900" spans="10:10" x14ac:dyDescent="0.3">
      <c r="J900"/>
    </row>
    <row r="901" spans="10:10" x14ac:dyDescent="0.3">
      <c r="J901"/>
    </row>
    <row r="902" spans="10:10" x14ac:dyDescent="0.3">
      <c r="J902"/>
    </row>
    <row r="903" spans="10:10" x14ac:dyDescent="0.3">
      <c r="J903"/>
    </row>
    <row r="904" spans="10:10" x14ac:dyDescent="0.3">
      <c r="J904"/>
    </row>
    <row r="905" spans="10:10" x14ac:dyDescent="0.3">
      <c r="J905"/>
    </row>
    <row r="906" spans="10:10" x14ac:dyDescent="0.3">
      <c r="J906"/>
    </row>
    <row r="907" spans="10:10" x14ac:dyDescent="0.3">
      <c r="J907"/>
    </row>
    <row r="908" spans="10:10" x14ac:dyDescent="0.3">
      <c r="J908"/>
    </row>
    <row r="909" spans="10:10" x14ac:dyDescent="0.3">
      <c r="J909"/>
    </row>
    <row r="910" spans="10:10" x14ac:dyDescent="0.3">
      <c r="J910"/>
    </row>
    <row r="911" spans="10:10" x14ac:dyDescent="0.3">
      <c r="J911"/>
    </row>
    <row r="912" spans="10:10" x14ac:dyDescent="0.3">
      <c r="J912"/>
    </row>
    <row r="913" spans="10:10" x14ac:dyDescent="0.3">
      <c r="J913"/>
    </row>
    <row r="914" spans="10:10" x14ac:dyDescent="0.3">
      <c r="J914"/>
    </row>
    <row r="915" spans="10:10" x14ac:dyDescent="0.3">
      <c r="J915"/>
    </row>
    <row r="916" spans="10:10" x14ac:dyDescent="0.3">
      <c r="J916"/>
    </row>
    <row r="917" spans="10:10" x14ac:dyDescent="0.3">
      <c r="J917"/>
    </row>
    <row r="918" spans="10:10" x14ac:dyDescent="0.3">
      <c r="J918"/>
    </row>
    <row r="919" spans="10:10" x14ac:dyDescent="0.3">
      <c r="J919"/>
    </row>
    <row r="920" spans="10:10" x14ac:dyDescent="0.3">
      <c r="J920"/>
    </row>
    <row r="921" spans="10:10" x14ac:dyDescent="0.3">
      <c r="J921"/>
    </row>
    <row r="922" spans="10:10" x14ac:dyDescent="0.3">
      <c r="J922"/>
    </row>
    <row r="923" spans="10:10" x14ac:dyDescent="0.3">
      <c r="J923"/>
    </row>
    <row r="924" spans="10:10" x14ac:dyDescent="0.3">
      <c r="J924"/>
    </row>
    <row r="925" spans="10:10" x14ac:dyDescent="0.3">
      <c r="J925"/>
    </row>
    <row r="926" spans="10:10" x14ac:dyDescent="0.3">
      <c r="J926"/>
    </row>
    <row r="927" spans="10:10" x14ac:dyDescent="0.3">
      <c r="J927"/>
    </row>
    <row r="928" spans="10:10" x14ac:dyDescent="0.3">
      <c r="J928"/>
    </row>
    <row r="929" spans="10:10" x14ac:dyDescent="0.3">
      <c r="J929"/>
    </row>
    <row r="930" spans="10:10" x14ac:dyDescent="0.3">
      <c r="J930"/>
    </row>
    <row r="931" spans="10:10" x14ac:dyDescent="0.3">
      <c r="J931"/>
    </row>
    <row r="932" spans="10:10" x14ac:dyDescent="0.3">
      <c r="J932"/>
    </row>
    <row r="933" spans="10:10" x14ac:dyDescent="0.3">
      <c r="J933"/>
    </row>
    <row r="934" spans="10:10" x14ac:dyDescent="0.3">
      <c r="J934"/>
    </row>
    <row r="935" spans="10:10" x14ac:dyDescent="0.3">
      <c r="J935"/>
    </row>
    <row r="936" spans="10:10" x14ac:dyDescent="0.3">
      <c r="J936"/>
    </row>
    <row r="937" spans="10:10" x14ac:dyDescent="0.3">
      <c r="J937"/>
    </row>
    <row r="938" spans="10:10" x14ac:dyDescent="0.3">
      <c r="J938"/>
    </row>
    <row r="939" spans="10:10" x14ac:dyDescent="0.3">
      <c r="J939"/>
    </row>
    <row r="940" spans="10:10" x14ac:dyDescent="0.3">
      <c r="J940"/>
    </row>
    <row r="941" spans="10:10" x14ac:dyDescent="0.3">
      <c r="J941"/>
    </row>
    <row r="942" spans="10:10" x14ac:dyDescent="0.3">
      <c r="J942"/>
    </row>
    <row r="943" spans="10:10" x14ac:dyDescent="0.3">
      <c r="J943"/>
    </row>
    <row r="944" spans="10:10" x14ac:dyDescent="0.3">
      <c r="J944"/>
    </row>
    <row r="945" spans="10:10" x14ac:dyDescent="0.3">
      <c r="J945"/>
    </row>
    <row r="946" spans="10:10" x14ac:dyDescent="0.3">
      <c r="J946"/>
    </row>
    <row r="947" spans="10:10" x14ac:dyDescent="0.3">
      <c r="J947"/>
    </row>
    <row r="948" spans="10:10" x14ac:dyDescent="0.3">
      <c r="J948"/>
    </row>
    <row r="949" spans="10:10" x14ac:dyDescent="0.3">
      <c r="J949"/>
    </row>
    <row r="950" spans="10:10" x14ac:dyDescent="0.3">
      <c r="J950"/>
    </row>
    <row r="951" spans="10:10" x14ac:dyDescent="0.3">
      <c r="J951"/>
    </row>
    <row r="952" spans="10:10" x14ac:dyDescent="0.3">
      <c r="J952"/>
    </row>
    <row r="953" spans="10:10" x14ac:dyDescent="0.3">
      <c r="J953"/>
    </row>
    <row r="954" spans="10:10" x14ac:dyDescent="0.3">
      <c r="J954"/>
    </row>
    <row r="955" spans="10:10" x14ac:dyDescent="0.3">
      <c r="J955"/>
    </row>
    <row r="956" spans="10:10" x14ac:dyDescent="0.3">
      <c r="J956"/>
    </row>
    <row r="957" spans="10:10" x14ac:dyDescent="0.3">
      <c r="J957"/>
    </row>
    <row r="958" spans="10:10" x14ac:dyDescent="0.3">
      <c r="J958"/>
    </row>
    <row r="959" spans="10:10" x14ac:dyDescent="0.3">
      <c r="J959"/>
    </row>
    <row r="960" spans="10:10" x14ac:dyDescent="0.3">
      <c r="J960"/>
    </row>
    <row r="961" spans="10:10" x14ac:dyDescent="0.3">
      <c r="J961"/>
    </row>
    <row r="962" spans="10:10" x14ac:dyDescent="0.3">
      <c r="J962"/>
    </row>
    <row r="963" spans="10:10" x14ac:dyDescent="0.3">
      <c r="J963"/>
    </row>
    <row r="964" spans="10:10" x14ac:dyDescent="0.3">
      <c r="J964"/>
    </row>
    <row r="965" spans="10:10" x14ac:dyDescent="0.3">
      <c r="J965"/>
    </row>
    <row r="966" spans="10:10" x14ac:dyDescent="0.3">
      <c r="J966"/>
    </row>
    <row r="967" spans="10:10" x14ac:dyDescent="0.3">
      <c r="J967"/>
    </row>
    <row r="968" spans="10:10" x14ac:dyDescent="0.3">
      <c r="J968"/>
    </row>
    <row r="969" spans="10:10" x14ac:dyDescent="0.3">
      <c r="J969"/>
    </row>
    <row r="970" spans="10:10" x14ac:dyDescent="0.3">
      <c r="J970"/>
    </row>
    <row r="971" spans="10:10" x14ac:dyDescent="0.3">
      <c r="J971"/>
    </row>
    <row r="972" spans="10:10" x14ac:dyDescent="0.3">
      <c r="J972"/>
    </row>
    <row r="973" spans="10:10" x14ac:dyDescent="0.3">
      <c r="J973"/>
    </row>
    <row r="974" spans="10:10" x14ac:dyDescent="0.3">
      <c r="J974"/>
    </row>
    <row r="975" spans="10:10" x14ac:dyDescent="0.3">
      <c r="J975"/>
    </row>
    <row r="976" spans="10:10" x14ac:dyDescent="0.3">
      <c r="J976"/>
    </row>
    <row r="977" spans="10:10" x14ac:dyDescent="0.3">
      <c r="J977"/>
    </row>
    <row r="978" spans="10:10" x14ac:dyDescent="0.3">
      <c r="J978"/>
    </row>
    <row r="979" spans="10:10" x14ac:dyDescent="0.3">
      <c r="J979"/>
    </row>
    <row r="980" spans="10:10" x14ac:dyDescent="0.3">
      <c r="J980"/>
    </row>
    <row r="981" spans="10:10" x14ac:dyDescent="0.3">
      <c r="J981"/>
    </row>
    <row r="982" spans="10:10" x14ac:dyDescent="0.3">
      <c r="J982"/>
    </row>
    <row r="983" spans="10:10" x14ac:dyDescent="0.3">
      <c r="J983"/>
    </row>
    <row r="984" spans="10:10" x14ac:dyDescent="0.3">
      <c r="J984"/>
    </row>
    <row r="985" spans="10:10" x14ac:dyDescent="0.3">
      <c r="J985"/>
    </row>
    <row r="986" spans="10:10" x14ac:dyDescent="0.3">
      <c r="J986"/>
    </row>
    <row r="987" spans="10:10" x14ac:dyDescent="0.3">
      <c r="J987"/>
    </row>
    <row r="988" spans="10:10" x14ac:dyDescent="0.3">
      <c r="J988"/>
    </row>
    <row r="989" spans="10:10" x14ac:dyDescent="0.3">
      <c r="J989"/>
    </row>
    <row r="990" spans="10:10" x14ac:dyDescent="0.3">
      <c r="J990"/>
    </row>
    <row r="991" spans="10:10" x14ac:dyDescent="0.3">
      <c r="J991"/>
    </row>
    <row r="992" spans="10:10" x14ac:dyDescent="0.3">
      <c r="J992"/>
    </row>
    <row r="993" spans="10:10" x14ac:dyDescent="0.3">
      <c r="J993"/>
    </row>
    <row r="994" spans="10:10" x14ac:dyDescent="0.3">
      <c r="J994"/>
    </row>
    <row r="995" spans="10:10" x14ac:dyDescent="0.3">
      <c r="J995"/>
    </row>
    <row r="996" spans="10:10" x14ac:dyDescent="0.3">
      <c r="J996"/>
    </row>
    <row r="997" spans="10:10" x14ac:dyDescent="0.3">
      <c r="J997"/>
    </row>
    <row r="998" spans="10:10" x14ac:dyDescent="0.3">
      <c r="J998"/>
    </row>
    <row r="999" spans="10:10" x14ac:dyDescent="0.3">
      <c r="J999"/>
    </row>
    <row r="1000" spans="10:10" x14ac:dyDescent="0.3">
      <c r="J1000"/>
    </row>
    <row r="1001" spans="10:10" x14ac:dyDescent="0.3">
      <c r="J1001"/>
    </row>
    <row r="1002" spans="10:10" x14ac:dyDescent="0.3">
      <c r="J1002"/>
    </row>
    <row r="1003" spans="10:10" x14ac:dyDescent="0.3">
      <c r="J1003"/>
    </row>
    <row r="1004" spans="10:10" x14ac:dyDescent="0.3">
      <c r="J1004"/>
    </row>
    <row r="1005" spans="10:10" x14ac:dyDescent="0.3">
      <c r="J1005"/>
    </row>
    <row r="1006" spans="10:10" x14ac:dyDescent="0.3">
      <c r="J1006"/>
    </row>
    <row r="1007" spans="10:10" x14ac:dyDescent="0.3">
      <c r="J1007"/>
    </row>
    <row r="1008" spans="10:10" x14ac:dyDescent="0.3">
      <c r="J1008"/>
    </row>
    <row r="1009" spans="10:10" x14ac:dyDescent="0.3">
      <c r="J1009"/>
    </row>
    <row r="1010" spans="10:10" x14ac:dyDescent="0.3">
      <c r="J1010"/>
    </row>
    <row r="1011" spans="10:10" x14ac:dyDescent="0.3">
      <c r="J1011"/>
    </row>
    <row r="1012" spans="10:10" x14ac:dyDescent="0.3">
      <c r="J1012"/>
    </row>
    <row r="1013" spans="10:10" x14ac:dyDescent="0.3">
      <c r="J1013"/>
    </row>
    <row r="1014" spans="10:10" x14ac:dyDescent="0.3">
      <c r="J1014"/>
    </row>
    <row r="1015" spans="10:10" x14ac:dyDescent="0.3">
      <c r="J1015"/>
    </row>
    <row r="1016" spans="10:10" x14ac:dyDescent="0.3">
      <c r="J1016"/>
    </row>
    <row r="1017" spans="10:10" x14ac:dyDescent="0.3">
      <c r="J1017"/>
    </row>
    <row r="1018" spans="10:10" x14ac:dyDescent="0.3">
      <c r="J1018"/>
    </row>
    <row r="1019" spans="10:10" x14ac:dyDescent="0.3">
      <c r="J1019"/>
    </row>
    <row r="1020" spans="10:10" x14ac:dyDescent="0.3">
      <c r="J1020"/>
    </row>
    <row r="1021" spans="10:10" x14ac:dyDescent="0.3">
      <c r="J1021"/>
    </row>
    <row r="1022" spans="10:10" x14ac:dyDescent="0.3">
      <c r="J1022"/>
    </row>
    <row r="1023" spans="10:10" x14ac:dyDescent="0.3">
      <c r="J1023"/>
    </row>
    <row r="1024" spans="10:10" x14ac:dyDescent="0.3">
      <c r="J1024"/>
    </row>
    <row r="1025" spans="10:10" x14ac:dyDescent="0.3">
      <c r="J1025"/>
    </row>
    <row r="1026" spans="10:10" x14ac:dyDescent="0.3">
      <c r="J1026"/>
    </row>
    <row r="1027" spans="10:10" x14ac:dyDescent="0.3">
      <c r="J1027"/>
    </row>
    <row r="1028" spans="10:10" x14ac:dyDescent="0.3">
      <c r="J1028"/>
    </row>
    <row r="1029" spans="10:10" x14ac:dyDescent="0.3">
      <c r="J1029"/>
    </row>
    <row r="1030" spans="10:10" x14ac:dyDescent="0.3">
      <c r="J1030"/>
    </row>
    <row r="1031" spans="10:10" x14ac:dyDescent="0.3">
      <c r="J1031"/>
    </row>
    <row r="1032" spans="10:10" x14ac:dyDescent="0.3">
      <c r="J1032"/>
    </row>
    <row r="1033" spans="10:10" x14ac:dyDescent="0.3">
      <c r="J1033"/>
    </row>
    <row r="1034" spans="10:10" x14ac:dyDescent="0.3">
      <c r="J1034"/>
    </row>
    <row r="1035" spans="10:10" x14ac:dyDescent="0.3">
      <c r="J1035"/>
    </row>
    <row r="1036" spans="10:10" x14ac:dyDescent="0.3">
      <c r="J1036"/>
    </row>
    <row r="1037" spans="10:10" x14ac:dyDescent="0.3">
      <c r="J1037"/>
    </row>
    <row r="1038" spans="10:10" x14ac:dyDescent="0.3">
      <c r="J1038"/>
    </row>
    <row r="1039" spans="10:10" x14ac:dyDescent="0.3">
      <c r="J1039"/>
    </row>
    <row r="1040" spans="10:10" x14ac:dyDescent="0.3">
      <c r="J1040"/>
    </row>
    <row r="1041" spans="10:10" x14ac:dyDescent="0.3">
      <c r="J1041"/>
    </row>
    <row r="1042" spans="10:10" x14ac:dyDescent="0.3">
      <c r="J1042"/>
    </row>
    <row r="1043" spans="10:10" x14ac:dyDescent="0.3">
      <c r="J1043"/>
    </row>
    <row r="1044" spans="10:10" x14ac:dyDescent="0.3">
      <c r="J1044"/>
    </row>
    <row r="1045" spans="10:10" x14ac:dyDescent="0.3">
      <c r="J1045"/>
    </row>
    <row r="1046" spans="10:10" x14ac:dyDescent="0.3">
      <c r="J1046"/>
    </row>
    <row r="1047" spans="10:10" x14ac:dyDescent="0.3">
      <c r="J1047"/>
    </row>
    <row r="1048" spans="10:10" x14ac:dyDescent="0.3">
      <c r="J1048"/>
    </row>
    <row r="1049" spans="10:10" x14ac:dyDescent="0.3">
      <c r="J1049"/>
    </row>
    <row r="1050" spans="10:10" x14ac:dyDescent="0.3">
      <c r="J1050"/>
    </row>
    <row r="1051" spans="10:10" x14ac:dyDescent="0.3">
      <c r="J1051"/>
    </row>
    <row r="1052" spans="10:10" x14ac:dyDescent="0.3">
      <c r="J1052"/>
    </row>
    <row r="1053" spans="10:10" x14ac:dyDescent="0.3">
      <c r="J1053"/>
    </row>
    <row r="1054" spans="10:10" x14ac:dyDescent="0.3">
      <c r="J1054"/>
    </row>
    <row r="1055" spans="10:10" x14ac:dyDescent="0.3">
      <c r="J1055"/>
    </row>
    <row r="1056" spans="10:10" x14ac:dyDescent="0.3">
      <c r="J1056"/>
    </row>
    <row r="1057" spans="10:10" x14ac:dyDescent="0.3">
      <c r="J1057"/>
    </row>
    <row r="1058" spans="10:10" x14ac:dyDescent="0.3">
      <c r="J1058"/>
    </row>
    <row r="1059" spans="10:10" x14ac:dyDescent="0.3">
      <c r="J1059"/>
    </row>
    <row r="1060" spans="10:10" x14ac:dyDescent="0.3">
      <c r="J1060"/>
    </row>
    <row r="1061" spans="10:10" x14ac:dyDescent="0.3">
      <c r="J1061"/>
    </row>
    <row r="1062" spans="10:10" x14ac:dyDescent="0.3">
      <c r="J1062"/>
    </row>
    <row r="1063" spans="10:10" x14ac:dyDescent="0.3">
      <c r="J1063"/>
    </row>
    <row r="1064" spans="10:10" x14ac:dyDescent="0.3">
      <c r="J1064"/>
    </row>
    <row r="1065" spans="10:10" x14ac:dyDescent="0.3">
      <c r="J1065"/>
    </row>
    <row r="1066" spans="10:10" x14ac:dyDescent="0.3">
      <c r="J1066"/>
    </row>
    <row r="1067" spans="10:10" x14ac:dyDescent="0.3">
      <c r="J1067"/>
    </row>
    <row r="1068" spans="10:10" x14ac:dyDescent="0.3">
      <c r="J1068"/>
    </row>
    <row r="1069" spans="10:10" x14ac:dyDescent="0.3">
      <c r="J1069"/>
    </row>
    <row r="1070" spans="10:10" x14ac:dyDescent="0.3">
      <c r="J1070"/>
    </row>
    <row r="1071" spans="10:10" x14ac:dyDescent="0.3">
      <c r="J1071"/>
    </row>
    <row r="1072" spans="10:10" x14ac:dyDescent="0.3">
      <c r="J1072"/>
    </row>
    <row r="1073" spans="10:10" x14ac:dyDescent="0.3">
      <c r="J1073"/>
    </row>
    <row r="1074" spans="10:10" x14ac:dyDescent="0.3">
      <c r="J1074"/>
    </row>
    <row r="1075" spans="10:10" x14ac:dyDescent="0.3">
      <c r="J1075"/>
    </row>
    <row r="1076" spans="10:10" x14ac:dyDescent="0.3">
      <c r="J1076"/>
    </row>
    <row r="1077" spans="10:10" x14ac:dyDescent="0.3">
      <c r="J1077"/>
    </row>
    <row r="1078" spans="10:10" x14ac:dyDescent="0.3">
      <c r="J1078"/>
    </row>
    <row r="1079" spans="10:10" x14ac:dyDescent="0.3">
      <c r="J1079"/>
    </row>
    <row r="1080" spans="10:10" x14ac:dyDescent="0.3">
      <c r="J1080"/>
    </row>
    <row r="1081" spans="10:10" x14ac:dyDescent="0.3">
      <c r="J1081"/>
    </row>
    <row r="1082" spans="10:10" x14ac:dyDescent="0.3">
      <c r="J1082"/>
    </row>
    <row r="1083" spans="10:10" x14ac:dyDescent="0.3">
      <c r="J1083"/>
    </row>
    <row r="1084" spans="10:10" x14ac:dyDescent="0.3">
      <c r="J1084"/>
    </row>
    <row r="1085" spans="10:10" x14ac:dyDescent="0.3">
      <c r="J1085"/>
    </row>
    <row r="1086" spans="10:10" x14ac:dyDescent="0.3">
      <c r="J1086"/>
    </row>
    <row r="1087" spans="10:10" x14ac:dyDescent="0.3">
      <c r="J1087"/>
    </row>
    <row r="1088" spans="10:10" x14ac:dyDescent="0.3">
      <c r="J1088"/>
    </row>
    <row r="1089" spans="10:10" x14ac:dyDescent="0.3">
      <c r="J1089"/>
    </row>
    <row r="1090" spans="10:10" x14ac:dyDescent="0.3">
      <c r="J1090"/>
    </row>
    <row r="1091" spans="10:10" x14ac:dyDescent="0.3">
      <c r="J1091"/>
    </row>
    <row r="1092" spans="10:10" x14ac:dyDescent="0.3">
      <c r="J1092"/>
    </row>
    <row r="1093" spans="10:10" x14ac:dyDescent="0.3">
      <c r="J1093"/>
    </row>
    <row r="1094" spans="10:10" x14ac:dyDescent="0.3">
      <c r="J1094"/>
    </row>
    <row r="1095" spans="10:10" x14ac:dyDescent="0.3">
      <c r="J1095"/>
    </row>
    <row r="1096" spans="10:10" x14ac:dyDescent="0.3">
      <c r="J1096"/>
    </row>
    <row r="1097" spans="10:10" x14ac:dyDescent="0.3">
      <c r="J1097"/>
    </row>
    <row r="1098" spans="10:10" x14ac:dyDescent="0.3">
      <c r="J1098"/>
    </row>
    <row r="1099" spans="10:10" x14ac:dyDescent="0.3">
      <c r="J1099"/>
    </row>
    <row r="1100" spans="10:10" x14ac:dyDescent="0.3">
      <c r="J1100"/>
    </row>
    <row r="1101" spans="10:10" x14ac:dyDescent="0.3">
      <c r="J1101"/>
    </row>
    <row r="1102" spans="10:10" x14ac:dyDescent="0.3">
      <c r="J1102"/>
    </row>
    <row r="1103" spans="10:10" x14ac:dyDescent="0.3">
      <c r="J1103"/>
    </row>
    <row r="1104" spans="10:10" x14ac:dyDescent="0.3">
      <c r="J1104"/>
    </row>
    <row r="1105" spans="10:10" x14ac:dyDescent="0.3">
      <c r="J1105"/>
    </row>
    <row r="1106" spans="10:10" x14ac:dyDescent="0.3">
      <c r="J1106"/>
    </row>
    <row r="1107" spans="10:10" x14ac:dyDescent="0.3">
      <c r="J1107"/>
    </row>
    <row r="1108" spans="10:10" x14ac:dyDescent="0.3">
      <c r="J1108"/>
    </row>
    <row r="1109" spans="10:10" x14ac:dyDescent="0.3">
      <c r="J1109"/>
    </row>
    <row r="1110" spans="10:10" x14ac:dyDescent="0.3">
      <c r="J1110"/>
    </row>
    <row r="1111" spans="10:10" x14ac:dyDescent="0.3">
      <c r="J1111"/>
    </row>
    <row r="1112" spans="10:10" x14ac:dyDescent="0.3">
      <c r="J1112"/>
    </row>
    <row r="1113" spans="10:10" x14ac:dyDescent="0.3">
      <c r="J1113"/>
    </row>
    <row r="1114" spans="10:10" x14ac:dyDescent="0.3">
      <c r="J1114"/>
    </row>
    <row r="1115" spans="10:10" x14ac:dyDescent="0.3">
      <c r="J1115"/>
    </row>
    <row r="1116" spans="10:10" x14ac:dyDescent="0.3">
      <c r="J1116"/>
    </row>
    <row r="1117" spans="10:10" x14ac:dyDescent="0.3">
      <c r="J1117"/>
    </row>
    <row r="1118" spans="10:10" x14ac:dyDescent="0.3">
      <c r="J1118"/>
    </row>
    <row r="1119" spans="10:10" x14ac:dyDescent="0.3">
      <c r="J1119"/>
    </row>
    <row r="1120" spans="10:10" x14ac:dyDescent="0.3">
      <c r="J1120"/>
    </row>
    <row r="1121" spans="10:10" x14ac:dyDescent="0.3">
      <c r="J1121"/>
    </row>
    <row r="1122" spans="10:10" x14ac:dyDescent="0.3">
      <c r="J1122"/>
    </row>
    <row r="1123" spans="10:10" x14ac:dyDescent="0.3">
      <c r="J1123"/>
    </row>
    <row r="1124" spans="10:10" x14ac:dyDescent="0.3">
      <c r="J1124"/>
    </row>
    <row r="1125" spans="10:10" x14ac:dyDescent="0.3">
      <c r="J1125"/>
    </row>
    <row r="1126" spans="10:10" x14ac:dyDescent="0.3">
      <c r="J1126"/>
    </row>
    <row r="1127" spans="10:10" x14ac:dyDescent="0.3">
      <c r="J1127"/>
    </row>
    <row r="1128" spans="10:10" x14ac:dyDescent="0.3">
      <c r="J1128"/>
    </row>
    <row r="1129" spans="10:10" x14ac:dyDescent="0.3">
      <c r="J1129"/>
    </row>
    <row r="1130" spans="10:10" x14ac:dyDescent="0.3">
      <c r="J1130"/>
    </row>
    <row r="1131" spans="10:10" x14ac:dyDescent="0.3">
      <c r="J1131"/>
    </row>
    <row r="1132" spans="10:10" x14ac:dyDescent="0.3">
      <c r="J1132"/>
    </row>
    <row r="1133" spans="10:10" x14ac:dyDescent="0.3">
      <c r="J1133"/>
    </row>
    <row r="1134" spans="10:10" x14ac:dyDescent="0.3">
      <c r="J1134"/>
    </row>
    <row r="1135" spans="10:10" x14ac:dyDescent="0.3">
      <c r="J1135"/>
    </row>
    <row r="1136" spans="10:10" x14ac:dyDescent="0.3">
      <c r="J1136"/>
    </row>
    <row r="1137" spans="10:10" x14ac:dyDescent="0.3">
      <c r="J1137"/>
    </row>
    <row r="1138" spans="10:10" x14ac:dyDescent="0.3">
      <c r="J1138"/>
    </row>
    <row r="1139" spans="10:10" x14ac:dyDescent="0.3">
      <c r="J1139"/>
    </row>
    <row r="1140" spans="10:10" x14ac:dyDescent="0.3">
      <c r="J1140"/>
    </row>
    <row r="1141" spans="10:10" x14ac:dyDescent="0.3">
      <c r="J1141"/>
    </row>
    <row r="1142" spans="10:10" x14ac:dyDescent="0.3">
      <c r="J1142"/>
    </row>
    <row r="1143" spans="10:10" x14ac:dyDescent="0.3">
      <c r="J1143"/>
    </row>
    <row r="1144" spans="10:10" x14ac:dyDescent="0.3">
      <c r="J1144"/>
    </row>
    <row r="1145" spans="10:10" x14ac:dyDescent="0.3">
      <c r="J1145"/>
    </row>
    <row r="1146" spans="10:10" x14ac:dyDescent="0.3">
      <c r="J1146"/>
    </row>
    <row r="1147" spans="10:10" x14ac:dyDescent="0.3">
      <c r="J1147"/>
    </row>
    <row r="1148" spans="10:10" x14ac:dyDescent="0.3">
      <c r="J1148"/>
    </row>
    <row r="1149" spans="10:10" x14ac:dyDescent="0.3">
      <c r="J1149"/>
    </row>
    <row r="1150" spans="10:10" x14ac:dyDescent="0.3">
      <c r="J1150"/>
    </row>
    <row r="1151" spans="10:10" x14ac:dyDescent="0.3">
      <c r="J1151"/>
    </row>
    <row r="1152" spans="10:10" x14ac:dyDescent="0.3">
      <c r="J1152"/>
    </row>
    <row r="1153" spans="10:10" x14ac:dyDescent="0.3">
      <c r="J1153"/>
    </row>
    <row r="1154" spans="10:10" x14ac:dyDescent="0.3">
      <c r="J1154"/>
    </row>
    <row r="1155" spans="10:10" x14ac:dyDescent="0.3">
      <c r="J1155"/>
    </row>
    <row r="1156" spans="10:10" x14ac:dyDescent="0.3">
      <c r="J1156"/>
    </row>
    <row r="1157" spans="10:10" x14ac:dyDescent="0.3">
      <c r="J1157"/>
    </row>
    <row r="1158" spans="10:10" x14ac:dyDescent="0.3">
      <c r="J1158"/>
    </row>
    <row r="1159" spans="10:10" x14ac:dyDescent="0.3">
      <c r="J1159"/>
    </row>
    <row r="1160" spans="10:10" x14ac:dyDescent="0.3">
      <c r="J1160"/>
    </row>
    <row r="1161" spans="10:10" x14ac:dyDescent="0.3">
      <c r="J1161"/>
    </row>
    <row r="1162" spans="10:10" x14ac:dyDescent="0.3">
      <c r="J1162"/>
    </row>
    <row r="1163" spans="10:10" x14ac:dyDescent="0.3">
      <c r="J1163"/>
    </row>
    <row r="1164" spans="10:10" x14ac:dyDescent="0.3">
      <c r="J1164"/>
    </row>
    <row r="1165" spans="10:10" x14ac:dyDescent="0.3">
      <c r="J1165"/>
    </row>
    <row r="1166" spans="10:10" x14ac:dyDescent="0.3">
      <c r="J1166"/>
    </row>
    <row r="1167" spans="10:10" x14ac:dyDescent="0.3">
      <c r="J1167"/>
    </row>
    <row r="1168" spans="10:10" x14ac:dyDescent="0.3">
      <c r="J1168"/>
    </row>
    <row r="1169" spans="10:10" x14ac:dyDescent="0.3">
      <c r="J1169"/>
    </row>
    <row r="1170" spans="10:10" x14ac:dyDescent="0.3">
      <c r="J1170"/>
    </row>
    <row r="1171" spans="10:10" x14ac:dyDescent="0.3">
      <c r="J1171"/>
    </row>
    <row r="1172" spans="10:10" x14ac:dyDescent="0.3">
      <c r="J1172"/>
    </row>
    <row r="1173" spans="10:10" x14ac:dyDescent="0.3">
      <c r="J1173"/>
    </row>
    <row r="1174" spans="10:10" x14ac:dyDescent="0.3">
      <c r="J1174"/>
    </row>
    <row r="1175" spans="10:10" x14ac:dyDescent="0.3">
      <c r="J1175"/>
    </row>
    <row r="1176" spans="10:10" x14ac:dyDescent="0.3">
      <c r="J1176"/>
    </row>
    <row r="1177" spans="10:10" x14ac:dyDescent="0.3">
      <c r="J1177"/>
    </row>
    <row r="1178" spans="10:10" x14ac:dyDescent="0.3">
      <c r="J1178"/>
    </row>
    <row r="1179" spans="10:10" x14ac:dyDescent="0.3">
      <c r="J1179"/>
    </row>
    <row r="1180" spans="10:10" x14ac:dyDescent="0.3">
      <c r="J1180"/>
    </row>
    <row r="1181" spans="10:10" x14ac:dyDescent="0.3">
      <c r="J1181"/>
    </row>
    <row r="1182" spans="10:10" x14ac:dyDescent="0.3">
      <c r="J1182"/>
    </row>
    <row r="1183" spans="10:10" x14ac:dyDescent="0.3">
      <c r="J1183"/>
    </row>
    <row r="1184" spans="10:10" x14ac:dyDescent="0.3">
      <c r="J1184"/>
    </row>
    <row r="1185" spans="10:10" x14ac:dyDescent="0.3">
      <c r="J1185"/>
    </row>
    <row r="1186" spans="10:10" x14ac:dyDescent="0.3">
      <c r="J1186"/>
    </row>
    <row r="1187" spans="10:10" x14ac:dyDescent="0.3">
      <c r="J1187"/>
    </row>
    <row r="1188" spans="10:10" x14ac:dyDescent="0.3">
      <c r="J1188"/>
    </row>
    <row r="1189" spans="10:10" x14ac:dyDescent="0.3">
      <c r="J1189"/>
    </row>
    <row r="1190" spans="10:10" x14ac:dyDescent="0.3">
      <c r="J1190"/>
    </row>
    <row r="1191" spans="10:10" x14ac:dyDescent="0.3">
      <c r="J1191"/>
    </row>
    <row r="1192" spans="10:10" x14ac:dyDescent="0.3">
      <c r="J1192"/>
    </row>
    <row r="1193" spans="10:10" x14ac:dyDescent="0.3">
      <c r="J1193"/>
    </row>
    <row r="1194" spans="10:10" x14ac:dyDescent="0.3">
      <c r="J1194"/>
    </row>
    <row r="1195" spans="10:10" x14ac:dyDescent="0.3">
      <c r="J1195"/>
    </row>
    <row r="1196" spans="10:10" x14ac:dyDescent="0.3">
      <c r="J1196"/>
    </row>
    <row r="1197" spans="10:10" x14ac:dyDescent="0.3">
      <c r="J1197"/>
    </row>
    <row r="1198" spans="10:10" x14ac:dyDescent="0.3">
      <c r="J1198"/>
    </row>
    <row r="1199" spans="10:10" x14ac:dyDescent="0.3">
      <c r="J1199"/>
    </row>
    <row r="1200" spans="10:10" x14ac:dyDescent="0.3">
      <c r="J1200"/>
    </row>
    <row r="1201" spans="10:10" x14ac:dyDescent="0.3">
      <c r="J1201"/>
    </row>
    <row r="1202" spans="10:10" x14ac:dyDescent="0.3">
      <c r="J1202"/>
    </row>
    <row r="1203" spans="10:10" x14ac:dyDescent="0.3">
      <c r="J1203"/>
    </row>
    <row r="1204" spans="10:10" x14ac:dyDescent="0.3">
      <c r="J1204"/>
    </row>
    <row r="1205" spans="10:10" x14ac:dyDescent="0.3">
      <c r="J1205"/>
    </row>
    <row r="1206" spans="10:10" x14ac:dyDescent="0.3">
      <c r="J1206"/>
    </row>
    <row r="1207" spans="10:10" x14ac:dyDescent="0.3">
      <c r="J1207"/>
    </row>
    <row r="1208" spans="10:10" x14ac:dyDescent="0.3">
      <c r="J1208"/>
    </row>
    <row r="1209" spans="10:10" x14ac:dyDescent="0.3">
      <c r="J1209"/>
    </row>
    <row r="1210" spans="10:10" x14ac:dyDescent="0.3">
      <c r="J1210"/>
    </row>
    <row r="1211" spans="10:10" x14ac:dyDescent="0.3">
      <c r="J1211"/>
    </row>
    <row r="1212" spans="10:10" x14ac:dyDescent="0.3">
      <c r="J1212"/>
    </row>
    <row r="1213" spans="10:10" x14ac:dyDescent="0.3">
      <c r="J1213"/>
    </row>
    <row r="1214" spans="10:10" x14ac:dyDescent="0.3">
      <c r="J1214"/>
    </row>
    <row r="1215" spans="10:10" x14ac:dyDescent="0.3">
      <c r="J1215"/>
    </row>
    <row r="1216" spans="10:10" x14ac:dyDescent="0.3">
      <c r="J1216"/>
    </row>
    <row r="1217" spans="10:10" x14ac:dyDescent="0.3">
      <c r="J1217"/>
    </row>
    <row r="1218" spans="10:10" x14ac:dyDescent="0.3">
      <c r="J1218"/>
    </row>
    <row r="1219" spans="10:10" x14ac:dyDescent="0.3">
      <c r="J1219"/>
    </row>
    <row r="1220" spans="10:10" x14ac:dyDescent="0.3">
      <c r="J1220"/>
    </row>
    <row r="1221" spans="10:10" x14ac:dyDescent="0.3">
      <c r="J1221"/>
    </row>
    <row r="1222" spans="10:10" x14ac:dyDescent="0.3">
      <c r="J1222"/>
    </row>
    <row r="1223" spans="10:10" x14ac:dyDescent="0.3">
      <c r="J1223"/>
    </row>
    <row r="1224" spans="10:10" x14ac:dyDescent="0.3">
      <c r="J1224"/>
    </row>
    <row r="1225" spans="10:10" x14ac:dyDescent="0.3">
      <c r="J1225"/>
    </row>
    <row r="1226" spans="10:10" x14ac:dyDescent="0.3">
      <c r="J1226"/>
    </row>
    <row r="1227" spans="10:10" x14ac:dyDescent="0.3">
      <c r="J1227"/>
    </row>
    <row r="1228" spans="10:10" x14ac:dyDescent="0.3">
      <c r="J1228"/>
    </row>
    <row r="1229" spans="10:10" x14ac:dyDescent="0.3">
      <c r="J1229"/>
    </row>
    <row r="1230" spans="10:10" x14ac:dyDescent="0.3">
      <c r="J1230"/>
    </row>
    <row r="1231" spans="10:10" x14ac:dyDescent="0.3">
      <c r="J1231"/>
    </row>
    <row r="1232" spans="10:10" x14ac:dyDescent="0.3">
      <c r="J1232"/>
    </row>
    <row r="1233" spans="10:10" x14ac:dyDescent="0.3">
      <c r="J1233"/>
    </row>
    <row r="1234" spans="10:10" x14ac:dyDescent="0.3">
      <c r="J1234"/>
    </row>
    <row r="1235" spans="10:10" x14ac:dyDescent="0.3">
      <c r="J1235"/>
    </row>
    <row r="1236" spans="10:10" x14ac:dyDescent="0.3">
      <c r="J1236"/>
    </row>
    <row r="1237" spans="10:10" x14ac:dyDescent="0.3">
      <c r="J1237"/>
    </row>
    <row r="1238" spans="10:10" x14ac:dyDescent="0.3">
      <c r="J1238"/>
    </row>
    <row r="1239" spans="10:10" x14ac:dyDescent="0.3">
      <c r="J1239"/>
    </row>
    <row r="1240" spans="10:10" x14ac:dyDescent="0.3">
      <c r="J1240"/>
    </row>
    <row r="1241" spans="10:10" x14ac:dyDescent="0.3">
      <c r="J1241"/>
    </row>
    <row r="1242" spans="10:10" x14ac:dyDescent="0.3">
      <c r="J1242"/>
    </row>
    <row r="1243" spans="10:10" x14ac:dyDescent="0.3">
      <c r="J1243"/>
    </row>
    <row r="1244" spans="10:10" x14ac:dyDescent="0.3">
      <c r="J1244"/>
    </row>
    <row r="1245" spans="10:10" x14ac:dyDescent="0.3">
      <c r="J1245"/>
    </row>
    <row r="1246" spans="10:10" x14ac:dyDescent="0.3">
      <c r="J1246"/>
    </row>
    <row r="1247" spans="10:10" x14ac:dyDescent="0.3">
      <c r="J1247"/>
    </row>
    <row r="1248" spans="10:10" x14ac:dyDescent="0.3">
      <c r="J1248"/>
    </row>
    <row r="1249" spans="10:10" x14ac:dyDescent="0.3">
      <c r="J1249"/>
    </row>
    <row r="1250" spans="10:10" x14ac:dyDescent="0.3">
      <c r="J1250"/>
    </row>
    <row r="1251" spans="10:10" x14ac:dyDescent="0.3">
      <c r="J1251"/>
    </row>
    <row r="1252" spans="10:10" x14ac:dyDescent="0.3">
      <c r="J1252"/>
    </row>
    <row r="1253" spans="10:10" x14ac:dyDescent="0.3">
      <c r="J1253"/>
    </row>
    <row r="1254" spans="10:10" x14ac:dyDescent="0.3">
      <c r="J1254"/>
    </row>
    <row r="1255" spans="10:10" x14ac:dyDescent="0.3">
      <c r="J1255"/>
    </row>
    <row r="1256" spans="10:10" x14ac:dyDescent="0.3">
      <c r="J1256"/>
    </row>
    <row r="1257" spans="10:10" x14ac:dyDescent="0.3">
      <c r="J1257"/>
    </row>
    <row r="1258" spans="10:10" x14ac:dyDescent="0.3">
      <c r="J1258"/>
    </row>
    <row r="1259" spans="10:10" x14ac:dyDescent="0.3">
      <c r="J1259"/>
    </row>
    <row r="1260" spans="10:10" x14ac:dyDescent="0.3">
      <c r="J1260"/>
    </row>
    <row r="1261" spans="10:10" x14ac:dyDescent="0.3">
      <c r="J1261"/>
    </row>
    <row r="1262" spans="10:10" x14ac:dyDescent="0.3">
      <c r="J1262"/>
    </row>
    <row r="1263" spans="10:10" x14ac:dyDescent="0.3">
      <c r="J1263"/>
    </row>
    <row r="1264" spans="10:10" x14ac:dyDescent="0.3">
      <c r="J1264"/>
    </row>
    <row r="1265" spans="10:10" x14ac:dyDescent="0.3">
      <c r="J1265"/>
    </row>
    <row r="1266" spans="10:10" x14ac:dyDescent="0.3">
      <c r="J1266"/>
    </row>
    <row r="1267" spans="10:10" x14ac:dyDescent="0.3">
      <c r="J1267"/>
    </row>
    <row r="1268" spans="10:10" x14ac:dyDescent="0.3">
      <c r="J1268"/>
    </row>
    <row r="1269" spans="10:10" x14ac:dyDescent="0.3">
      <c r="J1269"/>
    </row>
    <row r="1270" spans="10:10" x14ac:dyDescent="0.3">
      <c r="J1270"/>
    </row>
    <row r="1271" spans="10:10" x14ac:dyDescent="0.3">
      <c r="J1271"/>
    </row>
    <row r="1272" spans="10:10" x14ac:dyDescent="0.3">
      <c r="J1272"/>
    </row>
    <row r="1273" spans="10:10" x14ac:dyDescent="0.3">
      <c r="J1273"/>
    </row>
    <row r="1274" spans="10:10" x14ac:dyDescent="0.3">
      <c r="J1274"/>
    </row>
    <row r="1275" spans="10:10" x14ac:dyDescent="0.3">
      <c r="J1275"/>
    </row>
    <row r="1276" spans="10:10" x14ac:dyDescent="0.3">
      <c r="J1276"/>
    </row>
    <row r="1277" spans="10:10" x14ac:dyDescent="0.3">
      <c r="J1277"/>
    </row>
    <row r="1278" spans="10:10" x14ac:dyDescent="0.3">
      <c r="J1278"/>
    </row>
    <row r="1279" spans="10:10" x14ac:dyDescent="0.3">
      <c r="J1279"/>
    </row>
    <row r="1280" spans="10:10" x14ac:dyDescent="0.3">
      <c r="J1280"/>
    </row>
    <row r="1281" spans="10:10" x14ac:dyDescent="0.3">
      <c r="J1281"/>
    </row>
    <row r="1282" spans="10:10" x14ac:dyDescent="0.3">
      <c r="J1282"/>
    </row>
    <row r="1283" spans="10:10" x14ac:dyDescent="0.3">
      <c r="J1283"/>
    </row>
    <row r="1284" spans="10:10" x14ac:dyDescent="0.3">
      <c r="J1284"/>
    </row>
    <row r="1285" spans="10:10" x14ac:dyDescent="0.3">
      <c r="J1285"/>
    </row>
    <row r="1286" spans="10:10" x14ac:dyDescent="0.3">
      <c r="J1286"/>
    </row>
    <row r="1287" spans="10:10" x14ac:dyDescent="0.3">
      <c r="J1287"/>
    </row>
    <row r="1288" spans="10:10" x14ac:dyDescent="0.3">
      <c r="J1288"/>
    </row>
    <row r="1289" spans="10:10" x14ac:dyDescent="0.3">
      <c r="J1289"/>
    </row>
    <row r="1290" spans="10:10" x14ac:dyDescent="0.3">
      <c r="J1290"/>
    </row>
    <row r="1291" spans="10:10" x14ac:dyDescent="0.3">
      <c r="J1291"/>
    </row>
    <row r="1292" spans="10:10" x14ac:dyDescent="0.3">
      <c r="J1292"/>
    </row>
    <row r="1293" spans="10:10" x14ac:dyDescent="0.3">
      <c r="J1293"/>
    </row>
    <row r="1294" spans="10:10" x14ac:dyDescent="0.3">
      <c r="J1294"/>
    </row>
    <row r="1295" spans="10:10" x14ac:dyDescent="0.3">
      <c r="J1295"/>
    </row>
    <row r="1296" spans="10:10" x14ac:dyDescent="0.3">
      <c r="J1296"/>
    </row>
    <row r="1297" spans="10:10" x14ac:dyDescent="0.3">
      <c r="J1297"/>
    </row>
    <row r="1298" spans="10:10" x14ac:dyDescent="0.3">
      <c r="J1298"/>
    </row>
    <row r="1299" spans="10:10" x14ac:dyDescent="0.3">
      <c r="J1299"/>
    </row>
    <row r="1300" spans="10:10" x14ac:dyDescent="0.3">
      <c r="J1300"/>
    </row>
    <row r="1301" spans="10:10" x14ac:dyDescent="0.3">
      <c r="J1301"/>
    </row>
    <row r="1302" spans="10:10" x14ac:dyDescent="0.3">
      <c r="J1302"/>
    </row>
    <row r="1303" spans="10:10" x14ac:dyDescent="0.3">
      <c r="J1303"/>
    </row>
    <row r="1304" spans="10:10" x14ac:dyDescent="0.3">
      <c r="J1304"/>
    </row>
    <row r="1305" spans="10:10" x14ac:dyDescent="0.3">
      <c r="J1305"/>
    </row>
    <row r="1306" spans="10:10" x14ac:dyDescent="0.3">
      <c r="J1306"/>
    </row>
    <row r="1307" spans="10:10" x14ac:dyDescent="0.3">
      <c r="J1307"/>
    </row>
    <row r="1308" spans="10:10" x14ac:dyDescent="0.3">
      <c r="J1308"/>
    </row>
    <row r="1309" spans="10:10" x14ac:dyDescent="0.3">
      <c r="J1309"/>
    </row>
    <row r="1310" spans="10:10" x14ac:dyDescent="0.3">
      <c r="J1310"/>
    </row>
    <row r="1311" spans="10:10" x14ac:dyDescent="0.3">
      <c r="J1311"/>
    </row>
    <row r="1312" spans="10:10" x14ac:dyDescent="0.3">
      <c r="J1312"/>
    </row>
    <row r="1313" spans="10:10" x14ac:dyDescent="0.3">
      <c r="J1313"/>
    </row>
    <row r="1314" spans="10:10" x14ac:dyDescent="0.3">
      <c r="J1314"/>
    </row>
    <row r="1315" spans="10:10" x14ac:dyDescent="0.3">
      <c r="J1315"/>
    </row>
    <row r="1316" spans="10:10" x14ac:dyDescent="0.3">
      <c r="J1316"/>
    </row>
    <row r="1317" spans="10:10" x14ac:dyDescent="0.3">
      <c r="J1317"/>
    </row>
    <row r="1318" spans="10:10" x14ac:dyDescent="0.3">
      <c r="J1318"/>
    </row>
    <row r="1319" spans="10:10" x14ac:dyDescent="0.3">
      <c r="J1319"/>
    </row>
    <row r="1320" spans="10:10" x14ac:dyDescent="0.3">
      <c r="J1320"/>
    </row>
    <row r="1321" spans="10:10" x14ac:dyDescent="0.3">
      <c r="J1321"/>
    </row>
    <row r="1322" spans="10:10" x14ac:dyDescent="0.3">
      <c r="J1322"/>
    </row>
    <row r="1323" spans="10:10" x14ac:dyDescent="0.3">
      <c r="J1323"/>
    </row>
    <row r="1324" spans="10:10" x14ac:dyDescent="0.3">
      <c r="J1324"/>
    </row>
    <row r="1325" spans="10:10" x14ac:dyDescent="0.3">
      <c r="J1325"/>
    </row>
    <row r="1326" spans="10:10" x14ac:dyDescent="0.3">
      <c r="J1326"/>
    </row>
    <row r="1327" spans="10:10" x14ac:dyDescent="0.3">
      <c r="J1327"/>
    </row>
    <row r="1328" spans="10:10" x14ac:dyDescent="0.3">
      <c r="J1328"/>
    </row>
    <row r="1329" spans="10:10" x14ac:dyDescent="0.3">
      <c r="J1329"/>
    </row>
    <row r="1330" spans="10:10" x14ac:dyDescent="0.3">
      <c r="J1330"/>
    </row>
    <row r="1331" spans="10:10" x14ac:dyDescent="0.3">
      <c r="J1331"/>
    </row>
    <row r="1332" spans="10:10" x14ac:dyDescent="0.3">
      <c r="J1332"/>
    </row>
    <row r="1333" spans="10:10" x14ac:dyDescent="0.3">
      <c r="J1333"/>
    </row>
    <row r="1334" spans="10:10" x14ac:dyDescent="0.3">
      <c r="J1334"/>
    </row>
    <row r="1335" spans="10:10" x14ac:dyDescent="0.3">
      <c r="J1335"/>
    </row>
    <row r="1336" spans="10:10" x14ac:dyDescent="0.3">
      <c r="J1336"/>
    </row>
    <row r="1337" spans="10:10" x14ac:dyDescent="0.3">
      <c r="J1337"/>
    </row>
    <row r="1338" spans="10:10" x14ac:dyDescent="0.3">
      <c r="J1338"/>
    </row>
    <row r="1339" spans="10:10" x14ac:dyDescent="0.3">
      <c r="J1339"/>
    </row>
    <row r="1340" spans="10:10" x14ac:dyDescent="0.3">
      <c r="J1340"/>
    </row>
    <row r="1341" spans="10:10" x14ac:dyDescent="0.3">
      <c r="J1341"/>
    </row>
    <row r="1342" spans="10:10" x14ac:dyDescent="0.3">
      <c r="J1342"/>
    </row>
    <row r="1343" spans="10:10" x14ac:dyDescent="0.3">
      <c r="J1343"/>
    </row>
    <row r="1344" spans="10:10" x14ac:dyDescent="0.3">
      <c r="J1344"/>
    </row>
    <row r="1345" spans="10:10" x14ac:dyDescent="0.3">
      <c r="J1345"/>
    </row>
    <row r="1346" spans="10:10" x14ac:dyDescent="0.3">
      <c r="J1346"/>
    </row>
    <row r="1347" spans="10:10" x14ac:dyDescent="0.3">
      <c r="J1347"/>
    </row>
    <row r="1348" spans="10:10" x14ac:dyDescent="0.3">
      <c r="J1348"/>
    </row>
    <row r="1349" spans="10:10" x14ac:dyDescent="0.3">
      <c r="J1349"/>
    </row>
    <row r="1350" spans="10:10" x14ac:dyDescent="0.3">
      <c r="J1350"/>
    </row>
    <row r="1351" spans="10:10" x14ac:dyDescent="0.3">
      <c r="J1351"/>
    </row>
    <row r="1352" spans="10:10" x14ac:dyDescent="0.3">
      <c r="J1352"/>
    </row>
    <row r="1353" spans="10:10" x14ac:dyDescent="0.3">
      <c r="J1353"/>
    </row>
    <row r="1354" spans="10:10" x14ac:dyDescent="0.3">
      <c r="J1354"/>
    </row>
    <row r="1355" spans="10:10" x14ac:dyDescent="0.3">
      <c r="J1355"/>
    </row>
    <row r="1356" spans="10:10" x14ac:dyDescent="0.3">
      <c r="J1356"/>
    </row>
    <row r="1357" spans="10:10" x14ac:dyDescent="0.3">
      <c r="J1357"/>
    </row>
    <row r="1358" spans="10:10" x14ac:dyDescent="0.3">
      <c r="J1358"/>
    </row>
    <row r="1359" spans="10:10" x14ac:dyDescent="0.3">
      <c r="J1359"/>
    </row>
    <row r="1360" spans="10:10" x14ac:dyDescent="0.3">
      <c r="J1360"/>
    </row>
    <row r="1361" spans="10:10" x14ac:dyDescent="0.3">
      <c r="J1361"/>
    </row>
    <row r="1362" spans="10:10" x14ac:dyDescent="0.3">
      <c r="J1362"/>
    </row>
    <row r="1363" spans="10:10" x14ac:dyDescent="0.3">
      <c r="J1363"/>
    </row>
    <row r="1364" spans="10:10" x14ac:dyDescent="0.3">
      <c r="J1364"/>
    </row>
    <row r="1365" spans="10:10" x14ac:dyDescent="0.3">
      <c r="J1365"/>
    </row>
    <row r="1366" spans="10:10" x14ac:dyDescent="0.3">
      <c r="J1366"/>
    </row>
    <row r="1367" spans="10:10" x14ac:dyDescent="0.3">
      <c r="J1367"/>
    </row>
    <row r="1368" spans="10:10" x14ac:dyDescent="0.3">
      <c r="J1368"/>
    </row>
    <row r="1369" spans="10:10" x14ac:dyDescent="0.3">
      <c r="J1369"/>
    </row>
    <row r="1370" spans="10:10" x14ac:dyDescent="0.3">
      <c r="J1370"/>
    </row>
    <row r="1371" spans="10:10" x14ac:dyDescent="0.3">
      <c r="J1371"/>
    </row>
    <row r="1372" spans="10:10" x14ac:dyDescent="0.3">
      <c r="J1372"/>
    </row>
    <row r="1373" spans="10:10" x14ac:dyDescent="0.3">
      <c r="J1373"/>
    </row>
    <row r="1374" spans="10:10" x14ac:dyDescent="0.3">
      <c r="J1374"/>
    </row>
    <row r="1375" spans="10:10" x14ac:dyDescent="0.3">
      <c r="J1375"/>
    </row>
    <row r="1376" spans="10:10" x14ac:dyDescent="0.3">
      <c r="J1376"/>
    </row>
    <row r="1377" spans="10:10" x14ac:dyDescent="0.3">
      <c r="J1377"/>
    </row>
    <row r="1378" spans="10:10" x14ac:dyDescent="0.3">
      <c r="J1378"/>
    </row>
    <row r="1379" spans="10:10" x14ac:dyDescent="0.3">
      <c r="J1379"/>
    </row>
    <row r="1380" spans="10:10" x14ac:dyDescent="0.3">
      <c r="J1380"/>
    </row>
    <row r="1381" spans="10:10" x14ac:dyDescent="0.3">
      <c r="J1381"/>
    </row>
    <row r="1382" spans="10:10" x14ac:dyDescent="0.3">
      <c r="J1382"/>
    </row>
    <row r="1383" spans="10:10" x14ac:dyDescent="0.3">
      <c r="J1383"/>
    </row>
    <row r="1384" spans="10:10" x14ac:dyDescent="0.3">
      <c r="J1384"/>
    </row>
    <row r="1385" spans="10:10" x14ac:dyDescent="0.3">
      <c r="J1385"/>
    </row>
    <row r="1386" spans="10:10" x14ac:dyDescent="0.3">
      <c r="J1386"/>
    </row>
    <row r="1387" spans="10:10" x14ac:dyDescent="0.3">
      <c r="J1387"/>
    </row>
    <row r="1388" spans="10:10" x14ac:dyDescent="0.3">
      <c r="J1388"/>
    </row>
    <row r="1389" spans="10:10" x14ac:dyDescent="0.3">
      <c r="J1389"/>
    </row>
    <row r="1390" spans="10:10" x14ac:dyDescent="0.3">
      <c r="J1390"/>
    </row>
    <row r="1391" spans="10:10" x14ac:dyDescent="0.3">
      <c r="J1391"/>
    </row>
    <row r="1392" spans="10:10" x14ac:dyDescent="0.3">
      <c r="J1392"/>
    </row>
    <row r="1393" spans="10:10" x14ac:dyDescent="0.3">
      <c r="J1393"/>
    </row>
    <row r="1394" spans="10:10" x14ac:dyDescent="0.3">
      <c r="J1394"/>
    </row>
    <row r="1395" spans="10:10" x14ac:dyDescent="0.3">
      <c r="J1395"/>
    </row>
    <row r="1396" spans="10:10" x14ac:dyDescent="0.3">
      <c r="J1396"/>
    </row>
    <row r="1397" spans="10:10" x14ac:dyDescent="0.3">
      <c r="J1397"/>
    </row>
    <row r="1398" spans="10:10" x14ac:dyDescent="0.3">
      <c r="J1398"/>
    </row>
    <row r="1399" spans="10:10" x14ac:dyDescent="0.3">
      <c r="J1399"/>
    </row>
    <row r="1400" spans="10:10" x14ac:dyDescent="0.3">
      <c r="J1400"/>
    </row>
    <row r="1401" spans="10:10" x14ac:dyDescent="0.3">
      <c r="J1401"/>
    </row>
    <row r="1402" spans="10:10" x14ac:dyDescent="0.3">
      <c r="J1402"/>
    </row>
    <row r="1403" spans="10:10" x14ac:dyDescent="0.3">
      <c r="J1403"/>
    </row>
    <row r="1404" spans="10:10" x14ac:dyDescent="0.3">
      <c r="J1404"/>
    </row>
    <row r="1405" spans="10:10" x14ac:dyDescent="0.3">
      <c r="J1405"/>
    </row>
    <row r="1406" spans="10:10" x14ac:dyDescent="0.3">
      <c r="J1406"/>
    </row>
    <row r="1407" spans="10:10" x14ac:dyDescent="0.3">
      <c r="J1407"/>
    </row>
    <row r="1408" spans="10:10" x14ac:dyDescent="0.3">
      <c r="J1408"/>
    </row>
    <row r="1409" spans="10:10" x14ac:dyDescent="0.3">
      <c r="J1409"/>
    </row>
    <row r="1410" spans="10:10" x14ac:dyDescent="0.3">
      <c r="J1410"/>
    </row>
    <row r="1411" spans="10:10" x14ac:dyDescent="0.3">
      <c r="J1411"/>
    </row>
    <row r="1412" spans="10:10" x14ac:dyDescent="0.3">
      <c r="J1412"/>
    </row>
    <row r="1413" spans="10:10" x14ac:dyDescent="0.3">
      <c r="J1413"/>
    </row>
    <row r="1414" spans="10:10" x14ac:dyDescent="0.3">
      <c r="J1414"/>
    </row>
    <row r="1415" spans="10:10" x14ac:dyDescent="0.3">
      <c r="J1415"/>
    </row>
    <row r="1416" spans="10:10" x14ac:dyDescent="0.3">
      <c r="J1416"/>
    </row>
    <row r="1417" spans="10:10" x14ac:dyDescent="0.3">
      <c r="J1417"/>
    </row>
    <row r="1418" spans="10:10" x14ac:dyDescent="0.3">
      <c r="J1418"/>
    </row>
    <row r="1419" spans="10:10" x14ac:dyDescent="0.3">
      <c r="J1419"/>
    </row>
    <row r="1420" spans="10:10" x14ac:dyDescent="0.3">
      <c r="J1420"/>
    </row>
    <row r="1421" spans="10:10" x14ac:dyDescent="0.3">
      <c r="J1421"/>
    </row>
    <row r="1422" spans="10:10" x14ac:dyDescent="0.3">
      <c r="J1422"/>
    </row>
    <row r="1423" spans="10:10" x14ac:dyDescent="0.3">
      <c r="J1423"/>
    </row>
    <row r="1424" spans="10:10" x14ac:dyDescent="0.3">
      <c r="J1424"/>
    </row>
    <row r="1425" spans="10:10" x14ac:dyDescent="0.3">
      <c r="J1425"/>
    </row>
    <row r="1426" spans="10:10" x14ac:dyDescent="0.3">
      <c r="J1426"/>
    </row>
    <row r="1427" spans="10:10" x14ac:dyDescent="0.3">
      <c r="J1427"/>
    </row>
    <row r="1428" spans="10:10" x14ac:dyDescent="0.3">
      <c r="J1428"/>
    </row>
    <row r="1429" spans="10:10" x14ac:dyDescent="0.3">
      <c r="J1429"/>
    </row>
    <row r="1430" spans="10:10" x14ac:dyDescent="0.3">
      <c r="J1430"/>
    </row>
    <row r="1431" spans="10:10" x14ac:dyDescent="0.3">
      <c r="J1431"/>
    </row>
    <row r="1432" spans="10:10" x14ac:dyDescent="0.3">
      <c r="J1432"/>
    </row>
    <row r="1433" spans="10:10" x14ac:dyDescent="0.3">
      <c r="J1433"/>
    </row>
    <row r="1434" spans="10:10" x14ac:dyDescent="0.3">
      <c r="J1434"/>
    </row>
    <row r="1435" spans="10:10" x14ac:dyDescent="0.3">
      <c r="J1435"/>
    </row>
    <row r="1436" spans="10:10" x14ac:dyDescent="0.3">
      <c r="J1436"/>
    </row>
    <row r="1437" spans="10:10" x14ac:dyDescent="0.3">
      <c r="J1437"/>
    </row>
    <row r="1438" spans="10:10" x14ac:dyDescent="0.3">
      <c r="J1438"/>
    </row>
    <row r="1439" spans="10:10" x14ac:dyDescent="0.3">
      <c r="J1439"/>
    </row>
    <row r="1440" spans="10:10" x14ac:dyDescent="0.3">
      <c r="J1440"/>
    </row>
    <row r="1441" spans="10:10" x14ac:dyDescent="0.3">
      <c r="J1441"/>
    </row>
    <row r="1442" spans="10:10" x14ac:dyDescent="0.3">
      <c r="J1442"/>
    </row>
    <row r="1443" spans="10:10" x14ac:dyDescent="0.3">
      <c r="J1443"/>
    </row>
    <row r="1444" spans="10:10" x14ac:dyDescent="0.3">
      <c r="J1444"/>
    </row>
    <row r="1445" spans="10:10" x14ac:dyDescent="0.3">
      <c r="J1445"/>
    </row>
    <row r="1446" spans="10:10" x14ac:dyDescent="0.3">
      <c r="J1446"/>
    </row>
    <row r="1447" spans="10:10" x14ac:dyDescent="0.3">
      <c r="J1447"/>
    </row>
    <row r="1448" spans="10:10" x14ac:dyDescent="0.3">
      <c r="J1448"/>
    </row>
    <row r="1449" spans="10:10" x14ac:dyDescent="0.3">
      <c r="J1449"/>
    </row>
    <row r="1450" spans="10:10" x14ac:dyDescent="0.3">
      <c r="J1450"/>
    </row>
    <row r="1451" spans="10:10" x14ac:dyDescent="0.3">
      <c r="J1451"/>
    </row>
    <row r="1452" spans="10:10" x14ac:dyDescent="0.3">
      <c r="J1452"/>
    </row>
    <row r="1453" spans="10:10" x14ac:dyDescent="0.3">
      <c r="J1453"/>
    </row>
    <row r="1454" spans="10:10" x14ac:dyDescent="0.3">
      <c r="J1454"/>
    </row>
    <row r="1455" spans="10:10" x14ac:dyDescent="0.3">
      <c r="J1455"/>
    </row>
    <row r="1456" spans="10:10" x14ac:dyDescent="0.3">
      <c r="J1456"/>
    </row>
    <row r="1457" spans="10:10" x14ac:dyDescent="0.3">
      <c r="J1457"/>
    </row>
    <row r="1458" spans="10:10" x14ac:dyDescent="0.3">
      <c r="J1458"/>
    </row>
    <row r="1459" spans="10:10" x14ac:dyDescent="0.3">
      <c r="J1459"/>
    </row>
    <row r="1460" spans="10:10" x14ac:dyDescent="0.3">
      <c r="J1460"/>
    </row>
    <row r="1461" spans="10:10" x14ac:dyDescent="0.3">
      <c r="J1461"/>
    </row>
    <row r="1462" spans="10:10" x14ac:dyDescent="0.3">
      <c r="J1462"/>
    </row>
    <row r="1463" spans="10:10" x14ac:dyDescent="0.3">
      <c r="J1463"/>
    </row>
    <row r="1464" spans="10:10" x14ac:dyDescent="0.3">
      <c r="J1464"/>
    </row>
    <row r="1465" spans="10:10" x14ac:dyDescent="0.3">
      <c r="J1465"/>
    </row>
    <row r="1466" spans="10:10" x14ac:dyDescent="0.3">
      <c r="J1466"/>
    </row>
    <row r="1467" spans="10:10" x14ac:dyDescent="0.3">
      <c r="J1467"/>
    </row>
    <row r="1468" spans="10:10" x14ac:dyDescent="0.3">
      <c r="J1468"/>
    </row>
    <row r="1469" spans="10:10" x14ac:dyDescent="0.3">
      <c r="J1469"/>
    </row>
    <row r="1470" spans="10:10" x14ac:dyDescent="0.3">
      <c r="J1470"/>
    </row>
    <row r="1471" spans="10:10" x14ac:dyDescent="0.3">
      <c r="J1471"/>
    </row>
    <row r="1472" spans="10:10" x14ac:dyDescent="0.3">
      <c r="J1472"/>
    </row>
    <row r="1473" spans="10:10" x14ac:dyDescent="0.3">
      <c r="J1473"/>
    </row>
    <row r="1474" spans="10:10" x14ac:dyDescent="0.3">
      <c r="J1474"/>
    </row>
    <row r="1475" spans="10:10" x14ac:dyDescent="0.3">
      <c r="J1475"/>
    </row>
    <row r="1476" spans="10:10" x14ac:dyDescent="0.3">
      <c r="J1476"/>
    </row>
    <row r="1477" spans="10:10" x14ac:dyDescent="0.3">
      <c r="J1477"/>
    </row>
    <row r="1478" spans="10:10" x14ac:dyDescent="0.3">
      <c r="J1478"/>
    </row>
    <row r="1479" spans="10:10" x14ac:dyDescent="0.3">
      <c r="J1479"/>
    </row>
    <row r="1480" spans="10:10" x14ac:dyDescent="0.3">
      <c r="J1480"/>
    </row>
    <row r="1481" spans="10:10" x14ac:dyDescent="0.3">
      <c r="J1481"/>
    </row>
    <row r="1482" spans="10:10" x14ac:dyDescent="0.3">
      <c r="J1482"/>
    </row>
    <row r="1483" spans="10:10" x14ac:dyDescent="0.3">
      <c r="J1483"/>
    </row>
    <row r="1484" spans="10:10" x14ac:dyDescent="0.3">
      <c r="J1484"/>
    </row>
    <row r="1485" spans="10:10" x14ac:dyDescent="0.3">
      <c r="J1485"/>
    </row>
    <row r="1486" spans="10:10" x14ac:dyDescent="0.3">
      <c r="J1486"/>
    </row>
    <row r="1487" spans="10:10" x14ac:dyDescent="0.3">
      <c r="J1487"/>
    </row>
    <row r="1488" spans="10:10" x14ac:dyDescent="0.3">
      <c r="J1488"/>
    </row>
    <row r="1489" spans="10:10" x14ac:dyDescent="0.3">
      <c r="J1489"/>
    </row>
    <row r="1490" spans="10:10" x14ac:dyDescent="0.3">
      <c r="J1490"/>
    </row>
    <row r="1491" spans="10:10" x14ac:dyDescent="0.3">
      <c r="J1491"/>
    </row>
    <row r="1492" spans="10:10" x14ac:dyDescent="0.3">
      <c r="J1492"/>
    </row>
    <row r="1493" spans="10:10" x14ac:dyDescent="0.3">
      <c r="J1493"/>
    </row>
    <row r="1494" spans="10:10" x14ac:dyDescent="0.3">
      <c r="J1494"/>
    </row>
    <row r="1495" spans="10:10" x14ac:dyDescent="0.3">
      <c r="J1495"/>
    </row>
    <row r="1496" spans="10:10" x14ac:dyDescent="0.3">
      <c r="J1496"/>
    </row>
    <row r="1497" spans="10:10" x14ac:dyDescent="0.3">
      <c r="J1497"/>
    </row>
    <row r="1498" spans="10:10" x14ac:dyDescent="0.3">
      <c r="J1498"/>
    </row>
    <row r="1499" spans="10:10" x14ac:dyDescent="0.3">
      <c r="J1499"/>
    </row>
    <row r="1500" spans="10:10" x14ac:dyDescent="0.3">
      <c r="J1500"/>
    </row>
    <row r="1501" spans="10:10" x14ac:dyDescent="0.3">
      <c r="J1501"/>
    </row>
    <row r="1502" spans="10:10" x14ac:dyDescent="0.3">
      <c r="J1502"/>
    </row>
    <row r="1503" spans="10:10" x14ac:dyDescent="0.3">
      <c r="J1503"/>
    </row>
    <row r="1504" spans="10:10" x14ac:dyDescent="0.3">
      <c r="J1504"/>
    </row>
    <row r="1505" spans="10:10" x14ac:dyDescent="0.3">
      <c r="J1505"/>
    </row>
    <row r="1506" spans="10:10" x14ac:dyDescent="0.3">
      <c r="J1506"/>
    </row>
    <row r="1507" spans="10:10" x14ac:dyDescent="0.3">
      <c r="J1507"/>
    </row>
    <row r="1508" spans="10:10" x14ac:dyDescent="0.3">
      <c r="J1508"/>
    </row>
    <row r="1509" spans="10:10" x14ac:dyDescent="0.3">
      <c r="J1509"/>
    </row>
    <row r="1510" spans="10:10" x14ac:dyDescent="0.3">
      <c r="J1510"/>
    </row>
    <row r="1511" spans="10:10" x14ac:dyDescent="0.3">
      <c r="J1511"/>
    </row>
    <row r="1512" spans="10:10" x14ac:dyDescent="0.3">
      <c r="J1512"/>
    </row>
    <row r="1513" spans="10:10" x14ac:dyDescent="0.3">
      <c r="J1513"/>
    </row>
    <row r="1514" spans="10:10" x14ac:dyDescent="0.3">
      <c r="J1514"/>
    </row>
    <row r="1515" spans="10:10" x14ac:dyDescent="0.3">
      <c r="J1515"/>
    </row>
    <row r="1516" spans="10:10" x14ac:dyDescent="0.3">
      <c r="J1516"/>
    </row>
    <row r="1517" spans="10:10" x14ac:dyDescent="0.3">
      <c r="J1517"/>
    </row>
    <row r="1518" spans="10:10" x14ac:dyDescent="0.3">
      <c r="J1518"/>
    </row>
    <row r="1519" spans="10:10" x14ac:dyDescent="0.3">
      <c r="J1519"/>
    </row>
    <row r="1520" spans="10:10" x14ac:dyDescent="0.3">
      <c r="J1520"/>
    </row>
    <row r="1521" spans="10:10" x14ac:dyDescent="0.3">
      <c r="J1521"/>
    </row>
    <row r="1522" spans="10:10" x14ac:dyDescent="0.3">
      <c r="J1522"/>
    </row>
    <row r="1523" spans="10:10" x14ac:dyDescent="0.3">
      <c r="J1523"/>
    </row>
    <row r="1524" spans="10:10" x14ac:dyDescent="0.3">
      <c r="J1524"/>
    </row>
    <row r="1525" spans="10:10" x14ac:dyDescent="0.3">
      <c r="J1525"/>
    </row>
    <row r="1526" spans="10:10" x14ac:dyDescent="0.3">
      <c r="J1526"/>
    </row>
    <row r="1527" spans="10:10" x14ac:dyDescent="0.3">
      <c r="J1527"/>
    </row>
    <row r="1528" spans="10:10" x14ac:dyDescent="0.3">
      <c r="J1528"/>
    </row>
    <row r="1529" spans="10:10" x14ac:dyDescent="0.3">
      <c r="J1529"/>
    </row>
    <row r="1530" spans="10:10" x14ac:dyDescent="0.3">
      <c r="J1530"/>
    </row>
    <row r="1531" spans="10:10" x14ac:dyDescent="0.3">
      <c r="J1531"/>
    </row>
    <row r="1532" spans="10:10" x14ac:dyDescent="0.3">
      <c r="J1532"/>
    </row>
    <row r="1533" spans="10:10" x14ac:dyDescent="0.3">
      <c r="J1533"/>
    </row>
    <row r="1534" spans="10:10" x14ac:dyDescent="0.3">
      <c r="J1534"/>
    </row>
    <row r="1535" spans="10:10" x14ac:dyDescent="0.3">
      <c r="J1535"/>
    </row>
    <row r="1536" spans="10:10" x14ac:dyDescent="0.3">
      <c r="J1536"/>
    </row>
    <row r="1537" spans="10:10" x14ac:dyDescent="0.3">
      <c r="J1537"/>
    </row>
    <row r="1538" spans="10:10" x14ac:dyDescent="0.3">
      <c r="J1538"/>
    </row>
    <row r="1539" spans="10:10" x14ac:dyDescent="0.3">
      <c r="J1539"/>
    </row>
    <row r="1540" spans="10:10" x14ac:dyDescent="0.3">
      <c r="J1540"/>
    </row>
    <row r="1541" spans="10:10" x14ac:dyDescent="0.3">
      <c r="J1541"/>
    </row>
    <row r="1542" spans="10:10" x14ac:dyDescent="0.3">
      <c r="J1542"/>
    </row>
    <row r="1543" spans="10:10" x14ac:dyDescent="0.3">
      <c r="J1543"/>
    </row>
    <row r="1544" spans="10:10" x14ac:dyDescent="0.3">
      <c r="J1544"/>
    </row>
    <row r="1545" spans="10:10" x14ac:dyDescent="0.3">
      <c r="J1545"/>
    </row>
    <row r="1546" spans="10:10" x14ac:dyDescent="0.3">
      <c r="J1546"/>
    </row>
    <row r="1547" spans="10:10" x14ac:dyDescent="0.3">
      <c r="J1547"/>
    </row>
    <row r="1548" spans="10:10" x14ac:dyDescent="0.3">
      <c r="J1548"/>
    </row>
    <row r="1549" spans="10:10" x14ac:dyDescent="0.3">
      <c r="J1549"/>
    </row>
    <row r="1550" spans="10:10" x14ac:dyDescent="0.3">
      <c r="J1550"/>
    </row>
    <row r="1551" spans="10:10" x14ac:dyDescent="0.3">
      <c r="J1551"/>
    </row>
    <row r="1552" spans="10:10" x14ac:dyDescent="0.3">
      <c r="J1552"/>
    </row>
    <row r="1553" spans="10:10" x14ac:dyDescent="0.3">
      <c r="J1553"/>
    </row>
    <row r="1554" spans="10:10" x14ac:dyDescent="0.3">
      <c r="J1554"/>
    </row>
    <row r="1555" spans="10:10" x14ac:dyDescent="0.3">
      <c r="J1555"/>
    </row>
    <row r="1556" spans="10:10" x14ac:dyDescent="0.3">
      <c r="J1556"/>
    </row>
    <row r="1557" spans="10:10" x14ac:dyDescent="0.3">
      <c r="J1557"/>
    </row>
    <row r="1558" spans="10:10" x14ac:dyDescent="0.3">
      <c r="J1558"/>
    </row>
    <row r="1559" spans="10:10" x14ac:dyDescent="0.3">
      <c r="J1559"/>
    </row>
    <row r="1560" spans="10:10" x14ac:dyDescent="0.3">
      <c r="J1560"/>
    </row>
    <row r="1561" spans="10:10" x14ac:dyDescent="0.3">
      <c r="J1561"/>
    </row>
    <row r="1562" spans="10:10" x14ac:dyDescent="0.3">
      <c r="J1562"/>
    </row>
    <row r="1563" spans="10:10" x14ac:dyDescent="0.3">
      <c r="J1563"/>
    </row>
    <row r="1564" spans="10:10" x14ac:dyDescent="0.3">
      <c r="J1564"/>
    </row>
    <row r="1565" spans="10:10" x14ac:dyDescent="0.3">
      <c r="J1565"/>
    </row>
    <row r="1566" spans="10:10" x14ac:dyDescent="0.3">
      <c r="J1566"/>
    </row>
    <row r="1567" spans="10:10" x14ac:dyDescent="0.3">
      <c r="J1567"/>
    </row>
    <row r="1568" spans="10:10" x14ac:dyDescent="0.3">
      <c r="J1568"/>
    </row>
    <row r="1569" spans="10:10" x14ac:dyDescent="0.3">
      <c r="J1569"/>
    </row>
    <row r="1570" spans="10:10" x14ac:dyDescent="0.3">
      <c r="J1570"/>
    </row>
    <row r="1571" spans="10:10" x14ac:dyDescent="0.3">
      <c r="J1571"/>
    </row>
    <row r="1572" spans="10:10" x14ac:dyDescent="0.3">
      <c r="J1572"/>
    </row>
    <row r="1573" spans="10:10" x14ac:dyDescent="0.3">
      <c r="J1573"/>
    </row>
    <row r="1574" spans="10:10" x14ac:dyDescent="0.3">
      <c r="J1574"/>
    </row>
    <row r="1575" spans="10:10" x14ac:dyDescent="0.3">
      <c r="J1575"/>
    </row>
    <row r="1576" spans="10:10" x14ac:dyDescent="0.3">
      <c r="J1576"/>
    </row>
    <row r="1577" spans="10:10" x14ac:dyDescent="0.3">
      <c r="J1577"/>
    </row>
    <row r="1578" spans="10:10" x14ac:dyDescent="0.3">
      <c r="J1578"/>
    </row>
    <row r="1579" spans="10:10" x14ac:dyDescent="0.3">
      <c r="J1579"/>
    </row>
    <row r="1580" spans="10:10" x14ac:dyDescent="0.3">
      <c r="J1580"/>
    </row>
    <row r="1581" spans="10:10" x14ac:dyDescent="0.3">
      <c r="J1581"/>
    </row>
    <row r="1582" spans="10:10" x14ac:dyDescent="0.3">
      <c r="J1582"/>
    </row>
    <row r="1583" spans="10:10" x14ac:dyDescent="0.3">
      <c r="J1583"/>
    </row>
    <row r="1584" spans="10:10" x14ac:dyDescent="0.3">
      <c r="J1584"/>
    </row>
    <row r="1585" spans="10:10" x14ac:dyDescent="0.3">
      <c r="J1585"/>
    </row>
    <row r="1586" spans="10:10" x14ac:dyDescent="0.3">
      <c r="J1586"/>
    </row>
    <row r="1587" spans="10:10" x14ac:dyDescent="0.3">
      <c r="J1587"/>
    </row>
    <row r="1588" spans="10:10" x14ac:dyDescent="0.3">
      <c r="J1588"/>
    </row>
    <row r="1589" spans="10:10" x14ac:dyDescent="0.3">
      <c r="J1589"/>
    </row>
    <row r="1590" spans="10:10" x14ac:dyDescent="0.3">
      <c r="J1590"/>
    </row>
    <row r="1591" spans="10:10" x14ac:dyDescent="0.3">
      <c r="J1591"/>
    </row>
    <row r="1592" spans="10:10" x14ac:dyDescent="0.3">
      <c r="J1592"/>
    </row>
    <row r="1593" spans="10:10" x14ac:dyDescent="0.3">
      <c r="J1593"/>
    </row>
    <row r="1594" spans="10:10" x14ac:dyDescent="0.3">
      <c r="J1594"/>
    </row>
    <row r="1595" spans="10:10" x14ac:dyDescent="0.3">
      <c r="J1595"/>
    </row>
    <row r="1596" spans="10:10" x14ac:dyDescent="0.3">
      <c r="J1596"/>
    </row>
    <row r="1597" spans="10:10" x14ac:dyDescent="0.3">
      <c r="J1597"/>
    </row>
    <row r="1598" spans="10:10" x14ac:dyDescent="0.3">
      <c r="J1598"/>
    </row>
    <row r="1599" spans="10:10" x14ac:dyDescent="0.3">
      <c r="J1599"/>
    </row>
    <row r="1600" spans="10:10" x14ac:dyDescent="0.3">
      <c r="J1600"/>
    </row>
    <row r="1601" spans="10:10" x14ac:dyDescent="0.3">
      <c r="J1601"/>
    </row>
    <row r="1602" spans="10:10" x14ac:dyDescent="0.3">
      <c r="J1602"/>
    </row>
    <row r="1603" spans="10:10" x14ac:dyDescent="0.3">
      <c r="J1603"/>
    </row>
    <row r="1604" spans="10:10" x14ac:dyDescent="0.3">
      <c r="J1604"/>
    </row>
    <row r="1605" spans="10:10" x14ac:dyDescent="0.3">
      <c r="J1605"/>
    </row>
    <row r="1606" spans="10:10" x14ac:dyDescent="0.3">
      <c r="J1606"/>
    </row>
    <row r="1607" spans="10:10" x14ac:dyDescent="0.3">
      <c r="J1607"/>
    </row>
    <row r="1608" spans="10:10" x14ac:dyDescent="0.3">
      <c r="J1608"/>
    </row>
    <row r="1609" spans="10:10" x14ac:dyDescent="0.3">
      <c r="J1609"/>
    </row>
    <row r="1610" spans="10:10" x14ac:dyDescent="0.3">
      <c r="J1610"/>
    </row>
    <row r="1611" spans="10:10" x14ac:dyDescent="0.3">
      <c r="J1611"/>
    </row>
    <row r="1612" spans="10:10" x14ac:dyDescent="0.3">
      <c r="J1612"/>
    </row>
    <row r="1613" spans="10:10" x14ac:dyDescent="0.3">
      <c r="J1613"/>
    </row>
    <row r="1614" spans="10:10" x14ac:dyDescent="0.3">
      <c r="J1614"/>
    </row>
    <row r="1615" spans="10:10" x14ac:dyDescent="0.3">
      <c r="J1615"/>
    </row>
    <row r="1616" spans="10:10" x14ac:dyDescent="0.3">
      <c r="J1616"/>
    </row>
    <row r="1617" spans="10:10" x14ac:dyDescent="0.3">
      <c r="J1617"/>
    </row>
    <row r="1618" spans="10:10" x14ac:dyDescent="0.3">
      <c r="J1618"/>
    </row>
    <row r="1619" spans="10:10" x14ac:dyDescent="0.3">
      <c r="J1619"/>
    </row>
    <row r="1620" spans="10:10" x14ac:dyDescent="0.3">
      <c r="J1620"/>
    </row>
    <row r="1621" spans="10:10" x14ac:dyDescent="0.3">
      <c r="J1621"/>
    </row>
    <row r="1622" spans="10:10" x14ac:dyDescent="0.3">
      <c r="J1622"/>
    </row>
    <row r="1623" spans="10:10" x14ac:dyDescent="0.3">
      <c r="J1623"/>
    </row>
    <row r="1624" spans="10:10" x14ac:dyDescent="0.3">
      <c r="J1624"/>
    </row>
    <row r="1625" spans="10:10" x14ac:dyDescent="0.3">
      <c r="J1625"/>
    </row>
    <row r="1626" spans="10:10" x14ac:dyDescent="0.3">
      <c r="J1626"/>
    </row>
    <row r="1627" spans="10:10" x14ac:dyDescent="0.3">
      <c r="J1627"/>
    </row>
    <row r="1628" spans="10:10" x14ac:dyDescent="0.3">
      <c r="J1628"/>
    </row>
    <row r="1629" spans="10:10" x14ac:dyDescent="0.3">
      <c r="J1629"/>
    </row>
    <row r="1630" spans="10:10" x14ac:dyDescent="0.3">
      <c r="J1630"/>
    </row>
    <row r="1631" spans="10:10" x14ac:dyDescent="0.3">
      <c r="J1631"/>
    </row>
    <row r="1632" spans="10:10" x14ac:dyDescent="0.3">
      <c r="J1632"/>
    </row>
    <row r="1633" spans="10:10" x14ac:dyDescent="0.3">
      <c r="J1633"/>
    </row>
    <row r="1634" spans="10:10" x14ac:dyDescent="0.3">
      <c r="J1634"/>
    </row>
    <row r="1635" spans="10:10" x14ac:dyDescent="0.3">
      <c r="J1635"/>
    </row>
    <row r="1636" spans="10:10" x14ac:dyDescent="0.3">
      <c r="J1636"/>
    </row>
    <row r="1637" spans="10:10" x14ac:dyDescent="0.3">
      <c r="J1637"/>
    </row>
    <row r="1638" spans="10:10" x14ac:dyDescent="0.3">
      <c r="J1638"/>
    </row>
    <row r="1639" spans="10:10" x14ac:dyDescent="0.3">
      <c r="J1639"/>
    </row>
    <row r="1640" spans="10:10" x14ac:dyDescent="0.3">
      <c r="J1640"/>
    </row>
    <row r="1641" spans="10:10" x14ac:dyDescent="0.3">
      <c r="J1641"/>
    </row>
    <row r="1642" spans="10:10" x14ac:dyDescent="0.3">
      <c r="J1642"/>
    </row>
    <row r="1643" spans="10:10" x14ac:dyDescent="0.3">
      <c r="J1643"/>
    </row>
    <row r="1644" spans="10:10" x14ac:dyDescent="0.3">
      <c r="J1644"/>
    </row>
    <row r="1645" spans="10:10" x14ac:dyDescent="0.3">
      <c r="J1645"/>
    </row>
    <row r="1646" spans="10:10" x14ac:dyDescent="0.3">
      <c r="J1646"/>
    </row>
    <row r="1647" spans="10:10" x14ac:dyDescent="0.3">
      <c r="J1647"/>
    </row>
    <row r="1648" spans="10:10" x14ac:dyDescent="0.3">
      <c r="J1648"/>
    </row>
    <row r="1649" spans="10:10" x14ac:dyDescent="0.3">
      <c r="J1649"/>
    </row>
    <row r="1650" spans="10:10" x14ac:dyDescent="0.3">
      <c r="J1650"/>
    </row>
    <row r="1651" spans="10:10" x14ac:dyDescent="0.3">
      <c r="J1651"/>
    </row>
    <row r="1652" spans="10:10" x14ac:dyDescent="0.3">
      <c r="J1652"/>
    </row>
    <row r="1653" spans="10:10" x14ac:dyDescent="0.3">
      <c r="J1653"/>
    </row>
    <row r="1654" spans="10:10" x14ac:dyDescent="0.3">
      <c r="J1654"/>
    </row>
    <row r="1655" spans="10:10" x14ac:dyDescent="0.3">
      <c r="J1655"/>
    </row>
    <row r="1656" spans="10:10" x14ac:dyDescent="0.3">
      <c r="J1656"/>
    </row>
    <row r="1657" spans="10:10" x14ac:dyDescent="0.3">
      <c r="J1657"/>
    </row>
    <row r="1658" spans="10:10" x14ac:dyDescent="0.3">
      <c r="J1658"/>
    </row>
    <row r="1659" spans="10:10" x14ac:dyDescent="0.3">
      <c r="J1659"/>
    </row>
    <row r="1660" spans="10:10" x14ac:dyDescent="0.3">
      <c r="J1660"/>
    </row>
    <row r="1661" spans="10:10" x14ac:dyDescent="0.3">
      <c r="J1661"/>
    </row>
    <row r="1662" spans="10:10" x14ac:dyDescent="0.3">
      <c r="J1662"/>
    </row>
    <row r="1663" spans="10:10" x14ac:dyDescent="0.3">
      <c r="J1663"/>
    </row>
    <row r="1664" spans="10:10" x14ac:dyDescent="0.3">
      <c r="J1664"/>
    </row>
    <row r="1665" spans="10:10" x14ac:dyDescent="0.3">
      <c r="J1665"/>
    </row>
    <row r="1666" spans="10:10" x14ac:dyDescent="0.3">
      <c r="J1666"/>
    </row>
    <row r="1667" spans="10:10" x14ac:dyDescent="0.3">
      <c r="J1667"/>
    </row>
    <row r="1668" spans="10:10" x14ac:dyDescent="0.3">
      <c r="J1668"/>
    </row>
    <row r="1669" spans="10:10" x14ac:dyDescent="0.3">
      <c r="J1669"/>
    </row>
    <row r="1670" spans="10:10" x14ac:dyDescent="0.3">
      <c r="J1670"/>
    </row>
    <row r="1671" spans="10:10" x14ac:dyDescent="0.3">
      <c r="J1671"/>
    </row>
    <row r="1672" spans="10:10" x14ac:dyDescent="0.3">
      <c r="J1672"/>
    </row>
    <row r="1673" spans="10:10" x14ac:dyDescent="0.3">
      <c r="J1673"/>
    </row>
    <row r="1674" spans="10:10" x14ac:dyDescent="0.3">
      <c r="J1674"/>
    </row>
    <row r="1675" spans="10:10" x14ac:dyDescent="0.3">
      <c r="J1675"/>
    </row>
    <row r="1676" spans="10:10" x14ac:dyDescent="0.3">
      <c r="J1676"/>
    </row>
    <row r="1677" spans="10:10" x14ac:dyDescent="0.3">
      <c r="J1677"/>
    </row>
    <row r="1678" spans="10:10" x14ac:dyDescent="0.3">
      <c r="J1678"/>
    </row>
    <row r="1679" spans="10:10" x14ac:dyDescent="0.3">
      <c r="J1679"/>
    </row>
    <row r="1680" spans="10:10" x14ac:dyDescent="0.3">
      <c r="J1680"/>
    </row>
    <row r="1681" spans="10:10" x14ac:dyDescent="0.3">
      <c r="J1681"/>
    </row>
    <row r="1682" spans="10:10" x14ac:dyDescent="0.3">
      <c r="J1682"/>
    </row>
    <row r="1683" spans="10:10" x14ac:dyDescent="0.3">
      <c r="J1683"/>
    </row>
    <row r="1684" spans="10:10" x14ac:dyDescent="0.3">
      <c r="J1684"/>
    </row>
    <row r="1685" spans="10:10" x14ac:dyDescent="0.3">
      <c r="J1685"/>
    </row>
    <row r="1686" spans="10:10" x14ac:dyDescent="0.3">
      <c r="J1686"/>
    </row>
    <row r="1687" spans="10:10" x14ac:dyDescent="0.3">
      <c r="J1687"/>
    </row>
    <row r="1688" spans="10:10" x14ac:dyDescent="0.3">
      <c r="J1688"/>
    </row>
    <row r="1689" spans="10:10" x14ac:dyDescent="0.3">
      <c r="J1689"/>
    </row>
    <row r="1690" spans="10:10" x14ac:dyDescent="0.3">
      <c r="J1690"/>
    </row>
    <row r="1691" spans="10:10" x14ac:dyDescent="0.3">
      <c r="J1691"/>
    </row>
    <row r="1692" spans="10:10" x14ac:dyDescent="0.3">
      <c r="J1692"/>
    </row>
    <row r="1693" spans="10:10" x14ac:dyDescent="0.3">
      <c r="J1693"/>
    </row>
    <row r="1694" spans="10:10" x14ac:dyDescent="0.3">
      <c r="J1694"/>
    </row>
    <row r="1695" spans="10:10" x14ac:dyDescent="0.3">
      <c r="J1695"/>
    </row>
    <row r="1696" spans="10:10" x14ac:dyDescent="0.3">
      <c r="J1696"/>
    </row>
    <row r="1697" spans="10:10" x14ac:dyDescent="0.3">
      <c r="J1697"/>
    </row>
    <row r="1698" spans="10:10" x14ac:dyDescent="0.3">
      <c r="J1698"/>
    </row>
    <row r="1699" spans="10:10" x14ac:dyDescent="0.3">
      <c r="J1699"/>
    </row>
    <row r="1700" spans="10:10" x14ac:dyDescent="0.3">
      <c r="J1700"/>
    </row>
    <row r="1701" spans="10:10" x14ac:dyDescent="0.3">
      <c r="J1701"/>
    </row>
    <row r="1702" spans="10:10" x14ac:dyDescent="0.3">
      <c r="J1702"/>
    </row>
    <row r="1703" spans="10:10" x14ac:dyDescent="0.3">
      <c r="J1703"/>
    </row>
    <row r="1704" spans="10:10" x14ac:dyDescent="0.3">
      <c r="J1704"/>
    </row>
    <row r="1705" spans="10:10" x14ac:dyDescent="0.3">
      <c r="J1705"/>
    </row>
    <row r="1706" spans="10:10" x14ac:dyDescent="0.3">
      <c r="J1706"/>
    </row>
    <row r="1707" spans="10:10" x14ac:dyDescent="0.3">
      <c r="J1707"/>
    </row>
    <row r="1708" spans="10:10" x14ac:dyDescent="0.3">
      <c r="J1708"/>
    </row>
    <row r="1709" spans="10:10" x14ac:dyDescent="0.3">
      <c r="J1709"/>
    </row>
    <row r="1710" spans="10:10" x14ac:dyDescent="0.3">
      <c r="J1710"/>
    </row>
    <row r="1711" spans="10:10" x14ac:dyDescent="0.3">
      <c r="J1711"/>
    </row>
    <row r="1712" spans="10:10" x14ac:dyDescent="0.3">
      <c r="J1712"/>
    </row>
    <row r="1713" spans="10:10" x14ac:dyDescent="0.3">
      <c r="J1713"/>
    </row>
    <row r="1714" spans="10:10" x14ac:dyDescent="0.3">
      <c r="J1714"/>
    </row>
    <row r="1715" spans="10:10" x14ac:dyDescent="0.3">
      <c r="J1715"/>
    </row>
    <row r="1716" spans="10:10" x14ac:dyDescent="0.3">
      <c r="J1716"/>
    </row>
    <row r="1717" spans="10:10" x14ac:dyDescent="0.3">
      <c r="J1717"/>
    </row>
    <row r="1718" spans="10:10" x14ac:dyDescent="0.3">
      <c r="J1718"/>
    </row>
    <row r="1719" spans="10:10" x14ac:dyDescent="0.3">
      <c r="J1719"/>
    </row>
    <row r="1720" spans="10:10" x14ac:dyDescent="0.3">
      <c r="J1720"/>
    </row>
    <row r="1721" spans="10:10" x14ac:dyDescent="0.3">
      <c r="J1721"/>
    </row>
    <row r="1722" spans="10:10" x14ac:dyDescent="0.3">
      <c r="J1722"/>
    </row>
    <row r="1723" spans="10:10" x14ac:dyDescent="0.3">
      <c r="J1723"/>
    </row>
    <row r="1724" spans="10:10" x14ac:dyDescent="0.3">
      <c r="J1724"/>
    </row>
    <row r="1725" spans="10:10" x14ac:dyDescent="0.3">
      <c r="J1725"/>
    </row>
    <row r="1726" spans="10:10" x14ac:dyDescent="0.3">
      <c r="J1726"/>
    </row>
    <row r="1727" spans="10:10" x14ac:dyDescent="0.3">
      <c r="J1727"/>
    </row>
    <row r="1728" spans="10:10" x14ac:dyDescent="0.3">
      <c r="J1728"/>
    </row>
    <row r="1729" spans="10:10" x14ac:dyDescent="0.3">
      <c r="J1729"/>
    </row>
    <row r="1730" spans="10:10" x14ac:dyDescent="0.3">
      <c r="J1730"/>
    </row>
    <row r="1731" spans="10:10" x14ac:dyDescent="0.3">
      <c r="J1731"/>
    </row>
    <row r="1732" spans="10:10" x14ac:dyDescent="0.3">
      <c r="J1732"/>
    </row>
    <row r="1733" spans="10:10" x14ac:dyDescent="0.3">
      <c r="J1733"/>
    </row>
    <row r="1734" spans="10:10" x14ac:dyDescent="0.3">
      <c r="J1734"/>
    </row>
    <row r="1735" spans="10:10" x14ac:dyDescent="0.3">
      <c r="J1735"/>
    </row>
    <row r="1736" spans="10:10" x14ac:dyDescent="0.3">
      <c r="J1736"/>
    </row>
    <row r="1737" spans="10:10" x14ac:dyDescent="0.3">
      <c r="J1737"/>
    </row>
    <row r="1738" spans="10:10" x14ac:dyDescent="0.3">
      <c r="J1738"/>
    </row>
    <row r="1739" spans="10:10" x14ac:dyDescent="0.3">
      <c r="J1739"/>
    </row>
    <row r="1740" spans="10:10" x14ac:dyDescent="0.3">
      <c r="J1740"/>
    </row>
    <row r="1741" spans="10:10" x14ac:dyDescent="0.3">
      <c r="J1741"/>
    </row>
    <row r="1742" spans="10:10" x14ac:dyDescent="0.3">
      <c r="J1742"/>
    </row>
    <row r="1743" spans="10:10" x14ac:dyDescent="0.3">
      <c r="J1743"/>
    </row>
    <row r="1744" spans="10:10" x14ac:dyDescent="0.3">
      <c r="J1744"/>
    </row>
    <row r="1745" spans="10:10" x14ac:dyDescent="0.3">
      <c r="J1745"/>
    </row>
    <row r="1746" spans="10:10" x14ac:dyDescent="0.3">
      <c r="J1746"/>
    </row>
    <row r="1747" spans="10:10" x14ac:dyDescent="0.3">
      <c r="J1747"/>
    </row>
    <row r="1748" spans="10:10" x14ac:dyDescent="0.3">
      <c r="J1748"/>
    </row>
    <row r="1749" spans="10:10" x14ac:dyDescent="0.3">
      <c r="J1749"/>
    </row>
    <row r="1750" spans="10:10" x14ac:dyDescent="0.3">
      <c r="J1750"/>
    </row>
    <row r="1751" spans="10:10" x14ac:dyDescent="0.3">
      <c r="J1751"/>
    </row>
    <row r="1752" spans="10:10" x14ac:dyDescent="0.3">
      <c r="J1752"/>
    </row>
    <row r="1753" spans="10:10" x14ac:dyDescent="0.3">
      <c r="J1753"/>
    </row>
    <row r="1754" spans="10:10" x14ac:dyDescent="0.3">
      <c r="J1754"/>
    </row>
    <row r="1755" spans="10:10" x14ac:dyDescent="0.3">
      <c r="J1755"/>
    </row>
    <row r="1756" spans="10:10" x14ac:dyDescent="0.3">
      <c r="J1756"/>
    </row>
    <row r="1757" spans="10:10" x14ac:dyDescent="0.3">
      <c r="J1757"/>
    </row>
    <row r="1758" spans="10:10" x14ac:dyDescent="0.3">
      <c r="J1758"/>
    </row>
    <row r="1759" spans="10:10" x14ac:dyDescent="0.3">
      <c r="J1759"/>
    </row>
    <row r="1760" spans="10:10" x14ac:dyDescent="0.3">
      <c r="J1760"/>
    </row>
    <row r="1761" spans="10:10" x14ac:dyDescent="0.3">
      <c r="J1761"/>
    </row>
    <row r="1762" spans="10:10" x14ac:dyDescent="0.3">
      <c r="J1762"/>
    </row>
    <row r="1763" spans="10:10" x14ac:dyDescent="0.3">
      <c r="J1763"/>
    </row>
    <row r="1764" spans="10:10" x14ac:dyDescent="0.3">
      <c r="J1764"/>
    </row>
    <row r="1765" spans="10:10" x14ac:dyDescent="0.3">
      <c r="J1765"/>
    </row>
    <row r="1766" spans="10:10" x14ac:dyDescent="0.3">
      <c r="J1766"/>
    </row>
    <row r="1767" spans="10:10" x14ac:dyDescent="0.3">
      <c r="J1767"/>
    </row>
    <row r="1768" spans="10:10" x14ac:dyDescent="0.3">
      <c r="J1768"/>
    </row>
    <row r="1769" spans="10:10" x14ac:dyDescent="0.3">
      <c r="J1769"/>
    </row>
    <row r="1770" spans="10:10" x14ac:dyDescent="0.3">
      <c r="J1770"/>
    </row>
    <row r="1771" spans="10:10" x14ac:dyDescent="0.3">
      <c r="J1771"/>
    </row>
    <row r="1772" spans="10:10" x14ac:dyDescent="0.3">
      <c r="J1772"/>
    </row>
    <row r="1773" spans="10:10" x14ac:dyDescent="0.3">
      <c r="J1773"/>
    </row>
    <row r="1774" spans="10:10" x14ac:dyDescent="0.3">
      <c r="J1774"/>
    </row>
    <row r="1775" spans="10:10" x14ac:dyDescent="0.3">
      <c r="J1775"/>
    </row>
    <row r="1776" spans="10:10" x14ac:dyDescent="0.3">
      <c r="J1776"/>
    </row>
    <row r="1777" spans="10:10" x14ac:dyDescent="0.3">
      <c r="J1777"/>
    </row>
    <row r="1778" spans="10:10" x14ac:dyDescent="0.3">
      <c r="J1778"/>
    </row>
    <row r="1779" spans="10:10" x14ac:dyDescent="0.3">
      <c r="J1779"/>
    </row>
    <row r="1780" spans="10:10" x14ac:dyDescent="0.3">
      <c r="J1780"/>
    </row>
    <row r="1781" spans="10:10" x14ac:dyDescent="0.3">
      <c r="J1781"/>
    </row>
    <row r="1782" spans="10:10" x14ac:dyDescent="0.3">
      <c r="J1782"/>
    </row>
    <row r="1783" spans="10:10" x14ac:dyDescent="0.3">
      <c r="J1783"/>
    </row>
    <row r="1784" spans="10:10" x14ac:dyDescent="0.3">
      <c r="J1784"/>
    </row>
    <row r="1785" spans="10:10" x14ac:dyDescent="0.3">
      <c r="J1785"/>
    </row>
    <row r="1786" spans="10:10" x14ac:dyDescent="0.3">
      <c r="J1786"/>
    </row>
    <row r="1787" spans="10:10" x14ac:dyDescent="0.3">
      <c r="J1787"/>
    </row>
    <row r="1788" spans="10:10" x14ac:dyDescent="0.3">
      <c r="J1788"/>
    </row>
    <row r="1789" spans="10:10" x14ac:dyDescent="0.3">
      <c r="J1789"/>
    </row>
    <row r="1790" spans="10:10" x14ac:dyDescent="0.3">
      <c r="J1790"/>
    </row>
    <row r="1791" spans="10:10" x14ac:dyDescent="0.3">
      <c r="J1791"/>
    </row>
    <row r="1792" spans="10:10" x14ac:dyDescent="0.3">
      <c r="J1792"/>
    </row>
    <row r="1793" spans="10:10" x14ac:dyDescent="0.3">
      <c r="J1793"/>
    </row>
    <row r="1794" spans="10:10" x14ac:dyDescent="0.3">
      <c r="J1794"/>
    </row>
    <row r="1795" spans="10:10" x14ac:dyDescent="0.3">
      <c r="J1795"/>
    </row>
    <row r="1796" spans="10:10" x14ac:dyDescent="0.3">
      <c r="J1796"/>
    </row>
    <row r="1797" spans="10:10" x14ac:dyDescent="0.3">
      <c r="J1797"/>
    </row>
    <row r="1798" spans="10:10" x14ac:dyDescent="0.3">
      <c r="J1798"/>
    </row>
    <row r="1799" spans="10:10" x14ac:dyDescent="0.3">
      <c r="J1799"/>
    </row>
    <row r="1800" spans="10:10" x14ac:dyDescent="0.3">
      <c r="J1800"/>
    </row>
    <row r="1801" spans="10:10" x14ac:dyDescent="0.3">
      <c r="J1801"/>
    </row>
    <row r="1802" spans="10:10" x14ac:dyDescent="0.3">
      <c r="J1802"/>
    </row>
    <row r="1803" spans="10:10" x14ac:dyDescent="0.3">
      <c r="J1803"/>
    </row>
    <row r="1804" spans="10:10" x14ac:dyDescent="0.3">
      <c r="J1804"/>
    </row>
    <row r="1805" spans="10:10" x14ac:dyDescent="0.3">
      <c r="J1805"/>
    </row>
    <row r="1806" spans="10:10" x14ac:dyDescent="0.3">
      <c r="J1806"/>
    </row>
    <row r="1807" spans="10:10" x14ac:dyDescent="0.3">
      <c r="J1807"/>
    </row>
    <row r="1808" spans="10:10" x14ac:dyDescent="0.3">
      <c r="J1808"/>
    </row>
    <row r="1809" spans="10:10" x14ac:dyDescent="0.3">
      <c r="J1809"/>
    </row>
    <row r="1810" spans="10:10" x14ac:dyDescent="0.3">
      <c r="J1810"/>
    </row>
    <row r="1811" spans="10:10" x14ac:dyDescent="0.3">
      <c r="J1811"/>
    </row>
    <row r="1812" spans="10:10" x14ac:dyDescent="0.3">
      <c r="J1812"/>
    </row>
    <row r="1813" spans="10:10" x14ac:dyDescent="0.3">
      <c r="J1813"/>
    </row>
    <row r="1814" spans="10:10" x14ac:dyDescent="0.3">
      <c r="J1814"/>
    </row>
    <row r="1815" spans="10:10" x14ac:dyDescent="0.3">
      <c r="J1815"/>
    </row>
    <row r="1816" spans="10:10" x14ac:dyDescent="0.3">
      <c r="J1816"/>
    </row>
    <row r="1817" spans="10:10" x14ac:dyDescent="0.3">
      <c r="J1817"/>
    </row>
    <row r="1818" spans="10:10" x14ac:dyDescent="0.3">
      <c r="J1818"/>
    </row>
    <row r="1819" spans="10:10" x14ac:dyDescent="0.3">
      <c r="J1819"/>
    </row>
    <row r="1820" spans="10:10" x14ac:dyDescent="0.3">
      <c r="J1820"/>
    </row>
    <row r="1821" spans="10:10" x14ac:dyDescent="0.3">
      <c r="J1821"/>
    </row>
    <row r="1822" spans="10:10" x14ac:dyDescent="0.3">
      <c r="J1822"/>
    </row>
    <row r="1823" spans="10:10" x14ac:dyDescent="0.3">
      <c r="J1823"/>
    </row>
    <row r="1824" spans="10:10" x14ac:dyDescent="0.3">
      <c r="J1824"/>
    </row>
    <row r="1825" spans="10:10" x14ac:dyDescent="0.3">
      <c r="J1825"/>
    </row>
    <row r="1826" spans="10:10" x14ac:dyDescent="0.3">
      <c r="J1826"/>
    </row>
    <row r="1827" spans="10:10" x14ac:dyDescent="0.3">
      <c r="J1827"/>
    </row>
    <row r="1828" spans="10:10" x14ac:dyDescent="0.3">
      <c r="J1828"/>
    </row>
    <row r="1829" spans="10:10" x14ac:dyDescent="0.3">
      <c r="J1829"/>
    </row>
    <row r="1830" spans="10:10" x14ac:dyDescent="0.3">
      <c r="J1830"/>
    </row>
    <row r="1831" spans="10:10" x14ac:dyDescent="0.3">
      <c r="J1831"/>
    </row>
    <row r="1832" spans="10:10" x14ac:dyDescent="0.3">
      <c r="J1832"/>
    </row>
    <row r="1833" spans="10:10" x14ac:dyDescent="0.3">
      <c r="J1833"/>
    </row>
    <row r="1834" spans="10:10" x14ac:dyDescent="0.3">
      <c r="J1834"/>
    </row>
    <row r="1835" spans="10:10" x14ac:dyDescent="0.3">
      <c r="J1835"/>
    </row>
    <row r="1836" spans="10:10" x14ac:dyDescent="0.3">
      <c r="J1836"/>
    </row>
    <row r="1837" spans="10:10" x14ac:dyDescent="0.3">
      <c r="J1837"/>
    </row>
    <row r="1838" spans="10:10" x14ac:dyDescent="0.3">
      <c r="J1838"/>
    </row>
    <row r="1839" spans="10:10" x14ac:dyDescent="0.3">
      <c r="J1839"/>
    </row>
    <row r="1840" spans="10:10" x14ac:dyDescent="0.3">
      <c r="J1840"/>
    </row>
    <row r="1841" spans="10:10" x14ac:dyDescent="0.3">
      <c r="J1841"/>
    </row>
    <row r="1842" spans="10:10" x14ac:dyDescent="0.3">
      <c r="J1842"/>
    </row>
    <row r="1843" spans="10:10" x14ac:dyDescent="0.3">
      <c r="J1843"/>
    </row>
    <row r="1844" spans="10:10" x14ac:dyDescent="0.3">
      <c r="J1844"/>
    </row>
    <row r="1845" spans="10:10" x14ac:dyDescent="0.3">
      <c r="J1845"/>
    </row>
    <row r="1846" spans="10:10" x14ac:dyDescent="0.3">
      <c r="J1846"/>
    </row>
    <row r="1847" spans="10:10" x14ac:dyDescent="0.3">
      <c r="J1847"/>
    </row>
    <row r="1848" spans="10:10" x14ac:dyDescent="0.3">
      <c r="J1848"/>
    </row>
    <row r="1849" spans="10:10" x14ac:dyDescent="0.3">
      <c r="J1849"/>
    </row>
    <row r="1850" spans="10:10" x14ac:dyDescent="0.3">
      <c r="J1850"/>
    </row>
    <row r="1851" spans="10:10" x14ac:dyDescent="0.3">
      <c r="J1851"/>
    </row>
    <row r="1852" spans="10:10" x14ac:dyDescent="0.3">
      <c r="J1852"/>
    </row>
    <row r="1853" spans="10:10" x14ac:dyDescent="0.3">
      <c r="J1853"/>
    </row>
    <row r="1854" spans="10:10" x14ac:dyDescent="0.3">
      <c r="J1854"/>
    </row>
    <row r="1855" spans="10:10" x14ac:dyDescent="0.3">
      <c r="J1855"/>
    </row>
    <row r="1856" spans="10:10" x14ac:dyDescent="0.3">
      <c r="J1856"/>
    </row>
    <row r="1857" spans="10:10" x14ac:dyDescent="0.3">
      <c r="J1857"/>
    </row>
    <row r="1858" spans="10:10" x14ac:dyDescent="0.3">
      <c r="J1858"/>
    </row>
    <row r="1859" spans="10:10" x14ac:dyDescent="0.3">
      <c r="J1859"/>
    </row>
    <row r="1860" spans="10:10" x14ac:dyDescent="0.3">
      <c r="J1860"/>
    </row>
    <row r="1861" spans="10:10" x14ac:dyDescent="0.3">
      <c r="J1861"/>
    </row>
    <row r="1862" spans="10:10" x14ac:dyDescent="0.3">
      <c r="J1862"/>
    </row>
    <row r="1863" spans="10:10" x14ac:dyDescent="0.3">
      <c r="J1863"/>
    </row>
    <row r="1864" spans="10:10" x14ac:dyDescent="0.3">
      <c r="J1864"/>
    </row>
    <row r="1865" spans="10:10" x14ac:dyDescent="0.3">
      <c r="J1865"/>
    </row>
    <row r="1866" spans="10:10" x14ac:dyDescent="0.3">
      <c r="J1866"/>
    </row>
    <row r="1867" spans="10:10" x14ac:dyDescent="0.3">
      <c r="J1867"/>
    </row>
    <row r="1868" spans="10:10" x14ac:dyDescent="0.3">
      <c r="J1868"/>
    </row>
    <row r="1869" spans="10:10" x14ac:dyDescent="0.3">
      <c r="J1869"/>
    </row>
    <row r="1870" spans="10:10" x14ac:dyDescent="0.3">
      <c r="J1870"/>
    </row>
    <row r="1871" spans="10:10" x14ac:dyDescent="0.3">
      <c r="J1871"/>
    </row>
    <row r="1872" spans="10:10" x14ac:dyDescent="0.3">
      <c r="J1872"/>
    </row>
    <row r="1873" spans="10:10" x14ac:dyDescent="0.3">
      <c r="J1873"/>
    </row>
    <row r="1874" spans="10:10" x14ac:dyDescent="0.3">
      <c r="J1874"/>
    </row>
    <row r="1875" spans="10:10" x14ac:dyDescent="0.3">
      <c r="J1875"/>
    </row>
    <row r="1876" spans="10:10" x14ac:dyDescent="0.3">
      <c r="J1876"/>
    </row>
    <row r="1877" spans="10:10" x14ac:dyDescent="0.3">
      <c r="J1877"/>
    </row>
    <row r="1878" spans="10:10" x14ac:dyDescent="0.3">
      <c r="J1878"/>
    </row>
    <row r="1879" spans="10:10" x14ac:dyDescent="0.3">
      <c r="J1879"/>
    </row>
    <row r="1880" spans="10:10" x14ac:dyDescent="0.3">
      <c r="J1880"/>
    </row>
    <row r="1881" spans="10:10" x14ac:dyDescent="0.3">
      <c r="J1881"/>
    </row>
    <row r="1882" spans="10:10" x14ac:dyDescent="0.3">
      <c r="J1882"/>
    </row>
    <row r="1883" spans="10:10" x14ac:dyDescent="0.3">
      <c r="J1883"/>
    </row>
    <row r="1884" spans="10:10" x14ac:dyDescent="0.3">
      <c r="J1884"/>
    </row>
    <row r="1885" spans="10:10" x14ac:dyDescent="0.3">
      <c r="J1885"/>
    </row>
    <row r="1886" spans="10:10" x14ac:dyDescent="0.3">
      <c r="J1886"/>
    </row>
    <row r="1887" spans="10:10" x14ac:dyDescent="0.3">
      <c r="J1887"/>
    </row>
    <row r="1888" spans="10:10" x14ac:dyDescent="0.3">
      <c r="J1888"/>
    </row>
    <row r="1889" spans="10:10" x14ac:dyDescent="0.3">
      <c r="J1889"/>
    </row>
    <row r="1890" spans="10:10" x14ac:dyDescent="0.3">
      <c r="J1890"/>
    </row>
    <row r="1891" spans="10:10" x14ac:dyDescent="0.3">
      <c r="J1891"/>
    </row>
    <row r="1892" spans="10:10" x14ac:dyDescent="0.3">
      <c r="J1892"/>
    </row>
    <row r="1893" spans="10:10" x14ac:dyDescent="0.3">
      <c r="J1893"/>
    </row>
    <row r="1894" spans="10:10" x14ac:dyDescent="0.3">
      <c r="J1894"/>
    </row>
    <row r="1895" spans="10:10" x14ac:dyDescent="0.3">
      <c r="J1895"/>
    </row>
    <row r="1896" spans="10:10" x14ac:dyDescent="0.3">
      <c r="J1896"/>
    </row>
    <row r="1897" spans="10:10" x14ac:dyDescent="0.3">
      <c r="J1897"/>
    </row>
    <row r="1898" spans="10:10" x14ac:dyDescent="0.3">
      <c r="J1898"/>
    </row>
    <row r="1899" spans="10:10" x14ac:dyDescent="0.3">
      <c r="J1899"/>
    </row>
    <row r="1900" spans="10:10" x14ac:dyDescent="0.3">
      <c r="J1900"/>
    </row>
    <row r="1901" spans="10:10" x14ac:dyDescent="0.3">
      <c r="J1901"/>
    </row>
    <row r="1902" spans="10:10" x14ac:dyDescent="0.3">
      <c r="J1902"/>
    </row>
    <row r="1903" spans="10:10" x14ac:dyDescent="0.3">
      <c r="J1903"/>
    </row>
    <row r="1904" spans="10:10" x14ac:dyDescent="0.3">
      <c r="J1904"/>
    </row>
    <row r="1905" spans="10:10" x14ac:dyDescent="0.3">
      <c r="J1905"/>
    </row>
    <row r="1906" spans="10:10" x14ac:dyDescent="0.3">
      <c r="J1906"/>
    </row>
    <row r="1907" spans="10:10" x14ac:dyDescent="0.3">
      <c r="J1907"/>
    </row>
    <row r="1908" spans="10:10" x14ac:dyDescent="0.3">
      <c r="J1908"/>
    </row>
    <row r="1909" spans="10:10" x14ac:dyDescent="0.3">
      <c r="J1909"/>
    </row>
    <row r="1910" spans="10:10" x14ac:dyDescent="0.3">
      <c r="J1910"/>
    </row>
    <row r="1911" spans="10:10" x14ac:dyDescent="0.3">
      <c r="J1911"/>
    </row>
    <row r="1912" spans="10:10" x14ac:dyDescent="0.3">
      <c r="J1912"/>
    </row>
    <row r="1913" spans="10:10" x14ac:dyDescent="0.3">
      <c r="J1913"/>
    </row>
    <row r="1914" spans="10:10" x14ac:dyDescent="0.3">
      <c r="J1914"/>
    </row>
    <row r="1915" spans="10:10" x14ac:dyDescent="0.3">
      <c r="J1915"/>
    </row>
    <row r="1916" spans="10:10" x14ac:dyDescent="0.3">
      <c r="J1916"/>
    </row>
    <row r="1917" spans="10:10" x14ac:dyDescent="0.3">
      <c r="J1917"/>
    </row>
    <row r="1918" spans="10:10" x14ac:dyDescent="0.3">
      <c r="J1918"/>
    </row>
    <row r="1919" spans="10:10" x14ac:dyDescent="0.3">
      <c r="J1919"/>
    </row>
    <row r="1920" spans="10:10" x14ac:dyDescent="0.3">
      <c r="J1920"/>
    </row>
    <row r="1921" spans="10:10" x14ac:dyDescent="0.3">
      <c r="J1921"/>
    </row>
    <row r="1922" spans="10:10" x14ac:dyDescent="0.3">
      <c r="J1922"/>
    </row>
    <row r="1923" spans="10:10" x14ac:dyDescent="0.3">
      <c r="J1923"/>
    </row>
    <row r="1924" spans="10:10" x14ac:dyDescent="0.3">
      <c r="J1924"/>
    </row>
    <row r="1925" spans="10:10" x14ac:dyDescent="0.3">
      <c r="J1925"/>
    </row>
    <row r="1926" spans="10:10" x14ac:dyDescent="0.3">
      <c r="J1926"/>
    </row>
    <row r="1927" spans="10:10" x14ac:dyDescent="0.3">
      <c r="J1927"/>
    </row>
    <row r="1928" spans="10:10" x14ac:dyDescent="0.3">
      <c r="J1928"/>
    </row>
    <row r="1929" spans="10:10" x14ac:dyDescent="0.3">
      <c r="J1929"/>
    </row>
    <row r="1930" spans="10:10" x14ac:dyDescent="0.3">
      <c r="J1930"/>
    </row>
    <row r="1931" spans="10:10" x14ac:dyDescent="0.3">
      <c r="J1931"/>
    </row>
    <row r="1932" spans="10:10" x14ac:dyDescent="0.3">
      <c r="J1932"/>
    </row>
    <row r="1933" spans="10:10" x14ac:dyDescent="0.3">
      <c r="J1933"/>
    </row>
    <row r="1934" spans="10:10" x14ac:dyDescent="0.3">
      <c r="J1934"/>
    </row>
    <row r="1935" spans="10:10" x14ac:dyDescent="0.3">
      <c r="J1935"/>
    </row>
    <row r="1936" spans="10:10" x14ac:dyDescent="0.3">
      <c r="J1936"/>
    </row>
    <row r="1937" spans="10:10" x14ac:dyDescent="0.3">
      <c r="J1937"/>
    </row>
    <row r="1938" spans="10:10" x14ac:dyDescent="0.3">
      <c r="J1938"/>
    </row>
    <row r="1939" spans="10:10" x14ac:dyDescent="0.3">
      <c r="J1939"/>
    </row>
    <row r="1940" spans="10:10" x14ac:dyDescent="0.3">
      <c r="J1940"/>
    </row>
    <row r="1941" spans="10:10" x14ac:dyDescent="0.3">
      <c r="J1941"/>
    </row>
    <row r="1942" spans="10:10" x14ac:dyDescent="0.3">
      <c r="J1942"/>
    </row>
    <row r="1943" spans="10:10" x14ac:dyDescent="0.3">
      <c r="J1943"/>
    </row>
    <row r="1944" spans="10:10" x14ac:dyDescent="0.3">
      <c r="J1944"/>
    </row>
    <row r="1945" spans="10:10" x14ac:dyDescent="0.3">
      <c r="J1945"/>
    </row>
    <row r="1946" spans="10:10" x14ac:dyDescent="0.3">
      <c r="J1946"/>
    </row>
    <row r="1947" spans="10:10" x14ac:dyDescent="0.3">
      <c r="J1947"/>
    </row>
    <row r="1948" spans="10:10" x14ac:dyDescent="0.3">
      <c r="J1948"/>
    </row>
    <row r="1949" spans="10:10" x14ac:dyDescent="0.3">
      <c r="J1949"/>
    </row>
    <row r="1950" spans="10:10" x14ac:dyDescent="0.3">
      <c r="J1950"/>
    </row>
    <row r="1951" spans="10:10" x14ac:dyDescent="0.3">
      <c r="J1951"/>
    </row>
    <row r="1952" spans="10:10" x14ac:dyDescent="0.3">
      <c r="J1952"/>
    </row>
    <row r="1953" spans="10:10" x14ac:dyDescent="0.3">
      <c r="J1953"/>
    </row>
    <row r="1954" spans="10:10" x14ac:dyDescent="0.3">
      <c r="J1954"/>
    </row>
    <row r="1955" spans="10:10" x14ac:dyDescent="0.3">
      <c r="J1955"/>
    </row>
    <row r="1956" spans="10:10" x14ac:dyDescent="0.3">
      <c r="J1956"/>
    </row>
    <row r="1957" spans="10:10" x14ac:dyDescent="0.3">
      <c r="J1957"/>
    </row>
    <row r="1958" spans="10:10" x14ac:dyDescent="0.3">
      <c r="J1958"/>
    </row>
    <row r="1959" spans="10:10" x14ac:dyDescent="0.3">
      <c r="J1959"/>
    </row>
    <row r="1960" spans="10:10" x14ac:dyDescent="0.3">
      <c r="J1960"/>
    </row>
    <row r="1961" spans="10:10" x14ac:dyDescent="0.3">
      <c r="J1961"/>
    </row>
    <row r="1962" spans="10:10" x14ac:dyDescent="0.3">
      <c r="J1962"/>
    </row>
    <row r="1963" spans="10:10" x14ac:dyDescent="0.3">
      <c r="J1963"/>
    </row>
    <row r="1964" spans="10:10" x14ac:dyDescent="0.3">
      <c r="J1964"/>
    </row>
    <row r="1965" spans="10:10" x14ac:dyDescent="0.3">
      <c r="J1965"/>
    </row>
    <row r="1966" spans="10:10" x14ac:dyDescent="0.3">
      <c r="J1966"/>
    </row>
    <row r="1967" spans="10:10" x14ac:dyDescent="0.3">
      <c r="J1967"/>
    </row>
    <row r="1968" spans="10:10" x14ac:dyDescent="0.3">
      <c r="J1968"/>
    </row>
    <row r="1969" spans="10:10" x14ac:dyDescent="0.3">
      <c r="J1969"/>
    </row>
    <row r="1970" spans="10:10" x14ac:dyDescent="0.3">
      <c r="J1970"/>
    </row>
    <row r="1971" spans="10:10" x14ac:dyDescent="0.3">
      <c r="J1971"/>
    </row>
    <row r="1972" spans="10:10" x14ac:dyDescent="0.3">
      <c r="J1972"/>
    </row>
    <row r="1973" spans="10:10" x14ac:dyDescent="0.3">
      <c r="J1973"/>
    </row>
    <row r="1974" spans="10:10" x14ac:dyDescent="0.3">
      <c r="J1974"/>
    </row>
    <row r="1975" spans="10:10" x14ac:dyDescent="0.3">
      <c r="J1975"/>
    </row>
    <row r="1976" spans="10:10" x14ac:dyDescent="0.3">
      <c r="J1976"/>
    </row>
    <row r="1977" spans="10:10" x14ac:dyDescent="0.3">
      <c r="J1977"/>
    </row>
    <row r="1978" spans="10:10" x14ac:dyDescent="0.3">
      <c r="J1978"/>
    </row>
    <row r="1979" spans="10:10" x14ac:dyDescent="0.3">
      <c r="J1979"/>
    </row>
    <row r="1980" spans="10:10" x14ac:dyDescent="0.3">
      <c r="J1980"/>
    </row>
    <row r="1981" spans="10:10" x14ac:dyDescent="0.3">
      <c r="J1981"/>
    </row>
    <row r="1982" spans="10:10" x14ac:dyDescent="0.3">
      <c r="J1982"/>
    </row>
    <row r="1983" spans="10:10" x14ac:dyDescent="0.3">
      <c r="J1983"/>
    </row>
    <row r="1984" spans="10:10" x14ac:dyDescent="0.3">
      <c r="J1984"/>
    </row>
    <row r="1985" spans="10:10" x14ac:dyDescent="0.3">
      <c r="J1985"/>
    </row>
    <row r="1986" spans="10:10" x14ac:dyDescent="0.3">
      <c r="J1986"/>
    </row>
    <row r="1987" spans="10:10" x14ac:dyDescent="0.3">
      <c r="J1987"/>
    </row>
    <row r="1988" spans="10:10" x14ac:dyDescent="0.3">
      <c r="J1988"/>
    </row>
    <row r="1989" spans="10:10" x14ac:dyDescent="0.3">
      <c r="J1989"/>
    </row>
    <row r="1990" spans="10:10" x14ac:dyDescent="0.3">
      <c r="J1990"/>
    </row>
    <row r="1991" spans="10:10" x14ac:dyDescent="0.3">
      <c r="J1991"/>
    </row>
    <row r="1992" spans="10:10" x14ac:dyDescent="0.3">
      <c r="J1992"/>
    </row>
    <row r="1993" spans="10:10" x14ac:dyDescent="0.3">
      <c r="J1993"/>
    </row>
    <row r="1994" spans="10:10" x14ac:dyDescent="0.3">
      <c r="J1994"/>
    </row>
    <row r="1995" spans="10:10" x14ac:dyDescent="0.3">
      <c r="J1995"/>
    </row>
    <row r="1996" spans="10:10" x14ac:dyDescent="0.3">
      <c r="J1996"/>
    </row>
    <row r="1997" spans="10:10" x14ac:dyDescent="0.3">
      <c r="J1997"/>
    </row>
    <row r="1998" spans="10:10" x14ac:dyDescent="0.3">
      <c r="J1998"/>
    </row>
    <row r="1999" spans="10:10" x14ac:dyDescent="0.3">
      <c r="J1999"/>
    </row>
    <row r="2000" spans="10:10" x14ac:dyDescent="0.3">
      <c r="J2000"/>
    </row>
    <row r="2001" spans="10:10" x14ac:dyDescent="0.3">
      <c r="J2001"/>
    </row>
    <row r="2002" spans="10:10" x14ac:dyDescent="0.3">
      <c r="J2002"/>
    </row>
    <row r="2003" spans="10:10" x14ac:dyDescent="0.3">
      <c r="J2003"/>
    </row>
    <row r="2004" spans="10:10" x14ac:dyDescent="0.3">
      <c r="J2004"/>
    </row>
    <row r="2005" spans="10:10" x14ac:dyDescent="0.3">
      <c r="J2005"/>
    </row>
    <row r="2006" spans="10:10" x14ac:dyDescent="0.3">
      <c r="J2006"/>
    </row>
    <row r="2007" spans="10:10" x14ac:dyDescent="0.3">
      <c r="J2007"/>
    </row>
    <row r="2008" spans="10:10" x14ac:dyDescent="0.3">
      <c r="J2008"/>
    </row>
    <row r="2009" spans="10:10" x14ac:dyDescent="0.3">
      <c r="J2009"/>
    </row>
    <row r="2010" spans="10:10" x14ac:dyDescent="0.3">
      <c r="J2010"/>
    </row>
    <row r="2011" spans="10:10" x14ac:dyDescent="0.3">
      <c r="J2011"/>
    </row>
    <row r="2012" spans="10:10" x14ac:dyDescent="0.3">
      <c r="J2012"/>
    </row>
    <row r="2013" spans="10:10" x14ac:dyDescent="0.3">
      <c r="J2013"/>
    </row>
    <row r="2014" spans="10:10" x14ac:dyDescent="0.3">
      <c r="J2014"/>
    </row>
    <row r="2015" spans="10:10" x14ac:dyDescent="0.3">
      <c r="J2015"/>
    </row>
    <row r="2016" spans="10:10" x14ac:dyDescent="0.3">
      <c r="J2016"/>
    </row>
    <row r="2017" spans="10:10" x14ac:dyDescent="0.3">
      <c r="J2017"/>
    </row>
    <row r="2018" spans="10:10" x14ac:dyDescent="0.3">
      <c r="J2018"/>
    </row>
    <row r="2019" spans="10:10" x14ac:dyDescent="0.3">
      <c r="J2019"/>
    </row>
    <row r="2020" spans="10:10" x14ac:dyDescent="0.3">
      <c r="J2020"/>
    </row>
    <row r="2021" spans="10:10" x14ac:dyDescent="0.3">
      <c r="J2021"/>
    </row>
    <row r="2022" spans="10:10" x14ac:dyDescent="0.3">
      <c r="J2022"/>
    </row>
    <row r="2023" spans="10:10" x14ac:dyDescent="0.3">
      <c r="J2023"/>
    </row>
    <row r="2024" spans="10:10" x14ac:dyDescent="0.3">
      <c r="J2024"/>
    </row>
    <row r="2025" spans="10:10" x14ac:dyDescent="0.3">
      <c r="J2025"/>
    </row>
    <row r="2026" spans="10:10" x14ac:dyDescent="0.3">
      <c r="J2026"/>
    </row>
    <row r="2027" spans="10:10" x14ac:dyDescent="0.3">
      <c r="J2027"/>
    </row>
    <row r="2028" spans="10:10" x14ac:dyDescent="0.3">
      <c r="J2028"/>
    </row>
    <row r="2029" spans="10:10" x14ac:dyDescent="0.3">
      <c r="J2029"/>
    </row>
    <row r="2030" spans="10:10" x14ac:dyDescent="0.3">
      <c r="J2030"/>
    </row>
    <row r="2031" spans="10:10" x14ac:dyDescent="0.3">
      <c r="J2031"/>
    </row>
    <row r="2032" spans="10:10" x14ac:dyDescent="0.3">
      <c r="J2032"/>
    </row>
    <row r="2033" spans="10:10" x14ac:dyDescent="0.3">
      <c r="J2033"/>
    </row>
    <row r="2034" spans="10:10" x14ac:dyDescent="0.3">
      <c r="J2034"/>
    </row>
    <row r="2035" spans="10:10" x14ac:dyDescent="0.3">
      <c r="J2035"/>
    </row>
    <row r="2036" spans="10:10" x14ac:dyDescent="0.3">
      <c r="J2036"/>
    </row>
    <row r="2037" spans="10:10" x14ac:dyDescent="0.3">
      <c r="J2037"/>
    </row>
    <row r="2038" spans="10:10" x14ac:dyDescent="0.3">
      <c r="J2038"/>
    </row>
    <row r="2039" spans="10:10" x14ac:dyDescent="0.3">
      <c r="J2039"/>
    </row>
    <row r="2040" spans="10:10" x14ac:dyDescent="0.3">
      <c r="J2040"/>
    </row>
    <row r="2041" spans="10:10" x14ac:dyDescent="0.3">
      <c r="J2041"/>
    </row>
    <row r="2042" spans="10:10" x14ac:dyDescent="0.3">
      <c r="J2042"/>
    </row>
    <row r="2043" spans="10:10" x14ac:dyDescent="0.3">
      <c r="J2043"/>
    </row>
    <row r="2044" spans="10:10" x14ac:dyDescent="0.3">
      <c r="J2044"/>
    </row>
    <row r="2045" spans="10:10" x14ac:dyDescent="0.3">
      <c r="J2045"/>
    </row>
    <row r="2046" spans="10:10" x14ac:dyDescent="0.3">
      <c r="J2046"/>
    </row>
    <row r="2047" spans="10:10" x14ac:dyDescent="0.3">
      <c r="J2047"/>
    </row>
    <row r="2048" spans="10:10" x14ac:dyDescent="0.3">
      <c r="J2048"/>
    </row>
    <row r="2049" spans="10:10" x14ac:dyDescent="0.3">
      <c r="J2049"/>
    </row>
    <row r="2050" spans="10:10" x14ac:dyDescent="0.3">
      <c r="J2050"/>
    </row>
    <row r="2051" spans="10:10" x14ac:dyDescent="0.3">
      <c r="J2051"/>
    </row>
    <row r="2052" spans="10:10" x14ac:dyDescent="0.3">
      <c r="J2052"/>
    </row>
    <row r="2053" spans="10:10" x14ac:dyDescent="0.3">
      <c r="J2053"/>
    </row>
    <row r="2054" spans="10:10" x14ac:dyDescent="0.3">
      <c r="J2054"/>
    </row>
    <row r="2055" spans="10:10" x14ac:dyDescent="0.3">
      <c r="J2055"/>
    </row>
    <row r="2056" spans="10:10" x14ac:dyDescent="0.3">
      <c r="J2056"/>
    </row>
    <row r="2057" spans="10:10" x14ac:dyDescent="0.3">
      <c r="J2057"/>
    </row>
    <row r="2058" spans="10:10" x14ac:dyDescent="0.3">
      <c r="J2058"/>
    </row>
    <row r="2059" spans="10:10" x14ac:dyDescent="0.3">
      <c r="J2059"/>
    </row>
    <row r="2060" spans="10:10" x14ac:dyDescent="0.3">
      <c r="J2060"/>
    </row>
    <row r="2061" spans="10:10" x14ac:dyDescent="0.3">
      <c r="J2061"/>
    </row>
    <row r="2062" spans="10:10" x14ac:dyDescent="0.3">
      <c r="J2062"/>
    </row>
    <row r="2063" spans="10:10" x14ac:dyDescent="0.3">
      <c r="J2063"/>
    </row>
    <row r="2064" spans="10:10" x14ac:dyDescent="0.3">
      <c r="J2064"/>
    </row>
    <row r="2065" spans="10:10" x14ac:dyDescent="0.3">
      <c r="J2065"/>
    </row>
    <row r="2066" spans="10:10" x14ac:dyDescent="0.3">
      <c r="J2066"/>
    </row>
    <row r="2067" spans="10:10" x14ac:dyDescent="0.3">
      <c r="J2067"/>
    </row>
    <row r="2068" spans="10:10" x14ac:dyDescent="0.3">
      <c r="J2068"/>
    </row>
    <row r="2069" spans="10:10" x14ac:dyDescent="0.3">
      <c r="J2069"/>
    </row>
    <row r="2070" spans="10:10" x14ac:dyDescent="0.3">
      <c r="J2070"/>
    </row>
    <row r="2071" spans="10:10" x14ac:dyDescent="0.3">
      <c r="J2071"/>
    </row>
    <row r="2072" spans="10:10" x14ac:dyDescent="0.3">
      <c r="J2072"/>
    </row>
    <row r="2073" spans="10:10" x14ac:dyDescent="0.3">
      <c r="J2073"/>
    </row>
    <row r="2074" spans="10:10" x14ac:dyDescent="0.3">
      <c r="J2074"/>
    </row>
    <row r="2075" spans="10:10" x14ac:dyDescent="0.3">
      <c r="J2075"/>
    </row>
    <row r="2076" spans="10:10" x14ac:dyDescent="0.3">
      <c r="J2076"/>
    </row>
    <row r="2077" spans="10:10" x14ac:dyDescent="0.3">
      <c r="J2077"/>
    </row>
    <row r="2078" spans="10:10" x14ac:dyDescent="0.3">
      <c r="J2078"/>
    </row>
    <row r="2079" spans="10:10" x14ac:dyDescent="0.3">
      <c r="J2079"/>
    </row>
    <row r="2080" spans="10:10" x14ac:dyDescent="0.3">
      <c r="J2080"/>
    </row>
    <row r="2081" spans="10:10" x14ac:dyDescent="0.3">
      <c r="J2081"/>
    </row>
    <row r="2082" spans="10:10" x14ac:dyDescent="0.3">
      <c r="J2082"/>
    </row>
    <row r="2083" spans="10:10" x14ac:dyDescent="0.3">
      <c r="J2083"/>
    </row>
    <row r="2084" spans="10:10" x14ac:dyDescent="0.3">
      <c r="J2084"/>
    </row>
    <row r="2085" spans="10:10" x14ac:dyDescent="0.3">
      <c r="J2085"/>
    </row>
    <row r="2086" spans="10:10" x14ac:dyDescent="0.3">
      <c r="J2086"/>
    </row>
    <row r="2087" spans="10:10" x14ac:dyDescent="0.3">
      <c r="J2087"/>
    </row>
    <row r="2088" spans="10:10" x14ac:dyDescent="0.3">
      <c r="J2088"/>
    </row>
    <row r="2089" spans="10:10" x14ac:dyDescent="0.3">
      <c r="J2089"/>
    </row>
    <row r="2090" spans="10:10" x14ac:dyDescent="0.3">
      <c r="J2090"/>
    </row>
    <row r="2091" spans="10:10" x14ac:dyDescent="0.3">
      <c r="J2091"/>
    </row>
    <row r="2092" spans="10:10" x14ac:dyDescent="0.3">
      <c r="J2092"/>
    </row>
    <row r="2093" spans="10:10" x14ac:dyDescent="0.3">
      <c r="J2093"/>
    </row>
    <row r="2094" spans="10:10" x14ac:dyDescent="0.3">
      <c r="J2094"/>
    </row>
    <row r="2095" spans="10:10" x14ac:dyDescent="0.3">
      <c r="J2095"/>
    </row>
    <row r="2096" spans="10:10" x14ac:dyDescent="0.3">
      <c r="J2096"/>
    </row>
    <row r="2097" spans="10:10" x14ac:dyDescent="0.3">
      <c r="J2097"/>
    </row>
    <row r="2098" spans="10:10" x14ac:dyDescent="0.3">
      <c r="J2098"/>
    </row>
    <row r="2099" spans="10:10" x14ac:dyDescent="0.3">
      <c r="J2099"/>
    </row>
    <row r="2100" spans="10:10" x14ac:dyDescent="0.3">
      <c r="J2100"/>
    </row>
    <row r="2101" spans="10:10" x14ac:dyDescent="0.3">
      <c r="J2101"/>
    </row>
    <row r="2102" spans="10:10" x14ac:dyDescent="0.3">
      <c r="J2102"/>
    </row>
    <row r="2103" spans="10:10" x14ac:dyDescent="0.3">
      <c r="J2103"/>
    </row>
    <row r="2104" spans="10:10" x14ac:dyDescent="0.3">
      <c r="J2104"/>
    </row>
    <row r="2105" spans="10:10" x14ac:dyDescent="0.3">
      <c r="J2105"/>
    </row>
    <row r="2106" spans="10:10" x14ac:dyDescent="0.3">
      <c r="J2106"/>
    </row>
    <row r="2107" spans="10:10" x14ac:dyDescent="0.3">
      <c r="J2107"/>
    </row>
    <row r="2108" spans="10:10" x14ac:dyDescent="0.3">
      <c r="J2108"/>
    </row>
    <row r="2109" spans="10:10" x14ac:dyDescent="0.3">
      <c r="J2109"/>
    </row>
    <row r="2110" spans="10:10" x14ac:dyDescent="0.3">
      <c r="J2110"/>
    </row>
    <row r="2111" spans="10:10" x14ac:dyDescent="0.3">
      <c r="J2111"/>
    </row>
    <row r="2112" spans="10:10" x14ac:dyDescent="0.3">
      <c r="J2112"/>
    </row>
    <row r="2113" spans="10:10" x14ac:dyDescent="0.3">
      <c r="J2113"/>
    </row>
    <row r="2114" spans="10:10" x14ac:dyDescent="0.3">
      <c r="J2114"/>
    </row>
    <row r="2115" spans="10:10" x14ac:dyDescent="0.3">
      <c r="J2115"/>
    </row>
    <row r="2116" spans="10:10" x14ac:dyDescent="0.3">
      <c r="J2116"/>
    </row>
    <row r="2117" spans="10:10" x14ac:dyDescent="0.3">
      <c r="J2117"/>
    </row>
    <row r="2118" spans="10:10" x14ac:dyDescent="0.3">
      <c r="J2118"/>
    </row>
    <row r="2119" spans="10:10" x14ac:dyDescent="0.3">
      <c r="J2119"/>
    </row>
    <row r="2120" spans="10:10" x14ac:dyDescent="0.3">
      <c r="J2120"/>
    </row>
    <row r="2121" spans="10:10" x14ac:dyDescent="0.3">
      <c r="J2121"/>
    </row>
    <row r="2122" spans="10:10" x14ac:dyDescent="0.3">
      <c r="J2122"/>
    </row>
    <row r="2123" spans="10:10" x14ac:dyDescent="0.3">
      <c r="J2123"/>
    </row>
    <row r="2124" spans="10:10" x14ac:dyDescent="0.3">
      <c r="J2124"/>
    </row>
    <row r="2125" spans="10:10" x14ac:dyDescent="0.3">
      <c r="J2125"/>
    </row>
    <row r="2126" spans="10:10" x14ac:dyDescent="0.3">
      <c r="J2126"/>
    </row>
    <row r="2127" spans="10:10" x14ac:dyDescent="0.3">
      <c r="J2127"/>
    </row>
    <row r="2128" spans="10:10" x14ac:dyDescent="0.3">
      <c r="J2128"/>
    </row>
    <row r="2129" spans="10:10" x14ac:dyDescent="0.3">
      <c r="J2129"/>
    </row>
    <row r="2130" spans="10:10" x14ac:dyDescent="0.3">
      <c r="J2130"/>
    </row>
    <row r="2131" spans="10:10" x14ac:dyDescent="0.3">
      <c r="J2131"/>
    </row>
    <row r="2132" spans="10:10" x14ac:dyDescent="0.3">
      <c r="J2132"/>
    </row>
    <row r="2133" spans="10:10" x14ac:dyDescent="0.3">
      <c r="J2133"/>
    </row>
    <row r="2134" spans="10:10" x14ac:dyDescent="0.3">
      <c r="J2134"/>
    </row>
    <row r="2135" spans="10:10" x14ac:dyDescent="0.3">
      <c r="J2135"/>
    </row>
    <row r="2136" spans="10:10" x14ac:dyDescent="0.3">
      <c r="J2136"/>
    </row>
    <row r="2137" spans="10:10" x14ac:dyDescent="0.3">
      <c r="J2137"/>
    </row>
    <row r="2138" spans="10:10" x14ac:dyDescent="0.3">
      <c r="J2138"/>
    </row>
    <row r="2139" spans="10:10" x14ac:dyDescent="0.3">
      <c r="J2139"/>
    </row>
    <row r="2140" spans="10:10" x14ac:dyDescent="0.3">
      <c r="J2140"/>
    </row>
    <row r="2141" spans="10:10" x14ac:dyDescent="0.3">
      <c r="J2141"/>
    </row>
    <row r="2142" spans="10:10" x14ac:dyDescent="0.3">
      <c r="J2142"/>
    </row>
    <row r="2143" spans="10:10" x14ac:dyDescent="0.3">
      <c r="J2143"/>
    </row>
    <row r="2144" spans="10:10" x14ac:dyDescent="0.3">
      <c r="J2144"/>
    </row>
    <row r="2145" spans="10:10" x14ac:dyDescent="0.3">
      <c r="J2145"/>
    </row>
    <row r="2146" spans="10:10" x14ac:dyDescent="0.3">
      <c r="J2146"/>
    </row>
    <row r="2147" spans="10:10" x14ac:dyDescent="0.3">
      <c r="J2147"/>
    </row>
    <row r="2148" spans="10:10" x14ac:dyDescent="0.3">
      <c r="J2148"/>
    </row>
    <row r="2149" spans="10:10" x14ac:dyDescent="0.3">
      <c r="J2149"/>
    </row>
    <row r="2150" spans="10:10" x14ac:dyDescent="0.3">
      <c r="J2150"/>
    </row>
    <row r="2151" spans="10:10" x14ac:dyDescent="0.3">
      <c r="J2151"/>
    </row>
    <row r="2152" spans="10:10" x14ac:dyDescent="0.3">
      <c r="J2152"/>
    </row>
    <row r="2153" spans="10:10" x14ac:dyDescent="0.3">
      <c r="J2153"/>
    </row>
    <row r="2154" spans="10:10" x14ac:dyDescent="0.3">
      <c r="J2154"/>
    </row>
    <row r="2155" spans="10:10" x14ac:dyDescent="0.3">
      <c r="J2155"/>
    </row>
    <row r="2156" spans="10:10" x14ac:dyDescent="0.3">
      <c r="J2156"/>
    </row>
    <row r="2157" spans="10:10" x14ac:dyDescent="0.3">
      <c r="J2157"/>
    </row>
    <row r="2158" spans="10:10" x14ac:dyDescent="0.3">
      <c r="J2158"/>
    </row>
    <row r="2159" spans="10:10" x14ac:dyDescent="0.3">
      <c r="J2159"/>
    </row>
    <row r="2160" spans="10:10" x14ac:dyDescent="0.3">
      <c r="J2160"/>
    </row>
    <row r="2161" spans="10:10" x14ac:dyDescent="0.3">
      <c r="J2161"/>
    </row>
    <row r="2162" spans="10:10" x14ac:dyDescent="0.3">
      <c r="J2162"/>
    </row>
    <row r="2163" spans="10:10" x14ac:dyDescent="0.3">
      <c r="J2163"/>
    </row>
    <row r="2164" spans="10:10" x14ac:dyDescent="0.3">
      <c r="J2164"/>
    </row>
    <row r="2165" spans="10:10" x14ac:dyDescent="0.3">
      <c r="J2165"/>
    </row>
    <row r="2166" spans="10:10" x14ac:dyDescent="0.3">
      <c r="J2166"/>
    </row>
    <row r="2167" spans="10:10" x14ac:dyDescent="0.3">
      <c r="J2167"/>
    </row>
    <row r="2168" spans="10:10" x14ac:dyDescent="0.3">
      <c r="J2168"/>
    </row>
    <row r="2169" spans="10:10" x14ac:dyDescent="0.3">
      <c r="J2169"/>
    </row>
    <row r="2170" spans="10:10" x14ac:dyDescent="0.3">
      <c r="J2170"/>
    </row>
    <row r="2171" spans="10:10" x14ac:dyDescent="0.3">
      <c r="J2171"/>
    </row>
    <row r="2172" spans="10:10" x14ac:dyDescent="0.3">
      <c r="J2172"/>
    </row>
    <row r="2173" spans="10:10" x14ac:dyDescent="0.3">
      <c r="J2173"/>
    </row>
    <row r="2174" spans="10:10" x14ac:dyDescent="0.3">
      <c r="J2174"/>
    </row>
    <row r="2175" spans="10:10" x14ac:dyDescent="0.3">
      <c r="J2175"/>
    </row>
    <row r="2176" spans="10:10" x14ac:dyDescent="0.3">
      <c r="J2176"/>
    </row>
    <row r="2177" spans="10:10" x14ac:dyDescent="0.3">
      <c r="J2177"/>
    </row>
    <row r="2178" spans="10:10" x14ac:dyDescent="0.3">
      <c r="J2178"/>
    </row>
    <row r="2179" spans="10:10" x14ac:dyDescent="0.3">
      <c r="J2179"/>
    </row>
    <row r="2180" spans="10:10" x14ac:dyDescent="0.3">
      <c r="J2180"/>
    </row>
    <row r="2181" spans="10:10" x14ac:dyDescent="0.3">
      <c r="J2181"/>
    </row>
    <row r="2182" spans="10:10" x14ac:dyDescent="0.3">
      <c r="J2182"/>
    </row>
    <row r="2183" spans="10:10" x14ac:dyDescent="0.3">
      <c r="J2183"/>
    </row>
    <row r="2184" spans="10:10" x14ac:dyDescent="0.3">
      <c r="J2184"/>
    </row>
    <row r="2185" spans="10:10" x14ac:dyDescent="0.3">
      <c r="J2185"/>
    </row>
    <row r="2186" spans="10:10" x14ac:dyDescent="0.3">
      <c r="J2186"/>
    </row>
    <row r="2187" spans="10:10" x14ac:dyDescent="0.3">
      <c r="J2187"/>
    </row>
    <row r="2188" spans="10:10" x14ac:dyDescent="0.3">
      <c r="J2188"/>
    </row>
    <row r="2189" spans="10:10" x14ac:dyDescent="0.3">
      <c r="J2189"/>
    </row>
    <row r="2190" spans="10:10" x14ac:dyDescent="0.3">
      <c r="J2190"/>
    </row>
    <row r="2191" spans="10:10" x14ac:dyDescent="0.3">
      <c r="J2191"/>
    </row>
    <row r="2192" spans="10:10" x14ac:dyDescent="0.3">
      <c r="J2192"/>
    </row>
    <row r="2193" spans="10:10" x14ac:dyDescent="0.3">
      <c r="J2193"/>
    </row>
    <row r="2194" spans="10:10" x14ac:dyDescent="0.3">
      <c r="J2194"/>
    </row>
    <row r="2195" spans="10:10" x14ac:dyDescent="0.3">
      <c r="J2195"/>
    </row>
    <row r="2196" spans="10:10" x14ac:dyDescent="0.3">
      <c r="J2196"/>
    </row>
    <row r="2197" spans="10:10" x14ac:dyDescent="0.3">
      <c r="J2197"/>
    </row>
    <row r="2198" spans="10:10" x14ac:dyDescent="0.3">
      <c r="J2198"/>
    </row>
    <row r="2199" spans="10:10" x14ac:dyDescent="0.3">
      <c r="J2199"/>
    </row>
    <row r="2200" spans="10:10" x14ac:dyDescent="0.3">
      <c r="J2200"/>
    </row>
    <row r="2201" spans="10:10" x14ac:dyDescent="0.3">
      <c r="J2201"/>
    </row>
    <row r="2202" spans="10:10" x14ac:dyDescent="0.3">
      <c r="J2202"/>
    </row>
    <row r="2203" spans="10:10" x14ac:dyDescent="0.3">
      <c r="J2203"/>
    </row>
    <row r="2204" spans="10:10" x14ac:dyDescent="0.3">
      <c r="J2204"/>
    </row>
    <row r="2205" spans="10:10" x14ac:dyDescent="0.3">
      <c r="J2205"/>
    </row>
    <row r="2206" spans="10:10" x14ac:dyDescent="0.3">
      <c r="J2206"/>
    </row>
    <row r="2207" spans="10:10" x14ac:dyDescent="0.3">
      <c r="J2207"/>
    </row>
    <row r="2208" spans="10:10" x14ac:dyDescent="0.3">
      <c r="J2208"/>
    </row>
    <row r="2209" spans="10:10" x14ac:dyDescent="0.3">
      <c r="J2209"/>
    </row>
    <row r="2210" spans="10:10" x14ac:dyDescent="0.3">
      <c r="J2210"/>
    </row>
    <row r="2211" spans="10:10" x14ac:dyDescent="0.3">
      <c r="J2211"/>
    </row>
    <row r="2212" spans="10:10" x14ac:dyDescent="0.3">
      <c r="J2212"/>
    </row>
    <row r="2213" spans="10:10" x14ac:dyDescent="0.3">
      <c r="J2213"/>
    </row>
    <row r="2214" spans="10:10" x14ac:dyDescent="0.3">
      <c r="J2214"/>
    </row>
    <row r="2215" spans="10:10" x14ac:dyDescent="0.3">
      <c r="J2215"/>
    </row>
    <row r="2216" spans="10:10" x14ac:dyDescent="0.3">
      <c r="J2216"/>
    </row>
    <row r="2217" spans="10:10" x14ac:dyDescent="0.3">
      <c r="J2217"/>
    </row>
    <row r="2218" spans="10:10" x14ac:dyDescent="0.3">
      <c r="J2218"/>
    </row>
    <row r="2219" spans="10:10" x14ac:dyDescent="0.3">
      <c r="J2219"/>
    </row>
    <row r="2220" spans="10:10" x14ac:dyDescent="0.3">
      <c r="J2220"/>
    </row>
    <row r="2221" spans="10:10" x14ac:dyDescent="0.3">
      <c r="J2221"/>
    </row>
    <row r="2222" spans="10:10" x14ac:dyDescent="0.3">
      <c r="J2222"/>
    </row>
    <row r="2223" spans="10:10" x14ac:dyDescent="0.3">
      <c r="J2223"/>
    </row>
    <row r="2224" spans="10:10" x14ac:dyDescent="0.3">
      <c r="J2224"/>
    </row>
    <row r="2225" spans="10:10" x14ac:dyDescent="0.3">
      <c r="J2225"/>
    </row>
    <row r="2226" spans="10:10" x14ac:dyDescent="0.3">
      <c r="J2226"/>
    </row>
    <row r="2227" spans="10:10" x14ac:dyDescent="0.3">
      <c r="J2227"/>
    </row>
    <row r="2228" spans="10:10" x14ac:dyDescent="0.3">
      <c r="J2228"/>
    </row>
    <row r="2229" spans="10:10" x14ac:dyDescent="0.3">
      <c r="J2229"/>
    </row>
    <row r="2230" spans="10:10" x14ac:dyDescent="0.3">
      <c r="J2230"/>
    </row>
    <row r="2231" spans="10:10" x14ac:dyDescent="0.3">
      <c r="J2231"/>
    </row>
    <row r="2232" spans="10:10" x14ac:dyDescent="0.3">
      <c r="J2232"/>
    </row>
    <row r="2233" spans="10:10" x14ac:dyDescent="0.3">
      <c r="J2233"/>
    </row>
    <row r="2234" spans="10:10" x14ac:dyDescent="0.3">
      <c r="J2234"/>
    </row>
    <row r="2235" spans="10:10" x14ac:dyDescent="0.3">
      <c r="J2235"/>
    </row>
    <row r="2236" spans="10:10" x14ac:dyDescent="0.3">
      <c r="J2236"/>
    </row>
    <row r="2237" spans="10:10" x14ac:dyDescent="0.3">
      <c r="J2237"/>
    </row>
    <row r="2238" spans="10:10" x14ac:dyDescent="0.3">
      <c r="J2238"/>
    </row>
    <row r="2239" spans="10:10" x14ac:dyDescent="0.3">
      <c r="J2239"/>
    </row>
    <row r="2240" spans="10:10" x14ac:dyDescent="0.3">
      <c r="J2240"/>
    </row>
    <row r="2241" spans="10:10" x14ac:dyDescent="0.3">
      <c r="J2241"/>
    </row>
    <row r="2242" spans="10:10" x14ac:dyDescent="0.3">
      <c r="J2242"/>
    </row>
    <row r="2243" spans="10:10" x14ac:dyDescent="0.3">
      <c r="J2243"/>
    </row>
    <row r="2244" spans="10:10" x14ac:dyDescent="0.3">
      <c r="J2244"/>
    </row>
    <row r="2245" spans="10:10" x14ac:dyDescent="0.3">
      <c r="J2245"/>
    </row>
    <row r="2246" spans="10:10" x14ac:dyDescent="0.3">
      <c r="J2246"/>
    </row>
    <row r="2247" spans="10:10" x14ac:dyDescent="0.3">
      <c r="J2247"/>
    </row>
    <row r="2248" spans="10:10" x14ac:dyDescent="0.3">
      <c r="J2248"/>
    </row>
    <row r="2249" spans="10:10" x14ac:dyDescent="0.3">
      <c r="J2249"/>
    </row>
    <row r="2250" spans="10:10" x14ac:dyDescent="0.3">
      <c r="J2250"/>
    </row>
    <row r="2251" spans="10:10" x14ac:dyDescent="0.3">
      <c r="J2251"/>
    </row>
    <row r="2252" spans="10:10" x14ac:dyDescent="0.3">
      <c r="J2252"/>
    </row>
    <row r="2253" spans="10:10" x14ac:dyDescent="0.3">
      <c r="J2253"/>
    </row>
    <row r="2254" spans="10:10" x14ac:dyDescent="0.3">
      <c r="J2254"/>
    </row>
    <row r="2255" spans="10:10" x14ac:dyDescent="0.3">
      <c r="J2255"/>
    </row>
    <row r="2256" spans="10:10" x14ac:dyDescent="0.3">
      <c r="J2256"/>
    </row>
    <row r="2257" spans="10:10" x14ac:dyDescent="0.3">
      <c r="J2257"/>
    </row>
    <row r="2258" spans="10:10" x14ac:dyDescent="0.3">
      <c r="J2258"/>
    </row>
    <row r="2259" spans="10:10" x14ac:dyDescent="0.3">
      <c r="J2259"/>
    </row>
    <row r="2260" spans="10:10" x14ac:dyDescent="0.3">
      <c r="J2260"/>
    </row>
    <row r="2261" spans="10:10" x14ac:dyDescent="0.3">
      <c r="J2261"/>
    </row>
    <row r="2262" spans="10:10" x14ac:dyDescent="0.3">
      <c r="J2262"/>
    </row>
    <row r="2263" spans="10:10" x14ac:dyDescent="0.3">
      <c r="J2263"/>
    </row>
    <row r="2264" spans="10:10" x14ac:dyDescent="0.3">
      <c r="J2264"/>
    </row>
    <row r="2265" spans="10:10" x14ac:dyDescent="0.3">
      <c r="J2265"/>
    </row>
    <row r="2266" spans="10:10" x14ac:dyDescent="0.3">
      <c r="J2266"/>
    </row>
    <row r="2267" spans="10:10" x14ac:dyDescent="0.3">
      <c r="J2267"/>
    </row>
    <row r="2268" spans="10:10" x14ac:dyDescent="0.3">
      <c r="J2268"/>
    </row>
    <row r="2269" spans="10:10" x14ac:dyDescent="0.3">
      <c r="J2269"/>
    </row>
    <row r="2270" spans="10:10" x14ac:dyDescent="0.3">
      <c r="J2270"/>
    </row>
    <row r="2271" spans="10:10" x14ac:dyDescent="0.3">
      <c r="J2271"/>
    </row>
    <row r="2272" spans="10:10" x14ac:dyDescent="0.3">
      <c r="J2272"/>
    </row>
    <row r="2273" spans="10:10" x14ac:dyDescent="0.3">
      <c r="J2273"/>
    </row>
    <row r="2274" spans="10:10" x14ac:dyDescent="0.3">
      <c r="J2274"/>
    </row>
    <row r="2275" spans="10:10" x14ac:dyDescent="0.3">
      <c r="J2275"/>
    </row>
    <row r="2276" spans="10:10" x14ac:dyDescent="0.3">
      <c r="J2276"/>
    </row>
    <row r="2277" spans="10:10" x14ac:dyDescent="0.3">
      <c r="J2277"/>
    </row>
    <row r="2278" spans="10:10" x14ac:dyDescent="0.3">
      <c r="J2278"/>
    </row>
    <row r="2279" spans="10:10" x14ac:dyDescent="0.3">
      <c r="J2279"/>
    </row>
    <row r="2280" spans="10:10" x14ac:dyDescent="0.3">
      <c r="J2280"/>
    </row>
    <row r="2281" spans="10:10" x14ac:dyDescent="0.3">
      <c r="J2281"/>
    </row>
    <row r="2282" spans="10:10" x14ac:dyDescent="0.3">
      <c r="J2282"/>
    </row>
    <row r="2283" spans="10:10" x14ac:dyDescent="0.3">
      <c r="J2283"/>
    </row>
    <row r="2284" spans="10:10" x14ac:dyDescent="0.3">
      <c r="J2284"/>
    </row>
    <row r="2285" spans="10:10" x14ac:dyDescent="0.3">
      <c r="J2285"/>
    </row>
    <row r="2286" spans="10:10" x14ac:dyDescent="0.3">
      <c r="J2286"/>
    </row>
    <row r="2287" spans="10:10" x14ac:dyDescent="0.3">
      <c r="J2287"/>
    </row>
    <row r="2288" spans="10:10" x14ac:dyDescent="0.3">
      <c r="J2288"/>
    </row>
    <row r="2289" spans="10:10" x14ac:dyDescent="0.3">
      <c r="J2289"/>
    </row>
    <row r="2290" spans="10:10" x14ac:dyDescent="0.3">
      <c r="J2290"/>
    </row>
    <row r="2291" spans="10:10" x14ac:dyDescent="0.3">
      <c r="J2291"/>
    </row>
    <row r="2292" spans="10:10" x14ac:dyDescent="0.3">
      <c r="J2292"/>
    </row>
    <row r="2293" spans="10:10" x14ac:dyDescent="0.3">
      <c r="J2293"/>
    </row>
    <row r="2294" spans="10:10" x14ac:dyDescent="0.3">
      <c r="J2294"/>
    </row>
    <row r="2295" spans="10:10" x14ac:dyDescent="0.3">
      <c r="J2295"/>
    </row>
    <row r="2296" spans="10:10" x14ac:dyDescent="0.3">
      <c r="J2296"/>
    </row>
    <row r="2297" spans="10:10" x14ac:dyDescent="0.3">
      <c r="J2297"/>
    </row>
    <row r="2298" spans="10:10" x14ac:dyDescent="0.3">
      <c r="J2298"/>
    </row>
    <row r="2299" spans="10:10" x14ac:dyDescent="0.3">
      <c r="J2299"/>
    </row>
    <row r="2300" spans="10:10" x14ac:dyDescent="0.3">
      <c r="J2300"/>
    </row>
    <row r="2301" spans="10:10" x14ac:dyDescent="0.3">
      <c r="J2301"/>
    </row>
    <row r="2302" spans="10:10" x14ac:dyDescent="0.3">
      <c r="J2302"/>
    </row>
    <row r="2303" spans="10:10" x14ac:dyDescent="0.3">
      <c r="J2303"/>
    </row>
    <row r="2304" spans="10:10" x14ac:dyDescent="0.3">
      <c r="J2304"/>
    </row>
    <row r="2305" spans="10:10" x14ac:dyDescent="0.3">
      <c r="J2305"/>
    </row>
    <row r="2306" spans="10:10" x14ac:dyDescent="0.3">
      <c r="J2306"/>
    </row>
    <row r="2307" spans="10:10" x14ac:dyDescent="0.3">
      <c r="J2307"/>
    </row>
    <row r="2308" spans="10:10" x14ac:dyDescent="0.3">
      <c r="J2308"/>
    </row>
    <row r="2309" spans="10:10" x14ac:dyDescent="0.3">
      <c r="J2309"/>
    </row>
    <row r="2310" spans="10:10" x14ac:dyDescent="0.3">
      <c r="J2310"/>
    </row>
    <row r="2311" spans="10:10" x14ac:dyDescent="0.3">
      <c r="J2311"/>
    </row>
    <row r="2312" spans="10:10" x14ac:dyDescent="0.3">
      <c r="J2312"/>
    </row>
    <row r="2313" spans="10:10" x14ac:dyDescent="0.3">
      <c r="J2313"/>
    </row>
    <row r="2314" spans="10:10" x14ac:dyDescent="0.3">
      <c r="J2314"/>
    </row>
    <row r="2315" spans="10:10" x14ac:dyDescent="0.3">
      <c r="J2315"/>
    </row>
    <row r="2316" spans="10:10" x14ac:dyDescent="0.3">
      <c r="J2316"/>
    </row>
    <row r="2317" spans="10:10" x14ac:dyDescent="0.3">
      <c r="J2317"/>
    </row>
    <row r="2318" spans="10:10" x14ac:dyDescent="0.3">
      <c r="J2318"/>
    </row>
    <row r="2319" spans="10:10" x14ac:dyDescent="0.3">
      <c r="J2319"/>
    </row>
    <row r="2320" spans="10:10" x14ac:dyDescent="0.3">
      <c r="J2320"/>
    </row>
    <row r="2321" spans="10:10" x14ac:dyDescent="0.3">
      <c r="J2321"/>
    </row>
    <row r="2322" spans="10:10" x14ac:dyDescent="0.3">
      <c r="J2322"/>
    </row>
    <row r="2323" spans="10:10" x14ac:dyDescent="0.3">
      <c r="J2323"/>
    </row>
    <row r="2324" spans="10:10" x14ac:dyDescent="0.3">
      <c r="J2324"/>
    </row>
    <row r="2325" spans="10:10" x14ac:dyDescent="0.3">
      <c r="J2325"/>
    </row>
    <row r="2326" spans="10:10" x14ac:dyDescent="0.3">
      <c r="J2326"/>
    </row>
    <row r="2327" spans="10:10" x14ac:dyDescent="0.3">
      <c r="J2327"/>
    </row>
    <row r="2328" spans="10:10" x14ac:dyDescent="0.3">
      <c r="J2328"/>
    </row>
    <row r="2329" spans="10:10" x14ac:dyDescent="0.3">
      <c r="J2329"/>
    </row>
    <row r="2330" spans="10:10" x14ac:dyDescent="0.3">
      <c r="J2330"/>
    </row>
    <row r="2331" spans="10:10" x14ac:dyDescent="0.3">
      <c r="J2331"/>
    </row>
    <row r="2332" spans="10:10" x14ac:dyDescent="0.3">
      <c r="J2332"/>
    </row>
    <row r="2333" spans="10:10" x14ac:dyDescent="0.3">
      <c r="J2333"/>
    </row>
    <row r="2334" spans="10:10" x14ac:dyDescent="0.3">
      <c r="J2334"/>
    </row>
    <row r="2335" spans="10:10" x14ac:dyDescent="0.3">
      <c r="J2335"/>
    </row>
    <row r="2336" spans="10:10" x14ac:dyDescent="0.3">
      <c r="J2336"/>
    </row>
    <row r="2337" spans="10:10" x14ac:dyDescent="0.3">
      <c r="J2337"/>
    </row>
    <row r="2338" spans="10:10" x14ac:dyDescent="0.3">
      <c r="J2338"/>
    </row>
    <row r="2339" spans="10:10" x14ac:dyDescent="0.3">
      <c r="J2339"/>
    </row>
    <row r="2340" spans="10:10" x14ac:dyDescent="0.3">
      <c r="J2340"/>
    </row>
    <row r="2341" spans="10:10" x14ac:dyDescent="0.3">
      <c r="J2341"/>
    </row>
    <row r="2342" spans="10:10" x14ac:dyDescent="0.3">
      <c r="J2342"/>
    </row>
    <row r="2343" spans="10:10" x14ac:dyDescent="0.3">
      <c r="J2343"/>
    </row>
    <row r="2344" spans="10:10" x14ac:dyDescent="0.3">
      <c r="J2344"/>
    </row>
    <row r="2345" spans="10:10" x14ac:dyDescent="0.3">
      <c r="J2345"/>
    </row>
    <row r="2346" spans="10:10" x14ac:dyDescent="0.3">
      <c r="J2346"/>
    </row>
    <row r="2347" spans="10:10" x14ac:dyDescent="0.3">
      <c r="J2347"/>
    </row>
    <row r="2348" spans="10:10" x14ac:dyDescent="0.3">
      <c r="J2348"/>
    </row>
    <row r="2349" spans="10:10" x14ac:dyDescent="0.3">
      <c r="J2349"/>
    </row>
    <row r="2350" spans="10:10" x14ac:dyDescent="0.3">
      <c r="J2350"/>
    </row>
    <row r="2351" spans="10:10" x14ac:dyDescent="0.3">
      <c r="J2351"/>
    </row>
    <row r="2352" spans="10:10" x14ac:dyDescent="0.3">
      <c r="J2352"/>
    </row>
    <row r="2353" spans="10:10" x14ac:dyDescent="0.3">
      <c r="J2353"/>
    </row>
    <row r="2354" spans="10:10" x14ac:dyDescent="0.3">
      <c r="J2354"/>
    </row>
    <row r="2355" spans="10:10" x14ac:dyDescent="0.3">
      <c r="J2355"/>
    </row>
    <row r="2356" spans="10:10" x14ac:dyDescent="0.3">
      <c r="J2356"/>
    </row>
    <row r="2357" spans="10:10" x14ac:dyDescent="0.3">
      <c r="J2357"/>
    </row>
    <row r="2358" spans="10:10" x14ac:dyDescent="0.3">
      <c r="J2358"/>
    </row>
    <row r="2359" spans="10:10" x14ac:dyDescent="0.3">
      <c r="J2359"/>
    </row>
    <row r="2360" spans="10:10" x14ac:dyDescent="0.3">
      <c r="J2360"/>
    </row>
    <row r="2361" spans="10:10" x14ac:dyDescent="0.3">
      <c r="J2361"/>
    </row>
    <row r="2362" spans="10:10" x14ac:dyDescent="0.3">
      <c r="J2362"/>
    </row>
    <row r="2363" spans="10:10" x14ac:dyDescent="0.3">
      <c r="J2363"/>
    </row>
    <row r="2364" spans="10:10" x14ac:dyDescent="0.3">
      <c r="J2364"/>
    </row>
    <row r="2365" spans="10:10" x14ac:dyDescent="0.3">
      <c r="J2365"/>
    </row>
    <row r="2366" spans="10:10" x14ac:dyDescent="0.3">
      <c r="J2366"/>
    </row>
    <row r="2367" spans="10:10" x14ac:dyDescent="0.3">
      <c r="J2367"/>
    </row>
    <row r="2368" spans="10:10" x14ac:dyDescent="0.3">
      <c r="J2368"/>
    </row>
    <row r="2369" spans="10:10" x14ac:dyDescent="0.3">
      <c r="J2369"/>
    </row>
    <row r="2370" spans="10:10" x14ac:dyDescent="0.3">
      <c r="J2370"/>
    </row>
    <row r="2371" spans="10:10" x14ac:dyDescent="0.3">
      <c r="J2371"/>
    </row>
    <row r="2372" spans="10:10" x14ac:dyDescent="0.3">
      <c r="J2372"/>
    </row>
    <row r="2373" spans="10:10" x14ac:dyDescent="0.3">
      <c r="J2373"/>
    </row>
    <row r="2374" spans="10:10" x14ac:dyDescent="0.3">
      <c r="J2374"/>
    </row>
    <row r="2375" spans="10:10" x14ac:dyDescent="0.3">
      <c r="J2375"/>
    </row>
    <row r="2376" spans="10:10" x14ac:dyDescent="0.3">
      <c r="J2376"/>
    </row>
    <row r="2377" spans="10:10" x14ac:dyDescent="0.3">
      <c r="J2377"/>
    </row>
    <row r="2378" spans="10:10" x14ac:dyDescent="0.3">
      <c r="J2378"/>
    </row>
    <row r="2379" spans="10:10" x14ac:dyDescent="0.3">
      <c r="J2379"/>
    </row>
    <row r="2380" spans="10:10" x14ac:dyDescent="0.3">
      <c r="J2380"/>
    </row>
    <row r="2381" spans="10:10" x14ac:dyDescent="0.3">
      <c r="J2381"/>
    </row>
    <row r="2382" spans="10:10" x14ac:dyDescent="0.3">
      <c r="J2382"/>
    </row>
    <row r="2383" spans="10:10" x14ac:dyDescent="0.3">
      <c r="J2383"/>
    </row>
    <row r="2384" spans="10:10" x14ac:dyDescent="0.3">
      <c r="J2384"/>
    </row>
    <row r="2385" spans="10:10" x14ac:dyDescent="0.3">
      <c r="J2385"/>
    </row>
    <row r="2386" spans="10:10" x14ac:dyDescent="0.3">
      <c r="J2386"/>
    </row>
    <row r="2387" spans="10:10" x14ac:dyDescent="0.3">
      <c r="J2387"/>
    </row>
    <row r="2388" spans="10:10" x14ac:dyDescent="0.3">
      <c r="J2388"/>
    </row>
    <row r="2389" spans="10:10" x14ac:dyDescent="0.3">
      <c r="J2389"/>
    </row>
    <row r="2390" spans="10:10" x14ac:dyDescent="0.3">
      <c r="J2390"/>
    </row>
    <row r="2391" spans="10:10" x14ac:dyDescent="0.3">
      <c r="J2391"/>
    </row>
    <row r="2392" spans="10:10" x14ac:dyDescent="0.3">
      <c r="J2392"/>
    </row>
    <row r="2393" spans="10:10" x14ac:dyDescent="0.3">
      <c r="J2393"/>
    </row>
    <row r="2394" spans="10:10" x14ac:dyDescent="0.3">
      <c r="J2394"/>
    </row>
    <row r="2395" spans="10:10" x14ac:dyDescent="0.3">
      <c r="J2395"/>
    </row>
    <row r="2396" spans="10:10" x14ac:dyDescent="0.3">
      <c r="J2396"/>
    </row>
    <row r="2397" spans="10:10" x14ac:dyDescent="0.3">
      <c r="J2397"/>
    </row>
    <row r="2398" spans="10:10" x14ac:dyDescent="0.3">
      <c r="J2398"/>
    </row>
    <row r="2399" spans="10:10" x14ac:dyDescent="0.3">
      <c r="J2399"/>
    </row>
    <row r="2400" spans="10:10" x14ac:dyDescent="0.3">
      <c r="J2400"/>
    </row>
    <row r="2401" spans="10:10" x14ac:dyDescent="0.3">
      <c r="J2401"/>
    </row>
    <row r="2402" spans="10:10" x14ac:dyDescent="0.3">
      <c r="J2402"/>
    </row>
    <row r="2403" spans="10:10" x14ac:dyDescent="0.3">
      <c r="J2403"/>
    </row>
    <row r="2404" spans="10:10" x14ac:dyDescent="0.3">
      <c r="J2404"/>
    </row>
    <row r="2405" spans="10:10" x14ac:dyDescent="0.3">
      <c r="J2405"/>
    </row>
    <row r="2406" spans="10:10" x14ac:dyDescent="0.3">
      <c r="J2406"/>
    </row>
    <row r="2407" spans="10:10" x14ac:dyDescent="0.3">
      <c r="J2407"/>
    </row>
    <row r="2408" spans="10:10" x14ac:dyDescent="0.3">
      <c r="J2408"/>
    </row>
    <row r="2409" spans="10:10" x14ac:dyDescent="0.3">
      <c r="J2409"/>
    </row>
    <row r="2410" spans="10:10" x14ac:dyDescent="0.3">
      <c r="J2410"/>
    </row>
    <row r="2411" spans="10:10" x14ac:dyDescent="0.3">
      <c r="J2411"/>
    </row>
    <row r="2412" spans="10:10" x14ac:dyDescent="0.3">
      <c r="J2412"/>
    </row>
    <row r="2413" spans="10:10" x14ac:dyDescent="0.3">
      <c r="J2413"/>
    </row>
    <row r="2414" spans="10:10" x14ac:dyDescent="0.3">
      <c r="J2414"/>
    </row>
    <row r="2415" spans="10:10" x14ac:dyDescent="0.3">
      <c r="J2415"/>
    </row>
    <row r="2416" spans="10:10" x14ac:dyDescent="0.3">
      <c r="J2416"/>
    </row>
    <row r="2417" spans="10:10" x14ac:dyDescent="0.3">
      <c r="J2417"/>
    </row>
    <row r="2418" spans="10:10" x14ac:dyDescent="0.3">
      <c r="J2418"/>
    </row>
    <row r="2419" spans="10:10" x14ac:dyDescent="0.3">
      <c r="J2419"/>
    </row>
    <row r="2420" spans="10:10" x14ac:dyDescent="0.3">
      <c r="J2420"/>
    </row>
    <row r="2421" spans="10:10" x14ac:dyDescent="0.3">
      <c r="J2421"/>
    </row>
    <row r="2422" spans="10:10" x14ac:dyDescent="0.3">
      <c r="J2422"/>
    </row>
    <row r="2423" spans="10:10" x14ac:dyDescent="0.3">
      <c r="J2423"/>
    </row>
    <row r="2424" spans="10:10" x14ac:dyDescent="0.3">
      <c r="J2424"/>
    </row>
    <row r="2425" spans="10:10" x14ac:dyDescent="0.3">
      <c r="J2425"/>
    </row>
    <row r="2426" spans="10:10" x14ac:dyDescent="0.3">
      <c r="J2426"/>
    </row>
    <row r="2427" spans="10:10" x14ac:dyDescent="0.3">
      <c r="J2427"/>
    </row>
    <row r="2428" spans="10:10" x14ac:dyDescent="0.3">
      <c r="J2428"/>
    </row>
    <row r="2429" spans="10:10" x14ac:dyDescent="0.3">
      <c r="J2429"/>
    </row>
    <row r="2430" spans="10:10" x14ac:dyDescent="0.3">
      <c r="J2430"/>
    </row>
    <row r="2431" spans="10:10" x14ac:dyDescent="0.3">
      <c r="J2431"/>
    </row>
    <row r="2432" spans="10:10" x14ac:dyDescent="0.3">
      <c r="J2432"/>
    </row>
    <row r="2433" spans="10:10" x14ac:dyDescent="0.3">
      <c r="J2433"/>
    </row>
    <row r="2434" spans="10:10" x14ac:dyDescent="0.3">
      <c r="J2434"/>
    </row>
    <row r="2435" spans="10:10" x14ac:dyDescent="0.3">
      <c r="J2435"/>
    </row>
    <row r="2436" spans="10:10" x14ac:dyDescent="0.3">
      <c r="J2436"/>
    </row>
    <row r="2437" spans="10:10" x14ac:dyDescent="0.3">
      <c r="J2437"/>
    </row>
    <row r="2438" spans="10:10" x14ac:dyDescent="0.3">
      <c r="J2438"/>
    </row>
    <row r="2439" spans="10:10" x14ac:dyDescent="0.3">
      <c r="J2439"/>
    </row>
    <row r="2440" spans="10:10" x14ac:dyDescent="0.3">
      <c r="J2440"/>
    </row>
    <row r="2441" spans="10:10" x14ac:dyDescent="0.3">
      <c r="J2441"/>
    </row>
    <row r="2442" spans="10:10" x14ac:dyDescent="0.3">
      <c r="J2442"/>
    </row>
    <row r="2443" spans="10:10" x14ac:dyDescent="0.3">
      <c r="J2443"/>
    </row>
    <row r="2444" spans="10:10" x14ac:dyDescent="0.3">
      <c r="J2444"/>
    </row>
    <row r="2445" spans="10:10" x14ac:dyDescent="0.3">
      <c r="J2445"/>
    </row>
    <row r="2446" spans="10:10" x14ac:dyDescent="0.3">
      <c r="J2446"/>
    </row>
    <row r="2447" spans="10:10" x14ac:dyDescent="0.3">
      <c r="J2447"/>
    </row>
    <row r="2448" spans="10:10" x14ac:dyDescent="0.3">
      <c r="J2448"/>
    </row>
    <row r="2449" spans="10:10" x14ac:dyDescent="0.3">
      <c r="J2449"/>
    </row>
    <row r="2450" spans="10:10" x14ac:dyDescent="0.3">
      <c r="J2450"/>
    </row>
    <row r="2451" spans="10:10" x14ac:dyDescent="0.3">
      <c r="J2451"/>
    </row>
    <row r="2452" spans="10:10" x14ac:dyDescent="0.3">
      <c r="J2452"/>
    </row>
    <row r="2453" spans="10:10" x14ac:dyDescent="0.3">
      <c r="J2453"/>
    </row>
    <row r="2454" spans="10:10" x14ac:dyDescent="0.3">
      <c r="J2454"/>
    </row>
    <row r="2455" spans="10:10" x14ac:dyDescent="0.3">
      <c r="J2455"/>
    </row>
    <row r="2456" spans="10:10" x14ac:dyDescent="0.3">
      <c r="J2456"/>
    </row>
    <row r="2457" spans="10:10" x14ac:dyDescent="0.3">
      <c r="J2457"/>
    </row>
    <row r="2458" spans="10:10" x14ac:dyDescent="0.3">
      <c r="J2458"/>
    </row>
    <row r="2459" spans="10:10" x14ac:dyDescent="0.3">
      <c r="J2459"/>
    </row>
    <row r="2460" spans="10:10" x14ac:dyDescent="0.3">
      <c r="J2460"/>
    </row>
    <row r="2461" spans="10:10" x14ac:dyDescent="0.3">
      <c r="J2461"/>
    </row>
    <row r="2462" spans="10:10" x14ac:dyDescent="0.3">
      <c r="J2462"/>
    </row>
    <row r="2463" spans="10:10" x14ac:dyDescent="0.3">
      <c r="J2463"/>
    </row>
    <row r="2464" spans="10:10" x14ac:dyDescent="0.3">
      <c r="J2464"/>
    </row>
    <row r="2465" spans="10:10" x14ac:dyDescent="0.3">
      <c r="J2465"/>
    </row>
    <row r="2466" spans="10:10" x14ac:dyDescent="0.3">
      <c r="J2466"/>
    </row>
    <row r="2467" spans="10:10" x14ac:dyDescent="0.3">
      <c r="J2467"/>
    </row>
    <row r="2468" spans="10:10" x14ac:dyDescent="0.3">
      <c r="J2468"/>
    </row>
    <row r="2469" spans="10:10" x14ac:dyDescent="0.3">
      <c r="J2469"/>
    </row>
    <row r="2470" spans="10:10" x14ac:dyDescent="0.3">
      <c r="J2470"/>
    </row>
    <row r="2471" spans="10:10" x14ac:dyDescent="0.3">
      <c r="J2471"/>
    </row>
    <row r="2472" spans="10:10" x14ac:dyDescent="0.3">
      <c r="J2472"/>
    </row>
    <row r="2473" spans="10:10" x14ac:dyDescent="0.3">
      <c r="J2473"/>
    </row>
    <row r="2474" spans="10:10" x14ac:dyDescent="0.3">
      <c r="J2474"/>
    </row>
    <row r="2475" spans="10:10" x14ac:dyDescent="0.3">
      <c r="J2475"/>
    </row>
    <row r="2476" spans="10:10" x14ac:dyDescent="0.3">
      <c r="J2476"/>
    </row>
    <row r="2477" spans="10:10" x14ac:dyDescent="0.3">
      <c r="J2477"/>
    </row>
    <row r="2478" spans="10:10" x14ac:dyDescent="0.3">
      <c r="J2478"/>
    </row>
    <row r="2479" spans="10:10" x14ac:dyDescent="0.3">
      <c r="J2479"/>
    </row>
    <row r="2480" spans="10:10" x14ac:dyDescent="0.3">
      <c r="J2480"/>
    </row>
    <row r="2481" spans="10:10" x14ac:dyDescent="0.3">
      <c r="J2481"/>
    </row>
    <row r="2482" spans="10:10" x14ac:dyDescent="0.3">
      <c r="J2482"/>
    </row>
    <row r="2483" spans="10:10" x14ac:dyDescent="0.3">
      <c r="J2483"/>
    </row>
    <row r="2484" spans="10:10" x14ac:dyDescent="0.3">
      <c r="J2484"/>
    </row>
    <row r="2485" spans="10:10" x14ac:dyDescent="0.3">
      <c r="J2485"/>
    </row>
    <row r="2486" spans="10:10" x14ac:dyDescent="0.3">
      <c r="J2486"/>
    </row>
    <row r="2487" spans="10:10" x14ac:dyDescent="0.3">
      <c r="J2487"/>
    </row>
    <row r="2488" spans="10:10" x14ac:dyDescent="0.3">
      <c r="J2488"/>
    </row>
    <row r="2489" spans="10:10" x14ac:dyDescent="0.3">
      <c r="J2489"/>
    </row>
    <row r="2490" spans="10:10" x14ac:dyDescent="0.3">
      <c r="J2490"/>
    </row>
    <row r="2491" spans="10:10" x14ac:dyDescent="0.3">
      <c r="J2491"/>
    </row>
    <row r="2492" spans="10:10" x14ac:dyDescent="0.3">
      <c r="J2492"/>
    </row>
    <row r="2493" spans="10:10" x14ac:dyDescent="0.3">
      <c r="J2493"/>
    </row>
    <row r="2494" spans="10:10" x14ac:dyDescent="0.3">
      <c r="J2494"/>
    </row>
    <row r="2495" spans="10:10" x14ac:dyDescent="0.3">
      <c r="J2495"/>
    </row>
    <row r="2496" spans="10:10" x14ac:dyDescent="0.3">
      <c r="J2496"/>
    </row>
    <row r="2497" spans="10:10" x14ac:dyDescent="0.3">
      <c r="J2497"/>
    </row>
    <row r="2498" spans="10:10" x14ac:dyDescent="0.3">
      <c r="J2498"/>
    </row>
    <row r="2499" spans="10:10" x14ac:dyDescent="0.3">
      <c r="J2499"/>
    </row>
    <row r="2500" spans="10:10" x14ac:dyDescent="0.3">
      <c r="J2500"/>
    </row>
    <row r="2501" spans="10:10" x14ac:dyDescent="0.3">
      <c r="J2501"/>
    </row>
    <row r="2502" spans="10:10" x14ac:dyDescent="0.3">
      <c r="J2502"/>
    </row>
    <row r="2503" spans="10:10" x14ac:dyDescent="0.3">
      <c r="J2503"/>
    </row>
    <row r="2504" spans="10:10" x14ac:dyDescent="0.3">
      <c r="J2504"/>
    </row>
    <row r="2505" spans="10:10" x14ac:dyDescent="0.3">
      <c r="J2505"/>
    </row>
    <row r="2506" spans="10:10" x14ac:dyDescent="0.3">
      <c r="J2506"/>
    </row>
    <row r="2507" spans="10:10" x14ac:dyDescent="0.3">
      <c r="J2507"/>
    </row>
    <row r="2508" spans="10:10" x14ac:dyDescent="0.3">
      <c r="J2508"/>
    </row>
    <row r="2509" spans="10:10" x14ac:dyDescent="0.3">
      <c r="J2509"/>
    </row>
    <row r="2510" spans="10:10" x14ac:dyDescent="0.3">
      <c r="J2510"/>
    </row>
    <row r="2511" spans="10:10" x14ac:dyDescent="0.3">
      <c r="J2511"/>
    </row>
    <row r="2512" spans="10:10" x14ac:dyDescent="0.3">
      <c r="J2512"/>
    </row>
    <row r="2513" spans="10:10" x14ac:dyDescent="0.3">
      <c r="J2513"/>
    </row>
    <row r="2514" spans="10:10" x14ac:dyDescent="0.3">
      <c r="J2514"/>
    </row>
    <row r="2515" spans="10:10" x14ac:dyDescent="0.3">
      <c r="J2515"/>
    </row>
    <row r="2516" spans="10:10" x14ac:dyDescent="0.3">
      <c r="J2516"/>
    </row>
    <row r="2517" spans="10:10" x14ac:dyDescent="0.3">
      <c r="J2517"/>
    </row>
    <row r="2518" spans="10:10" x14ac:dyDescent="0.3">
      <c r="J2518"/>
    </row>
    <row r="2519" spans="10:10" x14ac:dyDescent="0.3">
      <c r="J2519"/>
    </row>
    <row r="2520" spans="10:10" x14ac:dyDescent="0.3">
      <c r="J2520"/>
    </row>
    <row r="2521" spans="10:10" x14ac:dyDescent="0.3">
      <c r="J2521"/>
    </row>
    <row r="2522" spans="10:10" x14ac:dyDescent="0.3">
      <c r="J2522"/>
    </row>
    <row r="2523" spans="10:10" x14ac:dyDescent="0.3">
      <c r="J2523"/>
    </row>
    <row r="2524" spans="10:10" x14ac:dyDescent="0.3">
      <c r="J2524"/>
    </row>
    <row r="2525" spans="10:10" x14ac:dyDescent="0.3">
      <c r="J2525"/>
    </row>
    <row r="2526" spans="10:10" x14ac:dyDescent="0.3">
      <c r="J2526"/>
    </row>
    <row r="2527" spans="10:10" x14ac:dyDescent="0.3">
      <c r="J2527"/>
    </row>
    <row r="2528" spans="10:10" x14ac:dyDescent="0.3">
      <c r="J2528"/>
    </row>
    <row r="2529" spans="10:10" x14ac:dyDescent="0.3">
      <c r="J2529"/>
    </row>
    <row r="2530" spans="10:10" x14ac:dyDescent="0.3">
      <c r="J2530"/>
    </row>
    <row r="2531" spans="10:10" x14ac:dyDescent="0.3">
      <c r="J2531"/>
    </row>
    <row r="2532" spans="10:10" x14ac:dyDescent="0.3">
      <c r="J2532"/>
    </row>
    <row r="2533" spans="10:10" x14ac:dyDescent="0.3">
      <c r="J2533"/>
    </row>
    <row r="2534" spans="10:10" x14ac:dyDescent="0.3">
      <c r="J2534"/>
    </row>
    <row r="2535" spans="10:10" x14ac:dyDescent="0.3">
      <c r="J2535"/>
    </row>
    <row r="2536" spans="10:10" x14ac:dyDescent="0.3">
      <c r="J2536"/>
    </row>
    <row r="2537" spans="10:10" x14ac:dyDescent="0.3">
      <c r="J2537"/>
    </row>
    <row r="2538" spans="10:10" x14ac:dyDescent="0.3">
      <c r="J2538"/>
    </row>
    <row r="2539" spans="10:10" x14ac:dyDescent="0.3">
      <c r="J2539"/>
    </row>
    <row r="2540" spans="10:10" x14ac:dyDescent="0.3">
      <c r="J2540"/>
    </row>
    <row r="2541" spans="10:10" x14ac:dyDescent="0.3">
      <c r="J2541"/>
    </row>
    <row r="2542" spans="10:10" x14ac:dyDescent="0.3">
      <c r="J2542"/>
    </row>
    <row r="2543" spans="10:10" x14ac:dyDescent="0.3">
      <c r="J2543"/>
    </row>
    <row r="2544" spans="10:10" x14ac:dyDescent="0.3">
      <c r="J2544"/>
    </row>
    <row r="2545" spans="10:10" x14ac:dyDescent="0.3">
      <c r="J2545"/>
    </row>
    <row r="2546" spans="10:10" x14ac:dyDescent="0.3">
      <c r="J2546"/>
    </row>
    <row r="2547" spans="10:10" x14ac:dyDescent="0.3">
      <c r="J2547"/>
    </row>
    <row r="2548" spans="10:10" x14ac:dyDescent="0.3">
      <c r="J2548"/>
    </row>
    <row r="2549" spans="10:10" x14ac:dyDescent="0.3">
      <c r="J2549"/>
    </row>
    <row r="2550" spans="10:10" x14ac:dyDescent="0.3">
      <c r="J2550"/>
    </row>
    <row r="2551" spans="10:10" x14ac:dyDescent="0.3">
      <c r="J2551"/>
    </row>
    <row r="2552" spans="10:10" x14ac:dyDescent="0.3">
      <c r="J2552"/>
    </row>
    <row r="2553" spans="10:10" x14ac:dyDescent="0.3">
      <c r="J2553"/>
    </row>
    <row r="2554" spans="10:10" x14ac:dyDescent="0.3">
      <c r="J2554"/>
    </row>
    <row r="2555" spans="10:10" x14ac:dyDescent="0.3">
      <c r="J2555"/>
    </row>
    <row r="2556" spans="10:10" x14ac:dyDescent="0.3">
      <c r="J2556"/>
    </row>
    <row r="2557" spans="10:10" x14ac:dyDescent="0.3">
      <c r="J2557"/>
    </row>
    <row r="2558" spans="10:10" x14ac:dyDescent="0.3">
      <c r="J2558"/>
    </row>
    <row r="2559" spans="10:10" x14ac:dyDescent="0.3">
      <c r="J2559"/>
    </row>
    <row r="2560" spans="10:10" x14ac:dyDescent="0.3">
      <c r="J2560"/>
    </row>
    <row r="2561" spans="10:10" x14ac:dyDescent="0.3">
      <c r="J2561"/>
    </row>
    <row r="2562" spans="10:10" x14ac:dyDescent="0.3">
      <c r="J2562"/>
    </row>
    <row r="2563" spans="10:10" x14ac:dyDescent="0.3">
      <c r="J2563"/>
    </row>
    <row r="2564" spans="10:10" x14ac:dyDescent="0.3">
      <c r="J2564"/>
    </row>
    <row r="2565" spans="10:10" x14ac:dyDescent="0.3">
      <c r="J2565"/>
    </row>
    <row r="2566" spans="10:10" x14ac:dyDescent="0.3">
      <c r="J2566"/>
    </row>
    <row r="2567" spans="10:10" x14ac:dyDescent="0.3">
      <c r="J2567"/>
    </row>
    <row r="2568" spans="10:10" x14ac:dyDescent="0.3">
      <c r="J2568"/>
    </row>
    <row r="2569" spans="10:10" x14ac:dyDescent="0.3">
      <c r="J2569"/>
    </row>
    <row r="2570" spans="10:10" x14ac:dyDescent="0.3">
      <c r="J2570"/>
    </row>
    <row r="2571" spans="10:10" x14ac:dyDescent="0.3">
      <c r="J2571"/>
    </row>
    <row r="2572" spans="10:10" x14ac:dyDescent="0.3">
      <c r="J2572"/>
    </row>
    <row r="2573" spans="10:10" x14ac:dyDescent="0.3">
      <c r="J2573"/>
    </row>
    <row r="2574" spans="10:10" x14ac:dyDescent="0.3">
      <c r="J2574"/>
    </row>
    <row r="2575" spans="10:10" x14ac:dyDescent="0.3">
      <c r="J2575"/>
    </row>
    <row r="2576" spans="10:10" x14ac:dyDescent="0.3">
      <c r="J2576"/>
    </row>
    <row r="2577" spans="10:10" x14ac:dyDescent="0.3">
      <c r="J2577"/>
    </row>
    <row r="2578" spans="10:10" x14ac:dyDescent="0.3">
      <c r="J2578"/>
    </row>
    <row r="2579" spans="10:10" x14ac:dyDescent="0.3">
      <c r="J2579"/>
    </row>
    <row r="2580" spans="10:10" x14ac:dyDescent="0.3">
      <c r="J2580"/>
    </row>
    <row r="2581" spans="10:10" x14ac:dyDescent="0.3">
      <c r="J2581"/>
    </row>
    <row r="2582" spans="10:10" x14ac:dyDescent="0.3">
      <c r="J2582"/>
    </row>
    <row r="2583" spans="10:10" x14ac:dyDescent="0.3">
      <c r="J2583"/>
    </row>
    <row r="2584" spans="10:10" x14ac:dyDescent="0.3">
      <c r="J2584"/>
    </row>
    <row r="2585" spans="10:10" x14ac:dyDescent="0.3">
      <c r="J2585"/>
    </row>
    <row r="2586" spans="10:10" x14ac:dyDescent="0.3">
      <c r="J2586"/>
    </row>
    <row r="2587" spans="10:10" x14ac:dyDescent="0.3">
      <c r="J2587"/>
    </row>
    <row r="2588" spans="10:10" x14ac:dyDescent="0.3">
      <c r="J2588"/>
    </row>
    <row r="2589" spans="10:10" x14ac:dyDescent="0.3">
      <c r="J2589"/>
    </row>
    <row r="2590" spans="10:10" x14ac:dyDescent="0.3">
      <c r="J2590"/>
    </row>
    <row r="2591" spans="10:10" x14ac:dyDescent="0.3">
      <c r="J2591"/>
    </row>
    <row r="2592" spans="10:10" x14ac:dyDescent="0.3">
      <c r="J2592"/>
    </row>
    <row r="2593" spans="10:10" x14ac:dyDescent="0.3">
      <c r="J2593"/>
    </row>
    <row r="2594" spans="10:10" x14ac:dyDescent="0.3">
      <c r="J2594"/>
    </row>
    <row r="2595" spans="10:10" x14ac:dyDescent="0.3">
      <c r="J2595"/>
    </row>
    <row r="2596" spans="10:10" x14ac:dyDescent="0.3">
      <c r="J2596"/>
    </row>
    <row r="2597" spans="10:10" x14ac:dyDescent="0.3">
      <c r="J2597"/>
    </row>
    <row r="2598" spans="10:10" x14ac:dyDescent="0.3">
      <c r="J2598"/>
    </row>
    <row r="2599" spans="10:10" x14ac:dyDescent="0.3">
      <c r="J2599"/>
    </row>
    <row r="2600" spans="10:10" x14ac:dyDescent="0.3">
      <c r="J2600"/>
    </row>
    <row r="2601" spans="10:10" x14ac:dyDescent="0.3">
      <c r="J2601"/>
    </row>
    <row r="2602" spans="10:10" x14ac:dyDescent="0.3">
      <c r="J2602"/>
    </row>
    <row r="2603" spans="10:10" x14ac:dyDescent="0.3">
      <c r="J2603"/>
    </row>
    <row r="2604" spans="10:10" x14ac:dyDescent="0.3">
      <c r="J2604"/>
    </row>
    <row r="2605" spans="10:10" x14ac:dyDescent="0.3">
      <c r="J2605"/>
    </row>
    <row r="2606" spans="10:10" x14ac:dyDescent="0.3">
      <c r="J2606"/>
    </row>
    <row r="2607" spans="10:10" x14ac:dyDescent="0.3">
      <c r="J2607"/>
    </row>
    <row r="2608" spans="10:10" x14ac:dyDescent="0.3">
      <c r="J2608"/>
    </row>
    <row r="2609" spans="10:10" x14ac:dyDescent="0.3">
      <c r="J2609"/>
    </row>
    <row r="2610" spans="10:10" x14ac:dyDescent="0.3">
      <c r="J2610"/>
    </row>
    <row r="2611" spans="10:10" x14ac:dyDescent="0.3">
      <c r="J2611"/>
    </row>
    <row r="2612" spans="10:10" x14ac:dyDescent="0.3">
      <c r="J2612"/>
    </row>
    <row r="2613" spans="10:10" x14ac:dyDescent="0.3">
      <c r="J2613"/>
    </row>
    <row r="2614" spans="10:10" x14ac:dyDescent="0.3">
      <c r="J2614"/>
    </row>
    <row r="2615" spans="10:10" x14ac:dyDescent="0.3">
      <c r="J2615"/>
    </row>
    <row r="2616" spans="10:10" x14ac:dyDescent="0.3">
      <c r="J2616"/>
    </row>
    <row r="2617" spans="10:10" x14ac:dyDescent="0.3">
      <c r="J2617"/>
    </row>
    <row r="2618" spans="10:10" x14ac:dyDescent="0.3">
      <c r="J2618"/>
    </row>
    <row r="2619" spans="10:10" x14ac:dyDescent="0.3">
      <c r="J2619"/>
    </row>
    <row r="2620" spans="10:10" x14ac:dyDescent="0.3">
      <c r="J2620"/>
    </row>
    <row r="2621" spans="10:10" x14ac:dyDescent="0.3">
      <c r="J2621"/>
    </row>
    <row r="2622" spans="10:10" x14ac:dyDescent="0.3">
      <c r="J2622"/>
    </row>
    <row r="2623" spans="10:10" x14ac:dyDescent="0.3">
      <c r="J2623"/>
    </row>
    <row r="2624" spans="10:10" x14ac:dyDescent="0.3">
      <c r="J2624"/>
    </row>
    <row r="2625" spans="10:10" x14ac:dyDescent="0.3">
      <c r="J2625"/>
    </row>
    <row r="2626" spans="10:10" x14ac:dyDescent="0.3">
      <c r="J2626"/>
    </row>
    <row r="2627" spans="10:10" x14ac:dyDescent="0.3">
      <c r="J2627"/>
    </row>
    <row r="2628" spans="10:10" x14ac:dyDescent="0.3">
      <c r="J2628"/>
    </row>
    <row r="2629" spans="10:10" x14ac:dyDescent="0.3">
      <c r="J2629"/>
    </row>
    <row r="2630" spans="10:10" x14ac:dyDescent="0.3">
      <c r="J2630"/>
    </row>
    <row r="2631" spans="10:10" x14ac:dyDescent="0.3">
      <c r="J2631"/>
    </row>
    <row r="2632" spans="10:10" x14ac:dyDescent="0.3">
      <c r="J2632"/>
    </row>
    <row r="2633" spans="10:10" x14ac:dyDescent="0.3">
      <c r="J2633"/>
    </row>
    <row r="2634" spans="10:10" x14ac:dyDescent="0.3">
      <c r="J2634"/>
    </row>
    <row r="2635" spans="10:10" x14ac:dyDescent="0.3">
      <c r="J2635"/>
    </row>
    <row r="2636" spans="10:10" x14ac:dyDescent="0.3">
      <c r="J2636"/>
    </row>
    <row r="2637" spans="10:10" x14ac:dyDescent="0.3">
      <c r="J2637"/>
    </row>
    <row r="2638" spans="10:10" x14ac:dyDescent="0.3">
      <c r="J2638"/>
    </row>
    <row r="2639" spans="10:10" x14ac:dyDescent="0.3">
      <c r="J2639"/>
    </row>
    <row r="2640" spans="10:10" x14ac:dyDescent="0.3">
      <c r="J2640"/>
    </row>
    <row r="2641" spans="10:10" x14ac:dyDescent="0.3">
      <c r="J2641"/>
    </row>
    <row r="2642" spans="10:10" x14ac:dyDescent="0.3">
      <c r="J2642"/>
    </row>
    <row r="2643" spans="10:10" x14ac:dyDescent="0.3">
      <c r="J2643"/>
    </row>
    <row r="2644" spans="10:10" x14ac:dyDescent="0.3">
      <c r="J2644"/>
    </row>
    <row r="2645" spans="10:10" x14ac:dyDescent="0.3">
      <c r="J2645"/>
    </row>
    <row r="2646" spans="10:10" x14ac:dyDescent="0.3">
      <c r="J2646"/>
    </row>
    <row r="2647" spans="10:10" x14ac:dyDescent="0.3">
      <c r="J2647"/>
    </row>
    <row r="2648" spans="10:10" x14ac:dyDescent="0.3">
      <c r="J2648"/>
    </row>
    <row r="2649" spans="10:10" x14ac:dyDescent="0.3">
      <c r="J2649"/>
    </row>
    <row r="2650" spans="10:10" x14ac:dyDescent="0.3">
      <c r="J2650"/>
    </row>
    <row r="2651" spans="10:10" x14ac:dyDescent="0.3">
      <c r="J2651"/>
    </row>
    <row r="2652" spans="10:10" x14ac:dyDescent="0.3">
      <c r="J2652"/>
    </row>
    <row r="2653" spans="10:10" x14ac:dyDescent="0.3">
      <c r="J2653"/>
    </row>
    <row r="2654" spans="10:10" x14ac:dyDescent="0.3">
      <c r="J2654"/>
    </row>
    <row r="2655" spans="10:10" x14ac:dyDescent="0.3">
      <c r="J2655"/>
    </row>
    <row r="2656" spans="10:10" x14ac:dyDescent="0.3">
      <c r="J2656"/>
    </row>
    <row r="2657" spans="10:10" x14ac:dyDescent="0.3">
      <c r="J2657"/>
    </row>
    <row r="2658" spans="10:10" x14ac:dyDescent="0.3">
      <c r="J2658"/>
    </row>
    <row r="2659" spans="10:10" x14ac:dyDescent="0.3">
      <c r="J2659"/>
    </row>
    <row r="2660" spans="10:10" x14ac:dyDescent="0.3">
      <c r="J2660"/>
    </row>
    <row r="2661" spans="10:10" x14ac:dyDescent="0.3">
      <c r="J2661"/>
    </row>
    <row r="2662" spans="10:10" x14ac:dyDescent="0.3">
      <c r="J2662"/>
    </row>
    <row r="2663" spans="10:10" x14ac:dyDescent="0.3">
      <c r="J2663"/>
    </row>
    <row r="2664" spans="10:10" x14ac:dyDescent="0.3">
      <c r="J2664"/>
    </row>
    <row r="2665" spans="10:10" x14ac:dyDescent="0.3">
      <c r="J2665"/>
    </row>
    <row r="2666" spans="10:10" x14ac:dyDescent="0.3">
      <c r="J2666"/>
    </row>
    <row r="2667" spans="10:10" x14ac:dyDescent="0.3">
      <c r="J2667"/>
    </row>
    <row r="2668" spans="10:10" x14ac:dyDescent="0.3">
      <c r="J2668"/>
    </row>
    <row r="2669" spans="10:10" x14ac:dyDescent="0.3">
      <c r="J2669"/>
    </row>
    <row r="2670" spans="10:10" x14ac:dyDescent="0.3">
      <c r="J2670"/>
    </row>
    <row r="2671" spans="10:10" x14ac:dyDescent="0.3">
      <c r="J2671"/>
    </row>
    <row r="2672" spans="10:10" x14ac:dyDescent="0.3">
      <c r="J2672"/>
    </row>
    <row r="2673" spans="10:10" x14ac:dyDescent="0.3">
      <c r="J2673"/>
    </row>
    <row r="2674" spans="10:10" x14ac:dyDescent="0.3">
      <c r="J2674"/>
    </row>
    <row r="2675" spans="10:10" x14ac:dyDescent="0.3">
      <c r="J2675"/>
    </row>
    <row r="2676" spans="10:10" x14ac:dyDescent="0.3">
      <c r="J2676"/>
    </row>
    <row r="2677" spans="10:10" x14ac:dyDescent="0.3">
      <c r="J2677"/>
    </row>
    <row r="2678" spans="10:10" x14ac:dyDescent="0.3">
      <c r="J2678"/>
    </row>
    <row r="2679" spans="10:10" x14ac:dyDescent="0.3">
      <c r="J2679"/>
    </row>
    <row r="2680" spans="10:10" x14ac:dyDescent="0.3">
      <c r="J2680"/>
    </row>
    <row r="2681" spans="10:10" x14ac:dyDescent="0.3">
      <c r="J2681"/>
    </row>
    <row r="2682" spans="10:10" x14ac:dyDescent="0.3">
      <c r="J2682"/>
    </row>
    <row r="2683" spans="10:10" x14ac:dyDescent="0.3">
      <c r="J2683"/>
    </row>
    <row r="2684" spans="10:10" x14ac:dyDescent="0.3">
      <c r="J2684"/>
    </row>
    <row r="2685" spans="10:10" x14ac:dyDescent="0.3">
      <c r="J2685"/>
    </row>
    <row r="2686" spans="10:10" x14ac:dyDescent="0.3">
      <c r="J2686"/>
    </row>
    <row r="2687" spans="10:10" x14ac:dyDescent="0.3">
      <c r="J2687"/>
    </row>
    <row r="2688" spans="10:10" x14ac:dyDescent="0.3">
      <c r="J2688"/>
    </row>
    <row r="2689" spans="10:10" x14ac:dyDescent="0.3">
      <c r="J2689"/>
    </row>
    <row r="2690" spans="10:10" x14ac:dyDescent="0.3">
      <c r="J2690"/>
    </row>
    <row r="2691" spans="10:10" x14ac:dyDescent="0.3">
      <c r="J2691"/>
    </row>
    <row r="2692" spans="10:10" x14ac:dyDescent="0.3">
      <c r="J2692"/>
    </row>
    <row r="2693" spans="10:10" x14ac:dyDescent="0.3">
      <c r="J2693"/>
    </row>
    <row r="2694" spans="10:10" x14ac:dyDescent="0.3">
      <c r="J2694"/>
    </row>
    <row r="2695" spans="10:10" x14ac:dyDescent="0.3">
      <c r="J2695"/>
    </row>
    <row r="2696" spans="10:10" x14ac:dyDescent="0.3">
      <c r="J2696"/>
    </row>
    <row r="2697" spans="10:10" x14ac:dyDescent="0.3">
      <c r="J2697"/>
    </row>
    <row r="2698" spans="10:10" x14ac:dyDescent="0.3">
      <c r="J2698"/>
    </row>
    <row r="2699" spans="10:10" x14ac:dyDescent="0.3">
      <c r="J2699"/>
    </row>
    <row r="2700" spans="10:10" x14ac:dyDescent="0.3">
      <c r="J2700"/>
    </row>
    <row r="2701" spans="10:10" x14ac:dyDescent="0.3">
      <c r="J2701"/>
    </row>
    <row r="2702" spans="10:10" x14ac:dyDescent="0.3">
      <c r="J2702"/>
    </row>
    <row r="2703" spans="10:10" x14ac:dyDescent="0.3">
      <c r="J2703"/>
    </row>
    <row r="2704" spans="10:10" x14ac:dyDescent="0.3">
      <c r="J2704"/>
    </row>
    <row r="2705" spans="10:10" x14ac:dyDescent="0.3">
      <c r="J2705"/>
    </row>
    <row r="2706" spans="10:10" x14ac:dyDescent="0.3">
      <c r="J2706"/>
    </row>
    <row r="2707" spans="10:10" x14ac:dyDescent="0.3">
      <c r="J2707"/>
    </row>
    <row r="2708" spans="10:10" x14ac:dyDescent="0.3">
      <c r="J2708"/>
    </row>
    <row r="2709" spans="10:10" x14ac:dyDescent="0.3">
      <c r="J2709"/>
    </row>
    <row r="2710" spans="10:10" x14ac:dyDescent="0.3">
      <c r="J2710"/>
    </row>
    <row r="2711" spans="10:10" x14ac:dyDescent="0.3">
      <c r="J2711"/>
    </row>
    <row r="2712" spans="10:10" x14ac:dyDescent="0.3">
      <c r="J2712"/>
    </row>
    <row r="2713" spans="10:10" x14ac:dyDescent="0.3">
      <c r="J2713"/>
    </row>
    <row r="2714" spans="10:10" x14ac:dyDescent="0.3">
      <c r="J2714"/>
    </row>
    <row r="2715" spans="10:10" x14ac:dyDescent="0.3">
      <c r="J2715"/>
    </row>
    <row r="2716" spans="10:10" x14ac:dyDescent="0.3">
      <c r="J2716"/>
    </row>
    <row r="2717" spans="10:10" x14ac:dyDescent="0.3">
      <c r="J2717"/>
    </row>
    <row r="2718" spans="10:10" x14ac:dyDescent="0.3">
      <c r="J2718"/>
    </row>
    <row r="2719" spans="10:10" x14ac:dyDescent="0.3">
      <c r="J2719"/>
    </row>
    <row r="2720" spans="10:10" x14ac:dyDescent="0.3">
      <c r="J2720"/>
    </row>
    <row r="2721" spans="10:10" x14ac:dyDescent="0.3">
      <c r="J2721"/>
    </row>
    <row r="2722" spans="10:10" x14ac:dyDescent="0.3">
      <c r="J2722"/>
    </row>
    <row r="2723" spans="10:10" x14ac:dyDescent="0.3">
      <c r="J2723"/>
    </row>
    <row r="2724" spans="10:10" x14ac:dyDescent="0.3">
      <c r="J2724"/>
    </row>
    <row r="2725" spans="10:10" x14ac:dyDescent="0.3">
      <c r="J2725"/>
    </row>
    <row r="2726" spans="10:10" x14ac:dyDescent="0.3">
      <c r="J2726"/>
    </row>
    <row r="2727" spans="10:10" x14ac:dyDescent="0.3">
      <c r="J2727"/>
    </row>
    <row r="2728" spans="10:10" x14ac:dyDescent="0.3">
      <c r="J2728"/>
    </row>
    <row r="2729" spans="10:10" x14ac:dyDescent="0.3">
      <c r="J2729"/>
    </row>
    <row r="2730" spans="10:10" x14ac:dyDescent="0.3">
      <c r="J2730"/>
    </row>
    <row r="2731" spans="10:10" x14ac:dyDescent="0.3">
      <c r="J2731"/>
    </row>
    <row r="2732" spans="10:10" x14ac:dyDescent="0.3">
      <c r="J2732"/>
    </row>
    <row r="2733" spans="10:10" x14ac:dyDescent="0.3">
      <c r="J2733"/>
    </row>
    <row r="2734" spans="10:10" x14ac:dyDescent="0.3">
      <c r="J2734"/>
    </row>
    <row r="2735" spans="10:10" x14ac:dyDescent="0.3">
      <c r="J2735"/>
    </row>
    <row r="2736" spans="10:10" x14ac:dyDescent="0.3">
      <c r="J2736"/>
    </row>
    <row r="2737" spans="10:10" x14ac:dyDescent="0.3">
      <c r="J2737"/>
    </row>
    <row r="2738" spans="10:10" x14ac:dyDescent="0.3">
      <c r="J2738"/>
    </row>
    <row r="2739" spans="10:10" x14ac:dyDescent="0.3">
      <c r="J2739"/>
    </row>
    <row r="2740" spans="10:10" x14ac:dyDescent="0.3">
      <c r="J2740"/>
    </row>
    <row r="2741" spans="10:10" x14ac:dyDescent="0.3">
      <c r="J2741"/>
    </row>
    <row r="2742" spans="10:10" x14ac:dyDescent="0.3">
      <c r="J2742"/>
    </row>
    <row r="2743" spans="10:10" x14ac:dyDescent="0.3">
      <c r="J2743"/>
    </row>
    <row r="2744" spans="10:10" x14ac:dyDescent="0.3">
      <c r="J2744"/>
    </row>
    <row r="2745" spans="10:10" x14ac:dyDescent="0.3">
      <c r="J2745"/>
    </row>
    <row r="2746" spans="10:10" x14ac:dyDescent="0.3">
      <c r="J2746"/>
    </row>
    <row r="2747" spans="10:10" x14ac:dyDescent="0.3">
      <c r="J2747"/>
    </row>
    <row r="2748" spans="10:10" x14ac:dyDescent="0.3">
      <c r="J2748"/>
    </row>
    <row r="2749" spans="10:10" x14ac:dyDescent="0.3">
      <c r="J2749"/>
    </row>
    <row r="2750" spans="10:10" x14ac:dyDescent="0.3">
      <c r="J2750"/>
    </row>
    <row r="2751" spans="10:10" x14ac:dyDescent="0.3">
      <c r="J2751"/>
    </row>
    <row r="2752" spans="10:10" x14ac:dyDescent="0.3">
      <c r="J2752"/>
    </row>
    <row r="2753" spans="10:10" x14ac:dyDescent="0.3">
      <c r="J2753"/>
    </row>
    <row r="2754" spans="10:10" x14ac:dyDescent="0.3">
      <c r="J2754"/>
    </row>
    <row r="2755" spans="10:10" x14ac:dyDescent="0.3">
      <c r="J2755"/>
    </row>
    <row r="2756" spans="10:10" x14ac:dyDescent="0.3">
      <c r="J2756"/>
    </row>
    <row r="2757" spans="10:10" x14ac:dyDescent="0.3">
      <c r="J2757"/>
    </row>
    <row r="2758" spans="10:10" x14ac:dyDescent="0.3">
      <c r="J2758"/>
    </row>
    <row r="2759" spans="10:10" x14ac:dyDescent="0.3">
      <c r="J2759"/>
    </row>
    <row r="2760" spans="10:10" x14ac:dyDescent="0.3">
      <c r="J2760"/>
    </row>
    <row r="2761" spans="10:10" x14ac:dyDescent="0.3">
      <c r="J2761"/>
    </row>
    <row r="2762" spans="10:10" x14ac:dyDescent="0.3">
      <c r="J2762"/>
    </row>
    <row r="2763" spans="10:10" x14ac:dyDescent="0.3">
      <c r="J2763"/>
    </row>
    <row r="2764" spans="10:10" x14ac:dyDescent="0.3">
      <c r="J2764"/>
    </row>
    <row r="2765" spans="10:10" x14ac:dyDescent="0.3">
      <c r="J2765"/>
    </row>
    <row r="2766" spans="10:10" x14ac:dyDescent="0.3">
      <c r="J2766"/>
    </row>
    <row r="2767" spans="10:10" x14ac:dyDescent="0.3">
      <c r="J2767"/>
    </row>
    <row r="2768" spans="10:10" x14ac:dyDescent="0.3">
      <c r="J2768"/>
    </row>
    <row r="2769" spans="10:10" x14ac:dyDescent="0.3">
      <c r="J2769"/>
    </row>
    <row r="2770" spans="10:10" x14ac:dyDescent="0.3">
      <c r="J2770"/>
    </row>
    <row r="2771" spans="10:10" x14ac:dyDescent="0.3">
      <c r="J2771"/>
    </row>
    <row r="2772" spans="10:10" x14ac:dyDescent="0.3">
      <c r="J2772"/>
    </row>
    <row r="2773" spans="10:10" x14ac:dyDescent="0.3">
      <c r="J2773"/>
    </row>
    <row r="2774" spans="10:10" x14ac:dyDescent="0.3">
      <c r="J2774"/>
    </row>
    <row r="2775" spans="10:10" x14ac:dyDescent="0.3">
      <c r="J2775"/>
    </row>
    <row r="2776" spans="10:10" x14ac:dyDescent="0.3">
      <c r="J2776"/>
    </row>
    <row r="2777" spans="10:10" x14ac:dyDescent="0.3">
      <c r="J2777"/>
    </row>
    <row r="2778" spans="10:10" x14ac:dyDescent="0.3">
      <c r="J2778"/>
    </row>
    <row r="2779" spans="10:10" x14ac:dyDescent="0.3">
      <c r="J2779"/>
    </row>
    <row r="2780" spans="10:10" x14ac:dyDescent="0.3">
      <c r="J2780"/>
    </row>
    <row r="2781" spans="10:10" x14ac:dyDescent="0.3">
      <c r="J2781"/>
    </row>
    <row r="2782" spans="10:10" x14ac:dyDescent="0.3">
      <c r="J2782"/>
    </row>
    <row r="2783" spans="10:10" x14ac:dyDescent="0.3">
      <c r="J2783"/>
    </row>
    <row r="2784" spans="10:10" x14ac:dyDescent="0.3">
      <c r="J2784"/>
    </row>
    <row r="2785" spans="10:10" x14ac:dyDescent="0.3">
      <c r="J2785"/>
    </row>
    <row r="2786" spans="10:10" x14ac:dyDescent="0.3">
      <c r="J2786"/>
    </row>
    <row r="2787" spans="10:10" x14ac:dyDescent="0.3">
      <c r="J2787"/>
    </row>
    <row r="2788" spans="10:10" x14ac:dyDescent="0.3">
      <c r="J2788"/>
    </row>
    <row r="2789" spans="10:10" x14ac:dyDescent="0.3">
      <c r="J2789"/>
    </row>
    <row r="2790" spans="10:10" x14ac:dyDescent="0.3">
      <c r="J2790"/>
    </row>
    <row r="2791" spans="10:10" x14ac:dyDescent="0.3">
      <c r="J2791"/>
    </row>
    <row r="2792" spans="10:10" x14ac:dyDescent="0.3">
      <c r="J2792"/>
    </row>
    <row r="2793" spans="10:10" x14ac:dyDescent="0.3">
      <c r="J2793"/>
    </row>
    <row r="2794" spans="10:10" x14ac:dyDescent="0.3">
      <c r="J2794"/>
    </row>
    <row r="2795" spans="10:10" x14ac:dyDescent="0.3">
      <c r="J2795"/>
    </row>
    <row r="2796" spans="10:10" x14ac:dyDescent="0.3">
      <c r="J2796"/>
    </row>
    <row r="2797" spans="10:10" x14ac:dyDescent="0.3">
      <c r="J2797"/>
    </row>
    <row r="2798" spans="10:10" x14ac:dyDescent="0.3">
      <c r="J2798"/>
    </row>
    <row r="2799" spans="10:10" x14ac:dyDescent="0.3">
      <c r="J2799"/>
    </row>
    <row r="2800" spans="10:10" x14ac:dyDescent="0.3">
      <c r="J2800"/>
    </row>
    <row r="2801" spans="10:10" x14ac:dyDescent="0.3">
      <c r="J2801"/>
    </row>
    <row r="2802" spans="10:10" x14ac:dyDescent="0.3">
      <c r="J2802"/>
    </row>
    <row r="2803" spans="10:10" x14ac:dyDescent="0.3">
      <c r="J2803"/>
    </row>
    <row r="2804" spans="10:10" x14ac:dyDescent="0.3">
      <c r="J2804"/>
    </row>
    <row r="2805" spans="10:10" x14ac:dyDescent="0.3">
      <c r="J2805"/>
    </row>
    <row r="2806" spans="10:10" x14ac:dyDescent="0.3">
      <c r="J2806"/>
    </row>
    <row r="2807" spans="10:10" x14ac:dyDescent="0.3">
      <c r="J2807"/>
    </row>
    <row r="2808" spans="10:10" x14ac:dyDescent="0.3">
      <c r="J2808"/>
    </row>
    <row r="2809" spans="10:10" x14ac:dyDescent="0.3">
      <c r="J2809"/>
    </row>
    <row r="2810" spans="10:10" x14ac:dyDescent="0.3">
      <c r="J2810"/>
    </row>
    <row r="2811" spans="10:10" x14ac:dyDescent="0.3">
      <c r="J2811"/>
    </row>
    <row r="2812" spans="10:10" x14ac:dyDescent="0.3">
      <c r="J2812"/>
    </row>
    <row r="2813" spans="10:10" x14ac:dyDescent="0.3">
      <c r="J2813"/>
    </row>
    <row r="2814" spans="10:10" x14ac:dyDescent="0.3">
      <c r="J2814"/>
    </row>
    <row r="2815" spans="10:10" x14ac:dyDescent="0.3">
      <c r="J2815"/>
    </row>
    <row r="2816" spans="10:10" x14ac:dyDescent="0.3">
      <c r="J2816"/>
    </row>
    <row r="2817" spans="10:10" x14ac:dyDescent="0.3">
      <c r="J2817"/>
    </row>
    <row r="2818" spans="10:10" x14ac:dyDescent="0.3">
      <c r="J2818"/>
    </row>
    <row r="2819" spans="10:10" x14ac:dyDescent="0.3">
      <c r="J2819"/>
    </row>
    <row r="2820" spans="10:10" x14ac:dyDescent="0.3">
      <c r="J2820"/>
    </row>
    <row r="2821" spans="10:10" x14ac:dyDescent="0.3">
      <c r="J2821"/>
    </row>
    <row r="2822" spans="10:10" x14ac:dyDescent="0.3">
      <c r="J2822"/>
    </row>
    <row r="2823" spans="10:10" x14ac:dyDescent="0.3">
      <c r="J2823"/>
    </row>
    <row r="2824" spans="10:10" x14ac:dyDescent="0.3">
      <c r="J2824"/>
    </row>
    <row r="2825" spans="10:10" x14ac:dyDescent="0.3">
      <c r="J2825"/>
    </row>
    <row r="2826" spans="10:10" x14ac:dyDescent="0.3">
      <c r="J2826"/>
    </row>
    <row r="2827" spans="10:10" x14ac:dyDescent="0.3">
      <c r="J2827"/>
    </row>
    <row r="2828" spans="10:10" x14ac:dyDescent="0.3">
      <c r="J2828"/>
    </row>
    <row r="2829" spans="10:10" x14ac:dyDescent="0.3">
      <c r="J2829"/>
    </row>
    <row r="2830" spans="10:10" x14ac:dyDescent="0.3">
      <c r="J2830"/>
    </row>
    <row r="2831" spans="10:10" x14ac:dyDescent="0.3">
      <c r="J2831"/>
    </row>
    <row r="2832" spans="10:10" x14ac:dyDescent="0.3">
      <c r="J2832"/>
    </row>
    <row r="2833" spans="10:10" x14ac:dyDescent="0.3">
      <c r="J2833"/>
    </row>
    <row r="2834" spans="10:10" x14ac:dyDescent="0.3">
      <c r="J2834"/>
    </row>
    <row r="2835" spans="10:10" x14ac:dyDescent="0.3">
      <c r="J2835"/>
    </row>
    <row r="2836" spans="10:10" x14ac:dyDescent="0.3">
      <c r="J2836"/>
    </row>
    <row r="2837" spans="10:10" x14ac:dyDescent="0.3">
      <c r="J2837"/>
    </row>
    <row r="2838" spans="10:10" x14ac:dyDescent="0.3">
      <c r="J2838"/>
    </row>
    <row r="2839" spans="10:10" x14ac:dyDescent="0.3">
      <c r="J2839"/>
    </row>
    <row r="2840" spans="10:10" x14ac:dyDescent="0.3">
      <c r="J2840"/>
    </row>
    <row r="2841" spans="10:10" x14ac:dyDescent="0.3">
      <c r="J2841"/>
    </row>
    <row r="2842" spans="10:10" x14ac:dyDescent="0.3">
      <c r="J2842"/>
    </row>
    <row r="2843" spans="10:10" x14ac:dyDescent="0.3">
      <c r="J2843"/>
    </row>
    <row r="2844" spans="10:10" x14ac:dyDescent="0.3">
      <c r="J2844"/>
    </row>
    <row r="2845" spans="10:10" x14ac:dyDescent="0.3">
      <c r="J2845"/>
    </row>
    <row r="2846" spans="10:10" x14ac:dyDescent="0.3">
      <c r="J2846"/>
    </row>
    <row r="2847" spans="10:10" x14ac:dyDescent="0.3">
      <c r="J2847"/>
    </row>
    <row r="2848" spans="10:10" x14ac:dyDescent="0.3">
      <c r="J2848"/>
    </row>
    <row r="2849" spans="10:10" x14ac:dyDescent="0.3">
      <c r="J2849"/>
    </row>
    <row r="2850" spans="10:10" x14ac:dyDescent="0.3">
      <c r="J2850"/>
    </row>
    <row r="2851" spans="10:10" x14ac:dyDescent="0.3">
      <c r="J2851"/>
    </row>
    <row r="2852" spans="10:10" x14ac:dyDescent="0.3">
      <c r="J2852"/>
    </row>
    <row r="2853" spans="10:10" x14ac:dyDescent="0.3">
      <c r="J2853"/>
    </row>
    <row r="2854" spans="10:10" x14ac:dyDescent="0.3">
      <c r="J2854"/>
    </row>
    <row r="2855" spans="10:10" x14ac:dyDescent="0.3">
      <c r="J2855"/>
    </row>
    <row r="2856" spans="10:10" x14ac:dyDescent="0.3">
      <c r="J2856"/>
    </row>
    <row r="2857" spans="10:10" x14ac:dyDescent="0.3">
      <c r="J2857"/>
    </row>
    <row r="2858" spans="10:10" x14ac:dyDescent="0.3">
      <c r="J2858"/>
    </row>
    <row r="2859" spans="10:10" x14ac:dyDescent="0.3">
      <c r="J2859"/>
    </row>
    <row r="2860" spans="10:10" x14ac:dyDescent="0.3">
      <c r="J2860"/>
    </row>
    <row r="2861" spans="10:10" x14ac:dyDescent="0.3">
      <c r="J2861"/>
    </row>
    <row r="2862" spans="10:10" x14ac:dyDescent="0.3">
      <c r="J2862"/>
    </row>
    <row r="2863" spans="10:10" x14ac:dyDescent="0.3">
      <c r="J2863"/>
    </row>
    <row r="2864" spans="10:10" x14ac:dyDescent="0.3">
      <c r="J2864"/>
    </row>
    <row r="2865" spans="10:10" x14ac:dyDescent="0.3">
      <c r="J2865"/>
    </row>
    <row r="2866" spans="10:10" x14ac:dyDescent="0.3">
      <c r="J2866"/>
    </row>
    <row r="2867" spans="10:10" x14ac:dyDescent="0.3">
      <c r="J2867"/>
    </row>
    <row r="2868" spans="10:10" x14ac:dyDescent="0.3">
      <c r="J2868"/>
    </row>
    <row r="2869" spans="10:10" x14ac:dyDescent="0.3">
      <c r="J2869"/>
    </row>
    <row r="2870" spans="10:10" x14ac:dyDescent="0.3">
      <c r="J2870"/>
    </row>
    <row r="2871" spans="10:10" x14ac:dyDescent="0.3">
      <c r="J2871"/>
    </row>
    <row r="2872" spans="10:10" x14ac:dyDescent="0.3">
      <c r="J2872"/>
    </row>
    <row r="2873" spans="10:10" x14ac:dyDescent="0.3">
      <c r="J2873"/>
    </row>
    <row r="2874" spans="10:10" x14ac:dyDescent="0.3">
      <c r="J2874"/>
    </row>
    <row r="2875" spans="10:10" x14ac:dyDescent="0.3">
      <c r="J2875"/>
    </row>
    <row r="2876" spans="10:10" x14ac:dyDescent="0.3">
      <c r="J2876"/>
    </row>
    <row r="2877" spans="10:10" x14ac:dyDescent="0.3">
      <c r="J2877"/>
    </row>
    <row r="2878" spans="10:10" x14ac:dyDescent="0.3">
      <c r="J2878"/>
    </row>
    <row r="2879" spans="10:10" x14ac:dyDescent="0.3">
      <c r="J2879"/>
    </row>
    <row r="2880" spans="10:10" x14ac:dyDescent="0.3">
      <c r="J2880"/>
    </row>
    <row r="2881" spans="10:10" x14ac:dyDescent="0.3">
      <c r="J2881"/>
    </row>
    <row r="2882" spans="10:10" x14ac:dyDescent="0.3">
      <c r="J2882"/>
    </row>
    <row r="2883" spans="10:10" x14ac:dyDescent="0.3">
      <c r="J2883"/>
    </row>
    <row r="2884" spans="10:10" x14ac:dyDescent="0.3">
      <c r="J2884"/>
    </row>
    <row r="2885" spans="10:10" x14ac:dyDescent="0.3">
      <c r="J2885"/>
    </row>
    <row r="2886" spans="10:10" x14ac:dyDescent="0.3">
      <c r="J2886"/>
    </row>
    <row r="2887" spans="10:10" x14ac:dyDescent="0.3">
      <c r="J2887"/>
    </row>
    <row r="2888" spans="10:10" x14ac:dyDescent="0.3">
      <c r="J2888"/>
    </row>
    <row r="2889" spans="10:10" x14ac:dyDescent="0.3">
      <c r="J2889"/>
    </row>
    <row r="2890" spans="10:10" x14ac:dyDescent="0.3">
      <c r="J2890"/>
    </row>
    <row r="2891" spans="10:10" x14ac:dyDescent="0.3">
      <c r="J2891"/>
    </row>
    <row r="2892" spans="10:10" x14ac:dyDescent="0.3">
      <c r="J2892"/>
    </row>
    <row r="2893" spans="10:10" x14ac:dyDescent="0.3">
      <c r="J2893"/>
    </row>
    <row r="2894" spans="10:10" x14ac:dyDescent="0.3">
      <c r="J2894"/>
    </row>
    <row r="2895" spans="10:10" x14ac:dyDescent="0.3">
      <c r="J2895"/>
    </row>
    <row r="2896" spans="10:10" x14ac:dyDescent="0.3">
      <c r="J2896"/>
    </row>
    <row r="2897" spans="10:10" x14ac:dyDescent="0.3">
      <c r="J2897"/>
    </row>
    <row r="2898" spans="10:10" x14ac:dyDescent="0.3">
      <c r="J2898"/>
    </row>
    <row r="2899" spans="10:10" x14ac:dyDescent="0.3">
      <c r="J2899"/>
    </row>
    <row r="2900" spans="10:10" x14ac:dyDescent="0.3">
      <c r="J2900"/>
    </row>
    <row r="2901" spans="10:10" x14ac:dyDescent="0.3">
      <c r="J2901"/>
    </row>
    <row r="2902" spans="10:10" x14ac:dyDescent="0.3">
      <c r="J2902"/>
    </row>
    <row r="2903" spans="10:10" x14ac:dyDescent="0.3">
      <c r="J2903"/>
    </row>
    <row r="2904" spans="10:10" x14ac:dyDescent="0.3">
      <c r="J2904"/>
    </row>
    <row r="2905" spans="10:10" x14ac:dyDescent="0.3">
      <c r="J2905"/>
    </row>
    <row r="2906" spans="10:10" x14ac:dyDescent="0.3">
      <c r="J2906"/>
    </row>
    <row r="2907" spans="10:10" x14ac:dyDescent="0.3">
      <c r="J2907"/>
    </row>
    <row r="2908" spans="10:10" x14ac:dyDescent="0.3">
      <c r="J2908"/>
    </row>
    <row r="2909" spans="10:10" x14ac:dyDescent="0.3">
      <c r="J2909"/>
    </row>
    <row r="2910" spans="10:10" x14ac:dyDescent="0.3">
      <c r="J2910"/>
    </row>
    <row r="2911" spans="10:10" x14ac:dyDescent="0.3">
      <c r="J2911"/>
    </row>
    <row r="2912" spans="10:10" x14ac:dyDescent="0.3">
      <c r="J2912"/>
    </row>
    <row r="2913" spans="10:10" x14ac:dyDescent="0.3">
      <c r="J2913"/>
    </row>
    <row r="2914" spans="10:10" x14ac:dyDescent="0.3">
      <c r="J2914"/>
    </row>
    <row r="2915" spans="10:10" x14ac:dyDescent="0.3">
      <c r="J2915"/>
    </row>
    <row r="2916" spans="10:10" x14ac:dyDescent="0.3">
      <c r="J2916"/>
    </row>
    <row r="2917" spans="10:10" x14ac:dyDescent="0.3">
      <c r="J2917"/>
    </row>
    <row r="2918" spans="10:10" x14ac:dyDescent="0.3">
      <c r="J2918"/>
    </row>
    <row r="2919" spans="10:10" x14ac:dyDescent="0.3">
      <c r="J2919"/>
    </row>
    <row r="2920" spans="10:10" x14ac:dyDescent="0.3">
      <c r="J2920"/>
    </row>
    <row r="2921" spans="10:10" x14ac:dyDescent="0.3">
      <c r="J2921"/>
    </row>
    <row r="2922" spans="10:10" x14ac:dyDescent="0.3">
      <c r="J2922"/>
    </row>
    <row r="2923" spans="10:10" x14ac:dyDescent="0.3">
      <c r="J2923"/>
    </row>
    <row r="2924" spans="10:10" x14ac:dyDescent="0.3">
      <c r="J2924"/>
    </row>
    <row r="2925" spans="10:10" x14ac:dyDescent="0.3">
      <c r="J2925"/>
    </row>
    <row r="2926" spans="10:10" x14ac:dyDescent="0.3">
      <c r="J2926"/>
    </row>
    <row r="2927" spans="10:10" x14ac:dyDescent="0.3">
      <c r="J2927"/>
    </row>
    <row r="2928" spans="10:10" x14ac:dyDescent="0.3">
      <c r="J2928"/>
    </row>
    <row r="2929" spans="10:10" x14ac:dyDescent="0.3">
      <c r="J2929"/>
    </row>
    <row r="2930" spans="10:10" x14ac:dyDescent="0.3">
      <c r="J2930"/>
    </row>
    <row r="2931" spans="10:10" x14ac:dyDescent="0.3">
      <c r="J2931"/>
    </row>
    <row r="2932" spans="10:10" x14ac:dyDescent="0.3">
      <c r="J2932"/>
    </row>
    <row r="2933" spans="10:10" x14ac:dyDescent="0.3">
      <c r="J2933"/>
    </row>
    <row r="2934" spans="10:10" x14ac:dyDescent="0.3">
      <c r="J2934"/>
    </row>
    <row r="2935" spans="10:10" x14ac:dyDescent="0.3">
      <c r="J2935"/>
    </row>
    <row r="2936" spans="10:10" x14ac:dyDescent="0.3">
      <c r="J2936"/>
    </row>
    <row r="2937" spans="10:10" x14ac:dyDescent="0.3">
      <c r="J2937"/>
    </row>
    <row r="2938" spans="10:10" x14ac:dyDescent="0.3">
      <c r="J2938"/>
    </row>
    <row r="2939" spans="10:10" x14ac:dyDescent="0.3">
      <c r="J2939"/>
    </row>
    <row r="2940" spans="10:10" x14ac:dyDescent="0.3">
      <c r="J2940"/>
    </row>
    <row r="2941" spans="10:10" x14ac:dyDescent="0.3">
      <c r="J2941"/>
    </row>
    <row r="2942" spans="10:10" x14ac:dyDescent="0.3">
      <c r="J2942"/>
    </row>
    <row r="2943" spans="10:10" x14ac:dyDescent="0.3">
      <c r="J2943"/>
    </row>
    <row r="2944" spans="10:10" x14ac:dyDescent="0.3">
      <c r="J2944"/>
    </row>
    <row r="2945" spans="10:10" x14ac:dyDescent="0.3">
      <c r="J2945"/>
    </row>
    <row r="2946" spans="10:10" x14ac:dyDescent="0.3">
      <c r="J2946"/>
    </row>
    <row r="2947" spans="10:10" x14ac:dyDescent="0.3">
      <c r="J2947"/>
    </row>
    <row r="2948" spans="10:10" x14ac:dyDescent="0.3">
      <c r="J2948"/>
    </row>
    <row r="2949" spans="10:10" x14ac:dyDescent="0.3">
      <c r="J2949"/>
    </row>
    <row r="2950" spans="10:10" x14ac:dyDescent="0.3">
      <c r="J2950"/>
    </row>
    <row r="2951" spans="10:10" x14ac:dyDescent="0.3">
      <c r="J2951"/>
    </row>
    <row r="2952" spans="10:10" x14ac:dyDescent="0.3">
      <c r="J2952"/>
    </row>
    <row r="2953" spans="10:10" x14ac:dyDescent="0.3">
      <c r="J2953"/>
    </row>
    <row r="2954" spans="10:10" x14ac:dyDescent="0.3">
      <c r="J2954"/>
    </row>
    <row r="2955" spans="10:10" x14ac:dyDescent="0.3">
      <c r="J2955"/>
    </row>
    <row r="2956" spans="10:10" x14ac:dyDescent="0.3">
      <c r="J2956"/>
    </row>
    <row r="2957" spans="10:10" x14ac:dyDescent="0.3">
      <c r="J2957"/>
    </row>
    <row r="2958" spans="10:10" x14ac:dyDescent="0.3">
      <c r="J2958"/>
    </row>
    <row r="2959" spans="10:10" x14ac:dyDescent="0.3">
      <c r="J2959"/>
    </row>
    <row r="2960" spans="10:10" x14ac:dyDescent="0.3">
      <c r="J2960"/>
    </row>
    <row r="2961" spans="10:10" x14ac:dyDescent="0.3">
      <c r="J2961"/>
    </row>
    <row r="2962" spans="10:10" x14ac:dyDescent="0.3">
      <c r="J2962"/>
    </row>
    <row r="2963" spans="10:10" x14ac:dyDescent="0.3">
      <c r="J2963"/>
    </row>
    <row r="2964" spans="10:10" x14ac:dyDescent="0.3">
      <c r="J2964"/>
    </row>
    <row r="2965" spans="10:10" x14ac:dyDescent="0.3">
      <c r="J2965"/>
    </row>
    <row r="2966" spans="10:10" x14ac:dyDescent="0.3">
      <c r="J2966"/>
    </row>
    <row r="2967" spans="10:10" x14ac:dyDescent="0.3">
      <c r="J2967"/>
    </row>
    <row r="2968" spans="10:10" x14ac:dyDescent="0.3">
      <c r="J2968"/>
    </row>
    <row r="2969" spans="10:10" x14ac:dyDescent="0.3">
      <c r="J2969"/>
    </row>
    <row r="2970" spans="10:10" x14ac:dyDescent="0.3">
      <c r="J2970"/>
    </row>
    <row r="2971" spans="10:10" x14ac:dyDescent="0.3">
      <c r="J2971"/>
    </row>
    <row r="2972" spans="10:10" x14ac:dyDescent="0.3">
      <c r="J2972"/>
    </row>
    <row r="2973" spans="10:10" x14ac:dyDescent="0.3">
      <c r="J2973"/>
    </row>
    <row r="2974" spans="10:10" x14ac:dyDescent="0.3">
      <c r="J2974"/>
    </row>
    <row r="2975" spans="10:10" x14ac:dyDescent="0.3">
      <c r="J2975"/>
    </row>
    <row r="2976" spans="10:10" x14ac:dyDescent="0.3">
      <c r="J2976"/>
    </row>
    <row r="2977" spans="10:10" x14ac:dyDescent="0.3">
      <c r="J2977"/>
    </row>
    <row r="2978" spans="10:10" x14ac:dyDescent="0.3">
      <c r="J2978"/>
    </row>
    <row r="2979" spans="10:10" x14ac:dyDescent="0.3">
      <c r="J2979"/>
    </row>
    <row r="2980" spans="10:10" x14ac:dyDescent="0.3">
      <c r="J2980"/>
    </row>
    <row r="2981" spans="10:10" x14ac:dyDescent="0.3">
      <c r="J2981"/>
    </row>
    <row r="2982" spans="10:10" x14ac:dyDescent="0.3">
      <c r="J2982"/>
    </row>
    <row r="2983" spans="10:10" x14ac:dyDescent="0.3">
      <c r="J2983"/>
    </row>
    <row r="2984" spans="10:10" x14ac:dyDescent="0.3">
      <c r="J2984"/>
    </row>
    <row r="2985" spans="10:10" x14ac:dyDescent="0.3">
      <c r="J2985"/>
    </row>
    <row r="2986" spans="10:10" x14ac:dyDescent="0.3">
      <c r="J2986"/>
    </row>
    <row r="2987" spans="10:10" x14ac:dyDescent="0.3">
      <c r="J2987"/>
    </row>
    <row r="2988" spans="10:10" x14ac:dyDescent="0.3">
      <c r="J2988"/>
    </row>
    <row r="2989" spans="10:10" x14ac:dyDescent="0.3">
      <c r="J2989"/>
    </row>
    <row r="2990" spans="10:10" x14ac:dyDescent="0.3">
      <c r="J2990"/>
    </row>
    <row r="2991" spans="10:10" x14ac:dyDescent="0.3">
      <c r="J2991"/>
    </row>
    <row r="2992" spans="10:10" x14ac:dyDescent="0.3">
      <c r="J2992"/>
    </row>
    <row r="2993" spans="10:10" x14ac:dyDescent="0.3">
      <c r="J2993"/>
    </row>
    <row r="2994" spans="10:10" x14ac:dyDescent="0.3">
      <c r="J2994"/>
    </row>
    <row r="2995" spans="10:10" x14ac:dyDescent="0.3">
      <c r="J2995"/>
    </row>
    <row r="2996" spans="10:10" x14ac:dyDescent="0.3">
      <c r="J2996"/>
    </row>
    <row r="2997" spans="10:10" x14ac:dyDescent="0.3">
      <c r="J2997"/>
    </row>
    <row r="2998" spans="10:10" x14ac:dyDescent="0.3">
      <c r="J2998"/>
    </row>
    <row r="2999" spans="10:10" x14ac:dyDescent="0.3">
      <c r="J2999"/>
    </row>
    <row r="3000" spans="10:10" x14ac:dyDescent="0.3">
      <c r="J3000"/>
    </row>
    <row r="3001" spans="10:10" x14ac:dyDescent="0.3">
      <c r="J3001"/>
    </row>
    <row r="3002" spans="10:10" x14ac:dyDescent="0.3">
      <c r="J3002"/>
    </row>
    <row r="3003" spans="10:10" x14ac:dyDescent="0.3">
      <c r="J3003"/>
    </row>
    <row r="3004" spans="10:10" x14ac:dyDescent="0.3">
      <c r="J3004"/>
    </row>
    <row r="3005" spans="10:10" x14ac:dyDescent="0.3">
      <c r="J3005"/>
    </row>
    <row r="3006" spans="10:10" x14ac:dyDescent="0.3">
      <c r="J3006"/>
    </row>
    <row r="3007" spans="10:10" x14ac:dyDescent="0.3">
      <c r="J3007"/>
    </row>
    <row r="3008" spans="10:10" x14ac:dyDescent="0.3">
      <c r="J3008"/>
    </row>
    <row r="3009" spans="10:10" x14ac:dyDescent="0.3">
      <c r="J3009"/>
    </row>
    <row r="3010" spans="10:10" x14ac:dyDescent="0.3">
      <c r="J3010"/>
    </row>
    <row r="3011" spans="10:10" x14ac:dyDescent="0.3">
      <c r="J3011"/>
    </row>
    <row r="3012" spans="10:10" x14ac:dyDescent="0.3">
      <c r="J3012"/>
    </row>
    <row r="3013" spans="10:10" x14ac:dyDescent="0.3">
      <c r="J3013"/>
    </row>
    <row r="3014" spans="10:10" x14ac:dyDescent="0.3">
      <c r="J3014"/>
    </row>
    <row r="3015" spans="10:10" x14ac:dyDescent="0.3">
      <c r="J3015"/>
    </row>
    <row r="3016" spans="10:10" x14ac:dyDescent="0.3">
      <c r="J3016"/>
    </row>
    <row r="3017" spans="10:10" x14ac:dyDescent="0.3">
      <c r="J3017"/>
    </row>
    <row r="3018" spans="10:10" x14ac:dyDescent="0.3">
      <c r="J3018"/>
    </row>
    <row r="3019" spans="10:10" x14ac:dyDescent="0.3">
      <c r="J3019"/>
    </row>
    <row r="3020" spans="10:10" x14ac:dyDescent="0.3">
      <c r="J3020"/>
    </row>
    <row r="3021" spans="10:10" x14ac:dyDescent="0.3">
      <c r="J3021"/>
    </row>
    <row r="3022" spans="10:10" x14ac:dyDescent="0.3">
      <c r="J3022"/>
    </row>
    <row r="3023" spans="10:10" x14ac:dyDescent="0.3">
      <c r="J3023"/>
    </row>
    <row r="3024" spans="10:10" x14ac:dyDescent="0.3">
      <c r="J3024"/>
    </row>
    <row r="3025" spans="10:10" x14ac:dyDescent="0.3">
      <c r="J3025"/>
    </row>
    <row r="3026" spans="10:10" x14ac:dyDescent="0.3">
      <c r="J3026"/>
    </row>
    <row r="3027" spans="10:10" x14ac:dyDescent="0.3">
      <c r="J3027"/>
    </row>
    <row r="3028" spans="10:10" x14ac:dyDescent="0.3">
      <c r="J3028"/>
    </row>
    <row r="3029" spans="10:10" x14ac:dyDescent="0.3">
      <c r="J3029"/>
    </row>
    <row r="3030" spans="10:10" x14ac:dyDescent="0.3">
      <c r="J3030"/>
    </row>
    <row r="3031" spans="10:10" x14ac:dyDescent="0.3">
      <c r="J3031"/>
    </row>
    <row r="3032" spans="10:10" x14ac:dyDescent="0.3">
      <c r="J3032"/>
    </row>
    <row r="3033" spans="10:10" x14ac:dyDescent="0.3">
      <c r="J3033"/>
    </row>
    <row r="3034" spans="10:10" x14ac:dyDescent="0.3">
      <c r="J3034"/>
    </row>
    <row r="3035" spans="10:10" x14ac:dyDescent="0.3">
      <c r="J3035"/>
    </row>
    <row r="3036" spans="10:10" x14ac:dyDescent="0.3">
      <c r="J3036"/>
    </row>
    <row r="3037" spans="10:10" x14ac:dyDescent="0.3">
      <c r="J3037"/>
    </row>
    <row r="3038" spans="10:10" x14ac:dyDescent="0.3">
      <c r="J3038"/>
    </row>
    <row r="3039" spans="10:10" x14ac:dyDescent="0.3">
      <c r="J3039"/>
    </row>
    <row r="3040" spans="10:10" x14ac:dyDescent="0.3">
      <c r="J3040"/>
    </row>
    <row r="3041" spans="10:10" x14ac:dyDescent="0.3">
      <c r="J3041"/>
    </row>
    <row r="3042" spans="10:10" x14ac:dyDescent="0.3">
      <c r="J3042"/>
    </row>
    <row r="3043" spans="10:10" x14ac:dyDescent="0.3">
      <c r="J3043"/>
    </row>
    <row r="3044" spans="10:10" x14ac:dyDescent="0.3">
      <c r="J3044"/>
    </row>
    <row r="3045" spans="10:10" x14ac:dyDescent="0.3">
      <c r="J3045"/>
    </row>
    <row r="3046" spans="10:10" x14ac:dyDescent="0.3">
      <c r="J3046"/>
    </row>
    <row r="3047" spans="10:10" x14ac:dyDescent="0.3">
      <c r="J3047"/>
    </row>
    <row r="3048" spans="10:10" x14ac:dyDescent="0.3">
      <c r="J3048"/>
    </row>
    <row r="3049" spans="10:10" x14ac:dyDescent="0.3">
      <c r="J3049"/>
    </row>
    <row r="3050" spans="10:10" x14ac:dyDescent="0.3">
      <c r="J3050"/>
    </row>
    <row r="3051" spans="10:10" x14ac:dyDescent="0.3">
      <c r="J3051"/>
    </row>
    <row r="3052" spans="10:10" x14ac:dyDescent="0.3">
      <c r="J3052"/>
    </row>
    <row r="3053" spans="10:10" x14ac:dyDescent="0.3">
      <c r="J3053"/>
    </row>
    <row r="3054" spans="10:10" x14ac:dyDescent="0.3">
      <c r="J3054"/>
    </row>
    <row r="3055" spans="10:10" x14ac:dyDescent="0.3">
      <c r="J3055"/>
    </row>
    <row r="3056" spans="10:10" x14ac:dyDescent="0.3">
      <c r="J3056"/>
    </row>
    <row r="3057" spans="10:10" x14ac:dyDescent="0.3">
      <c r="J3057"/>
    </row>
    <row r="3058" spans="10:10" x14ac:dyDescent="0.3">
      <c r="J3058"/>
    </row>
    <row r="3059" spans="10:10" x14ac:dyDescent="0.3">
      <c r="J3059"/>
    </row>
    <row r="3060" spans="10:10" x14ac:dyDescent="0.3">
      <c r="J3060"/>
    </row>
    <row r="3061" spans="10:10" x14ac:dyDescent="0.3">
      <c r="J3061"/>
    </row>
    <row r="3062" spans="10:10" x14ac:dyDescent="0.3">
      <c r="J3062"/>
    </row>
    <row r="3063" spans="10:10" x14ac:dyDescent="0.3">
      <c r="J3063"/>
    </row>
    <row r="3064" spans="10:10" x14ac:dyDescent="0.3">
      <c r="J3064"/>
    </row>
    <row r="3065" spans="10:10" x14ac:dyDescent="0.3">
      <c r="J3065"/>
    </row>
    <row r="3066" spans="10:10" x14ac:dyDescent="0.3">
      <c r="J3066"/>
    </row>
    <row r="3067" spans="10:10" x14ac:dyDescent="0.3">
      <c r="J3067"/>
    </row>
    <row r="3068" spans="10:10" x14ac:dyDescent="0.3">
      <c r="J3068"/>
    </row>
    <row r="3069" spans="10:10" x14ac:dyDescent="0.3">
      <c r="J3069"/>
    </row>
    <row r="3070" spans="10:10" x14ac:dyDescent="0.3">
      <c r="J3070"/>
    </row>
    <row r="3071" spans="10:10" x14ac:dyDescent="0.3">
      <c r="J3071"/>
    </row>
    <row r="3072" spans="10:10" x14ac:dyDescent="0.3">
      <c r="J3072"/>
    </row>
    <row r="3073" spans="10:10" x14ac:dyDescent="0.3">
      <c r="J3073"/>
    </row>
    <row r="3074" spans="10:10" x14ac:dyDescent="0.3">
      <c r="J3074"/>
    </row>
    <row r="3075" spans="10:10" x14ac:dyDescent="0.3">
      <c r="J3075"/>
    </row>
    <row r="3076" spans="10:10" x14ac:dyDescent="0.3">
      <c r="J3076"/>
    </row>
    <row r="3077" spans="10:10" x14ac:dyDescent="0.3">
      <c r="J3077"/>
    </row>
    <row r="3078" spans="10:10" x14ac:dyDescent="0.3">
      <c r="J3078"/>
    </row>
    <row r="3079" spans="10:10" x14ac:dyDescent="0.3">
      <c r="J3079"/>
    </row>
    <row r="3080" spans="10:10" x14ac:dyDescent="0.3">
      <c r="J3080"/>
    </row>
    <row r="3081" spans="10:10" x14ac:dyDescent="0.3">
      <c r="J3081"/>
    </row>
    <row r="3082" spans="10:10" x14ac:dyDescent="0.3">
      <c r="J3082"/>
    </row>
    <row r="3083" spans="10:10" x14ac:dyDescent="0.3">
      <c r="J3083"/>
    </row>
    <row r="3084" spans="10:10" x14ac:dyDescent="0.3">
      <c r="J3084"/>
    </row>
    <row r="3085" spans="10:10" x14ac:dyDescent="0.3">
      <c r="J3085"/>
    </row>
    <row r="3086" spans="10:10" x14ac:dyDescent="0.3">
      <c r="J3086"/>
    </row>
    <row r="3087" spans="10:10" x14ac:dyDescent="0.3">
      <c r="J3087"/>
    </row>
    <row r="3088" spans="10:10" x14ac:dyDescent="0.3">
      <c r="J3088"/>
    </row>
    <row r="3089" spans="10:10" x14ac:dyDescent="0.3">
      <c r="J3089"/>
    </row>
    <row r="3090" spans="10:10" x14ac:dyDescent="0.3">
      <c r="J3090"/>
    </row>
    <row r="3091" spans="10:10" x14ac:dyDescent="0.3">
      <c r="J3091"/>
    </row>
    <row r="3092" spans="10:10" x14ac:dyDescent="0.3">
      <c r="J3092"/>
    </row>
    <row r="3093" spans="10:10" x14ac:dyDescent="0.3">
      <c r="J3093"/>
    </row>
    <row r="3094" spans="10:10" x14ac:dyDescent="0.3">
      <c r="J3094"/>
    </row>
    <row r="3095" spans="10:10" x14ac:dyDescent="0.3">
      <c r="J3095"/>
    </row>
    <row r="3096" spans="10:10" x14ac:dyDescent="0.3">
      <c r="J3096"/>
    </row>
    <row r="3097" spans="10:10" x14ac:dyDescent="0.3">
      <c r="J3097"/>
    </row>
    <row r="3098" spans="10:10" x14ac:dyDescent="0.3">
      <c r="J3098"/>
    </row>
    <row r="3099" spans="10:10" x14ac:dyDescent="0.3">
      <c r="J3099"/>
    </row>
    <row r="3100" spans="10:10" x14ac:dyDescent="0.3">
      <c r="J3100"/>
    </row>
    <row r="3101" spans="10:10" x14ac:dyDescent="0.3">
      <c r="J3101"/>
    </row>
    <row r="3102" spans="10:10" x14ac:dyDescent="0.3">
      <c r="J3102"/>
    </row>
    <row r="3103" spans="10:10" x14ac:dyDescent="0.3">
      <c r="J3103"/>
    </row>
    <row r="3104" spans="10:10" x14ac:dyDescent="0.3">
      <c r="J3104"/>
    </row>
    <row r="3105" spans="10:10" x14ac:dyDescent="0.3">
      <c r="J3105"/>
    </row>
    <row r="3106" spans="10:10" x14ac:dyDescent="0.3">
      <c r="J3106"/>
    </row>
    <row r="3107" spans="10:10" x14ac:dyDescent="0.3">
      <c r="J3107"/>
    </row>
    <row r="3108" spans="10:10" x14ac:dyDescent="0.3">
      <c r="J3108"/>
    </row>
    <row r="3109" spans="10:10" x14ac:dyDescent="0.3">
      <c r="J3109"/>
    </row>
    <row r="3110" spans="10:10" x14ac:dyDescent="0.3">
      <c r="J3110"/>
    </row>
    <row r="3111" spans="10:10" x14ac:dyDescent="0.3">
      <c r="J3111"/>
    </row>
    <row r="3112" spans="10:10" x14ac:dyDescent="0.3">
      <c r="J3112"/>
    </row>
    <row r="3113" spans="10:10" x14ac:dyDescent="0.3">
      <c r="J3113"/>
    </row>
    <row r="3114" spans="10:10" x14ac:dyDescent="0.3">
      <c r="J3114"/>
    </row>
    <row r="3115" spans="10:10" x14ac:dyDescent="0.3">
      <c r="J3115"/>
    </row>
    <row r="3116" spans="10:10" x14ac:dyDescent="0.3">
      <c r="J3116"/>
    </row>
    <row r="3117" spans="10:10" x14ac:dyDescent="0.3">
      <c r="J3117"/>
    </row>
    <row r="3118" spans="10:10" x14ac:dyDescent="0.3">
      <c r="J3118"/>
    </row>
    <row r="3119" spans="10:10" x14ac:dyDescent="0.3">
      <c r="J3119"/>
    </row>
    <row r="3120" spans="10:10" x14ac:dyDescent="0.3">
      <c r="J3120"/>
    </row>
    <row r="3121" spans="10:10" x14ac:dyDescent="0.3">
      <c r="J3121"/>
    </row>
    <row r="3122" spans="10:10" x14ac:dyDescent="0.3">
      <c r="J3122"/>
    </row>
    <row r="3123" spans="10:10" x14ac:dyDescent="0.3">
      <c r="J3123"/>
    </row>
    <row r="3124" spans="10:10" x14ac:dyDescent="0.3">
      <c r="J3124"/>
    </row>
    <row r="3125" spans="10:10" x14ac:dyDescent="0.3">
      <c r="J3125"/>
    </row>
    <row r="3126" spans="10:10" x14ac:dyDescent="0.3">
      <c r="J3126"/>
    </row>
    <row r="3127" spans="10:10" x14ac:dyDescent="0.3">
      <c r="J3127"/>
    </row>
    <row r="3128" spans="10:10" x14ac:dyDescent="0.3">
      <c r="J3128"/>
    </row>
    <row r="3129" spans="10:10" x14ac:dyDescent="0.3">
      <c r="J3129"/>
    </row>
    <row r="3130" spans="10:10" x14ac:dyDescent="0.3">
      <c r="J3130"/>
    </row>
    <row r="3131" spans="10:10" x14ac:dyDescent="0.3">
      <c r="J3131"/>
    </row>
    <row r="3132" spans="10:10" x14ac:dyDescent="0.3">
      <c r="J3132"/>
    </row>
    <row r="3133" spans="10:10" x14ac:dyDescent="0.3">
      <c r="J3133"/>
    </row>
    <row r="3134" spans="10:10" x14ac:dyDescent="0.3">
      <c r="J3134"/>
    </row>
    <row r="3135" spans="10:10" x14ac:dyDescent="0.3">
      <c r="J3135"/>
    </row>
    <row r="3136" spans="10:10" x14ac:dyDescent="0.3">
      <c r="J3136"/>
    </row>
    <row r="3137" spans="10:10" x14ac:dyDescent="0.3">
      <c r="J3137"/>
    </row>
    <row r="3138" spans="10:10" x14ac:dyDescent="0.3">
      <c r="J3138"/>
    </row>
    <row r="3139" spans="10:10" x14ac:dyDescent="0.3">
      <c r="J3139"/>
    </row>
    <row r="3140" spans="10:10" x14ac:dyDescent="0.3">
      <c r="J3140"/>
    </row>
    <row r="3141" spans="10:10" x14ac:dyDescent="0.3">
      <c r="J3141"/>
    </row>
    <row r="3142" spans="10:10" x14ac:dyDescent="0.3">
      <c r="J3142"/>
    </row>
    <row r="3143" spans="10:10" x14ac:dyDescent="0.3">
      <c r="J3143"/>
    </row>
    <row r="3144" spans="10:10" x14ac:dyDescent="0.3">
      <c r="J3144"/>
    </row>
    <row r="3145" spans="10:10" x14ac:dyDescent="0.3">
      <c r="J3145"/>
    </row>
    <row r="3146" spans="10:10" x14ac:dyDescent="0.3">
      <c r="J3146"/>
    </row>
    <row r="3147" spans="10:10" x14ac:dyDescent="0.3">
      <c r="J3147"/>
    </row>
    <row r="3148" spans="10:10" x14ac:dyDescent="0.3">
      <c r="J3148"/>
    </row>
    <row r="3149" spans="10:10" x14ac:dyDescent="0.3">
      <c r="J3149"/>
    </row>
    <row r="3150" spans="10:10" x14ac:dyDescent="0.3">
      <c r="J3150"/>
    </row>
    <row r="3151" spans="10:10" x14ac:dyDescent="0.3">
      <c r="J3151"/>
    </row>
    <row r="3152" spans="10:10" x14ac:dyDescent="0.3">
      <c r="J3152"/>
    </row>
    <row r="3153" spans="10:10" x14ac:dyDescent="0.3">
      <c r="J3153"/>
    </row>
    <row r="3154" spans="10:10" x14ac:dyDescent="0.3">
      <c r="J3154"/>
    </row>
    <row r="3155" spans="10:10" x14ac:dyDescent="0.3">
      <c r="J3155"/>
    </row>
    <row r="3156" spans="10:10" x14ac:dyDescent="0.3">
      <c r="J3156"/>
    </row>
    <row r="3157" spans="10:10" x14ac:dyDescent="0.3">
      <c r="J3157"/>
    </row>
    <row r="3158" spans="10:10" x14ac:dyDescent="0.3">
      <c r="J3158"/>
    </row>
    <row r="3159" spans="10:10" x14ac:dyDescent="0.3">
      <c r="J3159"/>
    </row>
    <row r="3160" spans="10:10" x14ac:dyDescent="0.3">
      <c r="J3160"/>
    </row>
    <row r="3161" spans="10:10" x14ac:dyDescent="0.3">
      <c r="J3161"/>
    </row>
    <row r="3162" spans="10:10" x14ac:dyDescent="0.3">
      <c r="J3162"/>
    </row>
    <row r="3163" spans="10:10" x14ac:dyDescent="0.3">
      <c r="J3163"/>
    </row>
    <row r="3164" spans="10:10" x14ac:dyDescent="0.3">
      <c r="J3164"/>
    </row>
    <row r="3165" spans="10:10" x14ac:dyDescent="0.3">
      <c r="J3165"/>
    </row>
    <row r="3166" spans="10:10" x14ac:dyDescent="0.3">
      <c r="J3166"/>
    </row>
    <row r="3167" spans="10:10" x14ac:dyDescent="0.3">
      <c r="J3167"/>
    </row>
    <row r="3168" spans="10:10" x14ac:dyDescent="0.3">
      <c r="J3168"/>
    </row>
    <row r="3169" spans="10:10" x14ac:dyDescent="0.3">
      <c r="J3169"/>
    </row>
    <row r="3170" spans="10:10" x14ac:dyDescent="0.3">
      <c r="J3170"/>
    </row>
    <row r="3171" spans="10:10" x14ac:dyDescent="0.3">
      <c r="J3171"/>
    </row>
    <row r="3172" spans="10:10" x14ac:dyDescent="0.3">
      <c r="J3172"/>
    </row>
    <row r="3173" spans="10:10" x14ac:dyDescent="0.3">
      <c r="J3173"/>
    </row>
    <row r="3174" spans="10:10" x14ac:dyDescent="0.3">
      <c r="J3174"/>
    </row>
    <row r="3175" spans="10:10" x14ac:dyDescent="0.3">
      <c r="J3175"/>
    </row>
    <row r="3176" spans="10:10" x14ac:dyDescent="0.3">
      <c r="J3176"/>
    </row>
    <row r="3177" spans="10:10" x14ac:dyDescent="0.3">
      <c r="J3177"/>
    </row>
    <row r="3178" spans="10:10" x14ac:dyDescent="0.3">
      <c r="J3178"/>
    </row>
    <row r="3179" spans="10:10" x14ac:dyDescent="0.3">
      <c r="J3179"/>
    </row>
    <row r="3180" spans="10:10" x14ac:dyDescent="0.3">
      <c r="J3180"/>
    </row>
    <row r="3181" spans="10:10" x14ac:dyDescent="0.3">
      <c r="J3181"/>
    </row>
    <row r="3182" spans="10:10" x14ac:dyDescent="0.3">
      <c r="J3182"/>
    </row>
    <row r="3183" spans="10:10" x14ac:dyDescent="0.3">
      <c r="J3183"/>
    </row>
    <row r="3184" spans="10:10" x14ac:dyDescent="0.3">
      <c r="J3184"/>
    </row>
    <row r="3185" spans="10:10" x14ac:dyDescent="0.3">
      <c r="J3185"/>
    </row>
    <row r="3186" spans="10:10" x14ac:dyDescent="0.3">
      <c r="J3186"/>
    </row>
    <row r="3187" spans="10:10" x14ac:dyDescent="0.3">
      <c r="J3187"/>
    </row>
    <row r="3188" spans="10:10" x14ac:dyDescent="0.3">
      <c r="J3188"/>
    </row>
    <row r="3189" spans="10:10" x14ac:dyDescent="0.3">
      <c r="J3189"/>
    </row>
    <row r="3190" spans="10:10" x14ac:dyDescent="0.3">
      <c r="J3190"/>
    </row>
    <row r="3191" spans="10:10" x14ac:dyDescent="0.3">
      <c r="J3191"/>
    </row>
    <row r="3192" spans="10:10" x14ac:dyDescent="0.3">
      <c r="J3192"/>
    </row>
    <row r="3193" spans="10:10" x14ac:dyDescent="0.3">
      <c r="J3193"/>
    </row>
    <row r="3194" spans="10:10" x14ac:dyDescent="0.3">
      <c r="J3194"/>
    </row>
    <row r="3195" spans="10:10" x14ac:dyDescent="0.3">
      <c r="J3195"/>
    </row>
    <row r="3196" spans="10:10" x14ac:dyDescent="0.3">
      <c r="J3196"/>
    </row>
    <row r="3197" spans="10:10" x14ac:dyDescent="0.3">
      <c r="J3197"/>
    </row>
    <row r="3198" spans="10:10" x14ac:dyDescent="0.3">
      <c r="J3198"/>
    </row>
    <row r="3199" spans="10:10" x14ac:dyDescent="0.3">
      <c r="J3199"/>
    </row>
    <row r="3200" spans="10:10" x14ac:dyDescent="0.3">
      <c r="J3200"/>
    </row>
    <row r="3201" spans="10:10" x14ac:dyDescent="0.3">
      <c r="J3201"/>
    </row>
    <row r="3202" spans="10:10" x14ac:dyDescent="0.3">
      <c r="J3202"/>
    </row>
    <row r="3203" spans="10:10" x14ac:dyDescent="0.3">
      <c r="J3203"/>
    </row>
    <row r="3204" spans="10:10" x14ac:dyDescent="0.3">
      <c r="J3204"/>
    </row>
    <row r="3205" spans="10:10" x14ac:dyDescent="0.3">
      <c r="J3205"/>
    </row>
    <row r="3206" spans="10:10" x14ac:dyDescent="0.3">
      <c r="J3206"/>
    </row>
    <row r="3207" spans="10:10" x14ac:dyDescent="0.3">
      <c r="J3207"/>
    </row>
    <row r="3208" spans="10:10" x14ac:dyDescent="0.3">
      <c r="J3208"/>
    </row>
    <row r="3209" spans="10:10" x14ac:dyDescent="0.3">
      <c r="J3209"/>
    </row>
    <row r="3210" spans="10:10" x14ac:dyDescent="0.3">
      <c r="J3210"/>
    </row>
    <row r="3211" spans="10:10" x14ac:dyDescent="0.3">
      <c r="J3211"/>
    </row>
    <row r="3212" spans="10:10" x14ac:dyDescent="0.3">
      <c r="J3212"/>
    </row>
    <row r="3213" spans="10:10" x14ac:dyDescent="0.3">
      <c r="J3213"/>
    </row>
    <row r="3214" spans="10:10" x14ac:dyDescent="0.3">
      <c r="J3214"/>
    </row>
    <row r="3215" spans="10:10" x14ac:dyDescent="0.3">
      <c r="J3215"/>
    </row>
    <row r="3216" spans="10:10" x14ac:dyDescent="0.3">
      <c r="J3216"/>
    </row>
    <row r="3217" spans="10:10" x14ac:dyDescent="0.3">
      <c r="J3217"/>
    </row>
    <row r="3218" spans="10:10" x14ac:dyDescent="0.3">
      <c r="J3218"/>
    </row>
    <row r="3219" spans="10:10" x14ac:dyDescent="0.3">
      <c r="J3219"/>
    </row>
    <row r="3220" spans="10:10" x14ac:dyDescent="0.3">
      <c r="J3220"/>
    </row>
    <row r="3221" spans="10:10" x14ac:dyDescent="0.3">
      <c r="J3221"/>
    </row>
    <row r="3222" spans="10:10" x14ac:dyDescent="0.3">
      <c r="J3222"/>
    </row>
    <row r="3223" spans="10:10" x14ac:dyDescent="0.3">
      <c r="J3223"/>
    </row>
    <row r="3224" spans="10:10" x14ac:dyDescent="0.3">
      <c r="J3224"/>
    </row>
    <row r="3225" spans="10:10" x14ac:dyDescent="0.3">
      <c r="J3225"/>
    </row>
    <row r="3226" spans="10:10" x14ac:dyDescent="0.3">
      <c r="J3226"/>
    </row>
    <row r="3227" spans="10:10" x14ac:dyDescent="0.3">
      <c r="J3227"/>
    </row>
    <row r="3228" spans="10:10" x14ac:dyDescent="0.3">
      <c r="J3228"/>
    </row>
    <row r="3229" spans="10:10" x14ac:dyDescent="0.3">
      <c r="J3229"/>
    </row>
    <row r="3230" spans="10:10" x14ac:dyDescent="0.3">
      <c r="J3230"/>
    </row>
    <row r="3231" spans="10:10" x14ac:dyDescent="0.3">
      <c r="J3231"/>
    </row>
    <row r="3232" spans="10:10" x14ac:dyDescent="0.3">
      <c r="J3232"/>
    </row>
    <row r="3233" spans="10:10" x14ac:dyDescent="0.3">
      <c r="J3233"/>
    </row>
    <row r="3234" spans="10:10" x14ac:dyDescent="0.3">
      <c r="J3234"/>
    </row>
    <row r="3235" spans="10:10" x14ac:dyDescent="0.3">
      <c r="J3235"/>
    </row>
    <row r="3236" spans="10:10" x14ac:dyDescent="0.3">
      <c r="J3236"/>
    </row>
    <row r="3237" spans="10:10" x14ac:dyDescent="0.3">
      <c r="J3237"/>
    </row>
    <row r="3238" spans="10:10" x14ac:dyDescent="0.3">
      <c r="J3238"/>
    </row>
    <row r="3239" spans="10:10" x14ac:dyDescent="0.3">
      <c r="J3239"/>
    </row>
    <row r="3240" spans="10:10" x14ac:dyDescent="0.3">
      <c r="J3240"/>
    </row>
    <row r="3241" spans="10:10" x14ac:dyDescent="0.3">
      <c r="J3241"/>
    </row>
    <row r="3242" spans="10:10" x14ac:dyDescent="0.3">
      <c r="J3242"/>
    </row>
    <row r="3243" spans="10:10" x14ac:dyDescent="0.3">
      <c r="J3243"/>
    </row>
    <row r="3244" spans="10:10" x14ac:dyDescent="0.3">
      <c r="J3244"/>
    </row>
    <row r="3245" spans="10:10" x14ac:dyDescent="0.3">
      <c r="J3245"/>
    </row>
    <row r="3246" spans="10:10" x14ac:dyDescent="0.3">
      <c r="J3246"/>
    </row>
    <row r="3247" spans="10:10" x14ac:dyDescent="0.3">
      <c r="J3247"/>
    </row>
    <row r="3248" spans="10:10" x14ac:dyDescent="0.3">
      <c r="J3248"/>
    </row>
    <row r="3249" spans="10:10" x14ac:dyDescent="0.3">
      <c r="J3249"/>
    </row>
    <row r="3250" spans="10:10" x14ac:dyDescent="0.3">
      <c r="J3250"/>
    </row>
    <row r="3251" spans="10:10" x14ac:dyDescent="0.3">
      <c r="J3251"/>
    </row>
    <row r="3252" spans="10:10" x14ac:dyDescent="0.3">
      <c r="J3252"/>
    </row>
    <row r="3253" spans="10:10" x14ac:dyDescent="0.3">
      <c r="J3253"/>
    </row>
    <row r="3254" spans="10:10" x14ac:dyDescent="0.3">
      <c r="J3254"/>
    </row>
    <row r="3255" spans="10:10" x14ac:dyDescent="0.3">
      <c r="J3255"/>
    </row>
    <row r="3256" spans="10:10" x14ac:dyDescent="0.3">
      <c r="J3256"/>
    </row>
    <row r="3257" spans="10:10" x14ac:dyDescent="0.3">
      <c r="J3257"/>
    </row>
    <row r="3258" spans="10:10" x14ac:dyDescent="0.3">
      <c r="J3258"/>
    </row>
    <row r="3259" spans="10:10" x14ac:dyDescent="0.3">
      <c r="J3259"/>
    </row>
    <row r="3260" spans="10:10" x14ac:dyDescent="0.3">
      <c r="J3260"/>
    </row>
    <row r="3261" spans="10:10" x14ac:dyDescent="0.3">
      <c r="J3261"/>
    </row>
    <row r="3262" spans="10:10" x14ac:dyDescent="0.3">
      <c r="J3262"/>
    </row>
    <row r="3263" spans="10:10" x14ac:dyDescent="0.3">
      <c r="J3263"/>
    </row>
    <row r="3264" spans="10:10" x14ac:dyDescent="0.3">
      <c r="J3264"/>
    </row>
    <row r="3265" spans="10:10" x14ac:dyDescent="0.3">
      <c r="J3265"/>
    </row>
    <row r="3266" spans="10:10" x14ac:dyDescent="0.3">
      <c r="J3266"/>
    </row>
    <row r="3267" spans="10:10" x14ac:dyDescent="0.3">
      <c r="J3267"/>
    </row>
    <row r="3268" spans="10:10" x14ac:dyDescent="0.3">
      <c r="J3268"/>
    </row>
    <row r="3269" spans="10:10" x14ac:dyDescent="0.3">
      <c r="J3269"/>
    </row>
    <row r="3270" spans="10:10" x14ac:dyDescent="0.3">
      <c r="J3270"/>
    </row>
    <row r="3271" spans="10:10" x14ac:dyDescent="0.3">
      <c r="J3271"/>
    </row>
    <row r="3272" spans="10:10" x14ac:dyDescent="0.3">
      <c r="J3272"/>
    </row>
    <row r="3273" spans="10:10" x14ac:dyDescent="0.3">
      <c r="J3273"/>
    </row>
    <row r="3274" spans="10:10" x14ac:dyDescent="0.3">
      <c r="J3274"/>
    </row>
    <row r="3275" spans="10:10" x14ac:dyDescent="0.3">
      <c r="J3275"/>
    </row>
    <row r="3276" spans="10:10" x14ac:dyDescent="0.3">
      <c r="J3276"/>
    </row>
    <row r="3277" spans="10:10" x14ac:dyDescent="0.3">
      <c r="J3277"/>
    </row>
    <row r="3278" spans="10:10" x14ac:dyDescent="0.3">
      <c r="J3278"/>
    </row>
    <row r="3279" spans="10:10" x14ac:dyDescent="0.3">
      <c r="J3279"/>
    </row>
    <row r="3280" spans="10:10" x14ac:dyDescent="0.3">
      <c r="J3280"/>
    </row>
    <row r="3281" spans="10:10" x14ac:dyDescent="0.3">
      <c r="J3281"/>
    </row>
    <row r="3282" spans="10:10" x14ac:dyDescent="0.3">
      <c r="J3282"/>
    </row>
    <row r="3283" spans="10:10" x14ac:dyDescent="0.3">
      <c r="J3283"/>
    </row>
    <row r="3284" spans="10:10" x14ac:dyDescent="0.3">
      <c r="J3284"/>
    </row>
    <row r="3285" spans="10:10" x14ac:dyDescent="0.3">
      <c r="J3285"/>
    </row>
    <row r="3286" spans="10:10" x14ac:dyDescent="0.3">
      <c r="J3286"/>
    </row>
    <row r="3287" spans="10:10" x14ac:dyDescent="0.3">
      <c r="J3287"/>
    </row>
    <row r="3288" spans="10:10" x14ac:dyDescent="0.3">
      <c r="J3288"/>
    </row>
    <row r="3289" spans="10:10" x14ac:dyDescent="0.3">
      <c r="J3289"/>
    </row>
    <row r="3290" spans="10:10" x14ac:dyDescent="0.3">
      <c r="J3290"/>
    </row>
    <row r="3291" spans="10:10" x14ac:dyDescent="0.3">
      <c r="J3291"/>
    </row>
    <row r="3292" spans="10:10" x14ac:dyDescent="0.3">
      <c r="J3292"/>
    </row>
    <row r="3293" spans="10:10" x14ac:dyDescent="0.3">
      <c r="J3293"/>
    </row>
    <row r="3294" spans="10:10" x14ac:dyDescent="0.3">
      <c r="J3294"/>
    </row>
    <row r="3295" spans="10:10" x14ac:dyDescent="0.3">
      <c r="J3295"/>
    </row>
    <row r="3296" spans="10:10" x14ac:dyDescent="0.3">
      <c r="J3296"/>
    </row>
    <row r="3297" spans="10:10" x14ac:dyDescent="0.3">
      <c r="J3297"/>
    </row>
    <row r="3298" spans="10:10" x14ac:dyDescent="0.3">
      <c r="J3298"/>
    </row>
    <row r="3299" spans="10:10" x14ac:dyDescent="0.3">
      <c r="J3299"/>
    </row>
    <row r="3300" spans="10:10" x14ac:dyDescent="0.3">
      <c r="J3300"/>
    </row>
    <row r="3301" spans="10:10" x14ac:dyDescent="0.3">
      <c r="J3301"/>
    </row>
    <row r="3302" spans="10:10" x14ac:dyDescent="0.3">
      <c r="J3302"/>
    </row>
    <row r="3303" spans="10:10" x14ac:dyDescent="0.3">
      <c r="J3303"/>
    </row>
    <row r="3304" spans="10:10" x14ac:dyDescent="0.3">
      <c r="J3304"/>
    </row>
    <row r="3305" spans="10:10" x14ac:dyDescent="0.3">
      <c r="J3305"/>
    </row>
    <row r="3306" spans="10:10" x14ac:dyDescent="0.3">
      <c r="J3306"/>
    </row>
    <row r="3307" spans="10:10" x14ac:dyDescent="0.3">
      <c r="J3307"/>
    </row>
    <row r="3308" spans="10:10" x14ac:dyDescent="0.3">
      <c r="J3308"/>
    </row>
    <row r="3309" spans="10:10" x14ac:dyDescent="0.3">
      <c r="J3309"/>
    </row>
    <row r="3310" spans="10:10" x14ac:dyDescent="0.3">
      <c r="J3310"/>
    </row>
    <row r="3311" spans="10:10" x14ac:dyDescent="0.3">
      <c r="J3311"/>
    </row>
    <row r="3312" spans="10:10" x14ac:dyDescent="0.3">
      <c r="J3312"/>
    </row>
    <row r="3313" spans="10:10" x14ac:dyDescent="0.3">
      <c r="J3313"/>
    </row>
    <row r="3314" spans="10:10" x14ac:dyDescent="0.3">
      <c r="J3314"/>
    </row>
    <row r="3315" spans="10:10" x14ac:dyDescent="0.3">
      <c r="J3315"/>
    </row>
    <row r="3316" spans="10:10" x14ac:dyDescent="0.3">
      <c r="J3316"/>
    </row>
    <row r="3317" spans="10:10" x14ac:dyDescent="0.3">
      <c r="J3317"/>
    </row>
    <row r="3318" spans="10:10" x14ac:dyDescent="0.3">
      <c r="J3318"/>
    </row>
    <row r="3319" spans="10:10" x14ac:dyDescent="0.3">
      <c r="J3319"/>
    </row>
    <row r="3320" spans="10:10" x14ac:dyDescent="0.3">
      <c r="J3320"/>
    </row>
    <row r="3321" spans="10:10" x14ac:dyDescent="0.3">
      <c r="J3321"/>
    </row>
    <row r="3322" spans="10:10" x14ac:dyDescent="0.3">
      <c r="J3322"/>
    </row>
    <row r="3323" spans="10:10" x14ac:dyDescent="0.3">
      <c r="J3323"/>
    </row>
    <row r="3324" spans="10:10" x14ac:dyDescent="0.3">
      <c r="J3324"/>
    </row>
    <row r="3325" spans="10:10" x14ac:dyDescent="0.3">
      <c r="J3325"/>
    </row>
    <row r="3326" spans="10:10" x14ac:dyDescent="0.3">
      <c r="J3326"/>
    </row>
    <row r="3327" spans="10:10" x14ac:dyDescent="0.3">
      <c r="J3327"/>
    </row>
    <row r="3328" spans="10:10" x14ac:dyDescent="0.3">
      <c r="J3328"/>
    </row>
    <row r="3329" spans="10:10" x14ac:dyDescent="0.3">
      <c r="J3329"/>
    </row>
    <row r="3330" spans="10:10" x14ac:dyDescent="0.3">
      <c r="J3330"/>
    </row>
    <row r="3331" spans="10:10" x14ac:dyDescent="0.3">
      <c r="J3331"/>
    </row>
    <row r="3332" spans="10:10" x14ac:dyDescent="0.3">
      <c r="J3332"/>
    </row>
    <row r="3333" spans="10:10" x14ac:dyDescent="0.3">
      <c r="J3333"/>
    </row>
    <row r="3334" spans="10:10" x14ac:dyDescent="0.3">
      <c r="J3334"/>
    </row>
    <row r="3335" spans="10:10" x14ac:dyDescent="0.3">
      <c r="J3335"/>
    </row>
    <row r="3336" spans="10:10" x14ac:dyDescent="0.3">
      <c r="J3336"/>
    </row>
    <row r="3337" spans="10:10" x14ac:dyDescent="0.3">
      <c r="J3337"/>
    </row>
    <row r="3338" spans="10:10" x14ac:dyDescent="0.3">
      <c r="J3338"/>
    </row>
    <row r="3339" spans="10:10" x14ac:dyDescent="0.3">
      <c r="J3339"/>
    </row>
    <row r="3340" spans="10:10" x14ac:dyDescent="0.3">
      <c r="J3340"/>
    </row>
    <row r="3341" spans="10:10" x14ac:dyDescent="0.3">
      <c r="J3341"/>
    </row>
    <row r="3342" spans="10:10" x14ac:dyDescent="0.3">
      <c r="J3342"/>
    </row>
    <row r="3343" spans="10:10" x14ac:dyDescent="0.3">
      <c r="J3343"/>
    </row>
    <row r="3344" spans="10:10" x14ac:dyDescent="0.3">
      <c r="J3344"/>
    </row>
    <row r="3345" spans="10:10" x14ac:dyDescent="0.3">
      <c r="J3345"/>
    </row>
    <row r="3346" spans="10:10" x14ac:dyDescent="0.3">
      <c r="J3346"/>
    </row>
    <row r="3347" spans="10:10" x14ac:dyDescent="0.3">
      <c r="J3347"/>
    </row>
    <row r="3348" spans="10:10" x14ac:dyDescent="0.3">
      <c r="J3348"/>
    </row>
    <row r="3349" spans="10:10" x14ac:dyDescent="0.3">
      <c r="J3349"/>
    </row>
    <row r="3350" spans="10:10" x14ac:dyDescent="0.3">
      <c r="J3350"/>
    </row>
    <row r="3351" spans="10:10" x14ac:dyDescent="0.3">
      <c r="J3351"/>
    </row>
    <row r="3352" spans="10:10" x14ac:dyDescent="0.3">
      <c r="J3352"/>
    </row>
    <row r="3353" spans="10:10" x14ac:dyDescent="0.3">
      <c r="J3353"/>
    </row>
    <row r="3354" spans="10:10" x14ac:dyDescent="0.3">
      <c r="J3354"/>
    </row>
    <row r="3355" spans="10:10" x14ac:dyDescent="0.3">
      <c r="J3355"/>
    </row>
    <row r="3356" spans="10:10" x14ac:dyDescent="0.3">
      <c r="J3356"/>
    </row>
    <row r="3357" spans="10:10" x14ac:dyDescent="0.3">
      <c r="J3357"/>
    </row>
    <row r="3358" spans="10:10" x14ac:dyDescent="0.3">
      <c r="J3358"/>
    </row>
    <row r="3359" spans="10:10" x14ac:dyDescent="0.3">
      <c r="J3359"/>
    </row>
    <row r="3360" spans="10:10" x14ac:dyDescent="0.3">
      <c r="J3360"/>
    </row>
    <row r="3361" spans="10:10" x14ac:dyDescent="0.3">
      <c r="J3361"/>
    </row>
    <row r="3362" spans="10:10" x14ac:dyDescent="0.3">
      <c r="J3362"/>
    </row>
    <row r="3363" spans="10:10" x14ac:dyDescent="0.3">
      <c r="J3363"/>
    </row>
    <row r="3364" spans="10:10" x14ac:dyDescent="0.3">
      <c r="J3364"/>
    </row>
    <row r="3365" spans="10:10" x14ac:dyDescent="0.3">
      <c r="J3365"/>
    </row>
    <row r="3366" spans="10:10" x14ac:dyDescent="0.3">
      <c r="J3366"/>
    </row>
    <row r="3367" spans="10:10" x14ac:dyDescent="0.3">
      <c r="J3367"/>
    </row>
    <row r="3368" spans="10:10" x14ac:dyDescent="0.3">
      <c r="J3368"/>
    </row>
    <row r="3369" spans="10:10" x14ac:dyDescent="0.3">
      <c r="J3369"/>
    </row>
    <row r="3370" spans="10:10" x14ac:dyDescent="0.3">
      <c r="J3370"/>
    </row>
    <row r="3371" spans="10:10" x14ac:dyDescent="0.3">
      <c r="J3371"/>
    </row>
    <row r="3372" spans="10:10" x14ac:dyDescent="0.3">
      <c r="J3372"/>
    </row>
    <row r="3373" spans="10:10" x14ac:dyDescent="0.3">
      <c r="J3373"/>
    </row>
    <row r="3374" spans="10:10" x14ac:dyDescent="0.3">
      <c r="J3374"/>
    </row>
    <row r="3375" spans="10:10" x14ac:dyDescent="0.3">
      <c r="J3375"/>
    </row>
    <row r="3376" spans="10:10" x14ac:dyDescent="0.3">
      <c r="J3376"/>
    </row>
    <row r="3377" spans="10:10" x14ac:dyDescent="0.3">
      <c r="J3377"/>
    </row>
    <row r="3378" spans="10:10" x14ac:dyDescent="0.3">
      <c r="J3378"/>
    </row>
    <row r="3379" spans="10:10" x14ac:dyDescent="0.3">
      <c r="J3379"/>
    </row>
    <row r="3380" spans="10:10" x14ac:dyDescent="0.3">
      <c r="J3380"/>
    </row>
    <row r="3381" spans="10:10" x14ac:dyDescent="0.3">
      <c r="J3381"/>
    </row>
    <row r="3382" spans="10:10" x14ac:dyDescent="0.3">
      <c r="J3382"/>
    </row>
    <row r="3383" spans="10:10" x14ac:dyDescent="0.3">
      <c r="J3383"/>
    </row>
    <row r="3384" spans="10:10" x14ac:dyDescent="0.3">
      <c r="J3384"/>
    </row>
    <row r="3385" spans="10:10" x14ac:dyDescent="0.3">
      <c r="J3385"/>
    </row>
    <row r="3386" spans="10:10" x14ac:dyDescent="0.3">
      <c r="J3386"/>
    </row>
    <row r="3387" spans="10:10" x14ac:dyDescent="0.3">
      <c r="J3387"/>
    </row>
    <row r="3388" spans="10:10" x14ac:dyDescent="0.3">
      <c r="J3388"/>
    </row>
    <row r="3389" spans="10:10" x14ac:dyDescent="0.3">
      <c r="J3389"/>
    </row>
    <row r="3390" spans="10:10" x14ac:dyDescent="0.3">
      <c r="J3390"/>
    </row>
    <row r="3391" spans="10:10" x14ac:dyDescent="0.3">
      <c r="J3391"/>
    </row>
    <row r="3392" spans="10:10" x14ac:dyDescent="0.3">
      <c r="J3392"/>
    </row>
    <row r="3393" spans="10:10" x14ac:dyDescent="0.3">
      <c r="J3393"/>
    </row>
    <row r="3394" spans="10:10" x14ac:dyDescent="0.3">
      <c r="J3394"/>
    </row>
    <row r="3395" spans="10:10" x14ac:dyDescent="0.3">
      <c r="J3395"/>
    </row>
    <row r="3396" spans="10:10" x14ac:dyDescent="0.3">
      <c r="J3396"/>
    </row>
    <row r="3397" spans="10:10" x14ac:dyDescent="0.3">
      <c r="J3397"/>
    </row>
    <row r="3398" spans="10:10" x14ac:dyDescent="0.3">
      <c r="J3398"/>
    </row>
    <row r="3399" spans="10:10" x14ac:dyDescent="0.3">
      <c r="J3399"/>
    </row>
    <row r="3400" spans="10:10" x14ac:dyDescent="0.3">
      <c r="J3400"/>
    </row>
    <row r="3401" spans="10:10" x14ac:dyDescent="0.3">
      <c r="J3401"/>
    </row>
    <row r="3402" spans="10:10" x14ac:dyDescent="0.3">
      <c r="J3402"/>
    </row>
    <row r="3403" spans="10:10" x14ac:dyDescent="0.3">
      <c r="J3403"/>
    </row>
    <row r="3404" spans="10:10" x14ac:dyDescent="0.3">
      <c r="J3404"/>
    </row>
    <row r="3405" spans="10:10" x14ac:dyDescent="0.3">
      <c r="J3405"/>
    </row>
    <row r="3406" spans="10:10" x14ac:dyDescent="0.3">
      <c r="J3406"/>
    </row>
    <row r="3407" spans="10:10" x14ac:dyDescent="0.3">
      <c r="J3407"/>
    </row>
    <row r="3408" spans="10:10" x14ac:dyDescent="0.3">
      <c r="J3408"/>
    </row>
    <row r="3409" spans="10:10" x14ac:dyDescent="0.3">
      <c r="J3409"/>
    </row>
    <row r="3410" spans="10:10" x14ac:dyDescent="0.3">
      <c r="J3410"/>
    </row>
    <row r="3411" spans="10:10" x14ac:dyDescent="0.3">
      <c r="J3411"/>
    </row>
    <row r="3412" spans="10:10" x14ac:dyDescent="0.3">
      <c r="J3412"/>
    </row>
    <row r="3413" spans="10:10" x14ac:dyDescent="0.3">
      <c r="J3413"/>
    </row>
    <row r="3414" spans="10:10" x14ac:dyDescent="0.3">
      <c r="J3414"/>
    </row>
    <row r="3415" spans="10:10" x14ac:dyDescent="0.3">
      <c r="J3415"/>
    </row>
    <row r="3416" spans="10:10" x14ac:dyDescent="0.3">
      <c r="J3416"/>
    </row>
    <row r="3417" spans="10:10" x14ac:dyDescent="0.3">
      <c r="J3417"/>
    </row>
    <row r="3418" spans="10:10" x14ac:dyDescent="0.3">
      <c r="J3418"/>
    </row>
    <row r="3419" spans="10:10" x14ac:dyDescent="0.3">
      <c r="J3419"/>
    </row>
    <row r="3420" spans="10:10" x14ac:dyDescent="0.3">
      <c r="J3420"/>
    </row>
    <row r="3421" spans="10:10" x14ac:dyDescent="0.3">
      <c r="J3421"/>
    </row>
    <row r="3422" spans="10:10" x14ac:dyDescent="0.3">
      <c r="J3422"/>
    </row>
    <row r="3423" spans="10:10" x14ac:dyDescent="0.3">
      <c r="J3423"/>
    </row>
    <row r="3424" spans="10:10" x14ac:dyDescent="0.3">
      <c r="J3424"/>
    </row>
    <row r="3425" spans="10:10" x14ac:dyDescent="0.3">
      <c r="J3425"/>
    </row>
    <row r="3426" spans="10:10" x14ac:dyDescent="0.3">
      <c r="J3426"/>
    </row>
    <row r="3427" spans="10:10" x14ac:dyDescent="0.3">
      <c r="J3427"/>
    </row>
    <row r="3428" spans="10:10" x14ac:dyDescent="0.3">
      <c r="J3428"/>
    </row>
    <row r="3429" spans="10:10" x14ac:dyDescent="0.3">
      <c r="J3429"/>
    </row>
    <row r="3430" spans="10:10" x14ac:dyDescent="0.3">
      <c r="J3430"/>
    </row>
    <row r="3431" spans="10:10" x14ac:dyDescent="0.3">
      <c r="J3431"/>
    </row>
    <row r="3432" spans="10:10" x14ac:dyDescent="0.3">
      <c r="J3432"/>
    </row>
    <row r="3433" spans="10:10" x14ac:dyDescent="0.3">
      <c r="J3433"/>
    </row>
    <row r="3434" spans="10:10" x14ac:dyDescent="0.3">
      <c r="J3434"/>
    </row>
    <row r="3435" spans="10:10" x14ac:dyDescent="0.3">
      <c r="J3435"/>
    </row>
    <row r="3436" spans="10:10" x14ac:dyDescent="0.3">
      <c r="J3436"/>
    </row>
    <row r="3437" spans="10:10" x14ac:dyDescent="0.3">
      <c r="J3437"/>
    </row>
    <row r="3438" spans="10:10" x14ac:dyDescent="0.3">
      <c r="J3438"/>
    </row>
    <row r="3439" spans="10:10" x14ac:dyDescent="0.3">
      <c r="J3439"/>
    </row>
    <row r="3440" spans="10:10" x14ac:dyDescent="0.3">
      <c r="J3440"/>
    </row>
    <row r="3441" spans="10:10" x14ac:dyDescent="0.3">
      <c r="J3441"/>
    </row>
    <row r="3442" spans="10:10" x14ac:dyDescent="0.3">
      <c r="J3442"/>
    </row>
    <row r="3443" spans="10:10" x14ac:dyDescent="0.3">
      <c r="J3443"/>
    </row>
    <row r="3444" spans="10:10" x14ac:dyDescent="0.3">
      <c r="J3444"/>
    </row>
    <row r="3445" spans="10:10" x14ac:dyDescent="0.3">
      <c r="J3445"/>
    </row>
    <row r="3446" spans="10:10" x14ac:dyDescent="0.3">
      <c r="J3446"/>
    </row>
    <row r="3447" spans="10:10" x14ac:dyDescent="0.3">
      <c r="J3447"/>
    </row>
    <row r="3448" spans="10:10" x14ac:dyDescent="0.3">
      <c r="J3448"/>
    </row>
    <row r="3449" spans="10:10" x14ac:dyDescent="0.3">
      <c r="J3449"/>
    </row>
    <row r="3450" spans="10:10" x14ac:dyDescent="0.3">
      <c r="J3450"/>
    </row>
    <row r="3451" spans="10:10" x14ac:dyDescent="0.3">
      <c r="J3451"/>
    </row>
    <row r="3452" spans="10:10" x14ac:dyDescent="0.3">
      <c r="J3452"/>
    </row>
    <row r="3453" spans="10:10" x14ac:dyDescent="0.3">
      <c r="J3453"/>
    </row>
    <row r="3454" spans="10:10" x14ac:dyDescent="0.3">
      <c r="J3454"/>
    </row>
    <row r="3455" spans="10:10" x14ac:dyDescent="0.3">
      <c r="J3455"/>
    </row>
    <row r="3456" spans="10:10" x14ac:dyDescent="0.3">
      <c r="J3456"/>
    </row>
    <row r="3457" spans="10:10" x14ac:dyDescent="0.3">
      <c r="J3457"/>
    </row>
    <row r="3458" spans="10:10" x14ac:dyDescent="0.3">
      <c r="J3458"/>
    </row>
    <row r="3459" spans="10:10" x14ac:dyDescent="0.3">
      <c r="J3459"/>
    </row>
    <row r="3460" spans="10:10" x14ac:dyDescent="0.3">
      <c r="J3460"/>
    </row>
    <row r="3461" spans="10:10" x14ac:dyDescent="0.3">
      <c r="J3461"/>
    </row>
    <row r="3462" spans="10:10" x14ac:dyDescent="0.3">
      <c r="J3462"/>
    </row>
    <row r="3463" spans="10:10" x14ac:dyDescent="0.3">
      <c r="J3463"/>
    </row>
    <row r="3464" spans="10:10" x14ac:dyDescent="0.3">
      <c r="J3464"/>
    </row>
    <row r="3465" spans="10:10" x14ac:dyDescent="0.3">
      <c r="J3465"/>
    </row>
    <row r="3466" spans="10:10" x14ac:dyDescent="0.3">
      <c r="J3466"/>
    </row>
    <row r="3467" spans="10:10" x14ac:dyDescent="0.3">
      <c r="J3467"/>
    </row>
    <row r="3468" spans="10:10" x14ac:dyDescent="0.3">
      <c r="J3468"/>
    </row>
    <row r="3469" spans="10:10" x14ac:dyDescent="0.3">
      <c r="J3469"/>
    </row>
    <row r="3470" spans="10:10" x14ac:dyDescent="0.3">
      <c r="J3470"/>
    </row>
    <row r="3471" spans="10:10" x14ac:dyDescent="0.3">
      <c r="J3471"/>
    </row>
    <row r="3472" spans="10:10" x14ac:dyDescent="0.3">
      <c r="J3472"/>
    </row>
    <row r="3473" spans="10:10" x14ac:dyDescent="0.3">
      <c r="J3473"/>
    </row>
    <row r="3474" spans="10:10" x14ac:dyDescent="0.3">
      <c r="J3474"/>
    </row>
    <row r="3475" spans="10:10" x14ac:dyDescent="0.3">
      <c r="J3475"/>
    </row>
    <row r="3476" spans="10:10" x14ac:dyDescent="0.3">
      <c r="J3476"/>
    </row>
    <row r="3477" spans="10:10" x14ac:dyDescent="0.3">
      <c r="J3477"/>
    </row>
    <row r="3478" spans="10:10" x14ac:dyDescent="0.3">
      <c r="J3478"/>
    </row>
    <row r="3479" spans="10:10" x14ac:dyDescent="0.3">
      <c r="J3479"/>
    </row>
    <row r="3480" spans="10:10" x14ac:dyDescent="0.3">
      <c r="J3480"/>
    </row>
    <row r="3481" spans="10:10" x14ac:dyDescent="0.3">
      <c r="J3481"/>
    </row>
    <row r="3482" spans="10:10" x14ac:dyDescent="0.3">
      <c r="J3482"/>
    </row>
    <row r="3483" spans="10:10" x14ac:dyDescent="0.3">
      <c r="J3483"/>
    </row>
    <row r="3484" spans="10:10" x14ac:dyDescent="0.3">
      <c r="J3484"/>
    </row>
    <row r="3485" spans="10:10" x14ac:dyDescent="0.3">
      <c r="J3485"/>
    </row>
    <row r="3486" spans="10:10" x14ac:dyDescent="0.3">
      <c r="J3486"/>
    </row>
    <row r="3487" spans="10:10" x14ac:dyDescent="0.3">
      <c r="J3487"/>
    </row>
    <row r="3488" spans="10:10" x14ac:dyDescent="0.3">
      <c r="J3488"/>
    </row>
    <row r="3489" spans="10:10" x14ac:dyDescent="0.3">
      <c r="J3489"/>
    </row>
    <row r="3490" spans="10:10" x14ac:dyDescent="0.3">
      <c r="J3490"/>
    </row>
    <row r="3491" spans="10:10" x14ac:dyDescent="0.3">
      <c r="J3491"/>
    </row>
    <row r="3492" spans="10:10" x14ac:dyDescent="0.3">
      <c r="J3492"/>
    </row>
    <row r="3493" spans="10:10" x14ac:dyDescent="0.3">
      <c r="J3493"/>
    </row>
    <row r="3494" spans="10:10" x14ac:dyDescent="0.3">
      <c r="J3494"/>
    </row>
    <row r="3495" spans="10:10" x14ac:dyDescent="0.3">
      <c r="J3495"/>
    </row>
    <row r="3496" spans="10:10" x14ac:dyDescent="0.3">
      <c r="J3496"/>
    </row>
    <row r="3497" spans="10:10" x14ac:dyDescent="0.3">
      <c r="J3497"/>
    </row>
    <row r="3498" spans="10:10" x14ac:dyDescent="0.3">
      <c r="J3498"/>
    </row>
    <row r="3499" spans="10:10" x14ac:dyDescent="0.3">
      <c r="J3499"/>
    </row>
    <row r="3500" spans="10:10" x14ac:dyDescent="0.3">
      <c r="J3500"/>
    </row>
    <row r="3501" spans="10:10" x14ac:dyDescent="0.3">
      <c r="J3501"/>
    </row>
    <row r="3502" spans="10:10" x14ac:dyDescent="0.3">
      <c r="J3502"/>
    </row>
    <row r="3503" spans="10:10" x14ac:dyDescent="0.3">
      <c r="J3503"/>
    </row>
    <row r="3504" spans="10:10" x14ac:dyDescent="0.3">
      <c r="J3504"/>
    </row>
    <row r="3505" spans="10:10" x14ac:dyDescent="0.3">
      <c r="J3505"/>
    </row>
    <row r="3506" spans="10:10" x14ac:dyDescent="0.3">
      <c r="J3506"/>
    </row>
    <row r="3507" spans="10:10" x14ac:dyDescent="0.3">
      <c r="J3507"/>
    </row>
    <row r="3508" spans="10:10" x14ac:dyDescent="0.3">
      <c r="J3508"/>
    </row>
    <row r="3509" spans="10:10" x14ac:dyDescent="0.3">
      <c r="J3509"/>
    </row>
    <row r="3510" spans="10:10" x14ac:dyDescent="0.3">
      <c r="J3510"/>
    </row>
    <row r="3511" spans="10:10" x14ac:dyDescent="0.3">
      <c r="J3511"/>
    </row>
    <row r="3512" spans="10:10" x14ac:dyDescent="0.3">
      <c r="J3512"/>
    </row>
    <row r="3513" spans="10:10" x14ac:dyDescent="0.3">
      <c r="J3513"/>
    </row>
    <row r="3514" spans="10:10" x14ac:dyDescent="0.3">
      <c r="J3514"/>
    </row>
    <row r="3515" spans="10:10" x14ac:dyDescent="0.3">
      <c r="J3515"/>
    </row>
    <row r="3516" spans="10:10" x14ac:dyDescent="0.3">
      <c r="J3516"/>
    </row>
    <row r="3517" spans="10:10" x14ac:dyDescent="0.3">
      <c r="J3517"/>
    </row>
    <row r="3518" spans="10:10" x14ac:dyDescent="0.3">
      <c r="J3518"/>
    </row>
    <row r="3519" spans="10:10" x14ac:dyDescent="0.3">
      <c r="J3519"/>
    </row>
    <row r="3520" spans="10:10" x14ac:dyDescent="0.3">
      <c r="J3520"/>
    </row>
    <row r="3521" spans="10:10" x14ac:dyDescent="0.3">
      <c r="J3521"/>
    </row>
    <row r="3522" spans="10:10" x14ac:dyDescent="0.3">
      <c r="J3522"/>
    </row>
    <row r="3523" spans="10:10" x14ac:dyDescent="0.3">
      <c r="J3523"/>
    </row>
    <row r="3524" spans="10:10" x14ac:dyDescent="0.3">
      <c r="J3524"/>
    </row>
    <row r="3525" spans="10:10" x14ac:dyDescent="0.3">
      <c r="J3525"/>
    </row>
    <row r="3526" spans="10:10" x14ac:dyDescent="0.3">
      <c r="J3526"/>
    </row>
    <row r="3527" spans="10:10" x14ac:dyDescent="0.3">
      <c r="J3527"/>
    </row>
    <row r="3528" spans="10:10" x14ac:dyDescent="0.3">
      <c r="J3528"/>
    </row>
    <row r="3529" spans="10:10" x14ac:dyDescent="0.3">
      <c r="J3529"/>
    </row>
    <row r="3530" spans="10:10" x14ac:dyDescent="0.3">
      <c r="J3530"/>
    </row>
    <row r="3531" spans="10:10" x14ac:dyDescent="0.3">
      <c r="J3531"/>
    </row>
    <row r="3532" spans="10:10" x14ac:dyDescent="0.3">
      <c r="J3532"/>
    </row>
    <row r="3533" spans="10:10" x14ac:dyDescent="0.3">
      <c r="J3533"/>
    </row>
    <row r="3534" spans="10:10" x14ac:dyDescent="0.3">
      <c r="J3534"/>
    </row>
    <row r="3535" spans="10:10" x14ac:dyDescent="0.3">
      <c r="J3535"/>
    </row>
    <row r="3536" spans="10:10" x14ac:dyDescent="0.3">
      <c r="J3536"/>
    </row>
    <row r="3537" spans="10:10" x14ac:dyDescent="0.3">
      <c r="J3537"/>
    </row>
    <row r="3538" spans="10:10" x14ac:dyDescent="0.3">
      <c r="J3538"/>
    </row>
    <row r="3539" spans="10:10" x14ac:dyDescent="0.3">
      <c r="J3539"/>
    </row>
    <row r="3540" spans="10:10" x14ac:dyDescent="0.3">
      <c r="J3540"/>
    </row>
    <row r="3541" spans="10:10" x14ac:dyDescent="0.3">
      <c r="J3541"/>
    </row>
    <row r="3542" spans="10:10" x14ac:dyDescent="0.3">
      <c r="J3542"/>
    </row>
    <row r="3543" spans="10:10" x14ac:dyDescent="0.3">
      <c r="J3543"/>
    </row>
    <row r="3544" spans="10:10" x14ac:dyDescent="0.3">
      <c r="J3544"/>
    </row>
    <row r="3545" spans="10:10" x14ac:dyDescent="0.3">
      <c r="J3545"/>
    </row>
    <row r="3546" spans="10:10" x14ac:dyDescent="0.3">
      <c r="J3546"/>
    </row>
    <row r="3547" spans="10:10" x14ac:dyDescent="0.3">
      <c r="J3547"/>
    </row>
    <row r="3548" spans="10:10" x14ac:dyDescent="0.3">
      <c r="J3548"/>
    </row>
    <row r="3549" spans="10:10" x14ac:dyDescent="0.3">
      <c r="J3549"/>
    </row>
    <row r="3550" spans="10:10" x14ac:dyDescent="0.3">
      <c r="J3550"/>
    </row>
    <row r="3551" spans="10:10" x14ac:dyDescent="0.3">
      <c r="J3551"/>
    </row>
    <row r="3552" spans="10:10" x14ac:dyDescent="0.3">
      <c r="J3552"/>
    </row>
    <row r="3553" spans="10:10" x14ac:dyDescent="0.3">
      <c r="J3553"/>
    </row>
    <row r="3554" spans="10:10" x14ac:dyDescent="0.3">
      <c r="J3554"/>
    </row>
    <row r="3555" spans="10:10" x14ac:dyDescent="0.3">
      <c r="J3555"/>
    </row>
    <row r="3556" spans="10:10" x14ac:dyDescent="0.3">
      <c r="J3556"/>
    </row>
    <row r="3557" spans="10:10" x14ac:dyDescent="0.3">
      <c r="J3557"/>
    </row>
    <row r="3558" spans="10:10" x14ac:dyDescent="0.3">
      <c r="J3558"/>
    </row>
    <row r="3559" spans="10:10" x14ac:dyDescent="0.3">
      <c r="J3559"/>
    </row>
    <row r="3560" spans="10:10" x14ac:dyDescent="0.3">
      <c r="J3560"/>
    </row>
    <row r="3561" spans="10:10" x14ac:dyDescent="0.3">
      <c r="J3561"/>
    </row>
    <row r="3562" spans="10:10" x14ac:dyDescent="0.3">
      <c r="J3562"/>
    </row>
    <row r="3563" spans="10:10" x14ac:dyDescent="0.3">
      <c r="J3563"/>
    </row>
    <row r="3564" spans="10:10" x14ac:dyDescent="0.3">
      <c r="J3564"/>
    </row>
    <row r="3565" spans="10:10" x14ac:dyDescent="0.3">
      <c r="J3565"/>
    </row>
    <row r="3566" spans="10:10" x14ac:dyDescent="0.3">
      <c r="J3566"/>
    </row>
    <row r="3567" spans="10:10" x14ac:dyDescent="0.3">
      <c r="J3567"/>
    </row>
    <row r="3568" spans="10:10" x14ac:dyDescent="0.3">
      <c r="J3568"/>
    </row>
    <row r="3569" spans="10:10" x14ac:dyDescent="0.3">
      <c r="J3569"/>
    </row>
    <row r="3570" spans="10:10" x14ac:dyDescent="0.3">
      <c r="J3570"/>
    </row>
    <row r="3571" spans="10:10" x14ac:dyDescent="0.3">
      <c r="J3571"/>
    </row>
    <row r="3572" spans="10:10" x14ac:dyDescent="0.3">
      <c r="J3572"/>
    </row>
    <row r="3573" spans="10:10" x14ac:dyDescent="0.3">
      <c r="J3573"/>
    </row>
    <row r="3574" spans="10:10" x14ac:dyDescent="0.3">
      <c r="J3574"/>
    </row>
    <row r="3575" spans="10:10" x14ac:dyDescent="0.3">
      <c r="J3575"/>
    </row>
    <row r="3576" spans="10:10" x14ac:dyDescent="0.3">
      <c r="J3576"/>
    </row>
    <row r="3577" spans="10:10" x14ac:dyDescent="0.3">
      <c r="J3577"/>
    </row>
    <row r="3578" spans="10:10" x14ac:dyDescent="0.3">
      <c r="J3578"/>
    </row>
    <row r="3579" spans="10:10" x14ac:dyDescent="0.3">
      <c r="J3579"/>
    </row>
    <row r="3580" spans="10:10" x14ac:dyDescent="0.3">
      <c r="J3580"/>
    </row>
    <row r="3581" spans="10:10" x14ac:dyDescent="0.3">
      <c r="J3581"/>
    </row>
    <row r="3582" spans="10:10" x14ac:dyDescent="0.3">
      <c r="J3582"/>
    </row>
    <row r="3583" spans="10:10" x14ac:dyDescent="0.3">
      <c r="J3583"/>
    </row>
    <row r="3584" spans="10:10" x14ac:dyDescent="0.3">
      <c r="J3584"/>
    </row>
    <row r="3585" spans="10:10" x14ac:dyDescent="0.3">
      <c r="J3585"/>
    </row>
    <row r="3586" spans="10:10" x14ac:dyDescent="0.3">
      <c r="J3586"/>
    </row>
    <row r="3587" spans="10:10" x14ac:dyDescent="0.3">
      <c r="J3587"/>
    </row>
    <row r="3588" spans="10:10" x14ac:dyDescent="0.3">
      <c r="J3588"/>
    </row>
    <row r="3589" spans="10:10" x14ac:dyDescent="0.3">
      <c r="J3589"/>
    </row>
    <row r="3590" spans="10:10" x14ac:dyDescent="0.3">
      <c r="J3590"/>
    </row>
    <row r="3591" spans="10:10" x14ac:dyDescent="0.3">
      <c r="J3591"/>
    </row>
    <row r="3592" spans="10:10" x14ac:dyDescent="0.3">
      <c r="J3592"/>
    </row>
    <row r="3593" spans="10:10" x14ac:dyDescent="0.3">
      <c r="J3593"/>
    </row>
    <row r="3594" spans="10:10" x14ac:dyDescent="0.3">
      <c r="J3594"/>
    </row>
    <row r="3595" spans="10:10" x14ac:dyDescent="0.3">
      <c r="J3595"/>
    </row>
    <row r="3596" spans="10:10" x14ac:dyDescent="0.3">
      <c r="J3596"/>
    </row>
    <row r="3597" spans="10:10" x14ac:dyDescent="0.3">
      <c r="J3597"/>
    </row>
    <row r="3598" spans="10:10" x14ac:dyDescent="0.3">
      <c r="J3598"/>
    </row>
    <row r="3599" spans="10:10" x14ac:dyDescent="0.3">
      <c r="J3599"/>
    </row>
    <row r="3600" spans="10:10" x14ac:dyDescent="0.3">
      <c r="J3600"/>
    </row>
    <row r="3601" spans="10:10" x14ac:dyDescent="0.3">
      <c r="J3601"/>
    </row>
    <row r="3602" spans="10:10" x14ac:dyDescent="0.3">
      <c r="J3602"/>
    </row>
    <row r="3603" spans="10:10" x14ac:dyDescent="0.3">
      <c r="J3603"/>
    </row>
    <row r="3604" spans="10:10" x14ac:dyDescent="0.3">
      <c r="J3604"/>
    </row>
    <row r="3605" spans="10:10" x14ac:dyDescent="0.3">
      <c r="J3605"/>
    </row>
    <row r="3606" spans="10:10" x14ac:dyDescent="0.3">
      <c r="J3606"/>
    </row>
    <row r="3607" spans="10:10" x14ac:dyDescent="0.3">
      <c r="J3607"/>
    </row>
    <row r="3608" spans="10:10" x14ac:dyDescent="0.3">
      <c r="J3608"/>
    </row>
    <row r="3609" spans="10:10" x14ac:dyDescent="0.3">
      <c r="J3609"/>
    </row>
    <row r="3610" spans="10:10" x14ac:dyDescent="0.3">
      <c r="J3610"/>
    </row>
    <row r="3611" spans="10:10" x14ac:dyDescent="0.3">
      <c r="J3611"/>
    </row>
    <row r="3612" spans="10:10" x14ac:dyDescent="0.3">
      <c r="J3612"/>
    </row>
    <row r="3613" spans="10:10" x14ac:dyDescent="0.3">
      <c r="J3613"/>
    </row>
    <row r="3614" spans="10:10" x14ac:dyDescent="0.3">
      <c r="J3614"/>
    </row>
    <row r="3615" spans="10:10" x14ac:dyDescent="0.3">
      <c r="J3615"/>
    </row>
    <row r="3616" spans="10:10" x14ac:dyDescent="0.3">
      <c r="J3616"/>
    </row>
    <row r="3617" spans="10:10" x14ac:dyDescent="0.3">
      <c r="J3617"/>
    </row>
    <row r="3618" spans="10:10" x14ac:dyDescent="0.3">
      <c r="J3618"/>
    </row>
    <row r="3619" spans="10:10" x14ac:dyDescent="0.3">
      <c r="J3619"/>
    </row>
    <row r="3620" spans="10:10" x14ac:dyDescent="0.3">
      <c r="J3620"/>
    </row>
    <row r="3621" spans="10:10" x14ac:dyDescent="0.3">
      <c r="J3621"/>
    </row>
    <row r="3622" spans="10:10" x14ac:dyDescent="0.3">
      <c r="J3622"/>
    </row>
    <row r="3623" spans="10:10" x14ac:dyDescent="0.3">
      <c r="J3623"/>
    </row>
    <row r="3624" spans="10:10" x14ac:dyDescent="0.3">
      <c r="J3624"/>
    </row>
    <row r="3625" spans="10:10" x14ac:dyDescent="0.3">
      <c r="J3625"/>
    </row>
    <row r="3626" spans="10:10" x14ac:dyDescent="0.3">
      <c r="J3626"/>
    </row>
    <row r="3627" spans="10:10" x14ac:dyDescent="0.3">
      <c r="J3627"/>
    </row>
    <row r="3628" spans="10:10" x14ac:dyDescent="0.3">
      <c r="J3628"/>
    </row>
    <row r="3629" spans="10:10" x14ac:dyDescent="0.3">
      <c r="J3629"/>
    </row>
    <row r="3630" spans="10:10" x14ac:dyDescent="0.3">
      <c r="J3630"/>
    </row>
    <row r="3631" spans="10:10" x14ac:dyDescent="0.3">
      <c r="J3631"/>
    </row>
    <row r="3632" spans="10:10" x14ac:dyDescent="0.3">
      <c r="J3632"/>
    </row>
    <row r="3633" spans="10:10" x14ac:dyDescent="0.3">
      <c r="J3633"/>
    </row>
    <row r="3634" spans="10:10" x14ac:dyDescent="0.3">
      <c r="J3634"/>
    </row>
    <row r="3635" spans="10:10" x14ac:dyDescent="0.3">
      <c r="J3635"/>
    </row>
    <row r="3636" spans="10:10" x14ac:dyDescent="0.3">
      <c r="J3636"/>
    </row>
    <row r="3637" spans="10:10" x14ac:dyDescent="0.3">
      <c r="J3637"/>
    </row>
    <row r="3638" spans="10:10" x14ac:dyDescent="0.3">
      <c r="J3638"/>
    </row>
    <row r="3639" spans="10:10" x14ac:dyDescent="0.3">
      <c r="J3639"/>
    </row>
    <row r="3640" spans="10:10" x14ac:dyDescent="0.3">
      <c r="J3640"/>
    </row>
    <row r="3641" spans="10:10" x14ac:dyDescent="0.3">
      <c r="J3641"/>
    </row>
    <row r="3642" spans="10:10" x14ac:dyDescent="0.3">
      <c r="J3642"/>
    </row>
    <row r="3643" spans="10:10" x14ac:dyDescent="0.3">
      <c r="J3643"/>
    </row>
    <row r="3644" spans="10:10" x14ac:dyDescent="0.3">
      <c r="J3644"/>
    </row>
    <row r="3645" spans="10:10" x14ac:dyDescent="0.3">
      <c r="J3645"/>
    </row>
    <row r="3646" spans="10:10" x14ac:dyDescent="0.3">
      <c r="J3646"/>
    </row>
    <row r="3647" spans="10:10" x14ac:dyDescent="0.3">
      <c r="J3647"/>
    </row>
    <row r="3648" spans="10:10" x14ac:dyDescent="0.3">
      <c r="J3648"/>
    </row>
    <row r="3649" spans="10:10" x14ac:dyDescent="0.3">
      <c r="J3649"/>
    </row>
    <row r="3650" spans="10:10" x14ac:dyDescent="0.3">
      <c r="J3650"/>
    </row>
    <row r="3651" spans="10:10" x14ac:dyDescent="0.3">
      <c r="J3651"/>
    </row>
    <row r="3652" spans="10:10" x14ac:dyDescent="0.3">
      <c r="J3652"/>
    </row>
    <row r="3653" spans="10:10" x14ac:dyDescent="0.3">
      <c r="J3653"/>
    </row>
    <row r="3654" spans="10:10" x14ac:dyDescent="0.3">
      <c r="J3654"/>
    </row>
    <row r="3655" spans="10:10" x14ac:dyDescent="0.3">
      <c r="J3655"/>
    </row>
    <row r="3656" spans="10:10" x14ac:dyDescent="0.3">
      <c r="J3656"/>
    </row>
    <row r="3657" spans="10:10" x14ac:dyDescent="0.3">
      <c r="J3657"/>
    </row>
    <row r="3658" spans="10:10" x14ac:dyDescent="0.3">
      <c r="J3658"/>
    </row>
    <row r="3659" spans="10:10" x14ac:dyDescent="0.3">
      <c r="J3659"/>
    </row>
    <row r="3660" spans="10:10" x14ac:dyDescent="0.3">
      <c r="J3660"/>
    </row>
    <row r="3661" spans="10:10" x14ac:dyDescent="0.3">
      <c r="J3661"/>
    </row>
    <row r="3662" spans="10:10" x14ac:dyDescent="0.3">
      <c r="J3662"/>
    </row>
    <row r="3663" spans="10:10" x14ac:dyDescent="0.3">
      <c r="J3663"/>
    </row>
    <row r="3664" spans="10:10" x14ac:dyDescent="0.3">
      <c r="J3664"/>
    </row>
    <row r="3665" spans="10:10" x14ac:dyDescent="0.3">
      <c r="J3665"/>
    </row>
    <row r="3666" spans="10:10" x14ac:dyDescent="0.3">
      <c r="J3666"/>
    </row>
    <row r="3667" spans="10:10" x14ac:dyDescent="0.3">
      <c r="J3667"/>
    </row>
    <row r="3668" spans="10:10" x14ac:dyDescent="0.3">
      <c r="J3668"/>
    </row>
    <row r="3669" spans="10:10" x14ac:dyDescent="0.3">
      <c r="J3669"/>
    </row>
    <row r="3670" spans="10:10" x14ac:dyDescent="0.3">
      <c r="J3670"/>
    </row>
    <row r="3671" spans="10:10" x14ac:dyDescent="0.3">
      <c r="J3671"/>
    </row>
    <row r="3672" spans="10:10" x14ac:dyDescent="0.3">
      <c r="J3672"/>
    </row>
    <row r="3673" spans="10:10" x14ac:dyDescent="0.3">
      <c r="J3673"/>
    </row>
    <row r="3674" spans="10:10" x14ac:dyDescent="0.3">
      <c r="J3674"/>
    </row>
    <row r="3675" spans="10:10" x14ac:dyDescent="0.3">
      <c r="J3675"/>
    </row>
    <row r="3676" spans="10:10" x14ac:dyDescent="0.3">
      <c r="J3676"/>
    </row>
    <row r="3677" spans="10:10" x14ac:dyDescent="0.3">
      <c r="J3677"/>
    </row>
    <row r="3678" spans="10:10" x14ac:dyDescent="0.3">
      <c r="J3678"/>
    </row>
    <row r="3679" spans="10:10" x14ac:dyDescent="0.3">
      <c r="J3679"/>
    </row>
    <row r="3680" spans="10:10" x14ac:dyDescent="0.3">
      <c r="J3680"/>
    </row>
    <row r="3681" spans="10:10" x14ac:dyDescent="0.3">
      <c r="J3681"/>
    </row>
    <row r="3682" spans="10:10" x14ac:dyDescent="0.3">
      <c r="J3682"/>
    </row>
    <row r="3683" spans="10:10" x14ac:dyDescent="0.3">
      <c r="J3683"/>
    </row>
    <row r="3684" spans="10:10" x14ac:dyDescent="0.3">
      <c r="J3684"/>
    </row>
    <row r="3685" spans="10:10" x14ac:dyDescent="0.3">
      <c r="J3685"/>
    </row>
    <row r="3686" spans="10:10" x14ac:dyDescent="0.3">
      <c r="J3686"/>
    </row>
    <row r="3687" spans="10:10" x14ac:dyDescent="0.3">
      <c r="J3687"/>
    </row>
    <row r="3688" spans="10:10" x14ac:dyDescent="0.3">
      <c r="J3688"/>
    </row>
    <row r="3689" spans="10:10" x14ac:dyDescent="0.3">
      <c r="J3689"/>
    </row>
    <row r="3690" spans="10:10" x14ac:dyDescent="0.3">
      <c r="J3690"/>
    </row>
    <row r="3691" spans="10:10" x14ac:dyDescent="0.3">
      <c r="J3691"/>
    </row>
    <row r="3692" spans="10:10" x14ac:dyDescent="0.3">
      <c r="J3692"/>
    </row>
    <row r="3693" spans="10:10" x14ac:dyDescent="0.3">
      <c r="J3693"/>
    </row>
    <row r="3694" spans="10:10" x14ac:dyDescent="0.3">
      <c r="J3694"/>
    </row>
    <row r="3695" spans="10:10" x14ac:dyDescent="0.3">
      <c r="J3695"/>
    </row>
    <row r="3696" spans="10:10" x14ac:dyDescent="0.3">
      <c r="J3696"/>
    </row>
    <row r="3697" spans="10:10" x14ac:dyDescent="0.3">
      <c r="J3697"/>
    </row>
    <row r="3698" spans="10:10" x14ac:dyDescent="0.3">
      <c r="J3698"/>
    </row>
    <row r="3699" spans="10:10" x14ac:dyDescent="0.3">
      <c r="J3699"/>
    </row>
    <row r="3700" spans="10:10" x14ac:dyDescent="0.3">
      <c r="J3700"/>
    </row>
    <row r="3701" spans="10:10" x14ac:dyDescent="0.3">
      <c r="J3701"/>
    </row>
    <row r="3702" spans="10:10" x14ac:dyDescent="0.3">
      <c r="J3702"/>
    </row>
    <row r="3703" spans="10:10" x14ac:dyDescent="0.3">
      <c r="J3703"/>
    </row>
    <row r="3704" spans="10:10" x14ac:dyDescent="0.3">
      <c r="J3704"/>
    </row>
    <row r="3705" spans="10:10" x14ac:dyDescent="0.3">
      <c r="J3705"/>
    </row>
    <row r="3706" spans="10:10" x14ac:dyDescent="0.3">
      <c r="J3706"/>
    </row>
    <row r="3707" spans="10:10" x14ac:dyDescent="0.3">
      <c r="J3707"/>
    </row>
    <row r="3708" spans="10:10" x14ac:dyDescent="0.3">
      <c r="J3708"/>
    </row>
    <row r="3709" spans="10:10" x14ac:dyDescent="0.3">
      <c r="J3709"/>
    </row>
    <row r="3710" spans="10:10" x14ac:dyDescent="0.3">
      <c r="J3710"/>
    </row>
    <row r="3711" spans="10:10" x14ac:dyDescent="0.3">
      <c r="J3711"/>
    </row>
    <row r="3712" spans="10:10" x14ac:dyDescent="0.3">
      <c r="J3712"/>
    </row>
    <row r="3713" spans="10:10" x14ac:dyDescent="0.3">
      <c r="J3713"/>
    </row>
    <row r="3714" spans="10:10" x14ac:dyDescent="0.3">
      <c r="J3714"/>
    </row>
    <row r="3715" spans="10:10" x14ac:dyDescent="0.3">
      <c r="J3715"/>
    </row>
    <row r="3716" spans="10:10" x14ac:dyDescent="0.3">
      <c r="J3716"/>
    </row>
    <row r="3717" spans="10:10" x14ac:dyDescent="0.3">
      <c r="J3717"/>
    </row>
    <row r="3718" spans="10:10" x14ac:dyDescent="0.3">
      <c r="J3718"/>
    </row>
    <row r="3719" spans="10:10" x14ac:dyDescent="0.3">
      <c r="J3719"/>
    </row>
    <row r="3720" spans="10:10" x14ac:dyDescent="0.3">
      <c r="J3720"/>
    </row>
    <row r="3721" spans="10:10" x14ac:dyDescent="0.3">
      <c r="J3721"/>
    </row>
    <row r="3722" spans="10:10" x14ac:dyDescent="0.3">
      <c r="J3722"/>
    </row>
    <row r="3723" spans="10:10" x14ac:dyDescent="0.3">
      <c r="J3723"/>
    </row>
    <row r="3724" spans="10:10" x14ac:dyDescent="0.3">
      <c r="J3724"/>
    </row>
    <row r="3725" spans="10:10" x14ac:dyDescent="0.3">
      <c r="J3725"/>
    </row>
    <row r="3726" spans="10:10" x14ac:dyDescent="0.3">
      <c r="J3726"/>
    </row>
    <row r="3727" spans="10:10" x14ac:dyDescent="0.3">
      <c r="J3727"/>
    </row>
    <row r="3728" spans="10:10" x14ac:dyDescent="0.3">
      <c r="J3728"/>
    </row>
    <row r="3729" spans="10:10" x14ac:dyDescent="0.3">
      <c r="J3729"/>
    </row>
    <row r="3730" spans="10:10" x14ac:dyDescent="0.3">
      <c r="J3730"/>
    </row>
    <row r="3731" spans="10:10" x14ac:dyDescent="0.3">
      <c r="J3731"/>
    </row>
    <row r="3732" spans="10:10" x14ac:dyDescent="0.3">
      <c r="J3732"/>
    </row>
    <row r="3733" spans="10:10" x14ac:dyDescent="0.3">
      <c r="J3733"/>
    </row>
    <row r="3734" spans="10:10" x14ac:dyDescent="0.3">
      <c r="J3734"/>
    </row>
    <row r="3735" spans="10:10" x14ac:dyDescent="0.3">
      <c r="J3735"/>
    </row>
    <row r="3736" spans="10:10" x14ac:dyDescent="0.3">
      <c r="J3736"/>
    </row>
    <row r="3737" spans="10:10" x14ac:dyDescent="0.3">
      <c r="J3737"/>
    </row>
    <row r="3738" spans="10:10" x14ac:dyDescent="0.3">
      <c r="J3738"/>
    </row>
    <row r="3739" spans="10:10" x14ac:dyDescent="0.3">
      <c r="J3739"/>
    </row>
    <row r="3740" spans="10:10" x14ac:dyDescent="0.3">
      <c r="J3740"/>
    </row>
    <row r="3741" spans="10:10" x14ac:dyDescent="0.3">
      <c r="J3741"/>
    </row>
    <row r="3742" spans="10:10" x14ac:dyDescent="0.3">
      <c r="J3742"/>
    </row>
    <row r="3743" spans="10:10" x14ac:dyDescent="0.3">
      <c r="J3743"/>
    </row>
    <row r="3744" spans="10:10" x14ac:dyDescent="0.3">
      <c r="J3744"/>
    </row>
    <row r="3745" spans="10:10" x14ac:dyDescent="0.3">
      <c r="J3745"/>
    </row>
    <row r="3746" spans="10:10" x14ac:dyDescent="0.3">
      <c r="J3746"/>
    </row>
    <row r="3747" spans="10:10" x14ac:dyDescent="0.3">
      <c r="J3747"/>
    </row>
    <row r="3748" spans="10:10" x14ac:dyDescent="0.3">
      <c r="J3748"/>
    </row>
    <row r="3749" spans="10:10" x14ac:dyDescent="0.3">
      <c r="J3749"/>
    </row>
    <row r="3750" spans="10:10" x14ac:dyDescent="0.3">
      <c r="J3750"/>
    </row>
    <row r="3751" spans="10:10" x14ac:dyDescent="0.3">
      <c r="J3751"/>
    </row>
    <row r="3752" spans="10:10" x14ac:dyDescent="0.3">
      <c r="J3752"/>
    </row>
    <row r="3753" spans="10:10" x14ac:dyDescent="0.3">
      <c r="J3753"/>
    </row>
    <row r="3754" spans="10:10" x14ac:dyDescent="0.3">
      <c r="J3754"/>
    </row>
    <row r="3755" spans="10:10" x14ac:dyDescent="0.3">
      <c r="J3755"/>
    </row>
    <row r="3756" spans="10:10" x14ac:dyDescent="0.3">
      <c r="J3756"/>
    </row>
    <row r="3757" spans="10:10" x14ac:dyDescent="0.3">
      <c r="J3757"/>
    </row>
    <row r="3758" spans="10:10" x14ac:dyDescent="0.3">
      <c r="J3758"/>
    </row>
    <row r="3759" spans="10:10" x14ac:dyDescent="0.3">
      <c r="J3759"/>
    </row>
    <row r="3760" spans="10:10" x14ac:dyDescent="0.3">
      <c r="J3760"/>
    </row>
    <row r="3761" spans="10:10" x14ac:dyDescent="0.3">
      <c r="J3761"/>
    </row>
    <row r="3762" spans="10:10" x14ac:dyDescent="0.3">
      <c r="J3762"/>
    </row>
    <row r="3763" spans="10:10" x14ac:dyDescent="0.3">
      <c r="J3763"/>
    </row>
    <row r="3764" spans="10:10" x14ac:dyDescent="0.3">
      <c r="J3764"/>
    </row>
    <row r="3765" spans="10:10" x14ac:dyDescent="0.3">
      <c r="J3765"/>
    </row>
    <row r="3766" spans="10:10" x14ac:dyDescent="0.3">
      <c r="J3766"/>
    </row>
    <row r="3767" spans="10:10" x14ac:dyDescent="0.3">
      <c r="J3767"/>
    </row>
    <row r="3768" spans="10:10" x14ac:dyDescent="0.3">
      <c r="J3768"/>
    </row>
    <row r="3769" spans="10:10" x14ac:dyDescent="0.3">
      <c r="J3769"/>
    </row>
    <row r="3770" spans="10:10" x14ac:dyDescent="0.3">
      <c r="J3770"/>
    </row>
    <row r="3771" spans="10:10" x14ac:dyDescent="0.3">
      <c r="J3771"/>
    </row>
    <row r="3772" spans="10:10" x14ac:dyDescent="0.3">
      <c r="J3772"/>
    </row>
    <row r="3773" spans="10:10" x14ac:dyDescent="0.3">
      <c r="J3773"/>
    </row>
    <row r="3774" spans="10:10" x14ac:dyDescent="0.3">
      <c r="J3774"/>
    </row>
    <row r="3775" spans="10:10" x14ac:dyDescent="0.3">
      <c r="J3775"/>
    </row>
    <row r="3776" spans="10:10" x14ac:dyDescent="0.3">
      <c r="J3776"/>
    </row>
    <row r="3777" spans="10:10" x14ac:dyDescent="0.3">
      <c r="J3777"/>
    </row>
    <row r="3778" spans="10:10" x14ac:dyDescent="0.3">
      <c r="J3778"/>
    </row>
    <row r="3779" spans="10:10" x14ac:dyDescent="0.3">
      <c r="J3779"/>
    </row>
    <row r="3780" spans="10:10" x14ac:dyDescent="0.3">
      <c r="J3780"/>
    </row>
    <row r="3781" spans="10:10" x14ac:dyDescent="0.3">
      <c r="J3781"/>
    </row>
    <row r="3782" spans="10:10" x14ac:dyDescent="0.3">
      <c r="J3782"/>
    </row>
    <row r="3783" spans="10:10" x14ac:dyDescent="0.3">
      <c r="J3783"/>
    </row>
    <row r="3784" spans="10:10" x14ac:dyDescent="0.3">
      <c r="J3784"/>
    </row>
    <row r="3785" spans="10:10" x14ac:dyDescent="0.3">
      <c r="J3785"/>
    </row>
    <row r="3786" spans="10:10" x14ac:dyDescent="0.3">
      <c r="J3786"/>
    </row>
    <row r="3787" spans="10:10" x14ac:dyDescent="0.3">
      <c r="J3787"/>
    </row>
    <row r="3788" spans="10:10" x14ac:dyDescent="0.3">
      <c r="J3788"/>
    </row>
    <row r="3789" spans="10:10" x14ac:dyDescent="0.3">
      <c r="J3789"/>
    </row>
    <row r="3790" spans="10:10" x14ac:dyDescent="0.3">
      <c r="J3790"/>
    </row>
    <row r="3791" spans="10:10" x14ac:dyDescent="0.3">
      <c r="J3791"/>
    </row>
    <row r="3792" spans="10:10" x14ac:dyDescent="0.3">
      <c r="J3792"/>
    </row>
    <row r="3793" spans="10:10" x14ac:dyDescent="0.3">
      <c r="J3793"/>
    </row>
    <row r="3794" spans="10:10" x14ac:dyDescent="0.3">
      <c r="J3794"/>
    </row>
    <row r="3795" spans="10:10" x14ac:dyDescent="0.3">
      <c r="J3795"/>
    </row>
    <row r="3796" spans="10:10" x14ac:dyDescent="0.3">
      <c r="J3796"/>
    </row>
    <row r="3797" spans="10:10" x14ac:dyDescent="0.3">
      <c r="J3797"/>
    </row>
    <row r="3798" spans="10:10" x14ac:dyDescent="0.3">
      <c r="J3798"/>
    </row>
    <row r="3799" spans="10:10" x14ac:dyDescent="0.3">
      <c r="J3799"/>
    </row>
    <row r="3800" spans="10:10" x14ac:dyDescent="0.3">
      <c r="J3800"/>
    </row>
    <row r="3801" spans="10:10" x14ac:dyDescent="0.3">
      <c r="J3801"/>
    </row>
    <row r="3802" spans="10:10" x14ac:dyDescent="0.3">
      <c r="J3802"/>
    </row>
    <row r="3803" spans="10:10" x14ac:dyDescent="0.3">
      <c r="J3803"/>
    </row>
    <row r="3804" spans="10:10" x14ac:dyDescent="0.3">
      <c r="J3804"/>
    </row>
    <row r="3805" spans="10:10" x14ac:dyDescent="0.3">
      <c r="J3805"/>
    </row>
    <row r="3806" spans="10:10" x14ac:dyDescent="0.3">
      <c r="J3806"/>
    </row>
    <row r="3807" spans="10:10" x14ac:dyDescent="0.3">
      <c r="J3807"/>
    </row>
    <row r="3808" spans="10:10" x14ac:dyDescent="0.3">
      <c r="J3808"/>
    </row>
    <row r="3809" spans="10:10" x14ac:dyDescent="0.3">
      <c r="J3809"/>
    </row>
    <row r="3810" spans="10:10" x14ac:dyDescent="0.3">
      <c r="J3810"/>
    </row>
    <row r="3811" spans="10:10" x14ac:dyDescent="0.3">
      <c r="J3811"/>
    </row>
    <row r="3812" spans="10:10" x14ac:dyDescent="0.3">
      <c r="J3812"/>
    </row>
    <row r="3813" spans="10:10" x14ac:dyDescent="0.3">
      <c r="J3813"/>
    </row>
    <row r="3814" spans="10:10" x14ac:dyDescent="0.3">
      <c r="J3814"/>
    </row>
    <row r="3815" spans="10:10" x14ac:dyDescent="0.3">
      <c r="J3815"/>
    </row>
    <row r="3816" spans="10:10" x14ac:dyDescent="0.3">
      <c r="J3816"/>
    </row>
    <row r="3817" spans="10:10" x14ac:dyDescent="0.3">
      <c r="J3817"/>
    </row>
    <row r="3818" spans="10:10" x14ac:dyDescent="0.3">
      <c r="J3818"/>
    </row>
    <row r="3819" spans="10:10" x14ac:dyDescent="0.3">
      <c r="J3819"/>
    </row>
    <row r="3820" spans="10:10" x14ac:dyDescent="0.3">
      <c r="J3820"/>
    </row>
    <row r="3821" spans="10:10" x14ac:dyDescent="0.3">
      <c r="J3821"/>
    </row>
    <row r="3822" spans="10:10" x14ac:dyDescent="0.3">
      <c r="J3822"/>
    </row>
    <row r="3823" spans="10:10" x14ac:dyDescent="0.3">
      <c r="J3823"/>
    </row>
    <row r="3824" spans="10:10" x14ac:dyDescent="0.3">
      <c r="J3824"/>
    </row>
    <row r="3825" spans="10:10" x14ac:dyDescent="0.3">
      <c r="J3825"/>
    </row>
    <row r="3826" spans="10:10" x14ac:dyDescent="0.3">
      <c r="J3826"/>
    </row>
    <row r="3827" spans="10:10" x14ac:dyDescent="0.3">
      <c r="J3827"/>
    </row>
    <row r="3828" spans="10:10" x14ac:dyDescent="0.3">
      <c r="J3828"/>
    </row>
    <row r="3829" spans="10:10" x14ac:dyDescent="0.3">
      <c r="J3829"/>
    </row>
    <row r="3830" spans="10:10" x14ac:dyDescent="0.3">
      <c r="J3830"/>
    </row>
    <row r="3831" spans="10:10" x14ac:dyDescent="0.3">
      <c r="J3831"/>
    </row>
    <row r="3832" spans="10:10" x14ac:dyDescent="0.3">
      <c r="J3832"/>
    </row>
    <row r="3833" spans="10:10" x14ac:dyDescent="0.3">
      <c r="J3833"/>
    </row>
    <row r="3834" spans="10:10" x14ac:dyDescent="0.3">
      <c r="J3834"/>
    </row>
    <row r="3835" spans="10:10" x14ac:dyDescent="0.3">
      <c r="J3835"/>
    </row>
    <row r="3836" spans="10:10" x14ac:dyDescent="0.3">
      <c r="J3836"/>
    </row>
    <row r="3837" spans="10:10" x14ac:dyDescent="0.3">
      <c r="J3837"/>
    </row>
    <row r="3838" spans="10:10" x14ac:dyDescent="0.3">
      <c r="J3838"/>
    </row>
    <row r="3839" spans="10:10" x14ac:dyDescent="0.3">
      <c r="J3839"/>
    </row>
    <row r="3840" spans="10:10" x14ac:dyDescent="0.3">
      <c r="J3840"/>
    </row>
    <row r="3841" spans="10:10" x14ac:dyDescent="0.3">
      <c r="J3841"/>
    </row>
    <row r="3842" spans="10:10" x14ac:dyDescent="0.3">
      <c r="J3842"/>
    </row>
    <row r="3843" spans="10:10" x14ac:dyDescent="0.3">
      <c r="J3843"/>
    </row>
    <row r="3844" spans="10:10" x14ac:dyDescent="0.3">
      <c r="J3844"/>
    </row>
    <row r="3845" spans="10:10" x14ac:dyDescent="0.3">
      <c r="J3845"/>
    </row>
    <row r="3846" spans="10:10" x14ac:dyDescent="0.3">
      <c r="J3846"/>
    </row>
    <row r="3847" spans="10:10" x14ac:dyDescent="0.3">
      <c r="J3847"/>
    </row>
    <row r="3848" spans="10:10" x14ac:dyDescent="0.3">
      <c r="J3848"/>
    </row>
    <row r="3849" spans="10:10" x14ac:dyDescent="0.3">
      <c r="J3849"/>
    </row>
    <row r="3850" spans="10:10" x14ac:dyDescent="0.3">
      <c r="J3850"/>
    </row>
    <row r="3851" spans="10:10" x14ac:dyDescent="0.3">
      <c r="J3851"/>
    </row>
    <row r="3852" spans="10:10" x14ac:dyDescent="0.3">
      <c r="J3852"/>
    </row>
    <row r="3853" spans="10:10" x14ac:dyDescent="0.3">
      <c r="J3853"/>
    </row>
    <row r="3854" spans="10:10" x14ac:dyDescent="0.3">
      <c r="J3854"/>
    </row>
    <row r="3855" spans="10:10" x14ac:dyDescent="0.3">
      <c r="J3855"/>
    </row>
    <row r="3856" spans="10:10" x14ac:dyDescent="0.3">
      <c r="J3856"/>
    </row>
    <row r="3857" spans="10:10" x14ac:dyDescent="0.3">
      <c r="J3857"/>
    </row>
    <row r="3858" spans="10:10" x14ac:dyDescent="0.3">
      <c r="J3858"/>
    </row>
    <row r="3859" spans="10:10" x14ac:dyDescent="0.3">
      <c r="J3859"/>
    </row>
    <row r="3860" spans="10:10" x14ac:dyDescent="0.3">
      <c r="J3860"/>
    </row>
    <row r="3861" spans="10:10" x14ac:dyDescent="0.3">
      <c r="J3861"/>
    </row>
    <row r="3862" spans="10:10" x14ac:dyDescent="0.3">
      <c r="J3862"/>
    </row>
    <row r="3863" spans="10:10" x14ac:dyDescent="0.3">
      <c r="J3863"/>
    </row>
    <row r="3864" spans="10:10" x14ac:dyDescent="0.3">
      <c r="J3864"/>
    </row>
    <row r="3865" spans="10:10" x14ac:dyDescent="0.3">
      <c r="J3865"/>
    </row>
    <row r="3866" spans="10:10" x14ac:dyDescent="0.3">
      <c r="J3866"/>
    </row>
    <row r="3867" spans="10:10" x14ac:dyDescent="0.3">
      <c r="J3867"/>
    </row>
    <row r="3868" spans="10:10" x14ac:dyDescent="0.3">
      <c r="J3868"/>
    </row>
    <row r="3869" spans="10:10" x14ac:dyDescent="0.3">
      <c r="J3869"/>
    </row>
    <row r="3870" spans="10:10" x14ac:dyDescent="0.3">
      <c r="J3870"/>
    </row>
    <row r="3871" spans="10:10" x14ac:dyDescent="0.3">
      <c r="J3871"/>
    </row>
    <row r="3872" spans="10:10" x14ac:dyDescent="0.3">
      <c r="J3872"/>
    </row>
    <row r="3873" spans="10:10" x14ac:dyDescent="0.3">
      <c r="J3873"/>
    </row>
    <row r="3874" spans="10:10" x14ac:dyDescent="0.3">
      <c r="J3874"/>
    </row>
    <row r="3875" spans="10:10" x14ac:dyDescent="0.3">
      <c r="J3875"/>
    </row>
    <row r="3876" spans="10:10" x14ac:dyDescent="0.3">
      <c r="J3876"/>
    </row>
    <row r="3877" spans="10:10" x14ac:dyDescent="0.3">
      <c r="J3877"/>
    </row>
    <row r="3878" spans="10:10" x14ac:dyDescent="0.3">
      <c r="J3878"/>
    </row>
    <row r="3879" spans="10:10" x14ac:dyDescent="0.3">
      <c r="J3879"/>
    </row>
    <row r="3880" spans="10:10" x14ac:dyDescent="0.3">
      <c r="J3880"/>
    </row>
    <row r="3881" spans="10:10" x14ac:dyDescent="0.3">
      <c r="J3881"/>
    </row>
    <row r="3882" spans="10:10" x14ac:dyDescent="0.3">
      <c r="J3882"/>
    </row>
    <row r="3883" spans="10:10" x14ac:dyDescent="0.3">
      <c r="J3883"/>
    </row>
    <row r="3884" spans="10:10" x14ac:dyDescent="0.3">
      <c r="J3884"/>
    </row>
    <row r="3885" spans="10:10" x14ac:dyDescent="0.3">
      <c r="J3885"/>
    </row>
    <row r="3886" spans="10:10" x14ac:dyDescent="0.3">
      <c r="J3886"/>
    </row>
    <row r="3887" spans="10:10" x14ac:dyDescent="0.3">
      <c r="J3887"/>
    </row>
    <row r="3888" spans="10:10" x14ac:dyDescent="0.3">
      <c r="J3888"/>
    </row>
    <row r="3889" spans="10:10" x14ac:dyDescent="0.3">
      <c r="J3889"/>
    </row>
    <row r="3890" spans="10:10" x14ac:dyDescent="0.3">
      <c r="J3890"/>
    </row>
    <row r="3891" spans="10:10" x14ac:dyDescent="0.3">
      <c r="J3891"/>
    </row>
    <row r="3892" spans="10:10" x14ac:dyDescent="0.3">
      <c r="J3892"/>
    </row>
    <row r="3893" spans="10:10" x14ac:dyDescent="0.3">
      <c r="J3893"/>
    </row>
    <row r="3894" spans="10:10" x14ac:dyDescent="0.3">
      <c r="J3894"/>
    </row>
    <row r="3895" spans="10:10" x14ac:dyDescent="0.3">
      <c r="J3895"/>
    </row>
    <row r="3896" spans="10:10" x14ac:dyDescent="0.3">
      <c r="J3896"/>
    </row>
    <row r="3897" spans="10:10" x14ac:dyDescent="0.3">
      <c r="J3897"/>
    </row>
    <row r="3898" spans="10:10" x14ac:dyDescent="0.3">
      <c r="J3898"/>
    </row>
    <row r="3899" spans="10:10" x14ac:dyDescent="0.3">
      <c r="J3899"/>
    </row>
    <row r="3900" spans="10:10" x14ac:dyDescent="0.3">
      <c r="J3900"/>
    </row>
    <row r="3901" spans="10:10" x14ac:dyDescent="0.3">
      <c r="J3901"/>
    </row>
    <row r="3902" spans="10:10" x14ac:dyDescent="0.3">
      <c r="J3902"/>
    </row>
    <row r="3903" spans="10:10" x14ac:dyDescent="0.3">
      <c r="J3903"/>
    </row>
    <row r="3904" spans="10:10" x14ac:dyDescent="0.3">
      <c r="J3904"/>
    </row>
    <row r="3905" spans="10:10" x14ac:dyDescent="0.3">
      <c r="J3905"/>
    </row>
    <row r="3906" spans="10:10" x14ac:dyDescent="0.3">
      <c r="J3906"/>
    </row>
    <row r="3907" spans="10:10" x14ac:dyDescent="0.3">
      <c r="J3907"/>
    </row>
    <row r="3908" spans="10:10" x14ac:dyDescent="0.3">
      <c r="J3908"/>
    </row>
    <row r="3909" spans="10:10" x14ac:dyDescent="0.3">
      <c r="J3909"/>
    </row>
    <row r="3910" spans="10:10" x14ac:dyDescent="0.3">
      <c r="J3910"/>
    </row>
    <row r="3911" spans="10:10" x14ac:dyDescent="0.3">
      <c r="J3911"/>
    </row>
    <row r="3912" spans="10:10" x14ac:dyDescent="0.3">
      <c r="J3912"/>
    </row>
    <row r="3913" spans="10:10" x14ac:dyDescent="0.3">
      <c r="J3913"/>
    </row>
    <row r="3914" spans="10:10" x14ac:dyDescent="0.3">
      <c r="J3914"/>
    </row>
    <row r="3915" spans="10:10" x14ac:dyDescent="0.3">
      <c r="J3915"/>
    </row>
    <row r="3916" spans="10:10" x14ac:dyDescent="0.3">
      <c r="J3916"/>
    </row>
    <row r="3917" spans="10:10" x14ac:dyDescent="0.3">
      <c r="J3917"/>
    </row>
    <row r="3918" spans="10:10" x14ac:dyDescent="0.3">
      <c r="J3918"/>
    </row>
    <row r="3919" spans="10:10" x14ac:dyDescent="0.3">
      <c r="J3919"/>
    </row>
    <row r="3920" spans="10:10" x14ac:dyDescent="0.3">
      <c r="J3920"/>
    </row>
    <row r="3921" spans="10:10" x14ac:dyDescent="0.3">
      <c r="J3921"/>
    </row>
    <row r="3922" spans="10:10" x14ac:dyDescent="0.3">
      <c r="J3922"/>
    </row>
    <row r="3923" spans="10:10" x14ac:dyDescent="0.3">
      <c r="J3923"/>
    </row>
    <row r="3924" spans="10:10" x14ac:dyDescent="0.3">
      <c r="J3924"/>
    </row>
    <row r="3925" spans="10:10" x14ac:dyDescent="0.3">
      <c r="J3925"/>
    </row>
    <row r="3926" spans="10:10" x14ac:dyDescent="0.3">
      <c r="J3926"/>
    </row>
    <row r="3927" spans="10:10" x14ac:dyDescent="0.3">
      <c r="J3927"/>
    </row>
    <row r="3928" spans="10:10" x14ac:dyDescent="0.3">
      <c r="J3928"/>
    </row>
    <row r="3929" spans="10:10" x14ac:dyDescent="0.3">
      <c r="J3929"/>
    </row>
    <row r="3930" spans="10:10" x14ac:dyDescent="0.3">
      <c r="J3930"/>
    </row>
    <row r="3931" spans="10:10" x14ac:dyDescent="0.3">
      <c r="J3931"/>
    </row>
    <row r="3932" spans="10:10" x14ac:dyDescent="0.3">
      <c r="J3932"/>
    </row>
    <row r="3933" spans="10:10" x14ac:dyDescent="0.3">
      <c r="J3933"/>
    </row>
    <row r="3934" spans="10:10" x14ac:dyDescent="0.3">
      <c r="J3934"/>
    </row>
    <row r="3935" spans="10:10" x14ac:dyDescent="0.3">
      <c r="J3935"/>
    </row>
    <row r="3936" spans="10:10" x14ac:dyDescent="0.3">
      <c r="J3936"/>
    </row>
    <row r="3937" spans="10:10" x14ac:dyDescent="0.3">
      <c r="J3937"/>
    </row>
    <row r="3938" spans="10:10" x14ac:dyDescent="0.3">
      <c r="J3938"/>
    </row>
    <row r="3939" spans="10:10" x14ac:dyDescent="0.3">
      <c r="J3939"/>
    </row>
    <row r="3940" spans="10:10" x14ac:dyDescent="0.3">
      <c r="J3940"/>
    </row>
    <row r="3941" spans="10:10" x14ac:dyDescent="0.3">
      <c r="J3941"/>
    </row>
    <row r="3942" spans="10:10" x14ac:dyDescent="0.3">
      <c r="J3942"/>
    </row>
    <row r="3943" spans="10:10" x14ac:dyDescent="0.3">
      <c r="J3943"/>
    </row>
    <row r="3944" spans="10:10" x14ac:dyDescent="0.3">
      <c r="J3944"/>
    </row>
    <row r="3945" spans="10:10" x14ac:dyDescent="0.3">
      <c r="J3945"/>
    </row>
    <row r="3946" spans="10:10" x14ac:dyDescent="0.3">
      <c r="J3946"/>
    </row>
    <row r="3947" spans="10:10" x14ac:dyDescent="0.3">
      <c r="J3947"/>
    </row>
    <row r="3948" spans="10:10" x14ac:dyDescent="0.3">
      <c r="J3948"/>
    </row>
    <row r="3949" spans="10:10" x14ac:dyDescent="0.3">
      <c r="J3949"/>
    </row>
    <row r="3950" spans="10:10" x14ac:dyDescent="0.3">
      <c r="J3950"/>
    </row>
    <row r="3951" spans="10:10" x14ac:dyDescent="0.3">
      <c r="J3951"/>
    </row>
    <row r="3952" spans="10:10" x14ac:dyDescent="0.3">
      <c r="J3952"/>
    </row>
    <row r="3953" spans="10:10" x14ac:dyDescent="0.3">
      <c r="J3953"/>
    </row>
    <row r="3954" spans="10:10" x14ac:dyDescent="0.3">
      <c r="J3954"/>
    </row>
    <row r="3955" spans="10:10" x14ac:dyDescent="0.3">
      <c r="J3955"/>
    </row>
    <row r="3956" spans="10:10" x14ac:dyDescent="0.3">
      <c r="J3956"/>
    </row>
    <row r="3957" spans="10:10" x14ac:dyDescent="0.3">
      <c r="J3957"/>
    </row>
    <row r="3958" spans="10:10" x14ac:dyDescent="0.3">
      <c r="J3958"/>
    </row>
    <row r="3959" spans="10:10" x14ac:dyDescent="0.3">
      <c r="J3959"/>
    </row>
    <row r="3960" spans="10:10" x14ac:dyDescent="0.3">
      <c r="J3960"/>
    </row>
    <row r="3961" spans="10:10" x14ac:dyDescent="0.3">
      <c r="J3961"/>
    </row>
    <row r="3962" spans="10:10" x14ac:dyDescent="0.3">
      <c r="J3962"/>
    </row>
    <row r="3963" spans="10:10" x14ac:dyDescent="0.3">
      <c r="J3963"/>
    </row>
    <row r="3964" spans="10:10" x14ac:dyDescent="0.3">
      <c r="J3964"/>
    </row>
    <row r="3965" spans="10:10" x14ac:dyDescent="0.3">
      <c r="J3965"/>
    </row>
    <row r="3966" spans="10:10" x14ac:dyDescent="0.3">
      <c r="J3966"/>
    </row>
    <row r="3967" spans="10:10" x14ac:dyDescent="0.3">
      <c r="J3967"/>
    </row>
    <row r="3968" spans="10:10" x14ac:dyDescent="0.3">
      <c r="J3968"/>
    </row>
    <row r="3969" spans="10:10" x14ac:dyDescent="0.3">
      <c r="J3969"/>
    </row>
    <row r="3970" spans="10:10" x14ac:dyDescent="0.3">
      <c r="J3970"/>
    </row>
    <row r="3971" spans="10:10" x14ac:dyDescent="0.3">
      <c r="J3971"/>
    </row>
    <row r="3972" spans="10:10" x14ac:dyDescent="0.3">
      <c r="J3972"/>
    </row>
    <row r="3973" spans="10:10" x14ac:dyDescent="0.3">
      <c r="J3973"/>
    </row>
    <row r="3974" spans="10:10" x14ac:dyDescent="0.3">
      <c r="J3974"/>
    </row>
    <row r="3975" spans="10:10" x14ac:dyDescent="0.3">
      <c r="J3975"/>
    </row>
    <row r="3976" spans="10:10" x14ac:dyDescent="0.3">
      <c r="J3976"/>
    </row>
    <row r="3977" spans="10:10" x14ac:dyDescent="0.3">
      <c r="J3977"/>
    </row>
    <row r="3978" spans="10:10" x14ac:dyDescent="0.3">
      <c r="J3978"/>
    </row>
    <row r="3979" spans="10:10" x14ac:dyDescent="0.3">
      <c r="J3979"/>
    </row>
    <row r="3980" spans="10:10" x14ac:dyDescent="0.3">
      <c r="J3980"/>
    </row>
    <row r="3981" spans="10:10" x14ac:dyDescent="0.3">
      <c r="J3981"/>
    </row>
    <row r="3982" spans="10:10" x14ac:dyDescent="0.3">
      <c r="J3982"/>
    </row>
    <row r="3983" spans="10:10" x14ac:dyDescent="0.3">
      <c r="J3983"/>
    </row>
    <row r="3984" spans="10:10" x14ac:dyDescent="0.3">
      <c r="J3984"/>
    </row>
    <row r="3985" spans="10:10" x14ac:dyDescent="0.3">
      <c r="J3985"/>
    </row>
    <row r="3986" spans="10:10" x14ac:dyDescent="0.3">
      <c r="J3986"/>
    </row>
    <row r="3987" spans="10:10" x14ac:dyDescent="0.3">
      <c r="J3987"/>
    </row>
    <row r="3988" spans="10:10" x14ac:dyDescent="0.3">
      <c r="J3988"/>
    </row>
    <row r="3989" spans="10:10" x14ac:dyDescent="0.3">
      <c r="J3989"/>
    </row>
    <row r="3990" spans="10:10" x14ac:dyDescent="0.3">
      <c r="J3990"/>
    </row>
    <row r="3991" spans="10:10" x14ac:dyDescent="0.3">
      <c r="J3991"/>
    </row>
    <row r="3992" spans="10:10" x14ac:dyDescent="0.3">
      <c r="J3992"/>
    </row>
    <row r="3993" spans="10:10" x14ac:dyDescent="0.3">
      <c r="J3993"/>
    </row>
    <row r="3994" spans="10:10" x14ac:dyDescent="0.3">
      <c r="J3994"/>
    </row>
    <row r="3995" spans="10:10" x14ac:dyDescent="0.3">
      <c r="J3995"/>
    </row>
    <row r="3996" spans="10:10" x14ac:dyDescent="0.3">
      <c r="J3996"/>
    </row>
    <row r="3997" spans="10:10" x14ac:dyDescent="0.3">
      <c r="J3997"/>
    </row>
    <row r="3998" spans="10:10" x14ac:dyDescent="0.3">
      <c r="J3998"/>
    </row>
    <row r="3999" spans="10:10" x14ac:dyDescent="0.3">
      <c r="J3999"/>
    </row>
    <row r="4000" spans="10:10" x14ac:dyDescent="0.3">
      <c r="J4000"/>
    </row>
    <row r="4001" spans="10:10" x14ac:dyDescent="0.3">
      <c r="J4001"/>
    </row>
    <row r="4002" spans="10:10" x14ac:dyDescent="0.3">
      <c r="J4002"/>
    </row>
    <row r="4003" spans="10:10" x14ac:dyDescent="0.3">
      <c r="J4003"/>
    </row>
    <row r="4004" spans="10:10" x14ac:dyDescent="0.3">
      <c r="J4004"/>
    </row>
    <row r="4005" spans="10:10" x14ac:dyDescent="0.3">
      <c r="J4005"/>
    </row>
    <row r="4006" spans="10:10" x14ac:dyDescent="0.3">
      <c r="J4006"/>
    </row>
    <row r="4007" spans="10:10" x14ac:dyDescent="0.3">
      <c r="J4007"/>
    </row>
    <row r="4008" spans="10:10" x14ac:dyDescent="0.3">
      <c r="J4008"/>
    </row>
    <row r="4009" spans="10:10" x14ac:dyDescent="0.3">
      <c r="J4009"/>
    </row>
    <row r="4010" spans="10:10" x14ac:dyDescent="0.3">
      <c r="J4010"/>
    </row>
    <row r="4011" spans="10:10" x14ac:dyDescent="0.3">
      <c r="J4011"/>
    </row>
    <row r="4012" spans="10:10" x14ac:dyDescent="0.3">
      <c r="J4012"/>
    </row>
    <row r="4013" spans="10:10" x14ac:dyDescent="0.3">
      <c r="J4013"/>
    </row>
    <row r="4014" spans="10:10" x14ac:dyDescent="0.3">
      <c r="J4014"/>
    </row>
    <row r="4015" spans="10:10" x14ac:dyDescent="0.3">
      <c r="J4015"/>
    </row>
    <row r="4016" spans="10:10" x14ac:dyDescent="0.3">
      <c r="J4016"/>
    </row>
    <row r="4017" spans="10:10" x14ac:dyDescent="0.3">
      <c r="J4017"/>
    </row>
    <row r="4018" spans="10:10" x14ac:dyDescent="0.3">
      <c r="J4018"/>
    </row>
    <row r="4019" spans="10:10" x14ac:dyDescent="0.3">
      <c r="J4019"/>
    </row>
    <row r="4020" spans="10:10" x14ac:dyDescent="0.3">
      <c r="J4020"/>
    </row>
    <row r="4021" spans="10:10" x14ac:dyDescent="0.3">
      <c r="J4021"/>
    </row>
    <row r="4022" spans="10:10" x14ac:dyDescent="0.3">
      <c r="J4022"/>
    </row>
    <row r="4023" spans="10:10" x14ac:dyDescent="0.3">
      <c r="J4023"/>
    </row>
    <row r="4024" spans="10:10" x14ac:dyDescent="0.3">
      <c r="J4024"/>
    </row>
    <row r="4025" spans="10:10" x14ac:dyDescent="0.3">
      <c r="J4025"/>
    </row>
    <row r="4026" spans="10:10" x14ac:dyDescent="0.3">
      <c r="J4026"/>
    </row>
    <row r="4027" spans="10:10" x14ac:dyDescent="0.3">
      <c r="J4027"/>
    </row>
    <row r="4028" spans="10:10" x14ac:dyDescent="0.3">
      <c r="J4028"/>
    </row>
    <row r="4029" spans="10:10" x14ac:dyDescent="0.3">
      <c r="J4029"/>
    </row>
    <row r="4030" spans="10:10" x14ac:dyDescent="0.3">
      <c r="J4030"/>
    </row>
    <row r="4031" spans="10:10" x14ac:dyDescent="0.3">
      <c r="J4031"/>
    </row>
    <row r="4032" spans="10:10" x14ac:dyDescent="0.3">
      <c r="J4032"/>
    </row>
    <row r="4033" spans="10:10" x14ac:dyDescent="0.3">
      <c r="J4033"/>
    </row>
    <row r="4034" spans="10:10" x14ac:dyDescent="0.3">
      <c r="J4034"/>
    </row>
    <row r="4035" spans="10:10" x14ac:dyDescent="0.3">
      <c r="J4035"/>
    </row>
    <row r="4036" spans="10:10" x14ac:dyDescent="0.3">
      <c r="J4036"/>
    </row>
    <row r="4037" spans="10:10" x14ac:dyDescent="0.3">
      <c r="J4037"/>
    </row>
    <row r="4038" spans="10:10" x14ac:dyDescent="0.3">
      <c r="J4038"/>
    </row>
    <row r="4039" spans="10:10" x14ac:dyDescent="0.3">
      <c r="J4039"/>
    </row>
    <row r="4040" spans="10:10" x14ac:dyDescent="0.3">
      <c r="J4040"/>
    </row>
    <row r="4041" spans="10:10" x14ac:dyDescent="0.3">
      <c r="J4041"/>
    </row>
    <row r="4042" spans="10:10" x14ac:dyDescent="0.3">
      <c r="J4042"/>
    </row>
    <row r="4043" spans="10:10" x14ac:dyDescent="0.3">
      <c r="J4043"/>
    </row>
    <row r="4044" spans="10:10" x14ac:dyDescent="0.3">
      <c r="J4044"/>
    </row>
    <row r="4045" spans="10:10" x14ac:dyDescent="0.3">
      <c r="J4045"/>
    </row>
    <row r="4046" spans="10:10" x14ac:dyDescent="0.3">
      <c r="J4046"/>
    </row>
    <row r="4047" spans="10:10" x14ac:dyDescent="0.3">
      <c r="J4047"/>
    </row>
    <row r="4048" spans="10:10" x14ac:dyDescent="0.3">
      <c r="J4048"/>
    </row>
    <row r="4049" spans="10:10" x14ac:dyDescent="0.3">
      <c r="J4049"/>
    </row>
    <row r="4050" spans="10:10" x14ac:dyDescent="0.3">
      <c r="J4050"/>
    </row>
    <row r="4051" spans="10:10" x14ac:dyDescent="0.3">
      <c r="J4051"/>
    </row>
    <row r="4052" spans="10:10" x14ac:dyDescent="0.3">
      <c r="J4052"/>
    </row>
    <row r="4053" spans="10:10" x14ac:dyDescent="0.3">
      <c r="J4053"/>
    </row>
    <row r="4054" spans="10:10" x14ac:dyDescent="0.3">
      <c r="J4054"/>
    </row>
    <row r="4055" spans="10:10" x14ac:dyDescent="0.3">
      <c r="J4055"/>
    </row>
    <row r="4056" spans="10:10" x14ac:dyDescent="0.3">
      <c r="J4056"/>
    </row>
    <row r="4057" spans="10:10" x14ac:dyDescent="0.3">
      <c r="J4057"/>
    </row>
    <row r="4058" spans="10:10" x14ac:dyDescent="0.3">
      <c r="J4058"/>
    </row>
    <row r="4059" spans="10:10" x14ac:dyDescent="0.3">
      <c r="J4059"/>
    </row>
    <row r="4060" spans="10:10" x14ac:dyDescent="0.3">
      <c r="J4060"/>
    </row>
    <row r="4061" spans="10:10" x14ac:dyDescent="0.3">
      <c r="J4061"/>
    </row>
    <row r="4062" spans="10:10" x14ac:dyDescent="0.3">
      <c r="J4062"/>
    </row>
    <row r="4063" spans="10:10" x14ac:dyDescent="0.3">
      <c r="J4063"/>
    </row>
    <row r="4064" spans="10:10" x14ac:dyDescent="0.3">
      <c r="J4064"/>
    </row>
    <row r="4065" spans="10:10" x14ac:dyDescent="0.3">
      <c r="J4065"/>
    </row>
    <row r="4066" spans="10:10" x14ac:dyDescent="0.3">
      <c r="J4066"/>
    </row>
    <row r="4067" spans="10:10" x14ac:dyDescent="0.3">
      <c r="J4067"/>
    </row>
    <row r="4068" spans="10:10" x14ac:dyDescent="0.3">
      <c r="J4068"/>
    </row>
    <row r="4069" spans="10:10" x14ac:dyDescent="0.3">
      <c r="J4069"/>
    </row>
    <row r="4070" spans="10:10" x14ac:dyDescent="0.3">
      <c r="J4070"/>
    </row>
    <row r="4071" spans="10:10" x14ac:dyDescent="0.3">
      <c r="J4071"/>
    </row>
    <row r="4072" spans="10:10" x14ac:dyDescent="0.3">
      <c r="J4072"/>
    </row>
    <row r="4073" spans="10:10" x14ac:dyDescent="0.3">
      <c r="J4073"/>
    </row>
    <row r="4074" spans="10:10" x14ac:dyDescent="0.3">
      <c r="J4074"/>
    </row>
    <row r="4075" spans="10:10" x14ac:dyDescent="0.3">
      <c r="J4075"/>
    </row>
    <row r="4076" spans="10:10" x14ac:dyDescent="0.3">
      <c r="J4076"/>
    </row>
    <row r="4077" spans="10:10" x14ac:dyDescent="0.3">
      <c r="J4077"/>
    </row>
    <row r="4078" spans="10:10" x14ac:dyDescent="0.3">
      <c r="J4078"/>
    </row>
    <row r="4079" spans="10:10" x14ac:dyDescent="0.3">
      <c r="J4079"/>
    </row>
    <row r="4080" spans="10:10" x14ac:dyDescent="0.3">
      <c r="J4080"/>
    </row>
    <row r="4081" spans="10:10" x14ac:dyDescent="0.3">
      <c r="J4081"/>
    </row>
    <row r="4082" spans="10:10" x14ac:dyDescent="0.3">
      <c r="J4082"/>
    </row>
    <row r="4083" spans="10:10" x14ac:dyDescent="0.3">
      <c r="J4083"/>
    </row>
    <row r="4084" spans="10:10" x14ac:dyDescent="0.3">
      <c r="J4084"/>
    </row>
    <row r="4085" spans="10:10" x14ac:dyDescent="0.3">
      <c r="J4085"/>
    </row>
    <row r="4086" spans="10:10" x14ac:dyDescent="0.3">
      <c r="J4086"/>
    </row>
    <row r="4087" spans="10:10" x14ac:dyDescent="0.3">
      <c r="J4087"/>
    </row>
    <row r="4088" spans="10:10" x14ac:dyDescent="0.3">
      <c r="J4088"/>
    </row>
    <row r="4089" spans="10:10" x14ac:dyDescent="0.3">
      <c r="J4089"/>
    </row>
    <row r="4090" spans="10:10" x14ac:dyDescent="0.3">
      <c r="J4090"/>
    </row>
    <row r="4091" spans="10:10" x14ac:dyDescent="0.3">
      <c r="J4091"/>
    </row>
    <row r="4092" spans="10:10" x14ac:dyDescent="0.3">
      <c r="J4092"/>
    </row>
    <row r="4093" spans="10:10" x14ac:dyDescent="0.3">
      <c r="J4093"/>
    </row>
    <row r="4094" spans="10:10" x14ac:dyDescent="0.3">
      <c r="J4094"/>
    </row>
    <row r="4095" spans="10:10" x14ac:dyDescent="0.3">
      <c r="J4095"/>
    </row>
    <row r="4096" spans="10:10" x14ac:dyDescent="0.3">
      <c r="J4096"/>
    </row>
    <row r="4097" spans="10:10" x14ac:dyDescent="0.3">
      <c r="J4097"/>
    </row>
    <row r="4098" spans="10:10" x14ac:dyDescent="0.3">
      <c r="J4098"/>
    </row>
    <row r="4099" spans="10:10" x14ac:dyDescent="0.3">
      <c r="J4099"/>
    </row>
    <row r="4100" spans="10:10" x14ac:dyDescent="0.3">
      <c r="J4100"/>
    </row>
    <row r="4101" spans="10:10" x14ac:dyDescent="0.3">
      <c r="J4101"/>
    </row>
    <row r="4102" spans="10:10" x14ac:dyDescent="0.3">
      <c r="J4102"/>
    </row>
    <row r="4103" spans="10:10" x14ac:dyDescent="0.3">
      <c r="J4103"/>
    </row>
    <row r="4104" spans="10:10" x14ac:dyDescent="0.3">
      <c r="J4104"/>
    </row>
    <row r="4105" spans="10:10" x14ac:dyDescent="0.3">
      <c r="J4105"/>
    </row>
    <row r="4106" spans="10:10" x14ac:dyDescent="0.3">
      <c r="J4106"/>
    </row>
    <row r="4107" spans="10:10" x14ac:dyDescent="0.3">
      <c r="J4107"/>
    </row>
    <row r="4108" spans="10:10" x14ac:dyDescent="0.3">
      <c r="J4108"/>
    </row>
    <row r="4109" spans="10:10" x14ac:dyDescent="0.3">
      <c r="J4109"/>
    </row>
    <row r="4110" spans="10:10" x14ac:dyDescent="0.3">
      <c r="J4110"/>
    </row>
    <row r="4111" spans="10:10" x14ac:dyDescent="0.3">
      <c r="J4111"/>
    </row>
    <row r="4112" spans="10:10" x14ac:dyDescent="0.3">
      <c r="J4112"/>
    </row>
    <row r="4113" spans="10:10" x14ac:dyDescent="0.3">
      <c r="J4113"/>
    </row>
    <row r="4114" spans="10:10" x14ac:dyDescent="0.3">
      <c r="J4114"/>
    </row>
    <row r="4115" spans="10:10" x14ac:dyDescent="0.3">
      <c r="J4115"/>
    </row>
    <row r="4116" spans="10:10" x14ac:dyDescent="0.3">
      <c r="J4116"/>
    </row>
    <row r="4117" spans="10:10" x14ac:dyDescent="0.3">
      <c r="J4117"/>
    </row>
    <row r="4118" spans="10:10" x14ac:dyDescent="0.3">
      <c r="J4118"/>
    </row>
    <row r="4119" spans="10:10" x14ac:dyDescent="0.3">
      <c r="J4119"/>
    </row>
    <row r="4120" spans="10:10" x14ac:dyDescent="0.3">
      <c r="J4120"/>
    </row>
    <row r="4121" spans="10:10" x14ac:dyDescent="0.3">
      <c r="J4121"/>
    </row>
    <row r="4122" spans="10:10" x14ac:dyDescent="0.3">
      <c r="J4122"/>
    </row>
    <row r="4123" spans="10:10" x14ac:dyDescent="0.3">
      <c r="J4123"/>
    </row>
    <row r="4124" spans="10:10" x14ac:dyDescent="0.3">
      <c r="J4124"/>
    </row>
    <row r="4125" spans="10:10" x14ac:dyDescent="0.3">
      <c r="J4125"/>
    </row>
    <row r="4126" spans="10:10" x14ac:dyDescent="0.3">
      <c r="J4126"/>
    </row>
    <row r="4127" spans="10:10" x14ac:dyDescent="0.3">
      <c r="J4127"/>
    </row>
    <row r="4128" spans="10:10" x14ac:dyDescent="0.3">
      <c r="J4128"/>
    </row>
    <row r="4129" spans="10:10" x14ac:dyDescent="0.3">
      <c r="J4129"/>
    </row>
    <row r="4130" spans="10:10" x14ac:dyDescent="0.3">
      <c r="J4130"/>
    </row>
    <row r="4131" spans="10:10" x14ac:dyDescent="0.3">
      <c r="J4131"/>
    </row>
    <row r="4132" spans="10:10" x14ac:dyDescent="0.3">
      <c r="J4132"/>
    </row>
    <row r="4133" spans="10:10" x14ac:dyDescent="0.3">
      <c r="J4133"/>
    </row>
    <row r="4134" spans="10:10" x14ac:dyDescent="0.3">
      <c r="J4134"/>
    </row>
    <row r="4135" spans="10:10" x14ac:dyDescent="0.3">
      <c r="J4135"/>
    </row>
    <row r="4136" spans="10:10" x14ac:dyDescent="0.3">
      <c r="J4136"/>
    </row>
    <row r="4137" spans="10:10" x14ac:dyDescent="0.3">
      <c r="J4137"/>
    </row>
    <row r="4138" spans="10:10" x14ac:dyDescent="0.3">
      <c r="J4138"/>
    </row>
    <row r="4139" spans="10:10" x14ac:dyDescent="0.3">
      <c r="J4139"/>
    </row>
    <row r="4140" spans="10:10" x14ac:dyDescent="0.3">
      <c r="J4140"/>
    </row>
    <row r="4141" spans="10:10" x14ac:dyDescent="0.3">
      <c r="J4141"/>
    </row>
    <row r="4142" spans="10:10" x14ac:dyDescent="0.3">
      <c r="J4142"/>
    </row>
    <row r="4143" spans="10:10" x14ac:dyDescent="0.3">
      <c r="J4143"/>
    </row>
    <row r="4144" spans="10:10" x14ac:dyDescent="0.3">
      <c r="J4144"/>
    </row>
    <row r="4145" spans="10:10" x14ac:dyDescent="0.3">
      <c r="J4145"/>
    </row>
    <row r="4146" spans="10:10" x14ac:dyDescent="0.3">
      <c r="J4146"/>
    </row>
    <row r="4147" spans="10:10" x14ac:dyDescent="0.3">
      <c r="J4147"/>
    </row>
    <row r="4148" spans="10:10" x14ac:dyDescent="0.3">
      <c r="J4148"/>
    </row>
    <row r="4149" spans="10:10" x14ac:dyDescent="0.3">
      <c r="J4149"/>
    </row>
    <row r="4150" spans="10:10" x14ac:dyDescent="0.3">
      <c r="J4150"/>
    </row>
    <row r="4151" spans="10:10" x14ac:dyDescent="0.3">
      <c r="J4151"/>
    </row>
    <row r="4152" spans="10:10" x14ac:dyDescent="0.3">
      <c r="J4152"/>
    </row>
    <row r="4153" spans="10:10" x14ac:dyDescent="0.3">
      <c r="J4153"/>
    </row>
    <row r="4154" spans="10:10" x14ac:dyDescent="0.3">
      <c r="J4154"/>
    </row>
    <row r="4155" spans="10:10" x14ac:dyDescent="0.3">
      <c r="J4155"/>
    </row>
    <row r="4156" spans="10:10" x14ac:dyDescent="0.3">
      <c r="J4156"/>
    </row>
    <row r="4157" spans="10:10" x14ac:dyDescent="0.3">
      <c r="J4157"/>
    </row>
    <row r="4158" spans="10:10" x14ac:dyDescent="0.3">
      <c r="J4158"/>
    </row>
    <row r="4159" spans="10:10" x14ac:dyDescent="0.3">
      <c r="J4159"/>
    </row>
    <row r="4160" spans="10:10" x14ac:dyDescent="0.3">
      <c r="J4160"/>
    </row>
    <row r="4161" spans="10:10" x14ac:dyDescent="0.3">
      <c r="J4161"/>
    </row>
    <row r="4162" spans="10:10" x14ac:dyDescent="0.3">
      <c r="J4162"/>
    </row>
    <row r="4163" spans="10:10" x14ac:dyDescent="0.3">
      <c r="J4163"/>
    </row>
    <row r="4164" spans="10:10" x14ac:dyDescent="0.3">
      <c r="J4164"/>
    </row>
    <row r="4165" spans="10:10" x14ac:dyDescent="0.3">
      <c r="J4165"/>
    </row>
    <row r="4166" spans="10:10" x14ac:dyDescent="0.3">
      <c r="J4166"/>
    </row>
    <row r="4167" spans="10:10" x14ac:dyDescent="0.3">
      <c r="J4167"/>
    </row>
    <row r="4168" spans="10:10" x14ac:dyDescent="0.3">
      <c r="J4168"/>
    </row>
    <row r="4169" spans="10:10" x14ac:dyDescent="0.3">
      <c r="J4169"/>
    </row>
    <row r="4170" spans="10:10" x14ac:dyDescent="0.3">
      <c r="J4170"/>
    </row>
    <row r="4171" spans="10:10" x14ac:dyDescent="0.3">
      <c r="J4171"/>
    </row>
    <row r="4172" spans="10:10" x14ac:dyDescent="0.3">
      <c r="J4172"/>
    </row>
    <row r="4173" spans="10:10" x14ac:dyDescent="0.3">
      <c r="J4173"/>
    </row>
    <row r="4174" spans="10:10" x14ac:dyDescent="0.3">
      <c r="J4174"/>
    </row>
    <row r="4175" spans="10:10" x14ac:dyDescent="0.3">
      <c r="J4175"/>
    </row>
    <row r="4176" spans="10:10" x14ac:dyDescent="0.3">
      <c r="J4176"/>
    </row>
    <row r="4177" spans="10:10" x14ac:dyDescent="0.3">
      <c r="J4177"/>
    </row>
    <row r="4178" spans="10:10" x14ac:dyDescent="0.3">
      <c r="J4178"/>
    </row>
    <row r="4179" spans="10:10" x14ac:dyDescent="0.3">
      <c r="J4179"/>
    </row>
    <row r="4180" spans="10:10" x14ac:dyDescent="0.3">
      <c r="J4180"/>
    </row>
    <row r="4181" spans="10:10" x14ac:dyDescent="0.3">
      <c r="J4181"/>
    </row>
    <row r="4182" spans="10:10" x14ac:dyDescent="0.3">
      <c r="J4182"/>
    </row>
    <row r="4183" spans="10:10" x14ac:dyDescent="0.3">
      <c r="J4183"/>
    </row>
    <row r="4184" spans="10:10" x14ac:dyDescent="0.3">
      <c r="J4184"/>
    </row>
    <row r="4185" spans="10:10" x14ac:dyDescent="0.3">
      <c r="J4185"/>
    </row>
    <row r="4186" spans="10:10" x14ac:dyDescent="0.3">
      <c r="J4186"/>
    </row>
    <row r="4187" spans="10:10" x14ac:dyDescent="0.3">
      <c r="J4187"/>
    </row>
    <row r="4188" spans="10:10" x14ac:dyDescent="0.3">
      <c r="J4188"/>
    </row>
    <row r="4189" spans="10:10" x14ac:dyDescent="0.3">
      <c r="J4189"/>
    </row>
    <row r="4190" spans="10:10" x14ac:dyDescent="0.3">
      <c r="J4190"/>
    </row>
    <row r="4191" spans="10:10" x14ac:dyDescent="0.3">
      <c r="J4191"/>
    </row>
    <row r="4192" spans="10:10" x14ac:dyDescent="0.3">
      <c r="J4192"/>
    </row>
    <row r="4193" spans="10:10" x14ac:dyDescent="0.3">
      <c r="J4193"/>
    </row>
    <row r="4194" spans="10:10" x14ac:dyDescent="0.3">
      <c r="J4194"/>
    </row>
    <row r="4195" spans="10:10" x14ac:dyDescent="0.3">
      <c r="J4195"/>
    </row>
    <row r="4196" spans="10:10" x14ac:dyDescent="0.3">
      <c r="J4196"/>
    </row>
    <row r="4197" spans="10:10" x14ac:dyDescent="0.3">
      <c r="J4197"/>
    </row>
    <row r="4198" spans="10:10" x14ac:dyDescent="0.3">
      <c r="J4198"/>
    </row>
    <row r="4199" spans="10:10" x14ac:dyDescent="0.3">
      <c r="J4199"/>
    </row>
    <row r="4200" spans="10:10" x14ac:dyDescent="0.3">
      <c r="J4200"/>
    </row>
    <row r="4201" spans="10:10" x14ac:dyDescent="0.3">
      <c r="J4201"/>
    </row>
    <row r="4202" spans="10:10" x14ac:dyDescent="0.3">
      <c r="J4202"/>
    </row>
    <row r="4203" spans="10:10" x14ac:dyDescent="0.3">
      <c r="J4203"/>
    </row>
    <row r="4204" spans="10:10" x14ac:dyDescent="0.3">
      <c r="J4204"/>
    </row>
    <row r="4205" spans="10:10" x14ac:dyDescent="0.3">
      <c r="J4205"/>
    </row>
    <row r="4206" spans="10:10" x14ac:dyDescent="0.3">
      <c r="J4206"/>
    </row>
    <row r="4207" spans="10:10" x14ac:dyDescent="0.3">
      <c r="J4207"/>
    </row>
    <row r="4208" spans="10:10" x14ac:dyDescent="0.3">
      <c r="J4208"/>
    </row>
    <row r="4209" spans="10:10" x14ac:dyDescent="0.3">
      <c r="J4209"/>
    </row>
    <row r="4210" spans="10:10" x14ac:dyDescent="0.3">
      <c r="J4210"/>
    </row>
    <row r="4211" spans="10:10" x14ac:dyDescent="0.3">
      <c r="J4211"/>
    </row>
    <row r="4212" spans="10:10" x14ac:dyDescent="0.3">
      <c r="J4212"/>
    </row>
    <row r="4213" spans="10:10" x14ac:dyDescent="0.3">
      <c r="J4213"/>
    </row>
    <row r="4214" spans="10:10" x14ac:dyDescent="0.3">
      <c r="J4214"/>
    </row>
    <row r="4215" spans="10:10" x14ac:dyDescent="0.3">
      <c r="J4215"/>
    </row>
    <row r="4216" spans="10:10" x14ac:dyDescent="0.3">
      <c r="J4216"/>
    </row>
    <row r="4217" spans="10:10" x14ac:dyDescent="0.3">
      <c r="J4217"/>
    </row>
    <row r="4218" spans="10:10" x14ac:dyDescent="0.3">
      <c r="J4218"/>
    </row>
    <row r="4219" spans="10:10" x14ac:dyDescent="0.3">
      <c r="J4219"/>
    </row>
    <row r="4220" spans="10:10" x14ac:dyDescent="0.3">
      <c r="J4220"/>
    </row>
    <row r="4221" spans="10:10" x14ac:dyDescent="0.3">
      <c r="J4221"/>
    </row>
    <row r="4222" spans="10:10" x14ac:dyDescent="0.3">
      <c r="J4222"/>
    </row>
    <row r="4223" spans="10:10" x14ac:dyDescent="0.3">
      <c r="J4223"/>
    </row>
    <row r="4224" spans="10:10" x14ac:dyDescent="0.3">
      <c r="J4224"/>
    </row>
    <row r="4225" spans="10:10" x14ac:dyDescent="0.3">
      <c r="J4225"/>
    </row>
    <row r="4226" spans="10:10" x14ac:dyDescent="0.3">
      <c r="J4226"/>
    </row>
    <row r="4227" spans="10:10" x14ac:dyDescent="0.3">
      <c r="J4227"/>
    </row>
    <row r="4228" spans="10:10" x14ac:dyDescent="0.3">
      <c r="J4228"/>
    </row>
    <row r="4229" spans="10:10" x14ac:dyDescent="0.3">
      <c r="J4229"/>
    </row>
    <row r="4230" spans="10:10" x14ac:dyDescent="0.3">
      <c r="J4230"/>
    </row>
    <row r="4231" spans="10:10" x14ac:dyDescent="0.3">
      <c r="J4231"/>
    </row>
    <row r="4232" spans="10:10" x14ac:dyDescent="0.3">
      <c r="J4232"/>
    </row>
    <row r="4233" spans="10:10" x14ac:dyDescent="0.3">
      <c r="J4233"/>
    </row>
    <row r="4234" spans="10:10" x14ac:dyDescent="0.3">
      <c r="J4234"/>
    </row>
    <row r="4235" spans="10:10" x14ac:dyDescent="0.3">
      <c r="J4235"/>
    </row>
    <row r="4236" spans="10:10" x14ac:dyDescent="0.3">
      <c r="J4236"/>
    </row>
    <row r="4237" spans="10:10" x14ac:dyDescent="0.3">
      <c r="J4237"/>
    </row>
    <row r="4238" spans="10:10" x14ac:dyDescent="0.3">
      <c r="J4238"/>
    </row>
    <row r="4239" spans="10:10" x14ac:dyDescent="0.3">
      <c r="J4239"/>
    </row>
    <row r="4240" spans="10:10" x14ac:dyDescent="0.3">
      <c r="J4240"/>
    </row>
    <row r="4241" spans="10:10" x14ac:dyDescent="0.3">
      <c r="J4241"/>
    </row>
    <row r="4242" spans="10:10" x14ac:dyDescent="0.3">
      <c r="J4242"/>
    </row>
    <row r="4243" spans="10:10" x14ac:dyDescent="0.3">
      <c r="J4243"/>
    </row>
    <row r="4244" spans="10:10" x14ac:dyDescent="0.3">
      <c r="J4244"/>
    </row>
    <row r="4245" spans="10:10" x14ac:dyDescent="0.3">
      <c r="J4245"/>
    </row>
    <row r="4246" spans="10:10" x14ac:dyDescent="0.3">
      <c r="J4246"/>
    </row>
    <row r="4247" spans="10:10" x14ac:dyDescent="0.3">
      <c r="J4247"/>
    </row>
    <row r="4248" spans="10:10" x14ac:dyDescent="0.3">
      <c r="J4248"/>
    </row>
    <row r="4249" spans="10:10" x14ac:dyDescent="0.3">
      <c r="J4249"/>
    </row>
    <row r="4250" spans="10:10" x14ac:dyDescent="0.3">
      <c r="J4250"/>
    </row>
    <row r="4251" spans="10:10" x14ac:dyDescent="0.3">
      <c r="J4251"/>
    </row>
    <row r="4252" spans="10:10" x14ac:dyDescent="0.3">
      <c r="J4252"/>
    </row>
    <row r="4253" spans="10:10" x14ac:dyDescent="0.3">
      <c r="J4253"/>
    </row>
    <row r="4254" spans="10:10" x14ac:dyDescent="0.3">
      <c r="J4254"/>
    </row>
    <row r="4255" spans="10:10" x14ac:dyDescent="0.3">
      <c r="J4255"/>
    </row>
    <row r="4256" spans="10:10" x14ac:dyDescent="0.3">
      <c r="J4256"/>
    </row>
    <row r="4257" spans="10:10" x14ac:dyDescent="0.3">
      <c r="J4257"/>
    </row>
    <row r="4258" spans="10:10" x14ac:dyDescent="0.3">
      <c r="J4258"/>
    </row>
    <row r="4259" spans="10:10" x14ac:dyDescent="0.3">
      <c r="J4259"/>
    </row>
    <row r="4260" spans="10:10" x14ac:dyDescent="0.3">
      <c r="J4260"/>
    </row>
    <row r="4261" spans="10:10" x14ac:dyDescent="0.3">
      <c r="J4261"/>
    </row>
    <row r="4262" spans="10:10" x14ac:dyDescent="0.3">
      <c r="J4262"/>
    </row>
    <row r="4263" spans="10:10" x14ac:dyDescent="0.3">
      <c r="J4263"/>
    </row>
    <row r="4264" spans="10:10" x14ac:dyDescent="0.3">
      <c r="J4264"/>
    </row>
    <row r="4265" spans="10:10" x14ac:dyDescent="0.3">
      <c r="J4265"/>
    </row>
    <row r="4266" spans="10:10" x14ac:dyDescent="0.3">
      <c r="J4266"/>
    </row>
    <row r="4267" spans="10:10" x14ac:dyDescent="0.3">
      <c r="J4267"/>
    </row>
    <row r="4268" spans="10:10" x14ac:dyDescent="0.3">
      <c r="J4268"/>
    </row>
    <row r="4269" spans="10:10" x14ac:dyDescent="0.3">
      <c r="J4269"/>
    </row>
    <row r="4270" spans="10:10" x14ac:dyDescent="0.3">
      <c r="J4270"/>
    </row>
    <row r="4271" spans="10:10" x14ac:dyDescent="0.3">
      <c r="J4271"/>
    </row>
    <row r="4272" spans="10:10" x14ac:dyDescent="0.3">
      <c r="J4272"/>
    </row>
    <row r="4273" spans="10:10" x14ac:dyDescent="0.3">
      <c r="J4273"/>
    </row>
    <row r="4274" spans="10:10" x14ac:dyDescent="0.3">
      <c r="J4274"/>
    </row>
    <row r="4275" spans="10:10" x14ac:dyDescent="0.3">
      <c r="J4275"/>
    </row>
    <row r="4276" spans="10:10" x14ac:dyDescent="0.3">
      <c r="J4276"/>
    </row>
    <row r="4277" spans="10:10" x14ac:dyDescent="0.3">
      <c r="J4277"/>
    </row>
    <row r="4278" spans="10:10" x14ac:dyDescent="0.3">
      <c r="J4278"/>
    </row>
    <row r="4279" spans="10:10" x14ac:dyDescent="0.3">
      <c r="J4279"/>
    </row>
    <row r="4280" spans="10:10" x14ac:dyDescent="0.3">
      <c r="J4280"/>
    </row>
    <row r="4281" spans="10:10" x14ac:dyDescent="0.3">
      <c r="J4281"/>
    </row>
    <row r="4282" spans="10:10" x14ac:dyDescent="0.3">
      <c r="J4282"/>
    </row>
    <row r="4283" spans="10:10" x14ac:dyDescent="0.3">
      <c r="J4283"/>
    </row>
    <row r="4284" spans="10:10" x14ac:dyDescent="0.3">
      <c r="J4284"/>
    </row>
    <row r="4285" spans="10:10" x14ac:dyDescent="0.3">
      <c r="J4285"/>
    </row>
    <row r="4286" spans="10:10" x14ac:dyDescent="0.3">
      <c r="J4286"/>
    </row>
    <row r="4287" spans="10:10" x14ac:dyDescent="0.3">
      <c r="J4287"/>
    </row>
    <row r="4288" spans="10:10" x14ac:dyDescent="0.3">
      <c r="J4288"/>
    </row>
    <row r="4289" spans="10:10" x14ac:dyDescent="0.3">
      <c r="J4289"/>
    </row>
    <row r="4290" spans="10:10" x14ac:dyDescent="0.3">
      <c r="J4290"/>
    </row>
    <row r="4291" spans="10:10" x14ac:dyDescent="0.3">
      <c r="J4291"/>
    </row>
    <row r="4292" spans="10:10" x14ac:dyDescent="0.3">
      <c r="J4292"/>
    </row>
    <row r="4293" spans="10:10" x14ac:dyDescent="0.3">
      <c r="J4293"/>
    </row>
    <row r="4294" spans="10:10" x14ac:dyDescent="0.3">
      <c r="J4294"/>
    </row>
    <row r="4295" spans="10:10" x14ac:dyDescent="0.3">
      <c r="J4295"/>
    </row>
    <row r="4296" spans="10:10" x14ac:dyDescent="0.3">
      <c r="J4296"/>
    </row>
    <row r="4297" spans="10:10" x14ac:dyDescent="0.3">
      <c r="J4297"/>
    </row>
    <row r="4298" spans="10:10" x14ac:dyDescent="0.3">
      <c r="J4298"/>
    </row>
    <row r="4299" spans="10:10" x14ac:dyDescent="0.3">
      <c r="J4299"/>
    </row>
    <row r="4300" spans="10:10" x14ac:dyDescent="0.3">
      <c r="J4300"/>
    </row>
    <row r="4301" spans="10:10" x14ac:dyDescent="0.3">
      <c r="J4301"/>
    </row>
    <row r="4302" spans="10:10" x14ac:dyDescent="0.3">
      <c r="J4302"/>
    </row>
    <row r="4303" spans="10:10" x14ac:dyDescent="0.3">
      <c r="J4303"/>
    </row>
    <row r="4304" spans="10:10" x14ac:dyDescent="0.3">
      <c r="J4304"/>
    </row>
    <row r="4305" spans="10:10" x14ac:dyDescent="0.3">
      <c r="J4305"/>
    </row>
    <row r="4306" spans="10:10" x14ac:dyDescent="0.3">
      <c r="J4306"/>
    </row>
    <row r="4307" spans="10:10" x14ac:dyDescent="0.3">
      <c r="J4307"/>
    </row>
    <row r="4308" spans="10:10" x14ac:dyDescent="0.3">
      <c r="J4308"/>
    </row>
    <row r="4309" spans="10:10" x14ac:dyDescent="0.3">
      <c r="J4309"/>
    </row>
    <row r="4310" spans="10:10" x14ac:dyDescent="0.3">
      <c r="J4310"/>
    </row>
    <row r="4311" spans="10:10" x14ac:dyDescent="0.3">
      <c r="J4311"/>
    </row>
    <row r="4312" spans="10:10" x14ac:dyDescent="0.3">
      <c r="J4312"/>
    </row>
    <row r="4313" spans="10:10" x14ac:dyDescent="0.3">
      <c r="J4313"/>
    </row>
    <row r="4314" spans="10:10" x14ac:dyDescent="0.3">
      <c r="J4314"/>
    </row>
    <row r="4315" spans="10:10" x14ac:dyDescent="0.3">
      <c r="J4315"/>
    </row>
    <row r="4316" spans="10:10" x14ac:dyDescent="0.3">
      <c r="J4316"/>
    </row>
    <row r="4317" spans="10:10" x14ac:dyDescent="0.3">
      <c r="J4317"/>
    </row>
    <row r="4318" spans="10:10" x14ac:dyDescent="0.3">
      <c r="J4318"/>
    </row>
    <row r="4319" spans="10:10" x14ac:dyDescent="0.3">
      <c r="J4319"/>
    </row>
    <row r="4320" spans="10:10" x14ac:dyDescent="0.3">
      <c r="J4320"/>
    </row>
    <row r="4321" spans="10:10" x14ac:dyDescent="0.3">
      <c r="J4321"/>
    </row>
    <row r="4322" spans="10:10" x14ac:dyDescent="0.3">
      <c r="J4322"/>
    </row>
    <row r="4323" spans="10:10" x14ac:dyDescent="0.3">
      <c r="J4323"/>
    </row>
    <row r="4324" spans="10:10" x14ac:dyDescent="0.3">
      <c r="J4324"/>
    </row>
    <row r="4325" spans="10:10" x14ac:dyDescent="0.3">
      <c r="J4325"/>
    </row>
    <row r="4326" spans="10:10" x14ac:dyDescent="0.3">
      <c r="J4326"/>
    </row>
    <row r="4327" spans="10:10" x14ac:dyDescent="0.3">
      <c r="J4327"/>
    </row>
    <row r="4328" spans="10:10" x14ac:dyDescent="0.3">
      <c r="J4328"/>
    </row>
    <row r="4329" spans="10:10" x14ac:dyDescent="0.3">
      <c r="J4329"/>
    </row>
    <row r="4330" spans="10:10" x14ac:dyDescent="0.3">
      <c r="J4330"/>
    </row>
    <row r="4331" spans="10:10" x14ac:dyDescent="0.3">
      <c r="J4331"/>
    </row>
    <row r="4332" spans="10:10" x14ac:dyDescent="0.3">
      <c r="J4332"/>
    </row>
    <row r="4333" spans="10:10" x14ac:dyDescent="0.3">
      <c r="J4333"/>
    </row>
    <row r="4334" spans="10:10" x14ac:dyDescent="0.3">
      <c r="J4334"/>
    </row>
    <row r="4335" spans="10:10" x14ac:dyDescent="0.3">
      <c r="J4335"/>
    </row>
    <row r="4336" spans="10:10" x14ac:dyDescent="0.3">
      <c r="J4336"/>
    </row>
    <row r="4337" spans="10:10" x14ac:dyDescent="0.3">
      <c r="J4337"/>
    </row>
    <row r="4338" spans="10:10" x14ac:dyDescent="0.3">
      <c r="J4338"/>
    </row>
    <row r="4339" spans="10:10" x14ac:dyDescent="0.3">
      <c r="J4339"/>
    </row>
    <row r="4340" spans="10:10" x14ac:dyDescent="0.3">
      <c r="J4340"/>
    </row>
    <row r="4341" spans="10:10" x14ac:dyDescent="0.3">
      <c r="J4341"/>
    </row>
    <row r="4342" spans="10:10" x14ac:dyDescent="0.3">
      <c r="J4342"/>
    </row>
    <row r="4343" spans="10:10" x14ac:dyDescent="0.3">
      <c r="J4343"/>
    </row>
    <row r="4344" spans="10:10" x14ac:dyDescent="0.3">
      <c r="J4344"/>
    </row>
    <row r="4345" spans="10:10" x14ac:dyDescent="0.3">
      <c r="J4345"/>
    </row>
    <row r="4346" spans="10:10" x14ac:dyDescent="0.3">
      <c r="J4346"/>
    </row>
    <row r="4347" spans="10:10" x14ac:dyDescent="0.3">
      <c r="J4347"/>
    </row>
    <row r="4348" spans="10:10" x14ac:dyDescent="0.3">
      <c r="J4348"/>
    </row>
    <row r="4349" spans="10:10" x14ac:dyDescent="0.3">
      <c r="J4349"/>
    </row>
    <row r="4350" spans="10:10" x14ac:dyDescent="0.3">
      <c r="J4350"/>
    </row>
    <row r="4351" spans="10:10" x14ac:dyDescent="0.3">
      <c r="J4351"/>
    </row>
    <row r="4352" spans="10:10" x14ac:dyDescent="0.3">
      <c r="J4352"/>
    </row>
    <row r="4353" spans="10:10" x14ac:dyDescent="0.3">
      <c r="J4353"/>
    </row>
    <row r="4354" spans="10:10" x14ac:dyDescent="0.3">
      <c r="J4354"/>
    </row>
    <row r="4355" spans="10:10" x14ac:dyDescent="0.3">
      <c r="J4355"/>
    </row>
    <row r="4356" spans="10:10" x14ac:dyDescent="0.3">
      <c r="J4356"/>
    </row>
    <row r="4357" spans="10:10" x14ac:dyDescent="0.3">
      <c r="J4357"/>
    </row>
    <row r="4358" spans="10:10" x14ac:dyDescent="0.3">
      <c r="J4358"/>
    </row>
    <row r="4359" spans="10:10" x14ac:dyDescent="0.3">
      <c r="J4359"/>
    </row>
    <row r="4360" spans="10:10" x14ac:dyDescent="0.3">
      <c r="J4360"/>
    </row>
    <row r="4361" spans="10:10" x14ac:dyDescent="0.3">
      <c r="J4361"/>
    </row>
    <row r="4362" spans="10:10" x14ac:dyDescent="0.3">
      <c r="J4362"/>
    </row>
    <row r="4363" spans="10:10" x14ac:dyDescent="0.3">
      <c r="J4363"/>
    </row>
    <row r="4364" spans="10:10" x14ac:dyDescent="0.3">
      <c r="J4364"/>
    </row>
    <row r="4365" spans="10:10" x14ac:dyDescent="0.3">
      <c r="J4365"/>
    </row>
    <row r="4366" spans="10:10" x14ac:dyDescent="0.3">
      <c r="J4366"/>
    </row>
    <row r="4367" spans="10:10" x14ac:dyDescent="0.3">
      <c r="J4367"/>
    </row>
    <row r="4368" spans="10:10" x14ac:dyDescent="0.3">
      <c r="J4368"/>
    </row>
    <row r="4369" spans="10:10" x14ac:dyDescent="0.3">
      <c r="J4369"/>
    </row>
    <row r="4370" spans="10:10" x14ac:dyDescent="0.3">
      <c r="J4370"/>
    </row>
    <row r="4371" spans="10:10" x14ac:dyDescent="0.3">
      <c r="J4371"/>
    </row>
    <row r="4372" spans="10:10" x14ac:dyDescent="0.3">
      <c r="J4372"/>
    </row>
    <row r="4373" spans="10:10" x14ac:dyDescent="0.3">
      <c r="J4373"/>
    </row>
    <row r="4374" spans="10:10" x14ac:dyDescent="0.3">
      <c r="J4374"/>
    </row>
    <row r="4375" spans="10:10" x14ac:dyDescent="0.3">
      <c r="J4375"/>
    </row>
    <row r="4376" spans="10:10" x14ac:dyDescent="0.3">
      <c r="J4376"/>
    </row>
    <row r="4377" spans="10:10" x14ac:dyDescent="0.3">
      <c r="J4377"/>
    </row>
    <row r="4378" spans="10:10" x14ac:dyDescent="0.3">
      <c r="J4378"/>
    </row>
    <row r="4379" spans="10:10" x14ac:dyDescent="0.3">
      <c r="J4379"/>
    </row>
    <row r="4380" spans="10:10" x14ac:dyDescent="0.3">
      <c r="J4380"/>
    </row>
    <row r="4381" spans="10:10" x14ac:dyDescent="0.3">
      <c r="J4381"/>
    </row>
    <row r="4382" spans="10:10" x14ac:dyDescent="0.3">
      <c r="J4382"/>
    </row>
    <row r="4383" spans="10:10" x14ac:dyDescent="0.3">
      <c r="J4383"/>
    </row>
    <row r="4384" spans="10:10" x14ac:dyDescent="0.3">
      <c r="J4384"/>
    </row>
    <row r="4385" spans="10:10" x14ac:dyDescent="0.3">
      <c r="J4385"/>
    </row>
    <row r="4386" spans="10:10" x14ac:dyDescent="0.3">
      <c r="J4386"/>
    </row>
    <row r="4387" spans="10:10" x14ac:dyDescent="0.3">
      <c r="J4387"/>
    </row>
    <row r="4388" spans="10:10" x14ac:dyDescent="0.3">
      <c r="J4388"/>
    </row>
    <row r="4389" spans="10:10" x14ac:dyDescent="0.3">
      <c r="J4389"/>
    </row>
    <row r="4390" spans="10:10" x14ac:dyDescent="0.3">
      <c r="J4390"/>
    </row>
    <row r="4391" spans="10:10" x14ac:dyDescent="0.3">
      <c r="J4391"/>
    </row>
    <row r="4392" spans="10:10" x14ac:dyDescent="0.3">
      <c r="J4392"/>
    </row>
    <row r="4393" spans="10:10" x14ac:dyDescent="0.3">
      <c r="J4393"/>
    </row>
    <row r="4394" spans="10:10" x14ac:dyDescent="0.3">
      <c r="J4394"/>
    </row>
    <row r="4395" spans="10:10" x14ac:dyDescent="0.3">
      <c r="J4395"/>
    </row>
    <row r="4396" spans="10:10" x14ac:dyDescent="0.3">
      <c r="J4396"/>
    </row>
    <row r="4397" spans="10:10" x14ac:dyDescent="0.3">
      <c r="J4397"/>
    </row>
    <row r="4398" spans="10:10" x14ac:dyDescent="0.3">
      <c r="J4398"/>
    </row>
    <row r="4399" spans="10:10" x14ac:dyDescent="0.3">
      <c r="J4399"/>
    </row>
    <row r="4400" spans="10:10" x14ac:dyDescent="0.3">
      <c r="J4400"/>
    </row>
    <row r="4401" spans="10:10" x14ac:dyDescent="0.3">
      <c r="J4401"/>
    </row>
    <row r="4402" spans="10:10" x14ac:dyDescent="0.3">
      <c r="J4402"/>
    </row>
    <row r="4403" spans="10:10" x14ac:dyDescent="0.3">
      <c r="J4403"/>
    </row>
    <row r="4404" spans="10:10" x14ac:dyDescent="0.3">
      <c r="J4404"/>
    </row>
    <row r="4405" spans="10:10" x14ac:dyDescent="0.3">
      <c r="J4405"/>
    </row>
    <row r="4406" spans="10:10" x14ac:dyDescent="0.3">
      <c r="J4406"/>
    </row>
    <row r="4407" spans="10:10" x14ac:dyDescent="0.3">
      <c r="J4407"/>
    </row>
    <row r="4408" spans="10:10" x14ac:dyDescent="0.3">
      <c r="J4408"/>
    </row>
    <row r="4409" spans="10:10" x14ac:dyDescent="0.3">
      <c r="J4409"/>
    </row>
    <row r="4410" spans="10:10" x14ac:dyDescent="0.3">
      <c r="J4410"/>
    </row>
    <row r="4411" spans="10:10" x14ac:dyDescent="0.3">
      <c r="J4411"/>
    </row>
    <row r="4412" spans="10:10" x14ac:dyDescent="0.3">
      <c r="J4412"/>
    </row>
    <row r="4413" spans="10:10" x14ac:dyDescent="0.3">
      <c r="J4413"/>
    </row>
    <row r="4414" spans="10:10" x14ac:dyDescent="0.3">
      <c r="J4414"/>
    </row>
    <row r="4415" spans="10:10" x14ac:dyDescent="0.3">
      <c r="J4415"/>
    </row>
    <row r="4416" spans="10:10" x14ac:dyDescent="0.3">
      <c r="J4416"/>
    </row>
    <row r="4417" spans="10:10" x14ac:dyDescent="0.3">
      <c r="J4417"/>
    </row>
    <row r="4418" spans="10:10" x14ac:dyDescent="0.3">
      <c r="J4418"/>
    </row>
    <row r="4419" spans="10:10" x14ac:dyDescent="0.3">
      <c r="J4419"/>
    </row>
    <row r="4420" spans="10:10" x14ac:dyDescent="0.3">
      <c r="J4420"/>
    </row>
    <row r="4421" spans="10:10" x14ac:dyDescent="0.3">
      <c r="J4421"/>
    </row>
    <row r="4422" spans="10:10" x14ac:dyDescent="0.3">
      <c r="J4422"/>
    </row>
    <row r="4423" spans="10:10" x14ac:dyDescent="0.3">
      <c r="J4423"/>
    </row>
    <row r="4424" spans="10:10" x14ac:dyDescent="0.3">
      <c r="J4424"/>
    </row>
    <row r="4425" spans="10:10" x14ac:dyDescent="0.3">
      <c r="J4425"/>
    </row>
    <row r="4426" spans="10:10" x14ac:dyDescent="0.3">
      <c r="J4426"/>
    </row>
    <row r="4427" spans="10:10" x14ac:dyDescent="0.3">
      <c r="J4427"/>
    </row>
    <row r="4428" spans="10:10" x14ac:dyDescent="0.3">
      <c r="J4428"/>
    </row>
    <row r="4429" spans="10:10" x14ac:dyDescent="0.3">
      <c r="J4429"/>
    </row>
    <row r="4430" spans="10:10" x14ac:dyDescent="0.3">
      <c r="J4430"/>
    </row>
    <row r="4431" spans="10:10" x14ac:dyDescent="0.3">
      <c r="J4431"/>
    </row>
    <row r="4432" spans="10:10" x14ac:dyDescent="0.3">
      <c r="J4432"/>
    </row>
    <row r="4433" spans="10:10" x14ac:dyDescent="0.3">
      <c r="J4433"/>
    </row>
    <row r="4434" spans="10:10" x14ac:dyDescent="0.3">
      <c r="J4434"/>
    </row>
    <row r="4435" spans="10:10" x14ac:dyDescent="0.3">
      <c r="J4435"/>
    </row>
    <row r="4436" spans="10:10" x14ac:dyDescent="0.3">
      <c r="J4436"/>
    </row>
    <row r="4437" spans="10:10" x14ac:dyDescent="0.3">
      <c r="J4437"/>
    </row>
    <row r="4438" spans="10:10" x14ac:dyDescent="0.3">
      <c r="J4438"/>
    </row>
    <row r="4439" spans="10:10" x14ac:dyDescent="0.3">
      <c r="J4439"/>
    </row>
    <row r="4440" spans="10:10" x14ac:dyDescent="0.3">
      <c r="J4440"/>
    </row>
    <row r="4441" spans="10:10" x14ac:dyDescent="0.3">
      <c r="J4441"/>
    </row>
    <row r="4442" spans="10:10" x14ac:dyDescent="0.3">
      <c r="J4442"/>
    </row>
    <row r="4443" spans="10:10" x14ac:dyDescent="0.3">
      <c r="J4443"/>
    </row>
    <row r="4444" spans="10:10" x14ac:dyDescent="0.3">
      <c r="J4444"/>
    </row>
    <row r="4445" spans="10:10" x14ac:dyDescent="0.3">
      <c r="J4445"/>
    </row>
    <row r="4446" spans="10:10" x14ac:dyDescent="0.3">
      <c r="J4446"/>
    </row>
    <row r="4447" spans="10:10" x14ac:dyDescent="0.3">
      <c r="J4447"/>
    </row>
    <row r="4448" spans="10:10" x14ac:dyDescent="0.3">
      <c r="J4448"/>
    </row>
    <row r="4449" spans="10:10" x14ac:dyDescent="0.3">
      <c r="J4449"/>
    </row>
    <row r="4450" spans="10:10" x14ac:dyDescent="0.3">
      <c r="J4450"/>
    </row>
    <row r="4451" spans="10:10" x14ac:dyDescent="0.3">
      <c r="J4451"/>
    </row>
    <row r="4452" spans="10:10" x14ac:dyDescent="0.3">
      <c r="J4452"/>
    </row>
    <row r="4453" spans="10:10" x14ac:dyDescent="0.3">
      <c r="J4453"/>
    </row>
    <row r="4454" spans="10:10" x14ac:dyDescent="0.3">
      <c r="J4454"/>
    </row>
    <row r="4455" spans="10:10" x14ac:dyDescent="0.3">
      <c r="J4455"/>
    </row>
    <row r="4456" spans="10:10" x14ac:dyDescent="0.3">
      <c r="J4456"/>
    </row>
    <row r="4457" spans="10:10" x14ac:dyDescent="0.3">
      <c r="J4457"/>
    </row>
    <row r="4458" spans="10:10" x14ac:dyDescent="0.3">
      <c r="J4458"/>
    </row>
    <row r="4459" spans="10:10" x14ac:dyDescent="0.3">
      <c r="J4459"/>
    </row>
    <row r="4460" spans="10:10" x14ac:dyDescent="0.3">
      <c r="J4460"/>
    </row>
    <row r="4461" spans="10:10" x14ac:dyDescent="0.3">
      <c r="J4461"/>
    </row>
    <row r="4462" spans="10:10" x14ac:dyDescent="0.3">
      <c r="J4462"/>
    </row>
    <row r="4463" spans="10:10" x14ac:dyDescent="0.3">
      <c r="J4463"/>
    </row>
    <row r="4464" spans="10:10" x14ac:dyDescent="0.3">
      <c r="J4464"/>
    </row>
    <row r="4465" spans="10:10" x14ac:dyDescent="0.3">
      <c r="J4465"/>
    </row>
    <row r="4466" spans="10:10" x14ac:dyDescent="0.3">
      <c r="J4466"/>
    </row>
    <row r="4467" spans="10:10" x14ac:dyDescent="0.3">
      <c r="J4467"/>
    </row>
    <row r="4468" spans="10:10" x14ac:dyDescent="0.3">
      <c r="J4468"/>
    </row>
    <row r="4469" spans="10:10" x14ac:dyDescent="0.3">
      <c r="J4469"/>
    </row>
    <row r="4470" spans="10:10" x14ac:dyDescent="0.3">
      <c r="J4470"/>
    </row>
    <row r="4471" spans="10:10" x14ac:dyDescent="0.3">
      <c r="J4471"/>
    </row>
    <row r="4472" spans="10:10" x14ac:dyDescent="0.3">
      <c r="J4472"/>
    </row>
    <row r="4473" spans="10:10" x14ac:dyDescent="0.3">
      <c r="J4473"/>
    </row>
    <row r="4474" spans="10:10" x14ac:dyDescent="0.3">
      <c r="J4474"/>
    </row>
    <row r="4475" spans="10:10" x14ac:dyDescent="0.3">
      <c r="J4475"/>
    </row>
    <row r="4476" spans="10:10" x14ac:dyDescent="0.3">
      <c r="J4476"/>
    </row>
    <row r="4477" spans="10:10" x14ac:dyDescent="0.3">
      <c r="J4477"/>
    </row>
    <row r="4478" spans="10:10" x14ac:dyDescent="0.3">
      <c r="J4478"/>
    </row>
    <row r="4479" spans="10:10" x14ac:dyDescent="0.3">
      <c r="J4479"/>
    </row>
    <row r="4480" spans="10:10" x14ac:dyDescent="0.3">
      <c r="J4480"/>
    </row>
    <row r="4481" spans="10:10" x14ac:dyDescent="0.3">
      <c r="J4481"/>
    </row>
    <row r="4482" spans="10:10" x14ac:dyDescent="0.3">
      <c r="J4482"/>
    </row>
    <row r="4483" spans="10:10" x14ac:dyDescent="0.3">
      <c r="J4483"/>
    </row>
    <row r="4484" spans="10:10" x14ac:dyDescent="0.3">
      <c r="J4484"/>
    </row>
    <row r="4485" spans="10:10" x14ac:dyDescent="0.3">
      <c r="J4485"/>
    </row>
    <row r="4486" spans="10:10" x14ac:dyDescent="0.3">
      <c r="J4486"/>
    </row>
    <row r="4487" spans="10:10" x14ac:dyDescent="0.3">
      <c r="J4487"/>
    </row>
    <row r="4488" spans="10:10" x14ac:dyDescent="0.3">
      <c r="J4488"/>
    </row>
    <row r="4489" spans="10:10" x14ac:dyDescent="0.3">
      <c r="J4489"/>
    </row>
    <row r="4490" spans="10:10" x14ac:dyDescent="0.3">
      <c r="J4490"/>
    </row>
    <row r="4491" spans="10:10" x14ac:dyDescent="0.3">
      <c r="J4491"/>
    </row>
    <row r="4492" spans="10:10" x14ac:dyDescent="0.3">
      <c r="J4492"/>
    </row>
    <row r="4493" spans="10:10" x14ac:dyDescent="0.3">
      <c r="J4493"/>
    </row>
    <row r="4494" spans="10:10" x14ac:dyDescent="0.3">
      <c r="J4494"/>
    </row>
    <row r="4495" spans="10:10" x14ac:dyDescent="0.3">
      <c r="J4495"/>
    </row>
    <row r="4496" spans="10:10" x14ac:dyDescent="0.3">
      <c r="J4496"/>
    </row>
    <row r="4497" spans="10:10" x14ac:dyDescent="0.3">
      <c r="J4497"/>
    </row>
    <row r="4498" spans="10:10" x14ac:dyDescent="0.3">
      <c r="J4498"/>
    </row>
    <row r="4499" spans="10:10" x14ac:dyDescent="0.3">
      <c r="J4499"/>
    </row>
    <row r="4500" spans="10:10" x14ac:dyDescent="0.3">
      <c r="J4500"/>
    </row>
    <row r="4501" spans="10:10" x14ac:dyDescent="0.3">
      <c r="J4501"/>
    </row>
    <row r="4502" spans="10:10" x14ac:dyDescent="0.3">
      <c r="J4502"/>
    </row>
    <row r="4503" spans="10:10" x14ac:dyDescent="0.3">
      <c r="J4503"/>
    </row>
    <row r="4504" spans="10:10" x14ac:dyDescent="0.3">
      <c r="J4504"/>
    </row>
    <row r="4505" spans="10:10" x14ac:dyDescent="0.3">
      <c r="J4505"/>
    </row>
    <row r="4506" spans="10:10" x14ac:dyDescent="0.3">
      <c r="J4506"/>
    </row>
    <row r="4507" spans="10:10" x14ac:dyDescent="0.3">
      <c r="J4507"/>
    </row>
    <row r="4508" spans="10:10" x14ac:dyDescent="0.3">
      <c r="J4508"/>
    </row>
    <row r="4509" spans="10:10" x14ac:dyDescent="0.3">
      <c r="J4509"/>
    </row>
    <row r="4510" spans="10:10" x14ac:dyDescent="0.3">
      <c r="J4510"/>
    </row>
    <row r="4511" spans="10:10" x14ac:dyDescent="0.3">
      <c r="J4511"/>
    </row>
    <row r="4512" spans="10:10" x14ac:dyDescent="0.3">
      <c r="J4512"/>
    </row>
    <row r="4513" spans="10:10" x14ac:dyDescent="0.3">
      <c r="J4513"/>
    </row>
    <row r="4514" spans="10:10" x14ac:dyDescent="0.3">
      <c r="J4514"/>
    </row>
    <row r="4515" spans="10:10" x14ac:dyDescent="0.3">
      <c r="J4515"/>
    </row>
    <row r="4516" spans="10:10" x14ac:dyDescent="0.3">
      <c r="J4516"/>
    </row>
    <row r="4517" spans="10:10" x14ac:dyDescent="0.3">
      <c r="J4517"/>
    </row>
    <row r="4518" spans="10:10" x14ac:dyDescent="0.3">
      <c r="J4518"/>
    </row>
    <row r="4519" spans="10:10" x14ac:dyDescent="0.3">
      <c r="J4519"/>
    </row>
    <row r="4520" spans="10:10" x14ac:dyDescent="0.3">
      <c r="J4520"/>
    </row>
    <row r="4521" spans="10:10" x14ac:dyDescent="0.3">
      <c r="J4521"/>
    </row>
    <row r="4522" spans="10:10" x14ac:dyDescent="0.3">
      <c r="J4522"/>
    </row>
    <row r="4523" spans="10:10" x14ac:dyDescent="0.3">
      <c r="J4523"/>
    </row>
    <row r="4524" spans="10:10" x14ac:dyDescent="0.3">
      <c r="J4524"/>
    </row>
    <row r="4525" spans="10:10" x14ac:dyDescent="0.3">
      <c r="J4525"/>
    </row>
    <row r="4526" spans="10:10" x14ac:dyDescent="0.3">
      <c r="J4526"/>
    </row>
    <row r="4527" spans="10:10" x14ac:dyDescent="0.3">
      <c r="J4527"/>
    </row>
    <row r="4528" spans="10:10" x14ac:dyDescent="0.3">
      <c r="J4528"/>
    </row>
    <row r="4529" spans="10:10" x14ac:dyDescent="0.3">
      <c r="J4529"/>
    </row>
    <row r="4530" spans="10:10" x14ac:dyDescent="0.3">
      <c r="J4530"/>
    </row>
    <row r="4531" spans="10:10" x14ac:dyDescent="0.3">
      <c r="J4531"/>
    </row>
    <row r="4532" spans="10:10" x14ac:dyDescent="0.3">
      <c r="J4532"/>
    </row>
    <row r="4533" spans="10:10" x14ac:dyDescent="0.3">
      <c r="J4533"/>
    </row>
    <row r="4534" spans="10:10" x14ac:dyDescent="0.3">
      <c r="J4534"/>
    </row>
    <row r="4535" spans="10:10" x14ac:dyDescent="0.3">
      <c r="J4535"/>
    </row>
    <row r="4536" spans="10:10" x14ac:dyDescent="0.3">
      <c r="J4536"/>
    </row>
    <row r="4537" spans="10:10" x14ac:dyDescent="0.3">
      <c r="J4537"/>
    </row>
    <row r="4538" spans="10:10" x14ac:dyDescent="0.3">
      <c r="J4538"/>
    </row>
    <row r="4539" spans="10:10" x14ac:dyDescent="0.3">
      <c r="J4539"/>
    </row>
    <row r="4540" spans="10:10" x14ac:dyDescent="0.3">
      <c r="J4540"/>
    </row>
    <row r="4541" spans="10:10" x14ac:dyDescent="0.3">
      <c r="J4541"/>
    </row>
    <row r="4542" spans="10:10" x14ac:dyDescent="0.3">
      <c r="J4542"/>
    </row>
    <row r="4543" spans="10:10" x14ac:dyDescent="0.3">
      <c r="J4543"/>
    </row>
    <row r="4544" spans="10:10" x14ac:dyDescent="0.3">
      <c r="J4544"/>
    </row>
    <row r="4545" spans="10:10" x14ac:dyDescent="0.3">
      <c r="J4545"/>
    </row>
    <row r="4546" spans="10:10" x14ac:dyDescent="0.3">
      <c r="J4546"/>
    </row>
    <row r="4547" spans="10:10" x14ac:dyDescent="0.3">
      <c r="J4547"/>
    </row>
    <row r="4548" spans="10:10" x14ac:dyDescent="0.3">
      <c r="J4548"/>
    </row>
    <row r="4549" spans="10:10" x14ac:dyDescent="0.3">
      <c r="J4549"/>
    </row>
    <row r="4550" spans="10:10" x14ac:dyDescent="0.3">
      <c r="J4550"/>
    </row>
    <row r="4551" spans="10:10" x14ac:dyDescent="0.3">
      <c r="J4551"/>
    </row>
    <row r="4552" spans="10:10" x14ac:dyDescent="0.3">
      <c r="J4552"/>
    </row>
    <row r="4553" spans="10:10" x14ac:dyDescent="0.3">
      <c r="J4553"/>
    </row>
    <row r="4554" spans="10:10" x14ac:dyDescent="0.3">
      <c r="J4554"/>
    </row>
    <row r="4555" spans="10:10" x14ac:dyDescent="0.3">
      <c r="J4555"/>
    </row>
    <row r="4556" spans="10:10" x14ac:dyDescent="0.3">
      <c r="J4556"/>
    </row>
    <row r="4557" spans="10:10" x14ac:dyDescent="0.3">
      <c r="J4557"/>
    </row>
    <row r="4558" spans="10:10" x14ac:dyDescent="0.3">
      <c r="J4558"/>
    </row>
    <row r="4559" spans="10:10" x14ac:dyDescent="0.3">
      <c r="J4559"/>
    </row>
    <row r="4560" spans="10:10" x14ac:dyDescent="0.3">
      <c r="J4560"/>
    </row>
    <row r="4561" spans="10:10" x14ac:dyDescent="0.3">
      <c r="J4561"/>
    </row>
    <row r="4562" spans="10:10" x14ac:dyDescent="0.3">
      <c r="J4562"/>
    </row>
    <row r="4563" spans="10:10" x14ac:dyDescent="0.3">
      <c r="J4563"/>
    </row>
    <row r="4564" spans="10:10" x14ac:dyDescent="0.3">
      <c r="J4564"/>
    </row>
    <row r="4565" spans="10:10" x14ac:dyDescent="0.3">
      <c r="J4565"/>
    </row>
    <row r="4566" spans="10:10" x14ac:dyDescent="0.3">
      <c r="J4566"/>
    </row>
    <row r="4567" spans="10:10" x14ac:dyDescent="0.3">
      <c r="J4567"/>
    </row>
    <row r="4568" spans="10:10" x14ac:dyDescent="0.3">
      <c r="J4568"/>
    </row>
    <row r="4569" spans="10:10" x14ac:dyDescent="0.3">
      <c r="J4569"/>
    </row>
    <row r="4570" spans="10:10" x14ac:dyDescent="0.3">
      <c r="J4570"/>
    </row>
    <row r="4571" spans="10:10" x14ac:dyDescent="0.3">
      <c r="J4571"/>
    </row>
    <row r="4572" spans="10:10" x14ac:dyDescent="0.3">
      <c r="J4572"/>
    </row>
    <row r="4573" spans="10:10" x14ac:dyDescent="0.3">
      <c r="J4573"/>
    </row>
    <row r="4574" spans="10:10" x14ac:dyDescent="0.3">
      <c r="J4574"/>
    </row>
    <row r="4575" spans="10:10" x14ac:dyDescent="0.3">
      <c r="J4575"/>
    </row>
    <row r="4576" spans="10:10" x14ac:dyDescent="0.3">
      <c r="J4576"/>
    </row>
    <row r="4577" spans="10:10" x14ac:dyDescent="0.3">
      <c r="J4577"/>
    </row>
    <row r="4578" spans="10:10" x14ac:dyDescent="0.3">
      <c r="J4578"/>
    </row>
    <row r="4579" spans="10:10" x14ac:dyDescent="0.3">
      <c r="J4579"/>
    </row>
    <row r="4580" spans="10:10" x14ac:dyDescent="0.3">
      <c r="J4580"/>
    </row>
    <row r="4581" spans="10:10" x14ac:dyDescent="0.3">
      <c r="J4581"/>
    </row>
    <row r="4582" spans="10:10" x14ac:dyDescent="0.3">
      <c r="J4582"/>
    </row>
    <row r="4583" spans="10:10" x14ac:dyDescent="0.3">
      <c r="J4583"/>
    </row>
    <row r="4584" spans="10:10" x14ac:dyDescent="0.3">
      <c r="J4584"/>
    </row>
    <row r="4585" spans="10:10" x14ac:dyDescent="0.3">
      <c r="J4585"/>
    </row>
    <row r="4586" spans="10:10" x14ac:dyDescent="0.3">
      <c r="J4586"/>
    </row>
    <row r="4587" spans="10:10" x14ac:dyDescent="0.3">
      <c r="J4587"/>
    </row>
    <row r="4588" spans="10:10" x14ac:dyDescent="0.3">
      <c r="J4588"/>
    </row>
    <row r="4589" spans="10:10" x14ac:dyDescent="0.3">
      <c r="J4589"/>
    </row>
    <row r="4590" spans="10:10" x14ac:dyDescent="0.3">
      <c r="J4590"/>
    </row>
    <row r="4591" spans="10:10" x14ac:dyDescent="0.3">
      <c r="J4591"/>
    </row>
    <row r="4592" spans="10:10" x14ac:dyDescent="0.3">
      <c r="J4592"/>
    </row>
    <row r="4593" spans="10:10" x14ac:dyDescent="0.3">
      <c r="J4593"/>
    </row>
    <row r="4594" spans="10:10" x14ac:dyDescent="0.3">
      <c r="J4594"/>
    </row>
    <row r="4595" spans="10:10" x14ac:dyDescent="0.3">
      <c r="J4595"/>
    </row>
    <row r="4596" spans="10:10" x14ac:dyDescent="0.3">
      <c r="J4596"/>
    </row>
    <row r="4597" spans="10:10" x14ac:dyDescent="0.3">
      <c r="J4597"/>
    </row>
    <row r="4598" spans="10:10" x14ac:dyDescent="0.3">
      <c r="J4598"/>
    </row>
    <row r="4599" spans="10:10" x14ac:dyDescent="0.3">
      <c r="J4599"/>
    </row>
    <row r="4600" spans="10:10" x14ac:dyDescent="0.3">
      <c r="J4600"/>
    </row>
    <row r="4601" spans="10:10" x14ac:dyDescent="0.3">
      <c r="J4601"/>
    </row>
    <row r="4602" spans="10:10" x14ac:dyDescent="0.3">
      <c r="J4602"/>
    </row>
    <row r="4603" spans="10:10" x14ac:dyDescent="0.3">
      <c r="J4603"/>
    </row>
    <row r="4604" spans="10:10" x14ac:dyDescent="0.3">
      <c r="J4604"/>
    </row>
    <row r="4605" spans="10:10" x14ac:dyDescent="0.3">
      <c r="J4605"/>
    </row>
    <row r="4606" spans="10:10" x14ac:dyDescent="0.3">
      <c r="J4606"/>
    </row>
    <row r="4607" spans="10:10" x14ac:dyDescent="0.3">
      <c r="J4607"/>
    </row>
    <row r="4608" spans="10:10" x14ac:dyDescent="0.3">
      <c r="J4608"/>
    </row>
    <row r="4609" spans="10:10" x14ac:dyDescent="0.3">
      <c r="J4609"/>
    </row>
    <row r="4610" spans="10:10" x14ac:dyDescent="0.3">
      <c r="J4610"/>
    </row>
    <row r="4611" spans="10:10" x14ac:dyDescent="0.3">
      <c r="J4611"/>
    </row>
    <row r="4612" spans="10:10" x14ac:dyDescent="0.3">
      <c r="J4612"/>
    </row>
    <row r="4613" spans="10:10" x14ac:dyDescent="0.3">
      <c r="J4613"/>
    </row>
    <row r="4614" spans="10:10" x14ac:dyDescent="0.3">
      <c r="J4614"/>
    </row>
    <row r="4615" spans="10:10" x14ac:dyDescent="0.3">
      <c r="J4615"/>
    </row>
    <row r="4616" spans="10:10" x14ac:dyDescent="0.3">
      <c r="J4616"/>
    </row>
    <row r="4617" spans="10:10" x14ac:dyDescent="0.3">
      <c r="J4617"/>
    </row>
    <row r="4618" spans="10:10" x14ac:dyDescent="0.3">
      <c r="J4618"/>
    </row>
    <row r="4619" spans="10:10" x14ac:dyDescent="0.3">
      <c r="J4619"/>
    </row>
    <row r="4620" spans="10:10" x14ac:dyDescent="0.3">
      <c r="J4620"/>
    </row>
    <row r="4621" spans="10:10" x14ac:dyDescent="0.3">
      <c r="J4621"/>
    </row>
    <row r="4622" spans="10:10" x14ac:dyDescent="0.3">
      <c r="J4622"/>
    </row>
    <row r="4623" spans="10:10" x14ac:dyDescent="0.3">
      <c r="J4623"/>
    </row>
    <row r="4624" spans="10:10" x14ac:dyDescent="0.3">
      <c r="J4624"/>
    </row>
    <row r="4625" spans="10:10" x14ac:dyDescent="0.3">
      <c r="J4625"/>
    </row>
    <row r="4626" spans="10:10" x14ac:dyDescent="0.3">
      <c r="J4626"/>
    </row>
    <row r="4627" spans="10:10" x14ac:dyDescent="0.3">
      <c r="J4627"/>
    </row>
    <row r="4628" spans="10:10" x14ac:dyDescent="0.3">
      <c r="J4628"/>
    </row>
    <row r="4629" spans="10:10" x14ac:dyDescent="0.3">
      <c r="J4629"/>
    </row>
    <row r="4630" spans="10:10" x14ac:dyDescent="0.3">
      <c r="J4630"/>
    </row>
    <row r="4631" spans="10:10" x14ac:dyDescent="0.3">
      <c r="J4631"/>
    </row>
    <row r="4632" spans="10:10" x14ac:dyDescent="0.3">
      <c r="J4632"/>
    </row>
    <row r="4633" spans="10:10" x14ac:dyDescent="0.3">
      <c r="J4633"/>
    </row>
    <row r="4634" spans="10:10" x14ac:dyDescent="0.3">
      <c r="J4634"/>
    </row>
    <row r="4635" spans="10:10" x14ac:dyDescent="0.3">
      <c r="J4635"/>
    </row>
    <row r="4636" spans="10:10" x14ac:dyDescent="0.3">
      <c r="J4636"/>
    </row>
    <row r="4637" spans="10:10" x14ac:dyDescent="0.3">
      <c r="J4637"/>
    </row>
    <row r="4638" spans="10:10" x14ac:dyDescent="0.3">
      <c r="J4638"/>
    </row>
    <row r="4639" spans="10:10" x14ac:dyDescent="0.3">
      <c r="J4639"/>
    </row>
    <row r="4640" spans="10:10" x14ac:dyDescent="0.3">
      <c r="J4640"/>
    </row>
    <row r="4641" spans="10:10" x14ac:dyDescent="0.3">
      <c r="J4641"/>
    </row>
    <row r="4642" spans="10:10" x14ac:dyDescent="0.3">
      <c r="J4642"/>
    </row>
    <row r="4643" spans="10:10" x14ac:dyDescent="0.3">
      <c r="J4643"/>
    </row>
    <row r="4644" spans="10:10" x14ac:dyDescent="0.3">
      <c r="J4644"/>
    </row>
    <row r="4645" spans="10:10" x14ac:dyDescent="0.3">
      <c r="J4645"/>
    </row>
    <row r="4646" spans="10:10" x14ac:dyDescent="0.3">
      <c r="J4646"/>
    </row>
    <row r="4647" spans="10:10" x14ac:dyDescent="0.3">
      <c r="J4647"/>
    </row>
    <row r="4648" spans="10:10" x14ac:dyDescent="0.3">
      <c r="J4648"/>
    </row>
    <row r="4649" spans="10:10" x14ac:dyDescent="0.3">
      <c r="J4649"/>
    </row>
    <row r="4650" spans="10:10" x14ac:dyDescent="0.3">
      <c r="J4650"/>
    </row>
    <row r="4651" spans="10:10" x14ac:dyDescent="0.3">
      <c r="J4651"/>
    </row>
    <row r="4652" spans="10:10" x14ac:dyDescent="0.3">
      <c r="J4652"/>
    </row>
    <row r="4653" spans="10:10" x14ac:dyDescent="0.3">
      <c r="J4653"/>
    </row>
    <row r="4654" spans="10:10" x14ac:dyDescent="0.3">
      <c r="J4654"/>
    </row>
    <row r="4655" spans="10:10" x14ac:dyDescent="0.3">
      <c r="J4655"/>
    </row>
    <row r="4656" spans="10:10" x14ac:dyDescent="0.3">
      <c r="J4656"/>
    </row>
    <row r="4657" spans="10:10" x14ac:dyDescent="0.3">
      <c r="J4657"/>
    </row>
    <row r="4658" spans="10:10" x14ac:dyDescent="0.3">
      <c r="J4658"/>
    </row>
    <row r="4659" spans="10:10" x14ac:dyDescent="0.3">
      <c r="J4659"/>
    </row>
    <row r="4660" spans="10:10" x14ac:dyDescent="0.3">
      <c r="J4660"/>
    </row>
    <row r="4661" spans="10:10" x14ac:dyDescent="0.3">
      <c r="J4661"/>
    </row>
    <row r="4662" spans="10:10" x14ac:dyDescent="0.3">
      <c r="J4662"/>
    </row>
    <row r="4663" spans="10:10" x14ac:dyDescent="0.3">
      <c r="J4663"/>
    </row>
    <row r="4664" spans="10:10" x14ac:dyDescent="0.3">
      <c r="J4664"/>
    </row>
    <row r="4665" spans="10:10" x14ac:dyDescent="0.3">
      <c r="J4665"/>
    </row>
    <row r="4666" spans="10:10" x14ac:dyDescent="0.3">
      <c r="J4666"/>
    </row>
    <row r="4667" spans="10:10" x14ac:dyDescent="0.3">
      <c r="J4667"/>
    </row>
    <row r="4668" spans="10:10" x14ac:dyDescent="0.3">
      <c r="J4668"/>
    </row>
    <row r="4669" spans="10:10" x14ac:dyDescent="0.3">
      <c r="J4669"/>
    </row>
    <row r="4670" spans="10:10" x14ac:dyDescent="0.3">
      <c r="J4670"/>
    </row>
    <row r="4671" spans="10:10" x14ac:dyDescent="0.3">
      <c r="J4671"/>
    </row>
    <row r="4672" spans="10:10" x14ac:dyDescent="0.3">
      <c r="J4672"/>
    </row>
    <row r="4673" spans="10:10" x14ac:dyDescent="0.3">
      <c r="J4673"/>
    </row>
    <row r="4674" spans="10:10" x14ac:dyDescent="0.3">
      <c r="J4674"/>
    </row>
    <row r="4675" spans="10:10" x14ac:dyDescent="0.3">
      <c r="J4675"/>
    </row>
    <row r="4676" spans="10:10" x14ac:dyDescent="0.3">
      <c r="J4676"/>
    </row>
    <row r="4677" spans="10:10" x14ac:dyDescent="0.3">
      <c r="J4677"/>
    </row>
    <row r="4678" spans="10:10" x14ac:dyDescent="0.3">
      <c r="J4678"/>
    </row>
    <row r="4679" spans="10:10" x14ac:dyDescent="0.3">
      <c r="J4679"/>
    </row>
    <row r="4680" spans="10:10" x14ac:dyDescent="0.3">
      <c r="J4680"/>
    </row>
    <row r="4681" spans="10:10" x14ac:dyDescent="0.3">
      <c r="J4681"/>
    </row>
    <row r="4682" spans="10:10" x14ac:dyDescent="0.3">
      <c r="J4682"/>
    </row>
    <row r="4683" spans="10:10" x14ac:dyDescent="0.3">
      <c r="J4683"/>
    </row>
    <row r="4684" spans="10:10" x14ac:dyDescent="0.3">
      <c r="J4684"/>
    </row>
    <row r="4685" spans="10:10" x14ac:dyDescent="0.3">
      <c r="J4685"/>
    </row>
    <row r="4686" spans="10:10" x14ac:dyDescent="0.3">
      <c r="J4686"/>
    </row>
    <row r="4687" spans="10:10" x14ac:dyDescent="0.3">
      <c r="J4687"/>
    </row>
    <row r="4688" spans="10:10" x14ac:dyDescent="0.3">
      <c r="J4688"/>
    </row>
    <row r="4689" spans="10:10" x14ac:dyDescent="0.3">
      <c r="J4689"/>
    </row>
    <row r="4690" spans="10:10" x14ac:dyDescent="0.3">
      <c r="J4690"/>
    </row>
    <row r="4691" spans="10:10" x14ac:dyDescent="0.3">
      <c r="J4691"/>
    </row>
    <row r="4692" spans="10:10" x14ac:dyDescent="0.3">
      <c r="J4692"/>
    </row>
    <row r="4693" spans="10:10" x14ac:dyDescent="0.3">
      <c r="J4693"/>
    </row>
    <row r="4694" spans="10:10" x14ac:dyDescent="0.3">
      <c r="J4694"/>
    </row>
    <row r="4695" spans="10:10" x14ac:dyDescent="0.3">
      <c r="J4695"/>
    </row>
    <row r="4696" spans="10:10" x14ac:dyDescent="0.3">
      <c r="J4696"/>
    </row>
    <row r="4697" spans="10:10" x14ac:dyDescent="0.3">
      <c r="J4697"/>
    </row>
    <row r="4698" spans="10:10" x14ac:dyDescent="0.3">
      <c r="J4698"/>
    </row>
    <row r="4699" spans="10:10" x14ac:dyDescent="0.3">
      <c r="J4699"/>
    </row>
    <row r="4700" spans="10:10" x14ac:dyDescent="0.3">
      <c r="J4700"/>
    </row>
    <row r="4701" spans="10:10" x14ac:dyDescent="0.3">
      <c r="J4701"/>
    </row>
    <row r="4702" spans="10:10" x14ac:dyDescent="0.3">
      <c r="J4702"/>
    </row>
    <row r="4703" spans="10:10" x14ac:dyDescent="0.3">
      <c r="J4703"/>
    </row>
    <row r="4704" spans="10:10" x14ac:dyDescent="0.3">
      <c r="J4704"/>
    </row>
    <row r="4705" spans="10:10" x14ac:dyDescent="0.3">
      <c r="J4705"/>
    </row>
    <row r="4706" spans="10:10" x14ac:dyDescent="0.3">
      <c r="J4706"/>
    </row>
    <row r="4707" spans="10:10" x14ac:dyDescent="0.3">
      <c r="J4707"/>
    </row>
    <row r="4708" spans="10:10" x14ac:dyDescent="0.3">
      <c r="J4708"/>
    </row>
    <row r="4709" spans="10:10" x14ac:dyDescent="0.3">
      <c r="J4709"/>
    </row>
    <row r="4710" spans="10:10" x14ac:dyDescent="0.3">
      <c r="J4710"/>
    </row>
    <row r="4711" spans="10:10" x14ac:dyDescent="0.3">
      <c r="J4711"/>
    </row>
    <row r="4712" spans="10:10" x14ac:dyDescent="0.3">
      <c r="J4712"/>
    </row>
    <row r="4713" spans="10:10" x14ac:dyDescent="0.3">
      <c r="J4713"/>
    </row>
    <row r="4714" spans="10:10" x14ac:dyDescent="0.3">
      <c r="J4714"/>
    </row>
    <row r="4715" spans="10:10" x14ac:dyDescent="0.3">
      <c r="J4715"/>
    </row>
    <row r="4716" spans="10:10" x14ac:dyDescent="0.3">
      <c r="J4716"/>
    </row>
    <row r="4717" spans="10:10" x14ac:dyDescent="0.3">
      <c r="J4717"/>
    </row>
    <row r="4718" spans="10:10" x14ac:dyDescent="0.3">
      <c r="J4718"/>
    </row>
    <row r="4719" spans="10:10" x14ac:dyDescent="0.3">
      <c r="J4719"/>
    </row>
    <row r="4720" spans="10:10" x14ac:dyDescent="0.3">
      <c r="J4720"/>
    </row>
    <row r="4721" spans="10:10" x14ac:dyDescent="0.3">
      <c r="J4721"/>
    </row>
    <row r="4722" spans="10:10" x14ac:dyDescent="0.3">
      <c r="J4722"/>
    </row>
    <row r="4723" spans="10:10" x14ac:dyDescent="0.3">
      <c r="J4723"/>
    </row>
    <row r="4724" spans="10:10" x14ac:dyDescent="0.3">
      <c r="J4724"/>
    </row>
    <row r="4725" spans="10:10" x14ac:dyDescent="0.3">
      <c r="J4725"/>
    </row>
    <row r="4726" spans="10:10" x14ac:dyDescent="0.3">
      <c r="J4726"/>
    </row>
    <row r="4727" spans="10:10" x14ac:dyDescent="0.3">
      <c r="J4727"/>
    </row>
    <row r="4728" spans="10:10" x14ac:dyDescent="0.3">
      <c r="J4728"/>
    </row>
    <row r="4729" spans="10:10" x14ac:dyDescent="0.3">
      <c r="J4729"/>
    </row>
    <row r="4730" spans="10:10" x14ac:dyDescent="0.3">
      <c r="J4730"/>
    </row>
    <row r="4731" spans="10:10" x14ac:dyDescent="0.3">
      <c r="J4731"/>
    </row>
    <row r="4732" spans="10:10" x14ac:dyDescent="0.3">
      <c r="J4732"/>
    </row>
    <row r="4733" spans="10:10" x14ac:dyDescent="0.3">
      <c r="J4733"/>
    </row>
    <row r="4734" spans="10:10" x14ac:dyDescent="0.3">
      <c r="J4734"/>
    </row>
    <row r="4735" spans="10:10" x14ac:dyDescent="0.3">
      <c r="J4735"/>
    </row>
    <row r="4736" spans="10:10" x14ac:dyDescent="0.3">
      <c r="J4736"/>
    </row>
    <row r="4737" spans="10:10" x14ac:dyDescent="0.3">
      <c r="J4737"/>
    </row>
    <row r="4738" spans="10:10" x14ac:dyDescent="0.3">
      <c r="J4738"/>
    </row>
    <row r="4739" spans="10:10" x14ac:dyDescent="0.3">
      <c r="J4739"/>
    </row>
    <row r="4740" spans="10:10" x14ac:dyDescent="0.3">
      <c r="J4740"/>
    </row>
    <row r="4741" spans="10:10" x14ac:dyDescent="0.3">
      <c r="J4741"/>
    </row>
    <row r="4742" spans="10:10" x14ac:dyDescent="0.3">
      <c r="J4742"/>
    </row>
    <row r="4743" spans="10:10" x14ac:dyDescent="0.3">
      <c r="J4743"/>
    </row>
    <row r="4744" spans="10:10" x14ac:dyDescent="0.3">
      <c r="J4744"/>
    </row>
    <row r="4745" spans="10:10" x14ac:dyDescent="0.3">
      <c r="J4745"/>
    </row>
    <row r="4746" spans="10:10" x14ac:dyDescent="0.3">
      <c r="J4746"/>
    </row>
    <row r="4747" spans="10:10" x14ac:dyDescent="0.3">
      <c r="J4747"/>
    </row>
    <row r="4748" spans="10:10" x14ac:dyDescent="0.3">
      <c r="J4748"/>
    </row>
    <row r="4749" spans="10:10" x14ac:dyDescent="0.3">
      <c r="J4749"/>
    </row>
    <row r="4750" spans="10:10" x14ac:dyDescent="0.3">
      <c r="J4750"/>
    </row>
    <row r="4751" spans="10:10" x14ac:dyDescent="0.3">
      <c r="J4751"/>
    </row>
    <row r="4752" spans="10:10" x14ac:dyDescent="0.3">
      <c r="J4752"/>
    </row>
    <row r="4753" spans="10:10" x14ac:dyDescent="0.3">
      <c r="J4753"/>
    </row>
    <row r="4754" spans="10:10" x14ac:dyDescent="0.3">
      <c r="J4754"/>
    </row>
    <row r="4755" spans="10:10" x14ac:dyDescent="0.3">
      <c r="J4755"/>
    </row>
    <row r="4756" spans="10:10" x14ac:dyDescent="0.3">
      <c r="J4756"/>
    </row>
    <row r="4757" spans="10:10" x14ac:dyDescent="0.3">
      <c r="J4757"/>
    </row>
    <row r="4758" spans="10:10" x14ac:dyDescent="0.3">
      <c r="J4758"/>
    </row>
    <row r="4759" spans="10:10" x14ac:dyDescent="0.3">
      <c r="J4759"/>
    </row>
    <row r="4760" spans="10:10" x14ac:dyDescent="0.3">
      <c r="J4760"/>
    </row>
    <row r="4761" spans="10:10" x14ac:dyDescent="0.3">
      <c r="J4761"/>
    </row>
    <row r="4762" spans="10:10" x14ac:dyDescent="0.3">
      <c r="J4762"/>
    </row>
    <row r="4763" spans="10:10" x14ac:dyDescent="0.3">
      <c r="J4763"/>
    </row>
    <row r="4764" spans="10:10" x14ac:dyDescent="0.3">
      <c r="J4764"/>
    </row>
    <row r="4765" spans="10:10" x14ac:dyDescent="0.3">
      <c r="J4765"/>
    </row>
    <row r="4766" spans="10:10" x14ac:dyDescent="0.3">
      <c r="J4766"/>
    </row>
    <row r="4767" spans="10:10" x14ac:dyDescent="0.3">
      <c r="J4767"/>
    </row>
    <row r="4768" spans="10:10" x14ac:dyDescent="0.3">
      <c r="J4768"/>
    </row>
    <row r="4769" spans="10:10" x14ac:dyDescent="0.3">
      <c r="J4769"/>
    </row>
    <row r="4770" spans="10:10" x14ac:dyDescent="0.3">
      <c r="J4770"/>
    </row>
    <row r="4771" spans="10:10" x14ac:dyDescent="0.3">
      <c r="J4771"/>
    </row>
    <row r="4772" spans="10:10" x14ac:dyDescent="0.3">
      <c r="J4772"/>
    </row>
    <row r="4773" spans="10:10" x14ac:dyDescent="0.3">
      <c r="J4773"/>
    </row>
    <row r="4774" spans="10:10" x14ac:dyDescent="0.3">
      <c r="J4774"/>
    </row>
    <row r="4775" spans="10:10" x14ac:dyDescent="0.3">
      <c r="J4775"/>
    </row>
    <row r="4776" spans="10:10" x14ac:dyDescent="0.3">
      <c r="J4776"/>
    </row>
    <row r="4777" spans="10:10" x14ac:dyDescent="0.3">
      <c r="J4777"/>
    </row>
    <row r="4778" spans="10:10" x14ac:dyDescent="0.3">
      <c r="J4778"/>
    </row>
    <row r="4779" spans="10:10" x14ac:dyDescent="0.3">
      <c r="J4779"/>
    </row>
    <row r="4780" spans="10:10" x14ac:dyDescent="0.3">
      <c r="J4780"/>
    </row>
    <row r="4781" spans="10:10" x14ac:dyDescent="0.3">
      <c r="J4781"/>
    </row>
    <row r="4782" spans="10:10" x14ac:dyDescent="0.3">
      <c r="J4782"/>
    </row>
    <row r="4783" spans="10:10" x14ac:dyDescent="0.3">
      <c r="J4783"/>
    </row>
    <row r="4784" spans="10:10" x14ac:dyDescent="0.3">
      <c r="J4784"/>
    </row>
    <row r="4785" spans="10:10" x14ac:dyDescent="0.3">
      <c r="J4785"/>
    </row>
    <row r="4786" spans="10:10" x14ac:dyDescent="0.3">
      <c r="J4786"/>
    </row>
    <row r="4787" spans="10:10" x14ac:dyDescent="0.3">
      <c r="J4787"/>
    </row>
    <row r="4788" spans="10:10" x14ac:dyDescent="0.3">
      <c r="J4788"/>
    </row>
    <row r="4789" spans="10:10" x14ac:dyDescent="0.3">
      <c r="J4789"/>
    </row>
    <row r="4790" spans="10:10" x14ac:dyDescent="0.3">
      <c r="J4790"/>
    </row>
    <row r="4791" spans="10:10" x14ac:dyDescent="0.3">
      <c r="J4791"/>
    </row>
    <row r="4792" spans="10:10" x14ac:dyDescent="0.3">
      <c r="J4792"/>
    </row>
    <row r="4793" spans="10:10" x14ac:dyDescent="0.3">
      <c r="J4793"/>
    </row>
    <row r="4794" spans="10:10" x14ac:dyDescent="0.3">
      <c r="J4794"/>
    </row>
    <row r="4795" spans="10:10" x14ac:dyDescent="0.3">
      <c r="J4795"/>
    </row>
    <row r="4796" spans="10:10" x14ac:dyDescent="0.3">
      <c r="J4796"/>
    </row>
    <row r="4797" spans="10:10" x14ac:dyDescent="0.3">
      <c r="J4797"/>
    </row>
    <row r="4798" spans="10:10" x14ac:dyDescent="0.3">
      <c r="J4798"/>
    </row>
    <row r="4799" spans="10:10" x14ac:dyDescent="0.3">
      <c r="J4799"/>
    </row>
    <row r="4800" spans="10:10" x14ac:dyDescent="0.3">
      <c r="J4800"/>
    </row>
    <row r="4801" spans="10:10" x14ac:dyDescent="0.3">
      <c r="J4801"/>
    </row>
    <row r="4802" spans="10:10" x14ac:dyDescent="0.3">
      <c r="J4802"/>
    </row>
    <row r="4803" spans="10:10" x14ac:dyDescent="0.3">
      <c r="J4803"/>
    </row>
    <row r="4804" spans="10:10" x14ac:dyDescent="0.3">
      <c r="J4804"/>
    </row>
    <row r="4805" spans="10:10" x14ac:dyDescent="0.3">
      <c r="J4805"/>
    </row>
    <row r="4806" spans="10:10" x14ac:dyDescent="0.3">
      <c r="J4806"/>
    </row>
    <row r="4807" spans="10:10" x14ac:dyDescent="0.3">
      <c r="J4807"/>
    </row>
    <row r="4808" spans="10:10" x14ac:dyDescent="0.3">
      <c r="J4808"/>
    </row>
    <row r="4809" spans="10:10" x14ac:dyDescent="0.3">
      <c r="J4809"/>
    </row>
    <row r="4810" spans="10:10" x14ac:dyDescent="0.3">
      <c r="J4810"/>
    </row>
    <row r="4811" spans="10:10" x14ac:dyDescent="0.3">
      <c r="J4811"/>
    </row>
    <row r="4812" spans="10:10" x14ac:dyDescent="0.3">
      <c r="J4812"/>
    </row>
    <row r="4813" spans="10:10" x14ac:dyDescent="0.3">
      <c r="J4813"/>
    </row>
    <row r="4814" spans="10:10" x14ac:dyDescent="0.3">
      <c r="J4814"/>
    </row>
    <row r="4815" spans="10:10" x14ac:dyDescent="0.3">
      <c r="J4815"/>
    </row>
    <row r="4816" spans="10:10" x14ac:dyDescent="0.3">
      <c r="J4816"/>
    </row>
    <row r="4817" spans="10:10" x14ac:dyDescent="0.3">
      <c r="J4817"/>
    </row>
    <row r="4818" spans="10:10" x14ac:dyDescent="0.3">
      <c r="J4818"/>
    </row>
    <row r="4819" spans="10:10" x14ac:dyDescent="0.3">
      <c r="J4819"/>
    </row>
    <row r="4820" spans="10:10" x14ac:dyDescent="0.3">
      <c r="J4820"/>
    </row>
    <row r="4821" spans="10:10" x14ac:dyDescent="0.3">
      <c r="J4821"/>
    </row>
    <row r="4822" spans="10:10" x14ac:dyDescent="0.3">
      <c r="J4822"/>
    </row>
    <row r="4823" spans="10:10" x14ac:dyDescent="0.3">
      <c r="J4823"/>
    </row>
    <row r="4824" spans="10:10" x14ac:dyDescent="0.3">
      <c r="J4824"/>
    </row>
    <row r="4825" spans="10:10" x14ac:dyDescent="0.3">
      <c r="J4825"/>
    </row>
    <row r="4826" spans="10:10" x14ac:dyDescent="0.3">
      <c r="J4826"/>
    </row>
    <row r="4827" spans="10:10" x14ac:dyDescent="0.3">
      <c r="J4827"/>
    </row>
    <row r="4828" spans="10:10" x14ac:dyDescent="0.3">
      <c r="J4828"/>
    </row>
    <row r="4829" spans="10:10" x14ac:dyDescent="0.3">
      <c r="J4829"/>
    </row>
    <row r="4830" spans="10:10" x14ac:dyDescent="0.3">
      <c r="J4830"/>
    </row>
    <row r="4831" spans="10:10" x14ac:dyDescent="0.3">
      <c r="J4831"/>
    </row>
    <row r="4832" spans="10:10" x14ac:dyDescent="0.3">
      <c r="J4832"/>
    </row>
    <row r="4833" spans="10:10" x14ac:dyDescent="0.3">
      <c r="J4833"/>
    </row>
    <row r="4834" spans="10:10" x14ac:dyDescent="0.3">
      <c r="J4834"/>
    </row>
    <row r="4835" spans="10:10" x14ac:dyDescent="0.3">
      <c r="J4835"/>
    </row>
    <row r="4836" spans="10:10" x14ac:dyDescent="0.3">
      <c r="J4836"/>
    </row>
    <row r="4837" spans="10:10" x14ac:dyDescent="0.3">
      <c r="J4837"/>
    </row>
    <row r="4838" spans="10:10" x14ac:dyDescent="0.3">
      <c r="J4838"/>
    </row>
    <row r="4839" spans="10:10" x14ac:dyDescent="0.3">
      <c r="J4839"/>
    </row>
    <row r="4840" spans="10:10" x14ac:dyDescent="0.3">
      <c r="J4840"/>
    </row>
    <row r="4841" spans="10:10" x14ac:dyDescent="0.3">
      <c r="J4841"/>
    </row>
    <row r="4842" spans="10:10" x14ac:dyDescent="0.3">
      <c r="J4842"/>
    </row>
    <row r="4843" spans="10:10" x14ac:dyDescent="0.3">
      <c r="J4843"/>
    </row>
    <row r="4844" spans="10:10" x14ac:dyDescent="0.3">
      <c r="J4844"/>
    </row>
    <row r="4845" spans="10:10" x14ac:dyDescent="0.3">
      <c r="J4845"/>
    </row>
    <row r="4846" spans="10:10" x14ac:dyDescent="0.3">
      <c r="J4846"/>
    </row>
    <row r="4847" spans="10:10" x14ac:dyDescent="0.3">
      <c r="J4847"/>
    </row>
    <row r="4848" spans="10:10" x14ac:dyDescent="0.3">
      <c r="J4848"/>
    </row>
    <row r="4849" spans="10:10" x14ac:dyDescent="0.3">
      <c r="J4849"/>
    </row>
    <row r="4850" spans="10:10" x14ac:dyDescent="0.3">
      <c r="J4850"/>
    </row>
    <row r="4851" spans="10:10" x14ac:dyDescent="0.3">
      <c r="J4851"/>
    </row>
    <row r="4852" spans="10:10" x14ac:dyDescent="0.3">
      <c r="J4852"/>
    </row>
    <row r="4853" spans="10:10" x14ac:dyDescent="0.3">
      <c r="J4853"/>
    </row>
    <row r="4854" spans="10:10" x14ac:dyDescent="0.3">
      <c r="J4854"/>
    </row>
    <row r="4855" spans="10:10" x14ac:dyDescent="0.3">
      <c r="J4855"/>
    </row>
    <row r="4856" spans="10:10" x14ac:dyDescent="0.3">
      <c r="J4856"/>
    </row>
    <row r="4857" spans="10:10" x14ac:dyDescent="0.3">
      <c r="J4857"/>
    </row>
    <row r="4858" spans="10:10" x14ac:dyDescent="0.3">
      <c r="J4858"/>
    </row>
    <row r="4859" spans="10:10" x14ac:dyDescent="0.3">
      <c r="J4859"/>
    </row>
    <row r="4860" spans="10:10" x14ac:dyDescent="0.3">
      <c r="J4860"/>
    </row>
    <row r="4861" spans="10:10" x14ac:dyDescent="0.3">
      <c r="J4861"/>
    </row>
    <row r="4862" spans="10:10" x14ac:dyDescent="0.3">
      <c r="J4862"/>
    </row>
    <row r="4863" spans="10:10" x14ac:dyDescent="0.3">
      <c r="J4863"/>
    </row>
    <row r="4864" spans="10:10" x14ac:dyDescent="0.3">
      <c r="J4864"/>
    </row>
    <row r="4865" spans="10:10" x14ac:dyDescent="0.3">
      <c r="J4865"/>
    </row>
    <row r="4866" spans="10:10" x14ac:dyDescent="0.3">
      <c r="J4866"/>
    </row>
    <row r="4867" spans="10:10" x14ac:dyDescent="0.3">
      <c r="J4867"/>
    </row>
    <row r="4868" spans="10:10" x14ac:dyDescent="0.3">
      <c r="J4868"/>
    </row>
    <row r="4869" spans="10:10" x14ac:dyDescent="0.3">
      <c r="J4869"/>
    </row>
    <row r="4870" spans="10:10" x14ac:dyDescent="0.3">
      <c r="J4870"/>
    </row>
    <row r="4871" spans="10:10" x14ac:dyDescent="0.3">
      <c r="J4871"/>
    </row>
    <row r="4872" spans="10:10" x14ac:dyDescent="0.3">
      <c r="J4872"/>
    </row>
    <row r="4873" spans="10:10" x14ac:dyDescent="0.3">
      <c r="J4873"/>
    </row>
    <row r="4874" spans="10:10" x14ac:dyDescent="0.3">
      <c r="J4874"/>
    </row>
    <row r="4875" spans="10:10" x14ac:dyDescent="0.3">
      <c r="J4875"/>
    </row>
    <row r="4876" spans="10:10" x14ac:dyDescent="0.3">
      <c r="J4876"/>
    </row>
    <row r="4877" spans="10:10" x14ac:dyDescent="0.3">
      <c r="J4877"/>
    </row>
    <row r="4878" spans="10:10" x14ac:dyDescent="0.3">
      <c r="J4878"/>
    </row>
    <row r="4879" spans="10:10" x14ac:dyDescent="0.3">
      <c r="J4879"/>
    </row>
    <row r="4880" spans="10:10" x14ac:dyDescent="0.3">
      <c r="J4880"/>
    </row>
    <row r="4881" spans="10:10" x14ac:dyDescent="0.3">
      <c r="J4881"/>
    </row>
    <row r="4882" spans="10:10" x14ac:dyDescent="0.3">
      <c r="J4882"/>
    </row>
    <row r="4883" spans="10:10" x14ac:dyDescent="0.3">
      <c r="J4883"/>
    </row>
    <row r="4884" spans="10:10" x14ac:dyDescent="0.3">
      <c r="J4884"/>
    </row>
    <row r="4885" spans="10:10" x14ac:dyDescent="0.3">
      <c r="J4885"/>
    </row>
    <row r="4886" spans="10:10" x14ac:dyDescent="0.3">
      <c r="J4886"/>
    </row>
    <row r="4887" spans="10:10" x14ac:dyDescent="0.3">
      <c r="J4887"/>
    </row>
    <row r="4888" spans="10:10" x14ac:dyDescent="0.3">
      <c r="J4888"/>
    </row>
    <row r="4889" spans="10:10" x14ac:dyDescent="0.3">
      <c r="J4889"/>
    </row>
    <row r="4890" spans="10:10" x14ac:dyDescent="0.3">
      <c r="J4890"/>
    </row>
    <row r="4891" spans="10:10" x14ac:dyDescent="0.3">
      <c r="J4891"/>
    </row>
    <row r="4892" spans="10:10" x14ac:dyDescent="0.3">
      <c r="J4892"/>
    </row>
    <row r="4893" spans="10:10" x14ac:dyDescent="0.3">
      <c r="J4893"/>
    </row>
    <row r="4894" spans="10:10" x14ac:dyDescent="0.3">
      <c r="J4894"/>
    </row>
    <row r="4895" spans="10:10" x14ac:dyDescent="0.3">
      <c r="J4895"/>
    </row>
    <row r="4896" spans="10:10" x14ac:dyDescent="0.3">
      <c r="J4896"/>
    </row>
    <row r="4897" spans="10:10" x14ac:dyDescent="0.3">
      <c r="J4897"/>
    </row>
    <row r="4898" spans="10:10" x14ac:dyDescent="0.3">
      <c r="J4898"/>
    </row>
    <row r="4899" spans="10:10" x14ac:dyDescent="0.3">
      <c r="J4899"/>
    </row>
    <row r="4900" spans="10:10" x14ac:dyDescent="0.3">
      <c r="J4900"/>
    </row>
    <row r="4901" spans="10:10" x14ac:dyDescent="0.3">
      <c r="J4901"/>
    </row>
    <row r="4902" spans="10:10" x14ac:dyDescent="0.3">
      <c r="J4902"/>
    </row>
    <row r="4903" spans="10:10" x14ac:dyDescent="0.3">
      <c r="J4903"/>
    </row>
    <row r="4904" spans="10:10" x14ac:dyDescent="0.3">
      <c r="J4904"/>
    </row>
    <row r="4905" spans="10:10" x14ac:dyDescent="0.3">
      <c r="J4905"/>
    </row>
    <row r="4906" spans="10:10" x14ac:dyDescent="0.3">
      <c r="J4906"/>
    </row>
    <row r="4907" spans="10:10" x14ac:dyDescent="0.3">
      <c r="J4907"/>
    </row>
    <row r="4908" spans="10:10" x14ac:dyDescent="0.3">
      <c r="J4908"/>
    </row>
    <row r="4909" spans="10:10" x14ac:dyDescent="0.3">
      <c r="J4909"/>
    </row>
    <row r="4910" spans="10:10" x14ac:dyDescent="0.3">
      <c r="J4910"/>
    </row>
    <row r="4911" spans="10:10" x14ac:dyDescent="0.3">
      <c r="J4911"/>
    </row>
    <row r="4912" spans="10:10" x14ac:dyDescent="0.3">
      <c r="J4912"/>
    </row>
    <row r="4913" spans="10:10" x14ac:dyDescent="0.3">
      <c r="J4913"/>
    </row>
    <row r="4914" spans="10:10" x14ac:dyDescent="0.3">
      <c r="J4914"/>
    </row>
    <row r="4915" spans="10:10" x14ac:dyDescent="0.3">
      <c r="J4915"/>
    </row>
    <row r="4916" spans="10:10" x14ac:dyDescent="0.3">
      <c r="J4916"/>
    </row>
    <row r="4917" spans="10:10" x14ac:dyDescent="0.3">
      <c r="J4917"/>
    </row>
    <row r="4918" spans="10:10" x14ac:dyDescent="0.3">
      <c r="J4918"/>
    </row>
    <row r="4919" spans="10:10" x14ac:dyDescent="0.3">
      <c r="J4919"/>
    </row>
    <row r="4920" spans="10:10" x14ac:dyDescent="0.3">
      <c r="J4920"/>
    </row>
    <row r="4921" spans="10:10" x14ac:dyDescent="0.3">
      <c r="J4921"/>
    </row>
    <row r="4922" spans="10:10" x14ac:dyDescent="0.3">
      <c r="J4922"/>
    </row>
    <row r="4923" spans="10:10" x14ac:dyDescent="0.3">
      <c r="J4923"/>
    </row>
    <row r="4924" spans="10:10" x14ac:dyDescent="0.3">
      <c r="J4924"/>
    </row>
    <row r="4925" spans="10:10" x14ac:dyDescent="0.3">
      <c r="J4925"/>
    </row>
    <row r="4926" spans="10:10" x14ac:dyDescent="0.3">
      <c r="J4926"/>
    </row>
    <row r="4927" spans="10:10" x14ac:dyDescent="0.3">
      <c r="J4927"/>
    </row>
    <row r="4928" spans="10:10" x14ac:dyDescent="0.3">
      <c r="J4928"/>
    </row>
    <row r="4929" spans="10:10" x14ac:dyDescent="0.3">
      <c r="J4929"/>
    </row>
    <row r="4930" spans="10:10" x14ac:dyDescent="0.3">
      <c r="J4930"/>
    </row>
    <row r="4931" spans="10:10" x14ac:dyDescent="0.3">
      <c r="J4931"/>
    </row>
    <row r="4932" spans="10:10" x14ac:dyDescent="0.3">
      <c r="J4932"/>
    </row>
    <row r="4933" spans="10:10" x14ac:dyDescent="0.3">
      <c r="J4933"/>
    </row>
    <row r="4934" spans="10:10" x14ac:dyDescent="0.3">
      <c r="J4934"/>
    </row>
    <row r="4935" spans="10:10" x14ac:dyDescent="0.3">
      <c r="J4935"/>
    </row>
    <row r="4936" spans="10:10" x14ac:dyDescent="0.3">
      <c r="J4936"/>
    </row>
    <row r="4937" spans="10:10" x14ac:dyDescent="0.3">
      <c r="J4937"/>
    </row>
    <row r="4938" spans="10:10" x14ac:dyDescent="0.3">
      <c r="J4938"/>
    </row>
    <row r="4939" spans="10:10" x14ac:dyDescent="0.3">
      <c r="J4939"/>
    </row>
    <row r="4940" spans="10:10" x14ac:dyDescent="0.3">
      <c r="J4940"/>
    </row>
    <row r="4941" spans="10:10" x14ac:dyDescent="0.3">
      <c r="J4941"/>
    </row>
    <row r="4942" spans="10:10" x14ac:dyDescent="0.3">
      <c r="J4942"/>
    </row>
    <row r="4943" spans="10:10" x14ac:dyDescent="0.3">
      <c r="J4943"/>
    </row>
    <row r="4944" spans="10:10" x14ac:dyDescent="0.3">
      <c r="J4944"/>
    </row>
    <row r="4945" spans="10:10" x14ac:dyDescent="0.3">
      <c r="J4945"/>
    </row>
    <row r="4946" spans="10:10" x14ac:dyDescent="0.3">
      <c r="J4946"/>
    </row>
    <row r="4947" spans="10:10" x14ac:dyDescent="0.3">
      <c r="J4947"/>
    </row>
    <row r="4948" spans="10:10" x14ac:dyDescent="0.3">
      <c r="J4948"/>
    </row>
    <row r="4949" spans="10:10" x14ac:dyDescent="0.3">
      <c r="J4949"/>
    </row>
    <row r="4950" spans="10:10" x14ac:dyDescent="0.3">
      <c r="J4950"/>
    </row>
    <row r="4951" spans="10:10" x14ac:dyDescent="0.3">
      <c r="J4951"/>
    </row>
    <row r="4952" spans="10:10" x14ac:dyDescent="0.3">
      <c r="J4952"/>
    </row>
    <row r="4953" spans="10:10" x14ac:dyDescent="0.3">
      <c r="J4953"/>
    </row>
    <row r="4954" spans="10:10" x14ac:dyDescent="0.3">
      <c r="J4954"/>
    </row>
    <row r="4955" spans="10:10" x14ac:dyDescent="0.3">
      <c r="J4955"/>
    </row>
    <row r="4956" spans="10:10" x14ac:dyDescent="0.3">
      <c r="J4956"/>
    </row>
    <row r="4957" spans="10:10" x14ac:dyDescent="0.3">
      <c r="J4957"/>
    </row>
    <row r="4958" spans="10:10" x14ac:dyDescent="0.3">
      <c r="J4958"/>
    </row>
    <row r="4959" spans="10:10" x14ac:dyDescent="0.3">
      <c r="J4959"/>
    </row>
    <row r="4960" spans="10:10" x14ac:dyDescent="0.3">
      <c r="J4960"/>
    </row>
    <row r="4961" spans="10:10" x14ac:dyDescent="0.3">
      <c r="J4961"/>
    </row>
    <row r="4962" spans="10:10" x14ac:dyDescent="0.3">
      <c r="J4962"/>
    </row>
    <row r="4963" spans="10:10" x14ac:dyDescent="0.3">
      <c r="J4963"/>
    </row>
    <row r="4964" spans="10:10" x14ac:dyDescent="0.3">
      <c r="J4964"/>
    </row>
    <row r="4965" spans="10:10" x14ac:dyDescent="0.3">
      <c r="J4965"/>
    </row>
    <row r="4966" spans="10:10" x14ac:dyDescent="0.3">
      <c r="J4966"/>
    </row>
    <row r="4967" spans="10:10" x14ac:dyDescent="0.3">
      <c r="J4967"/>
    </row>
    <row r="4968" spans="10:10" x14ac:dyDescent="0.3">
      <c r="J4968"/>
    </row>
    <row r="4969" spans="10:10" x14ac:dyDescent="0.3">
      <c r="J4969"/>
    </row>
    <row r="4970" spans="10:10" x14ac:dyDescent="0.3">
      <c r="J4970"/>
    </row>
    <row r="4971" spans="10:10" x14ac:dyDescent="0.3">
      <c r="J4971"/>
    </row>
    <row r="4972" spans="10:10" x14ac:dyDescent="0.3">
      <c r="J4972"/>
    </row>
    <row r="4973" spans="10:10" x14ac:dyDescent="0.3">
      <c r="J4973"/>
    </row>
    <row r="4974" spans="10:10" x14ac:dyDescent="0.3">
      <c r="J4974"/>
    </row>
    <row r="4975" spans="10:10" x14ac:dyDescent="0.3">
      <c r="J4975"/>
    </row>
    <row r="4976" spans="10:10" x14ac:dyDescent="0.3">
      <c r="J4976"/>
    </row>
    <row r="4977" spans="10:10" x14ac:dyDescent="0.3">
      <c r="J4977"/>
    </row>
    <row r="4978" spans="10:10" x14ac:dyDescent="0.3">
      <c r="J4978"/>
    </row>
    <row r="4979" spans="10:10" x14ac:dyDescent="0.3">
      <c r="J4979"/>
    </row>
    <row r="4980" spans="10:10" x14ac:dyDescent="0.3">
      <c r="J4980"/>
    </row>
    <row r="4981" spans="10:10" x14ac:dyDescent="0.3">
      <c r="J4981"/>
    </row>
    <row r="4982" spans="10:10" x14ac:dyDescent="0.3">
      <c r="J4982"/>
    </row>
    <row r="4983" spans="10:10" x14ac:dyDescent="0.3">
      <c r="J4983"/>
    </row>
    <row r="4984" spans="10:10" x14ac:dyDescent="0.3">
      <c r="J4984"/>
    </row>
    <row r="4985" spans="10:10" x14ac:dyDescent="0.3">
      <c r="J4985"/>
    </row>
    <row r="4986" spans="10:10" x14ac:dyDescent="0.3">
      <c r="J4986"/>
    </row>
    <row r="4987" spans="10:10" x14ac:dyDescent="0.3">
      <c r="J4987"/>
    </row>
    <row r="4988" spans="10:10" x14ac:dyDescent="0.3">
      <c r="J4988"/>
    </row>
    <row r="4989" spans="10:10" x14ac:dyDescent="0.3">
      <c r="J4989"/>
    </row>
    <row r="4990" spans="10:10" x14ac:dyDescent="0.3">
      <c r="J4990"/>
    </row>
    <row r="4991" spans="10:10" x14ac:dyDescent="0.3">
      <c r="J4991"/>
    </row>
    <row r="4992" spans="10:10" x14ac:dyDescent="0.3">
      <c r="J4992"/>
    </row>
    <row r="4993" spans="10:10" x14ac:dyDescent="0.3">
      <c r="J4993"/>
    </row>
    <row r="4994" spans="10:10" x14ac:dyDescent="0.3">
      <c r="J4994"/>
    </row>
    <row r="4995" spans="10:10" x14ac:dyDescent="0.3">
      <c r="J4995"/>
    </row>
    <row r="4996" spans="10:10" x14ac:dyDescent="0.3">
      <c r="J4996"/>
    </row>
    <row r="4997" spans="10:10" x14ac:dyDescent="0.3">
      <c r="J4997"/>
    </row>
    <row r="4998" spans="10:10" x14ac:dyDescent="0.3">
      <c r="J4998"/>
    </row>
    <row r="4999" spans="10:10" x14ac:dyDescent="0.3">
      <c r="J4999"/>
    </row>
    <row r="5000" spans="10:10" x14ac:dyDescent="0.3">
      <c r="J5000"/>
    </row>
    <row r="5001" spans="10:10" x14ac:dyDescent="0.3">
      <c r="J5001"/>
    </row>
    <row r="5002" spans="10:10" x14ac:dyDescent="0.3">
      <c r="J5002"/>
    </row>
    <row r="5003" spans="10:10" x14ac:dyDescent="0.3">
      <c r="J5003"/>
    </row>
    <row r="5004" spans="10:10" x14ac:dyDescent="0.3">
      <c r="J5004"/>
    </row>
    <row r="5005" spans="10:10" x14ac:dyDescent="0.3">
      <c r="J5005"/>
    </row>
    <row r="5006" spans="10:10" x14ac:dyDescent="0.3">
      <c r="J5006"/>
    </row>
    <row r="5007" spans="10:10" x14ac:dyDescent="0.3">
      <c r="J5007"/>
    </row>
    <row r="5008" spans="10:10" x14ac:dyDescent="0.3">
      <c r="J5008"/>
    </row>
    <row r="5009" spans="10:10" x14ac:dyDescent="0.3">
      <c r="J5009"/>
    </row>
    <row r="5010" spans="10:10" x14ac:dyDescent="0.3">
      <c r="J5010"/>
    </row>
    <row r="5011" spans="10:10" x14ac:dyDescent="0.3">
      <c r="J5011"/>
    </row>
    <row r="5012" spans="10:10" x14ac:dyDescent="0.3">
      <c r="J5012"/>
    </row>
    <row r="5013" spans="10:10" x14ac:dyDescent="0.3">
      <c r="J5013"/>
    </row>
    <row r="5014" spans="10:10" x14ac:dyDescent="0.3">
      <c r="J5014"/>
    </row>
    <row r="5015" spans="10:10" x14ac:dyDescent="0.3">
      <c r="J5015"/>
    </row>
    <row r="5016" spans="10:10" x14ac:dyDescent="0.3">
      <c r="J5016"/>
    </row>
    <row r="5017" spans="10:10" x14ac:dyDescent="0.3">
      <c r="J5017"/>
    </row>
    <row r="5018" spans="10:10" x14ac:dyDescent="0.3">
      <c r="J5018"/>
    </row>
    <row r="5019" spans="10:10" x14ac:dyDescent="0.3">
      <c r="J5019"/>
    </row>
    <row r="5020" spans="10:10" x14ac:dyDescent="0.3">
      <c r="J5020"/>
    </row>
    <row r="5021" spans="10:10" x14ac:dyDescent="0.3">
      <c r="J5021"/>
    </row>
    <row r="5022" spans="10:10" x14ac:dyDescent="0.3">
      <c r="J5022"/>
    </row>
    <row r="5023" spans="10:10" x14ac:dyDescent="0.3">
      <c r="J5023"/>
    </row>
    <row r="5024" spans="10:10" x14ac:dyDescent="0.3">
      <c r="J5024"/>
    </row>
    <row r="5025" spans="10:10" x14ac:dyDescent="0.3">
      <c r="J5025"/>
    </row>
    <row r="5026" spans="10:10" x14ac:dyDescent="0.3">
      <c r="J5026"/>
    </row>
    <row r="5027" spans="10:10" x14ac:dyDescent="0.3">
      <c r="J5027"/>
    </row>
    <row r="5028" spans="10:10" x14ac:dyDescent="0.3">
      <c r="J5028"/>
    </row>
    <row r="5029" spans="10:10" x14ac:dyDescent="0.3">
      <c r="J5029"/>
    </row>
    <row r="5030" spans="10:10" x14ac:dyDescent="0.3">
      <c r="J5030"/>
    </row>
    <row r="5031" spans="10:10" x14ac:dyDescent="0.3">
      <c r="J5031"/>
    </row>
    <row r="5032" spans="10:10" x14ac:dyDescent="0.3">
      <c r="J5032"/>
    </row>
    <row r="5033" spans="10:10" x14ac:dyDescent="0.3">
      <c r="J5033"/>
    </row>
    <row r="5034" spans="10:10" x14ac:dyDescent="0.3">
      <c r="J5034"/>
    </row>
    <row r="5035" spans="10:10" x14ac:dyDescent="0.3">
      <c r="J5035"/>
    </row>
    <row r="5036" spans="10:10" x14ac:dyDescent="0.3">
      <c r="J5036"/>
    </row>
    <row r="5037" spans="10:10" x14ac:dyDescent="0.3">
      <c r="J5037"/>
    </row>
    <row r="5038" spans="10:10" x14ac:dyDescent="0.3">
      <c r="J5038"/>
    </row>
    <row r="5039" spans="10:10" x14ac:dyDescent="0.3">
      <c r="J5039"/>
    </row>
    <row r="5040" spans="10:10" x14ac:dyDescent="0.3">
      <c r="J5040"/>
    </row>
    <row r="5041" spans="10:10" x14ac:dyDescent="0.3">
      <c r="J5041"/>
    </row>
    <row r="5042" spans="10:10" x14ac:dyDescent="0.3">
      <c r="J5042"/>
    </row>
    <row r="5043" spans="10:10" x14ac:dyDescent="0.3">
      <c r="J5043"/>
    </row>
    <row r="5044" spans="10:10" x14ac:dyDescent="0.3">
      <c r="J5044"/>
    </row>
    <row r="5045" spans="10:10" x14ac:dyDescent="0.3">
      <c r="J5045"/>
    </row>
    <row r="5046" spans="10:10" x14ac:dyDescent="0.3">
      <c r="J5046"/>
    </row>
    <row r="5047" spans="10:10" x14ac:dyDescent="0.3">
      <c r="J5047"/>
    </row>
    <row r="5048" spans="10:10" x14ac:dyDescent="0.3">
      <c r="J5048"/>
    </row>
    <row r="5049" spans="10:10" x14ac:dyDescent="0.3">
      <c r="J5049"/>
    </row>
    <row r="5050" spans="10:10" x14ac:dyDescent="0.3">
      <c r="J5050"/>
    </row>
    <row r="5051" spans="10:10" x14ac:dyDescent="0.3">
      <c r="J5051"/>
    </row>
    <row r="5052" spans="10:10" x14ac:dyDescent="0.3">
      <c r="J5052"/>
    </row>
    <row r="5053" spans="10:10" x14ac:dyDescent="0.3">
      <c r="J5053"/>
    </row>
    <row r="5054" spans="10:10" x14ac:dyDescent="0.3">
      <c r="J5054"/>
    </row>
    <row r="5055" spans="10:10" x14ac:dyDescent="0.3">
      <c r="J5055"/>
    </row>
    <row r="5056" spans="10:10" x14ac:dyDescent="0.3">
      <c r="J5056"/>
    </row>
    <row r="5057" spans="10:10" x14ac:dyDescent="0.3">
      <c r="J5057"/>
    </row>
    <row r="5058" spans="10:10" x14ac:dyDescent="0.3">
      <c r="J5058"/>
    </row>
    <row r="5059" spans="10:10" x14ac:dyDescent="0.3">
      <c r="J5059"/>
    </row>
    <row r="5060" spans="10:10" x14ac:dyDescent="0.3">
      <c r="J5060"/>
    </row>
    <row r="5061" spans="10:10" x14ac:dyDescent="0.3">
      <c r="J5061"/>
    </row>
    <row r="5062" spans="10:10" x14ac:dyDescent="0.3">
      <c r="J5062"/>
    </row>
    <row r="5063" spans="10:10" x14ac:dyDescent="0.3">
      <c r="J5063"/>
    </row>
    <row r="5064" spans="10:10" x14ac:dyDescent="0.3">
      <c r="J5064"/>
    </row>
    <row r="5065" spans="10:10" x14ac:dyDescent="0.3">
      <c r="J5065"/>
    </row>
    <row r="5066" spans="10:10" x14ac:dyDescent="0.3">
      <c r="J5066"/>
    </row>
    <row r="5067" spans="10:10" x14ac:dyDescent="0.3">
      <c r="J5067"/>
    </row>
    <row r="5068" spans="10:10" x14ac:dyDescent="0.3">
      <c r="J5068"/>
    </row>
    <row r="5069" spans="10:10" x14ac:dyDescent="0.3">
      <c r="J5069"/>
    </row>
    <row r="5070" spans="10:10" x14ac:dyDescent="0.3">
      <c r="J5070"/>
    </row>
    <row r="5071" spans="10:10" x14ac:dyDescent="0.3">
      <c r="J5071"/>
    </row>
    <row r="5072" spans="10:10" x14ac:dyDescent="0.3">
      <c r="J5072"/>
    </row>
    <row r="5073" spans="10:10" x14ac:dyDescent="0.3">
      <c r="J5073"/>
    </row>
    <row r="5074" spans="10:10" x14ac:dyDescent="0.3">
      <c r="J5074"/>
    </row>
    <row r="5075" spans="10:10" x14ac:dyDescent="0.3">
      <c r="J5075"/>
    </row>
    <row r="5076" spans="10:10" x14ac:dyDescent="0.3">
      <c r="J5076"/>
    </row>
    <row r="5077" spans="10:10" x14ac:dyDescent="0.3">
      <c r="J5077"/>
    </row>
    <row r="5078" spans="10:10" x14ac:dyDescent="0.3">
      <c r="J5078"/>
    </row>
    <row r="5079" spans="10:10" x14ac:dyDescent="0.3">
      <c r="J5079"/>
    </row>
    <row r="5080" spans="10:10" x14ac:dyDescent="0.3">
      <c r="J5080"/>
    </row>
    <row r="5081" spans="10:10" x14ac:dyDescent="0.3">
      <c r="J5081"/>
    </row>
    <row r="5082" spans="10:10" x14ac:dyDescent="0.3">
      <c r="J5082"/>
    </row>
    <row r="5083" spans="10:10" x14ac:dyDescent="0.3">
      <c r="J5083"/>
    </row>
    <row r="5084" spans="10:10" x14ac:dyDescent="0.3">
      <c r="J5084"/>
    </row>
    <row r="5085" spans="10:10" x14ac:dyDescent="0.3">
      <c r="J5085"/>
    </row>
    <row r="5086" spans="10:10" x14ac:dyDescent="0.3">
      <c r="J5086"/>
    </row>
    <row r="5087" spans="10:10" x14ac:dyDescent="0.3">
      <c r="J5087"/>
    </row>
    <row r="5088" spans="10:10" x14ac:dyDescent="0.3">
      <c r="J5088"/>
    </row>
    <row r="5089" spans="10:10" x14ac:dyDescent="0.3">
      <c r="J5089"/>
    </row>
    <row r="5090" spans="10:10" x14ac:dyDescent="0.3">
      <c r="J5090"/>
    </row>
    <row r="5091" spans="10:10" x14ac:dyDescent="0.3">
      <c r="J5091"/>
    </row>
    <row r="5092" spans="10:10" x14ac:dyDescent="0.3">
      <c r="J5092"/>
    </row>
    <row r="5093" spans="10:10" x14ac:dyDescent="0.3">
      <c r="J5093"/>
    </row>
    <row r="5094" spans="10:10" x14ac:dyDescent="0.3">
      <c r="J5094"/>
    </row>
    <row r="5095" spans="10:10" x14ac:dyDescent="0.3">
      <c r="J5095"/>
    </row>
    <row r="5096" spans="10:10" x14ac:dyDescent="0.3">
      <c r="J5096"/>
    </row>
    <row r="5097" spans="10:10" x14ac:dyDescent="0.3">
      <c r="J5097"/>
    </row>
    <row r="5098" spans="10:10" x14ac:dyDescent="0.3">
      <c r="J5098"/>
    </row>
    <row r="5099" spans="10:10" x14ac:dyDescent="0.3">
      <c r="J5099"/>
    </row>
    <row r="5100" spans="10:10" x14ac:dyDescent="0.3">
      <c r="J5100"/>
    </row>
    <row r="5101" spans="10:10" x14ac:dyDescent="0.3">
      <c r="J5101"/>
    </row>
    <row r="5102" spans="10:10" x14ac:dyDescent="0.3">
      <c r="J5102"/>
    </row>
    <row r="5103" spans="10:10" x14ac:dyDescent="0.3">
      <c r="J5103"/>
    </row>
    <row r="5104" spans="10:10" x14ac:dyDescent="0.3">
      <c r="J5104"/>
    </row>
    <row r="5105" spans="10:10" x14ac:dyDescent="0.3">
      <c r="J5105"/>
    </row>
    <row r="5106" spans="10:10" x14ac:dyDescent="0.3">
      <c r="J5106"/>
    </row>
    <row r="5107" spans="10:10" x14ac:dyDescent="0.3">
      <c r="J5107"/>
    </row>
    <row r="5108" spans="10:10" x14ac:dyDescent="0.3">
      <c r="J5108"/>
    </row>
    <row r="5109" spans="10:10" x14ac:dyDescent="0.3">
      <c r="J5109"/>
    </row>
    <row r="5110" spans="10:10" x14ac:dyDescent="0.3">
      <c r="J5110"/>
    </row>
    <row r="5111" spans="10:10" x14ac:dyDescent="0.3">
      <c r="J5111"/>
    </row>
    <row r="5112" spans="10:10" x14ac:dyDescent="0.3">
      <c r="J5112"/>
    </row>
    <row r="5113" spans="10:10" x14ac:dyDescent="0.3">
      <c r="J5113"/>
    </row>
    <row r="5114" spans="10:10" x14ac:dyDescent="0.3">
      <c r="J5114"/>
    </row>
    <row r="5115" spans="10:10" x14ac:dyDescent="0.3">
      <c r="J5115"/>
    </row>
    <row r="5116" spans="10:10" x14ac:dyDescent="0.3">
      <c r="J5116"/>
    </row>
    <row r="5117" spans="10:10" x14ac:dyDescent="0.3">
      <c r="J5117"/>
    </row>
    <row r="5118" spans="10:10" x14ac:dyDescent="0.3">
      <c r="J5118"/>
    </row>
    <row r="5119" spans="10:10" x14ac:dyDescent="0.3">
      <c r="J5119"/>
    </row>
    <row r="5120" spans="10:10" x14ac:dyDescent="0.3">
      <c r="J5120"/>
    </row>
    <row r="5121" spans="10:10" x14ac:dyDescent="0.3">
      <c r="J5121"/>
    </row>
    <row r="5122" spans="10:10" x14ac:dyDescent="0.3">
      <c r="J5122"/>
    </row>
    <row r="5123" spans="10:10" x14ac:dyDescent="0.3">
      <c r="J5123"/>
    </row>
    <row r="5124" spans="10:10" x14ac:dyDescent="0.3">
      <c r="J5124"/>
    </row>
    <row r="5125" spans="10:10" x14ac:dyDescent="0.3">
      <c r="J5125"/>
    </row>
    <row r="5126" spans="10:10" x14ac:dyDescent="0.3">
      <c r="J5126"/>
    </row>
    <row r="5127" spans="10:10" x14ac:dyDescent="0.3">
      <c r="J5127"/>
    </row>
    <row r="5128" spans="10:10" x14ac:dyDescent="0.3">
      <c r="J5128"/>
    </row>
    <row r="5129" spans="10:10" x14ac:dyDescent="0.3">
      <c r="J5129"/>
    </row>
    <row r="5130" spans="10:10" x14ac:dyDescent="0.3">
      <c r="J5130"/>
    </row>
    <row r="5131" spans="10:10" x14ac:dyDescent="0.3">
      <c r="J5131"/>
    </row>
    <row r="5132" spans="10:10" x14ac:dyDescent="0.3">
      <c r="J5132"/>
    </row>
    <row r="5133" spans="10:10" x14ac:dyDescent="0.3">
      <c r="J5133"/>
    </row>
    <row r="5134" spans="10:10" x14ac:dyDescent="0.3">
      <c r="J5134"/>
    </row>
    <row r="5135" spans="10:10" x14ac:dyDescent="0.3">
      <c r="J5135"/>
    </row>
    <row r="5136" spans="10:10" x14ac:dyDescent="0.3">
      <c r="J5136"/>
    </row>
    <row r="5137" spans="10:10" x14ac:dyDescent="0.3">
      <c r="J5137"/>
    </row>
    <row r="5138" spans="10:10" x14ac:dyDescent="0.3">
      <c r="J5138"/>
    </row>
    <row r="5139" spans="10:10" x14ac:dyDescent="0.3">
      <c r="J5139"/>
    </row>
    <row r="5140" spans="10:10" x14ac:dyDescent="0.3">
      <c r="J5140"/>
    </row>
    <row r="5141" spans="10:10" x14ac:dyDescent="0.3">
      <c r="J5141"/>
    </row>
    <row r="5142" spans="10:10" x14ac:dyDescent="0.3">
      <c r="J5142"/>
    </row>
    <row r="5143" spans="10:10" x14ac:dyDescent="0.3">
      <c r="J5143"/>
    </row>
    <row r="5144" spans="10:10" x14ac:dyDescent="0.3">
      <c r="J5144"/>
    </row>
    <row r="5145" spans="10:10" x14ac:dyDescent="0.3">
      <c r="J5145"/>
    </row>
    <row r="5146" spans="10:10" x14ac:dyDescent="0.3">
      <c r="J5146"/>
    </row>
    <row r="5147" spans="10:10" x14ac:dyDescent="0.3">
      <c r="J5147"/>
    </row>
    <row r="5148" spans="10:10" x14ac:dyDescent="0.3">
      <c r="J5148"/>
    </row>
    <row r="5149" spans="10:10" x14ac:dyDescent="0.3">
      <c r="J5149"/>
    </row>
    <row r="5150" spans="10:10" x14ac:dyDescent="0.3">
      <c r="J5150"/>
    </row>
    <row r="5151" spans="10:10" x14ac:dyDescent="0.3">
      <c r="J5151"/>
    </row>
    <row r="5152" spans="10:10" x14ac:dyDescent="0.3">
      <c r="J5152"/>
    </row>
    <row r="5153" spans="10:10" x14ac:dyDescent="0.3">
      <c r="J5153"/>
    </row>
    <row r="5154" spans="10:10" x14ac:dyDescent="0.3">
      <c r="J5154"/>
    </row>
    <row r="5155" spans="10:10" x14ac:dyDescent="0.3">
      <c r="J5155"/>
    </row>
    <row r="5156" spans="10:10" x14ac:dyDescent="0.3">
      <c r="J5156"/>
    </row>
    <row r="5157" spans="10:10" x14ac:dyDescent="0.3">
      <c r="J5157"/>
    </row>
    <row r="5158" spans="10:10" x14ac:dyDescent="0.3">
      <c r="J5158"/>
    </row>
    <row r="5159" spans="10:10" x14ac:dyDescent="0.3">
      <c r="J5159"/>
    </row>
    <row r="5160" spans="10:10" x14ac:dyDescent="0.3">
      <c r="J5160"/>
    </row>
    <row r="5161" spans="10:10" x14ac:dyDescent="0.3">
      <c r="J5161"/>
    </row>
    <row r="5162" spans="10:10" x14ac:dyDescent="0.3">
      <c r="J5162"/>
    </row>
    <row r="5163" spans="10:10" x14ac:dyDescent="0.3">
      <c r="J5163"/>
    </row>
    <row r="5164" spans="10:10" x14ac:dyDescent="0.3">
      <c r="J5164"/>
    </row>
    <row r="5165" spans="10:10" x14ac:dyDescent="0.3">
      <c r="J5165"/>
    </row>
    <row r="5166" spans="10:10" x14ac:dyDescent="0.3">
      <c r="J5166"/>
    </row>
    <row r="5167" spans="10:10" x14ac:dyDescent="0.3">
      <c r="J5167"/>
    </row>
    <row r="5168" spans="10:10" x14ac:dyDescent="0.3">
      <c r="J5168"/>
    </row>
    <row r="5169" spans="10:10" x14ac:dyDescent="0.3">
      <c r="J5169"/>
    </row>
    <row r="5170" spans="10:10" x14ac:dyDescent="0.3">
      <c r="J5170"/>
    </row>
    <row r="5171" spans="10:10" x14ac:dyDescent="0.3">
      <c r="J5171"/>
    </row>
    <row r="5172" spans="10:10" x14ac:dyDescent="0.3">
      <c r="J5172"/>
    </row>
    <row r="5173" spans="10:10" x14ac:dyDescent="0.3">
      <c r="J5173"/>
    </row>
    <row r="5174" spans="10:10" x14ac:dyDescent="0.3">
      <c r="J5174"/>
    </row>
    <row r="5175" spans="10:10" x14ac:dyDescent="0.3">
      <c r="J5175"/>
    </row>
    <row r="5176" spans="10:10" x14ac:dyDescent="0.3">
      <c r="J5176"/>
    </row>
    <row r="5177" spans="10:10" x14ac:dyDescent="0.3">
      <c r="J5177"/>
    </row>
    <row r="5178" spans="10:10" x14ac:dyDescent="0.3">
      <c r="J5178"/>
    </row>
    <row r="5179" spans="10:10" x14ac:dyDescent="0.3">
      <c r="J5179"/>
    </row>
    <row r="5180" spans="10:10" x14ac:dyDescent="0.3">
      <c r="J5180"/>
    </row>
    <row r="5181" spans="10:10" x14ac:dyDescent="0.3">
      <c r="J5181"/>
    </row>
    <row r="5182" spans="10:10" x14ac:dyDescent="0.3">
      <c r="J5182"/>
    </row>
    <row r="5183" spans="10:10" x14ac:dyDescent="0.3">
      <c r="J5183"/>
    </row>
    <row r="5184" spans="10:10" x14ac:dyDescent="0.3">
      <c r="J5184"/>
    </row>
    <row r="5185" spans="10:10" x14ac:dyDescent="0.3">
      <c r="J5185"/>
    </row>
    <row r="5186" spans="10:10" x14ac:dyDescent="0.3">
      <c r="J5186"/>
    </row>
    <row r="5187" spans="10:10" x14ac:dyDescent="0.3">
      <c r="J5187"/>
    </row>
    <row r="5188" spans="10:10" x14ac:dyDescent="0.3">
      <c r="J5188"/>
    </row>
    <row r="5189" spans="10:10" x14ac:dyDescent="0.3">
      <c r="J5189"/>
    </row>
    <row r="5190" spans="10:10" x14ac:dyDescent="0.3">
      <c r="J5190"/>
    </row>
    <row r="5191" spans="10:10" x14ac:dyDescent="0.3">
      <c r="J5191"/>
    </row>
    <row r="5192" spans="10:10" x14ac:dyDescent="0.3">
      <c r="J5192"/>
    </row>
    <row r="5193" spans="10:10" x14ac:dyDescent="0.3">
      <c r="J5193"/>
    </row>
    <row r="5194" spans="10:10" x14ac:dyDescent="0.3">
      <c r="J5194"/>
    </row>
    <row r="5195" spans="10:10" x14ac:dyDescent="0.3">
      <c r="J5195"/>
    </row>
    <row r="5196" spans="10:10" x14ac:dyDescent="0.3">
      <c r="J5196"/>
    </row>
    <row r="5197" spans="10:10" x14ac:dyDescent="0.3">
      <c r="J5197"/>
    </row>
    <row r="5198" spans="10:10" x14ac:dyDescent="0.3">
      <c r="J5198"/>
    </row>
    <row r="5199" spans="10:10" x14ac:dyDescent="0.3">
      <c r="J5199"/>
    </row>
    <row r="5200" spans="10:10" x14ac:dyDescent="0.3">
      <c r="J5200"/>
    </row>
    <row r="5201" spans="10:10" x14ac:dyDescent="0.3">
      <c r="J5201"/>
    </row>
    <row r="5202" spans="10:10" x14ac:dyDescent="0.3">
      <c r="J5202"/>
    </row>
    <row r="5203" spans="10:10" x14ac:dyDescent="0.3">
      <c r="J5203"/>
    </row>
    <row r="5204" spans="10:10" x14ac:dyDescent="0.3">
      <c r="J5204"/>
    </row>
    <row r="5205" spans="10:10" x14ac:dyDescent="0.3">
      <c r="J5205"/>
    </row>
    <row r="5206" spans="10:10" x14ac:dyDescent="0.3">
      <c r="J5206"/>
    </row>
    <row r="5207" spans="10:10" x14ac:dyDescent="0.3">
      <c r="J5207"/>
    </row>
    <row r="5208" spans="10:10" x14ac:dyDescent="0.3">
      <c r="J5208"/>
    </row>
    <row r="5209" spans="10:10" x14ac:dyDescent="0.3">
      <c r="J5209"/>
    </row>
    <row r="5210" spans="10:10" x14ac:dyDescent="0.3">
      <c r="J5210"/>
    </row>
    <row r="5211" spans="10:10" x14ac:dyDescent="0.3">
      <c r="J5211"/>
    </row>
    <row r="5212" spans="10:10" x14ac:dyDescent="0.3">
      <c r="J5212"/>
    </row>
    <row r="5213" spans="10:10" x14ac:dyDescent="0.3">
      <c r="J5213"/>
    </row>
    <row r="5214" spans="10:10" x14ac:dyDescent="0.3">
      <c r="J5214"/>
    </row>
    <row r="5215" spans="10:10" x14ac:dyDescent="0.3">
      <c r="J5215"/>
    </row>
    <row r="5216" spans="10:10" x14ac:dyDescent="0.3">
      <c r="J5216"/>
    </row>
    <row r="5217" spans="10:10" x14ac:dyDescent="0.3">
      <c r="J5217"/>
    </row>
    <row r="5218" spans="10:10" x14ac:dyDescent="0.3">
      <c r="J5218"/>
    </row>
    <row r="5219" spans="10:10" x14ac:dyDescent="0.3">
      <c r="J5219"/>
    </row>
    <row r="5220" spans="10:10" x14ac:dyDescent="0.3">
      <c r="J5220"/>
    </row>
    <row r="5221" spans="10:10" x14ac:dyDescent="0.3">
      <c r="J5221"/>
    </row>
    <row r="5222" spans="10:10" x14ac:dyDescent="0.3">
      <c r="J5222"/>
    </row>
    <row r="5223" spans="10:10" x14ac:dyDescent="0.3">
      <c r="J5223"/>
    </row>
    <row r="5224" spans="10:10" x14ac:dyDescent="0.3">
      <c r="J5224"/>
    </row>
    <row r="5225" spans="10:10" x14ac:dyDescent="0.3">
      <c r="J5225"/>
    </row>
    <row r="5226" spans="10:10" x14ac:dyDescent="0.3">
      <c r="J5226"/>
    </row>
    <row r="5227" spans="10:10" x14ac:dyDescent="0.3">
      <c r="J5227"/>
    </row>
    <row r="5228" spans="10:10" x14ac:dyDescent="0.3">
      <c r="J5228"/>
    </row>
    <row r="5229" spans="10:10" x14ac:dyDescent="0.3">
      <c r="J5229"/>
    </row>
    <row r="5230" spans="10:10" x14ac:dyDescent="0.3">
      <c r="J5230"/>
    </row>
    <row r="5231" spans="10:10" x14ac:dyDescent="0.3">
      <c r="J5231"/>
    </row>
    <row r="5232" spans="10:10" x14ac:dyDescent="0.3">
      <c r="J5232"/>
    </row>
    <row r="5233" spans="10:10" x14ac:dyDescent="0.3">
      <c r="J5233"/>
    </row>
    <row r="5234" spans="10:10" x14ac:dyDescent="0.3">
      <c r="J5234"/>
    </row>
    <row r="5235" spans="10:10" x14ac:dyDescent="0.3">
      <c r="J5235"/>
    </row>
    <row r="5236" spans="10:10" x14ac:dyDescent="0.3">
      <c r="J5236"/>
    </row>
    <row r="5237" spans="10:10" x14ac:dyDescent="0.3">
      <c r="J5237"/>
    </row>
    <row r="5238" spans="10:10" x14ac:dyDescent="0.3">
      <c r="J5238"/>
    </row>
    <row r="5239" spans="10:10" x14ac:dyDescent="0.3">
      <c r="J5239"/>
    </row>
    <row r="5240" spans="10:10" x14ac:dyDescent="0.3">
      <c r="J5240"/>
    </row>
    <row r="5241" spans="10:10" x14ac:dyDescent="0.3">
      <c r="J5241"/>
    </row>
    <row r="5242" spans="10:10" x14ac:dyDescent="0.3">
      <c r="J5242"/>
    </row>
    <row r="5243" spans="10:10" x14ac:dyDescent="0.3">
      <c r="J5243"/>
    </row>
    <row r="5244" spans="10:10" x14ac:dyDescent="0.3">
      <c r="J5244"/>
    </row>
    <row r="5245" spans="10:10" x14ac:dyDescent="0.3">
      <c r="J5245"/>
    </row>
    <row r="5246" spans="10:10" x14ac:dyDescent="0.3">
      <c r="J5246"/>
    </row>
    <row r="5247" spans="10:10" x14ac:dyDescent="0.3">
      <c r="J5247"/>
    </row>
    <row r="5248" spans="10:10" x14ac:dyDescent="0.3">
      <c r="J5248"/>
    </row>
    <row r="5249" spans="10:10" x14ac:dyDescent="0.3">
      <c r="J5249"/>
    </row>
    <row r="5250" spans="10:10" x14ac:dyDescent="0.3">
      <c r="J5250"/>
    </row>
    <row r="5251" spans="10:10" x14ac:dyDescent="0.3">
      <c r="J5251"/>
    </row>
    <row r="5252" spans="10:10" x14ac:dyDescent="0.3">
      <c r="J5252"/>
    </row>
    <row r="5253" spans="10:10" x14ac:dyDescent="0.3">
      <c r="J5253"/>
    </row>
    <row r="5254" spans="10:10" x14ac:dyDescent="0.3">
      <c r="J5254"/>
    </row>
    <row r="5255" spans="10:10" x14ac:dyDescent="0.3">
      <c r="J5255"/>
    </row>
    <row r="5256" spans="10:10" x14ac:dyDescent="0.3">
      <c r="J5256"/>
    </row>
    <row r="5257" spans="10:10" x14ac:dyDescent="0.3">
      <c r="J5257"/>
    </row>
    <row r="5258" spans="10:10" x14ac:dyDescent="0.3">
      <c r="J5258"/>
    </row>
    <row r="5259" spans="10:10" x14ac:dyDescent="0.3">
      <c r="J5259"/>
    </row>
    <row r="5260" spans="10:10" x14ac:dyDescent="0.3">
      <c r="J5260"/>
    </row>
    <row r="5261" spans="10:10" x14ac:dyDescent="0.3">
      <c r="J5261"/>
    </row>
    <row r="5262" spans="10:10" x14ac:dyDescent="0.3">
      <c r="J5262"/>
    </row>
    <row r="5263" spans="10:10" x14ac:dyDescent="0.3">
      <c r="J5263"/>
    </row>
    <row r="5264" spans="10:10" x14ac:dyDescent="0.3">
      <c r="J5264"/>
    </row>
    <row r="5265" spans="10:10" x14ac:dyDescent="0.3">
      <c r="J5265"/>
    </row>
    <row r="5266" spans="10:10" x14ac:dyDescent="0.3">
      <c r="J5266"/>
    </row>
    <row r="5267" spans="10:10" x14ac:dyDescent="0.3">
      <c r="J5267"/>
    </row>
    <row r="5268" spans="10:10" x14ac:dyDescent="0.3">
      <c r="J5268"/>
    </row>
    <row r="5269" spans="10:10" x14ac:dyDescent="0.3">
      <c r="J5269"/>
    </row>
    <row r="5270" spans="10:10" x14ac:dyDescent="0.3">
      <c r="J5270"/>
    </row>
    <row r="5271" spans="10:10" x14ac:dyDescent="0.3">
      <c r="J5271"/>
    </row>
    <row r="5272" spans="10:10" x14ac:dyDescent="0.3">
      <c r="J5272"/>
    </row>
    <row r="5273" spans="10:10" x14ac:dyDescent="0.3">
      <c r="J5273"/>
    </row>
    <row r="5274" spans="10:10" x14ac:dyDescent="0.3">
      <c r="J5274"/>
    </row>
    <row r="5275" spans="10:10" x14ac:dyDescent="0.3">
      <c r="J5275"/>
    </row>
    <row r="5276" spans="10:10" x14ac:dyDescent="0.3">
      <c r="J5276"/>
    </row>
    <row r="5277" spans="10:10" x14ac:dyDescent="0.3">
      <c r="J5277"/>
    </row>
    <row r="5278" spans="10:10" x14ac:dyDescent="0.3">
      <c r="J5278"/>
    </row>
    <row r="5279" spans="10:10" x14ac:dyDescent="0.3">
      <c r="J5279"/>
    </row>
    <row r="5280" spans="10:10" x14ac:dyDescent="0.3">
      <c r="J5280"/>
    </row>
    <row r="5281" spans="10:10" x14ac:dyDescent="0.3">
      <c r="J5281"/>
    </row>
    <row r="5282" spans="10:10" x14ac:dyDescent="0.3">
      <c r="J5282"/>
    </row>
    <row r="5283" spans="10:10" x14ac:dyDescent="0.3">
      <c r="J5283"/>
    </row>
    <row r="5284" spans="10:10" x14ac:dyDescent="0.3">
      <c r="J5284"/>
    </row>
    <row r="5285" spans="10:10" x14ac:dyDescent="0.3">
      <c r="J5285"/>
    </row>
    <row r="5286" spans="10:10" x14ac:dyDescent="0.3">
      <c r="J5286"/>
    </row>
    <row r="5287" spans="10:10" x14ac:dyDescent="0.3">
      <c r="J5287"/>
    </row>
    <row r="5288" spans="10:10" x14ac:dyDescent="0.3">
      <c r="J5288"/>
    </row>
    <row r="5289" spans="10:10" x14ac:dyDescent="0.3">
      <c r="J5289"/>
    </row>
    <row r="5290" spans="10:10" x14ac:dyDescent="0.3">
      <c r="J5290"/>
    </row>
    <row r="5291" spans="10:10" x14ac:dyDescent="0.3">
      <c r="J5291"/>
    </row>
    <row r="5292" spans="10:10" x14ac:dyDescent="0.3">
      <c r="J5292"/>
    </row>
    <row r="5293" spans="10:10" x14ac:dyDescent="0.3">
      <c r="J5293"/>
    </row>
    <row r="5294" spans="10:10" x14ac:dyDescent="0.3">
      <c r="J5294"/>
    </row>
    <row r="5295" spans="10:10" x14ac:dyDescent="0.3">
      <c r="J5295"/>
    </row>
    <row r="5296" spans="10:10" x14ac:dyDescent="0.3">
      <c r="J5296"/>
    </row>
    <row r="5297" spans="10:10" x14ac:dyDescent="0.3">
      <c r="J5297"/>
    </row>
    <row r="5298" spans="10:10" x14ac:dyDescent="0.3">
      <c r="J5298"/>
    </row>
    <row r="5299" spans="10:10" x14ac:dyDescent="0.3">
      <c r="J5299"/>
    </row>
    <row r="5300" spans="10:10" x14ac:dyDescent="0.3">
      <c r="J5300"/>
    </row>
    <row r="5301" spans="10:10" x14ac:dyDescent="0.3">
      <c r="J5301"/>
    </row>
    <row r="5302" spans="10:10" x14ac:dyDescent="0.3">
      <c r="J5302"/>
    </row>
    <row r="5303" spans="10:10" x14ac:dyDescent="0.3">
      <c r="J5303"/>
    </row>
    <row r="5304" spans="10:10" x14ac:dyDescent="0.3">
      <c r="J5304"/>
    </row>
    <row r="5305" spans="10:10" x14ac:dyDescent="0.3">
      <c r="J5305"/>
    </row>
    <row r="5306" spans="10:10" x14ac:dyDescent="0.3">
      <c r="J5306"/>
    </row>
    <row r="5307" spans="10:10" x14ac:dyDescent="0.3">
      <c r="J5307"/>
    </row>
    <row r="5308" spans="10:10" x14ac:dyDescent="0.3">
      <c r="J5308"/>
    </row>
    <row r="5309" spans="10:10" x14ac:dyDescent="0.3">
      <c r="J5309"/>
    </row>
    <row r="5310" spans="10:10" x14ac:dyDescent="0.3">
      <c r="J5310"/>
    </row>
    <row r="5311" spans="10:10" x14ac:dyDescent="0.3">
      <c r="J5311"/>
    </row>
    <row r="5312" spans="10:10" x14ac:dyDescent="0.3">
      <c r="J5312"/>
    </row>
    <row r="5313" spans="10:10" x14ac:dyDescent="0.3">
      <c r="J5313"/>
    </row>
    <row r="5314" spans="10:10" x14ac:dyDescent="0.3">
      <c r="J5314"/>
    </row>
    <row r="5315" spans="10:10" x14ac:dyDescent="0.3">
      <c r="J5315"/>
    </row>
    <row r="5316" spans="10:10" x14ac:dyDescent="0.3">
      <c r="J5316"/>
    </row>
    <row r="5317" spans="10:10" x14ac:dyDescent="0.3">
      <c r="J5317"/>
    </row>
    <row r="5318" spans="10:10" x14ac:dyDescent="0.3">
      <c r="J5318"/>
    </row>
    <row r="5319" spans="10:10" x14ac:dyDescent="0.3">
      <c r="J5319"/>
    </row>
    <row r="5320" spans="10:10" x14ac:dyDescent="0.3">
      <c r="J5320"/>
    </row>
    <row r="5321" spans="10:10" x14ac:dyDescent="0.3">
      <c r="J5321"/>
    </row>
    <row r="5322" spans="10:10" x14ac:dyDescent="0.3">
      <c r="J5322"/>
    </row>
    <row r="5323" spans="10:10" x14ac:dyDescent="0.3">
      <c r="J5323"/>
    </row>
    <row r="5324" spans="10:10" x14ac:dyDescent="0.3">
      <c r="J5324"/>
    </row>
    <row r="5325" spans="10:10" x14ac:dyDescent="0.3">
      <c r="J5325"/>
    </row>
    <row r="5326" spans="10:10" x14ac:dyDescent="0.3">
      <c r="J5326"/>
    </row>
    <row r="5327" spans="10:10" x14ac:dyDescent="0.3">
      <c r="J5327"/>
    </row>
    <row r="5328" spans="10:10" x14ac:dyDescent="0.3">
      <c r="J5328"/>
    </row>
    <row r="5329" spans="10:10" x14ac:dyDescent="0.3">
      <c r="J5329"/>
    </row>
    <row r="5330" spans="10:10" x14ac:dyDescent="0.3">
      <c r="J5330"/>
    </row>
    <row r="5331" spans="10:10" x14ac:dyDescent="0.3">
      <c r="J5331"/>
    </row>
    <row r="5332" spans="10:10" x14ac:dyDescent="0.3">
      <c r="J5332"/>
    </row>
    <row r="5333" spans="10:10" x14ac:dyDescent="0.3">
      <c r="J5333"/>
    </row>
    <row r="5334" spans="10:10" x14ac:dyDescent="0.3">
      <c r="J5334"/>
    </row>
    <row r="5335" spans="10:10" x14ac:dyDescent="0.3">
      <c r="J5335"/>
    </row>
    <row r="5336" spans="10:10" x14ac:dyDescent="0.3">
      <c r="J5336"/>
    </row>
    <row r="5337" spans="10:10" x14ac:dyDescent="0.3">
      <c r="J5337"/>
    </row>
    <row r="5338" spans="10:10" x14ac:dyDescent="0.3">
      <c r="J5338"/>
    </row>
    <row r="5339" spans="10:10" x14ac:dyDescent="0.3">
      <c r="J5339"/>
    </row>
    <row r="5340" spans="10:10" x14ac:dyDescent="0.3">
      <c r="J5340"/>
    </row>
    <row r="5341" spans="10:10" x14ac:dyDescent="0.3">
      <c r="J5341"/>
    </row>
    <row r="5342" spans="10:10" x14ac:dyDescent="0.3">
      <c r="J5342"/>
    </row>
    <row r="5343" spans="10:10" x14ac:dyDescent="0.3">
      <c r="J5343"/>
    </row>
    <row r="5344" spans="10:10" x14ac:dyDescent="0.3">
      <c r="J5344"/>
    </row>
    <row r="5345" spans="10:10" x14ac:dyDescent="0.3">
      <c r="J5345"/>
    </row>
    <row r="5346" spans="10:10" x14ac:dyDescent="0.3">
      <c r="J5346"/>
    </row>
    <row r="5347" spans="10:10" x14ac:dyDescent="0.3">
      <c r="J5347"/>
    </row>
    <row r="5348" spans="10:10" x14ac:dyDescent="0.3">
      <c r="J5348"/>
    </row>
    <row r="5349" spans="10:10" x14ac:dyDescent="0.3">
      <c r="J5349"/>
    </row>
    <row r="5350" spans="10:10" x14ac:dyDescent="0.3">
      <c r="J5350"/>
    </row>
    <row r="5351" spans="10:10" x14ac:dyDescent="0.3">
      <c r="J5351"/>
    </row>
    <row r="5352" spans="10:10" x14ac:dyDescent="0.3">
      <c r="J5352"/>
    </row>
    <row r="5353" spans="10:10" x14ac:dyDescent="0.3">
      <c r="J5353"/>
    </row>
    <row r="5354" spans="10:10" x14ac:dyDescent="0.3">
      <c r="J5354"/>
    </row>
    <row r="5355" spans="10:10" x14ac:dyDescent="0.3">
      <c r="J5355"/>
    </row>
    <row r="5356" spans="10:10" x14ac:dyDescent="0.3">
      <c r="J5356"/>
    </row>
    <row r="5357" spans="10:10" x14ac:dyDescent="0.3">
      <c r="J5357"/>
    </row>
    <row r="5358" spans="10:10" x14ac:dyDescent="0.3">
      <c r="J5358"/>
    </row>
    <row r="5359" spans="10:10" x14ac:dyDescent="0.3">
      <c r="J5359"/>
    </row>
    <row r="5360" spans="10:10" x14ac:dyDescent="0.3">
      <c r="J5360"/>
    </row>
    <row r="5361" spans="10:10" x14ac:dyDescent="0.3">
      <c r="J5361"/>
    </row>
    <row r="5362" spans="10:10" x14ac:dyDescent="0.3">
      <c r="J5362"/>
    </row>
    <row r="5363" spans="10:10" x14ac:dyDescent="0.3">
      <c r="J5363"/>
    </row>
    <row r="5364" spans="10:10" x14ac:dyDescent="0.3">
      <c r="J5364"/>
    </row>
    <row r="5365" spans="10:10" x14ac:dyDescent="0.3">
      <c r="J5365"/>
    </row>
    <row r="5366" spans="10:10" x14ac:dyDescent="0.3">
      <c r="J5366"/>
    </row>
    <row r="5367" spans="10:10" x14ac:dyDescent="0.3">
      <c r="J5367"/>
    </row>
    <row r="5368" spans="10:10" x14ac:dyDescent="0.3">
      <c r="J5368"/>
    </row>
    <row r="5369" spans="10:10" x14ac:dyDescent="0.3">
      <c r="J5369"/>
    </row>
    <row r="5370" spans="10:10" x14ac:dyDescent="0.3">
      <c r="J5370"/>
    </row>
    <row r="5371" spans="10:10" x14ac:dyDescent="0.3">
      <c r="J5371"/>
    </row>
    <row r="5372" spans="10:10" x14ac:dyDescent="0.3">
      <c r="J5372"/>
    </row>
    <row r="5373" spans="10:10" x14ac:dyDescent="0.3">
      <c r="J5373"/>
    </row>
    <row r="5374" spans="10:10" x14ac:dyDescent="0.3">
      <c r="J5374"/>
    </row>
    <row r="5375" spans="10:10" x14ac:dyDescent="0.3">
      <c r="J5375"/>
    </row>
    <row r="5376" spans="10:10" x14ac:dyDescent="0.3">
      <c r="J5376"/>
    </row>
    <row r="5377" spans="10:10" x14ac:dyDescent="0.3">
      <c r="J5377"/>
    </row>
    <row r="5378" spans="10:10" x14ac:dyDescent="0.3">
      <c r="J5378"/>
    </row>
    <row r="5379" spans="10:10" x14ac:dyDescent="0.3">
      <c r="J5379"/>
    </row>
    <row r="5380" spans="10:10" x14ac:dyDescent="0.3">
      <c r="J5380"/>
    </row>
    <row r="5381" spans="10:10" x14ac:dyDescent="0.3">
      <c r="J5381"/>
    </row>
    <row r="5382" spans="10:10" x14ac:dyDescent="0.3">
      <c r="J5382"/>
    </row>
    <row r="5383" spans="10:10" x14ac:dyDescent="0.3">
      <c r="J5383"/>
    </row>
    <row r="5384" spans="10:10" x14ac:dyDescent="0.3">
      <c r="J5384"/>
    </row>
    <row r="5385" spans="10:10" x14ac:dyDescent="0.3">
      <c r="J5385"/>
    </row>
    <row r="5386" spans="10:10" x14ac:dyDescent="0.3">
      <c r="J5386"/>
    </row>
    <row r="5387" spans="10:10" x14ac:dyDescent="0.3">
      <c r="J5387"/>
    </row>
    <row r="5388" spans="10:10" x14ac:dyDescent="0.3">
      <c r="J5388"/>
    </row>
    <row r="5389" spans="10:10" x14ac:dyDescent="0.3">
      <c r="J5389"/>
    </row>
    <row r="5390" spans="10:10" x14ac:dyDescent="0.3">
      <c r="J5390"/>
    </row>
    <row r="5391" spans="10:10" x14ac:dyDescent="0.3">
      <c r="J5391"/>
    </row>
    <row r="5392" spans="10:10" x14ac:dyDescent="0.3">
      <c r="J5392"/>
    </row>
    <row r="5393" spans="10:10" x14ac:dyDescent="0.3">
      <c r="J5393"/>
    </row>
    <row r="5394" spans="10:10" x14ac:dyDescent="0.3">
      <c r="J5394"/>
    </row>
    <row r="5395" spans="10:10" x14ac:dyDescent="0.3">
      <c r="J5395"/>
    </row>
    <row r="5396" spans="10:10" x14ac:dyDescent="0.3">
      <c r="J5396"/>
    </row>
    <row r="5397" spans="10:10" x14ac:dyDescent="0.3">
      <c r="J5397"/>
    </row>
    <row r="5398" spans="10:10" x14ac:dyDescent="0.3">
      <c r="J5398"/>
    </row>
    <row r="5399" spans="10:10" x14ac:dyDescent="0.3">
      <c r="J5399"/>
    </row>
    <row r="5400" spans="10:10" x14ac:dyDescent="0.3">
      <c r="J5400"/>
    </row>
    <row r="5401" spans="10:10" x14ac:dyDescent="0.3">
      <c r="J5401"/>
    </row>
    <row r="5402" spans="10:10" x14ac:dyDescent="0.3">
      <c r="J5402"/>
    </row>
    <row r="5403" spans="10:10" x14ac:dyDescent="0.3">
      <c r="J5403"/>
    </row>
    <row r="5404" spans="10:10" x14ac:dyDescent="0.3">
      <c r="J5404"/>
    </row>
    <row r="5405" spans="10:10" x14ac:dyDescent="0.3">
      <c r="J5405"/>
    </row>
    <row r="5406" spans="10:10" x14ac:dyDescent="0.3">
      <c r="J5406"/>
    </row>
    <row r="5407" spans="10:10" x14ac:dyDescent="0.3">
      <c r="J5407"/>
    </row>
    <row r="5408" spans="10:10" x14ac:dyDescent="0.3">
      <c r="J5408"/>
    </row>
    <row r="5409" spans="10:10" x14ac:dyDescent="0.3">
      <c r="J5409"/>
    </row>
    <row r="5410" spans="10:10" x14ac:dyDescent="0.3">
      <c r="J5410"/>
    </row>
    <row r="5411" spans="10:10" x14ac:dyDescent="0.3">
      <c r="J5411"/>
    </row>
    <row r="5412" spans="10:10" x14ac:dyDescent="0.3">
      <c r="J5412"/>
    </row>
    <row r="5413" spans="10:10" x14ac:dyDescent="0.3">
      <c r="J5413"/>
    </row>
    <row r="5414" spans="10:10" x14ac:dyDescent="0.3">
      <c r="J5414"/>
    </row>
    <row r="5415" spans="10:10" x14ac:dyDescent="0.3">
      <c r="J5415"/>
    </row>
    <row r="5416" spans="10:10" x14ac:dyDescent="0.3">
      <c r="J5416"/>
    </row>
    <row r="5417" spans="10:10" x14ac:dyDescent="0.3">
      <c r="J5417"/>
    </row>
    <row r="5418" spans="10:10" x14ac:dyDescent="0.3">
      <c r="J5418"/>
    </row>
    <row r="5419" spans="10:10" x14ac:dyDescent="0.3">
      <c r="J5419"/>
    </row>
    <row r="5420" spans="10:10" x14ac:dyDescent="0.3">
      <c r="J5420"/>
    </row>
    <row r="5421" spans="10:10" x14ac:dyDescent="0.3">
      <c r="J5421"/>
    </row>
    <row r="5422" spans="10:10" x14ac:dyDescent="0.3">
      <c r="J5422"/>
    </row>
    <row r="5423" spans="10:10" x14ac:dyDescent="0.3">
      <c r="J5423"/>
    </row>
    <row r="5424" spans="10:10" x14ac:dyDescent="0.3">
      <c r="J5424"/>
    </row>
    <row r="5425" spans="10:10" x14ac:dyDescent="0.3">
      <c r="J5425"/>
    </row>
    <row r="5426" spans="10:10" x14ac:dyDescent="0.3">
      <c r="J5426"/>
    </row>
    <row r="5427" spans="10:10" x14ac:dyDescent="0.3">
      <c r="J5427"/>
    </row>
    <row r="5428" spans="10:10" x14ac:dyDescent="0.3">
      <c r="J5428"/>
    </row>
    <row r="5429" spans="10:10" x14ac:dyDescent="0.3">
      <c r="J5429"/>
    </row>
    <row r="5430" spans="10:10" x14ac:dyDescent="0.3">
      <c r="J5430"/>
    </row>
    <row r="5431" spans="10:10" x14ac:dyDescent="0.3">
      <c r="J5431"/>
    </row>
    <row r="5432" spans="10:10" x14ac:dyDescent="0.3">
      <c r="J5432"/>
    </row>
    <row r="5433" spans="10:10" x14ac:dyDescent="0.3">
      <c r="J5433"/>
    </row>
    <row r="5434" spans="10:10" x14ac:dyDescent="0.3">
      <c r="J5434"/>
    </row>
    <row r="5435" spans="10:10" x14ac:dyDescent="0.3">
      <c r="J5435"/>
    </row>
    <row r="5436" spans="10:10" x14ac:dyDescent="0.3">
      <c r="J5436"/>
    </row>
    <row r="5437" spans="10:10" x14ac:dyDescent="0.3">
      <c r="J5437"/>
    </row>
    <row r="5438" spans="10:10" x14ac:dyDescent="0.3">
      <c r="J5438"/>
    </row>
    <row r="5439" spans="10:10" x14ac:dyDescent="0.3">
      <c r="J5439"/>
    </row>
    <row r="5440" spans="10:10" x14ac:dyDescent="0.3">
      <c r="J5440"/>
    </row>
    <row r="5441" spans="10:10" x14ac:dyDescent="0.3">
      <c r="J5441"/>
    </row>
    <row r="5442" spans="10:10" x14ac:dyDescent="0.3">
      <c r="J5442"/>
    </row>
    <row r="5443" spans="10:10" x14ac:dyDescent="0.3">
      <c r="J5443"/>
    </row>
    <row r="5444" spans="10:10" x14ac:dyDescent="0.3">
      <c r="J5444"/>
    </row>
    <row r="5445" spans="10:10" x14ac:dyDescent="0.3">
      <c r="J5445"/>
    </row>
    <row r="5446" spans="10:10" x14ac:dyDescent="0.3">
      <c r="J5446"/>
    </row>
    <row r="5447" spans="10:10" x14ac:dyDescent="0.3">
      <c r="J5447"/>
    </row>
    <row r="5448" spans="10:10" x14ac:dyDescent="0.3">
      <c r="J5448"/>
    </row>
    <row r="5449" spans="10:10" x14ac:dyDescent="0.3">
      <c r="J5449"/>
    </row>
    <row r="5450" spans="10:10" x14ac:dyDescent="0.3">
      <c r="J5450"/>
    </row>
    <row r="5451" spans="10:10" x14ac:dyDescent="0.3">
      <c r="J5451"/>
    </row>
    <row r="5452" spans="10:10" x14ac:dyDescent="0.3">
      <c r="J5452"/>
    </row>
    <row r="5453" spans="10:10" x14ac:dyDescent="0.3">
      <c r="J5453"/>
    </row>
    <row r="5454" spans="10:10" x14ac:dyDescent="0.3">
      <c r="J5454"/>
    </row>
    <row r="5455" spans="10:10" x14ac:dyDescent="0.3">
      <c r="J5455"/>
    </row>
    <row r="5456" spans="10:10" x14ac:dyDescent="0.3">
      <c r="J5456"/>
    </row>
    <row r="5457" spans="10:10" x14ac:dyDescent="0.3">
      <c r="J5457"/>
    </row>
    <row r="5458" spans="10:10" x14ac:dyDescent="0.3">
      <c r="J5458"/>
    </row>
    <row r="5459" spans="10:10" x14ac:dyDescent="0.3">
      <c r="J5459"/>
    </row>
    <row r="5460" spans="10:10" x14ac:dyDescent="0.3">
      <c r="J5460"/>
    </row>
    <row r="5461" spans="10:10" x14ac:dyDescent="0.3">
      <c r="J5461"/>
    </row>
    <row r="5462" spans="10:10" x14ac:dyDescent="0.3">
      <c r="J5462"/>
    </row>
    <row r="5463" spans="10:10" x14ac:dyDescent="0.3">
      <c r="J5463"/>
    </row>
    <row r="5464" spans="10:10" x14ac:dyDescent="0.3">
      <c r="J5464"/>
    </row>
    <row r="5465" spans="10:10" x14ac:dyDescent="0.3">
      <c r="J5465"/>
    </row>
    <row r="5466" spans="10:10" x14ac:dyDescent="0.3">
      <c r="J5466"/>
    </row>
    <row r="5467" spans="10:10" x14ac:dyDescent="0.3">
      <c r="J5467"/>
    </row>
    <row r="5468" spans="10:10" x14ac:dyDescent="0.3">
      <c r="J5468"/>
    </row>
    <row r="5469" spans="10:10" x14ac:dyDescent="0.3">
      <c r="J5469"/>
    </row>
    <row r="5470" spans="10:10" x14ac:dyDescent="0.3">
      <c r="J5470"/>
    </row>
    <row r="5471" spans="10:10" x14ac:dyDescent="0.3">
      <c r="J5471"/>
    </row>
    <row r="5472" spans="10:10" x14ac:dyDescent="0.3">
      <c r="J5472"/>
    </row>
    <row r="5473" spans="10:10" x14ac:dyDescent="0.3">
      <c r="J5473"/>
    </row>
    <row r="5474" spans="10:10" x14ac:dyDescent="0.3">
      <c r="J5474"/>
    </row>
    <row r="5475" spans="10:10" x14ac:dyDescent="0.3">
      <c r="J5475"/>
    </row>
    <row r="5476" spans="10:10" x14ac:dyDescent="0.3">
      <c r="J5476"/>
    </row>
    <row r="5477" spans="10:10" x14ac:dyDescent="0.3">
      <c r="J5477"/>
    </row>
    <row r="5478" spans="10:10" x14ac:dyDescent="0.3">
      <c r="J5478"/>
    </row>
    <row r="5479" spans="10:10" x14ac:dyDescent="0.3">
      <c r="J5479"/>
    </row>
    <row r="5480" spans="10:10" x14ac:dyDescent="0.3">
      <c r="J5480"/>
    </row>
    <row r="5481" spans="10:10" x14ac:dyDescent="0.3">
      <c r="J5481"/>
    </row>
    <row r="5482" spans="10:10" x14ac:dyDescent="0.3">
      <c r="J5482"/>
    </row>
    <row r="5483" spans="10:10" x14ac:dyDescent="0.3">
      <c r="J5483"/>
    </row>
    <row r="5484" spans="10:10" x14ac:dyDescent="0.3">
      <c r="J5484"/>
    </row>
    <row r="5485" spans="10:10" x14ac:dyDescent="0.3">
      <c r="J5485"/>
    </row>
    <row r="5486" spans="10:10" x14ac:dyDescent="0.3">
      <c r="J5486"/>
    </row>
    <row r="5487" spans="10:10" x14ac:dyDescent="0.3">
      <c r="J5487"/>
    </row>
    <row r="5488" spans="10:10" x14ac:dyDescent="0.3">
      <c r="J5488"/>
    </row>
    <row r="5489" spans="10:10" x14ac:dyDescent="0.3">
      <c r="J5489"/>
    </row>
    <row r="5490" spans="10:10" x14ac:dyDescent="0.3">
      <c r="J5490"/>
    </row>
    <row r="5491" spans="10:10" x14ac:dyDescent="0.3">
      <c r="J5491"/>
    </row>
    <row r="5492" spans="10:10" x14ac:dyDescent="0.3">
      <c r="J5492"/>
    </row>
    <row r="5493" spans="10:10" x14ac:dyDescent="0.3">
      <c r="J5493"/>
    </row>
    <row r="5494" spans="10:10" x14ac:dyDescent="0.3">
      <c r="J5494"/>
    </row>
    <row r="5495" spans="10:10" x14ac:dyDescent="0.3">
      <c r="J5495"/>
    </row>
    <row r="5496" spans="10:10" x14ac:dyDescent="0.3">
      <c r="J5496"/>
    </row>
    <row r="5497" spans="10:10" x14ac:dyDescent="0.3">
      <c r="J5497"/>
    </row>
    <row r="5498" spans="10:10" x14ac:dyDescent="0.3">
      <c r="J5498"/>
    </row>
    <row r="5499" spans="10:10" x14ac:dyDescent="0.3">
      <c r="J5499"/>
    </row>
    <row r="5500" spans="10:10" x14ac:dyDescent="0.3">
      <c r="J5500"/>
    </row>
    <row r="5501" spans="10:10" x14ac:dyDescent="0.3">
      <c r="J5501"/>
    </row>
    <row r="5502" spans="10:10" x14ac:dyDescent="0.3">
      <c r="J5502"/>
    </row>
    <row r="5503" spans="10:10" x14ac:dyDescent="0.3">
      <c r="J5503"/>
    </row>
    <row r="5504" spans="10:10" x14ac:dyDescent="0.3">
      <c r="J5504"/>
    </row>
    <row r="5505" spans="10:10" x14ac:dyDescent="0.3">
      <c r="J5505"/>
    </row>
    <row r="5506" spans="10:10" x14ac:dyDescent="0.3">
      <c r="J5506"/>
    </row>
    <row r="5507" spans="10:10" x14ac:dyDescent="0.3">
      <c r="J5507"/>
    </row>
    <row r="5508" spans="10:10" x14ac:dyDescent="0.3">
      <c r="J5508"/>
    </row>
    <row r="5509" spans="10:10" x14ac:dyDescent="0.3">
      <c r="J5509"/>
    </row>
    <row r="5510" spans="10:10" x14ac:dyDescent="0.3">
      <c r="J5510"/>
    </row>
    <row r="5511" spans="10:10" x14ac:dyDescent="0.3">
      <c r="J5511"/>
    </row>
    <row r="5512" spans="10:10" x14ac:dyDescent="0.3">
      <c r="J5512"/>
    </row>
    <row r="5513" spans="10:10" x14ac:dyDescent="0.3">
      <c r="J5513"/>
    </row>
    <row r="5514" spans="10:10" x14ac:dyDescent="0.3">
      <c r="J5514"/>
    </row>
    <row r="5515" spans="10:10" x14ac:dyDescent="0.3">
      <c r="J5515"/>
    </row>
    <row r="5516" spans="10:10" x14ac:dyDescent="0.3">
      <c r="J5516"/>
    </row>
    <row r="5517" spans="10:10" x14ac:dyDescent="0.3">
      <c r="J5517"/>
    </row>
    <row r="5518" spans="10:10" x14ac:dyDescent="0.3">
      <c r="J5518"/>
    </row>
    <row r="5519" spans="10:10" x14ac:dyDescent="0.3">
      <c r="J5519"/>
    </row>
    <row r="5520" spans="10:10" x14ac:dyDescent="0.3">
      <c r="J5520"/>
    </row>
    <row r="5521" spans="10:10" x14ac:dyDescent="0.3">
      <c r="J5521"/>
    </row>
    <row r="5522" spans="10:10" x14ac:dyDescent="0.3">
      <c r="J5522"/>
    </row>
    <row r="5523" spans="10:10" x14ac:dyDescent="0.3">
      <c r="J5523"/>
    </row>
    <row r="5524" spans="10:10" x14ac:dyDescent="0.3">
      <c r="J5524"/>
    </row>
    <row r="5525" spans="10:10" x14ac:dyDescent="0.3">
      <c r="J5525"/>
    </row>
    <row r="5526" spans="10:10" x14ac:dyDescent="0.3">
      <c r="J5526"/>
    </row>
    <row r="5527" spans="10:10" x14ac:dyDescent="0.3">
      <c r="J5527"/>
    </row>
    <row r="5528" spans="10:10" x14ac:dyDescent="0.3">
      <c r="J5528"/>
    </row>
    <row r="5529" spans="10:10" x14ac:dyDescent="0.3">
      <c r="J5529"/>
    </row>
    <row r="5530" spans="10:10" x14ac:dyDescent="0.3">
      <c r="J5530"/>
    </row>
    <row r="5531" spans="10:10" x14ac:dyDescent="0.3">
      <c r="J5531"/>
    </row>
    <row r="5532" spans="10:10" x14ac:dyDescent="0.3">
      <c r="J5532"/>
    </row>
    <row r="5533" spans="10:10" x14ac:dyDescent="0.3">
      <c r="J5533"/>
    </row>
    <row r="5534" spans="10:10" x14ac:dyDescent="0.3">
      <c r="J5534"/>
    </row>
    <row r="5535" spans="10:10" x14ac:dyDescent="0.3">
      <c r="J5535"/>
    </row>
    <row r="5536" spans="10:10" x14ac:dyDescent="0.3">
      <c r="J5536"/>
    </row>
    <row r="5537" spans="10:10" x14ac:dyDescent="0.3">
      <c r="J5537"/>
    </row>
    <row r="5538" spans="10:10" x14ac:dyDescent="0.3">
      <c r="J5538"/>
    </row>
    <row r="5539" spans="10:10" x14ac:dyDescent="0.3">
      <c r="J5539"/>
    </row>
    <row r="5540" spans="10:10" x14ac:dyDescent="0.3">
      <c r="J5540"/>
    </row>
    <row r="5541" spans="10:10" x14ac:dyDescent="0.3">
      <c r="J5541"/>
    </row>
    <row r="5542" spans="10:10" x14ac:dyDescent="0.3">
      <c r="J5542"/>
    </row>
    <row r="5543" spans="10:10" x14ac:dyDescent="0.3">
      <c r="J5543"/>
    </row>
    <row r="5544" spans="10:10" x14ac:dyDescent="0.3">
      <c r="J5544"/>
    </row>
    <row r="5545" spans="10:10" x14ac:dyDescent="0.3">
      <c r="J5545"/>
    </row>
    <row r="5546" spans="10:10" x14ac:dyDescent="0.3">
      <c r="J5546"/>
    </row>
    <row r="5547" spans="10:10" x14ac:dyDescent="0.3">
      <c r="J5547"/>
    </row>
    <row r="5548" spans="10:10" x14ac:dyDescent="0.3">
      <c r="J5548"/>
    </row>
    <row r="5549" spans="10:10" x14ac:dyDescent="0.3">
      <c r="J5549"/>
    </row>
    <row r="5550" spans="10:10" x14ac:dyDescent="0.3">
      <c r="J5550"/>
    </row>
    <row r="5551" spans="10:10" x14ac:dyDescent="0.3">
      <c r="J5551"/>
    </row>
    <row r="5552" spans="10:10" x14ac:dyDescent="0.3">
      <c r="J5552"/>
    </row>
    <row r="5553" spans="10:10" x14ac:dyDescent="0.3">
      <c r="J5553"/>
    </row>
    <row r="5554" spans="10:10" x14ac:dyDescent="0.3">
      <c r="J5554"/>
    </row>
    <row r="5555" spans="10:10" x14ac:dyDescent="0.3">
      <c r="J5555"/>
    </row>
    <row r="5556" spans="10:10" x14ac:dyDescent="0.3">
      <c r="J5556"/>
    </row>
    <row r="5557" spans="10:10" x14ac:dyDescent="0.3">
      <c r="J5557"/>
    </row>
    <row r="5558" spans="10:10" x14ac:dyDescent="0.3">
      <c r="J5558"/>
    </row>
    <row r="5559" spans="10:10" x14ac:dyDescent="0.3">
      <c r="J5559"/>
    </row>
    <row r="5560" spans="10:10" x14ac:dyDescent="0.3">
      <c r="J5560"/>
    </row>
    <row r="5561" spans="10:10" x14ac:dyDescent="0.3">
      <c r="J5561"/>
    </row>
    <row r="5562" spans="10:10" x14ac:dyDescent="0.3">
      <c r="J5562"/>
    </row>
    <row r="5563" spans="10:10" x14ac:dyDescent="0.3">
      <c r="J5563"/>
    </row>
    <row r="5564" spans="10:10" x14ac:dyDescent="0.3">
      <c r="J5564"/>
    </row>
    <row r="5565" spans="10:10" x14ac:dyDescent="0.3">
      <c r="J5565"/>
    </row>
    <row r="5566" spans="10:10" x14ac:dyDescent="0.3">
      <c r="J5566"/>
    </row>
    <row r="5567" spans="10:10" x14ac:dyDescent="0.3">
      <c r="J5567"/>
    </row>
    <row r="5568" spans="10:10" x14ac:dyDescent="0.3">
      <c r="J5568"/>
    </row>
    <row r="5569" spans="10:10" x14ac:dyDescent="0.3">
      <c r="J5569"/>
    </row>
    <row r="5570" spans="10:10" x14ac:dyDescent="0.3">
      <c r="J5570"/>
    </row>
    <row r="5571" spans="10:10" x14ac:dyDescent="0.3">
      <c r="J5571"/>
    </row>
    <row r="5572" spans="10:10" x14ac:dyDescent="0.3">
      <c r="J5572"/>
    </row>
    <row r="5573" spans="10:10" x14ac:dyDescent="0.3">
      <c r="J5573"/>
    </row>
    <row r="5574" spans="10:10" x14ac:dyDescent="0.3">
      <c r="J5574"/>
    </row>
    <row r="5575" spans="10:10" x14ac:dyDescent="0.3">
      <c r="J5575"/>
    </row>
    <row r="5576" spans="10:10" x14ac:dyDescent="0.3">
      <c r="J5576"/>
    </row>
    <row r="5577" spans="10:10" x14ac:dyDescent="0.3">
      <c r="J5577"/>
    </row>
    <row r="5578" spans="10:10" x14ac:dyDescent="0.3">
      <c r="J5578"/>
    </row>
    <row r="5579" spans="10:10" x14ac:dyDescent="0.3">
      <c r="J5579"/>
    </row>
    <row r="5580" spans="10:10" x14ac:dyDescent="0.3">
      <c r="J5580"/>
    </row>
    <row r="5581" spans="10:10" x14ac:dyDescent="0.3">
      <c r="J5581"/>
    </row>
    <row r="5582" spans="10:10" x14ac:dyDescent="0.3">
      <c r="J5582"/>
    </row>
    <row r="5583" spans="10:10" x14ac:dyDescent="0.3">
      <c r="J5583"/>
    </row>
    <row r="5584" spans="10:10" x14ac:dyDescent="0.3">
      <c r="J5584"/>
    </row>
    <row r="5585" spans="10:10" x14ac:dyDescent="0.3">
      <c r="J5585"/>
    </row>
    <row r="5586" spans="10:10" x14ac:dyDescent="0.3">
      <c r="J5586"/>
    </row>
    <row r="5587" spans="10:10" x14ac:dyDescent="0.3">
      <c r="J5587"/>
    </row>
    <row r="5588" spans="10:10" x14ac:dyDescent="0.3">
      <c r="J5588"/>
    </row>
    <row r="5589" spans="10:10" x14ac:dyDescent="0.3">
      <c r="J5589"/>
    </row>
    <row r="5590" spans="10:10" x14ac:dyDescent="0.3">
      <c r="J5590"/>
    </row>
    <row r="5591" spans="10:10" x14ac:dyDescent="0.3">
      <c r="J5591"/>
    </row>
    <row r="5592" spans="10:10" x14ac:dyDescent="0.3">
      <c r="J5592"/>
    </row>
    <row r="5593" spans="10:10" x14ac:dyDescent="0.3">
      <c r="J5593"/>
    </row>
    <row r="5594" spans="10:10" x14ac:dyDescent="0.3">
      <c r="J5594"/>
    </row>
    <row r="5595" spans="10:10" x14ac:dyDescent="0.3">
      <c r="J5595"/>
    </row>
    <row r="5596" spans="10:10" x14ac:dyDescent="0.3">
      <c r="J5596"/>
    </row>
    <row r="5597" spans="10:10" x14ac:dyDescent="0.3">
      <c r="J5597"/>
    </row>
    <row r="5598" spans="10:10" x14ac:dyDescent="0.3">
      <c r="J5598"/>
    </row>
    <row r="5599" spans="10:10" x14ac:dyDescent="0.3">
      <c r="J5599"/>
    </row>
    <row r="5600" spans="10:10" x14ac:dyDescent="0.3">
      <c r="J5600"/>
    </row>
    <row r="5601" spans="10:10" x14ac:dyDescent="0.3">
      <c r="J5601"/>
    </row>
    <row r="5602" spans="10:10" x14ac:dyDescent="0.3">
      <c r="J5602"/>
    </row>
    <row r="5603" spans="10:10" x14ac:dyDescent="0.3">
      <c r="J5603"/>
    </row>
    <row r="5604" spans="10:10" x14ac:dyDescent="0.3">
      <c r="J5604"/>
    </row>
    <row r="5605" spans="10:10" x14ac:dyDescent="0.3">
      <c r="J5605"/>
    </row>
    <row r="5606" spans="10:10" x14ac:dyDescent="0.3">
      <c r="J5606"/>
    </row>
    <row r="5607" spans="10:10" x14ac:dyDescent="0.3">
      <c r="J5607"/>
    </row>
    <row r="5608" spans="10:10" x14ac:dyDescent="0.3">
      <c r="J5608"/>
    </row>
    <row r="5609" spans="10:10" x14ac:dyDescent="0.3">
      <c r="J5609"/>
    </row>
    <row r="5610" spans="10:10" x14ac:dyDescent="0.3">
      <c r="J5610"/>
    </row>
    <row r="5611" spans="10:10" x14ac:dyDescent="0.3">
      <c r="J5611"/>
    </row>
    <row r="5612" spans="10:10" x14ac:dyDescent="0.3">
      <c r="J5612"/>
    </row>
    <row r="5613" spans="10:10" x14ac:dyDescent="0.3">
      <c r="J5613"/>
    </row>
    <row r="5614" spans="10:10" x14ac:dyDescent="0.3">
      <c r="J5614"/>
    </row>
    <row r="5615" spans="10:10" x14ac:dyDescent="0.3">
      <c r="J5615"/>
    </row>
    <row r="5616" spans="10:10" x14ac:dyDescent="0.3">
      <c r="J5616"/>
    </row>
    <row r="5617" spans="10:10" x14ac:dyDescent="0.3">
      <c r="J5617"/>
    </row>
    <row r="5618" spans="10:10" x14ac:dyDescent="0.3">
      <c r="J5618"/>
    </row>
    <row r="5619" spans="10:10" x14ac:dyDescent="0.3">
      <c r="J5619"/>
    </row>
    <row r="5620" spans="10:10" x14ac:dyDescent="0.3">
      <c r="J5620"/>
    </row>
    <row r="5621" spans="10:10" x14ac:dyDescent="0.3">
      <c r="J5621"/>
    </row>
    <row r="5622" spans="10:10" x14ac:dyDescent="0.3">
      <c r="J5622"/>
    </row>
    <row r="5623" spans="10:10" x14ac:dyDescent="0.3">
      <c r="J5623"/>
    </row>
    <row r="5624" spans="10:10" x14ac:dyDescent="0.3">
      <c r="J5624"/>
    </row>
    <row r="5625" spans="10:10" x14ac:dyDescent="0.3">
      <c r="J5625"/>
    </row>
    <row r="5626" spans="10:10" x14ac:dyDescent="0.3">
      <c r="J5626"/>
    </row>
    <row r="5627" spans="10:10" x14ac:dyDescent="0.3">
      <c r="J5627"/>
    </row>
    <row r="5628" spans="10:10" x14ac:dyDescent="0.3">
      <c r="J5628"/>
    </row>
    <row r="5629" spans="10:10" x14ac:dyDescent="0.3">
      <c r="J5629"/>
    </row>
    <row r="5630" spans="10:10" x14ac:dyDescent="0.3">
      <c r="J5630"/>
    </row>
    <row r="5631" spans="10:10" x14ac:dyDescent="0.3">
      <c r="J5631"/>
    </row>
    <row r="5632" spans="10:10" x14ac:dyDescent="0.3">
      <c r="J5632"/>
    </row>
    <row r="5633" spans="10:10" x14ac:dyDescent="0.3">
      <c r="J5633"/>
    </row>
    <row r="5634" spans="10:10" x14ac:dyDescent="0.3">
      <c r="J5634"/>
    </row>
    <row r="5635" spans="10:10" x14ac:dyDescent="0.3">
      <c r="J5635"/>
    </row>
    <row r="5636" spans="10:10" x14ac:dyDescent="0.3">
      <c r="J5636"/>
    </row>
    <row r="5637" spans="10:10" x14ac:dyDescent="0.3">
      <c r="J5637"/>
    </row>
    <row r="5638" spans="10:10" x14ac:dyDescent="0.3">
      <c r="J5638"/>
    </row>
    <row r="5639" spans="10:10" x14ac:dyDescent="0.3">
      <c r="J5639"/>
    </row>
    <row r="5640" spans="10:10" x14ac:dyDescent="0.3">
      <c r="J5640"/>
    </row>
    <row r="5641" spans="10:10" x14ac:dyDescent="0.3">
      <c r="J5641"/>
    </row>
    <row r="5642" spans="10:10" x14ac:dyDescent="0.3">
      <c r="J5642"/>
    </row>
    <row r="5643" spans="10:10" x14ac:dyDescent="0.3">
      <c r="J5643"/>
    </row>
    <row r="5644" spans="10:10" x14ac:dyDescent="0.3">
      <c r="J5644"/>
    </row>
    <row r="5645" spans="10:10" x14ac:dyDescent="0.3">
      <c r="J5645"/>
    </row>
    <row r="5646" spans="10:10" x14ac:dyDescent="0.3">
      <c r="J5646"/>
    </row>
    <row r="5647" spans="10:10" x14ac:dyDescent="0.3">
      <c r="J5647"/>
    </row>
    <row r="5648" spans="10:10" x14ac:dyDescent="0.3">
      <c r="J5648"/>
    </row>
    <row r="5649" spans="10:10" x14ac:dyDescent="0.3">
      <c r="J5649"/>
    </row>
    <row r="5650" spans="10:10" x14ac:dyDescent="0.3">
      <c r="J5650"/>
    </row>
    <row r="5651" spans="10:10" x14ac:dyDescent="0.3">
      <c r="J5651"/>
    </row>
    <row r="5652" spans="10:10" x14ac:dyDescent="0.3">
      <c r="J5652"/>
    </row>
    <row r="5653" spans="10:10" x14ac:dyDescent="0.3">
      <c r="J5653"/>
    </row>
    <row r="5654" spans="10:10" x14ac:dyDescent="0.3">
      <c r="J5654"/>
    </row>
    <row r="5655" spans="10:10" x14ac:dyDescent="0.3">
      <c r="J5655"/>
    </row>
    <row r="5656" spans="10:10" x14ac:dyDescent="0.3">
      <c r="J5656"/>
    </row>
    <row r="5657" spans="10:10" x14ac:dyDescent="0.3">
      <c r="J5657"/>
    </row>
    <row r="5658" spans="10:10" x14ac:dyDescent="0.3">
      <c r="J5658"/>
    </row>
    <row r="5659" spans="10:10" x14ac:dyDescent="0.3">
      <c r="J5659"/>
    </row>
    <row r="5660" spans="10:10" x14ac:dyDescent="0.3">
      <c r="J5660"/>
    </row>
    <row r="5661" spans="10:10" x14ac:dyDescent="0.3">
      <c r="J5661"/>
    </row>
    <row r="5662" spans="10:10" x14ac:dyDescent="0.3">
      <c r="J5662"/>
    </row>
    <row r="5663" spans="10:10" x14ac:dyDescent="0.3">
      <c r="J5663"/>
    </row>
    <row r="5664" spans="10:10" x14ac:dyDescent="0.3">
      <c r="J5664"/>
    </row>
    <row r="5665" spans="10:10" x14ac:dyDescent="0.3">
      <c r="J5665"/>
    </row>
    <row r="5666" spans="10:10" x14ac:dyDescent="0.3">
      <c r="J5666"/>
    </row>
    <row r="5667" spans="10:10" x14ac:dyDescent="0.3">
      <c r="J5667"/>
    </row>
    <row r="5668" spans="10:10" x14ac:dyDescent="0.3">
      <c r="J5668"/>
    </row>
    <row r="5669" spans="10:10" x14ac:dyDescent="0.3">
      <c r="J5669"/>
    </row>
    <row r="5670" spans="10:10" x14ac:dyDescent="0.3">
      <c r="J5670"/>
    </row>
    <row r="5671" spans="10:10" x14ac:dyDescent="0.3">
      <c r="J5671"/>
    </row>
    <row r="5672" spans="10:10" x14ac:dyDescent="0.3">
      <c r="J5672"/>
    </row>
    <row r="5673" spans="10:10" x14ac:dyDescent="0.3">
      <c r="J5673"/>
    </row>
    <row r="5674" spans="10:10" x14ac:dyDescent="0.3">
      <c r="J5674"/>
    </row>
    <row r="5675" spans="10:10" x14ac:dyDescent="0.3">
      <c r="J5675"/>
    </row>
    <row r="5676" spans="10:10" x14ac:dyDescent="0.3">
      <c r="J5676"/>
    </row>
    <row r="5677" spans="10:10" x14ac:dyDescent="0.3">
      <c r="J5677"/>
    </row>
    <row r="5678" spans="10:10" x14ac:dyDescent="0.3">
      <c r="J5678"/>
    </row>
    <row r="5679" spans="10:10" x14ac:dyDescent="0.3">
      <c r="J5679"/>
    </row>
    <row r="5680" spans="10:10" x14ac:dyDescent="0.3">
      <c r="J5680"/>
    </row>
    <row r="5681" spans="10:10" x14ac:dyDescent="0.3">
      <c r="J5681"/>
    </row>
    <row r="5682" spans="10:10" x14ac:dyDescent="0.3">
      <c r="J5682"/>
    </row>
    <row r="5683" spans="10:10" x14ac:dyDescent="0.3">
      <c r="J5683"/>
    </row>
    <row r="5684" spans="10:10" x14ac:dyDescent="0.3">
      <c r="J5684"/>
    </row>
    <row r="5685" spans="10:10" x14ac:dyDescent="0.3">
      <c r="J5685"/>
    </row>
    <row r="5686" spans="10:10" x14ac:dyDescent="0.3">
      <c r="J5686"/>
    </row>
    <row r="5687" spans="10:10" x14ac:dyDescent="0.3">
      <c r="J5687"/>
    </row>
    <row r="5688" spans="10:10" x14ac:dyDescent="0.3">
      <c r="J5688"/>
    </row>
    <row r="5689" spans="10:10" x14ac:dyDescent="0.3">
      <c r="J5689"/>
    </row>
    <row r="5690" spans="10:10" x14ac:dyDescent="0.3">
      <c r="J5690"/>
    </row>
    <row r="5691" spans="10:10" x14ac:dyDescent="0.3">
      <c r="J5691"/>
    </row>
    <row r="5692" spans="10:10" x14ac:dyDescent="0.3">
      <c r="J5692"/>
    </row>
    <row r="5693" spans="10:10" x14ac:dyDescent="0.3">
      <c r="J5693"/>
    </row>
    <row r="5694" spans="10:10" x14ac:dyDescent="0.3">
      <c r="J5694"/>
    </row>
    <row r="5695" spans="10:10" x14ac:dyDescent="0.3">
      <c r="J5695"/>
    </row>
    <row r="5696" spans="10:10" x14ac:dyDescent="0.3">
      <c r="J5696"/>
    </row>
    <row r="5697" spans="10:10" x14ac:dyDescent="0.3">
      <c r="J5697"/>
    </row>
    <row r="5698" spans="10:10" x14ac:dyDescent="0.3">
      <c r="J5698"/>
    </row>
    <row r="5699" spans="10:10" x14ac:dyDescent="0.3">
      <c r="J5699"/>
    </row>
    <row r="5700" spans="10:10" x14ac:dyDescent="0.3">
      <c r="J5700"/>
    </row>
    <row r="5701" spans="10:10" x14ac:dyDescent="0.3">
      <c r="J5701"/>
    </row>
    <row r="5702" spans="10:10" x14ac:dyDescent="0.3">
      <c r="J5702"/>
    </row>
    <row r="5703" spans="10:10" x14ac:dyDescent="0.3">
      <c r="J5703"/>
    </row>
    <row r="5704" spans="10:10" x14ac:dyDescent="0.3">
      <c r="J5704"/>
    </row>
    <row r="5705" spans="10:10" x14ac:dyDescent="0.3">
      <c r="J5705"/>
    </row>
    <row r="5706" spans="10:10" x14ac:dyDescent="0.3">
      <c r="J5706"/>
    </row>
    <row r="5707" spans="10:10" x14ac:dyDescent="0.3">
      <c r="J5707"/>
    </row>
    <row r="5708" spans="10:10" x14ac:dyDescent="0.3">
      <c r="J5708"/>
    </row>
    <row r="5709" spans="10:10" x14ac:dyDescent="0.3">
      <c r="J5709"/>
    </row>
    <row r="5710" spans="10:10" x14ac:dyDescent="0.3">
      <c r="J5710"/>
    </row>
    <row r="5711" spans="10:10" x14ac:dyDescent="0.3">
      <c r="J5711"/>
    </row>
    <row r="5712" spans="10:10" x14ac:dyDescent="0.3">
      <c r="J5712"/>
    </row>
    <row r="5713" spans="10:10" x14ac:dyDescent="0.3">
      <c r="J5713"/>
    </row>
    <row r="5714" spans="10:10" x14ac:dyDescent="0.3">
      <c r="J5714"/>
    </row>
    <row r="5715" spans="10:10" x14ac:dyDescent="0.3">
      <c r="J5715"/>
    </row>
    <row r="5716" spans="10:10" x14ac:dyDescent="0.3">
      <c r="J5716"/>
    </row>
    <row r="5717" spans="10:10" x14ac:dyDescent="0.3">
      <c r="J5717"/>
    </row>
    <row r="5718" spans="10:10" x14ac:dyDescent="0.3">
      <c r="J5718"/>
    </row>
    <row r="5719" spans="10:10" x14ac:dyDescent="0.3">
      <c r="J5719"/>
    </row>
    <row r="5720" spans="10:10" x14ac:dyDescent="0.3">
      <c r="J5720"/>
    </row>
    <row r="5721" spans="10:10" x14ac:dyDescent="0.3">
      <c r="J5721"/>
    </row>
    <row r="5722" spans="10:10" x14ac:dyDescent="0.3">
      <c r="J5722"/>
    </row>
    <row r="5723" spans="10:10" x14ac:dyDescent="0.3">
      <c r="J5723"/>
    </row>
    <row r="5724" spans="10:10" x14ac:dyDescent="0.3">
      <c r="J5724"/>
    </row>
    <row r="5725" spans="10:10" x14ac:dyDescent="0.3">
      <c r="J5725"/>
    </row>
    <row r="5726" spans="10:10" x14ac:dyDescent="0.3">
      <c r="J5726"/>
    </row>
    <row r="5727" spans="10:10" x14ac:dyDescent="0.3">
      <c r="J5727"/>
    </row>
    <row r="5728" spans="10:10" x14ac:dyDescent="0.3">
      <c r="J5728"/>
    </row>
    <row r="5729" spans="10:10" x14ac:dyDescent="0.3">
      <c r="J5729"/>
    </row>
    <row r="5730" spans="10:10" x14ac:dyDescent="0.3">
      <c r="J5730"/>
    </row>
    <row r="5731" spans="10:10" x14ac:dyDescent="0.3">
      <c r="J5731"/>
    </row>
    <row r="5732" spans="10:10" x14ac:dyDescent="0.3">
      <c r="J5732"/>
    </row>
    <row r="5733" spans="10:10" x14ac:dyDescent="0.3">
      <c r="J5733"/>
    </row>
    <row r="5734" spans="10:10" x14ac:dyDescent="0.3">
      <c r="J5734"/>
    </row>
    <row r="5735" spans="10:10" x14ac:dyDescent="0.3">
      <c r="J5735"/>
    </row>
    <row r="5736" spans="10:10" x14ac:dyDescent="0.3">
      <c r="J5736"/>
    </row>
    <row r="5737" spans="10:10" x14ac:dyDescent="0.3">
      <c r="J5737"/>
    </row>
    <row r="5738" spans="10:10" x14ac:dyDescent="0.3">
      <c r="J5738"/>
    </row>
    <row r="5739" spans="10:10" x14ac:dyDescent="0.3">
      <c r="J5739"/>
    </row>
    <row r="5740" spans="10:10" x14ac:dyDescent="0.3">
      <c r="J5740"/>
    </row>
    <row r="5741" spans="10:10" x14ac:dyDescent="0.3">
      <c r="J5741"/>
    </row>
    <row r="5742" spans="10:10" x14ac:dyDescent="0.3">
      <c r="J5742"/>
    </row>
    <row r="5743" spans="10:10" x14ac:dyDescent="0.3">
      <c r="J5743"/>
    </row>
    <row r="5744" spans="10:10" x14ac:dyDescent="0.3">
      <c r="J5744"/>
    </row>
    <row r="5745" spans="10:10" x14ac:dyDescent="0.3">
      <c r="J5745"/>
    </row>
    <row r="5746" spans="10:10" x14ac:dyDescent="0.3">
      <c r="J5746"/>
    </row>
    <row r="5747" spans="10:10" x14ac:dyDescent="0.3">
      <c r="J5747"/>
    </row>
    <row r="5748" spans="10:10" x14ac:dyDescent="0.3">
      <c r="J5748"/>
    </row>
    <row r="5749" spans="10:10" x14ac:dyDescent="0.3">
      <c r="J5749"/>
    </row>
    <row r="5750" spans="10:10" x14ac:dyDescent="0.3">
      <c r="J5750"/>
    </row>
    <row r="5751" spans="10:10" x14ac:dyDescent="0.3">
      <c r="J5751"/>
    </row>
    <row r="5752" spans="10:10" x14ac:dyDescent="0.3">
      <c r="J5752"/>
    </row>
    <row r="5753" spans="10:10" x14ac:dyDescent="0.3">
      <c r="J5753"/>
    </row>
    <row r="5754" spans="10:10" x14ac:dyDescent="0.3">
      <c r="J5754"/>
    </row>
    <row r="5755" spans="10:10" x14ac:dyDescent="0.3">
      <c r="J5755"/>
    </row>
    <row r="5756" spans="10:10" x14ac:dyDescent="0.3">
      <c r="J5756"/>
    </row>
    <row r="5757" spans="10:10" x14ac:dyDescent="0.3">
      <c r="J5757"/>
    </row>
    <row r="5758" spans="10:10" x14ac:dyDescent="0.3">
      <c r="J5758"/>
    </row>
    <row r="5759" spans="10:10" x14ac:dyDescent="0.3">
      <c r="J5759"/>
    </row>
    <row r="5760" spans="10:10" x14ac:dyDescent="0.3">
      <c r="J5760"/>
    </row>
    <row r="5761" spans="10:10" x14ac:dyDescent="0.3">
      <c r="J5761"/>
    </row>
    <row r="5762" spans="10:10" x14ac:dyDescent="0.3">
      <c r="J5762"/>
    </row>
    <row r="5763" spans="10:10" x14ac:dyDescent="0.3">
      <c r="J5763"/>
    </row>
    <row r="5764" spans="10:10" x14ac:dyDescent="0.3">
      <c r="J5764"/>
    </row>
    <row r="5765" spans="10:10" x14ac:dyDescent="0.3">
      <c r="J5765"/>
    </row>
    <row r="5766" spans="10:10" x14ac:dyDescent="0.3">
      <c r="J5766"/>
    </row>
    <row r="5767" spans="10:10" x14ac:dyDescent="0.3">
      <c r="J5767"/>
    </row>
    <row r="5768" spans="10:10" x14ac:dyDescent="0.3">
      <c r="J5768"/>
    </row>
    <row r="5769" spans="10:10" x14ac:dyDescent="0.3">
      <c r="J5769"/>
    </row>
    <row r="5770" spans="10:10" x14ac:dyDescent="0.3">
      <c r="J5770"/>
    </row>
    <row r="5771" spans="10:10" x14ac:dyDescent="0.3">
      <c r="J5771"/>
    </row>
    <row r="5772" spans="10:10" x14ac:dyDescent="0.3">
      <c r="J5772"/>
    </row>
    <row r="5773" spans="10:10" x14ac:dyDescent="0.3">
      <c r="J5773"/>
    </row>
    <row r="5774" spans="10:10" x14ac:dyDescent="0.3">
      <c r="J5774"/>
    </row>
    <row r="5775" spans="10:10" x14ac:dyDescent="0.3">
      <c r="J5775"/>
    </row>
    <row r="5776" spans="10:10" x14ac:dyDescent="0.3">
      <c r="J5776"/>
    </row>
    <row r="5777" spans="10:10" x14ac:dyDescent="0.3">
      <c r="J5777"/>
    </row>
    <row r="5778" spans="10:10" x14ac:dyDescent="0.3">
      <c r="J5778"/>
    </row>
    <row r="5779" spans="10:10" x14ac:dyDescent="0.3">
      <c r="J5779"/>
    </row>
    <row r="5780" spans="10:10" x14ac:dyDescent="0.3">
      <c r="J5780"/>
    </row>
    <row r="5781" spans="10:10" x14ac:dyDescent="0.3">
      <c r="J5781"/>
    </row>
    <row r="5782" spans="10:10" x14ac:dyDescent="0.3">
      <c r="J5782"/>
    </row>
    <row r="5783" spans="10:10" x14ac:dyDescent="0.3">
      <c r="J5783"/>
    </row>
    <row r="5784" spans="10:10" x14ac:dyDescent="0.3">
      <c r="J5784"/>
    </row>
    <row r="5785" spans="10:10" x14ac:dyDescent="0.3">
      <c r="J5785"/>
    </row>
    <row r="5786" spans="10:10" x14ac:dyDescent="0.3">
      <c r="J5786"/>
    </row>
    <row r="5787" spans="10:10" x14ac:dyDescent="0.3">
      <c r="J5787"/>
    </row>
    <row r="5788" spans="10:10" x14ac:dyDescent="0.3">
      <c r="J5788"/>
    </row>
    <row r="5789" spans="10:10" x14ac:dyDescent="0.3">
      <c r="J5789"/>
    </row>
    <row r="5790" spans="10:10" x14ac:dyDescent="0.3">
      <c r="J5790"/>
    </row>
    <row r="5791" spans="10:10" x14ac:dyDescent="0.3">
      <c r="J5791"/>
    </row>
    <row r="5792" spans="10:10" x14ac:dyDescent="0.3">
      <c r="J5792"/>
    </row>
    <row r="5793" spans="10:10" x14ac:dyDescent="0.3">
      <c r="J5793"/>
    </row>
    <row r="5794" spans="10:10" x14ac:dyDescent="0.3">
      <c r="J5794"/>
    </row>
    <row r="5795" spans="10:10" x14ac:dyDescent="0.3">
      <c r="J5795"/>
    </row>
    <row r="5796" spans="10:10" x14ac:dyDescent="0.3">
      <c r="J5796"/>
    </row>
    <row r="5797" spans="10:10" x14ac:dyDescent="0.3">
      <c r="J5797"/>
    </row>
    <row r="5798" spans="10:10" x14ac:dyDescent="0.3">
      <c r="J5798"/>
    </row>
    <row r="5799" spans="10:10" x14ac:dyDescent="0.3">
      <c r="J5799"/>
    </row>
    <row r="5800" spans="10:10" x14ac:dyDescent="0.3">
      <c r="J5800"/>
    </row>
    <row r="5801" spans="10:10" x14ac:dyDescent="0.3">
      <c r="J5801"/>
    </row>
    <row r="5802" spans="10:10" x14ac:dyDescent="0.3">
      <c r="J5802"/>
    </row>
    <row r="5803" spans="10:10" x14ac:dyDescent="0.3">
      <c r="J5803"/>
    </row>
    <row r="5804" spans="10:10" x14ac:dyDescent="0.3">
      <c r="J5804"/>
    </row>
    <row r="5805" spans="10:10" x14ac:dyDescent="0.3">
      <c r="J5805"/>
    </row>
    <row r="5806" spans="10:10" x14ac:dyDescent="0.3">
      <c r="J5806"/>
    </row>
    <row r="5807" spans="10:10" x14ac:dyDescent="0.3">
      <c r="J5807"/>
    </row>
    <row r="5808" spans="10:10" x14ac:dyDescent="0.3">
      <c r="J5808"/>
    </row>
    <row r="5809" spans="10:10" x14ac:dyDescent="0.3">
      <c r="J5809"/>
    </row>
    <row r="5810" spans="10:10" x14ac:dyDescent="0.3">
      <c r="J5810"/>
    </row>
    <row r="5811" spans="10:10" x14ac:dyDescent="0.3">
      <c r="J5811"/>
    </row>
    <row r="5812" spans="10:10" x14ac:dyDescent="0.3">
      <c r="J5812"/>
    </row>
    <row r="5813" spans="10:10" x14ac:dyDescent="0.3">
      <c r="J5813"/>
    </row>
    <row r="5814" spans="10:10" x14ac:dyDescent="0.3">
      <c r="J5814"/>
    </row>
    <row r="5815" spans="10:10" x14ac:dyDescent="0.3">
      <c r="J5815"/>
    </row>
    <row r="5816" spans="10:10" x14ac:dyDescent="0.3">
      <c r="J5816"/>
    </row>
    <row r="5817" spans="10:10" x14ac:dyDescent="0.3">
      <c r="J5817"/>
    </row>
    <row r="5818" spans="10:10" x14ac:dyDescent="0.3">
      <c r="J5818"/>
    </row>
    <row r="5819" spans="10:10" x14ac:dyDescent="0.3">
      <c r="J5819"/>
    </row>
    <row r="5820" spans="10:10" x14ac:dyDescent="0.3">
      <c r="J5820"/>
    </row>
    <row r="5821" spans="10:10" x14ac:dyDescent="0.3">
      <c r="J5821"/>
    </row>
    <row r="5822" spans="10:10" x14ac:dyDescent="0.3">
      <c r="J5822"/>
    </row>
    <row r="5823" spans="10:10" x14ac:dyDescent="0.3">
      <c r="J5823"/>
    </row>
    <row r="5824" spans="10:10" x14ac:dyDescent="0.3">
      <c r="J5824"/>
    </row>
    <row r="5825" spans="10:10" x14ac:dyDescent="0.3">
      <c r="J5825"/>
    </row>
    <row r="5826" spans="10:10" x14ac:dyDescent="0.3">
      <c r="J5826"/>
    </row>
    <row r="5827" spans="10:10" x14ac:dyDescent="0.3">
      <c r="J5827"/>
    </row>
    <row r="5828" spans="10:10" x14ac:dyDescent="0.3">
      <c r="J5828"/>
    </row>
    <row r="5829" spans="10:10" x14ac:dyDescent="0.3">
      <c r="J5829"/>
    </row>
    <row r="5830" spans="10:10" x14ac:dyDescent="0.3">
      <c r="J5830"/>
    </row>
    <row r="5831" spans="10:10" x14ac:dyDescent="0.3">
      <c r="J5831"/>
    </row>
    <row r="5832" spans="10:10" x14ac:dyDescent="0.3">
      <c r="J5832"/>
    </row>
    <row r="5833" spans="10:10" x14ac:dyDescent="0.3">
      <c r="J5833"/>
    </row>
    <row r="5834" spans="10:10" x14ac:dyDescent="0.3">
      <c r="J5834"/>
    </row>
    <row r="5835" spans="10:10" x14ac:dyDescent="0.3">
      <c r="J5835"/>
    </row>
    <row r="5836" spans="10:10" x14ac:dyDescent="0.3">
      <c r="J5836"/>
    </row>
    <row r="5837" spans="10:10" x14ac:dyDescent="0.3">
      <c r="J5837"/>
    </row>
    <row r="5838" spans="10:10" x14ac:dyDescent="0.3">
      <c r="J5838"/>
    </row>
    <row r="5839" spans="10:10" x14ac:dyDescent="0.3">
      <c r="J5839"/>
    </row>
    <row r="5840" spans="10:10" x14ac:dyDescent="0.3">
      <c r="J5840"/>
    </row>
    <row r="5841" spans="10:10" x14ac:dyDescent="0.3">
      <c r="J5841"/>
    </row>
    <row r="5842" spans="10:10" x14ac:dyDescent="0.3">
      <c r="J5842"/>
    </row>
    <row r="5843" spans="10:10" x14ac:dyDescent="0.3">
      <c r="J5843"/>
    </row>
    <row r="5844" spans="10:10" x14ac:dyDescent="0.3">
      <c r="J5844"/>
    </row>
    <row r="5845" spans="10:10" x14ac:dyDescent="0.3">
      <c r="J5845"/>
    </row>
    <row r="5846" spans="10:10" x14ac:dyDescent="0.3">
      <c r="J5846"/>
    </row>
    <row r="5847" spans="10:10" x14ac:dyDescent="0.3">
      <c r="J5847"/>
    </row>
    <row r="5848" spans="10:10" x14ac:dyDescent="0.3">
      <c r="J5848"/>
    </row>
    <row r="5849" spans="10:10" x14ac:dyDescent="0.3">
      <c r="J5849"/>
    </row>
    <row r="5850" spans="10:10" x14ac:dyDescent="0.3">
      <c r="J5850"/>
    </row>
    <row r="5851" spans="10:10" x14ac:dyDescent="0.3">
      <c r="J5851"/>
    </row>
    <row r="5852" spans="10:10" x14ac:dyDescent="0.3">
      <c r="J5852"/>
    </row>
    <row r="5853" spans="10:10" x14ac:dyDescent="0.3">
      <c r="J5853"/>
    </row>
    <row r="5854" spans="10:10" x14ac:dyDescent="0.3">
      <c r="J5854"/>
    </row>
    <row r="5855" spans="10:10" x14ac:dyDescent="0.3">
      <c r="J5855"/>
    </row>
    <row r="5856" spans="10:10" x14ac:dyDescent="0.3">
      <c r="J5856"/>
    </row>
    <row r="5857" spans="10:10" x14ac:dyDescent="0.3">
      <c r="J5857"/>
    </row>
    <row r="5858" spans="10:10" x14ac:dyDescent="0.3">
      <c r="J5858"/>
    </row>
    <row r="5859" spans="10:10" x14ac:dyDescent="0.3">
      <c r="J5859"/>
    </row>
    <row r="5860" spans="10:10" x14ac:dyDescent="0.3">
      <c r="J5860"/>
    </row>
    <row r="5861" spans="10:10" x14ac:dyDescent="0.3">
      <c r="J5861"/>
    </row>
    <row r="5862" spans="10:10" x14ac:dyDescent="0.3">
      <c r="J5862"/>
    </row>
    <row r="5863" spans="10:10" x14ac:dyDescent="0.3">
      <c r="J5863"/>
    </row>
    <row r="5864" spans="10:10" x14ac:dyDescent="0.3">
      <c r="J5864"/>
    </row>
    <row r="5865" spans="10:10" x14ac:dyDescent="0.3">
      <c r="J5865"/>
    </row>
    <row r="5866" spans="10:10" x14ac:dyDescent="0.3">
      <c r="J5866"/>
    </row>
    <row r="5867" spans="10:10" x14ac:dyDescent="0.3">
      <c r="J5867"/>
    </row>
    <row r="5868" spans="10:10" x14ac:dyDescent="0.3">
      <c r="J5868"/>
    </row>
    <row r="5869" spans="10:10" x14ac:dyDescent="0.3">
      <c r="J5869"/>
    </row>
    <row r="5870" spans="10:10" x14ac:dyDescent="0.3">
      <c r="J5870"/>
    </row>
    <row r="5871" spans="10:10" x14ac:dyDescent="0.3">
      <c r="J5871"/>
    </row>
    <row r="5872" spans="10:10" x14ac:dyDescent="0.3">
      <c r="J5872"/>
    </row>
    <row r="5873" spans="10:10" x14ac:dyDescent="0.3">
      <c r="J5873"/>
    </row>
    <row r="5874" spans="10:10" x14ac:dyDescent="0.3">
      <c r="J5874"/>
    </row>
    <row r="5875" spans="10:10" x14ac:dyDescent="0.3">
      <c r="J5875"/>
    </row>
    <row r="5876" spans="10:10" x14ac:dyDescent="0.3">
      <c r="J5876"/>
    </row>
    <row r="5877" spans="10:10" x14ac:dyDescent="0.3">
      <c r="J5877"/>
    </row>
    <row r="5878" spans="10:10" x14ac:dyDescent="0.3">
      <c r="J5878"/>
    </row>
    <row r="5879" spans="10:10" x14ac:dyDescent="0.3">
      <c r="J5879"/>
    </row>
    <row r="5880" spans="10:10" x14ac:dyDescent="0.3">
      <c r="J5880"/>
    </row>
    <row r="5881" spans="10:10" x14ac:dyDescent="0.3">
      <c r="J5881"/>
    </row>
    <row r="5882" spans="10:10" x14ac:dyDescent="0.3">
      <c r="J5882"/>
    </row>
    <row r="5883" spans="10:10" x14ac:dyDescent="0.3">
      <c r="J5883"/>
    </row>
    <row r="5884" spans="10:10" x14ac:dyDescent="0.3">
      <c r="J5884"/>
    </row>
    <row r="5885" spans="10:10" x14ac:dyDescent="0.3">
      <c r="J5885"/>
    </row>
    <row r="5886" spans="10:10" x14ac:dyDescent="0.3">
      <c r="J5886"/>
    </row>
    <row r="5887" spans="10:10" x14ac:dyDescent="0.3">
      <c r="J5887"/>
    </row>
    <row r="5888" spans="10:10" x14ac:dyDescent="0.3">
      <c r="J5888"/>
    </row>
    <row r="5889" spans="10:10" x14ac:dyDescent="0.3">
      <c r="J5889"/>
    </row>
    <row r="5890" spans="10:10" x14ac:dyDescent="0.3">
      <c r="J5890"/>
    </row>
    <row r="5891" spans="10:10" x14ac:dyDescent="0.3">
      <c r="J5891"/>
    </row>
    <row r="5892" spans="10:10" x14ac:dyDescent="0.3">
      <c r="J5892"/>
    </row>
    <row r="5893" spans="10:10" x14ac:dyDescent="0.3">
      <c r="J5893"/>
    </row>
    <row r="5894" spans="10:10" x14ac:dyDescent="0.3">
      <c r="J5894"/>
    </row>
    <row r="5895" spans="10:10" x14ac:dyDescent="0.3">
      <c r="J5895"/>
    </row>
    <row r="5896" spans="10:10" x14ac:dyDescent="0.3">
      <c r="J5896"/>
    </row>
    <row r="5897" spans="10:10" x14ac:dyDescent="0.3">
      <c r="J5897"/>
    </row>
    <row r="5898" spans="10:10" x14ac:dyDescent="0.3">
      <c r="J5898"/>
    </row>
    <row r="5899" spans="10:10" x14ac:dyDescent="0.3">
      <c r="J5899"/>
    </row>
    <row r="5900" spans="10:10" x14ac:dyDescent="0.3">
      <c r="J5900"/>
    </row>
    <row r="5901" spans="10:10" x14ac:dyDescent="0.3">
      <c r="J5901"/>
    </row>
    <row r="5902" spans="10:10" x14ac:dyDescent="0.3">
      <c r="J5902"/>
    </row>
    <row r="5903" spans="10:10" x14ac:dyDescent="0.3">
      <c r="J5903"/>
    </row>
    <row r="5904" spans="10:10" x14ac:dyDescent="0.3">
      <c r="J5904"/>
    </row>
    <row r="5905" spans="10:10" x14ac:dyDescent="0.3">
      <c r="J5905"/>
    </row>
    <row r="5906" spans="10:10" x14ac:dyDescent="0.3">
      <c r="J5906"/>
    </row>
    <row r="5907" spans="10:10" x14ac:dyDescent="0.3">
      <c r="J5907"/>
    </row>
    <row r="5908" spans="10:10" x14ac:dyDescent="0.3">
      <c r="J5908"/>
    </row>
    <row r="5909" spans="10:10" x14ac:dyDescent="0.3">
      <c r="J5909"/>
    </row>
    <row r="5910" spans="10:10" x14ac:dyDescent="0.3">
      <c r="J5910"/>
    </row>
    <row r="5911" spans="10:10" x14ac:dyDescent="0.3">
      <c r="J5911"/>
    </row>
    <row r="5912" spans="10:10" x14ac:dyDescent="0.3">
      <c r="J5912"/>
    </row>
    <row r="5913" spans="10:10" x14ac:dyDescent="0.3">
      <c r="J5913"/>
    </row>
    <row r="5914" spans="10:10" x14ac:dyDescent="0.3">
      <c r="J5914"/>
    </row>
    <row r="5915" spans="10:10" x14ac:dyDescent="0.3">
      <c r="J5915"/>
    </row>
    <row r="5916" spans="10:10" x14ac:dyDescent="0.3">
      <c r="J5916"/>
    </row>
    <row r="5917" spans="10:10" x14ac:dyDescent="0.3">
      <c r="J5917"/>
    </row>
    <row r="5918" spans="10:10" x14ac:dyDescent="0.3">
      <c r="J5918"/>
    </row>
    <row r="5919" spans="10:10" x14ac:dyDescent="0.3">
      <c r="J5919"/>
    </row>
    <row r="5920" spans="10:10" x14ac:dyDescent="0.3">
      <c r="J5920"/>
    </row>
    <row r="5921" spans="10:10" x14ac:dyDescent="0.3">
      <c r="J5921"/>
    </row>
    <row r="5922" spans="10:10" x14ac:dyDescent="0.3">
      <c r="J5922"/>
    </row>
    <row r="5923" spans="10:10" x14ac:dyDescent="0.3">
      <c r="J5923"/>
    </row>
    <row r="5924" spans="10:10" x14ac:dyDescent="0.3">
      <c r="J5924"/>
    </row>
    <row r="5925" spans="10:10" x14ac:dyDescent="0.3">
      <c r="J5925"/>
    </row>
    <row r="5926" spans="10:10" x14ac:dyDescent="0.3">
      <c r="J5926"/>
    </row>
    <row r="5927" spans="10:10" x14ac:dyDescent="0.3">
      <c r="J5927"/>
    </row>
    <row r="5928" spans="10:10" x14ac:dyDescent="0.3">
      <c r="J5928"/>
    </row>
    <row r="5929" spans="10:10" x14ac:dyDescent="0.3">
      <c r="J5929"/>
    </row>
    <row r="5930" spans="10:10" x14ac:dyDescent="0.3">
      <c r="J5930"/>
    </row>
    <row r="5931" spans="10:10" x14ac:dyDescent="0.3">
      <c r="J5931"/>
    </row>
    <row r="5932" spans="10:10" x14ac:dyDescent="0.3">
      <c r="J5932"/>
    </row>
    <row r="5933" spans="10:10" x14ac:dyDescent="0.3">
      <c r="J5933"/>
    </row>
    <row r="5934" spans="10:10" x14ac:dyDescent="0.3">
      <c r="J5934"/>
    </row>
    <row r="5935" spans="10:10" x14ac:dyDescent="0.3">
      <c r="J5935"/>
    </row>
    <row r="5936" spans="10:10" x14ac:dyDescent="0.3">
      <c r="J5936"/>
    </row>
    <row r="5937" spans="10:10" x14ac:dyDescent="0.3">
      <c r="J5937"/>
    </row>
    <row r="5938" spans="10:10" x14ac:dyDescent="0.3">
      <c r="J5938"/>
    </row>
    <row r="5939" spans="10:10" x14ac:dyDescent="0.3">
      <c r="J5939"/>
    </row>
    <row r="5940" spans="10:10" x14ac:dyDescent="0.3">
      <c r="J5940"/>
    </row>
    <row r="5941" spans="10:10" x14ac:dyDescent="0.3">
      <c r="J5941"/>
    </row>
    <row r="5942" spans="10:10" x14ac:dyDescent="0.3">
      <c r="J5942"/>
    </row>
    <row r="5943" spans="10:10" x14ac:dyDescent="0.3">
      <c r="J5943"/>
    </row>
    <row r="5944" spans="10:10" x14ac:dyDescent="0.3">
      <c r="J5944"/>
    </row>
    <row r="5945" spans="10:10" x14ac:dyDescent="0.3">
      <c r="J5945"/>
    </row>
    <row r="5946" spans="10:10" x14ac:dyDescent="0.3">
      <c r="J5946"/>
    </row>
    <row r="5947" spans="10:10" x14ac:dyDescent="0.3">
      <c r="J5947"/>
    </row>
    <row r="5948" spans="10:10" x14ac:dyDescent="0.3">
      <c r="J5948"/>
    </row>
    <row r="5949" spans="10:10" x14ac:dyDescent="0.3">
      <c r="J5949"/>
    </row>
    <row r="5950" spans="10:10" x14ac:dyDescent="0.3">
      <c r="J5950"/>
    </row>
    <row r="5951" spans="10:10" x14ac:dyDescent="0.3">
      <c r="J5951"/>
    </row>
    <row r="5952" spans="10:10" x14ac:dyDescent="0.3">
      <c r="J5952"/>
    </row>
    <row r="5953" spans="10:10" x14ac:dyDescent="0.3">
      <c r="J5953"/>
    </row>
    <row r="5954" spans="10:10" x14ac:dyDescent="0.3">
      <c r="J5954"/>
    </row>
    <row r="5955" spans="10:10" x14ac:dyDescent="0.3">
      <c r="J5955"/>
    </row>
    <row r="5956" spans="10:10" x14ac:dyDescent="0.3">
      <c r="J5956"/>
    </row>
    <row r="5957" spans="10:10" x14ac:dyDescent="0.3">
      <c r="J5957"/>
    </row>
    <row r="5958" spans="10:10" x14ac:dyDescent="0.3">
      <c r="J5958"/>
    </row>
    <row r="5959" spans="10:10" x14ac:dyDescent="0.3">
      <c r="J5959"/>
    </row>
    <row r="5960" spans="10:10" x14ac:dyDescent="0.3">
      <c r="J5960"/>
    </row>
    <row r="5961" spans="10:10" x14ac:dyDescent="0.3">
      <c r="J5961"/>
    </row>
    <row r="5962" spans="10:10" x14ac:dyDescent="0.3">
      <c r="J5962"/>
    </row>
    <row r="5963" spans="10:10" x14ac:dyDescent="0.3">
      <c r="J5963"/>
    </row>
    <row r="5964" spans="10:10" x14ac:dyDescent="0.3">
      <c r="J5964"/>
    </row>
    <row r="5965" spans="10:10" x14ac:dyDescent="0.3">
      <c r="J5965"/>
    </row>
    <row r="5966" spans="10:10" x14ac:dyDescent="0.3">
      <c r="J5966"/>
    </row>
    <row r="5967" spans="10:10" x14ac:dyDescent="0.3">
      <c r="J5967"/>
    </row>
    <row r="5968" spans="10:10" x14ac:dyDescent="0.3">
      <c r="J5968"/>
    </row>
    <row r="5969" spans="10:10" x14ac:dyDescent="0.3">
      <c r="J5969"/>
    </row>
    <row r="5970" spans="10:10" x14ac:dyDescent="0.3">
      <c r="J5970"/>
    </row>
    <row r="5971" spans="10:10" x14ac:dyDescent="0.3">
      <c r="J5971"/>
    </row>
    <row r="5972" spans="10:10" x14ac:dyDescent="0.3">
      <c r="J5972"/>
    </row>
    <row r="5973" spans="10:10" x14ac:dyDescent="0.3">
      <c r="J5973"/>
    </row>
    <row r="5974" spans="10:10" x14ac:dyDescent="0.3">
      <c r="J5974"/>
    </row>
    <row r="5975" spans="10:10" x14ac:dyDescent="0.3">
      <c r="J5975"/>
    </row>
    <row r="5976" spans="10:10" x14ac:dyDescent="0.3">
      <c r="J5976"/>
    </row>
    <row r="5977" spans="10:10" x14ac:dyDescent="0.3">
      <c r="J5977"/>
    </row>
    <row r="5978" spans="10:10" x14ac:dyDescent="0.3">
      <c r="J5978"/>
    </row>
    <row r="5979" spans="10:10" x14ac:dyDescent="0.3">
      <c r="J5979"/>
    </row>
    <row r="5980" spans="10:10" x14ac:dyDescent="0.3">
      <c r="J5980"/>
    </row>
    <row r="5981" spans="10:10" x14ac:dyDescent="0.3">
      <c r="J5981"/>
    </row>
    <row r="5982" spans="10:10" x14ac:dyDescent="0.3">
      <c r="J5982"/>
    </row>
    <row r="5983" spans="10:10" x14ac:dyDescent="0.3">
      <c r="J5983"/>
    </row>
    <row r="5984" spans="10:10" x14ac:dyDescent="0.3">
      <c r="J5984"/>
    </row>
    <row r="5985" spans="10:10" x14ac:dyDescent="0.3">
      <c r="J5985"/>
    </row>
    <row r="5986" spans="10:10" x14ac:dyDescent="0.3">
      <c r="J5986"/>
    </row>
    <row r="5987" spans="10:10" x14ac:dyDescent="0.3">
      <c r="J5987"/>
    </row>
    <row r="5988" spans="10:10" x14ac:dyDescent="0.3">
      <c r="J5988"/>
    </row>
    <row r="5989" spans="10:10" x14ac:dyDescent="0.3">
      <c r="J5989"/>
    </row>
    <row r="5990" spans="10:10" x14ac:dyDescent="0.3">
      <c r="J5990"/>
    </row>
    <row r="5991" spans="10:10" x14ac:dyDescent="0.3">
      <c r="J5991"/>
    </row>
    <row r="5992" spans="10:10" x14ac:dyDescent="0.3">
      <c r="J5992"/>
    </row>
    <row r="5993" spans="10:10" x14ac:dyDescent="0.3">
      <c r="J5993"/>
    </row>
    <row r="5994" spans="10:10" x14ac:dyDescent="0.3">
      <c r="J5994"/>
    </row>
    <row r="5995" spans="10:10" x14ac:dyDescent="0.3">
      <c r="J5995"/>
    </row>
    <row r="5996" spans="10:10" x14ac:dyDescent="0.3">
      <c r="J5996"/>
    </row>
    <row r="5997" spans="10:10" x14ac:dyDescent="0.3">
      <c r="J5997"/>
    </row>
    <row r="5998" spans="10:10" x14ac:dyDescent="0.3">
      <c r="J5998"/>
    </row>
    <row r="5999" spans="10:10" x14ac:dyDescent="0.3">
      <c r="J5999"/>
    </row>
    <row r="6000" spans="10:10" x14ac:dyDescent="0.3">
      <c r="J6000"/>
    </row>
    <row r="6001" spans="10:10" x14ac:dyDescent="0.3">
      <c r="J6001"/>
    </row>
    <row r="6002" spans="10:10" x14ac:dyDescent="0.3">
      <c r="J6002"/>
    </row>
    <row r="6003" spans="10:10" x14ac:dyDescent="0.3">
      <c r="J6003"/>
    </row>
    <row r="6004" spans="10:10" x14ac:dyDescent="0.3">
      <c r="J6004"/>
    </row>
    <row r="6005" spans="10:10" x14ac:dyDescent="0.3">
      <c r="J6005"/>
    </row>
    <row r="6006" spans="10:10" x14ac:dyDescent="0.3">
      <c r="J6006"/>
    </row>
    <row r="6007" spans="10:10" x14ac:dyDescent="0.3">
      <c r="J6007"/>
    </row>
    <row r="6008" spans="10:10" x14ac:dyDescent="0.3">
      <c r="J6008"/>
    </row>
    <row r="6009" spans="10:10" x14ac:dyDescent="0.3">
      <c r="J6009"/>
    </row>
    <row r="6010" spans="10:10" x14ac:dyDescent="0.3">
      <c r="J6010"/>
    </row>
    <row r="6011" spans="10:10" x14ac:dyDescent="0.3">
      <c r="J6011"/>
    </row>
    <row r="6012" spans="10:10" x14ac:dyDescent="0.3">
      <c r="J6012"/>
    </row>
    <row r="6013" spans="10:10" x14ac:dyDescent="0.3">
      <c r="J6013"/>
    </row>
    <row r="6014" spans="10:10" x14ac:dyDescent="0.3">
      <c r="J6014"/>
    </row>
    <row r="6015" spans="10:10" x14ac:dyDescent="0.3">
      <c r="J6015"/>
    </row>
    <row r="6016" spans="10:10" x14ac:dyDescent="0.3">
      <c r="J6016"/>
    </row>
    <row r="6017" spans="10:10" x14ac:dyDescent="0.3">
      <c r="J6017"/>
    </row>
    <row r="6018" spans="10:10" x14ac:dyDescent="0.3">
      <c r="J6018"/>
    </row>
    <row r="6019" spans="10:10" x14ac:dyDescent="0.3">
      <c r="J6019"/>
    </row>
    <row r="6020" spans="10:10" x14ac:dyDescent="0.3">
      <c r="J6020"/>
    </row>
    <row r="6021" spans="10:10" x14ac:dyDescent="0.3">
      <c r="J6021"/>
    </row>
    <row r="6022" spans="10:10" x14ac:dyDescent="0.3">
      <c r="J6022"/>
    </row>
    <row r="6023" spans="10:10" x14ac:dyDescent="0.3">
      <c r="J6023"/>
    </row>
    <row r="6024" spans="10:10" x14ac:dyDescent="0.3">
      <c r="J6024"/>
    </row>
    <row r="6025" spans="10:10" x14ac:dyDescent="0.3">
      <c r="J6025"/>
    </row>
    <row r="6026" spans="10:10" x14ac:dyDescent="0.3">
      <c r="J6026"/>
    </row>
    <row r="6027" spans="10:10" x14ac:dyDescent="0.3">
      <c r="J6027"/>
    </row>
    <row r="6028" spans="10:10" x14ac:dyDescent="0.3">
      <c r="J6028"/>
    </row>
    <row r="6029" spans="10:10" x14ac:dyDescent="0.3">
      <c r="J6029"/>
    </row>
    <row r="6030" spans="10:10" x14ac:dyDescent="0.3">
      <c r="J6030"/>
    </row>
    <row r="6031" spans="10:10" x14ac:dyDescent="0.3">
      <c r="J6031"/>
    </row>
    <row r="6032" spans="10:10" x14ac:dyDescent="0.3">
      <c r="J6032"/>
    </row>
    <row r="6033" spans="10:10" x14ac:dyDescent="0.3">
      <c r="J6033"/>
    </row>
    <row r="6034" spans="10:10" x14ac:dyDescent="0.3">
      <c r="J6034"/>
    </row>
    <row r="6035" spans="10:10" x14ac:dyDescent="0.3">
      <c r="J6035"/>
    </row>
    <row r="6036" spans="10:10" x14ac:dyDescent="0.3">
      <c r="J6036"/>
    </row>
    <row r="6037" spans="10:10" x14ac:dyDescent="0.3">
      <c r="J6037"/>
    </row>
    <row r="6038" spans="10:10" x14ac:dyDescent="0.3">
      <c r="J6038"/>
    </row>
    <row r="6039" spans="10:10" x14ac:dyDescent="0.3">
      <c r="J6039"/>
    </row>
    <row r="6040" spans="10:10" x14ac:dyDescent="0.3">
      <c r="J6040"/>
    </row>
    <row r="6041" spans="10:10" x14ac:dyDescent="0.3">
      <c r="J6041"/>
    </row>
    <row r="6042" spans="10:10" x14ac:dyDescent="0.3">
      <c r="J6042"/>
    </row>
    <row r="6043" spans="10:10" x14ac:dyDescent="0.3">
      <c r="J6043"/>
    </row>
    <row r="6044" spans="10:10" x14ac:dyDescent="0.3">
      <c r="J6044"/>
    </row>
    <row r="6045" spans="10:10" x14ac:dyDescent="0.3">
      <c r="J6045"/>
    </row>
    <row r="6046" spans="10:10" x14ac:dyDescent="0.3">
      <c r="J6046"/>
    </row>
    <row r="6047" spans="10:10" x14ac:dyDescent="0.3">
      <c r="J6047"/>
    </row>
    <row r="6048" spans="10:10" x14ac:dyDescent="0.3">
      <c r="J6048"/>
    </row>
    <row r="6049" spans="10:10" x14ac:dyDescent="0.3">
      <c r="J6049"/>
    </row>
    <row r="6050" spans="10:10" x14ac:dyDescent="0.3">
      <c r="J6050"/>
    </row>
    <row r="6051" spans="10:10" x14ac:dyDescent="0.3">
      <c r="J6051"/>
    </row>
    <row r="6052" spans="10:10" x14ac:dyDescent="0.3">
      <c r="J6052"/>
    </row>
    <row r="6053" spans="10:10" x14ac:dyDescent="0.3">
      <c r="J6053"/>
    </row>
    <row r="6054" spans="10:10" x14ac:dyDescent="0.3">
      <c r="J6054"/>
    </row>
    <row r="6055" spans="10:10" x14ac:dyDescent="0.3">
      <c r="J6055"/>
    </row>
    <row r="6056" spans="10:10" x14ac:dyDescent="0.3">
      <c r="J6056"/>
    </row>
    <row r="6057" spans="10:10" x14ac:dyDescent="0.3">
      <c r="J6057"/>
    </row>
    <row r="6058" spans="10:10" x14ac:dyDescent="0.3">
      <c r="J6058"/>
    </row>
    <row r="6059" spans="10:10" x14ac:dyDescent="0.3">
      <c r="J6059"/>
    </row>
    <row r="6060" spans="10:10" x14ac:dyDescent="0.3">
      <c r="J6060"/>
    </row>
    <row r="6061" spans="10:10" x14ac:dyDescent="0.3">
      <c r="J6061"/>
    </row>
    <row r="6062" spans="10:10" x14ac:dyDescent="0.3">
      <c r="J6062"/>
    </row>
    <row r="6063" spans="10:10" x14ac:dyDescent="0.3">
      <c r="J6063"/>
    </row>
    <row r="6064" spans="10:10" x14ac:dyDescent="0.3">
      <c r="J6064"/>
    </row>
    <row r="6065" spans="10:10" x14ac:dyDescent="0.3">
      <c r="J6065"/>
    </row>
    <row r="6066" spans="10:10" x14ac:dyDescent="0.3">
      <c r="J6066"/>
    </row>
    <row r="6067" spans="10:10" x14ac:dyDescent="0.3">
      <c r="J6067"/>
    </row>
    <row r="6068" spans="10:10" x14ac:dyDescent="0.3">
      <c r="J6068"/>
    </row>
    <row r="6069" spans="10:10" x14ac:dyDescent="0.3">
      <c r="J6069"/>
    </row>
    <row r="6070" spans="10:10" x14ac:dyDescent="0.3">
      <c r="J6070"/>
    </row>
    <row r="6071" spans="10:10" x14ac:dyDescent="0.3">
      <c r="J6071"/>
    </row>
    <row r="6072" spans="10:10" x14ac:dyDescent="0.3">
      <c r="J6072"/>
    </row>
    <row r="6073" spans="10:10" x14ac:dyDescent="0.3">
      <c r="J6073"/>
    </row>
    <row r="6074" spans="10:10" x14ac:dyDescent="0.3">
      <c r="J6074"/>
    </row>
    <row r="6075" spans="10:10" x14ac:dyDescent="0.3">
      <c r="J6075"/>
    </row>
    <row r="6076" spans="10:10" x14ac:dyDescent="0.3">
      <c r="J6076"/>
    </row>
    <row r="6077" spans="10:10" x14ac:dyDescent="0.3">
      <c r="J6077"/>
    </row>
    <row r="6078" spans="10:10" x14ac:dyDescent="0.3">
      <c r="J6078"/>
    </row>
    <row r="6079" spans="10:10" x14ac:dyDescent="0.3">
      <c r="J6079"/>
    </row>
    <row r="6080" spans="10:10" x14ac:dyDescent="0.3">
      <c r="J6080"/>
    </row>
    <row r="6081" spans="10:10" x14ac:dyDescent="0.3">
      <c r="J6081"/>
    </row>
    <row r="6082" spans="10:10" x14ac:dyDescent="0.3">
      <c r="J6082"/>
    </row>
    <row r="6083" spans="10:10" x14ac:dyDescent="0.3">
      <c r="J6083"/>
    </row>
    <row r="6084" spans="10:10" x14ac:dyDescent="0.3">
      <c r="J6084"/>
    </row>
    <row r="6085" spans="10:10" x14ac:dyDescent="0.3">
      <c r="J6085"/>
    </row>
    <row r="6086" spans="10:10" x14ac:dyDescent="0.3">
      <c r="J6086"/>
    </row>
    <row r="6087" spans="10:10" x14ac:dyDescent="0.3">
      <c r="J6087"/>
    </row>
    <row r="6088" spans="10:10" x14ac:dyDescent="0.3">
      <c r="J6088"/>
    </row>
    <row r="6089" spans="10:10" x14ac:dyDescent="0.3">
      <c r="J6089"/>
    </row>
    <row r="6090" spans="10:10" x14ac:dyDescent="0.3">
      <c r="J6090"/>
    </row>
    <row r="6091" spans="10:10" x14ac:dyDescent="0.3">
      <c r="J6091"/>
    </row>
    <row r="6092" spans="10:10" x14ac:dyDescent="0.3">
      <c r="J6092"/>
    </row>
    <row r="6093" spans="10:10" x14ac:dyDescent="0.3">
      <c r="J6093"/>
    </row>
    <row r="6094" spans="10:10" x14ac:dyDescent="0.3">
      <c r="J6094"/>
    </row>
    <row r="6095" spans="10:10" x14ac:dyDescent="0.3">
      <c r="J6095"/>
    </row>
    <row r="6096" spans="10:10" x14ac:dyDescent="0.3">
      <c r="J6096"/>
    </row>
    <row r="6097" spans="10:10" x14ac:dyDescent="0.3">
      <c r="J6097"/>
    </row>
    <row r="6098" spans="10:10" x14ac:dyDescent="0.3">
      <c r="J6098"/>
    </row>
    <row r="6099" spans="10:10" x14ac:dyDescent="0.3">
      <c r="J6099"/>
    </row>
    <row r="6100" spans="10:10" x14ac:dyDescent="0.3">
      <c r="J6100"/>
    </row>
    <row r="6101" spans="10:10" x14ac:dyDescent="0.3">
      <c r="J6101"/>
    </row>
    <row r="6102" spans="10:10" x14ac:dyDescent="0.3">
      <c r="J6102"/>
    </row>
    <row r="6103" spans="10:10" x14ac:dyDescent="0.3">
      <c r="J6103"/>
    </row>
    <row r="6104" spans="10:10" x14ac:dyDescent="0.3">
      <c r="J6104"/>
    </row>
    <row r="6105" spans="10:10" x14ac:dyDescent="0.3">
      <c r="J6105"/>
    </row>
    <row r="6106" spans="10:10" x14ac:dyDescent="0.3">
      <c r="J6106"/>
    </row>
    <row r="6107" spans="10:10" x14ac:dyDescent="0.3">
      <c r="J6107"/>
    </row>
    <row r="6108" spans="10:10" x14ac:dyDescent="0.3">
      <c r="J6108"/>
    </row>
    <row r="6109" spans="10:10" x14ac:dyDescent="0.3">
      <c r="J6109"/>
    </row>
    <row r="6110" spans="10:10" x14ac:dyDescent="0.3">
      <c r="J6110"/>
    </row>
    <row r="6111" spans="10:10" x14ac:dyDescent="0.3">
      <c r="J6111"/>
    </row>
    <row r="6112" spans="10:10" x14ac:dyDescent="0.3">
      <c r="J6112"/>
    </row>
    <row r="6113" spans="10:10" x14ac:dyDescent="0.3">
      <c r="J6113"/>
    </row>
    <row r="6114" spans="10:10" x14ac:dyDescent="0.3">
      <c r="J6114"/>
    </row>
    <row r="6115" spans="10:10" x14ac:dyDescent="0.3">
      <c r="J6115"/>
    </row>
    <row r="6116" spans="10:10" x14ac:dyDescent="0.3">
      <c r="J6116"/>
    </row>
    <row r="6117" spans="10:10" x14ac:dyDescent="0.3">
      <c r="J6117"/>
    </row>
    <row r="6118" spans="10:10" x14ac:dyDescent="0.3">
      <c r="J6118"/>
    </row>
    <row r="6119" spans="10:10" x14ac:dyDescent="0.3">
      <c r="J6119"/>
    </row>
    <row r="6120" spans="10:10" x14ac:dyDescent="0.3">
      <c r="J6120"/>
    </row>
    <row r="6121" spans="10:10" x14ac:dyDescent="0.3">
      <c r="J6121"/>
    </row>
    <row r="6122" spans="10:10" x14ac:dyDescent="0.3">
      <c r="J6122"/>
    </row>
    <row r="6123" spans="10:10" x14ac:dyDescent="0.3">
      <c r="J6123"/>
    </row>
    <row r="6124" spans="10:10" x14ac:dyDescent="0.3">
      <c r="J6124"/>
    </row>
    <row r="6125" spans="10:10" x14ac:dyDescent="0.3">
      <c r="J6125"/>
    </row>
    <row r="6126" spans="10:10" x14ac:dyDescent="0.3">
      <c r="J6126"/>
    </row>
    <row r="6127" spans="10:10" x14ac:dyDescent="0.3">
      <c r="J6127"/>
    </row>
    <row r="6128" spans="10:10" x14ac:dyDescent="0.3">
      <c r="J6128"/>
    </row>
    <row r="6129" spans="10:10" x14ac:dyDescent="0.3">
      <c r="J6129"/>
    </row>
    <row r="6130" spans="10:10" x14ac:dyDescent="0.3">
      <c r="J6130"/>
    </row>
    <row r="6131" spans="10:10" x14ac:dyDescent="0.3">
      <c r="J6131"/>
    </row>
    <row r="6132" spans="10:10" x14ac:dyDescent="0.3">
      <c r="J6132"/>
    </row>
    <row r="6133" spans="10:10" x14ac:dyDescent="0.3">
      <c r="J6133"/>
    </row>
    <row r="6134" spans="10:10" x14ac:dyDescent="0.3">
      <c r="J6134"/>
    </row>
    <row r="6135" spans="10:10" x14ac:dyDescent="0.3">
      <c r="J6135"/>
    </row>
    <row r="6136" spans="10:10" x14ac:dyDescent="0.3">
      <c r="J6136"/>
    </row>
    <row r="6137" spans="10:10" x14ac:dyDescent="0.3">
      <c r="J6137"/>
    </row>
    <row r="6138" spans="10:10" x14ac:dyDescent="0.3">
      <c r="J6138"/>
    </row>
    <row r="6139" spans="10:10" x14ac:dyDescent="0.3">
      <c r="J6139"/>
    </row>
    <row r="6140" spans="10:10" x14ac:dyDescent="0.3">
      <c r="J6140"/>
    </row>
    <row r="6141" spans="10:10" x14ac:dyDescent="0.3">
      <c r="J6141"/>
    </row>
    <row r="6142" spans="10:10" x14ac:dyDescent="0.3">
      <c r="J6142"/>
    </row>
    <row r="6143" spans="10:10" x14ac:dyDescent="0.3">
      <c r="J6143"/>
    </row>
    <row r="6144" spans="10:10" x14ac:dyDescent="0.3">
      <c r="J6144"/>
    </row>
    <row r="6145" spans="10:10" x14ac:dyDescent="0.3">
      <c r="J6145"/>
    </row>
    <row r="6146" spans="10:10" x14ac:dyDescent="0.3">
      <c r="J6146"/>
    </row>
    <row r="6147" spans="10:10" x14ac:dyDescent="0.3">
      <c r="J6147"/>
    </row>
    <row r="6148" spans="10:10" x14ac:dyDescent="0.3">
      <c r="J6148"/>
    </row>
    <row r="6149" spans="10:10" x14ac:dyDescent="0.3">
      <c r="J6149"/>
    </row>
    <row r="6150" spans="10:10" x14ac:dyDescent="0.3">
      <c r="J6150"/>
    </row>
    <row r="6151" spans="10:10" x14ac:dyDescent="0.3">
      <c r="J6151"/>
    </row>
    <row r="6152" spans="10:10" x14ac:dyDescent="0.3">
      <c r="J6152"/>
    </row>
    <row r="6153" spans="10:10" x14ac:dyDescent="0.3">
      <c r="J6153"/>
    </row>
    <row r="6154" spans="10:10" x14ac:dyDescent="0.3">
      <c r="J6154"/>
    </row>
    <row r="6155" spans="10:10" x14ac:dyDescent="0.3">
      <c r="J6155"/>
    </row>
    <row r="6156" spans="10:10" x14ac:dyDescent="0.3">
      <c r="J6156"/>
    </row>
    <row r="6157" spans="10:10" x14ac:dyDescent="0.3">
      <c r="J6157"/>
    </row>
    <row r="6158" spans="10:10" x14ac:dyDescent="0.3">
      <c r="J6158"/>
    </row>
    <row r="6159" spans="10:10" x14ac:dyDescent="0.3">
      <c r="J6159"/>
    </row>
    <row r="6160" spans="10:10" x14ac:dyDescent="0.3">
      <c r="J6160"/>
    </row>
    <row r="6161" spans="10:10" x14ac:dyDescent="0.3">
      <c r="J6161"/>
    </row>
    <row r="6162" spans="10:10" x14ac:dyDescent="0.3">
      <c r="J6162"/>
    </row>
    <row r="6163" spans="10:10" x14ac:dyDescent="0.3">
      <c r="J6163"/>
    </row>
    <row r="6164" spans="10:10" x14ac:dyDescent="0.3">
      <c r="J6164"/>
    </row>
    <row r="6165" spans="10:10" x14ac:dyDescent="0.3">
      <c r="J6165"/>
    </row>
    <row r="6166" spans="10:10" x14ac:dyDescent="0.3">
      <c r="J6166"/>
    </row>
    <row r="6167" spans="10:10" x14ac:dyDescent="0.3">
      <c r="J6167"/>
    </row>
    <row r="6168" spans="10:10" x14ac:dyDescent="0.3">
      <c r="J6168"/>
    </row>
    <row r="6169" spans="10:10" x14ac:dyDescent="0.3">
      <c r="J6169"/>
    </row>
    <row r="6170" spans="10:10" x14ac:dyDescent="0.3">
      <c r="J6170"/>
    </row>
    <row r="6171" spans="10:10" x14ac:dyDescent="0.3">
      <c r="J6171"/>
    </row>
    <row r="6172" spans="10:10" x14ac:dyDescent="0.3">
      <c r="J6172"/>
    </row>
    <row r="6173" spans="10:10" x14ac:dyDescent="0.3">
      <c r="J6173"/>
    </row>
    <row r="6174" spans="10:10" x14ac:dyDescent="0.3">
      <c r="J6174"/>
    </row>
    <row r="6175" spans="10:10" x14ac:dyDescent="0.3">
      <c r="J6175"/>
    </row>
    <row r="6176" spans="10:10" x14ac:dyDescent="0.3">
      <c r="J6176"/>
    </row>
    <row r="6177" spans="10:10" x14ac:dyDescent="0.3">
      <c r="J6177"/>
    </row>
    <row r="6178" spans="10:10" x14ac:dyDescent="0.3">
      <c r="J6178"/>
    </row>
    <row r="6179" spans="10:10" x14ac:dyDescent="0.3">
      <c r="J6179"/>
    </row>
    <row r="6180" spans="10:10" x14ac:dyDescent="0.3">
      <c r="J6180"/>
    </row>
    <row r="6181" spans="10:10" x14ac:dyDescent="0.3">
      <c r="J6181"/>
    </row>
    <row r="6182" spans="10:10" x14ac:dyDescent="0.3">
      <c r="J6182"/>
    </row>
    <row r="6183" spans="10:10" x14ac:dyDescent="0.3">
      <c r="J6183"/>
    </row>
    <row r="6184" spans="10:10" x14ac:dyDescent="0.3">
      <c r="J6184"/>
    </row>
    <row r="6185" spans="10:10" x14ac:dyDescent="0.3">
      <c r="J6185"/>
    </row>
    <row r="6186" spans="10:10" x14ac:dyDescent="0.3">
      <c r="J6186"/>
    </row>
    <row r="6187" spans="10:10" x14ac:dyDescent="0.3">
      <c r="J6187"/>
    </row>
    <row r="6188" spans="10:10" x14ac:dyDescent="0.3">
      <c r="J6188"/>
    </row>
    <row r="6189" spans="10:10" x14ac:dyDescent="0.3">
      <c r="J6189"/>
    </row>
    <row r="6190" spans="10:10" x14ac:dyDescent="0.3">
      <c r="J6190"/>
    </row>
    <row r="6191" spans="10:10" x14ac:dyDescent="0.3">
      <c r="J6191"/>
    </row>
    <row r="6192" spans="10:10" x14ac:dyDescent="0.3">
      <c r="J6192"/>
    </row>
    <row r="6193" spans="10:10" x14ac:dyDescent="0.3">
      <c r="J6193"/>
    </row>
    <row r="6194" spans="10:10" x14ac:dyDescent="0.3">
      <c r="J6194"/>
    </row>
    <row r="6195" spans="10:10" x14ac:dyDescent="0.3">
      <c r="J6195"/>
    </row>
    <row r="6196" spans="10:10" x14ac:dyDescent="0.3">
      <c r="J6196"/>
    </row>
    <row r="6197" spans="10:10" x14ac:dyDescent="0.3">
      <c r="J6197"/>
    </row>
    <row r="6198" spans="10:10" x14ac:dyDescent="0.3">
      <c r="J6198"/>
    </row>
    <row r="6199" spans="10:10" x14ac:dyDescent="0.3">
      <c r="J6199"/>
    </row>
    <row r="6200" spans="10:10" x14ac:dyDescent="0.3">
      <c r="J6200"/>
    </row>
    <row r="6201" spans="10:10" x14ac:dyDescent="0.3">
      <c r="J6201"/>
    </row>
    <row r="6202" spans="10:10" x14ac:dyDescent="0.3">
      <c r="J6202"/>
    </row>
    <row r="6203" spans="10:10" x14ac:dyDescent="0.3">
      <c r="J6203"/>
    </row>
    <row r="6204" spans="10:10" x14ac:dyDescent="0.3">
      <c r="J6204"/>
    </row>
    <row r="6205" spans="10:10" x14ac:dyDescent="0.3">
      <c r="J6205"/>
    </row>
    <row r="6206" spans="10:10" x14ac:dyDescent="0.3">
      <c r="J6206"/>
    </row>
    <row r="6207" spans="10:10" x14ac:dyDescent="0.3">
      <c r="J6207"/>
    </row>
    <row r="6208" spans="10:10" x14ac:dyDescent="0.3">
      <c r="J6208"/>
    </row>
    <row r="6209" spans="10:10" x14ac:dyDescent="0.3">
      <c r="J6209"/>
    </row>
    <row r="6210" spans="10:10" x14ac:dyDescent="0.3">
      <c r="J6210"/>
    </row>
    <row r="6211" spans="10:10" x14ac:dyDescent="0.3">
      <c r="J6211"/>
    </row>
    <row r="6212" spans="10:10" x14ac:dyDescent="0.3">
      <c r="J6212"/>
    </row>
    <row r="6213" spans="10:10" x14ac:dyDescent="0.3">
      <c r="J6213"/>
    </row>
    <row r="6214" spans="10:10" x14ac:dyDescent="0.3">
      <c r="J6214"/>
    </row>
    <row r="6215" spans="10:10" x14ac:dyDescent="0.3">
      <c r="J6215"/>
    </row>
    <row r="6216" spans="10:10" x14ac:dyDescent="0.3">
      <c r="J6216"/>
    </row>
    <row r="6217" spans="10:10" x14ac:dyDescent="0.3">
      <c r="J6217"/>
    </row>
    <row r="6218" spans="10:10" x14ac:dyDescent="0.3">
      <c r="J6218"/>
    </row>
    <row r="6219" spans="10:10" x14ac:dyDescent="0.3">
      <c r="J6219"/>
    </row>
    <row r="6220" spans="10:10" x14ac:dyDescent="0.3">
      <c r="J6220"/>
    </row>
    <row r="6221" spans="10:10" x14ac:dyDescent="0.3">
      <c r="J6221"/>
    </row>
    <row r="6222" spans="10:10" x14ac:dyDescent="0.3">
      <c r="J6222"/>
    </row>
    <row r="6223" spans="10:10" x14ac:dyDescent="0.3">
      <c r="J6223"/>
    </row>
    <row r="6224" spans="10:10" x14ac:dyDescent="0.3">
      <c r="J6224"/>
    </row>
    <row r="6225" spans="10:10" x14ac:dyDescent="0.3">
      <c r="J6225"/>
    </row>
    <row r="6226" spans="10:10" x14ac:dyDescent="0.3">
      <c r="J6226"/>
    </row>
    <row r="6227" spans="10:10" x14ac:dyDescent="0.3">
      <c r="J6227"/>
    </row>
    <row r="6228" spans="10:10" x14ac:dyDescent="0.3">
      <c r="J6228"/>
    </row>
    <row r="6229" spans="10:10" x14ac:dyDescent="0.3">
      <c r="J6229"/>
    </row>
    <row r="6230" spans="10:10" x14ac:dyDescent="0.3">
      <c r="J6230"/>
    </row>
    <row r="6231" spans="10:10" x14ac:dyDescent="0.3">
      <c r="J6231"/>
    </row>
    <row r="6232" spans="10:10" x14ac:dyDescent="0.3">
      <c r="J6232"/>
    </row>
    <row r="6233" spans="10:10" x14ac:dyDescent="0.3">
      <c r="J6233"/>
    </row>
    <row r="6234" spans="10:10" x14ac:dyDescent="0.3">
      <c r="J6234"/>
    </row>
    <row r="6235" spans="10:10" x14ac:dyDescent="0.3">
      <c r="J6235"/>
    </row>
    <row r="6236" spans="10:10" x14ac:dyDescent="0.3">
      <c r="J6236"/>
    </row>
    <row r="6237" spans="10:10" x14ac:dyDescent="0.3">
      <c r="J6237"/>
    </row>
    <row r="6238" spans="10:10" x14ac:dyDescent="0.3">
      <c r="J6238"/>
    </row>
    <row r="6239" spans="10:10" x14ac:dyDescent="0.3">
      <c r="J6239"/>
    </row>
    <row r="6240" spans="10:10" x14ac:dyDescent="0.3">
      <c r="J6240"/>
    </row>
    <row r="6241" spans="10:10" x14ac:dyDescent="0.3">
      <c r="J6241"/>
    </row>
    <row r="6242" spans="10:10" x14ac:dyDescent="0.3">
      <c r="J6242"/>
    </row>
    <row r="6243" spans="10:10" x14ac:dyDescent="0.3">
      <c r="J6243"/>
    </row>
    <row r="6244" spans="10:10" x14ac:dyDescent="0.3">
      <c r="J6244"/>
    </row>
    <row r="6245" spans="10:10" x14ac:dyDescent="0.3">
      <c r="J6245"/>
    </row>
    <row r="6246" spans="10:10" x14ac:dyDescent="0.3">
      <c r="J6246"/>
    </row>
    <row r="6247" spans="10:10" x14ac:dyDescent="0.3">
      <c r="J6247"/>
    </row>
    <row r="6248" spans="10:10" x14ac:dyDescent="0.3">
      <c r="J6248"/>
    </row>
    <row r="6249" spans="10:10" x14ac:dyDescent="0.3">
      <c r="J6249"/>
    </row>
    <row r="6250" spans="10:10" x14ac:dyDescent="0.3">
      <c r="J6250"/>
    </row>
    <row r="6251" spans="10:10" x14ac:dyDescent="0.3">
      <c r="J6251"/>
    </row>
    <row r="6252" spans="10:10" x14ac:dyDescent="0.3">
      <c r="J6252"/>
    </row>
    <row r="6253" spans="10:10" x14ac:dyDescent="0.3">
      <c r="J6253"/>
    </row>
    <row r="6254" spans="10:10" x14ac:dyDescent="0.3">
      <c r="J6254"/>
    </row>
    <row r="6255" spans="10:10" x14ac:dyDescent="0.3">
      <c r="J6255"/>
    </row>
    <row r="6256" spans="10:10" x14ac:dyDescent="0.3">
      <c r="J6256"/>
    </row>
    <row r="6257" spans="10:10" x14ac:dyDescent="0.3">
      <c r="J6257"/>
    </row>
    <row r="6258" spans="10:10" x14ac:dyDescent="0.3">
      <c r="J6258"/>
    </row>
    <row r="6259" spans="10:10" x14ac:dyDescent="0.3">
      <c r="J6259"/>
    </row>
    <row r="6260" spans="10:10" x14ac:dyDescent="0.3">
      <c r="J6260"/>
    </row>
    <row r="6261" spans="10:10" x14ac:dyDescent="0.3">
      <c r="J6261"/>
    </row>
    <row r="6262" spans="10:10" x14ac:dyDescent="0.3">
      <c r="J6262"/>
    </row>
    <row r="6263" spans="10:10" x14ac:dyDescent="0.3">
      <c r="J6263"/>
    </row>
    <row r="6264" spans="10:10" x14ac:dyDescent="0.3">
      <c r="J6264"/>
    </row>
    <row r="6265" spans="10:10" x14ac:dyDescent="0.3">
      <c r="J6265"/>
    </row>
    <row r="6266" spans="10:10" x14ac:dyDescent="0.3">
      <c r="J6266"/>
    </row>
    <row r="6267" spans="10:10" x14ac:dyDescent="0.3">
      <c r="J6267"/>
    </row>
    <row r="6268" spans="10:10" x14ac:dyDescent="0.3">
      <c r="J6268"/>
    </row>
    <row r="6269" spans="10:10" x14ac:dyDescent="0.3">
      <c r="J6269"/>
    </row>
    <row r="6270" spans="10:10" x14ac:dyDescent="0.3">
      <c r="J6270"/>
    </row>
    <row r="6271" spans="10:10" x14ac:dyDescent="0.3">
      <c r="J6271"/>
    </row>
    <row r="6272" spans="10:10" x14ac:dyDescent="0.3">
      <c r="J6272"/>
    </row>
    <row r="6273" spans="10:10" x14ac:dyDescent="0.3">
      <c r="J6273"/>
    </row>
    <row r="6274" spans="10:10" x14ac:dyDescent="0.3">
      <c r="J6274"/>
    </row>
    <row r="6275" spans="10:10" x14ac:dyDescent="0.3">
      <c r="J6275"/>
    </row>
    <row r="6276" spans="10:10" x14ac:dyDescent="0.3">
      <c r="J6276"/>
    </row>
    <row r="6277" spans="10:10" x14ac:dyDescent="0.3">
      <c r="J6277"/>
    </row>
    <row r="6278" spans="10:10" x14ac:dyDescent="0.3">
      <c r="J6278"/>
    </row>
    <row r="6279" spans="10:10" x14ac:dyDescent="0.3">
      <c r="J6279"/>
    </row>
    <row r="6280" spans="10:10" x14ac:dyDescent="0.3">
      <c r="J6280"/>
    </row>
    <row r="6281" spans="10:10" x14ac:dyDescent="0.3">
      <c r="J6281"/>
    </row>
    <row r="6282" spans="10:10" x14ac:dyDescent="0.3">
      <c r="J6282"/>
    </row>
    <row r="6283" spans="10:10" x14ac:dyDescent="0.3">
      <c r="J6283"/>
    </row>
    <row r="6284" spans="10:10" x14ac:dyDescent="0.3">
      <c r="J6284"/>
    </row>
    <row r="6285" spans="10:10" x14ac:dyDescent="0.3">
      <c r="J6285"/>
    </row>
    <row r="6286" spans="10:10" x14ac:dyDescent="0.3">
      <c r="J6286"/>
    </row>
    <row r="6287" spans="10:10" x14ac:dyDescent="0.3">
      <c r="J6287"/>
    </row>
    <row r="6288" spans="10:10" x14ac:dyDescent="0.3">
      <c r="J6288"/>
    </row>
    <row r="6289" spans="10:10" x14ac:dyDescent="0.3">
      <c r="J6289"/>
    </row>
    <row r="6290" spans="10:10" x14ac:dyDescent="0.3">
      <c r="J6290"/>
    </row>
    <row r="6291" spans="10:10" x14ac:dyDescent="0.3">
      <c r="J6291"/>
    </row>
    <row r="6292" spans="10:10" x14ac:dyDescent="0.3">
      <c r="J6292"/>
    </row>
    <row r="6293" spans="10:10" x14ac:dyDescent="0.3">
      <c r="J6293"/>
    </row>
    <row r="6294" spans="10:10" x14ac:dyDescent="0.3">
      <c r="J6294"/>
    </row>
    <row r="6295" spans="10:10" x14ac:dyDescent="0.3">
      <c r="J6295"/>
    </row>
    <row r="6296" spans="10:10" x14ac:dyDescent="0.3">
      <c r="J6296"/>
    </row>
    <row r="6297" spans="10:10" x14ac:dyDescent="0.3">
      <c r="J6297"/>
    </row>
    <row r="6298" spans="10:10" x14ac:dyDescent="0.3">
      <c r="J6298"/>
    </row>
    <row r="6299" spans="10:10" x14ac:dyDescent="0.3">
      <c r="J6299"/>
    </row>
    <row r="6300" spans="10:10" x14ac:dyDescent="0.3">
      <c r="J6300"/>
    </row>
    <row r="6301" spans="10:10" x14ac:dyDescent="0.3">
      <c r="J6301"/>
    </row>
    <row r="6302" spans="10:10" x14ac:dyDescent="0.3">
      <c r="J6302"/>
    </row>
    <row r="6303" spans="10:10" x14ac:dyDescent="0.3">
      <c r="J6303"/>
    </row>
    <row r="6304" spans="10:10" x14ac:dyDescent="0.3">
      <c r="J6304"/>
    </row>
    <row r="6305" spans="10:10" x14ac:dyDescent="0.3">
      <c r="J6305"/>
    </row>
    <row r="6306" spans="10:10" x14ac:dyDescent="0.3">
      <c r="J6306"/>
    </row>
    <row r="6307" spans="10:10" x14ac:dyDescent="0.3">
      <c r="J6307"/>
    </row>
    <row r="6308" spans="10:10" x14ac:dyDescent="0.3">
      <c r="J6308"/>
    </row>
    <row r="6309" spans="10:10" x14ac:dyDescent="0.3">
      <c r="J6309"/>
    </row>
    <row r="6310" spans="10:10" x14ac:dyDescent="0.3">
      <c r="J6310"/>
    </row>
    <row r="6311" spans="10:10" x14ac:dyDescent="0.3">
      <c r="J6311"/>
    </row>
    <row r="6312" spans="10:10" x14ac:dyDescent="0.3">
      <c r="J6312"/>
    </row>
    <row r="6313" spans="10:10" x14ac:dyDescent="0.3">
      <c r="J6313"/>
    </row>
    <row r="6314" spans="10:10" x14ac:dyDescent="0.3">
      <c r="J6314"/>
    </row>
    <row r="6315" spans="10:10" x14ac:dyDescent="0.3">
      <c r="J6315"/>
    </row>
    <row r="6316" spans="10:10" x14ac:dyDescent="0.3">
      <c r="J6316"/>
    </row>
    <row r="6317" spans="10:10" x14ac:dyDescent="0.3">
      <c r="J6317"/>
    </row>
    <row r="6318" spans="10:10" x14ac:dyDescent="0.3">
      <c r="J6318"/>
    </row>
    <row r="6319" spans="10:10" x14ac:dyDescent="0.3">
      <c r="J6319"/>
    </row>
    <row r="6320" spans="10:10" x14ac:dyDescent="0.3">
      <c r="J6320"/>
    </row>
    <row r="6321" spans="10:10" x14ac:dyDescent="0.3">
      <c r="J6321"/>
    </row>
    <row r="6322" spans="10:10" x14ac:dyDescent="0.3">
      <c r="J6322"/>
    </row>
    <row r="6323" spans="10:10" x14ac:dyDescent="0.3">
      <c r="J6323"/>
    </row>
    <row r="6324" spans="10:10" x14ac:dyDescent="0.3">
      <c r="J6324"/>
    </row>
    <row r="6325" spans="10:10" x14ac:dyDescent="0.3">
      <c r="J6325"/>
    </row>
    <row r="6326" spans="10:10" x14ac:dyDescent="0.3">
      <c r="J6326"/>
    </row>
    <row r="6327" spans="10:10" x14ac:dyDescent="0.3">
      <c r="J6327"/>
    </row>
    <row r="6328" spans="10:10" x14ac:dyDescent="0.3">
      <c r="J6328"/>
    </row>
    <row r="6329" spans="10:10" x14ac:dyDescent="0.3">
      <c r="J6329"/>
    </row>
    <row r="6330" spans="10:10" x14ac:dyDescent="0.3">
      <c r="J6330"/>
    </row>
    <row r="6331" spans="10:10" x14ac:dyDescent="0.3">
      <c r="J6331"/>
    </row>
    <row r="6332" spans="10:10" x14ac:dyDescent="0.3">
      <c r="J6332"/>
    </row>
    <row r="6333" spans="10:10" x14ac:dyDescent="0.3">
      <c r="J6333"/>
    </row>
    <row r="6334" spans="10:10" x14ac:dyDescent="0.3">
      <c r="J6334"/>
    </row>
    <row r="6335" spans="10:10" x14ac:dyDescent="0.3">
      <c r="J6335"/>
    </row>
    <row r="6336" spans="10:10" x14ac:dyDescent="0.3">
      <c r="J6336"/>
    </row>
    <row r="6337" spans="10:10" x14ac:dyDescent="0.3">
      <c r="J6337"/>
    </row>
    <row r="6338" spans="10:10" x14ac:dyDescent="0.3">
      <c r="J6338"/>
    </row>
    <row r="6339" spans="10:10" x14ac:dyDescent="0.3">
      <c r="J6339"/>
    </row>
    <row r="6340" spans="10:10" x14ac:dyDescent="0.3">
      <c r="J6340"/>
    </row>
    <row r="6341" spans="10:10" x14ac:dyDescent="0.3">
      <c r="J6341"/>
    </row>
    <row r="6342" spans="10:10" x14ac:dyDescent="0.3">
      <c r="J6342"/>
    </row>
    <row r="6343" spans="10:10" x14ac:dyDescent="0.3">
      <c r="J6343"/>
    </row>
    <row r="6344" spans="10:10" x14ac:dyDescent="0.3">
      <c r="J6344"/>
    </row>
    <row r="6345" spans="10:10" x14ac:dyDescent="0.3">
      <c r="J6345"/>
    </row>
    <row r="6346" spans="10:10" x14ac:dyDescent="0.3">
      <c r="J6346"/>
    </row>
    <row r="6347" spans="10:10" x14ac:dyDescent="0.3">
      <c r="J6347"/>
    </row>
    <row r="6348" spans="10:10" x14ac:dyDescent="0.3">
      <c r="J6348"/>
    </row>
    <row r="6349" spans="10:10" x14ac:dyDescent="0.3">
      <c r="J6349"/>
    </row>
    <row r="6350" spans="10:10" x14ac:dyDescent="0.3">
      <c r="J6350"/>
    </row>
    <row r="6351" spans="10:10" x14ac:dyDescent="0.3">
      <c r="J6351"/>
    </row>
    <row r="6352" spans="10:10" x14ac:dyDescent="0.3">
      <c r="J6352"/>
    </row>
    <row r="6353" spans="10:10" x14ac:dyDescent="0.3">
      <c r="J6353"/>
    </row>
    <row r="6354" spans="10:10" x14ac:dyDescent="0.3">
      <c r="J6354"/>
    </row>
    <row r="6355" spans="10:10" x14ac:dyDescent="0.3">
      <c r="J6355"/>
    </row>
    <row r="6356" spans="10:10" x14ac:dyDescent="0.3">
      <c r="J6356"/>
    </row>
    <row r="6357" spans="10:10" x14ac:dyDescent="0.3">
      <c r="J6357"/>
    </row>
    <row r="6358" spans="10:10" x14ac:dyDescent="0.3">
      <c r="J6358"/>
    </row>
    <row r="6359" spans="10:10" x14ac:dyDescent="0.3">
      <c r="J6359"/>
    </row>
    <row r="6360" spans="10:10" x14ac:dyDescent="0.3">
      <c r="J6360"/>
    </row>
    <row r="6361" spans="10:10" x14ac:dyDescent="0.3">
      <c r="J6361"/>
    </row>
    <row r="6362" spans="10:10" x14ac:dyDescent="0.3">
      <c r="J6362"/>
    </row>
    <row r="6363" spans="10:10" x14ac:dyDescent="0.3">
      <c r="J6363"/>
    </row>
    <row r="6364" spans="10:10" x14ac:dyDescent="0.3">
      <c r="J6364"/>
    </row>
    <row r="6365" spans="10:10" x14ac:dyDescent="0.3">
      <c r="J6365"/>
    </row>
    <row r="6366" spans="10:10" x14ac:dyDescent="0.3">
      <c r="J6366"/>
    </row>
    <row r="6367" spans="10:10" x14ac:dyDescent="0.3">
      <c r="J6367"/>
    </row>
    <row r="6368" spans="10:10" x14ac:dyDescent="0.3">
      <c r="J6368"/>
    </row>
    <row r="6369" spans="10:10" x14ac:dyDescent="0.3">
      <c r="J6369"/>
    </row>
    <row r="6370" spans="10:10" x14ac:dyDescent="0.3">
      <c r="J6370"/>
    </row>
    <row r="6371" spans="10:10" x14ac:dyDescent="0.3">
      <c r="J6371"/>
    </row>
    <row r="6372" spans="10:10" x14ac:dyDescent="0.3">
      <c r="J6372"/>
    </row>
    <row r="6373" spans="10:10" x14ac:dyDescent="0.3">
      <c r="J6373"/>
    </row>
    <row r="6374" spans="10:10" x14ac:dyDescent="0.3">
      <c r="J6374"/>
    </row>
    <row r="6375" spans="10:10" x14ac:dyDescent="0.3">
      <c r="J6375"/>
    </row>
    <row r="6376" spans="10:10" x14ac:dyDescent="0.3">
      <c r="J6376"/>
    </row>
    <row r="6377" spans="10:10" x14ac:dyDescent="0.3">
      <c r="J6377"/>
    </row>
    <row r="6378" spans="10:10" x14ac:dyDescent="0.3">
      <c r="J6378"/>
    </row>
    <row r="6379" spans="10:10" x14ac:dyDescent="0.3">
      <c r="J6379"/>
    </row>
    <row r="6380" spans="10:10" x14ac:dyDescent="0.3">
      <c r="J6380"/>
    </row>
    <row r="6381" spans="10:10" x14ac:dyDescent="0.3">
      <c r="J6381"/>
    </row>
    <row r="6382" spans="10:10" x14ac:dyDescent="0.3">
      <c r="J6382"/>
    </row>
    <row r="6383" spans="10:10" x14ac:dyDescent="0.3">
      <c r="J6383"/>
    </row>
    <row r="6384" spans="10:10" x14ac:dyDescent="0.3">
      <c r="J6384"/>
    </row>
    <row r="6385" spans="10:10" x14ac:dyDescent="0.3">
      <c r="J6385"/>
    </row>
    <row r="6386" spans="10:10" x14ac:dyDescent="0.3">
      <c r="J6386"/>
    </row>
    <row r="6387" spans="10:10" x14ac:dyDescent="0.3">
      <c r="J6387"/>
    </row>
    <row r="6388" spans="10:10" x14ac:dyDescent="0.3">
      <c r="J6388"/>
    </row>
    <row r="6389" spans="10:10" x14ac:dyDescent="0.3">
      <c r="J6389"/>
    </row>
    <row r="6390" spans="10:10" x14ac:dyDescent="0.3">
      <c r="J6390"/>
    </row>
    <row r="6391" spans="10:10" x14ac:dyDescent="0.3">
      <c r="J6391"/>
    </row>
    <row r="6392" spans="10:10" x14ac:dyDescent="0.3">
      <c r="J6392"/>
    </row>
    <row r="6393" spans="10:10" x14ac:dyDescent="0.3">
      <c r="J6393"/>
    </row>
    <row r="6394" spans="10:10" x14ac:dyDescent="0.3">
      <c r="J6394"/>
    </row>
    <row r="6395" spans="10:10" x14ac:dyDescent="0.3">
      <c r="J6395"/>
    </row>
    <row r="6396" spans="10:10" x14ac:dyDescent="0.3">
      <c r="J6396"/>
    </row>
    <row r="6397" spans="10:10" x14ac:dyDescent="0.3">
      <c r="J6397"/>
    </row>
    <row r="6398" spans="10:10" x14ac:dyDescent="0.3">
      <c r="J6398"/>
    </row>
    <row r="6399" spans="10:10" x14ac:dyDescent="0.3">
      <c r="J6399"/>
    </row>
    <row r="6400" spans="10:10" x14ac:dyDescent="0.3">
      <c r="J6400"/>
    </row>
    <row r="6401" spans="10:10" x14ac:dyDescent="0.3">
      <c r="J6401"/>
    </row>
    <row r="6402" spans="10:10" x14ac:dyDescent="0.3">
      <c r="J6402"/>
    </row>
    <row r="6403" spans="10:10" x14ac:dyDescent="0.3">
      <c r="J6403"/>
    </row>
    <row r="6404" spans="10:10" x14ac:dyDescent="0.3">
      <c r="J6404"/>
    </row>
    <row r="6405" spans="10:10" x14ac:dyDescent="0.3">
      <c r="J6405"/>
    </row>
    <row r="6406" spans="10:10" x14ac:dyDescent="0.3">
      <c r="J6406"/>
    </row>
    <row r="6407" spans="10:10" x14ac:dyDescent="0.3">
      <c r="J6407"/>
    </row>
    <row r="6408" spans="10:10" x14ac:dyDescent="0.3">
      <c r="J6408"/>
    </row>
    <row r="6409" spans="10:10" x14ac:dyDescent="0.3">
      <c r="J6409"/>
    </row>
    <row r="6410" spans="10:10" x14ac:dyDescent="0.3">
      <c r="J6410"/>
    </row>
    <row r="6411" spans="10:10" x14ac:dyDescent="0.3">
      <c r="J6411"/>
    </row>
    <row r="6412" spans="10:10" x14ac:dyDescent="0.3">
      <c r="J6412"/>
    </row>
    <row r="6413" spans="10:10" x14ac:dyDescent="0.3">
      <c r="J6413"/>
    </row>
    <row r="6414" spans="10:10" x14ac:dyDescent="0.3">
      <c r="J6414"/>
    </row>
    <row r="6415" spans="10:10" x14ac:dyDescent="0.3">
      <c r="J6415"/>
    </row>
    <row r="6416" spans="10:10" x14ac:dyDescent="0.3">
      <c r="J6416"/>
    </row>
    <row r="6417" spans="10:10" x14ac:dyDescent="0.3">
      <c r="J6417"/>
    </row>
    <row r="6418" spans="10:10" x14ac:dyDescent="0.3">
      <c r="J6418"/>
    </row>
    <row r="6419" spans="10:10" x14ac:dyDescent="0.3">
      <c r="J6419"/>
    </row>
    <row r="6420" spans="10:10" x14ac:dyDescent="0.3">
      <c r="J6420"/>
    </row>
    <row r="6421" spans="10:10" x14ac:dyDescent="0.3">
      <c r="J6421"/>
    </row>
    <row r="6422" spans="10:10" x14ac:dyDescent="0.3">
      <c r="J6422"/>
    </row>
    <row r="6423" spans="10:10" x14ac:dyDescent="0.3">
      <c r="J6423"/>
    </row>
    <row r="6424" spans="10:10" x14ac:dyDescent="0.3">
      <c r="J6424"/>
    </row>
    <row r="6425" spans="10:10" x14ac:dyDescent="0.3">
      <c r="J6425"/>
    </row>
    <row r="6426" spans="10:10" x14ac:dyDescent="0.3">
      <c r="J6426"/>
    </row>
    <row r="6427" spans="10:10" x14ac:dyDescent="0.3">
      <c r="J6427"/>
    </row>
    <row r="6428" spans="10:10" x14ac:dyDescent="0.3">
      <c r="J6428"/>
    </row>
    <row r="6429" spans="10:10" x14ac:dyDescent="0.3">
      <c r="J6429"/>
    </row>
    <row r="6430" spans="10:10" x14ac:dyDescent="0.3">
      <c r="J6430"/>
    </row>
    <row r="6431" spans="10:10" x14ac:dyDescent="0.3">
      <c r="J6431"/>
    </row>
    <row r="6432" spans="10:10" x14ac:dyDescent="0.3">
      <c r="J6432"/>
    </row>
    <row r="6433" spans="10:10" x14ac:dyDescent="0.3">
      <c r="J6433"/>
    </row>
    <row r="6434" spans="10:10" x14ac:dyDescent="0.3">
      <c r="J6434"/>
    </row>
    <row r="6435" spans="10:10" x14ac:dyDescent="0.3">
      <c r="J6435"/>
    </row>
    <row r="6436" spans="10:10" x14ac:dyDescent="0.3">
      <c r="J6436"/>
    </row>
    <row r="6437" spans="10:10" x14ac:dyDescent="0.3">
      <c r="J6437"/>
    </row>
    <row r="6438" spans="10:10" x14ac:dyDescent="0.3">
      <c r="J6438"/>
    </row>
    <row r="6439" spans="10:10" x14ac:dyDescent="0.3">
      <c r="J6439"/>
    </row>
    <row r="6440" spans="10:10" x14ac:dyDescent="0.3">
      <c r="J6440"/>
    </row>
    <row r="6441" spans="10:10" x14ac:dyDescent="0.3">
      <c r="J6441"/>
    </row>
    <row r="6442" spans="10:10" x14ac:dyDescent="0.3">
      <c r="J6442"/>
    </row>
    <row r="6443" spans="10:10" x14ac:dyDescent="0.3">
      <c r="J6443"/>
    </row>
    <row r="6444" spans="10:10" x14ac:dyDescent="0.3">
      <c r="J6444"/>
    </row>
    <row r="6445" spans="10:10" x14ac:dyDescent="0.3">
      <c r="J6445"/>
    </row>
    <row r="6446" spans="10:10" x14ac:dyDescent="0.3">
      <c r="J6446"/>
    </row>
    <row r="6447" spans="10:10" x14ac:dyDescent="0.3">
      <c r="J6447"/>
    </row>
    <row r="6448" spans="10:10" x14ac:dyDescent="0.3">
      <c r="J6448"/>
    </row>
    <row r="6449" spans="10:10" x14ac:dyDescent="0.3">
      <c r="J6449"/>
    </row>
    <row r="6450" spans="10:10" x14ac:dyDescent="0.3">
      <c r="J6450"/>
    </row>
    <row r="6451" spans="10:10" x14ac:dyDescent="0.3">
      <c r="J6451"/>
    </row>
    <row r="6452" spans="10:10" x14ac:dyDescent="0.3">
      <c r="J6452"/>
    </row>
    <row r="6453" spans="10:10" x14ac:dyDescent="0.3">
      <c r="J6453"/>
    </row>
    <row r="6454" spans="10:10" x14ac:dyDescent="0.3">
      <c r="J6454"/>
    </row>
    <row r="6455" spans="10:10" x14ac:dyDescent="0.3">
      <c r="J6455"/>
    </row>
    <row r="6456" spans="10:10" x14ac:dyDescent="0.3">
      <c r="J6456"/>
    </row>
    <row r="6457" spans="10:10" x14ac:dyDescent="0.3">
      <c r="J6457"/>
    </row>
    <row r="6458" spans="10:10" x14ac:dyDescent="0.3">
      <c r="J6458"/>
    </row>
    <row r="6459" spans="10:10" x14ac:dyDescent="0.3">
      <c r="J6459"/>
    </row>
    <row r="6460" spans="10:10" x14ac:dyDescent="0.3">
      <c r="J6460"/>
    </row>
    <row r="6461" spans="10:10" x14ac:dyDescent="0.3">
      <c r="J6461"/>
    </row>
    <row r="6462" spans="10:10" x14ac:dyDescent="0.3">
      <c r="J6462"/>
    </row>
    <row r="6463" spans="10:10" x14ac:dyDescent="0.3">
      <c r="J6463"/>
    </row>
    <row r="6464" spans="10:10" x14ac:dyDescent="0.3">
      <c r="J6464"/>
    </row>
    <row r="6465" spans="10:10" x14ac:dyDescent="0.3">
      <c r="J6465"/>
    </row>
    <row r="6466" spans="10:10" x14ac:dyDescent="0.3">
      <c r="J6466"/>
    </row>
    <row r="6467" spans="10:10" x14ac:dyDescent="0.3">
      <c r="J6467"/>
    </row>
    <row r="6468" spans="10:10" x14ac:dyDescent="0.3">
      <c r="J6468"/>
    </row>
    <row r="6469" spans="10:10" x14ac:dyDescent="0.3">
      <c r="J6469"/>
    </row>
    <row r="6470" spans="10:10" x14ac:dyDescent="0.3">
      <c r="J6470"/>
    </row>
    <row r="6471" spans="10:10" x14ac:dyDescent="0.3">
      <c r="J6471"/>
    </row>
    <row r="6472" spans="10:10" x14ac:dyDescent="0.3">
      <c r="J6472"/>
    </row>
    <row r="6473" spans="10:10" x14ac:dyDescent="0.3">
      <c r="J6473"/>
    </row>
    <row r="6474" spans="10:10" x14ac:dyDescent="0.3">
      <c r="J6474"/>
    </row>
    <row r="6475" spans="10:10" x14ac:dyDescent="0.3">
      <c r="J6475"/>
    </row>
    <row r="6476" spans="10:10" x14ac:dyDescent="0.3">
      <c r="J6476"/>
    </row>
    <row r="6477" spans="10:10" x14ac:dyDescent="0.3">
      <c r="J6477"/>
    </row>
    <row r="6478" spans="10:10" x14ac:dyDescent="0.3">
      <c r="J6478"/>
    </row>
    <row r="6479" spans="10:10" x14ac:dyDescent="0.3">
      <c r="J6479"/>
    </row>
    <row r="6480" spans="10:10" x14ac:dyDescent="0.3">
      <c r="J6480"/>
    </row>
    <row r="6481" spans="10:10" x14ac:dyDescent="0.3">
      <c r="J6481"/>
    </row>
    <row r="6482" spans="10:10" x14ac:dyDescent="0.3">
      <c r="J6482"/>
    </row>
    <row r="6483" spans="10:10" x14ac:dyDescent="0.3">
      <c r="J6483"/>
    </row>
    <row r="6484" spans="10:10" x14ac:dyDescent="0.3">
      <c r="J6484"/>
    </row>
    <row r="6485" spans="10:10" x14ac:dyDescent="0.3">
      <c r="J6485"/>
    </row>
    <row r="6486" spans="10:10" x14ac:dyDescent="0.3">
      <c r="J6486"/>
    </row>
    <row r="6487" spans="10:10" x14ac:dyDescent="0.3">
      <c r="J6487"/>
    </row>
    <row r="6488" spans="10:10" x14ac:dyDescent="0.3">
      <c r="J6488"/>
    </row>
    <row r="6489" spans="10:10" x14ac:dyDescent="0.3">
      <c r="J6489"/>
    </row>
    <row r="6490" spans="10:10" x14ac:dyDescent="0.3">
      <c r="J6490"/>
    </row>
    <row r="6491" spans="10:10" x14ac:dyDescent="0.3">
      <c r="J6491"/>
    </row>
    <row r="6492" spans="10:10" x14ac:dyDescent="0.3">
      <c r="J6492"/>
    </row>
    <row r="6493" spans="10:10" x14ac:dyDescent="0.3">
      <c r="J6493"/>
    </row>
    <row r="6494" spans="10:10" x14ac:dyDescent="0.3">
      <c r="J6494"/>
    </row>
    <row r="6495" spans="10:10" x14ac:dyDescent="0.3">
      <c r="J6495"/>
    </row>
    <row r="6496" spans="10:10" x14ac:dyDescent="0.3">
      <c r="J6496"/>
    </row>
    <row r="6497" spans="10:10" x14ac:dyDescent="0.3">
      <c r="J6497"/>
    </row>
    <row r="6498" spans="10:10" x14ac:dyDescent="0.3">
      <c r="J6498"/>
    </row>
    <row r="6499" spans="10:10" x14ac:dyDescent="0.3">
      <c r="J6499"/>
    </row>
    <row r="6500" spans="10:10" x14ac:dyDescent="0.3">
      <c r="J6500"/>
    </row>
    <row r="6501" spans="10:10" x14ac:dyDescent="0.3">
      <c r="J6501"/>
    </row>
    <row r="6502" spans="10:10" x14ac:dyDescent="0.3">
      <c r="J6502"/>
    </row>
    <row r="6503" spans="10:10" x14ac:dyDescent="0.3">
      <c r="J6503"/>
    </row>
    <row r="6504" spans="10:10" x14ac:dyDescent="0.3">
      <c r="J6504"/>
    </row>
    <row r="6505" spans="10:10" x14ac:dyDescent="0.3">
      <c r="J6505"/>
    </row>
    <row r="6506" spans="10:10" x14ac:dyDescent="0.3">
      <c r="J6506"/>
    </row>
    <row r="6507" spans="10:10" x14ac:dyDescent="0.3">
      <c r="J6507"/>
    </row>
    <row r="6508" spans="10:10" x14ac:dyDescent="0.3">
      <c r="J6508"/>
    </row>
    <row r="6509" spans="10:10" x14ac:dyDescent="0.3">
      <c r="J6509"/>
    </row>
    <row r="6510" spans="10:10" x14ac:dyDescent="0.3">
      <c r="J6510"/>
    </row>
    <row r="6511" spans="10:10" x14ac:dyDescent="0.3">
      <c r="J6511"/>
    </row>
    <row r="6512" spans="10:10" x14ac:dyDescent="0.3">
      <c r="J6512"/>
    </row>
    <row r="6513" spans="10:10" x14ac:dyDescent="0.3">
      <c r="J6513"/>
    </row>
    <row r="6514" spans="10:10" x14ac:dyDescent="0.3">
      <c r="J6514"/>
    </row>
    <row r="6515" spans="10:10" x14ac:dyDescent="0.3">
      <c r="J6515"/>
    </row>
    <row r="6516" spans="10:10" x14ac:dyDescent="0.3">
      <c r="J6516"/>
    </row>
    <row r="6517" spans="10:10" x14ac:dyDescent="0.3">
      <c r="J6517"/>
    </row>
    <row r="6518" spans="10:10" x14ac:dyDescent="0.3">
      <c r="J6518"/>
    </row>
    <row r="6519" spans="10:10" x14ac:dyDescent="0.3">
      <c r="J6519"/>
    </row>
    <row r="6520" spans="10:10" x14ac:dyDescent="0.3">
      <c r="J6520"/>
    </row>
    <row r="6521" spans="10:10" x14ac:dyDescent="0.3">
      <c r="J6521"/>
    </row>
    <row r="6522" spans="10:10" x14ac:dyDescent="0.3">
      <c r="J6522"/>
    </row>
    <row r="6523" spans="10:10" x14ac:dyDescent="0.3">
      <c r="J6523"/>
    </row>
    <row r="6524" spans="10:10" x14ac:dyDescent="0.3">
      <c r="J6524"/>
    </row>
    <row r="6525" spans="10:10" x14ac:dyDescent="0.3">
      <c r="J6525"/>
    </row>
    <row r="6526" spans="10:10" x14ac:dyDescent="0.3">
      <c r="J6526"/>
    </row>
    <row r="6527" spans="10:10" x14ac:dyDescent="0.3">
      <c r="J6527"/>
    </row>
    <row r="6528" spans="10:10" x14ac:dyDescent="0.3">
      <c r="J6528"/>
    </row>
    <row r="6529" spans="10:10" x14ac:dyDescent="0.3">
      <c r="J6529"/>
    </row>
    <row r="6530" spans="10:10" x14ac:dyDescent="0.3">
      <c r="J6530"/>
    </row>
    <row r="6531" spans="10:10" x14ac:dyDescent="0.3">
      <c r="J6531"/>
    </row>
    <row r="6532" spans="10:10" x14ac:dyDescent="0.3">
      <c r="J6532"/>
    </row>
    <row r="6533" spans="10:10" x14ac:dyDescent="0.3">
      <c r="J6533"/>
    </row>
    <row r="6534" spans="10:10" x14ac:dyDescent="0.3">
      <c r="J6534"/>
    </row>
    <row r="6535" spans="10:10" x14ac:dyDescent="0.3">
      <c r="J6535"/>
    </row>
    <row r="6536" spans="10:10" x14ac:dyDescent="0.3">
      <c r="J6536"/>
    </row>
    <row r="6537" spans="10:10" x14ac:dyDescent="0.3">
      <c r="J6537"/>
    </row>
    <row r="6538" spans="10:10" x14ac:dyDescent="0.3">
      <c r="J6538"/>
    </row>
    <row r="6539" spans="10:10" x14ac:dyDescent="0.3">
      <c r="J6539"/>
    </row>
    <row r="6540" spans="10:10" x14ac:dyDescent="0.3">
      <c r="J6540"/>
    </row>
    <row r="6541" spans="10:10" x14ac:dyDescent="0.3">
      <c r="J6541"/>
    </row>
    <row r="6542" spans="10:10" x14ac:dyDescent="0.3">
      <c r="J6542"/>
    </row>
    <row r="6543" spans="10:10" x14ac:dyDescent="0.3">
      <c r="J6543"/>
    </row>
    <row r="6544" spans="10:10" x14ac:dyDescent="0.3">
      <c r="J6544"/>
    </row>
    <row r="6545" spans="10:10" x14ac:dyDescent="0.3">
      <c r="J6545"/>
    </row>
    <row r="6546" spans="10:10" x14ac:dyDescent="0.3">
      <c r="J6546"/>
    </row>
    <row r="6547" spans="10:10" x14ac:dyDescent="0.3">
      <c r="J6547"/>
    </row>
    <row r="6548" spans="10:10" x14ac:dyDescent="0.3">
      <c r="J6548"/>
    </row>
    <row r="6549" spans="10:10" x14ac:dyDescent="0.3">
      <c r="J6549"/>
    </row>
    <row r="6550" spans="10:10" x14ac:dyDescent="0.3">
      <c r="J6550"/>
    </row>
    <row r="6551" spans="10:10" x14ac:dyDescent="0.3">
      <c r="J6551"/>
    </row>
    <row r="6552" spans="10:10" x14ac:dyDescent="0.3">
      <c r="J6552"/>
    </row>
    <row r="6553" spans="10:10" x14ac:dyDescent="0.3">
      <c r="J6553"/>
    </row>
    <row r="6554" spans="10:10" x14ac:dyDescent="0.3">
      <c r="J6554"/>
    </row>
    <row r="6555" spans="10:10" x14ac:dyDescent="0.3">
      <c r="J6555"/>
    </row>
    <row r="6556" spans="10:10" x14ac:dyDescent="0.3">
      <c r="J6556"/>
    </row>
    <row r="6557" spans="10:10" x14ac:dyDescent="0.3">
      <c r="J6557"/>
    </row>
    <row r="6558" spans="10:10" x14ac:dyDescent="0.3">
      <c r="J6558"/>
    </row>
    <row r="6559" spans="10:10" x14ac:dyDescent="0.3">
      <c r="J6559"/>
    </row>
    <row r="6560" spans="10:10" x14ac:dyDescent="0.3">
      <c r="J6560"/>
    </row>
    <row r="6561" spans="10:10" x14ac:dyDescent="0.3">
      <c r="J6561"/>
    </row>
    <row r="6562" spans="10:10" x14ac:dyDescent="0.3">
      <c r="J6562"/>
    </row>
    <row r="6563" spans="10:10" x14ac:dyDescent="0.3">
      <c r="J6563"/>
    </row>
    <row r="6564" spans="10:10" x14ac:dyDescent="0.3">
      <c r="J6564"/>
    </row>
    <row r="6565" spans="10:10" x14ac:dyDescent="0.3">
      <c r="J6565"/>
    </row>
    <row r="6566" spans="10:10" x14ac:dyDescent="0.3">
      <c r="J6566"/>
    </row>
    <row r="6567" spans="10:10" x14ac:dyDescent="0.3">
      <c r="J6567"/>
    </row>
    <row r="6568" spans="10:10" x14ac:dyDescent="0.3">
      <c r="J6568"/>
    </row>
    <row r="6569" spans="10:10" x14ac:dyDescent="0.3">
      <c r="J6569"/>
    </row>
    <row r="6570" spans="10:10" x14ac:dyDescent="0.3">
      <c r="J6570"/>
    </row>
    <row r="6571" spans="10:10" x14ac:dyDescent="0.3">
      <c r="J6571"/>
    </row>
    <row r="6572" spans="10:10" x14ac:dyDescent="0.3">
      <c r="J6572"/>
    </row>
    <row r="6573" spans="10:10" x14ac:dyDescent="0.3">
      <c r="J6573"/>
    </row>
    <row r="6574" spans="10:10" x14ac:dyDescent="0.3">
      <c r="J6574"/>
    </row>
    <row r="6575" spans="10:10" x14ac:dyDescent="0.3">
      <c r="J6575"/>
    </row>
    <row r="6576" spans="10:10" x14ac:dyDescent="0.3">
      <c r="J6576"/>
    </row>
    <row r="6577" spans="10:10" x14ac:dyDescent="0.3">
      <c r="J6577"/>
    </row>
    <row r="6578" spans="10:10" x14ac:dyDescent="0.3">
      <c r="J6578"/>
    </row>
    <row r="6579" spans="10:10" x14ac:dyDescent="0.3">
      <c r="J6579"/>
    </row>
    <row r="6580" spans="10:10" x14ac:dyDescent="0.3">
      <c r="J6580"/>
    </row>
    <row r="6581" spans="10:10" x14ac:dyDescent="0.3">
      <c r="J6581"/>
    </row>
    <row r="6582" spans="10:10" x14ac:dyDescent="0.3">
      <c r="J6582"/>
    </row>
    <row r="6583" spans="10:10" x14ac:dyDescent="0.3">
      <c r="J6583"/>
    </row>
    <row r="6584" spans="10:10" x14ac:dyDescent="0.3">
      <c r="J6584"/>
    </row>
    <row r="6585" spans="10:10" x14ac:dyDescent="0.3">
      <c r="J6585"/>
    </row>
    <row r="6586" spans="10:10" x14ac:dyDescent="0.3">
      <c r="J6586"/>
    </row>
    <row r="6587" spans="10:10" x14ac:dyDescent="0.3">
      <c r="J6587"/>
    </row>
    <row r="6588" spans="10:10" x14ac:dyDescent="0.3">
      <c r="J6588"/>
    </row>
    <row r="6589" spans="10:10" x14ac:dyDescent="0.3">
      <c r="J6589"/>
    </row>
    <row r="6590" spans="10:10" x14ac:dyDescent="0.3">
      <c r="J6590"/>
    </row>
    <row r="6591" spans="10:10" x14ac:dyDescent="0.3">
      <c r="J6591"/>
    </row>
    <row r="6592" spans="10:10" x14ac:dyDescent="0.3">
      <c r="J6592"/>
    </row>
    <row r="6593" spans="10:10" x14ac:dyDescent="0.3">
      <c r="J6593"/>
    </row>
    <row r="6594" spans="10:10" x14ac:dyDescent="0.3">
      <c r="J6594"/>
    </row>
    <row r="6595" spans="10:10" x14ac:dyDescent="0.3">
      <c r="J6595"/>
    </row>
    <row r="6596" spans="10:10" x14ac:dyDescent="0.3">
      <c r="J6596"/>
    </row>
    <row r="6597" spans="10:10" x14ac:dyDescent="0.3">
      <c r="J6597"/>
    </row>
    <row r="6598" spans="10:10" x14ac:dyDescent="0.3">
      <c r="J6598"/>
    </row>
    <row r="6599" spans="10:10" x14ac:dyDescent="0.3">
      <c r="J6599"/>
    </row>
    <row r="6600" spans="10:10" x14ac:dyDescent="0.3">
      <c r="J6600"/>
    </row>
    <row r="6601" spans="10:10" x14ac:dyDescent="0.3">
      <c r="J6601"/>
    </row>
    <row r="6602" spans="10:10" x14ac:dyDescent="0.3">
      <c r="J6602"/>
    </row>
    <row r="6603" spans="10:10" x14ac:dyDescent="0.3">
      <c r="J6603"/>
    </row>
    <row r="6604" spans="10:10" x14ac:dyDescent="0.3">
      <c r="J6604"/>
    </row>
    <row r="6605" spans="10:10" x14ac:dyDescent="0.3">
      <c r="J6605"/>
    </row>
    <row r="6606" spans="10:10" x14ac:dyDescent="0.3">
      <c r="J6606"/>
    </row>
    <row r="6607" spans="10:10" x14ac:dyDescent="0.3">
      <c r="J6607"/>
    </row>
    <row r="6608" spans="10:10" x14ac:dyDescent="0.3">
      <c r="J6608"/>
    </row>
    <row r="6609" spans="10:10" x14ac:dyDescent="0.3">
      <c r="J6609"/>
    </row>
    <row r="6610" spans="10:10" x14ac:dyDescent="0.3">
      <c r="J6610"/>
    </row>
    <row r="6611" spans="10:10" x14ac:dyDescent="0.3">
      <c r="J6611"/>
    </row>
    <row r="6612" spans="10:10" x14ac:dyDescent="0.3">
      <c r="J6612"/>
    </row>
    <row r="6613" spans="10:10" x14ac:dyDescent="0.3">
      <c r="J6613"/>
    </row>
    <row r="6614" spans="10:10" x14ac:dyDescent="0.3">
      <c r="J6614"/>
    </row>
    <row r="6615" spans="10:10" x14ac:dyDescent="0.3">
      <c r="J6615"/>
    </row>
    <row r="6616" spans="10:10" x14ac:dyDescent="0.3">
      <c r="J6616"/>
    </row>
    <row r="6617" spans="10:10" x14ac:dyDescent="0.3">
      <c r="J6617"/>
    </row>
    <row r="6618" spans="10:10" x14ac:dyDescent="0.3">
      <c r="J6618"/>
    </row>
    <row r="6619" spans="10:10" x14ac:dyDescent="0.3">
      <c r="J6619"/>
    </row>
    <row r="6620" spans="10:10" x14ac:dyDescent="0.3">
      <c r="J6620"/>
    </row>
    <row r="6621" spans="10:10" x14ac:dyDescent="0.3">
      <c r="J6621"/>
    </row>
    <row r="6622" spans="10:10" x14ac:dyDescent="0.3">
      <c r="J6622"/>
    </row>
    <row r="6623" spans="10:10" x14ac:dyDescent="0.3">
      <c r="J6623"/>
    </row>
    <row r="6624" spans="10:10" x14ac:dyDescent="0.3">
      <c r="J6624"/>
    </row>
    <row r="6625" spans="10:10" x14ac:dyDescent="0.3">
      <c r="J6625"/>
    </row>
    <row r="6626" spans="10:10" x14ac:dyDescent="0.3">
      <c r="J6626"/>
    </row>
    <row r="6627" spans="10:10" x14ac:dyDescent="0.3">
      <c r="J6627"/>
    </row>
    <row r="6628" spans="10:10" x14ac:dyDescent="0.3">
      <c r="J6628"/>
    </row>
    <row r="6629" spans="10:10" x14ac:dyDescent="0.3">
      <c r="J6629"/>
    </row>
    <row r="6630" spans="10:10" x14ac:dyDescent="0.3">
      <c r="J6630"/>
    </row>
    <row r="6631" spans="10:10" x14ac:dyDescent="0.3">
      <c r="J6631"/>
    </row>
    <row r="6632" spans="10:10" x14ac:dyDescent="0.3">
      <c r="J6632"/>
    </row>
    <row r="6633" spans="10:10" x14ac:dyDescent="0.3">
      <c r="J6633"/>
    </row>
    <row r="6634" spans="10:10" x14ac:dyDescent="0.3">
      <c r="J6634"/>
    </row>
    <row r="6635" spans="10:10" x14ac:dyDescent="0.3">
      <c r="J6635"/>
    </row>
    <row r="6636" spans="10:10" x14ac:dyDescent="0.3">
      <c r="J6636"/>
    </row>
    <row r="6637" spans="10:10" x14ac:dyDescent="0.3">
      <c r="J6637"/>
    </row>
    <row r="6638" spans="10:10" x14ac:dyDescent="0.3">
      <c r="J6638"/>
    </row>
    <row r="6639" spans="10:10" x14ac:dyDescent="0.3">
      <c r="J6639"/>
    </row>
    <row r="6640" spans="10:10" x14ac:dyDescent="0.3">
      <c r="J6640"/>
    </row>
    <row r="6641" spans="10:10" x14ac:dyDescent="0.3">
      <c r="J6641"/>
    </row>
    <row r="6642" spans="10:10" x14ac:dyDescent="0.3">
      <c r="J6642"/>
    </row>
    <row r="6643" spans="10:10" x14ac:dyDescent="0.3">
      <c r="J6643"/>
    </row>
    <row r="6644" spans="10:10" x14ac:dyDescent="0.3">
      <c r="J6644"/>
    </row>
    <row r="6645" spans="10:10" x14ac:dyDescent="0.3">
      <c r="J6645"/>
    </row>
    <row r="6646" spans="10:10" x14ac:dyDescent="0.3">
      <c r="J6646"/>
    </row>
    <row r="6647" spans="10:10" x14ac:dyDescent="0.3">
      <c r="J6647"/>
    </row>
    <row r="6648" spans="10:10" x14ac:dyDescent="0.3">
      <c r="J6648"/>
    </row>
    <row r="6649" spans="10:10" x14ac:dyDescent="0.3">
      <c r="J6649"/>
    </row>
    <row r="6650" spans="10:10" x14ac:dyDescent="0.3">
      <c r="J6650"/>
    </row>
    <row r="6651" spans="10:10" x14ac:dyDescent="0.3">
      <c r="J6651"/>
    </row>
    <row r="6652" spans="10:10" x14ac:dyDescent="0.3">
      <c r="J6652"/>
    </row>
    <row r="6653" spans="10:10" x14ac:dyDescent="0.3">
      <c r="J6653"/>
    </row>
    <row r="6654" spans="10:10" x14ac:dyDescent="0.3">
      <c r="J6654"/>
    </row>
    <row r="6655" spans="10:10" x14ac:dyDescent="0.3">
      <c r="J6655"/>
    </row>
    <row r="6656" spans="10:10" x14ac:dyDescent="0.3">
      <c r="J6656"/>
    </row>
    <row r="6657" spans="10:10" x14ac:dyDescent="0.3">
      <c r="J6657"/>
    </row>
    <row r="6658" spans="10:10" x14ac:dyDescent="0.3">
      <c r="J6658"/>
    </row>
    <row r="6659" spans="10:10" x14ac:dyDescent="0.3">
      <c r="J6659"/>
    </row>
    <row r="6660" spans="10:10" x14ac:dyDescent="0.3">
      <c r="J6660"/>
    </row>
    <row r="6661" spans="10:10" x14ac:dyDescent="0.3">
      <c r="J6661"/>
    </row>
    <row r="6662" spans="10:10" x14ac:dyDescent="0.3">
      <c r="J6662"/>
    </row>
    <row r="6663" spans="10:10" x14ac:dyDescent="0.3">
      <c r="J6663"/>
    </row>
    <row r="6664" spans="10:10" x14ac:dyDescent="0.3">
      <c r="J6664"/>
    </row>
    <row r="6665" spans="10:10" x14ac:dyDescent="0.3">
      <c r="J6665"/>
    </row>
    <row r="6666" spans="10:10" x14ac:dyDescent="0.3">
      <c r="J6666"/>
    </row>
    <row r="6667" spans="10:10" x14ac:dyDescent="0.3">
      <c r="J6667"/>
    </row>
    <row r="6668" spans="10:10" x14ac:dyDescent="0.3">
      <c r="J6668"/>
    </row>
    <row r="6669" spans="10:10" x14ac:dyDescent="0.3">
      <c r="J6669"/>
    </row>
    <row r="6670" spans="10:10" x14ac:dyDescent="0.3">
      <c r="J6670"/>
    </row>
    <row r="6671" spans="10:10" x14ac:dyDescent="0.3">
      <c r="J6671"/>
    </row>
    <row r="6672" spans="10:10" x14ac:dyDescent="0.3">
      <c r="J6672"/>
    </row>
    <row r="6673" spans="10:10" x14ac:dyDescent="0.3">
      <c r="J6673"/>
    </row>
    <row r="6674" spans="10:10" x14ac:dyDescent="0.3">
      <c r="J6674"/>
    </row>
    <row r="6675" spans="10:10" x14ac:dyDescent="0.3">
      <c r="J6675"/>
    </row>
    <row r="6676" spans="10:10" x14ac:dyDescent="0.3">
      <c r="J6676"/>
    </row>
    <row r="6677" spans="10:10" x14ac:dyDescent="0.3">
      <c r="J6677"/>
    </row>
    <row r="6678" spans="10:10" x14ac:dyDescent="0.3">
      <c r="J6678"/>
    </row>
    <row r="6679" spans="10:10" x14ac:dyDescent="0.3">
      <c r="J6679"/>
    </row>
    <row r="6680" spans="10:10" x14ac:dyDescent="0.3">
      <c r="J6680"/>
    </row>
    <row r="6681" spans="10:10" x14ac:dyDescent="0.3">
      <c r="J6681"/>
    </row>
    <row r="6682" spans="10:10" x14ac:dyDescent="0.3">
      <c r="J6682"/>
    </row>
    <row r="6683" spans="10:10" x14ac:dyDescent="0.3">
      <c r="J6683"/>
    </row>
    <row r="6684" spans="10:10" x14ac:dyDescent="0.3">
      <c r="J6684"/>
    </row>
    <row r="6685" spans="10:10" x14ac:dyDescent="0.3">
      <c r="J6685"/>
    </row>
    <row r="6686" spans="10:10" x14ac:dyDescent="0.3">
      <c r="J6686"/>
    </row>
    <row r="6687" spans="10:10" x14ac:dyDescent="0.3">
      <c r="J6687"/>
    </row>
    <row r="6688" spans="10:10" x14ac:dyDescent="0.3">
      <c r="J6688"/>
    </row>
    <row r="6689" spans="10:10" x14ac:dyDescent="0.3">
      <c r="J6689"/>
    </row>
    <row r="6690" spans="10:10" x14ac:dyDescent="0.3">
      <c r="J6690"/>
    </row>
    <row r="6691" spans="10:10" x14ac:dyDescent="0.3">
      <c r="J6691"/>
    </row>
    <row r="6692" spans="10:10" x14ac:dyDescent="0.3">
      <c r="J6692"/>
    </row>
    <row r="6693" spans="10:10" x14ac:dyDescent="0.3">
      <c r="J6693"/>
    </row>
    <row r="6694" spans="10:10" x14ac:dyDescent="0.3">
      <c r="J6694"/>
    </row>
    <row r="6695" spans="10:10" x14ac:dyDescent="0.3">
      <c r="J6695"/>
    </row>
    <row r="6696" spans="10:10" x14ac:dyDescent="0.3">
      <c r="J6696"/>
    </row>
    <row r="6697" spans="10:10" x14ac:dyDescent="0.3">
      <c r="J6697"/>
    </row>
    <row r="6698" spans="10:10" x14ac:dyDescent="0.3">
      <c r="J6698"/>
    </row>
    <row r="6699" spans="10:10" x14ac:dyDescent="0.3">
      <c r="J6699"/>
    </row>
    <row r="6700" spans="10:10" x14ac:dyDescent="0.3">
      <c r="J6700"/>
    </row>
    <row r="6701" spans="10:10" x14ac:dyDescent="0.3">
      <c r="J6701"/>
    </row>
    <row r="6702" spans="10:10" x14ac:dyDescent="0.3">
      <c r="J6702"/>
    </row>
    <row r="6703" spans="10:10" x14ac:dyDescent="0.3">
      <c r="J6703"/>
    </row>
    <row r="6704" spans="10:10" x14ac:dyDescent="0.3">
      <c r="J6704"/>
    </row>
    <row r="6705" spans="10:10" x14ac:dyDescent="0.3">
      <c r="J6705"/>
    </row>
    <row r="6706" spans="10:10" x14ac:dyDescent="0.3">
      <c r="J6706"/>
    </row>
    <row r="6707" spans="10:10" x14ac:dyDescent="0.3">
      <c r="J6707"/>
    </row>
    <row r="6708" spans="10:10" x14ac:dyDescent="0.3">
      <c r="J6708"/>
    </row>
    <row r="6709" spans="10:10" x14ac:dyDescent="0.3">
      <c r="J6709"/>
    </row>
    <row r="6710" spans="10:10" x14ac:dyDescent="0.3">
      <c r="J6710"/>
    </row>
    <row r="6711" spans="10:10" x14ac:dyDescent="0.3">
      <c r="J6711"/>
    </row>
    <row r="6712" spans="10:10" x14ac:dyDescent="0.3">
      <c r="J6712"/>
    </row>
    <row r="6713" spans="10:10" x14ac:dyDescent="0.3">
      <c r="J6713"/>
    </row>
    <row r="6714" spans="10:10" x14ac:dyDescent="0.3">
      <c r="J6714"/>
    </row>
    <row r="6715" spans="10:10" x14ac:dyDescent="0.3">
      <c r="J6715"/>
    </row>
    <row r="6716" spans="10:10" x14ac:dyDescent="0.3">
      <c r="J6716"/>
    </row>
    <row r="6717" spans="10:10" x14ac:dyDescent="0.3">
      <c r="J6717"/>
    </row>
    <row r="6718" spans="10:10" x14ac:dyDescent="0.3">
      <c r="J6718"/>
    </row>
    <row r="6719" spans="10:10" x14ac:dyDescent="0.3">
      <c r="J6719"/>
    </row>
    <row r="6720" spans="10:10" x14ac:dyDescent="0.3">
      <c r="J6720"/>
    </row>
    <row r="6721" spans="10:10" x14ac:dyDescent="0.3">
      <c r="J6721"/>
    </row>
    <row r="6722" spans="10:10" x14ac:dyDescent="0.3">
      <c r="J6722"/>
    </row>
    <row r="6723" spans="10:10" x14ac:dyDescent="0.3">
      <c r="J6723"/>
    </row>
    <row r="6724" spans="10:10" x14ac:dyDescent="0.3">
      <c r="J6724"/>
    </row>
    <row r="6725" spans="10:10" x14ac:dyDescent="0.3">
      <c r="J6725"/>
    </row>
    <row r="6726" spans="10:10" x14ac:dyDescent="0.3">
      <c r="J6726"/>
    </row>
    <row r="6727" spans="10:10" x14ac:dyDescent="0.3">
      <c r="J6727"/>
    </row>
    <row r="6728" spans="10:10" x14ac:dyDescent="0.3">
      <c r="J6728"/>
    </row>
    <row r="6729" spans="10:10" x14ac:dyDescent="0.3">
      <c r="J6729"/>
    </row>
    <row r="6730" spans="10:10" x14ac:dyDescent="0.3">
      <c r="J6730"/>
    </row>
    <row r="6731" spans="10:10" x14ac:dyDescent="0.3">
      <c r="J6731"/>
    </row>
    <row r="6732" spans="10:10" x14ac:dyDescent="0.3">
      <c r="J6732"/>
    </row>
    <row r="6733" spans="10:10" x14ac:dyDescent="0.3">
      <c r="J6733"/>
    </row>
    <row r="6734" spans="10:10" x14ac:dyDescent="0.3">
      <c r="J6734"/>
    </row>
    <row r="6735" spans="10:10" x14ac:dyDescent="0.3">
      <c r="J6735"/>
    </row>
    <row r="6736" spans="10:10" x14ac:dyDescent="0.3">
      <c r="J6736"/>
    </row>
    <row r="6737" spans="10:10" x14ac:dyDescent="0.3">
      <c r="J6737"/>
    </row>
    <row r="6738" spans="10:10" x14ac:dyDescent="0.3">
      <c r="J6738"/>
    </row>
    <row r="6739" spans="10:10" x14ac:dyDescent="0.3">
      <c r="J6739"/>
    </row>
    <row r="6740" spans="10:10" x14ac:dyDescent="0.3">
      <c r="J6740"/>
    </row>
    <row r="6741" spans="10:10" x14ac:dyDescent="0.3">
      <c r="J6741"/>
    </row>
    <row r="6742" spans="10:10" x14ac:dyDescent="0.3">
      <c r="J6742"/>
    </row>
    <row r="6743" spans="10:10" x14ac:dyDescent="0.3">
      <c r="J6743"/>
    </row>
    <row r="6744" spans="10:10" x14ac:dyDescent="0.3">
      <c r="J6744"/>
    </row>
    <row r="6745" spans="10:10" x14ac:dyDescent="0.3">
      <c r="J6745"/>
    </row>
    <row r="6746" spans="10:10" x14ac:dyDescent="0.3">
      <c r="J6746"/>
    </row>
    <row r="6747" spans="10:10" x14ac:dyDescent="0.3">
      <c r="J6747"/>
    </row>
    <row r="6748" spans="10:10" x14ac:dyDescent="0.3">
      <c r="J6748"/>
    </row>
    <row r="6749" spans="10:10" x14ac:dyDescent="0.3">
      <c r="J6749"/>
    </row>
    <row r="6750" spans="10:10" x14ac:dyDescent="0.3">
      <c r="J6750"/>
    </row>
    <row r="6751" spans="10:10" x14ac:dyDescent="0.3">
      <c r="J6751"/>
    </row>
    <row r="6752" spans="10:10" x14ac:dyDescent="0.3">
      <c r="J6752"/>
    </row>
    <row r="6753" spans="10:10" x14ac:dyDescent="0.3">
      <c r="J6753"/>
    </row>
    <row r="6754" spans="10:10" x14ac:dyDescent="0.3">
      <c r="J6754"/>
    </row>
    <row r="6755" spans="10:10" x14ac:dyDescent="0.3">
      <c r="J6755"/>
    </row>
    <row r="6756" spans="10:10" x14ac:dyDescent="0.3">
      <c r="J6756"/>
    </row>
    <row r="6757" spans="10:10" x14ac:dyDescent="0.3">
      <c r="J6757"/>
    </row>
    <row r="6758" spans="10:10" x14ac:dyDescent="0.3">
      <c r="J6758"/>
    </row>
    <row r="6759" spans="10:10" x14ac:dyDescent="0.3">
      <c r="J6759"/>
    </row>
    <row r="6760" spans="10:10" x14ac:dyDescent="0.3">
      <c r="J6760"/>
    </row>
    <row r="6761" spans="10:10" x14ac:dyDescent="0.3">
      <c r="J6761"/>
    </row>
    <row r="6762" spans="10:10" x14ac:dyDescent="0.3">
      <c r="J6762"/>
    </row>
    <row r="6763" spans="10:10" x14ac:dyDescent="0.3">
      <c r="J6763"/>
    </row>
    <row r="6764" spans="10:10" x14ac:dyDescent="0.3">
      <c r="J6764"/>
    </row>
    <row r="6765" spans="10:10" x14ac:dyDescent="0.3">
      <c r="J6765"/>
    </row>
    <row r="6766" spans="10:10" x14ac:dyDescent="0.3">
      <c r="J6766"/>
    </row>
    <row r="6767" spans="10:10" x14ac:dyDescent="0.3">
      <c r="J6767"/>
    </row>
    <row r="6768" spans="10:10" x14ac:dyDescent="0.3">
      <c r="J6768"/>
    </row>
    <row r="6769" spans="10:10" x14ac:dyDescent="0.3">
      <c r="J6769"/>
    </row>
    <row r="6770" spans="10:10" x14ac:dyDescent="0.3">
      <c r="J6770"/>
    </row>
    <row r="6771" spans="10:10" x14ac:dyDescent="0.3">
      <c r="J6771"/>
    </row>
    <row r="6772" spans="10:10" x14ac:dyDescent="0.3">
      <c r="J6772"/>
    </row>
    <row r="6773" spans="10:10" x14ac:dyDescent="0.3">
      <c r="J6773"/>
    </row>
    <row r="6774" spans="10:10" x14ac:dyDescent="0.3">
      <c r="J6774"/>
    </row>
    <row r="6775" spans="10:10" x14ac:dyDescent="0.3">
      <c r="J6775"/>
    </row>
    <row r="6776" spans="10:10" x14ac:dyDescent="0.3">
      <c r="J6776"/>
    </row>
    <row r="6777" spans="10:10" x14ac:dyDescent="0.3">
      <c r="J6777"/>
    </row>
    <row r="6778" spans="10:10" x14ac:dyDescent="0.3">
      <c r="J6778"/>
    </row>
    <row r="6779" spans="10:10" x14ac:dyDescent="0.3">
      <c r="J6779"/>
    </row>
    <row r="6780" spans="10:10" x14ac:dyDescent="0.3">
      <c r="J6780"/>
    </row>
    <row r="6781" spans="10:10" x14ac:dyDescent="0.3">
      <c r="J6781"/>
    </row>
    <row r="6782" spans="10:10" x14ac:dyDescent="0.3">
      <c r="J6782"/>
    </row>
    <row r="6783" spans="10:10" x14ac:dyDescent="0.3">
      <c r="J6783"/>
    </row>
    <row r="6784" spans="10:10" x14ac:dyDescent="0.3">
      <c r="J6784"/>
    </row>
    <row r="6785" spans="10:10" x14ac:dyDescent="0.3">
      <c r="J6785"/>
    </row>
    <row r="6786" spans="10:10" x14ac:dyDescent="0.3">
      <c r="J6786"/>
    </row>
    <row r="6787" spans="10:10" x14ac:dyDescent="0.3">
      <c r="J6787"/>
    </row>
    <row r="6788" spans="10:10" x14ac:dyDescent="0.3">
      <c r="J6788"/>
    </row>
    <row r="6789" spans="10:10" x14ac:dyDescent="0.3">
      <c r="J6789"/>
    </row>
    <row r="6790" spans="10:10" x14ac:dyDescent="0.3">
      <c r="J6790"/>
    </row>
    <row r="6791" spans="10:10" x14ac:dyDescent="0.3">
      <c r="J6791"/>
    </row>
    <row r="6792" spans="10:10" x14ac:dyDescent="0.3">
      <c r="J6792"/>
    </row>
    <row r="6793" spans="10:10" x14ac:dyDescent="0.3">
      <c r="J6793"/>
    </row>
    <row r="6794" spans="10:10" x14ac:dyDescent="0.3">
      <c r="J6794"/>
    </row>
    <row r="6795" spans="10:10" x14ac:dyDescent="0.3">
      <c r="J6795"/>
    </row>
    <row r="6796" spans="10:10" x14ac:dyDescent="0.3">
      <c r="J6796"/>
    </row>
    <row r="6797" spans="10:10" x14ac:dyDescent="0.3">
      <c r="J6797"/>
    </row>
    <row r="6798" spans="10:10" x14ac:dyDescent="0.3">
      <c r="J6798"/>
    </row>
    <row r="6799" spans="10:10" x14ac:dyDescent="0.3">
      <c r="J6799"/>
    </row>
    <row r="6800" spans="10:10" x14ac:dyDescent="0.3">
      <c r="J6800"/>
    </row>
    <row r="6801" spans="10:10" x14ac:dyDescent="0.3">
      <c r="J6801"/>
    </row>
    <row r="6802" spans="10:10" x14ac:dyDescent="0.3">
      <c r="J6802"/>
    </row>
    <row r="6803" spans="10:10" x14ac:dyDescent="0.3">
      <c r="J6803"/>
    </row>
    <row r="6804" spans="10:10" x14ac:dyDescent="0.3">
      <c r="J6804"/>
    </row>
    <row r="6805" spans="10:10" x14ac:dyDescent="0.3">
      <c r="J6805"/>
    </row>
    <row r="6806" spans="10:10" x14ac:dyDescent="0.3">
      <c r="J6806"/>
    </row>
    <row r="6807" spans="10:10" x14ac:dyDescent="0.3">
      <c r="J6807"/>
    </row>
    <row r="6808" spans="10:10" x14ac:dyDescent="0.3">
      <c r="J6808"/>
    </row>
    <row r="6809" spans="10:10" x14ac:dyDescent="0.3">
      <c r="J6809"/>
    </row>
    <row r="6810" spans="10:10" x14ac:dyDescent="0.3">
      <c r="J6810"/>
    </row>
    <row r="6811" spans="10:10" x14ac:dyDescent="0.3">
      <c r="J6811"/>
    </row>
    <row r="6812" spans="10:10" x14ac:dyDescent="0.3">
      <c r="J6812"/>
    </row>
    <row r="6813" spans="10:10" x14ac:dyDescent="0.3">
      <c r="J6813"/>
    </row>
    <row r="6814" spans="10:10" x14ac:dyDescent="0.3">
      <c r="J6814"/>
    </row>
    <row r="6815" spans="10:10" x14ac:dyDescent="0.3">
      <c r="J6815"/>
    </row>
    <row r="6816" spans="10:10" x14ac:dyDescent="0.3">
      <c r="J6816"/>
    </row>
    <row r="6817" spans="10:10" x14ac:dyDescent="0.3">
      <c r="J6817"/>
    </row>
    <row r="6818" spans="10:10" x14ac:dyDescent="0.3">
      <c r="J6818"/>
    </row>
    <row r="6819" spans="10:10" x14ac:dyDescent="0.3">
      <c r="J6819"/>
    </row>
    <row r="6820" spans="10:10" x14ac:dyDescent="0.3">
      <c r="J6820"/>
    </row>
    <row r="6821" spans="10:10" x14ac:dyDescent="0.3">
      <c r="J6821"/>
    </row>
    <row r="6822" spans="10:10" x14ac:dyDescent="0.3">
      <c r="J6822"/>
    </row>
    <row r="6823" spans="10:10" x14ac:dyDescent="0.3">
      <c r="J6823"/>
    </row>
    <row r="6824" spans="10:10" x14ac:dyDescent="0.3">
      <c r="J6824"/>
    </row>
    <row r="6825" spans="10:10" x14ac:dyDescent="0.3">
      <c r="J6825"/>
    </row>
    <row r="6826" spans="10:10" x14ac:dyDescent="0.3">
      <c r="J6826"/>
    </row>
    <row r="6827" spans="10:10" x14ac:dyDescent="0.3">
      <c r="J6827"/>
    </row>
    <row r="6828" spans="10:10" x14ac:dyDescent="0.3">
      <c r="J6828"/>
    </row>
    <row r="6829" spans="10:10" x14ac:dyDescent="0.3">
      <c r="J6829"/>
    </row>
    <row r="6830" spans="10:10" x14ac:dyDescent="0.3">
      <c r="J6830"/>
    </row>
    <row r="6831" spans="10:10" x14ac:dyDescent="0.3">
      <c r="J6831"/>
    </row>
    <row r="6832" spans="10:10" x14ac:dyDescent="0.3">
      <c r="J6832"/>
    </row>
    <row r="6833" spans="10:10" x14ac:dyDescent="0.3">
      <c r="J6833"/>
    </row>
    <row r="6834" spans="10:10" x14ac:dyDescent="0.3">
      <c r="J6834"/>
    </row>
    <row r="6835" spans="10:10" x14ac:dyDescent="0.3">
      <c r="J6835"/>
    </row>
    <row r="6836" spans="10:10" x14ac:dyDescent="0.3">
      <c r="J6836"/>
    </row>
    <row r="6837" spans="10:10" x14ac:dyDescent="0.3">
      <c r="J6837"/>
    </row>
    <row r="6838" spans="10:10" x14ac:dyDescent="0.3">
      <c r="J6838"/>
    </row>
    <row r="6839" spans="10:10" x14ac:dyDescent="0.3">
      <c r="J6839"/>
    </row>
    <row r="6840" spans="10:10" x14ac:dyDescent="0.3">
      <c r="J6840"/>
    </row>
    <row r="6841" spans="10:10" x14ac:dyDescent="0.3">
      <c r="J6841"/>
    </row>
    <row r="6842" spans="10:10" x14ac:dyDescent="0.3">
      <c r="J6842"/>
    </row>
    <row r="6843" spans="10:10" x14ac:dyDescent="0.3">
      <c r="J6843"/>
    </row>
    <row r="6844" spans="10:10" x14ac:dyDescent="0.3">
      <c r="J6844"/>
    </row>
    <row r="6845" spans="10:10" x14ac:dyDescent="0.3">
      <c r="J6845"/>
    </row>
    <row r="6846" spans="10:10" x14ac:dyDescent="0.3">
      <c r="J6846"/>
    </row>
    <row r="6847" spans="10:10" x14ac:dyDescent="0.3">
      <c r="J6847"/>
    </row>
    <row r="6848" spans="10:10" x14ac:dyDescent="0.3">
      <c r="J6848"/>
    </row>
    <row r="6849" spans="10:10" x14ac:dyDescent="0.3">
      <c r="J6849"/>
    </row>
    <row r="6850" spans="10:10" x14ac:dyDescent="0.3">
      <c r="J6850"/>
    </row>
    <row r="6851" spans="10:10" x14ac:dyDescent="0.3">
      <c r="J6851"/>
    </row>
    <row r="6852" spans="10:10" x14ac:dyDescent="0.3">
      <c r="J6852"/>
    </row>
    <row r="6853" spans="10:10" x14ac:dyDescent="0.3">
      <c r="J6853"/>
    </row>
    <row r="6854" spans="10:10" x14ac:dyDescent="0.3">
      <c r="J6854"/>
    </row>
    <row r="6855" spans="10:10" x14ac:dyDescent="0.3">
      <c r="J6855"/>
    </row>
    <row r="6856" spans="10:10" x14ac:dyDescent="0.3">
      <c r="J6856"/>
    </row>
    <row r="6857" spans="10:10" x14ac:dyDescent="0.3">
      <c r="J6857"/>
    </row>
    <row r="6858" spans="10:10" x14ac:dyDescent="0.3">
      <c r="J6858"/>
    </row>
    <row r="6859" spans="10:10" x14ac:dyDescent="0.3">
      <c r="J6859"/>
    </row>
    <row r="6860" spans="10:10" x14ac:dyDescent="0.3">
      <c r="J6860"/>
    </row>
    <row r="6861" spans="10:10" x14ac:dyDescent="0.3">
      <c r="J6861"/>
    </row>
    <row r="6862" spans="10:10" x14ac:dyDescent="0.3">
      <c r="J6862"/>
    </row>
    <row r="6863" spans="10:10" x14ac:dyDescent="0.3">
      <c r="J6863"/>
    </row>
    <row r="6864" spans="10:10" x14ac:dyDescent="0.3">
      <c r="J6864"/>
    </row>
    <row r="6865" spans="10:10" x14ac:dyDescent="0.3">
      <c r="J6865"/>
    </row>
    <row r="6866" spans="10:10" x14ac:dyDescent="0.3">
      <c r="J6866"/>
    </row>
    <row r="6867" spans="10:10" x14ac:dyDescent="0.3">
      <c r="J6867"/>
    </row>
    <row r="6868" spans="10:10" x14ac:dyDescent="0.3">
      <c r="J6868"/>
    </row>
    <row r="6869" spans="10:10" x14ac:dyDescent="0.3">
      <c r="J6869"/>
    </row>
    <row r="6870" spans="10:10" x14ac:dyDescent="0.3">
      <c r="J6870"/>
    </row>
    <row r="6871" spans="10:10" x14ac:dyDescent="0.3">
      <c r="J6871"/>
    </row>
    <row r="6872" spans="10:10" x14ac:dyDescent="0.3">
      <c r="J6872"/>
    </row>
    <row r="6873" spans="10:10" x14ac:dyDescent="0.3">
      <c r="J6873"/>
    </row>
    <row r="6874" spans="10:10" x14ac:dyDescent="0.3">
      <c r="J6874"/>
    </row>
    <row r="6875" spans="10:10" x14ac:dyDescent="0.3">
      <c r="J6875"/>
    </row>
    <row r="6876" spans="10:10" x14ac:dyDescent="0.3">
      <c r="J6876"/>
    </row>
    <row r="6877" spans="10:10" x14ac:dyDescent="0.3">
      <c r="J6877"/>
    </row>
    <row r="6878" spans="10:10" x14ac:dyDescent="0.3">
      <c r="J6878"/>
    </row>
    <row r="6879" spans="10:10" x14ac:dyDescent="0.3">
      <c r="J6879"/>
    </row>
    <row r="6880" spans="10:10" x14ac:dyDescent="0.3">
      <c r="J6880"/>
    </row>
    <row r="6881" spans="10:10" x14ac:dyDescent="0.3">
      <c r="J6881"/>
    </row>
    <row r="6882" spans="10:10" x14ac:dyDescent="0.3">
      <c r="J6882"/>
    </row>
    <row r="6883" spans="10:10" x14ac:dyDescent="0.3">
      <c r="J6883"/>
    </row>
    <row r="6884" spans="10:10" x14ac:dyDescent="0.3">
      <c r="J6884"/>
    </row>
    <row r="6885" spans="10:10" x14ac:dyDescent="0.3">
      <c r="J6885"/>
    </row>
    <row r="6886" spans="10:10" x14ac:dyDescent="0.3">
      <c r="J6886"/>
    </row>
    <row r="6887" spans="10:10" x14ac:dyDescent="0.3">
      <c r="J6887"/>
    </row>
    <row r="6888" spans="10:10" x14ac:dyDescent="0.3">
      <c r="J6888"/>
    </row>
    <row r="6889" spans="10:10" x14ac:dyDescent="0.3">
      <c r="J6889"/>
    </row>
    <row r="6890" spans="10:10" x14ac:dyDescent="0.3">
      <c r="J6890"/>
    </row>
    <row r="6891" spans="10:10" x14ac:dyDescent="0.3">
      <c r="J6891"/>
    </row>
    <row r="6892" spans="10:10" x14ac:dyDescent="0.3">
      <c r="J6892"/>
    </row>
    <row r="6893" spans="10:10" x14ac:dyDescent="0.3">
      <c r="J6893"/>
    </row>
    <row r="6894" spans="10:10" x14ac:dyDescent="0.3">
      <c r="J6894"/>
    </row>
    <row r="6895" spans="10:10" x14ac:dyDescent="0.3">
      <c r="J6895"/>
    </row>
    <row r="6896" spans="10:10" x14ac:dyDescent="0.3">
      <c r="J6896"/>
    </row>
    <row r="6897" spans="10:10" x14ac:dyDescent="0.3">
      <c r="J6897"/>
    </row>
    <row r="6898" spans="10:10" x14ac:dyDescent="0.3">
      <c r="J6898"/>
    </row>
    <row r="6899" spans="10:10" x14ac:dyDescent="0.3">
      <c r="J6899"/>
    </row>
    <row r="6900" spans="10:10" x14ac:dyDescent="0.3">
      <c r="J6900"/>
    </row>
    <row r="6901" spans="10:10" x14ac:dyDescent="0.3">
      <c r="J6901"/>
    </row>
    <row r="6902" spans="10:10" x14ac:dyDescent="0.3">
      <c r="J6902"/>
    </row>
    <row r="6903" spans="10:10" x14ac:dyDescent="0.3">
      <c r="J6903"/>
    </row>
    <row r="6904" spans="10:10" x14ac:dyDescent="0.3">
      <c r="J6904"/>
    </row>
    <row r="6905" spans="10:10" x14ac:dyDescent="0.3">
      <c r="J6905"/>
    </row>
    <row r="6906" spans="10:10" x14ac:dyDescent="0.3">
      <c r="J6906"/>
    </row>
    <row r="6907" spans="10:10" x14ac:dyDescent="0.3">
      <c r="J6907"/>
    </row>
    <row r="6908" spans="10:10" x14ac:dyDescent="0.3">
      <c r="J6908"/>
    </row>
    <row r="6909" spans="10:10" x14ac:dyDescent="0.3">
      <c r="J6909"/>
    </row>
    <row r="6910" spans="10:10" x14ac:dyDescent="0.3">
      <c r="J6910"/>
    </row>
    <row r="6911" spans="10:10" x14ac:dyDescent="0.3">
      <c r="J6911"/>
    </row>
    <row r="6912" spans="10:10" x14ac:dyDescent="0.3">
      <c r="J6912"/>
    </row>
    <row r="6913" spans="10:10" x14ac:dyDescent="0.3">
      <c r="J6913"/>
    </row>
    <row r="6914" spans="10:10" x14ac:dyDescent="0.3">
      <c r="J6914"/>
    </row>
    <row r="6915" spans="10:10" x14ac:dyDescent="0.3">
      <c r="J6915"/>
    </row>
    <row r="6916" spans="10:10" x14ac:dyDescent="0.3">
      <c r="J6916"/>
    </row>
    <row r="6917" spans="10:10" x14ac:dyDescent="0.3">
      <c r="J6917"/>
    </row>
    <row r="6918" spans="10:10" x14ac:dyDescent="0.3">
      <c r="J6918"/>
    </row>
    <row r="6919" spans="10:10" x14ac:dyDescent="0.3">
      <c r="J6919"/>
    </row>
    <row r="6920" spans="10:10" x14ac:dyDescent="0.3">
      <c r="J6920"/>
    </row>
    <row r="6921" spans="10:10" x14ac:dyDescent="0.3">
      <c r="J6921"/>
    </row>
    <row r="6922" spans="10:10" x14ac:dyDescent="0.3">
      <c r="J6922"/>
    </row>
    <row r="6923" spans="10:10" x14ac:dyDescent="0.3">
      <c r="J6923"/>
    </row>
    <row r="6924" spans="10:10" x14ac:dyDescent="0.3">
      <c r="J6924"/>
    </row>
    <row r="6925" spans="10:10" x14ac:dyDescent="0.3">
      <c r="J6925"/>
    </row>
    <row r="6926" spans="10:10" x14ac:dyDescent="0.3">
      <c r="J6926"/>
    </row>
    <row r="6927" spans="10:10" x14ac:dyDescent="0.3">
      <c r="J6927"/>
    </row>
    <row r="6928" spans="10:10" x14ac:dyDescent="0.3">
      <c r="J6928"/>
    </row>
    <row r="6929" spans="10:10" x14ac:dyDescent="0.3">
      <c r="J6929"/>
    </row>
    <row r="6930" spans="10:10" x14ac:dyDescent="0.3">
      <c r="J6930"/>
    </row>
    <row r="6931" spans="10:10" x14ac:dyDescent="0.3">
      <c r="J6931"/>
    </row>
    <row r="6932" spans="10:10" x14ac:dyDescent="0.3">
      <c r="J6932"/>
    </row>
    <row r="6933" spans="10:10" x14ac:dyDescent="0.3">
      <c r="J6933"/>
    </row>
    <row r="6934" spans="10:10" x14ac:dyDescent="0.3">
      <c r="J6934"/>
    </row>
    <row r="6935" spans="10:10" x14ac:dyDescent="0.3">
      <c r="J6935"/>
    </row>
    <row r="6936" spans="10:10" x14ac:dyDescent="0.3">
      <c r="J6936"/>
    </row>
    <row r="6937" spans="10:10" x14ac:dyDescent="0.3">
      <c r="J6937"/>
    </row>
    <row r="6938" spans="10:10" x14ac:dyDescent="0.3">
      <c r="J6938"/>
    </row>
    <row r="6939" spans="10:10" x14ac:dyDescent="0.3">
      <c r="J6939"/>
    </row>
    <row r="6940" spans="10:10" x14ac:dyDescent="0.3">
      <c r="J6940"/>
    </row>
    <row r="6941" spans="10:10" x14ac:dyDescent="0.3">
      <c r="J6941"/>
    </row>
    <row r="6942" spans="10:10" x14ac:dyDescent="0.3">
      <c r="J6942"/>
    </row>
    <row r="6943" spans="10:10" x14ac:dyDescent="0.3">
      <c r="J6943"/>
    </row>
    <row r="6944" spans="10:10" x14ac:dyDescent="0.3">
      <c r="J6944"/>
    </row>
    <row r="6945" spans="10:10" x14ac:dyDescent="0.3">
      <c r="J6945"/>
    </row>
    <row r="6946" spans="10:10" x14ac:dyDescent="0.3">
      <c r="J6946"/>
    </row>
    <row r="6947" spans="10:10" x14ac:dyDescent="0.3">
      <c r="J6947"/>
    </row>
    <row r="6948" spans="10:10" x14ac:dyDescent="0.3">
      <c r="J6948"/>
    </row>
    <row r="6949" spans="10:10" x14ac:dyDescent="0.3">
      <c r="J6949"/>
    </row>
    <row r="6950" spans="10:10" x14ac:dyDescent="0.3">
      <c r="J6950"/>
    </row>
    <row r="6951" spans="10:10" x14ac:dyDescent="0.3">
      <c r="J6951"/>
    </row>
    <row r="6952" spans="10:10" x14ac:dyDescent="0.3">
      <c r="J6952"/>
    </row>
    <row r="6953" spans="10:10" x14ac:dyDescent="0.3">
      <c r="J6953"/>
    </row>
    <row r="6954" spans="10:10" x14ac:dyDescent="0.3">
      <c r="J6954"/>
    </row>
    <row r="6955" spans="10:10" x14ac:dyDescent="0.3">
      <c r="J6955"/>
    </row>
    <row r="6956" spans="10:10" x14ac:dyDescent="0.3">
      <c r="J6956"/>
    </row>
    <row r="6957" spans="10:10" x14ac:dyDescent="0.3">
      <c r="J6957"/>
    </row>
    <row r="6958" spans="10:10" x14ac:dyDescent="0.3">
      <c r="J6958"/>
    </row>
    <row r="6959" spans="10:10" x14ac:dyDescent="0.3">
      <c r="J6959"/>
    </row>
    <row r="6960" spans="10:10" x14ac:dyDescent="0.3">
      <c r="J6960"/>
    </row>
    <row r="6961" spans="10:10" x14ac:dyDescent="0.3">
      <c r="J6961"/>
    </row>
    <row r="6962" spans="10:10" x14ac:dyDescent="0.3">
      <c r="J6962"/>
    </row>
    <row r="6963" spans="10:10" x14ac:dyDescent="0.3">
      <c r="J6963"/>
    </row>
    <row r="6964" spans="10:10" x14ac:dyDescent="0.3">
      <c r="J6964"/>
    </row>
    <row r="6965" spans="10:10" x14ac:dyDescent="0.3">
      <c r="J6965"/>
    </row>
    <row r="6966" spans="10:10" x14ac:dyDescent="0.3">
      <c r="J6966"/>
    </row>
    <row r="6967" spans="10:10" x14ac:dyDescent="0.3">
      <c r="J6967"/>
    </row>
    <row r="6968" spans="10:10" x14ac:dyDescent="0.3">
      <c r="J6968"/>
    </row>
    <row r="6969" spans="10:10" x14ac:dyDescent="0.3">
      <c r="J6969"/>
    </row>
    <row r="6970" spans="10:10" x14ac:dyDescent="0.3">
      <c r="J6970"/>
    </row>
    <row r="6971" spans="10:10" x14ac:dyDescent="0.3">
      <c r="J6971"/>
    </row>
    <row r="6972" spans="10:10" x14ac:dyDescent="0.3">
      <c r="J6972"/>
    </row>
    <row r="6973" spans="10:10" x14ac:dyDescent="0.3">
      <c r="J6973"/>
    </row>
    <row r="6974" spans="10:10" x14ac:dyDescent="0.3">
      <c r="J6974"/>
    </row>
    <row r="6975" spans="10:10" x14ac:dyDescent="0.3">
      <c r="J6975"/>
    </row>
    <row r="6976" spans="10:10" x14ac:dyDescent="0.3">
      <c r="J6976"/>
    </row>
    <row r="6977" spans="10:10" x14ac:dyDescent="0.3">
      <c r="J6977"/>
    </row>
    <row r="6978" spans="10:10" x14ac:dyDescent="0.3">
      <c r="J6978"/>
    </row>
    <row r="6979" spans="10:10" x14ac:dyDescent="0.3">
      <c r="J6979"/>
    </row>
    <row r="6980" spans="10:10" x14ac:dyDescent="0.3">
      <c r="J6980"/>
    </row>
    <row r="6981" spans="10:10" x14ac:dyDescent="0.3">
      <c r="J6981"/>
    </row>
    <row r="6982" spans="10:10" x14ac:dyDescent="0.3">
      <c r="J6982"/>
    </row>
    <row r="6983" spans="10:10" x14ac:dyDescent="0.3">
      <c r="J6983"/>
    </row>
    <row r="6984" spans="10:10" x14ac:dyDescent="0.3">
      <c r="J6984"/>
    </row>
    <row r="6985" spans="10:10" x14ac:dyDescent="0.3">
      <c r="J6985"/>
    </row>
    <row r="6986" spans="10:10" x14ac:dyDescent="0.3">
      <c r="J6986"/>
    </row>
    <row r="6987" spans="10:10" x14ac:dyDescent="0.3">
      <c r="J6987"/>
    </row>
    <row r="6988" spans="10:10" x14ac:dyDescent="0.3">
      <c r="J6988"/>
    </row>
    <row r="6989" spans="10:10" x14ac:dyDescent="0.3">
      <c r="J6989"/>
    </row>
    <row r="6990" spans="10:10" x14ac:dyDescent="0.3">
      <c r="J6990"/>
    </row>
    <row r="6991" spans="10:10" x14ac:dyDescent="0.3">
      <c r="J6991"/>
    </row>
    <row r="6992" spans="10:10" x14ac:dyDescent="0.3">
      <c r="J6992"/>
    </row>
    <row r="6993" spans="10:10" x14ac:dyDescent="0.3">
      <c r="J6993"/>
    </row>
    <row r="6994" spans="10:10" x14ac:dyDescent="0.3">
      <c r="J6994"/>
    </row>
    <row r="6995" spans="10:10" x14ac:dyDescent="0.3">
      <c r="J6995"/>
    </row>
    <row r="6996" spans="10:10" x14ac:dyDescent="0.3">
      <c r="J6996"/>
    </row>
    <row r="6997" spans="10:10" x14ac:dyDescent="0.3">
      <c r="J6997"/>
    </row>
    <row r="6998" spans="10:10" x14ac:dyDescent="0.3">
      <c r="J6998"/>
    </row>
    <row r="6999" spans="10:10" x14ac:dyDescent="0.3">
      <c r="J6999"/>
    </row>
    <row r="7000" spans="10:10" x14ac:dyDescent="0.3">
      <c r="J7000"/>
    </row>
    <row r="7001" spans="10:10" x14ac:dyDescent="0.3">
      <c r="J7001"/>
    </row>
    <row r="7002" spans="10:10" x14ac:dyDescent="0.3">
      <c r="J7002"/>
    </row>
    <row r="7003" spans="10:10" x14ac:dyDescent="0.3">
      <c r="J7003"/>
    </row>
    <row r="7004" spans="10:10" x14ac:dyDescent="0.3">
      <c r="J7004"/>
    </row>
    <row r="7005" spans="10:10" x14ac:dyDescent="0.3">
      <c r="J7005"/>
    </row>
    <row r="7006" spans="10:10" x14ac:dyDescent="0.3">
      <c r="J7006"/>
    </row>
    <row r="7007" spans="10:10" x14ac:dyDescent="0.3">
      <c r="J7007"/>
    </row>
    <row r="7008" spans="10:10" x14ac:dyDescent="0.3">
      <c r="J7008"/>
    </row>
    <row r="7009" spans="10:10" x14ac:dyDescent="0.3">
      <c r="J7009"/>
    </row>
    <row r="7010" spans="10:10" x14ac:dyDescent="0.3">
      <c r="J7010"/>
    </row>
    <row r="7011" spans="10:10" x14ac:dyDescent="0.3">
      <c r="J7011"/>
    </row>
    <row r="7012" spans="10:10" x14ac:dyDescent="0.3">
      <c r="J7012"/>
    </row>
    <row r="7013" spans="10:10" x14ac:dyDescent="0.3">
      <c r="J7013"/>
    </row>
    <row r="7014" spans="10:10" x14ac:dyDescent="0.3">
      <c r="J7014"/>
    </row>
    <row r="7015" spans="10:10" x14ac:dyDescent="0.3">
      <c r="J7015"/>
    </row>
    <row r="7016" spans="10:10" x14ac:dyDescent="0.3">
      <c r="J7016"/>
    </row>
    <row r="7017" spans="10:10" x14ac:dyDescent="0.3">
      <c r="J7017"/>
    </row>
    <row r="7018" spans="10:10" x14ac:dyDescent="0.3">
      <c r="J7018"/>
    </row>
    <row r="7019" spans="10:10" x14ac:dyDescent="0.3">
      <c r="J7019"/>
    </row>
    <row r="7020" spans="10:10" x14ac:dyDescent="0.3">
      <c r="J7020"/>
    </row>
    <row r="7021" spans="10:10" x14ac:dyDescent="0.3">
      <c r="J7021"/>
    </row>
    <row r="7022" spans="10:10" x14ac:dyDescent="0.3">
      <c r="J7022"/>
    </row>
    <row r="7023" spans="10:10" x14ac:dyDescent="0.3">
      <c r="J7023"/>
    </row>
    <row r="7024" spans="10:10" x14ac:dyDescent="0.3">
      <c r="J7024"/>
    </row>
    <row r="7025" spans="10:10" x14ac:dyDescent="0.3">
      <c r="J7025"/>
    </row>
    <row r="7026" spans="10:10" x14ac:dyDescent="0.3">
      <c r="J7026"/>
    </row>
    <row r="7027" spans="10:10" x14ac:dyDescent="0.3">
      <c r="J7027"/>
    </row>
    <row r="7028" spans="10:10" x14ac:dyDescent="0.3">
      <c r="J7028"/>
    </row>
    <row r="7029" spans="10:10" x14ac:dyDescent="0.3">
      <c r="J7029"/>
    </row>
    <row r="7030" spans="10:10" x14ac:dyDescent="0.3">
      <c r="J7030"/>
    </row>
    <row r="7031" spans="10:10" x14ac:dyDescent="0.3">
      <c r="J7031"/>
    </row>
    <row r="7032" spans="10:10" x14ac:dyDescent="0.3">
      <c r="J7032"/>
    </row>
    <row r="7033" spans="10:10" x14ac:dyDescent="0.3">
      <c r="J7033"/>
    </row>
    <row r="7034" spans="10:10" x14ac:dyDescent="0.3">
      <c r="J7034"/>
    </row>
    <row r="7035" spans="10:10" x14ac:dyDescent="0.3">
      <c r="J7035"/>
    </row>
    <row r="7036" spans="10:10" x14ac:dyDescent="0.3">
      <c r="J7036"/>
    </row>
    <row r="7037" spans="10:10" x14ac:dyDescent="0.3">
      <c r="J7037"/>
    </row>
    <row r="7038" spans="10:10" x14ac:dyDescent="0.3">
      <c r="J7038"/>
    </row>
    <row r="7039" spans="10:10" x14ac:dyDescent="0.3">
      <c r="J7039"/>
    </row>
    <row r="7040" spans="10:10" x14ac:dyDescent="0.3">
      <c r="J7040"/>
    </row>
    <row r="7041" spans="10:10" x14ac:dyDescent="0.3">
      <c r="J7041"/>
    </row>
    <row r="7042" spans="10:10" x14ac:dyDescent="0.3">
      <c r="J7042"/>
    </row>
    <row r="7043" spans="10:10" x14ac:dyDescent="0.3">
      <c r="J7043"/>
    </row>
    <row r="7044" spans="10:10" x14ac:dyDescent="0.3">
      <c r="J7044"/>
    </row>
    <row r="7045" spans="10:10" x14ac:dyDescent="0.3">
      <c r="J7045"/>
    </row>
    <row r="7046" spans="10:10" x14ac:dyDescent="0.3">
      <c r="J7046"/>
    </row>
    <row r="7047" spans="10:10" x14ac:dyDescent="0.3">
      <c r="J7047"/>
    </row>
    <row r="7048" spans="10:10" x14ac:dyDescent="0.3">
      <c r="J7048"/>
    </row>
    <row r="7049" spans="10:10" x14ac:dyDescent="0.3">
      <c r="J7049"/>
    </row>
    <row r="7050" spans="10:10" x14ac:dyDescent="0.3">
      <c r="J7050"/>
    </row>
    <row r="7051" spans="10:10" x14ac:dyDescent="0.3">
      <c r="J7051"/>
    </row>
    <row r="7052" spans="10:10" x14ac:dyDescent="0.3">
      <c r="J7052"/>
    </row>
    <row r="7053" spans="10:10" x14ac:dyDescent="0.3">
      <c r="J7053"/>
    </row>
    <row r="7054" spans="10:10" x14ac:dyDescent="0.3">
      <c r="J7054"/>
    </row>
    <row r="7055" spans="10:10" x14ac:dyDescent="0.3">
      <c r="J7055"/>
    </row>
    <row r="7056" spans="10:10" x14ac:dyDescent="0.3">
      <c r="J7056"/>
    </row>
    <row r="7057" spans="10:10" x14ac:dyDescent="0.3">
      <c r="J7057"/>
    </row>
    <row r="7058" spans="10:10" x14ac:dyDescent="0.3">
      <c r="J7058"/>
    </row>
    <row r="7059" spans="10:10" x14ac:dyDescent="0.3">
      <c r="J7059"/>
    </row>
    <row r="7060" spans="10:10" x14ac:dyDescent="0.3">
      <c r="J7060"/>
    </row>
    <row r="7061" spans="10:10" x14ac:dyDescent="0.3">
      <c r="J7061"/>
    </row>
    <row r="7062" spans="10:10" x14ac:dyDescent="0.3">
      <c r="J7062"/>
    </row>
    <row r="7063" spans="10:10" x14ac:dyDescent="0.3">
      <c r="J7063"/>
    </row>
    <row r="7064" spans="10:10" x14ac:dyDescent="0.3">
      <c r="J7064"/>
    </row>
    <row r="7065" spans="10:10" x14ac:dyDescent="0.3">
      <c r="J7065"/>
    </row>
    <row r="7066" spans="10:10" x14ac:dyDescent="0.3">
      <c r="J7066"/>
    </row>
    <row r="7067" spans="10:10" x14ac:dyDescent="0.3">
      <c r="J7067"/>
    </row>
    <row r="7068" spans="10:10" x14ac:dyDescent="0.3">
      <c r="J7068"/>
    </row>
    <row r="7069" spans="10:10" x14ac:dyDescent="0.3">
      <c r="J7069"/>
    </row>
    <row r="7070" spans="10:10" x14ac:dyDescent="0.3">
      <c r="J7070"/>
    </row>
    <row r="7071" spans="10:10" x14ac:dyDescent="0.3">
      <c r="J7071"/>
    </row>
    <row r="7072" spans="10:10" x14ac:dyDescent="0.3">
      <c r="J7072"/>
    </row>
    <row r="7073" spans="10:10" x14ac:dyDescent="0.3">
      <c r="J7073"/>
    </row>
    <row r="7074" spans="10:10" x14ac:dyDescent="0.3">
      <c r="J7074"/>
    </row>
    <row r="7075" spans="10:10" x14ac:dyDescent="0.3">
      <c r="J7075"/>
    </row>
    <row r="7076" spans="10:10" x14ac:dyDescent="0.3">
      <c r="J7076"/>
    </row>
    <row r="7077" spans="10:10" x14ac:dyDescent="0.3">
      <c r="J7077"/>
    </row>
    <row r="7078" spans="10:10" x14ac:dyDescent="0.3">
      <c r="J7078"/>
    </row>
    <row r="7079" spans="10:10" x14ac:dyDescent="0.3">
      <c r="J7079"/>
    </row>
    <row r="7080" spans="10:10" x14ac:dyDescent="0.3">
      <c r="J7080"/>
    </row>
    <row r="7081" spans="10:10" x14ac:dyDescent="0.3">
      <c r="J7081"/>
    </row>
    <row r="7082" spans="10:10" x14ac:dyDescent="0.3">
      <c r="J7082"/>
    </row>
    <row r="7083" spans="10:10" x14ac:dyDescent="0.3">
      <c r="J7083"/>
    </row>
    <row r="7084" spans="10:10" x14ac:dyDescent="0.3">
      <c r="J7084"/>
    </row>
    <row r="7085" spans="10:10" x14ac:dyDescent="0.3">
      <c r="J7085"/>
    </row>
    <row r="7086" spans="10:10" x14ac:dyDescent="0.3">
      <c r="J7086"/>
    </row>
    <row r="7087" spans="10:10" x14ac:dyDescent="0.3">
      <c r="J7087"/>
    </row>
    <row r="7088" spans="10:10" x14ac:dyDescent="0.3">
      <c r="J7088"/>
    </row>
    <row r="7089" spans="10:10" x14ac:dyDescent="0.3">
      <c r="J7089"/>
    </row>
    <row r="7090" spans="10:10" x14ac:dyDescent="0.3">
      <c r="J7090"/>
    </row>
    <row r="7091" spans="10:10" x14ac:dyDescent="0.3">
      <c r="J7091"/>
    </row>
    <row r="7092" spans="10:10" x14ac:dyDescent="0.3">
      <c r="J7092"/>
    </row>
    <row r="7093" spans="10:10" x14ac:dyDescent="0.3">
      <c r="J7093"/>
    </row>
    <row r="7094" spans="10:10" x14ac:dyDescent="0.3">
      <c r="J7094"/>
    </row>
    <row r="7095" spans="10:10" x14ac:dyDescent="0.3">
      <c r="J7095"/>
    </row>
    <row r="7096" spans="10:10" x14ac:dyDescent="0.3">
      <c r="J7096"/>
    </row>
    <row r="7097" spans="10:10" x14ac:dyDescent="0.3">
      <c r="J7097"/>
    </row>
    <row r="7098" spans="10:10" x14ac:dyDescent="0.3">
      <c r="J7098"/>
    </row>
    <row r="7099" spans="10:10" x14ac:dyDescent="0.3">
      <c r="J7099"/>
    </row>
    <row r="7100" spans="10:10" x14ac:dyDescent="0.3">
      <c r="J7100"/>
    </row>
    <row r="7101" spans="10:10" x14ac:dyDescent="0.3">
      <c r="J7101"/>
    </row>
    <row r="7102" spans="10:10" x14ac:dyDescent="0.3">
      <c r="J7102"/>
    </row>
    <row r="7103" spans="10:10" x14ac:dyDescent="0.3">
      <c r="J7103"/>
    </row>
    <row r="7104" spans="10:10" x14ac:dyDescent="0.3">
      <c r="J7104"/>
    </row>
    <row r="7105" spans="10:10" x14ac:dyDescent="0.3">
      <c r="J7105"/>
    </row>
    <row r="7106" spans="10:10" x14ac:dyDescent="0.3">
      <c r="J7106"/>
    </row>
    <row r="7107" spans="10:10" x14ac:dyDescent="0.3">
      <c r="J7107"/>
    </row>
    <row r="7108" spans="10:10" x14ac:dyDescent="0.3">
      <c r="J7108"/>
    </row>
    <row r="7109" spans="10:10" x14ac:dyDescent="0.3">
      <c r="J7109"/>
    </row>
    <row r="7110" spans="10:10" x14ac:dyDescent="0.3">
      <c r="J7110"/>
    </row>
    <row r="7111" spans="10:10" x14ac:dyDescent="0.3">
      <c r="J7111"/>
    </row>
    <row r="7112" spans="10:10" x14ac:dyDescent="0.3">
      <c r="J7112"/>
    </row>
    <row r="7113" spans="10:10" x14ac:dyDescent="0.3">
      <c r="J7113"/>
    </row>
    <row r="7114" spans="10:10" x14ac:dyDescent="0.3">
      <c r="J7114"/>
    </row>
    <row r="7115" spans="10:10" x14ac:dyDescent="0.3">
      <c r="J7115"/>
    </row>
    <row r="7116" spans="10:10" x14ac:dyDescent="0.3">
      <c r="J7116"/>
    </row>
    <row r="7117" spans="10:10" x14ac:dyDescent="0.3">
      <c r="J7117"/>
    </row>
    <row r="7118" spans="10:10" x14ac:dyDescent="0.3">
      <c r="J7118"/>
    </row>
    <row r="7119" spans="10:10" x14ac:dyDescent="0.3">
      <c r="J7119"/>
    </row>
    <row r="7120" spans="10:10" x14ac:dyDescent="0.3">
      <c r="J7120"/>
    </row>
    <row r="7121" spans="10:10" x14ac:dyDescent="0.3">
      <c r="J7121"/>
    </row>
    <row r="7122" spans="10:10" x14ac:dyDescent="0.3">
      <c r="J7122"/>
    </row>
    <row r="7123" spans="10:10" x14ac:dyDescent="0.3">
      <c r="J7123"/>
    </row>
    <row r="7124" spans="10:10" x14ac:dyDescent="0.3">
      <c r="J7124"/>
    </row>
    <row r="7125" spans="10:10" x14ac:dyDescent="0.3">
      <c r="J7125"/>
    </row>
    <row r="7126" spans="10:10" x14ac:dyDescent="0.3">
      <c r="J7126"/>
    </row>
    <row r="7127" spans="10:10" x14ac:dyDescent="0.3">
      <c r="J7127"/>
    </row>
    <row r="7128" spans="10:10" x14ac:dyDescent="0.3">
      <c r="J7128"/>
    </row>
    <row r="7129" spans="10:10" x14ac:dyDescent="0.3">
      <c r="J7129"/>
    </row>
    <row r="7130" spans="10:10" x14ac:dyDescent="0.3">
      <c r="J7130"/>
    </row>
    <row r="7131" spans="10:10" x14ac:dyDescent="0.3">
      <c r="J7131"/>
    </row>
    <row r="7132" spans="10:10" x14ac:dyDescent="0.3">
      <c r="J7132"/>
    </row>
    <row r="7133" spans="10:10" x14ac:dyDescent="0.3">
      <c r="J7133"/>
    </row>
    <row r="7134" spans="10:10" x14ac:dyDescent="0.3">
      <c r="J7134"/>
    </row>
    <row r="7135" spans="10:10" x14ac:dyDescent="0.3">
      <c r="J7135"/>
    </row>
    <row r="7136" spans="10:10" x14ac:dyDescent="0.3">
      <c r="J7136"/>
    </row>
    <row r="7137" spans="10:10" x14ac:dyDescent="0.3">
      <c r="J7137"/>
    </row>
    <row r="7138" spans="10:10" x14ac:dyDescent="0.3">
      <c r="J7138"/>
    </row>
    <row r="7139" spans="10:10" x14ac:dyDescent="0.3">
      <c r="J7139"/>
    </row>
    <row r="7140" spans="10:10" x14ac:dyDescent="0.3">
      <c r="J7140"/>
    </row>
    <row r="7141" spans="10:10" x14ac:dyDescent="0.3">
      <c r="J7141"/>
    </row>
    <row r="7142" spans="10:10" x14ac:dyDescent="0.3">
      <c r="J7142"/>
    </row>
    <row r="7143" spans="10:10" x14ac:dyDescent="0.3">
      <c r="J7143"/>
    </row>
    <row r="7144" spans="10:10" x14ac:dyDescent="0.3">
      <c r="J7144"/>
    </row>
    <row r="7145" spans="10:10" x14ac:dyDescent="0.3">
      <c r="J7145"/>
    </row>
    <row r="7146" spans="10:10" x14ac:dyDescent="0.3">
      <c r="J7146"/>
    </row>
    <row r="7147" spans="10:10" x14ac:dyDescent="0.3">
      <c r="J7147"/>
    </row>
    <row r="7148" spans="10:10" x14ac:dyDescent="0.3">
      <c r="J7148"/>
    </row>
    <row r="7149" spans="10:10" x14ac:dyDescent="0.3">
      <c r="J7149"/>
    </row>
    <row r="7150" spans="10:10" x14ac:dyDescent="0.3">
      <c r="J7150"/>
    </row>
    <row r="7151" spans="10:10" x14ac:dyDescent="0.3">
      <c r="J7151"/>
    </row>
    <row r="7152" spans="10:10" x14ac:dyDescent="0.3">
      <c r="J7152"/>
    </row>
    <row r="7153" spans="10:10" x14ac:dyDescent="0.3">
      <c r="J7153"/>
    </row>
    <row r="7154" spans="10:10" x14ac:dyDescent="0.3">
      <c r="J7154"/>
    </row>
    <row r="7155" spans="10:10" x14ac:dyDescent="0.3">
      <c r="J7155"/>
    </row>
    <row r="7156" spans="10:10" x14ac:dyDescent="0.3">
      <c r="J7156"/>
    </row>
    <row r="7157" spans="10:10" x14ac:dyDescent="0.3">
      <c r="J7157"/>
    </row>
    <row r="7158" spans="10:10" x14ac:dyDescent="0.3">
      <c r="J7158"/>
    </row>
    <row r="7159" spans="10:10" x14ac:dyDescent="0.3">
      <c r="J7159"/>
    </row>
    <row r="7160" spans="10:10" x14ac:dyDescent="0.3">
      <c r="J7160"/>
    </row>
    <row r="7161" spans="10:10" x14ac:dyDescent="0.3">
      <c r="J7161"/>
    </row>
    <row r="7162" spans="10:10" x14ac:dyDescent="0.3">
      <c r="J7162"/>
    </row>
    <row r="7163" spans="10:10" x14ac:dyDescent="0.3">
      <c r="J7163"/>
    </row>
    <row r="7164" spans="10:10" x14ac:dyDescent="0.3">
      <c r="J7164"/>
    </row>
    <row r="7165" spans="10:10" x14ac:dyDescent="0.3">
      <c r="J7165"/>
    </row>
    <row r="7166" spans="10:10" x14ac:dyDescent="0.3">
      <c r="J7166"/>
    </row>
    <row r="7167" spans="10:10" x14ac:dyDescent="0.3">
      <c r="J7167"/>
    </row>
    <row r="7168" spans="10:10" x14ac:dyDescent="0.3">
      <c r="J7168"/>
    </row>
    <row r="7169" spans="10:10" x14ac:dyDescent="0.3">
      <c r="J7169"/>
    </row>
    <row r="7170" spans="10:10" x14ac:dyDescent="0.3">
      <c r="J7170"/>
    </row>
    <row r="7171" spans="10:10" x14ac:dyDescent="0.3">
      <c r="J7171"/>
    </row>
    <row r="7172" spans="10:10" x14ac:dyDescent="0.3">
      <c r="J7172"/>
    </row>
    <row r="7173" spans="10:10" x14ac:dyDescent="0.3">
      <c r="J7173"/>
    </row>
    <row r="7174" spans="10:10" x14ac:dyDescent="0.3">
      <c r="J7174"/>
    </row>
    <row r="7175" spans="10:10" x14ac:dyDescent="0.3">
      <c r="J7175"/>
    </row>
    <row r="7176" spans="10:10" x14ac:dyDescent="0.3">
      <c r="J7176"/>
    </row>
    <row r="7177" spans="10:10" x14ac:dyDescent="0.3">
      <c r="J7177"/>
    </row>
    <row r="7178" spans="10:10" x14ac:dyDescent="0.3">
      <c r="J7178"/>
    </row>
    <row r="7179" spans="10:10" x14ac:dyDescent="0.3">
      <c r="J7179"/>
    </row>
    <row r="7180" spans="10:10" x14ac:dyDescent="0.3">
      <c r="J7180"/>
    </row>
    <row r="7181" spans="10:10" x14ac:dyDescent="0.3">
      <c r="J7181"/>
    </row>
    <row r="7182" spans="10:10" x14ac:dyDescent="0.3">
      <c r="J7182"/>
    </row>
    <row r="7183" spans="10:10" x14ac:dyDescent="0.3">
      <c r="J7183"/>
    </row>
    <row r="7184" spans="10:10" x14ac:dyDescent="0.3">
      <c r="J7184"/>
    </row>
    <row r="7185" spans="10:10" x14ac:dyDescent="0.3">
      <c r="J7185"/>
    </row>
    <row r="7186" spans="10:10" x14ac:dyDescent="0.3">
      <c r="J7186"/>
    </row>
    <row r="7187" spans="10:10" x14ac:dyDescent="0.3">
      <c r="J7187"/>
    </row>
    <row r="7188" spans="10:10" x14ac:dyDescent="0.3">
      <c r="J7188"/>
    </row>
    <row r="7189" spans="10:10" x14ac:dyDescent="0.3">
      <c r="J7189"/>
    </row>
    <row r="7190" spans="10:10" x14ac:dyDescent="0.3">
      <c r="J7190"/>
    </row>
    <row r="7191" spans="10:10" x14ac:dyDescent="0.3">
      <c r="J7191"/>
    </row>
    <row r="7192" spans="10:10" x14ac:dyDescent="0.3">
      <c r="J7192"/>
    </row>
    <row r="7193" spans="10:10" x14ac:dyDescent="0.3">
      <c r="J7193"/>
    </row>
    <row r="7194" spans="10:10" x14ac:dyDescent="0.3">
      <c r="J7194"/>
    </row>
    <row r="7195" spans="10:10" x14ac:dyDescent="0.3">
      <c r="J7195"/>
    </row>
    <row r="7196" spans="10:10" x14ac:dyDescent="0.3">
      <c r="J7196"/>
    </row>
    <row r="7197" spans="10:10" x14ac:dyDescent="0.3">
      <c r="J7197"/>
    </row>
    <row r="7198" spans="10:10" x14ac:dyDescent="0.3">
      <c r="J7198"/>
    </row>
    <row r="7199" spans="10:10" x14ac:dyDescent="0.3">
      <c r="J7199"/>
    </row>
    <row r="7200" spans="10:10" x14ac:dyDescent="0.3">
      <c r="J7200"/>
    </row>
    <row r="7201" spans="10:10" x14ac:dyDescent="0.3">
      <c r="J7201"/>
    </row>
    <row r="7202" spans="10:10" x14ac:dyDescent="0.3">
      <c r="J7202"/>
    </row>
    <row r="7203" spans="10:10" x14ac:dyDescent="0.3">
      <c r="J7203"/>
    </row>
    <row r="7204" spans="10:10" x14ac:dyDescent="0.3">
      <c r="J7204"/>
    </row>
    <row r="7205" spans="10:10" x14ac:dyDescent="0.3">
      <c r="J7205"/>
    </row>
    <row r="7206" spans="10:10" x14ac:dyDescent="0.3">
      <c r="J7206"/>
    </row>
    <row r="7207" spans="10:10" x14ac:dyDescent="0.3">
      <c r="J7207"/>
    </row>
    <row r="7208" spans="10:10" x14ac:dyDescent="0.3">
      <c r="J7208"/>
    </row>
    <row r="7209" spans="10:10" x14ac:dyDescent="0.3">
      <c r="J7209"/>
    </row>
    <row r="7210" spans="10:10" x14ac:dyDescent="0.3">
      <c r="J7210"/>
    </row>
    <row r="7211" spans="10:10" x14ac:dyDescent="0.3">
      <c r="J7211"/>
    </row>
    <row r="7212" spans="10:10" x14ac:dyDescent="0.3">
      <c r="J7212"/>
    </row>
    <row r="7213" spans="10:10" x14ac:dyDescent="0.3">
      <c r="J7213"/>
    </row>
    <row r="7214" spans="10:10" x14ac:dyDescent="0.3">
      <c r="J7214"/>
    </row>
    <row r="7215" spans="10:10" x14ac:dyDescent="0.3">
      <c r="J7215"/>
    </row>
    <row r="7216" spans="10:10" x14ac:dyDescent="0.3">
      <c r="J7216"/>
    </row>
    <row r="7217" spans="10:10" x14ac:dyDescent="0.3">
      <c r="J7217"/>
    </row>
    <row r="7218" spans="10:10" x14ac:dyDescent="0.3">
      <c r="J7218"/>
    </row>
    <row r="7219" spans="10:10" x14ac:dyDescent="0.3">
      <c r="J7219"/>
    </row>
    <row r="7220" spans="10:10" x14ac:dyDescent="0.3">
      <c r="J7220"/>
    </row>
    <row r="7221" spans="10:10" x14ac:dyDescent="0.3">
      <c r="J7221"/>
    </row>
    <row r="7222" spans="10:10" x14ac:dyDescent="0.3">
      <c r="J7222"/>
    </row>
    <row r="7223" spans="10:10" x14ac:dyDescent="0.3">
      <c r="J7223"/>
    </row>
    <row r="7224" spans="10:10" x14ac:dyDescent="0.3">
      <c r="J7224"/>
    </row>
    <row r="7225" spans="10:10" x14ac:dyDescent="0.3">
      <c r="J7225"/>
    </row>
    <row r="7226" spans="10:10" x14ac:dyDescent="0.3">
      <c r="J7226"/>
    </row>
    <row r="7227" spans="10:10" x14ac:dyDescent="0.3">
      <c r="J7227"/>
    </row>
    <row r="7228" spans="10:10" x14ac:dyDescent="0.3">
      <c r="J7228"/>
    </row>
    <row r="7229" spans="10:10" x14ac:dyDescent="0.3">
      <c r="J7229"/>
    </row>
    <row r="7230" spans="10:10" x14ac:dyDescent="0.3">
      <c r="J7230"/>
    </row>
    <row r="7231" spans="10:10" x14ac:dyDescent="0.3">
      <c r="J7231"/>
    </row>
    <row r="7232" spans="10:10" x14ac:dyDescent="0.3">
      <c r="J7232"/>
    </row>
    <row r="7233" spans="10:10" x14ac:dyDescent="0.3">
      <c r="J7233"/>
    </row>
    <row r="7234" spans="10:10" x14ac:dyDescent="0.3">
      <c r="J7234"/>
    </row>
    <row r="7235" spans="10:10" x14ac:dyDescent="0.3">
      <c r="J7235"/>
    </row>
    <row r="7236" spans="10:10" x14ac:dyDescent="0.3">
      <c r="J7236"/>
    </row>
    <row r="7237" spans="10:10" x14ac:dyDescent="0.3">
      <c r="J7237"/>
    </row>
    <row r="7238" spans="10:10" x14ac:dyDescent="0.3">
      <c r="J7238"/>
    </row>
    <row r="7239" spans="10:10" x14ac:dyDescent="0.3">
      <c r="J7239"/>
    </row>
    <row r="7240" spans="10:10" x14ac:dyDescent="0.3">
      <c r="J7240"/>
    </row>
    <row r="7241" spans="10:10" x14ac:dyDescent="0.3">
      <c r="J7241"/>
    </row>
    <row r="7242" spans="10:10" x14ac:dyDescent="0.3">
      <c r="J7242"/>
    </row>
    <row r="7243" spans="10:10" x14ac:dyDescent="0.3">
      <c r="J7243"/>
    </row>
    <row r="7244" spans="10:10" x14ac:dyDescent="0.3">
      <c r="J7244"/>
    </row>
    <row r="7245" spans="10:10" x14ac:dyDescent="0.3">
      <c r="J7245"/>
    </row>
    <row r="7246" spans="10:10" x14ac:dyDescent="0.3">
      <c r="J7246"/>
    </row>
    <row r="7247" spans="10:10" x14ac:dyDescent="0.3">
      <c r="J7247"/>
    </row>
    <row r="7248" spans="10:10" x14ac:dyDescent="0.3">
      <c r="J7248"/>
    </row>
    <row r="7249" spans="10:10" x14ac:dyDescent="0.3">
      <c r="J7249"/>
    </row>
    <row r="7250" spans="10:10" x14ac:dyDescent="0.3">
      <c r="J7250"/>
    </row>
    <row r="7251" spans="10:10" x14ac:dyDescent="0.3">
      <c r="J7251"/>
    </row>
    <row r="7252" spans="10:10" x14ac:dyDescent="0.3">
      <c r="J7252"/>
    </row>
    <row r="7253" spans="10:10" x14ac:dyDescent="0.3">
      <c r="J7253"/>
    </row>
    <row r="7254" spans="10:10" x14ac:dyDescent="0.3">
      <c r="J7254"/>
    </row>
    <row r="7255" spans="10:10" x14ac:dyDescent="0.3">
      <c r="J7255"/>
    </row>
    <row r="7256" spans="10:10" x14ac:dyDescent="0.3">
      <c r="J7256"/>
    </row>
    <row r="7257" spans="10:10" x14ac:dyDescent="0.3">
      <c r="J7257"/>
    </row>
    <row r="7258" spans="10:10" x14ac:dyDescent="0.3">
      <c r="J7258"/>
    </row>
    <row r="7259" spans="10:10" x14ac:dyDescent="0.3">
      <c r="J7259"/>
    </row>
    <row r="7260" spans="10:10" x14ac:dyDescent="0.3">
      <c r="J7260"/>
    </row>
    <row r="7261" spans="10:10" x14ac:dyDescent="0.3">
      <c r="J7261"/>
    </row>
    <row r="7262" spans="10:10" x14ac:dyDescent="0.3">
      <c r="J7262"/>
    </row>
    <row r="7263" spans="10:10" x14ac:dyDescent="0.3">
      <c r="J7263"/>
    </row>
    <row r="7264" spans="10:10" x14ac:dyDescent="0.3">
      <c r="J7264"/>
    </row>
    <row r="7265" spans="10:10" x14ac:dyDescent="0.3">
      <c r="J7265"/>
    </row>
    <row r="7266" spans="10:10" x14ac:dyDescent="0.3">
      <c r="J7266"/>
    </row>
    <row r="7267" spans="10:10" x14ac:dyDescent="0.3">
      <c r="J7267"/>
    </row>
    <row r="7268" spans="10:10" x14ac:dyDescent="0.3">
      <c r="J7268"/>
    </row>
    <row r="7269" spans="10:10" x14ac:dyDescent="0.3">
      <c r="J7269"/>
    </row>
    <row r="7270" spans="10:10" x14ac:dyDescent="0.3">
      <c r="J7270"/>
    </row>
    <row r="7271" spans="10:10" x14ac:dyDescent="0.3">
      <c r="J7271"/>
    </row>
    <row r="7272" spans="10:10" x14ac:dyDescent="0.3">
      <c r="J7272"/>
    </row>
    <row r="7273" spans="10:10" x14ac:dyDescent="0.3">
      <c r="J7273"/>
    </row>
    <row r="7274" spans="10:10" x14ac:dyDescent="0.3">
      <c r="J7274"/>
    </row>
    <row r="7275" spans="10:10" x14ac:dyDescent="0.3">
      <c r="J7275"/>
    </row>
    <row r="7276" spans="10:10" x14ac:dyDescent="0.3">
      <c r="J7276"/>
    </row>
    <row r="7277" spans="10:10" x14ac:dyDescent="0.3">
      <c r="J7277"/>
    </row>
    <row r="7278" spans="10:10" x14ac:dyDescent="0.3">
      <c r="J7278"/>
    </row>
    <row r="7279" spans="10:10" x14ac:dyDescent="0.3">
      <c r="J7279"/>
    </row>
    <row r="7280" spans="10:10" x14ac:dyDescent="0.3">
      <c r="J7280"/>
    </row>
    <row r="7281" spans="10:10" x14ac:dyDescent="0.3">
      <c r="J7281"/>
    </row>
    <row r="7282" spans="10:10" x14ac:dyDescent="0.3">
      <c r="J7282"/>
    </row>
    <row r="7283" spans="10:10" x14ac:dyDescent="0.3">
      <c r="J7283"/>
    </row>
    <row r="7284" spans="10:10" x14ac:dyDescent="0.3">
      <c r="J7284"/>
    </row>
    <row r="7285" spans="10:10" x14ac:dyDescent="0.3">
      <c r="J7285"/>
    </row>
    <row r="7286" spans="10:10" x14ac:dyDescent="0.3">
      <c r="J7286"/>
    </row>
    <row r="7287" spans="10:10" x14ac:dyDescent="0.3">
      <c r="J7287"/>
    </row>
    <row r="7288" spans="10:10" x14ac:dyDescent="0.3">
      <c r="J7288"/>
    </row>
    <row r="7289" spans="10:10" x14ac:dyDescent="0.3">
      <c r="J7289"/>
    </row>
    <row r="7290" spans="10:10" x14ac:dyDescent="0.3">
      <c r="J7290"/>
    </row>
    <row r="7291" spans="10:10" x14ac:dyDescent="0.3">
      <c r="J7291"/>
    </row>
    <row r="7292" spans="10:10" x14ac:dyDescent="0.3">
      <c r="J7292"/>
    </row>
    <row r="7293" spans="10:10" x14ac:dyDescent="0.3">
      <c r="J7293"/>
    </row>
    <row r="7294" spans="10:10" x14ac:dyDescent="0.3">
      <c r="J7294"/>
    </row>
    <row r="7295" spans="10:10" x14ac:dyDescent="0.3">
      <c r="J7295"/>
    </row>
    <row r="7296" spans="10:10" x14ac:dyDescent="0.3">
      <c r="J7296"/>
    </row>
    <row r="7297" spans="10:10" x14ac:dyDescent="0.3">
      <c r="J7297"/>
    </row>
    <row r="7298" spans="10:10" x14ac:dyDescent="0.3">
      <c r="J7298"/>
    </row>
    <row r="7299" spans="10:10" x14ac:dyDescent="0.3">
      <c r="J7299"/>
    </row>
    <row r="7300" spans="10:10" x14ac:dyDescent="0.3">
      <c r="J7300"/>
    </row>
    <row r="7301" spans="10:10" x14ac:dyDescent="0.3">
      <c r="J7301"/>
    </row>
    <row r="7302" spans="10:10" x14ac:dyDescent="0.3">
      <c r="J7302"/>
    </row>
    <row r="7303" spans="10:10" x14ac:dyDescent="0.3">
      <c r="J7303"/>
    </row>
    <row r="7304" spans="10:10" x14ac:dyDescent="0.3">
      <c r="J7304"/>
    </row>
    <row r="7305" spans="10:10" x14ac:dyDescent="0.3">
      <c r="J7305"/>
    </row>
    <row r="7306" spans="10:10" x14ac:dyDescent="0.3">
      <c r="J7306"/>
    </row>
    <row r="7307" spans="10:10" x14ac:dyDescent="0.3">
      <c r="J7307"/>
    </row>
    <row r="7308" spans="10:10" x14ac:dyDescent="0.3">
      <c r="J7308"/>
    </row>
    <row r="7309" spans="10:10" x14ac:dyDescent="0.3">
      <c r="J7309"/>
    </row>
    <row r="7310" spans="10:10" x14ac:dyDescent="0.3">
      <c r="J7310"/>
    </row>
    <row r="7311" spans="10:10" x14ac:dyDescent="0.3">
      <c r="J7311"/>
    </row>
    <row r="7312" spans="10:10" x14ac:dyDescent="0.3">
      <c r="J7312"/>
    </row>
    <row r="7313" spans="10:10" x14ac:dyDescent="0.3">
      <c r="J7313"/>
    </row>
    <row r="7314" spans="10:10" x14ac:dyDescent="0.3">
      <c r="J7314"/>
    </row>
    <row r="7315" spans="10:10" x14ac:dyDescent="0.3">
      <c r="J7315"/>
    </row>
    <row r="7316" spans="10:10" x14ac:dyDescent="0.3">
      <c r="J7316"/>
    </row>
    <row r="7317" spans="10:10" x14ac:dyDescent="0.3">
      <c r="J7317"/>
    </row>
    <row r="7318" spans="10:10" x14ac:dyDescent="0.3">
      <c r="J7318"/>
    </row>
    <row r="7319" spans="10:10" x14ac:dyDescent="0.3">
      <c r="J7319"/>
    </row>
    <row r="7320" spans="10:10" x14ac:dyDescent="0.3">
      <c r="J7320"/>
    </row>
    <row r="7321" spans="10:10" x14ac:dyDescent="0.3">
      <c r="J7321"/>
    </row>
    <row r="7322" spans="10:10" x14ac:dyDescent="0.3">
      <c r="J7322"/>
    </row>
    <row r="7323" spans="10:10" x14ac:dyDescent="0.3">
      <c r="J7323"/>
    </row>
    <row r="7324" spans="10:10" x14ac:dyDescent="0.3">
      <c r="J7324"/>
    </row>
    <row r="7325" spans="10:10" x14ac:dyDescent="0.3">
      <c r="J7325"/>
    </row>
    <row r="7326" spans="10:10" x14ac:dyDescent="0.3">
      <c r="J7326"/>
    </row>
    <row r="7327" spans="10:10" x14ac:dyDescent="0.3">
      <c r="J7327"/>
    </row>
    <row r="7328" spans="10:10" x14ac:dyDescent="0.3">
      <c r="J7328"/>
    </row>
    <row r="7329" spans="10:10" x14ac:dyDescent="0.3">
      <c r="J7329"/>
    </row>
    <row r="7330" spans="10:10" x14ac:dyDescent="0.3">
      <c r="J7330"/>
    </row>
    <row r="7331" spans="10:10" x14ac:dyDescent="0.3">
      <c r="J7331"/>
    </row>
    <row r="7332" spans="10:10" x14ac:dyDescent="0.3">
      <c r="J7332"/>
    </row>
    <row r="7333" spans="10:10" x14ac:dyDescent="0.3">
      <c r="J7333"/>
    </row>
    <row r="7334" spans="10:10" x14ac:dyDescent="0.3">
      <c r="J7334"/>
    </row>
    <row r="7335" spans="10:10" x14ac:dyDescent="0.3">
      <c r="J7335"/>
    </row>
    <row r="7336" spans="10:10" x14ac:dyDescent="0.3">
      <c r="J7336"/>
    </row>
    <row r="7337" spans="10:10" x14ac:dyDescent="0.3">
      <c r="J7337"/>
    </row>
    <row r="7338" spans="10:10" x14ac:dyDescent="0.3">
      <c r="J7338"/>
    </row>
    <row r="7339" spans="10:10" x14ac:dyDescent="0.3">
      <c r="J7339"/>
    </row>
    <row r="7340" spans="10:10" x14ac:dyDescent="0.3">
      <c r="J7340"/>
    </row>
    <row r="7341" spans="10:10" x14ac:dyDescent="0.3">
      <c r="J7341"/>
    </row>
    <row r="7342" spans="10:10" x14ac:dyDescent="0.3">
      <c r="J7342"/>
    </row>
    <row r="7343" spans="10:10" x14ac:dyDescent="0.3">
      <c r="J7343"/>
    </row>
    <row r="7344" spans="10:10" x14ac:dyDescent="0.3">
      <c r="J7344"/>
    </row>
    <row r="7345" spans="10:10" x14ac:dyDescent="0.3">
      <c r="J7345"/>
    </row>
    <row r="7346" spans="10:10" x14ac:dyDescent="0.3">
      <c r="J7346"/>
    </row>
    <row r="7347" spans="10:10" x14ac:dyDescent="0.3">
      <c r="J7347"/>
    </row>
    <row r="7348" spans="10:10" x14ac:dyDescent="0.3">
      <c r="J7348"/>
    </row>
    <row r="7349" spans="10:10" x14ac:dyDescent="0.3">
      <c r="J7349"/>
    </row>
    <row r="7350" spans="10:10" x14ac:dyDescent="0.3">
      <c r="J7350"/>
    </row>
    <row r="7351" spans="10:10" x14ac:dyDescent="0.3">
      <c r="J7351"/>
    </row>
    <row r="7352" spans="10:10" x14ac:dyDescent="0.3">
      <c r="J7352"/>
    </row>
    <row r="7353" spans="10:10" x14ac:dyDescent="0.3">
      <c r="J7353"/>
    </row>
    <row r="7354" spans="10:10" x14ac:dyDescent="0.3">
      <c r="J7354"/>
    </row>
    <row r="7355" spans="10:10" x14ac:dyDescent="0.3">
      <c r="J7355"/>
    </row>
    <row r="7356" spans="10:10" x14ac:dyDescent="0.3">
      <c r="J7356"/>
    </row>
    <row r="7357" spans="10:10" x14ac:dyDescent="0.3">
      <c r="J7357"/>
    </row>
    <row r="7358" spans="10:10" x14ac:dyDescent="0.3">
      <c r="J7358"/>
    </row>
    <row r="7359" spans="10:10" x14ac:dyDescent="0.3">
      <c r="J7359"/>
    </row>
    <row r="7360" spans="10:10" x14ac:dyDescent="0.3">
      <c r="J7360"/>
    </row>
    <row r="7361" spans="10:10" x14ac:dyDescent="0.3">
      <c r="J7361"/>
    </row>
    <row r="7362" spans="10:10" x14ac:dyDescent="0.3">
      <c r="J7362"/>
    </row>
    <row r="7363" spans="10:10" x14ac:dyDescent="0.3">
      <c r="J7363"/>
    </row>
    <row r="7364" spans="10:10" x14ac:dyDescent="0.3">
      <c r="J7364"/>
    </row>
    <row r="7365" spans="10:10" x14ac:dyDescent="0.3">
      <c r="J7365"/>
    </row>
    <row r="7366" spans="10:10" x14ac:dyDescent="0.3">
      <c r="J7366"/>
    </row>
    <row r="7367" spans="10:10" x14ac:dyDescent="0.3">
      <c r="J7367"/>
    </row>
    <row r="7368" spans="10:10" x14ac:dyDescent="0.3">
      <c r="J7368"/>
    </row>
    <row r="7369" spans="10:10" x14ac:dyDescent="0.3">
      <c r="J7369"/>
    </row>
    <row r="7370" spans="10:10" x14ac:dyDescent="0.3">
      <c r="J7370"/>
    </row>
    <row r="7371" spans="10:10" x14ac:dyDescent="0.3">
      <c r="J7371"/>
    </row>
    <row r="7372" spans="10:10" x14ac:dyDescent="0.3">
      <c r="J7372"/>
    </row>
    <row r="7373" spans="10:10" x14ac:dyDescent="0.3">
      <c r="J7373"/>
    </row>
    <row r="7374" spans="10:10" x14ac:dyDescent="0.3">
      <c r="J7374"/>
    </row>
    <row r="7375" spans="10:10" x14ac:dyDescent="0.3">
      <c r="J7375"/>
    </row>
    <row r="7376" spans="10:10" x14ac:dyDescent="0.3">
      <c r="J7376"/>
    </row>
    <row r="7377" spans="10:10" x14ac:dyDescent="0.3">
      <c r="J7377"/>
    </row>
    <row r="7378" spans="10:10" x14ac:dyDescent="0.3">
      <c r="J7378"/>
    </row>
    <row r="7379" spans="10:10" x14ac:dyDescent="0.3">
      <c r="J7379"/>
    </row>
    <row r="7380" spans="10:10" x14ac:dyDescent="0.3">
      <c r="J7380"/>
    </row>
    <row r="7381" spans="10:10" x14ac:dyDescent="0.3">
      <c r="J7381"/>
    </row>
    <row r="7382" spans="10:10" x14ac:dyDescent="0.3">
      <c r="J7382"/>
    </row>
    <row r="7383" spans="10:10" x14ac:dyDescent="0.3">
      <c r="J7383"/>
    </row>
    <row r="7384" spans="10:10" x14ac:dyDescent="0.3">
      <c r="J7384"/>
    </row>
    <row r="7385" spans="10:10" x14ac:dyDescent="0.3">
      <c r="J7385"/>
    </row>
    <row r="7386" spans="10:10" x14ac:dyDescent="0.3">
      <c r="J7386"/>
    </row>
    <row r="7387" spans="10:10" x14ac:dyDescent="0.3">
      <c r="J7387"/>
    </row>
    <row r="7388" spans="10:10" x14ac:dyDescent="0.3">
      <c r="J7388"/>
    </row>
    <row r="7389" spans="10:10" x14ac:dyDescent="0.3">
      <c r="J7389"/>
    </row>
    <row r="7390" spans="10:10" x14ac:dyDescent="0.3">
      <c r="J7390"/>
    </row>
    <row r="7391" spans="10:10" x14ac:dyDescent="0.3">
      <c r="J7391"/>
    </row>
    <row r="7392" spans="10:10" x14ac:dyDescent="0.3">
      <c r="J7392"/>
    </row>
    <row r="7393" spans="10:10" x14ac:dyDescent="0.3">
      <c r="J7393"/>
    </row>
    <row r="7394" spans="10:10" x14ac:dyDescent="0.3">
      <c r="J7394"/>
    </row>
    <row r="7395" spans="10:10" x14ac:dyDescent="0.3">
      <c r="J7395"/>
    </row>
    <row r="7396" spans="10:10" x14ac:dyDescent="0.3">
      <c r="J7396"/>
    </row>
    <row r="7397" spans="10:10" x14ac:dyDescent="0.3">
      <c r="J7397"/>
    </row>
    <row r="7398" spans="10:10" x14ac:dyDescent="0.3">
      <c r="J7398"/>
    </row>
    <row r="7399" spans="10:10" x14ac:dyDescent="0.3">
      <c r="J7399"/>
    </row>
    <row r="7400" spans="10:10" x14ac:dyDescent="0.3">
      <c r="J7400"/>
    </row>
    <row r="7401" spans="10:10" x14ac:dyDescent="0.3">
      <c r="J7401"/>
    </row>
    <row r="7402" spans="10:10" x14ac:dyDescent="0.3">
      <c r="J7402"/>
    </row>
    <row r="7403" spans="10:10" x14ac:dyDescent="0.3">
      <c r="J7403"/>
    </row>
    <row r="7404" spans="10:10" x14ac:dyDescent="0.3">
      <c r="J7404"/>
    </row>
    <row r="7405" spans="10:10" x14ac:dyDescent="0.3">
      <c r="J7405"/>
    </row>
    <row r="7406" spans="10:10" x14ac:dyDescent="0.3">
      <c r="J7406"/>
    </row>
    <row r="7407" spans="10:10" x14ac:dyDescent="0.3">
      <c r="J7407"/>
    </row>
    <row r="7408" spans="10:10" x14ac:dyDescent="0.3">
      <c r="J7408"/>
    </row>
    <row r="7409" spans="10:10" x14ac:dyDescent="0.3">
      <c r="J7409"/>
    </row>
    <row r="7410" spans="10:10" x14ac:dyDescent="0.3">
      <c r="J7410"/>
    </row>
    <row r="7411" spans="10:10" x14ac:dyDescent="0.3">
      <c r="J7411"/>
    </row>
    <row r="7412" spans="10:10" x14ac:dyDescent="0.3">
      <c r="J7412"/>
    </row>
    <row r="7413" spans="10:10" x14ac:dyDescent="0.3">
      <c r="J7413"/>
    </row>
    <row r="7414" spans="10:10" x14ac:dyDescent="0.3">
      <c r="J7414"/>
    </row>
    <row r="7415" spans="10:10" x14ac:dyDescent="0.3">
      <c r="J7415"/>
    </row>
    <row r="7416" spans="10:10" x14ac:dyDescent="0.3">
      <c r="J7416"/>
    </row>
    <row r="7417" spans="10:10" x14ac:dyDescent="0.3">
      <c r="J7417"/>
    </row>
    <row r="7418" spans="10:10" x14ac:dyDescent="0.3">
      <c r="J7418"/>
    </row>
    <row r="7419" spans="10:10" x14ac:dyDescent="0.3">
      <c r="J7419"/>
    </row>
    <row r="7420" spans="10:10" x14ac:dyDescent="0.3">
      <c r="J7420"/>
    </row>
    <row r="7421" spans="10:10" x14ac:dyDescent="0.3">
      <c r="J7421"/>
    </row>
    <row r="7422" spans="10:10" x14ac:dyDescent="0.3">
      <c r="J7422"/>
    </row>
    <row r="7423" spans="10:10" x14ac:dyDescent="0.3">
      <c r="J7423"/>
    </row>
    <row r="7424" spans="10:10" x14ac:dyDescent="0.3">
      <c r="J7424"/>
    </row>
    <row r="7425" spans="10:10" x14ac:dyDescent="0.3">
      <c r="J7425"/>
    </row>
    <row r="7426" spans="10:10" x14ac:dyDescent="0.3">
      <c r="J7426"/>
    </row>
    <row r="7427" spans="10:10" x14ac:dyDescent="0.3">
      <c r="J7427"/>
    </row>
    <row r="7428" spans="10:10" x14ac:dyDescent="0.3">
      <c r="J7428"/>
    </row>
    <row r="7429" spans="10:10" x14ac:dyDescent="0.3">
      <c r="J7429"/>
    </row>
    <row r="7430" spans="10:10" x14ac:dyDescent="0.3">
      <c r="J7430"/>
    </row>
    <row r="7431" spans="10:10" x14ac:dyDescent="0.3">
      <c r="J7431"/>
    </row>
    <row r="7432" spans="10:10" x14ac:dyDescent="0.3">
      <c r="J7432"/>
    </row>
    <row r="7433" spans="10:10" x14ac:dyDescent="0.3">
      <c r="J7433"/>
    </row>
    <row r="7434" spans="10:10" x14ac:dyDescent="0.3">
      <c r="J7434"/>
    </row>
    <row r="7435" spans="10:10" x14ac:dyDescent="0.3">
      <c r="J7435"/>
    </row>
    <row r="7436" spans="10:10" x14ac:dyDescent="0.3">
      <c r="J7436"/>
    </row>
    <row r="7437" spans="10:10" x14ac:dyDescent="0.3">
      <c r="J7437"/>
    </row>
    <row r="7438" spans="10:10" x14ac:dyDescent="0.3">
      <c r="J7438"/>
    </row>
    <row r="7439" spans="10:10" x14ac:dyDescent="0.3">
      <c r="J7439"/>
    </row>
    <row r="7440" spans="10:10" x14ac:dyDescent="0.3">
      <c r="J7440"/>
    </row>
    <row r="7441" spans="10:10" x14ac:dyDescent="0.3">
      <c r="J7441"/>
    </row>
    <row r="7442" spans="10:10" x14ac:dyDescent="0.3">
      <c r="J7442"/>
    </row>
    <row r="7443" spans="10:10" x14ac:dyDescent="0.3">
      <c r="J7443"/>
    </row>
    <row r="7444" spans="10:10" x14ac:dyDescent="0.3">
      <c r="J7444"/>
    </row>
    <row r="7445" spans="10:10" x14ac:dyDescent="0.3">
      <c r="J7445"/>
    </row>
    <row r="7446" spans="10:10" x14ac:dyDescent="0.3">
      <c r="J7446"/>
    </row>
    <row r="7447" spans="10:10" x14ac:dyDescent="0.3">
      <c r="J7447"/>
    </row>
    <row r="7448" spans="10:10" x14ac:dyDescent="0.3">
      <c r="J7448"/>
    </row>
    <row r="7449" spans="10:10" x14ac:dyDescent="0.3">
      <c r="J7449"/>
    </row>
    <row r="7450" spans="10:10" x14ac:dyDescent="0.3">
      <c r="J7450"/>
    </row>
    <row r="7451" spans="10:10" x14ac:dyDescent="0.3">
      <c r="J7451"/>
    </row>
    <row r="7452" spans="10:10" x14ac:dyDescent="0.3">
      <c r="J7452"/>
    </row>
    <row r="7453" spans="10:10" x14ac:dyDescent="0.3">
      <c r="J7453"/>
    </row>
    <row r="7454" spans="10:10" x14ac:dyDescent="0.3">
      <c r="J7454"/>
    </row>
    <row r="7455" spans="10:10" x14ac:dyDescent="0.3">
      <c r="J7455"/>
    </row>
    <row r="7456" spans="10:10" x14ac:dyDescent="0.3">
      <c r="J7456"/>
    </row>
    <row r="7457" spans="10:10" x14ac:dyDescent="0.3">
      <c r="J7457"/>
    </row>
    <row r="7458" spans="10:10" x14ac:dyDescent="0.3">
      <c r="J7458"/>
    </row>
    <row r="7459" spans="10:10" x14ac:dyDescent="0.3">
      <c r="J7459"/>
    </row>
    <row r="7460" spans="10:10" x14ac:dyDescent="0.3">
      <c r="J7460"/>
    </row>
    <row r="7461" spans="10:10" x14ac:dyDescent="0.3">
      <c r="J7461"/>
    </row>
    <row r="7462" spans="10:10" x14ac:dyDescent="0.3">
      <c r="J7462"/>
    </row>
    <row r="7463" spans="10:10" x14ac:dyDescent="0.3">
      <c r="J7463"/>
    </row>
    <row r="7464" spans="10:10" x14ac:dyDescent="0.3">
      <c r="J7464"/>
    </row>
    <row r="7465" spans="10:10" x14ac:dyDescent="0.3">
      <c r="J7465"/>
    </row>
    <row r="7466" spans="10:10" x14ac:dyDescent="0.3">
      <c r="J7466"/>
    </row>
    <row r="7467" spans="10:10" x14ac:dyDescent="0.3">
      <c r="J7467"/>
    </row>
    <row r="7468" spans="10:10" x14ac:dyDescent="0.3">
      <c r="J7468"/>
    </row>
    <row r="7469" spans="10:10" x14ac:dyDescent="0.3">
      <c r="J7469"/>
    </row>
    <row r="7470" spans="10:10" x14ac:dyDescent="0.3">
      <c r="J7470"/>
    </row>
    <row r="7471" spans="10:10" x14ac:dyDescent="0.3">
      <c r="J7471"/>
    </row>
    <row r="7472" spans="10:10" x14ac:dyDescent="0.3">
      <c r="J7472"/>
    </row>
    <row r="7473" spans="10:10" x14ac:dyDescent="0.3">
      <c r="J7473"/>
    </row>
    <row r="7474" spans="10:10" x14ac:dyDescent="0.3">
      <c r="J7474"/>
    </row>
    <row r="7475" spans="10:10" x14ac:dyDescent="0.3">
      <c r="J7475"/>
    </row>
    <row r="7476" spans="10:10" x14ac:dyDescent="0.3">
      <c r="J7476"/>
    </row>
    <row r="7477" spans="10:10" x14ac:dyDescent="0.3">
      <c r="J7477"/>
    </row>
    <row r="7478" spans="10:10" x14ac:dyDescent="0.3">
      <c r="J7478"/>
    </row>
    <row r="7479" spans="10:10" x14ac:dyDescent="0.3">
      <c r="J7479"/>
    </row>
    <row r="7480" spans="10:10" x14ac:dyDescent="0.3">
      <c r="J7480"/>
    </row>
    <row r="7481" spans="10:10" x14ac:dyDescent="0.3">
      <c r="J7481"/>
    </row>
    <row r="7482" spans="10:10" x14ac:dyDescent="0.3">
      <c r="J7482"/>
    </row>
    <row r="7483" spans="10:10" x14ac:dyDescent="0.3">
      <c r="J7483"/>
    </row>
    <row r="7484" spans="10:10" x14ac:dyDescent="0.3">
      <c r="J7484"/>
    </row>
    <row r="7485" spans="10:10" x14ac:dyDescent="0.3">
      <c r="J7485"/>
    </row>
    <row r="7486" spans="10:10" x14ac:dyDescent="0.3">
      <c r="J7486"/>
    </row>
    <row r="7487" spans="10:10" x14ac:dyDescent="0.3">
      <c r="J7487"/>
    </row>
    <row r="7488" spans="10:10" x14ac:dyDescent="0.3">
      <c r="J7488"/>
    </row>
    <row r="7489" spans="10:10" x14ac:dyDescent="0.3">
      <c r="J7489"/>
    </row>
    <row r="7490" spans="10:10" x14ac:dyDescent="0.3">
      <c r="J7490"/>
    </row>
    <row r="7491" spans="10:10" x14ac:dyDescent="0.3">
      <c r="J7491"/>
    </row>
    <row r="7492" spans="10:10" x14ac:dyDescent="0.3">
      <c r="J7492"/>
    </row>
    <row r="7493" spans="10:10" x14ac:dyDescent="0.3">
      <c r="J7493"/>
    </row>
    <row r="7494" spans="10:10" x14ac:dyDescent="0.3">
      <c r="J7494"/>
    </row>
    <row r="7495" spans="10:10" x14ac:dyDescent="0.3">
      <c r="J7495"/>
    </row>
    <row r="7496" spans="10:10" x14ac:dyDescent="0.3">
      <c r="J7496"/>
    </row>
    <row r="7497" spans="10:10" x14ac:dyDescent="0.3">
      <c r="J7497"/>
    </row>
    <row r="7498" spans="10:10" x14ac:dyDescent="0.3">
      <c r="J7498"/>
    </row>
    <row r="7499" spans="10:10" x14ac:dyDescent="0.3">
      <c r="J7499"/>
    </row>
    <row r="7500" spans="10:10" x14ac:dyDescent="0.3">
      <c r="J7500"/>
    </row>
    <row r="7501" spans="10:10" x14ac:dyDescent="0.3">
      <c r="J7501"/>
    </row>
    <row r="7502" spans="10:10" x14ac:dyDescent="0.3">
      <c r="J7502"/>
    </row>
    <row r="7503" spans="10:10" x14ac:dyDescent="0.3">
      <c r="J7503"/>
    </row>
    <row r="7504" spans="10:10" x14ac:dyDescent="0.3">
      <c r="J7504"/>
    </row>
    <row r="7505" spans="10:10" x14ac:dyDescent="0.3">
      <c r="J7505"/>
    </row>
    <row r="7506" spans="10:10" x14ac:dyDescent="0.3">
      <c r="J7506"/>
    </row>
    <row r="7507" spans="10:10" x14ac:dyDescent="0.3">
      <c r="J7507"/>
    </row>
    <row r="7508" spans="10:10" x14ac:dyDescent="0.3">
      <c r="J7508"/>
    </row>
    <row r="7509" spans="10:10" x14ac:dyDescent="0.3">
      <c r="J7509"/>
    </row>
    <row r="7510" spans="10:10" x14ac:dyDescent="0.3">
      <c r="J7510"/>
    </row>
    <row r="7511" spans="10:10" x14ac:dyDescent="0.3">
      <c r="J7511"/>
    </row>
    <row r="7512" spans="10:10" x14ac:dyDescent="0.3">
      <c r="J7512"/>
    </row>
    <row r="7513" spans="10:10" x14ac:dyDescent="0.3">
      <c r="J7513"/>
    </row>
    <row r="7514" spans="10:10" x14ac:dyDescent="0.3">
      <c r="J7514"/>
    </row>
    <row r="7515" spans="10:10" x14ac:dyDescent="0.3">
      <c r="J7515"/>
    </row>
    <row r="7516" spans="10:10" x14ac:dyDescent="0.3">
      <c r="J7516"/>
    </row>
    <row r="7517" spans="10:10" x14ac:dyDescent="0.3">
      <c r="J7517"/>
    </row>
    <row r="7518" spans="10:10" x14ac:dyDescent="0.3">
      <c r="J7518"/>
    </row>
    <row r="7519" spans="10:10" x14ac:dyDescent="0.3">
      <c r="J7519"/>
    </row>
    <row r="7520" spans="10:10" x14ac:dyDescent="0.3">
      <c r="J7520"/>
    </row>
    <row r="7521" spans="10:10" x14ac:dyDescent="0.3">
      <c r="J7521"/>
    </row>
    <row r="7522" spans="10:10" x14ac:dyDescent="0.3">
      <c r="J7522"/>
    </row>
    <row r="7523" spans="10:10" x14ac:dyDescent="0.3">
      <c r="J7523"/>
    </row>
    <row r="7524" spans="10:10" x14ac:dyDescent="0.3">
      <c r="J7524"/>
    </row>
    <row r="7525" spans="10:10" x14ac:dyDescent="0.3">
      <c r="J7525"/>
    </row>
    <row r="7526" spans="10:10" x14ac:dyDescent="0.3">
      <c r="J7526"/>
    </row>
    <row r="7527" spans="10:10" x14ac:dyDescent="0.3">
      <c r="J7527"/>
    </row>
    <row r="7528" spans="10:10" x14ac:dyDescent="0.3">
      <c r="J7528"/>
    </row>
    <row r="7529" spans="10:10" x14ac:dyDescent="0.3">
      <c r="J7529"/>
    </row>
    <row r="7530" spans="10:10" x14ac:dyDescent="0.3">
      <c r="J7530"/>
    </row>
    <row r="7531" spans="10:10" x14ac:dyDescent="0.3">
      <c r="J7531"/>
    </row>
    <row r="7532" spans="10:10" x14ac:dyDescent="0.3">
      <c r="J7532"/>
    </row>
    <row r="7533" spans="10:10" x14ac:dyDescent="0.3">
      <c r="J7533"/>
    </row>
    <row r="7534" spans="10:10" x14ac:dyDescent="0.3">
      <c r="J7534"/>
    </row>
    <row r="7535" spans="10:10" x14ac:dyDescent="0.3">
      <c r="J7535"/>
    </row>
    <row r="7536" spans="10:10" x14ac:dyDescent="0.3">
      <c r="J7536"/>
    </row>
    <row r="7537" spans="10:10" x14ac:dyDescent="0.3">
      <c r="J7537"/>
    </row>
    <row r="7538" spans="10:10" x14ac:dyDescent="0.3">
      <c r="J7538"/>
    </row>
    <row r="7539" spans="10:10" x14ac:dyDescent="0.3">
      <c r="J7539"/>
    </row>
    <row r="7540" spans="10:10" x14ac:dyDescent="0.3">
      <c r="J7540"/>
    </row>
    <row r="7541" spans="10:10" x14ac:dyDescent="0.3">
      <c r="J7541"/>
    </row>
    <row r="7542" spans="10:10" x14ac:dyDescent="0.3">
      <c r="J7542"/>
    </row>
    <row r="7543" spans="10:10" x14ac:dyDescent="0.3">
      <c r="J7543"/>
    </row>
    <row r="7544" spans="10:10" x14ac:dyDescent="0.3">
      <c r="J7544"/>
    </row>
    <row r="7545" spans="10:10" x14ac:dyDescent="0.3">
      <c r="J7545"/>
    </row>
    <row r="7546" spans="10:10" x14ac:dyDescent="0.3">
      <c r="J7546"/>
    </row>
    <row r="7547" spans="10:10" x14ac:dyDescent="0.3">
      <c r="J7547"/>
    </row>
    <row r="7548" spans="10:10" x14ac:dyDescent="0.3">
      <c r="J7548"/>
    </row>
    <row r="7549" spans="10:10" x14ac:dyDescent="0.3">
      <c r="J7549"/>
    </row>
    <row r="7550" spans="10:10" x14ac:dyDescent="0.3">
      <c r="J7550"/>
    </row>
    <row r="7551" spans="10:10" x14ac:dyDescent="0.3">
      <c r="J7551"/>
    </row>
    <row r="7552" spans="10:10" x14ac:dyDescent="0.3">
      <c r="J7552"/>
    </row>
    <row r="7553" spans="10:10" x14ac:dyDescent="0.3">
      <c r="J7553"/>
    </row>
    <row r="7554" spans="10:10" x14ac:dyDescent="0.3">
      <c r="J7554"/>
    </row>
    <row r="7555" spans="10:10" x14ac:dyDescent="0.3">
      <c r="J7555"/>
    </row>
    <row r="7556" spans="10:10" x14ac:dyDescent="0.3">
      <c r="J7556"/>
    </row>
    <row r="7557" spans="10:10" x14ac:dyDescent="0.3">
      <c r="J7557"/>
    </row>
    <row r="7558" spans="10:10" x14ac:dyDescent="0.3">
      <c r="J7558"/>
    </row>
    <row r="7559" spans="10:10" x14ac:dyDescent="0.3">
      <c r="J7559"/>
    </row>
    <row r="7560" spans="10:10" x14ac:dyDescent="0.3">
      <c r="J7560"/>
    </row>
    <row r="7561" spans="10:10" x14ac:dyDescent="0.3">
      <c r="J7561"/>
    </row>
    <row r="7562" spans="10:10" x14ac:dyDescent="0.3">
      <c r="J7562"/>
    </row>
    <row r="7563" spans="10:10" x14ac:dyDescent="0.3">
      <c r="J7563"/>
    </row>
    <row r="7564" spans="10:10" x14ac:dyDescent="0.3">
      <c r="J7564"/>
    </row>
    <row r="7565" spans="10:10" x14ac:dyDescent="0.3">
      <c r="J7565"/>
    </row>
    <row r="7566" spans="10:10" x14ac:dyDescent="0.3">
      <c r="J7566"/>
    </row>
    <row r="7567" spans="10:10" x14ac:dyDescent="0.3">
      <c r="J7567"/>
    </row>
    <row r="7568" spans="10:10" x14ac:dyDescent="0.3">
      <c r="J7568"/>
    </row>
    <row r="7569" spans="10:10" x14ac:dyDescent="0.3">
      <c r="J7569"/>
    </row>
    <row r="7570" spans="10:10" x14ac:dyDescent="0.3">
      <c r="J7570"/>
    </row>
    <row r="7571" spans="10:10" x14ac:dyDescent="0.3">
      <c r="J7571"/>
    </row>
    <row r="7572" spans="10:10" x14ac:dyDescent="0.3">
      <c r="J7572"/>
    </row>
    <row r="7573" spans="10:10" x14ac:dyDescent="0.3">
      <c r="J7573"/>
    </row>
    <row r="7574" spans="10:10" x14ac:dyDescent="0.3">
      <c r="J7574"/>
    </row>
    <row r="7575" spans="10:10" x14ac:dyDescent="0.3">
      <c r="J7575"/>
    </row>
    <row r="7576" spans="10:10" x14ac:dyDescent="0.3">
      <c r="J7576"/>
    </row>
    <row r="7577" spans="10:10" x14ac:dyDescent="0.3">
      <c r="J7577"/>
    </row>
    <row r="7578" spans="10:10" x14ac:dyDescent="0.3">
      <c r="J7578"/>
    </row>
    <row r="7579" spans="10:10" x14ac:dyDescent="0.3">
      <c r="J7579"/>
    </row>
    <row r="7580" spans="10:10" x14ac:dyDescent="0.3">
      <c r="J7580"/>
    </row>
    <row r="7581" spans="10:10" x14ac:dyDescent="0.3">
      <c r="J7581"/>
    </row>
    <row r="7582" spans="10:10" x14ac:dyDescent="0.3">
      <c r="J7582"/>
    </row>
    <row r="7583" spans="10:10" x14ac:dyDescent="0.3">
      <c r="J7583"/>
    </row>
    <row r="7584" spans="10:10" x14ac:dyDescent="0.3">
      <c r="J7584"/>
    </row>
    <row r="7585" spans="10:10" x14ac:dyDescent="0.3">
      <c r="J7585"/>
    </row>
    <row r="7586" spans="10:10" x14ac:dyDescent="0.3">
      <c r="J7586"/>
    </row>
    <row r="7587" spans="10:10" x14ac:dyDescent="0.3">
      <c r="J7587"/>
    </row>
    <row r="7588" spans="10:10" x14ac:dyDescent="0.3">
      <c r="J7588"/>
    </row>
    <row r="7589" spans="10:10" x14ac:dyDescent="0.3">
      <c r="J7589"/>
    </row>
    <row r="7590" spans="10:10" x14ac:dyDescent="0.3">
      <c r="J7590"/>
    </row>
    <row r="7591" spans="10:10" x14ac:dyDescent="0.3">
      <c r="J7591"/>
    </row>
    <row r="7592" spans="10:10" x14ac:dyDescent="0.3">
      <c r="J7592"/>
    </row>
    <row r="7593" spans="10:10" x14ac:dyDescent="0.3">
      <c r="J7593"/>
    </row>
    <row r="7594" spans="10:10" x14ac:dyDescent="0.3">
      <c r="J7594"/>
    </row>
    <row r="7595" spans="10:10" x14ac:dyDescent="0.3">
      <c r="J7595"/>
    </row>
    <row r="7596" spans="10:10" x14ac:dyDescent="0.3">
      <c r="J7596"/>
    </row>
    <row r="7597" spans="10:10" x14ac:dyDescent="0.3">
      <c r="J7597"/>
    </row>
    <row r="7598" spans="10:10" x14ac:dyDescent="0.3">
      <c r="J7598"/>
    </row>
    <row r="7599" spans="10:10" x14ac:dyDescent="0.3">
      <c r="J7599"/>
    </row>
    <row r="7600" spans="10:10" x14ac:dyDescent="0.3">
      <c r="J7600"/>
    </row>
    <row r="7601" spans="10:10" x14ac:dyDescent="0.3">
      <c r="J7601"/>
    </row>
    <row r="7602" spans="10:10" x14ac:dyDescent="0.3">
      <c r="J7602"/>
    </row>
    <row r="7603" spans="10:10" x14ac:dyDescent="0.3">
      <c r="J7603"/>
    </row>
    <row r="7604" spans="10:10" x14ac:dyDescent="0.3">
      <c r="J7604"/>
    </row>
    <row r="7605" spans="10:10" x14ac:dyDescent="0.3">
      <c r="J7605"/>
    </row>
    <row r="7606" spans="10:10" x14ac:dyDescent="0.3">
      <c r="J7606"/>
    </row>
    <row r="7607" spans="10:10" x14ac:dyDescent="0.3">
      <c r="J7607"/>
    </row>
    <row r="7608" spans="10:10" x14ac:dyDescent="0.3">
      <c r="J7608"/>
    </row>
    <row r="7609" spans="10:10" x14ac:dyDescent="0.3">
      <c r="J7609"/>
    </row>
    <row r="7610" spans="10:10" x14ac:dyDescent="0.3">
      <c r="J7610"/>
    </row>
    <row r="7611" spans="10:10" x14ac:dyDescent="0.3">
      <c r="J7611"/>
    </row>
    <row r="7612" spans="10:10" x14ac:dyDescent="0.3">
      <c r="J7612"/>
    </row>
    <row r="7613" spans="10:10" x14ac:dyDescent="0.3">
      <c r="J7613"/>
    </row>
    <row r="7614" spans="10:10" x14ac:dyDescent="0.3">
      <c r="J7614"/>
    </row>
    <row r="7615" spans="10:10" x14ac:dyDescent="0.3">
      <c r="J7615"/>
    </row>
    <row r="7616" spans="10:10" x14ac:dyDescent="0.3">
      <c r="J7616"/>
    </row>
    <row r="7617" spans="10:10" x14ac:dyDescent="0.3">
      <c r="J7617"/>
    </row>
    <row r="7618" spans="10:10" x14ac:dyDescent="0.3">
      <c r="J7618"/>
    </row>
    <row r="7619" spans="10:10" x14ac:dyDescent="0.3">
      <c r="J7619"/>
    </row>
    <row r="7620" spans="10:10" x14ac:dyDescent="0.3">
      <c r="J7620"/>
    </row>
    <row r="7621" spans="10:10" x14ac:dyDescent="0.3">
      <c r="J7621"/>
    </row>
    <row r="7622" spans="10:10" x14ac:dyDescent="0.3">
      <c r="J7622"/>
    </row>
    <row r="7623" spans="10:10" x14ac:dyDescent="0.3">
      <c r="J7623"/>
    </row>
    <row r="7624" spans="10:10" x14ac:dyDescent="0.3">
      <c r="J7624"/>
    </row>
    <row r="7625" spans="10:10" x14ac:dyDescent="0.3">
      <c r="J7625"/>
    </row>
    <row r="7626" spans="10:10" x14ac:dyDescent="0.3">
      <c r="J7626"/>
    </row>
    <row r="7627" spans="10:10" x14ac:dyDescent="0.3">
      <c r="J7627"/>
    </row>
    <row r="7628" spans="10:10" x14ac:dyDescent="0.3">
      <c r="J7628"/>
    </row>
    <row r="7629" spans="10:10" x14ac:dyDescent="0.3">
      <c r="J7629"/>
    </row>
    <row r="7630" spans="10:10" x14ac:dyDescent="0.3">
      <c r="J7630"/>
    </row>
    <row r="7631" spans="10:10" x14ac:dyDescent="0.3">
      <c r="J7631"/>
    </row>
    <row r="7632" spans="10:10" x14ac:dyDescent="0.3">
      <c r="J7632"/>
    </row>
    <row r="7633" spans="10:10" x14ac:dyDescent="0.3">
      <c r="J7633"/>
    </row>
    <row r="7634" spans="10:10" x14ac:dyDescent="0.3">
      <c r="J7634"/>
    </row>
    <row r="7635" spans="10:10" x14ac:dyDescent="0.3">
      <c r="J7635"/>
    </row>
    <row r="7636" spans="10:10" x14ac:dyDescent="0.3">
      <c r="J7636"/>
    </row>
    <row r="7637" spans="10:10" x14ac:dyDescent="0.3">
      <c r="J7637"/>
    </row>
    <row r="7638" spans="10:10" x14ac:dyDescent="0.3">
      <c r="J7638"/>
    </row>
    <row r="7639" spans="10:10" x14ac:dyDescent="0.3">
      <c r="J7639"/>
    </row>
    <row r="7640" spans="10:10" x14ac:dyDescent="0.3">
      <c r="J7640"/>
    </row>
    <row r="7641" spans="10:10" x14ac:dyDescent="0.3">
      <c r="J7641"/>
    </row>
    <row r="7642" spans="10:10" x14ac:dyDescent="0.3">
      <c r="J7642"/>
    </row>
    <row r="7643" spans="10:10" x14ac:dyDescent="0.3">
      <c r="J7643"/>
    </row>
    <row r="7644" spans="10:10" x14ac:dyDescent="0.3">
      <c r="J7644"/>
    </row>
    <row r="7645" spans="10:10" x14ac:dyDescent="0.3">
      <c r="J7645"/>
    </row>
    <row r="7646" spans="10:10" x14ac:dyDescent="0.3">
      <c r="J7646"/>
    </row>
    <row r="7647" spans="10:10" x14ac:dyDescent="0.3">
      <c r="J7647"/>
    </row>
    <row r="7648" spans="10:10" x14ac:dyDescent="0.3">
      <c r="J7648"/>
    </row>
    <row r="7649" spans="10:10" x14ac:dyDescent="0.3">
      <c r="J7649"/>
    </row>
    <row r="7650" spans="10:10" x14ac:dyDescent="0.3">
      <c r="J7650"/>
    </row>
    <row r="7651" spans="10:10" x14ac:dyDescent="0.3">
      <c r="J7651"/>
    </row>
    <row r="7652" spans="10:10" x14ac:dyDescent="0.3">
      <c r="J7652"/>
    </row>
    <row r="7653" spans="10:10" x14ac:dyDescent="0.3">
      <c r="J7653"/>
    </row>
    <row r="7654" spans="10:10" x14ac:dyDescent="0.3">
      <c r="J7654"/>
    </row>
    <row r="7655" spans="10:10" x14ac:dyDescent="0.3">
      <c r="J7655"/>
    </row>
    <row r="7656" spans="10:10" x14ac:dyDescent="0.3">
      <c r="J7656"/>
    </row>
    <row r="7657" spans="10:10" x14ac:dyDescent="0.3">
      <c r="J7657"/>
    </row>
    <row r="7658" spans="10:10" x14ac:dyDescent="0.3">
      <c r="J7658"/>
    </row>
    <row r="7659" spans="10:10" x14ac:dyDescent="0.3">
      <c r="J7659"/>
    </row>
    <row r="7660" spans="10:10" x14ac:dyDescent="0.3">
      <c r="J7660"/>
    </row>
    <row r="7661" spans="10:10" x14ac:dyDescent="0.3">
      <c r="J7661"/>
    </row>
    <row r="7662" spans="10:10" x14ac:dyDescent="0.3">
      <c r="J7662"/>
    </row>
    <row r="7663" spans="10:10" x14ac:dyDescent="0.3">
      <c r="J7663"/>
    </row>
    <row r="7664" spans="10:10" x14ac:dyDescent="0.3">
      <c r="J7664"/>
    </row>
    <row r="7665" spans="10:10" x14ac:dyDescent="0.3">
      <c r="J7665"/>
    </row>
    <row r="7666" spans="10:10" x14ac:dyDescent="0.3">
      <c r="J7666"/>
    </row>
    <row r="7667" spans="10:10" x14ac:dyDescent="0.3">
      <c r="J7667"/>
    </row>
    <row r="7668" spans="10:10" x14ac:dyDescent="0.3">
      <c r="J7668"/>
    </row>
    <row r="7669" spans="10:10" x14ac:dyDescent="0.3">
      <c r="J7669"/>
    </row>
    <row r="7670" spans="10:10" x14ac:dyDescent="0.3">
      <c r="J7670"/>
    </row>
    <row r="7671" spans="10:10" x14ac:dyDescent="0.3">
      <c r="J7671"/>
    </row>
    <row r="7672" spans="10:10" x14ac:dyDescent="0.3">
      <c r="J7672"/>
    </row>
    <row r="7673" spans="10:10" x14ac:dyDescent="0.3">
      <c r="J7673"/>
    </row>
    <row r="7674" spans="10:10" x14ac:dyDescent="0.3">
      <c r="J7674"/>
    </row>
    <row r="7675" spans="10:10" x14ac:dyDescent="0.3">
      <c r="J7675"/>
    </row>
    <row r="7676" spans="10:10" x14ac:dyDescent="0.3">
      <c r="J7676"/>
    </row>
    <row r="7677" spans="10:10" x14ac:dyDescent="0.3">
      <c r="J7677"/>
    </row>
    <row r="7678" spans="10:10" x14ac:dyDescent="0.3">
      <c r="J7678"/>
    </row>
    <row r="7679" spans="10:10" x14ac:dyDescent="0.3">
      <c r="J7679"/>
    </row>
    <row r="7680" spans="10:10" x14ac:dyDescent="0.3">
      <c r="J7680"/>
    </row>
    <row r="7681" spans="10:10" x14ac:dyDescent="0.3">
      <c r="J7681"/>
    </row>
    <row r="7682" spans="10:10" x14ac:dyDescent="0.3">
      <c r="J7682"/>
    </row>
    <row r="7683" spans="10:10" x14ac:dyDescent="0.3">
      <c r="J7683"/>
    </row>
    <row r="7684" spans="10:10" x14ac:dyDescent="0.3">
      <c r="J7684"/>
    </row>
    <row r="7685" spans="10:10" x14ac:dyDescent="0.3">
      <c r="J7685"/>
    </row>
    <row r="7686" spans="10:10" x14ac:dyDescent="0.3">
      <c r="J7686"/>
    </row>
    <row r="7687" spans="10:10" x14ac:dyDescent="0.3">
      <c r="J7687"/>
    </row>
    <row r="7688" spans="10:10" x14ac:dyDescent="0.3">
      <c r="J7688"/>
    </row>
    <row r="7689" spans="10:10" x14ac:dyDescent="0.3">
      <c r="J7689"/>
    </row>
    <row r="7690" spans="10:10" x14ac:dyDescent="0.3">
      <c r="J7690"/>
    </row>
    <row r="7691" spans="10:10" x14ac:dyDescent="0.3">
      <c r="J7691"/>
    </row>
    <row r="7692" spans="10:10" x14ac:dyDescent="0.3">
      <c r="J7692"/>
    </row>
    <row r="7693" spans="10:10" x14ac:dyDescent="0.3">
      <c r="J7693"/>
    </row>
    <row r="7694" spans="10:10" x14ac:dyDescent="0.3">
      <c r="J7694"/>
    </row>
    <row r="7695" spans="10:10" x14ac:dyDescent="0.3">
      <c r="J7695"/>
    </row>
    <row r="7696" spans="10:10" x14ac:dyDescent="0.3">
      <c r="J7696"/>
    </row>
    <row r="7697" spans="10:10" x14ac:dyDescent="0.3">
      <c r="J7697"/>
    </row>
    <row r="7698" spans="10:10" x14ac:dyDescent="0.3">
      <c r="J7698"/>
    </row>
    <row r="7699" spans="10:10" x14ac:dyDescent="0.3">
      <c r="J7699"/>
    </row>
    <row r="7700" spans="10:10" x14ac:dyDescent="0.3">
      <c r="J7700"/>
    </row>
    <row r="7701" spans="10:10" x14ac:dyDescent="0.3">
      <c r="J7701"/>
    </row>
    <row r="7702" spans="10:10" x14ac:dyDescent="0.3">
      <c r="J7702"/>
    </row>
    <row r="7703" spans="10:10" x14ac:dyDescent="0.3">
      <c r="J7703"/>
    </row>
    <row r="7704" spans="10:10" x14ac:dyDescent="0.3">
      <c r="J7704"/>
    </row>
    <row r="7705" spans="10:10" x14ac:dyDescent="0.3">
      <c r="J7705"/>
    </row>
    <row r="7706" spans="10:10" x14ac:dyDescent="0.3">
      <c r="J7706"/>
    </row>
    <row r="7707" spans="10:10" x14ac:dyDescent="0.3">
      <c r="J7707"/>
    </row>
    <row r="7708" spans="10:10" x14ac:dyDescent="0.3">
      <c r="J7708"/>
    </row>
    <row r="7709" spans="10:10" x14ac:dyDescent="0.3">
      <c r="J7709"/>
    </row>
    <row r="7710" spans="10:10" x14ac:dyDescent="0.3">
      <c r="J7710"/>
    </row>
    <row r="7711" spans="10:10" x14ac:dyDescent="0.3">
      <c r="J7711"/>
    </row>
    <row r="7712" spans="10:10" x14ac:dyDescent="0.3">
      <c r="J7712"/>
    </row>
    <row r="7713" spans="10:10" x14ac:dyDescent="0.3">
      <c r="J7713"/>
    </row>
    <row r="7714" spans="10:10" x14ac:dyDescent="0.3">
      <c r="J7714"/>
    </row>
    <row r="7715" spans="10:10" x14ac:dyDescent="0.3">
      <c r="J7715"/>
    </row>
    <row r="7716" spans="10:10" x14ac:dyDescent="0.3">
      <c r="J7716"/>
    </row>
    <row r="7717" spans="10:10" x14ac:dyDescent="0.3">
      <c r="J7717"/>
    </row>
    <row r="7718" spans="10:10" x14ac:dyDescent="0.3">
      <c r="J7718"/>
    </row>
    <row r="7719" spans="10:10" x14ac:dyDescent="0.3">
      <c r="J7719"/>
    </row>
    <row r="7720" spans="10:10" x14ac:dyDescent="0.3">
      <c r="J7720"/>
    </row>
    <row r="7721" spans="10:10" x14ac:dyDescent="0.3">
      <c r="J7721"/>
    </row>
    <row r="7722" spans="10:10" x14ac:dyDescent="0.3">
      <c r="J7722"/>
    </row>
    <row r="7723" spans="10:10" x14ac:dyDescent="0.3">
      <c r="J7723"/>
    </row>
    <row r="7724" spans="10:10" x14ac:dyDescent="0.3">
      <c r="J7724"/>
    </row>
    <row r="7725" spans="10:10" x14ac:dyDescent="0.3">
      <c r="J7725"/>
    </row>
    <row r="7726" spans="10:10" x14ac:dyDescent="0.3">
      <c r="J7726"/>
    </row>
    <row r="7727" spans="10:10" x14ac:dyDescent="0.3">
      <c r="J7727"/>
    </row>
    <row r="7728" spans="10:10" x14ac:dyDescent="0.3">
      <c r="J7728"/>
    </row>
    <row r="7729" spans="10:10" x14ac:dyDescent="0.3">
      <c r="J7729"/>
    </row>
    <row r="7730" spans="10:10" x14ac:dyDescent="0.3">
      <c r="J7730"/>
    </row>
    <row r="7731" spans="10:10" x14ac:dyDescent="0.3">
      <c r="J7731"/>
    </row>
    <row r="7732" spans="10:10" x14ac:dyDescent="0.3">
      <c r="J7732"/>
    </row>
    <row r="7733" spans="10:10" x14ac:dyDescent="0.3">
      <c r="J7733"/>
    </row>
    <row r="7734" spans="10:10" x14ac:dyDescent="0.3">
      <c r="J7734"/>
    </row>
    <row r="7735" spans="10:10" x14ac:dyDescent="0.3">
      <c r="J7735"/>
    </row>
    <row r="7736" spans="10:10" x14ac:dyDescent="0.3">
      <c r="J7736"/>
    </row>
    <row r="7737" spans="10:10" x14ac:dyDescent="0.3">
      <c r="J7737"/>
    </row>
    <row r="7738" spans="10:10" x14ac:dyDescent="0.3">
      <c r="J7738"/>
    </row>
    <row r="7739" spans="10:10" x14ac:dyDescent="0.3">
      <c r="J7739"/>
    </row>
    <row r="7740" spans="10:10" x14ac:dyDescent="0.3">
      <c r="J7740"/>
    </row>
    <row r="7741" spans="10:10" x14ac:dyDescent="0.3">
      <c r="J7741"/>
    </row>
    <row r="7742" spans="10:10" x14ac:dyDescent="0.3">
      <c r="J7742"/>
    </row>
    <row r="7743" spans="10:10" x14ac:dyDescent="0.3">
      <c r="J7743"/>
    </row>
    <row r="7744" spans="10:10" x14ac:dyDescent="0.3">
      <c r="J7744"/>
    </row>
    <row r="7745" spans="10:10" x14ac:dyDescent="0.3">
      <c r="J7745"/>
    </row>
    <row r="7746" spans="10:10" x14ac:dyDescent="0.3">
      <c r="J7746"/>
    </row>
    <row r="7747" spans="10:10" x14ac:dyDescent="0.3">
      <c r="J7747"/>
    </row>
    <row r="7748" spans="10:10" x14ac:dyDescent="0.3">
      <c r="J7748"/>
    </row>
    <row r="7749" spans="10:10" x14ac:dyDescent="0.3">
      <c r="J7749"/>
    </row>
    <row r="7750" spans="10:10" x14ac:dyDescent="0.3">
      <c r="J7750"/>
    </row>
    <row r="7751" spans="10:10" x14ac:dyDescent="0.3">
      <c r="J7751"/>
    </row>
    <row r="7752" spans="10:10" x14ac:dyDescent="0.3">
      <c r="J7752"/>
    </row>
    <row r="7753" spans="10:10" x14ac:dyDescent="0.3">
      <c r="J7753"/>
    </row>
    <row r="7754" spans="10:10" x14ac:dyDescent="0.3">
      <c r="J7754"/>
    </row>
    <row r="7755" spans="10:10" x14ac:dyDescent="0.3">
      <c r="J7755"/>
    </row>
    <row r="7756" spans="10:10" x14ac:dyDescent="0.3">
      <c r="J7756"/>
    </row>
    <row r="7757" spans="10:10" x14ac:dyDescent="0.3">
      <c r="J7757"/>
    </row>
    <row r="7758" spans="10:10" x14ac:dyDescent="0.3">
      <c r="J7758"/>
    </row>
    <row r="7759" spans="10:10" x14ac:dyDescent="0.3">
      <c r="J7759"/>
    </row>
    <row r="7760" spans="10:10" x14ac:dyDescent="0.3">
      <c r="J7760"/>
    </row>
    <row r="7761" spans="10:10" x14ac:dyDescent="0.3">
      <c r="J7761"/>
    </row>
    <row r="7762" spans="10:10" x14ac:dyDescent="0.3">
      <c r="J7762"/>
    </row>
    <row r="7763" spans="10:10" x14ac:dyDescent="0.3">
      <c r="J7763"/>
    </row>
    <row r="7764" spans="10:10" x14ac:dyDescent="0.3">
      <c r="J7764"/>
    </row>
    <row r="7765" spans="10:10" x14ac:dyDescent="0.3">
      <c r="J7765"/>
    </row>
    <row r="7766" spans="10:10" x14ac:dyDescent="0.3">
      <c r="J7766"/>
    </row>
    <row r="7767" spans="10:10" x14ac:dyDescent="0.3">
      <c r="J7767"/>
    </row>
    <row r="7768" spans="10:10" x14ac:dyDescent="0.3">
      <c r="J7768"/>
    </row>
    <row r="7769" spans="10:10" x14ac:dyDescent="0.3">
      <c r="J7769"/>
    </row>
    <row r="7770" spans="10:10" x14ac:dyDescent="0.3">
      <c r="J7770"/>
    </row>
    <row r="7771" spans="10:10" x14ac:dyDescent="0.3">
      <c r="J7771"/>
    </row>
    <row r="7772" spans="10:10" x14ac:dyDescent="0.3">
      <c r="J7772"/>
    </row>
    <row r="7773" spans="10:10" x14ac:dyDescent="0.3">
      <c r="J7773"/>
    </row>
    <row r="7774" spans="10:10" x14ac:dyDescent="0.3">
      <c r="J7774"/>
    </row>
    <row r="7775" spans="10:10" x14ac:dyDescent="0.3">
      <c r="J7775"/>
    </row>
    <row r="7776" spans="10:10" x14ac:dyDescent="0.3">
      <c r="J7776"/>
    </row>
    <row r="7777" spans="10:10" x14ac:dyDescent="0.3">
      <c r="J7777"/>
    </row>
    <row r="7778" spans="10:10" x14ac:dyDescent="0.3">
      <c r="J7778"/>
    </row>
    <row r="7779" spans="10:10" x14ac:dyDescent="0.3">
      <c r="J7779"/>
    </row>
    <row r="7780" spans="10:10" x14ac:dyDescent="0.3">
      <c r="J7780"/>
    </row>
    <row r="7781" spans="10:10" x14ac:dyDescent="0.3">
      <c r="J7781"/>
    </row>
    <row r="7782" spans="10:10" x14ac:dyDescent="0.3">
      <c r="J7782"/>
    </row>
    <row r="7783" spans="10:10" x14ac:dyDescent="0.3">
      <c r="J7783"/>
    </row>
    <row r="7784" spans="10:10" x14ac:dyDescent="0.3">
      <c r="J7784"/>
    </row>
    <row r="7785" spans="10:10" x14ac:dyDescent="0.3">
      <c r="J7785"/>
    </row>
    <row r="7786" spans="10:10" x14ac:dyDescent="0.3">
      <c r="J7786"/>
    </row>
    <row r="7787" spans="10:10" x14ac:dyDescent="0.3">
      <c r="J7787"/>
    </row>
    <row r="7788" spans="10:10" x14ac:dyDescent="0.3">
      <c r="J7788"/>
    </row>
    <row r="7789" spans="10:10" x14ac:dyDescent="0.3">
      <c r="J7789"/>
    </row>
    <row r="7790" spans="10:10" x14ac:dyDescent="0.3">
      <c r="J7790"/>
    </row>
    <row r="7791" spans="10:10" x14ac:dyDescent="0.3">
      <c r="J7791"/>
    </row>
    <row r="7792" spans="10:10" x14ac:dyDescent="0.3">
      <c r="J7792"/>
    </row>
    <row r="7793" spans="10:10" x14ac:dyDescent="0.3">
      <c r="J7793"/>
    </row>
    <row r="7794" spans="10:10" x14ac:dyDescent="0.3">
      <c r="J7794"/>
    </row>
    <row r="7795" spans="10:10" x14ac:dyDescent="0.3">
      <c r="J7795"/>
    </row>
    <row r="7796" spans="10:10" x14ac:dyDescent="0.3">
      <c r="J7796"/>
    </row>
    <row r="7797" spans="10:10" x14ac:dyDescent="0.3">
      <c r="J7797"/>
    </row>
    <row r="7798" spans="10:10" x14ac:dyDescent="0.3">
      <c r="J7798"/>
    </row>
    <row r="7799" spans="10:10" x14ac:dyDescent="0.3">
      <c r="J7799"/>
    </row>
    <row r="7800" spans="10:10" x14ac:dyDescent="0.3">
      <c r="J7800"/>
    </row>
    <row r="7801" spans="10:10" x14ac:dyDescent="0.3">
      <c r="J7801"/>
    </row>
    <row r="7802" spans="10:10" x14ac:dyDescent="0.3">
      <c r="J7802"/>
    </row>
    <row r="7803" spans="10:10" x14ac:dyDescent="0.3">
      <c r="J7803"/>
    </row>
    <row r="7804" spans="10:10" x14ac:dyDescent="0.3">
      <c r="J7804"/>
    </row>
    <row r="7805" spans="10:10" x14ac:dyDescent="0.3">
      <c r="J7805"/>
    </row>
    <row r="7806" spans="10:10" x14ac:dyDescent="0.3">
      <c r="J7806"/>
    </row>
    <row r="7807" spans="10:10" x14ac:dyDescent="0.3">
      <c r="J7807"/>
    </row>
    <row r="7808" spans="10:10" x14ac:dyDescent="0.3">
      <c r="J7808"/>
    </row>
    <row r="7809" spans="10:10" x14ac:dyDescent="0.3">
      <c r="J7809"/>
    </row>
    <row r="7810" spans="10:10" x14ac:dyDescent="0.3">
      <c r="J7810"/>
    </row>
    <row r="7811" spans="10:10" x14ac:dyDescent="0.3">
      <c r="J7811"/>
    </row>
    <row r="7812" spans="10:10" x14ac:dyDescent="0.3">
      <c r="J7812"/>
    </row>
    <row r="7813" spans="10:10" x14ac:dyDescent="0.3">
      <c r="J7813"/>
    </row>
    <row r="7814" spans="10:10" x14ac:dyDescent="0.3">
      <c r="J7814"/>
    </row>
    <row r="7815" spans="10:10" x14ac:dyDescent="0.3">
      <c r="J7815"/>
    </row>
    <row r="7816" spans="10:10" x14ac:dyDescent="0.3">
      <c r="J7816"/>
    </row>
    <row r="7817" spans="10:10" x14ac:dyDescent="0.3">
      <c r="J7817"/>
    </row>
    <row r="7818" spans="10:10" x14ac:dyDescent="0.3">
      <c r="J7818"/>
    </row>
    <row r="7819" spans="10:10" x14ac:dyDescent="0.3">
      <c r="J7819"/>
    </row>
    <row r="7820" spans="10:10" x14ac:dyDescent="0.3">
      <c r="J7820"/>
    </row>
    <row r="7821" spans="10:10" x14ac:dyDescent="0.3">
      <c r="J7821"/>
    </row>
    <row r="7822" spans="10:10" x14ac:dyDescent="0.3">
      <c r="J7822"/>
    </row>
    <row r="7823" spans="10:10" x14ac:dyDescent="0.3">
      <c r="J7823"/>
    </row>
    <row r="7824" spans="10:10" x14ac:dyDescent="0.3">
      <c r="J7824"/>
    </row>
    <row r="7825" spans="10:10" x14ac:dyDescent="0.3">
      <c r="J7825"/>
    </row>
    <row r="7826" spans="10:10" x14ac:dyDescent="0.3">
      <c r="J7826"/>
    </row>
    <row r="7827" spans="10:10" x14ac:dyDescent="0.3">
      <c r="J7827"/>
    </row>
    <row r="7828" spans="10:10" x14ac:dyDescent="0.3">
      <c r="J7828"/>
    </row>
    <row r="7829" spans="10:10" x14ac:dyDescent="0.3">
      <c r="J7829"/>
    </row>
    <row r="7830" spans="10:10" x14ac:dyDescent="0.3">
      <c r="J7830"/>
    </row>
    <row r="7831" spans="10:10" x14ac:dyDescent="0.3">
      <c r="J7831"/>
    </row>
    <row r="7832" spans="10:10" x14ac:dyDescent="0.3">
      <c r="J7832"/>
    </row>
    <row r="7833" spans="10:10" x14ac:dyDescent="0.3">
      <c r="J7833"/>
    </row>
    <row r="7834" spans="10:10" x14ac:dyDescent="0.3">
      <c r="J7834"/>
    </row>
    <row r="7835" spans="10:10" x14ac:dyDescent="0.3">
      <c r="J7835"/>
    </row>
    <row r="7836" spans="10:10" x14ac:dyDescent="0.3">
      <c r="J7836"/>
    </row>
    <row r="7837" spans="10:10" x14ac:dyDescent="0.3">
      <c r="J7837"/>
    </row>
    <row r="7838" spans="10:10" x14ac:dyDescent="0.3">
      <c r="J7838"/>
    </row>
    <row r="7839" spans="10:10" x14ac:dyDescent="0.3">
      <c r="J7839"/>
    </row>
    <row r="7840" spans="10:10" x14ac:dyDescent="0.3">
      <c r="J7840"/>
    </row>
    <row r="7841" spans="10:10" x14ac:dyDescent="0.3">
      <c r="J7841"/>
    </row>
    <row r="7842" spans="10:10" x14ac:dyDescent="0.3">
      <c r="J7842"/>
    </row>
    <row r="7843" spans="10:10" x14ac:dyDescent="0.3">
      <c r="J7843"/>
    </row>
    <row r="7844" spans="10:10" x14ac:dyDescent="0.3">
      <c r="J7844"/>
    </row>
    <row r="7845" spans="10:10" x14ac:dyDescent="0.3">
      <c r="J7845"/>
    </row>
    <row r="7846" spans="10:10" x14ac:dyDescent="0.3">
      <c r="J7846"/>
    </row>
    <row r="7847" spans="10:10" x14ac:dyDescent="0.3">
      <c r="J7847"/>
    </row>
    <row r="7848" spans="10:10" x14ac:dyDescent="0.3">
      <c r="J7848"/>
    </row>
    <row r="7849" spans="10:10" x14ac:dyDescent="0.3">
      <c r="J7849"/>
    </row>
    <row r="7850" spans="10:10" x14ac:dyDescent="0.3">
      <c r="J7850"/>
    </row>
    <row r="7851" spans="10:10" x14ac:dyDescent="0.3">
      <c r="J7851"/>
    </row>
    <row r="7852" spans="10:10" x14ac:dyDescent="0.3">
      <c r="J7852"/>
    </row>
    <row r="7853" spans="10:10" x14ac:dyDescent="0.3">
      <c r="J7853"/>
    </row>
    <row r="7854" spans="10:10" x14ac:dyDescent="0.3">
      <c r="J7854"/>
    </row>
    <row r="7855" spans="10:10" x14ac:dyDescent="0.3">
      <c r="J7855"/>
    </row>
    <row r="7856" spans="10:10" x14ac:dyDescent="0.3">
      <c r="J7856"/>
    </row>
    <row r="7857" spans="10:10" x14ac:dyDescent="0.3">
      <c r="J7857"/>
    </row>
    <row r="7858" spans="10:10" x14ac:dyDescent="0.3">
      <c r="J7858"/>
    </row>
    <row r="7859" spans="10:10" x14ac:dyDescent="0.3">
      <c r="J7859"/>
    </row>
    <row r="7860" spans="10:10" x14ac:dyDescent="0.3">
      <c r="J7860"/>
    </row>
    <row r="7861" spans="10:10" x14ac:dyDescent="0.3">
      <c r="J7861"/>
    </row>
    <row r="7862" spans="10:10" x14ac:dyDescent="0.3">
      <c r="J7862"/>
    </row>
    <row r="7863" spans="10:10" x14ac:dyDescent="0.3">
      <c r="J7863"/>
    </row>
    <row r="7864" spans="10:10" x14ac:dyDescent="0.3">
      <c r="J7864"/>
    </row>
    <row r="7865" spans="10:10" x14ac:dyDescent="0.3">
      <c r="J7865"/>
    </row>
    <row r="7866" spans="10:10" x14ac:dyDescent="0.3">
      <c r="J7866"/>
    </row>
    <row r="7867" spans="10:10" x14ac:dyDescent="0.3">
      <c r="J7867"/>
    </row>
    <row r="7868" spans="10:10" x14ac:dyDescent="0.3">
      <c r="J7868"/>
    </row>
    <row r="7869" spans="10:10" x14ac:dyDescent="0.3">
      <c r="J7869"/>
    </row>
    <row r="7870" spans="10:10" x14ac:dyDescent="0.3">
      <c r="J7870"/>
    </row>
    <row r="7871" spans="10:10" x14ac:dyDescent="0.3">
      <c r="J7871"/>
    </row>
    <row r="7872" spans="10:10" x14ac:dyDescent="0.3">
      <c r="J7872"/>
    </row>
    <row r="7873" spans="10:10" x14ac:dyDescent="0.3">
      <c r="J7873"/>
    </row>
    <row r="7874" spans="10:10" x14ac:dyDescent="0.3">
      <c r="J7874"/>
    </row>
    <row r="7875" spans="10:10" x14ac:dyDescent="0.3">
      <c r="J7875"/>
    </row>
    <row r="7876" spans="10:10" x14ac:dyDescent="0.3">
      <c r="J7876"/>
    </row>
    <row r="7877" spans="10:10" x14ac:dyDescent="0.3">
      <c r="J7877"/>
    </row>
    <row r="7878" spans="10:10" x14ac:dyDescent="0.3">
      <c r="J7878"/>
    </row>
    <row r="7879" spans="10:10" x14ac:dyDescent="0.3">
      <c r="J7879"/>
    </row>
    <row r="7880" spans="10:10" x14ac:dyDescent="0.3">
      <c r="J7880"/>
    </row>
    <row r="7881" spans="10:10" x14ac:dyDescent="0.3">
      <c r="J7881"/>
    </row>
    <row r="7882" spans="10:10" x14ac:dyDescent="0.3">
      <c r="J7882"/>
    </row>
    <row r="7883" spans="10:10" x14ac:dyDescent="0.3">
      <c r="J7883"/>
    </row>
    <row r="7884" spans="10:10" x14ac:dyDescent="0.3">
      <c r="J7884"/>
    </row>
    <row r="7885" spans="10:10" x14ac:dyDescent="0.3">
      <c r="J7885"/>
    </row>
    <row r="7886" spans="10:10" x14ac:dyDescent="0.3">
      <c r="J7886"/>
    </row>
    <row r="7887" spans="10:10" x14ac:dyDescent="0.3">
      <c r="J7887"/>
    </row>
    <row r="7888" spans="10:10" x14ac:dyDescent="0.3">
      <c r="J7888"/>
    </row>
    <row r="7889" spans="10:10" x14ac:dyDescent="0.3">
      <c r="J7889"/>
    </row>
    <row r="7890" spans="10:10" x14ac:dyDescent="0.3">
      <c r="J7890"/>
    </row>
    <row r="7891" spans="10:10" x14ac:dyDescent="0.3">
      <c r="J7891"/>
    </row>
    <row r="7892" spans="10:10" x14ac:dyDescent="0.3">
      <c r="J7892"/>
    </row>
    <row r="7893" spans="10:10" x14ac:dyDescent="0.3">
      <c r="J7893"/>
    </row>
    <row r="7894" spans="10:10" x14ac:dyDescent="0.3">
      <c r="J7894"/>
    </row>
    <row r="7895" spans="10:10" x14ac:dyDescent="0.3">
      <c r="J7895"/>
    </row>
    <row r="7896" spans="10:10" x14ac:dyDescent="0.3">
      <c r="J7896"/>
    </row>
    <row r="7897" spans="10:10" x14ac:dyDescent="0.3">
      <c r="J7897"/>
    </row>
    <row r="7898" spans="10:10" x14ac:dyDescent="0.3">
      <c r="J7898"/>
    </row>
    <row r="7899" spans="10:10" x14ac:dyDescent="0.3">
      <c r="J7899"/>
    </row>
    <row r="7900" spans="10:10" x14ac:dyDescent="0.3">
      <c r="J7900"/>
    </row>
    <row r="7901" spans="10:10" x14ac:dyDescent="0.3">
      <c r="J7901"/>
    </row>
    <row r="7902" spans="10:10" x14ac:dyDescent="0.3">
      <c r="J7902"/>
    </row>
    <row r="7903" spans="10:10" x14ac:dyDescent="0.3">
      <c r="J7903"/>
    </row>
    <row r="7904" spans="10:10" x14ac:dyDescent="0.3">
      <c r="J7904"/>
    </row>
    <row r="7905" spans="10:10" x14ac:dyDescent="0.3">
      <c r="J7905"/>
    </row>
    <row r="7906" spans="10:10" x14ac:dyDescent="0.3">
      <c r="J7906"/>
    </row>
    <row r="7907" spans="10:10" x14ac:dyDescent="0.3">
      <c r="J7907"/>
    </row>
    <row r="7908" spans="10:10" x14ac:dyDescent="0.3">
      <c r="J7908"/>
    </row>
    <row r="7909" spans="10:10" x14ac:dyDescent="0.3">
      <c r="J7909"/>
    </row>
    <row r="7910" spans="10:10" x14ac:dyDescent="0.3">
      <c r="J7910"/>
    </row>
    <row r="7911" spans="10:10" x14ac:dyDescent="0.3">
      <c r="J7911"/>
    </row>
    <row r="7912" spans="10:10" x14ac:dyDescent="0.3">
      <c r="J7912"/>
    </row>
    <row r="7913" spans="10:10" x14ac:dyDescent="0.3">
      <c r="J7913"/>
    </row>
    <row r="7914" spans="10:10" x14ac:dyDescent="0.3">
      <c r="J7914"/>
    </row>
    <row r="7915" spans="10:10" x14ac:dyDescent="0.3">
      <c r="J7915"/>
    </row>
    <row r="7916" spans="10:10" x14ac:dyDescent="0.3">
      <c r="J7916"/>
    </row>
    <row r="7917" spans="10:10" x14ac:dyDescent="0.3">
      <c r="J7917"/>
    </row>
    <row r="7918" spans="10:10" x14ac:dyDescent="0.3">
      <c r="J7918"/>
    </row>
    <row r="7919" spans="10:10" x14ac:dyDescent="0.3">
      <c r="J7919"/>
    </row>
    <row r="7920" spans="10:10" x14ac:dyDescent="0.3">
      <c r="J7920"/>
    </row>
    <row r="7921" spans="10:10" x14ac:dyDescent="0.3">
      <c r="J7921"/>
    </row>
    <row r="7922" spans="10:10" x14ac:dyDescent="0.3">
      <c r="J7922"/>
    </row>
    <row r="7923" spans="10:10" x14ac:dyDescent="0.3">
      <c r="J7923"/>
    </row>
    <row r="7924" spans="10:10" x14ac:dyDescent="0.3">
      <c r="J7924"/>
    </row>
    <row r="7925" spans="10:10" x14ac:dyDescent="0.3">
      <c r="J7925"/>
    </row>
    <row r="7926" spans="10:10" x14ac:dyDescent="0.3">
      <c r="J7926"/>
    </row>
    <row r="7927" spans="10:10" x14ac:dyDescent="0.3">
      <c r="J7927"/>
    </row>
    <row r="7928" spans="10:10" x14ac:dyDescent="0.3">
      <c r="J7928"/>
    </row>
    <row r="7929" spans="10:10" x14ac:dyDescent="0.3">
      <c r="J7929"/>
    </row>
    <row r="7930" spans="10:10" x14ac:dyDescent="0.3">
      <c r="J7930"/>
    </row>
    <row r="7931" spans="10:10" x14ac:dyDescent="0.3">
      <c r="J7931"/>
    </row>
    <row r="7932" spans="10:10" x14ac:dyDescent="0.3">
      <c r="J7932"/>
    </row>
    <row r="7933" spans="10:10" x14ac:dyDescent="0.3">
      <c r="J7933"/>
    </row>
    <row r="7934" spans="10:10" x14ac:dyDescent="0.3">
      <c r="J7934"/>
    </row>
    <row r="7935" spans="10:10" x14ac:dyDescent="0.3">
      <c r="J7935"/>
    </row>
    <row r="7936" spans="10:10" x14ac:dyDescent="0.3">
      <c r="J7936"/>
    </row>
    <row r="7937" spans="10:10" x14ac:dyDescent="0.3">
      <c r="J7937"/>
    </row>
    <row r="7938" spans="10:10" x14ac:dyDescent="0.3">
      <c r="J7938"/>
    </row>
    <row r="7939" spans="10:10" x14ac:dyDescent="0.3">
      <c r="J7939"/>
    </row>
    <row r="7940" spans="10:10" x14ac:dyDescent="0.3">
      <c r="J7940"/>
    </row>
    <row r="7941" spans="10:10" x14ac:dyDescent="0.3">
      <c r="J7941"/>
    </row>
    <row r="7942" spans="10:10" x14ac:dyDescent="0.3">
      <c r="J7942"/>
    </row>
    <row r="7943" spans="10:10" x14ac:dyDescent="0.3">
      <c r="J7943"/>
    </row>
    <row r="7944" spans="10:10" x14ac:dyDescent="0.3">
      <c r="J7944"/>
    </row>
    <row r="7945" spans="10:10" x14ac:dyDescent="0.3">
      <c r="J7945"/>
    </row>
    <row r="7946" spans="10:10" x14ac:dyDescent="0.3">
      <c r="J7946"/>
    </row>
    <row r="7947" spans="10:10" x14ac:dyDescent="0.3">
      <c r="J7947"/>
    </row>
    <row r="7948" spans="10:10" x14ac:dyDescent="0.3">
      <c r="J7948"/>
    </row>
    <row r="7949" spans="10:10" x14ac:dyDescent="0.3">
      <c r="J7949"/>
    </row>
    <row r="7950" spans="10:10" x14ac:dyDescent="0.3">
      <c r="J7950"/>
    </row>
    <row r="7951" spans="10:10" x14ac:dyDescent="0.3">
      <c r="J7951"/>
    </row>
    <row r="7952" spans="10:10" x14ac:dyDescent="0.3">
      <c r="J7952"/>
    </row>
    <row r="7953" spans="10:10" x14ac:dyDescent="0.3">
      <c r="J7953"/>
    </row>
    <row r="7954" spans="10:10" x14ac:dyDescent="0.3">
      <c r="J7954"/>
    </row>
    <row r="7955" spans="10:10" x14ac:dyDescent="0.3">
      <c r="J7955"/>
    </row>
    <row r="7956" spans="10:10" x14ac:dyDescent="0.3">
      <c r="J7956"/>
    </row>
    <row r="7957" spans="10:10" x14ac:dyDescent="0.3">
      <c r="J7957"/>
    </row>
    <row r="7958" spans="10:10" x14ac:dyDescent="0.3">
      <c r="J7958"/>
    </row>
    <row r="7959" spans="10:10" x14ac:dyDescent="0.3">
      <c r="J7959"/>
    </row>
    <row r="7960" spans="10:10" x14ac:dyDescent="0.3">
      <c r="J7960"/>
    </row>
    <row r="7961" spans="10:10" x14ac:dyDescent="0.3">
      <c r="J7961"/>
    </row>
    <row r="7962" spans="10:10" x14ac:dyDescent="0.3">
      <c r="J7962"/>
    </row>
    <row r="7963" spans="10:10" x14ac:dyDescent="0.3">
      <c r="J7963"/>
    </row>
    <row r="7964" spans="10:10" x14ac:dyDescent="0.3">
      <c r="J7964"/>
    </row>
    <row r="7965" spans="10:10" x14ac:dyDescent="0.3">
      <c r="J7965"/>
    </row>
    <row r="7966" spans="10:10" x14ac:dyDescent="0.3">
      <c r="J7966"/>
    </row>
    <row r="7967" spans="10:10" x14ac:dyDescent="0.3">
      <c r="J7967"/>
    </row>
    <row r="7968" spans="10:10" x14ac:dyDescent="0.3">
      <c r="J7968"/>
    </row>
    <row r="7969" spans="10:10" x14ac:dyDescent="0.3">
      <c r="J7969"/>
    </row>
    <row r="7970" spans="10:10" x14ac:dyDescent="0.3">
      <c r="J7970"/>
    </row>
    <row r="7971" spans="10:10" x14ac:dyDescent="0.3">
      <c r="J7971"/>
    </row>
    <row r="7972" spans="10:10" x14ac:dyDescent="0.3">
      <c r="J7972"/>
    </row>
    <row r="7973" spans="10:10" x14ac:dyDescent="0.3">
      <c r="J7973"/>
    </row>
    <row r="7974" spans="10:10" x14ac:dyDescent="0.3">
      <c r="J7974"/>
    </row>
    <row r="7975" spans="10:10" x14ac:dyDescent="0.3">
      <c r="J7975"/>
    </row>
    <row r="7976" spans="10:10" x14ac:dyDescent="0.3">
      <c r="J7976"/>
    </row>
    <row r="7977" spans="10:10" x14ac:dyDescent="0.3">
      <c r="J7977"/>
    </row>
    <row r="7978" spans="10:10" x14ac:dyDescent="0.3">
      <c r="J7978"/>
    </row>
    <row r="7979" spans="10:10" x14ac:dyDescent="0.3">
      <c r="J7979"/>
    </row>
    <row r="7980" spans="10:10" x14ac:dyDescent="0.3">
      <c r="J7980"/>
    </row>
    <row r="7981" spans="10:10" x14ac:dyDescent="0.3">
      <c r="J7981"/>
    </row>
    <row r="7982" spans="10:10" x14ac:dyDescent="0.3">
      <c r="J7982"/>
    </row>
    <row r="7983" spans="10:10" x14ac:dyDescent="0.3">
      <c r="J7983"/>
    </row>
    <row r="7984" spans="10:10" x14ac:dyDescent="0.3">
      <c r="J7984"/>
    </row>
    <row r="7985" spans="10:10" x14ac:dyDescent="0.3">
      <c r="J7985"/>
    </row>
    <row r="7986" spans="10:10" x14ac:dyDescent="0.3">
      <c r="J7986"/>
    </row>
    <row r="7987" spans="10:10" x14ac:dyDescent="0.3">
      <c r="J7987"/>
    </row>
    <row r="7988" spans="10:10" x14ac:dyDescent="0.3">
      <c r="J7988"/>
    </row>
    <row r="7989" spans="10:10" x14ac:dyDescent="0.3">
      <c r="J7989"/>
    </row>
    <row r="7990" spans="10:10" x14ac:dyDescent="0.3">
      <c r="J7990"/>
    </row>
    <row r="7991" spans="10:10" x14ac:dyDescent="0.3">
      <c r="J7991"/>
    </row>
    <row r="7992" spans="10:10" x14ac:dyDescent="0.3">
      <c r="J7992"/>
    </row>
    <row r="7993" spans="10:10" x14ac:dyDescent="0.3">
      <c r="J7993"/>
    </row>
    <row r="7994" spans="10:10" x14ac:dyDescent="0.3">
      <c r="J7994"/>
    </row>
    <row r="7995" spans="10:10" x14ac:dyDescent="0.3">
      <c r="J7995"/>
    </row>
    <row r="7996" spans="10:10" x14ac:dyDescent="0.3">
      <c r="J7996"/>
    </row>
    <row r="7997" spans="10:10" x14ac:dyDescent="0.3">
      <c r="J7997"/>
    </row>
    <row r="7998" spans="10:10" x14ac:dyDescent="0.3">
      <c r="J7998"/>
    </row>
    <row r="7999" spans="10:10" x14ac:dyDescent="0.3">
      <c r="J7999"/>
    </row>
    <row r="8000" spans="10:10" x14ac:dyDescent="0.3">
      <c r="J8000"/>
    </row>
    <row r="8001" spans="10:10" x14ac:dyDescent="0.3">
      <c r="J8001"/>
    </row>
    <row r="8002" spans="10:10" x14ac:dyDescent="0.3">
      <c r="J8002"/>
    </row>
    <row r="8003" spans="10:10" x14ac:dyDescent="0.3">
      <c r="J8003"/>
    </row>
    <row r="8004" spans="10:10" x14ac:dyDescent="0.3">
      <c r="J8004"/>
    </row>
    <row r="8005" spans="10:10" x14ac:dyDescent="0.3">
      <c r="J8005"/>
    </row>
    <row r="8006" spans="10:10" x14ac:dyDescent="0.3">
      <c r="J8006"/>
    </row>
    <row r="8007" spans="10:10" x14ac:dyDescent="0.3">
      <c r="J8007"/>
    </row>
    <row r="8008" spans="10:10" x14ac:dyDescent="0.3">
      <c r="J8008"/>
    </row>
    <row r="8009" spans="10:10" x14ac:dyDescent="0.3">
      <c r="J8009"/>
    </row>
    <row r="8010" spans="10:10" x14ac:dyDescent="0.3">
      <c r="J8010"/>
    </row>
    <row r="8011" spans="10:10" x14ac:dyDescent="0.3">
      <c r="J8011"/>
    </row>
    <row r="8012" spans="10:10" x14ac:dyDescent="0.3">
      <c r="J8012"/>
    </row>
    <row r="8013" spans="10:10" x14ac:dyDescent="0.3">
      <c r="J8013"/>
    </row>
    <row r="8014" spans="10:10" x14ac:dyDescent="0.3">
      <c r="J8014"/>
    </row>
    <row r="8015" spans="10:10" x14ac:dyDescent="0.3">
      <c r="J8015"/>
    </row>
    <row r="8016" spans="10:10" x14ac:dyDescent="0.3">
      <c r="J8016"/>
    </row>
    <row r="8017" spans="10:10" x14ac:dyDescent="0.3">
      <c r="J8017"/>
    </row>
    <row r="8018" spans="10:10" x14ac:dyDescent="0.3">
      <c r="J8018"/>
    </row>
    <row r="8019" spans="10:10" x14ac:dyDescent="0.3">
      <c r="J8019"/>
    </row>
    <row r="8020" spans="10:10" x14ac:dyDescent="0.3">
      <c r="J8020"/>
    </row>
    <row r="8021" spans="10:10" x14ac:dyDescent="0.3">
      <c r="J8021"/>
    </row>
    <row r="8022" spans="10:10" x14ac:dyDescent="0.3">
      <c r="J8022"/>
    </row>
    <row r="8023" spans="10:10" x14ac:dyDescent="0.3">
      <c r="J8023"/>
    </row>
    <row r="8024" spans="10:10" x14ac:dyDescent="0.3">
      <c r="J8024"/>
    </row>
    <row r="8025" spans="10:10" x14ac:dyDescent="0.3">
      <c r="J8025"/>
    </row>
    <row r="8026" spans="10:10" x14ac:dyDescent="0.3">
      <c r="J8026"/>
    </row>
    <row r="8027" spans="10:10" x14ac:dyDescent="0.3">
      <c r="J8027"/>
    </row>
    <row r="8028" spans="10:10" x14ac:dyDescent="0.3">
      <c r="J8028"/>
    </row>
    <row r="8029" spans="10:10" x14ac:dyDescent="0.3">
      <c r="J8029"/>
    </row>
    <row r="8030" spans="10:10" x14ac:dyDescent="0.3">
      <c r="J8030"/>
    </row>
    <row r="8031" spans="10:10" x14ac:dyDescent="0.3">
      <c r="J8031"/>
    </row>
    <row r="8032" spans="10:10" x14ac:dyDescent="0.3">
      <c r="J8032"/>
    </row>
    <row r="8033" spans="10:10" x14ac:dyDescent="0.3">
      <c r="J8033"/>
    </row>
    <row r="8034" spans="10:10" x14ac:dyDescent="0.3">
      <c r="J8034"/>
    </row>
    <row r="8035" spans="10:10" x14ac:dyDescent="0.3">
      <c r="J8035"/>
    </row>
    <row r="8036" spans="10:10" x14ac:dyDescent="0.3">
      <c r="J8036"/>
    </row>
    <row r="8037" spans="10:10" x14ac:dyDescent="0.3">
      <c r="J8037"/>
    </row>
    <row r="8038" spans="10:10" x14ac:dyDescent="0.3">
      <c r="J8038"/>
    </row>
    <row r="8039" spans="10:10" x14ac:dyDescent="0.3">
      <c r="J8039"/>
    </row>
    <row r="8040" spans="10:10" x14ac:dyDescent="0.3">
      <c r="J8040"/>
    </row>
    <row r="8041" spans="10:10" x14ac:dyDescent="0.3">
      <c r="J8041"/>
    </row>
    <row r="8042" spans="10:10" x14ac:dyDescent="0.3">
      <c r="J8042"/>
    </row>
    <row r="8043" spans="10:10" x14ac:dyDescent="0.3">
      <c r="J8043"/>
    </row>
    <row r="8044" spans="10:10" x14ac:dyDescent="0.3">
      <c r="J8044"/>
    </row>
    <row r="8045" spans="10:10" x14ac:dyDescent="0.3">
      <c r="J8045"/>
    </row>
    <row r="8046" spans="10:10" x14ac:dyDescent="0.3">
      <c r="J8046"/>
    </row>
    <row r="8047" spans="10:10" x14ac:dyDescent="0.3">
      <c r="J8047"/>
    </row>
    <row r="8048" spans="10:10" x14ac:dyDescent="0.3">
      <c r="J8048"/>
    </row>
    <row r="8049" spans="10:10" x14ac:dyDescent="0.3">
      <c r="J8049"/>
    </row>
    <row r="8050" spans="10:10" x14ac:dyDescent="0.3">
      <c r="J8050"/>
    </row>
    <row r="8051" spans="10:10" x14ac:dyDescent="0.3">
      <c r="J8051"/>
    </row>
    <row r="8052" spans="10:10" x14ac:dyDescent="0.3">
      <c r="J8052"/>
    </row>
    <row r="8053" spans="10:10" x14ac:dyDescent="0.3">
      <c r="J8053"/>
    </row>
    <row r="8054" spans="10:10" x14ac:dyDescent="0.3">
      <c r="J8054"/>
    </row>
    <row r="8055" spans="10:10" x14ac:dyDescent="0.3">
      <c r="J8055"/>
    </row>
    <row r="8056" spans="10:10" x14ac:dyDescent="0.3">
      <c r="J8056"/>
    </row>
    <row r="8057" spans="10:10" x14ac:dyDescent="0.3">
      <c r="J8057"/>
    </row>
    <row r="8058" spans="10:10" x14ac:dyDescent="0.3">
      <c r="J8058"/>
    </row>
    <row r="8059" spans="10:10" x14ac:dyDescent="0.3">
      <c r="J8059"/>
    </row>
    <row r="8060" spans="10:10" x14ac:dyDescent="0.3">
      <c r="J8060"/>
    </row>
    <row r="8061" spans="10:10" x14ac:dyDescent="0.3">
      <c r="J8061"/>
    </row>
    <row r="8062" spans="10:10" x14ac:dyDescent="0.3">
      <c r="J8062"/>
    </row>
    <row r="8063" spans="10:10" x14ac:dyDescent="0.3">
      <c r="J8063"/>
    </row>
    <row r="8064" spans="10:10" x14ac:dyDescent="0.3">
      <c r="J8064"/>
    </row>
    <row r="8065" spans="10:10" x14ac:dyDescent="0.3">
      <c r="J8065"/>
    </row>
    <row r="8066" spans="10:10" x14ac:dyDescent="0.3">
      <c r="J8066"/>
    </row>
    <row r="8067" spans="10:10" x14ac:dyDescent="0.3">
      <c r="J8067"/>
    </row>
    <row r="8068" spans="10:10" x14ac:dyDescent="0.3">
      <c r="J8068"/>
    </row>
    <row r="8069" spans="10:10" x14ac:dyDescent="0.3">
      <c r="J8069"/>
    </row>
    <row r="8070" spans="10:10" x14ac:dyDescent="0.3">
      <c r="J8070"/>
    </row>
    <row r="8071" spans="10:10" x14ac:dyDescent="0.3">
      <c r="J8071"/>
    </row>
    <row r="8072" spans="10:10" x14ac:dyDescent="0.3">
      <c r="J8072"/>
    </row>
    <row r="8073" spans="10:10" x14ac:dyDescent="0.3">
      <c r="J8073"/>
    </row>
    <row r="8074" spans="10:10" x14ac:dyDescent="0.3">
      <c r="J8074"/>
    </row>
    <row r="8075" spans="10:10" x14ac:dyDescent="0.3">
      <c r="J8075"/>
    </row>
    <row r="8076" spans="10:10" x14ac:dyDescent="0.3">
      <c r="J8076"/>
    </row>
    <row r="8077" spans="10:10" x14ac:dyDescent="0.3">
      <c r="J8077"/>
    </row>
    <row r="8078" spans="10:10" x14ac:dyDescent="0.3">
      <c r="J8078"/>
    </row>
    <row r="8079" spans="10:10" x14ac:dyDescent="0.3">
      <c r="J8079"/>
    </row>
    <row r="8080" spans="10:10" x14ac:dyDescent="0.3">
      <c r="J8080"/>
    </row>
    <row r="8081" spans="10:10" x14ac:dyDescent="0.3">
      <c r="J8081"/>
    </row>
    <row r="8082" spans="10:10" x14ac:dyDescent="0.3">
      <c r="J8082"/>
    </row>
    <row r="8083" spans="10:10" x14ac:dyDescent="0.3">
      <c r="J8083"/>
    </row>
    <row r="8084" spans="10:10" x14ac:dyDescent="0.3">
      <c r="J8084"/>
    </row>
    <row r="8085" spans="10:10" x14ac:dyDescent="0.3">
      <c r="J8085"/>
    </row>
    <row r="8086" spans="10:10" x14ac:dyDescent="0.3">
      <c r="J8086"/>
    </row>
    <row r="8087" spans="10:10" x14ac:dyDescent="0.3">
      <c r="J8087"/>
    </row>
    <row r="8088" spans="10:10" x14ac:dyDescent="0.3">
      <c r="J8088"/>
    </row>
    <row r="8089" spans="10:10" x14ac:dyDescent="0.3">
      <c r="J8089"/>
    </row>
    <row r="8090" spans="10:10" x14ac:dyDescent="0.3">
      <c r="J8090"/>
    </row>
    <row r="8091" spans="10:10" x14ac:dyDescent="0.3">
      <c r="J8091"/>
    </row>
    <row r="8092" spans="10:10" x14ac:dyDescent="0.3">
      <c r="J8092"/>
    </row>
    <row r="8093" spans="10:10" x14ac:dyDescent="0.3">
      <c r="J8093"/>
    </row>
    <row r="8094" spans="10:10" x14ac:dyDescent="0.3">
      <c r="J8094"/>
    </row>
    <row r="8095" spans="10:10" x14ac:dyDescent="0.3">
      <c r="J8095"/>
    </row>
    <row r="8096" spans="10:10" x14ac:dyDescent="0.3">
      <c r="J8096"/>
    </row>
    <row r="8097" spans="10:10" x14ac:dyDescent="0.3">
      <c r="J8097"/>
    </row>
    <row r="8098" spans="10:10" x14ac:dyDescent="0.3">
      <c r="J8098"/>
    </row>
    <row r="8099" spans="10:10" x14ac:dyDescent="0.3">
      <c r="J8099"/>
    </row>
    <row r="8100" spans="10:10" x14ac:dyDescent="0.3">
      <c r="J8100"/>
    </row>
    <row r="8101" spans="10:10" x14ac:dyDescent="0.3">
      <c r="J8101"/>
    </row>
    <row r="8102" spans="10:10" x14ac:dyDescent="0.3">
      <c r="J8102"/>
    </row>
    <row r="8103" spans="10:10" x14ac:dyDescent="0.3">
      <c r="J8103"/>
    </row>
    <row r="8104" spans="10:10" x14ac:dyDescent="0.3">
      <c r="J8104"/>
    </row>
    <row r="8105" spans="10:10" x14ac:dyDescent="0.3">
      <c r="J8105"/>
    </row>
    <row r="8106" spans="10:10" x14ac:dyDescent="0.3">
      <c r="J8106"/>
    </row>
    <row r="8107" spans="10:10" x14ac:dyDescent="0.3">
      <c r="J8107"/>
    </row>
    <row r="8108" spans="10:10" x14ac:dyDescent="0.3">
      <c r="J8108"/>
    </row>
    <row r="8109" spans="10:10" x14ac:dyDescent="0.3">
      <c r="J8109"/>
    </row>
    <row r="8110" spans="10:10" x14ac:dyDescent="0.3">
      <c r="J8110"/>
    </row>
    <row r="8111" spans="10:10" x14ac:dyDescent="0.3">
      <c r="J8111"/>
    </row>
    <row r="8112" spans="10:10" x14ac:dyDescent="0.3">
      <c r="J8112"/>
    </row>
    <row r="8113" spans="10:10" x14ac:dyDescent="0.3">
      <c r="J8113"/>
    </row>
    <row r="8114" spans="10:10" x14ac:dyDescent="0.3">
      <c r="J8114"/>
    </row>
    <row r="8115" spans="10:10" x14ac:dyDescent="0.3">
      <c r="J8115"/>
    </row>
    <row r="8116" spans="10:10" x14ac:dyDescent="0.3">
      <c r="J8116"/>
    </row>
    <row r="8117" spans="10:10" x14ac:dyDescent="0.3">
      <c r="J8117"/>
    </row>
    <row r="8118" spans="10:10" x14ac:dyDescent="0.3">
      <c r="J8118"/>
    </row>
    <row r="8119" spans="10:10" x14ac:dyDescent="0.3">
      <c r="J8119"/>
    </row>
    <row r="8120" spans="10:10" x14ac:dyDescent="0.3">
      <c r="J8120"/>
    </row>
    <row r="8121" spans="10:10" x14ac:dyDescent="0.3">
      <c r="J8121"/>
    </row>
    <row r="8122" spans="10:10" x14ac:dyDescent="0.3">
      <c r="J8122"/>
    </row>
    <row r="8123" spans="10:10" x14ac:dyDescent="0.3">
      <c r="J8123"/>
    </row>
    <row r="8124" spans="10:10" x14ac:dyDescent="0.3">
      <c r="J8124"/>
    </row>
    <row r="8125" spans="10:10" x14ac:dyDescent="0.3">
      <c r="J8125"/>
    </row>
    <row r="8126" spans="10:10" x14ac:dyDescent="0.3">
      <c r="J8126"/>
    </row>
    <row r="8127" spans="10:10" x14ac:dyDescent="0.3">
      <c r="J8127"/>
    </row>
    <row r="8128" spans="10:10" x14ac:dyDescent="0.3">
      <c r="J8128"/>
    </row>
    <row r="8129" spans="10:10" x14ac:dyDescent="0.3">
      <c r="J8129"/>
    </row>
    <row r="8130" spans="10:10" x14ac:dyDescent="0.3">
      <c r="J8130"/>
    </row>
    <row r="8131" spans="10:10" x14ac:dyDescent="0.3">
      <c r="J8131"/>
    </row>
    <row r="8132" spans="10:10" x14ac:dyDescent="0.3">
      <c r="J8132"/>
    </row>
    <row r="8133" spans="10:10" x14ac:dyDescent="0.3">
      <c r="J8133"/>
    </row>
    <row r="8134" spans="10:10" x14ac:dyDescent="0.3">
      <c r="J8134"/>
    </row>
    <row r="8135" spans="10:10" x14ac:dyDescent="0.3">
      <c r="J8135"/>
    </row>
    <row r="8136" spans="10:10" x14ac:dyDescent="0.3">
      <c r="J8136"/>
    </row>
    <row r="8137" spans="10:10" x14ac:dyDescent="0.3">
      <c r="J8137"/>
    </row>
    <row r="8138" spans="10:10" x14ac:dyDescent="0.3">
      <c r="J8138"/>
    </row>
    <row r="8139" spans="10:10" x14ac:dyDescent="0.3">
      <c r="J8139"/>
    </row>
    <row r="8140" spans="10:10" x14ac:dyDescent="0.3">
      <c r="J8140"/>
    </row>
    <row r="8141" spans="10:10" x14ac:dyDescent="0.3">
      <c r="J8141"/>
    </row>
    <row r="8142" spans="10:10" x14ac:dyDescent="0.3">
      <c r="J8142"/>
    </row>
    <row r="8143" spans="10:10" x14ac:dyDescent="0.3">
      <c r="J8143"/>
    </row>
    <row r="8144" spans="10:10" x14ac:dyDescent="0.3">
      <c r="J8144"/>
    </row>
    <row r="8145" spans="10:10" x14ac:dyDescent="0.3">
      <c r="J8145"/>
    </row>
    <row r="8146" spans="10:10" x14ac:dyDescent="0.3">
      <c r="J8146"/>
    </row>
    <row r="8147" spans="10:10" x14ac:dyDescent="0.3">
      <c r="J8147"/>
    </row>
    <row r="8148" spans="10:10" x14ac:dyDescent="0.3">
      <c r="J8148"/>
    </row>
    <row r="8149" spans="10:10" x14ac:dyDescent="0.3">
      <c r="J8149"/>
    </row>
    <row r="8150" spans="10:10" x14ac:dyDescent="0.3">
      <c r="J8150"/>
    </row>
    <row r="8151" spans="10:10" x14ac:dyDescent="0.3">
      <c r="J8151"/>
    </row>
    <row r="8152" spans="10:10" x14ac:dyDescent="0.3">
      <c r="J8152"/>
    </row>
    <row r="8153" spans="10:10" x14ac:dyDescent="0.3">
      <c r="J8153"/>
    </row>
    <row r="8154" spans="10:10" x14ac:dyDescent="0.3">
      <c r="J8154"/>
    </row>
    <row r="8155" spans="10:10" x14ac:dyDescent="0.3">
      <c r="J8155"/>
    </row>
    <row r="8156" spans="10:10" x14ac:dyDescent="0.3">
      <c r="J8156"/>
    </row>
    <row r="8157" spans="10:10" x14ac:dyDescent="0.3">
      <c r="J8157"/>
    </row>
    <row r="8158" spans="10:10" x14ac:dyDescent="0.3">
      <c r="J8158"/>
    </row>
    <row r="8159" spans="10:10" x14ac:dyDescent="0.3">
      <c r="J8159"/>
    </row>
    <row r="8160" spans="10:10" x14ac:dyDescent="0.3">
      <c r="J8160"/>
    </row>
    <row r="8161" spans="10:10" x14ac:dyDescent="0.3">
      <c r="J8161"/>
    </row>
    <row r="8162" spans="10:10" x14ac:dyDescent="0.3">
      <c r="J8162"/>
    </row>
    <row r="8163" spans="10:10" x14ac:dyDescent="0.3">
      <c r="J8163"/>
    </row>
    <row r="8164" spans="10:10" x14ac:dyDescent="0.3">
      <c r="J8164"/>
    </row>
    <row r="8165" spans="10:10" x14ac:dyDescent="0.3">
      <c r="J8165"/>
    </row>
    <row r="8166" spans="10:10" x14ac:dyDescent="0.3">
      <c r="J8166"/>
    </row>
    <row r="8167" spans="10:10" x14ac:dyDescent="0.3">
      <c r="J8167"/>
    </row>
    <row r="8168" spans="10:10" x14ac:dyDescent="0.3">
      <c r="J8168"/>
    </row>
    <row r="8169" spans="10:10" x14ac:dyDescent="0.3">
      <c r="J8169"/>
    </row>
    <row r="8170" spans="10:10" x14ac:dyDescent="0.3">
      <c r="J8170"/>
    </row>
    <row r="8171" spans="10:10" x14ac:dyDescent="0.3">
      <c r="J8171"/>
    </row>
    <row r="8172" spans="10:10" x14ac:dyDescent="0.3">
      <c r="J8172"/>
    </row>
    <row r="8173" spans="10:10" x14ac:dyDescent="0.3">
      <c r="J8173"/>
    </row>
    <row r="8174" spans="10:10" x14ac:dyDescent="0.3">
      <c r="J8174"/>
    </row>
    <row r="8175" spans="10:10" x14ac:dyDescent="0.3">
      <c r="J8175"/>
    </row>
    <row r="8176" spans="10:10" x14ac:dyDescent="0.3">
      <c r="J8176"/>
    </row>
    <row r="8177" spans="10:10" x14ac:dyDescent="0.3">
      <c r="J8177"/>
    </row>
    <row r="8178" spans="10:10" x14ac:dyDescent="0.3">
      <c r="J8178"/>
    </row>
    <row r="8179" spans="10:10" x14ac:dyDescent="0.3">
      <c r="J8179"/>
    </row>
    <row r="8180" spans="10:10" x14ac:dyDescent="0.3">
      <c r="J8180"/>
    </row>
    <row r="8181" spans="10:10" x14ac:dyDescent="0.3">
      <c r="J8181"/>
    </row>
    <row r="8182" spans="10:10" x14ac:dyDescent="0.3">
      <c r="J8182"/>
    </row>
    <row r="8183" spans="10:10" x14ac:dyDescent="0.3">
      <c r="J8183"/>
    </row>
    <row r="8184" spans="10:10" x14ac:dyDescent="0.3">
      <c r="J8184"/>
    </row>
    <row r="8185" spans="10:10" x14ac:dyDescent="0.3">
      <c r="J8185"/>
    </row>
    <row r="8186" spans="10:10" x14ac:dyDescent="0.3">
      <c r="J8186"/>
    </row>
    <row r="8187" spans="10:10" x14ac:dyDescent="0.3">
      <c r="J8187"/>
    </row>
    <row r="8188" spans="10:10" x14ac:dyDescent="0.3">
      <c r="J8188"/>
    </row>
    <row r="8189" spans="10:10" x14ac:dyDescent="0.3">
      <c r="J8189"/>
    </row>
    <row r="8190" spans="10:10" x14ac:dyDescent="0.3">
      <c r="J8190"/>
    </row>
    <row r="8191" spans="10:10" x14ac:dyDescent="0.3">
      <c r="J8191"/>
    </row>
    <row r="8192" spans="10:10" x14ac:dyDescent="0.3">
      <c r="J8192"/>
    </row>
    <row r="8193" spans="10:10" x14ac:dyDescent="0.3">
      <c r="J8193"/>
    </row>
    <row r="8194" spans="10:10" x14ac:dyDescent="0.3">
      <c r="J8194"/>
    </row>
    <row r="8195" spans="10:10" x14ac:dyDescent="0.3">
      <c r="J8195"/>
    </row>
    <row r="8196" spans="10:10" x14ac:dyDescent="0.3">
      <c r="J8196"/>
    </row>
    <row r="8197" spans="10:10" x14ac:dyDescent="0.3">
      <c r="J8197"/>
    </row>
    <row r="8198" spans="10:10" x14ac:dyDescent="0.3">
      <c r="J8198"/>
    </row>
    <row r="8199" spans="10:10" x14ac:dyDescent="0.3">
      <c r="J8199"/>
    </row>
    <row r="8200" spans="10:10" x14ac:dyDescent="0.3">
      <c r="J8200"/>
    </row>
    <row r="8201" spans="10:10" x14ac:dyDescent="0.3">
      <c r="J8201"/>
    </row>
    <row r="8202" spans="10:10" x14ac:dyDescent="0.3">
      <c r="J8202"/>
    </row>
    <row r="8203" spans="10:10" x14ac:dyDescent="0.3">
      <c r="J8203"/>
    </row>
    <row r="8204" spans="10:10" x14ac:dyDescent="0.3">
      <c r="J8204"/>
    </row>
    <row r="8205" spans="10:10" x14ac:dyDescent="0.3">
      <c r="J8205"/>
    </row>
    <row r="8206" spans="10:10" x14ac:dyDescent="0.3">
      <c r="J8206"/>
    </row>
    <row r="8207" spans="10:10" x14ac:dyDescent="0.3">
      <c r="J8207"/>
    </row>
    <row r="8208" spans="10:10" x14ac:dyDescent="0.3">
      <c r="J8208"/>
    </row>
    <row r="8209" spans="10:10" x14ac:dyDescent="0.3">
      <c r="J8209"/>
    </row>
    <row r="8210" spans="10:10" x14ac:dyDescent="0.3">
      <c r="J8210"/>
    </row>
    <row r="8211" spans="10:10" x14ac:dyDescent="0.3">
      <c r="J8211"/>
    </row>
    <row r="8212" spans="10:10" x14ac:dyDescent="0.3">
      <c r="J8212"/>
    </row>
    <row r="8213" spans="10:10" x14ac:dyDescent="0.3">
      <c r="J8213"/>
    </row>
    <row r="8214" spans="10:10" x14ac:dyDescent="0.3">
      <c r="J8214"/>
    </row>
    <row r="8215" spans="10:10" x14ac:dyDescent="0.3">
      <c r="J8215"/>
    </row>
    <row r="8216" spans="10:10" x14ac:dyDescent="0.3">
      <c r="J8216"/>
    </row>
    <row r="8217" spans="10:10" x14ac:dyDescent="0.3">
      <c r="J8217"/>
    </row>
    <row r="8218" spans="10:10" x14ac:dyDescent="0.3">
      <c r="J8218"/>
    </row>
    <row r="8219" spans="10:10" x14ac:dyDescent="0.3">
      <c r="J8219"/>
    </row>
    <row r="8220" spans="10:10" x14ac:dyDescent="0.3">
      <c r="J8220"/>
    </row>
    <row r="8221" spans="10:10" x14ac:dyDescent="0.3">
      <c r="J8221"/>
    </row>
    <row r="8222" spans="10:10" x14ac:dyDescent="0.3">
      <c r="J8222"/>
    </row>
    <row r="8223" spans="10:10" x14ac:dyDescent="0.3">
      <c r="J8223"/>
    </row>
    <row r="8224" spans="10:10" x14ac:dyDescent="0.3">
      <c r="J8224"/>
    </row>
    <row r="8225" spans="10:10" x14ac:dyDescent="0.3">
      <c r="J8225"/>
    </row>
    <row r="8226" spans="10:10" x14ac:dyDescent="0.3">
      <c r="J8226"/>
    </row>
    <row r="8227" spans="10:10" x14ac:dyDescent="0.3">
      <c r="J8227"/>
    </row>
    <row r="8228" spans="10:10" x14ac:dyDescent="0.3">
      <c r="J8228"/>
    </row>
    <row r="8229" spans="10:10" x14ac:dyDescent="0.3">
      <c r="J8229"/>
    </row>
    <row r="8230" spans="10:10" x14ac:dyDescent="0.3">
      <c r="J8230"/>
    </row>
    <row r="8231" spans="10:10" x14ac:dyDescent="0.3">
      <c r="J8231"/>
    </row>
    <row r="8232" spans="10:10" x14ac:dyDescent="0.3">
      <c r="J8232"/>
    </row>
    <row r="8233" spans="10:10" x14ac:dyDescent="0.3">
      <c r="J8233"/>
    </row>
    <row r="8234" spans="10:10" x14ac:dyDescent="0.3">
      <c r="J8234"/>
    </row>
    <row r="8235" spans="10:10" x14ac:dyDescent="0.3">
      <c r="J8235"/>
    </row>
    <row r="8236" spans="10:10" x14ac:dyDescent="0.3">
      <c r="J8236"/>
    </row>
    <row r="8237" spans="10:10" x14ac:dyDescent="0.3">
      <c r="J8237"/>
    </row>
    <row r="8238" spans="10:10" x14ac:dyDescent="0.3">
      <c r="J8238"/>
    </row>
    <row r="8239" spans="10:10" x14ac:dyDescent="0.3">
      <c r="J8239"/>
    </row>
    <row r="8240" spans="10:10" x14ac:dyDescent="0.3">
      <c r="J8240"/>
    </row>
    <row r="8241" spans="10:10" x14ac:dyDescent="0.3">
      <c r="J8241"/>
    </row>
    <row r="8242" spans="10:10" x14ac:dyDescent="0.3">
      <c r="J8242"/>
    </row>
    <row r="8243" spans="10:10" x14ac:dyDescent="0.3">
      <c r="J8243"/>
    </row>
    <row r="8244" spans="10:10" x14ac:dyDescent="0.3">
      <c r="J8244"/>
    </row>
    <row r="8245" spans="10:10" x14ac:dyDescent="0.3">
      <c r="J8245"/>
    </row>
    <row r="8246" spans="10:10" x14ac:dyDescent="0.3">
      <c r="J8246"/>
    </row>
    <row r="8247" spans="10:10" x14ac:dyDescent="0.3">
      <c r="J8247"/>
    </row>
    <row r="8248" spans="10:10" x14ac:dyDescent="0.3">
      <c r="J8248"/>
    </row>
    <row r="8249" spans="10:10" x14ac:dyDescent="0.3">
      <c r="J8249"/>
    </row>
    <row r="8250" spans="10:10" x14ac:dyDescent="0.3">
      <c r="J8250"/>
    </row>
    <row r="8251" spans="10:10" x14ac:dyDescent="0.3">
      <c r="J8251"/>
    </row>
    <row r="8252" spans="10:10" x14ac:dyDescent="0.3">
      <c r="J8252"/>
    </row>
    <row r="8253" spans="10:10" x14ac:dyDescent="0.3">
      <c r="J8253"/>
    </row>
    <row r="8254" spans="10:10" x14ac:dyDescent="0.3">
      <c r="J8254"/>
    </row>
    <row r="8255" spans="10:10" x14ac:dyDescent="0.3">
      <c r="J8255"/>
    </row>
    <row r="8256" spans="10:10" x14ac:dyDescent="0.3">
      <c r="J8256"/>
    </row>
    <row r="8257" spans="10:10" x14ac:dyDescent="0.3">
      <c r="J8257"/>
    </row>
    <row r="8258" spans="10:10" x14ac:dyDescent="0.3">
      <c r="J8258"/>
    </row>
    <row r="8259" spans="10:10" x14ac:dyDescent="0.3">
      <c r="J8259"/>
    </row>
    <row r="8260" spans="10:10" x14ac:dyDescent="0.3">
      <c r="J8260"/>
    </row>
    <row r="8261" spans="10:10" x14ac:dyDescent="0.3">
      <c r="J8261"/>
    </row>
    <row r="8262" spans="10:10" x14ac:dyDescent="0.3">
      <c r="J8262"/>
    </row>
    <row r="8263" spans="10:10" x14ac:dyDescent="0.3">
      <c r="J8263"/>
    </row>
    <row r="8264" spans="10:10" x14ac:dyDescent="0.3">
      <c r="J8264"/>
    </row>
    <row r="8265" spans="10:10" x14ac:dyDescent="0.3">
      <c r="J8265"/>
    </row>
    <row r="8266" spans="10:10" x14ac:dyDescent="0.3">
      <c r="J8266"/>
    </row>
    <row r="8267" spans="10:10" x14ac:dyDescent="0.3">
      <c r="J8267"/>
    </row>
    <row r="8268" spans="10:10" x14ac:dyDescent="0.3">
      <c r="J8268"/>
    </row>
    <row r="8269" spans="10:10" x14ac:dyDescent="0.3">
      <c r="J8269"/>
    </row>
    <row r="8270" spans="10:10" x14ac:dyDescent="0.3">
      <c r="J8270"/>
    </row>
    <row r="8271" spans="10:10" x14ac:dyDescent="0.3">
      <c r="J8271"/>
    </row>
    <row r="8272" spans="10:10" x14ac:dyDescent="0.3">
      <c r="J8272"/>
    </row>
    <row r="8273" spans="10:10" x14ac:dyDescent="0.3">
      <c r="J8273"/>
    </row>
    <row r="8274" spans="10:10" x14ac:dyDescent="0.3">
      <c r="J8274"/>
    </row>
    <row r="8275" spans="10:10" x14ac:dyDescent="0.3">
      <c r="J8275"/>
    </row>
    <row r="8276" spans="10:10" x14ac:dyDescent="0.3">
      <c r="J8276"/>
    </row>
    <row r="8277" spans="10:10" x14ac:dyDescent="0.3">
      <c r="J8277"/>
    </row>
    <row r="8278" spans="10:10" x14ac:dyDescent="0.3">
      <c r="J8278"/>
    </row>
    <row r="8279" spans="10:10" x14ac:dyDescent="0.3">
      <c r="J8279"/>
    </row>
    <row r="8280" spans="10:10" x14ac:dyDescent="0.3">
      <c r="J8280"/>
    </row>
    <row r="8281" spans="10:10" x14ac:dyDescent="0.3">
      <c r="J8281"/>
    </row>
    <row r="8282" spans="10:10" x14ac:dyDescent="0.3">
      <c r="J8282"/>
    </row>
    <row r="8283" spans="10:10" x14ac:dyDescent="0.3">
      <c r="J8283"/>
    </row>
    <row r="8284" spans="10:10" x14ac:dyDescent="0.3">
      <c r="J8284"/>
    </row>
    <row r="8285" spans="10:10" x14ac:dyDescent="0.3">
      <c r="J8285"/>
    </row>
    <row r="8286" spans="10:10" x14ac:dyDescent="0.3">
      <c r="J8286"/>
    </row>
    <row r="8287" spans="10:10" x14ac:dyDescent="0.3">
      <c r="J8287"/>
    </row>
    <row r="8288" spans="10:10" x14ac:dyDescent="0.3">
      <c r="J8288"/>
    </row>
    <row r="8289" spans="10:10" x14ac:dyDescent="0.3">
      <c r="J8289"/>
    </row>
    <row r="8290" spans="10:10" x14ac:dyDescent="0.3">
      <c r="J8290"/>
    </row>
    <row r="8291" spans="10:10" x14ac:dyDescent="0.3">
      <c r="J8291"/>
    </row>
    <row r="8292" spans="10:10" x14ac:dyDescent="0.3">
      <c r="J8292"/>
    </row>
    <row r="8293" spans="10:10" x14ac:dyDescent="0.3">
      <c r="J8293"/>
    </row>
    <row r="8294" spans="10:10" x14ac:dyDescent="0.3">
      <c r="J8294"/>
    </row>
    <row r="8295" spans="10:10" x14ac:dyDescent="0.3">
      <c r="J8295"/>
    </row>
    <row r="8296" spans="10:10" x14ac:dyDescent="0.3">
      <c r="J8296"/>
    </row>
    <row r="8297" spans="10:10" x14ac:dyDescent="0.3">
      <c r="J8297"/>
    </row>
    <row r="8298" spans="10:10" x14ac:dyDescent="0.3">
      <c r="J8298"/>
    </row>
    <row r="8299" spans="10:10" x14ac:dyDescent="0.3">
      <c r="J8299"/>
    </row>
    <row r="8300" spans="10:10" x14ac:dyDescent="0.3">
      <c r="J8300"/>
    </row>
    <row r="8301" spans="10:10" x14ac:dyDescent="0.3">
      <c r="J8301"/>
    </row>
    <row r="8302" spans="10:10" x14ac:dyDescent="0.3">
      <c r="J8302"/>
    </row>
    <row r="8303" spans="10:10" x14ac:dyDescent="0.3">
      <c r="J8303"/>
    </row>
    <row r="8304" spans="10:10" x14ac:dyDescent="0.3">
      <c r="J8304"/>
    </row>
    <row r="8305" spans="10:10" x14ac:dyDescent="0.3">
      <c r="J8305"/>
    </row>
    <row r="8306" spans="10:10" x14ac:dyDescent="0.3">
      <c r="J8306"/>
    </row>
    <row r="8307" spans="10:10" x14ac:dyDescent="0.3">
      <c r="J8307"/>
    </row>
    <row r="8308" spans="10:10" x14ac:dyDescent="0.3">
      <c r="J8308"/>
    </row>
    <row r="8309" spans="10:10" x14ac:dyDescent="0.3">
      <c r="J8309"/>
    </row>
    <row r="8310" spans="10:10" x14ac:dyDescent="0.3">
      <c r="J8310"/>
    </row>
    <row r="8311" spans="10:10" x14ac:dyDescent="0.3">
      <c r="J8311"/>
    </row>
    <row r="8312" spans="10:10" x14ac:dyDescent="0.3">
      <c r="J8312"/>
    </row>
    <row r="8313" spans="10:10" x14ac:dyDescent="0.3">
      <c r="J8313"/>
    </row>
    <row r="8314" spans="10:10" x14ac:dyDescent="0.3">
      <c r="J8314"/>
    </row>
    <row r="8315" spans="10:10" x14ac:dyDescent="0.3">
      <c r="J8315"/>
    </row>
    <row r="8316" spans="10:10" x14ac:dyDescent="0.3">
      <c r="J8316"/>
    </row>
    <row r="8317" spans="10:10" x14ac:dyDescent="0.3">
      <c r="J8317"/>
    </row>
    <row r="8318" spans="10:10" x14ac:dyDescent="0.3">
      <c r="J8318"/>
    </row>
    <row r="8319" spans="10:10" x14ac:dyDescent="0.3">
      <c r="J8319"/>
    </row>
    <row r="8320" spans="10:10" x14ac:dyDescent="0.3">
      <c r="J8320"/>
    </row>
    <row r="8321" spans="10:10" x14ac:dyDescent="0.3">
      <c r="J8321"/>
    </row>
    <row r="8322" spans="10:10" x14ac:dyDescent="0.3">
      <c r="J8322"/>
    </row>
    <row r="8323" spans="10:10" x14ac:dyDescent="0.3">
      <c r="J8323"/>
    </row>
    <row r="8324" spans="10:10" x14ac:dyDescent="0.3">
      <c r="J8324"/>
    </row>
    <row r="8325" spans="10:10" x14ac:dyDescent="0.3">
      <c r="J8325"/>
    </row>
    <row r="8326" spans="10:10" x14ac:dyDescent="0.3">
      <c r="J8326"/>
    </row>
    <row r="8327" spans="10:10" x14ac:dyDescent="0.3">
      <c r="J8327"/>
    </row>
    <row r="8328" spans="10:10" x14ac:dyDescent="0.3">
      <c r="J8328"/>
    </row>
    <row r="8329" spans="10:10" x14ac:dyDescent="0.3">
      <c r="J8329"/>
    </row>
    <row r="8330" spans="10:10" x14ac:dyDescent="0.3">
      <c r="J8330"/>
    </row>
    <row r="8331" spans="10:10" x14ac:dyDescent="0.3">
      <c r="J8331"/>
    </row>
    <row r="8332" spans="10:10" x14ac:dyDescent="0.3">
      <c r="J8332"/>
    </row>
    <row r="8333" spans="10:10" x14ac:dyDescent="0.3">
      <c r="J8333"/>
    </row>
    <row r="8334" spans="10:10" x14ac:dyDescent="0.3">
      <c r="J8334"/>
    </row>
    <row r="8335" spans="10:10" x14ac:dyDescent="0.3">
      <c r="J8335"/>
    </row>
    <row r="8336" spans="10:10" x14ac:dyDescent="0.3">
      <c r="J8336"/>
    </row>
    <row r="8337" spans="10:10" x14ac:dyDescent="0.3">
      <c r="J8337"/>
    </row>
    <row r="8338" spans="10:10" x14ac:dyDescent="0.3">
      <c r="J8338"/>
    </row>
    <row r="8339" spans="10:10" x14ac:dyDescent="0.3">
      <c r="J8339"/>
    </row>
    <row r="8340" spans="10:10" x14ac:dyDescent="0.3">
      <c r="J8340"/>
    </row>
    <row r="8341" spans="10:10" x14ac:dyDescent="0.3">
      <c r="J8341"/>
    </row>
    <row r="8342" spans="10:10" x14ac:dyDescent="0.3">
      <c r="J8342"/>
    </row>
    <row r="8343" spans="10:10" x14ac:dyDescent="0.3">
      <c r="J8343"/>
    </row>
    <row r="8344" spans="10:10" x14ac:dyDescent="0.3">
      <c r="J8344"/>
    </row>
    <row r="8345" spans="10:10" x14ac:dyDescent="0.3">
      <c r="J8345"/>
    </row>
    <row r="8346" spans="10:10" x14ac:dyDescent="0.3">
      <c r="J8346"/>
    </row>
    <row r="8347" spans="10:10" x14ac:dyDescent="0.3">
      <c r="J8347"/>
    </row>
    <row r="8348" spans="10:10" x14ac:dyDescent="0.3">
      <c r="J8348"/>
    </row>
    <row r="8349" spans="10:10" x14ac:dyDescent="0.3">
      <c r="J8349"/>
    </row>
    <row r="8350" spans="10:10" x14ac:dyDescent="0.3">
      <c r="J8350"/>
    </row>
    <row r="8351" spans="10:10" x14ac:dyDescent="0.3">
      <c r="J8351"/>
    </row>
    <row r="8352" spans="10:10" x14ac:dyDescent="0.3">
      <c r="J8352"/>
    </row>
    <row r="8353" spans="10:10" x14ac:dyDescent="0.3">
      <c r="J8353"/>
    </row>
    <row r="8354" spans="10:10" x14ac:dyDescent="0.3">
      <c r="J8354"/>
    </row>
    <row r="8355" spans="10:10" x14ac:dyDescent="0.3">
      <c r="J8355"/>
    </row>
    <row r="8356" spans="10:10" x14ac:dyDescent="0.3">
      <c r="J8356"/>
    </row>
    <row r="8357" spans="10:10" x14ac:dyDescent="0.3">
      <c r="J8357"/>
    </row>
    <row r="8358" spans="10:10" x14ac:dyDescent="0.3">
      <c r="J8358"/>
    </row>
    <row r="8359" spans="10:10" x14ac:dyDescent="0.3">
      <c r="J8359"/>
    </row>
    <row r="8360" spans="10:10" x14ac:dyDescent="0.3">
      <c r="J8360"/>
    </row>
    <row r="8361" spans="10:10" x14ac:dyDescent="0.3">
      <c r="J8361"/>
    </row>
    <row r="8362" spans="10:10" x14ac:dyDescent="0.3">
      <c r="J8362"/>
    </row>
    <row r="8363" spans="10:10" x14ac:dyDescent="0.3">
      <c r="J8363"/>
    </row>
    <row r="8364" spans="10:10" x14ac:dyDescent="0.3">
      <c r="J8364"/>
    </row>
    <row r="8365" spans="10:10" x14ac:dyDescent="0.3">
      <c r="J8365"/>
    </row>
    <row r="8366" spans="10:10" x14ac:dyDescent="0.3">
      <c r="J8366"/>
    </row>
    <row r="8367" spans="10:10" x14ac:dyDescent="0.3">
      <c r="J8367"/>
    </row>
    <row r="8368" spans="10:10" x14ac:dyDescent="0.3">
      <c r="J8368"/>
    </row>
    <row r="8369" spans="10:10" x14ac:dyDescent="0.3">
      <c r="J8369"/>
    </row>
    <row r="8370" spans="10:10" x14ac:dyDescent="0.3">
      <c r="J8370"/>
    </row>
    <row r="8371" spans="10:10" x14ac:dyDescent="0.3">
      <c r="J8371"/>
    </row>
    <row r="8372" spans="10:10" x14ac:dyDescent="0.3">
      <c r="J8372"/>
    </row>
    <row r="8373" spans="10:10" x14ac:dyDescent="0.3">
      <c r="J8373"/>
    </row>
    <row r="8374" spans="10:10" x14ac:dyDescent="0.3">
      <c r="J8374"/>
    </row>
    <row r="8375" spans="10:10" x14ac:dyDescent="0.3">
      <c r="J8375"/>
    </row>
    <row r="8376" spans="10:10" x14ac:dyDescent="0.3">
      <c r="J8376"/>
    </row>
    <row r="8377" spans="10:10" x14ac:dyDescent="0.3">
      <c r="J8377"/>
    </row>
    <row r="8378" spans="10:10" x14ac:dyDescent="0.3">
      <c r="J8378"/>
    </row>
    <row r="8379" spans="10:10" x14ac:dyDescent="0.3">
      <c r="J8379"/>
    </row>
    <row r="8380" spans="10:10" x14ac:dyDescent="0.3">
      <c r="J8380"/>
    </row>
    <row r="8381" spans="10:10" x14ac:dyDescent="0.3">
      <c r="J8381"/>
    </row>
    <row r="8382" spans="10:10" x14ac:dyDescent="0.3">
      <c r="J8382"/>
    </row>
    <row r="8383" spans="10:10" x14ac:dyDescent="0.3">
      <c r="J8383"/>
    </row>
    <row r="8384" spans="10:10" x14ac:dyDescent="0.3">
      <c r="J8384"/>
    </row>
    <row r="8385" spans="10:10" x14ac:dyDescent="0.3">
      <c r="J8385"/>
    </row>
    <row r="8386" spans="10:10" x14ac:dyDescent="0.3">
      <c r="J8386"/>
    </row>
    <row r="8387" spans="10:10" x14ac:dyDescent="0.3">
      <c r="J8387"/>
    </row>
    <row r="8388" spans="10:10" x14ac:dyDescent="0.3">
      <c r="J8388"/>
    </row>
    <row r="8389" spans="10:10" x14ac:dyDescent="0.3">
      <c r="J8389"/>
    </row>
    <row r="8390" spans="10:10" x14ac:dyDescent="0.3">
      <c r="J8390"/>
    </row>
    <row r="8391" spans="10:10" x14ac:dyDescent="0.3">
      <c r="J8391"/>
    </row>
    <row r="8392" spans="10:10" x14ac:dyDescent="0.3">
      <c r="J8392"/>
    </row>
    <row r="8393" spans="10:10" x14ac:dyDescent="0.3">
      <c r="J8393"/>
    </row>
    <row r="8394" spans="10:10" x14ac:dyDescent="0.3">
      <c r="J8394"/>
    </row>
    <row r="8395" spans="10:10" x14ac:dyDescent="0.3">
      <c r="J8395"/>
    </row>
    <row r="8396" spans="10:10" x14ac:dyDescent="0.3">
      <c r="J8396"/>
    </row>
    <row r="8397" spans="10:10" x14ac:dyDescent="0.3">
      <c r="J8397"/>
    </row>
    <row r="8398" spans="10:10" x14ac:dyDescent="0.3">
      <c r="J8398"/>
    </row>
    <row r="8399" spans="10:10" x14ac:dyDescent="0.3">
      <c r="J8399"/>
    </row>
    <row r="8400" spans="10:10" x14ac:dyDescent="0.3">
      <c r="J8400"/>
    </row>
    <row r="8401" spans="10:10" x14ac:dyDescent="0.3">
      <c r="J8401"/>
    </row>
    <row r="8402" spans="10:10" x14ac:dyDescent="0.3">
      <c r="J8402"/>
    </row>
    <row r="8403" spans="10:10" x14ac:dyDescent="0.3">
      <c r="J8403"/>
    </row>
    <row r="8404" spans="10:10" x14ac:dyDescent="0.3">
      <c r="J8404"/>
    </row>
    <row r="8405" spans="10:10" x14ac:dyDescent="0.3">
      <c r="J8405"/>
    </row>
    <row r="8406" spans="10:10" x14ac:dyDescent="0.3">
      <c r="J8406"/>
    </row>
    <row r="8407" spans="10:10" x14ac:dyDescent="0.3">
      <c r="J8407"/>
    </row>
    <row r="8408" spans="10:10" x14ac:dyDescent="0.3">
      <c r="J8408"/>
    </row>
    <row r="8409" spans="10:10" x14ac:dyDescent="0.3">
      <c r="J8409"/>
    </row>
    <row r="8410" spans="10:10" x14ac:dyDescent="0.3">
      <c r="J8410"/>
    </row>
    <row r="8411" spans="10:10" x14ac:dyDescent="0.3">
      <c r="J8411"/>
    </row>
    <row r="8412" spans="10:10" x14ac:dyDescent="0.3">
      <c r="J8412"/>
    </row>
    <row r="8413" spans="10:10" x14ac:dyDescent="0.3">
      <c r="J8413"/>
    </row>
    <row r="8414" spans="10:10" x14ac:dyDescent="0.3">
      <c r="J8414"/>
    </row>
    <row r="8415" spans="10:10" x14ac:dyDescent="0.3">
      <c r="J8415"/>
    </row>
    <row r="8416" spans="10:10" x14ac:dyDescent="0.3">
      <c r="J8416"/>
    </row>
    <row r="8417" spans="10:10" x14ac:dyDescent="0.3">
      <c r="J8417"/>
    </row>
    <row r="8418" spans="10:10" x14ac:dyDescent="0.3">
      <c r="J8418"/>
    </row>
    <row r="8419" spans="10:10" x14ac:dyDescent="0.3">
      <c r="J8419"/>
    </row>
    <row r="8420" spans="10:10" x14ac:dyDescent="0.3">
      <c r="J8420"/>
    </row>
    <row r="8421" spans="10:10" x14ac:dyDescent="0.3">
      <c r="J8421"/>
    </row>
    <row r="8422" spans="10:10" x14ac:dyDescent="0.3">
      <c r="J8422"/>
    </row>
    <row r="8423" spans="10:10" x14ac:dyDescent="0.3">
      <c r="J8423"/>
    </row>
    <row r="8424" spans="10:10" x14ac:dyDescent="0.3">
      <c r="J8424"/>
    </row>
    <row r="8425" spans="10:10" x14ac:dyDescent="0.3">
      <c r="J8425"/>
    </row>
    <row r="8426" spans="10:10" x14ac:dyDescent="0.3">
      <c r="J8426"/>
    </row>
    <row r="8427" spans="10:10" x14ac:dyDescent="0.3">
      <c r="J8427"/>
    </row>
    <row r="8428" spans="10:10" x14ac:dyDescent="0.3">
      <c r="J8428"/>
    </row>
    <row r="8429" spans="10:10" x14ac:dyDescent="0.3">
      <c r="J8429"/>
    </row>
    <row r="8430" spans="10:10" x14ac:dyDescent="0.3">
      <c r="J8430"/>
    </row>
    <row r="8431" spans="10:10" x14ac:dyDescent="0.3">
      <c r="J8431"/>
    </row>
    <row r="8432" spans="10:10" x14ac:dyDescent="0.3">
      <c r="J8432"/>
    </row>
    <row r="8433" spans="10:10" x14ac:dyDescent="0.3">
      <c r="J8433"/>
    </row>
    <row r="8434" spans="10:10" x14ac:dyDescent="0.3">
      <c r="J8434"/>
    </row>
    <row r="8435" spans="10:10" x14ac:dyDescent="0.3">
      <c r="J8435"/>
    </row>
    <row r="8436" spans="10:10" x14ac:dyDescent="0.3">
      <c r="J8436"/>
    </row>
    <row r="8437" spans="10:10" x14ac:dyDescent="0.3">
      <c r="J8437"/>
    </row>
    <row r="8438" spans="10:10" x14ac:dyDescent="0.3">
      <c r="J8438"/>
    </row>
    <row r="8439" spans="10:10" x14ac:dyDescent="0.3">
      <c r="J8439"/>
    </row>
    <row r="8440" spans="10:10" x14ac:dyDescent="0.3">
      <c r="J8440"/>
    </row>
    <row r="8441" spans="10:10" x14ac:dyDescent="0.3">
      <c r="J8441"/>
    </row>
    <row r="8442" spans="10:10" x14ac:dyDescent="0.3">
      <c r="J8442"/>
    </row>
    <row r="8443" spans="10:10" x14ac:dyDescent="0.3">
      <c r="J8443"/>
    </row>
    <row r="8444" spans="10:10" x14ac:dyDescent="0.3">
      <c r="J8444"/>
    </row>
    <row r="8445" spans="10:10" x14ac:dyDescent="0.3">
      <c r="J8445"/>
    </row>
    <row r="8446" spans="10:10" x14ac:dyDescent="0.3">
      <c r="J8446"/>
    </row>
    <row r="8447" spans="10:10" x14ac:dyDescent="0.3">
      <c r="J8447"/>
    </row>
    <row r="8448" spans="10:10" x14ac:dyDescent="0.3">
      <c r="J8448"/>
    </row>
    <row r="8449" spans="10:10" x14ac:dyDescent="0.3">
      <c r="J8449"/>
    </row>
    <row r="8450" spans="10:10" x14ac:dyDescent="0.3">
      <c r="J8450"/>
    </row>
    <row r="8451" spans="10:10" x14ac:dyDescent="0.3">
      <c r="J8451"/>
    </row>
    <row r="8452" spans="10:10" x14ac:dyDescent="0.3">
      <c r="J8452"/>
    </row>
    <row r="8453" spans="10:10" x14ac:dyDescent="0.3">
      <c r="J8453"/>
    </row>
    <row r="8454" spans="10:10" x14ac:dyDescent="0.3">
      <c r="J8454"/>
    </row>
    <row r="8455" spans="10:10" x14ac:dyDescent="0.3">
      <c r="J8455"/>
    </row>
    <row r="8456" spans="10:10" x14ac:dyDescent="0.3">
      <c r="J8456"/>
    </row>
    <row r="8457" spans="10:10" x14ac:dyDescent="0.3">
      <c r="J8457"/>
    </row>
    <row r="8458" spans="10:10" x14ac:dyDescent="0.3">
      <c r="J8458"/>
    </row>
    <row r="8459" spans="10:10" x14ac:dyDescent="0.3">
      <c r="J8459"/>
    </row>
    <row r="8460" spans="10:10" x14ac:dyDescent="0.3">
      <c r="J8460"/>
    </row>
    <row r="8461" spans="10:10" x14ac:dyDescent="0.3">
      <c r="J8461"/>
    </row>
    <row r="8462" spans="10:10" x14ac:dyDescent="0.3">
      <c r="J8462"/>
    </row>
    <row r="8463" spans="10:10" x14ac:dyDescent="0.3">
      <c r="J8463"/>
    </row>
    <row r="8464" spans="10:10" x14ac:dyDescent="0.3">
      <c r="J8464"/>
    </row>
    <row r="8465" spans="10:10" x14ac:dyDescent="0.3">
      <c r="J8465"/>
    </row>
    <row r="8466" spans="10:10" x14ac:dyDescent="0.3">
      <c r="J8466"/>
    </row>
    <row r="8467" spans="10:10" x14ac:dyDescent="0.3">
      <c r="J8467"/>
    </row>
    <row r="8468" spans="10:10" x14ac:dyDescent="0.3">
      <c r="J8468"/>
    </row>
    <row r="8469" spans="10:10" x14ac:dyDescent="0.3">
      <c r="J8469"/>
    </row>
    <row r="8470" spans="10:10" x14ac:dyDescent="0.3">
      <c r="J8470"/>
    </row>
    <row r="8471" spans="10:10" x14ac:dyDescent="0.3">
      <c r="J8471"/>
    </row>
    <row r="8472" spans="10:10" x14ac:dyDescent="0.3">
      <c r="J8472"/>
    </row>
    <row r="8473" spans="10:10" x14ac:dyDescent="0.3">
      <c r="J8473"/>
    </row>
    <row r="8474" spans="10:10" x14ac:dyDescent="0.3">
      <c r="J8474"/>
    </row>
    <row r="8475" spans="10:10" x14ac:dyDescent="0.3">
      <c r="J8475"/>
    </row>
    <row r="8476" spans="10:10" x14ac:dyDescent="0.3">
      <c r="J8476"/>
    </row>
    <row r="8477" spans="10:10" x14ac:dyDescent="0.3">
      <c r="J8477"/>
    </row>
    <row r="8478" spans="10:10" x14ac:dyDescent="0.3">
      <c r="J8478"/>
    </row>
    <row r="8479" spans="10:10" x14ac:dyDescent="0.3">
      <c r="J8479"/>
    </row>
    <row r="8480" spans="10:10" x14ac:dyDescent="0.3">
      <c r="J8480"/>
    </row>
    <row r="8481" spans="10:10" x14ac:dyDescent="0.3">
      <c r="J8481"/>
    </row>
    <row r="8482" spans="10:10" x14ac:dyDescent="0.3">
      <c r="J8482"/>
    </row>
    <row r="8483" spans="10:10" x14ac:dyDescent="0.3">
      <c r="J8483"/>
    </row>
    <row r="8484" spans="10:10" x14ac:dyDescent="0.3">
      <c r="J8484"/>
    </row>
    <row r="8485" spans="10:10" x14ac:dyDescent="0.3">
      <c r="J8485"/>
    </row>
    <row r="8486" spans="10:10" x14ac:dyDescent="0.3">
      <c r="J8486"/>
    </row>
    <row r="8487" spans="10:10" x14ac:dyDescent="0.3">
      <c r="J8487"/>
    </row>
    <row r="8488" spans="10:10" x14ac:dyDescent="0.3">
      <c r="J8488"/>
    </row>
    <row r="8489" spans="10:10" x14ac:dyDescent="0.3">
      <c r="J8489"/>
    </row>
    <row r="8490" spans="10:10" x14ac:dyDescent="0.3">
      <c r="J8490"/>
    </row>
    <row r="8491" spans="10:10" x14ac:dyDescent="0.3">
      <c r="J8491"/>
    </row>
    <row r="8492" spans="10:10" x14ac:dyDescent="0.3">
      <c r="J8492"/>
    </row>
    <row r="8493" spans="10:10" x14ac:dyDescent="0.3">
      <c r="J8493"/>
    </row>
    <row r="8494" spans="10:10" x14ac:dyDescent="0.3">
      <c r="J8494"/>
    </row>
    <row r="8495" spans="10:10" x14ac:dyDescent="0.3">
      <c r="J8495"/>
    </row>
    <row r="8496" spans="10:10" x14ac:dyDescent="0.3">
      <c r="J8496"/>
    </row>
    <row r="8497" spans="10:10" x14ac:dyDescent="0.3">
      <c r="J8497"/>
    </row>
    <row r="8498" spans="10:10" x14ac:dyDescent="0.3">
      <c r="J8498"/>
    </row>
    <row r="8499" spans="10:10" x14ac:dyDescent="0.3">
      <c r="J8499"/>
    </row>
    <row r="8500" spans="10:10" x14ac:dyDescent="0.3">
      <c r="J8500"/>
    </row>
    <row r="8501" spans="10:10" x14ac:dyDescent="0.3">
      <c r="J8501"/>
    </row>
    <row r="8502" spans="10:10" x14ac:dyDescent="0.3">
      <c r="J8502"/>
    </row>
    <row r="8503" spans="10:10" x14ac:dyDescent="0.3">
      <c r="J8503"/>
    </row>
    <row r="8504" spans="10:10" x14ac:dyDescent="0.3">
      <c r="J8504"/>
    </row>
    <row r="8505" spans="10:10" x14ac:dyDescent="0.3">
      <c r="J8505"/>
    </row>
    <row r="8506" spans="10:10" x14ac:dyDescent="0.3">
      <c r="J8506"/>
    </row>
    <row r="8507" spans="10:10" x14ac:dyDescent="0.3">
      <c r="J8507"/>
    </row>
    <row r="8508" spans="10:10" x14ac:dyDescent="0.3">
      <c r="J8508"/>
    </row>
    <row r="8509" spans="10:10" x14ac:dyDescent="0.3">
      <c r="J8509"/>
    </row>
    <row r="8510" spans="10:10" x14ac:dyDescent="0.3">
      <c r="J8510"/>
    </row>
    <row r="8511" spans="10:10" x14ac:dyDescent="0.3">
      <c r="J8511"/>
    </row>
    <row r="8512" spans="10:10" x14ac:dyDescent="0.3">
      <c r="J8512"/>
    </row>
    <row r="8513" spans="10:10" x14ac:dyDescent="0.3">
      <c r="J8513"/>
    </row>
    <row r="8514" spans="10:10" x14ac:dyDescent="0.3">
      <c r="J8514"/>
    </row>
    <row r="8515" spans="10:10" x14ac:dyDescent="0.3">
      <c r="J8515"/>
    </row>
    <row r="8516" spans="10:10" x14ac:dyDescent="0.3">
      <c r="J8516"/>
    </row>
    <row r="8517" spans="10:10" x14ac:dyDescent="0.3">
      <c r="J8517"/>
    </row>
    <row r="8518" spans="10:10" x14ac:dyDescent="0.3">
      <c r="J8518"/>
    </row>
    <row r="8519" spans="10:10" x14ac:dyDescent="0.3">
      <c r="J8519"/>
    </row>
    <row r="8520" spans="10:10" x14ac:dyDescent="0.3">
      <c r="J8520"/>
    </row>
    <row r="8521" spans="10:10" x14ac:dyDescent="0.3">
      <c r="J8521"/>
    </row>
    <row r="8522" spans="10:10" x14ac:dyDescent="0.3">
      <c r="J8522"/>
    </row>
    <row r="8523" spans="10:10" x14ac:dyDescent="0.3">
      <c r="J8523"/>
    </row>
    <row r="8524" spans="10:10" x14ac:dyDescent="0.3">
      <c r="J8524"/>
    </row>
    <row r="8525" spans="10:10" x14ac:dyDescent="0.3">
      <c r="J8525"/>
    </row>
    <row r="8526" spans="10:10" x14ac:dyDescent="0.3">
      <c r="J8526"/>
    </row>
    <row r="8527" spans="10:10" x14ac:dyDescent="0.3">
      <c r="J8527"/>
    </row>
    <row r="8528" spans="10:10" x14ac:dyDescent="0.3">
      <c r="J8528"/>
    </row>
    <row r="8529" spans="10:10" x14ac:dyDescent="0.3">
      <c r="J8529"/>
    </row>
    <row r="8530" spans="10:10" x14ac:dyDescent="0.3">
      <c r="J8530"/>
    </row>
    <row r="8531" spans="10:10" x14ac:dyDescent="0.3">
      <c r="J8531"/>
    </row>
    <row r="8532" spans="10:10" x14ac:dyDescent="0.3">
      <c r="J8532"/>
    </row>
    <row r="8533" spans="10:10" x14ac:dyDescent="0.3">
      <c r="J8533"/>
    </row>
    <row r="8534" spans="10:10" x14ac:dyDescent="0.3">
      <c r="J8534"/>
    </row>
    <row r="8535" spans="10:10" x14ac:dyDescent="0.3">
      <c r="J8535"/>
    </row>
    <row r="8536" spans="10:10" x14ac:dyDescent="0.3">
      <c r="J8536"/>
    </row>
    <row r="8537" spans="10:10" x14ac:dyDescent="0.3">
      <c r="J8537"/>
    </row>
    <row r="8538" spans="10:10" x14ac:dyDescent="0.3">
      <c r="J8538"/>
    </row>
    <row r="8539" spans="10:10" x14ac:dyDescent="0.3">
      <c r="J8539"/>
    </row>
    <row r="8540" spans="10:10" x14ac:dyDescent="0.3">
      <c r="J8540"/>
    </row>
    <row r="8541" spans="10:10" x14ac:dyDescent="0.3">
      <c r="J8541"/>
    </row>
    <row r="8542" spans="10:10" x14ac:dyDescent="0.3">
      <c r="J8542"/>
    </row>
    <row r="8543" spans="10:10" x14ac:dyDescent="0.3">
      <c r="J8543"/>
    </row>
    <row r="8544" spans="10:10" x14ac:dyDescent="0.3">
      <c r="J8544"/>
    </row>
    <row r="8545" spans="10:10" x14ac:dyDescent="0.3">
      <c r="J8545"/>
    </row>
    <row r="8546" spans="10:10" x14ac:dyDescent="0.3">
      <c r="J8546"/>
    </row>
    <row r="8547" spans="10:10" x14ac:dyDescent="0.3">
      <c r="J8547"/>
    </row>
    <row r="8548" spans="10:10" x14ac:dyDescent="0.3">
      <c r="J8548"/>
    </row>
    <row r="8549" spans="10:10" x14ac:dyDescent="0.3">
      <c r="J8549"/>
    </row>
    <row r="8550" spans="10:10" x14ac:dyDescent="0.3">
      <c r="J8550"/>
    </row>
    <row r="8551" spans="10:10" x14ac:dyDescent="0.3">
      <c r="J8551"/>
    </row>
    <row r="8552" spans="10:10" x14ac:dyDescent="0.3">
      <c r="J8552"/>
    </row>
    <row r="8553" spans="10:10" x14ac:dyDescent="0.3">
      <c r="J8553"/>
    </row>
    <row r="8554" spans="10:10" x14ac:dyDescent="0.3">
      <c r="J8554"/>
    </row>
    <row r="8555" spans="10:10" x14ac:dyDescent="0.3">
      <c r="J8555"/>
    </row>
    <row r="8556" spans="10:10" x14ac:dyDescent="0.3">
      <c r="J8556"/>
    </row>
    <row r="8557" spans="10:10" x14ac:dyDescent="0.3">
      <c r="J8557"/>
    </row>
    <row r="8558" spans="10:10" x14ac:dyDescent="0.3">
      <c r="J8558"/>
    </row>
    <row r="8559" spans="10:10" x14ac:dyDescent="0.3">
      <c r="J8559"/>
    </row>
    <row r="8560" spans="10:10" x14ac:dyDescent="0.3">
      <c r="J8560"/>
    </row>
    <row r="8561" spans="10:10" x14ac:dyDescent="0.3">
      <c r="J8561"/>
    </row>
    <row r="8562" spans="10:10" x14ac:dyDescent="0.3">
      <c r="J8562"/>
    </row>
    <row r="8563" spans="10:10" x14ac:dyDescent="0.3">
      <c r="J8563"/>
    </row>
    <row r="8564" spans="10:10" x14ac:dyDescent="0.3">
      <c r="J8564"/>
    </row>
    <row r="8565" spans="10:10" x14ac:dyDescent="0.3">
      <c r="J8565"/>
    </row>
    <row r="8566" spans="10:10" x14ac:dyDescent="0.3">
      <c r="J8566"/>
    </row>
    <row r="8567" spans="10:10" x14ac:dyDescent="0.3">
      <c r="J8567"/>
    </row>
    <row r="8568" spans="10:10" x14ac:dyDescent="0.3">
      <c r="J8568"/>
    </row>
    <row r="8569" spans="10:10" x14ac:dyDescent="0.3">
      <c r="J8569"/>
    </row>
    <row r="8570" spans="10:10" x14ac:dyDescent="0.3">
      <c r="J8570"/>
    </row>
    <row r="8571" spans="10:10" x14ac:dyDescent="0.3">
      <c r="J8571"/>
    </row>
    <row r="8572" spans="10:10" x14ac:dyDescent="0.3">
      <c r="J8572"/>
    </row>
    <row r="8573" spans="10:10" x14ac:dyDescent="0.3">
      <c r="J8573"/>
    </row>
    <row r="8574" spans="10:10" x14ac:dyDescent="0.3">
      <c r="J8574"/>
    </row>
    <row r="8575" spans="10:10" x14ac:dyDescent="0.3">
      <c r="J8575"/>
    </row>
    <row r="8576" spans="10:10" x14ac:dyDescent="0.3">
      <c r="J8576"/>
    </row>
    <row r="8577" spans="10:10" x14ac:dyDescent="0.3">
      <c r="J8577"/>
    </row>
    <row r="8578" spans="10:10" x14ac:dyDescent="0.3">
      <c r="J8578"/>
    </row>
    <row r="8579" spans="10:10" x14ac:dyDescent="0.3">
      <c r="J8579"/>
    </row>
    <row r="8580" spans="10:10" x14ac:dyDescent="0.3">
      <c r="J8580"/>
    </row>
    <row r="8581" spans="10:10" x14ac:dyDescent="0.3">
      <c r="J8581"/>
    </row>
    <row r="8582" spans="10:10" x14ac:dyDescent="0.3">
      <c r="J8582"/>
    </row>
    <row r="8583" spans="10:10" x14ac:dyDescent="0.3">
      <c r="J8583"/>
    </row>
    <row r="8584" spans="10:10" x14ac:dyDescent="0.3">
      <c r="J8584"/>
    </row>
    <row r="8585" spans="10:10" x14ac:dyDescent="0.3">
      <c r="J8585"/>
    </row>
    <row r="8586" spans="10:10" x14ac:dyDescent="0.3">
      <c r="J8586"/>
    </row>
    <row r="8587" spans="10:10" x14ac:dyDescent="0.3">
      <c r="J8587"/>
    </row>
    <row r="8588" spans="10:10" x14ac:dyDescent="0.3">
      <c r="J8588"/>
    </row>
    <row r="8589" spans="10:10" x14ac:dyDescent="0.3">
      <c r="J8589"/>
    </row>
    <row r="8590" spans="10:10" x14ac:dyDescent="0.3">
      <c r="J8590"/>
    </row>
    <row r="8591" spans="10:10" x14ac:dyDescent="0.3">
      <c r="J8591"/>
    </row>
    <row r="8592" spans="10:10" x14ac:dyDescent="0.3">
      <c r="J8592"/>
    </row>
    <row r="8593" spans="10:10" x14ac:dyDescent="0.3">
      <c r="J8593"/>
    </row>
    <row r="8594" spans="10:10" x14ac:dyDescent="0.3">
      <c r="J8594"/>
    </row>
    <row r="8595" spans="10:10" x14ac:dyDescent="0.3">
      <c r="J8595"/>
    </row>
    <row r="8596" spans="10:10" x14ac:dyDescent="0.3">
      <c r="J8596"/>
    </row>
    <row r="8597" spans="10:10" x14ac:dyDescent="0.3">
      <c r="J8597"/>
    </row>
    <row r="8598" spans="10:10" x14ac:dyDescent="0.3">
      <c r="J8598"/>
    </row>
    <row r="8599" spans="10:10" x14ac:dyDescent="0.3">
      <c r="J8599"/>
    </row>
    <row r="8600" spans="10:10" x14ac:dyDescent="0.3">
      <c r="J8600"/>
    </row>
    <row r="8601" spans="10:10" x14ac:dyDescent="0.3">
      <c r="J8601"/>
    </row>
    <row r="8602" spans="10:10" x14ac:dyDescent="0.3">
      <c r="J8602"/>
    </row>
    <row r="8603" spans="10:10" x14ac:dyDescent="0.3">
      <c r="J8603"/>
    </row>
    <row r="8604" spans="10:10" x14ac:dyDescent="0.3">
      <c r="J8604"/>
    </row>
    <row r="8605" spans="10:10" x14ac:dyDescent="0.3">
      <c r="J8605"/>
    </row>
    <row r="8606" spans="10:10" x14ac:dyDescent="0.3">
      <c r="J8606"/>
    </row>
    <row r="8607" spans="10:10" x14ac:dyDescent="0.3">
      <c r="J8607"/>
    </row>
    <row r="8608" spans="10:10" x14ac:dyDescent="0.3">
      <c r="J8608"/>
    </row>
    <row r="8609" spans="10:10" x14ac:dyDescent="0.3">
      <c r="J8609"/>
    </row>
    <row r="8610" spans="10:10" x14ac:dyDescent="0.3">
      <c r="J8610"/>
    </row>
    <row r="8611" spans="10:10" x14ac:dyDescent="0.3">
      <c r="J8611"/>
    </row>
    <row r="8612" spans="10:10" x14ac:dyDescent="0.3">
      <c r="J8612"/>
    </row>
    <row r="8613" spans="10:10" x14ac:dyDescent="0.3">
      <c r="J8613"/>
    </row>
    <row r="8614" spans="10:10" x14ac:dyDescent="0.3">
      <c r="J8614"/>
    </row>
    <row r="8615" spans="10:10" x14ac:dyDescent="0.3">
      <c r="J8615"/>
    </row>
    <row r="8616" spans="10:10" x14ac:dyDescent="0.3">
      <c r="J8616"/>
    </row>
    <row r="8617" spans="10:10" x14ac:dyDescent="0.3">
      <c r="J8617"/>
    </row>
    <row r="8618" spans="10:10" x14ac:dyDescent="0.3">
      <c r="J8618"/>
    </row>
    <row r="8619" spans="10:10" x14ac:dyDescent="0.3">
      <c r="J8619"/>
    </row>
    <row r="8620" spans="10:10" x14ac:dyDescent="0.3">
      <c r="J8620"/>
    </row>
    <row r="8621" spans="10:10" x14ac:dyDescent="0.3">
      <c r="J8621"/>
    </row>
    <row r="8622" spans="10:10" x14ac:dyDescent="0.3">
      <c r="J8622"/>
    </row>
    <row r="8623" spans="10:10" x14ac:dyDescent="0.3">
      <c r="J8623"/>
    </row>
    <row r="8624" spans="10:10" x14ac:dyDescent="0.3">
      <c r="J8624"/>
    </row>
    <row r="8625" spans="10:10" x14ac:dyDescent="0.3">
      <c r="J8625"/>
    </row>
    <row r="8626" spans="10:10" x14ac:dyDescent="0.3">
      <c r="J8626"/>
    </row>
    <row r="8627" spans="10:10" x14ac:dyDescent="0.3">
      <c r="J8627"/>
    </row>
    <row r="8628" spans="10:10" x14ac:dyDescent="0.3">
      <c r="J8628"/>
    </row>
    <row r="8629" spans="10:10" x14ac:dyDescent="0.3">
      <c r="J8629"/>
    </row>
    <row r="8630" spans="10:10" x14ac:dyDescent="0.3">
      <c r="J8630"/>
    </row>
    <row r="8631" spans="10:10" x14ac:dyDescent="0.3">
      <c r="J8631"/>
    </row>
    <row r="8632" spans="10:10" x14ac:dyDescent="0.3">
      <c r="J8632"/>
    </row>
    <row r="8633" spans="10:10" x14ac:dyDescent="0.3">
      <c r="J8633"/>
    </row>
    <row r="8634" spans="10:10" x14ac:dyDescent="0.3">
      <c r="J8634"/>
    </row>
    <row r="8635" spans="10:10" x14ac:dyDescent="0.3">
      <c r="J8635"/>
    </row>
    <row r="8636" spans="10:10" x14ac:dyDescent="0.3">
      <c r="J8636"/>
    </row>
    <row r="8637" spans="10:10" x14ac:dyDescent="0.3">
      <c r="J8637"/>
    </row>
    <row r="8638" spans="10:10" x14ac:dyDescent="0.3">
      <c r="J8638"/>
    </row>
    <row r="8639" spans="10:10" x14ac:dyDescent="0.3">
      <c r="J8639"/>
    </row>
    <row r="8640" spans="10:10" x14ac:dyDescent="0.3">
      <c r="J8640"/>
    </row>
    <row r="8641" spans="10:10" x14ac:dyDescent="0.3">
      <c r="J8641"/>
    </row>
    <row r="8642" spans="10:10" x14ac:dyDescent="0.3">
      <c r="J8642"/>
    </row>
    <row r="8643" spans="10:10" x14ac:dyDescent="0.3">
      <c r="J8643"/>
    </row>
    <row r="8644" spans="10:10" x14ac:dyDescent="0.3">
      <c r="J8644"/>
    </row>
    <row r="8645" spans="10:10" x14ac:dyDescent="0.3">
      <c r="J8645"/>
    </row>
    <row r="8646" spans="10:10" x14ac:dyDescent="0.3">
      <c r="J8646"/>
    </row>
    <row r="8647" spans="10:10" x14ac:dyDescent="0.3">
      <c r="J8647"/>
    </row>
    <row r="8648" spans="10:10" x14ac:dyDescent="0.3">
      <c r="J8648"/>
    </row>
    <row r="8649" spans="10:10" x14ac:dyDescent="0.3">
      <c r="J8649"/>
    </row>
    <row r="8650" spans="10:10" x14ac:dyDescent="0.3">
      <c r="J8650"/>
    </row>
    <row r="8651" spans="10:10" x14ac:dyDescent="0.3">
      <c r="J8651"/>
    </row>
    <row r="8652" spans="10:10" x14ac:dyDescent="0.3">
      <c r="J8652"/>
    </row>
    <row r="8653" spans="10:10" x14ac:dyDescent="0.3">
      <c r="J8653"/>
    </row>
    <row r="8654" spans="10:10" x14ac:dyDescent="0.3">
      <c r="J8654"/>
    </row>
    <row r="8655" spans="10:10" x14ac:dyDescent="0.3">
      <c r="J8655"/>
    </row>
    <row r="8656" spans="10:10" x14ac:dyDescent="0.3">
      <c r="J8656"/>
    </row>
    <row r="8657" spans="10:10" x14ac:dyDescent="0.3">
      <c r="J8657"/>
    </row>
    <row r="8658" spans="10:10" x14ac:dyDescent="0.3">
      <c r="J8658"/>
    </row>
    <row r="8659" spans="10:10" x14ac:dyDescent="0.3">
      <c r="J8659"/>
    </row>
    <row r="8660" spans="10:10" x14ac:dyDescent="0.3">
      <c r="J8660"/>
    </row>
    <row r="8661" spans="10:10" x14ac:dyDescent="0.3">
      <c r="J8661"/>
    </row>
    <row r="8662" spans="10:10" x14ac:dyDescent="0.3">
      <c r="J8662"/>
    </row>
    <row r="8663" spans="10:10" x14ac:dyDescent="0.3">
      <c r="J8663"/>
    </row>
    <row r="8664" spans="10:10" x14ac:dyDescent="0.3">
      <c r="J8664"/>
    </row>
    <row r="8665" spans="10:10" x14ac:dyDescent="0.3">
      <c r="J8665"/>
    </row>
    <row r="8666" spans="10:10" x14ac:dyDescent="0.3">
      <c r="J8666"/>
    </row>
    <row r="8667" spans="10:10" x14ac:dyDescent="0.3">
      <c r="J8667"/>
    </row>
    <row r="8668" spans="10:10" x14ac:dyDescent="0.3">
      <c r="J8668"/>
    </row>
    <row r="8669" spans="10:10" x14ac:dyDescent="0.3">
      <c r="J8669"/>
    </row>
    <row r="8670" spans="10:10" x14ac:dyDescent="0.3">
      <c r="J8670"/>
    </row>
    <row r="8671" spans="10:10" x14ac:dyDescent="0.3">
      <c r="J8671"/>
    </row>
    <row r="8672" spans="10:10" x14ac:dyDescent="0.3">
      <c r="J8672"/>
    </row>
    <row r="8673" spans="10:10" x14ac:dyDescent="0.3">
      <c r="J8673"/>
    </row>
    <row r="8674" spans="10:10" x14ac:dyDescent="0.3">
      <c r="J8674"/>
    </row>
    <row r="8675" spans="10:10" x14ac:dyDescent="0.3">
      <c r="J8675"/>
    </row>
    <row r="8676" spans="10:10" x14ac:dyDescent="0.3">
      <c r="J8676"/>
    </row>
    <row r="8677" spans="10:10" x14ac:dyDescent="0.3">
      <c r="J8677"/>
    </row>
    <row r="8678" spans="10:10" x14ac:dyDescent="0.3">
      <c r="J8678"/>
    </row>
    <row r="8679" spans="10:10" x14ac:dyDescent="0.3">
      <c r="J8679"/>
    </row>
    <row r="8680" spans="10:10" x14ac:dyDescent="0.3">
      <c r="J8680"/>
    </row>
    <row r="8681" spans="10:10" x14ac:dyDescent="0.3">
      <c r="J8681"/>
    </row>
    <row r="8682" spans="10:10" x14ac:dyDescent="0.3">
      <c r="J8682"/>
    </row>
    <row r="8683" spans="10:10" x14ac:dyDescent="0.3">
      <c r="J8683"/>
    </row>
    <row r="8684" spans="10:10" x14ac:dyDescent="0.3">
      <c r="J8684"/>
    </row>
    <row r="8685" spans="10:10" x14ac:dyDescent="0.3">
      <c r="J8685"/>
    </row>
    <row r="8686" spans="10:10" x14ac:dyDescent="0.3">
      <c r="J8686"/>
    </row>
    <row r="8687" spans="10:10" x14ac:dyDescent="0.3">
      <c r="J8687"/>
    </row>
    <row r="8688" spans="10:10" x14ac:dyDescent="0.3">
      <c r="J8688"/>
    </row>
    <row r="8689" spans="10:10" x14ac:dyDescent="0.3">
      <c r="J8689"/>
    </row>
    <row r="8690" spans="10:10" x14ac:dyDescent="0.3">
      <c r="J8690"/>
    </row>
    <row r="8691" spans="10:10" x14ac:dyDescent="0.3">
      <c r="J8691"/>
    </row>
    <row r="8692" spans="10:10" x14ac:dyDescent="0.3">
      <c r="J8692"/>
    </row>
    <row r="8693" spans="10:10" x14ac:dyDescent="0.3">
      <c r="J8693"/>
    </row>
    <row r="8694" spans="10:10" x14ac:dyDescent="0.3">
      <c r="J8694"/>
    </row>
    <row r="8695" spans="10:10" x14ac:dyDescent="0.3">
      <c r="J8695"/>
    </row>
    <row r="8696" spans="10:10" x14ac:dyDescent="0.3">
      <c r="J8696"/>
    </row>
    <row r="8697" spans="10:10" x14ac:dyDescent="0.3">
      <c r="J8697"/>
    </row>
    <row r="8698" spans="10:10" x14ac:dyDescent="0.3">
      <c r="J8698"/>
    </row>
    <row r="8699" spans="10:10" x14ac:dyDescent="0.3">
      <c r="J8699"/>
    </row>
    <row r="8700" spans="10:10" x14ac:dyDescent="0.3">
      <c r="J8700"/>
    </row>
    <row r="8701" spans="10:10" x14ac:dyDescent="0.3">
      <c r="J8701"/>
    </row>
    <row r="8702" spans="10:10" x14ac:dyDescent="0.3">
      <c r="J8702"/>
    </row>
    <row r="8703" spans="10:10" x14ac:dyDescent="0.3">
      <c r="J8703"/>
    </row>
    <row r="8704" spans="10:10" x14ac:dyDescent="0.3">
      <c r="J8704"/>
    </row>
    <row r="8705" spans="10:10" x14ac:dyDescent="0.3">
      <c r="J8705"/>
    </row>
    <row r="8706" spans="10:10" x14ac:dyDescent="0.3">
      <c r="J8706"/>
    </row>
    <row r="8707" spans="10:10" x14ac:dyDescent="0.3">
      <c r="J8707"/>
    </row>
    <row r="8708" spans="10:10" x14ac:dyDescent="0.3">
      <c r="J8708"/>
    </row>
    <row r="8709" spans="10:10" x14ac:dyDescent="0.3">
      <c r="J8709"/>
    </row>
    <row r="8710" spans="10:10" x14ac:dyDescent="0.3">
      <c r="J8710"/>
    </row>
    <row r="8711" spans="10:10" x14ac:dyDescent="0.3">
      <c r="J8711"/>
    </row>
    <row r="8712" spans="10:10" x14ac:dyDescent="0.3">
      <c r="J8712"/>
    </row>
    <row r="8713" spans="10:10" x14ac:dyDescent="0.3">
      <c r="J8713"/>
    </row>
    <row r="8714" spans="10:10" x14ac:dyDescent="0.3">
      <c r="J8714"/>
    </row>
    <row r="8715" spans="10:10" x14ac:dyDescent="0.3">
      <c r="J8715"/>
    </row>
    <row r="8716" spans="10:10" x14ac:dyDescent="0.3">
      <c r="J8716"/>
    </row>
    <row r="8717" spans="10:10" x14ac:dyDescent="0.3">
      <c r="J8717"/>
    </row>
    <row r="8718" spans="10:10" x14ac:dyDescent="0.3">
      <c r="J8718"/>
    </row>
    <row r="8719" spans="10:10" x14ac:dyDescent="0.3">
      <c r="J8719"/>
    </row>
    <row r="8720" spans="10:10" x14ac:dyDescent="0.3">
      <c r="J8720"/>
    </row>
    <row r="8721" spans="10:10" x14ac:dyDescent="0.3">
      <c r="J8721"/>
    </row>
    <row r="8722" spans="10:10" x14ac:dyDescent="0.3">
      <c r="J8722"/>
    </row>
    <row r="8723" spans="10:10" x14ac:dyDescent="0.3">
      <c r="J8723"/>
    </row>
    <row r="8724" spans="10:10" x14ac:dyDescent="0.3">
      <c r="J8724"/>
    </row>
    <row r="8725" spans="10:10" x14ac:dyDescent="0.3">
      <c r="J8725"/>
    </row>
    <row r="8726" spans="10:10" x14ac:dyDescent="0.3">
      <c r="J8726"/>
    </row>
    <row r="8727" spans="10:10" x14ac:dyDescent="0.3">
      <c r="J8727"/>
    </row>
    <row r="8728" spans="10:10" x14ac:dyDescent="0.3">
      <c r="J8728"/>
    </row>
    <row r="8729" spans="10:10" x14ac:dyDescent="0.3">
      <c r="J8729"/>
    </row>
    <row r="8730" spans="10:10" x14ac:dyDescent="0.3">
      <c r="J8730"/>
    </row>
    <row r="8731" spans="10:10" x14ac:dyDescent="0.3">
      <c r="J8731"/>
    </row>
    <row r="8732" spans="10:10" x14ac:dyDescent="0.3">
      <c r="J8732"/>
    </row>
    <row r="8733" spans="10:10" x14ac:dyDescent="0.3">
      <c r="J8733"/>
    </row>
    <row r="8734" spans="10:10" x14ac:dyDescent="0.3">
      <c r="J8734"/>
    </row>
    <row r="8735" spans="10:10" x14ac:dyDescent="0.3">
      <c r="J8735"/>
    </row>
    <row r="8736" spans="10:10" x14ac:dyDescent="0.3">
      <c r="J8736"/>
    </row>
    <row r="8737" spans="10:10" x14ac:dyDescent="0.3">
      <c r="J8737"/>
    </row>
    <row r="8738" spans="10:10" x14ac:dyDescent="0.3">
      <c r="J8738"/>
    </row>
    <row r="8739" spans="10:10" x14ac:dyDescent="0.3">
      <c r="J8739"/>
    </row>
    <row r="8740" spans="10:10" x14ac:dyDescent="0.3">
      <c r="J8740"/>
    </row>
    <row r="8741" spans="10:10" x14ac:dyDescent="0.3">
      <c r="J8741"/>
    </row>
    <row r="8742" spans="10:10" x14ac:dyDescent="0.3">
      <c r="J8742"/>
    </row>
    <row r="8743" spans="10:10" x14ac:dyDescent="0.3">
      <c r="J8743"/>
    </row>
    <row r="8744" spans="10:10" x14ac:dyDescent="0.3">
      <c r="J8744"/>
    </row>
    <row r="8745" spans="10:10" x14ac:dyDescent="0.3">
      <c r="J8745"/>
    </row>
    <row r="8746" spans="10:10" x14ac:dyDescent="0.3">
      <c r="J8746"/>
    </row>
    <row r="8747" spans="10:10" x14ac:dyDescent="0.3">
      <c r="J8747"/>
    </row>
    <row r="8748" spans="10:10" x14ac:dyDescent="0.3">
      <c r="J8748"/>
    </row>
    <row r="8749" spans="10:10" x14ac:dyDescent="0.3">
      <c r="J8749"/>
    </row>
    <row r="8750" spans="10:10" x14ac:dyDescent="0.3">
      <c r="J8750"/>
    </row>
    <row r="8751" spans="10:10" x14ac:dyDescent="0.3">
      <c r="J8751"/>
    </row>
    <row r="8752" spans="10:10" x14ac:dyDescent="0.3">
      <c r="J8752"/>
    </row>
    <row r="8753" spans="10:10" x14ac:dyDescent="0.3">
      <c r="J8753"/>
    </row>
    <row r="8754" spans="10:10" x14ac:dyDescent="0.3">
      <c r="J8754"/>
    </row>
    <row r="8755" spans="10:10" x14ac:dyDescent="0.3">
      <c r="J8755"/>
    </row>
    <row r="8756" spans="10:10" x14ac:dyDescent="0.3">
      <c r="J8756"/>
    </row>
    <row r="8757" spans="10:10" x14ac:dyDescent="0.3">
      <c r="J8757"/>
    </row>
    <row r="8758" spans="10:10" x14ac:dyDescent="0.3">
      <c r="J8758"/>
    </row>
    <row r="8759" spans="10:10" x14ac:dyDescent="0.3">
      <c r="J8759"/>
    </row>
    <row r="8760" spans="10:10" x14ac:dyDescent="0.3">
      <c r="J8760"/>
    </row>
    <row r="8761" spans="10:10" x14ac:dyDescent="0.3">
      <c r="J8761"/>
    </row>
    <row r="8762" spans="10:10" x14ac:dyDescent="0.3">
      <c r="J8762"/>
    </row>
    <row r="8763" spans="10:10" x14ac:dyDescent="0.3">
      <c r="J8763"/>
    </row>
    <row r="8764" spans="10:10" x14ac:dyDescent="0.3">
      <c r="J8764"/>
    </row>
    <row r="8765" spans="10:10" x14ac:dyDescent="0.3">
      <c r="J8765"/>
    </row>
    <row r="8766" spans="10:10" x14ac:dyDescent="0.3">
      <c r="J8766"/>
    </row>
    <row r="8767" spans="10:10" x14ac:dyDescent="0.3">
      <c r="J8767"/>
    </row>
    <row r="8768" spans="10:10" x14ac:dyDescent="0.3">
      <c r="J8768"/>
    </row>
    <row r="8769" spans="10:10" x14ac:dyDescent="0.3">
      <c r="J8769"/>
    </row>
    <row r="8770" spans="10:10" x14ac:dyDescent="0.3">
      <c r="J8770"/>
    </row>
    <row r="8771" spans="10:10" x14ac:dyDescent="0.3">
      <c r="J8771"/>
    </row>
    <row r="8772" spans="10:10" x14ac:dyDescent="0.3">
      <c r="J8772"/>
    </row>
    <row r="8773" spans="10:10" x14ac:dyDescent="0.3">
      <c r="J8773"/>
    </row>
    <row r="8774" spans="10:10" x14ac:dyDescent="0.3">
      <c r="J8774"/>
    </row>
    <row r="8775" spans="10:10" x14ac:dyDescent="0.3">
      <c r="J8775"/>
    </row>
    <row r="8776" spans="10:10" x14ac:dyDescent="0.3">
      <c r="J8776"/>
    </row>
    <row r="8777" spans="10:10" x14ac:dyDescent="0.3">
      <c r="J8777"/>
    </row>
    <row r="8778" spans="10:10" x14ac:dyDescent="0.3">
      <c r="J8778"/>
    </row>
    <row r="8779" spans="10:10" x14ac:dyDescent="0.3">
      <c r="J8779"/>
    </row>
    <row r="8780" spans="10:10" x14ac:dyDescent="0.3">
      <c r="J8780"/>
    </row>
    <row r="8781" spans="10:10" x14ac:dyDescent="0.3">
      <c r="J8781"/>
    </row>
    <row r="8782" spans="10:10" x14ac:dyDescent="0.3">
      <c r="J8782"/>
    </row>
    <row r="8783" spans="10:10" x14ac:dyDescent="0.3">
      <c r="J8783"/>
    </row>
    <row r="8784" spans="10:10" x14ac:dyDescent="0.3">
      <c r="J8784"/>
    </row>
    <row r="8785" spans="10:10" x14ac:dyDescent="0.3">
      <c r="J8785"/>
    </row>
    <row r="8786" spans="10:10" x14ac:dyDescent="0.3">
      <c r="J8786"/>
    </row>
    <row r="8787" spans="10:10" x14ac:dyDescent="0.3">
      <c r="J8787"/>
    </row>
    <row r="8788" spans="10:10" x14ac:dyDescent="0.3">
      <c r="J8788"/>
    </row>
    <row r="8789" spans="10:10" x14ac:dyDescent="0.3">
      <c r="J8789"/>
    </row>
    <row r="8790" spans="10:10" x14ac:dyDescent="0.3">
      <c r="J8790"/>
    </row>
    <row r="8791" spans="10:10" x14ac:dyDescent="0.3">
      <c r="J8791"/>
    </row>
    <row r="8792" spans="10:10" x14ac:dyDescent="0.3">
      <c r="J8792"/>
    </row>
    <row r="8793" spans="10:10" x14ac:dyDescent="0.3">
      <c r="J8793"/>
    </row>
    <row r="8794" spans="10:10" x14ac:dyDescent="0.3">
      <c r="J8794"/>
    </row>
    <row r="8795" spans="10:10" x14ac:dyDescent="0.3">
      <c r="J8795"/>
    </row>
    <row r="8796" spans="10:10" x14ac:dyDescent="0.3">
      <c r="J8796"/>
    </row>
    <row r="8797" spans="10:10" x14ac:dyDescent="0.3">
      <c r="J8797"/>
    </row>
    <row r="8798" spans="10:10" x14ac:dyDescent="0.3">
      <c r="J8798"/>
    </row>
    <row r="8799" spans="10:10" x14ac:dyDescent="0.3">
      <c r="J8799"/>
    </row>
    <row r="8800" spans="10:10" x14ac:dyDescent="0.3">
      <c r="J8800"/>
    </row>
    <row r="8801" spans="10:10" x14ac:dyDescent="0.3">
      <c r="J8801"/>
    </row>
    <row r="8802" spans="10:10" x14ac:dyDescent="0.3">
      <c r="J8802"/>
    </row>
    <row r="8803" spans="10:10" x14ac:dyDescent="0.3">
      <c r="J8803"/>
    </row>
    <row r="8804" spans="10:10" x14ac:dyDescent="0.3">
      <c r="J8804"/>
    </row>
    <row r="8805" spans="10:10" x14ac:dyDescent="0.3">
      <c r="J8805"/>
    </row>
    <row r="8806" spans="10:10" x14ac:dyDescent="0.3">
      <c r="J8806"/>
    </row>
    <row r="8807" spans="10:10" x14ac:dyDescent="0.3">
      <c r="J8807"/>
    </row>
    <row r="8808" spans="10:10" x14ac:dyDescent="0.3">
      <c r="J8808"/>
    </row>
    <row r="8809" spans="10:10" x14ac:dyDescent="0.3">
      <c r="J8809"/>
    </row>
    <row r="8810" spans="10:10" x14ac:dyDescent="0.3">
      <c r="J8810"/>
    </row>
    <row r="8811" spans="10:10" x14ac:dyDescent="0.3">
      <c r="J8811"/>
    </row>
    <row r="8812" spans="10:10" x14ac:dyDescent="0.3">
      <c r="J8812"/>
    </row>
    <row r="8813" spans="10:10" x14ac:dyDescent="0.3">
      <c r="J8813"/>
    </row>
    <row r="8814" spans="10:10" x14ac:dyDescent="0.3">
      <c r="J8814"/>
    </row>
    <row r="8815" spans="10:10" x14ac:dyDescent="0.3">
      <c r="J8815"/>
    </row>
    <row r="8816" spans="10:10" x14ac:dyDescent="0.3">
      <c r="J8816"/>
    </row>
    <row r="8817" spans="10:10" x14ac:dyDescent="0.3">
      <c r="J8817"/>
    </row>
    <row r="8818" spans="10:10" x14ac:dyDescent="0.3">
      <c r="J8818"/>
    </row>
    <row r="8819" spans="10:10" x14ac:dyDescent="0.3">
      <c r="J8819"/>
    </row>
    <row r="8820" spans="10:10" x14ac:dyDescent="0.3">
      <c r="J8820"/>
    </row>
    <row r="8821" spans="10:10" x14ac:dyDescent="0.3">
      <c r="J8821"/>
    </row>
    <row r="8822" spans="10:10" x14ac:dyDescent="0.3">
      <c r="J8822"/>
    </row>
    <row r="8823" spans="10:10" x14ac:dyDescent="0.3">
      <c r="J8823"/>
    </row>
    <row r="8824" spans="10:10" x14ac:dyDescent="0.3">
      <c r="J8824"/>
    </row>
    <row r="8825" spans="10:10" x14ac:dyDescent="0.3">
      <c r="J8825"/>
    </row>
    <row r="8826" spans="10:10" x14ac:dyDescent="0.3">
      <c r="J8826"/>
    </row>
    <row r="8827" spans="10:10" x14ac:dyDescent="0.3">
      <c r="J8827"/>
    </row>
    <row r="8828" spans="10:10" x14ac:dyDescent="0.3">
      <c r="J8828"/>
    </row>
    <row r="8829" spans="10:10" x14ac:dyDescent="0.3">
      <c r="J8829"/>
    </row>
    <row r="8830" spans="10:10" x14ac:dyDescent="0.3">
      <c r="J8830"/>
    </row>
    <row r="8831" spans="10:10" x14ac:dyDescent="0.3">
      <c r="J8831"/>
    </row>
    <row r="8832" spans="10:10" x14ac:dyDescent="0.3">
      <c r="J8832"/>
    </row>
    <row r="8833" spans="10:10" x14ac:dyDescent="0.3">
      <c r="J8833"/>
    </row>
    <row r="8834" spans="10:10" x14ac:dyDescent="0.3">
      <c r="J8834"/>
    </row>
    <row r="8835" spans="10:10" x14ac:dyDescent="0.3">
      <c r="J8835"/>
    </row>
    <row r="8836" spans="10:10" x14ac:dyDescent="0.3">
      <c r="J8836"/>
    </row>
    <row r="8837" spans="10:10" x14ac:dyDescent="0.3">
      <c r="J8837"/>
    </row>
    <row r="8838" spans="10:10" x14ac:dyDescent="0.3">
      <c r="J8838"/>
    </row>
    <row r="8839" spans="10:10" x14ac:dyDescent="0.3">
      <c r="J8839"/>
    </row>
    <row r="8840" spans="10:10" x14ac:dyDescent="0.3">
      <c r="J8840"/>
    </row>
    <row r="8841" spans="10:10" x14ac:dyDescent="0.3">
      <c r="J8841"/>
    </row>
    <row r="8842" spans="10:10" x14ac:dyDescent="0.3">
      <c r="J8842"/>
    </row>
    <row r="8843" spans="10:10" x14ac:dyDescent="0.3">
      <c r="J8843"/>
    </row>
    <row r="8844" spans="10:10" x14ac:dyDescent="0.3">
      <c r="J8844"/>
    </row>
    <row r="8845" spans="10:10" x14ac:dyDescent="0.3">
      <c r="J8845"/>
    </row>
    <row r="8846" spans="10:10" x14ac:dyDescent="0.3">
      <c r="J8846"/>
    </row>
    <row r="8847" spans="10:10" x14ac:dyDescent="0.3">
      <c r="J8847"/>
    </row>
    <row r="8848" spans="10:10" x14ac:dyDescent="0.3">
      <c r="J8848"/>
    </row>
    <row r="8849" spans="10:10" x14ac:dyDescent="0.3">
      <c r="J8849"/>
    </row>
    <row r="8850" spans="10:10" x14ac:dyDescent="0.3">
      <c r="J8850"/>
    </row>
    <row r="8851" spans="10:10" x14ac:dyDescent="0.3">
      <c r="J8851"/>
    </row>
    <row r="8852" spans="10:10" x14ac:dyDescent="0.3">
      <c r="J8852"/>
    </row>
    <row r="8853" spans="10:10" x14ac:dyDescent="0.3">
      <c r="J8853"/>
    </row>
    <row r="8854" spans="10:10" x14ac:dyDescent="0.3">
      <c r="J8854"/>
    </row>
    <row r="8855" spans="10:10" x14ac:dyDescent="0.3">
      <c r="J8855"/>
    </row>
    <row r="8856" spans="10:10" x14ac:dyDescent="0.3">
      <c r="J8856"/>
    </row>
    <row r="8857" spans="10:10" x14ac:dyDescent="0.3">
      <c r="J8857"/>
    </row>
    <row r="8858" spans="10:10" x14ac:dyDescent="0.3">
      <c r="J8858"/>
    </row>
    <row r="8859" spans="10:10" x14ac:dyDescent="0.3">
      <c r="J8859"/>
    </row>
    <row r="8860" spans="10:10" x14ac:dyDescent="0.3">
      <c r="J8860"/>
    </row>
    <row r="8861" spans="10:10" x14ac:dyDescent="0.3">
      <c r="J8861"/>
    </row>
    <row r="8862" spans="10:10" x14ac:dyDescent="0.3">
      <c r="J8862"/>
    </row>
    <row r="8863" spans="10:10" x14ac:dyDescent="0.3">
      <c r="J8863"/>
    </row>
    <row r="8864" spans="10:10" x14ac:dyDescent="0.3">
      <c r="J8864"/>
    </row>
    <row r="8865" spans="10:10" x14ac:dyDescent="0.3">
      <c r="J8865"/>
    </row>
    <row r="8866" spans="10:10" x14ac:dyDescent="0.3">
      <c r="J8866"/>
    </row>
    <row r="8867" spans="10:10" x14ac:dyDescent="0.3">
      <c r="J8867"/>
    </row>
    <row r="8868" spans="10:10" x14ac:dyDescent="0.3">
      <c r="J8868"/>
    </row>
    <row r="8869" spans="10:10" x14ac:dyDescent="0.3">
      <c r="J8869"/>
    </row>
    <row r="8870" spans="10:10" x14ac:dyDescent="0.3">
      <c r="J8870"/>
    </row>
    <row r="8871" spans="10:10" x14ac:dyDescent="0.3">
      <c r="J8871"/>
    </row>
    <row r="8872" spans="10:10" x14ac:dyDescent="0.3">
      <c r="J8872"/>
    </row>
    <row r="8873" spans="10:10" x14ac:dyDescent="0.3">
      <c r="J8873"/>
    </row>
    <row r="8874" spans="10:10" x14ac:dyDescent="0.3">
      <c r="J8874"/>
    </row>
    <row r="8875" spans="10:10" x14ac:dyDescent="0.3">
      <c r="J8875"/>
    </row>
    <row r="8876" spans="10:10" x14ac:dyDescent="0.3">
      <c r="J8876"/>
    </row>
    <row r="8877" spans="10:10" x14ac:dyDescent="0.3">
      <c r="J8877"/>
    </row>
    <row r="8878" spans="10:10" x14ac:dyDescent="0.3">
      <c r="J8878"/>
    </row>
    <row r="8879" spans="10:10" x14ac:dyDescent="0.3">
      <c r="J8879"/>
    </row>
    <row r="8880" spans="10:10" x14ac:dyDescent="0.3">
      <c r="J8880"/>
    </row>
    <row r="8881" spans="10:10" x14ac:dyDescent="0.3">
      <c r="J8881"/>
    </row>
    <row r="8882" spans="10:10" x14ac:dyDescent="0.3">
      <c r="J8882"/>
    </row>
    <row r="8883" spans="10:10" x14ac:dyDescent="0.3">
      <c r="J8883"/>
    </row>
    <row r="8884" spans="10:10" x14ac:dyDescent="0.3">
      <c r="J8884"/>
    </row>
    <row r="8885" spans="10:10" x14ac:dyDescent="0.3">
      <c r="J8885"/>
    </row>
    <row r="8886" spans="10:10" x14ac:dyDescent="0.3">
      <c r="J8886"/>
    </row>
    <row r="8887" spans="10:10" x14ac:dyDescent="0.3">
      <c r="J8887"/>
    </row>
    <row r="8888" spans="10:10" x14ac:dyDescent="0.3">
      <c r="J8888"/>
    </row>
    <row r="8889" spans="10:10" x14ac:dyDescent="0.3">
      <c r="J8889"/>
    </row>
    <row r="8890" spans="10:10" x14ac:dyDescent="0.3">
      <c r="J8890"/>
    </row>
    <row r="8891" spans="10:10" x14ac:dyDescent="0.3">
      <c r="J8891"/>
    </row>
    <row r="8892" spans="10:10" x14ac:dyDescent="0.3">
      <c r="J8892"/>
    </row>
    <row r="8893" spans="10:10" x14ac:dyDescent="0.3">
      <c r="J8893"/>
    </row>
    <row r="8894" spans="10:10" x14ac:dyDescent="0.3">
      <c r="J8894"/>
    </row>
    <row r="8895" spans="10:10" x14ac:dyDescent="0.3">
      <c r="J8895"/>
    </row>
    <row r="8896" spans="10:10" x14ac:dyDescent="0.3">
      <c r="J8896"/>
    </row>
    <row r="8897" spans="10:10" x14ac:dyDescent="0.3">
      <c r="J8897"/>
    </row>
    <row r="8898" spans="10:10" x14ac:dyDescent="0.3">
      <c r="J8898"/>
    </row>
    <row r="8899" spans="10:10" x14ac:dyDescent="0.3">
      <c r="J8899"/>
    </row>
    <row r="8900" spans="10:10" x14ac:dyDescent="0.3">
      <c r="J8900"/>
    </row>
    <row r="8901" spans="10:10" x14ac:dyDescent="0.3">
      <c r="J8901"/>
    </row>
    <row r="8902" spans="10:10" x14ac:dyDescent="0.3">
      <c r="J8902"/>
    </row>
    <row r="8903" spans="10:10" x14ac:dyDescent="0.3">
      <c r="J8903"/>
    </row>
    <row r="8904" spans="10:10" x14ac:dyDescent="0.3">
      <c r="J8904"/>
    </row>
    <row r="8905" spans="10:10" x14ac:dyDescent="0.3">
      <c r="J8905"/>
    </row>
    <row r="8906" spans="10:10" x14ac:dyDescent="0.3">
      <c r="J8906"/>
    </row>
    <row r="8907" spans="10:10" x14ac:dyDescent="0.3">
      <c r="J8907"/>
    </row>
    <row r="8908" spans="10:10" x14ac:dyDescent="0.3">
      <c r="J8908"/>
    </row>
    <row r="8909" spans="10:10" x14ac:dyDescent="0.3">
      <c r="J8909"/>
    </row>
    <row r="8910" spans="10:10" x14ac:dyDescent="0.3">
      <c r="J8910"/>
    </row>
    <row r="8911" spans="10:10" x14ac:dyDescent="0.3">
      <c r="J8911"/>
    </row>
    <row r="8912" spans="10:10" x14ac:dyDescent="0.3">
      <c r="J8912"/>
    </row>
    <row r="8913" spans="10:10" x14ac:dyDescent="0.3">
      <c r="J8913"/>
    </row>
    <row r="8914" spans="10:10" x14ac:dyDescent="0.3">
      <c r="J8914"/>
    </row>
    <row r="8915" spans="10:10" x14ac:dyDescent="0.3">
      <c r="J8915"/>
    </row>
    <row r="8916" spans="10:10" x14ac:dyDescent="0.3">
      <c r="J8916"/>
    </row>
    <row r="8917" spans="10:10" x14ac:dyDescent="0.3">
      <c r="J8917"/>
    </row>
    <row r="8918" spans="10:10" x14ac:dyDescent="0.3">
      <c r="J8918"/>
    </row>
    <row r="8919" spans="10:10" x14ac:dyDescent="0.3">
      <c r="J8919"/>
    </row>
    <row r="8920" spans="10:10" x14ac:dyDescent="0.3">
      <c r="J8920"/>
    </row>
    <row r="8921" spans="10:10" x14ac:dyDescent="0.3">
      <c r="J8921"/>
    </row>
    <row r="8922" spans="10:10" x14ac:dyDescent="0.3">
      <c r="J8922"/>
    </row>
    <row r="8923" spans="10:10" x14ac:dyDescent="0.3">
      <c r="J8923"/>
    </row>
    <row r="8924" spans="10:10" x14ac:dyDescent="0.3">
      <c r="J8924"/>
    </row>
    <row r="8925" spans="10:10" x14ac:dyDescent="0.3">
      <c r="J8925"/>
    </row>
    <row r="8926" spans="10:10" x14ac:dyDescent="0.3">
      <c r="J8926"/>
    </row>
    <row r="8927" spans="10:10" x14ac:dyDescent="0.3">
      <c r="J8927"/>
    </row>
    <row r="8928" spans="10:10" x14ac:dyDescent="0.3">
      <c r="J8928"/>
    </row>
    <row r="8929" spans="10:10" x14ac:dyDescent="0.3">
      <c r="J8929"/>
    </row>
    <row r="8930" spans="10:10" x14ac:dyDescent="0.3">
      <c r="J8930"/>
    </row>
    <row r="8931" spans="10:10" x14ac:dyDescent="0.3">
      <c r="J8931"/>
    </row>
    <row r="8932" spans="10:10" x14ac:dyDescent="0.3">
      <c r="J8932"/>
    </row>
    <row r="8933" spans="10:10" x14ac:dyDescent="0.3">
      <c r="J8933"/>
    </row>
    <row r="8934" spans="10:10" x14ac:dyDescent="0.3">
      <c r="J8934"/>
    </row>
    <row r="8935" spans="10:10" x14ac:dyDescent="0.3">
      <c r="J8935"/>
    </row>
    <row r="8936" spans="10:10" x14ac:dyDescent="0.3">
      <c r="J8936"/>
    </row>
    <row r="8937" spans="10:10" x14ac:dyDescent="0.3">
      <c r="J8937"/>
    </row>
    <row r="8938" spans="10:10" x14ac:dyDescent="0.3">
      <c r="J8938"/>
    </row>
    <row r="8939" spans="10:10" x14ac:dyDescent="0.3">
      <c r="J8939"/>
    </row>
    <row r="8940" spans="10:10" x14ac:dyDescent="0.3">
      <c r="J8940"/>
    </row>
    <row r="8941" spans="10:10" x14ac:dyDescent="0.3">
      <c r="J8941"/>
    </row>
    <row r="8942" spans="10:10" x14ac:dyDescent="0.3">
      <c r="J8942"/>
    </row>
    <row r="8943" spans="10:10" x14ac:dyDescent="0.3">
      <c r="J8943"/>
    </row>
    <row r="8944" spans="10:10" x14ac:dyDescent="0.3">
      <c r="J8944"/>
    </row>
    <row r="8945" spans="10:10" x14ac:dyDescent="0.3">
      <c r="J8945"/>
    </row>
    <row r="8946" spans="10:10" x14ac:dyDescent="0.3">
      <c r="J8946"/>
    </row>
    <row r="8947" spans="10:10" x14ac:dyDescent="0.3">
      <c r="J8947"/>
    </row>
    <row r="8948" spans="10:10" x14ac:dyDescent="0.3">
      <c r="J8948"/>
    </row>
    <row r="8949" spans="10:10" x14ac:dyDescent="0.3">
      <c r="J8949"/>
    </row>
    <row r="8950" spans="10:10" x14ac:dyDescent="0.3">
      <c r="J8950"/>
    </row>
    <row r="8951" spans="10:10" x14ac:dyDescent="0.3">
      <c r="J8951"/>
    </row>
    <row r="8952" spans="10:10" x14ac:dyDescent="0.3">
      <c r="J8952"/>
    </row>
    <row r="8953" spans="10:10" x14ac:dyDescent="0.3">
      <c r="J8953"/>
    </row>
    <row r="8954" spans="10:10" x14ac:dyDescent="0.3">
      <c r="J8954"/>
    </row>
    <row r="8955" spans="10:10" x14ac:dyDescent="0.3">
      <c r="J8955"/>
    </row>
    <row r="8956" spans="10:10" x14ac:dyDescent="0.3">
      <c r="J8956"/>
    </row>
    <row r="8957" spans="10:10" x14ac:dyDescent="0.3">
      <c r="J8957"/>
    </row>
    <row r="8958" spans="10:10" x14ac:dyDescent="0.3">
      <c r="J8958"/>
    </row>
    <row r="8959" spans="10:10" x14ac:dyDescent="0.3">
      <c r="J8959"/>
    </row>
    <row r="8960" spans="10:10" x14ac:dyDescent="0.3">
      <c r="J8960"/>
    </row>
    <row r="8961" spans="10:10" x14ac:dyDescent="0.3">
      <c r="J8961"/>
    </row>
    <row r="8962" spans="10:10" x14ac:dyDescent="0.3">
      <c r="J8962"/>
    </row>
    <row r="8963" spans="10:10" x14ac:dyDescent="0.3">
      <c r="J8963"/>
    </row>
    <row r="8964" spans="10:10" x14ac:dyDescent="0.3">
      <c r="J8964"/>
    </row>
    <row r="8965" spans="10:10" x14ac:dyDescent="0.3">
      <c r="J8965"/>
    </row>
    <row r="8966" spans="10:10" x14ac:dyDescent="0.3">
      <c r="J8966"/>
    </row>
    <row r="8967" spans="10:10" x14ac:dyDescent="0.3">
      <c r="J8967"/>
    </row>
    <row r="8968" spans="10:10" x14ac:dyDescent="0.3">
      <c r="J8968"/>
    </row>
    <row r="8969" spans="10:10" x14ac:dyDescent="0.3">
      <c r="J8969"/>
    </row>
    <row r="8970" spans="10:10" x14ac:dyDescent="0.3">
      <c r="J8970"/>
    </row>
    <row r="8971" spans="10:10" x14ac:dyDescent="0.3">
      <c r="J8971"/>
    </row>
    <row r="8972" spans="10:10" x14ac:dyDescent="0.3">
      <c r="J8972"/>
    </row>
    <row r="8973" spans="10:10" x14ac:dyDescent="0.3">
      <c r="J8973"/>
    </row>
    <row r="8974" spans="10:10" x14ac:dyDescent="0.3">
      <c r="J8974"/>
    </row>
    <row r="8975" spans="10:10" x14ac:dyDescent="0.3">
      <c r="J8975"/>
    </row>
    <row r="8976" spans="10:10" x14ac:dyDescent="0.3">
      <c r="J8976"/>
    </row>
    <row r="8977" spans="10:10" x14ac:dyDescent="0.3">
      <c r="J8977"/>
    </row>
    <row r="8978" spans="10:10" x14ac:dyDescent="0.3">
      <c r="J8978"/>
    </row>
    <row r="8979" spans="10:10" x14ac:dyDescent="0.3">
      <c r="J8979"/>
    </row>
    <row r="8980" spans="10:10" x14ac:dyDescent="0.3">
      <c r="J8980"/>
    </row>
    <row r="8981" spans="10:10" x14ac:dyDescent="0.3">
      <c r="J8981"/>
    </row>
    <row r="8982" spans="10:10" x14ac:dyDescent="0.3">
      <c r="J8982"/>
    </row>
    <row r="8983" spans="10:10" x14ac:dyDescent="0.3">
      <c r="J8983"/>
    </row>
    <row r="8984" spans="10:10" x14ac:dyDescent="0.3">
      <c r="J8984"/>
    </row>
    <row r="8985" spans="10:10" x14ac:dyDescent="0.3">
      <c r="J8985"/>
    </row>
    <row r="8986" spans="10:10" x14ac:dyDescent="0.3">
      <c r="J8986"/>
    </row>
    <row r="8987" spans="10:10" x14ac:dyDescent="0.3">
      <c r="J8987"/>
    </row>
    <row r="8988" spans="10:10" x14ac:dyDescent="0.3">
      <c r="J8988"/>
    </row>
    <row r="8989" spans="10:10" x14ac:dyDescent="0.3">
      <c r="J8989"/>
    </row>
    <row r="8990" spans="10:10" x14ac:dyDescent="0.3">
      <c r="J8990"/>
    </row>
    <row r="8991" spans="10:10" x14ac:dyDescent="0.3">
      <c r="J8991"/>
    </row>
    <row r="8992" spans="10:10" x14ac:dyDescent="0.3">
      <c r="J8992"/>
    </row>
    <row r="8993" spans="10:10" x14ac:dyDescent="0.3">
      <c r="J8993"/>
    </row>
    <row r="8994" spans="10:10" x14ac:dyDescent="0.3">
      <c r="J8994"/>
    </row>
    <row r="8995" spans="10:10" x14ac:dyDescent="0.3">
      <c r="J8995"/>
    </row>
    <row r="8996" spans="10:10" x14ac:dyDescent="0.3">
      <c r="J8996"/>
    </row>
    <row r="8997" spans="10:10" x14ac:dyDescent="0.3">
      <c r="J8997"/>
    </row>
    <row r="8998" spans="10:10" x14ac:dyDescent="0.3">
      <c r="J8998"/>
    </row>
    <row r="8999" spans="10:10" x14ac:dyDescent="0.3">
      <c r="J8999"/>
    </row>
    <row r="9000" spans="10:10" x14ac:dyDescent="0.3">
      <c r="J9000"/>
    </row>
    <row r="9001" spans="10:10" x14ac:dyDescent="0.3">
      <c r="J9001"/>
    </row>
    <row r="9002" spans="10:10" x14ac:dyDescent="0.3">
      <c r="J9002"/>
    </row>
    <row r="9003" spans="10:10" x14ac:dyDescent="0.3">
      <c r="J9003"/>
    </row>
    <row r="9004" spans="10:10" x14ac:dyDescent="0.3">
      <c r="J9004"/>
    </row>
    <row r="9005" spans="10:10" x14ac:dyDescent="0.3">
      <c r="J9005"/>
    </row>
    <row r="9006" spans="10:10" x14ac:dyDescent="0.3">
      <c r="J9006"/>
    </row>
    <row r="9007" spans="10:10" x14ac:dyDescent="0.3">
      <c r="J9007"/>
    </row>
    <row r="9008" spans="10:10" x14ac:dyDescent="0.3">
      <c r="J9008"/>
    </row>
    <row r="9009" spans="10:10" x14ac:dyDescent="0.3">
      <c r="J9009"/>
    </row>
    <row r="9010" spans="10:10" x14ac:dyDescent="0.3">
      <c r="J9010"/>
    </row>
    <row r="9011" spans="10:10" x14ac:dyDescent="0.3">
      <c r="J9011"/>
    </row>
    <row r="9012" spans="10:10" x14ac:dyDescent="0.3">
      <c r="J9012"/>
    </row>
    <row r="9013" spans="10:10" x14ac:dyDescent="0.3">
      <c r="J9013"/>
    </row>
    <row r="9014" spans="10:10" x14ac:dyDescent="0.3">
      <c r="J9014"/>
    </row>
    <row r="9015" spans="10:10" x14ac:dyDescent="0.3">
      <c r="J9015"/>
    </row>
    <row r="9016" spans="10:10" x14ac:dyDescent="0.3">
      <c r="J9016"/>
    </row>
    <row r="9017" spans="10:10" x14ac:dyDescent="0.3">
      <c r="J9017"/>
    </row>
    <row r="9018" spans="10:10" x14ac:dyDescent="0.3">
      <c r="J9018"/>
    </row>
    <row r="9019" spans="10:10" x14ac:dyDescent="0.3">
      <c r="J9019"/>
    </row>
    <row r="9020" spans="10:10" x14ac:dyDescent="0.3">
      <c r="J9020"/>
    </row>
    <row r="9021" spans="10:10" x14ac:dyDescent="0.3">
      <c r="J9021"/>
    </row>
    <row r="9022" spans="10:10" x14ac:dyDescent="0.3">
      <c r="J9022"/>
    </row>
    <row r="9023" spans="10:10" x14ac:dyDescent="0.3">
      <c r="J9023"/>
    </row>
    <row r="9024" spans="10:10" x14ac:dyDescent="0.3">
      <c r="J9024"/>
    </row>
    <row r="9025" spans="10:10" x14ac:dyDescent="0.3">
      <c r="J9025"/>
    </row>
    <row r="9026" spans="10:10" x14ac:dyDescent="0.3">
      <c r="J9026"/>
    </row>
    <row r="9027" spans="10:10" x14ac:dyDescent="0.3">
      <c r="J9027"/>
    </row>
    <row r="9028" spans="10:10" x14ac:dyDescent="0.3">
      <c r="J9028"/>
    </row>
    <row r="9029" spans="10:10" x14ac:dyDescent="0.3">
      <c r="J9029"/>
    </row>
    <row r="9030" spans="10:10" x14ac:dyDescent="0.3">
      <c r="J9030"/>
    </row>
    <row r="9031" spans="10:10" x14ac:dyDescent="0.3">
      <c r="J9031"/>
    </row>
    <row r="9032" spans="10:10" x14ac:dyDescent="0.3">
      <c r="J9032"/>
    </row>
    <row r="9033" spans="10:10" x14ac:dyDescent="0.3">
      <c r="J9033"/>
    </row>
    <row r="9034" spans="10:10" x14ac:dyDescent="0.3">
      <c r="J9034"/>
    </row>
    <row r="9035" spans="10:10" x14ac:dyDescent="0.3">
      <c r="J9035"/>
    </row>
    <row r="9036" spans="10:10" x14ac:dyDescent="0.3">
      <c r="J9036"/>
    </row>
    <row r="9037" spans="10:10" x14ac:dyDescent="0.3">
      <c r="J9037"/>
    </row>
    <row r="9038" spans="10:10" x14ac:dyDescent="0.3">
      <c r="J9038"/>
    </row>
    <row r="9039" spans="10:10" x14ac:dyDescent="0.3">
      <c r="J9039"/>
    </row>
    <row r="9040" spans="10:10" x14ac:dyDescent="0.3">
      <c r="J9040"/>
    </row>
    <row r="9041" spans="10:10" x14ac:dyDescent="0.3">
      <c r="J9041"/>
    </row>
    <row r="9042" spans="10:10" x14ac:dyDescent="0.3">
      <c r="J9042"/>
    </row>
    <row r="9043" spans="10:10" x14ac:dyDescent="0.3">
      <c r="J9043"/>
    </row>
    <row r="9044" spans="10:10" x14ac:dyDescent="0.3">
      <c r="J9044"/>
    </row>
    <row r="9045" spans="10:10" x14ac:dyDescent="0.3">
      <c r="J9045"/>
    </row>
    <row r="9046" spans="10:10" x14ac:dyDescent="0.3">
      <c r="J9046"/>
    </row>
    <row r="9047" spans="10:10" x14ac:dyDescent="0.3">
      <c r="J9047"/>
    </row>
    <row r="9048" spans="10:10" x14ac:dyDescent="0.3">
      <c r="J9048"/>
    </row>
    <row r="9049" spans="10:10" x14ac:dyDescent="0.3">
      <c r="J9049"/>
    </row>
    <row r="9050" spans="10:10" x14ac:dyDescent="0.3">
      <c r="J9050"/>
    </row>
    <row r="9051" spans="10:10" x14ac:dyDescent="0.3">
      <c r="J9051"/>
    </row>
    <row r="9052" spans="10:10" x14ac:dyDescent="0.3">
      <c r="J9052"/>
    </row>
    <row r="9053" spans="10:10" x14ac:dyDescent="0.3">
      <c r="J9053"/>
    </row>
    <row r="9054" spans="10:10" x14ac:dyDescent="0.3">
      <c r="J9054"/>
    </row>
    <row r="9055" spans="10:10" x14ac:dyDescent="0.3">
      <c r="J9055"/>
    </row>
    <row r="9056" spans="10:10" x14ac:dyDescent="0.3">
      <c r="J9056"/>
    </row>
    <row r="9057" spans="10:10" x14ac:dyDescent="0.3">
      <c r="J9057"/>
    </row>
    <row r="9058" spans="10:10" x14ac:dyDescent="0.3">
      <c r="J9058"/>
    </row>
    <row r="9059" spans="10:10" x14ac:dyDescent="0.3">
      <c r="J9059"/>
    </row>
    <row r="9060" spans="10:10" x14ac:dyDescent="0.3">
      <c r="J9060"/>
    </row>
    <row r="9061" spans="10:10" x14ac:dyDescent="0.3">
      <c r="J9061"/>
    </row>
    <row r="9062" spans="10:10" x14ac:dyDescent="0.3">
      <c r="J9062"/>
    </row>
    <row r="9063" spans="10:10" x14ac:dyDescent="0.3">
      <c r="J9063"/>
    </row>
    <row r="9064" spans="10:10" x14ac:dyDescent="0.3">
      <c r="J9064"/>
    </row>
    <row r="9065" spans="10:10" x14ac:dyDescent="0.3">
      <c r="J9065"/>
    </row>
    <row r="9066" spans="10:10" x14ac:dyDescent="0.3">
      <c r="J9066"/>
    </row>
    <row r="9067" spans="10:10" x14ac:dyDescent="0.3">
      <c r="J9067"/>
    </row>
    <row r="9068" spans="10:10" x14ac:dyDescent="0.3">
      <c r="J9068"/>
    </row>
    <row r="9069" spans="10:10" x14ac:dyDescent="0.3">
      <c r="J9069"/>
    </row>
    <row r="9070" spans="10:10" x14ac:dyDescent="0.3">
      <c r="J9070"/>
    </row>
    <row r="9071" spans="10:10" x14ac:dyDescent="0.3">
      <c r="J9071"/>
    </row>
    <row r="9072" spans="10:10" x14ac:dyDescent="0.3">
      <c r="J9072"/>
    </row>
    <row r="9073" spans="10:10" x14ac:dyDescent="0.3">
      <c r="J9073"/>
    </row>
    <row r="9074" spans="10:10" x14ac:dyDescent="0.3">
      <c r="J9074"/>
    </row>
    <row r="9075" spans="10:10" x14ac:dyDescent="0.3">
      <c r="J9075"/>
    </row>
    <row r="9076" spans="10:10" x14ac:dyDescent="0.3">
      <c r="J9076"/>
    </row>
    <row r="9077" spans="10:10" x14ac:dyDescent="0.3">
      <c r="J9077"/>
    </row>
    <row r="9078" spans="10:10" x14ac:dyDescent="0.3">
      <c r="J9078"/>
    </row>
    <row r="9079" spans="10:10" x14ac:dyDescent="0.3">
      <c r="J9079"/>
    </row>
    <row r="9080" spans="10:10" x14ac:dyDescent="0.3">
      <c r="J9080"/>
    </row>
    <row r="9081" spans="10:10" x14ac:dyDescent="0.3">
      <c r="J9081"/>
    </row>
    <row r="9082" spans="10:10" x14ac:dyDescent="0.3">
      <c r="J9082"/>
    </row>
    <row r="9083" spans="10:10" x14ac:dyDescent="0.3">
      <c r="J9083"/>
    </row>
    <row r="9084" spans="10:10" x14ac:dyDescent="0.3">
      <c r="J9084"/>
    </row>
    <row r="9085" spans="10:10" x14ac:dyDescent="0.3">
      <c r="J9085"/>
    </row>
    <row r="9086" spans="10:10" x14ac:dyDescent="0.3">
      <c r="J9086"/>
    </row>
    <row r="9087" spans="10:10" x14ac:dyDescent="0.3">
      <c r="J9087"/>
    </row>
    <row r="9088" spans="10:10" x14ac:dyDescent="0.3">
      <c r="J9088"/>
    </row>
    <row r="9089" spans="10:10" x14ac:dyDescent="0.3">
      <c r="J9089"/>
    </row>
    <row r="9090" spans="10:10" x14ac:dyDescent="0.3">
      <c r="J9090"/>
    </row>
    <row r="9091" spans="10:10" x14ac:dyDescent="0.3">
      <c r="J9091"/>
    </row>
    <row r="9092" spans="10:10" x14ac:dyDescent="0.3">
      <c r="J9092"/>
    </row>
    <row r="9093" spans="10:10" x14ac:dyDescent="0.3">
      <c r="J9093"/>
    </row>
    <row r="9094" spans="10:10" x14ac:dyDescent="0.3">
      <c r="J9094"/>
    </row>
    <row r="9095" spans="10:10" x14ac:dyDescent="0.3">
      <c r="J9095"/>
    </row>
    <row r="9096" spans="10:10" x14ac:dyDescent="0.3">
      <c r="J9096"/>
    </row>
    <row r="9097" spans="10:10" x14ac:dyDescent="0.3">
      <c r="J9097"/>
    </row>
    <row r="9098" spans="10:10" x14ac:dyDescent="0.3">
      <c r="J9098"/>
    </row>
    <row r="9099" spans="10:10" x14ac:dyDescent="0.3">
      <c r="J9099"/>
    </row>
    <row r="9100" spans="10:10" x14ac:dyDescent="0.3">
      <c r="J9100"/>
    </row>
    <row r="9101" spans="10:10" x14ac:dyDescent="0.3">
      <c r="J9101"/>
    </row>
    <row r="9102" spans="10:10" x14ac:dyDescent="0.3">
      <c r="J9102"/>
    </row>
    <row r="9103" spans="10:10" x14ac:dyDescent="0.3">
      <c r="J9103"/>
    </row>
    <row r="9104" spans="10:10" x14ac:dyDescent="0.3">
      <c r="J9104"/>
    </row>
    <row r="9105" spans="10:10" x14ac:dyDescent="0.3">
      <c r="J9105"/>
    </row>
    <row r="9106" spans="10:10" x14ac:dyDescent="0.3">
      <c r="J9106"/>
    </row>
    <row r="9107" spans="10:10" x14ac:dyDescent="0.3">
      <c r="J9107"/>
    </row>
    <row r="9108" spans="10:10" x14ac:dyDescent="0.3">
      <c r="J9108"/>
    </row>
    <row r="9109" spans="10:10" x14ac:dyDescent="0.3">
      <c r="J9109"/>
    </row>
    <row r="9110" spans="10:10" x14ac:dyDescent="0.3">
      <c r="J9110"/>
    </row>
    <row r="9111" spans="10:10" x14ac:dyDescent="0.3">
      <c r="J9111"/>
    </row>
    <row r="9112" spans="10:10" x14ac:dyDescent="0.3">
      <c r="J9112"/>
    </row>
    <row r="9113" spans="10:10" x14ac:dyDescent="0.3">
      <c r="J9113"/>
    </row>
    <row r="9114" spans="10:10" x14ac:dyDescent="0.3">
      <c r="J9114"/>
    </row>
    <row r="9115" spans="10:10" x14ac:dyDescent="0.3">
      <c r="J9115"/>
    </row>
    <row r="9116" spans="10:10" x14ac:dyDescent="0.3">
      <c r="J9116"/>
    </row>
    <row r="9117" spans="10:10" x14ac:dyDescent="0.3">
      <c r="J9117"/>
    </row>
    <row r="9118" spans="10:10" x14ac:dyDescent="0.3">
      <c r="J9118"/>
    </row>
    <row r="9119" spans="10:10" x14ac:dyDescent="0.3">
      <c r="J9119"/>
    </row>
    <row r="9120" spans="10:10" x14ac:dyDescent="0.3">
      <c r="J9120"/>
    </row>
    <row r="9121" spans="10:10" x14ac:dyDescent="0.3">
      <c r="J9121"/>
    </row>
    <row r="9122" spans="10:10" x14ac:dyDescent="0.3">
      <c r="J9122"/>
    </row>
    <row r="9123" spans="10:10" x14ac:dyDescent="0.3">
      <c r="J9123"/>
    </row>
    <row r="9124" spans="10:10" x14ac:dyDescent="0.3">
      <c r="J9124"/>
    </row>
    <row r="9125" spans="10:10" x14ac:dyDescent="0.3">
      <c r="J9125"/>
    </row>
    <row r="9126" spans="10:10" x14ac:dyDescent="0.3">
      <c r="J9126"/>
    </row>
    <row r="9127" spans="10:10" x14ac:dyDescent="0.3">
      <c r="J9127"/>
    </row>
    <row r="9128" spans="10:10" x14ac:dyDescent="0.3">
      <c r="J9128"/>
    </row>
    <row r="9129" spans="10:10" x14ac:dyDescent="0.3">
      <c r="J9129"/>
    </row>
    <row r="9130" spans="10:10" x14ac:dyDescent="0.3">
      <c r="J9130"/>
    </row>
    <row r="9131" spans="10:10" x14ac:dyDescent="0.3">
      <c r="J9131"/>
    </row>
    <row r="9132" spans="10:10" x14ac:dyDescent="0.3">
      <c r="J9132"/>
    </row>
    <row r="9133" spans="10:10" x14ac:dyDescent="0.3">
      <c r="J9133"/>
    </row>
    <row r="9134" spans="10:10" x14ac:dyDescent="0.3">
      <c r="J9134"/>
    </row>
    <row r="9135" spans="10:10" x14ac:dyDescent="0.3">
      <c r="J9135"/>
    </row>
    <row r="9136" spans="10:10" x14ac:dyDescent="0.3">
      <c r="J9136"/>
    </row>
    <row r="9137" spans="10:10" x14ac:dyDescent="0.3">
      <c r="J9137"/>
    </row>
    <row r="9138" spans="10:10" x14ac:dyDescent="0.3">
      <c r="J9138"/>
    </row>
    <row r="9139" spans="10:10" x14ac:dyDescent="0.3">
      <c r="J9139"/>
    </row>
    <row r="9140" spans="10:10" x14ac:dyDescent="0.3">
      <c r="J9140"/>
    </row>
    <row r="9141" spans="10:10" x14ac:dyDescent="0.3">
      <c r="J9141"/>
    </row>
    <row r="9142" spans="10:10" x14ac:dyDescent="0.3">
      <c r="J9142"/>
    </row>
    <row r="9143" spans="10:10" x14ac:dyDescent="0.3">
      <c r="J9143"/>
    </row>
    <row r="9144" spans="10:10" x14ac:dyDescent="0.3">
      <c r="J9144"/>
    </row>
    <row r="9145" spans="10:10" x14ac:dyDescent="0.3">
      <c r="J9145"/>
    </row>
    <row r="9146" spans="10:10" x14ac:dyDescent="0.3">
      <c r="J9146"/>
    </row>
    <row r="9147" spans="10:10" x14ac:dyDescent="0.3">
      <c r="J9147"/>
    </row>
    <row r="9148" spans="10:10" x14ac:dyDescent="0.3">
      <c r="J9148"/>
    </row>
    <row r="9149" spans="10:10" x14ac:dyDescent="0.3">
      <c r="J9149"/>
    </row>
    <row r="9150" spans="10:10" x14ac:dyDescent="0.3">
      <c r="J9150"/>
    </row>
    <row r="9151" spans="10:10" x14ac:dyDescent="0.3">
      <c r="J9151"/>
    </row>
    <row r="9152" spans="10:10" x14ac:dyDescent="0.3">
      <c r="J9152"/>
    </row>
    <row r="9153" spans="10:10" x14ac:dyDescent="0.3">
      <c r="J9153"/>
    </row>
    <row r="9154" spans="10:10" x14ac:dyDescent="0.3">
      <c r="J9154"/>
    </row>
    <row r="9155" spans="10:10" x14ac:dyDescent="0.3">
      <c r="J9155"/>
    </row>
    <row r="9156" spans="10:10" x14ac:dyDescent="0.3">
      <c r="J9156"/>
    </row>
    <row r="9157" spans="10:10" x14ac:dyDescent="0.3">
      <c r="J9157"/>
    </row>
    <row r="9158" spans="10:10" x14ac:dyDescent="0.3">
      <c r="J9158"/>
    </row>
    <row r="9159" spans="10:10" x14ac:dyDescent="0.3">
      <c r="J9159"/>
    </row>
    <row r="9160" spans="10:10" x14ac:dyDescent="0.3">
      <c r="J9160"/>
    </row>
    <row r="9161" spans="10:10" x14ac:dyDescent="0.3">
      <c r="J9161"/>
    </row>
    <row r="9162" spans="10:10" x14ac:dyDescent="0.3">
      <c r="J9162"/>
    </row>
    <row r="9163" spans="10:10" x14ac:dyDescent="0.3">
      <c r="J9163"/>
    </row>
    <row r="9164" spans="10:10" x14ac:dyDescent="0.3">
      <c r="J9164"/>
    </row>
    <row r="9165" spans="10:10" x14ac:dyDescent="0.3">
      <c r="J9165"/>
    </row>
    <row r="9166" spans="10:10" x14ac:dyDescent="0.3">
      <c r="J9166"/>
    </row>
    <row r="9167" spans="10:10" x14ac:dyDescent="0.3">
      <c r="J9167"/>
    </row>
    <row r="9168" spans="10:10" x14ac:dyDescent="0.3">
      <c r="J9168"/>
    </row>
    <row r="9169" spans="10:10" x14ac:dyDescent="0.3">
      <c r="J9169"/>
    </row>
    <row r="9170" spans="10:10" x14ac:dyDescent="0.3">
      <c r="J9170"/>
    </row>
    <row r="9171" spans="10:10" x14ac:dyDescent="0.3">
      <c r="J9171"/>
    </row>
    <row r="9172" spans="10:10" x14ac:dyDescent="0.3">
      <c r="J9172"/>
    </row>
    <row r="9173" spans="10:10" x14ac:dyDescent="0.3">
      <c r="J9173"/>
    </row>
    <row r="9174" spans="10:10" x14ac:dyDescent="0.3">
      <c r="J9174"/>
    </row>
    <row r="9175" spans="10:10" x14ac:dyDescent="0.3">
      <c r="J9175"/>
    </row>
    <row r="9176" spans="10:10" x14ac:dyDescent="0.3">
      <c r="J9176"/>
    </row>
    <row r="9177" spans="10:10" x14ac:dyDescent="0.3">
      <c r="J9177"/>
    </row>
    <row r="9178" spans="10:10" x14ac:dyDescent="0.3">
      <c r="J9178"/>
    </row>
    <row r="9179" spans="10:10" x14ac:dyDescent="0.3">
      <c r="J9179"/>
    </row>
    <row r="9180" spans="10:10" x14ac:dyDescent="0.3">
      <c r="J9180"/>
    </row>
    <row r="9181" spans="10:10" x14ac:dyDescent="0.3">
      <c r="J9181"/>
    </row>
    <row r="9182" spans="10:10" x14ac:dyDescent="0.3">
      <c r="J9182"/>
    </row>
    <row r="9183" spans="10:10" x14ac:dyDescent="0.3">
      <c r="J9183"/>
    </row>
    <row r="9184" spans="10:10" x14ac:dyDescent="0.3">
      <c r="J9184"/>
    </row>
    <row r="9185" spans="10:10" x14ac:dyDescent="0.3">
      <c r="J9185"/>
    </row>
    <row r="9186" spans="10:10" x14ac:dyDescent="0.3">
      <c r="J9186"/>
    </row>
    <row r="9187" spans="10:10" x14ac:dyDescent="0.3">
      <c r="J9187"/>
    </row>
    <row r="9188" spans="10:10" x14ac:dyDescent="0.3">
      <c r="J9188"/>
    </row>
    <row r="9189" spans="10:10" x14ac:dyDescent="0.3">
      <c r="J9189"/>
    </row>
    <row r="9190" spans="10:10" x14ac:dyDescent="0.3">
      <c r="J9190"/>
    </row>
    <row r="9191" spans="10:10" x14ac:dyDescent="0.3">
      <c r="J9191"/>
    </row>
    <row r="9192" spans="10:10" x14ac:dyDescent="0.3">
      <c r="J9192"/>
    </row>
    <row r="9193" spans="10:10" x14ac:dyDescent="0.3">
      <c r="J9193"/>
    </row>
    <row r="9194" spans="10:10" x14ac:dyDescent="0.3">
      <c r="J9194"/>
    </row>
    <row r="9195" spans="10:10" x14ac:dyDescent="0.3">
      <c r="J9195"/>
    </row>
    <row r="9196" spans="10:10" x14ac:dyDescent="0.3">
      <c r="J9196"/>
    </row>
    <row r="9197" spans="10:10" x14ac:dyDescent="0.3">
      <c r="J9197"/>
    </row>
    <row r="9198" spans="10:10" x14ac:dyDescent="0.3">
      <c r="J9198"/>
    </row>
    <row r="9199" spans="10:10" x14ac:dyDescent="0.3">
      <c r="J9199"/>
    </row>
    <row r="9200" spans="10:10" x14ac:dyDescent="0.3">
      <c r="J9200"/>
    </row>
    <row r="9201" spans="10:10" x14ac:dyDescent="0.3">
      <c r="J9201"/>
    </row>
    <row r="9202" spans="10:10" x14ac:dyDescent="0.3">
      <c r="J9202"/>
    </row>
    <row r="9203" spans="10:10" x14ac:dyDescent="0.3">
      <c r="J9203"/>
    </row>
    <row r="9204" spans="10:10" x14ac:dyDescent="0.3">
      <c r="J9204"/>
    </row>
    <row r="9205" spans="10:10" x14ac:dyDescent="0.3">
      <c r="J9205"/>
    </row>
    <row r="9206" spans="10:10" x14ac:dyDescent="0.3">
      <c r="J9206"/>
    </row>
    <row r="9207" spans="10:10" x14ac:dyDescent="0.3">
      <c r="J9207"/>
    </row>
    <row r="9208" spans="10:10" x14ac:dyDescent="0.3">
      <c r="J9208"/>
    </row>
    <row r="9209" spans="10:10" x14ac:dyDescent="0.3">
      <c r="J9209"/>
    </row>
    <row r="9210" spans="10:10" x14ac:dyDescent="0.3">
      <c r="J9210"/>
    </row>
    <row r="9211" spans="10:10" x14ac:dyDescent="0.3">
      <c r="J9211"/>
    </row>
    <row r="9212" spans="10:10" x14ac:dyDescent="0.3">
      <c r="J9212"/>
    </row>
    <row r="9213" spans="10:10" x14ac:dyDescent="0.3">
      <c r="J9213"/>
    </row>
    <row r="9214" spans="10:10" x14ac:dyDescent="0.3">
      <c r="J9214"/>
    </row>
    <row r="9215" spans="10:10" x14ac:dyDescent="0.3">
      <c r="J9215"/>
    </row>
    <row r="9216" spans="10:10" x14ac:dyDescent="0.3">
      <c r="J9216"/>
    </row>
    <row r="9217" spans="10:10" x14ac:dyDescent="0.3">
      <c r="J9217"/>
    </row>
    <row r="9218" spans="10:10" x14ac:dyDescent="0.3">
      <c r="J9218"/>
    </row>
    <row r="9219" spans="10:10" x14ac:dyDescent="0.3">
      <c r="J9219"/>
    </row>
    <row r="9220" spans="10:10" x14ac:dyDescent="0.3">
      <c r="J9220"/>
    </row>
    <row r="9221" spans="10:10" x14ac:dyDescent="0.3">
      <c r="J9221"/>
    </row>
    <row r="9222" spans="10:10" x14ac:dyDescent="0.3">
      <c r="J9222"/>
    </row>
    <row r="9223" spans="10:10" x14ac:dyDescent="0.3">
      <c r="J9223"/>
    </row>
    <row r="9224" spans="10:10" x14ac:dyDescent="0.3">
      <c r="J9224"/>
    </row>
    <row r="9225" spans="10:10" x14ac:dyDescent="0.3">
      <c r="J9225"/>
    </row>
    <row r="9226" spans="10:10" x14ac:dyDescent="0.3">
      <c r="J9226"/>
    </row>
    <row r="9227" spans="10:10" x14ac:dyDescent="0.3">
      <c r="J9227"/>
    </row>
    <row r="9228" spans="10:10" x14ac:dyDescent="0.3">
      <c r="J9228"/>
    </row>
    <row r="9229" spans="10:10" x14ac:dyDescent="0.3">
      <c r="J9229"/>
    </row>
    <row r="9230" spans="10:10" x14ac:dyDescent="0.3">
      <c r="J9230"/>
    </row>
    <row r="9231" spans="10:10" x14ac:dyDescent="0.3">
      <c r="J9231"/>
    </row>
    <row r="9232" spans="10:10" x14ac:dyDescent="0.3">
      <c r="J9232"/>
    </row>
    <row r="9233" spans="10:10" x14ac:dyDescent="0.3">
      <c r="J9233"/>
    </row>
    <row r="9234" spans="10:10" x14ac:dyDescent="0.3">
      <c r="J9234"/>
    </row>
    <row r="9235" spans="10:10" x14ac:dyDescent="0.3">
      <c r="J9235"/>
    </row>
    <row r="9236" spans="10:10" x14ac:dyDescent="0.3">
      <c r="J9236"/>
    </row>
    <row r="9237" spans="10:10" x14ac:dyDescent="0.3">
      <c r="J9237"/>
    </row>
    <row r="9238" spans="10:10" x14ac:dyDescent="0.3">
      <c r="J9238"/>
    </row>
    <row r="9239" spans="10:10" x14ac:dyDescent="0.3">
      <c r="J9239"/>
    </row>
    <row r="9240" spans="10:10" x14ac:dyDescent="0.3">
      <c r="J9240"/>
    </row>
    <row r="9241" spans="10:10" x14ac:dyDescent="0.3">
      <c r="J9241"/>
    </row>
    <row r="9242" spans="10:10" x14ac:dyDescent="0.3">
      <c r="J9242"/>
    </row>
    <row r="9243" spans="10:10" x14ac:dyDescent="0.3">
      <c r="J9243"/>
    </row>
    <row r="9244" spans="10:10" x14ac:dyDescent="0.3">
      <c r="J9244"/>
    </row>
    <row r="9245" spans="10:10" x14ac:dyDescent="0.3">
      <c r="J9245"/>
    </row>
    <row r="9246" spans="10:10" x14ac:dyDescent="0.3">
      <c r="J9246"/>
    </row>
    <row r="9247" spans="10:10" x14ac:dyDescent="0.3">
      <c r="J9247"/>
    </row>
    <row r="9248" spans="10:10" x14ac:dyDescent="0.3">
      <c r="J9248"/>
    </row>
    <row r="9249" spans="10:10" x14ac:dyDescent="0.3">
      <c r="J9249"/>
    </row>
    <row r="9250" spans="10:10" x14ac:dyDescent="0.3">
      <c r="J9250"/>
    </row>
    <row r="9251" spans="10:10" x14ac:dyDescent="0.3">
      <c r="J9251"/>
    </row>
    <row r="9252" spans="10:10" x14ac:dyDescent="0.3">
      <c r="J9252"/>
    </row>
    <row r="9253" spans="10:10" x14ac:dyDescent="0.3">
      <c r="J9253"/>
    </row>
    <row r="9254" spans="10:10" x14ac:dyDescent="0.3">
      <c r="J9254"/>
    </row>
    <row r="9255" spans="10:10" x14ac:dyDescent="0.3">
      <c r="J9255"/>
    </row>
    <row r="9256" spans="10:10" x14ac:dyDescent="0.3">
      <c r="J9256"/>
    </row>
    <row r="9257" spans="10:10" x14ac:dyDescent="0.3">
      <c r="J9257"/>
    </row>
    <row r="9258" spans="10:10" x14ac:dyDescent="0.3">
      <c r="J9258"/>
    </row>
    <row r="9259" spans="10:10" x14ac:dyDescent="0.3">
      <c r="J9259"/>
    </row>
    <row r="9260" spans="10:10" x14ac:dyDescent="0.3">
      <c r="J9260"/>
    </row>
    <row r="9261" spans="10:10" x14ac:dyDescent="0.3">
      <c r="J9261"/>
    </row>
    <row r="9262" spans="10:10" x14ac:dyDescent="0.3">
      <c r="J9262"/>
    </row>
    <row r="9263" spans="10:10" x14ac:dyDescent="0.3">
      <c r="J9263"/>
    </row>
    <row r="9264" spans="10:10" x14ac:dyDescent="0.3">
      <c r="J9264"/>
    </row>
    <row r="9265" spans="10:10" x14ac:dyDescent="0.3">
      <c r="J9265"/>
    </row>
    <row r="9266" spans="10:10" x14ac:dyDescent="0.3">
      <c r="J9266"/>
    </row>
    <row r="9267" spans="10:10" x14ac:dyDescent="0.3">
      <c r="J9267"/>
    </row>
    <row r="9268" spans="10:10" x14ac:dyDescent="0.3">
      <c r="J9268"/>
    </row>
    <row r="9269" spans="10:10" x14ac:dyDescent="0.3">
      <c r="J9269"/>
    </row>
    <row r="9270" spans="10:10" x14ac:dyDescent="0.3">
      <c r="J9270"/>
    </row>
    <row r="9271" spans="10:10" x14ac:dyDescent="0.3">
      <c r="J9271"/>
    </row>
    <row r="9272" spans="10:10" x14ac:dyDescent="0.3">
      <c r="J9272"/>
    </row>
    <row r="9273" spans="10:10" x14ac:dyDescent="0.3">
      <c r="J9273"/>
    </row>
    <row r="9274" spans="10:10" x14ac:dyDescent="0.3">
      <c r="J9274"/>
    </row>
    <row r="9275" spans="10:10" x14ac:dyDescent="0.3">
      <c r="J9275"/>
    </row>
    <row r="9276" spans="10:10" x14ac:dyDescent="0.3">
      <c r="J9276"/>
    </row>
    <row r="9277" spans="10:10" x14ac:dyDescent="0.3">
      <c r="J9277"/>
    </row>
    <row r="9278" spans="10:10" x14ac:dyDescent="0.3">
      <c r="J9278"/>
    </row>
    <row r="9279" spans="10:10" x14ac:dyDescent="0.3">
      <c r="J9279"/>
    </row>
    <row r="9280" spans="10:10" x14ac:dyDescent="0.3">
      <c r="J9280"/>
    </row>
    <row r="9281" spans="10:10" x14ac:dyDescent="0.3">
      <c r="J9281"/>
    </row>
    <row r="9282" spans="10:10" x14ac:dyDescent="0.3">
      <c r="J9282"/>
    </row>
    <row r="9283" spans="10:10" x14ac:dyDescent="0.3">
      <c r="J9283"/>
    </row>
    <row r="9284" spans="10:10" x14ac:dyDescent="0.3">
      <c r="J9284"/>
    </row>
    <row r="9285" spans="10:10" x14ac:dyDescent="0.3">
      <c r="J9285"/>
    </row>
    <row r="9286" spans="10:10" x14ac:dyDescent="0.3">
      <c r="J9286"/>
    </row>
    <row r="9287" spans="10:10" x14ac:dyDescent="0.3">
      <c r="J9287"/>
    </row>
    <row r="9288" spans="10:10" x14ac:dyDescent="0.3">
      <c r="J9288"/>
    </row>
    <row r="9289" spans="10:10" x14ac:dyDescent="0.3">
      <c r="J9289"/>
    </row>
    <row r="9290" spans="10:10" x14ac:dyDescent="0.3">
      <c r="J9290"/>
    </row>
    <row r="9291" spans="10:10" x14ac:dyDescent="0.3">
      <c r="J9291"/>
    </row>
    <row r="9292" spans="10:10" x14ac:dyDescent="0.3">
      <c r="J9292"/>
    </row>
    <row r="9293" spans="10:10" x14ac:dyDescent="0.3">
      <c r="J9293"/>
    </row>
    <row r="9294" spans="10:10" x14ac:dyDescent="0.3">
      <c r="J9294"/>
    </row>
    <row r="9295" spans="10:10" x14ac:dyDescent="0.3">
      <c r="J9295"/>
    </row>
    <row r="9296" spans="10:10" x14ac:dyDescent="0.3">
      <c r="J9296"/>
    </row>
    <row r="9297" spans="10:10" x14ac:dyDescent="0.3">
      <c r="J9297"/>
    </row>
    <row r="9298" spans="10:10" x14ac:dyDescent="0.3">
      <c r="J9298"/>
    </row>
    <row r="9299" spans="10:10" x14ac:dyDescent="0.3">
      <c r="J9299"/>
    </row>
    <row r="9300" spans="10:10" x14ac:dyDescent="0.3">
      <c r="J9300"/>
    </row>
    <row r="9301" spans="10:10" x14ac:dyDescent="0.3">
      <c r="J9301"/>
    </row>
    <row r="9302" spans="10:10" x14ac:dyDescent="0.3">
      <c r="J9302"/>
    </row>
    <row r="9303" spans="10:10" x14ac:dyDescent="0.3">
      <c r="J9303"/>
    </row>
    <row r="9304" spans="10:10" x14ac:dyDescent="0.3">
      <c r="J9304"/>
    </row>
    <row r="9305" spans="10:10" x14ac:dyDescent="0.3">
      <c r="J9305"/>
    </row>
    <row r="9306" spans="10:10" x14ac:dyDescent="0.3">
      <c r="J9306"/>
    </row>
    <row r="9307" spans="10:10" x14ac:dyDescent="0.3">
      <c r="J9307"/>
    </row>
    <row r="9308" spans="10:10" x14ac:dyDescent="0.3">
      <c r="J9308"/>
    </row>
    <row r="9309" spans="10:10" x14ac:dyDescent="0.3">
      <c r="J9309"/>
    </row>
    <row r="9310" spans="10:10" x14ac:dyDescent="0.3">
      <c r="J9310"/>
    </row>
    <row r="9311" spans="10:10" x14ac:dyDescent="0.3">
      <c r="J9311"/>
    </row>
    <row r="9312" spans="10:10" x14ac:dyDescent="0.3">
      <c r="J9312"/>
    </row>
    <row r="9313" spans="10:10" x14ac:dyDescent="0.3">
      <c r="J9313"/>
    </row>
    <row r="9314" spans="10:10" x14ac:dyDescent="0.3">
      <c r="J9314"/>
    </row>
    <row r="9315" spans="10:10" x14ac:dyDescent="0.3">
      <c r="J9315"/>
    </row>
    <row r="9316" spans="10:10" x14ac:dyDescent="0.3">
      <c r="J9316"/>
    </row>
    <row r="9317" spans="10:10" x14ac:dyDescent="0.3">
      <c r="J9317"/>
    </row>
    <row r="9318" spans="10:10" x14ac:dyDescent="0.3">
      <c r="J9318"/>
    </row>
    <row r="9319" spans="10:10" x14ac:dyDescent="0.3">
      <c r="J9319"/>
    </row>
    <row r="9320" spans="10:10" x14ac:dyDescent="0.3">
      <c r="J9320"/>
    </row>
    <row r="9321" spans="10:10" x14ac:dyDescent="0.3">
      <c r="J9321"/>
    </row>
    <row r="9322" spans="10:10" x14ac:dyDescent="0.3">
      <c r="J9322"/>
    </row>
    <row r="9323" spans="10:10" x14ac:dyDescent="0.3">
      <c r="J9323"/>
    </row>
    <row r="9324" spans="10:10" x14ac:dyDescent="0.3">
      <c r="J9324"/>
    </row>
    <row r="9325" spans="10:10" x14ac:dyDescent="0.3">
      <c r="J9325"/>
    </row>
    <row r="9326" spans="10:10" x14ac:dyDescent="0.3">
      <c r="J9326"/>
    </row>
    <row r="9327" spans="10:10" x14ac:dyDescent="0.3">
      <c r="J9327"/>
    </row>
    <row r="9328" spans="10:10" x14ac:dyDescent="0.3">
      <c r="J9328"/>
    </row>
    <row r="9329" spans="10:10" x14ac:dyDescent="0.3">
      <c r="J9329"/>
    </row>
    <row r="9330" spans="10:10" x14ac:dyDescent="0.3">
      <c r="J9330"/>
    </row>
    <row r="9331" spans="10:10" x14ac:dyDescent="0.3">
      <c r="J9331"/>
    </row>
    <row r="9332" spans="10:10" x14ac:dyDescent="0.3">
      <c r="J9332"/>
    </row>
    <row r="9333" spans="10:10" x14ac:dyDescent="0.3">
      <c r="J9333"/>
    </row>
    <row r="9334" spans="10:10" x14ac:dyDescent="0.3">
      <c r="J9334"/>
    </row>
    <row r="9335" spans="10:10" x14ac:dyDescent="0.3">
      <c r="J9335"/>
    </row>
    <row r="9336" spans="10:10" x14ac:dyDescent="0.3">
      <c r="J9336"/>
    </row>
    <row r="9337" spans="10:10" x14ac:dyDescent="0.3">
      <c r="J9337"/>
    </row>
    <row r="9338" spans="10:10" x14ac:dyDescent="0.3">
      <c r="J9338"/>
    </row>
    <row r="9339" spans="10:10" x14ac:dyDescent="0.3">
      <c r="J9339"/>
    </row>
    <row r="9340" spans="10:10" x14ac:dyDescent="0.3">
      <c r="J9340"/>
    </row>
    <row r="9341" spans="10:10" x14ac:dyDescent="0.3">
      <c r="J9341"/>
    </row>
    <row r="9342" spans="10:10" x14ac:dyDescent="0.3">
      <c r="J9342"/>
    </row>
    <row r="9343" spans="10:10" x14ac:dyDescent="0.3">
      <c r="J9343"/>
    </row>
    <row r="9344" spans="10:10" x14ac:dyDescent="0.3">
      <c r="J9344"/>
    </row>
    <row r="9345" spans="10:10" x14ac:dyDescent="0.3">
      <c r="J9345"/>
    </row>
    <row r="9346" spans="10:10" x14ac:dyDescent="0.3">
      <c r="J9346"/>
    </row>
    <row r="9347" spans="10:10" x14ac:dyDescent="0.3">
      <c r="J9347"/>
    </row>
    <row r="9348" spans="10:10" x14ac:dyDescent="0.3">
      <c r="J9348"/>
    </row>
    <row r="9349" spans="10:10" x14ac:dyDescent="0.3">
      <c r="J9349"/>
    </row>
    <row r="9350" spans="10:10" x14ac:dyDescent="0.3">
      <c r="J9350"/>
    </row>
    <row r="9351" spans="10:10" x14ac:dyDescent="0.3">
      <c r="J9351"/>
    </row>
    <row r="9352" spans="10:10" x14ac:dyDescent="0.3">
      <c r="J9352"/>
    </row>
    <row r="9353" spans="10:10" x14ac:dyDescent="0.3">
      <c r="J9353"/>
    </row>
    <row r="9354" spans="10:10" x14ac:dyDescent="0.3">
      <c r="J9354"/>
    </row>
    <row r="9355" spans="10:10" x14ac:dyDescent="0.3">
      <c r="J9355"/>
    </row>
    <row r="9356" spans="10:10" x14ac:dyDescent="0.3">
      <c r="J9356"/>
    </row>
    <row r="9357" spans="10:10" x14ac:dyDescent="0.3">
      <c r="J9357"/>
    </row>
    <row r="9358" spans="10:10" x14ac:dyDescent="0.3">
      <c r="J9358"/>
    </row>
    <row r="9359" spans="10:10" x14ac:dyDescent="0.3">
      <c r="J9359"/>
    </row>
    <row r="9360" spans="10:10" x14ac:dyDescent="0.3">
      <c r="J9360"/>
    </row>
    <row r="9361" spans="10:10" x14ac:dyDescent="0.3">
      <c r="J9361"/>
    </row>
    <row r="9362" spans="10:10" x14ac:dyDescent="0.3">
      <c r="J9362"/>
    </row>
    <row r="9363" spans="10:10" x14ac:dyDescent="0.3">
      <c r="J9363"/>
    </row>
    <row r="9364" spans="10:10" x14ac:dyDescent="0.3">
      <c r="J9364"/>
    </row>
    <row r="9365" spans="10:10" x14ac:dyDescent="0.3">
      <c r="J9365"/>
    </row>
    <row r="9366" spans="10:10" x14ac:dyDescent="0.3">
      <c r="J9366"/>
    </row>
    <row r="9367" spans="10:10" x14ac:dyDescent="0.3">
      <c r="J9367"/>
    </row>
    <row r="9368" spans="10:10" x14ac:dyDescent="0.3">
      <c r="J9368"/>
    </row>
    <row r="9369" spans="10:10" x14ac:dyDescent="0.3">
      <c r="J9369"/>
    </row>
    <row r="9370" spans="10:10" x14ac:dyDescent="0.3">
      <c r="J9370"/>
    </row>
    <row r="9371" spans="10:10" x14ac:dyDescent="0.3">
      <c r="J9371"/>
    </row>
    <row r="9372" spans="10:10" x14ac:dyDescent="0.3">
      <c r="J9372"/>
    </row>
    <row r="9373" spans="10:10" x14ac:dyDescent="0.3">
      <c r="J9373"/>
    </row>
    <row r="9374" spans="10:10" x14ac:dyDescent="0.3">
      <c r="J9374"/>
    </row>
    <row r="9375" spans="10:10" x14ac:dyDescent="0.3">
      <c r="J9375"/>
    </row>
    <row r="9376" spans="10:10" x14ac:dyDescent="0.3">
      <c r="J9376"/>
    </row>
    <row r="9377" spans="10:10" x14ac:dyDescent="0.3">
      <c r="J9377"/>
    </row>
    <row r="9378" spans="10:10" x14ac:dyDescent="0.3">
      <c r="J9378"/>
    </row>
    <row r="9379" spans="10:10" x14ac:dyDescent="0.3">
      <c r="J9379"/>
    </row>
    <row r="9380" spans="10:10" x14ac:dyDescent="0.3">
      <c r="J9380"/>
    </row>
    <row r="9381" spans="10:10" x14ac:dyDescent="0.3">
      <c r="J9381"/>
    </row>
    <row r="9382" spans="10:10" x14ac:dyDescent="0.3">
      <c r="J9382"/>
    </row>
    <row r="9383" spans="10:10" x14ac:dyDescent="0.3">
      <c r="J9383"/>
    </row>
    <row r="9384" spans="10:10" x14ac:dyDescent="0.3">
      <c r="J9384"/>
    </row>
    <row r="9385" spans="10:10" x14ac:dyDescent="0.3">
      <c r="J9385"/>
    </row>
    <row r="9386" spans="10:10" x14ac:dyDescent="0.3">
      <c r="J9386"/>
    </row>
    <row r="9387" spans="10:10" x14ac:dyDescent="0.3">
      <c r="J9387"/>
    </row>
    <row r="9388" spans="10:10" x14ac:dyDescent="0.3">
      <c r="J9388"/>
    </row>
    <row r="9389" spans="10:10" x14ac:dyDescent="0.3">
      <c r="J9389"/>
    </row>
    <row r="9390" spans="10:10" x14ac:dyDescent="0.3">
      <c r="J9390"/>
    </row>
    <row r="9391" spans="10:10" x14ac:dyDescent="0.3">
      <c r="J9391"/>
    </row>
    <row r="9392" spans="10:10" x14ac:dyDescent="0.3">
      <c r="J9392"/>
    </row>
    <row r="9393" spans="10:10" x14ac:dyDescent="0.3">
      <c r="J9393"/>
    </row>
    <row r="9394" spans="10:10" x14ac:dyDescent="0.3">
      <c r="J9394"/>
    </row>
    <row r="9395" spans="10:10" x14ac:dyDescent="0.3">
      <c r="J9395"/>
    </row>
    <row r="9396" spans="10:10" x14ac:dyDescent="0.3">
      <c r="J9396"/>
    </row>
    <row r="9397" spans="10:10" x14ac:dyDescent="0.3">
      <c r="J9397"/>
    </row>
    <row r="9398" spans="10:10" x14ac:dyDescent="0.3">
      <c r="J9398"/>
    </row>
    <row r="9399" spans="10:10" x14ac:dyDescent="0.3">
      <c r="J9399"/>
    </row>
    <row r="9400" spans="10:10" x14ac:dyDescent="0.3">
      <c r="J9400"/>
    </row>
    <row r="9401" spans="10:10" x14ac:dyDescent="0.3">
      <c r="J9401"/>
    </row>
    <row r="9402" spans="10:10" x14ac:dyDescent="0.3">
      <c r="J9402"/>
    </row>
    <row r="9403" spans="10:10" x14ac:dyDescent="0.3">
      <c r="J9403"/>
    </row>
    <row r="9404" spans="10:10" x14ac:dyDescent="0.3">
      <c r="J9404"/>
    </row>
    <row r="9405" spans="10:10" x14ac:dyDescent="0.3">
      <c r="J9405"/>
    </row>
    <row r="9406" spans="10:10" x14ac:dyDescent="0.3">
      <c r="J9406"/>
    </row>
    <row r="9407" spans="10:10" x14ac:dyDescent="0.3">
      <c r="J9407"/>
    </row>
    <row r="9408" spans="10:10" x14ac:dyDescent="0.3">
      <c r="J9408"/>
    </row>
    <row r="9409" spans="10:10" x14ac:dyDescent="0.3">
      <c r="J9409"/>
    </row>
    <row r="9410" spans="10:10" x14ac:dyDescent="0.3">
      <c r="J9410"/>
    </row>
    <row r="9411" spans="10:10" x14ac:dyDescent="0.3">
      <c r="J9411"/>
    </row>
    <row r="9412" spans="10:10" x14ac:dyDescent="0.3">
      <c r="J9412"/>
    </row>
    <row r="9413" spans="10:10" x14ac:dyDescent="0.3">
      <c r="J9413"/>
    </row>
    <row r="9414" spans="10:10" x14ac:dyDescent="0.3">
      <c r="J9414"/>
    </row>
    <row r="9415" spans="10:10" x14ac:dyDescent="0.3">
      <c r="J9415"/>
    </row>
    <row r="9416" spans="10:10" x14ac:dyDescent="0.3">
      <c r="J9416"/>
    </row>
    <row r="9417" spans="10:10" x14ac:dyDescent="0.3">
      <c r="J9417"/>
    </row>
    <row r="9418" spans="10:10" x14ac:dyDescent="0.3">
      <c r="J9418"/>
    </row>
    <row r="9419" spans="10:10" x14ac:dyDescent="0.3">
      <c r="J9419"/>
    </row>
    <row r="9420" spans="10:10" x14ac:dyDescent="0.3">
      <c r="J9420"/>
    </row>
    <row r="9421" spans="10:10" x14ac:dyDescent="0.3">
      <c r="J9421"/>
    </row>
    <row r="9422" spans="10:10" x14ac:dyDescent="0.3">
      <c r="J9422"/>
    </row>
    <row r="9423" spans="10:10" x14ac:dyDescent="0.3">
      <c r="J9423"/>
    </row>
    <row r="9424" spans="10:10" x14ac:dyDescent="0.3">
      <c r="J9424"/>
    </row>
    <row r="9425" spans="10:10" x14ac:dyDescent="0.3">
      <c r="J9425"/>
    </row>
    <row r="9426" spans="10:10" x14ac:dyDescent="0.3">
      <c r="J9426"/>
    </row>
    <row r="9427" spans="10:10" x14ac:dyDescent="0.3">
      <c r="J9427"/>
    </row>
    <row r="9428" spans="10:10" x14ac:dyDescent="0.3">
      <c r="J9428"/>
    </row>
    <row r="9429" spans="10:10" x14ac:dyDescent="0.3">
      <c r="J9429"/>
    </row>
    <row r="9430" spans="10:10" x14ac:dyDescent="0.3">
      <c r="J9430"/>
    </row>
    <row r="9431" spans="10:10" x14ac:dyDescent="0.3">
      <c r="J9431"/>
    </row>
    <row r="9432" spans="10:10" x14ac:dyDescent="0.3">
      <c r="J9432"/>
    </row>
    <row r="9433" spans="10:10" x14ac:dyDescent="0.3">
      <c r="J9433"/>
    </row>
    <row r="9434" spans="10:10" x14ac:dyDescent="0.3">
      <c r="J9434"/>
    </row>
    <row r="9435" spans="10:10" x14ac:dyDescent="0.3">
      <c r="J9435"/>
    </row>
    <row r="9436" spans="10:10" x14ac:dyDescent="0.3">
      <c r="J9436"/>
    </row>
    <row r="9437" spans="10:10" x14ac:dyDescent="0.3">
      <c r="J9437"/>
    </row>
    <row r="9438" spans="10:10" x14ac:dyDescent="0.3">
      <c r="J9438"/>
    </row>
    <row r="9439" spans="10:10" x14ac:dyDescent="0.3">
      <c r="J9439"/>
    </row>
    <row r="9440" spans="10:10" x14ac:dyDescent="0.3">
      <c r="J9440"/>
    </row>
    <row r="9441" spans="10:10" x14ac:dyDescent="0.3">
      <c r="J9441"/>
    </row>
    <row r="9442" spans="10:10" x14ac:dyDescent="0.3">
      <c r="J9442"/>
    </row>
    <row r="9443" spans="10:10" x14ac:dyDescent="0.3">
      <c r="J9443"/>
    </row>
    <row r="9444" spans="10:10" x14ac:dyDescent="0.3">
      <c r="J9444"/>
    </row>
    <row r="9445" spans="10:10" x14ac:dyDescent="0.3">
      <c r="J9445"/>
    </row>
    <row r="9446" spans="10:10" x14ac:dyDescent="0.3">
      <c r="J9446"/>
    </row>
    <row r="9447" spans="10:10" x14ac:dyDescent="0.3">
      <c r="J9447"/>
    </row>
    <row r="9448" spans="10:10" x14ac:dyDescent="0.3">
      <c r="J9448"/>
    </row>
    <row r="9449" spans="10:10" x14ac:dyDescent="0.3">
      <c r="J9449"/>
    </row>
    <row r="9450" spans="10:10" x14ac:dyDescent="0.3">
      <c r="J9450"/>
    </row>
    <row r="9451" spans="10:10" x14ac:dyDescent="0.3">
      <c r="J9451"/>
    </row>
    <row r="9452" spans="10:10" x14ac:dyDescent="0.3">
      <c r="J9452"/>
    </row>
    <row r="9453" spans="10:10" x14ac:dyDescent="0.3">
      <c r="J9453"/>
    </row>
    <row r="9454" spans="10:10" x14ac:dyDescent="0.3">
      <c r="J9454"/>
    </row>
    <row r="9455" spans="10:10" x14ac:dyDescent="0.3">
      <c r="J9455"/>
    </row>
    <row r="9456" spans="10:10" x14ac:dyDescent="0.3">
      <c r="J9456"/>
    </row>
    <row r="9457" spans="10:10" x14ac:dyDescent="0.3">
      <c r="J9457"/>
    </row>
    <row r="9458" spans="10:10" x14ac:dyDescent="0.3">
      <c r="J9458"/>
    </row>
    <row r="9459" spans="10:10" x14ac:dyDescent="0.3">
      <c r="J9459"/>
    </row>
    <row r="9460" spans="10:10" x14ac:dyDescent="0.3">
      <c r="J9460"/>
    </row>
    <row r="9461" spans="10:10" x14ac:dyDescent="0.3">
      <c r="J9461"/>
    </row>
    <row r="9462" spans="10:10" x14ac:dyDescent="0.3">
      <c r="J9462"/>
    </row>
    <row r="9463" spans="10:10" x14ac:dyDescent="0.3">
      <c r="J9463"/>
    </row>
    <row r="9464" spans="10:10" x14ac:dyDescent="0.3">
      <c r="J9464"/>
    </row>
    <row r="9465" spans="10:10" x14ac:dyDescent="0.3">
      <c r="J9465"/>
    </row>
    <row r="9466" spans="10:10" x14ac:dyDescent="0.3">
      <c r="J9466"/>
    </row>
    <row r="9467" spans="10:10" x14ac:dyDescent="0.3">
      <c r="J9467"/>
    </row>
    <row r="9468" spans="10:10" x14ac:dyDescent="0.3">
      <c r="J9468"/>
    </row>
    <row r="9469" spans="10:10" x14ac:dyDescent="0.3">
      <c r="J9469"/>
    </row>
    <row r="9470" spans="10:10" x14ac:dyDescent="0.3">
      <c r="J9470"/>
    </row>
    <row r="9471" spans="10:10" x14ac:dyDescent="0.3">
      <c r="J9471"/>
    </row>
    <row r="9472" spans="10:10" x14ac:dyDescent="0.3">
      <c r="J9472"/>
    </row>
    <row r="9473" spans="10:10" x14ac:dyDescent="0.3">
      <c r="J9473"/>
    </row>
    <row r="9474" spans="10:10" x14ac:dyDescent="0.3">
      <c r="J9474"/>
    </row>
    <row r="9475" spans="10:10" x14ac:dyDescent="0.3">
      <c r="J9475"/>
    </row>
    <row r="9476" spans="10:10" x14ac:dyDescent="0.3">
      <c r="J9476"/>
    </row>
    <row r="9477" spans="10:10" x14ac:dyDescent="0.3">
      <c r="J9477"/>
    </row>
    <row r="9478" spans="10:10" x14ac:dyDescent="0.3">
      <c r="J9478"/>
    </row>
    <row r="9479" spans="10:10" x14ac:dyDescent="0.3">
      <c r="J9479"/>
    </row>
    <row r="9480" spans="10:10" x14ac:dyDescent="0.3">
      <c r="J9480"/>
    </row>
    <row r="9481" spans="10:10" x14ac:dyDescent="0.3">
      <c r="J9481"/>
    </row>
    <row r="9482" spans="10:10" x14ac:dyDescent="0.3">
      <c r="J9482"/>
    </row>
    <row r="9483" spans="10:10" x14ac:dyDescent="0.3">
      <c r="J9483"/>
    </row>
    <row r="9484" spans="10:10" x14ac:dyDescent="0.3">
      <c r="J9484"/>
    </row>
    <row r="9485" spans="10:10" x14ac:dyDescent="0.3">
      <c r="J9485"/>
    </row>
    <row r="9486" spans="10:10" x14ac:dyDescent="0.3">
      <c r="J9486"/>
    </row>
    <row r="9487" spans="10:10" x14ac:dyDescent="0.3">
      <c r="J9487"/>
    </row>
    <row r="9488" spans="10:10" x14ac:dyDescent="0.3">
      <c r="J9488"/>
    </row>
    <row r="9489" spans="10:10" x14ac:dyDescent="0.3">
      <c r="J9489"/>
    </row>
    <row r="9490" spans="10:10" x14ac:dyDescent="0.3">
      <c r="J9490"/>
    </row>
    <row r="9491" spans="10:10" x14ac:dyDescent="0.3">
      <c r="J9491"/>
    </row>
    <row r="9492" spans="10:10" x14ac:dyDescent="0.3">
      <c r="J9492"/>
    </row>
    <row r="9493" spans="10:10" x14ac:dyDescent="0.3">
      <c r="J9493"/>
    </row>
    <row r="9494" spans="10:10" x14ac:dyDescent="0.3">
      <c r="J9494"/>
    </row>
    <row r="9495" spans="10:10" x14ac:dyDescent="0.3">
      <c r="J9495"/>
    </row>
    <row r="9496" spans="10:10" x14ac:dyDescent="0.3">
      <c r="J9496"/>
    </row>
    <row r="9497" spans="10:10" x14ac:dyDescent="0.3">
      <c r="J9497"/>
    </row>
    <row r="9498" spans="10:10" x14ac:dyDescent="0.3">
      <c r="J9498"/>
    </row>
    <row r="9499" spans="10:10" x14ac:dyDescent="0.3">
      <c r="J9499"/>
    </row>
    <row r="9500" spans="10:10" x14ac:dyDescent="0.3">
      <c r="J9500"/>
    </row>
    <row r="9501" spans="10:10" x14ac:dyDescent="0.3">
      <c r="J9501"/>
    </row>
    <row r="9502" spans="10:10" x14ac:dyDescent="0.3">
      <c r="J9502"/>
    </row>
    <row r="9503" spans="10:10" x14ac:dyDescent="0.3">
      <c r="J9503"/>
    </row>
    <row r="9504" spans="10:10" x14ac:dyDescent="0.3">
      <c r="J9504"/>
    </row>
    <row r="9505" spans="10:10" x14ac:dyDescent="0.3">
      <c r="J9505"/>
    </row>
    <row r="9506" spans="10:10" x14ac:dyDescent="0.3">
      <c r="J9506"/>
    </row>
    <row r="9507" spans="10:10" x14ac:dyDescent="0.3">
      <c r="J9507"/>
    </row>
    <row r="9508" spans="10:10" x14ac:dyDescent="0.3">
      <c r="J9508"/>
    </row>
    <row r="9509" spans="10:10" x14ac:dyDescent="0.3">
      <c r="J9509"/>
    </row>
    <row r="9510" spans="10:10" x14ac:dyDescent="0.3">
      <c r="J9510"/>
    </row>
    <row r="9511" spans="10:10" x14ac:dyDescent="0.3">
      <c r="J9511"/>
    </row>
    <row r="9512" spans="10:10" x14ac:dyDescent="0.3">
      <c r="J9512"/>
    </row>
    <row r="9513" spans="10:10" x14ac:dyDescent="0.3">
      <c r="J9513"/>
    </row>
    <row r="9514" spans="10:10" x14ac:dyDescent="0.3">
      <c r="J9514"/>
    </row>
    <row r="9515" spans="10:10" x14ac:dyDescent="0.3">
      <c r="J9515"/>
    </row>
    <row r="9516" spans="10:10" x14ac:dyDescent="0.3">
      <c r="J9516"/>
    </row>
    <row r="9517" spans="10:10" x14ac:dyDescent="0.3">
      <c r="J9517"/>
    </row>
    <row r="9518" spans="10:10" x14ac:dyDescent="0.3">
      <c r="J9518"/>
    </row>
    <row r="9519" spans="10:10" x14ac:dyDescent="0.3">
      <c r="J9519"/>
    </row>
    <row r="9520" spans="10:10" x14ac:dyDescent="0.3">
      <c r="J9520"/>
    </row>
    <row r="9521" spans="10:10" x14ac:dyDescent="0.3">
      <c r="J9521"/>
    </row>
    <row r="9522" spans="10:10" x14ac:dyDescent="0.3">
      <c r="J9522"/>
    </row>
    <row r="9523" spans="10:10" x14ac:dyDescent="0.3">
      <c r="J9523"/>
    </row>
    <row r="9524" spans="10:10" x14ac:dyDescent="0.3">
      <c r="J9524"/>
    </row>
    <row r="9525" spans="10:10" x14ac:dyDescent="0.3">
      <c r="J9525"/>
    </row>
    <row r="9526" spans="10:10" x14ac:dyDescent="0.3">
      <c r="J9526"/>
    </row>
    <row r="9527" spans="10:10" x14ac:dyDescent="0.3">
      <c r="J9527"/>
    </row>
    <row r="9528" spans="10:10" x14ac:dyDescent="0.3">
      <c r="J9528"/>
    </row>
    <row r="9529" spans="10:10" x14ac:dyDescent="0.3">
      <c r="J9529"/>
    </row>
    <row r="9530" spans="10:10" x14ac:dyDescent="0.3">
      <c r="J9530"/>
    </row>
    <row r="9531" spans="10:10" x14ac:dyDescent="0.3">
      <c r="J9531"/>
    </row>
    <row r="9532" spans="10:10" x14ac:dyDescent="0.3">
      <c r="J9532"/>
    </row>
    <row r="9533" spans="10:10" x14ac:dyDescent="0.3">
      <c r="J9533"/>
    </row>
    <row r="9534" spans="10:10" x14ac:dyDescent="0.3">
      <c r="J9534"/>
    </row>
    <row r="9535" spans="10:10" x14ac:dyDescent="0.3">
      <c r="J9535"/>
    </row>
    <row r="9536" spans="10:10" x14ac:dyDescent="0.3">
      <c r="J9536"/>
    </row>
    <row r="9537" spans="10:10" x14ac:dyDescent="0.3">
      <c r="J9537"/>
    </row>
    <row r="9538" spans="10:10" x14ac:dyDescent="0.3">
      <c r="J9538"/>
    </row>
    <row r="9539" spans="10:10" x14ac:dyDescent="0.3">
      <c r="J9539"/>
    </row>
    <row r="9540" spans="10:10" x14ac:dyDescent="0.3">
      <c r="J9540"/>
    </row>
    <row r="9541" spans="10:10" x14ac:dyDescent="0.3">
      <c r="J9541"/>
    </row>
    <row r="9542" spans="10:10" x14ac:dyDescent="0.3">
      <c r="J9542"/>
    </row>
    <row r="9543" spans="10:10" x14ac:dyDescent="0.3">
      <c r="J9543"/>
    </row>
    <row r="9544" spans="10:10" x14ac:dyDescent="0.3">
      <c r="J9544"/>
    </row>
    <row r="9545" spans="10:10" x14ac:dyDescent="0.3">
      <c r="J9545"/>
    </row>
    <row r="9546" spans="10:10" x14ac:dyDescent="0.3">
      <c r="J9546"/>
    </row>
    <row r="9547" spans="10:10" x14ac:dyDescent="0.3">
      <c r="J9547"/>
    </row>
    <row r="9548" spans="10:10" x14ac:dyDescent="0.3">
      <c r="J9548"/>
    </row>
    <row r="9549" spans="10:10" x14ac:dyDescent="0.3">
      <c r="J9549"/>
    </row>
    <row r="9550" spans="10:10" x14ac:dyDescent="0.3">
      <c r="J9550"/>
    </row>
    <row r="9551" spans="10:10" x14ac:dyDescent="0.3">
      <c r="J9551"/>
    </row>
    <row r="9552" spans="10:10" x14ac:dyDescent="0.3">
      <c r="J9552"/>
    </row>
    <row r="9553" spans="10:10" x14ac:dyDescent="0.3">
      <c r="J9553"/>
    </row>
    <row r="9554" spans="10:10" x14ac:dyDescent="0.3">
      <c r="J9554"/>
    </row>
    <row r="9555" spans="10:10" x14ac:dyDescent="0.3">
      <c r="J9555"/>
    </row>
    <row r="9556" spans="10:10" x14ac:dyDescent="0.3">
      <c r="J9556"/>
    </row>
    <row r="9557" spans="10:10" x14ac:dyDescent="0.3">
      <c r="J9557"/>
    </row>
    <row r="9558" spans="10:10" x14ac:dyDescent="0.3">
      <c r="J9558"/>
    </row>
    <row r="9559" spans="10:10" x14ac:dyDescent="0.3">
      <c r="J9559"/>
    </row>
    <row r="9560" spans="10:10" x14ac:dyDescent="0.3">
      <c r="J9560"/>
    </row>
    <row r="9561" spans="10:10" x14ac:dyDescent="0.3">
      <c r="J9561"/>
    </row>
    <row r="9562" spans="10:10" x14ac:dyDescent="0.3">
      <c r="J9562"/>
    </row>
    <row r="9563" spans="10:10" x14ac:dyDescent="0.3">
      <c r="J9563"/>
    </row>
    <row r="9564" spans="10:10" x14ac:dyDescent="0.3">
      <c r="J9564"/>
    </row>
    <row r="9565" spans="10:10" x14ac:dyDescent="0.3">
      <c r="J9565"/>
    </row>
    <row r="9566" spans="10:10" x14ac:dyDescent="0.3">
      <c r="J9566"/>
    </row>
    <row r="9567" spans="10:10" x14ac:dyDescent="0.3">
      <c r="J9567"/>
    </row>
    <row r="9568" spans="10:10" x14ac:dyDescent="0.3">
      <c r="J9568"/>
    </row>
    <row r="9569" spans="10:10" x14ac:dyDescent="0.3">
      <c r="J9569"/>
    </row>
    <row r="9570" spans="10:10" x14ac:dyDescent="0.3">
      <c r="J9570"/>
    </row>
    <row r="9571" spans="10:10" x14ac:dyDescent="0.3">
      <c r="J9571"/>
    </row>
    <row r="9572" spans="10:10" x14ac:dyDescent="0.3">
      <c r="J9572"/>
    </row>
    <row r="9573" spans="10:10" x14ac:dyDescent="0.3">
      <c r="J9573"/>
    </row>
    <row r="9574" spans="10:10" x14ac:dyDescent="0.3">
      <c r="J9574"/>
    </row>
    <row r="9575" spans="10:10" x14ac:dyDescent="0.3">
      <c r="J9575"/>
    </row>
    <row r="9576" spans="10:10" x14ac:dyDescent="0.3">
      <c r="J9576"/>
    </row>
    <row r="9577" spans="10:10" x14ac:dyDescent="0.3">
      <c r="J9577"/>
    </row>
    <row r="9578" spans="10:10" x14ac:dyDescent="0.3">
      <c r="J9578"/>
    </row>
    <row r="9579" spans="10:10" x14ac:dyDescent="0.3">
      <c r="J9579"/>
    </row>
    <row r="9580" spans="10:10" x14ac:dyDescent="0.3">
      <c r="J9580"/>
    </row>
    <row r="9581" spans="10:10" x14ac:dyDescent="0.3">
      <c r="J9581"/>
    </row>
    <row r="9582" spans="10:10" x14ac:dyDescent="0.3">
      <c r="J9582"/>
    </row>
    <row r="9583" spans="10:10" x14ac:dyDescent="0.3">
      <c r="J9583"/>
    </row>
    <row r="9584" spans="10:10" x14ac:dyDescent="0.3">
      <c r="J9584"/>
    </row>
    <row r="9585" spans="10:10" x14ac:dyDescent="0.3">
      <c r="J9585"/>
    </row>
    <row r="9586" spans="10:10" x14ac:dyDescent="0.3">
      <c r="J9586"/>
    </row>
    <row r="9587" spans="10:10" x14ac:dyDescent="0.3">
      <c r="J9587"/>
    </row>
    <row r="9588" spans="10:10" x14ac:dyDescent="0.3">
      <c r="J9588"/>
    </row>
    <row r="9589" spans="10:10" x14ac:dyDescent="0.3">
      <c r="J9589"/>
    </row>
    <row r="9590" spans="10:10" x14ac:dyDescent="0.3">
      <c r="J9590"/>
    </row>
    <row r="9591" spans="10:10" x14ac:dyDescent="0.3">
      <c r="J9591"/>
    </row>
    <row r="9592" spans="10:10" x14ac:dyDescent="0.3">
      <c r="J9592"/>
    </row>
    <row r="9593" spans="10:10" x14ac:dyDescent="0.3">
      <c r="J9593"/>
    </row>
    <row r="9594" spans="10:10" x14ac:dyDescent="0.3">
      <c r="J9594"/>
    </row>
    <row r="9595" spans="10:10" x14ac:dyDescent="0.3">
      <c r="J9595"/>
    </row>
    <row r="9596" spans="10:10" x14ac:dyDescent="0.3">
      <c r="J9596"/>
    </row>
    <row r="9597" spans="10:10" x14ac:dyDescent="0.3">
      <c r="J9597"/>
    </row>
    <row r="9598" spans="10:10" x14ac:dyDescent="0.3">
      <c r="J9598"/>
    </row>
    <row r="9599" spans="10:10" x14ac:dyDescent="0.3">
      <c r="J9599"/>
    </row>
    <row r="9600" spans="10:10" x14ac:dyDescent="0.3">
      <c r="J9600"/>
    </row>
    <row r="9601" spans="10:10" x14ac:dyDescent="0.3">
      <c r="J9601"/>
    </row>
    <row r="9602" spans="10:10" x14ac:dyDescent="0.3">
      <c r="J9602"/>
    </row>
    <row r="9603" spans="10:10" x14ac:dyDescent="0.3">
      <c r="J9603"/>
    </row>
    <row r="9604" spans="10:10" x14ac:dyDescent="0.3">
      <c r="J9604"/>
    </row>
    <row r="9605" spans="10:10" x14ac:dyDescent="0.3">
      <c r="J9605"/>
    </row>
    <row r="9606" spans="10:10" x14ac:dyDescent="0.3">
      <c r="J9606"/>
    </row>
    <row r="9607" spans="10:10" x14ac:dyDescent="0.3">
      <c r="J9607"/>
    </row>
    <row r="9608" spans="10:10" x14ac:dyDescent="0.3">
      <c r="J9608"/>
    </row>
    <row r="9609" spans="10:10" x14ac:dyDescent="0.3">
      <c r="J9609"/>
    </row>
    <row r="9610" spans="10:10" x14ac:dyDescent="0.3">
      <c r="J9610"/>
    </row>
    <row r="9611" spans="10:10" x14ac:dyDescent="0.3">
      <c r="J9611"/>
    </row>
    <row r="9612" spans="10:10" x14ac:dyDescent="0.3">
      <c r="J9612"/>
    </row>
    <row r="9613" spans="10:10" x14ac:dyDescent="0.3">
      <c r="J9613"/>
    </row>
    <row r="9614" spans="10:10" x14ac:dyDescent="0.3">
      <c r="J9614"/>
    </row>
    <row r="9615" spans="10:10" x14ac:dyDescent="0.3">
      <c r="J9615"/>
    </row>
    <row r="9616" spans="10:10" x14ac:dyDescent="0.3">
      <c r="J9616"/>
    </row>
    <row r="9617" spans="10:10" x14ac:dyDescent="0.3">
      <c r="J9617"/>
    </row>
    <row r="9618" spans="10:10" x14ac:dyDescent="0.3">
      <c r="J9618"/>
    </row>
    <row r="9619" spans="10:10" x14ac:dyDescent="0.3">
      <c r="J9619"/>
    </row>
    <row r="9620" spans="10:10" x14ac:dyDescent="0.3">
      <c r="J9620"/>
    </row>
    <row r="9621" spans="10:10" x14ac:dyDescent="0.3">
      <c r="J9621"/>
    </row>
    <row r="9622" spans="10:10" x14ac:dyDescent="0.3">
      <c r="J9622"/>
    </row>
    <row r="9623" spans="10:10" x14ac:dyDescent="0.3">
      <c r="J9623"/>
    </row>
    <row r="9624" spans="10:10" x14ac:dyDescent="0.3">
      <c r="J9624"/>
    </row>
    <row r="9625" spans="10:10" x14ac:dyDescent="0.3">
      <c r="J9625"/>
    </row>
    <row r="9626" spans="10:10" x14ac:dyDescent="0.3">
      <c r="J9626"/>
    </row>
    <row r="9627" spans="10:10" x14ac:dyDescent="0.3">
      <c r="J9627"/>
    </row>
    <row r="9628" spans="10:10" x14ac:dyDescent="0.3">
      <c r="J9628"/>
    </row>
    <row r="9629" spans="10:10" x14ac:dyDescent="0.3">
      <c r="J9629"/>
    </row>
    <row r="9630" spans="10:10" x14ac:dyDescent="0.3">
      <c r="J9630"/>
    </row>
    <row r="9631" spans="10:10" x14ac:dyDescent="0.3">
      <c r="J9631"/>
    </row>
    <row r="9632" spans="10:10" x14ac:dyDescent="0.3">
      <c r="J9632"/>
    </row>
    <row r="9633" spans="10:10" x14ac:dyDescent="0.3">
      <c r="J9633"/>
    </row>
    <row r="9634" spans="10:10" x14ac:dyDescent="0.3">
      <c r="J9634"/>
    </row>
    <row r="9635" spans="10:10" x14ac:dyDescent="0.3">
      <c r="J9635"/>
    </row>
    <row r="9636" spans="10:10" x14ac:dyDescent="0.3">
      <c r="J9636"/>
    </row>
    <row r="9637" spans="10:10" x14ac:dyDescent="0.3">
      <c r="J9637"/>
    </row>
    <row r="9638" spans="10:10" x14ac:dyDescent="0.3">
      <c r="J9638"/>
    </row>
    <row r="9639" spans="10:10" x14ac:dyDescent="0.3">
      <c r="J9639"/>
    </row>
    <row r="9640" spans="10:10" x14ac:dyDescent="0.3">
      <c r="J9640"/>
    </row>
    <row r="9641" spans="10:10" x14ac:dyDescent="0.3">
      <c r="J9641"/>
    </row>
    <row r="9642" spans="10:10" x14ac:dyDescent="0.3">
      <c r="J9642"/>
    </row>
    <row r="9643" spans="10:10" x14ac:dyDescent="0.3">
      <c r="J9643"/>
    </row>
    <row r="9644" spans="10:10" x14ac:dyDescent="0.3">
      <c r="J9644"/>
    </row>
    <row r="9645" spans="10:10" x14ac:dyDescent="0.3">
      <c r="J9645"/>
    </row>
    <row r="9646" spans="10:10" x14ac:dyDescent="0.3">
      <c r="J9646"/>
    </row>
    <row r="9647" spans="10:10" x14ac:dyDescent="0.3">
      <c r="J9647"/>
    </row>
    <row r="9648" spans="10:10" x14ac:dyDescent="0.3">
      <c r="J9648"/>
    </row>
    <row r="9649" spans="10:10" x14ac:dyDescent="0.3">
      <c r="J9649"/>
    </row>
    <row r="9650" spans="10:10" x14ac:dyDescent="0.3">
      <c r="J9650"/>
    </row>
    <row r="9651" spans="10:10" x14ac:dyDescent="0.3">
      <c r="J9651"/>
    </row>
    <row r="9652" spans="10:10" x14ac:dyDescent="0.3">
      <c r="J9652"/>
    </row>
    <row r="9653" spans="10:10" x14ac:dyDescent="0.3">
      <c r="J9653"/>
    </row>
    <row r="9654" spans="10:10" x14ac:dyDescent="0.3">
      <c r="J9654"/>
    </row>
    <row r="9655" spans="10:10" x14ac:dyDescent="0.3">
      <c r="J9655"/>
    </row>
    <row r="9656" spans="10:10" x14ac:dyDescent="0.3">
      <c r="J9656"/>
    </row>
    <row r="9657" spans="10:10" x14ac:dyDescent="0.3">
      <c r="J9657"/>
    </row>
    <row r="9658" spans="10:10" x14ac:dyDescent="0.3">
      <c r="J9658"/>
    </row>
    <row r="9659" spans="10:10" x14ac:dyDescent="0.3">
      <c r="J9659"/>
    </row>
    <row r="9660" spans="10:10" x14ac:dyDescent="0.3">
      <c r="J9660"/>
    </row>
    <row r="9661" spans="10:10" x14ac:dyDescent="0.3">
      <c r="J9661"/>
    </row>
    <row r="9662" spans="10:10" x14ac:dyDescent="0.3">
      <c r="J9662"/>
    </row>
    <row r="9663" spans="10:10" x14ac:dyDescent="0.3">
      <c r="J9663"/>
    </row>
    <row r="9664" spans="10:10" x14ac:dyDescent="0.3">
      <c r="J9664"/>
    </row>
    <row r="9665" spans="10:10" x14ac:dyDescent="0.3">
      <c r="J9665"/>
    </row>
    <row r="9666" spans="10:10" x14ac:dyDescent="0.3">
      <c r="J9666"/>
    </row>
    <row r="9667" spans="10:10" x14ac:dyDescent="0.3">
      <c r="J9667"/>
    </row>
    <row r="9668" spans="10:10" x14ac:dyDescent="0.3">
      <c r="J9668"/>
    </row>
    <row r="9669" spans="10:10" x14ac:dyDescent="0.3">
      <c r="J9669"/>
    </row>
    <row r="9670" spans="10:10" x14ac:dyDescent="0.3">
      <c r="J9670"/>
    </row>
    <row r="9671" spans="10:10" x14ac:dyDescent="0.3">
      <c r="J9671"/>
    </row>
    <row r="9672" spans="10:10" x14ac:dyDescent="0.3">
      <c r="J9672"/>
    </row>
    <row r="9673" spans="10:10" x14ac:dyDescent="0.3">
      <c r="J9673"/>
    </row>
    <row r="9674" spans="10:10" x14ac:dyDescent="0.3">
      <c r="J9674"/>
    </row>
    <row r="9675" spans="10:10" x14ac:dyDescent="0.3">
      <c r="J9675"/>
    </row>
    <row r="9676" spans="10:10" x14ac:dyDescent="0.3">
      <c r="J9676"/>
    </row>
    <row r="9677" spans="10:10" x14ac:dyDescent="0.3">
      <c r="J9677"/>
    </row>
    <row r="9678" spans="10:10" x14ac:dyDescent="0.3">
      <c r="J9678"/>
    </row>
    <row r="9679" spans="10:10" x14ac:dyDescent="0.3">
      <c r="J9679"/>
    </row>
    <row r="9680" spans="10:10" x14ac:dyDescent="0.3">
      <c r="J9680"/>
    </row>
    <row r="9681" spans="10:10" x14ac:dyDescent="0.3">
      <c r="J9681"/>
    </row>
    <row r="9682" spans="10:10" x14ac:dyDescent="0.3">
      <c r="J9682"/>
    </row>
    <row r="9683" spans="10:10" x14ac:dyDescent="0.3">
      <c r="J9683"/>
    </row>
    <row r="9684" spans="10:10" x14ac:dyDescent="0.3">
      <c r="J9684"/>
    </row>
    <row r="9685" spans="10:10" x14ac:dyDescent="0.3">
      <c r="J9685"/>
    </row>
    <row r="9686" spans="10:10" x14ac:dyDescent="0.3">
      <c r="J9686"/>
    </row>
    <row r="9687" spans="10:10" x14ac:dyDescent="0.3">
      <c r="J9687"/>
    </row>
    <row r="9688" spans="10:10" x14ac:dyDescent="0.3">
      <c r="J9688"/>
    </row>
    <row r="9689" spans="10:10" x14ac:dyDescent="0.3">
      <c r="J9689"/>
    </row>
    <row r="9690" spans="10:10" x14ac:dyDescent="0.3">
      <c r="J9690"/>
    </row>
    <row r="9691" spans="10:10" x14ac:dyDescent="0.3">
      <c r="J9691"/>
    </row>
    <row r="9692" spans="10:10" x14ac:dyDescent="0.3">
      <c r="J9692"/>
    </row>
    <row r="9693" spans="10:10" x14ac:dyDescent="0.3">
      <c r="J9693"/>
    </row>
    <row r="9694" spans="10:10" x14ac:dyDescent="0.3">
      <c r="J9694"/>
    </row>
    <row r="9695" spans="10:10" x14ac:dyDescent="0.3">
      <c r="J9695"/>
    </row>
    <row r="9696" spans="10:10" x14ac:dyDescent="0.3">
      <c r="J9696"/>
    </row>
    <row r="9697" spans="10:10" x14ac:dyDescent="0.3">
      <c r="J9697"/>
    </row>
    <row r="9698" spans="10:10" x14ac:dyDescent="0.3">
      <c r="J9698"/>
    </row>
    <row r="9699" spans="10:10" x14ac:dyDescent="0.3">
      <c r="J9699"/>
    </row>
    <row r="9700" spans="10:10" x14ac:dyDescent="0.3">
      <c r="J9700"/>
    </row>
    <row r="9701" spans="10:10" x14ac:dyDescent="0.3">
      <c r="J9701"/>
    </row>
    <row r="9702" spans="10:10" x14ac:dyDescent="0.3">
      <c r="J9702"/>
    </row>
    <row r="9703" spans="10:10" x14ac:dyDescent="0.3">
      <c r="J9703"/>
    </row>
    <row r="9704" spans="10:10" x14ac:dyDescent="0.3">
      <c r="J9704"/>
    </row>
    <row r="9705" spans="10:10" x14ac:dyDescent="0.3">
      <c r="J9705"/>
    </row>
    <row r="9706" spans="10:10" x14ac:dyDescent="0.3">
      <c r="J9706"/>
    </row>
    <row r="9707" spans="10:10" x14ac:dyDescent="0.3">
      <c r="J9707"/>
    </row>
    <row r="9708" spans="10:10" x14ac:dyDescent="0.3">
      <c r="J9708"/>
    </row>
    <row r="9709" spans="10:10" x14ac:dyDescent="0.3">
      <c r="J9709"/>
    </row>
    <row r="9710" spans="10:10" x14ac:dyDescent="0.3">
      <c r="J9710"/>
    </row>
    <row r="9711" spans="10:10" x14ac:dyDescent="0.3">
      <c r="J9711"/>
    </row>
    <row r="9712" spans="10:10" x14ac:dyDescent="0.3">
      <c r="J9712"/>
    </row>
    <row r="9713" spans="10:10" x14ac:dyDescent="0.3">
      <c r="J9713"/>
    </row>
    <row r="9714" spans="10:10" x14ac:dyDescent="0.3">
      <c r="J9714"/>
    </row>
    <row r="9715" spans="10:10" x14ac:dyDescent="0.3">
      <c r="J9715"/>
    </row>
    <row r="9716" spans="10:10" x14ac:dyDescent="0.3">
      <c r="J9716"/>
    </row>
    <row r="9717" spans="10:10" x14ac:dyDescent="0.3">
      <c r="J9717"/>
    </row>
    <row r="9718" spans="10:10" x14ac:dyDescent="0.3">
      <c r="J9718"/>
    </row>
    <row r="9719" spans="10:10" x14ac:dyDescent="0.3">
      <c r="J9719"/>
    </row>
    <row r="9720" spans="10:10" x14ac:dyDescent="0.3">
      <c r="J9720"/>
    </row>
    <row r="9721" spans="10:10" x14ac:dyDescent="0.3">
      <c r="J9721"/>
    </row>
    <row r="9722" spans="10:10" x14ac:dyDescent="0.3">
      <c r="J9722"/>
    </row>
    <row r="9723" spans="10:10" x14ac:dyDescent="0.3">
      <c r="J9723"/>
    </row>
    <row r="9724" spans="10:10" x14ac:dyDescent="0.3">
      <c r="J9724"/>
    </row>
    <row r="9725" spans="10:10" x14ac:dyDescent="0.3">
      <c r="J9725"/>
    </row>
    <row r="9726" spans="10:10" x14ac:dyDescent="0.3">
      <c r="J9726"/>
    </row>
    <row r="9727" spans="10:10" x14ac:dyDescent="0.3">
      <c r="J9727"/>
    </row>
    <row r="9728" spans="10:10" x14ac:dyDescent="0.3">
      <c r="J9728"/>
    </row>
    <row r="9729" spans="10:10" x14ac:dyDescent="0.3">
      <c r="J9729"/>
    </row>
    <row r="9730" spans="10:10" x14ac:dyDescent="0.3">
      <c r="J9730"/>
    </row>
    <row r="9731" spans="10:10" x14ac:dyDescent="0.3">
      <c r="J9731"/>
    </row>
    <row r="9732" spans="10:10" x14ac:dyDescent="0.3">
      <c r="J9732"/>
    </row>
    <row r="9733" spans="10:10" x14ac:dyDescent="0.3">
      <c r="J9733"/>
    </row>
    <row r="9734" spans="10:10" x14ac:dyDescent="0.3">
      <c r="J9734"/>
    </row>
    <row r="9735" spans="10:10" x14ac:dyDescent="0.3">
      <c r="J9735"/>
    </row>
    <row r="9736" spans="10:10" x14ac:dyDescent="0.3">
      <c r="J9736"/>
    </row>
    <row r="9737" spans="10:10" x14ac:dyDescent="0.3">
      <c r="J9737"/>
    </row>
    <row r="9738" spans="10:10" x14ac:dyDescent="0.3">
      <c r="J9738"/>
    </row>
    <row r="9739" spans="10:10" x14ac:dyDescent="0.3">
      <c r="J9739"/>
    </row>
    <row r="9740" spans="10:10" x14ac:dyDescent="0.3">
      <c r="J9740"/>
    </row>
    <row r="9741" spans="10:10" x14ac:dyDescent="0.3">
      <c r="J9741"/>
    </row>
    <row r="9742" spans="10:10" x14ac:dyDescent="0.3">
      <c r="J9742"/>
    </row>
    <row r="9743" spans="10:10" x14ac:dyDescent="0.3">
      <c r="J9743"/>
    </row>
    <row r="9744" spans="10:10" x14ac:dyDescent="0.3">
      <c r="J9744"/>
    </row>
    <row r="9745" spans="10:10" x14ac:dyDescent="0.3">
      <c r="J9745"/>
    </row>
    <row r="9746" spans="10:10" x14ac:dyDescent="0.3">
      <c r="J9746"/>
    </row>
    <row r="9747" spans="10:10" x14ac:dyDescent="0.3">
      <c r="J9747"/>
    </row>
    <row r="9748" spans="10:10" x14ac:dyDescent="0.3">
      <c r="J9748"/>
    </row>
    <row r="9749" spans="10:10" x14ac:dyDescent="0.3">
      <c r="J9749"/>
    </row>
    <row r="9750" spans="10:10" x14ac:dyDescent="0.3">
      <c r="J9750"/>
    </row>
    <row r="9751" spans="10:10" x14ac:dyDescent="0.3">
      <c r="J9751"/>
    </row>
    <row r="9752" spans="10:10" x14ac:dyDescent="0.3">
      <c r="J9752"/>
    </row>
    <row r="9753" spans="10:10" x14ac:dyDescent="0.3">
      <c r="J9753"/>
    </row>
    <row r="9754" spans="10:10" x14ac:dyDescent="0.3">
      <c r="J9754"/>
    </row>
    <row r="9755" spans="10:10" x14ac:dyDescent="0.3">
      <c r="J9755"/>
    </row>
    <row r="9756" spans="10:10" x14ac:dyDescent="0.3">
      <c r="J9756"/>
    </row>
    <row r="9757" spans="10:10" x14ac:dyDescent="0.3">
      <c r="J9757"/>
    </row>
    <row r="9758" spans="10:10" x14ac:dyDescent="0.3">
      <c r="J9758"/>
    </row>
    <row r="9759" spans="10:10" x14ac:dyDescent="0.3">
      <c r="J9759"/>
    </row>
    <row r="9760" spans="10:10" x14ac:dyDescent="0.3">
      <c r="J9760"/>
    </row>
    <row r="9761" spans="10:10" x14ac:dyDescent="0.3">
      <c r="J9761"/>
    </row>
    <row r="9762" spans="10:10" x14ac:dyDescent="0.3">
      <c r="J9762"/>
    </row>
    <row r="9763" spans="10:10" x14ac:dyDescent="0.3">
      <c r="J9763"/>
    </row>
    <row r="9764" spans="10:10" x14ac:dyDescent="0.3">
      <c r="J9764"/>
    </row>
    <row r="9765" spans="10:10" x14ac:dyDescent="0.3">
      <c r="J9765"/>
    </row>
    <row r="9766" spans="10:10" x14ac:dyDescent="0.3">
      <c r="J9766"/>
    </row>
    <row r="9767" spans="10:10" x14ac:dyDescent="0.3">
      <c r="J9767"/>
    </row>
    <row r="9768" spans="10:10" x14ac:dyDescent="0.3">
      <c r="J9768"/>
    </row>
    <row r="9769" spans="10:10" x14ac:dyDescent="0.3">
      <c r="J9769"/>
    </row>
    <row r="9770" spans="10:10" x14ac:dyDescent="0.3">
      <c r="J9770"/>
    </row>
    <row r="9771" spans="10:10" x14ac:dyDescent="0.3">
      <c r="J9771"/>
    </row>
    <row r="9772" spans="10:10" x14ac:dyDescent="0.3">
      <c r="J9772"/>
    </row>
    <row r="9773" spans="10:10" x14ac:dyDescent="0.3">
      <c r="J9773"/>
    </row>
    <row r="9774" spans="10:10" x14ac:dyDescent="0.3">
      <c r="J9774"/>
    </row>
    <row r="9775" spans="10:10" x14ac:dyDescent="0.3">
      <c r="J9775"/>
    </row>
    <row r="9776" spans="10:10" x14ac:dyDescent="0.3">
      <c r="J9776"/>
    </row>
    <row r="9777" spans="10:10" x14ac:dyDescent="0.3">
      <c r="J9777"/>
    </row>
    <row r="9778" spans="10:10" x14ac:dyDescent="0.3">
      <c r="J9778"/>
    </row>
    <row r="9779" spans="10:10" x14ac:dyDescent="0.3">
      <c r="J9779"/>
    </row>
    <row r="9780" spans="10:10" x14ac:dyDescent="0.3">
      <c r="J9780"/>
    </row>
    <row r="9781" spans="10:10" x14ac:dyDescent="0.3">
      <c r="J9781"/>
    </row>
    <row r="9782" spans="10:10" x14ac:dyDescent="0.3">
      <c r="J9782"/>
    </row>
    <row r="9783" spans="10:10" x14ac:dyDescent="0.3">
      <c r="J9783"/>
    </row>
    <row r="9784" spans="10:10" x14ac:dyDescent="0.3">
      <c r="J9784"/>
    </row>
    <row r="9785" spans="10:10" x14ac:dyDescent="0.3">
      <c r="J9785"/>
    </row>
    <row r="9786" spans="10:10" x14ac:dyDescent="0.3">
      <c r="J9786"/>
    </row>
    <row r="9787" spans="10:10" x14ac:dyDescent="0.3">
      <c r="J9787"/>
    </row>
    <row r="9788" spans="10:10" x14ac:dyDescent="0.3">
      <c r="J9788"/>
    </row>
    <row r="9789" spans="10:10" x14ac:dyDescent="0.3">
      <c r="J9789"/>
    </row>
    <row r="9790" spans="10:10" x14ac:dyDescent="0.3">
      <c r="J9790"/>
    </row>
    <row r="9791" spans="10:10" x14ac:dyDescent="0.3">
      <c r="J9791"/>
    </row>
    <row r="9792" spans="10:10" x14ac:dyDescent="0.3">
      <c r="J9792"/>
    </row>
    <row r="9793" spans="10:10" x14ac:dyDescent="0.3">
      <c r="J9793"/>
    </row>
    <row r="9794" spans="10:10" x14ac:dyDescent="0.3">
      <c r="J9794"/>
    </row>
    <row r="9795" spans="10:10" x14ac:dyDescent="0.3">
      <c r="J9795"/>
    </row>
    <row r="9796" spans="10:10" x14ac:dyDescent="0.3">
      <c r="J9796"/>
    </row>
    <row r="9797" spans="10:10" x14ac:dyDescent="0.3">
      <c r="J9797"/>
    </row>
    <row r="9798" spans="10:10" x14ac:dyDescent="0.3">
      <c r="J9798"/>
    </row>
    <row r="9799" spans="10:10" x14ac:dyDescent="0.3">
      <c r="J9799"/>
    </row>
    <row r="9800" spans="10:10" x14ac:dyDescent="0.3">
      <c r="J9800"/>
    </row>
    <row r="9801" spans="10:10" x14ac:dyDescent="0.3">
      <c r="J9801"/>
    </row>
    <row r="9802" spans="10:10" x14ac:dyDescent="0.3">
      <c r="J9802"/>
    </row>
    <row r="9803" spans="10:10" x14ac:dyDescent="0.3">
      <c r="J9803"/>
    </row>
    <row r="9804" spans="10:10" x14ac:dyDescent="0.3">
      <c r="J9804"/>
    </row>
    <row r="9805" spans="10:10" x14ac:dyDescent="0.3">
      <c r="J9805"/>
    </row>
    <row r="9806" spans="10:10" x14ac:dyDescent="0.3">
      <c r="J9806"/>
    </row>
    <row r="9807" spans="10:10" x14ac:dyDescent="0.3">
      <c r="J9807"/>
    </row>
    <row r="9808" spans="10:10" x14ac:dyDescent="0.3">
      <c r="J9808"/>
    </row>
    <row r="9809" spans="10:10" x14ac:dyDescent="0.3">
      <c r="J9809"/>
    </row>
    <row r="9810" spans="10:10" x14ac:dyDescent="0.3">
      <c r="J9810"/>
    </row>
    <row r="9811" spans="10:10" x14ac:dyDescent="0.3">
      <c r="J9811"/>
    </row>
    <row r="9812" spans="10:10" x14ac:dyDescent="0.3">
      <c r="J9812"/>
    </row>
    <row r="9813" spans="10:10" x14ac:dyDescent="0.3">
      <c r="J9813"/>
    </row>
    <row r="9814" spans="10:10" x14ac:dyDescent="0.3">
      <c r="J9814"/>
    </row>
    <row r="9815" spans="10:10" x14ac:dyDescent="0.3">
      <c r="J9815"/>
    </row>
    <row r="9816" spans="10:10" x14ac:dyDescent="0.3">
      <c r="J9816"/>
    </row>
    <row r="9817" spans="10:10" x14ac:dyDescent="0.3">
      <c r="J9817"/>
    </row>
    <row r="9818" spans="10:10" x14ac:dyDescent="0.3">
      <c r="J9818"/>
    </row>
    <row r="9819" spans="10:10" x14ac:dyDescent="0.3">
      <c r="J9819"/>
    </row>
    <row r="9820" spans="10:10" x14ac:dyDescent="0.3">
      <c r="J9820"/>
    </row>
    <row r="9821" spans="10:10" x14ac:dyDescent="0.3">
      <c r="J9821"/>
    </row>
    <row r="9822" spans="10:10" x14ac:dyDescent="0.3">
      <c r="J9822"/>
    </row>
    <row r="9823" spans="10:10" x14ac:dyDescent="0.3">
      <c r="J9823"/>
    </row>
    <row r="9824" spans="10:10" x14ac:dyDescent="0.3">
      <c r="J9824"/>
    </row>
    <row r="9825" spans="10:10" x14ac:dyDescent="0.3">
      <c r="J9825"/>
    </row>
    <row r="9826" spans="10:10" x14ac:dyDescent="0.3">
      <c r="J9826"/>
    </row>
    <row r="9827" spans="10:10" x14ac:dyDescent="0.3">
      <c r="J9827"/>
    </row>
    <row r="9828" spans="10:10" x14ac:dyDescent="0.3">
      <c r="J9828"/>
    </row>
    <row r="9829" spans="10:10" x14ac:dyDescent="0.3">
      <c r="J9829"/>
    </row>
    <row r="9830" spans="10:10" x14ac:dyDescent="0.3">
      <c r="J9830"/>
    </row>
    <row r="9831" spans="10:10" x14ac:dyDescent="0.3">
      <c r="J9831"/>
    </row>
    <row r="9832" spans="10:10" x14ac:dyDescent="0.3">
      <c r="J9832"/>
    </row>
    <row r="9833" spans="10:10" x14ac:dyDescent="0.3">
      <c r="J9833"/>
    </row>
    <row r="9834" spans="10:10" x14ac:dyDescent="0.3">
      <c r="J9834"/>
    </row>
    <row r="9835" spans="10:10" x14ac:dyDescent="0.3">
      <c r="J9835"/>
    </row>
    <row r="9836" spans="10:10" x14ac:dyDescent="0.3">
      <c r="J9836"/>
    </row>
    <row r="9837" spans="10:10" x14ac:dyDescent="0.3">
      <c r="J9837"/>
    </row>
    <row r="9838" spans="10:10" x14ac:dyDescent="0.3">
      <c r="J9838"/>
    </row>
    <row r="9839" spans="10:10" x14ac:dyDescent="0.3">
      <c r="J9839"/>
    </row>
    <row r="9840" spans="10:10" x14ac:dyDescent="0.3">
      <c r="J9840"/>
    </row>
    <row r="9841" spans="10:10" x14ac:dyDescent="0.3">
      <c r="J9841"/>
    </row>
    <row r="9842" spans="10:10" x14ac:dyDescent="0.3">
      <c r="J9842"/>
    </row>
    <row r="9843" spans="10:10" x14ac:dyDescent="0.3">
      <c r="J9843"/>
    </row>
    <row r="9844" spans="10:10" x14ac:dyDescent="0.3">
      <c r="J9844"/>
    </row>
    <row r="9845" spans="10:10" x14ac:dyDescent="0.3">
      <c r="J9845"/>
    </row>
    <row r="9846" spans="10:10" x14ac:dyDescent="0.3">
      <c r="J9846"/>
    </row>
    <row r="9847" spans="10:10" x14ac:dyDescent="0.3">
      <c r="J9847"/>
    </row>
    <row r="9848" spans="10:10" x14ac:dyDescent="0.3">
      <c r="J9848"/>
    </row>
    <row r="9849" spans="10:10" x14ac:dyDescent="0.3">
      <c r="J9849"/>
    </row>
    <row r="9850" spans="10:10" x14ac:dyDescent="0.3">
      <c r="J9850"/>
    </row>
    <row r="9851" spans="10:10" x14ac:dyDescent="0.3">
      <c r="J9851"/>
    </row>
    <row r="9852" spans="10:10" x14ac:dyDescent="0.3">
      <c r="J9852"/>
    </row>
    <row r="9853" spans="10:10" x14ac:dyDescent="0.3">
      <c r="J9853"/>
    </row>
    <row r="9854" spans="10:10" x14ac:dyDescent="0.3">
      <c r="J9854"/>
    </row>
    <row r="9855" spans="10:10" x14ac:dyDescent="0.3">
      <c r="J9855"/>
    </row>
    <row r="9856" spans="10:10" x14ac:dyDescent="0.3">
      <c r="J9856"/>
    </row>
    <row r="9857" spans="10:10" x14ac:dyDescent="0.3">
      <c r="J9857"/>
    </row>
    <row r="9858" spans="10:10" x14ac:dyDescent="0.3">
      <c r="J9858"/>
    </row>
    <row r="9859" spans="10:10" x14ac:dyDescent="0.3">
      <c r="J9859"/>
    </row>
    <row r="9860" spans="10:10" x14ac:dyDescent="0.3">
      <c r="J9860"/>
    </row>
    <row r="9861" spans="10:10" x14ac:dyDescent="0.3">
      <c r="J9861"/>
    </row>
    <row r="9862" spans="10:10" x14ac:dyDescent="0.3">
      <c r="J9862"/>
    </row>
    <row r="9863" spans="10:10" x14ac:dyDescent="0.3">
      <c r="J9863"/>
    </row>
    <row r="9864" spans="10:10" x14ac:dyDescent="0.3">
      <c r="J9864"/>
    </row>
    <row r="9865" spans="10:10" x14ac:dyDescent="0.3">
      <c r="J9865"/>
    </row>
    <row r="9866" spans="10:10" x14ac:dyDescent="0.3">
      <c r="J9866"/>
    </row>
    <row r="9867" spans="10:10" x14ac:dyDescent="0.3">
      <c r="J9867"/>
    </row>
    <row r="9868" spans="10:10" x14ac:dyDescent="0.3">
      <c r="J9868"/>
    </row>
    <row r="9869" spans="10:10" x14ac:dyDescent="0.3">
      <c r="J9869"/>
    </row>
    <row r="9870" spans="10:10" x14ac:dyDescent="0.3">
      <c r="J9870"/>
    </row>
    <row r="9871" spans="10:10" x14ac:dyDescent="0.3">
      <c r="J9871"/>
    </row>
    <row r="9872" spans="10:10" x14ac:dyDescent="0.3">
      <c r="J9872"/>
    </row>
    <row r="9873" spans="10:10" x14ac:dyDescent="0.3">
      <c r="J9873"/>
    </row>
    <row r="9874" spans="10:10" x14ac:dyDescent="0.3">
      <c r="J9874"/>
    </row>
    <row r="9875" spans="10:10" x14ac:dyDescent="0.3">
      <c r="J9875"/>
    </row>
    <row r="9876" spans="10:10" x14ac:dyDescent="0.3">
      <c r="J9876"/>
    </row>
    <row r="9877" spans="10:10" x14ac:dyDescent="0.3">
      <c r="J9877"/>
    </row>
    <row r="9878" spans="10:10" x14ac:dyDescent="0.3">
      <c r="J9878"/>
    </row>
    <row r="9879" spans="10:10" x14ac:dyDescent="0.3">
      <c r="J9879"/>
    </row>
    <row r="9880" spans="10:10" x14ac:dyDescent="0.3">
      <c r="J9880"/>
    </row>
    <row r="9881" spans="10:10" x14ac:dyDescent="0.3">
      <c r="J9881"/>
    </row>
    <row r="9882" spans="10:10" x14ac:dyDescent="0.3">
      <c r="J9882"/>
    </row>
    <row r="9883" spans="10:10" x14ac:dyDescent="0.3">
      <c r="J9883"/>
    </row>
    <row r="9884" spans="10:10" x14ac:dyDescent="0.3">
      <c r="J9884"/>
    </row>
    <row r="9885" spans="10:10" x14ac:dyDescent="0.3">
      <c r="J9885"/>
    </row>
    <row r="9886" spans="10:10" x14ac:dyDescent="0.3">
      <c r="J9886"/>
    </row>
    <row r="9887" spans="10:10" x14ac:dyDescent="0.3">
      <c r="J9887"/>
    </row>
    <row r="9888" spans="10:10" x14ac:dyDescent="0.3">
      <c r="J9888"/>
    </row>
    <row r="9889" spans="10:10" x14ac:dyDescent="0.3">
      <c r="J9889"/>
    </row>
    <row r="9890" spans="10:10" x14ac:dyDescent="0.3">
      <c r="J9890"/>
    </row>
    <row r="9891" spans="10:10" x14ac:dyDescent="0.3">
      <c r="J9891"/>
    </row>
    <row r="9892" spans="10:10" x14ac:dyDescent="0.3">
      <c r="J9892"/>
    </row>
    <row r="9893" spans="10:10" x14ac:dyDescent="0.3">
      <c r="J9893"/>
    </row>
    <row r="9894" spans="10:10" x14ac:dyDescent="0.3">
      <c r="J9894"/>
    </row>
    <row r="9895" spans="10:10" x14ac:dyDescent="0.3">
      <c r="J9895"/>
    </row>
    <row r="9896" spans="10:10" x14ac:dyDescent="0.3">
      <c r="J9896"/>
    </row>
    <row r="9897" spans="10:10" x14ac:dyDescent="0.3">
      <c r="J9897"/>
    </row>
    <row r="9898" spans="10:10" x14ac:dyDescent="0.3">
      <c r="J9898"/>
    </row>
    <row r="9899" spans="10:10" x14ac:dyDescent="0.3">
      <c r="J9899"/>
    </row>
    <row r="9900" spans="10:10" x14ac:dyDescent="0.3">
      <c r="J9900"/>
    </row>
    <row r="9901" spans="10:10" x14ac:dyDescent="0.3">
      <c r="J9901"/>
    </row>
    <row r="9902" spans="10:10" x14ac:dyDescent="0.3">
      <c r="J9902"/>
    </row>
    <row r="9903" spans="10:10" x14ac:dyDescent="0.3">
      <c r="J9903"/>
    </row>
    <row r="9904" spans="10:10" x14ac:dyDescent="0.3">
      <c r="J9904"/>
    </row>
    <row r="9905" spans="10:10" x14ac:dyDescent="0.3">
      <c r="J9905"/>
    </row>
    <row r="9906" spans="10:10" x14ac:dyDescent="0.3">
      <c r="J9906"/>
    </row>
    <row r="9907" spans="10:10" x14ac:dyDescent="0.3">
      <c r="J9907"/>
    </row>
    <row r="9908" spans="10:10" x14ac:dyDescent="0.3">
      <c r="J9908"/>
    </row>
    <row r="9909" spans="10:10" x14ac:dyDescent="0.3">
      <c r="J9909"/>
    </row>
    <row r="9910" spans="10:10" x14ac:dyDescent="0.3">
      <c r="J9910"/>
    </row>
    <row r="9911" spans="10:10" x14ac:dyDescent="0.3">
      <c r="J9911"/>
    </row>
    <row r="9912" spans="10:10" x14ac:dyDescent="0.3">
      <c r="J9912"/>
    </row>
    <row r="9913" spans="10:10" x14ac:dyDescent="0.3">
      <c r="J9913"/>
    </row>
    <row r="9914" spans="10:10" x14ac:dyDescent="0.3">
      <c r="J9914"/>
    </row>
    <row r="9915" spans="10:10" x14ac:dyDescent="0.3">
      <c r="J9915"/>
    </row>
    <row r="9916" spans="10:10" x14ac:dyDescent="0.3">
      <c r="J9916"/>
    </row>
    <row r="9917" spans="10:10" x14ac:dyDescent="0.3">
      <c r="J9917"/>
    </row>
    <row r="9918" spans="10:10" x14ac:dyDescent="0.3">
      <c r="J9918"/>
    </row>
    <row r="9919" spans="10:10" x14ac:dyDescent="0.3">
      <c r="J9919"/>
    </row>
    <row r="9920" spans="10:10" x14ac:dyDescent="0.3">
      <c r="J9920"/>
    </row>
    <row r="9921" spans="10:10" x14ac:dyDescent="0.3">
      <c r="J9921"/>
    </row>
    <row r="9922" spans="10:10" x14ac:dyDescent="0.3">
      <c r="J9922"/>
    </row>
    <row r="9923" spans="10:10" x14ac:dyDescent="0.3">
      <c r="J9923"/>
    </row>
    <row r="9924" spans="10:10" x14ac:dyDescent="0.3">
      <c r="J9924"/>
    </row>
    <row r="9925" spans="10:10" x14ac:dyDescent="0.3">
      <c r="J9925"/>
    </row>
    <row r="9926" spans="10:10" x14ac:dyDescent="0.3">
      <c r="J9926"/>
    </row>
    <row r="9927" spans="10:10" x14ac:dyDescent="0.3">
      <c r="J9927"/>
    </row>
    <row r="9928" spans="10:10" x14ac:dyDescent="0.3">
      <c r="J9928"/>
    </row>
    <row r="9929" spans="10:10" x14ac:dyDescent="0.3">
      <c r="J9929"/>
    </row>
    <row r="9930" spans="10:10" x14ac:dyDescent="0.3">
      <c r="J9930"/>
    </row>
    <row r="9931" spans="10:10" x14ac:dyDescent="0.3">
      <c r="J9931"/>
    </row>
    <row r="9932" spans="10:10" x14ac:dyDescent="0.3">
      <c r="J9932"/>
    </row>
    <row r="9933" spans="10:10" x14ac:dyDescent="0.3">
      <c r="J9933"/>
    </row>
    <row r="9934" spans="10:10" x14ac:dyDescent="0.3">
      <c r="J9934"/>
    </row>
    <row r="9935" spans="10:10" x14ac:dyDescent="0.3">
      <c r="J9935"/>
    </row>
    <row r="9936" spans="10:10" x14ac:dyDescent="0.3">
      <c r="J9936"/>
    </row>
    <row r="9937" spans="10:10" x14ac:dyDescent="0.3">
      <c r="J9937"/>
    </row>
    <row r="9938" spans="10:10" x14ac:dyDescent="0.3">
      <c r="J9938"/>
    </row>
    <row r="9939" spans="10:10" x14ac:dyDescent="0.3">
      <c r="J9939"/>
    </row>
    <row r="9940" spans="10:10" x14ac:dyDescent="0.3">
      <c r="J9940"/>
    </row>
    <row r="9941" spans="10:10" x14ac:dyDescent="0.3">
      <c r="J9941"/>
    </row>
    <row r="9942" spans="10:10" x14ac:dyDescent="0.3">
      <c r="J9942"/>
    </row>
    <row r="9943" spans="10:10" x14ac:dyDescent="0.3">
      <c r="J9943"/>
    </row>
    <row r="9944" spans="10:10" x14ac:dyDescent="0.3">
      <c r="J9944"/>
    </row>
    <row r="9945" spans="10:10" x14ac:dyDescent="0.3">
      <c r="J9945"/>
    </row>
    <row r="9946" spans="10:10" x14ac:dyDescent="0.3">
      <c r="J9946"/>
    </row>
    <row r="9947" spans="10:10" x14ac:dyDescent="0.3">
      <c r="J9947"/>
    </row>
    <row r="9948" spans="10:10" x14ac:dyDescent="0.3">
      <c r="J9948"/>
    </row>
    <row r="9949" spans="10:10" x14ac:dyDescent="0.3">
      <c r="J9949"/>
    </row>
    <row r="9950" spans="10:10" x14ac:dyDescent="0.3">
      <c r="J9950"/>
    </row>
    <row r="9951" spans="10:10" x14ac:dyDescent="0.3">
      <c r="J9951"/>
    </row>
    <row r="9952" spans="10:10" x14ac:dyDescent="0.3">
      <c r="J9952"/>
    </row>
    <row r="9953" spans="10:10" x14ac:dyDescent="0.3">
      <c r="J9953"/>
    </row>
    <row r="9954" spans="10:10" x14ac:dyDescent="0.3">
      <c r="J9954"/>
    </row>
    <row r="9955" spans="10:10" x14ac:dyDescent="0.3">
      <c r="J9955"/>
    </row>
    <row r="9956" spans="10:10" x14ac:dyDescent="0.3">
      <c r="J9956"/>
    </row>
    <row r="9957" spans="10:10" x14ac:dyDescent="0.3">
      <c r="J9957"/>
    </row>
    <row r="9958" spans="10:10" x14ac:dyDescent="0.3">
      <c r="J9958"/>
    </row>
    <row r="9959" spans="10:10" x14ac:dyDescent="0.3">
      <c r="J9959"/>
    </row>
    <row r="9960" spans="10:10" x14ac:dyDescent="0.3">
      <c r="J9960"/>
    </row>
    <row r="9961" spans="10:10" x14ac:dyDescent="0.3">
      <c r="J9961"/>
    </row>
    <row r="9962" spans="10:10" x14ac:dyDescent="0.3">
      <c r="J9962"/>
    </row>
    <row r="9963" spans="10:10" x14ac:dyDescent="0.3">
      <c r="J9963"/>
    </row>
    <row r="9964" spans="10:10" x14ac:dyDescent="0.3">
      <c r="J9964"/>
    </row>
    <row r="9965" spans="10:10" x14ac:dyDescent="0.3">
      <c r="J9965"/>
    </row>
    <row r="9966" spans="10:10" x14ac:dyDescent="0.3">
      <c r="J9966"/>
    </row>
    <row r="9967" spans="10:10" x14ac:dyDescent="0.3">
      <c r="J9967"/>
    </row>
    <row r="9968" spans="10:10" x14ac:dyDescent="0.3">
      <c r="J9968"/>
    </row>
    <row r="9969" spans="10:10" x14ac:dyDescent="0.3">
      <c r="J9969"/>
    </row>
    <row r="9970" spans="10:10" x14ac:dyDescent="0.3">
      <c r="J9970"/>
    </row>
    <row r="9971" spans="10:10" x14ac:dyDescent="0.3">
      <c r="J9971"/>
    </row>
    <row r="9972" spans="10:10" x14ac:dyDescent="0.3">
      <c r="J9972"/>
    </row>
    <row r="9973" spans="10:10" x14ac:dyDescent="0.3">
      <c r="J9973"/>
    </row>
    <row r="9974" spans="10:10" x14ac:dyDescent="0.3">
      <c r="J9974"/>
    </row>
    <row r="9975" spans="10:10" x14ac:dyDescent="0.3">
      <c r="J9975"/>
    </row>
    <row r="9976" spans="10:10" x14ac:dyDescent="0.3">
      <c r="J9976"/>
    </row>
    <row r="9977" spans="10:10" x14ac:dyDescent="0.3">
      <c r="J9977"/>
    </row>
    <row r="9978" spans="10:10" x14ac:dyDescent="0.3">
      <c r="J9978"/>
    </row>
    <row r="9979" spans="10:10" x14ac:dyDescent="0.3">
      <c r="J9979"/>
    </row>
    <row r="9980" spans="10:10" x14ac:dyDescent="0.3">
      <c r="J9980"/>
    </row>
    <row r="9981" spans="10:10" x14ac:dyDescent="0.3">
      <c r="J9981"/>
    </row>
    <row r="9982" spans="10:10" x14ac:dyDescent="0.3">
      <c r="J9982"/>
    </row>
    <row r="9983" spans="10:10" x14ac:dyDescent="0.3">
      <c r="J9983"/>
    </row>
    <row r="9984" spans="10:10" x14ac:dyDescent="0.3">
      <c r="J9984"/>
    </row>
    <row r="9985" spans="10:10" x14ac:dyDescent="0.3">
      <c r="J9985"/>
    </row>
    <row r="9986" spans="10:10" x14ac:dyDescent="0.3">
      <c r="J9986"/>
    </row>
    <row r="9987" spans="10:10" x14ac:dyDescent="0.3">
      <c r="J9987"/>
    </row>
    <row r="9988" spans="10:10" x14ac:dyDescent="0.3">
      <c r="J9988"/>
    </row>
    <row r="9989" spans="10:10" x14ac:dyDescent="0.3">
      <c r="J9989"/>
    </row>
    <row r="9990" spans="10:10" x14ac:dyDescent="0.3">
      <c r="J9990"/>
    </row>
    <row r="9991" spans="10:10" x14ac:dyDescent="0.3">
      <c r="J9991"/>
    </row>
    <row r="9992" spans="10:10" x14ac:dyDescent="0.3">
      <c r="J9992"/>
    </row>
    <row r="9993" spans="10:10" x14ac:dyDescent="0.3">
      <c r="J9993"/>
    </row>
    <row r="9994" spans="10:10" x14ac:dyDescent="0.3">
      <c r="J9994"/>
    </row>
    <row r="9995" spans="10:10" x14ac:dyDescent="0.3">
      <c r="J9995"/>
    </row>
    <row r="9996" spans="10:10" x14ac:dyDescent="0.3">
      <c r="J9996"/>
    </row>
    <row r="9997" spans="10:10" x14ac:dyDescent="0.3">
      <c r="J9997"/>
    </row>
    <row r="9998" spans="10:10" x14ac:dyDescent="0.3">
      <c r="J9998"/>
    </row>
    <row r="9999" spans="10:10" x14ac:dyDescent="0.3">
      <c r="J9999"/>
    </row>
    <row r="10000" spans="10:10" x14ac:dyDescent="0.3">
      <c r="J10000"/>
    </row>
    <row r="10001" spans="10:10" x14ac:dyDescent="0.3">
      <c r="J10001"/>
    </row>
    <row r="10002" spans="10:10" x14ac:dyDescent="0.3">
      <c r="J10002"/>
    </row>
    <row r="10003" spans="10:10" x14ac:dyDescent="0.3">
      <c r="J10003"/>
    </row>
    <row r="10004" spans="10:10" x14ac:dyDescent="0.3">
      <c r="J10004"/>
    </row>
    <row r="10005" spans="10:10" x14ac:dyDescent="0.3">
      <c r="J10005"/>
    </row>
    <row r="10006" spans="10:10" x14ac:dyDescent="0.3">
      <c r="J10006"/>
    </row>
    <row r="10007" spans="10:10" x14ac:dyDescent="0.3">
      <c r="J10007"/>
    </row>
    <row r="10008" spans="10:10" x14ac:dyDescent="0.3">
      <c r="J10008"/>
    </row>
    <row r="10009" spans="10:10" x14ac:dyDescent="0.3">
      <c r="J10009"/>
    </row>
    <row r="10010" spans="10:10" x14ac:dyDescent="0.3">
      <c r="J10010"/>
    </row>
    <row r="10011" spans="10:10" x14ac:dyDescent="0.3">
      <c r="J10011"/>
    </row>
    <row r="10012" spans="10:10" x14ac:dyDescent="0.3">
      <c r="J10012"/>
    </row>
    <row r="10013" spans="10:10" x14ac:dyDescent="0.3">
      <c r="J10013"/>
    </row>
    <row r="10014" spans="10:10" x14ac:dyDescent="0.3">
      <c r="J10014"/>
    </row>
    <row r="10015" spans="10:10" x14ac:dyDescent="0.3">
      <c r="J10015"/>
    </row>
    <row r="10016" spans="10:10" x14ac:dyDescent="0.3">
      <c r="J10016"/>
    </row>
    <row r="10017" spans="10:10" x14ac:dyDescent="0.3">
      <c r="J10017"/>
    </row>
    <row r="10018" spans="10:10" x14ac:dyDescent="0.3">
      <c r="J10018"/>
    </row>
    <row r="10019" spans="10:10" x14ac:dyDescent="0.3">
      <c r="J10019"/>
    </row>
    <row r="10020" spans="10:10" x14ac:dyDescent="0.3">
      <c r="J10020"/>
    </row>
    <row r="10021" spans="10:10" x14ac:dyDescent="0.3">
      <c r="J10021"/>
    </row>
    <row r="10022" spans="10:10" x14ac:dyDescent="0.3">
      <c r="J10022"/>
    </row>
    <row r="10023" spans="10:10" x14ac:dyDescent="0.3">
      <c r="J10023"/>
    </row>
    <row r="10024" spans="10:10" x14ac:dyDescent="0.3">
      <c r="J10024"/>
    </row>
    <row r="10025" spans="10:10" x14ac:dyDescent="0.3">
      <c r="J10025"/>
    </row>
    <row r="10026" spans="10:10" x14ac:dyDescent="0.3">
      <c r="J10026"/>
    </row>
    <row r="10027" spans="10:10" x14ac:dyDescent="0.3">
      <c r="J10027"/>
    </row>
    <row r="10028" spans="10:10" x14ac:dyDescent="0.3">
      <c r="J10028"/>
    </row>
    <row r="10029" spans="10:10" x14ac:dyDescent="0.3">
      <c r="J10029"/>
    </row>
    <row r="10030" spans="10:10" x14ac:dyDescent="0.3">
      <c r="J10030"/>
    </row>
    <row r="10031" spans="10:10" x14ac:dyDescent="0.3">
      <c r="J10031"/>
    </row>
    <row r="10032" spans="10:10" x14ac:dyDescent="0.3">
      <c r="J10032"/>
    </row>
    <row r="10033" spans="10:10" x14ac:dyDescent="0.3">
      <c r="J10033"/>
    </row>
    <row r="10034" spans="10:10" x14ac:dyDescent="0.3">
      <c r="J10034"/>
    </row>
    <row r="10035" spans="10:10" x14ac:dyDescent="0.3">
      <c r="J10035"/>
    </row>
    <row r="10036" spans="10:10" x14ac:dyDescent="0.3">
      <c r="J10036"/>
    </row>
    <row r="10037" spans="10:10" x14ac:dyDescent="0.3">
      <c r="J10037"/>
    </row>
    <row r="10038" spans="10:10" x14ac:dyDescent="0.3">
      <c r="J10038"/>
    </row>
    <row r="10039" spans="10:10" x14ac:dyDescent="0.3">
      <c r="J10039"/>
    </row>
    <row r="10040" spans="10:10" x14ac:dyDescent="0.3">
      <c r="J10040"/>
    </row>
    <row r="10041" spans="10:10" x14ac:dyDescent="0.3">
      <c r="J10041"/>
    </row>
    <row r="10042" spans="10:10" x14ac:dyDescent="0.3">
      <c r="J10042"/>
    </row>
    <row r="10043" spans="10:10" x14ac:dyDescent="0.3">
      <c r="J10043"/>
    </row>
    <row r="10044" spans="10:10" x14ac:dyDescent="0.3">
      <c r="J10044"/>
    </row>
    <row r="10045" spans="10:10" x14ac:dyDescent="0.3">
      <c r="J10045"/>
    </row>
    <row r="10046" spans="10:10" x14ac:dyDescent="0.3">
      <c r="J10046"/>
    </row>
    <row r="10047" spans="10:10" x14ac:dyDescent="0.3">
      <c r="J10047"/>
    </row>
    <row r="10048" spans="10:10" x14ac:dyDescent="0.3">
      <c r="J10048"/>
    </row>
    <row r="10049" spans="10:10" x14ac:dyDescent="0.3">
      <c r="J10049"/>
    </row>
    <row r="10050" spans="10:10" x14ac:dyDescent="0.3">
      <c r="J10050"/>
    </row>
    <row r="10051" spans="10:10" x14ac:dyDescent="0.3">
      <c r="J10051"/>
    </row>
    <row r="10052" spans="10:10" x14ac:dyDescent="0.3">
      <c r="J10052"/>
    </row>
    <row r="10053" spans="10:10" x14ac:dyDescent="0.3">
      <c r="J10053"/>
    </row>
    <row r="10054" spans="10:10" x14ac:dyDescent="0.3">
      <c r="J10054"/>
    </row>
    <row r="10055" spans="10:10" x14ac:dyDescent="0.3">
      <c r="J10055"/>
    </row>
    <row r="10056" spans="10:10" x14ac:dyDescent="0.3">
      <c r="J10056"/>
    </row>
    <row r="10057" spans="10:10" x14ac:dyDescent="0.3">
      <c r="J10057"/>
    </row>
    <row r="10058" spans="10:10" x14ac:dyDescent="0.3">
      <c r="J10058"/>
    </row>
    <row r="10059" spans="10:10" x14ac:dyDescent="0.3">
      <c r="J10059"/>
    </row>
    <row r="10060" spans="10:10" x14ac:dyDescent="0.3">
      <c r="J10060"/>
    </row>
    <row r="10061" spans="10:10" x14ac:dyDescent="0.3">
      <c r="J10061"/>
    </row>
    <row r="10062" spans="10:10" x14ac:dyDescent="0.3">
      <c r="J10062"/>
    </row>
    <row r="10063" spans="10:10" x14ac:dyDescent="0.3">
      <c r="J10063"/>
    </row>
    <row r="10064" spans="10:10" x14ac:dyDescent="0.3">
      <c r="J10064"/>
    </row>
    <row r="10065" spans="10:10" x14ac:dyDescent="0.3">
      <c r="J10065"/>
    </row>
    <row r="10066" spans="10:10" x14ac:dyDescent="0.3">
      <c r="J10066"/>
    </row>
    <row r="10067" spans="10:10" x14ac:dyDescent="0.3">
      <c r="J10067"/>
    </row>
    <row r="10068" spans="10:10" x14ac:dyDescent="0.3">
      <c r="J10068"/>
    </row>
    <row r="10069" spans="10:10" x14ac:dyDescent="0.3">
      <c r="J10069"/>
    </row>
    <row r="10070" spans="10:10" x14ac:dyDescent="0.3">
      <c r="J10070"/>
    </row>
    <row r="10071" spans="10:10" x14ac:dyDescent="0.3">
      <c r="J10071"/>
    </row>
    <row r="10072" spans="10:10" x14ac:dyDescent="0.3">
      <c r="J10072"/>
    </row>
    <row r="10073" spans="10:10" x14ac:dyDescent="0.3">
      <c r="J10073"/>
    </row>
    <row r="10074" spans="10:10" x14ac:dyDescent="0.3">
      <c r="J10074"/>
    </row>
    <row r="10075" spans="10:10" x14ac:dyDescent="0.3">
      <c r="J10075"/>
    </row>
    <row r="10076" spans="10:10" x14ac:dyDescent="0.3">
      <c r="J10076"/>
    </row>
    <row r="10077" spans="10:10" x14ac:dyDescent="0.3">
      <c r="J10077"/>
    </row>
    <row r="10078" spans="10:10" x14ac:dyDescent="0.3">
      <c r="J10078"/>
    </row>
    <row r="10079" spans="10:10" x14ac:dyDescent="0.3">
      <c r="J10079"/>
    </row>
    <row r="10080" spans="10:10" x14ac:dyDescent="0.3">
      <c r="J10080"/>
    </row>
    <row r="10081" spans="10:10" x14ac:dyDescent="0.3">
      <c r="J10081"/>
    </row>
    <row r="10082" spans="10:10" x14ac:dyDescent="0.3">
      <c r="J10082"/>
    </row>
    <row r="10083" spans="10:10" x14ac:dyDescent="0.3">
      <c r="J10083"/>
    </row>
    <row r="10084" spans="10:10" x14ac:dyDescent="0.3">
      <c r="J10084"/>
    </row>
    <row r="10085" spans="10:10" x14ac:dyDescent="0.3">
      <c r="J10085"/>
    </row>
    <row r="10086" spans="10:10" x14ac:dyDescent="0.3">
      <c r="J10086"/>
    </row>
    <row r="10087" spans="10:10" x14ac:dyDescent="0.3">
      <c r="J10087"/>
    </row>
    <row r="10088" spans="10:10" x14ac:dyDescent="0.3">
      <c r="J10088"/>
    </row>
    <row r="10089" spans="10:10" x14ac:dyDescent="0.3">
      <c r="J10089"/>
    </row>
    <row r="10090" spans="10:10" x14ac:dyDescent="0.3">
      <c r="J10090"/>
    </row>
    <row r="10091" spans="10:10" x14ac:dyDescent="0.3">
      <c r="J10091"/>
    </row>
    <row r="10092" spans="10:10" x14ac:dyDescent="0.3">
      <c r="J10092"/>
    </row>
    <row r="10093" spans="10:10" x14ac:dyDescent="0.3">
      <c r="J10093"/>
    </row>
    <row r="10094" spans="10:10" x14ac:dyDescent="0.3">
      <c r="J10094"/>
    </row>
    <row r="10095" spans="10:10" x14ac:dyDescent="0.3">
      <c r="J10095"/>
    </row>
    <row r="10096" spans="10:10" x14ac:dyDescent="0.3">
      <c r="J10096"/>
    </row>
    <row r="10097" spans="10:10" x14ac:dyDescent="0.3">
      <c r="J10097"/>
    </row>
    <row r="10098" spans="10:10" x14ac:dyDescent="0.3">
      <c r="J10098"/>
    </row>
    <row r="10099" spans="10:10" x14ac:dyDescent="0.3">
      <c r="J10099"/>
    </row>
    <row r="10100" spans="10:10" x14ac:dyDescent="0.3">
      <c r="J10100"/>
    </row>
    <row r="10101" spans="10:10" x14ac:dyDescent="0.3">
      <c r="J10101"/>
    </row>
    <row r="10102" spans="10:10" x14ac:dyDescent="0.3">
      <c r="J10102"/>
    </row>
    <row r="10103" spans="10:10" x14ac:dyDescent="0.3">
      <c r="J10103"/>
    </row>
    <row r="10104" spans="10:10" x14ac:dyDescent="0.3">
      <c r="J10104"/>
    </row>
    <row r="10105" spans="10:10" x14ac:dyDescent="0.3">
      <c r="J10105"/>
    </row>
    <row r="10106" spans="10:10" x14ac:dyDescent="0.3">
      <c r="J10106"/>
    </row>
    <row r="10107" spans="10:10" x14ac:dyDescent="0.3">
      <c r="J10107"/>
    </row>
    <row r="10108" spans="10:10" x14ac:dyDescent="0.3">
      <c r="J10108"/>
    </row>
    <row r="10109" spans="10:10" x14ac:dyDescent="0.3">
      <c r="J10109"/>
    </row>
    <row r="10110" spans="10:10" x14ac:dyDescent="0.3">
      <c r="J10110"/>
    </row>
    <row r="10111" spans="10:10" x14ac:dyDescent="0.3">
      <c r="J10111"/>
    </row>
    <row r="10112" spans="10:10" x14ac:dyDescent="0.3">
      <c r="J10112"/>
    </row>
    <row r="10113" spans="10:10" x14ac:dyDescent="0.3">
      <c r="J10113"/>
    </row>
    <row r="10114" spans="10:10" x14ac:dyDescent="0.3">
      <c r="J10114"/>
    </row>
    <row r="10115" spans="10:10" x14ac:dyDescent="0.3">
      <c r="J10115"/>
    </row>
    <row r="10116" spans="10:10" x14ac:dyDescent="0.3">
      <c r="J10116"/>
    </row>
    <row r="10117" spans="10:10" x14ac:dyDescent="0.3">
      <c r="J10117"/>
    </row>
    <row r="10118" spans="10:10" x14ac:dyDescent="0.3">
      <c r="J10118"/>
    </row>
    <row r="10119" spans="10:10" x14ac:dyDescent="0.3">
      <c r="J10119"/>
    </row>
    <row r="10120" spans="10:10" x14ac:dyDescent="0.3">
      <c r="J10120"/>
    </row>
    <row r="10121" spans="10:10" x14ac:dyDescent="0.3">
      <c r="J10121"/>
    </row>
    <row r="10122" spans="10:10" x14ac:dyDescent="0.3">
      <c r="J10122"/>
    </row>
    <row r="10123" spans="10:10" x14ac:dyDescent="0.3">
      <c r="J10123"/>
    </row>
    <row r="10124" spans="10:10" x14ac:dyDescent="0.3">
      <c r="J10124"/>
    </row>
    <row r="10125" spans="10:10" x14ac:dyDescent="0.3">
      <c r="J10125"/>
    </row>
    <row r="10126" spans="10:10" x14ac:dyDescent="0.3">
      <c r="J10126"/>
    </row>
    <row r="10127" spans="10:10" x14ac:dyDescent="0.3">
      <c r="J10127"/>
    </row>
    <row r="10128" spans="10:10" x14ac:dyDescent="0.3">
      <c r="J10128"/>
    </row>
    <row r="10129" spans="10:10" x14ac:dyDescent="0.3">
      <c r="J10129"/>
    </row>
    <row r="10130" spans="10:10" x14ac:dyDescent="0.3">
      <c r="J10130"/>
    </row>
    <row r="10131" spans="10:10" x14ac:dyDescent="0.3">
      <c r="J10131"/>
    </row>
    <row r="10132" spans="10:10" x14ac:dyDescent="0.3">
      <c r="J10132"/>
    </row>
    <row r="10133" spans="10:10" x14ac:dyDescent="0.3">
      <c r="J10133"/>
    </row>
    <row r="10134" spans="10:10" x14ac:dyDescent="0.3">
      <c r="J10134"/>
    </row>
    <row r="10135" spans="10:10" x14ac:dyDescent="0.3">
      <c r="J10135"/>
    </row>
    <row r="10136" spans="10:10" x14ac:dyDescent="0.3">
      <c r="J10136"/>
    </row>
    <row r="10137" spans="10:10" x14ac:dyDescent="0.3">
      <c r="J10137"/>
    </row>
    <row r="10138" spans="10:10" x14ac:dyDescent="0.3">
      <c r="J10138"/>
    </row>
    <row r="10139" spans="10:10" x14ac:dyDescent="0.3">
      <c r="J10139"/>
    </row>
    <row r="10140" spans="10:10" x14ac:dyDescent="0.3">
      <c r="J10140"/>
    </row>
    <row r="10141" spans="10:10" x14ac:dyDescent="0.3">
      <c r="J10141"/>
    </row>
    <row r="10142" spans="10:10" x14ac:dyDescent="0.3">
      <c r="J10142"/>
    </row>
    <row r="10143" spans="10:10" x14ac:dyDescent="0.3">
      <c r="J10143"/>
    </row>
    <row r="10144" spans="10:10" x14ac:dyDescent="0.3">
      <c r="J10144"/>
    </row>
    <row r="10145" spans="10:10" x14ac:dyDescent="0.3">
      <c r="J10145"/>
    </row>
    <row r="10146" spans="10:10" x14ac:dyDescent="0.3">
      <c r="J10146"/>
    </row>
    <row r="10147" spans="10:10" x14ac:dyDescent="0.3">
      <c r="J10147"/>
    </row>
    <row r="10148" spans="10:10" x14ac:dyDescent="0.3">
      <c r="J10148"/>
    </row>
    <row r="10149" spans="10:10" x14ac:dyDescent="0.3">
      <c r="J10149"/>
    </row>
    <row r="10150" spans="10:10" x14ac:dyDescent="0.3">
      <c r="J10150"/>
    </row>
    <row r="10151" spans="10:10" x14ac:dyDescent="0.3">
      <c r="J10151"/>
    </row>
    <row r="10152" spans="10:10" x14ac:dyDescent="0.3">
      <c r="J10152"/>
    </row>
    <row r="10153" spans="10:10" x14ac:dyDescent="0.3">
      <c r="J10153"/>
    </row>
    <row r="10154" spans="10:10" x14ac:dyDescent="0.3">
      <c r="J10154"/>
    </row>
    <row r="10155" spans="10:10" x14ac:dyDescent="0.3">
      <c r="J10155"/>
    </row>
    <row r="10156" spans="10:10" x14ac:dyDescent="0.3">
      <c r="J10156"/>
    </row>
    <row r="10157" spans="10:10" x14ac:dyDescent="0.3">
      <c r="J10157"/>
    </row>
    <row r="10158" spans="10:10" x14ac:dyDescent="0.3">
      <c r="J10158"/>
    </row>
    <row r="10159" spans="10:10" x14ac:dyDescent="0.3">
      <c r="J10159"/>
    </row>
    <row r="10160" spans="10:10" x14ac:dyDescent="0.3">
      <c r="J10160"/>
    </row>
    <row r="10161" spans="10:10" x14ac:dyDescent="0.3">
      <c r="J10161"/>
    </row>
    <row r="10162" spans="10:10" x14ac:dyDescent="0.3">
      <c r="J10162"/>
    </row>
    <row r="10163" spans="10:10" x14ac:dyDescent="0.3">
      <c r="J10163"/>
    </row>
    <row r="10164" spans="10:10" x14ac:dyDescent="0.3">
      <c r="J10164"/>
    </row>
    <row r="10165" spans="10:10" x14ac:dyDescent="0.3">
      <c r="J10165"/>
    </row>
    <row r="10166" spans="10:10" x14ac:dyDescent="0.3">
      <c r="J10166"/>
    </row>
    <row r="10167" spans="10:10" x14ac:dyDescent="0.3">
      <c r="J10167"/>
    </row>
    <row r="10168" spans="10:10" x14ac:dyDescent="0.3">
      <c r="J10168"/>
    </row>
    <row r="10169" spans="10:10" x14ac:dyDescent="0.3">
      <c r="J10169"/>
    </row>
    <row r="10170" spans="10:10" x14ac:dyDescent="0.3">
      <c r="J10170"/>
    </row>
    <row r="10171" spans="10:10" x14ac:dyDescent="0.3">
      <c r="J10171"/>
    </row>
    <row r="10172" spans="10:10" x14ac:dyDescent="0.3">
      <c r="J10172"/>
    </row>
    <row r="10173" spans="10:10" x14ac:dyDescent="0.3">
      <c r="J10173"/>
    </row>
    <row r="10174" spans="10:10" x14ac:dyDescent="0.3">
      <c r="J10174"/>
    </row>
    <row r="10175" spans="10:10" x14ac:dyDescent="0.3">
      <c r="J10175"/>
    </row>
    <row r="10176" spans="10:10" x14ac:dyDescent="0.3">
      <c r="J10176"/>
    </row>
    <row r="10177" spans="10:10" x14ac:dyDescent="0.3">
      <c r="J10177"/>
    </row>
    <row r="10178" spans="10:10" x14ac:dyDescent="0.3">
      <c r="J10178"/>
    </row>
    <row r="10179" spans="10:10" x14ac:dyDescent="0.3">
      <c r="J10179"/>
    </row>
    <row r="10180" spans="10:10" x14ac:dyDescent="0.3">
      <c r="J10180"/>
    </row>
    <row r="10181" spans="10:10" x14ac:dyDescent="0.3">
      <c r="J10181"/>
    </row>
    <row r="10182" spans="10:10" x14ac:dyDescent="0.3">
      <c r="J10182"/>
    </row>
    <row r="10183" spans="10:10" x14ac:dyDescent="0.3">
      <c r="J10183"/>
    </row>
    <row r="10184" spans="10:10" x14ac:dyDescent="0.3">
      <c r="J10184"/>
    </row>
    <row r="10185" spans="10:10" x14ac:dyDescent="0.3">
      <c r="J10185"/>
    </row>
    <row r="10186" spans="10:10" x14ac:dyDescent="0.3">
      <c r="J10186"/>
    </row>
    <row r="10187" spans="10:10" x14ac:dyDescent="0.3">
      <c r="J10187"/>
    </row>
    <row r="10188" spans="10:10" x14ac:dyDescent="0.3">
      <c r="J10188"/>
    </row>
    <row r="10189" spans="10:10" x14ac:dyDescent="0.3">
      <c r="J10189"/>
    </row>
    <row r="10190" spans="10:10" x14ac:dyDescent="0.3">
      <c r="J10190"/>
    </row>
    <row r="10191" spans="10:10" x14ac:dyDescent="0.3">
      <c r="J10191"/>
    </row>
    <row r="10192" spans="10:10" x14ac:dyDescent="0.3">
      <c r="J10192"/>
    </row>
    <row r="10193" spans="10:10" x14ac:dyDescent="0.3">
      <c r="J10193"/>
    </row>
    <row r="10194" spans="10:10" x14ac:dyDescent="0.3">
      <c r="J10194"/>
    </row>
    <row r="10195" spans="10:10" x14ac:dyDescent="0.3">
      <c r="J10195"/>
    </row>
    <row r="10196" spans="10:10" x14ac:dyDescent="0.3">
      <c r="J10196"/>
    </row>
    <row r="10197" spans="10:10" x14ac:dyDescent="0.3">
      <c r="J10197"/>
    </row>
    <row r="10198" spans="10:10" x14ac:dyDescent="0.3">
      <c r="J10198"/>
    </row>
    <row r="10199" spans="10:10" x14ac:dyDescent="0.3">
      <c r="J10199"/>
    </row>
    <row r="10200" spans="10:10" x14ac:dyDescent="0.3">
      <c r="J10200"/>
    </row>
    <row r="10201" spans="10:10" x14ac:dyDescent="0.3">
      <c r="J10201"/>
    </row>
    <row r="10202" spans="10:10" x14ac:dyDescent="0.3">
      <c r="J10202"/>
    </row>
    <row r="10203" spans="10:10" x14ac:dyDescent="0.3">
      <c r="J10203"/>
    </row>
    <row r="10204" spans="10:10" x14ac:dyDescent="0.3">
      <c r="J10204"/>
    </row>
    <row r="10205" spans="10:10" x14ac:dyDescent="0.3">
      <c r="J10205"/>
    </row>
    <row r="10206" spans="10:10" x14ac:dyDescent="0.3">
      <c r="J10206"/>
    </row>
    <row r="10207" spans="10:10" x14ac:dyDescent="0.3">
      <c r="J10207"/>
    </row>
    <row r="10208" spans="10:10" x14ac:dyDescent="0.3">
      <c r="J10208"/>
    </row>
    <row r="10209" spans="10:10" x14ac:dyDescent="0.3">
      <c r="J10209"/>
    </row>
    <row r="10210" spans="10:10" x14ac:dyDescent="0.3">
      <c r="J10210"/>
    </row>
    <row r="10211" spans="10:10" x14ac:dyDescent="0.3">
      <c r="J10211"/>
    </row>
    <row r="10212" spans="10:10" x14ac:dyDescent="0.3">
      <c r="J10212"/>
    </row>
    <row r="10213" spans="10:10" x14ac:dyDescent="0.3">
      <c r="J10213"/>
    </row>
    <row r="10214" spans="10:10" x14ac:dyDescent="0.3">
      <c r="J10214"/>
    </row>
    <row r="10215" spans="10:10" x14ac:dyDescent="0.3">
      <c r="J10215"/>
    </row>
    <row r="10216" spans="10:10" x14ac:dyDescent="0.3">
      <c r="J10216"/>
    </row>
    <row r="10217" spans="10:10" x14ac:dyDescent="0.3">
      <c r="J10217"/>
    </row>
    <row r="10218" spans="10:10" x14ac:dyDescent="0.3">
      <c r="J10218"/>
    </row>
    <row r="10219" spans="10:10" x14ac:dyDescent="0.3">
      <c r="J10219"/>
    </row>
    <row r="10220" spans="10:10" x14ac:dyDescent="0.3">
      <c r="J10220"/>
    </row>
    <row r="10221" spans="10:10" x14ac:dyDescent="0.3">
      <c r="J10221"/>
    </row>
    <row r="10222" spans="10:10" x14ac:dyDescent="0.3">
      <c r="J10222"/>
    </row>
    <row r="10223" spans="10:10" x14ac:dyDescent="0.3">
      <c r="J10223"/>
    </row>
    <row r="10224" spans="10:10" x14ac:dyDescent="0.3">
      <c r="J10224"/>
    </row>
    <row r="10225" spans="10:10" x14ac:dyDescent="0.3">
      <c r="J10225"/>
    </row>
    <row r="10226" spans="10:10" x14ac:dyDescent="0.3">
      <c r="J10226"/>
    </row>
    <row r="10227" spans="10:10" x14ac:dyDescent="0.3">
      <c r="J10227"/>
    </row>
    <row r="10228" spans="10:10" x14ac:dyDescent="0.3">
      <c r="J10228"/>
    </row>
    <row r="10229" spans="10:10" x14ac:dyDescent="0.3">
      <c r="J10229"/>
    </row>
    <row r="10230" spans="10:10" x14ac:dyDescent="0.3">
      <c r="J10230"/>
    </row>
    <row r="10231" spans="10:10" x14ac:dyDescent="0.3">
      <c r="J10231"/>
    </row>
    <row r="10232" spans="10:10" x14ac:dyDescent="0.3">
      <c r="J10232"/>
    </row>
    <row r="10233" spans="10:10" x14ac:dyDescent="0.3">
      <c r="J10233"/>
    </row>
    <row r="10234" spans="10:10" x14ac:dyDescent="0.3">
      <c r="J10234"/>
    </row>
    <row r="10235" spans="10:10" x14ac:dyDescent="0.3">
      <c r="J10235"/>
    </row>
    <row r="10236" spans="10:10" x14ac:dyDescent="0.3">
      <c r="J10236"/>
    </row>
    <row r="10237" spans="10:10" x14ac:dyDescent="0.3">
      <c r="J10237"/>
    </row>
    <row r="10238" spans="10:10" x14ac:dyDescent="0.3">
      <c r="J10238"/>
    </row>
    <row r="10239" spans="10:10" x14ac:dyDescent="0.3">
      <c r="J10239"/>
    </row>
    <row r="10240" spans="10:10" x14ac:dyDescent="0.3">
      <c r="J10240"/>
    </row>
    <row r="10241" spans="10:10" x14ac:dyDescent="0.3">
      <c r="J10241"/>
    </row>
    <row r="10242" spans="10:10" x14ac:dyDescent="0.3">
      <c r="J10242"/>
    </row>
    <row r="10243" spans="10:10" x14ac:dyDescent="0.3">
      <c r="J10243"/>
    </row>
    <row r="10244" spans="10:10" x14ac:dyDescent="0.3">
      <c r="J10244"/>
    </row>
    <row r="10245" spans="10:10" x14ac:dyDescent="0.3">
      <c r="J10245"/>
    </row>
    <row r="10246" spans="10:10" x14ac:dyDescent="0.3">
      <c r="J10246"/>
    </row>
    <row r="10247" spans="10:10" x14ac:dyDescent="0.3">
      <c r="J10247"/>
    </row>
    <row r="10248" spans="10:10" x14ac:dyDescent="0.3">
      <c r="J10248"/>
    </row>
    <row r="10249" spans="10:10" x14ac:dyDescent="0.3">
      <c r="J10249"/>
    </row>
    <row r="10250" spans="10:10" x14ac:dyDescent="0.3">
      <c r="J10250"/>
    </row>
    <row r="10251" spans="10:10" x14ac:dyDescent="0.3">
      <c r="J10251"/>
    </row>
    <row r="10252" spans="10:10" x14ac:dyDescent="0.3">
      <c r="J10252"/>
    </row>
    <row r="10253" spans="10:10" x14ac:dyDescent="0.3">
      <c r="J10253"/>
    </row>
    <row r="10254" spans="10:10" x14ac:dyDescent="0.3">
      <c r="J10254"/>
    </row>
    <row r="10255" spans="10:10" x14ac:dyDescent="0.3">
      <c r="J10255"/>
    </row>
    <row r="10256" spans="10:10" x14ac:dyDescent="0.3">
      <c r="J10256"/>
    </row>
    <row r="10257" spans="10:10" x14ac:dyDescent="0.3">
      <c r="J10257"/>
    </row>
    <row r="10258" spans="10:10" x14ac:dyDescent="0.3">
      <c r="J10258"/>
    </row>
    <row r="10259" spans="10:10" x14ac:dyDescent="0.3">
      <c r="J10259"/>
    </row>
    <row r="10260" spans="10:10" x14ac:dyDescent="0.3">
      <c r="J10260"/>
    </row>
    <row r="10261" spans="10:10" x14ac:dyDescent="0.3">
      <c r="J10261"/>
    </row>
    <row r="10262" spans="10:10" x14ac:dyDescent="0.3">
      <c r="J10262"/>
    </row>
    <row r="10263" spans="10:10" x14ac:dyDescent="0.3">
      <c r="J10263"/>
    </row>
    <row r="10264" spans="10:10" x14ac:dyDescent="0.3">
      <c r="J10264"/>
    </row>
    <row r="10265" spans="10:10" x14ac:dyDescent="0.3">
      <c r="J10265"/>
    </row>
    <row r="10266" spans="10:10" x14ac:dyDescent="0.3">
      <c r="J10266"/>
    </row>
    <row r="10267" spans="10:10" x14ac:dyDescent="0.3">
      <c r="J10267"/>
    </row>
    <row r="10268" spans="10:10" x14ac:dyDescent="0.3">
      <c r="J10268"/>
    </row>
    <row r="10269" spans="10:10" x14ac:dyDescent="0.3">
      <c r="J10269"/>
    </row>
    <row r="10270" spans="10:10" x14ac:dyDescent="0.3">
      <c r="J10270"/>
    </row>
    <row r="10271" spans="10:10" x14ac:dyDescent="0.3">
      <c r="J10271"/>
    </row>
    <row r="10272" spans="10:10" x14ac:dyDescent="0.3">
      <c r="J10272"/>
    </row>
    <row r="10273" spans="10:10" x14ac:dyDescent="0.3">
      <c r="J10273"/>
    </row>
    <row r="10274" spans="10:10" x14ac:dyDescent="0.3">
      <c r="J10274"/>
    </row>
    <row r="10275" spans="10:10" x14ac:dyDescent="0.3">
      <c r="J10275"/>
    </row>
    <row r="10276" spans="10:10" x14ac:dyDescent="0.3">
      <c r="J10276"/>
    </row>
    <row r="10277" spans="10:10" x14ac:dyDescent="0.3">
      <c r="J10277"/>
    </row>
    <row r="10278" spans="10:10" x14ac:dyDescent="0.3">
      <c r="J10278"/>
    </row>
    <row r="10279" spans="10:10" x14ac:dyDescent="0.3">
      <c r="J10279"/>
    </row>
    <row r="10280" spans="10:10" x14ac:dyDescent="0.3">
      <c r="J10280"/>
    </row>
    <row r="10281" spans="10:10" x14ac:dyDescent="0.3">
      <c r="J10281"/>
    </row>
    <row r="10282" spans="10:10" x14ac:dyDescent="0.3">
      <c r="J10282"/>
    </row>
    <row r="10283" spans="10:10" x14ac:dyDescent="0.3">
      <c r="J10283"/>
    </row>
    <row r="10284" spans="10:10" x14ac:dyDescent="0.3">
      <c r="J10284"/>
    </row>
    <row r="10285" spans="10:10" x14ac:dyDescent="0.3">
      <c r="J10285"/>
    </row>
    <row r="10286" spans="10:10" x14ac:dyDescent="0.3">
      <c r="J10286"/>
    </row>
    <row r="10287" spans="10:10" x14ac:dyDescent="0.3">
      <c r="J10287"/>
    </row>
    <row r="10288" spans="10:10" x14ac:dyDescent="0.3">
      <c r="J10288"/>
    </row>
    <row r="10289" spans="10:10" x14ac:dyDescent="0.3">
      <c r="J10289"/>
    </row>
    <row r="10290" spans="10:10" x14ac:dyDescent="0.3">
      <c r="J10290"/>
    </row>
    <row r="10291" spans="10:10" x14ac:dyDescent="0.3">
      <c r="J10291"/>
    </row>
    <row r="10292" spans="10:10" x14ac:dyDescent="0.3">
      <c r="J10292"/>
    </row>
    <row r="10293" spans="10:10" x14ac:dyDescent="0.3">
      <c r="J10293"/>
    </row>
    <row r="10294" spans="10:10" x14ac:dyDescent="0.3">
      <c r="J10294"/>
    </row>
    <row r="10295" spans="10:10" x14ac:dyDescent="0.3">
      <c r="J10295"/>
    </row>
    <row r="10296" spans="10:10" x14ac:dyDescent="0.3">
      <c r="J10296"/>
    </row>
    <row r="10297" spans="10:10" x14ac:dyDescent="0.3">
      <c r="J10297"/>
    </row>
    <row r="10298" spans="10:10" x14ac:dyDescent="0.3">
      <c r="J10298"/>
    </row>
    <row r="10299" spans="10:10" x14ac:dyDescent="0.3">
      <c r="J10299"/>
    </row>
    <row r="10300" spans="10:10" x14ac:dyDescent="0.3">
      <c r="J10300"/>
    </row>
    <row r="10301" spans="10:10" x14ac:dyDescent="0.3">
      <c r="J10301"/>
    </row>
    <row r="10302" spans="10:10" x14ac:dyDescent="0.3">
      <c r="J10302"/>
    </row>
    <row r="10303" spans="10:10" x14ac:dyDescent="0.3">
      <c r="J10303"/>
    </row>
    <row r="10304" spans="10:10" x14ac:dyDescent="0.3">
      <c r="J10304"/>
    </row>
    <row r="10305" spans="10:10" x14ac:dyDescent="0.3">
      <c r="J10305"/>
    </row>
    <row r="10306" spans="10:10" x14ac:dyDescent="0.3">
      <c r="J10306"/>
    </row>
    <row r="10307" spans="10:10" x14ac:dyDescent="0.3">
      <c r="J10307"/>
    </row>
    <row r="10308" spans="10:10" x14ac:dyDescent="0.3">
      <c r="J10308"/>
    </row>
    <row r="10309" spans="10:10" x14ac:dyDescent="0.3">
      <c r="J10309"/>
    </row>
    <row r="10310" spans="10:10" x14ac:dyDescent="0.3">
      <c r="J10310"/>
    </row>
    <row r="10311" spans="10:10" x14ac:dyDescent="0.3">
      <c r="J10311"/>
    </row>
    <row r="10312" spans="10:10" x14ac:dyDescent="0.3">
      <c r="J10312"/>
    </row>
    <row r="10313" spans="10:10" x14ac:dyDescent="0.3">
      <c r="J10313"/>
    </row>
    <row r="10314" spans="10:10" x14ac:dyDescent="0.3">
      <c r="J10314"/>
    </row>
    <row r="10315" spans="10:10" x14ac:dyDescent="0.3">
      <c r="J10315"/>
    </row>
    <row r="10316" spans="10:10" x14ac:dyDescent="0.3">
      <c r="J10316"/>
    </row>
    <row r="10317" spans="10:10" x14ac:dyDescent="0.3">
      <c r="J10317"/>
    </row>
    <row r="10318" spans="10:10" x14ac:dyDescent="0.3">
      <c r="J10318"/>
    </row>
    <row r="10319" spans="10:10" x14ac:dyDescent="0.3">
      <c r="J10319"/>
    </row>
    <row r="10320" spans="10:10" x14ac:dyDescent="0.3">
      <c r="J10320"/>
    </row>
    <row r="10321" spans="10:10" x14ac:dyDescent="0.3">
      <c r="J10321"/>
    </row>
    <row r="10322" spans="10:10" x14ac:dyDescent="0.3">
      <c r="J10322"/>
    </row>
    <row r="10323" spans="10:10" x14ac:dyDescent="0.3">
      <c r="J10323"/>
    </row>
    <row r="10324" spans="10:10" x14ac:dyDescent="0.3">
      <c r="J10324"/>
    </row>
    <row r="10325" spans="10:10" x14ac:dyDescent="0.3">
      <c r="J10325"/>
    </row>
    <row r="10326" spans="10:10" x14ac:dyDescent="0.3">
      <c r="J10326"/>
    </row>
    <row r="10327" spans="10:10" x14ac:dyDescent="0.3">
      <c r="J10327"/>
    </row>
    <row r="10328" spans="10:10" x14ac:dyDescent="0.3">
      <c r="J10328"/>
    </row>
    <row r="10329" spans="10:10" x14ac:dyDescent="0.3">
      <c r="J10329"/>
    </row>
    <row r="10330" spans="10:10" x14ac:dyDescent="0.3">
      <c r="J10330"/>
    </row>
    <row r="10331" spans="10:10" x14ac:dyDescent="0.3">
      <c r="J10331"/>
    </row>
    <row r="10332" spans="10:10" x14ac:dyDescent="0.3">
      <c r="J10332"/>
    </row>
    <row r="10333" spans="10:10" x14ac:dyDescent="0.3">
      <c r="J10333"/>
    </row>
    <row r="10334" spans="10:10" x14ac:dyDescent="0.3">
      <c r="J10334"/>
    </row>
    <row r="10335" spans="10:10" x14ac:dyDescent="0.3">
      <c r="J10335"/>
    </row>
    <row r="10336" spans="10:10" x14ac:dyDescent="0.3">
      <c r="J10336"/>
    </row>
    <row r="10337" spans="10:10" x14ac:dyDescent="0.3">
      <c r="J10337"/>
    </row>
    <row r="10338" spans="10:10" x14ac:dyDescent="0.3">
      <c r="J10338"/>
    </row>
    <row r="10339" spans="10:10" x14ac:dyDescent="0.3">
      <c r="J10339"/>
    </row>
    <row r="10340" spans="10:10" x14ac:dyDescent="0.3">
      <c r="J10340"/>
    </row>
    <row r="10341" spans="10:10" x14ac:dyDescent="0.3">
      <c r="J10341"/>
    </row>
    <row r="10342" spans="10:10" x14ac:dyDescent="0.3">
      <c r="J10342"/>
    </row>
    <row r="10343" spans="10:10" x14ac:dyDescent="0.3">
      <c r="J10343"/>
    </row>
    <row r="10344" spans="10:10" x14ac:dyDescent="0.3">
      <c r="J10344"/>
    </row>
    <row r="10345" spans="10:10" x14ac:dyDescent="0.3">
      <c r="J10345"/>
    </row>
    <row r="10346" spans="10:10" x14ac:dyDescent="0.3">
      <c r="J10346"/>
    </row>
    <row r="10347" spans="10:10" x14ac:dyDescent="0.3">
      <c r="J10347"/>
    </row>
    <row r="10348" spans="10:10" x14ac:dyDescent="0.3">
      <c r="J10348"/>
    </row>
    <row r="10349" spans="10:10" x14ac:dyDescent="0.3">
      <c r="J10349"/>
    </row>
    <row r="10350" spans="10:10" x14ac:dyDescent="0.3">
      <c r="J10350"/>
    </row>
    <row r="10351" spans="10:10" x14ac:dyDescent="0.3">
      <c r="J10351"/>
    </row>
    <row r="10352" spans="10:10" x14ac:dyDescent="0.3">
      <c r="J10352"/>
    </row>
    <row r="10353" spans="10:10" x14ac:dyDescent="0.3">
      <c r="J10353"/>
    </row>
    <row r="10354" spans="10:10" x14ac:dyDescent="0.3">
      <c r="J10354"/>
    </row>
    <row r="10355" spans="10:10" x14ac:dyDescent="0.3">
      <c r="J10355"/>
    </row>
    <row r="10356" spans="10:10" x14ac:dyDescent="0.3">
      <c r="J10356"/>
    </row>
    <row r="10357" spans="10:10" x14ac:dyDescent="0.3">
      <c r="J10357"/>
    </row>
    <row r="10358" spans="10:10" x14ac:dyDescent="0.3">
      <c r="J10358"/>
    </row>
    <row r="10359" spans="10:10" x14ac:dyDescent="0.3">
      <c r="J10359"/>
    </row>
    <row r="10360" spans="10:10" x14ac:dyDescent="0.3">
      <c r="J10360"/>
    </row>
    <row r="10361" spans="10:10" x14ac:dyDescent="0.3">
      <c r="J10361"/>
    </row>
    <row r="10362" spans="10:10" x14ac:dyDescent="0.3">
      <c r="J10362"/>
    </row>
    <row r="10363" spans="10:10" x14ac:dyDescent="0.3">
      <c r="J10363"/>
    </row>
    <row r="10364" spans="10:10" x14ac:dyDescent="0.3">
      <c r="J10364"/>
    </row>
    <row r="10365" spans="10:10" x14ac:dyDescent="0.3">
      <c r="J10365"/>
    </row>
    <row r="10366" spans="10:10" x14ac:dyDescent="0.3">
      <c r="J10366"/>
    </row>
    <row r="10367" spans="10:10" x14ac:dyDescent="0.3">
      <c r="J10367"/>
    </row>
    <row r="10368" spans="10:10" x14ac:dyDescent="0.3">
      <c r="J10368"/>
    </row>
    <row r="10369" spans="10:10" x14ac:dyDescent="0.3">
      <c r="J10369"/>
    </row>
    <row r="10370" spans="10:10" x14ac:dyDescent="0.3">
      <c r="J10370"/>
    </row>
    <row r="10371" spans="10:10" x14ac:dyDescent="0.3">
      <c r="J10371"/>
    </row>
    <row r="10372" spans="10:10" x14ac:dyDescent="0.3">
      <c r="J10372"/>
    </row>
    <row r="10373" spans="10:10" x14ac:dyDescent="0.3">
      <c r="J10373"/>
    </row>
    <row r="10374" spans="10:10" x14ac:dyDescent="0.3">
      <c r="J10374"/>
    </row>
    <row r="10375" spans="10:10" x14ac:dyDescent="0.3">
      <c r="J10375"/>
    </row>
    <row r="10376" spans="10:10" x14ac:dyDescent="0.3">
      <c r="J10376"/>
    </row>
    <row r="10377" spans="10:10" x14ac:dyDescent="0.3">
      <c r="J10377"/>
    </row>
    <row r="10378" spans="10:10" x14ac:dyDescent="0.3">
      <c r="J10378"/>
    </row>
    <row r="10379" spans="10:10" x14ac:dyDescent="0.3">
      <c r="J10379"/>
    </row>
    <row r="10380" spans="10:10" x14ac:dyDescent="0.3">
      <c r="J10380"/>
    </row>
    <row r="10381" spans="10:10" x14ac:dyDescent="0.3">
      <c r="J10381"/>
    </row>
    <row r="10382" spans="10:10" x14ac:dyDescent="0.3">
      <c r="J10382"/>
    </row>
    <row r="10383" spans="10:10" x14ac:dyDescent="0.3">
      <c r="J10383"/>
    </row>
    <row r="10384" spans="10:10" x14ac:dyDescent="0.3">
      <c r="J10384"/>
    </row>
    <row r="10385" spans="10:10" x14ac:dyDescent="0.3">
      <c r="J10385"/>
    </row>
    <row r="10386" spans="10:10" x14ac:dyDescent="0.3">
      <c r="J10386"/>
    </row>
    <row r="10387" spans="10:10" x14ac:dyDescent="0.3">
      <c r="J10387"/>
    </row>
    <row r="10388" spans="10:10" x14ac:dyDescent="0.3">
      <c r="J10388"/>
    </row>
    <row r="10389" spans="10:10" x14ac:dyDescent="0.3">
      <c r="J10389"/>
    </row>
    <row r="10390" spans="10:10" x14ac:dyDescent="0.3">
      <c r="J10390"/>
    </row>
    <row r="10391" spans="10:10" x14ac:dyDescent="0.3">
      <c r="J10391"/>
    </row>
    <row r="10392" spans="10:10" x14ac:dyDescent="0.3">
      <c r="J10392"/>
    </row>
    <row r="10393" spans="10:10" x14ac:dyDescent="0.3">
      <c r="J10393"/>
    </row>
    <row r="10394" spans="10:10" x14ac:dyDescent="0.3">
      <c r="J10394"/>
    </row>
    <row r="10395" spans="10:10" x14ac:dyDescent="0.3">
      <c r="J10395"/>
    </row>
    <row r="10396" spans="10:10" x14ac:dyDescent="0.3">
      <c r="J10396"/>
    </row>
    <row r="10397" spans="10:10" x14ac:dyDescent="0.3">
      <c r="J10397"/>
    </row>
    <row r="10398" spans="10:10" x14ac:dyDescent="0.3">
      <c r="J10398"/>
    </row>
    <row r="10399" spans="10:10" x14ac:dyDescent="0.3">
      <c r="J10399"/>
    </row>
    <row r="10400" spans="10:10" x14ac:dyDescent="0.3">
      <c r="J10400"/>
    </row>
    <row r="10401" spans="10:10" x14ac:dyDescent="0.3">
      <c r="J10401"/>
    </row>
    <row r="10402" spans="10:10" x14ac:dyDescent="0.3">
      <c r="J10402"/>
    </row>
    <row r="10403" spans="10:10" x14ac:dyDescent="0.3">
      <c r="J10403"/>
    </row>
    <row r="10404" spans="10:10" x14ac:dyDescent="0.3">
      <c r="J10404"/>
    </row>
    <row r="10405" spans="10:10" x14ac:dyDescent="0.3">
      <c r="J10405"/>
    </row>
    <row r="10406" spans="10:10" x14ac:dyDescent="0.3">
      <c r="J10406"/>
    </row>
    <row r="10407" spans="10:10" x14ac:dyDescent="0.3">
      <c r="J10407"/>
    </row>
    <row r="10408" spans="10:10" x14ac:dyDescent="0.3">
      <c r="J10408"/>
    </row>
    <row r="10409" spans="10:10" x14ac:dyDescent="0.3">
      <c r="J10409"/>
    </row>
    <row r="10410" spans="10:10" x14ac:dyDescent="0.3">
      <c r="J10410"/>
    </row>
    <row r="10411" spans="10:10" x14ac:dyDescent="0.3">
      <c r="J10411"/>
    </row>
    <row r="10412" spans="10:10" x14ac:dyDescent="0.3">
      <c r="J10412"/>
    </row>
    <row r="10413" spans="10:10" x14ac:dyDescent="0.3">
      <c r="J10413"/>
    </row>
    <row r="10414" spans="10:10" x14ac:dyDescent="0.3">
      <c r="J10414"/>
    </row>
    <row r="10415" spans="10:10" x14ac:dyDescent="0.3">
      <c r="J10415"/>
    </row>
    <row r="10416" spans="10:10" x14ac:dyDescent="0.3">
      <c r="J10416"/>
    </row>
    <row r="10417" spans="10:10" x14ac:dyDescent="0.3">
      <c r="J10417"/>
    </row>
    <row r="10418" spans="10:10" x14ac:dyDescent="0.3">
      <c r="J10418"/>
    </row>
    <row r="10419" spans="10:10" x14ac:dyDescent="0.3">
      <c r="J10419"/>
    </row>
    <row r="10420" spans="10:10" x14ac:dyDescent="0.3">
      <c r="J10420"/>
    </row>
    <row r="10421" spans="10:10" x14ac:dyDescent="0.3">
      <c r="J10421"/>
    </row>
    <row r="10422" spans="10:10" x14ac:dyDescent="0.3">
      <c r="J10422"/>
    </row>
    <row r="10423" spans="10:10" x14ac:dyDescent="0.3">
      <c r="J10423"/>
    </row>
    <row r="10424" spans="10:10" x14ac:dyDescent="0.3">
      <c r="J10424"/>
    </row>
    <row r="10425" spans="10:10" x14ac:dyDescent="0.3">
      <c r="J10425"/>
    </row>
    <row r="10426" spans="10:10" x14ac:dyDescent="0.3">
      <c r="J10426"/>
    </row>
    <row r="10427" spans="10:10" x14ac:dyDescent="0.3">
      <c r="J10427"/>
    </row>
    <row r="10428" spans="10:10" x14ac:dyDescent="0.3">
      <c r="J10428"/>
    </row>
    <row r="10429" spans="10:10" x14ac:dyDescent="0.3">
      <c r="J10429"/>
    </row>
    <row r="10430" spans="10:10" x14ac:dyDescent="0.3">
      <c r="J10430"/>
    </row>
    <row r="10431" spans="10:10" x14ac:dyDescent="0.3">
      <c r="J10431"/>
    </row>
    <row r="10432" spans="10:10" x14ac:dyDescent="0.3">
      <c r="J10432"/>
    </row>
    <row r="10433" spans="10:10" x14ac:dyDescent="0.3">
      <c r="J10433"/>
    </row>
    <row r="10434" spans="10:10" x14ac:dyDescent="0.3">
      <c r="J10434"/>
    </row>
    <row r="10435" spans="10:10" x14ac:dyDescent="0.3">
      <c r="J10435"/>
    </row>
    <row r="10436" spans="10:10" x14ac:dyDescent="0.3">
      <c r="J10436"/>
    </row>
    <row r="10437" spans="10:10" x14ac:dyDescent="0.3">
      <c r="J10437"/>
    </row>
    <row r="10438" spans="10:10" x14ac:dyDescent="0.3">
      <c r="J10438"/>
    </row>
    <row r="10439" spans="10:10" x14ac:dyDescent="0.3">
      <c r="J10439"/>
    </row>
    <row r="10440" spans="10:10" x14ac:dyDescent="0.3">
      <c r="J10440"/>
    </row>
    <row r="10441" spans="10:10" x14ac:dyDescent="0.3">
      <c r="J10441"/>
    </row>
    <row r="10442" spans="10:10" x14ac:dyDescent="0.3">
      <c r="J10442"/>
    </row>
    <row r="10443" spans="10:10" x14ac:dyDescent="0.3">
      <c r="J10443"/>
    </row>
    <row r="10444" spans="10:10" x14ac:dyDescent="0.3">
      <c r="J10444"/>
    </row>
    <row r="10445" spans="10:10" x14ac:dyDescent="0.3">
      <c r="J10445"/>
    </row>
    <row r="10446" spans="10:10" x14ac:dyDescent="0.3">
      <c r="J10446"/>
    </row>
    <row r="10447" spans="10:10" x14ac:dyDescent="0.3">
      <c r="J10447"/>
    </row>
    <row r="10448" spans="10:10" x14ac:dyDescent="0.3">
      <c r="J10448"/>
    </row>
    <row r="10449" spans="10:10" x14ac:dyDescent="0.3">
      <c r="J10449"/>
    </row>
    <row r="10450" spans="10:10" x14ac:dyDescent="0.3">
      <c r="J10450"/>
    </row>
    <row r="10451" spans="10:10" x14ac:dyDescent="0.3">
      <c r="J10451"/>
    </row>
    <row r="10452" spans="10:10" x14ac:dyDescent="0.3">
      <c r="J10452"/>
    </row>
    <row r="10453" spans="10:10" x14ac:dyDescent="0.3">
      <c r="J10453"/>
    </row>
    <row r="10454" spans="10:10" x14ac:dyDescent="0.3">
      <c r="J10454"/>
    </row>
    <row r="10455" spans="10:10" x14ac:dyDescent="0.3">
      <c r="J10455"/>
    </row>
    <row r="10456" spans="10:10" x14ac:dyDescent="0.3">
      <c r="J10456"/>
    </row>
    <row r="10457" spans="10:10" x14ac:dyDescent="0.3">
      <c r="J10457"/>
    </row>
    <row r="10458" spans="10:10" x14ac:dyDescent="0.3">
      <c r="J10458"/>
    </row>
    <row r="10459" spans="10:10" x14ac:dyDescent="0.3">
      <c r="J10459"/>
    </row>
    <row r="10460" spans="10:10" x14ac:dyDescent="0.3">
      <c r="J10460"/>
    </row>
    <row r="10461" spans="10:10" x14ac:dyDescent="0.3">
      <c r="J10461"/>
    </row>
    <row r="10462" spans="10:10" x14ac:dyDescent="0.3">
      <c r="J10462"/>
    </row>
    <row r="10463" spans="10:10" x14ac:dyDescent="0.3">
      <c r="J10463"/>
    </row>
    <row r="10464" spans="10:10" x14ac:dyDescent="0.3">
      <c r="J10464"/>
    </row>
    <row r="10465" spans="10:10" x14ac:dyDescent="0.3">
      <c r="J10465"/>
    </row>
    <row r="10466" spans="10:10" x14ac:dyDescent="0.3">
      <c r="J10466"/>
    </row>
    <row r="10467" spans="10:10" x14ac:dyDescent="0.3">
      <c r="J10467"/>
    </row>
    <row r="10468" spans="10:10" x14ac:dyDescent="0.3">
      <c r="J10468"/>
    </row>
    <row r="10469" spans="10:10" x14ac:dyDescent="0.3">
      <c r="J10469"/>
    </row>
    <row r="10470" spans="10:10" x14ac:dyDescent="0.3">
      <c r="J10470"/>
    </row>
    <row r="10471" spans="10:10" x14ac:dyDescent="0.3">
      <c r="J10471"/>
    </row>
    <row r="10472" spans="10:10" x14ac:dyDescent="0.3">
      <c r="J10472"/>
    </row>
    <row r="10473" spans="10:10" x14ac:dyDescent="0.3">
      <c r="J10473"/>
    </row>
    <row r="10474" spans="10:10" x14ac:dyDescent="0.3">
      <c r="J10474"/>
    </row>
    <row r="10475" spans="10:10" x14ac:dyDescent="0.3">
      <c r="J10475"/>
    </row>
    <row r="10476" spans="10:10" x14ac:dyDescent="0.3">
      <c r="J10476"/>
    </row>
    <row r="10477" spans="10:10" x14ac:dyDescent="0.3">
      <c r="J10477"/>
    </row>
    <row r="10478" spans="10:10" x14ac:dyDescent="0.3">
      <c r="J10478"/>
    </row>
    <row r="10479" spans="10:10" x14ac:dyDescent="0.3">
      <c r="J10479"/>
    </row>
    <row r="10480" spans="10:10" x14ac:dyDescent="0.3">
      <c r="J10480"/>
    </row>
    <row r="10481" spans="10:10" x14ac:dyDescent="0.3">
      <c r="J10481"/>
    </row>
    <row r="10482" spans="10:10" x14ac:dyDescent="0.3">
      <c r="J10482"/>
    </row>
    <row r="10483" spans="10:10" x14ac:dyDescent="0.3">
      <c r="J10483"/>
    </row>
    <row r="10484" spans="10:10" x14ac:dyDescent="0.3">
      <c r="J10484"/>
    </row>
    <row r="10485" spans="10:10" x14ac:dyDescent="0.3">
      <c r="J10485"/>
    </row>
    <row r="10486" spans="10:10" x14ac:dyDescent="0.3">
      <c r="J10486"/>
    </row>
    <row r="10487" spans="10:10" x14ac:dyDescent="0.3">
      <c r="J10487"/>
    </row>
    <row r="10488" spans="10:10" x14ac:dyDescent="0.3">
      <c r="J10488"/>
    </row>
    <row r="10489" spans="10:10" x14ac:dyDescent="0.3">
      <c r="J10489"/>
    </row>
    <row r="10490" spans="10:10" x14ac:dyDescent="0.3">
      <c r="J10490"/>
    </row>
    <row r="10491" spans="10:10" x14ac:dyDescent="0.3">
      <c r="J10491"/>
    </row>
    <row r="10492" spans="10:10" x14ac:dyDescent="0.3">
      <c r="J10492"/>
    </row>
    <row r="10493" spans="10:10" x14ac:dyDescent="0.3">
      <c r="J10493"/>
    </row>
    <row r="10494" spans="10:10" x14ac:dyDescent="0.3">
      <c r="J10494"/>
    </row>
    <row r="10495" spans="10:10" x14ac:dyDescent="0.3">
      <c r="J10495"/>
    </row>
    <row r="10496" spans="10:10" x14ac:dyDescent="0.3">
      <c r="J10496"/>
    </row>
    <row r="10497" spans="10:10" x14ac:dyDescent="0.3">
      <c r="J10497"/>
    </row>
    <row r="10498" spans="10:10" x14ac:dyDescent="0.3">
      <c r="J10498"/>
    </row>
    <row r="10499" spans="10:10" x14ac:dyDescent="0.3">
      <c r="J10499"/>
    </row>
    <row r="10500" spans="10:10" x14ac:dyDescent="0.3">
      <c r="J10500"/>
    </row>
    <row r="10501" spans="10:10" x14ac:dyDescent="0.3">
      <c r="J10501"/>
    </row>
    <row r="10502" spans="10:10" x14ac:dyDescent="0.3">
      <c r="J10502"/>
    </row>
    <row r="10503" spans="10:10" x14ac:dyDescent="0.3">
      <c r="J10503"/>
    </row>
    <row r="10504" spans="10:10" x14ac:dyDescent="0.3">
      <c r="J10504"/>
    </row>
    <row r="10505" spans="10:10" x14ac:dyDescent="0.3">
      <c r="J10505"/>
    </row>
    <row r="10506" spans="10:10" x14ac:dyDescent="0.3">
      <c r="J10506"/>
    </row>
    <row r="10507" spans="10:10" x14ac:dyDescent="0.3">
      <c r="J10507"/>
    </row>
    <row r="10508" spans="10:10" x14ac:dyDescent="0.3">
      <c r="J10508"/>
    </row>
    <row r="10509" spans="10:10" x14ac:dyDescent="0.3">
      <c r="J10509"/>
    </row>
    <row r="10510" spans="10:10" x14ac:dyDescent="0.3">
      <c r="J10510"/>
    </row>
    <row r="10511" spans="10:10" x14ac:dyDescent="0.3">
      <c r="J10511"/>
    </row>
    <row r="10512" spans="10:10" x14ac:dyDescent="0.3">
      <c r="J10512"/>
    </row>
    <row r="10513" spans="10:10" x14ac:dyDescent="0.3">
      <c r="J10513"/>
    </row>
    <row r="10514" spans="10:10" x14ac:dyDescent="0.3">
      <c r="J10514"/>
    </row>
    <row r="10515" spans="10:10" x14ac:dyDescent="0.3">
      <c r="J10515"/>
    </row>
    <row r="10516" spans="10:10" x14ac:dyDescent="0.3">
      <c r="J10516"/>
    </row>
    <row r="10517" spans="10:10" x14ac:dyDescent="0.3">
      <c r="J10517"/>
    </row>
    <row r="10518" spans="10:10" x14ac:dyDescent="0.3">
      <c r="J10518"/>
    </row>
    <row r="10519" spans="10:10" x14ac:dyDescent="0.3">
      <c r="J10519"/>
    </row>
    <row r="10520" spans="10:10" x14ac:dyDescent="0.3">
      <c r="J10520"/>
    </row>
    <row r="10521" spans="10:10" x14ac:dyDescent="0.3">
      <c r="J10521"/>
    </row>
    <row r="10522" spans="10:10" x14ac:dyDescent="0.3">
      <c r="J10522"/>
    </row>
    <row r="10523" spans="10:10" x14ac:dyDescent="0.3">
      <c r="J10523"/>
    </row>
    <row r="10524" spans="10:10" x14ac:dyDescent="0.3">
      <c r="J10524"/>
    </row>
    <row r="10525" spans="10:10" x14ac:dyDescent="0.3">
      <c r="J10525"/>
    </row>
    <row r="10526" spans="10:10" x14ac:dyDescent="0.3">
      <c r="J10526"/>
    </row>
    <row r="10527" spans="10:10" x14ac:dyDescent="0.3">
      <c r="J10527"/>
    </row>
    <row r="10528" spans="10:10" x14ac:dyDescent="0.3">
      <c r="J10528"/>
    </row>
    <row r="10529" spans="10:10" x14ac:dyDescent="0.3">
      <c r="J10529"/>
    </row>
    <row r="10530" spans="10:10" x14ac:dyDescent="0.3">
      <c r="J10530"/>
    </row>
    <row r="10531" spans="10:10" x14ac:dyDescent="0.3">
      <c r="J10531"/>
    </row>
    <row r="10532" spans="10:10" x14ac:dyDescent="0.3">
      <c r="J10532"/>
    </row>
    <row r="10533" spans="10:10" x14ac:dyDescent="0.3">
      <c r="J10533"/>
    </row>
    <row r="10534" spans="10:10" x14ac:dyDescent="0.3">
      <c r="J10534"/>
    </row>
    <row r="10535" spans="10:10" x14ac:dyDescent="0.3">
      <c r="J10535"/>
    </row>
    <row r="10536" spans="10:10" x14ac:dyDescent="0.3">
      <c r="J10536"/>
    </row>
    <row r="10537" spans="10:10" x14ac:dyDescent="0.3">
      <c r="J10537"/>
    </row>
    <row r="10538" spans="10:10" x14ac:dyDescent="0.3">
      <c r="J10538"/>
    </row>
    <row r="10539" spans="10:10" x14ac:dyDescent="0.3">
      <c r="J10539"/>
    </row>
    <row r="10540" spans="10:10" x14ac:dyDescent="0.3">
      <c r="J10540"/>
    </row>
    <row r="10541" spans="10:10" x14ac:dyDescent="0.3">
      <c r="J10541"/>
    </row>
    <row r="10542" spans="10:10" x14ac:dyDescent="0.3">
      <c r="J10542"/>
    </row>
    <row r="10543" spans="10:10" x14ac:dyDescent="0.3">
      <c r="J10543"/>
    </row>
    <row r="10544" spans="10:10" x14ac:dyDescent="0.3">
      <c r="J10544"/>
    </row>
    <row r="10545" spans="10:10" x14ac:dyDescent="0.3">
      <c r="J10545"/>
    </row>
    <row r="10546" spans="10:10" x14ac:dyDescent="0.3">
      <c r="J10546"/>
    </row>
    <row r="10547" spans="10:10" x14ac:dyDescent="0.3">
      <c r="J10547"/>
    </row>
    <row r="10548" spans="10:10" x14ac:dyDescent="0.3">
      <c r="J10548"/>
    </row>
    <row r="10549" spans="10:10" x14ac:dyDescent="0.3">
      <c r="J10549"/>
    </row>
    <row r="10550" spans="10:10" x14ac:dyDescent="0.3">
      <c r="J10550"/>
    </row>
    <row r="10551" spans="10:10" x14ac:dyDescent="0.3">
      <c r="J10551"/>
    </row>
    <row r="10552" spans="10:10" x14ac:dyDescent="0.3">
      <c r="J10552"/>
    </row>
    <row r="10553" spans="10:10" x14ac:dyDescent="0.3">
      <c r="J10553"/>
    </row>
    <row r="10554" spans="10:10" x14ac:dyDescent="0.3">
      <c r="J10554"/>
    </row>
    <row r="10555" spans="10:10" x14ac:dyDescent="0.3">
      <c r="J10555"/>
    </row>
    <row r="10556" spans="10:10" x14ac:dyDescent="0.3">
      <c r="J10556"/>
    </row>
    <row r="10557" spans="10:10" x14ac:dyDescent="0.3">
      <c r="J10557"/>
    </row>
    <row r="10558" spans="10:10" x14ac:dyDescent="0.3">
      <c r="J10558"/>
    </row>
    <row r="10559" spans="10:10" x14ac:dyDescent="0.3">
      <c r="J10559"/>
    </row>
    <row r="10560" spans="10:10" x14ac:dyDescent="0.3">
      <c r="J10560"/>
    </row>
    <row r="10561" spans="10:10" x14ac:dyDescent="0.3">
      <c r="J10561"/>
    </row>
    <row r="10562" spans="10:10" x14ac:dyDescent="0.3">
      <c r="J10562"/>
    </row>
    <row r="10563" spans="10:10" x14ac:dyDescent="0.3">
      <c r="J10563"/>
    </row>
    <row r="10564" spans="10:10" x14ac:dyDescent="0.3">
      <c r="J10564"/>
    </row>
    <row r="10565" spans="10:10" x14ac:dyDescent="0.3">
      <c r="J10565"/>
    </row>
    <row r="10566" spans="10:10" x14ac:dyDescent="0.3">
      <c r="J10566"/>
    </row>
    <row r="10567" spans="10:10" x14ac:dyDescent="0.3">
      <c r="J10567"/>
    </row>
    <row r="10568" spans="10:10" x14ac:dyDescent="0.3">
      <c r="J10568"/>
    </row>
    <row r="10569" spans="10:10" x14ac:dyDescent="0.3">
      <c r="J10569"/>
    </row>
    <row r="10570" spans="10:10" x14ac:dyDescent="0.3">
      <c r="J10570"/>
    </row>
    <row r="10571" spans="10:10" x14ac:dyDescent="0.3">
      <c r="J10571"/>
    </row>
    <row r="10572" spans="10:10" x14ac:dyDescent="0.3">
      <c r="J10572"/>
    </row>
    <row r="10573" spans="10:10" x14ac:dyDescent="0.3">
      <c r="J10573"/>
    </row>
    <row r="10574" spans="10:10" x14ac:dyDescent="0.3">
      <c r="J10574"/>
    </row>
    <row r="10575" spans="10:10" x14ac:dyDescent="0.3">
      <c r="J10575"/>
    </row>
    <row r="10576" spans="10:10" x14ac:dyDescent="0.3">
      <c r="J10576"/>
    </row>
    <row r="10577" spans="10:10" x14ac:dyDescent="0.3">
      <c r="J10577"/>
    </row>
    <row r="10578" spans="10:10" x14ac:dyDescent="0.3">
      <c r="J10578"/>
    </row>
    <row r="10579" spans="10:10" x14ac:dyDescent="0.3">
      <c r="J10579"/>
    </row>
    <row r="10580" spans="10:10" x14ac:dyDescent="0.3">
      <c r="J10580"/>
    </row>
    <row r="10581" spans="10:10" x14ac:dyDescent="0.3">
      <c r="J10581"/>
    </row>
    <row r="10582" spans="10:10" x14ac:dyDescent="0.3">
      <c r="J10582"/>
    </row>
    <row r="10583" spans="10:10" x14ac:dyDescent="0.3">
      <c r="J10583"/>
    </row>
    <row r="10584" spans="10:10" x14ac:dyDescent="0.3">
      <c r="J10584"/>
    </row>
    <row r="10585" spans="10:10" x14ac:dyDescent="0.3">
      <c r="J10585"/>
    </row>
    <row r="10586" spans="10:10" x14ac:dyDescent="0.3">
      <c r="J10586"/>
    </row>
    <row r="10587" spans="10:10" x14ac:dyDescent="0.3">
      <c r="J10587"/>
    </row>
    <row r="10588" spans="10:10" x14ac:dyDescent="0.3">
      <c r="J10588"/>
    </row>
    <row r="10589" spans="10:10" x14ac:dyDescent="0.3">
      <c r="J10589"/>
    </row>
    <row r="10590" spans="10:10" x14ac:dyDescent="0.3">
      <c r="J10590"/>
    </row>
    <row r="10591" spans="10:10" x14ac:dyDescent="0.3">
      <c r="J10591"/>
    </row>
    <row r="10592" spans="10:10" x14ac:dyDescent="0.3">
      <c r="J10592"/>
    </row>
    <row r="10593" spans="10:10" x14ac:dyDescent="0.3">
      <c r="J10593"/>
    </row>
    <row r="10594" spans="10:10" x14ac:dyDescent="0.3">
      <c r="J10594"/>
    </row>
    <row r="10595" spans="10:10" x14ac:dyDescent="0.3">
      <c r="J10595"/>
    </row>
    <row r="10596" spans="10:10" x14ac:dyDescent="0.3">
      <c r="J10596"/>
    </row>
    <row r="10597" spans="10:10" x14ac:dyDescent="0.3">
      <c r="J10597"/>
    </row>
    <row r="10598" spans="10:10" x14ac:dyDescent="0.3">
      <c r="J10598"/>
    </row>
    <row r="10599" spans="10:10" x14ac:dyDescent="0.3">
      <c r="J10599"/>
    </row>
    <row r="10600" spans="10:10" x14ac:dyDescent="0.3">
      <c r="J10600"/>
    </row>
    <row r="10601" spans="10:10" x14ac:dyDescent="0.3">
      <c r="J10601"/>
    </row>
    <row r="10602" spans="10:10" x14ac:dyDescent="0.3">
      <c r="J10602"/>
    </row>
    <row r="10603" spans="10:10" x14ac:dyDescent="0.3">
      <c r="J10603"/>
    </row>
    <row r="10604" spans="10:10" x14ac:dyDescent="0.3">
      <c r="J10604"/>
    </row>
    <row r="10605" spans="10:10" x14ac:dyDescent="0.3">
      <c r="J10605"/>
    </row>
    <row r="10606" spans="10:10" x14ac:dyDescent="0.3">
      <c r="J10606"/>
    </row>
    <row r="10607" spans="10:10" x14ac:dyDescent="0.3">
      <c r="J10607"/>
    </row>
    <row r="10608" spans="10:10" x14ac:dyDescent="0.3">
      <c r="J10608"/>
    </row>
    <row r="10609" spans="10:10" x14ac:dyDescent="0.3">
      <c r="J10609"/>
    </row>
    <row r="10610" spans="10:10" x14ac:dyDescent="0.3">
      <c r="J10610"/>
    </row>
    <row r="10611" spans="10:10" x14ac:dyDescent="0.3">
      <c r="J10611"/>
    </row>
    <row r="10612" spans="10:10" x14ac:dyDescent="0.3">
      <c r="J10612"/>
    </row>
    <row r="10613" spans="10:10" x14ac:dyDescent="0.3">
      <c r="J10613"/>
    </row>
    <row r="10614" spans="10:10" x14ac:dyDescent="0.3">
      <c r="J10614"/>
    </row>
    <row r="10615" spans="10:10" x14ac:dyDescent="0.3">
      <c r="J10615"/>
    </row>
    <row r="10616" spans="10:10" x14ac:dyDescent="0.3">
      <c r="J10616"/>
    </row>
    <row r="10617" spans="10:10" x14ac:dyDescent="0.3">
      <c r="J10617"/>
    </row>
    <row r="10618" spans="10:10" x14ac:dyDescent="0.3">
      <c r="J10618"/>
    </row>
    <row r="10619" spans="10:10" x14ac:dyDescent="0.3">
      <c r="J10619"/>
    </row>
    <row r="10620" spans="10:10" x14ac:dyDescent="0.3">
      <c r="J10620"/>
    </row>
    <row r="10621" spans="10:10" x14ac:dyDescent="0.3">
      <c r="J10621"/>
    </row>
    <row r="10622" spans="10:10" x14ac:dyDescent="0.3">
      <c r="J10622"/>
    </row>
    <row r="10623" spans="10:10" x14ac:dyDescent="0.3">
      <c r="J10623"/>
    </row>
    <row r="10624" spans="10:10" x14ac:dyDescent="0.3">
      <c r="J10624"/>
    </row>
    <row r="10625" spans="10:10" x14ac:dyDescent="0.3">
      <c r="J10625"/>
    </row>
    <row r="10626" spans="10:10" x14ac:dyDescent="0.3">
      <c r="J10626"/>
    </row>
    <row r="10627" spans="10:10" x14ac:dyDescent="0.3">
      <c r="J10627"/>
    </row>
    <row r="10628" spans="10:10" x14ac:dyDescent="0.3">
      <c r="J10628"/>
    </row>
    <row r="10629" spans="10:10" x14ac:dyDescent="0.3">
      <c r="J10629"/>
    </row>
    <row r="10630" spans="10:10" x14ac:dyDescent="0.3">
      <c r="J10630"/>
    </row>
    <row r="10631" spans="10:10" x14ac:dyDescent="0.3">
      <c r="J10631"/>
    </row>
    <row r="10632" spans="10:10" x14ac:dyDescent="0.3">
      <c r="J10632"/>
    </row>
    <row r="10633" spans="10:10" x14ac:dyDescent="0.3">
      <c r="J10633"/>
    </row>
    <row r="10634" spans="10:10" x14ac:dyDescent="0.3">
      <c r="J10634"/>
    </row>
    <row r="10635" spans="10:10" x14ac:dyDescent="0.3">
      <c r="J10635"/>
    </row>
    <row r="10636" spans="10:10" x14ac:dyDescent="0.3">
      <c r="J10636"/>
    </row>
    <row r="10637" spans="10:10" x14ac:dyDescent="0.3">
      <c r="J10637"/>
    </row>
    <row r="10638" spans="10:10" x14ac:dyDescent="0.3">
      <c r="J10638"/>
    </row>
    <row r="10639" spans="10:10" x14ac:dyDescent="0.3">
      <c r="J10639"/>
    </row>
    <row r="10640" spans="10:10" x14ac:dyDescent="0.3">
      <c r="J10640"/>
    </row>
    <row r="10641" spans="10:10" x14ac:dyDescent="0.3">
      <c r="J10641"/>
    </row>
    <row r="10642" spans="10:10" x14ac:dyDescent="0.3">
      <c r="J10642"/>
    </row>
    <row r="10643" spans="10:10" x14ac:dyDescent="0.3">
      <c r="J10643"/>
    </row>
    <row r="10644" spans="10:10" x14ac:dyDescent="0.3">
      <c r="J10644"/>
    </row>
    <row r="10645" spans="10:10" x14ac:dyDescent="0.3">
      <c r="J10645"/>
    </row>
    <row r="10646" spans="10:10" x14ac:dyDescent="0.3">
      <c r="J10646"/>
    </row>
    <row r="10647" spans="10:10" x14ac:dyDescent="0.3">
      <c r="J10647"/>
    </row>
    <row r="10648" spans="10:10" x14ac:dyDescent="0.3">
      <c r="J10648"/>
    </row>
    <row r="10649" spans="10:10" x14ac:dyDescent="0.3">
      <c r="J10649"/>
    </row>
    <row r="10650" spans="10:10" x14ac:dyDescent="0.3">
      <c r="J10650"/>
    </row>
    <row r="10651" spans="10:10" x14ac:dyDescent="0.3">
      <c r="J10651"/>
    </row>
    <row r="10652" spans="10:10" x14ac:dyDescent="0.3">
      <c r="J10652"/>
    </row>
    <row r="10653" spans="10:10" x14ac:dyDescent="0.3">
      <c r="J10653"/>
    </row>
    <row r="10654" spans="10:10" x14ac:dyDescent="0.3">
      <c r="J10654"/>
    </row>
    <row r="10655" spans="10:10" x14ac:dyDescent="0.3">
      <c r="J10655"/>
    </row>
    <row r="10656" spans="10:10" x14ac:dyDescent="0.3">
      <c r="J10656"/>
    </row>
    <row r="10657" spans="10:10" x14ac:dyDescent="0.3">
      <c r="J10657"/>
    </row>
    <row r="10658" spans="10:10" x14ac:dyDescent="0.3">
      <c r="J10658"/>
    </row>
    <row r="10659" spans="10:10" x14ac:dyDescent="0.3">
      <c r="J10659"/>
    </row>
    <row r="10660" spans="10:10" x14ac:dyDescent="0.3">
      <c r="J10660"/>
    </row>
    <row r="10661" spans="10:10" x14ac:dyDescent="0.3">
      <c r="J10661"/>
    </row>
    <row r="10662" spans="10:10" x14ac:dyDescent="0.3">
      <c r="J10662"/>
    </row>
    <row r="10663" spans="10:10" x14ac:dyDescent="0.3">
      <c r="J10663"/>
    </row>
    <row r="10664" spans="10:10" x14ac:dyDescent="0.3">
      <c r="J10664"/>
    </row>
    <row r="10665" spans="10:10" x14ac:dyDescent="0.3">
      <c r="J10665"/>
    </row>
    <row r="10666" spans="10:10" x14ac:dyDescent="0.3">
      <c r="J10666"/>
    </row>
    <row r="10667" spans="10:10" x14ac:dyDescent="0.3">
      <c r="J10667"/>
    </row>
    <row r="10668" spans="10:10" x14ac:dyDescent="0.3">
      <c r="J10668"/>
    </row>
    <row r="10669" spans="10:10" x14ac:dyDescent="0.3">
      <c r="J10669"/>
    </row>
    <row r="10670" spans="10:10" x14ac:dyDescent="0.3">
      <c r="J10670"/>
    </row>
    <row r="10671" spans="10:10" x14ac:dyDescent="0.3">
      <c r="J10671"/>
    </row>
    <row r="10672" spans="10:10" x14ac:dyDescent="0.3">
      <c r="J10672"/>
    </row>
    <row r="10673" spans="10:10" x14ac:dyDescent="0.3">
      <c r="J10673"/>
    </row>
    <row r="10674" spans="10:10" x14ac:dyDescent="0.3">
      <c r="J10674"/>
    </row>
    <row r="10675" spans="10:10" x14ac:dyDescent="0.3">
      <c r="J10675"/>
    </row>
    <row r="10676" spans="10:10" x14ac:dyDescent="0.3">
      <c r="J10676"/>
    </row>
    <row r="10677" spans="10:10" x14ac:dyDescent="0.3">
      <c r="J10677"/>
    </row>
    <row r="10678" spans="10:10" x14ac:dyDescent="0.3">
      <c r="J10678"/>
    </row>
    <row r="10679" spans="10:10" x14ac:dyDescent="0.3">
      <c r="J10679"/>
    </row>
    <row r="10680" spans="10:10" x14ac:dyDescent="0.3">
      <c r="J10680"/>
    </row>
    <row r="10681" spans="10:10" x14ac:dyDescent="0.3">
      <c r="J10681"/>
    </row>
    <row r="10682" spans="10:10" x14ac:dyDescent="0.3">
      <c r="J10682"/>
    </row>
    <row r="10683" spans="10:10" x14ac:dyDescent="0.3">
      <c r="J10683"/>
    </row>
    <row r="10684" spans="10:10" x14ac:dyDescent="0.3">
      <c r="J10684"/>
    </row>
    <row r="10685" spans="10:10" x14ac:dyDescent="0.3">
      <c r="J10685"/>
    </row>
    <row r="10686" spans="10:10" x14ac:dyDescent="0.3">
      <c r="J10686"/>
    </row>
    <row r="10687" spans="10:10" x14ac:dyDescent="0.3">
      <c r="J10687"/>
    </row>
    <row r="10688" spans="10:10" x14ac:dyDescent="0.3">
      <c r="J10688"/>
    </row>
    <row r="10689" spans="10:10" x14ac:dyDescent="0.3">
      <c r="J10689"/>
    </row>
    <row r="10690" spans="10:10" x14ac:dyDescent="0.3">
      <c r="J10690"/>
    </row>
    <row r="10691" spans="10:10" x14ac:dyDescent="0.3">
      <c r="J10691"/>
    </row>
    <row r="10692" spans="10:10" x14ac:dyDescent="0.3">
      <c r="J10692"/>
    </row>
    <row r="10693" spans="10:10" x14ac:dyDescent="0.3">
      <c r="J10693"/>
    </row>
    <row r="10694" spans="10:10" x14ac:dyDescent="0.3">
      <c r="J10694"/>
    </row>
    <row r="10695" spans="10:10" x14ac:dyDescent="0.3">
      <c r="J10695"/>
    </row>
    <row r="10696" spans="10:10" x14ac:dyDescent="0.3">
      <c r="J10696"/>
    </row>
    <row r="10697" spans="10:10" x14ac:dyDescent="0.3">
      <c r="J10697"/>
    </row>
    <row r="10698" spans="10:10" x14ac:dyDescent="0.3">
      <c r="J10698"/>
    </row>
    <row r="10699" spans="10:10" x14ac:dyDescent="0.3">
      <c r="J10699"/>
    </row>
    <row r="10700" spans="10:10" x14ac:dyDescent="0.3">
      <c r="J10700"/>
    </row>
    <row r="10701" spans="10:10" x14ac:dyDescent="0.3">
      <c r="J10701"/>
    </row>
    <row r="10702" spans="10:10" x14ac:dyDescent="0.3">
      <c r="J10702"/>
    </row>
    <row r="10703" spans="10:10" x14ac:dyDescent="0.3">
      <c r="J10703"/>
    </row>
    <row r="10704" spans="10:10" x14ac:dyDescent="0.3">
      <c r="J10704"/>
    </row>
    <row r="10705" spans="10:10" x14ac:dyDescent="0.3">
      <c r="J10705"/>
    </row>
    <row r="10706" spans="10:10" x14ac:dyDescent="0.3">
      <c r="J10706"/>
    </row>
    <row r="10707" spans="10:10" x14ac:dyDescent="0.3">
      <c r="J10707"/>
    </row>
    <row r="10708" spans="10:10" x14ac:dyDescent="0.3">
      <c r="J10708"/>
    </row>
    <row r="10709" spans="10:10" x14ac:dyDescent="0.3">
      <c r="J10709"/>
    </row>
    <row r="10710" spans="10:10" x14ac:dyDescent="0.3">
      <c r="J10710"/>
    </row>
    <row r="10711" spans="10:10" x14ac:dyDescent="0.3">
      <c r="J10711"/>
    </row>
    <row r="10712" spans="10:10" x14ac:dyDescent="0.3">
      <c r="J10712"/>
    </row>
    <row r="10713" spans="10:10" x14ac:dyDescent="0.3">
      <c r="J10713"/>
    </row>
    <row r="10714" spans="10:10" x14ac:dyDescent="0.3">
      <c r="J10714"/>
    </row>
    <row r="10715" spans="10:10" x14ac:dyDescent="0.3">
      <c r="J10715"/>
    </row>
    <row r="10716" spans="10:10" x14ac:dyDescent="0.3">
      <c r="J10716"/>
    </row>
    <row r="10717" spans="10:10" x14ac:dyDescent="0.3">
      <c r="J10717"/>
    </row>
    <row r="10718" spans="10:10" x14ac:dyDescent="0.3">
      <c r="J10718"/>
    </row>
    <row r="10719" spans="10:10" x14ac:dyDescent="0.3">
      <c r="J10719"/>
    </row>
    <row r="10720" spans="10:10" x14ac:dyDescent="0.3">
      <c r="J10720"/>
    </row>
    <row r="10721" spans="10:10" x14ac:dyDescent="0.3">
      <c r="J10721"/>
    </row>
    <row r="10722" spans="10:10" x14ac:dyDescent="0.3">
      <c r="J10722"/>
    </row>
    <row r="10723" spans="10:10" x14ac:dyDescent="0.3">
      <c r="J10723"/>
    </row>
    <row r="10724" spans="10:10" x14ac:dyDescent="0.3">
      <c r="J10724"/>
    </row>
    <row r="10725" spans="10:10" x14ac:dyDescent="0.3">
      <c r="J10725"/>
    </row>
    <row r="10726" spans="10:10" x14ac:dyDescent="0.3">
      <c r="J10726"/>
    </row>
    <row r="10727" spans="10:10" x14ac:dyDescent="0.3">
      <c r="J10727"/>
    </row>
    <row r="10728" spans="10:10" x14ac:dyDescent="0.3">
      <c r="J10728"/>
    </row>
    <row r="10729" spans="10:10" x14ac:dyDescent="0.3">
      <c r="J10729"/>
    </row>
    <row r="10730" spans="10:10" x14ac:dyDescent="0.3">
      <c r="J10730"/>
    </row>
    <row r="10731" spans="10:10" x14ac:dyDescent="0.3">
      <c r="J10731"/>
    </row>
    <row r="10732" spans="10:10" x14ac:dyDescent="0.3">
      <c r="J10732"/>
    </row>
    <row r="10733" spans="10:10" x14ac:dyDescent="0.3">
      <c r="J10733"/>
    </row>
    <row r="10734" spans="10:10" x14ac:dyDescent="0.3">
      <c r="J10734"/>
    </row>
    <row r="10735" spans="10:10" x14ac:dyDescent="0.3">
      <c r="J10735"/>
    </row>
    <row r="10736" spans="10:10" x14ac:dyDescent="0.3">
      <c r="J10736"/>
    </row>
    <row r="10737" spans="10:10" x14ac:dyDescent="0.3">
      <c r="J10737"/>
    </row>
    <row r="10738" spans="10:10" x14ac:dyDescent="0.3">
      <c r="J10738"/>
    </row>
    <row r="10739" spans="10:10" x14ac:dyDescent="0.3">
      <c r="J10739"/>
    </row>
    <row r="10740" spans="10:10" x14ac:dyDescent="0.3">
      <c r="J10740"/>
    </row>
    <row r="10741" spans="10:10" x14ac:dyDescent="0.3">
      <c r="J10741"/>
    </row>
    <row r="10742" spans="10:10" x14ac:dyDescent="0.3">
      <c r="J10742"/>
    </row>
    <row r="10743" spans="10:10" x14ac:dyDescent="0.3">
      <c r="J10743"/>
    </row>
    <row r="10744" spans="10:10" x14ac:dyDescent="0.3">
      <c r="J10744"/>
    </row>
    <row r="10745" spans="10:10" x14ac:dyDescent="0.3">
      <c r="J10745"/>
    </row>
    <row r="10746" spans="10:10" x14ac:dyDescent="0.3">
      <c r="J10746"/>
    </row>
    <row r="10747" spans="10:10" x14ac:dyDescent="0.3">
      <c r="J10747"/>
    </row>
    <row r="10748" spans="10:10" x14ac:dyDescent="0.3">
      <c r="J10748"/>
    </row>
    <row r="10749" spans="10:10" x14ac:dyDescent="0.3">
      <c r="J10749"/>
    </row>
    <row r="10750" spans="10:10" x14ac:dyDescent="0.3">
      <c r="J10750"/>
    </row>
    <row r="10751" spans="10:10" x14ac:dyDescent="0.3">
      <c r="J10751"/>
    </row>
    <row r="10752" spans="10:10" x14ac:dyDescent="0.3">
      <c r="J10752"/>
    </row>
    <row r="10753" spans="10:10" x14ac:dyDescent="0.3">
      <c r="J10753"/>
    </row>
    <row r="10754" spans="10:10" x14ac:dyDescent="0.3">
      <c r="J10754"/>
    </row>
    <row r="10755" spans="10:10" x14ac:dyDescent="0.3">
      <c r="J10755"/>
    </row>
    <row r="10756" spans="10:10" x14ac:dyDescent="0.3">
      <c r="J10756"/>
    </row>
    <row r="10757" spans="10:10" x14ac:dyDescent="0.3">
      <c r="J10757"/>
    </row>
    <row r="10758" spans="10:10" x14ac:dyDescent="0.3">
      <c r="J10758"/>
    </row>
    <row r="10759" spans="10:10" x14ac:dyDescent="0.3">
      <c r="J10759"/>
    </row>
    <row r="10760" spans="10:10" x14ac:dyDescent="0.3">
      <c r="J10760"/>
    </row>
    <row r="10761" spans="10:10" x14ac:dyDescent="0.3">
      <c r="J10761"/>
    </row>
    <row r="10762" spans="10:10" x14ac:dyDescent="0.3">
      <c r="J10762"/>
    </row>
    <row r="10763" spans="10:10" x14ac:dyDescent="0.3">
      <c r="J10763"/>
    </row>
    <row r="10764" spans="10:10" x14ac:dyDescent="0.3">
      <c r="J10764"/>
    </row>
    <row r="10765" spans="10:10" x14ac:dyDescent="0.3">
      <c r="J10765"/>
    </row>
    <row r="10766" spans="10:10" x14ac:dyDescent="0.3">
      <c r="J10766"/>
    </row>
    <row r="10767" spans="10:10" x14ac:dyDescent="0.3">
      <c r="J10767"/>
    </row>
    <row r="10768" spans="10:10" x14ac:dyDescent="0.3">
      <c r="J10768"/>
    </row>
    <row r="10769" spans="10:10" x14ac:dyDescent="0.3">
      <c r="J10769"/>
    </row>
    <row r="10770" spans="10:10" x14ac:dyDescent="0.3">
      <c r="J10770"/>
    </row>
    <row r="10771" spans="10:10" x14ac:dyDescent="0.3">
      <c r="J10771"/>
    </row>
    <row r="10772" spans="10:10" x14ac:dyDescent="0.3">
      <c r="J10772"/>
    </row>
    <row r="10773" spans="10:10" x14ac:dyDescent="0.3">
      <c r="J10773"/>
    </row>
    <row r="10774" spans="10:10" x14ac:dyDescent="0.3">
      <c r="J10774"/>
    </row>
    <row r="10775" spans="10:10" x14ac:dyDescent="0.3">
      <c r="J10775"/>
    </row>
    <row r="10776" spans="10:10" x14ac:dyDescent="0.3">
      <c r="J10776"/>
    </row>
    <row r="10777" spans="10:10" x14ac:dyDescent="0.3">
      <c r="J10777"/>
    </row>
    <row r="10778" spans="10:10" x14ac:dyDescent="0.3">
      <c r="J10778"/>
    </row>
    <row r="10779" spans="10:10" x14ac:dyDescent="0.3">
      <c r="J10779"/>
    </row>
    <row r="10780" spans="10:10" x14ac:dyDescent="0.3">
      <c r="J10780"/>
    </row>
    <row r="10781" spans="10:10" x14ac:dyDescent="0.3">
      <c r="J10781"/>
    </row>
    <row r="10782" spans="10:10" x14ac:dyDescent="0.3">
      <c r="J10782"/>
    </row>
    <row r="10783" spans="10:10" x14ac:dyDescent="0.3">
      <c r="J10783"/>
    </row>
    <row r="10784" spans="10:10" x14ac:dyDescent="0.3">
      <c r="J10784"/>
    </row>
    <row r="10785" spans="10:10" x14ac:dyDescent="0.3">
      <c r="J10785"/>
    </row>
    <row r="10786" spans="10:10" x14ac:dyDescent="0.3">
      <c r="J10786"/>
    </row>
    <row r="10787" spans="10:10" x14ac:dyDescent="0.3">
      <c r="J10787"/>
    </row>
    <row r="10788" spans="10:10" x14ac:dyDescent="0.3">
      <c r="J10788"/>
    </row>
    <row r="10789" spans="10:10" x14ac:dyDescent="0.3">
      <c r="J10789"/>
    </row>
    <row r="10790" spans="10:10" x14ac:dyDescent="0.3">
      <c r="J10790"/>
    </row>
    <row r="10791" spans="10:10" x14ac:dyDescent="0.3">
      <c r="J10791"/>
    </row>
    <row r="10792" spans="10:10" x14ac:dyDescent="0.3">
      <c r="J10792"/>
    </row>
    <row r="10793" spans="10:10" x14ac:dyDescent="0.3">
      <c r="J10793"/>
    </row>
    <row r="10794" spans="10:10" x14ac:dyDescent="0.3">
      <c r="J10794"/>
    </row>
    <row r="10795" spans="10:10" x14ac:dyDescent="0.3">
      <c r="J10795"/>
    </row>
    <row r="10796" spans="10:10" x14ac:dyDescent="0.3">
      <c r="J10796"/>
    </row>
    <row r="10797" spans="10:10" x14ac:dyDescent="0.3">
      <c r="J10797"/>
    </row>
    <row r="10798" spans="10:10" x14ac:dyDescent="0.3">
      <c r="J10798"/>
    </row>
    <row r="10799" spans="10:10" x14ac:dyDescent="0.3">
      <c r="J10799"/>
    </row>
    <row r="10800" spans="10:10" x14ac:dyDescent="0.3">
      <c r="J10800"/>
    </row>
    <row r="10801" spans="10:10" x14ac:dyDescent="0.3">
      <c r="J10801"/>
    </row>
    <row r="10802" spans="10:10" x14ac:dyDescent="0.3">
      <c r="J10802"/>
    </row>
    <row r="10803" spans="10:10" x14ac:dyDescent="0.3">
      <c r="J10803"/>
    </row>
    <row r="10804" spans="10:10" x14ac:dyDescent="0.3">
      <c r="J10804"/>
    </row>
    <row r="10805" spans="10:10" x14ac:dyDescent="0.3">
      <c r="J10805"/>
    </row>
    <row r="10806" spans="10:10" x14ac:dyDescent="0.3">
      <c r="J10806"/>
    </row>
    <row r="10807" spans="10:10" x14ac:dyDescent="0.3">
      <c r="J10807"/>
    </row>
    <row r="10808" spans="10:10" x14ac:dyDescent="0.3">
      <c r="J10808"/>
    </row>
    <row r="10809" spans="10:10" x14ac:dyDescent="0.3">
      <c r="J10809"/>
    </row>
    <row r="10810" spans="10:10" x14ac:dyDescent="0.3">
      <c r="J10810"/>
    </row>
    <row r="10811" spans="10:10" x14ac:dyDescent="0.3">
      <c r="J10811"/>
    </row>
    <row r="10812" spans="10:10" x14ac:dyDescent="0.3">
      <c r="J10812"/>
    </row>
    <row r="10813" spans="10:10" x14ac:dyDescent="0.3">
      <c r="J10813"/>
    </row>
    <row r="10814" spans="10:10" x14ac:dyDescent="0.3">
      <c r="J10814"/>
    </row>
    <row r="10815" spans="10:10" x14ac:dyDescent="0.3">
      <c r="J10815"/>
    </row>
    <row r="10816" spans="10:10" x14ac:dyDescent="0.3">
      <c r="J10816"/>
    </row>
    <row r="10817" spans="10:10" x14ac:dyDescent="0.3">
      <c r="J10817"/>
    </row>
    <row r="10818" spans="10:10" x14ac:dyDescent="0.3">
      <c r="J10818"/>
    </row>
    <row r="10819" spans="10:10" x14ac:dyDescent="0.3">
      <c r="J10819"/>
    </row>
    <row r="10820" spans="10:10" x14ac:dyDescent="0.3">
      <c r="J10820"/>
    </row>
    <row r="10821" spans="10:10" x14ac:dyDescent="0.3">
      <c r="J10821"/>
    </row>
    <row r="10822" spans="10:10" x14ac:dyDescent="0.3">
      <c r="J10822"/>
    </row>
    <row r="10823" spans="10:10" x14ac:dyDescent="0.3">
      <c r="J10823"/>
    </row>
    <row r="10824" spans="10:10" x14ac:dyDescent="0.3">
      <c r="J10824"/>
    </row>
    <row r="10825" spans="10:10" x14ac:dyDescent="0.3">
      <c r="J10825"/>
    </row>
    <row r="10826" spans="10:10" x14ac:dyDescent="0.3">
      <c r="J10826"/>
    </row>
    <row r="10827" spans="10:10" x14ac:dyDescent="0.3">
      <c r="J10827"/>
    </row>
    <row r="10828" spans="10:10" x14ac:dyDescent="0.3">
      <c r="J10828"/>
    </row>
    <row r="10829" spans="10:10" x14ac:dyDescent="0.3">
      <c r="J10829"/>
    </row>
    <row r="10830" spans="10:10" x14ac:dyDescent="0.3">
      <c r="J10830"/>
    </row>
    <row r="10831" spans="10:10" x14ac:dyDescent="0.3">
      <c r="J10831"/>
    </row>
    <row r="10832" spans="10:10" x14ac:dyDescent="0.3">
      <c r="J10832"/>
    </row>
    <row r="10833" spans="10:10" x14ac:dyDescent="0.3">
      <c r="J10833"/>
    </row>
    <row r="10834" spans="10:10" x14ac:dyDescent="0.3">
      <c r="J10834"/>
    </row>
    <row r="10835" spans="10:10" x14ac:dyDescent="0.3">
      <c r="J10835"/>
    </row>
    <row r="10836" spans="10:10" x14ac:dyDescent="0.3">
      <c r="J10836"/>
    </row>
    <row r="10837" spans="10:10" x14ac:dyDescent="0.3">
      <c r="J10837"/>
    </row>
    <row r="10838" spans="10:10" x14ac:dyDescent="0.3">
      <c r="J10838"/>
    </row>
    <row r="10839" spans="10:10" x14ac:dyDescent="0.3">
      <c r="J10839"/>
    </row>
    <row r="10840" spans="10:10" x14ac:dyDescent="0.3">
      <c r="J10840"/>
    </row>
    <row r="10841" spans="10:10" x14ac:dyDescent="0.3">
      <c r="J10841"/>
    </row>
    <row r="10842" spans="10:10" x14ac:dyDescent="0.3">
      <c r="J10842"/>
    </row>
    <row r="10843" spans="10:10" x14ac:dyDescent="0.3">
      <c r="J10843"/>
    </row>
    <row r="10844" spans="10:10" x14ac:dyDescent="0.3">
      <c r="J10844"/>
    </row>
    <row r="10845" spans="10:10" x14ac:dyDescent="0.3">
      <c r="J10845"/>
    </row>
    <row r="10846" spans="10:10" x14ac:dyDescent="0.3">
      <c r="J10846"/>
    </row>
    <row r="10847" spans="10:10" x14ac:dyDescent="0.3">
      <c r="J10847"/>
    </row>
    <row r="10848" spans="10:10" x14ac:dyDescent="0.3">
      <c r="J10848"/>
    </row>
    <row r="10849" spans="10:10" x14ac:dyDescent="0.3">
      <c r="J10849"/>
    </row>
    <row r="10850" spans="10:10" x14ac:dyDescent="0.3">
      <c r="J10850"/>
    </row>
    <row r="10851" spans="10:10" x14ac:dyDescent="0.3">
      <c r="J10851"/>
    </row>
    <row r="10852" spans="10:10" x14ac:dyDescent="0.3">
      <c r="J10852"/>
    </row>
    <row r="10853" spans="10:10" x14ac:dyDescent="0.3">
      <c r="J10853"/>
    </row>
    <row r="10854" spans="10:10" x14ac:dyDescent="0.3">
      <c r="J10854"/>
    </row>
    <row r="10855" spans="10:10" x14ac:dyDescent="0.3">
      <c r="J10855"/>
    </row>
    <row r="10856" spans="10:10" x14ac:dyDescent="0.3">
      <c r="J10856"/>
    </row>
    <row r="10857" spans="10:10" x14ac:dyDescent="0.3">
      <c r="J10857"/>
    </row>
    <row r="10858" spans="10:10" x14ac:dyDescent="0.3">
      <c r="J10858"/>
    </row>
    <row r="10859" spans="10:10" x14ac:dyDescent="0.3">
      <c r="J10859"/>
    </row>
    <row r="10860" spans="10:10" x14ac:dyDescent="0.3">
      <c r="J10860"/>
    </row>
    <row r="10861" spans="10:10" x14ac:dyDescent="0.3">
      <c r="J10861"/>
    </row>
    <row r="10862" spans="10:10" x14ac:dyDescent="0.3">
      <c r="J10862"/>
    </row>
    <row r="10863" spans="10:10" x14ac:dyDescent="0.3">
      <c r="J10863"/>
    </row>
    <row r="10864" spans="10:10" x14ac:dyDescent="0.3">
      <c r="J10864"/>
    </row>
    <row r="10865" spans="10:10" x14ac:dyDescent="0.3">
      <c r="J10865"/>
    </row>
    <row r="10866" spans="10:10" x14ac:dyDescent="0.3">
      <c r="J10866"/>
    </row>
    <row r="10867" spans="10:10" x14ac:dyDescent="0.3">
      <c r="J10867"/>
    </row>
    <row r="10868" spans="10:10" x14ac:dyDescent="0.3">
      <c r="J10868"/>
    </row>
    <row r="10869" spans="10:10" x14ac:dyDescent="0.3">
      <c r="J10869"/>
    </row>
    <row r="10870" spans="10:10" x14ac:dyDescent="0.3">
      <c r="J10870"/>
    </row>
    <row r="10871" spans="10:10" x14ac:dyDescent="0.3">
      <c r="J10871"/>
    </row>
    <row r="10872" spans="10:10" x14ac:dyDescent="0.3">
      <c r="J10872"/>
    </row>
    <row r="10873" spans="10:10" x14ac:dyDescent="0.3">
      <c r="J10873"/>
    </row>
    <row r="10874" spans="10:10" x14ac:dyDescent="0.3">
      <c r="J10874"/>
    </row>
    <row r="10875" spans="10:10" x14ac:dyDescent="0.3">
      <c r="J10875"/>
    </row>
    <row r="10876" spans="10:10" x14ac:dyDescent="0.3">
      <c r="J10876"/>
    </row>
    <row r="10877" spans="10:10" x14ac:dyDescent="0.3">
      <c r="J10877"/>
    </row>
    <row r="10878" spans="10:10" x14ac:dyDescent="0.3">
      <c r="J10878"/>
    </row>
    <row r="10879" spans="10:10" x14ac:dyDescent="0.3">
      <c r="J10879"/>
    </row>
    <row r="10880" spans="10:10" x14ac:dyDescent="0.3">
      <c r="J10880"/>
    </row>
    <row r="10881" spans="10:10" x14ac:dyDescent="0.3">
      <c r="J10881"/>
    </row>
    <row r="10882" spans="10:10" x14ac:dyDescent="0.3">
      <c r="J10882"/>
    </row>
    <row r="10883" spans="10:10" x14ac:dyDescent="0.3">
      <c r="J10883"/>
    </row>
    <row r="10884" spans="10:10" x14ac:dyDescent="0.3">
      <c r="J10884"/>
    </row>
    <row r="10885" spans="10:10" x14ac:dyDescent="0.3">
      <c r="J10885"/>
    </row>
    <row r="10886" spans="10:10" x14ac:dyDescent="0.3">
      <c r="J10886"/>
    </row>
    <row r="10887" spans="10:10" x14ac:dyDescent="0.3">
      <c r="J10887"/>
    </row>
    <row r="10888" spans="10:10" x14ac:dyDescent="0.3">
      <c r="J10888"/>
    </row>
    <row r="10889" spans="10:10" x14ac:dyDescent="0.3">
      <c r="J10889"/>
    </row>
    <row r="10890" spans="10:10" x14ac:dyDescent="0.3">
      <c r="J10890"/>
    </row>
    <row r="10891" spans="10:10" x14ac:dyDescent="0.3">
      <c r="J10891"/>
    </row>
    <row r="10892" spans="10:10" x14ac:dyDescent="0.3">
      <c r="J10892"/>
    </row>
    <row r="10893" spans="10:10" x14ac:dyDescent="0.3">
      <c r="J10893"/>
    </row>
    <row r="10894" spans="10:10" x14ac:dyDescent="0.3">
      <c r="J10894"/>
    </row>
    <row r="10895" spans="10:10" x14ac:dyDescent="0.3">
      <c r="J10895"/>
    </row>
    <row r="10896" spans="10:10" x14ac:dyDescent="0.3">
      <c r="J10896"/>
    </row>
    <row r="10897" spans="10:10" x14ac:dyDescent="0.3">
      <c r="J10897"/>
    </row>
    <row r="10898" spans="10:10" x14ac:dyDescent="0.3">
      <c r="J10898"/>
    </row>
    <row r="10899" spans="10:10" x14ac:dyDescent="0.3">
      <c r="J10899"/>
    </row>
    <row r="10900" spans="10:10" x14ac:dyDescent="0.3">
      <c r="J10900"/>
    </row>
    <row r="10901" spans="10:10" x14ac:dyDescent="0.3">
      <c r="J10901"/>
    </row>
    <row r="10902" spans="10:10" x14ac:dyDescent="0.3">
      <c r="J10902"/>
    </row>
    <row r="10903" spans="10:10" x14ac:dyDescent="0.3">
      <c r="J10903"/>
    </row>
    <row r="10904" spans="10:10" x14ac:dyDescent="0.3">
      <c r="J10904"/>
    </row>
    <row r="10905" spans="10:10" x14ac:dyDescent="0.3">
      <c r="J10905"/>
    </row>
    <row r="10906" spans="10:10" x14ac:dyDescent="0.3">
      <c r="J10906"/>
    </row>
    <row r="10907" spans="10:10" x14ac:dyDescent="0.3">
      <c r="J10907"/>
    </row>
    <row r="10908" spans="10:10" x14ac:dyDescent="0.3">
      <c r="J10908"/>
    </row>
    <row r="10909" spans="10:10" x14ac:dyDescent="0.3">
      <c r="J10909"/>
    </row>
    <row r="10910" spans="10:10" x14ac:dyDescent="0.3">
      <c r="J10910"/>
    </row>
    <row r="10911" spans="10:10" x14ac:dyDescent="0.3">
      <c r="J10911"/>
    </row>
    <row r="10912" spans="10:10" x14ac:dyDescent="0.3">
      <c r="J10912"/>
    </row>
    <row r="10913" spans="10:10" x14ac:dyDescent="0.3">
      <c r="J10913"/>
    </row>
    <row r="10914" spans="10:10" x14ac:dyDescent="0.3">
      <c r="J10914"/>
    </row>
    <row r="10915" spans="10:10" x14ac:dyDescent="0.3">
      <c r="J10915"/>
    </row>
    <row r="10916" spans="10:10" x14ac:dyDescent="0.3">
      <c r="J10916"/>
    </row>
    <row r="10917" spans="10:10" x14ac:dyDescent="0.3">
      <c r="J10917"/>
    </row>
    <row r="10918" spans="10:10" x14ac:dyDescent="0.3">
      <c r="J10918"/>
    </row>
    <row r="10919" spans="10:10" x14ac:dyDescent="0.3">
      <c r="J10919"/>
    </row>
    <row r="10920" spans="10:10" x14ac:dyDescent="0.3">
      <c r="J10920"/>
    </row>
    <row r="10921" spans="10:10" x14ac:dyDescent="0.3">
      <c r="J10921"/>
    </row>
    <row r="10922" spans="10:10" x14ac:dyDescent="0.3">
      <c r="J10922"/>
    </row>
    <row r="10923" spans="10:10" x14ac:dyDescent="0.3">
      <c r="J10923"/>
    </row>
    <row r="10924" spans="10:10" x14ac:dyDescent="0.3">
      <c r="J10924"/>
    </row>
    <row r="10925" spans="10:10" x14ac:dyDescent="0.3">
      <c r="J10925"/>
    </row>
    <row r="10926" spans="10:10" x14ac:dyDescent="0.3">
      <c r="J10926"/>
    </row>
    <row r="10927" spans="10:10" x14ac:dyDescent="0.3">
      <c r="J10927"/>
    </row>
    <row r="10928" spans="10:10" x14ac:dyDescent="0.3">
      <c r="J10928"/>
    </row>
    <row r="10929" spans="10:10" x14ac:dyDescent="0.3">
      <c r="J10929"/>
    </row>
    <row r="10930" spans="10:10" x14ac:dyDescent="0.3">
      <c r="J10930"/>
    </row>
    <row r="10931" spans="10:10" x14ac:dyDescent="0.3">
      <c r="J10931"/>
    </row>
    <row r="10932" spans="10:10" x14ac:dyDescent="0.3">
      <c r="J10932"/>
    </row>
    <row r="10933" spans="10:10" x14ac:dyDescent="0.3">
      <c r="J10933"/>
    </row>
    <row r="10934" spans="10:10" x14ac:dyDescent="0.3">
      <c r="J10934"/>
    </row>
    <row r="10935" spans="10:10" x14ac:dyDescent="0.3">
      <c r="J10935"/>
    </row>
    <row r="10936" spans="10:10" x14ac:dyDescent="0.3">
      <c r="J10936"/>
    </row>
    <row r="10937" spans="10:10" x14ac:dyDescent="0.3">
      <c r="J10937"/>
    </row>
    <row r="10938" spans="10:10" x14ac:dyDescent="0.3">
      <c r="J10938"/>
    </row>
    <row r="10939" spans="10:10" x14ac:dyDescent="0.3">
      <c r="J10939"/>
    </row>
    <row r="10940" spans="10:10" x14ac:dyDescent="0.3">
      <c r="J10940"/>
    </row>
    <row r="10941" spans="10:10" x14ac:dyDescent="0.3">
      <c r="J10941"/>
    </row>
    <row r="10942" spans="10:10" x14ac:dyDescent="0.3">
      <c r="J10942"/>
    </row>
    <row r="10943" spans="10:10" x14ac:dyDescent="0.3">
      <c r="J10943"/>
    </row>
    <row r="10944" spans="10:10" x14ac:dyDescent="0.3">
      <c r="J10944"/>
    </row>
    <row r="10945" spans="10:10" x14ac:dyDescent="0.3">
      <c r="J10945"/>
    </row>
    <row r="10946" spans="10:10" x14ac:dyDescent="0.3">
      <c r="J10946"/>
    </row>
    <row r="10947" spans="10:10" x14ac:dyDescent="0.3">
      <c r="J10947"/>
    </row>
    <row r="10948" spans="10:10" x14ac:dyDescent="0.3">
      <c r="J10948"/>
    </row>
    <row r="10949" spans="10:10" x14ac:dyDescent="0.3">
      <c r="J10949"/>
    </row>
    <row r="10950" spans="10:10" x14ac:dyDescent="0.3">
      <c r="J10950"/>
    </row>
    <row r="10951" spans="10:10" x14ac:dyDescent="0.3">
      <c r="J10951"/>
    </row>
    <row r="10952" spans="10:10" x14ac:dyDescent="0.3">
      <c r="J10952"/>
    </row>
    <row r="10953" spans="10:10" x14ac:dyDescent="0.3">
      <c r="J10953"/>
    </row>
    <row r="10954" spans="10:10" x14ac:dyDescent="0.3">
      <c r="J10954"/>
    </row>
    <row r="10955" spans="10:10" x14ac:dyDescent="0.3">
      <c r="J10955"/>
    </row>
    <row r="10956" spans="10:10" x14ac:dyDescent="0.3">
      <c r="J10956"/>
    </row>
    <row r="10957" spans="10:10" x14ac:dyDescent="0.3">
      <c r="J10957"/>
    </row>
    <row r="10958" spans="10:10" x14ac:dyDescent="0.3">
      <c r="J10958"/>
    </row>
    <row r="10959" spans="10:10" x14ac:dyDescent="0.3">
      <c r="J10959"/>
    </row>
    <row r="10960" spans="10:10" x14ac:dyDescent="0.3">
      <c r="J10960"/>
    </row>
    <row r="10961" spans="10:10" x14ac:dyDescent="0.3">
      <c r="J10961"/>
    </row>
    <row r="10962" spans="10:10" x14ac:dyDescent="0.3">
      <c r="J10962"/>
    </row>
    <row r="10963" spans="10:10" x14ac:dyDescent="0.3">
      <c r="J10963"/>
    </row>
    <row r="10964" spans="10:10" x14ac:dyDescent="0.3">
      <c r="J10964"/>
    </row>
    <row r="10965" spans="10:10" x14ac:dyDescent="0.3">
      <c r="J10965"/>
    </row>
    <row r="10966" spans="10:10" x14ac:dyDescent="0.3">
      <c r="J10966"/>
    </row>
    <row r="10967" spans="10:10" x14ac:dyDescent="0.3">
      <c r="J10967"/>
    </row>
    <row r="10968" spans="10:10" x14ac:dyDescent="0.3">
      <c r="J10968"/>
    </row>
    <row r="10969" spans="10:10" x14ac:dyDescent="0.3">
      <c r="J10969"/>
    </row>
    <row r="10970" spans="10:10" x14ac:dyDescent="0.3">
      <c r="J10970"/>
    </row>
    <row r="10971" spans="10:10" x14ac:dyDescent="0.3">
      <c r="J10971"/>
    </row>
    <row r="10972" spans="10:10" x14ac:dyDescent="0.3">
      <c r="J10972"/>
    </row>
    <row r="10973" spans="10:10" x14ac:dyDescent="0.3">
      <c r="J10973"/>
    </row>
    <row r="10974" spans="10:10" x14ac:dyDescent="0.3">
      <c r="J10974"/>
    </row>
    <row r="10975" spans="10:10" x14ac:dyDescent="0.3">
      <c r="J10975"/>
    </row>
    <row r="10976" spans="10:10" x14ac:dyDescent="0.3">
      <c r="J10976"/>
    </row>
    <row r="10977" spans="10:10" x14ac:dyDescent="0.3">
      <c r="J10977"/>
    </row>
    <row r="10978" spans="10:10" x14ac:dyDescent="0.3">
      <c r="J10978"/>
    </row>
    <row r="10979" spans="10:10" x14ac:dyDescent="0.3">
      <c r="J10979"/>
    </row>
    <row r="10980" spans="10:10" x14ac:dyDescent="0.3">
      <c r="J10980"/>
    </row>
    <row r="10981" spans="10:10" x14ac:dyDescent="0.3">
      <c r="J10981"/>
    </row>
    <row r="10982" spans="10:10" x14ac:dyDescent="0.3">
      <c r="J10982"/>
    </row>
    <row r="10983" spans="10:10" x14ac:dyDescent="0.3">
      <c r="J10983"/>
    </row>
    <row r="10984" spans="10:10" x14ac:dyDescent="0.3">
      <c r="J10984"/>
    </row>
    <row r="10985" spans="10:10" x14ac:dyDescent="0.3">
      <c r="J10985"/>
    </row>
    <row r="10986" spans="10:10" x14ac:dyDescent="0.3">
      <c r="J10986"/>
    </row>
    <row r="10987" spans="10:10" x14ac:dyDescent="0.3">
      <c r="J10987"/>
    </row>
    <row r="10988" spans="10:10" x14ac:dyDescent="0.3">
      <c r="J10988"/>
    </row>
    <row r="10989" spans="10:10" x14ac:dyDescent="0.3">
      <c r="J10989"/>
    </row>
    <row r="10990" spans="10:10" x14ac:dyDescent="0.3">
      <c r="J10990"/>
    </row>
    <row r="10991" spans="10:10" x14ac:dyDescent="0.3">
      <c r="J10991"/>
    </row>
    <row r="10992" spans="10:10" x14ac:dyDescent="0.3">
      <c r="J10992"/>
    </row>
    <row r="10993" spans="10:10" x14ac:dyDescent="0.3">
      <c r="J10993"/>
    </row>
    <row r="10994" spans="10:10" x14ac:dyDescent="0.3">
      <c r="J10994"/>
    </row>
    <row r="10995" spans="10:10" x14ac:dyDescent="0.3">
      <c r="J10995"/>
    </row>
    <row r="10996" spans="10:10" x14ac:dyDescent="0.3">
      <c r="J10996"/>
    </row>
    <row r="10997" spans="10:10" x14ac:dyDescent="0.3">
      <c r="J10997"/>
    </row>
    <row r="10998" spans="10:10" x14ac:dyDescent="0.3">
      <c r="J10998"/>
    </row>
    <row r="10999" spans="10:10" x14ac:dyDescent="0.3">
      <c r="J10999"/>
    </row>
    <row r="11000" spans="10:10" x14ac:dyDescent="0.3">
      <c r="J11000"/>
    </row>
    <row r="11001" spans="10:10" x14ac:dyDescent="0.3">
      <c r="J11001"/>
    </row>
    <row r="11002" spans="10:10" x14ac:dyDescent="0.3">
      <c r="J11002"/>
    </row>
    <row r="11003" spans="10:10" x14ac:dyDescent="0.3">
      <c r="J11003"/>
    </row>
    <row r="11004" spans="10:10" x14ac:dyDescent="0.3">
      <c r="J11004"/>
    </row>
    <row r="11005" spans="10:10" x14ac:dyDescent="0.3">
      <c r="J11005"/>
    </row>
    <row r="11006" spans="10:10" x14ac:dyDescent="0.3">
      <c r="J11006"/>
    </row>
    <row r="11007" spans="10:10" x14ac:dyDescent="0.3">
      <c r="J11007"/>
    </row>
    <row r="11008" spans="10:10" x14ac:dyDescent="0.3">
      <c r="J11008"/>
    </row>
    <row r="11009" spans="10:10" x14ac:dyDescent="0.3">
      <c r="J11009"/>
    </row>
    <row r="11010" spans="10:10" x14ac:dyDescent="0.3">
      <c r="J11010"/>
    </row>
    <row r="11011" spans="10:10" x14ac:dyDescent="0.3">
      <c r="J11011"/>
    </row>
    <row r="11012" spans="10:10" x14ac:dyDescent="0.3">
      <c r="J11012"/>
    </row>
    <row r="11013" spans="10:10" x14ac:dyDescent="0.3">
      <c r="J11013"/>
    </row>
    <row r="11014" spans="10:10" x14ac:dyDescent="0.3">
      <c r="J11014"/>
    </row>
    <row r="11015" spans="10:10" x14ac:dyDescent="0.3">
      <c r="J11015"/>
    </row>
    <row r="11016" spans="10:10" x14ac:dyDescent="0.3">
      <c r="J11016"/>
    </row>
    <row r="11017" spans="10:10" x14ac:dyDescent="0.3">
      <c r="J11017"/>
    </row>
    <row r="11018" spans="10:10" x14ac:dyDescent="0.3">
      <c r="J11018"/>
    </row>
    <row r="11019" spans="10:10" x14ac:dyDescent="0.3">
      <c r="J11019"/>
    </row>
    <row r="11020" spans="10:10" x14ac:dyDescent="0.3">
      <c r="J11020"/>
    </row>
    <row r="11021" spans="10:10" x14ac:dyDescent="0.3">
      <c r="J11021"/>
    </row>
    <row r="11022" spans="10:10" x14ac:dyDescent="0.3">
      <c r="J11022"/>
    </row>
    <row r="11023" spans="10:10" x14ac:dyDescent="0.3">
      <c r="J11023"/>
    </row>
    <row r="11024" spans="10:10" x14ac:dyDescent="0.3">
      <c r="J11024"/>
    </row>
    <row r="11025" spans="10:10" x14ac:dyDescent="0.3">
      <c r="J11025"/>
    </row>
    <row r="11026" spans="10:10" x14ac:dyDescent="0.3">
      <c r="J11026"/>
    </row>
    <row r="11027" spans="10:10" x14ac:dyDescent="0.3">
      <c r="J11027"/>
    </row>
    <row r="11028" spans="10:10" x14ac:dyDescent="0.3">
      <c r="J11028"/>
    </row>
    <row r="11029" spans="10:10" x14ac:dyDescent="0.3">
      <c r="J11029"/>
    </row>
    <row r="11030" spans="10:10" x14ac:dyDescent="0.3">
      <c r="J11030"/>
    </row>
    <row r="11031" spans="10:10" x14ac:dyDescent="0.3">
      <c r="J11031"/>
    </row>
    <row r="11032" spans="10:10" x14ac:dyDescent="0.3">
      <c r="J11032"/>
    </row>
    <row r="11033" spans="10:10" x14ac:dyDescent="0.3">
      <c r="J11033"/>
    </row>
    <row r="11034" spans="10:10" x14ac:dyDescent="0.3">
      <c r="J11034"/>
    </row>
    <row r="11035" spans="10:10" x14ac:dyDescent="0.3">
      <c r="J11035"/>
    </row>
    <row r="11036" spans="10:10" x14ac:dyDescent="0.3">
      <c r="J11036"/>
    </row>
    <row r="11037" spans="10:10" x14ac:dyDescent="0.3">
      <c r="J11037"/>
    </row>
    <row r="11038" spans="10:10" x14ac:dyDescent="0.3">
      <c r="J11038"/>
    </row>
    <row r="11039" spans="10:10" x14ac:dyDescent="0.3">
      <c r="J11039"/>
    </row>
    <row r="11040" spans="10:10" x14ac:dyDescent="0.3">
      <c r="J11040"/>
    </row>
    <row r="11041" spans="10:10" x14ac:dyDescent="0.3">
      <c r="J11041"/>
    </row>
    <row r="11042" spans="10:10" x14ac:dyDescent="0.3">
      <c r="J11042"/>
    </row>
    <row r="11043" spans="10:10" x14ac:dyDescent="0.3">
      <c r="J11043"/>
    </row>
    <row r="11044" spans="10:10" x14ac:dyDescent="0.3">
      <c r="J11044"/>
    </row>
    <row r="11045" spans="10:10" x14ac:dyDescent="0.3">
      <c r="J11045"/>
    </row>
    <row r="11046" spans="10:10" x14ac:dyDescent="0.3">
      <c r="J11046"/>
    </row>
    <row r="11047" spans="10:10" x14ac:dyDescent="0.3">
      <c r="J11047"/>
    </row>
    <row r="11048" spans="10:10" x14ac:dyDescent="0.3">
      <c r="J11048"/>
    </row>
    <row r="11049" spans="10:10" x14ac:dyDescent="0.3">
      <c r="J11049"/>
    </row>
    <row r="11050" spans="10:10" x14ac:dyDescent="0.3">
      <c r="J11050"/>
    </row>
    <row r="11051" spans="10:10" x14ac:dyDescent="0.3">
      <c r="J11051"/>
    </row>
    <row r="11052" spans="10:10" x14ac:dyDescent="0.3">
      <c r="J11052"/>
    </row>
    <row r="11053" spans="10:10" x14ac:dyDescent="0.3">
      <c r="J11053"/>
    </row>
    <row r="11054" spans="10:10" x14ac:dyDescent="0.3">
      <c r="J11054"/>
    </row>
    <row r="11055" spans="10:10" x14ac:dyDescent="0.3">
      <c r="J11055"/>
    </row>
    <row r="11056" spans="10:10" x14ac:dyDescent="0.3">
      <c r="J11056"/>
    </row>
    <row r="11057" spans="10:10" x14ac:dyDescent="0.3">
      <c r="J11057"/>
    </row>
    <row r="11058" spans="10:10" x14ac:dyDescent="0.3">
      <c r="J11058"/>
    </row>
    <row r="11059" spans="10:10" x14ac:dyDescent="0.3">
      <c r="J11059"/>
    </row>
    <row r="11060" spans="10:10" x14ac:dyDescent="0.3">
      <c r="J11060"/>
    </row>
    <row r="11061" spans="10:10" x14ac:dyDescent="0.3">
      <c r="J11061"/>
    </row>
    <row r="11062" spans="10:10" x14ac:dyDescent="0.3">
      <c r="J11062"/>
    </row>
    <row r="11063" spans="10:10" x14ac:dyDescent="0.3">
      <c r="J11063"/>
    </row>
    <row r="11064" spans="10:10" x14ac:dyDescent="0.3">
      <c r="J11064"/>
    </row>
    <row r="11065" spans="10:10" x14ac:dyDescent="0.3">
      <c r="J11065"/>
    </row>
    <row r="11066" spans="10:10" x14ac:dyDescent="0.3">
      <c r="J11066"/>
    </row>
    <row r="11067" spans="10:10" x14ac:dyDescent="0.3">
      <c r="J11067"/>
    </row>
    <row r="11068" spans="10:10" x14ac:dyDescent="0.3">
      <c r="J11068"/>
    </row>
    <row r="11069" spans="10:10" x14ac:dyDescent="0.3">
      <c r="J11069"/>
    </row>
    <row r="11070" spans="10:10" x14ac:dyDescent="0.3">
      <c r="J11070"/>
    </row>
    <row r="11071" spans="10:10" x14ac:dyDescent="0.3">
      <c r="J11071"/>
    </row>
    <row r="11072" spans="10:10" x14ac:dyDescent="0.3">
      <c r="J11072"/>
    </row>
    <row r="11073" spans="10:10" x14ac:dyDescent="0.3">
      <c r="J11073"/>
    </row>
    <row r="11074" spans="10:10" x14ac:dyDescent="0.3">
      <c r="J11074"/>
    </row>
    <row r="11075" spans="10:10" x14ac:dyDescent="0.3">
      <c r="J11075"/>
    </row>
    <row r="11076" spans="10:10" x14ac:dyDescent="0.3">
      <c r="J11076"/>
    </row>
    <row r="11077" spans="10:10" x14ac:dyDescent="0.3">
      <c r="J11077"/>
    </row>
    <row r="11078" spans="10:10" x14ac:dyDescent="0.3">
      <c r="J11078"/>
    </row>
    <row r="11079" spans="10:10" x14ac:dyDescent="0.3">
      <c r="J11079"/>
    </row>
    <row r="11080" spans="10:10" x14ac:dyDescent="0.3">
      <c r="J11080"/>
    </row>
    <row r="11081" spans="10:10" x14ac:dyDescent="0.3">
      <c r="J11081"/>
    </row>
    <row r="11082" spans="10:10" x14ac:dyDescent="0.3">
      <c r="J11082"/>
    </row>
    <row r="11083" spans="10:10" x14ac:dyDescent="0.3">
      <c r="J11083"/>
    </row>
    <row r="11084" spans="10:10" x14ac:dyDescent="0.3">
      <c r="J11084"/>
    </row>
    <row r="11085" spans="10:10" x14ac:dyDescent="0.3">
      <c r="J11085"/>
    </row>
    <row r="11086" spans="10:10" x14ac:dyDescent="0.3">
      <c r="J11086"/>
    </row>
    <row r="11087" spans="10:10" x14ac:dyDescent="0.3">
      <c r="J11087"/>
    </row>
    <row r="11088" spans="10:10" x14ac:dyDescent="0.3">
      <c r="J11088"/>
    </row>
    <row r="11089" spans="10:10" x14ac:dyDescent="0.3">
      <c r="J11089"/>
    </row>
    <row r="11090" spans="10:10" x14ac:dyDescent="0.3">
      <c r="J11090"/>
    </row>
    <row r="11091" spans="10:10" x14ac:dyDescent="0.3">
      <c r="J11091"/>
    </row>
    <row r="11092" spans="10:10" x14ac:dyDescent="0.3">
      <c r="J11092"/>
    </row>
    <row r="11093" spans="10:10" x14ac:dyDescent="0.3">
      <c r="J11093"/>
    </row>
    <row r="11094" spans="10:10" x14ac:dyDescent="0.3">
      <c r="J11094"/>
    </row>
    <row r="11095" spans="10:10" x14ac:dyDescent="0.3">
      <c r="J11095"/>
    </row>
    <row r="11096" spans="10:10" x14ac:dyDescent="0.3">
      <c r="J11096"/>
    </row>
    <row r="11097" spans="10:10" x14ac:dyDescent="0.3">
      <c r="J11097"/>
    </row>
    <row r="11098" spans="10:10" x14ac:dyDescent="0.3">
      <c r="J11098"/>
    </row>
    <row r="11099" spans="10:10" x14ac:dyDescent="0.3">
      <c r="J11099"/>
    </row>
    <row r="11100" spans="10:10" x14ac:dyDescent="0.3">
      <c r="J11100"/>
    </row>
    <row r="11101" spans="10:10" x14ac:dyDescent="0.3">
      <c r="J11101"/>
    </row>
    <row r="11102" spans="10:10" x14ac:dyDescent="0.3">
      <c r="J11102"/>
    </row>
    <row r="11103" spans="10:10" x14ac:dyDescent="0.3">
      <c r="J11103"/>
    </row>
    <row r="11104" spans="10:10" x14ac:dyDescent="0.3">
      <c r="J11104"/>
    </row>
    <row r="11105" spans="10:10" x14ac:dyDescent="0.3">
      <c r="J11105"/>
    </row>
    <row r="11106" spans="10:10" x14ac:dyDescent="0.3">
      <c r="J11106"/>
    </row>
    <row r="11107" spans="10:10" x14ac:dyDescent="0.3">
      <c r="J11107"/>
    </row>
    <row r="11108" spans="10:10" x14ac:dyDescent="0.3">
      <c r="J11108"/>
    </row>
    <row r="11109" spans="10:10" x14ac:dyDescent="0.3">
      <c r="J11109"/>
    </row>
    <row r="11110" spans="10:10" x14ac:dyDescent="0.3">
      <c r="J11110"/>
    </row>
    <row r="11111" spans="10:10" x14ac:dyDescent="0.3">
      <c r="J11111"/>
    </row>
    <row r="11112" spans="10:10" x14ac:dyDescent="0.3">
      <c r="J11112"/>
    </row>
    <row r="11113" spans="10:10" x14ac:dyDescent="0.3">
      <c r="J11113"/>
    </row>
    <row r="11114" spans="10:10" x14ac:dyDescent="0.3">
      <c r="J11114"/>
    </row>
    <row r="11115" spans="10:10" x14ac:dyDescent="0.3">
      <c r="J11115"/>
    </row>
    <row r="11116" spans="10:10" x14ac:dyDescent="0.3">
      <c r="J11116"/>
    </row>
    <row r="11117" spans="10:10" x14ac:dyDescent="0.3">
      <c r="J11117"/>
    </row>
    <row r="11118" spans="10:10" x14ac:dyDescent="0.3">
      <c r="J11118"/>
    </row>
    <row r="11119" spans="10:10" x14ac:dyDescent="0.3">
      <c r="J11119"/>
    </row>
    <row r="11120" spans="10:10" x14ac:dyDescent="0.3">
      <c r="J11120"/>
    </row>
    <row r="11121" spans="10:10" x14ac:dyDescent="0.3">
      <c r="J11121"/>
    </row>
    <row r="11122" spans="10:10" x14ac:dyDescent="0.3">
      <c r="J11122"/>
    </row>
    <row r="11123" spans="10:10" x14ac:dyDescent="0.3">
      <c r="J11123"/>
    </row>
    <row r="11124" spans="10:10" x14ac:dyDescent="0.3">
      <c r="J11124"/>
    </row>
    <row r="11125" spans="10:10" x14ac:dyDescent="0.3">
      <c r="J11125"/>
    </row>
    <row r="11126" spans="10:10" x14ac:dyDescent="0.3">
      <c r="J11126"/>
    </row>
    <row r="11127" spans="10:10" x14ac:dyDescent="0.3">
      <c r="J11127"/>
    </row>
    <row r="11128" spans="10:10" x14ac:dyDescent="0.3">
      <c r="J11128"/>
    </row>
    <row r="11129" spans="10:10" x14ac:dyDescent="0.3">
      <c r="J11129"/>
    </row>
    <row r="11130" spans="10:10" x14ac:dyDescent="0.3">
      <c r="J11130"/>
    </row>
    <row r="11131" spans="10:10" x14ac:dyDescent="0.3">
      <c r="J11131"/>
    </row>
    <row r="11132" spans="10:10" x14ac:dyDescent="0.3">
      <c r="J11132"/>
    </row>
    <row r="11133" spans="10:10" x14ac:dyDescent="0.3">
      <c r="J11133"/>
    </row>
    <row r="11134" spans="10:10" x14ac:dyDescent="0.3">
      <c r="J11134"/>
    </row>
    <row r="11135" spans="10:10" x14ac:dyDescent="0.3">
      <c r="J11135"/>
    </row>
    <row r="11136" spans="10:10" x14ac:dyDescent="0.3">
      <c r="J11136"/>
    </row>
    <row r="11137" spans="10:10" x14ac:dyDescent="0.3">
      <c r="J11137"/>
    </row>
    <row r="11138" spans="10:10" x14ac:dyDescent="0.3">
      <c r="J11138"/>
    </row>
    <row r="11139" spans="10:10" x14ac:dyDescent="0.3">
      <c r="J11139"/>
    </row>
    <row r="11140" spans="10:10" x14ac:dyDescent="0.3">
      <c r="J11140"/>
    </row>
    <row r="11141" spans="10:10" x14ac:dyDescent="0.3">
      <c r="J11141"/>
    </row>
    <row r="11142" spans="10:10" x14ac:dyDescent="0.3">
      <c r="J11142"/>
    </row>
    <row r="11143" spans="10:10" x14ac:dyDescent="0.3">
      <c r="J11143"/>
    </row>
    <row r="11144" spans="10:10" x14ac:dyDescent="0.3">
      <c r="J11144"/>
    </row>
    <row r="11145" spans="10:10" x14ac:dyDescent="0.3">
      <c r="J11145"/>
    </row>
    <row r="11146" spans="10:10" x14ac:dyDescent="0.3">
      <c r="J11146"/>
    </row>
    <row r="11147" spans="10:10" x14ac:dyDescent="0.3">
      <c r="J11147"/>
    </row>
    <row r="11148" spans="10:10" x14ac:dyDescent="0.3">
      <c r="J11148"/>
    </row>
    <row r="11149" spans="10:10" x14ac:dyDescent="0.3">
      <c r="J11149"/>
    </row>
    <row r="11150" spans="10:10" x14ac:dyDescent="0.3">
      <c r="J11150"/>
    </row>
    <row r="11151" spans="10:10" x14ac:dyDescent="0.3">
      <c r="J11151"/>
    </row>
    <row r="11152" spans="10:10" x14ac:dyDescent="0.3">
      <c r="J11152"/>
    </row>
    <row r="11153" spans="10:10" x14ac:dyDescent="0.3">
      <c r="J11153"/>
    </row>
    <row r="11154" spans="10:10" x14ac:dyDescent="0.3">
      <c r="J11154"/>
    </row>
    <row r="11155" spans="10:10" x14ac:dyDescent="0.3">
      <c r="J11155"/>
    </row>
    <row r="11156" spans="10:10" x14ac:dyDescent="0.3">
      <c r="J11156"/>
    </row>
    <row r="11157" spans="10:10" x14ac:dyDescent="0.3">
      <c r="J11157"/>
    </row>
    <row r="11158" spans="10:10" x14ac:dyDescent="0.3">
      <c r="J11158"/>
    </row>
    <row r="11159" spans="10:10" x14ac:dyDescent="0.3">
      <c r="J11159"/>
    </row>
    <row r="11160" spans="10:10" x14ac:dyDescent="0.3">
      <c r="J11160"/>
    </row>
    <row r="11161" spans="10:10" x14ac:dyDescent="0.3">
      <c r="J11161"/>
    </row>
    <row r="11162" spans="10:10" x14ac:dyDescent="0.3">
      <c r="J11162"/>
    </row>
    <row r="11163" spans="10:10" x14ac:dyDescent="0.3">
      <c r="J11163"/>
    </row>
    <row r="11164" spans="10:10" x14ac:dyDescent="0.3">
      <c r="J11164"/>
    </row>
    <row r="11165" spans="10:10" x14ac:dyDescent="0.3">
      <c r="J11165"/>
    </row>
    <row r="11166" spans="10:10" x14ac:dyDescent="0.3">
      <c r="J11166"/>
    </row>
    <row r="11167" spans="10:10" x14ac:dyDescent="0.3">
      <c r="J11167"/>
    </row>
    <row r="11168" spans="10:10" x14ac:dyDescent="0.3">
      <c r="J11168"/>
    </row>
    <row r="11169" spans="10:10" x14ac:dyDescent="0.3">
      <c r="J11169"/>
    </row>
    <row r="11170" spans="10:10" x14ac:dyDescent="0.3">
      <c r="J11170"/>
    </row>
    <row r="11171" spans="10:10" x14ac:dyDescent="0.3">
      <c r="J11171"/>
    </row>
    <row r="11172" spans="10:10" x14ac:dyDescent="0.3">
      <c r="J11172"/>
    </row>
    <row r="11173" spans="10:10" x14ac:dyDescent="0.3">
      <c r="J11173"/>
    </row>
    <row r="11174" spans="10:10" x14ac:dyDescent="0.3">
      <c r="J11174"/>
    </row>
    <row r="11175" spans="10:10" x14ac:dyDescent="0.3">
      <c r="J11175"/>
    </row>
    <row r="11176" spans="10:10" x14ac:dyDescent="0.3">
      <c r="J11176"/>
    </row>
    <row r="11177" spans="10:10" x14ac:dyDescent="0.3">
      <c r="J11177"/>
    </row>
    <row r="11178" spans="10:10" x14ac:dyDescent="0.3">
      <c r="J11178"/>
    </row>
    <row r="11179" spans="10:10" x14ac:dyDescent="0.3">
      <c r="J11179"/>
    </row>
    <row r="11180" spans="10:10" x14ac:dyDescent="0.3">
      <c r="J11180"/>
    </row>
    <row r="11181" spans="10:10" x14ac:dyDescent="0.3">
      <c r="J11181"/>
    </row>
    <row r="11182" spans="10:10" x14ac:dyDescent="0.3">
      <c r="J11182"/>
    </row>
    <row r="11183" spans="10:10" x14ac:dyDescent="0.3">
      <c r="J11183"/>
    </row>
    <row r="11184" spans="10:10" x14ac:dyDescent="0.3">
      <c r="J11184"/>
    </row>
    <row r="11185" spans="10:10" x14ac:dyDescent="0.3">
      <c r="J11185"/>
    </row>
    <row r="11186" spans="10:10" x14ac:dyDescent="0.3">
      <c r="J11186"/>
    </row>
    <row r="11187" spans="10:10" x14ac:dyDescent="0.3">
      <c r="J11187"/>
    </row>
    <row r="11188" spans="10:10" x14ac:dyDescent="0.3">
      <c r="J11188"/>
    </row>
    <row r="11189" spans="10:10" x14ac:dyDescent="0.3">
      <c r="J11189"/>
    </row>
    <row r="11190" spans="10:10" x14ac:dyDescent="0.3">
      <c r="J11190"/>
    </row>
    <row r="11191" spans="10:10" x14ac:dyDescent="0.3">
      <c r="J11191"/>
    </row>
    <row r="11192" spans="10:10" x14ac:dyDescent="0.3">
      <c r="J11192"/>
    </row>
    <row r="11193" spans="10:10" x14ac:dyDescent="0.3">
      <c r="J11193"/>
    </row>
    <row r="11194" spans="10:10" x14ac:dyDescent="0.3">
      <c r="J11194"/>
    </row>
    <row r="11195" spans="10:10" x14ac:dyDescent="0.3">
      <c r="J11195"/>
    </row>
    <row r="11196" spans="10:10" x14ac:dyDescent="0.3">
      <c r="J11196"/>
    </row>
    <row r="11197" spans="10:10" x14ac:dyDescent="0.3">
      <c r="J11197"/>
    </row>
    <row r="11198" spans="10:10" x14ac:dyDescent="0.3">
      <c r="J11198"/>
    </row>
    <row r="11199" spans="10:10" x14ac:dyDescent="0.3">
      <c r="J11199"/>
    </row>
    <row r="11200" spans="10:10" x14ac:dyDescent="0.3">
      <c r="J11200"/>
    </row>
    <row r="11201" spans="10:10" x14ac:dyDescent="0.3">
      <c r="J11201"/>
    </row>
    <row r="11202" spans="10:10" x14ac:dyDescent="0.3">
      <c r="J11202"/>
    </row>
    <row r="11203" spans="10:10" x14ac:dyDescent="0.3">
      <c r="J11203"/>
    </row>
    <row r="11204" spans="10:10" x14ac:dyDescent="0.3">
      <c r="J11204"/>
    </row>
    <row r="11205" spans="10:10" x14ac:dyDescent="0.3">
      <c r="J11205"/>
    </row>
    <row r="11206" spans="10:10" x14ac:dyDescent="0.3">
      <c r="J11206"/>
    </row>
    <row r="11207" spans="10:10" x14ac:dyDescent="0.3">
      <c r="J11207"/>
    </row>
    <row r="11208" spans="10:10" x14ac:dyDescent="0.3">
      <c r="J11208"/>
    </row>
    <row r="11209" spans="10:10" x14ac:dyDescent="0.3">
      <c r="J11209"/>
    </row>
    <row r="11210" spans="10:10" x14ac:dyDescent="0.3">
      <c r="J11210"/>
    </row>
    <row r="11211" spans="10:10" x14ac:dyDescent="0.3">
      <c r="J11211"/>
    </row>
    <row r="11212" spans="10:10" x14ac:dyDescent="0.3">
      <c r="J11212"/>
    </row>
    <row r="11213" spans="10:10" x14ac:dyDescent="0.3">
      <c r="J11213"/>
    </row>
    <row r="11214" spans="10:10" x14ac:dyDescent="0.3">
      <c r="J11214"/>
    </row>
    <row r="11215" spans="10:10" x14ac:dyDescent="0.3">
      <c r="J11215"/>
    </row>
    <row r="11216" spans="10:10" x14ac:dyDescent="0.3">
      <c r="J11216"/>
    </row>
    <row r="11217" spans="10:10" x14ac:dyDescent="0.3">
      <c r="J11217"/>
    </row>
    <row r="11218" spans="10:10" x14ac:dyDescent="0.3">
      <c r="J11218"/>
    </row>
    <row r="11219" spans="10:10" x14ac:dyDescent="0.3">
      <c r="J11219"/>
    </row>
    <row r="11220" spans="10:10" x14ac:dyDescent="0.3">
      <c r="J11220"/>
    </row>
    <row r="11221" spans="10:10" x14ac:dyDescent="0.3">
      <c r="J11221"/>
    </row>
    <row r="11222" spans="10:10" x14ac:dyDescent="0.3">
      <c r="J11222"/>
    </row>
    <row r="11223" spans="10:10" x14ac:dyDescent="0.3">
      <c r="J11223"/>
    </row>
    <row r="11224" spans="10:10" x14ac:dyDescent="0.3">
      <c r="J11224"/>
    </row>
    <row r="11225" spans="10:10" x14ac:dyDescent="0.3">
      <c r="J11225"/>
    </row>
    <row r="11226" spans="10:10" x14ac:dyDescent="0.3">
      <c r="J11226"/>
    </row>
    <row r="11227" spans="10:10" x14ac:dyDescent="0.3">
      <c r="J11227"/>
    </row>
    <row r="11228" spans="10:10" x14ac:dyDescent="0.3">
      <c r="J11228"/>
    </row>
    <row r="11229" spans="10:10" x14ac:dyDescent="0.3">
      <c r="J11229"/>
    </row>
    <row r="11230" spans="10:10" x14ac:dyDescent="0.3">
      <c r="J11230"/>
    </row>
    <row r="11231" spans="10:10" x14ac:dyDescent="0.3">
      <c r="J11231"/>
    </row>
    <row r="11232" spans="10:10" x14ac:dyDescent="0.3">
      <c r="J11232"/>
    </row>
    <row r="11233" spans="10:10" x14ac:dyDescent="0.3">
      <c r="J11233"/>
    </row>
    <row r="11234" spans="10:10" x14ac:dyDescent="0.3">
      <c r="J11234"/>
    </row>
    <row r="11235" spans="10:10" x14ac:dyDescent="0.3">
      <c r="J11235"/>
    </row>
    <row r="11236" spans="10:10" x14ac:dyDescent="0.3">
      <c r="J11236"/>
    </row>
    <row r="11237" spans="10:10" x14ac:dyDescent="0.3">
      <c r="J11237"/>
    </row>
    <row r="11238" spans="10:10" x14ac:dyDescent="0.3">
      <c r="J11238"/>
    </row>
    <row r="11239" spans="10:10" x14ac:dyDescent="0.3">
      <c r="J11239"/>
    </row>
    <row r="11240" spans="10:10" x14ac:dyDescent="0.3">
      <c r="J11240"/>
    </row>
    <row r="11241" spans="10:10" x14ac:dyDescent="0.3">
      <c r="J11241"/>
    </row>
    <row r="11242" spans="10:10" x14ac:dyDescent="0.3">
      <c r="J11242"/>
    </row>
    <row r="11243" spans="10:10" x14ac:dyDescent="0.3">
      <c r="J11243"/>
    </row>
    <row r="11244" spans="10:10" x14ac:dyDescent="0.3">
      <c r="J11244"/>
    </row>
    <row r="11245" spans="10:10" x14ac:dyDescent="0.3">
      <c r="J11245"/>
    </row>
    <row r="11246" spans="10:10" x14ac:dyDescent="0.3">
      <c r="J11246"/>
    </row>
    <row r="11247" spans="10:10" x14ac:dyDescent="0.3">
      <c r="J11247"/>
    </row>
    <row r="11248" spans="10:10" x14ac:dyDescent="0.3">
      <c r="J11248"/>
    </row>
    <row r="11249" spans="10:10" x14ac:dyDescent="0.3">
      <c r="J11249"/>
    </row>
    <row r="11250" spans="10:10" x14ac:dyDescent="0.3">
      <c r="J11250"/>
    </row>
    <row r="11251" spans="10:10" x14ac:dyDescent="0.3">
      <c r="J11251"/>
    </row>
    <row r="11252" spans="10:10" x14ac:dyDescent="0.3">
      <c r="J11252"/>
    </row>
    <row r="11253" spans="10:10" x14ac:dyDescent="0.3">
      <c r="J11253"/>
    </row>
    <row r="11254" spans="10:10" x14ac:dyDescent="0.3">
      <c r="J11254"/>
    </row>
    <row r="11255" spans="10:10" x14ac:dyDescent="0.3">
      <c r="J11255"/>
    </row>
    <row r="11256" spans="10:10" x14ac:dyDescent="0.3">
      <c r="J11256"/>
    </row>
    <row r="11257" spans="10:10" x14ac:dyDescent="0.3">
      <c r="J11257"/>
    </row>
    <row r="11258" spans="10:10" x14ac:dyDescent="0.3">
      <c r="J11258"/>
    </row>
    <row r="11259" spans="10:10" x14ac:dyDescent="0.3">
      <c r="J11259"/>
    </row>
    <row r="11260" spans="10:10" x14ac:dyDescent="0.3">
      <c r="J11260"/>
    </row>
    <row r="11261" spans="10:10" x14ac:dyDescent="0.3">
      <c r="J11261"/>
    </row>
    <row r="11262" spans="10:10" x14ac:dyDescent="0.3">
      <c r="J11262"/>
    </row>
    <row r="11263" spans="10:10" x14ac:dyDescent="0.3">
      <c r="J11263"/>
    </row>
    <row r="11264" spans="10:10" x14ac:dyDescent="0.3">
      <c r="J11264"/>
    </row>
    <row r="11265" spans="10:10" x14ac:dyDescent="0.3">
      <c r="J11265"/>
    </row>
    <row r="11266" spans="10:10" x14ac:dyDescent="0.3">
      <c r="J11266"/>
    </row>
    <row r="11267" spans="10:10" x14ac:dyDescent="0.3">
      <c r="J11267"/>
    </row>
    <row r="11268" spans="10:10" x14ac:dyDescent="0.3">
      <c r="J11268"/>
    </row>
    <row r="11269" spans="10:10" x14ac:dyDescent="0.3">
      <c r="J11269"/>
    </row>
    <row r="11270" spans="10:10" x14ac:dyDescent="0.3">
      <c r="J11270"/>
    </row>
    <row r="11271" spans="10:10" x14ac:dyDescent="0.3">
      <c r="J11271"/>
    </row>
    <row r="11272" spans="10:10" x14ac:dyDescent="0.3">
      <c r="J11272"/>
    </row>
    <row r="11273" spans="10:10" x14ac:dyDescent="0.3">
      <c r="J11273"/>
    </row>
    <row r="11274" spans="10:10" x14ac:dyDescent="0.3">
      <c r="J11274"/>
    </row>
    <row r="11275" spans="10:10" x14ac:dyDescent="0.3">
      <c r="J11275"/>
    </row>
    <row r="11276" spans="10:10" x14ac:dyDescent="0.3">
      <c r="J11276"/>
    </row>
    <row r="11277" spans="10:10" x14ac:dyDescent="0.3">
      <c r="J11277"/>
    </row>
    <row r="11278" spans="10:10" x14ac:dyDescent="0.3">
      <c r="J11278"/>
    </row>
    <row r="11279" spans="10:10" x14ac:dyDescent="0.3">
      <c r="J11279"/>
    </row>
    <row r="11280" spans="10:10" x14ac:dyDescent="0.3">
      <c r="J11280"/>
    </row>
    <row r="11281" spans="10:10" x14ac:dyDescent="0.3">
      <c r="J11281"/>
    </row>
    <row r="11282" spans="10:10" x14ac:dyDescent="0.3">
      <c r="J11282"/>
    </row>
    <row r="11283" spans="10:10" x14ac:dyDescent="0.3">
      <c r="J11283"/>
    </row>
    <row r="11284" spans="10:10" x14ac:dyDescent="0.3">
      <c r="J11284"/>
    </row>
    <row r="11285" spans="10:10" x14ac:dyDescent="0.3">
      <c r="J11285"/>
    </row>
    <row r="11286" spans="10:10" x14ac:dyDescent="0.3">
      <c r="J11286"/>
    </row>
    <row r="11287" spans="10:10" x14ac:dyDescent="0.3">
      <c r="J11287"/>
    </row>
    <row r="11288" spans="10:10" x14ac:dyDescent="0.3">
      <c r="J11288"/>
    </row>
    <row r="11289" spans="10:10" x14ac:dyDescent="0.3">
      <c r="J11289"/>
    </row>
    <row r="11290" spans="10:10" x14ac:dyDescent="0.3">
      <c r="J11290"/>
    </row>
    <row r="11291" spans="10:10" x14ac:dyDescent="0.3">
      <c r="J11291"/>
    </row>
    <row r="11292" spans="10:10" x14ac:dyDescent="0.3">
      <c r="J11292"/>
    </row>
    <row r="11293" spans="10:10" x14ac:dyDescent="0.3">
      <c r="J11293"/>
    </row>
    <row r="11294" spans="10:10" x14ac:dyDescent="0.3">
      <c r="J11294"/>
    </row>
    <row r="11295" spans="10:10" x14ac:dyDescent="0.3">
      <c r="J11295"/>
    </row>
    <row r="11296" spans="10:10" x14ac:dyDescent="0.3">
      <c r="J11296"/>
    </row>
    <row r="11297" spans="10:10" x14ac:dyDescent="0.3">
      <c r="J11297"/>
    </row>
    <row r="11298" spans="10:10" x14ac:dyDescent="0.3">
      <c r="J11298"/>
    </row>
    <row r="11299" spans="10:10" x14ac:dyDescent="0.3">
      <c r="J11299"/>
    </row>
    <row r="11300" spans="10:10" x14ac:dyDescent="0.3">
      <c r="J11300"/>
    </row>
    <row r="11301" spans="10:10" x14ac:dyDescent="0.3">
      <c r="J11301"/>
    </row>
    <row r="11302" spans="10:10" x14ac:dyDescent="0.3">
      <c r="J11302"/>
    </row>
    <row r="11303" spans="10:10" x14ac:dyDescent="0.3">
      <c r="J11303"/>
    </row>
    <row r="11304" spans="10:10" x14ac:dyDescent="0.3">
      <c r="J11304"/>
    </row>
    <row r="11305" spans="10:10" x14ac:dyDescent="0.3">
      <c r="J11305"/>
    </row>
    <row r="11306" spans="10:10" x14ac:dyDescent="0.3">
      <c r="J11306"/>
    </row>
    <row r="11307" spans="10:10" x14ac:dyDescent="0.3">
      <c r="J11307"/>
    </row>
    <row r="11308" spans="10:10" x14ac:dyDescent="0.3">
      <c r="J11308"/>
    </row>
    <row r="11309" spans="10:10" x14ac:dyDescent="0.3">
      <c r="J11309"/>
    </row>
    <row r="11310" spans="10:10" x14ac:dyDescent="0.3">
      <c r="J11310"/>
    </row>
    <row r="11311" spans="10:10" x14ac:dyDescent="0.3">
      <c r="J11311"/>
    </row>
    <row r="11312" spans="10:10" x14ac:dyDescent="0.3">
      <c r="J11312"/>
    </row>
    <row r="11313" spans="10:10" x14ac:dyDescent="0.3">
      <c r="J11313"/>
    </row>
    <row r="11314" spans="10:10" x14ac:dyDescent="0.3">
      <c r="J11314"/>
    </row>
    <row r="11315" spans="10:10" x14ac:dyDescent="0.3">
      <c r="J11315"/>
    </row>
    <row r="11316" spans="10:10" x14ac:dyDescent="0.3">
      <c r="J11316"/>
    </row>
    <row r="11317" spans="10:10" x14ac:dyDescent="0.3">
      <c r="J11317"/>
    </row>
    <row r="11318" spans="10:10" x14ac:dyDescent="0.3">
      <c r="J11318"/>
    </row>
    <row r="11319" spans="10:10" x14ac:dyDescent="0.3">
      <c r="J11319"/>
    </row>
    <row r="11320" spans="10:10" x14ac:dyDescent="0.3">
      <c r="J11320"/>
    </row>
    <row r="11321" spans="10:10" x14ac:dyDescent="0.3">
      <c r="J11321"/>
    </row>
    <row r="11322" spans="10:10" x14ac:dyDescent="0.3">
      <c r="J11322"/>
    </row>
    <row r="11323" spans="10:10" x14ac:dyDescent="0.3">
      <c r="J11323"/>
    </row>
    <row r="11324" spans="10:10" x14ac:dyDescent="0.3">
      <c r="J11324"/>
    </row>
    <row r="11325" spans="10:10" x14ac:dyDescent="0.3">
      <c r="J11325"/>
    </row>
    <row r="11326" spans="10:10" x14ac:dyDescent="0.3">
      <c r="J11326"/>
    </row>
    <row r="11327" spans="10:10" x14ac:dyDescent="0.3">
      <c r="J11327"/>
    </row>
    <row r="11328" spans="10:10" x14ac:dyDescent="0.3">
      <c r="J11328"/>
    </row>
    <row r="11329" spans="10:10" x14ac:dyDescent="0.3">
      <c r="J11329"/>
    </row>
    <row r="11330" spans="10:10" x14ac:dyDescent="0.3">
      <c r="J11330"/>
    </row>
    <row r="11331" spans="10:10" x14ac:dyDescent="0.3">
      <c r="J11331"/>
    </row>
    <row r="11332" spans="10:10" x14ac:dyDescent="0.3">
      <c r="J11332"/>
    </row>
    <row r="11333" spans="10:10" x14ac:dyDescent="0.3">
      <c r="J11333"/>
    </row>
    <row r="11334" spans="10:10" x14ac:dyDescent="0.3">
      <c r="J11334"/>
    </row>
    <row r="11335" spans="10:10" x14ac:dyDescent="0.3">
      <c r="J11335"/>
    </row>
    <row r="11336" spans="10:10" x14ac:dyDescent="0.3">
      <c r="J11336"/>
    </row>
    <row r="11337" spans="10:10" x14ac:dyDescent="0.3">
      <c r="J11337"/>
    </row>
    <row r="11338" spans="10:10" x14ac:dyDescent="0.3">
      <c r="J11338"/>
    </row>
    <row r="11339" spans="10:10" x14ac:dyDescent="0.3">
      <c r="J11339"/>
    </row>
    <row r="11340" spans="10:10" x14ac:dyDescent="0.3">
      <c r="J11340"/>
    </row>
    <row r="11341" spans="10:10" x14ac:dyDescent="0.3">
      <c r="J11341"/>
    </row>
    <row r="11342" spans="10:10" x14ac:dyDescent="0.3">
      <c r="J11342"/>
    </row>
    <row r="11343" spans="10:10" x14ac:dyDescent="0.3">
      <c r="J11343"/>
    </row>
    <row r="11344" spans="10:10" x14ac:dyDescent="0.3">
      <c r="J11344"/>
    </row>
    <row r="11345" spans="10:10" x14ac:dyDescent="0.3">
      <c r="J11345"/>
    </row>
    <row r="11346" spans="10:10" x14ac:dyDescent="0.3">
      <c r="J11346"/>
    </row>
    <row r="11347" spans="10:10" x14ac:dyDescent="0.3">
      <c r="J11347"/>
    </row>
    <row r="11348" spans="10:10" x14ac:dyDescent="0.3">
      <c r="J11348"/>
    </row>
    <row r="11349" spans="10:10" x14ac:dyDescent="0.3">
      <c r="J11349"/>
    </row>
    <row r="11350" spans="10:10" x14ac:dyDescent="0.3">
      <c r="J11350"/>
    </row>
    <row r="11351" spans="10:10" x14ac:dyDescent="0.3">
      <c r="J11351"/>
    </row>
    <row r="11352" spans="10:10" x14ac:dyDescent="0.3">
      <c r="J11352"/>
    </row>
    <row r="11353" spans="10:10" x14ac:dyDescent="0.3">
      <c r="J11353"/>
    </row>
    <row r="11354" spans="10:10" x14ac:dyDescent="0.3">
      <c r="J11354"/>
    </row>
    <row r="11355" spans="10:10" x14ac:dyDescent="0.3">
      <c r="J11355"/>
    </row>
    <row r="11356" spans="10:10" x14ac:dyDescent="0.3">
      <c r="J11356"/>
    </row>
    <row r="11357" spans="10:10" x14ac:dyDescent="0.3">
      <c r="J11357"/>
    </row>
    <row r="11358" spans="10:10" x14ac:dyDescent="0.3">
      <c r="J11358"/>
    </row>
    <row r="11359" spans="10:10" x14ac:dyDescent="0.3">
      <c r="J11359"/>
    </row>
    <row r="11360" spans="10:10" x14ac:dyDescent="0.3">
      <c r="J11360"/>
    </row>
    <row r="11361" spans="10:10" x14ac:dyDescent="0.3">
      <c r="J11361"/>
    </row>
    <row r="11362" spans="10:10" x14ac:dyDescent="0.3">
      <c r="J11362"/>
    </row>
    <row r="11363" spans="10:10" x14ac:dyDescent="0.3">
      <c r="J11363"/>
    </row>
    <row r="11364" spans="10:10" x14ac:dyDescent="0.3">
      <c r="J11364"/>
    </row>
    <row r="11365" spans="10:10" x14ac:dyDescent="0.3">
      <c r="J11365"/>
    </row>
    <row r="11366" spans="10:10" x14ac:dyDescent="0.3">
      <c r="J11366"/>
    </row>
    <row r="11367" spans="10:10" x14ac:dyDescent="0.3">
      <c r="J11367"/>
    </row>
    <row r="11368" spans="10:10" x14ac:dyDescent="0.3">
      <c r="J11368"/>
    </row>
    <row r="11369" spans="10:10" x14ac:dyDescent="0.3">
      <c r="J11369"/>
    </row>
    <row r="11370" spans="10:10" x14ac:dyDescent="0.3">
      <c r="J11370"/>
    </row>
    <row r="11371" spans="10:10" x14ac:dyDescent="0.3">
      <c r="J11371"/>
    </row>
    <row r="11372" spans="10:10" x14ac:dyDescent="0.3">
      <c r="J11372"/>
    </row>
    <row r="11373" spans="10:10" x14ac:dyDescent="0.3">
      <c r="J11373"/>
    </row>
    <row r="11374" spans="10:10" x14ac:dyDescent="0.3">
      <c r="J11374"/>
    </row>
    <row r="11375" spans="10:10" x14ac:dyDescent="0.3">
      <c r="J11375"/>
    </row>
    <row r="11376" spans="10:10" x14ac:dyDescent="0.3">
      <c r="J11376"/>
    </row>
    <row r="11377" spans="10:10" x14ac:dyDescent="0.3">
      <c r="J11377"/>
    </row>
    <row r="11378" spans="10:10" x14ac:dyDescent="0.3">
      <c r="J11378"/>
    </row>
    <row r="11379" spans="10:10" x14ac:dyDescent="0.3">
      <c r="J11379"/>
    </row>
    <row r="11380" spans="10:10" x14ac:dyDescent="0.3">
      <c r="J11380"/>
    </row>
    <row r="11381" spans="10:10" x14ac:dyDescent="0.3">
      <c r="J11381"/>
    </row>
    <row r="11382" spans="10:10" x14ac:dyDescent="0.3">
      <c r="J11382"/>
    </row>
    <row r="11383" spans="10:10" x14ac:dyDescent="0.3">
      <c r="J11383"/>
    </row>
    <row r="11384" spans="10:10" x14ac:dyDescent="0.3">
      <c r="J11384"/>
    </row>
    <row r="11385" spans="10:10" x14ac:dyDescent="0.3">
      <c r="J11385"/>
    </row>
    <row r="11386" spans="10:10" x14ac:dyDescent="0.3">
      <c r="J11386"/>
    </row>
    <row r="11387" spans="10:10" x14ac:dyDescent="0.3">
      <c r="J11387"/>
    </row>
    <row r="11388" spans="10:10" x14ac:dyDescent="0.3">
      <c r="J11388"/>
    </row>
    <row r="11389" spans="10:10" x14ac:dyDescent="0.3">
      <c r="J11389"/>
    </row>
    <row r="11390" spans="10:10" x14ac:dyDescent="0.3">
      <c r="J11390"/>
    </row>
    <row r="11391" spans="10:10" x14ac:dyDescent="0.3">
      <c r="J11391"/>
    </row>
    <row r="11392" spans="10:10" x14ac:dyDescent="0.3">
      <c r="J11392"/>
    </row>
    <row r="11393" spans="10:10" x14ac:dyDescent="0.3">
      <c r="J11393"/>
    </row>
    <row r="11394" spans="10:10" x14ac:dyDescent="0.3">
      <c r="J11394"/>
    </row>
    <row r="11395" spans="10:10" x14ac:dyDescent="0.3">
      <c r="J11395"/>
    </row>
    <row r="11396" spans="10:10" x14ac:dyDescent="0.3">
      <c r="J11396"/>
    </row>
    <row r="11397" spans="10:10" x14ac:dyDescent="0.3">
      <c r="J11397"/>
    </row>
    <row r="11398" spans="10:10" x14ac:dyDescent="0.3">
      <c r="J11398"/>
    </row>
    <row r="11399" spans="10:10" x14ac:dyDescent="0.3">
      <c r="J11399"/>
    </row>
    <row r="11400" spans="10:10" x14ac:dyDescent="0.3">
      <c r="J11400"/>
    </row>
    <row r="11401" spans="10:10" x14ac:dyDescent="0.3">
      <c r="J11401"/>
    </row>
    <row r="11402" spans="10:10" x14ac:dyDescent="0.3">
      <c r="J11402"/>
    </row>
    <row r="11403" spans="10:10" x14ac:dyDescent="0.3">
      <c r="J11403"/>
    </row>
    <row r="11404" spans="10:10" x14ac:dyDescent="0.3">
      <c r="J11404"/>
    </row>
    <row r="11405" spans="10:10" x14ac:dyDescent="0.3">
      <c r="J11405"/>
    </row>
    <row r="11406" spans="10:10" x14ac:dyDescent="0.3">
      <c r="J11406"/>
    </row>
    <row r="11407" spans="10:10" x14ac:dyDescent="0.3">
      <c r="J11407"/>
    </row>
    <row r="11408" spans="10:10" x14ac:dyDescent="0.3">
      <c r="J11408"/>
    </row>
    <row r="11409" spans="10:10" x14ac:dyDescent="0.3">
      <c r="J11409"/>
    </row>
    <row r="11410" spans="10:10" x14ac:dyDescent="0.3">
      <c r="J11410"/>
    </row>
    <row r="11411" spans="10:10" x14ac:dyDescent="0.3">
      <c r="J11411"/>
    </row>
    <row r="11412" spans="10:10" x14ac:dyDescent="0.3">
      <c r="J11412"/>
    </row>
    <row r="11413" spans="10:10" x14ac:dyDescent="0.3">
      <c r="J11413"/>
    </row>
    <row r="11414" spans="10:10" x14ac:dyDescent="0.3">
      <c r="J11414"/>
    </row>
    <row r="11415" spans="10:10" x14ac:dyDescent="0.3">
      <c r="J11415"/>
    </row>
    <row r="11416" spans="10:10" x14ac:dyDescent="0.3">
      <c r="J11416"/>
    </row>
    <row r="11417" spans="10:10" x14ac:dyDescent="0.3">
      <c r="J11417"/>
    </row>
    <row r="11418" spans="10:10" x14ac:dyDescent="0.3">
      <c r="J11418"/>
    </row>
    <row r="11419" spans="10:10" x14ac:dyDescent="0.3">
      <c r="J11419"/>
    </row>
    <row r="11420" spans="10:10" x14ac:dyDescent="0.3">
      <c r="J11420"/>
    </row>
    <row r="11421" spans="10:10" x14ac:dyDescent="0.3">
      <c r="J11421"/>
    </row>
    <row r="11422" spans="10:10" x14ac:dyDescent="0.3">
      <c r="J11422"/>
    </row>
    <row r="11423" spans="10:10" x14ac:dyDescent="0.3">
      <c r="J11423"/>
    </row>
    <row r="11424" spans="10:10" x14ac:dyDescent="0.3">
      <c r="J11424"/>
    </row>
    <row r="11425" spans="10:10" x14ac:dyDescent="0.3">
      <c r="J11425"/>
    </row>
    <row r="11426" spans="10:10" x14ac:dyDescent="0.3">
      <c r="J11426"/>
    </row>
    <row r="11427" spans="10:10" x14ac:dyDescent="0.3">
      <c r="J11427"/>
    </row>
    <row r="11428" spans="10:10" x14ac:dyDescent="0.3">
      <c r="J11428"/>
    </row>
    <row r="11429" spans="10:10" x14ac:dyDescent="0.3">
      <c r="J11429"/>
    </row>
    <row r="11430" spans="10:10" x14ac:dyDescent="0.3">
      <c r="J11430"/>
    </row>
    <row r="11431" spans="10:10" x14ac:dyDescent="0.3">
      <c r="J11431"/>
    </row>
    <row r="11432" spans="10:10" x14ac:dyDescent="0.3">
      <c r="J11432"/>
    </row>
    <row r="11433" spans="10:10" x14ac:dyDescent="0.3">
      <c r="J11433"/>
    </row>
    <row r="11434" spans="10:10" x14ac:dyDescent="0.3">
      <c r="J11434"/>
    </row>
    <row r="11435" spans="10:10" x14ac:dyDescent="0.3">
      <c r="J11435"/>
    </row>
    <row r="11436" spans="10:10" x14ac:dyDescent="0.3">
      <c r="J11436"/>
    </row>
    <row r="11437" spans="10:10" x14ac:dyDescent="0.3">
      <c r="J11437"/>
    </row>
    <row r="11438" spans="10:10" x14ac:dyDescent="0.3">
      <c r="J11438"/>
    </row>
    <row r="11439" spans="10:10" x14ac:dyDescent="0.3">
      <c r="J11439"/>
    </row>
    <row r="11440" spans="10:10" x14ac:dyDescent="0.3">
      <c r="J11440"/>
    </row>
    <row r="11441" spans="10:10" x14ac:dyDescent="0.3">
      <c r="J11441"/>
    </row>
    <row r="11442" spans="10:10" x14ac:dyDescent="0.3">
      <c r="J11442"/>
    </row>
    <row r="11443" spans="10:10" x14ac:dyDescent="0.3">
      <c r="J11443"/>
    </row>
    <row r="11444" spans="10:10" x14ac:dyDescent="0.3">
      <c r="J11444"/>
    </row>
    <row r="11445" spans="10:10" x14ac:dyDescent="0.3">
      <c r="J11445"/>
    </row>
    <row r="11446" spans="10:10" x14ac:dyDescent="0.3">
      <c r="J11446"/>
    </row>
    <row r="11447" spans="10:10" x14ac:dyDescent="0.3">
      <c r="J11447"/>
    </row>
    <row r="11448" spans="10:10" x14ac:dyDescent="0.3">
      <c r="J11448"/>
    </row>
    <row r="11449" spans="10:10" x14ac:dyDescent="0.3">
      <c r="J11449"/>
    </row>
    <row r="11450" spans="10:10" x14ac:dyDescent="0.3">
      <c r="J11450"/>
    </row>
    <row r="11451" spans="10:10" x14ac:dyDescent="0.3">
      <c r="J11451"/>
    </row>
    <row r="11452" spans="10:10" x14ac:dyDescent="0.3">
      <c r="J11452"/>
    </row>
    <row r="11453" spans="10:10" x14ac:dyDescent="0.3">
      <c r="J11453"/>
    </row>
    <row r="11454" spans="10:10" x14ac:dyDescent="0.3">
      <c r="J11454"/>
    </row>
    <row r="11455" spans="10:10" x14ac:dyDescent="0.3">
      <c r="J11455"/>
    </row>
    <row r="11456" spans="10:10" x14ac:dyDescent="0.3">
      <c r="J11456"/>
    </row>
    <row r="11457" spans="10:10" x14ac:dyDescent="0.3">
      <c r="J11457"/>
    </row>
    <row r="11458" spans="10:10" x14ac:dyDescent="0.3">
      <c r="J11458"/>
    </row>
    <row r="11459" spans="10:10" x14ac:dyDescent="0.3">
      <c r="J11459"/>
    </row>
    <row r="11460" spans="10:10" x14ac:dyDescent="0.3">
      <c r="J11460"/>
    </row>
    <row r="11461" spans="10:10" x14ac:dyDescent="0.3">
      <c r="J11461"/>
    </row>
    <row r="11462" spans="10:10" x14ac:dyDescent="0.3">
      <c r="J11462"/>
    </row>
    <row r="11463" spans="10:10" x14ac:dyDescent="0.3">
      <c r="J11463"/>
    </row>
    <row r="11464" spans="10:10" x14ac:dyDescent="0.3">
      <c r="J11464"/>
    </row>
    <row r="11465" spans="10:10" x14ac:dyDescent="0.3">
      <c r="J11465"/>
    </row>
    <row r="11466" spans="10:10" x14ac:dyDescent="0.3">
      <c r="J11466"/>
    </row>
    <row r="11467" spans="10:10" x14ac:dyDescent="0.3">
      <c r="J11467"/>
    </row>
    <row r="11468" spans="10:10" x14ac:dyDescent="0.3">
      <c r="J11468"/>
    </row>
    <row r="11469" spans="10:10" x14ac:dyDescent="0.3">
      <c r="J11469"/>
    </row>
    <row r="11470" spans="10:10" x14ac:dyDescent="0.3">
      <c r="J11470"/>
    </row>
    <row r="11471" spans="10:10" x14ac:dyDescent="0.3">
      <c r="J11471"/>
    </row>
    <row r="11472" spans="10:10" x14ac:dyDescent="0.3">
      <c r="J11472"/>
    </row>
    <row r="11473" spans="10:10" x14ac:dyDescent="0.3">
      <c r="J11473"/>
    </row>
    <row r="11474" spans="10:10" x14ac:dyDescent="0.3">
      <c r="J11474"/>
    </row>
    <row r="11475" spans="10:10" x14ac:dyDescent="0.3">
      <c r="J11475"/>
    </row>
    <row r="11476" spans="10:10" x14ac:dyDescent="0.3">
      <c r="J11476"/>
    </row>
    <row r="11477" spans="10:10" x14ac:dyDescent="0.3">
      <c r="J11477"/>
    </row>
    <row r="11478" spans="10:10" x14ac:dyDescent="0.3">
      <c r="J11478"/>
    </row>
    <row r="11479" spans="10:10" x14ac:dyDescent="0.3">
      <c r="J11479"/>
    </row>
    <row r="11480" spans="10:10" x14ac:dyDescent="0.3">
      <c r="J11480"/>
    </row>
    <row r="11481" spans="10:10" x14ac:dyDescent="0.3">
      <c r="J11481"/>
    </row>
    <row r="11482" spans="10:10" x14ac:dyDescent="0.3">
      <c r="J11482"/>
    </row>
    <row r="11483" spans="10:10" x14ac:dyDescent="0.3">
      <c r="J11483"/>
    </row>
    <row r="11484" spans="10:10" x14ac:dyDescent="0.3">
      <c r="J11484"/>
    </row>
    <row r="11485" spans="10:10" x14ac:dyDescent="0.3">
      <c r="J11485"/>
    </row>
    <row r="11486" spans="10:10" x14ac:dyDescent="0.3">
      <c r="J11486"/>
    </row>
    <row r="11487" spans="10:10" x14ac:dyDescent="0.3">
      <c r="J11487"/>
    </row>
    <row r="11488" spans="10:10" x14ac:dyDescent="0.3">
      <c r="J11488"/>
    </row>
    <row r="11489" spans="10:10" x14ac:dyDescent="0.3">
      <c r="J11489"/>
    </row>
    <row r="11490" spans="10:10" x14ac:dyDescent="0.3">
      <c r="J11490"/>
    </row>
    <row r="11491" spans="10:10" x14ac:dyDescent="0.3">
      <c r="J11491"/>
    </row>
    <row r="11492" spans="10:10" x14ac:dyDescent="0.3">
      <c r="J11492"/>
    </row>
    <row r="11493" spans="10:10" x14ac:dyDescent="0.3">
      <c r="J11493"/>
    </row>
    <row r="11494" spans="10:10" x14ac:dyDescent="0.3">
      <c r="J11494"/>
    </row>
    <row r="11495" spans="10:10" x14ac:dyDescent="0.3">
      <c r="J11495"/>
    </row>
    <row r="11496" spans="10:10" x14ac:dyDescent="0.3">
      <c r="J11496"/>
    </row>
    <row r="11497" spans="10:10" x14ac:dyDescent="0.3">
      <c r="J11497"/>
    </row>
    <row r="11498" spans="10:10" x14ac:dyDescent="0.3">
      <c r="J11498"/>
    </row>
    <row r="11499" spans="10:10" x14ac:dyDescent="0.3">
      <c r="J11499"/>
    </row>
    <row r="11500" spans="10:10" x14ac:dyDescent="0.3">
      <c r="J11500"/>
    </row>
    <row r="11501" spans="10:10" x14ac:dyDescent="0.3">
      <c r="J11501"/>
    </row>
    <row r="11502" spans="10:10" x14ac:dyDescent="0.3">
      <c r="J11502"/>
    </row>
    <row r="11503" spans="10:10" x14ac:dyDescent="0.3">
      <c r="J11503"/>
    </row>
    <row r="11504" spans="10:10" x14ac:dyDescent="0.3">
      <c r="J11504"/>
    </row>
    <row r="11505" spans="10:10" x14ac:dyDescent="0.3">
      <c r="J11505"/>
    </row>
    <row r="11506" spans="10:10" x14ac:dyDescent="0.3">
      <c r="J11506"/>
    </row>
    <row r="11507" spans="10:10" x14ac:dyDescent="0.3">
      <c r="J11507"/>
    </row>
    <row r="11508" spans="10:10" x14ac:dyDescent="0.3">
      <c r="J11508"/>
    </row>
    <row r="11509" spans="10:10" x14ac:dyDescent="0.3">
      <c r="J11509"/>
    </row>
    <row r="11510" spans="10:10" x14ac:dyDescent="0.3">
      <c r="J11510"/>
    </row>
    <row r="11511" spans="10:10" x14ac:dyDescent="0.3">
      <c r="J11511"/>
    </row>
    <row r="11512" spans="10:10" x14ac:dyDescent="0.3">
      <c r="J11512"/>
    </row>
    <row r="11513" spans="10:10" x14ac:dyDescent="0.3">
      <c r="J11513"/>
    </row>
    <row r="11514" spans="10:10" x14ac:dyDescent="0.3">
      <c r="J11514"/>
    </row>
    <row r="11515" spans="10:10" x14ac:dyDescent="0.3">
      <c r="J11515"/>
    </row>
    <row r="11516" spans="10:10" x14ac:dyDescent="0.3">
      <c r="J11516"/>
    </row>
    <row r="11517" spans="10:10" x14ac:dyDescent="0.3">
      <c r="J11517"/>
    </row>
    <row r="11518" spans="10:10" x14ac:dyDescent="0.3">
      <c r="J11518"/>
    </row>
    <row r="11519" spans="10:10" x14ac:dyDescent="0.3">
      <c r="J11519"/>
    </row>
    <row r="11520" spans="10:10" x14ac:dyDescent="0.3">
      <c r="J11520"/>
    </row>
    <row r="11521" spans="10:10" x14ac:dyDescent="0.3">
      <c r="J11521"/>
    </row>
    <row r="11522" spans="10:10" x14ac:dyDescent="0.3">
      <c r="J11522"/>
    </row>
    <row r="11523" spans="10:10" x14ac:dyDescent="0.3">
      <c r="J11523"/>
    </row>
    <row r="11524" spans="10:10" x14ac:dyDescent="0.3">
      <c r="J11524"/>
    </row>
    <row r="11525" spans="10:10" x14ac:dyDescent="0.3">
      <c r="J11525"/>
    </row>
    <row r="11526" spans="10:10" x14ac:dyDescent="0.3">
      <c r="J11526"/>
    </row>
    <row r="11527" spans="10:10" x14ac:dyDescent="0.3">
      <c r="J11527"/>
    </row>
    <row r="11528" spans="10:10" x14ac:dyDescent="0.3">
      <c r="J11528"/>
    </row>
    <row r="11529" spans="10:10" x14ac:dyDescent="0.3">
      <c r="J11529"/>
    </row>
    <row r="11530" spans="10:10" x14ac:dyDescent="0.3">
      <c r="J11530"/>
    </row>
    <row r="11531" spans="10:10" x14ac:dyDescent="0.3">
      <c r="J11531"/>
    </row>
    <row r="11532" spans="10:10" x14ac:dyDescent="0.3">
      <c r="J11532"/>
    </row>
    <row r="11533" spans="10:10" x14ac:dyDescent="0.3">
      <c r="J11533"/>
    </row>
    <row r="11534" spans="10:10" x14ac:dyDescent="0.3">
      <c r="J11534"/>
    </row>
    <row r="11535" spans="10:10" x14ac:dyDescent="0.3">
      <c r="J11535"/>
    </row>
    <row r="11536" spans="10:10" x14ac:dyDescent="0.3">
      <c r="J11536"/>
    </row>
    <row r="11537" spans="10:10" x14ac:dyDescent="0.3">
      <c r="J11537"/>
    </row>
    <row r="11538" spans="10:10" x14ac:dyDescent="0.3">
      <c r="J11538"/>
    </row>
    <row r="11539" spans="10:10" x14ac:dyDescent="0.3">
      <c r="J11539"/>
    </row>
    <row r="11540" spans="10:10" x14ac:dyDescent="0.3">
      <c r="J11540"/>
    </row>
    <row r="11541" spans="10:10" x14ac:dyDescent="0.3">
      <c r="J11541"/>
    </row>
    <row r="11542" spans="10:10" x14ac:dyDescent="0.3">
      <c r="J11542"/>
    </row>
    <row r="11543" spans="10:10" x14ac:dyDescent="0.3">
      <c r="J11543"/>
    </row>
    <row r="11544" spans="10:10" x14ac:dyDescent="0.3">
      <c r="J11544"/>
    </row>
    <row r="11545" spans="10:10" x14ac:dyDescent="0.3">
      <c r="J11545"/>
    </row>
    <row r="11546" spans="10:10" x14ac:dyDescent="0.3">
      <c r="J11546"/>
    </row>
    <row r="11547" spans="10:10" x14ac:dyDescent="0.3">
      <c r="J11547"/>
    </row>
    <row r="11548" spans="10:10" x14ac:dyDescent="0.3">
      <c r="J11548"/>
    </row>
    <row r="11549" spans="10:10" x14ac:dyDescent="0.3">
      <c r="J11549"/>
    </row>
    <row r="11550" spans="10:10" x14ac:dyDescent="0.3">
      <c r="J11550"/>
    </row>
    <row r="11551" spans="10:10" x14ac:dyDescent="0.3">
      <c r="J11551"/>
    </row>
    <row r="11552" spans="10:10" x14ac:dyDescent="0.3">
      <c r="J11552"/>
    </row>
    <row r="11553" spans="10:10" x14ac:dyDescent="0.3">
      <c r="J11553"/>
    </row>
    <row r="11554" spans="10:10" x14ac:dyDescent="0.3">
      <c r="J11554"/>
    </row>
    <row r="11555" spans="10:10" x14ac:dyDescent="0.3">
      <c r="J11555"/>
    </row>
    <row r="11556" spans="10:10" x14ac:dyDescent="0.3">
      <c r="J11556"/>
    </row>
    <row r="11557" spans="10:10" x14ac:dyDescent="0.3">
      <c r="J11557"/>
    </row>
    <row r="11558" spans="10:10" x14ac:dyDescent="0.3">
      <c r="J11558"/>
    </row>
    <row r="11559" spans="10:10" x14ac:dyDescent="0.3">
      <c r="J11559"/>
    </row>
    <row r="11560" spans="10:10" x14ac:dyDescent="0.3">
      <c r="J11560"/>
    </row>
    <row r="11561" spans="10:10" x14ac:dyDescent="0.3">
      <c r="J11561"/>
    </row>
    <row r="11562" spans="10:10" x14ac:dyDescent="0.3">
      <c r="J11562"/>
    </row>
    <row r="11563" spans="10:10" x14ac:dyDescent="0.3">
      <c r="J11563"/>
    </row>
    <row r="11564" spans="10:10" x14ac:dyDescent="0.3">
      <c r="J11564"/>
    </row>
    <row r="11565" spans="10:10" x14ac:dyDescent="0.3">
      <c r="J11565"/>
    </row>
    <row r="11566" spans="10:10" x14ac:dyDescent="0.3">
      <c r="J11566"/>
    </row>
    <row r="11567" spans="10:10" x14ac:dyDescent="0.3">
      <c r="J11567"/>
    </row>
    <row r="11568" spans="10:10" x14ac:dyDescent="0.3">
      <c r="J11568"/>
    </row>
    <row r="11569" spans="10:10" x14ac:dyDescent="0.3">
      <c r="J11569"/>
    </row>
    <row r="11570" spans="10:10" x14ac:dyDescent="0.3">
      <c r="J11570"/>
    </row>
    <row r="11571" spans="10:10" x14ac:dyDescent="0.3">
      <c r="J11571"/>
    </row>
    <row r="11572" spans="10:10" x14ac:dyDescent="0.3">
      <c r="J11572"/>
    </row>
    <row r="11573" spans="10:10" x14ac:dyDescent="0.3">
      <c r="J11573"/>
    </row>
    <row r="11574" spans="10:10" x14ac:dyDescent="0.3">
      <c r="J11574"/>
    </row>
    <row r="11575" spans="10:10" x14ac:dyDescent="0.3">
      <c r="J11575"/>
    </row>
    <row r="11576" spans="10:10" x14ac:dyDescent="0.3">
      <c r="J11576"/>
    </row>
    <row r="11577" spans="10:10" x14ac:dyDescent="0.3">
      <c r="J11577"/>
    </row>
    <row r="11578" spans="10:10" x14ac:dyDescent="0.3">
      <c r="J11578"/>
    </row>
    <row r="11579" spans="10:10" x14ac:dyDescent="0.3">
      <c r="J11579"/>
    </row>
    <row r="11580" spans="10:10" x14ac:dyDescent="0.3">
      <c r="J11580"/>
    </row>
    <row r="11581" spans="10:10" x14ac:dyDescent="0.3">
      <c r="J11581"/>
    </row>
    <row r="11582" spans="10:10" x14ac:dyDescent="0.3">
      <c r="J11582"/>
    </row>
    <row r="11583" spans="10:10" x14ac:dyDescent="0.3">
      <c r="J11583"/>
    </row>
    <row r="11584" spans="10:10" x14ac:dyDescent="0.3">
      <c r="J11584"/>
    </row>
    <row r="11585" spans="10:10" x14ac:dyDescent="0.3">
      <c r="J11585"/>
    </row>
    <row r="11586" spans="10:10" x14ac:dyDescent="0.3">
      <c r="J11586"/>
    </row>
    <row r="11587" spans="10:10" x14ac:dyDescent="0.3">
      <c r="J11587"/>
    </row>
    <row r="11588" spans="10:10" x14ac:dyDescent="0.3">
      <c r="J11588"/>
    </row>
    <row r="11589" spans="10:10" x14ac:dyDescent="0.3">
      <c r="J11589"/>
    </row>
    <row r="11590" spans="10:10" x14ac:dyDescent="0.3">
      <c r="J11590"/>
    </row>
    <row r="11591" spans="10:10" x14ac:dyDescent="0.3">
      <c r="J11591"/>
    </row>
    <row r="11592" spans="10:10" x14ac:dyDescent="0.3">
      <c r="J11592"/>
    </row>
    <row r="11593" spans="10:10" x14ac:dyDescent="0.3">
      <c r="J11593"/>
    </row>
    <row r="11594" spans="10:10" x14ac:dyDescent="0.3">
      <c r="J11594"/>
    </row>
    <row r="11595" spans="10:10" x14ac:dyDescent="0.3">
      <c r="J11595"/>
    </row>
    <row r="11596" spans="10:10" x14ac:dyDescent="0.3">
      <c r="J11596"/>
    </row>
    <row r="11597" spans="10:10" x14ac:dyDescent="0.3">
      <c r="J11597"/>
    </row>
    <row r="11598" spans="10:10" x14ac:dyDescent="0.3">
      <c r="J11598"/>
    </row>
    <row r="11599" spans="10:10" x14ac:dyDescent="0.3">
      <c r="J11599"/>
    </row>
    <row r="11600" spans="10:10" x14ac:dyDescent="0.3">
      <c r="J11600"/>
    </row>
    <row r="11601" spans="10:10" x14ac:dyDescent="0.3">
      <c r="J11601"/>
    </row>
    <row r="11602" spans="10:10" x14ac:dyDescent="0.3">
      <c r="J11602"/>
    </row>
    <row r="11603" spans="10:10" x14ac:dyDescent="0.3">
      <c r="J11603"/>
    </row>
    <row r="11604" spans="10:10" x14ac:dyDescent="0.3">
      <c r="J11604"/>
    </row>
    <row r="11605" spans="10:10" x14ac:dyDescent="0.3">
      <c r="J11605"/>
    </row>
    <row r="11606" spans="10:10" x14ac:dyDescent="0.3">
      <c r="J11606"/>
    </row>
    <row r="11607" spans="10:10" x14ac:dyDescent="0.3">
      <c r="J11607"/>
    </row>
    <row r="11608" spans="10:10" x14ac:dyDescent="0.3">
      <c r="J11608"/>
    </row>
    <row r="11609" spans="10:10" x14ac:dyDescent="0.3">
      <c r="J11609"/>
    </row>
    <row r="11610" spans="10:10" x14ac:dyDescent="0.3">
      <c r="J11610"/>
    </row>
    <row r="11611" spans="10:10" x14ac:dyDescent="0.3">
      <c r="J11611"/>
    </row>
    <row r="11612" spans="10:10" x14ac:dyDescent="0.3">
      <c r="J11612"/>
    </row>
    <row r="11613" spans="10:10" x14ac:dyDescent="0.3">
      <c r="J11613"/>
    </row>
    <row r="11614" spans="10:10" x14ac:dyDescent="0.3">
      <c r="J11614"/>
    </row>
    <row r="11615" spans="10:10" x14ac:dyDescent="0.3">
      <c r="J11615"/>
    </row>
    <row r="11616" spans="10:10" x14ac:dyDescent="0.3">
      <c r="J11616"/>
    </row>
    <row r="11617" spans="10:10" x14ac:dyDescent="0.3">
      <c r="J11617"/>
    </row>
    <row r="11618" spans="10:10" x14ac:dyDescent="0.3">
      <c r="J11618"/>
    </row>
    <row r="11619" spans="10:10" x14ac:dyDescent="0.3">
      <c r="J11619"/>
    </row>
    <row r="11620" spans="10:10" x14ac:dyDescent="0.3">
      <c r="J11620"/>
    </row>
    <row r="11621" spans="10:10" x14ac:dyDescent="0.3">
      <c r="J11621"/>
    </row>
    <row r="11622" spans="10:10" x14ac:dyDescent="0.3">
      <c r="J11622"/>
    </row>
    <row r="11623" spans="10:10" x14ac:dyDescent="0.3">
      <c r="J11623"/>
    </row>
    <row r="11624" spans="10:10" x14ac:dyDescent="0.3">
      <c r="J11624"/>
    </row>
    <row r="11625" spans="10:10" x14ac:dyDescent="0.3">
      <c r="J11625"/>
    </row>
    <row r="11626" spans="10:10" x14ac:dyDescent="0.3">
      <c r="J11626"/>
    </row>
    <row r="11627" spans="10:10" x14ac:dyDescent="0.3">
      <c r="J11627"/>
    </row>
    <row r="11628" spans="10:10" x14ac:dyDescent="0.3">
      <c r="J11628"/>
    </row>
    <row r="11629" spans="10:10" x14ac:dyDescent="0.3">
      <c r="J11629"/>
    </row>
    <row r="11630" spans="10:10" x14ac:dyDescent="0.3">
      <c r="J11630"/>
    </row>
    <row r="11631" spans="10:10" x14ac:dyDescent="0.3">
      <c r="J11631"/>
    </row>
    <row r="11632" spans="10:10" x14ac:dyDescent="0.3">
      <c r="J11632"/>
    </row>
    <row r="11633" spans="10:10" x14ac:dyDescent="0.3">
      <c r="J11633"/>
    </row>
    <row r="11634" spans="10:10" x14ac:dyDescent="0.3">
      <c r="J11634"/>
    </row>
    <row r="11635" spans="10:10" x14ac:dyDescent="0.3">
      <c r="J11635"/>
    </row>
    <row r="11636" spans="10:10" x14ac:dyDescent="0.3">
      <c r="J11636"/>
    </row>
    <row r="11637" spans="10:10" x14ac:dyDescent="0.3">
      <c r="J11637"/>
    </row>
    <row r="11638" spans="10:10" x14ac:dyDescent="0.3">
      <c r="J11638"/>
    </row>
    <row r="11639" spans="10:10" x14ac:dyDescent="0.3">
      <c r="J11639"/>
    </row>
    <row r="11640" spans="10:10" x14ac:dyDescent="0.3">
      <c r="J11640"/>
    </row>
    <row r="11641" spans="10:10" x14ac:dyDescent="0.3">
      <c r="J11641"/>
    </row>
    <row r="11642" spans="10:10" x14ac:dyDescent="0.3">
      <c r="J11642"/>
    </row>
    <row r="11643" spans="10:10" x14ac:dyDescent="0.3">
      <c r="J11643"/>
    </row>
    <row r="11644" spans="10:10" x14ac:dyDescent="0.3">
      <c r="J11644"/>
    </row>
    <row r="11645" spans="10:10" x14ac:dyDescent="0.3">
      <c r="J11645"/>
    </row>
    <row r="11646" spans="10:10" x14ac:dyDescent="0.3">
      <c r="J11646"/>
    </row>
    <row r="11647" spans="10:10" x14ac:dyDescent="0.3">
      <c r="J11647"/>
    </row>
    <row r="11648" spans="10:10" x14ac:dyDescent="0.3">
      <c r="J11648"/>
    </row>
    <row r="11649" spans="10:10" x14ac:dyDescent="0.3">
      <c r="J11649"/>
    </row>
    <row r="11650" spans="10:10" x14ac:dyDescent="0.3">
      <c r="J11650"/>
    </row>
    <row r="11651" spans="10:10" x14ac:dyDescent="0.3">
      <c r="J11651"/>
    </row>
    <row r="11652" spans="10:10" x14ac:dyDescent="0.3">
      <c r="J11652"/>
    </row>
    <row r="11653" spans="10:10" x14ac:dyDescent="0.3">
      <c r="J11653"/>
    </row>
    <row r="11654" spans="10:10" x14ac:dyDescent="0.3">
      <c r="J11654"/>
    </row>
    <row r="11655" spans="10:10" x14ac:dyDescent="0.3">
      <c r="J11655"/>
    </row>
    <row r="11656" spans="10:10" x14ac:dyDescent="0.3">
      <c r="J11656"/>
    </row>
    <row r="11657" spans="10:10" x14ac:dyDescent="0.3">
      <c r="J11657"/>
    </row>
    <row r="11658" spans="10:10" x14ac:dyDescent="0.3">
      <c r="J11658"/>
    </row>
    <row r="11659" spans="10:10" x14ac:dyDescent="0.3">
      <c r="J11659"/>
    </row>
    <row r="11660" spans="10:10" x14ac:dyDescent="0.3">
      <c r="J11660"/>
    </row>
    <row r="11661" spans="10:10" x14ac:dyDescent="0.3">
      <c r="J11661"/>
    </row>
    <row r="11662" spans="10:10" x14ac:dyDescent="0.3">
      <c r="J11662"/>
    </row>
    <row r="11663" spans="10:10" x14ac:dyDescent="0.3">
      <c r="J11663"/>
    </row>
    <row r="11664" spans="10:10" x14ac:dyDescent="0.3">
      <c r="J11664"/>
    </row>
    <row r="11665" spans="10:10" x14ac:dyDescent="0.3">
      <c r="J11665"/>
    </row>
    <row r="11666" spans="10:10" x14ac:dyDescent="0.3">
      <c r="J11666"/>
    </row>
    <row r="11667" spans="10:10" x14ac:dyDescent="0.3">
      <c r="J11667"/>
    </row>
    <row r="11668" spans="10:10" x14ac:dyDescent="0.3">
      <c r="J11668"/>
    </row>
    <row r="11669" spans="10:10" x14ac:dyDescent="0.3">
      <c r="J11669"/>
    </row>
    <row r="11670" spans="10:10" x14ac:dyDescent="0.3">
      <c r="J11670"/>
    </row>
    <row r="11671" spans="10:10" x14ac:dyDescent="0.3">
      <c r="J11671"/>
    </row>
    <row r="11672" spans="10:10" x14ac:dyDescent="0.3">
      <c r="J11672"/>
    </row>
    <row r="11673" spans="10:10" x14ac:dyDescent="0.3">
      <c r="J11673"/>
    </row>
    <row r="11674" spans="10:10" x14ac:dyDescent="0.3">
      <c r="J11674"/>
    </row>
    <row r="11675" spans="10:10" x14ac:dyDescent="0.3">
      <c r="J11675"/>
    </row>
    <row r="11676" spans="10:10" x14ac:dyDescent="0.3">
      <c r="J11676"/>
    </row>
    <row r="11677" spans="10:10" x14ac:dyDescent="0.3">
      <c r="J11677"/>
    </row>
    <row r="11678" spans="10:10" x14ac:dyDescent="0.3">
      <c r="J11678"/>
    </row>
    <row r="11679" spans="10:10" x14ac:dyDescent="0.3">
      <c r="J11679"/>
    </row>
    <row r="11680" spans="10:10" x14ac:dyDescent="0.3">
      <c r="J11680"/>
    </row>
    <row r="11681" spans="10:10" x14ac:dyDescent="0.3">
      <c r="J11681"/>
    </row>
    <row r="11682" spans="10:10" x14ac:dyDescent="0.3">
      <c r="J11682"/>
    </row>
    <row r="11683" spans="10:10" x14ac:dyDescent="0.3">
      <c r="J11683"/>
    </row>
    <row r="11684" spans="10:10" x14ac:dyDescent="0.3">
      <c r="J11684"/>
    </row>
    <row r="11685" spans="10:10" x14ac:dyDescent="0.3">
      <c r="J11685"/>
    </row>
    <row r="11686" spans="10:10" x14ac:dyDescent="0.3">
      <c r="J11686"/>
    </row>
    <row r="11687" spans="10:10" x14ac:dyDescent="0.3">
      <c r="J11687"/>
    </row>
    <row r="11688" spans="10:10" x14ac:dyDescent="0.3">
      <c r="J11688"/>
    </row>
    <row r="11689" spans="10:10" x14ac:dyDescent="0.3">
      <c r="J11689"/>
    </row>
    <row r="11690" spans="10:10" x14ac:dyDescent="0.3">
      <c r="J11690"/>
    </row>
    <row r="11691" spans="10:10" x14ac:dyDescent="0.3">
      <c r="J11691"/>
    </row>
    <row r="11692" spans="10:10" x14ac:dyDescent="0.3">
      <c r="J11692"/>
    </row>
    <row r="11693" spans="10:10" x14ac:dyDescent="0.3">
      <c r="J11693"/>
    </row>
    <row r="11694" spans="10:10" x14ac:dyDescent="0.3">
      <c r="J11694"/>
    </row>
    <row r="11695" spans="10:10" x14ac:dyDescent="0.3">
      <c r="J11695"/>
    </row>
    <row r="11696" spans="10:10" x14ac:dyDescent="0.3">
      <c r="J11696"/>
    </row>
    <row r="11697" spans="10:10" x14ac:dyDescent="0.3">
      <c r="J11697"/>
    </row>
    <row r="11698" spans="10:10" x14ac:dyDescent="0.3">
      <c r="J11698"/>
    </row>
    <row r="11699" spans="10:10" x14ac:dyDescent="0.3">
      <c r="J11699"/>
    </row>
    <row r="11700" spans="10:10" x14ac:dyDescent="0.3">
      <c r="J11700"/>
    </row>
    <row r="11701" spans="10:10" x14ac:dyDescent="0.3">
      <c r="J11701"/>
    </row>
    <row r="11702" spans="10:10" x14ac:dyDescent="0.3">
      <c r="J11702"/>
    </row>
    <row r="11703" spans="10:10" x14ac:dyDescent="0.3">
      <c r="J11703"/>
    </row>
    <row r="11704" spans="10:10" x14ac:dyDescent="0.3">
      <c r="J11704"/>
    </row>
    <row r="11705" spans="10:10" x14ac:dyDescent="0.3">
      <c r="J11705"/>
    </row>
    <row r="11706" spans="10:10" x14ac:dyDescent="0.3">
      <c r="J11706"/>
    </row>
    <row r="11707" spans="10:10" x14ac:dyDescent="0.3">
      <c r="J11707"/>
    </row>
    <row r="11708" spans="10:10" x14ac:dyDescent="0.3">
      <c r="J11708"/>
    </row>
    <row r="11709" spans="10:10" x14ac:dyDescent="0.3">
      <c r="J11709"/>
    </row>
    <row r="11710" spans="10:10" x14ac:dyDescent="0.3">
      <c r="J11710"/>
    </row>
    <row r="11711" spans="10:10" x14ac:dyDescent="0.3">
      <c r="J11711"/>
    </row>
    <row r="11712" spans="10:10" x14ac:dyDescent="0.3">
      <c r="J11712"/>
    </row>
    <row r="11713" spans="10:10" x14ac:dyDescent="0.3">
      <c r="J11713"/>
    </row>
    <row r="11714" spans="10:10" x14ac:dyDescent="0.3">
      <c r="J11714"/>
    </row>
    <row r="11715" spans="10:10" x14ac:dyDescent="0.3">
      <c r="J11715"/>
    </row>
    <row r="11716" spans="10:10" x14ac:dyDescent="0.3">
      <c r="J11716"/>
    </row>
    <row r="11717" spans="10:10" x14ac:dyDescent="0.3">
      <c r="J11717"/>
    </row>
    <row r="11718" spans="10:10" x14ac:dyDescent="0.3">
      <c r="J11718"/>
    </row>
    <row r="11719" spans="10:10" x14ac:dyDescent="0.3">
      <c r="J11719"/>
    </row>
    <row r="11720" spans="10:10" x14ac:dyDescent="0.3">
      <c r="J11720"/>
    </row>
    <row r="11721" spans="10:10" x14ac:dyDescent="0.3">
      <c r="J11721"/>
    </row>
    <row r="11722" spans="10:10" x14ac:dyDescent="0.3">
      <c r="J11722"/>
    </row>
    <row r="11723" spans="10:10" x14ac:dyDescent="0.3">
      <c r="J11723"/>
    </row>
    <row r="11724" spans="10:10" x14ac:dyDescent="0.3">
      <c r="J11724"/>
    </row>
    <row r="11725" spans="10:10" x14ac:dyDescent="0.3">
      <c r="J11725"/>
    </row>
    <row r="11726" spans="10:10" x14ac:dyDescent="0.3">
      <c r="J11726"/>
    </row>
    <row r="11727" spans="10:10" x14ac:dyDescent="0.3">
      <c r="J11727"/>
    </row>
    <row r="11728" spans="10:10" x14ac:dyDescent="0.3">
      <c r="J11728"/>
    </row>
    <row r="11729" spans="10:10" x14ac:dyDescent="0.3">
      <c r="J11729"/>
    </row>
    <row r="11730" spans="10:10" x14ac:dyDescent="0.3">
      <c r="J11730"/>
    </row>
    <row r="11731" spans="10:10" x14ac:dyDescent="0.3">
      <c r="J11731"/>
    </row>
    <row r="11732" spans="10:10" x14ac:dyDescent="0.3">
      <c r="J11732"/>
    </row>
    <row r="11733" spans="10:10" x14ac:dyDescent="0.3">
      <c r="J11733"/>
    </row>
    <row r="11734" spans="10:10" x14ac:dyDescent="0.3">
      <c r="J11734"/>
    </row>
    <row r="11735" spans="10:10" x14ac:dyDescent="0.3">
      <c r="J11735"/>
    </row>
    <row r="11736" spans="10:10" x14ac:dyDescent="0.3">
      <c r="J11736"/>
    </row>
    <row r="11737" spans="10:10" x14ac:dyDescent="0.3">
      <c r="J11737"/>
    </row>
    <row r="11738" spans="10:10" x14ac:dyDescent="0.3">
      <c r="J11738"/>
    </row>
    <row r="11739" spans="10:10" x14ac:dyDescent="0.3">
      <c r="J11739"/>
    </row>
    <row r="11740" spans="10:10" x14ac:dyDescent="0.3">
      <c r="J11740"/>
    </row>
    <row r="11741" spans="10:10" x14ac:dyDescent="0.3">
      <c r="J11741"/>
    </row>
    <row r="11742" spans="10:10" x14ac:dyDescent="0.3">
      <c r="J11742"/>
    </row>
    <row r="11743" spans="10:10" x14ac:dyDescent="0.3">
      <c r="J11743"/>
    </row>
    <row r="11744" spans="10:10" x14ac:dyDescent="0.3">
      <c r="J11744"/>
    </row>
    <row r="11745" spans="10:10" x14ac:dyDescent="0.3">
      <c r="J11745"/>
    </row>
    <row r="11746" spans="10:10" x14ac:dyDescent="0.3">
      <c r="J11746"/>
    </row>
    <row r="11747" spans="10:10" x14ac:dyDescent="0.3">
      <c r="J11747"/>
    </row>
    <row r="11748" spans="10:10" x14ac:dyDescent="0.3">
      <c r="J11748"/>
    </row>
    <row r="11749" spans="10:10" x14ac:dyDescent="0.3">
      <c r="J11749"/>
    </row>
    <row r="11750" spans="10:10" x14ac:dyDescent="0.3">
      <c r="J11750"/>
    </row>
    <row r="11751" spans="10:10" x14ac:dyDescent="0.3">
      <c r="J11751"/>
    </row>
    <row r="11752" spans="10:10" x14ac:dyDescent="0.3">
      <c r="J11752"/>
    </row>
    <row r="11753" spans="10:10" x14ac:dyDescent="0.3">
      <c r="J11753"/>
    </row>
    <row r="11754" spans="10:10" x14ac:dyDescent="0.3">
      <c r="J11754"/>
    </row>
    <row r="11755" spans="10:10" x14ac:dyDescent="0.3">
      <c r="J11755"/>
    </row>
    <row r="11756" spans="10:10" x14ac:dyDescent="0.3">
      <c r="J11756"/>
    </row>
    <row r="11757" spans="10:10" x14ac:dyDescent="0.3">
      <c r="J11757"/>
    </row>
    <row r="11758" spans="10:10" x14ac:dyDescent="0.3">
      <c r="J11758"/>
    </row>
    <row r="11759" spans="10:10" x14ac:dyDescent="0.3">
      <c r="J11759"/>
    </row>
    <row r="11760" spans="10:10" x14ac:dyDescent="0.3">
      <c r="J11760"/>
    </row>
    <row r="11761" spans="10:10" x14ac:dyDescent="0.3">
      <c r="J11761"/>
    </row>
    <row r="11762" spans="10:10" x14ac:dyDescent="0.3">
      <c r="J11762"/>
    </row>
    <row r="11763" spans="10:10" x14ac:dyDescent="0.3">
      <c r="J11763"/>
    </row>
    <row r="11764" spans="10:10" x14ac:dyDescent="0.3">
      <c r="J11764"/>
    </row>
    <row r="11765" spans="10:10" x14ac:dyDescent="0.3">
      <c r="J11765"/>
    </row>
    <row r="11766" spans="10:10" x14ac:dyDescent="0.3">
      <c r="J11766"/>
    </row>
    <row r="11767" spans="10:10" x14ac:dyDescent="0.3">
      <c r="J11767"/>
    </row>
    <row r="11768" spans="10:10" x14ac:dyDescent="0.3">
      <c r="J11768"/>
    </row>
    <row r="11769" spans="10:10" x14ac:dyDescent="0.3">
      <c r="J11769"/>
    </row>
    <row r="11770" spans="10:10" x14ac:dyDescent="0.3">
      <c r="J11770"/>
    </row>
    <row r="11771" spans="10:10" x14ac:dyDescent="0.3">
      <c r="J11771"/>
    </row>
    <row r="11772" spans="10:10" x14ac:dyDescent="0.3">
      <c r="J11772"/>
    </row>
    <row r="11773" spans="10:10" x14ac:dyDescent="0.3">
      <c r="J11773"/>
    </row>
    <row r="11774" spans="10:10" x14ac:dyDescent="0.3">
      <c r="J11774"/>
    </row>
    <row r="11775" spans="10:10" x14ac:dyDescent="0.3">
      <c r="J11775"/>
    </row>
    <row r="11776" spans="10:10" x14ac:dyDescent="0.3">
      <c r="J11776"/>
    </row>
    <row r="11777" spans="10:10" x14ac:dyDescent="0.3">
      <c r="J11777"/>
    </row>
    <row r="11778" spans="10:10" x14ac:dyDescent="0.3">
      <c r="J11778"/>
    </row>
    <row r="11779" spans="10:10" x14ac:dyDescent="0.3">
      <c r="J11779"/>
    </row>
    <row r="11780" spans="10:10" x14ac:dyDescent="0.3">
      <c r="J11780"/>
    </row>
    <row r="11781" spans="10:10" x14ac:dyDescent="0.3">
      <c r="J11781"/>
    </row>
    <row r="11782" spans="10:10" x14ac:dyDescent="0.3">
      <c r="J11782"/>
    </row>
    <row r="11783" spans="10:10" x14ac:dyDescent="0.3">
      <c r="J11783"/>
    </row>
    <row r="11784" spans="10:10" x14ac:dyDescent="0.3">
      <c r="J11784"/>
    </row>
    <row r="11785" spans="10:10" x14ac:dyDescent="0.3">
      <c r="J11785"/>
    </row>
    <row r="11786" spans="10:10" x14ac:dyDescent="0.3">
      <c r="J11786"/>
    </row>
    <row r="11787" spans="10:10" x14ac:dyDescent="0.3">
      <c r="J11787"/>
    </row>
    <row r="11788" spans="10:10" x14ac:dyDescent="0.3">
      <c r="J11788"/>
    </row>
    <row r="11789" spans="10:10" x14ac:dyDescent="0.3">
      <c r="J11789"/>
    </row>
    <row r="11790" spans="10:10" x14ac:dyDescent="0.3">
      <c r="J11790"/>
    </row>
    <row r="11791" spans="10:10" x14ac:dyDescent="0.3">
      <c r="J11791"/>
    </row>
    <row r="11792" spans="10:10" x14ac:dyDescent="0.3">
      <c r="J11792"/>
    </row>
    <row r="11793" spans="10:10" x14ac:dyDescent="0.3">
      <c r="J11793"/>
    </row>
    <row r="11794" spans="10:10" x14ac:dyDescent="0.3">
      <c r="J11794"/>
    </row>
    <row r="11795" spans="10:10" x14ac:dyDescent="0.3">
      <c r="J11795"/>
    </row>
    <row r="11796" spans="10:10" x14ac:dyDescent="0.3">
      <c r="J11796"/>
    </row>
    <row r="11797" spans="10:10" x14ac:dyDescent="0.3">
      <c r="J11797"/>
    </row>
    <row r="11798" spans="10:10" x14ac:dyDescent="0.3">
      <c r="J11798"/>
    </row>
    <row r="11799" spans="10:10" x14ac:dyDescent="0.3">
      <c r="J11799"/>
    </row>
    <row r="11800" spans="10:10" x14ac:dyDescent="0.3">
      <c r="J11800"/>
    </row>
    <row r="11801" spans="10:10" x14ac:dyDescent="0.3">
      <c r="J11801"/>
    </row>
    <row r="11802" spans="10:10" x14ac:dyDescent="0.3">
      <c r="J11802"/>
    </row>
    <row r="11803" spans="10:10" x14ac:dyDescent="0.3">
      <c r="J11803"/>
    </row>
    <row r="11804" spans="10:10" x14ac:dyDescent="0.3">
      <c r="J11804"/>
    </row>
    <row r="11805" spans="10:10" x14ac:dyDescent="0.3">
      <c r="J11805"/>
    </row>
    <row r="11806" spans="10:10" x14ac:dyDescent="0.3">
      <c r="J11806"/>
    </row>
    <row r="11807" spans="10:10" x14ac:dyDescent="0.3">
      <c r="J11807"/>
    </row>
    <row r="11808" spans="10:10" x14ac:dyDescent="0.3">
      <c r="J11808"/>
    </row>
    <row r="11809" spans="10:10" x14ac:dyDescent="0.3">
      <c r="J11809"/>
    </row>
    <row r="11810" spans="10:10" x14ac:dyDescent="0.3">
      <c r="J11810"/>
    </row>
    <row r="11811" spans="10:10" x14ac:dyDescent="0.3">
      <c r="J11811"/>
    </row>
    <row r="11812" spans="10:10" x14ac:dyDescent="0.3">
      <c r="J11812"/>
    </row>
    <row r="11813" spans="10:10" x14ac:dyDescent="0.3">
      <c r="J11813"/>
    </row>
    <row r="11814" spans="10:10" x14ac:dyDescent="0.3">
      <c r="J11814"/>
    </row>
    <row r="11815" spans="10:10" x14ac:dyDescent="0.3">
      <c r="J11815"/>
    </row>
    <row r="11816" spans="10:10" x14ac:dyDescent="0.3">
      <c r="J11816"/>
    </row>
    <row r="11817" spans="10:10" x14ac:dyDescent="0.3">
      <c r="J11817"/>
    </row>
    <row r="11818" spans="10:10" x14ac:dyDescent="0.3">
      <c r="J11818"/>
    </row>
    <row r="11819" spans="10:10" x14ac:dyDescent="0.3">
      <c r="J11819"/>
    </row>
    <row r="11820" spans="10:10" x14ac:dyDescent="0.3">
      <c r="J11820"/>
    </row>
    <row r="11821" spans="10:10" x14ac:dyDescent="0.3">
      <c r="J11821"/>
    </row>
    <row r="11822" spans="10:10" x14ac:dyDescent="0.3">
      <c r="J11822"/>
    </row>
    <row r="11823" spans="10:10" x14ac:dyDescent="0.3">
      <c r="J11823"/>
    </row>
    <row r="11824" spans="10:10" x14ac:dyDescent="0.3">
      <c r="J11824"/>
    </row>
    <row r="11825" spans="10:10" x14ac:dyDescent="0.3">
      <c r="J11825"/>
    </row>
    <row r="11826" spans="10:10" x14ac:dyDescent="0.3">
      <c r="J11826"/>
    </row>
    <row r="11827" spans="10:10" x14ac:dyDescent="0.3">
      <c r="J11827"/>
    </row>
    <row r="11828" spans="10:10" x14ac:dyDescent="0.3">
      <c r="J11828"/>
    </row>
    <row r="11829" spans="10:10" x14ac:dyDescent="0.3">
      <c r="J11829"/>
    </row>
    <row r="11830" spans="10:10" x14ac:dyDescent="0.3">
      <c r="J11830"/>
    </row>
    <row r="11831" spans="10:10" x14ac:dyDescent="0.3">
      <c r="J11831"/>
    </row>
    <row r="11832" spans="10:10" x14ac:dyDescent="0.3">
      <c r="J11832"/>
    </row>
    <row r="11833" spans="10:10" x14ac:dyDescent="0.3">
      <c r="J11833"/>
    </row>
    <row r="11834" spans="10:10" x14ac:dyDescent="0.3">
      <c r="J11834"/>
    </row>
    <row r="11835" spans="10:10" x14ac:dyDescent="0.3">
      <c r="J11835"/>
    </row>
    <row r="11836" spans="10:10" x14ac:dyDescent="0.3">
      <c r="J11836"/>
    </row>
    <row r="11837" spans="10:10" x14ac:dyDescent="0.3">
      <c r="J11837"/>
    </row>
    <row r="11838" spans="10:10" x14ac:dyDescent="0.3">
      <c r="J11838"/>
    </row>
    <row r="11839" spans="10:10" x14ac:dyDescent="0.3">
      <c r="J11839"/>
    </row>
    <row r="11840" spans="10:10" x14ac:dyDescent="0.3">
      <c r="J11840"/>
    </row>
    <row r="11841" spans="10:10" x14ac:dyDescent="0.3">
      <c r="J11841"/>
    </row>
    <row r="11842" spans="10:10" x14ac:dyDescent="0.3">
      <c r="J11842"/>
    </row>
    <row r="11843" spans="10:10" x14ac:dyDescent="0.3">
      <c r="J11843"/>
    </row>
    <row r="11844" spans="10:10" x14ac:dyDescent="0.3">
      <c r="J11844"/>
    </row>
    <row r="11845" spans="10:10" x14ac:dyDescent="0.3">
      <c r="J11845"/>
    </row>
    <row r="11846" spans="10:10" x14ac:dyDescent="0.3">
      <c r="J11846"/>
    </row>
    <row r="11847" spans="10:10" x14ac:dyDescent="0.3">
      <c r="J11847"/>
    </row>
    <row r="11848" spans="10:10" x14ac:dyDescent="0.3">
      <c r="J11848"/>
    </row>
    <row r="11849" spans="10:10" x14ac:dyDescent="0.3">
      <c r="J11849"/>
    </row>
    <row r="11850" spans="10:10" x14ac:dyDescent="0.3">
      <c r="J11850"/>
    </row>
    <row r="11851" spans="10:10" x14ac:dyDescent="0.3">
      <c r="J11851"/>
    </row>
    <row r="11852" spans="10:10" x14ac:dyDescent="0.3">
      <c r="J11852"/>
    </row>
    <row r="11853" spans="10:10" x14ac:dyDescent="0.3">
      <c r="J11853"/>
    </row>
    <row r="11854" spans="10:10" x14ac:dyDescent="0.3">
      <c r="J11854"/>
    </row>
    <row r="11855" spans="10:10" x14ac:dyDescent="0.3">
      <c r="J11855"/>
    </row>
    <row r="11856" spans="10:10" x14ac:dyDescent="0.3">
      <c r="J11856"/>
    </row>
    <row r="11857" spans="10:10" x14ac:dyDescent="0.3">
      <c r="J11857"/>
    </row>
    <row r="11858" spans="10:10" x14ac:dyDescent="0.3">
      <c r="J11858"/>
    </row>
    <row r="11859" spans="10:10" x14ac:dyDescent="0.3">
      <c r="J11859"/>
    </row>
    <row r="11860" spans="10:10" x14ac:dyDescent="0.3">
      <c r="J11860"/>
    </row>
    <row r="11861" spans="10:10" x14ac:dyDescent="0.3">
      <c r="J11861"/>
    </row>
    <row r="11862" spans="10:10" x14ac:dyDescent="0.3">
      <c r="J11862"/>
    </row>
    <row r="11863" spans="10:10" x14ac:dyDescent="0.3">
      <c r="J11863"/>
    </row>
    <row r="11864" spans="10:10" x14ac:dyDescent="0.3">
      <c r="J11864"/>
    </row>
    <row r="11865" spans="10:10" x14ac:dyDescent="0.3">
      <c r="J11865"/>
    </row>
    <row r="11866" spans="10:10" x14ac:dyDescent="0.3">
      <c r="J11866"/>
    </row>
    <row r="11867" spans="10:10" x14ac:dyDescent="0.3">
      <c r="J11867"/>
    </row>
    <row r="11868" spans="10:10" x14ac:dyDescent="0.3">
      <c r="J11868"/>
    </row>
    <row r="11869" spans="10:10" x14ac:dyDescent="0.3">
      <c r="J11869"/>
    </row>
    <row r="11870" spans="10:10" x14ac:dyDescent="0.3">
      <c r="J11870"/>
    </row>
    <row r="11871" spans="10:10" x14ac:dyDescent="0.3">
      <c r="J11871"/>
    </row>
    <row r="11872" spans="10:10" x14ac:dyDescent="0.3">
      <c r="J11872"/>
    </row>
    <row r="11873" spans="10:10" x14ac:dyDescent="0.3">
      <c r="J11873"/>
    </row>
    <row r="11874" spans="10:10" x14ac:dyDescent="0.3">
      <c r="J11874"/>
    </row>
    <row r="11875" spans="10:10" x14ac:dyDescent="0.3">
      <c r="J11875"/>
    </row>
    <row r="11876" spans="10:10" x14ac:dyDescent="0.3">
      <c r="J11876"/>
    </row>
    <row r="11877" spans="10:10" x14ac:dyDescent="0.3">
      <c r="J11877"/>
    </row>
    <row r="11878" spans="10:10" x14ac:dyDescent="0.3">
      <c r="J11878"/>
    </row>
    <row r="11879" spans="10:10" x14ac:dyDescent="0.3">
      <c r="J11879"/>
    </row>
    <row r="11880" spans="10:10" x14ac:dyDescent="0.3">
      <c r="J11880"/>
    </row>
    <row r="11881" spans="10:10" x14ac:dyDescent="0.3">
      <c r="J11881"/>
    </row>
    <row r="11882" spans="10:10" x14ac:dyDescent="0.3">
      <c r="J11882"/>
    </row>
    <row r="11883" spans="10:10" x14ac:dyDescent="0.3">
      <c r="J11883"/>
    </row>
    <row r="11884" spans="10:10" x14ac:dyDescent="0.3">
      <c r="J11884"/>
    </row>
    <row r="11885" spans="10:10" x14ac:dyDescent="0.3">
      <c r="J11885"/>
    </row>
    <row r="11886" spans="10:10" x14ac:dyDescent="0.3">
      <c r="J11886"/>
    </row>
    <row r="11887" spans="10:10" x14ac:dyDescent="0.3">
      <c r="J11887"/>
    </row>
    <row r="11888" spans="10:10" x14ac:dyDescent="0.3">
      <c r="J11888"/>
    </row>
    <row r="11889" spans="10:10" x14ac:dyDescent="0.3">
      <c r="J11889"/>
    </row>
    <row r="11890" spans="10:10" x14ac:dyDescent="0.3">
      <c r="J11890"/>
    </row>
    <row r="11891" spans="10:10" x14ac:dyDescent="0.3">
      <c r="J11891"/>
    </row>
    <row r="11892" spans="10:10" x14ac:dyDescent="0.3">
      <c r="J11892"/>
    </row>
    <row r="11893" spans="10:10" x14ac:dyDescent="0.3">
      <c r="J11893"/>
    </row>
    <row r="11894" spans="10:10" x14ac:dyDescent="0.3">
      <c r="J11894"/>
    </row>
    <row r="11895" spans="10:10" x14ac:dyDescent="0.3">
      <c r="J11895"/>
    </row>
    <row r="11896" spans="10:10" x14ac:dyDescent="0.3">
      <c r="J11896"/>
    </row>
    <row r="11897" spans="10:10" x14ac:dyDescent="0.3">
      <c r="J11897"/>
    </row>
    <row r="11898" spans="10:10" x14ac:dyDescent="0.3">
      <c r="J11898"/>
    </row>
    <row r="11899" spans="10:10" x14ac:dyDescent="0.3">
      <c r="J11899"/>
    </row>
    <row r="11900" spans="10:10" x14ac:dyDescent="0.3">
      <c r="J11900"/>
    </row>
    <row r="11901" spans="10:10" x14ac:dyDescent="0.3">
      <c r="J11901"/>
    </row>
    <row r="11902" spans="10:10" x14ac:dyDescent="0.3">
      <c r="J11902"/>
    </row>
    <row r="11903" spans="10:10" x14ac:dyDescent="0.3">
      <c r="J11903"/>
    </row>
    <row r="11904" spans="10:10" x14ac:dyDescent="0.3">
      <c r="J11904"/>
    </row>
    <row r="11905" spans="10:10" x14ac:dyDescent="0.3">
      <c r="J11905"/>
    </row>
    <row r="11906" spans="10:10" x14ac:dyDescent="0.3">
      <c r="J11906"/>
    </row>
    <row r="11907" spans="10:10" x14ac:dyDescent="0.3">
      <c r="J11907"/>
    </row>
    <row r="11908" spans="10:10" x14ac:dyDescent="0.3">
      <c r="J11908"/>
    </row>
    <row r="11909" spans="10:10" x14ac:dyDescent="0.3">
      <c r="J11909"/>
    </row>
    <row r="11910" spans="10:10" x14ac:dyDescent="0.3">
      <c r="J11910"/>
    </row>
    <row r="11911" spans="10:10" x14ac:dyDescent="0.3">
      <c r="J11911"/>
    </row>
    <row r="11912" spans="10:10" x14ac:dyDescent="0.3">
      <c r="J11912"/>
    </row>
    <row r="11913" spans="10:10" x14ac:dyDescent="0.3">
      <c r="J11913"/>
    </row>
    <row r="11914" spans="10:10" x14ac:dyDescent="0.3">
      <c r="J11914"/>
    </row>
    <row r="11915" spans="10:10" x14ac:dyDescent="0.3">
      <c r="J11915"/>
    </row>
    <row r="11916" spans="10:10" x14ac:dyDescent="0.3">
      <c r="J11916"/>
    </row>
    <row r="11917" spans="10:10" x14ac:dyDescent="0.3">
      <c r="J11917"/>
    </row>
    <row r="11918" spans="10:10" x14ac:dyDescent="0.3">
      <c r="J11918"/>
    </row>
    <row r="11919" spans="10:10" x14ac:dyDescent="0.3">
      <c r="J11919"/>
    </row>
    <row r="11920" spans="10:10" x14ac:dyDescent="0.3">
      <c r="J11920"/>
    </row>
    <row r="11921" spans="10:10" x14ac:dyDescent="0.3">
      <c r="J11921"/>
    </row>
    <row r="11922" spans="10:10" x14ac:dyDescent="0.3">
      <c r="J11922"/>
    </row>
    <row r="11923" spans="10:10" x14ac:dyDescent="0.3">
      <c r="J11923"/>
    </row>
    <row r="11924" spans="10:10" x14ac:dyDescent="0.3">
      <c r="J11924"/>
    </row>
    <row r="11925" spans="10:10" x14ac:dyDescent="0.3">
      <c r="J11925"/>
    </row>
    <row r="11926" spans="10:10" x14ac:dyDescent="0.3">
      <c r="J11926"/>
    </row>
    <row r="11927" spans="10:10" x14ac:dyDescent="0.3">
      <c r="J11927"/>
    </row>
    <row r="11928" spans="10:10" x14ac:dyDescent="0.3">
      <c r="J11928"/>
    </row>
    <row r="11929" spans="10:10" x14ac:dyDescent="0.3">
      <c r="J11929"/>
    </row>
    <row r="11930" spans="10:10" x14ac:dyDescent="0.3">
      <c r="J11930"/>
    </row>
    <row r="11931" spans="10:10" x14ac:dyDescent="0.3">
      <c r="J11931"/>
    </row>
    <row r="11932" spans="10:10" x14ac:dyDescent="0.3">
      <c r="J11932"/>
    </row>
    <row r="11933" spans="10:10" x14ac:dyDescent="0.3">
      <c r="J11933"/>
    </row>
    <row r="11934" spans="10:10" x14ac:dyDescent="0.3">
      <c r="J11934"/>
    </row>
    <row r="11935" spans="10:10" x14ac:dyDescent="0.3">
      <c r="J11935"/>
    </row>
    <row r="11936" spans="10:10" x14ac:dyDescent="0.3">
      <c r="J11936"/>
    </row>
    <row r="11937" spans="10:10" x14ac:dyDescent="0.3">
      <c r="J11937"/>
    </row>
    <row r="11938" spans="10:10" x14ac:dyDescent="0.3">
      <c r="J11938"/>
    </row>
    <row r="11939" spans="10:10" x14ac:dyDescent="0.3">
      <c r="J11939"/>
    </row>
    <row r="11940" spans="10:10" x14ac:dyDescent="0.3">
      <c r="J11940"/>
    </row>
    <row r="11941" spans="10:10" x14ac:dyDescent="0.3">
      <c r="J11941"/>
    </row>
    <row r="11942" spans="10:10" x14ac:dyDescent="0.3">
      <c r="J11942"/>
    </row>
    <row r="11943" spans="10:10" x14ac:dyDescent="0.3">
      <c r="J11943"/>
    </row>
    <row r="11944" spans="10:10" x14ac:dyDescent="0.3">
      <c r="J11944"/>
    </row>
    <row r="11945" spans="10:10" x14ac:dyDescent="0.3">
      <c r="J11945"/>
    </row>
    <row r="11946" spans="10:10" x14ac:dyDescent="0.3">
      <c r="J11946"/>
    </row>
    <row r="11947" spans="10:10" x14ac:dyDescent="0.3">
      <c r="J11947"/>
    </row>
    <row r="11948" spans="10:10" x14ac:dyDescent="0.3">
      <c r="J11948"/>
    </row>
    <row r="11949" spans="10:10" x14ac:dyDescent="0.3">
      <c r="J11949"/>
    </row>
    <row r="11950" spans="10:10" x14ac:dyDescent="0.3">
      <c r="J11950"/>
    </row>
    <row r="11951" spans="10:10" x14ac:dyDescent="0.3">
      <c r="J11951"/>
    </row>
    <row r="11952" spans="10:10" x14ac:dyDescent="0.3">
      <c r="J11952"/>
    </row>
    <row r="11953" spans="10:10" x14ac:dyDescent="0.3">
      <c r="J11953"/>
    </row>
    <row r="11954" spans="10:10" x14ac:dyDescent="0.3">
      <c r="J11954"/>
    </row>
    <row r="11955" spans="10:10" x14ac:dyDescent="0.3">
      <c r="J11955"/>
    </row>
    <row r="11956" spans="10:10" x14ac:dyDescent="0.3">
      <c r="J11956"/>
    </row>
    <row r="11957" spans="10:10" x14ac:dyDescent="0.3">
      <c r="J11957"/>
    </row>
    <row r="11958" spans="10:10" x14ac:dyDescent="0.3">
      <c r="J11958"/>
    </row>
    <row r="11959" spans="10:10" x14ac:dyDescent="0.3">
      <c r="J11959"/>
    </row>
    <row r="11960" spans="10:10" x14ac:dyDescent="0.3">
      <c r="J11960"/>
    </row>
    <row r="11961" spans="10:10" x14ac:dyDescent="0.3">
      <c r="J11961"/>
    </row>
    <row r="11962" spans="10:10" x14ac:dyDescent="0.3">
      <c r="J11962"/>
    </row>
    <row r="11963" spans="10:10" x14ac:dyDescent="0.3">
      <c r="J11963"/>
    </row>
    <row r="11964" spans="10:10" x14ac:dyDescent="0.3">
      <c r="J11964"/>
    </row>
    <row r="11965" spans="10:10" x14ac:dyDescent="0.3">
      <c r="J11965"/>
    </row>
    <row r="11966" spans="10:10" x14ac:dyDescent="0.3">
      <c r="J11966"/>
    </row>
    <row r="11967" spans="10:10" x14ac:dyDescent="0.3">
      <c r="J11967"/>
    </row>
    <row r="11968" spans="10:10" x14ac:dyDescent="0.3">
      <c r="J11968"/>
    </row>
    <row r="11969" spans="10:10" x14ac:dyDescent="0.3">
      <c r="J11969"/>
    </row>
    <row r="11970" spans="10:10" x14ac:dyDescent="0.3">
      <c r="J11970"/>
    </row>
    <row r="11971" spans="10:10" x14ac:dyDescent="0.3">
      <c r="J11971"/>
    </row>
    <row r="11972" spans="10:10" x14ac:dyDescent="0.3">
      <c r="J11972"/>
    </row>
    <row r="11973" spans="10:10" x14ac:dyDescent="0.3">
      <c r="J11973"/>
    </row>
    <row r="11974" spans="10:10" x14ac:dyDescent="0.3">
      <c r="J11974"/>
    </row>
    <row r="11975" spans="10:10" x14ac:dyDescent="0.3">
      <c r="J11975"/>
    </row>
    <row r="11976" spans="10:10" x14ac:dyDescent="0.3">
      <c r="J11976"/>
    </row>
    <row r="11977" spans="10:10" x14ac:dyDescent="0.3">
      <c r="J11977"/>
    </row>
    <row r="11978" spans="10:10" x14ac:dyDescent="0.3">
      <c r="J11978"/>
    </row>
    <row r="11979" spans="10:10" x14ac:dyDescent="0.3">
      <c r="J11979"/>
    </row>
    <row r="11980" spans="10:10" x14ac:dyDescent="0.3">
      <c r="J11980"/>
    </row>
    <row r="11981" spans="10:10" x14ac:dyDescent="0.3">
      <c r="J11981"/>
    </row>
    <row r="11982" spans="10:10" x14ac:dyDescent="0.3">
      <c r="J11982"/>
    </row>
    <row r="11983" spans="10:10" x14ac:dyDescent="0.3">
      <c r="J11983"/>
    </row>
    <row r="11984" spans="10:10" x14ac:dyDescent="0.3">
      <c r="J11984"/>
    </row>
    <row r="11985" spans="10:10" x14ac:dyDescent="0.3">
      <c r="J11985"/>
    </row>
    <row r="11986" spans="10:10" x14ac:dyDescent="0.3">
      <c r="J11986"/>
    </row>
    <row r="11987" spans="10:10" x14ac:dyDescent="0.3">
      <c r="J11987"/>
    </row>
    <row r="11988" spans="10:10" x14ac:dyDescent="0.3">
      <c r="J11988"/>
    </row>
    <row r="11989" spans="10:10" x14ac:dyDescent="0.3">
      <c r="J11989"/>
    </row>
    <row r="11990" spans="10:10" x14ac:dyDescent="0.3">
      <c r="J11990"/>
    </row>
    <row r="11991" spans="10:10" x14ac:dyDescent="0.3">
      <c r="J11991"/>
    </row>
    <row r="11992" spans="10:10" x14ac:dyDescent="0.3">
      <c r="J11992"/>
    </row>
    <row r="11993" spans="10:10" x14ac:dyDescent="0.3">
      <c r="J11993"/>
    </row>
    <row r="11994" spans="10:10" x14ac:dyDescent="0.3">
      <c r="J11994"/>
    </row>
    <row r="11995" spans="10:10" x14ac:dyDescent="0.3">
      <c r="J11995"/>
    </row>
    <row r="11996" spans="10:10" x14ac:dyDescent="0.3">
      <c r="J11996"/>
    </row>
    <row r="11997" spans="10:10" x14ac:dyDescent="0.3">
      <c r="J11997"/>
    </row>
    <row r="11998" spans="10:10" x14ac:dyDescent="0.3">
      <c r="J11998"/>
    </row>
    <row r="11999" spans="10:10" x14ac:dyDescent="0.3">
      <c r="J11999"/>
    </row>
    <row r="12000" spans="10:10" x14ac:dyDescent="0.3">
      <c r="J12000"/>
    </row>
    <row r="12001" spans="10:10" x14ac:dyDescent="0.3">
      <c r="J12001"/>
    </row>
    <row r="12002" spans="10:10" x14ac:dyDescent="0.3">
      <c r="J12002"/>
    </row>
    <row r="12003" spans="10:10" x14ac:dyDescent="0.3">
      <c r="J12003"/>
    </row>
    <row r="12004" spans="10:10" x14ac:dyDescent="0.3">
      <c r="J12004"/>
    </row>
    <row r="12005" spans="10:10" x14ac:dyDescent="0.3">
      <c r="J12005"/>
    </row>
    <row r="12006" spans="10:10" x14ac:dyDescent="0.3">
      <c r="J12006"/>
    </row>
    <row r="12007" spans="10:10" x14ac:dyDescent="0.3">
      <c r="J12007"/>
    </row>
    <row r="12008" spans="10:10" x14ac:dyDescent="0.3">
      <c r="J12008"/>
    </row>
    <row r="12009" spans="10:10" x14ac:dyDescent="0.3">
      <c r="J12009"/>
    </row>
    <row r="12010" spans="10:10" x14ac:dyDescent="0.3">
      <c r="J12010"/>
    </row>
    <row r="12011" spans="10:10" x14ac:dyDescent="0.3">
      <c r="J12011"/>
    </row>
    <row r="12012" spans="10:10" x14ac:dyDescent="0.3">
      <c r="J12012"/>
    </row>
    <row r="12013" spans="10:10" x14ac:dyDescent="0.3">
      <c r="J12013"/>
    </row>
    <row r="12014" spans="10:10" x14ac:dyDescent="0.3">
      <c r="J12014"/>
    </row>
    <row r="12015" spans="10:10" x14ac:dyDescent="0.3">
      <c r="J12015"/>
    </row>
    <row r="12016" spans="10:10" x14ac:dyDescent="0.3">
      <c r="J12016"/>
    </row>
    <row r="12017" spans="10:10" x14ac:dyDescent="0.3">
      <c r="J12017"/>
    </row>
    <row r="12018" spans="10:10" x14ac:dyDescent="0.3">
      <c r="J12018"/>
    </row>
    <row r="12019" spans="10:10" x14ac:dyDescent="0.3">
      <c r="J12019"/>
    </row>
    <row r="12020" spans="10:10" x14ac:dyDescent="0.3">
      <c r="J12020"/>
    </row>
    <row r="12021" spans="10:10" x14ac:dyDescent="0.3">
      <c r="J12021"/>
    </row>
    <row r="12022" spans="10:10" x14ac:dyDescent="0.3">
      <c r="J12022"/>
    </row>
    <row r="12023" spans="10:10" x14ac:dyDescent="0.3">
      <c r="J12023"/>
    </row>
    <row r="12024" spans="10:10" x14ac:dyDescent="0.3">
      <c r="J12024"/>
    </row>
    <row r="12025" spans="10:10" x14ac:dyDescent="0.3">
      <c r="J12025"/>
    </row>
    <row r="12026" spans="10:10" x14ac:dyDescent="0.3">
      <c r="J12026"/>
    </row>
    <row r="12027" spans="10:10" x14ac:dyDescent="0.3">
      <c r="J12027"/>
    </row>
    <row r="12028" spans="10:10" x14ac:dyDescent="0.3">
      <c r="J12028"/>
    </row>
    <row r="12029" spans="10:10" x14ac:dyDescent="0.3">
      <c r="J12029"/>
    </row>
    <row r="12030" spans="10:10" x14ac:dyDescent="0.3">
      <c r="J12030"/>
    </row>
    <row r="12031" spans="10:10" x14ac:dyDescent="0.3">
      <c r="J12031"/>
    </row>
    <row r="12032" spans="10:10" x14ac:dyDescent="0.3">
      <c r="J12032"/>
    </row>
    <row r="12033" spans="10:10" x14ac:dyDescent="0.3">
      <c r="J12033"/>
    </row>
    <row r="12034" spans="10:10" x14ac:dyDescent="0.3">
      <c r="J12034"/>
    </row>
    <row r="12035" spans="10:10" x14ac:dyDescent="0.3">
      <c r="J12035"/>
    </row>
    <row r="12036" spans="10:10" x14ac:dyDescent="0.3">
      <c r="J12036"/>
    </row>
    <row r="12037" spans="10:10" x14ac:dyDescent="0.3">
      <c r="J12037"/>
    </row>
    <row r="12038" spans="10:10" x14ac:dyDescent="0.3">
      <c r="J12038"/>
    </row>
    <row r="12039" spans="10:10" x14ac:dyDescent="0.3">
      <c r="J12039"/>
    </row>
    <row r="12040" spans="10:10" x14ac:dyDescent="0.3">
      <c r="J12040"/>
    </row>
    <row r="12041" spans="10:10" x14ac:dyDescent="0.3">
      <c r="J12041"/>
    </row>
    <row r="12042" spans="10:10" x14ac:dyDescent="0.3">
      <c r="J12042"/>
    </row>
    <row r="12043" spans="10:10" x14ac:dyDescent="0.3">
      <c r="J12043"/>
    </row>
    <row r="12044" spans="10:10" x14ac:dyDescent="0.3">
      <c r="J12044"/>
    </row>
    <row r="12045" spans="10:10" x14ac:dyDescent="0.3">
      <c r="J12045"/>
    </row>
    <row r="12046" spans="10:10" x14ac:dyDescent="0.3">
      <c r="J12046"/>
    </row>
    <row r="12047" spans="10:10" x14ac:dyDescent="0.3">
      <c r="J12047"/>
    </row>
    <row r="12048" spans="10:10" x14ac:dyDescent="0.3">
      <c r="J12048"/>
    </row>
    <row r="12049" spans="10:10" x14ac:dyDescent="0.3">
      <c r="J12049"/>
    </row>
    <row r="12050" spans="10:10" x14ac:dyDescent="0.3">
      <c r="J12050"/>
    </row>
    <row r="12051" spans="10:10" x14ac:dyDescent="0.3">
      <c r="J12051"/>
    </row>
    <row r="12052" spans="10:10" x14ac:dyDescent="0.3">
      <c r="J12052"/>
    </row>
    <row r="12053" spans="10:10" x14ac:dyDescent="0.3">
      <c r="J12053"/>
    </row>
    <row r="12054" spans="10:10" x14ac:dyDescent="0.3">
      <c r="J12054"/>
    </row>
    <row r="12055" spans="10:10" x14ac:dyDescent="0.3">
      <c r="J12055"/>
    </row>
    <row r="12056" spans="10:10" x14ac:dyDescent="0.3">
      <c r="J12056"/>
    </row>
    <row r="12057" spans="10:10" x14ac:dyDescent="0.3">
      <c r="J12057"/>
    </row>
    <row r="12058" spans="10:10" x14ac:dyDescent="0.3">
      <c r="J12058"/>
    </row>
    <row r="12059" spans="10:10" x14ac:dyDescent="0.3">
      <c r="J12059"/>
    </row>
    <row r="12060" spans="10:10" x14ac:dyDescent="0.3">
      <c r="J12060"/>
    </row>
    <row r="12061" spans="10:10" x14ac:dyDescent="0.3">
      <c r="J12061"/>
    </row>
    <row r="12062" spans="10:10" x14ac:dyDescent="0.3">
      <c r="J12062"/>
    </row>
    <row r="12063" spans="10:10" x14ac:dyDescent="0.3">
      <c r="J12063"/>
    </row>
    <row r="12064" spans="10:10" x14ac:dyDescent="0.3">
      <c r="J12064"/>
    </row>
    <row r="12065" spans="10:10" x14ac:dyDescent="0.3">
      <c r="J12065"/>
    </row>
    <row r="12066" spans="10:10" x14ac:dyDescent="0.3">
      <c r="J12066"/>
    </row>
    <row r="12067" spans="10:10" x14ac:dyDescent="0.3">
      <c r="J12067"/>
    </row>
    <row r="12068" spans="10:10" x14ac:dyDescent="0.3">
      <c r="J12068"/>
    </row>
    <row r="12069" spans="10:10" x14ac:dyDescent="0.3">
      <c r="J12069"/>
    </row>
    <row r="12070" spans="10:10" x14ac:dyDescent="0.3">
      <c r="J12070"/>
    </row>
    <row r="12071" spans="10:10" x14ac:dyDescent="0.3">
      <c r="J12071"/>
    </row>
    <row r="12072" spans="10:10" x14ac:dyDescent="0.3">
      <c r="J12072"/>
    </row>
    <row r="12073" spans="10:10" x14ac:dyDescent="0.3">
      <c r="J12073"/>
    </row>
    <row r="12074" spans="10:10" x14ac:dyDescent="0.3">
      <c r="J12074"/>
    </row>
    <row r="12075" spans="10:10" x14ac:dyDescent="0.3">
      <c r="J12075"/>
    </row>
    <row r="12076" spans="10:10" x14ac:dyDescent="0.3">
      <c r="J12076"/>
    </row>
    <row r="12077" spans="10:10" x14ac:dyDescent="0.3">
      <c r="J12077"/>
    </row>
    <row r="12078" spans="10:10" x14ac:dyDescent="0.3">
      <c r="J12078"/>
    </row>
    <row r="12079" spans="10:10" x14ac:dyDescent="0.3">
      <c r="J12079"/>
    </row>
    <row r="12080" spans="10:10" x14ac:dyDescent="0.3">
      <c r="J12080"/>
    </row>
    <row r="12081" spans="10:10" x14ac:dyDescent="0.3">
      <c r="J12081"/>
    </row>
    <row r="12082" spans="10:10" x14ac:dyDescent="0.3">
      <c r="J12082"/>
    </row>
    <row r="12083" spans="10:10" x14ac:dyDescent="0.3">
      <c r="J12083"/>
    </row>
    <row r="12084" spans="10:10" x14ac:dyDescent="0.3">
      <c r="J12084"/>
    </row>
    <row r="12085" spans="10:10" x14ac:dyDescent="0.3">
      <c r="J12085"/>
    </row>
    <row r="12086" spans="10:10" x14ac:dyDescent="0.3">
      <c r="J12086"/>
    </row>
    <row r="12087" spans="10:10" x14ac:dyDescent="0.3">
      <c r="J12087"/>
    </row>
    <row r="12088" spans="10:10" x14ac:dyDescent="0.3">
      <c r="J12088"/>
    </row>
    <row r="12089" spans="10:10" x14ac:dyDescent="0.3">
      <c r="J12089"/>
    </row>
    <row r="12090" spans="10:10" x14ac:dyDescent="0.3">
      <c r="J12090"/>
    </row>
    <row r="12091" spans="10:10" x14ac:dyDescent="0.3">
      <c r="J12091"/>
    </row>
    <row r="12092" spans="10:10" x14ac:dyDescent="0.3">
      <c r="J12092"/>
    </row>
    <row r="12093" spans="10:10" x14ac:dyDescent="0.3">
      <c r="J12093"/>
    </row>
    <row r="12094" spans="10:10" x14ac:dyDescent="0.3">
      <c r="J12094"/>
    </row>
    <row r="12095" spans="10:10" x14ac:dyDescent="0.3">
      <c r="J12095"/>
    </row>
    <row r="12096" spans="10:10" x14ac:dyDescent="0.3">
      <c r="J12096"/>
    </row>
    <row r="12097" spans="10:10" x14ac:dyDescent="0.3">
      <c r="J12097"/>
    </row>
    <row r="12098" spans="10:10" x14ac:dyDescent="0.3">
      <c r="J12098"/>
    </row>
    <row r="12099" spans="10:10" x14ac:dyDescent="0.3">
      <c r="J12099"/>
    </row>
    <row r="12100" spans="10:10" x14ac:dyDescent="0.3">
      <c r="J12100"/>
    </row>
    <row r="12101" spans="10:10" x14ac:dyDescent="0.3">
      <c r="J12101"/>
    </row>
    <row r="12102" spans="10:10" x14ac:dyDescent="0.3">
      <c r="J12102"/>
    </row>
    <row r="12103" spans="10:10" x14ac:dyDescent="0.3">
      <c r="J12103"/>
    </row>
    <row r="12104" spans="10:10" x14ac:dyDescent="0.3">
      <c r="J12104"/>
    </row>
    <row r="12105" spans="10:10" x14ac:dyDescent="0.3">
      <c r="J12105"/>
    </row>
    <row r="12106" spans="10:10" x14ac:dyDescent="0.3">
      <c r="J12106"/>
    </row>
    <row r="12107" spans="10:10" x14ac:dyDescent="0.3">
      <c r="J12107"/>
    </row>
    <row r="12108" spans="10:10" x14ac:dyDescent="0.3">
      <c r="J12108"/>
    </row>
    <row r="12109" spans="10:10" x14ac:dyDescent="0.3">
      <c r="J12109"/>
    </row>
    <row r="12110" spans="10:10" x14ac:dyDescent="0.3">
      <c r="J12110"/>
    </row>
    <row r="12111" spans="10:10" x14ac:dyDescent="0.3">
      <c r="J12111"/>
    </row>
    <row r="12112" spans="10:10" x14ac:dyDescent="0.3">
      <c r="J12112"/>
    </row>
    <row r="12113" spans="10:10" x14ac:dyDescent="0.3">
      <c r="J12113"/>
    </row>
    <row r="12114" spans="10:10" x14ac:dyDescent="0.3">
      <c r="J12114"/>
    </row>
    <row r="12115" spans="10:10" x14ac:dyDescent="0.3">
      <c r="J12115"/>
    </row>
    <row r="12116" spans="10:10" x14ac:dyDescent="0.3">
      <c r="J12116"/>
    </row>
    <row r="12117" spans="10:10" x14ac:dyDescent="0.3">
      <c r="J12117"/>
    </row>
    <row r="12118" spans="10:10" x14ac:dyDescent="0.3">
      <c r="J12118"/>
    </row>
    <row r="12119" spans="10:10" x14ac:dyDescent="0.3">
      <c r="J12119"/>
    </row>
    <row r="12120" spans="10:10" x14ac:dyDescent="0.3">
      <c r="J12120"/>
    </row>
    <row r="12121" spans="10:10" x14ac:dyDescent="0.3">
      <c r="J12121"/>
    </row>
    <row r="12122" spans="10:10" x14ac:dyDescent="0.3">
      <c r="J12122"/>
    </row>
    <row r="12123" spans="10:10" x14ac:dyDescent="0.3">
      <c r="J12123"/>
    </row>
    <row r="12124" spans="10:10" x14ac:dyDescent="0.3">
      <c r="J12124"/>
    </row>
    <row r="12125" spans="10:10" x14ac:dyDescent="0.3">
      <c r="J12125"/>
    </row>
    <row r="12126" spans="10:10" x14ac:dyDescent="0.3">
      <c r="J12126"/>
    </row>
    <row r="12127" spans="10:10" x14ac:dyDescent="0.3">
      <c r="J12127"/>
    </row>
    <row r="12128" spans="10:10" x14ac:dyDescent="0.3">
      <c r="J12128"/>
    </row>
    <row r="12129" spans="10:10" x14ac:dyDescent="0.3">
      <c r="J12129"/>
    </row>
    <row r="12130" spans="10:10" x14ac:dyDescent="0.3">
      <c r="J12130"/>
    </row>
    <row r="12131" spans="10:10" x14ac:dyDescent="0.3">
      <c r="J12131"/>
    </row>
    <row r="12132" spans="10:10" x14ac:dyDescent="0.3">
      <c r="J12132"/>
    </row>
    <row r="12133" spans="10:10" x14ac:dyDescent="0.3">
      <c r="J12133"/>
    </row>
    <row r="12134" spans="10:10" x14ac:dyDescent="0.3">
      <c r="J12134"/>
    </row>
    <row r="12135" spans="10:10" x14ac:dyDescent="0.3">
      <c r="J12135"/>
    </row>
    <row r="12136" spans="10:10" x14ac:dyDescent="0.3">
      <c r="J12136"/>
    </row>
    <row r="12137" spans="10:10" x14ac:dyDescent="0.3">
      <c r="J12137"/>
    </row>
    <row r="12138" spans="10:10" x14ac:dyDescent="0.3">
      <c r="J12138"/>
    </row>
    <row r="12139" spans="10:10" x14ac:dyDescent="0.3">
      <c r="J12139"/>
    </row>
    <row r="12140" spans="10:10" x14ac:dyDescent="0.3">
      <c r="J12140"/>
    </row>
    <row r="12141" spans="10:10" x14ac:dyDescent="0.3">
      <c r="J12141"/>
    </row>
    <row r="12142" spans="10:10" x14ac:dyDescent="0.3">
      <c r="J12142"/>
    </row>
    <row r="12143" spans="10:10" x14ac:dyDescent="0.3">
      <c r="J12143"/>
    </row>
    <row r="12144" spans="10:10" x14ac:dyDescent="0.3">
      <c r="J12144"/>
    </row>
    <row r="12145" spans="10:10" x14ac:dyDescent="0.3">
      <c r="J12145"/>
    </row>
    <row r="12146" spans="10:10" x14ac:dyDescent="0.3">
      <c r="J12146"/>
    </row>
    <row r="12147" spans="10:10" x14ac:dyDescent="0.3">
      <c r="J12147"/>
    </row>
    <row r="12148" spans="10:10" x14ac:dyDescent="0.3">
      <c r="J12148"/>
    </row>
    <row r="12149" spans="10:10" x14ac:dyDescent="0.3">
      <c r="J12149"/>
    </row>
    <row r="12150" spans="10:10" x14ac:dyDescent="0.3">
      <c r="J12150"/>
    </row>
    <row r="12151" spans="10:10" x14ac:dyDescent="0.3">
      <c r="J12151"/>
    </row>
    <row r="12152" spans="10:10" x14ac:dyDescent="0.3">
      <c r="J12152"/>
    </row>
    <row r="12153" spans="10:10" x14ac:dyDescent="0.3">
      <c r="J12153"/>
    </row>
    <row r="12154" spans="10:10" x14ac:dyDescent="0.3">
      <c r="J12154"/>
    </row>
    <row r="12155" spans="10:10" x14ac:dyDescent="0.3">
      <c r="J12155"/>
    </row>
    <row r="12156" spans="10:10" x14ac:dyDescent="0.3">
      <c r="J12156"/>
    </row>
    <row r="12157" spans="10:10" x14ac:dyDescent="0.3">
      <c r="J12157"/>
    </row>
    <row r="12158" spans="10:10" x14ac:dyDescent="0.3">
      <c r="J12158"/>
    </row>
    <row r="12159" spans="10:10" x14ac:dyDescent="0.3">
      <c r="J12159"/>
    </row>
    <row r="12160" spans="10:10" x14ac:dyDescent="0.3">
      <c r="J12160"/>
    </row>
    <row r="12161" spans="10:10" x14ac:dyDescent="0.3">
      <c r="J12161"/>
    </row>
    <row r="12162" spans="10:10" x14ac:dyDescent="0.3">
      <c r="J12162"/>
    </row>
    <row r="12163" spans="10:10" x14ac:dyDescent="0.3">
      <c r="J12163"/>
    </row>
    <row r="12164" spans="10:10" x14ac:dyDescent="0.3">
      <c r="J12164"/>
    </row>
    <row r="12165" spans="10:10" x14ac:dyDescent="0.3">
      <c r="J12165"/>
    </row>
    <row r="12166" spans="10:10" x14ac:dyDescent="0.3">
      <c r="J12166"/>
    </row>
    <row r="12167" spans="10:10" x14ac:dyDescent="0.3">
      <c r="J12167"/>
    </row>
    <row r="12168" spans="10:10" x14ac:dyDescent="0.3">
      <c r="J12168"/>
    </row>
    <row r="12169" spans="10:10" x14ac:dyDescent="0.3">
      <c r="J12169"/>
    </row>
    <row r="12170" spans="10:10" x14ac:dyDescent="0.3">
      <c r="J12170"/>
    </row>
    <row r="12171" spans="10:10" x14ac:dyDescent="0.3">
      <c r="J12171"/>
    </row>
    <row r="12172" spans="10:10" x14ac:dyDescent="0.3">
      <c r="J12172"/>
    </row>
    <row r="12173" spans="10:10" x14ac:dyDescent="0.3">
      <c r="J12173"/>
    </row>
    <row r="12174" spans="10:10" x14ac:dyDescent="0.3">
      <c r="J12174"/>
    </row>
    <row r="12175" spans="10:10" x14ac:dyDescent="0.3">
      <c r="J12175"/>
    </row>
    <row r="12176" spans="10:10" x14ac:dyDescent="0.3">
      <c r="J12176"/>
    </row>
    <row r="12177" spans="10:10" x14ac:dyDescent="0.3">
      <c r="J12177"/>
    </row>
    <row r="12178" spans="10:10" x14ac:dyDescent="0.3">
      <c r="J12178"/>
    </row>
    <row r="12179" spans="10:10" x14ac:dyDescent="0.3">
      <c r="J12179"/>
    </row>
    <row r="12180" spans="10:10" x14ac:dyDescent="0.3">
      <c r="J12180"/>
    </row>
    <row r="12181" spans="10:10" x14ac:dyDescent="0.3">
      <c r="J12181"/>
    </row>
    <row r="12182" spans="10:10" x14ac:dyDescent="0.3">
      <c r="J12182"/>
    </row>
    <row r="12183" spans="10:10" x14ac:dyDescent="0.3">
      <c r="J12183"/>
    </row>
    <row r="12184" spans="10:10" x14ac:dyDescent="0.3">
      <c r="J12184"/>
    </row>
    <row r="12185" spans="10:10" x14ac:dyDescent="0.3">
      <c r="J12185"/>
    </row>
    <row r="12186" spans="10:10" x14ac:dyDescent="0.3">
      <c r="J12186"/>
    </row>
    <row r="12187" spans="10:10" x14ac:dyDescent="0.3">
      <c r="J12187"/>
    </row>
    <row r="12188" spans="10:10" x14ac:dyDescent="0.3">
      <c r="J12188"/>
    </row>
    <row r="12189" spans="10:10" x14ac:dyDescent="0.3">
      <c r="J12189"/>
    </row>
    <row r="12190" spans="10:10" x14ac:dyDescent="0.3">
      <c r="J12190"/>
    </row>
    <row r="12191" spans="10:10" x14ac:dyDescent="0.3">
      <c r="J12191"/>
    </row>
    <row r="12192" spans="10:10" x14ac:dyDescent="0.3">
      <c r="J12192"/>
    </row>
    <row r="12193" spans="10:10" x14ac:dyDescent="0.3">
      <c r="J12193"/>
    </row>
    <row r="12194" spans="10:10" x14ac:dyDescent="0.3">
      <c r="J12194"/>
    </row>
    <row r="12195" spans="10:10" x14ac:dyDescent="0.3">
      <c r="J12195"/>
    </row>
    <row r="12196" spans="10:10" x14ac:dyDescent="0.3">
      <c r="J12196"/>
    </row>
    <row r="12197" spans="10:10" x14ac:dyDescent="0.3">
      <c r="J12197"/>
    </row>
    <row r="12198" spans="10:10" x14ac:dyDescent="0.3">
      <c r="J12198"/>
    </row>
    <row r="12199" spans="10:10" x14ac:dyDescent="0.3">
      <c r="J12199"/>
    </row>
    <row r="12200" spans="10:10" x14ac:dyDescent="0.3">
      <c r="J12200"/>
    </row>
    <row r="12201" spans="10:10" x14ac:dyDescent="0.3">
      <c r="J12201"/>
    </row>
    <row r="12202" spans="10:10" x14ac:dyDescent="0.3">
      <c r="J12202"/>
    </row>
    <row r="12203" spans="10:10" x14ac:dyDescent="0.3">
      <c r="J12203"/>
    </row>
    <row r="12204" spans="10:10" x14ac:dyDescent="0.3">
      <c r="J12204"/>
    </row>
    <row r="12205" spans="10:10" x14ac:dyDescent="0.3">
      <c r="J12205"/>
    </row>
    <row r="12206" spans="10:10" x14ac:dyDescent="0.3">
      <c r="J12206"/>
    </row>
    <row r="12207" spans="10:10" x14ac:dyDescent="0.3">
      <c r="J12207"/>
    </row>
    <row r="12208" spans="10:10" x14ac:dyDescent="0.3">
      <c r="J12208"/>
    </row>
    <row r="12209" spans="10:10" x14ac:dyDescent="0.3">
      <c r="J12209"/>
    </row>
    <row r="12210" spans="10:10" x14ac:dyDescent="0.3">
      <c r="J12210"/>
    </row>
    <row r="12211" spans="10:10" x14ac:dyDescent="0.3">
      <c r="J12211"/>
    </row>
    <row r="12212" spans="10:10" x14ac:dyDescent="0.3">
      <c r="J12212"/>
    </row>
    <row r="12213" spans="10:10" x14ac:dyDescent="0.3">
      <c r="J12213"/>
    </row>
    <row r="12214" spans="10:10" x14ac:dyDescent="0.3">
      <c r="J12214"/>
    </row>
    <row r="12215" spans="10:10" x14ac:dyDescent="0.3">
      <c r="J12215"/>
    </row>
    <row r="12216" spans="10:10" x14ac:dyDescent="0.3">
      <c r="J12216"/>
    </row>
    <row r="12217" spans="10:10" x14ac:dyDescent="0.3">
      <c r="J12217"/>
    </row>
    <row r="12218" spans="10:10" x14ac:dyDescent="0.3">
      <c r="J12218"/>
    </row>
    <row r="12219" spans="10:10" x14ac:dyDescent="0.3">
      <c r="J12219"/>
    </row>
    <row r="12220" spans="10:10" x14ac:dyDescent="0.3">
      <c r="J12220"/>
    </row>
    <row r="12221" spans="10:10" x14ac:dyDescent="0.3">
      <c r="J12221"/>
    </row>
    <row r="12222" spans="10:10" x14ac:dyDescent="0.3">
      <c r="J12222"/>
    </row>
    <row r="12223" spans="10:10" x14ac:dyDescent="0.3">
      <c r="J12223"/>
    </row>
    <row r="12224" spans="10:10" x14ac:dyDescent="0.3">
      <c r="J12224"/>
    </row>
    <row r="12225" spans="10:10" x14ac:dyDescent="0.3">
      <c r="J12225"/>
    </row>
    <row r="12226" spans="10:10" x14ac:dyDescent="0.3">
      <c r="J12226"/>
    </row>
    <row r="12227" spans="10:10" x14ac:dyDescent="0.3">
      <c r="J12227"/>
    </row>
    <row r="12228" spans="10:10" x14ac:dyDescent="0.3">
      <c r="J12228"/>
    </row>
    <row r="12229" spans="10:10" x14ac:dyDescent="0.3">
      <c r="J12229"/>
    </row>
    <row r="12230" spans="10:10" x14ac:dyDescent="0.3">
      <c r="J12230"/>
    </row>
    <row r="12231" spans="10:10" x14ac:dyDescent="0.3">
      <c r="J12231"/>
    </row>
    <row r="12232" spans="10:10" x14ac:dyDescent="0.3">
      <c r="J12232"/>
    </row>
    <row r="12233" spans="10:10" x14ac:dyDescent="0.3">
      <c r="J12233"/>
    </row>
    <row r="12234" spans="10:10" x14ac:dyDescent="0.3">
      <c r="J12234"/>
    </row>
    <row r="12235" spans="10:10" x14ac:dyDescent="0.3">
      <c r="J12235"/>
    </row>
    <row r="12236" spans="10:10" x14ac:dyDescent="0.3">
      <c r="J12236"/>
    </row>
    <row r="12237" spans="10:10" x14ac:dyDescent="0.3">
      <c r="J12237"/>
    </row>
    <row r="12238" spans="10:10" x14ac:dyDescent="0.3">
      <c r="J12238"/>
    </row>
    <row r="12239" spans="10:10" x14ac:dyDescent="0.3">
      <c r="J12239"/>
    </row>
    <row r="12240" spans="10:10" x14ac:dyDescent="0.3">
      <c r="J12240"/>
    </row>
    <row r="12241" spans="10:10" x14ac:dyDescent="0.3">
      <c r="J12241"/>
    </row>
    <row r="12242" spans="10:10" x14ac:dyDescent="0.3">
      <c r="J12242"/>
    </row>
    <row r="12243" spans="10:10" x14ac:dyDescent="0.3">
      <c r="J12243"/>
    </row>
    <row r="12244" spans="10:10" x14ac:dyDescent="0.3">
      <c r="J12244"/>
    </row>
    <row r="12245" spans="10:10" x14ac:dyDescent="0.3">
      <c r="J12245"/>
    </row>
    <row r="12246" spans="10:10" x14ac:dyDescent="0.3">
      <c r="J12246"/>
    </row>
    <row r="12247" spans="10:10" x14ac:dyDescent="0.3">
      <c r="J12247"/>
    </row>
    <row r="12248" spans="10:10" x14ac:dyDescent="0.3">
      <c r="J12248"/>
    </row>
    <row r="12249" spans="10:10" x14ac:dyDescent="0.3">
      <c r="J12249"/>
    </row>
    <row r="12250" spans="10:10" x14ac:dyDescent="0.3">
      <c r="J12250"/>
    </row>
    <row r="12251" spans="10:10" x14ac:dyDescent="0.3">
      <c r="J12251"/>
    </row>
    <row r="12252" spans="10:10" x14ac:dyDescent="0.3">
      <c r="J12252"/>
    </row>
    <row r="12253" spans="10:10" x14ac:dyDescent="0.3">
      <c r="J12253"/>
    </row>
    <row r="12254" spans="10:10" x14ac:dyDescent="0.3">
      <c r="J12254"/>
    </row>
    <row r="12255" spans="10:10" x14ac:dyDescent="0.3">
      <c r="J12255"/>
    </row>
    <row r="12256" spans="10:10" x14ac:dyDescent="0.3">
      <c r="J12256"/>
    </row>
    <row r="12257" spans="10:10" x14ac:dyDescent="0.3">
      <c r="J12257"/>
    </row>
    <row r="12258" spans="10:10" x14ac:dyDescent="0.3">
      <c r="J12258"/>
    </row>
    <row r="12259" spans="10:10" x14ac:dyDescent="0.3">
      <c r="J12259"/>
    </row>
    <row r="12260" spans="10:10" x14ac:dyDescent="0.3">
      <c r="J12260"/>
    </row>
    <row r="12261" spans="10:10" x14ac:dyDescent="0.3">
      <c r="J12261"/>
    </row>
    <row r="12262" spans="10:10" x14ac:dyDescent="0.3">
      <c r="J12262"/>
    </row>
    <row r="12263" spans="10:10" x14ac:dyDescent="0.3">
      <c r="J12263"/>
    </row>
    <row r="12264" spans="10:10" x14ac:dyDescent="0.3">
      <c r="J12264"/>
    </row>
    <row r="12265" spans="10:10" x14ac:dyDescent="0.3">
      <c r="J12265"/>
    </row>
    <row r="12266" spans="10:10" x14ac:dyDescent="0.3">
      <c r="J12266"/>
    </row>
    <row r="12267" spans="10:10" x14ac:dyDescent="0.3">
      <c r="J12267"/>
    </row>
    <row r="12268" spans="10:10" x14ac:dyDescent="0.3">
      <c r="J12268"/>
    </row>
    <row r="12269" spans="10:10" x14ac:dyDescent="0.3">
      <c r="J12269"/>
    </row>
    <row r="12270" spans="10:10" x14ac:dyDescent="0.3">
      <c r="J12270"/>
    </row>
    <row r="12271" spans="10:10" x14ac:dyDescent="0.3">
      <c r="J12271"/>
    </row>
    <row r="12272" spans="10:10" x14ac:dyDescent="0.3">
      <c r="J12272"/>
    </row>
    <row r="12273" spans="10:10" x14ac:dyDescent="0.3">
      <c r="J12273"/>
    </row>
    <row r="12274" spans="10:10" x14ac:dyDescent="0.3">
      <c r="J12274"/>
    </row>
    <row r="12275" spans="10:10" x14ac:dyDescent="0.3">
      <c r="J12275"/>
    </row>
    <row r="12276" spans="10:10" x14ac:dyDescent="0.3">
      <c r="J12276"/>
    </row>
    <row r="12277" spans="10:10" x14ac:dyDescent="0.3">
      <c r="J12277"/>
    </row>
    <row r="12278" spans="10:10" x14ac:dyDescent="0.3">
      <c r="J12278"/>
    </row>
    <row r="12279" spans="10:10" x14ac:dyDescent="0.3">
      <c r="J12279"/>
    </row>
    <row r="12280" spans="10:10" x14ac:dyDescent="0.3">
      <c r="J12280"/>
    </row>
    <row r="12281" spans="10:10" x14ac:dyDescent="0.3">
      <c r="J12281"/>
    </row>
    <row r="12282" spans="10:10" x14ac:dyDescent="0.3">
      <c r="J12282"/>
    </row>
    <row r="12283" spans="10:10" x14ac:dyDescent="0.3">
      <c r="J12283"/>
    </row>
    <row r="12284" spans="10:10" x14ac:dyDescent="0.3">
      <c r="J12284"/>
    </row>
    <row r="12285" spans="10:10" x14ac:dyDescent="0.3">
      <c r="J12285"/>
    </row>
    <row r="12286" spans="10:10" x14ac:dyDescent="0.3">
      <c r="J12286"/>
    </row>
    <row r="12287" spans="10:10" x14ac:dyDescent="0.3">
      <c r="J12287"/>
    </row>
    <row r="12288" spans="10:10" x14ac:dyDescent="0.3">
      <c r="J12288"/>
    </row>
    <row r="12289" spans="10:10" x14ac:dyDescent="0.3">
      <c r="J12289"/>
    </row>
    <row r="12290" spans="10:10" x14ac:dyDescent="0.3">
      <c r="J12290"/>
    </row>
    <row r="12291" spans="10:10" x14ac:dyDescent="0.3">
      <c r="J12291"/>
    </row>
    <row r="12292" spans="10:10" x14ac:dyDescent="0.3">
      <c r="J12292"/>
    </row>
    <row r="12293" spans="10:10" x14ac:dyDescent="0.3">
      <c r="J12293"/>
    </row>
    <row r="12294" spans="10:10" x14ac:dyDescent="0.3">
      <c r="J12294"/>
    </row>
    <row r="12295" spans="10:10" x14ac:dyDescent="0.3">
      <c r="J12295"/>
    </row>
    <row r="12296" spans="10:10" x14ac:dyDescent="0.3">
      <c r="J12296"/>
    </row>
    <row r="12297" spans="10:10" x14ac:dyDescent="0.3">
      <c r="J12297"/>
    </row>
    <row r="12298" spans="10:10" x14ac:dyDescent="0.3">
      <c r="J12298"/>
    </row>
    <row r="12299" spans="10:10" x14ac:dyDescent="0.3">
      <c r="J12299"/>
    </row>
    <row r="12300" spans="10:10" x14ac:dyDescent="0.3">
      <c r="J12300"/>
    </row>
    <row r="12301" spans="10:10" x14ac:dyDescent="0.3">
      <c r="J12301"/>
    </row>
    <row r="12302" spans="10:10" x14ac:dyDescent="0.3">
      <c r="J12302"/>
    </row>
    <row r="12303" spans="10:10" x14ac:dyDescent="0.3">
      <c r="J12303"/>
    </row>
    <row r="12304" spans="10:10" x14ac:dyDescent="0.3">
      <c r="J12304"/>
    </row>
    <row r="12305" spans="10:10" x14ac:dyDescent="0.3">
      <c r="J12305"/>
    </row>
    <row r="12306" spans="10:10" x14ac:dyDescent="0.3">
      <c r="J12306"/>
    </row>
    <row r="12307" spans="10:10" x14ac:dyDescent="0.3">
      <c r="J12307"/>
    </row>
    <row r="12308" spans="10:10" x14ac:dyDescent="0.3">
      <c r="J12308"/>
    </row>
    <row r="12309" spans="10:10" x14ac:dyDescent="0.3">
      <c r="J12309"/>
    </row>
    <row r="12310" spans="10:10" x14ac:dyDescent="0.3">
      <c r="J12310"/>
    </row>
    <row r="12311" spans="10:10" x14ac:dyDescent="0.3">
      <c r="J12311"/>
    </row>
    <row r="12312" spans="10:10" x14ac:dyDescent="0.3">
      <c r="J12312"/>
    </row>
    <row r="12313" spans="10:10" x14ac:dyDescent="0.3">
      <c r="J12313"/>
    </row>
    <row r="12314" spans="10:10" x14ac:dyDescent="0.3">
      <c r="J12314"/>
    </row>
    <row r="12315" spans="10:10" x14ac:dyDescent="0.3">
      <c r="J12315"/>
    </row>
    <row r="12316" spans="10:10" x14ac:dyDescent="0.3">
      <c r="J12316"/>
    </row>
    <row r="12317" spans="10:10" x14ac:dyDescent="0.3">
      <c r="J12317"/>
    </row>
    <row r="12318" spans="10:10" x14ac:dyDescent="0.3">
      <c r="J12318"/>
    </row>
    <row r="12319" spans="10:10" x14ac:dyDescent="0.3">
      <c r="J12319"/>
    </row>
    <row r="12320" spans="10:10" x14ac:dyDescent="0.3">
      <c r="J12320"/>
    </row>
    <row r="12321" spans="10:10" x14ac:dyDescent="0.3">
      <c r="J12321"/>
    </row>
    <row r="12322" spans="10:10" x14ac:dyDescent="0.3">
      <c r="J12322"/>
    </row>
    <row r="12323" spans="10:10" x14ac:dyDescent="0.3">
      <c r="J12323"/>
    </row>
    <row r="12324" spans="10:10" x14ac:dyDescent="0.3">
      <c r="J12324"/>
    </row>
    <row r="12325" spans="10:10" x14ac:dyDescent="0.3">
      <c r="J12325"/>
    </row>
    <row r="12326" spans="10:10" x14ac:dyDescent="0.3">
      <c r="J12326"/>
    </row>
    <row r="12327" spans="10:10" x14ac:dyDescent="0.3">
      <c r="J12327"/>
    </row>
    <row r="12328" spans="10:10" x14ac:dyDescent="0.3">
      <c r="J12328"/>
    </row>
    <row r="12329" spans="10:10" x14ac:dyDescent="0.3">
      <c r="J12329"/>
    </row>
    <row r="12330" spans="10:10" x14ac:dyDescent="0.3">
      <c r="J12330"/>
    </row>
    <row r="12331" spans="10:10" x14ac:dyDescent="0.3">
      <c r="J12331"/>
    </row>
    <row r="12332" spans="10:10" x14ac:dyDescent="0.3">
      <c r="J12332"/>
    </row>
    <row r="12333" spans="10:10" x14ac:dyDescent="0.3">
      <c r="J12333"/>
    </row>
    <row r="12334" spans="10:10" x14ac:dyDescent="0.3">
      <c r="J12334"/>
    </row>
    <row r="12335" spans="10:10" x14ac:dyDescent="0.3">
      <c r="J12335"/>
    </row>
    <row r="12336" spans="10:10" x14ac:dyDescent="0.3">
      <c r="J12336"/>
    </row>
    <row r="12337" spans="10:10" x14ac:dyDescent="0.3">
      <c r="J12337"/>
    </row>
    <row r="12338" spans="10:10" x14ac:dyDescent="0.3">
      <c r="J12338"/>
    </row>
    <row r="12339" spans="10:10" x14ac:dyDescent="0.3">
      <c r="J12339"/>
    </row>
    <row r="12340" spans="10:10" x14ac:dyDescent="0.3">
      <c r="J12340"/>
    </row>
    <row r="12341" spans="10:10" x14ac:dyDescent="0.3">
      <c r="J12341"/>
    </row>
    <row r="12342" spans="10:10" x14ac:dyDescent="0.3">
      <c r="J12342"/>
    </row>
    <row r="12343" spans="10:10" x14ac:dyDescent="0.3">
      <c r="J12343"/>
    </row>
    <row r="12344" spans="10:10" x14ac:dyDescent="0.3">
      <c r="J12344"/>
    </row>
    <row r="12345" spans="10:10" x14ac:dyDescent="0.3">
      <c r="J12345"/>
    </row>
    <row r="12346" spans="10:10" x14ac:dyDescent="0.3">
      <c r="J12346"/>
    </row>
    <row r="12347" spans="10:10" x14ac:dyDescent="0.3">
      <c r="J12347"/>
    </row>
    <row r="12348" spans="10:10" x14ac:dyDescent="0.3">
      <c r="J12348"/>
    </row>
    <row r="12349" spans="10:10" x14ac:dyDescent="0.3">
      <c r="J12349"/>
    </row>
    <row r="12350" spans="10:10" x14ac:dyDescent="0.3">
      <c r="J12350"/>
    </row>
    <row r="12351" spans="10:10" x14ac:dyDescent="0.3">
      <c r="J12351"/>
    </row>
    <row r="12352" spans="10:10" x14ac:dyDescent="0.3">
      <c r="J12352"/>
    </row>
    <row r="12353" spans="10:10" x14ac:dyDescent="0.3">
      <c r="J12353"/>
    </row>
    <row r="12354" spans="10:10" x14ac:dyDescent="0.3">
      <c r="J12354"/>
    </row>
    <row r="12355" spans="10:10" x14ac:dyDescent="0.3">
      <c r="J12355"/>
    </row>
    <row r="12356" spans="10:10" x14ac:dyDescent="0.3">
      <c r="J12356"/>
    </row>
    <row r="12357" spans="10:10" x14ac:dyDescent="0.3">
      <c r="J12357"/>
    </row>
    <row r="12358" spans="10:10" x14ac:dyDescent="0.3">
      <c r="J12358"/>
    </row>
    <row r="12359" spans="10:10" x14ac:dyDescent="0.3">
      <c r="J12359"/>
    </row>
    <row r="12360" spans="10:10" x14ac:dyDescent="0.3">
      <c r="J12360"/>
    </row>
    <row r="12361" spans="10:10" x14ac:dyDescent="0.3">
      <c r="J12361"/>
    </row>
    <row r="12362" spans="10:10" x14ac:dyDescent="0.3">
      <c r="J12362"/>
    </row>
    <row r="12363" spans="10:10" x14ac:dyDescent="0.3">
      <c r="J12363"/>
    </row>
    <row r="12364" spans="10:10" x14ac:dyDescent="0.3">
      <c r="J12364"/>
    </row>
    <row r="12365" spans="10:10" x14ac:dyDescent="0.3">
      <c r="J12365"/>
    </row>
    <row r="12366" spans="10:10" x14ac:dyDescent="0.3">
      <c r="J12366"/>
    </row>
    <row r="12367" spans="10:10" x14ac:dyDescent="0.3">
      <c r="J12367"/>
    </row>
    <row r="12368" spans="10:10" x14ac:dyDescent="0.3">
      <c r="J12368"/>
    </row>
    <row r="12369" spans="10:10" x14ac:dyDescent="0.3">
      <c r="J12369"/>
    </row>
    <row r="12370" spans="10:10" x14ac:dyDescent="0.3">
      <c r="J12370"/>
    </row>
    <row r="12371" spans="10:10" x14ac:dyDescent="0.3">
      <c r="J12371"/>
    </row>
    <row r="12372" spans="10:10" x14ac:dyDescent="0.3">
      <c r="J12372"/>
    </row>
    <row r="12373" spans="10:10" x14ac:dyDescent="0.3">
      <c r="J12373"/>
    </row>
    <row r="12374" spans="10:10" x14ac:dyDescent="0.3">
      <c r="J12374"/>
    </row>
    <row r="12375" spans="10:10" x14ac:dyDescent="0.3">
      <c r="J12375"/>
    </row>
    <row r="12376" spans="10:10" x14ac:dyDescent="0.3">
      <c r="J12376"/>
    </row>
    <row r="12377" spans="10:10" x14ac:dyDescent="0.3">
      <c r="J12377"/>
    </row>
    <row r="12378" spans="10:10" x14ac:dyDescent="0.3">
      <c r="J12378"/>
    </row>
    <row r="12379" spans="10:10" x14ac:dyDescent="0.3">
      <c r="J12379"/>
    </row>
    <row r="12380" spans="10:10" x14ac:dyDescent="0.3">
      <c r="J12380"/>
    </row>
    <row r="12381" spans="10:10" x14ac:dyDescent="0.3">
      <c r="J12381"/>
    </row>
    <row r="12382" spans="10:10" x14ac:dyDescent="0.3">
      <c r="J12382"/>
    </row>
    <row r="12383" spans="10:10" x14ac:dyDescent="0.3">
      <c r="J12383"/>
    </row>
    <row r="12384" spans="10:10" x14ac:dyDescent="0.3">
      <c r="J12384"/>
    </row>
    <row r="12385" spans="10:10" x14ac:dyDescent="0.3">
      <c r="J12385"/>
    </row>
    <row r="12386" spans="10:10" x14ac:dyDescent="0.3">
      <c r="J12386"/>
    </row>
    <row r="12387" spans="10:10" x14ac:dyDescent="0.3">
      <c r="J12387"/>
    </row>
    <row r="12388" spans="10:10" x14ac:dyDescent="0.3">
      <c r="J12388"/>
    </row>
    <row r="12389" spans="10:10" x14ac:dyDescent="0.3">
      <c r="J12389"/>
    </row>
    <row r="12390" spans="10:10" x14ac:dyDescent="0.3">
      <c r="J12390"/>
    </row>
    <row r="12391" spans="10:10" x14ac:dyDescent="0.3">
      <c r="J12391"/>
    </row>
    <row r="12392" spans="10:10" x14ac:dyDescent="0.3">
      <c r="J12392"/>
    </row>
    <row r="12393" spans="10:10" x14ac:dyDescent="0.3">
      <c r="J12393"/>
    </row>
    <row r="12394" spans="10:10" x14ac:dyDescent="0.3">
      <c r="J12394"/>
    </row>
    <row r="12395" spans="10:10" x14ac:dyDescent="0.3">
      <c r="J12395"/>
    </row>
    <row r="12396" spans="10:10" x14ac:dyDescent="0.3">
      <c r="J12396"/>
    </row>
    <row r="12397" spans="10:10" x14ac:dyDescent="0.3">
      <c r="J12397"/>
    </row>
    <row r="12398" spans="10:10" x14ac:dyDescent="0.3">
      <c r="J12398"/>
    </row>
    <row r="12399" spans="10:10" x14ac:dyDescent="0.3">
      <c r="J12399"/>
    </row>
    <row r="12400" spans="10:10" x14ac:dyDescent="0.3">
      <c r="J12400"/>
    </row>
    <row r="12401" spans="10:10" x14ac:dyDescent="0.3">
      <c r="J12401"/>
    </row>
    <row r="12402" spans="10:10" x14ac:dyDescent="0.3">
      <c r="J12402"/>
    </row>
    <row r="12403" spans="10:10" x14ac:dyDescent="0.3">
      <c r="J12403"/>
    </row>
    <row r="12404" spans="10:10" x14ac:dyDescent="0.3">
      <c r="J12404"/>
    </row>
    <row r="12405" spans="10:10" x14ac:dyDescent="0.3">
      <c r="J12405"/>
    </row>
    <row r="12406" spans="10:10" x14ac:dyDescent="0.3">
      <c r="J12406"/>
    </row>
    <row r="12407" spans="10:10" x14ac:dyDescent="0.3">
      <c r="J12407"/>
    </row>
    <row r="12408" spans="10:10" x14ac:dyDescent="0.3">
      <c r="J12408"/>
    </row>
    <row r="12409" spans="10:10" x14ac:dyDescent="0.3">
      <c r="J12409"/>
    </row>
    <row r="12410" spans="10:10" x14ac:dyDescent="0.3">
      <c r="J12410"/>
    </row>
    <row r="12411" spans="10:10" x14ac:dyDescent="0.3">
      <c r="J12411"/>
    </row>
    <row r="12412" spans="10:10" x14ac:dyDescent="0.3">
      <c r="J12412"/>
    </row>
    <row r="12413" spans="10:10" x14ac:dyDescent="0.3">
      <c r="J12413"/>
    </row>
    <row r="12414" spans="10:10" x14ac:dyDescent="0.3">
      <c r="J12414"/>
    </row>
    <row r="12415" spans="10:10" x14ac:dyDescent="0.3">
      <c r="J12415"/>
    </row>
    <row r="12416" spans="10:10" x14ac:dyDescent="0.3">
      <c r="J12416"/>
    </row>
    <row r="12417" spans="10:10" x14ac:dyDescent="0.3">
      <c r="J12417"/>
    </row>
    <row r="12418" spans="10:10" x14ac:dyDescent="0.3">
      <c r="J12418"/>
    </row>
    <row r="12419" spans="10:10" x14ac:dyDescent="0.3">
      <c r="J12419"/>
    </row>
    <row r="12420" spans="10:10" x14ac:dyDescent="0.3">
      <c r="J12420"/>
    </row>
    <row r="12421" spans="10:10" x14ac:dyDescent="0.3">
      <c r="J12421"/>
    </row>
    <row r="12422" spans="10:10" x14ac:dyDescent="0.3">
      <c r="J12422"/>
    </row>
    <row r="12423" spans="10:10" x14ac:dyDescent="0.3">
      <c r="J12423"/>
    </row>
    <row r="12424" spans="10:10" x14ac:dyDescent="0.3">
      <c r="J12424"/>
    </row>
    <row r="12425" spans="10:10" x14ac:dyDescent="0.3">
      <c r="J12425"/>
    </row>
    <row r="12426" spans="10:10" x14ac:dyDescent="0.3">
      <c r="J12426"/>
    </row>
    <row r="12427" spans="10:10" x14ac:dyDescent="0.3">
      <c r="J12427"/>
    </row>
    <row r="12428" spans="10:10" x14ac:dyDescent="0.3">
      <c r="J12428"/>
    </row>
    <row r="12429" spans="10:10" x14ac:dyDescent="0.3">
      <c r="J12429"/>
    </row>
    <row r="12430" spans="10:10" x14ac:dyDescent="0.3">
      <c r="J12430"/>
    </row>
    <row r="12431" spans="10:10" x14ac:dyDescent="0.3">
      <c r="J12431"/>
    </row>
    <row r="12432" spans="10:10" x14ac:dyDescent="0.3">
      <c r="J12432"/>
    </row>
    <row r="12433" spans="10:10" x14ac:dyDescent="0.3">
      <c r="J12433"/>
    </row>
    <row r="12434" spans="10:10" x14ac:dyDescent="0.3">
      <c r="J12434"/>
    </row>
    <row r="12435" spans="10:10" x14ac:dyDescent="0.3">
      <c r="J12435"/>
    </row>
    <row r="12436" spans="10:10" x14ac:dyDescent="0.3">
      <c r="J12436"/>
    </row>
    <row r="12437" spans="10:10" x14ac:dyDescent="0.3">
      <c r="J12437"/>
    </row>
    <row r="12438" spans="10:10" x14ac:dyDescent="0.3">
      <c r="J12438"/>
    </row>
    <row r="12439" spans="10:10" x14ac:dyDescent="0.3">
      <c r="J12439"/>
    </row>
    <row r="12440" spans="10:10" x14ac:dyDescent="0.3">
      <c r="J12440"/>
    </row>
    <row r="12441" spans="10:10" x14ac:dyDescent="0.3">
      <c r="J12441"/>
    </row>
    <row r="12442" spans="10:10" x14ac:dyDescent="0.3">
      <c r="J12442"/>
    </row>
    <row r="12443" spans="10:10" x14ac:dyDescent="0.3">
      <c r="J12443"/>
    </row>
    <row r="12444" spans="10:10" x14ac:dyDescent="0.3">
      <c r="J12444"/>
    </row>
    <row r="12445" spans="10:10" x14ac:dyDescent="0.3">
      <c r="J12445"/>
    </row>
    <row r="12446" spans="10:10" x14ac:dyDescent="0.3">
      <c r="J12446"/>
    </row>
    <row r="12447" spans="10:10" x14ac:dyDescent="0.3">
      <c r="J12447"/>
    </row>
    <row r="12448" spans="10:10" x14ac:dyDescent="0.3">
      <c r="J12448"/>
    </row>
    <row r="12449" spans="10:10" x14ac:dyDescent="0.3">
      <c r="J12449"/>
    </row>
    <row r="12450" spans="10:10" x14ac:dyDescent="0.3">
      <c r="J12450"/>
    </row>
    <row r="12451" spans="10:10" x14ac:dyDescent="0.3">
      <c r="J12451"/>
    </row>
    <row r="12452" spans="10:10" x14ac:dyDescent="0.3">
      <c r="J12452"/>
    </row>
    <row r="12453" spans="10:10" x14ac:dyDescent="0.3">
      <c r="J12453"/>
    </row>
    <row r="12454" spans="10:10" x14ac:dyDescent="0.3">
      <c r="J12454"/>
    </row>
    <row r="12455" spans="10:10" x14ac:dyDescent="0.3">
      <c r="J12455"/>
    </row>
    <row r="12456" spans="10:10" x14ac:dyDescent="0.3">
      <c r="J12456"/>
    </row>
    <row r="12457" spans="10:10" x14ac:dyDescent="0.3">
      <c r="J12457"/>
    </row>
    <row r="12458" spans="10:10" x14ac:dyDescent="0.3">
      <c r="J12458"/>
    </row>
    <row r="12459" spans="10:10" x14ac:dyDescent="0.3">
      <c r="J12459"/>
    </row>
    <row r="12460" spans="10:10" x14ac:dyDescent="0.3">
      <c r="J12460"/>
    </row>
    <row r="12461" spans="10:10" x14ac:dyDescent="0.3">
      <c r="J12461"/>
    </row>
    <row r="12462" spans="10:10" x14ac:dyDescent="0.3">
      <c r="J12462"/>
    </row>
    <row r="12463" spans="10:10" x14ac:dyDescent="0.3">
      <c r="J12463"/>
    </row>
    <row r="12464" spans="10:10" x14ac:dyDescent="0.3">
      <c r="J12464"/>
    </row>
    <row r="12465" spans="10:10" x14ac:dyDescent="0.3">
      <c r="J12465"/>
    </row>
    <row r="12466" spans="10:10" x14ac:dyDescent="0.3">
      <c r="J12466"/>
    </row>
    <row r="12467" spans="10:10" x14ac:dyDescent="0.3">
      <c r="J12467"/>
    </row>
    <row r="12468" spans="10:10" x14ac:dyDescent="0.3">
      <c r="J12468"/>
    </row>
    <row r="12469" spans="10:10" x14ac:dyDescent="0.3">
      <c r="J12469"/>
    </row>
    <row r="12470" spans="10:10" x14ac:dyDescent="0.3">
      <c r="J12470"/>
    </row>
    <row r="12471" spans="10:10" x14ac:dyDescent="0.3">
      <c r="J12471"/>
    </row>
    <row r="12472" spans="10:10" x14ac:dyDescent="0.3">
      <c r="J12472"/>
    </row>
    <row r="12473" spans="10:10" x14ac:dyDescent="0.3">
      <c r="J12473"/>
    </row>
    <row r="12474" spans="10:10" x14ac:dyDescent="0.3">
      <c r="J12474"/>
    </row>
    <row r="12475" spans="10:10" x14ac:dyDescent="0.3">
      <c r="J12475"/>
    </row>
    <row r="12476" spans="10:10" x14ac:dyDescent="0.3">
      <c r="J12476"/>
    </row>
    <row r="12477" spans="10:10" x14ac:dyDescent="0.3">
      <c r="J12477"/>
    </row>
    <row r="12478" spans="10:10" x14ac:dyDescent="0.3">
      <c r="J12478"/>
    </row>
    <row r="12479" spans="10:10" x14ac:dyDescent="0.3">
      <c r="J12479"/>
    </row>
    <row r="12480" spans="10:10" x14ac:dyDescent="0.3">
      <c r="J12480"/>
    </row>
    <row r="12481" spans="10:10" x14ac:dyDescent="0.3">
      <c r="J12481"/>
    </row>
    <row r="12482" spans="10:10" x14ac:dyDescent="0.3">
      <c r="J12482"/>
    </row>
    <row r="12483" spans="10:10" x14ac:dyDescent="0.3">
      <c r="J12483"/>
    </row>
    <row r="12484" spans="10:10" x14ac:dyDescent="0.3">
      <c r="J12484"/>
    </row>
    <row r="12485" spans="10:10" x14ac:dyDescent="0.3">
      <c r="J12485"/>
    </row>
    <row r="12486" spans="10:10" x14ac:dyDescent="0.3">
      <c r="J12486"/>
    </row>
    <row r="12487" spans="10:10" x14ac:dyDescent="0.3">
      <c r="J12487"/>
    </row>
    <row r="12488" spans="10:10" x14ac:dyDescent="0.3">
      <c r="J12488"/>
    </row>
    <row r="12489" spans="10:10" x14ac:dyDescent="0.3">
      <c r="J12489"/>
    </row>
    <row r="12490" spans="10:10" x14ac:dyDescent="0.3">
      <c r="J12490"/>
    </row>
    <row r="12491" spans="10:10" x14ac:dyDescent="0.3">
      <c r="J12491"/>
    </row>
    <row r="12492" spans="10:10" x14ac:dyDescent="0.3">
      <c r="J12492"/>
    </row>
    <row r="12493" spans="10:10" x14ac:dyDescent="0.3">
      <c r="J12493"/>
    </row>
    <row r="12494" spans="10:10" x14ac:dyDescent="0.3">
      <c r="J12494"/>
    </row>
    <row r="12495" spans="10:10" x14ac:dyDescent="0.3">
      <c r="J12495"/>
    </row>
    <row r="12496" spans="10:10" x14ac:dyDescent="0.3">
      <c r="J12496"/>
    </row>
    <row r="12497" spans="10:10" x14ac:dyDescent="0.3">
      <c r="J12497"/>
    </row>
    <row r="12498" spans="10:10" x14ac:dyDescent="0.3">
      <c r="J12498"/>
    </row>
    <row r="12499" spans="10:10" x14ac:dyDescent="0.3">
      <c r="J12499"/>
    </row>
    <row r="12500" spans="10:10" x14ac:dyDescent="0.3">
      <c r="J12500"/>
    </row>
    <row r="12501" spans="10:10" x14ac:dyDescent="0.3">
      <c r="J12501"/>
    </row>
    <row r="12502" spans="10:10" x14ac:dyDescent="0.3">
      <c r="J12502"/>
    </row>
    <row r="12503" spans="10:10" x14ac:dyDescent="0.3">
      <c r="J12503"/>
    </row>
    <row r="12504" spans="10:10" x14ac:dyDescent="0.3">
      <c r="J12504"/>
    </row>
    <row r="12505" spans="10:10" x14ac:dyDescent="0.3">
      <c r="J12505"/>
    </row>
    <row r="12506" spans="10:10" x14ac:dyDescent="0.3">
      <c r="J12506"/>
    </row>
    <row r="12507" spans="10:10" x14ac:dyDescent="0.3">
      <c r="J12507"/>
    </row>
    <row r="12508" spans="10:10" x14ac:dyDescent="0.3">
      <c r="J12508"/>
    </row>
    <row r="12509" spans="10:10" x14ac:dyDescent="0.3">
      <c r="J12509"/>
    </row>
    <row r="12510" spans="10:10" x14ac:dyDescent="0.3">
      <c r="J12510"/>
    </row>
    <row r="12511" spans="10:10" x14ac:dyDescent="0.3">
      <c r="J12511"/>
    </row>
    <row r="12512" spans="10:10" x14ac:dyDescent="0.3">
      <c r="J12512"/>
    </row>
    <row r="12513" spans="10:10" x14ac:dyDescent="0.3">
      <c r="J12513"/>
    </row>
    <row r="12514" spans="10:10" x14ac:dyDescent="0.3">
      <c r="J12514"/>
    </row>
    <row r="12515" spans="10:10" x14ac:dyDescent="0.3">
      <c r="J12515"/>
    </row>
    <row r="12516" spans="10:10" x14ac:dyDescent="0.3">
      <c r="J12516"/>
    </row>
    <row r="12517" spans="10:10" x14ac:dyDescent="0.3">
      <c r="J12517"/>
    </row>
    <row r="12518" spans="10:10" x14ac:dyDescent="0.3">
      <c r="J12518"/>
    </row>
    <row r="12519" spans="10:10" x14ac:dyDescent="0.3">
      <c r="J12519"/>
    </row>
    <row r="12520" spans="10:10" x14ac:dyDescent="0.3">
      <c r="J12520"/>
    </row>
    <row r="12521" spans="10:10" x14ac:dyDescent="0.3">
      <c r="J12521"/>
    </row>
    <row r="12522" spans="10:10" x14ac:dyDescent="0.3">
      <c r="J12522"/>
    </row>
    <row r="12523" spans="10:10" x14ac:dyDescent="0.3">
      <c r="J12523"/>
    </row>
    <row r="12524" spans="10:10" x14ac:dyDescent="0.3">
      <c r="J12524"/>
    </row>
    <row r="12525" spans="10:10" x14ac:dyDescent="0.3">
      <c r="J12525"/>
    </row>
    <row r="12526" spans="10:10" x14ac:dyDescent="0.3">
      <c r="J12526"/>
    </row>
    <row r="12527" spans="10:10" x14ac:dyDescent="0.3">
      <c r="J12527"/>
    </row>
    <row r="12528" spans="10:10" x14ac:dyDescent="0.3">
      <c r="J12528"/>
    </row>
    <row r="12529" spans="10:10" x14ac:dyDescent="0.3">
      <c r="J12529"/>
    </row>
    <row r="12530" spans="10:10" x14ac:dyDescent="0.3">
      <c r="J12530"/>
    </row>
    <row r="12531" spans="10:10" x14ac:dyDescent="0.3">
      <c r="J12531"/>
    </row>
    <row r="12532" spans="10:10" x14ac:dyDescent="0.3">
      <c r="J12532"/>
    </row>
    <row r="12533" spans="10:10" x14ac:dyDescent="0.3">
      <c r="J12533"/>
    </row>
    <row r="12534" spans="10:10" x14ac:dyDescent="0.3">
      <c r="J12534"/>
    </row>
    <row r="12535" spans="10:10" x14ac:dyDescent="0.3">
      <c r="J12535"/>
    </row>
    <row r="12536" spans="10:10" x14ac:dyDescent="0.3">
      <c r="J12536"/>
    </row>
    <row r="12537" spans="10:10" x14ac:dyDescent="0.3">
      <c r="J12537"/>
    </row>
    <row r="12538" spans="10:10" x14ac:dyDescent="0.3">
      <c r="J12538"/>
    </row>
    <row r="12539" spans="10:10" x14ac:dyDescent="0.3">
      <c r="J12539"/>
    </row>
    <row r="12540" spans="10:10" x14ac:dyDescent="0.3">
      <c r="J12540"/>
    </row>
    <row r="12541" spans="10:10" x14ac:dyDescent="0.3">
      <c r="J12541"/>
    </row>
    <row r="12542" spans="10:10" x14ac:dyDescent="0.3">
      <c r="J12542"/>
    </row>
    <row r="12543" spans="10:10" x14ac:dyDescent="0.3">
      <c r="J12543"/>
    </row>
    <row r="12544" spans="10:10" x14ac:dyDescent="0.3">
      <c r="J12544"/>
    </row>
    <row r="12545" spans="10:10" x14ac:dyDescent="0.3">
      <c r="J12545"/>
    </row>
    <row r="12546" spans="10:10" x14ac:dyDescent="0.3">
      <c r="J12546"/>
    </row>
    <row r="12547" spans="10:10" x14ac:dyDescent="0.3">
      <c r="J12547"/>
    </row>
    <row r="12548" spans="10:10" x14ac:dyDescent="0.3">
      <c r="J12548"/>
    </row>
    <row r="12549" spans="10:10" x14ac:dyDescent="0.3">
      <c r="J12549"/>
    </row>
    <row r="12550" spans="10:10" x14ac:dyDescent="0.3">
      <c r="J12550"/>
    </row>
    <row r="12551" spans="10:10" x14ac:dyDescent="0.3">
      <c r="J12551"/>
    </row>
    <row r="12552" spans="10:10" x14ac:dyDescent="0.3">
      <c r="J12552"/>
    </row>
    <row r="12553" spans="10:10" x14ac:dyDescent="0.3">
      <c r="J12553"/>
    </row>
    <row r="12554" spans="10:10" x14ac:dyDescent="0.3">
      <c r="J12554"/>
    </row>
    <row r="12555" spans="10:10" x14ac:dyDescent="0.3">
      <c r="J12555"/>
    </row>
    <row r="12556" spans="10:10" x14ac:dyDescent="0.3">
      <c r="J12556"/>
    </row>
    <row r="12557" spans="10:10" x14ac:dyDescent="0.3">
      <c r="J12557"/>
    </row>
    <row r="12558" spans="10:10" x14ac:dyDescent="0.3">
      <c r="J12558"/>
    </row>
    <row r="12559" spans="10:10" x14ac:dyDescent="0.3">
      <c r="J12559"/>
    </row>
    <row r="12560" spans="10:10" x14ac:dyDescent="0.3">
      <c r="J12560"/>
    </row>
    <row r="12561" spans="10:10" x14ac:dyDescent="0.3">
      <c r="J12561"/>
    </row>
    <row r="12562" spans="10:10" x14ac:dyDescent="0.3">
      <c r="J12562"/>
    </row>
    <row r="12563" spans="10:10" x14ac:dyDescent="0.3">
      <c r="J12563"/>
    </row>
    <row r="12564" spans="10:10" x14ac:dyDescent="0.3">
      <c r="J12564"/>
    </row>
    <row r="12565" spans="10:10" x14ac:dyDescent="0.3">
      <c r="J12565"/>
    </row>
    <row r="12566" spans="10:10" x14ac:dyDescent="0.3">
      <c r="J12566"/>
    </row>
    <row r="12567" spans="10:10" x14ac:dyDescent="0.3">
      <c r="J12567"/>
    </row>
    <row r="12568" spans="10:10" x14ac:dyDescent="0.3">
      <c r="J12568"/>
    </row>
    <row r="12569" spans="10:10" x14ac:dyDescent="0.3">
      <c r="J12569"/>
    </row>
    <row r="12570" spans="10:10" x14ac:dyDescent="0.3">
      <c r="J12570"/>
    </row>
    <row r="12571" spans="10:10" x14ac:dyDescent="0.3">
      <c r="J12571"/>
    </row>
    <row r="12573" spans="10:10" x14ac:dyDescent="0.3">
      <c r="J12573"/>
    </row>
    <row r="12574" spans="10:10" x14ac:dyDescent="0.3">
      <c r="J12574"/>
    </row>
    <row r="12575" spans="10:10" x14ac:dyDescent="0.3">
      <c r="J12575"/>
    </row>
    <row r="12576" spans="10:10" x14ac:dyDescent="0.3">
      <c r="J12576"/>
    </row>
    <row r="12577" spans="10:10" x14ac:dyDescent="0.3">
      <c r="J12577"/>
    </row>
    <row r="12578" spans="10:10" x14ac:dyDescent="0.3">
      <c r="J12578"/>
    </row>
    <row r="12579" spans="10:10" x14ac:dyDescent="0.3">
      <c r="J12579"/>
    </row>
    <row r="12580" spans="10:10" x14ac:dyDescent="0.3">
      <c r="J12580"/>
    </row>
    <row r="12581" spans="10:10" x14ac:dyDescent="0.3">
      <c r="J12581"/>
    </row>
    <row r="12582" spans="10:10" x14ac:dyDescent="0.3">
      <c r="J12582"/>
    </row>
    <row r="12583" spans="10:10" x14ac:dyDescent="0.3">
      <c r="J12583"/>
    </row>
    <row r="12584" spans="10:10" x14ac:dyDescent="0.3">
      <c r="J12584"/>
    </row>
    <row r="12585" spans="10:10" x14ac:dyDescent="0.3">
      <c r="J12585"/>
    </row>
    <row r="12586" spans="10:10" x14ac:dyDescent="0.3">
      <c r="J12586"/>
    </row>
    <row r="12587" spans="10:10" x14ac:dyDescent="0.3">
      <c r="J12587"/>
    </row>
    <row r="12588" spans="10:10" x14ac:dyDescent="0.3">
      <c r="J12588"/>
    </row>
    <row r="12589" spans="10:10" x14ac:dyDescent="0.3">
      <c r="J12589"/>
    </row>
    <row r="12590" spans="10:10" x14ac:dyDescent="0.3">
      <c r="J12590"/>
    </row>
    <row r="12591" spans="10:10" x14ac:dyDescent="0.3">
      <c r="J12591"/>
    </row>
    <row r="12592" spans="10:10" x14ac:dyDescent="0.3">
      <c r="J12592"/>
    </row>
    <row r="12593" spans="10:10" x14ac:dyDescent="0.3">
      <c r="J12593"/>
    </row>
    <row r="12594" spans="10:10" x14ac:dyDescent="0.3">
      <c r="J12594"/>
    </row>
    <row r="12595" spans="10:10" x14ac:dyDescent="0.3">
      <c r="J12595"/>
    </row>
    <row r="12596" spans="10:10" x14ac:dyDescent="0.3">
      <c r="J12596"/>
    </row>
    <row r="12597" spans="10:10" x14ac:dyDescent="0.3">
      <c r="J12597"/>
    </row>
    <row r="12598" spans="10:10" x14ac:dyDescent="0.3">
      <c r="J12598"/>
    </row>
    <row r="12599" spans="10:10" x14ac:dyDescent="0.3">
      <c r="J12599"/>
    </row>
    <row r="12600" spans="10:10" x14ac:dyDescent="0.3">
      <c r="J12600"/>
    </row>
    <row r="12601" spans="10:10" x14ac:dyDescent="0.3">
      <c r="J12601"/>
    </row>
    <row r="12602" spans="10:10" x14ac:dyDescent="0.3">
      <c r="J12602"/>
    </row>
    <row r="12603" spans="10:10" x14ac:dyDescent="0.3">
      <c r="J12603"/>
    </row>
    <row r="12604" spans="10:10" x14ac:dyDescent="0.3">
      <c r="J12604"/>
    </row>
    <row r="12605" spans="10:10" x14ac:dyDescent="0.3">
      <c r="J12605"/>
    </row>
    <row r="12606" spans="10:10" x14ac:dyDescent="0.3">
      <c r="J12606"/>
    </row>
    <row r="12607" spans="10:10" x14ac:dyDescent="0.3">
      <c r="J12607"/>
    </row>
    <row r="12608" spans="10:10" x14ac:dyDescent="0.3">
      <c r="J12608"/>
    </row>
    <row r="12609" spans="10:10" x14ac:dyDescent="0.3">
      <c r="J12609"/>
    </row>
    <row r="12610" spans="10:10" x14ac:dyDescent="0.3">
      <c r="J12610"/>
    </row>
    <row r="12611" spans="10:10" x14ac:dyDescent="0.3">
      <c r="J12611"/>
    </row>
    <row r="12612" spans="10:10" x14ac:dyDescent="0.3">
      <c r="J12612"/>
    </row>
    <row r="12613" spans="10:10" x14ac:dyDescent="0.3">
      <c r="J12613"/>
    </row>
    <row r="12614" spans="10:10" x14ac:dyDescent="0.3">
      <c r="J12614"/>
    </row>
    <row r="12615" spans="10:10" x14ac:dyDescent="0.3">
      <c r="J12615"/>
    </row>
    <row r="12616" spans="10:10" x14ac:dyDescent="0.3">
      <c r="J12616"/>
    </row>
    <row r="12617" spans="10:10" x14ac:dyDescent="0.3">
      <c r="J12617"/>
    </row>
    <row r="12618" spans="10:10" x14ac:dyDescent="0.3">
      <c r="J12618"/>
    </row>
    <row r="12619" spans="10:10" x14ac:dyDescent="0.3">
      <c r="J12619"/>
    </row>
    <row r="12620" spans="10:10" x14ac:dyDescent="0.3">
      <c r="J12620"/>
    </row>
    <row r="12621" spans="10:10" x14ac:dyDescent="0.3">
      <c r="J12621"/>
    </row>
    <row r="12622" spans="10:10" x14ac:dyDescent="0.3">
      <c r="J12622"/>
    </row>
    <row r="12623" spans="10:10" x14ac:dyDescent="0.3">
      <c r="J12623"/>
    </row>
    <row r="12624" spans="10:10" x14ac:dyDescent="0.3">
      <c r="J12624"/>
    </row>
    <row r="12625" spans="10:10" x14ac:dyDescent="0.3">
      <c r="J12625"/>
    </row>
    <row r="12626" spans="10:10" x14ac:dyDescent="0.3">
      <c r="J12626"/>
    </row>
    <row r="12627" spans="10:10" x14ac:dyDescent="0.3">
      <c r="J12627"/>
    </row>
    <row r="12628" spans="10:10" x14ac:dyDescent="0.3">
      <c r="J12628"/>
    </row>
    <row r="12629" spans="10:10" x14ac:dyDescent="0.3">
      <c r="J12629"/>
    </row>
    <row r="12630" spans="10:10" x14ac:dyDescent="0.3">
      <c r="J12630"/>
    </row>
    <row r="12631" spans="10:10" x14ac:dyDescent="0.3">
      <c r="J12631"/>
    </row>
    <row r="12632" spans="10:10" x14ac:dyDescent="0.3">
      <c r="J12632"/>
    </row>
    <row r="12633" spans="10:10" x14ac:dyDescent="0.3">
      <c r="J12633"/>
    </row>
    <row r="12634" spans="10:10" x14ac:dyDescent="0.3">
      <c r="J12634"/>
    </row>
    <row r="12635" spans="10:10" x14ac:dyDescent="0.3">
      <c r="J12635"/>
    </row>
    <row r="12636" spans="10:10" x14ac:dyDescent="0.3">
      <c r="J12636"/>
    </row>
    <row r="12637" spans="10:10" x14ac:dyDescent="0.3">
      <c r="J12637"/>
    </row>
    <row r="12638" spans="10:10" x14ac:dyDescent="0.3">
      <c r="J12638"/>
    </row>
    <row r="12639" spans="10:10" x14ac:dyDescent="0.3">
      <c r="J12639"/>
    </row>
    <row r="12640" spans="10:10" x14ac:dyDescent="0.3">
      <c r="J12640"/>
    </row>
    <row r="12641" spans="10:10" x14ac:dyDescent="0.3">
      <c r="J12641"/>
    </row>
    <row r="12642" spans="10:10" x14ac:dyDescent="0.3">
      <c r="J12642"/>
    </row>
    <row r="12643" spans="10:10" x14ac:dyDescent="0.3">
      <c r="J12643"/>
    </row>
    <row r="12644" spans="10:10" x14ac:dyDescent="0.3">
      <c r="J12644"/>
    </row>
    <row r="12645" spans="10:10" x14ac:dyDescent="0.3">
      <c r="J12645"/>
    </row>
    <row r="12646" spans="10:10" x14ac:dyDescent="0.3">
      <c r="J12646"/>
    </row>
    <row r="12647" spans="10:10" x14ac:dyDescent="0.3">
      <c r="J12647"/>
    </row>
    <row r="12648" spans="10:10" x14ac:dyDescent="0.3">
      <c r="J12648"/>
    </row>
    <row r="12649" spans="10:10" x14ac:dyDescent="0.3">
      <c r="J12649"/>
    </row>
    <row r="12650" spans="10:10" x14ac:dyDescent="0.3">
      <c r="J12650"/>
    </row>
    <row r="12651" spans="10:10" x14ac:dyDescent="0.3">
      <c r="J12651"/>
    </row>
    <row r="12652" spans="10:10" x14ac:dyDescent="0.3">
      <c r="J12652"/>
    </row>
    <row r="12653" spans="10:10" x14ac:dyDescent="0.3">
      <c r="J12653"/>
    </row>
    <row r="12654" spans="10:10" x14ac:dyDescent="0.3">
      <c r="J12654"/>
    </row>
    <row r="12655" spans="10:10" x14ac:dyDescent="0.3">
      <c r="J12655"/>
    </row>
    <row r="12656" spans="10:10" x14ac:dyDescent="0.3">
      <c r="J12656"/>
    </row>
    <row r="12657" spans="10:10" x14ac:dyDescent="0.3">
      <c r="J12657"/>
    </row>
    <row r="12658" spans="10:10" x14ac:dyDescent="0.3">
      <c r="J12658"/>
    </row>
    <row r="12659" spans="10:10" x14ac:dyDescent="0.3">
      <c r="J12659"/>
    </row>
    <row r="12660" spans="10:10" x14ac:dyDescent="0.3">
      <c r="J12660"/>
    </row>
    <row r="12661" spans="10:10" x14ac:dyDescent="0.3">
      <c r="J12661"/>
    </row>
    <row r="12662" spans="10:10" x14ac:dyDescent="0.3">
      <c r="J12662"/>
    </row>
    <row r="12663" spans="10:10" x14ac:dyDescent="0.3">
      <c r="J12663"/>
    </row>
    <row r="12664" spans="10:10" x14ac:dyDescent="0.3">
      <c r="J12664"/>
    </row>
    <row r="12665" spans="10:10" x14ac:dyDescent="0.3">
      <c r="J12665"/>
    </row>
    <row r="12666" spans="10:10" x14ac:dyDescent="0.3">
      <c r="J12666"/>
    </row>
    <row r="12667" spans="10:10" x14ac:dyDescent="0.3">
      <c r="J12667"/>
    </row>
    <row r="12668" spans="10:10" x14ac:dyDescent="0.3">
      <c r="J12668"/>
    </row>
    <row r="12669" spans="10:10" x14ac:dyDescent="0.3">
      <c r="J12669"/>
    </row>
    <row r="12670" spans="10:10" x14ac:dyDescent="0.3">
      <c r="J12670"/>
    </row>
    <row r="12671" spans="10:10" x14ac:dyDescent="0.3">
      <c r="J12671"/>
    </row>
    <row r="12672" spans="10:10" x14ac:dyDescent="0.3">
      <c r="J12672"/>
    </row>
    <row r="12673" spans="10:10" x14ac:dyDescent="0.3">
      <c r="J12673"/>
    </row>
    <row r="12674" spans="10:10" x14ac:dyDescent="0.3">
      <c r="J12674"/>
    </row>
    <row r="12675" spans="10:10" x14ac:dyDescent="0.3">
      <c r="J12675"/>
    </row>
    <row r="12676" spans="10:10" x14ac:dyDescent="0.3">
      <c r="J12676"/>
    </row>
    <row r="12677" spans="10:10" x14ac:dyDescent="0.3">
      <c r="J12677"/>
    </row>
    <row r="12678" spans="10:10" x14ac:dyDescent="0.3">
      <c r="J12678"/>
    </row>
    <row r="12679" spans="10:10" x14ac:dyDescent="0.3">
      <c r="J12679"/>
    </row>
    <row r="12680" spans="10:10" x14ac:dyDescent="0.3">
      <c r="J12680"/>
    </row>
    <row r="12681" spans="10:10" x14ac:dyDescent="0.3">
      <c r="J12681"/>
    </row>
    <row r="12682" spans="10:10" x14ac:dyDescent="0.3">
      <c r="J12682"/>
    </row>
    <row r="12683" spans="10:10" x14ac:dyDescent="0.3">
      <c r="J12683"/>
    </row>
    <row r="12684" spans="10:10" x14ac:dyDescent="0.3">
      <c r="J12684"/>
    </row>
    <row r="12685" spans="10:10" x14ac:dyDescent="0.3">
      <c r="J12685"/>
    </row>
    <row r="12686" spans="10:10" x14ac:dyDescent="0.3">
      <c r="J12686"/>
    </row>
    <row r="12687" spans="10:10" x14ac:dyDescent="0.3">
      <c r="J12687"/>
    </row>
    <row r="12688" spans="10:10" x14ac:dyDescent="0.3">
      <c r="J12688"/>
    </row>
    <row r="12689" spans="10:10" x14ac:dyDescent="0.3">
      <c r="J12689"/>
    </row>
    <row r="12690" spans="10:10" x14ac:dyDescent="0.3">
      <c r="J12690"/>
    </row>
    <row r="12691" spans="10:10" x14ac:dyDescent="0.3">
      <c r="J12691"/>
    </row>
    <row r="12692" spans="10:10" x14ac:dyDescent="0.3">
      <c r="J12692"/>
    </row>
    <row r="12693" spans="10:10" x14ac:dyDescent="0.3">
      <c r="J12693"/>
    </row>
    <row r="12694" spans="10:10" x14ac:dyDescent="0.3">
      <c r="J12694"/>
    </row>
    <row r="12695" spans="10:10" x14ac:dyDescent="0.3">
      <c r="J12695"/>
    </row>
    <row r="12696" spans="10:10" x14ac:dyDescent="0.3">
      <c r="J12696"/>
    </row>
    <row r="12697" spans="10:10" x14ac:dyDescent="0.3">
      <c r="J12697"/>
    </row>
    <row r="12698" spans="10:10" x14ac:dyDescent="0.3">
      <c r="J12698"/>
    </row>
    <row r="12699" spans="10:10" x14ac:dyDescent="0.3">
      <c r="J12699"/>
    </row>
    <row r="12700" spans="10:10" x14ac:dyDescent="0.3">
      <c r="J12700"/>
    </row>
    <row r="12701" spans="10:10" x14ac:dyDescent="0.3">
      <c r="J12701"/>
    </row>
    <row r="12702" spans="10:10" x14ac:dyDescent="0.3">
      <c r="J12702"/>
    </row>
    <row r="12703" spans="10:10" x14ac:dyDescent="0.3">
      <c r="J12703"/>
    </row>
    <row r="12704" spans="10:10" x14ac:dyDescent="0.3">
      <c r="J12704"/>
    </row>
    <row r="12705" spans="10:10" x14ac:dyDescent="0.3">
      <c r="J12705"/>
    </row>
    <row r="12706" spans="10:10" x14ac:dyDescent="0.3">
      <c r="J12706"/>
    </row>
    <row r="12707" spans="10:10" x14ac:dyDescent="0.3">
      <c r="J12707"/>
    </row>
    <row r="12708" spans="10:10" x14ac:dyDescent="0.3">
      <c r="J12708"/>
    </row>
    <row r="12709" spans="10:10" x14ac:dyDescent="0.3">
      <c r="J12709"/>
    </row>
    <row r="12710" spans="10:10" x14ac:dyDescent="0.3">
      <c r="J12710"/>
    </row>
    <row r="12711" spans="10:10" x14ac:dyDescent="0.3">
      <c r="J12711"/>
    </row>
    <row r="12712" spans="10:10" x14ac:dyDescent="0.3">
      <c r="J12712"/>
    </row>
    <row r="12713" spans="10:10" x14ac:dyDescent="0.3">
      <c r="J12713"/>
    </row>
    <row r="12714" spans="10:10" x14ac:dyDescent="0.3">
      <c r="J12714"/>
    </row>
    <row r="12715" spans="10:10" x14ac:dyDescent="0.3">
      <c r="J12715"/>
    </row>
    <row r="12716" spans="10:10" x14ac:dyDescent="0.3">
      <c r="J12716"/>
    </row>
    <row r="12717" spans="10:10" x14ac:dyDescent="0.3">
      <c r="J12717"/>
    </row>
    <row r="12718" spans="10:10" x14ac:dyDescent="0.3">
      <c r="J12718"/>
    </row>
    <row r="12719" spans="10:10" x14ac:dyDescent="0.3">
      <c r="J12719"/>
    </row>
    <row r="12720" spans="10:10" x14ac:dyDescent="0.3">
      <c r="J12720"/>
    </row>
    <row r="12721" spans="10:10" x14ac:dyDescent="0.3">
      <c r="J12721"/>
    </row>
    <row r="12722" spans="10:10" x14ac:dyDescent="0.3">
      <c r="J12722"/>
    </row>
    <row r="12723" spans="10:10" x14ac:dyDescent="0.3">
      <c r="J12723"/>
    </row>
    <row r="12724" spans="10:10" x14ac:dyDescent="0.3">
      <c r="J12724"/>
    </row>
    <row r="12725" spans="10:10" x14ac:dyDescent="0.3">
      <c r="J12725"/>
    </row>
    <row r="12726" spans="10:10" x14ac:dyDescent="0.3">
      <c r="J12726"/>
    </row>
    <row r="12727" spans="10:10" x14ac:dyDescent="0.3">
      <c r="J12727"/>
    </row>
    <row r="12728" spans="10:10" x14ac:dyDescent="0.3">
      <c r="J12728"/>
    </row>
    <row r="12729" spans="10:10" x14ac:dyDescent="0.3">
      <c r="J12729"/>
    </row>
    <row r="12730" spans="10:10" x14ac:dyDescent="0.3">
      <c r="J12730"/>
    </row>
    <row r="12731" spans="10:10" x14ac:dyDescent="0.3">
      <c r="J12731"/>
    </row>
    <row r="12732" spans="10:10" x14ac:dyDescent="0.3">
      <c r="J12732"/>
    </row>
    <row r="12733" spans="10:10" x14ac:dyDescent="0.3">
      <c r="J12733"/>
    </row>
    <row r="12734" spans="10:10" x14ac:dyDescent="0.3">
      <c r="J12734"/>
    </row>
    <row r="12735" spans="10:10" x14ac:dyDescent="0.3">
      <c r="J12735"/>
    </row>
    <row r="12736" spans="10:10" x14ac:dyDescent="0.3">
      <c r="J12736"/>
    </row>
    <row r="12737" spans="10:10" x14ac:dyDescent="0.3">
      <c r="J12737"/>
    </row>
    <row r="12738" spans="10:10" x14ac:dyDescent="0.3">
      <c r="J12738"/>
    </row>
    <row r="12739" spans="10:10" x14ac:dyDescent="0.3">
      <c r="J12739"/>
    </row>
    <row r="12740" spans="10:10" x14ac:dyDescent="0.3">
      <c r="J12740"/>
    </row>
    <row r="12741" spans="10:10" x14ac:dyDescent="0.3">
      <c r="J12741"/>
    </row>
    <row r="12742" spans="10:10" x14ac:dyDescent="0.3">
      <c r="J12742"/>
    </row>
    <row r="12743" spans="10:10" x14ac:dyDescent="0.3">
      <c r="J12743"/>
    </row>
    <row r="12744" spans="10:10" x14ac:dyDescent="0.3">
      <c r="J12744"/>
    </row>
    <row r="12745" spans="10:10" x14ac:dyDescent="0.3">
      <c r="J12745"/>
    </row>
    <row r="12746" spans="10:10" x14ac:dyDescent="0.3">
      <c r="J12746"/>
    </row>
    <row r="12747" spans="10:10" x14ac:dyDescent="0.3">
      <c r="J12747"/>
    </row>
    <row r="12748" spans="10:10" x14ac:dyDescent="0.3">
      <c r="J12748"/>
    </row>
    <row r="12749" spans="10:10" x14ac:dyDescent="0.3">
      <c r="J12749"/>
    </row>
    <row r="12750" spans="10:10" x14ac:dyDescent="0.3">
      <c r="J12750"/>
    </row>
    <row r="12751" spans="10:10" x14ac:dyDescent="0.3">
      <c r="J12751"/>
    </row>
    <row r="12752" spans="10:10" x14ac:dyDescent="0.3">
      <c r="J12752"/>
    </row>
    <row r="12753" spans="10:10" x14ac:dyDescent="0.3">
      <c r="J12753"/>
    </row>
    <row r="12754" spans="10:10" x14ac:dyDescent="0.3">
      <c r="J12754"/>
    </row>
    <row r="12755" spans="10:10" x14ac:dyDescent="0.3">
      <c r="J12755"/>
    </row>
    <row r="12756" spans="10:10" x14ac:dyDescent="0.3">
      <c r="J12756"/>
    </row>
    <row r="12757" spans="10:10" x14ac:dyDescent="0.3">
      <c r="J12757"/>
    </row>
    <row r="12758" spans="10:10" x14ac:dyDescent="0.3">
      <c r="J12758"/>
    </row>
    <row r="12759" spans="10:10" x14ac:dyDescent="0.3">
      <c r="J12759"/>
    </row>
    <row r="12760" spans="10:10" x14ac:dyDescent="0.3">
      <c r="J12760"/>
    </row>
    <row r="12761" spans="10:10" x14ac:dyDescent="0.3">
      <c r="J12761"/>
    </row>
    <row r="12762" spans="10:10" x14ac:dyDescent="0.3">
      <c r="J12762"/>
    </row>
    <row r="12763" spans="10:10" x14ac:dyDescent="0.3">
      <c r="J12763"/>
    </row>
    <row r="12764" spans="10:10" x14ac:dyDescent="0.3">
      <c r="J12764"/>
    </row>
    <row r="12765" spans="10:10" x14ac:dyDescent="0.3">
      <c r="J12765"/>
    </row>
    <row r="12766" spans="10:10" x14ac:dyDescent="0.3">
      <c r="J12766"/>
    </row>
    <row r="12767" spans="10:10" x14ac:dyDescent="0.3">
      <c r="J12767"/>
    </row>
    <row r="12768" spans="10:10" x14ac:dyDescent="0.3">
      <c r="J12768"/>
    </row>
    <row r="12769" spans="10:10" x14ac:dyDescent="0.3">
      <c r="J12769"/>
    </row>
    <row r="12770" spans="10:10" x14ac:dyDescent="0.3">
      <c r="J12770"/>
    </row>
    <row r="12771" spans="10:10" x14ac:dyDescent="0.3">
      <c r="J12771"/>
    </row>
    <row r="12772" spans="10:10" x14ac:dyDescent="0.3">
      <c r="J12772"/>
    </row>
    <row r="12773" spans="10:10" x14ac:dyDescent="0.3">
      <c r="J12773"/>
    </row>
    <row r="12774" spans="10:10" x14ac:dyDescent="0.3">
      <c r="J12774"/>
    </row>
    <row r="12775" spans="10:10" x14ac:dyDescent="0.3">
      <c r="J12775"/>
    </row>
    <row r="12776" spans="10:10" x14ac:dyDescent="0.3">
      <c r="J12776"/>
    </row>
    <row r="12777" spans="10:10" x14ac:dyDescent="0.3">
      <c r="J12777"/>
    </row>
    <row r="12778" spans="10:10" x14ac:dyDescent="0.3">
      <c r="J12778"/>
    </row>
    <row r="12779" spans="10:10" x14ac:dyDescent="0.3">
      <c r="J12779"/>
    </row>
    <row r="12780" spans="10:10" x14ac:dyDescent="0.3">
      <c r="J12780"/>
    </row>
    <row r="12781" spans="10:10" x14ac:dyDescent="0.3">
      <c r="J12781"/>
    </row>
    <row r="12782" spans="10:10" x14ac:dyDescent="0.3">
      <c r="J12782"/>
    </row>
    <row r="12783" spans="10:10" x14ac:dyDescent="0.3">
      <c r="J12783"/>
    </row>
    <row r="12784" spans="10:10" x14ac:dyDescent="0.3">
      <c r="J12784"/>
    </row>
    <row r="12785" spans="10:10" x14ac:dyDescent="0.3">
      <c r="J12785"/>
    </row>
    <row r="12786" spans="10:10" x14ac:dyDescent="0.3">
      <c r="J12786"/>
    </row>
    <row r="12787" spans="10:10" x14ac:dyDescent="0.3">
      <c r="J12787"/>
    </row>
    <row r="12788" spans="10:10" x14ac:dyDescent="0.3">
      <c r="J12788"/>
    </row>
    <row r="12789" spans="10:10" x14ac:dyDescent="0.3">
      <c r="J12789"/>
    </row>
    <row r="12790" spans="10:10" x14ac:dyDescent="0.3">
      <c r="J12790"/>
    </row>
    <row r="12791" spans="10:10" x14ac:dyDescent="0.3">
      <c r="J12791"/>
    </row>
    <row r="12792" spans="10:10" x14ac:dyDescent="0.3">
      <c r="J12792"/>
    </row>
    <row r="12793" spans="10:10" x14ac:dyDescent="0.3">
      <c r="J12793"/>
    </row>
    <row r="12794" spans="10:10" x14ac:dyDescent="0.3">
      <c r="J12794"/>
    </row>
    <row r="12795" spans="10:10" x14ac:dyDescent="0.3">
      <c r="J12795"/>
    </row>
    <row r="12796" spans="10:10" x14ac:dyDescent="0.3">
      <c r="J12796"/>
    </row>
    <row r="12797" spans="10:10" x14ac:dyDescent="0.3">
      <c r="J12797"/>
    </row>
    <row r="12798" spans="10:10" x14ac:dyDescent="0.3">
      <c r="J12798"/>
    </row>
    <row r="12799" spans="10:10" x14ac:dyDescent="0.3">
      <c r="J12799"/>
    </row>
    <row r="12800" spans="10:10" x14ac:dyDescent="0.3">
      <c r="J12800"/>
    </row>
    <row r="12801" spans="10:10" x14ac:dyDescent="0.3">
      <c r="J12801"/>
    </row>
    <row r="12802" spans="10:10" x14ac:dyDescent="0.3">
      <c r="J12802"/>
    </row>
    <row r="12803" spans="10:10" x14ac:dyDescent="0.3">
      <c r="J12803"/>
    </row>
    <row r="12804" spans="10:10" x14ac:dyDescent="0.3">
      <c r="J12804"/>
    </row>
    <row r="12805" spans="10:10" x14ac:dyDescent="0.3">
      <c r="J12805"/>
    </row>
    <row r="12806" spans="10:10" x14ac:dyDescent="0.3">
      <c r="J12806"/>
    </row>
    <row r="12807" spans="10:10" x14ac:dyDescent="0.3">
      <c r="J12807"/>
    </row>
    <row r="12808" spans="10:10" x14ac:dyDescent="0.3">
      <c r="J12808"/>
    </row>
    <row r="12809" spans="10:10" x14ac:dyDescent="0.3">
      <c r="J12809"/>
    </row>
    <row r="12810" spans="10:10" x14ac:dyDescent="0.3">
      <c r="J12810"/>
    </row>
    <row r="12811" spans="10:10" x14ac:dyDescent="0.3">
      <c r="J12811"/>
    </row>
    <row r="12812" spans="10:10" x14ac:dyDescent="0.3">
      <c r="J12812"/>
    </row>
    <row r="12813" spans="10:10" x14ac:dyDescent="0.3">
      <c r="J12813"/>
    </row>
    <row r="12814" spans="10:10" x14ac:dyDescent="0.3">
      <c r="J12814"/>
    </row>
    <row r="12815" spans="10:10" x14ac:dyDescent="0.3">
      <c r="J12815"/>
    </row>
    <row r="12816" spans="10:10" x14ac:dyDescent="0.3">
      <c r="J12816"/>
    </row>
    <row r="12817" spans="10:10" x14ac:dyDescent="0.3">
      <c r="J12817"/>
    </row>
    <row r="12818" spans="10:10" x14ac:dyDescent="0.3">
      <c r="J12818"/>
    </row>
    <row r="12819" spans="10:10" x14ac:dyDescent="0.3">
      <c r="J12819"/>
    </row>
    <row r="12820" spans="10:10" x14ac:dyDescent="0.3">
      <c r="J12820"/>
    </row>
    <row r="12821" spans="10:10" x14ac:dyDescent="0.3">
      <c r="J12821"/>
    </row>
    <row r="12822" spans="10:10" x14ac:dyDescent="0.3">
      <c r="J12822"/>
    </row>
    <row r="12823" spans="10:10" x14ac:dyDescent="0.3">
      <c r="J12823"/>
    </row>
    <row r="12824" spans="10:10" x14ac:dyDescent="0.3">
      <c r="J12824"/>
    </row>
    <row r="12825" spans="10:10" x14ac:dyDescent="0.3">
      <c r="J12825"/>
    </row>
    <row r="12826" spans="10:10" x14ac:dyDescent="0.3">
      <c r="J12826"/>
    </row>
    <row r="12827" spans="10:10" x14ac:dyDescent="0.3">
      <c r="J12827"/>
    </row>
    <row r="12828" spans="10:10" x14ac:dyDescent="0.3">
      <c r="J12828"/>
    </row>
    <row r="12829" spans="10:10" x14ac:dyDescent="0.3">
      <c r="J12829"/>
    </row>
    <row r="12830" spans="10:10" x14ac:dyDescent="0.3">
      <c r="J12830"/>
    </row>
    <row r="12831" spans="10:10" x14ac:dyDescent="0.3">
      <c r="J12831"/>
    </row>
    <row r="12832" spans="10:10" x14ac:dyDescent="0.3">
      <c r="J12832"/>
    </row>
    <row r="12833" spans="10:10" x14ac:dyDescent="0.3">
      <c r="J12833"/>
    </row>
    <row r="12834" spans="10:10" x14ac:dyDescent="0.3">
      <c r="J12834"/>
    </row>
    <row r="12835" spans="10:10" x14ac:dyDescent="0.3">
      <c r="J12835"/>
    </row>
    <row r="12836" spans="10:10" x14ac:dyDescent="0.3">
      <c r="J12836"/>
    </row>
    <row r="12837" spans="10:10" x14ac:dyDescent="0.3">
      <c r="J12837"/>
    </row>
    <row r="12838" spans="10:10" x14ac:dyDescent="0.3">
      <c r="J12838"/>
    </row>
    <row r="12839" spans="10:10" x14ac:dyDescent="0.3">
      <c r="J12839"/>
    </row>
    <row r="12840" spans="10:10" x14ac:dyDescent="0.3">
      <c r="J12840"/>
    </row>
    <row r="12841" spans="10:10" x14ac:dyDescent="0.3">
      <c r="J12841"/>
    </row>
    <row r="12842" spans="10:10" x14ac:dyDescent="0.3">
      <c r="J12842"/>
    </row>
    <row r="12843" spans="10:10" x14ac:dyDescent="0.3">
      <c r="J12843"/>
    </row>
    <row r="12844" spans="10:10" x14ac:dyDescent="0.3">
      <c r="J12844"/>
    </row>
    <row r="12845" spans="10:10" x14ac:dyDescent="0.3">
      <c r="J12845"/>
    </row>
    <row r="12846" spans="10:10" x14ac:dyDescent="0.3">
      <c r="J12846"/>
    </row>
    <row r="12847" spans="10:10" x14ac:dyDescent="0.3">
      <c r="J12847"/>
    </row>
    <row r="12848" spans="10:10" x14ac:dyDescent="0.3">
      <c r="J12848"/>
    </row>
    <row r="12849" spans="10:10" x14ac:dyDescent="0.3">
      <c r="J12849"/>
    </row>
    <row r="12850" spans="10:10" x14ac:dyDescent="0.3">
      <c r="J12850"/>
    </row>
    <row r="12851" spans="10:10" x14ac:dyDescent="0.3">
      <c r="J12851"/>
    </row>
    <row r="12852" spans="10:10" x14ac:dyDescent="0.3">
      <c r="J12852"/>
    </row>
    <row r="12853" spans="10:10" x14ac:dyDescent="0.3">
      <c r="J12853"/>
    </row>
    <row r="12854" spans="10:10" x14ac:dyDescent="0.3">
      <c r="J12854"/>
    </row>
    <row r="12855" spans="10:10" x14ac:dyDescent="0.3">
      <c r="J12855"/>
    </row>
    <row r="12856" spans="10:10" x14ac:dyDescent="0.3">
      <c r="J12856"/>
    </row>
    <row r="12857" spans="10:10" x14ac:dyDescent="0.3">
      <c r="J12857"/>
    </row>
    <row r="12858" spans="10:10" x14ac:dyDescent="0.3">
      <c r="J12858"/>
    </row>
    <row r="12859" spans="10:10" x14ac:dyDescent="0.3">
      <c r="J12859"/>
    </row>
    <row r="12860" spans="10:10" x14ac:dyDescent="0.3">
      <c r="J12860"/>
    </row>
    <row r="12861" spans="10:10" x14ac:dyDescent="0.3">
      <c r="J12861"/>
    </row>
    <row r="12862" spans="10:10" x14ac:dyDescent="0.3">
      <c r="J12862"/>
    </row>
    <row r="12863" spans="10:10" x14ac:dyDescent="0.3">
      <c r="J12863"/>
    </row>
    <row r="12864" spans="10:10" x14ac:dyDescent="0.3">
      <c r="J12864"/>
    </row>
    <row r="12865" spans="10:10" x14ac:dyDescent="0.3">
      <c r="J12865"/>
    </row>
    <row r="12866" spans="10:10" x14ac:dyDescent="0.3">
      <c r="J12866"/>
    </row>
    <row r="12867" spans="10:10" x14ac:dyDescent="0.3">
      <c r="J12867"/>
    </row>
    <row r="12868" spans="10:10" x14ac:dyDescent="0.3">
      <c r="J12868"/>
    </row>
    <row r="12869" spans="10:10" x14ac:dyDescent="0.3">
      <c r="J12869"/>
    </row>
    <row r="12870" spans="10:10" x14ac:dyDescent="0.3">
      <c r="J12870"/>
    </row>
    <row r="12871" spans="10:10" x14ac:dyDescent="0.3">
      <c r="J12871"/>
    </row>
    <row r="12872" spans="10:10" x14ac:dyDescent="0.3">
      <c r="J12872"/>
    </row>
    <row r="12873" spans="10:10" x14ac:dyDescent="0.3">
      <c r="J12873"/>
    </row>
    <row r="12874" spans="10:10" x14ac:dyDescent="0.3">
      <c r="J12874"/>
    </row>
    <row r="12875" spans="10:10" x14ac:dyDescent="0.3">
      <c r="J12875"/>
    </row>
    <row r="12876" spans="10:10" x14ac:dyDescent="0.3">
      <c r="J12876"/>
    </row>
    <row r="12877" spans="10:10" x14ac:dyDescent="0.3">
      <c r="J12877"/>
    </row>
    <row r="12878" spans="10:10" x14ac:dyDescent="0.3">
      <c r="J12878"/>
    </row>
    <row r="12879" spans="10:10" x14ac:dyDescent="0.3">
      <c r="J12879"/>
    </row>
    <row r="12880" spans="10:10" x14ac:dyDescent="0.3">
      <c r="J12880"/>
    </row>
    <row r="12881" spans="10:10" x14ac:dyDescent="0.3">
      <c r="J12881"/>
    </row>
    <row r="12882" spans="10:10" x14ac:dyDescent="0.3">
      <c r="J12882"/>
    </row>
    <row r="12883" spans="10:10" x14ac:dyDescent="0.3">
      <c r="J12883"/>
    </row>
    <row r="12884" spans="10:10" x14ac:dyDescent="0.3">
      <c r="J12884"/>
    </row>
    <row r="12885" spans="10:10" x14ac:dyDescent="0.3">
      <c r="J12885"/>
    </row>
    <row r="12886" spans="10:10" x14ac:dyDescent="0.3">
      <c r="J12886"/>
    </row>
    <row r="12887" spans="10:10" x14ac:dyDescent="0.3">
      <c r="J12887"/>
    </row>
    <row r="12888" spans="10:10" x14ac:dyDescent="0.3">
      <c r="J12888"/>
    </row>
    <row r="12889" spans="10:10" x14ac:dyDescent="0.3">
      <c r="J12889"/>
    </row>
    <row r="12890" spans="10:10" x14ac:dyDescent="0.3">
      <c r="J12890"/>
    </row>
    <row r="12891" spans="10:10" x14ac:dyDescent="0.3">
      <c r="J12891"/>
    </row>
    <row r="12892" spans="10:10" x14ac:dyDescent="0.3">
      <c r="J12892"/>
    </row>
    <row r="12893" spans="10:10" x14ac:dyDescent="0.3">
      <c r="J12893"/>
    </row>
    <row r="12894" spans="10:10" x14ac:dyDescent="0.3">
      <c r="J12894"/>
    </row>
    <row r="12895" spans="10:10" x14ac:dyDescent="0.3">
      <c r="J12895"/>
    </row>
    <row r="12896" spans="10:10" x14ac:dyDescent="0.3">
      <c r="J12896"/>
    </row>
    <row r="12897" spans="10:10" x14ac:dyDescent="0.3">
      <c r="J12897"/>
    </row>
    <row r="12898" spans="10:10" x14ac:dyDescent="0.3">
      <c r="J12898"/>
    </row>
    <row r="12899" spans="10:10" x14ac:dyDescent="0.3">
      <c r="J12899"/>
    </row>
    <row r="12900" spans="10:10" x14ac:dyDescent="0.3">
      <c r="J12900"/>
    </row>
    <row r="12901" spans="10:10" x14ac:dyDescent="0.3">
      <c r="J12901"/>
    </row>
    <row r="12902" spans="10:10" x14ac:dyDescent="0.3">
      <c r="J12902"/>
    </row>
    <row r="12903" spans="10:10" x14ac:dyDescent="0.3">
      <c r="J12903"/>
    </row>
    <row r="12904" spans="10:10" x14ac:dyDescent="0.3">
      <c r="J12904"/>
    </row>
    <row r="12905" spans="10:10" x14ac:dyDescent="0.3">
      <c r="J12905"/>
    </row>
    <row r="12906" spans="10:10" x14ac:dyDescent="0.3">
      <c r="J12906"/>
    </row>
    <row r="12907" spans="10:10" x14ac:dyDescent="0.3">
      <c r="J12907"/>
    </row>
    <row r="12908" spans="10:10" x14ac:dyDescent="0.3">
      <c r="J12908"/>
    </row>
    <row r="12909" spans="10:10" x14ac:dyDescent="0.3">
      <c r="J12909"/>
    </row>
    <row r="12910" spans="10:10" x14ac:dyDescent="0.3">
      <c r="J12910"/>
    </row>
    <row r="12911" spans="10:10" x14ac:dyDescent="0.3">
      <c r="J12911"/>
    </row>
    <row r="12912" spans="10:10" x14ac:dyDescent="0.3">
      <c r="J12912"/>
    </row>
    <row r="12913" spans="10:10" x14ac:dyDescent="0.3">
      <c r="J12913"/>
    </row>
    <row r="12914" spans="10:10" x14ac:dyDescent="0.3">
      <c r="J12914"/>
    </row>
    <row r="12915" spans="10:10" x14ac:dyDescent="0.3">
      <c r="J12915"/>
    </row>
    <row r="12916" spans="10:10" x14ac:dyDescent="0.3">
      <c r="J12916"/>
    </row>
    <row r="12917" spans="10:10" x14ac:dyDescent="0.3">
      <c r="J12917"/>
    </row>
    <row r="12918" spans="10:10" x14ac:dyDescent="0.3">
      <c r="J12918"/>
    </row>
    <row r="12919" spans="10:10" x14ac:dyDescent="0.3">
      <c r="J12919"/>
    </row>
    <row r="12920" spans="10:10" x14ac:dyDescent="0.3">
      <c r="J12920"/>
    </row>
    <row r="12921" spans="10:10" x14ac:dyDescent="0.3">
      <c r="J12921"/>
    </row>
    <row r="12922" spans="10:10" x14ac:dyDescent="0.3">
      <c r="J12922"/>
    </row>
    <row r="12923" spans="10:10" x14ac:dyDescent="0.3">
      <c r="J12923"/>
    </row>
    <row r="12924" spans="10:10" x14ac:dyDescent="0.3">
      <c r="J12924"/>
    </row>
    <row r="12925" spans="10:10" x14ac:dyDescent="0.3">
      <c r="J12925"/>
    </row>
    <row r="12926" spans="10:10" x14ac:dyDescent="0.3">
      <c r="J12926"/>
    </row>
    <row r="12927" spans="10:10" x14ac:dyDescent="0.3">
      <c r="J12927"/>
    </row>
    <row r="12928" spans="10:10" x14ac:dyDescent="0.3">
      <c r="J12928"/>
    </row>
    <row r="12929" spans="10:10" x14ac:dyDescent="0.3">
      <c r="J12929"/>
    </row>
    <row r="12930" spans="10:10" x14ac:dyDescent="0.3">
      <c r="J12930"/>
    </row>
    <row r="12931" spans="10:10" x14ac:dyDescent="0.3">
      <c r="J12931"/>
    </row>
    <row r="12932" spans="10:10" x14ac:dyDescent="0.3">
      <c r="J12932"/>
    </row>
    <row r="12933" spans="10:10" x14ac:dyDescent="0.3">
      <c r="J12933"/>
    </row>
    <row r="12934" spans="10:10" x14ac:dyDescent="0.3">
      <c r="J12934"/>
    </row>
    <row r="12935" spans="10:10" x14ac:dyDescent="0.3">
      <c r="J12935"/>
    </row>
    <row r="12936" spans="10:10" x14ac:dyDescent="0.3">
      <c r="J12936"/>
    </row>
    <row r="12937" spans="10:10" x14ac:dyDescent="0.3">
      <c r="J12937"/>
    </row>
    <row r="12938" spans="10:10" x14ac:dyDescent="0.3">
      <c r="J12938"/>
    </row>
    <row r="12939" spans="10:10" x14ac:dyDescent="0.3">
      <c r="J12939"/>
    </row>
    <row r="12940" spans="10:10" x14ac:dyDescent="0.3">
      <c r="J12940"/>
    </row>
    <row r="12941" spans="10:10" x14ac:dyDescent="0.3">
      <c r="J12941"/>
    </row>
    <row r="12942" spans="10:10" x14ac:dyDescent="0.3">
      <c r="J12942"/>
    </row>
    <row r="12943" spans="10:10" x14ac:dyDescent="0.3">
      <c r="J12943"/>
    </row>
    <row r="12944" spans="10:10" x14ac:dyDescent="0.3">
      <c r="J12944"/>
    </row>
    <row r="12945" spans="10:10" x14ac:dyDescent="0.3">
      <c r="J12945"/>
    </row>
    <row r="12946" spans="10:10" x14ac:dyDescent="0.3">
      <c r="J12946"/>
    </row>
    <row r="12947" spans="10:10" x14ac:dyDescent="0.3">
      <c r="J12947"/>
    </row>
    <row r="12948" spans="10:10" x14ac:dyDescent="0.3">
      <c r="J12948"/>
    </row>
    <row r="12949" spans="10:10" x14ac:dyDescent="0.3">
      <c r="J12949"/>
    </row>
    <row r="12950" spans="10:10" x14ac:dyDescent="0.3">
      <c r="J12950"/>
    </row>
    <row r="12951" spans="10:10" x14ac:dyDescent="0.3">
      <c r="J12951"/>
    </row>
    <row r="12952" spans="10:10" x14ac:dyDescent="0.3">
      <c r="J12952"/>
    </row>
    <row r="12953" spans="10:10" x14ac:dyDescent="0.3">
      <c r="J12953"/>
    </row>
    <row r="12954" spans="10:10" x14ac:dyDescent="0.3">
      <c r="J12954"/>
    </row>
    <row r="12955" spans="10:10" x14ac:dyDescent="0.3">
      <c r="J12955"/>
    </row>
    <row r="12956" spans="10:10" x14ac:dyDescent="0.3">
      <c r="J12956"/>
    </row>
    <row r="12957" spans="10:10" x14ac:dyDescent="0.3">
      <c r="J12957"/>
    </row>
    <row r="12958" spans="10:10" x14ac:dyDescent="0.3">
      <c r="J12958"/>
    </row>
    <row r="12959" spans="10:10" x14ac:dyDescent="0.3">
      <c r="J12959"/>
    </row>
    <row r="12960" spans="10:10" x14ac:dyDescent="0.3">
      <c r="J12960"/>
    </row>
    <row r="12961" spans="10:10" x14ac:dyDescent="0.3">
      <c r="J12961"/>
    </row>
    <row r="12962" spans="10:10" x14ac:dyDescent="0.3">
      <c r="J12962"/>
    </row>
    <row r="12963" spans="10:10" x14ac:dyDescent="0.3">
      <c r="J12963"/>
    </row>
    <row r="12964" spans="10:10" x14ac:dyDescent="0.3">
      <c r="J12964"/>
    </row>
    <row r="12965" spans="10:10" x14ac:dyDescent="0.3">
      <c r="J12965"/>
    </row>
    <row r="12966" spans="10:10" x14ac:dyDescent="0.3">
      <c r="J12966"/>
    </row>
    <row r="12967" spans="10:10" x14ac:dyDescent="0.3">
      <c r="J12967"/>
    </row>
    <row r="12968" spans="10:10" x14ac:dyDescent="0.3">
      <c r="J12968"/>
    </row>
    <row r="12969" spans="10:10" x14ac:dyDescent="0.3">
      <c r="J12969"/>
    </row>
    <row r="12970" spans="10:10" x14ac:dyDescent="0.3">
      <c r="J12970"/>
    </row>
    <row r="12971" spans="10:10" x14ac:dyDescent="0.3">
      <c r="J12971"/>
    </row>
    <row r="12972" spans="10:10" x14ac:dyDescent="0.3">
      <c r="J12972"/>
    </row>
    <row r="12973" spans="10:10" x14ac:dyDescent="0.3">
      <c r="J12973"/>
    </row>
    <row r="12974" spans="10:10" x14ac:dyDescent="0.3">
      <c r="J12974"/>
    </row>
    <row r="12975" spans="10:10" x14ac:dyDescent="0.3">
      <c r="J12975"/>
    </row>
    <row r="12976" spans="10:10" x14ac:dyDescent="0.3">
      <c r="J12976"/>
    </row>
    <row r="12977" spans="10:10" x14ac:dyDescent="0.3">
      <c r="J12977"/>
    </row>
    <row r="12978" spans="10:10" x14ac:dyDescent="0.3">
      <c r="J12978"/>
    </row>
    <row r="12979" spans="10:10" x14ac:dyDescent="0.3">
      <c r="J12979"/>
    </row>
    <row r="12980" spans="10:10" x14ac:dyDescent="0.3">
      <c r="J12980"/>
    </row>
    <row r="12981" spans="10:10" x14ac:dyDescent="0.3">
      <c r="J12981"/>
    </row>
    <row r="12982" spans="10:10" x14ac:dyDescent="0.3">
      <c r="J12982"/>
    </row>
    <row r="12983" spans="10:10" x14ac:dyDescent="0.3">
      <c r="J12983"/>
    </row>
    <row r="12984" spans="10:10" x14ac:dyDescent="0.3">
      <c r="J12984"/>
    </row>
    <row r="12985" spans="10:10" x14ac:dyDescent="0.3">
      <c r="J12985"/>
    </row>
    <row r="12986" spans="10:10" x14ac:dyDescent="0.3">
      <c r="J12986"/>
    </row>
    <row r="12987" spans="10:10" x14ac:dyDescent="0.3">
      <c r="J12987"/>
    </row>
    <row r="12988" spans="10:10" x14ac:dyDescent="0.3">
      <c r="J12988"/>
    </row>
    <row r="12989" spans="10:10" x14ac:dyDescent="0.3">
      <c r="J12989"/>
    </row>
    <row r="12990" spans="10:10" x14ac:dyDescent="0.3">
      <c r="J12990"/>
    </row>
    <row r="12991" spans="10:10" x14ac:dyDescent="0.3">
      <c r="J12991"/>
    </row>
    <row r="12992" spans="10:10" x14ac:dyDescent="0.3">
      <c r="J12992"/>
    </row>
    <row r="12993" spans="10:10" x14ac:dyDescent="0.3">
      <c r="J12993"/>
    </row>
    <row r="12994" spans="10:10" x14ac:dyDescent="0.3">
      <c r="J12994"/>
    </row>
    <row r="12995" spans="10:10" x14ac:dyDescent="0.3">
      <c r="J12995"/>
    </row>
    <row r="12996" spans="10:10" x14ac:dyDescent="0.3">
      <c r="J12996"/>
    </row>
    <row r="12997" spans="10:10" x14ac:dyDescent="0.3">
      <c r="J12997"/>
    </row>
    <row r="12998" spans="10:10" x14ac:dyDescent="0.3">
      <c r="J12998"/>
    </row>
    <row r="12999" spans="10:10" x14ac:dyDescent="0.3">
      <c r="J12999"/>
    </row>
    <row r="13000" spans="10:10" x14ac:dyDescent="0.3">
      <c r="J13000"/>
    </row>
    <row r="13001" spans="10:10" x14ac:dyDescent="0.3">
      <c r="J13001"/>
    </row>
    <row r="13002" spans="10:10" x14ac:dyDescent="0.3">
      <c r="J13002"/>
    </row>
    <row r="13003" spans="10:10" x14ac:dyDescent="0.3">
      <c r="J13003"/>
    </row>
    <row r="13004" spans="10:10" x14ac:dyDescent="0.3">
      <c r="J13004"/>
    </row>
    <row r="13005" spans="10:10" x14ac:dyDescent="0.3">
      <c r="J13005"/>
    </row>
    <row r="13006" spans="10:10" x14ac:dyDescent="0.3">
      <c r="J13006"/>
    </row>
    <row r="13007" spans="10:10" x14ac:dyDescent="0.3">
      <c r="J13007"/>
    </row>
    <row r="13008" spans="10:10" x14ac:dyDescent="0.3">
      <c r="J13008"/>
    </row>
    <row r="13009" spans="10:10" x14ac:dyDescent="0.3">
      <c r="J13009"/>
    </row>
    <row r="13010" spans="10:10" x14ac:dyDescent="0.3">
      <c r="J13010"/>
    </row>
    <row r="13011" spans="10:10" x14ac:dyDescent="0.3">
      <c r="J13011"/>
    </row>
    <row r="13012" spans="10:10" x14ac:dyDescent="0.3">
      <c r="J13012"/>
    </row>
    <row r="13013" spans="10:10" x14ac:dyDescent="0.3">
      <c r="J13013"/>
    </row>
    <row r="13014" spans="10:10" x14ac:dyDescent="0.3">
      <c r="J13014"/>
    </row>
    <row r="13015" spans="10:10" x14ac:dyDescent="0.3">
      <c r="J13015"/>
    </row>
    <row r="13016" spans="10:10" x14ac:dyDescent="0.3">
      <c r="J13016"/>
    </row>
    <row r="13017" spans="10:10" x14ac:dyDescent="0.3">
      <c r="J13017"/>
    </row>
    <row r="13018" spans="10:10" x14ac:dyDescent="0.3">
      <c r="J13018"/>
    </row>
    <row r="13019" spans="10:10" x14ac:dyDescent="0.3">
      <c r="J13019"/>
    </row>
    <row r="13020" spans="10:10" x14ac:dyDescent="0.3">
      <c r="J13020"/>
    </row>
    <row r="13021" spans="10:10" x14ac:dyDescent="0.3">
      <c r="J13021"/>
    </row>
    <row r="13022" spans="10:10" x14ac:dyDescent="0.3">
      <c r="J13022"/>
    </row>
    <row r="13023" spans="10:10" x14ac:dyDescent="0.3">
      <c r="J13023"/>
    </row>
    <row r="13024" spans="10:10" x14ac:dyDescent="0.3">
      <c r="J13024"/>
    </row>
    <row r="13025" spans="10:10" x14ac:dyDescent="0.3">
      <c r="J13025"/>
    </row>
    <row r="13026" spans="10:10" x14ac:dyDescent="0.3">
      <c r="J13026"/>
    </row>
    <row r="13027" spans="10:10" x14ac:dyDescent="0.3">
      <c r="J13027"/>
    </row>
    <row r="13028" spans="10:10" x14ac:dyDescent="0.3">
      <c r="J13028"/>
    </row>
    <row r="13029" spans="10:10" x14ac:dyDescent="0.3">
      <c r="J13029"/>
    </row>
    <row r="13030" spans="10:10" x14ac:dyDescent="0.3">
      <c r="J13030"/>
    </row>
    <row r="13031" spans="10:10" x14ac:dyDescent="0.3">
      <c r="J13031"/>
    </row>
    <row r="13032" spans="10:10" x14ac:dyDescent="0.3">
      <c r="J13032"/>
    </row>
    <row r="13033" spans="10:10" x14ac:dyDescent="0.3">
      <c r="J13033"/>
    </row>
    <row r="13034" spans="10:10" x14ac:dyDescent="0.3">
      <c r="J13034"/>
    </row>
    <row r="13035" spans="10:10" x14ac:dyDescent="0.3">
      <c r="J13035"/>
    </row>
    <row r="13036" spans="10:10" x14ac:dyDescent="0.3">
      <c r="J13036"/>
    </row>
    <row r="13037" spans="10:10" x14ac:dyDescent="0.3">
      <c r="J13037"/>
    </row>
    <row r="13038" spans="10:10" x14ac:dyDescent="0.3">
      <c r="J13038"/>
    </row>
    <row r="13039" spans="10:10" x14ac:dyDescent="0.3">
      <c r="J13039"/>
    </row>
    <row r="13040" spans="10:10" x14ac:dyDescent="0.3">
      <c r="J13040"/>
    </row>
    <row r="13041" spans="10:10" x14ac:dyDescent="0.3">
      <c r="J13041"/>
    </row>
    <row r="13042" spans="10:10" x14ac:dyDescent="0.3">
      <c r="J13042"/>
    </row>
    <row r="13043" spans="10:10" x14ac:dyDescent="0.3">
      <c r="J13043"/>
    </row>
    <row r="13044" spans="10:10" x14ac:dyDescent="0.3">
      <c r="J13044"/>
    </row>
    <row r="13045" spans="10:10" x14ac:dyDescent="0.3">
      <c r="J13045"/>
    </row>
    <row r="13046" spans="10:10" x14ac:dyDescent="0.3">
      <c r="J13046"/>
    </row>
    <row r="13047" spans="10:10" x14ac:dyDescent="0.3">
      <c r="J13047"/>
    </row>
    <row r="13048" spans="10:10" x14ac:dyDescent="0.3">
      <c r="J13048"/>
    </row>
    <row r="13049" spans="10:10" x14ac:dyDescent="0.3">
      <c r="J13049"/>
    </row>
    <row r="13050" spans="10:10" x14ac:dyDescent="0.3">
      <c r="J13050"/>
    </row>
    <row r="13051" spans="10:10" x14ac:dyDescent="0.3">
      <c r="J13051"/>
    </row>
    <row r="13052" spans="10:10" x14ac:dyDescent="0.3">
      <c r="J13052"/>
    </row>
    <row r="13053" spans="10:10" x14ac:dyDescent="0.3">
      <c r="J13053"/>
    </row>
    <row r="13054" spans="10:10" x14ac:dyDescent="0.3">
      <c r="J13054"/>
    </row>
    <row r="13055" spans="10:10" x14ac:dyDescent="0.3">
      <c r="J13055"/>
    </row>
    <row r="13056" spans="10:10" x14ac:dyDescent="0.3">
      <c r="J13056"/>
    </row>
    <row r="13057" spans="10:10" x14ac:dyDescent="0.3">
      <c r="J13057"/>
    </row>
    <row r="13058" spans="10:10" x14ac:dyDescent="0.3">
      <c r="J13058"/>
    </row>
    <row r="13059" spans="10:10" x14ac:dyDescent="0.3">
      <c r="J13059"/>
    </row>
    <row r="13060" spans="10:10" x14ac:dyDescent="0.3">
      <c r="J13060"/>
    </row>
    <row r="13061" spans="10:10" x14ac:dyDescent="0.3">
      <c r="J13061"/>
    </row>
    <row r="13062" spans="10:10" x14ac:dyDescent="0.3">
      <c r="J13062"/>
    </row>
    <row r="13063" spans="10:10" x14ac:dyDescent="0.3">
      <c r="J13063"/>
    </row>
    <row r="13064" spans="10:10" x14ac:dyDescent="0.3">
      <c r="J13064"/>
    </row>
    <row r="13065" spans="10:10" x14ac:dyDescent="0.3">
      <c r="J13065"/>
    </row>
    <row r="13066" spans="10:10" x14ac:dyDescent="0.3">
      <c r="J13066"/>
    </row>
    <row r="13067" spans="10:10" x14ac:dyDescent="0.3">
      <c r="J13067"/>
    </row>
    <row r="13068" spans="10:10" x14ac:dyDescent="0.3">
      <c r="J13068"/>
    </row>
    <row r="13069" spans="10:10" x14ac:dyDescent="0.3">
      <c r="J13069"/>
    </row>
    <row r="13070" spans="10:10" x14ac:dyDescent="0.3">
      <c r="J13070"/>
    </row>
    <row r="13071" spans="10:10" x14ac:dyDescent="0.3">
      <c r="J13071"/>
    </row>
    <row r="13072" spans="10:10" x14ac:dyDescent="0.3">
      <c r="J13072"/>
    </row>
    <row r="13073" spans="10:10" x14ac:dyDescent="0.3">
      <c r="J13073"/>
    </row>
    <row r="13074" spans="10:10" x14ac:dyDescent="0.3">
      <c r="J13074"/>
    </row>
    <row r="13075" spans="10:10" x14ac:dyDescent="0.3">
      <c r="J13075"/>
    </row>
    <row r="13076" spans="10:10" x14ac:dyDescent="0.3">
      <c r="J13076"/>
    </row>
    <row r="13077" spans="10:10" x14ac:dyDescent="0.3">
      <c r="J13077"/>
    </row>
    <row r="13078" spans="10:10" x14ac:dyDescent="0.3">
      <c r="J13078"/>
    </row>
    <row r="13079" spans="10:10" x14ac:dyDescent="0.3">
      <c r="J13079"/>
    </row>
    <row r="13080" spans="10:10" x14ac:dyDescent="0.3">
      <c r="J13080"/>
    </row>
    <row r="13081" spans="10:10" x14ac:dyDescent="0.3">
      <c r="J13081"/>
    </row>
    <row r="13082" spans="10:10" x14ac:dyDescent="0.3">
      <c r="J13082"/>
    </row>
    <row r="13083" spans="10:10" x14ac:dyDescent="0.3">
      <c r="J13083"/>
    </row>
    <row r="13084" spans="10:10" x14ac:dyDescent="0.3">
      <c r="J13084"/>
    </row>
    <row r="13085" spans="10:10" x14ac:dyDescent="0.3">
      <c r="J13085"/>
    </row>
    <row r="13086" spans="10:10" x14ac:dyDescent="0.3">
      <c r="J13086"/>
    </row>
    <row r="13087" spans="10:10" x14ac:dyDescent="0.3">
      <c r="J13087"/>
    </row>
    <row r="13088" spans="10:10" x14ac:dyDescent="0.3">
      <c r="J13088"/>
    </row>
    <row r="13089" spans="10:10" x14ac:dyDescent="0.3">
      <c r="J13089"/>
    </row>
    <row r="13090" spans="10:10" x14ac:dyDescent="0.3">
      <c r="J13090"/>
    </row>
    <row r="13091" spans="10:10" x14ac:dyDescent="0.3">
      <c r="J13091"/>
    </row>
    <row r="13092" spans="10:10" x14ac:dyDescent="0.3">
      <c r="J13092"/>
    </row>
    <row r="13093" spans="10:10" x14ac:dyDescent="0.3">
      <c r="J13093"/>
    </row>
    <row r="13094" spans="10:10" x14ac:dyDescent="0.3">
      <c r="J13094"/>
    </row>
    <row r="13095" spans="10:10" x14ac:dyDescent="0.3">
      <c r="J13095"/>
    </row>
    <row r="13096" spans="10:10" x14ac:dyDescent="0.3">
      <c r="J13096"/>
    </row>
    <row r="13097" spans="10:10" x14ac:dyDescent="0.3">
      <c r="J13097"/>
    </row>
    <row r="13098" spans="10:10" x14ac:dyDescent="0.3">
      <c r="J13098"/>
    </row>
    <row r="13099" spans="10:10" x14ac:dyDescent="0.3">
      <c r="J13099"/>
    </row>
    <row r="13100" spans="10:10" x14ac:dyDescent="0.3">
      <c r="J13100"/>
    </row>
    <row r="13101" spans="10:10" x14ac:dyDescent="0.3">
      <c r="J13101"/>
    </row>
    <row r="13102" spans="10:10" x14ac:dyDescent="0.3">
      <c r="J13102"/>
    </row>
    <row r="13103" spans="10:10" x14ac:dyDescent="0.3">
      <c r="J13103"/>
    </row>
    <row r="13104" spans="10:10" x14ac:dyDescent="0.3">
      <c r="J13104"/>
    </row>
    <row r="13105" spans="10:10" x14ac:dyDescent="0.3">
      <c r="J13105"/>
    </row>
    <row r="13106" spans="10:10" x14ac:dyDescent="0.3">
      <c r="J13106"/>
    </row>
    <row r="13107" spans="10:10" x14ac:dyDescent="0.3">
      <c r="J13107"/>
    </row>
    <row r="13108" spans="10:10" x14ac:dyDescent="0.3">
      <c r="J13108"/>
    </row>
    <row r="13109" spans="10:10" x14ac:dyDescent="0.3">
      <c r="J13109"/>
    </row>
    <row r="13110" spans="10:10" x14ac:dyDescent="0.3">
      <c r="J13110"/>
    </row>
    <row r="13111" spans="10:10" x14ac:dyDescent="0.3">
      <c r="J13111"/>
    </row>
    <row r="13112" spans="10:10" x14ac:dyDescent="0.3">
      <c r="J13112"/>
    </row>
    <row r="13113" spans="10:10" x14ac:dyDescent="0.3">
      <c r="J13113"/>
    </row>
    <row r="13114" spans="10:10" x14ac:dyDescent="0.3">
      <c r="J13114"/>
    </row>
    <row r="13115" spans="10:10" x14ac:dyDescent="0.3">
      <c r="J13115"/>
    </row>
    <row r="13116" spans="10:10" x14ac:dyDescent="0.3">
      <c r="J13116"/>
    </row>
    <row r="13117" spans="10:10" x14ac:dyDescent="0.3">
      <c r="J13117"/>
    </row>
    <row r="13118" spans="10:10" x14ac:dyDescent="0.3">
      <c r="J13118"/>
    </row>
    <row r="13119" spans="10:10" x14ac:dyDescent="0.3">
      <c r="J13119"/>
    </row>
    <row r="13120" spans="10:10" x14ac:dyDescent="0.3">
      <c r="J13120"/>
    </row>
    <row r="13121" spans="10:10" x14ac:dyDescent="0.3">
      <c r="J13121"/>
    </row>
    <row r="13122" spans="10:10" x14ac:dyDescent="0.3">
      <c r="J13122"/>
    </row>
    <row r="13123" spans="10:10" x14ac:dyDescent="0.3">
      <c r="J13123"/>
    </row>
    <row r="13124" spans="10:10" x14ac:dyDescent="0.3">
      <c r="J13124"/>
    </row>
    <row r="13125" spans="10:10" x14ac:dyDescent="0.3">
      <c r="J13125"/>
    </row>
    <row r="13126" spans="10:10" x14ac:dyDescent="0.3">
      <c r="J13126"/>
    </row>
    <row r="13127" spans="10:10" x14ac:dyDescent="0.3">
      <c r="J13127"/>
    </row>
    <row r="13128" spans="10:10" x14ac:dyDescent="0.3">
      <c r="J13128"/>
    </row>
    <row r="13129" spans="10:10" x14ac:dyDescent="0.3">
      <c r="J13129"/>
    </row>
    <row r="13130" spans="10:10" x14ac:dyDescent="0.3">
      <c r="J13130"/>
    </row>
    <row r="13131" spans="10:10" x14ac:dyDescent="0.3">
      <c r="J13131"/>
    </row>
    <row r="13132" spans="10:10" x14ac:dyDescent="0.3">
      <c r="J13132"/>
    </row>
    <row r="13133" spans="10:10" x14ac:dyDescent="0.3">
      <c r="J13133"/>
    </row>
    <row r="13134" spans="10:10" x14ac:dyDescent="0.3">
      <c r="J13134"/>
    </row>
    <row r="13135" spans="10:10" x14ac:dyDescent="0.3">
      <c r="J13135"/>
    </row>
    <row r="13136" spans="10:10" x14ac:dyDescent="0.3">
      <c r="J13136"/>
    </row>
    <row r="13137" spans="10:10" x14ac:dyDescent="0.3">
      <c r="J13137"/>
    </row>
    <row r="13138" spans="10:10" x14ac:dyDescent="0.3">
      <c r="J13138"/>
    </row>
    <row r="13139" spans="10:10" x14ac:dyDescent="0.3">
      <c r="J13139"/>
    </row>
    <row r="13140" spans="10:10" x14ac:dyDescent="0.3">
      <c r="J13140"/>
    </row>
    <row r="13141" spans="10:10" x14ac:dyDescent="0.3">
      <c r="J13141"/>
    </row>
    <row r="13142" spans="10:10" x14ac:dyDescent="0.3">
      <c r="J13142"/>
    </row>
    <row r="13143" spans="10:10" x14ac:dyDescent="0.3">
      <c r="J13143"/>
    </row>
    <row r="13144" spans="10:10" x14ac:dyDescent="0.3">
      <c r="J13144"/>
    </row>
    <row r="13145" spans="10:10" x14ac:dyDescent="0.3">
      <c r="J13145"/>
    </row>
    <row r="13146" spans="10:10" x14ac:dyDescent="0.3">
      <c r="J13146"/>
    </row>
    <row r="13147" spans="10:10" x14ac:dyDescent="0.3">
      <c r="J13147"/>
    </row>
    <row r="13148" spans="10:10" x14ac:dyDescent="0.3">
      <c r="J13148"/>
    </row>
    <row r="13149" spans="10:10" x14ac:dyDescent="0.3">
      <c r="J13149"/>
    </row>
    <row r="13150" spans="10:10" x14ac:dyDescent="0.3">
      <c r="J13150"/>
    </row>
    <row r="13151" spans="10:10" x14ac:dyDescent="0.3">
      <c r="J13151"/>
    </row>
    <row r="13152" spans="10:10" x14ac:dyDescent="0.3">
      <c r="J13152"/>
    </row>
    <row r="13153" spans="10:10" x14ac:dyDescent="0.3">
      <c r="J13153"/>
    </row>
    <row r="13154" spans="10:10" x14ac:dyDescent="0.3">
      <c r="J13154"/>
    </row>
    <row r="13155" spans="10:10" x14ac:dyDescent="0.3">
      <c r="J13155"/>
    </row>
    <row r="13156" spans="10:10" x14ac:dyDescent="0.3">
      <c r="J13156"/>
    </row>
    <row r="13157" spans="10:10" x14ac:dyDescent="0.3">
      <c r="J13157"/>
    </row>
    <row r="13158" spans="10:10" x14ac:dyDescent="0.3">
      <c r="J13158"/>
    </row>
    <row r="13159" spans="10:10" x14ac:dyDescent="0.3">
      <c r="J13159"/>
    </row>
    <row r="13160" spans="10:10" x14ac:dyDescent="0.3">
      <c r="J13160"/>
    </row>
    <row r="13161" spans="10:10" x14ac:dyDescent="0.3">
      <c r="J13161"/>
    </row>
    <row r="13162" spans="10:10" x14ac:dyDescent="0.3">
      <c r="J13162"/>
    </row>
    <row r="13163" spans="10:10" x14ac:dyDescent="0.3">
      <c r="J13163"/>
    </row>
    <row r="13164" spans="10:10" x14ac:dyDescent="0.3">
      <c r="J13164"/>
    </row>
    <row r="13165" spans="10:10" x14ac:dyDescent="0.3">
      <c r="J13165"/>
    </row>
    <row r="13166" spans="10:10" x14ac:dyDescent="0.3">
      <c r="J13166"/>
    </row>
    <row r="13167" spans="10:10" x14ac:dyDescent="0.3">
      <c r="J13167"/>
    </row>
    <row r="13168" spans="10:10" x14ac:dyDescent="0.3">
      <c r="J13168"/>
    </row>
    <row r="13169" spans="10:10" x14ac:dyDescent="0.3">
      <c r="J13169"/>
    </row>
    <row r="13170" spans="10:10" x14ac:dyDescent="0.3">
      <c r="J13170"/>
    </row>
    <row r="13171" spans="10:10" x14ac:dyDescent="0.3">
      <c r="J13171"/>
    </row>
    <row r="13172" spans="10:10" x14ac:dyDescent="0.3">
      <c r="J13172"/>
    </row>
    <row r="13173" spans="10:10" x14ac:dyDescent="0.3">
      <c r="J13173"/>
    </row>
    <row r="13174" spans="10:10" x14ac:dyDescent="0.3">
      <c r="J13174"/>
    </row>
    <row r="13175" spans="10:10" x14ac:dyDescent="0.3">
      <c r="J13175"/>
    </row>
    <row r="13176" spans="10:10" x14ac:dyDescent="0.3">
      <c r="J13176"/>
    </row>
    <row r="13177" spans="10:10" x14ac:dyDescent="0.3">
      <c r="J13177"/>
    </row>
    <row r="13178" spans="10:10" x14ac:dyDescent="0.3">
      <c r="J13178"/>
    </row>
    <row r="13179" spans="10:10" x14ac:dyDescent="0.3">
      <c r="J13179"/>
    </row>
    <row r="13180" spans="10:10" x14ac:dyDescent="0.3">
      <c r="J13180"/>
    </row>
    <row r="13181" spans="10:10" x14ac:dyDescent="0.3">
      <c r="J13181"/>
    </row>
    <row r="13182" spans="10:10" x14ac:dyDescent="0.3">
      <c r="J13182"/>
    </row>
    <row r="13183" spans="10:10" x14ac:dyDescent="0.3">
      <c r="J13183"/>
    </row>
    <row r="13184" spans="10:10" x14ac:dyDescent="0.3">
      <c r="J13184"/>
    </row>
    <row r="13185" spans="10:10" x14ac:dyDescent="0.3">
      <c r="J13185"/>
    </row>
    <row r="13186" spans="10:10" x14ac:dyDescent="0.3">
      <c r="J13186"/>
    </row>
    <row r="13187" spans="10:10" x14ac:dyDescent="0.3">
      <c r="J13187"/>
    </row>
    <row r="13188" spans="10:10" x14ac:dyDescent="0.3">
      <c r="J13188"/>
    </row>
    <row r="13189" spans="10:10" x14ac:dyDescent="0.3">
      <c r="J13189"/>
    </row>
    <row r="13190" spans="10:10" x14ac:dyDescent="0.3">
      <c r="J13190"/>
    </row>
    <row r="13191" spans="10:10" x14ac:dyDescent="0.3">
      <c r="J13191"/>
    </row>
    <row r="13192" spans="10:10" x14ac:dyDescent="0.3">
      <c r="J13192"/>
    </row>
    <row r="13193" spans="10:10" x14ac:dyDescent="0.3">
      <c r="J13193"/>
    </row>
    <row r="13194" spans="10:10" x14ac:dyDescent="0.3">
      <c r="J13194"/>
    </row>
    <row r="13195" spans="10:10" x14ac:dyDescent="0.3">
      <c r="J13195"/>
    </row>
    <row r="13196" spans="10:10" x14ac:dyDescent="0.3">
      <c r="J13196"/>
    </row>
    <row r="13197" spans="10:10" x14ac:dyDescent="0.3">
      <c r="J13197"/>
    </row>
    <row r="13198" spans="10:10" x14ac:dyDescent="0.3">
      <c r="J13198"/>
    </row>
    <row r="13199" spans="10:10" x14ac:dyDescent="0.3">
      <c r="J13199"/>
    </row>
    <row r="13200" spans="10:10" x14ac:dyDescent="0.3">
      <c r="J13200"/>
    </row>
    <row r="13201" spans="10:10" x14ac:dyDescent="0.3">
      <c r="J13201"/>
    </row>
    <row r="13202" spans="10:10" x14ac:dyDescent="0.3">
      <c r="J13202"/>
    </row>
    <row r="13203" spans="10:10" x14ac:dyDescent="0.3">
      <c r="J13203"/>
    </row>
    <row r="13204" spans="10:10" x14ac:dyDescent="0.3">
      <c r="J13204"/>
    </row>
    <row r="13205" spans="10:10" x14ac:dyDescent="0.3">
      <c r="J13205"/>
    </row>
    <row r="13206" spans="10:10" x14ac:dyDescent="0.3">
      <c r="J13206"/>
    </row>
    <row r="13207" spans="10:10" x14ac:dyDescent="0.3">
      <c r="J13207"/>
    </row>
    <row r="13208" spans="10:10" x14ac:dyDescent="0.3">
      <c r="J13208"/>
    </row>
    <row r="13209" spans="10:10" x14ac:dyDescent="0.3">
      <c r="J13209"/>
    </row>
    <row r="13210" spans="10:10" x14ac:dyDescent="0.3">
      <c r="J13210"/>
    </row>
    <row r="13211" spans="10:10" x14ac:dyDescent="0.3">
      <c r="J13211"/>
    </row>
    <row r="13212" spans="10:10" x14ac:dyDescent="0.3">
      <c r="J13212"/>
    </row>
    <row r="13213" spans="10:10" x14ac:dyDescent="0.3">
      <c r="J13213"/>
    </row>
    <row r="13214" spans="10:10" x14ac:dyDescent="0.3">
      <c r="J13214"/>
    </row>
    <row r="13215" spans="10:10" x14ac:dyDescent="0.3">
      <c r="J13215"/>
    </row>
    <row r="13216" spans="10:10" x14ac:dyDescent="0.3">
      <c r="J13216"/>
    </row>
    <row r="13217" spans="10:10" x14ac:dyDescent="0.3">
      <c r="J13217"/>
    </row>
    <row r="13218" spans="10:10" x14ac:dyDescent="0.3">
      <c r="J13218"/>
    </row>
    <row r="13219" spans="10:10" x14ac:dyDescent="0.3">
      <c r="J13219"/>
    </row>
    <row r="13220" spans="10:10" x14ac:dyDescent="0.3">
      <c r="J13220"/>
    </row>
    <row r="13221" spans="10:10" x14ac:dyDescent="0.3">
      <c r="J13221"/>
    </row>
    <row r="13222" spans="10:10" x14ac:dyDescent="0.3">
      <c r="J13222"/>
    </row>
    <row r="13223" spans="10:10" x14ac:dyDescent="0.3">
      <c r="J13223"/>
    </row>
    <row r="13224" spans="10:10" x14ac:dyDescent="0.3">
      <c r="J13224"/>
    </row>
    <row r="13225" spans="10:10" x14ac:dyDescent="0.3">
      <c r="J13225"/>
    </row>
    <row r="13226" spans="10:10" x14ac:dyDescent="0.3">
      <c r="J13226"/>
    </row>
    <row r="13227" spans="10:10" x14ac:dyDescent="0.3">
      <c r="J13227"/>
    </row>
    <row r="13228" spans="10:10" x14ac:dyDescent="0.3">
      <c r="J13228"/>
    </row>
    <row r="13229" spans="10:10" x14ac:dyDescent="0.3">
      <c r="J13229"/>
    </row>
    <row r="13230" spans="10:10" x14ac:dyDescent="0.3">
      <c r="J13230"/>
    </row>
    <row r="13231" spans="10:10" x14ac:dyDescent="0.3">
      <c r="J13231"/>
    </row>
    <row r="13232" spans="10:10" x14ac:dyDescent="0.3">
      <c r="J13232"/>
    </row>
    <row r="13233" spans="10:10" x14ac:dyDescent="0.3">
      <c r="J13233"/>
    </row>
    <row r="13234" spans="10:10" x14ac:dyDescent="0.3">
      <c r="J13234"/>
    </row>
    <row r="13235" spans="10:10" x14ac:dyDescent="0.3">
      <c r="J13235"/>
    </row>
    <row r="13236" spans="10:10" x14ac:dyDescent="0.3">
      <c r="J13236"/>
    </row>
    <row r="13237" spans="10:10" x14ac:dyDescent="0.3">
      <c r="J13237"/>
    </row>
    <row r="13238" spans="10:10" x14ac:dyDescent="0.3">
      <c r="J13238"/>
    </row>
    <row r="13239" spans="10:10" x14ac:dyDescent="0.3">
      <c r="J13239"/>
    </row>
    <row r="13240" spans="10:10" x14ac:dyDescent="0.3">
      <c r="J13240"/>
    </row>
    <row r="13241" spans="10:10" x14ac:dyDescent="0.3">
      <c r="J13241"/>
    </row>
    <row r="13242" spans="10:10" x14ac:dyDescent="0.3">
      <c r="J13242"/>
    </row>
    <row r="13243" spans="10:10" x14ac:dyDescent="0.3">
      <c r="J13243"/>
    </row>
    <row r="13244" spans="10:10" x14ac:dyDescent="0.3">
      <c r="J13244"/>
    </row>
    <row r="13245" spans="10:10" x14ac:dyDescent="0.3">
      <c r="J13245"/>
    </row>
    <row r="13246" spans="10:10" x14ac:dyDescent="0.3">
      <c r="J13246"/>
    </row>
    <row r="13247" spans="10:10" x14ac:dyDescent="0.3">
      <c r="J13247"/>
    </row>
    <row r="13248" spans="10:10" x14ac:dyDescent="0.3">
      <c r="J13248"/>
    </row>
    <row r="13249" spans="10:10" x14ac:dyDescent="0.3">
      <c r="J13249"/>
    </row>
    <row r="13250" spans="10:10" x14ac:dyDescent="0.3">
      <c r="J13250"/>
    </row>
    <row r="13251" spans="10:10" x14ac:dyDescent="0.3">
      <c r="J13251"/>
    </row>
    <row r="13252" spans="10:10" x14ac:dyDescent="0.3">
      <c r="J13252"/>
    </row>
    <row r="13253" spans="10:10" x14ac:dyDescent="0.3">
      <c r="J13253"/>
    </row>
    <row r="13254" spans="10:10" x14ac:dyDescent="0.3">
      <c r="J13254"/>
    </row>
    <row r="13255" spans="10:10" x14ac:dyDescent="0.3">
      <c r="J13255"/>
    </row>
    <row r="13256" spans="10:10" x14ac:dyDescent="0.3">
      <c r="J13256"/>
    </row>
    <row r="13257" spans="10:10" x14ac:dyDescent="0.3">
      <c r="J13257"/>
    </row>
    <row r="13258" spans="10:10" x14ac:dyDescent="0.3">
      <c r="J13258"/>
    </row>
    <row r="13259" spans="10:10" x14ac:dyDescent="0.3">
      <c r="J13259"/>
    </row>
    <row r="13260" spans="10:10" x14ac:dyDescent="0.3">
      <c r="J13260"/>
    </row>
    <row r="13261" spans="10:10" x14ac:dyDescent="0.3">
      <c r="J13261"/>
    </row>
    <row r="13262" spans="10:10" x14ac:dyDescent="0.3">
      <c r="J13262"/>
    </row>
    <row r="13263" spans="10:10" x14ac:dyDescent="0.3">
      <c r="J13263"/>
    </row>
    <row r="13264" spans="10:10" x14ac:dyDescent="0.3">
      <c r="J13264"/>
    </row>
    <row r="13265" spans="10:10" x14ac:dyDescent="0.3">
      <c r="J13265"/>
    </row>
    <row r="13266" spans="10:10" x14ac:dyDescent="0.3">
      <c r="J13266"/>
    </row>
    <row r="13267" spans="10:10" x14ac:dyDescent="0.3">
      <c r="J13267"/>
    </row>
    <row r="13268" spans="10:10" x14ac:dyDescent="0.3">
      <c r="J13268"/>
    </row>
    <row r="13269" spans="10:10" x14ac:dyDescent="0.3">
      <c r="J13269"/>
    </row>
    <row r="13270" spans="10:10" x14ac:dyDescent="0.3">
      <c r="J13270"/>
    </row>
    <row r="13271" spans="10:10" x14ac:dyDescent="0.3">
      <c r="J13271"/>
    </row>
    <row r="13272" spans="10:10" x14ac:dyDescent="0.3">
      <c r="J13272"/>
    </row>
    <row r="13273" spans="10:10" x14ac:dyDescent="0.3">
      <c r="J13273"/>
    </row>
    <row r="13274" spans="10:10" x14ac:dyDescent="0.3">
      <c r="J13274"/>
    </row>
    <row r="13275" spans="10:10" x14ac:dyDescent="0.3">
      <c r="J13275"/>
    </row>
    <row r="13276" spans="10:10" x14ac:dyDescent="0.3">
      <c r="J13276"/>
    </row>
    <row r="13277" spans="10:10" x14ac:dyDescent="0.3">
      <c r="J13277"/>
    </row>
    <row r="13278" spans="10:10" x14ac:dyDescent="0.3">
      <c r="J13278"/>
    </row>
    <row r="13279" spans="10:10" x14ac:dyDescent="0.3">
      <c r="J13279"/>
    </row>
    <row r="13280" spans="10:10" x14ac:dyDescent="0.3">
      <c r="J13280"/>
    </row>
    <row r="13281" spans="10:10" x14ac:dyDescent="0.3">
      <c r="J13281"/>
    </row>
    <row r="13282" spans="10:10" x14ac:dyDescent="0.3">
      <c r="J13282"/>
    </row>
    <row r="13283" spans="10:10" x14ac:dyDescent="0.3">
      <c r="J13283"/>
    </row>
    <row r="13284" spans="10:10" x14ac:dyDescent="0.3">
      <c r="J13284"/>
    </row>
    <row r="13285" spans="10:10" x14ac:dyDescent="0.3">
      <c r="J13285"/>
    </row>
    <row r="13286" spans="10:10" x14ac:dyDescent="0.3">
      <c r="J13286"/>
    </row>
    <row r="13287" spans="10:10" x14ac:dyDescent="0.3">
      <c r="J13287"/>
    </row>
    <row r="13288" spans="10:10" x14ac:dyDescent="0.3">
      <c r="J13288"/>
    </row>
    <row r="13289" spans="10:10" x14ac:dyDescent="0.3">
      <c r="J13289"/>
    </row>
    <row r="13290" spans="10:10" x14ac:dyDescent="0.3">
      <c r="J13290"/>
    </row>
    <row r="13291" spans="10:10" x14ac:dyDescent="0.3">
      <c r="J13291"/>
    </row>
    <row r="13292" spans="10:10" x14ac:dyDescent="0.3">
      <c r="J13292"/>
    </row>
    <row r="13293" spans="10:10" x14ac:dyDescent="0.3">
      <c r="J13293"/>
    </row>
    <row r="13294" spans="10:10" x14ac:dyDescent="0.3">
      <c r="J13294"/>
    </row>
    <row r="13295" spans="10:10" x14ac:dyDescent="0.3">
      <c r="J13295"/>
    </row>
    <row r="13296" spans="10:10" x14ac:dyDescent="0.3">
      <c r="J13296"/>
    </row>
    <row r="13297" spans="10:10" x14ac:dyDescent="0.3">
      <c r="J13297"/>
    </row>
    <row r="13298" spans="10:10" x14ac:dyDescent="0.3">
      <c r="J13298"/>
    </row>
    <row r="13299" spans="10:10" x14ac:dyDescent="0.3">
      <c r="J13299"/>
    </row>
    <row r="13300" spans="10:10" x14ac:dyDescent="0.3">
      <c r="J13300"/>
    </row>
    <row r="13301" spans="10:10" x14ac:dyDescent="0.3">
      <c r="J13301"/>
    </row>
    <row r="13302" spans="10:10" x14ac:dyDescent="0.3">
      <c r="J13302"/>
    </row>
    <row r="13303" spans="10:10" x14ac:dyDescent="0.3">
      <c r="J13303"/>
    </row>
    <row r="13304" spans="10:10" x14ac:dyDescent="0.3">
      <c r="J13304"/>
    </row>
    <row r="13305" spans="10:10" x14ac:dyDescent="0.3">
      <c r="J13305"/>
    </row>
    <row r="13306" spans="10:10" x14ac:dyDescent="0.3">
      <c r="J13306"/>
    </row>
    <row r="13307" spans="10:10" x14ac:dyDescent="0.3">
      <c r="J13307"/>
    </row>
    <row r="13308" spans="10:10" x14ac:dyDescent="0.3">
      <c r="J13308"/>
    </row>
    <row r="13309" spans="10:10" x14ac:dyDescent="0.3">
      <c r="J13309"/>
    </row>
    <row r="13310" spans="10:10" x14ac:dyDescent="0.3">
      <c r="J13310"/>
    </row>
    <row r="13311" spans="10:10" x14ac:dyDescent="0.3">
      <c r="J13311"/>
    </row>
    <row r="13312" spans="10:10" x14ac:dyDescent="0.3">
      <c r="J13312"/>
    </row>
    <row r="13313" spans="10:10" x14ac:dyDescent="0.3">
      <c r="J13313"/>
    </row>
    <row r="13314" spans="10:10" x14ac:dyDescent="0.3">
      <c r="J13314"/>
    </row>
    <row r="13315" spans="10:10" x14ac:dyDescent="0.3">
      <c r="J13315"/>
    </row>
    <row r="13316" spans="10:10" x14ac:dyDescent="0.3">
      <c r="J13316"/>
    </row>
    <row r="13317" spans="10:10" x14ac:dyDescent="0.3">
      <c r="J13317"/>
    </row>
    <row r="13318" spans="10:10" x14ac:dyDescent="0.3">
      <c r="J13318"/>
    </row>
    <row r="13319" spans="10:10" x14ac:dyDescent="0.3">
      <c r="J13319"/>
    </row>
    <row r="13320" spans="10:10" x14ac:dyDescent="0.3">
      <c r="J13320"/>
    </row>
    <row r="13321" spans="10:10" x14ac:dyDescent="0.3">
      <c r="J13321"/>
    </row>
    <row r="13322" spans="10:10" x14ac:dyDescent="0.3">
      <c r="J13322"/>
    </row>
    <row r="13323" spans="10:10" x14ac:dyDescent="0.3">
      <c r="J13323"/>
    </row>
    <row r="13324" spans="10:10" x14ac:dyDescent="0.3">
      <c r="J13324"/>
    </row>
    <row r="13325" spans="10:10" x14ac:dyDescent="0.3">
      <c r="J13325"/>
    </row>
    <row r="13326" spans="10:10" x14ac:dyDescent="0.3">
      <c r="J13326"/>
    </row>
    <row r="13327" spans="10:10" x14ac:dyDescent="0.3">
      <c r="J13327"/>
    </row>
    <row r="13328" spans="10:10" x14ac:dyDescent="0.3">
      <c r="J13328"/>
    </row>
    <row r="13329" spans="10:10" x14ac:dyDescent="0.3">
      <c r="J13329"/>
    </row>
    <row r="13330" spans="10:10" x14ac:dyDescent="0.3">
      <c r="J13330"/>
    </row>
    <row r="13331" spans="10:10" x14ac:dyDescent="0.3">
      <c r="J13331"/>
    </row>
    <row r="13332" spans="10:10" x14ac:dyDescent="0.3">
      <c r="J13332"/>
    </row>
    <row r="13333" spans="10:10" x14ac:dyDescent="0.3">
      <c r="J13333"/>
    </row>
    <row r="13334" spans="10:10" x14ac:dyDescent="0.3">
      <c r="J13334"/>
    </row>
    <row r="13335" spans="10:10" x14ac:dyDescent="0.3">
      <c r="J13335"/>
    </row>
    <row r="13336" spans="10:10" x14ac:dyDescent="0.3">
      <c r="J13336"/>
    </row>
    <row r="13337" spans="10:10" x14ac:dyDescent="0.3">
      <c r="J13337"/>
    </row>
    <row r="13338" spans="10:10" x14ac:dyDescent="0.3">
      <c r="J13338"/>
    </row>
    <row r="13339" spans="10:10" x14ac:dyDescent="0.3">
      <c r="J13339"/>
    </row>
    <row r="13340" spans="10:10" x14ac:dyDescent="0.3">
      <c r="J13340"/>
    </row>
    <row r="13341" spans="10:10" x14ac:dyDescent="0.3">
      <c r="J13341"/>
    </row>
    <row r="13342" spans="10:10" x14ac:dyDescent="0.3">
      <c r="J13342"/>
    </row>
    <row r="13343" spans="10:10" x14ac:dyDescent="0.3">
      <c r="J13343"/>
    </row>
    <row r="13344" spans="10:10" x14ac:dyDescent="0.3">
      <c r="J13344"/>
    </row>
    <row r="13345" spans="10:10" x14ac:dyDescent="0.3">
      <c r="J13345"/>
    </row>
    <row r="13346" spans="10:10" x14ac:dyDescent="0.3">
      <c r="J13346"/>
    </row>
    <row r="13347" spans="10:10" x14ac:dyDescent="0.3">
      <c r="J13347"/>
    </row>
    <row r="13348" spans="10:10" x14ac:dyDescent="0.3">
      <c r="J13348"/>
    </row>
    <row r="13349" spans="10:10" x14ac:dyDescent="0.3">
      <c r="J13349"/>
    </row>
    <row r="13350" spans="10:10" x14ac:dyDescent="0.3">
      <c r="J13350"/>
    </row>
    <row r="13351" spans="10:10" x14ac:dyDescent="0.3">
      <c r="J13351"/>
    </row>
    <row r="13352" spans="10:10" x14ac:dyDescent="0.3">
      <c r="J13352"/>
    </row>
    <row r="13353" spans="10:10" x14ac:dyDescent="0.3">
      <c r="J13353"/>
    </row>
    <row r="13354" spans="10:10" x14ac:dyDescent="0.3">
      <c r="J13354"/>
    </row>
    <row r="13355" spans="10:10" x14ac:dyDescent="0.3">
      <c r="J13355"/>
    </row>
    <row r="13356" spans="10:10" x14ac:dyDescent="0.3">
      <c r="J13356"/>
    </row>
    <row r="13357" spans="10:10" x14ac:dyDescent="0.3">
      <c r="J13357"/>
    </row>
    <row r="13358" spans="10:10" x14ac:dyDescent="0.3">
      <c r="J13358"/>
    </row>
    <row r="13359" spans="10:10" x14ac:dyDescent="0.3">
      <c r="J13359"/>
    </row>
    <row r="13360" spans="10:10" x14ac:dyDescent="0.3">
      <c r="J13360"/>
    </row>
    <row r="13361" spans="10:10" x14ac:dyDescent="0.3">
      <c r="J13361"/>
    </row>
    <row r="13362" spans="10:10" x14ac:dyDescent="0.3">
      <c r="J13362"/>
    </row>
    <row r="13363" spans="10:10" x14ac:dyDescent="0.3">
      <c r="J13363"/>
    </row>
    <row r="13364" spans="10:10" x14ac:dyDescent="0.3">
      <c r="J13364"/>
    </row>
    <row r="13365" spans="10:10" x14ac:dyDescent="0.3">
      <c r="J13365"/>
    </row>
    <row r="13366" spans="10:10" x14ac:dyDescent="0.3">
      <c r="J13366"/>
    </row>
    <row r="13367" spans="10:10" x14ac:dyDescent="0.3">
      <c r="J13367"/>
    </row>
    <row r="13368" spans="10:10" x14ac:dyDescent="0.3">
      <c r="J13368"/>
    </row>
    <row r="13369" spans="10:10" x14ac:dyDescent="0.3">
      <c r="J13369"/>
    </row>
    <row r="13370" spans="10:10" x14ac:dyDescent="0.3">
      <c r="J13370"/>
    </row>
    <row r="13371" spans="10:10" x14ac:dyDescent="0.3">
      <c r="J13371"/>
    </row>
    <row r="13372" spans="10:10" x14ac:dyDescent="0.3">
      <c r="J13372"/>
    </row>
    <row r="13373" spans="10:10" x14ac:dyDescent="0.3">
      <c r="J13373"/>
    </row>
    <row r="13374" spans="10:10" x14ac:dyDescent="0.3">
      <c r="J13374"/>
    </row>
    <row r="13375" spans="10:10" x14ac:dyDescent="0.3">
      <c r="J13375"/>
    </row>
    <row r="13376" spans="10:10" x14ac:dyDescent="0.3">
      <c r="J13376"/>
    </row>
    <row r="13377" spans="10:10" x14ac:dyDescent="0.3">
      <c r="J13377"/>
    </row>
    <row r="13378" spans="10:10" x14ac:dyDescent="0.3">
      <c r="J13378"/>
    </row>
    <row r="13379" spans="10:10" x14ac:dyDescent="0.3">
      <c r="J13379"/>
    </row>
    <row r="13380" spans="10:10" x14ac:dyDescent="0.3">
      <c r="J13380"/>
    </row>
    <row r="13381" spans="10:10" x14ac:dyDescent="0.3">
      <c r="J13381"/>
    </row>
    <row r="13382" spans="10:10" x14ac:dyDescent="0.3">
      <c r="J13382"/>
    </row>
    <row r="13383" spans="10:10" x14ac:dyDescent="0.3">
      <c r="J13383"/>
    </row>
    <row r="13384" spans="10:10" x14ac:dyDescent="0.3">
      <c r="J13384"/>
    </row>
    <row r="13385" spans="10:10" x14ac:dyDescent="0.3">
      <c r="J13385"/>
    </row>
    <row r="13386" spans="10:10" x14ac:dyDescent="0.3">
      <c r="J13386"/>
    </row>
    <row r="13387" spans="10:10" x14ac:dyDescent="0.3">
      <c r="J13387"/>
    </row>
    <row r="13388" spans="10:10" x14ac:dyDescent="0.3">
      <c r="J13388"/>
    </row>
    <row r="13389" spans="10:10" x14ac:dyDescent="0.3">
      <c r="J13389"/>
    </row>
    <row r="13390" spans="10:10" x14ac:dyDescent="0.3">
      <c r="J13390"/>
    </row>
    <row r="13391" spans="10:10" x14ac:dyDescent="0.3">
      <c r="J13391"/>
    </row>
    <row r="13392" spans="10:10" x14ac:dyDescent="0.3">
      <c r="J13392"/>
    </row>
    <row r="13393" spans="10:10" x14ac:dyDescent="0.3">
      <c r="J13393"/>
    </row>
    <row r="13394" spans="10:10" x14ac:dyDescent="0.3">
      <c r="J13394"/>
    </row>
    <row r="13395" spans="10:10" x14ac:dyDescent="0.3">
      <c r="J13395"/>
    </row>
    <row r="13396" spans="10:10" x14ac:dyDescent="0.3">
      <c r="J13396"/>
    </row>
    <row r="13397" spans="10:10" x14ac:dyDescent="0.3">
      <c r="J13397"/>
    </row>
    <row r="13398" spans="10:10" x14ac:dyDescent="0.3">
      <c r="J13398"/>
    </row>
    <row r="13399" spans="10:10" x14ac:dyDescent="0.3">
      <c r="J13399"/>
    </row>
    <row r="13400" spans="10:10" x14ac:dyDescent="0.3">
      <c r="J13400"/>
    </row>
    <row r="13401" spans="10:10" x14ac:dyDescent="0.3">
      <c r="J13401"/>
    </row>
    <row r="13402" spans="10:10" x14ac:dyDescent="0.3">
      <c r="J13402"/>
    </row>
    <row r="13403" spans="10:10" x14ac:dyDescent="0.3">
      <c r="J13403"/>
    </row>
    <row r="13404" spans="10:10" x14ac:dyDescent="0.3">
      <c r="J13404"/>
    </row>
    <row r="13405" spans="10:10" x14ac:dyDescent="0.3">
      <c r="J13405"/>
    </row>
    <row r="13406" spans="10:10" x14ac:dyDescent="0.3">
      <c r="J13406"/>
    </row>
    <row r="13407" spans="10:10" x14ac:dyDescent="0.3">
      <c r="J13407"/>
    </row>
    <row r="13408" spans="10:10" x14ac:dyDescent="0.3">
      <c r="J13408"/>
    </row>
    <row r="13409" spans="10:10" x14ac:dyDescent="0.3">
      <c r="J13409"/>
    </row>
    <row r="13410" spans="10:10" x14ac:dyDescent="0.3">
      <c r="J13410"/>
    </row>
    <row r="13411" spans="10:10" x14ac:dyDescent="0.3">
      <c r="J13411"/>
    </row>
    <row r="13412" spans="10:10" x14ac:dyDescent="0.3">
      <c r="J13412"/>
    </row>
    <row r="13413" spans="10:10" x14ac:dyDescent="0.3">
      <c r="J13413"/>
    </row>
    <row r="13414" spans="10:10" x14ac:dyDescent="0.3">
      <c r="J13414"/>
    </row>
    <row r="13415" spans="10:10" x14ac:dyDescent="0.3">
      <c r="J13415"/>
    </row>
    <row r="13416" spans="10:10" x14ac:dyDescent="0.3">
      <c r="J13416"/>
    </row>
    <row r="13417" spans="10:10" x14ac:dyDescent="0.3">
      <c r="J13417"/>
    </row>
    <row r="13418" spans="10:10" x14ac:dyDescent="0.3">
      <c r="J13418"/>
    </row>
    <row r="13419" spans="10:10" x14ac:dyDescent="0.3">
      <c r="J13419"/>
    </row>
    <row r="13420" spans="10:10" x14ac:dyDescent="0.3">
      <c r="J13420"/>
    </row>
    <row r="13421" spans="10:10" x14ac:dyDescent="0.3">
      <c r="J13421"/>
    </row>
    <row r="13422" spans="10:10" x14ac:dyDescent="0.3">
      <c r="J13422"/>
    </row>
    <row r="13423" spans="10:10" x14ac:dyDescent="0.3">
      <c r="J13423"/>
    </row>
    <row r="13424" spans="10:10" x14ac:dyDescent="0.3">
      <c r="J13424"/>
    </row>
    <row r="13425" spans="10:10" x14ac:dyDescent="0.3">
      <c r="J13425"/>
    </row>
    <row r="13426" spans="10:10" x14ac:dyDescent="0.3">
      <c r="J13426"/>
    </row>
    <row r="13427" spans="10:10" x14ac:dyDescent="0.3">
      <c r="J13427"/>
    </row>
    <row r="13428" spans="10:10" x14ac:dyDescent="0.3">
      <c r="J13428"/>
    </row>
    <row r="13429" spans="10:10" x14ac:dyDescent="0.3">
      <c r="J13429"/>
    </row>
    <row r="13430" spans="10:10" x14ac:dyDescent="0.3">
      <c r="J13430"/>
    </row>
    <row r="13431" spans="10:10" x14ac:dyDescent="0.3">
      <c r="J13431"/>
    </row>
    <row r="13432" spans="10:10" x14ac:dyDescent="0.3">
      <c r="J13432"/>
    </row>
    <row r="13433" spans="10:10" x14ac:dyDescent="0.3">
      <c r="J13433"/>
    </row>
    <row r="13434" spans="10:10" x14ac:dyDescent="0.3">
      <c r="J13434"/>
    </row>
    <row r="13435" spans="10:10" x14ac:dyDescent="0.3">
      <c r="J13435"/>
    </row>
    <row r="13436" spans="10:10" x14ac:dyDescent="0.3">
      <c r="J13436"/>
    </row>
    <row r="13437" spans="10:10" x14ac:dyDescent="0.3">
      <c r="J13437"/>
    </row>
    <row r="13438" spans="10:10" x14ac:dyDescent="0.3">
      <c r="J13438"/>
    </row>
    <row r="13439" spans="10:10" x14ac:dyDescent="0.3">
      <c r="J13439"/>
    </row>
    <row r="13440" spans="10:10" x14ac:dyDescent="0.3">
      <c r="J13440"/>
    </row>
    <row r="13441" spans="10:10" x14ac:dyDescent="0.3">
      <c r="J13441"/>
    </row>
    <row r="13442" spans="10:10" x14ac:dyDescent="0.3">
      <c r="J13442"/>
    </row>
    <row r="13443" spans="10:10" x14ac:dyDescent="0.3">
      <c r="J13443"/>
    </row>
    <row r="13444" spans="10:10" x14ac:dyDescent="0.3">
      <c r="J13444"/>
    </row>
    <row r="13445" spans="10:10" x14ac:dyDescent="0.3">
      <c r="J13445"/>
    </row>
    <row r="13446" spans="10:10" x14ac:dyDescent="0.3">
      <c r="J13446"/>
    </row>
    <row r="13447" spans="10:10" x14ac:dyDescent="0.3">
      <c r="J13447"/>
    </row>
    <row r="13448" spans="10:10" x14ac:dyDescent="0.3">
      <c r="J13448"/>
    </row>
    <row r="13449" spans="10:10" x14ac:dyDescent="0.3">
      <c r="J13449"/>
    </row>
    <row r="13450" spans="10:10" x14ac:dyDescent="0.3">
      <c r="J13450"/>
    </row>
    <row r="13451" spans="10:10" x14ac:dyDescent="0.3">
      <c r="J13451"/>
    </row>
    <row r="13452" spans="10:10" x14ac:dyDescent="0.3">
      <c r="J13452"/>
    </row>
    <row r="13453" spans="10:10" x14ac:dyDescent="0.3">
      <c r="J13453"/>
    </row>
    <row r="13454" spans="10:10" x14ac:dyDescent="0.3">
      <c r="J13454"/>
    </row>
    <row r="13455" spans="10:10" x14ac:dyDescent="0.3">
      <c r="J13455"/>
    </row>
    <row r="13456" spans="10:10" x14ac:dyDescent="0.3">
      <c r="J13456"/>
    </row>
    <row r="13457" spans="10:10" x14ac:dyDescent="0.3">
      <c r="J13457"/>
    </row>
    <row r="13458" spans="10:10" x14ac:dyDescent="0.3">
      <c r="J13458"/>
    </row>
    <row r="13459" spans="10:10" x14ac:dyDescent="0.3">
      <c r="J13459"/>
    </row>
    <row r="13460" spans="10:10" x14ac:dyDescent="0.3">
      <c r="J13460"/>
    </row>
    <row r="13461" spans="10:10" x14ac:dyDescent="0.3">
      <c r="J13461"/>
    </row>
    <row r="13462" spans="10:10" x14ac:dyDescent="0.3">
      <c r="J13462"/>
    </row>
    <row r="13463" spans="10:10" x14ac:dyDescent="0.3">
      <c r="J13463"/>
    </row>
    <row r="13464" spans="10:10" x14ac:dyDescent="0.3">
      <c r="J13464"/>
    </row>
    <row r="13465" spans="10:10" x14ac:dyDescent="0.3">
      <c r="J13465"/>
    </row>
    <row r="13466" spans="10:10" x14ac:dyDescent="0.3">
      <c r="J13466"/>
    </row>
    <row r="13467" spans="10:10" x14ac:dyDescent="0.3">
      <c r="J13467"/>
    </row>
    <row r="13468" spans="10:10" x14ac:dyDescent="0.3">
      <c r="J13468"/>
    </row>
    <row r="13469" spans="10:10" x14ac:dyDescent="0.3">
      <c r="J13469"/>
    </row>
    <row r="13470" spans="10:10" x14ac:dyDescent="0.3">
      <c r="J13470"/>
    </row>
    <row r="13471" spans="10:10" x14ac:dyDescent="0.3">
      <c r="J13471"/>
    </row>
    <row r="13472" spans="10:10" x14ac:dyDescent="0.3">
      <c r="J13472"/>
    </row>
    <row r="13473" spans="10:10" x14ac:dyDescent="0.3">
      <c r="J13473"/>
    </row>
    <row r="13474" spans="10:10" x14ac:dyDescent="0.3">
      <c r="J13474"/>
    </row>
    <row r="13475" spans="10:10" x14ac:dyDescent="0.3">
      <c r="J13475"/>
    </row>
    <row r="13476" spans="10:10" x14ac:dyDescent="0.3">
      <c r="J13476"/>
    </row>
    <row r="13477" spans="10:10" x14ac:dyDescent="0.3">
      <c r="J13477"/>
    </row>
    <row r="13478" spans="10:10" x14ac:dyDescent="0.3">
      <c r="J13478"/>
    </row>
    <row r="13479" spans="10:10" x14ac:dyDescent="0.3">
      <c r="J13479"/>
    </row>
    <row r="13480" spans="10:10" x14ac:dyDescent="0.3">
      <c r="J13480"/>
    </row>
    <row r="13481" spans="10:10" x14ac:dyDescent="0.3">
      <c r="J13481"/>
    </row>
    <row r="13482" spans="10:10" x14ac:dyDescent="0.3">
      <c r="J13482"/>
    </row>
    <row r="13483" spans="10:10" x14ac:dyDescent="0.3">
      <c r="J13483"/>
    </row>
    <row r="13484" spans="10:10" x14ac:dyDescent="0.3">
      <c r="J13484"/>
    </row>
    <row r="13485" spans="10:10" x14ac:dyDescent="0.3">
      <c r="J13485"/>
    </row>
    <row r="13486" spans="10:10" x14ac:dyDescent="0.3">
      <c r="J13486"/>
    </row>
    <row r="13487" spans="10:10" x14ac:dyDescent="0.3">
      <c r="J13487"/>
    </row>
    <row r="13488" spans="10:10" x14ac:dyDescent="0.3">
      <c r="J13488"/>
    </row>
    <row r="13489" spans="10:10" x14ac:dyDescent="0.3">
      <c r="J13489"/>
    </row>
    <row r="13490" spans="10:10" x14ac:dyDescent="0.3">
      <c r="J13490"/>
    </row>
    <row r="13491" spans="10:10" x14ac:dyDescent="0.3">
      <c r="J13491"/>
    </row>
    <row r="13492" spans="10:10" x14ac:dyDescent="0.3">
      <c r="J13492"/>
    </row>
    <row r="13493" spans="10:10" x14ac:dyDescent="0.3">
      <c r="J13493"/>
    </row>
    <row r="13494" spans="10:10" x14ac:dyDescent="0.3">
      <c r="J13494"/>
    </row>
    <row r="13495" spans="10:10" x14ac:dyDescent="0.3">
      <c r="J13495"/>
    </row>
    <row r="13496" spans="10:10" x14ac:dyDescent="0.3">
      <c r="J13496"/>
    </row>
    <row r="13497" spans="10:10" x14ac:dyDescent="0.3">
      <c r="J13497"/>
    </row>
    <row r="13498" spans="10:10" x14ac:dyDescent="0.3">
      <c r="J13498"/>
    </row>
    <row r="13499" spans="10:10" x14ac:dyDescent="0.3">
      <c r="J13499"/>
    </row>
    <row r="13500" spans="10:10" x14ac:dyDescent="0.3">
      <c r="J13500"/>
    </row>
    <row r="13501" spans="10:10" x14ac:dyDescent="0.3">
      <c r="J13501"/>
    </row>
    <row r="13502" spans="10:10" x14ac:dyDescent="0.3">
      <c r="J13502"/>
    </row>
    <row r="13503" spans="10:10" x14ac:dyDescent="0.3">
      <c r="J13503"/>
    </row>
    <row r="13504" spans="10:10" x14ac:dyDescent="0.3">
      <c r="J13504"/>
    </row>
    <row r="13505" spans="10:10" x14ac:dyDescent="0.3">
      <c r="J13505"/>
    </row>
    <row r="13506" spans="10:10" x14ac:dyDescent="0.3">
      <c r="J13506"/>
    </row>
    <row r="13507" spans="10:10" x14ac:dyDescent="0.3">
      <c r="J13507"/>
    </row>
    <row r="13508" spans="10:10" x14ac:dyDescent="0.3">
      <c r="J13508"/>
    </row>
    <row r="13509" spans="10:10" x14ac:dyDescent="0.3">
      <c r="J13509"/>
    </row>
    <row r="13510" spans="10:10" x14ac:dyDescent="0.3">
      <c r="J13510"/>
    </row>
    <row r="13511" spans="10:10" x14ac:dyDescent="0.3">
      <c r="J13511"/>
    </row>
    <row r="13512" spans="10:10" x14ac:dyDescent="0.3">
      <c r="J13512"/>
    </row>
    <row r="13513" spans="10:10" x14ac:dyDescent="0.3">
      <c r="J13513"/>
    </row>
    <row r="13514" spans="10:10" x14ac:dyDescent="0.3">
      <c r="J13514"/>
    </row>
    <row r="13515" spans="10:10" x14ac:dyDescent="0.3">
      <c r="J13515"/>
    </row>
    <row r="13516" spans="10:10" x14ac:dyDescent="0.3">
      <c r="J13516"/>
    </row>
    <row r="13517" spans="10:10" x14ac:dyDescent="0.3">
      <c r="J13517"/>
    </row>
    <row r="13518" spans="10:10" x14ac:dyDescent="0.3">
      <c r="J13518"/>
    </row>
    <row r="13519" spans="10:10" x14ac:dyDescent="0.3">
      <c r="J13519"/>
    </row>
    <row r="13520" spans="10:10" x14ac:dyDescent="0.3">
      <c r="J13520"/>
    </row>
    <row r="13521" spans="10:10" x14ac:dyDescent="0.3">
      <c r="J13521"/>
    </row>
    <row r="13522" spans="10:10" x14ac:dyDescent="0.3">
      <c r="J13522"/>
    </row>
    <row r="13523" spans="10:10" x14ac:dyDescent="0.3">
      <c r="J13523"/>
    </row>
    <row r="13524" spans="10:10" x14ac:dyDescent="0.3">
      <c r="J13524"/>
    </row>
    <row r="13525" spans="10:10" x14ac:dyDescent="0.3">
      <c r="J13525"/>
    </row>
    <row r="13526" spans="10:10" x14ac:dyDescent="0.3">
      <c r="J13526"/>
    </row>
    <row r="13527" spans="10:10" x14ac:dyDescent="0.3">
      <c r="J13527"/>
    </row>
    <row r="13528" spans="10:10" x14ac:dyDescent="0.3">
      <c r="J13528"/>
    </row>
    <row r="13529" spans="10:10" x14ac:dyDescent="0.3">
      <c r="J13529"/>
    </row>
    <row r="13530" spans="10:10" x14ac:dyDescent="0.3">
      <c r="J13530"/>
    </row>
    <row r="13531" spans="10:10" x14ac:dyDescent="0.3">
      <c r="J13531"/>
    </row>
    <row r="13532" spans="10:10" x14ac:dyDescent="0.3">
      <c r="J13532"/>
    </row>
    <row r="13533" spans="10:10" x14ac:dyDescent="0.3">
      <c r="J13533"/>
    </row>
    <row r="13534" spans="10:10" x14ac:dyDescent="0.3">
      <c r="J13534"/>
    </row>
    <row r="13535" spans="10:10" x14ac:dyDescent="0.3">
      <c r="J13535"/>
    </row>
    <row r="13536" spans="10:10" x14ac:dyDescent="0.3">
      <c r="J13536"/>
    </row>
    <row r="13537" spans="10:10" x14ac:dyDescent="0.3">
      <c r="J13537"/>
    </row>
    <row r="13538" spans="10:10" x14ac:dyDescent="0.3">
      <c r="J13538"/>
    </row>
    <row r="13539" spans="10:10" x14ac:dyDescent="0.3">
      <c r="J13539"/>
    </row>
    <row r="13540" spans="10:10" x14ac:dyDescent="0.3">
      <c r="J13540"/>
    </row>
    <row r="13541" spans="10:10" x14ac:dyDescent="0.3">
      <c r="J13541"/>
    </row>
    <row r="13542" spans="10:10" x14ac:dyDescent="0.3">
      <c r="J13542"/>
    </row>
    <row r="13543" spans="10:10" x14ac:dyDescent="0.3">
      <c r="J13543"/>
    </row>
    <row r="13544" spans="10:10" x14ac:dyDescent="0.3">
      <c r="J13544"/>
    </row>
    <row r="13545" spans="10:10" x14ac:dyDescent="0.3">
      <c r="J13545"/>
    </row>
    <row r="13546" spans="10:10" x14ac:dyDescent="0.3">
      <c r="J13546"/>
    </row>
    <row r="13547" spans="10:10" x14ac:dyDescent="0.3">
      <c r="J13547"/>
    </row>
    <row r="13548" spans="10:10" x14ac:dyDescent="0.3">
      <c r="J13548"/>
    </row>
    <row r="13549" spans="10:10" x14ac:dyDescent="0.3">
      <c r="J13549"/>
    </row>
    <row r="13550" spans="10:10" x14ac:dyDescent="0.3">
      <c r="J13550"/>
    </row>
    <row r="13551" spans="10:10" x14ac:dyDescent="0.3">
      <c r="J13551"/>
    </row>
    <row r="13552" spans="10:10" x14ac:dyDescent="0.3">
      <c r="J13552"/>
    </row>
    <row r="13553" spans="10:10" x14ac:dyDescent="0.3">
      <c r="J13553"/>
    </row>
    <row r="13554" spans="10:10" x14ac:dyDescent="0.3">
      <c r="J13554"/>
    </row>
    <row r="13555" spans="10:10" x14ac:dyDescent="0.3">
      <c r="J13555"/>
    </row>
    <row r="13556" spans="10:10" x14ac:dyDescent="0.3">
      <c r="J13556"/>
    </row>
    <row r="13557" spans="10:10" x14ac:dyDescent="0.3">
      <c r="J13557"/>
    </row>
    <row r="13558" spans="10:10" x14ac:dyDescent="0.3">
      <c r="J13558"/>
    </row>
    <row r="13559" spans="10:10" x14ac:dyDescent="0.3">
      <c r="J13559"/>
    </row>
    <row r="13560" spans="10:10" x14ac:dyDescent="0.3">
      <c r="J13560"/>
    </row>
    <row r="13561" spans="10:10" x14ac:dyDescent="0.3">
      <c r="J13561"/>
    </row>
    <row r="13562" spans="10:10" x14ac:dyDescent="0.3">
      <c r="J13562"/>
    </row>
    <row r="13563" spans="10:10" x14ac:dyDescent="0.3">
      <c r="J13563"/>
    </row>
    <row r="13564" spans="10:10" x14ac:dyDescent="0.3">
      <c r="J13564"/>
    </row>
    <row r="13565" spans="10:10" x14ac:dyDescent="0.3">
      <c r="J13565"/>
    </row>
    <row r="13566" spans="10:10" x14ac:dyDescent="0.3">
      <c r="J13566"/>
    </row>
    <row r="13567" spans="10:10" x14ac:dyDescent="0.3">
      <c r="J13567"/>
    </row>
    <row r="13568" spans="10:10" x14ac:dyDescent="0.3">
      <c r="J13568"/>
    </row>
    <row r="13569" spans="10:10" x14ac:dyDescent="0.3">
      <c r="J13569"/>
    </row>
    <row r="13570" spans="10:10" x14ac:dyDescent="0.3">
      <c r="J13570"/>
    </row>
    <row r="13571" spans="10:10" x14ac:dyDescent="0.3">
      <c r="J13571"/>
    </row>
    <row r="13572" spans="10:10" x14ac:dyDescent="0.3">
      <c r="J13572"/>
    </row>
    <row r="13573" spans="10:10" x14ac:dyDescent="0.3">
      <c r="J13573"/>
    </row>
    <row r="13574" spans="10:10" x14ac:dyDescent="0.3">
      <c r="J13574"/>
    </row>
    <row r="13575" spans="10:10" x14ac:dyDescent="0.3">
      <c r="J13575"/>
    </row>
    <row r="13576" spans="10:10" x14ac:dyDescent="0.3">
      <c r="J13576"/>
    </row>
    <row r="13577" spans="10:10" x14ac:dyDescent="0.3">
      <c r="J13577"/>
    </row>
    <row r="13578" spans="10:10" x14ac:dyDescent="0.3">
      <c r="J13578"/>
    </row>
    <row r="13579" spans="10:10" x14ac:dyDescent="0.3">
      <c r="J13579"/>
    </row>
    <row r="13580" spans="10:10" x14ac:dyDescent="0.3">
      <c r="J13580"/>
    </row>
    <row r="13581" spans="10:10" x14ac:dyDescent="0.3">
      <c r="J13581"/>
    </row>
    <row r="13582" spans="10:10" x14ac:dyDescent="0.3">
      <c r="J13582"/>
    </row>
    <row r="13583" spans="10:10" x14ac:dyDescent="0.3">
      <c r="J13583"/>
    </row>
    <row r="13584" spans="10:10" x14ac:dyDescent="0.3">
      <c r="J13584"/>
    </row>
    <row r="13585" spans="10:10" x14ac:dyDescent="0.3">
      <c r="J13585"/>
    </row>
    <row r="13586" spans="10:10" x14ac:dyDescent="0.3">
      <c r="J13586"/>
    </row>
    <row r="13587" spans="10:10" x14ac:dyDescent="0.3">
      <c r="J13587"/>
    </row>
    <row r="13588" spans="10:10" x14ac:dyDescent="0.3">
      <c r="J13588"/>
    </row>
    <row r="13589" spans="10:10" x14ac:dyDescent="0.3">
      <c r="J13589"/>
    </row>
    <row r="13590" spans="10:10" x14ac:dyDescent="0.3">
      <c r="J13590"/>
    </row>
    <row r="13591" spans="10:10" x14ac:dyDescent="0.3">
      <c r="J13591"/>
    </row>
    <row r="13592" spans="10:10" x14ac:dyDescent="0.3">
      <c r="J13592"/>
    </row>
    <row r="13593" spans="10:10" x14ac:dyDescent="0.3">
      <c r="J13593"/>
    </row>
    <row r="13594" spans="10:10" x14ac:dyDescent="0.3">
      <c r="J13594"/>
    </row>
    <row r="13595" spans="10:10" x14ac:dyDescent="0.3">
      <c r="J13595"/>
    </row>
    <row r="13596" spans="10:10" x14ac:dyDescent="0.3">
      <c r="J13596"/>
    </row>
    <row r="13597" spans="10:10" x14ac:dyDescent="0.3">
      <c r="J13597"/>
    </row>
    <row r="13598" spans="10:10" x14ac:dyDescent="0.3">
      <c r="J13598"/>
    </row>
    <row r="13599" spans="10:10" x14ac:dyDescent="0.3">
      <c r="J13599"/>
    </row>
    <row r="13600" spans="10:10" x14ac:dyDescent="0.3">
      <c r="J13600"/>
    </row>
    <row r="13601" spans="10:10" x14ac:dyDescent="0.3">
      <c r="J13601"/>
    </row>
    <row r="13602" spans="10:10" x14ac:dyDescent="0.3">
      <c r="J13602"/>
    </row>
    <row r="13603" spans="10:10" x14ac:dyDescent="0.3">
      <c r="J13603"/>
    </row>
    <row r="13604" spans="10:10" x14ac:dyDescent="0.3">
      <c r="J13604"/>
    </row>
    <row r="13605" spans="10:10" x14ac:dyDescent="0.3">
      <c r="J13605"/>
    </row>
    <row r="13606" spans="10:10" x14ac:dyDescent="0.3">
      <c r="J13606"/>
    </row>
    <row r="13607" spans="10:10" x14ac:dyDescent="0.3">
      <c r="J13607"/>
    </row>
    <row r="13608" spans="10:10" x14ac:dyDescent="0.3">
      <c r="J13608"/>
    </row>
    <row r="13609" spans="10:10" x14ac:dyDescent="0.3">
      <c r="J13609"/>
    </row>
    <row r="13610" spans="10:10" x14ac:dyDescent="0.3">
      <c r="J13610"/>
    </row>
    <row r="13611" spans="10:10" x14ac:dyDescent="0.3">
      <c r="J13611"/>
    </row>
    <row r="13612" spans="10:10" x14ac:dyDescent="0.3">
      <c r="J13612"/>
    </row>
    <row r="13613" spans="10:10" x14ac:dyDescent="0.3">
      <c r="J13613"/>
    </row>
    <row r="13614" spans="10:10" x14ac:dyDescent="0.3">
      <c r="J13614"/>
    </row>
    <row r="13615" spans="10:10" x14ac:dyDescent="0.3">
      <c r="J13615"/>
    </row>
    <row r="13616" spans="10:10" x14ac:dyDescent="0.3">
      <c r="J13616"/>
    </row>
    <row r="13617" spans="10:10" x14ac:dyDescent="0.3">
      <c r="J13617"/>
    </row>
    <row r="13618" spans="10:10" x14ac:dyDescent="0.3">
      <c r="J13618"/>
    </row>
    <row r="13619" spans="10:10" x14ac:dyDescent="0.3">
      <c r="J13619"/>
    </row>
    <row r="13620" spans="10:10" x14ac:dyDescent="0.3">
      <c r="J13620"/>
    </row>
    <row r="13621" spans="10:10" x14ac:dyDescent="0.3">
      <c r="J13621"/>
    </row>
    <row r="13622" spans="10:10" x14ac:dyDescent="0.3">
      <c r="J13622"/>
    </row>
    <row r="13623" spans="10:10" x14ac:dyDescent="0.3">
      <c r="J13623"/>
    </row>
    <row r="13624" spans="10:10" x14ac:dyDescent="0.3">
      <c r="J13624"/>
    </row>
    <row r="13625" spans="10:10" x14ac:dyDescent="0.3">
      <c r="J13625"/>
    </row>
    <row r="13626" spans="10:10" x14ac:dyDescent="0.3">
      <c r="J13626"/>
    </row>
    <row r="13627" spans="10:10" x14ac:dyDescent="0.3">
      <c r="J13627"/>
    </row>
    <row r="13628" spans="10:10" x14ac:dyDescent="0.3">
      <c r="J13628"/>
    </row>
    <row r="13629" spans="10:10" x14ac:dyDescent="0.3">
      <c r="J13629"/>
    </row>
    <row r="13630" spans="10:10" x14ac:dyDescent="0.3">
      <c r="J13630"/>
    </row>
    <row r="13631" spans="10:10" x14ac:dyDescent="0.3">
      <c r="J13631"/>
    </row>
    <row r="13632" spans="10:10" x14ac:dyDescent="0.3">
      <c r="J13632"/>
    </row>
    <row r="13633" spans="10:10" x14ac:dyDescent="0.3">
      <c r="J13633"/>
    </row>
    <row r="13634" spans="10:10" x14ac:dyDescent="0.3">
      <c r="J13634"/>
    </row>
    <row r="13635" spans="10:10" x14ac:dyDescent="0.3">
      <c r="J13635"/>
    </row>
    <row r="13636" spans="10:10" x14ac:dyDescent="0.3">
      <c r="J13636"/>
    </row>
    <row r="13637" spans="10:10" x14ac:dyDescent="0.3">
      <c r="J13637"/>
    </row>
    <row r="13638" spans="10:10" x14ac:dyDescent="0.3">
      <c r="J13638"/>
    </row>
    <row r="13639" spans="10:10" x14ac:dyDescent="0.3">
      <c r="J13639"/>
    </row>
    <row r="13640" spans="10:10" x14ac:dyDescent="0.3">
      <c r="J13640"/>
    </row>
    <row r="13641" spans="10:10" x14ac:dyDescent="0.3">
      <c r="J13641"/>
    </row>
    <row r="13642" spans="10:10" x14ac:dyDescent="0.3">
      <c r="J13642"/>
    </row>
    <row r="13643" spans="10:10" x14ac:dyDescent="0.3">
      <c r="J13643"/>
    </row>
    <row r="13644" spans="10:10" x14ac:dyDescent="0.3">
      <c r="J13644"/>
    </row>
    <row r="13645" spans="10:10" x14ac:dyDescent="0.3">
      <c r="J13645"/>
    </row>
    <row r="13646" spans="10:10" x14ac:dyDescent="0.3">
      <c r="J13646"/>
    </row>
    <row r="13647" spans="10:10" x14ac:dyDescent="0.3">
      <c r="J13647"/>
    </row>
    <row r="13648" spans="10:10" x14ac:dyDescent="0.3">
      <c r="J13648"/>
    </row>
    <row r="13649" spans="10:10" x14ac:dyDescent="0.3">
      <c r="J13649"/>
    </row>
    <row r="13650" spans="10:10" x14ac:dyDescent="0.3">
      <c r="J13650"/>
    </row>
    <row r="13651" spans="10:10" x14ac:dyDescent="0.3">
      <c r="J13651"/>
    </row>
    <row r="13652" spans="10:10" x14ac:dyDescent="0.3">
      <c r="J13652"/>
    </row>
    <row r="13653" spans="10:10" x14ac:dyDescent="0.3">
      <c r="J13653"/>
    </row>
    <row r="13654" spans="10:10" x14ac:dyDescent="0.3">
      <c r="J13654"/>
    </row>
    <row r="13655" spans="10:10" x14ac:dyDescent="0.3">
      <c r="J13655"/>
    </row>
    <row r="13656" spans="10:10" x14ac:dyDescent="0.3">
      <c r="J13656"/>
    </row>
    <row r="13657" spans="10:10" x14ac:dyDescent="0.3">
      <c r="J13657"/>
    </row>
    <row r="13658" spans="10:10" x14ac:dyDescent="0.3">
      <c r="J13658"/>
    </row>
    <row r="13659" spans="10:10" x14ac:dyDescent="0.3">
      <c r="J13659"/>
    </row>
    <row r="13660" spans="10:10" x14ac:dyDescent="0.3">
      <c r="J13660"/>
    </row>
    <row r="13661" spans="10:10" x14ac:dyDescent="0.3">
      <c r="J13661"/>
    </row>
    <row r="13662" spans="10:10" x14ac:dyDescent="0.3">
      <c r="J13662"/>
    </row>
    <row r="13663" spans="10:10" x14ac:dyDescent="0.3">
      <c r="J13663"/>
    </row>
    <row r="13664" spans="10:10" x14ac:dyDescent="0.3">
      <c r="J13664"/>
    </row>
    <row r="13665" spans="10:10" x14ac:dyDescent="0.3">
      <c r="J13665"/>
    </row>
    <row r="13666" spans="10:10" x14ac:dyDescent="0.3">
      <c r="J13666"/>
    </row>
    <row r="13667" spans="10:10" x14ac:dyDescent="0.3">
      <c r="J13667"/>
    </row>
    <row r="13668" spans="10:10" x14ac:dyDescent="0.3">
      <c r="J13668"/>
    </row>
    <row r="13669" spans="10:10" x14ac:dyDescent="0.3">
      <c r="J13669"/>
    </row>
    <row r="13670" spans="10:10" x14ac:dyDescent="0.3">
      <c r="J13670"/>
    </row>
    <row r="13671" spans="10:10" x14ac:dyDescent="0.3">
      <c r="J13671"/>
    </row>
    <row r="13672" spans="10:10" x14ac:dyDescent="0.3">
      <c r="J13672"/>
    </row>
    <row r="13673" spans="10:10" x14ac:dyDescent="0.3">
      <c r="J13673"/>
    </row>
    <row r="13674" spans="10:10" x14ac:dyDescent="0.3">
      <c r="J13674"/>
    </row>
    <row r="13675" spans="10:10" x14ac:dyDescent="0.3">
      <c r="J13675"/>
    </row>
    <row r="13676" spans="10:10" x14ac:dyDescent="0.3">
      <c r="J13676"/>
    </row>
    <row r="13677" spans="10:10" x14ac:dyDescent="0.3">
      <c r="J13677"/>
    </row>
    <row r="13678" spans="10:10" x14ac:dyDescent="0.3">
      <c r="J13678"/>
    </row>
    <row r="13679" spans="10:10" x14ac:dyDescent="0.3">
      <c r="J13679"/>
    </row>
    <row r="13680" spans="10:10" x14ac:dyDescent="0.3">
      <c r="J13680"/>
    </row>
    <row r="13681" spans="10:10" x14ac:dyDescent="0.3">
      <c r="J13681"/>
    </row>
    <row r="13682" spans="10:10" x14ac:dyDescent="0.3">
      <c r="J13682"/>
    </row>
    <row r="13683" spans="10:10" x14ac:dyDescent="0.3">
      <c r="J13683"/>
    </row>
    <row r="13684" spans="10:10" x14ac:dyDescent="0.3">
      <c r="J13684"/>
    </row>
    <row r="13685" spans="10:10" x14ac:dyDescent="0.3">
      <c r="J13685"/>
    </row>
    <row r="13686" spans="10:10" x14ac:dyDescent="0.3">
      <c r="J13686"/>
    </row>
    <row r="13687" spans="10:10" x14ac:dyDescent="0.3">
      <c r="J13687"/>
    </row>
    <row r="13688" spans="10:10" x14ac:dyDescent="0.3">
      <c r="J13688"/>
    </row>
    <row r="13689" spans="10:10" x14ac:dyDescent="0.3">
      <c r="J13689"/>
    </row>
    <row r="13690" spans="10:10" x14ac:dyDescent="0.3">
      <c r="J13690"/>
    </row>
    <row r="13691" spans="10:10" x14ac:dyDescent="0.3">
      <c r="J13691"/>
    </row>
    <row r="13692" spans="10:10" x14ac:dyDescent="0.3">
      <c r="J13692"/>
    </row>
    <row r="13693" spans="10:10" x14ac:dyDescent="0.3">
      <c r="J13693"/>
    </row>
    <row r="13694" spans="10:10" x14ac:dyDescent="0.3">
      <c r="J13694"/>
    </row>
    <row r="13695" spans="10:10" x14ac:dyDescent="0.3">
      <c r="J13695"/>
    </row>
    <row r="13696" spans="10:10" x14ac:dyDescent="0.3">
      <c r="J13696"/>
    </row>
    <row r="13697" spans="10:10" x14ac:dyDescent="0.3">
      <c r="J13697"/>
    </row>
    <row r="13698" spans="10:10" x14ac:dyDescent="0.3">
      <c r="J13698"/>
    </row>
    <row r="13699" spans="10:10" x14ac:dyDescent="0.3">
      <c r="J13699"/>
    </row>
    <row r="13700" spans="10:10" x14ac:dyDescent="0.3">
      <c r="J13700"/>
    </row>
    <row r="13701" spans="10:10" x14ac:dyDescent="0.3">
      <c r="J13701"/>
    </row>
    <row r="13702" spans="10:10" x14ac:dyDescent="0.3">
      <c r="J13702"/>
    </row>
    <row r="13703" spans="10:10" x14ac:dyDescent="0.3">
      <c r="J13703"/>
    </row>
    <row r="13704" spans="10:10" x14ac:dyDescent="0.3">
      <c r="J13704"/>
    </row>
    <row r="13705" spans="10:10" x14ac:dyDescent="0.3">
      <c r="J13705"/>
    </row>
    <row r="13706" spans="10:10" x14ac:dyDescent="0.3">
      <c r="J13706"/>
    </row>
    <row r="13707" spans="10:10" x14ac:dyDescent="0.3">
      <c r="J13707"/>
    </row>
    <row r="13708" spans="10:10" x14ac:dyDescent="0.3">
      <c r="J13708"/>
    </row>
    <row r="13709" spans="10:10" x14ac:dyDescent="0.3">
      <c r="J13709"/>
    </row>
    <row r="13710" spans="10:10" x14ac:dyDescent="0.3">
      <c r="J13710"/>
    </row>
    <row r="13711" spans="10:10" x14ac:dyDescent="0.3">
      <c r="J13711"/>
    </row>
    <row r="13712" spans="10:10" x14ac:dyDescent="0.3">
      <c r="J13712"/>
    </row>
    <row r="13713" spans="10:10" x14ac:dyDescent="0.3">
      <c r="J13713"/>
    </row>
    <row r="13714" spans="10:10" x14ac:dyDescent="0.3">
      <c r="J13714"/>
    </row>
    <row r="13715" spans="10:10" x14ac:dyDescent="0.3">
      <c r="J13715"/>
    </row>
    <row r="13716" spans="10:10" x14ac:dyDescent="0.3">
      <c r="J13716"/>
    </row>
    <row r="13717" spans="10:10" x14ac:dyDescent="0.3">
      <c r="J13717"/>
    </row>
    <row r="13718" spans="10:10" x14ac:dyDescent="0.3">
      <c r="J13718"/>
    </row>
    <row r="13719" spans="10:10" x14ac:dyDescent="0.3">
      <c r="J13719"/>
    </row>
    <row r="13720" spans="10:10" x14ac:dyDescent="0.3">
      <c r="J13720"/>
    </row>
    <row r="13721" spans="10:10" x14ac:dyDescent="0.3">
      <c r="J13721"/>
    </row>
    <row r="13722" spans="10:10" x14ac:dyDescent="0.3">
      <c r="J13722"/>
    </row>
    <row r="13723" spans="10:10" x14ac:dyDescent="0.3">
      <c r="J13723"/>
    </row>
    <row r="13724" spans="10:10" x14ac:dyDescent="0.3">
      <c r="J13724"/>
    </row>
    <row r="13725" spans="10:10" x14ac:dyDescent="0.3">
      <c r="J13725"/>
    </row>
    <row r="13726" spans="10:10" x14ac:dyDescent="0.3">
      <c r="J13726"/>
    </row>
    <row r="13727" spans="10:10" x14ac:dyDescent="0.3">
      <c r="J13727"/>
    </row>
    <row r="13728" spans="10:10" x14ac:dyDescent="0.3">
      <c r="J13728"/>
    </row>
    <row r="13729" spans="10:10" x14ac:dyDescent="0.3">
      <c r="J13729"/>
    </row>
    <row r="13730" spans="10:10" x14ac:dyDescent="0.3">
      <c r="J13730"/>
    </row>
    <row r="13731" spans="10:10" x14ac:dyDescent="0.3">
      <c r="J13731"/>
    </row>
    <row r="13732" spans="10:10" x14ac:dyDescent="0.3">
      <c r="J13732"/>
    </row>
    <row r="13733" spans="10:10" x14ac:dyDescent="0.3">
      <c r="J13733"/>
    </row>
    <row r="13734" spans="10:10" x14ac:dyDescent="0.3">
      <c r="J13734"/>
    </row>
    <row r="13735" spans="10:10" x14ac:dyDescent="0.3">
      <c r="J13735"/>
    </row>
    <row r="13736" spans="10:10" x14ac:dyDescent="0.3">
      <c r="J13736"/>
    </row>
    <row r="13737" spans="10:10" x14ac:dyDescent="0.3">
      <c r="J13737"/>
    </row>
    <row r="13738" spans="10:10" x14ac:dyDescent="0.3">
      <c r="J13738"/>
    </row>
    <row r="13739" spans="10:10" x14ac:dyDescent="0.3">
      <c r="J13739"/>
    </row>
    <row r="13740" spans="10:10" x14ac:dyDescent="0.3">
      <c r="J13740"/>
    </row>
    <row r="13741" spans="10:10" x14ac:dyDescent="0.3">
      <c r="J13741"/>
    </row>
    <row r="13742" spans="10:10" x14ac:dyDescent="0.3">
      <c r="J13742"/>
    </row>
    <row r="13743" spans="10:10" x14ac:dyDescent="0.3">
      <c r="J13743"/>
    </row>
    <row r="13744" spans="10:10" x14ac:dyDescent="0.3">
      <c r="J13744"/>
    </row>
    <row r="13745" spans="10:10" x14ac:dyDescent="0.3">
      <c r="J13745"/>
    </row>
    <row r="13746" spans="10:10" x14ac:dyDescent="0.3">
      <c r="J13746"/>
    </row>
    <row r="13747" spans="10:10" x14ac:dyDescent="0.3">
      <c r="J13747"/>
    </row>
    <row r="13748" spans="10:10" x14ac:dyDescent="0.3">
      <c r="J13748"/>
    </row>
    <row r="13749" spans="10:10" x14ac:dyDescent="0.3">
      <c r="J13749"/>
    </row>
    <row r="13750" spans="10:10" x14ac:dyDescent="0.3">
      <c r="J13750"/>
    </row>
    <row r="13751" spans="10:10" x14ac:dyDescent="0.3">
      <c r="J13751"/>
    </row>
    <row r="13752" spans="10:10" x14ac:dyDescent="0.3">
      <c r="J13752"/>
    </row>
    <row r="13753" spans="10:10" x14ac:dyDescent="0.3">
      <c r="J13753"/>
    </row>
    <row r="13754" spans="10:10" x14ac:dyDescent="0.3">
      <c r="J13754"/>
    </row>
    <row r="13755" spans="10:10" x14ac:dyDescent="0.3">
      <c r="J13755"/>
    </row>
    <row r="13756" spans="10:10" x14ac:dyDescent="0.3">
      <c r="J13756"/>
    </row>
    <row r="13757" spans="10:10" x14ac:dyDescent="0.3">
      <c r="J13757"/>
    </row>
    <row r="13758" spans="10:10" x14ac:dyDescent="0.3">
      <c r="J13758"/>
    </row>
    <row r="13759" spans="10:10" x14ac:dyDescent="0.3">
      <c r="J13759"/>
    </row>
    <row r="13760" spans="10:10" x14ac:dyDescent="0.3">
      <c r="J13760"/>
    </row>
    <row r="13761" spans="10:10" x14ac:dyDescent="0.3">
      <c r="J13761"/>
    </row>
    <row r="13762" spans="10:10" x14ac:dyDescent="0.3">
      <c r="J13762"/>
    </row>
    <row r="13763" spans="10:10" x14ac:dyDescent="0.3">
      <c r="J13763"/>
    </row>
    <row r="13764" spans="10:10" x14ac:dyDescent="0.3">
      <c r="J13764"/>
    </row>
    <row r="13765" spans="10:10" x14ac:dyDescent="0.3">
      <c r="J13765"/>
    </row>
    <row r="13766" spans="10:10" x14ac:dyDescent="0.3">
      <c r="J13766"/>
    </row>
    <row r="13767" spans="10:10" x14ac:dyDescent="0.3">
      <c r="J13767"/>
    </row>
    <row r="13768" spans="10:10" x14ac:dyDescent="0.3">
      <c r="J13768"/>
    </row>
    <row r="13769" spans="10:10" x14ac:dyDescent="0.3">
      <c r="J13769"/>
    </row>
    <row r="13770" spans="10:10" x14ac:dyDescent="0.3">
      <c r="J13770"/>
    </row>
    <row r="13771" spans="10:10" x14ac:dyDescent="0.3">
      <c r="J13771"/>
    </row>
    <row r="13772" spans="10:10" x14ac:dyDescent="0.3">
      <c r="J13772"/>
    </row>
    <row r="13773" spans="10:10" x14ac:dyDescent="0.3">
      <c r="J13773"/>
    </row>
    <row r="13774" spans="10:10" x14ac:dyDescent="0.3">
      <c r="J13774"/>
    </row>
    <row r="13775" spans="10:10" x14ac:dyDescent="0.3">
      <c r="J13775"/>
    </row>
    <row r="13776" spans="10:10" x14ac:dyDescent="0.3">
      <c r="J13776"/>
    </row>
    <row r="13777" spans="10:10" x14ac:dyDescent="0.3">
      <c r="J13777"/>
    </row>
    <row r="13778" spans="10:10" x14ac:dyDescent="0.3">
      <c r="J13778"/>
    </row>
    <row r="13779" spans="10:10" x14ac:dyDescent="0.3">
      <c r="J13779"/>
    </row>
    <row r="13780" spans="10:10" x14ac:dyDescent="0.3">
      <c r="J13780"/>
    </row>
    <row r="13781" spans="10:10" x14ac:dyDescent="0.3">
      <c r="J13781"/>
    </row>
    <row r="13782" spans="10:10" x14ac:dyDescent="0.3">
      <c r="J13782"/>
    </row>
    <row r="13783" spans="10:10" x14ac:dyDescent="0.3">
      <c r="J13783"/>
    </row>
    <row r="13784" spans="10:10" x14ac:dyDescent="0.3">
      <c r="J13784"/>
    </row>
    <row r="13785" spans="10:10" x14ac:dyDescent="0.3">
      <c r="J13785"/>
    </row>
    <row r="13786" spans="10:10" x14ac:dyDescent="0.3">
      <c r="J13786"/>
    </row>
    <row r="13787" spans="10:10" x14ac:dyDescent="0.3">
      <c r="J13787"/>
    </row>
    <row r="13788" spans="10:10" x14ac:dyDescent="0.3">
      <c r="J13788"/>
    </row>
    <row r="13789" spans="10:10" x14ac:dyDescent="0.3">
      <c r="J13789"/>
    </row>
    <row r="13790" spans="10:10" x14ac:dyDescent="0.3">
      <c r="J13790"/>
    </row>
    <row r="13791" spans="10:10" x14ac:dyDescent="0.3">
      <c r="J13791"/>
    </row>
    <row r="13792" spans="10:10" x14ac:dyDescent="0.3">
      <c r="J13792"/>
    </row>
    <row r="13793" spans="10:10" x14ac:dyDescent="0.3">
      <c r="J13793"/>
    </row>
    <row r="13794" spans="10:10" x14ac:dyDescent="0.3">
      <c r="J13794"/>
    </row>
    <row r="13795" spans="10:10" x14ac:dyDescent="0.3">
      <c r="J13795"/>
    </row>
    <row r="13796" spans="10:10" x14ac:dyDescent="0.3">
      <c r="J13796"/>
    </row>
    <row r="13797" spans="10:10" x14ac:dyDescent="0.3">
      <c r="J13797"/>
    </row>
    <row r="13798" spans="10:10" x14ac:dyDescent="0.3">
      <c r="J13798"/>
    </row>
    <row r="13799" spans="10:10" x14ac:dyDescent="0.3">
      <c r="J13799"/>
    </row>
    <row r="13800" spans="10:10" x14ac:dyDescent="0.3">
      <c r="J13800"/>
    </row>
    <row r="13801" spans="10:10" x14ac:dyDescent="0.3">
      <c r="J13801"/>
    </row>
    <row r="13802" spans="10:10" x14ac:dyDescent="0.3">
      <c r="J13802"/>
    </row>
    <row r="13803" spans="10:10" x14ac:dyDescent="0.3">
      <c r="J13803"/>
    </row>
    <row r="13804" spans="10:10" x14ac:dyDescent="0.3">
      <c r="J13804"/>
    </row>
    <row r="13805" spans="10:10" x14ac:dyDescent="0.3">
      <c r="J13805"/>
    </row>
    <row r="13806" spans="10:10" x14ac:dyDescent="0.3">
      <c r="J13806"/>
    </row>
    <row r="13807" spans="10:10" x14ac:dyDescent="0.3">
      <c r="J13807"/>
    </row>
    <row r="13808" spans="10:10" x14ac:dyDescent="0.3">
      <c r="J13808"/>
    </row>
    <row r="13809" spans="10:10" x14ac:dyDescent="0.3">
      <c r="J13809"/>
    </row>
    <row r="13810" spans="10:10" x14ac:dyDescent="0.3">
      <c r="J13810"/>
    </row>
    <row r="13811" spans="10:10" x14ac:dyDescent="0.3">
      <c r="J13811"/>
    </row>
    <row r="13812" spans="10:10" x14ac:dyDescent="0.3">
      <c r="J13812"/>
    </row>
    <row r="13813" spans="10:10" x14ac:dyDescent="0.3">
      <c r="J13813"/>
    </row>
    <row r="13814" spans="10:10" x14ac:dyDescent="0.3">
      <c r="J13814"/>
    </row>
    <row r="13815" spans="10:10" x14ac:dyDescent="0.3">
      <c r="J13815"/>
    </row>
    <row r="13816" spans="10:10" x14ac:dyDescent="0.3">
      <c r="J13816"/>
    </row>
    <row r="13817" spans="10:10" x14ac:dyDescent="0.3">
      <c r="J13817"/>
    </row>
    <row r="13818" spans="10:10" x14ac:dyDescent="0.3">
      <c r="J13818"/>
    </row>
    <row r="13819" spans="10:10" x14ac:dyDescent="0.3">
      <c r="J13819"/>
    </row>
    <row r="13820" spans="10:10" x14ac:dyDescent="0.3">
      <c r="J13820"/>
    </row>
    <row r="13821" spans="10:10" x14ac:dyDescent="0.3">
      <c r="J13821"/>
    </row>
    <row r="13822" spans="10:10" x14ac:dyDescent="0.3">
      <c r="J13822"/>
    </row>
    <row r="13823" spans="10:10" x14ac:dyDescent="0.3">
      <c r="J13823"/>
    </row>
    <row r="13824" spans="10:10" x14ac:dyDescent="0.3">
      <c r="J13824"/>
    </row>
    <row r="13825" spans="10:10" x14ac:dyDescent="0.3">
      <c r="J13825"/>
    </row>
    <row r="13826" spans="10:10" x14ac:dyDescent="0.3">
      <c r="J13826"/>
    </row>
    <row r="13827" spans="10:10" x14ac:dyDescent="0.3">
      <c r="J13827"/>
    </row>
    <row r="13828" spans="10:10" x14ac:dyDescent="0.3">
      <c r="J13828"/>
    </row>
    <row r="13829" spans="10:10" x14ac:dyDescent="0.3">
      <c r="J13829"/>
    </row>
    <row r="13830" spans="10:10" x14ac:dyDescent="0.3">
      <c r="J13830"/>
    </row>
    <row r="13831" spans="10:10" x14ac:dyDescent="0.3">
      <c r="J13831"/>
    </row>
    <row r="13832" spans="10:10" x14ac:dyDescent="0.3">
      <c r="J13832"/>
    </row>
    <row r="13833" spans="10:10" x14ac:dyDescent="0.3">
      <c r="J13833"/>
    </row>
    <row r="13834" spans="10:10" x14ac:dyDescent="0.3">
      <c r="J13834"/>
    </row>
    <row r="13835" spans="10:10" x14ac:dyDescent="0.3">
      <c r="J13835"/>
    </row>
    <row r="13836" spans="10:10" x14ac:dyDescent="0.3">
      <c r="J13836"/>
    </row>
    <row r="13837" spans="10:10" x14ac:dyDescent="0.3">
      <c r="J13837"/>
    </row>
    <row r="13838" spans="10:10" x14ac:dyDescent="0.3">
      <c r="J13838"/>
    </row>
    <row r="13839" spans="10:10" x14ac:dyDescent="0.3">
      <c r="J13839"/>
    </row>
    <row r="13840" spans="10:10" x14ac:dyDescent="0.3">
      <c r="J13840"/>
    </row>
    <row r="13841" spans="10:10" x14ac:dyDescent="0.3">
      <c r="J13841"/>
    </row>
    <row r="13842" spans="10:10" x14ac:dyDescent="0.3">
      <c r="J13842"/>
    </row>
    <row r="13843" spans="10:10" x14ac:dyDescent="0.3">
      <c r="J13843"/>
    </row>
    <row r="13844" spans="10:10" x14ac:dyDescent="0.3">
      <c r="J13844"/>
    </row>
    <row r="13845" spans="10:10" x14ac:dyDescent="0.3">
      <c r="J13845"/>
    </row>
    <row r="13846" spans="10:10" x14ac:dyDescent="0.3">
      <c r="J13846"/>
    </row>
    <row r="13847" spans="10:10" x14ac:dyDescent="0.3">
      <c r="J13847"/>
    </row>
    <row r="13848" spans="10:10" x14ac:dyDescent="0.3">
      <c r="J13848"/>
    </row>
    <row r="13849" spans="10:10" x14ac:dyDescent="0.3">
      <c r="J13849"/>
    </row>
    <row r="13850" spans="10:10" x14ac:dyDescent="0.3">
      <c r="J13850"/>
    </row>
    <row r="13851" spans="10:10" x14ac:dyDescent="0.3">
      <c r="J13851"/>
    </row>
    <row r="13852" spans="10:10" x14ac:dyDescent="0.3">
      <c r="J13852"/>
    </row>
    <row r="13853" spans="10:10" x14ac:dyDescent="0.3">
      <c r="J13853"/>
    </row>
    <row r="13854" spans="10:10" x14ac:dyDescent="0.3">
      <c r="J13854"/>
    </row>
    <row r="13855" spans="10:10" x14ac:dyDescent="0.3">
      <c r="J13855"/>
    </row>
    <row r="13856" spans="10:10" x14ac:dyDescent="0.3">
      <c r="J13856"/>
    </row>
    <row r="13857" spans="10:10" x14ac:dyDescent="0.3">
      <c r="J13857"/>
    </row>
    <row r="13858" spans="10:10" x14ac:dyDescent="0.3">
      <c r="J13858"/>
    </row>
    <row r="13859" spans="10:10" x14ac:dyDescent="0.3">
      <c r="J13859"/>
    </row>
    <row r="13860" spans="10:10" x14ac:dyDescent="0.3">
      <c r="J13860"/>
    </row>
    <row r="13861" spans="10:10" x14ac:dyDescent="0.3">
      <c r="J13861"/>
    </row>
    <row r="13862" spans="10:10" x14ac:dyDescent="0.3">
      <c r="J13862"/>
    </row>
    <row r="13863" spans="10:10" x14ac:dyDescent="0.3">
      <c r="J13863"/>
    </row>
    <row r="13864" spans="10:10" x14ac:dyDescent="0.3">
      <c r="J13864"/>
    </row>
    <row r="13865" spans="10:10" x14ac:dyDescent="0.3">
      <c r="J13865"/>
    </row>
    <row r="13866" spans="10:10" x14ac:dyDescent="0.3">
      <c r="J13866"/>
    </row>
    <row r="13867" spans="10:10" x14ac:dyDescent="0.3">
      <c r="J13867"/>
    </row>
    <row r="13868" spans="10:10" x14ac:dyDescent="0.3">
      <c r="J13868"/>
    </row>
    <row r="13869" spans="10:10" x14ac:dyDescent="0.3">
      <c r="J13869"/>
    </row>
    <row r="13870" spans="10:10" x14ac:dyDescent="0.3">
      <c r="J13870"/>
    </row>
    <row r="13871" spans="10:10" x14ac:dyDescent="0.3">
      <c r="J13871"/>
    </row>
    <row r="13872" spans="10:10" x14ac:dyDescent="0.3">
      <c r="J13872"/>
    </row>
    <row r="13873" spans="10:10" x14ac:dyDescent="0.3">
      <c r="J13873"/>
    </row>
    <row r="13874" spans="10:10" x14ac:dyDescent="0.3">
      <c r="J13874"/>
    </row>
    <row r="13875" spans="10:10" x14ac:dyDescent="0.3">
      <c r="J13875"/>
    </row>
    <row r="13876" spans="10:10" x14ac:dyDescent="0.3">
      <c r="J13876"/>
    </row>
    <row r="13877" spans="10:10" x14ac:dyDescent="0.3">
      <c r="J13877"/>
    </row>
    <row r="13878" spans="10:10" x14ac:dyDescent="0.3">
      <c r="J13878"/>
    </row>
    <row r="13879" spans="10:10" x14ac:dyDescent="0.3">
      <c r="J13879"/>
    </row>
    <row r="13880" spans="10:10" x14ac:dyDescent="0.3">
      <c r="J13880"/>
    </row>
    <row r="13881" spans="10:10" x14ac:dyDescent="0.3">
      <c r="J13881"/>
    </row>
    <row r="13882" spans="10:10" x14ac:dyDescent="0.3">
      <c r="J13882"/>
    </row>
    <row r="13883" spans="10:10" x14ac:dyDescent="0.3">
      <c r="J13883"/>
    </row>
    <row r="13884" spans="10:10" x14ac:dyDescent="0.3">
      <c r="J13884"/>
    </row>
    <row r="13885" spans="10:10" x14ac:dyDescent="0.3">
      <c r="J13885"/>
    </row>
    <row r="13886" spans="10:10" x14ac:dyDescent="0.3">
      <c r="J13886"/>
    </row>
    <row r="13887" spans="10:10" x14ac:dyDescent="0.3">
      <c r="J13887"/>
    </row>
    <row r="13888" spans="10:10" x14ac:dyDescent="0.3">
      <c r="J13888"/>
    </row>
    <row r="13889" spans="10:10" x14ac:dyDescent="0.3">
      <c r="J13889"/>
    </row>
    <row r="13890" spans="10:10" x14ac:dyDescent="0.3">
      <c r="J13890"/>
    </row>
    <row r="13891" spans="10:10" x14ac:dyDescent="0.3">
      <c r="J13891"/>
    </row>
    <row r="13892" spans="10:10" x14ac:dyDescent="0.3">
      <c r="J13892"/>
    </row>
    <row r="13893" spans="10:10" x14ac:dyDescent="0.3">
      <c r="J13893"/>
    </row>
    <row r="13894" spans="10:10" x14ac:dyDescent="0.3">
      <c r="J13894"/>
    </row>
    <row r="13895" spans="10:10" x14ac:dyDescent="0.3">
      <c r="J13895"/>
    </row>
    <row r="13896" spans="10:10" x14ac:dyDescent="0.3">
      <c r="J13896"/>
    </row>
    <row r="13897" spans="10:10" x14ac:dyDescent="0.3">
      <c r="J13897"/>
    </row>
    <row r="13898" spans="10:10" x14ac:dyDescent="0.3">
      <c r="J13898"/>
    </row>
    <row r="13899" spans="10:10" x14ac:dyDescent="0.3">
      <c r="J13899"/>
    </row>
    <row r="13900" spans="10:10" x14ac:dyDescent="0.3">
      <c r="J13900"/>
    </row>
    <row r="13901" spans="10:10" x14ac:dyDescent="0.3">
      <c r="J13901"/>
    </row>
    <row r="13902" spans="10:10" x14ac:dyDescent="0.3">
      <c r="J13902"/>
    </row>
    <row r="13903" spans="10:10" x14ac:dyDescent="0.3">
      <c r="J13903"/>
    </row>
    <row r="13904" spans="10:10" x14ac:dyDescent="0.3">
      <c r="J13904"/>
    </row>
    <row r="13905" spans="10:10" x14ac:dyDescent="0.3">
      <c r="J13905"/>
    </row>
    <row r="13906" spans="10:10" x14ac:dyDescent="0.3">
      <c r="J13906"/>
    </row>
    <row r="13907" spans="10:10" x14ac:dyDescent="0.3">
      <c r="J13907"/>
    </row>
    <row r="13908" spans="10:10" x14ac:dyDescent="0.3">
      <c r="J13908"/>
    </row>
    <row r="13909" spans="10:10" x14ac:dyDescent="0.3">
      <c r="J13909"/>
    </row>
    <row r="13910" spans="10:10" x14ac:dyDescent="0.3">
      <c r="J13910"/>
    </row>
    <row r="13911" spans="10:10" x14ac:dyDescent="0.3">
      <c r="J13911"/>
    </row>
    <row r="13912" spans="10:10" x14ac:dyDescent="0.3">
      <c r="J13912"/>
    </row>
    <row r="13913" spans="10:10" x14ac:dyDescent="0.3">
      <c r="J13913"/>
    </row>
    <row r="13914" spans="10:10" x14ac:dyDescent="0.3">
      <c r="J13914"/>
    </row>
    <row r="13915" spans="10:10" x14ac:dyDescent="0.3">
      <c r="J13915"/>
    </row>
    <row r="13916" spans="10:10" x14ac:dyDescent="0.3">
      <c r="J13916"/>
    </row>
    <row r="13917" spans="10:10" x14ac:dyDescent="0.3">
      <c r="J13917"/>
    </row>
    <row r="13918" spans="10:10" x14ac:dyDescent="0.3">
      <c r="J13918"/>
    </row>
    <row r="13919" spans="10:10" x14ac:dyDescent="0.3">
      <c r="J13919"/>
    </row>
    <row r="13920" spans="10:10" x14ac:dyDescent="0.3">
      <c r="J13920"/>
    </row>
    <row r="13921" spans="10:10" x14ac:dyDescent="0.3">
      <c r="J13921"/>
    </row>
    <row r="13922" spans="10:10" x14ac:dyDescent="0.3">
      <c r="J13922"/>
    </row>
    <row r="13923" spans="10:10" x14ac:dyDescent="0.3">
      <c r="J13923"/>
    </row>
    <row r="13924" spans="10:10" x14ac:dyDescent="0.3">
      <c r="J13924"/>
    </row>
    <row r="13925" spans="10:10" x14ac:dyDescent="0.3">
      <c r="J13925"/>
    </row>
    <row r="13926" spans="10:10" x14ac:dyDescent="0.3">
      <c r="J13926"/>
    </row>
    <row r="13927" spans="10:10" x14ac:dyDescent="0.3">
      <c r="J13927"/>
    </row>
    <row r="13928" spans="10:10" x14ac:dyDescent="0.3">
      <c r="J13928"/>
    </row>
    <row r="13929" spans="10:10" x14ac:dyDescent="0.3">
      <c r="J13929"/>
    </row>
    <row r="13930" spans="10:10" x14ac:dyDescent="0.3">
      <c r="J13930"/>
    </row>
    <row r="13931" spans="10:10" x14ac:dyDescent="0.3">
      <c r="J13931"/>
    </row>
    <row r="13932" spans="10:10" x14ac:dyDescent="0.3">
      <c r="J13932"/>
    </row>
    <row r="13933" spans="10:10" x14ac:dyDescent="0.3">
      <c r="J13933"/>
    </row>
    <row r="13934" spans="10:10" x14ac:dyDescent="0.3">
      <c r="J13934"/>
    </row>
    <row r="13935" spans="10:10" x14ac:dyDescent="0.3">
      <c r="J13935"/>
    </row>
    <row r="13936" spans="10:10" x14ac:dyDescent="0.3">
      <c r="J13936"/>
    </row>
    <row r="13937" spans="10:10" x14ac:dyDescent="0.3">
      <c r="J13937"/>
    </row>
    <row r="13938" spans="10:10" x14ac:dyDescent="0.3">
      <c r="J13938"/>
    </row>
    <row r="13939" spans="10:10" x14ac:dyDescent="0.3">
      <c r="J13939"/>
    </row>
    <row r="13940" spans="10:10" x14ac:dyDescent="0.3">
      <c r="J13940"/>
    </row>
    <row r="13941" spans="10:10" x14ac:dyDescent="0.3">
      <c r="J13941"/>
    </row>
    <row r="13942" spans="10:10" x14ac:dyDescent="0.3">
      <c r="J13942"/>
    </row>
    <row r="13943" spans="10:10" x14ac:dyDescent="0.3">
      <c r="J13943"/>
    </row>
    <row r="13944" spans="10:10" x14ac:dyDescent="0.3">
      <c r="J13944"/>
    </row>
    <row r="13945" spans="10:10" x14ac:dyDescent="0.3">
      <c r="J13945"/>
    </row>
    <row r="13946" spans="10:10" x14ac:dyDescent="0.3">
      <c r="J13946"/>
    </row>
    <row r="13947" spans="10:10" x14ac:dyDescent="0.3">
      <c r="J13947"/>
    </row>
    <row r="13948" spans="10:10" x14ac:dyDescent="0.3">
      <c r="J13948"/>
    </row>
    <row r="13949" spans="10:10" x14ac:dyDescent="0.3">
      <c r="J13949"/>
    </row>
    <row r="13950" spans="10:10" x14ac:dyDescent="0.3">
      <c r="J13950"/>
    </row>
    <row r="13951" spans="10:10" x14ac:dyDescent="0.3">
      <c r="J13951"/>
    </row>
    <row r="13952" spans="10:10" x14ac:dyDescent="0.3">
      <c r="J13952"/>
    </row>
    <row r="13953" spans="10:10" x14ac:dyDescent="0.3">
      <c r="J13953"/>
    </row>
    <row r="13954" spans="10:10" x14ac:dyDescent="0.3">
      <c r="J13954"/>
    </row>
    <row r="13955" spans="10:10" x14ac:dyDescent="0.3">
      <c r="J13955"/>
    </row>
    <row r="13956" spans="10:10" x14ac:dyDescent="0.3">
      <c r="J13956"/>
    </row>
    <row r="13957" spans="10:10" x14ac:dyDescent="0.3">
      <c r="J13957"/>
    </row>
    <row r="13958" spans="10:10" x14ac:dyDescent="0.3">
      <c r="J13958"/>
    </row>
    <row r="13959" spans="10:10" x14ac:dyDescent="0.3">
      <c r="J13959"/>
    </row>
    <row r="13960" spans="10:10" x14ac:dyDescent="0.3">
      <c r="J13960"/>
    </row>
    <row r="13961" spans="10:10" x14ac:dyDescent="0.3">
      <c r="J13961"/>
    </row>
    <row r="13962" spans="10:10" x14ac:dyDescent="0.3">
      <c r="J13962"/>
    </row>
    <row r="13963" spans="10:10" x14ac:dyDescent="0.3">
      <c r="J13963"/>
    </row>
    <row r="13964" spans="10:10" x14ac:dyDescent="0.3">
      <c r="J13964"/>
    </row>
    <row r="13965" spans="10:10" x14ac:dyDescent="0.3">
      <c r="J13965"/>
    </row>
    <row r="13966" spans="10:10" x14ac:dyDescent="0.3">
      <c r="J13966"/>
    </row>
    <row r="13967" spans="10:10" x14ac:dyDescent="0.3">
      <c r="J13967"/>
    </row>
    <row r="13968" spans="10:10" x14ac:dyDescent="0.3">
      <c r="J13968"/>
    </row>
    <row r="13969" spans="10:10" x14ac:dyDescent="0.3">
      <c r="J13969"/>
    </row>
    <row r="13970" spans="10:10" x14ac:dyDescent="0.3">
      <c r="J13970"/>
    </row>
    <row r="13971" spans="10:10" x14ac:dyDescent="0.3">
      <c r="J13971"/>
    </row>
    <row r="13972" spans="10:10" x14ac:dyDescent="0.3">
      <c r="J13972"/>
    </row>
    <row r="13973" spans="10:10" x14ac:dyDescent="0.3">
      <c r="J13973"/>
    </row>
    <row r="13974" spans="10:10" x14ac:dyDescent="0.3">
      <c r="J13974"/>
    </row>
    <row r="13975" spans="10:10" x14ac:dyDescent="0.3">
      <c r="J13975"/>
    </row>
    <row r="13976" spans="10:10" x14ac:dyDescent="0.3">
      <c r="J13976"/>
    </row>
    <row r="13977" spans="10:10" x14ac:dyDescent="0.3">
      <c r="J13977"/>
    </row>
    <row r="13978" spans="10:10" x14ac:dyDescent="0.3">
      <c r="J13978"/>
    </row>
    <row r="13979" spans="10:10" x14ac:dyDescent="0.3">
      <c r="J13979"/>
    </row>
    <row r="13980" spans="10:10" x14ac:dyDescent="0.3">
      <c r="J13980"/>
    </row>
    <row r="13981" spans="10:10" x14ac:dyDescent="0.3">
      <c r="J13981"/>
    </row>
    <row r="13982" spans="10:10" x14ac:dyDescent="0.3">
      <c r="J13982"/>
    </row>
    <row r="13983" spans="10:10" x14ac:dyDescent="0.3">
      <c r="J13983"/>
    </row>
    <row r="13984" spans="10:10" x14ac:dyDescent="0.3">
      <c r="J13984"/>
    </row>
    <row r="13985" spans="10:10" x14ac:dyDescent="0.3">
      <c r="J13985"/>
    </row>
    <row r="13986" spans="10:10" x14ac:dyDescent="0.3">
      <c r="J13986"/>
    </row>
    <row r="13987" spans="10:10" x14ac:dyDescent="0.3">
      <c r="J13987"/>
    </row>
    <row r="13988" spans="10:10" x14ac:dyDescent="0.3">
      <c r="J13988"/>
    </row>
    <row r="13989" spans="10:10" x14ac:dyDescent="0.3">
      <c r="J13989"/>
    </row>
    <row r="13990" spans="10:10" x14ac:dyDescent="0.3">
      <c r="J13990"/>
    </row>
    <row r="13991" spans="10:10" x14ac:dyDescent="0.3">
      <c r="J13991"/>
    </row>
    <row r="13992" spans="10:10" x14ac:dyDescent="0.3">
      <c r="J13992"/>
    </row>
    <row r="13993" spans="10:10" x14ac:dyDescent="0.3">
      <c r="J13993"/>
    </row>
    <row r="13994" spans="10:10" x14ac:dyDescent="0.3">
      <c r="J13994"/>
    </row>
    <row r="13995" spans="10:10" x14ac:dyDescent="0.3">
      <c r="J13995"/>
    </row>
    <row r="13996" spans="10:10" x14ac:dyDescent="0.3">
      <c r="J13996"/>
    </row>
    <row r="13997" spans="10:10" x14ac:dyDescent="0.3">
      <c r="J13997"/>
    </row>
    <row r="13998" spans="10:10" x14ac:dyDescent="0.3">
      <c r="J13998"/>
    </row>
    <row r="13999" spans="10:10" x14ac:dyDescent="0.3">
      <c r="J13999"/>
    </row>
    <row r="14000" spans="10:10" x14ac:dyDescent="0.3">
      <c r="J14000"/>
    </row>
    <row r="14001" spans="10:10" x14ac:dyDescent="0.3">
      <c r="J14001"/>
    </row>
    <row r="14002" spans="10:10" x14ac:dyDescent="0.3">
      <c r="J14002"/>
    </row>
    <row r="14003" spans="10:10" x14ac:dyDescent="0.3">
      <c r="J14003"/>
    </row>
    <row r="14004" spans="10:10" x14ac:dyDescent="0.3">
      <c r="J14004"/>
    </row>
    <row r="14005" spans="10:10" x14ac:dyDescent="0.3">
      <c r="J14005"/>
    </row>
    <row r="14006" spans="10:10" x14ac:dyDescent="0.3">
      <c r="J14006"/>
    </row>
    <row r="14007" spans="10:10" x14ac:dyDescent="0.3">
      <c r="J14007"/>
    </row>
    <row r="14008" spans="10:10" x14ac:dyDescent="0.3">
      <c r="J14008"/>
    </row>
    <row r="14009" spans="10:10" x14ac:dyDescent="0.3">
      <c r="J14009"/>
    </row>
    <row r="14010" spans="10:10" x14ac:dyDescent="0.3">
      <c r="J14010"/>
    </row>
    <row r="14011" spans="10:10" x14ac:dyDescent="0.3">
      <c r="J14011"/>
    </row>
    <row r="14012" spans="10:10" x14ac:dyDescent="0.3">
      <c r="J14012"/>
    </row>
    <row r="14013" spans="10:10" x14ac:dyDescent="0.3">
      <c r="J14013"/>
    </row>
    <row r="14014" spans="10:10" x14ac:dyDescent="0.3">
      <c r="J14014"/>
    </row>
    <row r="14015" spans="10:10" x14ac:dyDescent="0.3">
      <c r="J14015"/>
    </row>
    <row r="14016" spans="10:10" x14ac:dyDescent="0.3">
      <c r="J14016"/>
    </row>
    <row r="14017" spans="10:10" x14ac:dyDescent="0.3">
      <c r="J14017"/>
    </row>
    <row r="14018" spans="10:10" x14ac:dyDescent="0.3">
      <c r="J14018"/>
    </row>
    <row r="14019" spans="10:10" x14ac:dyDescent="0.3">
      <c r="J14019"/>
    </row>
    <row r="14020" spans="10:10" x14ac:dyDescent="0.3">
      <c r="J14020"/>
    </row>
    <row r="14021" spans="10:10" x14ac:dyDescent="0.3">
      <c r="J14021"/>
    </row>
    <row r="14022" spans="10:10" x14ac:dyDescent="0.3">
      <c r="J14022"/>
    </row>
    <row r="14023" spans="10:10" x14ac:dyDescent="0.3">
      <c r="J14023"/>
    </row>
    <row r="14024" spans="10:10" x14ac:dyDescent="0.3">
      <c r="J14024"/>
    </row>
    <row r="14025" spans="10:10" x14ac:dyDescent="0.3">
      <c r="J14025"/>
    </row>
    <row r="14026" spans="10:10" x14ac:dyDescent="0.3">
      <c r="J14026"/>
    </row>
    <row r="14027" spans="10:10" x14ac:dyDescent="0.3">
      <c r="J14027"/>
    </row>
    <row r="14028" spans="10:10" x14ac:dyDescent="0.3">
      <c r="J14028"/>
    </row>
    <row r="14029" spans="10:10" x14ac:dyDescent="0.3">
      <c r="J14029"/>
    </row>
    <row r="14030" spans="10:10" x14ac:dyDescent="0.3">
      <c r="J14030"/>
    </row>
    <row r="14031" spans="10:10" x14ac:dyDescent="0.3">
      <c r="J14031"/>
    </row>
    <row r="14032" spans="10:10" x14ac:dyDescent="0.3">
      <c r="J14032"/>
    </row>
    <row r="14033" spans="10:10" x14ac:dyDescent="0.3">
      <c r="J14033"/>
    </row>
    <row r="14034" spans="10:10" x14ac:dyDescent="0.3">
      <c r="J14034"/>
    </row>
    <row r="14035" spans="10:10" x14ac:dyDescent="0.3">
      <c r="J14035"/>
    </row>
    <row r="14036" spans="10:10" x14ac:dyDescent="0.3">
      <c r="J14036"/>
    </row>
    <row r="14037" spans="10:10" x14ac:dyDescent="0.3">
      <c r="J14037"/>
    </row>
    <row r="14038" spans="10:10" x14ac:dyDescent="0.3">
      <c r="J14038"/>
    </row>
    <row r="14039" spans="10:10" x14ac:dyDescent="0.3">
      <c r="J14039"/>
    </row>
    <row r="14040" spans="10:10" x14ac:dyDescent="0.3">
      <c r="J14040"/>
    </row>
    <row r="14041" spans="10:10" x14ac:dyDescent="0.3">
      <c r="J14041"/>
    </row>
    <row r="14042" spans="10:10" x14ac:dyDescent="0.3">
      <c r="J14042"/>
    </row>
    <row r="14043" spans="10:10" x14ac:dyDescent="0.3">
      <c r="J14043"/>
    </row>
    <row r="14044" spans="10:10" x14ac:dyDescent="0.3">
      <c r="J14044"/>
    </row>
    <row r="14045" spans="10:10" x14ac:dyDescent="0.3">
      <c r="J14045"/>
    </row>
    <row r="14046" spans="10:10" x14ac:dyDescent="0.3">
      <c r="J14046"/>
    </row>
    <row r="14047" spans="10:10" x14ac:dyDescent="0.3">
      <c r="J14047"/>
    </row>
    <row r="14048" spans="10:10" x14ac:dyDescent="0.3">
      <c r="J14048"/>
    </row>
    <row r="14049" spans="10:10" x14ac:dyDescent="0.3">
      <c r="J14049"/>
    </row>
    <row r="14050" spans="10:10" x14ac:dyDescent="0.3">
      <c r="J14050"/>
    </row>
    <row r="14051" spans="10:10" x14ac:dyDescent="0.3">
      <c r="J14051"/>
    </row>
    <row r="14052" spans="10:10" x14ac:dyDescent="0.3">
      <c r="J14052"/>
    </row>
    <row r="14053" spans="10:10" x14ac:dyDescent="0.3">
      <c r="J14053"/>
    </row>
    <row r="14054" spans="10:10" x14ac:dyDescent="0.3">
      <c r="J14054"/>
    </row>
    <row r="14055" spans="10:10" x14ac:dyDescent="0.3">
      <c r="J14055"/>
    </row>
    <row r="14056" spans="10:10" x14ac:dyDescent="0.3">
      <c r="J14056"/>
    </row>
    <row r="14057" spans="10:10" x14ac:dyDescent="0.3">
      <c r="J14057"/>
    </row>
    <row r="14058" spans="10:10" x14ac:dyDescent="0.3">
      <c r="J14058"/>
    </row>
    <row r="14059" spans="10:10" x14ac:dyDescent="0.3">
      <c r="J14059"/>
    </row>
    <row r="14060" spans="10:10" x14ac:dyDescent="0.3">
      <c r="J14060"/>
    </row>
    <row r="14061" spans="10:10" x14ac:dyDescent="0.3">
      <c r="J14061"/>
    </row>
    <row r="14062" spans="10:10" x14ac:dyDescent="0.3">
      <c r="J14062"/>
    </row>
    <row r="14063" spans="10:10" x14ac:dyDescent="0.3">
      <c r="J14063"/>
    </row>
    <row r="14064" spans="10:10" x14ac:dyDescent="0.3">
      <c r="J14064"/>
    </row>
    <row r="14065" spans="10:10" x14ac:dyDescent="0.3">
      <c r="J14065"/>
    </row>
    <row r="14066" spans="10:10" x14ac:dyDescent="0.3">
      <c r="J14066"/>
    </row>
    <row r="14067" spans="10:10" x14ac:dyDescent="0.3">
      <c r="J14067"/>
    </row>
    <row r="14068" spans="10:10" x14ac:dyDescent="0.3">
      <c r="J14068"/>
    </row>
    <row r="14069" spans="10:10" x14ac:dyDescent="0.3">
      <c r="J14069"/>
    </row>
    <row r="14070" spans="10:10" x14ac:dyDescent="0.3">
      <c r="J14070"/>
    </row>
    <row r="14071" spans="10:10" x14ac:dyDescent="0.3">
      <c r="J14071"/>
    </row>
    <row r="14072" spans="10:10" x14ac:dyDescent="0.3">
      <c r="J14072"/>
    </row>
    <row r="14073" spans="10:10" x14ac:dyDescent="0.3">
      <c r="J14073"/>
    </row>
    <row r="14074" spans="10:10" x14ac:dyDescent="0.3">
      <c r="J14074"/>
    </row>
    <row r="14075" spans="10:10" x14ac:dyDescent="0.3">
      <c r="J14075"/>
    </row>
    <row r="14076" spans="10:10" x14ac:dyDescent="0.3">
      <c r="J14076"/>
    </row>
    <row r="14077" spans="10:10" x14ac:dyDescent="0.3">
      <c r="J14077"/>
    </row>
    <row r="14078" spans="10:10" x14ac:dyDescent="0.3">
      <c r="J14078"/>
    </row>
    <row r="14079" spans="10:10" x14ac:dyDescent="0.3">
      <c r="J14079"/>
    </row>
    <row r="14080" spans="10:10" x14ac:dyDescent="0.3">
      <c r="J14080"/>
    </row>
    <row r="14081" spans="10:10" x14ac:dyDescent="0.3">
      <c r="J14081"/>
    </row>
    <row r="14082" spans="10:10" x14ac:dyDescent="0.3">
      <c r="J14082"/>
    </row>
    <row r="14083" spans="10:10" x14ac:dyDescent="0.3">
      <c r="J14083"/>
    </row>
    <row r="14084" spans="10:10" x14ac:dyDescent="0.3">
      <c r="J14084"/>
    </row>
    <row r="14085" spans="10:10" x14ac:dyDescent="0.3">
      <c r="J14085"/>
    </row>
    <row r="14086" spans="10:10" x14ac:dyDescent="0.3">
      <c r="J14086"/>
    </row>
    <row r="14087" spans="10:10" x14ac:dyDescent="0.3">
      <c r="J14087"/>
    </row>
    <row r="14088" spans="10:10" x14ac:dyDescent="0.3">
      <c r="J14088"/>
    </row>
    <row r="14089" spans="10:10" x14ac:dyDescent="0.3">
      <c r="J14089"/>
    </row>
    <row r="14090" spans="10:10" x14ac:dyDescent="0.3">
      <c r="J14090"/>
    </row>
    <row r="14091" spans="10:10" x14ac:dyDescent="0.3">
      <c r="J14091"/>
    </row>
    <row r="14092" spans="10:10" x14ac:dyDescent="0.3">
      <c r="J14092"/>
    </row>
    <row r="14093" spans="10:10" x14ac:dyDescent="0.3">
      <c r="J14093"/>
    </row>
    <row r="14094" spans="10:10" x14ac:dyDescent="0.3">
      <c r="J14094"/>
    </row>
    <row r="14095" spans="10:10" x14ac:dyDescent="0.3">
      <c r="J14095"/>
    </row>
    <row r="14096" spans="10:10" x14ac:dyDescent="0.3">
      <c r="J14096"/>
    </row>
    <row r="14097" spans="10:10" x14ac:dyDescent="0.3">
      <c r="J14097"/>
    </row>
    <row r="14098" spans="10:10" x14ac:dyDescent="0.3">
      <c r="J14098"/>
    </row>
    <row r="14099" spans="10:10" x14ac:dyDescent="0.3">
      <c r="J14099"/>
    </row>
    <row r="14100" spans="10:10" x14ac:dyDescent="0.3">
      <c r="J14100"/>
    </row>
    <row r="14101" spans="10:10" x14ac:dyDescent="0.3">
      <c r="J14101"/>
    </row>
    <row r="14102" spans="10:10" x14ac:dyDescent="0.3">
      <c r="J14102"/>
    </row>
    <row r="14103" spans="10:10" x14ac:dyDescent="0.3">
      <c r="J14103"/>
    </row>
    <row r="14104" spans="10:10" x14ac:dyDescent="0.3">
      <c r="J14104"/>
    </row>
    <row r="14105" spans="10:10" x14ac:dyDescent="0.3">
      <c r="J14105"/>
    </row>
    <row r="14106" spans="10:10" x14ac:dyDescent="0.3">
      <c r="J14106"/>
    </row>
    <row r="14107" spans="10:10" x14ac:dyDescent="0.3">
      <c r="J14107"/>
    </row>
    <row r="14108" spans="10:10" x14ac:dyDescent="0.3">
      <c r="J14108"/>
    </row>
    <row r="14109" spans="10:10" x14ac:dyDescent="0.3">
      <c r="J14109"/>
    </row>
    <row r="14110" spans="10:10" x14ac:dyDescent="0.3">
      <c r="J14110"/>
    </row>
    <row r="14111" spans="10:10" x14ac:dyDescent="0.3">
      <c r="J14111"/>
    </row>
    <row r="14112" spans="10:10" x14ac:dyDescent="0.3">
      <c r="J14112"/>
    </row>
    <row r="14113" spans="10:10" x14ac:dyDescent="0.3">
      <c r="J14113"/>
    </row>
    <row r="14114" spans="10:10" x14ac:dyDescent="0.3">
      <c r="J14114"/>
    </row>
    <row r="14115" spans="10:10" x14ac:dyDescent="0.3">
      <c r="J14115"/>
    </row>
    <row r="14116" spans="10:10" x14ac:dyDescent="0.3">
      <c r="J14116"/>
    </row>
    <row r="14117" spans="10:10" x14ac:dyDescent="0.3">
      <c r="J14117"/>
    </row>
    <row r="14118" spans="10:10" x14ac:dyDescent="0.3">
      <c r="J14118"/>
    </row>
    <row r="14119" spans="10:10" x14ac:dyDescent="0.3">
      <c r="J14119"/>
    </row>
    <row r="14120" spans="10:10" x14ac:dyDescent="0.3">
      <c r="J14120"/>
    </row>
    <row r="14121" spans="10:10" x14ac:dyDescent="0.3">
      <c r="J14121"/>
    </row>
    <row r="14122" spans="10:10" x14ac:dyDescent="0.3">
      <c r="J14122"/>
    </row>
    <row r="14123" spans="10:10" x14ac:dyDescent="0.3">
      <c r="J14123"/>
    </row>
    <row r="14124" spans="10:10" x14ac:dyDescent="0.3">
      <c r="J14124"/>
    </row>
    <row r="14125" spans="10:10" x14ac:dyDescent="0.3">
      <c r="J14125"/>
    </row>
    <row r="14126" spans="10:10" x14ac:dyDescent="0.3">
      <c r="J14126"/>
    </row>
    <row r="14127" spans="10:10" x14ac:dyDescent="0.3">
      <c r="J14127"/>
    </row>
    <row r="14128" spans="10:10" x14ac:dyDescent="0.3">
      <c r="J14128"/>
    </row>
    <row r="14129" spans="10:10" x14ac:dyDescent="0.3">
      <c r="J14129"/>
    </row>
    <row r="14130" spans="10:10" x14ac:dyDescent="0.3">
      <c r="J14130"/>
    </row>
    <row r="14131" spans="10:10" x14ac:dyDescent="0.3">
      <c r="J14131"/>
    </row>
    <row r="14132" spans="10:10" x14ac:dyDescent="0.3">
      <c r="J14132"/>
    </row>
    <row r="14133" spans="10:10" x14ac:dyDescent="0.3">
      <c r="J14133"/>
    </row>
    <row r="14134" spans="10:10" x14ac:dyDescent="0.3">
      <c r="J14134"/>
    </row>
    <row r="14135" spans="10:10" x14ac:dyDescent="0.3">
      <c r="J14135"/>
    </row>
    <row r="14136" spans="10:10" x14ac:dyDescent="0.3">
      <c r="J14136"/>
    </row>
    <row r="14137" spans="10:10" x14ac:dyDescent="0.3">
      <c r="J14137"/>
    </row>
    <row r="14138" spans="10:10" x14ac:dyDescent="0.3">
      <c r="J14138"/>
    </row>
    <row r="14139" spans="10:10" x14ac:dyDescent="0.3">
      <c r="J14139"/>
    </row>
    <row r="14140" spans="10:10" x14ac:dyDescent="0.3">
      <c r="J14140"/>
    </row>
    <row r="14141" spans="10:10" x14ac:dyDescent="0.3">
      <c r="J14141"/>
    </row>
    <row r="14142" spans="10:10" x14ac:dyDescent="0.3">
      <c r="J14142"/>
    </row>
    <row r="14143" spans="10:10" x14ac:dyDescent="0.3">
      <c r="J14143"/>
    </row>
    <row r="14144" spans="10:10" x14ac:dyDescent="0.3">
      <c r="J14144"/>
    </row>
    <row r="14145" spans="10:10" x14ac:dyDescent="0.3">
      <c r="J14145"/>
    </row>
    <row r="14146" spans="10:10" x14ac:dyDescent="0.3">
      <c r="J14146"/>
    </row>
    <row r="14147" spans="10:10" x14ac:dyDescent="0.3">
      <c r="J14147"/>
    </row>
    <row r="14148" spans="10:10" x14ac:dyDescent="0.3">
      <c r="J14148"/>
    </row>
    <row r="14149" spans="10:10" x14ac:dyDescent="0.3">
      <c r="J14149"/>
    </row>
    <row r="14150" spans="10:10" x14ac:dyDescent="0.3">
      <c r="J14150"/>
    </row>
    <row r="14151" spans="10:10" x14ac:dyDescent="0.3">
      <c r="J14151"/>
    </row>
    <row r="14152" spans="10:10" x14ac:dyDescent="0.3">
      <c r="J14152"/>
    </row>
    <row r="14153" spans="10:10" x14ac:dyDescent="0.3">
      <c r="J14153"/>
    </row>
    <row r="14154" spans="10:10" x14ac:dyDescent="0.3">
      <c r="J14154"/>
    </row>
    <row r="14155" spans="10:10" x14ac:dyDescent="0.3">
      <c r="J14155"/>
    </row>
    <row r="14156" spans="10:10" x14ac:dyDescent="0.3">
      <c r="J14156"/>
    </row>
    <row r="14157" spans="10:10" x14ac:dyDescent="0.3">
      <c r="J14157"/>
    </row>
    <row r="14158" spans="10:10" x14ac:dyDescent="0.3">
      <c r="J14158"/>
    </row>
    <row r="14159" spans="10:10" x14ac:dyDescent="0.3">
      <c r="J14159"/>
    </row>
    <row r="14160" spans="10:10" x14ac:dyDescent="0.3">
      <c r="J14160"/>
    </row>
    <row r="14161" spans="10:10" x14ac:dyDescent="0.3">
      <c r="J14161"/>
    </row>
    <row r="14162" spans="10:10" x14ac:dyDescent="0.3">
      <c r="J14162"/>
    </row>
    <row r="14163" spans="10:10" x14ac:dyDescent="0.3">
      <c r="J14163"/>
    </row>
    <row r="14164" spans="10:10" x14ac:dyDescent="0.3">
      <c r="J14164"/>
    </row>
    <row r="14165" spans="10:10" x14ac:dyDescent="0.3">
      <c r="J14165"/>
    </row>
    <row r="14166" spans="10:10" x14ac:dyDescent="0.3">
      <c r="J14166"/>
    </row>
    <row r="14167" spans="10:10" x14ac:dyDescent="0.3">
      <c r="J14167"/>
    </row>
    <row r="14168" spans="10:10" x14ac:dyDescent="0.3">
      <c r="J14168"/>
    </row>
    <row r="14169" spans="10:10" x14ac:dyDescent="0.3">
      <c r="J14169"/>
    </row>
    <row r="14170" spans="10:10" x14ac:dyDescent="0.3">
      <c r="J14170"/>
    </row>
    <row r="14171" spans="10:10" x14ac:dyDescent="0.3">
      <c r="J14171"/>
    </row>
    <row r="14172" spans="10:10" x14ac:dyDescent="0.3">
      <c r="J14172"/>
    </row>
    <row r="14173" spans="10:10" x14ac:dyDescent="0.3">
      <c r="J14173"/>
    </row>
    <row r="14174" spans="10:10" x14ac:dyDescent="0.3">
      <c r="J14174"/>
    </row>
    <row r="14175" spans="10:10" x14ac:dyDescent="0.3">
      <c r="J14175"/>
    </row>
    <row r="14176" spans="10:10" x14ac:dyDescent="0.3">
      <c r="J14176"/>
    </row>
    <row r="14177" spans="10:10" x14ac:dyDescent="0.3">
      <c r="J14177"/>
    </row>
    <row r="14178" spans="10:10" x14ac:dyDescent="0.3">
      <c r="J14178"/>
    </row>
    <row r="14179" spans="10:10" x14ac:dyDescent="0.3">
      <c r="J14179"/>
    </row>
    <row r="14180" spans="10:10" x14ac:dyDescent="0.3">
      <c r="J14180"/>
    </row>
    <row r="14181" spans="10:10" x14ac:dyDescent="0.3">
      <c r="J14181"/>
    </row>
    <row r="14182" spans="10:10" x14ac:dyDescent="0.3">
      <c r="J14182"/>
    </row>
    <row r="14183" spans="10:10" x14ac:dyDescent="0.3">
      <c r="J14183"/>
    </row>
    <row r="14184" spans="10:10" x14ac:dyDescent="0.3">
      <c r="J14184"/>
    </row>
    <row r="14185" spans="10:10" x14ac:dyDescent="0.3">
      <c r="J14185"/>
    </row>
    <row r="14186" spans="10:10" x14ac:dyDescent="0.3">
      <c r="J14186"/>
    </row>
    <row r="14187" spans="10:10" x14ac:dyDescent="0.3">
      <c r="J14187"/>
    </row>
    <row r="14188" spans="10:10" x14ac:dyDescent="0.3">
      <c r="J14188"/>
    </row>
    <row r="14189" spans="10:10" x14ac:dyDescent="0.3">
      <c r="J14189"/>
    </row>
    <row r="14190" spans="10:10" x14ac:dyDescent="0.3">
      <c r="J14190"/>
    </row>
    <row r="14191" spans="10:10" x14ac:dyDescent="0.3">
      <c r="J14191"/>
    </row>
    <row r="14192" spans="10:10" x14ac:dyDescent="0.3">
      <c r="J14192"/>
    </row>
    <row r="14193" spans="10:10" x14ac:dyDescent="0.3">
      <c r="J14193"/>
    </row>
    <row r="14194" spans="10:10" x14ac:dyDescent="0.3">
      <c r="J14194"/>
    </row>
    <row r="14195" spans="10:10" x14ac:dyDescent="0.3">
      <c r="J14195"/>
    </row>
    <row r="14196" spans="10:10" x14ac:dyDescent="0.3">
      <c r="J14196"/>
    </row>
    <row r="14197" spans="10:10" x14ac:dyDescent="0.3">
      <c r="J14197"/>
    </row>
    <row r="14198" spans="10:10" x14ac:dyDescent="0.3">
      <c r="J14198"/>
    </row>
    <row r="14199" spans="10:10" x14ac:dyDescent="0.3">
      <c r="J14199"/>
    </row>
    <row r="14200" spans="10:10" x14ac:dyDescent="0.3">
      <c r="J14200"/>
    </row>
    <row r="14201" spans="10:10" x14ac:dyDescent="0.3">
      <c r="J14201"/>
    </row>
    <row r="14202" spans="10:10" x14ac:dyDescent="0.3">
      <c r="J14202"/>
    </row>
    <row r="14203" spans="10:10" x14ac:dyDescent="0.3">
      <c r="J14203"/>
    </row>
    <row r="14204" spans="10:10" x14ac:dyDescent="0.3">
      <c r="J14204"/>
    </row>
    <row r="14205" spans="10:10" x14ac:dyDescent="0.3">
      <c r="J14205"/>
    </row>
    <row r="14206" spans="10:10" x14ac:dyDescent="0.3">
      <c r="J14206"/>
    </row>
    <row r="14207" spans="10:10" x14ac:dyDescent="0.3">
      <c r="J14207"/>
    </row>
    <row r="14208" spans="10:10" x14ac:dyDescent="0.3">
      <c r="J14208"/>
    </row>
    <row r="14209" spans="10:10" x14ac:dyDescent="0.3">
      <c r="J14209"/>
    </row>
    <row r="14210" spans="10:10" x14ac:dyDescent="0.3">
      <c r="J14210"/>
    </row>
    <row r="14211" spans="10:10" x14ac:dyDescent="0.3">
      <c r="J14211"/>
    </row>
    <row r="14212" spans="10:10" x14ac:dyDescent="0.3">
      <c r="J14212"/>
    </row>
    <row r="14213" spans="10:10" x14ac:dyDescent="0.3">
      <c r="J14213"/>
    </row>
    <row r="14214" spans="10:10" x14ac:dyDescent="0.3">
      <c r="J14214"/>
    </row>
    <row r="14215" spans="10:10" x14ac:dyDescent="0.3">
      <c r="J14215"/>
    </row>
    <row r="14216" spans="10:10" x14ac:dyDescent="0.3">
      <c r="J14216"/>
    </row>
    <row r="14217" spans="10:10" x14ac:dyDescent="0.3">
      <c r="J14217"/>
    </row>
    <row r="14218" spans="10:10" x14ac:dyDescent="0.3">
      <c r="J14218"/>
    </row>
    <row r="14219" spans="10:10" x14ac:dyDescent="0.3">
      <c r="J14219"/>
    </row>
    <row r="14220" spans="10:10" x14ac:dyDescent="0.3">
      <c r="J14220"/>
    </row>
    <row r="14221" spans="10:10" x14ac:dyDescent="0.3">
      <c r="J14221"/>
    </row>
    <row r="14222" spans="10:10" x14ac:dyDescent="0.3">
      <c r="J14222"/>
    </row>
    <row r="14223" spans="10:10" x14ac:dyDescent="0.3">
      <c r="J14223"/>
    </row>
    <row r="14224" spans="10:10" x14ac:dyDescent="0.3">
      <c r="J14224"/>
    </row>
    <row r="14225" spans="10:10" x14ac:dyDescent="0.3">
      <c r="J14225"/>
    </row>
    <row r="14226" spans="10:10" x14ac:dyDescent="0.3">
      <c r="J14226"/>
    </row>
    <row r="14227" spans="10:10" x14ac:dyDescent="0.3">
      <c r="J14227"/>
    </row>
    <row r="14228" spans="10:10" x14ac:dyDescent="0.3">
      <c r="J14228"/>
    </row>
    <row r="14229" spans="10:10" x14ac:dyDescent="0.3">
      <c r="J14229"/>
    </row>
    <row r="14230" spans="10:10" x14ac:dyDescent="0.3">
      <c r="J14230"/>
    </row>
    <row r="14231" spans="10:10" x14ac:dyDescent="0.3">
      <c r="J14231"/>
    </row>
    <row r="14232" spans="10:10" x14ac:dyDescent="0.3">
      <c r="J14232"/>
    </row>
    <row r="14233" spans="10:10" x14ac:dyDescent="0.3">
      <c r="J14233"/>
    </row>
    <row r="14234" spans="10:10" x14ac:dyDescent="0.3">
      <c r="J14234"/>
    </row>
    <row r="14235" spans="10:10" x14ac:dyDescent="0.3">
      <c r="J14235"/>
    </row>
    <row r="14236" spans="10:10" x14ac:dyDescent="0.3">
      <c r="J14236"/>
    </row>
    <row r="14237" spans="10:10" x14ac:dyDescent="0.3">
      <c r="J14237"/>
    </row>
    <row r="14238" spans="10:10" x14ac:dyDescent="0.3">
      <c r="J14238"/>
    </row>
    <row r="14239" spans="10:10" x14ac:dyDescent="0.3">
      <c r="J14239"/>
    </row>
    <row r="14240" spans="10:10" x14ac:dyDescent="0.3">
      <c r="J14240"/>
    </row>
    <row r="14241" spans="10:10" x14ac:dyDescent="0.3">
      <c r="J14241"/>
    </row>
    <row r="14242" spans="10:10" x14ac:dyDescent="0.3">
      <c r="J14242"/>
    </row>
    <row r="14243" spans="10:10" x14ac:dyDescent="0.3">
      <c r="J14243"/>
    </row>
    <row r="14244" spans="10:10" x14ac:dyDescent="0.3">
      <c r="J14244"/>
    </row>
    <row r="14245" spans="10:10" x14ac:dyDescent="0.3">
      <c r="J14245"/>
    </row>
    <row r="14246" spans="10:10" x14ac:dyDescent="0.3">
      <c r="J14246"/>
    </row>
    <row r="14247" spans="10:10" x14ac:dyDescent="0.3">
      <c r="J14247"/>
    </row>
    <row r="14248" spans="10:10" x14ac:dyDescent="0.3">
      <c r="J14248"/>
    </row>
    <row r="14249" spans="10:10" x14ac:dyDescent="0.3">
      <c r="J14249"/>
    </row>
    <row r="14250" spans="10:10" x14ac:dyDescent="0.3">
      <c r="J14250"/>
    </row>
    <row r="14251" spans="10:10" x14ac:dyDescent="0.3">
      <c r="J14251"/>
    </row>
    <row r="14252" spans="10:10" x14ac:dyDescent="0.3">
      <c r="J14252"/>
    </row>
    <row r="14253" spans="10:10" x14ac:dyDescent="0.3">
      <c r="J14253"/>
    </row>
    <row r="14254" spans="10:10" x14ac:dyDescent="0.3">
      <c r="J14254"/>
    </row>
    <row r="14255" spans="10:10" x14ac:dyDescent="0.3">
      <c r="J14255"/>
    </row>
    <row r="14256" spans="10:10" x14ac:dyDescent="0.3">
      <c r="J14256"/>
    </row>
    <row r="14257" spans="10:10" x14ac:dyDescent="0.3">
      <c r="J14257"/>
    </row>
    <row r="14258" spans="10:10" x14ac:dyDescent="0.3">
      <c r="J14258"/>
    </row>
    <row r="14259" spans="10:10" x14ac:dyDescent="0.3">
      <c r="J14259"/>
    </row>
    <row r="14260" spans="10:10" x14ac:dyDescent="0.3">
      <c r="J14260"/>
    </row>
    <row r="14261" spans="10:10" x14ac:dyDescent="0.3">
      <c r="J14261"/>
    </row>
    <row r="14262" spans="10:10" x14ac:dyDescent="0.3">
      <c r="J14262"/>
    </row>
    <row r="14263" spans="10:10" x14ac:dyDescent="0.3">
      <c r="J14263"/>
    </row>
    <row r="14264" spans="10:10" x14ac:dyDescent="0.3">
      <c r="J14264"/>
    </row>
    <row r="14265" spans="10:10" x14ac:dyDescent="0.3">
      <c r="J14265"/>
    </row>
    <row r="14266" spans="10:10" x14ac:dyDescent="0.3">
      <c r="J14266"/>
    </row>
    <row r="14267" spans="10:10" x14ac:dyDescent="0.3">
      <c r="J14267"/>
    </row>
    <row r="14268" spans="10:10" x14ac:dyDescent="0.3">
      <c r="J14268"/>
    </row>
    <row r="14269" spans="10:10" x14ac:dyDescent="0.3">
      <c r="J14269"/>
    </row>
    <row r="14270" spans="10:10" x14ac:dyDescent="0.3">
      <c r="J14270"/>
    </row>
    <row r="14271" spans="10:10" x14ac:dyDescent="0.3">
      <c r="J14271"/>
    </row>
    <row r="14272" spans="10:10" x14ac:dyDescent="0.3">
      <c r="J14272"/>
    </row>
    <row r="14273" spans="10:10" x14ac:dyDescent="0.3">
      <c r="J14273"/>
    </row>
    <row r="14274" spans="10:10" x14ac:dyDescent="0.3">
      <c r="J14274"/>
    </row>
    <row r="14275" spans="10:10" x14ac:dyDescent="0.3">
      <c r="J14275"/>
    </row>
    <row r="14276" spans="10:10" x14ac:dyDescent="0.3">
      <c r="J14276"/>
    </row>
    <row r="14277" spans="10:10" x14ac:dyDescent="0.3">
      <c r="J14277"/>
    </row>
    <row r="14278" spans="10:10" x14ac:dyDescent="0.3">
      <c r="J14278"/>
    </row>
    <row r="14279" spans="10:10" x14ac:dyDescent="0.3">
      <c r="J14279"/>
    </row>
    <row r="14280" spans="10:10" x14ac:dyDescent="0.3">
      <c r="J14280"/>
    </row>
    <row r="14281" spans="10:10" x14ac:dyDescent="0.3">
      <c r="J14281"/>
    </row>
    <row r="14282" spans="10:10" x14ac:dyDescent="0.3">
      <c r="J14282"/>
    </row>
    <row r="14283" spans="10:10" x14ac:dyDescent="0.3">
      <c r="J14283"/>
    </row>
    <row r="14284" spans="10:10" x14ac:dyDescent="0.3">
      <c r="J14284"/>
    </row>
    <row r="14285" spans="10:10" x14ac:dyDescent="0.3">
      <c r="J14285"/>
    </row>
    <row r="14286" spans="10:10" x14ac:dyDescent="0.3">
      <c r="J14286"/>
    </row>
    <row r="14287" spans="10:10" x14ac:dyDescent="0.3">
      <c r="J14287"/>
    </row>
    <row r="14288" spans="10:10" x14ac:dyDescent="0.3">
      <c r="J14288"/>
    </row>
    <row r="14289" spans="10:10" x14ac:dyDescent="0.3">
      <c r="J14289"/>
    </row>
    <row r="14290" spans="10:10" x14ac:dyDescent="0.3">
      <c r="J14290"/>
    </row>
    <row r="14291" spans="10:10" x14ac:dyDescent="0.3">
      <c r="J14291"/>
    </row>
    <row r="14292" spans="10:10" x14ac:dyDescent="0.3">
      <c r="J14292"/>
    </row>
    <row r="14293" spans="10:10" x14ac:dyDescent="0.3">
      <c r="J14293"/>
    </row>
    <row r="14294" spans="10:10" x14ac:dyDescent="0.3">
      <c r="J14294"/>
    </row>
    <row r="14295" spans="10:10" x14ac:dyDescent="0.3">
      <c r="J14295"/>
    </row>
    <row r="14296" spans="10:10" x14ac:dyDescent="0.3">
      <c r="J14296"/>
    </row>
    <row r="14297" spans="10:10" x14ac:dyDescent="0.3">
      <c r="J14297"/>
    </row>
    <row r="14298" spans="10:10" x14ac:dyDescent="0.3">
      <c r="J14298"/>
    </row>
    <row r="14299" spans="10:10" x14ac:dyDescent="0.3">
      <c r="J14299"/>
    </row>
    <row r="14300" spans="10:10" x14ac:dyDescent="0.3">
      <c r="J14300"/>
    </row>
    <row r="14301" spans="10:10" x14ac:dyDescent="0.3">
      <c r="J14301"/>
    </row>
    <row r="14302" spans="10:10" x14ac:dyDescent="0.3">
      <c r="J14302"/>
    </row>
    <row r="14303" spans="10:10" x14ac:dyDescent="0.3">
      <c r="J14303"/>
    </row>
    <row r="14304" spans="10:10" x14ac:dyDescent="0.3">
      <c r="J14304"/>
    </row>
    <row r="14305" spans="10:10" x14ac:dyDescent="0.3">
      <c r="J14305"/>
    </row>
    <row r="14306" spans="10:10" x14ac:dyDescent="0.3">
      <c r="J14306"/>
    </row>
    <row r="14307" spans="10:10" x14ac:dyDescent="0.3">
      <c r="J14307"/>
    </row>
    <row r="14308" spans="10:10" x14ac:dyDescent="0.3">
      <c r="J14308"/>
    </row>
    <row r="14309" spans="10:10" x14ac:dyDescent="0.3">
      <c r="J14309"/>
    </row>
    <row r="14310" spans="10:10" x14ac:dyDescent="0.3">
      <c r="J14310"/>
    </row>
    <row r="14311" spans="10:10" x14ac:dyDescent="0.3">
      <c r="J14311"/>
    </row>
    <row r="14312" spans="10:10" x14ac:dyDescent="0.3">
      <c r="J14312"/>
    </row>
    <row r="14313" spans="10:10" x14ac:dyDescent="0.3">
      <c r="J14313"/>
    </row>
    <row r="14314" spans="10:10" x14ac:dyDescent="0.3">
      <c r="J14314"/>
    </row>
    <row r="14315" spans="10:10" x14ac:dyDescent="0.3">
      <c r="J14315"/>
    </row>
    <row r="14316" spans="10:10" x14ac:dyDescent="0.3">
      <c r="J14316"/>
    </row>
    <row r="14317" spans="10:10" x14ac:dyDescent="0.3">
      <c r="J14317"/>
    </row>
    <row r="14318" spans="10:10" x14ac:dyDescent="0.3">
      <c r="J14318"/>
    </row>
    <row r="14319" spans="10:10" x14ac:dyDescent="0.3">
      <c r="J14319"/>
    </row>
    <row r="14320" spans="10:10" x14ac:dyDescent="0.3">
      <c r="J14320"/>
    </row>
    <row r="14321" spans="10:10" x14ac:dyDescent="0.3">
      <c r="J14321"/>
    </row>
    <row r="14322" spans="10:10" x14ac:dyDescent="0.3">
      <c r="J14322"/>
    </row>
    <row r="14323" spans="10:10" x14ac:dyDescent="0.3">
      <c r="J14323"/>
    </row>
    <row r="14324" spans="10:10" x14ac:dyDescent="0.3">
      <c r="J14324"/>
    </row>
    <row r="14325" spans="10:10" x14ac:dyDescent="0.3">
      <c r="J14325"/>
    </row>
    <row r="14326" spans="10:10" x14ac:dyDescent="0.3">
      <c r="J14326"/>
    </row>
    <row r="14327" spans="10:10" x14ac:dyDescent="0.3">
      <c r="J14327"/>
    </row>
    <row r="14328" spans="10:10" x14ac:dyDescent="0.3">
      <c r="J14328"/>
    </row>
    <row r="14329" spans="10:10" x14ac:dyDescent="0.3">
      <c r="J14329"/>
    </row>
    <row r="14330" spans="10:10" x14ac:dyDescent="0.3">
      <c r="J14330"/>
    </row>
    <row r="14331" spans="10:10" x14ac:dyDescent="0.3">
      <c r="J14331"/>
    </row>
    <row r="14332" spans="10:10" x14ac:dyDescent="0.3">
      <c r="J14332"/>
    </row>
    <row r="14333" spans="10:10" x14ac:dyDescent="0.3">
      <c r="J14333"/>
    </row>
    <row r="14334" spans="10:10" x14ac:dyDescent="0.3">
      <c r="J14334"/>
    </row>
    <row r="14335" spans="10:10" x14ac:dyDescent="0.3">
      <c r="J14335"/>
    </row>
    <row r="14336" spans="10:10" x14ac:dyDescent="0.3">
      <c r="J14336"/>
    </row>
    <row r="14337" spans="10:10" x14ac:dyDescent="0.3">
      <c r="J14337"/>
    </row>
    <row r="14338" spans="10:10" x14ac:dyDescent="0.3">
      <c r="J14338"/>
    </row>
    <row r="14339" spans="10:10" x14ac:dyDescent="0.3">
      <c r="J14339"/>
    </row>
    <row r="14340" spans="10:10" x14ac:dyDescent="0.3">
      <c r="J14340"/>
    </row>
    <row r="14341" spans="10:10" x14ac:dyDescent="0.3">
      <c r="J14341"/>
    </row>
    <row r="14342" spans="10:10" x14ac:dyDescent="0.3">
      <c r="J14342"/>
    </row>
    <row r="14343" spans="10:10" x14ac:dyDescent="0.3">
      <c r="J14343"/>
    </row>
    <row r="14344" spans="10:10" x14ac:dyDescent="0.3">
      <c r="J14344"/>
    </row>
    <row r="14345" spans="10:10" x14ac:dyDescent="0.3">
      <c r="J14345"/>
    </row>
    <row r="14346" spans="10:10" x14ac:dyDescent="0.3">
      <c r="J14346"/>
    </row>
    <row r="14347" spans="10:10" x14ac:dyDescent="0.3">
      <c r="J14347"/>
    </row>
    <row r="14348" spans="10:10" x14ac:dyDescent="0.3">
      <c r="J14348"/>
    </row>
    <row r="14349" spans="10:10" x14ac:dyDescent="0.3">
      <c r="J14349"/>
    </row>
    <row r="14350" spans="10:10" x14ac:dyDescent="0.3">
      <c r="J14350"/>
    </row>
    <row r="14351" spans="10:10" x14ac:dyDescent="0.3">
      <c r="J14351"/>
    </row>
    <row r="14352" spans="10:10" x14ac:dyDescent="0.3">
      <c r="J14352"/>
    </row>
    <row r="14353" spans="10:10" x14ac:dyDescent="0.3">
      <c r="J14353"/>
    </row>
    <row r="14354" spans="10:10" x14ac:dyDescent="0.3">
      <c r="J14354"/>
    </row>
    <row r="14355" spans="10:10" x14ac:dyDescent="0.3">
      <c r="J14355"/>
    </row>
    <row r="14356" spans="10:10" x14ac:dyDescent="0.3">
      <c r="J14356"/>
    </row>
    <row r="14357" spans="10:10" x14ac:dyDescent="0.3">
      <c r="J14357"/>
    </row>
    <row r="14358" spans="10:10" x14ac:dyDescent="0.3">
      <c r="J14358"/>
    </row>
    <row r="14359" spans="10:10" x14ac:dyDescent="0.3">
      <c r="J14359"/>
    </row>
    <row r="14360" spans="10:10" x14ac:dyDescent="0.3">
      <c r="J14360"/>
    </row>
    <row r="14361" spans="10:10" x14ac:dyDescent="0.3">
      <c r="J14361"/>
    </row>
    <row r="14362" spans="10:10" x14ac:dyDescent="0.3">
      <c r="J14362"/>
    </row>
    <row r="14363" spans="10:10" x14ac:dyDescent="0.3">
      <c r="J14363"/>
    </row>
    <row r="14364" spans="10:10" x14ac:dyDescent="0.3">
      <c r="J14364"/>
    </row>
    <row r="14365" spans="10:10" x14ac:dyDescent="0.3">
      <c r="J14365"/>
    </row>
    <row r="14366" spans="10:10" x14ac:dyDescent="0.3">
      <c r="J14366"/>
    </row>
    <row r="14367" spans="10:10" x14ac:dyDescent="0.3">
      <c r="J14367"/>
    </row>
    <row r="14368" spans="10:10" x14ac:dyDescent="0.3">
      <c r="J14368"/>
    </row>
    <row r="14369" spans="10:10" x14ac:dyDescent="0.3">
      <c r="J14369"/>
    </row>
    <row r="14370" spans="10:10" x14ac:dyDescent="0.3">
      <c r="J14370"/>
    </row>
    <row r="14371" spans="10:10" x14ac:dyDescent="0.3">
      <c r="J14371"/>
    </row>
    <row r="14372" spans="10:10" x14ac:dyDescent="0.3">
      <c r="J14372"/>
    </row>
    <row r="14373" spans="10:10" x14ac:dyDescent="0.3">
      <c r="J14373"/>
    </row>
    <row r="14374" spans="10:10" x14ac:dyDescent="0.3">
      <c r="J14374"/>
    </row>
    <row r="14375" spans="10:10" x14ac:dyDescent="0.3">
      <c r="J14375"/>
    </row>
    <row r="14376" spans="10:10" x14ac:dyDescent="0.3">
      <c r="J14376"/>
    </row>
    <row r="14377" spans="10:10" x14ac:dyDescent="0.3">
      <c r="J14377"/>
    </row>
    <row r="14378" spans="10:10" x14ac:dyDescent="0.3">
      <c r="J14378"/>
    </row>
    <row r="14379" spans="10:10" x14ac:dyDescent="0.3">
      <c r="J14379"/>
    </row>
    <row r="14380" spans="10:10" x14ac:dyDescent="0.3">
      <c r="J14380"/>
    </row>
    <row r="14381" spans="10:10" x14ac:dyDescent="0.3">
      <c r="J14381"/>
    </row>
    <row r="14382" spans="10:10" x14ac:dyDescent="0.3">
      <c r="J14382"/>
    </row>
    <row r="14383" spans="10:10" x14ac:dyDescent="0.3">
      <c r="J14383"/>
    </row>
    <row r="14384" spans="10:10" x14ac:dyDescent="0.3">
      <c r="J14384"/>
    </row>
    <row r="14385" spans="10:10" x14ac:dyDescent="0.3">
      <c r="J14385"/>
    </row>
    <row r="14386" spans="10:10" x14ac:dyDescent="0.3">
      <c r="J14386"/>
    </row>
    <row r="14387" spans="10:10" x14ac:dyDescent="0.3">
      <c r="J14387"/>
    </row>
    <row r="14388" spans="10:10" x14ac:dyDescent="0.3">
      <c r="J14388"/>
    </row>
    <row r="14389" spans="10:10" x14ac:dyDescent="0.3">
      <c r="J14389"/>
    </row>
    <row r="14390" spans="10:10" x14ac:dyDescent="0.3">
      <c r="J14390"/>
    </row>
    <row r="14391" spans="10:10" x14ac:dyDescent="0.3">
      <c r="J14391"/>
    </row>
    <row r="14392" spans="10:10" x14ac:dyDescent="0.3">
      <c r="J14392"/>
    </row>
    <row r="14393" spans="10:10" x14ac:dyDescent="0.3">
      <c r="J14393"/>
    </row>
    <row r="14394" spans="10:10" x14ac:dyDescent="0.3">
      <c r="J14394"/>
    </row>
    <row r="14395" spans="10:10" x14ac:dyDescent="0.3">
      <c r="J14395"/>
    </row>
    <row r="14396" spans="10:10" x14ac:dyDescent="0.3">
      <c r="J14396"/>
    </row>
    <row r="14397" spans="10:10" x14ac:dyDescent="0.3">
      <c r="J14397"/>
    </row>
    <row r="14398" spans="10:10" x14ac:dyDescent="0.3">
      <c r="J14398"/>
    </row>
    <row r="14399" spans="10:10" x14ac:dyDescent="0.3">
      <c r="J14399"/>
    </row>
    <row r="14400" spans="10:10" x14ac:dyDescent="0.3">
      <c r="J14400"/>
    </row>
    <row r="14401" spans="10:10" x14ac:dyDescent="0.3">
      <c r="J14401"/>
    </row>
    <row r="14402" spans="10:10" x14ac:dyDescent="0.3">
      <c r="J14402"/>
    </row>
    <row r="14403" spans="10:10" x14ac:dyDescent="0.3">
      <c r="J14403"/>
    </row>
    <row r="14404" spans="10:10" x14ac:dyDescent="0.3">
      <c r="J14404"/>
    </row>
    <row r="14405" spans="10:10" x14ac:dyDescent="0.3">
      <c r="J14405"/>
    </row>
    <row r="14406" spans="10:10" x14ac:dyDescent="0.3">
      <c r="J14406"/>
    </row>
    <row r="14407" spans="10:10" x14ac:dyDescent="0.3">
      <c r="J14407"/>
    </row>
    <row r="14408" spans="10:10" x14ac:dyDescent="0.3">
      <c r="J14408"/>
    </row>
    <row r="14409" spans="10:10" x14ac:dyDescent="0.3">
      <c r="J14409"/>
    </row>
    <row r="14410" spans="10:10" x14ac:dyDescent="0.3">
      <c r="J14410"/>
    </row>
    <row r="14411" spans="10:10" x14ac:dyDescent="0.3">
      <c r="J14411"/>
    </row>
    <row r="14412" spans="10:10" x14ac:dyDescent="0.3">
      <c r="J14412"/>
    </row>
    <row r="14413" spans="10:10" x14ac:dyDescent="0.3">
      <c r="J14413"/>
    </row>
    <row r="14414" spans="10:10" x14ac:dyDescent="0.3">
      <c r="J14414"/>
    </row>
    <row r="14415" spans="10:10" x14ac:dyDescent="0.3">
      <c r="J14415"/>
    </row>
    <row r="14416" spans="10:10" x14ac:dyDescent="0.3">
      <c r="J14416"/>
    </row>
    <row r="14417" spans="10:10" x14ac:dyDescent="0.3">
      <c r="J14417"/>
    </row>
    <row r="14418" spans="10:10" x14ac:dyDescent="0.3">
      <c r="J14418"/>
    </row>
    <row r="14419" spans="10:10" x14ac:dyDescent="0.3">
      <c r="J14419"/>
    </row>
    <row r="14420" spans="10:10" x14ac:dyDescent="0.3">
      <c r="J14420"/>
    </row>
    <row r="14421" spans="10:10" x14ac:dyDescent="0.3">
      <c r="J14421"/>
    </row>
    <row r="14422" spans="10:10" x14ac:dyDescent="0.3">
      <c r="J14422"/>
    </row>
    <row r="14423" spans="10:10" x14ac:dyDescent="0.3">
      <c r="J14423"/>
    </row>
    <row r="14424" spans="10:10" x14ac:dyDescent="0.3">
      <c r="J14424"/>
    </row>
    <row r="14425" spans="10:10" x14ac:dyDescent="0.3">
      <c r="J14425"/>
    </row>
    <row r="14426" spans="10:10" x14ac:dyDescent="0.3">
      <c r="J14426"/>
    </row>
    <row r="14427" spans="10:10" x14ac:dyDescent="0.3">
      <c r="J14427"/>
    </row>
    <row r="14428" spans="10:10" x14ac:dyDescent="0.3">
      <c r="J14428"/>
    </row>
    <row r="14429" spans="10:10" x14ac:dyDescent="0.3">
      <c r="J14429"/>
    </row>
    <row r="14430" spans="10:10" x14ac:dyDescent="0.3">
      <c r="J14430"/>
    </row>
    <row r="14431" spans="10:10" x14ac:dyDescent="0.3">
      <c r="J14431"/>
    </row>
    <row r="14432" spans="10:10" x14ac:dyDescent="0.3">
      <c r="J14432"/>
    </row>
    <row r="14433" spans="10:10" x14ac:dyDescent="0.3">
      <c r="J14433"/>
    </row>
    <row r="14434" spans="10:10" x14ac:dyDescent="0.3">
      <c r="J14434"/>
    </row>
    <row r="14435" spans="10:10" x14ac:dyDescent="0.3">
      <c r="J14435"/>
    </row>
    <row r="14436" spans="10:10" x14ac:dyDescent="0.3">
      <c r="J14436"/>
    </row>
    <row r="14437" spans="10:10" x14ac:dyDescent="0.3">
      <c r="J14437"/>
    </row>
    <row r="14438" spans="10:10" x14ac:dyDescent="0.3">
      <c r="J14438"/>
    </row>
    <row r="14439" spans="10:10" x14ac:dyDescent="0.3">
      <c r="J14439"/>
    </row>
    <row r="14440" spans="10:10" x14ac:dyDescent="0.3">
      <c r="J14440"/>
    </row>
    <row r="14441" spans="10:10" x14ac:dyDescent="0.3">
      <c r="J14441"/>
    </row>
    <row r="14442" spans="10:10" x14ac:dyDescent="0.3">
      <c r="J14442"/>
    </row>
    <row r="14443" spans="10:10" x14ac:dyDescent="0.3">
      <c r="J14443"/>
    </row>
    <row r="14444" spans="10:10" x14ac:dyDescent="0.3">
      <c r="J14444"/>
    </row>
    <row r="14445" spans="10:10" x14ac:dyDescent="0.3">
      <c r="J14445"/>
    </row>
    <row r="14446" spans="10:10" x14ac:dyDescent="0.3">
      <c r="J14446"/>
    </row>
    <row r="14447" spans="10:10" x14ac:dyDescent="0.3">
      <c r="J14447"/>
    </row>
    <row r="14448" spans="10:10" x14ac:dyDescent="0.3">
      <c r="J14448"/>
    </row>
    <row r="14449" spans="10:10" x14ac:dyDescent="0.3">
      <c r="J14449"/>
    </row>
    <row r="14450" spans="10:10" x14ac:dyDescent="0.3">
      <c r="J14450"/>
    </row>
    <row r="14451" spans="10:10" x14ac:dyDescent="0.3">
      <c r="J14451"/>
    </row>
    <row r="14452" spans="10:10" x14ac:dyDescent="0.3">
      <c r="J14452"/>
    </row>
    <row r="14453" spans="10:10" x14ac:dyDescent="0.3">
      <c r="J14453"/>
    </row>
    <row r="14454" spans="10:10" x14ac:dyDescent="0.3">
      <c r="J14454"/>
    </row>
    <row r="14455" spans="10:10" x14ac:dyDescent="0.3">
      <c r="J14455"/>
    </row>
    <row r="14456" spans="10:10" x14ac:dyDescent="0.3">
      <c r="J14456"/>
    </row>
    <row r="14457" spans="10:10" x14ac:dyDescent="0.3">
      <c r="J14457"/>
    </row>
    <row r="14458" spans="10:10" x14ac:dyDescent="0.3">
      <c r="J14458"/>
    </row>
    <row r="14459" spans="10:10" x14ac:dyDescent="0.3">
      <c r="J14459"/>
    </row>
    <row r="14460" spans="10:10" x14ac:dyDescent="0.3">
      <c r="J14460"/>
    </row>
    <row r="14461" spans="10:10" x14ac:dyDescent="0.3">
      <c r="J14461"/>
    </row>
    <row r="14462" spans="10:10" x14ac:dyDescent="0.3">
      <c r="J14462"/>
    </row>
    <row r="14463" spans="10:10" x14ac:dyDescent="0.3">
      <c r="J14463"/>
    </row>
    <row r="14464" spans="10:10" x14ac:dyDescent="0.3">
      <c r="J14464"/>
    </row>
    <row r="14465" spans="10:10" x14ac:dyDescent="0.3">
      <c r="J14465"/>
    </row>
    <row r="14466" spans="10:10" x14ac:dyDescent="0.3">
      <c r="J14466"/>
    </row>
    <row r="14467" spans="10:10" x14ac:dyDescent="0.3">
      <c r="J14467"/>
    </row>
    <row r="14468" spans="10:10" x14ac:dyDescent="0.3">
      <c r="J14468"/>
    </row>
    <row r="14469" spans="10:10" x14ac:dyDescent="0.3">
      <c r="J14469"/>
    </row>
    <row r="14470" spans="10:10" x14ac:dyDescent="0.3">
      <c r="J14470"/>
    </row>
    <row r="14471" spans="10:10" x14ac:dyDescent="0.3">
      <c r="J14471"/>
    </row>
    <row r="14472" spans="10:10" x14ac:dyDescent="0.3">
      <c r="J14472"/>
    </row>
    <row r="14473" spans="10:10" x14ac:dyDescent="0.3">
      <c r="J14473"/>
    </row>
    <row r="14474" spans="10:10" x14ac:dyDescent="0.3">
      <c r="J14474"/>
    </row>
    <row r="14475" spans="10:10" x14ac:dyDescent="0.3">
      <c r="J14475"/>
    </row>
    <row r="14476" spans="10:10" x14ac:dyDescent="0.3">
      <c r="J14476"/>
    </row>
    <row r="14477" spans="10:10" x14ac:dyDescent="0.3">
      <c r="J14477"/>
    </row>
    <row r="14478" spans="10:10" x14ac:dyDescent="0.3">
      <c r="J14478"/>
    </row>
    <row r="14479" spans="10:10" x14ac:dyDescent="0.3">
      <c r="J14479"/>
    </row>
    <row r="14480" spans="10:10" x14ac:dyDescent="0.3">
      <c r="J14480"/>
    </row>
    <row r="14481" spans="10:10" x14ac:dyDescent="0.3">
      <c r="J14481"/>
    </row>
    <row r="14482" spans="10:10" x14ac:dyDescent="0.3">
      <c r="J14482"/>
    </row>
    <row r="14483" spans="10:10" x14ac:dyDescent="0.3">
      <c r="J14483"/>
    </row>
    <row r="14484" spans="10:10" x14ac:dyDescent="0.3">
      <c r="J14484"/>
    </row>
    <row r="14485" spans="10:10" x14ac:dyDescent="0.3">
      <c r="J14485"/>
    </row>
    <row r="14486" spans="10:10" x14ac:dyDescent="0.3">
      <c r="J14486"/>
    </row>
    <row r="14487" spans="10:10" x14ac:dyDescent="0.3">
      <c r="J14487"/>
    </row>
    <row r="14488" spans="10:10" x14ac:dyDescent="0.3">
      <c r="J14488"/>
    </row>
    <row r="14489" spans="10:10" x14ac:dyDescent="0.3">
      <c r="J14489"/>
    </row>
    <row r="14490" spans="10:10" x14ac:dyDescent="0.3">
      <c r="J14490"/>
    </row>
    <row r="14491" spans="10:10" x14ac:dyDescent="0.3">
      <c r="J14491"/>
    </row>
    <row r="14492" spans="10:10" x14ac:dyDescent="0.3">
      <c r="J14492"/>
    </row>
    <row r="14493" spans="10:10" x14ac:dyDescent="0.3">
      <c r="J14493"/>
    </row>
    <row r="14494" spans="10:10" x14ac:dyDescent="0.3">
      <c r="J14494"/>
    </row>
    <row r="14495" spans="10:10" x14ac:dyDescent="0.3">
      <c r="J14495"/>
    </row>
    <row r="14496" spans="10:10" x14ac:dyDescent="0.3">
      <c r="J14496"/>
    </row>
    <row r="14497" spans="10:10" x14ac:dyDescent="0.3">
      <c r="J14497"/>
    </row>
    <row r="14498" spans="10:10" x14ac:dyDescent="0.3">
      <c r="J14498"/>
    </row>
    <row r="14499" spans="10:10" x14ac:dyDescent="0.3">
      <c r="J14499"/>
    </row>
    <row r="14500" spans="10:10" x14ac:dyDescent="0.3">
      <c r="J14500"/>
    </row>
    <row r="14501" spans="10:10" x14ac:dyDescent="0.3">
      <c r="J14501"/>
    </row>
    <row r="14502" spans="10:10" x14ac:dyDescent="0.3">
      <c r="J14502"/>
    </row>
    <row r="14503" spans="10:10" x14ac:dyDescent="0.3">
      <c r="J14503"/>
    </row>
    <row r="14504" spans="10:10" x14ac:dyDescent="0.3">
      <c r="J14504"/>
    </row>
    <row r="14505" spans="10:10" x14ac:dyDescent="0.3">
      <c r="J14505"/>
    </row>
    <row r="14506" spans="10:10" x14ac:dyDescent="0.3">
      <c r="J14506"/>
    </row>
    <row r="14507" spans="10:10" x14ac:dyDescent="0.3">
      <c r="J14507"/>
    </row>
    <row r="14508" spans="10:10" x14ac:dyDescent="0.3">
      <c r="J14508"/>
    </row>
    <row r="14509" spans="10:10" x14ac:dyDescent="0.3">
      <c r="J14509"/>
    </row>
    <row r="14510" spans="10:10" x14ac:dyDescent="0.3">
      <c r="J14510"/>
    </row>
    <row r="14511" spans="10:10" x14ac:dyDescent="0.3">
      <c r="J14511"/>
    </row>
    <row r="14512" spans="10:10" x14ac:dyDescent="0.3">
      <c r="J14512"/>
    </row>
    <row r="14513" spans="10:10" x14ac:dyDescent="0.3">
      <c r="J14513"/>
    </row>
    <row r="14514" spans="10:10" x14ac:dyDescent="0.3">
      <c r="J14514"/>
    </row>
    <row r="14515" spans="10:10" x14ac:dyDescent="0.3">
      <c r="J14515"/>
    </row>
    <row r="14516" spans="10:10" x14ac:dyDescent="0.3">
      <c r="J14516"/>
    </row>
    <row r="14517" spans="10:10" x14ac:dyDescent="0.3">
      <c r="J14517"/>
    </row>
    <row r="14518" spans="10:10" x14ac:dyDescent="0.3">
      <c r="J14518"/>
    </row>
    <row r="14519" spans="10:10" x14ac:dyDescent="0.3">
      <c r="J14519"/>
    </row>
    <row r="14520" spans="10:10" x14ac:dyDescent="0.3">
      <c r="J14520"/>
    </row>
    <row r="14521" spans="10:10" x14ac:dyDescent="0.3">
      <c r="J14521"/>
    </row>
    <row r="14522" spans="10:10" x14ac:dyDescent="0.3">
      <c r="J14522"/>
    </row>
    <row r="14523" spans="10:10" x14ac:dyDescent="0.3">
      <c r="J14523"/>
    </row>
    <row r="14524" spans="10:10" x14ac:dyDescent="0.3">
      <c r="J14524"/>
    </row>
    <row r="14525" spans="10:10" x14ac:dyDescent="0.3">
      <c r="J14525"/>
    </row>
    <row r="14526" spans="10:10" x14ac:dyDescent="0.3">
      <c r="J14526"/>
    </row>
    <row r="14527" spans="10:10" x14ac:dyDescent="0.3">
      <c r="J14527"/>
    </row>
    <row r="14528" spans="10:10" x14ac:dyDescent="0.3">
      <c r="J14528"/>
    </row>
    <row r="14529" spans="10:10" x14ac:dyDescent="0.3">
      <c r="J14529"/>
    </row>
    <row r="14530" spans="10:10" x14ac:dyDescent="0.3">
      <c r="J14530"/>
    </row>
    <row r="14531" spans="10:10" x14ac:dyDescent="0.3">
      <c r="J14531"/>
    </row>
    <row r="14532" spans="10:10" x14ac:dyDescent="0.3">
      <c r="J14532"/>
    </row>
    <row r="14533" spans="10:10" x14ac:dyDescent="0.3">
      <c r="J14533"/>
    </row>
    <row r="14534" spans="10:10" x14ac:dyDescent="0.3">
      <c r="J14534"/>
    </row>
    <row r="14535" spans="10:10" x14ac:dyDescent="0.3">
      <c r="J14535"/>
    </row>
    <row r="14536" spans="10:10" x14ac:dyDescent="0.3">
      <c r="J14536"/>
    </row>
    <row r="14537" spans="10:10" x14ac:dyDescent="0.3">
      <c r="J14537"/>
    </row>
    <row r="14538" spans="10:10" x14ac:dyDescent="0.3">
      <c r="J14538"/>
    </row>
    <row r="14539" spans="10:10" x14ac:dyDescent="0.3">
      <c r="J14539"/>
    </row>
    <row r="14540" spans="10:10" x14ac:dyDescent="0.3">
      <c r="J14540"/>
    </row>
    <row r="14541" spans="10:10" x14ac:dyDescent="0.3">
      <c r="J14541"/>
    </row>
    <row r="14542" spans="10:10" x14ac:dyDescent="0.3">
      <c r="J14542"/>
    </row>
    <row r="14543" spans="10:10" x14ac:dyDescent="0.3">
      <c r="J14543"/>
    </row>
    <row r="14544" spans="10:10" x14ac:dyDescent="0.3">
      <c r="J14544"/>
    </row>
    <row r="14545" spans="10:10" x14ac:dyDescent="0.3">
      <c r="J14545"/>
    </row>
    <row r="14546" spans="10:10" x14ac:dyDescent="0.3">
      <c r="J14546"/>
    </row>
    <row r="14547" spans="10:10" x14ac:dyDescent="0.3">
      <c r="J14547"/>
    </row>
    <row r="14548" spans="10:10" x14ac:dyDescent="0.3">
      <c r="J14548"/>
    </row>
    <row r="14549" spans="10:10" x14ac:dyDescent="0.3">
      <c r="J14549"/>
    </row>
    <row r="14550" spans="10:10" x14ac:dyDescent="0.3">
      <c r="J14550"/>
    </row>
    <row r="14551" spans="10:10" x14ac:dyDescent="0.3">
      <c r="J14551"/>
    </row>
    <row r="14552" spans="10:10" x14ac:dyDescent="0.3">
      <c r="J14552"/>
    </row>
    <row r="14553" spans="10:10" x14ac:dyDescent="0.3">
      <c r="J14553"/>
    </row>
    <row r="14554" spans="10:10" x14ac:dyDescent="0.3">
      <c r="J14554"/>
    </row>
    <row r="14555" spans="10:10" x14ac:dyDescent="0.3">
      <c r="J14555"/>
    </row>
    <row r="14556" spans="10:10" x14ac:dyDescent="0.3">
      <c r="J14556"/>
    </row>
    <row r="14557" spans="10:10" x14ac:dyDescent="0.3">
      <c r="J14557"/>
    </row>
    <row r="14558" spans="10:10" x14ac:dyDescent="0.3">
      <c r="J14558"/>
    </row>
    <row r="14559" spans="10:10" x14ac:dyDescent="0.3">
      <c r="J14559"/>
    </row>
    <row r="14560" spans="10:10" x14ac:dyDescent="0.3">
      <c r="J14560"/>
    </row>
    <row r="14561" spans="10:10" x14ac:dyDescent="0.3">
      <c r="J14561"/>
    </row>
    <row r="14562" spans="10:10" x14ac:dyDescent="0.3">
      <c r="J14562"/>
    </row>
    <row r="14563" spans="10:10" x14ac:dyDescent="0.3">
      <c r="J14563"/>
    </row>
    <row r="14564" spans="10:10" x14ac:dyDescent="0.3">
      <c r="J14564"/>
    </row>
    <row r="14565" spans="10:10" x14ac:dyDescent="0.3">
      <c r="J14565"/>
    </row>
    <row r="14566" spans="10:10" x14ac:dyDescent="0.3">
      <c r="J14566"/>
    </row>
    <row r="14567" spans="10:10" x14ac:dyDescent="0.3">
      <c r="J14567"/>
    </row>
    <row r="14568" spans="10:10" x14ac:dyDescent="0.3">
      <c r="J14568"/>
    </row>
    <row r="14569" spans="10:10" x14ac:dyDescent="0.3">
      <c r="J14569"/>
    </row>
    <row r="14570" spans="10:10" x14ac:dyDescent="0.3">
      <c r="J14570"/>
    </row>
    <row r="14571" spans="10:10" x14ac:dyDescent="0.3">
      <c r="J14571"/>
    </row>
    <row r="14572" spans="10:10" x14ac:dyDescent="0.3">
      <c r="J14572"/>
    </row>
    <row r="14573" spans="10:10" x14ac:dyDescent="0.3">
      <c r="J14573"/>
    </row>
    <row r="14574" spans="10:10" x14ac:dyDescent="0.3">
      <c r="J14574"/>
    </row>
    <row r="14575" spans="10:10" x14ac:dyDescent="0.3">
      <c r="J14575"/>
    </row>
    <row r="14576" spans="10:10" x14ac:dyDescent="0.3">
      <c r="J14576"/>
    </row>
    <row r="14577" spans="10:10" x14ac:dyDescent="0.3">
      <c r="J14577"/>
    </row>
    <row r="14578" spans="10:10" x14ac:dyDescent="0.3">
      <c r="J14578"/>
    </row>
    <row r="14579" spans="10:10" x14ac:dyDescent="0.3">
      <c r="J14579"/>
    </row>
    <row r="14580" spans="10:10" x14ac:dyDescent="0.3">
      <c r="J14580"/>
    </row>
    <row r="14581" spans="10:10" x14ac:dyDescent="0.3">
      <c r="J14581"/>
    </row>
    <row r="14582" spans="10:10" x14ac:dyDescent="0.3">
      <c r="J14582"/>
    </row>
    <row r="14583" spans="10:10" x14ac:dyDescent="0.3">
      <c r="J14583"/>
    </row>
    <row r="14584" spans="10:10" x14ac:dyDescent="0.3">
      <c r="J14584"/>
    </row>
    <row r="14585" spans="10:10" x14ac:dyDescent="0.3">
      <c r="J14585"/>
    </row>
    <row r="14586" spans="10:10" x14ac:dyDescent="0.3">
      <c r="J14586"/>
    </row>
    <row r="14587" spans="10:10" x14ac:dyDescent="0.3">
      <c r="J14587"/>
    </row>
    <row r="14588" spans="10:10" x14ac:dyDescent="0.3">
      <c r="J14588"/>
    </row>
    <row r="14589" spans="10:10" x14ac:dyDescent="0.3">
      <c r="J14589"/>
    </row>
    <row r="14590" spans="10:10" x14ac:dyDescent="0.3">
      <c r="J14590"/>
    </row>
    <row r="14591" spans="10:10" x14ac:dyDescent="0.3">
      <c r="J14591"/>
    </row>
    <row r="14592" spans="10:10" x14ac:dyDescent="0.3">
      <c r="J14592"/>
    </row>
    <row r="14593" spans="10:10" x14ac:dyDescent="0.3">
      <c r="J14593"/>
    </row>
    <row r="14594" spans="10:10" x14ac:dyDescent="0.3">
      <c r="J14594"/>
    </row>
    <row r="14595" spans="10:10" x14ac:dyDescent="0.3">
      <c r="J14595"/>
    </row>
    <row r="14596" spans="10:10" x14ac:dyDescent="0.3">
      <c r="J14596"/>
    </row>
    <row r="14597" spans="10:10" x14ac:dyDescent="0.3">
      <c r="J14597"/>
    </row>
    <row r="14598" spans="10:10" x14ac:dyDescent="0.3">
      <c r="J14598"/>
    </row>
    <row r="14599" spans="10:10" x14ac:dyDescent="0.3">
      <c r="J14599"/>
    </row>
    <row r="14600" spans="10:10" x14ac:dyDescent="0.3">
      <c r="J14600"/>
    </row>
    <row r="14601" spans="10:10" x14ac:dyDescent="0.3">
      <c r="J14601"/>
    </row>
    <row r="14602" spans="10:10" x14ac:dyDescent="0.3">
      <c r="J14602"/>
    </row>
    <row r="14603" spans="10:10" x14ac:dyDescent="0.3">
      <c r="J14603"/>
    </row>
    <row r="14604" spans="10:10" x14ac:dyDescent="0.3">
      <c r="J14604"/>
    </row>
    <row r="14605" spans="10:10" x14ac:dyDescent="0.3">
      <c r="J14605"/>
    </row>
    <row r="14606" spans="10:10" x14ac:dyDescent="0.3">
      <c r="J14606"/>
    </row>
    <row r="14607" spans="10:10" x14ac:dyDescent="0.3">
      <c r="J14607"/>
    </row>
    <row r="14608" spans="10:10" x14ac:dyDescent="0.3">
      <c r="J14608"/>
    </row>
    <row r="14609" spans="10:10" x14ac:dyDescent="0.3">
      <c r="J14609"/>
    </row>
    <row r="14610" spans="10:10" x14ac:dyDescent="0.3">
      <c r="J14610"/>
    </row>
    <row r="14611" spans="10:10" x14ac:dyDescent="0.3">
      <c r="J14611"/>
    </row>
    <row r="14612" spans="10:10" x14ac:dyDescent="0.3">
      <c r="J14612"/>
    </row>
    <row r="14613" spans="10:10" x14ac:dyDescent="0.3">
      <c r="J14613"/>
    </row>
    <row r="14614" spans="10:10" x14ac:dyDescent="0.3">
      <c r="J14614"/>
    </row>
    <row r="14615" spans="10:10" x14ac:dyDescent="0.3">
      <c r="J14615"/>
    </row>
    <row r="14616" spans="10:10" x14ac:dyDescent="0.3">
      <c r="J14616"/>
    </row>
    <row r="14617" spans="10:10" x14ac:dyDescent="0.3">
      <c r="J14617"/>
    </row>
    <row r="14618" spans="10:10" x14ac:dyDescent="0.3">
      <c r="J14618"/>
    </row>
    <row r="14619" spans="10:10" x14ac:dyDescent="0.3">
      <c r="J14619"/>
    </row>
    <row r="14620" spans="10:10" x14ac:dyDescent="0.3">
      <c r="J14620"/>
    </row>
    <row r="14621" spans="10:10" x14ac:dyDescent="0.3">
      <c r="J14621"/>
    </row>
    <row r="14622" spans="10:10" x14ac:dyDescent="0.3">
      <c r="J14622"/>
    </row>
    <row r="14623" spans="10:10" x14ac:dyDescent="0.3">
      <c r="J14623"/>
    </row>
    <row r="14624" spans="10:10" x14ac:dyDescent="0.3">
      <c r="J14624"/>
    </row>
    <row r="14625" spans="10:10" x14ac:dyDescent="0.3">
      <c r="J14625"/>
    </row>
    <row r="14626" spans="10:10" x14ac:dyDescent="0.3">
      <c r="J14626"/>
    </row>
    <row r="14627" spans="10:10" x14ac:dyDescent="0.3">
      <c r="J14627"/>
    </row>
    <row r="14628" spans="10:10" x14ac:dyDescent="0.3">
      <c r="J14628"/>
    </row>
    <row r="14629" spans="10:10" x14ac:dyDescent="0.3">
      <c r="J14629"/>
    </row>
    <row r="14630" spans="10:10" x14ac:dyDescent="0.3">
      <c r="J14630"/>
    </row>
    <row r="14631" spans="10:10" x14ac:dyDescent="0.3">
      <c r="J14631"/>
    </row>
    <row r="14632" spans="10:10" x14ac:dyDescent="0.3">
      <c r="J14632"/>
    </row>
    <row r="14633" spans="10:10" x14ac:dyDescent="0.3">
      <c r="J14633"/>
    </row>
    <row r="14634" spans="10:10" x14ac:dyDescent="0.3">
      <c r="J14634"/>
    </row>
    <row r="14635" spans="10:10" x14ac:dyDescent="0.3">
      <c r="J14635"/>
    </row>
    <row r="14636" spans="10:10" x14ac:dyDescent="0.3">
      <c r="J14636"/>
    </row>
    <row r="14637" spans="10:10" x14ac:dyDescent="0.3">
      <c r="J14637"/>
    </row>
    <row r="14638" spans="10:10" x14ac:dyDescent="0.3">
      <c r="J14638"/>
    </row>
    <row r="14639" spans="10:10" x14ac:dyDescent="0.3">
      <c r="J14639"/>
    </row>
    <row r="14640" spans="10:10" x14ac:dyDescent="0.3">
      <c r="J14640"/>
    </row>
    <row r="14641" spans="10:10" x14ac:dyDescent="0.3">
      <c r="J14641"/>
    </row>
    <row r="14642" spans="10:10" x14ac:dyDescent="0.3">
      <c r="J14642"/>
    </row>
    <row r="14643" spans="10:10" x14ac:dyDescent="0.3">
      <c r="J14643"/>
    </row>
    <row r="14644" spans="10:10" x14ac:dyDescent="0.3">
      <c r="J14644"/>
    </row>
    <row r="14645" spans="10:10" x14ac:dyDescent="0.3">
      <c r="J14645"/>
    </row>
    <row r="14646" spans="10:10" x14ac:dyDescent="0.3">
      <c r="J14646"/>
    </row>
    <row r="14647" spans="10:10" x14ac:dyDescent="0.3">
      <c r="J14647"/>
    </row>
    <row r="14648" spans="10:10" x14ac:dyDescent="0.3">
      <c r="J14648"/>
    </row>
    <row r="14649" spans="10:10" x14ac:dyDescent="0.3">
      <c r="J14649"/>
    </row>
    <row r="14650" spans="10:10" x14ac:dyDescent="0.3">
      <c r="J14650"/>
    </row>
    <row r="14651" spans="10:10" x14ac:dyDescent="0.3">
      <c r="J14651"/>
    </row>
    <row r="14652" spans="10:10" x14ac:dyDescent="0.3">
      <c r="J14652"/>
    </row>
    <row r="14653" spans="10:10" x14ac:dyDescent="0.3">
      <c r="J14653"/>
    </row>
    <row r="14654" spans="10:10" x14ac:dyDescent="0.3">
      <c r="J14654"/>
    </row>
    <row r="14655" spans="10:10" x14ac:dyDescent="0.3">
      <c r="J14655"/>
    </row>
    <row r="14656" spans="10:10" x14ac:dyDescent="0.3">
      <c r="J14656"/>
    </row>
    <row r="14657" spans="10:10" x14ac:dyDescent="0.3">
      <c r="J14657"/>
    </row>
    <row r="14658" spans="10:10" x14ac:dyDescent="0.3">
      <c r="J14658"/>
    </row>
    <row r="14659" spans="10:10" x14ac:dyDescent="0.3">
      <c r="J14659"/>
    </row>
    <row r="14660" spans="10:10" x14ac:dyDescent="0.3">
      <c r="J14660"/>
    </row>
    <row r="14661" spans="10:10" x14ac:dyDescent="0.3">
      <c r="J14661"/>
    </row>
    <row r="14662" spans="10:10" x14ac:dyDescent="0.3">
      <c r="J14662"/>
    </row>
    <row r="14663" spans="10:10" x14ac:dyDescent="0.3">
      <c r="J14663"/>
    </row>
    <row r="14664" spans="10:10" x14ac:dyDescent="0.3">
      <c r="J14664"/>
    </row>
    <row r="14665" spans="10:10" x14ac:dyDescent="0.3">
      <c r="J14665"/>
    </row>
    <row r="14666" spans="10:10" x14ac:dyDescent="0.3">
      <c r="J14666"/>
    </row>
    <row r="14667" spans="10:10" x14ac:dyDescent="0.3">
      <c r="J14667"/>
    </row>
    <row r="14668" spans="10:10" x14ac:dyDescent="0.3">
      <c r="J14668"/>
    </row>
    <row r="14669" spans="10:10" x14ac:dyDescent="0.3">
      <c r="J14669"/>
    </row>
    <row r="14670" spans="10:10" x14ac:dyDescent="0.3">
      <c r="J14670"/>
    </row>
    <row r="14671" spans="10:10" x14ac:dyDescent="0.3">
      <c r="J14671"/>
    </row>
    <row r="14672" spans="10:10" x14ac:dyDescent="0.3">
      <c r="J14672"/>
    </row>
    <row r="14673" spans="10:10" x14ac:dyDescent="0.3">
      <c r="J14673"/>
    </row>
    <row r="14674" spans="10:10" x14ac:dyDescent="0.3">
      <c r="J14674"/>
    </row>
    <row r="14675" spans="10:10" x14ac:dyDescent="0.3">
      <c r="J14675"/>
    </row>
    <row r="14676" spans="10:10" x14ac:dyDescent="0.3">
      <c r="J14676"/>
    </row>
    <row r="14677" spans="10:10" x14ac:dyDescent="0.3">
      <c r="J14677"/>
    </row>
    <row r="14678" spans="10:10" x14ac:dyDescent="0.3">
      <c r="J14678"/>
    </row>
    <row r="14679" spans="10:10" x14ac:dyDescent="0.3">
      <c r="J14679"/>
    </row>
    <row r="14680" spans="10:10" x14ac:dyDescent="0.3">
      <c r="J14680"/>
    </row>
    <row r="14681" spans="10:10" x14ac:dyDescent="0.3">
      <c r="J14681"/>
    </row>
    <row r="14682" spans="10:10" x14ac:dyDescent="0.3">
      <c r="J14682"/>
    </row>
    <row r="14683" spans="10:10" x14ac:dyDescent="0.3">
      <c r="J14683"/>
    </row>
    <row r="14684" spans="10:10" x14ac:dyDescent="0.3">
      <c r="J14684"/>
    </row>
    <row r="14685" spans="10:10" x14ac:dyDescent="0.3">
      <c r="J14685"/>
    </row>
    <row r="14686" spans="10:10" x14ac:dyDescent="0.3">
      <c r="J14686"/>
    </row>
    <row r="14687" spans="10:10" x14ac:dyDescent="0.3">
      <c r="J14687"/>
    </row>
    <row r="14688" spans="10:10" x14ac:dyDescent="0.3">
      <c r="J14688"/>
    </row>
    <row r="14689" spans="10:10" x14ac:dyDescent="0.3">
      <c r="J14689"/>
    </row>
    <row r="14690" spans="10:10" x14ac:dyDescent="0.3">
      <c r="J14690"/>
    </row>
    <row r="14691" spans="10:10" x14ac:dyDescent="0.3">
      <c r="J14691"/>
    </row>
    <row r="14692" spans="10:10" x14ac:dyDescent="0.3">
      <c r="J14692"/>
    </row>
    <row r="14693" spans="10:10" x14ac:dyDescent="0.3">
      <c r="J14693"/>
    </row>
    <row r="14694" spans="10:10" x14ac:dyDescent="0.3">
      <c r="J14694"/>
    </row>
    <row r="14695" spans="10:10" x14ac:dyDescent="0.3">
      <c r="J14695"/>
    </row>
    <row r="14696" spans="10:10" x14ac:dyDescent="0.3">
      <c r="J14696"/>
    </row>
    <row r="14697" spans="10:10" x14ac:dyDescent="0.3">
      <c r="J14697"/>
    </row>
    <row r="14698" spans="10:10" x14ac:dyDescent="0.3">
      <c r="J14698"/>
    </row>
    <row r="14699" spans="10:10" x14ac:dyDescent="0.3">
      <c r="J14699"/>
    </row>
    <row r="14700" spans="10:10" x14ac:dyDescent="0.3">
      <c r="J14700"/>
    </row>
    <row r="14701" spans="10:10" x14ac:dyDescent="0.3">
      <c r="J14701"/>
    </row>
    <row r="14702" spans="10:10" x14ac:dyDescent="0.3">
      <c r="J14702"/>
    </row>
    <row r="14703" spans="10:10" x14ac:dyDescent="0.3">
      <c r="J14703"/>
    </row>
    <row r="14704" spans="10:10" x14ac:dyDescent="0.3">
      <c r="J14704"/>
    </row>
    <row r="14705" spans="10:10" x14ac:dyDescent="0.3">
      <c r="J14705"/>
    </row>
    <row r="14706" spans="10:10" x14ac:dyDescent="0.3">
      <c r="J14706"/>
    </row>
    <row r="14707" spans="10:10" x14ac:dyDescent="0.3">
      <c r="J14707"/>
    </row>
    <row r="14708" spans="10:10" x14ac:dyDescent="0.3">
      <c r="J14708"/>
    </row>
    <row r="14709" spans="10:10" x14ac:dyDescent="0.3">
      <c r="J14709"/>
    </row>
    <row r="14710" spans="10:10" x14ac:dyDescent="0.3">
      <c r="J14710"/>
    </row>
    <row r="14711" spans="10:10" x14ac:dyDescent="0.3">
      <c r="J14711"/>
    </row>
    <row r="14712" spans="10:10" x14ac:dyDescent="0.3">
      <c r="J14712"/>
    </row>
    <row r="14713" spans="10:10" x14ac:dyDescent="0.3">
      <c r="J14713"/>
    </row>
    <row r="14714" spans="10:10" x14ac:dyDescent="0.3">
      <c r="J14714"/>
    </row>
    <row r="14715" spans="10:10" x14ac:dyDescent="0.3">
      <c r="J14715"/>
    </row>
    <row r="14716" spans="10:10" x14ac:dyDescent="0.3">
      <c r="J14716"/>
    </row>
    <row r="14717" spans="10:10" x14ac:dyDescent="0.3">
      <c r="J14717"/>
    </row>
    <row r="14718" spans="10:10" x14ac:dyDescent="0.3">
      <c r="J14718"/>
    </row>
    <row r="14719" spans="10:10" x14ac:dyDescent="0.3">
      <c r="J14719"/>
    </row>
    <row r="14720" spans="10:10" x14ac:dyDescent="0.3">
      <c r="J14720"/>
    </row>
    <row r="14721" spans="10:10" x14ac:dyDescent="0.3">
      <c r="J14721"/>
    </row>
    <row r="14722" spans="10:10" x14ac:dyDescent="0.3">
      <c r="J14722"/>
    </row>
    <row r="14723" spans="10:10" x14ac:dyDescent="0.3">
      <c r="J14723"/>
    </row>
    <row r="14724" spans="10:10" x14ac:dyDescent="0.3">
      <c r="J14724"/>
    </row>
    <row r="14725" spans="10:10" x14ac:dyDescent="0.3">
      <c r="J14725"/>
    </row>
    <row r="14726" spans="10:10" x14ac:dyDescent="0.3">
      <c r="J14726"/>
    </row>
    <row r="14727" spans="10:10" x14ac:dyDescent="0.3">
      <c r="J14727"/>
    </row>
    <row r="14728" spans="10:10" x14ac:dyDescent="0.3">
      <c r="J14728"/>
    </row>
    <row r="14729" spans="10:10" x14ac:dyDescent="0.3">
      <c r="J14729"/>
    </row>
    <row r="14730" spans="10:10" x14ac:dyDescent="0.3">
      <c r="J14730"/>
    </row>
    <row r="14731" spans="10:10" x14ac:dyDescent="0.3">
      <c r="J14731"/>
    </row>
    <row r="14732" spans="10:10" x14ac:dyDescent="0.3">
      <c r="J14732"/>
    </row>
    <row r="14733" spans="10:10" x14ac:dyDescent="0.3">
      <c r="J14733"/>
    </row>
    <row r="14734" spans="10:10" x14ac:dyDescent="0.3">
      <c r="J14734"/>
    </row>
    <row r="14735" spans="10:10" x14ac:dyDescent="0.3">
      <c r="J14735"/>
    </row>
    <row r="14736" spans="10:10" x14ac:dyDescent="0.3">
      <c r="J14736"/>
    </row>
    <row r="14737" spans="10:10" x14ac:dyDescent="0.3">
      <c r="J14737"/>
    </row>
    <row r="14738" spans="10:10" x14ac:dyDescent="0.3">
      <c r="J14738"/>
    </row>
    <row r="14739" spans="10:10" x14ac:dyDescent="0.3">
      <c r="J14739"/>
    </row>
    <row r="14740" spans="10:10" x14ac:dyDescent="0.3">
      <c r="J14740"/>
    </row>
    <row r="14741" spans="10:10" x14ac:dyDescent="0.3">
      <c r="J14741"/>
    </row>
    <row r="14742" spans="10:10" x14ac:dyDescent="0.3">
      <c r="J14742"/>
    </row>
    <row r="14743" spans="10:10" x14ac:dyDescent="0.3">
      <c r="J14743"/>
    </row>
    <row r="14744" spans="10:10" x14ac:dyDescent="0.3">
      <c r="J14744"/>
    </row>
    <row r="14745" spans="10:10" x14ac:dyDescent="0.3">
      <c r="J14745"/>
    </row>
    <row r="14746" spans="10:10" x14ac:dyDescent="0.3">
      <c r="J14746"/>
    </row>
    <row r="14747" spans="10:10" x14ac:dyDescent="0.3">
      <c r="J14747"/>
    </row>
    <row r="14748" spans="10:10" x14ac:dyDescent="0.3">
      <c r="J14748"/>
    </row>
    <row r="14749" spans="10:10" x14ac:dyDescent="0.3">
      <c r="J14749"/>
    </row>
    <row r="14750" spans="10:10" x14ac:dyDescent="0.3">
      <c r="J14750"/>
    </row>
    <row r="14751" spans="10:10" x14ac:dyDescent="0.3">
      <c r="J14751"/>
    </row>
    <row r="14752" spans="10:10" x14ac:dyDescent="0.3">
      <c r="J14752"/>
    </row>
    <row r="14753" spans="10:10" x14ac:dyDescent="0.3">
      <c r="J14753"/>
    </row>
    <row r="14754" spans="10:10" x14ac:dyDescent="0.3">
      <c r="J14754"/>
    </row>
    <row r="14755" spans="10:10" x14ac:dyDescent="0.3">
      <c r="J14755"/>
    </row>
    <row r="14756" spans="10:10" x14ac:dyDescent="0.3">
      <c r="J14756"/>
    </row>
    <row r="14757" spans="10:10" x14ac:dyDescent="0.3">
      <c r="J14757"/>
    </row>
    <row r="14758" spans="10:10" x14ac:dyDescent="0.3">
      <c r="J14758"/>
    </row>
    <row r="14759" spans="10:10" x14ac:dyDescent="0.3">
      <c r="J14759"/>
    </row>
    <row r="14760" spans="10:10" x14ac:dyDescent="0.3">
      <c r="J14760"/>
    </row>
    <row r="14761" spans="10:10" x14ac:dyDescent="0.3">
      <c r="J14761"/>
    </row>
    <row r="14762" spans="10:10" x14ac:dyDescent="0.3">
      <c r="J14762"/>
    </row>
    <row r="14763" spans="10:10" x14ac:dyDescent="0.3">
      <c r="J14763"/>
    </row>
    <row r="14764" spans="10:10" x14ac:dyDescent="0.3">
      <c r="J14764"/>
    </row>
    <row r="14765" spans="10:10" x14ac:dyDescent="0.3">
      <c r="J14765"/>
    </row>
    <row r="14766" spans="10:10" x14ac:dyDescent="0.3">
      <c r="J14766"/>
    </row>
    <row r="14767" spans="10:10" x14ac:dyDescent="0.3">
      <c r="J14767"/>
    </row>
    <row r="14768" spans="10:10" x14ac:dyDescent="0.3">
      <c r="J14768"/>
    </row>
    <row r="14769" spans="10:10" x14ac:dyDescent="0.3">
      <c r="J14769"/>
    </row>
    <row r="14770" spans="10:10" x14ac:dyDescent="0.3">
      <c r="J14770"/>
    </row>
    <row r="14771" spans="10:10" x14ac:dyDescent="0.3">
      <c r="J14771"/>
    </row>
    <row r="14772" spans="10:10" x14ac:dyDescent="0.3">
      <c r="J14772"/>
    </row>
    <row r="14773" spans="10:10" x14ac:dyDescent="0.3">
      <c r="J14773"/>
    </row>
    <row r="14774" spans="10:10" x14ac:dyDescent="0.3">
      <c r="J14774"/>
    </row>
    <row r="14775" spans="10:10" x14ac:dyDescent="0.3">
      <c r="J14775"/>
    </row>
    <row r="14776" spans="10:10" x14ac:dyDescent="0.3">
      <c r="J14776"/>
    </row>
    <row r="14777" spans="10:10" x14ac:dyDescent="0.3">
      <c r="J14777"/>
    </row>
    <row r="14778" spans="10:10" x14ac:dyDescent="0.3">
      <c r="J14778"/>
    </row>
    <row r="14779" spans="10:10" x14ac:dyDescent="0.3">
      <c r="J14779"/>
    </row>
    <row r="14780" spans="10:10" x14ac:dyDescent="0.3">
      <c r="J14780"/>
    </row>
    <row r="14781" spans="10:10" x14ac:dyDescent="0.3">
      <c r="J14781"/>
    </row>
    <row r="14782" spans="10:10" x14ac:dyDescent="0.3">
      <c r="J14782"/>
    </row>
    <row r="14783" spans="10:10" x14ac:dyDescent="0.3">
      <c r="J14783"/>
    </row>
    <row r="14784" spans="10:10" x14ac:dyDescent="0.3">
      <c r="J14784"/>
    </row>
    <row r="14785" spans="10:10" x14ac:dyDescent="0.3">
      <c r="J14785"/>
    </row>
    <row r="14786" spans="10:10" x14ac:dyDescent="0.3">
      <c r="J14786"/>
    </row>
    <row r="14787" spans="10:10" x14ac:dyDescent="0.3">
      <c r="J14787"/>
    </row>
    <row r="14788" spans="10:10" x14ac:dyDescent="0.3">
      <c r="J14788"/>
    </row>
    <row r="14789" spans="10:10" x14ac:dyDescent="0.3">
      <c r="J14789"/>
    </row>
    <row r="14790" spans="10:10" x14ac:dyDescent="0.3">
      <c r="J14790"/>
    </row>
    <row r="14791" spans="10:10" x14ac:dyDescent="0.3">
      <c r="J14791"/>
    </row>
    <row r="14792" spans="10:10" x14ac:dyDescent="0.3">
      <c r="J14792"/>
    </row>
    <row r="14793" spans="10:10" x14ac:dyDescent="0.3">
      <c r="J14793"/>
    </row>
    <row r="14794" spans="10:10" x14ac:dyDescent="0.3">
      <c r="J14794"/>
    </row>
    <row r="14795" spans="10:10" x14ac:dyDescent="0.3">
      <c r="J14795"/>
    </row>
    <row r="14796" spans="10:10" x14ac:dyDescent="0.3">
      <c r="J14796"/>
    </row>
    <row r="14797" spans="10:10" x14ac:dyDescent="0.3">
      <c r="J14797"/>
    </row>
    <row r="14798" spans="10:10" x14ac:dyDescent="0.3">
      <c r="J14798"/>
    </row>
    <row r="14799" spans="10:10" x14ac:dyDescent="0.3">
      <c r="J14799"/>
    </row>
    <row r="14800" spans="10:10" x14ac:dyDescent="0.3">
      <c r="J14800"/>
    </row>
    <row r="14801" spans="10:10" x14ac:dyDescent="0.3">
      <c r="J14801"/>
    </row>
    <row r="14802" spans="10:10" x14ac:dyDescent="0.3">
      <c r="J14802"/>
    </row>
    <row r="14803" spans="10:10" x14ac:dyDescent="0.3">
      <c r="J14803"/>
    </row>
    <row r="14804" spans="10:10" x14ac:dyDescent="0.3">
      <c r="J14804"/>
    </row>
    <row r="14805" spans="10:10" x14ac:dyDescent="0.3">
      <c r="J14805"/>
    </row>
    <row r="14806" spans="10:10" x14ac:dyDescent="0.3">
      <c r="J14806"/>
    </row>
    <row r="14807" spans="10:10" x14ac:dyDescent="0.3">
      <c r="J14807"/>
    </row>
    <row r="14808" spans="10:10" x14ac:dyDescent="0.3">
      <c r="J14808"/>
    </row>
    <row r="14809" spans="10:10" x14ac:dyDescent="0.3">
      <c r="J14809"/>
    </row>
    <row r="14810" spans="10:10" x14ac:dyDescent="0.3">
      <c r="J14810"/>
    </row>
    <row r="14811" spans="10:10" x14ac:dyDescent="0.3">
      <c r="J14811"/>
    </row>
    <row r="14812" spans="10:10" x14ac:dyDescent="0.3">
      <c r="J14812"/>
    </row>
    <row r="14813" spans="10:10" x14ac:dyDescent="0.3">
      <c r="J14813"/>
    </row>
    <row r="14814" spans="10:10" x14ac:dyDescent="0.3">
      <c r="J14814"/>
    </row>
    <row r="14815" spans="10:10" x14ac:dyDescent="0.3">
      <c r="J14815"/>
    </row>
    <row r="14816" spans="10:10" x14ac:dyDescent="0.3">
      <c r="J14816"/>
    </row>
    <row r="14817" spans="10:10" x14ac:dyDescent="0.3">
      <c r="J14817"/>
    </row>
    <row r="14818" spans="10:10" x14ac:dyDescent="0.3">
      <c r="J14818"/>
    </row>
    <row r="14819" spans="10:10" x14ac:dyDescent="0.3">
      <c r="J14819"/>
    </row>
    <row r="14820" spans="10:10" x14ac:dyDescent="0.3">
      <c r="J14820"/>
    </row>
    <row r="14821" spans="10:10" x14ac:dyDescent="0.3">
      <c r="J14821"/>
    </row>
    <row r="14822" spans="10:10" x14ac:dyDescent="0.3">
      <c r="J14822"/>
    </row>
    <row r="14823" spans="10:10" x14ac:dyDescent="0.3">
      <c r="J14823"/>
    </row>
    <row r="14824" spans="10:10" x14ac:dyDescent="0.3">
      <c r="J14824"/>
    </row>
    <row r="14825" spans="10:10" x14ac:dyDescent="0.3">
      <c r="J14825"/>
    </row>
    <row r="14826" spans="10:10" x14ac:dyDescent="0.3">
      <c r="J14826"/>
    </row>
    <row r="14827" spans="10:10" x14ac:dyDescent="0.3">
      <c r="J14827"/>
    </row>
    <row r="14828" spans="10:10" x14ac:dyDescent="0.3">
      <c r="J14828"/>
    </row>
    <row r="14829" spans="10:10" x14ac:dyDescent="0.3">
      <c r="J14829"/>
    </row>
    <row r="14830" spans="10:10" x14ac:dyDescent="0.3">
      <c r="J14830"/>
    </row>
    <row r="14831" spans="10:10" x14ac:dyDescent="0.3">
      <c r="J14831"/>
    </row>
    <row r="14832" spans="10:10" x14ac:dyDescent="0.3">
      <c r="J14832"/>
    </row>
    <row r="14833" spans="10:10" x14ac:dyDescent="0.3">
      <c r="J14833"/>
    </row>
    <row r="14834" spans="10:10" x14ac:dyDescent="0.3">
      <c r="J14834"/>
    </row>
    <row r="14835" spans="10:10" x14ac:dyDescent="0.3">
      <c r="J14835"/>
    </row>
    <row r="14836" spans="10:10" x14ac:dyDescent="0.3">
      <c r="J14836"/>
    </row>
    <row r="14837" spans="10:10" x14ac:dyDescent="0.3">
      <c r="J14837"/>
    </row>
    <row r="14838" spans="10:10" x14ac:dyDescent="0.3">
      <c r="J14838"/>
    </row>
    <row r="14839" spans="10:10" x14ac:dyDescent="0.3">
      <c r="J14839"/>
    </row>
    <row r="14840" spans="10:10" x14ac:dyDescent="0.3">
      <c r="J14840"/>
    </row>
    <row r="14841" spans="10:10" x14ac:dyDescent="0.3">
      <c r="J14841"/>
    </row>
    <row r="14842" spans="10:10" x14ac:dyDescent="0.3">
      <c r="J14842"/>
    </row>
    <row r="14843" spans="10:10" x14ac:dyDescent="0.3">
      <c r="J14843"/>
    </row>
    <row r="14844" spans="10:10" x14ac:dyDescent="0.3">
      <c r="J14844"/>
    </row>
    <row r="14845" spans="10:10" x14ac:dyDescent="0.3">
      <c r="J14845"/>
    </row>
    <row r="14846" spans="10:10" x14ac:dyDescent="0.3">
      <c r="J14846"/>
    </row>
    <row r="14847" spans="10:10" x14ac:dyDescent="0.3">
      <c r="J14847"/>
    </row>
    <row r="14848" spans="10:10" x14ac:dyDescent="0.3">
      <c r="J14848"/>
    </row>
    <row r="14849" spans="10:10" x14ac:dyDescent="0.3">
      <c r="J14849"/>
    </row>
    <row r="14850" spans="10:10" x14ac:dyDescent="0.3">
      <c r="J14850"/>
    </row>
    <row r="14851" spans="10:10" x14ac:dyDescent="0.3">
      <c r="J14851"/>
    </row>
    <row r="14852" spans="10:10" x14ac:dyDescent="0.3">
      <c r="J14852"/>
    </row>
    <row r="14853" spans="10:10" x14ac:dyDescent="0.3">
      <c r="J14853"/>
    </row>
    <row r="14854" spans="10:10" x14ac:dyDescent="0.3">
      <c r="J14854"/>
    </row>
    <row r="14855" spans="10:10" x14ac:dyDescent="0.3">
      <c r="J14855"/>
    </row>
    <row r="14856" spans="10:10" x14ac:dyDescent="0.3">
      <c r="J14856"/>
    </row>
    <row r="14857" spans="10:10" x14ac:dyDescent="0.3">
      <c r="J14857"/>
    </row>
    <row r="14858" spans="10:10" x14ac:dyDescent="0.3">
      <c r="J14858"/>
    </row>
    <row r="14859" spans="10:10" x14ac:dyDescent="0.3">
      <c r="J14859"/>
    </row>
    <row r="14860" spans="10:10" x14ac:dyDescent="0.3">
      <c r="J14860"/>
    </row>
    <row r="14861" spans="10:10" x14ac:dyDescent="0.3">
      <c r="J14861"/>
    </row>
    <row r="14862" spans="10:10" x14ac:dyDescent="0.3">
      <c r="J14862"/>
    </row>
    <row r="14863" spans="10:10" x14ac:dyDescent="0.3">
      <c r="J14863"/>
    </row>
    <row r="14864" spans="10:10" x14ac:dyDescent="0.3">
      <c r="J14864"/>
    </row>
    <row r="14865" spans="10:10" x14ac:dyDescent="0.3">
      <c r="J14865"/>
    </row>
    <row r="14866" spans="10:10" x14ac:dyDescent="0.3">
      <c r="J14866"/>
    </row>
    <row r="14867" spans="10:10" x14ac:dyDescent="0.3">
      <c r="J14867"/>
    </row>
    <row r="14868" spans="10:10" x14ac:dyDescent="0.3">
      <c r="J14868"/>
    </row>
    <row r="14869" spans="10:10" x14ac:dyDescent="0.3">
      <c r="J14869"/>
    </row>
    <row r="14870" spans="10:10" x14ac:dyDescent="0.3">
      <c r="J14870"/>
    </row>
    <row r="14871" spans="10:10" x14ac:dyDescent="0.3">
      <c r="J14871"/>
    </row>
    <row r="14872" spans="10:10" x14ac:dyDescent="0.3">
      <c r="J14872"/>
    </row>
    <row r="14873" spans="10:10" x14ac:dyDescent="0.3">
      <c r="J14873"/>
    </row>
    <row r="14874" spans="10:10" x14ac:dyDescent="0.3">
      <c r="J14874"/>
    </row>
    <row r="14875" spans="10:10" x14ac:dyDescent="0.3">
      <c r="J14875"/>
    </row>
    <row r="14876" spans="10:10" x14ac:dyDescent="0.3">
      <c r="J14876"/>
    </row>
    <row r="14877" spans="10:10" x14ac:dyDescent="0.3">
      <c r="J14877"/>
    </row>
    <row r="14878" spans="10:10" x14ac:dyDescent="0.3">
      <c r="J14878"/>
    </row>
    <row r="14879" spans="10:10" x14ac:dyDescent="0.3">
      <c r="J14879"/>
    </row>
    <row r="14880" spans="10:10" x14ac:dyDescent="0.3">
      <c r="J14880"/>
    </row>
    <row r="14881" spans="10:10" x14ac:dyDescent="0.3">
      <c r="J14881"/>
    </row>
    <row r="14882" spans="10:10" x14ac:dyDescent="0.3">
      <c r="J14882"/>
    </row>
    <row r="14883" spans="10:10" x14ac:dyDescent="0.3">
      <c r="J14883"/>
    </row>
    <row r="14884" spans="10:10" x14ac:dyDescent="0.3">
      <c r="J14884"/>
    </row>
    <row r="14885" spans="10:10" x14ac:dyDescent="0.3">
      <c r="J14885"/>
    </row>
    <row r="14886" spans="10:10" x14ac:dyDescent="0.3">
      <c r="J14886"/>
    </row>
    <row r="14887" spans="10:10" x14ac:dyDescent="0.3">
      <c r="J14887"/>
    </row>
    <row r="14888" spans="10:10" x14ac:dyDescent="0.3">
      <c r="J14888"/>
    </row>
    <row r="14889" spans="10:10" x14ac:dyDescent="0.3">
      <c r="J14889"/>
    </row>
    <row r="14890" spans="10:10" x14ac:dyDescent="0.3">
      <c r="J14890"/>
    </row>
    <row r="14891" spans="10:10" x14ac:dyDescent="0.3">
      <c r="J14891"/>
    </row>
    <row r="14892" spans="10:10" x14ac:dyDescent="0.3">
      <c r="J14892"/>
    </row>
    <row r="14893" spans="10:10" x14ac:dyDescent="0.3">
      <c r="J14893"/>
    </row>
    <row r="14894" spans="10:10" x14ac:dyDescent="0.3">
      <c r="J14894"/>
    </row>
    <row r="14895" spans="10:10" x14ac:dyDescent="0.3">
      <c r="J14895"/>
    </row>
    <row r="14896" spans="10:10" x14ac:dyDescent="0.3">
      <c r="J14896"/>
    </row>
    <row r="14897" spans="10:10" x14ac:dyDescent="0.3">
      <c r="J14897"/>
    </row>
    <row r="14898" spans="10:10" x14ac:dyDescent="0.3">
      <c r="J14898"/>
    </row>
    <row r="14899" spans="10:10" x14ac:dyDescent="0.3">
      <c r="J14899"/>
    </row>
    <row r="14900" spans="10:10" x14ac:dyDescent="0.3">
      <c r="J14900"/>
    </row>
    <row r="14901" spans="10:10" x14ac:dyDescent="0.3">
      <c r="J14901"/>
    </row>
    <row r="14902" spans="10:10" x14ac:dyDescent="0.3">
      <c r="J14902"/>
    </row>
    <row r="14903" spans="10:10" x14ac:dyDescent="0.3">
      <c r="J14903"/>
    </row>
    <row r="14904" spans="10:10" x14ac:dyDescent="0.3">
      <c r="J14904"/>
    </row>
    <row r="14905" spans="10:10" x14ac:dyDescent="0.3">
      <c r="J14905"/>
    </row>
    <row r="14906" spans="10:10" x14ac:dyDescent="0.3">
      <c r="J14906"/>
    </row>
    <row r="14907" spans="10:10" x14ac:dyDescent="0.3">
      <c r="J14907"/>
    </row>
    <row r="14908" spans="10:10" x14ac:dyDescent="0.3">
      <c r="J14908"/>
    </row>
    <row r="14909" spans="10:10" x14ac:dyDescent="0.3">
      <c r="J14909"/>
    </row>
    <row r="14910" spans="10:10" x14ac:dyDescent="0.3">
      <c r="J14910"/>
    </row>
    <row r="14911" spans="10:10" x14ac:dyDescent="0.3">
      <c r="J14911"/>
    </row>
    <row r="14912" spans="10:10" x14ac:dyDescent="0.3">
      <c r="J14912"/>
    </row>
    <row r="14913" spans="10:10" x14ac:dyDescent="0.3">
      <c r="J14913"/>
    </row>
    <row r="14914" spans="10:10" x14ac:dyDescent="0.3">
      <c r="J14914"/>
    </row>
    <row r="14915" spans="10:10" x14ac:dyDescent="0.3">
      <c r="J14915"/>
    </row>
    <row r="14916" spans="10:10" x14ac:dyDescent="0.3">
      <c r="J14916"/>
    </row>
    <row r="14917" spans="10:10" x14ac:dyDescent="0.3">
      <c r="J14917"/>
    </row>
    <row r="14918" spans="10:10" x14ac:dyDescent="0.3">
      <c r="J14918"/>
    </row>
    <row r="14919" spans="10:10" x14ac:dyDescent="0.3">
      <c r="J14919"/>
    </row>
    <row r="14920" spans="10:10" x14ac:dyDescent="0.3">
      <c r="J14920"/>
    </row>
    <row r="14921" spans="10:10" x14ac:dyDescent="0.3">
      <c r="J14921"/>
    </row>
    <row r="14922" spans="10:10" x14ac:dyDescent="0.3">
      <c r="J14922"/>
    </row>
    <row r="14923" spans="10:10" x14ac:dyDescent="0.3">
      <c r="J14923"/>
    </row>
    <row r="14924" spans="10:10" x14ac:dyDescent="0.3">
      <c r="J14924"/>
    </row>
    <row r="14925" spans="10:10" x14ac:dyDescent="0.3">
      <c r="J14925"/>
    </row>
    <row r="14926" spans="10:10" x14ac:dyDescent="0.3">
      <c r="J14926"/>
    </row>
    <row r="14927" spans="10:10" x14ac:dyDescent="0.3">
      <c r="J14927"/>
    </row>
    <row r="14928" spans="10:10" x14ac:dyDescent="0.3">
      <c r="J14928"/>
    </row>
    <row r="14929" spans="10:10" x14ac:dyDescent="0.3">
      <c r="J14929"/>
    </row>
    <row r="14930" spans="10:10" x14ac:dyDescent="0.3">
      <c r="J14930"/>
    </row>
    <row r="14931" spans="10:10" x14ac:dyDescent="0.3">
      <c r="J14931"/>
    </row>
    <row r="14932" spans="10:10" x14ac:dyDescent="0.3">
      <c r="J14932"/>
    </row>
    <row r="14933" spans="10:10" x14ac:dyDescent="0.3">
      <c r="J14933"/>
    </row>
    <row r="14934" spans="10:10" x14ac:dyDescent="0.3">
      <c r="J14934"/>
    </row>
    <row r="14935" spans="10:10" x14ac:dyDescent="0.3">
      <c r="J14935"/>
    </row>
    <row r="14936" spans="10:10" x14ac:dyDescent="0.3">
      <c r="J14936"/>
    </row>
    <row r="14937" spans="10:10" x14ac:dyDescent="0.3">
      <c r="J14937"/>
    </row>
    <row r="14938" spans="10:10" x14ac:dyDescent="0.3">
      <c r="J14938"/>
    </row>
    <row r="14939" spans="10:10" x14ac:dyDescent="0.3">
      <c r="J14939"/>
    </row>
    <row r="14940" spans="10:10" x14ac:dyDescent="0.3">
      <c r="J14940"/>
    </row>
    <row r="14941" spans="10:10" x14ac:dyDescent="0.3">
      <c r="J14941"/>
    </row>
    <row r="14942" spans="10:10" x14ac:dyDescent="0.3">
      <c r="J14942"/>
    </row>
    <row r="14943" spans="10:10" x14ac:dyDescent="0.3">
      <c r="J14943"/>
    </row>
    <row r="14944" spans="10:10" x14ac:dyDescent="0.3">
      <c r="J14944"/>
    </row>
    <row r="14945" spans="10:10" x14ac:dyDescent="0.3">
      <c r="J14945"/>
    </row>
    <row r="14946" spans="10:10" x14ac:dyDescent="0.3">
      <c r="J14946"/>
    </row>
    <row r="14947" spans="10:10" x14ac:dyDescent="0.3">
      <c r="J14947"/>
    </row>
    <row r="14948" spans="10:10" x14ac:dyDescent="0.3">
      <c r="J14948"/>
    </row>
    <row r="14949" spans="10:10" x14ac:dyDescent="0.3">
      <c r="J14949"/>
    </row>
    <row r="14950" spans="10:10" x14ac:dyDescent="0.3">
      <c r="J14950"/>
    </row>
    <row r="14951" spans="10:10" x14ac:dyDescent="0.3">
      <c r="J14951"/>
    </row>
    <row r="14952" spans="10:10" x14ac:dyDescent="0.3">
      <c r="J14952"/>
    </row>
    <row r="14953" spans="10:10" x14ac:dyDescent="0.3">
      <c r="J14953"/>
    </row>
    <row r="14954" spans="10:10" x14ac:dyDescent="0.3">
      <c r="J14954"/>
    </row>
    <row r="14955" spans="10:10" x14ac:dyDescent="0.3">
      <c r="J14955"/>
    </row>
    <row r="14956" spans="10:10" x14ac:dyDescent="0.3">
      <c r="J14956"/>
    </row>
    <row r="14957" spans="10:10" x14ac:dyDescent="0.3">
      <c r="J14957"/>
    </row>
    <row r="14958" spans="10:10" x14ac:dyDescent="0.3">
      <c r="J14958"/>
    </row>
    <row r="14959" spans="10:10" x14ac:dyDescent="0.3">
      <c r="J14959"/>
    </row>
    <row r="14960" spans="10:10" x14ac:dyDescent="0.3">
      <c r="J14960"/>
    </row>
    <row r="14961" spans="10:10" x14ac:dyDescent="0.3">
      <c r="J14961"/>
    </row>
    <row r="14962" spans="10:10" x14ac:dyDescent="0.3">
      <c r="J14962"/>
    </row>
    <row r="14963" spans="10:10" x14ac:dyDescent="0.3">
      <c r="J14963"/>
    </row>
    <row r="14964" spans="10:10" x14ac:dyDescent="0.3">
      <c r="J14964"/>
    </row>
    <row r="14965" spans="10:10" x14ac:dyDescent="0.3">
      <c r="J14965"/>
    </row>
    <row r="14966" spans="10:10" x14ac:dyDescent="0.3">
      <c r="J14966"/>
    </row>
    <row r="14967" spans="10:10" x14ac:dyDescent="0.3">
      <c r="J14967"/>
    </row>
    <row r="14968" spans="10:10" x14ac:dyDescent="0.3">
      <c r="J14968"/>
    </row>
    <row r="14969" spans="10:10" x14ac:dyDescent="0.3">
      <c r="J14969"/>
    </row>
    <row r="14970" spans="10:10" x14ac:dyDescent="0.3">
      <c r="J14970"/>
    </row>
    <row r="14971" spans="10:10" x14ac:dyDescent="0.3">
      <c r="J14971"/>
    </row>
    <row r="14972" spans="10:10" x14ac:dyDescent="0.3">
      <c r="J14972"/>
    </row>
    <row r="14973" spans="10:10" x14ac:dyDescent="0.3">
      <c r="J14973"/>
    </row>
    <row r="14974" spans="10:10" x14ac:dyDescent="0.3">
      <c r="J14974"/>
    </row>
    <row r="14975" spans="10:10" x14ac:dyDescent="0.3">
      <c r="J14975"/>
    </row>
    <row r="14976" spans="10:10" x14ac:dyDescent="0.3">
      <c r="J14976"/>
    </row>
    <row r="14977" spans="10:10" x14ac:dyDescent="0.3">
      <c r="J14977"/>
    </row>
    <row r="14978" spans="10:10" x14ac:dyDescent="0.3">
      <c r="J14978"/>
    </row>
    <row r="14979" spans="10:10" x14ac:dyDescent="0.3">
      <c r="J14979"/>
    </row>
    <row r="14980" spans="10:10" x14ac:dyDescent="0.3">
      <c r="J14980"/>
    </row>
    <row r="14981" spans="10:10" x14ac:dyDescent="0.3">
      <c r="J14981"/>
    </row>
    <row r="14982" spans="10:10" x14ac:dyDescent="0.3">
      <c r="J14982"/>
    </row>
    <row r="14983" spans="10:10" x14ac:dyDescent="0.3">
      <c r="J14983"/>
    </row>
    <row r="14984" spans="10:10" x14ac:dyDescent="0.3">
      <c r="J14984"/>
    </row>
    <row r="14985" spans="10:10" x14ac:dyDescent="0.3">
      <c r="J14985"/>
    </row>
    <row r="14986" spans="10:10" x14ac:dyDescent="0.3">
      <c r="J14986"/>
    </row>
    <row r="14987" spans="10:10" x14ac:dyDescent="0.3">
      <c r="J14987"/>
    </row>
    <row r="14988" spans="10:10" x14ac:dyDescent="0.3">
      <c r="J14988"/>
    </row>
    <row r="14989" spans="10:10" x14ac:dyDescent="0.3">
      <c r="J14989"/>
    </row>
    <row r="14990" spans="10:10" x14ac:dyDescent="0.3">
      <c r="J14990"/>
    </row>
    <row r="14991" spans="10:10" x14ac:dyDescent="0.3">
      <c r="J14991"/>
    </row>
    <row r="14992" spans="10:10" x14ac:dyDescent="0.3">
      <c r="J14992"/>
    </row>
    <row r="14993" spans="10:10" x14ac:dyDescent="0.3">
      <c r="J14993"/>
    </row>
    <row r="14994" spans="10:10" x14ac:dyDescent="0.3">
      <c r="J14994"/>
    </row>
    <row r="14995" spans="10:10" x14ac:dyDescent="0.3">
      <c r="J14995"/>
    </row>
    <row r="14996" spans="10:10" x14ac:dyDescent="0.3">
      <c r="J14996"/>
    </row>
    <row r="14997" spans="10:10" x14ac:dyDescent="0.3">
      <c r="J14997"/>
    </row>
    <row r="14998" spans="10:10" x14ac:dyDescent="0.3">
      <c r="J14998"/>
    </row>
    <row r="14999" spans="10:10" x14ac:dyDescent="0.3">
      <c r="J14999"/>
    </row>
    <row r="15000" spans="10:10" x14ac:dyDescent="0.3">
      <c r="J15000"/>
    </row>
    <row r="15001" spans="10:10" x14ac:dyDescent="0.3">
      <c r="J15001"/>
    </row>
    <row r="15002" spans="10:10" x14ac:dyDescent="0.3">
      <c r="J15002"/>
    </row>
    <row r="15003" spans="10:10" x14ac:dyDescent="0.3">
      <c r="J15003"/>
    </row>
    <row r="15004" spans="10:10" x14ac:dyDescent="0.3">
      <c r="J15004"/>
    </row>
    <row r="15005" spans="10:10" x14ac:dyDescent="0.3">
      <c r="J15005"/>
    </row>
    <row r="15006" spans="10:10" x14ac:dyDescent="0.3">
      <c r="J15006"/>
    </row>
    <row r="15007" spans="10:10" x14ac:dyDescent="0.3">
      <c r="J15007"/>
    </row>
    <row r="15008" spans="10:10" x14ac:dyDescent="0.3">
      <c r="J15008"/>
    </row>
    <row r="15009" spans="10:10" x14ac:dyDescent="0.3">
      <c r="J15009"/>
    </row>
    <row r="15010" spans="10:10" x14ac:dyDescent="0.3">
      <c r="J15010"/>
    </row>
    <row r="15011" spans="10:10" x14ac:dyDescent="0.3">
      <c r="J15011"/>
    </row>
    <row r="15012" spans="10:10" x14ac:dyDescent="0.3">
      <c r="J15012"/>
    </row>
    <row r="15013" spans="10:10" x14ac:dyDescent="0.3">
      <c r="J15013"/>
    </row>
    <row r="15014" spans="10:10" x14ac:dyDescent="0.3">
      <c r="J15014"/>
    </row>
    <row r="15015" spans="10:10" x14ac:dyDescent="0.3">
      <c r="J15015"/>
    </row>
    <row r="15016" spans="10:10" x14ac:dyDescent="0.3">
      <c r="J15016"/>
    </row>
    <row r="15017" spans="10:10" x14ac:dyDescent="0.3">
      <c r="J15017"/>
    </row>
    <row r="15018" spans="10:10" x14ac:dyDescent="0.3">
      <c r="J15018"/>
    </row>
    <row r="15019" spans="10:10" x14ac:dyDescent="0.3">
      <c r="J15019"/>
    </row>
    <row r="15020" spans="10:10" x14ac:dyDescent="0.3">
      <c r="J15020"/>
    </row>
    <row r="15021" spans="10:10" x14ac:dyDescent="0.3">
      <c r="J15021"/>
    </row>
    <row r="15022" spans="10:10" x14ac:dyDescent="0.3">
      <c r="J15022"/>
    </row>
    <row r="15023" spans="10:10" x14ac:dyDescent="0.3">
      <c r="J15023"/>
    </row>
    <row r="15024" spans="10:10" x14ac:dyDescent="0.3">
      <c r="J15024"/>
    </row>
    <row r="15025" spans="10:10" x14ac:dyDescent="0.3">
      <c r="J15025"/>
    </row>
    <row r="15026" spans="10:10" x14ac:dyDescent="0.3">
      <c r="J15026"/>
    </row>
    <row r="15027" spans="10:10" x14ac:dyDescent="0.3">
      <c r="J15027"/>
    </row>
    <row r="15028" spans="10:10" x14ac:dyDescent="0.3">
      <c r="J15028"/>
    </row>
    <row r="15029" spans="10:10" x14ac:dyDescent="0.3">
      <c r="J15029"/>
    </row>
    <row r="15030" spans="10:10" x14ac:dyDescent="0.3">
      <c r="J15030"/>
    </row>
    <row r="15031" spans="10:10" x14ac:dyDescent="0.3">
      <c r="J15031"/>
    </row>
    <row r="15032" spans="10:10" x14ac:dyDescent="0.3">
      <c r="J15032"/>
    </row>
    <row r="15033" spans="10:10" x14ac:dyDescent="0.3">
      <c r="J15033"/>
    </row>
    <row r="15034" spans="10:10" x14ac:dyDescent="0.3">
      <c r="J15034"/>
    </row>
    <row r="15035" spans="10:10" x14ac:dyDescent="0.3">
      <c r="J15035"/>
    </row>
    <row r="15036" spans="10:10" x14ac:dyDescent="0.3">
      <c r="J15036"/>
    </row>
    <row r="15037" spans="10:10" x14ac:dyDescent="0.3">
      <c r="J15037"/>
    </row>
    <row r="15038" spans="10:10" x14ac:dyDescent="0.3">
      <c r="J15038"/>
    </row>
    <row r="15039" spans="10:10" x14ac:dyDescent="0.3">
      <c r="J15039"/>
    </row>
    <row r="15040" spans="10:10" x14ac:dyDescent="0.3">
      <c r="J15040"/>
    </row>
    <row r="15041" spans="10:10" x14ac:dyDescent="0.3">
      <c r="J15041"/>
    </row>
    <row r="15042" spans="10:10" x14ac:dyDescent="0.3">
      <c r="J15042"/>
    </row>
    <row r="15043" spans="10:10" x14ac:dyDescent="0.3">
      <c r="J15043"/>
    </row>
    <row r="15044" spans="10:10" x14ac:dyDescent="0.3">
      <c r="J15044"/>
    </row>
    <row r="15045" spans="10:10" x14ac:dyDescent="0.3">
      <c r="J15045"/>
    </row>
    <row r="15046" spans="10:10" x14ac:dyDescent="0.3">
      <c r="J15046"/>
    </row>
    <row r="15047" spans="10:10" x14ac:dyDescent="0.3">
      <c r="J15047"/>
    </row>
    <row r="15048" spans="10:10" x14ac:dyDescent="0.3">
      <c r="J15048"/>
    </row>
    <row r="15049" spans="10:10" x14ac:dyDescent="0.3">
      <c r="J15049"/>
    </row>
    <row r="15050" spans="10:10" x14ac:dyDescent="0.3">
      <c r="J15050"/>
    </row>
    <row r="15051" spans="10:10" x14ac:dyDescent="0.3">
      <c r="J15051"/>
    </row>
    <row r="15052" spans="10:10" x14ac:dyDescent="0.3">
      <c r="J15052"/>
    </row>
    <row r="15053" spans="10:10" x14ac:dyDescent="0.3">
      <c r="J15053"/>
    </row>
    <row r="15054" spans="10:10" x14ac:dyDescent="0.3">
      <c r="J15054"/>
    </row>
    <row r="15055" spans="10:10" x14ac:dyDescent="0.3">
      <c r="J15055"/>
    </row>
    <row r="15056" spans="10:10" x14ac:dyDescent="0.3">
      <c r="J15056"/>
    </row>
    <row r="15057" spans="10:10" x14ac:dyDescent="0.3">
      <c r="J15057"/>
    </row>
    <row r="15058" spans="10:10" x14ac:dyDescent="0.3">
      <c r="J15058"/>
    </row>
    <row r="15059" spans="10:10" x14ac:dyDescent="0.3">
      <c r="J15059"/>
    </row>
    <row r="15060" spans="10:10" x14ac:dyDescent="0.3">
      <c r="J15060"/>
    </row>
    <row r="15061" spans="10:10" x14ac:dyDescent="0.3">
      <c r="J15061"/>
    </row>
    <row r="15062" spans="10:10" x14ac:dyDescent="0.3">
      <c r="J15062"/>
    </row>
    <row r="15063" spans="10:10" x14ac:dyDescent="0.3">
      <c r="J15063"/>
    </row>
    <row r="15064" spans="10:10" x14ac:dyDescent="0.3">
      <c r="J15064"/>
    </row>
    <row r="15065" spans="10:10" x14ac:dyDescent="0.3">
      <c r="J15065"/>
    </row>
    <row r="15066" spans="10:10" x14ac:dyDescent="0.3">
      <c r="J15066"/>
    </row>
    <row r="15067" spans="10:10" x14ac:dyDescent="0.3">
      <c r="J15067"/>
    </row>
    <row r="15068" spans="10:10" x14ac:dyDescent="0.3">
      <c r="J15068"/>
    </row>
    <row r="15069" spans="10:10" x14ac:dyDescent="0.3">
      <c r="J15069"/>
    </row>
    <row r="15070" spans="10:10" x14ac:dyDescent="0.3">
      <c r="J15070"/>
    </row>
    <row r="15071" spans="10:10" x14ac:dyDescent="0.3">
      <c r="J15071"/>
    </row>
    <row r="15072" spans="10:10" x14ac:dyDescent="0.3">
      <c r="J15072"/>
    </row>
    <row r="15073" spans="10:10" x14ac:dyDescent="0.3">
      <c r="J15073"/>
    </row>
    <row r="15074" spans="10:10" x14ac:dyDescent="0.3">
      <c r="J15074"/>
    </row>
    <row r="15075" spans="10:10" x14ac:dyDescent="0.3">
      <c r="J15075"/>
    </row>
    <row r="15076" spans="10:10" x14ac:dyDescent="0.3">
      <c r="J15076"/>
    </row>
    <row r="15077" spans="10:10" x14ac:dyDescent="0.3">
      <c r="J15077"/>
    </row>
    <row r="15078" spans="10:10" x14ac:dyDescent="0.3">
      <c r="J15078"/>
    </row>
    <row r="15079" spans="10:10" x14ac:dyDescent="0.3">
      <c r="J15079"/>
    </row>
    <row r="15080" spans="10:10" x14ac:dyDescent="0.3">
      <c r="J15080"/>
    </row>
    <row r="15081" spans="10:10" x14ac:dyDescent="0.3">
      <c r="J15081"/>
    </row>
    <row r="15082" spans="10:10" x14ac:dyDescent="0.3">
      <c r="J15082"/>
    </row>
    <row r="15083" spans="10:10" x14ac:dyDescent="0.3">
      <c r="J15083"/>
    </row>
    <row r="15084" spans="10:10" x14ac:dyDescent="0.3">
      <c r="J15084"/>
    </row>
    <row r="15085" spans="10:10" x14ac:dyDescent="0.3">
      <c r="J15085"/>
    </row>
    <row r="15086" spans="10:10" x14ac:dyDescent="0.3">
      <c r="J15086"/>
    </row>
    <row r="15087" spans="10:10" x14ac:dyDescent="0.3">
      <c r="J15087"/>
    </row>
    <row r="15088" spans="10:10" x14ac:dyDescent="0.3">
      <c r="J15088"/>
    </row>
    <row r="15089" spans="10:10" x14ac:dyDescent="0.3">
      <c r="J15089"/>
    </row>
    <row r="15090" spans="10:10" x14ac:dyDescent="0.3">
      <c r="J15090"/>
    </row>
    <row r="15091" spans="10:10" x14ac:dyDescent="0.3">
      <c r="J15091"/>
    </row>
    <row r="15092" spans="10:10" x14ac:dyDescent="0.3">
      <c r="J15092"/>
    </row>
    <row r="15093" spans="10:10" x14ac:dyDescent="0.3">
      <c r="J15093"/>
    </row>
    <row r="15094" spans="10:10" x14ac:dyDescent="0.3">
      <c r="J15094"/>
    </row>
    <row r="15095" spans="10:10" x14ac:dyDescent="0.3">
      <c r="J15095"/>
    </row>
    <row r="15096" spans="10:10" x14ac:dyDescent="0.3">
      <c r="J15096"/>
    </row>
    <row r="15097" spans="10:10" x14ac:dyDescent="0.3">
      <c r="J15097"/>
    </row>
    <row r="15098" spans="10:10" x14ac:dyDescent="0.3">
      <c r="J15098"/>
    </row>
    <row r="15099" spans="10:10" x14ac:dyDescent="0.3">
      <c r="J15099"/>
    </row>
    <row r="15100" spans="10:10" x14ac:dyDescent="0.3">
      <c r="J15100"/>
    </row>
    <row r="15101" spans="10:10" x14ac:dyDescent="0.3">
      <c r="J15101"/>
    </row>
    <row r="15102" spans="10:10" x14ac:dyDescent="0.3">
      <c r="J15102"/>
    </row>
    <row r="15103" spans="10:10" x14ac:dyDescent="0.3">
      <c r="J15103"/>
    </row>
    <row r="15104" spans="10:10" x14ac:dyDescent="0.3">
      <c r="J15104"/>
    </row>
    <row r="15105" spans="10:10" x14ac:dyDescent="0.3">
      <c r="J15105"/>
    </row>
    <row r="15106" spans="10:10" x14ac:dyDescent="0.3">
      <c r="J15106"/>
    </row>
    <row r="15107" spans="10:10" x14ac:dyDescent="0.3">
      <c r="J15107"/>
    </row>
    <row r="15108" spans="10:10" x14ac:dyDescent="0.3">
      <c r="J15108"/>
    </row>
    <row r="15109" spans="10:10" x14ac:dyDescent="0.3">
      <c r="J15109"/>
    </row>
    <row r="15110" spans="10:10" x14ac:dyDescent="0.3">
      <c r="J15110"/>
    </row>
    <row r="15111" spans="10:10" x14ac:dyDescent="0.3">
      <c r="J15111"/>
    </row>
    <row r="15112" spans="10:10" x14ac:dyDescent="0.3">
      <c r="J15112"/>
    </row>
    <row r="15113" spans="10:10" x14ac:dyDescent="0.3">
      <c r="J15113"/>
    </row>
    <row r="15114" spans="10:10" x14ac:dyDescent="0.3">
      <c r="J15114"/>
    </row>
    <row r="15115" spans="10:10" x14ac:dyDescent="0.3">
      <c r="J15115"/>
    </row>
    <row r="15116" spans="10:10" x14ac:dyDescent="0.3">
      <c r="J15116"/>
    </row>
    <row r="15117" spans="10:10" x14ac:dyDescent="0.3">
      <c r="J15117"/>
    </row>
    <row r="15118" spans="10:10" x14ac:dyDescent="0.3">
      <c r="J15118"/>
    </row>
    <row r="15119" spans="10:10" x14ac:dyDescent="0.3">
      <c r="J15119"/>
    </row>
    <row r="15120" spans="10:10" x14ac:dyDescent="0.3">
      <c r="J15120"/>
    </row>
    <row r="15121" spans="10:10" x14ac:dyDescent="0.3">
      <c r="J15121"/>
    </row>
    <row r="15122" spans="10:10" x14ac:dyDescent="0.3">
      <c r="J15122"/>
    </row>
    <row r="15123" spans="10:10" x14ac:dyDescent="0.3">
      <c r="J15123"/>
    </row>
    <row r="15124" spans="10:10" x14ac:dyDescent="0.3">
      <c r="J15124"/>
    </row>
    <row r="15125" spans="10:10" x14ac:dyDescent="0.3">
      <c r="J15125"/>
    </row>
    <row r="15126" spans="10:10" x14ac:dyDescent="0.3">
      <c r="J15126"/>
    </row>
    <row r="15127" spans="10:10" x14ac:dyDescent="0.3">
      <c r="J15127"/>
    </row>
    <row r="15128" spans="10:10" x14ac:dyDescent="0.3">
      <c r="J15128"/>
    </row>
    <row r="15129" spans="10:10" x14ac:dyDescent="0.3">
      <c r="J15129"/>
    </row>
    <row r="15130" spans="10:10" x14ac:dyDescent="0.3">
      <c r="J15130"/>
    </row>
    <row r="15131" spans="10:10" x14ac:dyDescent="0.3">
      <c r="J15131"/>
    </row>
    <row r="15132" spans="10:10" x14ac:dyDescent="0.3">
      <c r="J15132"/>
    </row>
    <row r="15133" spans="10:10" x14ac:dyDescent="0.3">
      <c r="J15133"/>
    </row>
    <row r="15134" spans="10:10" x14ac:dyDescent="0.3">
      <c r="J15134"/>
    </row>
    <row r="15135" spans="10:10" x14ac:dyDescent="0.3">
      <c r="J15135"/>
    </row>
    <row r="15136" spans="10:10" x14ac:dyDescent="0.3">
      <c r="J15136"/>
    </row>
    <row r="15137" spans="10:10" x14ac:dyDescent="0.3">
      <c r="J15137"/>
    </row>
    <row r="15138" spans="10:10" x14ac:dyDescent="0.3">
      <c r="J15138"/>
    </row>
    <row r="15139" spans="10:10" x14ac:dyDescent="0.3">
      <c r="J15139"/>
    </row>
    <row r="15140" spans="10:10" x14ac:dyDescent="0.3">
      <c r="J15140"/>
    </row>
    <row r="15141" spans="10:10" x14ac:dyDescent="0.3">
      <c r="J15141"/>
    </row>
    <row r="15142" spans="10:10" x14ac:dyDescent="0.3">
      <c r="J15142"/>
    </row>
    <row r="15143" spans="10:10" x14ac:dyDescent="0.3">
      <c r="J15143"/>
    </row>
    <row r="15144" spans="10:10" x14ac:dyDescent="0.3">
      <c r="J15144"/>
    </row>
    <row r="15145" spans="10:10" x14ac:dyDescent="0.3">
      <c r="J15145"/>
    </row>
    <row r="15146" spans="10:10" x14ac:dyDescent="0.3">
      <c r="J15146"/>
    </row>
    <row r="15147" spans="10:10" x14ac:dyDescent="0.3">
      <c r="J15147"/>
    </row>
    <row r="15148" spans="10:10" x14ac:dyDescent="0.3">
      <c r="J15148"/>
    </row>
    <row r="15149" spans="10:10" x14ac:dyDescent="0.3">
      <c r="J15149"/>
    </row>
    <row r="15150" spans="10:10" x14ac:dyDescent="0.3">
      <c r="J15150"/>
    </row>
    <row r="15151" spans="10:10" x14ac:dyDescent="0.3">
      <c r="J15151"/>
    </row>
    <row r="15152" spans="10:10" x14ac:dyDescent="0.3">
      <c r="J15152"/>
    </row>
    <row r="15153" spans="10:10" x14ac:dyDescent="0.3">
      <c r="J15153"/>
    </row>
    <row r="15154" spans="10:10" x14ac:dyDescent="0.3">
      <c r="J15154"/>
    </row>
    <row r="15155" spans="10:10" x14ac:dyDescent="0.3">
      <c r="J15155"/>
    </row>
    <row r="15156" spans="10:10" x14ac:dyDescent="0.3">
      <c r="J15156"/>
    </row>
    <row r="15157" spans="10:10" x14ac:dyDescent="0.3">
      <c r="J15157"/>
    </row>
    <row r="15158" spans="10:10" x14ac:dyDescent="0.3">
      <c r="J15158"/>
    </row>
    <row r="15159" spans="10:10" x14ac:dyDescent="0.3">
      <c r="J15159"/>
    </row>
    <row r="15160" spans="10:10" x14ac:dyDescent="0.3">
      <c r="J15160"/>
    </row>
    <row r="15161" spans="10:10" x14ac:dyDescent="0.3">
      <c r="J15161"/>
    </row>
    <row r="15162" spans="10:10" x14ac:dyDescent="0.3">
      <c r="J15162"/>
    </row>
    <row r="15163" spans="10:10" x14ac:dyDescent="0.3">
      <c r="J15163"/>
    </row>
    <row r="15164" spans="10:10" x14ac:dyDescent="0.3">
      <c r="J15164"/>
    </row>
    <row r="15165" spans="10:10" x14ac:dyDescent="0.3">
      <c r="J15165"/>
    </row>
    <row r="15166" spans="10:10" x14ac:dyDescent="0.3">
      <c r="J15166"/>
    </row>
    <row r="15167" spans="10:10" x14ac:dyDescent="0.3">
      <c r="J15167"/>
    </row>
    <row r="15168" spans="10:10" x14ac:dyDescent="0.3">
      <c r="J15168"/>
    </row>
    <row r="15169" spans="10:10" x14ac:dyDescent="0.3">
      <c r="J15169"/>
    </row>
    <row r="15170" spans="10:10" x14ac:dyDescent="0.3">
      <c r="J15170"/>
    </row>
    <row r="15171" spans="10:10" x14ac:dyDescent="0.3">
      <c r="J15171"/>
    </row>
    <row r="15172" spans="10:10" x14ac:dyDescent="0.3">
      <c r="J15172"/>
    </row>
    <row r="15173" spans="10:10" x14ac:dyDescent="0.3">
      <c r="J15173"/>
    </row>
    <row r="15174" spans="10:10" x14ac:dyDescent="0.3">
      <c r="J15174"/>
    </row>
    <row r="15175" spans="10:10" x14ac:dyDescent="0.3">
      <c r="J15175"/>
    </row>
    <row r="15176" spans="10:10" x14ac:dyDescent="0.3">
      <c r="J15176"/>
    </row>
    <row r="15177" spans="10:10" x14ac:dyDescent="0.3">
      <c r="J15177"/>
    </row>
    <row r="15178" spans="10:10" x14ac:dyDescent="0.3">
      <c r="J15178"/>
    </row>
    <row r="15179" spans="10:10" x14ac:dyDescent="0.3">
      <c r="J15179"/>
    </row>
    <row r="15180" spans="10:10" x14ac:dyDescent="0.3">
      <c r="J15180"/>
    </row>
    <row r="15181" spans="10:10" x14ac:dyDescent="0.3">
      <c r="J15181"/>
    </row>
    <row r="15182" spans="10:10" x14ac:dyDescent="0.3">
      <c r="J15182"/>
    </row>
    <row r="15183" spans="10:10" x14ac:dyDescent="0.3">
      <c r="J15183"/>
    </row>
    <row r="15184" spans="10:10" x14ac:dyDescent="0.3">
      <c r="J15184"/>
    </row>
    <row r="15185" spans="10:10" x14ac:dyDescent="0.3">
      <c r="J15185"/>
    </row>
    <row r="15186" spans="10:10" x14ac:dyDescent="0.3">
      <c r="J15186"/>
    </row>
    <row r="15187" spans="10:10" x14ac:dyDescent="0.3">
      <c r="J15187"/>
    </row>
    <row r="15188" spans="10:10" x14ac:dyDescent="0.3">
      <c r="J15188"/>
    </row>
    <row r="15189" spans="10:10" x14ac:dyDescent="0.3">
      <c r="J15189"/>
    </row>
    <row r="15190" spans="10:10" x14ac:dyDescent="0.3">
      <c r="J15190"/>
    </row>
    <row r="15191" spans="10:10" x14ac:dyDescent="0.3">
      <c r="J15191"/>
    </row>
    <row r="15192" spans="10:10" x14ac:dyDescent="0.3">
      <c r="J15192"/>
    </row>
    <row r="15193" spans="10:10" x14ac:dyDescent="0.3">
      <c r="J15193"/>
    </row>
    <row r="15194" spans="10:10" x14ac:dyDescent="0.3">
      <c r="J15194"/>
    </row>
    <row r="15195" spans="10:10" x14ac:dyDescent="0.3">
      <c r="J15195"/>
    </row>
    <row r="15196" spans="10:10" x14ac:dyDescent="0.3">
      <c r="J15196"/>
    </row>
    <row r="15197" spans="10:10" x14ac:dyDescent="0.3">
      <c r="J15197"/>
    </row>
    <row r="15198" spans="10:10" x14ac:dyDescent="0.3">
      <c r="J15198"/>
    </row>
    <row r="15199" spans="10:10" x14ac:dyDescent="0.3">
      <c r="J15199"/>
    </row>
    <row r="15200" spans="10:10" x14ac:dyDescent="0.3">
      <c r="J15200"/>
    </row>
    <row r="15201" spans="10:10" x14ac:dyDescent="0.3">
      <c r="J15201"/>
    </row>
    <row r="15202" spans="10:10" x14ac:dyDescent="0.3">
      <c r="J15202"/>
    </row>
    <row r="15203" spans="10:10" x14ac:dyDescent="0.3">
      <c r="J15203"/>
    </row>
    <row r="15204" spans="10:10" x14ac:dyDescent="0.3">
      <c r="J15204"/>
    </row>
    <row r="15205" spans="10:10" x14ac:dyDescent="0.3">
      <c r="J15205"/>
    </row>
    <row r="15206" spans="10:10" x14ac:dyDescent="0.3">
      <c r="J15206"/>
    </row>
    <row r="15207" spans="10:10" x14ac:dyDescent="0.3">
      <c r="J15207"/>
    </row>
    <row r="15208" spans="10:10" x14ac:dyDescent="0.3">
      <c r="J15208"/>
    </row>
    <row r="15209" spans="10:10" x14ac:dyDescent="0.3">
      <c r="J15209"/>
    </row>
    <row r="15210" spans="10:10" x14ac:dyDescent="0.3">
      <c r="J15210"/>
    </row>
    <row r="15211" spans="10:10" x14ac:dyDescent="0.3">
      <c r="J15211"/>
    </row>
    <row r="15212" spans="10:10" x14ac:dyDescent="0.3">
      <c r="J15212"/>
    </row>
    <row r="15213" spans="10:10" x14ac:dyDescent="0.3">
      <c r="J15213"/>
    </row>
    <row r="15214" spans="10:10" x14ac:dyDescent="0.3">
      <c r="J15214"/>
    </row>
    <row r="15215" spans="10:10" x14ac:dyDescent="0.3">
      <c r="J15215"/>
    </row>
    <row r="15216" spans="10:10" x14ac:dyDescent="0.3">
      <c r="J15216"/>
    </row>
    <row r="15217" spans="10:10" x14ac:dyDescent="0.3">
      <c r="J15217"/>
    </row>
    <row r="15218" spans="10:10" x14ac:dyDescent="0.3">
      <c r="J15218"/>
    </row>
    <row r="15219" spans="10:10" x14ac:dyDescent="0.3">
      <c r="J15219"/>
    </row>
    <row r="15220" spans="10:10" x14ac:dyDescent="0.3">
      <c r="J15220"/>
    </row>
    <row r="15221" spans="10:10" x14ac:dyDescent="0.3">
      <c r="J15221"/>
    </row>
    <row r="15222" spans="10:10" x14ac:dyDescent="0.3">
      <c r="J15222"/>
    </row>
    <row r="15223" spans="10:10" x14ac:dyDescent="0.3">
      <c r="J15223"/>
    </row>
    <row r="15224" spans="10:10" x14ac:dyDescent="0.3">
      <c r="J15224"/>
    </row>
    <row r="15225" spans="10:10" x14ac:dyDescent="0.3">
      <c r="J15225"/>
    </row>
    <row r="15226" spans="10:10" x14ac:dyDescent="0.3">
      <c r="J15226"/>
    </row>
    <row r="15227" spans="10:10" x14ac:dyDescent="0.3">
      <c r="J15227"/>
    </row>
    <row r="15228" spans="10:10" x14ac:dyDescent="0.3">
      <c r="J15228"/>
    </row>
    <row r="15229" spans="10:10" x14ac:dyDescent="0.3">
      <c r="J15229"/>
    </row>
    <row r="15230" spans="10:10" x14ac:dyDescent="0.3">
      <c r="J15230"/>
    </row>
    <row r="15231" spans="10:10" x14ac:dyDescent="0.3">
      <c r="J15231"/>
    </row>
    <row r="15232" spans="10:10" x14ac:dyDescent="0.3">
      <c r="J15232"/>
    </row>
    <row r="15233" spans="10:10" x14ac:dyDescent="0.3">
      <c r="J15233"/>
    </row>
    <row r="15234" spans="10:10" x14ac:dyDescent="0.3">
      <c r="J15234"/>
    </row>
    <row r="15235" spans="10:10" x14ac:dyDescent="0.3">
      <c r="J15235"/>
    </row>
    <row r="15236" spans="10:10" x14ac:dyDescent="0.3">
      <c r="J15236"/>
    </row>
    <row r="15237" spans="10:10" x14ac:dyDescent="0.3">
      <c r="J15237"/>
    </row>
    <row r="15238" spans="10:10" x14ac:dyDescent="0.3">
      <c r="J15238"/>
    </row>
    <row r="15239" spans="10:10" x14ac:dyDescent="0.3">
      <c r="J15239"/>
    </row>
    <row r="15240" spans="10:10" x14ac:dyDescent="0.3">
      <c r="J15240"/>
    </row>
    <row r="15241" spans="10:10" x14ac:dyDescent="0.3">
      <c r="J15241"/>
    </row>
    <row r="15242" spans="10:10" x14ac:dyDescent="0.3">
      <c r="J15242"/>
    </row>
    <row r="15243" spans="10:10" x14ac:dyDescent="0.3">
      <c r="J15243"/>
    </row>
    <row r="15244" spans="10:10" x14ac:dyDescent="0.3">
      <c r="J15244"/>
    </row>
    <row r="15245" spans="10:10" x14ac:dyDescent="0.3">
      <c r="J15245"/>
    </row>
    <row r="15246" spans="10:10" x14ac:dyDescent="0.3">
      <c r="J15246"/>
    </row>
    <row r="15247" spans="10:10" x14ac:dyDescent="0.3">
      <c r="J15247"/>
    </row>
    <row r="15248" spans="10:10" x14ac:dyDescent="0.3">
      <c r="J15248"/>
    </row>
    <row r="15249" spans="10:10" x14ac:dyDescent="0.3">
      <c r="J15249"/>
    </row>
    <row r="15250" spans="10:10" x14ac:dyDescent="0.3">
      <c r="J15250"/>
    </row>
    <row r="15251" spans="10:10" x14ac:dyDescent="0.3">
      <c r="J15251"/>
    </row>
    <row r="15252" spans="10:10" x14ac:dyDescent="0.3">
      <c r="J15252"/>
    </row>
    <row r="15253" spans="10:10" x14ac:dyDescent="0.3">
      <c r="J15253"/>
    </row>
    <row r="15254" spans="10:10" x14ac:dyDescent="0.3">
      <c r="J15254"/>
    </row>
    <row r="15255" spans="10:10" x14ac:dyDescent="0.3">
      <c r="J15255"/>
    </row>
    <row r="15256" spans="10:10" x14ac:dyDescent="0.3">
      <c r="J15256"/>
    </row>
    <row r="15257" spans="10:10" x14ac:dyDescent="0.3">
      <c r="J15257"/>
    </row>
    <row r="15258" spans="10:10" x14ac:dyDescent="0.3">
      <c r="J15258"/>
    </row>
    <row r="15259" spans="10:10" x14ac:dyDescent="0.3">
      <c r="J15259"/>
    </row>
    <row r="15260" spans="10:10" x14ac:dyDescent="0.3">
      <c r="J15260"/>
    </row>
    <row r="15261" spans="10:10" x14ac:dyDescent="0.3">
      <c r="J15261"/>
    </row>
    <row r="15262" spans="10:10" x14ac:dyDescent="0.3">
      <c r="J15262"/>
    </row>
    <row r="15263" spans="10:10" x14ac:dyDescent="0.3">
      <c r="J15263"/>
    </row>
    <row r="15264" spans="10:10" x14ac:dyDescent="0.3">
      <c r="J15264"/>
    </row>
    <row r="15265" spans="10:10" x14ac:dyDescent="0.3">
      <c r="J15265"/>
    </row>
    <row r="15266" spans="10:10" x14ac:dyDescent="0.3">
      <c r="J15266"/>
    </row>
    <row r="15267" spans="10:10" x14ac:dyDescent="0.3">
      <c r="J15267"/>
    </row>
    <row r="15268" spans="10:10" x14ac:dyDescent="0.3">
      <c r="J15268"/>
    </row>
    <row r="15269" spans="10:10" x14ac:dyDescent="0.3">
      <c r="J15269"/>
    </row>
    <row r="15270" spans="10:10" x14ac:dyDescent="0.3">
      <c r="J15270"/>
    </row>
    <row r="15271" spans="10:10" x14ac:dyDescent="0.3">
      <c r="J15271"/>
    </row>
    <row r="15272" spans="10:10" x14ac:dyDescent="0.3">
      <c r="J15272"/>
    </row>
    <row r="15273" spans="10:10" x14ac:dyDescent="0.3">
      <c r="J15273"/>
    </row>
    <row r="15274" spans="10:10" x14ac:dyDescent="0.3">
      <c r="J15274"/>
    </row>
    <row r="15275" spans="10:10" x14ac:dyDescent="0.3">
      <c r="J15275"/>
    </row>
    <row r="15276" spans="10:10" x14ac:dyDescent="0.3">
      <c r="J15276"/>
    </row>
    <row r="15277" spans="10:10" x14ac:dyDescent="0.3">
      <c r="J15277"/>
    </row>
    <row r="15278" spans="10:10" x14ac:dyDescent="0.3">
      <c r="J15278"/>
    </row>
    <row r="15279" spans="10:10" x14ac:dyDescent="0.3">
      <c r="J15279"/>
    </row>
    <row r="15280" spans="10:10" x14ac:dyDescent="0.3">
      <c r="J15280"/>
    </row>
    <row r="15281" spans="10:10" x14ac:dyDescent="0.3">
      <c r="J15281"/>
    </row>
    <row r="15282" spans="10:10" x14ac:dyDescent="0.3">
      <c r="J15282"/>
    </row>
    <row r="15283" spans="10:10" x14ac:dyDescent="0.3">
      <c r="J15283"/>
    </row>
    <row r="15284" spans="10:10" x14ac:dyDescent="0.3">
      <c r="J15284"/>
    </row>
    <row r="15285" spans="10:10" x14ac:dyDescent="0.3">
      <c r="J15285"/>
    </row>
    <row r="15286" spans="10:10" x14ac:dyDescent="0.3">
      <c r="J15286"/>
    </row>
    <row r="15287" spans="10:10" x14ac:dyDescent="0.3">
      <c r="J15287"/>
    </row>
    <row r="15288" spans="10:10" x14ac:dyDescent="0.3">
      <c r="J15288"/>
    </row>
    <row r="15289" spans="10:10" x14ac:dyDescent="0.3">
      <c r="J15289"/>
    </row>
    <row r="15290" spans="10:10" x14ac:dyDescent="0.3">
      <c r="J15290"/>
    </row>
    <row r="15291" spans="10:10" x14ac:dyDescent="0.3">
      <c r="J15291"/>
    </row>
    <row r="15292" spans="10:10" x14ac:dyDescent="0.3">
      <c r="J15292"/>
    </row>
    <row r="15293" spans="10:10" x14ac:dyDescent="0.3">
      <c r="J15293"/>
    </row>
    <row r="15294" spans="10:10" x14ac:dyDescent="0.3">
      <c r="J15294"/>
    </row>
    <row r="15295" spans="10:10" x14ac:dyDescent="0.3">
      <c r="J15295"/>
    </row>
    <row r="15296" spans="10:10" x14ac:dyDescent="0.3">
      <c r="J15296"/>
    </row>
    <row r="15297" spans="10:10" x14ac:dyDescent="0.3">
      <c r="J15297"/>
    </row>
    <row r="15298" spans="10:10" x14ac:dyDescent="0.3">
      <c r="J15298"/>
    </row>
    <row r="15299" spans="10:10" x14ac:dyDescent="0.3">
      <c r="J15299"/>
    </row>
    <row r="15300" spans="10:10" x14ac:dyDescent="0.3">
      <c r="J15300"/>
    </row>
    <row r="15301" spans="10:10" x14ac:dyDescent="0.3">
      <c r="J15301"/>
    </row>
    <row r="15302" spans="10:10" x14ac:dyDescent="0.3">
      <c r="J15302"/>
    </row>
    <row r="15303" spans="10:10" x14ac:dyDescent="0.3">
      <c r="J15303"/>
    </row>
    <row r="15304" spans="10:10" x14ac:dyDescent="0.3">
      <c r="J15304"/>
    </row>
    <row r="15305" spans="10:10" x14ac:dyDescent="0.3">
      <c r="J15305"/>
    </row>
    <row r="15306" spans="10:10" x14ac:dyDescent="0.3">
      <c r="J15306"/>
    </row>
    <row r="15307" spans="10:10" x14ac:dyDescent="0.3">
      <c r="J15307"/>
    </row>
    <row r="15308" spans="10:10" x14ac:dyDescent="0.3">
      <c r="J15308"/>
    </row>
    <row r="15309" spans="10:10" x14ac:dyDescent="0.3">
      <c r="J15309"/>
    </row>
    <row r="15310" spans="10:10" x14ac:dyDescent="0.3">
      <c r="J15310"/>
    </row>
    <row r="15311" spans="10:10" x14ac:dyDescent="0.3">
      <c r="J15311"/>
    </row>
    <row r="15312" spans="10:10" x14ac:dyDescent="0.3">
      <c r="J15312"/>
    </row>
    <row r="15313" spans="10:10" x14ac:dyDescent="0.3">
      <c r="J15313"/>
    </row>
    <row r="15314" spans="10:10" x14ac:dyDescent="0.3">
      <c r="J15314"/>
    </row>
    <row r="15315" spans="10:10" x14ac:dyDescent="0.3">
      <c r="J15315"/>
    </row>
    <row r="15316" spans="10:10" x14ac:dyDescent="0.3">
      <c r="J15316"/>
    </row>
    <row r="15317" spans="10:10" x14ac:dyDescent="0.3">
      <c r="J15317"/>
    </row>
    <row r="15318" spans="10:10" x14ac:dyDescent="0.3">
      <c r="J15318"/>
    </row>
    <row r="15319" spans="10:10" x14ac:dyDescent="0.3">
      <c r="J15319"/>
    </row>
    <row r="15320" spans="10:10" x14ac:dyDescent="0.3">
      <c r="J15320"/>
    </row>
    <row r="15321" spans="10:10" x14ac:dyDescent="0.3">
      <c r="J15321"/>
    </row>
    <row r="15322" spans="10:10" x14ac:dyDescent="0.3">
      <c r="J15322"/>
    </row>
    <row r="15323" spans="10:10" x14ac:dyDescent="0.3">
      <c r="J15323"/>
    </row>
    <row r="15324" spans="10:10" x14ac:dyDescent="0.3">
      <c r="J15324"/>
    </row>
    <row r="15325" spans="10:10" x14ac:dyDescent="0.3">
      <c r="J15325"/>
    </row>
    <row r="15326" spans="10:10" x14ac:dyDescent="0.3">
      <c r="J15326"/>
    </row>
    <row r="15327" spans="10:10" x14ac:dyDescent="0.3">
      <c r="J15327"/>
    </row>
    <row r="15328" spans="10:10" x14ac:dyDescent="0.3">
      <c r="J15328"/>
    </row>
    <row r="15329" spans="10:10" x14ac:dyDescent="0.3">
      <c r="J15329"/>
    </row>
    <row r="15330" spans="10:10" x14ac:dyDescent="0.3">
      <c r="J15330"/>
    </row>
    <row r="15331" spans="10:10" x14ac:dyDescent="0.3">
      <c r="J15331"/>
    </row>
    <row r="15332" spans="10:10" x14ac:dyDescent="0.3">
      <c r="J15332"/>
    </row>
    <row r="15333" spans="10:10" x14ac:dyDescent="0.3">
      <c r="J15333"/>
    </row>
    <row r="15334" spans="10:10" x14ac:dyDescent="0.3">
      <c r="J15334"/>
    </row>
    <row r="15335" spans="10:10" x14ac:dyDescent="0.3">
      <c r="J15335"/>
    </row>
    <row r="15336" spans="10:10" x14ac:dyDescent="0.3">
      <c r="J15336"/>
    </row>
    <row r="15337" spans="10:10" x14ac:dyDescent="0.3">
      <c r="J15337"/>
    </row>
    <row r="15338" spans="10:10" x14ac:dyDescent="0.3">
      <c r="J15338"/>
    </row>
    <row r="15339" spans="10:10" x14ac:dyDescent="0.3">
      <c r="J15339"/>
    </row>
    <row r="15340" spans="10:10" x14ac:dyDescent="0.3">
      <c r="J15340"/>
    </row>
    <row r="15341" spans="10:10" x14ac:dyDescent="0.3">
      <c r="J15341"/>
    </row>
    <row r="15342" spans="10:10" x14ac:dyDescent="0.3">
      <c r="J15342"/>
    </row>
    <row r="15343" spans="10:10" x14ac:dyDescent="0.3">
      <c r="J15343"/>
    </row>
    <row r="15344" spans="10:10" x14ac:dyDescent="0.3">
      <c r="J15344"/>
    </row>
    <row r="15345" spans="10:10" x14ac:dyDescent="0.3">
      <c r="J15345"/>
    </row>
    <row r="15346" spans="10:10" x14ac:dyDescent="0.3">
      <c r="J15346"/>
    </row>
    <row r="15347" spans="10:10" x14ac:dyDescent="0.3">
      <c r="J15347"/>
    </row>
    <row r="15348" spans="10:10" x14ac:dyDescent="0.3">
      <c r="J15348"/>
    </row>
    <row r="15349" spans="10:10" x14ac:dyDescent="0.3">
      <c r="J15349"/>
    </row>
    <row r="15350" spans="10:10" x14ac:dyDescent="0.3">
      <c r="J15350"/>
    </row>
    <row r="15351" spans="10:10" x14ac:dyDescent="0.3">
      <c r="J15351"/>
    </row>
    <row r="15352" spans="10:10" x14ac:dyDescent="0.3">
      <c r="J15352"/>
    </row>
    <row r="15353" spans="10:10" x14ac:dyDescent="0.3">
      <c r="J15353"/>
    </row>
    <row r="15354" spans="10:10" x14ac:dyDescent="0.3">
      <c r="J15354"/>
    </row>
    <row r="15355" spans="10:10" x14ac:dyDescent="0.3">
      <c r="J15355"/>
    </row>
    <row r="15356" spans="10:10" x14ac:dyDescent="0.3">
      <c r="J15356"/>
    </row>
    <row r="15357" spans="10:10" x14ac:dyDescent="0.3">
      <c r="J15357"/>
    </row>
    <row r="15358" spans="10:10" x14ac:dyDescent="0.3">
      <c r="J15358"/>
    </row>
    <row r="15359" spans="10:10" x14ac:dyDescent="0.3">
      <c r="J15359"/>
    </row>
    <row r="15360" spans="10:10" x14ac:dyDescent="0.3">
      <c r="J15360"/>
    </row>
    <row r="15361" spans="10:10" x14ac:dyDescent="0.3">
      <c r="J15361"/>
    </row>
    <row r="15362" spans="10:10" x14ac:dyDescent="0.3">
      <c r="J15362"/>
    </row>
    <row r="15363" spans="10:10" x14ac:dyDescent="0.3">
      <c r="J15363"/>
    </row>
    <row r="15364" spans="10:10" x14ac:dyDescent="0.3">
      <c r="J15364"/>
    </row>
    <row r="15365" spans="10:10" x14ac:dyDescent="0.3">
      <c r="J15365"/>
    </row>
    <row r="15366" spans="10:10" x14ac:dyDescent="0.3">
      <c r="J15366"/>
    </row>
    <row r="15367" spans="10:10" x14ac:dyDescent="0.3">
      <c r="J15367"/>
    </row>
    <row r="15368" spans="10:10" x14ac:dyDescent="0.3">
      <c r="J15368"/>
    </row>
    <row r="15369" spans="10:10" x14ac:dyDescent="0.3">
      <c r="J15369"/>
    </row>
    <row r="15370" spans="10:10" x14ac:dyDescent="0.3">
      <c r="J15370"/>
    </row>
    <row r="15371" spans="10:10" x14ac:dyDescent="0.3">
      <c r="J15371"/>
    </row>
    <row r="15372" spans="10:10" x14ac:dyDescent="0.3">
      <c r="J15372"/>
    </row>
    <row r="15373" spans="10:10" x14ac:dyDescent="0.3">
      <c r="J15373"/>
    </row>
    <row r="15374" spans="10:10" x14ac:dyDescent="0.3">
      <c r="J15374"/>
    </row>
    <row r="15375" spans="10:10" x14ac:dyDescent="0.3">
      <c r="J15375"/>
    </row>
    <row r="15376" spans="10:10" x14ac:dyDescent="0.3">
      <c r="J15376"/>
    </row>
    <row r="15377" spans="10:10" x14ac:dyDescent="0.3">
      <c r="J15377"/>
    </row>
    <row r="15378" spans="10:10" x14ac:dyDescent="0.3">
      <c r="J15378"/>
    </row>
    <row r="15379" spans="10:10" x14ac:dyDescent="0.3">
      <c r="J15379"/>
    </row>
    <row r="15380" spans="10:10" x14ac:dyDescent="0.3">
      <c r="J15380"/>
    </row>
    <row r="15381" spans="10:10" x14ac:dyDescent="0.3">
      <c r="J15381"/>
    </row>
    <row r="15382" spans="10:10" x14ac:dyDescent="0.3">
      <c r="J15382"/>
    </row>
    <row r="15383" spans="10:10" x14ac:dyDescent="0.3">
      <c r="J15383"/>
    </row>
    <row r="15384" spans="10:10" x14ac:dyDescent="0.3">
      <c r="J15384"/>
    </row>
    <row r="15385" spans="10:10" x14ac:dyDescent="0.3">
      <c r="J15385"/>
    </row>
    <row r="15386" spans="10:10" x14ac:dyDescent="0.3">
      <c r="J15386"/>
    </row>
    <row r="15387" spans="10:10" x14ac:dyDescent="0.3">
      <c r="J15387"/>
    </row>
    <row r="15388" spans="10:10" x14ac:dyDescent="0.3">
      <c r="J15388"/>
    </row>
    <row r="15389" spans="10:10" x14ac:dyDescent="0.3">
      <c r="J15389"/>
    </row>
    <row r="15390" spans="10:10" x14ac:dyDescent="0.3">
      <c r="J15390"/>
    </row>
    <row r="15391" spans="10:10" x14ac:dyDescent="0.3">
      <c r="J15391"/>
    </row>
    <row r="15392" spans="10:10" x14ac:dyDescent="0.3">
      <c r="J15392"/>
    </row>
    <row r="15393" spans="10:10" x14ac:dyDescent="0.3">
      <c r="J15393"/>
    </row>
    <row r="15394" spans="10:10" x14ac:dyDescent="0.3">
      <c r="J15394"/>
    </row>
    <row r="15395" spans="10:10" x14ac:dyDescent="0.3">
      <c r="J15395"/>
    </row>
    <row r="15396" spans="10:10" x14ac:dyDescent="0.3">
      <c r="J15396"/>
    </row>
    <row r="15397" spans="10:10" x14ac:dyDescent="0.3">
      <c r="J15397"/>
    </row>
    <row r="15398" spans="10:10" x14ac:dyDescent="0.3">
      <c r="J15398"/>
    </row>
    <row r="15399" spans="10:10" x14ac:dyDescent="0.3">
      <c r="J15399"/>
    </row>
    <row r="15400" spans="10:10" x14ac:dyDescent="0.3">
      <c r="J15400"/>
    </row>
    <row r="15401" spans="10:10" x14ac:dyDescent="0.3">
      <c r="J15401"/>
    </row>
    <row r="15402" spans="10:10" x14ac:dyDescent="0.3">
      <c r="J15402"/>
    </row>
    <row r="15403" spans="10:10" x14ac:dyDescent="0.3">
      <c r="J15403"/>
    </row>
    <row r="15404" spans="10:10" x14ac:dyDescent="0.3">
      <c r="J15404"/>
    </row>
    <row r="15405" spans="10:10" x14ac:dyDescent="0.3">
      <c r="J15405"/>
    </row>
    <row r="15406" spans="10:10" x14ac:dyDescent="0.3">
      <c r="J15406"/>
    </row>
    <row r="15407" spans="10:10" x14ac:dyDescent="0.3">
      <c r="J15407"/>
    </row>
    <row r="15408" spans="10:10" x14ac:dyDescent="0.3">
      <c r="J15408"/>
    </row>
    <row r="15409" spans="10:10" x14ac:dyDescent="0.3">
      <c r="J15409"/>
    </row>
    <row r="15410" spans="10:10" x14ac:dyDescent="0.3">
      <c r="J15410"/>
    </row>
    <row r="15411" spans="10:10" x14ac:dyDescent="0.3">
      <c r="J15411"/>
    </row>
    <row r="15412" spans="10:10" x14ac:dyDescent="0.3">
      <c r="J15412"/>
    </row>
    <row r="15413" spans="10:10" x14ac:dyDescent="0.3">
      <c r="J15413"/>
    </row>
    <row r="15414" spans="10:10" x14ac:dyDescent="0.3">
      <c r="J15414"/>
    </row>
    <row r="15415" spans="10:10" x14ac:dyDescent="0.3">
      <c r="J15415"/>
    </row>
    <row r="15416" spans="10:10" x14ac:dyDescent="0.3">
      <c r="J15416"/>
    </row>
    <row r="15417" spans="10:10" x14ac:dyDescent="0.3">
      <c r="J15417"/>
    </row>
    <row r="15418" spans="10:10" x14ac:dyDescent="0.3">
      <c r="J15418"/>
    </row>
    <row r="15419" spans="10:10" x14ac:dyDescent="0.3">
      <c r="J15419"/>
    </row>
    <row r="15420" spans="10:10" x14ac:dyDescent="0.3">
      <c r="J15420"/>
    </row>
    <row r="15421" spans="10:10" x14ac:dyDescent="0.3">
      <c r="J15421"/>
    </row>
    <row r="15422" spans="10:10" x14ac:dyDescent="0.3">
      <c r="J15422"/>
    </row>
    <row r="15423" spans="10:10" x14ac:dyDescent="0.3">
      <c r="J15423"/>
    </row>
    <row r="15424" spans="10:10" x14ac:dyDescent="0.3">
      <c r="J15424"/>
    </row>
    <row r="15425" spans="10:10" x14ac:dyDescent="0.3">
      <c r="J15425"/>
    </row>
    <row r="15426" spans="10:10" x14ac:dyDescent="0.3">
      <c r="J15426"/>
    </row>
    <row r="15427" spans="10:10" x14ac:dyDescent="0.3">
      <c r="J15427"/>
    </row>
    <row r="15428" spans="10:10" x14ac:dyDescent="0.3">
      <c r="J15428"/>
    </row>
    <row r="15429" spans="10:10" x14ac:dyDescent="0.3">
      <c r="J15429"/>
    </row>
    <row r="15430" spans="10:10" x14ac:dyDescent="0.3">
      <c r="J15430"/>
    </row>
    <row r="15431" spans="10:10" x14ac:dyDescent="0.3">
      <c r="J15431"/>
    </row>
    <row r="15432" spans="10:10" x14ac:dyDescent="0.3">
      <c r="J15432"/>
    </row>
    <row r="15433" spans="10:10" x14ac:dyDescent="0.3">
      <c r="J15433"/>
    </row>
    <row r="15434" spans="10:10" x14ac:dyDescent="0.3">
      <c r="J15434"/>
    </row>
    <row r="15435" spans="10:10" x14ac:dyDescent="0.3">
      <c r="J15435"/>
    </row>
    <row r="15436" spans="10:10" x14ac:dyDescent="0.3">
      <c r="J15436"/>
    </row>
    <row r="15437" spans="10:10" x14ac:dyDescent="0.3">
      <c r="J15437"/>
    </row>
    <row r="15438" spans="10:10" x14ac:dyDescent="0.3">
      <c r="J15438"/>
    </row>
    <row r="15439" spans="10:10" x14ac:dyDescent="0.3">
      <c r="J15439"/>
    </row>
    <row r="15440" spans="10:10" x14ac:dyDescent="0.3">
      <c r="J15440"/>
    </row>
    <row r="15441" spans="10:10" x14ac:dyDescent="0.3">
      <c r="J15441"/>
    </row>
    <row r="15442" spans="10:10" x14ac:dyDescent="0.3">
      <c r="J15442"/>
    </row>
    <row r="15443" spans="10:10" x14ac:dyDescent="0.3">
      <c r="J15443"/>
    </row>
    <row r="15444" spans="10:10" x14ac:dyDescent="0.3">
      <c r="J15444"/>
    </row>
    <row r="15445" spans="10:10" x14ac:dyDescent="0.3">
      <c r="J15445"/>
    </row>
    <row r="15446" spans="10:10" x14ac:dyDescent="0.3">
      <c r="J15446"/>
    </row>
    <row r="15447" spans="10:10" x14ac:dyDescent="0.3">
      <c r="J15447"/>
    </row>
    <row r="15448" spans="10:10" x14ac:dyDescent="0.3">
      <c r="J15448"/>
    </row>
    <row r="15449" spans="10:10" x14ac:dyDescent="0.3">
      <c r="J15449"/>
    </row>
    <row r="15450" spans="10:10" x14ac:dyDescent="0.3">
      <c r="J15450"/>
    </row>
    <row r="15451" spans="10:10" x14ac:dyDescent="0.3">
      <c r="J15451"/>
    </row>
    <row r="15452" spans="10:10" x14ac:dyDescent="0.3">
      <c r="J15452"/>
    </row>
    <row r="15453" spans="10:10" x14ac:dyDescent="0.3">
      <c r="J15453"/>
    </row>
    <row r="15454" spans="10:10" x14ac:dyDescent="0.3">
      <c r="J15454"/>
    </row>
    <row r="15455" spans="10:10" x14ac:dyDescent="0.3">
      <c r="J15455"/>
    </row>
    <row r="15456" spans="10:10" x14ac:dyDescent="0.3">
      <c r="J15456"/>
    </row>
    <row r="15457" spans="10:10" x14ac:dyDescent="0.3">
      <c r="J15457"/>
    </row>
    <row r="15458" spans="10:10" x14ac:dyDescent="0.3">
      <c r="J15458"/>
    </row>
    <row r="15459" spans="10:10" x14ac:dyDescent="0.3">
      <c r="J15459"/>
    </row>
    <row r="15460" spans="10:10" x14ac:dyDescent="0.3">
      <c r="J15460"/>
    </row>
    <row r="15461" spans="10:10" x14ac:dyDescent="0.3">
      <c r="J15461"/>
    </row>
    <row r="15462" spans="10:10" x14ac:dyDescent="0.3">
      <c r="J15462"/>
    </row>
    <row r="15463" spans="10:10" x14ac:dyDescent="0.3">
      <c r="J15463"/>
    </row>
    <row r="15464" spans="10:10" x14ac:dyDescent="0.3">
      <c r="J15464"/>
    </row>
    <row r="15465" spans="10:10" x14ac:dyDescent="0.3">
      <c r="J15465"/>
    </row>
    <row r="15466" spans="10:10" x14ac:dyDescent="0.3">
      <c r="J15466"/>
    </row>
    <row r="15467" spans="10:10" x14ac:dyDescent="0.3">
      <c r="J15467"/>
    </row>
    <row r="15468" spans="10:10" x14ac:dyDescent="0.3">
      <c r="J15468"/>
    </row>
    <row r="15469" spans="10:10" x14ac:dyDescent="0.3">
      <c r="J15469"/>
    </row>
    <row r="15470" spans="10:10" x14ac:dyDescent="0.3">
      <c r="J15470"/>
    </row>
    <row r="15471" spans="10:10" x14ac:dyDescent="0.3">
      <c r="J15471"/>
    </row>
    <row r="15472" spans="10:10" x14ac:dyDescent="0.3">
      <c r="J15472"/>
    </row>
    <row r="15473" spans="10:10" x14ac:dyDescent="0.3">
      <c r="J15473"/>
    </row>
    <row r="15474" spans="10:10" x14ac:dyDescent="0.3">
      <c r="J15474"/>
    </row>
    <row r="15475" spans="10:10" x14ac:dyDescent="0.3">
      <c r="J15475"/>
    </row>
    <row r="15476" spans="10:10" x14ac:dyDescent="0.3">
      <c r="J15476"/>
    </row>
    <row r="15477" spans="10:10" x14ac:dyDescent="0.3">
      <c r="J15477"/>
    </row>
    <row r="15478" spans="10:10" x14ac:dyDescent="0.3">
      <c r="J15478"/>
    </row>
    <row r="15479" spans="10:10" x14ac:dyDescent="0.3">
      <c r="J15479"/>
    </row>
    <row r="15480" spans="10:10" x14ac:dyDescent="0.3">
      <c r="J15480"/>
    </row>
    <row r="15481" spans="10:10" x14ac:dyDescent="0.3">
      <c r="J15481"/>
    </row>
    <row r="15482" spans="10:10" x14ac:dyDescent="0.3">
      <c r="J15482"/>
    </row>
    <row r="15483" spans="10:10" x14ac:dyDescent="0.3">
      <c r="J15483"/>
    </row>
    <row r="15484" spans="10:10" x14ac:dyDescent="0.3">
      <c r="J15484"/>
    </row>
    <row r="15485" spans="10:10" x14ac:dyDescent="0.3">
      <c r="J15485"/>
    </row>
    <row r="15486" spans="10:10" x14ac:dyDescent="0.3">
      <c r="J15486"/>
    </row>
    <row r="15487" spans="10:10" x14ac:dyDescent="0.3">
      <c r="J15487"/>
    </row>
    <row r="15488" spans="10:10" x14ac:dyDescent="0.3">
      <c r="J15488"/>
    </row>
    <row r="15489" spans="10:10" x14ac:dyDescent="0.3">
      <c r="J15489"/>
    </row>
    <row r="15490" spans="10:10" x14ac:dyDescent="0.3">
      <c r="J15490"/>
    </row>
    <row r="15491" spans="10:10" x14ac:dyDescent="0.3">
      <c r="J15491"/>
    </row>
    <row r="15492" spans="10:10" x14ac:dyDescent="0.3">
      <c r="J15492"/>
    </row>
    <row r="15493" spans="10:10" x14ac:dyDescent="0.3">
      <c r="J15493"/>
    </row>
    <row r="15494" spans="10:10" x14ac:dyDescent="0.3">
      <c r="J15494"/>
    </row>
    <row r="15495" spans="10:10" x14ac:dyDescent="0.3">
      <c r="J15495"/>
    </row>
    <row r="15496" spans="10:10" x14ac:dyDescent="0.3">
      <c r="J15496"/>
    </row>
    <row r="15497" spans="10:10" x14ac:dyDescent="0.3">
      <c r="J15497"/>
    </row>
    <row r="15498" spans="10:10" x14ac:dyDescent="0.3">
      <c r="J15498"/>
    </row>
    <row r="15499" spans="10:10" x14ac:dyDescent="0.3">
      <c r="J15499"/>
    </row>
    <row r="15500" spans="10:10" x14ac:dyDescent="0.3">
      <c r="J15500"/>
    </row>
    <row r="15501" spans="10:10" x14ac:dyDescent="0.3">
      <c r="J15501"/>
    </row>
    <row r="15502" spans="10:10" x14ac:dyDescent="0.3">
      <c r="J15502"/>
    </row>
    <row r="15503" spans="10:10" x14ac:dyDescent="0.3">
      <c r="J15503"/>
    </row>
    <row r="15504" spans="10:10" x14ac:dyDescent="0.3">
      <c r="J15504"/>
    </row>
    <row r="15505" spans="10:10" x14ac:dyDescent="0.3">
      <c r="J15505"/>
    </row>
    <row r="15506" spans="10:10" x14ac:dyDescent="0.3">
      <c r="J15506"/>
    </row>
    <row r="15507" spans="10:10" x14ac:dyDescent="0.3">
      <c r="J15507"/>
    </row>
    <row r="15508" spans="10:10" x14ac:dyDescent="0.3">
      <c r="J15508"/>
    </row>
    <row r="15509" spans="10:10" x14ac:dyDescent="0.3">
      <c r="J15509"/>
    </row>
    <row r="15510" spans="10:10" x14ac:dyDescent="0.3">
      <c r="J15510"/>
    </row>
    <row r="15511" spans="10:10" x14ac:dyDescent="0.3">
      <c r="J15511"/>
    </row>
    <row r="15512" spans="10:10" x14ac:dyDescent="0.3">
      <c r="J15512"/>
    </row>
    <row r="15513" spans="10:10" x14ac:dyDescent="0.3">
      <c r="J15513"/>
    </row>
    <row r="15514" spans="10:10" x14ac:dyDescent="0.3">
      <c r="J15514"/>
    </row>
    <row r="15515" spans="10:10" x14ac:dyDescent="0.3">
      <c r="J15515"/>
    </row>
    <row r="15516" spans="10:10" x14ac:dyDescent="0.3">
      <c r="J15516"/>
    </row>
    <row r="15517" spans="10:10" x14ac:dyDescent="0.3">
      <c r="J15517"/>
    </row>
    <row r="15518" spans="10:10" x14ac:dyDescent="0.3">
      <c r="J15518"/>
    </row>
    <row r="15519" spans="10:10" x14ac:dyDescent="0.3">
      <c r="J15519"/>
    </row>
    <row r="15520" spans="10:10" x14ac:dyDescent="0.3">
      <c r="J15520"/>
    </row>
    <row r="15521" spans="10:10" x14ac:dyDescent="0.3">
      <c r="J15521"/>
    </row>
    <row r="15522" spans="10:10" x14ac:dyDescent="0.3">
      <c r="J15522"/>
    </row>
    <row r="15523" spans="10:10" x14ac:dyDescent="0.3">
      <c r="J15523"/>
    </row>
    <row r="15524" spans="10:10" x14ac:dyDescent="0.3">
      <c r="J15524"/>
    </row>
    <row r="15525" spans="10:10" x14ac:dyDescent="0.3">
      <c r="J15525"/>
    </row>
    <row r="15526" spans="10:10" x14ac:dyDescent="0.3">
      <c r="J15526"/>
    </row>
    <row r="15527" spans="10:10" x14ac:dyDescent="0.3">
      <c r="J15527"/>
    </row>
    <row r="15528" spans="10:10" x14ac:dyDescent="0.3">
      <c r="J15528"/>
    </row>
    <row r="15529" spans="10:10" x14ac:dyDescent="0.3">
      <c r="J15529"/>
    </row>
    <row r="15530" spans="10:10" x14ac:dyDescent="0.3">
      <c r="J15530"/>
    </row>
    <row r="15531" spans="10:10" x14ac:dyDescent="0.3">
      <c r="J15531"/>
    </row>
    <row r="15532" spans="10:10" x14ac:dyDescent="0.3">
      <c r="J15532"/>
    </row>
    <row r="15533" spans="10:10" x14ac:dyDescent="0.3">
      <c r="J15533"/>
    </row>
    <row r="15534" spans="10:10" x14ac:dyDescent="0.3">
      <c r="J15534"/>
    </row>
    <row r="15535" spans="10:10" x14ac:dyDescent="0.3">
      <c r="J15535"/>
    </row>
    <row r="15536" spans="10:10" x14ac:dyDescent="0.3">
      <c r="J15536"/>
    </row>
    <row r="15537" spans="10:10" x14ac:dyDescent="0.3">
      <c r="J15537"/>
    </row>
    <row r="15538" spans="10:10" x14ac:dyDescent="0.3">
      <c r="J15538"/>
    </row>
    <row r="15539" spans="10:10" x14ac:dyDescent="0.3">
      <c r="J15539"/>
    </row>
    <row r="15540" spans="10:10" x14ac:dyDescent="0.3">
      <c r="J15540"/>
    </row>
    <row r="15541" spans="10:10" x14ac:dyDescent="0.3">
      <c r="J15541"/>
    </row>
    <row r="15542" spans="10:10" x14ac:dyDescent="0.3">
      <c r="J15542"/>
    </row>
    <row r="15543" spans="10:10" x14ac:dyDescent="0.3">
      <c r="J15543"/>
    </row>
    <row r="15544" spans="10:10" x14ac:dyDescent="0.3">
      <c r="J15544"/>
    </row>
    <row r="15545" spans="10:10" x14ac:dyDescent="0.3">
      <c r="J15545"/>
    </row>
    <row r="15546" spans="10:10" x14ac:dyDescent="0.3">
      <c r="J15546"/>
    </row>
    <row r="15547" spans="10:10" x14ac:dyDescent="0.3">
      <c r="J15547"/>
    </row>
    <row r="15548" spans="10:10" x14ac:dyDescent="0.3">
      <c r="J15548"/>
    </row>
    <row r="15549" spans="10:10" x14ac:dyDescent="0.3">
      <c r="J15549"/>
    </row>
    <row r="15550" spans="10:10" x14ac:dyDescent="0.3">
      <c r="J15550"/>
    </row>
    <row r="15551" spans="10:10" x14ac:dyDescent="0.3">
      <c r="J15551"/>
    </row>
    <row r="15552" spans="10:10" x14ac:dyDescent="0.3">
      <c r="J15552"/>
    </row>
    <row r="15553" spans="10:10" x14ac:dyDescent="0.3">
      <c r="J15553"/>
    </row>
    <row r="15554" spans="10:10" x14ac:dyDescent="0.3">
      <c r="J15554"/>
    </row>
    <row r="15555" spans="10:10" x14ac:dyDescent="0.3">
      <c r="J15555"/>
    </row>
    <row r="15556" spans="10:10" x14ac:dyDescent="0.3">
      <c r="J15556"/>
    </row>
    <row r="15557" spans="10:10" x14ac:dyDescent="0.3">
      <c r="J15557"/>
    </row>
    <row r="15558" spans="10:10" x14ac:dyDescent="0.3">
      <c r="J15558"/>
    </row>
    <row r="15559" spans="10:10" x14ac:dyDescent="0.3">
      <c r="J15559"/>
    </row>
    <row r="15560" spans="10:10" x14ac:dyDescent="0.3">
      <c r="J15560"/>
    </row>
    <row r="15561" spans="10:10" x14ac:dyDescent="0.3">
      <c r="J15561"/>
    </row>
    <row r="15562" spans="10:10" x14ac:dyDescent="0.3">
      <c r="J15562"/>
    </row>
    <row r="15563" spans="10:10" x14ac:dyDescent="0.3">
      <c r="J15563"/>
    </row>
    <row r="15564" spans="10:10" x14ac:dyDescent="0.3">
      <c r="J15564"/>
    </row>
    <row r="15565" spans="10:10" x14ac:dyDescent="0.3">
      <c r="J15565"/>
    </row>
    <row r="15566" spans="10:10" x14ac:dyDescent="0.3">
      <c r="J15566"/>
    </row>
    <row r="15567" spans="10:10" x14ac:dyDescent="0.3">
      <c r="J15567"/>
    </row>
    <row r="15568" spans="10:10" x14ac:dyDescent="0.3">
      <c r="J15568"/>
    </row>
    <row r="15569" spans="10:10" x14ac:dyDescent="0.3">
      <c r="J15569"/>
    </row>
    <row r="15570" spans="10:10" x14ac:dyDescent="0.3">
      <c r="J15570"/>
    </row>
    <row r="15571" spans="10:10" x14ac:dyDescent="0.3">
      <c r="J15571"/>
    </row>
    <row r="15572" spans="10:10" x14ac:dyDescent="0.3">
      <c r="J15572"/>
    </row>
    <row r="15573" spans="10:10" x14ac:dyDescent="0.3">
      <c r="J15573"/>
    </row>
    <row r="15574" spans="10:10" x14ac:dyDescent="0.3">
      <c r="J15574"/>
    </row>
    <row r="15575" spans="10:10" x14ac:dyDescent="0.3">
      <c r="J15575"/>
    </row>
    <row r="15576" spans="10:10" x14ac:dyDescent="0.3">
      <c r="J15576"/>
    </row>
    <row r="15577" spans="10:10" x14ac:dyDescent="0.3">
      <c r="J15577"/>
    </row>
    <row r="15578" spans="10:10" x14ac:dyDescent="0.3">
      <c r="J15578"/>
    </row>
    <row r="15579" spans="10:10" x14ac:dyDescent="0.3">
      <c r="J15579"/>
    </row>
    <row r="15580" spans="10:10" x14ac:dyDescent="0.3">
      <c r="J15580"/>
    </row>
    <row r="15581" spans="10:10" x14ac:dyDescent="0.3">
      <c r="J15581"/>
    </row>
    <row r="15582" spans="10:10" x14ac:dyDescent="0.3">
      <c r="J15582"/>
    </row>
    <row r="15583" spans="10:10" x14ac:dyDescent="0.3">
      <c r="J15583"/>
    </row>
    <row r="15584" spans="10:10" x14ac:dyDescent="0.3">
      <c r="J15584"/>
    </row>
    <row r="15585" spans="10:10" x14ac:dyDescent="0.3">
      <c r="J15585"/>
    </row>
    <row r="15586" spans="10:10" x14ac:dyDescent="0.3">
      <c r="J15586"/>
    </row>
    <row r="15587" spans="10:10" x14ac:dyDescent="0.3">
      <c r="J15587"/>
    </row>
    <row r="15588" spans="10:10" x14ac:dyDescent="0.3">
      <c r="J15588"/>
    </row>
    <row r="15589" spans="10:10" x14ac:dyDescent="0.3">
      <c r="J15589"/>
    </row>
    <row r="15590" spans="10:10" x14ac:dyDescent="0.3">
      <c r="J15590"/>
    </row>
    <row r="15591" spans="10:10" x14ac:dyDescent="0.3">
      <c r="J15591"/>
    </row>
    <row r="15592" spans="10:10" x14ac:dyDescent="0.3">
      <c r="J15592"/>
    </row>
    <row r="15593" spans="10:10" x14ac:dyDescent="0.3">
      <c r="J15593"/>
    </row>
    <row r="15594" spans="10:10" x14ac:dyDescent="0.3">
      <c r="J15594"/>
    </row>
    <row r="15595" spans="10:10" x14ac:dyDescent="0.3">
      <c r="J15595"/>
    </row>
    <row r="15596" spans="10:10" x14ac:dyDescent="0.3">
      <c r="J15596"/>
    </row>
    <row r="15597" spans="10:10" x14ac:dyDescent="0.3">
      <c r="J15597"/>
    </row>
    <row r="15598" spans="10:10" x14ac:dyDescent="0.3">
      <c r="J15598"/>
    </row>
    <row r="15599" spans="10:10" x14ac:dyDescent="0.3">
      <c r="J15599"/>
    </row>
    <row r="15600" spans="10:10" x14ac:dyDescent="0.3">
      <c r="J15600"/>
    </row>
    <row r="15601" spans="10:10" x14ac:dyDescent="0.3">
      <c r="J15601"/>
    </row>
    <row r="15602" spans="10:10" x14ac:dyDescent="0.3">
      <c r="J15602"/>
    </row>
    <row r="15603" spans="10:10" x14ac:dyDescent="0.3">
      <c r="J15603"/>
    </row>
    <row r="15604" spans="10:10" x14ac:dyDescent="0.3">
      <c r="J15604"/>
    </row>
    <row r="15605" spans="10:10" x14ac:dyDescent="0.3">
      <c r="J15605"/>
    </row>
    <row r="15606" spans="10:10" x14ac:dyDescent="0.3">
      <c r="J15606"/>
    </row>
    <row r="15607" spans="10:10" x14ac:dyDescent="0.3">
      <c r="J15607"/>
    </row>
    <row r="15608" spans="10:10" x14ac:dyDescent="0.3">
      <c r="J15608"/>
    </row>
    <row r="15609" spans="10:10" x14ac:dyDescent="0.3">
      <c r="J15609"/>
    </row>
    <row r="15610" spans="10:10" x14ac:dyDescent="0.3">
      <c r="J15610"/>
    </row>
    <row r="15611" spans="10:10" x14ac:dyDescent="0.3">
      <c r="J15611"/>
    </row>
    <row r="15612" spans="10:10" x14ac:dyDescent="0.3">
      <c r="J15612"/>
    </row>
    <row r="15613" spans="10:10" x14ac:dyDescent="0.3">
      <c r="J15613"/>
    </row>
    <row r="15614" spans="10:10" x14ac:dyDescent="0.3">
      <c r="J15614"/>
    </row>
    <row r="15615" spans="10:10" x14ac:dyDescent="0.3">
      <c r="J15615"/>
    </row>
    <row r="15616" spans="10:10" x14ac:dyDescent="0.3">
      <c r="J15616"/>
    </row>
    <row r="15617" spans="10:10" x14ac:dyDescent="0.3">
      <c r="J15617"/>
    </row>
    <row r="15618" spans="10:10" x14ac:dyDescent="0.3">
      <c r="J15618"/>
    </row>
    <row r="15619" spans="10:10" x14ac:dyDescent="0.3">
      <c r="J15619"/>
    </row>
    <row r="15620" spans="10:10" x14ac:dyDescent="0.3">
      <c r="J15620"/>
    </row>
    <row r="15621" spans="10:10" x14ac:dyDescent="0.3">
      <c r="J15621"/>
    </row>
    <row r="15622" spans="10:10" x14ac:dyDescent="0.3">
      <c r="J15622"/>
    </row>
    <row r="15623" spans="10:10" x14ac:dyDescent="0.3">
      <c r="J15623"/>
    </row>
    <row r="15624" spans="10:10" x14ac:dyDescent="0.3">
      <c r="J15624"/>
    </row>
    <row r="15625" spans="10:10" x14ac:dyDescent="0.3">
      <c r="J15625"/>
    </row>
    <row r="15626" spans="10:10" x14ac:dyDescent="0.3">
      <c r="J15626"/>
    </row>
    <row r="15627" spans="10:10" x14ac:dyDescent="0.3">
      <c r="J15627"/>
    </row>
    <row r="15628" spans="10:10" x14ac:dyDescent="0.3">
      <c r="J15628"/>
    </row>
    <row r="15629" spans="10:10" x14ac:dyDescent="0.3">
      <c r="J15629"/>
    </row>
    <row r="15630" spans="10:10" x14ac:dyDescent="0.3">
      <c r="J15630"/>
    </row>
    <row r="15631" spans="10:10" x14ac:dyDescent="0.3">
      <c r="J15631"/>
    </row>
    <row r="15632" spans="10:10" x14ac:dyDescent="0.3">
      <c r="J15632"/>
    </row>
    <row r="15633" spans="10:10" x14ac:dyDescent="0.3">
      <c r="J15633"/>
    </row>
    <row r="15634" spans="10:10" x14ac:dyDescent="0.3">
      <c r="J15634"/>
    </row>
    <row r="15635" spans="10:10" x14ac:dyDescent="0.3">
      <c r="J15635"/>
    </row>
    <row r="15636" spans="10:10" x14ac:dyDescent="0.3">
      <c r="J15636"/>
    </row>
    <row r="15637" spans="10:10" x14ac:dyDescent="0.3">
      <c r="J15637"/>
    </row>
    <row r="15638" spans="10:10" x14ac:dyDescent="0.3">
      <c r="J15638"/>
    </row>
    <row r="15639" spans="10:10" x14ac:dyDescent="0.3">
      <c r="J15639"/>
    </row>
    <row r="15640" spans="10:10" x14ac:dyDescent="0.3">
      <c r="J15640"/>
    </row>
    <row r="15641" spans="10:10" x14ac:dyDescent="0.3">
      <c r="J15641"/>
    </row>
    <row r="15642" spans="10:10" x14ac:dyDescent="0.3">
      <c r="J15642"/>
    </row>
    <row r="15643" spans="10:10" x14ac:dyDescent="0.3">
      <c r="J15643"/>
    </row>
    <row r="15644" spans="10:10" x14ac:dyDescent="0.3">
      <c r="J15644"/>
    </row>
    <row r="15645" spans="10:10" x14ac:dyDescent="0.3">
      <c r="J15645"/>
    </row>
    <row r="15646" spans="10:10" x14ac:dyDescent="0.3">
      <c r="J15646"/>
    </row>
    <row r="15647" spans="10:10" x14ac:dyDescent="0.3">
      <c r="J15647"/>
    </row>
    <row r="15648" spans="10:10" x14ac:dyDescent="0.3">
      <c r="J15648"/>
    </row>
    <row r="15649" spans="10:10" x14ac:dyDescent="0.3">
      <c r="J15649"/>
    </row>
    <row r="15650" spans="10:10" x14ac:dyDescent="0.3">
      <c r="J15650"/>
    </row>
    <row r="15651" spans="10:10" x14ac:dyDescent="0.3">
      <c r="J15651"/>
    </row>
    <row r="15652" spans="10:10" x14ac:dyDescent="0.3">
      <c r="J15652"/>
    </row>
    <row r="15653" spans="10:10" x14ac:dyDescent="0.3">
      <c r="J15653"/>
    </row>
    <row r="15654" spans="10:10" x14ac:dyDescent="0.3">
      <c r="J15654"/>
    </row>
    <row r="15655" spans="10:10" x14ac:dyDescent="0.3">
      <c r="J15655"/>
    </row>
    <row r="15656" spans="10:10" x14ac:dyDescent="0.3">
      <c r="J15656"/>
    </row>
    <row r="15657" spans="10:10" x14ac:dyDescent="0.3">
      <c r="J15657"/>
    </row>
    <row r="15658" spans="10:10" x14ac:dyDescent="0.3">
      <c r="J15658"/>
    </row>
    <row r="15659" spans="10:10" x14ac:dyDescent="0.3">
      <c r="J15659"/>
    </row>
    <row r="15660" spans="10:10" x14ac:dyDescent="0.3">
      <c r="J15660"/>
    </row>
    <row r="15661" spans="10:10" x14ac:dyDescent="0.3">
      <c r="J15661"/>
    </row>
    <row r="15662" spans="10:10" x14ac:dyDescent="0.3">
      <c r="J15662"/>
    </row>
    <row r="15663" spans="10:10" x14ac:dyDescent="0.3">
      <c r="J15663"/>
    </row>
    <row r="15664" spans="10:10" x14ac:dyDescent="0.3">
      <c r="J15664"/>
    </row>
    <row r="15665" spans="10:10" x14ac:dyDescent="0.3">
      <c r="J15665"/>
    </row>
    <row r="15666" spans="10:10" x14ac:dyDescent="0.3">
      <c r="J15666"/>
    </row>
    <row r="15667" spans="10:10" x14ac:dyDescent="0.3">
      <c r="J15667"/>
    </row>
    <row r="15668" spans="10:10" x14ac:dyDescent="0.3">
      <c r="J15668"/>
    </row>
    <row r="15669" spans="10:10" x14ac:dyDescent="0.3">
      <c r="J15669"/>
    </row>
    <row r="15670" spans="10:10" x14ac:dyDescent="0.3">
      <c r="J15670"/>
    </row>
    <row r="15671" spans="10:10" x14ac:dyDescent="0.3">
      <c r="J15671"/>
    </row>
    <row r="15672" spans="10:10" x14ac:dyDescent="0.3">
      <c r="J15672"/>
    </row>
    <row r="15673" spans="10:10" x14ac:dyDescent="0.3">
      <c r="J15673"/>
    </row>
    <row r="15674" spans="10:10" x14ac:dyDescent="0.3">
      <c r="J15674"/>
    </row>
    <row r="15675" spans="10:10" x14ac:dyDescent="0.3">
      <c r="J15675"/>
    </row>
    <row r="15676" spans="10:10" x14ac:dyDescent="0.3">
      <c r="J15676"/>
    </row>
    <row r="15677" spans="10:10" x14ac:dyDescent="0.3">
      <c r="J15677"/>
    </row>
    <row r="15678" spans="10:10" x14ac:dyDescent="0.3">
      <c r="J15678"/>
    </row>
    <row r="15679" spans="10:10" x14ac:dyDescent="0.3">
      <c r="J15679"/>
    </row>
    <row r="15680" spans="10:10" x14ac:dyDescent="0.3">
      <c r="J15680"/>
    </row>
    <row r="15681" spans="10:10" x14ac:dyDescent="0.3">
      <c r="J15681"/>
    </row>
    <row r="15682" spans="10:10" x14ac:dyDescent="0.3">
      <c r="J15682"/>
    </row>
    <row r="15683" spans="10:10" x14ac:dyDescent="0.3">
      <c r="J15683"/>
    </row>
    <row r="15684" spans="10:10" x14ac:dyDescent="0.3">
      <c r="J15684"/>
    </row>
    <row r="15685" spans="10:10" x14ac:dyDescent="0.3">
      <c r="J15685"/>
    </row>
    <row r="15686" spans="10:10" x14ac:dyDescent="0.3">
      <c r="J15686"/>
    </row>
    <row r="15687" spans="10:10" x14ac:dyDescent="0.3">
      <c r="J15687"/>
    </row>
    <row r="15688" spans="10:10" x14ac:dyDescent="0.3">
      <c r="J15688"/>
    </row>
    <row r="15689" spans="10:10" x14ac:dyDescent="0.3">
      <c r="J15689"/>
    </row>
    <row r="15690" spans="10:10" x14ac:dyDescent="0.3">
      <c r="J15690"/>
    </row>
    <row r="15691" spans="10:10" x14ac:dyDescent="0.3">
      <c r="J15691"/>
    </row>
    <row r="15692" spans="10:10" x14ac:dyDescent="0.3">
      <c r="J15692"/>
    </row>
    <row r="15693" spans="10:10" x14ac:dyDescent="0.3">
      <c r="J15693"/>
    </row>
    <row r="15694" spans="10:10" x14ac:dyDescent="0.3">
      <c r="J15694"/>
    </row>
    <row r="15695" spans="10:10" x14ac:dyDescent="0.3">
      <c r="J15695"/>
    </row>
    <row r="15696" spans="10:10" x14ac:dyDescent="0.3">
      <c r="J15696"/>
    </row>
    <row r="15697" spans="10:10" x14ac:dyDescent="0.3">
      <c r="J15697"/>
    </row>
    <row r="15698" spans="10:10" x14ac:dyDescent="0.3">
      <c r="J15698"/>
    </row>
    <row r="15699" spans="10:10" x14ac:dyDescent="0.3">
      <c r="J15699"/>
    </row>
    <row r="15700" spans="10:10" x14ac:dyDescent="0.3">
      <c r="J15700"/>
    </row>
    <row r="15701" spans="10:10" x14ac:dyDescent="0.3">
      <c r="J15701"/>
    </row>
    <row r="15702" spans="10:10" x14ac:dyDescent="0.3">
      <c r="J15702"/>
    </row>
    <row r="15703" spans="10:10" x14ac:dyDescent="0.3">
      <c r="J15703"/>
    </row>
    <row r="15704" spans="10:10" x14ac:dyDescent="0.3">
      <c r="J15704"/>
    </row>
    <row r="15705" spans="10:10" x14ac:dyDescent="0.3">
      <c r="J15705"/>
    </row>
    <row r="15706" spans="10:10" x14ac:dyDescent="0.3">
      <c r="J15706"/>
    </row>
    <row r="15707" spans="10:10" x14ac:dyDescent="0.3">
      <c r="J15707"/>
    </row>
    <row r="15708" spans="10:10" x14ac:dyDescent="0.3">
      <c r="J15708"/>
    </row>
    <row r="15709" spans="10:10" x14ac:dyDescent="0.3">
      <c r="J15709"/>
    </row>
    <row r="15710" spans="10:10" x14ac:dyDescent="0.3">
      <c r="J15710"/>
    </row>
    <row r="15711" spans="10:10" x14ac:dyDescent="0.3">
      <c r="J15711"/>
    </row>
    <row r="15712" spans="10:10" x14ac:dyDescent="0.3">
      <c r="J15712"/>
    </row>
    <row r="15713" spans="10:10" x14ac:dyDescent="0.3">
      <c r="J15713"/>
    </row>
    <row r="15714" spans="10:10" x14ac:dyDescent="0.3">
      <c r="J15714"/>
    </row>
    <row r="15715" spans="10:10" x14ac:dyDescent="0.3">
      <c r="J15715"/>
    </row>
    <row r="15716" spans="10:10" x14ac:dyDescent="0.3">
      <c r="J15716"/>
    </row>
    <row r="15717" spans="10:10" x14ac:dyDescent="0.3">
      <c r="J15717"/>
    </row>
    <row r="15718" spans="10:10" x14ac:dyDescent="0.3">
      <c r="J15718"/>
    </row>
    <row r="15719" spans="10:10" x14ac:dyDescent="0.3">
      <c r="J15719"/>
    </row>
    <row r="15720" spans="10:10" x14ac:dyDescent="0.3">
      <c r="J15720"/>
    </row>
    <row r="15721" spans="10:10" x14ac:dyDescent="0.3">
      <c r="J15721"/>
    </row>
    <row r="15722" spans="10:10" x14ac:dyDescent="0.3">
      <c r="J15722"/>
    </row>
    <row r="15723" spans="10:10" x14ac:dyDescent="0.3">
      <c r="J15723"/>
    </row>
    <row r="15724" spans="10:10" x14ac:dyDescent="0.3">
      <c r="J15724"/>
    </row>
    <row r="15725" spans="10:10" x14ac:dyDescent="0.3">
      <c r="J15725"/>
    </row>
    <row r="15726" spans="10:10" x14ac:dyDescent="0.3">
      <c r="J15726"/>
    </row>
    <row r="15727" spans="10:10" x14ac:dyDescent="0.3">
      <c r="J15727"/>
    </row>
    <row r="15728" spans="10:10" x14ac:dyDescent="0.3">
      <c r="J15728"/>
    </row>
    <row r="15729" spans="10:10" x14ac:dyDescent="0.3">
      <c r="J15729"/>
    </row>
    <row r="15730" spans="10:10" x14ac:dyDescent="0.3">
      <c r="J15730"/>
    </row>
    <row r="15731" spans="10:10" x14ac:dyDescent="0.3">
      <c r="J15731"/>
    </row>
    <row r="15732" spans="10:10" x14ac:dyDescent="0.3">
      <c r="J15732"/>
    </row>
    <row r="15733" spans="10:10" x14ac:dyDescent="0.3">
      <c r="J15733"/>
    </row>
    <row r="15734" spans="10:10" x14ac:dyDescent="0.3">
      <c r="J15734"/>
    </row>
    <row r="15735" spans="10:10" x14ac:dyDescent="0.3">
      <c r="J15735"/>
    </row>
    <row r="15736" spans="10:10" x14ac:dyDescent="0.3">
      <c r="J15736"/>
    </row>
    <row r="15737" spans="10:10" x14ac:dyDescent="0.3">
      <c r="J15737"/>
    </row>
    <row r="15738" spans="10:10" x14ac:dyDescent="0.3">
      <c r="J15738"/>
    </row>
    <row r="15739" spans="10:10" x14ac:dyDescent="0.3">
      <c r="J15739"/>
    </row>
    <row r="15740" spans="10:10" x14ac:dyDescent="0.3">
      <c r="J15740"/>
    </row>
    <row r="15741" spans="10:10" x14ac:dyDescent="0.3">
      <c r="J15741"/>
    </row>
    <row r="15742" spans="10:10" x14ac:dyDescent="0.3">
      <c r="J15742"/>
    </row>
    <row r="15743" spans="10:10" x14ac:dyDescent="0.3">
      <c r="J15743"/>
    </row>
    <row r="15744" spans="10:10" x14ac:dyDescent="0.3">
      <c r="J15744"/>
    </row>
    <row r="15745" spans="10:10" x14ac:dyDescent="0.3">
      <c r="J15745"/>
    </row>
    <row r="15746" spans="10:10" x14ac:dyDescent="0.3">
      <c r="J15746"/>
    </row>
    <row r="15747" spans="10:10" x14ac:dyDescent="0.3">
      <c r="J15747"/>
    </row>
    <row r="15748" spans="10:10" x14ac:dyDescent="0.3">
      <c r="J15748"/>
    </row>
    <row r="15749" spans="10:10" x14ac:dyDescent="0.3">
      <c r="J15749"/>
    </row>
    <row r="15750" spans="10:10" x14ac:dyDescent="0.3">
      <c r="J15750"/>
    </row>
    <row r="15751" spans="10:10" x14ac:dyDescent="0.3">
      <c r="J15751"/>
    </row>
    <row r="15752" spans="10:10" x14ac:dyDescent="0.3">
      <c r="J15752"/>
    </row>
    <row r="15753" spans="10:10" x14ac:dyDescent="0.3">
      <c r="J15753"/>
    </row>
    <row r="15754" spans="10:10" x14ac:dyDescent="0.3">
      <c r="J15754"/>
    </row>
    <row r="15755" spans="10:10" x14ac:dyDescent="0.3">
      <c r="J15755"/>
    </row>
    <row r="15756" spans="10:10" x14ac:dyDescent="0.3">
      <c r="J15756"/>
    </row>
    <row r="15757" spans="10:10" x14ac:dyDescent="0.3">
      <c r="J15757"/>
    </row>
    <row r="15758" spans="10:10" x14ac:dyDescent="0.3">
      <c r="J15758"/>
    </row>
    <row r="15759" spans="10:10" x14ac:dyDescent="0.3">
      <c r="J15759"/>
    </row>
    <row r="15760" spans="10:10" x14ac:dyDescent="0.3">
      <c r="J15760"/>
    </row>
    <row r="15761" spans="10:10" x14ac:dyDescent="0.3">
      <c r="J15761"/>
    </row>
    <row r="15762" spans="10:10" x14ac:dyDescent="0.3">
      <c r="J15762"/>
    </row>
    <row r="15763" spans="10:10" x14ac:dyDescent="0.3">
      <c r="J15763"/>
    </row>
    <row r="15764" spans="10:10" x14ac:dyDescent="0.3">
      <c r="J15764"/>
    </row>
    <row r="15765" spans="10:10" x14ac:dyDescent="0.3">
      <c r="J15765"/>
    </row>
    <row r="15766" spans="10:10" x14ac:dyDescent="0.3">
      <c r="J15766"/>
    </row>
    <row r="15767" spans="10:10" x14ac:dyDescent="0.3">
      <c r="J15767"/>
    </row>
    <row r="15768" spans="10:10" x14ac:dyDescent="0.3">
      <c r="J15768"/>
    </row>
    <row r="15769" spans="10:10" x14ac:dyDescent="0.3">
      <c r="J15769"/>
    </row>
    <row r="15770" spans="10:10" x14ac:dyDescent="0.3">
      <c r="J15770"/>
    </row>
    <row r="15771" spans="10:10" x14ac:dyDescent="0.3">
      <c r="J15771"/>
    </row>
    <row r="15772" spans="10:10" x14ac:dyDescent="0.3">
      <c r="J15772"/>
    </row>
    <row r="15773" spans="10:10" x14ac:dyDescent="0.3">
      <c r="J15773"/>
    </row>
    <row r="15774" spans="10:10" x14ac:dyDescent="0.3">
      <c r="J15774"/>
    </row>
    <row r="15775" spans="10:10" x14ac:dyDescent="0.3">
      <c r="J15775"/>
    </row>
    <row r="15776" spans="10:10" x14ac:dyDescent="0.3">
      <c r="J15776"/>
    </row>
    <row r="15777" spans="10:10" x14ac:dyDescent="0.3">
      <c r="J15777"/>
    </row>
    <row r="15778" spans="10:10" x14ac:dyDescent="0.3">
      <c r="J15778"/>
    </row>
    <row r="15779" spans="10:10" x14ac:dyDescent="0.3">
      <c r="J15779"/>
    </row>
    <row r="15780" spans="10:10" x14ac:dyDescent="0.3">
      <c r="J15780"/>
    </row>
    <row r="15781" spans="10:10" x14ac:dyDescent="0.3">
      <c r="J15781"/>
    </row>
    <row r="15782" spans="10:10" x14ac:dyDescent="0.3">
      <c r="J15782"/>
    </row>
    <row r="15783" spans="10:10" x14ac:dyDescent="0.3">
      <c r="J15783"/>
    </row>
    <row r="15784" spans="10:10" x14ac:dyDescent="0.3">
      <c r="J15784"/>
    </row>
    <row r="15785" spans="10:10" x14ac:dyDescent="0.3">
      <c r="J15785"/>
    </row>
    <row r="15786" spans="10:10" x14ac:dyDescent="0.3">
      <c r="J15786"/>
    </row>
    <row r="15787" spans="10:10" x14ac:dyDescent="0.3">
      <c r="J15787"/>
    </row>
    <row r="15788" spans="10:10" x14ac:dyDescent="0.3">
      <c r="J15788"/>
    </row>
    <row r="15789" spans="10:10" x14ac:dyDescent="0.3">
      <c r="J15789"/>
    </row>
    <row r="15790" spans="10:10" x14ac:dyDescent="0.3">
      <c r="J15790"/>
    </row>
    <row r="15791" spans="10:10" x14ac:dyDescent="0.3">
      <c r="J15791"/>
    </row>
    <row r="15792" spans="10:10" x14ac:dyDescent="0.3">
      <c r="J15792"/>
    </row>
    <row r="15793" spans="10:10" x14ac:dyDescent="0.3">
      <c r="J15793"/>
    </row>
    <row r="15794" spans="10:10" x14ac:dyDescent="0.3">
      <c r="J15794"/>
    </row>
    <row r="15795" spans="10:10" x14ac:dyDescent="0.3">
      <c r="J15795"/>
    </row>
    <row r="15796" spans="10:10" x14ac:dyDescent="0.3">
      <c r="J15796"/>
    </row>
    <row r="15797" spans="10:10" x14ac:dyDescent="0.3">
      <c r="J15797"/>
    </row>
    <row r="15798" spans="10:10" x14ac:dyDescent="0.3">
      <c r="J15798"/>
    </row>
    <row r="15799" spans="10:10" x14ac:dyDescent="0.3">
      <c r="J15799"/>
    </row>
    <row r="15800" spans="10:10" x14ac:dyDescent="0.3">
      <c r="J15800"/>
    </row>
    <row r="15801" spans="10:10" x14ac:dyDescent="0.3">
      <c r="J15801"/>
    </row>
    <row r="15802" spans="10:10" x14ac:dyDescent="0.3">
      <c r="J15802"/>
    </row>
    <row r="15803" spans="10:10" x14ac:dyDescent="0.3">
      <c r="J15803"/>
    </row>
    <row r="15804" spans="10:10" x14ac:dyDescent="0.3">
      <c r="J15804"/>
    </row>
    <row r="15805" spans="10:10" x14ac:dyDescent="0.3">
      <c r="J15805"/>
    </row>
    <row r="15806" spans="10:10" x14ac:dyDescent="0.3">
      <c r="J15806"/>
    </row>
    <row r="15807" spans="10:10" x14ac:dyDescent="0.3">
      <c r="J15807"/>
    </row>
    <row r="15808" spans="10:10" x14ac:dyDescent="0.3">
      <c r="J15808"/>
    </row>
    <row r="15809" spans="10:10" x14ac:dyDescent="0.3">
      <c r="J15809"/>
    </row>
    <row r="15810" spans="10:10" x14ac:dyDescent="0.3">
      <c r="J15810"/>
    </row>
    <row r="15811" spans="10:10" x14ac:dyDescent="0.3">
      <c r="J15811"/>
    </row>
    <row r="15812" spans="10:10" x14ac:dyDescent="0.3">
      <c r="J15812"/>
    </row>
    <row r="15813" spans="10:10" x14ac:dyDescent="0.3">
      <c r="J15813"/>
    </row>
    <row r="15814" spans="10:10" x14ac:dyDescent="0.3">
      <c r="J15814"/>
    </row>
    <row r="15815" spans="10:10" x14ac:dyDescent="0.3">
      <c r="J15815"/>
    </row>
    <row r="15816" spans="10:10" x14ac:dyDescent="0.3">
      <c r="J15816"/>
    </row>
    <row r="15817" spans="10:10" x14ac:dyDescent="0.3">
      <c r="J15817"/>
    </row>
    <row r="15818" spans="10:10" x14ac:dyDescent="0.3">
      <c r="J15818"/>
    </row>
    <row r="15819" spans="10:10" x14ac:dyDescent="0.3">
      <c r="J15819"/>
    </row>
    <row r="15820" spans="10:10" x14ac:dyDescent="0.3">
      <c r="J15820"/>
    </row>
    <row r="15821" spans="10:10" x14ac:dyDescent="0.3">
      <c r="J15821"/>
    </row>
    <row r="15822" spans="10:10" x14ac:dyDescent="0.3">
      <c r="J15822"/>
    </row>
    <row r="15823" spans="10:10" x14ac:dyDescent="0.3">
      <c r="J15823"/>
    </row>
    <row r="15824" spans="10:10" x14ac:dyDescent="0.3">
      <c r="J15824"/>
    </row>
    <row r="15825" spans="10:10" x14ac:dyDescent="0.3">
      <c r="J15825"/>
    </row>
    <row r="15826" spans="10:10" x14ac:dyDescent="0.3">
      <c r="J15826"/>
    </row>
    <row r="15827" spans="10:10" x14ac:dyDescent="0.3">
      <c r="J15827"/>
    </row>
    <row r="15828" spans="10:10" x14ac:dyDescent="0.3">
      <c r="J15828"/>
    </row>
    <row r="15829" spans="10:10" x14ac:dyDescent="0.3">
      <c r="J15829"/>
    </row>
    <row r="15830" spans="10:10" x14ac:dyDescent="0.3">
      <c r="J15830"/>
    </row>
    <row r="15831" spans="10:10" x14ac:dyDescent="0.3">
      <c r="J15831"/>
    </row>
    <row r="15832" spans="10:10" x14ac:dyDescent="0.3">
      <c r="J15832"/>
    </row>
    <row r="15833" spans="10:10" x14ac:dyDescent="0.3">
      <c r="J15833"/>
    </row>
    <row r="15834" spans="10:10" x14ac:dyDescent="0.3">
      <c r="J15834"/>
    </row>
    <row r="15835" spans="10:10" x14ac:dyDescent="0.3">
      <c r="J15835"/>
    </row>
    <row r="15836" spans="10:10" x14ac:dyDescent="0.3">
      <c r="J15836"/>
    </row>
    <row r="15837" spans="10:10" x14ac:dyDescent="0.3">
      <c r="J15837"/>
    </row>
    <row r="15838" spans="10:10" x14ac:dyDescent="0.3">
      <c r="J15838"/>
    </row>
    <row r="15839" spans="10:10" x14ac:dyDescent="0.3">
      <c r="J15839"/>
    </row>
    <row r="15840" spans="10:10" x14ac:dyDescent="0.3">
      <c r="J15840"/>
    </row>
    <row r="15841" spans="10:10" x14ac:dyDescent="0.3">
      <c r="J15841"/>
    </row>
    <row r="15842" spans="10:10" x14ac:dyDescent="0.3">
      <c r="J15842"/>
    </row>
    <row r="15843" spans="10:10" x14ac:dyDescent="0.3">
      <c r="J15843"/>
    </row>
    <row r="15844" spans="10:10" x14ac:dyDescent="0.3">
      <c r="J15844"/>
    </row>
    <row r="15845" spans="10:10" x14ac:dyDescent="0.3">
      <c r="J15845"/>
    </row>
    <row r="15846" spans="10:10" x14ac:dyDescent="0.3">
      <c r="J15846"/>
    </row>
    <row r="15847" spans="10:10" x14ac:dyDescent="0.3">
      <c r="J15847"/>
    </row>
    <row r="15848" spans="10:10" x14ac:dyDescent="0.3">
      <c r="J15848"/>
    </row>
    <row r="15849" spans="10:10" x14ac:dyDescent="0.3">
      <c r="J15849"/>
    </row>
    <row r="15850" spans="10:10" x14ac:dyDescent="0.3">
      <c r="J15850"/>
    </row>
    <row r="15851" spans="10:10" x14ac:dyDescent="0.3">
      <c r="J15851"/>
    </row>
    <row r="15852" spans="10:10" x14ac:dyDescent="0.3">
      <c r="J15852"/>
    </row>
    <row r="15853" spans="10:10" x14ac:dyDescent="0.3">
      <c r="J15853"/>
    </row>
    <row r="15854" spans="10:10" x14ac:dyDescent="0.3">
      <c r="J15854"/>
    </row>
    <row r="15855" spans="10:10" x14ac:dyDescent="0.3">
      <c r="J15855"/>
    </row>
    <row r="15856" spans="10:10" x14ac:dyDescent="0.3">
      <c r="J15856"/>
    </row>
    <row r="15857" spans="10:10" x14ac:dyDescent="0.3">
      <c r="J15857"/>
    </row>
    <row r="15858" spans="10:10" x14ac:dyDescent="0.3">
      <c r="J15858"/>
    </row>
    <row r="15859" spans="10:10" x14ac:dyDescent="0.3">
      <c r="J15859"/>
    </row>
    <row r="15860" spans="10:10" x14ac:dyDescent="0.3">
      <c r="J15860"/>
    </row>
    <row r="15861" spans="10:10" x14ac:dyDescent="0.3">
      <c r="J15861"/>
    </row>
    <row r="15862" spans="10:10" x14ac:dyDescent="0.3">
      <c r="J15862"/>
    </row>
    <row r="15863" spans="10:10" x14ac:dyDescent="0.3">
      <c r="J15863"/>
    </row>
    <row r="15864" spans="10:10" x14ac:dyDescent="0.3">
      <c r="J15864"/>
    </row>
    <row r="15865" spans="10:10" x14ac:dyDescent="0.3">
      <c r="J15865"/>
    </row>
    <row r="15866" spans="10:10" x14ac:dyDescent="0.3">
      <c r="J15866"/>
    </row>
    <row r="15867" spans="10:10" x14ac:dyDescent="0.3">
      <c r="J15867"/>
    </row>
    <row r="15868" spans="10:10" x14ac:dyDescent="0.3">
      <c r="J15868"/>
    </row>
    <row r="15869" spans="10:10" x14ac:dyDescent="0.3">
      <c r="J15869"/>
    </row>
    <row r="15870" spans="10:10" x14ac:dyDescent="0.3">
      <c r="J15870"/>
    </row>
    <row r="15871" spans="10:10" x14ac:dyDescent="0.3">
      <c r="J15871"/>
    </row>
    <row r="15872" spans="10:10" x14ac:dyDescent="0.3">
      <c r="J15872"/>
    </row>
    <row r="15873" spans="10:10" x14ac:dyDescent="0.3">
      <c r="J15873"/>
    </row>
    <row r="15874" spans="10:10" x14ac:dyDescent="0.3">
      <c r="J15874"/>
    </row>
    <row r="15875" spans="10:10" x14ac:dyDescent="0.3">
      <c r="J15875"/>
    </row>
    <row r="15876" spans="10:10" x14ac:dyDescent="0.3">
      <c r="J15876"/>
    </row>
    <row r="15877" spans="10:10" x14ac:dyDescent="0.3">
      <c r="J15877"/>
    </row>
    <row r="15878" spans="10:10" x14ac:dyDescent="0.3">
      <c r="J15878"/>
    </row>
    <row r="15879" spans="10:10" x14ac:dyDescent="0.3">
      <c r="J15879"/>
    </row>
    <row r="15880" spans="10:10" x14ac:dyDescent="0.3">
      <c r="J15880"/>
    </row>
    <row r="15881" spans="10:10" x14ac:dyDescent="0.3">
      <c r="J15881"/>
    </row>
    <row r="15882" spans="10:10" x14ac:dyDescent="0.3">
      <c r="J15882"/>
    </row>
    <row r="15883" spans="10:10" x14ac:dyDescent="0.3">
      <c r="J15883"/>
    </row>
    <row r="15884" spans="10:10" x14ac:dyDescent="0.3">
      <c r="J15884"/>
    </row>
    <row r="15885" spans="10:10" x14ac:dyDescent="0.3">
      <c r="J15885"/>
    </row>
    <row r="15886" spans="10:10" x14ac:dyDescent="0.3">
      <c r="J15886"/>
    </row>
    <row r="15887" spans="10:10" x14ac:dyDescent="0.3">
      <c r="J15887"/>
    </row>
    <row r="15888" spans="10:10" x14ac:dyDescent="0.3">
      <c r="J15888"/>
    </row>
    <row r="15889" spans="10:10" x14ac:dyDescent="0.3">
      <c r="J15889"/>
    </row>
    <row r="15890" spans="10:10" x14ac:dyDescent="0.3">
      <c r="J15890"/>
    </row>
    <row r="15891" spans="10:10" x14ac:dyDescent="0.3">
      <c r="J15891"/>
    </row>
    <row r="15892" spans="10:10" x14ac:dyDescent="0.3">
      <c r="J15892"/>
    </row>
    <row r="15893" spans="10:10" x14ac:dyDescent="0.3">
      <c r="J15893"/>
    </row>
    <row r="15894" spans="10:10" x14ac:dyDescent="0.3">
      <c r="J15894"/>
    </row>
    <row r="15895" spans="10:10" x14ac:dyDescent="0.3">
      <c r="J15895"/>
    </row>
    <row r="15896" spans="10:10" x14ac:dyDescent="0.3">
      <c r="J15896"/>
    </row>
    <row r="15897" spans="10:10" x14ac:dyDescent="0.3">
      <c r="J15897"/>
    </row>
    <row r="15898" spans="10:10" x14ac:dyDescent="0.3">
      <c r="J15898"/>
    </row>
    <row r="15899" spans="10:10" x14ac:dyDescent="0.3">
      <c r="J15899"/>
    </row>
    <row r="15900" spans="10:10" x14ac:dyDescent="0.3">
      <c r="J15900"/>
    </row>
    <row r="15901" spans="10:10" x14ac:dyDescent="0.3">
      <c r="J15901"/>
    </row>
    <row r="15902" spans="10:10" x14ac:dyDescent="0.3">
      <c r="J15902"/>
    </row>
    <row r="15903" spans="10:10" x14ac:dyDescent="0.3">
      <c r="J15903"/>
    </row>
    <row r="15904" spans="10:10" x14ac:dyDescent="0.3">
      <c r="J15904"/>
    </row>
    <row r="15905" spans="10:10" x14ac:dyDescent="0.3">
      <c r="J15905"/>
    </row>
    <row r="15906" spans="10:10" x14ac:dyDescent="0.3">
      <c r="J15906"/>
    </row>
    <row r="15907" spans="10:10" x14ac:dyDescent="0.3">
      <c r="J15907"/>
    </row>
    <row r="15908" spans="10:10" x14ac:dyDescent="0.3">
      <c r="J15908"/>
    </row>
    <row r="15909" spans="10:10" x14ac:dyDescent="0.3">
      <c r="J15909"/>
    </row>
    <row r="15910" spans="10:10" x14ac:dyDescent="0.3">
      <c r="J15910"/>
    </row>
    <row r="15911" spans="10:10" x14ac:dyDescent="0.3">
      <c r="J15911"/>
    </row>
    <row r="15912" spans="10:10" x14ac:dyDescent="0.3">
      <c r="J15912"/>
    </row>
    <row r="15913" spans="10:10" x14ac:dyDescent="0.3">
      <c r="J15913"/>
    </row>
    <row r="15914" spans="10:10" x14ac:dyDescent="0.3">
      <c r="J15914"/>
    </row>
    <row r="15915" spans="10:10" x14ac:dyDescent="0.3">
      <c r="J15915"/>
    </row>
    <row r="15916" spans="10:10" x14ac:dyDescent="0.3">
      <c r="J15916"/>
    </row>
    <row r="15917" spans="10:10" x14ac:dyDescent="0.3">
      <c r="J15917"/>
    </row>
    <row r="15918" spans="10:10" x14ac:dyDescent="0.3">
      <c r="J15918"/>
    </row>
    <row r="15919" spans="10:10" x14ac:dyDescent="0.3">
      <c r="J15919"/>
    </row>
    <row r="15920" spans="10:10" x14ac:dyDescent="0.3">
      <c r="J15920"/>
    </row>
    <row r="15921" spans="10:10" x14ac:dyDescent="0.3">
      <c r="J15921"/>
    </row>
    <row r="15922" spans="10:10" x14ac:dyDescent="0.3">
      <c r="J15922"/>
    </row>
    <row r="15923" spans="10:10" x14ac:dyDescent="0.3">
      <c r="J15923"/>
    </row>
    <row r="15924" spans="10:10" x14ac:dyDescent="0.3">
      <c r="J15924"/>
    </row>
    <row r="15925" spans="10:10" x14ac:dyDescent="0.3">
      <c r="J15925"/>
    </row>
    <row r="15926" spans="10:10" x14ac:dyDescent="0.3">
      <c r="J15926"/>
    </row>
    <row r="15927" spans="10:10" x14ac:dyDescent="0.3">
      <c r="J15927"/>
    </row>
    <row r="15928" spans="10:10" x14ac:dyDescent="0.3">
      <c r="J15928"/>
    </row>
    <row r="15929" spans="10:10" x14ac:dyDescent="0.3">
      <c r="J15929"/>
    </row>
    <row r="15930" spans="10:10" x14ac:dyDescent="0.3">
      <c r="J15930"/>
    </row>
    <row r="15931" spans="10:10" x14ac:dyDescent="0.3">
      <c r="J15931"/>
    </row>
    <row r="15932" spans="10:10" x14ac:dyDescent="0.3">
      <c r="J15932"/>
    </row>
    <row r="15933" spans="10:10" x14ac:dyDescent="0.3">
      <c r="J15933"/>
    </row>
    <row r="15934" spans="10:10" x14ac:dyDescent="0.3">
      <c r="J15934"/>
    </row>
    <row r="15935" spans="10:10" x14ac:dyDescent="0.3">
      <c r="J15935"/>
    </row>
    <row r="15936" spans="10:10" x14ac:dyDescent="0.3">
      <c r="J15936"/>
    </row>
    <row r="15937" spans="10:10" x14ac:dyDescent="0.3">
      <c r="J15937"/>
    </row>
    <row r="15938" spans="10:10" x14ac:dyDescent="0.3">
      <c r="J15938"/>
    </row>
    <row r="15939" spans="10:10" x14ac:dyDescent="0.3">
      <c r="J15939"/>
    </row>
    <row r="15940" spans="10:10" x14ac:dyDescent="0.3">
      <c r="J15940"/>
    </row>
    <row r="15941" spans="10:10" x14ac:dyDescent="0.3">
      <c r="J15941"/>
    </row>
    <row r="15942" spans="10:10" x14ac:dyDescent="0.3">
      <c r="J15942"/>
    </row>
    <row r="15943" spans="10:10" x14ac:dyDescent="0.3">
      <c r="J15943"/>
    </row>
    <row r="15944" spans="10:10" x14ac:dyDescent="0.3">
      <c r="J15944"/>
    </row>
    <row r="15945" spans="10:10" x14ac:dyDescent="0.3">
      <c r="J15945"/>
    </row>
    <row r="15946" spans="10:10" x14ac:dyDescent="0.3">
      <c r="J15946"/>
    </row>
    <row r="15947" spans="10:10" x14ac:dyDescent="0.3">
      <c r="J15947"/>
    </row>
    <row r="15948" spans="10:10" x14ac:dyDescent="0.3">
      <c r="J15948"/>
    </row>
    <row r="15949" spans="10:10" x14ac:dyDescent="0.3">
      <c r="J15949"/>
    </row>
    <row r="15950" spans="10:10" x14ac:dyDescent="0.3">
      <c r="J15950"/>
    </row>
    <row r="15951" spans="10:10" x14ac:dyDescent="0.3">
      <c r="J15951"/>
    </row>
    <row r="15952" spans="10:10" x14ac:dyDescent="0.3">
      <c r="J15952"/>
    </row>
    <row r="15953" spans="10:10" x14ac:dyDescent="0.3">
      <c r="J15953"/>
    </row>
    <row r="15954" spans="10:10" x14ac:dyDescent="0.3">
      <c r="J15954"/>
    </row>
    <row r="15955" spans="10:10" x14ac:dyDescent="0.3">
      <c r="J15955"/>
    </row>
    <row r="15956" spans="10:10" x14ac:dyDescent="0.3">
      <c r="J15956"/>
    </row>
    <row r="15957" spans="10:10" x14ac:dyDescent="0.3">
      <c r="J15957"/>
    </row>
    <row r="15958" spans="10:10" x14ac:dyDescent="0.3">
      <c r="J15958"/>
    </row>
    <row r="15959" spans="10:10" x14ac:dyDescent="0.3">
      <c r="J15959"/>
    </row>
    <row r="15960" spans="10:10" x14ac:dyDescent="0.3">
      <c r="J15960"/>
    </row>
    <row r="15961" spans="10:10" x14ac:dyDescent="0.3">
      <c r="J15961"/>
    </row>
    <row r="15962" spans="10:10" x14ac:dyDescent="0.3">
      <c r="J15962"/>
    </row>
    <row r="15963" spans="10:10" x14ac:dyDescent="0.3">
      <c r="J15963"/>
    </row>
    <row r="15964" spans="10:10" x14ac:dyDescent="0.3">
      <c r="J15964"/>
    </row>
    <row r="15965" spans="10:10" x14ac:dyDescent="0.3">
      <c r="J15965"/>
    </row>
    <row r="15966" spans="10:10" x14ac:dyDescent="0.3">
      <c r="J15966"/>
    </row>
    <row r="15967" spans="10:10" x14ac:dyDescent="0.3">
      <c r="J15967"/>
    </row>
    <row r="15968" spans="10:10" x14ac:dyDescent="0.3">
      <c r="J15968"/>
    </row>
    <row r="15969" spans="10:10" x14ac:dyDescent="0.3">
      <c r="J15969"/>
    </row>
    <row r="15970" spans="10:10" x14ac:dyDescent="0.3">
      <c r="J15970"/>
    </row>
    <row r="15971" spans="10:10" x14ac:dyDescent="0.3">
      <c r="J15971"/>
    </row>
    <row r="15972" spans="10:10" x14ac:dyDescent="0.3">
      <c r="J15972"/>
    </row>
    <row r="15973" spans="10:10" x14ac:dyDescent="0.3">
      <c r="J15973"/>
    </row>
    <row r="15974" spans="10:10" x14ac:dyDescent="0.3">
      <c r="J15974"/>
    </row>
    <row r="15975" spans="10:10" x14ac:dyDescent="0.3">
      <c r="J15975"/>
    </row>
    <row r="15976" spans="10:10" x14ac:dyDescent="0.3">
      <c r="J15976"/>
    </row>
    <row r="15977" spans="10:10" x14ac:dyDescent="0.3">
      <c r="J15977"/>
    </row>
    <row r="15978" spans="10:10" x14ac:dyDescent="0.3">
      <c r="J15978"/>
    </row>
    <row r="15979" spans="10:10" x14ac:dyDescent="0.3">
      <c r="J15979"/>
    </row>
    <row r="15980" spans="10:10" x14ac:dyDescent="0.3">
      <c r="J15980"/>
    </row>
    <row r="15981" spans="10:10" x14ac:dyDescent="0.3">
      <c r="J15981"/>
    </row>
    <row r="15982" spans="10:10" x14ac:dyDescent="0.3">
      <c r="J15982"/>
    </row>
    <row r="15983" spans="10:10" x14ac:dyDescent="0.3">
      <c r="J15983"/>
    </row>
    <row r="15984" spans="10:10" x14ac:dyDescent="0.3">
      <c r="J15984"/>
    </row>
    <row r="15985" spans="10:10" x14ac:dyDescent="0.3">
      <c r="J15985"/>
    </row>
    <row r="15986" spans="10:10" x14ac:dyDescent="0.3">
      <c r="J15986"/>
    </row>
    <row r="15987" spans="10:10" x14ac:dyDescent="0.3">
      <c r="J15987"/>
    </row>
    <row r="15988" spans="10:10" x14ac:dyDescent="0.3">
      <c r="J15988"/>
    </row>
    <row r="15989" spans="10:10" x14ac:dyDescent="0.3">
      <c r="J15989"/>
    </row>
    <row r="15990" spans="10:10" x14ac:dyDescent="0.3">
      <c r="J15990"/>
    </row>
    <row r="15991" spans="10:10" x14ac:dyDescent="0.3">
      <c r="J15991"/>
    </row>
    <row r="15992" spans="10:10" x14ac:dyDescent="0.3">
      <c r="J15992"/>
    </row>
    <row r="15993" spans="10:10" x14ac:dyDescent="0.3">
      <c r="J15993"/>
    </row>
    <row r="15994" spans="10:10" x14ac:dyDescent="0.3">
      <c r="J15994"/>
    </row>
    <row r="15995" spans="10:10" x14ac:dyDescent="0.3">
      <c r="J15995"/>
    </row>
    <row r="15996" spans="10:10" x14ac:dyDescent="0.3">
      <c r="J15996"/>
    </row>
    <row r="15997" spans="10:10" x14ac:dyDescent="0.3">
      <c r="J15997"/>
    </row>
    <row r="15998" spans="10:10" x14ac:dyDescent="0.3">
      <c r="J15998"/>
    </row>
    <row r="15999" spans="10:10" x14ac:dyDescent="0.3">
      <c r="J15999"/>
    </row>
    <row r="16000" spans="10:10" x14ac:dyDescent="0.3">
      <c r="J16000"/>
    </row>
    <row r="16001" spans="10:10" x14ac:dyDescent="0.3">
      <c r="J16001"/>
    </row>
    <row r="16002" spans="10:10" x14ac:dyDescent="0.3">
      <c r="J16002"/>
    </row>
    <row r="16003" spans="10:10" x14ac:dyDescent="0.3">
      <c r="J16003"/>
    </row>
    <row r="16004" spans="10:10" x14ac:dyDescent="0.3">
      <c r="J16004"/>
    </row>
    <row r="16005" spans="10:10" x14ac:dyDescent="0.3">
      <c r="J16005"/>
    </row>
    <row r="16006" spans="10:10" x14ac:dyDescent="0.3">
      <c r="J16006"/>
    </row>
    <row r="16007" spans="10:10" x14ac:dyDescent="0.3">
      <c r="J16007"/>
    </row>
    <row r="16008" spans="10:10" x14ac:dyDescent="0.3">
      <c r="J16008"/>
    </row>
    <row r="16009" spans="10:10" x14ac:dyDescent="0.3">
      <c r="J16009"/>
    </row>
    <row r="16010" spans="10:10" x14ac:dyDescent="0.3">
      <c r="J16010"/>
    </row>
    <row r="16011" spans="10:10" x14ac:dyDescent="0.3">
      <c r="J16011"/>
    </row>
    <row r="16012" spans="10:10" x14ac:dyDescent="0.3">
      <c r="J16012"/>
    </row>
    <row r="16013" spans="10:10" x14ac:dyDescent="0.3">
      <c r="J16013"/>
    </row>
    <row r="16014" spans="10:10" x14ac:dyDescent="0.3">
      <c r="J16014"/>
    </row>
    <row r="16015" spans="10:10" x14ac:dyDescent="0.3">
      <c r="J16015"/>
    </row>
    <row r="16016" spans="10:10" x14ac:dyDescent="0.3">
      <c r="J16016"/>
    </row>
    <row r="16017" spans="10:10" x14ac:dyDescent="0.3">
      <c r="J16017"/>
    </row>
    <row r="16018" spans="10:10" x14ac:dyDescent="0.3">
      <c r="J16018"/>
    </row>
    <row r="16019" spans="10:10" x14ac:dyDescent="0.3">
      <c r="J16019"/>
    </row>
    <row r="16020" spans="10:10" x14ac:dyDescent="0.3">
      <c r="J16020"/>
    </row>
    <row r="16021" spans="10:10" x14ac:dyDescent="0.3">
      <c r="J16021"/>
    </row>
    <row r="16022" spans="10:10" x14ac:dyDescent="0.3">
      <c r="J16022"/>
    </row>
    <row r="16023" spans="10:10" x14ac:dyDescent="0.3">
      <c r="J16023"/>
    </row>
    <row r="16024" spans="10:10" x14ac:dyDescent="0.3">
      <c r="J16024"/>
    </row>
    <row r="16025" spans="10:10" x14ac:dyDescent="0.3">
      <c r="J16025"/>
    </row>
    <row r="16026" spans="10:10" x14ac:dyDescent="0.3">
      <c r="J16026"/>
    </row>
    <row r="16027" spans="10:10" x14ac:dyDescent="0.3">
      <c r="J16027"/>
    </row>
    <row r="16028" spans="10:10" x14ac:dyDescent="0.3">
      <c r="J16028"/>
    </row>
    <row r="16029" spans="10:10" x14ac:dyDescent="0.3">
      <c r="J16029"/>
    </row>
    <row r="16030" spans="10:10" x14ac:dyDescent="0.3">
      <c r="J16030"/>
    </row>
    <row r="16031" spans="10:10" x14ac:dyDescent="0.3">
      <c r="J16031"/>
    </row>
    <row r="16032" spans="10:10" x14ac:dyDescent="0.3">
      <c r="J16032"/>
    </row>
    <row r="16033" spans="10:10" x14ac:dyDescent="0.3">
      <c r="J16033"/>
    </row>
    <row r="16034" spans="10:10" x14ac:dyDescent="0.3">
      <c r="J16034"/>
    </row>
    <row r="16035" spans="10:10" x14ac:dyDescent="0.3">
      <c r="J16035"/>
    </row>
    <row r="16036" spans="10:10" x14ac:dyDescent="0.3">
      <c r="J16036"/>
    </row>
    <row r="16037" spans="10:10" x14ac:dyDescent="0.3">
      <c r="J16037"/>
    </row>
    <row r="16038" spans="10:10" x14ac:dyDescent="0.3">
      <c r="J16038"/>
    </row>
    <row r="16039" spans="10:10" x14ac:dyDescent="0.3">
      <c r="J16039"/>
    </row>
    <row r="16040" spans="10:10" x14ac:dyDescent="0.3">
      <c r="J16040"/>
    </row>
    <row r="16041" spans="10:10" x14ac:dyDescent="0.3">
      <c r="J16041"/>
    </row>
    <row r="16042" spans="10:10" x14ac:dyDescent="0.3">
      <c r="J16042"/>
    </row>
    <row r="16043" spans="10:10" x14ac:dyDescent="0.3">
      <c r="J16043"/>
    </row>
    <row r="16044" spans="10:10" x14ac:dyDescent="0.3">
      <c r="J16044"/>
    </row>
    <row r="16045" spans="10:10" x14ac:dyDescent="0.3">
      <c r="J16045"/>
    </row>
    <row r="16046" spans="10:10" x14ac:dyDescent="0.3">
      <c r="J16046"/>
    </row>
    <row r="16047" spans="10:10" x14ac:dyDescent="0.3">
      <c r="J16047"/>
    </row>
    <row r="16048" spans="10:10" x14ac:dyDescent="0.3">
      <c r="J16048"/>
    </row>
    <row r="16049" spans="10:10" x14ac:dyDescent="0.3">
      <c r="J16049"/>
    </row>
    <row r="16050" spans="10:10" x14ac:dyDescent="0.3">
      <c r="J16050"/>
    </row>
    <row r="16051" spans="10:10" x14ac:dyDescent="0.3">
      <c r="J16051"/>
    </row>
    <row r="16052" spans="10:10" x14ac:dyDescent="0.3">
      <c r="J16052"/>
    </row>
    <row r="16053" spans="10:10" x14ac:dyDescent="0.3">
      <c r="J16053"/>
    </row>
    <row r="16054" spans="10:10" x14ac:dyDescent="0.3">
      <c r="J16054"/>
    </row>
    <row r="16055" spans="10:10" x14ac:dyDescent="0.3">
      <c r="J16055"/>
    </row>
    <row r="16056" spans="10:10" x14ac:dyDescent="0.3">
      <c r="J16056"/>
    </row>
    <row r="16057" spans="10:10" x14ac:dyDescent="0.3">
      <c r="J16057"/>
    </row>
    <row r="16058" spans="10:10" x14ac:dyDescent="0.3">
      <c r="J16058"/>
    </row>
    <row r="16059" spans="10:10" x14ac:dyDescent="0.3">
      <c r="J16059"/>
    </row>
    <row r="16060" spans="10:10" x14ac:dyDescent="0.3">
      <c r="J16060"/>
    </row>
    <row r="16061" spans="10:10" x14ac:dyDescent="0.3">
      <c r="J16061"/>
    </row>
    <row r="16062" spans="10:10" x14ac:dyDescent="0.3">
      <c r="J16062"/>
    </row>
    <row r="16063" spans="10:10" x14ac:dyDescent="0.3">
      <c r="J16063"/>
    </row>
    <row r="16064" spans="10:10" x14ac:dyDescent="0.3">
      <c r="J16064"/>
    </row>
    <row r="16065" spans="10:10" x14ac:dyDescent="0.3">
      <c r="J16065"/>
    </row>
    <row r="16066" spans="10:10" x14ac:dyDescent="0.3">
      <c r="J16066"/>
    </row>
    <row r="16067" spans="10:10" x14ac:dyDescent="0.3">
      <c r="J16067"/>
    </row>
    <row r="16068" spans="10:10" x14ac:dyDescent="0.3">
      <c r="J16068"/>
    </row>
    <row r="16069" spans="10:10" x14ac:dyDescent="0.3">
      <c r="J16069"/>
    </row>
    <row r="16070" spans="10:10" x14ac:dyDescent="0.3">
      <c r="J16070"/>
    </row>
    <row r="16071" spans="10:10" x14ac:dyDescent="0.3">
      <c r="J16071"/>
    </row>
    <row r="16072" spans="10:10" x14ac:dyDescent="0.3">
      <c r="J16072"/>
    </row>
    <row r="16073" spans="10:10" x14ac:dyDescent="0.3">
      <c r="J16073"/>
    </row>
    <row r="16074" spans="10:10" x14ac:dyDescent="0.3">
      <c r="J16074"/>
    </row>
    <row r="16075" spans="10:10" x14ac:dyDescent="0.3">
      <c r="J16075"/>
    </row>
    <row r="16076" spans="10:10" x14ac:dyDescent="0.3">
      <c r="J16076"/>
    </row>
    <row r="16077" spans="10:10" x14ac:dyDescent="0.3">
      <c r="J16077"/>
    </row>
    <row r="16078" spans="10:10" x14ac:dyDescent="0.3">
      <c r="J16078"/>
    </row>
    <row r="16079" spans="10:10" x14ac:dyDescent="0.3">
      <c r="J16079"/>
    </row>
    <row r="16080" spans="10:10" x14ac:dyDescent="0.3">
      <c r="J16080"/>
    </row>
    <row r="16081" spans="10:10" x14ac:dyDescent="0.3">
      <c r="J16081"/>
    </row>
    <row r="16082" spans="10:10" x14ac:dyDescent="0.3">
      <c r="J16082"/>
    </row>
    <row r="16083" spans="10:10" x14ac:dyDescent="0.3">
      <c r="J16083"/>
    </row>
    <row r="16084" spans="10:10" x14ac:dyDescent="0.3">
      <c r="J16084"/>
    </row>
    <row r="16085" spans="10:10" x14ac:dyDescent="0.3">
      <c r="J16085"/>
    </row>
    <row r="16086" spans="10:10" x14ac:dyDescent="0.3">
      <c r="J16086"/>
    </row>
    <row r="16087" spans="10:10" x14ac:dyDescent="0.3">
      <c r="J16087"/>
    </row>
    <row r="16088" spans="10:10" x14ac:dyDescent="0.3">
      <c r="J16088"/>
    </row>
    <row r="16089" spans="10:10" x14ac:dyDescent="0.3">
      <c r="J16089"/>
    </row>
    <row r="16090" spans="10:10" x14ac:dyDescent="0.3">
      <c r="J16090"/>
    </row>
    <row r="16091" spans="10:10" x14ac:dyDescent="0.3">
      <c r="J16091"/>
    </row>
    <row r="16092" spans="10:10" x14ac:dyDescent="0.3">
      <c r="J16092"/>
    </row>
    <row r="16093" spans="10:10" x14ac:dyDescent="0.3">
      <c r="J16093"/>
    </row>
    <row r="16094" spans="10:10" x14ac:dyDescent="0.3">
      <c r="J16094"/>
    </row>
    <row r="16095" spans="10:10" x14ac:dyDescent="0.3">
      <c r="J16095"/>
    </row>
    <row r="16096" spans="10:10" x14ac:dyDescent="0.3">
      <c r="J16096"/>
    </row>
    <row r="16097" spans="10:10" x14ac:dyDescent="0.3">
      <c r="J16097"/>
    </row>
    <row r="16098" spans="10:10" x14ac:dyDescent="0.3">
      <c r="J16098"/>
    </row>
    <row r="16099" spans="10:10" x14ac:dyDescent="0.3">
      <c r="J16099"/>
    </row>
    <row r="16100" spans="10:10" x14ac:dyDescent="0.3">
      <c r="J16100"/>
    </row>
    <row r="16101" spans="10:10" x14ac:dyDescent="0.3">
      <c r="J16101"/>
    </row>
    <row r="16102" spans="10:10" x14ac:dyDescent="0.3">
      <c r="J16102"/>
    </row>
    <row r="16103" spans="10:10" x14ac:dyDescent="0.3">
      <c r="J16103"/>
    </row>
    <row r="16104" spans="10:10" x14ac:dyDescent="0.3">
      <c r="J16104"/>
    </row>
    <row r="16105" spans="10:10" x14ac:dyDescent="0.3">
      <c r="J16105"/>
    </row>
    <row r="16106" spans="10:10" x14ac:dyDescent="0.3">
      <c r="J16106"/>
    </row>
    <row r="16107" spans="10:10" x14ac:dyDescent="0.3">
      <c r="J16107"/>
    </row>
    <row r="16108" spans="10:10" x14ac:dyDescent="0.3">
      <c r="J16108"/>
    </row>
    <row r="16109" spans="10:10" x14ac:dyDescent="0.3">
      <c r="J16109"/>
    </row>
    <row r="16110" spans="10:10" x14ac:dyDescent="0.3">
      <c r="J16110"/>
    </row>
    <row r="16111" spans="10:10" x14ac:dyDescent="0.3">
      <c r="J16111"/>
    </row>
    <row r="16112" spans="10:10" x14ac:dyDescent="0.3">
      <c r="J16112"/>
    </row>
    <row r="16113" spans="10:10" x14ac:dyDescent="0.3">
      <c r="J16113"/>
    </row>
    <row r="16114" spans="10:10" x14ac:dyDescent="0.3">
      <c r="J16114"/>
    </row>
    <row r="16115" spans="10:10" x14ac:dyDescent="0.3">
      <c r="J16115"/>
    </row>
    <row r="16116" spans="10:10" x14ac:dyDescent="0.3">
      <c r="J16116"/>
    </row>
    <row r="16117" spans="10:10" x14ac:dyDescent="0.3">
      <c r="J16117"/>
    </row>
    <row r="16118" spans="10:10" x14ac:dyDescent="0.3">
      <c r="J16118"/>
    </row>
    <row r="16119" spans="10:10" x14ac:dyDescent="0.3">
      <c r="J16119"/>
    </row>
    <row r="16120" spans="10:10" x14ac:dyDescent="0.3">
      <c r="J16120"/>
    </row>
    <row r="16121" spans="10:10" x14ac:dyDescent="0.3">
      <c r="J16121"/>
    </row>
    <row r="16122" spans="10:10" x14ac:dyDescent="0.3">
      <c r="J16122"/>
    </row>
    <row r="16123" spans="10:10" x14ac:dyDescent="0.3">
      <c r="J16123"/>
    </row>
    <row r="16124" spans="10:10" x14ac:dyDescent="0.3">
      <c r="J16124"/>
    </row>
    <row r="16125" spans="10:10" x14ac:dyDescent="0.3">
      <c r="J16125"/>
    </row>
    <row r="16126" spans="10:10" x14ac:dyDescent="0.3">
      <c r="J16126"/>
    </row>
    <row r="16127" spans="10:10" x14ac:dyDescent="0.3">
      <c r="J16127"/>
    </row>
    <row r="16128" spans="10:10" x14ac:dyDescent="0.3">
      <c r="J16128"/>
    </row>
    <row r="16129" spans="10:10" x14ac:dyDescent="0.3">
      <c r="J16129"/>
    </row>
    <row r="16130" spans="10:10" x14ac:dyDescent="0.3">
      <c r="J16130"/>
    </row>
    <row r="16131" spans="10:10" x14ac:dyDescent="0.3">
      <c r="J16131"/>
    </row>
    <row r="16132" spans="10:10" x14ac:dyDescent="0.3">
      <c r="J16132"/>
    </row>
    <row r="16133" spans="10:10" x14ac:dyDescent="0.3">
      <c r="J16133"/>
    </row>
    <row r="16134" spans="10:10" x14ac:dyDescent="0.3">
      <c r="J16134"/>
    </row>
    <row r="16135" spans="10:10" x14ac:dyDescent="0.3">
      <c r="J16135"/>
    </row>
    <row r="16136" spans="10:10" x14ac:dyDescent="0.3">
      <c r="J16136"/>
    </row>
    <row r="16137" spans="10:10" x14ac:dyDescent="0.3">
      <c r="J16137"/>
    </row>
    <row r="16138" spans="10:10" x14ac:dyDescent="0.3">
      <c r="J16138"/>
    </row>
    <row r="16139" spans="10:10" x14ac:dyDescent="0.3">
      <c r="J16139"/>
    </row>
    <row r="16140" spans="10:10" x14ac:dyDescent="0.3">
      <c r="J16140"/>
    </row>
    <row r="16141" spans="10:10" x14ac:dyDescent="0.3">
      <c r="J16141"/>
    </row>
    <row r="16142" spans="10:10" x14ac:dyDescent="0.3">
      <c r="J16142"/>
    </row>
    <row r="16143" spans="10:10" x14ac:dyDescent="0.3">
      <c r="J16143"/>
    </row>
    <row r="16144" spans="10:10" x14ac:dyDescent="0.3">
      <c r="J16144"/>
    </row>
    <row r="16145" spans="10:10" x14ac:dyDescent="0.3">
      <c r="J16145"/>
    </row>
    <row r="16146" spans="10:10" x14ac:dyDescent="0.3">
      <c r="J16146"/>
    </row>
    <row r="16147" spans="10:10" x14ac:dyDescent="0.3">
      <c r="J16147"/>
    </row>
    <row r="16148" spans="10:10" x14ac:dyDescent="0.3">
      <c r="J16148"/>
    </row>
    <row r="16149" spans="10:10" x14ac:dyDescent="0.3">
      <c r="J16149"/>
    </row>
    <row r="16150" spans="10:10" x14ac:dyDescent="0.3">
      <c r="J16150"/>
    </row>
    <row r="16151" spans="10:10" x14ac:dyDescent="0.3">
      <c r="J16151"/>
    </row>
    <row r="16152" spans="10:10" x14ac:dyDescent="0.3">
      <c r="J16152"/>
    </row>
    <row r="16153" spans="10:10" x14ac:dyDescent="0.3">
      <c r="J16153"/>
    </row>
    <row r="16154" spans="10:10" x14ac:dyDescent="0.3">
      <c r="J16154"/>
    </row>
    <row r="16155" spans="10:10" x14ac:dyDescent="0.3">
      <c r="J16155"/>
    </row>
    <row r="16156" spans="10:10" x14ac:dyDescent="0.3">
      <c r="J16156"/>
    </row>
    <row r="16157" spans="10:10" x14ac:dyDescent="0.3">
      <c r="J16157"/>
    </row>
    <row r="16158" spans="10:10" x14ac:dyDescent="0.3">
      <c r="J16158"/>
    </row>
    <row r="16159" spans="10:10" x14ac:dyDescent="0.3">
      <c r="J16159"/>
    </row>
    <row r="16160" spans="10:10" x14ac:dyDescent="0.3">
      <c r="J16160"/>
    </row>
    <row r="16161" spans="10:10" x14ac:dyDescent="0.3">
      <c r="J16161"/>
    </row>
    <row r="16162" spans="10:10" x14ac:dyDescent="0.3">
      <c r="J16162"/>
    </row>
    <row r="16163" spans="10:10" x14ac:dyDescent="0.3">
      <c r="J16163"/>
    </row>
    <row r="16164" spans="10:10" x14ac:dyDescent="0.3">
      <c r="J16164"/>
    </row>
    <row r="16165" spans="10:10" x14ac:dyDescent="0.3">
      <c r="J16165"/>
    </row>
    <row r="16166" spans="10:10" x14ac:dyDescent="0.3">
      <c r="J16166"/>
    </row>
    <row r="16167" spans="10:10" x14ac:dyDescent="0.3">
      <c r="J16167"/>
    </row>
    <row r="16168" spans="10:10" x14ac:dyDescent="0.3">
      <c r="J16168"/>
    </row>
    <row r="16169" spans="10:10" x14ac:dyDescent="0.3">
      <c r="J16169"/>
    </row>
    <row r="16170" spans="10:10" x14ac:dyDescent="0.3">
      <c r="J16170"/>
    </row>
    <row r="16171" spans="10:10" x14ac:dyDescent="0.3">
      <c r="J16171"/>
    </row>
    <row r="16172" spans="10:10" x14ac:dyDescent="0.3">
      <c r="J16172"/>
    </row>
    <row r="16173" spans="10:10" x14ac:dyDescent="0.3">
      <c r="J16173"/>
    </row>
    <row r="16174" spans="10:10" x14ac:dyDescent="0.3">
      <c r="J16174"/>
    </row>
    <row r="16175" spans="10:10" x14ac:dyDescent="0.3">
      <c r="J16175"/>
    </row>
    <row r="16176" spans="10:10" x14ac:dyDescent="0.3">
      <c r="J16176"/>
    </row>
    <row r="16177" spans="10:10" x14ac:dyDescent="0.3">
      <c r="J16177"/>
    </row>
    <row r="16178" spans="10:10" x14ac:dyDescent="0.3">
      <c r="J16178"/>
    </row>
    <row r="16179" spans="10:10" x14ac:dyDescent="0.3">
      <c r="J16179"/>
    </row>
    <row r="16180" spans="10:10" x14ac:dyDescent="0.3">
      <c r="J16180"/>
    </row>
    <row r="16181" spans="10:10" x14ac:dyDescent="0.3">
      <c r="J16181"/>
    </row>
    <row r="16182" spans="10:10" x14ac:dyDescent="0.3">
      <c r="J16182"/>
    </row>
    <row r="16183" spans="10:10" x14ac:dyDescent="0.3">
      <c r="J16183"/>
    </row>
    <row r="16184" spans="10:10" x14ac:dyDescent="0.3">
      <c r="J16184"/>
    </row>
    <row r="16185" spans="10:10" x14ac:dyDescent="0.3">
      <c r="J16185"/>
    </row>
    <row r="16186" spans="10:10" x14ac:dyDescent="0.3">
      <c r="J16186"/>
    </row>
    <row r="16187" spans="10:10" x14ac:dyDescent="0.3">
      <c r="J16187"/>
    </row>
    <row r="16188" spans="10:10" x14ac:dyDescent="0.3">
      <c r="J16188"/>
    </row>
    <row r="16189" spans="10:10" x14ac:dyDescent="0.3">
      <c r="J16189"/>
    </row>
    <row r="16190" spans="10:10" x14ac:dyDescent="0.3">
      <c r="J16190"/>
    </row>
    <row r="16191" spans="10:10" x14ac:dyDescent="0.3">
      <c r="J16191"/>
    </row>
    <row r="16192" spans="10:10" x14ac:dyDescent="0.3">
      <c r="J16192"/>
    </row>
    <row r="16193" spans="10:10" x14ac:dyDescent="0.3">
      <c r="J16193"/>
    </row>
    <row r="16194" spans="10:10" x14ac:dyDescent="0.3">
      <c r="J16194"/>
    </row>
    <row r="16195" spans="10:10" x14ac:dyDescent="0.3">
      <c r="J16195"/>
    </row>
    <row r="16196" spans="10:10" x14ac:dyDescent="0.3">
      <c r="J16196"/>
    </row>
    <row r="16197" spans="10:10" x14ac:dyDescent="0.3">
      <c r="J16197"/>
    </row>
    <row r="16198" spans="10:10" x14ac:dyDescent="0.3">
      <c r="J16198"/>
    </row>
    <row r="16199" spans="10:10" x14ac:dyDescent="0.3">
      <c r="J16199"/>
    </row>
    <row r="16200" spans="10:10" x14ac:dyDescent="0.3">
      <c r="J16200"/>
    </row>
    <row r="16201" spans="10:10" x14ac:dyDescent="0.3">
      <c r="J16201"/>
    </row>
    <row r="16202" spans="10:10" x14ac:dyDescent="0.3">
      <c r="J16202"/>
    </row>
    <row r="16203" spans="10:10" x14ac:dyDescent="0.3">
      <c r="J16203"/>
    </row>
    <row r="16204" spans="10:10" x14ac:dyDescent="0.3">
      <c r="J16204"/>
    </row>
    <row r="16205" spans="10:10" x14ac:dyDescent="0.3">
      <c r="J16205"/>
    </row>
    <row r="16206" spans="10:10" x14ac:dyDescent="0.3">
      <c r="J16206"/>
    </row>
    <row r="16207" spans="10:10" x14ac:dyDescent="0.3">
      <c r="J16207"/>
    </row>
    <row r="16208" spans="10:10" x14ac:dyDescent="0.3">
      <c r="J16208"/>
    </row>
    <row r="16209" spans="10:10" x14ac:dyDescent="0.3">
      <c r="J16209"/>
    </row>
    <row r="16210" spans="10:10" x14ac:dyDescent="0.3">
      <c r="J16210"/>
    </row>
    <row r="16211" spans="10:10" x14ac:dyDescent="0.3">
      <c r="J16211"/>
    </row>
    <row r="16212" spans="10:10" x14ac:dyDescent="0.3">
      <c r="J16212"/>
    </row>
    <row r="16213" spans="10:10" x14ac:dyDescent="0.3">
      <c r="J16213"/>
    </row>
    <row r="16214" spans="10:10" x14ac:dyDescent="0.3">
      <c r="J16214"/>
    </row>
    <row r="16215" spans="10:10" x14ac:dyDescent="0.3">
      <c r="J16215"/>
    </row>
    <row r="16216" spans="10:10" x14ac:dyDescent="0.3">
      <c r="J16216"/>
    </row>
    <row r="16217" spans="10:10" x14ac:dyDescent="0.3">
      <c r="J16217"/>
    </row>
    <row r="16218" spans="10:10" x14ac:dyDescent="0.3">
      <c r="J16218"/>
    </row>
    <row r="16219" spans="10:10" x14ac:dyDescent="0.3">
      <c r="J16219"/>
    </row>
    <row r="16220" spans="10:10" x14ac:dyDescent="0.3">
      <c r="J16220"/>
    </row>
    <row r="16221" spans="10:10" x14ac:dyDescent="0.3">
      <c r="J16221"/>
    </row>
    <row r="16222" spans="10:10" x14ac:dyDescent="0.3">
      <c r="J16222"/>
    </row>
    <row r="16223" spans="10:10" x14ac:dyDescent="0.3">
      <c r="J16223"/>
    </row>
    <row r="16224" spans="10:10" x14ac:dyDescent="0.3">
      <c r="J16224"/>
    </row>
    <row r="16225" spans="10:10" x14ac:dyDescent="0.3">
      <c r="J16225"/>
    </row>
    <row r="16226" spans="10:10" x14ac:dyDescent="0.3">
      <c r="J16226"/>
    </row>
    <row r="16227" spans="10:10" x14ac:dyDescent="0.3">
      <c r="J16227"/>
    </row>
    <row r="16228" spans="10:10" x14ac:dyDescent="0.3">
      <c r="J16228"/>
    </row>
    <row r="16229" spans="10:10" x14ac:dyDescent="0.3">
      <c r="J16229"/>
    </row>
    <row r="16230" spans="10:10" x14ac:dyDescent="0.3">
      <c r="J16230"/>
    </row>
    <row r="16231" spans="10:10" x14ac:dyDescent="0.3">
      <c r="J16231"/>
    </row>
    <row r="16232" spans="10:10" x14ac:dyDescent="0.3">
      <c r="J16232"/>
    </row>
    <row r="16233" spans="10:10" x14ac:dyDescent="0.3">
      <c r="J16233"/>
    </row>
    <row r="16234" spans="10:10" x14ac:dyDescent="0.3">
      <c r="J16234"/>
    </row>
    <row r="16235" spans="10:10" x14ac:dyDescent="0.3">
      <c r="J16235"/>
    </row>
    <row r="16236" spans="10:10" x14ac:dyDescent="0.3">
      <c r="J16236"/>
    </row>
    <row r="16237" spans="10:10" x14ac:dyDescent="0.3">
      <c r="J16237"/>
    </row>
    <row r="16238" spans="10:10" x14ac:dyDescent="0.3">
      <c r="J16238"/>
    </row>
    <row r="16239" spans="10:10" x14ac:dyDescent="0.3">
      <c r="J16239"/>
    </row>
    <row r="16240" spans="10:10" x14ac:dyDescent="0.3">
      <c r="J16240"/>
    </row>
    <row r="16241" spans="10:10" x14ac:dyDescent="0.3">
      <c r="J16241"/>
    </row>
    <row r="16242" spans="10:10" x14ac:dyDescent="0.3">
      <c r="J16242"/>
    </row>
    <row r="16243" spans="10:10" x14ac:dyDescent="0.3">
      <c r="J16243"/>
    </row>
    <row r="16244" spans="10:10" x14ac:dyDescent="0.3">
      <c r="J16244"/>
    </row>
    <row r="16245" spans="10:10" x14ac:dyDescent="0.3">
      <c r="J16245"/>
    </row>
    <row r="16246" spans="10:10" x14ac:dyDescent="0.3">
      <c r="J16246"/>
    </row>
    <row r="16247" spans="10:10" x14ac:dyDescent="0.3">
      <c r="J16247"/>
    </row>
    <row r="16248" spans="10:10" x14ac:dyDescent="0.3">
      <c r="J16248"/>
    </row>
    <row r="16249" spans="10:10" x14ac:dyDescent="0.3">
      <c r="J16249"/>
    </row>
    <row r="16250" spans="10:10" x14ac:dyDescent="0.3">
      <c r="J16250"/>
    </row>
    <row r="16251" spans="10:10" x14ac:dyDescent="0.3">
      <c r="J16251"/>
    </row>
    <row r="16252" spans="10:10" x14ac:dyDescent="0.3">
      <c r="J16252"/>
    </row>
    <row r="16253" spans="10:10" x14ac:dyDescent="0.3">
      <c r="J16253"/>
    </row>
    <row r="16254" spans="10:10" x14ac:dyDescent="0.3">
      <c r="J16254"/>
    </row>
    <row r="16255" spans="10:10" x14ac:dyDescent="0.3">
      <c r="J16255"/>
    </row>
    <row r="16256" spans="10:10" x14ac:dyDescent="0.3">
      <c r="J16256"/>
    </row>
    <row r="16257" spans="10:10" x14ac:dyDescent="0.3">
      <c r="J16257"/>
    </row>
    <row r="16258" spans="10:10" x14ac:dyDescent="0.3">
      <c r="J16258"/>
    </row>
    <row r="16259" spans="10:10" x14ac:dyDescent="0.3">
      <c r="J16259"/>
    </row>
    <row r="16260" spans="10:10" x14ac:dyDescent="0.3">
      <c r="J16260"/>
    </row>
    <row r="16261" spans="10:10" x14ac:dyDescent="0.3">
      <c r="J16261"/>
    </row>
    <row r="16262" spans="10:10" x14ac:dyDescent="0.3">
      <c r="J16262"/>
    </row>
    <row r="16263" spans="10:10" x14ac:dyDescent="0.3">
      <c r="J16263"/>
    </row>
    <row r="16264" spans="10:10" x14ac:dyDescent="0.3">
      <c r="J16264"/>
    </row>
    <row r="16265" spans="10:10" x14ac:dyDescent="0.3">
      <c r="J16265"/>
    </row>
    <row r="16266" spans="10:10" x14ac:dyDescent="0.3">
      <c r="J16266"/>
    </row>
    <row r="16267" spans="10:10" x14ac:dyDescent="0.3">
      <c r="J16267"/>
    </row>
    <row r="16268" spans="10:10" x14ac:dyDescent="0.3">
      <c r="J16268"/>
    </row>
    <row r="16269" spans="10:10" x14ac:dyDescent="0.3">
      <c r="J16269"/>
    </row>
    <row r="16270" spans="10:10" x14ac:dyDescent="0.3">
      <c r="J16270"/>
    </row>
    <row r="16271" spans="10:10" x14ac:dyDescent="0.3">
      <c r="J16271"/>
    </row>
    <row r="16272" spans="10:10" x14ac:dyDescent="0.3">
      <c r="J16272"/>
    </row>
    <row r="16273" spans="10:10" x14ac:dyDescent="0.3">
      <c r="J16273"/>
    </row>
    <row r="16274" spans="10:10" x14ac:dyDescent="0.3">
      <c r="J16274"/>
    </row>
    <row r="16275" spans="10:10" x14ac:dyDescent="0.3">
      <c r="J16275"/>
    </row>
    <row r="16276" spans="10:10" x14ac:dyDescent="0.3">
      <c r="J16276"/>
    </row>
    <row r="16277" spans="10:10" x14ac:dyDescent="0.3">
      <c r="J16277"/>
    </row>
    <row r="16278" spans="10:10" x14ac:dyDescent="0.3">
      <c r="J16278"/>
    </row>
    <row r="16279" spans="10:10" x14ac:dyDescent="0.3">
      <c r="J16279"/>
    </row>
    <row r="16280" spans="10:10" x14ac:dyDescent="0.3">
      <c r="J16280"/>
    </row>
    <row r="16281" spans="10:10" x14ac:dyDescent="0.3">
      <c r="J16281"/>
    </row>
    <row r="16282" spans="10:10" x14ac:dyDescent="0.3">
      <c r="J16282"/>
    </row>
    <row r="16283" spans="10:10" x14ac:dyDescent="0.3">
      <c r="J16283"/>
    </row>
    <row r="16284" spans="10:10" x14ac:dyDescent="0.3">
      <c r="J16284"/>
    </row>
    <row r="16285" spans="10:10" x14ac:dyDescent="0.3">
      <c r="J16285"/>
    </row>
    <row r="16286" spans="10:10" x14ac:dyDescent="0.3">
      <c r="J16286"/>
    </row>
    <row r="16287" spans="10:10" x14ac:dyDescent="0.3">
      <c r="J16287"/>
    </row>
    <row r="16288" spans="10:10" x14ac:dyDescent="0.3">
      <c r="J16288"/>
    </row>
    <row r="16289" spans="10:10" x14ac:dyDescent="0.3">
      <c r="J16289"/>
    </row>
    <row r="16290" spans="10:10" x14ac:dyDescent="0.3">
      <c r="J16290"/>
    </row>
    <row r="16291" spans="10:10" x14ac:dyDescent="0.3">
      <c r="J16291"/>
    </row>
    <row r="16292" spans="10:10" x14ac:dyDescent="0.3">
      <c r="J16292"/>
    </row>
    <row r="16293" spans="10:10" x14ac:dyDescent="0.3">
      <c r="J16293"/>
    </row>
    <row r="16294" spans="10:10" x14ac:dyDescent="0.3">
      <c r="J16294"/>
    </row>
    <row r="16295" spans="10:10" x14ac:dyDescent="0.3">
      <c r="J16295"/>
    </row>
    <row r="16296" spans="10:10" x14ac:dyDescent="0.3">
      <c r="J16296"/>
    </row>
    <row r="16297" spans="10:10" x14ac:dyDescent="0.3">
      <c r="J16297"/>
    </row>
    <row r="16298" spans="10:10" x14ac:dyDescent="0.3">
      <c r="J16298"/>
    </row>
    <row r="16299" spans="10:10" x14ac:dyDescent="0.3">
      <c r="J16299"/>
    </row>
    <row r="16300" spans="10:10" x14ac:dyDescent="0.3">
      <c r="J16300"/>
    </row>
    <row r="16301" spans="10:10" x14ac:dyDescent="0.3">
      <c r="J16301"/>
    </row>
    <row r="16302" spans="10:10" x14ac:dyDescent="0.3">
      <c r="J16302"/>
    </row>
    <row r="16303" spans="10:10" x14ac:dyDescent="0.3">
      <c r="J16303"/>
    </row>
    <row r="16304" spans="10:10" x14ac:dyDescent="0.3">
      <c r="J16304"/>
    </row>
    <row r="16305" spans="10:10" x14ac:dyDescent="0.3">
      <c r="J16305"/>
    </row>
    <row r="16306" spans="10:10" x14ac:dyDescent="0.3">
      <c r="J16306"/>
    </row>
    <row r="16307" spans="10:10" x14ac:dyDescent="0.3">
      <c r="J16307"/>
    </row>
    <row r="16308" spans="10:10" x14ac:dyDescent="0.3">
      <c r="J16308"/>
    </row>
    <row r="16309" spans="10:10" x14ac:dyDescent="0.3">
      <c r="J16309"/>
    </row>
    <row r="16310" spans="10:10" x14ac:dyDescent="0.3">
      <c r="J16310"/>
    </row>
    <row r="16311" spans="10:10" x14ac:dyDescent="0.3">
      <c r="J16311"/>
    </row>
    <row r="16312" spans="10:10" x14ac:dyDescent="0.3">
      <c r="J16312"/>
    </row>
    <row r="16313" spans="10:10" x14ac:dyDescent="0.3">
      <c r="J16313"/>
    </row>
    <row r="16314" spans="10:10" x14ac:dyDescent="0.3">
      <c r="J16314"/>
    </row>
    <row r="16315" spans="10:10" x14ac:dyDescent="0.3">
      <c r="J16315"/>
    </row>
    <row r="16316" spans="10:10" x14ac:dyDescent="0.3">
      <c r="J16316"/>
    </row>
    <row r="16317" spans="10:10" x14ac:dyDescent="0.3">
      <c r="J16317"/>
    </row>
    <row r="16318" spans="10:10" x14ac:dyDescent="0.3">
      <c r="J16318"/>
    </row>
    <row r="16319" spans="10:10" x14ac:dyDescent="0.3">
      <c r="J16319"/>
    </row>
    <row r="16320" spans="10:10" x14ac:dyDescent="0.3">
      <c r="J16320"/>
    </row>
    <row r="16321" spans="10:10" x14ac:dyDescent="0.3">
      <c r="J16321"/>
    </row>
    <row r="16322" spans="10:10" x14ac:dyDescent="0.3">
      <c r="J16322"/>
    </row>
    <row r="16323" spans="10:10" x14ac:dyDescent="0.3">
      <c r="J16323"/>
    </row>
    <row r="16324" spans="10:10" x14ac:dyDescent="0.3">
      <c r="J16324"/>
    </row>
    <row r="16325" spans="10:10" x14ac:dyDescent="0.3">
      <c r="J16325"/>
    </row>
    <row r="16326" spans="10:10" x14ac:dyDescent="0.3">
      <c r="J16326"/>
    </row>
    <row r="16327" spans="10:10" x14ac:dyDescent="0.3">
      <c r="J16327"/>
    </row>
    <row r="16328" spans="10:10" x14ac:dyDescent="0.3">
      <c r="J16328"/>
    </row>
    <row r="16329" spans="10:10" x14ac:dyDescent="0.3">
      <c r="J16329"/>
    </row>
    <row r="16330" spans="10:10" x14ac:dyDescent="0.3">
      <c r="J16330"/>
    </row>
    <row r="16331" spans="10:10" x14ac:dyDescent="0.3">
      <c r="J16331"/>
    </row>
    <row r="16332" spans="10:10" x14ac:dyDescent="0.3">
      <c r="J16332"/>
    </row>
    <row r="16333" spans="10:10" x14ac:dyDescent="0.3">
      <c r="J16333"/>
    </row>
    <row r="16334" spans="10:10" x14ac:dyDescent="0.3">
      <c r="J16334"/>
    </row>
    <row r="16335" spans="10:10" x14ac:dyDescent="0.3">
      <c r="J16335"/>
    </row>
    <row r="16336" spans="10:10" x14ac:dyDescent="0.3">
      <c r="J16336"/>
    </row>
    <row r="16337" spans="10:10" x14ac:dyDescent="0.3">
      <c r="J16337"/>
    </row>
    <row r="16338" spans="10:10" x14ac:dyDescent="0.3">
      <c r="J16338"/>
    </row>
    <row r="16339" spans="10:10" x14ac:dyDescent="0.3">
      <c r="J16339"/>
    </row>
    <row r="16340" spans="10:10" x14ac:dyDescent="0.3">
      <c r="J16340"/>
    </row>
    <row r="16341" spans="10:10" x14ac:dyDescent="0.3">
      <c r="J16341"/>
    </row>
    <row r="16342" spans="10:10" x14ac:dyDescent="0.3">
      <c r="J16342"/>
    </row>
    <row r="16343" spans="10:10" x14ac:dyDescent="0.3">
      <c r="J16343"/>
    </row>
    <row r="16344" spans="10:10" x14ac:dyDescent="0.3">
      <c r="J16344"/>
    </row>
    <row r="16345" spans="10:10" x14ac:dyDescent="0.3">
      <c r="J16345"/>
    </row>
    <row r="16346" spans="10:10" x14ac:dyDescent="0.3">
      <c r="J16346"/>
    </row>
    <row r="16347" spans="10:10" x14ac:dyDescent="0.3">
      <c r="J16347"/>
    </row>
    <row r="16348" spans="10:10" x14ac:dyDescent="0.3">
      <c r="J16348"/>
    </row>
    <row r="16349" spans="10:10" x14ac:dyDescent="0.3">
      <c r="J16349"/>
    </row>
    <row r="16350" spans="10:10" x14ac:dyDescent="0.3">
      <c r="J16350"/>
    </row>
    <row r="16351" spans="10:10" x14ac:dyDescent="0.3">
      <c r="J16351"/>
    </row>
    <row r="16352" spans="10:10" x14ac:dyDescent="0.3">
      <c r="J16352"/>
    </row>
    <row r="16353" spans="10:10" x14ac:dyDescent="0.3">
      <c r="J16353"/>
    </row>
    <row r="16354" spans="10:10" x14ac:dyDescent="0.3">
      <c r="J16354"/>
    </row>
    <row r="16355" spans="10:10" x14ac:dyDescent="0.3">
      <c r="J16355"/>
    </row>
    <row r="16356" spans="10:10" x14ac:dyDescent="0.3">
      <c r="J16356"/>
    </row>
    <row r="16357" spans="10:10" x14ac:dyDescent="0.3">
      <c r="J16357"/>
    </row>
    <row r="16358" spans="10:10" x14ac:dyDescent="0.3">
      <c r="J16358"/>
    </row>
    <row r="16359" spans="10:10" x14ac:dyDescent="0.3">
      <c r="J16359"/>
    </row>
    <row r="16360" spans="10:10" x14ac:dyDescent="0.3">
      <c r="J16360"/>
    </row>
    <row r="16361" spans="10:10" x14ac:dyDescent="0.3">
      <c r="J16361"/>
    </row>
    <row r="16362" spans="10:10" x14ac:dyDescent="0.3">
      <c r="J16362"/>
    </row>
    <row r="16363" spans="10:10" x14ac:dyDescent="0.3">
      <c r="J16363"/>
    </row>
    <row r="16364" spans="10:10" x14ac:dyDescent="0.3">
      <c r="J16364"/>
    </row>
    <row r="16365" spans="10:10" x14ac:dyDescent="0.3">
      <c r="J16365"/>
    </row>
    <row r="16366" spans="10:10" x14ac:dyDescent="0.3">
      <c r="J16366"/>
    </row>
    <row r="16367" spans="10:10" x14ac:dyDescent="0.3">
      <c r="J16367"/>
    </row>
    <row r="16368" spans="10:10" x14ac:dyDescent="0.3">
      <c r="J16368"/>
    </row>
    <row r="16369" spans="10:10" x14ac:dyDescent="0.3">
      <c r="J16369"/>
    </row>
    <row r="16370" spans="10:10" x14ac:dyDescent="0.3">
      <c r="J16370"/>
    </row>
    <row r="16371" spans="10:10" x14ac:dyDescent="0.3">
      <c r="J16371"/>
    </row>
    <row r="16372" spans="10:10" x14ac:dyDescent="0.3">
      <c r="J16372"/>
    </row>
    <row r="16373" spans="10:10" x14ac:dyDescent="0.3">
      <c r="J16373"/>
    </row>
    <row r="16374" spans="10:10" x14ac:dyDescent="0.3">
      <c r="J16374"/>
    </row>
    <row r="16375" spans="10:10" x14ac:dyDescent="0.3">
      <c r="J16375"/>
    </row>
    <row r="16376" spans="10:10" x14ac:dyDescent="0.3">
      <c r="J16376"/>
    </row>
    <row r="16377" spans="10:10" x14ac:dyDescent="0.3">
      <c r="J16377"/>
    </row>
    <row r="16378" spans="10:10" x14ac:dyDescent="0.3">
      <c r="J16378"/>
    </row>
    <row r="16379" spans="10:10" x14ac:dyDescent="0.3">
      <c r="J16379"/>
    </row>
    <row r="16380" spans="10:10" x14ac:dyDescent="0.3">
      <c r="J16380"/>
    </row>
    <row r="16381" spans="10:10" x14ac:dyDescent="0.3">
      <c r="J16381"/>
    </row>
    <row r="16382" spans="10:10" x14ac:dyDescent="0.3">
      <c r="J16382"/>
    </row>
    <row r="16383" spans="10:10" x14ac:dyDescent="0.3">
      <c r="J16383"/>
    </row>
    <row r="16384" spans="10:10" x14ac:dyDescent="0.3">
      <c r="J16384"/>
    </row>
    <row r="16385" spans="10:10" x14ac:dyDescent="0.3">
      <c r="J16385"/>
    </row>
    <row r="16386" spans="10:10" x14ac:dyDescent="0.3">
      <c r="J16386"/>
    </row>
    <row r="16387" spans="10:10" x14ac:dyDescent="0.3">
      <c r="J16387"/>
    </row>
    <row r="16388" spans="10:10" x14ac:dyDescent="0.3">
      <c r="J16388"/>
    </row>
    <row r="16389" spans="10:10" x14ac:dyDescent="0.3">
      <c r="J16389"/>
    </row>
    <row r="16390" spans="10:10" x14ac:dyDescent="0.3">
      <c r="J16390"/>
    </row>
    <row r="16391" spans="10:10" x14ac:dyDescent="0.3">
      <c r="J16391"/>
    </row>
    <row r="16392" spans="10:10" x14ac:dyDescent="0.3">
      <c r="J16392"/>
    </row>
    <row r="16393" spans="10:10" x14ac:dyDescent="0.3">
      <c r="J16393"/>
    </row>
    <row r="16394" spans="10:10" x14ac:dyDescent="0.3">
      <c r="J16394"/>
    </row>
    <row r="16395" spans="10:10" x14ac:dyDescent="0.3">
      <c r="J16395"/>
    </row>
    <row r="16396" spans="10:10" x14ac:dyDescent="0.3">
      <c r="J16396"/>
    </row>
    <row r="16397" spans="10:10" x14ac:dyDescent="0.3">
      <c r="J16397"/>
    </row>
    <row r="16398" spans="10:10" x14ac:dyDescent="0.3">
      <c r="J16398"/>
    </row>
    <row r="16399" spans="10:10" x14ac:dyDescent="0.3">
      <c r="J16399"/>
    </row>
    <row r="16400" spans="10:10" x14ac:dyDescent="0.3">
      <c r="J16400"/>
    </row>
    <row r="16401" spans="10:10" x14ac:dyDescent="0.3">
      <c r="J16401"/>
    </row>
    <row r="16402" spans="10:10" x14ac:dyDescent="0.3">
      <c r="J16402"/>
    </row>
    <row r="16403" spans="10:10" x14ac:dyDescent="0.3">
      <c r="J16403"/>
    </row>
    <row r="16404" spans="10:10" x14ac:dyDescent="0.3">
      <c r="J16404"/>
    </row>
    <row r="16405" spans="10:10" x14ac:dyDescent="0.3">
      <c r="J16405"/>
    </row>
    <row r="16406" spans="10:10" x14ac:dyDescent="0.3">
      <c r="J16406"/>
    </row>
    <row r="16407" spans="10:10" x14ac:dyDescent="0.3">
      <c r="J16407"/>
    </row>
    <row r="16408" spans="10:10" x14ac:dyDescent="0.3">
      <c r="J16408"/>
    </row>
    <row r="16409" spans="10:10" x14ac:dyDescent="0.3">
      <c r="J16409"/>
    </row>
    <row r="16410" spans="10:10" x14ac:dyDescent="0.3">
      <c r="J16410"/>
    </row>
    <row r="16411" spans="10:10" x14ac:dyDescent="0.3">
      <c r="J16411"/>
    </row>
    <row r="16412" spans="10:10" x14ac:dyDescent="0.3">
      <c r="J16412"/>
    </row>
    <row r="16413" spans="10:10" x14ac:dyDescent="0.3">
      <c r="J16413"/>
    </row>
    <row r="16414" spans="10:10" x14ac:dyDescent="0.3">
      <c r="J16414"/>
    </row>
    <row r="16415" spans="10:10" x14ac:dyDescent="0.3">
      <c r="J16415"/>
    </row>
    <row r="16416" spans="10:10" x14ac:dyDescent="0.3">
      <c r="J16416"/>
    </row>
    <row r="16417" spans="10:10" x14ac:dyDescent="0.3">
      <c r="J16417"/>
    </row>
    <row r="16418" spans="10:10" x14ac:dyDescent="0.3">
      <c r="J16418"/>
    </row>
    <row r="16419" spans="10:10" x14ac:dyDescent="0.3">
      <c r="J16419"/>
    </row>
    <row r="16420" spans="10:10" x14ac:dyDescent="0.3">
      <c r="J16420"/>
    </row>
    <row r="16421" spans="10:10" x14ac:dyDescent="0.3">
      <c r="J16421"/>
    </row>
    <row r="16422" spans="10:10" x14ac:dyDescent="0.3">
      <c r="J16422"/>
    </row>
    <row r="16423" spans="10:10" x14ac:dyDescent="0.3">
      <c r="J16423"/>
    </row>
    <row r="16424" spans="10:10" x14ac:dyDescent="0.3">
      <c r="J16424"/>
    </row>
    <row r="16425" spans="10:10" x14ac:dyDescent="0.3">
      <c r="J16425"/>
    </row>
    <row r="16426" spans="10:10" x14ac:dyDescent="0.3">
      <c r="J16426"/>
    </row>
    <row r="16427" spans="10:10" x14ac:dyDescent="0.3">
      <c r="J16427"/>
    </row>
    <row r="16428" spans="10:10" x14ac:dyDescent="0.3">
      <c r="J16428"/>
    </row>
    <row r="16429" spans="10:10" x14ac:dyDescent="0.3">
      <c r="J16429"/>
    </row>
    <row r="16430" spans="10:10" x14ac:dyDescent="0.3">
      <c r="J16430"/>
    </row>
    <row r="16431" spans="10:10" x14ac:dyDescent="0.3">
      <c r="J16431"/>
    </row>
    <row r="16432" spans="10:10" x14ac:dyDescent="0.3">
      <c r="J16432"/>
    </row>
    <row r="16433" spans="10:10" x14ac:dyDescent="0.3">
      <c r="J16433"/>
    </row>
    <row r="16434" spans="10:10" x14ac:dyDescent="0.3">
      <c r="J16434"/>
    </row>
    <row r="16435" spans="10:10" x14ac:dyDescent="0.3">
      <c r="J16435"/>
    </row>
    <row r="16436" spans="10:10" x14ac:dyDescent="0.3">
      <c r="J16436"/>
    </row>
    <row r="16437" spans="10:10" x14ac:dyDescent="0.3">
      <c r="J16437"/>
    </row>
    <row r="16438" spans="10:10" x14ac:dyDescent="0.3">
      <c r="J16438"/>
    </row>
    <row r="16439" spans="10:10" x14ac:dyDescent="0.3">
      <c r="J16439"/>
    </row>
    <row r="16440" spans="10:10" x14ac:dyDescent="0.3">
      <c r="J16440"/>
    </row>
    <row r="16441" spans="10:10" x14ac:dyDescent="0.3">
      <c r="J16441"/>
    </row>
    <row r="16442" spans="10:10" x14ac:dyDescent="0.3">
      <c r="J16442"/>
    </row>
    <row r="16443" spans="10:10" x14ac:dyDescent="0.3">
      <c r="J16443"/>
    </row>
    <row r="16444" spans="10:10" x14ac:dyDescent="0.3">
      <c r="J16444"/>
    </row>
    <row r="16445" spans="10:10" x14ac:dyDescent="0.3">
      <c r="J16445"/>
    </row>
    <row r="16446" spans="10:10" x14ac:dyDescent="0.3">
      <c r="J16446"/>
    </row>
    <row r="16447" spans="10:10" x14ac:dyDescent="0.3">
      <c r="J16447"/>
    </row>
    <row r="16448" spans="10:10" x14ac:dyDescent="0.3">
      <c r="J16448"/>
    </row>
    <row r="16449" spans="10:10" x14ac:dyDescent="0.3">
      <c r="J16449"/>
    </row>
    <row r="16450" spans="10:10" x14ac:dyDescent="0.3">
      <c r="J16450"/>
    </row>
    <row r="16451" spans="10:10" x14ac:dyDescent="0.3">
      <c r="J16451"/>
    </row>
    <row r="16452" spans="10:10" x14ac:dyDescent="0.3">
      <c r="J16452"/>
    </row>
    <row r="16453" spans="10:10" x14ac:dyDescent="0.3">
      <c r="J16453"/>
    </row>
    <row r="16454" spans="10:10" x14ac:dyDescent="0.3">
      <c r="J16454"/>
    </row>
    <row r="16455" spans="10:10" x14ac:dyDescent="0.3">
      <c r="J16455"/>
    </row>
    <row r="16456" spans="10:10" x14ac:dyDescent="0.3">
      <c r="J16456"/>
    </row>
    <row r="16457" spans="10:10" x14ac:dyDescent="0.3">
      <c r="J16457"/>
    </row>
    <row r="16458" spans="10:10" x14ac:dyDescent="0.3">
      <c r="J16458"/>
    </row>
    <row r="16459" spans="10:10" x14ac:dyDescent="0.3">
      <c r="J16459"/>
    </row>
    <row r="16460" spans="10:10" x14ac:dyDescent="0.3">
      <c r="J16460"/>
    </row>
    <row r="16461" spans="10:10" x14ac:dyDescent="0.3">
      <c r="J16461"/>
    </row>
    <row r="16462" spans="10:10" x14ac:dyDescent="0.3">
      <c r="J16462"/>
    </row>
    <row r="16463" spans="10:10" x14ac:dyDescent="0.3">
      <c r="J16463"/>
    </row>
    <row r="16464" spans="10:10" x14ac:dyDescent="0.3">
      <c r="J16464"/>
    </row>
    <row r="16465" spans="10:10" x14ac:dyDescent="0.3">
      <c r="J16465"/>
    </row>
    <row r="16466" spans="10:10" x14ac:dyDescent="0.3">
      <c r="J16466"/>
    </row>
    <row r="16467" spans="10:10" x14ac:dyDescent="0.3">
      <c r="J16467"/>
    </row>
    <row r="16468" spans="10:10" x14ac:dyDescent="0.3">
      <c r="J16468"/>
    </row>
    <row r="16469" spans="10:10" x14ac:dyDescent="0.3">
      <c r="J16469"/>
    </row>
    <row r="16470" spans="10:10" x14ac:dyDescent="0.3">
      <c r="J16470"/>
    </row>
    <row r="16471" spans="10:10" x14ac:dyDescent="0.3">
      <c r="J16471"/>
    </row>
    <row r="16472" spans="10:10" x14ac:dyDescent="0.3">
      <c r="J16472"/>
    </row>
    <row r="16473" spans="10:10" x14ac:dyDescent="0.3">
      <c r="J16473"/>
    </row>
    <row r="16474" spans="10:10" x14ac:dyDescent="0.3">
      <c r="J16474"/>
    </row>
    <row r="16475" spans="10:10" x14ac:dyDescent="0.3">
      <c r="J16475"/>
    </row>
    <row r="16476" spans="10:10" x14ac:dyDescent="0.3">
      <c r="J16476"/>
    </row>
    <row r="16477" spans="10:10" x14ac:dyDescent="0.3">
      <c r="J16477"/>
    </row>
    <row r="16478" spans="10:10" x14ac:dyDescent="0.3">
      <c r="J16478"/>
    </row>
    <row r="16479" spans="10:10" x14ac:dyDescent="0.3">
      <c r="J16479"/>
    </row>
    <row r="16480" spans="10:10" x14ac:dyDescent="0.3">
      <c r="J16480"/>
    </row>
    <row r="16481" spans="10:10" x14ac:dyDescent="0.3">
      <c r="J16481"/>
    </row>
    <row r="16482" spans="10:10" x14ac:dyDescent="0.3">
      <c r="J16482"/>
    </row>
    <row r="16483" spans="10:10" x14ac:dyDescent="0.3">
      <c r="J16483"/>
    </row>
    <row r="16484" spans="10:10" x14ac:dyDescent="0.3">
      <c r="J16484"/>
    </row>
    <row r="16485" spans="10:10" x14ac:dyDescent="0.3">
      <c r="J16485"/>
    </row>
    <row r="16486" spans="10:10" x14ac:dyDescent="0.3">
      <c r="J16486"/>
    </row>
    <row r="16487" spans="10:10" x14ac:dyDescent="0.3">
      <c r="J16487"/>
    </row>
    <row r="16488" spans="10:10" x14ac:dyDescent="0.3">
      <c r="J16488"/>
    </row>
    <row r="16489" spans="10:10" x14ac:dyDescent="0.3">
      <c r="J16489"/>
    </row>
    <row r="16490" spans="10:10" x14ac:dyDescent="0.3">
      <c r="J16490"/>
    </row>
    <row r="16491" spans="10:10" x14ac:dyDescent="0.3">
      <c r="J16491"/>
    </row>
    <row r="16492" spans="10:10" x14ac:dyDescent="0.3">
      <c r="J16492"/>
    </row>
    <row r="16493" spans="10:10" x14ac:dyDescent="0.3">
      <c r="J16493"/>
    </row>
    <row r="16494" spans="10:10" x14ac:dyDescent="0.3">
      <c r="J16494"/>
    </row>
    <row r="16495" spans="10:10" x14ac:dyDescent="0.3">
      <c r="J16495"/>
    </row>
    <row r="16496" spans="10:10" x14ac:dyDescent="0.3">
      <c r="J16496"/>
    </row>
    <row r="16497" spans="10:10" x14ac:dyDescent="0.3">
      <c r="J16497"/>
    </row>
    <row r="16498" spans="10:10" x14ac:dyDescent="0.3">
      <c r="J16498"/>
    </row>
    <row r="16499" spans="10:10" x14ac:dyDescent="0.3">
      <c r="J16499"/>
    </row>
    <row r="16500" spans="10:10" x14ac:dyDescent="0.3">
      <c r="J16500"/>
    </row>
    <row r="16501" spans="10:10" x14ac:dyDescent="0.3">
      <c r="J16501"/>
    </row>
    <row r="16502" spans="10:10" x14ac:dyDescent="0.3">
      <c r="J16502"/>
    </row>
    <row r="16503" spans="10:10" x14ac:dyDescent="0.3">
      <c r="J16503"/>
    </row>
    <row r="16504" spans="10:10" x14ac:dyDescent="0.3">
      <c r="J16504"/>
    </row>
    <row r="16505" spans="10:10" x14ac:dyDescent="0.3">
      <c r="J16505"/>
    </row>
    <row r="16506" spans="10:10" x14ac:dyDescent="0.3">
      <c r="J16506"/>
    </row>
    <row r="16507" spans="10:10" x14ac:dyDescent="0.3">
      <c r="J16507"/>
    </row>
    <row r="16508" spans="10:10" x14ac:dyDescent="0.3">
      <c r="J16508"/>
    </row>
    <row r="16509" spans="10:10" x14ac:dyDescent="0.3">
      <c r="J16509"/>
    </row>
    <row r="16510" spans="10:10" x14ac:dyDescent="0.3">
      <c r="J16510"/>
    </row>
    <row r="16511" spans="10:10" x14ac:dyDescent="0.3">
      <c r="J16511"/>
    </row>
    <row r="16512" spans="10:10" x14ac:dyDescent="0.3">
      <c r="J16512"/>
    </row>
    <row r="16513" spans="10:10" x14ac:dyDescent="0.3">
      <c r="J16513"/>
    </row>
    <row r="16514" spans="10:10" x14ac:dyDescent="0.3">
      <c r="J16514"/>
    </row>
    <row r="16515" spans="10:10" x14ac:dyDescent="0.3">
      <c r="J16515"/>
    </row>
    <row r="16516" spans="10:10" x14ac:dyDescent="0.3">
      <c r="J16516"/>
    </row>
    <row r="16517" spans="10:10" x14ac:dyDescent="0.3">
      <c r="J16517"/>
    </row>
    <row r="16518" spans="10:10" x14ac:dyDescent="0.3">
      <c r="J16518"/>
    </row>
    <row r="16519" spans="10:10" x14ac:dyDescent="0.3">
      <c r="J16519"/>
    </row>
    <row r="16520" spans="10:10" x14ac:dyDescent="0.3">
      <c r="J16520"/>
    </row>
    <row r="16521" spans="10:10" x14ac:dyDescent="0.3">
      <c r="J16521"/>
    </row>
    <row r="16522" spans="10:10" x14ac:dyDescent="0.3">
      <c r="J16522"/>
    </row>
    <row r="16523" spans="10:10" x14ac:dyDescent="0.3">
      <c r="J16523"/>
    </row>
    <row r="16524" spans="10:10" x14ac:dyDescent="0.3">
      <c r="J16524"/>
    </row>
    <row r="16525" spans="10:10" x14ac:dyDescent="0.3">
      <c r="J16525"/>
    </row>
    <row r="16526" spans="10:10" x14ac:dyDescent="0.3">
      <c r="J16526"/>
    </row>
    <row r="16527" spans="10:10" x14ac:dyDescent="0.3">
      <c r="J16527"/>
    </row>
    <row r="16528" spans="10:10" x14ac:dyDescent="0.3">
      <c r="J16528"/>
    </row>
    <row r="16529" spans="10:10" x14ac:dyDescent="0.3">
      <c r="J16529"/>
    </row>
    <row r="16530" spans="10:10" x14ac:dyDescent="0.3">
      <c r="J16530"/>
    </row>
    <row r="16531" spans="10:10" x14ac:dyDescent="0.3">
      <c r="J16531"/>
    </row>
    <row r="16532" spans="10:10" x14ac:dyDescent="0.3">
      <c r="J16532"/>
    </row>
    <row r="16533" spans="10:10" x14ac:dyDescent="0.3">
      <c r="J16533"/>
    </row>
    <row r="16534" spans="10:10" x14ac:dyDescent="0.3">
      <c r="J16534"/>
    </row>
    <row r="16535" spans="10:10" x14ac:dyDescent="0.3">
      <c r="J16535"/>
    </row>
    <row r="16536" spans="10:10" x14ac:dyDescent="0.3">
      <c r="J16536"/>
    </row>
    <row r="16537" spans="10:10" x14ac:dyDescent="0.3">
      <c r="J16537"/>
    </row>
    <row r="16538" spans="10:10" x14ac:dyDescent="0.3">
      <c r="J16538"/>
    </row>
    <row r="16539" spans="10:10" x14ac:dyDescent="0.3">
      <c r="J16539"/>
    </row>
    <row r="16540" spans="10:10" x14ac:dyDescent="0.3">
      <c r="J16540"/>
    </row>
    <row r="16541" spans="10:10" x14ac:dyDescent="0.3">
      <c r="J16541"/>
    </row>
    <row r="16542" spans="10:10" x14ac:dyDescent="0.3">
      <c r="J16542"/>
    </row>
    <row r="16543" spans="10:10" x14ac:dyDescent="0.3">
      <c r="J16543"/>
    </row>
    <row r="16544" spans="10:10" x14ac:dyDescent="0.3">
      <c r="J16544"/>
    </row>
    <row r="16545" spans="10:10" x14ac:dyDescent="0.3">
      <c r="J16545"/>
    </row>
    <row r="16546" spans="10:10" x14ac:dyDescent="0.3">
      <c r="J16546"/>
    </row>
    <row r="16547" spans="10:10" x14ac:dyDescent="0.3">
      <c r="J16547"/>
    </row>
    <row r="16548" spans="10:10" x14ac:dyDescent="0.3">
      <c r="J16548"/>
    </row>
    <row r="16549" spans="10:10" x14ac:dyDescent="0.3">
      <c r="J16549"/>
    </row>
    <row r="16550" spans="10:10" x14ac:dyDescent="0.3">
      <c r="J16550"/>
    </row>
    <row r="16551" spans="10:10" x14ac:dyDescent="0.3">
      <c r="J16551"/>
    </row>
    <row r="16552" spans="10:10" x14ac:dyDescent="0.3">
      <c r="J16552"/>
    </row>
    <row r="16553" spans="10:10" x14ac:dyDescent="0.3">
      <c r="J16553"/>
    </row>
    <row r="16554" spans="10:10" x14ac:dyDescent="0.3">
      <c r="J16554"/>
    </row>
    <row r="16555" spans="10:10" x14ac:dyDescent="0.3">
      <c r="J16555"/>
    </row>
    <row r="16556" spans="10:10" x14ac:dyDescent="0.3">
      <c r="J16556"/>
    </row>
    <row r="16557" spans="10:10" x14ac:dyDescent="0.3">
      <c r="J16557"/>
    </row>
    <row r="16558" spans="10:10" x14ac:dyDescent="0.3">
      <c r="J16558"/>
    </row>
    <row r="16559" spans="10:10" x14ac:dyDescent="0.3">
      <c r="J16559"/>
    </row>
    <row r="16560" spans="10:10" x14ac:dyDescent="0.3">
      <c r="J16560"/>
    </row>
    <row r="16561" spans="10:10" x14ac:dyDescent="0.3">
      <c r="J16561"/>
    </row>
    <row r="16562" spans="10:10" x14ac:dyDescent="0.3">
      <c r="J16562"/>
    </row>
    <row r="16563" spans="10:10" x14ac:dyDescent="0.3">
      <c r="J16563"/>
    </row>
    <row r="16564" spans="10:10" x14ac:dyDescent="0.3">
      <c r="J16564"/>
    </row>
    <row r="16565" spans="10:10" x14ac:dyDescent="0.3">
      <c r="J16565"/>
    </row>
    <row r="16566" spans="10:10" x14ac:dyDescent="0.3">
      <c r="J16566"/>
    </row>
    <row r="16567" spans="10:10" x14ac:dyDescent="0.3">
      <c r="J16567"/>
    </row>
    <row r="16568" spans="10:10" x14ac:dyDescent="0.3">
      <c r="J16568"/>
    </row>
    <row r="16569" spans="10:10" x14ac:dyDescent="0.3">
      <c r="J16569"/>
    </row>
    <row r="16570" spans="10:10" x14ac:dyDescent="0.3">
      <c r="J16570"/>
    </row>
    <row r="16571" spans="10:10" x14ac:dyDescent="0.3">
      <c r="J16571"/>
    </row>
    <row r="16572" spans="10:10" x14ac:dyDescent="0.3">
      <c r="J16572"/>
    </row>
    <row r="16573" spans="10:10" x14ac:dyDescent="0.3">
      <c r="J16573"/>
    </row>
    <row r="16574" spans="10:10" x14ac:dyDescent="0.3">
      <c r="J16574"/>
    </row>
    <row r="16575" spans="10:10" x14ac:dyDescent="0.3">
      <c r="J16575"/>
    </row>
    <row r="16576" spans="10:10" x14ac:dyDescent="0.3">
      <c r="J16576"/>
    </row>
    <row r="16577" spans="10:10" x14ac:dyDescent="0.3">
      <c r="J16577"/>
    </row>
    <row r="16578" spans="10:10" x14ac:dyDescent="0.3">
      <c r="J16578"/>
    </row>
    <row r="16579" spans="10:10" x14ac:dyDescent="0.3">
      <c r="J16579"/>
    </row>
    <row r="16580" spans="10:10" x14ac:dyDescent="0.3">
      <c r="J16580"/>
    </row>
    <row r="16581" spans="10:10" x14ac:dyDescent="0.3">
      <c r="J16581"/>
    </row>
    <row r="16582" spans="10:10" x14ac:dyDescent="0.3">
      <c r="J16582"/>
    </row>
    <row r="16583" spans="10:10" x14ac:dyDescent="0.3">
      <c r="J16583"/>
    </row>
    <row r="16584" spans="10:10" x14ac:dyDescent="0.3">
      <c r="J16584"/>
    </row>
    <row r="16585" spans="10:10" x14ac:dyDescent="0.3">
      <c r="J16585"/>
    </row>
    <row r="16586" spans="10:10" x14ac:dyDescent="0.3">
      <c r="J16586"/>
    </row>
    <row r="16587" spans="10:10" x14ac:dyDescent="0.3">
      <c r="J16587"/>
    </row>
    <row r="16588" spans="10:10" x14ac:dyDescent="0.3">
      <c r="J16588"/>
    </row>
    <row r="16589" spans="10:10" x14ac:dyDescent="0.3">
      <c r="J16589"/>
    </row>
    <row r="16590" spans="10:10" x14ac:dyDescent="0.3">
      <c r="J16590"/>
    </row>
    <row r="16591" spans="10:10" x14ac:dyDescent="0.3">
      <c r="J16591"/>
    </row>
    <row r="16592" spans="10:10" x14ac:dyDescent="0.3">
      <c r="J16592"/>
    </row>
    <row r="16593" spans="10:10" x14ac:dyDescent="0.3">
      <c r="J16593"/>
    </row>
    <row r="16594" spans="10:10" x14ac:dyDescent="0.3">
      <c r="J16594"/>
    </row>
    <row r="16595" spans="10:10" x14ac:dyDescent="0.3">
      <c r="J16595"/>
    </row>
    <row r="16596" spans="10:10" x14ac:dyDescent="0.3">
      <c r="J16596"/>
    </row>
    <row r="16597" spans="10:10" x14ac:dyDescent="0.3">
      <c r="J16597"/>
    </row>
    <row r="16598" spans="10:10" x14ac:dyDescent="0.3">
      <c r="J16598"/>
    </row>
    <row r="16599" spans="10:10" x14ac:dyDescent="0.3">
      <c r="J16599"/>
    </row>
    <row r="16600" spans="10:10" x14ac:dyDescent="0.3">
      <c r="J16600"/>
    </row>
    <row r="16601" spans="10:10" x14ac:dyDescent="0.3">
      <c r="J16601"/>
    </row>
    <row r="16602" spans="10:10" x14ac:dyDescent="0.3">
      <c r="J16602"/>
    </row>
    <row r="16603" spans="10:10" x14ac:dyDescent="0.3">
      <c r="J16603"/>
    </row>
    <row r="16604" spans="10:10" x14ac:dyDescent="0.3">
      <c r="J16604"/>
    </row>
    <row r="16605" spans="10:10" x14ac:dyDescent="0.3">
      <c r="J16605"/>
    </row>
    <row r="16606" spans="10:10" x14ac:dyDescent="0.3">
      <c r="J16606"/>
    </row>
    <row r="16607" spans="10:10" x14ac:dyDescent="0.3">
      <c r="J16607"/>
    </row>
    <row r="16608" spans="10:10" x14ac:dyDescent="0.3">
      <c r="J16608"/>
    </row>
    <row r="16609" spans="10:10" x14ac:dyDescent="0.3">
      <c r="J16609"/>
    </row>
    <row r="16610" spans="10:10" x14ac:dyDescent="0.3">
      <c r="J16610"/>
    </row>
    <row r="16611" spans="10:10" x14ac:dyDescent="0.3">
      <c r="J16611"/>
    </row>
    <row r="16612" spans="10:10" x14ac:dyDescent="0.3">
      <c r="J16612"/>
    </row>
    <row r="16613" spans="10:10" x14ac:dyDescent="0.3">
      <c r="J16613"/>
    </row>
    <row r="16614" spans="10:10" x14ac:dyDescent="0.3">
      <c r="J16614"/>
    </row>
    <row r="16615" spans="10:10" x14ac:dyDescent="0.3">
      <c r="J16615"/>
    </row>
    <row r="16616" spans="10:10" x14ac:dyDescent="0.3">
      <c r="J16616"/>
    </row>
    <row r="16617" spans="10:10" x14ac:dyDescent="0.3">
      <c r="J16617"/>
    </row>
    <row r="16618" spans="10:10" x14ac:dyDescent="0.3">
      <c r="J16618"/>
    </row>
    <row r="16619" spans="10:10" x14ac:dyDescent="0.3">
      <c r="J16619"/>
    </row>
    <row r="16620" spans="10:10" x14ac:dyDescent="0.3">
      <c r="J16620"/>
    </row>
    <row r="16621" spans="10:10" x14ac:dyDescent="0.3">
      <c r="J16621"/>
    </row>
    <row r="16622" spans="10:10" x14ac:dyDescent="0.3">
      <c r="J16622"/>
    </row>
    <row r="16623" spans="10:10" x14ac:dyDescent="0.3">
      <c r="J16623"/>
    </row>
    <row r="16624" spans="10:10" x14ac:dyDescent="0.3">
      <c r="J16624"/>
    </row>
    <row r="16625" spans="10:10" x14ac:dyDescent="0.3">
      <c r="J16625"/>
    </row>
    <row r="16626" spans="10:10" x14ac:dyDescent="0.3">
      <c r="J16626"/>
    </row>
    <row r="16627" spans="10:10" x14ac:dyDescent="0.3">
      <c r="J16627"/>
    </row>
    <row r="16628" spans="10:10" x14ac:dyDescent="0.3">
      <c r="J16628"/>
    </row>
    <row r="16629" spans="10:10" x14ac:dyDescent="0.3">
      <c r="J16629"/>
    </row>
    <row r="16630" spans="10:10" x14ac:dyDescent="0.3">
      <c r="J16630"/>
    </row>
    <row r="16631" spans="10:10" x14ac:dyDescent="0.3">
      <c r="J16631"/>
    </row>
    <row r="16632" spans="10:10" x14ac:dyDescent="0.3">
      <c r="J16632"/>
    </row>
    <row r="16633" spans="10:10" x14ac:dyDescent="0.3">
      <c r="J16633"/>
    </row>
    <row r="16634" spans="10:10" x14ac:dyDescent="0.3">
      <c r="J16634"/>
    </row>
    <row r="16635" spans="10:10" x14ac:dyDescent="0.3">
      <c r="J16635"/>
    </row>
    <row r="16636" spans="10:10" x14ac:dyDescent="0.3">
      <c r="J16636"/>
    </row>
    <row r="16637" spans="10:10" x14ac:dyDescent="0.3">
      <c r="J16637"/>
    </row>
    <row r="16638" spans="10:10" x14ac:dyDescent="0.3">
      <c r="J16638"/>
    </row>
    <row r="16639" spans="10:10" x14ac:dyDescent="0.3">
      <c r="J16639"/>
    </row>
    <row r="16640" spans="10:10" x14ac:dyDescent="0.3">
      <c r="J16640"/>
    </row>
    <row r="16641" spans="10:10" x14ac:dyDescent="0.3">
      <c r="J16641"/>
    </row>
    <row r="16642" spans="10:10" x14ac:dyDescent="0.3">
      <c r="J16642"/>
    </row>
    <row r="16643" spans="10:10" x14ac:dyDescent="0.3">
      <c r="J16643"/>
    </row>
    <row r="16644" spans="10:10" x14ac:dyDescent="0.3">
      <c r="J16644"/>
    </row>
    <row r="16645" spans="10:10" x14ac:dyDescent="0.3">
      <c r="J16645"/>
    </row>
    <row r="16646" spans="10:10" x14ac:dyDescent="0.3">
      <c r="J16646"/>
    </row>
    <row r="16647" spans="10:10" x14ac:dyDescent="0.3">
      <c r="J16647"/>
    </row>
    <row r="16648" spans="10:10" x14ac:dyDescent="0.3">
      <c r="J16648"/>
    </row>
    <row r="16649" spans="10:10" x14ac:dyDescent="0.3">
      <c r="J16649"/>
    </row>
    <row r="16650" spans="10:10" x14ac:dyDescent="0.3">
      <c r="J16650"/>
    </row>
    <row r="16651" spans="10:10" x14ac:dyDescent="0.3">
      <c r="J16651"/>
    </row>
    <row r="16652" spans="10:10" x14ac:dyDescent="0.3">
      <c r="J16652"/>
    </row>
    <row r="16653" spans="10:10" x14ac:dyDescent="0.3">
      <c r="J16653"/>
    </row>
    <row r="16654" spans="10:10" x14ac:dyDescent="0.3">
      <c r="J16654"/>
    </row>
    <row r="16655" spans="10:10" x14ac:dyDescent="0.3">
      <c r="J16655"/>
    </row>
    <row r="16656" spans="10:10" x14ac:dyDescent="0.3">
      <c r="J16656"/>
    </row>
    <row r="16657" spans="10:10" x14ac:dyDescent="0.3">
      <c r="J16657"/>
    </row>
    <row r="16658" spans="10:10" x14ac:dyDescent="0.3">
      <c r="J16658"/>
    </row>
    <row r="16659" spans="10:10" x14ac:dyDescent="0.3">
      <c r="J16659"/>
    </row>
    <row r="16660" spans="10:10" x14ac:dyDescent="0.3">
      <c r="J16660"/>
    </row>
    <row r="16661" spans="10:10" x14ac:dyDescent="0.3">
      <c r="J16661"/>
    </row>
    <row r="16662" spans="10:10" x14ac:dyDescent="0.3">
      <c r="J16662"/>
    </row>
    <row r="16663" spans="10:10" x14ac:dyDescent="0.3">
      <c r="J16663"/>
    </row>
    <row r="16664" spans="10:10" x14ac:dyDescent="0.3">
      <c r="J16664"/>
    </row>
    <row r="16665" spans="10:10" x14ac:dyDescent="0.3">
      <c r="J16665"/>
    </row>
    <row r="16666" spans="10:10" x14ac:dyDescent="0.3">
      <c r="J16666"/>
    </row>
    <row r="16667" spans="10:10" x14ac:dyDescent="0.3">
      <c r="J16667"/>
    </row>
    <row r="16668" spans="10:10" x14ac:dyDescent="0.3">
      <c r="J16668"/>
    </row>
    <row r="16669" spans="10:10" x14ac:dyDescent="0.3">
      <c r="J16669"/>
    </row>
    <row r="16670" spans="10:10" x14ac:dyDescent="0.3">
      <c r="J16670"/>
    </row>
    <row r="16671" spans="10:10" x14ac:dyDescent="0.3">
      <c r="J16671"/>
    </row>
    <row r="16672" spans="10:10" x14ac:dyDescent="0.3">
      <c r="J16672"/>
    </row>
    <row r="16673" spans="10:10" x14ac:dyDescent="0.3">
      <c r="J16673"/>
    </row>
    <row r="16674" spans="10:10" x14ac:dyDescent="0.3">
      <c r="J16674"/>
    </row>
    <row r="16675" spans="10:10" x14ac:dyDescent="0.3">
      <c r="J16675"/>
    </row>
    <row r="16676" spans="10:10" x14ac:dyDescent="0.3">
      <c r="J16676"/>
    </row>
    <row r="16677" spans="10:10" x14ac:dyDescent="0.3">
      <c r="J16677"/>
    </row>
    <row r="16678" spans="10:10" x14ac:dyDescent="0.3">
      <c r="J16678"/>
    </row>
    <row r="16679" spans="10:10" x14ac:dyDescent="0.3">
      <c r="J16679"/>
    </row>
    <row r="16680" spans="10:10" x14ac:dyDescent="0.3">
      <c r="J16680"/>
    </row>
    <row r="16681" spans="10:10" x14ac:dyDescent="0.3">
      <c r="J16681"/>
    </row>
    <row r="16682" spans="10:10" x14ac:dyDescent="0.3">
      <c r="J16682"/>
    </row>
    <row r="16683" spans="10:10" x14ac:dyDescent="0.3">
      <c r="J16683"/>
    </row>
    <row r="16684" spans="10:10" x14ac:dyDescent="0.3">
      <c r="J16684"/>
    </row>
    <row r="16685" spans="10:10" x14ac:dyDescent="0.3">
      <c r="J16685"/>
    </row>
    <row r="16686" spans="10:10" x14ac:dyDescent="0.3">
      <c r="J16686"/>
    </row>
    <row r="16687" spans="10:10" x14ac:dyDescent="0.3">
      <c r="J16687"/>
    </row>
    <row r="16688" spans="10:10" x14ac:dyDescent="0.3">
      <c r="J16688"/>
    </row>
    <row r="16689" spans="10:10" x14ac:dyDescent="0.3">
      <c r="J16689"/>
    </row>
    <row r="16690" spans="10:10" x14ac:dyDescent="0.3">
      <c r="J16690"/>
    </row>
    <row r="16691" spans="10:10" x14ac:dyDescent="0.3">
      <c r="J16691"/>
    </row>
    <row r="16692" spans="10:10" x14ac:dyDescent="0.3">
      <c r="J16692"/>
    </row>
    <row r="16693" spans="10:10" x14ac:dyDescent="0.3">
      <c r="J16693"/>
    </row>
    <row r="16694" spans="10:10" x14ac:dyDescent="0.3">
      <c r="J16694"/>
    </row>
    <row r="16695" spans="10:10" x14ac:dyDescent="0.3">
      <c r="J16695"/>
    </row>
    <row r="16696" spans="10:10" x14ac:dyDescent="0.3">
      <c r="J16696"/>
    </row>
    <row r="16697" spans="10:10" x14ac:dyDescent="0.3">
      <c r="J16697"/>
    </row>
    <row r="16698" spans="10:10" x14ac:dyDescent="0.3">
      <c r="J16698"/>
    </row>
    <row r="16699" spans="10:10" x14ac:dyDescent="0.3">
      <c r="J16699"/>
    </row>
    <row r="16700" spans="10:10" x14ac:dyDescent="0.3">
      <c r="J16700"/>
    </row>
    <row r="16701" spans="10:10" x14ac:dyDescent="0.3">
      <c r="J16701"/>
    </row>
    <row r="16702" spans="10:10" x14ac:dyDescent="0.3">
      <c r="J16702"/>
    </row>
    <row r="16703" spans="10:10" x14ac:dyDescent="0.3">
      <c r="J16703"/>
    </row>
    <row r="16704" spans="10:10" x14ac:dyDescent="0.3">
      <c r="J16704"/>
    </row>
    <row r="16705" spans="10:10" x14ac:dyDescent="0.3">
      <c r="J16705"/>
    </row>
    <row r="16706" spans="10:10" x14ac:dyDescent="0.3">
      <c r="J16706"/>
    </row>
    <row r="16707" spans="10:10" x14ac:dyDescent="0.3">
      <c r="J16707"/>
    </row>
    <row r="16708" spans="10:10" x14ac:dyDescent="0.3">
      <c r="J16708"/>
    </row>
    <row r="16709" spans="10:10" x14ac:dyDescent="0.3">
      <c r="J16709"/>
    </row>
    <row r="16710" spans="10:10" x14ac:dyDescent="0.3">
      <c r="J16710"/>
    </row>
    <row r="16711" spans="10:10" x14ac:dyDescent="0.3">
      <c r="J16711"/>
    </row>
    <row r="16712" spans="10:10" x14ac:dyDescent="0.3">
      <c r="J16712"/>
    </row>
    <row r="16713" spans="10:10" x14ac:dyDescent="0.3">
      <c r="J16713"/>
    </row>
    <row r="16714" spans="10:10" x14ac:dyDescent="0.3">
      <c r="J16714"/>
    </row>
    <row r="16715" spans="10:10" x14ac:dyDescent="0.3">
      <c r="J16715"/>
    </row>
    <row r="16716" spans="10:10" x14ac:dyDescent="0.3">
      <c r="J16716"/>
    </row>
    <row r="16717" spans="10:10" x14ac:dyDescent="0.3">
      <c r="J16717"/>
    </row>
    <row r="16718" spans="10:10" x14ac:dyDescent="0.3">
      <c r="J16718"/>
    </row>
    <row r="16719" spans="10:10" x14ac:dyDescent="0.3">
      <c r="J16719"/>
    </row>
    <row r="16720" spans="10:10" x14ac:dyDescent="0.3">
      <c r="J16720"/>
    </row>
    <row r="16721" spans="10:10" x14ac:dyDescent="0.3">
      <c r="J16721"/>
    </row>
    <row r="16722" spans="10:10" x14ac:dyDescent="0.3">
      <c r="J16722"/>
    </row>
    <row r="16723" spans="10:10" x14ac:dyDescent="0.3">
      <c r="J16723"/>
    </row>
    <row r="16724" spans="10:10" x14ac:dyDescent="0.3">
      <c r="J16724"/>
    </row>
    <row r="16725" spans="10:10" x14ac:dyDescent="0.3">
      <c r="J16725"/>
    </row>
    <row r="16726" spans="10:10" x14ac:dyDescent="0.3">
      <c r="J16726"/>
    </row>
    <row r="16727" spans="10:10" x14ac:dyDescent="0.3">
      <c r="J16727"/>
    </row>
    <row r="16728" spans="10:10" x14ac:dyDescent="0.3">
      <c r="J16728"/>
    </row>
    <row r="16729" spans="10:10" x14ac:dyDescent="0.3">
      <c r="J16729"/>
    </row>
    <row r="16730" spans="10:10" x14ac:dyDescent="0.3">
      <c r="J16730"/>
    </row>
    <row r="16731" spans="10:10" x14ac:dyDescent="0.3">
      <c r="J16731"/>
    </row>
    <row r="16732" spans="10:10" x14ac:dyDescent="0.3">
      <c r="J16732"/>
    </row>
    <row r="16733" spans="10:10" x14ac:dyDescent="0.3">
      <c r="J16733"/>
    </row>
    <row r="16734" spans="10:10" x14ac:dyDescent="0.3">
      <c r="J16734"/>
    </row>
    <row r="16735" spans="10:10" x14ac:dyDescent="0.3">
      <c r="J16735"/>
    </row>
    <row r="16736" spans="10:10" x14ac:dyDescent="0.3">
      <c r="J16736"/>
    </row>
    <row r="16737" spans="10:10" x14ac:dyDescent="0.3">
      <c r="J16737"/>
    </row>
    <row r="16738" spans="10:10" x14ac:dyDescent="0.3">
      <c r="J16738"/>
    </row>
    <row r="16739" spans="10:10" x14ac:dyDescent="0.3">
      <c r="J16739"/>
    </row>
    <row r="16740" spans="10:10" x14ac:dyDescent="0.3">
      <c r="J16740"/>
    </row>
    <row r="16741" spans="10:10" x14ac:dyDescent="0.3">
      <c r="J16741"/>
    </row>
    <row r="16742" spans="10:10" x14ac:dyDescent="0.3">
      <c r="J16742"/>
    </row>
    <row r="16743" spans="10:10" x14ac:dyDescent="0.3">
      <c r="J16743"/>
    </row>
    <row r="16744" spans="10:10" x14ac:dyDescent="0.3">
      <c r="J16744"/>
    </row>
    <row r="16745" spans="10:10" x14ac:dyDescent="0.3">
      <c r="J16745"/>
    </row>
    <row r="16746" spans="10:10" x14ac:dyDescent="0.3">
      <c r="J16746"/>
    </row>
    <row r="16747" spans="10:10" x14ac:dyDescent="0.3">
      <c r="J16747"/>
    </row>
    <row r="16748" spans="10:10" x14ac:dyDescent="0.3">
      <c r="J16748"/>
    </row>
    <row r="16749" spans="10:10" x14ac:dyDescent="0.3">
      <c r="J16749"/>
    </row>
    <row r="16750" spans="10:10" x14ac:dyDescent="0.3">
      <c r="J16750"/>
    </row>
    <row r="16751" spans="10:10" x14ac:dyDescent="0.3">
      <c r="J16751"/>
    </row>
    <row r="16752" spans="10:10" x14ac:dyDescent="0.3">
      <c r="J16752"/>
    </row>
    <row r="16753" spans="10:10" x14ac:dyDescent="0.3">
      <c r="J16753"/>
    </row>
    <row r="16754" spans="10:10" x14ac:dyDescent="0.3">
      <c r="J16754"/>
    </row>
    <row r="16755" spans="10:10" x14ac:dyDescent="0.3">
      <c r="J16755"/>
    </row>
    <row r="16756" spans="10:10" x14ac:dyDescent="0.3">
      <c r="J16756"/>
    </row>
    <row r="16757" spans="10:10" x14ac:dyDescent="0.3">
      <c r="J16757"/>
    </row>
    <row r="16758" spans="10:10" x14ac:dyDescent="0.3">
      <c r="J16758"/>
    </row>
    <row r="16759" spans="10:10" x14ac:dyDescent="0.3">
      <c r="J16759"/>
    </row>
    <row r="16760" spans="10:10" x14ac:dyDescent="0.3">
      <c r="J16760"/>
    </row>
    <row r="16761" spans="10:10" x14ac:dyDescent="0.3">
      <c r="J16761"/>
    </row>
    <row r="16762" spans="10:10" x14ac:dyDescent="0.3">
      <c r="J16762"/>
    </row>
    <row r="16763" spans="10:10" x14ac:dyDescent="0.3">
      <c r="J16763"/>
    </row>
    <row r="16764" spans="10:10" x14ac:dyDescent="0.3">
      <c r="J16764"/>
    </row>
    <row r="16765" spans="10:10" x14ac:dyDescent="0.3">
      <c r="J16765"/>
    </row>
    <row r="16766" spans="10:10" x14ac:dyDescent="0.3">
      <c r="J16766"/>
    </row>
    <row r="16767" spans="10:10" x14ac:dyDescent="0.3">
      <c r="J16767"/>
    </row>
    <row r="16768" spans="10:10" x14ac:dyDescent="0.3">
      <c r="J16768"/>
    </row>
    <row r="16769" spans="10:10" x14ac:dyDescent="0.3">
      <c r="J16769"/>
    </row>
    <row r="16770" spans="10:10" x14ac:dyDescent="0.3">
      <c r="J16770"/>
    </row>
    <row r="16771" spans="10:10" x14ac:dyDescent="0.3">
      <c r="J16771"/>
    </row>
    <row r="16772" spans="10:10" x14ac:dyDescent="0.3">
      <c r="J16772"/>
    </row>
    <row r="16773" spans="10:10" x14ac:dyDescent="0.3">
      <c r="J16773"/>
    </row>
    <row r="16774" spans="10:10" x14ac:dyDescent="0.3">
      <c r="J16774"/>
    </row>
    <row r="16775" spans="10:10" x14ac:dyDescent="0.3">
      <c r="J16775"/>
    </row>
    <row r="16776" spans="10:10" x14ac:dyDescent="0.3">
      <c r="J16776"/>
    </row>
    <row r="16777" spans="10:10" x14ac:dyDescent="0.3">
      <c r="J16777"/>
    </row>
    <row r="16778" spans="10:10" x14ac:dyDescent="0.3">
      <c r="J16778"/>
    </row>
    <row r="16779" spans="10:10" x14ac:dyDescent="0.3">
      <c r="J16779"/>
    </row>
    <row r="16780" spans="10:10" x14ac:dyDescent="0.3">
      <c r="J16780"/>
    </row>
    <row r="16781" spans="10:10" x14ac:dyDescent="0.3">
      <c r="J16781"/>
    </row>
    <row r="16782" spans="10:10" x14ac:dyDescent="0.3">
      <c r="J16782"/>
    </row>
    <row r="16783" spans="10:10" x14ac:dyDescent="0.3">
      <c r="J16783"/>
    </row>
    <row r="16784" spans="10:10" x14ac:dyDescent="0.3">
      <c r="J16784"/>
    </row>
    <row r="16785" spans="10:10" x14ac:dyDescent="0.3">
      <c r="J16785"/>
    </row>
    <row r="16786" spans="10:10" x14ac:dyDescent="0.3">
      <c r="J16786"/>
    </row>
    <row r="16787" spans="10:10" x14ac:dyDescent="0.3">
      <c r="J16787"/>
    </row>
    <row r="16788" spans="10:10" x14ac:dyDescent="0.3">
      <c r="J16788"/>
    </row>
    <row r="16789" spans="10:10" x14ac:dyDescent="0.3">
      <c r="J16789"/>
    </row>
    <row r="16790" spans="10:10" x14ac:dyDescent="0.3">
      <c r="J16790"/>
    </row>
    <row r="16791" spans="10:10" x14ac:dyDescent="0.3">
      <c r="J16791"/>
    </row>
    <row r="16792" spans="10:10" x14ac:dyDescent="0.3">
      <c r="J16792"/>
    </row>
    <row r="16793" spans="10:10" x14ac:dyDescent="0.3">
      <c r="J16793"/>
    </row>
    <row r="16794" spans="10:10" x14ac:dyDescent="0.3">
      <c r="J16794"/>
    </row>
    <row r="16795" spans="10:10" x14ac:dyDescent="0.3">
      <c r="J16795"/>
    </row>
    <row r="16796" spans="10:10" x14ac:dyDescent="0.3">
      <c r="J16796"/>
    </row>
    <row r="16797" spans="10:10" x14ac:dyDescent="0.3">
      <c r="J16797"/>
    </row>
    <row r="16798" spans="10:10" x14ac:dyDescent="0.3">
      <c r="J16798"/>
    </row>
    <row r="16799" spans="10:10" x14ac:dyDescent="0.3">
      <c r="J16799"/>
    </row>
    <row r="16800" spans="10:10" x14ac:dyDescent="0.3">
      <c r="J16800"/>
    </row>
    <row r="16801" spans="10:10" x14ac:dyDescent="0.3">
      <c r="J16801"/>
    </row>
    <row r="16802" spans="10:10" x14ac:dyDescent="0.3">
      <c r="J16802"/>
    </row>
    <row r="16803" spans="10:10" x14ac:dyDescent="0.3">
      <c r="J16803"/>
    </row>
    <row r="16804" spans="10:10" x14ac:dyDescent="0.3">
      <c r="J16804"/>
    </row>
    <row r="16805" spans="10:10" x14ac:dyDescent="0.3">
      <c r="J16805"/>
    </row>
    <row r="16806" spans="10:10" x14ac:dyDescent="0.3">
      <c r="J16806"/>
    </row>
    <row r="16807" spans="10:10" x14ac:dyDescent="0.3">
      <c r="J16807"/>
    </row>
    <row r="16808" spans="10:10" x14ac:dyDescent="0.3">
      <c r="J16808"/>
    </row>
    <row r="16809" spans="10:10" x14ac:dyDescent="0.3">
      <c r="J16809"/>
    </row>
    <row r="16810" spans="10:10" x14ac:dyDescent="0.3">
      <c r="J16810"/>
    </row>
    <row r="16811" spans="10:10" x14ac:dyDescent="0.3">
      <c r="J16811"/>
    </row>
    <row r="16812" spans="10:10" x14ac:dyDescent="0.3">
      <c r="J16812"/>
    </row>
    <row r="16813" spans="10:10" x14ac:dyDescent="0.3">
      <c r="J16813"/>
    </row>
    <row r="16814" spans="10:10" x14ac:dyDescent="0.3">
      <c r="J16814"/>
    </row>
    <row r="16815" spans="10:10" x14ac:dyDescent="0.3">
      <c r="J16815"/>
    </row>
    <row r="16816" spans="10:10" x14ac:dyDescent="0.3">
      <c r="J16816"/>
    </row>
    <row r="16817" spans="10:10" x14ac:dyDescent="0.3">
      <c r="J16817"/>
    </row>
    <row r="16818" spans="10:10" x14ac:dyDescent="0.3">
      <c r="J16818"/>
    </row>
    <row r="16819" spans="10:10" x14ac:dyDescent="0.3">
      <c r="J16819"/>
    </row>
    <row r="16820" spans="10:10" x14ac:dyDescent="0.3">
      <c r="J16820"/>
    </row>
    <row r="16821" spans="10:10" x14ac:dyDescent="0.3">
      <c r="J16821"/>
    </row>
    <row r="16822" spans="10:10" x14ac:dyDescent="0.3">
      <c r="J16822"/>
    </row>
    <row r="16823" spans="10:10" x14ac:dyDescent="0.3">
      <c r="J16823"/>
    </row>
    <row r="16824" spans="10:10" x14ac:dyDescent="0.3">
      <c r="J16824"/>
    </row>
    <row r="16825" spans="10:10" x14ac:dyDescent="0.3">
      <c r="J16825"/>
    </row>
    <row r="16826" spans="10:10" x14ac:dyDescent="0.3">
      <c r="J16826"/>
    </row>
    <row r="16827" spans="10:10" x14ac:dyDescent="0.3">
      <c r="J16827"/>
    </row>
    <row r="16828" spans="10:10" x14ac:dyDescent="0.3">
      <c r="J16828"/>
    </row>
    <row r="16829" spans="10:10" x14ac:dyDescent="0.3">
      <c r="J16829"/>
    </row>
    <row r="16830" spans="10:10" x14ac:dyDescent="0.3">
      <c r="J16830"/>
    </row>
    <row r="16831" spans="10:10" x14ac:dyDescent="0.3">
      <c r="J16831"/>
    </row>
    <row r="16832" spans="10:10" x14ac:dyDescent="0.3">
      <c r="J16832"/>
    </row>
    <row r="16833" spans="10:10" x14ac:dyDescent="0.3">
      <c r="J16833"/>
    </row>
    <row r="16834" spans="10:10" x14ac:dyDescent="0.3">
      <c r="J16834"/>
    </row>
    <row r="16835" spans="10:10" x14ac:dyDescent="0.3">
      <c r="J16835"/>
    </row>
    <row r="16836" spans="10:10" x14ac:dyDescent="0.3">
      <c r="J16836"/>
    </row>
    <row r="16837" spans="10:10" x14ac:dyDescent="0.3">
      <c r="J16837"/>
    </row>
    <row r="16838" spans="10:10" x14ac:dyDescent="0.3">
      <c r="J16838"/>
    </row>
    <row r="16839" spans="10:10" x14ac:dyDescent="0.3">
      <c r="J16839"/>
    </row>
    <row r="16840" spans="10:10" x14ac:dyDescent="0.3">
      <c r="J16840"/>
    </row>
    <row r="16841" spans="10:10" x14ac:dyDescent="0.3">
      <c r="J16841"/>
    </row>
    <row r="16842" spans="10:10" x14ac:dyDescent="0.3">
      <c r="J16842"/>
    </row>
    <row r="16843" spans="10:10" x14ac:dyDescent="0.3">
      <c r="J16843"/>
    </row>
    <row r="16844" spans="10:10" x14ac:dyDescent="0.3">
      <c r="J16844"/>
    </row>
    <row r="16845" spans="10:10" x14ac:dyDescent="0.3">
      <c r="J16845"/>
    </row>
    <row r="16846" spans="10:10" x14ac:dyDescent="0.3">
      <c r="J16846"/>
    </row>
    <row r="16847" spans="10:10" x14ac:dyDescent="0.3">
      <c r="J16847"/>
    </row>
    <row r="16848" spans="10:10" x14ac:dyDescent="0.3">
      <c r="J16848"/>
    </row>
    <row r="16849" spans="10:10" x14ac:dyDescent="0.3">
      <c r="J16849"/>
    </row>
    <row r="16850" spans="10:10" x14ac:dyDescent="0.3">
      <c r="J16850"/>
    </row>
    <row r="16851" spans="10:10" x14ac:dyDescent="0.3">
      <c r="J16851"/>
    </row>
    <row r="16852" spans="10:10" x14ac:dyDescent="0.3">
      <c r="J16852"/>
    </row>
    <row r="16853" spans="10:10" x14ac:dyDescent="0.3">
      <c r="J16853"/>
    </row>
    <row r="16854" spans="10:10" x14ac:dyDescent="0.3">
      <c r="J16854"/>
    </row>
    <row r="16855" spans="10:10" x14ac:dyDescent="0.3">
      <c r="J16855"/>
    </row>
    <row r="16856" spans="10:10" x14ac:dyDescent="0.3">
      <c r="J16856"/>
    </row>
    <row r="16857" spans="10:10" x14ac:dyDescent="0.3">
      <c r="J16857"/>
    </row>
    <row r="16858" spans="10:10" x14ac:dyDescent="0.3">
      <c r="J16858"/>
    </row>
    <row r="16859" spans="10:10" x14ac:dyDescent="0.3">
      <c r="J16859"/>
    </row>
    <row r="16860" spans="10:10" x14ac:dyDescent="0.3">
      <c r="J16860"/>
    </row>
    <row r="16861" spans="10:10" x14ac:dyDescent="0.3">
      <c r="J16861"/>
    </row>
    <row r="16862" spans="10:10" x14ac:dyDescent="0.3">
      <c r="J16862"/>
    </row>
    <row r="16863" spans="10:10" x14ac:dyDescent="0.3">
      <c r="J16863"/>
    </row>
    <row r="16864" spans="10:10" x14ac:dyDescent="0.3">
      <c r="J16864"/>
    </row>
    <row r="16865" spans="10:10" x14ac:dyDescent="0.3">
      <c r="J16865"/>
    </row>
    <row r="16866" spans="10:10" x14ac:dyDescent="0.3">
      <c r="J16866"/>
    </row>
    <row r="16867" spans="10:10" x14ac:dyDescent="0.3">
      <c r="J16867"/>
    </row>
    <row r="16868" spans="10:10" x14ac:dyDescent="0.3">
      <c r="J16868"/>
    </row>
    <row r="16869" spans="10:10" x14ac:dyDescent="0.3">
      <c r="J16869"/>
    </row>
    <row r="16870" spans="10:10" x14ac:dyDescent="0.3">
      <c r="J16870"/>
    </row>
    <row r="16871" spans="10:10" x14ac:dyDescent="0.3">
      <c r="J16871"/>
    </row>
    <row r="16872" spans="10:10" x14ac:dyDescent="0.3">
      <c r="J16872"/>
    </row>
    <row r="16873" spans="10:10" x14ac:dyDescent="0.3">
      <c r="J16873"/>
    </row>
    <row r="16874" spans="10:10" x14ac:dyDescent="0.3">
      <c r="J16874"/>
    </row>
    <row r="16875" spans="10:10" x14ac:dyDescent="0.3">
      <c r="J16875"/>
    </row>
    <row r="16876" spans="10:10" x14ac:dyDescent="0.3">
      <c r="J16876"/>
    </row>
    <row r="16877" spans="10:10" x14ac:dyDescent="0.3">
      <c r="J16877"/>
    </row>
    <row r="16878" spans="10:10" x14ac:dyDescent="0.3">
      <c r="J16878"/>
    </row>
    <row r="16879" spans="10:10" x14ac:dyDescent="0.3">
      <c r="J16879"/>
    </row>
    <row r="16880" spans="10:10" x14ac:dyDescent="0.3">
      <c r="J16880"/>
    </row>
    <row r="16881" spans="10:10" x14ac:dyDescent="0.3">
      <c r="J16881"/>
    </row>
    <row r="16882" spans="10:10" x14ac:dyDescent="0.3">
      <c r="J16882"/>
    </row>
    <row r="16883" spans="10:10" x14ac:dyDescent="0.3">
      <c r="J16883"/>
    </row>
    <row r="16884" spans="10:10" x14ac:dyDescent="0.3">
      <c r="J16884"/>
    </row>
    <row r="16885" spans="10:10" x14ac:dyDescent="0.3">
      <c r="J16885"/>
    </row>
    <row r="16886" spans="10:10" x14ac:dyDescent="0.3">
      <c r="J16886"/>
    </row>
    <row r="16887" spans="10:10" x14ac:dyDescent="0.3">
      <c r="J16887"/>
    </row>
    <row r="16888" spans="10:10" x14ac:dyDescent="0.3">
      <c r="J16888"/>
    </row>
    <row r="16889" spans="10:10" x14ac:dyDescent="0.3">
      <c r="J16889"/>
    </row>
    <row r="16890" spans="10:10" x14ac:dyDescent="0.3">
      <c r="J16890"/>
    </row>
    <row r="16891" spans="10:10" x14ac:dyDescent="0.3">
      <c r="J16891"/>
    </row>
    <row r="16892" spans="10:10" x14ac:dyDescent="0.3">
      <c r="J16892"/>
    </row>
    <row r="16893" spans="10:10" x14ac:dyDescent="0.3">
      <c r="J16893"/>
    </row>
    <row r="16894" spans="10:10" x14ac:dyDescent="0.3">
      <c r="J16894"/>
    </row>
    <row r="16895" spans="10:10" x14ac:dyDescent="0.3">
      <c r="J16895"/>
    </row>
    <row r="16896" spans="10:10" x14ac:dyDescent="0.3">
      <c r="J16896"/>
    </row>
    <row r="16897" spans="10:10" x14ac:dyDescent="0.3">
      <c r="J16897"/>
    </row>
    <row r="16898" spans="10:10" x14ac:dyDescent="0.3">
      <c r="J16898"/>
    </row>
    <row r="16899" spans="10:10" x14ac:dyDescent="0.3">
      <c r="J16899"/>
    </row>
    <row r="16900" spans="10:10" x14ac:dyDescent="0.3">
      <c r="J16900"/>
    </row>
    <row r="16901" spans="10:10" x14ac:dyDescent="0.3">
      <c r="J16901"/>
    </row>
    <row r="16902" spans="10:10" x14ac:dyDescent="0.3">
      <c r="J16902"/>
    </row>
    <row r="16903" spans="10:10" x14ac:dyDescent="0.3">
      <c r="J16903"/>
    </row>
    <row r="16904" spans="10:10" x14ac:dyDescent="0.3">
      <c r="J16904"/>
    </row>
    <row r="16905" spans="10:10" x14ac:dyDescent="0.3">
      <c r="J16905"/>
    </row>
    <row r="16906" spans="10:10" x14ac:dyDescent="0.3">
      <c r="J16906"/>
    </row>
    <row r="16907" spans="10:10" x14ac:dyDescent="0.3">
      <c r="J16907"/>
    </row>
    <row r="16908" spans="10:10" x14ac:dyDescent="0.3">
      <c r="J16908"/>
    </row>
    <row r="16909" spans="10:10" x14ac:dyDescent="0.3">
      <c r="J16909"/>
    </row>
    <row r="16910" spans="10:10" x14ac:dyDescent="0.3">
      <c r="J16910"/>
    </row>
    <row r="16911" spans="10:10" x14ac:dyDescent="0.3">
      <c r="J16911"/>
    </row>
    <row r="16912" spans="10:10" x14ac:dyDescent="0.3">
      <c r="J16912"/>
    </row>
    <row r="16913" spans="10:10" x14ac:dyDescent="0.3">
      <c r="J16913"/>
    </row>
    <row r="16914" spans="10:10" x14ac:dyDescent="0.3">
      <c r="J16914"/>
    </row>
    <row r="16915" spans="10:10" x14ac:dyDescent="0.3">
      <c r="J16915"/>
    </row>
    <row r="16916" spans="10:10" x14ac:dyDescent="0.3">
      <c r="J16916"/>
    </row>
    <row r="16917" spans="10:10" x14ac:dyDescent="0.3">
      <c r="J16917"/>
    </row>
    <row r="16918" spans="10:10" x14ac:dyDescent="0.3">
      <c r="J16918"/>
    </row>
    <row r="16919" spans="10:10" x14ac:dyDescent="0.3">
      <c r="J16919"/>
    </row>
    <row r="16920" spans="10:10" x14ac:dyDescent="0.3">
      <c r="J16920"/>
    </row>
    <row r="16921" spans="10:10" x14ac:dyDescent="0.3">
      <c r="J16921"/>
    </row>
    <row r="16922" spans="10:10" x14ac:dyDescent="0.3">
      <c r="J16922"/>
    </row>
    <row r="16923" spans="10:10" x14ac:dyDescent="0.3">
      <c r="J16923"/>
    </row>
    <row r="16924" spans="10:10" x14ac:dyDescent="0.3">
      <c r="J16924"/>
    </row>
    <row r="16925" spans="10:10" x14ac:dyDescent="0.3">
      <c r="J16925"/>
    </row>
    <row r="16926" spans="10:10" x14ac:dyDescent="0.3">
      <c r="J16926"/>
    </row>
    <row r="16927" spans="10:10" x14ac:dyDescent="0.3">
      <c r="J16927"/>
    </row>
    <row r="16928" spans="10:10" x14ac:dyDescent="0.3">
      <c r="J16928"/>
    </row>
    <row r="16929" spans="10:10" x14ac:dyDescent="0.3">
      <c r="J16929"/>
    </row>
    <row r="16930" spans="10:10" x14ac:dyDescent="0.3">
      <c r="J16930"/>
    </row>
    <row r="16931" spans="10:10" x14ac:dyDescent="0.3">
      <c r="J16931"/>
    </row>
    <row r="16932" spans="10:10" x14ac:dyDescent="0.3">
      <c r="J16932"/>
    </row>
    <row r="16933" spans="10:10" x14ac:dyDescent="0.3">
      <c r="J16933"/>
    </row>
    <row r="16934" spans="10:10" x14ac:dyDescent="0.3">
      <c r="J16934"/>
    </row>
    <row r="16935" spans="10:10" x14ac:dyDescent="0.3">
      <c r="J16935"/>
    </row>
    <row r="16936" spans="10:10" x14ac:dyDescent="0.3">
      <c r="J16936"/>
    </row>
    <row r="16937" spans="10:10" x14ac:dyDescent="0.3">
      <c r="J16937"/>
    </row>
    <row r="16938" spans="10:10" x14ac:dyDescent="0.3">
      <c r="J16938"/>
    </row>
    <row r="16939" spans="10:10" x14ac:dyDescent="0.3">
      <c r="J16939"/>
    </row>
    <row r="16940" spans="10:10" x14ac:dyDescent="0.3">
      <c r="J16940"/>
    </row>
    <row r="16941" spans="10:10" x14ac:dyDescent="0.3">
      <c r="J16941"/>
    </row>
    <row r="16942" spans="10:10" x14ac:dyDescent="0.3">
      <c r="J16942"/>
    </row>
    <row r="16943" spans="10:10" x14ac:dyDescent="0.3">
      <c r="J16943"/>
    </row>
    <row r="16944" spans="10:10" x14ac:dyDescent="0.3">
      <c r="J16944"/>
    </row>
    <row r="16945" spans="10:10" x14ac:dyDescent="0.3">
      <c r="J16945"/>
    </row>
    <row r="16946" spans="10:10" x14ac:dyDescent="0.3">
      <c r="J16946"/>
    </row>
    <row r="16947" spans="10:10" x14ac:dyDescent="0.3">
      <c r="J16947"/>
    </row>
    <row r="16948" spans="10:10" x14ac:dyDescent="0.3">
      <c r="J16948"/>
    </row>
    <row r="16949" spans="10:10" x14ac:dyDescent="0.3">
      <c r="J16949"/>
    </row>
    <row r="16950" spans="10:10" x14ac:dyDescent="0.3">
      <c r="J16950"/>
    </row>
    <row r="16951" spans="10:10" x14ac:dyDescent="0.3">
      <c r="J16951"/>
    </row>
    <row r="16952" spans="10:10" x14ac:dyDescent="0.3">
      <c r="J16952"/>
    </row>
    <row r="16953" spans="10:10" x14ac:dyDescent="0.3">
      <c r="J16953"/>
    </row>
    <row r="16954" spans="10:10" x14ac:dyDescent="0.3">
      <c r="J16954"/>
    </row>
    <row r="16955" spans="10:10" x14ac:dyDescent="0.3">
      <c r="J16955"/>
    </row>
    <row r="16956" spans="10:10" x14ac:dyDescent="0.3">
      <c r="J16956"/>
    </row>
    <row r="16957" spans="10:10" x14ac:dyDescent="0.3">
      <c r="J16957"/>
    </row>
    <row r="16958" spans="10:10" x14ac:dyDescent="0.3">
      <c r="J16958"/>
    </row>
    <row r="16959" spans="10:10" x14ac:dyDescent="0.3">
      <c r="J16959"/>
    </row>
    <row r="16960" spans="10:10" x14ac:dyDescent="0.3">
      <c r="J16960"/>
    </row>
    <row r="16961" spans="10:10" x14ac:dyDescent="0.3">
      <c r="J16961"/>
    </row>
    <row r="16962" spans="10:10" x14ac:dyDescent="0.3">
      <c r="J16962"/>
    </row>
    <row r="16963" spans="10:10" x14ac:dyDescent="0.3">
      <c r="J16963"/>
    </row>
    <row r="16964" spans="10:10" x14ac:dyDescent="0.3">
      <c r="J16964"/>
    </row>
    <row r="16965" spans="10:10" x14ac:dyDescent="0.3">
      <c r="J16965"/>
    </row>
    <row r="16966" spans="10:10" x14ac:dyDescent="0.3">
      <c r="J16966"/>
    </row>
    <row r="16967" spans="10:10" x14ac:dyDescent="0.3">
      <c r="J16967"/>
    </row>
    <row r="16968" spans="10:10" x14ac:dyDescent="0.3">
      <c r="J16968"/>
    </row>
    <row r="16969" spans="10:10" x14ac:dyDescent="0.3">
      <c r="J16969"/>
    </row>
    <row r="16970" spans="10:10" x14ac:dyDescent="0.3">
      <c r="J16970"/>
    </row>
    <row r="16971" spans="10:10" x14ac:dyDescent="0.3">
      <c r="J16971"/>
    </row>
    <row r="16972" spans="10:10" x14ac:dyDescent="0.3">
      <c r="J16972"/>
    </row>
    <row r="16973" spans="10:10" x14ac:dyDescent="0.3">
      <c r="J16973"/>
    </row>
    <row r="16974" spans="10:10" x14ac:dyDescent="0.3">
      <c r="J16974"/>
    </row>
    <row r="16975" spans="10:10" x14ac:dyDescent="0.3">
      <c r="J16975"/>
    </row>
    <row r="16976" spans="10:10" x14ac:dyDescent="0.3">
      <c r="J16976"/>
    </row>
    <row r="16977" spans="10:10" x14ac:dyDescent="0.3">
      <c r="J16977"/>
    </row>
    <row r="16978" spans="10:10" x14ac:dyDescent="0.3">
      <c r="J16978"/>
    </row>
    <row r="16979" spans="10:10" x14ac:dyDescent="0.3">
      <c r="J16979"/>
    </row>
    <row r="16980" spans="10:10" x14ac:dyDescent="0.3">
      <c r="J16980"/>
    </row>
    <row r="16981" spans="10:10" x14ac:dyDescent="0.3">
      <c r="J16981"/>
    </row>
    <row r="16982" spans="10:10" x14ac:dyDescent="0.3">
      <c r="J16982"/>
    </row>
    <row r="16983" spans="10:10" x14ac:dyDescent="0.3">
      <c r="J16983"/>
    </row>
    <row r="16984" spans="10:10" x14ac:dyDescent="0.3">
      <c r="J16984"/>
    </row>
    <row r="16985" spans="10:10" x14ac:dyDescent="0.3">
      <c r="J16985"/>
    </row>
    <row r="16986" spans="10:10" x14ac:dyDescent="0.3">
      <c r="J16986"/>
    </row>
    <row r="16987" spans="10:10" x14ac:dyDescent="0.3">
      <c r="J16987"/>
    </row>
    <row r="16988" spans="10:10" x14ac:dyDescent="0.3">
      <c r="J16988"/>
    </row>
    <row r="16989" spans="10:10" x14ac:dyDescent="0.3">
      <c r="J16989"/>
    </row>
    <row r="16990" spans="10:10" x14ac:dyDescent="0.3">
      <c r="J16990"/>
    </row>
    <row r="16991" spans="10:10" x14ac:dyDescent="0.3">
      <c r="J16991"/>
    </row>
    <row r="16992" spans="10:10" x14ac:dyDescent="0.3">
      <c r="J16992"/>
    </row>
    <row r="16993" spans="10:10" x14ac:dyDescent="0.3">
      <c r="J16993"/>
    </row>
    <row r="16994" spans="10:10" x14ac:dyDescent="0.3">
      <c r="J16994"/>
    </row>
    <row r="16995" spans="10:10" x14ac:dyDescent="0.3">
      <c r="J16995"/>
    </row>
    <row r="16996" spans="10:10" x14ac:dyDescent="0.3">
      <c r="J16996"/>
    </row>
    <row r="16997" spans="10:10" x14ac:dyDescent="0.3">
      <c r="J16997"/>
    </row>
    <row r="16998" spans="10:10" x14ac:dyDescent="0.3">
      <c r="J16998"/>
    </row>
    <row r="16999" spans="10:10" x14ac:dyDescent="0.3">
      <c r="J16999"/>
    </row>
    <row r="17000" spans="10:10" x14ac:dyDescent="0.3">
      <c r="J17000"/>
    </row>
    <row r="17001" spans="10:10" x14ac:dyDescent="0.3">
      <c r="J17001"/>
    </row>
    <row r="17002" spans="10:10" x14ac:dyDescent="0.3">
      <c r="J17002"/>
    </row>
    <row r="17003" spans="10:10" x14ac:dyDescent="0.3">
      <c r="J17003"/>
    </row>
    <row r="17004" spans="10:10" x14ac:dyDescent="0.3">
      <c r="J17004"/>
    </row>
    <row r="17005" spans="10:10" x14ac:dyDescent="0.3">
      <c r="J17005"/>
    </row>
    <row r="17006" spans="10:10" x14ac:dyDescent="0.3">
      <c r="J17006"/>
    </row>
    <row r="17007" spans="10:10" x14ac:dyDescent="0.3">
      <c r="J17007"/>
    </row>
    <row r="17008" spans="10:10" x14ac:dyDescent="0.3">
      <c r="J17008"/>
    </row>
    <row r="17009" spans="10:10" x14ac:dyDescent="0.3">
      <c r="J17009"/>
    </row>
    <row r="17010" spans="10:10" x14ac:dyDescent="0.3">
      <c r="J17010"/>
    </row>
    <row r="17011" spans="10:10" x14ac:dyDescent="0.3">
      <c r="J17011"/>
    </row>
    <row r="17012" spans="10:10" x14ac:dyDescent="0.3">
      <c r="J17012"/>
    </row>
    <row r="17013" spans="10:10" x14ac:dyDescent="0.3">
      <c r="J17013"/>
    </row>
    <row r="17014" spans="10:10" x14ac:dyDescent="0.3">
      <c r="J17014"/>
    </row>
    <row r="17015" spans="10:10" x14ac:dyDescent="0.3">
      <c r="J17015"/>
    </row>
    <row r="17016" spans="10:10" x14ac:dyDescent="0.3">
      <c r="J17016"/>
    </row>
    <row r="17017" spans="10:10" x14ac:dyDescent="0.3">
      <c r="J17017"/>
    </row>
    <row r="17018" spans="10:10" x14ac:dyDescent="0.3">
      <c r="J17018"/>
    </row>
    <row r="17019" spans="10:10" x14ac:dyDescent="0.3">
      <c r="J17019"/>
    </row>
    <row r="17020" spans="10:10" x14ac:dyDescent="0.3">
      <c r="J17020"/>
    </row>
    <row r="17021" spans="10:10" x14ac:dyDescent="0.3">
      <c r="J17021"/>
    </row>
    <row r="17022" spans="10:10" x14ac:dyDescent="0.3">
      <c r="J17022"/>
    </row>
    <row r="17023" spans="10:10" x14ac:dyDescent="0.3">
      <c r="J17023"/>
    </row>
    <row r="17024" spans="10:10" x14ac:dyDescent="0.3">
      <c r="J17024"/>
    </row>
    <row r="17025" spans="10:10" x14ac:dyDescent="0.3">
      <c r="J17025"/>
    </row>
    <row r="17026" spans="10:10" x14ac:dyDescent="0.3">
      <c r="J17026"/>
    </row>
    <row r="17027" spans="10:10" x14ac:dyDescent="0.3">
      <c r="J17027"/>
    </row>
    <row r="17028" spans="10:10" x14ac:dyDescent="0.3">
      <c r="J17028"/>
    </row>
    <row r="17029" spans="10:10" x14ac:dyDescent="0.3">
      <c r="J17029"/>
    </row>
    <row r="17030" spans="10:10" x14ac:dyDescent="0.3">
      <c r="J17030"/>
    </row>
    <row r="17031" spans="10:10" x14ac:dyDescent="0.3">
      <c r="J17031"/>
    </row>
    <row r="17032" spans="10:10" x14ac:dyDescent="0.3">
      <c r="J17032"/>
    </row>
    <row r="17033" spans="10:10" x14ac:dyDescent="0.3">
      <c r="J17033"/>
    </row>
    <row r="17034" spans="10:10" x14ac:dyDescent="0.3">
      <c r="J17034"/>
    </row>
    <row r="17035" spans="10:10" x14ac:dyDescent="0.3">
      <c r="J17035"/>
    </row>
    <row r="17036" spans="10:10" x14ac:dyDescent="0.3">
      <c r="J17036"/>
    </row>
    <row r="17037" spans="10:10" x14ac:dyDescent="0.3">
      <c r="J17037"/>
    </row>
    <row r="17038" spans="10:10" x14ac:dyDescent="0.3">
      <c r="J17038"/>
    </row>
    <row r="17039" spans="10:10" x14ac:dyDescent="0.3">
      <c r="J17039"/>
    </row>
    <row r="17040" spans="10:10" x14ac:dyDescent="0.3">
      <c r="J17040"/>
    </row>
    <row r="17041" spans="10:10" x14ac:dyDescent="0.3">
      <c r="J17041"/>
    </row>
    <row r="17042" spans="10:10" x14ac:dyDescent="0.3">
      <c r="J17042"/>
    </row>
    <row r="17043" spans="10:10" x14ac:dyDescent="0.3">
      <c r="J17043"/>
    </row>
    <row r="17044" spans="10:10" x14ac:dyDescent="0.3">
      <c r="J17044"/>
    </row>
    <row r="17045" spans="10:10" x14ac:dyDescent="0.3">
      <c r="J17045"/>
    </row>
    <row r="17046" spans="10:10" x14ac:dyDescent="0.3">
      <c r="J17046"/>
    </row>
    <row r="17047" spans="10:10" x14ac:dyDescent="0.3">
      <c r="J17047"/>
    </row>
    <row r="17048" spans="10:10" x14ac:dyDescent="0.3">
      <c r="J17048"/>
    </row>
    <row r="17049" spans="10:10" x14ac:dyDescent="0.3">
      <c r="J17049"/>
    </row>
    <row r="17050" spans="10:10" x14ac:dyDescent="0.3">
      <c r="J17050"/>
    </row>
    <row r="17051" spans="10:10" x14ac:dyDescent="0.3">
      <c r="J17051"/>
    </row>
    <row r="17052" spans="10:10" x14ac:dyDescent="0.3">
      <c r="J17052"/>
    </row>
    <row r="17053" spans="10:10" x14ac:dyDescent="0.3">
      <c r="J17053"/>
    </row>
    <row r="17054" spans="10:10" x14ac:dyDescent="0.3">
      <c r="J17054"/>
    </row>
    <row r="17055" spans="10:10" x14ac:dyDescent="0.3">
      <c r="J17055"/>
    </row>
    <row r="17056" spans="10:10" x14ac:dyDescent="0.3">
      <c r="J17056"/>
    </row>
    <row r="17057" spans="10:10" x14ac:dyDescent="0.3">
      <c r="J17057"/>
    </row>
    <row r="17058" spans="10:10" x14ac:dyDescent="0.3">
      <c r="J17058"/>
    </row>
    <row r="17059" spans="10:10" x14ac:dyDescent="0.3">
      <c r="J17059"/>
    </row>
    <row r="17060" spans="10:10" x14ac:dyDescent="0.3">
      <c r="J17060"/>
    </row>
    <row r="17061" spans="10:10" x14ac:dyDescent="0.3">
      <c r="J17061"/>
    </row>
    <row r="17062" spans="10:10" x14ac:dyDescent="0.3">
      <c r="J17062"/>
    </row>
    <row r="17063" spans="10:10" x14ac:dyDescent="0.3">
      <c r="J17063"/>
    </row>
    <row r="17064" spans="10:10" x14ac:dyDescent="0.3">
      <c r="J17064"/>
    </row>
    <row r="17065" spans="10:10" x14ac:dyDescent="0.3">
      <c r="J17065"/>
    </row>
    <row r="17066" spans="10:10" x14ac:dyDescent="0.3">
      <c r="J17066"/>
    </row>
    <row r="17067" spans="10:10" x14ac:dyDescent="0.3">
      <c r="J17067"/>
    </row>
    <row r="17068" spans="10:10" x14ac:dyDescent="0.3">
      <c r="J17068"/>
    </row>
    <row r="17069" spans="10:10" x14ac:dyDescent="0.3">
      <c r="J17069"/>
    </row>
    <row r="17070" spans="10:10" x14ac:dyDescent="0.3">
      <c r="J17070"/>
    </row>
    <row r="17071" spans="10:10" x14ac:dyDescent="0.3">
      <c r="J17071"/>
    </row>
    <row r="17072" spans="10:10" x14ac:dyDescent="0.3">
      <c r="J17072"/>
    </row>
    <row r="17073" spans="10:10" x14ac:dyDescent="0.3">
      <c r="J17073"/>
    </row>
    <row r="17074" spans="10:10" x14ac:dyDescent="0.3">
      <c r="J17074"/>
    </row>
    <row r="17075" spans="10:10" x14ac:dyDescent="0.3">
      <c r="J17075"/>
    </row>
    <row r="17076" spans="10:10" x14ac:dyDescent="0.3">
      <c r="J17076"/>
    </row>
    <row r="17077" spans="10:10" x14ac:dyDescent="0.3">
      <c r="J17077"/>
    </row>
    <row r="17078" spans="10:10" x14ac:dyDescent="0.3">
      <c r="J17078"/>
    </row>
    <row r="17079" spans="10:10" x14ac:dyDescent="0.3">
      <c r="J17079"/>
    </row>
    <row r="17080" spans="10:10" x14ac:dyDescent="0.3">
      <c r="J17080"/>
    </row>
    <row r="17081" spans="10:10" x14ac:dyDescent="0.3">
      <c r="J17081"/>
    </row>
    <row r="17082" spans="10:10" x14ac:dyDescent="0.3">
      <c r="J17082"/>
    </row>
    <row r="17083" spans="10:10" x14ac:dyDescent="0.3">
      <c r="J17083"/>
    </row>
    <row r="17084" spans="10:10" x14ac:dyDescent="0.3">
      <c r="J17084"/>
    </row>
    <row r="17085" spans="10:10" x14ac:dyDescent="0.3">
      <c r="J17085"/>
    </row>
    <row r="17086" spans="10:10" x14ac:dyDescent="0.3">
      <c r="J17086"/>
    </row>
    <row r="17087" spans="10:10" x14ac:dyDescent="0.3">
      <c r="J17087"/>
    </row>
    <row r="17088" spans="10:10" x14ac:dyDescent="0.3">
      <c r="J17088"/>
    </row>
    <row r="17089" spans="10:10" x14ac:dyDescent="0.3">
      <c r="J17089"/>
    </row>
    <row r="17090" spans="10:10" x14ac:dyDescent="0.3">
      <c r="J17090"/>
    </row>
    <row r="17091" spans="10:10" x14ac:dyDescent="0.3">
      <c r="J17091"/>
    </row>
    <row r="17092" spans="10:10" x14ac:dyDescent="0.3">
      <c r="J17092"/>
    </row>
    <row r="17093" spans="10:10" x14ac:dyDescent="0.3">
      <c r="J17093"/>
    </row>
    <row r="17094" spans="10:10" x14ac:dyDescent="0.3">
      <c r="J17094"/>
    </row>
    <row r="17095" spans="10:10" x14ac:dyDescent="0.3">
      <c r="J17095"/>
    </row>
    <row r="17096" spans="10:10" x14ac:dyDescent="0.3">
      <c r="J17096"/>
    </row>
    <row r="17097" spans="10:10" x14ac:dyDescent="0.3">
      <c r="J17097"/>
    </row>
    <row r="17098" spans="10:10" x14ac:dyDescent="0.3">
      <c r="J17098"/>
    </row>
    <row r="17099" spans="10:10" x14ac:dyDescent="0.3">
      <c r="J17099"/>
    </row>
    <row r="17100" spans="10:10" x14ac:dyDescent="0.3">
      <c r="J17100"/>
    </row>
    <row r="17101" spans="10:10" x14ac:dyDescent="0.3">
      <c r="J17101"/>
    </row>
    <row r="17102" spans="10:10" x14ac:dyDescent="0.3">
      <c r="J17102"/>
    </row>
    <row r="17103" spans="10:10" x14ac:dyDescent="0.3">
      <c r="J17103"/>
    </row>
    <row r="17104" spans="10:10" x14ac:dyDescent="0.3">
      <c r="J17104"/>
    </row>
    <row r="17105" spans="10:10" x14ac:dyDescent="0.3">
      <c r="J17105"/>
    </row>
    <row r="17106" spans="10:10" x14ac:dyDescent="0.3">
      <c r="J17106"/>
    </row>
    <row r="17107" spans="10:10" x14ac:dyDescent="0.3">
      <c r="J17107"/>
    </row>
    <row r="17108" spans="10:10" x14ac:dyDescent="0.3">
      <c r="J17108"/>
    </row>
    <row r="17109" spans="10:10" x14ac:dyDescent="0.3">
      <c r="J17109"/>
    </row>
    <row r="17110" spans="10:10" x14ac:dyDescent="0.3">
      <c r="J17110"/>
    </row>
    <row r="17111" spans="10:10" x14ac:dyDescent="0.3">
      <c r="J17111"/>
    </row>
    <row r="17112" spans="10:10" x14ac:dyDescent="0.3">
      <c r="J17112"/>
    </row>
    <row r="17113" spans="10:10" x14ac:dyDescent="0.3">
      <c r="J17113"/>
    </row>
    <row r="17114" spans="10:10" x14ac:dyDescent="0.3">
      <c r="J17114"/>
    </row>
    <row r="17115" spans="10:10" x14ac:dyDescent="0.3">
      <c r="J17115"/>
    </row>
    <row r="17116" spans="10:10" x14ac:dyDescent="0.3">
      <c r="J17116"/>
    </row>
    <row r="17117" spans="10:10" x14ac:dyDescent="0.3">
      <c r="J17117"/>
    </row>
    <row r="17118" spans="10:10" x14ac:dyDescent="0.3">
      <c r="J17118"/>
    </row>
    <row r="17119" spans="10:10" x14ac:dyDescent="0.3">
      <c r="J17119"/>
    </row>
    <row r="17120" spans="10:10" x14ac:dyDescent="0.3">
      <c r="J17120"/>
    </row>
    <row r="17121" spans="10:10" x14ac:dyDescent="0.3">
      <c r="J17121"/>
    </row>
    <row r="17122" spans="10:10" x14ac:dyDescent="0.3">
      <c r="J17122"/>
    </row>
    <row r="17123" spans="10:10" x14ac:dyDescent="0.3">
      <c r="J17123"/>
    </row>
    <row r="17124" spans="10:10" x14ac:dyDescent="0.3">
      <c r="J17124"/>
    </row>
    <row r="17125" spans="10:10" x14ac:dyDescent="0.3">
      <c r="J17125"/>
    </row>
    <row r="17126" spans="10:10" x14ac:dyDescent="0.3">
      <c r="J17126"/>
    </row>
    <row r="17127" spans="10:10" x14ac:dyDescent="0.3">
      <c r="J17127"/>
    </row>
    <row r="17128" spans="10:10" x14ac:dyDescent="0.3">
      <c r="J17128"/>
    </row>
    <row r="17129" spans="10:10" x14ac:dyDescent="0.3">
      <c r="J17129"/>
    </row>
    <row r="17130" spans="10:10" x14ac:dyDescent="0.3">
      <c r="J17130"/>
    </row>
    <row r="17131" spans="10:10" x14ac:dyDescent="0.3">
      <c r="J17131"/>
    </row>
    <row r="17132" spans="10:10" x14ac:dyDescent="0.3">
      <c r="J17132"/>
    </row>
    <row r="17133" spans="10:10" x14ac:dyDescent="0.3">
      <c r="J17133"/>
    </row>
    <row r="17134" spans="10:10" x14ac:dyDescent="0.3">
      <c r="J17134"/>
    </row>
    <row r="17135" spans="10:10" x14ac:dyDescent="0.3">
      <c r="J17135"/>
    </row>
    <row r="17136" spans="10:10" x14ac:dyDescent="0.3">
      <c r="J17136"/>
    </row>
    <row r="17137" spans="10:10" x14ac:dyDescent="0.3">
      <c r="J17137"/>
    </row>
    <row r="17138" spans="10:10" x14ac:dyDescent="0.3">
      <c r="J17138"/>
    </row>
    <row r="17139" spans="10:10" x14ac:dyDescent="0.3">
      <c r="J17139"/>
    </row>
    <row r="17140" spans="10:10" x14ac:dyDescent="0.3">
      <c r="J17140"/>
    </row>
    <row r="17141" spans="10:10" x14ac:dyDescent="0.3">
      <c r="J17141"/>
    </row>
    <row r="17142" spans="10:10" x14ac:dyDescent="0.3">
      <c r="J17142"/>
    </row>
    <row r="17143" spans="10:10" x14ac:dyDescent="0.3">
      <c r="J17143"/>
    </row>
    <row r="17144" spans="10:10" x14ac:dyDescent="0.3">
      <c r="J17144"/>
    </row>
    <row r="17145" spans="10:10" x14ac:dyDescent="0.3">
      <c r="J17145"/>
    </row>
    <row r="17146" spans="10:10" x14ac:dyDescent="0.3">
      <c r="J17146"/>
    </row>
    <row r="17147" spans="10:10" x14ac:dyDescent="0.3">
      <c r="J17147"/>
    </row>
    <row r="17148" spans="10:10" x14ac:dyDescent="0.3">
      <c r="J17148"/>
    </row>
    <row r="17149" spans="10:10" x14ac:dyDescent="0.3">
      <c r="J17149"/>
    </row>
    <row r="17150" spans="10:10" x14ac:dyDescent="0.3">
      <c r="J17150"/>
    </row>
    <row r="17151" spans="10:10" x14ac:dyDescent="0.3">
      <c r="J17151"/>
    </row>
    <row r="17152" spans="10:10" x14ac:dyDescent="0.3">
      <c r="J17152"/>
    </row>
    <row r="17153" spans="10:10" x14ac:dyDescent="0.3">
      <c r="J17153"/>
    </row>
    <row r="17154" spans="10:10" x14ac:dyDescent="0.3">
      <c r="J17154"/>
    </row>
    <row r="17155" spans="10:10" x14ac:dyDescent="0.3">
      <c r="J17155"/>
    </row>
    <row r="17156" spans="10:10" x14ac:dyDescent="0.3">
      <c r="J17156"/>
    </row>
    <row r="17157" spans="10:10" x14ac:dyDescent="0.3">
      <c r="J17157"/>
    </row>
    <row r="17158" spans="10:10" x14ac:dyDescent="0.3">
      <c r="J17158"/>
    </row>
    <row r="17159" spans="10:10" x14ac:dyDescent="0.3">
      <c r="J17159"/>
    </row>
    <row r="17160" spans="10:10" x14ac:dyDescent="0.3">
      <c r="J17160"/>
    </row>
    <row r="17161" spans="10:10" x14ac:dyDescent="0.3">
      <c r="J17161"/>
    </row>
    <row r="17162" spans="10:10" x14ac:dyDescent="0.3">
      <c r="J17162"/>
    </row>
    <row r="17163" spans="10:10" x14ac:dyDescent="0.3">
      <c r="J17163"/>
    </row>
    <row r="17164" spans="10:10" x14ac:dyDescent="0.3">
      <c r="J17164"/>
    </row>
    <row r="17165" spans="10:10" x14ac:dyDescent="0.3">
      <c r="J17165"/>
    </row>
    <row r="17166" spans="10:10" x14ac:dyDescent="0.3">
      <c r="J17166"/>
    </row>
    <row r="17167" spans="10:10" x14ac:dyDescent="0.3">
      <c r="J17167"/>
    </row>
    <row r="17168" spans="10:10" x14ac:dyDescent="0.3">
      <c r="J17168"/>
    </row>
    <row r="17169" spans="10:10" x14ac:dyDescent="0.3">
      <c r="J17169"/>
    </row>
    <row r="17170" spans="10:10" x14ac:dyDescent="0.3">
      <c r="J17170"/>
    </row>
    <row r="17171" spans="10:10" x14ac:dyDescent="0.3">
      <c r="J17171"/>
    </row>
    <row r="17172" spans="10:10" x14ac:dyDescent="0.3">
      <c r="J17172"/>
    </row>
    <row r="17173" spans="10:10" x14ac:dyDescent="0.3">
      <c r="J17173"/>
    </row>
    <row r="17174" spans="10:10" x14ac:dyDescent="0.3">
      <c r="J17174"/>
    </row>
    <row r="17175" spans="10:10" x14ac:dyDescent="0.3">
      <c r="J17175"/>
    </row>
    <row r="17176" spans="10:10" x14ac:dyDescent="0.3">
      <c r="J17176"/>
    </row>
    <row r="17177" spans="10:10" x14ac:dyDescent="0.3">
      <c r="J17177"/>
    </row>
    <row r="17178" spans="10:10" x14ac:dyDescent="0.3">
      <c r="J17178"/>
    </row>
    <row r="17179" spans="10:10" x14ac:dyDescent="0.3">
      <c r="J17179"/>
    </row>
    <row r="17180" spans="10:10" x14ac:dyDescent="0.3">
      <c r="J17180"/>
    </row>
    <row r="17181" spans="10:10" x14ac:dyDescent="0.3">
      <c r="J17181"/>
    </row>
    <row r="17182" spans="10:10" x14ac:dyDescent="0.3">
      <c r="J17182"/>
    </row>
    <row r="17183" spans="10:10" x14ac:dyDescent="0.3">
      <c r="J17183"/>
    </row>
    <row r="17184" spans="10:10" x14ac:dyDescent="0.3">
      <c r="J17184"/>
    </row>
    <row r="17185" spans="10:10" x14ac:dyDescent="0.3">
      <c r="J17185"/>
    </row>
    <row r="17186" spans="10:10" x14ac:dyDescent="0.3">
      <c r="J17186"/>
    </row>
    <row r="17187" spans="10:10" x14ac:dyDescent="0.3">
      <c r="J17187"/>
    </row>
    <row r="17188" spans="10:10" x14ac:dyDescent="0.3">
      <c r="J17188"/>
    </row>
    <row r="17189" spans="10:10" x14ac:dyDescent="0.3">
      <c r="J17189"/>
    </row>
    <row r="17190" spans="10:10" x14ac:dyDescent="0.3">
      <c r="J17190"/>
    </row>
    <row r="17191" spans="10:10" x14ac:dyDescent="0.3">
      <c r="J17191"/>
    </row>
    <row r="17192" spans="10:10" x14ac:dyDescent="0.3">
      <c r="J17192"/>
    </row>
    <row r="17193" spans="10:10" x14ac:dyDescent="0.3">
      <c r="J17193"/>
    </row>
    <row r="17194" spans="10:10" x14ac:dyDescent="0.3">
      <c r="J17194"/>
    </row>
    <row r="17195" spans="10:10" x14ac:dyDescent="0.3">
      <c r="J17195"/>
    </row>
    <row r="17196" spans="10:10" x14ac:dyDescent="0.3">
      <c r="J17196"/>
    </row>
    <row r="17197" spans="10:10" x14ac:dyDescent="0.3">
      <c r="J17197"/>
    </row>
    <row r="17198" spans="10:10" x14ac:dyDescent="0.3">
      <c r="J17198"/>
    </row>
    <row r="17199" spans="10:10" x14ac:dyDescent="0.3">
      <c r="J17199"/>
    </row>
    <row r="17200" spans="10:10" x14ac:dyDescent="0.3">
      <c r="J17200"/>
    </row>
    <row r="17201" spans="10:10" x14ac:dyDescent="0.3">
      <c r="J17201"/>
    </row>
    <row r="17202" spans="10:10" x14ac:dyDescent="0.3">
      <c r="J17202"/>
    </row>
    <row r="17203" spans="10:10" x14ac:dyDescent="0.3">
      <c r="J17203"/>
    </row>
    <row r="17204" spans="10:10" x14ac:dyDescent="0.3">
      <c r="J17204"/>
    </row>
    <row r="17205" spans="10:10" x14ac:dyDescent="0.3">
      <c r="J17205"/>
    </row>
    <row r="17206" spans="10:10" x14ac:dyDescent="0.3">
      <c r="J17206"/>
    </row>
    <row r="17207" spans="10:10" x14ac:dyDescent="0.3">
      <c r="J17207"/>
    </row>
    <row r="17208" spans="10:10" x14ac:dyDescent="0.3">
      <c r="J17208"/>
    </row>
    <row r="17209" spans="10:10" x14ac:dyDescent="0.3">
      <c r="J17209"/>
    </row>
    <row r="17210" spans="10:10" x14ac:dyDescent="0.3">
      <c r="J17210"/>
    </row>
    <row r="17211" spans="10:10" x14ac:dyDescent="0.3">
      <c r="J17211"/>
    </row>
    <row r="17212" spans="10:10" x14ac:dyDescent="0.3">
      <c r="J17212"/>
    </row>
    <row r="17213" spans="10:10" x14ac:dyDescent="0.3">
      <c r="J17213"/>
    </row>
    <row r="17214" spans="10:10" x14ac:dyDescent="0.3">
      <c r="J17214"/>
    </row>
    <row r="17215" spans="10:10" x14ac:dyDescent="0.3">
      <c r="J17215"/>
    </row>
    <row r="17216" spans="10:10" x14ac:dyDescent="0.3">
      <c r="J17216"/>
    </row>
    <row r="17217" spans="10:10" x14ac:dyDescent="0.3">
      <c r="J17217"/>
    </row>
    <row r="17218" spans="10:10" x14ac:dyDescent="0.3">
      <c r="J17218"/>
    </row>
    <row r="17219" spans="10:10" x14ac:dyDescent="0.3">
      <c r="J17219"/>
    </row>
    <row r="17220" spans="10:10" x14ac:dyDescent="0.3">
      <c r="J17220"/>
    </row>
    <row r="17221" spans="10:10" x14ac:dyDescent="0.3">
      <c r="J17221"/>
    </row>
    <row r="17222" spans="10:10" x14ac:dyDescent="0.3">
      <c r="J17222"/>
    </row>
    <row r="17223" spans="10:10" x14ac:dyDescent="0.3">
      <c r="J17223"/>
    </row>
    <row r="17224" spans="10:10" x14ac:dyDescent="0.3">
      <c r="J17224"/>
    </row>
    <row r="17225" spans="10:10" x14ac:dyDescent="0.3">
      <c r="J17225"/>
    </row>
    <row r="17226" spans="10:10" x14ac:dyDescent="0.3">
      <c r="J17226"/>
    </row>
    <row r="17227" spans="10:10" x14ac:dyDescent="0.3">
      <c r="J17227"/>
    </row>
    <row r="17228" spans="10:10" x14ac:dyDescent="0.3">
      <c r="J17228"/>
    </row>
    <row r="17229" spans="10:10" x14ac:dyDescent="0.3">
      <c r="J17229"/>
    </row>
    <row r="17230" spans="10:10" x14ac:dyDescent="0.3">
      <c r="J17230"/>
    </row>
    <row r="17231" spans="10:10" x14ac:dyDescent="0.3">
      <c r="J17231"/>
    </row>
    <row r="17232" spans="10:10" x14ac:dyDescent="0.3">
      <c r="J17232"/>
    </row>
    <row r="17233" spans="10:10" x14ac:dyDescent="0.3">
      <c r="J17233"/>
    </row>
    <row r="17234" spans="10:10" x14ac:dyDescent="0.3">
      <c r="J17234"/>
    </row>
    <row r="17235" spans="10:10" x14ac:dyDescent="0.3">
      <c r="J17235"/>
    </row>
    <row r="17236" spans="10:10" x14ac:dyDescent="0.3">
      <c r="J17236"/>
    </row>
    <row r="17237" spans="10:10" x14ac:dyDescent="0.3">
      <c r="J17237"/>
    </row>
    <row r="17238" spans="10:10" x14ac:dyDescent="0.3">
      <c r="J17238"/>
    </row>
    <row r="17239" spans="10:10" x14ac:dyDescent="0.3">
      <c r="J17239"/>
    </row>
    <row r="17240" spans="10:10" x14ac:dyDescent="0.3">
      <c r="J17240"/>
    </row>
    <row r="17241" spans="10:10" x14ac:dyDescent="0.3">
      <c r="J17241"/>
    </row>
    <row r="17242" spans="10:10" x14ac:dyDescent="0.3">
      <c r="J17242"/>
    </row>
    <row r="17243" spans="10:10" x14ac:dyDescent="0.3">
      <c r="J17243"/>
    </row>
    <row r="17244" spans="10:10" x14ac:dyDescent="0.3">
      <c r="J17244"/>
    </row>
    <row r="17245" spans="10:10" x14ac:dyDescent="0.3">
      <c r="J17245"/>
    </row>
    <row r="17246" spans="10:10" x14ac:dyDescent="0.3">
      <c r="J17246"/>
    </row>
    <row r="17247" spans="10:10" x14ac:dyDescent="0.3">
      <c r="J17247"/>
    </row>
    <row r="17248" spans="10:10" x14ac:dyDescent="0.3">
      <c r="J17248"/>
    </row>
    <row r="17249" spans="10:10" x14ac:dyDescent="0.3">
      <c r="J17249"/>
    </row>
    <row r="17250" spans="10:10" x14ac:dyDescent="0.3">
      <c r="J17250"/>
    </row>
    <row r="17251" spans="10:10" x14ac:dyDescent="0.3">
      <c r="J17251"/>
    </row>
    <row r="17252" spans="10:10" x14ac:dyDescent="0.3">
      <c r="J17252"/>
    </row>
    <row r="17253" spans="10:10" x14ac:dyDescent="0.3">
      <c r="J17253"/>
    </row>
    <row r="17254" spans="10:10" x14ac:dyDescent="0.3">
      <c r="J17254"/>
    </row>
    <row r="17255" spans="10:10" x14ac:dyDescent="0.3">
      <c r="J17255"/>
    </row>
    <row r="17256" spans="10:10" x14ac:dyDescent="0.3">
      <c r="J17256"/>
    </row>
    <row r="17257" spans="10:10" x14ac:dyDescent="0.3">
      <c r="J17257"/>
    </row>
    <row r="17258" spans="10:10" x14ac:dyDescent="0.3">
      <c r="J17258"/>
    </row>
    <row r="17259" spans="10:10" x14ac:dyDescent="0.3">
      <c r="J17259"/>
    </row>
    <row r="17260" spans="10:10" x14ac:dyDescent="0.3">
      <c r="J17260"/>
    </row>
    <row r="17261" spans="10:10" x14ac:dyDescent="0.3">
      <c r="J17261"/>
    </row>
    <row r="17262" spans="10:10" x14ac:dyDescent="0.3">
      <c r="J17262"/>
    </row>
    <row r="17263" spans="10:10" x14ac:dyDescent="0.3">
      <c r="J17263"/>
    </row>
    <row r="17264" spans="10:10" x14ac:dyDescent="0.3">
      <c r="J17264"/>
    </row>
    <row r="17265" spans="10:10" x14ac:dyDescent="0.3">
      <c r="J17265"/>
    </row>
    <row r="17266" spans="10:10" x14ac:dyDescent="0.3">
      <c r="J17266"/>
    </row>
    <row r="17267" spans="10:10" x14ac:dyDescent="0.3">
      <c r="J17267"/>
    </row>
    <row r="17268" spans="10:10" x14ac:dyDescent="0.3">
      <c r="J17268"/>
    </row>
    <row r="17269" spans="10:10" x14ac:dyDescent="0.3">
      <c r="J17269"/>
    </row>
    <row r="17270" spans="10:10" x14ac:dyDescent="0.3">
      <c r="J17270"/>
    </row>
    <row r="17271" spans="10:10" x14ac:dyDescent="0.3">
      <c r="J17271"/>
    </row>
    <row r="17272" spans="10:10" x14ac:dyDescent="0.3">
      <c r="J17272"/>
    </row>
    <row r="17273" spans="10:10" x14ac:dyDescent="0.3">
      <c r="J17273"/>
    </row>
    <row r="17274" spans="10:10" x14ac:dyDescent="0.3">
      <c r="J17274"/>
    </row>
    <row r="17275" spans="10:10" x14ac:dyDescent="0.3">
      <c r="J17275"/>
    </row>
    <row r="17276" spans="10:10" x14ac:dyDescent="0.3">
      <c r="J17276"/>
    </row>
    <row r="17277" spans="10:10" x14ac:dyDescent="0.3">
      <c r="J17277"/>
    </row>
    <row r="17278" spans="10:10" x14ac:dyDescent="0.3">
      <c r="J17278"/>
    </row>
    <row r="17279" spans="10:10" x14ac:dyDescent="0.3">
      <c r="J17279"/>
    </row>
    <row r="17280" spans="10:10" x14ac:dyDescent="0.3">
      <c r="J17280"/>
    </row>
    <row r="17281" spans="10:10" x14ac:dyDescent="0.3">
      <c r="J17281"/>
    </row>
    <row r="17282" spans="10:10" x14ac:dyDescent="0.3">
      <c r="J17282"/>
    </row>
    <row r="17283" spans="10:10" x14ac:dyDescent="0.3">
      <c r="J17283"/>
    </row>
    <row r="17284" spans="10:10" x14ac:dyDescent="0.3">
      <c r="J17284"/>
    </row>
    <row r="17285" spans="10:10" x14ac:dyDescent="0.3">
      <c r="J17285"/>
    </row>
    <row r="17286" spans="10:10" x14ac:dyDescent="0.3">
      <c r="J17286"/>
    </row>
    <row r="17287" spans="10:10" x14ac:dyDescent="0.3">
      <c r="J17287"/>
    </row>
    <row r="17288" spans="10:10" x14ac:dyDescent="0.3">
      <c r="J17288"/>
    </row>
    <row r="17289" spans="10:10" x14ac:dyDescent="0.3">
      <c r="J17289"/>
    </row>
    <row r="17290" spans="10:10" x14ac:dyDescent="0.3">
      <c r="J17290"/>
    </row>
    <row r="17291" spans="10:10" x14ac:dyDescent="0.3">
      <c r="J17291"/>
    </row>
    <row r="17292" spans="10:10" x14ac:dyDescent="0.3">
      <c r="J17292"/>
    </row>
    <row r="17293" spans="10:10" x14ac:dyDescent="0.3">
      <c r="J17293"/>
    </row>
    <row r="17294" spans="10:10" x14ac:dyDescent="0.3">
      <c r="J17294"/>
    </row>
    <row r="17295" spans="10:10" x14ac:dyDescent="0.3">
      <c r="J17295"/>
    </row>
    <row r="17296" spans="10:10" x14ac:dyDescent="0.3">
      <c r="J17296"/>
    </row>
    <row r="17297" spans="10:10" x14ac:dyDescent="0.3">
      <c r="J17297"/>
    </row>
    <row r="17298" spans="10:10" x14ac:dyDescent="0.3">
      <c r="J17298"/>
    </row>
    <row r="17299" spans="10:10" x14ac:dyDescent="0.3">
      <c r="J17299"/>
    </row>
    <row r="17300" spans="10:10" x14ac:dyDescent="0.3">
      <c r="J17300"/>
    </row>
    <row r="17301" spans="10:10" x14ac:dyDescent="0.3">
      <c r="J17301"/>
    </row>
    <row r="17302" spans="10:10" x14ac:dyDescent="0.3">
      <c r="J17302"/>
    </row>
    <row r="17303" spans="10:10" x14ac:dyDescent="0.3">
      <c r="J17303"/>
    </row>
    <row r="17304" spans="10:10" x14ac:dyDescent="0.3">
      <c r="J17304"/>
    </row>
    <row r="17305" spans="10:10" x14ac:dyDescent="0.3">
      <c r="J17305"/>
    </row>
    <row r="17306" spans="10:10" x14ac:dyDescent="0.3">
      <c r="J17306"/>
    </row>
    <row r="17307" spans="10:10" x14ac:dyDescent="0.3">
      <c r="J17307"/>
    </row>
    <row r="17308" spans="10:10" x14ac:dyDescent="0.3">
      <c r="J17308"/>
    </row>
    <row r="17309" spans="10:10" x14ac:dyDescent="0.3">
      <c r="J17309"/>
    </row>
    <row r="17310" spans="10:10" x14ac:dyDescent="0.3">
      <c r="J17310"/>
    </row>
    <row r="17311" spans="10:10" x14ac:dyDescent="0.3">
      <c r="J17311"/>
    </row>
    <row r="17312" spans="10:10" x14ac:dyDescent="0.3">
      <c r="J17312"/>
    </row>
    <row r="17313" spans="10:10" x14ac:dyDescent="0.3">
      <c r="J17313"/>
    </row>
    <row r="17314" spans="10:10" x14ac:dyDescent="0.3">
      <c r="J17314"/>
    </row>
    <row r="17315" spans="10:10" x14ac:dyDescent="0.3">
      <c r="J17315"/>
    </row>
    <row r="17316" spans="10:10" x14ac:dyDescent="0.3">
      <c r="J17316"/>
    </row>
    <row r="17317" spans="10:10" x14ac:dyDescent="0.3">
      <c r="J17317"/>
    </row>
    <row r="17318" spans="10:10" x14ac:dyDescent="0.3">
      <c r="J17318"/>
    </row>
    <row r="17319" spans="10:10" x14ac:dyDescent="0.3">
      <c r="J17319"/>
    </row>
    <row r="17320" spans="10:10" x14ac:dyDescent="0.3">
      <c r="J17320"/>
    </row>
    <row r="17321" spans="10:10" x14ac:dyDescent="0.3">
      <c r="J17321"/>
    </row>
    <row r="17322" spans="10:10" x14ac:dyDescent="0.3">
      <c r="J17322"/>
    </row>
    <row r="17323" spans="10:10" x14ac:dyDescent="0.3">
      <c r="J17323"/>
    </row>
    <row r="17324" spans="10:10" x14ac:dyDescent="0.3">
      <c r="J17324"/>
    </row>
    <row r="17325" spans="10:10" x14ac:dyDescent="0.3">
      <c r="J17325"/>
    </row>
    <row r="17326" spans="10:10" x14ac:dyDescent="0.3">
      <c r="J17326"/>
    </row>
    <row r="17327" spans="10:10" x14ac:dyDescent="0.3">
      <c r="J17327"/>
    </row>
    <row r="17328" spans="10:10" x14ac:dyDescent="0.3">
      <c r="J17328"/>
    </row>
    <row r="17329" spans="10:10" x14ac:dyDescent="0.3">
      <c r="J17329"/>
    </row>
    <row r="17330" spans="10:10" x14ac:dyDescent="0.3">
      <c r="J17330"/>
    </row>
    <row r="17331" spans="10:10" x14ac:dyDescent="0.3">
      <c r="J17331"/>
    </row>
    <row r="17332" spans="10:10" x14ac:dyDescent="0.3">
      <c r="J17332"/>
    </row>
    <row r="17333" spans="10:10" x14ac:dyDescent="0.3">
      <c r="J17333"/>
    </row>
    <row r="17334" spans="10:10" x14ac:dyDescent="0.3">
      <c r="J17334"/>
    </row>
    <row r="17335" spans="10:10" x14ac:dyDescent="0.3">
      <c r="J17335"/>
    </row>
    <row r="17336" spans="10:10" x14ac:dyDescent="0.3">
      <c r="J17336"/>
    </row>
    <row r="17337" spans="10:10" x14ac:dyDescent="0.3">
      <c r="J17337"/>
    </row>
    <row r="17338" spans="10:10" x14ac:dyDescent="0.3">
      <c r="J17338"/>
    </row>
    <row r="17339" spans="10:10" x14ac:dyDescent="0.3">
      <c r="J17339"/>
    </row>
    <row r="17340" spans="10:10" x14ac:dyDescent="0.3">
      <c r="J17340"/>
    </row>
    <row r="17341" spans="10:10" x14ac:dyDescent="0.3">
      <c r="J17341"/>
    </row>
    <row r="17342" spans="10:10" x14ac:dyDescent="0.3">
      <c r="J17342"/>
    </row>
    <row r="17343" spans="10:10" x14ac:dyDescent="0.3">
      <c r="J17343"/>
    </row>
    <row r="17344" spans="10:10" x14ac:dyDescent="0.3">
      <c r="J17344"/>
    </row>
    <row r="17345" spans="10:10" x14ac:dyDescent="0.3">
      <c r="J17345"/>
    </row>
    <row r="17346" spans="10:10" x14ac:dyDescent="0.3">
      <c r="J17346"/>
    </row>
    <row r="17347" spans="10:10" x14ac:dyDescent="0.3">
      <c r="J17347"/>
    </row>
    <row r="17348" spans="10:10" x14ac:dyDescent="0.3">
      <c r="J17348"/>
    </row>
    <row r="17349" spans="10:10" x14ac:dyDescent="0.3">
      <c r="J17349"/>
    </row>
    <row r="17350" spans="10:10" x14ac:dyDescent="0.3">
      <c r="J17350"/>
    </row>
    <row r="17351" spans="10:10" x14ac:dyDescent="0.3">
      <c r="J17351"/>
    </row>
    <row r="17352" spans="10:10" x14ac:dyDescent="0.3">
      <c r="J17352"/>
    </row>
    <row r="17353" spans="10:10" x14ac:dyDescent="0.3">
      <c r="J17353"/>
    </row>
    <row r="17354" spans="10:10" x14ac:dyDescent="0.3">
      <c r="J17354"/>
    </row>
    <row r="17355" spans="10:10" x14ac:dyDescent="0.3">
      <c r="J17355"/>
    </row>
    <row r="17356" spans="10:10" x14ac:dyDescent="0.3">
      <c r="J17356"/>
    </row>
    <row r="17357" spans="10:10" x14ac:dyDescent="0.3">
      <c r="J17357"/>
    </row>
    <row r="17358" spans="10:10" x14ac:dyDescent="0.3">
      <c r="J17358"/>
    </row>
    <row r="17359" spans="10:10" x14ac:dyDescent="0.3">
      <c r="J17359"/>
    </row>
    <row r="17360" spans="10:10" x14ac:dyDescent="0.3">
      <c r="J17360"/>
    </row>
    <row r="17361" spans="10:10" x14ac:dyDescent="0.3">
      <c r="J17361"/>
    </row>
    <row r="17362" spans="10:10" x14ac:dyDescent="0.3">
      <c r="J17362"/>
    </row>
    <row r="17363" spans="10:10" x14ac:dyDescent="0.3">
      <c r="J17363"/>
    </row>
    <row r="17364" spans="10:10" x14ac:dyDescent="0.3">
      <c r="J17364"/>
    </row>
    <row r="17365" spans="10:10" x14ac:dyDescent="0.3">
      <c r="J17365"/>
    </row>
    <row r="17366" spans="10:10" x14ac:dyDescent="0.3">
      <c r="J17366"/>
    </row>
    <row r="17367" spans="10:10" x14ac:dyDescent="0.3">
      <c r="J17367"/>
    </row>
    <row r="17368" spans="10:10" x14ac:dyDescent="0.3">
      <c r="J17368"/>
    </row>
    <row r="17369" spans="10:10" x14ac:dyDescent="0.3">
      <c r="J17369"/>
    </row>
    <row r="17370" spans="10:10" x14ac:dyDescent="0.3">
      <c r="J17370"/>
    </row>
    <row r="17371" spans="10:10" x14ac:dyDescent="0.3">
      <c r="J17371"/>
    </row>
    <row r="17372" spans="10:10" x14ac:dyDescent="0.3">
      <c r="J17372"/>
    </row>
    <row r="17373" spans="10:10" x14ac:dyDescent="0.3">
      <c r="J17373"/>
    </row>
    <row r="17374" spans="10:10" x14ac:dyDescent="0.3">
      <c r="J17374"/>
    </row>
    <row r="17375" spans="10:10" x14ac:dyDescent="0.3">
      <c r="J17375"/>
    </row>
    <row r="17376" spans="10:10" x14ac:dyDescent="0.3">
      <c r="J17376"/>
    </row>
    <row r="17377" spans="10:10" x14ac:dyDescent="0.3">
      <c r="J17377"/>
    </row>
    <row r="17378" spans="10:10" x14ac:dyDescent="0.3">
      <c r="J17378"/>
    </row>
    <row r="17379" spans="10:10" x14ac:dyDescent="0.3">
      <c r="J17379"/>
    </row>
    <row r="17380" spans="10:10" x14ac:dyDescent="0.3">
      <c r="J17380"/>
    </row>
    <row r="17381" spans="10:10" x14ac:dyDescent="0.3">
      <c r="J17381"/>
    </row>
    <row r="17382" spans="10:10" x14ac:dyDescent="0.3">
      <c r="J17382"/>
    </row>
    <row r="17383" spans="10:10" x14ac:dyDescent="0.3">
      <c r="J17383"/>
    </row>
    <row r="17384" spans="10:10" x14ac:dyDescent="0.3">
      <c r="J17384"/>
    </row>
    <row r="17385" spans="10:10" x14ac:dyDescent="0.3">
      <c r="J17385"/>
    </row>
    <row r="17386" spans="10:10" x14ac:dyDescent="0.3">
      <c r="J17386"/>
    </row>
    <row r="17387" spans="10:10" x14ac:dyDescent="0.3">
      <c r="J17387"/>
    </row>
    <row r="17388" spans="10:10" x14ac:dyDescent="0.3">
      <c r="J17388"/>
    </row>
    <row r="17389" spans="10:10" x14ac:dyDescent="0.3">
      <c r="J17389"/>
    </row>
    <row r="17390" spans="10:10" x14ac:dyDescent="0.3">
      <c r="J17390"/>
    </row>
    <row r="17391" spans="10:10" x14ac:dyDescent="0.3">
      <c r="J17391"/>
    </row>
    <row r="17392" spans="10:10" x14ac:dyDescent="0.3">
      <c r="J17392"/>
    </row>
    <row r="17393" spans="10:10" x14ac:dyDescent="0.3">
      <c r="J17393"/>
    </row>
    <row r="17394" spans="10:10" x14ac:dyDescent="0.3">
      <c r="J17394"/>
    </row>
    <row r="17395" spans="10:10" x14ac:dyDescent="0.3">
      <c r="J17395"/>
    </row>
    <row r="17396" spans="10:10" x14ac:dyDescent="0.3">
      <c r="J17396"/>
    </row>
    <row r="17397" spans="10:10" x14ac:dyDescent="0.3">
      <c r="J17397"/>
    </row>
    <row r="17398" spans="10:10" x14ac:dyDescent="0.3">
      <c r="J17398"/>
    </row>
    <row r="17399" spans="10:10" x14ac:dyDescent="0.3">
      <c r="J17399"/>
    </row>
    <row r="17400" spans="10:10" x14ac:dyDescent="0.3">
      <c r="J17400"/>
    </row>
    <row r="17401" spans="10:10" x14ac:dyDescent="0.3">
      <c r="J17401"/>
    </row>
    <row r="17402" spans="10:10" x14ac:dyDescent="0.3">
      <c r="J17402"/>
    </row>
    <row r="17403" spans="10:10" x14ac:dyDescent="0.3">
      <c r="J17403"/>
    </row>
    <row r="17404" spans="10:10" x14ac:dyDescent="0.3">
      <c r="J17404"/>
    </row>
    <row r="17405" spans="10:10" x14ac:dyDescent="0.3">
      <c r="J17405"/>
    </row>
    <row r="17406" spans="10:10" x14ac:dyDescent="0.3">
      <c r="J17406"/>
    </row>
    <row r="17407" spans="10:10" x14ac:dyDescent="0.3">
      <c r="J17407"/>
    </row>
    <row r="17408" spans="10:10" x14ac:dyDescent="0.3">
      <c r="J17408"/>
    </row>
    <row r="17409" spans="10:10" x14ac:dyDescent="0.3">
      <c r="J17409"/>
    </row>
    <row r="17410" spans="10:10" x14ac:dyDescent="0.3">
      <c r="J17410"/>
    </row>
    <row r="17411" spans="10:10" x14ac:dyDescent="0.3">
      <c r="J17411"/>
    </row>
    <row r="17412" spans="10:10" x14ac:dyDescent="0.3">
      <c r="J17412"/>
    </row>
    <row r="17413" spans="10:10" x14ac:dyDescent="0.3">
      <c r="J17413"/>
    </row>
    <row r="17414" spans="10:10" x14ac:dyDescent="0.3">
      <c r="J17414"/>
    </row>
    <row r="17415" spans="10:10" x14ac:dyDescent="0.3">
      <c r="J17415"/>
    </row>
    <row r="17416" spans="10:10" x14ac:dyDescent="0.3">
      <c r="J17416"/>
    </row>
    <row r="17417" spans="10:10" x14ac:dyDescent="0.3">
      <c r="J17417"/>
    </row>
    <row r="17418" spans="10:10" x14ac:dyDescent="0.3">
      <c r="J17418"/>
    </row>
    <row r="17419" spans="10:10" x14ac:dyDescent="0.3">
      <c r="J17419"/>
    </row>
    <row r="17420" spans="10:10" x14ac:dyDescent="0.3">
      <c r="J17420"/>
    </row>
    <row r="17421" spans="10:10" x14ac:dyDescent="0.3">
      <c r="J17421"/>
    </row>
    <row r="17422" spans="10:10" x14ac:dyDescent="0.3">
      <c r="J17422"/>
    </row>
    <row r="17423" spans="10:10" x14ac:dyDescent="0.3">
      <c r="J17423"/>
    </row>
    <row r="17424" spans="10:10" x14ac:dyDescent="0.3">
      <c r="J17424"/>
    </row>
    <row r="17425" spans="10:10" x14ac:dyDescent="0.3">
      <c r="J17425"/>
    </row>
    <row r="17426" spans="10:10" x14ac:dyDescent="0.3">
      <c r="J17426"/>
    </row>
    <row r="17427" spans="10:10" x14ac:dyDescent="0.3">
      <c r="J17427"/>
    </row>
    <row r="17428" spans="10:10" x14ac:dyDescent="0.3">
      <c r="J17428"/>
    </row>
    <row r="17429" spans="10:10" x14ac:dyDescent="0.3">
      <c r="J17429"/>
    </row>
    <row r="17430" spans="10:10" x14ac:dyDescent="0.3">
      <c r="J17430"/>
    </row>
    <row r="17431" spans="10:10" x14ac:dyDescent="0.3">
      <c r="J17431"/>
    </row>
    <row r="17432" spans="10:10" x14ac:dyDescent="0.3">
      <c r="J17432"/>
    </row>
    <row r="17433" spans="10:10" x14ac:dyDescent="0.3">
      <c r="J17433"/>
    </row>
    <row r="17434" spans="10:10" x14ac:dyDescent="0.3">
      <c r="J17434"/>
    </row>
    <row r="17435" spans="10:10" x14ac:dyDescent="0.3">
      <c r="J17435"/>
    </row>
    <row r="17436" spans="10:10" x14ac:dyDescent="0.3">
      <c r="J17436"/>
    </row>
    <row r="17437" spans="10:10" x14ac:dyDescent="0.3">
      <c r="J17437"/>
    </row>
    <row r="17438" spans="10:10" x14ac:dyDescent="0.3">
      <c r="J17438"/>
    </row>
    <row r="17439" spans="10:10" x14ac:dyDescent="0.3">
      <c r="J17439"/>
    </row>
    <row r="17440" spans="10:10" x14ac:dyDescent="0.3">
      <c r="J17440"/>
    </row>
    <row r="17441" spans="10:10" x14ac:dyDescent="0.3">
      <c r="J17441"/>
    </row>
    <row r="17442" spans="10:10" x14ac:dyDescent="0.3">
      <c r="J17442"/>
    </row>
    <row r="17443" spans="10:10" x14ac:dyDescent="0.3">
      <c r="J17443"/>
    </row>
    <row r="17444" spans="10:10" x14ac:dyDescent="0.3">
      <c r="J17444"/>
    </row>
    <row r="17445" spans="10:10" x14ac:dyDescent="0.3">
      <c r="J17445"/>
    </row>
    <row r="17446" spans="10:10" x14ac:dyDescent="0.3">
      <c r="J17446"/>
    </row>
    <row r="17447" spans="10:10" x14ac:dyDescent="0.3">
      <c r="J17447"/>
    </row>
    <row r="17448" spans="10:10" x14ac:dyDescent="0.3">
      <c r="J17448"/>
    </row>
    <row r="17449" spans="10:10" x14ac:dyDescent="0.3">
      <c r="J17449"/>
    </row>
    <row r="17450" spans="10:10" x14ac:dyDescent="0.3">
      <c r="J17450"/>
    </row>
    <row r="17451" spans="10:10" x14ac:dyDescent="0.3">
      <c r="J17451"/>
    </row>
    <row r="17452" spans="10:10" x14ac:dyDescent="0.3">
      <c r="J17452"/>
    </row>
    <row r="17453" spans="10:10" x14ac:dyDescent="0.3">
      <c r="J17453"/>
    </row>
    <row r="17454" spans="10:10" x14ac:dyDescent="0.3">
      <c r="J17454"/>
    </row>
    <row r="17455" spans="10:10" x14ac:dyDescent="0.3">
      <c r="J17455"/>
    </row>
    <row r="17456" spans="10:10" x14ac:dyDescent="0.3">
      <c r="J17456"/>
    </row>
    <row r="17457" spans="10:10" x14ac:dyDescent="0.3">
      <c r="J17457"/>
    </row>
    <row r="17458" spans="10:10" x14ac:dyDescent="0.3">
      <c r="J17458"/>
    </row>
    <row r="17459" spans="10:10" x14ac:dyDescent="0.3">
      <c r="J17459"/>
    </row>
    <row r="17460" spans="10:10" x14ac:dyDescent="0.3">
      <c r="J17460"/>
    </row>
    <row r="17461" spans="10:10" x14ac:dyDescent="0.3">
      <c r="J17461"/>
    </row>
    <row r="17462" spans="10:10" x14ac:dyDescent="0.3">
      <c r="J17462"/>
    </row>
    <row r="17463" spans="10:10" x14ac:dyDescent="0.3">
      <c r="J17463"/>
    </row>
    <row r="17464" spans="10:10" x14ac:dyDescent="0.3">
      <c r="J17464"/>
    </row>
    <row r="17465" spans="10:10" x14ac:dyDescent="0.3">
      <c r="J17465"/>
    </row>
    <row r="17466" spans="10:10" x14ac:dyDescent="0.3">
      <c r="J17466"/>
    </row>
    <row r="17467" spans="10:10" x14ac:dyDescent="0.3">
      <c r="J17467"/>
    </row>
    <row r="17468" spans="10:10" x14ac:dyDescent="0.3">
      <c r="J17468"/>
    </row>
    <row r="17469" spans="10:10" x14ac:dyDescent="0.3">
      <c r="J17469"/>
    </row>
    <row r="17470" spans="10:10" x14ac:dyDescent="0.3">
      <c r="J17470"/>
    </row>
    <row r="17471" spans="10:10" x14ac:dyDescent="0.3">
      <c r="J17471"/>
    </row>
    <row r="17472" spans="10:10" x14ac:dyDescent="0.3">
      <c r="J17472"/>
    </row>
    <row r="17473" spans="10:10" x14ac:dyDescent="0.3">
      <c r="J17473"/>
    </row>
    <row r="17474" spans="10:10" x14ac:dyDescent="0.3">
      <c r="J17474"/>
    </row>
    <row r="17475" spans="10:10" x14ac:dyDescent="0.3">
      <c r="J17475"/>
    </row>
    <row r="17476" spans="10:10" x14ac:dyDescent="0.3">
      <c r="J17476"/>
    </row>
    <row r="17477" spans="10:10" x14ac:dyDescent="0.3">
      <c r="J17477"/>
    </row>
    <row r="17478" spans="10:10" x14ac:dyDescent="0.3">
      <c r="J17478"/>
    </row>
    <row r="17479" spans="10:10" x14ac:dyDescent="0.3">
      <c r="J17479"/>
    </row>
    <row r="17480" spans="10:10" x14ac:dyDescent="0.3">
      <c r="J17480"/>
    </row>
    <row r="17481" spans="10:10" x14ac:dyDescent="0.3">
      <c r="J17481"/>
    </row>
    <row r="17482" spans="10:10" x14ac:dyDescent="0.3">
      <c r="J17482"/>
    </row>
    <row r="17483" spans="10:10" x14ac:dyDescent="0.3">
      <c r="J17483"/>
    </row>
    <row r="17484" spans="10:10" x14ac:dyDescent="0.3">
      <c r="J17484"/>
    </row>
    <row r="17485" spans="10:10" x14ac:dyDescent="0.3">
      <c r="J17485"/>
    </row>
    <row r="17486" spans="10:10" x14ac:dyDescent="0.3">
      <c r="J17486"/>
    </row>
    <row r="17487" spans="10:10" x14ac:dyDescent="0.3">
      <c r="J17487"/>
    </row>
    <row r="17488" spans="10:10" x14ac:dyDescent="0.3">
      <c r="J17488"/>
    </row>
    <row r="17489" spans="10:10" x14ac:dyDescent="0.3">
      <c r="J17489"/>
    </row>
    <row r="17490" spans="10:10" x14ac:dyDescent="0.3">
      <c r="J17490"/>
    </row>
    <row r="17491" spans="10:10" x14ac:dyDescent="0.3">
      <c r="J17491"/>
    </row>
    <row r="17492" spans="10:10" x14ac:dyDescent="0.3">
      <c r="J17492"/>
    </row>
    <row r="17493" spans="10:10" x14ac:dyDescent="0.3">
      <c r="J17493"/>
    </row>
    <row r="17494" spans="10:10" x14ac:dyDescent="0.3">
      <c r="J17494"/>
    </row>
    <row r="17495" spans="10:10" x14ac:dyDescent="0.3">
      <c r="J17495"/>
    </row>
    <row r="17496" spans="10:10" x14ac:dyDescent="0.3">
      <c r="J17496"/>
    </row>
    <row r="17497" spans="10:10" x14ac:dyDescent="0.3">
      <c r="J17497"/>
    </row>
    <row r="17498" spans="10:10" x14ac:dyDescent="0.3">
      <c r="J17498"/>
    </row>
    <row r="17499" spans="10:10" x14ac:dyDescent="0.3">
      <c r="J17499"/>
    </row>
    <row r="17500" spans="10:10" x14ac:dyDescent="0.3">
      <c r="J17500"/>
    </row>
    <row r="17501" spans="10:10" x14ac:dyDescent="0.3">
      <c r="J17501"/>
    </row>
    <row r="17502" spans="10:10" x14ac:dyDescent="0.3">
      <c r="J17502"/>
    </row>
    <row r="17503" spans="10:10" x14ac:dyDescent="0.3">
      <c r="J17503"/>
    </row>
    <row r="17504" spans="10:10" x14ac:dyDescent="0.3">
      <c r="J17504"/>
    </row>
    <row r="17505" spans="10:10" x14ac:dyDescent="0.3">
      <c r="J17505"/>
    </row>
    <row r="17506" spans="10:10" x14ac:dyDescent="0.3">
      <c r="J17506"/>
    </row>
    <row r="17507" spans="10:10" x14ac:dyDescent="0.3">
      <c r="J17507"/>
    </row>
    <row r="17508" spans="10:10" x14ac:dyDescent="0.3">
      <c r="J17508"/>
    </row>
    <row r="17509" spans="10:10" x14ac:dyDescent="0.3">
      <c r="J17509"/>
    </row>
    <row r="17510" spans="10:10" x14ac:dyDescent="0.3">
      <c r="J17510"/>
    </row>
    <row r="17511" spans="10:10" x14ac:dyDescent="0.3">
      <c r="J17511"/>
    </row>
    <row r="17512" spans="10:10" x14ac:dyDescent="0.3">
      <c r="J17512"/>
    </row>
    <row r="17513" spans="10:10" x14ac:dyDescent="0.3">
      <c r="J17513"/>
    </row>
    <row r="17514" spans="10:10" x14ac:dyDescent="0.3">
      <c r="J17514"/>
    </row>
    <row r="17515" spans="10:10" x14ac:dyDescent="0.3">
      <c r="J17515"/>
    </row>
    <row r="17516" spans="10:10" x14ac:dyDescent="0.3">
      <c r="J17516"/>
    </row>
    <row r="17517" spans="10:10" x14ac:dyDescent="0.3">
      <c r="J17517"/>
    </row>
    <row r="17518" spans="10:10" x14ac:dyDescent="0.3">
      <c r="J17518"/>
    </row>
    <row r="17519" spans="10:10" x14ac:dyDescent="0.3">
      <c r="J17519"/>
    </row>
    <row r="17520" spans="10:10" x14ac:dyDescent="0.3">
      <c r="J17520"/>
    </row>
    <row r="17521" spans="10:10" x14ac:dyDescent="0.3">
      <c r="J17521"/>
    </row>
    <row r="17522" spans="10:10" x14ac:dyDescent="0.3">
      <c r="J17522"/>
    </row>
    <row r="17523" spans="10:10" x14ac:dyDescent="0.3">
      <c r="J17523"/>
    </row>
    <row r="17524" spans="10:10" x14ac:dyDescent="0.3">
      <c r="J17524"/>
    </row>
    <row r="17525" spans="10:10" x14ac:dyDescent="0.3">
      <c r="J17525"/>
    </row>
    <row r="17526" spans="10:10" x14ac:dyDescent="0.3">
      <c r="J17526"/>
    </row>
    <row r="17527" spans="10:10" x14ac:dyDescent="0.3">
      <c r="J17527"/>
    </row>
    <row r="17528" spans="10:10" x14ac:dyDescent="0.3">
      <c r="J17528"/>
    </row>
    <row r="17529" spans="10:10" x14ac:dyDescent="0.3">
      <c r="J17529"/>
    </row>
    <row r="17530" spans="10:10" x14ac:dyDescent="0.3">
      <c r="J17530"/>
    </row>
    <row r="17531" spans="10:10" x14ac:dyDescent="0.3">
      <c r="J17531"/>
    </row>
    <row r="17532" spans="10:10" x14ac:dyDescent="0.3">
      <c r="J17532"/>
    </row>
    <row r="17533" spans="10:10" x14ac:dyDescent="0.3">
      <c r="J17533"/>
    </row>
    <row r="17534" spans="10:10" x14ac:dyDescent="0.3">
      <c r="J17534"/>
    </row>
    <row r="17535" spans="10:10" x14ac:dyDescent="0.3">
      <c r="J17535"/>
    </row>
    <row r="17536" spans="10:10" x14ac:dyDescent="0.3">
      <c r="J17536"/>
    </row>
    <row r="17537" spans="10:10" x14ac:dyDescent="0.3">
      <c r="J17537"/>
    </row>
    <row r="17538" spans="10:10" x14ac:dyDescent="0.3">
      <c r="J17538"/>
    </row>
    <row r="17539" spans="10:10" x14ac:dyDescent="0.3">
      <c r="J17539"/>
    </row>
    <row r="17540" spans="10:10" x14ac:dyDescent="0.3">
      <c r="J17540"/>
    </row>
    <row r="17541" spans="10:10" x14ac:dyDescent="0.3">
      <c r="J17541"/>
    </row>
    <row r="17542" spans="10:10" x14ac:dyDescent="0.3">
      <c r="J17542"/>
    </row>
    <row r="17543" spans="10:10" x14ac:dyDescent="0.3">
      <c r="J17543"/>
    </row>
    <row r="17544" spans="10:10" x14ac:dyDescent="0.3">
      <c r="J17544"/>
    </row>
    <row r="17545" spans="10:10" x14ac:dyDescent="0.3">
      <c r="J17545"/>
    </row>
    <row r="17546" spans="10:10" x14ac:dyDescent="0.3">
      <c r="J17546"/>
    </row>
    <row r="17547" spans="10:10" x14ac:dyDescent="0.3">
      <c r="J17547"/>
    </row>
    <row r="17548" spans="10:10" x14ac:dyDescent="0.3">
      <c r="J17548"/>
    </row>
    <row r="17549" spans="10:10" x14ac:dyDescent="0.3">
      <c r="J17549"/>
    </row>
    <row r="17550" spans="10:10" x14ac:dyDescent="0.3">
      <c r="J17550"/>
    </row>
    <row r="17551" spans="10:10" x14ac:dyDescent="0.3">
      <c r="J17551"/>
    </row>
    <row r="17552" spans="10:10" x14ac:dyDescent="0.3">
      <c r="J17552"/>
    </row>
    <row r="17553" spans="10:10" x14ac:dyDescent="0.3">
      <c r="J17553"/>
    </row>
    <row r="17554" spans="10:10" x14ac:dyDescent="0.3">
      <c r="J17554"/>
    </row>
    <row r="17555" spans="10:10" x14ac:dyDescent="0.3">
      <c r="J17555"/>
    </row>
    <row r="17556" spans="10:10" x14ac:dyDescent="0.3">
      <c r="J17556"/>
    </row>
    <row r="17557" spans="10:10" x14ac:dyDescent="0.3">
      <c r="J17557"/>
    </row>
    <row r="17558" spans="10:10" x14ac:dyDescent="0.3">
      <c r="J17558"/>
    </row>
    <row r="17559" spans="10:10" x14ac:dyDescent="0.3">
      <c r="J17559"/>
    </row>
    <row r="17560" spans="10:10" x14ac:dyDescent="0.3">
      <c r="J17560"/>
    </row>
    <row r="17561" spans="10:10" x14ac:dyDescent="0.3">
      <c r="J17561"/>
    </row>
    <row r="17562" spans="10:10" x14ac:dyDescent="0.3">
      <c r="J17562"/>
    </row>
    <row r="17563" spans="10:10" x14ac:dyDescent="0.3">
      <c r="J17563"/>
    </row>
    <row r="17564" spans="10:10" x14ac:dyDescent="0.3">
      <c r="J17564"/>
    </row>
    <row r="17565" spans="10:10" x14ac:dyDescent="0.3">
      <c r="J17565"/>
    </row>
    <row r="17566" spans="10:10" x14ac:dyDescent="0.3">
      <c r="J17566"/>
    </row>
    <row r="17567" spans="10:10" x14ac:dyDescent="0.3">
      <c r="J17567"/>
    </row>
    <row r="17568" spans="10:10" x14ac:dyDescent="0.3">
      <c r="J17568"/>
    </row>
    <row r="17569" spans="10:10" x14ac:dyDescent="0.3">
      <c r="J17569"/>
    </row>
    <row r="17570" spans="10:10" x14ac:dyDescent="0.3">
      <c r="J17570"/>
    </row>
    <row r="17571" spans="10:10" x14ac:dyDescent="0.3">
      <c r="J17571"/>
    </row>
    <row r="17572" spans="10:10" x14ac:dyDescent="0.3">
      <c r="J17572"/>
    </row>
    <row r="17573" spans="10:10" x14ac:dyDescent="0.3">
      <c r="J17573"/>
    </row>
    <row r="17574" spans="10:10" x14ac:dyDescent="0.3">
      <c r="J17574"/>
    </row>
    <row r="17575" spans="10:10" x14ac:dyDescent="0.3">
      <c r="J17575"/>
    </row>
    <row r="17576" spans="10:10" x14ac:dyDescent="0.3">
      <c r="J17576"/>
    </row>
    <row r="17577" spans="10:10" x14ac:dyDescent="0.3">
      <c r="J17577"/>
    </row>
    <row r="17578" spans="10:10" x14ac:dyDescent="0.3">
      <c r="J17578"/>
    </row>
    <row r="17579" spans="10:10" x14ac:dyDescent="0.3">
      <c r="J17579"/>
    </row>
    <row r="17580" spans="10:10" x14ac:dyDescent="0.3">
      <c r="J17580"/>
    </row>
    <row r="17581" spans="10:10" x14ac:dyDescent="0.3">
      <c r="J17581"/>
    </row>
    <row r="17582" spans="10:10" x14ac:dyDescent="0.3">
      <c r="J17582"/>
    </row>
    <row r="17583" spans="10:10" x14ac:dyDescent="0.3">
      <c r="J17583"/>
    </row>
    <row r="17584" spans="10:10" x14ac:dyDescent="0.3">
      <c r="J17584"/>
    </row>
    <row r="17585" spans="10:10" x14ac:dyDescent="0.3">
      <c r="J17585"/>
    </row>
    <row r="17586" spans="10:10" x14ac:dyDescent="0.3">
      <c r="J17586"/>
    </row>
    <row r="17587" spans="10:10" x14ac:dyDescent="0.3">
      <c r="J17587"/>
    </row>
    <row r="17588" spans="10:10" x14ac:dyDescent="0.3">
      <c r="J17588"/>
    </row>
    <row r="17589" spans="10:10" x14ac:dyDescent="0.3">
      <c r="J17589"/>
    </row>
    <row r="17590" spans="10:10" x14ac:dyDescent="0.3">
      <c r="J17590"/>
    </row>
    <row r="17591" spans="10:10" x14ac:dyDescent="0.3">
      <c r="J17591"/>
    </row>
    <row r="17592" spans="10:10" x14ac:dyDescent="0.3">
      <c r="J17592"/>
    </row>
    <row r="17593" spans="10:10" x14ac:dyDescent="0.3">
      <c r="J17593"/>
    </row>
    <row r="17594" spans="10:10" x14ac:dyDescent="0.3">
      <c r="J17594"/>
    </row>
    <row r="17595" spans="10:10" x14ac:dyDescent="0.3">
      <c r="J17595"/>
    </row>
    <row r="17596" spans="10:10" x14ac:dyDescent="0.3">
      <c r="J17596"/>
    </row>
    <row r="17597" spans="10:10" x14ac:dyDescent="0.3">
      <c r="J17597"/>
    </row>
    <row r="17598" spans="10:10" x14ac:dyDescent="0.3">
      <c r="J17598"/>
    </row>
    <row r="17599" spans="10:10" x14ac:dyDescent="0.3">
      <c r="J17599"/>
    </row>
    <row r="17600" spans="10:10" x14ac:dyDescent="0.3">
      <c r="J17600"/>
    </row>
    <row r="17601" spans="10:10" x14ac:dyDescent="0.3">
      <c r="J17601"/>
    </row>
    <row r="17602" spans="10:10" x14ac:dyDescent="0.3">
      <c r="J17602"/>
    </row>
    <row r="17603" spans="10:10" x14ac:dyDescent="0.3">
      <c r="J17603"/>
    </row>
    <row r="17604" spans="10:10" x14ac:dyDescent="0.3">
      <c r="J17604"/>
    </row>
    <row r="17605" spans="10:10" x14ac:dyDescent="0.3">
      <c r="J17605"/>
    </row>
    <row r="17606" spans="10:10" x14ac:dyDescent="0.3">
      <c r="J17606"/>
    </row>
    <row r="17607" spans="10:10" x14ac:dyDescent="0.3">
      <c r="J17607"/>
    </row>
    <row r="17608" spans="10:10" x14ac:dyDescent="0.3">
      <c r="J17608"/>
    </row>
    <row r="17609" spans="10:10" x14ac:dyDescent="0.3">
      <c r="J17609"/>
    </row>
    <row r="17610" spans="10:10" x14ac:dyDescent="0.3">
      <c r="J17610"/>
    </row>
    <row r="17611" spans="10:10" x14ac:dyDescent="0.3">
      <c r="J17611"/>
    </row>
    <row r="17612" spans="10:10" x14ac:dyDescent="0.3">
      <c r="J17612"/>
    </row>
    <row r="17613" spans="10:10" x14ac:dyDescent="0.3">
      <c r="J17613"/>
    </row>
    <row r="17614" spans="10:10" x14ac:dyDescent="0.3">
      <c r="J17614"/>
    </row>
    <row r="17615" spans="10:10" x14ac:dyDescent="0.3">
      <c r="J17615"/>
    </row>
    <row r="17616" spans="10:10" x14ac:dyDescent="0.3">
      <c r="J17616"/>
    </row>
    <row r="17617" spans="10:10" x14ac:dyDescent="0.3">
      <c r="J17617"/>
    </row>
    <row r="17618" spans="10:10" x14ac:dyDescent="0.3">
      <c r="J17618"/>
    </row>
    <row r="17619" spans="10:10" x14ac:dyDescent="0.3">
      <c r="J17619"/>
    </row>
    <row r="17620" spans="10:10" x14ac:dyDescent="0.3">
      <c r="J17620"/>
    </row>
    <row r="17621" spans="10:10" x14ac:dyDescent="0.3">
      <c r="J17621"/>
    </row>
    <row r="17622" spans="10:10" x14ac:dyDescent="0.3">
      <c r="J17622"/>
    </row>
    <row r="17623" spans="10:10" x14ac:dyDescent="0.3">
      <c r="J17623"/>
    </row>
    <row r="17624" spans="10:10" x14ac:dyDescent="0.3">
      <c r="J17624"/>
    </row>
    <row r="17625" spans="10:10" x14ac:dyDescent="0.3">
      <c r="J17625"/>
    </row>
    <row r="17626" spans="10:10" x14ac:dyDescent="0.3">
      <c r="J17626"/>
    </row>
    <row r="17627" spans="10:10" x14ac:dyDescent="0.3">
      <c r="J17627"/>
    </row>
    <row r="17628" spans="10:10" x14ac:dyDescent="0.3">
      <c r="J17628"/>
    </row>
    <row r="17629" spans="10:10" x14ac:dyDescent="0.3">
      <c r="J17629"/>
    </row>
    <row r="17630" spans="10:10" x14ac:dyDescent="0.3">
      <c r="J17630"/>
    </row>
    <row r="17631" spans="10:10" x14ac:dyDescent="0.3">
      <c r="J17631"/>
    </row>
    <row r="17632" spans="10:10" x14ac:dyDescent="0.3">
      <c r="J17632"/>
    </row>
    <row r="17633" spans="10:10" x14ac:dyDescent="0.3">
      <c r="J17633"/>
    </row>
    <row r="17634" spans="10:10" x14ac:dyDescent="0.3">
      <c r="J17634"/>
    </row>
    <row r="17635" spans="10:10" x14ac:dyDescent="0.3">
      <c r="J17635"/>
    </row>
    <row r="17636" spans="10:10" x14ac:dyDescent="0.3">
      <c r="J17636"/>
    </row>
    <row r="17637" spans="10:10" x14ac:dyDescent="0.3">
      <c r="J17637"/>
    </row>
    <row r="17638" spans="10:10" x14ac:dyDescent="0.3">
      <c r="J17638"/>
    </row>
    <row r="17639" spans="10:10" x14ac:dyDescent="0.3">
      <c r="J17639"/>
    </row>
    <row r="17640" spans="10:10" x14ac:dyDescent="0.3">
      <c r="J17640"/>
    </row>
    <row r="17641" spans="10:10" x14ac:dyDescent="0.3">
      <c r="J17641"/>
    </row>
    <row r="17642" spans="10:10" x14ac:dyDescent="0.3">
      <c r="J17642"/>
    </row>
    <row r="17643" spans="10:10" x14ac:dyDescent="0.3">
      <c r="J17643"/>
    </row>
    <row r="17644" spans="10:10" x14ac:dyDescent="0.3">
      <c r="J17644"/>
    </row>
    <row r="17645" spans="10:10" x14ac:dyDescent="0.3">
      <c r="J17645"/>
    </row>
    <row r="17646" spans="10:10" x14ac:dyDescent="0.3">
      <c r="J17646"/>
    </row>
    <row r="17647" spans="10:10" x14ac:dyDescent="0.3">
      <c r="J17647"/>
    </row>
    <row r="17648" spans="10:10" x14ac:dyDescent="0.3">
      <c r="J17648"/>
    </row>
    <row r="17649" spans="10:10" x14ac:dyDescent="0.3">
      <c r="J17649"/>
    </row>
    <row r="17650" spans="10:10" x14ac:dyDescent="0.3">
      <c r="J17650"/>
    </row>
    <row r="17651" spans="10:10" x14ac:dyDescent="0.3">
      <c r="J17651"/>
    </row>
    <row r="17652" spans="10:10" x14ac:dyDescent="0.3">
      <c r="J17652"/>
    </row>
    <row r="17653" spans="10:10" x14ac:dyDescent="0.3">
      <c r="J17653"/>
    </row>
    <row r="17654" spans="10:10" x14ac:dyDescent="0.3">
      <c r="J17654"/>
    </row>
    <row r="17655" spans="10:10" x14ac:dyDescent="0.3">
      <c r="J17655"/>
    </row>
    <row r="17656" spans="10:10" x14ac:dyDescent="0.3">
      <c r="J17656"/>
    </row>
    <row r="17657" spans="10:10" x14ac:dyDescent="0.3">
      <c r="J17657"/>
    </row>
    <row r="17658" spans="10:10" x14ac:dyDescent="0.3">
      <c r="J17658"/>
    </row>
    <row r="17659" spans="10:10" x14ac:dyDescent="0.3">
      <c r="J17659"/>
    </row>
    <row r="17660" spans="10:10" x14ac:dyDescent="0.3">
      <c r="J17660"/>
    </row>
    <row r="17661" spans="10:10" x14ac:dyDescent="0.3">
      <c r="J17661"/>
    </row>
    <row r="17662" spans="10:10" x14ac:dyDescent="0.3">
      <c r="J17662"/>
    </row>
    <row r="17663" spans="10:10" x14ac:dyDescent="0.3">
      <c r="J17663"/>
    </row>
    <row r="17664" spans="10:10" x14ac:dyDescent="0.3">
      <c r="J17664"/>
    </row>
    <row r="17665" spans="10:10" x14ac:dyDescent="0.3">
      <c r="J17665"/>
    </row>
    <row r="17666" spans="10:10" x14ac:dyDescent="0.3">
      <c r="J17666"/>
    </row>
    <row r="17667" spans="10:10" x14ac:dyDescent="0.3">
      <c r="J17667"/>
    </row>
    <row r="17668" spans="10:10" x14ac:dyDescent="0.3">
      <c r="J17668"/>
    </row>
    <row r="17669" spans="10:10" x14ac:dyDescent="0.3">
      <c r="J17669"/>
    </row>
    <row r="17670" spans="10:10" x14ac:dyDescent="0.3">
      <c r="J17670"/>
    </row>
    <row r="17671" spans="10:10" x14ac:dyDescent="0.3">
      <c r="J17671"/>
    </row>
    <row r="17672" spans="10:10" x14ac:dyDescent="0.3">
      <c r="J17672"/>
    </row>
    <row r="17673" spans="10:10" x14ac:dyDescent="0.3">
      <c r="J17673"/>
    </row>
    <row r="17674" spans="10:10" x14ac:dyDescent="0.3">
      <c r="J17674"/>
    </row>
    <row r="17675" spans="10:10" x14ac:dyDescent="0.3">
      <c r="J17675"/>
    </row>
    <row r="17676" spans="10:10" x14ac:dyDescent="0.3">
      <c r="J17676"/>
    </row>
    <row r="17677" spans="10:10" x14ac:dyDescent="0.3">
      <c r="J17677"/>
    </row>
    <row r="17678" spans="10:10" x14ac:dyDescent="0.3">
      <c r="J17678"/>
    </row>
    <row r="17679" spans="10:10" x14ac:dyDescent="0.3">
      <c r="J17679"/>
    </row>
    <row r="17680" spans="10:10" x14ac:dyDescent="0.3">
      <c r="J17680"/>
    </row>
    <row r="17681" spans="10:10" x14ac:dyDescent="0.3">
      <c r="J17681"/>
    </row>
    <row r="17682" spans="10:10" x14ac:dyDescent="0.3">
      <c r="J17682"/>
    </row>
    <row r="17683" spans="10:10" x14ac:dyDescent="0.3">
      <c r="J17683"/>
    </row>
    <row r="17684" spans="10:10" x14ac:dyDescent="0.3">
      <c r="J17684"/>
    </row>
    <row r="17685" spans="10:10" x14ac:dyDescent="0.3">
      <c r="J17685"/>
    </row>
    <row r="17686" spans="10:10" x14ac:dyDescent="0.3">
      <c r="J17686"/>
    </row>
    <row r="17687" spans="10:10" x14ac:dyDescent="0.3">
      <c r="J17687"/>
    </row>
    <row r="17688" spans="10:10" x14ac:dyDescent="0.3">
      <c r="J17688"/>
    </row>
    <row r="17689" spans="10:10" x14ac:dyDescent="0.3">
      <c r="J17689"/>
    </row>
    <row r="17690" spans="10:10" x14ac:dyDescent="0.3">
      <c r="J17690"/>
    </row>
    <row r="17691" spans="10:10" x14ac:dyDescent="0.3">
      <c r="J17691"/>
    </row>
    <row r="17692" spans="10:10" x14ac:dyDescent="0.3">
      <c r="J17692"/>
    </row>
    <row r="17693" spans="10:10" x14ac:dyDescent="0.3">
      <c r="J17693"/>
    </row>
    <row r="17694" spans="10:10" x14ac:dyDescent="0.3">
      <c r="J17694"/>
    </row>
    <row r="17695" spans="10:10" x14ac:dyDescent="0.3">
      <c r="J17695"/>
    </row>
    <row r="17696" spans="10:10" x14ac:dyDescent="0.3">
      <c r="J17696"/>
    </row>
    <row r="17697" spans="10:10" x14ac:dyDescent="0.3">
      <c r="J17697"/>
    </row>
    <row r="17698" spans="10:10" x14ac:dyDescent="0.3">
      <c r="J17698"/>
    </row>
    <row r="17699" spans="10:10" x14ac:dyDescent="0.3">
      <c r="J17699"/>
    </row>
    <row r="17700" spans="10:10" x14ac:dyDescent="0.3">
      <c r="J17700"/>
    </row>
    <row r="17701" spans="10:10" x14ac:dyDescent="0.3">
      <c r="J17701"/>
    </row>
    <row r="17702" spans="10:10" x14ac:dyDescent="0.3">
      <c r="J17702"/>
    </row>
    <row r="17703" spans="10:10" x14ac:dyDescent="0.3">
      <c r="J17703"/>
    </row>
    <row r="17704" spans="10:10" x14ac:dyDescent="0.3">
      <c r="J17704"/>
    </row>
    <row r="17705" spans="10:10" x14ac:dyDescent="0.3">
      <c r="J17705"/>
    </row>
    <row r="17706" spans="10:10" x14ac:dyDescent="0.3">
      <c r="J17706"/>
    </row>
    <row r="17707" spans="10:10" x14ac:dyDescent="0.3">
      <c r="J17707"/>
    </row>
    <row r="17708" spans="10:10" x14ac:dyDescent="0.3">
      <c r="J17708"/>
    </row>
    <row r="17709" spans="10:10" x14ac:dyDescent="0.3">
      <c r="J17709"/>
    </row>
    <row r="17710" spans="10:10" x14ac:dyDescent="0.3">
      <c r="J17710"/>
    </row>
    <row r="17711" spans="10:10" x14ac:dyDescent="0.3">
      <c r="J17711"/>
    </row>
    <row r="17712" spans="10:10" x14ac:dyDescent="0.3">
      <c r="J17712"/>
    </row>
    <row r="17713" spans="10:10" x14ac:dyDescent="0.3">
      <c r="J17713"/>
    </row>
    <row r="17714" spans="10:10" x14ac:dyDescent="0.3">
      <c r="J17714"/>
    </row>
    <row r="17715" spans="10:10" x14ac:dyDescent="0.3">
      <c r="J17715"/>
    </row>
    <row r="17716" spans="10:10" x14ac:dyDescent="0.3">
      <c r="J17716"/>
    </row>
    <row r="17717" spans="10:10" x14ac:dyDescent="0.3">
      <c r="J17717"/>
    </row>
    <row r="17718" spans="10:10" x14ac:dyDescent="0.3">
      <c r="J17718"/>
    </row>
    <row r="17719" spans="10:10" x14ac:dyDescent="0.3">
      <c r="J17719"/>
    </row>
    <row r="17720" spans="10:10" x14ac:dyDescent="0.3">
      <c r="J17720"/>
    </row>
    <row r="17721" spans="10:10" x14ac:dyDescent="0.3">
      <c r="J17721"/>
    </row>
    <row r="17722" spans="10:10" x14ac:dyDescent="0.3">
      <c r="J17722"/>
    </row>
    <row r="17723" spans="10:10" x14ac:dyDescent="0.3">
      <c r="J17723"/>
    </row>
    <row r="17724" spans="10:10" x14ac:dyDescent="0.3">
      <c r="J17724"/>
    </row>
    <row r="17725" spans="10:10" x14ac:dyDescent="0.3">
      <c r="J17725"/>
    </row>
    <row r="17726" spans="10:10" x14ac:dyDescent="0.3">
      <c r="J17726"/>
    </row>
    <row r="17727" spans="10:10" x14ac:dyDescent="0.3">
      <c r="J17727"/>
    </row>
    <row r="17728" spans="10:10" x14ac:dyDescent="0.3">
      <c r="J17728"/>
    </row>
    <row r="17729" spans="10:10" x14ac:dyDescent="0.3">
      <c r="J17729"/>
    </row>
    <row r="17730" spans="10:10" x14ac:dyDescent="0.3">
      <c r="J17730"/>
    </row>
    <row r="17731" spans="10:10" x14ac:dyDescent="0.3">
      <c r="J17731"/>
    </row>
    <row r="17732" spans="10:10" x14ac:dyDescent="0.3">
      <c r="J17732"/>
    </row>
    <row r="17733" spans="10:10" x14ac:dyDescent="0.3">
      <c r="J17733"/>
    </row>
    <row r="17734" spans="10:10" x14ac:dyDescent="0.3">
      <c r="J17734"/>
    </row>
    <row r="17735" spans="10:10" x14ac:dyDescent="0.3">
      <c r="J17735"/>
    </row>
    <row r="17736" spans="10:10" x14ac:dyDescent="0.3">
      <c r="J17736"/>
    </row>
    <row r="17737" spans="10:10" x14ac:dyDescent="0.3">
      <c r="J17737"/>
    </row>
    <row r="17738" spans="10:10" x14ac:dyDescent="0.3">
      <c r="J17738"/>
    </row>
    <row r="17739" spans="10:10" x14ac:dyDescent="0.3">
      <c r="J17739"/>
    </row>
    <row r="17740" spans="10:10" x14ac:dyDescent="0.3">
      <c r="J17740"/>
    </row>
    <row r="17741" spans="10:10" x14ac:dyDescent="0.3">
      <c r="J17741"/>
    </row>
    <row r="17742" spans="10:10" x14ac:dyDescent="0.3">
      <c r="J17742"/>
    </row>
    <row r="17743" spans="10:10" x14ac:dyDescent="0.3">
      <c r="J17743"/>
    </row>
    <row r="17744" spans="10:10" x14ac:dyDescent="0.3">
      <c r="J17744"/>
    </row>
    <row r="17745" spans="10:10" x14ac:dyDescent="0.3">
      <c r="J17745"/>
    </row>
    <row r="17746" spans="10:10" x14ac:dyDescent="0.3">
      <c r="J17746"/>
    </row>
    <row r="17747" spans="10:10" x14ac:dyDescent="0.3">
      <c r="J17747"/>
    </row>
    <row r="17748" spans="10:10" x14ac:dyDescent="0.3">
      <c r="J17748"/>
    </row>
    <row r="17749" spans="10:10" x14ac:dyDescent="0.3">
      <c r="J17749"/>
    </row>
    <row r="17750" spans="10:10" x14ac:dyDescent="0.3">
      <c r="J17750"/>
    </row>
    <row r="17751" spans="10:10" x14ac:dyDescent="0.3">
      <c r="J17751"/>
    </row>
    <row r="17752" spans="10:10" x14ac:dyDescent="0.3">
      <c r="J17752"/>
    </row>
    <row r="17753" spans="10:10" x14ac:dyDescent="0.3">
      <c r="J17753"/>
    </row>
    <row r="17754" spans="10:10" x14ac:dyDescent="0.3">
      <c r="J17754"/>
    </row>
    <row r="17755" spans="10:10" x14ac:dyDescent="0.3">
      <c r="J17755"/>
    </row>
    <row r="17756" spans="10:10" x14ac:dyDescent="0.3">
      <c r="J17756"/>
    </row>
    <row r="17757" spans="10:10" x14ac:dyDescent="0.3">
      <c r="J17757"/>
    </row>
    <row r="17758" spans="10:10" x14ac:dyDescent="0.3">
      <c r="J17758"/>
    </row>
    <row r="17759" spans="10:10" x14ac:dyDescent="0.3">
      <c r="J17759"/>
    </row>
    <row r="17760" spans="10:10" x14ac:dyDescent="0.3">
      <c r="J17760"/>
    </row>
    <row r="17761" spans="10:10" x14ac:dyDescent="0.3">
      <c r="J17761"/>
    </row>
    <row r="17762" spans="10:10" x14ac:dyDescent="0.3">
      <c r="J17762"/>
    </row>
    <row r="17763" spans="10:10" x14ac:dyDescent="0.3">
      <c r="J17763"/>
    </row>
    <row r="17764" spans="10:10" x14ac:dyDescent="0.3">
      <c r="J17764"/>
    </row>
    <row r="17765" spans="10:10" x14ac:dyDescent="0.3">
      <c r="J17765"/>
    </row>
    <row r="17766" spans="10:10" x14ac:dyDescent="0.3">
      <c r="J17766"/>
    </row>
    <row r="17767" spans="10:10" x14ac:dyDescent="0.3">
      <c r="J17767"/>
    </row>
    <row r="17768" spans="10:10" x14ac:dyDescent="0.3">
      <c r="J17768"/>
    </row>
    <row r="17769" spans="10:10" x14ac:dyDescent="0.3">
      <c r="J17769"/>
    </row>
    <row r="17770" spans="10:10" x14ac:dyDescent="0.3">
      <c r="J17770"/>
    </row>
    <row r="17771" spans="10:10" x14ac:dyDescent="0.3">
      <c r="J17771"/>
    </row>
    <row r="17772" spans="10:10" x14ac:dyDescent="0.3">
      <c r="J17772"/>
    </row>
    <row r="17773" spans="10:10" x14ac:dyDescent="0.3">
      <c r="J17773"/>
    </row>
    <row r="17774" spans="10:10" x14ac:dyDescent="0.3">
      <c r="J17774"/>
    </row>
    <row r="17775" spans="10:10" x14ac:dyDescent="0.3">
      <c r="J17775"/>
    </row>
    <row r="17776" spans="10:10" x14ac:dyDescent="0.3">
      <c r="J17776"/>
    </row>
    <row r="17777" spans="10:10" x14ac:dyDescent="0.3">
      <c r="J17777"/>
    </row>
    <row r="17778" spans="10:10" x14ac:dyDescent="0.3">
      <c r="J17778"/>
    </row>
    <row r="17779" spans="10:10" x14ac:dyDescent="0.3">
      <c r="J17779"/>
    </row>
    <row r="17780" spans="10:10" x14ac:dyDescent="0.3">
      <c r="J17780"/>
    </row>
    <row r="17781" spans="10:10" x14ac:dyDescent="0.3">
      <c r="J17781"/>
    </row>
    <row r="17782" spans="10:10" x14ac:dyDescent="0.3">
      <c r="J17782"/>
    </row>
    <row r="17783" spans="10:10" x14ac:dyDescent="0.3">
      <c r="J17783"/>
    </row>
    <row r="17784" spans="10:10" x14ac:dyDescent="0.3">
      <c r="J17784"/>
    </row>
    <row r="17785" spans="10:10" x14ac:dyDescent="0.3">
      <c r="J17785"/>
    </row>
    <row r="17786" spans="10:10" x14ac:dyDescent="0.3">
      <c r="J17786"/>
    </row>
    <row r="17787" spans="10:10" x14ac:dyDescent="0.3">
      <c r="J17787"/>
    </row>
    <row r="17788" spans="10:10" x14ac:dyDescent="0.3">
      <c r="J17788"/>
    </row>
    <row r="17789" spans="10:10" x14ac:dyDescent="0.3">
      <c r="J17789"/>
    </row>
    <row r="17790" spans="10:10" x14ac:dyDescent="0.3">
      <c r="J17790"/>
    </row>
    <row r="17791" spans="10:10" x14ac:dyDescent="0.3">
      <c r="J17791"/>
    </row>
    <row r="17792" spans="10:10" x14ac:dyDescent="0.3">
      <c r="J17792"/>
    </row>
    <row r="17793" spans="10:10" x14ac:dyDescent="0.3">
      <c r="J17793"/>
    </row>
    <row r="17794" spans="10:10" x14ac:dyDescent="0.3">
      <c r="J17794"/>
    </row>
    <row r="17795" spans="10:10" x14ac:dyDescent="0.3">
      <c r="J17795"/>
    </row>
    <row r="17796" spans="10:10" x14ac:dyDescent="0.3">
      <c r="J17796"/>
    </row>
    <row r="17797" spans="10:10" x14ac:dyDescent="0.3">
      <c r="J17797"/>
    </row>
    <row r="17798" spans="10:10" x14ac:dyDescent="0.3">
      <c r="J17798"/>
    </row>
    <row r="17799" spans="10:10" x14ac:dyDescent="0.3">
      <c r="J17799"/>
    </row>
    <row r="17800" spans="10:10" x14ac:dyDescent="0.3">
      <c r="J17800"/>
    </row>
    <row r="17801" spans="10:10" x14ac:dyDescent="0.3">
      <c r="J17801"/>
    </row>
    <row r="17802" spans="10:10" x14ac:dyDescent="0.3">
      <c r="J17802"/>
    </row>
    <row r="17803" spans="10:10" x14ac:dyDescent="0.3">
      <c r="J17803"/>
    </row>
    <row r="17804" spans="10:10" x14ac:dyDescent="0.3">
      <c r="J17804"/>
    </row>
    <row r="17805" spans="10:10" x14ac:dyDescent="0.3">
      <c r="J17805"/>
    </row>
    <row r="17806" spans="10:10" x14ac:dyDescent="0.3">
      <c r="J17806"/>
    </row>
    <row r="17807" spans="10:10" x14ac:dyDescent="0.3">
      <c r="J17807"/>
    </row>
    <row r="17808" spans="10:10" x14ac:dyDescent="0.3">
      <c r="J17808"/>
    </row>
    <row r="17809" spans="10:10" x14ac:dyDescent="0.3">
      <c r="J17809"/>
    </row>
    <row r="17810" spans="10:10" x14ac:dyDescent="0.3">
      <c r="J17810"/>
    </row>
    <row r="17811" spans="10:10" x14ac:dyDescent="0.3">
      <c r="J17811"/>
    </row>
    <row r="17812" spans="10:10" x14ac:dyDescent="0.3">
      <c r="J17812"/>
    </row>
    <row r="17813" spans="10:10" x14ac:dyDescent="0.3">
      <c r="J17813"/>
    </row>
    <row r="17814" spans="10:10" x14ac:dyDescent="0.3">
      <c r="J17814"/>
    </row>
    <row r="17815" spans="10:10" x14ac:dyDescent="0.3">
      <c r="J17815"/>
    </row>
    <row r="17816" spans="10:10" x14ac:dyDescent="0.3">
      <c r="J17816"/>
    </row>
    <row r="17817" spans="10:10" x14ac:dyDescent="0.3">
      <c r="J17817"/>
    </row>
    <row r="17818" spans="10:10" x14ac:dyDescent="0.3">
      <c r="J17818"/>
    </row>
    <row r="17819" spans="10:10" x14ac:dyDescent="0.3">
      <c r="J17819"/>
    </row>
    <row r="17820" spans="10:10" x14ac:dyDescent="0.3">
      <c r="J17820"/>
    </row>
    <row r="17821" spans="10:10" x14ac:dyDescent="0.3">
      <c r="J17821"/>
    </row>
    <row r="17822" spans="10:10" x14ac:dyDescent="0.3">
      <c r="J17822"/>
    </row>
    <row r="17823" spans="10:10" x14ac:dyDescent="0.3">
      <c r="J17823"/>
    </row>
    <row r="17824" spans="10:10" x14ac:dyDescent="0.3">
      <c r="J17824"/>
    </row>
    <row r="17825" spans="10:10" x14ac:dyDescent="0.3">
      <c r="J17825"/>
    </row>
    <row r="17826" spans="10:10" x14ac:dyDescent="0.3">
      <c r="J17826"/>
    </row>
    <row r="17827" spans="10:10" x14ac:dyDescent="0.3">
      <c r="J17827"/>
    </row>
    <row r="17828" spans="10:10" x14ac:dyDescent="0.3">
      <c r="J17828"/>
    </row>
    <row r="17829" spans="10:10" x14ac:dyDescent="0.3">
      <c r="J17829"/>
    </row>
    <row r="17830" spans="10:10" x14ac:dyDescent="0.3">
      <c r="J17830"/>
    </row>
    <row r="17831" spans="10:10" x14ac:dyDescent="0.3">
      <c r="J17831"/>
    </row>
    <row r="17832" spans="10:10" x14ac:dyDescent="0.3">
      <c r="J17832"/>
    </row>
    <row r="17833" spans="10:10" x14ac:dyDescent="0.3">
      <c r="J17833"/>
    </row>
    <row r="17834" spans="10:10" x14ac:dyDescent="0.3">
      <c r="J17834"/>
    </row>
    <row r="17835" spans="10:10" x14ac:dyDescent="0.3">
      <c r="J17835"/>
    </row>
    <row r="17836" spans="10:10" x14ac:dyDescent="0.3">
      <c r="J17836"/>
    </row>
    <row r="17837" spans="10:10" x14ac:dyDescent="0.3">
      <c r="J17837"/>
    </row>
    <row r="17838" spans="10:10" x14ac:dyDescent="0.3">
      <c r="J17838"/>
    </row>
    <row r="17839" spans="10:10" x14ac:dyDescent="0.3">
      <c r="J17839"/>
    </row>
    <row r="17840" spans="10:10" x14ac:dyDescent="0.3">
      <c r="J17840"/>
    </row>
    <row r="17841" spans="10:10" x14ac:dyDescent="0.3">
      <c r="J17841"/>
    </row>
    <row r="17842" spans="10:10" x14ac:dyDescent="0.3">
      <c r="J17842"/>
    </row>
    <row r="17843" spans="10:10" x14ac:dyDescent="0.3">
      <c r="J17843"/>
    </row>
    <row r="17844" spans="10:10" x14ac:dyDescent="0.3">
      <c r="J17844"/>
    </row>
    <row r="17845" spans="10:10" x14ac:dyDescent="0.3">
      <c r="J17845"/>
    </row>
    <row r="17846" spans="10:10" x14ac:dyDescent="0.3">
      <c r="J17846"/>
    </row>
    <row r="17847" spans="10:10" x14ac:dyDescent="0.3">
      <c r="J17847"/>
    </row>
    <row r="17848" spans="10:10" x14ac:dyDescent="0.3">
      <c r="J17848"/>
    </row>
    <row r="17849" spans="10:10" x14ac:dyDescent="0.3">
      <c r="J17849"/>
    </row>
    <row r="17850" spans="10:10" x14ac:dyDescent="0.3">
      <c r="J17850"/>
    </row>
    <row r="17851" spans="10:10" x14ac:dyDescent="0.3">
      <c r="J17851"/>
    </row>
    <row r="17852" spans="10:10" x14ac:dyDescent="0.3">
      <c r="J17852"/>
    </row>
    <row r="17853" spans="10:10" x14ac:dyDescent="0.3">
      <c r="J17853"/>
    </row>
    <row r="17854" spans="10:10" x14ac:dyDescent="0.3">
      <c r="J17854"/>
    </row>
    <row r="17855" spans="10:10" x14ac:dyDescent="0.3">
      <c r="J17855"/>
    </row>
    <row r="17856" spans="10:10" x14ac:dyDescent="0.3">
      <c r="J17856"/>
    </row>
    <row r="17857" spans="10:10" x14ac:dyDescent="0.3">
      <c r="J17857"/>
    </row>
    <row r="17858" spans="10:10" x14ac:dyDescent="0.3">
      <c r="J17858"/>
    </row>
    <row r="17859" spans="10:10" x14ac:dyDescent="0.3">
      <c r="J17859"/>
    </row>
    <row r="17860" spans="10:10" x14ac:dyDescent="0.3">
      <c r="J17860"/>
    </row>
    <row r="17861" spans="10:10" x14ac:dyDescent="0.3">
      <c r="J17861"/>
    </row>
    <row r="17862" spans="10:10" x14ac:dyDescent="0.3">
      <c r="J17862"/>
    </row>
    <row r="17863" spans="10:10" x14ac:dyDescent="0.3">
      <c r="J17863"/>
    </row>
    <row r="17864" spans="10:10" x14ac:dyDescent="0.3">
      <c r="J17864"/>
    </row>
    <row r="17865" spans="10:10" x14ac:dyDescent="0.3">
      <c r="J17865"/>
    </row>
    <row r="17866" spans="10:10" x14ac:dyDescent="0.3">
      <c r="J17866"/>
    </row>
    <row r="17867" spans="10:10" x14ac:dyDescent="0.3">
      <c r="J17867"/>
    </row>
    <row r="17868" spans="10:10" x14ac:dyDescent="0.3">
      <c r="J17868"/>
    </row>
    <row r="17869" spans="10:10" x14ac:dyDescent="0.3">
      <c r="J17869"/>
    </row>
    <row r="17870" spans="10:10" x14ac:dyDescent="0.3">
      <c r="J17870"/>
    </row>
    <row r="17871" spans="10:10" x14ac:dyDescent="0.3">
      <c r="J17871"/>
    </row>
    <row r="17872" spans="10:10" x14ac:dyDescent="0.3">
      <c r="J17872"/>
    </row>
    <row r="17873" spans="10:10" x14ac:dyDescent="0.3">
      <c r="J17873"/>
    </row>
    <row r="17874" spans="10:10" x14ac:dyDescent="0.3">
      <c r="J17874"/>
    </row>
    <row r="17875" spans="10:10" x14ac:dyDescent="0.3">
      <c r="J17875"/>
    </row>
    <row r="17876" spans="10:10" x14ac:dyDescent="0.3">
      <c r="J17876"/>
    </row>
    <row r="17877" spans="10:10" x14ac:dyDescent="0.3">
      <c r="J17877"/>
    </row>
    <row r="17878" spans="10:10" x14ac:dyDescent="0.3">
      <c r="J17878"/>
    </row>
    <row r="17879" spans="10:10" x14ac:dyDescent="0.3">
      <c r="J17879"/>
    </row>
    <row r="17880" spans="10:10" x14ac:dyDescent="0.3">
      <c r="J17880"/>
    </row>
    <row r="17881" spans="10:10" x14ac:dyDescent="0.3">
      <c r="J17881"/>
    </row>
    <row r="17882" spans="10:10" x14ac:dyDescent="0.3">
      <c r="J17882"/>
    </row>
    <row r="17883" spans="10:10" x14ac:dyDescent="0.3">
      <c r="J17883"/>
    </row>
    <row r="17884" spans="10:10" x14ac:dyDescent="0.3">
      <c r="J17884"/>
    </row>
    <row r="17885" spans="10:10" x14ac:dyDescent="0.3">
      <c r="J17885"/>
    </row>
    <row r="17886" spans="10:10" x14ac:dyDescent="0.3">
      <c r="J17886"/>
    </row>
    <row r="17887" spans="10:10" x14ac:dyDescent="0.3">
      <c r="J17887"/>
    </row>
    <row r="17888" spans="10:10" x14ac:dyDescent="0.3">
      <c r="J17888"/>
    </row>
    <row r="17889" spans="10:10" x14ac:dyDescent="0.3">
      <c r="J17889"/>
    </row>
    <row r="17890" spans="10:10" x14ac:dyDescent="0.3">
      <c r="J17890"/>
    </row>
    <row r="17891" spans="10:10" x14ac:dyDescent="0.3">
      <c r="J17891"/>
    </row>
    <row r="17892" spans="10:10" x14ac:dyDescent="0.3">
      <c r="J17892"/>
    </row>
    <row r="17893" spans="10:10" x14ac:dyDescent="0.3">
      <c r="J17893"/>
    </row>
    <row r="17894" spans="10:10" x14ac:dyDescent="0.3">
      <c r="J17894"/>
    </row>
    <row r="17895" spans="10:10" x14ac:dyDescent="0.3">
      <c r="J17895"/>
    </row>
    <row r="17896" spans="10:10" x14ac:dyDescent="0.3">
      <c r="J17896"/>
    </row>
    <row r="17897" spans="10:10" x14ac:dyDescent="0.3">
      <c r="J17897"/>
    </row>
    <row r="17898" spans="10:10" x14ac:dyDescent="0.3">
      <c r="J17898"/>
    </row>
    <row r="17899" spans="10:10" x14ac:dyDescent="0.3">
      <c r="J17899"/>
    </row>
    <row r="17900" spans="10:10" x14ac:dyDescent="0.3">
      <c r="J17900"/>
    </row>
    <row r="17901" spans="10:10" x14ac:dyDescent="0.3">
      <c r="J17901"/>
    </row>
    <row r="17902" spans="10:10" x14ac:dyDescent="0.3">
      <c r="J17902"/>
    </row>
    <row r="17903" spans="10:10" x14ac:dyDescent="0.3">
      <c r="J17903"/>
    </row>
    <row r="17904" spans="10:10" x14ac:dyDescent="0.3">
      <c r="J17904"/>
    </row>
    <row r="17905" spans="10:10" x14ac:dyDescent="0.3">
      <c r="J17905"/>
    </row>
    <row r="17906" spans="10:10" x14ac:dyDescent="0.3">
      <c r="J17906"/>
    </row>
    <row r="17907" spans="10:10" x14ac:dyDescent="0.3">
      <c r="J17907"/>
    </row>
    <row r="17908" spans="10:10" x14ac:dyDescent="0.3">
      <c r="J17908"/>
    </row>
    <row r="17909" spans="10:10" x14ac:dyDescent="0.3">
      <c r="J17909"/>
    </row>
    <row r="17910" spans="10:10" x14ac:dyDescent="0.3">
      <c r="J17910"/>
    </row>
    <row r="17911" spans="10:10" x14ac:dyDescent="0.3">
      <c r="J17911"/>
    </row>
    <row r="17912" spans="10:10" x14ac:dyDescent="0.3">
      <c r="J17912"/>
    </row>
    <row r="17913" spans="10:10" x14ac:dyDescent="0.3">
      <c r="J17913"/>
    </row>
    <row r="17914" spans="10:10" x14ac:dyDescent="0.3">
      <c r="J17914"/>
    </row>
    <row r="17915" spans="10:10" x14ac:dyDescent="0.3">
      <c r="J17915"/>
    </row>
    <row r="17916" spans="10:10" x14ac:dyDescent="0.3">
      <c r="J17916"/>
    </row>
    <row r="17917" spans="10:10" x14ac:dyDescent="0.3">
      <c r="J17917"/>
    </row>
    <row r="17918" spans="10:10" x14ac:dyDescent="0.3">
      <c r="J17918"/>
    </row>
    <row r="17919" spans="10:10" x14ac:dyDescent="0.3">
      <c r="J17919"/>
    </row>
    <row r="17920" spans="10:10" x14ac:dyDescent="0.3">
      <c r="J17920"/>
    </row>
    <row r="17921" spans="10:10" x14ac:dyDescent="0.3">
      <c r="J17921"/>
    </row>
    <row r="17922" spans="10:10" x14ac:dyDescent="0.3">
      <c r="J17922"/>
    </row>
    <row r="17923" spans="10:10" x14ac:dyDescent="0.3">
      <c r="J17923"/>
    </row>
    <row r="17924" spans="10:10" x14ac:dyDescent="0.3">
      <c r="J17924"/>
    </row>
    <row r="17925" spans="10:10" x14ac:dyDescent="0.3">
      <c r="J17925"/>
    </row>
    <row r="17926" spans="10:10" x14ac:dyDescent="0.3">
      <c r="J17926"/>
    </row>
    <row r="17927" spans="10:10" x14ac:dyDescent="0.3">
      <c r="J17927"/>
    </row>
    <row r="17928" spans="10:10" x14ac:dyDescent="0.3">
      <c r="J17928"/>
    </row>
    <row r="17929" spans="10:10" x14ac:dyDescent="0.3">
      <c r="J17929"/>
    </row>
    <row r="17930" spans="10:10" x14ac:dyDescent="0.3">
      <c r="J17930"/>
    </row>
    <row r="17931" spans="10:10" x14ac:dyDescent="0.3">
      <c r="J17931"/>
    </row>
    <row r="17932" spans="10:10" x14ac:dyDescent="0.3">
      <c r="J17932"/>
    </row>
    <row r="17933" spans="10:10" x14ac:dyDescent="0.3">
      <c r="J17933"/>
    </row>
    <row r="17934" spans="10:10" x14ac:dyDescent="0.3">
      <c r="J17934"/>
    </row>
    <row r="17935" spans="10:10" x14ac:dyDescent="0.3">
      <c r="J17935"/>
    </row>
    <row r="17936" spans="10:10" x14ac:dyDescent="0.3">
      <c r="J17936"/>
    </row>
    <row r="17937" spans="10:10" x14ac:dyDescent="0.3">
      <c r="J17937"/>
    </row>
    <row r="17938" spans="10:10" x14ac:dyDescent="0.3">
      <c r="J17938"/>
    </row>
    <row r="17939" spans="10:10" x14ac:dyDescent="0.3">
      <c r="J17939"/>
    </row>
    <row r="17940" spans="10:10" x14ac:dyDescent="0.3">
      <c r="J17940"/>
    </row>
    <row r="17941" spans="10:10" x14ac:dyDescent="0.3">
      <c r="J17941"/>
    </row>
    <row r="17942" spans="10:10" x14ac:dyDescent="0.3">
      <c r="J17942"/>
    </row>
    <row r="17943" spans="10:10" x14ac:dyDescent="0.3">
      <c r="J17943"/>
    </row>
    <row r="17944" spans="10:10" x14ac:dyDescent="0.3">
      <c r="J17944"/>
    </row>
    <row r="17945" spans="10:10" x14ac:dyDescent="0.3">
      <c r="J17945"/>
    </row>
    <row r="17946" spans="10:10" x14ac:dyDescent="0.3">
      <c r="J17946"/>
    </row>
    <row r="17947" spans="10:10" x14ac:dyDescent="0.3">
      <c r="J17947"/>
    </row>
    <row r="17948" spans="10:10" x14ac:dyDescent="0.3">
      <c r="J17948"/>
    </row>
    <row r="17949" spans="10:10" x14ac:dyDescent="0.3">
      <c r="J17949"/>
    </row>
    <row r="17950" spans="10:10" x14ac:dyDescent="0.3">
      <c r="J17950"/>
    </row>
    <row r="17951" spans="10:10" x14ac:dyDescent="0.3">
      <c r="J17951"/>
    </row>
    <row r="17952" spans="10:10" x14ac:dyDescent="0.3">
      <c r="J17952"/>
    </row>
    <row r="17953" spans="10:10" x14ac:dyDescent="0.3">
      <c r="J17953"/>
    </row>
    <row r="17954" spans="10:10" x14ac:dyDescent="0.3">
      <c r="J17954"/>
    </row>
    <row r="17955" spans="10:10" x14ac:dyDescent="0.3">
      <c r="J17955"/>
    </row>
    <row r="17956" spans="10:10" x14ac:dyDescent="0.3">
      <c r="J17956"/>
    </row>
    <row r="17957" spans="10:10" x14ac:dyDescent="0.3">
      <c r="J17957"/>
    </row>
    <row r="17958" spans="10:10" x14ac:dyDescent="0.3">
      <c r="J17958"/>
    </row>
    <row r="17959" spans="10:10" x14ac:dyDescent="0.3">
      <c r="J17959"/>
    </row>
    <row r="17960" spans="10:10" x14ac:dyDescent="0.3">
      <c r="J17960"/>
    </row>
    <row r="17961" spans="10:10" x14ac:dyDescent="0.3">
      <c r="J17961"/>
    </row>
    <row r="17962" spans="10:10" x14ac:dyDescent="0.3">
      <c r="J17962"/>
    </row>
    <row r="17963" spans="10:10" x14ac:dyDescent="0.3">
      <c r="J17963"/>
    </row>
    <row r="17964" spans="10:10" x14ac:dyDescent="0.3">
      <c r="J17964"/>
    </row>
    <row r="17965" spans="10:10" x14ac:dyDescent="0.3">
      <c r="J17965"/>
    </row>
    <row r="17966" spans="10:10" x14ac:dyDescent="0.3">
      <c r="J17966"/>
    </row>
    <row r="17967" spans="10:10" x14ac:dyDescent="0.3">
      <c r="J17967"/>
    </row>
    <row r="17968" spans="10:10" x14ac:dyDescent="0.3">
      <c r="J17968"/>
    </row>
    <row r="17969" spans="10:10" x14ac:dyDescent="0.3">
      <c r="J17969"/>
    </row>
    <row r="17970" spans="10:10" x14ac:dyDescent="0.3">
      <c r="J17970"/>
    </row>
    <row r="17971" spans="10:10" x14ac:dyDescent="0.3">
      <c r="J17971"/>
    </row>
    <row r="17972" spans="10:10" x14ac:dyDescent="0.3">
      <c r="J17972"/>
    </row>
    <row r="17973" spans="10:10" x14ac:dyDescent="0.3">
      <c r="J17973"/>
    </row>
    <row r="17974" spans="10:10" x14ac:dyDescent="0.3">
      <c r="J17974"/>
    </row>
    <row r="17975" spans="10:10" x14ac:dyDescent="0.3">
      <c r="J17975"/>
    </row>
    <row r="17976" spans="10:10" x14ac:dyDescent="0.3">
      <c r="J17976"/>
    </row>
    <row r="17977" spans="10:10" x14ac:dyDescent="0.3">
      <c r="J17977"/>
    </row>
    <row r="17978" spans="10:10" x14ac:dyDescent="0.3">
      <c r="J17978"/>
    </row>
    <row r="17979" spans="10:10" x14ac:dyDescent="0.3">
      <c r="J17979"/>
    </row>
    <row r="17980" spans="10:10" x14ac:dyDescent="0.3">
      <c r="J17980"/>
    </row>
    <row r="17981" spans="10:10" x14ac:dyDescent="0.3">
      <c r="J17981"/>
    </row>
    <row r="17982" spans="10:10" x14ac:dyDescent="0.3">
      <c r="J17982"/>
    </row>
    <row r="17983" spans="10:10" x14ac:dyDescent="0.3">
      <c r="J17983"/>
    </row>
    <row r="17984" spans="10:10" x14ac:dyDescent="0.3">
      <c r="J17984"/>
    </row>
    <row r="17985" spans="10:10" x14ac:dyDescent="0.3">
      <c r="J17985"/>
    </row>
    <row r="17986" spans="10:10" x14ac:dyDescent="0.3">
      <c r="J17986"/>
    </row>
    <row r="17987" spans="10:10" x14ac:dyDescent="0.3">
      <c r="J17987"/>
    </row>
    <row r="17988" spans="10:10" x14ac:dyDescent="0.3">
      <c r="J17988"/>
    </row>
    <row r="17989" spans="10:10" x14ac:dyDescent="0.3">
      <c r="J17989"/>
    </row>
    <row r="17990" spans="10:10" x14ac:dyDescent="0.3">
      <c r="J17990"/>
    </row>
    <row r="17991" spans="10:10" x14ac:dyDescent="0.3">
      <c r="J17991"/>
    </row>
    <row r="17992" spans="10:10" x14ac:dyDescent="0.3">
      <c r="J17992"/>
    </row>
    <row r="17993" spans="10:10" x14ac:dyDescent="0.3">
      <c r="J17993"/>
    </row>
    <row r="17994" spans="10:10" x14ac:dyDescent="0.3">
      <c r="J17994"/>
    </row>
    <row r="17995" spans="10:10" x14ac:dyDescent="0.3">
      <c r="J17995"/>
    </row>
    <row r="17996" spans="10:10" x14ac:dyDescent="0.3">
      <c r="J17996"/>
    </row>
    <row r="17997" spans="10:10" x14ac:dyDescent="0.3">
      <c r="J17997"/>
    </row>
    <row r="17998" spans="10:10" x14ac:dyDescent="0.3">
      <c r="J17998"/>
    </row>
    <row r="17999" spans="10:10" x14ac:dyDescent="0.3">
      <c r="J17999"/>
    </row>
    <row r="18000" spans="10:10" x14ac:dyDescent="0.3">
      <c r="J18000"/>
    </row>
    <row r="18001" spans="10:10" x14ac:dyDescent="0.3">
      <c r="J18001"/>
    </row>
    <row r="18002" spans="10:10" x14ac:dyDescent="0.3">
      <c r="J18002"/>
    </row>
    <row r="18003" spans="10:10" x14ac:dyDescent="0.3">
      <c r="J18003"/>
    </row>
    <row r="18004" spans="10:10" x14ac:dyDescent="0.3">
      <c r="J18004"/>
    </row>
    <row r="18005" spans="10:10" x14ac:dyDescent="0.3">
      <c r="J18005"/>
    </row>
    <row r="18006" spans="10:10" x14ac:dyDescent="0.3">
      <c r="J18006"/>
    </row>
    <row r="18007" spans="10:10" x14ac:dyDescent="0.3">
      <c r="J18007"/>
    </row>
    <row r="18008" spans="10:10" x14ac:dyDescent="0.3">
      <c r="J18008"/>
    </row>
    <row r="18009" spans="10:10" x14ac:dyDescent="0.3">
      <c r="J18009"/>
    </row>
    <row r="18010" spans="10:10" x14ac:dyDescent="0.3">
      <c r="J18010"/>
    </row>
    <row r="18011" spans="10:10" x14ac:dyDescent="0.3">
      <c r="J18011"/>
    </row>
    <row r="18012" spans="10:10" x14ac:dyDescent="0.3">
      <c r="J18012"/>
    </row>
    <row r="18013" spans="10:10" x14ac:dyDescent="0.3">
      <c r="J18013"/>
    </row>
    <row r="18014" spans="10:10" x14ac:dyDescent="0.3">
      <c r="J18014"/>
    </row>
    <row r="18015" spans="10:10" x14ac:dyDescent="0.3">
      <c r="J18015"/>
    </row>
    <row r="18016" spans="10:10" x14ac:dyDescent="0.3">
      <c r="J18016"/>
    </row>
    <row r="18017" spans="10:10" x14ac:dyDescent="0.3">
      <c r="J18017"/>
    </row>
    <row r="18018" spans="10:10" x14ac:dyDescent="0.3">
      <c r="J18018"/>
    </row>
    <row r="18019" spans="10:10" x14ac:dyDescent="0.3">
      <c r="J18019"/>
    </row>
    <row r="18020" spans="10:10" x14ac:dyDescent="0.3">
      <c r="J18020"/>
    </row>
    <row r="18021" spans="10:10" x14ac:dyDescent="0.3">
      <c r="J18021"/>
    </row>
    <row r="18022" spans="10:10" x14ac:dyDescent="0.3">
      <c r="J18022"/>
    </row>
    <row r="18023" spans="10:10" x14ac:dyDescent="0.3">
      <c r="J18023"/>
    </row>
    <row r="18024" spans="10:10" x14ac:dyDescent="0.3">
      <c r="J18024"/>
    </row>
    <row r="18025" spans="10:10" x14ac:dyDescent="0.3">
      <c r="J18025"/>
    </row>
    <row r="18026" spans="10:10" x14ac:dyDescent="0.3">
      <c r="J18026"/>
    </row>
    <row r="18027" spans="10:10" x14ac:dyDescent="0.3">
      <c r="J18027"/>
    </row>
    <row r="18028" spans="10:10" x14ac:dyDescent="0.3">
      <c r="J18028"/>
    </row>
    <row r="18029" spans="10:10" x14ac:dyDescent="0.3">
      <c r="J18029"/>
    </row>
    <row r="18030" spans="10:10" x14ac:dyDescent="0.3">
      <c r="J18030"/>
    </row>
    <row r="18031" spans="10:10" x14ac:dyDescent="0.3">
      <c r="J18031"/>
    </row>
    <row r="18032" spans="10:10" x14ac:dyDescent="0.3">
      <c r="J18032"/>
    </row>
    <row r="18033" spans="10:10" x14ac:dyDescent="0.3">
      <c r="J18033"/>
    </row>
    <row r="18034" spans="10:10" x14ac:dyDescent="0.3">
      <c r="J18034"/>
    </row>
    <row r="18035" spans="10:10" x14ac:dyDescent="0.3">
      <c r="J18035"/>
    </row>
    <row r="18036" spans="10:10" x14ac:dyDescent="0.3">
      <c r="J18036"/>
    </row>
    <row r="18037" spans="10:10" x14ac:dyDescent="0.3">
      <c r="J18037"/>
    </row>
    <row r="18038" spans="10:10" x14ac:dyDescent="0.3">
      <c r="J18038"/>
    </row>
    <row r="18039" spans="10:10" x14ac:dyDescent="0.3">
      <c r="J18039"/>
    </row>
    <row r="18040" spans="10:10" x14ac:dyDescent="0.3">
      <c r="J18040"/>
    </row>
    <row r="18041" spans="10:10" x14ac:dyDescent="0.3">
      <c r="J18041"/>
    </row>
    <row r="18042" spans="10:10" x14ac:dyDescent="0.3">
      <c r="J18042"/>
    </row>
    <row r="18043" spans="10:10" x14ac:dyDescent="0.3">
      <c r="J18043"/>
    </row>
    <row r="18044" spans="10:10" x14ac:dyDescent="0.3">
      <c r="J18044"/>
    </row>
    <row r="18045" spans="10:10" x14ac:dyDescent="0.3">
      <c r="J18045"/>
    </row>
    <row r="18046" spans="10:10" x14ac:dyDescent="0.3">
      <c r="J18046"/>
    </row>
    <row r="18047" spans="10:10" x14ac:dyDescent="0.3">
      <c r="J18047"/>
    </row>
    <row r="18048" spans="10:10" x14ac:dyDescent="0.3">
      <c r="J18048"/>
    </row>
    <row r="18049" spans="10:10" x14ac:dyDescent="0.3">
      <c r="J18049"/>
    </row>
    <row r="18050" spans="10:10" x14ac:dyDescent="0.3">
      <c r="J18050"/>
    </row>
    <row r="18051" spans="10:10" x14ac:dyDescent="0.3">
      <c r="J18051"/>
    </row>
    <row r="18052" spans="10:10" x14ac:dyDescent="0.3">
      <c r="J18052"/>
    </row>
    <row r="18053" spans="10:10" x14ac:dyDescent="0.3">
      <c r="J18053"/>
    </row>
    <row r="18054" spans="10:10" x14ac:dyDescent="0.3">
      <c r="J18054"/>
    </row>
    <row r="18055" spans="10:10" x14ac:dyDescent="0.3">
      <c r="J18055"/>
    </row>
    <row r="18056" spans="10:10" x14ac:dyDescent="0.3">
      <c r="J18056"/>
    </row>
    <row r="18057" spans="10:10" x14ac:dyDescent="0.3">
      <c r="J18057"/>
    </row>
    <row r="18058" spans="10:10" x14ac:dyDescent="0.3">
      <c r="J18058"/>
    </row>
    <row r="18059" spans="10:10" x14ac:dyDescent="0.3">
      <c r="J18059"/>
    </row>
    <row r="18060" spans="10:10" x14ac:dyDescent="0.3">
      <c r="J18060"/>
    </row>
    <row r="18061" spans="10:10" x14ac:dyDescent="0.3">
      <c r="J18061"/>
    </row>
    <row r="18062" spans="10:10" x14ac:dyDescent="0.3">
      <c r="J18062"/>
    </row>
    <row r="18063" spans="10:10" x14ac:dyDescent="0.3">
      <c r="J18063"/>
    </row>
    <row r="18064" spans="10:10" x14ac:dyDescent="0.3">
      <c r="J18064"/>
    </row>
    <row r="18065" spans="10:10" x14ac:dyDescent="0.3">
      <c r="J18065"/>
    </row>
    <row r="18066" spans="10:10" x14ac:dyDescent="0.3">
      <c r="J18066"/>
    </row>
    <row r="18067" spans="10:10" x14ac:dyDescent="0.3">
      <c r="J18067"/>
    </row>
    <row r="18068" spans="10:10" x14ac:dyDescent="0.3">
      <c r="J18068"/>
    </row>
    <row r="18069" spans="10:10" x14ac:dyDescent="0.3">
      <c r="J18069"/>
    </row>
    <row r="18070" spans="10:10" x14ac:dyDescent="0.3">
      <c r="J18070"/>
    </row>
    <row r="18071" spans="10:10" x14ac:dyDescent="0.3">
      <c r="J18071"/>
    </row>
    <row r="18072" spans="10:10" x14ac:dyDescent="0.3">
      <c r="J18072"/>
    </row>
    <row r="18073" spans="10:10" x14ac:dyDescent="0.3">
      <c r="J18073"/>
    </row>
    <row r="18074" spans="10:10" x14ac:dyDescent="0.3">
      <c r="J18074"/>
    </row>
    <row r="18075" spans="10:10" x14ac:dyDescent="0.3">
      <c r="J18075"/>
    </row>
    <row r="18076" spans="10:10" x14ac:dyDescent="0.3">
      <c r="J18076"/>
    </row>
    <row r="18077" spans="10:10" x14ac:dyDescent="0.3">
      <c r="J18077"/>
    </row>
    <row r="18078" spans="10:10" x14ac:dyDescent="0.3">
      <c r="J18078"/>
    </row>
    <row r="18079" spans="10:10" x14ac:dyDescent="0.3">
      <c r="J18079"/>
    </row>
    <row r="18080" spans="10:10" x14ac:dyDescent="0.3">
      <c r="J18080"/>
    </row>
    <row r="18081" spans="10:10" x14ac:dyDescent="0.3">
      <c r="J18081"/>
    </row>
    <row r="18082" spans="10:10" x14ac:dyDescent="0.3">
      <c r="J18082"/>
    </row>
    <row r="18083" spans="10:10" x14ac:dyDescent="0.3">
      <c r="J18083"/>
    </row>
    <row r="18084" spans="10:10" x14ac:dyDescent="0.3">
      <c r="J18084"/>
    </row>
    <row r="18085" spans="10:10" x14ac:dyDescent="0.3">
      <c r="J18085"/>
    </row>
    <row r="18086" spans="10:10" x14ac:dyDescent="0.3">
      <c r="J18086"/>
    </row>
    <row r="18087" spans="10:10" x14ac:dyDescent="0.3">
      <c r="J18087"/>
    </row>
    <row r="18088" spans="10:10" x14ac:dyDescent="0.3">
      <c r="J18088"/>
    </row>
    <row r="18089" spans="10:10" x14ac:dyDescent="0.3">
      <c r="J18089"/>
    </row>
    <row r="18090" spans="10:10" x14ac:dyDescent="0.3">
      <c r="J18090"/>
    </row>
    <row r="18091" spans="10:10" x14ac:dyDescent="0.3">
      <c r="J18091"/>
    </row>
    <row r="18092" spans="10:10" x14ac:dyDescent="0.3">
      <c r="J18092"/>
    </row>
    <row r="18093" spans="10:10" x14ac:dyDescent="0.3">
      <c r="J18093"/>
    </row>
    <row r="18094" spans="10:10" x14ac:dyDescent="0.3">
      <c r="J18094"/>
    </row>
    <row r="18095" spans="10:10" x14ac:dyDescent="0.3">
      <c r="J18095"/>
    </row>
    <row r="18096" spans="10:10" x14ac:dyDescent="0.3">
      <c r="J18096"/>
    </row>
    <row r="18097" spans="10:10" x14ac:dyDescent="0.3">
      <c r="J18097"/>
    </row>
    <row r="18098" spans="10:10" x14ac:dyDescent="0.3">
      <c r="J18098"/>
    </row>
    <row r="18099" spans="10:10" x14ac:dyDescent="0.3">
      <c r="J18099"/>
    </row>
    <row r="18100" spans="10:10" x14ac:dyDescent="0.3">
      <c r="J18100"/>
    </row>
    <row r="18101" spans="10:10" x14ac:dyDescent="0.3">
      <c r="J18101"/>
    </row>
    <row r="18102" spans="10:10" x14ac:dyDescent="0.3">
      <c r="J18102"/>
    </row>
    <row r="18103" spans="10:10" x14ac:dyDescent="0.3">
      <c r="J18103"/>
    </row>
    <row r="18104" spans="10:10" x14ac:dyDescent="0.3">
      <c r="J18104"/>
    </row>
    <row r="18105" spans="10:10" x14ac:dyDescent="0.3">
      <c r="J18105"/>
    </row>
    <row r="18106" spans="10:10" x14ac:dyDescent="0.3">
      <c r="J18106"/>
    </row>
    <row r="18107" spans="10:10" x14ac:dyDescent="0.3">
      <c r="J18107"/>
    </row>
    <row r="18108" spans="10:10" x14ac:dyDescent="0.3">
      <c r="J18108"/>
    </row>
    <row r="18109" spans="10:10" x14ac:dyDescent="0.3">
      <c r="J18109"/>
    </row>
    <row r="18110" spans="10:10" x14ac:dyDescent="0.3">
      <c r="J18110"/>
    </row>
    <row r="18111" spans="10:10" x14ac:dyDescent="0.3">
      <c r="J18111"/>
    </row>
    <row r="18112" spans="10:10" x14ac:dyDescent="0.3">
      <c r="J18112"/>
    </row>
    <row r="18113" spans="10:10" x14ac:dyDescent="0.3">
      <c r="J18113"/>
    </row>
    <row r="18114" spans="10:10" x14ac:dyDescent="0.3">
      <c r="J18114"/>
    </row>
    <row r="18115" spans="10:10" x14ac:dyDescent="0.3">
      <c r="J18115"/>
    </row>
    <row r="18116" spans="10:10" x14ac:dyDescent="0.3">
      <c r="J18116"/>
    </row>
    <row r="18117" spans="10:10" x14ac:dyDescent="0.3">
      <c r="J18117"/>
    </row>
    <row r="18118" spans="10:10" x14ac:dyDescent="0.3">
      <c r="J18118"/>
    </row>
    <row r="18119" spans="10:10" x14ac:dyDescent="0.3">
      <c r="J18119"/>
    </row>
    <row r="18120" spans="10:10" x14ac:dyDescent="0.3">
      <c r="J18120"/>
    </row>
    <row r="18121" spans="10:10" x14ac:dyDescent="0.3">
      <c r="J18121"/>
    </row>
    <row r="18122" spans="10:10" x14ac:dyDescent="0.3">
      <c r="J18122"/>
    </row>
    <row r="18123" spans="10:10" x14ac:dyDescent="0.3">
      <c r="J18123"/>
    </row>
    <row r="18124" spans="10:10" x14ac:dyDescent="0.3">
      <c r="J18124"/>
    </row>
    <row r="18125" spans="10:10" x14ac:dyDescent="0.3">
      <c r="J18125"/>
    </row>
    <row r="18126" spans="10:10" x14ac:dyDescent="0.3">
      <c r="J18126"/>
    </row>
    <row r="18127" spans="10:10" x14ac:dyDescent="0.3">
      <c r="J18127"/>
    </row>
    <row r="18128" spans="10:10" x14ac:dyDescent="0.3">
      <c r="J18128"/>
    </row>
    <row r="18129" spans="10:10" x14ac:dyDescent="0.3">
      <c r="J18129"/>
    </row>
    <row r="18130" spans="10:10" x14ac:dyDescent="0.3">
      <c r="J18130"/>
    </row>
    <row r="18131" spans="10:10" x14ac:dyDescent="0.3">
      <c r="J18131"/>
    </row>
    <row r="18132" spans="10:10" x14ac:dyDescent="0.3">
      <c r="J18132"/>
    </row>
    <row r="18133" spans="10:10" x14ac:dyDescent="0.3">
      <c r="J18133"/>
    </row>
    <row r="18134" spans="10:10" x14ac:dyDescent="0.3">
      <c r="J18134"/>
    </row>
    <row r="18135" spans="10:10" x14ac:dyDescent="0.3">
      <c r="J18135"/>
    </row>
    <row r="18136" spans="10:10" x14ac:dyDescent="0.3">
      <c r="J18136"/>
    </row>
    <row r="18137" spans="10:10" x14ac:dyDescent="0.3">
      <c r="J18137"/>
    </row>
    <row r="18138" spans="10:10" x14ac:dyDescent="0.3">
      <c r="J18138"/>
    </row>
    <row r="18139" spans="10:10" x14ac:dyDescent="0.3">
      <c r="J18139"/>
    </row>
    <row r="18140" spans="10:10" x14ac:dyDescent="0.3">
      <c r="J18140"/>
    </row>
    <row r="18141" spans="10:10" x14ac:dyDescent="0.3">
      <c r="J18141"/>
    </row>
    <row r="18142" spans="10:10" x14ac:dyDescent="0.3">
      <c r="J18142"/>
    </row>
    <row r="18143" spans="10:10" x14ac:dyDescent="0.3">
      <c r="J18143"/>
    </row>
    <row r="18144" spans="10:10" x14ac:dyDescent="0.3">
      <c r="J18144"/>
    </row>
    <row r="18145" spans="10:10" x14ac:dyDescent="0.3">
      <c r="J18145"/>
    </row>
    <row r="18146" spans="10:10" x14ac:dyDescent="0.3">
      <c r="J18146"/>
    </row>
    <row r="18147" spans="10:10" x14ac:dyDescent="0.3">
      <c r="J18147"/>
    </row>
    <row r="18148" spans="10:10" x14ac:dyDescent="0.3">
      <c r="J18148"/>
    </row>
    <row r="18149" spans="10:10" x14ac:dyDescent="0.3">
      <c r="J18149"/>
    </row>
    <row r="18150" spans="10:10" x14ac:dyDescent="0.3">
      <c r="J18150"/>
    </row>
    <row r="18151" spans="10:10" x14ac:dyDescent="0.3">
      <c r="J18151"/>
    </row>
    <row r="18152" spans="10:10" x14ac:dyDescent="0.3">
      <c r="J18152"/>
    </row>
    <row r="18153" spans="10:10" x14ac:dyDescent="0.3">
      <c r="J18153"/>
    </row>
    <row r="18154" spans="10:10" x14ac:dyDescent="0.3">
      <c r="J18154"/>
    </row>
    <row r="18155" spans="10:10" x14ac:dyDescent="0.3">
      <c r="J18155"/>
    </row>
    <row r="18156" spans="10:10" x14ac:dyDescent="0.3">
      <c r="J18156"/>
    </row>
    <row r="18157" spans="10:10" x14ac:dyDescent="0.3">
      <c r="J18157"/>
    </row>
    <row r="18158" spans="10:10" x14ac:dyDescent="0.3">
      <c r="J18158"/>
    </row>
    <row r="18159" spans="10:10" x14ac:dyDescent="0.3">
      <c r="J18159"/>
    </row>
    <row r="18160" spans="10:10" x14ac:dyDescent="0.3">
      <c r="J18160"/>
    </row>
    <row r="18161" spans="10:10" x14ac:dyDescent="0.3">
      <c r="J18161"/>
    </row>
    <row r="18162" spans="10:10" x14ac:dyDescent="0.3">
      <c r="J18162"/>
    </row>
    <row r="18163" spans="10:10" x14ac:dyDescent="0.3">
      <c r="J18163"/>
    </row>
    <row r="18164" spans="10:10" x14ac:dyDescent="0.3">
      <c r="J18164"/>
    </row>
    <row r="18165" spans="10:10" x14ac:dyDescent="0.3">
      <c r="J18165"/>
    </row>
    <row r="18166" spans="10:10" x14ac:dyDescent="0.3">
      <c r="J18166"/>
    </row>
    <row r="18167" spans="10:10" x14ac:dyDescent="0.3">
      <c r="J18167"/>
    </row>
    <row r="18168" spans="10:10" x14ac:dyDescent="0.3">
      <c r="J18168"/>
    </row>
    <row r="18169" spans="10:10" x14ac:dyDescent="0.3">
      <c r="J18169"/>
    </row>
    <row r="18170" spans="10:10" x14ac:dyDescent="0.3">
      <c r="J18170"/>
    </row>
    <row r="18171" spans="10:10" x14ac:dyDescent="0.3">
      <c r="J18171"/>
    </row>
    <row r="18172" spans="10:10" x14ac:dyDescent="0.3">
      <c r="J18172"/>
    </row>
    <row r="18173" spans="10:10" x14ac:dyDescent="0.3">
      <c r="J18173"/>
    </row>
    <row r="18174" spans="10:10" x14ac:dyDescent="0.3">
      <c r="J18174"/>
    </row>
    <row r="18175" spans="10:10" x14ac:dyDescent="0.3">
      <c r="J18175"/>
    </row>
    <row r="18176" spans="10:10" x14ac:dyDescent="0.3">
      <c r="J18176"/>
    </row>
    <row r="18177" spans="10:10" x14ac:dyDescent="0.3">
      <c r="J18177"/>
    </row>
    <row r="18178" spans="10:10" x14ac:dyDescent="0.3">
      <c r="J18178"/>
    </row>
    <row r="18179" spans="10:10" x14ac:dyDescent="0.3">
      <c r="J18179"/>
    </row>
    <row r="18180" spans="10:10" x14ac:dyDescent="0.3">
      <c r="J18180"/>
    </row>
    <row r="18181" spans="10:10" x14ac:dyDescent="0.3">
      <c r="J18181"/>
    </row>
    <row r="18182" spans="10:10" x14ac:dyDescent="0.3">
      <c r="J18182"/>
    </row>
    <row r="18183" spans="10:10" x14ac:dyDescent="0.3">
      <c r="J18183"/>
    </row>
    <row r="18184" spans="10:10" x14ac:dyDescent="0.3">
      <c r="J18184"/>
    </row>
    <row r="18185" spans="10:10" x14ac:dyDescent="0.3">
      <c r="J18185"/>
    </row>
    <row r="18186" spans="10:10" x14ac:dyDescent="0.3">
      <c r="J18186"/>
    </row>
    <row r="18187" spans="10:10" x14ac:dyDescent="0.3">
      <c r="J18187"/>
    </row>
    <row r="18188" spans="10:10" x14ac:dyDescent="0.3">
      <c r="J18188"/>
    </row>
    <row r="18189" spans="10:10" x14ac:dyDescent="0.3">
      <c r="J18189"/>
    </row>
    <row r="18190" spans="10:10" x14ac:dyDescent="0.3">
      <c r="J18190"/>
    </row>
    <row r="18191" spans="10:10" x14ac:dyDescent="0.3">
      <c r="J18191"/>
    </row>
    <row r="18192" spans="10:10" x14ac:dyDescent="0.3">
      <c r="J18192"/>
    </row>
    <row r="18193" spans="10:10" x14ac:dyDescent="0.3">
      <c r="J18193"/>
    </row>
    <row r="18194" spans="10:10" x14ac:dyDescent="0.3">
      <c r="J18194"/>
    </row>
    <row r="18195" spans="10:10" x14ac:dyDescent="0.3">
      <c r="J18195"/>
    </row>
    <row r="18196" spans="10:10" x14ac:dyDescent="0.3">
      <c r="J18196"/>
    </row>
    <row r="18197" spans="10:10" x14ac:dyDescent="0.3">
      <c r="J18197"/>
    </row>
    <row r="18198" spans="10:10" x14ac:dyDescent="0.3">
      <c r="J18198"/>
    </row>
    <row r="18199" spans="10:10" x14ac:dyDescent="0.3">
      <c r="J18199"/>
    </row>
    <row r="18200" spans="10:10" x14ac:dyDescent="0.3">
      <c r="J18200"/>
    </row>
    <row r="18201" spans="10:10" x14ac:dyDescent="0.3">
      <c r="J18201"/>
    </row>
    <row r="18202" spans="10:10" x14ac:dyDescent="0.3">
      <c r="J18202"/>
    </row>
    <row r="18203" spans="10:10" x14ac:dyDescent="0.3">
      <c r="J18203"/>
    </row>
    <row r="18204" spans="10:10" x14ac:dyDescent="0.3">
      <c r="J18204"/>
    </row>
    <row r="18205" spans="10:10" x14ac:dyDescent="0.3">
      <c r="J18205"/>
    </row>
    <row r="18206" spans="10:10" x14ac:dyDescent="0.3">
      <c r="J18206"/>
    </row>
    <row r="18207" spans="10:10" x14ac:dyDescent="0.3">
      <c r="J18207"/>
    </row>
    <row r="18208" spans="10:10" x14ac:dyDescent="0.3">
      <c r="J18208"/>
    </row>
    <row r="18209" spans="10:10" x14ac:dyDescent="0.3">
      <c r="J18209"/>
    </row>
    <row r="18210" spans="10:10" x14ac:dyDescent="0.3">
      <c r="J18210"/>
    </row>
    <row r="18211" spans="10:10" x14ac:dyDescent="0.3">
      <c r="J18211"/>
    </row>
    <row r="18212" spans="10:10" x14ac:dyDescent="0.3">
      <c r="J18212"/>
    </row>
    <row r="18213" spans="10:10" x14ac:dyDescent="0.3">
      <c r="J18213"/>
    </row>
    <row r="18214" spans="10:10" x14ac:dyDescent="0.3">
      <c r="J18214"/>
    </row>
    <row r="18215" spans="10:10" x14ac:dyDescent="0.3">
      <c r="J18215"/>
    </row>
    <row r="18216" spans="10:10" x14ac:dyDescent="0.3">
      <c r="J18216"/>
    </row>
    <row r="18217" spans="10:10" x14ac:dyDescent="0.3">
      <c r="J18217"/>
    </row>
    <row r="18218" spans="10:10" x14ac:dyDescent="0.3">
      <c r="J18218"/>
    </row>
    <row r="18219" spans="10:10" x14ac:dyDescent="0.3">
      <c r="J18219"/>
    </row>
    <row r="18220" spans="10:10" x14ac:dyDescent="0.3">
      <c r="J18220"/>
    </row>
    <row r="18221" spans="10:10" x14ac:dyDescent="0.3">
      <c r="J18221"/>
    </row>
    <row r="18222" spans="10:10" x14ac:dyDescent="0.3">
      <c r="J18222"/>
    </row>
    <row r="18223" spans="10:10" x14ac:dyDescent="0.3">
      <c r="J18223"/>
    </row>
    <row r="18224" spans="10:10" x14ac:dyDescent="0.3">
      <c r="J18224"/>
    </row>
    <row r="18225" spans="10:10" x14ac:dyDescent="0.3">
      <c r="J18225"/>
    </row>
    <row r="18226" spans="10:10" x14ac:dyDescent="0.3">
      <c r="J18226"/>
    </row>
    <row r="18227" spans="10:10" x14ac:dyDescent="0.3">
      <c r="J18227"/>
    </row>
    <row r="18228" spans="10:10" x14ac:dyDescent="0.3">
      <c r="J18228"/>
    </row>
    <row r="18229" spans="10:10" x14ac:dyDescent="0.3">
      <c r="J18229"/>
    </row>
    <row r="18230" spans="10:10" x14ac:dyDescent="0.3">
      <c r="J18230"/>
    </row>
    <row r="18231" spans="10:10" x14ac:dyDescent="0.3">
      <c r="J18231"/>
    </row>
    <row r="18232" spans="10:10" x14ac:dyDescent="0.3">
      <c r="J18232"/>
    </row>
    <row r="18233" spans="10:10" x14ac:dyDescent="0.3">
      <c r="J18233"/>
    </row>
    <row r="18234" spans="10:10" x14ac:dyDescent="0.3">
      <c r="J18234"/>
    </row>
    <row r="18235" spans="10:10" x14ac:dyDescent="0.3">
      <c r="J18235"/>
    </row>
    <row r="18236" spans="10:10" x14ac:dyDescent="0.3">
      <c r="J18236"/>
    </row>
    <row r="18237" spans="10:10" x14ac:dyDescent="0.3">
      <c r="J18237"/>
    </row>
    <row r="18238" spans="10:10" x14ac:dyDescent="0.3">
      <c r="J18238"/>
    </row>
    <row r="18239" spans="10:10" x14ac:dyDescent="0.3">
      <c r="J18239"/>
    </row>
    <row r="18240" spans="10:10" x14ac:dyDescent="0.3">
      <c r="J18240"/>
    </row>
    <row r="18241" spans="10:10" x14ac:dyDescent="0.3">
      <c r="J18241"/>
    </row>
    <row r="18242" spans="10:10" x14ac:dyDescent="0.3">
      <c r="J18242"/>
    </row>
    <row r="18243" spans="10:10" x14ac:dyDescent="0.3">
      <c r="J18243"/>
    </row>
    <row r="18244" spans="10:10" x14ac:dyDescent="0.3">
      <c r="J18244"/>
    </row>
    <row r="18245" spans="10:10" x14ac:dyDescent="0.3">
      <c r="J18245"/>
    </row>
    <row r="18246" spans="10:10" x14ac:dyDescent="0.3">
      <c r="J18246"/>
    </row>
    <row r="18247" spans="10:10" x14ac:dyDescent="0.3">
      <c r="J18247"/>
    </row>
    <row r="18248" spans="10:10" x14ac:dyDescent="0.3">
      <c r="J18248"/>
    </row>
    <row r="18249" spans="10:10" x14ac:dyDescent="0.3">
      <c r="J18249"/>
    </row>
    <row r="18250" spans="10:10" x14ac:dyDescent="0.3">
      <c r="J18250"/>
    </row>
    <row r="18251" spans="10:10" x14ac:dyDescent="0.3">
      <c r="J18251"/>
    </row>
    <row r="18252" spans="10:10" x14ac:dyDescent="0.3">
      <c r="J18252"/>
    </row>
    <row r="18253" spans="10:10" x14ac:dyDescent="0.3">
      <c r="J18253"/>
    </row>
    <row r="18254" spans="10:10" x14ac:dyDescent="0.3">
      <c r="J18254"/>
    </row>
    <row r="18255" spans="10:10" x14ac:dyDescent="0.3">
      <c r="J18255"/>
    </row>
    <row r="18256" spans="10:10" x14ac:dyDescent="0.3">
      <c r="J18256"/>
    </row>
    <row r="18257" spans="10:10" x14ac:dyDescent="0.3">
      <c r="J18257"/>
    </row>
    <row r="18258" spans="10:10" x14ac:dyDescent="0.3">
      <c r="J18258"/>
    </row>
    <row r="18259" spans="10:10" x14ac:dyDescent="0.3">
      <c r="J18259"/>
    </row>
    <row r="18260" spans="10:10" x14ac:dyDescent="0.3">
      <c r="J18260"/>
    </row>
    <row r="18261" spans="10:10" x14ac:dyDescent="0.3">
      <c r="J18261"/>
    </row>
    <row r="18262" spans="10:10" x14ac:dyDescent="0.3">
      <c r="J18262"/>
    </row>
    <row r="18263" spans="10:10" x14ac:dyDescent="0.3">
      <c r="J18263"/>
    </row>
    <row r="18264" spans="10:10" x14ac:dyDescent="0.3">
      <c r="J18264"/>
    </row>
    <row r="18265" spans="10:10" x14ac:dyDescent="0.3">
      <c r="J18265"/>
    </row>
    <row r="18266" spans="10:10" x14ac:dyDescent="0.3">
      <c r="J18266"/>
    </row>
    <row r="18267" spans="10:10" x14ac:dyDescent="0.3">
      <c r="J18267"/>
    </row>
    <row r="18268" spans="10:10" x14ac:dyDescent="0.3">
      <c r="J18268"/>
    </row>
    <row r="18269" spans="10:10" x14ac:dyDescent="0.3">
      <c r="J18269"/>
    </row>
    <row r="18270" spans="10:10" x14ac:dyDescent="0.3">
      <c r="J18270"/>
    </row>
    <row r="18271" spans="10:10" x14ac:dyDescent="0.3">
      <c r="J18271"/>
    </row>
    <row r="18272" spans="10:10" x14ac:dyDescent="0.3">
      <c r="J18272"/>
    </row>
    <row r="18273" spans="10:10" x14ac:dyDescent="0.3">
      <c r="J18273"/>
    </row>
    <row r="18274" spans="10:10" x14ac:dyDescent="0.3">
      <c r="J18274"/>
    </row>
    <row r="18275" spans="10:10" x14ac:dyDescent="0.3">
      <c r="J18275"/>
    </row>
    <row r="18276" spans="10:10" x14ac:dyDescent="0.3">
      <c r="J18276"/>
    </row>
    <row r="18277" spans="10:10" x14ac:dyDescent="0.3">
      <c r="J18277"/>
    </row>
    <row r="18278" spans="10:10" x14ac:dyDescent="0.3">
      <c r="J18278"/>
    </row>
    <row r="18279" spans="10:10" x14ac:dyDescent="0.3">
      <c r="J18279"/>
    </row>
    <row r="18280" spans="10:10" x14ac:dyDescent="0.3">
      <c r="J18280"/>
    </row>
    <row r="18281" spans="10:10" x14ac:dyDescent="0.3">
      <c r="J18281"/>
    </row>
    <row r="18282" spans="10:10" x14ac:dyDescent="0.3">
      <c r="J18282"/>
    </row>
    <row r="18283" spans="10:10" x14ac:dyDescent="0.3">
      <c r="J18283"/>
    </row>
    <row r="18284" spans="10:10" x14ac:dyDescent="0.3">
      <c r="J18284"/>
    </row>
    <row r="18285" spans="10:10" x14ac:dyDescent="0.3">
      <c r="J18285"/>
    </row>
    <row r="18286" spans="10:10" x14ac:dyDescent="0.3">
      <c r="J18286"/>
    </row>
    <row r="18287" spans="10:10" x14ac:dyDescent="0.3">
      <c r="J18287"/>
    </row>
    <row r="18288" spans="10:10" x14ac:dyDescent="0.3">
      <c r="J18288"/>
    </row>
    <row r="18289" spans="10:10" x14ac:dyDescent="0.3">
      <c r="J18289"/>
    </row>
    <row r="18290" spans="10:10" x14ac:dyDescent="0.3">
      <c r="J18290"/>
    </row>
    <row r="18291" spans="10:10" x14ac:dyDescent="0.3">
      <c r="J18291"/>
    </row>
    <row r="18292" spans="10:10" x14ac:dyDescent="0.3">
      <c r="J18292"/>
    </row>
    <row r="18293" spans="10:10" x14ac:dyDescent="0.3">
      <c r="J18293"/>
    </row>
    <row r="18294" spans="10:10" x14ac:dyDescent="0.3">
      <c r="J18294"/>
    </row>
    <row r="18295" spans="10:10" x14ac:dyDescent="0.3">
      <c r="J18295"/>
    </row>
    <row r="18296" spans="10:10" x14ac:dyDescent="0.3">
      <c r="J18296"/>
    </row>
    <row r="18297" spans="10:10" x14ac:dyDescent="0.3">
      <c r="J18297"/>
    </row>
    <row r="18298" spans="10:10" x14ac:dyDescent="0.3">
      <c r="J18298"/>
    </row>
    <row r="18299" spans="10:10" x14ac:dyDescent="0.3">
      <c r="J18299"/>
    </row>
    <row r="18300" spans="10:10" x14ac:dyDescent="0.3">
      <c r="J18300"/>
    </row>
    <row r="18301" spans="10:10" x14ac:dyDescent="0.3">
      <c r="J18301"/>
    </row>
    <row r="18302" spans="10:10" x14ac:dyDescent="0.3">
      <c r="J18302"/>
    </row>
    <row r="18303" spans="10:10" x14ac:dyDescent="0.3">
      <c r="J18303"/>
    </row>
    <row r="18304" spans="10:10" x14ac:dyDescent="0.3">
      <c r="J18304"/>
    </row>
    <row r="18305" spans="10:10" x14ac:dyDescent="0.3">
      <c r="J18305"/>
    </row>
    <row r="18306" spans="10:10" x14ac:dyDescent="0.3">
      <c r="J18306"/>
    </row>
    <row r="18307" spans="10:10" x14ac:dyDescent="0.3">
      <c r="J18307"/>
    </row>
    <row r="18308" spans="10:10" x14ac:dyDescent="0.3">
      <c r="J18308"/>
    </row>
    <row r="18309" spans="10:10" x14ac:dyDescent="0.3">
      <c r="J18309"/>
    </row>
    <row r="18310" spans="10:10" x14ac:dyDescent="0.3">
      <c r="J18310"/>
    </row>
    <row r="18311" spans="10:10" x14ac:dyDescent="0.3">
      <c r="J18311"/>
    </row>
    <row r="18312" spans="10:10" x14ac:dyDescent="0.3">
      <c r="J18312"/>
    </row>
    <row r="18313" spans="10:10" x14ac:dyDescent="0.3">
      <c r="J18313"/>
    </row>
    <row r="18314" spans="10:10" x14ac:dyDescent="0.3">
      <c r="J18314"/>
    </row>
    <row r="18315" spans="10:10" x14ac:dyDescent="0.3">
      <c r="J18315"/>
    </row>
    <row r="18316" spans="10:10" x14ac:dyDescent="0.3">
      <c r="J18316"/>
    </row>
    <row r="18317" spans="10:10" x14ac:dyDescent="0.3">
      <c r="J18317"/>
    </row>
    <row r="18318" spans="10:10" x14ac:dyDescent="0.3">
      <c r="J18318"/>
    </row>
    <row r="18319" spans="10:10" x14ac:dyDescent="0.3">
      <c r="J18319"/>
    </row>
    <row r="18320" spans="10:10" x14ac:dyDescent="0.3">
      <c r="J18320"/>
    </row>
    <row r="18321" spans="10:10" x14ac:dyDescent="0.3">
      <c r="J18321"/>
    </row>
    <row r="18322" spans="10:10" x14ac:dyDescent="0.3">
      <c r="J18322"/>
    </row>
    <row r="18323" spans="10:10" x14ac:dyDescent="0.3">
      <c r="J18323"/>
    </row>
    <row r="18324" spans="10:10" x14ac:dyDescent="0.3">
      <c r="J18324"/>
    </row>
    <row r="18325" spans="10:10" x14ac:dyDescent="0.3">
      <c r="J18325"/>
    </row>
    <row r="18326" spans="10:10" x14ac:dyDescent="0.3">
      <c r="J18326"/>
    </row>
    <row r="18327" spans="10:10" x14ac:dyDescent="0.3">
      <c r="J18327"/>
    </row>
    <row r="18328" spans="10:10" x14ac:dyDescent="0.3">
      <c r="J18328"/>
    </row>
    <row r="18329" spans="10:10" x14ac:dyDescent="0.3">
      <c r="J18329"/>
    </row>
    <row r="18330" spans="10:10" x14ac:dyDescent="0.3">
      <c r="J18330"/>
    </row>
    <row r="18331" spans="10:10" x14ac:dyDescent="0.3">
      <c r="J18331"/>
    </row>
    <row r="18332" spans="10:10" x14ac:dyDescent="0.3">
      <c r="J18332"/>
    </row>
    <row r="18333" spans="10:10" x14ac:dyDescent="0.3">
      <c r="J18333"/>
    </row>
    <row r="18334" spans="10:10" x14ac:dyDescent="0.3">
      <c r="J18334"/>
    </row>
    <row r="18335" spans="10:10" x14ac:dyDescent="0.3">
      <c r="J18335"/>
    </row>
    <row r="18336" spans="10:10" x14ac:dyDescent="0.3">
      <c r="J18336"/>
    </row>
    <row r="18337" spans="10:10" x14ac:dyDescent="0.3">
      <c r="J18337"/>
    </row>
    <row r="18338" spans="10:10" x14ac:dyDescent="0.3">
      <c r="J18338"/>
    </row>
    <row r="18339" spans="10:10" x14ac:dyDescent="0.3">
      <c r="J18339"/>
    </row>
    <row r="18340" spans="10:10" x14ac:dyDescent="0.3">
      <c r="J18340"/>
    </row>
    <row r="18341" spans="10:10" x14ac:dyDescent="0.3">
      <c r="J18341"/>
    </row>
    <row r="18342" spans="10:10" x14ac:dyDescent="0.3">
      <c r="J18342"/>
    </row>
    <row r="18343" spans="10:10" x14ac:dyDescent="0.3">
      <c r="J18343"/>
    </row>
    <row r="18344" spans="10:10" x14ac:dyDescent="0.3">
      <c r="J18344"/>
    </row>
    <row r="18345" spans="10:10" x14ac:dyDescent="0.3">
      <c r="J18345"/>
    </row>
    <row r="18346" spans="10:10" x14ac:dyDescent="0.3">
      <c r="J18346"/>
    </row>
    <row r="18347" spans="10:10" x14ac:dyDescent="0.3">
      <c r="J18347"/>
    </row>
    <row r="18348" spans="10:10" x14ac:dyDescent="0.3">
      <c r="J18348"/>
    </row>
    <row r="18349" spans="10:10" x14ac:dyDescent="0.3">
      <c r="J18349"/>
    </row>
    <row r="18350" spans="10:10" x14ac:dyDescent="0.3">
      <c r="J18350"/>
    </row>
    <row r="18351" spans="10:10" x14ac:dyDescent="0.3">
      <c r="J18351"/>
    </row>
    <row r="18352" spans="10:10" x14ac:dyDescent="0.3">
      <c r="J18352"/>
    </row>
    <row r="18353" spans="10:10" x14ac:dyDescent="0.3">
      <c r="J18353"/>
    </row>
    <row r="18354" spans="10:10" x14ac:dyDescent="0.3">
      <c r="J18354"/>
    </row>
    <row r="18355" spans="10:10" x14ac:dyDescent="0.3">
      <c r="J18355"/>
    </row>
    <row r="18356" spans="10:10" x14ac:dyDescent="0.3">
      <c r="J18356"/>
    </row>
    <row r="18357" spans="10:10" x14ac:dyDescent="0.3">
      <c r="J18357"/>
    </row>
    <row r="18358" spans="10:10" x14ac:dyDescent="0.3">
      <c r="J18358"/>
    </row>
    <row r="18359" spans="10:10" x14ac:dyDescent="0.3">
      <c r="J18359"/>
    </row>
    <row r="18360" spans="10:10" x14ac:dyDescent="0.3">
      <c r="J18360"/>
    </row>
    <row r="18361" spans="10:10" x14ac:dyDescent="0.3">
      <c r="J18361"/>
    </row>
    <row r="18362" spans="10:10" x14ac:dyDescent="0.3">
      <c r="J18362"/>
    </row>
    <row r="18363" spans="10:10" x14ac:dyDescent="0.3">
      <c r="J18363"/>
    </row>
    <row r="18364" spans="10:10" x14ac:dyDescent="0.3">
      <c r="J18364"/>
    </row>
    <row r="18365" spans="10:10" x14ac:dyDescent="0.3">
      <c r="J18365"/>
    </row>
    <row r="18366" spans="10:10" x14ac:dyDescent="0.3">
      <c r="J18366"/>
    </row>
    <row r="18367" spans="10:10" x14ac:dyDescent="0.3">
      <c r="J18367"/>
    </row>
    <row r="18368" spans="10:10" x14ac:dyDescent="0.3">
      <c r="J18368"/>
    </row>
    <row r="18369" spans="10:10" x14ac:dyDescent="0.3">
      <c r="J18369"/>
    </row>
    <row r="18370" spans="10:10" x14ac:dyDescent="0.3">
      <c r="J18370"/>
    </row>
    <row r="18371" spans="10:10" x14ac:dyDescent="0.3">
      <c r="J18371"/>
    </row>
    <row r="18372" spans="10:10" x14ac:dyDescent="0.3">
      <c r="J18372"/>
    </row>
    <row r="18373" spans="10:10" x14ac:dyDescent="0.3">
      <c r="J18373"/>
    </row>
    <row r="18374" spans="10:10" x14ac:dyDescent="0.3">
      <c r="J18374"/>
    </row>
    <row r="18375" spans="10:10" x14ac:dyDescent="0.3">
      <c r="J18375"/>
    </row>
    <row r="18376" spans="10:10" x14ac:dyDescent="0.3">
      <c r="J18376"/>
    </row>
    <row r="18377" spans="10:10" x14ac:dyDescent="0.3">
      <c r="J18377"/>
    </row>
    <row r="18378" spans="10:10" x14ac:dyDescent="0.3">
      <c r="J18378"/>
    </row>
    <row r="18379" spans="10:10" x14ac:dyDescent="0.3">
      <c r="J18379"/>
    </row>
    <row r="18380" spans="10:10" x14ac:dyDescent="0.3">
      <c r="J18380"/>
    </row>
    <row r="18381" spans="10:10" x14ac:dyDescent="0.3">
      <c r="J18381"/>
    </row>
    <row r="18382" spans="10:10" x14ac:dyDescent="0.3">
      <c r="J18382"/>
    </row>
    <row r="18383" spans="10:10" x14ac:dyDescent="0.3">
      <c r="J18383"/>
    </row>
    <row r="18384" spans="10:10" x14ac:dyDescent="0.3">
      <c r="J18384"/>
    </row>
    <row r="18385" spans="10:10" x14ac:dyDescent="0.3">
      <c r="J18385"/>
    </row>
    <row r="18386" spans="10:10" x14ac:dyDescent="0.3">
      <c r="J18386"/>
    </row>
    <row r="18387" spans="10:10" x14ac:dyDescent="0.3">
      <c r="J18387"/>
    </row>
    <row r="18388" spans="10:10" x14ac:dyDescent="0.3">
      <c r="J18388"/>
    </row>
    <row r="18389" spans="10:10" x14ac:dyDescent="0.3">
      <c r="J18389"/>
    </row>
    <row r="18390" spans="10:10" x14ac:dyDescent="0.3">
      <c r="J18390"/>
    </row>
    <row r="18391" spans="10:10" x14ac:dyDescent="0.3">
      <c r="J18391"/>
    </row>
    <row r="18392" spans="10:10" x14ac:dyDescent="0.3">
      <c r="J18392"/>
    </row>
    <row r="18393" spans="10:10" x14ac:dyDescent="0.3">
      <c r="J18393"/>
    </row>
    <row r="18394" spans="10:10" x14ac:dyDescent="0.3">
      <c r="J18394"/>
    </row>
    <row r="18395" spans="10:10" x14ac:dyDescent="0.3">
      <c r="J18395"/>
    </row>
    <row r="18396" spans="10:10" x14ac:dyDescent="0.3">
      <c r="J18396"/>
    </row>
    <row r="18397" spans="10:10" x14ac:dyDescent="0.3">
      <c r="J18397"/>
    </row>
    <row r="18398" spans="10:10" x14ac:dyDescent="0.3">
      <c r="J18398"/>
    </row>
    <row r="18399" spans="10:10" x14ac:dyDescent="0.3">
      <c r="J18399"/>
    </row>
    <row r="18400" spans="10:10" x14ac:dyDescent="0.3">
      <c r="J18400"/>
    </row>
    <row r="18401" spans="10:10" x14ac:dyDescent="0.3">
      <c r="J18401"/>
    </row>
    <row r="18402" spans="10:10" x14ac:dyDescent="0.3">
      <c r="J18402"/>
    </row>
    <row r="18403" spans="10:10" x14ac:dyDescent="0.3">
      <c r="J18403"/>
    </row>
    <row r="18404" spans="10:10" x14ac:dyDescent="0.3">
      <c r="J18404"/>
    </row>
    <row r="18405" spans="10:10" x14ac:dyDescent="0.3">
      <c r="J18405"/>
    </row>
    <row r="18406" spans="10:10" x14ac:dyDescent="0.3">
      <c r="J18406"/>
    </row>
    <row r="18407" spans="10:10" x14ac:dyDescent="0.3">
      <c r="J18407"/>
    </row>
    <row r="18408" spans="10:10" x14ac:dyDescent="0.3">
      <c r="J18408"/>
    </row>
    <row r="18409" spans="10:10" x14ac:dyDescent="0.3">
      <c r="J18409"/>
    </row>
    <row r="18410" spans="10:10" x14ac:dyDescent="0.3">
      <c r="J18410"/>
    </row>
    <row r="18411" spans="10:10" x14ac:dyDescent="0.3">
      <c r="J18411"/>
    </row>
    <row r="18412" spans="10:10" x14ac:dyDescent="0.3">
      <c r="J18412"/>
    </row>
    <row r="18413" spans="10:10" x14ac:dyDescent="0.3">
      <c r="J18413"/>
    </row>
    <row r="18414" spans="10:10" x14ac:dyDescent="0.3">
      <c r="J18414"/>
    </row>
    <row r="18415" spans="10:10" x14ac:dyDescent="0.3">
      <c r="J18415"/>
    </row>
    <row r="18416" spans="10:10" x14ac:dyDescent="0.3">
      <c r="J18416"/>
    </row>
    <row r="18417" spans="10:10" x14ac:dyDescent="0.3">
      <c r="J18417"/>
    </row>
    <row r="18418" spans="10:10" x14ac:dyDescent="0.3">
      <c r="J18418"/>
    </row>
    <row r="18419" spans="10:10" x14ac:dyDescent="0.3">
      <c r="J18419"/>
    </row>
    <row r="18420" spans="10:10" x14ac:dyDescent="0.3">
      <c r="J18420"/>
    </row>
    <row r="18421" spans="10:10" x14ac:dyDescent="0.3">
      <c r="J18421"/>
    </row>
    <row r="18422" spans="10:10" x14ac:dyDescent="0.3">
      <c r="J18422"/>
    </row>
    <row r="18423" spans="10:10" x14ac:dyDescent="0.3">
      <c r="J18423"/>
    </row>
    <row r="18424" spans="10:10" x14ac:dyDescent="0.3">
      <c r="J18424"/>
    </row>
    <row r="18425" spans="10:10" x14ac:dyDescent="0.3">
      <c r="J18425"/>
    </row>
    <row r="18426" spans="10:10" x14ac:dyDescent="0.3">
      <c r="J18426"/>
    </row>
    <row r="18427" spans="10:10" x14ac:dyDescent="0.3">
      <c r="J18427"/>
    </row>
    <row r="18428" spans="10:10" x14ac:dyDescent="0.3">
      <c r="J18428"/>
    </row>
    <row r="18429" spans="10:10" x14ac:dyDescent="0.3">
      <c r="J18429"/>
    </row>
    <row r="18430" spans="10:10" x14ac:dyDescent="0.3">
      <c r="J18430"/>
    </row>
    <row r="18431" spans="10:10" x14ac:dyDescent="0.3">
      <c r="J18431"/>
    </row>
    <row r="18432" spans="10:10" x14ac:dyDescent="0.3">
      <c r="J18432"/>
    </row>
    <row r="18433" spans="10:10" x14ac:dyDescent="0.3">
      <c r="J18433"/>
    </row>
    <row r="18434" spans="10:10" x14ac:dyDescent="0.3">
      <c r="J18434"/>
    </row>
    <row r="18435" spans="10:10" x14ac:dyDescent="0.3">
      <c r="J18435"/>
    </row>
    <row r="18436" spans="10:10" x14ac:dyDescent="0.3">
      <c r="J18436"/>
    </row>
    <row r="18437" spans="10:10" x14ac:dyDescent="0.3">
      <c r="J18437"/>
    </row>
    <row r="18438" spans="10:10" x14ac:dyDescent="0.3">
      <c r="J18438"/>
    </row>
    <row r="18439" spans="10:10" x14ac:dyDescent="0.3">
      <c r="J18439"/>
    </row>
    <row r="18440" spans="10:10" x14ac:dyDescent="0.3">
      <c r="J18440"/>
    </row>
    <row r="18441" spans="10:10" x14ac:dyDescent="0.3">
      <c r="J18441"/>
    </row>
    <row r="18442" spans="10:10" x14ac:dyDescent="0.3">
      <c r="J18442"/>
    </row>
    <row r="18443" spans="10:10" x14ac:dyDescent="0.3">
      <c r="J18443"/>
    </row>
    <row r="18444" spans="10:10" x14ac:dyDescent="0.3">
      <c r="J18444"/>
    </row>
    <row r="18445" spans="10:10" x14ac:dyDescent="0.3">
      <c r="J18445"/>
    </row>
    <row r="18446" spans="10:10" x14ac:dyDescent="0.3">
      <c r="J18446"/>
    </row>
    <row r="18447" spans="10:10" x14ac:dyDescent="0.3">
      <c r="J18447"/>
    </row>
    <row r="18448" spans="10:10" x14ac:dyDescent="0.3">
      <c r="J18448"/>
    </row>
    <row r="18449" spans="10:10" x14ac:dyDescent="0.3">
      <c r="J18449"/>
    </row>
    <row r="18450" spans="10:10" x14ac:dyDescent="0.3">
      <c r="J18450"/>
    </row>
    <row r="18451" spans="10:10" x14ac:dyDescent="0.3">
      <c r="J18451"/>
    </row>
    <row r="18452" spans="10:10" x14ac:dyDescent="0.3">
      <c r="J18452"/>
    </row>
    <row r="18453" spans="10:10" x14ac:dyDescent="0.3">
      <c r="J18453"/>
    </row>
    <row r="18454" spans="10:10" x14ac:dyDescent="0.3">
      <c r="J18454"/>
    </row>
    <row r="18455" spans="10:10" x14ac:dyDescent="0.3">
      <c r="J18455"/>
    </row>
    <row r="18456" spans="10:10" x14ac:dyDescent="0.3">
      <c r="J18456"/>
    </row>
    <row r="18457" spans="10:10" x14ac:dyDescent="0.3">
      <c r="J18457"/>
    </row>
    <row r="18458" spans="10:10" x14ac:dyDescent="0.3">
      <c r="J18458"/>
    </row>
    <row r="18459" spans="10:10" x14ac:dyDescent="0.3">
      <c r="J18459"/>
    </row>
    <row r="18460" spans="10:10" x14ac:dyDescent="0.3">
      <c r="J18460"/>
    </row>
    <row r="18461" spans="10:10" x14ac:dyDescent="0.3">
      <c r="J18461"/>
    </row>
    <row r="18462" spans="10:10" x14ac:dyDescent="0.3">
      <c r="J18462"/>
    </row>
    <row r="18463" spans="10:10" x14ac:dyDescent="0.3">
      <c r="J18463"/>
    </row>
    <row r="18464" spans="10:10" x14ac:dyDescent="0.3">
      <c r="J18464"/>
    </row>
    <row r="18465" spans="10:10" x14ac:dyDescent="0.3">
      <c r="J18465"/>
    </row>
    <row r="18466" spans="10:10" x14ac:dyDescent="0.3">
      <c r="J18466"/>
    </row>
    <row r="18467" spans="10:10" x14ac:dyDescent="0.3">
      <c r="J18467"/>
    </row>
    <row r="18468" spans="10:10" x14ac:dyDescent="0.3">
      <c r="J18468"/>
    </row>
    <row r="18469" spans="10:10" x14ac:dyDescent="0.3">
      <c r="J18469"/>
    </row>
    <row r="18470" spans="10:10" x14ac:dyDescent="0.3">
      <c r="J18470"/>
    </row>
    <row r="18471" spans="10:10" x14ac:dyDescent="0.3">
      <c r="J18471"/>
    </row>
    <row r="18472" spans="10:10" x14ac:dyDescent="0.3">
      <c r="J18472"/>
    </row>
    <row r="18473" spans="10:10" x14ac:dyDescent="0.3">
      <c r="J18473"/>
    </row>
    <row r="18474" spans="10:10" x14ac:dyDescent="0.3">
      <c r="J18474"/>
    </row>
    <row r="18475" spans="10:10" x14ac:dyDescent="0.3">
      <c r="J18475"/>
    </row>
    <row r="18476" spans="10:10" x14ac:dyDescent="0.3">
      <c r="J18476"/>
    </row>
    <row r="18477" spans="10:10" x14ac:dyDescent="0.3">
      <c r="J18477"/>
    </row>
    <row r="18478" spans="10:10" x14ac:dyDescent="0.3">
      <c r="J18478"/>
    </row>
    <row r="18479" spans="10:10" x14ac:dyDescent="0.3">
      <c r="J18479"/>
    </row>
    <row r="18480" spans="10:10" x14ac:dyDescent="0.3">
      <c r="J18480"/>
    </row>
    <row r="18481" spans="10:10" x14ac:dyDescent="0.3">
      <c r="J18481"/>
    </row>
    <row r="18482" spans="10:10" x14ac:dyDescent="0.3">
      <c r="J18482"/>
    </row>
    <row r="18483" spans="10:10" x14ac:dyDescent="0.3">
      <c r="J18483"/>
    </row>
    <row r="18484" spans="10:10" x14ac:dyDescent="0.3">
      <c r="J18484"/>
    </row>
    <row r="18485" spans="10:10" x14ac:dyDescent="0.3">
      <c r="J18485"/>
    </row>
    <row r="18486" spans="10:10" x14ac:dyDescent="0.3">
      <c r="J18486"/>
    </row>
    <row r="18487" spans="10:10" x14ac:dyDescent="0.3">
      <c r="J18487"/>
    </row>
    <row r="18488" spans="10:10" x14ac:dyDescent="0.3">
      <c r="J18488"/>
    </row>
    <row r="18489" spans="10:10" x14ac:dyDescent="0.3">
      <c r="J18489"/>
    </row>
    <row r="18490" spans="10:10" x14ac:dyDescent="0.3">
      <c r="J18490"/>
    </row>
    <row r="18491" spans="10:10" x14ac:dyDescent="0.3">
      <c r="J18491"/>
    </row>
    <row r="18492" spans="10:10" x14ac:dyDescent="0.3">
      <c r="J18492"/>
    </row>
    <row r="18493" spans="10:10" x14ac:dyDescent="0.3">
      <c r="J18493"/>
    </row>
    <row r="18494" spans="10:10" x14ac:dyDescent="0.3">
      <c r="J18494"/>
    </row>
    <row r="18495" spans="10:10" x14ac:dyDescent="0.3">
      <c r="J18495"/>
    </row>
    <row r="18496" spans="10:10" x14ac:dyDescent="0.3">
      <c r="J18496"/>
    </row>
    <row r="18497" spans="10:10" x14ac:dyDescent="0.3">
      <c r="J18497"/>
    </row>
    <row r="18498" spans="10:10" x14ac:dyDescent="0.3">
      <c r="J18498"/>
    </row>
    <row r="18499" spans="10:10" x14ac:dyDescent="0.3">
      <c r="J18499"/>
    </row>
    <row r="18500" spans="10:10" x14ac:dyDescent="0.3">
      <c r="J18500"/>
    </row>
    <row r="18501" spans="10:10" x14ac:dyDescent="0.3">
      <c r="J18501"/>
    </row>
    <row r="18502" spans="10:10" x14ac:dyDescent="0.3">
      <c r="J18502"/>
    </row>
    <row r="18503" spans="10:10" x14ac:dyDescent="0.3">
      <c r="J18503"/>
    </row>
    <row r="18504" spans="10:10" x14ac:dyDescent="0.3">
      <c r="J18504"/>
    </row>
    <row r="18505" spans="10:10" x14ac:dyDescent="0.3">
      <c r="J18505"/>
    </row>
    <row r="18506" spans="10:10" x14ac:dyDescent="0.3">
      <c r="J18506"/>
    </row>
    <row r="18507" spans="10:10" x14ac:dyDescent="0.3">
      <c r="J18507"/>
    </row>
    <row r="18508" spans="10:10" x14ac:dyDescent="0.3">
      <c r="J18508"/>
    </row>
    <row r="18509" spans="10:10" x14ac:dyDescent="0.3">
      <c r="J18509"/>
    </row>
    <row r="18510" spans="10:10" x14ac:dyDescent="0.3">
      <c r="J18510"/>
    </row>
    <row r="18511" spans="10:10" x14ac:dyDescent="0.3">
      <c r="J18511"/>
    </row>
    <row r="18512" spans="10:10" x14ac:dyDescent="0.3">
      <c r="J18512"/>
    </row>
    <row r="18513" spans="10:10" x14ac:dyDescent="0.3">
      <c r="J18513"/>
    </row>
    <row r="18514" spans="10:10" x14ac:dyDescent="0.3">
      <c r="J18514"/>
    </row>
    <row r="18515" spans="10:10" x14ac:dyDescent="0.3">
      <c r="J18515"/>
    </row>
    <row r="18516" spans="10:10" x14ac:dyDescent="0.3">
      <c r="J18516"/>
    </row>
    <row r="18517" spans="10:10" x14ac:dyDescent="0.3">
      <c r="J18517"/>
    </row>
    <row r="18518" spans="10:10" x14ac:dyDescent="0.3">
      <c r="J18518"/>
    </row>
    <row r="18519" spans="10:10" x14ac:dyDescent="0.3">
      <c r="J18519"/>
    </row>
    <row r="18520" spans="10:10" x14ac:dyDescent="0.3">
      <c r="J18520"/>
    </row>
    <row r="18521" spans="10:10" x14ac:dyDescent="0.3">
      <c r="J18521"/>
    </row>
    <row r="18522" spans="10:10" x14ac:dyDescent="0.3">
      <c r="J18522"/>
    </row>
    <row r="18523" spans="10:10" x14ac:dyDescent="0.3">
      <c r="J18523"/>
    </row>
    <row r="18524" spans="10:10" x14ac:dyDescent="0.3">
      <c r="J18524"/>
    </row>
    <row r="18525" spans="10:10" x14ac:dyDescent="0.3">
      <c r="J18525"/>
    </row>
    <row r="18526" spans="10:10" x14ac:dyDescent="0.3">
      <c r="J18526"/>
    </row>
    <row r="18527" spans="10:10" x14ac:dyDescent="0.3">
      <c r="J18527"/>
    </row>
    <row r="18528" spans="10:10" x14ac:dyDescent="0.3">
      <c r="J18528"/>
    </row>
    <row r="18529" spans="10:10" x14ac:dyDescent="0.3">
      <c r="J18529"/>
    </row>
    <row r="18530" spans="10:10" x14ac:dyDescent="0.3">
      <c r="J18530"/>
    </row>
    <row r="18531" spans="10:10" x14ac:dyDescent="0.3">
      <c r="J18531"/>
    </row>
    <row r="18532" spans="10:10" x14ac:dyDescent="0.3">
      <c r="J18532"/>
    </row>
    <row r="18533" spans="10:10" x14ac:dyDescent="0.3">
      <c r="J18533"/>
    </row>
    <row r="18534" spans="10:10" x14ac:dyDescent="0.3">
      <c r="J18534"/>
    </row>
    <row r="18535" spans="10:10" x14ac:dyDescent="0.3">
      <c r="J18535"/>
    </row>
    <row r="18536" spans="10:10" x14ac:dyDescent="0.3">
      <c r="J18536"/>
    </row>
    <row r="18537" spans="10:10" x14ac:dyDescent="0.3">
      <c r="J18537"/>
    </row>
    <row r="18538" spans="10:10" x14ac:dyDescent="0.3">
      <c r="J18538"/>
    </row>
    <row r="18539" spans="10:10" x14ac:dyDescent="0.3">
      <c r="J18539"/>
    </row>
    <row r="18540" spans="10:10" x14ac:dyDescent="0.3">
      <c r="J18540"/>
    </row>
    <row r="18541" spans="10:10" x14ac:dyDescent="0.3">
      <c r="J18541"/>
    </row>
    <row r="18542" spans="10:10" x14ac:dyDescent="0.3">
      <c r="J18542"/>
    </row>
    <row r="18543" spans="10:10" x14ac:dyDescent="0.3">
      <c r="J18543"/>
    </row>
    <row r="18544" spans="10:10" x14ac:dyDescent="0.3">
      <c r="J18544"/>
    </row>
    <row r="18545" spans="10:10" x14ac:dyDescent="0.3">
      <c r="J18545"/>
    </row>
    <row r="18546" spans="10:10" x14ac:dyDescent="0.3">
      <c r="J18546"/>
    </row>
    <row r="18547" spans="10:10" x14ac:dyDescent="0.3">
      <c r="J18547"/>
    </row>
    <row r="18548" spans="10:10" x14ac:dyDescent="0.3">
      <c r="J18548"/>
    </row>
    <row r="18549" spans="10:10" x14ac:dyDescent="0.3">
      <c r="J18549"/>
    </row>
    <row r="18550" spans="10:10" x14ac:dyDescent="0.3">
      <c r="J18550"/>
    </row>
    <row r="18551" spans="10:10" x14ac:dyDescent="0.3">
      <c r="J18551"/>
    </row>
    <row r="18552" spans="10:10" x14ac:dyDescent="0.3">
      <c r="J18552"/>
    </row>
    <row r="18553" spans="10:10" x14ac:dyDescent="0.3">
      <c r="J18553"/>
    </row>
    <row r="18554" spans="10:10" x14ac:dyDescent="0.3">
      <c r="J18554"/>
    </row>
    <row r="18555" spans="10:10" x14ac:dyDescent="0.3">
      <c r="J18555"/>
    </row>
    <row r="18556" spans="10:10" x14ac:dyDescent="0.3">
      <c r="J18556"/>
    </row>
    <row r="18557" spans="10:10" x14ac:dyDescent="0.3">
      <c r="J18557"/>
    </row>
    <row r="18558" spans="10:10" x14ac:dyDescent="0.3">
      <c r="J18558"/>
    </row>
    <row r="18559" spans="10:10" x14ac:dyDescent="0.3">
      <c r="J18559"/>
    </row>
    <row r="18560" spans="10:10" x14ac:dyDescent="0.3">
      <c r="J18560"/>
    </row>
    <row r="18561" spans="10:10" x14ac:dyDescent="0.3">
      <c r="J18561"/>
    </row>
    <row r="18562" spans="10:10" x14ac:dyDescent="0.3">
      <c r="J18562"/>
    </row>
    <row r="18563" spans="10:10" x14ac:dyDescent="0.3">
      <c r="J18563"/>
    </row>
    <row r="18564" spans="10:10" x14ac:dyDescent="0.3">
      <c r="J18564"/>
    </row>
    <row r="18565" spans="10:10" x14ac:dyDescent="0.3">
      <c r="J18565"/>
    </row>
    <row r="18566" spans="10:10" x14ac:dyDescent="0.3">
      <c r="J18566"/>
    </row>
    <row r="18567" spans="10:10" x14ac:dyDescent="0.3">
      <c r="J18567"/>
    </row>
    <row r="18568" spans="10:10" x14ac:dyDescent="0.3">
      <c r="J18568"/>
    </row>
    <row r="18569" spans="10:10" x14ac:dyDescent="0.3">
      <c r="J18569"/>
    </row>
    <row r="18570" spans="10:10" x14ac:dyDescent="0.3">
      <c r="J18570"/>
    </row>
    <row r="18571" spans="10:10" x14ac:dyDescent="0.3">
      <c r="J18571"/>
    </row>
    <row r="18572" spans="10:10" x14ac:dyDescent="0.3">
      <c r="J18572"/>
    </row>
    <row r="18573" spans="10:10" x14ac:dyDescent="0.3">
      <c r="J18573"/>
    </row>
    <row r="18574" spans="10:10" x14ac:dyDescent="0.3">
      <c r="J18574"/>
    </row>
    <row r="18575" spans="10:10" x14ac:dyDescent="0.3">
      <c r="J18575"/>
    </row>
    <row r="18576" spans="10:10" x14ac:dyDescent="0.3">
      <c r="J18576"/>
    </row>
    <row r="18577" spans="10:10" x14ac:dyDescent="0.3">
      <c r="J18577"/>
    </row>
    <row r="18578" spans="10:10" x14ac:dyDescent="0.3">
      <c r="J18578"/>
    </row>
    <row r="18579" spans="10:10" x14ac:dyDescent="0.3">
      <c r="J18579"/>
    </row>
    <row r="18580" spans="10:10" x14ac:dyDescent="0.3">
      <c r="J18580"/>
    </row>
    <row r="18581" spans="10:10" x14ac:dyDescent="0.3">
      <c r="J18581"/>
    </row>
    <row r="18582" spans="10:10" x14ac:dyDescent="0.3">
      <c r="J18582"/>
    </row>
    <row r="18583" spans="10:10" x14ac:dyDescent="0.3">
      <c r="J18583"/>
    </row>
    <row r="18584" spans="10:10" x14ac:dyDescent="0.3">
      <c r="J18584"/>
    </row>
    <row r="18585" spans="10:10" x14ac:dyDescent="0.3">
      <c r="J18585"/>
    </row>
    <row r="18586" spans="10:10" x14ac:dyDescent="0.3">
      <c r="J18586"/>
    </row>
    <row r="18587" spans="10:10" x14ac:dyDescent="0.3">
      <c r="J18587"/>
    </row>
    <row r="18588" spans="10:10" x14ac:dyDescent="0.3">
      <c r="J18588"/>
    </row>
    <row r="18589" spans="10:10" x14ac:dyDescent="0.3">
      <c r="J18589"/>
    </row>
    <row r="18590" spans="10:10" x14ac:dyDescent="0.3">
      <c r="J18590"/>
    </row>
    <row r="18591" spans="10:10" x14ac:dyDescent="0.3">
      <c r="J18591"/>
    </row>
    <row r="18592" spans="10:10" x14ac:dyDescent="0.3">
      <c r="J18592"/>
    </row>
    <row r="18593" spans="10:10" x14ac:dyDescent="0.3">
      <c r="J18593"/>
    </row>
    <row r="18594" spans="10:10" x14ac:dyDescent="0.3">
      <c r="J18594"/>
    </row>
    <row r="18595" spans="10:10" x14ac:dyDescent="0.3">
      <c r="J18595"/>
    </row>
    <row r="18596" spans="10:10" x14ac:dyDescent="0.3">
      <c r="J18596"/>
    </row>
    <row r="18597" spans="10:10" x14ac:dyDescent="0.3">
      <c r="J18597"/>
    </row>
    <row r="18598" spans="10:10" x14ac:dyDescent="0.3">
      <c r="J18598"/>
    </row>
    <row r="18599" spans="10:10" x14ac:dyDescent="0.3">
      <c r="J18599"/>
    </row>
    <row r="18600" spans="10:10" x14ac:dyDescent="0.3">
      <c r="J18600"/>
    </row>
    <row r="18601" spans="10:10" x14ac:dyDescent="0.3">
      <c r="J18601"/>
    </row>
    <row r="18602" spans="10:10" x14ac:dyDescent="0.3">
      <c r="J18602"/>
    </row>
    <row r="18603" spans="10:10" x14ac:dyDescent="0.3">
      <c r="J18603"/>
    </row>
    <row r="18604" spans="10:10" x14ac:dyDescent="0.3">
      <c r="J18604"/>
    </row>
    <row r="18605" spans="10:10" x14ac:dyDescent="0.3">
      <c r="J18605"/>
    </row>
    <row r="18606" spans="10:10" x14ac:dyDescent="0.3">
      <c r="J18606"/>
    </row>
    <row r="18607" spans="10:10" x14ac:dyDescent="0.3">
      <c r="J18607"/>
    </row>
    <row r="18608" spans="10:10" x14ac:dyDescent="0.3">
      <c r="J18608"/>
    </row>
    <row r="18609" spans="10:10" x14ac:dyDescent="0.3">
      <c r="J18609"/>
    </row>
    <row r="18610" spans="10:10" x14ac:dyDescent="0.3">
      <c r="J18610"/>
    </row>
    <row r="18611" spans="10:10" x14ac:dyDescent="0.3">
      <c r="J18611"/>
    </row>
    <row r="18612" spans="10:10" x14ac:dyDescent="0.3">
      <c r="J18612"/>
    </row>
    <row r="18613" spans="10:10" x14ac:dyDescent="0.3">
      <c r="J18613"/>
    </row>
    <row r="18614" spans="10:10" x14ac:dyDescent="0.3">
      <c r="J18614"/>
    </row>
    <row r="18615" spans="10:10" x14ac:dyDescent="0.3">
      <c r="J18615"/>
    </row>
    <row r="18616" spans="10:10" x14ac:dyDescent="0.3">
      <c r="J18616"/>
    </row>
    <row r="18617" spans="10:10" x14ac:dyDescent="0.3">
      <c r="J18617"/>
    </row>
    <row r="18618" spans="10:10" x14ac:dyDescent="0.3">
      <c r="J18618"/>
    </row>
    <row r="18619" spans="10:10" x14ac:dyDescent="0.3">
      <c r="J18619"/>
    </row>
    <row r="18620" spans="10:10" x14ac:dyDescent="0.3">
      <c r="J18620"/>
    </row>
    <row r="18621" spans="10:10" x14ac:dyDescent="0.3">
      <c r="J18621"/>
    </row>
    <row r="18622" spans="10:10" x14ac:dyDescent="0.3">
      <c r="J18622"/>
    </row>
    <row r="18623" spans="10:10" x14ac:dyDescent="0.3">
      <c r="J18623"/>
    </row>
    <row r="18624" spans="10:10" x14ac:dyDescent="0.3">
      <c r="J18624"/>
    </row>
    <row r="18625" spans="10:10" x14ac:dyDescent="0.3">
      <c r="J18625"/>
    </row>
    <row r="18626" spans="10:10" x14ac:dyDescent="0.3">
      <c r="J18626"/>
    </row>
    <row r="18627" spans="10:10" x14ac:dyDescent="0.3">
      <c r="J18627"/>
    </row>
    <row r="18628" spans="10:10" x14ac:dyDescent="0.3">
      <c r="J18628"/>
    </row>
    <row r="18629" spans="10:10" x14ac:dyDescent="0.3">
      <c r="J18629"/>
    </row>
    <row r="18630" spans="10:10" x14ac:dyDescent="0.3">
      <c r="J18630"/>
    </row>
    <row r="18631" spans="10:10" x14ac:dyDescent="0.3">
      <c r="J18631"/>
    </row>
    <row r="18632" spans="10:10" x14ac:dyDescent="0.3">
      <c r="J18632"/>
    </row>
    <row r="18633" spans="10:10" x14ac:dyDescent="0.3">
      <c r="J18633"/>
    </row>
    <row r="18634" spans="10:10" x14ac:dyDescent="0.3">
      <c r="J18634"/>
    </row>
    <row r="18635" spans="10:10" x14ac:dyDescent="0.3">
      <c r="J18635"/>
    </row>
    <row r="18636" spans="10:10" x14ac:dyDescent="0.3">
      <c r="J18636"/>
    </row>
    <row r="18637" spans="10:10" x14ac:dyDescent="0.3">
      <c r="J18637"/>
    </row>
    <row r="18638" spans="10:10" x14ac:dyDescent="0.3">
      <c r="J18638"/>
    </row>
    <row r="18639" spans="10:10" x14ac:dyDescent="0.3">
      <c r="J18639"/>
    </row>
    <row r="18640" spans="10:10" x14ac:dyDescent="0.3">
      <c r="J18640"/>
    </row>
    <row r="18641" spans="10:10" x14ac:dyDescent="0.3">
      <c r="J18641"/>
    </row>
    <row r="18642" spans="10:10" x14ac:dyDescent="0.3">
      <c r="J18642"/>
    </row>
    <row r="18643" spans="10:10" x14ac:dyDescent="0.3">
      <c r="J18643"/>
    </row>
    <row r="18644" spans="10:10" x14ac:dyDescent="0.3">
      <c r="J18644"/>
    </row>
    <row r="18645" spans="10:10" x14ac:dyDescent="0.3">
      <c r="J18645"/>
    </row>
    <row r="18646" spans="10:10" x14ac:dyDescent="0.3">
      <c r="J18646"/>
    </row>
    <row r="18647" spans="10:10" x14ac:dyDescent="0.3">
      <c r="J18647"/>
    </row>
    <row r="18648" spans="10:10" x14ac:dyDescent="0.3">
      <c r="J18648"/>
    </row>
    <row r="18649" spans="10:10" x14ac:dyDescent="0.3">
      <c r="J18649"/>
    </row>
    <row r="18650" spans="10:10" x14ac:dyDescent="0.3">
      <c r="J18650"/>
    </row>
    <row r="18651" spans="10:10" x14ac:dyDescent="0.3">
      <c r="J18651"/>
    </row>
    <row r="18652" spans="10:10" x14ac:dyDescent="0.3">
      <c r="J18652"/>
    </row>
    <row r="18653" spans="10:10" x14ac:dyDescent="0.3">
      <c r="J18653"/>
    </row>
    <row r="18654" spans="10:10" x14ac:dyDescent="0.3">
      <c r="J18654"/>
    </row>
    <row r="18655" spans="10:10" x14ac:dyDescent="0.3">
      <c r="J18655"/>
    </row>
    <row r="18656" spans="10:10" x14ac:dyDescent="0.3">
      <c r="J18656"/>
    </row>
    <row r="18657" spans="10:10" x14ac:dyDescent="0.3">
      <c r="J18657"/>
    </row>
    <row r="18658" spans="10:10" x14ac:dyDescent="0.3">
      <c r="J18658"/>
    </row>
    <row r="18659" spans="10:10" x14ac:dyDescent="0.3">
      <c r="J18659"/>
    </row>
    <row r="18660" spans="10:10" x14ac:dyDescent="0.3">
      <c r="J18660"/>
    </row>
    <row r="18661" spans="10:10" x14ac:dyDescent="0.3">
      <c r="J18661"/>
    </row>
    <row r="18662" spans="10:10" x14ac:dyDescent="0.3">
      <c r="J18662"/>
    </row>
    <row r="18663" spans="10:10" x14ac:dyDescent="0.3">
      <c r="J18663"/>
    </row>
    <row r="18664" spans="10:10" x14ac:dyDescent="0.3">
      <c r="J18664"/>
    </row>
    <row r="18665" spans="10:10" x14ac:dyDescent="0.3">
      <c r="J18665"/>
    </row>
    <row r="18666" spans="10:10" x14ac:dyDescent="0.3">
      <c r="J18666"/>
    </row>
    <row r="18667" spans="10:10" x14ac:dyDescent="0.3">
      <c r="J18667"/>
    </row>
    <row r="18668" spans="10:10" x14ac:dyDescent="0.3">
      <c r="J18668"/>
    </row>
    <row r="18669" spans="10:10" x14ac:dyDescent="0.3">
      <c r="J18669"/>
    </row>
    <row r="18670" spans="10:10" x14ac:dyDescent="0.3">
      <c r="J18670"/>
    </row>
    <row r="18671" spans="10:10" x14ac:dyDescent="0.3">
      <c r="J18671"/>
    </row>
    <row r="18672" spans="10:10" x14ac:dyDescent="0.3">
      <c r="J18672"/>
    </row>
    <row r="18673" spans="10:10" x14ac:dyDescent="0.3">
      <c r="J18673"/>
    </row>
    <row r="18674" spans="10:10" x14ac:dyDescent="0.3">
      <c r="J18674"/>
    </row>
    <row r="18675" spans="10:10" x14ac:dyDescent="0.3">
      <c r="J18675"/>
    </row>
    <row r="18676" spans="10:10" x14ac:dyDescent="0.3">
      <c r="J18676"/>
    </row>
    <row r="18677" spans="10:10" x14ac:dyDescent="0.3">
      <c r="J18677"/>
    </row>
    <row r="18678" spans="10:10" x14ac:dyDescent="0.3">
      <c r="J18678"/>
    </row>
    <row r="18679" spans="10:10" x14ac:dyDescent="0.3">
      <c r="J18679"/>
    </row>
    <row r="18680" spans="10:10" x14ac:dyDescent="0.3">
      <c r="J18680"/>
    </row>
    <row r="18681" spans="10:10" x14ac:dyDescent="0.3">
      <c r="J18681"/>
    </row>
    <row r="18682" spans="10:10" x14ac:dyDescent="0.3">
      <c r="J18682"/>
    </row>
    <row r="18683" spans="10:10" x14ac:dyDescent="0.3">
      <c r="J18683"/>
    </row>
    <row r="18684" spans="10:10" x14ac:dyDescent="0.3">
      <c r="J18684"/>
    </row>
    <row r="18685" spans="10:10" x14ac:dyDescent="0.3">
      <c r="J18685"/>
    </row>
    <row r="18686" spans="10:10" x14ac:dyDescent="0.3">
      <c r="J18686"/>
    </row>
    <row r="18687" spans="10:10" x14ac:dyDescent="0.3">
      <c r="J18687"/>
    </row>
    <row r="18688" spans="10:10" x14ac:dyDescent="0.3">
      <c r="J18688"/>
    </row>
    <row r="18689" spans="10:10" x14ac:dyDescent="0.3">
      <c r="J18689"/>
    </row>
    <row r="18690" spans="10:10" x14ac:dyDescent="0.3">
      <c r="J18690"/>
    </row>
    <row r="18691" spans="10:10" x14ac:dyDescent="0.3">
      <c r="J18691"/>
    </row>
    <row r="18692" spans="10:10" x14ac:dyDescent="0.3">
      <c r="J18692"/>
    </row>
    <row r="18693" spans="10:10" x14ac:dyDescent="0.3">
      <c r="J18693"/>
    </row>
    <row r="18694" spans="10:10" x14ac:dyDescent="0.3">
      <c r="J18694"/>
    </row>
    <row r="18695" spans="10:10" x14ac:dyDescent="0.3">
      <c r="J18695"/>
    </row>
    <row r="18696" spans="10:10" x14ac:dyDescent="0.3">
      <c r="J18696"/>
    </row>
    <row r="18697" spans="10:10" x14ac:dyDescent="0.3">
      <c r="J18697"/>
    </row>
    <row r="18698" spans="10:10" x14ac:dyDescent="0.3">
      <c r="J18698"/>
    </row>
    <row r="18699" spans="10:10" x14ac:dyDescent="0.3">
      <c r="J18699"/>
    </row>
    <row r="18700" spans="10:10" x14ac:dyDescent="0.3">
      <c r="J18700"/>
    </row>
    <row r="18701" spans="10:10" x14ac:dyDescent="0.3">
      <c r="J18701"/>
    </row>
    <row r="18702" spans="10:10" x14ac:dyDescent="0.3">
      <c r="J18702"/>
    </row>
    <row r="18703" spans="10:10" x14ac:dyDescent="0.3">
      <c r="J18703"/>
    </row>
    <row r="18704" spans="10:10" x14ac:dyDescent="0.3">
      <c r="J18704"/>
    </row>
    <row r="18705" spans="10:10" x14ac:dyDescent="0.3">
      <c r="J18705"/>
    </row>
    <row r="18706" spans="10:10" x14ac:dyDescent="0.3">
      <c r="J18706"/>
    </row>
    <row r="18707" spans="10:10" x14ac:dyDescent="0.3">
      <c r="J18707"/>
    </row>
    <row r="18708" spans="10:10" x14ac:dyDescent="0.3">
      <c r="J18708"/>
    </row>
    <row r="18709" spans="10:10" x14ac:dyDescent="0.3">
      <c r="J18709"/>
    </row>
    <row r="18710" spans="10:10" x14ac:dyDescent="0.3">
      <c r="J18710"/>
    </row>
    <row r="18711" spans="10:10" x14ac:dyDescent="0.3">
      <c r="J18711"/>
    </row>
    <row r="18712" spans="10:10" x14ac:dyDescent="0.3">
      <c r="J18712"/>
    </row>
    <row r="18713" spans="10:10" x14ac:dyDescent="0.3">
      <c r="J18713"/>
    </row>
    <row r="18714" spans="10:10" x14ac:dyDescent="0.3">
      <c r="J18714"/>
    </row>
    <row r="18715" spans="10:10" x14ac:dyDescent="0.3">
      <c r="J18715"/>
    </row>
    <row r="18716" spans="10:10" x14ac:dyDescent="0.3">
      <c r="J18716"/>
    </row>
    <row r="18717" spans="10:10" x14ac:dyDescent="0.3">
      <c r="J18717"/>
    </row>
    <row r="18718" spans="10:10" x14ac:dyDescent="0.3">
      <c r="J18718"/>
    </row>
    <row r="18719" spans="10:10" x14ac:dyDescent="0.3">
      <c r="J18719"/>
    </row>
    <row r="18720" spans="10:10" x14ac:dyDescent="0.3">
      <c r="J18720"/>
    </row>
    <row r="18721" spans="10:10" x14ac:dyDescent="0.3">
      <c r="J18721"/>
    </row>
    <row r="18722" spans="10:10" x14ac:dyDescent="0.3">
      <c r="J18722"/>
    </row>
    <row r="18723" spans="10:10" x14ac:dyDescent="0.3">
      <c r="J18723"/>
    </row>
    <row r="18724" spans="10:10" x14ac:dyDescent="0.3">
      <c r="J18724"/>
    </row>
    <row r="18725" spans="10:10" x14ac:dyDescent="0.3">
      <c r="J18725"/>
    </row>
    <row r="18726" spans="10:10" x14ac:dyDescent="0.3">
      <c r="J18726"/>
    </row>
    <row r="18727" spans="10:10" x14ac:dyDescent="0.3">
      <c r="J18727"/>
    </row>
    <row r="18728" spans="10:10" x14ac:dyDescent="0.3">
      <c r="J18728"/>
    </row>
    <row r="18729" spans="10:10" x14ac:dyDescent="0.3">
      <c r="J18729"/>
    </row>
    <row r="18730" spans="10:10" x14ac:dyDescent="0.3">
      <c r="J18730"/>
    </row>
    <row r="18731" spans="10:10" x14ac:dyDescent="0.3">
      <c r="J18731"/>
    </row>
    <row r="18732" spans="10:10" x14ac:dyDescent="0.3">
      <c r="J18732"/>
    </row>
    <row r="18733" spans="10:10" x14ac:dyDescent="0.3">
      <c r="J18733"/>
    </row>
    <row r="18734" spans="10:10" x14ac:dyDescent="0.3">
      <c r="J18734"/>
    </row>
    <row r="18735" spans="10:10" x14ac:dyDescent="0.3">
      <c r="J18735"/>
    </row>
    <row r="18736" spans="10:10" x14ac:dyDescent="0.3">
      <c r="J18736"/>
    </row>
    <row r="18737" spans="10:10" x14ac:dyDescent="0.3">
      <c r="J18737"/>
    </row>
    <row r="18738" spans="10:10" x14ac:dyDescent="0.3">
      <c r="J18738"/>
    </row>
    <row r="18739" spans="10:10" x14ac:dyDescent="0.3">
      <c r="J18739"/>
    </row>
    <row r="18740" spans="10:10" x14ac:dyDescent="0.3">
      <c r="J18740"/>
    </row>
    <row r="18741" spans="10:10" x14ac:dyDescent="0.3">
      <c r="J18741"/>
    </row>
    <row r="18742" spans="10:10" x14ac:dyDescent="0.3">
      <c r="J18742"/>
    </row>
    <row r="18743" spans="10:10" x14ac:dyDescent="0.3">
      <c r="J18743"/>
    </row>
    <row r="18744" spans="10:10" x14ac:dyDescent="0.3">
      <c r="J18744"/>
    </row>
    <row r="18745" spans="10:10" x14ac:dyDescent="0.3">
      <c r="J18745"/>
    </row>
    <row r="18746" spans="10:10" x14ac:dyDescent="0.3">
      <c r="J18746"/>
    </row>
    <row r="18747" spans="10:10" x14ac:dyDescent="0.3">
      <c r="J18747"/>
    </row>
    <row r="18748" spans="10:10" x14ac:dyDescent="0.3">
      <c r="J18748"/>
    </row>
    <row r="18749" spans="10:10" x14ac:dyDescent="0.3">
      <c r="J18749"/>
    </row>
    <row r="18750" spans="10:10" x14ac:dyDescent="0.3">
      <c r="J18750"/>
    </row>
    <row r="18751" spans="10:10" x14ac:dyDescent="0.3">
      <c r="J18751"/>
    </row>
    <row r="18752" spans="10:10" x14ac:dyDescent="0.3">
      <c r="J18752"/>
    </row>
    <row r="18753" spans="10:10" x14ac:dyDescent="0.3">
      <c r="J18753"/>
    </row>
    <row r="18754" spans="10:10" x14ac:dyDescent="0.3">
      <c r="J18754"/>
    </row>
    <row r="18755" spans="10:10" x14ac:dyDescent="0.3">
      <c r="J18755"/>
    </row>
    <row r="18756" spans="10:10" x14ac:dyDescent="0.3">
      <c r="J18756"/>
    </row>
    <row r="18757" spans="10:10" x14ac:dyDescent="0.3">
      <c r="J18757"/>
    </row>
    <row r="18758" spans="10:10" x14ac:dyDescent="0.3">
      <c r="J18758"/>
    </row>
    <row r="18759" spans="10:10" x14ac:dyDescent="0.3">
      <c r="J18759"/>
    </row>
    <row r="18760" spans="10:10" x14ac:dyDescent="0.3">
      <c r="J18760"/>
    </row>
    <row r="18761" spans="10:10" x14ac:dyDescent="0.3">
      <c r="J18761"/>
    </row>
    <row r="18762" spans="10:10" x14ac:dyDescent="0.3">
      <c r="J18762"/>
    </row>
    <row r="18763" spans="10:10" x14ac:dyDescent="0.3">
      <c r="J18763"/>
    </row>
    <row r="18764" spans="10:10" x14ac:dyDescent="0.3">
      <c r="J18764"/>
    </row>
    <row r="18765" spans="10:10" x14ac:dyDescent="0.3">
      <c r="J18765"/>
    </row>
    <row r="18766" spans="10:10" x14ac:dyDescent="0.3">
      <c r="J18766"/>
    </row>
    <row r="18767" spans="10:10" x14ac:dyDescent="0.3">
      <c r="J18767"/>
    </row>
    <row r="18768" spans="10:10" x14ac:dyDescent="0.3">
      <c r="J18768"/>
    </row>
    <row r="18769" spans="10:10" x14ac:dyDescent="0.3">
      <c r="J18769"/>
    </row>
    <row r="18770" spans="10:10" x14ac:dyDescent="0.3">
      <c r="J18770"/>
    </row>
    <row r="18771" spans="10:10" x14ac:dyDescent="0.3">
      <c r="J18771"/>
    </row>
    <row r="18772" spans="10:10" x14ac:dyDescent="0.3">
      <c r="J18772"/>
    </row>
    <row r="18773" spans="10:10" x14ac:dyDescent="0.3">
      <c r="J18773"/>
    </row>
    <row r="18774" spans="10:10" x14ac:dyDescent="0.3">
      <c r="J18774"/>
    </row>
    <row r="18775" spans="10:10" x14ac:dyDescent="0.3">
      <c r="J18775"/>
    </row>
    <row r="18776" spans="10:10" x14ac:dyDescent="0.3">
      <c r="J18776"/>
    </row>
    <row r="18777" spans="10:10" x14ac:dyDescent="0.3">
      <c r="J18777"/>
    </row>
    <row r="18778" spans="10:10" x14ac:dyDescent="0.3">
      <c r="J18778"/>
    </row>
    <row r="18779" spans="10:10" x14ac:dyDescent="0.3">
      <c r="J18779"/>
    </row>
    <row r="18780" spans="10:10" x14ac:dyDescent="0.3">
      <c r="J18780"/>
    </row>
    <row r="18781" spans="10:10" x14ac:dyDescent="0.3">
      <c r="J18781"/>
    </row>
    <row r="18782" spans="10:10" x14ac:dyDescent="0.3">
      <c r="J18782"/>
    </row>
    <row r="18783" spans="10:10" x14ac:dyDescent="0.3">
      <c r="J18783"/>
    </row>
    <row r="18784" spans="10:10" x14ac:dyDescent="0.3">
      <c r="J18784"/>
    </row>
    <row r="18785" spans="10:10" x14ac:dyDescent="0.3">
      <c r="J18785"/>
    </row>
    <row r="18786" spans="10:10" x14ac:dyDescent="0.3">
      <c r="J18786"/>
    </row>
    <row r="18787" spans="10:10" x14ac:dyDescent="0.3">
      <c r="J18787"/>
    </row>
    <row r="18788" spans="10:10" x14ac:dyDescent="0.3">
      <c r="J18788"/>
    </row>
    <row r="18789" spans="10:10" x14ac:dyDescent="0.3">
      <c r="J18789"/>
    </row>
    <row r="18790" spans="10:10" x14ac:dyDescent="0.3">
      <c r="J18790"/>
    </row>
    <row r="18791" spans="10:10" x14ac:dyDescent="0.3">
      <c r="J18791"/>
    </row>
    <row r="18792" spans="10:10" x14ac:dyDescent="0.3">
      <c r="J18792"/>
    </row>
    <row r="18793" spans="10:10" x14ac:dyDescent="0.3">
      <c r="J18793"/>
    </row>
    <row r="18794" spans="10:10" x14ac:dyDescent="0.3">
      <c r="J18794"/>
    </row>
    <row r="18795" spans="10:10" x14ac:dyDescent="0.3">
      <c r="J18795"/>
    </row>
    <row r="18796" spans="10:10" x14ac:dyDescent="0.3">
      <c r="J18796"/>
    </row>
    <row r="18797" spans="10:10" x14ac:dyDescent="0.3">
      <c r="J18797"/>
    </row>
    <row r="18798" spans="10:10" x14ac:dyDescent="0.3">
      <c r="J18798"/>
    </row>
    <row r="18799" spans="10:10" x14ac:dyDescent="0.3">
      <c r="J18799"/>
    </row>
    <row r="18800" spans="10:10" x14ac:dyDescent="0.3">
      <c r="J18800"/>
    </row>
    <row r="18801" spans="10:10" x14ac:dyDescent="0.3">
      <c r="J18801"/>
    </row>
    <row r="18802" spans="10:10" x14ac:dyDescent="0.3">
      <c r="J18802"/>
    </row>
    <row r="18803" spans="10:10" x14ac:dyDescent="0.3">
      <c r="J18803"/>
    </row>
    <row r="18804" spans="10:10" x14ac:dyDescent="0.3">
      <c r="J18804"/>
    </row>
    <row r="18805" spans="10:10" x14ac:dyDescent="0.3">
      <c r="J18805"/>
    </row>
    <row r="18806" spans="10:10" x14ac:dyDescent="0.3">
      <c r="J18806"/>
    </row>
    <row r="18807" spans="10:10" x14ac:dyDescent="0.3">
      <c r="J18807"/>
    </row>
    <row r="18808" spans="10:10" x14ac:dyDescent="0.3">
      <c r="J18808"/>
    </row>
    <row r="18809" spans="10:10" x14ac:dyDescent="0.3">
      <c r="J18809"/>
    </row>
    <row r="18810" spans="10:10" x14ac:dyDescent="0.3">
      <c r="J18810"/>
    </row>
    <row r="18811" spans="10:10" x14ac:dyDescent="0.3">
      <c r="J18811"/>
    </row>
    <row r="18812" spans="10:10" x14ac:dyDescent="0.3">
      <c r="J18812"/>
    </row>
    <row r="18813" spans="10:10" x14ac:dyDescent="0.3">
      <c r="J18813"/>
    </row>
    <row r="18814" spans="10:10" x14ac:dyDescent="0.3">
      <c r="J18814"/>
    </row>
    <row r="18815" spans="10:10" x14ac:dyDescent="0.3">
      <c r="J18815"/>
    </row>
    <row r="18816" spans="10:10" x14ac:dyDescent="0.3">
      <c r="J18816"/>
    </row>
    <row r="18817" spans="10:10" x14ac:dyDescent="0.3">
      <c r="J18817"/>
    </row>
    <row r="18818" spans="10:10" x14ac:dyDescent="0.3">
      <c r="J18818"/>
    </row>
    <row r="18819" spans="10:10" x14ac:dyDescent="0.3">
      <c r="J18819"/>
    </row>
    <row r="18820" spans="10:10" x14ac:dyDescent="0.3">
      <c r="J18820"/>
    </row>
    <row r="18821" spans="10:10" x14ac:dyDescent="0.3">
      <c r="J18821"/>
    </row>
    <row r="18822" spans="10:10" x14ac:dyDescent="0.3">
      <c r="J18822"/>
    </row>
    <row r="18823" spans="10:10" x14ac:dyDescent="0.3">
      <c r="J18823"/>
    </row>
    <row r="18824" spans="10:10" x14ac:dyDescent="0.3">
      <c r="J18824"/>
    </row>
    <row r="18825" spans="10:10" x14ac:dyDescent="0.3">
      <c r="J18825"/>
    </row>
    <row r="18826" spans="10:10" x14ac:dyDescent="0.3">
      <c r="J18826"/>
    </row>
    <row r="18827" spans="10:10" x14ac:dyDescent="0.3">
      <c r="J18827"/>
    </row>
    <row r="18828" spans="10:10" x14ac:dyDescent="0.3">
      <c r="J18828"/>
    </row>
    <row r="18829" spans="10:10" x14ac:dyDescent="0.3">
      <c r="J18829"/>
    </row>
    <row r="18830" spans="10:10" x14ac:dyDescent="0.3">
      <c r="J18830"/>
    </row>
    <row r="18831" spans="10:10" x14ac:dyDescent="0.3">
      <c r="J18831"/>
    </row>
    <row r="18832" spans="10:10" x14ac:dyDescent="0.3">
      <c r="J18832"/>
    </row>
    <row r="18833" spans="10:10" x14ac:dyDescent="0.3">
      <c r="J18833"/>
    </row>
    <row r="18834" spans="10:10" x14ac:dyDescent="0.3">
      <c r="J18834"/>
    </row>
    <row r="18835" spans="10:10" x14ac:dyDescent="0.3">
      <c r="J18835"/>
    </row>
    <row r="18836" spans="10:10" x14ac:dyDescent="0.3">
      <c r="J18836"/>
    </row>
    <row r="18837" spans="10:10" x14ac:dyDescent="0.3">
      <c r="J18837"/>
    </row>
    <row r="18838" spans="10:10" x14ac:dyDescent="0.3">
      <c r="J18838"/>
    </row>
    <row r="18839" spans="10:10" x14ac:dyDescent="0.3">
      <c r="J18839"/>
    </row>
    <row r="18840" spans="10:10" x14ac:dyDescent="0.3">
      <c r="J18840"/>
    </row>
    <row r="18841" spans="10:10" x14ac:dyDescent="0.3">
      <c r="J18841"/>
    </row>
    <row r="18842" spans="10:10" x14ac:dyDescent="0.3">
      <c r="J18842"/>
    </row>
    <row r="18843" spans="10:10" x14ac:dyDescent="0.3">
      <c r="J18843"/>
    </row>
    <row r="18844" spans="10:10" x14ac:dyDescent="0.3">
      <c r="J18844"/>
    </row>
    <row r="18845" spans="10:10" x14ac:dyDescent="0.3">
      <c r="J18845"/>
    </row>
    <row r="18846" spans="10:10" x14ac:dyDescent="0.3">
      <c r="J18846"/>
    </row>
    <row r="18847" spans="10:10" x14ac:dyDescent="0.3">
      <c r="J18847"/>
    </row>
    <row r="18848" spans="10:10" x14ac:dyDescent="0.3">
      <c r="J18848"/>
    </row>
    <row r="18849" spans="10:10" x14ac:dyDescent="0.3">
      <c r="J18849"/>
    </row>
    <row r="18850" spans="10:10" x14ac:dyDescent="0.3">
      <c r="J18850"/>
    </row>
    <row r="18851" spans="10:10" x14ac:dyDescent="0.3">
      <c r="J18851"/>
    </row>
    <row r="18852" spans="10:10" x14ac:dyDescent="0.3">
      <c r="J18852"/>
    </row>
    <row r="18853" spans="10:10" x14ac:dyDescent="0.3">
      <c r="J18853"/>
    </row>
    <row r="18854" spans="10:10" x14ac:dyDescent="0.3">
      <c r="J18854"/>
    </row>
    <row r="18855" spans="10:10" x14ac:dyDescent="0.3">
      <c r="J18855"/>
    </row>
    <row r="18856" spans="10:10" x14ac:dyDescent="0.3">
      <c r="J18856"/>
    </row>
    <row r="18857" spans="10:10" x14ac:dyDescent="0.3">
      <c r="J18857"/>
    </row>
    <row r="18858" spans="10:10" x14ac:dyDescent="0.3">
      <c r="J18858"/>
    </row>
    <row r="18859" spans="10:10" x14ac:dyDescent="0.3">
      <c r="J18859"/>
    </row>
    <row r="18860" spans="10:10" x14ac:dyDescent="0.3">
      <c r="J18860"/>
    </row>
    <row r="18861" spans="10:10" x14ac:dyDescent="0.3">
      <c r="J18861"/>
    </row>
    <row r="18862" spans="10:10" x14ac:dyDescent="0.3">
      <c r="J18862"/>
    </row>
    <row r="18863" spans="10:10" x14ac:dyDescent="0.3">
      <c r="J18863"/>
    </row>
    <row r="18864" spans="10:10" x14ac:dyDescent="0.3">
      <c r="J18864"/>
    </row>
    <row r="18865" spans="10:10" x14ac:dyDescent="0.3">
      <c r="J18865"/>
    </row>
    <row r="18866" spans="10:10" x14ac:dyDescent="0.3">
      <c r="J18866"/>
    </row>
    <row r="18867" spans="10:10" x14ac:dyDescent="0.3">
      <c r="J18867"/>
    </row>
    <row r="18868" spans="10:10" x14ac:dyDescent="0.3">
      <c r="J18868"/>
    </row>
    <row r="18869" spans="10:10" x14ac:dyDescent="0.3">
      <c r="J18869"/>
    </row>
    <row r="18870" spans="10:10" x14ac:dyDescent="0.3">
      <c r="J18870"/>
    </row>
    <row r="18871" spans="10:10" x14ac:dyDescent="0.3">
      <c r="J18871"/>
    </row>
    <row r="18872" spans="10:10" x14ac:dyDescent="0.3">
      <c r="J18872"/>
    </row>
    <row r="18873" spans="10:10" x14ac:dyDescent="0.3">
      <c r="J18873"/>
    </row>
    <row r="18874" spans="10:10" x14ac:dyDescent="0.3">
      <c r="J18874"/>
    </row>
    <row r="18875" spans="10:10" x14ac:dyDescent="0.3">
      <c r="J18875"/>
    </row>
    <row r="18876" spans="10:10" x14ac:dyDescent="0.3">
      <c r="J18876"/>
    </row>
    <row r="18877" spans="10:10" x14ac:dyDescent="0.3">
      <c r="J18877"/>
    </row>
    <row r="18878" spans="10:10" x14ac:dyDescent="0.3">
      <c r="J18878"/>
    </row>
    <row r="18879" spans="10:10" x14ac:dyDescent="0.3">
      <c r="J18879"/>
    </row>
    <row r="18880" spans="10:10" x14ac:dyDescent="0.3">
      <c r="J18880"/>
    </row>
    <row r="18881" spans="10:10" x14ac:dyDescent="0.3">
      <c r="J18881"/>
    </row>
    <row r="18882" spans="10:10" x14ac:dyDescent="0.3">
      <c r="J18882"/>
    </row>
    <row r="18883" spans="10:10" x14ac:dyDescent="0.3">
      <c r="J18883"/>
    </row>
    <row r="18884" spans="10:10" x14ac:dyDescent="0.3">
      <c r="J18884"/>
    </row>
    <row r="18885" spans="10:10" x14ac:dyDescent="0.3">
      <c r="J18885"/>
    </row>
    <row r="18886" spans="10:10" x14ac:dyDescent="0.3">
      <c r="J18886"/>
    </row>
    <row r="18887" spans="10:10" x14ac:dyDescent="0.3">
      <c r="J18887"/>
    </row>
    <row r="18888" spans="10:10" x14ac:dyDescent="0.3">
      <c r="J18888"/>
    </row>
    <row r="18889" spans="10:10" x14ac:dyDescent="0.3">
      <c r="J18889"/>
    </row>
    <row r="18890" spans="10:10" x14ac:dyDescent="0.3">
      <c r="J18890"/>
    </row>
    <row r="18891" spans="10:10" x14ac:dyDescent="0.3">
      <c r="J18891"/>
    </row>
    <row r="18892" spans="10:10" x14ac:dyDescent="0.3">
      <c r="J18892"/>
    </row>
    <row r="18893" spans="10:10" x14ac:dyDescent="0.3">
      <c r="J18893"/>
    </row>
    <row r="18894" spans="10:10" x14ac:dyDescent="0.3">
      <c r="J18894"/>
    </row>
    <row r="18895" spans="10:10" x14ac:dyDescent="0.3">
      <c r="J18895"/>
    </row>
    <row r="18896" spans="10:10" x14ac:dyDescent="0.3">
      <c r="J18896"/>
    </row>
    <row r="18897" spans="10:10" x14ac:dyDescent="0.3">
      <c r="J18897"/>
    </row>
    <row r="18898" spans="10:10" x14ac:dyDescent="0.3">
      <c r="J18898"/>
    </row>
    <row r="18899" spans="10:10" x14ac:dyDescent="0.3">
      <c r="J18899"/>
    </row>
    <row r="18900" spans="10:10" x14ac:dyDescent="0.3">
      <c r="J18900"/>
    </row>
    <row r="18901" spans="10:10" x14ac:dyDescent="0.3">
      <c r="J18901"/>
    </row>
    <row r="18902" spans="10:10" x14ac:dyDescent="0.3">
      <c r="J18902"/>
    </row>
    <row r="18903" spans="10:10" x14ac:dyDescent="0.3">
      <c r="J18903"/>
    </row>
    <row r="18904" spans="10:10" x14ac:dyDescent="0.3">
      <c r="J18904"/>
    </row>
    <row r="18905" spans="10:10" x14ac:dyDescent="0.3">
      <c r="J18905"/>
    </row>
    <row r="18906" spans="10:10" x14ac:dyDescent="0.3">
      <c r="J18906"/>
    </row>
    <row r="18907" spans="10:10" x14ac:dyDescent="0.3">
      <c r="J18907"/>
    </row>
    <row r="18908" spans="10:10" x14ac:dyDescent="0.3">
      <c r="J18908"/>
    </row>
    <row r="18909" spans="10:10" x14ac:dyDescent="0.3">
      <c r="J18909"/>
    </row>
    <row r="18910" spans="10:10" x14ac:dyDescent="0.3">
      <c r="J18910"/>
    </row>
    <row r="18911" spans="10:10" x14ac:dyDescent="0.3">
      <c r="J18911"/>
    </row>
    <row r="18912" spans="10:10" x14ac:dyDescent="0.3">
      <c r="J18912"/>
    </row>
    <row r="18913" spans="10:10" x14ac:dyDescent="0.3">
      <c r="J18913"/>
    </row>
    <row r="18914" spans="10:10" x14ac:dyDescent="0.3">
      <c r="J18914"/>
    </row>
    <row r="18915" spans="10:10" x14ac:dyDescent="0.3">
      <c r="J18915"/>
    </row>
    <row r="18916" spans="10:10" x14ac:dyDescent="0.3">
      <c r="J18916"/>
    </row>
    <row r="18917" spans="10:10" x14ac:dyDescent="0.3">
      <c r="J18917"/>
    </row>
    <row r="18918" spans="10:10" x14ac:dyDescent="0.3">
      <c r="J18918"/>
    </row>
    <row r="18919" spans="10:10" x14ac:dyDescent="0.3">
      <c r="J18919"/>
    </row>
    <row r="18920" spans="10:10" x14ac:dyDescent="0.3">
      <c r="J18920"/>
    </row>
    <row r="18921" spans="10:10" x14ac:dyDescent="0.3">
      <c r="J18921"/>
    </row>
    <row r="18922" spans="10:10" x14ac:dyDescent="0.3">
      <c r="J18922"/>
    </row>
    <row r="18923" spans="10:10" x14ac:dyDescent="0.3">
      <c r="J18923"/>
    </row>
    <row r="18924" spans="10:10" x14ac:dyDescent="0.3">
      <c r="J18924"/>
    </row>
    <row r="18925" spans="10:10" x14ac:dyDescent="0.3">
      <c r="J18925"/>
    </row>
    <row r="18926" spans="10:10" x14ac:dyDescent="0.3">
      <c r="J18926"/>
    </row>
    <row r="18927" spans="10:10" x14ac:dyDescent="0.3">
      <c r="J18927"/>
    </row>
    <row r="18928" spans="10:10" x14ac:dyDescent="0.3">
      <c r="J18928"/>
    </row>
    <row r="18929" spans="10:10" x14ac:dyDescent="0.3">
      <c r="J18929"/>
    </row>
    <row r="18930" spans="10:10" x14ac:dyDescent="0.3">
      <c r="J18930"/>
    </row>
    <row r="18931" spans="10:10" x14ac:dyDescent="0.3">
      <c r="J18931"/>
    </row>
    <row r="18932" spans="10:10" x14ac:dyDescent="0.3">
      <c r="J18932"/>
    </row>
    <row r="18933" spans="10:10" x14ac:dyDescent="0.3">
      <c r="J18933"/>
    </row>
    <row r="18934" spans="10:10" x14ac:dyDescent="0.3">
      <c r="J18934"/>
    </row>
    <row r="18935" spans="10:10" x14ac:dyDescent="0.3">
      <c r="J18935"/>
    </row>
    <row r="18936" spans="10:10" x14ac:dyDescent="0.3">
      <c r="J18936"/>
    </row>
    <row r="18937" spans="10:10" x14ac:dyDescent="0.3">
      <c r="J18937"/>
    </row>
    <row r="18938" spans="10:10" x14ac:dyDescent="0.3">
      <c r="J18938"/>
    </row>
    <row r="18939" spans="10:10" x14ac:dyDescent="0.3">
      <c r="J18939"/>
    </row>
    <row r="18940" spans="10:10" x14ac:dyDescent="0.3">
      <c r="J18940"/>
    </row>
    <row r="18941" spans="10:10" x14ac:dyDescent="0.3">
      <c r="J18941"/>
    </row>
    <row r="18942" spans="10:10" x14ac:dyDescent="0.3">
      <c r="J18942"/>
    </row>
    <row r="18943" spans="10:10" x14ac:dyDescent="0.3">
      <c r="J18943"/>
    </row>
    <row r="18944" spans="10:10" x14ac:dyDescent="0.3">
      <c r="J18944"/>
    </row>
    <row r="18945" spans="10:10" x14ac:dyDescent="0.3">
      <c r="J18945"/>
    </row>
    <row r="18946" spans="10:10" x14ac:dyDescent="0.3">
      <c r="J18946"/>
    </row>
    <row r="18947" spans="10:10" x14ac:dyDescent="0.3">
      <c r="J18947"/>
    </row>
    <row r="18948" spans="10:10" x14ac:dyDescent="0.3">
      <c r="J18948"/>
    </row>
    <row r="18949" spans="10:10" x14ac:dyDescent="0.3">
      <c r="J18949"/>
    </row>
    <row r="18950" spans="10:10" x14ac:dyDescent="0.3">
      <c r="J18950"/>
    </row>
    <row r="18951" spans="10:10" x14ac:dyDescent="0.3">
      <c r="J18951"/>
    </row>
    <row r="18952" spans="10:10" x14ac:dyDescent="0.3">
      <c r="J18952"/>
    </row>
    <row r="18953" spans="10:10" x14ac:dyDescent="0.3">
      <c r="J18953"/>
    </row>
    <row r="18954" spans="10:10" x14ac:dyDescent="0.3">
      <c r="J18954"/>
    </row>
    <row r="18955" spans="10:10" x14ac:dyDescent="0.3">
      <c r="J18955"/>
    </row>
    <row r="18956" spans="10:10" x14ac:dyDescent="0.3">
      <c r="J18956"/>
    </row>
    <row r="18957" spans="10:10" x14ac:dyDescent="0.3">
      <c r="J18957"/>
    </row>
    <row r="18958" spans="10:10" x14ac:dyDescent="0.3">
      <c r="J18958"/>
    </row>
    <row r="18959" spans="10:10" x14ac:dyDescent="0.3">
      <c r="J18959"/>
    </row>
    <row r="18960" spans="10:10" x14ac:dyDescent="0.3">
      <c r="J18960"/>
    </row>
    <row r="18961" spans="10:10" x14ac:dyDescent="0.3">
      <c r="J18961"/>
    </row>
    <row r="18962" spans="10:10" x14ac:dyDescent="0.3">
      <c r="J18962"/>
    </row>
    <row r="18963" spans="10:10" x14ac:dyDescent="0.3">
      <c r="J18963"/>
    </row>
    <row r="18964" spans="10:10" x14ac:dyDescent="0.3">
      <c r="J18964"/>
    </row>
    <row r="18965" spans="10:10" x14ac:dyDescent="0.3">
      <c r="J18965"/>
    </row>
    <row r="18966" spans="10:10" x14ac:dyDescent="0.3">
      <c r="J18966"/>
    </row>
    <row r="18967" spans="10:10" x14ac:dyDescent="0.3">
      <c r="J18967"/>
    </row>
    <row r="18968" spans="10:10" x14ac:dyDescent="0.3">
      <c r="J18968"/>
    </row>
    <row r="18969" spans="10:10" x14ac:dyDescent="0.3">
      <c r="J18969"/>
    </row>
    <row r="18970" spans="10:10" x14ac:dyDescent="0.3">
      <c r="J18970"/>
    </row>
    <row r="18971" spans="10:10" x14ac:dyDescent="0.3">
      <c r="J18971"/>
    </row>
    <row r="18972" spans="10:10" x14ac:dyDescent="0.3">
      <c r="J18972"/>
    </row>
    <row r="18973" spans="10:10" x14ac:dyDescent="0.3">
      <c r="J18973"/>
    </row>
    <row r="18974" spans="10:10" x14ac:dyDescent="0.3">
      <c r="J18974"/>
    </row>
    <row r="18975" spans="10:10" x14ac:dyDescent="0.3">
      <c r="J18975"/>
    </row>
    <row r="18976" spans="10:10" x14ac:dyDescent="0.3">
      <c r="J18976"/>
    </row>
    <row r="18977" spans="10:10" x14ac:dyDescent="0.3">
      <c r="J18977"/>
    </row>
    <row r="18978" spans="10:10" x14ac:dyDescent="0.3">
      <c r="J18978"/>
    </row>
    <row r="18979" spans="10:10" x14ac:dyDescent="0.3">
      <c r="J18979"/>
    </row>
    <row r="18980" spans="10:10" x14ac:dyDescent="0.3">
      <c r="J18980"/>
    </row>
    <row r="18981" spans="10:10" x14ac:dyDescent="0.3">
      <c r="J18981"/>
    </row>
    <row r="18982" spans="10:10" x14ac:dyDescent="0.3">
      <c r="J18982"/>
    </row>
    <row r="18983" spans="10:10" x14ac:dyDescent="0.3">
      <c r="J18983"/>
    </row>
    <row r="18984" spans="10:10" x14ac:dyDescent="0.3">
      <c r="J18984"/>
    </row>
    <row r="18985" spans="10:10" x14ac:dyDescent="0.3">
      <c r="J18985"/>
    </row>
    <row r="18986" spans="10:10" x14ac:dyDescent="0.3">
      <c r="J18986"/>
    </row>
    <row r="18987" spans="10:10" x14ac:dyDescent="0.3">
      <c r="J18987"/>
    </row>
    <row r="18988" spans="10:10" x14ac:dyDescent="0.3">
      <c r="J18988"/>
    </row>
    <row r="18989" spans="10:10" x14ac:dyDescent="0.3">
      <c r="J18989"/>
    </row>
    <row r="18990" spans="10:10" x14ac:dyDescent="0.3">
      <c r="J18990"/>
    </row>
    <row r="18991" spans="10:10" x14ac:dyDescent="0.3">
      <c r="J18991"/>
    </row>
    <row r="18992" spans="10:10" x14ac:dyDescent="0.3">
      <c r="J18992"/>
    </row>
    <row r="18993" spans="10:10" x14ac:dyDescent="0.3">
      <c r="J18993"/>
    </row>
    <row r="18994" spans="10:10" x14ac:dyDescent="0.3">
      <c r="J18994"/>
    </row>
    <row r="18995" spans="10:10" x14ac:dyDescent="0.3">
      <c r="J18995"/>
    </row>
    <row r="18996" spans="10:10" x14ac:dyDescent="0.3">
      <c r="J18996"/>
    </row>
    <row r="18997" spans="10:10" x14ac:dyDescent="0.3">
      <c r="J18997"/>
    </row>
    <row r="18998" spans="10:10" x14ac:dyDescent="0.3">
      <c r="J18998"/>
    </row>
    <row r="18999" spans="10:10" x14ac:dyDescent="0.3">
      <c r="J18999"/>
    </row>
    <row r="19000" spans="10:10" x14ac:dyDescent="0.3">
      <c r="J19000"/>
    </row>
    <row r="19001" spans="10:10" x14ac:dyDescent="0.3">
      <c r="J19001"/>
    </row>
    <row r="19002" spans="10:10" x14ac:dyDescent="0.3">
      <c r="J19002"/>
    </row>
    <row r="19003" spans="10:10" x14ac:dyDescent="0.3">
      <c r="J19003"/>
    </row>
    <row r="19004" spans="10:10" x14ac:dyDescent="0.3">
      <c r="J19004"/>
    </row>
    <row r="19005" spans="10:10" x14ac:dyDescent="0.3">
      <c r="J19005"/>
    </row>
    <row r="19006" spans="10:10" x14ac:dyDescent="0.3">
      <c r="J19006"/>
    </row>
    <row r="19007" spans="10:10" x14ac:dyDescent="0.3">
      <c r="J19007"/>
    </row>
    <row r="19008" spans="10:10" x14ac:dyDescent="0.3">
      <c r="J19008"/>
    </row>
    <row r="19009" spans="10:10" x14ac:dyDescent="0.3">
      <c r="J19009"/>
    </row>
    <row r="19010" spans="10:10" x14ac:dyDescent="0.3">
      <c r="J19010"/>
    </row>
    <row r="19011" spans="10:10" x14ac:dyDescent="0.3">
      <c r="J19011"/>
    </row>
    <row r="19012" spans="10:10" x14ac:dyDescent="0.3">
      <c r="J19012"/>
    </row>
    <row r="19013" spans="10:10" x14ac:dyDescent="0.3">
      <c r="J19013"/>
    </row>
    <row r="19014" spans="10:10" x14ac:dyDescent="0.3">
      <c r="J19014"/>
    </row>
    <row r="19015" spans="10:10" x14ac:dyDescent="0.3">
      <c r="J19015"/>
    </row>
    <row r="19016" spans="10:10" x14ac:dyDescent="0.3">
      <c r="J19016"/>
    </row>
    <row r="19017" spans="10:10" x14ac:dyDescent="0.3">
      <c r="J19017"/>
    </row>
    <row r="19018" spans="10:10" x14ac:dyDescent="0.3">
      <c r="J19018"/>
    </row>
    <row r="19019" spans="10:10" x14ac:dyDescent="0.3">
      <c r="J19019"/>
    </row>
    <row r="19020" spans="10:10" x14ac:dyDescent="0.3">
      <c r="J19020"/>
    </row>
    <row r="19021" spans="10:10" x14ac:dyDescent="0.3">
      <c r="J19021"/>
    </row>
    <row r="19022" spans="10:10" x14ac:dyDescent="0.3">
      <c r="J19022"/>
    </row>
    <row r="19023" spans="10:10" x14ac:dyDescent="0.3">
      <c r="J19023"/>
    </row>
    <row r="19024" spans="10:10" x14ac:dyDescent="0.3">
      <c r="J19024"/>
    </row>
    <row r="19025" spans="10:10" x14ac:dyDescent="0.3">
      <c r="J19025"/>
    </row>
    <row r="19026" spans="10:10" x14ac:dyDescent="0.3">
      <c r="J19026"/>
    </row>
    <row r="19027" spans="10:10" x14ac:dyDescent="0.3">
      <c r="J19027"/>
    </row>
    <row r="19028" spans="10:10" x14ac:dyDescent="0.3">
      <c r="J19028"/>
    </row>
    <row r="19029" spans="10:10" x14ac:dyDescent="0.3">
      <c r="J19029"/>
    </row>
    <row r="19030" spans="10:10" x14ac:dyDescent="0.3">
      <c r="J19030"/>
    </row>
    <row r="19031" spans="10:10" x14ac:dyDescent="0.3">
      <c r="J19031"/>
    </row>
    <row r="19032" spans="10:10" x14ac:dyDescent="0.3">
      <c r="J19032"/>
    </row>
    <row r="19033" spans="10:10" x14ac:dyDescent="0.3">
      <c r="J19033"/>
    </row>
    <row r="19034" spans="10:10" x14ac:dyDescent="0.3">
      <c r="J19034"/>
    </row>
    <row r="19035" spans="10:10" x14ac:dyDescent="0.3">
      <c r="J19035"/>
    </row>
    <row r="19036" spans="10:10" x14ac:dyDescent="0.3">
      <c r="J19036"/>
    </row>
    <row r="19037" spans="10:10" x14ac:dyDescent="0.3">
      <c r="J19037"/>
    </row>
    <row r="19038" spans="10:10" x14ac:dyDescent="0.3">
      <c r="J19038"/>
    </row>
    <row r="19039" spans="10:10" x14ac:dyDescent="0.3">
      <c r="J19039"/>
    </row>
    <row r="19040" spans="10:10" x14ac:dyDescent="0.3">
      <c r="J19040"/>
    </row>
    <row r="19041" spans="10:10" x14ac:dyDescent="0.3">
      <c r="J19041"/>
    </row>
    <row r="19042" spans="10:10" x14ac:dyDescent="0.3">
      <c r="J19042"/>
    </row>
    <row r="19043" spans="10:10" x14ac:dyDescent="0.3">
      <c r="J19043"/>
    </row>
    <row r="19044" spans="10:10" x14ac:dyDescent="0.3">
      <c r="J19044"/>
    </row>
    <row r="19045" spans="10:10" x14ac:dyDescent="0.3">
      <c r="J19045"/>
    </row>
    <row r="19046" spans="10:10" x14ac:dyDescent="0.3">
      <c r="J19046"/>
    </row>
    <row r="19047" spans="10:10" x14ac:dyDescent="0.3">
      <c r="J19047"/>
    </row>
    <row r="19048" spans="10:10" x14ac:dyDescent="0.3">
      <c r="J19048"/>
    </row>
    <row r="19049" spans="10:10" x14ac:dyDescent="0.3">
      <c r="J19049"/>
    </row>
    <row r="19050" spans="10:10" x14ac:dyDescent="0.3">
      <c r="J19050"/>
    </row>
    <row r="19051" spans="10:10" x14ac:dyDescent="0.3">
      <c r="J19051"/>
    </row>
    <row r="19052" spans="10:10" x14ac:dyDescent="0.3">
      <c r="J19052"/>
    </row>
    <row r="19053" spans="10:10" x14ac:dyDescent="0.3">
      <c r="J19053"/>
    </row>
    <row r="19054" spans="10:10" x14ac:dyDescent="0.3">
      <c r="J19054"/>
    </row>
    <row r="19055" spans="10:10" x14ac:dyDescent="0.3">
      <c r="J19055"/>
    </row>
    <row r="19056" spans="10:10" x14ac:dyDescent="0.3">
      <c r="J19056"/>
    </row>
    <row r="19057" spans="10:10" x14ac:dyDescent="0.3">
      <c r="J19057"/>
    </row>
    <row r="19058" spans="10:10" x14ac:dyDescent="0.3">
      <c r="J19058"/>
    </row>
    <row r="19059" spans="10:10" x14ac:dyDescent="0.3">
      <c r="J19059"/>
    </row>
    <row r="19060" spans="10:10" x14ac:dyDescent="0.3">
      <c r="J19060"/>
    </row>
    <row r="19061" spans="10:10" x14ac:dyDescent="0.3">
      <c r="J19061"/>
    </row>
    <row r="19062" spans="10:10" x14ac:dyDescent="0.3">
      <c r="J19062"/>
    </row>
    <row r="19063" spans="10:10" x14ac:dyDescent="0.3">
      <c r="J19063"/>
    </row>
    <row r="19064" spans="10:10" x14ac:dyDescent="0.3">
      <c r="J19064"/>
    </row>
    <row r="19065" spans="10:10" x14ac:dyDescent="0.3">
      <c r="J19065"/>
    </row>
    <row r="19066" spans="10:10" x14ac:dyDescent="0.3">
      <c r="J19066"/>
    </row>
    <row r="19067" spans="10:10" x14ac:dyDescent="0.3">
      <c r="J19067"/>
    </row>
    <row r="19068" spans="10:10" x14ac:dyDescent="0.3">
      <c r="J19068"/>
    </row>
    <row r="19069" spans="10:10" x14ac:dyDescent="0.3">
      <c r="J19069"/>
    </row>
    <row r="19070" spans="10:10" x14ac:dyDescent="0.3">
      <c r="J19070"/>
    </row>
    <row r="19071" spans="10:10" x14ac:dyDescent="0.3">
      <c r="J19071"/>
    </row>
    <row r="19072" spans="10:10" x14ac:dyDescent="0.3">
      <c r="J19072"/>
    </row>
    <row r="19073" spans="10:10" x14ac:dyDescent="0.3">
      <c r="J19073"/>
    </row>
    <row r="19074" spans="10:10" x14ac:dyDescent="0.3">
      <c r="J19074"/>
    </row>
    <row r="19075" spans="10:10" x14ac:dyDescent="0.3">
      <c r="J19075"/>
    </row>
    <row r="19076" spans="10:10" x14ac:dyDescent="0.3">
      <c r="J19076"/>
    </row>
    <row r="19077" spans="10:10" x14ac:dyDescent="0.3">
      <c r="J19077"/>
    </row>
    <row r="19078" spans="10:10" x14ac:dyDescent="0.3">
      <c r="J19078"/>
    </row>
    <row r="19079" spans="10:10" x14ac:dyDescent="0.3">
      <c r="J19079"/>
    </row>
    <row r="19080" spans="10:10" x14ac:dyDescent="0.3">
      <c r="J19080"/>
    </row>
    <row r="19081" spans="10:10" x14ac:dyDescent="0.3">
      <c r="J19081"/>
    </row>
    <row r="19082" spans="10:10" x14ac:dyDescent="0.3">
      <c r="J19082"/>
    </row>
    <row r="19083" spans="10:10" x14ac:dyDescent="0.3">
      <c r="J19083"/>
    </row>
    <row r="19084" spans="10:10" x14ac:dyDescent="0.3">
      <c r="J19084"/>
    </row>
    <row r="19085" spans="10:10" x14ac:dyDescent="0.3">
      <c r="J19085"/>
    </row>
    <row r="19086" spans="10:10" x14ac:dyDescent="0.3">
      <c r="J19086"/>
    </row>
    <row r="19087" spans="10:10" x14ac:dyDescent="0.3">
      <c r="J19087"/>
    </row>
    <row r="19088" spans="10:10" x14ac:dyDescent="0.3">
      <c r="J19088"/>
    </row>
    <row r="19089" spans="10:10" x14ac:dyDescent="0.3">
      <c r="J19089"/>
    </row>
    <row r="19090" spans="10:10" x14ac:dyDescent="0.3">
      <c r="J19090"/>
    </row>
    <row r="19091" spans="10:10" x14ac:dyDescent="0.3">
      <c r="J19091"/>
    </row>
    <row r="19092" spans="10:10" x14ac:dyDescent="0.3">
      <c r="J19092"/>
    </row>
    <row r="19093" spans="10:10" x14ac:dyDescent="0.3">
      <c r="J19093"/>
    </row>
    <row r="19094" spans="10:10" x14ac:dyDescent="0.3">
      <c r="J19094"/>
    </row>
    <row r="19095" spans="10:10" x14ac:dyDescent="0.3">
      <c r="J19095"/>
    </row>
    <row r="19096" spans="10:10" x14ac:dyDescent="0.3">
      <c r="J19096"/>
    </row>
    <row r="19097" spans="10:10" x14ac:dyDescent="0.3">
      <c r="J19097"/>
    </row>
    <row r="19098" spans="10:10" x14ac:dyDescent="0.3">
      <c r="J19098"/>
    </row>
    <row r="19099" spans="10:10" x14ac:dyDescent="0.3">
      <c r="J19099"/>
    </row>
    <row r="19100" spans="10:10" x14ac:dyDescent="0.3">
      <c r="J19100"/>
    </row>
    <row r="19101" spans="10:10" x14ac:dyDescent="0.3">
      <c r="J19101"/>
    </row>
    <row r="19102" spans="10:10" x14ac:dyDescent="0.3">
      <c r="J19102"/>
    </row>
    <row r="19103" spans="10:10" x14ac:dyDescent="0.3">
      <c r="J19103"/>
    </row>
    <row r="19104" spans="10:10" x14ac:dyDescent="0.3">
      <c r="J19104"/>
    </row>
    <row r="19105" spans="10:10" x14ac:dyDescent="0.3">
      <c r="J19105"/>
    </row>
    <row r="19106" spans="10:10" x14ac:dyDescent="0.3">
      <c r="J19106"/>
    </row>
    <row r="19107" spans="10:10" x14ac:dyDescent="0.3">
      <c r="J19107"/>
    </row>
    <row r="19108" spans="10:10" x14ac:dyDescent="0.3">
      <c r="J19108"/>
    </row>
    <row r="19109" spans="10:10" x14ac:dyDescent="0.3">
      <c r="J19109"/>
    </row>
    <row r="19110" spans="10:10" x14ac:dyDescent="0.3">
      <c r="J19110"/>
    </row>
    <row r="19111" spans="10:10" x14ac:dyDescent="0.3">
      <c r="J19111"/>
    </row>
    <row r="19112" spans="10:10" x14ac:dyDescent="0.3">
      <c r="J19112"/>
    </row>
    <row r="19113" spans="10:10" x14ac:dyDescent="0.3">
      <c r="J19113"/>
    </row>
    <row r="19114" spans="10:10" x14ac:dyDescent="0.3">
      <c r="J19114"/>
    </row>
    <row r="19115" spans="10:10" x14ac:dyDescent="0.3">
      <c r="J19115"/>
    </row>
    <row r="19116" spans="10:10" x14ac:dyDescent="0.3">
      <c r="J19116"/>
    </row>
    <row r="19117" spans="10:10" x14ac:dyDescent="0.3">
      <c r="J19117"/>
    </row>
    <row r="19118" spans="10:10" x14ac:dyDescent="0.3">
      <c r="J19118"/>
    </row>
    <row r="19119" spans="10:10" x14ac:dyDescent="0.3">
      <c r="J19119"/>
    </row>
    <row r="19120" spans="10:10" x14ac:dyDescent="0.3">
      <c r="J19120"/>
    </row>
    <row r="19121" spans="10:10" x14ac:dyDescent="0.3">
      <c r="J19121"/>
    </row>
    <row r="19122" spans="10:10" x14ac:dyDescent="0.3">
      <c r="J19122"/>
    </row>
    <row r="19123" spans="10:10" x14ac:dyDescent="0.3">
      <c r="J19123"/>
    </row>
    <row r="19124" spans="10:10" x14ac:dyDescent="0.3">
      <c r="J19124"/>
    </row>
    <row r="19125" spans="10:10" x14ac:dyDescent="0.3">
      <c r="J19125"/>
    </row>
    <row r="19126" spans="10:10" x14ac:dyDescent="0.3">
      <c r="J19126"/>
    </row>
    <row r="19127" spans="10:10" x14ac:dyDescent="0.3">
      <c r="J19127"/>
    </row>
    <row r="19128" spans="10:10" x14ac:dyDescent="0.3">
      <c r="J19128"/>
    </row>
    <row r="19129" spans="10:10" x14ac:dyDescent="0.3">
      <c r="J19129"/>
    </row>
    <row r="19130" spans="10:10" x14ac:dyDescent="0.3">
      <c r="J19130"/>
    </row>
    <row r="19131" spans="10:10" x14ac:dyDescent="0.3">
      <c r="J19131"/>
    </row>
    <row r="19132" spans="10:10" x14ac:dyDescent="0.3">
      <c r="J19132"/>
    </row>
    <row r="19133" spans="10:10" x14ac:dyDescent="0.3">
      <c r="J19133"/>
    </row>
    <row r="19134" spans="10:10" x14ac:dyDescent="0.3">
      <c r="J19134"/>
    </row>
    <row r="19135" spans="10:10" x14ac:dyDescent="0.3">
      <c r="J19135"/>
    </row>
    <row r="19136" spans="10:10" x14ac:dyDescent="0.3">
      <c r="J19136"/>
    </row>
    <row r="19137" spans="10:10" x14ac:dyDescent="0.3">
      <c r="J19137"/>
    </row>
    <row r="19138" spans="10:10" x14ac:dyDescent="0.3">
      <c r="J19138"/>
    </row>
    <row r="19139" spans="10:10" x14ac:dyDescent="0.3">
      <c r="J19139"/>
    </row>
    <row r="19140" spans="10:10" x14ac:dyDescent="0.3">
      <c r="J19140"/>
    </row>
    <row r="19141" spans="10:10" x14ac:dyDescent="0.3">
      <c r="J19141"/>
    </row>
    <row r="19142" spans="10:10" x14ac:dyDescent="0.3">
      <c r="J19142"/>
    </row>
    <row r="19143" spans="10:10" x14ac:dyDescent="0.3">
      <c r="J19143"/>
    </row>
    <row r="19144" spans="10:10" x14ac:dyDescent="0.3">
      <c r="J19144"/>
    </row>
    <row r="19145" spans="10:10" x14ac:dyDescent="0.3">
      <c r="J19145"/>
    </row>
    <row r="19146" spans="10:10" x14ac:dyDescent="0.3">
      <c r="J19146"/>
    </row>
    <row r="19147" spans="10:10" x14ac:dyDescent="0.3">
      <c r="J19147"/>
    </row>
    <row r="19148" spans="10:10" x14ac:dyDescent="0.3">
      <c r="J19148"/>
    </row>
    <row r="19149" spans="10:10" x14ac:dyDescent="0.3">
      <c r="J19149"/>
    </row>
    <row r="19150" spans="10:10" x14ac:dyDescent="0.3">
      <c r="J19150"/>
    </row>
    <row r="19151" spans="10:10" x14ac:dyDescent="0.3">
      <c r="J19151"/>
    </row>
    <row r="19152" spans="10:10" x14ac:dyDescent="0.3">
      <c r="J19152"/>
    </row>
    <row r="19153" spans="10:10" x14ac:dyDescent="0.3">
      <c r="J19153"/>
    </row>
    <row r="19154" spans="10:10" x14ac:dyDescent="0.3">
      <c r="J19154"/>
    </row>
    <row r="19155" spans="10:10" x14ac:dyDescent="0.3">
      <c r="J19155"/>
    </row>
    <row r="19156" spans="10:10" x14ac:dyDescent="0.3">
      <c r="J19156"/>
    </row>
    <row r="19157" spans="10:10" x14ac:dyDescent="0.3">
      <c r="J19157"/>
    </row>
    <row r="19158" spans="10:10" x14ac:dyDescent="0.3">
      <c r="J19158"/>
    </row>
    <row r="19159" spans="10:10" x14ac:dyDescent="0.3">
      <c r="J19159"/>
    </row>
    <row r="19160" spans="10:10" x14ac:dyDescent="0.3">
      <c r="J19160"/>
    </row>
    <row r="19161" spans="10:10" x14ac:dyDescent="0.3">
      <c r="J19161"/>
    </row>
    <row r="19162" spans="10:10" x14ac:dyDescent="0.3">
      <c r="J19162"/>
    </row>
    <row r="19163" spans="10:10" x14ac:dyDescent="0.3">
      <c r="J19163"/>
    </row>
    <row r="19164" spans="10:10" x14ac:dyDescent="0.3">
      <c r="J19164"/>
    </row>
    <row r="19165" spans="10:10" x14ac:dyDescent="0.3">
      <c r="J19165"/>
    </row>
    <row r="19166" spans="10:10" x14ac:dyDescent="0.3">
      <c r="J19166"/>
    </row>
    <row r="19167" spans="10:10" x14ac:dyDescent="0.3">
      <c r="J19167"/>
    </row>
    <row r="19168" spans="10:10" x14ac:dyDescent="0.3">
      <c r="J19168"/>
    </row>
    <row r="19169" spans="10:10" x14ac:dyDescent="0.3">
      <c r="J19169"/>
    </row>
    <row r="19170" spans="10:10" x14ac:dyDescent="0.3">
      <c r="J19170"/>
    </row>
    <row r="19171" spans="10:10" x14ac:dyDescent="0.3">
      <c r="J19171"/>
    </row>
    <row r="19172" spans="10:10" x14ac:dyDescent="0.3">
      <c r="J19172"/>
    </row>
    <row r="19173" spans="10:10" x14ac:dyDescent="0.3">
      <c r="J19173"/>
    </row>
    <row r="19174" spans="10:10" x14ac:dyDescent="0.3">
      <c r="J19174"/>
    </row>
    <row r="19175" spans="10:10" x14ac:dyDescent="0.3">
      <c r="J19175"/>
    </row>
    <row r="19176" spans="10:10" x14ac:dyDescent="0.3">
      <c r="J19176"/>
    </row>
    <row r="19177" spans="10:10" x14ac:dyDescent="0.3">
      <c r="J19177"/>
    </row>
    <row r="19178" spans="10:10" x14ac:dyDescent="0.3">
      <c r="J19178"/>
    </row>
    <row r="19179" spans="10:10" x14ac:dyDescent="0.3">
      <c r="J19179"/>
    </row>
    <row r="19180" spans="10:10" x14ac:dyDescent="0.3">
      <c r="J19180"/>
    </row>
    <row r="19181" spans="10:10" x14ac:dyDescent="0.3">
      <c r="J19181"/>
    </row>
    <row r="19182" spans="10:10" x14ac:dyDescent="0.3">
      <c r="J19182"/>
    </row>
    <row r="19183" spans="10:10" x14ac:dyDescent="0.3">
      <c r="J19183"/>
    </row>
    <row r="19184" spans="10:10" x14ac:dyDescent="0.3">
      <c r="J19184"/>
    </row>
    <row r="19185" spans="10:10" x14ac:dyDescent="0.3">
      <c r="J19185"/>
    </row>
    <row r="19186" spans="10:10" x14ac:dyDescent="0.3">
      <c r="J19186"/>
    </row>
    <row r="19187" spans="10:10" x14ac:dyDescent="0.3">
      <c r="J19187"/>
    </row>
    <row r="19188" spans="10:10" x14ac:dyDescent="0.3">
      <c r="J19188"/>
    </row>
    <row r="19189" spans="10:10" x14ac:dyDescent="0.3">
      <c r="J19189"/>
    </row>
    <row r="19190" spans="10:10" x14ac:dyDescent="0.3">
      <c r="J19190"/>
    </row>
    <row r="19191" spans="10:10" x14ac:dyDescent="0.3">
      <c r="J19191"/>
    </row>
    <row r="19192" spans="10:10" x14ac:dyDescent="0.3">
      <c r="J19192"/>
    </row>
    <row r="19193" spans="10:10" x14ac:dyDescent="0.3">
      <c r="J19193"/>
    </row>
    <row r="19194" spans="10:10" x14ac:dyDescent="0.3">
      <c r="J19194"/>
    </row>
    <row r="19195" spans="10:10" x14ac:dyDescent="0.3">
      <c r="J19195"/>
    </row>
    <row r="19196" spans="10:10" x14ac:dyDescent="0.3">
      <c r="J19196"/>
    </row>
    <row r="19197" spans="10:10" x14ac:dyDescent="0.3">
      <c r="J19197"/>
    </row>
    <row r="19198" spans="10:10" x14ac:dyDescent="0.3">
      <c r="J19198"/>
    </row>
    <row r="19199" spans="10:10" x14ac:dyDescent="0.3">
      <c r="J19199"/>
    </row>
    <row r="19200" spans="10:10" x14ac:dyDescent="0.3">
      <c r="J19200"/>
    </row>
    <row r="19201" spans="10:10" x14ac:dyDescent="0.3">
      <c r="J19201"/>
    </row>
    <row r="19202" spans="10:10" x14ac:dyDescent="0.3">
      <c r="J19202"/>
    </row>
    <row r="19203" spans="10:10" x14ac:dyDescent="0.3">
      <c r="J19203"/>
    </row>
    <row r="19204" spans="10:10" x14ac:dyDescent="0.3">
      <c r="J19204"/>
    </row>
    <row r="19205" spans="10:10" x14ac:dyDescent="0.3">
      <c r="J19205"/>
    </row>
    <row r="19206" spans="10:10" x14ac:dyDescent="0.3">
      <c r="J19206"/>
    </row>
    <row r="19207" spans="10:10" x14ac:dyDescent="0.3">
      <c r="J19207"/>
    </row>
    <row r="19208" spans="10:10" x14ac:dyDescent="0.3">
      <c r="J19208"/>
    </row>
    <row r="19209" spans="10:10" x14ac:dyDescent="0.3">
      <c r="J19209"/>
    </row>
    <row r="19210" spans="10:10" x14ac:dyDescent="0.3">
      <c r="J19210"/>
    </row>
    <row r="19211" spans="10:10" x14ac:dyDescent="0.3">
      <c r="J19211"/>
    </row>
    <row r="19212" spans="10:10" x14ac:dyDescent="0.3">
      <c r="J19212"/>
    </row>
    <row r="19213" spans="10:10" x14ac:dyDescent="0.3">
      <c r="J19213"/>
    </row>
    <row r="19214" spans="10:10" x14ac:dyDescent="0.3">
      <c r="J19214"/>
    </row>
    <row r="19215" spans="10:10" x14ac:dyDescent="0.3">
      <c r="J19215"/>
    </row>
    <row r="19216" spans="10:10" x14ac:dyDescent="0.3">
      <c r="J19216"/>
    </row>
    <row r="19217" spans="10:10" x14ac:dyDescent="0.3">
      <c r="J19217"/>
    </row>
    <row r="19218" spans="10:10" x14ac:dyDescent="0.3">
      <c r="J19218"/>
    </row>
    <row r="19219" spans="10:10" x14ac:dyDescent="0.3">
      <c r="J19219"/>
    </row>
    <row r="19220" spans="10:10" x14ac:dyDescent="0.3">
      <c r="J19220"/>
    </row>
    <row r="19221" spans="10:10" x14ac:dyDescent="0.3">
      <c r="J19221"/>
    </row>
    <row r="19222" spans="10:10" x14ac:dyDescent="0.3">
      <c r="J19222"/>
    </row>
    <row r="19223" spans="10:10" x14ac:dyDescent="0.3">
      <c r="J19223"/>
    </row>
    <row r="19224" spans="10:10" x14ac:dyDescent="0.3">
      <c r="J19224"/>
    </row>
    <row r="19225" spans="10:10" x14ac:dyDescent="0.3">
      <c r="J19225"/>
    </row>
    <row r="19226" spans="10:10" x14ac:dyDescent="0.3">
      <c r="J19226"/>
    </row>
    <row r="19227" spans="10:10" x14ac:dyDescent="0.3">
      <c r="J19227"/>
    </row>
    <row r="19228" spans="10:10" x14ac:dyDescent="0.3">
      <c r="J19228"/>
    </row>
    <row r="19229" spans="10:10" x14ac:dyDescent="0.3">
      <c r="J19229"/>
    </row>
    <row r="19230" spans="10:10" x14ac:dyDescent="0.3">
      <c r="J19230"/>
    </row>
    <row r="19231" spans="10:10" x14ac:dyDescent="0.3">
      <c r="J19231"/>
    </row>
    <row r="19232" spans="10:10" x14ac:dyDescent="0.3">
      <c r="J19232"/>
    </row>
    <row r="19233" spans="10:10" x14ac:dyDescent="0.3">
      <c r="J19233"/>
    </row>
    <row r="19234" spans="10:10" x14ac:dyDescent="0.3">
      <c r="J19234"/>
    </row>
    <row r="19235" spans="10:10" x14ac:dyDescent="0.3">
      <c r="J19235"/>
    </row>
    <row r="19236" spans="10:10" x14ac:dyDescent="0.3">
      <c r="J19236"/>
    </row>
    <row r="19237" spans="10:10" x14ac:dyDescent="0.3">
      <c r="J19237"/>
    </row>
    <row r="19238" spans="10:10" x14ac:dyDescent="0.3">
      <c r="J19238"/>
    </row>
    <row r="19239" spans="10:10" x14ac:dyDescent="0.3">
      <c r="J19239"/>
    </row>
    <row r="19240" spans="10:10" x14ac:dyDescent="0.3">
      <c r="J19240"/>
    </row>
    <row r="19241" spans="10:10" x14ac:dyDescent="0.3">
      <c r="J19241"/>
    </row>
    <row r="19242" spans="10:10" x14ac:dyDescent="0.3">
      <c r="J19242"/>
    </row>
    <row r="19243" spans="10:10" x14ac:dyDescent="0.3">
      <c r="J19243"/>
    </row>
    <row r="19244" spans="10:10" x14ac:dyDescent="0.3">
      <c r="J19244"/>
    </row>
    <row r="19245" spans="10:10" x14ac:dyDescent="0.3">
      <c r="J19245"/>
    </row>
    <row r="19246" spans="10:10" x14ac:dyDescent="0.3">
      <c r="J19246"/>
    </row>
    <row r="19247" spans="10:10" x14ac:dyDescent="0.3">
      <c r="J19247"/>
    </row>
    <row r="19248" spans="10:10" x14ac:dyDescent="0.3">
      <c r="J19248"/>
    </row>
    <row r="19249" spans="10:10" x14ac:dyDescent="0.3">
      <c r="J19249"/>
    </row>
    <row r="19250" spans="10:10" x14ac:dyDescent="0.3">
      <c r="J19250"/>
    </row>
    <row r="19251" spans="10:10" x14ac:dyDescent="0.3">
      <c r="J19251"/>
    </row>
    <row r="19252" spans="10:10" x14ac:dyDescent="0.3">
      <c r="J19252"/>
    </row>
    <row r="19253" spans="10:10" x14ac:dyDescent="0.3">
      <c r="J19253"/>
    </row>
    <row r="19254" spans="10:10" x14ac:dyDescent="0.3">
      <c r="J19254"/>
    </row>
    <row r="19255" spans="10:10" x14ac:dyDescent="0.3">
      <c r="J19255"/>
    </row>
    <row r="19256" spans="10:10" x14ac:dyDescent="0.3">
      <c r="J19256"/>
    </row>
    <row r="19257" spans="10:10" x14ac:dyDescent="0.3">
      <c r="J19257"/>
    </row>
    <row r="19258" spans="10:10" x14ac:dyDescent="0.3">
      <c r="J19258"/>
    </row>
    <row r="19259" spans="10:10" x14ac:dyDescent="0.3">
      <c r="J19259"/>
    </row>
    <row r="19260" spans="10:10" x14ac:dyDescent="0.3">
      <c r="J19260"/>
    </row>
    <row r="19261" spans="10:10" x14ac:dyDescent="0.3">
      <c r="J19261"/>
    </row>
    <row r="19262" spans="10:10" x14ac:dyDescent="0.3">
      <c r="J19262"/>
    </row>
    <row r="19263" spans="10:10" x14ac:dyDescent="0.3">
      <c r="J19263"/>
    </row>
    <row r="19264" spans="10:10" x14ac:dyDescent="0.3">
      <c r="J19264"/>
    </row>
    <row r="19265" spans="10:10" x14ac:dyDescent="0.3">
      <c r="J19265"/>
    </row>
    <row r="19266" spans="10:10" x14ac:dyDescent="0.3">
      <c r="J19266"/>
    </row>
    <row r="19267" spans="10:10" x14ac:dyDescent="0.3">
      <c r="J19267"/>
    </row>
    <row r="19268" spans="10:10" x14ac:dyDescent="0.3">
      <c r="J19268"/>
    </row>
    <row r="19269" spans="10:10" x14ac:dyDescent="0.3">
      <c r="J19269"/>
    </row>
    <row r="19270" spans="10:10" x14ac:dyDescent="0.3">
      <c r="J19270"/>
    </row>
    <row r="19271" spans="10:10" x14ac:dyDescent="0.3">
      <c r="J19271"/>
    </row>
    <row r="19272" spans="10:10" x14ac:dyDescent="0.3">
      <c r="J19272"/>
    </row>
    <row r="19273" spans="10:10" x14ac:dyDescent="0.3">
      <c r="J19273"/>
    </row>
    <row r="19274" spans="10:10" x14ac:dyDescent="0.3">
      <c r="J19274"/>
    </row>
    <row r="19275" spans="10:10" x14ac:dyDescent="0.3">
      <c r="J19275"/>
    </row>
    <row r="19276" spans="10:10" x14ac:dyDescent="0.3">
      <c r="J19276"/>
    </row>
    <row r="19277" spans="10:10" x14ac:dyDescent="0.3">
      <c r="J19277"/>
    </row>
    <row r="19278" spans="10:10" x14ac:dyDescent="0.3">
      <c r="J19278"/>
    </row>
    <row r="19279" spans="10:10" x14ac:dyDescent="0.3">
      <c r="J19279"/>
    </row>
    <row r="19280" spans="10:10" x14ac:dyDescent="0.3">
      <c r="J19280"/>
    </row>
    <row r="19281" spans="10:10" x14ac:dyDescent="0.3">
      <c r="J19281"/>
    </row>
    <row r="19282" spans="10:10" x14ac:dyDescent="0.3">
      <c r="J19282"/>
    </row>
    <row r="19283" spans="10:10" x14ac:dyDescent="0.3">
      <c r="J19283"/>
    </row>
    <row r="19284" spans="10:10" x14ac:dyDescent="0.3">
      <c r="J19284"/>
    </row>
    <row r="19285" spans="10:10" x14ac:dyDescent="0.3">
      <c r="J19285"/>
    </row>
    <row r="19286" spans="10:10" x14ac:dyDescent="0.3">
      <c r="J19286"/>
    </row>
    <row r="19287" spans="10:10" x14ac:dyDescent="0.3">
      <c r="J19287"/>
    </row>
    <row r="19288" spans="10:10" x14ac:dyDescent="0.3">
      <c r="J19288"/>
    </row>
    <row r="19289" spans="10:10" x14ac:dyDescent="0.3">
      <c r="J19289"/>
    </row>
    <row r="19290" spans="10:10" x14ac:dyDescent="0.3">
      <c r="J19290"/>
    </row>
    <row r="19291" spans="10:10" x14ac:dyDescent="0.3">
      <c r="J19291"/>
    </row>
    <row r="19292" spans="10:10" x14ac:dyDescent="0.3">
      <c r="J19292"/>
    </row>
    <row r="19293" spans="10:10" x14ac:dyDescent="0.3">
      <c r="J19293"/>
    </row>
    <row r="19294" spans="10:10" x14ac:dyDescent="0.3">
      <c r="J19294"/>
    </row>
    <row r="19295" spans="10:10" x14ac:dyDescent="0.3">
      <c r="J19295"/>
    </row>
    <row r="19296" spans="10:10" x14ac:dyDescent="0.3">
      <c r="J19296"/>
    </row>
    <row r="19297" spans="10:10" x14ac:dyDescent="0.3">
      <c r="J19297"/>
    </row>
    <row r="19298" spans="10:10" x14ac:dyDescent="0.3">
      <c r="J19298"/>
    </row>
    <row r="19299" spans="10:10" x14ac:dyDescent="0.3">
      <c r="J19299"/>
    </row>
    <row r="19300" spans="10:10" x14ac:dyDescent="0.3">
      <c r="J19300"/>
    </row>
    <row r="19301" spans="10:10" x14ac:dyDescent="0.3">
      <c r="J19301"/>
    </row>
    <row r="19302" spans="10:10" x14ac:dyDescent="0.3">
      <c r="J19302"/>
    </row>
    <row r="19303" spans="10:10" x14ac:dyDescent="0.3">
      <c r="J19303"/>
    </row>
    <row r="19304" spans="10:10" x14ac:dyDescent="0.3">
      <c r="J19304"/>
    </row>
    <row r="19305" spans="10:10" x14ac:dyDescent="0.3">
      <c r="J19305"/>
    </row>
    <row r="19306" spans="10:10" x14ac:dyDescent="0.3">
      <c r="J19306"/>
    </row>
    <row r="19307" spans="10:10" x14ac:dyDescent="0.3">
      <c r="J19307"/>
    </row>
    <row r="19308" spans="10:10" x14ac:dyDescent="0.3">
      <c r="J19308"/>
    </row>
    <row r="19309" spans="10:10" x14ac:dyDescent="0.3">
      <c r="J19309"/>
    </row>
    <row r="19310" spans="10:10" x14ac:dyDescent="0.3">
      <c r="J19310"/>
    </row>
    <row r="19311" spans="10:10" x14ac:dyDescent="0.3">
      <c r="J19311"/>
    </row>
    <row r="19312" spans="10:10" x14ac:dyDescent="0.3">
      <c r="J19312"/>
    </row>
    <row r="19313" spans="10:10" x14ac:dyDescent="0.3">
      <c r="J19313"/>
    </row>
    <row r="19314" spans="10:10" x14ac:dyDescent="0.3">
      <c r="J19314"/>
    </row>
    <row r="19315" spans="10:10" x14ac:dyDescent="0.3">
      <c r="J19315"/>
    </row>
    <row r="19316" spans="10:10" x14ac:dyDescent="0.3">
      <c r="J19316"/>
    </row>
    <row r="19317" spans="10:10" x14ac:dyDescent="0.3">
      <c r="J19317"/>
    </row>
    <row r="19318" spans="10:10" x14ac:dyDescent="0.3">
      <c r="J19318"/>
    </row>
    <row r="19319" spans="10:10" x14ac:dyDescent="0.3">
      <c r="J19319"/>
    </row>
    <row r="19320" spans="10:10" x14ac:dyDescent="0.3">
      <c r="J19320"/>
    </row>
    <row r="19321" spans="10:10" x14ac:dyDescent="0.3">
      <c r="J19321"/>
    </row>
    <row r="19322" spans="10:10" x14ac:dyDescent="0.3">
      <c r="J19322"/>
    </row>
    <row r="19323" spans="10:10" x14ac:dyDescent="0.3">
      <c r="J19323"/>
    </row>
    <row r="19324" spans="10:10" x14ac:dyDescent="0.3">
      <c r="J19324"/>
    </row>
    <row r="19325" spans="10:10" x14ac:dyDescent="0.3">
      <c r="J19325"/>
    </row>
    <row r="19326" spans="10:10" x14ac:dyDescent="0.3">
      <c r="J19326"/>
    </row>
    <row r="19327" spans="10:10" x14ac:dyDescent="0.3">
      <c r="J19327"/>
    </row>
    <row r="19328" spans="10:10" x14ac:dyDescent="0.3">
      <c r="J19328"/>
    </row>
    <row r="19329" spans="10:10" x14ac:dyDescent="0.3">
      <c r="J19329"/>
    </row>
    <row r="19330" spans="10:10" x14ac:dyDescent="0.3">
      <c r="J19330"/>
    </row>
    <row r="19331" spans="10:10" x14ac:dyDescent="0.3">
      <c r="J19331"/>
    </row>
    <row r="19332" spans="10:10" x14ac:dyDescent="0.3">
      <c r="J19332"/>
    </row>
    <row r="19333" spans="10:10" x14ac:dyDescent="0.3">
      <c r="J19333"/>
    </row>
    <row r="19334" spans="10:10" x14ac:dyDescent="0.3">
      <c r="J19334"/>
    </row>
    <row r="19335" spans="10:10" x14ac:dyDescent="0.3">
      <c r="J19335"/>
    </row>
    <row r="19336" spans="10:10" x14ac:dyDescent="0.3">
      <c r="J19336"/>
    </row>
    <row r="19337" spans="10:10" x14ac:dyDescent="0.3">
      <c r="J19337"/>
    </row>
    <row r="19338" spans="10:10" x14ac:dyDescent="0.3">
      <c r="J19338"/>
    </row>
    <row r="19339" spans="10:10" x14ac:dyDescent="0.3">
      <c r="J19339"/>
    </row>
    <row r="19340" spans="10:10" x14ac:dyDescent="0.3">
      <c r="J19340"/>
    </row>
    <row r="19341" spans="10:10" x14ac:dyDescent="0.3">
      <c r="J19341"/>
    </row>
    <row r="19342" spans="10:10" x14ac:dyDescent="0.3">
      <c r="J19342"/>
    </row>
    <row r="19343" spans="10:10" x14ac:dyDescent="0.3">
      <c r="J19343"/>
    </row>
    <row r="19344" spans="10:10" x14ac:dyDescent="0.3">
      <c r="J19344"/>
    </row>
    <row r="19345" spans="10:10" x14ac:dyDescent="0.3">
      <c r="J19345"/>
    </row>
    <row r="19346" spans="10:10" x14ac:dyDescent="0.3">
      <c r="J19346"/>
    </row>
    <row r="19347" spans="10:10" x14ac:dyDescent="0.3">
      <c r="J19347"/>
    </row>
    <row r="19348" spans="10:10" x14ac:dyDescent="0.3">
      <c r="J19348"/>
    </row>
    <row r="19349" spans="10:10" x14ac:dyDescent="0.3">
      <c r="J19349"/>
    </row>
    <row r="19350" spans="10:10" x14ac:dyDescent="0.3">
      <c r="J19350"/>
    </row>
    <row r="19351" spans="10:10" x14ac:dyDescent="0.3">
      <c r="J19351"/>
    </row>
    <row r="19352" spans="10:10" x14ac:dyDescent="0.3">
      <c r="J19352"/>
    </row>
    <row r="19353" spans="10:10" x14ac:dyDescent="0.3">
      <c r="J19353"/>
    </row>
    <row r="19354" spans="10:10" x14ac:dyDescent="0.3">
      <c r="J19354"/>
    </row>
    <row r="19355" spans="10:10" x14ac:dyDescent="0.3">
      <c r="J19355"/>
    </row>
    <row r="19356" spans="10:10" x14ac:dyDescent="0.3">
      <c r="J19356"/>
    </row>
    <row r="19357" spans="10:10" x14ac:dyDescent="0.3">
      <c r="J19357"/>
    </row>
    <row r="19358" spans="10:10" x14ac:dyDescent="0.3">
      <c r="J19358"/>
    </row>
    <row r="19359" spans="10:10" x14ac:dyDescent="0.3">
      <c r="J19359"/>
    </row>
    <row r="19360" spans="10:10" x14ac:dyDescent="0.3">
      <c r="J19360"/>
    </row>
    <row r="19361" spans="10:10" x14ac:dyDescent="0.3">
      <c r="J19361"/>
    </row>
    <row r="19362" spans="10:10" x14ac:dyDescent="0.3">
      <c r="J19362"/>
    </row>
    <row r="19363" spans="10:10" x14ac:dyDescent="0.3">
      <c r="J19363"/>
    </row>
    <row r="19364" spans="10:10" x14ac:dyDescent="0.3">
      <c r="J19364"/>
    </row>
    <row r="19365" spans="10:10" x14ac:dyDescent="0.3">
      <c r="J19365"/>
    </row>
    <row r="19366" spans="10:10" x14ac:dyDescent="0.3">
      <c r="J19366"/>
    </row>
    <row r="19367" spans="10:10" x14ac:dyDescent="0.3">
      <c r="J19367"/>
    </row>
    <row r="19368" spans="10:10" x14ac:dyDescent="0.3">
      <c r="J19368"/>
    </row>
    <row r="19369" spans="10:10" x14ac:dyDescent="0.3">
      <c r="J19369"/>
    </row>
    <row r="19370" spans="10:10" x14ac:dyDescent="0.3">
      <c r="J19370"/>
    </row>
    <row r="19371" spans="10:10" x14ac:dyDescent="0.3">
      <c r="J19371"/>
    </row>
    <row r="19372" spans="10:10" x14ac:dyDescent="0.3">
      <c r="J19372"/>
    </row>
    <row r="19373" spans="10:10" x14ac:dyDescent="0.3">
      <c r="J19373"/>
    </row>
    <row r="19374" spans="10:10" x14ac:dyDescent="0.3">
      <c r="J19374"/>
    </row>
    <row r="19375" spans="10:10" x14ac:dyDescent="0.3">
      <c r="J19375"/>
    </row>
    <row r="19376" spans="10:10" x14ac:dyDescent="0.3">
      <c r="J19376"/>
    </row>
    <row r="19377" spans="10:10" x14ac:dyDescent="0.3">
      <c r="J19377"/>
    </row>
    <row r="19378" spans="10:10" x14ac:dyDescent="0.3">
      <c r="J19378"/>
    </row>
    <row r="19379" spans="10:10" x14ac:dyDescent="0.3">
      <c r="J19379"/>
    </row>
    <row r="19380" spans="10:10" x14ac:dyDescent="0.3">
      <c r="J19380"/>
    </row>
    <row r="19381" spans="10:10" x14ac:dyDescent="0.3">
      <c r="J19381"/>
    </row>
    <row r="19382" spans="10:10" x14ac:dyDescent="0.3">
      <c r="J19382"/>
    </row>
    <row r="19383" spans="10:10" x14ac:dyDescent="0.3">
      <c r="J19383"/>
    </row>
    <row r="19384" spans="10:10" x14ac:dyDescent="0.3">
      <c r="J19384"/>
    </row>
    <row r="19385" spans="10:10" x14ac:dyDescent="0.3">
      <c r="J19385"/>
    </row>
    <row r="19386" spans="10:10" x14ac:dyDescent="0.3">
      <c r="J19386"/>
    </row>
    <row r="19387" spans="10:10" x14ac:dyDescent="0.3">
      <c r="J19387"/>
    </row>
    <row r="19388" spans="10:10" x14ac:dyDescent="0.3">
      <c r="J19388"/>
    </row>
    <row r="19389" spans="10:10" x14ac:dyDescent="0.3">
      <c r="J19389"/>
    </row>
    <row r="19390" spans="10:10" x14ac:dyDescent="0.3">
      <c r="J19390"/>
    </row>
    <row r="19391" spans="10:10" x14ac:dyDescent="0.3">
      <c r="J19391"/>
    </row>
    <row r="19392" spans="10:10" x14ac:dyDescent="0.3">
      <c r="J19392"/>
    </row>
    <row r="19393" spans="10:10" x14ac:dyDescent="0.3">
      <c r="J19393"/>
    </row>
    <row r="19394" spans="10:10" x14ac:dyDescent="0.3">
      <c r="J19394"/>
    </row>
    <row r="19395" spans="10:10" x14ac:dyDescent="0.3">
      <c r="J19395"/>
    </row>
    <row r="19396" spans="10:10" x14ac:dyDescent="0.3">
      <c r="J19396"/>
    </row>
    <row r="19397" spans="10:10" x14ac:dyDescent="0.3">
      <c r="J19397"/>
    </row>
    <row r="19398" spans="10:10" x14ac:dyDescent="0.3">
      <c r="J19398"/>
    </row>
    <row r="19399" spans="10:10" x14ac:dyDescent="0.3">
      <c r="J19399"/>
    </row>
    <row r="19400" spans="10:10" x14ac:dyDescent="0.3">
      <c r="J19400"/>
    </row>
    <row r="19401" spans="10:10" x14ac:dyDescent="0.3">
      <c r="J19401"/>
    </row>
    <row r="19402" spans="10:10" x14ac:dyDescent="0.3">
      <c r="J19402"/>
    </row>
    <row r="19403" spans="10:10" x14ac:dyDescent="0.3">
      <c r="J19403"/>
    </row>
    <row r="19404" spans="10:10" x14ac:dyDescent="0.3">
      <c r="J19404"/>
    </row>
    <row r="19405" spans="10:10" x14ac:dyDescent="0.3">
      <c r="J19405"/>
    </row>
    <row r="19406" spans="10:10" x14ac:dyDescent="0.3">
      <c r="J19406"/>
    </row>
    <row r="19407" spans="10:10" x14ac:dyDescent="0.3">
      <c r="J19407"/>
    </row>
    <row r="19408" spans="10:10" x14ac:dyDescent="0.3">
      <c r="J19408"/>
    </row>
    <row r="19409" spans="10:10" x14ac:dyDescent="0.3">
      <c r="J19409"/>
    </row>
    <row r="19410" spans="10:10" x14ac:dyDescent="0.3">
      <c r="J19410"/>
    </row>
    <row r="19411" spans="10:10" x14ac:dyDescent="0.3">
      <c r="J19411"/>
    </row>
    <row r="19412" spans="10:10" x14ac:dyDescent="0.3">
      <c r="J19412"/>
    </row>
    <row r="19413" spans="10:10" x14ac:dyDescent="0.3">
      <c r="J19413"/>
    </row>
    <row r="19414" spans="10:10" x14ac:dyDescent="0.3">
      <c r="J19414"/>
    </row>
    <row r="19415" spans="10:10" x14ac:dyDescent="0.3">
      <c r="J19415"/>
    </row>
    <row r="19416" spans="10:10" x14ac:dyDescent="0.3">
      <c r="J19416"/>
    </row>
    <row r="19417" spans="10:10" x14ac:dyDescent="0.3">
      <c r="J19417"/>
    </row>
    <row r="19418" spans="10:10" x14ac:dyDescent="0.3">
      <c r="J19418"/>
    </row>
    <row r="19419" spans="10:10" x14ac:dyDescent="0.3">
      <c r="J19419"/>
    </row>
    <row r="19420" spans="10:10" x14ac:dyDescent="0.3">
      <c r="J19420"/>
    </row>
    <row r="19421" spans="10:10" x14ac:dyDescent="0.3">
      <c r="J19421"/>
    </row>
    <row r="19422" spans="10:10" x14ac:dyDescent="0.3">
      <c r="J19422"/>
    </row>
    <row r="19423" spans="10:10" x14ac:dyDescent="0.3">
      <c r="J19423"/>
    </row>
    <row r="19424" spans="10:10" x14ac:dyDescent="0.3">
      <c r="J19424"/>
    </row>
    <row r="19425" spans="10:10" x14ac:dyDescent="0.3">
      <c r="J19425"/>
    </row>
    <row r="19426" spans="10:10" x14ac:dyDescent="0.3">
      <c r="J19426"/>
    </row>
    <row r="19427" spans="10:10" x14ac:dyDescent="0.3">
      <c r="J19427"/>
    </row>
    <row r="19428" spans="10:10" x14ac:dyDescent="0.3">
      <c r="J19428"/>
    </row>
    <row r="19429" spans="10:10" x14ac:dyDescent="0.3">
      <c r="J19429"/>
    </row>
    <row r="19430" spans="10:10" x14ac:dyDescent="0.3">
      <c r="J19430"/>
    </row>
    <row r="19431" spans="10:10" x14ac:dyDescent="0.3">
      <c r="J19431"/>
    </row>
    <row r="19432" spans="10:10" x14ac:dyDescent="0.3">
      <c r="J19432"/>
    </row>
    <row r="19433" spans="10:10" x14ac:dyDescent="0.3">
      <c r="J19433"/>
    </row>
    <row r="19434" spans="10:10" x14ac:dyDescent="0.3">
      <c r="J19434"/>
    </row>
    <row r="19435" spans="10:10" x14ac:dyDescent="0.3">
      <c r="J19435"/>
    </row>
    <row r="19436" spans="10:10" x14ac:dyDescent="0.3">
      <c r="J19436"/>
    </row>
    <row r="19437" spans="10:10" x14ac:dyDescent="0.3">
      <c r="J19437"/>
    </row>
    <row r="19438" spans="10:10" x14ac:dyDescent="0.3">
      <c r="J19438"/>
    </row>
    <row r="19439" spans="10:10" x14ac:dyDescent="0.3">
      <c r="J19439"/>
    </row>
    <row r="19440" spans="10:10" x14ac:dyDescent="0.3">
      <c r="J19440"/>
    </row>
    <row r="19441" spans="10:10" x14ac:dyDescent="0.3">
      <c r="J19441"/>
    </row>
    <row r="19442" spans="10:10" x14ac:dyDescent="0.3">
      <c r="J19442"/>
    </row>
    <row r="19443" spans="10:10" x14ac:dyDescent="0.3">
      <c r="J19443"/>
    </row>
    <row r="19444" spans="10:10" x14ac:dyDescent="0.3">
      <c r="J19444"/>
    </row>
    <row r="19445" spans="10:10" x14ac:dyDescent="0.3">
      <c r="J19445"/>
    </row>
    <row r="19446" spans="10:10" x14ac:dyDescent="0.3">
      <c r="J19446"/>
    </row>
    <row r="19447" spans="10:10" x14ac:dyDescent="0.3">
      <c r="J19447"/>
    </row>
    <row r="19448" spans="10:10" x14ac:dyDescent="0.3">
      <c r="J19448"/>
    </row>
    <row r="19449" spans="10:10" x14ac:dyDescent="0.3">
      <c r="J19449"/>
    </row>
    <row r="19450" spans="10:10" x14ac:dyDescent="0.3">
      <c r="J19450"/>
    </row>
    <row r="19451" spans="10:10" x14ac:dyDescent="0.3">
      <c r="J19451"/>
    </row>
    <row r="19452" spans="10:10" x14ac:dyDescent="0.3">
      <c r="J19452"/>
    </row>
    <row r="19453" spans="10:10" x14ac:dyDescent="0.3">
      <c r="J19453"/>
    </row>
    <row r="19454" spans="10:10" x14ac:dyDescent="0.3">
      <c r="J19454"/>
    </row>
    <row r="19455" spans="10:10" x14ac:dyDescent="0.3">
      <c r="J19455"/>
    </row>
    <row r="19456" spans="10:10" x14ac:dyDescent="0.3">
      <c r="J19456"/>
    </row>
    <row r="19457" spans="10:10" x14ac:dyDescent="0.3">
      <c r="J19457"/>
    </row>
    <row r="19458" spans="10:10" x14ac:dyDescent="0.3">
      <c r="J19458"/>
    </row>
    <row r="19459" spans="10:10" x14ac:dyDescent="0.3">
      <c r="J19459"/>
    </row>
    <row r="19460" spans="10:10" x14ac:dyDescent="0.3">
      <c r="J19460"/>
    </row>
    <row r="19461" spans="10:10" x14ac:dyDescent="0.3">
      <c r="J19461"/>
    </row>
    <row r="19462" spans="10:10" x14ac:dyDescent="0.3">
      <c r="J19462"/>
    </row>
    <row r="19463" spans="10:10" x14ac:dyDescent="0.3">
      <c r="J19463"/>
    </row>
    <row r="19464" spans="10:10" x14ac:dyDescent="0.3">
      <c r="J19464"/>
    </row>
    <row r="19465" spans="10:10" x14ac:dyDescent="0.3">
      <c r="J19465"/>
    </row>
    <row r="19466" spans="10:10" x14ac:dyDescent="0.3">
      <c r="J19466"/>
    </row>
    <row r="19467" spans="10:10" x14ac:dyDescent="0.3">
      <c r="J19467"/>
    </row>
    <row r="19468" spans="10:10" x14ac:dyDescent="0.3">
      <c r="J19468"/>
    </row>
    <row r="19469" spans="10:10" x14ac:dyDescent="0.3">
      <c r="J19469"/>
    </row>
    <row r="19470" spans="10:10" x14ac:dyDescent="0.3">
      <c r="J19470"/>
    </row>
    <row r="19471" spans="10:10" x14ac:dyDescent="0.3">
      <c r="J19471"/>
    </row>
    <row r="19472" spans="10:10" x14ac:dyDescent="0.3">
      <c r="J19472"/>
    </row>
    <row r="19473" spans="10:10" x14ac:dyDescent="0.3">
      <c r="J19473"/>
    </row>
    <row r="19474" spans="10:10" x14ac:dyDescent="0.3">
      <c r="J19474"/>
    </row>
    <row r="19475" spans="10:10" x14ac:dyDescent="0.3">
      <c r="J19475"/>
    </row>
    <row r="19476" spans="10:10" x14ac:dyDescent="0.3">
      <c r="J19476"/>
    </row>
    <row r="19477" spans="10:10" x14ac:dyDescent="0.3">
      <c r="J19477"/>
    </row>
    <row r="19478" spans="10:10" x14ac:dyDescent="0.3">
      <c r="J19478"/>
    </row>
    <row r="19479" spans="10:10" x14ac:dyDescent="0.3">
      <c r="J19479"/>
    </row>
    <row r="19480" spans="10:10" x14ac:dyDescent="0.3">
      <c r="J19480"/>
    </row>
    <row r="19481" spans="10:10" x14ac:dyDescent="0.3">
      <c r="J19481"/>
    </row>
    <row r="19482" spans="10:10" x14ac:dyDescent="0.3">
      <c r="J19482"/>
    </row>
    <row r="19483" spans="10:10" x14ac:dyDescent="0.3">
      <c r="J19483"/>
    </row>
    <row r="19484" spans="10:10" x14ac:dyDescent="0.3">
      <c r="J19484"/>
    </row>
    <row r="19485" spans="10:10" x14ac:dyDescent="0.3">
      <c r="J19485"/>
    </row>
    <row r="19486" spans="10:10" x14ac:dyDescent="0.3">
      <c r="J19486"/>
    </row>
    <row r="19487" spans="10:10" x14ac:dyDescent="0.3">
      <c r="J19487"/>
    </row>
    <row r="19488" spans="10:10" x14ac:dyDescent="0.3">
      <c r="J19488"/>
    </row>
    <row r="19489" spans="10:10" x14ac:dyDescent="0.3">
      <c r="J19489"/>
    </row>
    <row r="19490" spans="10:10" x14ac:dyDescent="0.3">
      <c r="J19490"/>
    </row>
    <row r="19491" spans="10:10" x14ac:dyDescent="0.3">
      <c r="J19491"/>
    </row>
    <row r="19492" spans="10:10" x14ac:dyDescent="0.3">
      <c r="J19492"/>
    </row>
    <row r="19493" spans="10:10" x14ac:dyDescent="0.3">
      <c r="J19493"/>
    </row>
    <row r="19494" spans="10:10" x14ac:dyDescent="0.3">
      <c r="J19494"/>
    </row>
    <row r="19495" spans="10:10" x14ac:dyDescent="0.3">
      <c r="J19495"/>
    </row>
    <row r="19496" spans="10:10" x14ac:dyDescent="0.3">
      <c r="J19496"/>
    </row>
    <row r="19497" spans="10:10" x14ac:dyDescent="0.3">
      <c r="J19497"/>
    </row>
    <row r="19498" spans="10:10" x14ac:dyDescent="0.3">
      <c r="J19498"/>
    </row>
    <row r="19499" spans="10:10" x14ac:dyDescent="0.3">
      <c r="J19499"/>
    </row>
    <row r="19500" spans="10:10" x14ac:dyDescent="0.3">
      <c r="J19500"/>
    </row>
    <row r="19501" spans="10:10" x14ac:dyDescent="0.3">
      <c r="J19501"/>
    </row>
    <row r="19502" spans="10:10" x14ac:dyDescent="0.3">
      <c r="J19502"/>
    </row>
    <row r="19503" spans="10:10" x14ac:dyDescent="0.3">
      <c r="J19503"/>
    </row>
    <row r="19504" spans="10:10" x14ac:dyDescent="0.3">
      <c r="J19504"/>
    </row>
    <row r="19505" spans="10:10" x14ac:dyDescent="0.3">
      <c r="J19505"/>
    </row>
    <row r="19506" spans="10:10" x14ac:dyDescent="0.3">
      <c r="J19506"/>
    </row>
    <row r="19507" spans="10:10" x14ac:dyDescent="0.3">
      <c r="J19507"/>
    </row>
    <row r="19508" spans="10:10" x14ac:dyDescent="0.3">
      <c r="J19508"/>
    </row>
    <row r="19509" spans="10:10" x14ac:dyDescent="0.3">
      <c r="J19509"/>
    </row>
    <row r="19510" spans="10:10" x14ac:dyDescent="0.3">
      <c r="J19510"/>
    </row>
    <row r="19511" spans="10:10" x14ac:dyDescent="0.3">
      <c r="J19511"/>
    </row>
    <row r="19512" spans="10:10" x14ac:dyDescent="0.3">
      <c r="J19512"/>
    </row>
    <row r="19513" spans="10:10" x14ac:dyDescent="0.3">
      <c r="J19513"/>
    </row>
    <row r="19514" spans="10:10" x14ac:dyDescent="0.3">
      <c r="J19514"/>
    </row>
    <row r="19515" spans="10:10" x14ac:dyDescent="0.3">
      <c r="J19515"/>
    </row>
    <row r="19516" spans="10:10" x14ac:dyDescent="0.3">
      <c r="J19516"/>
    </row>
    <row r="19517" spans="10:10" x14ac:dyDescent="0.3">
      <c r="J19517"/>
    </row>
    <row r="19518" spans="10:10" x14ac:dyDescent="0.3">
      <c r="J19518"/>
    </row>
    <row r="19519" spans="10:10" x14ac:dyDescent="0.3">
      <c r="J19519"/>
    </row>
    <row r="19520" spans="10:10" x14ac:dyDescent="0.3">
      <c r="J19520"/>
    </row>
    <row r="19521" spans="10:10" x14ac:dyDescent="0.3">
      <c r="J19521"/>
    </row>
    <row r="19522" spans="10:10" x14ac:dyDescent="0.3">
      <c r="J19522"/>
    </row>
    <row r="19523" spans="10:10" x14ac:dyDescent="0.3">
      <c r="J19523"/>
    </row>
    <row r="19524" spans="10:10" x14ac:dyDescent="0.3">
      <c r="J19524"/>
    </row>
    <row r="19525" spans="10:10" x14ac:dyDescent="0.3">
      <c r="J19525"/>
    </row>
    <row r="19526" spans="10:10" x14ac:dyDescent="0.3">
      <c r="J19526"/>
    </row>
    <row r="19527" spans="10:10" x14ac:dyDescent="0.3">
      <c r="J19527"/>
    </row>
    <row r="19528" spans="10:10" x14ac:dyDescent="0.3">
      <c r="J19528"/>
    </row>
    <row r="19529" spans="10:10" x14ac:dyDescent="0.3">
      <c r="J19529"/>
    </row>
    <row r="19530" spans="10:10" x14ac:dyDescent="0.3">
      <c r="J19530"/>
    </row>
    <row r="19531" spans="10:10" x14ac:dyDescent="0.3">
      <c r="J19531"/>
    </row>
    <row r="19532" spans="10:10" x14ac:dyDescent="0.3">
      <c r="J19532"/>
    </row>
    <row r="19533" spans="10:10" x14ac:dyDescent="0.3">
      <c r="J19533"/>
    </row>
    <row r="19534" spans="10:10" x14ac:dyDescent="0.3">
      <c r="J19534"/>
    </row>
    <row r="19535" spans="10:10" x14ac:dyDescent="0.3">
      <c r="J19535"/>
    </row>
    <row r="19536" spans="10:10" x14ac:dyDescent="0.3">
      <c r="J19536"/>
    </row>
    <row r="19537" spans="10:10" x14ac:dyDescent="0.3">
      <c r="J19537"/>
    </row>
    <row r="19538" spans="10:10" x14ac:dyDescent="0.3">
      <c r="J19538"/>
    </row>
    <row r="19539" spans="10:10" x14ac:dyDescent="0.3">
      <c r="J19539"/>
    </row>
    <row r="19540" spans="10:10" x14ac:dyDescent="0.3">
      <c r="J19540"/>
    </row>
    <row r="19541" spans="10:10" x14ac:dyDescent="0.3">
      <c r="J19541"/>
    </row>
    <row r="19542" spans="10:10" x14ac:dyDescent="0.3">
      <c r="J19542"/>
    </row>
    <row r="19543" spans="10:10" x14ac:dyDescent="0.3">
      <c r="J19543"/>
    </row>
    <row r="19544" spans="10:10" x14ac:dyDescent="0.3">
      <c r="J19544"/>
    </row>
    <row r="19545" spans="10:10" x14ac:dyDescent="0.3">
      <c r="J19545"/>
    </row>
    <row r="19546" spans="10:10" x14ac:dyDescent="0.3">
      <c r="J19546"/>
    </row>
    <row r="19547" spans="10:10" x14ac:dyDescent="0.3">
      <c r="J19547"/>
    </row>
    <row r="19548" spans="10:10" x14ac:dyDescent="0.3">
      <c r="J19548"/>
    </row>
    <row r="19549" spans="10:10" x14ac:dyDescent="0.3">
      <c r="J19549"/>
    </row>
    <row r="19550" spans="10:10" x14ac:dyDescent="0.3">
      <c r="J19550"/>
    </row>
    <row r="19551" spans="10:10" x14ac:dyDescent="0.3">
      <c r="J19551"/>
    </row>
    <row r="19552" spans="10:10" x14ac:dyDescent="0.3">
      <c r="J19552"/>
    </row>
    <row r="19553" spans="10:10" x14ac:dyDescent="0.3">
      <c r="J19553"/>
    </row>
    <row r="19554" spans="10:10" x14ac:dyDescent="0.3">
      <c r="J19554"/>
    </row>
    <row r="19555" spans="10:10" x14ac:dyDescent="0.3">
      <c r="J19555"/>
    </row>
    <row r="19556" spans="10:10" x14ac:dyDescent="0.3">
      <c r="J19556"/>
    </row>
    <row r="19557" spans="10:10" x14ac:dyDescent="0.3">
      <c r="J19557"/>
    </row>
    <row r="19558" spans="10:10" x14ac:dyDescent="0.3">
      <c r="J19558"/>
    </row>
    <row r="19559" spans="10:10" x14ac:dyDescent="0.3">
      <c r="J19559"/>
    </row>
    <row r="19560" spans="10:10" x14ac:dyDescent="0.3">
      <c r="J19560"/>
    </row>
    <row r="19561" spans="10:10" x14ac:dyDescent="0.3">
      <c r="J19561"/>
    </row>
    <row r="19562" spans="10:10" x14ac:dyDescent="0.3">
      <c r="J19562"/>
    </row>
    <row r="19563" spans="10:10" x14ac:dyDescent="0.3">
      <c r="J19563"/>
    </row>
    <row r="19564" spans="10:10" x14ac:dyDescent="0.3">
      <c r="J19564"/>
    </row>
    <row r="19565" spans="10:10" x14ac:dyDescent="0.3">
      <c r="J19565"/>
    </row>
    <row r="19566" spans="10:10" x14ac:dyDescent="0.3">
      <c r="J19566"/>
    </row>
    <row r="19567" spans="10:10" x14ac:dyDescent="0.3">
      <c r="J19567"/>
    </row>
    <row r="19568" spans="10:10" x14ac:dyDescent="0.3">
      <c r="J19568"/>
    </row>
    <row r="19569" spans="10:10" x14ac:dyDescent="0.3">
      <c r="J19569"/>
    </row>
    <row r="19570" spans="10:10" x14ac:dyDescent="0.3">
      <c r="J19570"/>
    </row>
    <row r="19571" spans="10:10" x14ac:dyDescent="0.3">
      <c r="J19571"/>
    </row>
    <row r="19572" spans="10:10" x14ac:dyDescent="0.3">
      <c r="J19572"/>
    </row>
    <row r="19573" spans="10:10" x14ac:dyDescent="0.3">
      <c r="J19573"/>
    </row>
    <row r="19574" spans="10:10" x14ac:dyDescent="0.3">
      <c r="J19574"/>
    </row>
    <row r="19575" spans="10:10" x14ac:dyDescent="0.3">
      <c r="J19575"/>
    </row>
    <row r="19576" spans="10:10" x14ac:dyDescent="0.3">
      <c r="J19576"/>
    </row>
    <row r="19577" spans="10:10" x14ac:dyDescent="0.3">
      <c r="J19577"/>
    </row>
    <row r="19578" spans="10:10" x14ac:dyDescent="0.3">
      <c r="J19578"/>
    </row>
    <row r="19579" spans="10:10" x14ac:dyDescent="0.3">
      <c r="J19579"/>
    </row>
    <row r="19580" spans="10:10" x14ac:dyDescent="0.3">
      <c r="J19580"/>
    </row>
    <row r="19581" spans="10:10" x14ac:dyDescent="0.3">
      <c r="J19581"/>
    </row>
    <row r="19582" spans="10:10" x14ac:dyDescent="0.3">
      <c r="J19582"/>
    </row>
    <row r="19583" spans="10:10" x14ac:dyDescent="0.3">
      <c r="J19583"/>
    </row>
    <row r="19584" spans="10:10" x14ac:dyDescent="0.3">
      <c r="J19584"/>
    </row>
    <row r="19585" spans="10:10" x14ac:dyDescent="0.3">
      <c r="J19585"/>
    </row>
    <row r="19586" spans="10:10" x14ac:dyDescent="0.3">
      <c r="J19586"/>
    </row>
    <row r="19587" spans="10:10" x14ac:dyDescent="0.3">
      <c r="J19587"/>
    </row>
    <row r="19588" spans="10:10" x14ac:dyDescent="0.3">
      <c r="J19588"/>
    </row>
    <row r="19589" spans="10:10" x14ac:dyDescent="0.3">
      <c r="J19589"/>
    </row>
    <row r="19590" spans="10:10" x14ac:dyDescent="0.3">
      <c r="J19590"/>
    </row>
    <row r="19591" spans="10:10" x14ac:dyDescent="0.3">
      <c r="J19591"/>
    </row>
    <row r="19592" spans="10:10" x14ac:dyDescent="0.3">
      <c r="J19592"/>
    </row>
    <row r="19593" spans="10:10" x14ac:dyDescent="0.3">
      <c r="J19593"/>
    </row>
    <row r="19594" spans="10:10" x14ac:dyDescent="0.3">
      <c r="J19594"/>
    </row>
    <row r="19595" spans="10:10" x14ac:dyDescent="0.3">
      <c r="J19595"/>
    </row>
    <row r="19596" spans="10:10" x14ac:dyDescent="0.3">
      <c r="J19596"/>
    </row>
    <row r="19597" spans="10:10" x14ac:dyDescent="0.3">
      <c r="J19597"/>
    </row>
    <row r="19598" spans="10:10" x14ac:dyDescent="0.3">
      <c r="J19598"/>
    </row>
    <row r="19599" spans="10:10" x14ac:dyDescent="0.3">
      <c r="J19599"/>
    </row>
    <row r="19600" spans="10:10" x14ac:dyDescent="0.3">
      <c r="J19600"/>
    </row>
    <row r="19601" spans="10:10" x14ac:dyDescent="0.3">
      <c r="J19601"/>
    </row>
    <row r="19602" spans="10:10" x14ac:dyDescent="0.3">
      <c r="J19602"/>
    </row>
    <row r="19603" spans="10:10" x14ac:dyDescent="0.3">
      <c r="J19603"/>
    </row>
    <row r="19604" spans="10:10" x14ac:dyDescent="0.3">
      <c r="J19604"/>
    </row>
    <row r="19605" spans="10:10" x14ac:dyDescent="0.3">
      <c r="J19605"/>
    </row>
    <row r="19606" spans="10:10" x14ac:dyDescent="0.3">
      <c r="J19606"/>
    </row>
    <row r="19607" spans="10:10" x14ac:dyDescent="0.3">
      <c r="J19607"/>
    </row>
    <row r="19608" spans="10:10" x14ac:dyDescent="0.3">
      <c r="J19608"/>
    </row>
    <row r="19609" spans="10:10" x14ac:dyDescent="0.3">
      <c r="J19609"/>
    </row>
    <row r="19610" spans="10:10" x14ac:dyDescent="0.3">
      <c r="J19610"/>
    </row>
    <row r="19611" spans="10:10" x14ac:dyDescent="0.3">
      <c r="J19611"/>
    </row>
    <row r="19612" spans="10:10" x14ac:dyDescent="0.3">
      <c r="J19612"/>
    </row>
    <row r="19613" spans="10:10" x14ac:dyDescent="0.3">
      <c r="J19613"/>
    </row>
    <row r="19614" spans="10:10" x14ac:dyDescent="0.3">
      <c r="J19614"/>
    </row>
    <row r="19615" spans="10:10" x14ac:dyDescent="0.3">
      <c r="J19615"/>
    </row>
    <row r="19616" spans="10:10" x14ac:dyDescent="0.3">
      <c r="J19616"/>
    </row>
    <row r="19617" spans="10:10" x14ac:dyDescent="0.3">
      <c r="J19617"/>
    </row>
    <row r="19618" spans="10:10" x14ac:dyDescent="0.3">
      <c r="J19618"/>
    </row>
    <row r="19619" spans="10:10" x14ac:dyDescent="0.3">
      <c r="J19619"/>
    </row>
    <row r="19620" spans="10:10" x14ac:dyDescent="0.3">
      <c r="J19620"/>
    </row>
    <row r="19621" spans="10:10" x14ac:dyDescent="0.3">
      <c r="J19621"/>
    </row>
    <row r="19622" spans="10:10" x14ac:dyDescent="0.3">
      <c r="J19622"/>
    </row>
    <row r="19623" spans="10:10" x14ac:dyDescent="0.3">
      <c r="J19623"/>
    </row>
    <row r="19624" spans="10:10" x14ac:dyDescent="0.3">
      <c r="J19624"/>
    </row>
    <row r="19625" spans="10:10" x14ac:dyDescent="0.3">
      <c r="J19625"/>
    </row>
    <row r="19626" spans="10:10" x14ac:dyDescent="0.3">
      <c r="J19626"/>
    </row>
    <row r="19627" spans="10:10" x14ac:dyDescent="0.3">
      <c r="J19627"/>
    </row>
    <row r="19628" spans="10:10" x14ac:dyDescent="0.3">
      <c r="J19628"/>
    </row>
    <row r="19629" spans="10:10" x14ac:dyDescent="0.3">
      <c r="J19629"/>
    </row>
    <row r="19630" spans="10:10" x14ac:dyDescent="0.3">
      <c r="J19630"/>
    </row>
    <row r="19631" spans="10:10" x14ac:dyDescent="0.3">
      <c r="J19631"/>
    </row>
    <row r="19632" spans="10:10" x14ac:dyDescent="0.3">
      <c r="J19632"/>
    </row>
    <row r="19633" spans="10:10" x14ac:dyDescent="0.3">
      <c r="J19633"/>
    </row>
    <row r="19634" spans="10:10" x14ac:dyDescent="0.3">
      <c r="J19634"/>
    </row>
    <row r="19635" spans="10:10" x14ac:dyDescent="0.3">
      <c r="J19635"/>
    </row>
    <row r="19636" spans="10:10" x14ac:dyDescent="0.3">
      <c r="J19636"/>
    </row>
    <row r="19637" spans="10:10" x14ac:dyDescent="0.3">
      <c r="J19637"/>
    </row>
    <row r="19638" spans="10:10" x14ac:dyDescent="0.3">
      <c r="J19638"/>
    </row>
    <row r="19639" spans="10:10" x14ac:dyDescent="0.3">
      <c r="J19639"/>
    </row>
    <row r="19640" spans="10:10" x14ac:dyDescent="0.3">
      <c r="J19640"/>
    </row>
    <row r="19641" spans="10:10" x14ac:dyDescent="0.3">
      <c r="J19641"/>
    </row>
    <row r="19642" spans="10:10" x14ac:dyDescent="0.3">
      <c r="J19642"/>
    </row>
    <row r="19643" spans="10:10" x14ac:dyDescent="0.3">
      <c r="J19643"/>
    </row>
    <row r="19644" spans="10:10" x14ac:dyDescent="0.3">
      <c r="J19644"/>
    </row>
    <row r="19645" spans="10:10" x14ac:dyDescent="0.3">
      <c r="J19645"/>
    </row>
    <row r="19646" spans="10:10" x14ac:dyDescent="0.3">
      <c r="J19646"/>
    </row>
    <row r="19647" spans="10:10" x14ac:dyDescent="0.3">
      <c r="J19647"/>
    </row>
    <row r="19648" spans="10:10" x14ac:dyDescent="0.3">
      <c r="J19648"/>
    </row>
    <row r="19649" spans="10:10" x14ac:dyDescent="0.3">
      <c r="J19649"/>
    </row>
    <row r="19650" spans="10:10" x14ac:dyDescent="0.3">
      <c r="J19650"/>
    </row>
    <row r="19651" spans="10:10" x14ac:dyDescent="0.3">
      <c r="J19651"/>
    </row>
    <row r="19652" spans="10:10" x14ac:dyDescent="0.3">
      <c r="J19652"/>
    </row>
    <row r="19653" spans="10:10" x14ac:dyDescent="0.3">
      <c r="J19653"/>
    </row>
    <row r="19654" spans="10:10" x14ac:dyDescent="0.3">
      <c r="J19654"/>
    </row>
    <row r="19655" spans="10:10" x14ac:dyDescent="0.3">
      <c r="J19655"/>
    </row>
    <row r="19656" spans="10:10" x14ac:dyDescent="0.3">
      <c r="J19656"/>
    </row>
    <row r="19657" spans="10:10" x14ac:dyDescent="0.3">
      <c r="J19657"/>
    </row>
    <row r="19658" spans="10:10" x14ac:dyDescent="0.3">
      <c r="J19658"/>
    </row>
    <row r="19659" spans="10:10" x14ac:dyDescent="0.3">
      <c r="J19659"/>
    </row>
    <row r="19660" spans="10:10" x14ac:dyDescent="0.3">
      <c r="J19660"/>
    </row>
    <row r="19661" spans="10:10" x14ac:dyDescent="0.3">
      <c r="J19661"/>
    </row>
    <row r="19662" spans="10:10" x14ac:dyDescent="0.3">
      <c r="J19662"/>
    </row>
    <row r="19663" spans="10:10" x14ac:dyDescent="0.3">
      <c r="J19663"/>
    </row>
    <row r="19664" spans="10:10" x14ac:dyDescent="0.3">
      <c r="J19664"/>
    </row>
    <row r="19665" spans="10:10" x14ac:dyDescent="0.3">
      <c r="J19665"/>
    </row>
    <row r="19666" spans="10:10" x14ac:dyDescent="0.3">
      <c r="J19666"/>
    </row>
    <row r="19667" spans="10:10" x14ac:dyDescent="0.3">
      <c r="J19667"/>
    </row>
    <row r="19668" spans="10:10" x14ac:dyDescent="0.3">
      <c r="J19668"/>
    </row>
    <row r="19669" spans="10:10" x14ac:dyDescent="0.3">
      <c r="J19669"/>
    </row>
    <row r="19670" spans="10:10" x14ac:dyDescent="0.3">
      <c r="J19670"/>
    </row>
    <row r="19671" spans="10:10" x14ac:dyDescent="0.3">
      <c r="J19671"/>
    </row>
    <row r="19672" spans="10:10" x14ac:dyDescent="0.3">
      <c r="J19672"/>
    </row>
    <row r="19673" spans="10:10" x14ac:dyDescent="0.3">
      <c r="J19673"/>
    </row>
    <row r="19674" spans="10:10" x14ac:dyDescent="0.3">
      <c r="J19674"/>
    </row>
    <row r="19675" spans="10:10" x14ac:dyDescent="0.3">
      <c r="J19675"/>
    </row>
    <row r="19676" spans="10:10" x14ac:dyDescent="0.3">
      <c r="J19676"/>
    </row>
    <row r="19677" spans="10:10" x14ac:dyDescent="0.3">
      <c r="J19677"/>
    </row>
    <row r="19678" spans="10:10" x14ac:dyDescent="0.3">
      <c r="J19678"/>
    </row>
    <row r="19679" spans="10:10" x14ac:dyDescent="0.3">
      <c r="J19679"/>
    </row>
    <row r="19680" spans="10:10" x14ac:dyDescent="0.3">
      <c r="J19680"/>
    </row>
    <row r="19681" spans="10:10" x14ac:dyDescent="0.3">
      <c r="J19681"/>
    </row>
    <row r="19682" spans="10:10" x14ac:dyDescent="0.3">
      <c r="J19682"/>
    </row>
    <row r="19683" spans="10:10" x14ac:dyDescent="0.3">
      <c r="J19683"/>
    </row>
    <row r="19684" spans="10:10" x14ac:dyDescent="0.3">
      <c r="J19684"/>
    </row>
    <row r="19685" spans="10:10" x14ac:dyDescent="0.3">
      <c r="J19685"/>
    </row>
    <row r="19686" spans="10:10" x14ac:dyDescent="0.3">
      <c r="J19686"/>
    </row>
    <row r="19687" spans="10:10" x14ac:dyDescent="0.3">
      <c r="J19687"/>
    </row>
    <row r="19688" spans="10:10" x14ac:dyDescent="0.3">
      <c r="J19688"/>
    </row>
    <row r="19689" spans="10:10" x14ac:dyDescent="0.3">
      <c r="J19689"/>
    </row>
    <row r="19690" spans="10:10" x14ac:dyDescent="0.3">
      <c r="J19690"/>
    </row>
    <row r="19691" spans="10:10" x14ac:dyDescent="0.3">
      <c r="J19691"/>
    </row>
    <row r="19692" spans="10:10" x14ac:dyDescent="0.3">
      <c r="J19692"/>
    </row>
    <row r="19693" spans="10:10" x14ac:dyDescent="0.3">
      <c r="J19693"/>
    </row>
    <row r="19694" spans="10:10" x14ac:dyDescent="0.3">
      <c r="J19694"/>
    </row>
    <row r="19695" spans="10:10" x14ac:dyDescent="0.3">
      <c r="J19695"/>
    </row>
    <row r="19696" spans="10:10" x14ac:dyDescent="0.3">
      <c r="J19696"/>
    </row>
    <row r="19697" spans="10:10" x14ac:dyDescent="0.3">
      <c r="J19697"/>
    </row>
    <row r="19698" spans="10:10" x14ac:dyDescent="0.3">
      <c r="J19698"/>
    </row>
    <row r="19699" spans="10:10" x14ac:dyDescent="0.3">
      <c r="J19699"/>
    </row>
    <row r="19700" spans="10:10" x14ac:dyDescent="0.3">
      <c r="J19700"/>
    </row>
    <row r="19701" spans="10:10" x14ac:dyDescent="0.3">
      <c r="J19701"/>
    </row>
    <row r="19702" spans="10:10" x14ac:dyDescent="0.3">
      <c r="J19702"/>
    </row>
    <row r="19703" spans="10:10" x14ac:dyDescent="0.3">
      <c r="J19703"/>
    </row>
    <row r="19704" spans="10:10" x14ac:dyDescent="0.3">
      <c r="J19704"/>
    </row>
    <row r="19705" spans="10:10" x14ac:dyDescent="0.3">
      <c r="J19705"/>
    </row>
    <row r="19706" spans="10:10" x14ac:dyDescent="0.3">
      <c r="J19706"/>
    </row>
    <row r="19707" spans="10:10" x14ac:dyDescent="0.3">
      <c r="J19707"/>
    </row>
    <row r="19708" spans="10:10" x14ac:dyDescent="0.3">
      <c r="J19708"/>
    </row>
    <row r="19709" spans="10:10" x14ac:dyDescent="0.3">
      <c r="J19709"/>
    </row>
    <row r="19710" spans="10:10" x14ac:dyDescent="0.3">
      <c r="J19710"/>
    </row>
    <row r="19711" spans="10:10" x14ac:dyDescent="0.3">
      <c r="J19711"/>
    </row>
    <row r="19712" spans="10:10" x14ac:dyDescent="0.3">
      <c r="J19712"/>
    </row>
    <row r="19713" spans="10:10" x14ac:dyDescent="0.3">
      <c r="J19713"/>
    </row>
    <row r="19714" spans="10:10" x14ac:dyDescent="0.3">
      <c r="J19714"/>
    </row>
    <row r="19715" spans="10:10" x14ac:dyDescent="0.3">
      <c r="J19715"/>
    </row>
    <row r="19716" spans="10:10" x14ac:dyDescent="0.3">
      <c r="J19716"/>
    </row>
    <row r="19717" spans="10:10" x14ac:dyDescent="0.3">
      <c r="J19717"/>
    </row>
    <row r="19718" spans="10:10" x14ac:dyDescent="0.3">
      <c r="J19718"/>
    </row>
    <row r="19719" spans="10:10" x14ac:dyDescent="0.3">
      <c r="J19719"/>
    </row>
    <row r="19720" spans="10:10" x14ac:dyDescent="0.3">
      <c r="J19720"/>
    </row>
    <row r="19721" spans="10:10" x14ac:dyDescent="0.3">
      <c r="J19721"/>
    </row>
    <row r="19722" spans="10:10" x14ac:dyDescent="0.3">
      <c r="J19722"/>
    </row>
    <row r="19723" spans="10:10" x14ac:dyDescent="0.3">
      <c r="J19723"/>
    </row>
    <row r="19724" spans="10:10" x14ac:dyDescent="0.3">
      <c r="J19724"/>
    </row>
    <row r="19725" spans="10:10" x14ac:dyDescent="0.3">
      <c r="J19725"/>
    </row>
    <row r="19726" spans="10:10" x14ac:dyDescent="0.3">
      <c r="J19726"/>
    </row>
    <row r="19727" spans="10:10" x14ac:dyDescent="0.3">
      <c r="J19727"/>
    </row>
    <row r="19728" spans="10:10" x14ac:dyDescent="0.3">
      <c r="J19728"/>
    </row>
    <row r="19729" spans="10:10" x14ac:dyDescent="0.3">
      <c r="J19729"/>
    </row>
    <row r="19730" spans="10:10" x14ac:dyDescent="0.3">
      <c r="J19730"/>
    </row>
    <row r="19731" spans="10:10" x14ac:dyDescent="0.3">
      <c r="J19731"/>
    </row>
    <row r="19732" spans="10:10" x14ac:dyDescent="0.3">
      <c r="J19732"/>
    </row>
    <row r="19733" spans="10:10" x14ac:dyDescent="0.3">
      <c r="J19733"/>
    </row>
    <row r="19734" spans="10:10" x14ac:dyDescent="0.3">
      <c r="J19734"/>
    </row>
    <row r="19735" spans="10:10" x14ac:dyDescent="0.3">
      <c r="J19735"/>
    </row>
    <row r="19736" spans="10:10" x14ac:dyDescent="0.3">
      <c r="J19736"/>
    </row>
    <row r="19737" spans="10:10" x14ac:dyDescent="0.3">
      <c r="J19737"/>
    </row>
    <row r="19738" spans="10:10" x14ac:dyDescent="0.3">
      <c r="J19738"/>
    </row>
    <row r="19739" spans="10:10" x14ac:dyDescent="0.3">
      <c r="J19739"/>
    </row>
    <row r="19740" spans="10:10" x14ac:dyDescent="0.3">
      <c r="J19740"/>
    </row>
    <row r="19741" spans="10:10" x14ac:dyDescent="0.3">
      <c r="J19741"/>
    </row>
    <row r="19742" spans="10:10" x14ac:dyDescent="0.3">
      <c r="J19742"/>
    </row>
    <row r="19743" spans="10:10" x14ac:dyDescent="0.3">
      <c r="J19743"/>
    </row>
    <row r="19744" spans="10:10" x14ac:dyDescent="0.3">
      <c r="J19744"/>
    </row>
    <row r="19745" spans="10:10" x14ac:dyDescent="0.3">
      <c r="J19745"/>
    </row>
    <row r="19746" spans="10:10" x14ac:dyDescent="0.3">
      <c r="J19746"/>
    </row>
    <row r="19747" spans="10:10" x14ac:dyDescent="0.3">
      <c r="J19747"/>
    </row>
    <row r="19748" spans="10:10" x14ac:dyDescent="0.3">
      <c r="J19748"/>
    </row>
    <row r="19749" spans="10:10" x14ac:dyDescent="0.3">
      <c r="J19749"/>
    </row>
    <row r="19750" spans="10:10" x14ac:dyDescent="0.3">
      <c r="J19750"/>
    </row>
    <row r="19751" spans="10:10" x14ac:dyDescent="0.3">
      <c r="J19751"/>
    </row>
    <row r="19752" spans="10:10" x14ac:dyDescent="0.3">
      <c r="J19752"/>
    </row>
    <row r="19753" spans="10:10" x14ac:dyDescent="0.3">
      <c r="J19753"/>
    </row>
    <row r="19754" spans="10:10" x14ac:dyDescent="0.3">
      <c r="J19754"/>
    </row>
    <row r="19755" spans="10:10" x14ac:dyDescent="0.3">
      <c r="J19755"/>
    </row>
    <row r="19756" spans="10:10" x14ac:dyDescent="0.3">
      <c r="J19756"/>
    </row>
    <row r="19757" spans="10:10" x14ac:dyDescent="0.3">
      <c r="J19757"/>
    </row>
    <row r="19758" spans="10:10" x14ac:dyDescent="0.3">
      <c r="J19758"/>
    </row>
    <row r="19759" spans="10:10" x14ac:dyDescent="0.3">
      <c r="J19759"/>
    </row>
    <row r="19760" spans="10:10" x14ac:dyDescent="0.3">
      <c r="J19760"/>
    </row>
    <row r="19761" spans="10:10" x14ac:dyDescent="0.3">
      <c r="J19761"/>
    </row>
    <row r="19762" spans="10:10" x14ac:dyDescent="0.3">
      <c r="J19762"/>
    </row>
    <row r="19763" spans="10:10" x14ac:dyDescent="0.3">
      <c r="J19763"/>
    </row>
    <row r="19764" spans="10:10" x14ac:dyDescent="0.3">
      <c r="J19764"/>
    </row>
    <row r="19765" spans="10:10" x14ac:dyDescent="0.3">
      <c r="J19765"/>
    </row>
    <row r="19766" spans="10:10" x14ac:dyDescent="0.3">
      <c r="J19766"/>
    </row>
    <row r="19767" spans="10:10" x14ac:dyDescent="0.3">
      <c r="J19767"/>
    </row>
    <row r="19768" spans="10:10" x14ac:dyDescent="0.3">
      <c r="J19768"/>
    </row>
    <row r="19769" spans="10:10" x14ac:dyDescent="0.3">
      <c r="J19769"/>
    </row>
    <row r="19770" spans="10:10" x14ac:dyDescent="0.3">
      <c r="J19770"/>
    </row>
    <row r="19771" spans="10:10" x14ac:dyDescent="0.3">
      <c r="J19771"/>
    </row>
    <row r="19772" spans="10:10" x14ac:dyDescent="0.3">
      <c r="J19772"/>
    </row>
    <row r="19773" spans="10:10" x14ac:dyDescent="0.3">
      <c r="J19773"/>
    </row>
    <row r="19774" spans="10:10" x14ac:dyDescent="0.3">
      <c r="J19774"/>
    </row>
    <row r="19775" spans="10:10" x14ac:dyDescent="0.3">
      <c r="J19775"/>
    </row>
    <row r="19776" spans="10:10" x14ac:dyDescent="0.3">
      <c r="J19776"/>
    </row>
    <row r="19777" spans="10:10" x14ac:dyDescent="0.3">
      <c r="J19777"/>
    </row>
    <row r="19778" spans="10:10" x14ac:dyDescent="0.3">
      <c r="J19778"/>
    </row>
    <row r="19779" spans="10:10" x14ac:dyDescent="0.3">
      <c r="J19779"/>
    </row>
    <row r="19780" spans="10:10" x14ac:dyDescent="0.3">
      <c r="J19780"/>
    </row>
    <row r="19781" spans="10:10" x14ac:dyDescent="0.3">
      <c r="J19781"/>
    </row>
    <row r="19782" spans="10:10" x14ac:dyDescent="0.3">
      <c r="J19782"/>
    </row>
    <row r="19783" spans="10:10" x14ac:dyDescent="0.3">
      <c r="J19783"/>
    </row>
    <row r="19784" spans="10:10" x14ac:dyDescent="0.3">
      <c r="J19784"/>
    </row>
    <row r="19785" spans="10:10" x14ac:dyDescent="0.3">
      <c r="J19785"/>
    </row>
    <row r="19786" spans="10:10" x14ac:dyDescent="0.3">
      <c r="J19786"/>
    </row>
    <row r="19787" spans="10:10" x14ac:dyDescent="0.3">
      <c r="J19787"/>
    </row>
    <row r="19788" spans="10:10" x14ac:dyDescent="0.3">
      <c r="J19788"/>
    </row>
    <row r="19789" spans="10:10" x14ac:dyDescent="0.3">
      <c r="J19789"/>
    </row>
    <row r="19790" spans="10:10" x14ac:dyDescent="0.3">
      <c r="J19790"/>
    </row>
    <row r="19791" spans="10:10" x14ac:dyDescent="0.3">
      <c r="J19791"/>
    </row>
    <row r="19792" spans="10:10" x14ac:dyDescent="0.3">
      <c r="J19792"/>
    </row>
    <row r="19793" spans="10:10" x14ac:dyDescent="0.3">
      <c r="J19793"/>
    </row>
    <row r="19794" spans="10:10" x14ac:dyDescent="0.3">
      <c r="J19794"/>
    </row>
    <row r="19795" spans="10:10" x14ac:dyDescent="0.3">
      <c r="J19795"/>
    </row>
    <row r="19796" spans="10:10" x14ac:dyDescent="0.3">
      <c r="J19796"/>
    </row>
    <row r="19797" spans="10:10" x14ac:dyDescent="0.3">
      <c r="J19797"/>
    </row>
    <row r="19798" spans="10:10" x14ac:dyDescent="0.3">
      <c r="J19798"/>
    </row>
    <row r="19799" spans="10:10" x14ac:dyDescent="0.3">
      <c r="J19799"/>
    </row>
    <row r="19800" spans="10:10" x14ac:dyDescent="0.3">
      <c r="J19800"/>
    </row>
    <row r="19801" spans="10:10" x14ac:dyDescent="0.3">
      <c r="J19801"/>
    </row>
    <row r="19802" spans="10:10" x14ac:dyDescent="0.3">
      <c r="J19802"/>
    </row>
    <row r="19803" spans="10:10" x14ac:dyDescent="0.3">
      <c r="J19803"/>
    </row>
    <row r="19804" spans="10:10" x14ac:dyDescent="0.3">
      <c r="J19804"/>
    </row>
    <row r="19805" spans="10:10" x14ac:dyDescent="0.3">
      <c r="J19805"/>
    </row>
    <row r="19806" spans="10:10" x14ac:dyDescent="0.3">
      <c r="J19806"/>
    </row>
    <row r="19807" spans="10:10" x14ac:dyDescent="0.3">
      <c r="J19807"/>
    </row>
    <row r="19808" spans="10:10" x14ac:dyDescent="0.3">
      <c r="J19808"/>
    </row>
    <row r="19809" spans="10:10" x14ac:dyDescent="0.3">
      <c r="J19809"/>
    </row>
    <row r="19810" spans="10:10" x14ac:dyDescent="0.3">
      <c r="J19810"/>
    </row>
    <row r="19811" spans="10:10" x14ac:dyDescent="0.3">
      <c r="J19811"/>
    </row>
    <row r="19812" spans="10:10" x14ac:dyDescent="0.3">
      <c r="J19812"/>
    </row>
    <row r="19813" spans="10:10" x14ac:dyDescent="0.3">
      <c r="J19813"/>
    </row>
    <row r="19814" spans="10:10" x14ac:dyDescent="0.3">
      <c r="J19814"/>
    </row>
    <row r="19815" spans="10:10" x14ac:dyDescent="0.3">
      <c r="J19815"/>
    </row>
    <row r="19816" spans="10:10" x14ac:dyDescent="0.3">
      <c r="J19816"/>
    </row>
    <row r="19817" spans="10:10" x14ac:dyDescent="0.3">
      <c r="J19817"/>
    </row>
    <row r="19818" spans="10:10" x14ac:dyDescent="0.3">
      <c r="J19818"/>
    </row>
    <row r="19819" spans="10:10" x14ac:dyDescent="0.3">
      <c r="J19819"/>
    </row>
    <row r="19820" spans="10:10" x14ac:dyDescent="0.3">
      <c r="J19820"/>
    </row>
    <row r="19821" spans="10:10" x14ac:dyDescent="0.3">
      <c r="J19821"/>
    </row>
    <row r="19822" spans="10:10" x14ac:dyDescent="0.3">
      <c r="J19822"/>
    </row>
    <row r="19823" spans="10:10" x14ac:dyDescent="0.3">
      <c r="J19823"/>
    </row>
    <row r="19824" spans="10:10" x14ac:dyDescent="0.3">
      <c r="J19824"/>
    </row>
    <row r="19825" spans="10:10" x14ac:dyDescent="0.3">
      <c r="J19825"/>
    </row>
    <row r="19826" spans="10:10" x14ac:dyDescent="0.3">
      <c r="J19826"/>
    </row>
    <row r="19827" spans="10:10" x14ac:dyDescent="0.3">
      <c r="J19827"/>
    </row>
    <row r="19828" spans="10:10" x14ac:dyDescent="0.3">
      <c r="J19828"/>
    </row>
    <row r="19829" spans="10:10" x14ac:dyDescent="0.3">
      <c r="J19829"/>
    </row>
    <row r="19830" spans="10:10" x14ac:dyDescent="0.3">
      <c r="J19830"/>
    </row>
    <row r="19831" spans="10:10" x14ac:dyDescent="0.3">
      <c r="J19831"/>
    </row>
    <row r="19832" spans="10:10" x14ac:dyDescent="0.3">
      <c r="J19832"/>
    </row>
    <row r="19833" spans="10:10" x14ac:dyDescent="0.3">
      <c r="J19833"/>
    </row>
    <row r="19834" spans="10:10" x14ac:dyDescent="0.3">
      <c r="J19834"/>
    </row>
    <row r="19835" spans="10:10" x14ac:dyDescent="0.3">
      <c r="J19835"/>
    </row>
    <row r="19836" spans="10:10" x14ac:dyDescent="0.3">
      <c r="J19836"/>
    </row>
    <row r="19837" spans="10:10" x14ac:dyDescent="0.3">
      <c r="J19837"/>
    </row>
    <row r="19838" spans="10:10" x14ac:dyDescent="0.3">
      <c r="J19838"/>
    </row>
    <row r="19839" spans="10:10" x14ac:dyDescent="0.3">
      <c r="J19839"/>
    </row>
    <row r="19840" spans="10:10" x14ac:dyDescent="0.3">
      <c r="J19840"/>
    </row>
    <row r="19841" spans="10:10" x14ac:dyDescent="0.3">
      <c r="J19841"/>
    </row>
    <row r="19842" spans="10:10" x14ac:dyDescent="0.3">
      <c r="J19842"/>
    </row>
    <row r="19843" spans="10:10" x14ac:dyDescent="0.3">
      <c r="J19843"/>
    </row>
    <row r="19844" spans="10:10" x14ac:dyDescent="0.3">
      <c r="J19844"/>
    </row>
    <row r="19845" spans="10:10" x14ac:dyDescent="0.3">
      <c r="J19845"/>
    </row>
    <row r="19846" spans="10:10" x14ac:dyDescent="0.3">
      <c r="J19846"/>
    </row>
    <row r="19847" spans="10:10" x14ac:dyDescent="0.3">
      <c r="J19847"/>
    </row>
    <row r="19848" spans="10:10" x14ac:dyDescent="0.3">
      <c r="J19848"/>
    </row>
    <row r="19849" spans="10:10" x14ac:dyDescent="0.3">
      <c r="J19849"/>
    </row>
    <row r="19850" spans="10:10" x14ac:dyDescent="0.3">
      <c r="J19850"/>
    </row>
    <row r="19851" spans="10:10" x14ac:dyDescent="0.3">
      <c r="J19851"/>
    </row>
    <row r="19852" spans="10:10" x14ac:dyDescent="0.3">
      <c r="J19852"/>
    </row>
    <row r="19853" spans="10:10" x14ac:dyDescent="0.3">
      <c r="J19853"/>
    </row>
    <row r="19854" spans="10:10" x14ac:dyDescent="0.3">
      <c r="J19854"/>
    </row>
    <row r="19855" spans="10:10" x14ac:dyDescent="0.3">
      <c r="J19855"/>
    </row>
    <row r="19856" spans="10:10" x14ac:dyDescent="0.3">
      <c r="J19856"/>
    </row>
    <row r="19857" spans="10:10" x14ac:dyDescent="0.3">
      <c r="J19857"/>
    </row>
    <row r="19858" spans="10:10" x14ac:dyDescent="0.3">
      <c r="J19858"/>
    </row>
    <row r="19859" spans="10:10" x14ac:dyDescent="0.3">
      <c r="J19859"/>
    </row>
    <row r="19860" spans="10:10" x14ac:dyDescent="0.3">
      <c r="J19860"/>
    </row>
    <row r="19861" spans="10:10" x14ac:dyDescent="0.3">
      <c r="J19861"/>
    </row>
    <row r="19862" spans="10:10" x14ac:dyDescent="0.3">
      <c r="J19862"/>
    </row>
    <row r="19863" spans="10:10" x14ac:dyDescent="0.3">
      <c r="J19863"/>
    </row>
    <row r="19864" spans="10:10" x14ac:dyDescent="0.3">
      <c r="J19864"/>
    </row>
    <row r="19865" spans="10:10" x14ac:dyDescent="0.3">
      <c r="J19865"/>
    </row>
    <row r="19866" spans="10:10" x14ac:dyDescent="0.3">
      <c r="J19866"/>
    </row>
    <row r="19867" spans="10:10" x14ac:dyDescent="0.3">
      <c r="J19867"/>
    </row>
    <row r="19868" spans="10:10" x14ac:dyDescent="0.3">
      <c r="J19868"/>
    </row>
    <row r="19869" spans="10:10" x14ac:dyDescent="0.3">
      <c r="J19869"/>
    </row>
    <row r="19870" spans="10:10" x14ac:dyDescent="0.3">
      <c r="J19870"/>
    </row>
    <row r="19871" spans="10:10" x14ac:dyDescent="0.3">
      <c r="J19871"/>
    </row>
    <row r="19872" spans="10:10" x14ac:dyDescent="0.3">
      <c r="J19872"/>
    </row>
    <row r="19873" spans="10:10" x14ac:dyDescent="0.3">
      <c r="J19873"/>
    </row>
    <row r="19874" spans="10:10" x14ac:dyDescent="0.3">
      <c r="J19874"/>
    </row>
    <row r="19875" spans="10:10" x14ac:dyDescent="0.3">
      <c r="J19875"/>
    </row>
    <row r="19876" spans="10:10" x14ac:dyDescent="0.3">
      <c r="J19876"/>
    </row>
    <row r="19877" spans="10:10" x14ac:dyDescent="0.3">
      <c r="J19877"/>
    </row>
    <row r="19878" spans="10:10" x14ac:dyDescent="0.3">
      <c r="J19878"/>
    </row>
    <row r="19879" spans="10:10" x14ac:dyDescent="0.3">
      <c r="J19879"/>
    </row>
    <row r="19880" spans="10:10" x14ac:dyDescent="0.3">
      <c r="J19880"/>
    </row>
    <row r="19881" spans="10:10" x14ac:dyDescent="0.3">
      <c r="J19881"/>
    </row>
    <row r="19882" spans="10:10" x14ac:dyDescent="0.3">
      <c r="J19882"/>
    </row>
    <row r="19883" spans="10:10" x14ac:dyDescent="0.3">
      <c r="J19883"/>
    </row>
    <row r="19884" spans="10:10" x14ac:dyDescent="0.3">
      <c r="J19884"/>
    </row>
    <row r="19885" spans="10:10" x14ac:dyDescent="0.3">
      <c r="J19885"/>
    </row>
    <row r="19886" spans="10:10" x14ac:dyDescent="0.3">
      <c r="J19886"/>
    </row>
    <row r="19887" spans="10:10" x14ac:dyDescent="0.3">
      <c r="J19887"/>
    </row>
    <row r="19888" spans="10:10" x14ac:dyDescent="0.3">
      <c r="J19888"/>
    </row>
    <row r="19889" spans="10:10" x14ac:dyDescent="0.3">
      <c r="J19889"/>
    </row>
    <row r="19890" spans="10:10" x14ac:dyDescent="0.3">
      <c r="J19890"/>
    </row>
    <row r="19891" spans="10:10" x14ac:dyDescent="0.3">
      <c r="J19891"/>
    </row>
    <row r="19892" spans="10:10" x14ac:dyDescent="0.3">
      <c r="J19892"/>
    </row>
    <row r="19893" spans="10:10" x14ac:dyDescent="0.3">
      <c r="J19893"/>
    </row>
    <row r="19894" spans="10:10" x14ac:dyDescent="0.3">
      <c r="J19894"/>
    </row>
    <row r="19895" spans="10:10" x14ac:dyDescent="0.3">
      <c r="J19895"/>
    </row>
    <row r="19896" spans="10:10" x14ac:dyDescent="0.3">
      <c r="J19896"/>
    </row>
    <row r="19897" spans="10:10" x14ac:dyDescent="0.3">
      <c r="J19897"/>
    </row>
    <row r="19898" spans="10:10" x14ac:dyDescent="0.3">
      <c r="J19898"/>
    </row>
    <row r="19899" spans="10:10" x14ac:dyDescent="0.3">
      <c r="J19899"/>
    </row>
    <row r="19900" spans="10:10" x14ac:dyDescent="0.3">
      <c r="J19900"/>
    </row>
    <row r="19901" spans="10:10" x14ac:dyDescent="0.3">
      <c r="J19901"/>
    </row>
    <row r="19902" spans="10:10" x14ac:dyDescent="0.3">
      <c r="J19902"/>
    </row>
    <row r="19903" spans="10:10" x14ac:dyDescent="0.3">
      <c r="J19903"/>
    </row>
    <row r="19904" spans="10:10" x14ac:dyDescent="0.3">
      <c r="J19904"/>
    </row>
    <row r="19905" spans="10:10" x14ac:dyDescent="0.3">
      <c r="J19905"/>
    </row>
    <row r="19906" spans="10:10" x14ac:dyDescent="0.3">
      <c r="J19906"/>
    </row>
    <row r="19907" spans="10:10" x14ac:dyDescent="0.3">
      <c r="J19907"/>
    </row>
    <row r="19908" spans="10:10" x14ac:dyDescent="0.3">
      <c r="J19908"/>
    </row>
    <row r="19909" spans="10:10" x14ac:dyDescent="0.3">
      <c r="J19909"/>
    </row>
    <row r="19910" spans="10:10" x14ac:dyDescent="0.3">
      <c r="J19910"/>
    </row>
    <row r="19911" spans="10:10" x14ac:dyDescent="0.3">
      <c r="J19911"/>
    </row>
    <row r="19912" spans="10:10" x14ac:dyDescent="0.3">
      <c r="J19912"/>
    </row>
    <row r="19913" spans="10:10" x14ac:dyDescent="0.3">
      <c r="J19913"/>
    </row>
    <row r="19914" spans="10:10" x14ac:dyDescent="0.3">
      <c r="J19914"/>
    </row>
    <row r="19915" spans="10:10" x14ac:dyDescent="0.3">
      <c r="J19915"/>
    </row>
    <row r="19916" spans="10:10" x14ac:dyDescent="0.3">
      <c r="J19916"/>
    </row>
    <row r="19917" spans="10:10" x14ac:dyDescent="0.3">
      <c r="J19917"/>
    </row>
    <row r="19918" spans="10:10" x14ac:dyDescent="0.3">
      <c r="J19918"/>
    </row>
    <row r="19919" spans="10:10" x14ac:dyDescent="0.3">
      <c r="J19919"/>
    </row>
    <row r="19920" spans="10:10" x14ac:dyDescent="0.3">
      <c r="J19920"/>
    </row>
    <row r="19921" spans="10:10" x14ac:dyDescent="0.3">
      <c r="J19921"/>
    </row>
    <row r="19922" spans="10:10" x14ac:dyDescent="0.3">
      <c r="J19922"/>
    </row>
    <row r="19923" spans="10:10" x14ac:dyDescent="0.3">
      <c r="J19923"/>
    </row>
    <row r="19924" spans="10:10" x14ac:dyDescent="0.3">
      <c r="J19924"/>
    </row>
    <row r="19925" spans="10:10" x14ac:dyDescent="0.3">
      <c r="J19925"/>
    </row>
    <row r="19926" spans="10:10" x14ac:dyDescent="0.3">
      <c r="J19926"/>
    </row>
    <row r="19927" spans="10:10" x14ac:dyDescent="0.3">
      <c r="J19927"/>
    </row>
    <row r="19928" spans="10:10" x14ac:dyDescent="0.3">
      <c r="J19928"/>
    </row>
    <row r="19929" spans="10:10" x14ac:dyDescent="0.3">
      <c r="J19929"/>
    </row>
    <row r="19930" spans="10:10" x14ac:dyDescent="0.3">
      <c r="J19930"/>
    </row>
    <row r="19931" spans="10:10" x14ac:dyDescent="0.3">
      <c r="J19931"/>
    </row>
    <row r="19932" spans="10:10" x14ac:dyDescent="0.3">
      <c r="J19932"/>
    </row>
    <row r="19933" spans="10:10" x14ac:dyDescent="0.3">
      <c r="J19933"/>
    </row>
    <row r="19934" spans="10:10" x14ac:dyDescent="0.3">
      <c r="J19934"/>
    </row>
    <row r="19935" spans="10:10" x14ac:dyDescent="0.3">
      <c r="J19935"/>
    </row>
    <row r="19936" spans="10:10" x14ac:dyDescent="0.3">
      <c r="J19936"/>
    </row>
    <row r="19937" spans="10:10" x14ac:dyDescent="0.3">
      <c r="J19937"/>
    </row>
    <row r="19938" spans="10:10" x14ac:dyDescent="0.3">
      <c r="J19938"/>
    </row>
    <row r="19939" spans="10:10" x14ac:dyDescent="0.3">
      <c r="J19939"/>
    </row>
    <row r="19940" spans="10:10" x14ac:dyDescent="0.3">
      <c r="J19940"/>
    </row>
    <row r="19941" spans="10:10" x14ac:dyDescent="0.3">
      <c r="J19941"/>
    </row>
    <row r="19942" spans="10:10" x14ac:dyDescent="0.3">
      <c r="J19942"/>
    </row>
    <row r="19943" spans="10:10" x14ac:dyDescent="0.3">
      <c r="J19943"/>
    </row>
    <row r="19944" spans="10:10" x14ac:dyDescent="0.3">
      <c r="J19944"/>
    </row>
    <row r="19945" spans="10:10" x14ac:dyDescent="0.3">
      <c r="J19945"/>
    </row>
    <row r="19946" spans="10:10" x14ac:dyDescent="0.3">
      <c r="J19946"/>
    </row>
    <row r="19947" spans="10:10" x14ac:dyDescent="0.3">
      <c r="J19947"/>
    </row>
    <row r="19948" spans="10:10" x14ac:dyDescent="0.3">
      <c r="J19948"/>
    </row>
    <row r="19949" spans="10:10" x14ac:dyDescent="0.3">
      <c r="J19949"/>
    </row>
    <row r="19950" spans="10:10" x14ac:dyDescent="0.3">
      <c r="J19950"/>
    </row>
    <row r="19951" spans="10:10" x14ac:dyDescent="0.3">
      <c r="J19951"/>
    </row>
    <row r="19952" spans="10:10" x14ac:dyDescent="0.3">
      <c r="J19952"/>
    </row>
    <row r="19953" spans="10:10" x14ac:dyDescent="0.3">
      <c r="J19953"/>
    </row>
    <row r="19954" spans="10:10" x14ac:dyDescent="0.3">
      <c r="J19954"/>
    </row>
    <row r="19955" spans="10:10" x14ac:dyDescent="0.3">
      <c r="J19955"/>
    </row>
    <row r="19956" spans="10:10" x14ac:dyDescent="0.3">
      <c r="J19956"/>
    </row>
    <row r="19957" spans="10:10" x14ac:dyDescent="0.3">
      <c r="J19957"/>
    </row>
    <row r="19958" spans="10:10" x14ac:dyDescent="0.3">
      <c r="J19958"/>
    </row>
    <row r="19959" spans="10:10" x14ac:dyDescent="0.3">
      <c r="J19959"/>
    </row>
    <row r="19960" spans="10:10" x14ac:dyDescent="0.3">
      <c r="J19960"/>
    </row>
    <row r="19961" spans="10:10" x14ac:dyDescent="0.3">
      <c r="J19961"/>
    </row>
    <row r="19962" spans="10:10" x14ac:dyDescent="0.3">
      <c r="J19962"/>
    </row>
    <row r="19963" spans="10:10" x14ac:dyDescent="0.3">
      <c r="J19963"/>
    </row>
    <row r="19964" spans="10:10" x14ac:dyDescent="0.3">
      <c r="J19964"/>
    </row>
    <row r="19965" spans="10:10" x14ac:dyDescent="0.3">
      <c r="J19965"/>
    </row>
    <row r="19966" spans="10:10" x14ac:dyDescent="0.3">
      <c r="J19966"/>
    </row>
    <row r="19967" spans="10:10" x14ac:dyDescent="0.3">
      <c r="J19967"/>
    </row>
    <row r="19968" spans="10:10" x14ac:dyDescent="0.3">
      <c r="J19968"/>
    </row>
    <row r="19969" spans="10:10" x14ac:dyDescent="0.3">
      <c r="J19969"/>
    </row>
    <row r="19970" spans="10:10" x14ac:dyDescent="0.3">
      <c r="J19970"/>
    </row>
    <row r="19971" spans="10:10" x14ac:dyDescent="0.3">
      <c r="J19971"/>
    </row>
    <row r="19972" spans="10:10" x14ac:dyDescent="0.3">
      <c r="J19972"/>
    </row>
    <row r="19973" spans="10:10" x14ac:dyDescent="0.3">
      <c r="J19973"/>
    </row>
    <row r="19974" spans="10:10" x14ac:dyDescent="0.3">
      <c r="J19974"/>
    </row>
    <row r="19975" spans="10:10" x14ac:dyDescent="0.3">
      <c r="J19975"/>
    </row>
    <row r="19976" spans="10:10" x14ac:dyDescent="0.3">
      <c r="J19976"/>
    </row>
    <row r="19977" spans="10:10" x14ac:dyDescent="0.3">
      <c r="J19977"/>
    </row>
    <row r="19978" spans="10:10" x14ac:dyDescent="0.3">
      <c r="J19978"/>
    </row>
    <row r="19979" spans="10:10" x14ac:dyDescent="0.3">
      <c r="J19979"/>
    </row>
    <row r="19980" spans="10:10" x14ac:dyDescent="0.3">
      <c r="J19980"/>
    </row>
    <row r="19981" spans="10:10" x14ac:dyDescent="0.3">
      <c r="J19981"/>
    </row>
    <row r="19982" spans="10:10" x14ac:dyDescent="0.3">
      <c r="J19982"/>
    </row>
    <row r="19983" spans="10:10" x14ac:dyDescent="0.3">
      <c r="J19983"/>
    </row>
    <row r="19984" spans="10:10" x14ac:dyDescent="0.3">
      <c r="J19984"/>
    </row>
    <row r="19985" spans="10:10" x14ac:dyDescent="0.3">
      <c r="J19985"/>
    </row>
    <row r="19986" spans="10:10" x14ac:dyDescent="0.3">
      <c r="J19986"/>
    </row>
    <row r="19987" spans="10:10" x14ac:dyDescent="0.3">
      <c r="J19987"/>
    </row>
    <row r="19988" spans="10:10" x14ac:dyDescent="0.3">
      <c r="J19988"/>
    </row>
    <row r="19989" spans="10:10" x14ac:dyDescent="0.3">
      <c r="J19989"/>
    </row>
    <row r="19990" spans="10:10" x14ac:dyDescent="0.3">
      <c r="J19990"/>
    </row>
    <row r="19991" spans="10:10" x14ac:dyDescent="0.3">
      <c r="J19991"/>
    </row>
    <row r="19992" spans="10:10" x14ac:dyDescent="0.3">
      <c r="J19992"/>
    </row>
    <row r="19993" spans="10:10" x14ac:dyDescent="0.3">
      <c r="J19993"/>
    </row>
    <row r="19994" spans="10:10" x14ac:dyDescent="0.3">
      <c r="J19994"/>
    </row>
    <row r="19995" spans="10:10" x14ac:dyDescent="0.3">
      <c r="J19995"/>
    </row>
    <row r="19996" spans="10:10" x14ac:dyDescent="0.3">
      <c r="J19996"/>
    </row>
    <row r="19997" spans="10:10" x14ac:dyDescent="0.3">
      <c r="J19997"/>
    </row>
    <row r="19998" spans="10:10" x14ac:dyDescent="0.3">
      <c r="J19998"/>
    </row>
    <row r="19999" spans="10:10" x14ac:dyDescent="0.3">
      <c r="J19999"/>
    </row>
    <row r="20000" spans="10:10" x14ac:dyDescent="0.3">
      <c r="J20000"/>
    </row>
    <row r="20001" spans="10:10" x14ac:dyDescent="0.3">
      <c r="J20001"/>
    </row>
    <row r="20002" spans="10:10" x14ac:dyDescent="0.3">
      <c r="J20002"/>
    </row>
    <row r="20003" spans="10:10" x14ac:dyDescent="0.3">
      <c r="J20003"/>
    </row>
    <row r="20004" spans="10:10" x14ac:dyDescent="0.3">
      <c r="J20004"/>
    </row>
    <row r="20005" spans="10:10" x14ac:dyDescent="0.3">
      <c r="J20005"/>
    </row>
    <row r="20006" spans="10:10" x14ac:dyDescent="0.3">
      <c r="J20006"/>
    </row>
    <row r="20007" spans="10:10" x14ac:dyDescent="0.3">
      <c r="J20007"/>
    </row>
    <row r="20008" spans="10:10" x14ac:dyDescent="0.3">
      <c r="J20008"/>
    </row>
    <row r="20009" spans="10:10" x14ac:dyDescent="0.3">
      <c r="J20009"/>
    </row>
    <row r="20010" spans="10:10" x14ac:dyDescent="0.3">
      <c r="J20010"/>
    </row>
    <row r="20011" spans="10:10" x14ac:dyDescent="0.3">
      <c r="J20011"/>
    </row>
    <row r="20012" spans="10:10" x14ac:dyDescent="0.3">
      <c r="J20012"/>
    </row>
    <row r="20013" spans="10:10" x14ac:dyDescent="0.3">
      <c r="J20013"/>
    </row>
    <row r="20014" spans="10:10" x14ac:dyDescent="0.3">
      <c r="J20014"/>
    </row>
    <row r="20015" spans="10:10" x14ac:dyDescent="0.3">
      <c r="J20015"/>
    </row>
    <row r="20016" spans="10:10" x14ac:dyDescent="0.3">
      <c r="J20016"/>
    </row>
    <row r="20017" spans="10:10" x14ac:dyDescent="0.3">
      <c r="J20017"/>
    </row>
    <row r="20018" spans="10:10" x14ac:dyDescent="0.3">
      <c r="J20018"/>
    </row>
    <row r="20019" spans="10:10" x14ac:dyDescent="0.3">
      <c r="J20019"/>
    </row>
    <row r="20020" spans="10:10" x14ac:dyDescent="0.3">
      <c r="J20020"/>
    </row>
    <row r="20021" spans="10:10" x14ac:dyDescent="0.3">
      <c r="J20021"/>
    </row>
    <row r="20022" spans="10:10" x14ac:dyDescent="0.3">
      <c r="J20022"/>
    </row>
    <row r="20023" spans="10:10" x14ac:dyDescent="0.3">
      <c r="J20023"/>
    </row>
    <row r="20024" spans="10:10" x14ac:dyDescent="0.3">
      <c r="J20024"/>
    </row>
    <row r="20025" spans="10:10" x14ac:dyDescent="0.3">
      <c r="J20025"/>
    </row>
    <row r="20026" spans="10:10" x14ac:dyDescent="0.3">
      <c r="J20026"/>
    </row>
    <row r="20027" spans="10:10" x14ac:dyDescent="0.3">
      <c r="J20027"/>
    </row>
    <row r="20028" spans="10:10" x14ac:dyDescent="0.3">
      <c r="J20028"/>
    </row>
    <row r="20029" spans="10:10" x14ac:dyDescent="0.3">
      <c r="J20029"/>
    </row>
    <row r="20030" spans="10:10" x14ac:dyDescent="0.3">
      <c r="J20030"/>
    </row>
    <row r="20031" spans="10:10" x14ac:dyDescent="0.3">
      <c r="J20031"/>
    </row>
    <row r="20032" spans="10:10" x14ac:dyDescent="0.3">
      <c r="J20032"/>
    </row>
    <row r="20033" spans="10:10" x14ac:dyDescent="0.3">
      <c r="J20033"/>
    </row>
    <row r="20034" spans="10:10" x14ac:dyDescent="0.3">
      <c r="J20034"/>
    </row>
    <row r="20035" spans="10:10" x14ac:dyDescent="0.3">
      <c r="J20035"/>
    </row>
    <row r="20036" spans="10:10" x14ac:dyDescent="0.3">
      <c r="J20036"/>
    </row>
    <row r="20037" spans="10:10" x14ac:dyDescent="0.3">
      <c r="J20037"/>
    </row>
    <row r="20038" spans="10:10" x14ac:dyDescent="0.3">
      <c r="J20038"/>
    </row>
    <row r="20039" spans="10:10" x14ac:dyDescent="0.3">
      <c r="J20039"/>
    </row>
    <row r="20040" spans="10:10" x14ac:dyDescent="0.3">
      <c r="J20040"/>
    </row>
    <row r="20041" spans="10:10" x14ac:dyDescent="0.3">
      <c r="J20041"/>
    </row>
    <row r="20042" spans="10:10" x14ac:dyDescent="0.3">
      <c r="J20042"/>
    </row>
    <row r="20043" spans="10:10" x14ac:dyDescent="0.3">
      <c r="J20043"/>
    </row>
    <row r="20044" spans="10:10" x14ac:dyDescent="0.3">
      <c r="J20044"/>
    </row>
    <row r="20045" spans="10:10" x14ac:dyDescent="0.3">
      <c r="J20045"/>
    </row>
    <row r="20046" spans="10:10" x14ac:dyDescent="0.3">
      <c r="J20046"/>
    </row>
    <row r="20047" spans="10:10" x14ac:dyDescent="0.3">
      <c r="J20047"/>
    </row>
    <row r="20048" spans="10:10" x14ac:dyDescent="0.3">
      <c r="J20048"/>
    </row>
    <row r="20049" spans="10:10" x14ac:dyDescent="0.3">
      <c r="J20049"/>
    </row>
    <row r="20050" spans="10:10" x14ac:dyDescent="0.3">
      <c r="J20050"/>
    </row>
    <row r="20051" spans="10:10" x14ac:dyDescent="0.3">
      <c r="J20051"/>
    </row>
    <row r="20052" spans="10:10" x14ac:dyDescent="0.3">
      <c r="J20052"/>
    </row>
    <row r="20053" spans="10:10" x14ac:dyDescent="0.3">
      <c r="J20053"/>
    </row>
    <row r="20054" spans="10:10" x14ac:dyDescent="0.3">
      <c r="J20054"/>
    </row>
    <row r="20055" spans="10:10" x14ac:dyDescent="0.3">
      <c r="J20055"/>
    </row>
    <row r="20056" spans="10:10" x14ac:dyDescent="0.3">
      <c r="J20056"/>
    </row>
    <row r="20057" spans="10:10" x14ac:dyDescent="0.3">
      <c r="J20057"/>
    </row>
    <row r="20058" spans="10:10" x14ac:dyDescent="0.3">
      <c r="J20058"/>
    </row>
    <row r="20059" spans="10:10" x14ac:dyDescent="0.3">
      <c r="J20059"/>
    </row>
    <row r="20060" spans="10:10" x14ac:dyDescent="0.3">
      <c r="J20060"/>
    </row>
    <row r="20061" spans="10:10" x14ac:dyDescent="0.3">
      <c r="J20061"/>
    </row>
    <row r="20062" spans="10:10" x14ac:dyDescent="0.3">
      <c r="J20062"/>
    </row>
    <row r="20063" spans="10:10" x14ac:dyDescent="0.3">
      <c r="J20063"/>
    </row>
    <row r="20064" spans="10:10" x14ac:dyDescent="0.3">
      <c r="J20064"/>
    </row>
    <row r="20065" spans="10:10" x14ac:dyDescent="0.3">
      <c r="J20065"/>
    </row>
    <row r="20066" spans="10:10" x14ac:dyDescent="0.3">
      <c r="J20066"/>
    </row>
    <row r="20067" spans="10:10" x14ac:dyDescent="0.3">
      <c r="J20067"/>
    </row>
    <row r="20068" spans="10:10" x14ac:dyDescent="0.3">
      <c r="J20068"/>
    </row>
    <row r="20069" spans="10:10" x14ac:dyDescent="0.3">
      <c r="J20069"/>
    </row>
    <row r="20070" spans="10:10" x14ac:dyDescent="0.3">
      <c r="J20070"/>
    </row>
    <row r="20071" spans="10:10" x14ac:dyDescent="0.3">
      <c r="J20071"/>
    </row>
    <row r="20072" spans="10:10" x14ac:dyDescent="0.3">
      <c r="J20072"/>
    </row>
    <row r="20073" spans="10:10" x14ac:dyDescent="0.3">
      <c r="J20073"/>
    </row>
    <row r="20074" spans="10:10" x14ac:dyDescent="0.3">
      <c r="J20074"/>
    </row>
    <row r="20075" spans="10:10" x14ac:dyDescent="0.3">
      <c r="J20075"/>
    </row>
    <row r="20076" spans="10:10" x14ac:dyDescent="0.3">
      <c r="J20076"/>
    </row>
    <row r="20077" spans="10:10" x14ac:dyDescent="0.3">
      <c r="J20077"/>
    </row>
    <row r="20078" spans="10:10" x14ac:dyDescent="0.3">
      <c r="J20078"/>
    </row>
    <row r="20079" spans="10:10" x14ac:dyDescent="0.3">
      <c r="J20079"/>
    </row>
    <row r="20080" spans="10:10" x14ac:dyDescent="0.3">
      <c r="J20080"/>
    </row>
    <row r="20081" spans="10:10" x14ac:dyDescent="0.3">
      <c r="J20081"/>
    </row>
    <row r="20082" spans="10:10" x14ac:dyDescent="0.3">
      <c r="J20082"/>
    </row>
    <row r="20083" spans="10:10" x14ac:dyDescent="0.3">
      <c r="J20083"/>
    </row>
    <row r="20084" spans="10:10" x14ac:dyDescent="0.3">
      <c r="J20084"/>
    </row>
    <row r="20085" spans="10:10" x14ac:dyDescent="0.3">
      <c r="J20085"/>
    </row>
    <row r="20086" spans="10:10" x14ac:dyDescent="0.3">
      <c r="J20086"/>
    </row>
    <row r="20087" spans="10:10" x14ac:dyDescent="0.3">
      <c r="J20087"/>
    </row>
    <row r="20088" spans="10:10" x14ac:dyDescent="0.3">
      <c r="J20088"/>
    </row>
    <row r="20089" spans="10:10" x14ac:dyDescent="0.3">
      <c r="J20089"/>
    </row>
    <row r="20090" spans="10:10" x14ac:dyDescent="0.3">
      <c r="J20090"/>
    </row>
    <row r="20091" spans="10:10" x14ac:dyDescent="0.3">
      <c r="J20091"/>
    </row>
    <row r="20092" spans="10:10" x14ac:dyDescent="0.3">
      <c r="J20092"/>
    </row>
    <row r="20093" spans="10:10" x14ac:dyDescent="0.3">
      <c r="J20093"/>
    </row>
    <row r="20094" spans="10:10" x14ac:dyDescent="0.3">
      <c r="J20094"/>
    </row>
    <row r="20095" spans="10:10" x14ac:dyDescent="0.3">
      <c r="J20095"/>
    </row>
    <row r="20096" spans="10:10" x14ac:dyDescent="0.3">
      <c r="J20096"/>
    </row>
    <row r="20097" spans="10:10" x14ac:dyDescent="0.3">
      <c r="J20097"/>
    </row>
    <row r="20098" spans="10:10" x14ac:dyDescent="0.3">
      <c r="J20098"/>
    </row>
    <row r="20099" spans="10:10" x14ac:dyDescent="0.3">
      <c r="J20099"/>
    </row>
    <row r="20100" spans="10:10" x14ac:dyDescent="0.3">
      <c r="J20100"/>
    </row>
    <row r="20101" spans="10:10" x14ac:dyDescent="0.3">
      <c r="J20101"/>
    </row>
    <row r="20102" spans="10:10" x14ac:dyDescent="0.3">
      <c r="J20102"/>
    </row>
    <row r="20103" spans="10:10" x14ac:dyDescent="0.3">
      <c r="J20103"/>
    </row>
    <row r="20104" spans="10:10" x14ac:dyDescent="0.3">
      <c r="J20104"/>
    </row>
    <row r="20105" spans="10:10" x14ac:dyDescent="0.3">
      <c r="J20105"/>
    </row>
    <row r="20106" spans="10:10" x14ac:dyDescent="0.3">
      <c r="J20106"/>
    </row>
    <row r="20107" spans="10:10" x14ac:dyDescent="0.3">
      <c r="J20107"/>
    </row>
    <row r="20108" spans="10:10" x14ac:dyDescent="0.3">
      <c r="J20108"/>
    </row>
    <row r="20109" spans="10:10" x14ac:dyDescent="0.3">
      <c r="J20109"/>
    </row>
    <row r="20110" spans="10:10" x14ac:dyDescent="0.3">
      <c r="J20110"/>
    </row>
    <row r="20111" spans="10:10" x14ac:dyDescent="0.3">
      <c r="J20111"/>
    </row>
    <row r="20112" spans="10:10" x14ac:dyDescent="0.3">
      <c r="J20112"/>
    </row>
    <row r="20113" spans="10:10" x14ac:dyDescent="0.3">
      <c r="J20113"/>
    </row>
    <row r="20114" spans="10:10" x14ac:dyDescent="0.3">
      <c r="J20114"/>
    </row>
    <row r="20115" spans="10:10" x14ac:dyDescent="0.3">
      <c r="J20115"/>
    </row>
    <row r="20116" spans="10:10" x14ac:dyDescent="0.3">
      <c r="J20116"/>
    </row>
    <row r="20117" spans="10:10" x14ac:dyDescent="0.3">
      <c r="J20117"/>
    </row>
    <row r="20118" spans="10:10" x14ac:dyDescent="0.3">
      <c r="J20118"/>
    </row>
    <row r="20119" spans="10:10" x14ac:dyDescent="0.3">
      <c r="J20119"/>
    </row>
    <row r="20120" spans="10:10" x14ac:dyDescent="0.3">
      <c r="J20120"/>
    </row>
    <row r="20121" spans="10:10" x14ac:dyDescent="0.3">
      <c r="J20121"/>
    </row>
    <row r="20122" spans="10:10" x14ac:dyDescent="0.3">
      <c r="J20122"/>
    </row>
    <row r="20123" spans="10:10" x14ac:dyDescent="0.3">
      <c r="J20123"/>
    </row>
    <row r="20124" spans="10:10" x14ac:dyDescent="0.3">
      <c r="J20124"/>
    </row>
    <row r="20125" spans="10:10" x14ac:dyDescent="0.3">
      <c r="J20125"/>
    </row>
    <row r="20126" spans="10:10" x14ac:dyDescent="0.3">
      <c r="J20126"/>
    </row>
    <row r="20127" spans="10:10" x14ac:dyDescent="0.3">
      <c r="J20127"/>
    </row>
    <row r="20128" spans="10:10" x14ac:dyDescent="0.3">
      <c r="J20128"/>
    </row>
    <row r="20129" spans="10:10" x14ac:dyDescent="0.3">
      <c r="J20129"/>
    </row>
    <row r="20130" spans="10:10" x14ac:dyDescent="0.3">
      <c r="J20130"/>
    </row>
    <row r="20131" spans="10:10" x14ac:dyDescent="0.3">
      <c r="J20131"/>
    </row>
    <row r="20132" spans="10:10" x14ac:dyDescent="0.3">
      <c r="J20132"/>
    </row>
    <row r="20133" spans="10:10" x14ac:dyDescent="0.3">
      <c r="J20133"/>
    </row>
    <row r="20134" spans="10:10" x14ac:dyDescent="0.3">
      <c r="J20134"/>
    </row>
    <row r="20135" spans="10:10" x14ac:dyDescent="0.3">
      <c r="J20135"/>
    </row>
    <row r="20136" spans="10:10" x14ac:dyDescent="0.3">
      <c r="J20136"/>
    </row>
    <row r="20137" spans="10:10" x14ac:dyDescent="0.3">
      <c r="J20137"/>
    </row>
    <row r="20138" spans="10:10" x14ac:dyDescent="0.3">
      <c r="J20138"/>
    </row>
    <row r="20139" spans="10:10" x14ac:dyDescent="0.3">
      <c r="J20139"/>
    </row>
    <row r="20140" spans="10:10" x14ac:dyDescent="0.3">
      <c r="J20140"/>
    </row>
    <row r="20141" spans="10:10" x14ac:dyDescent="0.3">
      <c r="J20141"/>
    </row>
    <row r="20142" spans="10:10" x14ac:dyDescent="0.3">
      <c r="J20142"/>
    </row>
    <row r="20143" spans="10:10" x14ac:dyDescent="0.3">
      <c r="J20143"/>
    </row>
    <row r="20144" spans="10:10" x14ac:dyDescent="0.3">
      <c r="J20144"/>
    </row>
    <row r="20145" spans="10:10" x14ac:dyDescent="0.3">
      <c r="J20145"/>
    </row>
    <row r="20146" spans="10:10" x14ac:dyDescent="0.3">
      <c r="J20146"/>
    </row>
    <row r="20147" spans="10:10" x14ac:dyDescent="0.3">
      <c r="J20147"/>
    </row>
    <row r="20148" spans="10:10" x14ac:dyDescent="0.3">
      <c r="J20148"/>
    </row>
    <row r="20149" spans="10:10" x14ac:dyDescent="0.3">
      <c r="J20149"/>
    </row>
    <row r="20150" spans="10:10" x14ac:dyDescent="0.3">
      <c r="J20150"/>
    </row>
    <row r="20151" spans="10:10" x14ac:dyDescent="0.3">
      <c r="J20151"/>
    </row>
    <row r="20152" spans="10:10" x14ac:dyDescent="0.3">
      <c r="J20152"/>
    </row>
    <row r="20153" spans="10:10" x14ac:dyDescent="0.3">
      <c r="J20153"/>
    </row>
    <row r="20154" spans="10:10" x14ac:dyDescent="0.3">
      <c r="J20154"/>
    </row>
    <row r="20155" spans="10:10" x14ac:dyDescent="0.3">
      <c r="J20155"/>
    </row>
    <row r="20156" spans="10:10" x14ac:dyDescent="0.3">
      <c r="J20156"/>
    </row>
    <row r="20157" spans="10:10" x14ac:dyDescent="0.3">
      <c r="J20157"/>
    </row>
    <row r="20158" spans="10:10" x14ac:dyDescent="0.3">
      <c r="J20158"/>
    </row>
    <row r="20159" spans="10:10" x14ac:dyDescent="0.3">
      <c r="J20159"/>
    </row>
    <row r="20160" spans="10:10" x14ac:dyDescent="0.3">
      <c r="J20160"/>
    </row>
    <row r="20161" spans="10:10" x14ac:dyDescent="0.3">
      <c r="J20161"/>
    </row>
    <row r="20162" spans="10:10" x14ac:dyDescent="0.3">
      <c r="J20162"/>
    </row>
    <row r="20163" spans="10:10" x14ac:dyDescent="0.3">
      <c r="J20163"/>
    </row>
    <row r="20164" spans="10:10" x14ac:dyDescent="0.3">
      <c r="J20164"/>
    </row>
    <row r="20165" spans="10:10" x14ac:dyDescent="0.3">
      <c r="J20165"/>
    </row>
    <row r="20166" spans="10:10" x14ac:dyDescent="0.3">
      <c r="J20166"/>
    </row>
    <row r="20167" spans="10:10" x14ac:dyDescent="0.3">
      <c r="J20167"/>
    </row>
    <row r="20168" spans="10:10" x14ac:dyDescent="0.3">
      <c r="J20168"/>
    </row>
    <row r="20169" spans="10:10" x14ac:dyDescent="0.3">
      <c r="J20169"/>
    </row>
    <row r="20170" spans="10:10" x14ac:dyDescent="0.3">
      <c r="J20170"/>
    </row>
    <row r="20171" spans="10:10" x14ac:dyDescent="0.3">
      <c r="J20171"/>
    </row>
    <row r="20172" spans="10:10" x14ac:dyDescent="0.3">
      <c r="J20172"/>
    </row>
    <row r="20173" spans="10:10" x14ac:dyDescent="0.3">
      <c r="J20173"/>
    </row>
    <row r="20174" spans="10:10" x14ac:dyDescent="0.3">
      <c r="J20174"/>
    </row>
    <row r="20175" spans="10:10" x14ac:dyDescent="0.3">
      <c r="J20175"/>
    </row>
    <row r="20176" spans="10:10" x14ac:dyDescent="0.3">
      <c r="J20176"/>
    </row>
    <row r="20177" spans="10:10" x14ac:dyDescent="0.3">
      <c r="J20177"/>
    </row>
    <row r="20178" spans="10:10" x14ac:dyDescent="0.3">
      <c r="J20178"/>
    </row>
    <row r="20179" spans="10:10" x14ac:dyDescent="0.3">
      <c r="J20179"/>
    </row>
    <row r="20180" spans="10:10" x14ac:dyDescent="0.3">
      <c r="J20180"/>
    </row>
    <row r="20181" spans="10:10" x14ac:dyDescent="0.3">
      <c r="J20181"/>
    </row>
    <row r="20182" spans="10:10" x14ac:dyDescent="0.3">
      <c r="J20182"/>
    </row>
    <row r="20183" spans="10:10" x14ac:dyDescent="0.3">
      <c r="J20183"/>
    </row>
    <row r="20184" spans="10:10" x14ac:dyDescent="0.3">
      <c r="J20184"/>
    </row>
    <row r="20185" spans="10:10" x14ac:dyDescent="0.3">
      <c r="J20185"/>
    </row>
    <row r="20186" spans="10:10" x14ac:dyDescent="0.3">
      <c r="J20186"/>
    </row>
    <row r="20187" spans="10:10" x14ac:dyDescent="0.3">
      <c r="J20187"/>
    </row>
    <row r="20188" spans="10:10" x14ac:dyDescent="0.3">
      <c r="J20188"/>
    </row>
    <row r="20189" spans="10:10" x14ac:dyDescent="0.3">
      <c r="J20189"/>
    </row>
    <row r="20190" spans="10:10" x14ac:dyDescent="0.3">
      <c r="J20190"/>
    </row>
    <row r="20191" spans="10:10" x14ac:dyDescent="0.3">
      <c r="J20191"/>
    </row>
    <row r="20192" spans="10:10" x14ac:dyDescent="0.3">
      <c r="J20192"/>
    </row>
    <row r="20193" spans="10:10" x14ac:dyDescent="0.3">
      <c r="J20193"/>
    </row>
    <row r="20194" spans="10:10" x14ac:dyDescent="0.3">
      <c r="J20194"/>
    </row>
    <row r="20195" spans="10:10" x14ac:dyDescent="0.3">
      <c r="J20195"/>
    </row>
    <row r="20196" spans="10:10" x14ac:dyDescent="0.3">
      <c r="J20196"/>
    </row>
    <row r="20197" spans="10:10" x14ac:dyDescent="0.3">
      <c r="J20197"/>
    </row>
    <row r="20198" spans="10:10" x14ac:dyDescent="0.3">
      <c r="J20198"/>
    </row>
    <row r="20199" spans="10:10" x14ac:dyDescent="0.3">
      <c r="J20199"/>
    </row>
    <row r="20200" spans="10:10" x14ac:dyDescent="0.3">
      <c r="J20200"/>
    </row>
    <row r="20201" spans="10:10" x14ac:dyDescent="0.3">
      <c r="J20201"/>
    </row>
    <row r="20202" spans="10:10" x14ac:dyDescent="0.3">
      <c r="J20202"/>
    </row>
    <row r="20203" spans="10:10" x14ac:dyDescent="0.3">
      <c r="J20203"/>
    </row>
    <row r="20204" spans="10:10" x14ac:dyDescent="0.3">
      <c r="J20204"/>
    </row>
    <row r="20205" spans="10:10" x14ac:dyDescent="0.3">
      <c r="J20205"/>
    </row>
    <row r="20206" spans="10:10" x14ac:dyDescent="0.3">
      <c r="J20206"/>
    </row>
    <row r="20207" spans="10:10" x14ac:dyDescent="0.3">
      <c r="J20207"/>
    </row>
    <row r="20208" spans="10:10" x14ac:dyDescent="0.3">
      <c r="J20208"/>
    </row>
    <row r="20209" spans="10:10" x14ac:dyDescent="0.3">
      <c r="J20209"/>
    </row>
    <row r="20210" spans="10:10" x14ac:dyDescent="0.3">
      <c r="J20210"/>
    </row>
    <row r="20211" spans="10:10" x14ac:dyDescent="0.3">
      <c r="J20211"/>
    </row>
    <row r="20212" spans="10:10" x14ac:dyDescent="0.3">
      <c r="J20212"/>
    </row>
    <row r="20213" spans="10:10" x14ac:dyDescent="0.3">
      <c r="J20213"/>
    </row>
    <row r="20214" spans="10:10" x14ac:dyDescent="0.3">
      <c r="J20214"/>
    </row>
    <row r="20215" spans="10:10" x14ac:dyDescent="0.3">
      <c r="J20215"/>
    </row>
    <row r="20216" spans="10:10" x14ac:dyDescent="0.3">
      <c r="J20216"/>
    </row>
    <row r="20217" spans="10:10" x14ac:dyDescent="0.3">
      <c r="J20217"/>
    </row>
    <row r="20218" spans="10:10" x14ac:dyDescent="0.3">
      <c r="J20218"/>
    </row>
    <row r="20219" spans="10:10" x14ac:dyDescent="0.3">
      <c r="J20219"/>
    </row>
    <row r="20220" spans="10:10" x14ac:dyDescent="0.3">
      <c r="J20220"/>
    </row>
    <row r="20221" spans="10:10" x14ac:dyDescent="0.3">
      <c r="J20221"/>
    </row>
    <row r="20222" spans="10:10" x14ac:dyDescent="0.3">
      <c r="J20222"/>
    </row>
    <row r="20223" spans="10:10" x14ac:dyDescent="0.3">
      <c r="J20223"/>
    </row>
    <row r="20224" spans="10:10" x14ac:dyDescent="0.3">
      <c r="J20224"/>
    </row>
    <row r="20225" spans="10:10" x14ac:dyDescent="0.3">
      <c r="J20225"/>
    </row>
    <row r="20226" spans="10:10" x14ac:dyDescent="0.3">
      <c r="J20226"/>
    </row>
    <row r="20227" spans="10:10" x14ac:dyDescent="0.3">
      <c r="J20227"/>
    </row>
    <row r="20228" spans="10:10" x14ac:dyDescent="0.3">
      <c r="J20228"/>
    </row>
    <row r="20229" spans="10:10" x14ac:dyDescent="0.3">
      <c r="J20229"/>
    </row>
    <row r="20230" spans="10:10" x14ac:dyDescent="0.3">
      <c r="J20230"/>
    </row>
    <row r="20231" spans="10:10" x14ac:dyDescent="0.3">
      <c r="J20231"/>
    </row>
    <row r="20232" spans="10:10" x14ac:dyDescent="0.3">
      <c r="J20232"/>
    </row>
    <row r="20233" spans="10:10" x14ac:dyDescent="0.3">
      <c r="J20233"/>
    </row>
    <row r="20234" spans="10:10" x14ac:dyDescent="0.3">
      <c r="J20234"/>
    </row>
    <row r="20235" spans="10:10" x14ac:dyDescent="0.3">
      <c r="J20235"/>
    </row>
    <row r="20236" spans="10:10" x14ac:dyDescent="0.3">
      <c r="J20236"/>
    </row>
    <row r="20237" spans="10:10" x14ac:dyDescent="0.3">
      <c r="J20237"/>
    </row>
    <row r="20238" spans="10:10" x14ac:dyDescent="0.3">
      <c r="J20238"/>
    </row>
    <row r="20239" spans="10:10" x14ac:dyDescent="0.3">
      <c r="J20239"/>
    </row>
    <row r="20240" spans="10:10" x14ac:dyDescent="0.3">
      <c r="J20240"/>
    </row>
    <row r="20241" spans="10:10" x14ac:dyDescent="0.3">
      <c r="J20241"/>
    </row>
    <row r="20242" spans="10:10" x14ac:dyDescent="0.3">
      <c r="J20242"/>
    </row>
    <row r="20243" spans="10:10" x14ac:dyDescent="0.3">
      <c r="J20243"/>
    </row>
    <row r="20244" spans="10:10" x14ac:dyDescent="0.3">
      <c r="J20244"/>
    </row>
    <row r="20245" spans="10:10" x14ac:dyDescent="0.3">
      <c r="J20245"/>
    </row>
    <row r="20246" spans="10:10" x14ac:dyDescent="0.3">
      <c r="J20246"/>
    </row>
    <row r="20247" spans="10:10" x14ac:dyDescent="0.3">
      <c r="J20247"/>
    </row>
    <row r="20248" spans="10:10" x14ac:dyDescent="0.3">
      <c r="J20248"/>
    </row>
    <row r="20249" spans="10:10" x14ac:dyDescent="0.3">
      <c r="J20249"/>
    </row>
    <row r="20250" spans="10:10" x14ac:dyDescent="0.3">
      <c r="J20250"/>
    </row>
    <row r="20251" spans="10:10" x14ac:dyDescent="0.3">
      <c r="J20251"/>
    </row>
    <row r="20252" spans="10:10" x14ac:dyDescent="0.3">
      <c r="J20252"/>
    </row>
    <row r="20253" spans="10:10" x14ac:dyDescent="0.3">
      <c r="J20253"/>
    </row>
    <row r="20254" spans="10:10" x14ac:dyDescent="0.3">
      <c r="J20254"/>
    </row>
    <row r="20255" spans="10:10" x14ac:dyDescent="0.3">
      <c r="J20255"/>
    </row>
    <row r="20256" spans="10:10" x14ac:dyDescent="0.3">
      <c r="J20256"/>
    </row>
    <row r="20257" spans="10:10" x14ac:dyDescent="0.3">
      <c r="J20257"/>
    </row>
    <row r="20258" spans="10:10" x14ac:dyDescent="0.3">
      <c r="J20258"/>
    </row>
    <row r="20259" spans="10:10" x14ac:dyDescent="0.3">
      <c r="J20259"/>
    </row>
    <row r="20260" spans="10:10" x14ac:dyDescent="0.3">
      <c r="J20260"/>
    </row>
    <row r="20261" spans="10:10" x14ac:dyDescent="0.3">
      <c r="J20261"/>
    </row>
    <row r="20262" spans="10:10" x14ac:dyDescent="0.3">
      <c r="J20262"/>
    </row>
    <row r="20263" spans="10:10" x14ac:dyDescent="0.3">
      <c r="J20263"/>
    </row>
    <row r="20264" spans="10:10" x14ac:dyDescent="0.3">
      <c r="J20264"/>
    </row>
    <row r="20265" spans="10:10" x14ac:dyDescent="0.3">
      <c r="J20265"/>
    </row>
    <row r="20266" spans="10:10" x14ac:dyDescent="0.3">
      <c r="J20266"/>
    </row>
    <row r="20267" spans="10:10" x14ac:dyDescent="0.3">
      <c r="J20267"/>
    </row>
    <row r="20268" spans="10:10" x14ac:dyDescent="0.3">
      <c r="J20268"/>
    </row>
    <row r="20269" spans="10:10" x14ac:dyDescent="0.3">
      <c r="J20269"/>
    </row>
    <row r="20270" spans="10:10" x14ac:dyDescent="0.3">
      <c r="J20270"/>
    </row>
    <row r="20271" spans="10:10" x14ac:dyDescent="0.3">
      <c r="J20271"/>
    </row>
    <row r="20272" spans="10:10" x14ac:dyDescent="0.3">
      <c r="J20272"/>
    </row>
    <row r="20273" spans="10:10" x14ac:dyDescent="0.3">
      <c r="J20273"/>
    </row>
    <row r="20274" spans="10:10" x14ac:dyDescent="0.3">
      <c r="J20274"/>
    </row>
    <row r="20275" spans="10:10" x14ac:dyDescent="0.3">
      <c r="J20275"/>
    </row>
    <row r="20276" spans="10:10" x14ac:dyDescent="0.3">
      <c r="J20276"/>
    </row>
    <row r="20277" spans="10:10" x14ac:dyDescent="0.3">
      <c r="J20277"/>
    </row>
    <row r="20278" spans="10:10" x14ac:dyDescent="0.3">
      <c r="J20278"/>
    </row>
    <row r="20279" spans="10:10" x14ac:dyDescent="0.3">
      <c r="J20279"/>
    </row>
    <row r="20280" spans="10:10" x14ac:dyDescent="0.3">
      <c r="J20280"/>
    </row>
    <row r="20281" spans="10:10" x14ac:dyDescent="0.3">
      <c r="J20281"/>
    </row>
    <row r="20282" spans="10:10" x14ac:dyDescent="0.3">
      <c r="J20282"/>
    </row>
    <row r="20283" spans="10:10" x14ac:dyDescent="0.3">
      <c r="J20283"/>
    </row>
    <row r="20284" spans="10:10" x14ac:dyDescent="0.3">
      <c r="J20284"/>
    </row>
    <row r="20285" spans="10:10" x14ac:dyDescent="0.3">
      <c r="J20285"/>
    </row>
    <row r="20286" spans="10:10" x14ac:dyDescent="0.3">
      <c r="J20286"/>
    </row>
    <row r="20287" spans="10:10" x14ac:dyDescent="0.3">
      <c r="J20287"/>
    </row>
    <row r="20288" spans="10:10" x14ac:dyDescent="0.3">
      <c r="J20288"/>
    </row>
    <row r="20289" spans="10:10" x14ac:dyDescent="0.3">
      <c r="J20289"/>
    </row>
    <row r="20290" spans="10:10" x14ac:dyDescent="0.3">
      <c r="J20290"/>
    </row>
    <row r="20291" spans="10:10" x14ac:dyDescent="0.3">
      <c r="J20291"/>
    </row>
    <row r="20292" spans="10:10" x14ac:dyDescent="0.3">
      <c r="J20292"/>
    </row>
    <row r="20293" spans="10:10" x14ac:dyDescent="0.3">
      <c r="J20293"/>
    </row>
    <row r="20294" spans="10:10" x14ac:dyDescent="0.3">
      <c r="J20294"/>
    </row>
    <row r="20295" spans="10:10" x14ac:dyDescent="0.3">
      <c r="J20295"/>
    </row>
    <row r="20296" spans="10:10" x14ac:dyDescent="0.3">
      <c r="J20296"/>
    </row>
    <row r="20297" spans="10:10" x14ac:dyDescent="0.3">
      <c r="J20297"/>
    </row>
    <row r="20298" spans="10:10" x14ac:dyDescent="0.3">
      <c r="J20298"/>
    </row>
    <row r="20299" spans="10:10" x14ac:dyDescent="0.3">
      <c r="J20299"/>
    </row>
    <row r="20300" spans="10:10" x14ac:dyDescent="0.3">
      <c r="J20300"/>
    </row>
    <row r="20301" spans="10:10" x14ac:dyDescent="0.3">
      <c r="J20301"/>
    </row>
    <row r="20302" spans="10:10" x14ac:dyDescent="0.3">
      <c r="J20302"/>
    </row>
    <row r="20303" spans="10:10" x14ac:dyDescent="0.3">
      <c r="J20303"/>
    </row>
    <row r="20304" spans="10:10" x14ac:dyDescent="0.3">
      <c r="J20304"/>
    </row>
    <row r="20305" spans="10:10" x14ac:dyDescent="0.3">
      <c r="J20305"/>
    </row>
    <row r="20306" spans="10:10" x14ac:dyDescent="0.3">
      <c r="J20306"/>
    </row>
    <row r="20307" spans="10:10" x14ac:dyDescent="0.3">
      <c r="J20307"/>
    </row>
    <row r="20308" spans="10:10" x14ac:dyDescent="0.3">
      <c r="J20308"/>
    </row>
    <row r="20309" spans="10:10" x14ac:dyDescent="0.3">
      <c r="J20309"/>
    </row>
    <row r="20310" spans="10:10" x14ac:dyDescent="0.3">
      <c r="J20310"/>
    </row>
    <row r="20311" spans="10:10" x14ac:dyDescent="0.3">
      <c r="J20311"/>
    </row>
    <row r="20312" spans="10:10" x14ac:dyDescent="0.3">
      <c r="J20312"/>
    </row>
    <row r="20313" spans="10:10" x14ac:dyDescent="0.3">
      <c r="J20313"/>
    </row>
    <row r="20314" spans="10:10" x14ac:dyDescent="0.3">
      <c r="J20314"/>
    </row>
    <row r="20315" spans="10:10" x14ac:dyDescent="0.3">
      <c r="J20315"/>
    </row>
    <row r="20316" spans="10:10" x14ac:dyDescent="0.3">
      <c r="J20316"/>
    </row>
    <row r="20317" spans="10:10" x14ac:dyDescent="0.3">
      <c r="J20317"/>
    </row>
    <row r="20318" spans="10:10" x14ac:dyDescent="0.3">
      <c r="J20318"/>
    </row>
    <row r="20319" spans="10:10" x14ac:dyDescent="0.3">
      <c r="J20319"/>
    </row>
    <row r="20320" spans="10:10" x14ac:dyDescent="0.3">
      <c r="J20320"/>
    </row>
    <row r="20321" spans="10:10" x14ac:dyDescent="0.3">
      <c r="J20321"/>
    </row>
    <row r="20322" spans="10:10" x14ac:dyDescent="0.3">
      <c r="J20322"/>
    </row>
    <row r="20323" spans="10:10" x14ac:dyDescent="0.3">
      <c r="J20323"/>
    </row>
    <row r="20324" spans="10:10" x14ac:dyDescent="0.3">
      <c r="J20324"/>
    </row>
    <row r="20325" spans="10:10" x14ac:dyDescent="0.3">
      <c r="J20325"/>
    </row>
    <row r="20326" spans="10:10" x14ac:dyDescent="0.3">
      <c r="J20326"/>
    </row>
    <row r="20327" spans="10:10" x14ac:dyDescent="0.3">
      <c r="J20327"/>
    </row>
    <row r="20328" spans="10:10" x14ac:dyDescent="0.3">
      <c r="J20328"/>
    </row>
    <row r="20329" spans="10:10" x14ac:dyDescent="0.3">
      <c r="J20329"/>
    </row>
    <row r="20330" spans="10:10" x14ac:dyDescent="0.3">
      <c r="J20330"/>
    </row>
    <row r="20331" spans="10:10" x14ac:dyDescent="0.3">
      <c r="J20331"/>
    </row>
    <row r="20332" spans="10:10" x14ac:dyDescent="0.3">
      <c r="J20332"/>
    </row>
    <row r="20333" spans="10:10" x14ac:dyDescent="0.3">
      <c r="J20333"/>
    </row>
    <row r="20334" spans="10:10" x14ac:dyDescent="0.3">
      <c r="J20334"/>
    </row>
    <row r="20335" spans="10:10" x14ac:dyDescent="0.3">
      <c r="J20335"/>
    </row>
    <row r="20336" spans="10:10" x14ac:dyDescent="0.3">
      <c r="J20336"/>
    </row>
    <row r="20337" spans="10:10" x14ac:dyDescent="0.3">
      <c r="J20337"/>
    </row>
    <row r="20338" spans="10:10" x14ac:dyDescent="0.3">
      <c r="J20338"/>
    </row>
    <row r="20339" spans="10:10" x14ac:dyDescent="0.3">
      <c r="J20339"/>
    </row>
    <row r="20340" spans="10:10" x14ac:dyDescent="0.3">
      <c r="J20340"/>
    </row>
    <row r="20341" spans="10:10" x14ac:dyDescent="0.3">
      <c r="J20341"/>
    </row>
    <row r="20342" spans="10:10" x14ac:dyDescent="0.3">
      <c r="J20342"/>
    </row>
    <row r="20343" spans="10:10" x14ac:dyDescent="0.3">
      <c r="J20343"/>
    </row>
    <row r="20344" spans="10:10" x14ac:dyDescent="0.3">
      <c r="J20344"/>
    </row>
    <row r="20345" spans="10:10" x14ac:dyDescent="0.3">
      <c r="J20345"/>
    </row>
    <row r="20346" spans="10:10" x14ac:dyDescent="0.3">
      <c r="J20346"/>
    </row>
    <row r="20347" spans="10:10" x14ac:dyDescent="0.3">
      <c r="J20347"/>
    </row>
    <row r="20348" spans="10:10" x14ac:dyDescent="0.3">
      <c r="J20348"/>
    </row>
    <row r="20349" spans="10:10" x14ac:dyDescent="0.3">
      <c r="J20349"/>
    </row>
    <row r="20350" spans="10:10" x14ac:dyDescent="0.3">
      <c r="J20350"/>
    </row>
    <row r="20351" spans="10:10" x14ac:dyDescent="0.3">
      <c r="J20351"/>
    </row>
    <row r="20352" spans="10:10" x14ac:dyDescent="0.3">
      <c r="J20352"/>
    </row>
    <row r="20353" spans="10:10" x14ac:dyDescent="0.3">
      <c r="J20353"/>
    </row>
    <row r="20354" spans="10:10" x14ac:dyDescent="0.3">
      <c r="J20354"/>
    </row>
    <row r="20355" spans="10:10" x14ac:dyDescent="0.3">
      <c r="J20355"/>
    </row>
    <row r="20356" spans="10:10" x14ac:dyDescent="0.3">
      <c r="J20356"/>
    </row>
    <row r="20357" spans="10:10" x14ac:dyDescent="0.3">
      <c r="J20357"/>
    </row>
    <row r="20358" spans="10:10" x14ac:dyDescent="0.3">
      <c r="J20358"/>
    </row>
    <row r="20359" spans="10:10" x14ac:dyDescent="0.3">
      <c r="J20359"/>
    </row>
    <row r="20360" spans="10:10" x14ac:dyDescent="0.3">
      <c r="J20360"/>
    </row>
    <row r="20361" spans="10:10" x14ac:dyDescent="0.3">
      <c r="J20361"/>
    </row>
    <row r="20362" spans="10:10" x14ac:dyDescent="0.3">
      <c r="J20362"/>
    </row>
    <row r="20363" spans="10:10" x14ac:dyDescent="0.3">
      <c r="J20363"/>
    </row>
    <row r="20364" spans="10:10" x14ac:dyDescent="0.3">
      <c r="J20364"/>
    </row>
    <row r="20365" spans="10:10" x14ac:dyDescent="0.3">
      <c r="J20365"/>
    </row>
    <row r="20366" spans="10:10" x14ac:dyDescent="0.3">
      <c r="J20366"/>
    </row>
    <row r="20367" spans="10:10" x14ac:dyDescent="0.3">
      <c r="J20367"/>
    </row>
    <row r="20368" spans="10:10" x14ac:dyDescent="0.3">
      <c r="J20368"/>
    </row>
    <row r="20369" spans="10:10" x14ac:dyDescent="0.3">
      <c r="J20369"/>
    </row>
    <row r="20370" spans="10:10" x14ac:dyDescent="0.3">
      <c r="J20370"/>
    </row>
    <row r="20371" spans="10:10" x14ac:dyDescent="0.3">
      <c r="J20371"/>
    </row>
    <row r="20372" spans="10:10" x14ac:dyDescent="0.3">
      <c r="J20372"/>
    </row>
    <row r="20373" spans="10:10" x14ac:dyDescent="0.3">
      <c r="J20373"/>
    </row>
    <row r="20374" spans="10:10" x14ac:dyDescent="0.3">
      <c r="J20374"/>
    </row>
    <row r="20375" spans="10:10" x14ac:dyDescent="0.3">
      <c r="J20375"/>
    </row>
    <row r="20376" spans="10:10" x14ac:dyDescent="0.3">
      <c r="J20376"/>
    </row>
    <row r="20377" spans="10:10" x14ac:dyDescent="0.3">
      <c r="J20377"/>
    </row>
    <row r="20378" spans="10:10" x14ac:dyDescent="0.3">
      <c r="J20378"/>
    </row>
    <row r="20379" spans="10:10" x14ac:dyDescent="0.3">
      <c r="J20379"/>
    </row>
    <row r="20380" spans="10:10" x14ac:dyDescent="0.3">
      <c r="J20380"/>
    </row>
    <row r="20381" spans="10:10" x14ac:dyDescent="0.3">
      <c r="J20381"/>
    </row>
    <row r="20382" spans="10:10" x14ac:dyDescent="0.3">
      <c r="J20382"/>
    </row>
    <row r="20383" spans="10:10" x14ac:dyDescent="0.3">
      <c r="J20383"/>
    </row>
    <row r="20384" spans="10:10" x14ac:dyDescent="0.3">
      <c r="J20384"/>
    </row>
    <row r="20385" spans="10:10" x14ac:dyDescent="0.3">
      <c r="J20385"/>
    </row>
    <row r="20386" spans="10:10" x14ac:dyDescent="0.3">
      <c r="J20386"/>
    </row>
    <row r="20387" spans="10:10" x14ac:dyDescent="0.3">
      <c r="J20387"/>
    </row>
    <row r="20388" spans="10:10" x14ac:dyDescent="0.3">
      <c r="J20388"/>
    </row>
    <row r="20389" spans="10:10" x14ac:dyDescent="0.3">
      <c r="J20389"/>
    </row>
    <row r="20390" spans="10:10" x14ac:dyDescent="0.3">
      <c r="J20390"/>
    </row>
    <row r="20391" spans="10:10" x14ac:dyDescent="0.3">
      <c r="J20391"/>
    </row>
    <row r="20392" spans="10:10" x14ac:dyDescent="0.3">
      <c r="J20392"/>
    </row>
    <row r="20393" spans="10:10" x14ac:dyDescent="0.3">
      <c r="J20393"/>
    </row>
    <row r="20394" spans="10:10" x14ac:dyDescent="0.3">
      <c r="J20394"/>
    </row>
    <row r="20395" spans="10:10" x14ac:dyDescent="0.3">
      <c r="J20395"/>
    </row>
    <row r="20396" spans="10:10" x14ac:dyDescent="0.3">
      <c r="J20396"/>
    </row>
    <row r="20397" spans="10:10" x14ac:dyDescent="0.3">
      <c r="J20397"/>
    </row>
    <row r="20398" spans="10:10" x14ac:dyDescent="0.3">
      <c r="J20398"/>
    </row>
    <row r="20399" spans="10:10" x14ac:dyDescent="0.3">
      <c r="J20399"/>
    </row>
    <row r="20400" spans="10:10" x14ac:dyDescent="0.3">
      <c r="J20400"/>
    </row>
    <row r="20401" spans="10:10" x14ac:dyDescent="0.3">
      <c r="J20401"/>
    </row>
    <row r="20402" spans="10:10" x14ac:dyDescent="0.3">
      <c r="J20402"/>
    </row>
    <row r="20403" spans="10:10" x14ac:dyDescent="0.3">
      <c r="J20403"/>
    </row>
    <row r="20404" spans="10:10" x14ac:dyDescent="0.3">
      <c r="J20404"/>
    </row>
    <row r="20405" spans="10:10" x14ac:dyDescent="0.3">
      <c r="J20405"/>
    </row>
    <row r="20406" spans="10:10" x14ac:dyDescent="0.3">
      <c r="J20406"/>
    </row>
    <row r="20407" spans="10:10" x14ac:dyDescent="0.3">
      <c r="J20407"/>
    </row>
    <row r="20408" spans="10:10" x14ac:dyDescent="0.3">
      <c r="J20408"/>
    </row>
    <row r="20409" spans="10:10" x14ac:dyDescent="0.3">
      <c r="J20409"/>
    </row>
    <row r="20410" spans="10:10" x14ac:dyDescent="0.3">
      <c r="J20410"/>
    </row>
    <row r="20411" spans="10:10" x14ac:dyDescent="0.3">
      <c r="J20411"/>
    </row>
    <row r="20412" spans="10:10" x14ac:dyDescent="0.3">
      <c r="J20412"/>
    </row>
    <row r="20413" spans="10:10" x14ac:dyDescent="0.3">
      <c r="J20413"/>
    </row>
    <row r="20414" spans="10:10" x14ac:dyDescent="0.3">
      <c r="J20414"/>
    </row>
    <row r="20415" spans="10:10" x14ac:dyDescent="0.3">
      <c r="J20415"/>
    </row>
    <row r="20416" spans="10:10" x14ac:dyDescent="0.3">
      <c r="J20416"/>
    </row>
    <row r="20417" spans="10:10" x14ac:dyDescent="0.3">
      <c r="J20417"/>
    </row>
    <row r="20418" spans="10:10" x14ac:dyDescent="0.3">
      <c r="J20418"/>
    </row>
    <row r="20419" spans="10:10" x14ac:dyDescent="0.3">
      <c r="J20419"/>
    </row>
    <row r="20420" spans="10:10" x14ac:dyDescent="0.3">
      <c r="J20420"/>
    </row>
    <row r="20421" spans="10:10" x14ac:dyDescent="0.3">
      <c r="J20421"/>
    </row>
    <row r="20422" spans="10:10" x14ac:dyDescent="0.3">
      <c r="J20422"/>
    </row>
    <row r="20423" spans="10:10" x14ac:dyDescent="0.3">
      <c r="J20423"/>
    </row>
    <row r="20424" spans="10:10" x14ac:dyDescent="0.3">
      <c r="J20424"/>
    </row>
    <row r="20425" spans="10:10" x14ac:dyDescent="0.3">
      <c r="J20425"/>
    </row>
    <row r="20426" spans="10:10" x14ac:dyDescent="0.3">
      <c r="J20426"/>
    </row>
    <row r="20427" spans="10:10" x14ac:dyDescent="0.3">
      <c r="J20427"/>
    </row>
    <row r="20428" spans="10:10" x14ac:dyDescent="0.3">
      <c r="J20428"/>
    </row>
    <row r="20429" spans="10:10" x14ac:dyDescent="0.3">
      <c r="J20429"/>
    </row>
    <row r="20430" spans="10:10" x14ac:dyDescent="0.3">
      <c r="J20430"/>
    </row>
    <row r="20431" spans="10:10" x14ac:dyDescent="0.3">
      <c r="J20431"/>
    </row>
    <row r="20432" spans="10:10" x14ac:dyDescent="0.3">
      <c r="J20432"/>
    </row>
    <row r="20433" spans="10:10" x14ac:dyDescent="0.3">
      <c r="J20433"/>
    </row>
    <row r="20434" spans="10:10" x14ac:dyDescent="0.3">
      <c r="J20434"/>
    </row>
    <row r="20435" spans="10:10" x14ac:dyDescent="0.3">
      <c r="J20435"/>
    </row>
    <row r="20436" spans="10:10" x14ac:dyDescent="0.3">
      <c r="J20436"/>
    </row>
    <row r="20437" spans="10:10" x14ac:dyDescent="0.3">
      <c r="J20437"/>
    </row>
    <row r="20438" spans="10:10" x14ac:dyDescent="0.3">
      <c r="J20438"/>
    </row>
    <row r="20439" spans="10:10" x14ac:dyDescent="0.3">
      <c r="J20439"/>
    </row>
    <row r="20440" spans="10:10" x14ac:dyDescent="0.3">
      <c r="J20440"/>
    </row>
    <row r="20441" spans="10:10" x14ac:dyDescent="0.3">
      <c r="J20441"/>
    </row>
    <row r="20442" spans="10:10" x14ac:dyDescent="0.3">
      <c r="J20442"/>
    </row>
    <row r="20443" spans="10:10" x14ac:dyDescent="0.3">
      <c r="J20443"/>
    </row>
    <row r="20444" spans="10:10" x14ac:dyDescent="0.3">
      <c r="J20444"/>
    </row>
    <row r="20445" spans="10:10" x14ac:dyDescent="0.3">
      <c r="J20445"/>
    </row>
    <row r="20446" spans="10:10" x14ac:dyDescent="0.3">
      <c r="J20446"/>
    </row>
    <row r="20447" spans="10:10" x14ac:dyDescent="0.3">
      <c r="J20447"/>
    </row>
    <row r="20448" spans="10:10" x14ac:dyDescent="0.3">
      <c r="J20448"/>
    </row>
    <row r="20449" spans="10:10" x14ac:dyDescent="0.3">
      <c r="J20449"/>
    </row>
    <row r="20450" spans="10:10" x14ac:dyDescent="0.3">
      <c r="J20450"/>
    </row>
    <row r="20451" spans="10:10" x14ac:dyDescent="0.3">
      <c r="J20451"/>
    </row>
    <row r="20452" spans="10:10" x14ac:dyDescent="0.3">
      <c r="J20452"/>
    </row>
    <row r="20453" spans="10:10" x14ac:dyDescent="0.3">
      <c r="J20453"/>
    </row>
    <row r="20454" spans="10:10" x14ac:dyDescent="0.3">
      <c r="J20454"/>
    </row>
    <row r="20455" spans="10:10" x14ac:dyDescent="0.3">
      <c r="J20455"/>
    </row>
    <row r="20456" spans="10:10" x14ac:dyDescent="0.3">
      <c r="J20456"/>
    </row>
    <row r="20457" spans="10:10" x14ac:dyDescent="0.3">
      <c r="J20457"/>
    </row>
    <row r="20458" spans="10:10" x14ac:dyDescent="0.3">
      <c r="J20458"/>
    </row>
    <row r="20459" spans="10:10" x14ac:dyDescent="0.3">
      <c r="J20459"/>
    </row>
    <row r="20460" spans="10:10" x14ac:dyDescent="0.3">
      <c r="J20460"/>
    </row>
    <row r="20461" spans="10:10" x14ac:dyDescent="0.3">
      <c r="J20461"/>
    </row>
    <row r="20462" spans="10:10" x14ac:dyDescent="0.3">
      <c r="J20462"/>
    </row>
    <row r="20463" spans="10:10" x14ac:dyDescent="0.3">
      <c r="J20463"/>
    </row>
    <row r="20464" spans="10:10" x14ac:dyDescent="0.3">
      <c r="J20464"/>
    </row>
    <row r="20465" spans="10:10" x14ac:dyDescent="0.3">
      <c r="J20465"/>
    </row>
    <row r="20466" spans="10:10" x14ac:dyDescent="0.3">
      <c r="J20466"/>
    </row>
    <row r="20467" spans="10:10" x14ac:dyDescent="0.3">
      <c r="J20467"/>
    </row>
    <row r="20468" spans="10:10" x14ac:dyDescent="0.3">
      <c r="J20468"/>
    </row>
    <row r="20469" spans="10:10" x14ac:dyDescent="0.3">
      <c r="J20469"/>
    </row>
    <row r="20470" spans="10:10" x14ac:dyDescent="0.3">
      <c r="J20470"/>
    </row>
    <row r="20471" spans="10:10" x14ac:dyDescent="0.3">
      <c r="J20471"/>
    </row>
    <row r="20472" spans="10:10" x14ac:dyDescent="0.3">
      <c r="J20472"/>
    </row>
    <row r="20473" spans="10:10" x14ac:dyDescent="0.3">
      <c r="J20473"/>
    </row>
    <row r="20474" spans="10:10" x14ac:dyDescent="0.3">
      <c r="J20474"/>
    </row>
    <row r="20475" spans="10:10" x14ac:dyDescent="0.3">
      <c r="J20475"/>
    </row>
    <row r="20476" spans="10:10" x14ac:dyDescent="0.3">
      <c r="J20476"/>
    </row>
    <row r="20477" spans="10:10" x14ac:dyDescent="0.3">
      <c r="J20477"/>
    </row>
    <row r="20478" spans="10:10" x14ac:dyDescent="0.3">
      <c r="J20478"/>
    </row>
    <row r="20479" spans="10:10" x14ac:dyDescent="0.3">
      <c r="J20479"/>
    </row>
    <row r="20480" spans="10:10" x14ac:dyDescent="0.3">
      <c r="J20480"/>
    </row>
    <row r="20481" spans="10:10" x14ac:dyDescent="0.3">
      <c r="J20481"/>
    </row>
    <row r="20482" spans="10:10" x14ac:dyDescent="0.3">
      <c r="J20482"/>
    </row>
    <row r="20483" spans="10:10" x14ac:dyDescent="0.3">
      <c r="J20483"/>
    </row>
    <row r="20484" spans="10:10" x14ac:dyDescent="0.3">
      <c r="J20484"/>
    </row>
    <row r="20485" spans="10:10" x14ac:dyDescent="0.3">
      <c r="J20485"/>
    </row>
    <row r="20486" spans="10:10" x14ac:dyDescent="0.3">
      <c r="J20486"/>
    </row>
    <row r="20487" spans="10:10" x14ac:dyDescent="0.3">
      <c r="J20487"/>
    </row>
    <row r="20488" spans="10:10" x14ac:dyDescent="0.3">
      <c r="J20488"/>
    </row>
    <row r="20489" spans="10:10" x14ac:dyDescent="0.3">
      <c r="J20489"/>
    </row>
    <row r="20490" spans="10:10" x14ac:dyDescent="0.3">
      <c r="J20490"/>
    </row>
    <row r="20491" spans="10:10" x14ac:dyDescent="0.3">
      <c r="J20491"/>
    </row>
    <row r="20492" spans="10:10" x14ac:dyDescent="0.3">
      <c r="J20492"/>
    </row>
    <row r="20493" spans="10:10" x14ac:dyDescent="0.3">
      <c r="J20493"/>
    </row>
    <row r="20494" spans="10:10" x14ac:dyDescent="0.3">
      <c r="J20494"/>
    </row>
    <row r="20495" spans="10:10" x14ac:dyDescent="0.3">
      <c r="J20495"/>
    </row>
    <row r="20496" spans="10:10" x14ac:dyDescent="0.3">
      <c r="J20496"/>
    </row>
    <row r="20497" spans="10:10" x14ac:dyDescent="0.3">
      <c r="J20497"/>
    </row>
    <row r="20498" spans="10:10" x14ac:dyDescent="0.3">
      <c r="J20498"/>
    </row>
    <row r="20499" spans="10:10" x14ac:dyDescent="0.3">
      <c r="J20499"/>
    </row>
    <row r="20500" spans="10:10" x14ac:dyDescent="0.3">
      <c r="J20500"/>
    </row>
    <row r="20501" spans="10:10" x14ac:dyDescent="0.3">
      <c r="J20501"/>
    </row>
    <row r="20502" spans="10:10" x14ac:dyDescent="0.3">
      <c r="J20502"/>
    </row>
    <row r="20503" spans="10:10" x14ac:dyDescent="0.3">
      <c r="J20503"/>
    </row>
    <row r="20504" spans="10:10" x14ac:dyDescent="0.3">
      <c r="J20504"/>
    </row>
    <row r="20505" spans="10:10" x14ac:dyDescent="0.3">
      <c r="J20505"/>
    </row>
    <row r="20506" spans="10:10" x14ac:dyDescent="0.3">
      <c r="J20506"/>
    </row>
    <row r="20507" spans="10:10" x14ac:dyDescent="0.3">
      <c r="J20507"/>
    </row>
    <row r="20508" spans="10:10" x14ac:dyDescent="0.3">
      <c r="J20508"/>
    </row>
    <row r="20509" spans="10:10" x14ac:dyDescent="0.3">
      <c r="J20509"/>
    </row>
    <row r="20510" spans="10:10" x14ac:dyDescent="0.3">
      <c r="J20510"/>
    </row>
    <row r="20511" spans="10:10" x14ac:dyDescent="0.3">
      <c r="J20511"/>
    </row>
    <row r="20512" spans="10:10" x14ac:dyDescent="0.3">
      <c r="J20512"/>
    </row>
    <row r="20513" spans="10:10" x14ac:dyDescent="0.3">
      <c r="J20513"/>
    </row>
    <row r="20514" spans="10:10" x14ac:dyDescent="0.3">
      <c r="J20514"/>
    </row>
    <row r="20515" spans="10:10" x14ac:dyDescent="0.3">
      <c r="J20515"/>
    </row>
    <row r="20516" spans="10:10" x14ac:dyDescent="0.3">
      <c r="J20516"/>
    </row>
    <row r="20517" spans="10:10" x14ac:dyDescent="0.3">
      <c r="J20517"/>
    </row>
    <row r="20518" spans="10:10" x14ac:dyDescent="0.3">
      <c r="J20518"/>
    </row>
    <row r="20519" spans="10:10" x14ac:dyDescent="0.3">
      <c r="J20519"/>
    </row>
    <row r="20520" spans="10:10" x14ac:dyDescent="0.3">
      <c r="J20520"/>
    </row>
    <row r="20521" spans="10:10" x14ac:dyDescent="0.3">
      <c r="J20521"/>
    </row>
    <row r="20522" spans="10:10" x14ac:dyDescent="0.3">
      <c r="J20522"/>
    </row>
    <row r="20523" spans="10:10" x14ac:dyDescent="0.3">
      <c r="J20523"/>
    </row>
    <row r="20524" spans="10:10" x14ac:dyDescent="0.3">
      <c r="J20524"/>
    </row>
    <row r="20525" spans="10:10" x14ac:dyDescent="0.3">
      <c r="J20525"/>
    </row>
    <row r="20526" spans="10:10" x14ac:dyDescent="0.3">
      <c r="J20526"/>
    </row>
    <row r="20527" spans="10:10" x14ac:dyDescent="0.3">
      <c r="J20527"/>
    </row>
    <row r="20528" spans="10:10" x14ac:dyDescent="0.3">
      <c r="J20528"/>
    </row>
    <row r="20529" spans="10:10" x14ac:dyDescent="0.3">
      <c r="J20529"/>
    </row>
    <row r="20530" spans="10:10" x14ac:dyDescent="0.3">
      <c r="J20530"/>
    </row>
    <row r="20531" spans="10:10" x14ac:dyDescent="0.3">
      <c r="J20531"/>
    </row>
    <row r="20532" spans="10:10" x14ac:dyDescent="0.3">
      <c r="J20532"/>
    </row>
    <row r="20533" spans="10:10" x14ac:dyDescent="0.3">
      <c r="J20533"/>
    </row>
    <row r="20534" spans="10:10" x14ac:dyDescent="0.3">
      <c r="J20534"/>
    </row>
    <row r="20535" spans="10:10" x14ac:dyDescent="0.3">
      <c r="J20535"/>
    </row>
    <row r="20536" spans="10:10" x14ac:dyDescent="0.3">
      <c r="J20536"/>
    </row>
    <row r="20537" spans="10:10" x14ac:dyDescent="0.3">
      <c r="J20537"/>
    </row>
    <row r="20538" spans="10:10" x14ac:dyDescent="0.3">
      <c r="J20538"/>
    </row>
    <row r="20539" spans="10:10" x14ac:dyDescent="0.3">
      <c r="J20539"/>
    </row>
    <row r="20540" spans="10:10" x14ac:dyDescent="0.3">
      <c r="J20540"/>
    </row>
    <row r="20541" spans="10:10" x14ac:dyDescent="0.3">
      <c r="J20541"/>
    </row>
    <row r="20542" spans="10:10" x14ac:dyDescent="0.3">
      <c r="J20542"/>
    </row>
    <row r="20543" spans="10:10" x14ac:dyDescent="0.3">
      <c r="J20543"/>
    </row>
    <row r="20544" spans="10:10" x14ac:dyDescent="0.3">
      <c r="J20544"/>
    </row>
    <row r="20545" spans="10:10" x14ac:dyDescent="0.3">
      <c r="J20545"/>
    </row>
    <row r="20546" spans="10:10" x14ac:dyDescent="0.3">
      <c r="J20546"/>
    </row>
    <row r="20547" spans="10:10" x14ac:dyDescent="0.3">
      <c r="J20547"/>
    </row>
    <row r="20548" spans="10:10" x14ac:dyDescent="0.3">
      <c r="J20548"/>
    </row>
    <row r="20549" spans="10:10" x14ac:dyDescent="0.3">
      <c r="J20549"/>
    </row>
    <row r="20550" spans="10:10" x14ac:dyDescent="0.3">
      <c r="J20550"/>
    </row>
    <row r="20551" spans="10:10" x14ac:dyDescent="0.3">
      <c r="J20551"/>
    </row>
    <row r="20552" spans="10:10" x14ac:dyDescent="0.3">
      <c r="J20552"/>
    </row>
    <row r="20553" spans="10:10" x14ac:dyDescent="0.3">
      <c r="J20553"/>
    </row>
    <row r="20554" spans="10:10" x14ac:dyDescent="0.3">
      <c r="J20554"/>
    </row>
    <row r="20555" spans="10:10" x14ac:dyDescent="0.3">
      <c r="J20555"/>
    </row>
    <row r="20556" spans="10:10" x14ac:dyDescent="0.3">
      <c r="J20556"/>
    </row>
    <row r="20557" spans="10:10" x14ac:dyDescent="0.3">
      <c r="J20557"/>
    </row>
    <row r="20558" spans="10:10" x14ac:dyDescent="0.3">
      <c r="J20558"/>
    </row>
    <row r="20559" spans="10:10" x14ac:dyDescent="0.3">
      <c r="J20559"/>
    </row>
    <row r="20560" spans="10:10" x14ac:dyDescent="0.3">
      <c r="J20560"/>
    </row>
    <row r="20561" spans="10:10" x14ac:dyDescent="0.3">
      <c r="J20561"/>
    </row>
    <row r="20562" spans="10:10" x14ac:dyDescent="0.3">
      <c r="J20562"/>
    </row>
    <row r="20563" spans="10:10" x14ac:dyDescent="0.3">
      <c r="J20563"/>
    </row>
    <row r="20564" spans="10:10" x14ac:dyDescent="0.3">
      <c r="J20564"/>
    </row>
    <row r="20565" spans="10:10" x14ac:dyDescent="0.3">
      <c r="J20565"/>
    </row>
    <row r="20566" spans="10:10" x14ac:dyDescent="0.3">
      <c r="J20566"/>
    </row>
    <row r="20567" spans="10:10" x14ac:dyDescent="0.3">
      <c r="J20567"/>
    </row>
    <row r="20568" spans="10:10" x14ac:dyDescent="0.3">
      <c r="J20568"/>
    </row>
    <row r="20569" spans="10:10" x14ac:dyDescent="0.3">
      <c r="J20569"/>
    </row>
    <row r="20570" spans="10:10" x14ac:dyDescent="0.3">
      <c r="J20570"/>
    </row>
    <row r="20571" spans="10:10" x14ac:dyDescent="0.3">
      <c r="J20571"/>
    </row>
    <row r="20572" spans="10:10" x14ac:dyDescent="0.3">
      <c r="J20572"/>
    </row>
    <row r="20573" spans="10:10" x14ac:dyDescent="0.3">
      <c r="J20573"/>
    </row>
    <row r="20574" spans="10:10" x14ac:dyDescent="0.3">
      <c r="J20574"/>
    </row>
    <row r="20575" spans="10:10" x14ac:dyDescent="0.3">
      <c r="J20575"/>
    </row>
    <row r="20576" spans="10:10" x14ac:dyDescent="0.3">
      <c r="J20576"/>
    </row>
    <row r="20577" spans="10:10" x14ac:dyDescent="0.3">
      <c r="J20577"/>
    </row>
    <row r="20578" spans="10:10" x14ac:dyDescent="0.3">
      <c r="J20578"/>
    </row>
    <row r="20579" spans="10:10" x14ac:dyDescent="0.3">
      <c r="J20579"/>
    </row>
    <row r="20580" spans="10:10" x14ac:dyDescent="0.3">
      <c r="J20580"/>
    </row>
    <row r="20581" spans="10:10" x14ac:dyDescent="0.3">
      <c r="J20581"/>
    </row>
    <row r="20582" spans="10:10" x14ac:dyDescent="0.3">
      <c r="J20582"/>
    </row>
    <row r="20583" spans="10:10" x14ac:dyDescent="0.3">
      <c r="J20583"/>
    </row>
    <row r="20584" spans="10:10" x14ac:dyDescent="0.3">
      <c r="J20584"/>
    </row>
    <row r="20585" spans="10:10" x14ac:dyDescent="0.3">
      <c r="J20585"/>
    </row>
    <row r="20586" spans="10:10" x14ac:dyDescent="0.3">
      <c r="J20586"/>
    </row>
    <row r="20587" spans="10:10" x14ac:dyDescent="0.3">
      <c r="J20587"/>
    </row>
    <row r="20588" spans="10:10" x14ac:dyDescent="0.3">
      <c r="J20588"/>
    </row>
    <row r="20589" spans="10:10" x14ac:dyDescent="0.3">
      <c r="J20589"/>
    </row>
    <row r="20590" spans="10:10" x14ac:dyDescent="0.3">
      <c r="J20590"/>
    </row>
    <row r="20591" spans="10:10" x14ac:dyDescent="0.3">
      <c r="J20591"/>
    </row>
    <row r="20592" spans="10:10" x14ac:dyDescent="0.3">
      <c r="J20592"/>
    </row>
    <row r="20593" spans="10:10" x14ac:dyDescent="0.3">
      <c r="J20593"/>
    </row>
    <row r="20594" spans="10:10" x14ac:dyDescent="0.3">
      <c r="J20594"/>
    </row>
    <row r="20595" spans="10:10" x14ac:dyDescent="0.3">
      <c r="J20595"/>
    </row>
    <row r="20596" spans="10:10" x14ac:dyDescent="0.3">
      <c r="J20596"/>
    </row>
    <row r="20597" spans="10:10" x14ac:dyDescent="0.3">
      <c r="J20597"/>
    </row>
    <row r="20598" spans="10:10" x14ac:dyDescent="0.3">
      <c r="J20598"/>
    </row>
    <row r="20599" spans="10:10" x14ac:dyDescent="0.3">
      <c r="J20599"/>
    </row>
    <row r="20600" spans="10:10" x14ac:dyDescent="0.3">
      <c r="J20600"/>
    </row>
    <row r="20601" spans="10:10" x14ac:dyDescent="0.3">
      <c r="J20601"/>
    </row>
    <row r="20602" spans="10:10" x14ac:dyDescent="0.3">
      <c r="J20602"/>
    </row>
    <row r="20603" spans="10:10" x14ac:dyDescent="0.3">
      <c r="J20603"/>
    </row>
    <row r="20604" spans="10:10" x14ac:dyDescent="0.3">
      <c r="J20604"/>
    </row>
    <row r="20605" spans="10:10" x14ac:dyDescent="0.3">
      <c r="J20605"/>
    </row>
    <row r="20606" spans="10:10" x14ac:dyDescent="0.3">
      <c r="J20606"/>
    </row>
    <row r="20607" spans="10:10" x14ac:dyDescent="0.3">
      <c r="J20607"/>
    </row>
    <row r="20608" spans="10:10" x14ac:dyDescent="0.3">
      <c r="J20608"/>
    </row>
    <row r="20609" spans="10:10" x14ac:dyDescent="0.3">
      <c r="J20609"/>
    </row>
    <row r="20610" spans="10:10" x14ac:dyDescent="0.3">
      <c r="J20610"/>
    </row>
    <row r="20611" spans="10:10" x14ac:dyDescent="0.3">
      <c r="J20611"/>
    </row>
    <row r="20612" spans="10:10" x14ac:dyDescent="0.3">
      <c r="J20612"/>
    </row>
    <row r="20613" spans="10:10" x14ac:dyDescent="0.3">
      <c r="J20613"/>
    </row>
    <row r="20614" spans="10:10" x14ac:dyDescent="0.3">
      <c r="J20614"/>
    </row>
    <row r="20615" spans="10:10" x14ac:dyDescent="0.3">
      <c r="J20615"/>
    </row>
    <row r="20616" spans="10:10" x14ac:dyDescent="0.3">
      <c r="J20616"/>
    </row>
    <row r="20617" spans="10:10" x14ac:dyDescent="0.3">
      <c r="J20617"/>
    </row>
    <row r="20618" spans="10:10" x14ac:dyDescent="0.3">
      <c r="J20618"/>
    </row>
    <row r="20619" spans="10:10" x14ac:dyDescent="0.3">
      <c r="J20619"/>
    </row>
    <row r="20620" spans="10:10" x14ac:dyDescent="0.3">
      <c r="J20620"/>
    </row>
    <row r="20621" spans="10:10" x14ac:dyDescent="0.3">
      <c r="J20621"/>
    </row>
    <row r="20622" spans="10:10" x14ac:dyDescent="0.3">
      <c r="J20622"/>
    </row>
    <row r="20623" spans="10:10" x14ac:dyDescent="0.3">
      <c r="J20623"/>
    </row>
    <row r="20624" spans="10:10" x14ac:dyDescent="0.3">
      <c r="J20624"/>
    </row>
    <row r="20625" spans="10:10" x14ac:dyDescent="0.3">
      <c r="J20625"/>
    </row>
    <row r="20626" spans="10:10" x14ac:dyDescent="0.3">
      <c r="J20626"/>
    </row>
    <row r="20627" spans="10:10" x14ac:dyDescent="0.3">
      <c r="J20627"/>
    </row>
    <row r="20628" spans="10:10" x14ac:dyDescent="0.3">
      <c r="J20628"/>
    </row>
    <row r="20629" spans="10:10" x14ac:dyDescent="0.3">
      <c r="J20629"/>
    </row>
    <row r="20630" spans="10:10" x14ac:dyDescent="0.3">
      <c r="J20630"/>
    </row>
    <row r="20631" spans="10:10" x14ac:dyDescent="0.3">
      <c r="J20631"/>
    </row>
    <row r="20632" spans="10:10" x14ac:dyDescent="0.3">
      <c r="J20632"/>
    </row>
    <row r="20633" spans="10:10" x14ac:dyDescent="0.3">
      <c r="J20633"/>
    </row>
    <row r="20634" spans="10:10" x14ac:dyDescent="0.3">
      <c r="J20634"/>
    </row>
    <row r="20635" spans="10:10" x14ac:dyDescent="0.3">
      <c r="J20635"/>
    </row>
    <row r="20636" spans="10:10" x14ac:dyDescent="0.3">
      <c r="J20636"/>
    </row>
    <row r="20637" spans="10:10" x14ac:dyDescent="0.3">
      <c r="J20637"/>
    </row>
    <row r="20638" spans="10:10" x14ac:dyDescent="0.3">
      <c r="J20638"/>
    </row>
    <row r="20639" spans="10:10" x14ac:dyDescent="0.3">
      <c r="J20639"/>
    </row>
    <row r="20640" spans="10:10" x14ac:dyDescent="0.3">
      <c r="J20640"/>
    </row>
    <row r="20641" spans="10:10" x14ac:dyDescent="0.3">
      <c r="J20641"/>
    </row>
    <row r="20642" spans="10:10" x14ac:dyDescent="0.3">
      <c r="J20642"/>
    </row>
    <row r="20643" spans="10:10" x14ac:dyDescent="0.3">
      <c r="J20643"/>
    </row>
    <row r="20644" spans="10:10" x14ac:dyDescent="0.3">
      <c r="J20644"/>
    </row>
    <row r="20645" spans="10:10" x14ac:dyDescent="0.3">
      <c r="J20645"/>
    </row>
    <row r="20646" spans="10:10" x14ac:dyDescent="0.3">
      <c r="J20646"/>
    </row>
    <row r="20647" spans="10:10" x14ac:dyDescent="0.3">
      <c r="J20647"/>
    </row>
    <row r="20648" spans="10:10" x14ac:dyDescent="0.3">
      <c r="J20648"/>
    </row>
    <row r="20649" spans="10:10" x14ac:dyDescent="0.3">
      <c r="J20649"/>
    </row>
    <row r="20650" spans="10:10" x14ac:dyDescent="0.3">
      <c r="J20650"/>
    </row>
    <row r="20651" spans="10:10" x14ac:dyDescent="0.3">
      <c r="J20651"/>
    </row>
    <row r="20652" spans="10:10" x14ac:dyDescent="0.3">
      <c r="J20652"/>
    </row>
    <row r="20653" spans="10:10" x14ac:dyDescent="0.3">
      <c r="J20653"/>
    </row>
    <row r="20654" spans="10:10" x14ac:dyDescent="0.3">
      <c r="J20654"/>
    </row>
    <row r="20655" spans="10:10" x14ac:dyDescent="0.3">
      <c r="J20655"/>
    </row>
    <row r="20656" spans="10:10" x14ac:dyDescent="0.3">
      <c r="J20656"/>
    </row>
    <row r="20657" spans="10:10" x14ac:dyDescent="0.3">
      <c r="J20657"/>
    </row>
    <row r="20658" spans="10:10" x14ac:dyDescent="0.3">
      <c r="J20658"/>
    </row>
    <row r="20659" spans="10:10" x14ac:dyDescent="0.3">
      <c r="J20659"/>
    </row>
    <row r="20660" spans="10:10" x14ac:dyDescent="0.3">
      <c r="J20660"/>
    </row>
    <row r="20661" spans="10:10" x14ac:dyDescent="0.3">
      <c r="J20661"/>
    </row>
    <row r="20662" spans="10:10" x14ac:dyDescent="0.3">
      <c r="J20662"/>
    </row>
    <row r="20663" spans="10:10" x14ac:dyDescent="0.3">
      <c r="J20663"/>
    </row>
    <row r="20664" spans="10:10" x14ac:dyDescent="0.3">
      <c r="J20664"/>
    </row>
    <row r="20665" spans="10:10" x14ac:dyDescent="0.3">
      <c r="J20665"/>
    </row>
    <row r="20666" spans="10:10" x14ac:dyDescent="0.3">
      <c r="J20666"/>
    </row>
    <row r="20667" spans="10:10" x14ac:dyDescent="0.3">
      <c r="J20667"/>
    </row>
    <row r="20668" spans="10:10" x14ac:dyDescent="0.3">
      <c r="J20668"/>
    </row>
    <row r="20669" spans="10:10" x14ac:dyDescent="0.3">
      <c r="J20669"/>
    </row>
    <row r="20670" spans="10:10" x14ac:dyDescent="0.3">
      <c r="J20670"/>
    </row>
    <row r="20671" spans="10:10" x14ac:dyDescent="0.3">
      <c r="J20671"/>
    </row>
    <row r="20672" spans="10:10" x14ac:dyDescent="0.3">
      <c r="J20672"/>
    </row>
    <row r="20673" spans="10:10" x14ac:dyDescent="0.3">
      <c r="J20673"/>
    </row>
    <row r="20674" spans="10:10" x14ac:dyDescent="0.3">
      <c r="J20674"/>
    </row>
    <row r="20675" spans="10:10" x14ac:dyDescent="0.3">
      <c r="J20675"/>
    </row>
    <row r="20676" spans="10:10" x14ac:dyDescent="0.3">
      <c r="J20676"/>
    </row>
    <row r="20677" spans="10:10" x14ac:dyDescent="0.3">
      <c r="J20677"/>
    </row>
    <row r="20678" spans="10:10" x14ac:dyDescent="0.3">
      <c r="J20678"/>
    </row>
    <row r="20679" spans="10:10" x14ac:dyDescent="0.3">
      <c r="J20679"/>
    </row>
    <row r="20680" spans="10:10" x14ac:dyDescent="0.3">
      <c r="J20680"/>
    </row>
    <row r="20681" spans="10:10" x14ac:dyDescent="0.3">
      <c r="J20681"/>
    </row>
    <row r="20682" spans="10:10" x14ac:dyDescent="0.3">
      <c r="J20682"/>
    </row>
    <row r="20683" spans="10:10" x14ac:dyDescent="0.3">
      <c r="J20683"/>
    </row>
    <row r="20684" spans="10:10" x14ac:dyDescent="0.3">
      <c r="J20684"/>
    </row>
    <row r="20685" spans="10:10" x14ac:dyDescent="0.3">
      <c r="J20685"/>
    </row>
    <row r="20686" spans="10:10" x14ac:dyDescent="0.3">
      <c r="J20686"/>
    </row>
    <row r="20687" spans="10:10" x14ac:dyDescent="0.3">
      <c r="J20687"/>
    </row>
    <row r="20688" spans="10:10" x14ac:dyDescent="0.3">
      <c r="J20688"/>
    </row>
    <row r="20689" spans="10:10" x14ac:dyDescent="0.3">
      <c r="J20689"/>
    </row>
    <row r="20690" spans="10:10" x14ac:dyDescent="0.3">
      <c r="J20690"/>
    </row>
    <row r="20691" spans="10:10" x14ac:dyDescent="0.3">
      <c r="J20691"/>
    </row>
    <row r="20692" spans="10:10" x14ac:dyDescent="0.3">
      <c r="J20692"/>
    </row>
    <row r="20693" spans="10:10" x14ac:dyDescent="0.3">
      <c r="J20693"/>
    </row>
    <row r="20694" spans="10:10" x14ac:dyDescent="0.3">
      <c r="J20694"/>
    </row>
    <row r="20695" spans="10:10" x14ac:dyDescent="0.3">
      <c r="J20695"/>
    </row>
    <row r="20696" spans="10:10" x14ac:dyDescent="0.3">
      <c r="J20696"/>
    </row>
    <row r="20697" spans="10:10" x14ac:dyDescent="0.3">
      <c r="J20697"/>
    </row>
    <row r="20698" spans="10:10" x14ac:dyDescent="0.3">
      <c r="J20698"/>
    </row>
    <row r="20699" spans="10:10" x14ac:dyDescent="0.3">
      <c r="J20699"/>
    </row>
    <row r="20700" spans="10:10" x14ac:dyDescent="0.3">
      <c r="J20700"/>
    </row>
    <row r="20701" spans="10:10" x14ac:dyDescent="0.3">
      <c r="J20701"/>
    </row>
    <row r="20702" spans="10:10" x14ac:dyDescent="0.3">
      <c r="J20702"/>
    </row>
    <row r="20703" spans="10:10" x14ac:dyDescent="0.3">
      <c r="J20703"/>
    </row>
    <row r="20704" spans="10:10" x14ac:dyDescent="0.3">
      <c r="J20704"/>
    </row>
    <row r="20705" spans="10:10" x14ac:dyDescent="0.3">
      <c r="J20705"/>
    </row>
    <row r="20706" spans="10:10" x14ac:dyDescent="0.3">
      <c r="J20706"/>
    </row>
    <row r="20707" spans="10:10" x14ac:dyDescent="0.3">
      <c r="J20707"/>
    </row>
    <row r="20708" spans="10:10" x14ac:dyDescent="0.3">
      <c r="J20708"/>
    </row>
    <row r="20709" spans="10:10" x14ac:dyDescent="0.3">
      <c r="J20709"/>
    </row>
    <row r="20710" spans="10:10" x14ac:dyDescent="0.3">
      <c r="J20710"/>
    </row>
    <row r="20711" spans="10:10" x14ac:dyDescent="0.3">
      <c r="J20711"/>
    </row>
    <row r="20712" spans="10:10" x14ac:dyDescent="0.3">
      <c r="J20712"/>
    </row>
    <row r="20713" spans="10:10" x14ac:dyDescent="0.3">
      <c r="J20713"/>
    </row>
    <row r="20714" spans="10:10" x14ac:dyDescent="0.3">
      <c r="J20714"/>
    </row>
    <row r="20715" spans="10:10" x14ac:dyDescent="0.3">
      <c r="J20715"/>
    </row>
    <row r="20716" spans="10:10" x14ac:dyDescent="0.3">
      <c r="J20716"/>
    </row>
    <row r="20717" spans="10:10" x14ac:dyDescent="0.3">
      <c r="J20717"/>
    </row>
    <row r="20718" spans="10:10" x14ac:dyDescent="0.3">
      <c r="J20718"/>
    </row>
    <row r="20719" spans="10:10" x14ac:dyDescent="0.3">
      <c r="J20719"/>
    </row>
    <row r="20720" spans="10:10" x14ac:dyDescent="0.3">
      <c r="J20720"/>
    </row>
    <row r="20721" spans="10:10" x14ac:dyDescent="0.3">
      <c r="J20721"/>
    </row>
    <row r="20722" spans="10:10" x14ac:dyDescent="0.3">
      <c r="J20722"/>
    </row>
    <row r="20723" spans="10:10" x14ac:dyDescent="0.3">
      <c r="J20723"/>
    </row>
    <row r="20724" spans="10:10" x14ac:dyDescent="0.3">
      <c r="J20724"/>
    </row>
    <row r="20725" spans="10:10" x14ac:dyDescent="0.3">
      <c r="J20725"/>
    </row>
    <row r="20726" spans="10:10" x14ac:dyDescent="0.3">
      <c r="J20726"/>
    </row>
    <row r="20727" spans="10:10" x14ac:dyDescent="0.3">
      <c r="J20727"/>
    </row>
    <row r="20728" spans="10:10" x14ac:dyDescent="0.3">
      <c r="J20728"/>
    </row>
    <row r="20729" spans="10:10" x14ac:dyDescent="0.3">
      <c r="J20729"/>
    </row>
    <row r="20730" spans="10:10" x14ac:dyDescent="0.3">
      <c r="J20730"/>
    </row>
    <row r="20731" spans="10:10" x14ac:dyDescent="0.3">
      <c r="J20731"/>
    </row>
    <row r="20732" spans="10:10" x14ac:dyDescent="0.3">
      <c r="J20732"/>
    </row>
    <row r="20733" spans="10:10" x14ac:dyDescent="0.3">
      <c r="J20733"/>
    </row>
    <row r="20734" spans="10:10" x14ac:dyDescent="0.3">
      <c r="J20734"/>
    </row>
    <row r="20735" spans="10:10" x14ac:dyDescent="0.3">
      <c r="J20735"/>
    </row>
    <row r="20736" spans="10:10" x14ac:dyDescent="0.3">
      <c r="J20736"/>
    </row>
    <row r="20737" spans="10:10" x14ac:dyDescent="0.3">
      <c r="J20737"/>
    </row>
    <row r="20738" spans="10:10" x14ac:dyDescent="0.3">
      <c r="J20738"/>
    </row>
    <row r="20739" spans="10:10" x14ac:dyDescent="0.3">
      <c r="J20739"/>
    </row>
    <row r="20740" spans="10:10" x14ac:dyDescent="0.3">
      <c r="J20740"/>
    </row>
    <row r="20741" spans="10:10" x14ac:dyDescent="0.3">
      <c r="J20741"/>
    </row>
    <row r="20742" spans="10:10" x14ac:dyDescent="0.3">
      <c r="J20742"/>
    </row>
    <row r="20743" spans="10:10" x14ac:dyDescent="0.3">
      <c r="J20743"/>
    </row>
    <row r="20744" spans="10:10" x14ac:dyDescent="0.3">
      <c r="J20744"/>
    </row>
    <row r="20745" spans="10:10" x14ac:dyDescent="0.3">
      <c r="J20745"/>
    </row>
    <row r="20746" spans="10:10" x14ac:dyDescent="0.3">
      <c r="J20746"/>
    </row>
    <row r="20747" spans="10:10" x14ac:dyDescent="0.3">
      <c r="J20747"/>
    </row>
    <row r="20748" spans="10:10" x14ac:dyDescent="0.3">
      <c r="J20748"/>
    </row>
    <row r="20749" spans="10:10" x14ac:dyDescent="0.3">
      <c r="J20749"/>
    </row>
    <row r="20750" spans="10:10" x14ac:dyDescent="0.3">
      <c r="J20750"/>
    </row>
    <row r="20751" spans="10:10" x14ac:dyDescent="0.3">
      <c r="J20751"/>
    </row>
    <row r="20752" spans="10:10" x14ac:dyDescent="0.3">
      <c r="J20752"/>
    </row>
    <row r="20753" spans="10:10" x14ac:dyDescent="0.3">
      <c r="J20753"/>
    </row>
    <row r="20754" spans="10:10" x14ac:dyDescent="0.3">
      <c r="J20754"/>
    </row>
    <row r="20755" spans="10:10" x14ac:dyDescent="0.3">
      <c r="J20755"/>
    </row>
    <row r="20756" spans="10:10" x14ac:dyDescent="0.3">
      <c r="J20756"/>
    </row>
    <row r="20757" spans="10:10" x14ac:dyDescent="0.3">
      <c r="J20757"/>
    </row>
    <row r="20758" spans="10:10" x14ac:dyDescent="0.3">
      <c r="J20758"/>
    </row>
    <row r="20759" spans="10:10" x14ac:dyDescent="0.3">
      <c r="J20759"/>
    </row>
    <row r="20760" spans="10:10" x14ac:dyDescent="0.3">
      <c r="J20760"/>
    </row>
    <row r="20761" spans="10:10" x14ac:dyDescent="0.3">
      <c r="J20761"/>
    </row>
    <row r="20762" spans="10:10" x14ac:dyDescent="0.3">
      <c r="J20762"/>
    </row>
    <row r="20763" spans="10:10" x14ac:dyDescent="0.3">
      <c r="J20763"/>
    </row>
    <row r="20764" spans="10:10" x14ac:dyDescent="0.3">
      <c r="J20764"/>
    </row>
    <row r="20765" spans="10:10" x14ac:dyDescent="0.3">
      <c r="J20765"/>
    </row>
    <row r="20766" spans="10:10" x14ac:dyDescent="0.3">
      <c r="J20766"/>
    </row>
    <row r="20767" spans="10:10" x14ac:dyDescent="0.3">
      <c r="J20767"/>
    </row>
    <row r="20768" spans="10:10" x14ac:dyDescent="0.3">
      <c r="J20768"/>
    </row>
    <row r="20769" spans="10:10" x14ac:dyDescent="0.3">
      <c r="J20769"/>
    </row>
    <row r="20770" spans="10:10" x14ac:dyDescent="0.3">
      <c r="J20770"/>
    </row>
    <row r="20771" spans="10:10" x14ac:dyDescent="0.3">
      <c r="J20771"/>
    </row>
    <row r="20772" spans="10:10" x14ac:dyDescent="0.3">
      <c r="J20772"/>
    </row>
    <row r="20773" spans="10:10" x14ac:dyDescent="0.3">
      <c r="J20773"/>
    </row>
    <row r="20774" spans="10:10" x14ac:dyDescent="0.3">
      <c r="J20774"/>
    </row>
    <row r="20775" spans="10:10" x14ac:dyDescent="0.3">
      <c r="J20775"/>
    </row>
    <row r="20776" spans="10:10" x14ac:dyDescent="0.3">
      <c r="J20776"/>
    </row>
    <row r="20777" spans="10:10" x14ac:dyDescent="0.3">
      <c r="J20777"/>
    </row>
    <row r="20778" spans="10:10" x14ac:dyDescent="0.3">
      <c r="J20778"/>
    </row>
    <row r="20779" spans="10:10" x14ac:dyDescent="0.3">
      <c r="J20779"/>
    </row>
    <row r="20780" spans="10:10" x14ac:dyDescent="0.3">
      <c r="J20780"/>
    </row>
    <row r="20781" spans="10:10" x14ac:dyDescent="0.3">
      <c r="J20781"/>
    </row>
    <row r="20782" spans="10:10" x14ac:dyDescent="0.3">
      <c r="J20782"/>
    </row>
    <row r="20783" spans="10:10" x14ac:dyDescent="0.3">
      <c r="J20783"/>
    </row>
    <row r="20784" spans="10:10" x14ac:dyDescent="0.3">
      <c r="J20784"/>
    </row>
    <row r="20785" spans="10:10" x14ac:dyDescent="0.3">
      <c r="J20785"/>
    </row>
    <row r="20786" spans="10:10" x14ac:dyDescent="0.3">
      <c r="J20786"/>
    </row>
    <row r="20787" spans="10:10" x14ac:dyDescent="0.3">
      <c r="J20787"/>
    </row>
    <row r="20788" spans="10:10" x14ac:dyDescent="0.3">
      <c r="J20788"/>
    </row>
    <row r="20789" spans="10:10" x14ac:dyDescent="0.3">
      <c r="J20789"/>
    </row>
    <row r="20790" spans="10:10" x14ac:dyDescent="0.3">
      <c r="J20790"/>
    </row>
    <row r="20791" spans="10:10" x14ac:dyDescent="0.3">
      <c r="J20791"/>
    </row>
    <row r="20792" spans="10:10" x14ac:dyDescent="0.3">
      <c r="J20792"/>
    </row>
    <row r="20793" spans="10:10" x14ac:dyDescent="0.3">
      <c r="J20793"/>
    </row>
    <row r="20794" spans="10:10" x14ac:dyDescent="0.3">
      <c r="J20794"/>
    </row>
    <row r="20795" spans="10:10" x14ac:dyDescent="0.3">
      <c r="J20795"/>
    </row>
    <row r="20796" spans="10:10" x14ac:dyDescent="0.3">
      <c r="J20796"/>
    </row>
    <row r="20797" spans="10:10" x14ac:dyDescent="0.3">
      <c r="J20797"/>
    </row>
    <row r="20798" spans="10:10" x14ac:dyDescent="0.3">
      <c r="J20798"/>
    </row>
    <row r="20799" spans="10:10" x14ac:dyDescent="0.3">
      <c r="J20799"/>
    </row>
    <row r="20800" spans="10:10" x14ac:dyDescent="0.3">
      <c r="J20800"/>
    </row>
    <row r="20801" spans="10:10" x14ac:dyDescent="0.3">
      <c r="J20801"/>
    </row>
    <row r="20802" spans="10:10" x14ac:dyDescent="0.3">
      <c r="J20802"/>
    </row>
    <row r="20803" spans="10:10" x14ac:dyDescent="0.3">
      <c r="J20803"/>
    </row>
    <row r="20804" spans="10:10" x14ac:dyDescent="0.3">
      <c r="J20804"/>
    </row>
    <row r="20805" spans="10:10" x14ac:dyDescent="0.3">
      <c r="J20805"/>
    </row>
    <row r="20806" spans="10:10" x14ac:dyDescent="0.3">
      <c r="J20806"/>
    </row>
    <row r="20807" spans="10:10" x14ac:dyDescent="0.3">
      <c r="J20807"/>
    </row>
    <row r="20808" spans="10:10" x14ac:dyDescent="0.3">
      <c r="J20808"/>
    </row>
    <row r="20809" spans="10:10" x14ac:dyDescent="0.3">
      <c r="J20809"/>
    </row>
    <row r="20810" spans="10:10" x14ac:dyDescent="0.3">
      <c r="J20810"/>
    </row>
    <row r="20811" spans="10:10" x14ac:dyDescent="0.3">
      <c r="J20811"/>
    </row>
    <row r="20812" spans="10:10" x14ac:dyDescent="0.3">
      <c r="J20812"/>
    </row>
    <row r="20813" spans="10:10" x14ac:dyDescent="0.3">
      <c r="J20813"/>
    </row>
    <row r="20814" spans="10:10" x14ac:dyDescent="0.3">
      <c r="J20814"/>
    </row>
    <row r="20815" spans="10:10" x14ac:dyDescent="0.3">
      <c r="J20815"/>
    </row>
    <row r="20816" spans="10:10" x14ac:dyDescent="0.3">
      <c r="J20816"/>
    </row>
    <row r="20817" spans="10:10" x14ac:dyDescent="0.3">
      <c r="J20817"/>
    </row>
    <row r="20818" spans="10:10" x14ac:dyDescent="0.3">
      <c r="J20818"/>
    </row>
    <row r="20819" spans="10:10" x14ac:dyDescent="0.3">
      <c r="J20819"/>
    </row>
    <row r="20820" spans="10:10" x14ac:dyDescent="0.3">
      <c r="J20820"/>
    </row>
    <row r="20821" spans="10:10" x14ac:dyDescent="0.3">
      <c r="J20821"/>
    </row>
    <row r="20822" spans="10:10" x14ac:dyDescent="0.3">
      <c r="J20822"/>
    </row>
    <row r="20823" spans="10:10" x14ac:dyDescent="0.3">
      <c r="J20823"/>
    </row>
    <row r="20824" spans="10:10" x14ac:dyDescent="0.3">
      <c r="J20824"/>
    </row>
    <row r="20825" spans="10:10" x14ac:dyDescent="0.3">
      <c r="J20825"/>
    </row>
    <row r="20826" spans="10:10" x14ac:dyDescent="0.3">
      <c r="J20826"/>
    </row>
    <row r="20827" spans="10:10" x14ac:dyDescent="0.3">
      <c r="J20827"/>
    </row>
    <row r="20828" spans="10:10" x14ac:dyDescent="0.3">
      <c r="J20828"/>
    </row>
    <row r="20829" spans="10:10" x14ac:dyDescent="0.3">
      <c r="J20829"/>
    </row>
    <row r="20830" spans="10:10" x14ac:dyDescent="0.3">
      <c r="J20830"/>
    </row>
    <row r="20831" spans="10:10" x14ac:dyDescent="0.3">
      <c r="J20831"/>
    </row>
    <row r="20832" spans="10:10" x14ac:dyDescent="0.3">
      <c r="J20832"/>
    </row>
    <row r="20833" spans="10:10" x14ac:dyDescent="0.3">
      <c r="J20833"/>
    </row>
    <row r="20834" spans="10:10" x14ac:dyDescent="0.3">
      <c r="J20834"/>
    </row>
    <row r="20835" spans="10:10" x14ac:dyDescent="0.3">
      <c r="J20835"/>
    </row>
    <row r="20836" spans="10:10" x14ac:dyDescent="0.3">
      <c r="J20836"/>
    </row>
    <row r="20837" spans="10:10" x14ac:dyDescent="0.3">
      <c r="J20837"/>
    </row>
    <row r="20838" spans="10:10" x14ac:dyDescent="0.3">
      <c r="J20838"/>
    </row>
    <row r="20839" spans="10:10" x14ac:dyDescent="0.3">
      <c r="J20839"/>
    </row>
    <row r="20840" spans="10:10" x14ac:dyDescent="0.3">
      <c r="J20840"/>
    </row>
    <row r="20841" spans="10:10" x14ac:dyDescent="0.3">
      <c r="J20841"/>
    </row>
    <row r="20842" spans="10:10" x14ac:dyDescent="0.3">
      <c r="J20842"/>
    </row>
    <row r="20843" spans="10:10" x14ac:dyDescent="0.3">
      <c r="J20843"/>
    </row>
    <row r="20844" spans="10:10" x14ac:dyDescent="0.3">
      <c r="J20844"/>
    </row>
    <row r="20845" spans="10:10" x14ac:dyDescent="0.3">
      <c r="J20845"/>
    </row>
    <row r="20846" spans="10:10" x14ac:dyDescent="0.3">
      <c r="J20846"/>
    </row>
    <row r="20847" spans="10:10" x14ac:dyDescent="0.3">
      <c r="J20847"/>
    </row>
    <row r="20848" spans="10:10" x14ac:dyDescent="0.3">
      <c r="J20848"/>
    </row>
    <row r="20849" spans="10:10" x14ac:dyDescent="0.3">
      <c r="J20849"/>
    </row>
    <row r="20850" spans="10:10" x14ac:dyDescent="0.3">
      <c r="J20850"/>
    </row>
    <row r="20851" spans="10:10" x14ac:dyDescent="0.3">
      <c r="J20851"/>
    </row>
    <row r="20852" spans="10:10" x14ac:dyDescent="0.3">
      <c r="J20852"/>
    </row>
    <row r="20853" spans="10:10" x14ac:dyDescent="0.3">
      <c r="J20853"/>
    </row>
    <row r="20854" spans="10:10" x14ac:dyDescent="0.3">
      <c r="J20854"/>
    </row>
    <row r="20855" spans="10:10" x14ac:dyDescent="0.3">
      <c r="J20855"/>
    </row>
    <row r="20856" spans="10:10" x14ac:dyDescent="0.3">
      <c r="J20856"/>
    </row>
    <row r="20857" spans="10:10" x14ac:dyDescent="0.3">
      <c r="J20857"/>
    </row>
    <row r="20858" spans="10:10" x14ac:dyDescent="0.3">
      <c r="J20858"/>
    </row>
    <row r="20859" spans="10:10" x14ac:dyDescent="0.3">
      <c r="J20859"/>
    </row>
    <row r="20860" spans="10:10" x14ac:dyDescent="0.3">
      <c r="J20860"/>
    </row>
    <row r="20861" spans="10:10" x14ac:dyDescent="0.3">
      <c r="J20861"/>
    </row>
    <row r="20862" spans="10:10" x14ac:dyDescent="0.3">
      <c r="J20862"/>
    </row>
    <row r="20863" spans="10:10" x14ac:dyDescent="0.3">
      <c r="J20863"/>
    </row>
    <row r="20864" spans="10:10" x14ac:dyDescent="0.3">
      <c r="J20864"/>
    </row>
    <row r="20865" spans="10:10" x14ac:dyDescent="0.3">
      <c r="J20865"/>
    </row>
    <row r="20866" spans="10:10" x14ac:dyDescent="0.3">
      <c r="J20866"/>
    </row>
    <row r="20867" spans="10:10" x14ac:dyDescent="0.3">
      <c r="J20867"/>
    </row>
    <row r="20868" spans="10:10" x14ac:dyDescent="0.3">
      <c r="J20868"/>
    </row>
    <row r="20869" spans="10:10" x14ac:dyDescent="0.3">
      <c r="J20869"/>
    </row>
    <row r="20870" spans="10:10" x14ac:dyDescent="0.3">
      <c r="J20870"/>
    </row>
    <row r="20871" spans="10:10" x14ac:dyDescent="0.3">
      <c r="J20871"/>
    </row>
    <row r="20872" spans="10:10" x14ac:dyDescent="0.3">
      <c r="J20872"/>
    </row>
    <row r="20873" spans="10:10" x14ac:dyDescent="0.3">
      <c r="J20873"/>
    </row>
    <row r="20874" spans="10:10" x14ac:dyDescent="0.3">
      <c r="J20874"/>
    </row>
    <row r="20875" spans="10:10" x14ac:dyDescent="0.3">
      <c r="J20875"/>
    </row>
    <row r="20876" spans="10:10" x14ac:dyDescent="0.3">
      <c r="J20876"/>
    </row>
    <row r="20877" spans="10:10" x14ac:dyDescent="0.3">
      <c r="J20877"/>
    </row>
    <row r="20878" spans="10:10" x14ac:dyDescent="0.3">
      <c r="J20878"/>
    </row>
    <row r="20879" spans="10:10" x14ac:dyDescent="0.3">
      <c r="J20879"/>
    </row>
    <row r="20880" spans="10:10" x14ac:dyDescent="0.3">
      <c r="J20880"/>
    </row>
    <row r="20881" spans="10:10" x14ac:dyDescent="0.3">
      <c r="J20881"/>
    </row>
    <row r="20882" spans="10:10" x14ac:dyDescent="0.3">
      <c r="J20882"/>
    </row>
    <row r="20883" spans="10:10" x14ac:dyDescent="0.3">
      <c r="J20883"/>
    </row>
    <row r="20884" spans="10:10" x14ac:dyDescent="0.3">
      <c r="J20884"/>
    </row>
    <row r="20885" spans="10:10" x14ac:dyDescent="0.3">
      <c r="J20885"/>
    </row>
    <row r="20886" spans="10:10" x14ac:dyDescent="0.3">
      <c r="J20886"/>
    </row>
    <row r="20887" spans="10:10" x14ac:dyDescent="0.3">
      <c r="J20887"/>
    </row>
    <row r="20888" spans="10:10" x14ac:dyDescent="0.3">
      <c r="J20888"/>
    </row>
    <row r="20889" spans="10:10" x14ac:dyDescent="0.3">
      <c r="J20889"/>
    </row>
    <row r="20890" spans="10:10" x14ac:dyDescent="0.3">
      <c r="J20890"/>
    </row>
    <row r="20891" spans="10:10" x14ac:dyDescent="0.3">
      <c r="J20891"/>
    </row>
    <row r="20892" spans="10:10" x14ac:dyDescent="0.3">
      <c r="J20892"/>
    </row>
    <row r="20893" spans="10:10" x14ac:dyDescent="0.3">
      <c r="J20893"/>
    </row>
    <row r="20894" spans="10:10" x14ac:dyDescent="0.3">
      <c r="J20894"/>
    </row>
    <row r="20895" spans="10:10" x14ac:dyDescent="0.3">
      <c r="J20895"/>
    </row>
    <row r="20896" spans="10:10" x14ac:dyDescent="0.3">
      <c r="J20896"/>
    </row>
    <row r="20897" spans="10:10" x14ac:dyDescent="0.3">
      <c r="J20897"/>
    </row>
    <row r="20898" spans="10:10" x14ac:dyDescent="0.3">
      <c r="J20898"/>
    </row>
    <row r="20899" spans="10:10" x14ac:dyDescent="0.3">
      <c r="J20899"/>
    </row>
    <row r="20900" spans="10:10" x14ac:dyDescent="0.3">
      <c r="J20900"/>
    </row>
    <row r="20901" spans="10:10" x14ac:dyDescent="0.3">
      <c r="J20901"/>
    </row>
    <row r="20902" spans="10:10" x14ac:dyDescent="0.3">
      <c r="J20902"/>
    </row>
    <row r="20903" spans="10:10" x14ac:dyDescent="0.3">
      <c r="J20903"/>
    </row>
    <row r="20904" spans="10:10" x14ac:dyDescent="0.3">
      <c r="J20904"/>
    </row>
    <row r="20905" spans="10:10" x14ac:dyDescent="0.3">
      <c r="J20905"/>
    </row>
    <row r="20906" spans="10:10" x14ac:dyDescent="0.3">
      <c r="J20906"/>
    </row>
    <row r="20907" spans="10:10" x14ac:dyDescent="0.3">
      <c r="J20907"/>
    </row>
    <row r="20908" spans="10:10" x14ac:dyDescent="0.3">
      <c r="J20908"/>
    </row>
    <row r="20909" spans="10:10" x14ac:dyDescent="0.3">
      <c r="J20909"/>
    </row>
    <row r="20910" spans="10:10" x14ac:dyDescent="0.3">
      <c r="J20910"/>
    </row>
    <row r="20911" spans="10:10" x14ac:dyDescent="0.3">
      <c r="J20911"/>
    </row>
    <row r="20912" spans="10:10" x14ac:dyDescent="0.3">
      <c r="J20912"/>
    </row>
    <row r="20913" spans="10:10" x14ac:dyDescent="0.3">
      <c r="J20913"/>
    </row>
    <row r="20914" spans="10:10" x14ac:dyDescent="0.3">
      <c r="J20914"/>
    </row>
    <row r="20915" spans="10:10" x14ac:dyDescent="0.3">
      <c r="J20915"/>
    </row>
    <row r="20916" spans="10:10" x14ac:dyDescent="0.3">
      <c r="J20916"/>
    </row>
    <row r="20917" spans="10:10" x14ac:dyDescent="0.3">
      <c r="J20917"/>
    </row>
    <row r="20918" spans="10:10" x14ac:dyDescent="0.3">
      <c r="J20918"/>
    </row>
    <row r="20919" spans="10:10" x14ac:dyDescent="0.3">
      <c r="J20919"/>
    </row>
    <row r="20920" spans="10:10" x14ac:dyDescent="0.3">
      <c r="J20920"/>
    </row>
    <row r="20921" spans="10:10" x14ac:dyDescent="0.3">
      <c r="J20921"/>
    </row>
    <row r="20922" spans="10:10" x14ac:dyDescent="0.3">
      <c r="J20922"/>
    </row>
    <row r="20923" spans="10:10" x14ac:dyDescent="0.3">
      <c r="J20923"/>
    </row>
    <row r="20924" spans="10:10" x14ac:dyDescent="0.3">
      <c r="J20924"/>
    </row>
    <row r="20925" spans="10:10" x14ac:dyDescent="0.3">
      <c r="J20925"/>
    </row>
    <row r="20926" spans="10:10" x14ac:dyDescent="0.3">
      <c r="J20926"/>
    </row>
    <row r="20927" spans="10:10" x14ac:dyDescent="0.3">
      <c r="J20927"/>
    </row>
    <row r="20928" spans="10:10" x14ac:dyDescent="0.3">
      <c r="J20928"/>
    </row>
    <row r="20929" spans="10:10" x14ac:dyDescent="0.3">
      <c r="J20929"/>
    </row>
    <row r="20930" spans="10:10" x14ac:dyDescent="0.3">
      <c r="J20930"/>
    </row>
    <row r="20931" spans="10:10" x14ac:dyDescent="0.3">
      <c r="J20931"/>
    </row>
    <row r="20932" spans="10:10" x14ac:dyDescent="0.3">
      <c r="J20932"/>
    </row>
    <row r="20933" spans="10:10" x14ac:dyDescent="0.3">
      <c r="J20933"/>
    </row>
    <row r="20934" spans="10:10" x14ac:dyDescent="0.3">
      <c r="J20934"/>
    </row>
    <row r="20935" spans="10:10" x14ac:dyDescent="0.3">
      <c r="J20935"/>
    </row>
    <row r="20936" spans="10:10" x14ac:dyDescent="0.3">
      <c r="J20936"/>
    </row>
    <row r="20937" spans="10:10" x14ac:dyDescent="0.3">
      <c r="J20937"/>
    </row>
    <row r="20938" spans="10:10" x14ac:dyDescent="0.3">
      <c r="J20938"/>
    </row>
    <row r="20939" spans="10:10" x14ac:dyDescent="0.3">
      <c r="J20939"/>
    </row>
    <row r="20940" spans="10:10" x14ac:dyDescent="0.3">
      <c r="J20940"/>
    </row>
    <row r="20941" spans="10:10" x14ac:dyDescent="0.3">
      <c r="J20941"/>
    </row>
    <row r="20942" spans="10:10" x14ac:dyDescent="0.3">
      <c r="J20942"/>
    </row>
    <row r="20943" spans="10:10" x14ac:dyDescent="0.3">
      <c r="J20943"/>
    </row>
    <row r="20944" spans="10:10" x14ac:dyDescent="0.3">
      <c r="J20944"/>
    </row>
    <row r="20945" spans="10:10" x14ac:dyDescent="0.3">
      <c r="J20945"/>
    </row>
    <row r="20946" spans="10:10" x14ac:dyDescent="0.3">
      <c r="J20946"/>
    </row>
    <row r="20947" spans="10:10" x14ac:dyDescent="0.3">
      <c r="J20947"/>
    </row>
    <row r="20948" spans="10:10" x14ac:dyDescent="0.3">
      <c r="J20948"/>
    </row>
    <row r="20949" spans="10:10" x14ac:dyDescent="0.3">
      <c r="J20949"/>
    </row>
    <row r="20950" spans="10:10" x14ac:dyDescent="0.3">
      <c r="J20950"/>
    </row>
    <row r="20951" spans="10:10" x14ac:dyDescent="0.3">
      <c r="J20951"/>
    </row>
    <row r="20952" spans="10:10" x14ac:dyDescent="0.3">
      <c r="J20952"/>
    </row>
    <row r="20953" spans="10:10" x14ac:dyDescent="0.3">
      <c r="J20953"/>
    </row>
    <row r="20954" spans="10:10" x14ac:dyDescent="0.3">
      <c r="J20954"/>
    </row>
    <row r="20955" spans="10:10" x14ac:dyDescent="0.3">
      <c r="J20955"/>
    </row>
    <row r="20956" spans="10:10" x14ac:dyDescent="0.3">
      <c r="J20956"/>
    </row>
    <row r="20957" spans="10:10" x14ac:dyDescent="0.3">
      <c r="J20957"/>
    </row>
    <row r="20958" spans="10:10" x14ac:dyDescent="0.3">
      <c r="J20958"/>
    </row>
    <row r="20959" spans="10:10" x14ac:dyDescent="0.3">
      <c r="J20959"/>
    </row>
    <row r="20960" spans="10:10" x14ac:dyDescent="0.3">
      <c r="J20960"/>
    </row>
    <row r="20961" spans="10:10" x14ac:dyDescent="0.3">
      <c r="J20961"/>
    </row>
    <row r="20962" spans="10:10" x14ac:dyDescent="0.3">
      <c r="J20962"/>
    </row>
    <row r="20963" spans="10:10" x14ac:dyDescent="0.3">
      <c r="J20963"/>
    </row>
    <row r="20964" spans="10:10" x14ac:dyDescent="0.3">
      <c r="J20964"/>
    </row>
    <row r="20965" spans="10:10" x14ac:dyDescent="0.3">
      <c r="J20965"/>
    </row>
    <row r="20966" spans="10:10" x14ac:dyDescent="0.3">
      <c r="J20966"/>
    </row>
    <row r="20967" spans="10:10" x14ac:dyDescent="0.3">
      <c r="J20967"/>
    </row>
    <row r="20968" spans="10:10" x14ac:dyDescent="0.3">
      <c r="J20968"/>
    </row>
    <row r="20969" spans="10:10" x14ac:dyDescent="0.3">
      <c r="J20969"/>
    </row>
    <row r="20970" spans="10:10" x14ac:dyDescent="0.3">
      <c r="J20970"/>
    </row>
    <row r="20971" spans="10:10" x14ac:dyDescent="0.3">
      <c r="J20971"/>
    </row>
    <row r="20972" spans="10:10" x14ac:dyDescent="0.3">
      <c r="J20972"/>
    </row>
    <row r="20973" spans="10:10" x14ac:dyDescent="0.3">
      <c r="J20973"/>
    </row>
    <row r="20974" spans="10:10" x14ac:dyDescent="0.3">
      <c r="J20974"/>
    </row>
    <row r="20975" spans="10:10" x14ac:dyDescent="0.3">
      <c r="J20975"/>
    </row>
    <row r="20976" spans="10:10" x14ac:dyDescent="0.3">
      <c r="J20976"/>
    </row>
    <row r="20977" spans="10:10" x14ac:dyDescent="0.3">
      <c r="J20977"/>
    </row>
    <row r="20978" spans="10:10" x14ac:dyDescent="0.3">
      <c r="J20978"/>
    </row>
    <row r="20979" spans="10:10" x14ac:dyDescent="0.3">
      <c r="J20979"/>
    </row>
    <row r="20980" spans="10:10" x14ac:dyDescent="0.3">
      <c r="J20980"/>
    </row>
    <row r="20981" spans="10:10" x14ac:dyDescent="0.3">
      <c r="J20981"/>
    </row>
    <row r="20982" spans="10:10" x14ac:dyDescent="0.3">
      <c r="J20982"/>
    </row>
    <row r="20983" spans="10:10" x14ac:dyDescent="0.3">
      <c r="J20983"/>
    </row>
    <row r="20984" spans="10:10" x14ac:dyDescent="0.3">
      <c r="J20984"/>
    </row>
    <row r="20985" spans="10:10" x14ac:dyDescent="0.3">
      <c r="J20985"/>
    </row>
    <row r="20986" spans="10:10" x14ac:dyDescent="0.3">
      <c r="J20986"/>
    </row>
    <row r="20987" spans="10:10" x14ac:dyDescent="0.3">
      <c r="J20987"/>
    </row>
    <row r="20988" spans="10:10" x14ac:dyDescent="0.3">
      <c r="J20988"/>
    </row>
    <row r="20989" spans="10:10" x14ac:dyDescent="0.3">
      <c r="J20989"/>
    </row>
    <row r="20990" spans="10:10" x14ac:dyDescent="0.3">
      <c r="J20990"/>
    </row>
    <row r="20991" spans="10:10" x14ac:dyDescent="0.3">
      <c r="J20991"/>
    </row>
    <row r="20992" spans="10:10" x14ac:dyDescent="0.3">
      <c r="J20992"/>
    </row>
    <row r="20993" spans="10:10" x14ac:dyDescent="0.3">
      <c r="J20993"/>
    </row>
    <row r="20994" spans="10:10" x14ac:dyDescent="0.3">
      <c r="J20994"/>
    </row>
    <row r="20995" spans="10:10" x14ac:dyDescent="0.3">
      <c r="J20995"/>
    </row>
    <row r="20996" spans="10:10" x14ac:dyDescent="0.3">
      <c r="J20996"/>
    </row>
    <row r="20997" spans="10:10" x14ac:dyDescent="0.3">
      <c r="J20997"/>
    </row>
    <row r="20998" spans="10:10" x14ac:dyDescent="0.3">
      <c r="J20998"/>
    </row>
    <row r="20999" spans="10:10" x14ac:dyDescent="0.3">
      <c r="J20999"/>
    </row>
    <row r="21000" spans="10:10" x14ac:dyDescent="0.3">
      <c r="J21000"/>
    </row>
    <row r="21001" spans="10:10" x14ac:dyDescent="0.3">
      <c r="J21001"/>
    </row>
    <row r="21002" spans="10:10" x14ac:dyDescent="0.3">
      <c r="J21002"/>
    </row>
    <row r="21003" spans="10:10" x14ac:dyDescent="0.3">
      <c r="J21003"/>
    </row>
    <row r="21004" spans="10:10" x14ac:dyDescent="0.3">
      <c r="J21004"/>
    </row>
    <row r="21005" spans="10:10" x14ac:dyDescent="0.3">
      <c r="J21005"/>
    </row>
    <row r="21006" spans="10:10" x14ac:dyDescent="0.3">
      <c r="J21006"/>
    </row>
    <row r="21007" spans="10:10" x14ac:dyDescent="0.3">
      <c r="J21007"/>
    </row>
    <row r="21008" spans="10:10" x14ac:dyDescent="0.3">
      <c r="J21008"/>
    </row>
    <row r="21009" spans="10:10" x14ac:dyDescent="0.3">
      <c r="J21009"/>
    </row>
    <row r="21010" spans="10:10" x14ac:dyDescent="0.3">
      <c r="J21010"/>
    </row>
    <row r="21011" spans="10:10" x14ac:dyDescent="0.3">
      <c r="J21011"/>
    </row>
    <row r="21012" spans="10:10" x14ac:dyDescent="0.3">
      <c r="J21012"/>
    </row>
    <row r="21013" spans="10:10" x14ac:dyDescent="0.3">
      <c r="J21013"/>
    </row>
    <row r="21014" spans="10:10" x14ac:dyDescent="0.3">
      <c r="J21014"/>
    </row>
    <row r="21015" spans="10:10" x14ac:dyDescent="0.3">
      <c r="J21015"/>
    </row>
    <row r="21016" spans="10:10" x14ac:dyDescent="0.3">
      <c r="J21016"/>
    </row>
    <row r="21017" spans="10:10" x14ac:dyDescent="0.3">
      <c r="J21017"/>
    </row>
    <row r="21018" spans="10:10" x14ac:dyDescent="0.3">
      <c r="J21018"/>
    </row>
    <row r="21019" spans="10:10" x14ac:dyDescent="0.3">
      <c r="J21019"/>
    </row>
    <row r="21020" spans="10:10" x14ac:dyDescent="0.3">
      <c r="J21020"/>
    </row>
    <row r="21021" spans="10:10" x14ac:dyDescent="0.3">
      <c r="J21021"/>
    </row>
    <row r="21022" spans="10:10" x14ac:dyDescent="0.3">
      <c r="J21022"/>
    </row>
    <row r="21023" spans="10:10" x14ac:dyDescent="0.3">
      <c r="J21023"/>
    </row>
    <row r="21024" spans="10:10" x14ac:dyDescent="0.3">
      <c r="J21024"/>
    </row>
    <row r="21025" spans="10:10" x14ac:dyDescent="0.3">
      <c r="J21025"/>
    </row>
    <row r="21026" spans="10:10" x14ac:dyDescent="0.3">
      <c r="J21026"/>
    </row>
    <row r="21027" spans="10:10" x14ac:dyDescent="0.3">
      <c r="J21027"/>
    </row>
    <row r="21028" spans="10:10" x14ac:dyDescent="0.3">
      <c r="J21028"/>
    </row>
    <row r="21029" spans="10:10" x14ac:dyDescent="0.3">
      <c r="J21029"/>
    </row>
    <row r="21030" spans="10:10" x14ac:dyDescent="0.3">
      <c r="J21030"/>
    </row>
    <row r="21031" spans="10:10" x14ac:dyDescent="0.3">
      <c r="J21031"/>
    </row>
    <row r="21032" spans="10:10" x14ac:dyDescent="0.3">
      <c r="J21032"/>
    </row>
    <row r="21033" spans="10:10" x14ac:dyDescent="0.3">
      <c r="J21033"/>
    </row>
    <row r="21034" spans="10:10" x14ac:dyDescent="0.3">
      <c r="J21034"/>
    </row>
    <row r="21035" spans="10:10" x14ac:dyDescent="0.3">
      <c r="J21035"/>
    </row>
    <row r="21036" spans="10:10" x14ac:dyDescent="0.3">
      <c r="J21036"/>
    </row>
    <row r="21037" spans="10:10" x14ac:dyDescent="0.3">
      <c r="J21037"/>
    </row>
    <row r="21038" spans="10:10" x14ac:dyDescent="0.3">
      <c r="J21038"/>
    </row>
    <row r="21039" spans="10:10" x14ac:dyDescent="0.3">
      <c r="J21039"/>
    </row>
    <row r="21040" spans="10:10" x14ac:dyDescent="0.3">
      <c r="J21040"/>
    </row>
    <row r="21041" spans="10:10" x14ac:dyDescent="0.3">
      <c r="J21041"/>
    </row>
    <row r="21042" spans="10:10" x14ac:dyDescent="0.3">
      <c r="J21042"/>
    </row>
    <row r="21043" spans="10:10" x14ac:dyDescent="0.3">
      <c r="J21043"/>
    </row>
    <row r="21044" spans="10:10" x14ac:dyDescent="0.3">
      <c r="J21044"/>
    </row>
    <row r="21045" spans="10:10" x14ac:dyDescent="0.3">
      <c r="J21045"/>
    </row>
    <row r="21046" spans="10:10" x14ac:dyDescent="0.3">
      <c r="J21046"/>
    </row>
    <row r="21047" spans="10:10" x14ac:dyDescent="0.3">
      <c r="J21047"/>
    </row>
    <row r="21048" spans="10:10" x14ac:dyDescent="0.3">
      <c r="J21048"/>
    </row>
    <row r="21049" spans="10:10" x14ac:dyDescent="0.3">
      <c r="J21049"/>
    </row>
    <row r="21050" spans="10:10" x14ac:dyDescent="0.3">
      <c r="J21050"/>
    </row>
    <row r="21051" spans="10:10" x14ac:dyDescent="0.3">
      <c r="J21051"/>
    </row>
    <row r="21052" spans="10:10" x14ac:dyDescent="0.3">
      <c r="J21052"/>
    </row>
    <row r="21053" spans="10:10" x14ac:dyDescent="0.3">
      <c r="J21053"/>
    </row>
    <row r="21054" spans="10:10" x14ac:dyDescent="0.3">
      <c r="J21054"/>
    </row>
    <row r="21055" spans="10:10" x14ac:dyDescent="0.3">
      <c r="J21055"/>
    </row>
    <row r="21056" spans="10:10" x14ac:dyDescent="0.3">
      <c r="J21056"/>
    </row>
    <row r="21057" spans="10:10" x14ac:dyDescent="0.3">
      <c r="J21057"/>
    </row>
    <row r="21058" spans="10:10" x14ac:dyDescent="0.3">
      <c r="J21058"/>
    </row>
    <row r="21059" spans="10:10" x14ac:dyDescent="0.3">
      <c r="J21059"/>
    </row>
    <row r="21060" spans="10:10" x14ac:dyDescent="0.3">
      <c r="J21060"/>
    </row>
    <row r="21061" spans="10:10" x14ac:dyDescent="0.3">
      <c r="J21061"/>
    </row>
    <row r="21062" spans="10:10" x14ac:dyDescent="0.3">
      <c r="J21062"/>
    </row>
    <row r="21063" spans="10:10" x14ac:dyDescent="0.3">
      <c r="J21063"/>
    </row>
    <row r="21064" spans="10:10" x14ac:dyDescent="0.3">
      <c r="J21064"/>
    </row>
    <row r="21065" spans="10:10" x14ac:dyDescent="0.3">
      <c r="J21065"/>
    </row>
    <row r="21066" spans="10:10" x14ac:dyDescent="0.3">
      <c r="J21066"/>
    </row>
    <row r="21067" spans="10:10" x14ac:dyDescent="0.3">
      <c r="J21067"/>
    </row>
    <row r="21068" spans="10:10" x14ac:dyDescent="0.3">
      <c r="J21068"/>
    </row>
    <row r="21069" spans="10:10" x14ac:dyDescent="0.3">
      <c r="J21069"/>
    </row>
    <row r="21070" spans="10:10" x14ac:dyDescent="0.3">
      <c r="J21070"/>
    </row>
    <row r="21071" spans="10:10" x14ac:dyDescent="0.3">
      <c r="J21071"/>
    </row>
    <row r="21072" spans="10:10" x14ac:dyDescent="0.3">
      <c r="J21072"/>
    </row>
    <row r="21073" spans="10:10" x14ac:dyDescent="0.3">
      <c r="J21073"/>
    </row>
    <row r="21074" spans="10:10" x14ac:dyDescent="0.3">
      <c r="J21074"/>
    </row>
    <row r="21075" spans="10:10" x14ac:dyDescent="0.3">
      <c r="J21075"/>
    </row>
    <row r="21076" spans="10:10" x14ac:dyDescent="0.3">
      <c r="J21076"/>
    </row>
    <row r="21077" spans="10:10" x14ac:dyDescent="0.3">
      <c r="J21077"/>
    </row>
    <row r="21078" spans="10:10" x14ac:dyDescent="0.3">
      <c r="J21078"/>
    </row>
    <row r="21079" spans="10:10" x14ac:dyDescent="0.3">
      <c r="J21079"/>
    </row>
    <row r="21080" spans="10:10" x14ac:dyDescent="0.3">
      <c r="J21080"/>
    </row>
    <row r="21081" spans="10:10" x14ac:dyDescent="0.3">
      <c r="J21081"/>
    </row>
    <row r="21082" spans="10:10" x14ac:dyDescent="0.3">
      <c r="J21082"/>
    </row>
    <row r="21083" spans="10:10" x14ac:dyDescent="0.3">
      <c r="J21083"/>
    </row>
    <row r="21084" spans="10:10" x14ac:dyDescent="0.3">
      <c r="J21084"/>
    </row>
    <row r="21085" spans="10:10" x14ac:dyDescent="0.3">
      <c r="J21085"/>
    </row>
    <row r="21086" spans="10:10" x14ac:dyDescent="0.3">
      <c r="J21086"/>
    </row>
    <row r="21087" spans="10:10" x14ac:dyDescent="0.3">
      <c r="J21087"/>
    </row>
    <row r="21088" spans="10:10" x14ac:dyDescent="0.3">
      <c r="J21088"/>
    </row>
    <row r="21089" spans="10:10" x14ac:dyDescent="0.3">
      <c r="J21089"/>
    </row>
    <row r="21090" spans="10:10" x14ac:dyDescent="0.3">
      <c r="J21090"/>
    </row>
    <row r="21091" spans="10:10" x14ac:dyDescent="0.3">
      <c r="J21091"/>
    </row>
    <row r="21092" spans="10:10" x14ac:dyDescent="0.3">
      <c r="J21092"/>
    </row>
    <row r="21093" spans="10:10" x14ac:dyDescent="0.3">
      <c r="J21093"/>
    </row>
    <row r="21094" spans="10:10" x14ac:dyDescent="0.3">
      <c r="J21094"/>
    </row>
    <row r="21095" spans="10:10" x14ac:dyDescent="0.3">
      <c r="J21095"/>
    </row>
    <row r="21096" spans="10:10" x14ac:dyDescent="0.3">
      <c r="J21096"/>
    </row>
    <row r="21097" spans="10:10" x14ac:dyDescent="0.3">
      <c r="J21097"/>
    </row>
    <row r="21098" spans="10:10" x14ac:dyDescent="0.3">
      <c r="J21098"/>
    </row>
    <row r="21099" spans="10:10" x14ac:dyDescent="0.3">
      <c r="J21099"/>
    </row>
    <row r="21100" spans="10:10" x14ac:dyDescent="0.3">
      <c r="J21100"/>
    </row>
    <row r="21101" spans="10:10" x14ac:dyDescent="0.3">
      <c r="J21101"/>
    </row>
    <row r="21102" spans="10:10" x14ac:dyDescent="0.3">
      <c r="J21102"/>
    </row>
    <row r="21103" spans="10:10" x14ac:dyDescent="0.3">
      <c r="J21103"/>
    </row>
    <row r="21104" spans="10:10" x14ac:dyDescent="0.3">
      <c r="J21104"/>
    </row>
    <row r="21105" spans="10:10" x14ac:dyDescent="0.3">
      <c r="J21105"/>
    </row>
    <row r="21106" spans="10:10" x14ac:dyDescent="0.3">
      <c r="J21106"/>
    </row>
    <row r="21107" spans="10:10" x14ac:dyDescent="0.3">
      <c r="J21107"/>
    </row>
    <row r="21108" spans="10:10" x14ac:dyDescent="0.3">
      <c r="J21108"/>
    </row>
    <row r="21109" spans="10:10" x14ac:dyDescent="0.3">
      <c r="J21109"/>
    </row>
    <row r="21110" spans="10:10" x14ac:dyDescent="0.3">
      <c r="J21110"/>
    </row>
    <row r="21111" spans="10:10" x14ac:dyDescent="0.3">
      <c r="J21111"/>
    </row>
    <row r="21112" spans="10:10" x14ac:dyDescent="0.3">
      <c r="J21112"/>
    </row>
    <row r="21113" spans="10:10" x14ac:dyDescent="0.3">
      <c r="J21113"/>
    </row>
    <row r="21114" spans="10:10" x14ac:dyDescent="0.3">
      <c r="J21114"/>
    </row>
    <row r="21115" spans="10:10" x14ac:dyDescent="0.3">
      <c r="J21115"/>
    </row>
    <row r="21116" spans="10:10" x14ac:dyDescent="0.3">
      <c r="J21116"/>
    </row>
    <row r="21117" spans="10:10" x14ac:dyDescent="0.3">
      <c r="J21117"/>
    </row>
    <row r="21118" spans="10:10" x14ac:dyDescent="0.3">
      <c r="J21118"/>
    </row>
    <row r="21119" spans="10:10" x14ac:dyDescent="0.3">
      <c r="J21119"/>
    </row>
    <row r="21120" spans="10:10" x14ac:dyDescent="0.3">
      <c r="J21120"/>
    </row>
    <row r="21121" spans="10:10" x14ac:dyDescent="0.3">
      <c r="J21121"/>
    </row>
    <row r="21122" spans="10:10" x14ac:dyDescent="0.3">
      <c r="J21122"/>
    </row>
    <row r="21123" spans="10:10" x14ac:dyDescent="0.3">
      <c r="J21123"/>
    </row>
    <row r="21124" spans="10:10" x14ac:dyDescent="0.3">
      <c r="J21124"/>
    </row>
    <row r="21125" spans="10:10" x14ac:dyDescent="0.3">
      <c r="J21125"/>
    </row>
    <row r="21126" spans="10:10" x14ac:dyDescent="0.3">
      <c r="J21126"/>
    </row>
    <row r="21127" spans="10:10" x14ac:dyDescent="0.3">
      <c r="J21127"/>
    </row>
    <row r="21128" spans="10:10" x14ac:dyDescent="0.3">
      <c r="J21128"/>
    </row>
    <row r="21129" spans="10:10" x14ac:dyDescent="0.3">
      <c r="J21129"/>
    </row>
    <row r="21130" spans="10:10" x14ac:dyDescent="0.3">
      <c r="J21130"/>
    </row>
    <row r="21131" spans="10:10" x14ac:dyDescent="0.3">
      <c r="J21131"/>
    </row>
    <row r="21132" spans="10:10" x14ac:dyDescent="0.3">
      <c r="J21132"/>
    </row>
    <row r="21133" spans="10:10" x14ac:dyDescent="0.3">
      <c r="J21133"/>
    </row>
    <row r="21134" spans="10:10" x14ac:dyDescent="0.3">
      <c r="J21134"/>
    </row>
    <row r="21135" spans="10:10" x14ac:dyDescent="0.3">
      <c r="J21135"/>
    </row>
    <row r="21136" spans="10:10" x14ac:dyDescent="0.3">
      <c r="J21136"/>
    </row>
    <row r="21137" spans="10:10" x14ac:dyDescent="0.3">
      <c r="J21137"/>
    </row>
    <row r="21138" spans="10:10" x14ac:dyDescent="0.3">
      <c r="J21138"/>
    </row>
    <row r="21139" spans="10:10" x14ac:dyDescent="0.3">
      <c r="J21139"/>
    </row>
    <row r="21140" spans="10:10" x14ac:dyDescent="0.3">
      <c r="J21140"/>
    </row>
    <row r="21141" spans="10:10" x14ac:dyDescent="0.3">
      <c r="J21141"/>
    </row>
    <row r="21142" spans="10:10" x14ac:dyDescent="0.3">
      <c r="J21142"/>
    </row>
    <row r="21143" spans="10:10" x14ac:dyDescent="0.3">
      <c r="J21143"/>
    </row>
    <row r="21144" spans="10:10" x14ac:dyDescent="0.3">
      <c r="J21144"/>
    </row>
    <row r="21145" spans="10:10" x14ac:dyDescent="0.3">
      <c r="J21145"/>
    </row>
    <row r="21146" spans="10:10" x14ac:dyDescent="0.3">
      <c r="J21146"/>
    </row>
    <row r="21147" spans="10:10" x14ac:dyDescent="0.3">
      <c r="J21147"/>
    </row>
    <row r="21148" spans="10:10" x14ac:dyDescent="0.3">
      <c r="J21148"/>
    </row>
    <row r="21149" spans="10:10" x14ac:dyDescent="0.3">
      <c r="J21149"/>
    </row>
    <row r="21150" spans="10:10" x14ac:dyDescent="0.3">
      <c r="J21150"/>
    </row>
    <row r="21151" spans="10:10" x14ac:dyDescent="0.3">
      <c r="J21151"/>
    </row>
    <row r="21152" spans="10:10" x14ac:dyDescent="0.3">
      <c r="J21152"/>
    </row>
    <row r="21153" spans="10:10" x14ac:dyDescent="0.3">
      <c r="J21153"/>
    </row>
    <row r="21154" spans="10:10" x14ac:dyDescent="0.3">
      <c r="J21154"/>
    </row>
    <row r="21155" spans="10:10" x14ac:dyDescent="0.3">
      <c r="J21155"/>
    </row>
    <row r="21156" spans="10:10" x14ac:dyDescent="0.3">
      <c r="J21156"/>
    </row>
    <row r="21157" spans="10:10" x14ac:dyDescent="0.3">
      <c r="J21157"/>
    </row>
    <row r="21158" spans="10:10" x14ac:dyDescent="0.3">
      <c r="J21158"/>
    </row>
    <row r="21159" spans="10:10" x14ac:dyDescent="0.3">
      <c r="J21159"/>
    </row>
    <row r="21160" spans="10:10" x14ac:dyDescent="0.3">
      <c r="J21160"/>
    </row>
    <row r="21161" spans="10:10" x14ac:dyDescent="0.3">
      <c r="J21161"/>
    </row>
    <row r="21162" spans="10:10" x14ac:dyDescent="0.3">
      <c r="J21162"/>
    </row>
    <row r="21163" spans="10:10" x14ac:dyDescent="0.3">
      <c r="J21163"/>
    </row>
    <row r="21164" spans="10:10" x14ac:dyDescent="0.3">
      <c r="J21164"/>
    </row>
    <row r="21165" spans="10:10" x14ac:dyDescent="0.3">
      <c r="J21165"/>
    </row>
    <row r="21166" spans="10:10" x14ac:dyDescent="0.3">
      <c r="J21166"/>
    </row>
    <row r="21167" spans="10:10" x14ac:dyDescent="0.3">
      <c r="J21167"/>
    </row>
    <row r="21168" spans="10:10" x14ac:dyDescent="0.3">
      <c r="J21168"/>
    </row>
    <row r="21169" spans="10:10" x14ac:dyDescent="0.3">
      <c r="J21169"/>
    </row>
    <row r="21170" spans="10:10" x14ac:dyDescent="0.3">
      <c r="J21170"/>
    </row>
    <row r="21171" spans="10:10" x14ac:dyDescent="0.3">
      <c r="J21171"/>
    </row>
    <row r="21172" spans="10:10" x14ac:dyDescent="0.3">
      <c r="J21172"/>
    </row>
    <row r="21173" spans="10:10" x14ac:dyDescent="0.3">
      <c r="J21173"/>
    </row>
    <row r="21174" spans="10:10" x14ac:dyDescent="0.3">
      <c r="J21174"/>
    </row>
    <row r="21175" spans="10:10" x14ac:dyDescent="0.3">
      <c r="J21175"/>
    </row>
    <row r="21176" spans="10:10" x14ac:dyDescent="0.3">
      <c r="J21176"/>
    </row>
    <row r="21177" spans="10:10" x14ac:dyDescent="0.3">
      <c r="J21177"/>
    </row>
    <row r="21178" spans="10:10" x14ac:dyDescent="0.3">
      <c r="J21178"/>
    </row>
    <row r="21179" spans="10:10" x14ac:dyDescent="0.3">
      <c r="J21179"/>
    </row>
    <row r="21180" spans="10:10" x14ac:dyDescent="0.3">
      <c r="J21180"/>
    </row>
    <row r="21181" spans="10:10" x14ac:dyDescent="0.3">
      <c r="J21181"/>
    </row>
    <row r="21182" spans="10:10" x14ac:dyDescent="0.3">
      <c r="J21182"/>
    </row>
    <row r="21183" spans="10:10" x14ac:dyDescent="0.3">
      <c r="J21183"/>
    </row>
    <row r="21184" spans="10:10" x14ac:dyDescent="0.3">
      <c r="J21184"/>
    </row>
    <row r="21185" spans="10:10" x14ac:dyDescent="0.3">
      <c r="J21185"/>
    </row>
    <row r="21186" spans="10:10" x14ac:dyDescent="0.3">
      <c r="J21186"/>
    </row>
    <row r="21187" spans="10:10" x14ac:dyDescent="0.3">
      <c r="J21187"/>
    </row>
    <row r="21188" spans="10:10" x14ac:dyDescent="0.3">
      <c r="J21188"/>
    </row>
    <row r="21189" spans="10:10" x14ac:dyDescent="0.3">
      <c r="J21189"/>
    </row>
    <row r="21190" spans="10:10" x14ac:dyDescent="0.3">
      <c r="J21190"/>
    </row>
    <row r="21191" spans="10:10" x14ac:dyDescent="0.3">
      <c r="J21191"/>
    </row>
    <row r="21192" spans="10:10" x14ac:dyDescent="0.3">
      <c r="J21192"/>
    </row>
    <row r="21193" spans="10:10" x14ac:dyDescent="0.3">
      <c r="J21193"/>
    </row>
    <row r="21194" spans="10:10" x14ac:dyDescent="0.3">
      <c r="J21194"/>
    </row>
    <row r="21195" spans="10:10" x14ac:dyDescent="0.3">
      <c r="J21195"/>
    </row>
    <row r="21196" spans="10:10" x14ac:dyDescent="0.3">
      <c r="J21196"/>
    </row>
    <row r="21197" spans="10:10" x14ac:dyDescent="0.3">
      <c r="J21197"/>
    </row>
    <row r="21198" spans="10:10" x14ac:dyDescent="0.3">
      <c r="J21198"/>
    </row>
    <row r="21199" spans="10:10" x14ac:dyDescent="0.3">
      <c r="J21199"/>
    </row>
    <row r="21200" spans="10:10" x14ac:dyDescent="0.3">
      <c r="J21200"/>
    </row>
    <row r="21201" spans="10:10" x14ac:dyDescent="0.3">
      <c r="J21201"/>
    </row>
    <row r="21202" spans="10:10" x14ac:dyDescent="0.3">
      <c r="J21202"/>
    </row>
    <row r="21203" spans="10:10" x14ac:dyDescent="0.3">
      <c r="J21203"/>
    </row>
    <row r="21204" spans="10:10" x14ac:dyDescent="0.3">
      <c r="J21204"/>
    </row>
    <row r="21205" spans="10:10" x14ac:dyDescent="0.3">
      <c r="J21205"/>
    </row>
    <row r="21206" spans="10:10" x14ac:dyDescent="0.3">
      <c r="J21206"/>
    </row>
    <row r="21207" spans="10:10" x14ac:dyDescent="0.3">
      <c r="J21207"/>
    </row>
    <row r="21208" spans="10:10" x14ac:dyDescent="0.3">
      <c r="J21208"/>
    </row>
    <row r="21209" spans="10:10" x14ac:dyDescent="0.3">
      <c r="J21209"/>
    </row>
    <row r="21210" spans="10:10" x14ac:dyDescent="0.3">
      <c r="J21210"/>
    </row>
    <row r="21211" spans="10:10" x14ac:dyDescent="0.3">
      <c r="J21211"/>
    </row>
    <row r="21212" spans="10:10" x14ac:dyDescent="0.3">
      <c r="J21212"/>
    </row>
    <row r="21213" spans="10:10" x14ac:dyDescent="0.3">
      <c r="J21213"/>
    </row>
    <row r="21214" spans="10:10" x14ac:dyDescent="0.3">
      <c r="J21214"/>
    </row>
    <row r="21215" spans="10:10" x14ac:dyDescent="0.3">
      <c r="J21215"/>
    </row>
    <row r="21216" spans="10:10" x14ac:dyDescent="0.3">
      <c r="J21216"/>
    </row>
    <row r="21217" spans="10:10" x14ac:dyDescent="0.3">
      <c r="J21217"/>
    </row>
    <row r="21218" spans="10:10" x14ac:dyDescent="0.3">
      <c r="J21218"/>
    </row>
    <row r="21219" spans="10:10" x14ac:dyDescent="0.3">
      <c r="J21219"/>
    </row>
    <row r="21220" spans="10:10" x14ac:dyDescent="0.3">
      <c r="J21220"/>
    </row>
    <row r="21221" spans="10:10" x14ac:dyDescent="0.3">
      <c r="J21221"/>
    </row>
    <row r="21222" spans="10:10" x14ac:dyDescent="0.3">
      <c r="J21222"/>
    </row>
    <row r="21223" spans="10:10" x14ac:dyDescent="0.3">
      <c r="J21223"/>
    </row>
    <row r="21224" spans="10:10" x14ac:dyDescent="0.3">
      <c r="J21224"/>
    </row>
    <row r="21225" spans="10:10" x14ac:dyDescent="0.3">
      <c r="J21225"/>
    </row>
    <row r="21226" spans="10:10" x14ac:dyDescent="0.3">
      <c r="J21226"/>
    </row>
    <row r="21227" spans="10:10" x14ac:dyDescent="0.3">
      <c r="J21227"/>
    </row>
    <row r="21228" spans="10:10" x14ac:dyDescent="0.3">
      <c r="J21228"/>
    </row>
    <row r="21229" spans="10:10" x14ac:dyDescent="0.3">
      <c r="J21229"/>
    </row>
    <row r="21230" spans="10:10" x14ac:dyDescent="0.3">
      <c r="J21230"/>
    </row>
    <row r="21231" spans="10:10" x14ac:dyDescent="0.3">
      <c r="J21231"/>
    </row>
    <row r="21232" spans="10:10" x14ac:dyDescent="0.3">
      <c r="J21232"/>
    </row>
    <row r="21233" spans="10:10" x14ac:dyDescent="0.3">
      <c r="J21233"/>
    </row>
    <row r="21234" spans="10:10" x14ac:dyDescent="0.3">
      <c r="J21234"/>
    </row>
    <row r="21235" spans="10:10" x14ac:dyDescent="0.3">
      <c r="J21235"/>
    </row>
    <row r="21236" spans="10:10" x14ac:dyDescent="0.3">
      <c r="J21236"/>
    </row>
    <row r="21237" spans="10:10" x14ac:dyDescent="0.3">
      <c r="J21237"/>
    </row>
    <row r="21238" spans="10:10" x14ac:dyDescent="0.3">
      <c r="J21238"/>
    </row>
    <row r="21239" spans="10:10" x14ac:dyDescent="0.3">
      <c r="J21239"/>
    </row>
    <row r="21240" spans="10:10" x14ac:dyDescent="0.3">
      <c r="J21240"/>
    </row>
    <row r="21241" spans="10:10" x14ac:dyDescent="0.3">
      <c r="J21241"/>
    </row>
    <row r="21242" spans="10:10" x14ac:dyDescent="0.3">
      <c r="J21242"/>
    </row>
    <row r="21243" spans="10:10" x14ac:dyDescent="0.3">
      <c r="J21243"/>
    </row>
    <row r="21244" spans="10:10" x14ac:dyDescent="0.3">
      <c r="J21244"/>
    </row>
    <row r="21245" spans="10:10" x14ac:dyDescent="0.3">
      <c r="J21245"/>
    </row>
    <row r="21246" spans="10:10" x14ac:dyDescent="0.3">
      <c r="J21246"/>
    </row>
    <row r="21247" spans="10:10" x14ac:dyDescent="0.3">
      <c r="J21247"/>
    </row>
    <row r="21248" spans="10:10" x14ac:dyDescent="0.3">
      <c r="J21248"/>
    </row>
    <row r="21249" spans="10:10" x14ac:dyDescent="0.3">
      <c r="J21249"/>
    </row>
    <row r="21250" spans="10:10" x14ac:dyDescent="0.3">
      <c r="J21250"/>
    </row>
    <row r="21251" spans="10:10" x14ac:dyDescent="0.3">
      <c r="J21251"/>
    </row>
    <row r="21252" spans="10:10" x14ac:dyDescent="0.3">
      <c r="J21252"/>
    </row>
    <row r="21253" spans="10:10" x14ac:dyDescent="0.3">
      <c r="J21253"/>
    </row>
    <row r="21254" spans="10:10" x14ac:dyDescent="0.3">
      <c r="J21254"/>
    </row>
    <row r="21255" spans="10:10" x14ac:dyDescent="0.3">
      <c r="J21255"/>
    </row>
    <row r="21256" spans="10:10" x14ac:dyDescent="0.3">
      <c r="J21256"/>
    </row>
    <row r="21257" spans="10:10" x14ac:dyDescent="0.3">
      <c r="J21257"/>
    </row>
    <row r="21258" spans="10:10" x14ac:dyDescent="0.3">
      <c r="J21258"/>
    </row>
    <row r="21259" spans="10:10" x14ac:dyDescent="0.3">
      <c r="J21259"/>
    </row>
    <row r="21260" spans="10:10" x14ac:dyDescent="0.3">
      <c r="J21260"/>
    </row>
    <row r="21261" spans="10:10" x14ac:dyDescent="0.3">
      <c r="J21261"/>
    </row>
    <row r="21262" spans="10:10" x14ac:dyDescent="0.3">
      <c r="J21262"/>
    </row>
    <row r="21263" spans="10:10" x14ac:dyDescent="0.3">
      <c r="J21263"/>
    </row>
    <row r="21264" spans="10:10" x14ac:dyDescent="0.3">
      <c r="J21264"/>
    </row>
    <row r="21265" spans="10:10" x14ac:dyDescent="0.3">
      <c r="J21265"/>
    </row>
    <row r="21266" spans="10:10" x14ac:dyDescent="0.3">
      <c r="J21266"/>
    </row>
    <row r="21267" spans="10:10" x14ac:dyDescent="0.3">
      <c r="J21267"/>
    </row>
    <row r="21268" spans="10:10" x14ac:dyDescent="0.3">
      <c r="J21268"/>
    </row>
    <row r="21269" spans="10:10" x14ac:dyDescent="0.3">
      <c r="J21269"/>
    </row>
    <row r="21270" spans="10:10" x14ac:dyDescent="0.3">
      <c r="J21270"/>
    </row>
    <row r="21271" spans="10:10" x14ac:dyDescent="0.3">
      <c r="J21271"/>
    </row>
    <row r="21272" spans="10:10" x14ac:dyDescent="0.3">
      <c r="J21272"/>
    </row>
    <row r="21273" spans="10:10" x14ac:dyDescent="0.3">
      <c r="J21273"/>
    </row>
    <row r="21274" spans="10:10" x14ac:dyDescent="0.3">
      <c r="J21274"/>
    </row>
    <row r="21275" spans="10:10" x14ac:dyDescent="0.3">
      <c r="J21275"/>
    </row>
    <row r="21276" spans="10:10" x14ac:dyDescent="0.3">
      <c r="J21276"/>
    </row>
    <row r="21277" spans="10:10" x14ac:dyDescent="0.3">
      <c r="J21277"/>
    </row>
    <row r="21278" spans="10:10" x14ac:dyDescent="0.3">
      <c r="J21278"/>
    </row>
    <row r="21279" spans="10:10" x14ac:dyDescent="0.3">
      <c r="J21279"/>
    </row>
    <row r="21280" spans="10:10" x14ac:dyDescent="0.3">
      <c r="J21280"/>
    </row>
    <row r="21281" spans="10:10" x14ac:dyDescent="0.3">
      <c r="J21281"/>
    </row>
    <row r="21282" spans="10:10" x14ac:dyDescent="0.3">
      <c r="J21282"/>
    </row>
    <row r="21283" spans="10:10" x14ac:dyDescent="0.3">
      <c r="J21283"/>
    </row>
    <row r="21284" spans="10:10" x14ac:dyDescent="0.3">
      <c r="J21284"/>
    </row>
    <row r="21285" spans="10:10" x14ac:dyDescent="0.3">
      <c r="J21285"/>
    </row>
    <row r="21286" spans="10:10" x14ac:dyDescent="0.3">
      <c r="J21286"/>
    </row>
    <row r="21287" spans="10:10" x14ac:dyDescent="0.3">
      <c r="J21287"/>
    </row>
    <row r="21288" spans="10:10" x14ac:dyDescent="0.3">
      <c r="J21288"/>
    </row>
    <row r="21289" spans="10:10" x14ac:dyDescent="0.3">
      <c r="J21289"/>
    </row>
    <row r="21290" spans="10:10" x14ac:dyDescent="0.3">
      <c r="J21290"/>
    </row>
    <row r="21291" spans="10:10" x14ac:dyDescent="0.3">
      <c r="J21291"/>
    </row>
    <row r="21292" spans="10:10" x14ac:dyDescent="0.3">
      <c r="J21292"/>
    </row>
    <row r="21293" spans="10:10" x14ac:dyDescent="0.3">
      <c r="J21293"/>
    </row>
    <row r="21294" spans="10:10" x14ac:dyDescent="0.3">
      <c r="J21294"/>
    </row>
    <row r="21295" spans="10:10" x14ac:dyDescent="0.3">
      <c r="J21295"/>
    </row>
    <row r="21296" spans="10:10" x14ac:dyDescent="0.3">
      <c r="J21296"/>
    </row>
    <row r="21297" spans="10:10" x14ac:dyDescent="0.3">
      <c r="J21297"/>
    </row>
    <row r="21298" spans="10:10" x14ac:dyDescent="0.3">
      <c r="J21298"/>
    </row>
    <row r="21299" spans="10:10" x14ac:dyDescent="0.3">
      <c r="J21299"/>
    </row>
    <row r="21300" spans="10:10" x14ac:dyDescent="0.3">
      <c r="J21300"/>
    </row>
    <row r="21301" spans="10:10" x14ac:dyDescent="0.3">
      <c r="J21301"/>
    </row>
    <row r="21302" spans="10:10" x14ac:dyDescent="0.3">
      <c r="J21302"/>
    </row>
    <row r="21303" spans="10:10" x14ac:dyDescent="0.3">
      <c r="J21303"/>
    </row>
    <row r="21304" spans="10:10" x14ac:dyDescent="0.3">
      <c r="J21304"/>
    </row>
    <row r="21305" spans="10:10" x14ac:dyDescent="0.3">
      <c r="J21305"/>
    </row>
    <row r="21306" spans="10:10" x14ac:dyDescent="0.3">
      <c r="J21306"/>
    </row>
    <row r="21307" spans="10:10" x14ac:dyDescent="0.3">
      <c r="J21307"/>
    </row>
    <row r="21308" spans="10:10" x14ac:dyDescent="0.3">
      <c r="J21308"/>
    </row>
    <row r="21309" spans="10:10" x14ac:dyDescent="0.3">
      <c r="J21309"/>
    </row>
    <row r="21310" spans="10:10" x14ac:dyDescent="0.3">
      <c r="J21310"/>
    </row>
    <row r="21311" spans="10:10" x14ac:dyDescent="0.3">
      <c r="J21311"/>
    </row>
    <row r="21312" spans="10:10" x14ac:dyDescent="0.3">
      <c r="J21312"/>
    </row>
    <row r="21313" spans="10:10" x14ac:dyDescent="0.3">
      <c r="J21313"/>
    </row>
    <row r="21314" spans="10:10" x14ac:dyDescent="0.3">
      <c r="J21314"/>
    </row>
    <row r="21315" spans="10:10" x14ac:dyDescent="0.3">
      <c r="J21315"/>
    </row>
    <row r="21316" spans="10:10" x14ac:dyDescent="0.3">
      <c r="J21316"/>
    </row>
    <row r="21317" spans="10:10" x14ac:dyDescent="0.3">
      <c r="J21317"/>
    </row>
    <row r="21318" spans="10:10" x14ac:dyDescent="0.3">
      <c r="J21318"/>
    </row>
    <row r="21319" spans="10:10" x14ac:dyDescent="0.3">
      <c r="J21319"/>
    </row>
    <row r="21320" spans="10:10" x14ac:dyDescent="0.3">
      <c r="J21320"/>
    </row>
    <row r="21321" spans="10:10" x14ac:dyDescent="0.3">
      <c r="J21321"/>
    </row>
    <row r="21322" spans="10:10" x14ac:dyDescent="0.3">
      <c r="J21322"/>
    </row>
    <row r="21323" spans="10:10" x14ac:dyDescent="0.3">
      <c r="J21323"/>
    </row>
    <row r="21324" spans="10:10" x14ac:dyDescent="0.3">
      <c r="J21324"/>
    </row>
    <row r="21325" spans="10:10" x14ac:dyDescent="0.3">
      <c r="J21325"/>
    </row>
    <row r="21326" spans="10:10" x14ac:dyDescent="0.3">
      <c r="J21326"/>
    </row>
    <row r="21327" spans="10:10" x14ac:dyDescent="0.3">
      <c r="J21327"/>
    </row>
    <row r="21328" spans="10:10" x14ac:dyDescent="0.3">
      <c r="J21328"/>
    </row>
    <row r="21329" spans="10:10" x14ac:dyDescent="0.3">
      <c r="J21329"/>
    </row>
    <row r="21330" spans="10:10" x14ac:dyDescent="0.3">
      <c r="J21330"/>
    </row>
    <row r="21331" spans="10:10" x14ac:dyDescent="0.3">
      <c r="J21331"/>
    </row>
    <row r="21332" spans="10:10" x14ac:dyDescent="0.3">
      <c r="J21332"/>
    </row>
    <row r="21333" spans="10:10" x14ac:dyDescent="0.3">
      <c r="J21333"/>
    </row>
    <row r="21334" spans="10:10" x14ac:dyDescent="0.3">
      <c r="J21334"/>
    </row>
    <row r="21335" spans="10:10" x14ac:dyDescent="0.3">
      <c r="J21335"/>
    </row>
    <row r="21336" spans="10:10" x14ac:dyDescent="0.3">
      <c r="J21336"/>
    </row>
    <row r="21337" spans="10:10" x14ac:dyDescent="0.3">
      <c r="J21337"/>
    </row>
    <row r="21338" spans="10:10" x14ac:dyDescent="0.3">
      <c r="J21338"/>
    </row>
    <row r="21339" spans="10:10" x14ac:dyDescent="0.3">
      <c r="J21339"/>
    </row>
    <row r="21340" spans="10:10" x14ac:dyDescent="0.3">
      <c r="J21340"/>
    </row>
    <row r="21341" spans="10:10" x14ac:dyDescent="0.3">
      <c r="J21341"/>
    </row>
    <row r="21342" spans="10:10" x14ac:dyDescent="0.3">
      <c r="J21342"/>
    </row>
    <row r="21343" spans="10:10" x14ac:dyDescent="0.3">
      <c r="J21343"/>
    </row>
    <row r="21344" spans="10:10" x14ac:dyDescent="0.3">
      <c r="J21344"/>
    </row>
    <row r="21345" spans="10:10" x14ac:dyDescent="0.3">
      <c r="J21345"/>
    </row>
    <row r="21346" spans="10:10" x14ac:dyDescent="0.3">
      <c r="J21346"/>
    </row>
    <row r="21347" spans="10:10" x14ac:dyDescent="0.3">
      <c r="J21347"/>
    </row>
    <row r="21348" spans="10:10" x14ac:dyDescent="0.3">
      <c r="J21348"/>
    </row>
    <row r="21349" spans="10:10" x14ac:dyDescent="0.3">
      <c r="J21349"/>
    </row>
    <row r="21350" spans="10:10" x14ac:dyDescent="0.3">
      <c r="J21350"/>
    </row>
    <row r="21351" spans="10:10" x14ac:dyDescent="0.3">
      <c r="J21351"/>
    </row>
    <row r="21352" spans="10:10" x14ac:dyDescent="0.3">
      <c r="J21352"/>
    </row>
    <row r="21353" spans="10:10" x14ac:dyDescent="0.3">
      <c r="J21353"/>
    </row>
    <row r="21354" spans="10:10" x14ac:dyDescent="0.3">
      <c r="J21354"/>
    </row>
    <row r="21355" spans="10:10" x14ac:dyDescent="0.3">
      <c r="J21355"/>
    </row>
    <row r="21356" spans="10:10" x14ac:dyDescent="0.3">
      <c r="J21356"/>
    </row>
    <row r="21357" spans="10:10" x14ac:dyDescent="0.3">
      <c r="J21357"/>
    </row>
    <row r="21358" spans="10:10" x14ac:dyDescent="0.3">
      <c r="J21358"/>
    </row>
    <row r="21359" spans="10:10" x14ac:dyDescent="0.3">
      <c r="J21359"/>
    </row>
    <row r="21360" spans="10:10" x14ac:dyDescent="0.3">
      <c r="J21360"/>
    </row>
    <row r="21361" spans="10:10" x14ac:dyDescent="0.3">
      <c r="J21361"/>
    </row>
    <row r="21362" spans="10:10" x14ac:dyDescent="0.3">
      <c r="J21362"/>
    </row>
    <row r="21363" spans="10:10" x14ac:dyDescent="0.3">
      <c r="J21363"/>
    </row>
    <row r="21364" spans="10:10" x14ac:dyDescent="0.3">
      <c r="J21364"/>
    </row>
    <row r="21365" spans="10:10" x14ac:dyDescent="0.3">
      <c r="J21365"/>
    </row>
    <row r="21366" spans="10:10" x14ac:dyDescent="0.3">
      <c r="J21366"/>
    </row>
    <row r="21367" spans="10:10" x14ac:dyDescent="0.3">
      <c r="J21367"/>
    </row>
    <row r="21368" spans="10:10" x14ac:dyDescent="0.3">
      <c r="J21368"/>
    </row>
    <row r="21369" spans="10:10" x14ac:dyDescent="0.3">
      <c r="J21369"/>
    </row>
    <row r="21370" spans="10:10" x14ac:dyDescent="0.3">
      <c r="J21370"/>
    </row>
    <row r="21371" spans="10:10" x14ac:dyDescent="0.3">
      <c r="J21371"/>
    </row>
    <row r="21372" spans="10:10" x14ac:dyDescent="0.3">
      <c r="J21372"/>
    </row>
    <row r="21373" spans="10:10" x14ac:dyDescent="0.3">
      <c r="J21373"/>
    </row>
    <row r="21374" spans="10:10" x14ac:dyDescent="0.3">
      <c r="J21374"/>
    </row>
    <row r="21375" spans="10:10" x14ac:dyDescent="0.3">
      <c r="J21375"/>
    </row>
    <row r="21376" spans="10:10" x14ac:dyDescent="0.3">
      <c r="J21376"/>
    </row>
    <row r="21377" spans="10:10" x14ac:dyDescent="0.3">
      <c r="J21377"/>
    </row>
    <row r="21378" spans="10:10" x14ac:dyDescent="0.3">
      <c r="J21378"/>
    </row>
    <row r="21379" spans="10:10" x14ac:dyDescent="0.3">
      <c r="J21379"/>
    </row>
    <row r="21380" spans="10:10" x14ac:dyDescent="0.3">
      <c r="J21380"/>
    </row>
    <row r="21381" spans="10:10" x14ac:dyDescent="0.3">
      <c r="J21381"/>
    </row>
    <row r="21382" spans="10:10" x14ac:dyDescent="0.3">
      <c r="J21382"/>
    </row>
    <row r="21383" spans="10:10" x14ac:dyDescent="0.3">
      <c r="J21383"/>
    </row>
    <row r="21384" spans="10:10" x14ac:dyDescent="0.3">
      <c r="J21384"/>
    </row>
    <row r="21385" spans="10:10" x14ac:dyDescent="0.3">
      <c r="J21385"/>
    </row>
    <row r="21386" spans="10:10" x14ac:dyDescent="0.3">
      <c r="J21386"/>
    </row>
    <row r="21387" spans="10:10" x14ac:dyDescent="0.3">
      <c r="J21387"/>
    </row>
    <row r="21388" spans="10:10" x14ac:dyDescent="0.3">
      <c r="J21388"/>
    </row>
    <row r="21389" spans="10:10" x14ac:dyDescent="0.3">
      <c r="J21389"/>
    </row>
    <row r="21390" spans="10:10" x14ac:dyDescent="0.3">
      <c r="J21390"/>
    </row>
    <row r="21391" spans="10:10" x14ac:dyDescent="0.3">
      <c r="J21391"/>
    </row>
    <row r="21392" spans="10:10" x14ac:dyDescent="0.3">
      <c r="J21392"/>
    </row>
    <row r="21393" spans="10:10" x14ac:dyDescent="0.3">
      <c r="J21393"/>
    </row>
    <row r="21394" spans="10:10" x14ac:dyDescent="0.3">
      <c r="J21394"/>
    </row>
    <row r="21395" spans="10:10" x14ac:dyDescent="0.3">
      <c r="J21395"/>
    </row>
    <row r="21396" spans="10:10" x14ac:dyDescent="0.3">
      <c r="J21396"/>
    </row>
    <row r="21397" spans="10:10" x14ac:dyDescent="0.3">
      <c r="J21397"/>
    </row>
    <row r="21398" spans="10:10" x14ac:dyDescent="0.3">
      <c r="J21398"/>
    </row>
    <row r="21399" spans="10:10" x14ac:dyDescent="0.3">
      <c r="J21399"/>
    </row>
    <row r="21400" spans="10:10" x14ac:dyDescent="0.3">
      <c r="J21400"/>
    </row>
    <row r="21401" spans="10:10" x14ac:dyDescent="0.3">
      <c r="J21401"/>
    </row>
    <row r="21402" spans="10:10" x14ac:dyDescent="0.3">
      <c r="J21402"/>
    </row>
    <row r="21403" spans="10:10" x14ac:dyDescent="0.3">
      <c r="J21403"/>
    </row>
    <row r="21404" spans="10:10" x14ac:dyDescent="0.3">
      <c r="J21404"/>
    </row>
    <row r="21405" spans="10:10" x14ac:dyDescent="0.3">
      <c r="J21405"/>
    </row>
    <row r="21406" spans="10:10" x14ac:dyDescent="0.3">
      <c r="J21406"/>
    </row>
    <row r="21407" spans="10:10" x14ac:dyDescent="0.3">
      <c r="J21407"/>
    </row>
    <row r="21408" spans="10:10" x14ac:dyDescent="0.3">
      <c r="J21408"/>
    </row>
    <row r="21409" spans="10:10" x14ac:dyDescent="0.3">
      <c r="J21409"/>
    </row>
    <row r="21410" spans="10:10" x14ac:dyDescent="0.3">
      <c r="J21410"/>
    </row>
    <row r="21411" spans="10:10" x14ac:dyDescent="0.3">
      <c r="J21411"/>
    </row>
    <row r="21412" spans="10:10" x14ac:dyDescent="0.3">
      <c r="J21412"/>
    </row>
    <row r="21413" spans="10:10" x14ac:dyDescent="0.3">
      <c r="J21413"/>
    </row>
    <row r="21414" spans="10:10" x14ac:dyDescent="0.3">
      <c r="J21414"/>
    </row>
    <row r="21415" spans="10:10" x14ac:dyDescent="0.3">
      <c r="J21415"/>
    </row>
    <row r="21416" spans="10:10" x14ac:dyDescent="0.3">
      <c r="J21416"/>
    </row>
    <row r="21417" spans="10:10" x14ac:dyDescent="0.3">
      <c r="J21417"/>
    </row>
    <row r="21418" spans="10:10" x14ac:dyDescent="0.3">
      <c r="J21418"/>
    </row>
    <row r="21419" spans="10:10" x14ac:dyDescent="0.3">
      <c r="J21419"/>
    </row>
    <row r="21420" spans="10:10" x14ac:dyDescent="0.3">
      <c r="J21420"/>
    </row>
    <row r="21421" spans="10:10" x14ac:dyDescent="0.3">
      <c r="J21421"/>
    </row>
    <row r="21422" spans="10:10" x14ac:dyDescent="0.3">
      <c r="J21422"/>
    </row>
    <row r="21423" spans="10:10" x14ac:dyDescent="0.3">
      <c r="J21423"/>
    </row>
    <row r="21424" spans="10:10" x14ac:dyDescent="0.3">
      <c r="J21424"/>
    </row>
    <row r="21425" spans="10:10" x14ac:dyDescent="0.3">
      <c r="J21425"/>
    </row>
    <row r="21426" spans="10:10" x14ac:dyDescent="0.3">
      <c r="J21426"/>
    </row>
    <row r="21427" spans="10:10" x14ac:dyDescent="0.3">
      <c r="J21427"/>
    </row>
    <row r="21428" spans="10:10" x14ac:dyDescent="0.3">
      <c r="J21428"/>
    </row>
    <row r="21429" spans="10:10" x14ac:dyDescent="0.3">
      <c r="J21429"/>
    </row>
    <row r="21430" spans="10:10" x14ac:dyDescent="0.3">
      <c r="J21430"/>
    </row>
    <row r="21431" spans="10:10" x14ac:dyDescent="0.3">
      <c r="J21431"/>
    </row>
    <row r="21432" spans="10:10" x14ac:dyDescent="0.3">
      <c r="J21432"/>
    </row>
    <row r="21433" spans="10:10" x14ac:dyDescent="0.3">
      <c r="J21433"/>
    </row>
    <row r="21434" spans="10:10" x14ac:dyDescent="0.3">
      <c r="J21434"/>
    </row>
    <row r="21435" spans="10:10" x14ac:dyDescent="0.3">
      <c r="J21435"/>
    </row>
    <row r="21436" spans="10:10" x14ac:dyDescent="0.3">
      <c r="J21436"/>
    </row>
    <row r="21437" spans="10:10" x14ac:dyDescent="0.3">
      <c r="J21437"/>
    </row>
    <row r="21438" spans="10:10" x14ac:dyDescent="0.3">
      <c r="J21438"/>
    </row>
    <row r="21439" spans="10:10" x14ac:dyDescent="0.3">
      <c r="J21439"/>
    </row>
    <row r="21440" spans="10:10" x14ac:dyDescent="0.3">
      <c r="J21440"/>
    </row>
    <row r="21441" spans="10:10" x14ac:dyDescent="0.3">
      <c r="J21441"/>
    </row>
    <row r="21442" spans="10:10" x14ac:dyDescent="0.3">
      <c r="J21442"/>
    </row>
    <row r="21443" spans="10:10" x14ac:dyDescent="0.3">
      <c r="J21443"/>
    </row>
    <row r="21444" spans="10:10" x14ac:dyDescent="0.3">
      <c r="J21444"/>
    </row>
    <row r="21445" spans="10:10" x14ac:dyDescent="0.3">
      <c r="J21445"/>
    </row>
    <row r="21446" spans="10:10" x14ac:dyDescent="0.3">
      <c r="J21446"/>
    </row>
    <row r="21447" spans="10:10" x14ac:dyDescent="0.3">
      <c r="J21447"/>
    </row>
    <row r="21448" spans="10:10" x14ac:dyDescent="0.3">
      <c r="J21448"/>
    </row>
    <row r="21449" spans="10:10" x14ac:dyDescent="0.3">
      <c r="J21449"/>
    </row>
    <row r="21450" spans="10:10" x14ac:dyDescent="0.3">
      <c r="J21450"/>
    </row>
    <row r="21451" spans="10:10" x14ac:dyDescent="0.3">
      <c r="J21451"/>
    </row>
    <row r="21452" spans="10:10" x14ac:dyDescent="0.3">
      <c r="J21452"/>
    </row>
    <row r="21453" spans="10:10" x14ac:dyDescent="0.3">
      <c r="J21453"/>
    </row>
    <row r="21454" spans="10:10" x14ac:dyDescent="0.3">
      <c r="J21454"/>
    </row>
    <row r="21455" spans="10:10" x14ac:dyDescent="0.3">
      <c r="J21455"/>
    </row>
    <row r="21456" spans="10:10" x14ac:dyDescent="0.3">
      <c r="J21456"/>
    </row>
    <row r="21457" spans="10:10" x14ac:dyDescent="0.3">
      <c r="J21457"/>
    </row>
    <row r="21458" spans="10:10" x14ac:dyDescent="0.3">
      <c r="J21458"/>
    </row>
    <row r="21459" spans="10:10" x14ac:dyDescent="0.3">
      <c r="J21459"/>
    </row>
    <row r="21460" spans="10:10" x14ac:dyDescent="0.3">
      <c r="J21460"/>
    </row>
    <row r="21461" spans="10:10" x14ac:dyDescent="0.3">
      <c r="J21461"/>
    </row>
    <row r="21462" spans="10:10" x14ac:dyDescent="0.3">
      <c r="J21462"/>
    </row>
    <row r="21463" spans="10:10" x14ac:dyDescent="0.3">
      <c r="J21463"/>
    </row>
    <row r="21464" spans="10:10" x14ac:dyDescent="0.3">
      <c r="J21464"/>
    </row>
    <row r="21465" spans="10:10" x14ac:dyDescent="0.3">
      <c r="J21465"/>
    </row>
    <row r="21466" spans="10:10" x14ac:dyDescent="0.3">
      <c r="J21466"/>
    </row>
    <row r="21467" spans="10:10" x14ac:dyDescent="0.3">
      <c r="J21467"/>
    </row>
    <row r="21468" spans="10:10" x14ac:dyDescent="0.3">
      <c r="J21468"/>
    </row>
    <row r="21469" spans="10:10" x14ac:dyDescent="0.3">
      <c r="J21469"/>
    </row>
    <row r="21470" spans="10:10" x14ac:dyDescent="0.3">
      <c r="J21470"/>
    </row>
    <row r="21471" spans="10:10" x14ac:dyDescent="0.3">
      <c r="J21471"/>
    </row>
    <row r="21472" spans="10:10" x14ac:dyDescent="0.3">
      <c r="J21472"/>
    </row>
    <row r="21473" spans="10:10" x14ac:dyDescent="0.3">
      <c r="J21473"/>
    </row>
    <row r="21474" spans="10:10" x14ac:dyDescent="0.3">
      <c r="J21474"/>
    </row>
    <row r="21475" spans="10:10" x14ac:dyDescent="0.3">
      <c r="J21475"/>
    </row>
    <row r="21476" spans="10:10" x14ac:dyDescent="0.3">
      <c r="J21476"/>
    </row>
    <row r="21477" spans="10:10" x14ac:dyDescent="0.3">
      <c r="J21477"/>
    </row>
    <row r="21478" spans="10:10" x14ac:dyDescent="0.3">
      <c r="J21478"/>
    </row>
    <row r="21479" spans="10:10" x14ac:dyDescent="0.3">
      <c r="J21479"/>
    </row>
    <row r="21480" spans="10:10" x14ac:dyDescent="0.3">
      <c r="J21480"/>
    </row>
    <row r="21481" spans="10:10" x14ac:dyDescent="0.3">
      <c r="J21481"/>
    </row>
    <row r="21482" spans="10:10" x14ac:dyDescent="0.3">
      <c r="J21482"/>
    </row>
    <row r="21483" spans="10:10" x14ac:dyDescent="0.3">
      <c r="J21483"/>
    </row>
    <row r="21484" spans="10:10" x14ac:dyDescent="0.3">
      <c r="J21484"/>
    </row>
    <row r="21485" spans="10:10" x14ac:dyDescent="0.3">
      <c r="J21485"/>
    </row>
    <row r="21486" spans="10:10" x14ac:dyDescent="0.3">
      <c r="J21486"/>
    </row>
    <row r="21487" spans="10:10" x14ac:dyDescent="0.3">
      <c r="J21487"/>
    </row>
    <row r="21488" spans="10:10" x14ac:dyDescent="0.3">
      <c r="J21488"/>
    </row>
    <row r="21489" spans="10:10" x14ac:dyDescent="0.3">
      <c r="J21489"/>
    </row>
    <row r="21490" spans="10:10" x14ac:dyDescent="0.3">
      <c r="J21490"/>
    </row>
    <row r="21491" spans="10:10" x14ac:dyDescent="0.3">
      <c r="J21491"/>
    </row>
    <row r="21492" spans="10:10" x14ac:dyDescent="0.3">
      <c r="J21492"/>
    </row>
    <row r="21493" spans="10:10" x14ac:dyDescent="0.3">
      <c r="J21493"/>
    </row>
    <row r="21494" spans="10:10" x14ac:dyDescent="0.3">
      <c r="J21494"/>
    </row>
    <row r="21495" spans="10:10" x14ac:dyDescent="0.3">
      <c r="J21495"/>
    </row>
    <row r="21496" spans="10:10" x14ac:dyDescent="0.3">
      <c r="J21496"/>
    </row>
    <row r="21497" spans="10:10" x14ac:dyDescent="0.3">
      <c r="J21497"/>
    </row>
    <row r="21498" spans="10:10" x14ac:dyDescent="0.3">
      <c r="J21498"/>
    </row>
    <row r="21499" spans="10:10" x14ac:dyDescent="0.3">
      <c r="J21499"/>
    </row>
    <row r="21500" spans="10:10" x14ac:dyDescent="0.3">
      <c r="J21500"/>
    </row>
    <row r="21501" spans="10:10" x14ac:dyDescent="0.3">
      <c r="J21501"/>
    </row>
    <row r="21502" spans="10:10" x14ac:dyDescent="0.3">
      <c r="J21502"/>
    </row>
    <row r="21503" spans="10:10" x14ac:dyDescent="0.3">
      <c r="J21503"/>
    </row>
    <row r="21504" spans="10:10" x14ac:dyDescent="0.3">
      <c r="J21504"/>
    </row>
    <row r="21505" spans="10:10" x14ac:dyDescent="0.3">
      <c r="J21505"/>
    </row>
    <row r="21506" spans="10:10" x14ac:dyDescent="0.3">
      <c r="J21506"/>
    </row>
    <row r="21507" spans="10:10" x14ac:dyDescent="0.3">
      <c r="J21507"/>
    </row>
    <row r="21508" spans="10:10" x14ac:dyDescent="0.3">
      <c r="J21508"/>
    </row>
    <row r="21509" spans="10:10" x14ac:dyDescent="0.3">
      <c r="J21509"/>
    </row>
    <row r="21510" spans="10:10" x14ac:dyDescent="0.3">
      <c r="J21510"/>
    </row>
    <row r="21511" spans="10:10" x14ac:dyDescent="0.3">
      <c r="J21511"/>
    </row>
    <row r="21512" spans="10:10" x14ac:dyDescent="0.3">
      <c r="J21512"/>
    </row>
    <row r="21513" spans="10:10" x14ac:dyDescent="0.3">
      <c r="J21513"/>
    </row>
    <row r="21514" spans="10:10" x14ac:dyDescent="0.3">
      <c r="J21514"/>
    </row>
    <row r="21515" spans="10:10" x14ac:dyDescent="0.3">
      <c r="J21515"/>
    </row>
    <row r="21516" spans="10:10" x14ac:dyDescent="0.3">
      <c r="J21516"/>
    </row>
    <row r="21517" spans="10:10" x14ac:dyDescent="0.3">
      <c r="J21517"/>
    </row>
    <row r="21518" spans="10:10" x14ac:dyDescent="0.3">
      <c r="J21518"/>
    </row>
    <row r="21519" spans="10:10" x14ac:dyDescent="0.3">
      <c r="J21519"/>
    </row>
    <row r="21520" spans="10:10" x14ac:dyDescent="0.3">
      <c r="J21520"/>
    </row>
    <row r="21521" spans="10:10" x14ac:dyDescent="0.3">
      <c r="J21521"/>
    </row>
    <row r="21522" spans="10:10" x14ac:dyDescent="0.3">
      <c r="J21522"/>
    </row>
    <row r="21523" spans="10:10" x14ac:dyDescent="0.3">
      <c r="J21523"/>
    </row>
    <row r="21524" spans="10:10" x14ac:dyDescent="0.3">
      <c r="J21524"/>
    </row>
    <row r="21525" spans="10:10" x14ac:dyDescent="0.3">
      <c r="J21525"/>
    </row>
    <row r="21526" spans="10:10" x14ac:dyDescent="0.3">
      <c r="J21526"/>
    </row>
    <row r="21527" spans="10:10" x14ac:dyDescent="0.3">
      <c r="J21527"/>
    </row>
    <row r="21528" spans="10:10" x14ac:dyDescent="0.3">
      <c r="J21528"/>
    </row>
    <row r="21529" spans="10:10" x14ac:dyDescent="0.3">
      <c r="J21529"/>
    </row>
    <row r="21530" spans="10:10" x14ac:dyDescent="0.3">
      <c r="J21530"/>
    </row>
    <row r="21531" spans="10:10" x14ac:dyDescent="0.3">
      <c r="J21531"/>
    </row>
    <row r="21532" spans="10:10" x14ac:dyDescent="0.3">
      <c r="J21532"/>
    </row>
    <row r="21533" spans="10:10" x14ac:dyDescent="0.3">
      <c r="J21533"/>
    </row>
    <row r="21534" spans="10:10" x14ac:dyDescent="0.3">
      <c r="J21534"/>
    </row>
    <row r="21535" spans="10:10" x14ac:dyDescent="0.3">
      <c r="J21535"/>
    </row>
    <row r="21536" spans="10:10" x14ac:dyDescent="0.3">
      <c r="J21536"/>
    </row>
    <row r="21537" spans="10:10" x14ac:dyDescent="0.3">
      <c r="J21537"/>
    </row>
    <row r="21538" spans="10:10" x14ac:dyDescent="0.3">
      <c r="J21538"/>
    </row>
    <row r="21539" spans="10:10" x14ac:dyDescent="0.3">
      <c r="J21539"/>
    </row>
    <row r="21540" spans="10:10" x14ac:dyDescent="0.3">
      <c r="J21540"/>
    </row>
    <row r="21541" spans="10:10" x14ac:dyDescent="0.3">
      <c r="J21541"/>
    </row>
    <row r="21542" spans="10:10" x14ac:dyDescent="0.3">
      <c r="J21542"/>
    </row>
    <row r="21543" spans="10:10" x14ac:dyDescent="0.3">
      <c r="J21543"/>
    </row>
    <row r="21544" spans="10:10" x14ac:dyDescent="0.3">
      <c r="J21544"/>
    </row>
    <row r="21545" spans="10:10" x14ac:dyDescent="0.3">
      <c r="J21545"/>
    </row>
    <row r="21546" spans="10:10" x14ac:dyDescent="0.3">
      <c r="J21546"/>
    </row>
    <row r="21547" spans="10:10" x14ac:dyDescent="0.3">
      <c r="J21547"/>
    </row>
    <row r="21548" spans="10:10" x14ac:dyDescent="0.3">
      <c r="J21548"/>
    </row>
    <row r="21549" spans="10:10" x14ac:dyDescent="0.3">
      <c r="J21549"/>
    </row>
    <row r="21550" spans="10:10" x14ac:dyDescent="0.3">
      <c r="J21550"/>
    </row>
    <row r="21551" spans="10:10" x14ac:dyDescent="0.3">
      <c r="J21551"/>
    </row>
    <row r="21552" spans="10:10" x14ac:dyDescent="0.3">
      <c r="J21552"/>
    </row>
    <row r="21553" spans="10:10" x14ac:dyDescent="0.3">
      <c r="J21553"/>
    </row>
    <row r="21554" spans="10:10" x14ac:dyDescent="0.3">
      <c r="J21554"/>
    </row>
    <row r="21555" spans="10:10" x14ac:dyDescent="0.3">
      <c r="J21555"/>
    </row>
    <row r="21556" spans="10:10" x14ac:dyDescent="0.3">
      <c r="J21556"/>
    </row>
    <row r="21557" spans="10:10" x14ac:dyDescent="0.3">
      <c r="J21557"/>
    </row>
    <row r="21558" spans="10:10" x14ac:dyDescent="0.3">
      <c r="J21558"/>
    </row>
    <row r="21559" spans="10:10" x14ac:dyDescent="0.3">
      <c r="J21559"/>
    </row>
    <row r="21560" spans="10:10" x14ac:dyDescent="0.3">
      <c r="J21560"/>
    </row>
    <row r="21561" spans="10:10" x14ac:dyDescent="0.3">
      <c r="J21561"/>
    </row>
    <row r="21562" spans="10:10" x14ac:dyDescent="0.3">
      <c r="J21562"/>
    </row>
    <row r="21563" spans="10:10" x14ac:dyDescent="0.3">
      <c r="J21563"/>
    </row>
    <row r="21564" spans="10:10" x14ac:dyDescent="0.3">
      <c r="J21564"/>
    </row>
    <row r="21565" spans="10:10" x14ac:dyDescent="0.3">
      <c r="J21565"/>
    </row>
    <row r="21566" spans="10:10" x14ac:dyDescent="0.3">
      <c r="J21566"/>
    </row>
    <row r="21567" spans="10:10" x14ac:dyDescent="0.3">
      <c r="J21567"/>
    </row>
    <row r="21568" spans="10:10" x14ac:dyDescent="0.3">
      <c r="J21568"/>
    </row>
    <row r="21569" spans="10:10" x14ac:dyDescent="0.3">
      <c r="J21569"/>
    </row>
    <row r="21570" spans="10:10" x14ac:dyDescent="0.3">
      <c r="J21570"/>
    </row>
    <row r="21571" spans="10:10" x14ac:dyDescent="0.3">
      <c r="J21571"/>
    </row>
    <row r="21572" spans="10:10" x14ac:dyDescent="0.3">
      <c r="J21572"/>
    </row>
    <row r="21573" spans="10:10" x14ac:dyDescent="0.3">
      <c r="J21573"/>
    </row>
    <row r="21574" spans="10:10" x14ac:dyDescent="0.3">
      <c r="J21574"/>
    </row>
    <row r="21575" spans="10:10" x14ac:dyDescent="0.3">
      <c r="J21575"/>
    </row>
    <row r="21576" spans="10:10" x14ac:dyDescent="0.3">
      <c r="J21576"/>
    </row>
    <row r="21577" spans="10:10" x14ac:dyDescent="0.3">
      <c r="J21577"/>
    </row>
    <row r="21578" spans="10:10" x14ac:dyDescent="0.3">
      <c r="J21578"/>
    </row>
    <row r="21579" spans="10:10" x14ac:dyDescent="0.3">
      <c r="J21579"/>
    </row>
    <row r="21580" spans="10:10" x14ac:dyDescent="0.3">
      <c r="J21580"/>
    </row>
    <row r="21581" spans="10:10" x14ac:dyDescent="0.3">
      <c r="J21581"/>
    </row>
    <row r="21582" spans="10:10" x14ac:dyDescent="0.3">
      <c r="J21582"/>
    </row>
    <row r="21583" spans="10:10" x14ac:dyDescent="0.3">
      <c r="J21583"/>
    </row>
    <row r="21584" spans="10:10" x14ac:dyDescent="0.3">
      <c r="J21584"/>
    </row>
    <row r="21585" spans="10:10" x14ac:dyDescent="0.3">
      <c r="J21585"/>
    </row>
    <row r="21586" spans="10:10" x14ac:dyDescent="0.3">
      <c r="J21586"/>
    </row>
    <row r="21587" spans="10:10" x14ac:dyDescent="0.3">
      <c r="J21587"/>
    </row>
    <row r="21588" spans="10:10" x14ac:dyDescent="0.3">
      <c r="J21588"/>
    </row>
    <row r="21589" spans="10:10" x14ac:dyDescent="0.3">
      <c r="J21589"/>
    </row>
    <row r="21590" spans="10:10" x14ac:dyDescent="0.3">
      <c r="J21590"/>
    </row>
    <row r="21591" spans="10:10" x14ac:dyDescent="0.3">
      <c r="J21591"/>
    </row>
    <row r="21592" spans="10:10" x14ac:dyDescent="0.3">
      <c r="J21592"/>
    </row>
    <row r="21593" spans="10:10" x14ac:dyDescent="0.3">
      <c r="J21593"/>
    </row>
    <row r="21594" spans="10:10" x14ac:dyDescent="0.3">
      <c r="J21594"/>
    </row>
    <row r="21595" spans="10:10" x14ac:dyDescent="0.3">
      <c r="J21595"/>
    </row>
    <row r="21596" spans="10:10" x14ac:dyDescent="0.3">
      <c r="J21596"/>
    </row>
    <row r="21597" spans="10:10" x14ac:dyDescent="0.3">
      <c r="J21597"/>
    </row>
    <row r="21598" spans="10:10" x14ac:dyDescent="0.3">
      <c r="J21598"/>
    </row>
    <row r="21599" spans="10:10" x14ac:dyDescent="0.3">
      <c r="J21599"/>
    </row>
    <row r="21600" spans="10:10" x14ac:dyDescent="0.3">
      <c r="J21600"/>
    </row>
    <row r="21601" spans="10:10" x14ac:dyDescent="0.3">
      <c r="J21601"/>
    </row>
    <row r="21602" spans="10:10" x14ac:dyDescent="0.3">
      <c r="J21602"/>
    </row>
    <row r="21603" spans="10:10" x14ac:dyDescent="0.3">
      <c r="J21603"/>
    </row>
    <row r="21604" spans="10:10" x14ac:dyDescent="0.3">
      <c r="J21604"/>
    </row>
    <row r="21605" spans="10:10" x14ac:dyDescent="0.3">
      <c r="J21605"/>
    </row>
    <row r="21606" spans="10:10" x14ac:dyDescent="0.3">
      <c r="J21606"/>
    </row>
    <row r="21607" spans="10:10" x14ac:dyDescent="0.3">
      <c r="J21607"/>
    </row>
    <row r="21608" spans="10:10" x14ac:dyDescent="0.3">
      <c r="J21608"/>
    </row>
    <row r="21609" spans="10:10" x14ac:dyDescent="0.3">
      <c r="J21609"/>
    </row>
    <row r="21610" spans="10:10" x14ac:dyDescent="0.3">
      <c r="J21610"/>
    </row>
    <row r="21611" spans="10:10" x14ac:dyDescent="0.3">
      <c r="J21611"/>
    </row>
    <row r="21612" spans="10:10" x14ac:dyDescent="0.3">
      <c r="J21612"/>
    </row>
    <row r="21613" spans="10:10" x14ac:dyDescent="0.3">
      <c r="J21613"/>
    </row>
    <row r="21614" spans="10:10" x14ac:dyDescent="0.3">
      <c r="J21614"/>
    </row>
    <row r="21615" spans="10:10" x14ac:dyDescent="0.3">
      <c r="J21615"/>
    </row>
    <row r="21616" spans="10:10" x14ac:dyDescent="0.3">
      <c r="J21616"/>
    </row>
    <row r="21617" spans="10:10" x14ac:dyDescent="0.3">
      <c r="J21617"/>
    </row>
    <row r="21618" spans="10:10" x14ac:dyDescent="0.3">
      <c r="J21618"/>
    </row>
    <row r="21619" spans="10:10" x14ac:dyDescent="0.3">
      <c r="J21619"/>
    </row>
    <row r="21620" spans="10:10" x14ac:dyDescent="0.3">
      <c r="J21620"/>
    </row>
    <row r="21621" spans="10:10" x14ac:dyDescent="0.3">
      <c r="J21621"/>
    </row>
    <row r="21622" spans="10:10" x14ac:dyDescent="0.3">
      <c r="J21622"/>
    </row>
    <row r="21623" spans="10:10" x14ac:dyDescent="0.3">
      <c r="J21623"/>
    </row>
    <row r="21624" spans="10:10" x14ac:dyDescent="0.3">
      <c r="J21624"/>
    </row>
    <row r="21625" spans="10:10" x14ac:dyDescent="0.3">
      <c r="J21625"/>
    </row>
    <row r="21626" spans="10:10" x14ac:dyDescent="0.3">
      <c r="J21626"/>
    </row>
    <row r="21627" spans="10:10" x14ac:dyDescent="0.3">
      <c r="J21627"/>
    </row>
    <row r="21628" spans="10:10" x14ac:dyDescent="0.3">
      <c r="J21628"/>
    </row>
    <row r="21629" spans="10:10" x14ac:dyDescent="0.3">
      <c r="J21629"/>
    </row>
    <row r="21630" spans="10:10" x14ac:dyDescent="0.3">
      <c r="J21630"/>
    </row>
    <row r="21631" spans="10:10" x14ac:dyDescent="0.3">
      <c r="J21631"/>
    </row>
    <row r="21632" spans="10:10" x14ac:dyDescent="0.3">
      <c r="J21632"/>
    </row>
    <row r="21633" spans="10:10" x14ac:dyDescent="0.3">
      <c r="J21633"/>
    </row>
    <row r="21634" spans="10:10" x14ac:dyDescent="0.3">
      <c r="J21634"/>
    </row>
    <row r="21635" spans="10:10" x14ac:dyDescent="0.3">
      <c r="J21635"/>
    </row>
    <row r="21636" spans="10:10" x14ac:dyDescent="0.3">
      <c r="J21636"/>
    </row>
    <row r="21637" spans="10:10" x14ac:dyDescent="0.3">
      <c r="J21637"/>
    </row>
    <row r="21638" spans="10:10" x14ac:dyDescent="0.3">
      <c r="J21638"/>
    </row>
    <row r="21639" spans="10:10" x14ac:dyDescent="0.3">
      <c r="J21639"/>
    </row>
    <row r="21640" spans="10:10" x14ac:dyDescent="0.3">
      <c r="J21640"/>
    </row>
    <row r="21641" spans="10:10" x14ac:dyDescent="0.3">
      <c r="J21641"/>
    </row>
    <row r="21642" spans="10:10" x14ac:dyDescent="0.3">
      <c r="J21642"/>
    </row>
    <row r="21643" spans="10:10" x14ac:dyDescent="0.3">
      <c r="J21643"/>
    </row>
    <row r="21644" spans="10:10" x14ac:dyDescent="0.3">
      <c r="J21644"/>
    </row>
    <row r="21645" spans="10:10" x14ac:dyDescent="0.3">
      <c r="J21645"/>
    </row>
    <row r="21646" spans="10:10" x14ac:dyDescent="0.3">
      <c r="J21646"/>
    </row>
    <row r="21647" spans="10:10" x14ac:dyDescent="0.3">
      <c r="J21647"/>
    </row>
    <row r="21648" spans="10:10" x14ac:dyDescent="0.3">
      <c r="J21648"/>
    </row>
    <row r="21649" spans="10:10" x14ac:dyDescent="0.3">
      <c r="J21649"/>
    </row>
    <row r="21650" spans="10:10" x14ac:dyDescent="0.3">
      <c r="J21650"/>
    </row>
    <row r="21651" spans="10:10" x14ac:dyDescent="0.3">
      <c r="J21651"/>
    </row>
    <row r="21652" spans="10:10" x14ac:dyDescent="0.3">
      <c r="J21652"/>
    </row>
    <row r="21653" spans="10:10" x14ac:dyDescent="0.3">
      <c r="J21653"/>
    </row>
    <row r="21654" spans="10:10" x14ac:dyDescent="0.3">
      <c r="J21654"/>
    </row>
    <row r="21655" spans="10:10" x14ac:dyDescent="0.3">
      <c r="J21655"/>
    </row>
    <row r="21656" spans="10:10" x14ac:dyDescent="0.3">
      <c r="J21656"/>
    </row>
    <row r="21657" spans="10:10" x14ac:dyDescent="0.3">
      <c r="J21657"/>
    </row>
    <row r="21658" spans="10:10" x14ac:dyDescent="0.3">
      <c r="J21658"/>
    </row>
    <row r="21659" spans="10:10" x14ac:dyDescent="0.3">
      <c r="J21659"/>
    </row>
    <row r="21660" spans="10:10" x14ac:dyDescent="0.3">
      <c r="J21660"/>
    </row>
    <row r="21661" spans="10:10" x14ac:dyDescent="0.3">
      <c r="J21661"/>
    </row>
    <row r="21662" spans="10:10" x14ac:dyDescent="0.3">
      <c r="J21662"/>
    </row>
    <row r="21663" spans="10:10" x14ac:dyDescent="0.3">
      <c r="J21663"/>
    </row>
    <row r="21664" spans="10:10" x14ac:dyDescent="0.3">
      <c r="J21664"/>
    </row>
    <row r="21665" spans="10:10" x14ac:dyDescent="0.3">
      <c r="J21665"/>
    </row>
    <row r="21666" spans="10:10" x14ac:dyDescent="0.3">
      <c r="J21666"/>
    </row>
    <row r="21667" spans="10:10" x14ac:dyDescent="0.3">
      <c r="J21667"/>
    </row>
    <row r="21668" spans="10:10" x14ac:dyDescent="0.3">
      <c r="J21668"/>
    </row>
    <row r="21669" spans="10:10" x14ac:dyDescent="0.3">
      <c r="J21669"/>
    </row>
    <row r="21670" spans="10:10" x14ac:dyDescent="0.3">
      <c r="J21670"/>
    </row>
    <row r="21671" spans="10:10" x14ac:dyDescent="0.3">
      <c r="J21671"/>
    </row>
    <row r="21672" spans="10:10" x14ac:dyDescent="0.3">
      <c r="J21672"/>
    </row>
    <row r="21673" spans="10:10" x14ac:dyDescent="0.3">
      <c r="J21673"/>
    </row>
    <row r="21674" spans="10:10" x14ac:dyDescent="0.3">
      <c r="J21674"/>
    </row>
    <row r="21675" spans="10:10" x14ac:dyDescent="0.3">
      <c r="J21675"/>
    </row>
    <row r="21676" spans="10:10" x14ac:dyDescent="0.3">
      <c r="J21676"/>
    </row>
    <row r="21677" spans="10:10" x14ac:dyDescent="0.3">
      <c r="J21677"/>
    </row>
    <row r="21678" spans="10:10" x14ac:dyDescent="0.3">
      <c r="J21678"/>
    </row>
    <row r="21679" spans="10:10" x14ac:dyDescent="0.3">
      <c r="J21679"/>
    </row>
    <row r="21680" spans="10:10" x14ac:dyDescent="0.3">
      <c r="J21680"/>
    </row>
    <row r="21681" spans="10:10" x14ac:dyDescent="0.3">
      <c r="J21681"/>
    </row>
    <row r="21682" spans="10:10" x14ac:dyDescent="0.3">
      <c r="J21682"/>
    </row>
    <row r="21683" spans="10:10" x14ac:dyDescent="0.3">
      <c r="J21683"/>
    </row>
    <row r="21684" spans="10:10" x14ac:dyDescent="0.3">
      <c r="J21684"/>
    </row>
    <row r="21685" spans="10:10" x14ac:dyDescent="0.3">
      <c r="J21685"/>
    </row>
    <row r="21686" spans="10:10" x14ac:dyDescent="0.3">
      <c r="J21686"/>
    </row>
    <row r="21687" spans="10:10" x14ac:dyDescent="0.3">
      <c r="J21687"/>
    </row>
    <row r="21688" spans="10:10" x14ac:dyDescent="0.3">
      <c r="J21688"/>
    </row>
    <row r="21689" spans="10:10" x14ac:dyDescent="0.3">
      <c r="J21689"/>
    </row>
    <row r="21690" spans="10:10" x14ac:dyDescent="0.3">
      <c r="J21690"/>
    </row>
    <row r="21691" spans="10:10" x14ac:dyDescent="0.3">
      <c r="J21691"/>
    </row>
    <row r="21692" spans="10:10" x14ac:dyDescent="0.3">
      <c r="J21692"/>
    </row>
    <row r="21693" spans="10:10" x14ac:dyDescent="0.3">
      <c r="J21693"/>
    </row>
    <row r="21694" spans="10:10" x14ac:dyDescent="0.3">
      <c r="J21694"/>
    </row>
    <row r="21695" spans="10:10" x14ac:dyDescent="0.3">
      <c r="J21695"/>
    </row>
    <row r="21696" spans="10:10" x14ac:dyDescent="0.3">
      <c r="J21696"/>
    </row>
    <row r="21697" spans="10:10" x14ac:dyDescent="0.3">
      <c r="J21697"/>
    </row>
    <row r="21698" spans="10:10" x14ac:dyDescent="0.3">
      <c r="J21698"/>
    </row>
    <row r="21699" spans="10:10" x14ac:dyDescent="0.3">
      <c r="J21699"/>
    </row>
    <row r="21700" spans="10:10" x14ac:dyDescent="0.3">
      <c r="J21700"/>
    </row>
    <row r="21701" spans="10:10" x14ac:dyDescent="0.3">
      <c r="J21701"/>
    </row>
    <row r="21702" spans="10:10" x14ac:dyDescent="0.3">
      <c r="J21702"/>
    </row>
    <row r="21703" spans="10:10" x14ac:dyDescent="0.3">
      <c r="J21703"/>
    </row>
    <row r="21704" spans="10:10" x14ac:dyDescent="0.3">
      <c r="J21704"/>
    </row>
    <row r="21705" spans="10:10" x14ac:dyDescent="0.3">
      <c r="J21705"/>
    </row>
    <row r="21706" spans="10:10" x14ac:dyDescent="0.3">
      <c r="J21706"/>
    </row>
    <row r="21707" spans="10:10" x14ac:dyDescent="0.3">
      <c r="J21707"/>
    </row>
    <row r="21708" spans="10:10" x14ac:dyDescent="0.3">
      <c r="J21708"/>
    </row>
    <row r="21709" spans="10:10" x14ac:dyDescent="0.3">
      <c r="J21709"/>
    </row>
    <row r="21710" spans="10:10" x14ac:dyDescent="0.3">
      <c r="J21710"/>
    </row>
    <row r="21711" spans="10:10" x14ac:dyDescent="0.3">
      <c r="J21711"/>
    </row>
    <row r="21712" spans="10:10" x14ac:dyDescent="0.3">
      <c r="J21712"/>
    </row>
    <row r="21713" spans="10:10" x14ac:dyDescent="0.3">
      <c r="J21713"/>
    </row>
    <row r="21714" spans="10:10" x14ac:dyDescent="0.3">
      <c r="J21714"/>
    </row>
    <row r="21715" spans="10:10" x14ac:dyDescent="0.3">
      <c r="J21715"/>
    </row>
    <row r="21716" spans="10:10" x14ac:dyDescent="0.3">
      <c r="J21716"/>
    </row>
    <row r="21717" spans="10:10" x14ac:dyDescent="0.3">
      <c r="J21717"/>
    </row>
    <row r="21718" spans="10:10" x14ac:dyDescent="0.3">
      <c r="J21718"/>
    </row>
    <row r="21719" spans="10:10" x14ac:dyDescent="0.3">
      <c r="J21719"/>
    </row>
    <row r="21720" spans="10:10" x14ac:dyDescent="0.3">
      <c r="J21720"/>
    </row>
    <row r="21721" spans="10:10" x14ac:dyDescent="0.3">
      <c r="J21721"/>
    </row>
    <row r="21722" spans="10:10" x14ac:dyDescent="0.3">
      <c r="J21722"/>
    </row>
    <row r="21723" spans="10:10" x14ac:dyDescent="0.3">
      <c r="J21723"/>
    </row>
    <row r="21724" spans="10:10" x14ac:dyDescent="0.3">
      <c r="J21724"/>
    </row>
    <row r="21725" spans="10:10" x14ac:dyDescent="0.3">
      <c r="J21725"/>
    </row>
    <row r="21726" spans="10:10" x14ac:dyDescent="0.3">
      <c r="J21726"/>
    </row>
    <row r="21727" spans="10:10" x14ac:dyDescent="0.3">
      <c r="J21727"/>
    </row>
    <row r="21728" spans="10:10" x14ac:dyDescent="0.3">
      <c r="J21728"/>
    </row>
    <row r="21729" spans="10:10" x14ac:dyDescent="0.3">
      <c r="J21729"/>
    </row>
    <row r="21730" spans="10:10" x14ac:dyDescent="0.3">
      <c r="J21730"/>
    </row>
    <row r="21731" spans="10:10" x14ac:dyDescent="0.3">
      <c r="J21731"/>
    </row>
    <row r="21732" spans="10:10" x14ac:dyDescent="0.3">
      <c r="J21732"/>
    </row>
    <row r="21733" spans="10:10" x14ac:dyDescent="0.3">
      <c r="J21733"/>
    </row>
    <row r="21734" spans="10:10" x14ac:dyDescent="0.3">
      <c r="J21734"/>
    </row>
    <row r="21735" spans="10:10" x14ac:dyDescent="0.3">
      <c r="J21735"/>
    </row>
    <row r="21736" spans="10:10" x14ac:dyDescent="0.3">
      <c r="J21736"/>
    </row>
    <row r="21737" spans="10:10" x14ac:dyDescent="0.3">
      <c r="J21737"/>
    </row>
    <row r="21738" spans="10:10" x14ac:dyDescent="0.3">
      <c r="J21738"/>
    </row>
    <row r="21739" spans="10:10" x14ac:dyDescent="0.3">
      <c r="J21739"/>
    </row>
    <row r="21740" spans="10:10" x14ac:dyDescent="0.3">
      <c r="J21740"/>
    </row>
    <row r="21741" spans="10:10" x14ac:dyDescent="0.3">
      <c r="J21741"/>
    </row>
    <row r="21742" spans="10:10" x14ac:dyDescent="0.3">
      <c r="J21742"/>
    </row>
    <row r="21743" spans="10:10" x14ac:dyDescent="0.3">
      <c r="J21743"/>
    </row>
    <row r="21744" spans="10:10" x14ac:dyDescent="0.3">
      <c r="J21744"/>
    </row>
    <row r="21745" spans="10:10" x14ac:dyDescent="0.3">
      <c r="J21745"/>
    </row>
    <row r="21746" spans="10:10" x14ac:dyDescent="0.3">
      <c r="J21746"/>
    </row>
    <row r="21747" spans="10:10" x14ac:dyDescent="0.3">
      <c r="J21747"/>
    </row>
    <row r="21748" spans="10:10" x14ac:dyDescent="0.3">
      <c r="J21748"/>
    </row>
    <row r="21749" spans="10:10" x14ac:dyDescent="0.3">
      <c r="J21749"/>
    </row>
    <row r="21750" spans="10:10" x14ac:dyDescent="0.3">
      <c r="J21750"/>
    </row>
    <row r="21751" spans="10:10" x14ac:dyDescent="0.3">
      <c r="J21751"/>
    </row>
    <row r="21752" spans="10:10" x14ac:dyDescent="0.3">
      <c r="J21752"/>
    </row>
    <row r="21753" spans="10:10" x14ac:dyDescent="0.3">
      <c r="J21753"/>
    </row>
    <row r="21754" spans="10:10" x14ac:dyDescent="0.3">
      <c r="J21754"/>
    </row>
    <row r="21755" spans="10:10" x14ac:dyDescent="0.3">
      <c r="J21755"/>
    </row>
    <row r="21756" spans="10:10" x14ac:dyDescent="0.3">
      <c r="J21756"/>
    </row>
    <row r="21757" spans="10:10" x14ac:dyDescent="0.3">
      <c r="J21757"/>
    </row>
    <row r="21758" spans="10:10" x14ac:dyDescent="0.3">
      <c r="J21758"/>
    </row>
    <row r="21759" spans="10:10" x14ac:dyDescent="0.3">
      <c r="J21759"/>
    </row>
    <row r="21760" spans="10:10" x14ac:dyDescent="0.3">
      <c r="J21760"/>
    </row>
    <row r="21761" spans="10:10" x14ac:dyDescent="0.3">
      <c r="J21761"/>
    </row>
    <row r="21762" spans="10:10" x14ac:dyDescent="0.3">
      <c r="J21762"/>
    </row>
    <row r="21763" spans="10:10" x14ac:dyDescent="0.3">
      <c r="J21763"/>
    </row>
    <row r="21764" spans="10:10" x14ac:dyDescent="0.3">
      <c r="J21764"/>
    </row>
    <row r="21765" spans="10:10" x14ac:dyDescent="0.3">
      <c r="J21765"/>
    </row>
    <row r="21766" spans="10:10" x14ac:dyDescent="0.3">
      <c r="J21766"/>
    </row>
    <row r="21767" spans="10:10" x14ac:dyDescent="0.3">
      <c r="J21767"/>
    </row>
    <row r="21768" spans="10:10" x14ac:dyDescent="0.3">
      <c r="J21768"/>
    </row>
    <row r="21769" spans="10:10" x14ac:dyDescent="0.3">
      <c r="J21769"/>
    </row>
    <row r="21770" spans="10:10" x14ac:dyDescent="0.3">
      <c r="J21770"/>
    </row>
    <row r="21771" spans="10:10" x14ac:dyDescent="0.3">
      <c r="J21771"/>
    </row>
    <row r="21772" spans="10:10" x14ac:dyDescent="0.3">
      <c r="J21772"/>
    </row>
    <row r="21773" spans="10:10" x14ac:dyDescent="0.3">
      <c r="J21773"/>
    </row>
    <row r="21774" spans="10:10" x14ac:dyDescent="0.3">
      <c r="J21774"/>
    </row>
    <row r="21775" spans="10:10" x14ac:dyDescent="0.3">
      <c r="J21775"/>
    </row>
    <row r="21776" spans="10:10" x14ac:dyDescent="0.3">
      <c r="J21776"/>
    </row>
    <row r="21777" spans="10:10" x14ac:dyDescent="0.3">
      <c r="J21777"/>
    </row>
    <row r="21778" spans="10:10" x14ac:dyDescent="0.3">
      <c r="J21778"/>
    </row>
    <row r="21779" spans="10:10" x14ac:dyDescent="0.3">
      <c r="J21779"/>
    </row>
    <row r="21780" spans="10:10" x14ac:dyDescent="0.3">
      <c r="J21780"/>
    </row>
    <row r="21781" spans="10:10" x14ac:dyDescent="0.3">
      <c r="J21781"/>
    </row>
    <row r="21782" spans="10:10" x14ac:dyDescent="0.3">
      <c r="J21782"/>
    </row>
    <row r="21783" spans="10:10" x14ac:dyDescent="0.3">
      <c r="J21783"/>
    </row>
    <row r="21784" spans="10:10" x14ac:dyDescent="0.3">
      <c r="J21784"/>
    </row>
    <row r="21785" spans="10:10" x14ac:dyDescent="0.3">
      <c r="J21785"/>
    </row>
    <row r="21786" spans="10:10" x14ac:dyDescent="0.3">
      <c r="J21786"/>
    </row>
    <row r="21787" spans="10:10" x14ac:dyDescent="0.3">
      <c r="J21787"/>
    </row>
    <row r="21788" spans="10:10" x14ac:dyDescent="0.3">
      <c r="J21788"/>
    </row>
    <row r="21789" spans="10:10" x14ac:dyDescent="0.3">
      <c r="J21789"/>
    </row>
    <row r="21790" spans="10:10" x14ac:dyDescent="0.3">
      <c r="J21790"/>
    </row>
    <row r="21791" spans="10:10" x14ac:dyDescent="0.3">
      <c r="J21791"/>
    </row>
    <row r="21792" spans="10:10" x14ac:dyDescent="0.3">
      <c r="J21792"/>
    </row>
    <row r="21793" spans="10:10" x14ac:dyDescent="0.3">
      <c r="J21793"/>
    </row>
    <row r="21794" spans="10:10" x14ac:dyDescent="0.3">
      <c r="J21794"/>
    </row>
    <row r="21795" spans="10:10" x14ac:dyDescent="0.3">
      <c r="J21795"/>
    </row>
    <row r="21796" spans="10:10" x14ac:dyDescent="0.3">
      <c r="J21796"/>
    </row>
    <row r="21797" spans="10:10" x14ac:dyDescent="0.3">
      <c r="J21797"/>
    </row>
    <row r="21798" spans="10:10" x14ac:dyDescent="0.3">
      <c r="J21798"/>
    </row>
    <row r="21799" spans="10:10" x14ac:dyDescent="0.3">
      <c r="J21799"/>
    </row>
    <row r="21800" spans="10:10" x14ac:dyDescent="0.3">
      <c r="J21800"/>
    </row>
    <row r="21801" spans="10:10" x14ac:dyDescent="0.3">
      <c r="J21801"/>
    </row>
    <row r="21802" spans="10:10" x14ac:dyDescent="0.3">
      <c r="J21802"/>
    </row>
    <row r="21803" spans="10:10" x14ac:dyDescent="0.3">
      <c r="J21803"/>
    </row>
    <row r="21804" spans="10:10" x14ac:dyDescent="0.3">
      <c r="J21804"/>
    </row>
    <row r="21805" spans="10:10" x14ac:dyDescent="0.3">
      <c r="J21805"/>
    </row>
    <row r="21806" spans="10:10" x14ac:dyDescent="0.3">
      <c r="J21806"/>
    </row>
    <row r="21807" spans="10:10" x14ac:dyDescent="0.3">
      <c r="J21807"/>
    </row>
    <row r="21808" spans="10:10" x14ac:dyDescent="0.3">
      <c r="J21808"/>
    </row>
    <row r="21809" spans="10:10" x14ac:dyDescent="0.3">
      <c r="J21809"/>
    </row>
    <row r="21810" spans="10:10" x14ac:dyDescent="0.3">
      <c r="J21810"/>
    </row>
    <row r="21811" spans="10:10" x14ac:dyDescent="0.3">
      <c r="J21811"/>
    </row>
    <row r="21812" spans="10:10" x14ac:dyDescent="0.3">
      <c r="J21812"/>
    </row>
    <row r="21813" spans="10:10" x14ac:dyDescent="0.3">
      <c r="J21813"/>
    </row>
    <row r="21814" spans="10:10" x14ac:dyDescent="0.3">
      <c r="J21814"/>
    </row>
    <row r="21815" spans="10:10" x14ac:dyDescent="0.3">
      <c r="J21815"/>
    </row>
    <row r="21816" spans="10:10" x14ac:dyDescent="0.3">
      <c r="J21816"/>
    </row>
    <row r="21817" spans="10:10" x14ac:dyDescent="0.3">
      <c r="J21817"/>
    </row>
    <row r="21818" spans="10:10" x14ac:dyDescent="0.3">
      <c r="J21818"/>
    </row>
    <row r="21819" spans="10:10" x14ac:dyDescent="0.3">
      <c r="J21819"/>
    </row>
    <row r="21820" spans="10:10" x14ac:dyDescent="0.3">
      <c r="J21820"/>
    </row>
    <row r="21821" spans="10:10" x14ac:dyDescent="0.3">
      <c r="J21821"/>
    </row>
    <row r="21822" spans="10:10" x14ac:dyDescent="0.3">
      <c r="J21822"/>
    </row>
    <row r="21823" spans="10:10" x14ac:dyDescent="0.3">
      <c r="J21823"/>
    </row>
    <row r="21824" spans="10:10" x14ac:dyDescent="0.3">
      <c r="J21824"/>
    </row>
    <row r="21825" spans="10:10" x14ac:dyDescent="0.3">
      <c r="J21825"/>
    </row>
    <row r="21826" spans="10:10" x14ac:dyDescent="0.3">
      <c r="J21826"/>
    </row>
    <row r="21827" spans="10:10" x14ac:dyDescent="0.3">
      <c r="J21827"/>
    </row>
    <row r="21828" spans="10:10" x14ac:dyDescent="0.3">
      <c r="J21828"/>
    </row>
    <row r="21829" spans="10:10" x14ac:dyDescent="0.3">
      <c r="J21829"/>
    </row>
    <row r="21830" spans="10:10" x14ac:dyDescent="0.3">
      <c r="J21830"/>
    </row>
    <row r="21831" spans="10:10" x14ac:dyDescent="0.3">
      <c r="J21831"/>
    </row>
    <row r="21832" spans="10:10" x14ac:dyDescent="0.3">
      <c r="J21832"/>
    </row>
    <row r="21833" spans="10:10" x14ac:dyDescent="0.3">
      <c r="J21833"/>
    </row>
    <row r="21834" spans="10:10" x14ac:dyDescent="0.3">
      <c r="J21834"/>
    </row>
    <row r="21835" spans="10:10" x14ac:dyDescent="0.3">
      <c r="J21835"/>
    </row>
    <row r="21836" spans="10:10" x14ac:dyDescent="0.3">
      <c r="J21836"/>
    </row>
    <row r="21837" spans="10:10" x14ac:dyDescent="0.3">
      <c r="J21837"/>
    </row>
    <row r="21838" spans="10:10" x14ac:dyDescent="0.3">
      <c r="J21838"/>
    </row>
    <row r="21839" spans="10:10" x14ac:dyDescent="0.3">
      <c r="J21839"/>
    </row>
    <row r="21840" spans="10:10" x14ac:dyDescent="0.3">
      <c r="J21840"/>
    </row>
    <row r="21841" spans="10:10" x14ac:dyDescent="0.3">
      <c r="J21841"/>
    </row>
    <row r="21842" spans="10:10" x14ac:dyDescent="0.3">
      <c r="J21842"/>
    </row>
    <row r="21843" spans="10:10" x14ac:dyDescent="0.3">
      <c r="J21843"/>
    </row>
    <row r="21844" spans="10:10" x14ac:dyDescent="0.3">
      <c r="J21844"/>
    </row>
    <row r="21845" spans="10:10" x14ac:dyDescent="0.3">
      <c r="J21845"/>
    </row>
    <row r="21846" spans="10:10" x14ac:dyDescent="0.3">
      <c r="J21846"/>
    </row>
    <row r="21847" spans="10:10" x14ac:dyDescent="0.3">
      <c r="J21847"/>
    </row>
    <row r="21848" spans="10:10" x14ac:dyDescent="0.3">
      <c r="J21848"/>
    </row>
    <row r="21849" spans="10:10" x14ac:dyDescent="0.3">
      <c r="J21849"/>
    </row>
    <row r="21850" spans="10:10" x14ac:dyDescent="0.3">
      <c r="J21850"/>
    </row>
    <row r="21851" spans="10:10" x14ac:dyDescent="0.3">
      <c r="J21851"/>
    </row>
    <row r="21852" spans="10:10" x14ac:dyDescent="0.3">
      <c r="J21852"/>
    </row>
    <row r="21853" spans="10:10" x14ac:dyDescent="0.3">
      <c r="J21853"/>
    </row>
    <row r="21854" spans="10:10" x14ac:dyDescent="0.3">
      <c r="J21854"/>
    </row>
    <row r="21855" spans="10:10" x14ac:dyDescent="0.3">
      <c r="J21855"/>
    </row>
    <row r="21856" spans="10:10" x14ac:dyDescent="0.3">
      <c r="J21856"/>
    </row>
    <row r="21857" spans="10:10" x14ac:dyDescent="0.3">
      <c r="J21857"/>
    </row>
    <row r="21858" spans="10:10" x14ac:dyDescent="0.3">
      <c r="J21858"/>
    </row>
    <row r="21859" spans="10:10" x14ac:dyDescent="0.3">
      <c r="J21859"/>
    </row>
    <row r="21860" spans="10:10" x14ac:dyDescent="0.3">
      <c r="J21860"/>
    </row>
    <row r="21861" spans="10:10" x14ac:dyDescent="0.3">
      <c r="J21861"/>
    </row>
    <row r="21862" spans="10:10" x14ac:dyDescent="0.3">
      <c r="J21862"/>
    </row>
    <row r="21863" spans="10:10" x14ac:dyDescent="0.3">
      <c r="J21863"/>
    </row>
    <row r="21864" spans="10:10" x14ac:dyDescent="0.3">
      <c r="J21864"/>
    </row>
    <row r="21865" spans="10:10" x14ac:dyDescent="0.3">
      <c r="J21865"/>
    </row>
    <row r="21866" spans="10:10" x14ac:dyDescent="0.3">
      <c r="J21866"/>
    </row>
    <row r="21867" spans="10:10" x14ac:dyDescent="0.3">
      <c r="J21867"/>
    </row>
    <row r="21868" spans="10:10" x14ac:dyDescent="0.3">
      <c r="J21868"/>
    </row>
    <row r="21869" spans="10:10" x14ac:dyDescent="0.3">
      <c r="J21869"/>
    </row>
    <row r="21870" spans="10:10" x14ac:dyDescent="0.3">
      <c r="J21870"/>
    </row>
    <row r="21871" spans="10:10" x14ac:dyDescent="0.3">
      <c r="J21871"/>
    </row>
    <row r="21872" spans="10:10" x14ac:dyDescent="0.3">
      <c r="J21872"/>
    </row>
    <row r="21873" spans="10:10" x14ac:dyDescent="0.3">
      <c r="J21873"/>
    </row>
    <row r="21874" spans="10:10" x14ac:dyDescent="0.3">
      <c r="J21874"/>
    </row>
    <row r="21875" spans="10:10" x14ac:dyDescent="0.3">
      <c r="J21875"/>
    </row>
    <row r="21876" spans="10:10" x14ac:dyDescent="0.3">
      <c r="J21876"/>
    </row>
    <row r="21877" spans="10:10" x14ac:dyDescent="0.3">
      <c r="J21877"/>
    </row>
    <row r="21878" spans="10:10" x14ac:dyDescent="0.3">
      <c r="J21878"/>
    </row>
    <row r="21879" spans="10:10" x14ac:dyDescent="0.3">
      <c r="J21879"/>
    </row>
    <row r="21880" spans="10:10" x14ac:dyDescent="0.3">
      <c r="J21880"/>
    </row>
    <row r="21881" spans="10:10" x14ac:dyDescent="0.3">
      <c r="J21881"/>
    </row>
    <row r="21882" spans="10:10" x14ac:dyDescent="0.3">
      <c r="J21882"/>
    </row>
    <row r="21883" spans="10:10" x14ac:dyDescent="0.3">
      <c r="J21883"/>
    </row>
    <row r="21884" spans="10:10" x14ac:dyDescent="0.3">
      <c r="J21884"/>
    </row>
    <row r="21885" spans="10:10" x14ac:dyDescent="0.3">
      <c r="J21885"/>
    </row>
    <row r="21886" spans="10:10" x14ac:dyDescent="0.3">
      <c r="J21886"/>
    </row>
    <row r="21887" spans="10:10" x14ac:dyDescent="0.3">
      <c r="J21887"/>
    </row>
    <row r="21888" spans="10:10" x14ac:dyDescent="0.3">
      <c r="J21888"/>
    </row>
    <row r="21889" spans="10:10" x14ac:dyDescent="0.3">
      <c r="J21889"/>
    </row>
    <row r="21890" spans="10:10" x14ac:dyDescent="0.3">
      <c r="J21890"/>
    </row>
    <row r="21891" spans="10:10" x14ac:dyDescent="0.3">
      <c r="J21891"/>
    </row>
    <row r="21892" spans="10:10" x14ac:dyDescent="0.3">
      <c r="J21892"/>
    </row>
    <row r="21893" spans="10:10" x14ac:dyDescent="0.3">
      <c r="J21893"/>
    </row>
    <row r="21894" spans="10:10" x14ac:dyDescent="0.3">
      <c r="J21894"/>
    </row>
    <row r="21895" spans="10:10" x14ac:dyDescent="0.3">
      <c r="J21895"/>
    </row>
    <row r="21896" spans="10:10" x14ac:dyDescent="0.3">
      <c r="J21896"/>
    </row>
    <row r="21897" spans="10:10" x14ac:dyDescent="0.3">
      <c r="J21897"/>
    </row>
    <row r="21898" spans="10:10" x14ac:dyDescent="0.3">
      <c r="J21898"/>
    </row>
    <row r="21899" spans="10:10" x14ac:dyDescent="0.3">
      <c r="J21899"/>
    </row>
    <row r="21900" spans="10:10" x14ac:dyDescent="0.3">
      <c r="J21900"/>
    </row>
    <row r="21901" spans="10:10" x14ac:dyDescent="0.3">
      <c r="J21901"/>
    </row>
    <row r="21902" spans="10:10" x14ac:dyDescent="0.3">
      <c r="J21902"/>
    </row>
    <row r="21903" spans="10:10" x14ac:dyDescent="0.3">
      <c r="J21903"/>
    </row>
    <row r="21904" spans="10:10" x14ac:dyDescent="0.3">
      <c r="J21904"/>
    </row>
    <row r="21905" spans="10:10" x14ac:dyDescent="0.3">
      <c r="J21905"/>
    </row>
    <row r="21906" spans="10:10" x14ac:dyDescent="0.3">
      <c r="J21906"/>
    </row>
    <row r="21907" spans="10:10" x14ac:dyDescent="0.3">
      <c r="J21907"/>
    </row>
    <row r="21908" spans="10:10" x14ac:dyDescent="0.3">
      <c r="J21908"/>
    </row>
    <row r="21909" spans="10:10" x14ac:dyDescent="0.3">
      <c r="J21909"/>
    </row>
    <row r="21910" spans="10:10" x14ac:dyDescent="0.3">
      <c r="J21910"/>
    </row>
    <row r="21911" spans="10:10" x14ac:dyDescent="0.3">
      <c r="J21911"/>
    </row>
    <row r="21912" spans="10:10" x14ac:dyDescent="0.3">
      <c r="J21912"/>
    </row>
    <row r="21913" spans="10:10" x14ac:dyDescent="0.3">
      <c r="J21913"/>
    </row>
    <row r="21914" spans="10:10" x14ac:dyDescent="0.3">
      <c r="J21914"/>
    </row>
    <row r="21915" spans="10:10" x14ac:dyDescent="0.3">
      <c r="J21915"/>
    </row>
    <row r="21916" spans="10:10" x14ac:dyDescent="0.3">
      <c r="J21916"/>
    </row>
    <row r="21917" spans="10:10" x14ac:dyDescent="0.3">
      <c r="J21917"/>
    </row>
    <row r="21918" spans="10:10" x14ac:dyDescent="0.3">
      <c r="J21918"/>
    </row>
    <row r="21919" spans="10:10" x14ac:dyDescent="0.3">
      <c r="J21919"/>
    </row>
    <row r="21920" spans="10:10" x14ac:dyDescent="0.3">
      <c r="J21920"/>
    </row>
    <row r="21921" spans="10:10" x14ac:dyDescent="0.3">
      <c r="J21921"/>
    </row>
    <row r="21922" spans="10:10" x14ac:dyDescent="0.3">
      <c r="J21922"/>
    </row>
    <row r="21923" spans="10:10" x14ac:dyDescent="0.3">
      <c r="J21923"/>
    </row>
    <row r="21924" spans="10:10" x14ac:dyDescent="0.3">
      <c r="J21924"/>
    </row>
    <row r="21925" spans="10:10" x14ac:dyDescent="0.3">
      <c r="J21925"/>
    </row>
    <row r="21926" spans="10:10" x14ac:dyDescent="0.3">
      <c r="J21926"/>
    </row>
    <row r="21927" spans="10:10" x14ac:dyDescent="0.3">
      <c r="J21927"/>
    </row>
    <row r="21928" spans="10:10" x14ac:dyDescent="0.3">
      <c r="J21928"/>
    </row>
    <row r="21929" spans="10:10" x14ac:dyDescent="0.3">
      <c r="J21929"/>
    </row>
    <row r="21930" spans="10:10" x14ac:dyDescent="0.3">
      <c r="J21930"/>
    </row>
    <row r="21931" spans="10:10" x14ac:dyDescent="0.3">
      <c r="J21931"/>
    </row>
    <row r="21932" spans="10:10" x14ac:dyDescent="0.3">
      <c r="J21932"/>
    </row>
    <row r="21933" spans="10:10" x14ac:dyDescent="0.3">
      <c r="J21933"/>
    </row>
    <row r="21934" spans="10:10" x14ac:dyDescent="0.3">
      <c r="J21934"/>
    </row>
    <row r="21935" spans="10:10" x14ac:dyDescent="0.3">
      <c r="J21935"/>
    </row>
    <row r="21936" spans="10:10" x14ac:dyDescent="0.3">
      <c r="J21936"/>
    </row>
    <row r="21937" spans="10:10" x14ac:dyDescent="0.3">
      <c r="J21937"/>
    </row>
    <row r="21938" spans="10:10" x14ac:dyDescent="0.3">
      <c r="J21938"/>
    </row>
    <row r="21939" spans="10:10" x14ac:dyDescent="0.3">
      <c r="J21939"/>
    </row>
    <row r="21940" spans="10:10" x14ac:dyDescent="0.3">
      <c r="J21940"/>
    </row>
    <row r="21941" spans="10:10" x14ac:dyDescent="0.3">
      <c r="J21941"/>
    </row>
    <row r="21942" spans="10:10" x14ac:dyDescent="0.3">
      <c r="J21942"/>
    </row>
    <row r="21943" spans="10:10" x14ac:dyDescent="0.3">
      <c r="J21943"/>
    </row>
    <row r="21944" spans="10:10" x14ac:dyDescent="0.3">
      <c r="J21944"/>
    </row>
    <row r="21945" spans="10:10" x14ac:dyDescent="0.3">
      <c r="J21945"/>
    </row>
    <row r="21946" spans="10:10" x14ac:dyDescent="0.3">
      <c r="J21946"/>
    </row>
    <row r="21947" spans="10:10" x14ac:dyDescent="0.3">
      <c r="J21947"/>
    </row>
    <row r="21948" spans="10:10" x14ac:dyDescent="0.3">
      <c r="J21948"/>
    </row>
    <row r="21949" spans="10:10" x14ac:dyDescent="0.3">
      <c r="J21949"/>
    </row>
    <row r="21950" spans="10:10" x14ac:dyDescent="0.3">
      <c r="J21950"/>
    </row>
    <row r="21951" spans="10:10" x14ac:dyDescent="0.3">
      <c r="J21951"/>
    </row>
    <row r="21952" spans="10:10" x14ac:dyDescent="0.3">
      <c r="J21952"/>
    </row>
    <row r="21953" spans="10:10" x14ac:dyDescent="0.3">
      <c r="J21953"/>
    </row>
    <row r="21954" spans="10:10" x14ac:dyDescent="0.3">
      <c r="J21954"/>
    </row>
    <row r="21955" spans="10:10" x14ac:dyDescent="0.3">
      <c r="J21955"/>
    </row>
    <row r="21956" spans="10:10" x14ac:dyDescent="0.3">
      <c r="J21956"/>
    </row>
    <row r="21957" spans="10:10" x14ac:dyDescent="0.3">
      <c r="J21957"/>
    </row>
    <row r="21958" spans="10:10" x14ac:dyDescent="0.3">
      <c r="J21958"/>
    </row>
    <row r="21959" spans="10:10" x14ac:dyDescent="0.3">
      <c r="J21959"/>
    </row>
    <row r="21960" spans="10:10" x14ac:dyDescent="0.3">
      <c r="J21960"/>
    </row>
    <row r="21961" spans="10:10" x14ac:dyDescent="0.3">
      <c r="J21961"/>
    </row>
    <row r="21962" spans="10:10" x14ac:dyDescent="0.3">
      <c r="J21962"/>
    </row>
    <row r="21963" spans="10:10" x14ac:dyDescent="0.3">
      <c r="J21963"/>
    </row>
    <row r="21964" spans="10:10" x14ac:dyDescent="0.3">
      <c r="J21964"/>
    </row>
    <row r="21965" spans="10:10" x14ac:dyDescent="0.3">
      <c r="J21965"/>
    </row>
    <row r="21966" spans="10:10" x14ac:dyDescent="0.3">
      <c r="J21966"/>
    </row>
    <row r="21967" spans="10:10" x14ac:dyDescent="0.3">
      <c r="J21967"/>
    </row>
    <row r="21968" spans="10:10" x14ac:dyDescent="0.3">
      <c r="J21968"/>
    </row>
    <row r="21969" spans="10:10" x14ac:dyDescent="0.3">
      <c r="J21969"/>
    </row>
    <row r="21970" spans="10:10" x14ac:dyDescent="0.3">
      <c r="J21970"/>
    </row>
    <row r="21971" spans="10:10" x14ac:dyDescent="0.3">
      <c r="J21971"/>
    </row>
    <row r="21972" spans="10:10" x14ac:dyDescent="0.3">
      <c r="J21972"/>
    </row>
    <row r="21973" spans="10:10" x14ac:dyDescent="0.3">
      <c r="J21973"/>
    </row>
    <row r="21974" spans="10:10" x14ac:dyDescent="0.3">
      <c r="J21974"/>
    </row>
    <row r="21975" spans="10:10" x14ac:dyDescent="0.3">
      <c r="J21975"/>
    </row>
    <row r="21976" spans="10:10" x14ac:dyDescent="0.3">
      <c r="J21976"/>
    </row>
    <row r="21977" spans="10:10" x14ac:dyDescent="0.3">
      <c r="J21977"/>
    </row>
    <row r="21978" spans="10:10" x14ac:dyDescent="0.3">
      <c r="J21978"/>
    </row>
    <row r="21979" spans="10:10" x14ac:dyDescent="0.3">
      <c r="J21979"/>
    </row>
    <row r="21980" spans="10:10" x14ac:dyDescent="0.3">
      <c r="J21980"/>
    </row>
    <row r="21981" spans="10:10" x14ac:dyDescent="0.3">
      <c r="J21981"/>
    </row>
    <row r="21982" spans="10:10" x14ac:dyDescent="0.3">
      <c r="J21982"/>
    </row>
    <row r="21983" spans="10:10" x14ac:dyDescent="0.3">
      <c r="J21983"/>
    </row>
    <row r="21984" spans="10:10" x14ac:dyDescent="0.3">
      <c r="J21984"/>
    </row>
    <row r="21985" spans="10:10" x14ac:dyDescent="0.3">
      <c r="J21985"/>
    </row>
    <row r="21986" spans="10:10" x14ac:dyDescent="0.3">
      <c r="J21986"/>
    </row>
    <row r="21987" spans="10:10" x14ac:dyDescent="0.3">
      <c r="J21987"/>
    </row>
    <row r="21988" spans="10:10" x14ac:dyDescent="0.3">
      <c r="J21988"/>
    </row>
    <row r="21989" spans="10:10" x14ac:dyDescent="0.3">
      <c r="J21989"/>
    </row>
    <row r="21990" spans="10:10" x14ac:dyDescent="0.3">
      <c r="J21990"/>
    </row>
    <row r="21991" spans="10:10" x14ac:dyDescent="0.3">
      <c r="J21991"/>
    </row>
    <row r="21992" spans="10:10" x14ac:dyDescent="0.3">
      <c r="J21992"/>
    </row>
    <row r="21993" spans="10:10" x14ac:dyDescent="0.3">
      <c r="J21993"/>
    </row>
    <row r="21994" spans="10:10" x14ac:dyDescent="0.3">
      <c r="J21994"/>
    </row>
    <row r="21995" spans="10:10" x14ac:dyDescent="0.3">
      <c r="J21995"/>
    </row>
    <row r="21996" spans="10:10" x14ac:dyDescent="0.3">
      <c r="J21996"/>
    </row>
    <row r="21997" spans="10:10" x14ac:dyDescent="0.3">
      <c r="J21997"/>
    </row>
    <row r="21998" spans="10:10" x14ac:dyDescent="0.3">
      <c r="J21998"/>
    </row>
    <row r="21999" spans="10:10" x14ac:dyDescent="0.3">
      <c r="J21999"/>
    </row>
    <row r="22000" spans="10:10" x14ac:dyDescent="0.3">
      <c r="J22000"/>
    </row>
    <row r="22001" spans="10:10" x14ac:dyDescent="0.3">
      <c r="J22001"/>
    </row>
    <row r="22002" spans="10:10" x14ac:dyDescent="0.3">
      <c r="J22002"/>
    </row>
    <row r="22003" spans="10:10" x14ac:dyDescent="0.3">
      <c r="J22003"/>
    </row>
    <row r="22004" spans="10:10" x14ac:dyDescent="0.3">
      <c r="J22004"/>
    </row>
    <row r="22005" spans="10:10" x14ac:dyDescent="0.3">
      <c r="J22005"/>
    </row>
    <row r="22006" spans="10:10" x14ac:dyDescent="0.3">
      <c r="J22006"/>
    </row>
    <row r="22007" spans="10:10" x14ac:dyDescent="0.3">
      <c r="J22007"/>
    </row>
    <row r="22008" spans="10:10" x14ac:dyDescent="0.3">
      <c r="J22008"/>
    </row>
    <row r="22009" spans="10:10" x14ac:dyDescent="0.3">
      <c r="J22009"/>
    </row>
    <row r="22010" spans="10:10" x14ac:dyDescent="0.3">
      <c r="J22010"/>
    </row>
    <row r="22011" spans="10:10" x14ac:dyDescent="0.3">
      <c r="J22011"/>
    </row>
    <row r="22012" spans="10:10" x14ac:dyDescent="0.3">
      <c r="J22012"/>
    </row>
    <row r="22013" spans="10:10" x14ac:dyDescent="0.3">
      <c r="J22013"/>
    </row>
    <row r="22014" spans="10:10" x14ac:dyDescent="0.3">
      <c r="J22014"/>
    </row>
    <row r="22015" spans="10:10" x14ac:dyDescent="0.3">
      <c r="J22015"/>
    </row>
    <row r="22016" spans="10:10" x14ac:dyDescent="0.3">
      <c r="J22016"/>
    </row>
    <row r="22017" spans="10:10" x14ac:dyDescent="0.3">
      <c r="J22017"/>
    </row>
    <row r="22018" spans="10:10" x14ac:dyDescent="0.3">
      <c r="J22018"/>
    </row>
    <row r="22019" spans="10:10" x14ac:dyDescent="0.3">
      <c r="J22019"/>
    </row>
    <row r="22020" spans="10:10" x14ac:dyDescent="0.3">
      <c r="J22020"/>
    </row>
    <row r="22021" spans="10:10" x14ac:dyDescent="0.3">
      <c r="J22021"/>
    </row>
    <row r="22022" spans="10:10" x14ac:dyDescent="0.3">
      <c r="J22022"/>
    </row>
    <row r="22023" spans="10:10" x14ac:dyDescent="0.3">
      <c r="J22023"/>
    </row>
    <row r="22024" spans="10:10" x14ac:dyDescent="0.3">
      <c r="J22024"/>
    </row>
    <row r="22025" spans="10:10" x14ac:dyDescent="0.3">
      <c r="J22025"/>
    </row>
    <row r="22026" spans="10:10" x14ac:dyDescent="0.3">
      <c r="J22026"/>
    </row>
    <row r="22027" spans="10:10" x14ac:dyDescent="0.3">
      <c r="J22027"/>
    </row>
    <row r="22028" spans="10:10" x14ac:dyDescent="0.3">
      <c r="J22028"/>
    </row>
    <row r="22029" spans="10:10" x14ac:dyDescent="0.3">
      <c r="J22029"/>
    </row>
    <row r="22030" spans="10:10" x14ac:dyDescent="0.3">
      <c r="J22030"/>
    </row>
    <row r="22031" spans="10:10" x14ac:dyDescent="0.3">
      <c r="J22031"/>
    </row>
    <row r="22032" spans="10:10" x14ac:dyDescent="0.3">
      <c r="J22032"/>
    </row>
    <row r="22033" spans="10:10" x14ac:dyDescent="0.3">
      <c r="J22033"/>
    </row>
    <row r="22034" spans="10:10" x14ac:dyDescent="0.3">
      <c r="J22034"/>
    </row>
    <row r="22035" spans="10:10" x14ac:dyDescent="0.3">
      <c r="J22035"/>
    </row>
    <row r="22036" spans="10:10" x14ac:dyDescent="0.3">
      <c r="J22036"/>
    </row>
    <row r="22037" spans="10:10" x14ac:dyDescent="0.3">
      <c r="J22037"/>
    </row>
    <row r="22038" spans="10:10" x14ac:dyDescent="0.3">
      <c r="J22038"/>
    </row>
    <row r="22039" spans="10:10" x14ac:dyDescent="0.3">
      <c r="J22039"/>
    </row>
    <row r="22040" spans="10:10" x14ac:dyDescent="0.3">
      <c r="J22040"/>
    </row>
    <row r="22041" spans="10:10" x14ac:dyDescent="0.3">
      <c r="J22041"/>
    </row>
    <row r="22042" spans="10:10" x14ac:dyDescent="0.3">
      <c r="J22042"/>
    </row>
    <row r="22043" spans="10:10" x14ac:dyDescent="0.3">
      <c r="J22043"/>
    </row>
    <row r="22044" spans="10:10" x14ac:dyDescent="0.3">
      <c r="J22044"/>
    </row>
    <row r="22045" spans="10:10" x14ac:dyDescent="0.3">
      <c r="J22045"/>
    </row>
    <row r="22046" spans="10:10" x14ac:dyDescent="0.3">
      <c r="J22046"/>
    </row>
    <row r="22047" spans="10:10" x14ac:dyDescent="0.3">
      <c r="J22047"/>
    </row>
    <row r="22048" spans="10:10" x14ac:dyDescent="0.3">
      <c r="J22048"/>
    </row>
    <row r="22049" spans="10:10" x14ac:dyDescent="0.3">
      <c r="J22049"/>
    </row>
    <row r="22050" spans="10:10" x14ac:dyDescent="0.3">
      <c r="J22050"/>
    </row>
    <row r="22051" spans="10:10" x14ac:dyDescent="0.3">
      <c r="J22051"/>
    </row>
    <row r="22052" spans="10:10" x14ac:dyDescent="0.3">
      <c r="J22052"/>
    </row>
    <row r="22053" spans="10:10" x14ac:dyDescent="0.3">
      <c r="J22053"/>
    </row>
    <row r="22054" spans="10:10" x14ac:dyDescent="0.3">
      <c r="J22054"/>
    </row>
    <row r="22055" spans="10:10" x14ac:dyDescent="0.3">
      <c r="J22055"/>
    </row>
    <row r="22056" spans="10:10" x14ac:dyDescent="0.3">
      <c r="J22056"/>
    </row>
    <row r="22057" spans="10:10" x14ac:dyDescent="0.3">
      <c r="J22057"/>
    </row>
    <row r="22058" spans="10:10" x14ac:dyDescent="0.3">
      <c r="J22058"/>
    </row>
    <row r="22059" spans="10:10" x14ac:dyDescent="0.3">
      <c r="J22059"/>
    </row>
    <row r="22060" spans="10:10" x14ac:dyDescent="0.3">
      <c r="J22060"/>
    </row>
    <row r="22061" spans="10:10" x14ac:dyDescent="0.3">
      <c r="J22061"/>
    </row>
    <row r="22062" spans="10:10" x14ac:dyDescent="0.3">
      <c r="J22062"/>
    </row>
    <row r="22063" spans="10:10" x14ac:dyDescent="0.3">
      <c r="J22063"/>
    </row>
    <row r="22064" spans="10:10" x14ac:dyDescent="0.3">
      <c r="J22064"/>
    </row>
    <row r="22065" spans="10:10" x14ac:dyDescent="0.3">
      <c r="J22065"/>
    </row>
    <row r="22066" spans="10:10" x14ac:dyDescent="0.3">
      <c r="J22066"/>
    </row>
    <row r="22067" spans="10:10" x14ac:dyDescent="0.3">
      <c r="J22067"/>
    </row>
    <row r="22068" spans="10:10" x14ac:dyDescent="0.3">
      <c r="J22068"/>
    </row>
    <row r="22069" spans="10:10" x14ac:dyDescent="0.3">
      <c r="J22069"/>
    </row>
    <row r="22070" spans="10:10" x14ac:dyDescent="0.3">
      <c r="J22070"/>
    </row>
    <row r="22071" spans="10:10" x14ac:dyDescent="0.3">
      <c r="J22071"/>
    </row>
    <row r="22072" spans="10:10" x14ac:dyDescent="0.3">
      <c r="J22072"/>
    </row>
    <row r="22073" spans="10:10" x14ac:dyDescent="0.3">
      <c r="J22073"/>
    </row>
    <row r="22074" spans="10:10" x14ac:dyDescent="0.3">
      <c r="J22074"/>
    </row>
    <row r="22075" spans="10:10" x14ac:dyDescent="0.3">
      <c r="J22075"/>
    </row>
    <row r="22076" spans="10:10" x14ac:dyDescent="0.3">
      <c r="J22076"/>
    </row>
    <row r="22077" spans="10:10" x14ac:dyDescent="0.3">
      <c r="J22077"/>
    </row>
    <row r="22078" spans="10:10" x14ac:dyDescent="0.3">
      <c r="J22078"/>
    </row>
    <row r="22079" spans="10:10" x14ac:dyDescent="0.3">
      <c r="J22079"/>
    </row>
    <row r="22080" spans="10:10" x14ac:dyDescent="0.3">
      <c r="J22080"/>
    </row>
    <row r="22081" spans="10:10" x14ac:dyDescent="0.3">
      <c r="J22081"/>
    </row>
    <row r="22082" spans="10:10" x14ac:dyDescent="0.3">
      <c r="J22082"/>
    </row>
    <row r="22083" spans="10:10" x14ac:dyDescent="0.3">
      <c r="J22083"/>
    </row>
    <row r="22084" spans="10:10" x14ac:dyDescent="0.3">
      <c r="J22084"/>
    </row>
    <row r="22085" spans="10:10" x14ac:dyDescent="0.3">
      <c r="J22085"/>
    </row>
    <row r="22086" spans="10:10" x14ac:dyDescent="0.3">
      <c r="J22086"/>
    </row>
    <row r="22087" spans="10:10" x14ac:dyDescent="0.3">
      <c r="J22087"/>
    </row>
    <row r="22088" spans="10:10" x14ac:dyDescent="0.3">
      <c r="J22088"/>
    </row>
    <row r="22089" spans="10:10" x14ac:dyDescent="0.3">
      <c r="J22089"/>
    </row>
    <row r="22090" spans="10:10" x14ac:dyDescent="0.3">
      <c r="J22090"/>
    </row>
    <row r="22091" spans="10:10" x14ac:dyDescent="0.3">
      <c r="J22091"/>
    </row>
    <row r="22092" spans="10:10" x14ac:dyDescent="0.3">
      <c r="J22092"/>
    </row>
    <row r="22093" spans="10:10" x14ac:dyDescent="0.3">
      <c r="J22093"/>
    </row>
    <row r="22094" spans="10:10" x14ac:dyDescent="0.3">
      <c r="J22094"/>
    </row>
    <row r="22095" spans="10:10" x14ac:dyDescent="0.3">
      <c r="J22095"/>
    </row>
    <row r="22096" spans="10:10" x14ac:dyDescent="0.3">
      <c r="J22096"/>
    </row>
    <row r="22097" spans="10:10" x14ac:dyDescent="0.3">
      <c r="J22097"/>
    </row>
    <row r="22098" spans="10:10" x14ac:dyDescent="0.3">
      <c r="J22098"/>
    </row>
    <row r="22099" spans="10:10" x14ac:dyDescent="0.3">
      <c r="J22099"/>
    </row>
    <row r="22100" spans="10:10" x14ac:dyDescent="0.3">
      <c r="J22100"/>
    </row>
    <row r="22101" spans="10:10" x14ac:dyDescent="0.3">
      <c r="J22101"/>
    </row>
    <row r="22102" spans="10:10" x14ac:dyDescent="0.3">
      <c r="J22102"/>
    </row>
    <row r="22103" spans="10:10" x14ac:dyDescent="0.3">
      <c r="J22103"/>
    </row>
    <row r="22104" spans="10:10" x14ac:dyDescent="0.3">
      <c r="J22104"/>
    </row>
    <row r="22105" spans="10:10" x14ac:dyDescent="0.3">
      <c r="J22105"/>
    </row>
    <row r="22106" spans="10:10" x14ac:dyDescent="0.3">
      <c r="J22106"/>
    </row>
    <row r="22107" spans="10:10" x14ac:dyDescent="0.3">
      <c r="J22107"/>
    </row>
    <row r="22108" spans="10:10" x14ac:dyDescent="0.3">
      <c r="J22108"/>
    </row>
    <row r="22109" spans="10:10" x14ac:dyDescent="0.3">
      <c r="J22109"/>
    </row>
    <row r="22110" spans="10:10" x14ac:dyDescent="0.3">
      <c r="J22110"/>
    </row>
    <row r="22111" spans="10:10" x14ac:dyDescent="0.3">
      <c r="J22111"/>
    </row>
    <row r="22112" spans="10:10" x14ac:dyDescent="0.3">
      <c r="J22112"/>
    </row>
    <row r="22113" spans="10:10" x14ac:dyDescent="0.3">
      <c r="J22113"/>
    </row>
    <row r="22114" spans="10:10" x14ac:dyDescent="0.3">
      <c r="J22114"/>
    </row>
    <row r="22115" spans="10:10" x14ac:dyDescent="0.3">
      <c r="J22115"/>
    </row>
    <row r="22116" spans="10:10" x14ac:dyDescent="0.3">
      <c r="J22116"/>
    </row>
    <row r="22117" spans="10:10" x14ac:dyDescent="0.3">
      <c r="J22117"/>
    </row>
    <row r="22118" spans="10:10" x14ac:dyDescent="0.3">
      <c r="J22118"/>
    </row>
    <row r="22119" spans="10:10" x14ac:dyDescent="0.3">
      <c r="J22119"/>
    </row>
    <row r="22120" spans="10:10" x14ac:dyDescent="0.3">
      <c r="J22120"/>
    </row>
    <row r="22121" spans="10:10" x14ac:dyDescent="0.3">
      <c r="J22121"/>
    </row>
    <row r="22122" spans="10:10" x14ac:dyDescent="0.3">
      <c r="J22122"/>
    </row>
    <row r="22123" spans="10:10" x14ac:dyDescent="0.3">
      <c r="J22123"/>
    </row>
    <row r="22124" spans="10:10" x14ac:dyDescent="0.3">
      <c r="J22124"/>
    </row>
    <row r="22125" spans="10:10" x14ac:dyDescent="0.3">
      <c r="J22125"/>
    </row>
    <row r="22126" spans="10:10" x14ac:dyDescent="0.3">
      <c r="J22126"/>
    </row>
    <row r="22127" spans="10:10" x14ac:dyDescent="0.3">
      <c r="J22127"/>
    </row>
    <row r="22128" spans="10:10" x14ac:dyDescent="0.3">
      <c r="J22128"/>
    </row>
    <row r="22129" spans="10:10" x14ac:dyDescent="0.3">
      <c r="J22129"/>
    </row>
    <row r="22130" spans="10:10" x14ac:dyDescent="0.3">
      <c r="J22130"/>
    </row>
    <row r="22131" spans="10:10" x14ac:dyDescent="0.3">
      <c r="J22131"/>
    </row>
    <row r="22132" spans="10:10" x14ac:dyDescent="0.3">
      <c r="J22132"/>
    </row>
    <row r="22133" spans="10:10" x14ac:dyDescent="0.3">
      <c r="J22133"/>
    </row>
    <row r="22134" spans="10:10" x14ac:dyDescent="0.3">
      <c r="J22134"/>
    </row>
    <row r="22135" spans="10:10" x14ac:dyDescent="0.3">
      <c r="J22135"/>
    </row>
    <row r="22136" spans="10:10" x14ac:dyDescent="0.3">
      <c r="J22136"/>
    </row>
    <row r="22137" spans="10:10" x14ac:dyDescent="0.3">
      <c r="J22137"/>
    </row>
    <row r="22138" spans="10:10" x14ac:dyDescent="0.3">
      <c r="J22138"/>
    </row>
    <row r="22139" spans="10:10" x14ac:dyDescent="0.3">
      <c r="J22139"/>
    </row>
    <row r="22140" spans="10:10" x14ac:dyDescent="0.3">
      <c r="J22140"/>
    </row>
    <row r="22141" spans="10:10" x14ac:dyDescent="0.3">
      <c r="J22141"/>
    </row>
    <row r="22142" spans="10:10" x14ac:dyDescent="0.3">
      <c r="J22142"/>
    </row>
    <row r="22143" spans="10:10" x14ac:dyDescent="0.3">
      <c r="J22143"/>
    </row>
    <row r="22144" spans="10:10" x14ac:dyDescent="0.3">
      <c r="J22144"/>
    </row>
    <row r="22145" spans="10:10" x14ac:dyDescent="0.3">
      <c r="J22145"/>
    </row>
    <row r="22146" spans="10:10" x14ac:dyDescent="0.3">
      <c r="J22146"/>
    </row>
    <row r="22147" spans="10:10" x14ac:dyDescent="0.3">
      <c r="J22147"/>
    </row>
    <row r="22148" spans="10:10" x14ac:dyDescent="0.3">
      <c r="J22148"/>
    </row>
    <row r="22149" spans="10:10" x14ac:dyDescent="0.3">
      <c r="J22149"/>
    </row>
    <row r="22150" spans="10:10" x14ac:dyDescent="0.3">
      <c r="J22150"/>
    </row>
    <row r="22151" spans="10:10" x14ac:dyDescent="0.3">
      <c r="J22151"/>
    </row>
    <row r="22152" spans="10:10" x14ac:dyDescent="0.3">
      <c r="J22152"/>
    </row>
    <row r="22153" spans="10:10" x14ac:dyDescent="0.3">
      <c r="J22153"/>
    </row>
    <row r="22154" spans="10:10" x14ac:dyDescent="0.3">
      <c r="J22154"/>
    </row>
    <row r="22155" spans="10:10" x14ac:dyDescent="0.3">
      <c r="J22155"/>
    </row>
    <row r="22156" spans="10:10" x14ac:dyDescent="0.3">
      <c r="J22156"/>
    </row>
    <row r="22157" spans="10:10" x14ac:dyDescent="0.3">
      <c r="J22157"/>
    </row>
    <row r="22158" spans="10:10" x14ac:dyDescent="0.3">
      <c r="J22158"/>
    </row>
    <row r="22159" spans="10:10" x14ac:dyDescent="0.3">
      <c r="J22159"/>
    </row>
    <row r="22160" spans="10:10" x14ac:dyDescent="0.3">
      <c r="J22160"/>
    </row>
    <row r="22161" spans="10:10" x14ac:dyDescent="0.3">
      <c r="J22161"/>
    </row>
    <row r="22162" spans="10:10" x14ac:dyDescent="0.3">
      <c r="J22162"/>
    </row>
    <row r="22163" spans="10:10" x14ac:dyDescent="0.3">
      <c r="J22163"/>
    </row>
    <row r="22164" spans="10:10" x14ac:dyDescent="0.3">
      <c r="J22164"/>
    </row>
    <row r="22165" spans="10:10" x14ac:dyDescent="0.3">
      <c r="J22165"/>
    </row>
    <row r="22166" spans="10:10" x14ac:dyDescent="0.3">
      <c r="J22166"/>
    </row>
    <row r="22167" spans="10:10" x14ac:dyDescent="0.3">
      <c r="J22167"/>
    </row>
    <row r="22168" spans="10:10" x14ac:dyDescent="0.3">
      <c r="J22168"/>
    </row>
    <row r="22169" spans="10:10" x14ac:dyDescent="0.3">
      <c r="J22169"/>
    </row>
    <row r="22170" spans="10:10" x14ac:dyDescent="0.3">
      <c r="J22170"/>
    </row>
    <row r="22171" spans="10:10" x14ac:dyDescent="0.3">
      <c r="J22171"/>
    </row>
    <row r="22172" spans="10:10" x14ac:dyDescent="0.3">
      <c r="J22172"/>
    </row>
    <row r="22173" spans="10:10" x14ac:dyDescent="0.3">
      <c r="J22173"/>
    </row>
    <row r="22174" spans="10:10" x14ac:dyDescent="0.3">
      <c r="J22174"/>
    </row>
    <row r="22175" spans="10:10" x14ac:dyDescent="0.3">
      <c r="J22175"/>
    </row>
    <row r="22176" spans="10:10" x14ac:dyDescent="0.3">
      <c r="J22176"/>
    </row>
    <row r="22177" spans="10:10" x14ac:dyDescent="0.3">
      <c r="J22177"/>
    </row>
    <row r="22178" spans="10:10" x14ac:dyDescent="0.3">
      <c r="J22178"/>
    </row>
    <row r="22179" spans="10:10" x14ac:dyDescent="0.3">
      <c r="J22179"/>
    </row>
    <row r="22180" spans="10:10" x14ac:dyDescent="0.3">
      <c r="J22180"/>
    </row>
    <row r="22181" spans="10:10" x14ac:dyDescent="0.3">
      <c r="J22181"/>
    </row>
    <row r="22182" spans="10:10" x14ac:dyDescent="0.3">
      <c r="J22182"/>
    </row>
    <row r="22183" spans="10:10" x14ac:dyDescent="0.3">
      <c r="J22183"/>
    </row>
    <row r="22184" spans="10:10" x14ac:dyDescent="0.3">
      <c r="J22184"/>
    </row>
    <row r="22185" spans="10:10" x14ac:dyDescent="0.3">
      <c r="J22185"/>
    </row>
    <row r="22186" spans="10:10" x14ac:dyDescent="0.3">
      <c r="J22186"/>
    </row>
    <row r="22187" spans="10:10" x14ac:dyDescent="0.3">
      <c r="J22187"/>
    </row>
    <row r="22188" spans="10:10" x14ac:dyDescent="0.3">
      <c r="J22188"/>
    </row>
    <row r="22189" spans="10:10" x14ac:dyDescent="0.3">
      <c r="J22189"/>
    </row>
    <row r="22190" spans="10:10" x14ac:dyDescent="0.3">
      <c r="J22190"/>
    </row>
    <row r="22191" spans="10:10" x14ac:dyDescent="0.3">
      <c r="J22191"/>
    </row>
    <row r="22192" spans="10:10" x14ac:dyDescent="0.3">
      <c r="J22192"/>
    </row>
    <row r="22193" spans="10:10" x14ac:dyDescent="0.3">
      <c r="J22193"/>
    </row>
    <row r="22194" spans="10:10" x14ac:dyDescent="0.3">
      <c r="J22194"/>
    </row>
    <row r="22195" spans="10:10" x14ac:dyDescent="0.3">
      <c r="J22195"/>
    </row>
    <row r="22196" spans="10:10" x14ac:dyDescent="0.3">
      <c r="J22196"/>
    </row>
    <row r="22197" spans="10:10" x14ac:dyDescent="0.3">
      <c r="J22197"/>
    </row>
    <row r="22198" spans="10:10" x14ac:dyDescent="0.3">
      <c r="J22198"/>
    </row>
    <row r="22199" spans="10:10" x14ac:dyDescent="0.3">
      <c r="J22199"/>
    </row>
    <row r="22200" spans="10:10" x14ac:dyDescent="0.3">
      <c r="J22200"/>
    </row>
    <row r="22201" spans="10:10" x14ac:dyDescent="0.3">
      <c r="J22201"/>
    </row>
    <row r="22202" spans="10:10" x14ac:dyDescent="0.3">
      <c r="J22202"/>
    </row>
    <row r="22203" spans="10:10" x14ac:dyDescent="0.3">
      <c r="J22203"/>
    </row>
    <row r="22204" spans="10:10" x14ac:dyDescent="0.3">
      <c r="J22204"/>
    </row>
    <row r="22205" spans="10:10" x14ac:dyDescent="0.3">
      <c r="J22205"/>
    </row>
    <row r="22206" spans="10:10" x14ac:dyDescent="0.3">
      <c r="J22206"/>
    </row>
    <row r="22207" spans="10:10" x14ac:dyDescent="0.3">
      <c r="J22207"/>
    </row>
    <row r="22208" spans="10:10" x14ac:dyDescent="0.3">
      <c r="J22208"/>
    </row>
    <row r="22209" spans="10:10" x14ac:dyDescent="0.3">
      <c r="J22209"/>
    </row>
    <row r="22210" spans="10:10" x14ac:dyDescent="0.3">
      <c r="J22210"/>
    </row>
    <row r="22211" spans="10:10" x14ac:dyDescent="0.3">
      <c r="J22211"/>
    </row>
    <row r="22212" spans="10:10" x14ac:dyDescent="0.3">
      <c r="J22212"/>
    </row>
    <row r="22213" spans="10:10" x14ac:dyDescent="0.3">
      <c r="J22213"/>
    </row>
    <row r="22214" spans="10:10" x14ac:dyDescent="0.3">
      <c r="J22214"/>
    </row>
    <row r="22215" spans="10:10" x14ac:dyDescent="0.3">
      <c r="J22215"/>
    </row>
    <row r="22216" spans="10:10" x14ac:dyDescent="0.3">
      <c r="J22216"/>
    </row>
    <row r="22217" spans="10:10" x14ac:dyDescent="0.3">
      <c r="J22217"/>
    </row>
    <row r="22218" spans="10:10" x14ac:dyDescent="0.3">
      <c r="J22218"/>
    </row>
    <row r="22219" spans="10:10" x14ac:dyDescent="0.3">
      <c r="J22219"/>
    </row>
    <row r="22220" spans="10:10" x14ac:dyDescent="0.3">
      <c r="J22220"/>
    </row>
    <row r="22221" spans="10:10" x14ac:dyDescent="0.3">
      <c r="J22221"/>
    </row>
    <row r="22222" spans="10:10" x14ac:dyDescent="0.3">
      <c r="J22222"/>
    </row>
    <row r="22223" spans="10:10" x14ac:dyDescent="0.3">
      <c r="J22223"/>
    </row>
    <row r="22224" spans="10:10" x14ac:dyDescent="0.3">
      <c r="J22224"/>
    </row>
    <row r="22225" spans="10:10" x14ac:dyDescent="0.3">
      <c r="J22225"/>
    </row>
    <row r="22226" spans="10:10" x14ac:dyDescent="0.3">
      <c r="J22226"/>
    </row>
    <row r="22227" spans="10:10" x14ac:dyDescent="0.3">
      <c r="J22227"/>
    </row>
    <row r="22228" spans="10:10" x14ac:dyDescent="0.3">
      <c r="J22228"/>
    </row>
    <row r="22229" spans="10:10" x14ac:dyDescent="0.3">
      <c r="J22229"/>
    </row>
    <row r="22230" spans="10:10" x14ac:dyDescent="0.3">
      <c r="J22230"/>
    </row>
    <row r="22231" spans="10:10" x14ac:dyDescent="0.3">
      <c r="J22231"/>
    </row>
    <row r="22232" spans="10:10" x14ac:dyDescent="0.3">
      <c r="J22232"/>
    </row>
    <row r="22233" spans="10:10" x14ac:dyDescent="0.3">
      <c r="J22233"/>
    </row>
    <row r="22234" spans="10:10" x14ac:dyDescent="0.3">
      <c r="J22234"/>
    </row>
    <row r="22235" spans="10:10" x14ac:dyDescent="0.3">
      <c r="J22235"/>
    </row>
    <row r="22236" spans="10:10" x14ac:dyDescent="0.3">
      <c r="J22236"/>
    </row>
    <row r="22237" spans="10:10" x14ac:dyDescent="0.3">
      <c r="J22237"/>
    </row>
    <row r="22238" spans="10:10" x14ac:dyDescent="0.3">
      <c r="J22238"/>
    </row>
    <row r="22239" spans="10:10" x14ac:dyDescent="0.3">
      <c r="J22239"/>
    </row>
    <row r="22240" spans="10:10" x14ac:dyDescent="0.3">
      <c r="J22240"/>
    </row>
    <row r="22241" spans="10:10" x14ac:dyDescent="0.3">
      <c r="J22241"/>
    </row>
    <row r="22242" spans="10:10" x14ac:dyDescent="0.3">
      <c r="J22242"/>
    </row>
    <row r="22243" spans="10:10" x14ac:dyDescent="0.3">
      <c r="J22243"/>
    </row>
    <row r="22244" spans="10:10" x14ac:dyDescent="0.3">
      <c r="J22244"/>
    </row>
    <row r="22245" spans="10:10" x14ac:dyDescent="0.3">
      <c r="J22245"/>
    </row>
    <row r="22246" spans="10:10" x14ac:dyDescent="0.3">
      <c r="J22246"/>
    </row>
    <row r="22247" spans="10:10" x14ac:dyDescent="0.3">
      <c r="J22247"/>
    </row>
    <row r="22248" spans="10:10" x14ac:dyDescent="0.3">
      <c r="J22248"/>
    </row>
    <row r="22249" spans="10:10" x14ac:dyDescent="0.3">
      <c r="J22249"/>
    </row>
    <row r="22250" spans="10:10" x14ac:dyDescent="0.3">
      <c r="J22250"/>
    </row>
    <row r="22251" spans="10:10" x14ac:dyDescent="0.3">
      <c r="J22251"/>
    </row>
    <row r="22252" spans="10:10" x14ac:dyDescent="0.3">
      <c r="J22252"/>
    </row>
    <row r="22253" spans="10:10" x14ac:dyDescent="0.3">
      <c r="J22253"/>
    </row>
    <row r="22254" spans="10:10" x14ac:dyDescent="0.3">
      <c r="J22254"/>
    </row>
    <row r="22255" spans="10:10" x14ac:dyDescent="0.3">
      <c r="J22255"/>
    </row>
    <row r="22256" spans="10:10" x14ac:dyDescent="0.3">
      <c r="J22256"/>
    </row>
    <row r="22257" spans="10:10" x14ac:dyDescent="0.3">
      <c r="J22257"/>
    </row>
    <row r="22258" spans="10:10" x14ac:dyDescent="0.3">
      <c r="J22258"/>
    </row>
    <row r="22259" spans="10:10" x14ac:dyDescent="0.3">
      <c r="J22259"/>
    </row>
    <row r="22260" spans="10:10" x14ac:dyDescent="0.3">
      <c r="J22260"/>
    </row>
    <row r="22261" spans="10:10" x14ac:dyDescent="0.3">
      <c r="J22261"/>
    </row>
    <row r="22262" spans="10:10" x14ac:dyDescent="0.3">
      <c r="J22262"/>
    </row>
    <row r="22263" spans="10:10" x14ac:dyDescent="0.3">
      <c r="J22263"/>
    </row>
    <row r="22264" spans="10:10" x14ac:dyDescent="0.3">
      <c r="J22264"/>
    </row>
    <row r="22265" spans="10:10" x14ac:dyDescent="0.3">
      <c r="J22265"/>
    </row>
    <row r="22266" spans="10:10" x14ac:dyDescent="0.3">
      <c r="J22266"/>
    </row>
    <row r="22267" spans="10:10" x14ac:dyDescent="0.3">
      <c r="J22267"/>
    </row>
    <row r="22268" spans="10:10" x14ac:dyDescent="0.3">
      <c r="J22268"/>
    </row>
    <row r="22269" spans="10:10" x14ac:dyDescent="0.3">
      <c r="J22269"/>
    </row>
    <row r="22270" spans="10:10" x14ac:dyDescent="0.3">
      <c r="J22270"/>
    </row>
    <row r="22271" spans="10:10" x14ac:dyDescent="0.3">
      <c r="J22271"/>
    </row>
    <row r="22272" spans="10:10" x14ac:dyDescent="0.3">
      <c r="J22272"/>
    </row>
    <row r="22273" spans="10:10" x14ac:dyDescent="0.3">
      <c r="J22273"/>
    </row>
    <row r="22274" spans="10:10" x14ac:dyDescent="0.3">
      <c r="J22274"/>
    </row>
    <row r="22275" spans="10:10" x14ac:dyDescent="0.3">
      <c r="J22275"/>
    </row>
    <row r="22276" spans="10:10" x14ac:dyDescent="0.3">
      <c r="J22276"/>
    </row>
    <row r="22277" spans="10:10" x14ac:dyDescent="0.3">
      <c r="J22277"/>
    </row>
    <row r="22278" spans="10:10" x14ac:dyDescent="0.3">
      <c r="J22278"/>
    </row>
    <row r="22279" spans="10:10" x14ac:dyDescent="0.3">
      <c r="J22279"/>
    </row>
    <row r="22280" spans="10:10" x14ac:dyDescent="0.3">
      <c r="J22280"/>
    </row>
    <row r="22281" spans="10:10" x14ac:dyDescent="0.3">
      <c r="J22281"/>
    </row>
    <row r="22282" spans="10:10" x14ac:dyDescent="0.3">
      <c r="J22282"/>
    </row>
    <row r="22283" spans="10:10" x14ac:dyDescent="0.3">
      <c r="J22283"/>
    </row>
    <row r="22284" spans="10:10" x14ac:dyDescent="0.3">
      <c r="J22284"/>
    </row>
    <row r="22285" spans="10:10" x14ac:dyDescent="0.3">
      <c r="J22285"/>
    </row>
    <row r="22286" spans="10:10" x14ac:dyDescent="0.3">
      <c r="J22286"/>
    </row>
    <row r="22287" spans="10:10" x14ac:dyDescent="0.3">
      <c r="J22287"/>
    </row>
    <row r="22288" spans="10:10" x14ac:dyDescent="0.3">
      <c r="J22288"/>
    </row>
    <row r="22289" spans="10:10" x14ac:dyDescent="0.3">
      <c r="J22289"/>
    </row>
    <row r="22290" spans="10:10" x14ac:dyDescent="0.3">
      <c r="J22290"/>
    </row>
    <row r="22291" spans="10:10" x14ac:dyDescent="0.3">
      <c r="J22291"/>
    </row>
    <row r="22292" spans="10:10" x14ac:dyDescent="0.3">
      <c r="J22292"/>
    </row>
    <row r="22293" spans="10:10" x14ac:dyDescent="0.3">
      <c r="J22293"/>
    </row>
    <row r="22294" spans="10:10" x14ac:dyDescent="0.3">
      <c r="J22294"/>
    </row>
    <row r="22295" spans="10:10" x14ac:dyDescent="0.3">
      <c r="J22295"/>
    </row>
    <row r="22296" spans="10:10" x14ac:dyDescent="0.3">
      <c r="J22296"/>
    </row>
    <row r="22297" spans="10:10" x14ac:dyDescent="0.3">
      <c r="J22297"/>
    </row>
    <row r="22298" spans="10:10" x14ac:dyDescent="0.3">
      <c r="J22298"/>
    </row>
    <row r="22299" spans="10:10" x14ac:dyDescent="0.3">
      <c r="J22299"/>
    </row>
    <row r="22300" spans="10:10" x14ac:dyDescent="0.3">
      <c r="J22300"/>
    </row>
    <row r="22301" spans="10:10" x14ac:dyDescent="0.3">
      <c r="J22301"/>
    </row>
    <row r="22302" spans="10:10" x14ac:dyDescent="0.3">
      <c r="J22302"/>
    </row>
    <row r="22303" spans="10:10" x14ac:dyDescent="0.3">
      <c r="J22303"/>
    </row>
    <row r="22304" spans="10:10" x14ac:dyDescent="0.3">
      <c r="J22304"/>
    </row>
    <row r="22305" spans="10:10" x14ac:dyDescent="0.3">
      <c r="J22305"/>
    </row>
    <row r="22306" spans="10:10" x14ac:dyDescent="0.3">
      <c r="J22306"/>
    </row>
    <row r="22307" spans="10:10" x14ac:dyDescent="0.3">
      <c r="J22307"/>
    </row>
    <row r="22308" spans="10:10" x14ac:dyDescent="0.3">
      <c r="J22308"/>
    </row>
    <row r="22309" spans="10:10" x14ac:dyDescent="0.3">
      <c r="J22309"/>
    </row>
    <row r="22310" spans="10:10" x14ac:dyDescent="0.3">
      <c r="J22310"/>
    </row>
    <row r="22311" spans="10:10" x14ac:dyDescent="0.3">
      <c r="J22311"/>
    </row>
    <row r="22312" spans="10:10" x14ac:dyDescent="0.3">
      <c r="J22312"/>
    </row>
    <row r="22313" spans="10:10" x14ac:dyDescent="0.3">
      <c r="J22313"/>
    </row>
    <row r="22314" spans="10:10" x14ac:dyDescent="0.3">
      <c r="J22314"/>
    </row>
    <row r="22315" spans="10:10" x14ac:dyDescent="0.3">
      <c r="J22315"/>
    </row>
    <row r="22316" spans="10:10" x14ac:dyDescent="0.3">
      <c r="J22316"/>
    </row>
    <row r="22317" spans="10:10" x14ac:dyDescent="0.3">
      <c r="J22317"/>
    </row>
    <row r="22318" spans="10:10" x14ac:dyDescent="0.3">
      <c r="J22318"/>
    </row>
    <row r="22319" spans="10:10" x14ac:dyDescent="0.3">
      <c r="J22319"/>
    </row>
    <row r="22320" spans="10:10" x14ac:dyDescent="0.3">
      <c r="J22320"/>
    </row>
    <row r="22321" spans="10:10" x14ac:dyDescent="0.3">
      <c r="J22321"/>
    </row>
    <row r="22322" spans="10:10" x14ac:dyDescent="0.3">
      <c r="J22322"/>
    </row>
    <row r="22323" spans="10:10" x14ac:dyDescent="0.3">
      <c r="J22323"/>
    </row>
    <row r="22324" spans="10:10" x14ac:dyDescent="0.3">
      <c r="J22324"/>
    </row>
    <row r="22325" spans="10:10" x14ac:dyDescent="0.3">
      <c r="J22325"/>
    </row>
    <row r="22326" spans="10:10" x14ac:dyDescent="0.3">
      <c r="J22326"/>
    </row>
    <row r="22327" spans="10:10" x14ac:dyDescent="0.3">
      <c r="J22327"/>
    </row>
    <row r="22328" spans="10:10" x14ac:dyDescent="0.3">
      <c r="J22328"/>
    </row>
    <row r="22329" spans="10:10" x14ac:dyDescent="0.3">
      <c r="J22329"/>
    </row>
    <row r="22330" spans="10:10" x14ac:dyDescent="0.3">
      <c r="J22330"/>
    </row>
    <row r="22331" spans="10:10" x14ac:dyDescent="0.3">
      <c r="J22331"/>
    </row>
    <row r="22332" spans="10:10" x14ac:dyDescent="0.3">
      <c r="J22332"/>
    </row>
    <row r="22333" spans="10:10" x14ac:dyDescent="0.3">
      <c r="J22333"/>
    </row>
    <row r="22334" spans="10:10" x14ac:dyDescent="0.3">
      <c r="J22334"/>
    </row>
    <row r="22335" spans="10:10" x14ac:dyDescent="0.3">
      <c r="J22335"/>
    </row>
    <row r="22336" spans="10:10" x14ac:dyDescent="0.3">
      <c r="J22336"/>
    </row>
    <row r="22337" spans="10:10" x14ac:dyDescent="0.3">
      <c r="J22337"/>
    </row>
    <row r="22338" spans="10:10" x14ac:dyDescent="0.3">
      <c r="J22338"/>
    </row>
    <row r="22339" spans="10:10" x14ac:dyDescent="0.3">
      <c r="J22339"/>
    </row>
    <row r="22340" spans="10:10" x14ac:dyDescent="0.3">
      <c r="J22340"/>
    </row>
    <row r="22341" spans="10:10" x14ac:dyDescent="0.3">
      <c r="J22341"/>
    </row>
    <row r="22342" spans="10:10" x14ac:dyDescent="0.3">
      <c r="J22342"/>
    </row>
    <row r="22343" spans="10:10" x14ac:dyDescent="0.3">
      <c r="J22343"/>
    </row>
    <row r="22344" spans="10:10" x14ac:dyDescent="0.3">
      <c r="J22344"/>
    </row>
    <row r="22345" spans="10:10" x14ac:dyDescent="0.3">
      <c r="J22345"/>
    </row>
    <row r="22346" spans="10:10" x14ac:dyDescent="0.3">
      <c r="J22346"/>
    </row>
    <row r="22347" spans="10:10" x14ac:dyDescent="0.3">
      <c r="J22347"/>
    </row>
    <row r="22348" spans="10:10" x14ac:dyDescent="0.3">
      <c r="J22348"/>
    </row>
    <row r="22349" spans="10:10" x14ac:dyDescent="0.3">
      <c r="J22349"/>
    </row>
    <row r="22350" spans="10:10" x14ac:dyDescent="0.3">
      <c r="J22350"/>
    </row>
    <row r="22351" spans="10:10" x14ac:dyDescent="0.3">
      <c r="J22351"/>
    </row>
    <row r="22352" spans="10:10" x14ac:dyDescent="0.3">
      <c r="J22352"/>
    </row>
    <row r="22353" spans="10:10" x14ac:dyDescent="0.3">
      <c r="J22353"/>
    </row>
    <row r="22354" spans="10:10" x14ac:dyDescent="0.3">
      <c r="J22354"/>
    </row>
    <row r="22355" spans="10:10" x14ac:dyDescent="0.3">
      <c r="J22355"/>
    </row>
    <row r="22356" spans="10:10" x14ac:dyDescent="0.3">
      <c r="J22356"/>
    </row>
    <row r="22357" spans="10:10" x14ac:dyDescent="0.3">
      <c r="J22357"/>
    </row>
    <row r="22358" spans="10:10" x14ac:dyDescent="0.3">
      <c r="J22358"/>
    </row>
    <row r="22359" spans="10:10" x14ac:dyDescent="0.3">
      <c r="J22359"/>
    </row>
    <row r="22360" spans="10:10" x14ac:dyDescent="0.3">
      <c r="J22360"/>
    </row>
    <row r="22361" spans="10:10" x14ac:dyDescent="0.3">
      <c r="J22361"/>
    </row>
    <row r="22362" spans="10:10" x14ac:dyDescent="0.3">
      <c r="J22362"/>
    </row>
    <row r="22363" spans="10:10" x14ac:dyDescent="0.3">
      <c r="J22363"/>
    </row>
    <row r="22364" spans="10:10" x14ac:dyDescent="0.3">
      <c r="J22364"/>
    </row>
    <row r="22365" spans="10:10" x14ac:dyDescent="0.3">
      <c r="J22365"/>
    </row>
    <row r="22366" spans="10:10" x14ac:dyDescent="0.3">
      <c r="J22366"/>
    </row>
    <row r="22367" spans="10:10" x14ac:dyDescent="0.3">
      <c r="J22367"/>
    </row>
    <row r="22368" spans="10:10" x14ac:dyDescent="0.3">
      <c r="J22368"/>
    </row>
    <row r="22369" spans="10:10" x14ac:dyDescent="0.3">
      <c r="J22369"/>
    </row>
    <row r="22370" spans="10:10" x14ac:dyDescent="0.3">
      <c r="J22370"/>
    </row>
    <row r="22371" spans="10:10" x14ac:dyDescent="0.3">
      <c r="J22371"/>
    </row>
    <row r="22372" spans="10:10" x14ac:dyDescent="0.3">
      <c r="J22372"/>
    </row>
    <row r="22373" spans="10:10" x14ac:dyDescent="0.3">
      <c r="J22373"/>
    </row>
    <row r="22374" spans="10:10" x14ac:dyDescent="0.3">
      <c r="J22374"/>
    </row>
    <row r="22375" spans="10:10" x14ac:dyDescent="0.3">
      <c r="J22375"/>
    </row>
    <row r="22376" spans="10:10" x14ac:dyDescent="0.3">
      <c r="J22376"/>
    </row>
    <row r="22377" spans="10:10" x14ac:dyDescent="0.3">
      <c r="J22377"/>
    </row>
    <row r="22378" spans="10:10" x14ac:dyDescent="0.3">
      <c r="J22378"/>
    </row>
    <row r="22379" spans="10:10" x14ac:dyDescent="0.3">
      <c r="J22379"/>
    </row>
    <row r="22380" spans="10:10" x14ac:dyDescent="0.3">
      <c r="J22380"/>
    </row>
    <row r="22381" spans="10:10" x14ac:dyDescent="0.3">
      <c r="J22381"/>
    </row>
    <row r="22382" spans="10:10" x14ac:dyDescent="0.3">
      <c r="J22382"/>
    </row>
    <row r="22383" spans="10:10" x14ac:dyDescent="0.3">
      <c r="J22383"/>
    </row>
    <row r="22384" spans="10:10" x14ac:dyDescent="0.3">
      <c r="J22384"/>
    </row>
    <row r="22385" spans="10:10" x14ac:dyDescent="0.3">
      <c r="J22385"/>
    </row>
    <row r="22386" spans="10:10" x14ac:dyDescent="0.3">
      <c r="J22386"/>
    </row>
    <row r="22387" spans="10:10" x14ac:dyDescent="0.3">
      <c r="J22387"/>
    </row>
    <row r="22388" spans="10:10" x14ac:dyDescent="0.3">
      <c r="J22388"/>
    </row>
    <row r="22389" spans="10:10" x14ac:dyDescent="0.3">
      <c r="J22389"/>
    </row>
    <row r="22390" spans="10:10" x14ac:dyDescent="0.3">
      <c r="J22390"/>
    </row>
    <row r="22391" spans="10:10" x14ac:dyDescent="0.3">
      <c r="J22391"/>
    </row>
    <row r="22392" spans="10:10" x14ac:dyDescent="0.3">
      <c r="J22392"/>
    </row>
    <row r="22393" spans="10:10" x14ac:dyDescent="0.3">
      <c r="J22393"/>
    </row>
    <row r="22394" spans="10:10" x14ac:dyDescent="0.3">
      <c r="J22394"/>
    </row>
    <row r="22395" spans="10:10" x14ac:dyDescent="0.3">
      <c r="J22395"/>
    </row>
    <row r="22396" spans="10:10" x14ac:dyDescent="0.3">
      <c r="J22396"/>
    </row>
    <row r="22397" spans="10:10" x14ac:dyDescent="0.3">
      <c r="J22397"/>
    </row>
    <row r="22398" spans="10:10" x14ac:dyDescent="0.3">
      <c r="J22398"/>
    </row>
    <row r="22399" spans="10:10" x14ac:dyDescent="0.3">
      <c r="J22399"/>
    </row>
    <row r="22400" spans="10:10" x14ac:dyDescent="0.3">
      <c r="J22400"/>
    </row>
    <row r="22401" spans="10:10" x14ac:dyDescent="0.3">
      <c r="J22401"/>
    </row>
    <row r="22402" spans="10:10" x14ac:dyDescent="0.3">
      <c r="J22402"/>
    </row>
    <row r="22403" spans="10:10" x14ac:dyDescent="0.3">
      <c r="J22403"/>
    </row>
    <row r="22404" spans="10:10" x14ac:dyDescent="0.3">
      <c r="J22404"/>
    </row>
    <row r="22405" spans="10:10" x14ac:dyDescent="0.3">
      <c r="J22405"/>
    </row>
    <row r="22406" spans="10:10" x14ac:dyDescent="0.3">
      <c r="J22406"/>
    </row>
    <row r="22407" spans="10:10" x14ac:dyDescent="0.3">
      <c r="J22407"/>
    </row>
    <row r="22408" spans="10:10" x14ac:dyDescent="0.3">
      <c r="J22408"/>
    </row>
    <row r="22409" spans="10:10" x14ac:dyDescent="0.3">
      <c r="J22409"/>
    </row>
    <row r="22410" spans="10:10" x14ac:dyDescent="0.3">
      <c r="J22410"/>
    </row>
    <row r="22411" spans="10:10" x14ac:dyDescent="0.3">
      <c r="J22411"/>
    </row>
    <row r="22412" spans="10:10" x14ac:dyDescent="0.3">
      <c r="J22412"/>
    </row>
    <row r="22413" spans="10:10" x14ac:dyDescent="0.3">
      <c r="J22413"/>
    </row>
    <row r="22414" spans="10:10" x14ac:dyDescent="0.3">
      <c r="J22414"/>
    </row>
    <row r="22415" spans="10:10" x14ac:dyDescent="0.3">
      <c r="J22415"/>
    </row>
    <row r="22416" spans="10:10" x14ac:dyDescent="0.3">
      <c r="J22416"/>
    </row>
    <row r="22417" spans="10:10" x14ac:dyDescent="0.3">
      <c r="J22417"/>
    </row>
    <row r="22418" spans="10:10" x14ac:dyDescent="0.3">
      <c r="J22418"/>
    </row>
    <row r="22419" spans="10:10" x14ac:dyDescent="0.3">
      <c r="J22419"/>
    </row>
    <row r="22420" spans="10:10" x14ac:dyDescent="0.3">
      <c r="J22420"/>
    </row>
    <row r="22421" spans="10:10" x14ac:dyDescent="0.3">
      <c r="J22421"/>
    </row>
    <row r="22422" spans="10:10" x14ac:dyDescent="0.3">
      <c r="J22422"/>
    </row>
    <row r="22423" spans="10:10" x14ac:dyDescent="0.3">
      <c r="J22423"/>
    </row>
    <row r="22424" spans="10:10" x14ac:dyDescent="0.3">
      <c r="J22424"/>
    </row>
    <row r="22425" spans="10:10" x14ac:dyDescent="0.3">
      <c r="J22425"/>
    </row>
    <row r="22426" spans="10:10" x14ac:dyDescent="0.3">
      <c r="J22426"/>
    </row>
    <row r="22427" spans="10:10" x14ac:dyDescent="0.3">
      <c r="J22427"/>
    </row>
    <row r="22428" spans="10:10" x14ac:dyDescent="0.3">
      <c r="J22428"/>
    </row>
    <row r="22429" spans="10:10" x14ac:dyDescent="0.3">
      <c r="J22429"/>
    </row>
    <row r="22430" spans="10:10" x14ac:dyDescent="0.3">
      <c r="J22430"/>
    </row>
    <row r="22431" spans="10:10" x14ac:dyDescent="0.3">
      <c r="J22431"/>
    </row>
    <row r="22432" spans="10:10" x14ac:dyDescent="0.3">
      <c r="J22432"/>
    </row>
    <row r="22433" spans="10:10" x14ac:dyDescent="0.3">
      <c r="J22433"/>
    </row>
    <row r="22434" spans="10:10" x14ac:dyDescent="0.3">
      <c r="J22434"/>
    </row>
    <row r="22435" spans="10:10" x14ac:dyDescent="0.3">
      <c r="J22435"/>
    </row>
    <row r="22436" spans="10:10" x14ac:dyDescent="0.3">
      <c r="J22436"/>
    </row>
    <row r="22437" spans="10:10" x14ac:dyDescent="0.3">
      <c r="J22437"/>
    </row>
    <row r="22438" spans="10:10" x14ac:dyDescent="0.3">
      <c r="J22438"/>
    </row>
    <row r="22439" spans="10:10" x14ac:dyDescent="0.3">
      <c r="J22439"/>
    </row>
    <row r="22440" spans="10:10" x14ac:dyDescent="0.3">
      <c r="J22440"/>
    </row>
    <row r="22441" spans="10:10" x14ac:dyDescent="0.3">
      <c r="J22441"/>
    </row>
    <row r="22442" spans="10:10" x14ac:dyDescent="0.3">
      <c r="J22442"/>
    </row>
    <row r="22443" spans="10:10" x14ac:dyDescent="0.3">
      <c r="J22443"/>
    </row>
    <row r="22444" spans="10:10" x14ac:dyDescent="0.3">
      <c r="J22444"/>
    </row>
    <row r="22445" spans="10:10" x14ac:dyDescent="0.3">
      <c r="J22445"/>
    </row>
    <row r="22446" spans="10:10" x14ac:dyDescent="0.3">
      <c r="J22446"/>
    </row>
    <row r="22447" spans="10:10" x14ac:dyDescent="0.3">
      <c r="J22447"/>
    </row>
    <row r="22448" spans="10:10" x14ac:dyDescent="0.3">
      <c r="J22448"/>
    </row>
    <row r="22449" spans="10:10" x14ac:dyDescent="0.3">
      <c r="J22449"/>
    </row>
    <row r="22450" spans="10:10" x14ac:dyDescent="0.3">
      <c r="J22450"/>
    </row>
    <row r="22451" spans="10:10" x14ac:dyDescent="0.3">
      <c r="J22451"/>
    </row>
    <row r="22452" spans="10:10" x14ac:dyDescent="0.3">
      <c r="J22452"/>
    </row>
    <row r="22453" spans="10:10" x14ac:dyDescent="0.3">
      <c r="J22453"/>
    </row>
    <row r="22454" spans="10:10" x14ac:dyDescent="0.3">
      <c r="J22454"/>
    </row>
    <row r="22455" spans="10:10" x14ac:dyDescent="0.3">
      <c r="J22455"/>
    </row>
    <row r="22456" spans="10:10" x14ac:dyDescent="0.3">
      <c r="J22456"/>
    </row>
    <row r="22457" spans="10:10" x14ac:dyDescent="0.3">
      <c r="J22457"/>
    </row>
    <row r="22458" spans="10:10" x14ac:dyDescent="0.3">
      <c r="J22458"/>
    </row>
    <row r="22459" spans="10:10" x14ac:dyDescent="0.3">
      <c r="J22459"/>
    </row>
    <row r="22460" spans="10:10" x14ac:dyDescent="0.3">
      <c r="J22460"/>
    </row>
    <row r="22461" spans="10:10" x14ac:dyDescent="0.3">
      <c r="J22461"/>
    </row>
    <row r="22462" spans="10:10" x14ac:dyDescent="0.3">
      <c r="J22462"/>
    </row>
    <row r="22463" spans="10:10" x14ac:dyDescent="0.3">
      <c r="J22463"/>
    </row>
    <row r="22464" spans="10:10" x14ac:dyDescent="0.3">
      <c r="J22464"/>
    </row>
    <row r="22465" spans="10:10" x14ac:dyDescent="0.3">
      <c r="J22465"/>
    </row>
    <row r="22466" spans="10:10" x14ac:dyDescent="0.3">
      <c r="J22466"/>
    </row>
    <row r="22467" spans="10:10" x14ac:dyDescent="0.3">
      <c r="J22467"/>
    </row>
    <row r="22468" spans="10:10" x14ac:dyDescent="0.3">
      <c r="J22468"/>
    </row>
    <row r="22469" spans="10:10" x14ac:dyDescent="0.3">
      <c r="J22469"/>
    </row>
    <row r="22470" spans="10:10" x14ac:dyDescent="0.3">
      <c r="J22470"/>
    </row>
    <row r="22471" spans="10:10" x14ac:dyDescent="0.3">
      <c r="J22471"/>
    </row>
    <row r="22472" spans="10:10" x14ac:dyDescent="0.3">
      <c r="J22472"/>
    </row>
    <row r="22473" spans="10:10" x14ac:dyDescent="0.3">
      <c r="J22473"/>
    </row>
    <row r="22474" spans="10:10" x14ac:dyDescent="0.3">
      <c r="J22474"/>
    </row>
    <row r="22475" spans="10:10" x14ac:dyDescent="0.3">
      <c r="J22475"/>
    </row>
    <row r="22476" spans="10:10" x14ac:dyDescent="0.3">
      <c r="J22476"/>
    </row>
    <row r="22477" spans="10:10" x14ac:dyDescent="0.3">
      <c r="J22477"/>
    </row>
    <row r="22478" spans="10:10" x14ac:dyDescent="0.3">
      <c r="J22478"/>
    </row>
    <row r="22479" spans="10:10" x14ac:dyDescent="0.3">
      <c r="J22479"/>
    </row>
    <row r="22480" spans="10:10" x14ac:dyDescent="0.3">
      <c r="J22480"/>
    </row>
    <row r="22481" spans="10:10" x14ac:dyDescent="0.3">
      <c r="J22481"/>
    </row>
    <row r="22482" spans="10:10" x14ac:dyDescent="0.3">
      <c r="J22482"/>
    </row>
    <row r="22483" spans="10:10" x14ac:dyDescent="0.3">
      <c r="J22483"/>
    </row>
    <row r="22484" spans="10:10" x14ac:dyDescent="0.3">
      <c r="J22484"/>
    </row>
    <row r="22485" spans="10:10" x14ac:dyDescent="0.3">
      <c r="J22485"/>
    </row>
    <row r="22486" spans="10:10" x14ac:dyDescent="0.3">
      <c r="J22486"/>
    </row>
    <row r="22487" spans="10:10" x14ac:dyDescent="0.3">
      <c r="J22487"/>
    </row>
    <row r="22488" spans="10:10" x14ac:dyDescent="0.3">
      <c r="J22488"/>
    </row>
    <row r="22489" spans="10:10" x14ac:dyDescent="0.3">
      <c r="J22489"/>
    </row>
    <row r="22490" spans="10:10" x14ac:dyDescent="0.3">
      <c r="J22490"/>
    </row>
    <row r="22491" spans="10:10" x14ac:dyDescent="0.3">
      <c r="J22491"/>
    </row>
    <row r="22492" spans="10:10" x14ac:dyDescent="0.3">
      <c r="J22492"/>
    </row>
    <row r="22493" spans="10:10" x14ac:dyDescent="0.3">
      <c r="J22493"/>
    </row>
    <row r="22494" spans="10:10" x14ac:dyDescent="0.3">
      <c r="J22494"/>
    </row>
    <row r="22495" spans="10:10" x14ac:dyDescent="0.3">
      <c r="J22495"/>
    </row>
    <row r="22496" spans="10:10" x14ac:dyDescent="0.3">
      <c r="J22496"/>
    </row>
    <row r="22497" spans="10:10" x14ac:dyDescent="0.3">
      <c r="J22497"/>
    </row>
    <row r="22498" spans="10:10" x14ac:dyDescent="0.3">
      <c r="J22498"/>
    </row>
    <row r="22499" spans="10:10" x14ac:dyDescent="0.3">
      <c r="J22499"/>
    </row>
    <row r="22500" spans="10:10" x14ac:dyDescent="0.3">
      <c r="J22500"/>
    </row>
    <row r="22501" spans="10:10" x14ac:dyDescent="0.3">
      <c r="J22501"/>
    </row>
    <row r="22502" spans="10:10" x14ac:dyDescent="0.3">
      <c r="J22502"/>
    </row>
    <row r="22503" spans="10:10" x14ac:dyDescent="0.3">
      <c r="J22503"/>
    </row>
    <row r="22504" spans="10:10" x14ac:dyDescent="0.3">
      <c r="J22504"/>
    </row>
    <row r="22505" spans="10:10" x14ac:dyDescent="0.3">
      <c r="J22505"/>
    </row>
    <row r="22506" spans="10:10" x14ac:dyDescent="0.3">
      <c r="J22506"/>
    </row>
    <row r="22507" spans="10:10" x14ac:dyDescent="0.3">
      <c r="J22507"/>
    </row>
    <row r="22508" spans="10:10" x14ac:dyDescent="0.3">
      <c r="J22508"/>
    </row>
    <row r="22509" spans="10:10" x14ac:dyDescent="0.3">
      <c r="J22509"/>
    </row>
    <row r="22510" spans="10:10" x14ac:dyDescent="0.3">
      <c r="J22510"/>
    </row>
    <row r="22511" spans="10:10" x14ac:dyDescent="0.3">
      <c r="J22511"/>
    </row>
    <row r="22512" spans="10:10" x14ac:dyDescent="0.3">
      <c r="J22512"/>
    </row>
    <row r="22513" spans="10:10" x14ac:dyDescent="0.3">
      <c r="J22513"/>
    </row>
    <row r="22514" spans="10:10" x14ac:dyDescent="0.3">
      <c r="J22514"/>
    </row>
    <row r="22515" spans="10:10" x14ac:dyDescent="0.3">
      <c r="J22515"/>
    </row>
    <row r="22516" spans="10:10" x14ac:dyDescent="0.3">
      <c r="J22516"/>
    </row>
    <row r="22517" spans="10:10" x14ac:dyDescent="0.3">
      <c r="J22517"/>
    </row>
    <row r="22518" spans="10:10" x14ac:dyDescent="0.3">
      <c r="J22518"/>
    </row>
    <row r="22519" spans="10:10" x14ac:dyDescent="0.3">
      <c r="J22519"/>
    </row>
    <row r="22520" spans="10:10" x14ac:dyDescent="0.3">
      <c r="J22520"/>
    </row>
    <row r="22521" spans="10:10" x14ac:dyDescent="0.3">
      <c r="J22521"/>
    </row>
    <row r="22522" spans="10:10" x14ac:dyDescent="0.3">
      <c r="J22522"/>
    </row>
    <row r="22523" spans="10:10" x14ac:dyDescent="0.3">
      <c r="J22523"/>
    </row>
    <row r="22524" spans="10:10" x14ac:dyDescent="0.3">
      <c r="J22524"/>
    </row>
    <row r="22525" spans="10:10" x14ac:dyDescent="0.3">
      <c r="J22525"/>
    </row>
    <row r="22526" spans="10:10" x14ac:dyDescent="0.3">
      <c r="J22526"/>
    </row>
    <row r="22527" spans="10:10" x14ac:dyDescent="0.3">
      <c r="J22527"/>
    </row>
    <row r="22528" spans="10:10" x14ac:dyDescent="0.3">
      <c r="J22528"/>
    </row>
    <row r="22529" spans="10:10" x14ac:dyDescent="0.3">
      <c r="J22529"/>
    </row>
    <row r="22530" spans="10:10" x14ac:dyDescent="0.3">
      <c r="J22530"/>
    </row>
    <row r="22531" spans="10:10" x14ac:dyDescent="0.3">
      <c r="J22531"/>
    </row>
    <row r="22532" spans="10:10" x14ac:dyDescent="0.3">
      <c r="J22532"/>
    </row>
    <row r="22533" spans="10:10" x14ac:dyDescent="0.3">
      <c r="J22533"/>
    </row>
    <row r="22534" spans="10:10" x14ac:dyDescent="0.3">
      <c r="J22534"/>
    </row>
    <row r="22535" spans="10:10" x14ac:dyDescent="0.3">
      <c r="J22535"/>
    </row>
    <row r="22536" spans="10:10" x14ac:dyDescent="0.3">
      <c r="J22536"/>
    </row>
    <row r="22537" spans="10:10" x14ac:dyDescent="0.3">
      <c r="J22537"/>
    </row>
    <row r="22538" spans="10:10" x14ac:dyDescent="0.3">
      <c r="J22538"/>
    </row>
    <row r="22539" spans="10:10" x14ac:dyDescent="0.3">
      <c r="J22539"/>
    </row>
    <row r="22540" spans="10:10" x14ac:dyDescent="0.3">
      <c r="J22540"/>
    </row>
    <row r="22541" spans="10:10" x14ac:dyDescent="0.3">
      <c r="J22541"/>
    </row>
    <row r="22542" spans="10:10" x14ac:dyDescent="0.3">
      <c r="J22542"/>
    </row>
    <row r="22543" spans="10:10" x14ac:dyDescent="0.3">
      <c r="J22543"/>
    </row>
    <row r="22544" spans="10:10" x14ac:dyDescent="0.3">
      <c r="J22544"/>
    </row>
    <row r="22545" spans="10:10" x14ac:dyDescent="0.3">
      <c r="J22545"/>
    </row>
    <row r="22546" spans="10:10" x14ac:dyDescent="0.3">
      <c r="J22546"/>
    </row>
    <row r="22547" spans="10:10" x14ac:dyDescent="0.3">
      <c r="J22547"/>
    </row>
    <row r="22548" spans="10:10" x14ac:dyDescent="0.3">
      <c r="J22548"/>
    </row>
    <row r="22549" spans="10:10" x14ac:dyDescent="0.3">
      <c r="J22549"/>
    </row>
    <row r="22550" spans="10:10" x14ac:dyDescent="0.3">
      <c r="J22550"/>
    </row>
    <row r="22551" spans="10:10" x14ac:dyDescent="0.3">
      <c r="J22551"/>
    </row>
    <row r="22552" spans="10:10" x14ac:dyDescent="0.3">
      <c r="J22552"/>
    </row>
    <row r="22553" spans="10:10" x14ac:dyDescent="0.3">
      <c r="J22553"/>
    </row>
    <row r="22554" spans="10:10" x14ac:dyDescent="0.3">
      <c r="J22554"/>
    </row>
    <row r="22555" spans="10:10" x14ac:dyDescent="0.3">
      <c r="J22555"/>
    </row>
    <row r="22556" spans="10:10" x14ac:dyDescent="0.3">
      <c r="J22556"/>
    </row>
    <row r="22557" spans="10:10" x14ac:dyDescent="0.3">
      <c r="J22557"/>
    </row>
    <row r="22558" spans="10:10" x14ac:dyDescent="0.3">
      <c r="J22558"/>
    </row>
    <row r="22559" spans="10:10" x14ac:dyDescent="0.3">
      <c r="J22559"/>
    </row>
    <row r="22560" spans="10:10" x14ac:dyDescent="0.3">
      <c r="J22560"/>
    </row>
    <row r="22561" spans="10:10" x14ac:dyDescent="0.3">
      <c r="J22561"/>
    </row>
    <row r="22562" spans="10:10" x14ac:dyDescent="0.3">
      <c r="J22562"/>
    </row>
    <row r="22563" spans="10:10" x14ac:dyDescent="0.3">
      <c r="J22563"/>
    </row>
    <row r="22564" spans="10:10" x14ac:dyDescent="0.3">
      <c r="J22564"/>
    </row>
    <row r="22565" spans="10:10" x14ac:dyDescent="0.3">
      <c r="J22565"/>
    </row>
    <row r="22566" spans="10:10" x14ac:dyDescent="0.3">
      <c r="J22566"/>
    </row>
    <row r="22567" spans="10:10" x14ac:dyDescent="0.3">
      <c r="J22567"/>
    </row>
    <row r="22568" spans="10:10" x14ac:dyDescent="0.3">
      <c r="J22568"/>
    </row>
    <row r="22569" spans="10:10" x14ac:dyDescent="0.3">
      <c r="J22569"/>
    </row>
    <row r="22570" spans="10:10" x14ac:dyDescent="0.3">
      <c r="J22570"/>
    </row>
    <row r="22571" spans="10:10" x14ac:dyDescent="0.3">
      <c r="J22571"/>
    </row>
    <row r="22572" spans="10:10" x14ac:dyDescent="0.3">
      <c r="J22572"/>
    </row>
    <row r="22573" spans="10:10" x14ac:dyDescent="0.3">
      <c r="J22573"/>
    </row>
    <row r="22574" spans="10:10" x14ac:dyDescent="0.3">
      <c r="J22574"/>
    </row>
    <row r="22575" spans="10:10" x14ac:dyDescent="0.3">
      <c r="J22575"/>
    </row>
    <row r="22576" spans="10:10" x14ac:dyDescent="0.3">
      <c r="J22576"/>
    </row>
    <row r="22577" spans="10:10" x14ac:dyDescent="0.3">
      <c r="J22577"/>
    </row>
    <row r="22578" spans="10:10" x14ac:dyDescent="0.3">
      <c r="J22578"/>
    </row>
    <row r="22579" spans="10:10" x14ac:dyDescent="0.3">
      <c r="J22579"/>
    </row>
    <row r="22580" spans="10:10" x14ac:dyDescent="0.3">
      <c r="J22580"/>
    </row>
    <row r="22581" spans="10:10" x14ac:dyDescent="0.3">
      <c r="J22581"/>
    </row>
    <row r="22582" spans="10:10" x14ac:dyDescent="0.3">
      <c r="J22582"/>
    </row>
    <row r="22583" spans="10:10" x14ac:dyDescent="0.3">
      <c r="J22583"/>
    </row>
    <row r="22584" spans="10:10" x14ac:dyDescent="0.3">
      <c r="J22584"/>
    </row>
    <row r="22585" spans="10:10" x14ac:dyDescent="0.3">
      <c r="J22585"/>
    </row>
    <row r="22586" spans="10:10" x14ac:dyDescent="0.3">
      <c r="J22586"/>
    </row>
    <row r="22587" spans="10:10" x14ac:dyDescent="0.3">
      <c r="J22587"/>
    </row>
    <row r="22588" spans="10:10" x14ac:dyDescent="0.3">
      <c r="J22588"/>
    </row>
    <row r="22589" spans="10:10" x14ac:dyDescent="0.3">
      <c r="J22589"/>
    </row>
    <row r="22590" spans="10:10" x14ac:dyDescent="0.3">
      <c r="J22590"/>
    </row>
    <row r="22591" spans="10:10" x14ac:dyDescent="0.3">
      <c r="J22591"/>
    </row>
    <row r="22592" spans="10:10" x14ac:dyDescent="0.3">
      <c r="J22592"/>
    </row>
    <row r="22593" spans="10:10" x14ac:dyDescent="0.3">
      <c r="J22593"/>
    </row>
    <row r="22594" spans="10:10" x14ac:dyDescent="0.3">
      <c r="J22594"/>
    </row>
    <row r="22595" spans="10:10" x14ac:dyDescent="0.3">
      <c r="J22595"/>
    </row>
    <row r="22596" spans="10:10" x14ac:dyDescent="0.3">
      <c r="J22596"/>
    </row>
    <row r="22597" spans="10:10" x14ac:dyDescent="0.3">
      <c r="J22597"/>
    </row>
    <row r="22598" spans="10:10" x14ac:dyDescent="0.3">
      <c r="J22598"/>
    </row>
    <row r="22599" spans="10:10" x14ac:dyDescent="0.3">
      <c r="J22599"/>
    </row>
    <row r="22600" spans="10:10" x14ac:dyDescent="0.3">
      <c r="J22600"/>
    </row>
    <row r="22601" spans="10:10" x14ac:dyDescent="0.3">
      <c r="J22601"/>
    </row>
    <row r="22602" spans="10:10" x14ac:dyDescent="0.3">
      <c r="J22602"/>
    </row>
    <row r="22603" spans="10:10" x14ac:dyDescent="0.3">
      <c r="J22603"/>
    </row>
    <row r="22604" spans="10:10" x14ac:dyDescent="0.3">
      <c r="J22604"/>
    </row>
    <row r="22605" spans="10:10" x14ac:dyDescent="0.3">
      <c r="J22605"/>
    </row>
    <row r="22606" spans="10:10" x14ac:dyDescent="0.3">
      <c r="J22606"/>
    </row>
    <row r="22607" spans="10:10" x14ac:dyDescent="0.3">
      <c r="J22607"/>
    </row>
    <row r="22608" spans="10:10" x14ac:dyDescent="0.3">
      <c r="J22608"/>
    </row>
    <row r="22609" spans="10:10" x14ac:dyDescent="0.3">
      <c r="J22609"/>
    </row>
    <row r="22610" spans="10:10" x14ac:dyDescent="0.3">
      <c r="J22610"/>
    </row>
    <row r="22611" spans="10:10" x14ac:dyDescent="0.3">
      <c r="J22611"/>
    </row>
    <row r="22612" spans="10:10" x14ac:dyDescent="0.3">
      <c r="J22612"/>
    </row>
    <row r="22613" spans="10:10" x14ac:dyDescent="0.3">
      <c r="J22613"/>
    </row>
    <row r="22614" spans="10:10" x14ac:dyDescent="0.3">
      <c r="J22614"/>
    </row>
    <row r="22615" spans="10:10" x14ac:dyDescent="0.3">
      <c r="J22615"/>
    </row>
    <row r="22616" spans="10:10" x14ac:dyDescent="0.3">
      <c r="J22616"/>
    </row>
    <row r="22617" spans="10:10" x14ac:dyDescent="0.3">
      <c r="J22617"/>
    </row>
    <row r="22618" spans="10:10" x14ac:dyDescent="0.3">
      <c r="J22618"/>
    </row>
    <row r="22619" spans="10:10" x14ac:dyDescent="0.3">
      <c r="J22619"/>
    </row>
    <row r="22620" spans="10:10" x14ac:dyDescent="0.3">
      <c r="J22620"/>
    </row>
    <row r="22621" spans="10:10" x14ac:dyDescent="0.3">
      <c r="J22621"/>
    </row>
    <row r="22622" spans="10:10" x14ac:dyDescent="0.3">
      <c r="J22622"/>
    </row>
    <row r="22623" spans="10:10" x14ac:dyDescent="0.3">
      <c r="J22623"/>
    </row>
    <row r="22624" spans="10:10" x14ac:dyDescent="0.3">
      <c r="J22624"/>
    </row>
    <row r="22625" spans="10:10" x14ac:dyDescent="0.3">
      <c r="J22625"/>
    </row>
    <row r="22626" spans="10:10" x14ac:dyDescent="0.3">
      <c r="J22626"/>
    </row>
    <row r="22627" spans="10:10" x14ac:dyDescent="0.3">
      <c r="J22627"/>
    </row>
    <row r="22628" spans="10:10" x14ac:dyDescent="0.3">
      <c r="J22628"/>
    </row>
    <row r="22629" spans="10:10" x14ac:dyDescent="0.3">
      <c r="J22629"/>
    </row>
    <row r="22630" spans="10:10" x14ac:dyDescent="0.3">
      <c r="J22630"/>
    </row>
    <row r="22631" spans="10:10" x14ac:dyDescent="0.3">
      <c r="J22631"/>
    </row>
    <row r="22632" spans="10:10" x14ac:dyDescent="0.3">
      <c r="J22632"/>
    </row>
    <row r="22633" spans="10:10" x14ac:dyDescent="0.3">
      <c r="J22633"/>
    </row>
    <row r="22634" spans="10:10" x14ac:dyDescent="0.3">
      <c r="J22634"/>
    </row>
    <row r="22635" spans="10:10" x14ac:dyDescent="0.3">
      <c r="J22635"/>
    </row>
    <row r="22636" spans="10:10" x14ac:dyDescent="0.3">
      <c r="J22636"/>
    </row>
    <row r="22637" spans="10:10" x14ac:dyDescent="0.3">
      <c r="J22637"/>
    </row>
    <row r="22638" spans="10:10" x14ac:dyDescent="0.3">
      <c r="J22638"/>
    </row>
    <row r="22639" spans="10:10" x14ac:dyDescent="0.3">
      <c r="J22639"/>
    </row>
    <row r="22640" spans="10:10" x14ac:dyDescent="0.3">
      <c r="J22640"/>
    </row>
    <row r="22641" spans="10:10" x14ac:dyDescent="0.3">
      <c r="J22641"/>
    </row>
    <row r="22642" spans="10:10" x14ac:dyDescent="0.3">
      <c r="J22642"/>
    </row>
    <row r="22643" spans="10:10" x14ac:dyDescent="0.3">
      <c r="J22643"/>
    </row>
    <row r="22644" spans="10:10" x14ac:dyDescent="0.3">
      <c r="J22644"/>
    </row>
    <row r="22645" spans="10:10" x14ac:dyDescent="0.3">
      <c r="J22645"/>
    </row>
    <row r="22646" spans="10:10" x14ac:dyDescent="0.3">
      <c r="J22646"/>
    </row>
    <row r="22647" spans="10:10" x14ac:dyDescent="0.3">
      <c r="J22647"/>
    </row>
    <row r="22648" spans="10:10" x14ac:dyDescent="0.3">
      <c r="J22648"/>
    </row>
    <row r="22649" spans="10:10" x14ac:dyDescent="0.3">
      <c r="J22649"/>
    </row>
    <row r="22650" spans="10:10" x14ac:dyDescent="0.3">
      <c r="J22650"/>
    </row>
    <row r="22651" spans="10:10" x14ac:dyDescent="0.3">
      <c r="J22651"/>
    </row>
    <row r="22652" spans="10:10" x14ac:dyDescent="0.3">
      <c r="J22652"/>
    </row>
    <row r="22653" spans="10:10" x14ac:dyDescent="0.3">
      <c r="J22653"/>
    </row>
    <row r="22654" spans="10:10" x14ac:dyDescent="0.3">
      <c r="J22654"/>
    </row>
    <row r="22655" spans="10:10" x14ac:dyDescent="0.3">
      <c r="J22655"/>
    </row>
    <row r="22656" spans="10:10" x14ac:dyDescent="0.3">
      <c r="J22656"/>
    </row>
    <row r="22657" spans="10:10" x14ac:dyDescent="0.3">
      <c r="J22657"/>
    </row>
    <row r="22658" spans="10:10" x14ac:dyDescent="0.3">
      <c r="J22658"/>
    </row>
    <row r="22659" spans="10:10" x14ac:dyDescent="0.3">
      <c r="J22659"/>
    </row>
    <row r="22660" spans="10:10" x14ac:dyDescent="0.3">
      <c r="J22660"/>
    </row>
    <row r="22661" spans="10:10" x14ac:dyDescent="0.3">
      <c r="J22661"/>
    </row>
    <row r="22662" spans="10:10" x14ac:dyDescent="0.3">
      <c r="J22662"/>
    </row>
    <row r="22663" spans="10:10" x14ac:dyDescent="0.3">
      <c r="J22663"/>
    </row>
    <row r="22664" spans="10:10" x14ac:dyDescent="0.3">
      <c r="J22664"/>
    </row>
    <row r="22665" spans="10:10" x14ac:dyDescent="0.3">
      <c r="J22665"/>
    </row>
    <row r="22666" spans="10:10" x14ac:dyDescent="0.3">
      <c r="J22666"/>
    </row>
    <row r="22667" spans="10:10" x14ac:dyDescent="0.3">
      <c r="J22667"/>
    </row>
    <row r="22668" spans="10:10" x14ac:dyDescent="0.3">
      <c r="J22668"/>
    </row>
    <row r="22669" spans="10:10" x14ac:dyDescent="0.3">
      <c r="J22669"/>
    </row>
    <row r="22670" spans="10:10" x14ac:dyDescent="0.3">
      <c r="J22670"/>
    </row>
    <row r="22671" spans="10:10" x14ac:dyDescent="0.3">
      <c r="J22671"/>
    </row>
    <row r="22672" spans="10:10" x14ac:dyDescent="0.3">
      <c r="J22672"/>
    </row>
    <row r="22673" spans="10:10" x14ac:dyDescent="0.3">
      <c r="J22673"/>
    </row>
    <row r="22674" spans="10:10" x14ac:dyDescent="0.3">
      <c r="J22674"/>
    </row>
    <row r="22675" spans="10:10" x14ac:dyDescent="0.3">
      <c r="J22675"/>
    </row>
    <row r="22676" spans="10:10" x14ac:dyDescent="0.3">
      <c r="J22676"/>
    </row>
    <row r="22677" spans="10:10" x14ac:dyDescent="0.3">
      <c r="J22677"/>
    </row>
    <row r="22678" spans="10:10" x14ac:dyDescent="0.3">
      <c r="J22678"/>
    </row>
    <row r="22679" spans="10:10" x14ac:dyDescent="0.3">
      <c r="J22679"/>
    </row>
    <row r="22680" spans="10:10" x14ac:dyDescent="0.3">
      <c r="J22680"/>
    </row>
    <row r="22681" spans="10:10" x14ac:dyDescent="0.3">
      <c r="J22681"/>
    </row>
    <row r="22682" spans="10:10" x14ac:dyDescent="0.3">
      <c r="J22682"/>
    </row>
    <row r="22683" spans="10:10" x14ac:dyDescent="0.3">
      <c r="J22683"/>
    </row>
    <row r="22684" spans="10:10" x14ac:dyDescent="0.3">
      <c r="J22684"/>
    </row>
    <row r="22685" spans="10:10" x14ac:dyDescent="0.3">
      <c r="J22685"/>
    </row>
    <row r="22686" spans="10:10" x14ac:dyDescent="0.3">
      <c r="J22686"/>
    </row>
    <row r="22687" spans="10:10" x14ac:dyDescent="0.3">
      <c r="J22687"/>
    </row>
    <row r="22688" spans="10:10" x14ac:dyDescent="0.3">
      <c r="J22688"/>
    </row>
    <row r="22689" spans="10:10" x14ac:dyDescent="0.3">
      <c r="J22689"/>
    </row>
    <row r="22690" spans="10:10" x14ac:dyDescent="0.3">
      <c r="J22690"/>
    </row>
    <row r="22691" spans="10:10" x14ac:dyDescent="0.3">
      <c r="J22691"/>
    </row>
    <row r="22692" spans="10:10" x14ac:dyDescent="0.3">
      <c r="J22692"/>
    </row>
    <row r="22693" spans="10:10" x14ac:dyDescent="0.3">
      <c r="J22693"/>
    </row>
    <row r="22694" spans="10:10" x14ac:dyDescent="0.3">
      <c r="J22694"/>
    </row>
    <row r="22695" spans="10:10" x14ac:dyDescent="0.3">
      <c r="J22695"/>
    </row>
    <row r="22696" spans="10:10" x14ac:dyDescent="0.3">
      <c r="J22696"/>
    </row>
    <row r="22697" spans="10:10" x14ac:dyDescent="0.3">
      <c r="J22697"/>
    </row>
    <row r="22698" spans="10:10" x14ac:dyDescent="0.3">
      <c r="J22698"/>
    </row>
    <row r="22699" spans="10:10" x14ac:dyDescent="0.3">
      <c r="J22699"/>
    </row>
    <row r="22700" spans="10:10" x14ac:dyDescent="0.3">
      <c r="J22700"/>
    </row>
    <row r="22701" spans="10:10" x14ac:dyDescent="0.3">
      <c r="J22701"/>
    </row>
    <row r="22702" spans="10:10" x14ac:dyDescent="0.3">
      <c r="J22702"/>
    </row>
    <row r="22703" spans="10:10" x14ac:dyDescent="0.3">
      <c r="J22703"/>
    </row>
    <row r="22704" spans="10:10" x14ac:dyDescent="0.3">
      <c r="J22704"/>
    </row>
    <row r="22705" spans="10:10" x14ac:dyDescent="0.3">
      <c r="J22705"/>
    </row>
    <row r="22706" spans="10:10" x14ac:dyDescent="0.3">
      <c r="J22706"/>
    </row>
    <row r="22707" spans="10:10" x14ac:dyDescent="0.3">
      <c r="J22707"/>
    </row>
    <row r="22708" spans="10:10" x14ac:dyDescent="0.3">
      <c r="J22708"/>
    </row>
    <row r="22709" spans="10:10" x14ac:dyDescent="0.3">
      <c r="J22709"/>
    </row>
    <row r="22710" spans="10:10" x14ac:dyDescent="0.3">
      <c r="J22710"/>
    </row>
    <row r="22711" spans="10:10" x14ac:dyDescent="0.3">
      <c r="J22711"/>
    </row>
    <row r="22712" spans="10:10" x14ac:dyDescent="0.3">
      <c r="J22712"/>
    </row>
    <row r="22713" spans="10:10" x14ac:dyDescent="0.3">
      <c r="J22713"/>
    </row>
    <row r="22714" spans="10:10" x14ac:dyDescent="0.3">
      <c r="J22714"/>
    </row>
    <row r="22715" spans="10:10" x14ac:dyDescent="0.3">
      <c r="J22715"/>
    </row>
    <row r="22716" spans="10:10" x14ac:dyDescent="0.3">
      <c r="J22716"/>
    </row>
    <row r="22717" spans="10:10" x14ac:dyDescent="0.3">
      <c r="J22717"/>
    </row>
    <row r="22718" spans="10:10" x14ac:dyDescent="0.3">
      <c r="J22718"/>
    </row>
    <row r="22719" spans="10:10" x14ac:dyDescent="0.3">
      <c r="J22719"/>
    </row>
    <row r="22720" spans="10:10" x14ac:dyDescent="0.3">
      <c r="J22720"/>
    </row>
    <row r="22721" spans="10:10" x14ac:dyDescent="0.3">
      <c r="J22721"/>
    </row>
    <row r="22722" spans="10:10" x14ac:dyDescent="0.3">
      <c r="J22722"/>
    </row>
    <row r="22723" spans="10:10" x14ac:dyDescent="0.3">
      <c r="J22723"/>
    </row>
    <row r="22724" spans="10:10" x14ac:dyDescent="0.3">
      <c r="J22724"/>
    </row>
    <row r="22725" spans="10:10" x14ac:dyDescent="0.3">
      <c r="J22725"/>
    </row>
    <row r="22726" spans="10:10" x14ac:dyDescent="0.3">
      <c r="J22726"/>
    </row>
    <row r="22727" spans="10:10" x14ac:dyDescent="0.3">
      <c r="J22727"/>
    </row>
    <row r="22728" spans="10:10" x14ac:dyDescent="0.3">
      <c r="J22728"/>
    </row>
    <row r="22729" spans="10:10" x14ac:dyDescent="0.3">
      <c r="J22729"/>
    </row>
    <row r="22730" spans="10:10" x14ac:dyDescent="0.3">
      <c r="J22730"/>
    </row>
    <row r="22731" spans="10:10" x14ac:dyDescent="0.3">
      <c r="J22731"/>
    </row>
    <row r="22732" spans="10:10" x14ac:dyDescent="0.3">
      <c r="J22732"/>
    </row>
    <row r="22733" spans="10:10" x14ac:dyDescent="0.3">
      <c r="J22733"/>
    </row>
    <row r="22734" spans="10:10" x14ac:dyDescent="0.3">
      <c r="J22734"/>
    </row>
    <row r="22735" spans="10:10" x14ac:dyDescent="0.3">
      <c r="J22735"/>
    </row>
    <row r="22736" spans="10:10" x14ac:dyDescent="0.3">
      <c r="J22736"/>
    </row>
    <row r="22737" spans="10:10" x14ac:dyDescent="0.3">
      <c r="J22737"/>
    </row>
    <row r="22738" spans="10:10" x14ac:dyDescent="0.3">
      <c r="J22738"/>
    </row>
    <row r="22739" spans="10:10" x14ac:dyDescent="0.3">
      <c r="J22739"/>
    </row>
    <row r="22740" spans="10:10" x14ac:dyDescent="0.3">
      <c r="J22740"/>
    </row>
    <row r="22741" spans="10:10" x14ac:dyDescent="0.3">
      <c r="J22741"/>
    </row>
    <row r="22742" spans="10:10" x14ac:dyDescent="0.3">
      <c r="J22742"/>
    </row>
    <row r="22743" spans="10:10" x14ac:dyDescent="0.3">
      <c r="J22743"/>
    </row>
    <row r="22744" spans="10:10" x14ac:dyDescent="0.3">
      <c r="J22744"/>
    </row>
    <row r="22745" spans="10:10" x14ac:dyDescent="0.3">
      <c r="J22745"/>
    </row>
    <row r="22746" spans="10:10" x14ac:dyDescent="0.3">
      <c r="J22746"/>
    </row>
    <row r="22747" spans="10:10" x14ac:dyDescent="0.3">
      <c r="J22747"/>
    </row>
    <row r="22748" spans="10:10" x14ac:dyDescent="0.3">
      <c r="J22748"/>
    </row>
    <row r="22749" spans="10:10" x14ac:dyDescent="0.3">
      <c r="J22749"/>
    </row>
    <row r="22750" spans="10:10" x14ac:dyDescent="0.3">
      <c r="J22750"/>
    </row>
    <row r="22751" spans="10:10" x14ac:dyDescent="0.3">
      <c r="J22751"/>
    </row>
    <row r="22752" spans="10:10" x14ac:dyDescent="0.3">
      <c r="J22752"/>
    </row>
    <row r="22753" spans="10:10" x14ac:dyDescent="0.3">
      <c r="J22753"/>
    </row>
    <row r="22754" spans="10:10" x14ac:dyDescent="0.3">
      <c r="J22754"/>
    </row>
    <row r="22755" spans="10:10" x14ac:dyDescent="0.3">
      <c r="J22755"/>
    </row>
    <row r="22756" spans="10:10" x14ac:dyDescent="0.3">
      <c r="J22756"/>
    </row>
    <row r="22757" spans="10:10" x14ac:dyDescent="0.3">
      <c r="J22757"/>
    </row>
    <row r="22758" spans="10:10" x14ac:dyDescent="0.3">
      <c r="J22758"/>
    </row>
    <row r="22759" spans="10:10" x14ac:dyDescent="0.3">
      <c r="J22759"/>
    </row>
    <row r="22760" spans="10:10" x14ac:dyDescent="0.3">
      <c r="J22760"/>
    </row>
    <row r="22761" spans="10:10" x14ac:dyDescent="0.3">
      <c r="J22761"/>
    </row>
    <row r="22762" spans="10:10" x14ac:dyDescent="0.3">
      <c r="J22762"/>
    </row>
    <row r="22763" spans="10:10" x14ac:dyDescent="0.3">
      <c r="J22763"/>
    </row>
    <row r="22764" spans="10:10" x14ac:dyDescent="0.3">
      <c r="J22764"/>
    </row>
    <row r="22765" spans="10:10" x14ac:dyDescent="0.3">
      <c r="J22765"/>
    </row>
    <row r="22766" spans="10:10" x14ac:dyDescent="0.3">
      <c r="J22766"/>
    </row>
    <row r="22767" spans="10:10" x14ac:dyDescent="0.3">
      <c r="J22767"/>
    </row>
    <row r="22768" spans="10:10" x14ac:dyDescent="0.3">
      <c r="J22768"/>
    </row>
    <row r="22769" spans="10:10" x14ac:dyDescent="0.3">
      <c r="J22769"/>
    </row>
    <row r="22770" spans="10:10" x14ac:dyDescent="0.3">
      <c r="J22770"/>
    </row>
    <row r="22771" spans="10:10" x14ac:dyDescent="0.3">
      <c r="J22771"/>
    </row>
    <row r="22772" spans="10:10" x14ac:dyDescent="0.3">
      <c r="J22772"/>
    </row>
    <row r="22773" spans="10:10" x14ac:dyDescent="0.3">
      <c r="J22773"/>
    </row>
    <row r="22774" spans="10:10" x14ac:dyDescent="0.3">
      <c r="J22774"/>
    </row>
    <row r="22775" spans="10:10" x14ac:dyDescent="0.3">
      <c r="J22775"/>
    </row>
    <row r="22776" spans="10:10" x14ac:dyDescent="0.3">
      <c r="J22776"/>
    </row>
    <row r="22777" spans="10:10" x14ac:dyDescent="0.3">
      <c r="J22777"/>
    </row>
    <row r="22778" spans="10:10" x14ac:dyDescent="0.3">
      <c r="J22778"/>
    </row>
    <row r="22779" spans="10:10" x14ac:dyDescent="0.3">
      <c r="J22779"/>
    </row>
    <row r="22780" spans="10:10" x14ac:dyDescent="0.3">
      <c r="J22780"/>
    </row>
    <row r="22781" spans="10:10" x14ac:dyDescent="0.3">
      <c r="J22781"/>
    </row>
    <row r="22782" spans="10:10" x14ac:dyDescent="0.3">
      <c r="J22782"/>
    </row>
    <row r="22783" spans="10:10" x14ac:dyDescent="0.3">
      <c r="J22783"/>
    </row>
    <row r="22784" spans="10:10" x14ac:dyDescent="0.3">
      <c r="J22784"/>
    </row>
    <row r="22785" spans="10:10" x14ac:dyDescent="0.3">
      <c r="J22785"/>
    </row>
    <row r="22786" spans="10:10" x14ac:dyDescent="0.3">
      <c r="J22786"/>
    </row>
    <row r="22787" spans="10:10" x14ac:dyDescent="0.3">
      <c r="J22787"/>
    </row>
    <row r="22788" spans="10:10" x14ac:dyDescent="0.3">
      <c r="J22788"/>
    </row>
    <row r="22789" spans="10:10" x14ac:dyDescent="0.3">
      <c r="J22789"/>
    </row>
    <row r="22790" spans="10:10" x14ac:dyDescent="0.3">
      <c r="J22790"/>
    </row>
    <row r="22791" spans="10:10" x14ac:dyDescent="0.3">
      <c r="J22791"/>
    </row>
    <row r="22792" spans="10:10" x14ac:dyDescent="0.3">
      <c r="J22792"/>
    </row>
    <row r="22793" spans="10:10" x14ac:dyDescent="0.3">
      <c r="J22793"/>
    </row>
    <row r="22794" spans="10:10" x14ac:dyDescent="0.3">
      <c r="J22794"/>
    </row>
    <row r="22795" spans="10:10" x14ac:dyDescent="0.3">
      <c r="J22795"/>
    </row>
    <row r="22796" spans="10:10" x14ac:dyDescent="0.3">
      <c r="J22796"/>
    </row>
    <row r="22797" spans="10:10" x14ac:dyDescent="0.3">
      <c r="J22797"/>
    </row>
    <row r="22798" spans="10:10" x14ac:dyDescent="0.3">
      <c r="J22798"/>
    </row>
    <row r="22799" spans="10:10" x14ac:dyDescent="0.3">
      <c r="J22799"/>
    </row>
    <row r="22800" spans="10:10" x14ac:dyDescent="0.3">
      <c r="J22800"/>
    </row>
    <row r="22801" spans="10:10" x14ac:dyDescent="0.3">
      <c r="J22801"/>
    </row>
    <row r="22802" spans="10:10" x14ac:dyDescent="0.3">
      <c r="J22802"/>
    </row>
    <row r="22803" spans="10:10" x14ac:dyDescent="0.3">
      <c r="J22803"/>
    </row>
    <row r="22804" spans="10:10" x14ac:dyDescent="0.3">
      <c r="J22804"/>
    </row>
    <row r="22805" spans="10:10" x14ac:dyDescent="0.3">
      <c r="J22805"/>
    </row>
    <row r="22806" spans="10:10" x14ac:dyDescent="0.3">
      <c r="J22806"/>
    </row>
    <row r="22807" spans="10:10" x14ac:dyDescent="0.3">
      <c r="J22807"/>
    </row>
    <row r="22808" spans="10:10" x14ac:dyDescent="0.3">
      <c r="J22808"/>
    </row>
    <row r="22809" spans="10:10" x14ac:dyDescent="0.3">
      <c r="J22809"/>
    </row>
    <row r="22810" spans="10:10" x14ac:dyDescent="0.3">
      <c r="J22810"/>
    </row>
    <row r="22811" spans="10:10" x14ac:dyDescent="0.3">
      <c r="J22811"/>
    </row>
    <row r="22812" spans="10:10" x14ac:dyDescent="0.3">
      <c r="J22812"/>
    </row>
    <row r="22813" spans="10:10" x14ac:dyDescent="0.3">
      <c r="J22813"/>
    </row>
    <row r="22814" spans="10:10" x14ac:dyDescent="0.3">
      <c r="J22814"/>
    </row>
    <row r="22815" spans="10:10" x14ac:dyDescent="0.3">
      <c r="J22815"/>
    </row>
    <row r="22816" spans="10:10" x14ac:dyDescent="0.3">
      <c r="J22816"/>
    </row>
    <row r="22817" spans="10:10" x14ac:dyDescent="0.3">
      <c r="J22817"/>
    </row>
    <row r="22818" spans="10:10" x14ac:dyDescent="0.3">
      <c r="J22818"/>
    </row>
    <row r="22819" spans="10:10" x14ac:dyDescent="0.3">
      <c r="J22819"/>
    </row>
    <row r="22820" spans="10:10" x14ac:dyDescent="0.3">
      <c r="J22820"/>
    </row>
    <row r="22821" spans="10:10" x14ac:dyDescent="0.3">
      <c r="J22821"/>
    </row>
    <row r="22822" spans="10:10" x14ac:dyDescent="0.3">
      <c r="J22822"/>
    </row>
    <row r="22823" spans="10:10" x14ac:dyDescent="0.3">
      <c r="J22823"/>
    </row>
    <row r="22824" spans="10:10" x14ac:dyDescent="0.3">
      <c r="J22824"/>
    </row>
    <row r="22825" spans="10:10" x14ac:dyDescent="0.3">
      <c r="J22825"/>
    </row>
    <row r="22826" spans="10:10" x14ac:dyDescent="0.3">
      <c r="J22826"/>
    </row>
    <row r="22827" spans="10:10" x14ac:dyDescent="0.3">
      <c r="J22827"/>
    </row>
    <row r="22828" spans="10:10" x14ac:dyDescent="0.3">
      <c r="J22828"/>
    </row>
    <row r="22829" spans="10:10" x14ac:dyDescent="0.3">
      <c r="J22829"/>
    </row>
    <row r="22830" spans="10:10" x14ac:dyDescent="0.3">
      <c r="J22830"/>
    </row>
    <row r="22831" spans="10:10" x14ac:dyDescent="0.3">
      <c r="J22831"/>
    </row>
    <row r="22832" spans="10:10" x14ac:dyDescent="0.3">
      <c r="J22832"/>
    </row>
    <row r="22833" spans="10:10" x14ac:dyDescent="0.3">
      <c r="J22833"/>
    </row>
    <row r="22834" spans="10:10" x14ac:dyDescent="0.3">
      <c r="J22834"/>
    </row>
    <row r="22835" spans="10:10" x14ac:dyDescent="0.3">
      <c r="J22835"/>
    </row>
    <row r="22836" spans="10:10" x14ac:dyDescent="0.3">
      <c r="J22836"/>
    </row>
    <row r="22837" spans="10:10" x14ac:dyDescent="0.3">
      <c r="J22837"/>
    </row>
    <row r="22838" spans="10:10" x14ac:dyDescent="0.3">
      <c r="J22838"/>
    </row>
    <row r="22839" spans="10:10" x14ac:dyDescent="0.3">
      <c r="J22839"/>
    </row>
    <row r="22840" spans="10:10" x14ac:dyDescent="0.3">
      <c r="J22840"/>
    </row>
    <row r="22841" spans="10:10" x14ac:dyDescent="0.3">
      <c r="J22841"/>
    </row>
    <row r="22842" spans="10:10" x14ac:dyDescent="0.3">
      <c r="J22842"/>
    </row>
    <row r="22843" spans="10:10" x14ac:dyDescent="0.3">
      <c r="J22843"/>
    </row>
    <row r="22844" spans="10:10" x14ac:dyDescent="0.3">
      <c r="J22844"/>
    </row>
    <row r="22845" spans="10:10" x14ac:dyDescent="0.3">
      <c r="J22845"/>
    </row>
    <row r="22846" spans="10:10" x14ac:dyDescent="0.3">
      <c r="J22846"/>
    </row>
    <row r="22847" spans="10:10" x14ac:dyDescent="0.3">
      <c r="J22847"/>
    </row>
    <row r="22848" spans="10:10" x14ac:dyDescent="0.3">
      <c r="J22848"/>
    </row>
    <row r="22849" spans="10:10" x14ac:dyDescent="0.3">
      <c r="J22849"/>
    </row>
    <row r="22850" spans="10:10" x14ac:dyDescent="0.3">
      <c r="J22850"/>
    </row>
    <row r="22851" spans="10:10" x14ac:dyDescent="0.3">
      <c r="J22851"/>
    </row>
    <row r="22852" spans="10:10" x14ac:dyDescent="0.3">
      <c r="J22852"/>
    </row>
    <row r="22853" spans="10:10" x14ac:dyDescent="0.3">
      <c r="J22853"/>
    </row>
    <row r="22854" spans="10:10" x14ac:dyDescent="0.3">
      <c r="J22854"/>
    </row>
    <row r="22855" spans="10:10" x14ac:dyDescent="0.3">
      <c r="J22855"/>
    </row>
    <row r="22856" spans="10:10" x14ac:dyDescent="0.3">
      <c r="J22856"/>
    </row>
    <row r="22857" spans="10:10" x14ac:dyDescent="0.3">
      <c r="J22857"/>
    </row>
    <row r="22858" spans="10:10" x14ac:dyDescent="0.3">
      <c r="J22858"/>
    </row>
    <row r="22859" spans="10:10" x14ac:dyDescent="0.3">
      <c r="J22859"/>
    </row>
    <row r="22860" spans="10:10" x14ac:dyDescent="0.3">
      <c r="J22860"/>
    </row>
    <row r="22861" spans="10:10" x14ac:dyDescent="0.3">
      <c r="J22861"/>
    </row>
    <row r="22862" spans="10:10" x14ac:dyDescent="0.3">
      <c r="J22862"/>
    </row>
    <row r="22863" spans="10:10" x14ac:dyDescent="0.3">
      <c r="J22863"/>
    </row>
    <row r="22864" spans="10:10" x14ac:dyDescent="0.3">
      <c r="J22864"/>
    </row>
    <row r="22865" spans="10:10" x14ac:dyDescent="0.3">
      <c r="J22865"/>
    </row>
    <row r="22866" spans="10:10" x14ac:dyDescent="0.3">
      <c r="J22866"/>
    </row>
    <row r="22867" spans="10:10" x14ac:dyDescent="0.3">
      <c r="J22867"/>
    </row>
    <row r="22868" spans="10:10" x14ac:dyDescent="0.3">
      <c r="J22868"/>
    </row>
    <row r="22869" spans="10:10" x14ac:dyDescent="0.3">
      <c r="J22869"/>
    </row>
    <row r="22870" spans="10:10" x14ac:dyDescent="0.3">
      <c r="J22870"/>
    </row>
    <row r="22871" spans="10:10" x14ac:dyDescent="0.3">
      <c r="J22871"/>
    </row>
    <row r="22872" spans="10:10" x14ac:dyDescent="0.3">
      <c r="J22872"/>
    </row>
    <row r="22873" spans="10:10" x14ac:dyDescent="0.3">
      <c r="J22873"/>
    </row>
    <row r="22874" spans="10:10" x14ac:dyDescent="0.3">
      <c r="J22874"/>
    </row>
    <row r="22875" spans="10:10" x14ac:dyDescent="0.3">
      <c r="J22875"/>
    </row>
    <row r="22876" spans="10:10" x14ac:dyDescent="0.3">
      <c r="J22876"/>
    </row>
    <row r="22877" spans="10:10" x14ac:dyDescent="0.3">
      <c r="J22877"/>
    </row>
    <row r="22878" spans="10:10" x14ac:dyDescent="0.3">
      <c r="J22878"/>
    </row>
    <row r="22879" spans="10:10" x14ac:dyDescent="0.3">
      <c r="J22879"/>
    </row>
    <row r="22880" spans="10:10" x14ac:dyDescent="0.3">
      <c r="J22880"/>
    </row>
    <row r="22881" spans="10:10" x14ac:dyDescent="0.3">
      <c r="J22881"/>
    </row>
    <row r="22882" spans="10:10" x14ac:dyDescent="0.3">
      <c r="J22882"/>
    </row>
    <row r="22883" spans="10:10" x14ac:dyDescent="0.3">
      <c r="J22883"/>
    </row>
    <row r="22884" spans="10:10" x14ac:dyDescent="0.3">
      <c r="J22884"/>
    </row>
    <row r="22885" spans="10:10" x14ac:dyDescent="0.3">
      <c r="J22885"/>
    </row>
    <row r="22886" spans="10:10" x14ac:dyDescent="0.3">
      <c r="J22886"/>
    </row>
    <row r="22887" spans="10:10" x14ac:dyDescent="0.3">
      <c r="J22887"/>
    </row>
    <row r="22888" spans="10:10" x14ac:dyDescent="0.3">
      <c r="J22888"/>
    </row>
    <row r="22889" spans="10:10" x14ac:dyDescent="0.3">
      <c r="J22889"/>
    </row>
    <row r="22890" spans="10:10" x14ac:dyDescent="0.3">
      <c r="J22890"/>
    </row>
    <row r="22891" spans="10:10" x14ac:dyDescent="0.3">
      <c r="J22891"/>
    </row>
    <row r="22892" spans="10:10" x14ac:dyDescent="0.3">
      <c r="J22892"/>
    </row>
    <row r="22893" spans="10:10" x14ac:dyDescent="0.3">
      <c r="J22893"/>
    </row>
    <row r="22894" spans="10:10" x14ac:dyDescent="0.3">
      <c r="J22894"/>
    </row>
    <row r="22895" spans="10:10" x14ac:dyDescent="0.3">
      <c r="J22895"/>
    </row>
    <row r="22896" spans="10:10" x14ac:dyDescent="0.3">
      <c r="J22896"/>
    </row>
    <row r="22897" spans="10:10" x14ac:dyDescent="0.3">
      <c r="J22897"/>
    </row>
    <row r="22898" spans="10:10" x14ac:dyDescent="0.3">
      <c r="J22898"/>
    </row>
    <row r="22899" spans="10:10" x14ac:dyDescent="0.3">
      <c r="J22899"/>
    </row>
    <row r="22900" spans="10:10" x14ac:dyDescent="0.3">
      <c r="J22900"/>
    </row>
    <row r="22901" spans="10:10" x14ac:dyDescent="0.3">
      <c r="J22901"/>
    </row>
    <row r="22902" spans="10:10" x14ac:dyDescent="0.3">
      <c r="J22902"/>
    </row>
    <row r="22903" spans="10:10" x14ac:dyDescent="0.3">
      <c r="J22903"/>
    </row>
    <row r="22904" spans="10:10" x14ac:dyDescent="0.3">
      <c r="J22904"/>
    </row>
    <row r="22905" spans="10:10" x14ac:dyDescent="0.3">
      <c r="J22905"/>
    </row>
    <row r="22906" spans="10:10" x14ac:dyDescent="0.3">
      <c r="J22906"/>
    </row>
    <row r="22907" spans="10:10" x14ac:dyDescent="0.3">
      <c r="J22907"/>
    </row>
    <row r="22908" spans="10:10" x14ac:dyDescent="0.3">
      <c r="J22908"/>
    </row>
    <row r="22909" spans="10:10" x14ac:dyDescent="0.3">
      <c r="J22909"/>
    </row>
    <row r="22910" spans="10:10" x14ac:dyDescent="0.3">
      <c r="J22910"/>
    </row>
    <row r="22911" spans="10:10" x14ac:dyDescent="0.3">
      <c r="J22911"/>
    </row>
    <row r="22912" spans="10:10" x14ac:dyDescent="0.3">
      <c r="J22912"/>
    </row>
    <row r="22913" spans="10:10" x14ac:dyDescent="0.3">
      <c r="J22913"/>
    </row>
    <row r="22914" spans="10:10" x14ac:dyDescent="0.3">
      <c r="J22914"/>
    </row>
    <row r="22915" spans="10:10" x14ac:dyDescent="0.3">
      <c r="J22915"/>
    </row>
    <row r="22916" spans="10:10" x14ac:dyDescent="0.3">
      <c r="J22916"/>
    </row>
    <row r="22917" spans="10:10" x14ac:dyDescent="0.3">
      <c r="J22917"/>
    </row>
    <row r="22918" spans="10:10" x14ac:dyDescent="0.3">
      <c r="J22918"/>
    </row>
    <row r="22919" spans="10:10" x14ac:dyDescent="0.3">
      <c r="J22919"/>
    </row>
    <row r="22920" spans="10:10" x14ac:dyDescent="0.3">
      <c r="J22920"/>
    </row>
    <row r="22921" spans="10:10" x14ac:dyDescent="0.3">
      <c r="J22921"/>
    </row>
    <row r="22922" spans="10:10" x14ac:dyDescent="0.3">
      <c r="J22922"/>
    </row>
    <row r="22923" spans="10:10" x14ac:dyDescent="0.3">
      <c r="J22923"/>
    </row>
    <row r="22924" spans="10:10" x14ac:dyDescent="0.3">
      <c r="J22924"/>
    </row>
    <row r="22925" spans="10:10" x14ac:dyDescent="0.3">
      <c r="J22925"/>
    </row>
    <row r="22926" spans="10:10" x14ac:dyDescent="0.3">
      <c r="J22926"/>
    </row>
    <row r="22927" spans="10:10" x14ac:dyDescent="0.3">
      <c r="J22927"/>
    </row>
    <row r="22928" spans="10:10" x14ac:dyDescent="0.3">
      <c r="J22928"/>
    </row>
    <row r="22929" spans="10:10" x14ac:dyDescent="0.3">
      <c r="J22929"/>
    </row>
    <row r="22930" spans="10:10" x14ac:dyDescent="0.3">
      <c r="J22930"/>
    </row>
    <row r="22931" spans="10:10" x14ac:dyDescent="0.3">
      <c r="J22931"/>
    </row>
    <row r="22932" spans="10:10" x14ac:dyDescent="0.3">
      <c r="J22932"/>
    </row>
    <row r="22933" spans="10:10" x14ac:dyDescent="0.3">
      <c r="J22933"/>
    </row>
    <row r="22934" spans="10:10" x14ac:dyDescent="0.3">
      <c r="J22934"/>
    </row>
    <row r="22935" spans="10:10" x14ac:dyDescent="0.3">
      <c r="J22935"/>
    </row>
    <row r="22936" spans="10:10" x14ac:dyDescent="0.3">
      <c r="J22936"/>
    </row>
    <row r="22937" spans="10:10" x14ac:dyDescent="0.3">
      <c r="J22937"/>
    </row>
    <row r="22938" spans="10:10" x14ac:dyDescent="0.3">
      <c r="J22938"/>
    </row>
    <row r="22939" spans="10:10" x14ac:dyDescent="0.3">
      <c r="J22939"/>
    </row>
    <row r="22940" spans="10:10" x14ac:dyDescent="0.3">
      <c r="J22940"/>
    </row>
    <row r="22941" spans="10:10" x14ac:dyDescent="0.3">
      <c r="J22941"/>
    </row>
    <row r="22942" spans="10:10" x14ac:dyDescent="0.3">
      <c r="J22942"/>
    </row>
    <row r="22943" spans="10:10" x14ac:dyDescent="0.3">
      <c r="J22943"/>
    </row>
    <row r="22944" spans="10:10" x14ac:dyDescent="0.3">
      <c r="J22944"/>
    </row>
    <row r="22945" spans="10:10" x14ac:dyDescent="0.3">
      <c r="J22945"/>
    </row>
    <row r="22946" spans="10:10" x14ac:dyDescent="0.3">
      <c r="J22946"/>
    </row>
    <row r="22947" spans="10:10" x14ac:dyDescent="0.3">
      <c r="J22947"/>
    </row>
    <row r="22948" spans="10:10" x14ac:dyDescent="0.3">
      <c r="J22948"/>
    </row>
    <row r="22949" spans="10:10" x14ac:dyDescent="0.3">
      <c r="J22949"/>
    </row>
    <row r="22950" spans="10:10" x14ac:dyDescent="0.3">
      <c r="J22950"/>
    </row>
    <row r="22951" spans="10:10" x14ac:dyDescent="0.3">
      <c r="J22951"/>
    </row>
    <row r="22952" spans="10:10" x14ac:dyDescent="0.3">
      <c r="J22952"/>
    </row>
    <row r="22953" spans="10:10" x14ac:dyDescent="0.3">
      <c r="J22953"/>
    </row>
    <row r="22954" spans="10:10" x14ac:dyDescent="0.3">
      <c r="J22954"/>
    </row>
    <row r="22955" spans="10:10" x14ac:dyDescent="0.3">
      <c r="J22955"/>
    </row>
    <row r="22956" spans="10:10" x14ac:dyDescent="0.3">
      <c r="J22956"/>
    </row>
    <row r="22957" spans="10:10" x14ac:dyDescent="0.3">
      <c r="J22957"/>
    </row>
    <row r="22958" spans="10:10" x14ac:dyDescent="0.3">
      <c r="J22958"/>
    </row>
    <row r="22959" spans="10:10" x14ac:dyDescent="0.3">
      <c r="J22959"/>
    </row>
    <row r="22960" spans="10:10" x14ac:dyDescent="0.3">
      <c r="J22960"/>
    </row>
    <row r="22961" spans="10:10" x14ac:dyDescent="0.3">
      <c r="J22961"/>
    </row>
    <row r="22962" spans="10:10" x14ac:dyDescent="0.3">
      <c r="J22962"/>
    </row>
    <row r="22963" spans="10:10" x14ac:dyDescent="0.3">
      <c r="J22963"/>
    </row>
    <row r="22964" spans="10:10" x14ac:dyDescent="0.3">
      <c r="J22964"/>
    </row>
    <row r="22965" spans="10:10" x14ac:dyDescent="0.3">
      <c r="J22965"/>
    </row>
    <row r="22966" spans="10:10" x14ac:dyDescent="0.3">
      <c r="J22966"/>
    </row>
    <row r="22967" spans="10:10" x14ac:dyDescent="0.3">
      <c r="J22967"/>
    </row>
    <row r="22968" spans="10:10" x14ac:dyDescent="0.3">
      <c r="J22968"/>
    </row>
    <row r="22969" spans="10:10" x14ac:dyDescent="0.3">
      <c r="J22969"/>
    </row>
    <row r="22970" spans="10:10" x14ac:dyDescent="0.3">
      <c r="J22970"/>
    </row>
    <row r="22971" spans="10:10" x14ac:dyDescent="0.3">
      <c r="J22971"/>
    </row>
    <row r="22972" spans="10:10" x14ac:dyDescent="0.3">
      <c r="J22972"/>
    </row>
    <row r="22973" spans="10:10" x14ac:dyDescent="0.3">
      <c r="J22973"/>
    </row>
    <row r="22974" spans="10:10" x14ac:dyDescent="0.3">
      <c r="J22974"/>
    </row>
    <row r="22975" spans="10:10" x14ac:dyDescent="0.3">
      <c r="J22975"/>
    </row>
    <row r="22976" spans="10:10" x14ac:dyDescent="0.3">
      <c r="J22976"/>
    </row>
    <row r="22977" spans="10:10" x14ac:dyDescent="0.3">
      <c r="J22977"/>
    </row>
    <row r="22978" spans="10:10" x14ac:dyDescent="0.3">
      <c r="J22978"/>
    </row>
    <row r="22979" spans="10:10" x14ac:dyDescent="0.3">
      <c r="J22979"/>
    </row>
    <row r="22980" spans="10:10" x14ac:dyDescent="0.3">
      <c r="J22980"/>
    </row>
    <row r="22981" spans="10:10" x14ac:dyDescent="0.3">
      <c r="J22981"/>
    </row>
    <row r="22982" spans="10:10" x14ac:dyDescent="0.3">
      <c r="J22982"/>
    </row>
    <row r="22983" spans="10:10" x14ac:dyDescent="0.3">
      <c r="J22983"/>
    </row>
    <row r="22984" spans="10:10" x14ac:dyDescent="0.3">
      <c r="J22984"/>
    </row>
    <row r="22985" spans="10:10" x14ac:dyDescent="0.3">
      <c r="J22985"/>
    </row>
    <row r="22986" spans="10:10" x14ac:dyDescent="0.3">
      <c r="J22986"/>
    </row>
    <row r="22987" spans="10:10" x14ac:dyDescent="0.3">
      <c r="J22987"/>
    </row>
    <row r="22988" spans="10:10" x14ac:dyDescent="0.3">
      <c r="J22988"/>
    </row>
    <row r="22989" spans="10:10" x14ac:dyDescent="0.3">
      <c r="J22989"/>
    </row>
    <row r="22990" spans="10:10" x14ac:dyDescent="0.3">
      <c r="J22990"/>
    </row>
    <row r="22991" spans="10:10" x14ac:dyDescent="0.3">
      <c r="J22991"/>
    </row>
    <row r="22992" spans="10:10" x14ac:dyDescent="0.3">
      <c r="J22992"/>
    </row>
    <row r="22993" spans="10:10" x14ac:dyDescent="0.3">
      <c r="J22993"/>
    </row>
    <row r="22994" spans="10:10" x14ac:dyDescent="0.3">
      <c r="J22994"/>
    </row>
    <row r="22995" spans="10:10" x14ac:dyDescent="0.3">
      <c r="J22995"/>
    </row>
    <row r="22996" spans="10:10" x14ac:dyDescent="0.3">
      <c r="J22996"/>
    </row>
    <row r="22997" spans="10:10" x14ac:dyDescent="0.3">
      <c r="J22997"/>
    </row>
    <row r="22998" spans="10:10" x14ac:dyDescent="0.3">
      <c r="J22998"/>
    </row>
    <row r="22999" spans="10:10" x14ac:dyDescent="0.3">
      <c r="J22999"/>
    </row>
    <row r="23000" spans="10:10" x14ac:dyDescent="0.3">
      <c r="J23000"/>
    </row>
    <row r="23001" spans="10:10" x14ac:dyDescent="0.3">
      <c r="J23001"/>
    </row>
    <row r="23002" spans="10:10" x14ac:dyDescent="0.3">
      <c r="J23002"/>
    </row>
    <row r="23003" spans="10:10" x14ac:dyDescent="0.3">
      <c r="J23003"/>
    </row>
    <row r="23004" spans="10:10" x14ac:dyDescent="0.3">
      <c r="J23004"/>
    </row>
    <row r="23005" spans="10:10" x14ac:dyDescent="0.3">
      <c r="J23005"/>
    </row>
    <row r="23006" spans="10:10" x14ac:dyDescent="0.3">
      <c r="J23006"/>
    </row>
    <row r="23007" spans="10:10" x14ac:dyDescent="0.3">
      <c r="J23007"/>
    </row>
    <row r="23008" spans="10:10" x14ac:dyDescent="0.3">
      <c r="J23008"/>
    </row>
    <row r="23009" spans="10:10" x14ac:dyDescent="0.3">
      <c r="J23009"/>
    </row>
    <row r="23010" spans="10:10" x14ac:dyDescent="0.3">
      <c r="J23010"/>
    </row>
    <row r="23011" spans="10:10" x14ac:dyDescent="0.3">
      <c r="J23011"/>
    </row>
    <row r="23012" spans="10:10" x14ac:dyDescent="0.3">
      <c r="J23012"/>
    </row>
    <row r="23013" spans="10:10" x14ac:dyDescent="0.3">
      <c r="J23013"/>
    </row>
    <row r="23014" spans="10:10" x14ac:dyDescent="0.3">
      <c r="J23014"/>
    </row>
    <row r="23015" spans="10:10" x14ac:dyDescent="0.3">
      <c r="J23015"/>
    </row>
    <row r="23016" spans="10:10" x14ac:dyDescent="0.3">
      <c r="J23016"/>
    </row>
    <row r="23017" spans="10:10" x14ac:dyDescent="0.3">
      <c r="J23017"/>
    </row>
    <row r="23018" spans="10:10" x14ac:dyDescent="0.3">
      <c r="J23018"/>
    </row>
    <row r="23019" spans="10:10" x14ac:dyDescent="0.3">
      <c r="J23019"/>
    </row>
    <row r="23020" spans="10:10" x14ac:dyDescent="0.3">
      <c r="J23020"/>
    </row>
    <row r="23021" spans="10:10" x14ac:dyDescent="0.3">
      <c r="J23021"/>
    </row>
    <row r="23022" spans="10:10" x14ac:dyDescent="0.3">
      <c r="J23022"/>
    </row>
    <row r="23023" spans="10:10" x14ac:dyDescent="0.3">
      <c r="J23023"/>
    </row>
    <row r="23024" spans="10:10" x14ac:dyDescent="0.3">
      <c r="J23024"/>
    </row>
    <row r="23025" spans="10:10" x14ac:dyDescent="0.3">
      <c r="J23025"/>
    </row>
    <row r="23026" spans="10:10" x14ac:dyDescent="0.3">
      <c r="J23026"/>
    </row>
    <row r="23027" spans="10:10" x14ac:dyDescent="0.3">
      <c r="J23027"/>
    </row>
    <row r="23028" spans="10:10" x14ac:dyDescent="0.3">
      <c r="J23028"/>
    </row>
    <row r="23029" spans="10:10" x14ac:dyDescent="0.3">
      <c r="J23029"/>
    </row>
    <row r="23030" spans="10:10" x14ac:dyDescent="0.3">
      <c r="J23030"/>
    </row>
    <row r="23031" spans="10:10" x14ac:dyDescent="0.3">
      <c r="J23031"/>
    </row>
    <row r="23032" spans="10:10" x14ac:dyDescent="0.3">
      <c r="J23032"/>
    </row>
    <row r="23033" spans="10:10" x14ac:dyDescent="0.3">
      <c r="J23033"/>
    </row>
    <row r="23034" spans="10:10" x14ac:dyDescent="0.3">
      <c r="J23034"/>
    </row>
    <row r="23035" spans="10:10" x14ac:dyDescent="0.3">
      <c r="J23035"/>
    </row>
    <row r="23036" spans="10:10" x14ac:dyDescent="0.3">
      <c r="J23036"/>
    </row>
    <row r="23037" spans="10:10" x14ac:dyDescent="0.3">
      <c r="J23037"/>
    </row>
    <row r="23038" spans="10:10" x14ac:dyDescent="0.3">
      <c r="J23038"/>
    </row>
    <row r="23039" spans="10:10" x14ac:dyDescent="0.3">
      <c r="J23039"/>
    </row>
    <row r="23040" spans="10:10" x14ac:dyDescent="0.3">
      <c r="J23040"/>
    </row>
    <row r="23041" spans="10:10" x14ac:dyDescent="0.3">
      <c r="J23041"/>
    </row>
    <row r="23042" spans="10:10" x14ac:dyDescent="0.3">
      <c r="J23042"/>
    </row>
    <row r="23043" spans="10:10" x14ac:dyDescent="0.3">
      <c r="J23043"/>
    </row>
    <row r="23044" spans="10:10" x14ac:dyDescent="0.3">
      <c r="J23044"/>
    </row>
    <row r="23045" spans="10:10" x14ac:dyDescent="0.3">
      <c r="J23045"/>
    </row>
    <row r="23046" spans="10:10" x14ac:dyDescent="0.3">
      <c r="J23046"/>
    </row>
    <row r="23047" spans="10:10" x14ac:dyDescent="0.3">
      <c r="J23047"/>
    </row>
    <row r="23048" spans="10:10" x14ac:dyDescent="0.3">
      <c r="J23048"/>
    </row>
    <row r="23049" spans="10:10" x14ac:dyDescent="0.3">
      <c r="J23049"/>
    </row>
    <row r="23050" spans="10:10" x14ac:dyDescent="0.3">
      <c r="J23050"/>
    </row>
    <row r="23051" spans="10:10" x14ac:dyDescent="0.3">
      <c r="J23051"/>
    </row>
    <row r="23052" spans="10:10" x14ac:dyDescent="0.3">
      <c r="J23052"/>
    </row>
    <row r="23053" spans="10:10" x14ac:dyDescent="0.3">
      <c r="J23053"/>
    </row>
    <row r="23054" spans="10:10" x14ac:dyDescent="0.3">
      <c r="J23054"/>
    </row>
    <row r="23055" spans="10:10" x14ac:dyDescent="0.3">
      <c r="J23055"/>
    </row>
    <row r="23056" spans="10:10" x14ac:dyDescent="0.3">
      <c r="J23056"/>
    </row>
    <row r="23057" spans="10:10" x14ac:dyDescent="0.3">
      <c r="J23057"/>
    </row>
    <row r="23058" spans="10:10" x14ac:dyDescent="0.3">
      <c r="J23058"/>
    </row>
    <row r="23059" spans="10:10" x14ac:dyDescent="0.3">
      <c r="J23059"/>
    </row>
    <row r="23060" spans="10:10" x14ac:dyDescent="0.3">
      <c r="J23060"/>
    </row>
    <row r="23061" spans="10:10" x14ac:dyDescent="0.3">
      <c r="J23061"/>
    </row>
    <row r="23062" spans="10:10" x14ac:dyDescent="0.3">
      <c r="J23062"/>
    </row>
    <row r="23063" spans="10:10" x14ac:dyDescent="0.3">
      <c r="J23063"/>
    </row>
    <row r="23064" spans="10:10" x14ac:dyDescent="0.3">
      <c r="J23064"/>
    </row>
    <row r="23065" spans="10:10" x14ac:dyDescent="0.3">
      <c r="J23065"/>
    </row>
    <row r="23066" spans="10:10" x14ac:dyDescent="0.3">
      <c r="J23066"/>
    </row>
    <row r="23067" spans="10:10" x14ac:dyDescent="0.3">
      <c r="J23067"/>
    </row>
    <row r="23068" spans="10:10" x14ac:dyDescent="0.3">
      <c r="J23068"/>
    </row>
    <row r="23069" spans="10:10" x14ac:dyDescent="0.3">
      <c r="J23069"/>
    </row>
    <row r="23070" spans="10:10" x14ac:dyDescent="0.3">
      <c r="J23070"/>
    </row>
    <row r="23071" spans="10:10" x14ac:dyDescent="0.3">
      <c r="J23071"/>
    </row>
    <row r="23072" spans="10:10" x14ac:dyDescent="0.3">
      <c r="J23072"/>
    </row>
    <row r="23073" spans="10:10" x14ac:dyDescent="0.3">
      <c r="J23073"/>
    </row>
    <row r="23074" spans="10:10" x14ac:dyDescent="0.3">
      <c r="J23074"/>
    </row>
    <row r="23075" spans="10:10" x14ac:dyDescent="0.3">
      <c r="J23075"/>
    </row>
    <row r="23076" spans="10:10" x14ac:dyDescent="0.3">
      <c r="J23076"/>
    </row>
    <row r="23077" spans="10:10" x14ac:dyDescent="0.3">
      <c r="J23077"/>
    </row>
    <row r="23078" spans="10:10" x14ac:dyDescent="0.3">
      <c r="J23078"/>
    </row>
    <row r="23079" spans="10:10" x14ac:dyDescent="0.3">
      <c r="J23079"/>
    </row>
    <row r="23080" spans="10:10" x14ac:dyDescent="0.3">
      <c r="J23080"/>
    </row>
    <row r="23081" spans="10:10" x14ac:dyDescent="0.3">
      <c r="J23081"/>
    </row>
    <row r="23082" spans="10:10" x14ac:dyDescent="0.3">
      <c r="J23082"/>
    </row>
    <row r="23083" spans="10:10" x14ac:dyDescent="0.3">
      <c r="J23083"/>
    </row>
    <row r="23084" spans="10:10" x14ac:dyDescent="0.3">
      <c r="J23084"/>
    </row>
    <row r="23085" spans="10:10" x14ac:dyDescent="0.3">
      <c r="J23085"/>
    </row>
    <row r="23086" spans="10:10" x14ac:dyDescent="0.3">
      <c r="J23086"/>
    </row>
    <row r="23087" spans="10:10" x14ac:dyDescent="0.3">
      <c r="J23087"/>
    </row>
    <row r="23088" spans="10:10" x14ac:dyDescent="0.3">
      <c r="J23088"/>
    </row>
    <row r="23089" spans="10:10" x14ac:dyDescent="0.3">
      <c r="J23089"/>
    </row>
    <row r="23090" spans="10:10" x14ac:dyDescent="0.3">
      <c r="J23090"/>
    </row>
    <row r="23091" spans="10:10" x14ac:dyDescent="0.3">
      <c r="J23091"/>
    </row>
    <row r="23092" spans="10:10" x14ac:dyDescent="0.3">
      <c r="J23092"/>
    </row>
    <row r="23093" spans="10:10" x14ac:dyDescent="0.3">
      <c r="J23093"/>
    </row>
    <row r="23094" spans="10:10" x14ac:dyDescent="0.3">
      <c r="J23094"/>
    </row>
    <row r="23095" spans="10:10" x14ac:dyDescent="0.3">
      <c r="J23095"/>
    </row>
    <row r="23096" spans="10:10" x14ac:dyDescent="0.3">
      <c r="J23096"/>
    </row>
    <row r="23097" spans="10:10" x14ac:dyDescent="0.3">
      <c r="J23097"/>
    </row>
    <row r="23098" spans="10:10" x14ac:dyDescent="0.3">
      <c r="J23098"/>
    </row>
    <row r="23099" spans="10:10" x14ac:dyDescent="0.3">
      <c r="J23099"/>
    </row>
    <row r="23100" spans="10:10" x14ac:dyDescent="0.3">
      <c r="J23100"/>
    </row>
    <row r="23101" spans="10:10" x14ac:dyDescent="0.3">
      <c r="J23101"/>
    </row>
    <row r="23102" spans="10:10" x14ac:dyDescent="0.3">
      <c r="J23102"/>
    </row>
    <row r="23103" spans="10:10" x14ac:dyDescent="0.3">
      <c r="J23103"/>
    </row>
    <row r="23104" spans="10:10" x14ac:dyDescent="0.3">
      <c r="J23104"/>
    </row>
    <row r="23105" spans="10:10" x14ac:dyDescent="0.3">
      <c r="J23105"/>
    </row>
    <row r="23106" spans="10:10" x14ac:dyDescent="0.3">
      <c r="J23106"/>
    </row>
    <row r="23107" spans="10:10" x14ac:dyDescent="0.3">
      <c r="J23107"/>
    </row>
    <row r="23108" spans="10:10" x14ac:dyDescent="0.3">
      <c r="J23108"/>
    </row>
    <row r="23109" spans="10:10" x14ac:dyDescent="0.3">
      <c r="J23109"/>
    </row>
    <row r="23110" spans="10:10" x14ac:dyDescent="0.3">
      <c r="J23110"/>
    </row>
    <row r="23111" spans="10:10" x14ac:dyDescent="0.3">
      <c r="J23111"/>
    </row>
    <row r="23112" spans="10:10" x14ac:dyDescent="0.3">
      <c r="J23112"/>
    </row>
    <row r="23113" spans="10:10" x14ac:dyDescent="0.3">
      <c r="J23113"/>
    </row>
    <row r="23114" spans="10:10" x14ac:dyDescent="0.3">
      <c r="J23114"/>
    </row>
    <row r="23115" spans="10:10" x14ac:dyDescent="0.3">
      <c r="J23115"/>
    </row>
    <row r="23116" spans="10:10" x14ac:dyDescent="0.3">
      <c r="J23116"/>
    </row>
    <row r="23117" spans="10:10" x14ac:dyDescent="0.3">
      <c r="J23117"/>
    </row>
    <row r="23118" spans="10:10" x14ac:dyDescent="0.3">
      <c r="J23118"/>
    </row>
    <row r="23119" spans="10:10" x14ac:dyDescent="0.3">
      <c r="J23119"/>
    </row>
    <row r="23120" spans="10:10" x14ac:dyDescent="0.3">
      <c r="J23120"/>
    </row>
    <row r="23121" spans="10:10" x14ac:dyDescent="0.3">
      <c r="J23121"/>
    </row>
    <row r="23122" spans="10:10" x14ac:dyDescent="0.3">
      <c r="J23122"/>
    </row>
    <row r="23123" spans="10:10" x14ac:dyDescent="0.3">
      <c r="J23123"/>
    </row>
    <row r="23124" spans="10:10" x14ac:dyDescent="0.3">
      <c r="J23124"/>
    </row>
    <row r="23125" spans="10:10" x14ac:dyDescent="0.3">
      <c r="J23125"/>
    </row>
    <row r="23126" spans="10:10" x14ac:dyDescent="0.3">
      <c r="J23126"/>
    </row>
    <row r="23127" spans="10:10" x14ac:dyDescent="0.3">
      <c r="J23127"/>
    </row>
    <row r="23128" spans="10:10" x14ac:dyDescent="0.3">
      <c r="J23128"/>
    </row>
    <row r="23129" spans="10:10" x14ac:dyDescent="0.3">
      <c r="J23129"/>
    </row>
    <row r="23130" spans="10:10" x14ac:dyDescent="0.3">
      <c r="J23130"/>
    </row>
    <row r="23131" spans="10:10" x14ac:dyDescent="0.3">
      <c r="J23131"/>
    </row>
    <row r="23132" spans="10:10" x14ac:dyDescent="0.3">
      <c r="J23132"/>
    </row>
    <row r="23133" spans="10:10" x14ac:dyDescent="0.3">
      <c r="J23133"/>
    </row>
    <row r="23134" spans="10:10" x14ac:dyDescent="0.3">
      <c r="J23134"/>
    </row>
    <row r="23135" spans="10:10" x14ac:dyDescent="0.3">
      <c r="J23135"/>
    </row>
    <row r="23136" spans="10:10" x14ac:dyDescent="0.3">
      <c r="J23136"/>
    </row>
    <row r="23137" spans="10:10" x14ac:dyDescent="0.3">
      <c r="J23137"/>
    </row>
    <row r="23138" spans="10:10" x14ac:dyDescent="0.3">
      <c r="J23138"/>
    </row>
    <row r="23139" spans="10:10" x14ac:dyDescent="0.3">
      <c r="J23139"/>
    </row>
    <row r="23140" spans="10:10" x14ac:dyDescent="0.3">
      <c r="J23140"/>
    </row>
    <row r="23141" spans="10:10" x14ac:dyDescent="0.3">
      <c r="J23141"/>
    </row>
    <row r="23142" spans="10:10" x14ac:dyDescent="0.3">
      <c r="J23142"/>
    </row>
    <row r="23143" spans="10:10" x14ac:dyDescent="0.3">
      <c r="J23143"/>
    </row>
    <row r="23144" spans="10:10" x14ac:dyDescent="0.3">
      <c r="J23144"/>
    </row>
    <row r="23145" spans="10:10" x14ac:dyDescent="0.3">
      <c r="J23145"/>
    </row>
    <row r="23146" spans="10:10" x14ac:dyDescent="0.3">
      <c r="J23146"/>
    </row>
    <row r="23147" spans="10:10" x14ac:dyDescent="0.3">
      <c r="J23147"/>
    </row>
    <row r="23148" spans="10:10" x14ac:dyDescent="0.3">
      <c r="J23148"/>
    </row>
    <row r="23149" spans="10:10" x14ac:dyDescent="0.3">
      <c r="J23149"/>
    </row>
    <row r="23150" spans="10:10" x14ac:dyDescent="0.3">
      <c r="J23150"/>
    </row>
    <row r="23151" spans="10:10" x14ac:dyDescent="0.3">
      <c r="J23151"/>
    </row>
    <row r="23152" spans="10:10" x14ac:dyDescent="0.3">
      <c r="J23152"/>
    </row>
    <row r="23153" spans="10:10" x14ac:dyDescent="0.3">
      <c r="J23153"/>
    </row>
    <row r="23154" spans="10:10" x14ac:dyDescent="0.3">
      <c r="J23154"/>
    </row>
    <row r="23155" spans="10:10" x14ac:dyDescent="0.3">
      <c r="J23155"/>
    </row>
    <row r="23156" spans="10:10" x14ac:dyDescent="0.3">
      <c r="J23156"/>
    </row>
    <row r="23157" spans="10:10" x14ac:dyDescent="0.3">
      <c r="J23157"/>
    </row>
    <row r="23158" spans="10:10" x14ac:dyDescent="0.3">
      <c r="J23158"/>
    </row>
    <row r="23159" spans="10:10" x14ac:dyDescent="0.3">
      <c r="J23159"/>
    </row>
    <row r="23160" spans="10:10" x14ac:dyDescent="0.3">
      <c r="J23160"/>
    </row>
    <row r="23161" spans="10:10" x14ac:dyDescent="0.3">
      <c r="J23161"/>
    </row>
    <row r="23162" spans="10:10" x14ac:dyDescent="0.3">
      <c r="J23162"/>
    </row>
    <row r="23163" spans="10:10" x14ac:dyDescent="0.3">
      <c r="J23163"/>
    </row>
    <row r="23164" spans="10:10" x14ac:dyDescent="0.3">
      <c r="J23164"/>
    </row>
    <row r="23165" spans="10:10" x14ac:dyDescent="0.3">
      <c r="J23165"/>
    </row>
    <row r="23166" spans="10:10" x14ac:dyDescent="0.3">
      <c r="J23166"/>
    </row>
    <row r="23167" spans="10:10" x14ac:dyDescent="0.3">
      <c r="J23167"/>
    </row>
    <row r="23168" spans="10:10" x14ac:dyDescent="0.3">
      <c r="J23168"/>
    </row>
    <row r="23169" spans="10:10" x14ac:dyDescent="0.3">
      <c r="J23169"/>
    </row>
    <row r="23170" spans="10:10" x14ac:dyDescent="0.3">
      <c r="J23170"/>
    </row>
    <row r="23171" spans="10:10" x14ac:dyDescent="0.3">
      <c r="J23171"/>
    </row>
    <row r="23172" spans="10:10" x14ac:dyDescent="0.3">
      <c r="J23172"/>
    </row>
    <row r="23173" spans="10:10" x14ac:dyDescent="0.3">
      <c r="J23173"/>
    </row>
    <row r="23174" spans="10:10" x14ac:dyDescent="0.3">
      <c r="J23174"/>
    </row>
    <row r="23175" spans="10:10" x14ac:dyDescent="0.3">
      <c r="J23175"/>
    </row>
    <row r="23176" spans="10:10" x14ac:dyDescent="0.3">
      <c r="J23176"/>
    </row>
    <row r="23177" spans="10:10" x14ac:dyDescent="0.3">
      <c r="J23177"/>
    </row>
    <row r="23178" spans="10:10" x14ac:dyDescent="0.3">
      <c r="J23178"/>
    </row>
    <row r="23179" spans="10:10" x14ac:dyDescent="0.3">
      <c r="J23179"/>
    </row>
    <row r="23180" spans="10:10" x14ac:dyDescent="0.3">
      <c r="J23180"/>
    </row>
    <row r="23181" spans="10:10" x14ac:dyDescent="0.3">
      <c r="J23181"/>
    </row>
    <row r="23182" spans="10:10" x14ac:dyDescent="0.3">
      <c r="J23182"/>
    </row>
    <row r="23183" spans="10:10" x14ac:dyDescent="0.3">
      <c r="J23183"/>
    </row>
    <row r="23184" spans="10:10" x14ac:dyDescent="0.3">
      <c r="J23184"/>
    </row>
    <row r="23185" spans="10:10" x14ac:dyDescent="0.3">
      <c r="J23185"/>
    </row>
    <row r="23186" spans="10:10" x14ac:dyDescent="0.3">
      <c r="J23186"/>
    </row>
    <row r="23187" spans="10:10" x14ac:dyDescent="0.3">
      <c r="J23187"/>
    </row>
    <row r="23188" spans="10:10" x14ac:dyDescent="0.3">
      <c r="J23188"/>
    </row>
    <row r="23189" spans="10:10" x14ac:dyDescent="0.3">
      <c r="J23189"/>
    </row>
    <row r="23190" spans="10:10" x14ac:dyDescent="0.3">
      <c r="J23190"/>
    </row>
    <row r="23191" spans="10:10" x14ac:dyDescent="0.3">
      <c r="J23191"/>
    </row>
    <row r="23192" spans="10:10" x14ac:dyDescent="0.3">
      <c r="J23192"/>
    </row>
    <row r="23193" spans="10:10" x14ac:dyDescent="0.3">
      <c r="J23193"/>
    </row>
    <row r="23194" spans="10:10" x14ac:dyDescent="0.3">
      <c r="J23194"/>
    </row>
    <row r="23195" spans="10:10" x14ac:dyDescent="0.3">
      <c r="J23195"/>
    </row>
    <row r="23196" spans="10:10" x14ac:dyDescent="0.3">
      <c r="J23196"/>
    </row>
    <row r="23197" spans="10:10" x14ac:dyDescent="0.3">
      <c r="J23197"/>
    </row>
    <row r="23198" spans="10:10" x14ac:dyDescent="0.3">
      <c r="J23198"/>
    </row>
    <row r="23199" spans="10:10" x14ac:dyDescent="0.3">
      <c r="J23199"/>
    </row>
    <row r="23200" spans="10:10" x14ac:dyDescent="0.3">
      <c r="J23200"/>
    </row>
    <row r="23201" spans="10:10" x14ac:dyDescent="0.3">
      <c r="J23201"/>
    </row>
    <row r="23202" spans="10:10" x14ac:dyDescent="0.3">
      <c r="J23202"/>
    </row>
    <row r="23203" spans="10:10" x14ac:dyDescent="0.3">
      <c r="J23203"/>
    </row>
    <row r="23204" spans="10:10" x14ac:dyDescent="0.3">
      <c r="J23204"/>
    </row>
    <row r="23205" spans="10:10" x14ac:dyDescent="0.3">
      <c r="J23205"/>
    </row>
    <row r="23206" spans="10:10" x14ac:dyDescent="0.3">
      <c r="J23206"/>
    </row>
    <row r="23207" spans="10:10" x14ac:dyDescent="0.3">
      <c r="J23207"/>
    </row>
    <row r="23208" spans="10:10" x14ac:dyDescent="0.3">
      <c r="J23208"/>
    </row>
    <row r="23209" spans="10:10" x14ac:dyDescent="0.3">
      <c r="J23209"/>
    </row>
    <row r="23210" spans="10:10" x14ac:dyDescent="0.3">
      <c r="J23210"/>
    </row>
    <row r="23211" spans="10:10" x14ac:dyDescent="0.3">
      <c r="J23211"/>
    </row>
    <row r="23212" spans="10:10" x14ac:dyDescent="0.3">
      <c r="J23212"/>
    </row>
    <row r="23213" spans="10:10" x14ac:dyDescent="0.3">
      <c r="J23213"/>
    </row>
    <row r="23214" spans="10:10" x14ac:dyDescent="0.3">
      <c r="J23214"/>
    </row>
    <row r="23215" spans="10:10" x14ac:dyDescent="0.3">
      <c r="J23215"/>
    </row>
    <row r="23216" spans="10:10" x14ac:dyDescent="0.3">
      <c r="J23216"/>
    </row>
    <row r="23217" spans="10:10" x14ac:dyDescent="0.3">
      <c r="J23217"/>
    </row>
    <row r="23218" spans="10:10" x14ac:dyDescent="0.3">
      <c r="J23218"/>
    </row>
    <row r="23219" spans="10:10" x14ac:dyDescent="0.3">
      <c r="J23219"/>
    </row>
    <row r="23220" spans="10:10" x14ac:dyDescent="0.3">
      <c r="J23220"/>
    </row>
    <row r="23221" spans="10:10" x14ac:dyDescent="0.3">
      <c r="J23221"/>
    </row>
    <row r="23222" spans="10:10" x14ac:dyDescent="0.3">
      <c r="J23222"/>
    </row>
    <row r="23223" spans="10:10" x14ac:dyDescent="0.3">
      <c r="J23223"/>
    </row>
    <row r="23224" spans="10:10" x14ac:dyDescent="0.3">
      <c r="J23224"/>
    </row>
    <row r="23225" spans="10:10" x14ac:dyDescent="0.3">
      <c r="J23225"/>
    </row>
    <row r="23226" spans="10:10" x14ac:dyDescent="0.3">
      <c r="J23226"/>
    </row>
    <row r="23227" spans="10:10" x14ac:dyDescent="0.3">
      <c r="J23227"/>
    </row>
    <row r="23228" spans="10:10" x14ac:dyDescent="0.3">
      <c r="J23228"/>
    </row>
    <row r="23229" spans="10:10" x14ac:dyDescent="0.3">
      <c r="J23229"/>
    </row>
    <row r="23230" spans="10:10" x14ac:dyDescent="0.3">
      <c r="J23230"/>
    </row>
    <row r="23231" spans="10:10" x14ac:dyDescent="0.3">
      <c r="J23231"/>
    </row>
    <row r="23232" spans="10:10" x14ac:dyDescent="0.3">
      <c r="J23232"/>
    </row>
    <row r="23233" spans="10:10" x14ac:dyDescent="0.3">
      <c r="J23233"/>
    </row>
    <row r="23234" spans="10:10" x14ac:dyDescent="0.3">
      <c r="J23234"/>
    </row>
    <row r="23235" spans="10:10" x14ac:dyDescent="0.3">
      <c r="J23235"/>
    </row>
    <row r="23236" spans="10:10" x14ac:dyDescent="0.3">
      <c r="J23236"/>
    </row>
    <row r="23237" spans="10:10" x14ac:dyDescent="0.3">
      <c r="J23237"/>
    </row>
    <row r="23238" spans="10:10" x14ac:dyDescent="0.3">
      <c r="J23238"/>
    </row>
    <row r="23239" spans="10:10" x14ac:dyDescent="0.3">
      <c r="J23239"/>
    </row>
    <row r="23240" spans="10:10" x14ac:dyDescent="0.3">
      <c r="J23240"/>
    </row>
    <row r="23241" spans="10:10" x14ac:dyDescent="0.3">
      <c r="J23241"/>
    </row>
    <row r="23242" spans="10:10" x14ac:dyDescent="0.3">
      <c r="J23242"/>
    </row>
    <row r="23243" spans="10:10" x14ac:dyDescent="0.3">
      <c r="J23243"/>
    </row>
    <row r="23244" spans="10:10" x14ac:dyDescent="0.3">
      <c r="J23244"/>
    </row>
    <row r="23245" spans="10:10" x14ac:dyDescent="0.3">
      <c r="J23245"/>
    </row>
    <row r="23246" spans="10:10" x14ac:dyDescent="0.3">
      <c r="J23246"/>
    </row>
    <row r="23247" spans="10:10" x14ac:dyDescent="0.3">
      <c r="J23247"/>
    </row>
    <row r="23248" spans="10:10" x14ac:dyDescent="0.3">
      <c r="J23248"/>
    </row>
    <row r="23249" spans="10:10" x14ac:dyDescent="0.3">
      <c r="J23249"/>
    </row>
    <row r="23250" spans="10:10" x14ac:dyDescent="0.3">
      <c r="J23250"/>
    </row>
    <row r="23251" spans="10:10" x14ac:dyDescent="0.3">
      <c r="J23251"/>
    </row>
    <row r="23252" spans="10:10" x14ac:dyDescent="0.3">
      <c r="J23252"/>
    </row>
    <row r="23253" spans="10:10" x14ac:dyDescent="0.3">
      <c r="J23253"/>
    </row>
    <row r="23254" spans="10:10" x14ac:dyDescent="0.3">
      <c r="J23254"/>
    </row>
    <row r="23255" spans="10:10" x14ac:dyDescent="0.3">
      <c r="J23255"/>
    </row>
    <row r="23256" spans="10:10" x14ac:dyDescent="0.3">
      <c r="J23256"/>
    </row>
    <row r="23257" spans="10:10" x14ac:dyDescent="0.3">
      <c r="J23257"/>
    </row>
    <row r="23258" spans="10:10" x14ac:dyDescent="0.3">
      <c r="J23258"/>
    </row>
    <row r="23259" spans="10:10" x14ac:dyDescent="0.3">
      <c r="J23259"/>
    </row>
    <row r="23260" spans="10:10" x14ac:dyDescent="0.3">
      <c r="J23260"/>
    </row>
    <row r="23261" spans="10:10" x14ac:dyDescent="0.3">
      <c r="J23261"/>
    </row>
    <row r="23262" spans="10:10" x14ac:dyDescent="0.3">
      <c r="J23262"/>
    </row>
    <row r="23263" spans="10:10" x14ac:dyDescent="0.3">
      <c r="J23263"/>
    </row>
    <row r="23264" spans="10:10" x14ac:dyDescent="0.3">
      <c r="J23264"/>
    </row>
    <row r="23265" spans="10:10" x14ac:dyDescent="0.3">
      <c r="J23265"/>
    </row>
    <row r="23266" spans="10:10" x14ac:dyDescent="0.3">
      <c r="J23266"/>
    </row>
    <row r="23267" spans="10:10" x14ac:dyDescent="0.3">
      <c r="J23267"/>
    </row>
    <row r="23268" spans="10:10" x14ac:dyDescent="0.3">
      <c r="J23268"/>
    </row>
    <row r="23269" spans="10:10" x14ac:dyDescent="0.3">
      <c r="J23269"/>
    </row>
    <row r="23270" spans="10:10" x14ac:dyDescent="0.3">
      <c r="J23270"/>
    </row>
    <row r="23271" spans="10:10" x14ac:dyDescent="0.3">
      <c r="J23271"/>
    </row>
    <row r="23272" spans="10:10" x14ac:dyDescent="0.3">
      <c r="J23272"/>
    </row>
    <row r="23273" spans="10:10" x14ac:dyDescent="0.3">
      <c r="J23273"/>
    </row>
    <row r="23274" spans="10:10" x14ac:dyDescent="0.3">
      <c r="J23274"/>
    </row>
    <row r="23275" spans="10:10" x14ac:dyDescent="0.3">
      <c r="J23275"/>
    </row>
    <row r="23276" spans="10:10" x14ac:dyDescent="0.3">
      <c r="J23276"/>
    </row>
    <row r="23277" spans="10:10" x14ac:dyDescent="0.3">
      <c r="J23277"/>
    </row>
    <row r="23278" spans="10:10" x14ac:dyDescent="0.3">
      <c r="J23278"/>
    </row>
    <row r="23279" spans="10:10" x14ac:dyDescent="0.3">
      <c r="J23279"/>
    </row>
    <row r="23280" spans="10:10" x14ac:dyDescent="0.3">
      <c r="J23280"/>
    </row>
    <row r="23281" spans="10:10" x14ac:dyDescent="0.3">
      <c r="J23281"/>
    </row>
    <row r="23282" spans="10:10" x14ac:dyDescent="0.3">
      <c r="J23282"/>
    </row>
    <row r="23283" spans="10:10" x14ac:dyDescent="0.3">
      <c r="J23283"/>
    </row>
    <row r="23284" spans="10:10" x14ac:dyDescent="0.3">
      <c r="J23284"/>
    </row>
    <row r="23285" spans="10:10" x14ac:dyDescent="0.3">
      <c r="J23285"/>
    </row>
    <row r="23286" spans="10:10" x14ac:dyDescent="0.3">
      <c r="J23286"/>
    </row>
    <row r="23287" spans="10:10" x14ac:dyDescent="0.3">
      <c r="J23287"/>
    </row>
    <row r="23288" spans="10:10" x14ac:dyDescent="0.3">
      <c r="J23288"/>
    </row>
    <row r="23289" spans="10:10" x14ac:dyDescent="0.3">
      <c r="J23289"/>
    </row>
    <row r="23290" spans="10:10" x14ac:dyDescent="0.3">
      <c r="J23290"/>
    </row>
    <row r="23291" spans="10:10" x14ac:dyDescent="0.3">
      <c r="J23291"/>
    </row>
    <row r="23292" spans="10:10" x14ac:dyDescent="0.3">
      <c r="J23292"/>
    </row>
    <row r="23293" spans="10:10" x14ac:dyDescent="0.3">
      <c r="J23293"/>
    </row>
    <row r="23294" spans="10:10" x14ac:dyDescent="0.3">
      <c r="J23294"/>
    </row>
    <row r="23295" spans="10:10" x14ac:dyDescent="0.3">
      <c r="J23295"/>
    </row>
    <row r="23296" spans="10:10" x14ac:dyDescent="0.3">
      <c r="J23296"/>
    </row>
    <row r="23297" spans="10:10" x14ac:dyDescent="0.3">
      <c r="J23297"/>
    </row>
    <row r="23298" spans="10:10" x14ac:dyDescent="0.3">
      <c r="J23298"/>
    </row>
    <row r="23299" spans="10:10" x14ac:dyDescent="0.3">
      <c r="J23299"/>
    </row>
    <row r="23300" spans="10:10" x14ac:dyDescent="0.3">
      <c r="J23300"/>
    </row>
    <row r="23301" spans="10:10" x14ac:dyDescent="0.3">
      <c r="J23301"/>
    </row>
    <row r="23302" spans="10:10" x14ac:dyDescent="0.3">
      <c r="J23302"/>
    </row>
    <row r="23303" spans="10:10" x14ac:dyDescent="0.3">
      <c r="J23303"/>
    </row>
    <row r="23304" spans="10:10" x14ac:dyDescent="0.3">
      <c r="J23304"/>
    </row>
    <row r="23305" spans="10:10" x14ac:dyDescent="0.3">
      <c r="J23305"/>
    </row>
    <row r="23306" spans="10:10" x14ac:dyDescent="0.3">
      <c r="J23306"/>
    </row>
    <row r="23307" spans="10:10" x14ac:dyDescent="0.3">
      <c r="J23307"/>
    </row>
    <row r="23308" spans="10:10" x14ac:dyDescent="0.3">
      <c r="J23308"/>
    </row>
    <row r="23309" spans="10:10" x14ac:dyDescent="0.3">
      <c r="J23309"/>
    </row>
    <row r="23310" spans="10:10" x14ac:dyDescent="0.3">
      <c r="J23310"/>
    </row>
    <row r="23311" spans="10:10" x14ac:dyDescent="0.3">
      <c r="J23311"/>
    </row>
    <row r="23312" spans="10:10" x14ac:dyDescent="0.3">
      <c r="J23312"/>
    </row>
    <row r="23313" spans="10:10" x14ac:dyDescent="0.3">
      <c r="J23313"/>
    </row>
    <row r="23314" spans="10:10" x14ac:dyDescent="0.3">
      <c r="J23314"/>
    </row>
    <row r="23315" spans="10:10" x14ac:dyDescent="0.3">
      <c r="J23315"/>
    </row>
    <row r="23316" spans="10:10" x14ac:dyDescent="0.3">
      <c r="J23316"/>
    </row>
    <row r="23317" spans="10:10" x14ac:dyDescent="0.3">
      <c r="J23317"/>
    </row>
    <row r="23318" spans="10:10" x14ac:dyDescent="0.3">
      <c r="J23318"/>
    </row>
    <row r="23319" spans="10:10" x14ac:dyDescent="0.3">
      <c r="J23319"/>
    </row>
    <row r="23320" spans="10:10" x14ac:dyDescent="0.3">
      <c r="J23320"/>
    </row>
    <row r="23321" spans="10:10" x14ac:dyDescent="0.3">
      <c r="J23321"/>
    </row>
    <row r="23322" spans="10:10" x14ac:dyDescent="0.3">
      <c r="J23322"/>
    </row>
    <row r="23323" spans="10:10" x14ac:dyDescent="0.3">
      <c r="J23323"/>
    </row>
    <row r="23324" spans="10:10" x14ac:dyDescent="0.3">
      <c r="J23324"/>
    </row>
    <row r="23325" spans="10:10" x14ac:dyDescent="0.3">
      <c r="J23325"/>
    </row>
    <row r="23326" spans="10:10" x14ac:dyDescent="0.3">
      <c r="J23326"/>
    </row>
    <row r="23327" spans="10:10" x14ac:dyDescent="0.3">
      <c r="J23327"/>
    </row>
    <row r="23328" spans="10:10" x14ac:dyDescent="0.3">
      <c r="J23328"/>
    </row>
    <row r="23329" spans="10:10" x14ac:dyDescent="0.3">
      <c r="J23329"/>
    </row>
    <row r="23330" spans="10:10" x14ac:dyDescent="0.3">
      <c r="J23330"/>
    </row>
    <row r="23331" spans="10:10" x14ac:dyDescent="0.3">
      <c r="J23331"/>
    </row>
    <row r="23332" spans="10:10" x14ac:dyDescent="0.3">
      <c r="J23332"/>
    </row>
    <row r="23333" spans="10:10" x14ac:dyDescent="0.3">
      <c r="J23333"/>
    </row>
    <row r="23334" spans="10:10" x14ac:dyDescent="0.3">
      <c r="J23334"/>
    </row>
    <row r="23335" spans="10:10" x14ac:dyDescent="0.3">
      <c r="J23335"/>
    </row>
    <row r="23336" spans="10:10" x14ac:dyDescent="0.3">
      <c r="J23336"/>
    </row>
    <row r="23337" spans="10:10" x14ac:dyDescent="0.3">
      <c r="J23337"/>
    </row>
    <row r="23338" spans="10:10" x14ac:dyDescent="0.3">
      <c r="J23338"/>
    </row>
    <row r="23339" spans="10:10" x14ac:dyDescent="0.3">
      <c r="J23339"/>
    </row>
    <row r="23340" spans="10:10" x14ac:dyDescent="0.3">
      <c r="J23340"/>
    </row>
    <row r="23341" spans="10:10" x14ac:dyDescent="0.3">
      <c r="J23341"/>
    </row>
    <row r="23342" spans="10:10" x14ac:dyDescent="0.3">
      <c r="J23342"/>
    </row>
    <row r="23343" spans="10:10" x14ac:dyDescent="0.3">
      <c r="J23343"/>
    </row>
    <row r="23344" spans="10:10" x14ac:dyDescent="0.3">
      <c r="J23344"/>
    </row>
    <row r="23345" spans="10:10" x14ac:dyDescent="0.3">
      <c r="J23345"/>
    </row>
    <row r="23346" spans="10:10" x14ac:dyDescent="0.3">
      <c r="J23346"/>
    </row>
    <row r="23347" spans="10:10" x14ac:dyDescent="0.3">
      <c r="J23347"/>
    </row>
    <row r="23348" spans="10:10" x14ac:dyDescent="0.3">
      <c r="J23348"/>
    </row>
    <row r="23349" spans="10:10" x14ac:dyDescent="0.3">
      <c r="J23349"/>
    </row>
    <row r="23350" spans="10:10" x14ac:dyDescent="0.3">
      <c r="J23350"/>
    </row>
    <row r="23351" spans="10:10" x14ac:dyDescent="0.3">
      <c r="J23351"/>
    </row>
    <row r="23352" spans="10:10" x14ac:dyDescent="0.3">
      <c r="J23352"/>
    </row>
    <row r="23353" spans="10:10" x14ac:dyDescent="0.3">
      <c r="J23353"/>
    </row>
    <row r="23354" spans="10:10" x14ac:dyDescent="0.3">
      <c r="J23354"/>
    </row>
    <row r="23355" spans="10:10" x14ac:dyDescent="0.3">
      <c r="J23355"/>
    </row>
    <row r="23356" spans="10:10" x14ac:dyDescent="0.3">
      <c r="J23356"/>
    </row>
    <row r="23357" spans="10:10" x14ac:dyDescent="0.3">
      <c r="J23357"/>
    </row>
    <row r="23358" spans="10:10" x14ac:dyDescent="0.3">
      <c r="J23358"/>
    </row>
    <row r="23359" spans="10:10" x14ac:dyDescent="0.3">
      <c r="J23359"/>
    </row>
    <row r="23360" spans="10:10" x14ac:dyDescent="0.3">
      <c r="J23360"/>
    </row>
    <row r="23361" spans="10:10" x14ac:dyDescent="0.3">
      <c r="J23361"/>
    </row>
    <row r="23362" spans="10:10" x14ac:dyDescent="0.3">
      <c r="J23362"/>
    </row>
    <row r="23363" spans="10:10" x14ac:dyDescent="0.3">
      <c r="J23363"/>
    </row>
    <row r="23364" spans="10:10" x14ac:dyDescent="0.3">
      <c r="J23364"/>
    </row>
    <row r="23365" spans="10:10" x14ac:dyDescent="0.3">
      <c r="J23365"/>
    </row>
    <row r="23366" spans="10:10" x14ac:dyDescent="0.3">
      <c r="J23366"/>
    </row>
    <row r="23367" spans="10:10" x14ac:dyDescent="0.3">
      <c r="J23367"/>
    </row>
    <row r="23368" spans="10:10" x14ac:dyDescent="0.3">
      <c r="J23368"/>
    </row>
    <row r="23369" spans="10:10" x14ac:dyDescent="0.3">
      <c r="J23369"/>
    </row>
    <row r="23370" spans="10:10" x14ac:dyDescent="0.3">
      <c r="J23370"/>
    </row>
    <row r="23371" spans="10:10" x14ac:dyDescent="0.3">
      <c r="J23371"/>
    </row>
    <row r="23372" spans="10:10" x14ac:dyDescent="0.3">
      <c r="J23372"/>
    </row>
    <row r="23373" spans="10:10" x14ac:dyDescent="0.3">
      <c r="J23373"/>
    </row>
    <row r="23374" spans="10:10" x14ac:dyDescent="0.3">
      <c r="J23374"/>
    </row>
    <row r="23375" spans="10:10" x14ac:dyDescent="0.3">
      <c r="J23375"/>
    </row>
    <row r="23376" spans="10:10" x14ac:dyDescent="0.3">
      <c r="J23376"/>
    </row>
    <row r="23377" spans="10:10" x14ac:dyDescent="0.3">
      <c r="J23377"/>
    </row>
    <row r="23378" spans="10:10" x14ac:dyDescent="0.3">
      <c r="J23378"/>
    </row>
    <row r="23379" spans="10:10" x14ac:dyDescent="0.3">
      <c r="J23379"/>
    </row>
    <row r="23380" spans="10:10" x14ac:dyDescent="0.3">
      <c r="J23380"/>
    </row>
    <row r="23381" spans="10:10" x14ac:dyDescent="0.3">
      <c r="J23381"/>
    </row>
    <row r="23382" spans="10:10" x14ac:dyDescent="0.3">
      <c r="J23382"/>
    </row>
    <row r="23383" spans="10:10" x14ac:dyDescent="0.3">
      <c r="J23383"/>
    </row>
    <row r="23384" spans="10:10" x14ac:dyDescent="0.3">
      <c r="J23384"/>
    </row>
    <row r="23385" spans="10:10" x14ac:dyDescent="0.3">
      <c r="J23385"/>
    </row>
    <row r="23386" spans="10:10" x14ac:dyDescent="0.3">
      <c r="J23386"/>
    </row>
    <row r="23387" spans="10:10" x14ac:dyDescent="0.3">
      <c r="J23387"/>
    </row>
    <row r="23388" spans="10:10" x14ac:dyDescent="0.3">
      <c r="J23388"/>
    </row>
    <row r="23389" spans="10:10" x14ac:dyDescent="0.3">
      <c r="J23389"/>
    </row>
    <row r="23390" spans="10:10" x14ac:dyDescent="0.3">
      <c r="J23390"/>
    </row>
    <row r="23391" spans="10:10" x14ac:dyDescent="0.3">
      <c r="J23391"/>
    </row>
    <row r="23392" spans="10:10" x14ac:dyDescent="0.3">
      <c r="J23392"/>
    </row>
    <row r="23393" spans="10:10" x14ac:dyDescent="0.3">
      <c r="J23393"/>
    </row>
    <row r="23394" spans="10:10" x14ac:dyDescent="0.3">
      <c r="J23394"/>
    </row>
    <row r="23395" spans="10:10" x14ac:dyDescent="0.3">
      <c r="J23395"/>
    </row>
    <row r="23396" spans="10:10" x14ac:dyDescent="0.3">
      <c r="J23396"/>
    </row>
    <row r="23397" spans="10:10" x14ac:dyDescent="0.3">
      <c r="J23397"/>
    </row>
    <row r="23398" spans="10:10" x14ac:dyDescent="0.3">
      <c r="J23398"/>
    </row>
    <row r="23399" spans="10:10" x14ac:dyDescent="0.3">
      <c r="J23399"/>
    </row>
    <row r="23400" spans="10:10" x14ac:dyDescent="0.3">
      <c r="J23400"/>
    </row>
    <row r="23401" spans="10:10" x14ac:dyDescent="0.3">
      <c r="J23401"/>
    </row>
    <row r="23402" spans="10:10" x14ac:dyDescent="0.3">
      <c r="J23402"/>
    </row>
    <row r="23403" spans="10:10" x14ac:dyDescent="0.3">
      <c r="J23403"/>
    </row>
    <row r="23404" spans="10:10" x14ac:dyDescent="0.3">
      <c r="J23404"/>
    </row>
    <row r="23405" spans="10:10" x14ac:dyDescent="0.3">
      <c r="J23405"/>
    </row>
    <row r="23406" spans="10:10" x14ac:dyDescent="0.3">
      <c r="J23406"/>
    </row>
    <row r="23407" spans="10:10" x14ac:dyDescent="0.3">
      <c r="J23407"/>
    </row>
    <row r="23408" spans="10:10" x14ac:dyDescent="0.3">
      <c r="J23408"/>
    </row>
    <row r="23409" spans="10:10" x14ac:dyDescent="0.3">
      <c r="J23409"/>
    </row>
    <row r="23410" spans="10:10" x14ac:dyDescent="0.3">
      <c r="J23410"/>
    </row>
    <row r="23411" spans="10:10" x14ac:dyDescent="0.3">
      <c r="J23411"/>
    </row>
    <row r="23412" spans="10:10" x14ac:dyDescent="0.3">
      <c r="J23412"/>
    </row>
    <row r="23413" spans="10:10" x14ac:dyDescent="0.3">
      <c r="J23413"/>
    </row>
    <row r="23414" spans="10:10" x14ac:dyDescent="0.3">
      <c r="J23414"/>
    </row>
    <row r="23415" spans="10:10" x14ac:dyDescent="0.3">
      <c r="J23415"/>
    </row>
    <row r="23416" spans="10:10" x14ac:dyDescent="0.3">
      <c r="J23416"/>
    </row>
    <row r="23417" spans="10:10" x14ac:dyDescent="0.3">
      <c r="J23417"/>
    </row>
    <row r="23418" spans="10:10" x14ac:dyDescent="0.3">
      <c r="J23418"/>
    </row>
    <row r="23419" spans="10:10" x14ac:dyDescent="0.3">
      <c r="J23419"/>
    </row>
    <row r="23420" spans="10:10" x14ac:dyDescent="0.3">
      <c r="J23420"/>
    </row>
    <row r="23421" spans="10:10" x14ac:dyDescent="0.3">
      <c r="J23421"/>
    </row>
    <row r="23422" spans="10:10" x14ac:dyDescent="0.3">
      <c r="J23422"/>
    </row>
    <row r="23423" spans="10:10" x14ac:dyDescent="0.3">
      <c r="J23423"/>
    </row>
    <row r="23424" spans="10:10" x14ac:dyDescent="0.3">
      <c r="J23424"/>
    </row>
    <row r="23425" spans="10:10" x14ac:dyDescent="0.3">
      <c r="J23425"/>
    </row>
    <row r="23426" spans="10:10" x14ac:dyDescent="0.3">
      <c r="J23426"/>
    </row>
    <row r="23427" spans="10:10" x14ac:dyDescent="0.3">
      <c r="J23427"/>
    </row>
    <row r="23428" spans="10:10" x14ac:dyDescent="0.3">
      <c r="J23428"/>
    </row>
    <row r="23429" spans="10:10" x14ac:dyDescent="0.3">
      <c r="J23429"/>
    </row>
    <row r="23430" spans="10:10" x14ac:dyDescent="0.3">
      <c r="J23430"/>
    </row>
    <row r="23431" spans="10:10" x14ac:dyDescent="0.3">
      <c r="J23431"/>
    </row>
    <row r="23432" spans="10:10" x14ac:dyDescent="0.3">
      <c r="J23432"/>
    </row>
    <row r="23433" spans="10:10" x14ac:dyDescent="0.3">
      <c r="J23433"/>
    </row>
    <row r="23434" spans="10:10" x14ac:dyDescent="0.3">
      <c r="J23434"/>
    </row>
    <row r="23435" spans="10:10" x14ac:dyDescent="0.3">
      <c r="J23435"/>
    </row>
    <row r="23436" spans="10:10" x14ac:dyDescent="0.3">
      <c r="J23436"/>
    </row>
    <row r="23437" spans="10:10" x14ac:dyDescent="0.3">
      <c r="J23437"/>
    </row>
    <row r="23438" spans="10:10" x14ac:dyDescent="0.3">
      <c r="J23438"/>
    </row>
    <row r="23439" spans="10:10" x14ac:dyDescent="0.3">
      <c r="J23439"/>
    </row>
    <row r="23440" spans="10:10" x14ac:dyDescent="0.3">
      <c r="J23440"/>
    </row>
    <row r="23441" spans="10:10" x14ac:dyDescent="0.3">
      <c r="J23441"/>
    </row>
    <row r="23442" spans="10:10" x14ac:dyDescent="0.3">
      <c r="J23442"/>
    </row>
    <row r="23443" spans="10:10" x14ac:dyDescent="0.3">
      <c r="J23443"/>
    </row>
    <row r="23444" spans="10:10" x14ac:dyDescent="0.3">
      <c r="J23444"/>
    </row>
    <row r="23445" spans="10:10" x14ac:dyDescent="0.3">
      <c r="J23445"/>
    </row>
    <row r="23446" spans="10:10" x14ac:dyDescent="0.3">
      <c r="J23446"/>
    </row>
    <row r="23447" spans="10:10" x14ac:dyDescent="0.3">
      <c r="J23447"/>
    </row>
    <row r="23448" spans="10:10" x14ac:dyDescent="0.3">
      <c r="J23448"/>
    </row>
    <row r="23449" spans="10:10" x14ac:dyDescent="0.3">
      <c r="J23449"/>
    </row>
    <row r="23450" spans="10:10" x14ac:dyDescent="0.3">
      <c r="J23450"/>
    </row>
    <row r="23451" spans="10:10" x14ac:dyDescent="0.3">
      <c r="J23451"/>
    </row>
    <row r="23452" spans="10:10" x14ac:dyDescent="0.3">
      <c r="J23452"/>
    </row>
    <row r="23453" spans="10:10" x14ac:dyDescent="0.3">
      <c r="J23453"/>
    </row>
    <row r="23454" spans="10:10" x14ac:dyDescent="0.3">
      <c r="J23454"/>
    </row>
    <row r="23455" spans="10:10" x14ac:dyDescent="0.3">
      <c r="J23455"/>
    </row>
    <row r="23456" spans="10:10" x14ac:dyDescent="0.3">
      <c r="J23456"/>
    </row>
    <row r="23457" spans="10:10" x14ac:dyDescent="0.3">
      <c r="J23457"/>
    </row>
    <row r="23458" spans="10:10" x14ac:dyDescent="0.3">
      <c r="J23458"/>
    </row>
    <row r="23459" spans="10:10" x14ac:dyDescent="0.3">
      <c r="J23459"/>
    </row>
    <row r="23460" spans="10:10" x14ac:dyDescent="0.3">
      <c r="J23460"/>
    </row>
    <row r="23461" spans="10:10" x14ac:dyDescent="0.3">
      <c r="J23461"/>
    </row>
    <row r="23462" spans="10:10" x14ac:dyDescent="0.3">
      <c r="J23462"/>
    </row>
    <row r="23463" spans="10:10" x14ac:dyDescent="0.3">
      <c r="J23463"/>
    </row>
    <row r="23464" spans="10:10" x14ac:dyDescent="0.3">
      <c r="J23464"/>
    </row>
    <row r="23465" spans="10:10" x14ac:dyDescent="0.3">
      <c r="J23465"/>
    </row>
    <row r="23466" spans="10:10" x14ac:dyDescent="0.3">
      <c r="J23466"/>
    </row>
    <row r="23467" spans="10:10" x14ac:dyDescent="0.3">
      <c r="J23467"/>
    </row>
    <row r="23468" spans="10:10" x14ac:dyDescent="0.3">
      <c r="J23468"/>
    </row>
    <row r="23469" spans="10:10" x14ac:dyDescent="0.3">
      <c r="J23469"/>
    </row>
    <row r="23470" spans="10:10" x14ac:dyDescent="0.3">
      <c r="J23470"/>
    </row>
    <row r="23471" spans="10:10" x14ac:dyDescent="0.3">
      <c r="J23471"/>
    </row>
    <row r="23472" spans="10:10" x14ac:dyDescent="0.3">
      <c r="J23472"/>
    </row>
    <row r="23473" spans="10:10" x14ac:dyDescent="0.3">
      <c r="J23473"/>
    </row>
    <row r="23474" spans="10:10" x14ac:dyDescent="0.3">
      <c r="J23474"/>
    </row>
    <row r="23475" spans="10:10" x14ac:dyDescent="0.3">
      <c r="J23475"/>
    </row>
    <row r="23476" spans="10:10" x14ac:dyDescent="0.3">
      <c r="J23476"/>
    </row>
    <row r="23477" spans="10:10" x14ac:dyDescent="0.3">
      <c r="J23477"/>
    </row>
    <row r="23478" spans="10:10" x14ac:dyDescent="0.3">
      <c r="J23478"/>
    </row>
    <row r="23479" spans="10:10" x14ac:dyDescent="0.3">
      <c r="J23479"/>
    </row>
    <row r="23480" spans="10:10" x14ac:dyDescent="0.3">
      <c r="J23480"/>
    </row>
    <row r="23481" spans="10:10" x14ac:dyDescent="0.3">
      <c r="J23481"/>
    </row>
    <row r="23482" spans="10:10" x14ac:dyDescent="0.3">
      <c r="J23482"/>
    </row>
    <row r="23483" spans="10:10" x14ac:dyDescent="0.3">
      <c r="J23483"/>
    </row>
    <row r="23484" spans="10:10" x14ac:dyDescent="0.3">
      <c r="J23484"/>
    </row>
    <row r="23485" spans="10:10" x14ac:dyDescent="0.3">
      <c r="J23485"/>
    </row>
    <row r="23486" spans="10:10" x14ac:dyDescent="0.3">
      <c r="J23486"/>
    </row>
    <row r="23487" spans="10:10" x14ac:dyDescent="0.3">
      <c r="J23487"/>
    </row>
    <row r="23488" spans="10:10" x14ac:dyDescent="0.3">
      <c r="J23488"/>
    </row>
    <row r="23489" spans="10:10" x14ac:dyDescent="0.3">
      <c r="J23489"/>
    </row>
    <row r="23490" spans="10:10" x14ac:dyDescent="0.3">
      <c r="J23490"/>
    </row>
    <row r="23491" spans="10:10" x14ac:dyDescent="0.3">
      <c r="J23491"/>
    </row>
    <row r="23492" spans="10:10" x14ac:dyDescent="0.3">
      <c r="J23492"/>
    </row>
    <row r="23493" spans="10:10" x14ac:dyDescent="0.3">
      <c r="J23493"/>
    </row>
    <row r="23494" spans="10:10" x14ac:dyDescent="0.3">
      <c r="J23494"/>
    </row>
    <row r="23495" spans="10:10" x14ac:dyDescent="0.3">
      <c r="J23495"/>
    </row>
    <row r="23496" spans="10:10" x14ac:dyDescent="0.3">
      <c r="J23496"/>
    </row>
    <row r="23497" spans="10:10" x14ac:dyDescent="0.3">
      <c r="J23497"/>
    </row>
    <row r="23498" spans="10:10" x14ac:dyDescent="0.3">
      <c r="J23498"/>
    </row>
    <row r="23499" spans="10:10" x14ac:dyDescent="0.3">
      <c r="J23499"/>
    </row>
    <row r="23500" spans="10:10" x14ac:dyDescent="0.3">
      <c r="J23500"/>
    </row>
    <row r="23501" spans="10:10" x14ac:dyDescent="0.3">
      <c r="J23501"/>
    </row>
    <row r="23502" spans="10:10" x14ac:dyDescent="0.3">
      <c r="J23502"/>
    </row>
    <row r="23503" spans="10:10" x14ac:dyDescent="0.3">
      <c r="J23503"/>
    </row>
    <row r="23504" spans="10:10" x14ac:dyDescent="0.3">
      <c r="J23504"/>
    </row>
    <row r="23505" spans="10:10" x14ac:dyDescent="0.3">
      <c r="J23505"/>
    </row>
    <row r="23506" spans="10:10" x14ac:dyDescent="0.3">
      <c r="J23506"/>
    </row>
    <row r="23507" spans="10:10" x14ac:dyDescent="0.3">
      <c r="J23507"/>
    </row>
    <row r="23508" spans="10:10" x14ac:dyDescent="0.3">
      <c r="J23508"/>
    </row>
    <row r="23509" spans="10:10" x14ac:dyDescent="0.3">
      <c r="J23509"/>
    </row>
    <row r="23510" spans="10:10" x14ac:dyDescent="0.3">
      <c r="J23510"/>
    </row>
    <row r="23511" spans="10:10" x14ac:dyDescent="0.3">
      <c r="J23511"/>
    </row>
    <row r="23512" spans="10:10" x14ac:dyDescent="0.3">
      <c r="J23512"/>
    </row>
    <row r="23513" spans="10:10" x14ac:dyDescent="0.3">
      <c r="J23513"/>
    </row>
    <row r="23514" spans="10:10" x14ac:dyDescent="0.3">
      <c r="J23514"/>
    </row>
    <row r="23515" spans="10:10" x14ac:dyDescent="0.3">
      <c r="J23515"/>
    </row>
    <row r="23516" spans="10:10" x14ac:dyDescent="0.3">
      <c r="J23516"/>
    </row>
    <row r="23517" spans="10:10" x14ac:dyDescent="0.3">
      <c r="J23517"/>
    </row>
    <row r="23518" spans="10:10" x14ac:dyDescent="0.3">
      <c r="J23518"/>
    </row>
    <row r="23519" spans="10:10" x14ac:dyDescent="0.3">
      <c r="J23519"/>
    </row>
    <row r="23520" spans="10:10" x14ac:dyDescent="0.3">
      <c r="J23520"/>
    </row>
    <row r="23521" spans="10:10" x14ac:dyDescent="0.3">
      <c r="J23521"/>
    </row>
    <row r="23522" spans="10:10" x14ac:dyDescent="0.3">
      <c r="J23522"/>
    </row>
    <row r="23523" spans="10:10" x14ac:dyDescent="0.3">
      <c r="J23523"/>
    </row>
    <row r="23524" spans="10:10" x14ac:dyDescent="0.3">
      <c r="J23524"/>
    </row>
    <row r="23525" spans="10:10" x14ac:dyDescent="0.3">
      <c r="J23525"/>
    </row>
    <row r="23526" spans="10:10" x14ac:dyDescent="0.3">
      <c r="J23526"/>
    </row>
    <row r="23527" spans="10:10" x14ac:dyDescent="0.3">
      <c r="J23527"/>
    </row>
    <row r="23528" spans="10:10" x14ac:dyDescent="0.3">
      <c r="J23528"/>
    </row>
    <row r="23529" spans="10:10" x14ac:dyDescent="0.3">
      <c r="J23529"/>
    </row>
    <row r="23530" spans="10:10" x14ac:dyDescent="0.3">
      <c r="J23530"/>
    </row>
    <row r="23531" spans="10:10" x14ac:dyDescent="0.3">
      <c r="J23531"/>
    </row>
    <row r="23532" spans="10:10" x14ac:dyDescent="0.3">
      <c r="J23532"/>
    </row>
    <row r="23533" spans="10:10" x14ac:dyDescent="0.3">
      <c r="J23533"/>
    </row>
    <row r="23534" spans="10:10" x14ac:dyDescent="0.3">
      <c r="J23534"/>
    </row>
    <row r="23535" spans="10:10" x14ac:dyDescent="0.3">
      <c r="J23535"/>
    </row>
    <row r="23536" spans="10:10" x14ac:dyDescent="0.3">
      <c r="J23536"/>
    </row>
    <row r="23537" spans="10:10" x14ac:dyDescent="0.3">
      <c r="J23537"/>
    </row>
    <row r="23538" spans="10:10" x14ac:dyDescent="0.3">
      <c r="J23538"/>
    </row>
    <row r="23539" spans="10:10" x14ac:dyDescent="0.3">
      <c r="J23539"/>
    </row>
    <row r="23540" spans="10:10" x14ac:dyDescent="0.3">
      <c r="J23540"/>
    </row>
    <row r="23541" spans="10:10" x14ac:dyDescent="0.3">
      <c r="J23541"/>
    </row>
    <row r="23542" spans="10:10" x14ac:dyDescent="0.3">
      <c r="J23542"/>
    </row>
    <row r="23543" spans="10:10" x14ac:dyDescent="0.3">
      <c r="J23543"/>
    </row>
    <row r="23544" spans="10:10" x14ac:dyDescent="0.3">
      <c r="J23544"/>
    </row>
    <row r="23545" spans="10:10" x14ac:dyDescent="0.3">
      <c r="J23545"/>
    </row>
    <row r="23546" spans="10:10" x14ac:dyDescent="0.3">
      <c r="J23546"/>
    </row>
    <row r="23547" spans="10:10" x14ac:dyDescent="0.3">
      <c r="J23547"/>
    </row>
    <row r="23548" spans="10:10" x14ac:dyDescent="0.3">
      <c r="J23548"/>
    </row>
    <row r="23549" spans="10:10" x14ac:dyDescent="0.3">
      <c r="J23549"/>
    </row>
    <row r="23550" spans="10:10" x14ac:dyDescent="0.3">
      <c r="J23550"/>
    </row>
    <row r="23551" spans="10:10" x14ac:dyDescent="0.3">
      <c r="J23551"/>
    </row>
    <row r="23552" spans="10:10" x14ac:dyDescent="0.3">
      <c r="J23552"/>
    </row>
    <row r="23553" spans="10:10" x14ac:dyDescent="0.3">
      <c r="J23553"/>
    </row>
    <row r="23554" spans="10:10" x14ac:dyDescent="0.3">
      <c r="J23554"/>
    </row>
    <row r="23555" spans="10:10" x14ac:dyDescent="0.3">
      <c r="J23555"/>
    </row>
    <row r="23556" spans="10:10" x14ac:dyDescent="0.3">
      <c r="J23556"/>
    </row>
    <row r="23557" spans="10:10" x14ac:dyDescent="0.3">
      <c r="J23557"/>
    </row>
    <row r="23558" spans="10:10" x14ac:dyDescent="0.3">
      <c r="J23558"/>
    </row>
    <row r="23559" spans="10:10" x14ac:dyDescent="0.3">
      <c r="J23559"/>
    </row>
    <row r="23560" spans="10:10" x14ac:dyDescent="0.3">
      <c r="J23560"/>
    </row>
    <row r="23561" spans="10:10" x14ac:dyDescent="0.3">
      <c r="J23561"/>
    </row>
    <row r="23562" spans="10:10" x14ac:dyDescent="0.3">
      <c r="J23562"/>
    </row>
    <row r="23563" spans="10:10" x14ac:dyDescent="0.3">
      <c r="J23563"/>
    </row>
    <row r="23564" spans="10:10" x14ac:dyDescent="0.3">
      <c r="J23564"/>
    </row>
    <row r="23565" spans="10:10" x14ac:dyDescent="0.3">
      <c r="J23565"/>
    </row>
    <row r="23566" spans="10:10" x14ac:dyDescent="0.3">
      <c r="J23566"/>
    </row>
    <row r="23567" spans="10:10" x14ac:dyDescent="0.3">
      <c r="J23567"/>
    </row>
    <row r="23568" spans="10:10" x14ac:dyDescent="0.3">
      <c r="J23568"/>
    </row>
    <row r="23569" spans="10:10" x14ac:dyDescent="0.3">
      <c r="J23569"/>
    </row>
    <row r="23570" spans="10:10" x14ac:dyDescent="0.3">
      <c r="J23570"/>
    </row>
    <row r="23571" spans="10:10" x14ac:dyDescent="0.3">
      <c r="J23571"/>
    </row>
    <row r="23572" spans="10:10" x14ac:dyDescent="0.3">
      <c r="J23572"/>
    </row>
    <row r="23573" spans="10:10" x14ac:dyDescent="0.3">
      <c r="J23573"/>
    </row>
    <row r="23574" spans="10:10" x14ac:dyDescent="0.3">
      <c r="J23574"/>
    </row>
    <row r="23575" spans="10:10" x14ac:dyDescent="0.3">
      <c r="J23575"/>
    </row>
    <row r="23576" spans="10:10" x14ac:dyDescent="0.3">
      <c r="J23576"/>
    </row>
    <row r="23577" spans="10:10" x14ac:dyDescent="0.3">
      <c r="J23577"/>
    </row>
    <row r="23578" spans="10:10" x14ac:dyDescent="0.3">
      <c r="J23578"/>
    </row>
    <row r="23579" spans="10:10" x14ac:dyDescent="0.3">
      <c r="J23579"/>
    </row>
    <row r="23580" spans="10:10" x14ac:dyDescent="0.3">
      <c r="J23580"/>
    </row>
    <row r="23581" spans="10:10" x14ac:dyDescent="0.3">
      <c r="J23581"/>
    </row>
    <row r="23582" spans="10:10" x14ac:dyDescent="0.3">
      <c r="J23582"/>
    </row>
    <row r="23583" spans="10:10" x14ac:dyDescent="0.3">
      <c r="J23583"/>
    </row>
    <row r="23584" spans="10:10" x14ac:dyDescent="0.3">
      <c r="J23584"/>
    </row>
    <row r="23585" spans="10:10" x14ac:dyDescent="0.3">
      <c r="J23585"/>
    </row>
    <row r="23586" spans="10:10" x14ac:dyDescent="0.3">
      <c r="J23586"/>
    </row>
    <row r="23587" spans="10:10" x14ac:dyDescent="0.3">
      <c r="J23587"/>
    </row>
    <row r="23588" spans="10:10" x14ac:dyDescent="0.3">
      <c r="J23588"/>
    </row>
    <row r="23589" spans="10:10" x14ac:dyDescent="0.3">
      <c r="J23589"/>
    </row>
    <row r="23590" spans="10:10" x14ac:dyDescent="0.3">
      <c r="J23590"/>
    </row>
    <row r="23591" spans="10:10" x14ac:dyDescent="0.3">
      <c r="J23591"/>
    </row>
    <row r="23592" spans="10:10" x14ac:dyDescent="0.3">
      <c r="J23592"/>
    </row>
    <row r="23593" spans="10:10" x14ac:dyDescent="0.3">
      <c r="J23593"/>
    </row>
    <row r="23594" spans="10:10" x14ac:dyDescent="0.3">
      <c r="J23594"/>
    </row>
    <row r="23595" spans="10:10" x14ac:dyDescent="0.3">
      <c r="J23595"/>
    </row>
    <row r="23596" spans="10:10" x14ac:dyDescent="0.3">
      <c r="J23596"/>
    </row>
    <row r="23597" spans="10:10" x14ac:dyDescent="0.3">
      <c r="J23597"/>
    </row>
    <row r="23598" spans="10:10" x14ac:dyDescent="0.3">
      <c r="J23598"/>
    </row>
    <row r="23599" spans="10:10" x14ac:dyDescent="0.3">
      <c r="J23599"/>
    </row>
    <row r="23600" spans="10:10" x14ac:dyDescent="0.3">
      <c r="J23600"/>
    </row>
    <row r="23601" spans="10:10" x14ac:dyDescent="0.3">
      <c r="J23601"/>
    </row>
    <row r="23602" spans="10:10" x14ac:dyDescent="0.3">
      <c r="J23602"/>
    </row>
    <row r="23603" spans="10:10" x14ac:dyDescent="0.3">
      <c r="J23603"/>
    </row>
    <row r="23604" spans="10:10" x14ac:dyDescent="0.3">
      <c r="J23604"/>
    </row>
    <row r="23605" spans="10:10" x14ac:dyDescent="0.3">
      <c r="J23605"/>
    </row>
    <row r="23606" spans="10:10" x14ac:dyDescent="0.3">
      <c r="J23606"/>
    </row>
    <row r="23607" spans="10:10" x14ac:dyDescent="0.3">
      <c r="J23607"/>
    </row>
    <row r="23608" spans="10:10" x14ac:dyDescent="0.3">
      <c r="J23608"/>
    </row>
    <row r="23609" spans="10:10" x14ac:dyDescent="0.3">
      <c r="J23609"/>
    </row>
    <row r="23610" spans="10:10" x14ac:dyDescent="0.3">
      <c r="J23610"/>
    </row>
    <row r="23611" spans="10:10" x14ac:dyDescent="0.3">
      <c r="J23611"/>
    </row>
    <row r="23612" spans="10:10" x14ac:dyDescent="0.3">
      <c r="J23612"/>
    </row>
    <row r="23613" spans="10:10" x14ac:dyDescent="0.3">
      <c r="J23613"/>
    </row>
    <row r="23614" spans="10:10" x14ac:dyDescent="0.3">
      <c r="J23614"/>
    </row>
    <row r="23615" spans="10:10" x14ac:dyDescent="0.3">
      <c r="J23615"/>
    </row>
    <row r="23616" spans="10:10" x14ac:dyDescent="0.3">
      <c r="J23616"/>
    </row>
    <row r="23617" spans="10:10" x14ac:dyDescent="0.3">
      <c r="J23617"/>
    </row>
    <row r="23618" spans="10:10" x14ac:dyDescent="0.3">
      <c r="J23618"/>
    </row>
    <row r="23619" spans="10:10" x14ac:dyDescent="0.3">
      <c r="J23619"/>
    </row>
    <row r="23620" spans="10:10" x14ac:dyDescent="0.3">
      <c r="J23620"/>
    </row>
    <row r="23621" spans="10:10" x14ac:dyDescent="0.3">
      <c r="J23621"/>
    </row>
    <row r="23622" spans="10:10" x14ac:dyDescent="0.3">
      <c r="J23622"/>
    </row>
    <row r="23623" spans="10:10" x14ac:dyDescent="0.3">
      <c r="J23623"/>
    </row>
    <row r="23624" spans="10:10" x14ac:dyDescent="0.3">
      <c r="J23624"/>
    </row>
    <row r="23625" spans="10:10" x14ac:dyDescent="0.3">
      <c r="J23625"/>
    </row>
    <row r="23626" spans="10:10" x14ac:dyDescent="0.3">
      <c r="J23626"/>
    </row>
    <row r="23627" spans="10:10" x14ac:dyDescent="0.3">
      <c r="J23627"/>
    </row>
    <row r="23628" spans="10:10" x14ac:dyDescent="0.3">
      <c r="J23628"/>
    </row>
    <row r="23629" spans="10:10" x14ac:dyDescent="0.3">
      <c r="J23629"/>
    </row>
    <row r="23630" spans="10:10" x14ac:dyDescent="0.3">
      <c r="J23630"/>
    </row>
    <row r="23631" spans="10:10" x14ac:dyDescent="0.3">
      <c r="J23631"/>
    </row>
    <row r="23632" spans="10:10" x14ac:dyDescent="0.3">
      <c r="J23632"/>
    </row>
    <row r="23633" spans="10:10" x14ac:dyDescent="0.3">
      <c r="J23633"/>
    </row>
    <row r="23634" spans="10:10" x14ac:dyDescent="0.3">
      <c r="J23634"/>
    </row>
    <row r="23635" spans="10:10" x14ac:dyDescent="0.3">
      <c r="J23635"/>
    </row>
    <row r="23636" spans="10:10" x14ac:dyDescent="0.3">
      <c r="J23636"/>
    </row>
    <row r="23637" spans="10:10" x14ac:dyDescent="0.3">
      <c r="J23637"/>
    </row>
    <row r="23638" spans="10:10" x14ac:dyDescent="0.3">
      <c r="J23638"/>
    </row>
    <row r="23639" spans="10:10" x14ac:dyDescent="0.3">
      <c r="J23639"/>
    </row>
    <row r="23640" spans="10:10" x14ac:dyDescent="0.3">
      <c r="J23640"/>
    </row>
    <row r="23641" spans="10:10" x14ac:dyDescent="0.3">
      <c r="J23641"/>
    </row>
    <row r="23642" spans="10:10" x14ac:dyDescent="0.3">
      <c r="J23642"/>
    </row>
    <row r="23643" spans="10:10" x14ac:dyDescent="0.3">
      <c r="J23643"/>
    </row>
    <row r="23644" spans="10:10" x14ac:dyDescent="0.3">
      <c r="J23644"/>
    </row>
    <row r="23645" spans="10:10" x14ac:dyDescent="0.3">
      <c r="J23645"/>
    </row>
    <row r="23646" spans="10:10" x14ac:dyDescent="0.3">
      <c r="J23646"/>
    </row>
    <row r="23647" spans="10:10" x14ac:dyDescent="0.3">
      <c r="J23647"/>
    </row>
    <row r="23648" spans="10:10" x14ac:dyDescent="0.3">
      <c r="J23648"/>
    </row>
    <row r="23649" spans="10:10" x14ac:dyDescent="0.3">
      <c r="J23649"/>
    </row>
    <row r="23650" spans="10:10" x14ac:dyDescent="0.3">
      <c r="J23650"/>
    </row>
    <row r="23651" spans="10:10" x14ac:dyDescent="0.3">
      <c r="J23651"/>
    </row>
    <row r="23652" spans="10:10" x14ac:dyDescent="0.3">
      <c r="J23652"/>
    </row>
    <row r="23653" spans="10:10" x14ac:dyDescent="0.3">
      <c r="J23653"/>
    </row>
    <row r="23654" spans="10:10" x14ac:dyDescent="0.3">
      <c r="J23654"/>
    </row>
    <row r="23655" spans="10:10" x14ac:dyDescent="0.3">
      <c r="J23655"/>
    </row>
    <row r="23656" spans="10:10" x14ac:dyDescent="0.3">
      <c r="J23656"/>
    </row>
    <row r="23657" spans="10:10" x14ac:dyDescent="0.3">
      <c r="J23657"/>
    </row>
    <row r="23658" spans="10:10" x14ac:dyDescent="0.3">
      <c r="J23658"/>
    </row>
    <row r="23659" spans="10:10" x14ac:dyDescent="0.3">
      <c r="J23659"/>
    </row>
    <row r="23660" spans="10:10" x14ac:dyDescent="0.3">
      <c r="J23660"/>
    </row>
    <row r="23661" spans="10:10" x14ac:dyDescent="0.3">
      <c r="J23661"/>
    </row>
    <row r="23662" spans="10:10" x14ac:dyDescent="0.3">
      <c r="J23662"/>
    </row>
    <row r="23663" spans="10:10" x14ac:dyDescent="0.3">
      <c r="J23663"/>
    </row>
    <row r="23664" spans="10:10" x14ac:dyDescent="0.3">
      <c r="J23664"/>
    </row>
    <row r="23665" spans="10:10" x14ac:dyDescent="0.3">
      <c r="J23665"/>
    </row>
    <row r="23666" spans="10:10" x14ac:dyDescent="0.3">
      <c r="J23666"/>
    </row>
    <row r="23667" spans="10:10" x14ac:dyDescent="0.3">
      <c r="J23667"/>
    </row>
    <row r="23668" spans="10:10" x14ac:dyDescent="0.3">
      <c r="J23668"/>
    </row>
    <row r="23669" spans="10:10" x14ac:dyDescent="0.3">
      <c r="J23669"/>
    </row>
    <row r="23670" spans="10:10" x14ac:dyDescent="0.3">
      <c r="J23670"/>
    </row>
    <row r="23671" spans="10:10" x14ac:dyDescent="0.3">
      <c r="J23671"/>
    </row>
    <row r="23672" spans="10:10" x14ac:dyDescent="0.3">
      <c r="J23672"/>
    </row>
    <row r="23673" spans="10:10" x14ac:dyDescent="0.3">
      <c r="J23673"/>
    </row>
    <row r="23674" spans="10:10" x14ac:dyDescent="0.3">
      <c r="J23674"/>
    </row>
    <row r="23675" spans="10:10" x14ac:dyDescent="0.3">
      <c r="J23675"/>
    </row>
    <row r="23676" spans="10:10" x14ac:dyDescent="0.3">
      <c r="J23676"/>
    </row>
    <row r="23677" spans="10:10" x14ac:dyDescent="0.3">
      <c r="J23677"/>
    </row>
    <row r="23678" spans="10:10" x14ac:dyDescent="0.3">
      <c r="J23678"/>
    </row>
    <row r="23679" spans="10:10" x14ac:dyDescent="0.3">
      <c r="J23679"/>
    </row>
    <row r="23680" spans="10:10" x14ac:dyDescent="0.3">
      <c r="J23680"/>
    </row>
    <row r="23681" spans="10:10" x14ac:dyDescent="0.3">
      <c r="J23681"/>
    </row>
    <row r="23682" spans="10:10" x14ac:dyDescent="0.3">
      <c r="J23682"/>
    </row>
    <row r="23683" spans="10:10" x14ac:dyDescent="0.3">
      <c r="J23683"/>
    </row>
    <row r="23684" spans="10:10" x14ac:dyDescent="0.3">
      <c r="J23684"/>
    </row>
    <row r="23685" spans="10:10" x14ac:dyDescent="0.3">
      <c r="J23685"/>
    </row>
    <row r="23686" spans="10:10" x14ac:dyDescent="0.3">
      <c r="J23686"/>
    </row>
    <row r="23687" spans="10:10" x14ac:dyDescent="0.3">
      <c r="J23687"/>
    </row>
    <row r="23688" spans="10:10" x14ac:dyDescent="0.3">
      <c r="J23688"/>
    </row>
    <row r="23689" spans="10:10" x14ac:dyDescent="0.3">
      <c r="J23689"/>
    </row>
    <row r="23690" spans="10:10" x14ac:dyDescent="0.3">
      <c r="J23690"/>
    </row>
    <row r="23691" spans="10:10" x14ac:dyDescent="0.3">
      <c r="J23691"/>
    </row>
    <row r="23692" spans="10:10" x14ac:dyDescent="0.3">
      <c r="J23692"/>
    </row>
    <row r="23693" spans="10:10" x14ac:dyDescent="0.3">
      <c r="J23693"/>
    </row>
    <row r="23694" spans="10:10" x14ac:dyDescent="0.3">
      <c r="J23694"/>
    </row>
    <row r="23695" spans="10:10" x14ac:dyDescent="0.3">
      <c r="J23695"/>
    </row>
    <row r="23696" spans="10:10" x14ac:dyDescent="0.3">
      <c r="J23696"/>
    </row>
    <row r="23697" spans="10:10" x14ac:dyDescent="0.3">
      <c r="J23697"/>
    </row>
    <row r="23698" spans="10:10" x14ac:dyDescent="0.3">
      <c r="J23698"/>
    </row>
    <row r="23699" spans="10:10" x14ac:dyDescent="0.3">
      <c r="J23699"/>
    </row>
    <row r="23700" spans="10:10" x14ac:dyDescent="0.3">
      <c r="J23700"/>
    </row>
    <row r="23701" spans="10:10" x14ac:dyDescent="0.3">
      <c r="J23701"/>
    </row>
    <row r="23702" spans="10:10" x14ac:dyDescent="0.3">
      <c r="J23702"/>
    </row>
    <row r="23703" spans="10:10" x14ac:dyDescent="0.3">
      <c r="J23703"/>
    </row>
    <row r="23704" spans="10:10" x14ac:dyDescent="0.3">
      <c r="J23704"/>
    </row>
    <row r="23705" spans="10:10" x14ac:dyDescent="0.3">
      <c r="J23705"/>
    </row>
    <row r="23706" spans="10:10" x14ac:dyDescent="0.3">
      <c r="J23706"/>
    </row>
    <row r="23707" spans="10:10" x14ac:dyDescent="0.3">
      <c r="J23707"/>
    </row>
    <row r="23708" spans="10:10" x14ac:dyDescent="0.3">
      <c r="J23708"/>
    </row>
    <row r="23709" spans="10:10" x14ac:dyDescent="0.3">
      <c r="J23709"/>
    </row>
    <row r="23710" spans="10:10" x14ac:dyDescent="0.3">
      <c r="J23710"/>
    </row>
    <row r="23711" spans="10:10" x14ac:dyDescent="0.3">
      <c r="J23711"/>
    </row>
    <row r="23712" spans="10:10" x14ac:dyDescent="0.3">
      <c r="J23712"/>
    </row>
    <row r="23713" spans="10:10" x14ac:dyDescent="0.3">
      <c r="J23713"/>
    </row>
    <row r="23714" spans="10:10" x14ac:dyDescent="0.3">
      <c r="J23714"/>
    </row>
    <row r="23715" spans="10:10" x14ac:dyDescent="0.3">
      <c r="J23715"/>
    </row>
    <row r="23716" spans="10:10" x14ac:dyDescent="0.3">
      <c r="J23716"/>
    </row>
    <row r="23717" spans="10:10" x14ac:dyDescent="0.3">
      <c r="J23717"/>
    </row>
    <row r="23718" spans="10:10" x14ac:dyDescent="0.3">
      <c r="J23718"/>
    </row>
    <row r="23719" spans="10:10" x14ac:dyDescent="0.3">
      <c r="J23719"/>
    </row>
    <row r="23720" spans="10:10" x14ac:dyDescent="0.3">
      <c r="J23720"/>
    </row>
    <row r="23721" spans="10:10" x14ac:dyDescent="0.3">
      <c r="J23721"/>
    </row>
    <row r="23722" spans="10:10" x14ac:dyDescent="0.3">
      <c r="J23722"/>
    </row>
    <row r="23723" spans="10:10" x14ac:dyDescent="0.3">
      <c r="J23723"/>
    </row>
    <row r="23724" spans="10:10" x14ac:dyDescent="0.3">
      <c r="J23724"/>
    </row>
    <row r="23725" spans="10:10" x14ac:dyDescent="0.3">
      <c r="J23725"/>
    </row>
    <row r="23726" spans="10:10" x14ac:dyDescent="0.3">
      <c r="J23726"/>
    </row>
    <row r="23727" spans="10:10" x14ac:dyDescent="0.3">
      <c r="J23727"/>
    </row>
    <row r="23728" spans="10:10" x14ac:dyDescent="0.3">
      <c r="J23728"/>
    </row>
    <row r="23729" spans="10:10" x14ac:dyDescent="0.3">
      <c r="J23729"/>
    </row>
    <row r="23730" spans="10:10" x14ac:dyDescent="0.3">
      <c r="J23730"/>
    </row>
    <row r="23731" spans="10:10" x14ac:dyDescent="0.3">
      <c r="J23731"/>
    </row>
    <row r="23732" spans="10:10" x14ac:dyDescent="0.3">
      <c r="J23732"/>
    </row>
    <row r="23733" spans="10:10" x14ac:dyDescent="0.3">
      <c r="J23733"/>
    </row>
    <row r="23734" spans="10:10" x14ac:dyDescent="0.3">
      <c r="J23734"/>
    </row>
    <row r="23735" spans="10:10" x14ac:dyDescent="0.3">
      <c r="J23735"/>
    </row>
    <row r="23736" spans="10:10" x14ac:dyDescent="0.3">
      <c r="J23736"/>
    </row>
    <row r="23737" spans="10:10" x14ac:dyDescent="0.3">
      <c r="J23737"/>
    </row>
    <row r="23738" spans="10:10" x14ac:dyDescent="0.3">
      <c r="J23738"/>
    </row>
    <row r="23739" spans="10:10" x14ac:dyDescent="0.3">
      <c r="J23739"/>
    </row>
    <row r="23740" spans="10:10" x14ac:dyDescent="0.3">
      <c r="J23740"/>
    </row>
    <row r="23741" spans="10:10" x14ac:dyDescent="0.3">
      <c r="J23741"/>
    </row>
    <row r="23742" spans="10:10" x14ac:dyDescent="0.3">
      <c r="J23742"/>
    </row>
    <row r="23743" spans="10:10" x14ac:dyDescent="0.3">
      <c r="J23743"/>
    </row>
    <row r="23744" spans="10:10" x14ac:dyDescent="0.3">
      <c r="J23744"/>
    </row>
    <row r="23745" spans="10:10" x14ac:dyDescent="0.3">
      <c r="J23745"/>
    </row>
    <row r="23746" spans="10:10" x14ac:dyDescent="0.3">
      <c r="J23746"/>
    </row>
    <row r="23747" spans="10:10" x14ac:dyDescent="0.3">
      <c r="J23747"/>
    </row>
    <row r="23748" spans="10:10" x14ac:dyDescent="0.3">
      <c r="J23748"/>
    </row>
    <row r="23749" spans="10:10" x14ac:dyDescent="0.3">
      <c r="J23749"/>
    </row>
    <row r="23750" spans="10:10" x14ac:dyDescent="0.3">
      <c r="J23750"/>
    </row>
    <row r="23751" spans="10:10" x14ac:dyDescent="0.3">
      <c r="J23751"/>
    </row>
    <row r="23752" spans="10:10" x14ac:dyDescent="0.3">
      <c r="J23752"/>
    </row>
    <row r="23753" spans="10:10" x14ac:dyDescent="0.3">
      <c r="J23753"/>
    </row>
    <row r="23754" spans="10:10" x14ac:dyDescent="0.3">
      <c r="J23754"/>
    </row>
    <row r="23755" spans="10:10" x14ac:dyDescent="0.3">
      <c r="J23755"/>
    </row>
    <row r="23756" spans="10:10" x14ac:dyDescent="0.3">
      <c r="J23756"/>
    </row>
    <row r="23757" spans="10:10" x14ac:dyDescent="0.3">
      <c r="J23757"/>
    </row>
    <row r="23758" spans="10:10" x14ac:dyDescent="0.3">
      <c r="J23758"/>
    </row>
    <row r="23759" spans="10:10" x14ac:dyDescent="0.3">
      <c r="J23759"/>
    </row>
    <row r="23760" spans="10:10" x14ac:dyDescent="0.3">
      <c r="J23760"/>
    </row>
    <row r="23761" spans="10:10" x14ac:dyDescent="0.3">
      <c r="J23761"/>
    </row>
    <row r="23762" spans="10:10" x14ac:dyDescent="0.3">
      <c r="J23762"/>
    </row>
    <row r="23763" spans="10:10" x14ac:dyDescent="0.3">
      <c r="J23763"/>
    </row>
    <row r="23764" spans="10:10" x14ac:dyDescent="0.3">
      <c r="J23764"/>
    </row>
    <row r="23765" spans="10:10" x14ac:dyDescent="0.3">
      <c r="J23765"/>
    </row>
    <row r="23766" spans="10:10" x14ac:dyDescent="0.3">
      <c r="J23766"/>
    </row>
    <row r="23767" spans="10:10" x14ac:dyDescent="0.3">
      <c r="J23767"/>
    </row>
    <row r="23768" spans="10:10" x14ac:dyDescent="0.3">
      <c r="J23768"/>
    </row>
    <row r="23769" spans="10:10" x14ac:dyDescent="0.3">
      <c r="J23769"/>
    </row>
    <row r="23770" spans="10:10" x14ac:dyDescent="0.3">
      <c r="J23770"/>
    </row>
    <row r="23771" spans="10:10" x14ac:dyDescent="0.3">
      <c r="J23771"/>
    </row>
    <row r="23772" spans="10:10" x14ac:dyDescent="0.3">
      <c r="J23772"/>
    </row>
    <row r="23773" spans="10:10" x14ac:dyDescent="0.3">
      <c r="J23773"/>
    </row>
    <row r="23774" spans="10:10" x14ac:dyDescent="0.3">
      <c r="J23774"/>
    </row>
    <row r="23775" spans="10:10" x14ac:dyDescent="0.3">
      <c r="J23775"/>
    </row>
    <row r="23776" spans="10:10" x14ac:dyDescent="0.3">
      <c r="J23776"/>
    </row>
    <row r="23777" spans="10:10" x14ac:dyDescent="0.3">
      <c r="J23777"/>
    </row>
    <row r="23778" spans="10:10" x14ac:dyDescent="0.3">
      <c r="J23778"/>
    </row>
    <row r="23779" spans="10:10" x14ac:dyDescent="0.3">
      <c r="J23779"/>
    </row>
    <row r="23780" spans="10:10" x14ac:dyDescent="0.3">
      <c r="J23780"/>
    </row>
    <row r="23781" spans="10:10" x14ac:dyDescent="0.3">
      <c r="J23781"/>
    </row>
    <row r="23782" spans="10:10" x14ac:dyDescent="0.3">
      <c r="J23782"/>
    </row>
    <row r="23783" spans="10:10" x14ac:dyDescent="0.3">
      <c r="J23783"/>
    </row>
    <row r="23784" spans="10:10" x14ac:dyDescent="0.3">
      <c r="J23784"/>
    </row>
    <row r="23785" spans="10:10" x14ac:dyDescent="0.3">
      <c r="J23785"/>
    </row>
    <row r="23786" spans="10:10" x14ac:dyDescent="0.3">
      <c r="J23786"/>
    </row>
    <row r="23787" spans="10:10" x14ac:dyDescent="0.3">
      <c r="J23787"/>
    </row>
    <row r="23788" spans="10:10" x14ac:dyDescent="0.3">
      <c r="J23788"/>
    </row>
    <row r="23789" spans="10:10" x14ac:dyDescent="0.3">
      <c r="J23789"/>
    </row>
    <row r="23790" spans="10:10" x14ac:dyDescent="0.3">
      <c r="J23790"/>
    </row>
    <row r="23791" spans="10:10" x14ac:dyDescent="0.3">
      <c r="J23791"/>
    </row>
    <row r="23792" spans="10:10" x14ac:dyDescent="0.3">
      <c r="J23792"/>
    </row>
    <row r="23793" spans="10:10" x14ac:dyDescent="0.3">
      <c r="J23793"/>
    </row>
    <row r="23794" spans="10:10" x14ac:dyDescent="0.3">
      <c r="J23794"/>
    </row>
    <row r="23795" spans="10:10" x14ac:dyDescent="0.3">
      <c r="J23795"/>
    </row>
    <row r="23796" spans="10:10" x14ac:dyDescent="0.3">
      <c r="J23796"/>
    </row>
    <row r="23797" spans="10:10" x14ac:dyDescent="0.3">
      <c r="J23797"/>
    </row>
    <row r="23798" spans="10:10" x14ac:dyDescent="0.3">
      <c r="J23798"/>
    </row>
    <row r="23799" spans="10:10" x14ac:dyDescent="0.3">
      <c r="J23799"/>
    </row>
    <row r="23800" spans="10:10" x14ac:dyDescent="0.3">
      <c r="J23800"/>
    </row>
    <row r="23801" spans="10:10" x14ac:dyDescent="0.3">
      <c r="J23801"/>
    </row>
    <row r="23802" spans="10:10" x14ac:dyDescent="0.3">
      <c r="J23802"/>
    </row>
    <row r="23803" spans="10:10" x14ac:dyDescent="0.3">
      <c r="J23803"/>
    </row>
    <row r="23804" spans="10:10" x14ac:dyDescent="0.3">
      <c r="J23804"/>
    </row>
    <row r="23805" spans="10:10" x14ac:dyDescent="0.3">
      <c r="J23805"/>
    </row>
    <row r="23806" spans="10:10" x14ac:dyDescent="0.3">
      <c r="J23806"/>
    </row>
    <row r="23807" spans="10:10" x14ac:dyDescent="0.3">
      <c r="J23807"/>
    </row>
    <row r="23808" spans="10:10" x14ac:dyDescent="0.3">
      <c r="J23808"/>
    </row>
    <row r="23809" spans="10:10" x14ac:dyDescent="0.3">
      <c r="J23809"/>
    </row>
    <row r="23810" spans="10:10" x14ac:dyDescent="0.3">
      <c r="J23810"/>
    </row>
    <row r="23811" spans="10:10" x14ac:dyDescent="0.3">
      <c r="J23811"/>
    </row>
    <row r="23812" spans="10:10" x14ac:dyDescent="0.3">
      <c r="J23812"/>
    </row>
    <row r="23813" spans="10:10" x14ac:dyDescent="0.3">
      <c r="J23813"/>
    </row>
    <row r="23814" spans="10:10" x14ac:dyDescent="0.3">
      <c r="J23814"/>
    </row>
    <row r="23815" spans="10:10" x14ac:dyDescent="0.3">
      <c r="J23815"/>
    </row>
    <row r="23816" spans="10:10" x14ac:dyDescent="0.3">
      <c r="J23816"/>
    </row>
    <row r="23817" spans="10:10" x14ac:dyDescent="0.3">
      <c r="J23817"/>
    </row>
    <row r="23818" spans="10:10" x14ac:dyDescent="0.3">
      <c r="J23818"/>
    </row>
    <row r="23819" spans="10:10" x14ac:dyDescent="0.3">
      <c r="J23819"/>
    </row>
    <row r="23820" spans="10:10" x14ac:dyDescent="0.3">
      <c r="J23820"/>
    </row>
    <row r="23821" spans="10:10" x14ac:dyDescent="0.3">
      <c r="J23821"/>
    </row>
    <row r="23822" spans="10:10" x14ac:dyDescent="0.3">
      <c r="J23822"/>
    </row>
    <row r="23823" spans="10:10" x14ac:dyDescent="0.3">
      <c r="J23823"/>
    </row>
    <row r="23824" spans="10:10" x14ac:dyDescent="0.3">
      <c r="J23824"/>
    </row>
    <row r="23825" spans="10:10" x14ac:dyDescent="0.3">
      <c r="J23825"/>
    </row>
    <row r="23826" spans="10:10" x14ac:dyDescent="0.3">
      <c r="J23826"/>
    </row>
    <row r="23827" spans="10:10" x14ac:dyDescent="0.3">
      <c r="J23827"/>
    </row>
    <row r="23828" spans="10:10" x14ac:dyDescent="0.3">
      <c r="J23828"/>
    </row>
    <row r="23829" spans="10:10" x14ac:dyDescent="0.3">
      <c r="J23829"/>
    </row>
    <row r="23830" spans="10:10" x14ac:dyDescent="0.3">
      <c r="J23830"/>
    </row>
    <row r="23831" spans="10:10" x14ac:dyDescent="0.3">
      <c r="J23831"/>
    </row>
    <row r="23832" spans="10:10" x14ac:dyDescent="0.3">
      <c r="J23832"/>
    </row>
    <row r="23833" spans="10:10" x14ac:dyDescent="0.3">
      <c r="J23833"/>
    </row>
    <row r="23834" spans="10:10" x14ac:dyDescent="0.3">
      <c r="J23834"/>
    </row>
    <row r="23835" spans="10:10" x14ac:dyDescent="0.3">
      <c r="J23835"/>
    </row>
    <row r="23836" spans="10:10" x14ac:dyDescent="0.3">
      <c r="J23836"/>
    </row>
    <row r="23837" spans="10:10" x14ac:dyDescent="0.3">
      <c r="J23837"/>
    </row>
    <row r="23838" spans="10:10" x14ac:dyDescent="0.3">
      <c r="J23838"/>
    </row>
    <row r="23839" spans="10:10" x14ac:dyDescent="0.3">
      <c r="J23839"/>
    </row>
    <row r="23840" spans="10:10" x14ac:dyDescent="0.3">
      <c r="J23840"/>
    </row>
    <row r="23841" spans="10:10" x14ac:dyDescent="0.3">
      <c r="J23841"/>
    </row>
    <row r="23842" spans="10:10" x14ac:dyDescent="0.3">
      <c r="J23842"/>
    </row>
    <row r="23843" spans="10:10" x14ac:dyDescent="0.3">
      <c r="J23843"/>
    </row>
    <row r="23844" spans="10:10" x14ac:dyDescent="0.3">
      <c r="J23844"/>
    </row>
    <row r="23845" spans="10:10" x14ac:dyDescent="0.3">
      <c r="J23845"/>
    </row>
    <row r="23846" spans="10:10" x14ac:dyDescent="0.3">
      <c r="J23846"/>
    </row>
    <row r="23847" spans="10:10" x14ac:dyDescent="0.3">
      <c r="J23847"/>
    </row>
    <row r="23848" spans="10:10" x14ac:dyDescent="0.3">
      <c r="J23848"/>
    </row>
    <row r="23849" spans="10:10" x14ac:dyDescent="0.3">
      <c r="J23849"/>
    </row>
    <row r="23850" spans="10:10" x14ac:dyDescent="0.3">
      <c r="J23850"/>
    </row>
    <row r="23851" spans="10:10" x14ac:dyDescent="0.3">
      <c r="J23851"/>
    </row>
    <row r="23852" spans="10:10" x14ac:dyDescent="0.3">
      <c r="J23852"/>
    </row>
    <row r="23853" spans="10:10" x14ac:dyDescent="0.3">
      <c r="J23853"/>
    </row>
    <row r="23854" spans="10:10" x14ac:dyDescent="0.3">
      <c r="J23854"/>
    </row>
    <row r="23855" spans="10:10" x14ac:dyDescent="0.3">
      <c r="J23855"/>
    </row>
    <row r="23856" spans="10:10" x14ac:dyDescent="0.3">
      <c r="J23856"/>
    </row>
    <row r="23857" spans="10:10" x14ac:dyDescent="0.3">
      <c r="J23857"/>
    </row>
    <row r="23858" spans="10:10" x14ac:dyDescent="0.3">
      <c r="J23858"/>
    </row>
    <row r="23859" spans="10:10" x14ac:dyDescent="0.3">
      <c r="J23859"/>
    </row>
    <row r="23860" spans="10:10" x14ac:dyDescent="0.3">
      <c r="J23860"/>
    </row>
    <row r="23861" spans="10:10" x14ac:dyDescent="0.3">
      <c r="J23861"/>
    </row>
    <row r="23862" spans="10:10" x14ac:dyDescent="0.3">
      <c r="J23862"/>
    </row>
    <row r="23863" spans="10:10" x14ac:dyDescent="0.3">
      <c r="J23863"/>
    </row>
    <row r="23864" spans="10:10" x14ac:dyDescent="0.3">
      <c r="J23864"/>
    </row>
    <row r="23865" spans="10:10" x14ac:dyDescent="0.3">
      <c r="J23865"/>
    </row>
    <row r="23866" spans="10:10" x14ac:dyDescent="0.3">
      <c r="J23866"/>
    </row>
    <row r="23867" spans="10:10" x14ac:dyDescent="0.3">
      <c r="J23867"/>
    </row>
    <row r="23868" spans="10:10" x14ac:dyDescent="0.3">
      <c r="J23868"/>
    </row>
    <row r="23869" spans="10:10" x14ac:dyDescent="0.3">
      <c r="J23869"/>
    </row>
    <row r="23870" spans="10:10" x14ac:dyDescent="0.3">
      <c r="J23870"/>
    </row>
    <row r="23871" spans="10:10" x14ac:dyDescent="0.3">
      <c r="J23871"/>
    </row>
    <row r="23872" spans="10:10" x14ac:dyDescent="0.3">
      <c r="J23872"/>
    </row>
    <row r="23873" spans="10:10" x14ac:dyDescent="0.3">
      <c r="J23873"/>
    </row>
    <row r="23874" spans="10:10" x14ac:dyDescent="0.3">
      <c r="J23874"/>
    </row>
    <row r="23875" spans="10:10" x14ac:dyDescent="0.3">
      <c r="J23875"/>
    </row>
    <row r="23876" spans="10:10" x14ac:dyDescent="0.3">
      <c r="J23876"/>
    </row>
    <row r="23877" spans="10:10" x14ac:dyDescent="0.3">
      <c r="J23877"/>
    </row>
    <row r="23878" spans="10:10" x14ac:dyDescent="0.3">
      <c r="J23878"/>
    </row>
    <row r="23879" spans="10:10" x14ac:dyDescent="0.3">
      <c r="J23879"/>
    </row>
    <row r="23880" spans="10:10" x14ac:dyDescent="0.3">
      <c r="J23880"/>
    </row>
    <row r="23881" spans="10:10" x14ac:dyDescent="0.3">
      <c r="J23881"/>
    </row>
    <row r="23882" spans="10:10" x14ac:dyDescent="0.3">
      <c r="J23882"/>
    </row>
    <row r="23883" spans="10:10" x14ac:dyDescent="0.3">
      <c r="J23883"/>
    </row>
    <row r="23884" spans="10:10" x14ac:dyDescent="0.3">
      <c r="J23884"/>
    </row>
    <row r="23885" spans="10:10" x14ac:dyDescent="0.3">
      <c r="J23885"/>
    </row>
    <row r="23886" spans="10:10" x14ac:dyDescent="0.3">
      <c r="J23886"/>
    </row>
    <row r="23887" spans="10:10" x14ac:dyDescent="0.3">
      <c r="J23887"/>
    </row>
    <row r="23888" spans="10:10" x14ac:dyDescent="0.3">
      <c r="J23888"/>
    </row>
    <row r="23889" spans="10:10" x14ac:dyDescent="0.3">
      <c r="J23889"/>
    </row>
    <row r="23890" spans="10:10" x14ac:dyDescent="0.3">
      <c r="J23890"/>
    </row>
    <row r="23891" spans="10:10" x14ac:dyDescent="0.3">
      <c r="J23891"/>
    </row>
    <row r="23892" spans="10:10" x14ac:dyDescent="0.3">
      <c r="J23892"/>
    </row>
    <row r="23893" spans="10:10" x14ac:dyDescent="0.3">
      <c r="J23893"/>
    </row>
    <row r="23894" spans="10:10" x14ac:dyDescent="0.3">
      <c r="J23894"/>
    </row>
    <row r="23895" spans="10:10" x14ac:dyDescent="0.3">
      <c r="J23895"/>
    </row>
    <row r="23896" spans="10:10" x14ac:dyDescent="0.3">
      <c r="J23896"/>
    </row>
    <row r="23897" spans="10:10" x14ac:dyDescent="0.3">
      <c r="J23897"/>
    </row>
    <row r="23898" spans="10:10" x14ac:dyDescent="0.3">
      <c r="J23898"/>
    </row>
    <row r="23899" spans="10:10" x14ac:dyDescent="0.3">
      <c r="J23899"/>
    </row>
    <row r="23900" spans="10:10" x14ac:dyDescent="0.3">
      <c r="J23900"/>
    </row>
    <row r="23901" spans="10:10" x14ac:dyDescent="0.3">
      <c r="J23901"/>
    </row>
    <row r="23902" spans="10:10" x14ac:dyDescent="0.3">
      <c r="J23902"/>
    </row>
    <row r="23903" spans="10:10" x14ac:dyDescent="0.3">
      <c r="J23903"/>
    </row>
    <row r="23904" spans="10:10" x14ac:dyDescent="0.3">
      <c r="J23904"/>
    </row>
    <row r="23905" spans="10:10" x14ac:dyDescent="0.3">
      <c r="J23905"/>
    </row>
    <row r="23906" spans="10:10" x14ac:dyDescent="0.3">
      <c r="J23906"/>
    </row>
    <row r="23907" spans="10:10" x14ac:dyDescent="0.3">
      <c r="J23907"/>
    </row>
    <row r="23908" spans="10:10" x14ac:dyDescent="0.3">
      <c r="J23908"/>
    </row>
    <row r="23909" spans="10:10" x14ac:dyDescent="0.3">
      <c r="J23909"/>
    </row>
    <row r="23910" spans="10:10" x14ac:dyDescent="0.3">
      <c r="J23910"/>
    </row>
    <row r="23911" spans="10:10" x14ac:dyDescent="0.3">
      <c r="J23911"/>
    </row>
    <row r="23912" spans="10:10" x14ac:dyDescent="0.3">
      <c r="J23912"/>
    </row>
    <row r="23913" spans="10:10" x14ac:dyDescent="0.3">
      <c r="J23913"/>
    </row>
    <row r="23914" spans="10:10" x14ac:dyDescent="0.3">
      <c r="J23914"/>
    </row>
    <row r="23915" spans="10:10" x14ac:dyDescent="0.3">
      <c r="J23915"/>
    </row>
    <row r="23916" spans="10:10" x14ac:dyDescent="0.3">
      <c r="J23916"/>
    </row>
    <row r="23917" spans="10:10" x14ac:dyDescent="0.3">
      <c r="J23917"/>
    </row>
    <row r="23918" spans="10:10" x14ac:dyDescent="0.3">
      <c r="J23918"/>
    </row>
    <row r="23919" spans="10:10" x14ac:dyDescent="0.3">
      <c r="J23919"/>
    </row>
    <row r="23920" spans="10:10" x14ac:dyDescent="0.3">
      <c r="J23920"/>
    </row>
    <row r="23921" spans="10:10" x14ac:dyDescent="0.3">
      <c r="J23921"/>
    </row>
    <row r="23922" spans="10:10" x14ac:dyDescent="0.3">
      <c r="J23922"/>
    </row>
    <row r="23923" spans="10:10" x14ac:dyDescent="0.3">
      <c r="J23923"/>
    </row>
    <row r="23924" spans="10:10" x14ac:dyDescent="0.3">
      <c r="J23924"/>
    </row>
    <row r="23925" spans="10:10" x14ac:dyDescent="0.3">
      <c r="J23925"/>
    </row>
    <row r="23926" spans="10:10" x14ac:dyDescent="0.3">
      <c r="J23926"/>
    </row>
    <row r="23927" spans="10:10" x14ac:dyDescent="0.3">
      <c r="J23927"/>
    </row>
    <row r="23928" spans="10:10" x14ac:dyDescent="0.3">
      <c r="J23928"/>
    </row>
    <row r="23929" spans="10:10" x14ac:dyDescent="0.3">
      <c r="J23929"/>
    </row>
    <row r="23930" spans="10:10" x14ac:dyDescent="0.3">
      <c r="J23930"/>
    </row>
    <row r="23931" spans="10:10" x14ac:dyDescent="0.3">
      <c r="J23931"/>
    </row>
    <row r="23932" spans="10:10" x14ac:dyDescent="0.3">
      <c r="J23932"/>
    </row>
    <row r="23933" spans="10:10" x14ac:dyDescent="0.3">
      <c r="J23933"/>
    </row>
    <row r="23934" spans="10:10" x14ac:dyDescent="0.3">
      <c r="J23934"/>
    </row>
    <row r="23935" spans="10:10" x14ac:dyDescent="0.3">
      <c r="J23935"/>
    </row>
    <row r="23936" spans="10:10" x14ac:dyDescent="0.3">
      <c r="J23936"/>
    </row>
    <row r="23937" spans="10:10" x14ac:dyDescent="0.3">
      <c r="J23937"/>
    </row>
    <row r="23938" spans="10:10" x14ac:dyDescent="0.3">
      <c r="J23938"/>
    </row>
    <row r="23939" spans="10:10" x14ac:dyDescent="0.3">
      <c r="J23939"/>
    </row>
    <row r="23940" spans="10:10" x14ac:dyDescent="0.3">
      <c r="J23940"/>
    </row>
    <row r="23941" spans="10:10" x14ac:dyDescent="0.3">
      <c r="J23941"/>
    </row>
    <row r="23942" spans="10:10" x14ac:dyDescent="0.3">
      <c r="J23942"/>
    </row>
    <row r="23943" spans="10:10" x14ac:dyDescent="0.3">
      <c r="J23943"/>
    </row>
    <row r="23944" spans="10:10" x14ac:dyDescent="0.3">
      <c r="J23944"/>
    </row>
    <row r="23945" spans="10:10" x14ac:dyDescent="0.3">
      <c r="J23945"/>
    </row>
    <row r="23946" spans="10:10" x14ac:dyDescent="0.3">
      <c r="J23946"/>
    </row>
    <row r="23947" spans="10:10" x14ac:dyDescent="0.3">
      <c r="J23947"/>
    </row>
    <row r="23948" spans="10:10" x14ac:dyDescent="0.3">
      <c r="J23948"/>
    </row>
    <row r="23949" spans="10:10" x14ac:dyDescent="0.3">
      <c r="J23949"/>
    </row>
    <row r="23950" spans="10:10" x14ac:dyDescent="0.3">
      <c r="J23950"/>
    </row>
    <row r="23951" spans="10:10" x14ac:dyDescent="0.3">
      <c r="J23951"/>
    </row>
    <row r="23952" spans="10:10" x14ac:dyDescent="0.3">
      <c r="J23952"/>
    </row>
    <row r="23953" spans="10:10" x14ac:dyDescent="0.3">
      <c r="J23953"/>
    </row>
    <row r="23954" spans="10:10" x14ac:dyDescent="0.3">
      <c r="J23954"/>
    </row>
    <row r="23955" spans="10:10" x14ac:dyDescent="0.3">
      <c r="J23955"/>
    </row>
    <row r="23956" spans="10:10" x14ac:dyDescent="0.3">
      <c r="J23956"/>
    </row>
    <row r="23957" spans="10:10" x14ac:dyDescent="0.3">
      <c r="J23957"/>
    </row>
    <row r="23958" spans="10:10" x14ac:dyDescent="0.3">
      <c r="J23958"/>
    </row>
    <row r="23959" spans="10:10" x14ac:dyDescent="0.3">
      <c r="J23959"/>
    </row>
    <row r="23960" spans="10:10" x14ac:dyDescent="0.3">
      <c r="J23960"/>
    </row>
    <row r="23961" spans="10:10" x14ac:dyDescent="0.3">
      <c r="J23961"/>
    </row>
    <row r="23962" spans="10:10" x14ac:dyDescent="0.3">
      <c r="J23962"/>
    </row>
    <row r="23963" spans="10:10" x14ac:dyDescent="0.3">
      <c r="J23963"/>
    </row>
    <row r="23964" spans="10:10" x14ac:dyDescent="0.3">
      <c r="J23964"/>
    </row>
    <row r="23965" spans="10:10" x14ac:dyDescent="0.3">
      <c r="J23965"/>
    </row>
    <row r="23966" spans="10:10" x14ac:dyDescent="0.3">
      <c r="J23966"/>
    </row>
    <row r="23967" spans="10:10" x14ac:dyDescent="0.3">
      <c r="J23967"/>
    </row>
    <row r="23968" spans="10:10" x14ac:dyDescent="0.3">
      <c r="J23968"/>
    </row>
    <row r="23969" spans="10:10" x14ac:dyDescent="0.3">
      <c r="J23969"/>
    </row>
    <row r="23970" spans="10:10" x14ac:dyDescent="0.3">
      <c r="J23970"/>
    </row>
    <row r="23971" spans="10:10" x14ac:dyDescent="0.3">
      <c r="J23971"/>
    </row>
    <row r="23972" spans="10:10" x14ac:dyDescent="0.3">
      <c r="J23972"/>
    </row>
    <row r="23973" spans="10:10" x14ac:dyDescent="0.3">
      <c r="J23973"/>
    </row>
    <row r="23974" spans="10:10" x14ac:dyDescent="0.3">
      <c r="J23974"/>
    </row>
    <row r="23975" spans="10:10" x14ac:dyDescent="0.3">
      <c r="J23975"/>
    </row>
    <row r="23976" spans="10:10" x14ac:dyDescent="0.3">
      <c r="J23976"/>
    </row>
    <row r="23977" spans="10:10" x14ac:dyDescent="0.3">
      <c r="J23977"/>
    </row>
    <row r="23978" spans="10:10" x14ac:dyDescent="0.3">
      <c r="J23978"/>
    </row>
    <row r="23979" spans="10:10" x14ac:dyDescent="0.3">
      <c r="J23979"/>
    </row>
    <row r="23980" spans="10:10" x14ac:dyDescent="0.3">
      <c r="J23980"/>
    </row>
    <row r="23981" spans="10:10" x14ac:dyDescent="0.3">
      <c r="J23981"/>
    </row>
    <row r="23982" spans="10:10" x14ac:dyDescent="0.3">
      <c r="J23982"/>
    </row>
    <row r="23983" spans="10:10" x14ac:dyDescent="0.3">
      <c r="J23983"/>
    </row>
    <row r="23984" spans="10:10" x14ac:dyDescent="0.3">
      <c r="J23984"/>
    </row>
    <row r="23985" spans="10:10" x14ac:dyDescent="0.3">
      <c r="J23985"/>
    </row>
    <row r="23986" spans="10:10" x14ac:dyDescent="0.3">
      <c r="J23986"/>
    </row>
    <row r="23987" spans="10:10" x14ac:dyDescent="0.3">
      <c r="J23987"/>
    </row>
    <row r="23988" spans="10:10" x14ac:dyDescent="0.3">
      <c r="J23988"/>
    </row>
    <row r="23989" spans="10:10" x14ac:dyDescent="0.3">
      <c r="J23989"/>
    </row>
    <row r="23990" spans="10:10" x14ac:dyDescent="0.3">
      <c r="J23990"/>
    </row>
    <row r="23991" spans="10:10" x14ac:dyDescent="0.3">
      <c r="J23991"/>
    </row>
    <row r="23992" spans="10:10" x14ac:dyDescent="0.3">
      <c r="J23992"/>
    </row>
    <row r="23993" spans="10:10" x14ac:dyDescent="0.3">
      <c r="J23993"/>
    </row>
    <row r="23994" spans="10:10" x14ac:dyDescent="0.3">
      <c r="J23994"/>
    </row>
    <row r="23995" spans="10:10" x14ac:dyDescent="0.3">
      <c r="J23995"/>
    </row>
    <row r="23996" spans="10:10" x14ac:dyDescent="0.3">
      <c r="J23996"/>
    </row>
    <row r="23997" spans="10:10" x14ac:dyDescent="0.3">
      <c r="J23997"/>
    </row>
    <row r="23998" spans="10:10" x14ac:dyDescent="0.3">
      <c r="J23998"/>
    </row>
    <row r="23999" spans="10:10" x14ac:dyDescent="0.3">
      <c r="J23999"/>
    </row>
    <row r="24000" spans="10:10" x14ac:dyDescent="0.3">
      <c r="J24000"/>
    </row>
    <row r="24001" spans="10:10" x14ac:dyDescent="0.3">
      <c r="J24001"/>
    </row>
    <row r="24002" spans="10:10" x14ac:dyDescent="0.3">
      <c r="J24002"/>
    </row>
    <row r="24003" spans="10:10" x14ac:dyDescent="0.3">
      <c r="J24003"/>
    </row>
    <row r="24004" spans="10:10" x14ac:dyDescent="0.3">
      <c r="J24004"/>
    </row>
    <row r="24005" spans="10:10" x14ac:dyDescent="0.3">
      <c r="J24005"/>
    </row>
    <row r="24006" spans="10:10" x14ac:dyDescent="0.3">
      <c r="J24006"/>
    </row>
    <row r="24007" spans="10:10" x14ac:dyDescent="0.3">
      <c r="J24007"/>
    </row>
    <row r="24008" spans="10:10" x14ac:dyDescent="0.3">
      <c r="J24008"/>
    </row>
    <row r="24009" spans="10:10" x14ac:dyDescent="0.3">
      <c r="J24009"/>
    </row>
    <row r="24010" spans="10:10" x14ac:dyDescent="0.3">
      <c r="J24010"/>
    </row>
    <row r="24011" spans="10:10" x14ac:dyDescent="0.3">
      <c r="J24011"/>
    </row>
    <row r="24012" spans="10:10" x14ac:dyDescent="0.3">
      <c r="J24012"/>
    </row>
    <row r="24013" spans="10:10" x14ac:dyDescent="0.3">
      <c r="J24013"/>
    </row>
    <row r="24014" spans="10:10" x14ac:dyDescent="0.3">
      <c r="J24014"/>
    </row>
    <row r="24015" spans="10:10" x14ac:dyDescent="0.3">
      <c r="J24015"/>
    </row>
    <row r="24016" spans="10:10" x14ac:dyDescent="0.3">
      <c r="J24016"/>
    </row>
    <row r="24017" spans="10:10" x14ac:dyDescent="0.3">
      <c r="J24017"/>
    </row>
    <row r="24018" spans="10:10" x14ac:dyDescent="0.3">
      <c r="J24018"/>
    </row>
    <row r="24019" spans="10:10" x14ac:dyDescent="0.3">
      <c r="J24019"/>
    </row>
    <row r="24020" spans="10:10" x14ac:dyDescent="0.3">
      <c r="J24020"/>
    </row>
    <row r="24021" spans="10:10" x14ac:dyDescent="0.3">
      <c r="J24021"/>
    </row>
    <row r="24022" spans="10:10" x14ac:dyDescent="0.3">
      <c r="J24022"/>
    </row>
    <row r="24023" spans="10:10" x14ac:dyDescent="0.3">
      <c r="J24023"/>
    </row>
    <row r="24024" spans="10:10" x14ac:dyDescent="0.3">
      <c r="J24024"/>
    </row>
    <row r="24025" spans="10:10" x14ac:dyDescent="0.3">
      <c r="J24025"/>
    </row>
    <row r="24026" spans="10:10" x14ac:dyDescent="0.3">
      <c r="J24026"/>
    </row>
    <row r="24027" spans="10:10" x14ac:dyDescent="0.3">
      <c r="J24027"/>
    </row>
    <row r="24028" spans="10:10" x14ac:dyDescent="0.3">
      <c r="J24028"/>
    </row>
    <row r="24029" spans="10:10" x14ac:dyDescent="0.3">
      <c r="J24029"/>
    </row>
    <row r="24030" spans="10:10" x14ac:dyDescent="0.3">
      <c r="J24030"/>
    </row>
    <row r="24031" spans="10:10" x14ac:dyDescent="0.3">
      <c r="J24031"/>
    </row>
    <row r="24032" spans="10:10" x14ac:dyDescent="0.3">
      <c r="J24032"/>
    </row>
    <row r="24033" spans="10:10" x14ac:dyDescent="0.3">
      <c r="J24033"/>
    </row>
    <row r="24034" spans="10:10" x14ac:dyDescent="0.3">
      <c r="J24034"/>
    </row>
    <row r="24035" spans="10:10" x14ac:dyDescent="0.3">
      <c r="J24035"/>
    </row>
    <row r="24036" spans="10:10" x14ac:dyDescent="0.3">
      <c r="J24036"/>
    </row>
    <row r="24037" spans="10:10" x14ac:dyDescent="0.3">
      <c r="J24037"/>
    </row>
    <row r="24038" spans="10:10" x14ac:dyDescent="0.3">
      <c r="J24038"/>
    </row>
    <row r="24039" spans="10:10" x14ac:dyDescent="0.3">
      <c r="J24039"/>
    </row>
    <row r="24040" spans="10:10" x14ac:dyDescent="0.3">
      <c r="J24040"/>
    </row>
    <row r="24041" spans="10:10" x14ac:dyDescent="0.3">
      <c r="J24041"/>
    </row>
    <row r="24042" spans="10:10" x14ac:dyDescent="0.3">
      <c r="J24042"/>
    </row>
    <row r="24043" spans="10:10" x14ac:dyDescent="0.3">
      <c r="J24043"/>
    </row>
    <row r="24044" spans="10:10" x14ac:dyDescent="0.3">
      <c r="J24044"/>
    </row>
    <row r="24045" spans="10:10" x14ac:dyDescent="0.3">
      <c r="J24045"/>
    </row>
    <row r="24046" spans="10:10" x14ac:dyDescent="0.3">
      <c r="J24046"/>
    </row>
    <row r="24047" spans="10:10" x14ac:dyDescent="0.3">
      <c r="J24047"/>
    </row>
    <row r="24048" spans="10:10" x14ac:dyDescent="0.3">
      <c r="J24048"/>
    </row>
    <row r="24049" spans="10:10" x14ac:dyDescent="0.3">
      <c r="J24049"/>
    </row>
    <row r="24050" spans="10:10" x14ac:dyDescent="0.3">
      <c r="J24050"/>
    </row>
    <row r="24051" spans="10:10" x14ac:dyDescent="0.3">
      <c r="J24051"/>
    </row>
    <row r="24052" spans="10:10" x14ac:dyDescent="0.3">
      <c r="J24052"/>
    </row>
    <row r="24053" spans="10:10" x14ac:dyDescent="0.3">
      <c r="J24053"/>
    </row>
    <row r="24054" spans="10:10" x14ac:dyDescent="0.3">
      <c r="J24054"/>
    </row>
    <row r="24055" spans="10:10" x14ac:dyDescent="0.3">
      <c r="J24055"/>
    </row>
    <row r="24056" spans="10:10" x14ac:dyDescent="0.3">
      <c r="J24056"/>
    </row>
    <row r="24057" spans="10:10" x14ac:dyDescent="0.3">
      <c r="J24057"/>
    </row>
    <row r="24058" spans="10:10" x14ac:dyDescent="0.3">
      <c r="J24058"/>
    </row>
    <row r="24059" spans="10:10" x14ac:dyDescent="0.3">
      <c r="J24059"/>
    </row>
    <row r="24060" spans="10:10" x14ac:dyDescent="0.3">
      <c r="J24060"/>
    </row>
    <row r="24061" spans="10:10" x14ac:dyDescent="0.3">
      <c r="J24061"/>
    </row>
    <row r="24062" spans="10:10" x14ac:dyDescent="0.3">
      <c r="J24062"/>
    </row>
    <row r="24063" spans="10:10" x14ac:dyDescent="0.3">
      <c r="J24063"/>
    </row>
    <row r="24064" spans="10:10" x14ac:dyDescent="0.3">
      <c r="J24064"/>
    </row>
    <row r="24065" spans="10:10" x14ac:dyDescent="0.3">
      <c r="J24065"/>
    </row>
    <row r="24066" spans="10:10" x14ac:dyDescent="0.3">
      <c r="J24066"/>
    </row>
    <row r="24067" spans="10:10" x14ac:dyDescent="0.3">
      <c r="J24067"/>
    </row>
    <row r="24068" spans="10:10" x14ac:dyDescent="0.3">
      <c r="J24068"/>
    </row>
    <row r="24069" spans="10:10" x14ac:dyDescent="0.3">
      <c r="J24069"/>
    </row>
    <row r="24070" spans="10:10" x14ac:dyDescent="0.3">
      <c r="J24070"/>
    </row>
    <row r="24071" spans="10:10" x14ac:dyDescent="0.3">
      <c r="J24071"/>
    </row>
    <row r="24072" spans="10:10" x14ac:dyDescent="0.3">
      <c r="J24072"/>
    </row>
    <row r="24073" spans="10:10" x14ac:dyDescent="0.3">
      <c r="J24073"/>
    </row>
    <row r="24074" spans="10:10" x14ac:dyDescent="0.3">
      <c r="J24074"/>
    </row>
    <row r="24075" spans="10:10" x14ac:dyDescent="0.3">
      <c r="J24075"/>
    </row>
    <row r="24076" spans="10:10" x14ac:dyDescent="0.3">
      <c r="J24076"/>
    </row>
    <row r="24077" spans="10:10" x14ac:dyDescent="0.3">
      <c r="J24077"/>
    </row>
    <row r="24078" spans="10:10" x14ac:dyDescent="0.3">
      <c r="J24078"/>
    </row>
    <row r="24079" spans="10:10" x14ac:dyDescent="0.3">
      <c r="J24079"/>
    </row>
    <row r="24080" spans="10:10" x14ac:dyDescent="0.3">
      <c r="J24080"/>
    </row>
    <row r="24081" spans="10:10" x14ac:dyDescent="0.3">
      <c r="J24081"/>
    </row>
    <row r="24082" spans="10:10" x14ac:dyDescent="0.3">
      <c r="J24082"/>
    </row>
    <row r="24083" spans="10:10" x14ac:dyDescent="0.3">
      <c r="J24083"/>
    </row>
    <row r="24084" spans="10:10" x14ac:dyDescent="0.3">
      <c r="J24084"/>
    </row>
    <row r="24085" spans="10:10" x14ac:dyDescent="0.3">
      <c r="J24085"/>
    </row>
    <row r="24086" spans="10:10" x14ac:dyDescent="0.3">
      <c r="J24086"/>
    </row>
    <row r="24087" spans="10:10" x14ac:dyDescent="0.3">
      <c r="J24087"/>
    </row>
    <row r="24088" spans="10:10" x14ac:dyDescent="0.3">
      <c r="J24088"/>
    </row>
    <row r="24089" spans="10:10" x14ac:dyDescent="0.3">
      <c r="J24089"/>
    </row>
    <row r="24090" spans="10:10" x14ac:dyDescent="0.3">
      <c r="J24090"/>
    </row>
    <row r="24091" spans="10:10" x14ac:dyDescent="0.3">
      <c r="J24091"/>
    </row>
    <row r="24092" spans="10:10" x14ac:dyDescent="0.3">
      <c r="J24092"/>
    </row>
    <row r="24093" spans="10:10" x14ac:dyDescent="0.3">
      <c r="J24093"/>
    </row>
    <row r="24094" spans="10:10" x14ac:dyDescent="0.3">
      <c r="J24094"/>
    </row>
    <row r="24095" spans="10:10" x14ac:dyDescent="0.3">
      <c r="J24095"/>
    </row>
    <row r="24096" spans="10:10" x14ac:dyDescent="0.3">
      <c r="J24096"/>
    </row>
    <row r="24097" spans="10:10" x14ac:dyDescent="0.3">
      <c r="J24097"/>
    </row>
    <row r="24098" spans="10:10" x14ac:dyDescent="0.3">
      <c r="J24098"/>
    </row>
    <row r="24099" spans="10:10" x14ac:dyDescent="0.3">
      <c r="J24099"/>
    </row>
    <row r="24100" spans="10:10" x14ac:dyDescent="0.3">
      <c r="J24100"/>
    </row>
    <row r="24101" spans="10:10" x14ac:dyDescent="0.3">
      <c r="J24101"/>
    </row>
    <row r="24102" spans="10:10" x14ac:dyDescent="0.3">
      <c r="J24102"/>
    </row>
    <row r="24103" spans="10:10" x14ac:dyDescent="0.3">
      <c r="J24103"/>
    </row>
    <row r="24104" spans="10:10" x14ac:dyDescent="0.3">
      <c r="J24104"/>
    </row>
    <row r="24105" spans="10:10" x14ac:dyDescent="0.3">
      <c r="J24105"/>
    </row>
    <row r="24106" spans="10:10" x14ac:dyDescent="0.3">
      <c r="J24106"/>
    </row>
    <row r="24107" spans="10:10" x14ac:dyDescent="0.3">
      <c r="J24107"/>
    </row>
    <row r="24108" spans="10:10" x14ac:dyDescent="0.3">
      <c r="J24108"/>
    </row>
    <row r="24109" spans="10:10" x14ac:dyDescent="0.3">
      <c r="J24109"/>
    </row>
    <row r="24110" spans="10:10" x14ac:dyDescent="0.3">
      <c r="J24110"/>
    </row>
    <row r="24111" spans="10:10" x14ac:dyDescent="0.3">
      <c r="J24111"/>
    </row>
    <row r="24112" spans="10:10" x14ac:dyDescent="0.3">
      <c r="J24112"/>
    </row>
    <row r="24113" spans="10:10" x14ac:dyDescent="0.3">
      <c r="J24113"/>
    </row>
    <row r="24114" spans="10:10" x14ac:dyDescent="0.3">
      <c r="J24114"/>
    </row>
    <row r="24115" spans="10:10" x14ac:dyDescent="0.3">
      <c r="J24115"/>
    </row>
    <row r="24116" spans="10:10" x14ac:dyDescent="0.3">
      <c r="J24116"/>
    </row>
    <row r="24117" spans="10:10" x14ac:dyDescent="0.3">
      <c r="J24117"/>
    </row>
    <row r="24118" spans="10:10" x14ac:dyDescent="0.3">
      <c r="J24118"/>
    </row>
    <row r="24119" spans="10:10" x14ac:dyDescent="0.3">
      <c r="J24119"/>
    </row>
    <row r="24120" spans="10:10" x14ac:dyDescent="0.3">
      <c r="J24120"/>
    </row>
    <row r="24121" spans="10:10" x14ac:dyDescent="0.3">
      <c r="J24121"/>
    </row>
    <row r="24122" spans="10:10" x14ac:dyDescent="0.3">
      <c r="J24122"/>
    </row>
    <row r="24123" spans="10:10" x14ac:dyDescent="0.3">
      <c r="J24123"/>
    </row>
    <row r="24124" spans="10:10" x14ac:dyDescent="0.3">
      <c r="J24124"/>
    </row>
    <row r="24125" spans="10:10" x14ac:dyDescent="0.3">
      <c r="J24125"/>
    </row>
    <row r="24126" spans="10:10" x14ac:dyDescent="0.3">
      <c r="J24126"/>
    </row>
    <row r="24127" spans="10:10" x14ac:dyDescent="0.3">
      <c r="J24127"/>
    </row>
    <row r="24128" spans="10:10" x14ac:dyDescent="0.3">
      <c r="J24128"/>
    </row>
    <row r="24129" spans="10:10" x14ac:dyDescent="0.3">
      <c r="J24129"/>
    </row>
    <row r="24130" spans="10:10" x14ac:dyDescent="0.3">
      <c r="J24130"/>
    </row>
    <row r="24131" spans="10:10" x14ac:dyDescent="0.3">
      <c r="J24131"/>
    </row>
    <row r="24132" spans="10:10" x14ac:dyDescent="0.3">
      <c r="J24132"/>
    </row>
    <row r="24133" spans="10:10" x14ac:dyDescent="0.3">
      <c r="J24133"/>
    </row>
    <row r="24134" spans="10:10" x14ac:dyDescent="0.3">
      <c r="J24134"/>
    </row>
    <row r="24135" spans="10:10" x14ac:dyDescent="0.3">
      <c r="J24135"/>
    </row>
    <row r="24136" spans="10:10" x14ac:dyDescent="0.3">
      <c r="J24136"/>
    </row>
    <row r="24137" spans="10:10" x14ac:dyDescent="0.3">
      <c r="J24137"/>
    </row>
    <row r="24138" spans="10:10" x14ac:dyDescent="0.3">
      <c r="J24138"/>
    </row>
    <row r="24139" spans="10:10" x14ac:dyDescent="0.3">
      <c r="J24139"/>
    </row>
    <row r="24140" spans="10:10" x14ac:dyDescent="0.3">
      <c r="J24140"/>
    </row>
    <row r="24141" spans="10:10" x14ac:dyDescent="0.3">
      <c r="J24141"/>
    </row>
    <row r="24142" spans="10:10" x14ac:dyDescent="0.3">
      <c r="J24142"/>
    </row>
    <row r="24143" spans="10:10" x14ac:dyDescent="0.3">
      <c r="J24143"/>
    </row>
    <row r="24144" spans="10:10" x14ac:dyDescent="0.3">
      <c r="J24144"/>
    </row>
    <row r="24145" spans="10:10" x14ac:dyDescent="0.3">
      <c r="J24145"/>
    </row>
    <row r="24146" spans="10:10" x14ac:dyDescent="0.3">
      <c r="J24146"/>
    </row>
    <row r="24147" spans="10:10" x14ac:dyDescent="0.3">
      <c r="J24147"/>
    </row>
    <row r="24148" spans="10:10" x14ac:dyDescent="0.3">
      <c r="J24148"/>
    </row>
    <row r="24149" spans="10:10" x14ac:dyDescent="0.3">
      <c r="J24149"/>
    </row>
    <row r="24150" spans="10:10" x14ac:dyDescent="0.3">
      <c r="J24150"/>
    </row>
    <row r="24151" spans="10:10" x14ac:dyDescent="0.3">
      <c r="J24151"/>
    </row>
    <row r="24152" spans="10:10" x14ac:dyDescent="0.3">
      <c r="J24152"/>
    </row>
    <row r="24153" spans="10:10" x14ac:dyDescent="0.3">
      <c r="J24153"/>
    </row>
    <row r="24154" spans="10:10" x14ac:dyDescent="0.3">
      <c r="J24154"/>
    </row>
    <row r="24155" spans="10:10" x14ac:dyDescent="0.3">
      <c r="J24155"/>
    </row>
    <row r="24156" spans="10:10" x14ac:dyDescent="0.3">
      <c r="J24156"/>
    </row>
    <row r="24157" spans="10:10" x14ac:dyDescent="0.3">
      <c r="J24157"/>
    </row>
    <row r="24158" spans="10:10" x14ac:dyDescent="0.3">
      <c r="J24158"/>
    </row>
    <row r="24159" spans="10:10" x14ac:dyDescent="0.3">
      <c r="J24159"/>
    </row>
    <row r="24160" spans="10:10" x14ac:dyDescent="0.3">
      <c r="J24160"/>
    </row>
    <row r="24161" spans="10:10" x14ac:dyDescent="0.3">
      <c r="J24161"/>
    </row>
    <row r="24162" spans="10:10" x14ac:dyDescent="0.3">
      <c r="J24162"/>
    </row>
    <row r="24163" spans="10:10" x14ac:dyDescent="0.3">
      <c r="J24163"/>
    </row>
    <row r="24164" spans="10:10" x14ac:dyDescent="0.3">
      <c r="J24164"/>
    </row>
    <row r="24165" spans="10:10" x14ac:dyDescent="0.3">
      <c r="J24165"/>
    </row>
    <row r="24166" spans="10:10" x14ac:dyDescent="0.3">
      <c r="J24166"/>
    </row>
    <row r="24167" spans="10:10" x14ac:dyDescent="0.3">
      <c r="J24167"/>
    </row>
    <row r="24168" spans="10:10" x14ac:dyDescent="0.3">
      <c r="J24168"/>
    </row>
    <row r="24169" spans="10:10" x14ac:dyDescent="0.3">
      <c r="J24169"/>
    </row>
    <row r="24170" spans="10:10" x14ac:dyDescent="0.3">
      <c r="J24170"/>
    </row>
    <row r="24171" spans="10:10" x14ac:dyDescent="0.3">
      <c r="J24171"/>
    </row>
    <row r="24172" spans="10:10" x14ac:dyDescent="0.3">
      <c r="J24172"/>
    </row>
    <row r="24173" spans="10:10" x14ac:dyDescent="0.3">
      <c r="J24173"/>
    </row>
    <row r="24174" spans="10:10" x14ac:dyDescent="0.3">
      <c r="J24174"/>
    </row>
    <row r="24175" spans="10:10" x14ac:dyDescent="0.3">
      <c r="J24175"/>
    </row>
    <row r="24176" spans="10:10" x14ac:dyDescent="0.3">
      <c r="J24176"/>
    </row>
    <row r="24177" spans="10:10" x14ac:dyDescent="0.3">
      <c r="J24177"/>
    </row>
    <row r="24178" spans="10:10" x14ac:dyDescent="0.3">
      <c r="J24178"/>
    </row>
    <row r="24179" spans="10:10" x14ac:dyDescent="0.3">
      <c r="J24179"/>
    </row>
    <row r="24180" spans="10:10" x14ac:dyDescent="0.3">
      <c r="J24180"/>
    </row>
    <row r="24181" spans="10:10" x14ac:dyDescent="0.3">
      <c r="J24181"/>
    </row>
    <row r="24182" spans="10:10" x14ac:dyDescent="0.3">
      <c r="J24182"/>
    </row>
    <row r="24183" spans="10:10" x14ac:dyDescent="0.3">
      <c r="J24183"/>
    </row>
    <row r="24184" spans="10:10" x14ac:dyDescent="0.3">
      <c r="J24184"/>
    </row>
    <row r="24185" spans="10:10" x14ac:dyDescent="0.3">
      <c r="J24185"/>
    </row>
    <row r="24186" spans="10:10" x14ac:dyDescent="0.3">
      <c r="J24186"/>
    </row>
    <row r="24187" spans="10:10" x14ac:dyDescent="0.3">
      <c r="J24187"/>
    </row>
    <row r="24188" spans="10:10" x14ac:dyDescent="0.3">
      <c r="J24188"/>
    </row>
    <row r="24189" spans="10:10" x14ac:dyDescent="0.3">
      <c r="J24189"/>
    </row>
    <row r="24190" spans="10:10" x14ac:dyDescent="0.3">
      <c r="J24190"/>
    </row>
    <row r="24191" spans="10:10" x14ac:dyDescent="0.3">
      <c r="J24191"/>
    </row>
    <row r="24192" spans="10:10" x14ac:dyDescent="0.3">
      <c r="J24192"/>
    </row>
    <row r="24193" spans="10:10" x14ac:dyDescent="0.3">
      <c r="J24193"/>
    </row>
    <row r="24194" spans="10:10" x14ac:dyDescent="0.3">
      <c r="J24194"/>
    </row>
    <row r="24195" spans="10:10" x14ac:dyDescent="0.3">
      <c r="J24195"/>
    </row>
    <row r="24196" spans="10:10" x14ac:dyDescent="0.3">
      <c r="J24196"/>
    </row>
    <row r="24197" spans="10:10" x14ac:dyDescent="0.3">
      <c r="J24197"/>
    </row>
    <row r="24198" spans="10:10" x14ac:dyDescent="0.3">
      <c r="J24198"/>
    </row>
    <row r="24199" spans="10:10" x14ac:dyDescent="0.3">
      <c r="J24199"/>
    </row>
    <row r="24200" spans="10:10" x14ac:dyDescent="0.3">
      <c r="J24200"/>
    </row>
    <row r="24201" spans="10:10" x14ac:dyDescent="0.3">
      <c r="J24201"/>
    </row>
    <row r="24202" spans="10:10" x14ac:dyDescent="0.3">
      <c r="J24202"/>
    </row>
    <row r="24203" spans="10:10" x14ac:dyDescent="0.3">
      <c r="J24203"/>
    </row>
    <row r="24204" spans="10:10" x14ac:dyDescent="0.3">
      <c r="J24204"/>
    </row>
    <row r="24205" spans="10:10" x14ac:dyDescent="0.3">
      <c r="J24205"/>
    </row>
    <row r="24206" spans="10:10" x14ac:dyDescent="0.3">
      <c r="J24206"/>
    </row>
    <row r="24207" spans="10:10" x14ac:dyDescent="0.3">
      <c r="J24207"/>
    </row>
    <row r="24208" spans="10:10" x14ac:dyDescent="0.3">
      <c r="J24208"/>
    </row>
    <row r="24209" spans="10:10" x14ac:dyDescent="0.3">
      <c r="J24209"/>
    </row>
    <row r="24210" spans="10:10" x14ac:dyDescent="0.3">
      <c r="J24210"/>
    </row>
    <row r="24211" spans="10:10" x14ac:dyDescent="0.3">
      <c r="J24211"/>
    </row>
    <row r="24212" spans="10:10" x14ac:dyDescent="0.3">
      <c r="J24212"/>
    </row>
    <row r="24213" spans="10:10" x14ac:dyDescent="0.3">
      <c r="J24213"/>
    </row>
    <row r="24214" spans="10:10" x14ac:dyDescent="0.3">
      <c r="J24214"/>
    </row>
    <row r="24215" spans="10:10" x14ac:dyDescent="0.3">
      <c r="J24215"/>
    </row>
    <row r="24216" spans="10:10" x14ac:dyDescent="0.3">
      <c r="J24216"/>
    </row>
    <row r="24217" spans="10:10" x14ac:dyDescent="0.3">
      <c r="J24217"/>
    </row>
    <row r="24218" spans="10:10" x14ac:dyDescent="0.3">
      <c r="J24218"/>
    </row>
    <row r="24219" spans="10:10" x14ac:dyDescent="0.3">
      <c r="J24219"/>
    </row>
    <row r="24220" spans="10:10" x14ac:dyDescent="0.3">
      <c r="J24220"/>
    </row>
    <row r="24221" spans="10:10" x14ac:dyDescent="0.3">
      <c r="J24221"/>
    </row>
    <row r="24222" spans="10:10" x14ac:dyDescent="0.3">
      <c r="J24222"/>
    </row>
    <row r="24223" spans="10:10" x14ac:dyDescent="0.3">
      <c r="J24223"/>
    </row>
    <row r="24224" spans="10:10" x14ac:dyDescent="0.3">
      <c r="J24224"/>
    </row>
    <row r="24225" spans="10:10" x14ac:dyDescent="0.3">
      <c r="J24225"/>
    </row>
    <row r="24226" spans="10:10" x14ac:dyDescent="0.3">
      <c r="J24226"/>
    </row>
    <row r="24227" spans="10:10" x14ac:dyDescent="0.3">
      <c r="J24227"/>
    </row>
    <row r="24228" spans="10:10" x14ac:dyDescent="0.3">
      <c r="J24228"/>
    </row>
    <row r="24229" spans="10:10" x14ac:dyDescent="0.3">
      <c r="J24229"/>
    </row>
    <row r="24230" spans="10:10" x14ac:dyDescent="0.3">
      <c r="J24230"/>
    </row>
    <row r="24231" spans="10:10" x14ac:dyDescent="0.3">
      <c r="J24231"/>
    </row>
    <row r="24232" spans="10:10" x14ac:dyDescent="0.3">
      <c r="J24232"/>
    </row>
    <row r="24233" spans="10:10" x14ac:dyDescent="0.3">
      <c r="J24233"/>
    </row>
    <row r="24234" spans="10:10" x14ac:dyDescent="0.3">
      <c r="J24234"/>
    </row>
    <row r="24235" spans="10:10" x14ac:dyDescent="0.3">
      <c r="J24235"/>
    </row>
    <row r="24236" spans="10:10" x14ac:dyDescent="0.3">
      <c r="J24236"/>
    </row>
    <row r="24237" spans="10:10" x14ac:dyDescent="0.3">
      <c r="J24237"/>
    </row>
    <row r="24238" spans="10:10" x14ac:dyDescent="0.3">
      <c r="J24238"/>
    </row>
    <row r="24239" spans="10:10" x14ac:dyDescent="0.3">
      <c r="J24239"/>
    </row>
    <row r="24240" spans="10:10" x14ac:dyDescent="0.3">
      <c r="J24240"/>
    </row>
    <row r="24241" spans="10:10" x14ac:dyDescent="0.3">
      <c r="J24241"/>
    </row>
    <row r="24242" spans="10:10" x14ac:dyDescent="0.3">
      <c r="J24242"/>
    </row>
    <row r="24243" spans="10:10" x14ac:dyDescent="0.3">
      <c r="J24243"/>
    </row>
    <row r="24244" spans="10:10" x14ac:dyDescent="0.3">
      <c r="J24244"/>
    </row>
    <row r="24245" spans="10:10" x14ac:dyDescent="0.3">
      <c r="J24245"/>
    </row>
    <row r="24246" spans="10:10" x14ac:dyDescent="0.3">
      <c r="J24246"/>
    </row>
    <row r="24247" spans="10:10" x14ac:dyDescent="0.3">
      <c r="J24247"/>
    </row>
    <row r="24248" spans="10:10" x14ac:dyDescent="0.3">
      <c r="J24248"/>
    </row>
    <row r="24249" spans="10:10" x14ac:dyDescent="0.3">
      <c r="J24249"/>
    </row>
    <row r="24250" spans="10:10" x14ac:dyDescent="0.3">
      <c r="J24250"/>
    </row>
    <row r="24251" spans="10:10" x14ac:dyDescent="0.3">
      <c r="J24251"/>
    </row>
    <row r="24252" spans="10:10" x14ac:dyDescent="0.3">
      <c r="J24252"/>
    </row>
    <row r="24253" spans="10:10" x14ac:dyDescent="0.3">
      <c r="J24253"/>
    </row>
    <row r="24254" spans="10:10" x14ac:dyDescent="0.3">
      <c r="J24254"/>
    </row>
    <row r="24255" spans="10:10" x14ac:dyDescent="0.3">
      <c r="J24255"/>
    </row>
    <row r="24256" spans="10:10" x14ac:dyDescent="0.3">
      <c r="J24256"/>
    </row>
    <row r="24257" spans="10:10" x14ac:dyDescent="0.3">
      <c r="J24257"/>
    </row>
    <row r="24258" spans="10:10" x14ac:dyDescent="0.3">
      <c r="J24258"/>
    </row>
    <row r="24259" spans="10:10" x14ac:dyDescent="0.3">
      <c r="J24259"/>
    </row>
    <row r="24260" spans="10:10" x14ac:dyDescent="0.3">
      <c r="J24260"/>
    </row>
    <row r="24261" spans="10:10" x14ac:dyDescent="0.3">
      <c r="J24261"/>
    </row>
    <row r="24262" spans="10:10" x14ac:dyDescent="0.3">
      <c r="J24262"/>
    </row>
    <row r="24263" spans="10:10" x14ac:dyDescent="0.3">
      <c r="J24263"/>
    </row>
    <row r="24264" spans="10:10" x14ac:dyDescent="0.3">
      <c r="J24264"/>
    </row>
    <row r="24265" spans="10:10" x14ac:dyDescent="0.3">
      <c r="J24265"/>
    </row>
    <row r="24266" spans="10:10" x14ac:dyDescent="0.3">
      <c r="J24266"/>
    </row>
    <row r="24267" spans="10:10" x14ac:dyDescent="0.3">
      <c r="J24267"/>
    </row>
    <row r="24268" spans="10:10" x14ac:dyDescent="0.3">
      <c r="J24268"/>
    </row>
    <row r="24269" spans="10:10" x14ac:dyDescent="0.3">
      <c r="J24269"/>
    </row>
    <row r="24270" spans="10:10" x14ac:dyDescent="0.3">
      <c r="J24270"/>
    </row>
    <row r="24271" spans="10:10" x14ac:dyDescent="0.3">
      <c r="J24271"/>
    </row>
    <row r="24272" spans="10:10" x14ac:dyDescent="0.3">
      <c r="J24272"/>
    </row>
    <row r="24273" spans="10:10" x14ac:dyDescent="0.3">
      <c r="J24273"/>
    </row>
    <row r="24274" spans="10:10" x14ac:dyDescent="0.3">
      <c r="J24274"/>
    </row>
    <row r="24275" spans="10:10" x14ac:dyDescent="0.3">
      <c r="J24275"/>
    </row>
    <row r="24276" spans="10:10" x14ac:dyDescent="0.3">
      <c r="J24276"/>
    </row>
    <row r="24277" spans="10:10" x14ac:dyDescent="0.3">
      <c r="J24277"/>
    </row>
    <row r="24278" spans="10:10" x14ac:dyDescent="0.3">
      <c r="J24278"/>
    </row>
    <row r="24279" spans="10:10" x14ac:dyDescent="0.3">
      <c r="J24279"/>
    </row>
    <row r="24280" spans="10:10" x14ac:dyDescent="0.3">
      <c r="J24280"/>
    </row>
    <row r="24281" spans="10:10" x14ac:dyDescent="0.3">
      <c r="J24281"/>
    </row>
    <row r="24282" spans="10:10" x14ac:dyDescent="0.3">
      <c r="J24282"/>
    </row>
    <row r="24283" spans="10:10" x14ac:dyDescent="0.3">
      <c r="J24283"/>
    </row>
    <row r="24284" spans="10:10" x14ac:dyDescent="0.3">
      <c r="J24284"/>
    </row>
    <row r="24285" spans="10:10" x14ac:dyDescent="0.3">
      <c r="J24285"/>
    </row>
    <row r="24286" spans="10:10" x14ac:dyDescent="0.3">
      <c r="J24286"/>
    </row>
    <row r="24287" spans="10:10" x14ac:dyDescent="0.3">
      <c r="J24287"/>
    </row>
    <row r="24288" spans="10:10" x14ac:dyDescent="0.3">
      <c r="J24288"/>
    </row>
    <row r="24289" spans="10:10" x14ac:dyDescent="0.3">
      <c r="J24289"/>
    </row>
    <row r="24290" spans="10:10" x14ac:dyDescent="0.3">
      <c r="J24290"/>
    </row>
    <row r="24291" spans="10:10" x14ac:dyDescent="0.3">
      <c r="J24291"/>
    </row>
    <row r="24292" spans="10:10" x14ac:dyDescent="0.3">
      <c r="J24292"/>
    </row>
    <row r="24293" spans="10:10" x14ac:dyDescent="0.3">
      <c r="J24293"/>
    </row>
    <row r="24294" spans="10:10" x14ac:dyDescent="0.3">
      <c r="J24294"/>
    </row>
    <row r="24295" spans="10:10" x14ac:dyDescent="0.3">
      <c r="J24295"/>
    </row>
    <row r="24296" spans="10:10" x14ac:dyDescent="0.3">
      <c r="J24296"/>
    </row>
    <row r="24297" spans="10:10" x14ac:dyDescent="0.3">
      <c r="J24297"/>
    </row>
    <row r="24298" spans="10:10" x14ac:dyDescent="0.3">
      <c r="J24298"/>
    </row>
    <row r="24299" spans="10:10" x14ac:dyDescent="0.3">
      <c r="J24299"/>
    </row>
    <row r="24300" spans="10:10" x14ac:dyDescent="0.3">
      <c r="J24300"/>
    </row>
    <row r="24301" spans="10:10" x14ac:dyDescent="0.3">
      <c r="J24301"/>
    </row>
    <row r="24302" spans="10:10" x14ac:dyDescent="0.3">
      <c r="J24302"/>
    </row>
    <row r="24303" spans="10:10" x14ac:dyDescent="0.3">
      <c r="J24303"/>
    </row>
    <row r="24304" spans="10:10" x14ac:dyDescent="0.3">
      <c r="J24304"/>
    </row>
    <row r="24305" spans="10:10" x14ac:dyDescent="0.3">
      <c r="J24305"/>
    </row>
    <row r="24306" spans="10:10" x14ac:dyDescent="0.3">
      <c r="J24306"/>
    </row>
    <row r="24307" spans="10:10" x14ac:dyDescent="0.3">
      <c r="J24307"/>
    </row>
    <row r="24308" spans="10:10" x14ac:dyDescent="0.3">
      <c r="J24308"/>
    </row>
    <row r="24309" spans="10:10" x14ac:dyDescent="0.3">
      <c r="J24309"/>
    </row>
    <row r="24310" spans="10:10" x14ac:dyDescent="0.3">
      <c r="J24310"/>
    </row>
    <row r="24311" spans="10:10" x14ac:dyDescent="0.3">
      <c r="J24311"/>
    </row>
    <row r="24312" spans="10:10" x14ac:dyDescent="0.3">
      <c r="J24312"/>
    </row>
    <row r="24313" spans="10:10" x14ac:dyDescent="0.3">
      <c r="J24313"/>
    </row>
    <row r="24314" spans="10:10" x14ac:dyDescent="0.3">
      <c r="J24314"/>
    </row>
    <row r="24315" spans="10:10" x14ac:dyDescent="0.3">
      <c r="J24315"/>
    </row>
    <row r="24316" spans="10:10" x14ac:dyDescent="0.3">
      <c r="J24316"/>
    </row>
    <row r="24317" spans="10:10" x14ac:dyDescent="0.3">
      <c r="J24317"/>
    </row>
    <row r="24318" spans="10:10" x14ac:dyDescent="0.3">
      <c r="J24318"/>
    </row>
    <row r="24319" spans="10:10" x14ac:dyDescent="0.3">
      <c r="J24319"/>
    </row>
    <row r="24320" spans="10:10" x14ac:dyDescent="0.3">
      <c r="J24320"/>
    </row>
    <row r="24321" spans="10:10" x14ac:dyDescent="0.3">
      <c r="J24321"/>
    </row>
    <row r="24322" spans="10:10" x14ac:dyDescent="0.3">
      <c r="J24322"/>
    </row>
    <row r="24323" spans="10:10" x14ac:dyDescent="0.3">
      <c r="J24323"/>
    </row>
    <row r="24324" spans="10:10" x14ac:dyDescent="0.3">
      <c r="J24324"/>
    </row>
    <row r="24325" spans="10:10" x14ac:dyDescent="0.3">
      <c r="J24325"/>
    </row>
    <row r="24326" spans="10:10" x14ac:dyDescent="0.3">
      <c r="J24326"/>
    </row>
    <row r="24327" spans="10:10" x14ac:dyDescent="0.3">
      <c r="J24327"/>
    </row>
    <row r="24328" spans="10:10" x14ac:dyDescent="0.3">
      <c r="J24328"/>
    </row>
    <row r="24329" spans="10:10" x14ac:dyDescent="0.3">
      <c r="J24329"/>
    </row>
    <row r="24330" spans="10:10" x14ac:dyDescent="0.3">
      <c r="J24330"/>
    </row>
    <row r="24331" spans="10:10" x14ac:dyDescent="0.3">
      <c r="J24331"/>
    </row>
    <row r="24332" spans="10:10" x14ac:dyDescent="0.3">
      <c r="J24332"/>
    </row>
    <row r="24333" spans="10:10" x14ac:dyDescent="0.3">
      <c r="J24333"/>
    </row>
    <row r="24334" spans="10:10" x14ac:dyDescent="0.3">
      <c r="J24334"/>
    </row>
    <row r="24335" spans="10:10" x14ac:dyDescent="0.3">
      <c r="J24335"/>
    </row>
    <row r="24336" spans="10:10" x14ac:dyDescent="0.3">
      <c r="J24336"/>
    </row>
    <row r="24337" spans="10:10" x14ac:dyDescent="0.3">
      <c r="J24337"/>
    </row>
    <row r="24338" spans="10:10" x14ac:dyDescent="0.3">
      <c r="J24338"/>
    </row>
    <row r="24339" spans="10:10" x14ac:dyDescent="0.3">
      <c r="J24339"/>
    </row>
    <row r="24340" spans="10:10" x14ac:dyDescent="0.3">
      <c r="J24340"/>
    </row>
    <row r="24341" spans="10:10" x14ac:dyDescent="0.3">
      <c r="J24341"/>
    </row>
    <row r="24342" spans="10:10" x14ac:dyDescent="0.3">
      <c r="J24342"/>
    </row>
    <row r="24343" spans="10:10" x14ac:dyDescent="0.3">
      <c r="J24343"/>
    </row>
    <row r="24344" spans="10:10" x14ac:dyDescent="0.3">
      <c r="J24344"/>
    </row>
    <row r="24345" spans="10:10" x14ac:dyDescent="0.3">
      <c r="J24345"/>
    </row>
    <row r="24346" spans="10:10" x14ac:dyDescent="0.3">
      <c r="J24346"/>
    </row>
    <row r="24347" spans="10:10" x14ac:dyDescent="0.3">
      <c r="J24347"/>
    </row>
    <row r="24348" spans="10:10" x14ac:dyDescent="0.3">
      <c r="J24348"/>
    </row>
    <row r="24349" spans="10:10" x14ac:dyDescent="0.3">
      <c r="J24349"/>
    </row>
    <row r="24350" spans="10:10" x14ac:dyDescent="0.3">
      <c r="J24350"/>
    </row>
    <row r="24351" spans="10:10" x14ac:dyDescent="0.3">
      <c r="J24351"/>
    </row>
    <row r="24352" spans="10:10" x14ac:dyDescent="0.3">
      <c r="J24352"/>
    </row>
    <row r="24353" spans="10:10" x14ac:dyDescent="0.3">
      <c r="J24353"/>
    </row>
    <row r="24354" spans="10:10" x14ac:dyDescent="0.3">
      <c r="J24354"/>
    </row>
    <row r="24355" spans="10:10" x14ac:dyDescent="0.3">
      <c r="J24355"/>
    </row>
    <row r="24356" spans="10:10" x14ac:dyDescent="0.3">
      <c r="J24356"/>
    </row>
    <row r="24357" spans="10:10" x14ac:dyDescent="0.3">
      <c r="J24357"/>
    </row>
    <row r="24358" spans="10:10" x14ac:dyDescent="0.3">
      <c r="J24358"/>
    </row>
    <row r="24359" spans="10:10" x14ac:dyDescent="0.3">
      <c r="J24359"/>
    </row>
    <row r="24360" spans="10:10" x14ac:dyDescent="0.3">
      <c r="J24360"/>
    </row>
    <row r="24361" spans="10:10" x14ac:dyDescent="0.3">
      <c r="J24361"/>
    </row>
    <row r="24362" spans="10:10" x14ac:dyDescent="0.3">
      <c r="J24362"/>
    </row>
    <row r="24363" spans="10:10" x14ac:dyDescent="0.3">
      <c r="J24363"/>
    </row>
    <row r="24364" spans="10:10" x14ac:dyDescent="0.3">
      <c r="J24364"/>
    </row>
    <row r="24365" spans="10:10" x14ac:dyDescent="0.3">
      <c r="J24365"/>
    </row>
    <row r="24366" spans="10:10" x14ac:dyDescent="0.3">
      <c r="J24366"/>
    </row>
    <row r="24367" spans="10:10" x14ac:dyDescent="0.3">
      <c r="J24367"/>
    </row>
    <row r="24368" spans="10:10" x14ac:dyDescent="0.3">
      <c r="J24368"/>
    </row>
    <row r="24369" spans="10:10" x14ac:dyDescent="0.3">
      <c r="J24369"/>
    </row>
    <row r="24370" spans="10:10" x14ac:dyDescent="0.3">
      <c r="J24370"/>
    </row>
    <row r="24371" spans="10:10" x14ac:dyDescent="0.3">
      <c r="J24371"/>
    </row>
    <row r="24372" spans="10:10" x14ac:dyDescent="0.3">
      <c r="J24372"/>
    </row>
    <row r="24373" spans="10:10" x14ac:dyDescent="0.3">
      <c r="J24373"/>
    </row>
    <row r="24374" spans="10:10" x14ac:dyDescent="0.3">
      <c r="J24374"/>
    </row>
    <row r="24375" spans="10:10" x14ac:dyDescent="0.3">
      <c r="J24375"/>
    </row>
    <row r="24376" spans="10:10" x14ac:dyDescent="0.3">
      <c r="J24376"/>
    </row>
    <row r="24377" spans="10:10" x14ac:dyDescent="0.3">
      <c r="J24377"/>
    </row>
    <row r="24378" spans="10:10" x14ac:dyDescent="0.3">
      <c r="J24378"/>
    </row>
    <row r="24379" spans="10:10" x14ac:dyDescent="0.3">
      <c r="J24379"/>
    </row>
    <row r="24380" spans="10:10" x14ac:dyDescent="0.3">
      <c r="J24380"/>
    </row>
    <row r="24381" spans="10:10" x14ac:dyDescent="0.3">
      <c r="J24381"/>
    </row>
    <row r="24382" spans="10:10" x14ac:dyDescent="0.3">
      <c r="J24382"/>
    </row>
    <row r="24383" spans="10:10" x14ac:dyDescent="0.3">
      <c r="J24383"/>
    </row>
    <row r="24384" spans="10:10" x14ac:dyDescent="0.3">
      <c r="J24384"/>
    </row>
    <row r="24385" spans="10:10" x14ac:dyDescent="0.3">
      <c r="J24385"/>
    </row>
    <row r="24386" spans="10:10" x14ac:dyDescent="0.3">
      <c r="J24386"/>
    </row>
    <row r="24387" spans="10:10" x14ac:dyDescent="0.3">
      <c r="J24387"/>
    </row>
    <row r="24388" spans="10:10" x14ac:dyDescent="0.3">
      <c r="J24388"/>
    </row>
    <row r="24389" spans="10:10" x14ac:dyDescent="0.3">
      <c r="J24389"/>
    </row>
    <row r="24390" spans="10:10" x14ac:dyDescent="0.3">
      <c r="J24390"/>
    </row>
    <row r="24391" spans="10:10" x14ac:dyDescent="0.3">
      <c r="J24391"/>
    </row>
    <row r="24392" spans="10:10" x14ac:dyDescent="0.3">
      <c r="J24392"/>
    </row>
    <row r="24393" spans="10:10" x14ac:dyDescent="0.3">
      <c r="J24393"/>
    </row>
    <row r="24394" spans="10:10" x14ac:dyDescent="0.3">
      <c r="J24394"/>
    </row>
    <row r="24395" spans="10:10" x14ac:dyDescent="0.3">
      <c r="J24395"/>
    </row>
    <row r="24396" spans="10:10" x14ac:dyDescent="0.3">
      <c r="J24396"/>
    </row>
    <row r="24397" spans="10:10" x14ac:dyDescent="0.3">
      <c r="J24397"/>
    </row>
    <row r="24398" spans="10:10" x14ac:dyDescent="0.3">
      <c r="J24398"/>
    </row>
    <row r="24399" spans="10:10" x14ac:dyDescent="0.3">
      <c r="J24399"/>
    </row>
    <row r="24400" spans="10:10" x14ac:dyDescent="0.3">
      <c r="J24400"/>
    </row>
    <row r="24401" spans="10:10" x14ac:dyDescent="0.3">
      <c r="J24401"/>
    </row>
    <row r="24402" spans="10:10" x14ac:dyDescent="0.3">
      <c r="J24402"/>
    </row>
    <row r="24403" spans="10:10" x14ac:dyDescent="0.3">
      <c r="J24403"/>
    </row>
    <row r="24404" spans="10:10" x14ac:dyDescent="0.3">
      <c r="J24404"/>
    </row>
    <row r="24405" spans="10:10" x14ac:dyDescent="0.3">
      <c r="J24405"/>
    </row>
    <row r="24406" spans="10:10" x14ac:dyDescent="0.3">
      <c r="J24406"/>
    </row>
    <row r="24407" spans="10:10" x14ac:dyDescent="0.3">
      <c r="J24407"/>
    </row>
    <row r="24408" spans="10:10" x14ac:dyDescent="0.3">
      <c r="J24408"/>
    </row>
    <row r="24409" spans="10:10" x14ac:dyDescent="0.3">
      <c r="J24409"/>
    </row>
    <row r="24410" spans="10:10" x14ac:dyDescent="0.3">
      <c r="J24410"/>
    </row>
    <row r="24411" spans="10:10" x14ac:dyDescent="0.3">
      <c r="J24411"/>
    </row>
    <row r="24412" spans="10:10" x14ac:dyDescent="0.3">
      <c r="J24412"/>
    </row>
    <row r="24413" spans="10:10" x14ac:dyDescent="0.3">
      <c r="J24413"/>
    </row>
    <row r="24414" spans="10:10" x14ac:dyDescent="0.3">
      <c r="J24414"/>
    </row>
    <row r="24415" spans="10:10" x14ac:dyDescent="0.3">
      <c r="J24415"/>
    </row>
    <row r="24416" spans="10:10" x14ac:dyDescent="0.3">
      <c r="J24416"/>
    </row>
    <row r="24417" spans="10:10" x14ac:dyDescent="0.3">
      <c r="J24417"/>
    </row>
    <row r="24418" spans="10:10" x14ac:dyDescent="0.3">
      <c r="J24418"/>
    </row>
    <row r="24419" spans="10:10" x14ac:dyDescent="0.3">
      <c r="J24419"/>
    </row>
    <row r="24420" spans="10:10" x14ac:dyDescent="0.3">
      <c r="J24420"/>
    </row>
    <row r="24421" spans="10:10" x14ac:dyDescent="0.3">
      <c r="J24421"/>
    </row>
    <row r="24422" spans="10:10" x14ac:dyDescent="0.3">
      <c r="J24422"/>
    </row>
    <row r="24423" spans="10:10" x14ac:dyDescent="0.3">
      <c r="J24423"/>
    </row>
    <row r="24424" spans="10:10" x14ac:dyDescent="0.3">
      <c r="J24424"/>
    </row>
    <row r="24425" spans="10:10" x14ac:dyDescent="0.3">
      <c r="J24425"/>
    </row>
    <row r="24426" spans="10:10" x14ac:dyDescent="0.3">
      <c r="J24426"/>
    </row>
    <row r="24427" spans="10:10" x14ac:dyDescent="0.3">
      <c r="J24427"/>
    </row>
    <row r="24428" spans="10:10" x14ac:dyDescent="0.3">
      <c r="J24428"/>
    </row>
    <row r="24429" spans="10:10" x14ac:dyDescent="0.3">
      <c r="J24429"/>
    </row>
    <row r="24430" spans="10:10" x14ac:dyDescent="0.3">
      <c r="J24430"/>
    </row>
    <row r="24431" spans="10:10" x14ac:dyDescent="0.3">
      <c r="J24431"/>
    </row>
    <row r="24432" spans="10:10" x14ac:dyDescent="0.3">
      <c r="J24432"/>
    </row>
    <row r="24433" spans="10:10" x14ac:dyDescent="0.3">
      <c r="J24433"/>
    </row>
    <row r="24434" spans="10:10" x14ac:dyDescent="0.3">
      <c r="J24434"/>
    </row>
    <row r="24435" spans="10:10" x14ac:dyDescent="0.3">
      <c r="J24435"/>
    </row>
    <row r="24436" spans="10:10" x14ac:dyDescent="0.3">
      <c r="J24436"/>
    </row>
    <row r="24437" spans="10:10" x14ac:dyDescent="0.3">
      <c r="J24437"/>
    </row>
    <row r="24438" spans="10:10" x14ac:dyDescent="0.3">
      <c r="J24438"/>
    </row>
    <row r="24439" spans="10:10" x14ac:dyDescent="0.3">
      <c r="J24439"/>
    </row>
    <row r="24440" spans="10:10" x14ac:dyDescent="0.3">
      <c r="J24440"/>
    </row>
    <row r="24441" spans="10:10" x14ac:dyDescent="0.3">
      <c r="J24441"/>
    </row>
    <row r="24442" spans="10:10" x14ac:dyDescent="0.3">
      <c r="J24442"/>
    </row>
    <row r="24443" spans="10:10" x14ac:dyDescent="0.3">
      <c r="J24443"/>
    </row>
    <row r="24444" spans="10:10" x14ac:dyDescent="0.3">
      <c r="J24444"/>
    </row>
    <row r="24445" spans="10:10" x14ac:dyDescent="0.3">
      <c r="J24445"/>
    </row>
    <row r="24446" spans="10:10" x14ac:dyDescent="0.3">
      <c r="J24446"/>
    </row>
    <row r="24447" spans="10:10" x14ac:dyDescent="0.3">
      <c r="J24447"/>
    </row>
    <row r="24448" spans="10:10" x14ac:dyDescent="0.3">
      <c r="J24448"/>
    </row>
    <row r="24449" spans="10:10" x14ac:dyDescent="0.3">
      <c r="J24449"/>
    </row>
    <row r="24450" spans="10:10" x14ac:dyDescent="0.3">
      <c r="J24450"/>
    </row>
    <row r="24451" spans="10:10" x14ac:dyDescent="0.3">
      <c r="J24451"/>
    </row>
    <row r="24452" spans="10:10" x14ac:dyDescent="0.3">
      <c r="J24452"/>
    </row>
    <row r="24453" spans="10:10" x14ac:dyDescent="0.3">
      <c r="J24453"/>
    </row>
    <row r="24454" spans="10:10" x14ac:dyDescent="0.3">
      <c r="J24454"/>
    </row>
    <row r="24455" spans="10:10" x14ac:dyDescent="0.3">
      <c r="J24455"/>
    </row>
    <row r="24456" spans="10:10" x14ac:dyDescent="0.3">
      <c r="J24456"/>
    </row>
    <row r="24457" spans="10:10" x14ac:dyDescent="0.3">
      <c r="J24457"/>
    </row>
    <row r="24458" spans="10:10" x14ac:dyDescent="0.3">
      <c r="J24458"/>
    </row>
    <row r="24459" spans="10:10" x14ac:dyDescent="0.3">
      <c r="J24459"/>
    </row>
    <row r="24460" spans="10:10" x14ac:dyDescent="0.3">
      <c r="J24460"/>
    </row>
    <row r="24461" spans="10:10" x14ac:dyDescent="0.3">
      <c r="J24461"/>
    </row>
    <row r="24462" spans="10:10" x14ac:dyDescent="0.3">
      <c r="J24462"/>
    </row>
    <row r="24463" spans="10:10" x14ac:dyDescent="0.3">
      <c r="J24463"/>
    </row>
    <row r="24464" spans="10:10" x14ac:dyDescent="0.3">
      <c r="J24464"/>
    </row>
    <row r="24465" spans="10:10" x14ac:dyDescent="0.3">
      <c r="J24465"/>
    </row>
    <row r="24466" spans="10:10" x14ac:dyDescent="0.3">
      <c r="J24466"/>
    </row>
    <row r="24467" spans="10:10" x14ac:dyDescent="0.3">
      <c r="J24467"/>
    </row>
    <row r="24468" spans="10:10" x14ac:dyDescent="0.3">
      <c r="J24468"/>
    </row>
    <row r="24469" spans="10:10" x14ac:dyDescent="0.3">
      <c r="J24469"/>
    </row>
    <row r="24470" spans="10:10" x14ac:dyDescent="0.3">
      <c r="J24470"/>
    </row>
    <row r="24471" spans="10:10" x14ac:dyDescent="0.3">
      <c r="J24471"/>
    </row>
    <row r="24472" spans="10:10" x14ac:dyDescent="0.3">
      <c r="J24472"/>
    </row>
    <row r="24473" spans="10:10" x14ac:dyDescent="0.3">
      <c r="J24473"/>
    </row>
    <row r="24474" spans="10:10" x14ac:dyDescent="0.3">
      <c r="J24474"/>
    </row>
    <row r="24475" spans="10:10" x14ac:dyDescent="0.3">
      <c r="J24475"/>
    </row>
    <row r="24476" spans="10:10" x14ac:dyDescent="0.3">
      <c r="J24476"/>
    </row>
    <row r="24477" spans="10:10" x14ac:dyDescent="0.3">
      <c r="J24477"/>
    </row>
    <row r="24478" spans="10:10" x14ac:dyDescent="0.3">
      <c r="J24478"/>
    </row>
    <row r="24479" spans="10:10" x14ac:dyDescent="0.3">
      <c r="J24479"/>
    </row>
    <row r="24480" spans="10:10" x14ac:dyDescent="0.3">
      <c r="J24480"/>
    </row>
    <row r="24481" spans="10:10" x14ac:dyDescent="0.3">
      <c r="J24481"/>
    </row>
    <row r="24482" spans="10:10" x14ac:dyDescent="0.3">
      <c r="J24482"/>
    </row>
    <row r="24483" spans="10:10" x14ac:dyDescent="0.3">
      <c r="J24483"/>
    </row>
    <row r="24484" spans="10:10" x14ac:dyDescent="0.3">
      <c r="J24484"/>
    </row>
    <row r="24485" spans="10:10" x14ac:dyDescent="0.3">
      <c r="J24485"/>
    </row>
    <row r="24486" spans="10:10" x14ac:dyDescent="0.3">
      <c r="J24486"/>
    </row>
    <row r="24487" spans="10:10" x14ac:dyDescent="0.3">
      <c r="J24487"/>
    </row>
    <row r="24488" spans="10:10" x14ac:dyDescent="0.3">
      <c r="J24488"/>
    </row>
    <row r="24489" spans="10:10" x14ac:dyDescent="0.3">
      <c r="J24489"/>
    </row>
    <row r="24490" spans="10:10" x14ac:dyDescent="0.3">
      <c r="J24490"/>
    </row>
    <row r="24491" spans="10:10" x14ac:dyDescent="0.3">
      <c r="J24491"/>
    </row>
    <row r="24492" spans="10:10" x14ac:dyDescent="0.3">
      <c r="J24492"/>
    </row>
    <row r="24493" spans="10:10" x14ac:dyDescent="0.3">
      <c r="J24493"/>
    </row>
    <row r="24494" spans="10:10" x14ac:dyDescent="0.3">
      <c r="J24494"/>
    </row>
    <row r="24495" spans="10:10" x14ac:dyDescent="0.3">
      <c r="J24495"/>
    </row>
    <row r="24496" spans="10:10" x14ac:dyDescent="0.3">
      <c r="J24496"/>
    </row>
    <row r="24497" spans="10:10" x14ac:dyDescent="0.3">
      <c r="J24497"/>
    </row>
    <row r="24498" spans="10:10" x14ac:dyDescent="0.3">
      <c r="J24498"/>
    </row>
    <row r="24499" spans="10:10" x14ac:dyDescent="0.3">
      <c r="J24499"/>
    </row>
    <row r="24500" spans="10:10" x14ac:dyDescent="0.3">
      <c r="J24500"/>
    </row>
    <row r="24501" spans="10:10" x14ac:dyDescent="0.3">
      <c r="J24501"/>
    </row>
    <row r="24502" spans="10:10" x14ac:dyDescent="0.3">
      <c r="J24502"/>
    </row>
    <row r="24503" spans="10:10" x14ac:dyDescent="0.3">
      <c r="J24503"/>
    </row>
    <row r="24504" spans="10:10" x14ac:dyDescent="0.3">
      <c r="J24504"/>
    </row>
    <row r="24505" spans="10:10" x14ac:dyDescent="0.3">
      <c r="J24505"/>
    </row>
    <row r="24506" spans="10:10" x14ac:dyDescent="0.3">
      <c r="J24506"/>
    </row>
    <row r="24507" spans="10:10" x14ac:dyDescent="0.3">
      <c r="J24507"/>
    </row>
    <row r="24508" spans="10:10" x14ac:dyDescent="0.3">
      <c r="J24508"/>
    </row>
    <row r="24509" spans="10:10" x14ac:dyDescent="0.3">
      <c r="J24509"/>
    </row>
    <row r="24510" spans="10:10" x14ac:dyDescent="0.3">
      <c r="J24510"/>
    </row>
    <row r="24511" spans="10:10" x14ac:dyDescent="0.3">
      <c r="J24511"/>
    </row>
    <row r="24512" spans="10:10" x14ac:dyDescent="0.3">
      <c r="J24512"/>
    </row>
    <row r="24513" spans="10:10" x14ac:dyDescent="0.3">
      <c r="J24513"/>
    </row>
    <row r="24514" spans="10:10" x14ac:dyDescent="0.3">
      <c r="J24514"/>
    </row>
    <row r="24515" spans="10:10" x14ac:dyDescent="0.3">
      <c r="J24515"/>
    </row>
    <row r="24516" spans="10:10" x14ac:dyDescent="0.3">
      <c r="J24516"/>
    </row>
    <row r="24517" spans="10:10" x14ac:dyDescent="0.3">
      <c r="J24517"/>
    </row>
    <row r="24518" spans="10:10" x14ac:dyDescent="0.3">
      <c r="J24518"/>
    </row>
    <row r="24519" spans="10:10" x14ac:dyDescent="0.3">
      <c r="J24519"/>
    </row>
    <row r="24520" spans="10:10" x14ac:dyDescent="0.3">
      <c r="J24520"/>
    </row>
    <row r="24521" spans="10:10" x14ac:dyDescent="0.3">
      <c r="J24521"/>
    </row>
    <row r="24522" spans="10:10" x14ac:dyDescent="0.3">
      <c r="J24522"/>
    </row>
    <row r="24523" spans="10:10" x14ac:dyDescent="0.3">
      <c r="J24523"/>
    </row>
    <row r="24524" spans="10:10" x14ac:dyDescent="0.3">
      <c r="J24524"/>
    </row>
    <row r="24525" spans="10:10" x14ac:dyDescent="0.3">
      <c r="J24525"/>
    </row>
    <row r="24526" spans="10:10" x14ac:dyDescent="0.3">
      <c r="J24526"/>
    </row>
    <row r="24527" spans="10:10" x14ac:dyDescent="0.3">
      <c r="J24527"/>
    </row>
    <row r="24528" spans="10:10" x14ac:dyDescent="0.3">
      <c r="J24528"/>
    </row>
    <row r="24529" spans="10:10" x14ac:dyDescent="0.3">
      <c r="J24529"/>
    </row>
    <row r="24530" spans="10:10" x14ac:dyDescent="0.3">
      <c r="J24530"/>
    </row>
    <row r="24531" spans="10:10" x14ac:dyDescent="0.3">
      <c r="J24531"/>
    </row>
    <row r="24532" spans="10:10" x14ac:dyDescent="0.3">
      <c r="J24532"/>
    </row>
    <row r="24533" spans="10:10" x14ac:dyDescent="0.3">
      <c r="J24533"/>
    </row>
    <row r="24534" spans="10:10" x14ac:dyDescent="0.3">
      <c r="J24534"/>
    </row>
    <row r="24535" spans="10:10" x14ac:dyDescent="0.3">
      <c r="J24535"/>
    </row>
    <row r="24536" spans="10:10" x14ac:dyDescent="0.3">
      <c r="J24536"/>
    </row>
    <row r="24537" spans="10:10" x14ac:dyDescent="0.3">
      <c r="J24537"/>
    </row>
    <row r="24538" spans="10:10" x14ac:dyDescent="0.3">
      <c r="J24538"/>
    </row>
    <row r="24539" spans="10:10" x14ac:dyDescent="0.3">
      <c r="J24539"/>
    </row>
    <row r="24540" spans="10:10" x14ac:dyDescent="0.3">
      <c r="J24540"/>
    </row>
    <row r="24541" spans="10:10" x14ac:dyDescent="0.3">
      <c r="J24541"/>
    </row>
    <row r="24542" spans="10:10" x14ac:dyDescent="0.3">
      <c r="J24542"/>
    </row>
    <row r="24543" spans="10:10" x14ac:dyDescent="0.3">
      <c r="J24543"/>
    </row>
    <row r="24544" spans="10:10" x14ac:dyDescent="0.3">
      <c r="J24544"/>
    </row>
    <row r="24545" spans="10:10" x14ac:dyDescent="0.3">
      <c r="J24545"/>
    </row>
    <row r="24546" spans="10:10" x14ac:dyDescent="0.3">
      <c r="J24546"/>
    </row>
    <row r="24547" spans="10:10" x14ac:dyDescent="0.3">
      <c r="J24547"/>
    </row>
    <row r="24548" spans="10:10" x14ac:dyDescent="0.3">
      <c r="J24548"/>
    </row>
    <row r="24549" spans="10:10" x14ac:dyDescent="0.3">
      <c r="J24549"/>
    </row>
    <row r="24550" spans="10:10" x14ac:dyDescent="0.3">
      <c r="J24550"/>
    </row>
    <row r="24551" spans="10:10" x14ac:dyDescent="0.3">
      <c r="J24551"/>
    </row>
    <row r="24552" spans="10:10" x14ac:dyDescent="0.3">
      <c r="J24552"/>
    </row>
    <row r="24553" spans="10:10" x14ac:dyDescent="0.3">
      <c r="J24553"/>
    </row>
    <row r="24554" spans="10:10" x14ac:dyDescent="0.3">
      <c r="J24554"/>
    </row>
    <row r="24555" spans="10:10" x14ac:dyDescent="0.3">
      <c r="J24555"/>
    </row>
    <row r="24556" spans="10:10" x14ac:dyDescent="0.3">
      <c r="J24556"/>
    </row>
    <row r="24557" spans="10:10" x14ac:dyDescent="0.3">
      <c r="J24557"/>
    </row>
    <row r="24558" spans="10:10" x14ac:dyDescent="0.3">
      <c r="J24558"/>
    </row>
    <row r="24559" spans="10:10" x14ac:dyDescent="0.3">
      <c r="J24559"/>
    </row>
    <row r="24560" spans="10:10" x14ac:dyDescent="0.3">
      <c r="J24560"/>
    </row>
    <row r="24561" spans="10:10" x14ac:dyDescent="0.3">
      <c r="J24561"/>
    </row>
    <row r="24562" spans="10:10" x14ac:dyDescent="0.3">
      <c r="J24562"/>
    </row>
    <row r="24563" spans="10:10" x14ac:dyDescent="0.3">
      <c r="J24563"/>
    </row>
    <row r="24564" spans="10:10" x14ac:dyDescent="0.3">
      <c r="J24564"/>
    </row>
    <row r="24565" spans="10:10" x14ac:dyDescent="0.3">
      <c r="J24565"/>
    </row>
    <row r="24566" spans="10:10" x14ac:dyDescent="0.3">
      <c r="J24566"/>
    </row>
    <row r="24567" spans="10:10" x14ac:dyDescent="0.3">
      <c r="J24567"/>
    </row>
    <row r="24568" spans="10:10" x14ac:dyDescent="0.3">
      <c r="J24568"/>
    </row>
    <row r="24569" spans="10:10" x14ac:dyDescent="0.3">
      <c r="J24569"/>
    </row>
    <row r="24570" spans="10:10" x14ac:dyDescent="0.3">
      <c r="J24570"/>
    </row>
    <row r="24571" spans="10:10" x14ac:dyDescent="0.3">
      <c r="J24571"/>
    </row>
    <row r="24572" spans="10:10" x14ac:dyDescent="0.3">
      <c r="J24572"/>
    </row>
    <row r="24573" spans="10:10" x14ac:dyDescent="0.3">
      <c r="J24573"/>
    </row>
    <row r="24574" spans="10:10" x14ac:dyDescent="0.3">
      <c r="J24574"/>
    </row>
    <row r="24575" spans="10:10" x14ac:dyDescent="0.3">
      <c r="J24575"/>
    </row>
    <row r="24576" spans="10:10" x14ac:dyDescent="0.3">
      <c r="J24576"/>
    </row>
    <row r="24577" spans="10:10" x14ac:dyDescent="0.3">
      <c r="J24577"/>
    </row>
    <row r="24578" spans="10:10" x14ac:dyDescent="0.3">
      <c r="J24578"/>
    </row>
    <row r="24579" spans="10:10" x14ac:dyDescent="0.3">
      <c r="J24579"/>
    </row>
    <row r="24580" spans="10:10" x14ac:dyDescent="0.3">
      <c r="J24580"/>
    </row>
    <row r="24581" spans="10:10" x14ac:dyDescent="0.3">
      <c r="J24581"/>
    </row>
    <row r="24582" spans="10:10" x14ac:dyDescent="0.3">
      <c r="J24582"/>
    </row>
    <row r="24583" spans="10:10" x14ac:dyDescent="0.3">
      <c r="J24583"/>
    </row>
    <row r="24584" spans="10:10" x14ac:dyDescent="0.3">
      <c r="J24584"/>
    </row>
    <row r="24585" spans="10:10" x14ac:dyDescent="0.3">
      <c r="J24585"/>
    </row>
    <row r="24586" spans="10:10" x14ac:dyDescent="0.3">
      <c r="J24586"/>
    </row>
    <row r="24587" spans="10:10" x14ac:dyDescent="0.3">
      <c r="J24587"/>
    </row>
    <row r="24588" spans="10:10" x14ac:dyDescent="0.3">
      <c r="J24588"/>
    </row>
    <row r="24589" spans="10:10" x14ac:dyDescent="0.3">
      <c r="J24589"/>
    </row>
    <row r="24590" spans="10:10" x14ac:dyDescent="0.3">
      <c r="J24590"/>
    </row>
    <row r="24591" spans="10:10" x14ac:dyDescent="0.3">
      <c r="J24591"/>
    </row>
    <row r="24592" spans="10:10" x14ac:dyDescent="0.3">
      <c r="J24592"/>
    </row>
    <row r="24593" spans="10:10" x14ac:dyDescent="0.3">
      <c r="J24593"/>
    </row>
    <row r="24594" spans="10:10" x14ac:dyDescent="0.3">
      <c r="J24594"/>
    </row>
    <row r="24595" spans="10:10" x14ac:dyDescent="0.3">
      <c r="J24595"/>
    </row>
    <row r="24596" spans="10:10" x14ac:dyDescent="0.3">
      <c r="J24596"/>
    </row>
    <row r="24597" spans="10:10" x14ac:dyDescent="0.3">
      <c r="J24597"/>
    </row>
    <row r="24598" spans="10:10" x14ac:dyDescent="0.3">
      <c r="J24598"/>
    </row>
    <row r="24599" spans="10:10" x14ac:dyDescent="0.3">
      <c r="J24599"/>
    </row>
    <row r="24600" spans="10:10" x14ac:dyDescent="0.3">
      <c r="J24600"/>
    </row>
    <row r="24601" spans="10:10" x14ac:dyDescent="0.3">
      <c r="J24601"/>
    </row>
    <row r="24602" spans="10:10" x14ac:dyDescent="0.3">
      <c r="J24602"/>
    </row>
    <row r="24603" spans="10:10" x14ac:dyDescent="0.3">
      <c r="J24603"/>
    </row>
    <row r="24604" spans="10:10" x14ac:dyDescent="0.3">
      <c r="J24604"/>
    </row>
    <row r="24605" spans="10:10" x14ac:dyDescent="0.3">
      <c r="J24605"/>
    </row>
    <row r="24606" spans="10:10" x14ac:dyDescent="0.3">
      <c r="J24606"/>
    </row>
    <row r="24607" spans="10:10" x14ac:dyDescent="0.3">
      <c r="J24607"/>
    </row>
    <row r="24608" spans="10:10" x14ac:dyDescent="0.3">
      <c r="J24608"/>
    </row>
    <row r="24609" spans="10:10" x14ac:dyDescent="0.3">
      <c r="J24609"/>
    </row>
    <row r="24610" spans="10:10" x14ac:dyDescent="0.3">
      <c r="J24610"/>
    </row>
    <row r="24611" spans="10:10" x14ac:dyDescent="0.3">
      <c r="J24611"/>
    </row>
    <row r="24612" spans="10:10" x14ac:dyDescent="0.3">
      <c r="J24612"/>
    </row>
    <row r="24613" spans="10:10" x14ac:dyDescent="0.3">
      <c r="J24613"/>
    </row>
    <row r="24614" spans="10:10" x14ac:dyDescent="0.3">
      <c r="J24614"/>
    </row>
    <row r="24615" spans="10:10" x14ac:dyDescent="0.3">
      <c r="J24615"/>
    </row>
    <row r="24616" spans="10:10" x14ac:dyDescent="0.3">
      <c r="J24616"/>
    </row>
    <row r="24617" spans="10:10" x14ac:dyDescent="0.3">
      <c r="J24617"/>
    </row>
    <row r="24618" spans="10:10" x14ac:dyDescent="0.3">
      <c r="J24618"/>
    </row>
    <row r="24619" spans="10:10" x14ac:dyDescent="0.3">
      <c r="J24619"/>
    </row>
    <row r="24620" spans="10:10" x14ac:dyDescent="0.3">
      <c r="J24620"/>
    </row>
    <row r="24621" spans="10:10" x14ac:dyDescent="0.3">
      <c r="J24621"/>
    </row>
    <row r="24622" spans="10:10" x14ac:dyDescent="0.3">
      <c r="J24622"/>
    </row>
    <row r="24623" spans="10:10" x14ac:dyDescent="0.3">
      <c r="J24623"/>
    </row>
    <row r="24624" spans="10:10" x14ac:dyDescent="0.3">
      <c r="J24624"/>
    </row>
    <row r="24625" spans="10:10" x14ac:dyDescent="0.3">
      <c r="J24625"/>
    </row>
    <row r="24626" spans="10:10" x14ac:dyDescent="0.3">
      <c r="J24626"/>
    </row>
    <row r="24627" spans="10:10" x14ac:dyDescent="0.3">
      <c r="J24627"/>
    </row>
    <row r="24628" spans="10:10" x14ac:dyDescent="0.3">
      <c r="J24628"/>
    </row>
    <row r="24629" spans="10:10" x14ac:dyDescent="0.3">
      <c r="J24629"/>
    </row>
    <row r="24630" spans="10:10" x14ac:dyDescent="0.3">
      <c r="J24630"/>
    </row>
    <row r="24631" spans="10:10" x14ac:dyDescent="0.3">
      <c r="J24631"/>
    </row>
    <row r="24632" spans="10:10" x14ac:dyDescent="0.3">
      <c r="J24632"/>
    </row>
    <row r="24633" spans="10:10" x14ac:dyDescent="0.3">
      <c r="J24633"/>
    </row>
    <row r="24634" spans="10:10" x14ac:dyDescent="0.3">
      <c r="J24634"/>
    </row>
    <row r="24635" spans="10:10" x14ac:dyDescent="0.3">
      <c r="J24635"/>
    </row>
    <row r="24636" spans="10:10" x14ac:dyDescent="0.3">
      <c r="J24636"/>
    </row>
    <row r="24637" spans="10:10" x14ac:dyDescent="0.3">
      <c r="J24637"/>
    </row>
    <row r="24638" spans="10:10" x14ac:dyDescent="0.3">
      <c r="J24638"/>
    </row>
    <row r="24639" spans="10:10" x14ac:dyDescent="0.3">
      <c r="J24639"/>
    </row>
    <row r="24640" spans="10:10" x14ac:dyDescent="0.3">
      <c r="J24640"/>
    </row>
    <row r="24641" spans="10:10" x14ac:dyDescent="0.3">
      <c r="J24641"/>
    </row>
    <row r="24642" spans="10:10" x14ac:dyDescent="0.3">
      <c r="J24642"/>
    </row>
    <row r="24643" spans="10:10" x14ac:dyDescent="0.3">
      <c r="J24643"/>
    </row>
    <row r="24644" spans="10:10" x14ac:dyDescent="0.3">
      <c r="J24644"/>
    </row>
    <row r="24645" spans="10:10" x14ac:dyDescent="0.3">
      <c r="J24645"/>
    </row>
    <row r="24646" spans="10:10" x14ac:dyDescent="0.3">
      <c r="J24646"/>
    </row>
    <row r="24647" spans="10:10" x14ac:dyDescent="0.3">
      <c r="J24647"/>
    </row>
    <row r="24648" spans="10:10" x14ac:dyDescent="0.3">
      <c r="J24648"/>
    </row>
    <row r="24649" spans="10:10" x14ac:dyDescent="0.3">
      <c r="J24649"/>
    </row>
    <row r="24650" spans="10:10" x14ac:dyDescent="0.3">
      <c r="J24650"/>
    </row>
    <row r="24651" spans="10:10" x14ac:dyDescent="0.3">
      <c r="J24651"/>
    </row>
    <row r="24652" spans="10:10" x14ac:dyDescent="0.3">
      <c r="J24652"/>
    </row>
    <row r="24653" spans="10:10" x14ac:dyDescent="0.3">
      <c r="J24653"/>
    </row>
    <row r="24654" spans="10:10" x14ac:dyDescent="0.3">
      <c r="J24654"/>
    </row>
    <row r="24655" spans="10:10" x14ac:dyDescent="0.3">
      <c r="J24655"/>
    </row>
    <row r="24656" spans="10:10" x14ac:dyDescent="0.3">
      <c r="J24656"/>
    </row>
    <row r="24657" spans="10:10" x14ac:dyDescent="0.3">
      <c r="J24657"/>
    </row>
    <row r="24658" spans="10:10" x14ac:dyDescent="0.3">
      <c r="J24658"/>
    </row>
    <row r="24659" spans="10:10" x14ac:dyDescent="0.3">
      <c r="J24659"/>
    </row>
    <row r="24660" spans="10:10" x14ac:dyDescent="0.3">
      <c r="J24660"/>
    </row>
    <row r="24661" spans="10:10" x14ac:dyDescent="0.3">
      <c r="J24661"/>
    </row>
    <row r="24662" spans="10:10" x14ac:dyDescent="0.3">
      <c r="J24662"/>
    </row>
    <row r="24663" spans="10:10" x14ac:dyDescent="0.3">
      <c r="J24663"/>
    </row>
    <row r="24664" spans="10:10" x14ac:dyDescent="0.3">
      <c r="J24664"/>
    </row>
    <row r="24665" spans="10:10" x14ac:dyDescent="0.3">
      <c r="J24665"/>
    </row>
    <row r="24666" spans="10:10" x14ac:dyDescent="0.3">
      <c r="J24666"/>
    </row>
    <row r="24667" spans="10:10" x14ac:dyDescent="0.3">
      <c r="J24667"/>
    </row>
    <row r="24668" spans="10:10" x14ac:dyDescent="0.3">
      <c r="J24668"/>
    </row>
    <row r="24669" spans="10:10" x14ac:dyDescent="0.3">
      <c r="J24669"/>
    </row>
    <row r="24670" spans="10:10" x14ac:dyDescent="0.3">
      <c r="J24670"/>
    </row>
    <row r="24671" spans="10:10" x14ac:dyDescent="0.3">
      <c r="J24671"/>
    </row>
    <row r="24672" spans="10:10" x14ac:dyDescent="0.3">
      <c r="J24672"/>
    </row>
    <row r="24673" spans="10:10" x14ac:dyDescent="0.3">
      <c r="J24673"/>
    </row>
    <row r="24674" spans="10:10" x14ac:dyDescent="0.3">
      <c r="J24674"/>
    </row>
    <row r="24675" spans="10:10" x14ac:dyDescent="0.3">
      <c r="J24675"/>
    </row>
    <row r="24676" spans="10:10" x14ac:dyDescent="0.3">
      <c r="J24676"/>
    </row>
    <row r="24677" spans="10:10" x14ac:dyDescent="0.3">
      <c r="J24677"/>
    </row>
    <row r="24678" spans="10:10" x14ac:dyDescent="0.3">
      <c r="J24678"/>
    </row>
    <row r="24679" spans="10:10" x14ac:dyDescent="0.3">
      <c r="J24679"/>
    </row>
    <row r="24680" spans="10:10" x14ac:dyDescent="0.3">
      <c r="J24680"/>
    </row>
    <row r="24681" spans="10:10" x14ac:dyDescent="0.3">
      <c r="J24681"/>
    </row>
    <row r="24682" spans="10:10" x14ac:dyDescent="0.3">
      <c r="J24682"/>
    </row>
    <row r="24683" spans="10:10" x14ac:dyDescent="0.3">
      <c r="J24683"/>
    </row>
    <row r="24684" spans="10:10" x14ac:dyDescent="0.3">
      <c r="J24684"/>
    </row>
    <row r="24685" spans="10:10" x14ac:dyDescent="0.3">
      <c r="J24685"/>
    </row>
    <row r="24686" spans="10:10" x14ac:dyDescent="0.3">
      <c r="J24686"/>
    </row>
    <row r="24687" spans="10:10" x14ac:dyDescent="0.3">
      <c r="J24687"/>
    </row>
    <row r="24688" spans="10:10" x14ac:dyDescent="0.3">
      <c r="J24688"/>
    </row>
    <row r="24689" spans="10:10" x14ac:dyDescent="0.3">
      <c r="J24689"/>
    </row>
    <row r="24690" spans="10:10" x14ac:dyDescent="0.3">
      <c r="J24690"/>
    </row>
    <row r="24691" spans="10:10" x14ac:dyDescent="0.3">
      <c r="J24691"/>
    </row>
    <row r="24692" spans="10:10" x14ac:dyDescent="0.3">
      <c r="J24692"/>
    </row>
    <row r="24693" spans="10:10" x14ac:dyDescent="0.3">
      <c r="J24693"/>
    </row>
    <row r="24694" spans="10:10" x14ac:dyDescent="0.3">
      <c r="J24694"/>
    </row>
    <row r="24695" spans="10:10" x14ac:dyDescent="0.3">
      <c r="J24695"/>
    </row>
    <row r="24696" spans="10:10" x14ac:dyDescent="0.3">
      <c r="J24696"/>
    </row>
    <row r="24697" spans="10:10" x14ac:dyDescent="0.3">
      <c r="J24697"/>
    </row>
    <row r="24698" spans="10:10" x14ac:dyDescent="0.3">
      <c r="J24698"/>
    </row>
    <row r="24699" spans="10:10" x14ac:dyDescent="0.3">
      <c r="J24699"/>
    </row>
    <row r="24700" spans="10:10" x14ac:dyDescent="0.3">
      <c r="J24700"/>
    </row>
    <row r="24701" spans="10:10" x14ac:dyDescent="0.3">
      <c r="J24701"/>
    </row>
    <row r="24702" spans="10:10" x14ac:dyDescent="0.3">
      <c r="J24702"/>
    </row>
    <row r="24703" spans="10:10" x14ac:dyDescent="0.3">
      <c r="J24703"/>
    </row>
    <row r="24704" spans="10:10" x14ac:dyDescent="0.3">
      <c r="J24704"/>
    </row>
    <row r="24705" spans="10:10" x14ac:dyDescent="0.3">
      <c r="J24705"/>
    </row>
    <row r="24706" spans="10:10" x14ac:dyDescent="0.3">
      <c r="J24706"/>
    </row>
    <row r="24707" spans="10:10" x14ac:dyDescent="0.3">
      <c r="J24707"/>
    </row>
    <row r="24708" spans="10:10" x14ac:dyDescent="0.3">
      <c r="J24708"/>
    </row>
    <row r="24709" spans="10:10" x14ac:dyDescent="0.3">
      <c r="J24709"/>
    </row>
    <row r="24710" spans="10:10" x14ac:dyDescent="0.3">
      <c r="J24710"/>
    </row>
    <row r="24711" spans="10:10" x14ac:dyDescent="0.3">
      <c r="J24711"/>
    </row>
    <row r="24712" spans="10:10" x14ac:dyDescent="0.3">
      <c r="J24712"/>
    </row>
    <row r="24713" spans="10:10" x14ac:dyDescent="0.3">
      <c r="J24713"/>
    </row>
    <row r="24714" spans="10:10" x14ac:dyDescent="0.3">
      <c r="J24714"/>
    </row>
    <row r="24715" spans="10:10" x14ac:dyDescent="0.3">
      <c r="J24715"/>
    </row>
    <row r="24716" spans="10:10" x14ac:dyDescent="0.3">
      <c r="J24716"/>
    </row>
    <row r="24717" spans="10:10" x14ac:dyDescent="0.3">
      <c r="J24717"/>
    </row>
    <row r="24718" spans="10:10" x14ac:dyDescent="0.3">
      <c r="J24718"/>
    </row>
    <row r="24719" spans="10:10" x14ac:dyDescent="0.3">
      <c r="J24719"/>
    </row>
    <row r="24720" spans="10:10" x14ac:dyDescent="0.3">
      <c r="J24720"/>
    </row>
    <row r="24721" spans="10:10" x14ac:dyDescent="0.3">
      <c r="J24721"/>
    </row>
    <row r="24722" spans="10:10" x14ac:dyDescent="0.3">
      <c r="J24722"/>
    </row>
    <row r="24723" spans="10:10" x14ac:dyDescent="0.3">
      <c r="J24723"/>
    </row>
    <row r="24724" spans="10:10" x14ac:dyDescent="0.3">
      <c r="J24724"/>
    </row>
    <row r="24725" spans="10:10" x14ac:dyDescent="0.3">
      <c r="J24725"/>
    </row>
    <row r="24726" spans="10:10" x14ac:dyDescent="0.3">
      <c r="J24726"/>
    </row>
    <row r="24727" spans="10:10" x14ac:dyDescent="0.3">
      <c r="J24727"/>
    </row>
    <row r="24728" spans="10:10" x14ac:dyDescent="0.3">
      <c r="J24728"/>
    </row>
    <row r="24729" spans="10:10" x14ac:dyDescent="0.3">
      <c r="J24729"/>
    </row>
    <row r="24730" spans="10:10" x14ac:dyDescent="0.3">
      <c r="J24730"/>
    </row>
    <row r="24731" spans="10:10" x14ac:dyDescent="0.3">
      <c r="J24731"/>
    </row>
    <row r="24732" spans="10:10" x14ac:dyDescent="0.3">
      <c r="J24732"/>
    </row>
    <row r="24733" spans="10:10" x14ac:dyDescent="0.3">
      <c r="J24733"/>
    </row>
    <row r="24734" spans="10:10" x14ac:dyDescent="0.3">
      <c r="J24734"/>
    </row>
    <row r="24735" spans="10:10" x14ac:dyDescent="0.3">
      <c r="J24735"/>
    </row>
    <row r="24736" spans="10:10" x14ac:dyDescent="0.3">
      <c r="J24736"/>
    </row>
    <row r="24737" spans="10:10" x14ac:dyDescent="0.3">
      <c r="J24737"/>
    </row>
    <row r="24738" spans="10:10" x14ac:dyDescent="0.3">
      <c r="J24738"/>
    </row>
    <row r="24739" spans="10:10" x14ac:dyDescent="0.3">
      <c r="J24739"/>
    </row>
    <row r="24740" spans="10:10" x14ac:dyDescent="0.3">
      <c r="J24740"/>
    </row>
    <row r="24741" spans="10:10" x14ac:dyDescent="0.3">
      <c r="J24741"/>
    </row>
    <row r="24742" spans="10:10" x14ac:dyDescent="0.3">
      <c r="J24742"/>
    </row>
    <row r="24743" spans="10:10" x14ac:dyDescent="0.3">
      <c r="J24743"/>
    </row>
    <row r="24744" spans="10:10" x14ac:dyDescent="0.3">
      <c r="J24744"/>
    </row>
    <row r="24745" spans="10:10" x14ac:dyDescent="0.3">
      <c r="J24745"/>
    </row>
    <row r="24746" spans="10:10" x14ac:dyDescent="0.3">
      <c r="J24746"/>
    </row>
    <row r="24747" spans="10:10" x14ac:dyDescent="0.3">
      <c r="J24747"/>
    </row>
    <row r="24748" spans="10:10" x14ac:dyDescent="0.3">
      <c r="J24748"/>
    </row>
    <row r="24749" spans="10:10" x14ac:dyDescent="0.3">
      <c r="J24749"/>
    </row>
    <row r="24750" spans="10:10" x14ac:dyDescent="0.3">
      <c r="J24750"/>
    </row>
    <row r="24751" spans="10:10" x14ac:dyDescent="0.3">
      <c r="J24751"/>
    </row>
    <row r="24752" spans="10:10" x14ac:dyDescent="0.3">
      <c r="J24752"/>
    </row>
    <row r="24753" spans="10:10" x14ac:dyDescent="0.3">
      <c r="J24753"/>
    </row>
    <row r="24754" spans="10:10" x14ac:dyDescent="0.3">
      <c r="J24754"/>
    </row>
    <row r="24755" spans="10:10" x14ac:dyDescent="0.3">
      <c r="J24755"/>
    </row>
    <row r="24756" spans="10:10" x14ac:dyDescent="0.3">
      <c r="J24756"/>
    </row>
    <row r="24757" spans="10:10" x14ac:dyDescent="0.3">
      <c r="J24757"/>
    </row>
    <row r="24758" spans="10:10" x14ac:dyDescent="0.3">
      <c r="J24758"/>
    </row>
    <row r="24759" spans="10:10" x14ac:dyDescent="0.3">
      <c r="J24759"/>
    </row>
    <row r="24760" spans="10:10" x14ac:dyDescent="0.3">
      <c r="J24760"/>
    </row>
    <row r="24761" spans="10:10" x14ac:dyDescent="0.3">
      <c r="J24761"/>
    </row>
    <row r="24762" spans="10:10" x14ac:dyDescent="0.3">
      <c r="J24762"/>
    </row>
    <row r="24763" spans="10:10" x14ac:dyDescent="0.3">
      <c r="J24763"/>
    </row>
    <row r="24764" spans="10:10" x14ac:dyDescent="0.3">
      <c r="J24764"/>
    </row>
    <row r="24765" spans="10:10" x14ac:dyDescent="0.3">
      <c r="J24765"/>
    </row>
    <row r="24766" spans="10:10" x14ac:dyDescent="0.3">
      <c r="J24766"/>
    </row>
    <row r="24767" spans="10:10" x14ac:dyDescent="0.3">
      <c r="J24767"/>
    </row>
    <row r="24768" spans="10:10" x14ac:dyDescent="0.3">
      <c r="J24768"/>
    </row>
    <row r="24769" spans="10:10" x14ac:dyDescent="0.3">
      <c r="J24769"/>
    </row>
    <row r="24770" spans="10:10" x14ac:dyDescent="0.3">
      <c r="J24770"/>
    </row>
    <row r="24771" spans="10:10" x14ac:dyDescent="0.3">
      <c r="J24771"/>
    </row>
    <row r="24772" spans="10:10" x14ac:dyDescent="0.3">
      <c r="J24772"/>
    </row>
    <row r="24773" spans="10:10" x14ac:dyDescent="0.3">
      <c r="J24773"/>
    </row>
    <row r="24774" spans="10:10" x14ac:dyDescent="0.3">
      <c r="J24774"/>
    </row>
    <row r="24775" spans="10:10" x14ac:dyDescent="0.3">
      <c r="J24775"/>
    </row>
    <row r="24776" spans="10:10" x14ac:dyDescent="0.3">
      <c r="J24776"/>
    </row>
    <row r="24777" spans="10:10" x14ac:dyDescent="0.3">
      <c r="J24777"/>
    </row>
    <row r="24778" spans="10:10" x14ac:dyDescent="0.3">
      <c r="J24778"/>
    </row>
    <row r="24779" spans="10:10" x14ac:dyDescent="0.3">
      <c r="J24779"/>
    </row>
    <row r="24780" spans="10:10" x14ac:dyDescent="0.3">
      <c r="J24780"/>
    </row>
    <row r="24781" spans="10:10" x14ac:dyDescent="0.3">
      <c r="J24781"/>
    </row>
    <row r="24782" spans="10:10" x14ac:dyDescent="0.3">
      <c r="J24782"/>
    </row>
    <row r="24783" spans="10:10" x14ac:dyDescent="0.3">
      <c r="J24783"/>
    </row>
    <row r="24784" spans="10:10" x14ac:dyDescent="0.3">
      <c r="J24784"/>
    </row>
    <row r="24785" spans="10:10" x14ac:dyDescent="0.3">
      <c r="J24785"/>
    </row>
    <row r="24786" spans="10:10" x14ac:dyDescent="0.3">
      <c r="J24786"/>
    </row>
    <row r="24787" spans="10:10" x14ac:dyDescent="0.3">
      <c r="J24787"/>
    </row>
    <row r="24788" spans="10:10" x14ac:dyDescent="0.3">
      <c r="J24788"/>
    </row>
    <row r="24789" spans="10:10" x14ac:dyDescent="0.3">
      <c r="J24789"/>
    </row>
    <row r="24790" spans="10:10" x14ac:dyDescent="0.3">
      <c r="J24790"/>
    </row>
    <row r="24791" spans="10:10" x14ac:dyDescent="0.3">
      <c r="J24791"/>
    </row>
    <row r="24792" spans="10:10" x14ac:dyDescent="0.3">
      <c r="J24792"/>
    </row>
    <row r="24793" spans="10:10" x14ac:dyDescent="0.3">
      <c r="J24793"/>
    </row>
    <row r="24794" spans="10:10" x14ac:dyDescent="0.3">
      <c r="J24794"/>
    </row>
    <row r="24795" spans="10:10" x14ac:dyDescent="0.3">
      <c r="J24795"/>
    </row>
    <row r="24796" spans="10:10" x14ac:dyDescent="0.3">
      <c r="J24796"/>
    </row>
    <row r="24797" spans="10:10" x14ac:dyDescent="0.3">
      <c r="J24797"/>
    </row>
    <row r="24798" spans="10:10" x14ac:dyDescent="0.3">
      <c r="J24798"/>
    </row>
    <row r="24799" spans="10:10" x14ac:dyDescent="0.3">
      <c r="J24799"/>
    </row>
    <row r="24800" spans="10:10" x14ac:dyDescent="0.3">
      <c r="J24800"/>
    </row>
    <row r="24801" spans="10:10" x14ac:dyDescent="0.3">
      <c r="J24801"/>
    </row>
    <row r="24802" spans="10:10" x14ac:dyDescent="0.3">
      <c r="J24802"/>
    </row>
    <row r="24803" spans="10:10" x14ac:dyDescent="0.3">
      <c r="J24803"/>
    </row>
    <row r="24804" spans="10:10" x14ac:dyDescent="0.3">
      <c r="J24804"/>
    </row>
    <row r="24805" spans="10:10" x14ac:dyDescent="0.3">
      <c r="J24805"/>
    </row>
    <row r="24806" spans="10:10" x14ac:dyDescent="0.3">
      <c r="J24806"/>
    </row>
    <row r="24807" spans="10:10" x14ac:dyDescent="0.3">
      <c r="J24807"/>
    </row>
    <row r="24808" spans="10:10" x14ac:dyDescent="0.3">
      <c r="J24808"/>
    </row>
    <row r="24809" spans="10:10" x14ac:dyDescent="0.3">
      <c r="J24809"/>
    </row>
    <row r="24810" spans="10:10" x14ac:dyDescent="0.3">
      <c r="J24810"/>
    </row>
    <row r="24811" spans="10:10" x14ac:dyDescent="0.3">
      <c r="J24811"/>
    </row>
    <row r="24812" spans="10:10" x14ac:dyDescent="0.3">
      <c r="J24812"/>
    </row>
    <row r="24813" spans="10:10" x14ac:dyDescent="0.3">
      <c r="J24813"/>
    </row>
    <row r="24814" spans="10:10" x14ac:dyDescent="0.3">
      <c r="J24814"/>
    </row>
    <row r="24815" spans="10:10" x14ac:dyDescent="0.3">
      <c r="J24815"/>
    </row>
    <row r="24816" spans="10:10" x14ac:dyDescent="0.3">
      <c r="J24816"/>
    </row>
    <row r="24817" spans="10:10" x14ac:dyDescent="0.3">
      <c r="J24817"/>
    </row>
    <row r="24818" spans="10:10" x14ac:dyDescent="0.3">
      <c r="J24818"/>
    </row>
    <row r="24819" spans="10:10" x14ac:dyDescent="0.3">
      <c r="J24819"/>
    </row>
    <row r="24820" spans="10:10" x14ac:dyDescent="0.3">
      <c r="J24820"/>
    </row>
    <row r="24821" spans="10:10" x14ac:dyDescent="0.3">
      <c r="J24821"/>
    </row>
    <row r="24822" spans="10:10" x14ac:dyDescent="0.3">
      <c r="J24822"/>
    </row>
    <row r="24823" spans="10:10" x14ac:dyDescent="0.3">
      <c r="J24823"/>
    </row>
    <row r="24824" spans="10:10" x14ac:dyDescent="0.3">
      <c r="J24824"/>
    </row>
    <row r="24825" spans="10:10" x14ac:dyDescent="0.3">
      <c r="J24825"/>
    </row>
    <row r="24826" spans="10:10" x14ac:dyDescent="0.3">
      <c r="J24826"/>
    </row>
    <row r="24827" spans="10:10" x14ac:dyDescent="0.3">
      <c r="J24827"/>
    </row>
    <row r="24828" spans="10:10" x14ac:dyDescent="0.3">
      <c r="J24828"/>
    </row>
    <row r="24829" spans="10:10" x14ac:dyDescent="0.3">
      <c r="J24829"/>
    </row>
    <row r="24830" spans="10:10" x14ac:dyDescent="0.3">
      <c r="J24830"/>
    </row>
    <row r="24831" spans="10:10" x14ac:dyDescent="0.3">
      <c r="J24831"/>
    </row>
    <row r="24832" spans="10:10" x14ac:dyDescent="0.3">
      <c r="J24832"/>
    </row>
    <row r="24833" spans="10:10" x14ac:dyDescent="0.3">
      <c r="J24833"/>
    </row>
    <row r="24834" spans="10:10" x14ac:dyDescent="0.3">
      <c r="J24834"/>
    </row>
    <row r="24835" spans="10:10" x14ac:dyDescent="0.3">
      <c r="J24835"/>
    </row>
    <row r="24836" spans="10:10" x14ac:dyDescent="0.3">
      <c r="J24836"/>
    </row>
    <row r="24837" spans="10:10" x14ac:dyDescent="0.3">
      <c r="J24837"/>
    </row>
    <row r="24838" spans="10:10" x14ac:dyDescent="0.3">
      <c r="J24838"/>
    </row>
    <row r="24839" spans="10:10" x14ac:dyDescent="0.3">
      <c r="J24839"/>
    </row>
    <row r="24840" spans="10:10" x14ac:dyDescent="0.3">
      <c r="J24840"/>
    </row>
    <row r="24841" spans="10:10" x14ac:dyDescent="0.3">
      <c r="J24841"/>
    </row>
    <row r="24842" spans="10:10" x14ac:dyDescent="0.3">
      <c r="J24842"/>
    </row>
    <row r="24843" spans="10:10" x14ac:dyDescent="0.3">
      <c r="J24843"/>
    </row>
    <row r="24844" spans="10:10" x14ac:dyDescent="0.3">
      <c r="J24844"/>
    </row>
    <row r="24845" spans="10:10" x14ac:dyDescent="0.3">
      <c r="J24845"/>
    </row>
    <row r="24846" spans="10:10" x14ac:dyDescent="0.3">
      <c r="J24846"/>
    </row>
    <row r="24847" spans="10:10" x14ac:dyDescent="0.3">
      <c r="J24847"/>
    </row>
    <row r="24848" spans="10:10" x14ac:dyDescent="0.3">
      <c r="J24848"/>
    </row>
    <row r="24849" spans="10:10" x14ac:dyDescent="0.3">
      <c r="J24849"/>
    </row>
    <row r="24850" spans="10:10" x14ac:dyDescent="0.3">
      <c r="J24850"/>
    </row>
    <row r="24851" spans="10:10" x14ac:dyDescent="0.3">
      <c r="J24851"/>
    </row>
    <row r="24852" spans="10:10" x14ac:dyDescent="0.3">
      <c r="J24852"/>
    </row>
    <row r="24853" spans="10:10" x14ac:dyDescent="0.3">
      <c r="J24853"/>
    </row>
    <row r="24854" spans="10:10" x14ac:dyDescent="0.3">
      <c r="J24854"/>
    </row>
    <row r="24855" spans="10:10" x14ac:dyDescent="0.3">
      <c r="J24855"/>
    </row>
    <row r="24856" spans="10:10" x14ac:dyDescent="0.3">
      <c r="J24856"/>
    </row>
    <row r="24857" spans="10:10" x14ac:dyDescent="0.3">
      <c r="J24857"/>
    </row>
    <row r="24858" spans="10:10" x14ac:dyDescent="0.3">
      <c r="J24858"/>
    </row>
    <row r="24859" spans="10:10" x14ac:dyDescent="0.3">
      <c r="J24859"/>
    </row>
    <row r="24860" spans="10:10" x14ac:dyDescent="0.3">
      <c r="J24860"/>
    </row>
    <row r="24861" spans="10:10" x14ac:dyDescent="0.3">
      <c r="J24861"/>
    </row>
    <row r="24862" spans="10:10" x14ac:dyDescent="0.3">
      <c r="J24862"/>
    </row>
    <row r="24863" spans="10:10" x14ac:dyDescent="0.3">
      <c r="J24863"/>
    </row>
    <row r="24864" spans="10:10" x14ac:dyDescent="0.3">
      <c r="J24864"/>
    </row>
    <row r="24865" spans="10:10" x14ac:dyDescent="0.3">
      <c r="J24865"/>
    </row>
    <row r="24866" spans="10:10" x14ac:dyDescent="0.3">
      <c r="J24866"/>
    </row>
    <row r="24867" spans="10:10" x14ac:dyDescent="0.3">
      <c r="J24867"/>
    </row>
    <row r="24868" spans="10:10" x14ac:dyDescent="0.3">
      <c r="J24868"/>
    </row>
    <row r="24869" spans="10:10" x14ac:dyDescent="0.3">
      <c r="J24869"/>
    </row>
    <row r="24870" spans="10:10" x14ac:dyDescent="0.3">
      <c r="J24870"/>
    </row>
    <row r="24871" spans="10:10" x14ac:dyDescent="0.3">
      <c r="J24871"/>
    </row>
    <row r="24872" spans="10:10" x14ac:dyDescent="0.3">
      <c r="J24872"/>
    </row>
    <row r="24873" spans="10:10" x14ac:dyDescent="0.3">
      <c r="J24873"/>
    </row>
    <row r="24874" spans="10:10" x14ac:dyDescent="0.3">
      <c r="J24874"/>
    </row>
    <row r="24875" spans="10:10" x14ac:dyDescent="0.3">
      <c r="J24875"/>
    </row>
    <row r="24876" spans="10:10" x14ac:dyDescent="0.3">
      <c r="J24876"/>
    </row>
    <row r="24877" spans="10:10" x14ac:dyDescent="0.3">
      <c r="J24877"/>
    </row>
    <row r="24878" spans="10:10" x14ac:dyDescent="0.3">
      <c r="J24878"/>
    </row>
    <row r="24879" spans="10:10" x14ac:dyDescent="0.3">
      <c r="J24879"/>
    </row>
    <row r="24880" spans="10:10" x14ac:dyDescent="0.3">
      <c r="J24880"/>
    </row>
    <row r="24881" spans="10:10" x14ac:dyDescent="0.3">
      <c r="J24881"/>
    </row>
    <row r="24882" spans="10:10" x14ac:dyDescent="0.3">
      <c r="J24882"/>
    </row>
    <row r="24883" spans="10:10" x14ac:dyDescent="0.3">
      <c r="J24883"/>
    </row>
    <row r="24884" spans="10:10" x14ac:dyDescent="0.3">
      <c r="J24884"/>
    </row>
    <row r="24885" spans="10:10" x14ac:dyDescent="0.3">
      <c r="J24885"/>
    </row>
    <row r="24886" spans="10:10" x14ac:dyDescent="0.3">
      <c r="J24886"/>
    </row>
    <row r="24887" spans="10:10" x14ac:dyDescent="0.3">
      <c r="J24887"/>
    </row>
    <row r="24888" spans="10:10" x14ac:dyDescent="0.3">
      <c r="J24888"/>
    </row>
    <row r="24889" spans="10:10" x14ac:dyDescent="0.3">
      <c r="J24889"/>
    </row>
    <row r="24890" spans="10:10" x14ac:dyDescent="0.3">
      <c r="J24890"/>
    </row>
    <row r="24891" spans="10:10" x14ac:dyDescent="0.3">
      <c r="J24891"/>
    </row>
    <row r="24892" spans="10:10" x14ac:dyDescent="0.3">
      <c r="J24892"/>
    </row>
    <row r="24893" spans="10:10" x14ac:dyDescent="0.3">
      <c r="J24893"/>
    </row>
    <row r="24894" spans="10:10" x14ac:dyDescent="0.3">
      <c r="J24894"/>
    </row>
    <row r="24895" spans="10:10" x14ac:dyDescent="0.3">
      <c r="J24895"/>
    </row>
    <row r="24896" spans="10:10" x14ac:dyDescent="0.3">
      <c r="J24896"/>
    </row>
    <row r="24897" spans="10:10" x14ac:dyDescent="0.3">
      <c r="J24897"/>
    </row>
    <row r="24898" spans="10:10" x14ac:dyDescent="0.3">
      <c r="J24898"/>
    </row>
    <row r="24899" spans="10:10" x14ac:dyDescent="0.3">
      <c r="J24899"/>
    </row>
    <row r="24900" spans="10:10" x14ac:dyDescent="0.3">
      <c r="J24900"/>
    </row>
    <row r="24901" spans="10:10" x14ac:dyDescent="0.3">
      <c r="J24901"/>
    </row>
    <row r="24902" spans="10:10" x14ac:dyDescent="0.3">
      <c r="J24902"/>
    </row>
    <row r="24903" spans="10:10" x14ac:dyDescent="0.3">
      <c r="J24903"/>
    </row>
    <row r="24904" spans="10:10" x14ac:dyDescent="0.3">
      <c r="J24904"/>
    </row>
    <row r="24905" spans="10:10" x14ac:dyDescent="0.3">
      <c r="J24905"/>
    </row>
    <row r="24906" spans="10:10" x14ac:dyDescent="0.3">
      <c r="J24906"/>
    </row>
    <row r="24907" spans="10:10" x14ac:dyDescent="0.3">
      <c r="J24907"/>
    </row>
    <row r="24908" spans="10:10" x14ac:dyDescent="0.3">
      <c r="J24908"/>
    </row>
    <row r="24909" spans="10:10" x14ac:dyDescent="0.3">
      <c r="J24909"/>
    </row>
    <row r="24910" spans="10:10" x14ac:dyDescent="0.3">
      <c r="J24910"/>
    </row>
    <row r="24911" spans="10:10" x14ac:dyDescent="0.3">
      <c r="J24911"/>
    </row>
    <row r="24912" spans="10:10" x14ac:dyDescent="0.3">
      <c r="J24912"/>
    </row>
    <row r="24913" spans="10:10" x14ac:dyDescent="0.3">
      <c r="J24913"/>
    </row>
    <row r="24914" spans="10:10" x14ac:dyDescent="0.3">
      <c r="J24914"/>
    </row>
    <row r="24915" spans="10:10" x14ac:dyDescent="0.3">
      <c r="J24915"/>
    </row>
    <row r="24916" spans="10:10" x14ac:dyDescent="0.3">
      <c r="J24916"/>
    </row>
    <row r="24917" spans="10:10" x14ac:dyDescent="0.3">
      <c r="J24917"/>
    </row>
    <row r="24918" spans="10:10" x14ac:dyDescent="0.3">
      <c r="J24918"/>
    </row>
    <row r="24919" spans="10:10" x14ac:dyDescent="0.3">
      <c r="J24919"/>
    </row>
    <row r="24920" spans="10:10" x14ac:dyDescent="0.3">
      <c r="J24920"/>
    </row>
    <row r="24921" spans="10:10" x14ac:dyDescent="0.3">
      <c r="J24921"/>
    </row>
    <row r="24922" spans="10:10" x14ac:dyDescent="0.3">
      <c r="J24922"/>
    </row>
    <row r="24923" spans="10:10" x14ac:dyDescent="0.3">
      <c r="J24923"/>
    </row>
    <row r="24924" spans="10:10" x14ac:dyDescent="0.3">
      <c r="J24924"/>
    </row>
    <row r="24925" spans="10:10" x14ac:dyDescent="0.3">
      <c r="J24925"/>
    </row>
    <row r="24926" spans="10:10" x14ac:dyDescent="0.3">
      <c r="J24926"/>
    </row>
    <row r="24927" spans="10:10" x14ac:dyDescent="0.3">
      <c r="J24927"/>
    </row>
    <row r="24928" spans="10:10" x14ac:dyDescent="0.3">
      <c r="J24928"/>
    </row>
    <row r="24929" spans="10:10" x14ac:dyDescent="0.3">
      <c r="J24929"/>
    </row>
    <row r="24930" spans="10:10" x14ac:dyDescent="0.3">
      <c r="J24930"/>
    </row>
    <row r="24931" spans="10:10" x14ac:dyDescent="0.3">
      <c r="J24931"/>
    </row>
    <row r="24932" spans="10:10" x14ac:dyDescent="0.3">
      <c r="J24932"/>
    </row>
    <row r="24933" spans="10:10" x14ac:dyDescent="0.3">
      <c r="J24933"/>
    </row>
    <row r="24934" spans="10:10" x14ac:dyDescent="0.3">
      <c r="J24934"/>
    </row>
    <row r="24935" spans="10:10" x14ac:dyDescent="0.3">
      <c r="J24935"/>
    </row>
    <row r="24936" spans="10:10" x14ac:dyDescent="0.3">
      <c r="J24936"/>
    </row>
    <row r="24937" spans="10:10" x14ac:dyDescent="0.3">
      <c r="J24937"/>
    </row>
    <row r="24938" spans="10:10" x14ac:dyDescent="0.3">
      <c r="J24938"/>
    </row>
    <row r="24939" spans="10:10" x14ac:dyDescent="0.3">
      <c r="J24939"/>
    </row>
    <row r="24940" spans="10:10" x14ac:dyDescent="0.3">
      <c r="J24940"/>
    </row>
    <row r="24941" spans="10:10" x14ac:dyDescent="0.3">
      <c r="J24941"/>
    </row>
    <row r="24942" spans="10:10" x14ac:dyDescent="0.3">
      <c r="J24942"/>
    </row>
    <row r="24943" spans="10:10" x14ac:dyDescent="0.3">
      <c r="J24943"/>
    </row>
    <row r="24944" spans="10:10" x14ac:dyDescent="0.3">
      <c r="J24944"/>
    </row>
    <row r="24945" spans="10:10" x14ac:dyDescent="0.3">
      <c r="J24945"/>
    </row>
    <row r="24946" spans="10:10" x14ac:dyDescent="0.3">
      <c r="J24946"/>
    </row>
    <row r="24947" spans="10:10" x14ac:dyDescent="0.3">
      <c r="J24947"/>
    </row>
    <row r="24948" spans="10:10" x14ac:dyDescent="0.3">
      <c r="J24948"/>
    </row>
    <row r="24949" spans="10:10" x14ac:dyDescent="0.3">
      <c r="J24949"/>
    </row>
    <row r="24950" spans="10:10" x14ac:dyDescent="0.3">
      <c r="J24950"/>
    </row>
    <row r="24951" spans="10:10" x14ac:dyDescent="0.3">
      <c r="J24951"/>
    </row>
    <row r="24952" spans="10:10" x14ac:dyDescent="0.3">
      <c r="J24952"/>
    </row>
    <row r="24953" spans="10:10" x14ac:dyDescent="0.3">
      <c r="J24953"/>
    </row>
    <row r="24954" spans="10:10" x14ac:dyDescent="0.3">
      <c r="J24954"/>
    </row>
    <row r="24955" spans="10:10" x14ac:dyDescent="0.3">
      <c r="J24955"/>
    </row>
    <row r="24956" spans="10:10" x14ac:dyDescent="0.3">
      <c r="J24956"/>
    </row>
    <row r="24957" spans="10:10" x14ac:dyDescent="0.3">
      <c r="J24957"/>
    </row>
    <row r="24958" spans="10:10" x14ac:dyDescent="0.3">
      <c r="J24958"/>
    </row>
    <row r="24959" spans="10:10" x14ac:dyDescent="0.3">
      <c r="J24959"/>
    </row>
    <row r="24960" spans="10:10" x14ac:dyDescent="0.3">
      <c r="J24960"/>
    </row>
    <row r="24961" spans="10:10" x14ac:dyDescent="0.3">
      <c r="J24961"/>
    </row>
    <row r="24962" spans="10:10" x14ac:dyDescent="0.3">
      <c r="J24962"/>
    </row>
    <row r="24963" spans="10:10" x14ac:dyDescent="0.3">
      <c r="J24963"/>
    </row>
    <row r="24964" spans="10:10" x14ac:dyDescent="0.3">
      <c r="J24964"/>
    </row>
    <row r="24965" spans="10:10" x14ac:dyDescent="0.3">
      <c r="J24965"/>
    </row>
    <row r="24966" spans="10:10" x14ac:dyDescent="0.3">
      <c r="J24966"/>
    </row>
    <row r="24967" spans="10:10" x14ac:dyDescent="0.3">
      <c r="J24967"/>
    </row>
    <row r="24968" spans="10:10" x14ac:dyDescent="0.3">
      <c r="J24968"/>
    </row>
    <row r="24969" spans="10:10" x14ac:dyDescent="0.3">
      <c r="J24969"/>
    </row>
    <row r="24970" spans="10:10" x14ac:dyDescent="0.3">
      <c r="J24970"/>
    </row>
    <row r="24971" spans="10:10" x14ac:dyDescent="0.3">
      <c r="J24971"/>
    </row>
    <row r="24972" spans="10:10" x14ac:dyDescent="0.3">
      <c r="J24972"/>
    </row>
    <row r="24973" spans="10:10" x14ac:dyDescent="0.3">
      <c r="J24973"/>
    </row>
    <row r="24974" spans="10:10" x14ac:dyDescent="0.3">
      <c r="J24974"/>
    </row>
    <row r="24975" spans="10:10" x14ac:dyDescent="0.3">
      <c r="J24975"/>
    </row>
    <row r="24976" spans="10:10" x14ac:dyDescent="0.3">
      <c r="J24976"/>
    </row>
    <row r="24977" spans="10:10" x14ac:dyDescent="0.3">
      <c r="J24977"/>
    </row>
    <row r="24978" spans="10:10" x14ac:dyDescent="0.3">
      <c r="J24978"/>
    </row>
    <row r="24979" spans="10:10" x14ac:dyDescent="0.3">
      <c r="J24979"/>
    </row>
    <row r="24980" spans="10:10" x14ac:dyDescent="0.3">
      <c r="J24980"/>
    </row>
    <row r="24981" spans="10:10" x14ac:dyDescent="0.3">
      <c r="J24981"/>
    </row>
    <row r="24982" spans="10:10" x14ac:dyDescent="0.3">
      <c r="J24982"/>
    </row>
    <row r="24983" spans="10:10" x14ac:dyDescent="0.3">
      <c r="J24983"/>
    </row>
    <row r="24984" spans="10:10" x14ac:dyDescent="0.3">
      <c r="J24984"/>
    </row>
    <row r="24985" spans="10:10" x14ac:dyDescent="0.3">
      <c r="J24985"/>
    </row>
    <row r="24986" spans="10:10" x14ac:dyDescent="0.3">
      <c r="J24986"/>
    </row>
    <row r="24987" spans="10:10" x14ac:dyDescent="0.3">
      <c r="J24987"/>
    </row>
    <row r="24988" spans="10:10" x14ac:dyDescent="0.3">
      <c r="J24988"/>
    </row>
    <row r="24989" spans="10:10" x14ac:dyDescent="0.3">
      <c r="J24989"/>
    </row>
    <row r="24990" spans="10:10" x14ac:dyDescent="0.3">
      <c r="J24990"/>
    </row>
    <row r="24991" spans="10:10" x14ac:dyDescent="0.3">
      <c r="J24991"/>
    </row>
    <row r="24992" spans="10:10" x14ac:dyDescent="0.3">
      <c r="J24992"/>
    </row>
    <row r="24993" spans="10:10" x14ac:dyDescent="0.3">
      <c r="J24993"/>
    </row>
    <row r="24994" spans="10:10" x14ac:dyDescent="0.3">
      <c r="J24994"/>
    </row>
    <row r="24995" spans="10:10" x14ac:dyDescent="0.3">
      <c r="J24995"/>
    </row>
    <row r="24996" spans="10:10" x14ac:dyDescent="0.3">
      <c r="J24996"/>
    </row>
    <row r="24997" spans="10:10" x14ac:dyDescent="0.3">
      <c r="J24997"/>
    </row>
    <row r="24998" spans="10:10" x14ac:dyDescent="0.3">
      <c r="J24998"/>
    </row>
    <row r="24999" spans="10:10" x14ac:dyDescent="0.3">
      <c r="J24999"/>
    </row>
    <row r="25000" spans="10:10" x14ac:dyDescent="0.3">
      <c r="J25000"/>
    </row>
    <row r="25001" spans="10:10" x14ac:dyDescent="0.3">
      <c r="J25001"/>
    </row>
    <row r="25002" spans="10:10" x14ac:dyDescent="0.3">
      <c r="J25002"/>
    </row>
    <row r="25003" spans="10:10" x14ac:dyDescent="0.3">
      <c r="J25003"/>
    </row>
    <row r="25004" spans="10:10" x14ac:dyDescent="0.3">
      <c r="J25004"/>
    </row>
    <row r="25005" spans="10:10" x14ac:dyDescent="0.3">
      <c r="J25005"/>
    </row>
    <row r="25006" spans="10:10" x14ac:dyDescent="0.3">
      <c r="J25006"/>
    </row>
    <row r="25007" spans="10:10" x14ac:dyDescent="0.3">
      <c r="J25007"/>
    </row>
    <row r="25008" spans="10:10" x14ac:dyDescent="0.3">
      <c r="J25008"/>
    </row>
    <row r="25009" spans="10:10" x14ac:dyDescent="0.3">
      <c r="J25009"/>
    </row>
    <row r="25010" spans="10:10" x14ac:dyDescent="0.3">
      <c r="J25010"/>
    </row>
    <row r="25011" spans="10:10" x14ac:dyDescent="0.3">
      <c r="J25011"/>
    </row>
    <row r="25012" spans="10:10" x14ac:dyDescent="0.3">
      <c r="J25012"/>
    </row>
    <row r="25013" spans="10:10" x14ac:dyDescent="0.3">
      <c r="J25013"/>
    </row>
    <row r="25014" spans="10:10" x14ac:dyDescent="0.3">
      <c r="J25014"/>
    </row>
    <row r="25015" spans="10:10" x14ac:dyDescent="0.3">
      <c r="J25015"/>
    </row>
    <row r="25016" spans="10:10" x14ac:dyDescent="0.3">
      <c r="J25016"/>
    </row>
    <row r="25017" spans="10:10" x14ac:dyDescent="0.3">
      <c r="J25017"/>
    </row>
    <row r="25018" spans="10:10" x14ac:dyDescent="0.3">
      <c r="J25018"/>
    </row>
    <row r="25019" spans="10:10" x14ac:dyDescent="0.3">
      <c r="J25019"/>
    </row>
    <row r="25020" spans="10:10" x14ac:dyDescent="0.3">
      <c r="J25020"/>
    </row>
    <row r="25021" spans="10:10" x14ac:dyDescent="0.3">
      <c r="J25021"/>
    </row>
    <row r="25022" spans="10:10" x14ac:dyDescent="0.3">
      <c r="J25022"/>
    </row>
    <row r="25023" spans="10:10" x14ac:dyDescent="0.3">
      <c r="J25023"/>
    </row>
    <row r="25024" spans="10:10" x14ac:dyDescent="0.3">
      <c r="J25024"/>
    </row>
    <row r="25025" spans="10:10" x14ac:dyDescent="0.3">
      <c r="J25025"/>
    </row>
    <row r="25026" spans="10:10" x14ac:dyDescent="0.3">
      <c r="J25026"/>
    </row>
    <row r="25027" spans="10:10" x14ac:dyDescent="0.3">
      <c r="J25027"/>
    </row>
    <row r="25028" spans="10:10" x14ac:dyDescent="0.3">
      <c r="J25028"/>
    </row>
    <row r="25029" spans="10:10" x14ac:dyDescent="0.3">
      <c r="J25029"/>
    </row>
    <row r="25030" spans="10:10" x14ac:dyDescent="0.3">
      <c r="J25030"/>
    </row>
    <row r="25031" spans="10:10" x14ac:dyDescent="0.3">
      <c r="J25031"/>
    </row>
    <row r="25032" spans="10:10" x14ac:dyDescent="0.3">
      <c r="J25032"/>
    </row>
    <row r="25033" spans="10:10" x14ac:dyDescent="0.3">
      <c r="J25033"/>
    </row>
    <row r="25034" spans="10:10" x14ac:dyDescent="0.3">
      <c r="J25034"/>
    </row>
    <row r="25035" spans="10:10" x14ac:dyDescent="0.3">
      <c r="J25035"/>
    </row>
    <row r="25036" spans="10:10" x14ac:dyDescent="0.3">
      <c r="J25036"/>
    </row>
    <row r="25037" spans="10:10" x14ac:dyDescent="0.3">
      <c r="J25037"/>
    </row>
    <row r="25038" spans="10:10" x14ac:dyDescent="0.3">
      <c r="J25038"/>
    </row>
    <row r="25039" spans="10:10" x14ac:dyDescent="0.3">
      <c r="J25039"/>
    </row>
    <row r="25040" spans="10:10" x14ac:dyDescent="0.3">
      <c r="J25040"/>
    </row>
    <row r="25041" spans="10:10" x14ac:dyDescent="0.3">
      <c r="J25041"/>
    </row>
    <row r="25042" spans="10:10" x14ac:dyDescent="0.3">
      <c r="J25042"/>
    </row>
    <row r="25043" spans="10:10" x14ac:dyDescent="0.3">
      <c r="J25043"/>
    </row>
    <row r="25044" spans="10:10" x14ac:dyDescent="0.3">
      <c r="J25044"/>
    </row>
    <row r="25045" spans="10:10" x14ac:dyDescent="0.3">
      <c r="J25045"/>
    </row>
    <row r="25046" spans="10:10" x14ac:dyDescent="0.3">
      <c r="J25046"/>
    </row>
    <row r="25047" spans="10:10" x14ac:dyDescent="0.3">
      <c r="J25047"/>
    </row>
    <row r="25048" spans="10:10" x14ac:dyDescent="0.3">
      <c r="J25048"/>
    </row>
    <row r="25049" spans="10:10" x14ac:dyDescent="0.3">
      <c r="J25049"/>
    </row>
    <row r="25050" spans="10:10" x14ac:dyDescent="0.3">
      <c r="J25050"/>
    </row>
    <row r="25051" spans="10:10" x14ac:dyDescent="0.3">
      <c r="J25051"/>
    </row>
    <row r="25052" spans="10:10" x14ac:dyDescent="0.3">
      <c r="J25052"/>
    </row>
    <row r="25053" spans="10:10" x14ac:dyDescent="0.3">
      <c r="J25053"/>
    </row>
    <row r="25054" spans="10:10" x14ac:dyDescent="0.3">
      <c r="J25054"/>
    </row>
    <row r="25055" spans="10:10" x14ac:dyDescent="0.3">
      <c r="J25055"/>
    </row>
    <row r="25056" spans="10:10" x14ac:dyDescent="0.3">
      <c r="J25056"/>
    </row>
    <row r="25057" spans="10:10" x14ac:dyDescent="0.3">
      <c r="J25057"/>
    </row>
    <row r="25058" spans="10:10" x14ac:dyDescent="0.3">
      <c r="J25058"/>
    </row>
    <row r="25059" spans="10:10" x14ac:dyDescent="0.3">
      <c r="J25059"/>
    </row>
    <row r="25060" spans="10:10" x14ac:dyDescent="0.3">
      <c r="J25060"/>
    </row>
    <row r="25061" spans="10:10" x14ac:dyDescent="0.3">
      <c r="J25061"/>
    </row>
    <row r="25062" spans="10:10" x14ac:dyDescent="0.3">
      <c r="J25062"/>
    </row>
    <row r="25063" spans="10:10" x14ac:dyDescent="0.3">
      <c r="J25063"/>
    </row>
    <row r="25064" spans="10:10" x14ac:dyDescent="0.3">
      <c r="J25064"/>
    </row>
    <row r="25065" spans="10:10" x14ac:dyDescent="0.3">
      <c r="J25065"/>
    </row>
    <row r="25066" spans="10:10" x14ac:dyDescent="0.3">
      <c r="J25066"/>
    </row>
    <row r="25067" spans="10:10" x14ac:dyDescent="0.3">
      <c r="J25067"/>
    </row>
    <row r="25068" spans="10:10" x14ac:dyDescent="0.3">
      <c r="J25068"/>
    </row>
    <row r="25069" spans="10:10" x14ac:dyDescent="0.3">
      <c r="J25069"/>
    </row>
    <row r="25070" spans="10:10" x14ac:dyDescent="0.3">
      <c r="J25070"/>
    </row>
    <row r="25071" spans="10:10" x14ac:dyDescent="0.3">
      <c r="J25071"/>
    </row>
    <row r="25072" spans="10:10" x14ac:dyDescent="0.3">
      <c r="J25072"/>
    </row>
    <row r="25073" spans="10:10" x14ac:dyDescent="0.3">
      <c r="J25073"/>
    </row>
    <row r="25074" spans="10:10" x14ac:dyDescent="0.3">
      <c r="J25074"/>
    </row>
    <row r="25075" spans="10:10" x14ac:dyDescent="0.3">
      <c r="J25075"/>
    </row>
    <row r="25076" spans="10:10" x14ac:dyDescent="0.3">
      <c r="J25076"/>
    </row>
    <row r="25077" spans="10:10" x14ac:dyDescent="0.3">
      <c r="J25077"/>
    </row>
    <row r="25078" spans="10:10" x14ac:dyDescent="0.3">
      <c r="J25078"/>
    </row>
    <row r="25079" spans="10:10" x14ac:dyDescent="0.3">
      <c r="J25079"/>
    </row>
    <row r="25080" spans="10:10" x14ac:dyDescent="0.3">
      <c r="J25080"/>
    </row>
    <row r="25081" spans="10:10" x14ac:dyDescent="0.3">
      <c r="J25081"/>
    </row>
    <row r="25082" spans="10:10" x14ac:dyDescent="0.3">
      <c r="J25082"/>
    </row>
    <row r="25083" spans="10:10" x14ac:dyDescent="0.3">
      <c r="J25083"/>
    </row>
    <row r="25084" spans="10:10" x14ac:dyDescent="0.3">
      <c r="J25084"/>
    </row>
    <row r="25085" spans="10:10" x14ac:dyDescent="0.3">
      <c r="J25085"/>
    </row>
    <row r="25086" spans="10:10" x14ac:dyDescent="0.3">
      <c r="J25086"/>
    </row>
    <row r="25087" spans="10:10" x14ac:dyDescent="0.3">
      <c r="J25087"/>
    </row>
    <row r="25088" spans="10:10" x14ac:dyDescent="0.3">
      <c r="J25088"/>
    </row>
    <row r="25089" spans="10:10" x14ac:dyDescent="0.3">
      <c r="J25089"/>
    </row>
    <row r="25090" spans="10:10" x14ac:dyDescent="0.3">
      <c r="J25090"/>
    </row>
    <row r="25091" spans="10:10" x14ac:dyDescent="0.3">
      <c r="J25091"/>
    </row>
    <row r="25092" spans="10:10" x14ac:dyDescent="0.3">
      <c r="J25092"/>
    </row>
    <row r="25093" spans="10:10" x14ac:dyDescent="0.3">
      <c r="J25093"/>
    </row>
    <row r="25094" spans="10:10" x14ac:dyDescent="0.3">
      <c r="J25094"/>
    </row>
    <row r="25095" spans="10:10" x14ac:dyDescent="0.3">
      <c r="J25095"/>
    </row>
    <row r="25096" spans="10:10" x14ac:dyDescent="0.3">
      <c r="J25096"/>
    </row>
    <row r="25097" spans="10:10" x14ac:dyDescent="0.3">
      <c r="J25097"/>
    </row>
    <row r="25098" spans="10:10" x14ac:dyDescent="0.3">
      <c r="J25098"/>
    </row>
    <row r="25099" spans="10:10" x14ac:dyDescent="0.3">
      <c r="J25099"/>
    </row>
    <row r="25100" spans="10:10" x14ac:dyDescent="0.3">
      <c r="J25100"/>
    </row>
    <row r="25101" spans="10:10" x14ac:dyDescent="0.3">
      <c r="J25101"/>
    </row>
    <row r="25102" spans="10:10" x14ac:dyDescent="0.3">
      <c r="J25102"/>
    </row>
    <row r="25103" spans="10:10" x14ac:dyDescent="0.3">
      <c r="J25103"/>
    </row>
    <row r="25104" spans="10:10" x14ac:dyDescent="0.3">
      <c r="J25104"/>
    </row>
    <row r="25105" spans="10:10" x14ac:dyDescent="0.3">
      <c r="J25105"/>
    </row>
    <row r="25106" spans="10:10" x14ac:dyDescent="0.3">
      <c r="J25106"/>
    </row>
    <row r="25107" spans="10:10" x14ac:dyDescent="0.3">
      <c r="J25107"/>
    </row>
    <row r="25108" spans="10:10" x14ac:dyDescent="0.3">
      <c r="J25108"/>
    </row>
    <row r="25109" spans="10:10" x14ac:dyDescent="0.3">
      <c r="J25109"/>
    </row>
    <row r="25110" spans="10:10" x14ac:dyDescent="0.3">
      <c r="J25110"/>
    </row>
    <row r="25111" spans="10:10" x14ac:dyDescent="0.3">
      <c r="J25111"/>
    </row>
    <row r="25112" spans="10:10" x14ac:dyDescent="0.3">
      <c r="J25112"/>
    </row>
    <row r="25113" spans="10:10" x14ac:dyDescent="0.3">
      <c r="J25113"/>
    </row>
    <row r="25114" spans="10:10" x14ac:dyDescent="0.3">
      <c r="J25114"/>
    </row>
    <row r="25115" spans="10:10" x14ac:dyDescent="0.3">
      <c r="J25115"/>
    </row>
    <row r="25116" spans="10:10" x14ac:dyDescent="0.3">
      <c r="J25116"/>
    </row>
    <row r="25117" spans="10:10" x14ac:dyDescent="0.3">
      <c r="J25117"/>
    </row>
    <row r="25118" spans="10:10" x14ac:dyDescent="0.3">
      <c r="J25118"/>
    </row>
    <row r="25119" spans="10:10" x14ac:dyDescent="0.3">
      <c r="J25119"/>
    </row>
    <row r="25120" spans="10:10" x14ac:dyDescent="0.3">
      <c r="J25120"/>
    </row>
    <row r="25121" spans="10:10" x14ac:dyDescent="0.3">
      <c r="J25121"/>
    </row>
    <row r="25122" spans="10:10" x14ac:dyDescent="0.3">
      <c r="J25122"/>
    </row>
    <row r="25123" spans="10:10" x14ac:dyDescent="0.3">
      <c r="J25123"/>
    </row>
    <row r="25124" spans="10:10" x14ac:dyDescent="0.3">
      <c r="J25124"/>
    </row>
    <row r="25125" spans="10:10" x14ac:dyDescent="0.3">
      <c r="J25125"/>
    </row>
    <row r="25126" spans="10:10" x14ac:dyDescent="0.3">
      <c r="J25126"/>
    </row>
    <row r="25127" spans="10:10" x14ac:dyDescent="0.3">
      <c r="J25127"/>
    </row>
    <row r="25128" spans="10:10" x14ac:dyDescent="0.3">
      <c r="J25128"/>
    </row>
    <row r="25129" spans="10:10" x14ac:dyDescent="0.3">
      <c r="J25129"/>
    </row>
    <row r="25130" spans="10:10" x14ac:dyDescent="0.3">
      <c r="J25130"/>
    </row>
    <row r="25131" spans="10:10" x14ac:dyDescent="0.3">
      <c r="J25131"/>
    </row>
    <row r="25132" spans="10:10" x14ac:dyDescent="0.3">
      <c r="J25132"/>
    </row>
    <row r="25133" spans="10:10" x14ac:dyDescent="0.3">
      <c r="J25133"/>
    </row>
    <row r="25134" spans="10:10" x14ac:dyDescent="0.3">
      <c r="J25134"/>
    </row>
    <row r="25135" spans="10:10" x14ac:dyDescent="0.3">
      <c r="J25135"/>
    </row>
    <row r="25136" spans="10:10" x14ac:dyDescent="0.3">
      <c r="J25136"/>
    </row>
    <row r="25137" spans="10:10" x14ac:dyDescent="0.3">
      <c r="J25137"/>
    </row>
    <row r="25138" spans="10:10" x14ac:dyDescent="0.3">
      <c r="J25138"/>
    </row>
    <row r="25139" spans="10:10" x14ac:dyDescent="0.3">
      <c r="J25139"/>
    </row>
    <row r="25140" spans="10:10" x14ac:dyDescent="0.3">
      <c r="J25140"/>
    </row>
    <row r="25141" spans="10:10" x14ac:dyDescent="0.3">
      <c r="J25141"/>
    </row>
    <row r="25142" spans="10:10" x14ac:dyDescent="0.3">
      <c r="J25142"/>
    </row>
    <row r="25143" spans="10:10" x14ac:dyDescent="0.3">
      <c r="J25143"/>
    </row>
    <row r="25144" spans="10:10" x14ac:dyDescent="0.3">
      <c r="J25144"/>
    </row>
    <row r="25145" spans="10:10" x14ac:dyDescent="0.3">
      <c r="J25145"/>
    </row>
    <row r="25146" spans="10:10" x14ac:dyDescent="0.3">
      <c r="J25146"/>
    </row>
    <row r="25147" spans="10:10" x14ac:dyDescent="0.3">
      <c r="J25147"/>
    </row>
    <row r="25148" spans="10:10" x14ac:dyDescent="0.3">
      <c r="J25148"/>
    </row>
    <row r="25149" spans="10:10" x14ac:dyDescent="0.3">
      <c r="J25149"/>
    </row>
    <row r="25150" spans="10:10" x14ac:dyDescent="0.3">
      <c r="J25150"/>
    </row>
    <row r="25151" spans="10:10" x14ac:dyDescent="0.3">
      <c r="J25151"/>
    </row>
    <row r="25152" spans="10:10" x14ac:dyDescent="0.3">
      <c r="J25152"/>
    </row>
    <row r="25153" spans="10:10" x14ac:dyDescent="0.3">
      <c r="J25153"/>
    </row>
    <row r="25154" spans="10:10" x14ac:dyDescent="0.3">
      <c r="J25154"/>
    </row>
    <row r="25155" spans="10:10" x14ac:dyDescent="0.3">
      <c r="J25155"/>
    </row>
    <row r="25156" spans="10:10" x14ac:dyDescent="0.3">
      <c r="J25156"/>
    </row>
    <row r="25157" spans="10:10" x14ac:dyDescent="0.3">
      <c r="J25157"/>
    </row>
    <row r="25158" spans="10:10" x14ac:dyDescent="0.3">
      <c r="J25158"/>
    </row>
    <row r="25159" spans="10:10" x14ac:dyDescent="0.3">
      <c r="J25159"/>
    </row>
    <row r="25160" spans="10:10" x14ac:dyDescent="0.3">
      <c r="J25160"/>
    </row>
    <row r="25161" spans="10:10" x14ac:dyDescent="0.3">
      <c r="J25161"/>
    </row>
    <row r="25162" spans="10:10" x14ac:dyDescent="0.3">
      <c r="J25162"/>
    </row>
    <row r="25163" spans="10:10" x14ac:dyDescent="0.3">
      <c r="J25163"/>
    </row>
    <row r="25164" spans="10:10" x14ac:dyDescent="0.3">
      <c r="J25164"/>
    </row>
    <row r="25165" spans="10:10" x14ac:dyDescent="0.3">
      <c r="J25165"/>
    </row>
    <row r="25166" spans="10:10" x14ac:dyDescent="0.3">
      <c r="J25166"/>
    </row>
    <row r="25167" spans="10:10" x14ac:dyDescent="0.3">
      <c r="J25167"/>
    </row>
    <row r="25168" spans="10:10" x14ac:dyDescent="0.3">
      <c r="J25168"/>
    </row>
    <row r="25169" spans="10:10" x14ac:dyDescent="0.3">
      <c r="J25169"/>
    </row>
    <row r="25170" spans="10:10" x14ac:dyDescent="0.3">
      <c r="J25170"/>
    </row>
    <row r="25171" spans="10:10" x14ac:dyDescent="0.3">
      <c r="J25171"/>
    </row>
    <row r="25172" spans="10:10" x14ac:dyDescent="0.3">
      <c r="J25172"/>
    </row>
    <row r="25173" spans="10:10" x14ac:dyDescent="0.3">
      <c r="J25173"/>
    </row>
    <row r="25174" spans="10:10" x14ac:dyDescent="0.3">
      <c r="J25174"/>
    </row>
    <row r="25175" spans="10:10" x14ac:dyDescent="0.3">
      <c r="J25175"/>
    </row>
    <row r="25176" spans="10:10" x14ac:dyDescent="0.3">
      <c r="J25176"/>
    </row>
    <row r="25177" spans="10:10" x14ac:dyDescent="0.3">
      <c r="J25177"/>
    </row>
    <row r="25178" spans="10:10" x14ac:dyDescent="0.3">
      <c r="J25178"/>
    </row>
    <row r="25179" spans="10:10" x14ac:dyDescent="0.3">
      <c r="J25179"/>
    </row>
    <row r="25180" spans="10:10" x14ac:dyDescent="0.3">
      <c r="J25180"/>
    </row>
    <row r="25181" spans="10:10" x14ac:dyDescent="0.3">
      <c r="J25181"/>
    </row>
    <row r="25182" spans="10:10" x14ac:dyDescent="0.3">
      <c r="J25182"/>
    </row>
    <row r="25183" spans="10:10" x14ac:dyDescent="0.3">
      <c r="J25183"/>
    </row>
    <row r="25184" spans="10:10" x14ac:dyDescent="0.3">
      <c r="J25184"/>
    </row>
    <row r="25185" spans="10:10" x14ac:dyDescent="0.3">
      <c r="J25185"/>
    </row>
    <row r="25186" spans="10:10" x14ac:dyDescent="0.3">
      <c r="J25186"/>
    </row>
    <row r="25187" spans="10:10" x14ac:dyDescent="0.3">
      <c r="J25187"/>
    </row>
    <row r="25188" spans="10:10" x14ac:dyDescent="0.3">
      <c r="J25188"/>
    </row>
    <row r="25189" spans="10:10" x14ac:dyDescent="0.3">
      <c r="J25189"/>
    </row>
    <row r="25190" spans="10:10" x14ac:dyDescent="0.3">
      <c r="J25190"/>
    </row>
    <row r="25191" spans="10:10" x14ac:dyDescent="0.3">
      <c r="J25191"/>
    </row>
    <row r="25192" spans="10:10" x14ac:dyDescent="0.3">
      <c r="J25192"/>
    </row>
    <row r="25193" spans="10:10" x14ac:dyDescent="0.3">
      <c r="J25193"/>
    </row>
    <row r="25194" spans="10:10" x14ac:dyDescent="0.3">
      <c r="J25194"/>
    </row>
    <row r="25195" spans="10:10" x14ac:dyDescent="0.3">
      <c r="J25195"/>
    </row>
    <row r="25196" spans="10:10" x14ac:dyDescent="0.3">
      <c r="J25196"/>
    </row>
    <row r="25197" spans="10:10" x14ac:dyDescent="0.3">
      <c r="J25197"/>
    </row>
    <row r="25198" spans="10:10" x14ac:dyDescent="0.3">
      <c r="J25198"/>
    </row>
    <row r="25199" spans="10:10" x14ac:dyDescent="0.3">
      <c r="J25199"/>
    </row>
    <row r="25200" spans="10:10" x14ac:dyDescent="0.3">
      <c r="J25200"/>
    </row>
    <row r="25201" spans="10:10" x14ac:dyDescent="0.3">
      <c r="J25201"/>
    </row>
    <row r="25202" spans="10:10" x14ac:dyDescent="0.3">
      <c r="J25202"/>
    </row>
    <row r="25203" spans="10:10" x14ac:dyDescent="0.3">
      <c r="J25203"/>
    </row>
    <row r="25204" spans="10:10" x14ac:dyDescent="0.3">
      <c r="J25204"/>
    </row>
    <row r="25205" spans="10:10" x14ac:dyDescent="0.3">
      <c r="J25205"/>
    </row>
    <row r="25206" spans="10:10" x14ac:dyDescent="0.3">
      <c r="J25206"/>
    </row>
    <row r="25207" spans="10:10" x14ac:dyDescent="0.3">
      <c r="J25207"/>
    </row>
    <row r="25208" spans="10:10" x14ac:dyDescent="0.3">
      <c r="J25208"/>
    </row>
    <row r="25209" spans="10:10" x14ac:dyDescent="0.3">
      <c r="J25209"/>
    </row>
    <row r="25210" spans="10:10" x14ac:dyDescent="0.3">
      <c r="J25210"/>
    </row>
    <row r="25211" spans="10:10" x14ac:dyDescent="0.3">
      <c r="J25211"/>
    </row>
    <row r="25212" spans="10:10" x14ac:dyDescent="0.3">
      <c r="J25212"/>
    </row>
    <row r="25213" spans="10:10" x14ac:dyDescent="0.3">
      <c r="J25213"/>
    </row>
    <row r="25214" spans="10:10" x14ac:dyDescent="0.3">
      <c r="J25214"/>
    </row>
    <row r="25215" spans="10:10" x14ac:dyDescent="0.3">
      <c r="J25215"/>
    </row>
    <row r="25216" spans="10:10" x14ac:dyDescent="0.3">
      <c r="J25216"/>
    </row>
    <row r="25217" spans="10:10" x14ac:dyDescent="0.3">
      <c r="J25217"/>
    </row>
    <row r="25218" spans="10:10" x14ac:dyDescent="0.3">
      <c r="J25218"/>
    </row>
    <row r="25219" spans="10:10" x14ac:dyDescent="0.3">
      <c r="J25219"/>
    </row>
    <row r="25220" spans="10:10" x14ac:dyDescent="0.3">
      <c r="J25220"/>
    </row>
    <row r="25221" spans="10:10" x14ac:dyDescent="0.3">
      <c r="J25221"/>
    </row>
    <row r="25222" spans="10:10" x14ac:dyDescent="0.3">
      <c r="J25222"/>
    </row>
    <row r="25223" spans="10:10" x14ac:dyDescent="0.3">
      <c r="J25223"/>
    </row>
    <row r="25224" spans="10:10" x14ac:dyDescent="0.3">
      <c r="J25224"/>
    </row>
    <row r="25225" spans="10:10" x14ac:dyDescent="0.3">
      <c r="J25225"/>
    </row>
    <row r="25226" spans="10:10" x14ac:dyDescent="0.3">
      <c r="J25226"/>
    </row>
    <row r="25227" spans="10:10" x14ac:dyDescent="0.3">
      <c r="J25227"/>
    </row>
    <row r="25228" spans="10:10" x14ac:dyDescent="0.3">
      <c r="J25228"/>
    </row>
    <row r="25229" spans="10:10" x14ac:dyDescent="0.3">
      <c r="J25229"/>
    </row>
    <row r="25230" spans="10:10" x14ac:dyDescent="0.3">
      <c r="J25230"/>
    </row>
    <row r="25231" spans="10:10" x14ac:dyDescent="0.3">
      <c r="J25231"/>
    </row>
    <row r="25232" spans="10:10" x14ac:dyDescent="0.3">
      <c r="J25232"/>
    </row>
    <row r="25233" spans="10:10" x14ac:dyDescent="0.3">
      <c r="J25233"/>
    </row>
    <row r="25234" spans="10:10" x14ac:dyDescent="0.3">
      <c r="J25234"/>
    </row>
    <row r="25235" spans="10:10" x14ac:dyDescent="0.3">
      <c r="J25235"/>
    </row>
    <row r="25236" spans="10:10" x14ac:dyDescent="0.3">
      <c r="J25236"/>
    </row>
    <row r="25237" spans="10:10" x14ac:dyDescent="0.3">
      <c r="J25237"/>
    </row>
    <row r="25238" spans="10:10" x14ac:dyDescent="0.3">
      <c r="J25238"/>
    </row>
    <row r="25239" spans="10:10" x14ac:dyDescent="0.3">
      <c r="J25239"/>
    </row>
    <row r="25240" spans="10:10" x14ac:dyDescent="0.3">
      <c r="J25240"/>
    </row>
    <row r="25241" spans="10:10" x14ac:dyDescent="0.3">
      <c r="J25241"/>
    </row>
    <row r="25242" spans="10:10" x14ac:dyDescent="0.3">
      <c r="J25242"/>
    </row>
    <row r="25243" spans="10:10" x14ac:dyDescent="0.3">
      <c r="J25243"/>
    </row>
    <row r="25244" spans="10:10" x14ac:dyDescent="0.3">
      <c r="J25244"/>
    </row>
    <row r="25245" spans="10:10" x14ac:dyDescent="0.3">
      <c r="J25245"/>
    </row>
    <row r="25246" spans="10:10" x14ac:dyDescent="0.3">
      <c r="J25246"/>
    </row>
    <row r="25247" spans="10:10" x14ac:dyDescent="0.3">
      <c r="J25247"/>
    </row>
    <row r="25248" spans="10:10" x14ac:dyDescent="0.3">
      <c r="J25248"/>
    </row>
    <row r="25249" spans="10:10" x14ac:dyDescent="0.3">
      <c r="J25249"/>
    </row>
    <row r="25250" spans="10:10" x14ac:dyDescent="0.3">
      <c r="J25250"/>
    </row>
    <row r="25251" spans="10:10" x14ac:dyDescent="0.3">
      <c r="J25251"/>
    </row>
    <row r="25252" spans="10:10" x14ac:dyDescent="0.3">
      <c r="J25252"/>
    </row>
    <row r="25253" spans="10:10" x14ac:dyDescent="0.3">
      <c r="J25253"/>
    </row>
    <row r="25254" spans="10:10" x14ac:dyDescent="0.3">
      <c r="J25254"/>
    </row>
    <row r="25255" spans="10:10" x14ac:dyDescent="0.3">
      <c r="J25255"/>
    </row>
    <row r="25256" spans="10:10" x14ac:dyDescent="0.3">
      <c r="J25256"/>
    </row>
    <row r="25257" spans="10:10" x14ac:dyDescent="0.3">
      <c r="J25257"/>
    </row>
    <row r="25258" spans="10:10" x14ac:dyDescent="0.3">
      <c r="J25258"/>
    </row>
    <row r="25259" spans="10:10" x14ac:dyDescent="0.3">
      <c r="J25259"/>
    </row>
    <row r="25260" spans="10:10" x14ac:dyDescent="0.3">
      <c r="J25260"/>
    </row>
    <row r="25261" spans="10:10" x14ac:dyDescent="0.3">
      <c r="J25261"/>
    </row>
    <row r="25262" spans="10:10" x14ac:dyDescent="0.3">
      <c r="J25262"/>
    </row>
    <row r="25263" spans="10:10" x14ac:dyDescent="0.3">
      <c r="J25263"/>
    </row>
    <row r="25264" spans="10:10" x14ac:dyDescent="0.3">
      <c r="J25264"/>
    </row>
    <row r="25265" spans="10:10" x14ac:dyDescent="0.3">
      <c r="J25265"/>
    </row>
    <row r="25266" spans="10:10" x14ac:dyDescent="0.3">
      <c r="J25266"/>
    </row>
    <row r="25267" spans="10:10" x14ac:dyDescent="0.3">
      <c r="J25267"/>
    </row>
    <row r="25268" spans="10:10" x14ac:dyDescent="0.3">
      <c r="J25268"/>
    </row>
    <row r="25269" spans="10:10" x14ac:dyDescent="0.3">
      <c r="J25269"/>
    </row>
    <row r="25270" spans="10:10" x14ac:dyDescent="0.3">
      <c r="J25270"/>
    </row>
    <row r="25271" spans="10:10" x14ac:dyDescent="0.3">
      <c r="J25271"/>
    </row>
    <row r="25272" spans="10:10" x14ac:dyDescent="0.3">
      <c r="J25272"/>
    </row>
    <row r="25273" spans="10:10" x14ac:dyDescent="0.3">
      <c r="J25273"/>
    </row>
    <row r="25274" spans="10:10" x14ac:dyDescent="0.3">
      <c r="J25274"/>
    </row>
    <row r="25275" spans="10:10" x14ac:dyDescent="0.3">
      <c r="J25275"/>
    </row>
    <row r="25276" spans="10:10" x14ac:dyDescent="0.3">
      <c r="J25276"/>
    </row>
    <row r="25277" spans="10:10" x14ac:dyDescent="0.3">
      <c r="J25277"/>
    </row>
    <row r="25278" spans="10:10" x14ac:dyDescent="0.3">
      <c r="J25278"/>
    </row>
    <row r="25279" spans="10:10" x14ac:dyDescent="0.3">
      <c r="J25279"/>
    </row>
    <row r="25280" spans="10:10" x14ac:dyDescent="0.3">
      <c r="J25280"/>
    </row>
    <row r="25281" spans="10:10" x14ac:dyDescent="0.3">
      <c r="J25281"/>
    </row>
    <row r="25282" spans="10:10" x14ac:dyDescent="0.3">
      <c r="J25282"/>
    </row>
    <row r="25283" spans="10:10" x14ac:dyDescent="0.3">
      <c r="J25283"/>
    </row>
    <row r="25284" spans="10:10" x14ac:dyDescent="0.3">
      <c r="J25284"/>
    </row>
    <row r="25285" spans="10:10" x14ac:dyDescent="0.3">
      <c r="J25285"/>
    </row>
    <row r="25286" spans="10:10" x14ac:dyDescent="0.3">
      <c r="J25286"/>
    </row>
    <row r="25287" spans="10:10" x14ac:dyDescent="0.3">
      <c r="J25287"/>
    </row>
    <row r="25288" spans="10:10" x14ac:dyDescent="0.3">
      <c r="J25288"/>
    </row>
    <row r="25289" spans="10:10" x14ac:dyDescent="0.3">
      <c r="J25289"/>
    </row>
    <row r="25290" spans="10:10" x14ac:dyDescent="0.3">
      <c r="J25290"/>
    </row>
    <row r="25291" spans="10:10" x14ac:dyDescent="0.3">
      <c r="J25291"/>
    </row>
    <row r="25292" spans="10:10" x14ac:dyDescent="0.3">
      <c r="J25292"/>
    </row>
    <row r="25293" spans="10:10" x14ac:dyDescent="0.3">
      <c r="J25293"/>
    </row>
    <row r="25294" spans="10:10" x14ac:dyDescent="0.3">
      <c r="J25294"/>
    </row>
    <row r="25295" spans="10:10" x14ac:dyDescent="0.3">
      <c r="J25295"/>
    </row>
    <row r="25296" spans="10:10" x14ac:dyDescent="0.3">
      <c r="J25296"/>
    </row>
    <row r="25297" spans="10:10" x14ac:dyDescent="0.3">
      <c r="J25297"/>
    </row>
    <row r="25298" spans="10:10" x14ac:dyDescent="0.3">
      <c r="J25298"/>
    </row>
    <row r="25299" spans="10:10" x14ac:dyDescent="0.3">
      <c r="J25299"/>
    </row>
    <row r="25300" spans="10:10" x14ac:dyDescent="0.3">
      <c r="J25300"/>
    </row>
    <row r="25301" spans="10:10" x14ac:dyDescent="0.3">
      <c r="J25301"/>
    </row>
    <row r="25302" spans="10:10" x14ac:dyDescent="0.3">
      <c r="J25302"/>
    </row>
    <row r="25303" spans="10:10" x14ac:dyDescent="0.3">
      <c r="J25303"/>
    </row>
    <row r="25304" spans="10:10" x14ac:dyDescent="0.3">
      <c r="J25304"/>
    </row>
    <row r="25305" spans="10:10" x14ac:dyDescent="0.3">
      <c r="J25305"/>
    </row>
    <row r="25306" spans="10:10" x14ac:dyDescent="0.3">
      <c r="J25306"/>
    </row>
    <row r="25307" spans="10:10" x14ac:dyDescent="0.3">
      <c r="J25307"/>
    </row>
    <row r="25308" spans="10:10" x14ac:dyDescent="0.3">
      <c r="J25308"/>
    </row>
    <row r="25309" spans="10:10" x14ac:dyDescent="0.3">
      <c r="J25309"/>
    </row>
    <row r="25310" spans="10:10" x14ac:dyDescent="0.3">
      <c r="J25310"/>
    </row>
    <row r="25311" spans="10:10" x14ac:dyDescent="0.3">
      <c r="J25311"/>
    </row>
    <row r="25312" spans="10:10" x14ac:dyDescent="0.3">
      <c r="J25312"/>
    </row>
    <row r="25313" spans="10:10" x14ac:dyDescent="0.3">
      <c r="J25313"/>
    </row>
    <row r="25314" spans="10:10" x14ac:dyDescent="0.3">
      <c r="J25314"/>
    </row>
    <row r="25315" spans="10:10" x14ac:dyDescent="0.3">
      <c r="J25315"/>
    </row>
    <row r="25316" spans="10:10" x14ac:dyDescent="0.3">
      <c r="J25316"/>
    </row>
    <row r="25317" spans="10:10" x14ac:dyDescent="0.3">
      <c r="J25317"/>
    </row>
    <row r="25318" spans="10:10" x14ac:dyDescent="0.3">
      <c r="J25318"/>
    </row>
    <row r="25319" spans="10:10" x14ac:dyDescent="0.3">
      <c r="J25319"/>
    </row>
    <row r="25320" spans="10:10" x14ac:dyDescent="0.3">
      <c r="J25320"/>
    </row>
    <row r="25321" spans="10:10" x14ac:dyDescent="0.3">
      <c r="J25321"/>
    </row>
    <row r="25322" spans="10:10" x14ac:dyDescent="0.3">
      <c r="J25322"/>
    </row>
    <row r="25323" spans="10:10" x14ac:dyDescent="0.3">
      <c r="J25323"/>
    </row>
    <row r="25324" spans="10:10" x14ac:dyDescent="0.3">
      <c r="J25324"/>
    </row>
    <row r="25325" spans="10:10" x14ac:dyDescent="0.3">
      <c r="J25325"/>
    </row>
    <row r="25326" spans="10:10" x14ac:dyDescent="0.3">
      <c r="J25326"/>
    </row>
    <row r="25327" spans="10:10" x14ac:dyDescent="0.3">
      <c r="J25327"/>
    </row>
    <row r="25328" spans="10:10" x14ac:dyDescent="0.3">
      <c r="J25328"/>
    </row>
    <row r="25329" spans="10:10" x14ac:dyDescent="0.3">
      <c r="J25329"/>
    </row>
    <row r="25330" spans="10:10" x14ac:dyDescent="0.3">
      <c r="J25330"/>
    </row>
    <row r="25331" spans="10:10" x14ac:dyDescent="0.3">
      <c r="J25331"/>
    </row>
    <row r="25332" spans="10:10" x14ac:dyDescent="0.3">
      <c r="J25332"/>
    </row>
    <row r="25333" spans="10:10" x14ac:dyDescent="0.3">
      <c r="J25333"/>
    </row>
    <row r="25334" spans="10:10" x14ac:dyDescent="0.3">
      <c r="J25334"/>
    </row>
    <row r="25335" spans="10:10" x14ac:dyDescent="0.3">
      <c r="J25335"/>
    </row>
    <row r="25336" spans="10:10" x14ac:dyDescent="0.3">
      <c r="J25336"/>
    </row>
    <row r="25337" spans="10:10" x14ac:dyDescent="0.3">
      <c r="J25337"/>
    </row>
    <row r="25338" spans="10:10" x14ac:dyDescent="0.3">
      <c r="J25338"/>
    </row>
    <row r="25339" spans="10:10" x14ac:dyDescent="0.3">
      <c r="J25339"/>
    </row>
    <row r="25340" spans="10:10" x14ac:dyDescent="0.3">
      <c r="J25340"/>
    </row>
    <row r="25341" spans="10:10" x14ac:dyDescent="0.3">
      <c r="J25341"/>
    </row>
    <row r="25342" spans="10:10" x14ac:dyDescent="0.3">
      <c r="J25342"/>
    </row>
    <row r="25343" spans="10:10" x14ac:dyDescent="0.3">
      <c r="J25343"/>
    </row>
    <row r="25344" spans="10:10" x14ac:dyDescent="0.3">
      <c r="J25344"/>
    </row>
    <row r="25345" spans="10:10" x14ac:dyDescent="0.3">
      <c r="J25345"/>
    </row>
    <row r="25346" spans="10:10" x14ac:dyDescent="0.3">
      <c r="J25346"/>
    </row>
    <row r="25347" spans="10:10" x14ac:dyDescent="0.3">
      <c r="J25347"/>
    </row>
    <row r="25348" spans="10:10" x14ac:dyDescent="0.3">
      <c r="J25348"/>
    </row>
    <row r="25349" spans="10:10" x14ac:dyDescent="0.3">
      <c r="J25349"/>
    </row>
    <row r="25350" spans="10:10" x14ac:dyDescent="0.3">
      <c r="J25350"/>
    </row>
    <row r="25351" spans="10:10" x14ac:dyDescent="0.3">
      <c r="J25351"/>
    </row>
    <row r="25352" spans="10:10" x14ac:dyDescent="0.3">
      <c r="J25352"/>
    </row>
    <row r="25353" spans="10:10" x14ac:dyDescent="0.3">
      <c r="J25353"/>
    </row>
    <row r="25354" spans="10:10" x14ac:dyDescent="0.3">
      <c r="J25354"/>
    </row>
    <row r="25355" spans="10:10" x14ac:dyDescent="0.3">
      <c r="J25355"/>
    </row>
    <row r="25356" spans="10:10" x14ac:dyDescent="0.3">
      <c r="J25356"/>
    </row>
    <row r="25357" spans="10:10" x14ac:dyDescent="0.3">
      <c r="J25357"/>
    </row>
    <row r="25358" spans="10:10" x14ac:dyDescent="0.3">
      <c r="J25358"/>
    </row>
    <row r="25359" spans="10:10" x14ac:dyDescent="0.3">
      <c r="J25359"/>
    </row>
    <row r="25360" spans="10:10" x14ac:dyDescent="0.3">
      <c r="J25360"/>
    </row>
    <row r="25361" spans="10:10" x14ac:dyDescent="0.3">
      <c r="J25361"/>
    </row>
    <row r="25362" spans="10:10" x14ac:dyDescent="0.3">
      <c r="J25362"/>
    </row>
    <row r="25363" spans="10:10" x14ac:dyDescent="0.3">
      <c r="J25363"/>
    </row>
    <row r="25364" spans="10:10" x14ac:dyDescent="0.3">
      <c r="J25364"/>
    </row>
    <row r="25365" spans="10:10" x14ac:dyDescent="0.3">
      <c r="J25365"/>
    </row>
    <row r="25366" spans="10:10" x14ac:dyDescent="0.3">
      <c r="J25366"/>
    </row>
    <row r="25367" spans="10:10" x14ac:dyDescent="0.3">
      <c r="J25367"/>
    </row>
    <row r="25368" spans="10:10" x14ac:dyDescent="0.3">
      <c r="J25368"/>
    </row>
    <row r="25369" spans="10:10" x14ac:dyDescent="0.3">
      <c r="J25369"/>
    </row>
    <row r="25370" spans="10:10" x14ac:dyDescent="0.3">
      <c r="J25370"/>
    </row>
    <row r="25371" spans="10:10" x14ac:dyDescent="0.3">
      <c r="J25371"/>
    </row>
    <row r="25372" spans="10:10" x14ac:dyDescent="0.3">
      <c r="J25372"/>
    </row>
    <row r="25373" spans="10:10" x14ac:dyDescent="0.3">
      <c r="J25373"/>
    </row>
    <row r="25374" spans="10:10" x14ac:dyDescent="0.3">
      <c r="J25374"/>
    </row>
    <row r="25375" spans="10:10" x14ac:dyDescent="0.3">
      <c r="J25375"/>
    </row>
    <row r="25376" spans="10:10" x14ac:dyDescent="0.3">
      <c r="J25376"/>
    </row>
    <row r="25377" spans="10:10" x14ac:dyDescent="0.3">
      <c r="J25377"/>
    </row>
    <row r="25378" spans="10:10" x14ac:dyDescent="0.3">
      <c r="J25378"/>
    </row>
    <row r="25379" spans="10:10" x14ac:dyDescent="0.3">
      <c r="J25379"/>
    </row>
    <row r="25380" spans="10:10" x14ac:dyDescent="0.3">
      <c r="J25380"/>
    </row>
    <row r="25381" spans="10:10" x14ac:dyDescent="0.3">
      <c r="J25381"/>
    </row>
    <row r="25382" spans="10:10" x14ac:dyDescent="0.3">
      <c r="J25382"/>
    </row>
    <row r="25383" spans="10:10" x14ac:dyDescent="0.3">
      <c r="J25383"/>
    </row>
    <row r="25384" spans="10:10" x14ac:dyDescent="0.3">
      <c r="J25384"/>
    </row>
    <row r="25385" spans="10:10" x14ac:dyDescent="0.3">
      <c r="J25385"/>
    </row>
    <row r="25386" spans="10:10" x14ac:dyDescent="0.3">
      <c r="J25386"/>
    </row>
    <row r="25387" spans="10:10" x14ac:dyDescent="0.3">
      <c r="J25387"/>
    </row>
    <row r="25388" spans="10:10" x14ac:dyDescent="0.3">
      <c r="J25388"/>
    </row>
    <row r="25389" spans="10:10" x14ac:dyDescent="0.3">
      <c r="J25389"/>
    </row>
    <row r="25390" spans="10:10" x14ac:dyDescent="0.3">
      <c r="J25390"/>
    </row>
    <row r="25391" spans="10:10" x14ac:dyDescent="0.3">
      <c r="J25391"/>
    </row>
    <row r="25392" spans="10:10" x14ac:dyDescent="0.3">
      <c r="J25392"/>
    </row>
    <row r="25393" spans="10:10" x14ac:dyDescent="0.3">
      <c r="J25393"/>
    </row>
    <row r="25394" spans="10:10" x14ac:dyDescent="0.3">
      <c r="J25394"/>
    </row>
    <row r="25395" spans="10:10" x14ac:dyDescent="0.3">
      <c r="J25395"/>
    </row>
    <row r="25396" spans="10:10" x14ac:dyDescent="0.3">
      <c r="J25396"/>
    </row>
    <row r="25397" spans="10:10" x14ac:dyDescent="0.3">
      <c r="J25397"/>
    </row>
    <row r="25398" spans="10:10" x14ac:dyDescent="0.3">
      <c r="J25398"/>
    </row>
    <row r="25399" spans="10:10" x14ac:dyDescent="0.3">
      <c r="J25399"/>
    </row>
    <row r="25400" spans="10:10" x14ac:dyDescent="0.3">
      <c r="J25400"/>
    </row>
    <row r="25401" spans="10:10" x14ac:dyDescent="0.3">
      <c r="J25401"/>
    </row>
    <row r="25402" spans="10:10" x14ac:dyDescent="0.3">
      <c r="J25402"/>
    </row>
    <row r="25403" spans="10:10" x14ac:dyDescent="0.3">
      <c r="J25403"/>
    </row>
    <row r="25404" spans="10:10" x14ac:dyDescent="0.3">
      <c r="J25404"/>
    </row>
    <row r="25405" spans="10:10" x14ac:dyDescent="0.3">
      <c r="J25405"/>
    </row>
    <row r="25406" spans="10:10" x14ac:dyDescent="0.3">
      <c r="J25406"/>
    </row>
    <row r="25407" spans="10:10" x14ac:dyDescent="0.3">
      <c r="J25407"/>
    </row>
    <row r="25408" spans="10:10" x14ac:dyDescent="0.3">
      <c r="J25408"/>
    </row>
    <row r="25409" spans="10:10" x14ac:dyDescent="0.3">
      <c r="J25409"/>
    </row>
    <row r="25410" spans="10:10" x14ac:dyDescent="0.3">
      <c r="J25410"/>
    </row>
    <row r="25411" spans="10:10" x14ac:dyDescent="0.3">
      <c r="J25411"/>
    </row>
    <row r="25412" spans="10:10" x14ac:dyDescent="0.3">
      <c r="J25412"/>
    </row>
    <row r="25413" spans="10:10" x14ac:dyDescent="0.3">
      <c r="J25413"/>
    </row>
    <row r="25414" spans="10:10" x14ac:dyDescent="0.3">
      <c r="J25414"/>
    </row>
    <row r="25415" spans="10:10" x14ac:dyDescent="0.3">
      <c r="J25415"/>
    </row>
    <row r="25416" spans="10:10" x14ac:dyDescent="0.3">
      <c r="J25416"/>
    </row>
    <row r="25417" spans="10:10" x14ac:dyDescent="0.3">
      <c r="J25417"/>
    </row>
    <row r="25418" spans="10:10" x14ac:dyDescent="0.3">
      <c r="J25418"/>
    </row>
    <row r="25419" spans="10:10" x14ac:dyDescent="0.3">
      <c r="J25419"/>
    </row>
    <row r="25420" spans="10:10" x14ac:dyDescent="0.3">
      <c r="J25420"/>
    </row>
    <row r="25421" spans="10:10" x14ac:dyDescent="0.3">
      <c r="J25421"/>
    </row>
    <row r="25422" spans="10:10" x14ac:dyDescent="0.3">
      <c r="J25422"/>
    </row>
    <row r="25423" spans="10:10" x14ac:dyDescent="0.3">
      <c r="J25423"/>
    </row>
    <row r="25424" spans="10:10" x14ac:dyDescent="0.3">
      <c r="J25424"/>
    </row>
    <row r="25425" spans="10:10" x14ac:dyDescent="0.3">
      <c r="J25425"/>
    </row>
    <row r="25426" spans="10:10" x14ac:dyDescent="0.3">
      <c r="J25426"/>
    </row>
    <row r="25427" spans="10:10" x14ac:dyDescent="0.3">
      <c r="J25427"/>
    </row>
    <row r="25428" spans="10:10" x14ac:dyDescent="0.3">
      <c r="J25428"/>
    </row>
    <row r="25429" spans="10:10" x14ac:dyDescent="0.3">
      <c r="J25429"/>
    </row>
    <row r="25430" spans="10:10" x14ac:dyDescent="0.3">
      <c r="J25430"/>
    </row>
    <row r="25431" spans="10:10" x14ac:dyDescent="0.3">
      <c r="J25431"/>
    </row>
    <row r="25432" spans="10:10" x14ac:dyDescent="0.3">
      <c r="J25432"/>
    </row>
    <row r="25433" spans="10:10" x14ac:dyDescent="0.3">
      <c r="J25433"/>
    </row>
    <row r="25434" spans="10:10" x14ac:dyDescent="0.3">
      <c r="J25434"/>
    </row>
    <row r="25435" spans="10:10" x14ac:dyDescent="0.3">
      <c r="J25435"/>
    </row>
    <row r="25436" spans="10:10" x14ac:dyDescent="0.3">
      <c r="J25436"/>
    </row>
    <row r="25437" spans="10:10" x14ac:dyDescent="0.3">
      <c r="J25437"/>
    </row>
    <row r="25438" spans="10:10" x14ac:dyDescent="0.3">
      <c r="J25438"/>
    </row>
    <row r="25439" spans="10:10" x14ac:dyDescent="0.3">
      <c r="J25439"/>
    </row>
    <row r="25440" spans="10:10" x14ac:dyDescent="0.3">
      <c r="J25440"/>
    </row>
    <row r="25441" spans="10:10" x14ac:dyDescent="0.3">
      <c r="J25441"/>
    </row>
    <row r="25442" spans="10:10" x14ac:dyDescent="0.3">
      <c r="J25442"/>
    </row>
    <row r="25443" spans="10:10" x14ac:dyDescent="0.3">
      <c r="J25443"/>
    </row>
    <row r="25444" spans="10:10" x14ac:dyDescent="0.3">
      <c r="J25444"/>
    </row>
    <row r="25445" spans="10:10" x14ac:dyDescent="0.3">
      <c r="J25445"/>
    </row>
    <row r="25446" spans="10:10" x14ac:dyDescent="0.3">
      <c r="J25446"/>
    </row>
    <row r="25447" spans="10:10" x14ac:dyDescent="0.3">
      <c r="J25447"/>
    </row>
    <row r="25448" spans="10:10" x14ac:dyDescent="0.3">
      <c r="J25448"/>
    </row>
    <row r="25449" spans="10:10" x14ac:dyDescent="0.3">
      <c r="J25449"/>
    </row>
    <row r="25450" spans="10:10" x14ac:dyDescent="0.3">
      <c r="J25450"/>
    </row>
    <row r="25451" spans="10:10" x14ac:dyDescent="0.3">
      <c r="J25451"/>
    </row>
    <row r="25452" spans="10:10" x14ac:dyDescent="0.3">
      <c r="J25452"/>
    </row>
    <row r="25453" spans="10:10" x14ac:dyDescent="0.3">
      <c r="J25453"/>
    </row>
    <row r="25454" spans="10:10" x14ac:dyDescent="0.3">
      <c r="J25454"/>
    </row>
    <row r="25455" spans="10:10" x14ac:dyDescent="0.3">
      <c r="J25455"/>
    </row>
    <row r="25456" spans="10:10" x14ac:dyDescent="0.3">
      <c r="J25456"/>
    </row>
    <row r="25457" spans="10:10" x14ac:dyDescent="0.3">
      <c r="J25457"/>
    </row>
    <row r="25458" spans="10:10" x14ac:dyDescent="0.3">
      <c r="J25458"/>
    </row>
    <row r="25459" spans="10:10" x14ac:dyDescent="0.3">
      <c r="J25459"/>
    </row>
    <row r="25460" spans="10:10" x14ac:dyDescent="0.3">
      <c r="J25460"/>
    </row>
    <row r="25461" spans="10:10" x14ac:dyDescent="0.3">
      <c r="J25461"/>
    </row>
    <row r="25462" spans="10:10" x14ac:dyDescent="0.3">
      <c r="J25462"/>
    </row>
    <row r="25463" spans="10:10" x14ac:dyDescent="0.3">
      <c r="J25463"/>
    </row>
    <row r="25464" spans="10:10" x14ac:dyDescent="0.3">
      <c r="J25464"/>
    </row>
    <row r="25465" spans="10:10" x14ac:dyDescent="0.3">
      <c r="J25465"/>
    </row>
    <row r="25466" spans="10:10" x14ac:dyDescent="0.3">
      <c r="J25466"/>
    </row>
    <row r="25467" spans="10:10" x14ac:dyDescent="0.3">
      <c r="J25467"/>
    </row>
    <row r="25468" spans="10:10" x14ac:dyDescent="0.3">
      <c r="J25468"/>
    </row>
    <row r="25469" spans="10:10" x14ac:dyDescent="0.3">
      <c r="J25469"/>
    </row>
    <row r="25470" spans="10:10" x14ac:dyDescent="0.3">
      <c r="J25470"/>
    </row>
    <row r="25471" spans="10:10" x14ac:dyDescent="0.3">
      <c r="J25471"/>
    </row>
    <row r="25472" spans="10:10" x14ac:dyDescent="0.3">
      <c r="J25472"/>
    </row>
    <row r="25473" spans="10:10" x14ac:dyDescent="0.3">
      <c r="J25473"/>
    </row>
    <row r="25474" spans="10:10" x14ac:dyDescent="0.3">
      <c r="J25474"/>
    </row>
    <row r="25475" spans="10:10" x14ac:dyDescent="0.3">
      <c r="J25475"/>
    </row>
    <row r="25476" spans="10:10" x14ac:dyDescent="0.3">
      <c r="J25476"/>
    </row>
    <row r="25477" spans="10:10" x14ac:dyDescent="0.3">
      <c r="J25477"/>
    </row>
    <row r="25478" spans="10:10" x14ac:dyDescent="0.3">
      <c r="J25478"/>
    </row>
    <row r="25479" spans="10:10" x14ac:dyDescent="0.3">
      <c r="J25479"/>
    </row>
    <row r="25480" spans="10:10" x14ac:dyDescent="0.3">
      <c r="J25480"/>
    </row>
    <row r="25481" spans="10:10" x14ac:dyDescent="0.3">
      <c r="J25481"/>
    </row>
    <row r="25482" spans="10:10" x14ac:dyDescent="0.3">
      <c r="J25482"/>
    </row>
    <row r="25483" spans="10:10" x14ac:dyDescent="0.3">
      <c r="J25483"/>
    </row>
    <row r="25484" spans="10:10" x14ac:dyDescent="0.3">
      <c r="J25484"/>
    </row>
    <row r="25485" spans="10:10" x14ac:dyDescent="0.3">
      <c r="J25485"/>
    </row>
    <row r="25486" spans="10:10" x14ac:dyDescent="0.3">
      <c r="J25486"/>
    </row>
    <row r="25487" spans="10:10" x14ac:dyDescent="0.3">
      <c r="J25487"/>
    </row>
    <row r="25488" spans="10:10" x14ac:dyDescent="0.3">
      <c r="J25488"/>
    </row>
    <row r="25489" spans="10:10" x14ac:dyDescent="0.3">
      <c r="J25489"/>
    </row>
    <row r="25490" spans="10:10" x14ac:dyDescent="0.3">
      <c r="J25490"/>
    </row>
    <row r="25491" spans="10:10" x14ac:dyDescent="0.3">
      <c r="J25491"/>
    </row>
    <row r="25492" spans="10:10" x14ac:dyDescent="0.3">
      <c r="J25492"/>
    </row>
    <row r="25493" spans="10:10" x14ac:dyDescent="0.3">
      <c r="J25493"/>
    </row>
    <row r="25494" spans="10:10" x14ac:dyDescent="0.3">
      <c r="J25494"/>
    </row>
    <row r="25495" spans="10:10" x14ac:dyDescent="0.3">
      <c r="J25495"/>
    </row>
    <row r="25496" spans="10:10" x14ac:dyDescent="0.3">
      <c r="J25496"/>
    </row>
    <row r="25497" spans="10:10" x14ac:dyDescent="0.3">
      <c r="J25497"/>
    </row>
    <row r="25498" spans="10:10" x14ac:dyDescent="0.3">
      <c r="J25498"/>
    </row>
    <row r="25499" spans="10:10" x14ac:dyDescent="0.3">
      <c r="J25499"/>
    </row>
    <row r="25500" spans="10:10" x14ac:dyDescent="0.3">
      <c r="J25500"/>
    </row>
    <row r="25501" spans="10:10" x14ac:dyDescent="0.3">
      <c r="J25501"/>
    </row>
    <row r="25502" spans="10:10" x14ac:dyDescent="0.3">
      <c r="J25502"/>
    </row>
    <row r="25503" spans="10:10" x14ac:dyDescent="0.3">
      <c r="J25503"/>
    </row>
    <row r="25504" spans="10:10" x14ac:dyDescent="0.3">
      <c r="J25504"/>
    </row>
    <row r="25505" spans="10:10" x14ac:dyDescent="0.3">
      <c r="J25505"/>
    </row>
    <row r="25506" spans="10:10" x14ac:dyDescent="0.3">
      <c r="J25506"/>
    </row>
    <row r="25507" spans="10:10" x14ac:dyDescent="0.3">
      <c r="J25507"/>
    </row>
    <row r="25508" spans="10:10" x14ac:dyDescent="0.3">
      <c r="J25508"/>
    </row>
    <row r="25509" spans="10:10" x14ac:dyDescent="0.3">
      <c r="J25509"/>
    </row>
    <row r="25510" spans="10:10" x14ac:dyDescent="0.3">
      <c r="J25510"/>
    </row>
    <row r="25511" spans="10:10" x14ac:dyDescent="0.3">
      <c r="J25511"/>
    </row>
    <row r="25512" spans="10:10" x14ac:dyDescent="0.3">
      <c r="J25512"/>
    </row>
    <row r="25513" spans="10:10" x14ac:dyDescent="0.3">
      <c r="J25513"/>
    </row>
    <row r="25514" spans="10:10" x14ac:dyDescent="0.3">
      <c r="J25514"/>
    </row>
    <row r="25515" spans="10:10" x14ac:dyDescent="0.3">
      <c r="J25515"/>
    </row>
    <row r="25516" spans="10:10" x14ac:dyDescent="0.3">
      <c r="J25516"/>
    </row>
    <row r="25517" spans="10:10" x14ac:dyDescent="0.3">
      <c r="J25517"/>
    </row>
    <row r="25518" spans="10:10" x14ac:dyDescent="0.3">
      <c r="J25518"/>
    </row>
    <row r="25519" spans="10:10" x14ac:dyDescent="0.3">
      <c r="J25519"/>
    </row>
    <row r="25520" spans="10:10" x14ac:dyDescent="0.3">
      <c r="J25520"/>
    </row>
    <row r="25521" spans="10:10" x14ac:dyDescent="0.3">
      <c r="J25521"/>
    </row>
    <row r="25522" spans="10:10" x14ac:dyDescent="0.3">
      <c r="J25522"/>
    </row>
    <row r="25523" spans="10:10" x14ac:dyDescent="0.3">
      <c r="J25523"/>
    </row>
    <row r="25524" spans="10:10" x14ac:dyDescent="0.3">
      <c r="J25524"/>
    </row>
    <row r="25525" spans="10:10" x14ac:dyDescent="0.3">
      <c r="J25525"/>
    </row>
    <row r="25526" spans="10:10" x14ac:dyDescent="0.3">
      <c r="J25526"/>
    </row>
    <row r="25527" spans="10:10" x14ac:dyDescent="0.3">
      <c r="J25527"/>
    </row>
    <row r="25528" spans="10:10" x14ac:dyDescent="0.3">
      <c r="J25528"/>
    </row>
    <row r="25529" spans="10:10" x14ac:dyDescent="0.3">
      <c r="J25529"/>
    </row>
    <row r="25530" spans="10:10" x14ac:dyDescent="0.3">
      <c r="J25530"/>
    </row>
    <row r="25531" spans="10:10" x14ac:dyDescent="0.3">
      <c r="J25531"/>
    </row>
    <row r="25532" spans="10:10" x14ac:dyDescent="0.3">
      <c r="J25532"/>
    </row>
    <row r="25533" spans="10:10" x14ac:dyDescent="0.3">
      <c r="J25533"/>
    </row>
    <row r="25534" spans="10:10" x14ac:dyDescent="0.3">
      <c r="J25534"/>
    </row>
    <row r="25535" spans="10:10" x14ac:dyDescent="0.3">
      <c r="J25535"/>
    </row>
    <row r="25536" spans="10:10" x14ac:dyDescent="0.3">
      <c r="J25536"/>
    </row>
    <row r="25537" spans="10:10" x14ac:dyDescent="0.3">
      <c r="J25537"/>
    </row>
    <row r="25538" spans="10:10" x14ac:dyDescent="0.3">
      <c r="J25538"/>
    </row>
    <row r="25539" spans="10:10" x14ac:dyDescent="0.3">
      <c r="J25539"/>
    </row>
    <row r="25540" spans="10:10" x14ac:dyDescent="0.3">
      <c r="J25540"/>
    </row>
    <row r="25541" spans="10:10" x14ac:dyDescent="0.3">
      <c r="J25541"/>
    </row>
    <row r="25542" spans="10:10" x14ac:dyDescent="0.3">
      <c r="J25542"/>
    </row>
    <row r="25543" spans="10:10" x14ac:dyDescent="0.3">
      <c r="J25543"/>
    </row>
    <row r="25544" spans="10:10" x14ac:dyDescent="0.3">
      <c r="J25544"/>
    </row>
    <row r="25545" spans="10:10" x14ac:dyDescent="0.3">
      <c r="J25545"/>
    </row>
    <row r="25546" spans="10:10" x14ac:dyDescent="0.3">
      <c r="J25546"/>
    </row>
    <row r="25547" spans="10:10" x14ac:dyDescent="0.3">
      <c r="J25547"/>
    </row>
    <row r="25548" spans="10:10" x14ac:dyDescent="0.3">
      <c r="J25548"/>
    </row>
    <row r="25549" spans="10:10" x14ac:dyDescent="0.3">
      <c r="J25549"/>
    </row>
    <row r="25550" spans="10:10" x14ac:dyDescent="0.3">
      <c r="J25550"/>
    </row>
    <row r="25551" spans="10:10" x14ac:dyDescent="0.3">
      <c r="J25551"/>
    </row>
    <row r="25552" spans="10:10" x14ac:dyDescent="0.3">
      <c r="J25552"/>
    </row>
    <row r="25553" spans="10:10" x14ac:dyDescent="0.3">
      <c r="J25553"/>
    </row>
    <row r="25554" spans="10:10" x14ac:dyDescent="0.3">
      <c r="J25554"/>
    </row>
    <row r="25555" spans="10:10" x14ac:dyDescent="0.3">
      <c r="J25555"/>
    </row>
    <row r="25556" spans="10:10" x14ac:dyDescent="0.3">
      <c r="J25556"/>
    </row>
    <row r="25557" spans="10:10" x14ac:dyDescent="0.3">
      <c r="J25557"/>
    </row>
    <row r="25558" spans="10:10" x14ac:dyDescent="0.3">
      <c r="J25558"/>
    </row>
    <row r="25559" spans="10:10" x14ac:dyDescent="0.3">
      <c r="J25559"/>
    </row>
    <row r="25560" spans="10:10" x14ac:dyDescent="0.3">
      <c r="J25560"/>
    </row>
    <row r="25561" spans="10:10" x14ac:dyDescent="0.3">
      <c r="J25561"/>
    </row>
    <row r="25562" spans="10:10" x14ac:dyDescent="0.3">
      <c r="J25562"/>
    </row>
    <row r="25563" spans="10:10" x14ac:dyDescent="0.3">
      <c r="J25563"/>
    </row>
    <row r="25564" spans="10:10" x14ac:dyDescent="0.3">
      <c r="J25564"/>
    </row>
    <row r="25565" spans="10:10" x14ac:dyDescent="0.3">
      <c r="J25565"/>
    </row>
    <row r="25566" spans="10:10" x14ac:dyDescent="0.3">
      <c r="J25566"/>
    </row>
    <row r="25567" spans="10:10" x14ac:dyDescent="0.3">
      <c r="J25567"/>
    </row>
    <row r="25568" spans="10:10" x14ac:dyDescent="0.3">
      <c r="J25568"/>
    </row>
    <row r="25569" spans="10:10" x14ac:dyDescent="0.3">
      <c r="J25569"/>
    </row>
    <row r="25570" spans="10:10" x14ac:dyDescent="0.3">
      <c r="J25570"/>
    </row>
    <row r="25571" spans="10:10" x14ac:dyDescent="0.3">
      <c r="J25571"/>
    </row>
    <row r="25572" spans="10:10" x14ac:dyDescent="0.3">
      <c r="J25572"/>
    </row>
    <row r="25573" spans="10:10" x14ac:dyDescent="0.3">
      <c r="J25573"/>
    </row>
    <row r="25574" spans="10:10" x14ac:dyDescent="0.3">
      <c r="J25574"/>
    </row>
    <row r="25575" spans="10:10" x14ac:dyDescent="0.3">
      <c r="J25575"/>
    </row>
    <row r="25576" spans="10:10" x14ac:dyDescent="0.3">
      <c r="J25576"/>
    </row>
    <row r="25577" spans="10:10" x14ac:dyDescent="0.3">
      <c r="J25577"/>
    </row>
    <row r="25578" spans="10:10" x14ac:dyDescent="0.3">
      <c r="J25578"/>
    </row>
    <row r="25579" spans="10:10" x14ac:dyDescent="0.3">
      <c r="J25579"/>
    </row>
    <row r="25580" spans="10:10" x14ac:dyDescent="0.3">
      <c r="J25580"/>
    </row>
    <row r="25581" spans="10:10" x14ac:dyDescent="0.3">
      <c r="J25581"/>
    </row>
    <row r="25582" spans="10:10" x14ac:dyDescent="0.3">
      <c r="J25582"/>
    </row>
    <row r="25583" spans="10:10" x14ac:dyDescent="0.3">
      <c r="J25583"/>
    </row>
    <row r="25584" spans="10:10" x14ac:dyDescent="0.3">
      <c r="J25584"/>
    </row>
    <row r="25585" spans="10:10" x14ac:dyDescent="0.3">
      <c r="J25585"/>
    </row>
    <row r="25586" spans="10:10" x14ac:dyDescent="0.3">
      <c r="J25586"/>
    </row>
    <row r="25587" spans="10:10" x14ac:dyDescent="0.3">
      <c r="J25587"/>
    </row>
    <row r="25588" spans="10:10" x14ac:dyDescent="0.3">
      <c r="J25588"/>
    </row>
    <row r="25589" spans="10:10" x14ac:dyDescent="0.3">
      <c r="J25589"/>
    </row>
    <row r="25590" spans="10:10" x14ac:dyDescent="0.3">
      <c r="J25590"/>
    </row>
    <row r="25591" spans="10:10" x14ac:dyDescent="0.3">
      <c r="J25591"/>
    </row>
    <row r="25592" spans="10:10" x14ac:dyDescent="0.3">
      <c r="J25592"/>
    </row>
    <row r="25593" spans="10:10" x14ac:dyDescent="0.3">
      <c r="J25593"/>
    </row>
    <row r="25594" spans="10:10" x14ac:dyDescent="0.3">
      <c r="J25594"/>
    </row>
    <row r="25595" spans="10:10" x14ac:dyDescent="0.3">
      <c r="J25595"/>
    </row>
    <row r="25596" spans="10:10" x14ac:dyDescent="0.3">
      <c r="J25596"/>
    </row>
    <row r="25597" spans="10:10" x14ac:dyDescent="0.3">
      <c r="J25597"/>
    </row>
    <row r="25598" spans="10:10" x14ac:dyDescent="0.3">
      <c r="J25598"/>
    </row>
    <row r="25599" spans="10:10" x14ac:dyDescent="0.3">
      <c r="J25599"/>
    </row>
    <row r="25600" spans="10:10" x14ac:dyDescent="0.3">
      <c r="J25600"/>
    </row>
    <row r="25601" spans="10:10" x14ac:dyDescent="0.3">
      <c r="J25601"/>
    </row>
    <row r="25602" spans="10:10" x14ac:dyDescent="0.3">
      <c r="J25602"/>
    </row>
    <row r="25603" spans="10:10" x14ac:dyDescent="0.3">
      <c r="J25603"/>
    </row>
    <row r="25604" spans="10:10" x14ac:dyDescent="0.3">
      <c r="J25604"/>
    </row>
    <row r="25605" spans="10:10" x14ac:dyDescent="0.3">
      <c r="J25605"/>
    </row>
    <row r="25606" spans="10:10" x14ac:dyDescent="0.3">
      <c r="J25606"/>
    </row>
    <row r="25607" spans="10:10" x14ac:dyDescent="0.3">
      <c r="J25607"/>
    </row>
    <row r="25608" spans="10:10" x14ac:dyDescent="0.3">
      <c r="J25608"/>
    </row>
    <row r="25609" spans="10:10" x14ac:dyDescent="0.3">
      <c r="J25609"/>
    </row>
    <row r="25610" spans="10:10" x14ac:dyDescent="0.3">
      <c r="J25610"/>
    </row>
    <row r="25611" spans="10:10" x14ac:dyDescent="0.3">
      <c r="J25611"/>
    </row>
    <row r="25612" spans="10:10" x14ac:dyDescent="0.3">
      <c r="J25612"/>
    </row>
    <row r="25613" spans="10:10" x14ac:dyDescent="0.3">
      <c r="J25613"/>
    </row>
    <row r="25614" spans="10:10" x14ac:dyDescent="0.3">
      <c r="J25614"/>
    </row>
    <row r="25615" spans="10:10" x14ac:dyDescent="0.3">
      <c r="J25615"/>
    </row>
    <row r="25616" spans="10:10" x14ac:dyDescent="0.3">
      <c r="J25616"/>
    </row>
    <row r="25617" spans="10:10" x14ac:dyDescent="0.3">
      <c r="J25617"/>
    </row>
    <row r="25618" spans="10:10" x14ac:dyDescent="0.3">
      <c r="J25618"/>
    </row>
    <row r="25619" spans="10:10" x14ac:dyDescent="0.3">
      <c r="J25619"/>
    </row>
    <row r="25620" spans="10:10" x14ac:dyDescent="0.3">
      <c r="J25620"/>
    </row>
    <row r="25621" spans="10:10" x14ac:dyDescent="0.3">
      <c r="J25621"/>
    </row>
    <row r="25622" spans="10:10" x14ac:dyDescent="0.3">
      <c r="J25622"/>
    </row>
    <row r="25623" spans="10:10" x14ac:dyDescent="0.3">
      <c r="J25623"/>
    </row>
    <row r="25624" spans="10:10" x14ac:dyDescent="0.3">
      <c r="J25624"/>
    </row>
    <row r="25625" spans="10:10" x14ac:dyDescent="0.3">
      <c r="J25625"/>
    </row>
    <row r="25626" spans="10:10" x14ac:dyDescent="0.3">
      <c r="J25626"/>
    </row>
    <row r="25627" spans="10:10" x14ac:dyDescent="0.3">
      <c r="J25627"/>
    </row>
    <row r="25628" spans="10:10" x14ac:dyDescent="0.3">
      <c r="J25628"/>
    </row>
    <row r="25629" spans="10:10" x14ac:dyDescent="0.3">
      <c r="J25629"/>
    </row>
    <row r="25630" spans="10:10" x14ac:dyDescent="0.3">
      <c r="J25630"/>
    </row>
    <row r="25631" spans="10:10" x14ac:dyDescent="0.3">
      <c r="J25631"/>
    </row>
    <row r="25632" spans="10:10" x14ac:dyDescent="0.3">
      <c r="J25632"/>
    </row>
    <row r="25633" spans="10:10" x14ac:dyDescent="0.3">
      <c r="J25633"/>
    </row>
    <row r="25634" spans="10:10" x14ac:dyDescent="0.3">
      <c r="J25634"/>
    </row>
    <row r="25635" spans="10:10" x14ac:dyDescent="0.3">
      <c r="J25635"/>
    </row>
    <row r="25636" spans="10:10" x14ac:dyDescent="0.3">
      <c r="J25636"/>
    </row>
    <row r="25637" spans="10:10" x14ac:dyDescent="0.3">
      <c r="J25637"/>
    </row>
    <row r="25638" spans="10:10" x14ac:dyDescent="0.3">
      <c r="J25638"/>
    </row>
    <row r="25639" spans="10:10" x14ac:dyDescent="0.3">
      <c r="J25639"/>
    </row>
    <row r="25640" spans="10:10" x14ac:dyDescent="0.3">
      <c r="J25640"/>
    </row>
    <row r="25641" spans="10:10" x14ac:dyDescent="0.3">
      <c r="J25641"/>
    </row>
    <row r="25642" spans="10:10" x14ac:dyDescent="0.3">
      <c r="J25642"/>
    </row>
    <row r="25643" spans="10:10" x14ac:dyDescent="0.3">
      <c r="J25643"/>
    </row>
    <row r="25644" spans="10:10" x14ac:dyDescent="0.3">
      <c r="J25644"/>
    </row>
    <row r="25645" spans="10:10" x14ac:dyDescent="0.3">
      <c r="J25645"/>
    </row>
    <row r="25646" spans="10:10" x14ac:dyDescent="0.3">
      <c r="J25646"/>
    </row>
    <row r="25647" spans="10:10" x14ac:dyDescent="0.3">
      <c r="J25647"/>
    </row>
    <row r="25648" spans="10:10" x14ac:dyDescent="0.3">
      <c r="J25648"/>
    </row>
    <row r="25649" spans="10:10" x14ac:dyDescent="0.3">
      <c r="J25649"/>
    </row>
    <row r="25650" spans="10:10" x14ac:dyDescent="0.3">
      <c r="J25650"/>
    </row>
    <row r="25651" spans="10:10" x14ac:dyDescent="0.3">
      <c r="J25651"/>
    </row>
    <row r="25652" spans="10:10" x14ac:dyDescent="0.3">
      <c r="J25652"/>
    </row>
    <row r="25653" spans="10:10" x14ac:dyDescent="0.3">
      <c r="J25653"/>
    </row>
    <row r="25654" spans="10:10" x14ac:dyDescent="0.3">
      <c r="J25654"/>
    </row>
    <row r="25655" spans="10:10" x14ac:dyDescent="0.3">
      <c r="J25655"/>
    </row>
    <row r="25656" spans="10:10" x14ac:dyDescent="0.3">
      <c r="J25656"/>
    </row>
    <row r="25657" spans="10:10" x14ac:dyDescent="0.3">
      <c r="J25657"/>
    </row>
    <row r="25658" spans="10:10" x14ac:dyDescent="0.3">
      <c r="J25658"/>
    </row>
    <row r="25659" spans="10:10" x14ac:dyDescent="0.3">
      <c r="J25659"/>
    </row>
    <row r="25660" spans="10:10" x14ac:dyDescent="0.3">
      <c r="J25660"/>
    </row>
    <row r="25661" spans="10:10" x14ac:dyDescent="0.3">
      <c r="J25661"/>
    </row>
    <row r="25662" spans="10:10" x14ac:dyDescent="0.3">
      <c r="J25662"/>
    </row>
    <row r="25663" spans="10:10" x14ac:dyDescent="0.3">
      <c r="J25663"/>
    </row>
    <row r="25664" spans="10:10" x14ac:dyDescent="0.3">
      <c r="J25664"/>
    </row>
    <row r="25665" spans="10:10" x14ac:dyDescent="0.3">
      <c r="J25665"/>
    </row>
    <row r="25666" spans="10:10" x14ac:dyDescent="0.3">
      <c r="J25666"/>
    </row>
    <row r="25667" spans="10:10" x14ac:dyDescent="0.3">
      <c r="J25667"/>
    </row>
    <row r="25668" spans="10:10" x14ac:dyDescent="0.3">
      <c r="J25668"/>
    </row>
    <row r="25669" spans="10:10" x14ac:dyDescent="0.3">
      <c r="J25669"/>
    </row>
    <row r="25670" spans="10:10" x14ac:dyDescent="0.3">
      <c r="J25670"/>
    </row>
    <row r="25671" spans="10:10" x14ac:dyDescent="0.3">
      <c r="J25671"/>
    </row>
    <row r="25672" spans="10:10" x14ac:dyDescent="0.3">
      <c r="J25672"/>
    </row>
    <row r="25673" spans="10:10" x14ac:dyDescent="0.3">
      <c r="J25673"/>
    </row>
    <row r="25674" spans="10:10" x14ac:dyDescent="0.3">
      <c r="J25674"/>
    </row>
    <row r="25675" spans="10:10" x14ac:dyDescent="0.3">
      <c r="J25675"/>
    </row>
    <row r="25676" spans="10:10" x14ac:dyDescent="0.3">
      <c r="J25676"/>
    </row>
    <row r="25677" spans="10:10" x14ac:dyDescent="0.3">
      <c r="J25677"/>
    </row>
    <row r="25678" spans="10:10" x14ac:dyDescent="0.3">
      <c r="J25678"/>
    </row>
    <row r="25679" spans="10:10" x14ac:dyDescent="0.3">
      <c r="J25679"/>
    </row>
    <row r="25680" spans="10:10" x14ac:dyDescent="0.3">
      <c r="J25680"/>
    </row>
    <row r="25681" spans="10:10" x14ac:dyDescent="0.3">
      <c r="J25681"/>
    </row>
    <row r="25682" spans="10:10" x14ac:dyDescent="0.3">
      <c r="J25682"/>
    </row>
    <row r="25683" spans="10:10" x14ac:dyDescent="0.3">
      <c r="J25683"/>
    </row>
    <row r="25684" spans="10:10" x14ac:dyDescent="0.3">
      <c r="J25684"/>
    </row>
    <row r="25685" spans="10:10" x14ac:dyDescent="0.3">
      <c r="J25685"/>
    </row>
    <row r="25686" spans="10:10" x14ac:dyDescent="0.3">
      <c r="J25686"/>
    </row>
    <row r="25687" spans="10:10" x14ac:dyDescent="0.3">
      <c r="J25687"/>
    </row>
    <row r="25688" spans="10:10" x14ac:dyDescent="0.3">
      <c r="J25688"/>
    </row>
    <row r="25689" spans="10:10" x14ac:dyDescent="0.3">
      <c r="J25689"/>
    </row>
    <row r="25690" spans="10:10" x14ac:dyDescent="0.3">
      <c r="J25690"/>
    </row>
    <row r="25691" spans="10:10" x14ac:dyDescent="0.3">
      <c r="J25691"/>
    </row>
    <row r="25692" spans="10:10" x14ac:dyDescent="0.3">
      <c r="J25692"/>
    </row>
    <row r="25693" spans="10:10" x14ac:dyDescent="0.3">
      <c r="J25693"/>
    </row>
    <row r="25694" spans="10:10" x14ac:dyDescent="0.3">
      <c r="J25694"/>
    </row>
    <row r="25695" spans="10:10" x14ac:dyDescent="0.3">
      <c r="J25695"/>
    </row>
    <row r="25696" spans="10:10" x14ac:dyDescent="0.3">
      <c r="J25696"/>
    </row>
    <row r="25697" spans="10:10" x14ac:dyDescent="0.3">
      <c r="J25697"/>
    </row>
    <row r="25698" spans="10:10" x14ac:dyDescent="0.3">
      <c r="J25698"/>
    </row>
    <row r="25699" spans="10:10" x14ac:dyDescent="0.3">
      <c r="J25699"/>
    </row>
    <row r="25700" spans="10:10" x14ac:dyDescent="0.3">
      <c r="J25700"/>
    </row>
    <row r="25701" spans="10:10" x14ac:dyDescent="0.3">
      <c r="J25701"/>
    </row>
    <row r="25702" spans="10:10" x14ac:dyDescent="0.3">
      <c r="J25702"/>
    </row>
    <row r="25703" spans="10:10" x14ac:dyDescent="0.3">
      <c r="J25703"/>
    </row>
    <row r="25704" spans="10:10" x14ac:dyDescent="0.3">
      <c r="J25704"/>
    </row>
    <row r="25705" spans="10:10" x14ac:dyDescent="0.3">
      <c r="J25705"/>
    </row>
    <row r="25706" spans="10:10" x14ac:dyDescent="0.3">
      <c r="J25706"/>
    </row>
    <row r="25707" spans="10:10" x14ac:dyDescent="0.3">
      <c r="J25707"/>
    </row>
    <row r="25708" spans="10:10" x14ac:dyDescent="0.3">
      <c r="J25708"/>
    </row>
    <row r="25709" spans="10:10" x14ac:dyDescent="0.3">
      <c r="J25709"/>
    </row>
    <row r="25710" spans="10:10" x14ac:dyDescent="0.3">
      <c r="J25710"/>
    </row>
    <row r="25711" spans="10:10" x14ac:dyDescent="0.3">
      <c r="J25711"/>
    </row>
    <row r="25712" spans="10:10" x14ac:dyDescent="0.3">
      <c r="J25712"/>
    </row>
    <row r="25713" spans="10:10" x14ac:dyDescent="0.3">
      <c r="J25713"/>
    </row>
    <row r="25714" spans="10:10" x14ac:dyDescent="0.3">
      <c r="J25714"/>
    </row>
    <row r="25715" spans="10:10" x14ac:dyDescent="0.3">
      <c r="J25715"/>
    </row>
    <row r="25716" spans="10:10" x14ac:dyDescent="0.3">
      <c r="J25716"/>
    </row>
    <row r="25717" spans="10:10" x14ac:dyDescent="0.3">
      <c r="J25717"/>
    </row>
    <row r="25718" spans="10:10" x14ac:dyDescent="0.3">
      <c r="J25718"/>
    </row>
    <row r="25719" spans="10:10" x14ac:dyDescent="0.3">
      <c r="J25719"/>
    </row>
    <row r="25720" spans="10:10" x14ac:dyDescent="0.3">
      <c r="J25720"/>
    </row>
    <row r="25721" spans="10:10" x14ac:dyDescent="0.3">
      <c r="J25721"/>
    </row>
    <row r="25722" spans="10:10" x14ac:dyDescent="0.3">
      <c r="J25722"/>
    </row>
    <row r="25723" spans="10:10" x14ac:dyDescent="0.3">
      <c r="J25723"/>
    </row>
    <row r="25724" spans="10:10" x14ac:dyDescent="0.3">
      <c r="J25724"/>
    </row>
    <row r="25725" spans="10:10" x14ac:dyDescent="0.3">
      <c r="J25725"/>
    </row>
    <row r="25726" spans="10:10" x14ac:dyDescent="0.3">
      <c r="J25726"/>
    </row>
    <row r="25727" spans="10:10" x14ac:dyDescent="0.3">
      <c r="J25727"/>
    </row>
    <row r="25728" spans="10:10" x14ac:dyDescent="0.3">
      <c r="J25728"/>
    </row>
    <row r="25729" spans="10:10" x14ac:dyDescent="0.3">
      <c r="J25729"/>
    </row>
    <row r="25730" spans="10:10" x14ac:dyDescent="0.3">
      <c r="J25730"/>
    </row>
    <row r="25731" spans="10:10" x14ac:dyDescent="0.3">
      <c r="J25731"/>
    </row>
    <row r="25732" spans="10:10" x14ac:dyDescent="0.3">
      <c r="J25732"/>
    </row>
    <row r="25733" spans="10:10" x14ac:dyDescent="0.3">
      <c r="J25733"/>
    </row>
    <row r="25734" spans="10:10" x14ac:dyDescent="0.3">
      <c r="J25734"/>
    </row>
    <row r="25735" spans="10:10" x14ac:dyDescent="0.3">
      <c r="J25735"/>
    </row>
    <row r="25736" spans="10:10" x14ac:dyDescent="0.3">
      <c r="J25736"/>
    </row>
    <row r="25737" spans="10:10" x14ac:dyDescent="0.3">
      <c r="J25737"/>
    </row>
    <row r="25738" spans="10:10" x14ac:dyDescent="0.3">
      <c r="J25738"/>
    </row>
    <row r="25739" spans="10:10" x14ac:dyDescent="0.3">
      <c r="J25739"/>
    </row>
    <row r="25740" spans="10:10" x14ac:dyDescent="0.3">
      <c r="J25740"/>
    </row>
    <row r="25741" spans="10:10" x14ac:dyDescent="0.3">
      <c r="J25741"/>
    </row>
    <row r="25742" spans="10:10" x14ac:dyDescent="0.3">
      <c r="J25742"/>
    </row>
    <row r="25743" spans="10:10" x14ac:dyDescent="0.3">
      <c r="J25743"/>
    </row>
    <row r="25744" spans="10:10" x14ac:dyDescent="0.3">
      <c r="J25744"/>
    </row>
    <row r="25745" spans="10:10" x14ac:dyDescent="0.3">
      <c r="J25745"/>
    </row>
    <row r="25746" spans="10:10" x14ac:dyDescent="0.3">
      <c r="J25746"/>
    </row>
    <row r="25747" spans="10:10" x14ac:dyDescent="0.3">
      <c r="J25747"/>
    </row>
    <row r="25748" spans="10:10" x14ac:dyDescent="0.3">
      <c r="J25748"/>
    </row>
    <row r="25749" spans="10:10" x14ac:dyDescent="0.3">
      <c r="J25749"/>
    </row>
    <row r="25750" spans="10:10" x14ac:dyDescent="0.3">
      <c r="J25750"/>
    </row>
    <row r="25751" spans="10:10" x14ac:dyDescent="0.3">
      <c r="J25751"/>
    </row>
    <row r="25752" spans="10:10" x14ac:dyDescent="0.3">
      <c r="J25752"/>
    </row>
    <row r="25753" spans="10:10" x14ac:dyDescent="0.3">
      <c r="J25753"/>
    </row>
    <row r="25754" spans="10:10" x14ac:dyDescent="0.3">
      <c r="J25754"/>
    </row>
    <row r="25755" spans="10:10" x14ac:dyDescent="0.3">
      <c r="J25755"/>
    </row>
    <row r="25756" spans="10:10" x14ac:dyDescent="0.3">
      <c r="J25756"/>
    </row>
    <row r="25757" spans="10:10" x14ac:dyDescent="0.3">
      <c r="J25757"/>
    </row>
    <row r="25758" spans="10:10" x14ac:dyDescent="0.3">
      <c r="J25758"/>
    </row>
    <row r="25759" spans="10:10" x14ac:dyDescent="0.3">
      <c r="J25759"/>
    </row>
    <row r="25760" spans="10:10" x14ac:dyDescent="0.3">
      <c r="J25760"/>
    </row>
    <row r="25761" spans="10:10" x14ac:dyDescent="0.3">
      <c r="J25761"/>
    </row>
    <row r="25762" spans="10:10" x14ac:dyDescent="0.3">
      <c r="J25762"/>
    </row>
    <row r="25763" spans="10:10" x14ac:dyDescent="0.3">
      <c r="J25763"/>
    </row>
    <row r="25764" spans="10:10" x14ac:dyDescent="0.3">
      <c r="J25764"/>
    </row>
    <row r="25765" spans="10:10" x14ac:dyDescent="0.3">
      <c r="J25765"/>
    </row>
    <row r="25766" spans="10:10" x14ac:dyDescent="0.3">
      <c r="J25766"/>
    </row>
    <row r="25767" spans="10:10" x14ac:dyDescent="0.3">
      <c r="J25767"/>
    </row>
    <row r="25768" spans="10:10" x14ac:dyDescent="0.3">
      <c r="J25768"/>
    </row>
    <row r="25769" spans="10:10" x14ac:dyDescent="0.3">
      <c r="J25769"/>
    </row>
    <row r="25770" spans="10:10" x14ac:dyDescent="0.3">
      <c r="J25770"/>
    </row>
    <row r="25771" spans="10:10" x14ac:dyDescent="0.3">
      <c r="J25771"/>
    </row>
    <row r="25772" spans="10:10" x14ac:dyDescent="0.3">
      <c r="J25772"/>
    </row>
    <row r="25773" spans="10:10" x14ac:dyDescent="0.3">
      <c r="J25773"/>
    </row>
    <row r="25774" spans="10:10" x14ac:dyDescent="0.3">
      <c r="J25774"/>
    </row>
    <row r="25775" spans="10:10" x14ac:dyDescent="0.3">
      <c r="J25775"/>
    </row>
    <row r="25776" spans="10:10" x14ac:dyDescent="0.3">
      <c r="J25776"/>
    </row>
    <row r="25777" spans="10:10" x14ac:dyDescent="0.3">
      <c r="J25777"/>
    </row>
    <row r="25778" spans="10:10" x14ac:dyDescent="0.3">
      <c r="J25778"/>
    </row>
    <row r="25779" spans="10:10" x14ac:dyDescent="0.3">
      <c r="J25779"/>
    </row>
    <row r="25780" spans="10:10" x14ac:dyDescent="0.3">
      <c r="J25780"/>
    </row>
    <row r="25781" spans="10:10" x14ac:dyDescent="0.3">
      <c r="J25781"/>
    </row>
    <row r="25782" spans="10:10" x14ac:dyDescent="0.3">
      <c r="J25782"/>
    </row>
    <row r="25783" spans="10:10" x14ac:dyDescent="0.3">
      <c r="J25783"/>
    </row>
    <row r="25784" spans="10:10" x14ac:dyDescent="0.3">
      <c r="J25784"/>
    </row>
    <row r="25785" spans="10:10" x14ac:dyDescent="0.3">
      <c r="J25785"/>
    </row>
    <row r="25786" spans="10:10" x14ac:dyDescent="0.3">
      <c r="J25786"/>
    </row>
    <row r="25787" spans="10:10" x14ac:dyDescent="0.3">
      <c r="J25787"/>
    </row>
    <row r="25788" spans="10:10" x14ac:dyDescent="0.3">
      <c r="J25788"/>
    </row>
    <row r="25789" spans="10:10" x14ac:dyDescent="0.3">
      <c r="J25789"/>
    </row>
    <row r="25790" spans="10:10" x14ac:dyDescent="0.3">
      <c r="J25790"/>
    </row>
    <row r="25791" spans="10:10" x14ac:dyDescent="0.3">
      <c r="J25791"/>
    </row>
    <row r="25792" spans="10:10" x14ac:dyDescent="0.3">
      <c r="J25792"/>
    </row>
    <row r="25793" spans="10:10" x14ac:dyDescent="0.3">
      <c r="J25793"/>
    </row>
    <row r="25794" spans="10:10" x14ac:dyDescent="0.3">
      <c r="J25794"/>
    </row>
    <row r="25795" spans="10:10" x14ac:dyDescent="0.3">
      <c r="J25795"/>
    </row>
    <row r="25796" spans="10:10" x14ac:dyDescent="0.3">
      <c r="J25796"/>
    </row>
    <row r="25797" spans="10:10" x14ac:dyDescent="0.3">
      <c r="J25797"/>
    </row>
    <row r="25798" spans="10:10" x14ac:dyDescent="0.3">
      <c r="J25798"/>
    </row>
    <row r="25799" spans="10:10" x14ac:dyDescent="0.3">
      <c r="J25799"/>
    </row>
    <row r="25800" spans="10:10" x14ac:dyDescent="0.3">
      <c r="J25800"/>
    </row>
    <row r="25801" spans="10:10" x14ac:dyDescent="0.3">
      <c r="J25801"/>
    </row>
    <row r="25802" spans="10:10" x14ac:dyDescent="0.3">
      <c r="J25802"/>
    </row>
    <row r="25803" spans="10:10" x14ac:dyDescent="0.3">
      <c r="J25803"/>
    </row>
    <row r="25804" spans="10:10" x14ac:dyDescent="0.3">
      <c r="J25804"/>
    </row>
    <row r="25805" spans="10:10" x14ac:dyDescent="0.3">
      <c r="J25805"/>
    </row>
    <row r="25806" spans="10:10" x14ac:dyDescent="0.3">
      <c r="J25806"/>
    </row>
    <row r="25807" spans="10:10" x14ac:dyDescent="0.3">
      <c r="J25807"/>
    </row>
    <row r="25808" spans="10:10" x14ac:dyDescent="0.3">
      <c r="J25808"/>
    </row>
    <row r="25809" spans="10:10" x14ac:dyDescent="0.3">
      <c r="J25809"/>
    </row>
    <row r="25810" spans="10:10" x14ac:dyDescent="0.3">
      <c r="J25810"/>
    </row>
    <row r="25811" spans="10:10" x14ac:dyDescent="0.3">
      <c r="J25811"/>
    </row>
    <row r="25812" spans="10:10" x14ac:dyDescent="0.3">
      <c r="J25812"/>
    </row>
    <row r="25813" spans="10:10" x14ac:dyDescent="0.3">
      <c r="J25813"/>
    </row>
    <row r="25814" spans="10:10" x14ac:dyDescent="0.3">
      <c r="J25814"/>
    </row>
    <row r="25815" spans="10:10" x14ac:dyDescent="0.3">
      <c r="J25815"/>
    </row>
    <row r="25816" spans="10:10" x14ac:dyDescent="0.3">
      <c r="J25816"/>
    </row>
    <row r="25817" spans="10:10" x14ac:dyDescent="0.3">
      <c r="J25817"/>
    </row>
    <row r="25818" spans="10:10" x14ac:dyDescent="0.3">
      <c r="J25818"/>
    </row>
    <row r="25819" spans="10:10" x14ac:dyDescent="0.3">
      <c r="J25819"/>
    </row>
    <row r="25820" spans="10:10" x14ac:dyDescent="0.3">
      <c r="J25820"/>
    </row>
    <row r="25821" spans="10:10" x14ac:dyDescent="0.3">
      <c r="J25821"/>
    </row>
    <row r="25822" spans="10:10" x14ac:dyDescent="0.3">
      <c r="J25822"/>
    </row>
    <row r="25823" spans="10:10" x14ac:dyDescent="0.3">
      <c r="J25823"/>
    </row>
    <row r="25824" spans="10:10" x14ac:dyDescent="0.3">
      <c r="J25824"/>
    </row>
    <row r="25825" spans="10:10" x14ac:dyDescent="0.3">
      <c r="J25825"/>
    </row>
    <row r="25826" spans="10:10" x14ac:dyDescent="0.3">
      <c r="J25826"/>
    </row>
    <row r="25827" spans="10:10" x14ac:dyDescent="0.3">
      <c r="J25827"/>
    </row>
    <row r="25828" spans="10:10" x14ac:dyDescent="0.3">
      <c r="J25828"/>
    </row>
    <row r="25829" spans="10:10" x14ac:dyDescent="0.3">
      <c r="J25829"/>
    </row>
    <row r="25830" spans="10:10" x14ac:dyDescent="0.3">
      <c r="J25830"/>
    </row>
    <row r="25831" spans="10:10" x14ac:dyDescent="0.3">
      <c r="J25831"/>
    </row>
    <row r="25832" spans="10:10" x14ac:dyDescent="0.3">
      <c r="J25832"/>
    </row>
    <row r="25833" spans="10:10" x14ac:dyDescent="0.3">
      <c r="J25833"/>
    </row>
    <row r="25834" spans="10:10" x14ac:dyDescent="0.3">
      <c r="J25834"/>
    </row>
    <row r="25835" spans="10:10" x14ac:dyDescent="0.3">
      <c r="J25835"/>
    </row>
    <row r="25836" spans="10:10" x14ac:dyDescent="0.3">
      <c r="J25836"/>
    </row>
    <row r="25837" spans="10:10" x14ac:dyDescent="0.3">
      <c r="J25837"/>
    </row>
    <row r="25838" spans="10:10" x14ac:dyDescent="0.3">
      <c r="J25838"/>
    </row>
    <row r="25839" spans="10:10" x14ac:dyDescent="0.3">
      <c r="J25839"/>
    </row>
    <row r="25840" spans="10:10" x14ac:dyDescent="0.3">
      <c r="J25840"/>
    </row>
    <row r="25841" spans="10:10" x14ac:dyDescent="0.3">
      <c r="J25841"/>
    </row>
    <row r="25842" spans="10:10" x14ac:dyDescent="0.3">
      <c r="J25842"/>
    </row>
    <row r="25843" spans="10:10" x14ac:dyDescent="0.3">
      <c r="J25843"/>
    </row>
    <row r="25844" spans="10:10" x14ac:dyDescent="0.3">
      <c r="J25844"/>
    </row>
    <row r="25845" spans="10:10" x14ac:dyDescent="0.3">
      <c r="J25845"/>
    </row>
    <row r="25846" spans="10:10" x14ac:dyDescent="0.3">
      <c r="J25846"/>
    </row>
    <row r="25847" spans="10:10" x14ac:dyDescent="0.3">
      <c r="J25847"/>
    </row>
    <row r="25848" spans="10:10" x14ac:dyDescent="0.3">
      <c r="J25848"/>
    </row>
    <row r="25849" spans="10:10" x14ac:dyDescent="0.3">
      <c r="J25849"/>
    </row>
    <row r="25850" spans="10:10" x14ac:dyDescent="0.3">
      <c r="J25850"/>
    </row>
    <row r="25851" spans="10:10" x14ac:dyDescent="0.3">
      <c r="J25851"/>
    </row>
    <row r="25852" spans="10:10" x14ac:dyDescent="0.3">
      <c r="J25852"/>
    </row>
    <row r="25853" spans="10:10" x14ac:dyDescent="0.3">
      <c r="J25853"/>
    </row>
    <row r="25854" spans="10:10" x14ac:dyDescent="0.3">
      <c r="J25854"/>
    </row>
    <row r="25855" spans="10:10" x14ac:dyDescent="0.3">
      <c r="J25855"/>
    </row>
    <row r="25856" spans="10:10" x14ac:dyDescent="0.3">
      <c r="J25856"/>
    </row>
    <row r="25857" spans="10:10" x14ac:dyDescent="0.3">
      <c r="J25857"/>
    </row>
    <row r="25858" spans="10:10" x14ac:dyDescent="0.3">
      <c r="J25858"/>
    </row>
    <row r="25859" spans="10:10" x14ac:dyDescent="0.3">
      <c r="J25859"/>
    </row>
    <row r="25860" spans="10:10" x14ac:dyDescent="0.3">
      <c r="J25860"/>
    </row>
    <row r="25861" spans="10:10" x14ac:dyDescent="0.3">
      <c r="J25861"/>
    </row>
    <row r="25862" spans="10:10" x14ac:dyDescent="0.3">
      <c r="J25862"/>
    </row>
    <row r="25863" spans="10:10" x14ac:dyDescent="0.3">
      <c r="J25863"/>
    </row>
    <row r="25864" spans="10:10" x14ac:dyDescent="0.3">
      <c r="J25864"/>
    </row>
    <row r="25865" spans="10:10" x14ac:dyDescent="0.3">
      <c r="J25865"/>
    </row>
    <row r="25866" spans="10:10" x14ac:dyDescent="0.3">
      <c r="J25866"/>
    </row>
    <row r="25867" spans="10:10" x14ac:dyDescent="0.3">
      <c r="J25867"/>
    </row>
    <row r="25868" spans="10:10" x14ac:dyDescent="0.3">
      <c r="J25868"/>
    </row>
    <row r="25869" spans="10:10" x14ac:dyDescent="0.3">
      <c r="J25869"/>
    </row>
    <row r="25870" spans="10:10" x14ac:dyDescent="0.3">
      <c r="J25870"/>
    </row>
    <row r="25871" spans="10:10" x14ac:dyDescent="0.3">
      <c r="J25871"/>
    </row>
    <row r="25872" spans="10:10" x14ac:dyDescent="0.3">
      <c r="J25872"/>
    </row>
    <row r="25873" spans="10:10" x14ac:dyDescent="0.3">
      <c r="J25873"/>
    </row>
    <row r="25874" spans="10:10" x14ac:dyDescent="0.3">
      <c r="J25874"/>
    </row>
    <row r="25875" spans="10:10" x14ac:dyDescent="0.3">
      <c r="J25875"/>
    </row>
    <row r="25876" spans="10:10" x14ac:dyDescent="0.3">
      <c r="J25876"/>
    </row>
    <row r="25877" spans="10:10" x14ac:dyDescent="0.3">
      <c r="J25877"/>
    </row>
    <row r="25878" spans="10:10" x14ac:dyDescent="0.3">
      <c r="J25878"/>
    </row>
    <row r="25879" spans="10:10" x14ac:dyDescent="0.3">
      <c r="J25879"/>
    </row>
    <row r="25880" spans="10:10" x14ac:dyDescent="0.3">
      <c r="J25880"/>
    </row>
    <row r="25881" spans="10:10" x14ac:dyDescent="0.3">
      <c r="J25881"/>
    </row>
    <row r="25882" spans="10:10" x14ac:dyDescent="0.3">
      <c r="J25882"/>
    </row>
    <row r="25883" spans="10:10" x14ac:dyDescent="0.3">
      <c r="J25883"/>
    </row>
    <row r="25884" spans="10:10" x14ac:dyDescent="0.3">
      <c r="J25884"/>
    </row>
    <row r="25885" spans="10:10" x14ac:dyDescent="0.3">
      <c r="J25885"/>
    </row>
    <row r="25886" spans="10:10" x14ac:dyDescent="0.3">
      <c r="J25886"/>
    </row>
    <row r="25887" spans="10:10" x14ac:dyDescent="0.3">
      <c r="J25887"/>
    </row>
    <row r="25888" spans="10:10" x14ac:dyDescent="0.3">
      <c r="J25888"/>
    </row>
    <row r="25889" spans="10:10" x14ac:dyDescent="0.3">
      <c r="J25889"/>
    </row>
    <row r="25890" spans="10:10" x14ac:dyDescent="0.3">
      <c r="J25890"/>
    </row>
    <row r="25891" spans="10:10" x14ac:dyDescent="0.3">
      <c r="J25891"/>
    </row>
    <row r="25892" spans="10:10" x14ac:dyDescent="0.3">
      <c r="J25892"/>
    </row>
    <row r="25893" spans="10:10" x14ac:dyDescent="0.3">
      <c r="J25893"/>
    </row>
    <row r="25894" spans="10:10" x14ac:dyDescent="0.3">
      <c r="J25894"/>
    </row>
    <row r="25895" spans="10:10" x14ac:dyDescent="0.3">
      <c r="J25895"/>
    </row>
    <row r="25896" spans="10:10" x14ac:dyDescent="0.3">
      <c r="J25896"/>
    </row>
    <row r="25897" spans="10:10" x14ac:dyDescent="0.3">
      <c r="J25897"/>
    </row>
    <row r="25898" spans="10:10" x14ac:dyDescent="0.3">
      <c r="J25898"/>
    </row>
    <row r="25899" spans="10:10" x14ac:dyDescent="0.3">
      <c r="J25899"/>
    </row>
    <row r="25900" spans="10:10" x14ac:dyDescent="0.3">
      <c r="J25900"/>
    </row>
    <row r="25901" spans="10:10" x14ac:dyDescent="0.3">
      <c r="J25901"/>
    </row>
    <row r="25902" spans="10:10" x14ac:dyDescent="0.3">
      <c r="J25902"/>
    </row>
    <row r="25903" spans="10:10" x14ac:dyDescent="0.3">
      <c r="J25903"/>
    </row>
    <row r="25904" spans="10:10" x14ac:dyDescent="0.3">
      <c r="J25904"/>
    </row>
    <row r="25905" spans="10:10" x14ac:dyDescent="0.3">
      <c r="J25905"/>
    </row>
    <row r="25906" spans="10:10" x14ac:dyDescent="0.3">
      <c r="J25906"/>
    </row>
    <row r="25907" spans="10:10" x14ac:dyDescent="0.3">
      <c r="J25907"/>
    </row>
    <row r="25908" spans="10:10" x14ac:dyDescent="0.3">
      <c r="J25908"/>
    </row>
    <row r="25909" spans="10:10" x14ac:dyDescent="0.3">
      <c r="J25909"/>
    </row>
    <row r="25910" spans="10:10" x14ac:dyDescent="0.3">
      <c r="J25910"/>
    </row>
    <row r="25911" spans="10:10" x14ac:dyDescent="0.3">
      <c r="J25911"/>
    </row>
    <row r="25912" spans="10:10" x14ac:dyDescent="0.3">
      <c r="J25912"/>
    </row>
    <row r="25913" spans="10:10" x14ac:dyDescent="0.3">
      <c r="J25913"/>
    </row>
    <row r="25914" spans="10:10" x14ac:dyDescent="0.3">
      <c r="J25914"/>
    </row>
    <row r="25915" spans="10:10" x14ac:dyDescent="0.3">
      <c r="J25915"/>
    </row>
    <row r="25916" spans="10:10" x14ac:dyDescent="0.3">
      <c r="J25916"/>
    </row>
    <row r="25917" spans="10:10" x14ac:dyDescent="0.3">
      <c r="J25917"/>
    </row>
    <row r="25918" spans="10:10" x14ac:dyDescent="0.3">
      <c r="J25918"/>
    </row>
    <row r="25919" spans="10:10" x14ac:dyDescent="0.3">
      <c r="J25919"/>
    </row>
    <row r="25920" spans="10:10" x14ac:dyDescent="0.3">
      <c r="J25920"/>
    </row>
    <row r="25921" spans="10:10" x14ac:dyDescent="0.3">
      <c r="J25921"/>
    </row>
    <row r="25922" spans="10:10" x14ac:dyDescent="0.3">
      <c r="J25922"/>
    </row>
    <row r="25923" spans="10:10" x14ac:dyDescent="0.3">
      <c r="J25923"/>
    </row>
    <row r="25924" spans="10:10" x14ac:dyDescent="0.3">
      <c r="J25924"/>
    </row>
    <row r="25925" spans="10:10" x14ac:dyDescent="0.3">
      <c r="J25925"/>
    </row>
    <row r="25926" spans="10:10" x14ac:dyDescent="0.3">
      <c r="J25926"/>
    </row>
    <row r="25927" spans="10:10" x14ac:dyDescent="0.3">
      <c r="J25927"/>
    </row>
    <row r="25928" spans="10:10" x14ac:dyDescent="0.3">
      <c r="J25928"/>
    </row>
    <row r="25929" spans="10:10" x14ac:dyDescent="0.3">
      <c r="J25929"/>
    </row>
    <row r="25930" spans="10:10" x14ac:dyDescent="0.3">
      <c r="J25930"/>
    </row>
    <row r="25931" spans="10:10" x14ac:dyDescent="0.3">
      <c r="J25931"/>
    </row>
    <row r="25932" spans="10:10" x14ac:dyDescent="0.3">
      <c r="J25932"/>
    </row>
    <row r="25933" spans="10:10" x14ac:dyDescent="0.3">
      <c r="J25933"/>
    </row>
    <row r="25934" spans="10:10" x14ac:dyDescent="0.3">
      <c r="J25934"/>
    </row>
    <row r="25935" spans="10:10" x14ac:dyDescent="0.3">
      <c r="J25935"/>
    </row>
    <row r="25936" spans="10:10" x14ac:dyDescent="0.3">
      <c r="J25936"/>
    </row>
    <row r="25937" spans="10:10" x14ac:dyDescent="0.3">
      <c r="J25937"/>
    </row>
    <row r="25938" spans="10:10" x14ac:dyDescent="0.3">
      <c r="J25938"/>
    </row>
    <row r="25939" spans="10:10" x14ac:dyDescent="0.3">
      <c r="J25939"/>
    </row>
    <row r="25940" spans="10:10" x14ac:dyDescent="0.3">
      <c r="J25940"/>
    </row>
    <row r="25941" spans="10:10" x14ac:dyDescent="0.3">
      <c r="J25941"/>
    </row>
    <row r="25942" spans="10:10" x14ac:dyDescent="0.3">
      <c r="J25942"/>
    </row>
    <row r="25943" spans="10:10" x14ac:dyDescent="0.3">
      <c r="J25943"/>
    </row>
    <row r="25944" spans="10:10" x14ac:dyDescent="0.3">
      <c r="J25944"/>
    </row>
    <row r="25945" spans="10:10" x14ac:dyDescent="0.3">
      <c r="J25945"/>
    </row>
    <row r="25946" spans="10:10" x14ac:dyDescent="0.3">
      <c r="J25946"/>
    </row>
    <row r="25947" spans="10:10" x14ac:dyDescent="0.3">
      <c r="J25947"/>
    </row>
    <row r="25948" spans="10:10" x14ac:dyDescent="0.3">
      <c r="J25948"/>
    </row>
    <row r="25949" spans="10:10" x14ac:dyDescent="0.3">
      <c r="J25949"/>
    </row>
    <row r="25950" spans="10:10" x14ac:dyDescent="0.3">
      <c r="J25950"/>
    </row>
    <row r="25951" spans="10:10" x14ac:dyDescent="0.3">
      <c r="J25951"/>
    </row>
    <row r="25952" spans="10:10" x14ac:dyDescent="0.3">
      <c r="J25952"/>
    </row>
    <row r="25953" spans="10:10" x14ac:dyDescent="0.3">
      <c r="J25953"/>
    </row>
    <row r="25954" spans="10:10" x14ac:dyDescent="0.3">
      <c r="J25954"/>
    </row>
    <row r="25955" spans="10:10" x14ac:dyDescent="0.3">
      <c r="J25955"/>
    </row>
    <row r="25956" spans="10:10" x14ac:dyDescent="0.3">
      <c r="J25956"/>
    </row>
    <row r="25957" spans="10:10" x14ac:dyDescent="0.3">
      <c r="J25957"/>
    </row>
    <row r="25958" spans="10:10" x14ac:dyDescent="0.3">
      <c r="J25958"/>
    </row>
    <row r="25959" spans="10:10" x14ac:dyDescent="0.3">
      <c r="J25959"/>
    </row>
    <row r="25960" spans="10:10" x14ac:dyDescent="0.3">
      <c r="J25960"/>
    </row>
    <row r="25961" spans="10:10" x14ac:dyDescent="0.3">
      <c r="J25961"/>
    </row>
    <row r="25962" spans="10:10" x14ac:dyDescent="0.3">
      <c r="J25962"/>
    </row>
    <row r="25963" spans="10:10" x14ac:dyDescent="0.3">
      <c r="J25963"/>
    </row>
    <row r="25964" spans="10:10" x14ac:dyDescent="0.3">
      <c r="J25964"/>
    </row>
    <row r="25965" spans="10:10" x14ac:dyDescent="0.3">
      <c r="J25965"/>
    </row>
    <row r="25966" spans="10:10" x14ac:dyDescent="0.3">
      <c r="J25966"/>
    </row>
    <row r="25967" spans="10:10" x14ac:dyDescent="0.3">
      <c r="J25967"/>
    </row>
    <row r="25968" spans="10:10" x14ac:dyDescent="0.3">
      <c r="J25968"/>
    </row>
    <row r="25969" spans="10:10" x14ac:dyDescent="0.3">
      <c r="J25969"/>
    </row>
    <row r="25970" spans="10:10" x14ac:dyDescent="0.3">
      <c r="J25970"/>
    </row>
    <row r="25971" spans="10:10" x14ac:dyDescent="0.3">
      <c r="J25971"/>
    </row>
    <row r="25972" spans="10:10" x14ac:dyDescent="0.3">
      <c r="J25972"/>
    </row>
    <row r="25973" spans="10:10" x14ac:dyDescent="0.3">
      <c r="J25973"/>
    </row>
    <row r="25974" spans="10:10" x14ac:dyDescent="0.3">
      <c r="J25974"/>
    </row>
    <row r="25975" spans="10:10" x14ac:dyDescent="0.3">
      <c r="J25975"/>
    </row>
    <row r="25976" spans="10:10" x14ac:dyDescent="0.3">
      <c r="J25976"/>
    </row>
    <row r="25977" spans="10:10" x14ac:dyDescent="0.3">
      <c r="J25977"/>
    </row>
    <row r="25978" spans="10:10" x14ac:dyDescent="0.3">
      <c r="J25978"/>
    </row>
    <row r="25979" spans="10:10" x14ac:dyDescent="0.3">
      <c r="J25979"/>
    </row>
    <row r="25980" spans="10:10" x14ac:dyDescent="0.3">
      <c r="J25980"/>
    </row>
    <row r="25981" spans="10:10" x14ac:dyDescent="0.3">
      <c r="J25981"/>
    </row>
    <row r="25982" spans="10:10" x14ac:dyDescent="0.3">
      <c r="J25982"/>
    </row>
    <row r="25983" spans="10:10" x14ac:dyDescent="0.3">
      <c r="J25983"/>
    </row>
    <row r="25984" spans="10:10" x14ac:dyDescent="0.3">
      <c r="J25984"/>
    </row>
    <row r="25985" spans="10:10" x14ac:dyDescent="0.3">
      <c r="J25985"/>
    </row>
    <row r="25986" spans="10:10" x14ac:dyDescent="0.3">
      <c r="J25986"/>
    </row>
    <row r="25987" spans="10:10" x14ac:dyDescent="0.3">
      <c r="J25987"/>
    </row>
    <row r="25988" spans="10:10" x14ac:dyDescent="0.3">
      <c r="J25988"/>
    </row>
    <row r="25989" spans="10:10" x14ac:dyDescent="0.3">
      <c r="J25989"/>
    </row>
    <row r="25990" spans="10:10" x14ac:dyDescent="0.3">
      <c r="J25990"/>
    </row>
    <row r="25991" spans="10:10" x14ac:dyDescent="0.3">
      <c r="J25991"/>
    </row>
    <row r="25992" spans="10:10" x14ac:dyDescent="0.3">
      <c r="J25992"/>
    </row>
    <row r="25993" spans="10:10" x14ac:dyDescent="0.3">
      <c r="J25993"/>
    </row>
    <row r="25994" spans="10:10" x14ac:dyDescent="0.3">
      <c r="J25994"/>
    </row>
    <row r="25995" spans="10:10" x14ac:dyDescent="0.3">
      <c r="J25995"/>
    </row>
    <row r="25996" spans="10:10" x14ac:dyDescent="0.3">
      <c r="J25996"/>
    </row>
    <row r="25997" spans="10:10" x14ac:dyDescent="0.3">
      <c r="J25997"/>
    </row>
    <row r="25998" spans="10:10" x14ac:dyDescent="0.3">
      <c r="J25998"/>
    </row>
    <row r="25999" spans="10:10" x14ac:dyDescent="0.3">
      <c r="J25999"/>
    </row>
    <row r="26000" spans="10:10" x14ac:dyDescent="0.3">
      <c r="J26000"/>
    </row>
    <row r="26001" spans="10:10" x14ac:dyDescent="0.3">
      <c r="J26001"/>
    </row>
    <row r="26002" spans="10:10" x14ac:dyDescent="0.3">
      <c r="J26002"/>
    </row>
    <row r="26003" spans="10:10" x14ac:dyDescent="0.3">
      <c r="J26003"/>
    </row>
    <row r="26004" spans="10:10" x14ac:dyDescent="0.3">
      <c r="J26004"/>
    </row>
    <row r="26005" spans="10:10" x14ac:dyDescent="0.3">
      <c r="J26005"/>
    </row>
    <row r="26006" spans="10:10" x14ac:dyDescent="0.3">
      <c r="J26006"/>
    </row>
    <row r="26007" spans="10:10" x14ac:dyDescent="0.3">
      <c r="J26007"/>
    </row>
    <row r="26008" spans="10:10" x14ac:dyDescent="0.3">
      <c r="J26008"/>
    </row>
    <row r="26009" spans="10:10" x14ac:dyDescent="0.3">
      <c r="J26009"/>
    </row>
    <row r="26010" spans="10:10" x14ac:dyDescent="0.3">
      <c r="J26010"/>
    </row>
    <row r="26011" spans="10:10" x14ac:dyDescent="0.3">
      <c r="J26011"/>
    </row>
    <row r="26012" spans="10:10" x14ac:dyDescent="0.3">
      <c r="J26012"/>
    </row>
    <row r="26013" spans="10:10" x14ac:dyDescent="0.3">
      <c r="J26013"/>
    </row>
    <row r="26014" spans="10:10" x14ac:dyDescent="0.3">
      <c r="J26014"/>
    </row>
    <row r="26015" spans="10:10" x14ac:dyDescent="0.3">
      <c r="J26015"/>
    </row>
    <row r="26016" spans="10:10" x14ac:dyDescent="0.3">
      <c r="J26016"/>
    </row>
    <row r="26017" spans="10:10" x14ac:dyDescent="0.3">
      <c r="J26017"/>
    </row>
    <row r="26018" spans="10:10" x14ac:dyDescent="0.3">
      <c r="J26018"/>
    </row>
    <row r="26019" spans="10:10" x14ac:dyDescent="0.3">
      <c r="J26019"/>
    </row>
    <row r="26020" spans="10:10" x14ac:dyDescent="0.3">
      <c r="J26020"/>
    </row>
    <row r="26021" spans="10:10" x14ac:dyDescent="0.3">
      <c r="J26021"/>
    </row>
    <row r="26022" spans="10:10" x14ac:dyDescent="0.3">
      <c r="J26022"/>
    </row>
    <row r="26023" spans="10:10" x14ac:dyDescent="0.3">
      <c r="J26023"/>
    </row>
    <row r="26024" spans="10:10" x14ac:dyDescent="0.3">
      <c r="J26024"/>
    </row>
    <row r="26025" spans="10:10" x14ac:dyDescent="0.3">
      <c r="J26025"/>
    </row>
    <row r="26026" spans="10:10" x14ac:dyDescent="0.3">
      <c r="J26026"/>
    </row>
    <row r="26027" spans="10:10" x14ac:dyDescent="0.3">
      <c r="J26027"/>
    </row>
    <row r="26028" spans="10:10" x14ac:dyDescent="0.3">
      <c r="J26028"/>
    </row>
    <row r="26029" spans="10:10" x14ac:dyDescent="0.3">
      <c r="J26029"/>
    </row>
    <row r="26030" spans="10:10" x14ac:dyDescent="0.3">
      <c r="J26030"/>
    </row>
    <row r="26031" spans="10:10" x14ac:dyDescent="0.3">
      <c r="J26031"/>
    </row>
    <row r="26032" spans="10:10" x14ac:dyDescent="0.3">
      <c r="J26032"/>
    </row>
    <row r="26033" spans="10:10" x14ac:dyDescent="0.3">
      <c r="J26033"/>
    </row>
    <row r="26034" spans="10:10" x14ac:dyDescent="0.3">
      <c r="J26034"/>
    </row>
    <row r="26035" spans="10:10" x14ac:dyDescent="0.3">
      <c r="J26035"/>
    </row>
    <row r="26036" spans="10:10" x14ac:dyDescent="0.3">
      <c r="J26036"/>
    </row>
    <row r="26037" spans="10:10" x14ac:dyDescent="0.3">
      <c r="J26037"/>
    </row>
    <row r="26038" spans="10:10" x14ac:dyDescent="0.3">
      <c r="J26038"/>
    </row>
    <row r="26039" spans="10:10" x14ac:dyDescent="0.3">
      <c r="J26039"/>
    </row>
    <row r="26040" spans="10:10" x14ac:dyDescent="0.3">
      <c r="J26040"/>
    </row>
    <row r="26041" spans="10:10" x14ac:dyDescent="0.3">
      <c r="J26041"/>
    </row>
    <row r="26042" spans="10:10" x14ac:dyDescent="0.3">
      <c r="J26042"/>
    </row>
    <row r="26043" spans="10:10" x14ac:dyDescent="0.3">
      <c r="J26043"/>
    </row>
    <row r="26044" spans="10:10" x14ac:dyDescent="0.3">
      <c r="J26044"/>
    </row>
    <row r="26045" spans="10:10" x14ac:dyDescent="0.3">
      <c r="J26045"/>
    </row>
    <row r="26046" spans="10:10" x14ac:dyDescent="0.3">
      <c r="J26046"/>
    </row>
    <row r="26047" spans="10:10" x14ac:dyDescent="0.3">
      <c r="J26047"/>
    </row>
    <row r="26048" spans="10:10" x14ac:dyDescent="0.3">
      <c r="J26048"/>
    </row>
    <row r="26049" spans="10:10" x14ac:dyDescent="0.3">
      <c r="J26049"/>
    </row>
    <row r="26050" spans="10:10" x14ac:dyDescent="0.3">
      <c r="J26050"/>
    </row>
    <row r="26051" spans="10:10" x14ac:dyDescent="0.3">
      <c r="J26051"/>
    </row>
    <row r="26052" spans="10:10" x14ac:dyDescent="0.3">
      <c r="J26052"/>
    </row>
    <row r="26053" spans="10:10" x14ac:dyDescent="0.3">
      <c r="J26053"/>
    </row>
    <row r="26054" spans="10:10" x14ac:dyDescent="0.3">
      <c r="J26054"/>
    </row>
    <row r="26055" spans="10:10" x14ac:dyDescent="0.3">
      <c r="J26055"/>
    </row>
    <row r="26056" spans="10:10" x14ac:dyDescent="0.3">
      <c r="J26056"/>
    </row>
    <row r="26057" spans="10:10" x14ac:dyDescent="0.3">
      <c r="J26057"/>
    </row>
    <row r="26058" spans="10:10" x14ac:dyDescent="0.3">
      <c r="J26058"/>
    </row>
    <row r="26059" spans="10:10" x14ac:dyDescent="0.3">
      <c r="J26059"/>
    </row>
    <row r="26060" spans="10:10" x14ac:dyDescent="0.3">
      <c r="J26060"/>
    </row>
    <row r="26061" spans="10:10" x14ac:dyDescent="0.3">
      <c r="J26061"/>
    </row>
    <row r="26062" spans="10:10" x14ac:dyDescent="0.3">
      <c r="J26062"/>
    </row>
    <row r="26063" spans="10:10" x14ac:dyDescent="0.3">
      <c r="J26063"/>
    </row>
    <row r="26064" spans="10:10" x14ac:dyDescent="0.3">
      <c r="J26064"/>
    </row>
    <row r="26065" spans="10:10" x14ac:dyDescent="0.3">
      <c r="J26065"/>
    </row>
    <row r="26066" spans="10:10" x14ac:dyDescent="0.3">
      <c r="J26066"/>
    </row>
    <row r="26067" spans="10:10" x14ac:dyDescent="0.3">
      <c r="J26067"/>
    </row>
    <row r="26068" spans="10:10" x14ac:dyDescent="0.3">
      <c r="J26068"/>
    </row>
    <row r="26069" spans="10:10" x14ac:dyDescent="0.3">
      <c r="J26069"/>
    </row>
    <row r="26070" spans="10:10" x14ac:dyDescent="0.3">
      <c r="J26070"/>
    </row>
    <row r="26071" spans="10:10" x14ac:dyDescent="0.3">
      <c r="J26071"/>
    </row>
    <row r="26072" spans="10:10" x14ac:dyDescent="0.3">
      <c r="J26072"/>
    </row>
    <row r="26073" spans="10:10" x14ac:dyDescent="0.3">
      <c r="J26073"/>
    </row>
    <row r="26074" spans="10:10" x14ac:dyDescent="0.3">
      <c r="J26074"/>
    </row>
    <row r="26075" spans="10:10" x14ac:dyDescent="0.3">
      <c r="J26075"/>
    </row>
    <row r="26076" spans="10:10" x14ac:dyDescent="0.3">
      <c r="J26076"/>
    </row>
    <row r="26077" spans="10:10" x14ac:dyDescent="0.3">
      <c r="J26077"/>
    </row>
    <row r="26078" spans="10:10" x14ac:dyDescent="0.3">
      <c r="J26078"/>
    </row>
    <row r="26079" spans="10:10" x14ac:dyDescent="0.3">
      <c r="J26079"/>
    </row>
    <row r="26080" spans="10:10" x14ac:dyDescent="0.3">
      <c r="J26080"/>
    </row>
    <row r="26081" spans="10:10" x14ac:dyDescent="0.3">
      <c r="J26081"/>
    </row>
    <row r="26082" spans="10:10" x14ac:dyDescent="0.3">
      <c r="J26082"/>
    </row>
    <row r="26083" spans="10:10" x14ac:dyDescent="0.3">
      <c r="J26083"/>
    </row>
    <row r="26084" spans="10:10" x14ac:dyDescent="0.3">
      <c r="J26084"/>
    </row>
    <row r="26085" spans="10:10" x14ac:dyDescent="0.3">
      <c r="J26085"/>
    </row>
    <row r="26086" spans="10:10" x14ac:dyDescent="0.3">
      <c r="J26086"/>
    </row>
    <row r="26087" spans="10:10" x14ac:dyDescent="0.3">
      <c r="J26087"/>
    </row>
    <row r="26088" spans="10:10" x14ac:dyDescent="0.3">
      <c r="J26088"/>
    </row>
    <row r="26089" spans="10:10" x14ac:dyDescent="0.3">
      <c r="J26089"/>
    </row>
    <row r="26090" spans="10:10" x14ac:dyDescent="0.3">
      <c r="J26090"/>
    </row>
    <row r="26091" spans="10:10" x14ac:dyDescent="0.3">
      <c r="J26091"/>
    </row>
    <row r="26092" spans="10:10" x14ac:dyDescent="0.3">
      <c r="J26092"/>
    </row>
    <row r="26093" spans="10:10" x14ac:dyDescent="0.3">
      <c r="J26093"/>
    </row>
    <row r="26094" spans="10:10" x14ac:dyDescent="0.3">
      <c r="J26094"/>
    </row>
    <row r="26095" spans="10:10" x14ac:dyDescent="0.3">
      <c r="J26095"/>
    </row>
    <row r="26096" spans="10:10" x14ac:dyDescent="0.3">
      <c r="J26096"/>
    </row>
    <row r="26097" spans="10:10" x14ac:dyDescent="0.3">
      <c r="J26097"/>
    </row>
    <row r="26098" spans="10:10" x14ac:dyDescent="0.3">
      <c r="J26098"/>
    </row>
    <row r="26099" spans="10:10" x14ac:dyDescent="0.3">
      <c r="J26099"/>
    </row>
    <row r="26100" spans="10:10" x14ac:dyDescent="0.3">
      <c r="J26100"/>
    </row>
    <row r="26101" spans="10:10" x14ac:dyDescent="0.3">
      <c r="J26101"/>
    </row>
    <row r="26102" spans="10:10" x14ac:dyDescent="0.3">
      <c r="J26102"/>
    </row>
    <row r="26103" spans="10:10" x14ac:dyDescent="0.3">
      <c r="J26103"/>
    </row>
    <row r="26104" spans="10:10" x14ac:dyDescent="0.3">
      <c r="J26104"/>
    </row>
    <row r="26105" spans="10:10" x14ac:dyDescent="0.3">
      <c r="J26105"/>
    </row>
    <row r="26106" spans="10:10" x14ac:dyDescent="0.3">
      <c r="J26106"/>
    </row>
    <row r="26107" spans="10:10" x14ac:dyDescent="0.3">
      <c r="J26107"/>
    </row>
    <row r="26108" spans="10:10" x14ac:dyDescent="0.3">
      <c r="J26108"/>
    </row>
    <row r="26109" spans="10:10" x14ac:dyDescent="0.3">
      <c r="J26109"/>
    </row>
    <row r="26110" spans="10:10" x14ac:dyDescent="0.3">
      <c r="J26110"/>
    </row>
    <row r="26111" spans="10:10" x14ac:dyDescent="0.3">
      <c r="J26111"/>
    </row>
    <row r="26112" spans="10:10" x14ac:dyDescent="0.3">
      <c r="J26112"/>
    </row>
    <row r="26113" spans="10:10" x14ac:dyDescent="0.3">
      <c r="J26113"/>
    </row>
    <row r="26114" spans="10:10" x14ac:dyDescent="0.3">
      <c r="J26114"/>
    </row>
    <row r="26115" spans="10:10" x14ac:dyDescent="0.3">
      <c r="J26115"/>
    </row>
    <row r="26116" spans="10:10" x14ac:dyDescent="0.3">
      <c r="J26116"/>
    </row>
    <row r="26117" spans="10:10" x14ac:dyDescent="0.3">
      <c r="J26117"/>
    </row>
    <row r="26118" spans="10:10" x14ac:dyDescent="0.3">
      <c r="J26118"/>
    </row>
    <row r="26119" spans="10:10" x14ac:dyDescent="0.3">
      <c r="J26119"/>
    </row>
    <row r="26120" spans="10:10" x14ac:dyDescent="0.3">
      <c r="J26120"/>
    </row>
    <row r="26121" spans="10:10" x14ac:dyDescent="0.3">
      <c r="J26121"/>
    </row>
    <row r="26122" spans="10:10" x14ac:dyDescent="0.3">
      <c r="J26122"/>
    </row>
    <row r="26123" spans="10:10" x14ac:dyDescent="0.3">
      <c r="J26123"/>
    </row>
    <row r="26124" spans="10:10" x14ac:dyDescent="0.3">
      <c r="J26124"/>
    </row>
    <row r="26125" spans="10:10" x14ac:dyDescent="0.3">
      <c r="J26125"/>
    </row>
    <row r="26126" spans="10:10" x14ac:dyDescent="0.3">
      <c r="J26126"/>
    </row>
    <row r="26127" spans="10:10" x14ac:dyDescent="0.3">
      <c r="J26127"/>
    </row>
    <row r="26128" spans="10:10" x14ac:dyDescent="0.3">
      <c r="J26128"/>
    </row>
    <row r="26129" spans="10:10" x14ac:dyDescent="0.3">
      <c r="J26129"/>
    </row>
    <row r="26130" spans="10:10" x14ac:dyDescent="0.3">
      <c r="J26130"/>
    </row>
    <row r="26131" spans="10:10" x14ac:dyDescent="0.3">
      <c r="J26131"/>
    </row>
    <row r="26132" spans="10:10" x14ac:dyDescent="0.3">
      <c r="J26132"/>
    </row>
    <row r="26133" spans="10:10" x14ac:dyDescent="0.3">
      <c r="J26133"/>
    </row>
    <row r="26134" spans="10:10" x14ac:dyDescent="0.3">
      <c r="J26134"/>
    </row>
    <row r="26135" spans="10:10" x14ac:dyDescent="0.3">
      <c r="J26135"/>
    </row>
    <row r="26136" spans="10:10" x14ac:dyDescent="0.3">
      <c r="J26136"/>
    </row>
    <row r="26137" spans="10:10" x14ac:dyDescent="0.3">
      <c r="J26137"/>
    </row>
    <row r="26138" spans="10:10" x14ac:dyDescent="0.3">
      <c r="J26138"/>
    </row>
    <row r="26139" spans="10:10" x14ac:dyDescent="0.3">
      <c r="J26139"/>
    </row>
    <row r="26140" spans="10:10" x14ac:dyDescent="0.3">
      <c r="J26140"/>
    </row>
    <row r="26141" spans="10:10" x14ac:dyDescent="0.3">
      <c r="J26141"/>
    </row>
    <row r="26142" spans="10:10" x14ac:dyDescent="0.3">
      <c r="J26142"/>
    </row>
    <row r="26143" spans="10:10" x14ac:dyDescent="0.3">
      <c r="J26143"/>
    </row>
    <row r="26144" spans="10:10" x14ac:dyDescent="0.3">
      <c r="J26144"/>
    </row>
    <row r="26145" spans="10:10" x14ac:dyDescent="0.3">
      <c r="J26145"/>
    </row>
    <row r="26146" spans="10:10" x14ac:dyDescent="0.3">
      <c r="J26146"/>
    </row>
    <row r="26147" spans="10:10" x14ac:dyDescent="0.3">
      <c r="J26147"/>
    </row>
    <row r="26148" spans="10:10" x14ac:dyDescent="0.3">
      <c r="J26148"/>
    </row>
    <row r="26149" spans="10:10" x14ac:dyDescent="0.3">
      <c r="J26149"/>
    </row>
    <row r="26150" spans="10:10" x14ac:dyDescent="0.3">
      <c r="J26150"/>
    </row>
    <row r="26151" spans="10:10" x14ac:dyDescent="0.3">
      <c r="J26151"/>
    </row>
    <row r="26152" spans="10:10" x14ac:dyDescent="0.3">
      <c r="J26152"/>
    </row>
    <row r="26153" spans="10:10" x14ac:dyDescent="0.3">
      <c r="J26153"/>
    </row>
    <row r="26154" spans="10:10" x14ac:dyDescent="0.3">
      <c r="J26154"/>
    </row>
    <row r="26155" spans="10:10" x14ac:dyDescent="0.3">
      <c r="J26155"/>
    </row>
    <row r="26156" spans="10:10" x14ac:dyDescent="0.3">
      <c r="J26156"/>
    </row>
    <row r="26157" spans="10:10" x14ac:dyDescent="0.3">
      <c r="J26157"/>
    </row>
    <row r="26158" spans="10:10" x14ac:dyDescent="0.3">
      <c r="J26158"/>
    </row>
    <row r="26159" spans="10:10" x14ac:dyDescent="0.3">
      <c r="J26159"/>
    </row>
    <row r="26160" spans="10:10" x14ac:dyDescent="0.3">
      <c r="J26160"/>
    </row>
    <row r="26161" spans="10:10" x14ac:dyDescent="0.3">
      <c r="J26161"/>
    </row>
    <row r="26162" spans="10:10" x14ac:dyDescent="0.3">
      <c r="J26162"/>
    </row>
    <row r="26163" spans="10:10" x14ac:dyDescent="0.3">
      <c r="J26163"/>
    </row>
    <row r="26164" spans="10:10" x14ac:dyDescent="0.3">
      <c r="J26164"/>
    </row>
    <row r="26165" spans="10:10" x14ac:dyDescent="0.3">
      <c r="J26165"/>
    </row>
    <row r="26166" spans="10:10" x14ac:dyDescent="0.3">
      <c r="J26166"/>
    </row>
    <row r="26167" spans="10:10" x14ac:dyDescent="0.3">
      <c r="J26167"/>
    </row>
    <row r="26168" spans="10:10" x14ac:dyDescent="0.3">
      <c r="J26168"/>
    </row>
    <row r="26169" spans="10:10" x14ac:dyDescent="0.3">
      <c r="J26169"/>
    </row>
    <row r="26170" spans="10:10" x14ac:dyDescent="0.3">
      <c r="J26170"/>
    </row>
    <row r="26171" spans="10:10" x14ac:dyDescent="0.3">
      <c r="J26171"/>
    </row>
    <row r="26172" spans="10:10" x14ac:dyDescent="0.3">
      <c r="J26172"/>
    </row>
    <row r="26173" spans="10:10" x14ac:dyDescent="0.3">
      <c r="J26173"/>
    </row>
    <row r="26174" spans="10:10" x14ac:dyDescent="0.3">
      <c r="J26174"/>
    </row>
    <row r="26175" spans="10:10" x14ac:dyDescent="0.3">
      <c r="J26175"/>
    </row>
    <row r="26176" spans="10:10" x14ac:dyDescent="0.3">
      <c r="J26176"/>
    </row>
    <row r="26177" spans="10:10" x14ac:dyDescent="0.3">
      <c r="J26177"/>
    </row>
    <row r="26178" spans="10:10" x14ac:dyDescent="0.3">
      <c r="J26178"/>
    </row>
    <row r="26179" spans="10:10" x14ac:dyDescent="0.3">
      <c r="J26179"/>
    </row>
    <row r="26180" spans="10:10" x14ac:dyDescent="0.3">
      <c r="J26180"/>
    </row>
    <row r="26181" spans="10:10" x14ac:dyDescent="0.3">
      <c r="J26181"/>
    </row>
    <row r="26182" spans="10:10" x14ac:dyDescent="0.3">
      <c r="J26182"/>
    </row>
    <row r="26183" spans="10:10" x14ac:dyDescent="0.3">
      <c r="J26183"/>
    </row>
    <row r="26184" spans="10:10" x14ac:dyDescent="0.3">
      <c r="J26184"/>
    </row>
    <row r="26185" spans="10:10" x14ac:dyDescent="0.3">
      <c r="J26185"/>
    </row>
    <row r="26186" spans="10:10" x14ac:dyDescent="0.3">
      <c r="J26186"/>
    </row>
    <row r="26187" spans="10:10" x14ac:dyDescent="0.3">
      <c r="J26187"/>
    </row>
    <row r="26188" spans="10:10" x14ac:dyDescent="0.3">
      <c r="J26188"/>
    </row>
    <row r="26189" spans="10:10" x14ac:dyDescent="0.3">
      <c r="J26189"/>
    </row>
    <row r="26190" spans="10:10" x14ac:dyDescent="0.3">
      <c r="J26190"/>
    </row>
    <row r="26191" spans="10:10" x14ac:dyDescent="0.3">
      <c r="J26191"/>
    </row>
    <row r="26192" spans="10:10" x14ac:dyDescent="0.3">
      <c r="J26192"/>
    </row>
    <row r="26193" spans="10:10" x14ac:dyDescent="0.3">
      <c r="J26193"/>
    </row>
    <row r="26194" spans="10:10" x14ac:dyDescent="0.3">
      <c r="J26194"/>
    </row>
    <row r="26195" spans="10:10" x14ac:dyDescent="0.3">
      <c r="J26195"/>
    </row>
    <row r="26196" spans="10:10" x14ac:dyDescent="0.3">
      <c r="J26196"/>
    </row>
    <row r="26197" spans="10:10" x14ac:dyDescent="0.3">
      <c r="J26197"/>
    </row>
    <row r="26198" spans="10:10" x14ac:dyDescent="0.3">
      <c r="J26198"/>
    </row>
    <row r="26199" spans="10:10" x14ac:dyDescent="0.3">
      <c r="J26199"/>
    </row>
    <row r="26200" spans="10:10" x14ac:dyDescent="0.3">
      <c r="J26200"/>
    </row>
    <row r="26201" spans="10:10" x14ac:dyDescent="0.3">
      <c r="J26201"/>
    </row>
    <row r="26202" spans="10:10" x14ac:dyDescent="0.3">
      <c r="J26202"/>
    </row>
    <row r="26203" spans="10:10" x14ac:dyDescent="0.3">
      <c r="J26203"/>
    </row>
    <row r="26204" spans="10:10" x14ac:dyDescent="0.3">
      <c r="J26204"/>
    </row>
    <row r="26205" spans="10:10" x14ac:dyDescent="0.3">
      <c r="J26205"/>
    </row>
    <row r="26206" spans="10:10" x14ac:dyDescent="0.3">
      <c r="J26206"/>
    </row>
    <row r="26207" spans="10:10" x14ac:dyDescent="0.3">
      <c r="J26207"/>
    </row>
    <row r="26208" spans="10:10" x14ac:dyDescent="0.3">
      <c r="J26208"/>
    </row>
    <row r="26209" spans="10:10" x14ac:dyDescent="0.3">
      <c r="J26209"/>
    </row>
    <row r="26210" spans="10:10" x14ac:dyDescent="0.3">
      <c r="J26210"/>
    </row>
    <row r="26211" spans="10:10" x14ac:dyDescent="0.3">
      <c r="J26211"/>
    </row>
    <row r="26212" spans="10:10" x14ac:dyDescent="0.3">
      <c r="J26212"/>
    </row>
    <row r="26213" spans="10:10" x14ac:dyDescent="0.3">
      <c r="J26213"/>
    </row>
    <row r="26214" spans="10:10" x14ac:dyDescent="0.3">
      <c r="J26214"/>
    </row>
    <row r="26215" spans="10:10" x14ac:dyDescent="0.3">
      <c r="J26215"/>
    </row>
    <row r="26216" spans="10:10" x14ac:dyDescent="0.3">
      <c r="J26216"/>
    </row>
    <row r="26217" spans="10:10" x14ac:dyDescent="0.3">
      <c r="J26217"/>
    </row>
    <row r="26218" spans="10:10" x14ac:dyDescent="0.3">
      <c r="J26218"/>
    </row>
    <row r="26219" spans="10:10" x14ac:dyDescent="0.3">
      <c r="J26219"/>
    </row>
    <row r="26220" spans="10:10" x14ac:dyDescent="0.3">
      <c r="J26220"/>
    </row>
    <row r="26221" spans="10:10" x14ac:dyDescent="0.3">
      <c r="J26221"/>
    </row>
    <row r="26222" spans="10:10" x14ac:dyDescent="0.3">
      <c r="J26222"/>
    </row>
    <row r="26223" spans="10:10" x14ac:dyDescent="0.3">
      <c r="J26223"/>
    </row>
    <row r="26224" spans="10:10" x14ac:dyDescent="0.3">
      <c r="J26224"/>
    </row>
    <row r="26225" spans="10:10" x14ac:dyDescent="0.3">
      <c r="J26225"/>
    </row>
    <row r="26226" spans="10:10" x14ac:dyDescent="0.3">
      <c r="J26226"/>
    </row>
    <row r="26227" spans="10:10" x14ac:dyDescent="0.3">
      <c r="J26227"/>
    </row>
    <row r="26228" spans="10:10" x14ac:dyDescent="0.3">
      <c r="J26228"/>
    </row>
    <row r="26229" spans="10:10" x14ac:dyDescent="0.3">
      <c r="J26229"/>
    </row>
    <row r="26230" spans="10:10" x14ac:dyDescent="0.3">
      <c r="J26230"/>
    </row>
    <row r="26231" spans="10:10" x14ac:dyDescent="0.3">
      <c r="J26231"/>
    </row>
    <row r="26232" spans="10:10" x14ac:dyDescent="0.3">
      <c r="J26232"/>
    </row>
    <row r="26233" spans="10:10" x14ac:dyDescent="0.3">
      <c r="J26233"/>
    </row>
    <row r="26234" spans="10:10" x14ac:dyDescent="0.3">
      <c r="J26234"/>
    </row>
    <row r="26235" spans="10:10" x14ac:dyDescent="0.3">
      <c r="J26235"/>
    </row>
    <row r="26236" spans="10:10" x14ac:dyDescent="0.3">
      <c r="J26236"/>
    </row>
    <row r="26237" spans="10:10" x14ac:dyDescent="0.3">
      <c r="J26237"/>
    </row>
    <row r="26238" spans="10:10" x14ac:dyDescent="0.3">
      <c r="J26238"/>
    </row>
    <row r="26239" spans="10:10" x14ac:dyDescent="0.3">
      <c r="J26239"/>
    </row>
    <row r="26240" spans="10:10" x14ac:dyDescent="0.3">
      <c r="J26240"/>
    </row>
    <row r="26241" spans="10:10" x14ac:dyDescent="0.3">
      <c r="J26241"/>
    </row>
    <row r="26242" spans="10:10" x14ac:dyDescent="0.3">
      <c r="J26242"/>
    </row>
    <row r="26243" spans="10:10" x14ac:dyDescent="0.3">
      <c r="J26243"/>
    </row>
    <row r="26244" spans="10:10" x14ac:dyDescent="0.3">
      <c r="J26244"/>
    </row>
    <row r="26245" spans="10:10" x14ac:dyDescent="0.3">
      <c r="J26245"/>
    </row>
    <row r="26246" spans="10:10" x14ac:dyDescent="0.3">
      <c r="J26246"/>
    </row>
    <row r="26247" spans="10:10" x14ac:dyDescent="0.3">
      <c r="J26247"/>
    </row>
    <row r="26248" spans="10:10" x14ac:dyDescent="0.3">
      <c r="J26248"/>
    </row>
    <row r="26249" spans="10:10" x14ac:dyDescent="0.3">
      <c r="J26249"/>
    </row>
    <row r="26250" spans="10:10" x14ac:dyDescent="0.3">
      <c r="J26250"/>
    </row>
    <row r="26251" spans="10:10" x14ac:dyDescent="0.3">
      <c r="J26251"/>
    </row>
    <row r="26252" spans="10:10" x14ac:dyDescent="0.3">
      <c r="J26252"/>
    </row>
    <row r="26253" spans="10:10" x14ac:dyDescent="0.3">
      <c r="J26253"/>
    </row>
    <row r="26254" spans="10:10" x14ac:dyDescent="0.3">
      <c r="J26254"/>
    </row>
    <row r="26255" spans="10:10" x14ac:dyDescent="0.3">
      <c r="J26255"/>
    </row>
    <row r="26256" spans="10:10" x14ac:dyDescent="0.3">
      <c r="J26256"/>
    </row>
    <row r="26257" spans="10:10" x14ac:dyDescent="0.3">
      <c r="J26257"/>
    </row>
    <row r="26258" spans="10:10" x14ac:dyDescent="0.3">
      <c r="J26258"/>
    </row>
    <row r="26259" spans="10:10" x14ac:dyDescent="0.3">
      <c r="J26259"/>
    </row>
    <row r="26260" spans="10:10" x14ac:dyDescent="0.3">
      <c r="J26260"/>
    </row>
    <row r="26261" spans="10:10" x14ac:dyDescent="0.3">
      <c r="J26261"/>
    </row>
    <row r="26262" spans="10:10" x14ac:dyDescent="0.3">
      <c r="J26262"/>
    </row>
    <row r="26263" spans="10:10" x14ac:dyDescent="0.3">
      <c r="J26263"/>
    </row>
    <row r="26264" spans="10:10" x14ac:dyDescent="0.3">
      <c r="J26264"/>
    </row>
    <row r="26265" spans="10:10" x14ac:dyDescent="0.3">
      <c r="J26265"/>
    </row>
    <row r="26266" spans="10:10" x14ac:dyDescent="0.3">
      <c r="J26266"/>
    </row>
    <row r="26267" spans="10:10" x14ac:dyDescent="0.3">
      <c r="J26267"/>
    </row>
    <row r="26268" spans="10:10" x14ac:dyDescent="0.3">
      <c r="J26268"/>
    </row>
    <row r="26269" spans="10:10" x14ac:dyDescent="0.3">
      <c r="J26269"/>
    </row>
    <row r="26270" spans="10:10" x14ac:dyDescent="0.3">
      <c r="J26270"/>
    </row>
    <row r="26271" spans="10:10" x14ac:dyDescent="0.3">
      <c r="J26271"/>
    </row>
    <row r="26272" spans="10:10" x14ac:dyDescent="0.3">
      <c r="J26272"/>
    </row>
    <row r="26273" spans="10:10" x14ac:dyDescent="0.3">
      <c r="J26273"/>
    </row>
    <row r="26274" spans="10:10" x14ac:dyDescent="0.3">
      <c r="J26274"/>
    </row>
    <row r="26275" spans="10:10" x14ac:dyDescent="0.3">
      <c r="J26275"/>
    </row>
    <row r="26276" spans="10:10" x14ac:dyDescent="0.3">
      <c r="J26276"/>
    </row>
    <row r="26277" spans="10:10" x14ac:dyDescent="0.3">
      <c r="J26277"/>
    </row>
    <row r="26278" spans="10:10" x14ac:dyDescent="0.3">
      <c r="J26278"/>
    </row>
    <row r="26279" spans="10:10" x14ac:dyDescent="0.3">
      <c r="J26279"/>
    </row>
    <row r="26280" spans="10:10" x14ac:dyDescent="0.3">
      <c r="J26280"/>
    </row>
    <row r="26281" spans="10:10" x14ac:dyDescent="0.3">
      <c r="J26281"/>
    </row>
    <row r="26282" spans="10:10" x14ac:dyDescent="0.3">
      <c r="J26282"/>
    </row>
    <row r="26283" spans="10:10" x14ac:dyDescent="0.3">
      <c r="J26283"/>
    </row>
    <row r="26284" spans="10:10" x14ac:dyDescent="0.3">
      <c r="J26284"/>
    </row>
    <row r="26285" spans="10:10" x14ac:dyDescent="0.3">
      <c r="J26285"/>
    </row>
    <row r="26286" spans="10:10" x14ac:dyDescent="0.3">
      <c r="J26286"/>
    </row>
    <row r="26287" spans="10:10" x14ac:dyDescent="0.3">
      <c r="J26287"/>
    </row>
    <row r="26288" spans="10:10" x14ac:dyDescent="0.3">
      <c r="J26288"/>
    </row>
    <row r="26289" spans="10:10" x14ac:dyDescent="0.3">
      <c r="J26289"/>
    </row>
    <row r="26290" spans="10:10" x14ac:dyDescent="0.3">
      <c r="J26290"/>
    </row>
    <row r="26291" spans="10:10" x14ac:dyDescent="0.3">
      <c r="J26291"/>
    </row>
    <row r="26292" spans="10:10" x14ac:dyDescent="0.3">
      <c r="J26292"/>
    </row>
    <row r="26293" spans="10:10" x14ac:dyDescent="0.3">
      <c r="J26293"/>
    </row>
    <row r="26294" spans="10:10" x14ac:dyDescent="0.3">
      <c r="J26294"/>
    </row>
    <row r="26295" spans="10:10" x14ac:dyDescent="0.3">
      <c r="J26295"/>
    </row>
    <row r="26296" spans="10:10" x14ac:dyDescent="0.3">
      <c r="J26296"/>
    </row>
    <row r="26297" spans="10:10" x14ac:dyDescent="0.3">
      <c r="J26297"/>
    </row>
    <row r="26298" spans="10:10" x14ac:dyDescent="0.3">
      <c r="J26298"/>
    </row>
    <row r="26299" spans="10:10" x14ac:dyDescent="0.3">
      <c r="J26299"/>
    </row>
    <row r="26300" spans="10:10" x14ac:dyDescent="0.3">
      <c r="J26300"/>
    </row>
    <row r="26301" spans="10:10" x14ac:dyDescent="0.3">
      <c r="J26301"/>
    </row>
    <row r="26302" spans="10:10" x14ac:dyDescent="0.3">
      <c r="J26302"/>
    </row>
    <row r="26303" spans="10:10" x14ac:dyDescent="0.3">
      <c r="J26303"/>
    </row>
    <row r="26304" spans="10:10" x14ac:dyDescent="0.3">
      <c r="J26304"/>
    </row>
    <row r="26305" spans="10:10" x14ac:dyDescent="0.3">
      <c r="J26305"/>
    </row>
    <row r="26306" spans="10:10" x14ac:dyDescent="0.3">
      <c r="J26306"/>
    </row>
    <row r="26307" spans="10:10" x14ac:dyDescent="0.3">
      <c r="J26307"/>
    </row>
    <row r="26308" spans="10:10" x14ac:dyDescent="0.3">
      <c r="J26308"/>
    </row>
    <row r="26309" spans="10:10" x14ac:dyDescent="0.3">
      <c r="J26309"/>
    </row>
    <row r="26310" spans="10:10" x14ac:dyDescent="0.3">
      <c r="J26310"/>
    </row>
    <row r="26311" spans="10:10" x14ac:dyDescent="0.3">
      <c r="J26311"/>
    </row>
    <row r="26312" spans="10:10" x14ac:dyDescent="0.3">
      <c r="J26312"/>
    </row>
    <row r="26313" spans="10:10" x14ac:dyDescent="0.3">
      <c r="J26313"/>
    </row>
    <row r="26314" spans="10:10" x14ac:dyDescent="0.3">
      <c r="J26314"/>
    </row>
    <row r="26315" spans="10:10" x14ac:dyDescent="0.3">
      <c r="J26315"/>
    </row>
    <row r="26316" spans="10:10" x14ac:dyDescent="0.3">
      <c r="J26316"/>
    </row>
    <row r="26317" spans="10:10" x14ac:dyDescent="0.3">
      <c r="J26317"/>
    </row>
    <row r="26318" spans="10:10" x14ac:dyDescent="0.3">
      <c r="J26318"/>
    </row>
    <row r="26319" spans="10:10" x14ac:dyDescent="0.3">
      <c r="J26319"/>
    </row>
    <row r="26320" spans="10:10" x14ac:dyDescent="0.3">
      <c r="J26320"/>
    </row>
    <row r="26321" spans="10:10" x14ac:dyDescent="0.3">
      <c r="J26321"/>
    </row>
    <row r="26322" spans="10:10" x14ac:dyDescent="0.3">
      <c r="J26322"/>
    </row>
    <row r="26323" spans="10:10" x14ac:dyDescent="0.3">
      <c r="J26323"/>
    </row>
    <row r="26324" spans="10:10" x14ac:dyDescent="0.3">
      <c r="J26324"/>
    </row>
    <row r="26325" spans="10:10" x14ac:dyDescent="0.3">
      <c r="J26325"/>
    </row>
    <row r="26326" spans="10:10" x14ac:dyDescent="0.3">
      <c r="J26326"/>
    </row>
    <row r="26327" spans="10:10" x14ac:dyDescent="0.3">
      <c r="J26327"/>
    </row>
    <row r="26328" spans="10:10" x14ac:dyDescent="0.3">
      <c r="J26328"/>
    </row>
    <row r="26329" spans="10:10" x14ac:dyDescent="0.3">
      <c r="J26329"/>
    </row>
    <row r="26330" spans="10:10" x14ac:dyDescent="0.3">
      <c r="J26330"/>
    </row>
    <row r="26331" spans="10:10" x14ac:dyDescent="0.3">
      <c r="J26331"/>
    </row>
    <row r="26332" spans="10:10" x14ac:dyDescent="0.3">
      <c r="J26332"/>
    </row>
    <row r="26333" spans="10:10" x14ac:dyDescent="0.3">
      <c r="J26333"/>
    </row>
    <row r="26334" spans="10:10" x14ac:dyDescent="0.3">
      <c r="J26334"/>
    </row>
    <row r="26335" spans="10:10" x14ac:dyDescent="0.3">
      <c r="J26335"/>
    </row>
    <row r="26336" spans="10:10" x14ac:dyDescent="0.3">
      <c r="J26336"/>
    </row>
    <row r="26337" spans="10:10" x14ac:dyDescent="0.3">
      <c r="J26337"/>
    </row>
    <row r="26338" spans="10:10" x14ac:dyDescent="0.3">
      <c r="J26338"/>
    </row>
    <row r="26339" spans="10:10" x14ac:dyDescent="0.3">
      <c r="J26339"/>
    </row>
    <row r="26340" spans="10:10" x14ac:dyDescent="0.3">
      <c r="J26340"/>
    </row>
    <row r="26341" spans="10:10" x14ac:dyDescent="0.3">
      <c r="J26341"/>
    </row>
    <row r="26342" spans="10:10" x14ac:dyDescent="0.3">
      <c r="J26342"/>
    </row>
    <row r="26343" spans="10:10" x14ac:dyDescent="0.3">
      <c r="J26343"/>
    </row>
    <row r="26344" spans="10:10" x14ac:dyDescent="0.3">
      <c r="J26344"/>
    </row>
    <row r="26345" spans="10:10" x14ac:dyDescent="0.3">
      <c r="J26345"/>
    </row>
    <row r="26346" spans="10:10" x14ac:dyDescent="0.3">
      <c r="J26346"/>
    </row>
    <row r="26347" spans="10:10" x14ac:dyDescent="0.3">
      <c r="J26347"/>
    </row>
    <row r="26348" spans="10:10" x14ac:dyDescent="0.3">
      <c r="J26348"/>
    </row>
    <row r="26349" spans="10:10" x14ac:dyDescent="0.3">
      <c r="J26349"/>
    </row>
    <row r="26350" spans="10:10" x14ac:dyDescent="0.3">
      <c r="J26350"/>
    </row>
    <row r="26351" spans="10:10" x14ac:dyDescent="0.3">
      <c r="J26351"/>
    </row>
    <row r="26352" spans="10:10" x14ac:dyDescent="0.3">
      <c r="J26352"/>
    </row>
    <row r="26353" spans="10:10" x14ac:dyDescent="0.3">
      <c r="J26353"/>
    </row>
    <row r="26354" spans="10:10" x14ac:dyDescent="0.3">
      <c r="J26354"/>
    </row>
    <row r="26355" spans="10:10" x14ac:dyDescent="0.3">
      <c r="J26355"/>
    </row>
    <row r="26356" spans="10:10" x14ac:dyDescent="0.3">
      <c r="J26356"/>
    </row>
    <row r="26357" spans="10:10" x14ac:dyDescent="0.3">
      <c r="J26357"/>
    </row>
    <row r="26358" spans="10:10" x14ac:dyDescent="0.3">
      <c r="J26358"/>
    </row>
    <row r="26359" spans="10:10" x14ac:dyDescent="0.3">
      <c r="J26359"/>
    </row>
    <row r="26360" spans="10:10" x14ac:dyDescent="0.3">
      <c r="J26360"/>
    </row>
    <row r="26361" spans="10:10" x14ac:dyDescent="0.3">
      <c r="J26361"/>
    </row>
    <row r="26362" spans="10:10" x14ac:dyDescent="0.3">
      <c r="J26362"/>
    </row>
    <row r="26363" spans="10:10" x14ac:dyDescent="0.3">
      <c r="J26363"/>
    </row>
    <row r="26364" spans="10:10" x14ac:dyDescent="0.3">
      <c r="J26364"/>
    </row>
    <row r="26365" spans="10:10" x14ac:dyDescent="0.3">
      <c r="J26365"/>
    </row>
    <row r="26366" spans="10:10" x14ac:dyDescent="0.3">
      <c r="J26366"/>
    </row>
    <row r="26367" spans="10:10" x14ac:dyDescent="0.3">
      <c r="J26367"/>
    </row>
    <row r="26368" spans="10:10" x14ac:dyDescent="0.3">
      <c r="J26368"/>
    </row>
    <row r="26369" spans="10:10" x14ac:dyDescent="0.3">
      <c r="J26369"/>
    </row>
    <row r="26370" spans="10:10" x14ac:dyDescent="0.3">
      <c r="J26370"/>
    </row>
    <row r="26371" spans="10:10" x14ac:dyDescent="0.3">
      <c r="J26371"/>
    </row>
    <row r="26372" spans="10:10" x14ac:dyDescent="0.3">
      <c r="J26372"/>
    </row>
    <row r="26373" spans="10:10" x14ac:dyDescent="0.3">
      <c r="J26373"/>
    </row>
    <row r="26374" spans="10:10" x14ac:dyDescent="0.3">
      <c r="J26374"/>
    </row>
    <row r="26375" spans="10:10" x14ac:dyDescent="0.3">
      <c r="J26375"/>
    </row>
    <row r="26376" spans="10:10" x14ac:dyDescent="0.3">
      <c r="J26376"/>
    </row>
    <row r="26377" spans="10:10" x14ac:dyDescent="0.3">
      <c r="J26377"/>
    </row>
    <row r="26378" spans="10:10" x14ac:dyDescent="0.3">
      <c r="J26378"/>
    </row>
    <row r="26379" spans="10:10" x14ac:dyDescent="0.3">
      <c r="J26379"/>
    </row>
    <row r="26380" spans="10:10" x14ac:dyDescent="0.3">
      <c r="J26380"/>
    </row>
    <row r="26381" spans="10:10" x14ac:dyDescent="0.3">
      <c r="J26381"/>
    </row>
    <row r="26382" spans="10:10" x14ac:dyDescent="0.3">
      <c r="J26382"/>
    </row>
    <row r="26383" spans="10:10" x14ac:dyDescent="0.3">
      <c r="J26383"/>
    </row>
    <row r="26384" spans="10:10" x14ac:dyDescent="0.3">
      <c r="J26384"/>
    </row>
    <row r="26385" spans="10:10" x14ac:dyDescent="0.3">
      <c r="J26385"/>
    </row>
    <row r="26386" spans="10:10" x14ac:dyDescent="0.3">
      <c r="J26386"/>
    </row>
    <row r="26387" spans="10:10" x14ac:dyDescent="0.3">
      <c r="J26387"/>
    </row>
    <row r="26388" spans="10:10" x14ac:dyDescent="0.3">
      <c r="J26388"/>
    </row>
    <row r="26389" spans="10:10" x14ac:dyDescent="0.3">
      <c r="J26389"/>
    </row>
    <row r="26390" spans="10:10" x14ac:dyDescent="0.3">
      <c r="J26390"/>
    </row>
    <row r="26391" spans="10:10" x14ac:dyDescent="0.3">
      <c r="J26391"/>
    </row>
    <row r="26392" spans="10:10" x14ac:dyDescent="0.3">
      <c r="J26392"/>
    </row>
    <row r="26393" spans="10:10" x14ac:dyDescent="0.3">
      <c r="J26393"/>
    </row>
    <row r="26394" spans="10:10" x14ac:dyDescent="0.3">
      <c r="J26394"/>
    </row>
    <row r="26395" spans="10:10" x14ac:dyDescent="0.3">
      <c r="J26395"/>
    </row>
    <row r="26396" spans="10:10" x14ac:dyDescent="0.3">
      <c r="J26396"/>
    </row>
    <row r="26397" spans="10:10" x14ac:dyDescent="0.3">
      <c r="J26397"/>
    </row>
    <row r="26398" spans="10:10" x14ac:dyDescent="0.3">
      <c r="J26398"/>
    </row>
    <row r="26399" spans="10:10" x14ac:dyDescent="0.3">
      <c r="J26399"/>
    </row>
    <row r="26400" spans="10:10" x14ac:dyDescent="0.3">
      <c r="J26400"/>
    </row>
    <row r="26401" spans="10:10" x14ac:dyDescent="0.3">
      <c r="J26401"/>
    </row>
    <row r="26402" spans="10:10" x14ac:dyDescent="0.3">
      <c r="J26402"/>
    </row>
    <row r="26403" spans="10:10" x14ac:dyDescent="0.3">
      <c r="J26403"/>
    </row>
    <row r="26404" spans="10:10" x14ac:dyDescent="0.3">
      <c r="J26404"/>
    </row>
    <row r="26405" spans="10:10" x14ac:dyDescent="0.3">
      <c r="J26405"/>
    </row>
    <row r="26406" spans="10:10" x14ac:dyDescent="0.3">
      <c r="J26406"/>
    </row>
    <row r="26407" spans="10:10" x14ac:dyDescent="0.3">
      <c r="J26407"/>
    </row>
    <row r="26408" spans="10:10" x14ac:dyDescent="0.3">
      <c r="J26408"/>
    </row>
    <row r="26409" spans="10:10" x14ac:dyDescent="0.3">
      <c r="J26409"/>
    </row>
    <row r="26410" spans="10:10" x14ac:dyDescent="0.3">
      <c r="J26410"/>
    </row>
    <row r="26411" spans="10:10" x14ac:dyDescent="0.3">
      <c r="J26411"/>
    </row>
    <row r="26412" spans="10:10" x14ac:dyDescent="0.3">
      <c r="J26412"/>
    </row>
    <row r="26413" spans="10:10" x14ac:dyDescent="0.3">
      <c r="J26413"/>
    </row>
    <row r="26414" spans="10:10" x14ac:dyDescent="0.3">
      <c r="J26414"/>
    </row>
    <row r="26415" spans="10:10" x14ac:dyDescent="0.3">
      <c r="J26415"/>
    </row>
    <row r="26416" spans="10:10" x14ac:dyDescent="0.3">
      <c r="J26416"/>
    </row>
    <row r="26417" spans="10:10" x14ac:dyDescent="0.3">
      <c r="J26417"/>
    </row>
    <row r="26418" spans="10:10" x14ac:dyDescent="0.3">
      <c r="J26418"/>
    </row>
    <row r="26419" spans="10:10" x14ac:dyDescent="0.3">
      <c r="J26419"/>
    </row>
    <row r="26420" spans="10:10" x14ac:dyDescent="0.3">
      <c r="J26420"/>
    </row>
    <row r="26421" spans="10:10" x14ac:dyDescent="0.3">
      <c r="J26421"/>
    </row>
    <row r="26422" spans="10:10" x14ac:dyDescent="0.3">
      <c r="J26422"/>
    </row>
    <row r="26423" spans="10:10" x14ac:dyDescent="0.3">
      <c r="J26423"/>
    </row>
    <row r="26424" spans="10:10" x14ac:dyDescent="0.3">
      <c r="J26424"/>
    </row>
    <row r="26425" spans="10:10" x14ac:dyDescent="0.3">
      <c r="J26425"/>
    </row>
    <row r="26426" spans="10:10" x14ac:dyDescent="0.3">
      <c r="J26426"/>
    </row>
    <row r="26427" spans="10:10" x14ac:dyDescent="0.3">
      <c r="J26427"/>
    </row>
    <row r="26428" spans="10:10" x14ac:dyDescent="0.3">
      <c r="J26428"/>
    </row>
    <row r="26429" spans="10:10" x14ac:dyDescent="0.3">
      <c r="J26429"/>
    </row>
    <row r="26430" spans="10:10" x14ac:dyDescent="0.3">
      <c r="J26430"/>
    </row>
    <row r="26431" spans="10:10" x14ac:dyDescent="0.3">
      <c r="J26431"/>
    </row>
    <row r="26432" spans="10:10" x14ac:dyDescent="0.3">
      <c r="J26432"/>
    </row>
    <row r="26433" spans="10:10" x14ac:dyDescent="0.3">
      <c r="J26433"/>
    </row>
    <row r="26434" spans="10:10" x14ac:dyDescent="0.3">
      <c r="J26434"/>
    </row>
    <row r="26435" spans="10:10" x14ac:dyDescent="0.3">
      <c r="J26435"/>
    </row>
    <row r="26436" spans="10:10" x14ac:dyDescent="0.3">
      <c r="J26436"/>
    </row>
    <row r="26437" spans="10:10" x14ac:dyDescent="0.3">
      <c r="J26437"/>
    </row>
    <row r="26438" spans="10:10" x14ac:dyDescent="0.3">
      <c r="J26438"/>
    </row>
    <row r="26439" spans="10:10" x14ac:dyDescent="0.3">
      <c r="J26439"/>
    </row>
    <row r="26440" spans="10:10" x14ac:dyDescent="0.3">
      <c r="J26440"/>
    </row>
    <row r="26441" spans="10:10" x14ac:dyDescent="0.3">
      <c r="J26441"/>
    </row>
    <row r="26442" spans="10:10" x14ac:dyDescent="0.3">
      <c r="J26442"/>
    </row>
    <row r="26443" spans="10:10" x14ac:dyDescent="0.3">
      <c r="J26443"/>
    </row>
    <row r="26444" spans="10:10" x14ac:dyDescent="0.3">
      <c r="J26444"/>
    </row>
    <row r="26445" spans="10:10" x14ac:dyDescent="0.3">
      <c r="J26445"/>
    </row>
    <row r="26446" spans="10:10" x14ac:dyDescent="0.3">
      <c r="J26446"/>
    </row>
    <row r="26447" spans="10:10" x14ac:dyDescent="0.3">
      <c r="J26447"/>
    </row>
    <row r="26448" spans="10:10" x14ac:dyDescent="0.3">
      <c r="J26448"/>
    </row>
    <row r="26449" spans="10:10" x14ac:dyDescent="0.3">
      <c r="J26449"/>
    </row>
    <row r="26450" spans="10:10" x14ac:dyDescent="0.3">
      <c r="J26450"/>
    </row>
    <row r="26451" spans="10:10" x14ac:dyDescent="0.3">
      <c r="J26451"/>
    </row>
    <row r="26452" spans="10:10" x14ac:dyDescent="0.3">
      <c r="J26452"/>
    </row>
    <row r="26453" spans="10:10" x14ac:dyDescent="0.3">
      <c r="J26453"/>
    </row>
    <row r="26454" spans="10:10" x14ac:dyDescent="0.3">
      <c r="J26454"/>
    </row>
    <row r="26455" spans="10:10" x14ac:dyDescent="0.3">
      <c r="J26455"/>
    </row>
    <row r="26456" spans="10:10" x14ac:dyDescent="0.3">
      <c r="J26456"/>
    </row>
    <row r="26457" spans="10:10" x14ac:dyDescent="0.3">
      <c r="J26457"/>
    </row>
    <row r="26458" spans="10:10" x14ac:dyDescent="0.3">
      <c r="J26458"/>
    </row>
    <row r="26459" spans="10:10" x14ac:dyDescent="0.3">
      <c r="J26459"/>
    </row>
    <row r="26460" spans="10:10" x14ac:dyDescent="0.3">
      <c r="J26460"/>
    </row>
    <row r="26461" spans="10:10" x14ac:dyDescent="0.3">
      <c r="J26461"/>
    </row>
    <row r="26462" spans="10:10" x14ac:dyDescent="0.3">
      <c r="J26462"/>
    </row>
    <row r="26463" spans="10:10" x14ac:dyDescent="0.3">
      <c r="J26463"/>
    </row>
    <row r="26464" spans="10:10" x14ac:dyDescent="0.3">
      <c r="J26464"/>
    </row>
    <row r="26465" spans="10:10" x14ac:dyDescent="0.3">
      <c r="J26465"/>
    </row>
    <row r="26466" spans="10:10" x14ac:dyDescent="0.3">
      <c r="J26466"/>
    </row>
    <row r="26467" spans="10:10" x14ac:dyDescent="0.3">
      <c r="J26467"/>
    </row>
    <row r="26468" spans="10:10" x14ac:dyDescent="0.3">
      <c r="J26468"/>
    </row>
    <row r="26469" spans="10:10" x14ac:dyDescent="0.3">
      <c r="J26469"/>
    </row>
    <row r="26470" spans="10:10" x14ac:dyDescent="0.3">
      <c r="J26470"/>
    </row>
    <row r="26471" spans="10:10" x14ac:dyDescent="0.3">
      <c r="J26471"/>
    </row>
    <row r="26472" spans="10:10" x14ac:dyDescent="0.3">
      <c r="J26472"/>
    </row>
    <row r="26473" spans="10:10" x14ac:dyDescent="0.3">
      <c r="J26473"/>
    </row>
    <row r="26474" spans="10:10" x14ac:dyDescent="0.3">
      <c r="J26474"/>
    </row>
    <row r="26475" spans="10:10" x14ac:dyDescent="0.3">
      <c r="J26475"/>
    </row>
    <row r="26476" spans="10:10" x14ac:dyDescent="0.3">
      <c r="J26476"/>
    </row>
    <row r="26477" spans="10:10" x14ac:dyDescent="0.3">
      <c r="J26477"/>
    </row>
    <row r="26478" spans="10:10" x14ac:dyDescent="0.3">
      <c r="J26478"/>
    </row>
    <row r="26479" spans="10:10" x14ac:dyDescent="0.3">
      <c r="J26479"/>
    </row>
    <row r="26480" spans="10:10" x14ac:dyDescent="0.3">
      <c r="J26480"/>
    </row>
    <row r="26481" spans="10:10" x14ac:dyDescent="0.3">
      <c r="J26481"/>
    </row>
    <row r="26482" spans="10:10" x14ac:dyDescent="0.3">
      <c r="J26482"/>
    </row>
    <row r="26483" spans="10:10" x14ac:dyDescent="0.3">
      <c r="J26483"/>
    </row>
    <row r="26484" spans="10:10" x14ac:dyDescent="0.3">
      <c r="J26484"/>
    </row>
    <row r="26485" spans="10:10" x14ac:dyDescent="0.3">
      <c r="J26485"/>
    </row>
    <row r="26486" spans="10:10" x14ac:dyDescent="0.3">
      <c r="J26486"/>
    </row>
    <row r="26487" spans="10:10" x14ac:dyDescent="0.3">
      <c r="J26487"/>
    </row>
    <row r="26488" spans="10:10" x14ac:dyDescent="0.3">
      <c r="J26488"/>
    </row>
    <row r="26489" spans="10:10" x14ac:dyDescent="0.3">
      <c r="J26489"/>
    </row>
    <row r="26490" spans="10:10" x14ac:dyDescent="0.3">
      <c r="J26490"/>
    </row>
    <row r="26491" spans="10:10" x14ac:dyDescent="0.3">
      <c r="J26491"/>
    </row>
    <row r="26492" spans="10:10" x14ac:dyDescent="0.3">
      <c r="J26492"/>
    </row>
    <row r="26493" spans="10:10" x14ac:dyDescent="0.3">
      <c r="J26493"/>
    </row>
    <row r="26494" spans="10:10" x14ac:dyDescent="0.3">
      <c r="J26494"/>
    </row>
    <row r="26495" spans="10:10" x14ac:dyDescent="0.3">
      <c r="J26495"/>
    </row>
    <row r="26496" spans="10:10" x14ac:dyDescent="0.3">
      <c r="J26496"/>
    </row>
    <row r="26497" spans="10:10" x14ac:dyDescent="0.3">
      <c r="J26497"/>
    </row>
    <row r="26498" spans="10:10" x14ac:dyDescent="0.3">
      <c r="J26498"/>
    </row>
    <row r="26499" spans="10:10" x14ac:dyDescent="0.3">
      <c r="J26499"/>
    </row>
    <row r="26500" spans="10:10" x14ac:dyDescent="0.3">
      <c r="J26500"/>
    </row>
    <row r="26501" spans="10:10" x14ac:dyDescent="0.3">
      <c r="J26501"/>
    </row>
    <row r="26502" spans="10:10" x14ac:dyDescent="0.3">
      <c r="J26502"/>
    </row>
    <row r="26503" spans="10:10" x14ac:dyDescent="0.3">
      <c r="J26503"/>
    </row>
    <row r="26504" spans="10:10" x14ac:dyDescent="0.3">
      <c r="J26504"/>
    </row>
    <row r="26505" spans="10:10" x14ac:dyDescent="0.3">
      <c r="J26505"/>
    </row>
    <row r="26506" spans="10:10" x14ac:dyDescent="0.3">
      <c r="J26506"/>
    </row>
    <row r="26507" spans="10:10" x14ac:dyDescent="0.3">
      <c r="J26507"/>
    </row>
    <row r="26508" spans="10:10" x14ac:dyDescent="0.3">
      <c r="J26508"/>
    </row>
    <row r="26509" spans="10:10" x14ac:dyDescent="0.3">
      <c r="J26509"/>
    </row>
    <row r="26510" spans="10:10" x14ac:dyDescent="0.3">
      <c r="J26510"/>
    </row>
    <row r="26511" spans="10:10" x14ac:dyDescent="0.3">
      <c r="J26511"/>
    </row>
    <row r="26512" spans="10:10" x14ac:dyDescent="0.3">
      <c r="J26512"/>
    </row>
    <row r="26513" spans="10:10" x14ac:dyDescent="0.3">
      <c r="J26513"/>
    </row>
    <row r="26514" spans="10:10" x14ac:dyDescent="0.3">
      <c r="J26514"/>
    </row>
    <row r="26515" spans="10:10" x14ac:dyDescent="0.3">
      <c r="J26515"/>
    </row>
    <row r="26516" spans="10:10" x14ac:dyDescent="0.3">
      <c r="J26516"/>
    </row>
    <row r="26517" spans="10:10" x14ac:dyDescent="0.3">
      <c r="J26517"/>
    </row>
    <row r="26518" spans="10:10" x14ac:dyDescent="0.3">
      <c r="J26518"/>
    </row>
    <row r="26519" spans="10:10" x14ac:dyDescent="0.3">
      <c r="J26519"/>
    </row>
    <row r="26520" spans="10:10" x14ac:dyDescent="0.3">
      <c r="J26520"/>
    </row>
    <row r="26521" spans="10:10" x14ac:dyDescent="0.3">
      <c r="J26521"/>
    </row>
    <row r="26522" spans="10:10" x14ac:dyDescent="0.3">
      <c r="J26522"/>
    </row>
    <row r="26523" spans="10:10" x14ac:dyDescent="0.3">
      <c r="J26523"/>
    </row>
    <row r="26524" spans="10:10" x14ac:dyDescent="0.3">
      <c r="J26524"/>
    </row>
    <row r="26525" spans="10:10" x14ac:dyDescent="0.3">
      <c r="J26525"/>
    </row>
    <row r="26526" spans="10:10" x14ac:dyDescent="0.3">
      <c r="J26526"/>
    </row>
    <row r="26527" spans="10:10" x14ac:dyDescent="0.3">
      <c r="J26527"/>
    </row>
    <row r="26528" spans="10:10" x14ac:dyDescent="0.3">
      <c r="J26528"/>
    </row>
    <row r="26529" spans="10:10" x14ac:dyDescent="0.3">
      <c r="J26529"/>
    </row>
    <row r="26530" spans="10:10" x14ac:dyDescent="0.3">
      <c r="J26530"/>
    </row>
    <row r="26531" spans="10:10" x14ac:dyDescent="0.3">
      <c r="J26531"/>
    </row>
    <row r="26532" spans="10:10" x14ac:dyDescent="0.3">
      <c r="J26532"/>
    </row>
    <row r="26533" spans="10:10" x14ac:dyDescent="0.3">
      <c r="J26533"/>
    </row>
    <row r="26534" spans="10:10" x14ac:dyDescent="0.3">
      <c r="J26534"/>
    </row>
    <row r="26535" spans="10:10" x14ac:dyDescent="0.3">
      <c r="J26535"/>
    </row>
    <row r="26536" spans="10:10" x14ac:dyDescent="0.3">
      <c r="J26536"/>
    </row>
    <row r="26537" spans="10:10" x14ac:dyDescent="0.3">
      <c r="J26537"/>
    </row>
    <row r="26538" spans="10:10" x14ac:dyDescent="0.3">
      <c r="J26538"/>
    </row>
    <row r="26539" spans="10:10" x14ac:dyDescent="0.3">
      <c r="J26539"/>
    </row>
    <row r="26540" spans="10:10" x14ac:dyDescent="0.3">
      <c r="J26540"/>
    </row>
    <row r="26541" spans="10:10" x14ac:dyDescent="0.3">
      <c r="J26541"/>
    </row>
    <row r="26542" spans="10:10" x14ac:dyDescent="0.3">
      <c r="J26542"/>
    </row>
    <row r="26543" spans="10:10" x14ac:dyDescent="0.3">
      <c r="J26543"/>
    </row>
    <row r="26544" spans="10:10" x14ac:dyDescent="0.3">
      <c r="J26544"/>
    </row>
    <row r="26545" spans="10:10" x14ac:dyDescent="0.3">
      <c r="J26545"/>
    </row>
    <row r="26546" spans="10:10" x14ac:dyDescent="0.3">
      <c r="J26546"/>
    </row>
    <row r="26547" spans="10:10" x14ac:dyDescent="0.3">
      <c r="J26547"/>
    </row>
    <row r="26548" spans="10:10" x14ac:dyDescent="0.3">
      <c r="J26548"/>
    </row>
    <row r="26549" spans="10:10" x14ac:dyDescent="0.3">
      <c r="J26549"/>
    </row>
    <row r="26550" spans="10:10" x14ac:dyDescent="0.3">
      <c r="J26550"/>
    </row>
    <row r="26551" spans="10:10" x14ac:dyDescent="0.3">
      <c r="J26551"/>
    </row>
    <row r="26552" spans="10:10" x14ac:dyDescent="0.3">
      <c r="J26552"/>
    </row>
    <row r="26553" spans="10:10" x14ac:dyDescent="0.3">
      <c r="J26553"/>
    </row>
    <row r="26554" spans="10:10" x14ac:dyDescent="0.3">
      <c r="J26554"/>
    </row>
    <row r="26555" spans="10:10" x14ac:dyDescent="0.3">
      <c r="J26555"/>
    </row>
    <row r="26556" spans="10:10" x14ac:dyDescent="0.3">
      <c r="J26556"/>
    </row>
    <row r="26557" spans="10:10" x14ac:dyDescent="0.3">
      <c r="J26557"/>
    </row>
    <row r="26558" spans="10:10" x14ac:dyDescent="0.3">
      <c r="J26558"/>
    </row>
    <row r="26559" spans="10:10" x14ac:dyDescent="0.3">
      <c r="J26559"/>
    </row>
    <row r="26560" spans="10:10" x14ac:dyDescent="0.3">
      <c r="J26560"/>
    </row>
    <row r="26561" spans="10:10" x14ac:dyDescent="0.3">
      <c r="J26561"/>
    </row>
    <row r="26562" spans="10:10" x14ac:dyDescent="0.3">
      <c r="J26562"/>
    </row>
    <row r="26563" spans="10:10" x14ac:dyDescent="0.3">
      <c r="J26563"/>
    </row>
    <row r="26564" spans="10:10" x14ac:dyDescent="0.3">
      <c r="J26564"/>
    </row>
    <row r="26565" spans="10:10" x14ac:dyDescent="0.3">
      <c r="J26565"/>
    </row>
    <row r="26566" spans="10:10" x14ac:dyDescent="0.3">
      <c r="J26566"/>
    </row>
    <row r="26567" spans="10:10" x14ac:dyDescent="0.3">
      <c r="J26567"/>
    </row>
    <row r="26568" spans="10:10" x14ac:dyDescent="0.3">
      <c r="J26568"/>
    </row>
    <row r="26569" spans="10:10" x14ac:dyDescent="0.3">
      <c r="J26569"/>
    </row>
    <row r="26570" spans="10:10" x14ac:dyDescent="0.3">
      <c r="J26570"/>
    </row>
    <row r="26571" spans="10:10" x14ac:dyDescent="0.3">
      <c r="J26571"/>
    </row>
    <row r="26572" spans="10:10" x14ac:dyDescent="0.3">
      <c r="J26572"/>
    </row>
    <row r="26573" spans="10:10" x14ac:dyDescent="0.3">
      <c r="J26573"/>
    </row>
    <row r="26574" spans="10:10" x14ac:dyDescent="0.3">
      <c r="J26574"/>
    </row>
    <row r="26575" spans="10:10" x14ac:dyDescent="0.3">
      <c r="J26575"/>
    </row>
    <row r="26576" spans="10:10" x14ac:dyDescent="0.3">
      <c r="J26576"/>
    </row>
    <row r="26577" spans="10:10" x14ac:dyDescent="0.3">
      <c r="J26577"/>
    </row>
    <row r="26578" spans="10:10" x14ac:dyDescent="0.3">
      <c r="J26578"/>
    </row>
    <row r="26579" spans="10:10" x14ac:dyDescent="0.3">
      <c r="J26579"/>
    </row>
    <row r="26580" spans="10:10" x14ac:dyDescent="0.3">
      <c r="J26580"/>
    </row>
    <row r="26581" spans="10:10" x14ac:dyDescent="0.3">
      <c r="J26581"/>
    </row>
    <row r="26582" spans="10:10" x14ac:dyDescent="0.3">
      <c r="J26582"/>
    </row>
    <row r="26583" spans="10:10" x14ac:dyDescent="0.3">
      <c r="J26583"/>
    </row>
    <row r="26584" spans="10:10" x14ac:dyDescent="0.3">
      <c r="J26584"/>
    </row>
    <row r="26585" spans="10:10" x14ac:dyDescent="0.3">
      <c r="J26585"/>
    </row>
    <row r="26586" spans="10:10" x14ac:dyDescent="0.3">
      <c r="J26586"/>
    </row>
    <row r="26587" spans="10:10" x14ac:dyDescent="0.3">
      <c r="J26587"/>
    </row>
    <row r="26588" spans="10:10" x14ac:dyDescent="0.3">
      <c r="J26588"/>
    </row>
    <row r="26589" spans="10:10" x14ac:dyDescent="0.3">
      <c r="J26589"/>
    </row>
    <row r="26590" spans="10:10" x14ac:dyDescent="0.3">
      <c r="J26590"/>
    </row>
    <row r="26591" spans="10:10" x14ac:dyDescent="0.3">
      <c r="J26591"/>
    </row>
    <row r="26592" spans="10:10" x14ac:dyDescent="0.3">
      <c r="J26592"/>
    </row>
    <row r="26593" spans="10:10" x14ac:dyDescent="0.3">
      <c r="J26593"/>
    </row>
    <row r="26594" spans="10:10" x14ac:dyDescent="0.3">
      <c r="J26594"/>
    </row>
    <row r="26595" spans="10:10" x14ac:dyDescent="0.3">
      <c r="J26595"/>
    </row>
    <row r="26596" spans="10:10" x14ac:dyDescent="0.3">
      <c r="J26596"/>
    </row>
    <row r="26597" spans="10:10" x14ac:dyDescent="0.3">
      <c r="J26597"/>
    </row>
    <row r="26598" spans="10:10" x14ac:dyDescent="0.3">
      <c r="J26598"/>
    </row>
    <row r="26599" spans="10:10" x14ac:dyDescent="0.3">
      <c r="J26599"/>
    </row>
    <row r="26600" spans="10:10" x14ac:dyDescent="0.3">
      <c r="J26600"/>
    </row>
    <row r="26601" spans="10:10" x14ac:dyDescent="0.3">
      <c r="J26601"/>
    </row>
    <row r="26602" spans="10:10" x14ac:dyDescent="0.3">
      <c r="J26602"/>
    </row>
    <row r="26603" spans="10:10" x14ac:dyDescent="0.3">
      <c r="J26603"/>
    </row>
    <row r="26604" spans="10:10" x14ac:dyDescent="0.3">
      <c r="J26604"/>
    </row>
    <row r="26605" spans="10:10" x14ac:dyDescent="0.3">
      <c r="J26605"/>
    </row>
    <row r="26606" spans="10:10" x14ac:dyDescent="0.3">
      <c r="J26606"/>
    </row>
    <row r="26607" spans="10:10" x14ac:dyDescent="0.3">
      <c r="J26607"/>
    </row>
    <row r="26608" spans="10:10" x14ac:dyDescent="0.3">
      <c r="J26608"/>
    </row>
    <row r="26609" spans="10:10" x14ac:dyDescent="0.3">
      <c r="J26609"/>
    </row>
    <row r="26610" spans="10:10" x14ac:dyDescent="0.3">
      <c r="J26610"/>
    </row>
    <row r="26611" spans="10:10" x14ac:dyDescent="0.3">
      <c r="J26611"/>
    </row>
    <row r="26612" spans="10:10" x14ac:dyDescent="0.3">
      <c r="J26612"/>
    </row>
    <row r="26613" spans="10:10" x14ac:dyDescent="0.3">
      <c r="J26613"/>
    </row>
    <row r="26614" spans="10:10" x14ac:dyDescent="0.3">
      <c r="J26614"/>
    </row>
    <row r="26615" spans="10:10" x14ac:dyDescent="0.3">
      <c r="J26615"/>
    </row>
    <row r="26616" spans="10:10" x14ac:dyDescent="0.3">
      <c r="J26616"/>
    </row>
    <row r="26617" spans="10:10" x14ac:dyDescent="0.3">
      <c r="J26617"/>
    </row>
    <row r="26618" spans="10:10" x14ac:dyDescent="0.3">
      <c r="J26618"/>
    </row>
    <row r="26619" spans="10:10" x14ac:dyDescent="0.3">
      <c r="J26619"/>
    </row>
    <row r="26620" spans="10:10" x14ac:dyDescent="0.3">
      <c r="J26620"/>
    </row>
    <row r="26621" spans="10:10" x14ac:dyDescent="0.3">
      <c r="J26621"/>
    </row>
    <row r="26622" spans="10:10" x14ac:dyDescent="0.3">
      <c r="J26622"/>
    </row>
    <row r="26623" spans="10:10" x14ac:dyDescent="0.3">
      <c r="J26623"/>
    </row>
    <row r="26624" spans="10:10" x14ac:dyDescent="0.3">
      <c r="J26624"/>
    </row>
    <row r="26625" spans="10:10" x14ac:dyDescent="0.3">
      <c r="J26625"/>
    </row>
    <row r="26626" spans="10:10" x14ac:dyDescent="0.3">
      <c r="J26626"/>
    </row>
    <row r="26627" spans="10:10" x14ac:dyDescent="0.3">
      <c r="J26627"/>
    </row>
    <row r="26628" spans="10:10" x14ac:dyDescent="0.3">
      <c r="J26628"/>
    </row>
    <row r="26629" spans="10:10" x14ac:dyDescent="0.3">
      <c r="J26629"/>
    </row>
    <row r="26630" spans="10:10" x14ac:dyDescent="0.3">
      <c r="J26630"/>
    </row>
    <row r="26631" spans="10:10" x14ac:dyDescent="0.3">
      <c r="J26631"/>
    </row>
    <row r="26632" spans="10:10" x14ac:dyDescent="0.3">
      <c r="J26632"/>
    </row>
    <row r="26633" spans="10:10" x14ac:dyDescent="0.3">
      <c r="J26633"/>
    </row>
    <row r="26634" spans="10:10" x14ac:dyDescent="0.3">
      <c r="J26634"/>
    </row>
    <row r="26635" spans="10:10" x14ac:dyDescent="0.3">
      <c r="J26635"/>
    </row>
    <row r="26636" spans="10:10" x14ac:dyDescent="0.3">
      <c r="J26636"/>
    </row>
    <row r="26637" spans="10:10" x14ac:dyDescent="0.3">
      <c r="J26637"/>
    </row>
    <row r="26638" spans="10:10" x14ac:dyDescent="0.3">
      <c r="J26638"/>
    </row>
    <row r="26639" spans="10:10" x14ac:dyDescent="0.3">
      <c r="J26639"/>
    </row>
    <row r="26640" spans="10:10" x14ac:dyDescent="0.3">
      <c r="J26640"/>
    </row>
    <row r="26641" spans="10:10" x14ac:dyDescent="0.3">
      <c r="J26641"/>
    </row>
    <row r="26642" spans="10:10" x14ac:dyDescent="0.3">
      <c r="J26642"/>
    </row>
    <row r="26643" spans="10:10" x14ac:dyDescent="0.3">
      <c r="J26643"/>
    </row>
    <row r="26644" spans="10:10" x14ac:dyDescent="0.3">
      <c r="J26644"/>
    </row>
    <row r="26645" spans="10:10" x14ac:dyDescent="0.3">
      <c r="J26645"/>
    </row>
    <row r="26646" spans="10:10" x14ac:dyDescent="0.3">
      <c r="J26646"/>
    </row>
    <row r="26647" spans="10:10" x14ac:dyDescent="0.3">
      <c r="J26647"/>
    </row>
    <row r="26648" spans="10:10" x14ac:dyDescent="0.3">
      <c r="J26648"/>
    </row>
    <row r="26649" spans="10:10" x14ac:dyDescent="0.3">
      <c r="J26649"/>
    </row>
    <row r="26650" spans="10:10" x14ac:dyDescent="0.3">
      <c r="J26650"/>
    </row>
    <row r="26651" spans="10:10" x14ac:dyDescent="0.3">
      <c r="J26651"/>
    </row>
    <row r="26652" spans="10:10" x14ac:dyDescent="0.3">
      <c r="J26652"/>
    </row>
    <row r="26653" spans="10:10" x14ac:dyDescent="0.3">
      <c r="J26653"/>
    </row>
    <row r="26654" spans="10:10" x14ac:dyDescent="0.3">
      <c r="J26654"/>
    </row>
    <row r="26655" spans="10:10" x14ac:dyDescent="0.3">
      <c r="J26655"/>
    </row>
    <row r="26656" spans="10:10" x14ac:dyDescent="0.3">
      <c r="J26656"/>
    </row>
    <row r="26657" spans="10:10" x14ac:dyDescent="0.3">
      <c r="J26657"/>
    </row>
    <row r="26658" spans="10:10" x14ac:dyDescent="0.3">
      <c r="J26658"/>
    </row>
    <row r="26659" spans="10:10" x14ac:dyDescent="0.3">
      <c r="J26659"/>
    </row>
    <row r="26660" spans="10:10" x14ac:dyDescent="0.3">
      <c r="J26660"/>
    </row>
    <row r="26661" spans="10:10" x14ac:dyDescent="0.3">
      <c r="J26661"/>
    </row>
    <row r="26662" spans="10:10" x14ac:dyDescent="0.3">
      <c r="J26662"/>
    </row>
    <row r="26663" spans="10:10" x14ac:dyDescent="0.3">
      <c r="J26663"/>
    </row>
    <row r="26664" spans="10:10" x14ac:dyDescent="0.3">
      <c r="J26664"/>
    </row>
    <row r="26665" spans="10:10" x14ac:dyDescent="0.3">
      <c r="J26665"/>
    </row>
    <row r="26666" spans="10:10" x14ac:dyDescent="0.3">
      <c r="J26666"/>
    </row>
    <row r="26667" spans="10:10" x14ac:dyDescent="0.3">
      <c r="J26667"/>
    </row>
    <row r="26668" spans="10:10" x14ac:dyDescent="0.3">
      <c r="J26668"/>
    </row>
    <row r="26669" spans="10:10" x14ac:dyDescent="0.3">
      <c r="J26669"/>
    </row>
    <row r="26670" spans="10:10" x14ac:dyDescent="0.3">
      <c r="J26670"/>
    </row>
    <row r="26671" spans="10:10" x14ac:dyDescent="0.3">
      <c r="J26671"/>
    </row>
    <row r="26672" spans="10:10" x14ac:dyDescent="0.3">
      <c r="J26672"/>
    </row>
    <row r="26673" spans="10:10" x14ac:dyDescent="0.3">
      <c r="J26673"/>
    </row>
    <row r="26674" spans="10:10" x14ac:dyDescent="0.3">
      <c r="J26674"/>
    </row>
    <row r="26675" spans="10:10" x14ac:dyDescent="0.3">
      <c r="J26675"/>
    </row>
    <row r="26676" spans="10:10" x14ac:dyDescent="0.3">
      <c r="J26676"/>
    </row>
    <row r="26677" spans="10:10" x14ac:dyDescent="0.3">
      <c r="J26677"/>
    </row>
    <row r="26678" spans="10:10" x14ac:dyDescent="0.3">
      <c r="J26678"/>
    </row>
    <row r="26679" spans="10:10" x14ac:dyDescent="0.3">
      <c r="J26679"/>
    </row>
    <row r="26680" spans="10:10" x14ac:dyDescent="0.3">
      <c r="J26680"/>
    </row>
    <row r="26681" spans="10:10" x14ac:dyDescent="0.3">
      <c r="J26681"/>
    </row>
    <row r="26682" spans="10:10" x14ac:dyDescent="0.3">
      <c r="J26682"/>
    </row>
    <row r="26683" spans="10:10" x14ac:dyDescent="0.3">
      <c r="J26683"/>
    </row>
    <row r="26684" spans="10:10" x14ac:dyDescent="0.3">
      <c r="J26684"/>
    </row>
    <row r="26685" spans="10:10" x14ac:dyDescent="0.3">
      <c r="J26685"/>
    </row>
    <row r="26686" spans="10:10" x14ac:dyDescent="0.3">
      <c r="J26686"/>
    </row>
    <row r="26687" spans="10:10" x14ac:dyDescent="0.3">
      <c r="J26687"/>
    </row>
    <row r="26688" spans="10:10" x14ac:dyDescent="0.3">
      <c r="J26688"/>
    </row>
    <row r="26689" spans="10:10" x14ac:dyDescent="0.3">
      <c r="J26689"/>
    </row>
    <row r="26690" spans="10:10" x14ac:dyDescent="0.3">
      <c r="J26690"/>
    </row>
    <row r="26691" spans="10:10" x14ac:dyDescent="0.3">
      <c r="J26691"/>
    </row>
    <row r="26692" spans="10:10" x14ac:dyDescent="0.3">
      <c r="J26692"/>
    </row>
    <row r="26693" spans="10:10" x14ac:dyDescent="0.3">
      <c r="J26693"/>
    </row>
    <row r="26694" spans="10:10" x14ac:dyDescent="0.3">
      <c r="J26694"/>
    </row>
    <row r="26695" spans="10:10" x14ac:dyDescent="0.3">
      <c r="J26695"/>
    </row>
    <row r="26696" spans="10:10" x14ac:dyDescent="0.3">
      <c r="J26696"/>
    </row>
    <row r="26697" spans="10:10" x14ac:dyDescent="0.3">
      <c r="J26697"/>
    </row>
    <row r="26698" spans="10:10" x14ac:dyDescent="0.3">
      <c r="J26698"/>
    </row>
    <row r="26699" spans="10:10" x14ac:dyDescent="0.3">
      <c r="J26699"/>
    </row>
    <row r="26700" spans="10:10" x14ac:dyDescent="0.3">
      <c r="J26700"/>
    </row>
    <row r="26701" spans="10:10" x14ac:dyDescent="0.3">
      <c r="J26701"/>
    </row>
    <row r="26702" spans="10:10" x14ac:dyDescent="0.3">
      <c r="J26702"/>
    </row>
    <row r="26703" spans="10:10" x14ac:dyDescent="0.3">
      <c r="J26703"/>
    </row>
    <row r="26704" spans="10:10" x14ac:dyDescent="0.3">
      <c r="J26704"/>
    </row>
    <row r="26705" spans="10:10" x14ac:dyDescent="0.3">
      <c r="J26705"/>
    </row>
    <row r="26706" spans="10:10" x14ac:dyDescent="0.3">
      <c r="J26706"/>
    </row>
    <row r="26707" spans="10:10" x14ac:dyDescent="0.3">
      <c r="J26707"/>
    </row>
    <row r="26708" spans="10:10" x14ac:dyDescent="0.3">
      <c r="J26708"/>
    </row>
    <row r="26709" spans="10:10" x14ac:dyDescent="0.3">
      <c r="J26709"/>
    </row>
    <row r="26710" spans="10:10" x14ac:dyDescent="0.3">
      <c r="J26710"/>
    </row>
    <row r="26711" spans="10:10" x14ac:dyDescent="0.3">
      <c r="J26711"/>
    </row>
    <row r="26712" spans="10:10" x14ac:dyDescent="0.3">
      <c r="J26712"/>
    </row>
    <row r="26713" spans="10:10" x14ac:dyDescent="0.3">
      <c r="J26713"/>
    </row>
    <row r="26714" spans="10:10" x14ac:dyDescent="0.3">
      <c r="J26714"/>
    </row>
    <row r="26715" spans="10:10" x14ac:dyDescent="0.3">
      <c r="J26715"/>
    </row>
    <row r="26716" spans="10:10" x14ac:dyDescent="0.3">
      <c r="J26716"/>
    </row>
    <row r="26717" spans="10:10" x14ac:dyDescent="0.3">
      <c r="J26717"/>
    </row>
    <row r="26718" spans="10:10" x14ac:dyDescent="0.3">
      <c r="J26718"/>
    </row>
    <row r="26719" spans="10:10" x14ac:dyDescent="0.3">
      <c r="J26719"/>
    </row>
    <row r="26720" spans="10:10" x14ac:dyDescent="0.3">
      <c r="J26720"/>
    </row>
    <row r="26721" spans="10:10" x14ac:dyDescent="0.3">
      <c r="J26721"/>
    </row>
    <row r="26722" spans="10:10" x14ac:dyDescent="0.3">
      <c r="J26722"/>
    </row>
    <row r="26723" spans="10:10" x14ac:dyDescent="0.3">
      <c r="J26723"/>
    </row>
    <row r="26724" spans="10:10" x14ac:dyDescent="0.3">
      <c r="J26724"/>
    </row>
    <row r="26725" spans="10:10" x14ac:dyDescent="0.3">
      <c r="J26725"/>
    </row>
    <row r="26726" spans="10:10" x14ac:dyDescent="0.3">
      <c r="J26726"/>
    </row>
    <row r="26727" spans="10:10" x14ac:dyDescent="0.3">
      <c r="J26727"/>
    </row>
    <row r="26728" spans="10:10" x14ac:dyDescent="0.3">
      <c r="J26728"/>
    </row>
    <row r="26729" spans="10:10" x14ac:dyDescent="0.3">
      <c r="J26729"/>
    </row>
    <row r="26730" spans="10:10" x14ac:dyDescent="0.3">
      <c r="J26730"/>
    </row>
    <row r="26731" spans="10:10" x14ac:dyDescent="0.3">
      <c r="J26731"/>
    </row>
    <row r="26732" spans="10:10" x14ac:dyDescent="0.3">
      <c r="J26732"/>
    </row>
    <row r="26733" spans="10:10" x14ac:dyDescent="0.3">
      <c r="J26733"/>
    </row>
    <row r="26734" spans="10:10" x14ac:dyDescent="0.3">
      <c r="J26734"/>
    </row>
    <row r="26735" spans="10:10" x14ac:dyDescent="0.3">
      <c r="J26735"/>
    </row>
    <row r="26736" spans="10:10" x14ac:dyDescent="0.3">
      <c r="J26736"/>
    </row>
    <row r="26737" spans="10:10" x14ac:dyDescent="0.3">
      <c r="J26737"/>
    </row>
    <row r="26738" spans="10:10" x14ac:dyDescent="0.3">
      <c r="J26738"/>
    </row>
    <row r="26739" spans="10:10" x14ac:dyDescent="0.3">
      <c r="J26739"/>
    </row>
    <row r="26740" spans="10:10" x14ac:dyDescent="0.3">
      <c r="J26740"/>
    </row>
    <row r="26741" spans="10:10" x14ac:dyDescent="0.3">
      <c r="J26741"/>
    </row>
    <row r="26742" spans="10:10" x14ac:dyDescent="0.3">
      <c r="J26742"/>
    </row>
    <row r="26743" spans="10:10" x14ac:dyDescent="0.3">
      <c r="J26743"/>
    </row>
    <row r="26744" spans="10:10" x14ac:dyDescent="0.3">
      <c r="J26744"/>
    </row>
    <row r="26745" spans="10:10" x14ac:dyDescent="0.3">
      <c r="J26745"/>
    </row>
    <row r="26746" spans="10:10" x14ac:dyDescent="0.3">
      <c r="J26746"/>
    </row>
    <row r="26747" spans="10:10" x14ac:dyDescent="0.3">
      <c r="J26747"/>
    </row>
    <row r="26748" spans="10:10" x14ac:dyDescent="0.3">
      <c r="J26748"/>
    </row>
    <row r="26749" spans="10:10" x14ac:dyDescent="0.3">
      <c r="J26749"/>
    </row>
    <row r="26750" spans="10:10" x14ac:dyDescent="0.3">
      <c r="J26750"/>
    </row>
    <row r="26751" spans="10:10" x14ac:dyDescent="0.3">
      <c r="J26751"/>
    </row>
    <row r="26752" spans="10:10" x14ac:dyDescent="0.3">
      <c r="J26752"/>
    </row>
    <row r="26753" spans="10:10" x14ac:dyDescent="0.3">
      <c r="J26753"/>
    </row>
    <row r="26754" spans="10:10" x14ac:dyDescent="0.3">
      <c r="J26754"/>
    </row>
    <row r="26755" spans="10:10" x14ac:dyDescent="0.3">
      <c r="J26755"/>
    </row>
    <row r="26756" spans="10:10" x14ac:dyDescent="0.3">
      <c r="J26756"/>
    </row>
    <row r="26757" spans="10:10" x14ac:dyDescent="0.3">
      <c r="J26757"/>
    </row>
    <row r="26758" spans="10:10" x14ac:dyDescent="0.3">
      <c r="J26758"/>
    </row>
    <row r="26759" spans="10:10" x14ac:dyDescent="0.3">
      <c r="J26759"/>
    </row>
    <row r="26760" spans="10:10" x14ac:dyDescent="0.3">
      <c r="J26760"/>
    </row>
    <row r="26761" spans="10:10" x14ac:dyDescent="0.3">
      <c r="J26761"/>
    </row>
    <row r="26762" spans="10:10" x14ac:dyDescent="0.3">
      <c r="J26762"/>
    </row>
    <row r="26763" spans="10:10" x14ac:dyDescent="0.3">
      <c r="J26763"/>
    </row>
    <row r="26764" spans="10:10" x14ac:dyDescent="0.3">
      <c r="J26764"/>
    </row>
    <row r="26765" spans="10:10" x14ac:dyDescent="0.3">
      <c r="J26765"/>
    </row>
    <row r="26766" spans="10:10" x14ac:dyDescent="0.3">
      <c r="J26766"/>
    </row>
    <row r="26767" spans="10:10" x14ac:dyDescent="0.3">
      <c r="J26767"/>
    </row>
    <row r="26768" spans="10:10" x14ac:dyDescent="0.3">
      <c r="J26768"/>
    </row>
    <row r="26769" spans="10:10" x14ac:dyDescent="0.3">
      <c r="J26769"/>
    </row>
    <row r="26770" spans="10:10" x14ac:dyDescent="0.3">
      <c r="J26770"/>
    </row>
    <row r="26771" spans="10:10" x14ac:dyDescent="0.3">
      <c r="J26771"/>
    </row>
    <row r="26772" spans="10:10" x14ac:dyDescent="0.3">
      <c r="J26772"/>
    </row>
    <row r="26773" spans="10:10" x14ac:dyDescent="0.3">
      <c r="J26773"/>
    </row>
    <row r="26774" spans="10:10" x14ac:dyDescent="0.3">
      <c r="J26774"/>
    </row>
    <row r="26775" spans="10:10" x14ac:dyDescent="0.3">
      <c r="J26775"/>
    </row>
    <row r="26776" spans="10:10" x14ac:dyDescent="0.3">
      <c r="J26776"/>
    </row>
    <row r="26777" spans="10:10" x14ac:dyDescent="0.3">
      <c r="J26777"/>
    </row>
    <row r="26778" spans="10:10" x14ac:dyDescent="0.3">
      <c r="J26778"/>
    </row>
    <row r="26779" spans="10:10" x14ac:dyDescent="0.3">
      <c r="J26779"/>
    </row>
    <row r="26780" spans="10:10" x14ac:dyDescent="0.3">
      <c r="J26780"/>
    </row>
    <row r="26781" spans="10:10" x14ac:dyDescent="0.3">
      <c r="J26781"/>
    </row>
    <row r="26782" spans="10:10" x14ac:dyDescent="0.3">
      <c r="J26782"/>
    </row>
    <row r="26783" spans="10:10" x14ac:dyDescent="0.3">
      <c r="J26783"/>
    </row>
    <row r="26784" spans="10:10" x14ac:dyDescent="0.3">
      <c r="J26784"/>
    </row>
    <row r="26785" spans="10:10" x14ac:dyDescent="0.3">
      <c r="J26785"/>
    </row>
    <row r="26786" spans="10:10" x14ac:dyDescent="0.3">
      <c r="J26786"/>
    </row>
    <row r="26787" spans="10:10" x14ac:dyDescent="0.3">
      <c r="J26787"/>
    </row>
    <row r="26788" spans="10:10" x14ac:dyDescent="0.3">
      <c r="J26788"/>
    </row>
    <row r="26789" spans="10:10" x14ac:dyDescent="0.3">
      <c r="J26789"/>
    </row>
    <row r="26790" spans="10:10" x14ac:dyDescent="0.3">
      <c r="J26790"/>
    </row>
    <row r="26791" spans="10:10" x14ac:dyDescent="0.3">
      <c r="J26791"/>
    </row>
    <row r="26792" spans="10:10" x14ac:dyDescent="0.3">
      <c r="J26792"/>
    </row>
    <row r="26793" spans="10:10" x14ac:dyDescent="0.3">
      <c r="J26793"/>
    </row>
    <row r="26794" spans="10:10" x14ac:dyDescent="0.3">
      <c r="J26794"/>
    </row>
    <row r="26795" spans="10:10" x14ac:dyDescent="0.3">
      <c r="J26795"/>
    </row>
    <row r="26796" spans="10:10" x14ac:dyDescent="0.3">
      <c r="J26796"/>
    </row>
    <row r="26797" spans="10:10" x14ac:dyDescent="0.3">
      <c r="J26797"/>
    </row>
    <row r="26798" spans="10:10" x14ac:dyDescent="0.3">
      <c r="J26798"/>
    </row>
    <row r="26799" spans="10:10" x14ac:dyDescent="0.3">
      <c r="J26799"/>
    </row>
    <row r="26800" spans="10:10" x14ac:dyDescent="0.3">
      <c r="J26800"/>
    </row>
    <row r="26801" spans="10:10" x14ac:dyDescent="0.3">
      <c r="J26801"/>
    </row>
    <row r="26802" spans="10:10" x14ac:dyDescent="0.3">
      <c r="J26802"/>
    </row>
    <row r="26803" spans="10:10" x14ac:dyDescent="0.3">
      <c r="J26803"/>
    </row>
    <row r="26804" spans="10:10" x14ac:dyDescent="0.3">
      <c r="J26804"/>
    </row>
    <row r="26805" spans="10:10" x14ac:dyDescent="0.3">
      <c r="J26805"/>
    </row>
    <row r="26806" spans="10:10" x14ac:dyDescent="0.3">
      <c r="J26806"/>
    </row>
    <row r="26807" spans="10:10" x14ac:dyDescent="0.3">
      <c r="J26807"/>
    </row>
    <row r="26808" spans="10:10" x14ac:dyDescent="0.3">
      <c r="J26808"/>
    </row>
    <row r="26809" spans="10:10" x14ac:dyDescent="0.3">
      <c r="J26809"/>
    </row>
    <row r="26810" spans="10:10" x14ac:dyDescent="0.3">
      <c r="J26810"/>
    </row>
    <row r="26811" spans="10:10" x14ac:dyDescent="0.3">
      <c r="J26811"/>
    </row>
    <row r="26812" spans="10:10" x14ac:dyDescent="0.3">
      <c r="J26812"/>
    </row>
    <row r="26813" spans="10:10" x14ac:dyDescent="0.3">
      <c r="J26813"/>
    </row>
    <row r="26814" spans="10:10" x14ac:dyDescent="0.3">
      <c r="J26814"/>
    </row>
    <row r="26815" spans="10:10" x14ac:dyDescent="0.3">
      <c r="J26815"/>
    </row>
    <row r="26816" spans="10:10" x14ac:dyDescent="0.3">
      <c r="J26816"/>
    </row>
    <row r="26817" spans="10:10" x14ac:dyDescent="0.3">
      <c r="J26817"/>
    </row>
    <row r="26818" spans="10:10" x14ac:dyDescent="0.3">
      <c r="J26818"/>
    </row>
    <row r="26819" spans="10:10" x14ac:dyDescent="0.3">
      <c r="J26819"/>
    </row>
    <row r="26820" spans="10:10" x14ac:dyDescent="0.3">
      <c r="J26820"/>
    </row>
    <row r="26821" spans="10:10" x14ac:dyDescent="0.3">
      <c r="J26821"/>
    </row>
    <row r="26822" spans="10:10" x14ac:dyDescent="0.3">
      <c r="J26822"/>
    </row>
    <row r="26823" spans="10:10" x14ac:dyDescent="0.3">
      <c r="J26823"/>
    </row>
    <row r="26824" spans="10:10" x14ac:dyDescent="0.3">
      <c r="J26824"/>
    </row>
    <row r="26825" spans="10:10" x14ac:dyDescent="0.3">
      <c r="J26825"/>
    </row>
    <row r="26826" spans="10:10" x14ac:dyDescent="0.3">
      <c r="J26826"/>
    </row>
    <row r="26827" spans="10:10" x14ac:dyDescent="0.3">
      <c r="J26827"/>
    </row>
    <row r="26828" spans="10:10" x14ac:dyDescent="0.3">
      <c r="J26828"/>
    </row>
    <row r="26829" spans="10:10" x14ac:dyDescent="0.3">
      <c r="J26829"/>
    </row>
    <row r="26830" spans="10:10" x14ac:dyDescent="0.3">
      <c r="J26830"/>
    </row>
    <row r="26831" spans="10:10" x14ac:dyDescent="0.3">
      <c r="J26831"/>
    </row>
    <row r="26832" spans="10:10" x14ac:dyDescent="0.3">
      <c r="J26832"/>
    </row>
    <row r="26833" spans="10:10" x14ac:dyDescent="0.3">
      <c r="J26833"/>
    </row>
    <row r="26834" spans="10:10" x14ac:dyDescent="0.3">
      <c r="J26834"/>
    </row>
    <row r="26835" spans="10:10" x14ac:dyDescent="0.3">
      <c r="J26835"/>
    </row>
    <row r="26836" spans="10:10" x14ac:dyDescent="0.3">
      <c r="J26836"/>
    </row>
    <row r="26837" spans="10:10" x14ac:dyDescent="0.3">
      <c r="J26837"/>
    </row>
    <row r="26838" spans="10:10" x14ac:dyDescent="0.3">
      <c r="J26838"/>
    </row>
    <row r="26839" spans="10:10" x14ac:dyDescent="0.3">
      <c r="J26839"/>
    </row>
    <row r="26840" spans="10:10" x14ac:dyDescent="0.3">
      <c r="J26840"/>
    </row>
    <row r="26841" spans="10:10" x14ac:dyDescent="0.3">
      <c r="J26841"/>
    </row>
    <row r="26842" spans="10:10" x14ac:dyDescent="0.3">
      <c r="J26842"/>
    </row>
    <row r="26843" spans="10:10" x14ac:dyDescent="0.3">
      <c r="J26843"/>
    </row>
    <row r="26844" spans="10:10" x14ac:dyDescent="0.3">
      <c r="J26844"/>
    </row>
    <row r="26845" spans="10:10" x14ac:dyDescent="0.3">
      <c r="J26845"/>
    </row>
    <row r="26846" spans="10:10" x14ac:dyDescent="0.3">
      <c r="J26846"/>
    </row>
    <row r="26847" spans="10:10" x14ac:dyDescent="0.3">
      <c r="J26847"/>
    </row>
    <row r="26848" spans="10:10" x14ac:dyDescent="0.3">
      <c r="J26848"/>
    </row>
    <row r="26849" spans="10:10" x14ac:dyDescent="0.3">
      <c r="J26849"/>
    </row>
    <row r="26850" spans="10:10" x14ac:dyDescent="0.3">
      <c r="J26850"/>
    </row>
    <row r="26851" spans="10:10" x14ac:dyDescent="0.3">
      <c r="J26851"/>
    </row>
    <row r="26852" spans="10:10" x14ac:dyDescent="0.3">
      <c r="J26852"/>
    </row>
    <row r="26853" spans="10:10" x14ac:dyDescent="0.3">
      <c r="J26853"/>
    </row>
    <row r="26854" spans="10:10" x14ac:dyDescent="0.3">
      <c r="J26854"/>
    </row>
    <row r="26855" spans="10:10" x14ac:dyDescent="0.3">
      <c r="J26855"/>
    </row>
    <row r="26856" spans="10:10" x14ac:dyDescent="0.3">
      <c r="J26856"/>
    </row>
    <row r="26857" spans="10:10" x14ac:dyDescent="0.3">
      <c r="J26857"/>
    </row>
    <row r="26858" spans="10:10" x14ac:dyDescent="0.3">
      <c r="J26858"/>
    </row>
    <row r="26859" spans="10:10" x14ac:dyDescent="0.3">
      <c r="J26859"/>
    </row>
    <row r="26860" spans="10:10" x14ac:dyDescent="0.3">
      <c r="J26860"/>
    </row>
    <row r="26861" spans="10:10" x14ac:dyDescent="0.3">
      <c r="J26861"/>
    </row>
    <row r="26862" spans="10:10" x14ac:dyDescent="0.3">
      <c r="J26862"/>
    </row>
    <row r="26863" spans="10:10" x14ac:dyDescent="0.3">
      <c r="J26863"/>
    </row>
    <row r="26864" spans="10:10" x14ac:dyDescent="0.3">
      <c r="J26864"/>
    </row>
    <row r="26865" spans="10:10" x14ac:dyDescent="0.3">
      <c r="J26865"/>
    </row>
    <row r="26866" spans="10:10" x14ac:dyDescent="0.3">
      <c r="J26866"/>
    </row>
    <row r="26867" spans="10:10" x14ac:dyDescent="0.3">
      <c r="J26867"/>
    </row>
    <row r="26868" spans="10:10" x14ac:dyDescent="0.3">
      <c r="J26868"/>
    </row>
    <row r="26869" spans="10:10" x14ac:dyDescent="0.3">
      <c r="J26869"/>
    </row>
    <row r="26870" spans="10:10" x14ac:dyDescent="0.3">
      <c r="J26870"/>
    </row>
    <row r="26871" spans="10:10" x14ac:dyDescent="0.3">
      <c r="J26871"/>
    </row>
    <row r="26872" spans="10:10" x14ac:dyDescent="0.3">
      <c r="J26872"/>
    </row>
    <row r="26873" spans="10:10" x14ac:dyDescent="0.3">
      <c r="J26873"/>
    </row>
    <row r="26874" spans="10:10" x14ac:dyDescent="0.3">
      <c r="J26874"/>
    </row>
    <row r="26875" spans="10:10" x14ac:dyDescent="0.3">
      <c r="J26875"/>
    </row>
    <row r="26876" spans="10:10" x14ac:dyDescent="0.3">
      <c r="J26876"/>
    </row>
    <row r="26877" spans="10:10" x14ac:dyDescent="0.3">
      <c r="J26877"/>
    </row>
    <row r="26878" spans="10:10" x14ac:dyDescent="0.3">
      <c r="J26878"/>
    </row>
    <row r="26879" spans="10:10" x14ac:dyDescent="0.3">
      <c r="J26879"/>
    </row>
    <row r="26880" spans="10:10" x14ac:dyDescent="0.3">
      <c r="J26880"/>
    </row>
    <row r="26881" spans="10:10" x14ac:dyDescent="0.3">
      <c r="J26881"/>
    </row>
    <row r="26882" spans="10:10" x14ac:dyDescent="0.3">
      <c r="J26882"/>
    </row>
    <row r="26883" spans="10:10" x14ac:dyDescent="0.3">
      <c r="J26883"/>
    </row>
    <row r="26884" spans="10:10" x14ac:dyDescent="0.3">
      <c r="J26884"/>
    </row>
    <row r="26885" spans="10:10" x14ac:dyDescent="0.3">
      <c r="J26885"/>
    </row>
    <row r="26886" spans="10:10" x14ac:dyDescent="0.3">
      <c r="J26886"/>
    </row>
    <row r="26887" spans="10:10" x14ac:dyDescent="0.3">
      <c r="J26887"/>
    </row>
    <row r="26888" spans="10:10" x14ac:dyDescent="0.3">
      <c r="J26888"/>
    </row>
    <row r="26889" spans="10:10" x14ac:dyDescent="0.3">
      <c r="J26889"/>
    </row>
    <row r="26890" spans="10:10" x14ac:dyDescent="0.3">
      <c r="J26890"/>
    </row>
    <row r="26891" spans="10:10" x14ac:dyDescent="0.3">
      <c r="J26891"/>
    </row>
    <row r="26892" spans="10:10" x14ac:dyDescent="0.3">
      <c r="J26892"/>
    </row>
    <row r="26893" spans="10:10" x14ac:dyDescent="0.3">
      <c r="J26893"/>
    </row>
    <row r="26894" spans="10:10" x14ac:dyDescent="0.3">
      <c r="J26894"/>
    </row>
    <row r="26895" spans="10:10" x14ac:dyDescent="0.3">
      <c r="J26895"/>
    </row>
    <row r="26896" spans="10:10" x14ac:dyDescent="0.3">
      <c r="J26896"/>
    </row>
    <row r="26897" spans="10:10" x14ac:dyDescent="0.3">
      <c r="J26897"/>
    </row>
    <row r="26898" spans="10:10" x14ac:dyDescent="0.3">
      <c r="J26898"/>
    </row>
    <row r="26899" spans="10:10" x14ac:dyDescent="0.3">
      <c r="J26899"/>
    </row>
    <row r="26900" spans="10:10" x14ac:dyDescent="0.3">
      <c r="J26900"/>
    </row>
    <row r="26901" spans="10:10" x14ac:dyDescent="0.3">
      <c r="J26901"/>
    </row>
    <row r="26902" spans="10:10" x14ac:dyDescent="0.3">
      <c r="J26902"/>
    </row>
    <row r="26903" spans="10:10" x14ac:dyDescent="0.3">
      <c r="J26903"/>
    </row>
    <row r="26904" spans="10:10" x14ac:dyDescent="0.3">
      <c r="J26904"/>
    </row>
    <row r="26905" spans="10:10" x14ac:dyDescent="0.3">
      <c r="J26905"/>
    </row>
    <row r="26906" spans="10:10" x14ac:dyDescent="0.3">
      <c r="J26906"/>
    </row>
    <row r="26907" spans="10:10" x14ac:dyDescent="0.3">
      <c r="J26907"/>
    </row>
    <row r="26908" spans="10:10" x14ac:dyDescent="0.3">
      <c r="J26908"/>
    </row>
    <row r="26909" spans="10:10" x14ac:dyDescent="0.3">
      <c r="J26909"/>
    </row>
    <row r="26910" spans="10:10" x14ac:dyDescent="0.3">
      <c r="J26910"/>
    </row>
    <row r="26911" spans="10:10" x14ac:dyDescent="0.3">
      <c r="J26911"/>
    </row>
    <row r="26912" spans="10:10" x14ac:dyDescent="0.3">
      <c r="J26912"/>
    </row>
    <row r="26913" spans="10:10" x14ac:dyDescent="0.3">
      <c r="J26913"/>
    </row>
    <row r="26914" spans="10:10" x14ac:dyDescent="0.3">
      <c r="J26914"/>
    </row>
    <row r="26915" spans="10:10" x14ac:dyDescent="0.3">
      <c r="J26915"/>
    </row>
    <row r="26916" spans="10:10" x14ac:dyDescent="0.3">
      <c r="J26916"/>
    </row>
    <row r="26917" spans="10:10" x14ac:dyDescent="0.3">
      <c r="J26917"/>
    </row>
    <row r="26918" spans="10:10" x14ac:dyDescent="0.3">
      <c r="J26918"/>
    </row>
    <row r="26919" spans="10:10" x14ac:dyDescent="0.3">
      <c r="J26919"/>
    </row>
    <row r="26920" spans="10:10" x14ac:dyDescent="0.3">
      <c r="J26920"/>
    </row>
    <row r="26921" spans="10:10" x14ac:dyDescent="0.3">
      <c r="J26921"/>
    </row>
    <row r="26922" spans="10:10" x14ac:dyDescent="0.3">
      <c r="J26922"/>
    </row>
    <row r="26923" spans="10:10" x14ac:dyDescent="0.3">
      <c r="J26923"/>
    </row>
    <row r="26924" spans="10:10" x14ac:dyDescent="0.3">
      <c r="J26924"/>
    </row>
    <row r="26925" spans="10:10" x14ac:dyDescent="0.3">
      <c r="J26925"/>
    </row>
    <row r="26926" spans="10:10" x14ac:dyDescent="0.3">
      <c r="J26926"/>
    </row>
    <row r="26927" spans="10:10" x14ac:dyDescent="0.3">
      <c r="J26927"/>
    </row>
    <row r="26928" spans="10:10" x14ac:dyDescent="0.3">
      <c r="J26928"/>
    </row>
    <row r="26929" spans="10:10" x14ac:dyDescent="0.3">
      <c r="J26929"/>
    </row>
    <row r="26930" spans="10:10" x14ac:dyDescent="0.3">
      <c r="J26930"/>
    </row>
    <row r="26931" spans="10:10" x14ac:dyDescent="0.3">
      <c r="J26931"/>
    </row>
    <row r="26932" spans="10:10" x14ac:dyDescent="0.3">
      <c r="J26932"/>
    </row>
    <row r="26933" spans="10:10" x14ac:dyDescent="0.3">
      <c r="J26933"/>
    </row>
    <row r="26934" spans="10:10" x14ac:dyDescent="0.3">
      <c r="J26934"/>
    </row>
    <row r="26935" spans="10:10" x14ac:dyDescent="0.3">
      <c r="J26935"/>
    </row>
    <row r="26936" spans="10:10" x14ac:dyDescent="0.3">
      <c r="J26936"/>
    </row>
    <row r="26937" spans="10:10" x14ac:dyDescent="0.3">
      <c r="J26937"/>
    </row>
    <row r="26938" spans="10:10" x14ac:dyDescent="0.3">
      <c r="J26938"/>
    </row>
    <row r="26939" spans="10:10" x14ac:dyDescent="0.3">
      <c r="J26939"/>
    </row>
    <row r="26940" spans="10:10" x14ac:dyDescent="0.3">
      <c r="J26940"/>
    </row>
    <row r="26941" spans="10:10" x14ac:dyDescent="0.3">
      <c r="J26941"/>
    </row>
    <row r="26942" spans="10:10" x14ac:dyDescent="0.3">
      <c r="J26942"/>
    </row>
    <row r="26943" spans="10:10" x14ac:dyDescent="0.3">
      <c r="J26943"/>
    </row>
    <row r="26944" spans="10:10" x14ac:dyDescent="0.3">
      <c r="J26944"/>
    </row>
    <row r="26945" spans="10:10" x14ac:dyDescent="0.3">
      <c r="J26945"/>
    </row>
    <row r="26946" spans="10:10" x14ac:dyDescent="0.3">
      <c r="J26946"/>
    </row>
    <row r="26947" spans="10:10" x14ac:dyDescent="0.3">
      <c r="J26947"/>
    </row>
    <row r="26948" spans="10:10" x14ac:dyDescent="0.3">
      <c r="J26948"/>
    </row>
    <row r="26949" spans="10:10" x14ac:dyDescent="0.3">
      <c r="J26949"/>
    </row>
    <row r="26950" spans="10:10" x14ac:dyDescent="0.3">
      <c r="J26950"/>
    </row>
    <row r="26951" spans="10:10" x14ac:dyDescent="0.3">
      <c r="J26951"/>
    </row>
    <row r="26952" spans="10:10" x14ac:dyDescent="0.3">
      <c r="J26952"/>
    </row>
    <row r="26953" spans="10:10" x14ac:dyDescent="0.3">
      <c r="J26953"/>
    </row>
    <row r="26954" spans="10:10" x14ac:dyDescent="0.3">
      <c r="J26954"/>
    </row>
    <row r="26955" spans="10:10" x14ac:dyDescent="0.3">
      <c r="J26955"/>
    </row>
    <row r="26956" spans="10:10" x14ac:dyDescent="0.3">
      <c r="J26956"/>
    </row>
    <row r="26957" spans="10:10" x14ac:dyDescent="0.3">
      <c r="J26957"/>
    </row>
    <row r="26958" spans="10:10" x14ac:dyDescent="0.3">
      <c r="J26958"/>
    </row>
    <row r="26959" spans="10:10" x14ac:dyDescent="0.3">
      <c r="J26959"/>
    </row>
    <row r="26960" spans="10:10" x14ac:dyDescent="0.3">
      <c r="J26960"/>
    </row>
    <row r="26961" spans="10:10" x14ac:dyDescent="0.3">
      <c r="J26961"/>
    </row>
    <row r="26962" spans="10:10" x14ac:dyDescent="0.3">
      <c r="J26962"/>
    </row>
    <row r="26963" spans="10:10" x14ac:dyDescent="0.3">
      <c r="J26963"/>
    </row>
    <row r="26964" spans="10:10" x14ac:dyDescent="0.3">
      <c r="J26964"/>
    </row>
    <row r="26965" spans="10:10" x14ac:dyDescent="0.3">
      <c r="J26965"/>
    </row>
    <row r="26966" spans="10:10" x14ac:dyDescent="0.3">
      <c r="J26966"/>
    </row>
    <row r="26967" spans="10:10" x14ac:dyDescent="0.3">
      <c r="J26967"/>
    </row>
    <row r="26968" spans="10:10" x14ac:dyDescent="0.3">
      <c r="J26968"/>
    </row>
    <row r="26969" spans="10:10" x14ac:dyDescent="0.3">
      <c r="J26969"/>
    </row>
    <row r="26970" spans="10:10" x14ac:dyDescent="0.3">
      <c r="J26970"/>
    </row>
    <row r="26971" spans="10:10" x14ac:dyDescent="0.3">
      <c r="J26971"/>
    </row>
    <row r="26972" spans="10:10" x14ac:dyDescent="0.3">
      <c r="J26972"/>
    </row>
    <row r="26973" spans="10:10" x14ac:dyDescent="0.3">
      <c r="J26973"/>
    </row>
    <row r="26974" spans="10:10" x14ac:dyDescent="0.3">
      <c r="J26974"/>
    </row>
    <row r="26975" spans="10:10" x14ac:dyDescent="0.3">
      <c r="J26975"/>
    </row>
    <row r="26976" spans="10:10" x14ac:dyDescent="0.3">
      <c r="J26976"/>
    </row>
    <row r="26977" spans="10:10" x14ac:dyDescent="0.3">
      <c r="J26977"/>
    </row>
    <row r="26978" spans="10:10" x14ac:dyDescent="0.3">
      <c r="J26978"/>
    </row>
    <row r="26979" spans="10:10" x14ac:dyDescent="0.3">
      <c r="J26979"/>
    </row>
    <row r="26980" spans="10:10" x14ac:dyDescent="0.3">
      <c r="J26980"/>
    </row>
    <row r="26981" spans="10:10" x14ac:dyDescent="0.3">
      <c r="J26981"/>
    </row>
    <row r="26982" spans="10:10" x14ac:dyDescent="0.3">
      <c r="J26982"/>
    </row>
    <row r="26983" spans="10:10" x14ac:dyDescent="0.3">
      <c r="J26983"/>
    </row>
    <row r="26984" spans="10:10" x14ac:dyDescent="0.3">
      <c r="J26984"/>
    </row>
    <row r="26985" spans="10:10" x14ac:dyDescent="0.3">
      <c r="J26985"/>
    </row>
    <row r="26986" spans="10:10" x14ac:dyDescent="0.3">
      <c r="J26986"/>
    </row>
    <row r="26987" spans="10:10" x14ac:dyDescent="0.3">
      <c r="J26987"/>
    </row>
    <row r="26988" spans="10:10" x14ac:dyDescent="0.3">
      <c r="J26988"/>
    </row>
    <row r="26989" spans="10:10" x14ac:dyDescent="0.3">
      <c r="J26989"/>
    </row>
    <row r="26990" spans="10:10" x14ac:dyDescent="0.3">
      <c r="J26990"/>
    </row>
    <row r="26991" spans="10:10" x14ac:dyDescent="0.3">
      <c r="J26991"/>
    </row>
    <row r="26992" spans="10:10" x14ac:dyDescent="0.3">
      <c r="J26992"/>
    </row>
    <row r="26993" spans="10:10" x14ac:dyDescent="0.3">
      <c r="J26993"/>
    </row>
    <row r="26994" spans="10:10" x14ac:dyDescent="0.3">
      <c r="J26994"/>
    </row>
    <row r="26995" spans="10:10" x14ac:dyDescent="0.3">
      <c r="J26995"/>
    </row>
    <row r="26996" spans="10:10" x14ac:dyDescent="0.3">
      <c r="J26996"/>
    </row>
    <row r="26997" spans="10:10" x14ac:dyDescent="0.3">
      <c r="J26997"/>
    </row>
    <row r="26998" spans="10:10" x14ac:dyDescent="0.3">
      <c r="J26998"/>
    </row>
    <row r="26999" spans="10:10" x14ac:dyDescent="0.3">
      <c r="J26999"/>
    </row>
    <row r="27000" spans="10:10" x14ac:dyDescent="0.3">
      <c r="J27000"/>
    </row>
    <row r="27001" spans="10:10" x14ac:dyDescent="0.3">
      <c r="J27001"/>
    </row>
    <row r="27002" spans="10:10" x14ac:dyDescent="0.3">
      <c r="J27002"/>
    </row>
    <row r="27003" spans="10:10" x14ac:dyDescent="0.3">
      <c r="J27003"/>
    </row>
    <row r="27004" spans="10:10" x14ac:dyDescent="0.3">
      <c r="J27004"/>
    </row>
    <row r="27005" spans="10:10" x14ac:dyDescent="0.3">
      <c r="J27005"/>
    </row>
    <row r="27006" spans="10:10" x14ac:dyDescent="0.3">
      <c r="J27006"/>
    </row>
    <row r="27007" spans="10:10" x14ac:dyDescent="0.3">
      <c r="J27007"/>
    </row>
    <row r="27008" spans="10:10" x14ac:dyDescent="0.3">
      <c r="J27008"/>
    </row>
    <row r="27009" spans="10:10" x14ac:dyDescent="0.3">
      <c r="J27009"/>
    </row>
    <row r="27010" spans="10:10" x14ac:dyDescent="0.3">
      <c r="J27010"/>
    </row>
    <row r="27011" spans="10:10" x14ac:dyDescent="0.3">
      <c r="J27011"/>
    </row>
    <row r="27012" spans="10:10" x14ac:dyDescent="0.3">
      <c r="J27012"/>
    </row>
    <row r="27013" spans="10:10" x14ac:dyDescent="0.3">
      <c r="J27013"/>
    </row>
    <row r="27014" spans="10:10" x14ac:dyDescent="0.3">
      <c r="J27014"/>
    </row>
    <row r="27015" spans="10:10" x14ac:dyDescent="0.3">
      <c r="J27015"/>
    </row>
    <row r="27016" spans="10:10" x14ac:dyDescent="0.3">
      <c r="J27016"/>
    </row>
    <row r="27017" spans="10:10" x14ac:dyDescent="0.3">
      <c r="J27017"/>
    </row>
    <row r="27018" spans="10:10" x14ac:dyDescent="0.3">
      <c r="J27018"/>
    </row>
    <row r="27019" spans="10:10" x14ac:dyDescent="0.3">
      <c r="J27019"/>
    </row>
    <row r="27020" spans="10:10" x14ac:dyDescent="0.3">
      <c r="J27020"/>
    </row>
    <row r="27021" spans="10:10" x14ac:dyDescent="0.3">
      <c r="J27021"/>
    </row>
    <row r="27022" spans="10:10" x14ac:dyDescent="0.3">
      <c r="J27022"/>
    </row>
    <row r="27023" spans="10:10" x14ac:dyDescent="0.3">
      <c r="J27023"/>
    </row>
    <row r="27024" spans="10:10" x14ac:dyDescent="0.3">
      <c r="J27024"/>
    </row>
    <row r="27025" spans="10:10" x14ac:dyDescent="0.3">
      <c r="J27025"/>
    </row>
    <row r="27026" spans="10:10" x14ac:dyDescent="0.3">
      <c r="J27026"/>
    </row>
    <row r="27027" spans="10:10" x14ac:dyDescent="0.3">
      <c r="J27027"/>
    </row>
    <row r="27028" spans="10:10" x14ac:dyDescent="0.3">
      <c r="J27028"/>
    </row>
    <row r="27029" spans="10:10" x14ac:dyDescent="0.3">
      <c r="J27029"/>
    </row>
    <row r="27030" spans="10:10" x14ac:dyDescent="0.3">
      <c r="J27030"/>
    </row>
    <row r="27031" spans="10:10" x14ac:dyDescent="0.3">
      <c r="J27031"/>
    </row>
    <row r="27032" spans="10:10" x14ac:dyDescent="0.3">
      <c r="J27032"/>
    </row>
    <row r="27033" spans="10:10" x14ac:dyDescent="0.3">
      <c r="J27033"/>
    </row>
    <row r="27034" spans="10:10" x14ac:dyDescent="0.3">
      <c r="J27034"/>
    </row>
    <row r="27035" spans="10:10" x14ac:dyDescent="0.3">
      <c r="J27035"/>
    </row>
    <row r="27036" spans="10:10" x14ac:dyDescent="0.3">
      <c r="J27036"/>
    </row>
    <row r="27037" spans="10:10" x14ac:dyDescent="0.3">
      <c r="J27037"/>
    </row>
    <row r="27038" spans="10:10" x14ac:dyDescent="0.3">
      <c r="J27038"/>
    </row>
    <row r="27039" spans="10:10" x14ac:dyDescent="0.3">
      <c r="J27039"/>
    </row>
    <row r="27040" spans="10:10" x14ac:dyDescent="0.3">
      <c r="J27040"/>
    </row>
    <row r="27041" spans="10:10" x14ac:dyDescent="0.3">
      <c r="J27041"/>
    </row>
    <row r="27042" spans="10:10" x14ac:dyDescent="0.3">
      <c r="J27042"/>
    </row>
    <row r="27043" spans="10:10" x14ac:dyDescent="0.3">
      <c r="J27043"/>
    </row>
    <row r="27044" spans="10:10" x14ac:dyDescent="0.3">
      <c r="J27044"/>
    </row>
    <row r="27045" spans="10:10" x14ac:dyDescent="0.3">
      <c r="J27045"/>
    </row>
    <row r="27046" spans="10:10" x14ac:dyDescent="0.3">
      <c r="J27046"/>
    </row>
    <row r="27047" spans="10:10" x14ac:dyDescent="0.3">
      <c r="J27047"/>
    </row>
    <row r="27048" spans="10:10" x14ac:dyDescent="0.3">
      <c r="J27048"/>
    </row>
    <row r="27049" spans="10:10" x14ac:dyDescent="0.3">
      <c r="J27049"/>
    </row>
    <row r="27050" spans="10:10" x14ac:dyDescent="0.3">
      <c r="J27050"/>
    </row>
    <row r="27051" spans="10:10" x14ac:dyDescent="0.3">
      <c r="J27051"/>
    </row>
    <row r="27052" spans="10:10" x14ac:dyDescent="0.3">
      <c r="J27052"/>
    </row>
    <row r="27053" spans="10:10" x14ac:dyDescent="0.3">
      <c r="J27053"/>
    </row>
    <row r="27054" spans="10:10" x14ac:dyDescent="0.3">
      <c r="J27054"/>
    </row>
    <row r="27055" spans="10:10" x14ac:dyDescent="0.3">
      <c r="J27055"/>
    </row>
    <row r="27056" spans="10:10" x14ac:dyDescent="0.3">
      <c r="J27056"/>
    </row>
    <row r="27057" spans="10:10" x14ac:dyDescent="0.3">
      <c r="J27057"/>
    </row>
    <row r="27058" spans="10:10" x14ac:dyDescent="0.3">
      <c r="J27058"/>
    </row>
    <row r="27059" spans="10:10" x14ac:dyDescent="0.3">
      <c r="J27059"/>
    </row>
    <row r="27060" spans="10:10" x14ac:dyDescent="0.3">
      <c r="J27060"/>
    </row>
    <row r="27061" spans="10:10" x14ac:dyDescent="0.3">
      <c r="J27061"/>
    </row>
    <row r="27062" spans="10:10" x14ac:dyDescent="0.3">
      <c r="J27062"/>
    </row>
    <row r="27063" spans="10:10" x14ac:dyDescent="0.3">
      <c r="J27063"/>
    </row>
    <row r="27064" spans="10:10" x14ac:dyDescent="0.3">
      <c r="J27064"/>
    </row>
    <row r="27065" spans="10:10" x14ac:dyDescent="0.3">
      <c r="J27065"/>
    </row>
    <row r="27066" spans="10:10" x14ac:dyDescent="0.3">
      <c r="J27066"/>
    </row>
    <row r="27067" spans="10:10" x14ac:dyDescent="0.3">
      <c r="J27067"/>
    </row>
    <row r="27068" spans="10:10" x14ac:dyDescent="0.3">
      <c r="J27068"/>
    </row>
    <row r="27069" spans="10:10" x14ac:dyDescent="0.3">
      <c r="J27069"/>
    </row>
    <row r="27070" spans="10:10" x14ac:dyDescent="0.3">
      <c r="J27070"/>
    </row>
    <row r="27071" spans="10:10" x14ac:dyDescent="0.3">
      <c r="J27071"/>
    </row>
    <row r="27072" spans="10:10" x14ac:dyDescent="0.3">
      <c r="J27072"/>
    </row>
    <row r="27073" spans="10:10" x14ac:dyDescent="0.3">
      <c r="J27073"/>
    </row>
    <row r="27074" spans="10:10" x14ac:dyDescent="0.3">
      <c r="J27074"/>
    </row>
    <row r="27075" spans="10:10" x14ac:dyDescent="0.3">
      <c r="J27075"/>
    </row>
    <row r="27076" spans="10:10" x14ac:dyDescent="0.3">
      <c r="J27076"/>
    </row>
    <row r="27077" spans="10:10" x14ac:dyDescent="0.3">
      <c r="J27077"/>
    </row>
    <row r="27078" spans="10:10" x14ac:dyDescent="0.3">
      <c r="J27078"/>
    </row>
    <row r="27079" spans="10:10" x14ac:dyDescent="0.3">
      <c r="J27079"/>
    </row>
    <row r="27080" spans="10:10" x14ac:dyDescent="0.3">
      <c r="J27080"/>
    </row>
    <row r="27081" spans="10:10" x14ac:dyDescent="0.3">
      <c r="J27081"/>
    </row>
    <row r="27082" spans="10:10" x14ac:dyDescent="0.3">
      <c r="J27082"/>
    </row>
    <row r="27083" spans="10:10" x14ac:dyDescent="0.3">
      <c r="J27083"/>
    </row>
    <row r="27084" spans="10:10" x14ac:dyDescent="0.3">
      <c r="J27084"/>
    </row>
    <row r="27085" spans="10:10" x14ac:dyDescent="0.3">
      <c r="J27085"/>
    </row>
    <row r="27086" spans="10:10" x14ac:dyDescent="0.3">
      <c r="J27086"/>
    </row>
    <row r="27087" spans="10:10" x14ac:dyDescent="0.3">
      <c r="J27087"/>
    </row>
    <row r="27088" spans="10:10" x14ac:dyDescent="0.3">
      <c r="J27088"/>
    </row>
    <row r="27089" spans="10:10" x14ac:dyDescent="0.3">
      <c r="J27089"/>
    </row>
    <row r="27090" spans="10:10" x14ac:dyDescent="0.3">
      <c r="J27090"/>
    </row>
    <row r="27091" spans="10:10" x14ac:dyDescent="0.3">
      <c r="J27091"/>
    </row>
    <row r="27092" spans="10:10" x14ac:dyDescent="0.3">
      <c r="J27092"/>
    </row>
    <row r="27093" spans="10:10" x14ac:dyDescent="0.3">
      <c r="J27093"/>
    </row>
    <row r="27094" spans="10:10" x14ac:dyDescent="0.3">
      <c r="J27094"/>
    </row>
    <row r="27095" spans="10:10" x14ac:dyDescent="0.3">
      <c r="J27095"/>
    </row>
    <row r="27096" spans="10:10" x14ac:dyDescent="0.3">
      <c r="J27096"/>
    </row>
    <row r="27097" spans="10:10" x14ac:dyDescent="0.3">
      <c r="J27097"/>
    </row>
    <row r="27098" spans="10:10" x14ac:dyDescent="0.3">
      <c r="J27098"/>
    </row>
    <row r="27099" spans="10:10" x14ac:dyDescent="0.3">
      <c r="J27099"/>
    </row>
    <row r="27100" spans="10:10" x14ac:dyDescent="0.3">
      <c r="J27100"/>
    </row>
    <row r="27101" spans="10:10" x14ac:dyDescent="0.3">
      <c r="J27101"/>
    </row>
    <row r="27102" spans="10:10" x14ac:dyDescent="0.3">
      <c r="J27102"/>
    </row>
    <row r="27103" spans="10:10" x14ac:dyDescent="0.3">
      <c r="J27103"/>
    </row>
    <row r="27104" spans="10:10" x14ac:dyDescent="0.3">
      <c r="J27104"/>
    </row>
    <row r="27105" spans="10:10" x14ac:dyDescent="0.3">
      <c r="J27105"/>
    </row>
    <row r="27106" spans="10:10" x14ac:dyDescent="0.3">
      <c r="J27106"/>
    </row>
    <row r="27107" spans="10:10" x14ac:dyDescent="0.3">
      <c r="J27107"/>
    </row>
    <row r="27108" spans="10:10" x14ac:dyDescent="0.3">
      <c r="J27108"/>
    </row>
    <row r="27109" spans="10:10" x14ac:dyDescent="0.3">
      <c r="J27109"/>
    </row>
    <row r="27110" spans="10:10" x14ac:dyDescent="0.3">
      <c r="J27110"/>
    </row>
    <row r="27111" spans="10:10" x14ac:dyDescent="0.3">
      <c r="J27111"/>
    </row>
    <row r="27112" spans="10:10" x14ac:dyDescent="0.3">
      <c r="J27112"/>
    </row>
    <row r="27113" spans="10:10" x14ac:dyDescent="0.3">
      <c r="J27113"/>
    </row>
    <row r="27114" spans="10:10" x14ac:dyDescent="0.3">
      <c r="J27114"/>
    </row>
    <row r="27115" spans="10:10" x14ac:dyDescent="0.3">
      <c r="J27115"/>
    </row>
    <row r="27116" spans="10:10" x14ac:dyDescent="0.3">
      <c r="J27116"/>
    </row>
    <row r="27117" spans="10:10" x14ac:dyDescent="0.3">
      <c r="J27117"/>
    </row>
    <row r="27118" spans="10:10" x14ac:dyDescent="0.3">
      <c r="J27118"/>
    </row>
    <row r="27119" spans="10:10" x14ac:dyDescent="0.3">
      <c r="J27119"/>
    </row>
    <row r="27120" spans="10:10" x14ac:dyDescent="0.3">
      <c r="J27120"/>
    </row>
    <row r="27121" spans="10:10" x14ac:dyDescent="0.3">
      <c r="J27121"/>
    </row>
    <row r="27122" spans="10:10" x14ac:dyDescent="0.3">
      <c r="J27122"/>
    </row>
    <row r="27123" spans="10:10" x14ac:dyDescent="0.3">
      <c r="J27123"/>
    </row>
    <row r="27124" spans="10:10" x14ac:dyDescent="0.3">
      <c r="J27124"/>
    </row>
    <row r="27125" spans="10:10" x14ac:dyDescent="0.3">
      <c r="J27125"/>
    </row>
    <row r="27126" spans="10:10" x14ac:dyDescent="0.3">
      <c r="J27126"/>
    </row>
    <row r="27127" spans="10:10" x14ac:dyDescent="0.3">
      <c r="J27127"/>
    </row>
    <row r="27128" spans="10:10" x14ac:dyDescent="0.3">
      <c r="J27128"/>
    </row>
    <row r="27129" spans="10:10" x14ac:dyDescent="0.3">
      <c r="J27129"/>
    </row>
    <row r="27130" spans="10:10" x14ac:dyDescent="0.3">
      <c r="J27130"/>
    </row>
    <row r="27131" spans="10:10" x14ac:dyDescent="0.3">
      <c r="J27131"/>
    </row>
    <row r="27132" spans="10:10" x14ac:dyDescent="0.3">
      <c r="J27132"/>
    </row>
    <row r="27133" spans="10:10" x14ac:dyDescent="0.3">
      <c r="J27133"/>
    </row>
    <row r="27134" spans="10:10" x14ac:dyDescent="0.3">
      <c r="J27134"/>
    </row>
    <row r="27135" spans="10:10" x14ac:dyDescent="0.3">
      <c r="J27135"/>
    </row>
    <row r="27136" spans="10:10" x14ac:dyDescent="0.3">
      <c r="J27136"/>
    </row>
    <row r="27137" spans="10:10" x14ac:dyDescent="0.3">
      <c r="J27137"/>
    </row>
    <row r="27138" spans="10:10" x14ac:dyDescent="0.3">
      <c r="J27138"/>
    </row>
    <row r="27139" spans="10:10" x14ac:dyDescent="0.3">
      <c r="J27139"/>
    </row>
    <row r="27140" spans="10:10" x14ac:dyDescent="0.3">
      <c r="J27140"/>
    </row>
    <row r="27141" spans="10:10" x14ac:dyDescent="0.3">
      <c r="J27141"/>
    </row>
    <row r="27142" spans="10:10" x14ac:dyDescent="0.3">
      <c r="J27142"/>
    </row>
    <row r="27143" spans="10:10" x14ac:dyDescent="0.3">
      <c r="J27143"/>
    </row>
    <row r="27144" spans="10:10" x14ac:dyDescent="0.3">
      <c r="J27144"/>
    </row>
    <row r="27145" spans="10:10" x14ac:dyDescent="0.3">
      <c r="J27145"/>
    </row>
    <row r="27146" spans="10:10" x14ac:dyDescent="0.3">
      <c r="J27146"/>
    </row>
    <row r="27147" spans="10:10" x14ac:dyDescent="0.3">
      <c r="J27147"/>
    </row>
    <row r="27148" spans="10:10" x14ac:dyDescent="0.3">
      <c r="J27148"/>
    </row>
    <row r="27149" spans="10:10" x14ac:dyDescent="0.3">
      <c r="J27149"/>
    </row>
    <row r="27150" spans="10:10" x14ac:dyDescent="0.3">
      <c r="J27150"/>
    </row>
    <row r="27151" spans="10:10" x14ac:dyDescent="0.3">
      <c r="J27151"/>
    </row>
    <row r="27152" spans="10:10" x14ac:dyDescent="0.3">
      <c r="J27152"/>
    </row>
    <row r="27153" spans="10:10" x14ac:dyDescent="0.3">
      <c r="J27153"/>
    </row>
    <row r="27154" spans="10:10" x14ac:dyDescent="0.3">
      <c r="J27154"/>
    </row>
    <row r="27155" spans="10:10" x14ac:dyDescent="0.3">
      <c r="J27155"/>
    </row>
    <row r="27156" spans="10:10" x14ac:dyDescent="0.3">
      <c r="J27156"/>
    </row>
    <row r="27157" spans="10:10" x14ac:dyDescent="0.3">
      <c r="J27157"/>
    </row>
    <row r="27158" spans="10:10" x14ac:dyDescent="0.3">
      <c r="J27158"/>
    </row>
    <row r="27159" spans="10:10" x14ac:dyDescent="0.3">
      <c r="J27159"/>
    </row>
    <row r="27160" spans="10:10" x14ac:dyDescent="0.3">
      <c r="J27160"/>
    </row>
    <row r="27161" spans="10:10" x14ac:dyDescent="0.3">
      <c r="J27161"/>
    </row>
    <row r="27162" spans="10:10" x14ac:dyDescent="0.3">
      <c r="J27162"/>
    </row>
    <row r="27163" spans="10:10" x14ac:dyDescent="0.3">
      <c r="J27163"/>
    </row>
    <row r="27164" spans="10:10" x14ac:dyDescent="0.3">
      <c r="J27164"/>
    </row>
    <row r="27165" spans="10:10" x14ac:dyDescent="0.3">
      <c r="J27165"/>
    </row>
    <row r="27166" spans="10:10" x14ac:dyDescent="0.3">
      <c r="J27166"/>
    </row>
    <row r="27167" spans="10:10" x14ac:dyDescent="0.3">
      <c r="J27167"/>
    </row>
    <row r="27168" spans="10:10" x14ac:dyDescent="0.3">
      <c r="J27168"/>
    </row>
    <row r="27169" spans="10:10" x14ac:dyDescent="0.3">
      <c r="J27169"/>
    </row>
    <row r="27170" spans="10:10" x14ac:dyDescent="0.3">
      <c r="J27170"/>
    </row>
    <row r="27171" spans="10:10" x14ac:dyDescent="0.3">
      <c r="J27171"/>
    </row>
    <row r="27172" spans="10:10" x14ac:dyDescent="0.3">
      <c r="J27172"/>
    </row>
    <row r="27173" spans="10:10" x14ac:dyDescent="0.3">
      <c r="J27173"/>
    </row>
    <row r="27174" spans="10:10" x14ac:dyDescent="0.3">
      <c r="J27174"/>
    </row>
    <row r="27175" spans="10:10" x14ac:dyDescent="0.3">
      <c r="J27175"/>
    </row>
    <row r="27176" spans="10:10" x14ac:dyDescent="0.3">
      <c r="J27176"/>
    </row>
    <row r="27177" spans="10:10" x14ac:dyDescent="0.3">
      <c r="J27177"/>
    </row>
    <row r="27178" spans="10:10" x14ac:dyDescent="0.3">
      <c r="J27178"/>
    </row>
    <row r="27179" spans="10:10" x14ac:dyDescent="0.3">
      <c r="J27179"/>
    </row>
    <row r="27180" spans="10:10" x14ac:dyDescent="0.3">
      <c r="J27180"/>
    </row>
    <row r="27181" spans="10:10" x14ac:dyDescent="0.3">
      <c r="J27181"/>
    </row>
    <row r="27182" spans="10:10" x14ac:dyDescent="0.3">
      <c r="J27182"/>
    </row>
    <row r="27183" spans="10:10" x14ac:dyDescent="0.3">
      <c r="J27183"/>
    </row>
    <row r="27184" spans="10:10" x14ac:dyDescent="0.3">
      <c r="J27184"/>
    </row>
    <row r="27185" spans="10:10" x14ac:dyDescent="0.3">
      <c r="J27185"/>
    </row>
    <row r="27186" spans="10:10" x14ac:dyDescent="0.3">
      <c r="J27186"/>
    </row>
    <row r="27187" spans="10:10" x14ac:dyDescent="0.3">
      <c r="J27187"/>
    </row>
    <row r="27188" spans="10:10" x14ac:dyDescent="0.3">
      <c r="J27188"/>
    </row>
    <row r="27189" spans="10:10" x14ac:dyDescent="0.3">
      <c r="J27189"/>
    </row>
    <row r="27190" spans="10:10" x14ac:dyDescent="0.3">
      <c r="J27190"/>
    </row>
    <row r="27191" spans="10:10" x14ac:dyDescent="0.3">
      <c r="J27191"/>
    </row>
    <row r="27192" spans="10:10" x14ac:dyDescent="0.3">
      <c r="J27192"/>
    </row>
    <row r="27193" spans="10:10" x14ac:dyDescent="0.3">
      <c r="J27193"/>
    </row>
    <row r="27194" spans="10:10" x14ac:dyDescent="0.3">
      <c r="J27194"/>
    </row>
    <row r="27195" spans="10:10" x14ac:dyDescent="0.3">
      <c r="J27195"/>
    </row>
    <row r="27196" spans="10:10" x14ac:dyDescent="0.3">
      <c r="J27196"/>
    </row>
    <row r="27197" spans="10:10" x14ac:dyDescent="0.3">
      <c r="J27197"/>
    </row>
    <row r="27198" spans="10:10" x14ac:dyDescent="0.3">
      <c r="J27198"/>
    </row>
    <row r="27199" spans="10:10" x14ac:dyDescent="0.3">
      <c r="J27199"/>
    </row>
    <row r="27200" spans="10:10" x14ac:dyDescent="0.3">
      <c r="J27200"/>
    </row>
    <row r="27201" spans="10:10" x14ac:dyDescent="0.3">
      <c r="J27201"/>
    </row>
    <row r="27202" spans="10:10" x14ac:dyDescent="0.3">
      <c r="J27202"/>
    </row>
    <row r="27203" spans="10:10" x14ac:dyDescent="0.3">
      <c r="J27203"/>
    </row>
    <row r="27204" spans="10:10" x14ac:dyDescent="0.3">
      <c r="J27204"/>
    </row>
    <row r="27205" spans="10:10" x14ac:dyDescent="0.3">
      <c r="J27205"/>
    </row>
    <row r="27206" spans="10:10" x14ac:dyDescent="0.3">
      <c r="J27206"/>
    </row>
    <row r="27207" spans="10:10" x14ac:dyDescent="0.3">
      <c r="J27207"/>
    </row>
    <row r="27208" spans="10:10" x14ac:dyDescent="0.3">
      <c r="J27208"/>
    </row>
    <row r="27209" spans="10:10" x14ac:dyDescent="0.3">
      <c r="J27209"/>
    </row>
    <row r="27210" spans="10:10" x14ac:dyDescent="0.3">
      <c r="J27210"/>
    </row>
    <row r="27211" spans="10:10" x14ac:dyDescent="0.3">
      <c r="J27211"/>
    </row>
    <row r="27212" spans="10:10" x14ac:dyDescent="0.3">
      <c r="J27212"/>
    </row>
    <row r="27213" spans="10:10" x14ac:dyDescent="0.3">
      <c r="J27213"/>
    </row>
    <row r="27214" spans="10:10" x14ac:dyDescent="0.3">
      <c r="J27214"/>
    </row>
    <row r="27215" spans="10:10" x14ac:dyDescent="0.3">
      <c r="J27215"/>
    </row>
    <row r="27216" spans="10:10" x14ac:dyDescent="0.3">
      <c r="J27216"/>
    </row>
    <row r="27217" spans="10:10" x14ac:dyDescent="0.3">
      <c r="J27217"/>
    </row>
    <row r="27218" spans="10:10" x14ac:dyDescent="0.3">
      <c r="J27218"/>
    </row>
    <row r="27219" spans="10:10" x14ac:dyDescent="0.3">
      <c r="J27219"/>
    </row>
    <row r="27220" spans="10:10" x14ac:dyDescent="0.3">
      <c r="J27220"/>
    </row>
    <row r="27221" spans="10:10" x14ac:dyDescent="0.3">
      <c r="J27221"/>
    </row>
    <row r="27222" spans="10:10" x14ac:dyDescent="0.3">
      <c r="J27222"/>
    </row>
    <row r="27223" spans="10:10" x14ac:dyDescent="0.3">
      <c r="J27223"/>
    </row>
    <row r="27224" spans="10:10" x14ac:dyDescent="0.3">
      <c r="J27224"/>
    </row>
    <row r="27225" spans="10:10" x14ac:dyDescent="0.3">
      <c r="J27225"/>
    </row>
    <row r="27226" spans="10:10" x14ac:dyDescent="0.3">
      <c r="J27226"/>
    </row>
    <row r="27227" spans="10:10" x14ac:dyDescent="0.3">
      <c r="J27227"/>
    </row>
    <row r="27228" spans="10:10" x14ac:dyDescent="0.3">
      <c r="J27228"/>
    </row>
    <row r="27229" spans="10:10" x14ac:dyDescent="0.3">
      <c r="J27229"/>
    </row>
    <row r="27230" spans="10:10" x14ac:dyDescent="0.3">
      <c r="J27230"/>
    </row>
    <row r="27231" spans="10:10" x14ac:dyDescent="0.3">
      <c r="J27231"/>
    </row>
    <row r="27232" spans="10:10" x14ac:dyDescent="0.3">
      <c r="J27232"/>
    </row>
    <row r="27233" spans="10:10" x14ac:dyDescent="0.3">
      <c r="J27233"/>
    </row>
    <row r="27234" spans="10:10" x14ac:dyDescent="0.3">
      <c r="J27234"/>
    </row>
    <row r="27235" spans="10:10" x14ac:dyDescent="0.3">
      <c r="J27235"/>
    </row>
    <row r="27236" spans="10:10" x14ac:dyDescent="0.3">
      <c r="J27236"/>
    </row>
    <row r="27237" spans="10:10" x14ac:dyDescent="0.3">
      <c r="J27237"/>
    </row>
    <row r="27238" spans="10:10" x14ac:dyDescent="0.3">
      <c r="J27238"/>
    </row>
    <row r="27239" spans="10:10" x14ac:dyDescent="0.3">
      <c r="J27239"/>
    </row>
    <row r="27240" spans="10:10" x14ac:dyDescent="0.3">
      <c r="J27240"/>
    </row>
    <row r="27241" spans="10:10" x14ac:dyDescent="0.3">
      <c r="J27241"/>
    </row>
    <row r="27242" spans="10:10" x14ac:dyDescent="0.3">
      <c r="J27242"/>
    </row>
    <row r="27243" spans="10:10" x14ac:dyDescent="0.3">
      <c r="J27243"/>
    </row>
    <row r="27244" spans="10:10" x14ac:dyDescent="0.3">
      <c r="J27244"/>
    </row>
    <row r="27245" spans="10:10" x14ac:dyDescent="0.3">
      <c r="J27245"/>
    </row>
    <row r="27246" spans="10:10" x14ac:dyDescent="0.3">
      <c r="J27246"/>
    </row>
    <row r="27247" spans="10:10" x14ac:dyDescent="0.3">
      <c r="J27247"/>
    </row>
    <row r="27248" spans="10:10" x14ac:dyDescent="0.3">
      <c r="J27248"/>
    </row>
    <row r="27249" spans="10:10" x14ac:dyDescent="0.3">
      <c r="J27249"/>
    </row>
    <row r="27250" spans="10:10" x14ac:dyDescent="0.3">
      <c r="J27250"/>
    </row>
    <row r="27251" spans="10:10" x14ac:dyDescent="0.3">
      <c r="J27251"/>
    </row>
    <row r="27252" spans="10:10" x14ac:dyDescent="0.3">
      <c r="J27252"/>
    </row>
    <row r="27253" spans="10:10" x14ac:dyDescent="0.3">
      <c r="J27253"/>
    </row>
    <row r="27254" spans="10:10" x14ac:dyDescent="0.3">
      <c r="J27254"/>
    </row>
    <row r="27255" spans="10:10" x14ac:dyDescent="0.3">
      <c r="J27255"/>
    </row>
    <row r="27256" spans="10:10" x14ac:dyDescent="0.3">
      <c r="J27256"/>
    </row>
    <row r="27257" spans="10:10" x14ac:dyDescent="0.3">
      <c r="J27257"/>
    </row>
    <row r="27258" spans="10:10" x14ac:dyDescent="0.3">
      <c r="J27258"/>
    </row>
    <row r="27259" spans="10:10" x14ac:dyDescent="0.3">
      <c r="J27259"/>
    </row>
    <row r="27260" spans="10:10" x14ac:dyDescent="0.3">
      <c r="J27260"/>
    </row>
    <row r="27261" spans="10:10" x14ac:dyDescent="0.3">
      <c r="J27261"/>
    </row>
    <row r="27262" spans="10:10" x14ac:dyDescent="0.3">
      <c r="J27262"/>
    </row>
    <row r="27263" spans="10:10" x14ac:dyDescent="0.3">
      <c r="J27263"/>
    </row>
    <row r="27264" spans="10:10" x14ac:dyDescent="0.3">
      <c r="J27264"/>
    </row>
    <row r="27265" spans="10:10" x14ac:dyDescent="0.3">
      <c r="J27265"/>
    </row>
    <row r="27266" spans="10:10" x14ac:dyDescent="0.3">
      <c r="J27266"/>
    </row>
    <row r="27267" spans="10:10" x14ac:dyDescent="0.3">
      <c r="J27267"/>
    </row>
    <row r="27268" spans="10:10" x14ac:dyDescent="0.3">
      <c r="J27268"/>
    </row>
    <row r="27269" spans="10:10" x14ac:dyDescent="0.3">
      <c r="J27269"/>
    </row>
    <row r="27270" spans="10:10" x14ac:dyDescent="0.3">
      <c r="J27270"/>
    </row>
    <row r="27271" spans="10:10" x14ac:dyDescent="0.3">
      <c r="J27271"/>
    </row>
    <row r="27272" spans="10:10" x14ac:dyDescent="0.3">
      <c r="J27272"/>
    </row>
    <row r="27273" spans="10:10" x14ac:dyDescent="0.3">
      <c r="J27273"/>
    </row>
    <row r="27274" spans="10:10" x14ac:dyDescent="0.3">
      <c r="J27274"/>
    </row>
    <row r="27275" spans="10:10" x14ac:dyDescent="0.3">
      <c r="J27275"/>
    </row>
    <row r="27276" spans="10:10" x14ac:dyDescent="0.3">
      <c r="J27276"/>
    </row>
    <row r="27277" spans="10:10" x14ac:dyDescent="0.3">
      <c r="J27277"/>
    </row>
    <row r="27278" spans="10:10" x14ac:dyDescent="0.3">
      <c r="J27278"/>
    </row>
    <row r="27279" spans="10:10" x14ac:dyDescent="0.3">
      <c r="J27279"/>
    </row>
    <row r="27280" spans="10:10" x14ac:dyDescent="0.3">
      <c r="J27280"/>
    </row>
    <row r="27281" spans="10:10" x14ac:dyDescent="0.3">
      <c r="J27281"/>
    </row>
    <row r="27282" spans="10:10" x14ac:dyDescent="0.3">
      <c r="J27282"/>
    </row>
    <row r="27283" spans="10:10" x14ac:dyDescent="0.3">
      <c r="J27283"/>
    </row>
    <row r="27284" spans="10:10" x14ac:dyDescent="0.3">
      <c r="J27284"/>
    </row>
    <row r="27285" spans="10:10" x14ac:dyDescent="0.3">
      <c r="J27285"/>
    </row>
    <row r="27286" spans="10:10" x14ac:dyDescent="0.3">
      <c r="J27286"/>
    </row>
    <row r="27287" spans="10:10" x14ac:dyDescent="0.3">
      <c r="J27287"/>
    </row>
    <row r="27288" spans="10:10" x14ac:dyDescent="0.3">
      <c r="J27288"/>
    </row>
    <row r="27289" spans="10:10" x14ac:dyDescent="0.3">
      <c r="J27289"/>
    </row>
    <row r="27290" spans="10:10" x14ac:dyDescent="0.3">
      <c r="J27290"/>
    </row>
    <row r="27291" spans="10:10" x14ac:dyDescent="0.3">
      <c r="J27291"/>
    </row>
    <row r="27292" spans="10:10" x14ac:dyDescent="0.3">
      <c r="J27292"/>
    </row>
    <row r="27293" spans="10:10" x14ac:dyDescent="0.3">
      <c r="J27293"/>
    </row>
    <row r="27294" spans="10:10" x14ac:dyDescent="0.3">
      <c r="J27294"/>
    </row>
    <row r="27295" spans="10:10" x14ac:dyDescent="0.3">
      <c r="J27295"/>
    </row>
    <row r="27296" spans="10:10" x14ac:dyDescent="0.3">
      <c r="J27296"/>
    </row>
    <row r="27297" spans="10:10" x14ac:dyDescent="0.3">
      <c r="J27297"/>
    </row>
    <row r="27298" spans="10:10" x14ac:dyDescent="0.3">
      <c r="J27298"/>
    </row>
    <row r="27299" spans="10:10" x14ac:dyDescent="0.3">
      <c r="J27299"/>
    </row>
    <row r="27300" spans="10:10" x14ac:dyDescent="0.3">
      <c r="J27300"/>
    </row>
    <row r="27301" spans="10:10" x14ac:dyDescent="0.3">
      <c r="J27301"/>
    </row>
    <row r="27302" spans="10:10" x14ac:dyDescent="0.3">
      <c r="J27302"/>
    </row>
    <row r="27303" spans="10:10" x14ac:dyDescent="0.3">
      <c r="J27303"/>
    </row>
    <row r="27304" spans="10:10" x14ac:dyDescent="0.3">
      <c r="J27304"/>
    </row>
    <row r="27305" spans="10:10" x14ac:dyDescent="0.3">
      <c r="J27305"/>
    </row>
    <row r="27306" spans="10:10" x14ac:dyDescent="0.3">
      <c r="J27306"/>
    </row>
    <row r="27307" spans="10:10" x14ac:dyDescent="0.3">
      <c r="J27307"/>
    </row>
    <row r="27308" spans="10:10" x14ac:dyDescent="0.3">
      <c r="J27308"/>
    </row>
    <row r="27309" spans="10:10" x14ac:dyDescent="0.3">
      <c r="J27309"/>
    </row>
    <row r="27310" spans="10:10" x14ac:dyDescent="0.3">
      <c r="J27310"/>
    </row>
    <row r="27311" spans="10:10" x14ac:dyDescent="0.3">
      <c r="J27311"/>
    </row>
    <row r="27312" spans="10:10" x14ac:dyDescent="0.3">
      <c r="J27312"/>
    </row>
    <row r="27313" spans="10:10" x14ac:dyDescent="0.3">
      <c r="J27313"/>
    </row>
    <row r="27314" spans="10:10" x14ac:dyDescent="0.3">
      <c r="J27314"/>
    </row>
    <row r="27315" spans="10:10" x14ac:dyDescent="0.3">
      <c r="J27315"/>
    </row>
    <row r="27316" spans="10:10" x14ac:dyDescent="0.3">
      <c r="J27316"/>
    </row>
    <row r="27317" spans="10:10" x14ac:dyDescent="0.3">
      <c r="J27317"/>
    </row>
    <row r="27318" spans="10:10" x14ac:dyDescent="0.3">
      <c r="J27318"/>
    </row>
    <row r="27319" spans="10:10" x14ac:dyDescent="0.3">
      <c r="J27319"/>
    </row>
    <row r="27320" spans="10:10" x14ac:dyDescent="0.3">
      <c r="J27320"/>
    </row>
    <row r="27321" spans="10:10" x14ac:dyDescent="0.3">
      <c r="J27321"/>
    </row>
    <row r="27322" spans="10:10" x14ac:dyDescent="0.3">
      <c r="J27322"/>
    </row>
    <row r="27323" spans="10:10" x14ac:dyDescent="0.3">
      <c r="J27323"/>
    </row>
    <row r="27324" spans="10:10" x14ac:dyDescent="0.3">
      <c r="J27324"/>
    </row>
    <row r="27325" spans="10:10" x14ac:dyDescent="0.3">
      <c r="J27325"/>
    </row>
    <row r="27326" spans="10:10" x14ac:dyDescent="0.3">
      <c r="J27326"/>
    </row>
    <row r="27327" spans="10:10" x14ac:dyDescent="0.3">
      <c r="J27327"/>
    </row>
    <row r="27328" spans="10:10" x14ac:dyDescent="0.3">
      <c r="J27328"/>
    </row>
    <row r="27329" spans="10:10" x14ac:dyDescent="0.3">
      <c r="J27329"/>
    </row>
    <row r="27330" spans="10:10" x14ac:dyDescent="0.3">
      <c r="J27330"/>
    </row>
    <row r="27331" spans="10:10" x14ac:dyDescent="0.3">
      <c r="J27331"/>
    </row>
    <row r="27332" spans="10:10" x14ac:dyDescent="0.3">
      <c r="J27332"/>
    </row>
    <row r="27333" spans="10:10" x14ac:dyDescent="0.3">
      <c r="J27333"/>
    </row>
    <row r="27334" spans="10:10" x14ac:dyDescent="0.3">
      <c r="J27334"/>
    </row>
    <row r="27335" spans="10:10" x14ac:dyDescent="0.3">
      <c r="J27335"/>
    </row>
    <row r="27336" spans="10:10" x14ac:dyDescent="0.3">
      <c r="J27336"/>
    </row>
    <row r="27337" spans="10:10" x14ac:dyDescent="0.3">
      <c r="J27337"/>
    </row>
    <row r="27338" spans="10:10" x14ac:dyDescent="0.3">
      <c r="J27338"/>
    </row>
    <row r="27339" spans="10:10" x14ac:dyDescent="0.3">
      <c r="J27339"/>
    </row>
    <row r="27340" spans="10:10" x14ac:dyDescent="0.3">
      <c r="J27340"/>
    </row>
    <row r="27341" spans="10:10" x14ac:dyDescent="0.3">
      <c r="J27341"/>
    </row>
    <row r="27342" spans="10:10" x14ac:dyDescent="0.3">
      <c r="J27342"/>
    </row>
    <row r="27343" spans="10:10" x14ac:dyDescent="0.3">
      <c r="J27343"/>
    </row>
    <row r="27344" spans="10:10" x14ac:dyDescent="0.3">
      <c r="J27344"/>
    </row>
    <row r="27345" spans="10:10" x14ac:dyDescent="0.3">
      <c r="J27345"/>
    </row>
    <row r="27346" spans="10:10" x14ac:dyDescent="0.3">
      <c r="J27346"/>
    </row>
    <row r="27347" spans="10:10" x14ac:dyDescent="0.3">
      <c r="J27347"/>
    </row>
    <row r="27348" spans="10:10" x14ac:dyDescent="0.3">
      <c r="J27348"/>
    </row>
    <row r="27349" spans="10:10" x14ac:dyDescent="0.3">
      <c r="J27349"/>
    </row>
    <row r="27350" spans="10:10" x14ac:dyDescent="0.3">
      <c r="J27350"/>
    </row>
    <row r="27351" spans="10:10" x14ac:dyDescent="0.3">
      <c r="J27351"/>
    </row>
    <row r="27352" spans="10:10" x14ac:dyDescent="0.3">
      <c r="J27352"/>
    </row>
    <row r="27353" spans="10:10" x14ac:dyDescent="0.3">
      <c r="J27353"/>
    </row>
    <row r="27354" spans="10:10" x14ac:dyDescent="0.3">
      <c r="J27354"/>
    </row>
    <row r="27355" spans="10:10" x14ac:dyDescent="0.3">
      <c r="J27355"/>
    </row>
    <row r="27356" spans="10:10" x14ac:dyDescent="0.3">
      <c r="J27356"/>
    </row>
    <row r="27357" spans="10:10" x14ac:dyDescent="0.3">
      <c r="J27357"/>
    </row>
    <row r="27358" spans="10:10" x14ac:dyDescent="0.3">
      <c r="J27358"/>
    </row>
    <row r="27359" spans="10:10" x14ac:dyDescent="0.3">
      <c r="J27359"/>
    </row>
    <row r="27360" spans="10:10" x14ac:dyDescent="0.3">
      <c r="J27360"/>
    </row>
    <row r="27361" spans="10:10" x14ac:dyDescent="0.3">
      <c r="J27361"/>
    </row>
    <row r="27362" spans="10:10" x14ac:dyDescent="0.3">
      <c r="J27362"/>
    </row>
    <row r="27363" spans="10:10" x14ac:dyDescent="0.3">
      <c r="J27363"/>
    </row>
    <row r="27364" spans="10:10" x14ac:dyDescent="0.3">
      <c r="J27364"/>
    </row>
    <row r="27365" spans="10:10" x14ac:dyDescent="0.3">
      <c r="J27365"/>
    </row>
    <row r="27366" spans="10:10" x14ac:dyDescent="0.3">
      <c r="J27366"/>
    </row>
    <row r="27367" spans="10:10" x14ac:dyDescent="0.3">
      <c r="J27367"/>
    </row>
    <row r="27368" spans="10:10" x14ac:dyDescent="0.3">
      <c r="J27368"/>
    </row>
    <row r="27369" spans="10:10" x14ac:dyDescent="0.3">
      <c r="J27369"/>
    </row>
    <row r="27370" spans="10:10" x14ac:dyDescent="0.3">
      <c r="J27370"/>
    </row>
    <row r="27371" spans="10:10" x14ac:dyDescent="0.3">
      <c r="J27371"/>
    </row>
    <row r="27372" spans="10:10" x14ac:dyDescent="0.3">
      <c r="J27372"/>
    </row>
    <row r="27373" spans="10:10" x14ac:dyDescent="0.3">
      <c r="J27373"/>
    </row>
    <row r="27374" spans="10:10" x14ac:dyDescent="0.3">
      <c r="J27374"/>
    </row>
    <row r="27375" spans="10:10" x14ac:dyDescent="0.3">
      <c r="J27375"/>
    </row>
    <row r="27376" spans="10:10" x14ac:dyDescent="0.3">
      <c r="J27376"/>
    </row>
    <row r="27377" spans="10:10" x14ac:dyDescent="0.3">
      <c r="J27377"/>
    </row>
    <row r="27378" spans="10:10" x14ac:dyDescent="0.3">
      <c r="J27378"/>
    </row>
    <row r="27379" spans="10:10" x14ac:dyDescent="0.3">
      <c r="J27379"/>
    </row>
    <row r="27380" spans="10:10" x14ac:dyDescent="0.3">
      <c r="J27380"/>
    </row>
    <row r="27381" spans="10:10" x14ac:dyDescent="0.3">
      <c r="J27381"/>
    </row>
    <row r="27382" spans="10:10" x14ac:dyDescent="0.3">
      <c r="J27382"/>
    </row>
    <row r="27383" spans="10:10" x14ac:dyDescent="0.3">
      <c r="J27383"/>
    </row>
    <row r="27384" spans="10:10" x14ac:dyDescent="0.3">
      <c r="J27384"/>
    </row>
    <row r="27385" spans="10:10" x14ac:dyDescent="0.3">
      <c r="J27385"/>
    </row>
    <row r="27386" spans="10:10" x14ac:dyDescent="0.3">
      <c r="J27386"/>
    </row>
    <row r="27387" spans="10:10" x14ac:dyDescent="0.3">
      <c r="J27387"/>
    </row>
    <row r="27388" spans="10:10" x14ac:dyDescent="0.3">
      <c r="J27388"/>
    </row>
    <row r="27389" spans="10:10" x14ac:dyDescent="0.3">
      <c r="J27389"/>
    </row>
    <row r="27390" spans="10:10" x14ac:dyDescent="0.3">
      <c r="J27390"/>
    </row>
    <row r="27391" spans="10:10" x14ac:dyDescent="0.3">
      <c r="J27391"/>
    </row>
    <row r="27392" spans="10:10" x14ac:dyDescent="0.3">
      <c r="J27392"/>
    </row>
    <row r="27393" spans="10:10" x14ac:dyDescent="0.3">
      <c r="J27393"/>
    </row>
    <row r="27394" spans="10:10" x14ac:dyDescent="0.3">
      <c r="J27394"/>
    </row>
    <row r="27395" spans="10:10" x14ac:dyDescent="0.3">
      <c r="J27395"/>
    </row>
    <row r="27396" spans="10:10" x14ac:dyDescent="0.3">
      <c r="J27396"/>
    </row>
    <row r="27397" spans="10:10" x14ac:dyDescent="0.3">
      <c r="J27397"/>
    </row>
    <row r="27398" spans="10:10" x14ac:dyDescent="0.3">
      <c r="J27398"/>
    </row>
    <row r="27399" spans="10:10" x14ac:dyDescent="0.3">
      <c r="J27399"/>
    </row>
    <row r="27400" spans="10:10" x14ac:dyDescent="0.3">
      <c r="J27400"/>
    </row>
    <row r="27401" spans="10:10" x14ac:dyDescent="0.3">
      <c r="J27401"/>
    </row>
    <row r="27402" spans="10:10" x14ac:dyDescent="0.3">
      <c r="J27402"/>
    </row>
    <row r="27403" spans="10:10" x14ac:dyDescent="0.3">
      <c r="J27403"/>
    </row>
    <row r="27404" spans="10:10" x14ac:dyDescent="0.3">
      <c r="J27404"/>
    </row>
    <row r="27405" spans="10:10" x14ac:dyDescent="0.3">
      <c r="J27405"/>
    </row>
    <row r="27406" spans="10:10" x14ac:dyDescent="0.3">
      <c r="J27406"/>
    </row>
    <row r="27407" spans="10:10" x14ac:dyDescent="0.3">
      <c r="J27407"/>
    </row>
    <row r="27408" spans="10:10" x14ac:dyDescent="0.3">
      <c r="J27408"/>
    </row>
    <row r="27409" spans="10:10" x14ac:dyDescent="0.3">
      <c r="J27409"/>
    </row>
    <row r="27410" spans="10:10" x14ac:dyDescent="0.3">
      <c r="J27410"/>
    </row>
    <row r="27411" spans="10:10" x14ac:dyDescent="0.3">
      <c r="J27411"/>
    </row>
    <row r="27412" spans="10:10" x14ac:dyDescent="0.3">
      <c r="J27412"/>
    </row>
    <row r="27413" spans="10:10" x14ac:dyDescent="0.3">
      <c r="J27413"/>
    </row>
    <row r="27414" spans="10:10" x14ac:dyDescent="0.3">
      <c r="J27414"/>
    </row>
    <row r="27415" spans="10:10" x14ac:dyDescent="0.3">
      <c r="J27415"/>
    </row>
    <row r="27416" spans="10:10" x14ac:dyDescent="0.3">
      <c r="J27416"/>
    </row>
    <row r="27417" spans="10:10" x14ac:dyDescent="0.3">
      <c r="J27417"/>
    </row>
    <row r="27418" spans="10:10" x14ac:dyDescent="0.3">
      <c r="J27418"/>
    </row>
    <row r="27419" spans="10:10" x14ac:dyDescent="0.3">
      <c r="J27419"/>
    </row>
    <row r="27420" spans="10:10" x14ac:dyDescent="0.3">
      <c r="J27420"/>
    </row>
    <row r="27421" spans="10:10" x14ac:dyDescent="0.3">
      <c r="J27421"/>
    </row>
    <row r="27422" spans="10:10" x14ac:dyDescent="0.3">
      <c r="J27422"/>
    </row>
    <row r="27423" spans="10:10" x14ac:dyDescent="0.3">
      <c r="J27423"/>
    </row>
    <row r="27424" spans="10:10" x14ac:dyDescent="0.3">
      <c r="J27424"/>
    </row>
    <row r="27425" spans="10:10" x14ac:dyDescent="0.3">
      <c r="J27425"/>
    </row>
    <row r="27426" spans="10:10" x14ac:dyDescent="0.3">
      <c r="J27426"/>
    </row>
    <row r="27427" spans="10:10" x14ac:dyDescent="0.3">
      <c r="J27427"/>
    </row>
    <row r="27428" spans="10:10" x14ac:dyDescent="0.3">
      <c r="J27428"/>
    </row>
    <row r="27429" spans="10:10" x14ac:dyDescent="0.3">
      <c r="J27429"/>
    </row>
    <row r="27430" spans="10:10" x14ac:dyDescent="0.3">
      <c r="J27430"/>
    </row>
    <row r="27431" spans="10:10" x14ac:dyDescent="0.3">
      <c r="J27431"/>
    </row>
    <row r="27432" spans="10:10" x14ac:dyDescent="0.3">
      <c r="J27432"/>
    </row>
    <row r="27433" spans="10:10" x14ac:dyDescent="0.3">
      <c r="J27433"/>
    </row>
    <row r="27434" spans="10:10" x14ac:dyDescent="0.3">
      <c r="J27434"/>
    </row>
    <row r="27435" spans="10:10" x14ac:dyDescent="0.3">
      <c r="J27435"/>
    </row>
    <row r="27436" spans="10:10" x14ac:dyDescent="0.3">
      <c r="J27436"/>
    </row>
    <row r="27437" spans="10:10" x14ac:dyDescent="0.3">
      <c r="J27437"/>
    </row>
    <row r="27438" spans="10:10" x14ac:dyDescent="0.3">
      <c r="J27438"/>
    </row>
    <row r="27439" spans="10:10" x14ac:dyDescent="0.3">
      <c r="J27439"/>
    </row>
    <row r="27440" spans="10:10" x14ac:dyDescent="0.3">
      <c r="J27440"/>
    </row>
    <row r="27441" spans="10:10" x14ac:dyDescent="0.3">
      <c r="J27441"/>
    </row>
    <row r="27442" spans="10:10" x14ac:dyDescent="0.3">
      <c r="J27442"/>
    </row>
    <row r="27443" spans="10:10" x14ac:dyDescent="0.3">
      <c r="J27443"/>
    </row>
    <row r="27444" spans="10:10" x14ac:dyDescent="0.3">
      <c r="J27444"/>
    </row>
    <row r="27445" spans="10:10" x14ac:dyDescent="0.3">
      <c r="J27445"/>
    </row>
    <row r="27446" spans="10:10" x14ac:dyDescent="0.3">
      <c r="J27446"/>
    </row>
    <row r="27447" spans="10:10" x14ac:dyDescent="0.3">
      <c r="J27447"/>
    </row>
    <row r="27448" spans="10:10" x14ac:dyDescent="0.3">
      <c r="J27448"/>
    </row>
    <row r="27449" spans="10:10" x14ac:dyDescent="0.3">
      <c r="J27449"/>
    </row>
    <row r="27450" spans="10:10" x14ac:dyDescent="0.3">
      <c r="J27450"/>
    </row>
    <row r="27451" spans="10:10" x14ac:dyDescent="0.3">
      <c r="J27451"/>
    </row>
    <row r="27452" spans="10:10" x14ac:dyDescent="0.3">
      <c r="J27452"/>
    </row>
    <row r="27453" spans="10:10" x14ac:dyDescent="0.3">
      <c r="J27453"/>
    </row>
    <row r="27454" spans="10:10" x14ac:dyDescent="0.3">
      <c r="J27454"/>
    </row>
    <row r="27455" spans="10:10" x14ac:dyDescent="0.3">
      <c r="J27455"/>
    </row>
    <row r="27456" spans="10:10" x14ac:dyDescent="0.3">
      <c r="J27456"/>
    </row>
    <row r="27457" spans="10:10" x14ac:dyDescent="0.3">
      <c r="J27457"/>
    </row>
    <row r="27458" spans="10:10" x14ac:dyDescent="0.3">
      <c r="J27458"/>
    </row>
    <row r="27459" spans="10:10" x14ac:dyDescent="0.3">
      <c r="J27459"/>
    </row>
    <row r="27460" spans="10:10" x14ac:dyDescent="0.3">
      <c r="J27460"/>
    </row>
    <row r="27461" spans="10:10" x14ac:dyDescent="0.3">
      <c r="J27461"/>
    </row>
    <row r="27462" spans="10:10" x14ac:dyDescent="0.3">
      <c r="J27462"/>
    </row>
    <row r="27463" spans="10:10" x14ac:dyDescent="0.3">
      <c r="J27463"/>
    </row>
    <row r="27464" spans="10:10" x14ac:dyDescent="0.3">
      <c r="J27464"/>
    </row>
    <row r="27465" spans="10:10" x14ac:dyDescent="0.3">
      <c r="J27465"/>
    </row>
    <row r="27466" spans="10:10" x14ac:dyDescent="0.3">
      <c r="J27466"/>
    </row>
    <row r="27467" spans="10:10" x14ac:dyDescent="0.3">
      <c r="J27467"/>
    </row>
    <row r="27468" spans="10:10" x14ac:dyDescent="0.3">
      <c r="J27468"/>
    </row>
    <row r="27469" spans="10:10" x14ac:dyDescent="0.3">
      <c r="J27469"/>
    </row>
    <row r="27470" spans="10:10" x14ac:dyDescent="0.3">
      <c r="J27470"/>
    </row>
    <row r="27471" spans="10:10" x14ac:dyDescent="0.3">
      <c r="J27471"/>
    </row>
    <row r="27472" spans="10:10" x14ac:dyDescent="0.3">
      <c r="J27472"/>
    </row>
    <row r="27473" spans="10:10" x14ac:dyDescent="0.3">
      <c r="J27473"/>
    </row>
    <row r="27474" spans="10:10" x14ac:dyDescent="0.3">
      <c r="J27474"/>
    </row>
    <row r="27475" spans="10:10" x14ac:dyDescent="0.3">
      <c r="J27475"/>
    </row>
    <row r="27476" spans="10:10" x14ac:dyDescent="0.3">
      <c r="J27476"/>
    </row>
    <row r="27477" spans="10:10" x14ac:dyDescent="0.3">
      <c r="J27477"/>
    </row>
    <row r="27478" spans="10:10" x14ac:dyDescent="0.3">
      <c r="J27478"/>
    </row>
    <row r="27479" spans="10:10" x14ac:dyDescent="0.3">
      <c r="J27479"/>
    </row>
    <row r="27480" spans="10:10" x14ac:dyDescent="0.3">
      <c r="J27480"/>
    </row>
    <row r="27481" spans="10:10" x14ac:dyDescent="0.3">
      <c r="J27481"/>
    </row>
    <row r="27482" spans="10:10" x14ac:dyDescent="0.3">
      <c r="J27482"/>
    </row>
    <row r="27483" spans="10:10" x14ac:dyDescent="0.3">
      <c r="J27483"/>
    </row>
    <row r="27484" spans="10:10" x14ac:dyDescent="0.3">
      <c r="J27484"/>
    </row>
    <row r="27485" spans="10:10" x14ac:dyDescent="0.3">
      <c r="J27485"/>
    </row>
    <row r="27486" spans="10:10" x14ac:dyDescent="0.3">
      <c r="J27486"/>
    </row>
    <row r="27487" spans="10:10" x14ac:dyDescent="0.3">
      <c r="J27487"/>
    </row>
    <row r="27488" spans="10:10" x14ac:dyDescent="0.3">
      <c r="J27488"/>
    </row>
    <row r="27489" spans="10:10" x14ac:dyDescent="0.3">
      <c r="J27489"/>
    </row>
    <row r="27490" spans="10:10" x14ac:dyDescent="0.3">
      <c r="J27490"/>
    </row>
    <row r="27491" spans="10:10" x14ac:dyDescent="0.3">
      <c r="J27491"/>
    </row>
    <row r="27492" spans="10:10" x14ac:dyDescent="0.3">
      <c r="J27492"/>
    </row>
    <row r="27493" spans="10:10" x14ac:dyDescent="0.3">
      <c r="J27493"/>
    </row>
    <row r="27494" spans="10:10" x14ac:dyDescent="0.3">
      <c r="J27494"/>
    </row>
    <row r="27495" spans="10:10" x14ac:dyDescent="0.3">
      <c r="J27495"/>
    </row>
    <row r="27496" spans="10:10" x14ac:dyDescent="0.3">
      <c r="J27496"/>
    </row>
    <row r="27497" spans="10:10" x14ac:dyDescent="0.3">
      <c r="J27497"/>
    </row>
    <row r="27498" spans="10:10" x14ac:dyDescent="0.3">
      <c r="J27498"/>
    </row>
    <row r="27499" spans="10:10" x14ac:dyDescent="0.3">
      <c r="J27499"/>
    </row>
    <row r="27500" spans="10:10" x14ac:dyDescent="0.3">
      <c r="J27500"/>
    </row>
    <row r="27501" spans="10:10" x14ac:dyDescent="0.3">
      <c r="J27501"/>
    </row>
    <row r="27502" spans="10:10" x14ac:dyDescent="0.3">
      <c r="J27502"/>
    </row>
    <row r="27503" spans="10:10" x14ac:dyDescent="0.3">
      <c r="J27503"/>
    </row>
    <row r="27504" spans="10:10" x14ac:dyDescent="0.3">
      <c r="J27504"/>
    </row>
    <row r="27505" spans="10:10" x14ac:dyDescent="0.3">
      <c r="J27505"/>
    </row>
    <row r="27506" spans="10:10" x14ac:dyDescent="0.3">
      <c r="J27506"/>
    </row>
    <row r="27507" spans="10:10" x14ac:dyDescent="0.3">
      <c r="J27507"/>
    </row>
    <row r="27508" spans="10:10" x14ac:dyDescent="0.3">
      <c r="J27508"/>
    </row>
    <row r="27509" spans="10:10" x14ac:dyDescent="0.3">
      <c r="J27509"/>
    </row>
    <row r="27510" spans="10:10" x14ac:dyDescent="0.3">
      <c r="J27510"/>
    </row>
    <row r="27511" spans="10:10" x14ac:dyDescent="0.3">
      <c r="J27511"/>
    </row>
    <row r="27512" spans="10:10" x14ac:dyDescent="0.3">
      <c r="J27512"/>
    </row>
    <row r="27513" spans="10:10" x14ac:dyDescent="0.3">
      <c r="J27513"/>
    </row>
    <row r="27514" spans="10:10" x14ac:dyDescent="0.3">
      <c r="J27514"/>
    </row>
    <row r="27515" spans="10:10" x14ac:dyDescent="0.3">
      <c r="J27515"/>
    </row>
    <row r="27516" spans="10:10" x14ac:dyDescent="0.3">
      <c r="J27516"/>
    </row>
    <row r="27517" spans="10:10" x14ac:dyDescent="0.3">
      <c r="J27517"/>
    </row>
    <row r="27518" spans="10:10" x14ac:dyDescent="0.3">
      <c r="J27518"/>
    </row>
    <row r="27519" spans="10:10" x14ac:dyDescent="0.3">
      <c r="J27519"/>
    </row>
    <row r="27520" spans="10:10" x14ac:dyDescent="0.3">
      <c r="J27520"/>
    </row>
    <row r="27521" spans="10:10" x14ac:dyDescent="0.3">
      <c r="J27521"/>
    </row>
    <row r="27522" spans="10:10" x14ac:dyDescent="0.3">
      <c r="J27522"/>
    </row>
    <row r="27523" spans="10:10" x14ac:dyDescent="0.3">
      <c r="J27523"/>
    </row>
    <row r="27524" spans="10:10" x14ac:dyDescent="0.3">
      <c r="J27524"/>
    </row>
    <row r="27525" spans="10:10" x14ac:dyDescent="0.3">
      <c r="J27525"/>
    </row>
    <row r="27526" spans="10:10" x14ac:dyDescent="0.3">
      <c r="J27526"/>
    </row>
    <row r="27527" spans="10:10" x14ac:dyDescent="0.3">
      <c r="J27527"/>
    </row>
    <row r="27528" spans="10:10" x14ac:dyDescent="0.3">
      <c r="J27528"/>
    </row>
    <row r="27529" spans="10:10" x14ac:dyDescent="0.3">
      <c r="J27529"/>
    </row>
    <row r="27530" spans="10:10" x14ac:dyDescent="0.3">
      <c r="J27530"/>
    </row>
    <row r="27531" spans="10:10" x14ac:dyDescent="0.3">
      <c r="J27531"/>
    </row>
    <row r="27532" spans="10:10" x14ac:dyDescent="0.3">
      <c r="J27532"/>
    </row>
    <row r="27533" spans="10:10" x14ac:dyDescent="0.3">
      <c r="J27533"/>
    </row>
    <row r="27534" spans="10:10" x14ac:dyDescent="0.3">
      <c r="J27534"/>
    </row>
    <row r="27535" spans="10:10" x14ac:dyDescent="0.3">
      <c r="J27535"/>
    </row>
    <row r="27536" spans="10:10" x14ac:dyDescent="0.3">
      <c r="J27536"/>
    </row>
    <row r="27537" spans="10:10" x14ac:dyDescent="0.3">
      <c r="J27537"/>
    </row>
    <row r="27538" spans="10:10" x14ac:dyDescent="0.3">
      <c r="J27538"/>
    </row>
    <row r="27539" spans="10:10" x14ac:dyDescent="0.3">
      <c r="J27539"/>
    </row>
    <row r="27540" spans="10:10" x14ac:dyDescent="0.3">
      <c r="J27540"/>
    </row>
    <row r="27541" spans="10:10" x14ac:dyDescent="0.3">
      <c r="J27541"/>
    </row>
    <row r="27542" spans="10:10" x14ac:dyDescent="0.3">
      <c r="J27542"/>
    </row>
    <row r="27543" spans="10:10" x14ac:dyDescent="0.3">
      <c r="J27543"/>
    </row>
    <row r="27544" spans="10:10" x14ac:dyDescent="0.3">
      <c r="J27544"/>
    </row>
    <row r="27545" spans="10:10" x14ac:dyDescent="0.3">
      <c r="J27545"/>
    </row>
    <row r="27546" spans="10:10" x14ac:dyDescent="0.3">
      <c r="J27546"/>
    </row>
    <row r="27547" spans="10:10" x14ac:dyDescent="0.3">
      <c r="J27547"/>
    </row>
    <row r="27548" spans="10:10" x14ac:dyDescent="0.3">
      <c r="J27548"/>
    </row>
    <row r="27549" spans="10:10" x14ac:dyDescent="0.3">
      <c r="J27549"/>
    </row>
    <row r="27550" spans="10:10" x14ac:dyDescent="0.3">
      <c r="J27550"/>
    </row>
    <row r="27551" spans="10:10" x14ac:dyDescent="0.3">
      <c r="J27551"/>
    </row>
    <row r="27552" spans="10:10" x14ac:dyDescent="0.3">
      <c r="J27552"/>
    </row>
    <row r="27553" spans="10:10" x14ac:dyDescent="0.3">
      <c r="J27553"/>
    </row>
    <row r="27554" spans="10:10" x14ac:dyDescent="0.3">
      <c r="J27554"/>
    </row>
    <row r="27555" spans="10:10" x14ac:dyDescent="0.3">
      <c r="J27555"/>
    </row>
    <row r="27556" spans="10:10" x14ac:dyDescent="0.3">
      <c r="J27556"/>
    </row>
    <row r="27557" spans="10:10" x14ac:dyDescent="0.3">
      <c r="J27557"/>
    </row>
    <row r="27558" spans="10:10" x14ac:dyDescent="0.3">
      <c r="J27558"/>
    </row>
    <row r="27559" spans="10:10" x14ac:dyDescent="0.3">
      <c r="J27559"/>
    </row>
    <row r="27560" spans="10:10" x14ac:dyDescent="0.3">
      <c r="J27560"/>
    </row>
    <row r="27561" spans="10:10" x14ac:dyDescent="0.3">
      <c r="J27561"/>
    </row>
    <row r="27562" spans="10:10" x14ac:dyDescent="0.3">
      <c r="J27562"/>
    </row>
    <row r="27563" spans="10:10" x14ac:dyDescent="0.3">
      <c r="J27563"/>
    </row>
    <row r="27564" spans="10:10" x14ac:dyDescent="0.3">
      <c r="J27564"/>
    </row>
    <row r="27565" spans="10:10" x14ac:dyDescent="0.3">
      <c r="J27565"/>
    </row>
    <row r="27566" spans="10:10" x14ac:dyDescent="0.3">
      <c r="J27566"/>
    </row>
    <row r="27567" spans="10:10" x14ac:dyDescent="0.3">
      <c r="J27567"/>
    </row>
    <row r="27568" spans="10:10" x14ac:dyDescent="0.3">
      <c r="J27568"/>
    </row>
    <row r="27569" spans="10:10" x14ac:dyDescent="0.3">
      <c r="J27569"/>
    </row>
    <row r="27570" spans="10:10" x14ac:dyDescent="0.3">
      <c r="J27570"/>
    </row>
    <row r="27571" spans="10:10" x14ac:dyDescent="0.3">
      <c r="J27571"/>
    </row>
    <row r="27572" spans="10:10" x14ac:dyDescent="0.3">
      <c r="J27572"/>
    </row>
    <row r="27573" spans="10:10" x14ac:dyDescent="0.3">
      <c r="J27573"/>
    </row>
    <row r="27574" spans="10:10" x14ac:dyDescent="0.3">
      <c r="J27574"/>
    </row>
    <row r="27575" spans="10:10" x14ac:dyDescent="0.3">
      <c r="J27575"/>
    </row>
    <row r="27576" spans="10:10" x14ac:dyDescent="0.3">
      <c r="J27576"/>
    </row>
    <row r="27577" spans="10:10" x14ac:dyDescent="0.3">
      <c r="J27577"/>
    </row>
    <row r="27578" spans="10:10" x14ac:dyDescent="0.3">
      <c r="J27578"/>
    </row>
    <row r="27579" spans="10:10" x14ac:dyDescent="0.3">
      <c r="J27579"/>
    </row>
    <row r="27580" spans="10:10" x14ac:dyDescent="0.3">
      <c r="J27580"/>
    </row>
    <row r="27581" spans="10:10" x14ac:dyDescent="0.3">
      <c r="J27581"/>
    </row>
    <row r="27582" spans="10:10" x14ac:dyDescent="0.3">
      <c r="J27582"/>
    </row>
    <row r="27583" spans="10:10" x14ac:dyDescent="0.3">
      <c r="J27583"/>
    </row>
    <row r="27584" spans="10:10" x14ac:dyDescent="0.3">
      <c r="J27584"/>
    </row>
    <row r="27585" spans="10:10" x14ac:dyDescent="0.3">
      <c r="J27585"/>
    </row>
    <row r="27586" spans="10:10" x14ac:dyDescent="0.3">
      <c r="J27586"/>
    </row>
    <row r="27587" spans="10:10" x14ac:dyDescent="0.3">
      <c r="J27587"/>
    </row>
    <row r="27588" spans="10:10" x14ac:dyDescent="0.3">
      <c r="J27588"/>
    </row>
    <row r="27589" spans="10:10" x14ac:dyDescent="0.3">
      <c r="J27589"/>
    </row>
    <row r="27590" spans="10:10" x14ac:dyDescent="0.3">
      <c r="J27590"/>
    </row>
    <row r="27591" spans="10:10" x14ac:dyDescent="0.3">
      <c r="J27591"/>
    </row>
    <row r="27592" spans="10:10" x14ac:dyDescent="0.3">
      <c r="J27592"/>
    </row>
    <row r="27593" spans="10:10" x14ac:dyDescent="0.3">
      <c r="J27593"/>
    </row>
    <row r="27594" spans="10:10" x14ac:dyDescent="0.3">
      <c r="J27594"/>
    </row>
    <row r="27595" spans="10:10" x14ac:dyDescent="0.3">
      <c r="J27595"/>
    </row>
    <row r="27596" spans="10:10" x14ac:dyDescent="0.3">
      <c r="J27596"/>
    </row>
    <row r="27597" spans="10:10" x14ac:dyDescent="0.3">
      <c r="J27597"/>
    </row>
    <row r="27598" spans="10:10" x14ac:dyDescent="0.3">
      <c r="J27598"/>
    </row>
    <row r="27599" spans="10:10" x14ac:dyDescent="0.3">
      <c r="J27599"/>
    </row>
    <row r="27600" spans="10:10" x14ac:dyDescent="0.3">
      <c r="J27600"/>
    </row>
    <row r="27601" spans="10:10" x14ac:dyDescent="0.3">
      <c r="J27601"/>
    </row>
    <row r="27602" spans="10:10" x14ac:dyDescent="0.3">
      <c r="J27602"/>
    </row>
    <row r="27603" spans="10:10" x14ac:dyDescent="0.3">
      <c r="J27603"/>
    </row>
    <row r="27604" spans="10:10" x14ac:dyDescent="0.3">
      <c r="J27604"/>
    </row>
    <row r="27605" spans="10:10" x14ac:dyDescent="0.3">
      <c r="J27605"/>
    </row>
    <row r="27606" spans="10:10" x14ac:dyDescent="0.3">
      <c r="J27606"/>
    </row>
    <row r="27607" spans="10:10" x14ac:dyDescent="0.3">
      <c r="J27607"/>
    </row>
    <row r="27608" spans="10:10" x14ac:dyDescent="0.3">
      <c r="J27608"/>
    </row>
    <row r="27609" spans="10:10" x14ac:dyDescent="0.3">
      <c r="J27609"/>
    </row>
    <row r="27610" spans="10:10" x14ac:dyDescent="0.3">
      <c r="J27610"/>
    </row>
    <row r="27611" spans="10:10" x14ac:dyDescent="0.3">
      <c r="J27611"/>
    </row>
    <row r="27612" spans="10:10" x14ac:dyDescent="0.3">
      <c r="J27612"/>
    </row>
    <row r="27613" spans="10:10" x14ac:dyDescent="0.3">
      <c r="J27613"/>
    </row>
    <row r="27614" spans="10:10" x14ac:dyDescent="0.3">
      <c r="J27614"/>
    </row>
    <row r="27615" spans="10:10" x14ac:dyDescent="0.3">
      <c r="J27615"/>
    </row>
    <row r="27616" spans="10:10" x14ac:dyDescent="0.3">
      <c r="J27616"/>
    </row>
    <row r="27617" spans="10:10" x14ac:dyDescent="0.3">
      <c r="J27617"/>
    </row>
    <row r="27618" spans="10:10" x14ac:dyDescent="0.3">
      <c r="J27618"/>
    </row>
    <row r="27619" spans="10:10" x14ac:dyDescent="0.3">
      <c r="J27619"/>
    </row>
    <row r="27620" spans="10:10" x14ac:dyDescent="0.3">
      <c r="J27620"/>
    </row>
    <row r="27621" spans="10:10" x14ac:dyDescent="0.3">
      <c r="J27621"/>
    </row>
    <row r="27622" spans="10:10" x14ac:dyDescent="0.3">
      <c r="J27622"/>
    </row>
    <row r="27623" spans="10:10" x14ac:dyDescent="0.3">
      <c r="J27623"/>
    </row>
    <row r="27624" spans="10:10" x14ac:dyDescent="0.3">
      <c r="J27624"/>
    </row>
    <row r="27625" spans="10:10" x14ac:dyDescent="0.3">
      <c r="J27625"/>
    </row>
    <row r="27626" spans="10:10" x14ac:dyDescent="0.3">
      <c r="J27626"/>
    </row>
    <row r="27627" spans="10:10" x14ac:dyDescent="0.3">
      <c r="J27627"/>
    </row>
    <row r="27628" spans="10:10" x14ac:dyDescent="0.3">
      <c r="J27628"/>
    </row>
    <row r="27629" spans="10:10" x14ac:dyDescent="0.3">
      <c r="J27629"/>
    </row>
    <row r="27630" spans="10:10" x14ac:dyDescent="0.3">
      <c r="J27630"/>
    </row>
    <row r="27631" spans="10:10" x14ac:dyDescent="0.3">
      <c r="J27631"/>
    </row>
    <row r="27632" spans="10:10" x14ac:dyDescent="0.3">
      <c r="J27632"/>
    </row>
    <row r="27633" spans="10:10" x14ac:dyDescent="0.3">
      <c r="J27633"/>
    </row>
    <row r="27634" spans="10:10" x14ac:dyDescent="0.3">
      <c r="J27634"/>
    </row>
    <row r="27635" spans="10:10" x14ac:dyDescent="0.3">
      <c r="J27635"/>
    </row>
    <row r="27636" spans="10:10" x14ac:dyDescent="0.3">
      <c r="J27636"/>
    </row>
    <row r="27637" spans="10:10" x14ac:dyDescent="0.3">
      <c r="J27637"/>
    </row>
    <row r="27638" spans="10:10" x14ac:dyDescent="0.3">
      <c r="J27638"/>
    </row>
    <row r="27639" spans="10:10" x14ac:dyDescent="0.3">
      <c r="J27639"/>
    </row>
    <row r="27640" spans="10:10" x14ac:dyDescent="0.3">
      <c r="J27640"/>
    </row>
    <row r="27641" spans="10:10" x14ac:dyDescent="0.3">
      <c r="J27641"/>
    </row>
    <row r="27642" spans="10:10" x14ac:dyDescent="0.3">
      <c r="J27642"/>
    </row>
    <row r="27643" spans="10:10" x14ac:dyDescent="0.3">
      <c r="J27643"/>
    </row>
    <row r="27644" spans="10:10" x14ac:dyDescent="0.3">
      <c r="J27644"/>
    </row>
    <row r="27645" spans="10:10" x14ac:dyDescent="0.3">
      <c r="J27645"/>
    </row>
    <row r="27646" spans="10:10" x14ac:dyDescent="0.3">
      <c r="J27646"/>
    </row>
    <row r="27647" spans="10:10" x14ac:dyDescent="0.3">
      <c r="J27647"/>
    </row>
    <row r="27648" spans="10:10" x14ac:dyDescent="0.3">
      <c r="J27648"/>
    </row>
    <row r="27649" spans="10:10" x14ac:dyDescent="0.3">
      <c r="J27649"/>
    </row>
    <row r="27650" spans="10:10" x14ac:dyDescent="0.3">
      <c r="J27650"/>
    </row>
    <row r="27651" spans="10:10" x14ac:dyDescent="0.3">
      <c r="J27651"/>
    </row>
    <row r="27652" spans="10:10" x14ac:dyDescent="0.3">
      <c r="J27652"/>
    </row>
    <row r="27653" spans="10:10" x14ac:dyDescent="0.3">
      <c r="J27653"/>
    </row>
    <row r="27654" spans="10:10" x14ac:dyDescent="0.3">
      <c r="J27654"/>
    </row>
    <row r="27655" spans="10:10" x14ac:dyDescent="0.3">
      <c r="J27655"/>
    </row>
    <row r="27656" spans="10:10" x14ac:dyDescent="0.3">
      <c r="J27656"/>
    </row>
    <row r="27657" spans="10:10" x14ac:dyDescent="0.3">
      <c r="J27657"/>
    </row>
    <row r="27658" spans="10:10" x14ac:dyDescent="0.3">
      <c r="J27658"/>
    </row>
    <row r="27659" spans="10:10" x14ac:dyDescent="0.3">
      <c r="J27659"/>
    </row>
    <row r="27660" spans="10:10" x14ac:dyDescent="0.3">
      <c r="J27660"/>
    </row>
    <row r="27661" spans="10:10" x14ac:dyDescent="0.3">
      <c r="J27661"/>
    </row>
    <row r="27662" spans="10:10" x14ac:dyDescent="0.3">
      <c r="J27662"/>
    </row>
    <row r="27663" spans="10:10" x14ac:dyDescent="0.3">
      <c r="J27663"/>
    </row>
    <row r="27664" spans="10:10" x14ac:dyDescent="0.3">
      <c r="J27664"/>
    </row>
    <row r="27665" spans="10:10" x14ac:dyDescent="0.3">
      <c r="J27665"/>
    </row>
    <row r="27666" spans="10:10" x14ac:dyDescent="0.3">
      <c r="J27666"/>
    </row>
    <row r="27667" spans="10:10" x14ac:dyDescent="0.3">
      <c r="J27667"/>
    </row>
    <row r="27668" spans="10:10" x14ac:dyDescent="0.3">
      <c r="J27668"/>
    </row>
    <row r="27669" spans="10:10" x14ac:dyDescent="0.3">
      <c r="J27669"/>
    </row>
    <row r="27670" spans="10:10" x14ac:dyDescent="0.3">
      <c r="J27670"/>
    </row>
    <row r="27671" spans="10:10" x14ac:dyDescent="0.3">
      <c r="J27671"/>
    </row>
    <row r="27672" spans="10:10" x14ac:dyDescent="0.3">
      <c r="J27672"/>
    </row>
    <row r="27673" spans="10:10" x14ac:dyDescent="0.3">
      <c r="J27673"/>
    </row>
    <row r="27674" spans="10:10" x14ac:dyDescent="0.3">
      <c r="J27674"/>
    </row>
    <row r="27675" spans="10:10" x14ac:dyDescent="0.3">
      <c r="J27675"/>
    </row>
    <row r="27676" spans="10:10" x14ac:dyDescent="0.3">
      <c r="J27676"/>
    </row>
    <row r="27677" spans="10:10" x14ac:dyDescent="0.3">
      <c r="J27677"/>
    </row>
    <row r="27678" spans="10:10" x14ac:dyDescent="0.3">
      <c r="J27678"/>
    </row>
    <row r="27679" spans="10:10" x14ac:dyDescent="0.3">
      <c r="J27679"/>
    </row>
    <row r="27680" spans="10:10" x14ac:dyDescent="0.3">
      <c r="J27680"/>
    </row>
    <row r="27681" spans="10:10" x14ac:dyDescent="0.3">
      <c r="J27681"/>
    </row>
    <row r="27682" spans="10:10" x14ac:dyDescent="0.3">
      <c r="J27682"/>
    </row>
    <row r="27683" spans="10:10" x14ac:dyDescent="0.3">
      <c r="J27683"/>
    </row>
    <row r="27684" spans="10:10" x14ac:dyDescent="0.3">
      <c r="J27684"/>
    </row>
    <row r="27685" spans="10:10" x14ac:dyDescent="0.3">
      <c r="J27685"/>
    </row>
    <row r="27686" spans="10:10" x14ac:dyDescent="0.3">
      <c r="J27686"/>
    </row>
    <row r="27687" spans="10:10" x14ac:dyDescent="0.3">
      <c r="J27687"/>
    </row>
    <row r="27688" spans="10:10" x14ac:dyDescent="0.3">
      <c r="J27688"/>
    </row>
    <row r="27689" spans="10:10" x14ac:dyDescent="0.3">
      <c r="J27689"/>
    </row>
    <row r="27690" spans="10:10" x14ac:dyDescent="0.3">
      <c r="J27690"/>
    </row>
    <row r="27691" spans="10:10" x14ac:dyDescent="0.3">
      <c r="J27691"/>
    </row>
    <row r="27692" spans="10:10" x14ac:dyDescent="0.3">
      <c r="J27692"/>
    </row>
    <row r="27693" spans="10:10" x14ac:dyDescent="0.3">
      <c r="J27693"/>
    </row>
    <row r="27694" spans="10:10" x14ac:dyDescent="0.3">
      <c r="J27694"/>
    </row>
    <row r="27695" spans="10:10" x14ac:dyDescent="0.3">
      <c r="J27695"/>
    </row>
    <row r="27696" spans="10:10" x14ac:dyDescent="0.3">
      <c r="J27696"/>
    </row>
    <row r="27697" spans="10:10" x14ac:dyDescent="0.3">
      <c r="J27697"/>
    </row>
    <row r="27698" spans="10:10" x14ac:dyDescent="0.3">
      <c r="J27698"/>
    </row>
    <row r="27699" spans="10:10" x14ac:dyDescent="0.3">
      <c r="J27699"/>
    </row>
    <row r="27700" spans="10:10" x14ac:dyDescent="0.3">
      <c r="J27700"/>
    </row>
    <row r="27701" spans="10:10" x14ac:dyDescent="0.3">
      <c r="J27701"/>
    </row>
    <row r="27702" spans="10:10" x14ac:dyDescent="0.3">
      <c r="J27702"/>
    </row>
    <row r="27703" spans="10:10" x14ac:dyDescent="0.3">
      <c r="J27703"/>
    </row>
    <row r="27704" spans="10:10" x14ac:dyDescent="0.3">
      <c r="J27704"/>
    </row>
    <row r="27705" spans="10:10" x14ac:dyDescent="0.3">
      <c r="J27705"/>
    </row>
    <row r="27706" spans="10:10" x14ac:dyDescent="0.3">
      <c r="J27706"/>
    </row>
    <row r="27707" spans="10:10" x14ac:dyDescent="0.3">
      <c r="J27707"/>
    </row>
    <row r="27708" spans="10:10" x14ac:dyDescent="0.3">
      <c r="J27708"/>
    </row>
    <row r="27709" spans="10:10" x14ac:dyDescent="0.3">
      <c r="J27709"/>
    </row>
    <row r="27710" spans="10:10" x14ac:dyDescent="0.3">
      <c r="J27710"/>
    </row>
    <row r="27711" spans="10:10" x14ac:dyDescent="0.3">
      <c r="J27711"/>
    </row>
    <row r="27712" spans="10:10" x14ac:dyDescent="0.3">
      <c r="J27712"/>
    </row>
    <row r="27713" spans="10:10" x14ac:dyDescent="0.3">
      <c r="J27713"/>
    </row>
    <row r="27714" spans="10:10" x14ac:dyDescent="0.3">
      <c r="J27714"/>
    </row>
    <row r="27715" spans="10:10" x14ac:dyDescent="0.3">
      <c r="J27715"/>
    </row>
    <row r="27716" spans="10:10" x14ac:dyDescent="0.3">
      <c r="J27716"/>
    </row>
    <row r="27717" spans="10:10" x14ac:dyDescent="0.3">
      <c r="J27717"/>
    </row>
    <row r="27718" spans="10:10" x14ac:dyDescent="0.3">
      <c r="J27718"/>
    </row>
    <row r="27719" spans="10:10" x14ac:dyDescent="0.3">
      <c r="J27719"/>
    </row>
    <row r="27720" spans="10:10" x14ac:dyDescent="0.3">
      <c r="J27720"/>
    </row>
    <row r="27721" spans="10:10" x14ac:dyDescent="0.3">
      <c r="J27721"/>
    </row>
    <row r="27722" spans="10:10" x14ac:dyDescent="0.3">
      <c r="J27722"/>
    </row>
    <row r="27723" spans="10:10" x14ac:dyDescent="0.3">
      <c r="J27723"/>
    </row>
    <row r="27724" spans="10:10" x14ac:dyDescent="0.3">
      <c r="J27724"/>
    </row>
    <row r="27725" spans="10:10" x14ac:dyDescent="0.3">
      <c r="J27725"/>
    </row>
    <row r="27726" spans="10:10" x14ac:dyDescent="0.3">
      <c r="J27726"/>
    </row>
    <row r="27727" spans="10:10" x14ac:dyDescent="0.3">
      <c r="J27727"/>
    </row>
    <row r="27728" spans="10:10" x14ac:dyDescent="0.3">
      <c r="J27728"/>
    </row>
    <row r="27729" spans="10:10" x14ac:dyDescent="0.3">
      <c r="J27729"/>
    </row>
    <row r="27730" spans="10:10" x14ac:dyDescent="0.3">
      <c r="J27730"/>
    </row>
    <row r="27731" spans="10:10" x14ac:dyDescent="0.3">
      <c r="J27731"/>
    </row>
    <row r="27732" spans="10:10" x14ac:dyDescent="0.3">
      <c r="J27732"/>
    </row>
    <row r="27733" spans="10:10" x14ac:dyDescent="0.3">
      <c r="J27733"/>
    </row>
    <row r="27734" spans="10:10" x14ac:dyDescent="0.3">
      <c r="J27734"/>
    </row>
    <row r="27735" spans="10:10" x14ac:dyDescent="0.3">
      <c r="J27735"/>
    </row>
    <row r="27736" spans="10:10" x14ac:dyDescent="0.3">
      <c r="J27736"/>
    </row>
    <row r="27737" spans="10:10" x14ac:dyDescent="0.3">
      <c r="J27737"/>
    </row>
    <row r="27738" spans="10:10" x14ac:dyDescent="0.3">
      <c r="J27738"/>
    </row>
    <row r="27739" spans="10:10" x14ac:dyDescent="0.3">
      <c r="J27739"/>
    </row>
    <row r="27740" spans="10:10" x14ac:dyDescent="0.3">
      <c r="J27740"/>
    </row>
    <row r="27741" spans="10:10" x14ac:dyDescent="0.3">
      <c r="J27741"/>
    </row>
    <row r="27742" spans="10:10" x14ac:dyDescent="0.3">
      <c r="J27742"/>
    </row>
    <row r="27743" spans="10:10" x14ac:dyDescent="0.3">
      <c r="J27743"/>
    </row>
    <row r="27744" spans="10:10" x14ac:dyDescent="0.3">
      <c r="J27744"/>
    </row>
    <row r="27745" spans="10:10" x14ac:dyDescent="0.3">
      <c r="J27745"/>
    </row>
    <row r="27746" spans="10:10" x14ac:dyDescent="0.3">
      <c r="J27746"/>
    </row>
    <row r="27747" spans="10:10" x14ac:dyDescent="0.3">
      <c r="J27747"/>
    </row>
    <row r="27748" spans="10:10" x14ac:dyDescent="0.3">
      <c r="J27748"/>
    </row>
    <row r="27749" spans="10:10" x14ac:dyDescent="0.3">
      <c r="J27749"/>
    </row>
    <row r="27750" spans="10:10" x14ac:dyDescent="0.3">
      <c r="J27750"/>
    </row>
    <row r="27751" spans="10:10" x14ac:dyDescent="0.3">
      <c r="J27751"/>
    </row>
    <row r="27752" spans="10:10" x14ac:dyDescent="0.3">
      <c r="J27752"/>
    </row>
    <row r="27753" spans="10:10" x14ac:dyDescent="0.3">
      <c r="J27753"/>
    </row>
    <row r="27754" spans="10:10" x14ac:dyDescent="0.3">
      <c r="J27754"/>
    </row>
    <row r="27755" spans="10:10" x14ac:dyDescent="0.3">
      <c r="J27755"/>
    </row>
    <row r="27756" spans="10:10" x14ac:dyDescent="0.3">
      <c r="J27756"/>
    </row>
    <row r="27757" spans="10:10" x14ac:dyDescent="0.3">
      <c r="J27757"/>
    </row>
    <row r="27758" spans="10:10" x14ac:dyDescent="0.3">
      <c r="J27758"/>
    </row>
    <row r="27759" spans="10:10" x14ac:dyDescent="0.3">
      <c r="J27759"/>
    </row>
    <row r="27760" spans="10:10" x14ac:dyDescent="0.3">
      <c r="J27760"/>
    </row>
    <row r="27761" spans="10:10" x14ac:dyDescent="0.3">
      <c r="J27761"/>
    </row>
    <row r="27762" spans="10:10" x14ac:dyDescent="0.3">
      <c r="J27762"/>
    </row>
    <row r="27763" spans="10:10" x14ac:dyDescent="0.3">
      <c r="J27763"/>
    </row>
    <row r="27764" spans="10:10" x14ac:dyDescent="0.3">
      <c r="J27764"/>
    </row>
    <row r="27765" spans="10:10" x14ac:dyDescent="0.3">
      <c r="J27765"/>
    </row>
    <row r="27766" spans="10:10" x14ac:dyDescent="0.3">
      <c r="J27766"/>
    </row>
    <row r="27767" spans="10:10" x14ac:dyDescent="0.3">
      <c r="J27767"/>
    </row>
    <row r="27768" spans="10:10" x14ac:dyDescent="0.3">
      <c r="J27768"/>
    </row>
    <row r="27769" spans="10:10" x14ac:dyDescent="0.3">
      <c r="J27769"/>
    </row>
    <row r="27770" spans="10:10" x14ac:dyDescent="0.3">
      <c r="J27770"/>
    </row>
    <row r="27771" spans="10:10" x14ac:dyDescent="0.3">
      <c r="J27771"/>
    </row>
    <row r="27772" spans="10:10" x14ac:dyDescent="0.3">
      <c r="J27772"/>
    </row>
    <row r="27773" spans="10:10" x14ac:dyDescent="0.3">
      <c r="J27773"/>
    </row>
    <row r="27774" spans="10:10" x14ac:dyDescent="0.3">
      <c r="J27774"/>
    </row>
    <row r="27775" spans="10:10" x14ac:dyDescent="0.3">
      <c r="J27775"/>
    </row>
    <row r="27776" spans="10:10" x14ac:dyDescent="0.3">
      <c r="J27776"/>
    </row>
    <row r="27777" spans="10:10" x14ac:dyDescent="0.3">
      <c r="J27777"/>
    </row>
    <row r="27778" spans="10:10" x14ac:dyDescent="0.3">
      <c r="J27778"/>
    </row>
    <row r="27779" spans="10:10" x14ac:dyDescent="0.3">
      <c r="J27779"/>
    </row>
    <row r="27780" spans="10:10" x14ac:dyDescent="0.3">
      <c r="J27780"/>
    </row>
    <row r="27781" spans="10:10" x14ac:dyDescent="0.3">
      <c r="J27781"/>
    </row>
    <row r="27782" spans="10:10" x14ac:dyDescent="0.3">
      <c r="J27782"/>
    </row>
    <row r="27783" spans="10:10" x14ac:dyDescent="0.3">
      <c r="J27783"/>
    </row>
    <row r="27784" spans="10:10" x14ac:dyDescent="0.3">
      <c r="J27784"/>
    </row>
    <row r="27785" spans="10:10" x14ac:dyDescent="0.3">
      <c r="J27785"/>
    </row>
    <row r="27786" spans="10:10" x14ac:dyDescent="0.3">
      <c r="J27786"/>
    </row>
    <row r="27787" spans="10:10" x14ac:dyDescent="0.3">
      <c r="J27787"/>
    </row>
    <row r="27788" spans="10:10" x14ac:dyDescent="0.3">
      <c r="J27788"/>
    </row>
    <row r="27789" spans="10:10" x14ac:dyDescent="0.3">
      <c r="J27789"/>
    </row>
    <row r="27790" spans="10:10" x14ac:dyDescent="0.3">
      <c r="J27790"/>
    </row>
    <row r="27791" spans="10:10" x14ac:dyDescent="0.3">
      <c r="J27791"/>
    </row>
    <row r="27792" spans="10:10" x14ac:dyDescent="0.3">
      <c r="J27792"/>
    </row>
    <row r="27793" spans="10:10" x14ac:dyDescent="0.3">
      <c r="J27793"/>
    </row>
    <row r="27794" spans="10:10" x14ac:dyDescent="0.3">
      <c r="J27794"/>
    </row>
    <row r="27795" spans="10:10" x14ac:dyDescent="0.3">
      <c r="J27795"/>
    </row>
    <row r="27796" spans="10:10" x14ac:dyDescent="0.3">
      <c r="J27796"/>
    </row>
    <row r="27797" spans="10:10" x14ac:dyDescent="0.3">
      <c r="J27797"/>
    </row>
    <row r="27798" spans="10:10" x14ac:dyDescent="0.3">
      <c r="J27798"/>
    </row>
    <row r="27799" spans="10:10" x14ac:dyDescent="0.3">
      <c r="J27799"/>
    </row>
    <row r="27800" spans="10:10" x14ac:dyDescent="0.3">
      <c r="J27800"/>
    </row>
    <row r="27801" spans="10:10" x14ac:dyDescent="0.3">
      <c r="J27801"/>
    </row>
    <row r="27802" spans="10:10" x14ac:dyDescent="0.3">
      <c r="J27802"/>
    </row>
    <row r="27803" spans="10:10" x14ac:dyDescent="0.3">
      <c r="J27803"/>
    </row>
    <row r="27804" spans="10:10" x14ac:dyDescent="0.3">
      <c r="J27804"/>
    </row>
    <row r="27805" spans="10:10" x14ac:dyDescent="0.3">
      <c r="J27805"/>
    </row>
    <row r="27806" spans="10:10" x14ac:dyDescent="0.3">
      <c r="J27806"/>
    </row>
    <row r="27807" spans="10:10" x14ac:dyDescent="0.3">
      <c r="J27807"/>
    </row>
    <row r="27808" spans="10:10" x14ac:dyDescent="0.3">
      <c r="J27808"/>
    </row>
    <row r="27809" spans="10:10" x14ac:dyDescent="0.3">
      <c r="J27809"/>
    </row>
    <row r="27810" spans="10:10" x14ac:dyDescent="0.3">
      <c r="J27810"/>
    </row>
    <row r="27811" spans="10:10" x14ac:dyDescent="0.3">
      <c r="J27811"/>
    </row>
    <row r="27812" spans="10:10" x14ac:dyDescent="0.3">
      <c r="J27812"/>
    </row>
    <row r="27813" spans="10:10" x14ac:dyDescent="0.3">
      <c r="J27813"/>
    </row>
    <row r="27814" spans="10:10" x14ac:dyDescent="0.3">
      <c r="J27814"/>
    </row>
    <row r="27815" spans="10:10" x14ac:dyDescent="0.3">
      <c r="J27815"/>
    </row>
    <row r="27816" spans="10:10" x14ac:dyDescent="0.3">
      <c r="J27816"/>
    </row>
    <row r="27817" spans="10:10" x14ac:dyDescent="0.3">
      <c r="J27817"/>
    </row>
    <row r="27818" spans="10:10" x14ac:dyDescent="0.3">
      <c r="J27818"/>
    </row>
    <row r="27819" spans="10:10" x14ac:dyDescent="0.3">
      <c r="J27819"/>
    </row>
    <row r="27820" spans="10:10" x14ac:dyDescent="0.3">
      <c r="J27820"/>
    </row>
    <row r="27821" spans="10:10" x14ac:dyDescent="0.3">
      <c r="J27821"/>
    </row>
    <row r="27822" spans="10:10" x14ac:dyDescent="0.3">
      <c r="J27822"/>
    </row>
    <row r="27823" spans="10:10" x14ac:dyDescent="0.3">
      <c r="J27823"/>
    </row>
    <row r="27824" spans="10:10" x14ac:dyDescent="0.3">
      <c r="J27824"/>
    </row>
    <row r="27825" spans="10:10" x14ac:dyDescent="0.3">
      <c r="J27825"/>
    </row>
    <row r="27826" spans="10:10" x14ac:dyDescent="0.3">
      <c r="J27826"/>
    </row>
    <row r="27827" spans="10:10" x14ac:dyDescent="0.3">
      <c r="J27827"/>
    </row>
    <row r="27828" spans="10:10" x14ac:dyDescent="0.3">
      <c r="J27828"/>
    </row>
    <row r="27829" spans="10:10" x14ac:dyDescent="0.3">
      <c r="J27829"/>
    </row>
    <row r="27830" spans="10:10" x14ac:dyDescent="0.3">
      <c r="J27830"/>
    </row>
    <row r="27831" spans="10:10" x14ac:dyDescent="0.3">
      <c r="J27831"/>
    </row>
    <row r="27832" spans="10:10" x14ac:dyDescent="0.3">
      <c r="J27832"/>
    </row>
    <row r="27833" spans="10:10" x14ac:dyDescent="0.3">
      <c r="J27833"/>
    </row>
    <row r="27834" spans="10:10" x14ac:dyDescent="0.3">
      <c r="J27834"/>
    </row>
    <row r="27835" spans="10:10" x14ac:dyDescent="0.3">
      <c r="J27835"/>
    </row>
    <row r="27836" spans="10:10" x14ac:dyDescent="0.3">
      <c r="J27836"/>
    </row>
    <row r="27837" spans="10:10" x14ac:dyDescent="0.3">
      <c r="J27837"/>
    </row>
    <row r="27838" spans="10:10" x14ac:dyDescent="0.3">
      <c r="J27838"/>
    </row>
    <row r="27839" spans="10:10" x14ac:dyDescent="0.3">
      <c r="J27839"/>
    </row>
    <row r="27840" spans="10:10" x14ac:dyDescent="0.3">
      <c r="J27840"/>
    </row>
    <row r="27841" spans="10:10" x14ac:dyDescent="0.3">
      <c r="J27841"/>
    </row>
    <row r="27842" spans="10:10" x14ac:dyDescent="0.3">
      <c r="J27842"/>
    </row>
    <row r="27843" spans="10:10" x14ac:dyDescent="0.3">
      <c r="J27843"/>
    </row>
    <row r="27844" spans="10:10" x14ac:dyDescent="0.3">
      <c r="J27844"/>
    </row>
    <row r="27845" spans="10:10" x14ac:dyDescent="0.3">
      <c r="J27845"/>
    </row>
    <row r="27846" spans="10:10" x14ac:dyDescent="0.3">
      <c r="J27846"/>
    </row>
    <row r="27847" spans="10:10" x14ac:dyDescent="0.3">
      <c r="J27847"/>
    </row>
    <row r="27848" spans="10:10" x14ac:dyDescent="0.3">
      <c r="J27848"/>
    </row>
    <row r="27849" spans="10:10" x14ac:dyDescent="0.3">
      <c r="J27849"/>
    </row>
    <row r="27850" spans="10:10" x14ac:dyDescent="0.3">
      <c r="J27850"/>
    </row>
    <row r="27851" spans="10:10" x14ac:dyDescent="0.3">
      <c r="J27851"/>
    </row>
    <row r="27852" spans="10:10" x14ac:dyDescent="0.3">
      <c r="J27852"/>
    </row>
    <row r="27853" spans="10:10" x14ac:dyDescent="0.3">
      <c r="J27853"/>
    </row>
    <row r="27854" spans="10:10" x14ac:dyDescent="0.3">
      <c r="J27854"/>
    </row>
    <row r="27855" spans="10:10" x14ac:dyDescent="0.3">
      <c r="J27855"/>
    </row>
    <row r="27856" spans="10:10" x14ac:dyDescent="0.3">
      <c r="J27856"/>
    </row>
    <row r="27857" spans="10:10" x14ac:dyDescent="0.3">
      <c r="J27857"/>
    </row>
    <row r="27858" spans="10:10" x14ac:dyDescent="0.3">
      <c r="J27858"/>
    </row>
    <row r="27859" spans="10:10" x14ac:dyDescent="0.3">
      <c r="J27859"/>
    </row>
    <row r="27860" spans="10:10" x14ac:dyDescent="0.3">
      <c r="J27860"/>
    </row>
    <row r="27861" spans="10:10" x14ac:dyDescent="0.3">
      <c r="J27861"/>
    </row>
    <row r="27862" spans="10:10" x14ac:dyDescent="0.3">
      <c r="J27862"/>
    </row>
    <row r="27863" spans="10:10" x14ac:dyDescent="0.3">
      <c r="J27863"/>
    </row>
    <row r="27864" spans="10:10" x14ac:dyDescent="0.3">
      <c r="J27864"/>
    </row>
    <row r="27865" spans="10:10" x14ac:dyDescent="0.3">
      <c r="J27865"/>
    </row>
    <row r="27866" spans="10:10" x14ac:dyDescent="0.3">
      <c r="J27866"/>
    </row>
    <row r="27867" spans="10:10" x14ac:dyDescent="0.3">
      <c r="J27867"/>
    </row>
    <row r="27868" spans="10:10" x14ac:dyDescent="0.3">
      <c r="J27868"/>
    </row>
    <row r="27869" spans="10:10" x14ac:dyDescent="0.3">
      <c r="J27869"/>
    </row>
    <row r="27870" spans="10:10" x14ac:dyDescent="0.3">
      <c r="J27870"/>
    </row>
    <row r="27871" spans="10:10" x14ac:dyDescent="0.3">
      <c r="J27871"/>
    </row>
    <row r="27872" spans="10:10" x14ac:dyDescent="0.3">
      <c r="J27872"/>
    </row>
    <row r="27873" spans="10:10" x14ac:dyDescent="0.3">
      <c r="J27873"/>
    </row>
    <row r="27874" spans="10:10" x14ac:dyDescent="0.3">
      <c r="J27874"/>
    </row>
    <row r="27875" spans="10:10" x14ac:dyDescent="0.3">
      <c r="J27875"/>
    </row>
    <row r="27876" spans="10:10" x14ac:dyDescent="0.3">
      <c r="J27876"/>
    </row>
    <row r="27877" spans="10:10" x14ac:dyDescent="0.3">
      <c r="J27877"/>
    </row>
    <row r="27878" spans="10:10" x14ac:dyDescent="0.3">
      <c r="J27878"/>
    </row>
    <row r="27879" spans="10:10" x14ac:dyDescent="0.3">
      <c r="J27879"/>
    </row>
    <row r="27880" spans="10:10" x14ac:dyDescent="0.3">
      <c r="J27880"/>
    </row>
    <row r="27881" spans="10:10" x14ac:dyDescent="0.3">
      <c r="J27881"/>
    </row>
    <row r="27882" spans="10:10" x14ac:dyDescent="0.3">
      <c r="J27882"/>
    </row>
    <row r="27883" spans="10:10" x14ac:dyDescent="0.3">
      <c r="J27883"/>
    </row>
    <row r="27884" spans="10:10" x14ac:dyDescent="0.3">
      <c r="J27884"/>
    </row>
    <row r="27885" spans="10:10" x14ac:dyDescent="0.3">
      <c r="J27885"/>
    </row>
    <row r="27886" spans="10:10" x14ac:dyDescent="0.3">
      <c r="J27886"/>
    </row>
    <row r="27887" spans="10:10" x14ac:dyDescent="0.3">
      <c r="J27887"/>
    </row>
    <row r="27888" spans="10:10" x14ac:dyDescent="0.3">
      <c r="J27888"/>
    </row>
    <row r="27889" spans="10:10" x14ac:dyDescent="0.3">
      <c r="J27889"/>
    </row>
    <row r="27890" spans="10:10" x14ac:dyDescent="0.3">
      <c r="J27890"/>
    </row>
    <row r="27891" spans="10:10" x14ac:dyDescent="0.3">
      <c r="J27891"/>
    </row>
    <row r="27892" spans="10:10" x14ac:dyDescent="0.3">
      <c r="J27892"/>
    </row>
    <row r="27893" spans="10:10" x14ac:dyDescent="0.3">
      <c r="J27893"/>
    </row>
    <row r="27894" spans="10:10" x14ac:dyDescent="0.3">
      <c r="J27894"/>
    </row>
    <row r="27895" spans="10:10" x14ac:dyDescent="0.3">
      <c r="J27895"/>
    </row>
    <row r="27896" spans="10:10" x14ac:dyDescent="0.3">
      <c r="J27896"/>
    </row>
    <row r="27897" spans="10:10" x14ac:dyDescent="0.3">
      <c r="J27897"/>
    </row>
    <row r="27898" spans="10:10" x14ac:dyDescent="0.3">
      <c r="J27898"/>
    </row>
    <row r="27899" spans="10:10" x14ac:dyDescent="0.3">
      <c r="J27899"/>
    </row>
    <row r="27900" spans="10:10" x14ac:dyDescent="0.3">
      <c r="J27900"/>
    </row>
    <row r="27901" spans="10:10" x14ac:dyDescent="0.3">
      <c r="J27901"/>
    </row>
    <row r="27902" spans="10:10" x14ac:dyDescent="0.3">
      <c r="J27902"/>
    </row>
    <row r="27903" spans="10:10" x14ac:dyDescent="0.3">
      <c r="J27903"/>
    </row>
    <row r="27904" spans="10:10" x14ac:dyDescent="0.3">
      <c r="J27904"/>
    </row>
    <row r="27905" spans="10:10" x14ac:dyDescent="0.3">
      <c r="J27905"/>
    </row>
    <row r="27906" spans="10:10" x14ac:dyDescent="0.3">
      <c r="J27906"/>
    </row>
    <row r="27907" spans="10:10" x14ac:dyDescent="0.3">
      <c r="J27907"/>
    </row>
    <row r="27908" spans="10:10" x14ac:dyDescent="0.3">
      <c r="J27908"/>
    </row>
    <row r="27909" spans="10:10" x14ac:dyDescent="0.3">
      <c r="J27909"/>
    </row>
    <row r="27910" spans="10:10" x14ac:dyDescent="0.3">
      <c r="J27910"/>
    </row>
    <row r="27911" spans="10:10" x14ac:dyDescent="0.3">
      <c r="J27911"/>
    </row>
    <row r="27912" spans="10:10" x14ac:dyDescent="0.3">
      <c r="J27912"/>
    </row>
    <row r="27913" spans="10:10" x14ac:dyDescent="0.3">
      <c r="J27913"/>
    </row>
    <row r="27914" spans="10:10" x14ac:dyDescent="0.3">
      <c r="J27914"/>
    </row>
    <row r="27915" spans="10:10" x14ac:dyDescent="0.3">
      <c r="J27915"/>
    </row>
    <row r="27916" spans="10:10" x14ac:dyDescent="0.3">
      <c r="J27916"/>
    </row>
    <row r="27917" spans="10:10" x14ac:dyDescent="0.3">
      <c r="J27917"/>
    </row>
    <row r="27918" spans="10:10" x14ac:dyDescent="0.3">
      <c r="J27918"/>
    </row>
    <row r="27919" spans="10:10" x14ac:dyDescent="0.3">
      <c r="J27919"/>
    </row>
    <row r="27920" spans="10:10" x14ac:dyDescent="0.3">
      <c r="J27920"/>
    </row>
    <row r="27921" spans="10:10" x14ac:dyDescent="0.3">
      <c r="J27921"/>
    </row>
    <row r="27922" spans="10:10" x14ac:dyDescent="0.3">
      <c r="J27922"/>
    </row>
    <row r="27923" spans="10:10" x14ac:dyDescent="0.3">
      <c r="J27923"/>
    </row>
    <row r="27924" spans="10:10" x14ac:dyDescent="0.3">
      <c r="J27924"/>
    </row>
    <row r="27925" spans="10:10" x14ac:dyDescent="0.3">
      <c r="J27925"/>
    </row>
    <row r="27926" spans="10:10" x14ac:dyDescent="0.3">
      <c r="J27926"/>
    </row>
    <row r="27927" spans="10:10" x14ac:dyDescent="0.3">
      <c r="J27927"/>
    </row>
    <row r="27928" spans="10:10" x14ac:dyDescent="0.3">
      <c r="J27928"/>
    </row>
    <row r="27929" spans="10:10" x14ac:dyDescent="0.3">
      <c r="J27929"/>
    </row>
    <row r="27930" spans="10:10" x14ac:dyDescent="0.3">
      <c r="J27930"/>
    </row>
    <row r="27931" spans="10:10" x14ac:dyDescent="0.3">
      <c r="J27931"/>
    </row>
    <row r="27932" spans="10:10" x14ac:dyDescent="0.3">
      <c r="J27932"/>
    </row>
    <row r="27933" spans="10:10" x14ac:dyDescent="0.3">
      <c r="J27933"/>
    </row>
    <row r="27934" spans="10:10" x14ac:dyDescent="0.3">
      <c r="J27934"/>
    </row>
    <row r="27935" spans="10:10" x14ac:dyDescent="0.3">
      <c r="J27935"/>
    </row>
    <row r="27936" spans="10:10" x14ac:dyDescent="0.3">
      <c r="J27936"/>
    </row>
    <row r="27937" spans="10:10" x14ac:dyDescent="0.3">
      <c r="J27937"/>
    </row>
    <row r="27938" spans="10:10" x14ac:dyDescent="0.3">
      <c r="J27938"/>
    </row>
    <row r="27939" spans="10:10" x14ac:dyDescent="0.3">
      <c r="J27939"/>
    </row>
    <row r="27940" spans="10:10" x14ac:dyDescent="0.3">
      <c r="J27940"/>
    </row>
    <row r="27941" spans="10:10" x14ac:dyDescent="0.3">
      <c r="J27941"/>
    </row>
    <row r="27942" spans="10:10" x14ac:dyDescent="0.3">
      <c r="J27942"/>
    </row>
    <row r="27943" spans="10:10" x14ac:dyDescent="0.3">
      <c r="J27943"/>
    </row>
    <row r="27944" spans="10:10" x14ac:dyDescent="0.3">
      <c r="J27944"/>
    </row>
    <row r="27945" spans="10:10" x14ac:dyDescent="0.3">
      <c r="J27945"/>
    </row>
    <row r="27946" spans="10:10" x14ac:dyDescent="0.3">
      <c r="J27946"/>
    </row>
    <row r="27947" spans="10:10" x14ac:dyDescent="0.3">
      <c r="J27947"/>
    </row>
    <row r="27948" spans="10:10" x14ac:dyDescent="0.3">
      <c r="J27948"/>
    </row>
    <row r="27949" spans="10:10" x14ac:dyDescent="0.3">
      <c r="J27949"/>
    </row>
    <row r="27950" spans="10:10" x14ac:dyDescent="0.3">
      <c r="J27950"/>
    </row>
    <row r="27951" spans="10:10" x14ac:dyDescent="0.3">
      <c r="J27951"/>
    </row>
    <row r="27952" spans="10:10" x14ac:dyDescent="0.3">
      <c r="J27952"/>
    </row>
    <row r="27953" spans="10:10" x14ac:dyDescent="0.3">
      <c r="J27953"/>
    </row>
    <row r="27954" spans="10:10" x14ac:dyDescent="0.3">
      <c r="J27954"/>
    </row>
    <row r="27955" spans="10:10" x14ac:dyDescent="0.3">
      <c r="J27955"/>
    </row>
    <row r="27956" spans="10:10" x14ac:dyDescent="0.3">
      <c r="J27956"/>
    </row>
    <row r="27957" spans="10:10" x14ac:dyDescent="0.3">
      <c r="J27957"/>
    </row>
    <row r="27958" spans="10:10" x14ac:dyDescent="0.3">
      <c r="J27958"/>
    </row>
    <row r="27959" spans="10:10" x14ac:dyDescent="0.3">
      <c r="J27959"/>
    </row>
    <row r="27960" spans="10:10" x14ac:dyDescent="0.3">
      <c r="J27960"/>
    </row>
    <row r="27961" spans="10:10" x14ac:dyDescent="0.3">
      <c r="J27961"/>
    </row>
    <row r="27962" spans="10:10" x14ac:dyDescent="0.3">
      <c r="J27962"/>
    </row>
    <row r="27963" spans="10:10" x14ac:dyDescent="0.3">
      <c r="J27963"/>
    </row>
    <row r="27964" spans="10:10" x14ac:dyDescent="0.3">
      <c r="J27964"/>
    </row>
    <row r="27965" spans="10:10" x14ac:dyDescent="0.3">
      <c r="J27965"/>
    </row>
    <row r="27966" spans="10:10" x14ac:dyDescent="0.3">
      <c r="J27966"/>
    </row>
    <row r="27967" spans="10:10" x14ac:dyDescent="0.3">
      <c r="J27967"/>
    </row>
    <row r="27968" spans="10:10" x14ac:dyDescent="0.3">
      <c r="J27968"/>
    </row>
    <row r="27969" spans="10:10" x14ac:dyDescent="0.3">
      <c r="J27969"/>
    </row>
    <row r="27970" spans="10:10" x14ac:dyDescent="0.3">
      <c r="J27970"/>
    </row>
    <row r="27971" spans="10:10" x14ac:dyDescent="0.3">
      <c r="J27971"/>
    </row>
    <row r="27972" spans="10:10" x14ac:dyDescent="0.3">
      <c r="J27972"/>
    </row>
    <row r="27973" spans="10:10" x14ac:dyDescent="0.3">
      <c r="J27973"/>
    </row>
    <row r="27974" spans="10:10" x14ac:dyDescent="0.3">
      <c r="J27974"/>
    </row>
    <row r="27975" spans="10:10" x14ac:dyDescent="0.3">
      <c r="J27975"/>
    </row>
    <row r="27976" spans="10:10" x14ac:dyDescent="0.3">
      <c r="J27976"/>
    </row>
    <row r="27977" spans="10:10" x14ac:dyDescent="0.3">
      <c r="J27977"/>
    </row>
    <row r="27978" spans="10:10" x14ac:dyDescent="0.3">
      <c r="J27978"/>
    </row>
    <row r="27979" spans="10:10" x14ac:dyDescent="0.3">
      <c r="J27979"/>
    </row>
    <row r="27980" spans="10:10" x14ac:dyDescent="0.3">
      <c r="J27980"/>
    </row>
    <row r="27981" spans="10:10" x14ac:dyDescent="0.3">
      <c r="J27981"/>
    </row>
    <row r="27982" spans="10:10" x14ac:dyDescent="0.3">
      <c r="J27982"/>
    </row>
    <row r="27983" spans="10:10" x14ac:dyDescent="0.3">
      <c r="J27983"/>
    </row>
    <row r="27984" spans="10:10" x14ac:dyDescent="0.3">
      <c r="J27984"/>
    </row>
    <row r="27985" spans="10:10" x14ac:dyDescent="0.3">
      <c r="J27985"/>
    </row>
    <row r="27986" spans="10:10" x14ac:dyDescent="0.3">
      <c r="J27986"/>
    </row>
    <row r="27987" spans="10:10" x14ac:dyDescent="0.3">
      <c r="J27987"/>
    </row>
    <row r="27988" spans="10:10" x14ac:dyDescent="0.3">
      <c r="J27988"/>
    </row>
    <row r="27989" spans="10:10" x14ac:dyDescent="0.3">
      <c r="J27989"/>
    </row>
    <row r="27990" spans="10:10" x14ac:dyDescent="0.3">
      <c r="J27990"/>
    </row>
    <row r="27991" spans="10:10" x14ac:dyDescent="0.3">
      <c r="J27991"/>
    </row>
    <row r="27992" spans="10:10" x14ac:dyDescent="0.3">
      <c r="J27992"/>
    </row>
    <row r="27993" spans="10:10" x14ac:dyDescent="0.3">
      <c r="J27993"/>
    </row>
    <row r="27994" spans="10:10" x14ac:dyDescent="0.3">
      <c r="J27994"/>
    </row>
    <row r="27995" spans="10:10" x14ac:dyDescent="0.3">
      <c r="J27995"/>
    </row>
    <row r="27996" spans="10:10" x14ac:dyDescent="0.3">
      <c r="J27996"/>
    </row>
    <row r="27997" spans="10:10" x14ac:dyDescent="0.3">
      <c r="J27997"/>
    </row>
    <row r="27998" spans="10:10" x14ac:dyDescent="0.3">
      <c r="J27998"/>
    </row>
    <row r="27999" spans="10:10" x14ac:dyDescent="0.3">
      <c r="J27999"/>
    </row>
    <row r="28000" spans="10:10" x14ac:dyDescent="0.3">
      <c r="J28000"/>
    </row>
    <row r="28001" spans="10:10" x14ac:dyDescent="0.3">
      <c r="J28001"/>
    </row>
    <row r="28002" spans="10:10" x14ac:dyDescent="0.3">
      <c r="J28002"/>
    </row>
    <row r="28003" spans="10:10" x14ac:dyDescent="0.3">
      <c r="J28003"/>
    </row>
    <row r="28004" spans="10:10" x14ac:dyDescent="0.3">
      <c r="J28004"/>
    </row>
    <row r="28005" spans="10:10" x14ac:dyDescent="0.3">
      <c r="J28005"/>
    </row>
    <row r="28006" spans="10:10" x14ac:dyDescent="0.3">
      <c r="J28006"/>
    </row>
    <row r="28007" spans="10:10" x14ac:dyDescent="0.3">
      <c r="J28007"/>
    </row>
    <row r="28008" spans="10:10" x14ac:dyDescent="0.3">
      <c r="J28008"/>
    </row>
    <row r="28009" spans="10:10" x14ac:dyDescent="0.3">
      <c r="J28009"/>
    </row>
    <row r="28010" spans="10:10" x14ac:dyDescent="0.3">
      <c r="J28010"/>
    </row>
    <row r="28011" spans="10:10" x14ac:dyDescent="0.3">
      <c r="J28011"/>
    </row>
    <row r="28012" spans="10:10" x14ac:dyDescent="0.3">
      <c r="J28012"/>
    </row>
    <row r="28013" spans="10:10" x14ac:dyDescent="0.3">
      <c r="J28013"/>
    </row>
    <row r="28014" spans="10:10" x14ac:dyDescent="0.3">
      <c r="J28014"/>
    </row>
    <row r="28015" spans="10:10" x14ac:dyDescent="0.3">
      <c r="J28015"/>
    </row>
    <row r="28016" spans="10:10" x14ac:dyDescent="0.3">
      <c r="J28016"/>
    </row>
    <row r="28017" spans="10:10" x14ac:dyDescent="0.3">
      <c r="J28017"/>
    </row>
    <row r="28018" spans="10:10" x14ac:dyDescent="0.3">
      <c r="J28018"/>
    </row>
    <row r="28019" spans="10:10" x14ac:dyDescent="0.3">
      <c r="J28019"/>
    </row>
    <row r="28020" spans="10:10" x14ac:dyDescent="0.3">
      <c r="J28020"/>
    </row>
    <row r="28021" spans="10:10" x14ac:dyDescent="0.3">
      <c r="J28021"/>
    </row>
    <row r="28022" spans="10:10" x14ac:dyDescent="0.3">
      <c r="J28022"/>
    </row>
    <row r="28023" spans="10:10" x14ac:dyDescent="0.3">
      <c r="J28023"/>
    </row>
    <row r="28024" spans="10:10" x14ac:dyDescent="0.3">
      <c r="J28024"/>
    </row>
    <row r="28025" spans="10:10" x14ac:dyDescent="0.3">
      <c r="J28025"/>
    </row>
    <row r="28026" spans="10:10" x14ac:dyDescent="0.3">
      <c r="J28026"/>
    </row>
    <row r="28027" spans="10:10" x14ac:dyDescent="0.3">
      <c r="J28027"/>
    </row>
    <row r="28028" spans="10:10" x14ac:dyDescent="0.3">
      <c r="J28028"/>
    </row>
    <row r="28029" spans="10:10" x14ac:dyDescent="0.3">
      <c r="J28029"/>
    </row>
    <row r="28030" spans="10:10" x14ac:dyDescent="0.3">
      <c r="J28030"/>
    </row>
    <row r="28031" spans="10:10" x14ac:dyDescent="0.3">
      <c r="J28031"/>
    </row>
    <row r="28032" spans="10:10" x14ac:dyDescent="0.3">
      <c r="J28032"/>
    </row>
    <row r="28033" spans="10:10" x14ac:dyDescent="0.3">
      <c r="J28033"/>
    </row>
    <row r="28034" spans="10:10" x14ac:dyDescent="0.3">
      <c r="J28034"/>
    </row>
    <row r="28035" spans="10:10" x14ac:dyDescent="0.3">
      <c r="J28035"/>
    </row>
    <row r="28036" spans="10:10" x14ac:dyDescent="0.3">
      <c r="J28036"/>
    </row>
    <row r="28037" spans="10:10" x14ac:dyDescent="0.3">
      <c r="J28037"/>
    </row>
    <row r="28038" spans="10:10" x14ac:dyDescent="0.3">
      <c r="J28038"/>
    </row>
    <row r="28039" spans="10:10" x14ac:dyDescent="0.3">
      <c r="J28039"/>
    </row>
    <row r="28040" spans="10:10" x14ac:dyDescent="0.3">
      <c r="J28040"/>
    </row>
    <row r="28041" spans="10:10" x14ac:dyDescent="0.3">
      <c r="J28041"/>
    </row>
    <row r="28042" spans="10:10" x14ac:dyDescent="0.3">
      <c r="J28042"/>
    </row>
    <row r="28043" spans="10:10" x14ac:dyDescent="0.3">
      <c r="J28043"/>
    </row>
    <row r="28044" spans="10:10" x14ac:dyDescent="0.3">
      <c r="J28044"/>
    </row>
    <row r="28045" spans="10:10" x14ac:dyDescent="0.3">
      <c r="J28045"/>
    </row>
    <row r="28046" spans="10:10" x14ac:dyDescent="0.3">
      <c r="J28046"/>
    </row>
    <row r="28047" spans="10:10" x14ac:dyDescent="0.3">
      <c r="J28047"/>
    </row>
    <row r="28048" spans="10:10" x14ac:dyDescent="0.3">
      <c r="J28048"/>
    </row>
    <row r="28049" spans="10:10" x14ac:dyDescent="0.3">
      <c r="J28049"/>
    </row>
    <row r="28050" spans="10:10" x14ac:dyDescent="0.3">
      <c r="J28050"/>
    </row>
    <row r="28051" spans="10:10" x14ac:dyDescent="0.3">
      <c r="J28051"/>
    </row>
    <row r="28052" spans="10:10" x14ac:dyDescent="0.3">
      <c r="J28052"/>
    </row>
    <row r="28053" spans="10:10" x14ac:dyDescent="0.3">
      <c r="J28053"/>
    </row>
    <row r="28054" spans="10:10" x14ac:dyDescent="0.3">
      <c r="J28054"/>
    </row>
    <row r="28055" spans="10:10" x14ac:dyDescent="0.3">
      <c r="J28055"/>
    </row>
    <row r="28056" spans="10:10" x14ac:dyDescent="0.3">
      <c r="J28056"/>
    </row>
    <row r="28057" spans="10:10" x14ac:dyDescent="0.3">
      <c r="J28057"/>
    </row>
    <row r="28058" spans="10:10" x14ac:dyDescent="0.3">
      <c r="J28058"/>
    </row>
    <row r="28059" spans="10:10" x14ac:dyDescent="0.3">
      <c r="J28059"/>
    </row>
    <row r="28060" spans="10:10" x14ac:dyDescent="0.3">
      <c r="J28060"/>
    </row>
    <row r="28061" spans="10:10" x14ac:dyDescent="0.3">
      <c r="J28061"/>
    </row>
    <row r="28062" spans="10:10" x14ac:dyDescent="0.3">
      <c r="J28062"/>
    </row>
    <row r="28063" spans="10:10" x14ac:dyDescent="0.3">
      <c r="J28063"/>
    </row>
    <row r="28064" spans="10:10" x14ac:dyDescent="0.3">
      <c r="J28064"/>
    </row>
    <row r="28065" spans="10:10" x14ac:dyDescent="0.3">
      <c r="J28065"/>
    </row>
    <row r="28066" spans="10:10" x14ac:dyDescent="0.3">
      <c r="J28066"/>
    </row>
    <row r="28067" spans="10:10" x14ac:dyDescent="0.3">
      <c r="J28067"/>
    </row>
    <row r="28068" spans="10:10" x14ac:dyDescent="0.3">
      <c r="J28068"/>
    </row>
    <row r="28069" spans="10:10" x14ac:dyDescent="0.3">
      <c r="J28069"/>
    </row>
    <row r="28070" spans="10:10" x14ac:dyDescent="0.3">
      <c r="J28070"/>
    </row>
    <row r="28071" spans="10:10" x14ac:dyDescent="0.3">
      <c r="J28071"/>
    </row>
    <row r="28072" spans="10:10" x14ac:dyDescent="0.3">
      <c r="J28072"/>
    </row>
    <row r="28073" spans="10:10" x14ac:dyDescent="0.3">
      <c r="J28073"/>
    </row>
    <row r="28074" spans="10:10" x14ac:dyDescent="0.3">
      <c r="J28074"/>
    </row>
    <row r="28075" spans="10:10" x14ac:dyDescent="0.3">
      <c r="J28075"/>
    </row>
    <row r="28076" spans="10:10" x14ac:dyDescent="0.3">
      <c r="J28076"/>
    </row>
    <row r="28077" spans="10:10" x14ac:dyDescent="0.3">
      <c r="J28077"/>
    </row>
    <row r="28078" spans="10:10" x14ac:dyDescent="0.3">
      <c r="J28078"/>
    </row>
    <row r="28079" spans="10:10" x14ac:dyDescent="0.3">
      <c r="J28079"/>
    </row>
    <row r="28080" spans="10:10" x14ac:dyDescent="0.3">
      <c r="J28080"/>
    </row>
    <row r="28081" spans="10:10" x14ac:dyDescent="0.3">
      <c r="J28081"/>
    </row>
    <row r="28082" spans="10:10" x14ac:dyDescent="0.3">
      <c r="J28082"/>
    </row>
    <row r="28083" spans="10:10" x14ac:dyDescent="0.3">
      <c r="J28083"/>
    </row>
    <row r="28084" spans="10:10" x14ac:dyDescent="0.3">
      <c r="J28084"/>
    </row>
    <row r="28085" spans="10:10" x14ac:dyDescent="0.3">
      <c r="J28085"/>
    </row>
    <row r="28086" spans="10:10" x14ac:dyDescent="0.3">
      <c r="J28086"/>
    </row>
    <row r="28087" spans="10:10" x14ac:dyDescent="0.3">
      <c r="J28087"/>
    </row>
    <row r="28088" spans="10:10" x14ac:dyDescent="0.3">
      <c r="J28088"/>
    </row>
    <row r="28089" spans="10:10" x14ac:dyDescent="0.3">
      <c r="J28089"/>
    </row>
    <row r="28090" spans="10:10" x14ac:dyDescent="0.3">
      <c r="J28090"/>
    </row>
    <row r="28091" spans="10:10" x14ac:dyDescent="0.3">
      <c r="J28091"/>
    </row>
    <row r="28092" spans="10:10" x14ac:dyDescent="0.3">
      <c r="J28092"/>
    </row>
    <row r="28093" spans="10:10" x14ac:dyDescent="0.3">
      <c r="J28093"/>
    </row>
    <row r="28094" spans="10:10" x14ac:dyDescent="0.3">
      <c r="J28094"/>
    </row>
    <row r="28095" spans="10:10" x14ac:dyDescent="0.3">
      <c r="J28095"/>
    </row>
    <row r="28096" spans="10:10" x14ac:dyDescent="0.3">
      <c r="J28096"/>
    </row>
    <row r="28097" spans="10:10" x14ac:dyDescent="0.3">
      <c r="J28097"/>
    </row>
    <row r="28098" spans="10:10" x14ac:dyDescent="0.3">
      <c r="J28098"/>
    </row>
    <row r="28099" spans="10:10" x14ac:dyDescent="0.3">
      <c r="J28099"/>
    </row>
    <row r="28100" spans="10:10" x14ac:dyDescent="0.3">
      <c r="J28100"/>
    </row>
    <row r="28101" spans="10:10" x14ac:dyDescent="0.3">
      <c r="J28101"/>
    </row>
    <row r="28102" spans="10:10" x14ac:dyDescent="0.3">
      <c r="J28102"/>
    </row>
    <row r="28103" spans="10:10" x14ac:dyDescent="0.3">
      <c r="J28103"/>
    </row>
    <row r="28104" spans="10:10" x14ac:dyDescent="0.3">
      <c r="J28104"/>
    </row>
    <row r="28105" spans="10:10" x14ac:dyDescent="0.3">
      <c r="J28105"/>
    </row>
    <row r="28106" spans="10:10" x14ac:dyDescent="0.3">
      <c r="J28106"/>
    </row>
    <row r="28107" spans="10:10" x14ac:dyDescent="0.3">
      <c r="J28107"/>
    </row>
    <row r="28108" spans="10:10" x14ac:dyDescent="0.3">
      <c r="J28108"/>
    </row>
    <row r="28109" spans="10:10" x14ac:dyDescent="0.3">
      <c r="J28109"/>
    </row>
    <row r="28110" spans="10:10" x14ac:dyDescent="0.3">
      <c r="J28110"/>
    </row>
    <row r="28111" spans="10:10" x14ac:dyDescent="0.3">
      <c r="J28111"/>
    </row>
    <row r="28112" spans="10:10" x14ac:dyDescent="0.3">
      <c r="J28112"/>
    </row>
    <row r="28113" spans="10:10" x14ac:dyDescent="0.3">
      <c r="J28113"/>
    </row>
    <row r="28114" spans="10:10" x14ac:dyDescent="0.3">
      <c r="J28114"/>
    </row>
    <row r="28115" spans="10:10" x14ac:dyDescent="0.3">
      <c r="J28115"/>
    </row>
    <row r="28116" spans="10:10" x14ac:dyDescent="0.3">
      <c r="J28116"/>
    </row>
    <row r="28117" spans="10:10" x14ac:dyDescent="0.3">
      <c r="J28117"/>
    </row>
    <row r="28118" spans="10:10" x14ac:dyDescent="0.3">
      <c r="J28118"/>
    </row>
    <row r="28119" spans="10:10" x14ac:dyDescent="0.3">
      <c r="J28119"/>
    </row>
    <row r="28120" spans="10:10" x14ac:dyDescent="0.3">
      <c r="J28120"/>
    </row>
    <row r="28121" spans="10:10" x14ac:dyDescent="0.3">
      <c r="J28121"/>
    </row>
    <row r="28122" spans="10:10" x14ac:dyDescent="0.3">
      <c r="J28122"/>
    </row>
    <row r="28123" spans="10:10" x14ac:dyDescent="0.3">
      <c r="J28123"/>
    </row>
    <row r="28124" spans="10:10" x14ac:dyDescent="0.3">
      <c r="J28124"/>
    </row>
    <row r="28125" spans="10:10" x14ac:dyDescent="0.3">
      <c r="J28125"/>
    </row>
    <row r="28126" spans="10:10" x14ac:dyDescent="0.3">
      <c r="J28126"/>
    </row>
    <row r="28127" spans="10:10" x14ac:dyDescent="0.3">
      <c r="J28127"/>
    </row>
    <row r="28128" spans="10:10" x14ac:dyDescent="0.3">
      <c r="J28128"/>
    </row>
    <row r="28129" spans="10:10" x14ac:dyDescent="0.3">
      <c r="J28129"/>
    </row>
    <row r="28130" spans="10:10" x14ac:dyDescent="0.3">
      <c r="J28130"/>
    </row>
    <row r="28131" spans="10:10" x14ac:dyDescent="0.3">
      <c r="J28131"/>
    </row>
    <row r="28132" spans="10:10" x14ac:dyDescent="0.3">
      <c r="J28132"/>
    </row>
    <row r="28133" spans="10:10" x14ac:dyDescent="0.3">
      <c r="J28133"/>
    </row>
    <row r="28134" spans="10:10" x14ac:dyDescent="0.3">
      <c r="J28134"/>
    </row>
    <row r="28135" spans="10:10" x14ac:dyDescent="0.3">
      <c r="J28135"/>
    </row>
    <row r="28136" spans="10:10" x14ac:dyDescent="0.3">
      <c r="J28136"/>
    </row>
    <row r="28137" spans="10:10" x14ac:dyDescent="0.3">
      <c r="J28137"/>
    </row>
    <row r="28138" spans="10:10" x14ac:dyDescent="0.3">
      <c r="J28138"/>
    </row>
    <row r="28139" spans="10:10" x14ac:dyDescent="0.3">
      <c r="J28139"/>
    </row>
    <row r="28140" spans="10:10" x14ac:dyDescent="0.3">
      <c r="J28140"/>
    </row>
    <row r="28141" spans="10:10" x14ac:dyDescent="0.3">
      <c r="J28141"/>
    </row>
    <row r="28142" spans="10:10" x14ac:dyDescent="0.3">
      <c r="J28142"/>
    </row>
    <row r="28143" spans="10:10" x14ac:dyDescent="0.3">
      <c r="J28143"/>
    </row>
    <row r="28144" spans="10:10" x14ac:dyDescent="0.3">
      <c r="J28144"/>
    </row>
    <row r="28145" spans="10:10" x14ac:dyDescent="0.3">
      <c r="J28145"/>
    </row>
    <row r="28146" spans="10:10" x14ac:dyDescent="0.3">
      <c r="J28146"/>
    </row>
    <row r="28147" spans="10:10" x14ac:dyDescent="0.3">
      <c r="J28147"/>
    </row>
    <row r="28148" spans="10:10" x14ac:dyDescent="0.3">
      <c r="J28148"/>
    </row>
    <row r="28149" spans="10:10" x14ac:dyDescent="0.3">
      <c r="J28149"/>
    </row>
    <row r="28150" spans="10:10" x14ac:dyDescent="0.3">
      <c r="J28150"/>
    </row>
    <row r="28151" spans="10:10" x14ac:dyDescent="0.3">
      <c r="J28151"/>
    </row>
    <row r="28152" spans="10:10" x14ac:dyDescent="0.3">
      <c r="J28152"/>
    </row>
    <row r="28153" spans="10:10" x14ac:dyDescent="0.3">
      <c r="J28153"/>
    </row>
    <row r="28154" spans="10:10" x14ac:dyDescent="0.3">
      <c r="J28154"/>
    </row>
    <row r="28155" spans="10:10" x14ac:dyDescent="0.3">
      <c r="J28155"/>
    </row>
    <row r="28156" spans="10:10" x14ac:dyDescent="0.3">
      <c r="J28156"/>
    </row>
    <row r="28157" spans="10:10" x14ac:dyDescent="0.3">
      <c r="J28157"/>
    </row>
    <row r="28158" spans="10:10" x14ac:dyDescent="0.3">
      <c r="J28158"/>
    </row>
    <row r="28159" spans="10:10" x14ac:dyDescent="0.3">
      <c r="J28159"/>
    </row>
    <row r="28160" spans="10:10" x14ac:dyDescent="0.3">
      <c r="J28160"/>
    </row>
    <row r="28161" spans="10:10" x14ac:dyDescent="0.3">
      <c r="J28161"/>
    </row>
    <row r="28162" spans="10:10" x14ac:dyDescent="0.3">
      <c r="J28162"/>
    </row>
    <row r="28163" spans="10:10" x14ac:dyDescent="0.3">
      <c r="J28163"/>
    </row>
    <row r="28164" spans="10:10" x14ac:dyDescent="0.3">
      <c r="J28164"/>
    </row>
    <row r="28165" spans="10:10" x14ac:dyDescent="0.3">
      <c r="J28165"/>
    </row>
    <row r="28166" spans="10:10" x14ac:dyDescent="0.3">
      <c r="J28166"/>
    </row>
    <row r="28167" spans="10:10" x14ac:dyDescent="0.3">
      <c r="J28167"/>
    </row>
    <row r="28168" spans="10:10" x14ac:dyDescent="0.3">
      <c r="J28168"/>
    </row>
    <row r="28169" spans="10:10" x14ac:dyDescent="0.3">
      <c r="J28169"/>
    </row>
    <row r="28170" spans="10:10" x14ac:dyDescent="0.3">
      <c r="J28170"/>
    </row>
    <row r="28171" spans="10:10" x14ac:dyDescent="0.3">
      <c r="J28171"/>
    </row>
    <row r="28172" spans="10:10" x14ac:dyDescent="0.3">
      <c r="J28172"/>
    </row>
    <row r="28173" spans="10:10" x14ac:dyDescent="0.3">
      <c r="J28173"/>
    </row>
    <row r="28174" spans="10:10" x14ac:dyDescent="0.3">
      <c r="J28174"/>
    </row>
    <row r="28175" spans="10:10" x14ac:dyDescent="0.3">
      <c r="J28175"/>
    </row>
    <row r="28176" spans="10:10" x14ac:dyDescent="0.3">
      <c r="J28176"/>
    </row>
    <row r="28177" spans="10:10" x14ac:dyDescent="0.3">
      <c r="J28177"/>
    </row>
    <row r="28178" spans="10:10" x14ac:dyDescent="0.3">
      <c r="J28178"/>
    </row>
    <row r="28179" spans="10:10" x14ac:dyDescent="0.3">
      <c r="J28179"/>
    </row>
    <row r="28180" spans="10:10" x14ac:dyDescent="0.3">
      <c r="J28180"/>
    </row>
    <row r="28181" spans="10:10" x14ac:dyDescent="0.3">
      <c r="J28181"/>
    </row>
    <row r="28182" spans="10:10" x14ac:dyDescent="0.3">
      <c r="J28182"/>
    </row>
    <row r="28183" spans="10:10" x14ac:dyDescent="0.3">
      <c r="J28183"/>
    </row>
    <row r="28184" spans="10:10" x14ac:dyDescent="0.3">
      <c r="J28184"/>
    </row>
    <row r="28185" spans="10:10" x14ac:dyDescent="0.3">
      <c r="J28185"/>
    </row>
    <row r="28186" spans="10:10" x14ac:dyDescent="0.3">
      <c r="J28186"/>
    </row>
    <row r="28187" spans="10:10" x14ac:dyDescent="0.3">
      <c r="J28187"/>
    </row>
    <row r="28188" spans="10:10" x14ac:dyDescent="0.3">
      <c r="J28188"/>
    </row>
    <row r="28189" spans="10:10" x14ac:dyDescent="0.3">
      <c r="J28189"/>
    </row>
    <row r="28190" spans="10:10" x14ac:dyDescent="0.3">
      <c r="J28190"/>
    </row>
    <row r="28191" spans="10:10" x14ac:dyDescent="0.3">
      <c r="J28191"/>
    </row>
    <row r="28192" spans="10:10" x14ac:dyDescent="0.3">
      <c r="J28192"/>
    </row>
    <row r="28193" spans="10:10" x14ac:dyDescent="0.3">
      <c r="J28193"/>
    </row>
    <row r="28194" spans="10:10" x14ac:dyDescent="0.3">
      <c r="J28194"/>
    </row>
    <row r="28195" spans="10:10" x14ac:dyDescent="0.3">
      <c r="J28195"/>
    </row>
    <row r="28196" spans="10:10" x14ac:dyDescent="0.3">
      <c r="J28196"/>
    </row>
    <row r="28197" spans="10:10" x14ac:dyDescent="0.3">
      <c r="J28197"/>
    </row>
    <row r="28198" spans="10:10" x14ac:dyDescent="0.3">
      <c r="J28198"/>
    </row>
    <row r="28199" spans="10:10" x14ac:dyDescent="0.3">
      <c r="J28199"/>
    </row>
    <row r="28200" spans="10:10" x14ac:dyDescent="0.3">
      <c r="J28200"/>
    </row>
    <row r="28201" spans="10:10" x14ac:dyDescent="0.3">
      <c r="J28201"/>
    </row>
    <row r="28202" spans="10:10" x14ac:dyDescent="0.3">
      <c r="J28202"/>
    </row>
    <row r="28203" spans="10:10" x14ac:dyDescent="0.3">
      <c r="J28203"/>
    </row>
    <row r="28204" spans="10:10" x14ac:dyDescent="0.3">
      <c r="J28204"/>
    </row>
    <row r="28205" spans="10:10" x14ac:dyDescent="0.3">
      <c r="J28205"/>
    </row>
    <row r="28206" spans="10:10" x14ac:dyDescent="0.3">
      <c r="J28206"/>
    </row>
    <row r="28207" spans="10:10" x14ac:dyDescent="0.3">
      <c r="J28207"/>
    </row>
    <row r="28208" spans="10:10" x14ac:dyDescent="0.3">
      <c r="J28208"/>
    </row>
    <row r="28209" spans="10:10" x14ac:dyDescent="0.3">
      <c r="J28209"/>
    </row>
    <row r="28210" spans="10:10" x14ac:dyDescent="0.3">
      <c r="J28210"/>
    </row>
    <row r="28211" spans="10:10" x14ac:dyDescent="0.3">
      <c r="J28211"/>
    </row>
    <row r="28212" spans="10:10" x14ac:dyDescent="0.3">
      <c r="J28212"/>
    </row>
    <row r="28213" spans="10:10" x14ac:dyDescent="0.3">
      <c r="J28213"/>
    </row>
    <row r="28214" spans="10:10" x14ac:dyDescent="0.3">
      <c r="J28214"/>
    </row>
    <row r="28215" spans="10:10" x14ac:dyDescent="0.3">
      <c r="J28215"/>
    </row>
    <row r="28216" spans="10:10" x14ac:dyDescent="0.3">
      <c r="J28216"/>
    </row>
    <row r="28217" spans="10:10" x14ac:dyDescent="0.3">
      <c r="J28217"/>
    </row>
    <row r="28218" spans="10:10" x14ac:dyDescent="0.3">
      <c r="J28218"/>
    </row>
    <row r="28219" spans="10:10" x14ac:dyDescent="0.3">
      <c r="J28219"/>
    </row>
    <row r="28220" spans="10:10" x14ac:dyDescent="0.3">
      <c r="J28220"/>
    </row>
    <row r="28221" spans="10:10" x14ac:dyDescent="0.3">
      <c r="J28221"/>
    </row>
    <row r="28222" spans="10:10" x14ac:dyDescent="0.3">
      <c r="J28222"/>
    </row>
    <row r="28223" spans="10:10" x14ac:dyDescent="0.3">
      <c r="J28223"/>
    </row>
    <row r="28224" spans="10:10" x14ac:dyDescent="0.3">
      <c r="J28224"/>
    </row>
    <row r="28225" spans="10:10" x14ac:dyDescent="0.3">
      <c r="J28225"/>
    </row>
    <row r="28226" spans="10:10" x14ac:dyDescent="0.3">
      <c r="J28226"/>
    </row>
    <row r="28227" spans="10:10" x14ac:dyDescent="0.3">
      <c r="J28227"/>
    </row>
    <row r="28228" spans="10:10" x14ac:dyDescent="0.3">
      <c r="J28228"/>
    </row>
    <row r="28229" spans="10:10" x14ac:dyDescent="0.3">
      <c r="J28229"/>
    </row>
    <row r="28230" spans="10:10" x14ac:dyDescent="0.3">
      <c r="J28230"/>
    </row>
    <row r="28231" spans="10:10" x14ac:dyDescent="0.3">
      <c r="J28231"/>
    </row>
    <row r="28232" spans="10:10" x14ac:dyDescent="0.3">
      <c r="J28232"/>
    </row>
    <row r="28233" spans="10:10" x14ac:dyDescent="0.3">
      <c r="J28233"/>
    </row>
    <row r="28234" spans="10:10" x14ac:dyDescent="0.3">
      <c r="J28234"/>
    </row>
    <row r="28235" spans="10:10" x14ac:dyDescent="0.3">
      <c r="J28235"/>
    </row>
    <row r="28236" spans="10:10" x14ac:dyDescent="0.3">
      <c r="J28236"/>
    </row>
    <row r="28237" spans="10:10" x14ac:dyDescent="0.3">
      <c r="J28237"/>
    </row>
    <row r="28238" spans="10:10" x14ac:dyDescent="0.3">
      <c r="J28238"/>
    </row>
    <row r="28239" spans="10:10" x14ac:dyDescent="0.3">
      <c r="J28239"/>
    </row>
    <row r="28240" spans="10:10" x14ac:dyDescent="0.3">
      <c r="J28240"/>
    </row>
    <row r="28241" spans="10:10" x14ac:dyDescent="0.3">
      <c r="J28241"/>
    </row>
    <row r="28242" spans="10:10" x14ac:dyDescent="0.3">
      <c r="J28242"/>
    </row>
    <row r="28243" spans="10:10" x14ac:dyDescent="0.3">
      <c r="J28243"/>
    </row>
    <row r="28244" spans="10:10" x14ac:dyDescent="0.3">
      <c r="J28244"/>
    </row>
    <row r="28245" spans="10:10" x14ac:dyDescent="0.3">
      <c r="J28245"/>
    </row>
    <row r="28246" spans="10:10" x14ac:dyDescent="0.3">
      <c r="J28246"/>
    </row>
    <row r="28247" spans="10:10" x14ac:dyDescent="0.3">
      <c r="J28247"/>
    </row>
    <row r="28248" spans="10:10" x14ac:dyDescent="0.3">
      <c r="J28248"/>
    </row>
    <row r="28249" spans="10:10" x14ac:dyDescent="0.3">
      <c r="J28249"/>
    </row>
    <row r="28250" spans="10:10" x14ac:dyDescent="0.3">
      <c r="J28250"/>
    </row>
    <row r="28251" spans="10:10" x14ac:dyDescent="0.3">
      <c r="J28251"/>
    </row>
    <row r="28252" spans="10:10" x14ac:dyDescent="0.3">
      <c r="J28252"/>
    </row>
    <row r="28253" spans="10:10" x14ac:dyDescent="0.3">
      <c r="J28253"/>
    </row>
    <row r="28254" spans="10:10" x14ac:dyDescent="0.3">
      <c r="J28254"/>
    </row>
    <row r="28255" spans="10:10" x14ac:dyDescent="0.3">
      <c r="J28255"/>
    </row>
    <row r="28256" spans="10:10" x14ac:dyDescent="0.3">
      <c r="J28256"/>
    </row>
    <row r="28257" spans="10:10" x14ac:dyDescent="0.3">
      <c r="J28257"/>
    </row>
    <row r="28258" spans="10:10" x14ac:dyDescent="0.3">
      <c r="J28258"/>
    </row>
    <row r="28259" spans="10:10" x14ac:dyDescent="0.3">
      <c r="J28259"/>
    </row>
    <row r="28260" spans="10:10" x14ac:dyDescent="0.3">
      <c r="J28260"/>
    </row>
    <row r="28261" spans="10:10" x14ac:dyDescent="0.3">
      <c r="J28261"/>
    </row>
    <row r="28262" spans="10:10" x14ac:dyDescent="0.3">
      <c r="J28262"/>
    </row>
    <row r="28263" spans="10:10" x14ac:dyDescent="0.3">
      <c r="J28263"/>
    </row>
    <row r="28264" spans="10:10" x14ac:dyDescent="0.3">
      <c r="J28264"/>
    </row>
    <row r="28265" spans="10:10" x14ac:dyDescent="0.3">
      <c r="J28265"/>
    </row>
    <row r="28266" spans="10:10" x14ac:dyDescent="0.3">
      <c r="J28266"/>
    </row>
    <row r="28267" spans="10:10" x14ac:dyDescent="0.3">
      <c r="J28267"/>
    </row>
    <row r="28268" spans="10:10" x14ac:dyDescent="0.3">
      <c r="J28268"/>
    </row>
    <row r="28269" spans="10:10" x14ac:dyDescent="0.3">
      <c r="J28269"/>
    </row>
    <row r="28270" spans="10:10" x14ac:dyDescent="0.3">
      <c r="J28270"/>
    </row>
    <row r="28271" spans="10:10" x14ac:dyDescent="0.3">
      <c r="J28271"/>
    </row>
    <row r="28272" spans="10:10" x14ac:dyDescent="0.3">
      <c r="J28272"/>
    </row>
    <row r="28273" spans="10:10" x14ac:dyDescent="0.3">
      <c r="J28273"/>
    </row>
    <row r="28274" spans="10:10" x14ac:dyDescent="0.3">
      <c r="J28274"/>
    </row>
    <row r="28275" spans="10:10" x14ac:dyDescent="0.3">
      <c r="J28275"/>
    </row>
    <row r="28276" spans="10:10" x14ac:dyDescent="0.3">
      <c r="J28276"/>
    </row>
    <row r="28277" spans="10:10" x14ac:dyDescent="0.3">
      <c r="J28277"/>
    </row>
    <row r="28278" spans="10:10" x14ac:dyDescent="0.3">
      <c r="J28278"/>
    </row>
    <row r="28279" spans="10:10" x14ac:dyDescent="0.3">
      <c r="J28279"/>
    </row>
    <row r="28280" spans="10:10" x14ac:dyDescent="0.3">
      <c r="J28280"/>
    </row>
    <row r="28281" spans="10:10" x14ac:dyDescent="0.3">
      <c r="J28281"/>
    </row>
    <row r="28282" spans="10:10" x14ac:dyDescent="0.3">
      <c r="J28282"/>
    </row>
    <row r="28283" spans="10:10" x14ac:dyDescent="0.3">
      <c r="J28283"/>
    </row>
    <row r="28284" spans="10:10" x14ac:dyDescent="0.3">
      <c r="J28284"/>
    </row>
    <row r="28285" spans="10:10" x14ac:dyDescent="0.3">
      <c r="J28285"/>
    </row>
    <row r="28286" spans="10:10" x14ac:dyDescent="0.3">
      <c r="J28286"/>
    </row>
    <row r="28287" spans="10:10" x14ac:dyDescent="0.3">
      <c r="J28287"/>
    </row>
    <row r="28288" spans="10:10" x14ac:dyDescent="0.3">
      <c r="J28288"/>
    </row>
    <row r="28289" spans="10:10" x14ac:dyDescent="0.3">
      <c r="J28289"/>
    </row>
    <row r="28290" spans="10:10" x14ac:dyDescent="0.3">
      <c r="J28290"/>
    </row>
    <row r="28291" spans="10:10" x14ac:dyDescent="0.3">
      <c r="J28291"/>
    </row>
    <row r="28292" spans="10:10" x14ac:dyDescent="0.3">
      <c r="J28292"/>
    </row>
    <row r="28293" spans="10:10" x14ac:dyDescent="0.3">
      <c r="J28293"/>
    </row>
    <row r="28294" spans="10:10" x14ac:dyDescent="0.3">
      <c r="J28294"/>
    </row>
    <row r="28295" spans="10:10" x14ac:dyDescent="0.3">
      <c r="J28295"/>
    </row>
    <row r="28296" spans="10:10" x14ac:dyDescent="0.3">
      <c r="J28296"/>
    </row>
    <row r="28297" spans="10:10" x14ac:dyDescent="0.3">
      <c r="J28297"/>
    </row>
    <row r="28298" spans="10:10" x14ac:dyDescent="0.3">
      <c r="J28298"/>
    </row>
    <row r="28299" spans="10:10" x14ac:dyDescent="0.3">
      <c r="J28299"/>
    </row>
    <row r="28300" spans="10:10" x14ac:dyDescent="0.3">
      <c r="J28300"/>
    </row>
    <row r="28301" spans="10:10" x14ac:dyDescent="0.3">
      <c r="J28301"/>
    </row>
    <row r="28302" spans="10:10" x14ac:dyDescent="0.3">
      <c r="J28302"/>
    </row>
    <row r="28303" spans="10:10" x14ac:dyDescent="0.3">
      <c r="J28303"/>
    </row>
    <row r="28304" spans="10:10" x14ac:dyDescent="0.3">
      <c r="J28304"/>
    </row>
    <row r="28305" spans="10:10" x14ac:dyDescent="0.3">
      <c r="J28305"/>
    </row>
    <row r="28306" spans="10:10" x14ac:dyDescent="0.3">
      <c r="J28306"/>
    </row>
    <row r="28307" spans="10:10" x14ac:dyDescent="0.3">
      <c r="J28307"/>
    </row>
    <row r="28308" spans="10:10" x14ac:dyDescent="0.3">
      <c r="J28308"/>
    </row>
    <row r="28309" spans="10:10" x14ac:dyDescent="0.3">
      <c r="J28309"/>
    </row>
    <row r="28310" spans="10:10" x14ac:dyDescent="0.3">
      <c r="J28310"/>
    </row>
    <row r="28311" spans="10:10" x14ac:dyDescent="0.3">
      <c r="J28311"/>
    </row>
    <row r="28312" spans="10:10" x14ac:dyDescent="0.3">
      <c r="J28312"/>
    </row>
    <row r="28313" spans="10:10" x14ac:dyDescent="0.3">
      <c r="J28313"/>
    </row>
    <row r="28314" spans="10:10" x14ac:dyDescent="0.3">
      <c r="J28314"/>
    </row>
    <row r="28315" spans="10:10" x14ac:dyDescent="0.3">
      <c r="J28315"/>
    </row>
    <row r="28316" spans="10:10" x14ac:dyDescent="0.3">
      <c r="J28316"/>
    </row>
    <row r="28317" spans="10:10" x14ac:dyDescent="0.3">
      <c r="J28317"/>
    </row>
    <row r="28318" spans="10:10" x14ac:dyDescent="0.3">
      <c r="J28318"/>
    </row>
    <row r="28319" spans="10:10" x14ac:dyDescent="0.3">
      <c r="J28319"/>
    </row>
    <row r="28320" spans="10:10" x14ac:dyDescent="0.3">
      <c r="J28320"/>
    </row>
    <row r="28321" spans="10:10" x14ac:dyDescent="0.3">
      <c r="J28321"/>
    </row>
    <row r="28322" spans="10:10" x14ac:dyDescent="0.3">
      <c r="J28322"/>
    </row>
    <row r="28323" spans="10:10" x14ac:dyDescent="0.3">
      <c r="J28323"/>
    </row>
    <row r="28324" spans="10:10" x14ac:dyDescent="0.3">
      <c r="J28324"/>
    </row>
    <row r="28325" spans="10:10" x14ac:dyDescent="0.3">
      <c r="J28325"/>
    </row>
    <row r="28326" spans="10:10" x14ac:dyDescent="0.3">
      <c r="J28326"/>
    </row>
    <row r="28327" spans="10:10" x14ac:dyDescent="0.3">
      <c r="J28327"/>
    </row>
    <row r="28328" spans="10:10" x14ac:dyDescent="0.3">
      <c r="J28328"/>
    </row>
    <row r="28329" spans="10:10" x14ac:dyDescent="0.3">
      <c r="J28329"/>
    </row>
    <row r="28330" spans="10:10" x14ac:dyDescent="0.3">
      <c r="J28330"/>
    </row>
    <row r="28331" spans="10:10" x14ac:dyDescent="0.3">
      <c r="J28331"/>
    </row>
    <row r="28332" spans="10:10" x14ac:dyDescent="0.3">
      <c r="J28332"/>
    </row>
    <row r="28333" spans="10:10" x14ac:dyDescent="0.3">
      <c r="J28333"/>
    </row>
    <row r="28334" spans="10:10" x14ac:dyDescent="0.3">
      <c r="J28334"/>
    </row>
    <row r="28335" spans="10:10" x14ac:dyDescent="0.3">
      <c r="J28335"/>
    </row>
    <row r="28336" spans="10:10" x14ac:dyDescent="0.3">
      <c r="J28336"/>
    </row>
    <row r="28337" spans="10:10" x14ac:dyDescent="0.3">
      <c r="J28337"/>
    </row>
    <row r="28338" spans="10:10" x14ac:dyDescent="0.3">
      <c r="J28338"/>
    </row>
    <row r="28339" spans="10:10" x14ac:dyDescent="0.3">
      <c r="J28339"/>
    </row>
    <row r="28340" spans="10:10" x14ac:dyDescent="0.3">
      <c r="J28340"/>
    </row>
    <row r="28341" spans="10:10" x14ac:dyDescent="0.3">
      <c r="J28341"/>
    </row>
    <row r="28342" spans="10:10" x14ac:dyDescent="0.3">
      <c r="J28342"/>
    </row>
    <row r="28343" spans="10:10" x14ac:dyDescent="0.3">
      <c r="J28343"/>
    </row>
    <row r="28344" spans="10:10" x14ac:dyDescent="0.3">
      <c r="J28344"/>
    </row>
    <row r="28345" spans="10:10" x14ac:dyDescent="0.3">
      <c r="J28345"/>
    </row>
    <row r="28346" spans="10:10" x14ac:dyDescent="0.3">
      <c r="J28346"/>
    </row>
    <row r="28347" spans="10:10" x14ac:dyDescent="0.3">
      <c r="J28347"/>
    </row>
    <row r="28348" spans="10:10" x14ac:dyDescent="0.3">
      <c r="J28348"/>
    </row>
    <row r="28349" spans="10:10" x14ac:dyDescent="0.3">
      <c r="J28349"/>
    </row>
    <row r="28350" spans="10:10" x14ac:dyDescent="0.3">
      <c r="J28350"/>
    </row>
    <row r="28351" spans="10:10" x14ac:dyDescent="0.3">
      <c r="J28351"/>
    </row>
    <row r="28352" spans="10:10" x14ac:dyDescent="0.3">
      <c r="J28352"/>
    </row>
    <row r="28353" spans="10:10" x14ac:dyDescent="0.3">
      <c r="J28353"/>
    </row>
    <row r="28354" spans="10:10" x14ac:dyDescent="0.3">
      <c r="J28354"/>
    </row>
    <row r="28355" spans="10:10" x14ac:dyDescent="0.3">
      <c r="J28355"/>
    </row>
    <row r="28356" spans="10:10" x14ac:dyDescent="0.3">
      <c r="J28356"/>
    </row>
    <row r="28357" spans="10:10" x14ac:dyDescent="0.3">
      <c r="J28357"/>
    </row>
    <row r="28358" spans="10:10" x14ac:dyDescent="0.3">
      <c r="J28358"/>
    </row>
    <row r="28359" spans="10:10" x14ac:dyDescent="0.3">
      <c r="J28359"/>
    </row>
    <row r="28360" spans="10:10" x14ac:dyDescent="0.3">
      <c r="J28360"/>
    </row>
    <row r="28361" spans="10:10" x14ac:dyDescent="0.3">
      <c r="J28361"/>
    </row>
    <row r="28362" spans="10:10" x14ac:dyDescent="0.3">
      <c r="J28362"/>
    </row>
    <row r="28363" spans="10:10" x14ac:dyDescent="0.3">
      <c r="J28363"/>
    </row>
    <row r="28364" spans="10:10" x14ac:dyDescent="0.3">
      <c r="J28364"/>
    </row>
    <row r="28365" spans="10:10" x14ac:dyDescent="0.3">
      <c r="J28365"/>
    </row>
    <row r="28366" spans="10:10" x14ac:dyDescent="0.3">
      <c r="J28366"/>
    </row>
    <row r="28367" spans="10:10" x14ac:dyDescent="0.3">
      <c r="J28367"/>
    </row>
    <row r="28368" spans="10:10" x14ac:dyDescent="0.3">
      <c r="J28368"/>
    </row>
    <row r="28369" spans="10:10" x14ac:dyDescent="0.3">
      <c r="J28369"/>
    </row>
    <row r="28370" spans="10:10" x14ac:dyDescent="0.3">
      <c r="J28370"/>
    </row>
    <row r="28371" spans="10:10" x14ac:dyDescent="0.3">
      <c r="J28371"/>
    </row>
    <row r="28372" spans="10:10" x14ac:dyDescent="0.3">
      <c r="J28372"/>
    </row>
    <row r="28373" spans="10:10" x14ac:dyDescent="0.3">
      <c r="J28373"/>
    </row>
    <row r="28374" spans="10:10" x14ac:dyDescent="0.3">
      <c r="J28374"/>
    </row>
    <row r="28375" spans="10:10" x14ac:dyDescent="0.3">
      <c r="J28375"/>
    </row>
    <row r="28376" spans="10:10" x14ac:dyDescent="0.3">
      <c r="J28376"/>
    </row>
    <row r="28377" spans="10:10" x14ac:dyDescent="0.3">
      <c r="J28377"/>
    </row>
    <row r="28378" spans="10:10" x14ac:dyDescent="0.3">
      <c r="J28378"/>
    </row>
    <row r="28379" spans="10:10" x14ac:dyDescent="0.3">
      <c r="J28379"/>
    </row>
    <row r="28380" spans="10:10" x14ac:dyDescent="0.3">
      <c r="J28380"/>
    </row>
    <row r="28381" spans="10:10" x14ac:dyDescent="0.3">
      <c r="J28381"/>
    </row>
    <row r="28382" spans="10:10" x14ac:dyDescent="0.3">
      <c r="J28382"/>
    </row>
    <row r="28383" spans="10:10" x14ac:dyDescent="0.3">
      <c r="J28383"/>
    </row>
    <row r="28384" spans="10:10" x14ac:dyDescent="0.3">
      <c r="J28384"/>
    </row>
    <row r="28385" spans="10:10" x14ac:dyDescent="0.3">
      <c r="J28385"/>
    </row>
    <row r="28386" spans="10:10" x14ac:dyDescent="0.3">
      <c r="J28386"/>
    </row>
    <row r="28387" spans="10:10" x14ac:dyDescent="0.3">
      <c r="J28387"/>
    </row>
    <row r="28388" spans="10:10" x14ac:dyDescent="0.3">
      <c r="J28388"/>
    </row>
    <row r="28389" spans="10:10" x14ac:dyDescent="0.3">
      <c r="J28389"/>
    </row>
    <row r="28390" spans="10:10" x14ac:dyDescent="0.3">
      <c r="J28390"/>
    </row>
    <row r="28391" spans="10:10" x14ac:dyDescent="0.3">
      <c r="J28391"/>
    </row>
    <row r="28392" spans="10:10" x14ac:dyDescent="0.3">
      <c r="J28392"/>
    </row>
    <row r="28393" spans="10:10" x14ac:dyDescent="0.3">
      <c r="J28393"/>
    </row>
    <row r="28394" spans="10:10" x14ac:dyDescent="0.3">
      <c r="J28394"/>
    </row>
    <row r="28395" spans="10:10" x14ac:dyDescent="0.3">
      <c r="J28395"/>
    </row>
    <row r="28396" spans="10:10" x14ac:dyDescent="0.3">
      <c r="J28396"/>
    </row>
    <row r="28397" spans="10:10" x14ac:dyDescent="0.3">
      <c r="J28397"/>
    </row>
    <row r="28398" spans="10:10" x14ac:dyDescent="0.3">
      <c r="J28398"/>
    </row>
    <row r="28399" spans="10:10" x14ac:dyDescent="0.3">
      <c r="J28399"/>
    </row>
    <row r="28400" spans="10:10" x14ac:dyDescent="0.3">
      <c r="J28400"/>
    </row>
    <row r="28401" spans="10:10" x14ac:dyDescent="0.3">
      <c r="J28401"/>
    </row>
    <row r="28402" spans="10:10" x14ac:dyDescent="0.3">
      <c r="J28402"/>
    </row>
    <row r="28403" spans="10:10" x14ac:dyDescent="0.3">
      <c r="J28403"/>
    </row>
    <row r="28404" spans="10:10" x14ac:dyDescent="0.3">
      <c r="J28404"/>
    </row>
    <row r="28405" spans="10:10" x14ac:dyDescent="0.3">
      <c r="J28405"/>
    </row>
    <row r="28406" spans="10:10" x14ac:dyDescent="0.3">
      <c r="J28406"/>
    </row>
    <row r="28407" spans="10:10" x14ac:dyDescent="0.3">
      <c r="J28407"/>
    </row>
    <row r="28408" spans="10:10" x14ac:dyDescent="0.3">
      <c r="J28408"/>
    </row>
    <row r="28409" spans="10:10" x14ac:dyDescent="0.3">
      <c r="J28409"/>
    </row>
    <row r="28410" spans="10:10" x14ac:dyDescent="0.3">
      <c r="J28410"/>
    </row>
    <row r="28411" spans="10:10" x14ac:dyDescent="0.3">
      <c r="J28411"/>
    </row>
    <row r="28412" spans="10:10" x14ac:dyDescent="0.3">
      <c r="J28412"/>
    </row>
    <row r="28413" spans="10:10" x14ac:dyDescent="0.3">
      <c r="J28413"/>
    </row>
    <row r="28414" spans="10:10" x14ac:dyDescent="0.3">
      <c r="J28414"/>
    </row>
    <row r="28415" spans="10:10" x14ac:dyDescent="0.3">
      <c r="J28415"/>
    </row>
    <row r="28416" spans="10:10" x14ac:dyDescent="0.3">
      <c r="J28416"/>
    </row>
    <row r="28417" spans="10:10" x14ac:dyDescent="0.3">
      <c r="J28417"/>
    </row>
    <row r="28418" spans="10:10" x14ac:dyDescent="0.3">
      <c r="J28418"/>
    </row>
    <row r="28419" spans="10:10" x14ac:dyDescent="0.3">
      <c r="J28419"/>
    </row>
    <row r="28420" spans="10:10" x14ac:dyDescent="0.3">
      <c r="J28420"/>
    </row>
    <row r="28421" spans="10:10" x14ac:dyDescent="0.3">
      <c r="J28421"/>
    </row>
    <row r="28422" spans="10:10" x14ac:dyDescent="0.3">
      <c r="J28422"/>
    </row>
    <row r="28423" spans="10:10" x14ac:dyDescent="0.3">
      <c r="J28423"/>
    </row>
    <row r="28424" spans="10:10" x14ac:dyDescent="0.3">
      <c r="J28424"/>
    </row>
    <row r="28425" spans="10:10" x14ac:dyDescent="0.3">
      <c r="J28425"/>
    </row>
    <row r="28426" spans="10:10" x14ac:dyDescent="0.3">
      <c r="J28426"/>
    </row>
    <row r="28427" spans="10:10" x14ac:dyDescent="0.3">
      <c r="J28427"/>
    </row>
    <row r="28428" spans="10:10" x14ac:dyDescent="0.3">
      <c r="J28428"/>
    </row>
    <row r="28429" spans="10:10" x14ac:dyDescent="0.3">
      <c r="J28429"/>
    </row>
    <row r="28430" spans="10:10" x14ac:dyDescent="0.3">
      <c r="J28430"/>
    </row>
    <row r="28431" spans="10:10" x14ac:dyDescent="0.3">
      <c r="J28431"/>
    </row>
    <row r="28432" spans="10:10" x14ac:dyDescent="0.3">
      <c r="J28432"/>
    </row>
    <row r="28433" spans="10:10" x14ac:dyDescent="0.3">
      <c r="J28433"/>
    </row>
    <row r="28434" spans="10:10" x14ac:dyDescent="0.3">
      <c r="J28434"/>
    </row>
    <row r="28435" spans="10:10" x14ac:dyDescent="0.3">
      <c r="J28435"/>
    </row>
    <row r="28436" spans="10:10" x14ac:dyDescent="0.3">
      <c r="J28436"/>
    </row>
    <row r="28437" spans="10:10" x14ac:dyDescent="0.3">
      <c r="J28437"/>
    </row>
    <row r="28438" spans="10:10" x14ac:dyDescent="0.3">
      <c r="J28438"/>
    </row>
    <row r="28439" spans="10:10" x14ac:dyDescent="0.3">
      <c r="J28439"/>
    </row>
    <row r="28440" spans="10:10" x14ac:dyDescent="0.3">
      <c r="J28440"/>
    </row>
    <row r="28441" spans="10:10" x14ac:dyDescent="0.3">
      <c r="J28441"/>
    </row>
    <row r="28442" spans="10:10" x14ac:dyDescent="0.3">
      <c r="J28442"/>
    </row>
    <row r="28443" spans="10:10" x14ac:dyDescent="0.3">
      <c r="J28443"/>
    </row>
    <row r="28444" spans="10:10" x14ac:dyDescent="0.3">
      <c r="J28444"/>
    </row>
    <row r="28445" spans="10:10" x14ac:dyDescent="0.3">
      <c r="J28445"/>
    </row>
    <row r="28446" spans="10:10" x14ac:dyDescent="0.3">
      <c r="J28446"/>
    </row>
    <row r="28447" spans="10:10" x14ac:dyDescent="0.3">
      <c r="J28447"/>
    </row>
    <row r="28448" spans="10:10" x14ac:dyDescent="0.3">
      <c r="J28448"/>
    </row>
    <row r="28449" spans="10:10" x14ac:dyDescent="0.3">
      <c r="J28449"/>
    </row>
    <row r="28450" spans="10:10" x14ac:dyDescent="0.3">
      <c r="J28450"/>
    </row>
    <row r="28451" spans="10:10" x14ac:dyDescent="0.3">
      <c r="J28451"/>
    </row>
    <row r="28452" spans="10:10" x14ac:dyDescent="0.3">
      <c r="J28452"/>
    </row>
    <row r="28453" spans="10:10" x14ac:dyDescent="0.3">
      <c r="J28453"/>
    </row>
    <row r="28454" spans="10:10" x14ac:dyDescent="0.3">
      <c r="J28454"/>
    </row>
    <row r="28455" spans="10:10" x14ac:dyDescent="0.3">
      <c r="J28455"/>
    </row>
    <row r="28456" spans="10:10" x14ac:dyDescent="0.3">
      <c r="J28456"/>
    </row>
    <row r="28457" spans="10:10" x14ac:dyDescent="0.3">
      <c r="J28457"/>
    </row>
    <row r="28458" spans="10:10" x14ac:dyDescent="0.3">
      <c r="J28458"/>
    </row>
    <row r="28459" spans="10:10" x14ac:dyDescent="0.3">
      <c r="J28459"/>
    </row>
    <row r="28460" spans="10:10" x14ac:dyDescent="0.3">
      <c r="J28460"/>
    </row>
    <row r="28461" spans="10:10" x14ac:dyDescent="0.3">
      <c r="J28461"/>
    </row>
    <row r="28462" spans="10:10" x14ac:dyDescent="0.3">
      <c r="J28462"/>
    </row>
    <row r="28463" spans="10:10" x14ac:dyDescent="0.3">
      <c r="J28463"/>
    </row>
    <row r="28464" spans="10:10" x14ac:dyDescent="0.3">
      <c r="J28464"/>
    </row>
    <row r="28465" spans="10:10" x14ac:dyDescent="0.3">
      <c r="J28465"/>
    </row>
    <row r="28466" spans="10:10" x14ac:dyDescent="0.3">
      <c r="J28466"/>
    </row>
    <row r="28467" spans="10:10" x14ac:dyDescent="0.3">
      <c r="J28467"/>
    </row>
    <row r="28468" spans="10:10" x14ac:dyDescent="0.3">
      <c r="J28468"/>
    </row>
    <row r="28469" spans="10:10" x14ac:dyDescent="0.3">
      <c r="J28469"/>
    </row>
    <row r="28470" spans="10:10" x14ac:dyDescent="0.3">
      <c r="J28470"/>
    </row>
    <row r="28471" spans="10:10" x14ac:dyDescent="0.3">
      <c r="J28471"/>
    </row>
    <row r="28472" spans="10:10" x14ac:dyDescent="0.3">
      <c r="J28472"/>
    </row>
    <row r="28473" spans="10:10" x14ac:dyDescent="0.3">
      <c r="J28473"/>
    </row>
    <row r="28474" spans="10:10" x14ac:dyDescent="0.3">
      <c r="J28474"/>
    </row>
    <row r="28475" spans="10:10" x14ac:dyDescent="0.3">
      <c r="J28475"/>
    </row>
    <row r="28476" spans="10:10" x14ac:dyDescent="0.3">
      <c r="J28476"/>
    </row>
    <row r="28477" spans="10:10" x14ac:dyDescent="0.3">
      <c r="J28477"/>
    </row>
    <row r="28478" spans="10:10" x14ac:dyDescent="0.3">
      <c r="J28478"/>
    </row>
    <row r="28479" spans="10:10" x14ac:dyDescent="0.3">
      <c r="J28479"/>
    </row>
    <row r="28480" spans="10:10" x14ac:dyDescent="0.3">
      <c r="J28480"/>
    </row>
    <row r="28481" spans="10:10" x14ac:dyDescent="0.3">
      <c r="J28481"/>
    </row>
    <row r="28482" spans="10:10" x14ac:dyDescent="0.3">
      <c r="J28482"/>
    </row>
    <row r="28483" spans="10:10" x14ac:dyDescent="0.3">
      <c r="J28483"/>
    </row>
    <row r="28484" spans="10:10" x14ac:dyDescent="0.3">
      <c r="J28484"/>
    </row>
    <row r="28485" spans="10:10" x14ac:dyDescent="0.3">
      <c r="J28485"/>
    </row>
    <row r="28486" spans="10:10" x14ac:dyDescent="0.3">
      <c r="J28486"/>
    </row>
    <row r="28487" spans="10:10" x14ac:dyDescent="0.3">
      <c r="J28487"/>
    </row>
    <row r="28488" spans="10:10" x14ac:dyDescent="0.3">
      <c r="J28488"/>
    </row>
    <row r="28489" spans="10:10" x14ac:dyDescent="0.3">
      <c r="J28489"/>
    </row>
    <row r="28490" spans="10:10" x14ac:dyDescent="0.3">
      <c r="J28490"/>
    </row>
    <row r="28491" spans="10:10" x14ac:dyDescent="0.3">
      <c r="J28491"/>
    </row>
    <row r="28492" spans="10:10" x14ac:dyDescent="0.3">
      <c r="J28492"/>
    </row>
    <row r="28493" spans="10:10" x14ac:dyDescent="0.3">
      <c r="J28493"/>
    </row>
    <row r="28494" spans="10:10" x14ac:dyDescent="0.3">
      <c r="J28494"/>
    </row>
    <row r="28495" spans="10:10" x14ac:dyDescent="0.3">
      <c r="J28495"/>
    </row>
    <row r="28496" spans="10:10" x14ac:dyDescent="0.3">
      <c r="J28496"/>
    </row>
    <row r="28497" spans="10:10" x14ac:dyDescent="0.3">
      <c r="J28497"/>
    </row>
    <row r="28498" spans="10:10" x14ac:dyDescent="0.3">
      <c r="J28498"/>
    </row>
    <row r="28499" spans="10:10" x14ac:dyDescent="0.3">
      <c r="J28499"/>
    </row>
    <row r="28500" spans="10:10" x14ac:dyDescent="0.3">
      <c r="J28500"/>
    </row>
    <row r="28501" spans="10:10" x14ac:dyDescent="0.3">
      <c r="J28501"/>
    </row>
    <row r="28502" spans="10:10" x14ac:dyDescent="0.3">
      <c r="J28502"/>
    </row>
    <row r="28503" spans="10:10" x14ac:dyDescent="0.3">
      <c r="J28503"/>
    </row>
    <row r="28504" spans="10:10" x14ac:dyDescent="0.3">
      <c r="J28504"/>
    </row>
    <row r="28505" spans="10:10" x14ac:dyDescent="0.3">
      <c r="J28505"/>
    </row>
    <row r="28506" spans="10:10" x14ac:dyDescent="0.3">
      <c r="J28506"/>
    </row>
    <row r="28507" spans="10:10" x14ac:dyDescent="0.3">
      <c r="J28507"/>
    </row>
    <row r="28508" spans="10:10" x14ac:dyDescent="0.3">
      <c r="J28508"/>
    </row>
    <row r="28509" spans="10:10" x14ac:dyDescent="0.3">
      <c r="J28509"/>
    </row>
    <row r="28510" spans="10:10" x14ac:dyDescent="0.3">
      <c r="J28510"/>
    </row>
    <row r="28511" spans="10:10" x14ac:dyDescent="0.3">
      <c r="J28511"/>
    </row>
    <row r="28512" spans="10:10" x14ac:dyDescent="0.3">
      <c r="J28512"/>
    </row>
    <row r="28513" spans="10:10" x14ac:dyDescent="0.3">
      <c r="J28513"/>
    </row>
    <row r="28514" spans="10:10" x14ac:dyDescent="0.3">
      <c r="J28514"/>
    </row>
    <row r="28515" spans="10:10" x14ac:dyDescent="0.3">
      <c r="J28515"/>
    </row>
    <row r="28516" spans="10:10" x14ac:dyDescent="0.3">
      <c r="J28516"/>
    </row>
    <row r="28517" spans="10:10" x14ac:dyDescent="0.3">
      <c r="J28517"/>
    </row>
    <row r="28518" spans="10:10" x14ac:dyDescent="0.3">
      <c r="J28518"/>
    </row>
    <row r="28519" spans="10:10" x14ac:dyDescent="0.3">
      <c r="J28519"/>
    </row>
    <row r="28520" spans="10:10" x14ac:dyDescent="0.3">
      <c r="J28520"/>
    </row>
    <row r="28521" spans="10:10" x14ac:dyDescent="0.3">
      <c r="J28521"/>
    </row>
    <row r="28522" spans="10:10" x14ac:dyDescent="0.3">
      <c r="J28522"/>
    </row>
    <row r="28523" spans="10:10" x14ac:dyDescent="0.3">
      <c r="J28523"/>
    </row>
    <row r="28524" spans="10:10" x14ac:dyDescent="0.3">
      <c r="J28524"/>
    </row>
    <row r="28525" spans="10:10" x14ac:dyDescent="0.3">
      <c r="J28525"/>
    </row>
    <row r="28526" spans="10:10" x14ac:dyDescent="0.3">
      <c r="J28526"/>
    </row>
    <row r="28527" spans="10:10" x14ac:dyDescent="0.3">
      <c r="J28527"/>
    </row>
    <row r="28528" spans="10:10" x14ac:dyDescent="0.3">
      <c r="J28528"/>
    </row>
    <row r="28529" spans="10:10" x14ac:dyDescent="0.3">
      <c r="J28529"/>
    </row>
    <row r="28530" spans="10:10" x14ac:dyDescent="0.3">
      <c r="J28530"/>
    </row>
    <row r="28531" spans="10:10" x14ac:dyDescent="0.3">
      <c r="J28531"/>
    </row>
    <row r="28532" spans="10:10" x14ac:dyDescent="0.3">
      <c r="J28532"/>
    </row>
    <row r="28533" spans="10:10" x14ac:dyDescent="0.3">
      <c r="J28533"/>
    </row>
    <row r="28534" spans="10:10" x14ac:dyDescent="0.3">
      <c r="J28534"/>
    </row>
    <row r="28535" spans="10:10" x14ac:dyDescent="0.3">
      <c r="J28535"/>
    </row>
    <row r="28536" spans="10:10" x14ac:dyDescent="0.3">
      <c r="J28536"/>
    </row>
    <row r="28537" spans="10:10" x14ac:dyDescent="0.3">
      <c r="J28537"/>
    </row>
    <row r="28538" spans="10:10" x14ac:dyDescent="0.3">
      <c r="J28538"/>
    </row>
    <row r="28539" spans="10:10" x14ac:dyDescent="0.3">
      <c r="J28539"/>
    </row>
    <row r="28540" spans="10:10" x14ac:dyDescent="0.3">
      <c r="J28540"/>
    </row>
    <row r="28541" spans="10:10" x14ac:dyDescent="0.3">
      <c r="J28541"/>
    </row>
    <row r="28542" spans="10:10" x14ac:dyDescent="0.3">
      <c r="J28542"/>
    </row>
    <row r="28543" spans="10:10" x14ac:dyDescent="0.3">
      <c r="J28543"/>
    </row>
    <row r="28544" spans="10:10" x14ac:dyDescent="0.3">
      <c r="J28544"/>
    </row>
    <row r="28545" spans="10:10" x14ac:dyDescent="0.3">
      <c r="J28545"/>
    </row>
    <row r="28546" spans="10:10" x14ac:dyDescent="0.3">
      <c r="J28546"/>
    </row>
    <row r="28547" spans="10:10" x14ac:dyDescent="0.3">
      <c r="J28547"/>
    </row>
    <row r="28548" spans="10:10" x14ac:dyDescent="0.3">
      <c r="J28548"/>
    </row>
    <row r="28549" spans="10:10" x14ac:dyDescent="0.3">
      <c r="J28549"/>
    </row>
    <row r="28550" spans="10:10" x14ac:dyDescent="0.3">
      <c r="J28550"/>
    </row>
    <row r="28551" spans="10:10" x14ac:dyDescent="0.3">
      <c r="J28551"/>
    </row>
    <row r="28552" spans="10:10" x14ac:dyDescent="0.3">
      <c r="J28552"/>
    </row>
    <row r="28553" spans="10:10" x14ac:dyDescent="0.3">
      <c r="J28553"/>
    </row>
    <row r="28554" spans="10:10" x14ac:dyDescent="0.3">
      <c r="J28554"/>
    </row>
    <row r="28555" spans="10:10" x14ac:dyDescent="0.3">
      <c r="J28555"/>
    </row>
    <row r="28556" spans="10:10" x14ac:dyDescent="0.3">
      <c r="J28556"/>
    </row>
    <row r="28557" spans="10:10" x14ac:dyDescent="0.3">
      <c r="J28557"/>
    </row>
    <row r="28558" spans="10:10" x14ac:dyDescent="0.3">
      <c r="J28558"/>
    </row>
    <row r="28559" spans="10:10" x14ac:dyDescent="0.3">
      <c r="J28559"/>
    </row>
    <row r="28560" spans="10:10" x14ac:dyDescent="0.3">
      <c r="J28560"/>
    </row>
    <row r="28561" spans="10:10" x14ac:dyDescent="0.3">
      <c r="J28561"/>
    </row>
    <row r="28562" spans="10:10" x14ac:dyDescent="0.3">
      <c r="J28562"/>
    </row>
    <row r="28563" spans="10:10" x14ac:dyDescent="0.3">
      <c r="J28563"/>
    </row>
    <row r="28564" spans="10:10" x14ac:dyDescent="0.3">
      <c r="J28564"/>
    </row>
    <row r="28565" spans="10:10" x14ac:dyDescent="0.3">
      <c r="J28565"/>
    </row>
    <row r="28566" spans="10:10" x14ac:dyDescent="0.3">
      <c r="J28566"/>
    </row>
    <row r="28567" spans="10:10" x14ac:dyDescent="0.3">
      <c r="J28567"/>
    </row>
    <row r="28568" spans="10:10" x14ac:dyDescent="0.3">
      <c r="J28568"/>
    </row>
    <row r="28569" spans="10:10" x14ac:dyDescent="0.3">
      <c r="J28569"/>
    </row>
    <row r="28570" spans="10:10" x14ac:dyDescent="0.3">
      <c r="J28570"/>
    </row>
    <row r="28571" spans="10:10" x14ac:dyDescent="0.3">
      <c r="J28571"/>
    </row>
    <row r="28572" spans="10:10" x14ac:dyDescent="0.3">
      <c r="J28572"/>
    </row>
    <row r="28573" spans="10:10" x14ac:dyDescent="0.3">
      <c r="J28573"/>
    </row>
    <row r="28574" spans="10:10" x14ac:dyDescent="0.3">
      <c r="J28574"/>
    </row>
    <row r="28575" spans="10:10" x14ac:dyDescent="0.3">
      <c r="J28575"/>
    </row>
    <row r="28576" spans="10:10" x14ac:dyDescent="0.3">
      <c r="J28576"/>
    </row>
    <row r="28577" spans="10:10" x14ac:dyDescent="0.3">
      <c r="J28577"/>
    </row>
    <row r="28578" spans="10:10" x14ac:dyDescent="0.3">
      <c r="J28578"/>
    </row>
    <row r="28579" spans="10:10" x14ac:dyDescent="0.3">
      <c r="J28579"/>
    </row>
    <row r="28580" spans="10:10" x14ac:dyDescent="0.3">
      <c r="J28580"/>
    </row>
    <row r="28581" spans="10:10" x14ac:dyDescent="0.3">
      <c r="J28581"/>
    </row>
    <row r="28582" spans="10:10" x14ac:dyDescent="0.3">
      <c r="J28582"/>
    </row>
    <row r="28583" spans="10:10" x14ac:dyDescent="0.3">
      <c r="J28583"/>
    </row>
    <row r="28584" spans="10:10" x14ac:dyDescent="0.3">
      <c r="J28584"/>
    </row>
    <row r="28585" spans="10:10" x14ac:dyDescent="0.3">
      <c r="J28585"/>
    </row>
    <row r="28586" spans="10:10" x14ac:dyDescent="0.3">
      <c r="J28586"/>
    </row>
    <row r="28587" spans="10:10" x14ac:dyDescent="0.3">
      <c r="J28587"/>
    </row>
    <row r="28588" spans="10:10" x14ac:dyDescent="0.3">
      <c r="J28588"/>
    </row>
    <row r="28589" spans="10:10" x14ac:dyDescent="0.3">
      <c r="J28589"/>
    </row>
    <row r="28590" spans="10:10" x14ac:dyDescent="0.3">
      <c r="J28590"/>
    </row>
    <row r="28591" spans="10:10" x14ac:dyDescent="0.3">
      <c r="J28591"/>
    </row>
    <row r="28592" spans="10:10" x14ac:dyDescent="0.3">
      <c r="J28592"/>
    </row>
    <row r="28593" spans="10:10" x14ac:dyDescent="0.3">
      <c r="J28593"/>
    </row>
    <row r="28594" spans="10:10" x14ac:dyDescent="0.3">
      <c r="J28594"/>
    </row>
    <row r="28595" spans="10:10" x14ac:dyDescent="0.3">
      <c r="J28595"/>
    </row>
    <row r="28596" spans="10:10" x14ac:dyDescent="0.3">
      <c r="J28596"/>
    </row>
    <row r="28597" spans="10:10" x14ac:dyDescent="0.3">
      <c r="J28597"/>
    </row>
    <row r="28598" spans="10:10" x14ac:dyDescent="0.3">
      <c r="J28598"/>
    </row>
    <row r="28599" spans="10:10" x14ac:dyDescent="0.3">
      <c r="J28599"/>
    </row>
    <row r="28600" spans="10:10" x14ac:dyDescent="0.3">
      <c r="J28600"/>
    </row>
    <row r="28601" spans="10:10" x14ac:dyDescent="0.3">
      <c r="J28601"/>
    </row>
    <row r="28602" spans="10:10" x14ac:dyDescent="0.3">
      <c r="J28602"/>
    </row>
    <row r="28603" spans="10:10" x14ac:dyDescent="0.3">
      <c r="J28603"/>
    </row>
    <row r="28604" spans="10:10" x14ac:dyDescent="0.3">
      <c r="J28604"/>
    </row>
    <row r="28605" spans="10:10" x14ac:dyDescent="0.3">
      <c r="J28605"/>
    </row>
    <row r="28606" spans="10:10" x14ac:dyDescent="0.3">
      <c r="J28606"/>
    </row>
    <row r="28607" spans="10:10" x14ac:dyDescent="0.3">
      <c r="J28607"/>
    </row>
    <row r="28608" spans="10:10" x14ac:dyDescent="0.3">
      <c r="J28608"/>
    </row>
    <row r="28609" spans="10:10" x14ac:dyDescent="0.3">
      <c r="J28609"/>
    </row>
    <row r="28610" spans="10:10" x14ac:dyDescent="0.3">
      <c r="J28610"/>
    </row>
    <row r="28611" spans="10:10" x14ac:dyDescent="0.3">
      <c r="J28611"/>
    </row>
    <row r="28612" spans="10:10" x14ac:dyDescent="0.3">
      <c r="J28612"/>
    </row>
    <row r="28613" spans="10:10" x14ac:dyDescent="0.3">
      <c r="J28613"/>
    </row>
    <row r="28614" spans="10:10" x14ac:dyDescent="0.3">
      <c r="J28614"/>
    </row>
    <row r="28615" spans="10:10" x14ac:dyDescent="0.3">
      <c r="J28615"/>
    </row>
    <row r="28616" spans="10:10" x14ac:dyDescent="0.3">
      <c r="J28616"/>
    </row>
    <row r="28617" spans="10:10" x14ac:dyDescent="0.3">
      <c r="J28617"/>
    </row>
    <row r="28618" spans="10:10" x14ac:dyDescent="0.3">
      <c r="J28618"/>
    </row>
    <row r="28619" spans="10:10" x14ac:dyDescent="0.3">
      <c r="J28619"/>
    </row>
    <row r="28620" spans="10:10" x14ac:dyDescent="0.3">
      <c r="J28620"/>
    </row>
    <row r="28621" spans="10:10" x14ac:dyDescent="0.3">
      <c r="J28621"/>
    </row>
    <row r="28622" spans="10:10" x14ac:dyDescent="0.3">
      <c r="J28622"/>
    </row>
    <row r="28623" spans="10:10" x14ac:dyDescent="0.3">
      <c r="J28623"/>
    </row>
    <row r="28624" spans="10:10" x14ac:dyDescent="0.3">
      <c r="J28624"/>
    </row>
    <row r="28625" spans="10:10" x14ac:dyDescent="0.3">
      <c r="J28625"/>
    </row>
    <row r="28626" spans="10:10" x14ac:dyDescent="0.3">
      <c r="J28626"/>
    </row>
    <row r="28627" spans="10:10" x14ac:dyDescent="0.3">
      <c r="J28627"/>
    </row>
    <row r="28628" spans="10:10" x14ac:dyDescent="0.3">
      <c r="J28628"/>
    </row>
    <row r="28629" spans="10:10" x14ac:dyDescent="0.3">
      <c r="J28629"/>
    </row>
    <row r="28630" spans="10:10" x14ac:dyDescent="0.3">
      <c r="J28630"/>
    </row>
    <row r="28631" spans="10:10" x14ac:dyDescent="0.3">
      <c r="J28631"/>
    </row>
    <row r="28632" spans="10:10" x14ac:dyDescent="0.3">
      <c r="J28632"/>
    </row>
    <row r="28633" spans="10:10" x14ac:dyDescent="0.3">
      <c r="J28633"/>
    </row>
    <row r="28634" spans="10:10" x14ac:dyDescent="0.3">
      <c r="J28634"/>
    </row>
    <row r="28635" spans="10:10" x14ac:dyDescent="0.3">
      <c r="J28635"/>
    </row>
    <row r="28636" spans="10:10" x14ac:dyDescent="0.3">
      <c r="J28636"/>
    </row>
    <row r="28637" spans="10:10" x14ac:dyDescent="0.3">
      <c r="J28637"/>
    </row>
    <row r="28638" spans="10:10" x14ac:dyDescent="0.3">
      <c r="J28638"/>
    </row>
    <row r="28639" spans="10:10" x14ac:dyDescent="0.3">
      <c r="J28639"/>
    </row>
    <row r="28640" spans="10:10" x14ac:dyDescent="0.3">
      <c r="J28640"/>
    </row>
    <row r="28641" spans="10:10" x14ac:dyDescent="0.3">
      <c r="J28641"/>
    </row>
    <row r="28642" spans="10:10" x14ac:dyDescent="0.3">
      <c r="J28642"/>
    </row>
    <row r="28643" spans="10:10" x14ac:dyDescent="0.3">
      <c r="J28643"/>
    </row>
    <row r="28644" spans="10:10" x14ac:dyDescent="0.3">
      <c r="J28644"/>
    </row>
    <row r="28645" spans="10:10" x14ac:dyDescent="0.3">
      <c r="J28645"/>
    </row>
    <row r="28646" spans="10:10" x14ac:dyDescent="0.3">
      <c r="J28646"/>
    </row>
    <row r="28647" spans="10:10" x14ac:dyDescent="0.3">
      <c r="J28647"/>
    </row>
    <row r="28648" spans="10:10" x14ac:dyDescent="0.3">
      <c r="J28648"/>
    </row>
    <row r="28649" spans="10:10" x14ac:dyDescent="0.3">
      <c r="J28649"/>
    </row>
    <row r="28650" spans="10:10" x14ac:dyDescent="0.3">
      <c r="J28650"/>
    </row>
    <row r="28651" spans="10:10" x14ac:dyDescent="0.3">
      <c r="J28651"/>
    </row>
    <row r="28652" spans="10:10" x14ac:dyDescent="0.3">
      <c r="J28652"/>
    </row>
    <row r="28653" spans="10:10" x14ac:dyDescent="0.3">
      <c r="J28653"/>
    </row>
    <row r="28654" spans="10:10" x14ac:dyDescent="0.3">
      <c r="J28654"/>
    </row>
    <row r="28655" spans="10:10" x14ac:dyDescent="0.3">
      <c r="J28655"/>
    </row>
    <row r="28656" spans="10:10" x14ac:dyDescent="0.3">
      <c r="J28656"/>
    </row>
    <row r="28657" spans="10:10" x14ac:dyDescent="0.3">
      <c r="J28657"/>
    </row>
    <row r="28658" spans="10:10" x14ac:dyDescent="0.3">
      <c r="J28658"/>
    </row>
    <row r="28659" spans="10:10" x14ac:dyDescent="0.3">
      <c r="J28659"/>
    </row>
    <row r="28660" spans="10:10" x14ac:dyDescent="0.3">
      <c r="J28660"/>
    </row>
    <row r="28661" spans="10:10" x14ac:dyDescent="0.3">
      <c r="J28661"/>
    </row>
    <row r="28662" spans="10:10" x14ac:dyDescent="0.3">
      <c r="J28662"/>
    </row>
    <row r="28663" spans="10:10" x14ac:dyDescent="0.3">
      <c r="J28663"/>
    </row>
    <row r="28664" spans="10:10" x14ac:dyDescent="0.3">
      <c r="J28664"/>
    </row>
    <row r="28665" spans="10:10" x14ac:dyDescent="0.3">
      <c r="J28665"/>
    </row>
    <row r="28666" spans="10:10" x14ac:dyDescent="0.3">
      <c r="J28666"/>
    </row>
    <row r="28667" spans="10:10" x14ac:dyDescent="0.3">
      <c r="J28667"/>
    </row>
    <row r="28668" spans="10:10" x14ac:dyDescent="0.3">
      <c r="J28668"/>
    </row>
    <row r="28669" spans="10:10" x14ac:dyDescent="0.3">
      <c r="J28669"/>
    </row>
    <row r="28670" spans="10:10" x14ac:dyDescent="0.3">
      <c r="J28670"/>
    </row>
    <row r="28671" spans="10:10" x14ac:dyDescent="0.3">
      <c r="J28671"/>
    </row>
    <row r="28672" spans="10:10" x14ac:dyDescent="0.3">
      <c r="J28672"/>
    </row>
    <row r="28673" spans="10:10" x14ac:dyDescent="0.3">
      <c r="J28673"/>
    </row>
    <row r="28674" spans="10:10" x14ac:dyDescent="0.3">
      <c r="J28674"/>
    </row>
    <row r="28675" spans="10:10" x14ac:dyDescent="0.3">
      <c r="J28675"/>
    </row>
    <row r="28676" spans="10:10" x14ac:dyDescent="0.3">
      <c r="J28676"/>
    </row>
    <row r="28677" spans="10:10" x14ac:dyDescent="0.3">
      <c r="J28677"/>
    </row>
    <row r="28678" spans="10:10" x14ac:dyDescent="0.3">
      <c r="J28678"/>
    </row>
    <row r="28679" spans="10:10" x14ac:dyDescent="0.3">
      <c r="J28679"/>
    </row>
    <row r="28680" spans="10:10" x14ac:dyDescent="0.3">
      <c r="J28680"/>
    </row>
    <row r="28681" spans="10:10" x14ac:dyDescent="0.3">
      <c r="J28681"/>
    </row>
    <row r="28682" spans="10:10" x14ac:dyDescent="0.3">
      <c r="J28682"/>
    </row>
    <row r="28683" spans="10:10" x14ac:dyDescent="0.3">
      <c r="J28683"/>
    </row>
    <row r="28684" spans="10:10" x14ac:dyDescent="0.3">
      <c r="J28684"/>
    </row>
    <row r="28685" spans="10:10" x14ac:dyDescent="0.3">
      <c r="J28685"/>
    </row>
    <row r="28686" spans="10:10" x14ac:dyDescent="0.3">
      <c r="J28686"/>
    </row>
    <row r="28687" spans="10:10" x14ac:dyDescent="0.3">
      <c r="J28687"/>
    </row>
    <row r="28688" spans="10:10" x14ac:dyDescent="0.3">
      <c r="J28688"/>
    </row>
    <row r="28689" spans="10:10" x14ac:dyDescent="0.3">
      <c r="J28689"/>
    </row>
    <row r="28690" spans="10:10" x14ac:dyDescent="0.3">
      <c r="J28690"/>
    </row>
    <row r="28691" spans="10:10" x14ac:dyDescent="0.3">
      <c r="J28691"/>
    </row>
    <row r="28692" spans="10:10" x14ac:dyDescent="0.3">
      <c r="J28692"/>
    </row>
    <row r="28693" spans="10:10" x14ac:dyDescent="0.3">
      <c r="J28693"/>
    </row>
    <row r="28694" spans="10:10" x14ac:dyDescent="0.3">
      <c r="J28694"/>
    </row>
    <row r="28695" spans="10:10" x14ac:dyDescent="0.3">
      <c r="J28695"/>
    </row>
    <row r="28696" spans="10:10" x14ac:dyDescent="0.3">
      <c r="J28696"/>
    </row>
    <row r="28697" spans="10:10" x14ac:dyDescent="0.3">
      <c r="J28697"/>
    </row>
    <row r="28698" spans="10:10" x14ac:dyDescent="0.3">
      <c r="J28698"/>
    </row>
    <row r="28699" spans="10:10" x14ac:dyDescent="0.3">
      <c r="J28699"/>
    </row>
    <row r="28700" spans="10:10" x14ac:dyDescent="0.3">
      <c r="J28700"/>
    </row>
    <row r="28701" spans="10:10" x14ac:dyDescent="0.3">
      <c r="J28701"/>
    </row>
    <row r="28702" spans="10:10" x14ac:dyDescent="0.3">
      <c r="J28702"/>
    </row>
    <row r="28703" spans="10:10" x14ac:dyDescent="0.3">
      <c r="J28703"/>
    </row>
    <row r="28704" spans="10:10" x14ac:dyDescent="0.3">
      <c r="J28704"/>
    </row>
    <row r="28705" spans="10:10" x14ac:dyDescent="0.3">
      <c r="J28705"/>
    </row>
    <row r="28706" spans="10:10" x14ac:dyDescent="0.3">
      <c r="J28706"/>
    </row>
    <row r="28707" spans="10:10" x14ac:dyDescent="0.3">
      <c r="J28707"/>
    </row>
    <row r="28708" spans="10:10" x14ac:dyDescent="0.3">
      <c r="J28708"/>
    </row>
    <row r="28709" spans="10:10" x14ac:dyDescent="0.3">
      <c r="J28709"/>
    </row>
    <row r="28710" spans="10:10" x14ac:dyDescent="0.3">
      <c r="J28710"/>
    </row>
    <row r="28711" spans="10:10" x14ac:dyDescent="0.3">
      <c r="J28711"/>
    </row>
    <row r="28712" spans="10:10" x14ac:dyDescent="0.3">
      <c r="J28712"/>
    </row>
    <row r="28713" spans="10:10" x14ac:dyDescent="0.3">
      <c r="J28713"/>
    </row>
    <row r="28714" spans="10:10" x14ac:dyDescent="0.3">
      <c r="J28714"/>
    </row>
    <row r="28715" spans="10:10" x14ac:dyDescent="0.3">
      <c r="J28715"/>
    </row>
    <row r="28716" spans="10:10" x14ac:dyDescent="0.3">
      <c r="J28716"/>
    </row>
    <row r="28717" spans="10:10" x14ac:dyDescent="0.3">
      <c r="J28717"/>
    </row>
    <row r="28718" spans="10:10" x14ac:dyDescent="0.3">
      <c r="J28718"/>
    </row>
    <row r="28719" spans="10:10" x14ac:dyDescent="0.3">
      <c r="J28719"/>
    </row>
    <row r="28720" spans="10:10" x14ac:dyDescent="0.3">
      <c r="J28720"/>
    </row>
    <row r="28721" spans="10:10" x14ac:dyDescent="0.3">
      <c r="J28721"/>
    </row>
    <row r="28722" spans="10:10" x14ac:dyDescent="0.3">
      <c r="J28722"/>
    </row>
    <row r="28723" spans="10:10" x14ac:dyDescent="0.3">
      <c r="J28723"/>
    </row>
    <row r="28724" spans="10:10" x14ac:dyDescent="0.3">
      <c r="J28724"/>
    </row>
    <row r="28725" spans="10:10" x14ac:dyDescent="0.3">
      <c r="J28725"/>
    </row>
    <row r="28726" spans="10:10" x14ac:dyDescent="0.3">
      <c r="J28726"/>
    </row>
    <row r="28727" spans="10:10" x14ac:dyDescent="0.3">
      <c r="J28727"/>
    </row>
    <row r="28728" spans="10:10" x14ac:dyDescent="0.3">
      <c r="J28728"/>
    </row>
    <row r="28729" spans="10:10" x14ac:dyDescent="0.3">
      <c r="J28729"/>
    </row>
    <row r="28730" spans="10:10" x14ac:dyDescent="0.3">
      <c r="J28730"/>
    </row>
    <row r="28731" spans="10:10" x14ac:dyDescent="0.3">
      <c r="J28731"/>
    </row>
    <row r="28732" spans="10:10" x14ac:dyDescent="0.3">
      <c r="J28732"/>
    </row>
    <row r="28733" spans="10:10" x14ac:dyDescent="0.3">
      <c r="J28733"/>
    </row>
    <row r="28734" spans="10:10" x14ac:dyDescent="0.3">
      <c r="J28734"/>
    </row>
    <row r="28735" spans="10:10" x14ac:dyDescent="0.3">
      <c r="J28735"/>
    </row>
    <row r="28736" spans="10:10" x14ac:dyDescent="0.3">
      <c r="J28736"/>
    </row>
    <row r="28737" spans="10:10" x14ac:dyDescent="0.3">
      <c r="J28737"/>
    </row>
    <row r="28738" spans="10:10" x14ac:dyDescent="0.3">
      <c r="J28738"/>
    </row>
    <row r="28739" spans="10:10" x14ac:dyDescent="0.3">
      <c r="J28739"/>
    </row>
    <row r="28740" spans="10:10" x14ac:dyDescent="0.3">
      <c r="J28740"/>
    </row>
    <row r="28741" spans="10:10" x14ac:dyDescent="0.3">
      <c r="J28741"/>
    </row>
    <row r="28742" spans="10:10" x14ac:dyDescent="0.3">
      <c r="J28742"/>
    </row>
    <row r="28743" spans="10:10" x14ac:dyDescent="0.3">
      <c r="J28743"/>
    </row>
    <row r="28744" spans="10:10" x14ac:dyDescent="0.3">
      <c r="J28744"/>
    </row>
    <row r="28745" spans="10:10" x14ac:dyDescent="0.3">
      <c r="J28745"/>
    </row>
    <row r="28746" spans="10:10" x14ac:dyDescent="0.3">
      <c r="J28746"/>
    </row>
    <row r="28747" spans="10:10" x14ac:dyDescent="0.3">
      <c r="J28747"/>
    </row>
    <row r="28748" spans="10:10" x14ac:dyDescent="0.3">
      <c r="J28748"/>
    </row>
    <row r="28749" spans="10:10" x14ac:dyDescent="0.3">
      <c r="J28749"/>
    </row>
    <row r="28750" spans="10:10" x14ac:dyDescent="0.3">
      <c r="J28750"/>
    </row>
    <row r="28751" spans="10:10" x14ac:dyDescent="0.3">
      <c r="J28751"/>
    </row>
    <row r="28752" spans="10:10" x14ac:dyDescent="0.3">
      <c r="J28752"/>
    </row>
    <row r="28753" spans="10:10" x14ac:dyDescent="0.3">
      <c r="J28753"/>
    </row>
    <row r="28754" spans="10:10" x14ac:dyDescent="0.3">
      <c r="J28754"/>
    </row>
    <row r="28755" spans="10:10" x14ac:dyDescent="0.3">
      <c r="J28755"/>
    </row>
    <row r="28756" spans="10:10" x14ac:dyDescent="0.3">
      <c r="J28756"/>
    </row>
    <row r="28757" spans="10:10" x14ac:dyDescent="0.3">
      <c r="J28757"/>
    </row>
    <row r="28758" spans="10:10" x14ac:dyDescent="0.3">
      <c r="J28758"/>
    </row>
    <row r="28759" spans="10:10" x14ac:dyDescent="0.3">
      <c r="J28759"/>
    </row>
    <row r="28760" spans="10:10" x14ac:dyDescent="0.3">
      <c r="J28760"/>
    </row>
    <row r="28761" spans="10:10" x14ac:dyDescent="0.3">
      <c r="J28761"/>
    </row>
    <row r="28762" spans="10:10" x14ac:dyDescent="0.3">
      <c r="J28762"/>
    </row>
    <row r="28763" spans="10:10" x14ac:dyDescent="0.3">
      <c r="J28763"/>
    </row>
    <row r="28764" spans="10:10" x14ac:dyDescent="0.3">
      <c r="J28764"/>
    </row>
    <row r="28765" spans="10:10" x14ac:dyDescent="0.3">
      <c r="J28765"/>
    </row>
    <row r="28766" spans="10:10" x14ac:dyDescent="0.3">
      <c r="J28766"/>
    </row>
    <row r="28767" spans="10:10" x14ac:dyDescent="0.3">
      <c r="J28767"/>
    </row>
    <row r="28768" spans="10:10" x14ac:dyDescent="0.3">
      <c r="J28768"/>
    </row>
    <row r="28769" spans="10:10" x14ac:dyDescent="0.3">
      <c r="J28769"/>
    </row>
    <row r="28770" spans="10:10" x14ac:dyDescent="0.3">
      <c r="J28770"/>
    </row>
    <row r="28771" spans="10:10" x14ac:dyDescent="0.3">
      <c r="J28771"/>
    </row>
    <row r="28772" spans="10:10" x14ac:dyDescent="0.3">
      <c r="J28772"/>
    </row>
    <row r="28773" spans="10:10" x14ac:dyDescent="0.3">
      <c r="J28773"/>
    </row>
    <row r="28774" spans="10:10" x14ac:dyDescent="0.3">
      <c r="J28774"/>
    </row>
    <row r="28775" spans="10:10" x14ac:dyDescent="0.3">
      <c r="J28775"/>
    </row>
    <row r="28776" spans="10:10" x14ac:dyDescent="0.3">
      <c r="J28776"/>
    </row>
    <row r="28777" spans="10:10" x14ac:dyDescent="0.3">
      <c r="J28777"/>
    </row>
    <row r="28778" spans="10:10" x14ac:dyDescent="0.3">
      <c r="J28778"/>
    </row>
    <row r="28779" spans="10:10" x14ac:dyDescent="0.3">
      <c r="J28779"/>
    </row>
    <row r="28780" spans="10:10" x14ac:dyDescent="0.3">
      <c r="J28780"/>
    </row>
    <row r="28781" spans="10:10" x14ac:dyDescent="0.3">
      <c r="J28781"/>
    </row>
    <row r="28782" spans="10:10" x14ac:dyDescent="0.3">
      <c r="J28782"/>
    </row>
    <row r="28783" spans="10:10" x14ac:dyDescent="0.3">
      <c r="J28783"/>
    </row>
    <row r="28784" spans="10:10" x14ac:dyDescent="0.3">
      <c r="J28784"/>
    </row>
    <row r="28785" spans="10:10" x14ac:dyDescent="0.3">
      <c r="J28785"/>
    </row>
    <row r="28786" spans="10:10" x14ac:dyDescent="0.3">
      <c r="J28786"/>
    </row>
    <row r="28787" spans="10:10" x14ac:dyDescent="0.3">
      <c r="J28787"/>
    </row>
    <row r="28788" spans="10:10" x14ac:dyDescent="0.3">
      <c r="J28788"/>
    </row>
    <row r="28789" spans="10:10" x14ac:dyDescent="0.3">
      <c r="J28789"/>
    </row>
    <row r="28790" spans="10:10" x14ac:dyDescent="0.3">
      <c r="J28790"/>
    </row>
    <row r="28791" spans="10:10" x14ac:dyDescent="0.3">
      <c r="J28791"/>
    </row>
    <row r="28792" spans="10:10" x14ac:dyDescent="0.3">
      <c r="J28792"/>
    </row>
    <row r="28793" spans="10:10" x14ac:dyDescent="0.3">
      <c r="J28793"/>
    </row>
    <row r="28794" spans="10:10" x14ac:dyDescent="0.3">
      <c r="J28794"/>
    </row>
    <row r="28795" spans="10:10" x14ac:dyDescent="0.3">
      <c r="J28795"/>
    </row>
    <row r="28796" spans="10:10" x14ac:dyDescent="0.3">
      <c r="J28796"/>
    </row>
    <row r="28797" spans="10:10" x14ac:dyDescent="0.3">
      <c r="J28797"/>
    </row>
    <row r="28798" spans="10:10" x14ac:dyDescent="0.3">
      <c r="J28798"/>
    </row>
    <row r="28799" spans="10:10" x14ac:dyDescent="0.3">
      <c r="J28799"/>
    </row>
    <row r="28800" spans="10:10" x14ac:dyDescent="0.3">
      <c r="J28800"/>
    </row>
    <row r="28801" spans="10:10" x14ac:dyDescent="0.3">
      <c r="J28801"/>
    </row>
    <row r="28802" spans="10:10" x14ac:dyDescent="0.3">
      <c r="J28802"/>
    </row>
    <row r="28803" spans="10:10" x14ac:dyDescent="0.3">
      <c r="J28803"/>
    </row>
    <row r="28804" spans="10:10" x14ac:dyDescent="0.3">
      <c r="J28804"/>
    </row>
    <row r="28805" spans="10:10" x14ac:dyDescent="0.3">
      <c r="J28805"/>
    </row>
    <row r="28806" spans="10:10" x14ac:dyDescent="0.3">
      <c r="J28806"/>
    </row>
    <row r="28807" spans="10:10" x14ac:dyDescent="0.3">
      <c r="J28807"/>
    </row>
    <row r="28808" spans="10:10" x14ac:dyDescent="0.3">
      <c r="J28808"/>
    </row>
    <row r="28809" spans="10:10" x14ac:dyDescent="0.3">
      <c r="J28809"/>
    </row>
    <row r="28810" spans="10:10" x14ac:dyDescent="0.3">
      <c r="J28810"/>
    </row>
    <row r="28811" spans="10:10" x14ac:dyDescent="0.3">
      <c r="J28811"/>
    </row>
    <row r="28812" spans="10:10" x14ac:dyDescent="0.3">
      <c r="J28812"/>
    </row>
    <row r="28813" spans="10:10" x14ac:dyDescent="0.3">
      <c r="J28813"/>
    </row>
    <row r="28814" spans="10:10" x14ac:dyDescent="0.3">
      <c r="J28814"/>
    </row>
    <row r="28815" spans="10:10" x14ac:dyDescent="0.3">
      <c r="J28815"/>
    </row>
    <row r="28816" spans="10:10" x14ac:dyDescent="0.3">
      <c r="J28816"/>
    </row>
    <row r="28817" spans="10:10" x14ac:dyDescent="0.3">
      <c r="J28817"/>
    </row>
    <row r="28818" spans="10:10" x14ac:dyDescent="0.3">
      <c r="J28818"/>
    </row>
    <row r="28819" spans="10:10" x14ac:dyDescent="0.3">
      <c r="J28819"/>
    </row>
    <row r="28820" spans="10:10" x14ac:dyDescent="0.3">
      <c r="J28820"/>
    </row>
    <row r="28821" spans="10:10" x14ac:dyDescent="0.3">
      <c r="J28821"/>
    </row>
    <row r="28822" spans="10:10" x14ac:dyDescent="0.3">
      <c r="J28822"/>
    </row>
    <row r="28823" spans="10:10" x14ac:dyDescent="0.3">
      <c r="J28823"/>
    </row>
    <row r="28824" spans="10:10" x14ac:dyDescent="0.3">
      <c r="J28824"/>
    </row>
    <row r="28825" spans="10:10" x14ac:dyDescent="0.3">
      <c r="J28825"/>
    </row>
    <row r="28826" spans="10:10" x14ac:dyDescent="0.3">
      <c r="J28826"/>
    </row>
    <row r="28827" spans="10:10" x14ac:dyDescent="0.3">
      <c r="J28827"/>
    </row>
    <row r="28828" spans="10:10" x14ac:dyDescent="0.3">
      <c r="J28828"/>
    </row>
    <row r="28829" spans="10:10" x14ac:dyDescent="0.3">
      <c r="J28829"/>
    </row>
    <row r="28830" spans="10:10" x14ac:dyDescent="0.3">
      <c r="J28830"/>
    </row>
    <row r="28831" spans="10:10" x14ac:dyDescent="0.3">
      <c r="J28831"/>
    </row>
    <row r="28832" spans="10:10" x14ac:dyDescent="0.3">
      <c r="J28832"/>
    </row>
    <row r="28833" spans="10:10" x14ac:dyDescent="0.3">
      <c r="J28833"/>
    </row>
    <row r="28834" spans="10:10" x14ac:dyDescent="0.3">
      <c r="J28834"/>
    </row>
    <row r="28835" spans="10:10" x14ac:dyDescent="0.3">
      <c r="J28835"/>
    </row>
    <row r="28836" spans="10:10" x14ac:dyDescent="0.3">
      <c r="J28836"/>
    </row>
    <row r="28837" spans="10:10" x14ac:dyDescent="0.3">
      <c r="J28837"/>
    </row>
    <row r="28838" spans="10:10" x14ac:dyDescent="0.3">
      <c r="J28838"/>
    </row>
    <row r="28839" spans="10:10" x14ac:dyDescent="0.3">
      <c r="J28839"/>
    </row>
    <row r="28840" spans="10:10" x14ac:dyDescent="0.3">
      <c r="J28840"/>
    </row>
    <row r="28841" spans="10:10" x14ac:dyDescent="0.3">
      <c r="J28841"/>
    </row>
    <row r="28842" spans="10:10" x14ac:dyDescent="0.3">
      <c r="J28842"/>
    </row>
    <row r="28843" spans="10:10" x14ac:dyDescent="0.3">
      <c r="J28843"/>
    </row>
    <row r="28844" spans="10:10" x14ac:dyDescent="0.3">
      <c r="J28844"/>
    </row>
    <row r="28845" spans="10:10" x14ac:dyDescent="0.3">
      <c r="J28845"/>
    </row>
    <row r="28846" spans="10:10" x14ac:dyDescent="0.3">
      <c r="J28846"/>
    </row>
    <row r="28847" spans="10:10" x14ac:dyDescent="0.3">
      <c r="J28847"/>
    </row>
    <row r="28848" spans="10:10" x14ac:dyDescent="0.3">
      <c r="J28848"/>
    </row>
    <row r="28849" spans="10:10" x14ac:dyDescent="0.3">
      <c r="J28849"/>
    </row>
    <row r="28850" spans="10:10" x14ac:dyDescent="0.3">
      <c r="J28850"/>
    </row>
    <row r="28851" spans="10:10" x14ac:dyDescent="0.3">
      <c r="J28851"/>
    </row>
    <row r="28852" spans="10:10" x14ac:dyDescent="0.3">
      <c r="J28852"/>
    </row>
    <row r="28853" spans="10:10" x14ac:dyDescent="0.3">
      <c r="J28853"/>
    </row>
    <row r="28854" spans="10:10" x14ac:dyDescent="0.3">
      <c r="J28854"/>
    </row>
    <row r="28855" spans="10:10" x14ac:dyDescent="0.3">
      <c r="J28855"/>
    </row>
    <row r="28856" spans="10:10" x14ac:dyDescent="0.3">
      <c r="J28856"/>
    </row>
    <row r="28857" spans="10:10" x14ac:dyDescent="0.3">
      <c r="J28857"/>
    </row>
    <row r="28858" spans="10:10" x14ac:dyDescent="0.3">
      <c r="J28858"/>
    </row>
    <row r="28859" spans="10:10" x14ac:dyDescent="0.3">
      <c r="J28859"/>
    </row>
    <row r="28860" spans="10:10" x14ac:dyDescent="0.3">
      <c r="J28860"/>
    </row>
    <row r="28861" spans="10:10" x14ac:dyDescent="0.3">
      <c r="J28861"/>
    </row>
    <row r="28862" spans="10:10" x14ac:dyDescent="0.3">
      <c r="J28862"/>
    </row>
    <row r="28863" spans="10:10" x14ac:dyDescent="0.3">
      <c r="J28863"/>
    </row>
    <row r="28864" spans="10:10" x14ac:dyDescent="0.3">
      <c r="J28864"/>
    </row>
    <row r="28865" spans="10:10" x14ac:dyDescent="0.3">
      <c r="J28865"/>
    </row>
    <row r="28866" spans="10:10" x14ac:dyDescent="0.3">
      <c r="J28866"/>
    </row>
    <row r="28867" spans="10:10" x14ac:dyDescent="0.3">
      <c r="J28867"/>
    </row>
    <row r="28868" spans="10:10" x14ac:dyDescent="0.3">
      <c r="J28868"/>
    </row>
    <row r="28869" spans="10:10" x14ac:dyDescent="0.3">
      <c r="J28869"/>
    </row>
    <row r="28870" spans="10:10" x14ac:dyDescent="0.3">
      <c r="J28870"/>
    </row>
    <row r="28871" spans="10:10" x14ac:dyDescent="0.3">
      <c r="J28871"/>
    </row>
    <row r="28872" spans="10:10" x14ac:dyDescent="0.3">
      <c r="J28872"/>
    </row>
    <row r="28873" spans="10:10" x14ac:dyDescent="0.3">
      <c r="J28873"/>
    </row>
    <row r="28874" spans="10:10" x14ac:dyDescent="0.3">
      <c r="J28874"/>
    </row>
    <row r="28875" spans="10:10" x14ac:dyDescent="0.3">
      <c r="J28875"/>
    </row>
    <row r="28876" spans="10:10" x14ac:dyDescent="0.3">
      <c r="J28876"/>
    </row>
    <row r="28877" spans="10:10" x14ac:dyDescent="0.3">
      <c r="J28877"/>
    </row>
    <row r="28878" spans="10:10" x14ac:dyDescent="0.3">
      <c r="J28878"/>
    </row>
    <row r="28879" spans="10:10" x14ac:dyDescent="0.3">
      <c r="J28879"/>
    </row>
    <row r="28880" spans="10:10" x14ac:dyDescent="0.3">
      <c r="J28880"/>
    </row>
    <row r="28881" spans="10:10" x14ac:dyDescent="0.3">
      <c r="J28881"/>
    </row>
    <row r="28882" spans="10:10" x14ac:dyDescent="0.3">
      <c r="J28882"/>
    </row>
    <row r="28883" spans="10:10" x14ac:dyDescent="0.3">
      <c r="J28883"/>
    </row>
    <row r="28884" spans="10:10" x14ac:dyDescent="0.3">
      <c r="J28884"/>
    </row>
    <row r="28885" spans="10:10" x14ac:dyDescent="0.3">
      <c r="J28885"/>
    </row>
    <row r="28886" spans="10:10" x14ac:dyDescent="0.3">
      <c r="J28886"/>
    </row>
    <row r="28887" spans="10:10" x14ac:dyDescent="0.3">
      <c r="J28887"/>
    </row>
    <row r="28888" spans="10:10" x14ac:dyDescent="0.3">
      <c r="J28888"/>
    </row>
    <row r="28889" spans="10:10" x14ac:dyDescent="0.3">
      <c r="J28889"/>
    </row>
    <row r="28890" spans="10:10" x14ac:dyDescent="0.3">
      <c r="J28890"/>
    </row>
    <row r="28891" spans="10:10" x14ac:dyDescent="0.3">
      <c r="J28891"/>
    </row>
    <row r="28892" spans="10:10" x14ac:dyDescent="0.3">
      <c r="J28892"/>
    </row>
    <row r="28893" spans="10:10" x14ac:dyDescent="0.3">
      <c r="J28893"/>
    </row>
    <row r="28894" spans="10:10" x14ac:dyDescent="0.3">
      <c r="J28894"/>
    </row>
    <row r="28895" spans="10:10" x14ac:dyDescent="0.3">
      <c r="J28895"/>
    </row>
    <row r="28896" spans="10:10" x14ac:dyDescent="0.3">
      <c r="J28896"/>
    </row>
    <row r="28897" spans="10:10" x14ac:dyDescent="0.3">
      <c r="J28897"/>
    </row>
    <row r="28898" spans="10:10" x14ac:dyDescent="0.3">
      <c r="J28898"/>
    </row>
    <row r="28899" spans="10:10" x14ac:dyDescent="0.3">
      <c r="J28899"/>
    </row>
    <row r="28900" spans="10:10" x14ac:dyDescent="0.3">
      <c r="J28900"/>
    </row>
    <row r="28901" spans="10:10" x14ac:dyDescent="0.3">
      <c r="J28901"/>
    </row>
    <row r="28902" spans="10:10" x14ac:dyDescent="0.3">
      <c r="J28902"/>
    </row>
    <row r="28903" spans="10:10" x14ac:dyDescent="0.3">
      <c r="J28903"/>
    </row>
    <row r="28904" spans="10:10" x14ac:dyDescent="0.3">
      <c r="J28904"/>
    </row>
    <row r="28905" spans="10:10" x14ac:dyDescent="0.3">
      <c r="J28905"/>
    </row>
    <row r="28906" spans="10:10" x14ac:dyDescent="0.3">
      <c r="J28906"/>
    </row>
    <row r="28907" spans="10:10" x14ac:dyDescent="0.3">
      <c r="J28907"/>
    </row>
    <row r="28908" spans="10:10" x14ac:dyDescent="0.3">
      <c r="J28908"/>
    </row>
    <row r="28909" spans="10:10" x14ac:dyDescent="0.3">
      <c r="J28909"/>
    </row>
    <row r="28910" spans="10:10" x14ac:dyDescent="0.3">
      <c r="J28910"/>
    </row>
    <row r="28911" spans="10:10" x14ac:dyDescent="0.3">
      <c r="J28911"/>
    </row>
    <row r="28912" spans="10:10" x14ac:dyDescent="0.3">
      <c r="J28912"/>
    </row>
    <row r="28913" spans="10:10" x14ac:dyDescent="0.3">
      <c r="J28913"/>
    </row>
    <row r="28914" spans="10:10" x14ac:dyDescent="0.3">
      <c r="J28914"/>
    </row>
    <row r="28915" spans="10:10" x14ac:dyDescent="0.3">
      <c r="J28915"/>
    </row>
    <row r="28916" spans="10:10" x14ac:dyDescent="0.3">
      <c r="J28916"/>
    </row>
    <row r="28917" spans="10:10" x14ac:dyDescent="0.3">
      <c r="J28917"/>
    </row>
    <row r="28918" spans="10:10" x14ac:dyDescent="0.3">
      <c r="J28918"/>
    </row>
    <row r="28919" spans="10:10" x14ac:dyDescent="0.3">
      <c r="J28919"/>
    </row>
    <row r="28920" spans="10:10" x14ac:dyDescent="0.3">
      <c r="J28920"/>
    </row>
    <row r="28921" spans="10:10" x14ac:dyDescent="0.3">
      <c r="J28921"/>
    </row>
    <row r="28922" spans="10:10" x14ac:dyDescent="0.3">
      <c r="J28922"/>
    </row>
    <row r="28923" spans="10:10" x14ac:dyDescent="0.3">
      <c r="J28923"/>
    </row>
    <row r="28924" spans="10:10" x14ac:dyDescent="0.3">
      <c r="J28924"/>
    </row>
    <row r="28925" spans="10:10" x14ac:dyDescent="0.3">
      <c r="J28925"/>
    </row>
    <row r="28926" spans="10:10" x14ac:dyDescent="0.3">
      <c r="J28926"/>
    </row>
    <row r="28927" spans="10:10" x14ac:dyDescent="0.3">
      <c r="J28927"/>
    </row>
    <row r="28928" spans="10:10" x14ac:dyDescent="0.3">
      <c r="J28928"/>
    </row>
    <row r="28929" spans="10:10" x14ac:dyDescent="0.3">
      <c r="J28929"/>
    </row>
    <row r="28930" spans="10:10" x14ac:dyDescent="0.3">
      <c r="J28930"/>
    </row>
    <row r="28931" spans="10:10" x14ac:dyDescent="0.3">
      <c r="J28931"/>
    </row>
    <row r="28932" spans="10:10" x14ac:dyDescent="0.3">
      <c r="J28932"/>
    </row>
    <row r="28933" spans="10:10" x14ac:dyDescent="0.3">
      <c r="J28933"/>
    </row>
    <row r="28934" spans="10:10" x14ac:dyDescent="0.3">
      <c r="J28934"/>
    </row>
    <row r="28935" spans="10:10" x14ac:dyDescent="0.3">
      <c r="J28935"/>
    </row>
    <row r="28936" spans="10:10" x14ac:dyDescent="0.3">
      <c r="J28936"/>
    </row>
    <row r="28937" spans="10:10" x14ac:dyDescent="0.3">
      <c r="J28937"/>
    </row>
    <row r="28938" spans="10:10" x14ac:dyDescent="0.3">
      <c r="J28938"/>
    </row>
    <row r="28939" spans="10:10" x14ac:dyDescent="0.3">
      <c r="J28939"/>
    </row>
    <row r="28940" spans="10:10" x14ac:dyDescent="0.3">
      <c r="J28940"/>
    </row>
    <row r="28941" spans="10:10" x14ac:dyDescent="0.3">
      <c r="J28941"/>
    </row>
    <row r="28942" spans="10:10" x14ac:dyDescent="0.3">
      <c r="J28942"/>
    </row>
    <row r="28943" spans="10:10" x14ac:dyDescent="0.3">
      <c r="J28943"/>
    </row>
    <row r="28944" spans="10:10" x14ac:dyDescent="0.3">
      <c r="J28944"/>
    </row>
    <row r="28945" spans="10:10" x14ac:dyDescent="0.3">
      <c r="J28945"/>
    </row>
    <row r="28946" spans="10:10" x14ac:dyDescent="0.3">
      <c r="J28946"/>
    </row>
    <row r="28947" spans="10:10" x14ac:dyDescent="0.3">
      <c r="J28947"/>
    </row>
    <row r="28948" spans="10:10" x14ac:dyDescent="0.3">
      <c r="J28948"/>
    </row>
    <row r="28949" spans="10:10" x14ac:dyDescent="0.3">
      <c r="J28949"/>
    </row>
    <row r="28950" spans="10:10" x14ac:dyDescent="0.3">
      <c r="J28950"/>
    </row>
    <row r="28951" spans="10:10" x14ac:dyDescent="0.3">
      <c r="J28951"/>
    </row>
    <row r="28952" spans="10:10" x14ac:dyDescent="0.3">
      <c r="J28952"/>
    </row>
    <row r="28953" spans="10:10" x14ac:dyDescent="0.3">
      <c r="J28953"/>
    </row>
    <row r="28954" spans="10:10" x14ac:dyDescent="0.3">
      <c r="J28954"/>
    </row>
    <row r="28955" spans="10:10" x14ac:dyDescent="0.3">
      <c r="J28955"/>
    </row>
    <row r="28956" spans="10:10" x14ac:dyDescent="0.3">
      <c r="J28956"/>
    </row>
    <row r="28957" spans="10:10" x14ac:dyDescent="0.3">
      <c r="J28957"/>
    </row>
    <row r="28958" spans="10:10" x14ac:dyDescent="0.3">
      <c r="J28958"/>
    </row>
    <row r="28959" spans="10:10" x14ac:dyDescent="0.3">
      <c r="J28959"/>
    </row>
    <row r="28960" spans="10:10" x14ac:dyDescent="0.3">
      <c r="J28960"/>
    </row>
    <row r="28961" spans="10:10" x14ac:dyDescent="0.3">
      <c r="J28961"/>
    </row>
    <row r="28962" spans="10:10" x14ac:dyDescent="0.3">
      <c r="J28962"/>
    </row>
    <row r="28963" spans="10:10" x14ac:dyDescent="0.3">
      <c r="J28963"/>
    </row>
    <row r="28964" spans="10:10" x14ac:dyDescent="0.3">
      <c r="J28964"/>
    </row>
    <row r="28965" spans="10:10" x14ac:dyDescent="0.3">
      <c r="J28965"/>
    </row>
    <row r="28966" spans="10:10" x14ac:dyDescent="0.3">
      <c r="J28966"/>
    </row>
    <row r="28967" spans="10:10" x14ac:dyDescent="0.3">
      <c r="J28967"/>
    </row>
    <row r="28968" spans="10:10" x14ac:dyDescent="0.3">
      <c r="J28968"/>
    </row>
    <row r="28969" spans="10:10" x14ac:dyDescent="0.3">
      <c r="J28969"/>
    </row>
    <row r="28970" spans="10:10" x14ac:dyDescent="0.3">
      <c r="J28970"/>
    </row>
    <row r="28971" spans="10:10" x14ac:dyDescent="0.3">
      <c r="J28971"/>
    </row>
    <row r="28972" spans="10:10" x14ac:dyDescent="0.3">
      <c r="J28972"/>
    </row>
    <row r="28973" spans="10:10" x14ac:dyDescent="0.3">
      <c r="J28973"/>
    </row>
    <row r="28974" spans="10:10" x14ac:dyDescent="0.3">
      <c r="J28974"/>
    </row>
    <row r="28975" spans="10:10" x14ac:dyDescent="0.3">
      <c r="J28975"/>
    </row>
    <row r="28976" spans="10:10" x14ac:dyDescent="0.3">
      <c r="J28976"/>
    </row>
    <row r="28977" spans="10:10" x14ac:dyDescent="0.3">
      <c r="J28977"/>
    </row>
    <row r="28978" spans="10:10" x14ac:dyDescent="0.3">
      <c r="J28978"/>
    </row>
    <row r="28979" spans="10:10" x14ac:dyDescent="0.3">
      <c r="J28979"/>
    </row>
    <row r="28980" spans="10:10" x14ac:dyDescent="0.3">
      <c r="J28980"/>
    </row>
    <row r="28981" spans="10:10" x14ac:dyDescent="0.3">
      <c r="J28981"/>
    </row>
    <row r="28982" spans="10:10" x14ac:dyDescent="0.3">
      <c r="J28982"/>
    </row>
    <row r="28983" spans="10:10" x14ac:dyDescent="0.3">
      <c r="J28983"/>
    </row>
    <row r="28984" spans="10:10" x14ac:dyDescent="0.3">
      <c r="J28984"/>
    </row>
    <row r="28985" spans="10:10" x14ac:dyDescent="0.3">
      <c r="J28985"/>
    </row>
    <row r="28986" spans="10:10" x14ac:dyDescent="0.3">
      <c r="J28986"/>
    </row>
    <row r="28987" spans="10:10" x14ac:dyDescent="0.3">
      <c r="J28987"/>
    </row>
    <row r="28988" spans="10:10" x14ac:dyDescent="0.3">
      <c r="J28988"/>
    </row>
    <row r="28989" spans="10:10" x14ac:dyDescent="0.3">
      <c r="J28989"/>
    </row>
    <row r="28990" spans="10:10" x14ac:dyDescent="0.3">
      <c r="J28990"/>
    </row>
    <row r="28991" spans="10:10" x14ac:dyDescent="0.3">
      <c r="J28991"/>
    </row>
    <row r="28992" spans="10:10" x14ac:dyDescent="0.3">
      <c r="J28992"/>
    </row>
    <row r="28993" spans="10:10" x14ac:dyDescent="0.3">
      <c r="J28993"/>
    </row>
    <row r="28994" spans="10:10" x14ac:dyDescent="0.3">
      <c r="J28994"/>
    </row>
    <row r="28995" spans="10:10" x14ac:dyDescent="0.3">
      <c r="J28995"/>
    </row>
    <row r="28996" spans="10:10" x14ac:dyDescent="0.3">
      <c r="J28996"/>
    </row>
    <row r="28997" spans="10:10" x14ac:dyDescent="0.3">
      <c r="J28997"/>
    </row>
    <row r="28998" spans="10:10" x14ac:dyDescent="0.3">
      <c r="J28998"/>
    </row>
    <row r="28999" spans="10:10" x14ac:dyDescent="0.3">
      <c r="J28999"/>
    </row>
    <row r="29000" spans="10:10" x14ac:dyDescent="0.3">
      <c r="J29000"/>
    </row>
    <row r="29001" spans="10:10" x14ac:dyDescent="0.3">
      <c r="J29001"/>
    </row>
    <row r="29002" spans="10:10" x14ac:dyDescent="0.3">
      <c r="J29002"/>
    </row>
    <row r="29003" spans="10:10" x14ac:dyDescent="0.3">
      <c r="J29003"/>
    </row>
    <row r="29004" spans="10:10" x14ac:dyDescent="0.3">
      <c r="J29004"/>
    </row>
    <row r="29005" spans="10:10" x14ac:dyDescent="0.3">
      <c r="J29005"/>
    </row>
    <row r="29006" spans="10:10" x14ac:dyDescent="0.3">
      <c r="J29006"/>
    </row>
    <row r="29007" spans="10:10" x14ac:dyDescent="0.3">
      <c r="J29007"/>
    </row>
    <row r="29008" spans="10:10" x14ac:dyDescent="0.3">
      <c r="J29008"/>
    </row>
    <row r="29009" spans="10:10" x14ac:dyDescent="0.3">
      <c r="J29009"/>
    </row>
    <row r="29010" spans="10:10" x14ac:dyDescent="0.3">
      <c r="J29010"/>
    </row>
    <row r="29011" spans="10:10" x14ac:dyDescent="0.3">
      <c r="J29011"/>
    </row>
    <row r="29012" spans="10:10" x14ac:dyDescent="0.3">
      <c r="J29012"/>
    </row>
    <row r="29013" spans="10:10" x14ac:dyDescent="0.3">
      <c r="J29013"/>
    </row>
    <row r="29014" spans="10:10" x14ac:dyDescent="0.3">
      <c r="J29014"/>
    </row>
    <row r="29015" spans="10:10" x14ac:dyDescent="0.3">
      <c r="J29015"/>
    </row>
    <row r="29016" spans="10:10" x14ac:dyDescent="0.3">
      <c r="J29016"/>
    </row>
    <row r="29017" spans="10:10" x14ac:dyDescent="0.3">
      <c r="J29017"/>
    </row>
    <row r="29018" spans="10:10" x14ac:dyDescent="0.3">
      <c r="J29018"/>
    </row>
    <row r="29019" spans="10:10" x14ac:dyDescent="0.3">
      <c r="J29019"/>
    </row>
    <row r="29020" spans="10:10" x14ac:dyDescent="0.3">
      <c r="J29020"/>
    </row>
    <row r="29021" spans="10:10" x14ac:dyDescent="0.3">
      <c r="J29021"/>
    </row>
    <row r="29022" spans="10:10" x14ac:dyDescent="0.3">
      <c r="J29022"/>
    </row>
    <row r="29023" spans="10:10" x14ac:dyDescent="0.3">
      <c r="J29023"/>
    </row>
    <row r="29024" spans="10:10" x14ac:dyDescent="0.3">
      <c r="J29024"/>
    </row>
    <row r="29025" spans="10:10" x14ac:dyDescent="0.3">
      <c r="J29025"/>
    </row>
    <row r="29026" spans="10:10" x14ac:dyDescent="0.3">
      <c r="J29026"/>
    </row>
    <row r="29027" spans="10:10" x14ac:dyDescent="0.3">
      <c r="J29027"/>
    </row>
    <row r="29028" spans="10:10" x14ac:dyDescent="0.3">
      <c r="J29028"/>
    </row>
    <row r="29029" spans="10:10" x14ac:dyDescent="0.3">
      <c r="J29029"/>
    </row>
    <row r="29030" spans="10:10" x14ac:dyDescent="0.3">
      <c r="J29030"/>
    </row>
    <row r="29031" spans="10:10" x14ac:dyDescent="0.3">
      <c r="J29031"/>
    </row>
    <row r="29032" spans="10:10" x14ac:dyDescent="0.3">
      <c r="J29032"/>
    </row>
    <row r="29033" spans="10:10" x14ac:dyDescent="0.3">
      <c r="J29033"/>
    </row>
    <row r="29034" spans="10:10" x14ac:dyDescent="0.3">
      <c r="J29034"/>
    </row>
    <row r="29035" spans="10:10" x14ac:dyDescent="0.3">
      <c r="J29035"/>
    </row>
    <row r="29036" spans="10:10" x14ac:dyDescent="0.3">
      <c r="J29036"/>
    </row>
    <row r="29037" spans="10:10" x14ac:dyDescent="0.3">
      <c r="J29037"/>
    </row>
    <row r="29038" spans="10:10" x14ac:dyDescent="0.3">
      <c r="J29038"/>
    </row>
    <row r="29039" spans="10:10" x14ac:dyDescent="0.3">
      <c r="J29039"/>
    </row>
    <row r="29040" spans="10:10" x14ac:dyDescent="0.3">
      <c r="J29040"/>
    </row>
    <row r="29041" spans="10:10" x14ac:dyDescent="0.3">
      <c r="J29041"/>
    </row>
    <row r="29042" spans="10:10" x14ac:dyDescent="0.3">
      <c r="J29042"/>
    </row>
    <row r="29043" spans="10:10" x14ac:dyDescent="0.3">
      <c r="J29043"/>
    </row>
    <row r="29044" spans="10:10" x14ac:dyDescent="0.3">
      <c r="J29044"/>
    </row>
    <row r="29045" spans="10:10" x14ac:dyDescent="0.3">
      <c r="J29045"/>
    </row>
    <row r="29046" spans="10:10" x14ac:dyDescent="0.3">
      <c r="J29046"/>
    </row>
    <row r="29047" spans="10:10" x14ac:dyDescent="0.3">
      <c r="J29047"/>
    </row>
    <row r="29048" spans="10:10" x14ac:dyDescent="0.3">
      <c r="J29048"/>
    </row>
    <row r="29049" spans="10:10" x14ac:dyDescent="0.3">
      <c r="J29049"/>
    </row>
    <row r="29050" spans="10:10" x14ac:dyDescent="0.3">
      <c r="J29050"/>
    </row>
    <row r="29051" spans="10:10" x14ac:dyDescent="0.3">
      <c r="J29051"/>
    </row>
    <row r="29052" spans="10:10" x14ac:dyDescent="0.3">
      <c r="J29052"/>
    </row>
    <row r="29053" spans="10:10" x14ac:dyDescent="0.3">
      <c r="J29053"/>
    </row>
    <row r="29054" spans="10:10" x14ac:dyDescent="0.3">
      <c r="J29054"/>
    </row>
    <row r="29055" spans="10:10" x14ac:dyDescent="0.3">
      <c r="J29055"/>
    </row>
    <row r="29056" spans="10:10" x14ac:dyDescent="0.3">
      <c r="J29056"/>
    </row>
    <row r="29057" spans="10:10" x14ac:dyDescent="0.3">
      <c r="J29057"/>
    </row>
    <row r="29058" spans="10:10" x14ac:dyDescent="0.3">
      <c r="J29058"/>
    </row>
    <row r="29059" spans="10:10" x14ac:dyDescent="0.3">
      <c r="J29059"/>
    </row>
    <row r="29060" spans="10:10" x14ac:dyDescent="0.3">
      <c r="J29060"/>
    </row>
    <row r="29061" spans="10:10" x14ac:dyDescent="0.3">
      <c r="J29061"/>
    </row>
    <row r="29062" spans="10:10" x14ac:dyDescent="0.3">
      <c r="J29062"/>
    </row>
    <row r="29063" spans="10:10" x14ac:dyDescent="0.3">
      <c r="J29063"/>
    </row>
    <row r="29064" spans="10:10" x14ac:dyDescent="0.3">
      <c r="J29064"/>
    </row>
    <row r="29065" spans="10:10" x14ac:dyDescent="0.3">
      <c r="J29065"/>
    </row>
    <row r="29066" spans="10:10" x14ac:dyDescent="0.3">
      <c r="J29066"/>
    </row>
    <row r="29067" spans="10:10" x14ac:dyDescent="0.3">
      <c r="J29067"/>
    </row>
    <row r="29068" spans="10:10" x14ac:dyDescent="0.3">
      <c r="J29068"/>
    </row>
    <row r="29069" spans="10:10" x14ac:dyDescent="0.3">
      <c r="J29069"/>
    </row>
    <row r="29070" spans="10:10" x14ac:dyDescent="0.3">
      <c r="J29070"/>
    </row>
    <row r="29071" spans="10:10" x14ac:dyDescent="0.3">
      <c r="J29071"/>
    </row>
    <row r="29072" spans="10:10" x14ac:dyDescent="0.3">
      <c r="J29072"/>
    </row>
    <row r="29073" spans="10:10" x14ac:dyDescent="0.3">
      <c r="J29073"/>
    </row>
    <row r="29074" spans="10:10" x14ac:dyDescent="0.3">
      <c r="J29074"/>
    </row>
    <row r="29075" spans="10:10" x14ac:dyDescent="0.3">
      <c r="J29075"/>
    </row>
    <row r="29076" spans="10:10" x14ac:dyDescent="0.3">
      <c r="J29076"/>
    </row>
    <row r="29077" spans="10:10" x14ac:dyDescent="0.3">
      <c r="J29077"/>
    </row>
    <row r="29078" spans="10:10" x14ac:dyDescent="0.3">
      <c r="J29078"/>
    </row>
    <row r="29079" spans="10:10" x14ac:dyDescent="0.3">
      <c r="J29079"/>
    </row>
    <row r="29080" spans="10:10" x14ac:dyDescent="0.3">
      <c r="J29080"/>
    </row>
    <row r="29081" spans="10:10" x14ac:dyDescent="0.3">
      <c r="J29081"/>
    </row>
    <row r="29082" spans="10:10" x14ac:dyDescent="0.3">
      <c r="J29082"/>
    </row>
    <row r="29083" spans="10:10" x14ac:dyDescent="0.3">
      <c r="J29083"/>
    </row>
    <row r="29084" spans="10:10" x14ac:dyDescent="0.3">
      <c r="J29084"/>
    </row>
    <row r="29085" spans="10:10" x14ac:dyDescent="0.3">
      <c r="J29085"/>
    </row>
    <row r="29086" spans="10:10" x14ac:dyDescent="0.3">
      <c r="J29086"/>
    </row>
    <row r="29087" spans="10:10" x14ac:dyDescent="0.3">
      <c r="J29087"/>
    </row>
    <row r="29088" spans="10:10" x14ac:dyDescent="0.3">
      <c r="J29088"/>
    </row>
    <row r="29089" spans="10:10" x14ac:dyDescent="0.3">
      <c r="J29089"/>
    </row>
    <row r="29090" spans="10:10" x14ac:dyDescent="0.3">
      <c r="J29090"/>
    </row>
    <row r="29091" spans="10:10" x14ac:dyDescent="0.3">
      <c r="J29091"/>
    </row>
    <row r="29092" spans="10:10" x14ac:dyDescent="0.3">
      <c r="J29092"/>
    </row>
    <row r="29093" spans="10:10" x14ac:dyDescent="0.3">
      <c r="J29093"/>
    </row>
    <row r="29094" spans="10:10" x14ac:dyDescent="0.3">
      <c r="J29094"/>
    </row>
    <row r="29095" spans="10:10" x14ac:dyDescent="0.3">
      <c r="J29095"/>
    </row>
    <row r="29096" spans="10:10" x14ac:dyDescent="0.3">
      <c r="J29096"/>
    </row>
    <row r="29097" spans="10:10" x14ac:dyDescent="0.3">
      <c r="J29097"/>
    </row>
    <row r="29098" spans="10:10" x14ac:dyDescent="0.3">
      <c r="J29098"/>
    </row>
    <row r="29099" spans="10:10" x14ac:dyDescent="0.3">
      <c r="J29099"/>
    </row>
    <row r="29100" spans="10:10" x14ac:dyDescent="0.3">
      <c r="J29100"/>
    </row>
    <row r="29101" spans="10:10" x14ac:dyDescent="0.3">
      <c r="J29101"/>
    </row>
    <row r="29102" spans="10:10" x14ac:dyDescent="0.3">
      <c r="J29102"/>
    </row>
    <row r="29103" spans="10:10" x14ac:dyDescent="0.3">
      <c r="J29103"/>
    </row>
    <row r="29104" spans="10:10" x14ac:dyDescent="0.3">
      <c r="J29104"/>
    </row>
    <row r="29105" spans="10:10" x14ac:dyDescent="0.3">
      <c r="J29105"/>
    </row>
    <row r="29106" spans="10:10" x14ac:dyDescent="0.3">
      <c r="J29106"/>
    </row>
    <row r="29107" spans="10:10" x14ac:dyDescent="0.3">
      <c r="J29107"/>
    </row>
    <row r="29108" spans="10:10" x14ac:dyDescent="0.3">
      <c r="J29108"/>
    </row>
    <row r="29109" spans="10:10" x14ac:dyDescent="0.3">
      <c r="J29109"/>
    </row>
    <row r="29110" spans="10:10" x14ac:dyDescent="0.3">
      <c r="J29110"/>
    </row>
    <row r="29111" spans="10:10" x14ac:dyDescent="0.3">
      <c r="J29111"/>
    </row>
    <row r="29112" spans="10:10" x14ac:dyDescent="0.3">
      <c r="J29112"/>
    </row>
    <row r="29113" spans="10:10" x14ac:dyDescent="0.3">
      <c r="J29113"/>
    </row>
    <row r="29114" spans="10:10" x14ac:dyDescent="0.3">
      <c r="J29114"/>
    </row>
    <row r="29115" spans="10:10" x14ac:dyDescent="0.3">
      <c r="J29115"/>
    </row>
    <row r="29116" spans="10:10" x14ac:dyDescent="0.3">
      <c r="J29116"/>
    </row>
    <row r="29117" spans="10:10" x14ac:dyDescent="0.3">
      <c r="J29117"/>
    </row>
    <row r="29118" spans="10:10" x14ac:dyDescent="0.3">
      <c r="J29118"/>
    </row>
    <row r="29119" spans="10:10" x14ac:dyDescent="0.3">
      <c r="J29119"/>
    </row>
    <row r="29120" spans="10:10" x14ac:dyDescent="0.3">
      <c r="J29120"/>
    </row>
    <row r="29121" spans="10:10" x14ac:dyDescent="0.3">
      <c r="J29121"/>
    </row>
    <row r="29122" spans="10:10" x14ac:dyDescent="0.3">
      <c r="J29122"/>
    </row>
    <row r="29123" spans="10:10" x14ac:dyDescent="0.3">
      <c r="J29123"/>
    </row>
    <row r="29124" spans="10:10" x14ac:dyDescent="0.3">
      <c r="J29124"/>
    </row>
    <row r="29125" spans="10:10" x14ac:dyDescent="0.3">
      <c r="J29125"/>
    </row>
    <row r="29126" spans="10:10" x14ac:dyDescent="0.3">
      <c r="J29126"/>
    </row>
    <row r="29127" spans="10:10" x14ac:dyDescent="0.3">
      <c r="J29127"/>
    </row>
    <row r="29128" spans="10:10" x14ac:dyDescent="0.3">
      <c r="J29128"/>
    </row>
    <row r="29129" spans="10:10" x14ac:dyDescent="0.3">
      <c r="J29129"/>
    </row>
    <row r="29130" spans="10:10" x14ac:dyDescent="0.3">
      <c r="J29130"/>
    </row>
    <row r="29131" spans="10:10" x14ac:dyDescent="0.3">
      <c r="J29131"/>
    </row>
    <row r="29132" spans="10:10" x14ac:dyDescent="0.3">
      <c r="J29132"/>
    </row>
    <row r="29133" spans="10:10" x14ac:dyDescent="0.3">
      <c r="J29133"/>
    </row>
    <row r="29134" spans="10:10" x14ac:dyDescent="0.3">
      <c r="J29134"/>
    </row>
    <row r="29135" spans="10:10" x14ac:dyDescent="0.3">
      <c r="J29135"/>
    </row>
    <row r="29136" spans="10:10" x14ac:dyDescent="0.3">
      <c r="J29136"/>
    </row>
    <row r="29137" spans="10:10" x14ac:dyDescent="0.3">
      <c r="J29137"/>
    </row>
    <row r="29138" spans="10:10" x14ac:dyDescent="0.3">
      <c r="J29138"/>
    </row>
    <row r="29139" spans="10:10" x14ac:dyDescent="0.3">
      <c r="J29139"/>
    </row>
    <row r="29140" spans="10:10" x14ac:dyDescent="0.3">
      <c r="J29140"/>
    </row>
    <row r="29141" spans="10:10" x14ac:dyDescent="0.3">
      <c r="J29141"/>
    </row>
    <row r="29142" spans="10:10" x14ac:dyDescent="0.3">
      <c r="J29142"/>
    </row>
    <row r="29143" spans="10:10" x14ac:dyDescent="0.3">
      <c r="J29143"/>
    </row>
    <row r="29144" spans="10:10" x14ac:dyDescent="0.3">
      <c r="J29144"/>
    </row>
    <row r="29145" spans="10:10" x14ac:dyDescent="0.3">
      <c r="J29145"/>
    </row>
    <row r="29146" spans="10:10" x14ac:dyDescent="0.3">
      <c r="J29146"/>
    </row>
    <row r="29147" spans="10:10" x14ac:dyDescent="0.3">
      <c r="J29147"/>
    </row>
    <row r="29148" spans="10:10" x14ac:dyDescent="0.3">
      <c r="J29148"/>
    </row>
    <row r="29149" spans="10:10" x14ac:dyDescent="0.3">
      <c r="J29149"/>
    </row>
    <row r="29150" spans="10:10" x14ac:dyDescent="0.3">
      <c r="J29150"/>
    </row>
    <row r="29151" spans="10:10" x14ac:dyDescent="0.3">
      <c r="J29151"/>
    </row>
    <row r="29152" spans="10:10" x14ac:dyDescent="0.3">
      <c r="J29152"/>
    </row>
    <row r="29153" spans="10:10" x14ac:dyDescent="0.3">
      <c r="J29153"/>
    </row>
    <row r="29154" spans="10:10" x14ac:dyDescent="0.3">
      <c r="J29154"/>
    </row>
    <row r="29155" spans="10:10" x14ac:dyDescent="0.3">
      <c r="J29155"/>
    </row>
    <row r="29156" spans="10:10" x14ac:dyDescent="0.3">
      <c r="J29156"/>
    </row>
    <row r="29157" spans="10:10" x14ac:dyDescent="0.3">
      <c r="J29157"/>
    </row>
    <row r="29158" spans="10:10" x14ac:dyDescent="0.3">
      <c r="J29158"/>
    </row>
    <row r="29159" spans="10:10" x14ac:dyDescent="0.3">
      <c r="J29159"/>
    </row>
    <row r="29160" spans="10:10" x14ac:dyDescent="0.3">
      <c r="J29160"/>
    </row>
    <row r="29161" spans="10:10" x14ac:dyDescent="0.3">
      <c r="J29161"/>
    </row>
    <row r="29162" spans="10:10" x14ac:dyDescent="0.3">
      <c r="J29162"/>
    </row>
    <row r="29163" spans="10:10" x14ac:dyDescent="0.3">
      <c r="J29163"/>
    </row>
    <row r="29164" spans="10:10" x14ac:dyDescent="0.3">
      <c r="J29164"/>
    </row>
    <row r="29165" spans="10:10" x14ac:dyDescent="0.3">
      <c r="J29165"/>
    </row>
    <row r="29166" spans="10:10" x14ac:dyDescent="0.3">
      <c r="J29166"/>
    </row>
    <row r="29167" spans="10:10" x14ac:dyDescent="0.3">
      <c r="J29167"/>
    </row>
    <row r="29168" spans="10:10" x14ac:dyDescent="0.3">
      <c r="J29168"/>
    </row>
    <row r="29169" spans="10:10" x14ac:dyDescent="0.3">
      <c r="J29169"/>
    </row>
    <row r="29170" spans="10:10" x14ac:dyDescent="0.3">
      <c r="J29170"/>
    </row>
    <row r="29171" spans="10:10" x14ac:dyDescent="0.3">
      <c r="J29171"/>
    </row>
    <row r="29172" spans="10:10" x14ac:dyDescent="0.3">
      <c r="J29172"/>
    </row>
    <row r="29173" spans="10:10" x14ac:dyDescent="0.3">
      <c r="J29173"/>
    </row>
    <row r="29174" spans="10:10" x14ac:dyDescent="0.3">
      <c r="J29174"/>
    </row>
    <row r="29175" spans="10:10" x14ac:dyDescent="0.3">
      <c r="J29175"/>
    </row>
    <row r="29176" spans="10:10" x14ac:dyDescent="0.3">
      <c r="J29176"/>
    </row>
    <row r="29177" spans="10:10" x14ac:dyDescent="0.3">
      <c r="J29177"/>
    </row>
    <row r="29178" spans="10:10" x14ac:dyDescent="0.3">
      <c r="J29178"/>
    </row>
    <row r="29179" spans="10:10" x14ac:dyDescent="0.3">
      <c r="J29179"/>
    </row>
    <row r="29180" spans="10:10" x14ac:dyDescent="0.3">
      <c r="J29180"/>
    </row>
    <row r="29181" spans="10:10" x14ac:dyDescent="0.3">
      <c r="J29181"/>
    </row>
    <row r="29182" spans="10:10" x14ac:dyDescent="0.3">
      <c r="J29182"/>
    </row>
    <row r="29183" spans="10:10" x14ac:dyDescent="0.3">
      <c r="J29183"/>
    </row>
    <row r="29184" spans="10:10" x14ac:dyDescent="0.3">
      <c r="J29184"/>
    </row>
    <row r="29185" spans="10:10" x14ac:dyDescent="0.3">
      <c r="J29185"/>
    </row>
    <row r="29186" spans="10:10" x14ac:dyDescent="0.3">
      <c r="J29186"/>
    </row>
    <row r="29187" spans="10:10" x14ac:dyDescent="0.3">
      <c r="J29187"/>
    </row>
    <row r="29188" spans="10:10" x14ac:dyDescent="0.3">
      <c r="J29188"/>
    </row>
    <row r="29189" spans="10:10" x14ac:dyDescent="0.3">
      <c r="J29189"/>
    </row>
    <row r="29190" spans="10:10" x14ac:dyDescent="0.3">
      <c r="J29190"/>
    </row>
    <row r="29191" spans="10:10" x14ac:dyDescent="0.3">
      <c r="J29191"/>
    </row>
    <row r="29192" spans="10:10" x14ac:dyDescent="0.3">
      <c r="J29192"/>
    </row>
    <row r="29193" spans="10:10" x14ac:dyDescent="0.3">
      <c r="J29193"/>
    </row>
    <row r="29194" spans="10:10" x14ac:dyDescent="0.3">
      <c r="J29194"/>
    </row>
    <row r="29195" spans="10:10" x14ac:dyDescent="0.3">
      <c r="J29195"/>
    </row>
    <row r="29196" spans="10:10" x14ac:dyDescent="0.3">
      <c r="J29196"/>
    </row>
    <row r="29197" spans="10:10" x14ac:dyDescent="0.3">
      <c r="J29197"/>
    </row>
    <row r="29198" spans="10:10" x14ac:dyDescent="0.3">
      <c r="J29198"/>
    </row>
    <row r="29199" spans="10:10" x14ac:dyDescent="0.3">
      <c r="J29199"/>
    </row>
    <row r="29200" spans="10:10" x14ac:dyDescent="0.3">
      <c r="J29200"/>
    </row>
    <row r="29201" spans="10:10" x14ac:dyDescent="0.3">
      <c r="J29201"/>
    </row>
    <row r="29202" spans="10:10" x14ac:dyDescent="0.3">
      <c r="J29202"/>
    </row>
    <row r="29203" spans="10:10" x14ac:dyDescent="0.3">
      <c r="J29203"/>
    </row>
    <row r="29204" spans="10:10" x14ac:dyDescent="0.3">
      <c r="J29204"/>
    </row>
    <row r="29205" spans="10:10" x14ac:dyDescent="0.3">
      <c r="J29205"/>
    </row>
    <row r="29206" spans="10:10" x14ac:dyDescent="0.3">
      <c r="J29206"/>
    </row>
    <row r="29207" spans="10:10" x14ac:dyDescent="0.3">
      <c r="J29207"/>
    </row>
    <row r="29208" spans="10:10" x14ac:dyDescent="0.3">
      <c r="J29208"/>
    </row>
    <row r="29209" spans="10:10" x14ac:dyDescent="0.3">
      <c r="J29209"/>
    </row>
    <row r="29210" spans="10:10" x14ac:dyDescent="0.3">
      <c r="J29210"/>
    </row>
    <row r="29211" spans="10:10" x14ac:dyDescent="0.3">
      <c r="J29211"/>
    </row>
    <row r="29212" spans="10:10" x14ac:dyDescent="0.3">
      <c r="J29212"/>
    </row>
    <row r="29213" spans="10:10" x14ac:dyDescent="0.3">
      <c r="J29213"/>
    </row>
    <row r="29214" spans="10:10" x14ac:dyDescent="0.3">
      <c r="J29214"/>
    </row>
    <row r="29215" spans="10:10" x14ac:dyDescent="0.3">
      <c r="J29215"/>
    </row>
    <row r="29216" spans="10:10" x14ac:dyDescent="0.3">
      <c r="J29216"/>
    </row>
    <row r="29217" spans="10:10" x14ac:dyDescent="0.3">
      <c r="J29217"/>
    </row>
    <row r="29218" spans="10:10" x14ac:dyDescent="0.3">
      <c r="J29218"/>
    </row>
    <row r="29219" spans="10:10" x14ac:dyDescent="0.3">
      <c r="J29219"/>
    </row>
    <row r="29220" spans="10:10" x14ac:dyDescent="0.3">
      <c r="J29220"/>
    </row>
    <row r="29221" spans="10:10" x14ac:dyDescent="0.3">
      <c r="J29221"/>
    </row>
    <row r="29222" spans="10:10" x14ac:dyDescent="0.3">
      <c r="J29222"/>
    </row>
    <row r="29223" spans="10:10" x14ac:dyDescent="0.3">
      <c r="J29223"/>
    </row>
    <row r="29224" spans="10:10" x14ac:dyDescent="0.3">
      <c r="J29224"/>
    </row>
    <row r="29225" spans="10:10" x14ac:dyDescent="0.3">
      <c r="J29225"/>
    </row>
    <row r="29226" spans="10:10" x14ac:dyDescent="0.3">
      <c r="J29226"/>
    </row>
    <row r="29227" spans="10:10" x14ac:dyDescent="0.3">
      <c r="J29227"/>
    </row>
    <row r="29228" spans="10:10" x14ac:dyDescent="0.3">
      <c r="J29228"/>
    </row>
    <row r="29229" spans="10:10" x14ac:dyDescent="0.3">
      <c r="J29229"/>
    </row>
    <row r="29230" spans="10:10" x14ac:dyDescent="0.3">
      <c r="J29230"/>
    </row>
    <row r="29231" spans="10:10" x14ac:dyDescent="0.3">
      <c r="J29231"/>
    </row>
    <row r="29232" spans="10:10" x14ac:dyDescent="0.3">
      <c r="J29232"/>
    </row>
    <row r="29233" spans="10:10" x14ac:dyDescent="0.3">
      <c r="J29233"/>
    </row>
    <row r="29234" spans="10:10" x14ac:dyDescent="0.3">
      <c r="J29234"/>
    </row>
    <row r="29235" spans="10:10" x14ac:dyDescent="0.3">
      <c r="J29235"/>
    </row>
    <row r="29236" spans="10:10" x14ac:dyDescent="0.3">
      <c r="J29236"/>
    </row>
    <row r="29237" spans="10:10" x14ac:dyDescent="0.3">
      <c r="J29237"/>
    </row>
    <row r="29238" spans="10:10" x14ac:dyDescent="0.3">
      <c r="J29238"/>
    </row>
    <row r="29239" spans="10:10" x14ac:dyDescent="0.3">
      <c r="J29239"/>
    </row>
    <row r="29240" spans="10:10" x14ac:dyDescent="0.3">
      <c r="J29240"/>
    </row>
    <row r="29241" spans="10:10" x14ac:dyDescent="0.3">
      <c r="J29241"/>
    </row>
    <row r="29242" spans="10:10" x14ac:dyDescent="0.3">
      <c r="J29242"/>
    </row>
    <row r="29243" spans="10:10" x14ac:dyDescent="0.3">
      <c r="J29243"/>
    </row>
    <row r="29244" spans="10:10" x14ac:dyDescent="0.3">
      <c r="J29244"/>
    </row>
    <row r="29245" spans="10:10" x14ac:dyDescent="0.3">
      <c r="J29245"/>
    </row>
    <row r="29246" spans="10:10" x14ac:dyDescent="0.3">
      <c r="J29246"/>
    </row>
    <row r="29247" spans="10:10" x14ac:dyDescent="0.3">
      <c r="J29247"/>
    </row>
    <row r="29248" spans="10:10" x14ac:dyDescent="0.3">
      <c r="J29248"/>
    </row>
    <row r="29249" spans="10:10" x14ac:dyDescent="0.3">
      <c r="J29249"/>
    </row>
    <row r="29250" spans="10:10" x14ac:dyDescent="0.3">
      <c r="J29250"/>
    </row>
    <row r="29251" spans="10:10" x14ac:dyDescent="0.3">
      <c r="J29251"/>
    </row>
    <row r="29252" spans="10:10" x14ac:dyDescent="0.3">
      <c r="J29252"/>
    </row>
    <row r="29253" spans="10:10" x14ac:dyDescent="0.3">
      <c r="J29253"/>
    </row>
    <row r="29254" spans="10:10" x14ac:dyDescent="0.3">
      <c r="J29254"/>
    </row>
    <row r="29255" spans="10:10" x14ac:dyDescent="0.3">
      <c r="J29255"/>
    </row>
    <row r="29256" spans="10:10" x14ac:dyDescent="0.3">
      <c r="J29256"/>
    </row>
    <row r="29257" spans="10:10" x14ac:dyDescent="0.3">
      <c r="J29257"/>
    </row>
    <row r="29258" spans="10:10" x14ac:dyDescent="0.3">
      <c r="J29258"/>
    </row>
    <row r="29259" spans="10:10" x14ac:dyDescent="0.3">
      <c r="J29259"/>
    </row>
    <row r="29260" spans="10:10" x14ac:dyDescent="0.3">
      <c r="J29260"/>
    </row>
    <row r="29261" spans="10:10" x14ac:dyDescent="0.3">
      <c r="J29261"/>
    </row>
    <row r="29262" spans="10:10" x14ac:dyDescent="0.3">
      <c r="J29262"/>
    </row>
    <row r="29263" spans="10:10" x14ac:dyDescent="0.3">
      <c r="J29263"/>
    </row>
    <row r="29264" spans="10:10" x14ac:dyDescent="0.3">
      <c r="J29264"/>
    </row>
    <row r="29265" spans="10:10" x14ac:dyDescent="0.3">
      <c r="J29265"/>
    </row>
    <row r="29266" spans="10:10" x14ac:dyDescent="0.3">
      <c r="J29266"/>
    </row>
    <row r="29267" spans="10:10" x14ac:dyDescent="0.3">
      <c r="J29267"/>
    </row>
    <row r="29268" spans="10:10" x14ac:dyDescent="0.3">
      <c r="J29268"/>
    </row>
    <row r="29269" spans="10:10" x14ac:dyDescent="0.3">
      <c r="J29269"/>
    </row>
    <row r="29270" spans="10:10" x14ac:dyDescent="0.3">
      <c r="J29270"/>
    </row>
    <row r="29271" spans="10:10" x14ac:dyDescent="0.3">
      <c r="J29271"/>
    </row>
    <row r="29272" spans="10:10" x14ac:dyDescent="0.3">
      <c r="J29272"/>
    </row>
    <row r="29273" spans="10:10" x14ac:dyDescent="0.3">
      <c r="J29273"/>
    </row>
    <row r="29274" spans="10:10" x14ac:dyDescent="0.3">
      <c r="J29274"/>
    </row>
    <row r="29275" spans="10:10" x14ac:dyDescent="0.3">
      <c r="J29275"/>
    </row>
    <row r="29276" spans="10:10" x14ac:dyDescent="0.3">
      <c r="J29276"/>
    </row>
    <row r="29277" spans="10:10" x14ac:dyDescent="0.3">
      <c r="J29277"/>
    </row>
    <row r="29278" spans="10:10" x14ac:dyDescent="0.3">
      <c r="J29278"/>
    </row>
    <row r="29279" spans="10:10" x14ac:dyDescent="0.3">
      <c r="J29279"/>
    </row>
    <row r="29280" spans="10:10" x14ac:dyDescent="0.3">
      <c r="J29280"/>
    </row>
    <row r="29281" spans="10:10" x14ac:dyDescent="0.3">
      <c r="J29281"/>
    </row>
    <row r="29282" spans="10:10" x14ac:dyDescent="0.3">
      <c r="J29282"/>
    </row>
    <row r="29283" spans="10:10" x14ac:dyDescent="0.3">
      <c r="J29283"/>
    </row>
    <row r="29284" spans="10:10" x14ac:dyDescent="0.3">
      <c r="J29284"/>
    </row>
    <row r="29285" spans="10:10" x14ac:dyDescent="0.3">
      <c r="J29285"/>
    </row>
    <row r="29286" spans="10:10" x14ac:dyDescent="0.3">
      <c r="J29286"/>
    </row>
    <row r="29287" spans="10:10" x14ac:dyDescent="0.3">
      <c r="J29287"/>
    </row>
    <row r="29288" spans="10:10" x14ac:dyDescent="0.3">
      <c r="J29288"/>
    </row>
    <row r="29289" spans="10:10" x14ac:dyDescent="0.3">
      <c r="J29289"/>
    </row>
    <row r="29290" spans="10:10" x14ac:dyDescent="0.3">
      <c r="J29290"/>
    </row>
    <row r="29291" spans="10:10" x14ac:dyDescent="0.3">
      <c r="J29291"/>
    </row>
    <row r="29292" spans="10:10" x14ac:dyDescent="0.3">
      <c r="J29292"/>
    </row>
    <row r="29293" spans="10:10" x14ac:dyDescent="0.3">
      <c r="J29293"/>
    </row>
    <row r="29294" spans="10:10" x14ac:dyDescent="0.3">
      <c r="J29294"/>
    </row>
    <row r="29295" spans="10:10" x14ac:dyDescent="0.3">
      <c r="J29295"/>
    </row>
    <row r="29296" spans="10:10" x14ac:dyDescent="0.3">
      <c r="J29296"/>
    </row>
    <row r="29297" spans="10:10" x14ac:dyDescent="0.3">
      <c r="J29297"/>
    </row>
    <row r="29298" spans="10:10" x14ac:dyDescent="0.3">
      <c r="J29298"/>
    </row>
    <row r="29299" spans="10:10" x14ac:dyDescent="0.3">
      <c r="J29299"/>
    </row>
    <row r="29300" spans="10:10" x14ac:dyDescent="0.3">
      <c r="J29300"/>
    </row>
    <row r="29301" spans="10:10" x14ac:dyDescent="0.3">
      <c r="J29301"/>
    </row>
    <row r="29302" spans="10:10" x14ac:dyDescent="0.3">
      <c r="J29302"/>
    </row>
    <row r="29303" spans="10:10" x14ac:dyDescent="0.3">
      <c r="J29303"/>
    </row>
    <row r="29304" spans="10:10" x14ac:dyDescent="0.3">
      <c r="J29304"/>
    </row>
    <row r="29305" spans="10:10" x14ac:dyDescent="0.3">
      <c r="J29305"/>
    </row>
    <row r="29306" spans="10:10" x14ac:dyDescent="0.3">
      <c r="J29306"/>
    </row>
    <row r="29307" spans="10:10" x14ac:dyDescent="0.3">
      <c r="J29307"/>
    </row>
    <row r="29308" spans="10:10" x14ac:dyDescent="0.3">
      <c r="J29308"/>
    </row>
    <row r="29309" spans="10:10" x14ac:dyDescent="0.3">
      <c r="J29309"/>
    </row>
    <row r="29310" spans="10:10" x14ac:dyDescent="0.3">
      <c r="J29310"/>
    </row>
    <row r="29311" spans="10:10" x14ac:dyDescent="0.3">
      <c r="J29311"/>
    </row>
    <row r="29312" spans="10:10" x14ac:dyDescent="0.3">
      <c r="J29312"/>
    </row>
    <row r="29313" spans="10:10" x14ac:dyDescent="0.3">
      <c r="J29313"/>
    </row>
    <row r="29314" spans="10:10" x14ac:dyDescent="0.3">
      <c r="J29314"/>
    </row>
    <row r="29315" spans="10:10" x14ac:dyDescent="0.3">
      <c r="J29315"/>
    </row>
    <row r="29316" spans="10:10" x14ac:dyDescent="0.3">
      <c r="J29316"/>
    </row>
    <row r="29317" spans="10:10" x14ac:dyDescent="0.3">
      <c r="J29317"/>
    </row>
    <row r="29318" spans="10:10" x14ac:dyDescent="0.3">
      <c r="J29318"/>
    </row>
    <row r="29319" spans="10:10" x14ac:dyDescent="0.3">
      <c r="J29319"/>
    </row>
    <row r="29320" spans="10:10" x14ac:dyDescent="0.3">
      <c r="J29320"/>
    </row>
    <row r="29321" spans="10:10" x14ac:dyDescent="0.3">
      <c r="J29321"/>
    </row>
    <row r="29322" spans="10:10" x14ac:dyDescent="0.3">
      <c r="J29322"/>
    </row>
    <row r="29323" spans="10:10" x14ac:dyDescent="0.3">
      <c r="J29323"/>
    </row>
    <row r="29324" spans="10:10" x14ac:dyDescent="0.3">
      <c r="J29324"/>
    </row>
    <row r="29325" spans="10:10" x14ac:dyDescent="0.3">
      <c r="J29325"/>
    </row>
    <row r="29326" spans="10:10" x14ac:dyDescent="0.3">
      <c r="J29326"/>
    </row>
    <row r="29327" spans="10:10" x14ac:dyDescent="0.3">
      <c r="J29327"/>
    </row>
    <row r="29328" spans="10:10" x14ac:dyDescent="0.3">
      <c r="J29328"/>
    </row>
    <row r="29329" spans="10:10" x14ac:dyDescent="0.3">
      <c r="J29329"/>
    </row>
    <row r="29330" spans="10:10" x14ac:dyDescent="0.3">
      <c r="J29330"/>
    </row>
    <row r="29331" spans="10:10" x14ac:dyDescent="0.3">
      <c r="J29331"/>
    </row>
    <row r="29332" spans="10:10" x14ac:dyDescent="0.3">
      <c r="J29332"/>
    </row>
    <row r="29333" spans="10:10" x14ac:dyDescent="0.3">
      <c r="J29333"/>
    </row>
    <row r="29334" spans="10:10" x14ac:dyDescent="0.3">
      <c r="J29334"/>
    </row>
    <row r="29335" spans="10:10" x14ac:dyDescent="0.3">
      <c r="J29335"/>
    </row>
    <row r="29336" spans="10:10" x14ac:dyDescent="0.3">
      <c r="J29336"/>
    </row>
    <row r="29337" spans="10:10" x14ac:dyDescent="0.3">
      <c r="J29337"/>
    </row>
    <row r="29338" spans="10:10" x14ac:dyDescent="0.3">
      <c r="J29338"/>
    </row>
    <row r="29339" spans="10:10" x14ac:dyDescent="0.3">
      <c r="J29339"/>
    </row>
    <row r="29340" spans="10:10" x14ac:dyDescent="0.3">
      <c r="J29340"/>
    </row>
    <row r="29341" spans="10:10" x14ac:dyDescent="0.3">
      <c r="J29341"/>
    </row>
    <row r="29342" spans="10:10" x14ac:dyDescent="0.3">
      <c r="J29342"/>
    </row>
    <row r="29343" spans="10:10" x14ac:dyDescent="0.3">
      <c r="J29343"/>
    </row>
    <row r="29344" spans="10:10" x14ac:dyDescent="0.3">
      <c r="J29344"/>
    </row>
    <row r="29345" spans="10:10" x14ac:dyDescent="0.3">
      <c r="J29345"/>
    </row>
    <row r="29346" spans="10:10" x14ac:dyDescent="0.3">
      <c r="J29346"/>
    </row>
    <row r="29347" spans="10:10" x14ac:dyDescent="0.3">
      <c r="J29347"/>
    </row>
    <row r="29348" spans="10:10" x14ac:dyDescent="0.3">
      <c r="J29348"/>
    </row>
    <row r="29349" spans="10:10" x14ac:dyDescent="0.3">
      <c r="J29349"/>
    </row>
    <row r="29350" spans="10:10" x14ac:dyDescent="0.3">
      <c r="J29350"/>
    </row>
    <row r="29351" spans="10:10" x14ac:dyDescent="0.3">
      <c r="J29351"/>
    </row>
    <row r="29352" spans="10:10" x14ac:dyDescent="0.3">
      <c r="J29352"/>
    </row>
    <row r="29353" spans="10:10" x14ac:dyDescent="0.3">
      <c r="J29353"/>
    </row>
    <row r="29354" spans="10:10" x14ac:dyDescent="0.3">
      <c r="J29354"/>
    </row>
    <row r="29355" spans="10:10" x14ac:dyDescent="0.3">
      <c r="J29355"/>
    </row>
    <row r="29356" spans="10:10" x14ac:dyDescent="0.3">
      <c r="J29356"/>
    </row>
    <row r="29357" spans="10:10" x14ac:dyDescent="0.3">
      <c r="J29357"/>
    </row>
    <row r="29358" spans="10:10" x14ac:dyDescent="0.3">
      <c r="J29358"/>
    </row>
    <row r="29359" spans="10:10" x14ac:dyDescent="0.3">
      <c r="J29359"/>
    </row>
    <row r="29360" spans="10:10" x14ac:dyDescent="0.3">
      <c r="J29360"/>
    </row>
    <row r="29361" spans="10:10" x14ac:dyDescent="0.3">
      <c r="J29361"/>
    </row>
    <row r="29362" spans="10:10" x14ac:dyDescent="0.3">
      <c r="J29362"/>
    </row>
    <row r="29363" spans="10:10" x14ac:dyDescent="0.3">
      <c r="J29363"/>
    </row>
    <row r="29364" spans="10:10" x14ac:dyDescent="0.3">
      <c r="J29364"/>
    </row>
    <row r="29365" spans="10:10" x14ac:dyDescent="0.3">
      <c r="J29365"/>
    </row>
    <row r="29366" spans="10:10" x14ac:dyDescent="0.3">
      <c r="J29366"/>
    </row>
    <row r="29367" spans="10:10" x14ac:dyDescent="0.3">
      <c r="J29367"/>
    </row>
    <row r="29368" spans="10:10" x14ac:dyDescent="0.3">
      <c r="J29368"/>
    </row>
    <row r="29369" spans="10:10" x14ac:dyDescent="0.3">
      <c r="J29369"/>
    </row>
    <row r="29370" spans="10:10" x14ac:dyDescent="0.3">
      <c r="J29370"/>
    </row>
    <row r="29371" spans="10:10" x14ac:dyDescent="0.3">
      <c r="J29371"/>
    </row>
    <row r="29372" spans="10:10" x14ac:dyDescent="0.3">
      <c r="J29372"/>
    </row>
    <row r="29373" spans="10:10" x14ac:dyDescent="0.3">
      <c r="J29373"/>
    </row>
    <row r="29374" spans="10:10" x14ac:dyDescent="0.3">
      <c r="J29374"/>
    </row>
    <row r="29375" spans="10:10" x14ac:dyDescent="0.3">
      <c r="J29375"/>
    </row>
    <row r="29376" spans="10:10" x14ac:dyDescent="0.3">
      <c r="J29376"/>
    </row>
    <row r="29377" spans="10:10" x14ac:dyDescent="0.3">
      <c r="J29377"/>
    </row>
    <row r="29378" spans="10:10" x14ac:dyDescent="0.3">
      <c r="J29378"/>
    </row>
    <row r="29379" spans="10:10" x14ac:dyDescent="0.3">
      <c r="J29379"/>
    </row>
    <row r="29380" spans="10:10" x14ac:dyDescent="0.3">
      <c r="J29380"/>
    </row>
    <row r="29381" spans="10:10" x14ac:dyDescent="0.3">
      <c r="J29381"/>
    </row>
    <row r="29382" spans="10:10" x14ac:dyDescent="0.3">
      <c r="J29382"/>
    </row>
    <row r="29383" spans="10:10" x14ac:dyDescent="0.3">
      <c r="J29383"/>
    </row>
    <row r="29384" spans="10:10" x14ac:dyDescent="0.3">
      <c r="J29384"/>
    </row>
    <row r="29385" spans="10:10" x14ac:dyDescent="0.3">
      <c r="J29385"/>
    </row>
    <row r="29386" spans="10:10" x14ac:dyDescent="0.3">
      <c r="J29386"/>
    </row>
    <row r="29387" spans="10:10" x14ac:dyDescent="0.3">
      <c r="J29387"/>
    </row>
    <row r="29388" spans="10:10" x14ac:dyDescent="0.3">
      <c r="J29388"/>
    </row>
    <row r="29389" spans="10:10" x14ac:dyDescent="0.3">
      <c r="J29389"/>
    </row>
    <row r="29390" spans="10:10" x14ac:dyDescent="0.3">
      <c r="J29390"/>
    </row>
    <row r="29391" spans="10:10" x14ac:dyDescent="0.3">
      <c r="J29391"/>
    </row>
    <row r="29392" spans="10:10" x14ac:dyDescent="0.3">
      <c r="J29392"/>
    </row>
    <row r="29393" spans="10:10" x14ac:dyDescent="0.3">
      <c r="J29393"/>
    </row>
    <row r="29394" spans="10:10" x14ac:dyDescent="0.3">
      <c r="J29394"/>
    </row>
    <row r="29395" spans="10:10" x14ac:dyDescent="0.3">
      <c r="J29395"/>
    </row>
    <row r="29396" spans="10:10" x14ac:dyDescent="0.3">
      <c r="J29396"/>
    </row>
    <row r="29397" spans="10:10" x14ac:dyDescent="0.3">
      <c r="J29397"/>
    </row>
    <row r="29398" spans="10:10" x14ac:dyDescent="0.3">
      <c r="J29398"/>
    </row>
    <row r="29399" spans="10:10" x14ac:dyDescent="0.3">
      <c r="J29399"/>
    </row>
    <row r="29400" spans="10:10" x14ac:dyDescent="0.3">
      <c r="J29400"/>
    </row>
    <row r="29401" spans="10:10" x14ac:dyDescent="0.3">
      <c r="J29401"/>
    </row>
    <row r="29402" spans="10:10" x14ac:dyDescent="0.3">
      <c r="J29402"/>
    </row>
    <row r="29403" spans="10:10" x14ac:dyDescent="0.3">
      <c r="J29403"/>
    </row>
    <row r="29404" spans="10:10" x14ac:dyDescent="0.3">
      <c r="J29404"/>
    </row>
    <row r="29405" spans="10:10" x14ac:dyDescent="0.3">
      <c r="J29405"/>
    </row>
    <row r="29406" spans="10:10" x14ac:dyDescent="0.3">
      <c r="J29406"/>
    </row>
    <row r="29407" spans="10:10" x14ac:dyDescent="0.3">
      <c r="J29407"/>
    </row>
    <row r="29408" spans="10:10" x14ac:dyDescent="0.3">
      <c r="J29408"/>
    </row>
    <row r="29409" spans="10:10" x14ac:dyDescent="0.3">
      <c r="J29409"/>
    </row>
    <row r="29410" spans="10:10" x14ac:dyDescent="0.3">
      <c r="J29410"/>
    </row>
    <row r="29411" spans="10:10" x14ac:dyDescent="0.3">
      <c r="J29411"/>
    </row>
    <row r="29412" spans="10:10" x14ac:dyDescent="0.3">
      <c r="J29412"/>
    </row>
    <row r="29413" spans="10:10" x14ac:dyDescent="0.3">
      <c r="J29413"/>
    </row>
    <row r="29414" spans="10:10" x14ac:dyDescent="0.3">
      <c r="J29414"/>
    </row>
    <row r="29415" spans="10:10" x14ac:dyDescent="0.3">
      <c r="J29415"/>
    </row>
    <row r="29416" spans="10:10" x14ac:dyDescent="0.3">
      <c r="J29416"/>
    </row>
    <row r="29417" spans="10:10" x14ac:dyDescent="0.3">
      <c r="J29417"/>
    </row>
    <row r="29418" spans="10:10" x14ac:dyDescent="0.3">
      <c r="J29418"/>
    </row>
    <row r="29419" spans="10:10" x14ac:dyDescent="0.3">
      <c r="J29419"/>
    </row>
    <row r="29420" spans="10:10" x14ac:dyDescent="0.3">
      <c r="J29420"/>
    </row>
    <row r="29421" spans="10:10" x14ac:dyDescent="0.3">
      <c r="J29421"/>
    </row>
    <row r="29422" spans="10:10" x14ac:dyDescent="0.3">
      <c r="J29422"/>
    </row>
    <row r="29423" spans="10:10" x14ac:dyDescent="0.3">
      <c r="J29423"/>
    </row>
    <row r="29424" spans="10:10" x14ac:dyDescent="0.3">
      <c r="J29424"/>
    </row>
    <row r="29425" spans="10:10" x14ac:dyDescent="0.3">
      <c r="J29425"/>
    </row>
    <row r="29426" spans="10:10" x14ac:dyDescent="0.3">
      <c r="J29426"/>
    </row>
    <row r="29427" spans="10:10" x14ac:dyDescent="0.3">
      <c r="J29427"/>
    </row>
    <row r="29428" spans="10:10" x14ac:dyDescent="0.3">
      <c r="J29428"/>
    </row>
    <row r="29429" spans="10:10" x14ac:dyDescent="0.3">
      <c r="J29429"/>
    </row>
    <row r="29430" spans="10:10" x14ac:dyDescent="0.3">
      <c r="J29430"/>
    </row>
    <row r="29431" spans="10:10" x14ac:dyDescent="0.3">
      <c r="J29431"/>
    </row>
    <row r="29432" spans="10:10" x14ac:dyDescent="0.3">
      <c r="J29432"/>
    </row>
    <row r="29433" spans="10:10" x14ac:dyDescent="0.3">
      <c r="J29433"/>
    </row>
    <row r="29434" spans="10:10" x14ac:dyDescent="0.3">
      <c r="J29434"/>
    </row>
    <row r="29435" spans="10:10" x14ac:dyDescent="0.3">
      <c r="J29435"/>
    </row>
    <row r="29436" spans="10:10" x14ac:dyDescent="0.3">
      <c r="J29436"/>
    </row>
    <row r="29437" spans="10:10" x14ac:dyDescent="0.3">
      <c r="J29437"/>
    </row>
    <row r="29438" spans="10:10" x14ac:dyDescent="0.3">
      <c r="J29438"/>
    </row>
    <row r="29439" spans="10:10" x14ac:dyDescent="0.3">
      <c r="J29439"/>
    </row>
    <row r="29440" spans="10:10" x14ac:dyDescent="0.3">
      <c r="J29440"/>
    </row>
    <row r="29441" spans="10:10" x14ac:dyDescent="0.3">
      <c r="J29441"/>
    </row>
    <row r="29442" spans="10:10" x14ac:dyDescent="0.3">
      <c r="J29442"/>
    </row>
    <row r="29443" spans="10:10" x14ac:dyDescent="0.3">
      <c r="J29443"/>
    </row>
    <row r="29444" spans="10:10" x14ac:dyDescent="0.3">
      <c r="J29444"/>
    </row>
    <row r="29445" spans="10:10" x14ac:dyDescent="0.3">
      <c r="J29445"/>
    </row>
    <row r="29446" spans="10:10" x14ac:dyDescent="0.3">
      <c r="J29446"/>
    </row>
    <row r="29447" spans="10:10" x14ac:dyDescent="0.3">
      <c r="J29447"/>
    </row>
    <row r="29448" spans="10:10" x14ac:dyDescent="0.3">
      <c r="J29448"/>
    </row>
    <row r="29449" spans="10:10" x14ac:dyDescent="0.3">
      <c r="J29449"/>
    </row>
    <row r="29450" spans="10:10" x14ac:dyDescent="0.3">
      <c r="J29450"/>
    </row>
    <row r="29451" spans="10:10" x14ac:dyDescent="0.3">
      <c r="J29451"/>
    </row>
    <row r="29452" spans="10:10" x14ac:dyDescent="0.3">
      <c r="J29452"/>
    </row>
    <row r="29453" spans="10:10" x14ac:dyDescent="0.3">
      <c r="J29453"/>
    </row>
    <row r="29454" spans="10:10" x14ac:dyDescent="0.3">
      <c r="J29454"/>
    </row>
    <row r="29455" spans="10:10" x14ac:dyDescent="0.3">
      <c r="J29455"/>
    </row>
    <row r="29456" spans="10:10" x14ac:dyDescent="0.3">
      <c r="J29456"/>
    </row>
    <row r="29457" spans="10:10" x14ac:dyDescent="0.3">
      <c r="J29457"/>
    </row>
    <row r="29458" spans="10:10" x14ac:dyDescent="0.3">
      <c r="J29458"/>
    </row>
    <row r="29459" spans="10:10" x14ac:dyDescent="0.3">
      <c r="J29459"/>
    </row>
    <row r="29460" spans="10:10" x14ac:dyDescent="0.3">
      <c r="J29460"/>
    </row>
    <row r="29461" spans="10:10" x14ac:dyDescent="0.3">
      <c r="J29461"/>
    </row>
    <row r="29462" spans="10:10" x14ac:dyDescent="0.3">
      <c r="J29462"/>
    </row>
    <row r="29463" spans="10:10" x14ac:dyDescent="0.3">
      <c r="J29463"/>
    </row>
    <row r="29464" spans="10:10" x14ac:dyDescent="0.3">
      <c r="J29464"/>
    </row>
    <row r="29465" spans="10:10" x14ac:dyDescent="0.3">
      <c r="J29465"/>
    </row>
    <row r="29466" spans="10:10" x14ac:dyDescent="0.3">
      <c r="J29466"/>
    </row>
    <row r="29467" spans="10:10" x14ac:dyDescent="0.3">
      <c r="J29467"/>
    </row>
    <row r="29468" spans="10:10" x14ac:dyDescent="0.3">
      <c r="J29468"/>
    </row>
    <row r="29469" spans="10:10" x14ac:dyDescent="0.3">
      <c r="J29469"/>
    </row>
    <row r="29470" spans="10:10" x14ac:dyDescent="0.3">
      <c r="J29470"/>
    </row>
    <row r="29471" spans="10:10" x14ac:dyDescent="0.3">
      <c r="J29471"/>
    </row>
    <row r="29472" spans="10:10" x14ac:dyDescent="0.3">
      <c r="J29472"/>
    </row>
    <row r="29473" spans="10:10" x14ac:dyDescent="0.3">
      <c r="J29473"/>
    </row>
    <row r="29474" spans="10:10" x14ac:dyDescent="0.3">
      <c r="J29474"/>
    </row>
    <row r="29475" spans="10:10" x14ac:dyDescent="0.3">
      <c r="J29475"/>
    </row>
    <row r="29476" spans="10:10" x14ac:dyDescent="0.3">
      <c r="J29476"/>
    </row>
    <row r="29477" spans="10:10" x14ac:dyDescent="0.3">
      <c r="J29477"/>
    </row>
    <row r="29478" spans="10:10" x14ac:dyDescent="0.3">
      <c r="J29478"/>
    </row>
    <row r="29479" spans="10:10" x14ac:dyDescent="0.3">
      <c r="J29479"/>
    </row>
    <row r="29480" spans="10:10" x14ac:dyDescent="0.3">
      <c r="J29480"/>
    </row>
    <row r="29481" spans="10:10" x14ac:dyDescent="0.3">
      <c r="J29481"/>
    </row>
    <row r="29482" spans="10:10" x14ac:dyDescent="0.3">
      <c r="J29482"/>
    </row>
    <row r="29483" spans="10:10" x14ac:dyDescent="0.3">
      <c r="J29483"/>
    </row>
    <row r="29484" spans="10:10" x14ac:dyDescent="0.3">
      <c r="J29484"/>
    </row>
    <row r="29485" spans="10:10" x14ac:dyDescent="0.3">
      <c r="J29485"/>
    </row>
    <row r="29486" spans="10:10" x14ac:dyDescent="0.3">
      <c r="J29486"/>
    </row>
    <row r="29487" spans="10:10" x14ac:dyDescent="0.3">
      <c r="J29487"/>
    </row>
    <row r="29488" spans="10:10" x14ac:dyDescent="0.3">
      <c r="J29488"/>
    </row>
    <row r="29489" spans="10:10" x14ac:dyDescent="0.3">
      <c r="J29489"/>
    </row>
    <row r="29490" spans="10:10" x14ac:dyDescent="0.3">
      <c r="J29490"/>
    </row>
    <row r="29491" spans="10:10" x14ac:dyDescent="0.3">
      <c r="J29491"/>
    </row>
    <row r="29492" spans="10:10" x14ac:dyDescent="0.3">
      <c r="J29492"/>
    </row>
    <row r="29493" spans="10:10" x14ac:dyDescent="0.3">
      <c r="J29493"/>
    </row>
    <row r="29494" spans="10:10" x14ac:dyDescent="0.3">
      <c r="J29494"/>
    </row>
    <row r="29495" spans="10:10" x14ac:dyDescent="0.3">
      <c r="J29495"/>
    </row>
    <row r="29496" spans="10:10" x14ac:dyDescent="0.3">
      <c r="J29496"/>
    </row>
    <row r="29497" spans="10:10" x14ac:dyDescent="0.3">
      <c r="J29497"/>
    </row>
    <row r="29498" spans="10:10" x14ac:dyDescent="0.3">
      <c r="J29498"/>
    </row>
    <row r="29499" spans="10:10" x14ac:dyDescent="0.3">
      <c r="J29499"/>
    </row>
    <row r="29500" spans="10:10" x14ac:dyDescent="0.3">
      <c r="J29500"/>
    </row>
    <row r="29501" spans="10:10" x14ac:dyDescent="0.3">
      <c r="J29501"/>
    </row>
    <row r="29502" spans="10:10" x14ac:dyDescent="0.3">
      <c r="J29502"/>
    </row>
    <row r="29503" spans="10:10" x14ac:dyDescent="0.3">
      <c r="J29503"/>
    </row>
    <row r="29504" spans="10:10" x14ac:dyDescent="0.3">
      <c r="J29504"/>
    </row>
    <row r="29505" spans="10:10" x14ac:dyDescent="0.3">
      <c r="J29505"/>
    </row>
    <row r="29506" spans="10:10" x14ac:dyDescent="0.3">
      <c r="J29506"/>
    </row>
    <row r="29507" spans="10:10" x14ac:dyDescent="0.3">
      <c r="J29507"/>
    </row>
    <row r="29508" spans="10:10" x14ac:dyDescent="0.3">
      <c r="J29508"/>
    </row>
    <row r="29509" spans="10:10" x14ac:dyDescent="0.3">
      <c r="J29509"/>
    </row>
    <row r="29510" spans="10:10" x14ac:dyDescent="0.3">
      <c r="J29510"/>
    </row>
    <row r="29511" spans="10:10" x14ac:dyDescent="0.3">
      <c r="J29511"/>
    </row>
    <row r="29512" spans="10:10" x14ac:dyDescent="0.3">
      <c r="J29512"/>
    </row>
    <row r="29513" spans="10:10" x14ac:dyDescent="0.3">
      <c r="J29513"/>
    </row>
    <row r="29514" spans="10:10" x14ac:dyDescent="0.3">
      <c r="J29514"/>
    </row>
    <row r="29515" spans="10:10" x14ac:dyDescent="0.3">
      <c r="J29515"/>
    </row>
    <row r="29516" spans="10:10" x14ac:dyDescent="0.3">
      <c r="J29516"/>
    </row>
    <row r="29517" spans="10:10" x14ac:dyDescent="0.3">
      <c r="J29517"/>
    </row>
    <row r="29518" spans="10:10" x14ac:dyDescent="0.3">
      <c r="J29518"/>
    </row>
    <row r="29519" spans="10:10" x14ac:dyDescent="0.3">
      <c r="J29519"/>
    </row>
    <row r="29520" spans="10:10" x14ac:dyDescent="0.3">
      <c r="J29520"/>
    </row>
    <row r="29521" spans="10:10" x14ac:dyDescent="0.3">
      <c r="J29521"/>
    </row>
    <row r="29522" spans="10:10" x14ac:dyDescent="0.3">
      <c r="J29522"/>
    </row>
    <row r="29523" spans="10:10" x14ac:dyDescent="0.3">
      <c r="J29523"/>
    </row>
    <row r="29524" spans="10:10" x14ac:dyDescent="0.3">
      <c r="J29524"/>
    </row>
    <row r="29525" spans="10:10" x14ac:dyDescent="0.3">
      <c r="J29525"/>
    </row>
    <row r="29526" spans="10:10" x14ac:dyDescent="0.3">
      <c r="J29526"/>
    </row>
    <row r="29527" spans="10:10" x14ac:dyDescent="0.3">
      <c r="J29527"/>
    </row>
    <row r="29528" spans="10:10" x14ac:dyDescent="0.3">
      <c r="J29528"/>
    </row>
    <row r="29529" spans="10:10" x14ac:dyDescent="0.3">
      <c r="J29529"/>
    </row>
    <row r="29530" spans="10:10" x14ac:dyDescent="0.3">
      <c r="J29530"/>
    </row>
    <row r="29531" spans="10:10" x14ac:dyDescent="0.3">
      <c r="J29531"/>
    </row>
    <row r="29532" spans="10:10" x14ac:dyDescent="0.3">
      <c r="J29532"/>
    </row>
    <row r="29533" spans="10:10" x14ac:dyDescent="0.3">
      <c r="J29533"/>
    </row>
    <row r="29534" spans="10:10" x14ac:dyDescent="0.3">
      <c r="J29534"/>
    </row>
    <row r="29535" spans="10:10" x14ac:dyDescent="0.3">
      <c r="J29535"/>
    </row>
    <row r="29536" spans="10:10" x14ac:dyDescent="0.3">
      <c r="J29536"/>
    </row>
    <row r="29537" spans="10:10" x14ac:dyDescent="0.3">
      <c r="J29537"/>
    </row>
    <row r="29538" spans="10:10" x14ac:dyDescent="0.3">
      <c r="J29538"/>
    </row>
    <row r="29539" spans="10:10" x14ac:dyDescent="0.3">
      <c r="J29539"/>
    </row>
    <row r="29540" spans="10:10" x14ac:dyDescent="0.3">
      <c r="J29540"/>
    </row>
    <row r="29541" spans="10:10" x14ac:dyDescent="0.3">
      <c r="J29541"/>
    </row>
    <row r="29542" spans="10:10" x14ac:dyDescent="0.3">
      <c r="J29542"/>
    </row>
    <row r="29543" spans="10:10" x14ac:dyDescent="0.3">
      <c r="J29543"/>
    </row>
    <row r="29544" spans="10:10" x14ac:dyDescent="0.3">
      <c r="J29544"/>
    </row>
    <row r="29545" spans="10:10" x14ac:dyDescent="0.3">
      <c r="J29545"/>
    </row>
    <row r="29546" spans="10:10" x14ac:dyDescent="0.3">
      <c r="J29546"/>
    </row>
    <row r="29547" spans="10:10" x14ac:dyDescent="0.3">
      <c r="J29547"/>
    </row>
    <row r="29548" spans="10:10" x14ac:dyDescent="0.3">
      <c r="J29548"/>
    </row>
    <row r="29549" spans="10:10" x14ac:dyDescent="0.3">
      <c r="J29549"/>
    </row>
    <row r="29550" spans="10:10" x14ac:dyDescent="0.3">
      <c r="J29550"/>
    </row>
    <row r="29551" spans="10:10" x14ac:dyDescent="0.3">
      <c r="J29551"/>
    </row>
    <row r="29552" spans="10:10" x14ac:dyDescent="0.3">
      <c r="J29552"/>
    </row>
    <row r="29553" spans="10:10" x14ac:dyDescent="0.3">
      <c r="J29553"/>
    </row>
    <row r="29554" spans="10:10" x14ac:dyDescent="0.3">
      <c r="J29554"/>
    </row>
    <row r="29555" spans="10:10" x14ac:dyDescent="0.3">
      <c r="J29555"/>
    </row>
    <row r="29556" spans="10:10" x14ac:dyDescent="0.3">
      <c r="J29556"/>
    </row>
    <row r="29557" spans="10:10" x14ac:dyDescent="0.3">
      <c r="J29557"/>
    </row>
    <row r="29558" spans="10:10" x14ac:dyDescent="0.3">
      <c r="J29558"/>
    </row>
    <row r="29559" spans="10:10" x14ac:dyDescent="0.3">
      <c r="J29559"/>
    </row>
    <row r="29560" spans="10:10" x14ac:dyDescent="0.3">
      <c r="J29560"/>
    </row>
    <row r="29561" spans="10:10" x14ac:dyDescent="0.3">
      <c r="J29561"/>
    </row>
    <row r="29562" spans="10:10" x14ac:dyDescent="0.3">
      <c r="J29562"/>
    </row>
    <row r="29563" spans="10:10" x14ac:dyDescent="0.3">
      <c r="J29563"/>
    </row>
    <row r="29564" spans="10:10" x14ac:dyDescent="0.3">
      <c r="J29564"/>
    </row>
    <row r="29565" spans="10:10" x14ac:dyDescent="0.3">
      <c r="J29565"/>
    </row>
    <row r="29566" spans="10:10" x14ac:dyDescent="0.3">
      <c r="J29566"/>
    </row>
    <row r="29567" spans="10:10" x14ac:dyDescent="0.3">
      <c r="J29567"/>
    </row>
    <row r="29568" spans="10:10" x14ac:dyDescent="0.3">
      <c r="J29568"/>
    </row>
    <row r="29569" spans="10:10" x14ac:dyDescent="0.3">
      <c r="J29569"/>
    </row>
    <row r="29570" spans="10:10" x14ac:dyDescent="0.3">
      <c r="J29570"/>
    </row>
    <row r="29571" spans="10:10" x14ac:dyDescent="0.3">
      <c r="J29571"/>
    </row>
    <row r="29572" spans="10:10" x14ac:dyDescent="0.3">
      <c r="J29572"/>
    </row>
    <row r="29573" spans="10:10" x14ac:dyDescent="0.3">
      <c r="J29573"/>
    </row>
    <row r="29574" spans="10:10" x14ac:dyDescent="0.3">
      <c r="J29574"/>
    </row>
    <row r="29575" spans="10:10" x14ac:dyDescent="0.3">
      <c r="J29575"/>
    </row>
    <row r="29576" spans="10:10" x14ac:dyDescent="0.3">
      <c r="J29576"/>
    </row>
    <row r="29577" spans="10:10" x14ac:dyDescent="0.3">
      <c r="J29577"/>
    </row>
    <row r="29578" spans="10:10" x14ac:dyDescent="0.3">
      <c r="J29578"/>
    </row>
    <row r="29579" spans="10:10" x14ac:dyDescent="0.3">
      <c r="J29579"/>
    </row>
    <row r="29580" spans="10:10" x14ac:dyDescent="0.3">
      <c r="J29580"/>
    </row>
    <row r="29581" spans="10:10" x14ac:dyDescent="0.3">
      <c r="J29581"/>
    </row>
    <row r="29582" spans="10:10" x14ac:dyDescent="0.3">
      <c r="J29582"/>
    </row>
    <row r="29583" spans="10:10" x14ac:dyDescent="0.3">
      <c r="J29583"/>
    </row>
    <row r="29584" spans="10:10" x14ac:dyDescent="0.3">
      <c r="J29584"/>
    </row>
    <row r="29585" spans="10:10" x14ac:dyDescent="0.3">
      <c r="J29585"/>
    </row>
    <row r="29586" spans="10:10" x14ac:dyDescent="0.3">
      <c r="J29586"/>
    </row>
    <row r="29587" spans="10:10" x14ac:dyDescent="0.3">
      <c r="J29587"/>
    </row>
    <row r="29588" spans="10:10" x14ac:dyDescent="0.3">
      <c r="J29588"/>
    </row>
    <row r="29589" spans="10:10" x14ac:dyDescent="0.3">
      <c r="J29589"/>
    </row>
    <row r="29590" spans="10:10" x14ac:dyDescent="0.3">
      <c r="J29590"/>
    </row>
    <row r="29591" spans="10:10" x14ac:dyDescent="0.3">
      <c r="J29591"/>
    </row>
    <row r="29592" spans="10:10" x14ac:dyDescent="0.3">
      <c r="J29592"/>
    </row>
    <row r="29593" spans="10:10" x14ac:dyDescent="0.3">
      <c r="J29593"/>
    </row>
    <row r="29594" spans="10:10" x14ac:dyDescent="0.3">
      <c r="J29594"/>
    </row>
    <row r="29595" spans="10:10" x14ac:dyDescent="0.3">
      <c r="J29595"/>
    </row>
    <row r="29596" spans="10:10" x14ac:dyDescent="0.3">
      <c r="J29596"/>
    </row>
    <row r="29597" spans="10:10" x14ac:dyDescent="0.3">
      <c r="J29597"/>
    </row>
    <row r="29598" spans="10:10" x14ac:dyDescent="0.3">
      <c r="J29598"/>
    </row>
    <row r="29599" spans="10:10" x14ac:dyDescent="0.3">
      <c r="J29599"/>
    </row>
    <row r="29600" spans="10:10" x14ac:dyDescent="0.3">
      <c r="J29600"/>
    </row>
    <row r="29601" spans="10:10" x14ac:dyDescent="0.3">
      <c r="J29601"/>
    </row>
    <row r="29602" spans="10:10" x14ac:dyDescent="0.3">
      <c r="J29602"/>
    </row>
    <row r="29603" spans="10:10" x14ac:dyDescent="0.3">
      <c r="J29603"/>
    </row>
    <row r="29604" spans="10:10" x14ac:dyDescent="0.3">
      <c r="J29604"/>
    </row>
    <row r="29605" spans="10:10" x14ac:dyDescent="0.3">
      <c r="J29605"/>
    </row>
    <row r="29606" spans="10:10" x14ac:dyDescent="0.3">
      <c r="J29606"/>
    </row>
    <row r="29607" spans="10:10" x14ac:dyDescent="0.3">
      <c r="J29607"/>
    </row>
    <row r="29608" spans="10:10" x14ac:dyDescent="0.3">
      <c r="J29608"/>
    </row>
    <row r="29609" spans="10:10" x14ac:dyDescent="0.3">
      <c r="J29609"/>
    </row>
    <row r="29610" spans="10:10" x14ac:dyDescent="0.3">
      <c r="J29610"/>
    </row>
    <row r="29611" spans="10:10" x14ac:dyDescent="0.3">
      <c r="J29611"/>
    </row>
    <row r="29612" spans="10:10" x14ac:dyDescent="0.3">
      <c r="J29612"/>
    </row>
    <row r="29613" spans="10:10" x14ac:dyDescent="0.3">
      <c r="J29613"/>
    </row>
    <row r="29614" spans="10:10" x14ac:dyDescent="0.3">
      <c r="J29614"/>
    </row>
    <row r="29615" spans="10:10" x14ac:dyDescent="0.3">
      <c r="J29615"/>
    </row>
    <row r="29616" spans="10:10" x14ac:dyDescent="0.3">
      <c r="J29616"/>
    </row>
    <row r="29617" spans="10:10" x14ac:dyDescent="0.3">
      <c r="J29617"/>
    </row>
    <row r="29618" spans="10:10" x14ac:dyDescent="0.3">
      <c r="J29618"/>
    </row>
    <row r="29619" spans="10:10" x14ac:dyDescent="0.3">
      <c r="J29619"/>
    </row>
    <row r="29620" spans="10:10" x14ac:dyDescent="0.3">
      <c r="J29620"/>
    </row>
    <row r="29621" spans="10:10" x14ac:dyDescent="0.3">
      <c r="J29621"/>
    </row>
    <row r="29622" spans="10:10" x14ac:dyDescent="0.3">
      <c r="J29622"/>
    </row>
    <row r="29623" spans="10:10" x14ac:dyDescent="0.3">
      <c r="J29623"/>
    </row>
    <row r="29624" spans="10:10" x14ac:dyDescent="0.3">
      <c r="J29624"/>
    </row>
    <row r="29625" spans="10:10" x14ac:dyDescent="0.3">
      <c r="J29625"/>
    </row>
    <row r="29626" spans="10:10" x14ac:dyDescent="0.3">
      <c r="J29626"/>
    </row>
    <row r="29627" spans="10:10" x14ac:dyDescent="0.3">
      <c r="J29627"/>
    </row>
    <row r="29628" spans="10:10" x14ac:dyDescent="0.3">
      <c r="J29628"/>
    </row>
    <row r="29629" spans="10:10" x14ac:dyDescent="0.3">
      <c r="J29629"/>
    </row>
    <row r="29630" spans="10:10" x14ac:dyDescent="0.3">
      <c r="J29630"/>
    </row>
    <row r="29631" spans="10:10" x14ac:dyDescent="0.3">
      <c r="J29631"/>
    </row>
    <row r="29632" spans="10:10" x14ac:dyDescent="0.3">
      <c r="J29632"/>
    </row>
    <row r="29633" spans="10:10" x14ac:dyDescent="0.3">
      <c r="J29633"/>
    </row>
    <row r="29634" spans="10:10" x14ac:dyDescent="0.3">
      <c r="J29634"/>
    </row>
    <row r="29635" spans="10:10" x14ac:dyDescent="0.3">
      <c r="J29635"/>
    </row>
    <row r="29636" spans="10:10" x14ac:dyDescent="0.3">
      <c r="J29636"/>
    </row>
    <row r="29637" spans="10:10" x14ac:dyDescent="0.3">
      <c r="J29637"/>
    </row>
    <row r="29638" spans="10:10" x14ac:dyDescent="0.3">
      <c r="J29638"/>
    </row>
    <row r="29639" spans="10:10" x14ac:dyDescent="0.3">
      <c r="J29639"/>
    </row>
    <row r="29640" spans="10:10" x14ac:dyDescent="0.3">
      <c r="J29640"/>
    </row>
    <row r="29641" spans="10:10" x14ac:dyDescent="0.3">
      <c r="J29641"/>
    </row>
    <row r="29642" spans="10:10" x14ac:dyDescent="0.3">
      <c r="J29642"/>
    </row>
    <row r="29643" spans="10:10" x14ac:dyDescent="0.3">
      <c r="J29643"/>
    </row>
    <row r="29644" spans="10:10" x14ac:dyDescent="0.3">
      <c r="J29644"/>
    </row>
    <row r="29645" spans="10:10" x14ac:dyDescent="0.3">
      <c r="J29645"/>
    </row>
    <row r="29646" spans="10:10" x14ac:dyDescent="0.3">
      <c r="J29646"/>
    </row>
    <row r="29647" spans="10:10" x14ac:dyDescent="0.3">
      <c r="J29647"/>
    </row>
    <row r="29648" spans="10:10" x14ac:dyDescent="0.3">
      <c r="J29648"/>
    </row>
    <row r="29649" spans="10:10" x14ac:dyDescent="0.3">
      <c r="J29649"/>
    </row>
    <row r="29650" spans="10:10" x14ac:dyDescent="0.3">
      <c r="J29650"/>
    </row>
    <row r="29651" spans="10:10" x14ac:dyDescent="0.3">
      <c r="J29651"/>
    </row>
    <row r="29652" spans="10:10" x14ac:dyDescent="0.3">
      <c r="J29652"/>
    </row>
    <row r="29653" spans="10:10" x14ac:dyDescent="0.3">
      <c r="J29653"/>
    </row>
    <row r="29654" spans="10:10" x14ac:dyDescent="0.3">
      <c r="J29654"/>
    </row>
    <row r="29655" spans="10:10" x14ac:dyDescent="0.3">
      <c r="J29655"/>
    </row>
    <row r="29656" spans="10:10" x14ac:dyDescent="0.3">
      <c r="J29656"/>
    </row>
    <row r="29657" spans="10:10" x14ac:dyDescent="0.3">
      <c r="J29657"/>
    </row>
    <row r="29658" spans="10:10" x14ac:dyDescent="0.3">
      <c r="J29658"/>
    </row>
    <row r="29659" spans="10:10" x14ac:dyDescent="0.3">
      <c r="J29659"/>
    </row>
    <row r="29660" spans="10:10" x14ac:dyDescent="0.3">
      <c r="J29660"/>
    </row>
    <row r="29661" spans="10:10" x14ac:dyDescent="0.3">
      <c r="J29661"/>
    </row>
    <row r="29662" spans="10:10" x14ac:dyDescent="0.3">
      <c r="J29662"/>
    </row>
    <row r="29663" spans="10:10" x14ac:dyDescent="0.3">
      <c r="J29663"/>
    </row>
    <row r="29664" spans="10:10" x14ac:dyDescent="0.3">
      <c r="J29664"/>
    </row>
    <row r="29665" spans="10:10" x14ac:dyDescent="0.3">
      <c r="J29665"/>
    </row>
    <row r="29666" spans="10:10" x14ac:dyDescent="0.3">
      <c r="J29666"/>
    </row>
    <row r="29667" spans="10:10" x14ac:dyDescent="0.3">
      <c r="J29667"/>
    </row>
    <row r="29668" spans="10:10" x14ac:dyDescent="0.3">
      <c r="J29668"/>
    </row>
    <row r="29669" spans="10:10" x14ac:dyDescent="0.3">
      <c r="J29669"/>
    </row>
    <row r="29670" spans="10:10" x14ac:dyDescent="0.3">
      <c r="J29670"/>
    </row>
    <row r="29671" spans="10:10" x14ac:dyDescent="0.3">
      <c r="J29671"/>
    </row>
    <row r="29672" spans="10:10" x14ac:dyDescent="0.3">
      <c r="J29672"/>
    </row>
    <row r="29673" spans="10:10" x14ac:dyDescent="0.3">
      <c r="J29673"/>
    </row>
    <row r="29674" spans="10:10" x14ac:dyDescent="0.3">
      <c r="J29674"/>
    </row>
    <row r="29675" spans="10:10" x14ac:dyDescent="0.3">
      <c r="J29675"/>
    </row>
    <row r="29676" spans="10:10" x14ac:dyDescent="0.3">
      <c r="J29676"/>
    </row>
    <row r="29677" spans="10:10" x14ac:dyDescent="0.3">
      <c r="J29677"/>
    </row>
    <row r="29678" spans="10:10" x14ac:dyDescent="0.3">
      <c r="J29678"/>
    </row>
    <row r="29679" spans="10:10" x14ac:dyDescent="0.3">
      <c r="J29679"/>
    </row>
    <row r="29680" spans="10:10" x14ac:dyDescent="0.3">
      <c r="J29680"/>
    </row>
    <row r="29681" spans="10:10" x14ac:dyDescent="0.3">
      <c r="J29681"/>
    </row>
    <row r="29682" spans="10:10" x14ac:dyDescent="0.3">
      <c r="J29682"/>
    </row>
    <row r="29683" spans="10:10" x14ac:dyDescent="0.3">
      <c r="J29683"/>
    </row>
    <row r="29684" spans="10:10" x14ac:dyDescent="0.3">
      <c r="J29684"/>
    </row>
    <row r="29685" spans="10:10" x14ac:dyDescent="0.3">
      <c r="J29685"/>
    </row>
    <row r="29686" spans="10:10" x14ac:dyDescent="0.3">
      <c r="J29686"/>
    </row>
    <row r="29687" spans="10:10" x14ac:dyDescent="0.3">
      <c r="J29687"/>
    </row>
    <row r="29688" spans="10:10" x14ac:dyDescent="0.3">
      <c r="J29688"/>
    </row>
    <row r="29689" spans="10:10" x14ac:dyDescent="0.3">
      <c r="J29689"/>
    </row>
    <row r="29690" spans="10:10" x14ac:dyDescent="0.3">
      <c r="J29690"/>
    </row>
    <row r="29691" spans="10:10" x14ac:dyDescent="0.3">
      <c r="J29691"/>
    </row>
    <row r="29692" spans="10:10" x14ac:dyDescent="0.3">
      <c r="J29692"/>
    </row>
    <row r="29693" spans="10:10" x14ac:dyDescent="0.3">
      <c r="J29693"/>
    </row>
    <row r="29694" spans="10:10" x14ac:dyDescent="0.3">
      <c r="J29694"/>
    </row>
    <row r="29695" spans="10:10" x14ac:dyDescent="0.3">
      <c r="J29695"/>
    </row>
    <row r="29696" spans="10:10" x14ac:dyDescent="0.3">
      <c r="J29696"/>
    </row>
    <row r="29697" spans="10:10" x14ac:dyDescent="0.3">
      <c r="J29697"/>
    </row>
    <row r="29698" spans="10:10" x14ac:dyDescent="0.3">
      <c r="J29698"/>
    </row>
    <row r="29699" spans="10:10" x14ac:dyDescent="0.3">
      <c r="J29699"/>
    </row>
    <row r="29700" spans="10:10" x14ac:dyDescent="0.3">
      <c r="J29700"/>
    </row>
    <row r="29701" spans="10:10" x14ac:dyDescent="0.3">
      <c r="J29701"/>
    </row>
    <row r="29702" spans="10:10" x14ac:dyDescent="0.3">
      <c r="J29702"/>
    </row>
    <row r="29703" spans="10:10" x14ac:dyDescent="0.3">
      <c r="J29703"/>
    </row>
    <row r="29704" spans="10:10" x14ac:dyDescent="0.3">
      <c r="J29704"/>
    </row>
    <row r="29705" spans="10:10" x14ac:dyDescent="0.3">
      <c r="J29705"/>
    </row>
    <row r="29706" spans="10:10" x14ac:dyDescent="0.3">
      <c r="J29706"/>
    </row>
    <row r="29707" spans="10:10" x14ac:dyDescent="0.3">
      <c r="J29707"/>
    </row>
    <row r="29708" spans="10:10" x14ac:dyDescent="0.3">
      <c r="J29708"/>
    </row>
    <row r="29709" spans="10:10" x14ac:dyDescent="0.3">
      <c r="J29709"/>
    </row>
    <row r="29710" spans="10:10" x14ac:dyDescent="0.3">
      <c r="J29710"/>
    </row>
    <row r="29711" spans="10:10" x14ac:dyDescent="0.3">
      <c r="J29711"/>
    </row>
    <row r="29712" spans="10:10" x14ac:dyDescent="0.3">
      <c r="J29712"/>
    </row>
    <row r="29713" spans="10:10" x14ac:dyDescent="0.3">
      <c r="J29713"/>
    </row>
    <row r="29714" spans="10:10" x14ac:dyDescent="0.3">
      <c r="J29714"/>
    </row>
    <row r="29715" spans="10:10" x14ac:dyDescent="0.3">
      <c r="J29715"/>
    </row>
    <row r="29716" spans="10:10" x14ac:dyDescent="0.3">
      <c r="J29716"/>
    </row>
    <row r="29717" spans="10:10" x14ac:dyDescent="0.3">
      <c r="J29717"/>
    </row>
    <row r="29718" spans="10:10" x14ac:dyDescent="0.3">
      <c r="J29718"/>
    </row>
    <row r="29719" spans="10:10" x14ac:dyDescent="0.3">
      <c r="J29719"/>
    </row>
    <row r="29720" spans="10:10" x14ac:dyDescent="0.3">
      <c r="J29720"/>
    </row>
    <row r="29721" spans="10:10" x14ac:dyDescent="0.3">
      <c r="J29721"/>
    </row>
    <row r="29722" spans="10:10" x14ac:dyDescent="0.3">
      <c r="J29722"/>
    </row>
    <row r="29723" spans="10:10" x14ac:dyDescent="0.3">
      <c r="J29723"/>
    </row>
    <row r="29724" spans="10:10" x14ac:dyDescent="0.3">
      <c r="J29724"/>
    </row>
    <row r="29725" spans="10:10" x14ac:dyDescent="0.3">
      <c r="J29725"/>
    </row>
    <row r="29726" spans="10:10" x14ac:dyDescent="0.3">
      <c r="J29726"/>
    </row>
    <row r="29727" spans="10:10" x14ac:dyDescent="0.3">
      <c r="J29727"/>
    </row>
    <row r="29728" spans="10:10" x14ac:dyDescent="0.3">
      <c r="J29728"/>
    </row>
    <row r="29729" spans="10:10" x14ac:dyDescent="0.3">
      <c r="J29729"/>
    </row>
    <row r="29730" spans="10:10" x14ac:dyDescent="0.3">
      <c r="J29730"/>
    </row>
    <row r="29731" spans="10:10" x14ac:dyDescent="0.3">
      <c r="J29731"/>
    </row>
    <row r="29732" spans="10:10" x14ac:dyDescent="0.3">
      <c r="J29732"/>
    </row>
    <row r="29733" spans="10:10" x14ac:dyDescent="0.3">
      <c r="J29733"/>
    </row>
    <row r="29734" spans="10:10" x14ac:dyDescent="0.3">
      <c r="J29734"/>
    </row>
    <row r="29735" spans="10:10" x14ac:dyDescent="0.3">
      <c r="J29735"/>
    </row>
    <row r="29736" spans="10:10" x14ac:dyDescent="0.3">
      <c r="J29736"/>
    </row>
    <row r="29737" spans="10:10" x14ac:dyDescent="0.3">
      <c r="J29737"/>
    </row>
    <row r="29738" spans="10:10" x14ac:dyDescent="0.3">
      <c r="J29738"/>
    </row>
    <row r="29739" spans="10:10" x14ac:dyDescent="0.3">
      <c r="J29739"/>
    </row>
    <row r="29740" spans="10:10" x14ac:dyDescent="0.3">
      <c r="J29740"/>
    </row>
    <row r="29741" spans="10:10" x14ac:dyDescent="0.3">
      <c r="J29741"/>
    </row>
    <row r="29742" spans="10:10" x14ac:dyDescent="0.3">
      <c r="J29742"/>
    </row>
    <row r="29743" spans="10:10" x14ac:dyDescent="0.3">
      <c r="J29743"/>
    </row>
    <row r="29744" spans="10:10" x14ac:dyDescent="0.3">
      <c r="J29744"/>
    </row>
    <row r="29745" spans="10:10" x14ac:dyDescent="0.3">
      <c r="J29745"/>
    </row>
    <row r="29746" spans="10:10" x14ac:dyDescent="0.3">
      <c r="J29746"/>
    </row>
    <row r="29747" spans="10:10" x14ac:dyDescent="0.3">
      <c r="J29747"/>
    </row>
    <row r="29748" spans="10:10" x14ac:dyDescent="0.3">
      <c r="J29748"/>
    </row>
    <row r="29749" spans="10:10" x14ac:dyDescent="0.3">
      <c r="J29749"/>
    </row>
    <row r="29750" spans="10:10" x14ac:dyDescent="0.3">
      <c r="J29750"/>
    </row>
    <row r="29751" spans="10:10" x14ac:dyDescent="0.3">
      <c r="J29751"/>
    </row>
    <row r="29752" spans="10:10" x14ac:dyDescent="0.3">
      <c r="J29752"/>
    </row>
    <row r="29753" spans="10:10" x14ac:dyDescent="0.3">
      <c r="J29753"/>
    </row>
    <row r="29754" spans="10:10" x14ac:dyDescent="0.3">
      <c r="J29754"/>
    </row>
    <row r="29755" spans="10:10" x14ac:dyDescent="0.3">
      <c r="J29755"/>
    </row>
    <row r="29756" spans="10:10" x14ac:dyDescent="0.3">
      <c r="J29756"/>
    </row>
    <row r="29757" spans="10:10" x14ac:dyDescent="0.3">
      <c r="J29757"/>
    </row>
    <row r="29758" spans="10:10" x14ac:dyDescent="0.3">
      <c r="J29758"/>
    </row>
    <row r="29759" spans="10:10" x14ac:dyDescent="0.3">
      <c r="J29759"/>
    </row>
    <row r="29760" spans="10:10" x14ac:dyDescent="0.3">
      <c r="J29760"/>
    </row>
    <row r="29761" spans="10:10" x14ac:dyDescent="0.3">
      <c r="J29761"/>
    </row>
    <row r="29762" spans="10:10" x14ac:dyDescent="0.3">
      <c r="J29762"/>
    </row>
    <row r="29763" spans="10:10" x14ac:dyDescent="0.3">
      <c r="J29763"/>
    </row>
    <row r="29764" spans="10:10" x14ac:dyDescent="0.3">
      <c r="J29764"/>
    </row>
    <row r="29765" spans="10:10" x14ac:dyDescent="0.3">
      <c r="J29765"/>
    </row>
    <row r="29766" spans="10:10" x14ac:dyDescent="0.3">
      <c r="J29766"/>
    </row>
    <row r="29767" spans="10:10" x14ac:dyDescent="0.3">
      <c r="J29767"/>
    </row>
    <row r="29768" spans="10:10" x14ac:dyDescent="0.3">
      <c r="J29768"/>
    </row>
    <row r="29769" spans="10:10" x14ac:dyDescent="0.3">
      <c r="J29769"/>
    </row>
    <row r="29770" spans="10:10" x14ac:dyDescent="0.3">
      <c r="J29770"/>
    </row>
    <row r="29771" spans="10:10" x14ac:dyDescent="0.3">
      <c r="J29771"/>
    </row>
    <row r="29772" spans="10:10" x14ac:dyDescent="0.3">
      <c r="J29772"/>
    </row>
    <row r="29773" spans="10:10" x14ac:dyDescent="0.3">
      <c r="J29773"/>
    </row>
    <row r="29774" spans="10:10" x14ac:dyDescent="0.3">
      <c r="J29774"/>
    </row>
    <row r="29775" spans="10:10" x14ac:dyDescent="0.3">
      <c r="J29775"/>
    </row>
    <row r="29776" spans="10:10" x14ac:dyDescent="0.3">
      <c r="J29776"/>
    </row>
    <row r="29777" spans="10:10" x14ac:dyDescent="0.3">
      <c r="J29777"/>
    </row>
    <row r="29778" spans="10:10" x14ac:dyDescent="0.3">
      <c r="J29778"/>
    </row>
    <row r="29779" spans="10:10" x14ac:dyDescent="0.3">
      <c r="J29779"/>
    </row>
    <row r="29780" spans="10:10" x14ac:dyDescent="0.3">
      <c r="J29780"/>
    </row>
    <row r="29781" spans="10:10" x14ac:dyDescent="0.3">
      <c r="J29781"/>
    </row>
    <row r="29782" spans="10:10" x14ac:dyDescent="0.3">
      <c r="J29782"/>
    </row>
    <row r="29783" spans="10:10" x14ac:dyDescent="0.3">
      <c r="J29783"/>
    </row>
    <row r="29784" spans="10:10" x14ac:dyDescent="0.3">
      <c r="J29784"/>
    </row>
    <row r="29785" spans="10:10" x14ac:dyDescent="0.3">
      <c r="J29785"/>
    </row>
    <row r="29786" spans="10:10" x14ac:dyDescent="0.3">
      <c r="J29786"/>
    </row>
    <row r="29787" spans="10:10" x14ac:dyDescent="0.3">
      <c r="J29787"/>
    </row>
    <row r="29788" spans="10:10" x14ac:dyDescent="0.3">
      <c r="J29788"/>
    </row>
    <row r="29789" spans="10:10" x14ac:dyDescent="0.3">
      <c r="J29789"/>
    </row>
    <row r="29790" spans="10:10" x14ac:dyDescent="0.3">
      <c r="J29790"/>
    </row>
    <row r="29791" spans="10:10" x14ac:dyDescent="0.3">
      <c r="J29791"/>
    </row>
    <row r="29792" spans="10:10" x14ac:dyDescent="0.3">
      <c r="J29792"/>
    </row>
    <row r="29793" spans="10:10" x14ac:dyDescent="0.3">
      <c r="J29793"/>
    </row>
    <row r="29794" spans="10:10" x14ac:dyDescent="0.3">
      <c r="J29794"/>
    </row>
    <row r="29795" spans="10:10" x14ac:dyDescent="0.3">
      <c r="J29795"/>
    </row>
    <row r="29796" spans="10:10" x14ac:dyDescent="0.3">
      <c r="J29796"/>
    </row>
    <row r="29797" spans="10:10" x14ac:dyDescent="0.3">
      <c r="J29797"/>
    </row>
    <row r="29798" spans="10:10" x14ac:dyDescent="0.3">
      <c r="J29798"/>
    </row>
    <row r="29799" spans="10:10" x14ac:dyDescent="0.3">
      <c r="J29799"/>
    </row>
    <row r="29800" spans="10:10" x14ac:dyDescent="0.3">
      <c r="J29800"/>
    </row>
    <row r="29801" spans="10:10" x14ac:dyDescent="0.3">
      <c r="J29801"/>
    </row>
    <row r="29802" spans="10:10" x14ac:dyDescent="0.3">
      <c r="J29802"/>
    </row>
    <row r="29803" spans="10:10" x14ac:dyDescent="0.3">
      <c r="J29803"/>
    </row>
    <row r="29804" spans="10:10" x14ac:dyDescent="0.3">
      <c r="J29804"/>
    </row>
    <row r="29805" spans="10:10" x14ac:dyDescent="0.3">
      <c r="J29805"/>
    </row>
    <row r="29806" spans="10:10" x14ac:dyDescent="0.3">
      <c r="J29806"/>
    </row>
    <row r="29807" spans="10:10" x14ac:dyDescent="0.3">
      <c r="J29807"/>
    </row>
    <row r="29808" spans="10:10" x14ac:dyDescent="0.3">
      <c r="J29808"/>
    </row>
    <row r="29809" spans="10:10" x14ac:dyDescent="0.3">
      <c r="J29809"/>
    </row>
    <row r="29810" spans="10:10" x14ac:dyDescent="0.3">
      <c r="J29810"/>
    </row>
    <row r="29811" spans="10:10" x14ac:dyDescent="0.3">
      <c r="J29811"/>
    </row>
    <row r="29812" spans="10:10" x14ac:dyDescent="0.3">
      <c r="J29812"/>
    </row>
    <row r="29813" spans="10:10" x14ac:dyDescent="0.3">
      <c r="J29813"/>
    </row>
    <row r="29814" spans="10:10" x14ac:dyDescent="0.3">
      <c r="J29814"/>
    </row>
    <row r="29815" spans="10:10" x14ac:dyDescent="0.3">
      <c r="J29815"/>
    </row>
    <row r="29816" spans="10:10" x14ac:dyDescent="0.3">
      <c r="J29816"/>
    </row>
    <row r="29817" spans="10:10" x14ac:dyDescent="0.3">
      <c r="J29817"/>
    </row>
    <row r="29818" spans="10:10" x14ac:dyDescent="0.3">
      <c r="J29818"/>
    </row>
    <row r="29819" spans="10:10" x14ac:dyDescent="0.3">
      <c r="J29819"/>
    </row>
    <row r="29820" spans="10:10" x14ac:dyDescent="0.3">
      <c r="J29820"/>
    </row>
    <row r="29821" spans="10:10" x14ac:dyDescent="0.3">
      <c r="J29821"/>
    </row>
    <row r="29822" spans="10:10" x14ac:dyDescent="0.3">
      <c r="J29822"/>
    </row>
    <row r="29823" spans="10:10" x14ac:dyDescent="0.3">
      <c r="J29823"/>
    </row>
    <row r="29824" spans="10:10" x14ac:dyDescent="0.3">
      <c r="J29824"/>
    </row>
    <row r="29825" spans="10:10" x14ac:dyDescent="0.3">
      <c r="J29825"/>
    </row>
    <row r="29826" spans="10:10" x14ac:dyDescent="0.3">
      <c r="J29826"/>
    </row>
    <row r="29827" spans="10:10" x14ac:dyDescent="0.3">
      <c r="J29827"/>
    </row>
    <row r="29828" spans="10:10" x14ac:dyDescent="0.3">
      <c r="J29828"/>
    </row>
    <row r="29829" spans="10:10" x14ac:dyDescent="0.3">
      <c r="J29829"/>
    </row>
    <row r="29830" spans="10:10" x14ac:dyDescent="0.3">
      <c r="J29830"/>
    </row>
    <row r="29831" spans="10:10" x14ac:dyDescent="0.3">
      <c r="J29831"/>
    </row>
    <row r="29832" spans="10:10" x14ac:dyDescent="0.3">
      <c r="J29832"/>
    </row>
    <row r="29833" spans="10:10" x14ac:dyDescent="0.3">
      <c r="J29833"/>
    </row>
    <row r="29834" spans="10:10" x14ac:dyDescent="0.3">
      <c r="J29834"/>
    </row>
    <row r="29835" spans="10:10" x14ac:dyDescent="0.3">
      <c r="J29835"/>
    </row>
    <row r="29836" spans="10:10" x14ac:dyDescent="0.3">
      <c r="J29836"/>
    </row>
    <row r="29837" spans="10:10" x14ac:dyDescent="0.3">
      <c r="J29837"/>
    </row>
    <row r="29838" spans="10:10" x14ac:dyDescent="0.3">
      <c r="J29838"/>
    </row>
    <row r="29839" spans="10:10" x14ac:dyDescent="0.3">
      <c r="J29839"/>
    </row>
    <row r="29840" spans="10:10" x14ac:dyDescent="0.3">
      <c r="J29840"/>
    </row>
    <row r="29841" spans="10:10" x14ac:dyDescent="0.3">
      <c r="J29841"/>
    </row>
    <row r="29842" spans="10:10" x14ac:dyDescent="0.3">
      <c r="J29842"/>
    </row>
    <row r="29843" spans="10:10" x14ac:dyDescent="0.3">
      <c r="J29843"/>
    </row>
    <row r="29844" spans="10:10" x14ac:dyDescent="0.3">
      <c r="J29844"/>
    </row>
    <row r="29845" spans="10:10" x14ac:dyDescent="0.3">
      <c r="J29845"/>
    </row>
    <row r="29846" spans="10:10" x14ac:dyDescent="0.3">
      <c r="J29846"/>
    </row>
    <row r="29847" spans="10:10" x14ac:dyDescent="0.3">
      <c r="J29847"/>
    </row>
    <row r="29848" spans="10:10" x14ac:dyDescent="0.3">
      <c r="J29848"/>
    </row>
    <row r="29849" spans="10:10" x14ac:dyDescent="0.3">
      <c r="J29849"/>
    </row>
    <row r="29850" spans="10:10" x14ac:dyDescent="0.3">
      <c r="J29850"/>
    </row>
    <row r="29851" spans="10:10" x14ac:dyDescent="0.3">
      <c r="J29851"/>
    </row>
    <row r="29852" spans="10:10" x14ac:dyDescent="0.3">
      <c r="J29852"/>
    </row>
    <row r="29853" spans="10:10" x14ac:dyDescent="0.3">
      <c r="J29853"/>
    </row>
    <row r="29854" spans="10:10" x14ac:dyDescent="0.3">
      <c r="J29854"/>
    </row>
    <row r="29855" spans="10:10" x14ac:dyDescent="0.3">
      <c r="J29855"/>
    </row>
    <row r="29856" spans="10:10" x14ac:dyDescent="0.3">
      <c r="J29856"/>
    </row>
    <row r="29857" spans="10:10" x14ac:dyDescent="0.3">
      <c r="J29857"/>
    </row>
    <row r="29858" spans="10:10" x14ac:dyDescent="0.3">
      <c r="J29858"/>
    </row>
    <row r="29859" spans="10:10" x14ac:dyDescent="0.3">
      <c r="J29859"/>
    </row>
    <row r="29860" spans="10:10" x14ac:dyDescent="0.3">
      <c r="J29860"/>
    </row>
    <row r="29861" spans="10:10" x14ac:dyDescent="0.3">
      <c r="J29861"/>
    </row>
    <row r="29862" spans="10:10" x14ac:dyDescent="0.3">
      <c r="J29862"/>
    </row>
    <row r="29863" spans="10:10" x14ac:dyDescent="0.3">
      <c r="J29863"/>
    </row>
    <row r="29864" spans="10:10" x14ac:dyDescent="0.3">
      <c r="J29864"/>
    </row>
    <row r="29865" spans="10:10" x14ac:dyDescent="0.3">
      <c r="J29865"/>
    </row>
    <row r="29866" spans="10:10" x14ac:dyDescent="0.3">
      <c r="J29866"/>
    </row>
    <row r="29867" spans="10:10" x14ac:dyDescent="0.3">
      <c r="J29867"/>
    </row>
    <row r="29868" spans="10:10" x14ac:dyDescent="0.3">
      <c r="J29868"/>
    </row>
    <row r="29869" spans="10:10" x14ac:dyDescent="0.3">
      <c r="J29869"/>
    </row>
    <row r="29870" spans="10:10" x14ac:dyDescent="0.3">
      <c r="J29870"/>
    </row>
    <row r="29871" spans="10:10" x14ac:dyDescent="0.3">
      <c r="J29871"/>
    </row>
    <row r="29872" spans="10:10" x14ac:dyDescent="0.3">
      <c r="J29872"/>
    </row>
    <row r="29873" spans="10:10" x14ac:dyDescent="0.3">
      <c r="J29873"/>
    </row>
    <row r="29874" spans="10:10" x14ac:dyDescent="0.3">
      <c r="J29874"/>
    </row>
    <row r="29875" spans="10:10" x14ac:dyDescent="0.3">
      <c r="J29875"/>
    </row>
    <row r="29876" spans="10:10" x14ac:dyDescent="0.3">
      <c r="J29876"/>
    </row>
    <row r="29877" spans="10:10" x14ac:dyDescent="0.3">
      <c r="J29877"/>
    </row>
    <row r="29878" spans="10:10" x14ac:dyDescent="0.3">
      <c r="J29878"/>
    </row>
    <row r="29879" spans="10:10" x14ac:dyDescent="0.3">
      <c r="J29879"/>
    </row>
    <row r="29880" spans="10:10" x14ac:dyDescent="0.3">
      <c r="J29880"/>
    </row>
    <row r="29881" spans="10:10" x14ac:dyDescent="0.3">
      <c r="J29881"/>
    </row>
    <row r="29882" spans="10:10" x14ac:dyDescent="0.3">
      <c r="J29882"/>
    </row>
    <row r="29883" spans="10:10" x14ac:dyDescent="0.3">
      <c r="J29883"/>
    </row>
    <row r="29884" spans="10:10" x14ac:dyDescent="0.3">
      <c r="J29884"/>
    </row>
    <row r="29885" spans="10:10" x14ac:dyDescent="0.3">
      <c r="J29885"/>
    </row>
    <row r="29886" spans="10:10" x14ac:dyDescent="0.3">
      <c r="J29886"/>
    </row>
    <row r="29887" spans="10:10" x14ac:dyDescent="0.3">
      <c r="J29887"/>
    </row>
    <row r="29888" spans="10:10" x14ac:dyDescent="0.3">
      <c r="J29888"/>
    </row>
    <row r="29889" spans="10:10" x14ac:dyDescent="0.3">
      <c r="J29889"/>
    </row>
    <row r="29890" spans="10:10" x14ac:dyDescent="0.3">
      <c r="J29890"/>
    </row>
    <row r="29891" spans="10:10" x14ac:dyDescent="0.3">
      <c r="J29891"/>
    </row>
    <row r="29892" spans="10:10" x14ac:dyDescent="0.3">
      <c r="J29892"/>
    </row>
    <row r="29893" spans="10:10" x14ac:dyDescent="0.3">
      <c r="J29893"/>
    </row>
    <row r="29894" spans="10:10" x14ac:dyDescent="0.3">
      <c r="J29894"/>
    </row>
    <row r="29895" spans="10:10" x14ac:dyDescent="0.3">
      <c r="J29895"/>
    </row>
    <row r="29896" spans="10:10" x14ac:dyDescent="0.3">
      <c r="J29896"/>
    </row>
    <row r="29897" spans="10:10" x14ac:dyDescent="0.3">
      <c r="J29897"/>
    </row>
    <row r="29898" spans="10:10" x14ac:dyDescent="0.3">
      <c r="J29898"/>
    </row>
    <row r="29899" spans="10:10" x14ac:dyDescent="0.3">
      <c r="J29899"/>
    </row>
    <row r="29900" spans="10:10" x14ac:dyDescent="0.3">
      <c r="J29900"/>
    </row>
    <row r="29901" spans="10:10" x14ac:dyDescent="0.3">
      <c r="J29901"/>
    </row>
    <row r="29902" spans="10:10" x14ac:dyDescent="0.3">
      <c r="J29902"/>
    </row>
    <row r="29903" spans="10:10" x14ac:dyDescent="0.3">
      <c r="J29903"/>
    </row>
    <row r="29904" spans="10:10" x14ac:dyDescent="0.3">
      <c r="J29904"/>
    </row>
    <row r="29905" spans="10:10" x14ac:dyDescent="0.3">
      <c r="J29905"/>
    </row>
    <row r="29906" spans="10:10" x14ac:dyDescent="0.3">
      <c r="J29906"/>
    </row>
    <row r="29907" spans="10:10" x14ac:dyDescent="0.3">
      <c r="J29907"/>
    </row>
    <row r="29908" spans="10:10" x14ac:dyDescent="0.3">
      <c r="J29908"/>
    </row>
    <row r="29909" spans="10:10" x14ac:dyDescent="0.3">
      <c r="J29909"/>
    </row>
    <row r="29910" spans="10:10" x14ac:dyDescent="0.3">
      <c r="J29910"/>
    </row>
    <row r="29911" spans="10:10" x14ac:dyDescent="0.3">
      <c r="J29911"/>
    </row>
    <row r="29912" spans="10:10" x14ac:dyDescent="0.3">
      <c r="J29912"/>
    </row>
    <row r="29913" spans="10:10" x14ac:dyDescent="0.3">
      <c r="J29913"/>
    </row>
    <row r="29914" spans="10:10" x14ac:dyDescent="0.3">
      <c r="J29914"/>
    </row>
    <row r="29915" spans="10:10" x14ac:dyDescent="0.3">
      <c r="J29915"/>
    </row>
    <row r="29916" spans="10:10" x14ac:dyDescent="0.3">
      <c r="J29916"/>
    </row>
    <row r="29917" spans="10:10" x14ac:dyDescent="0.3">
      <c r="J29917"/>
    </row>
    <row r="29918" spans="10:10" x14ac:dyDescent="0.3">
      <c r="J29918"/>
    </row>
    <row r="29919" spans="10:10" x14ac:dyDescent="0.3">
      <c r="J29919"/>
    </row>
    <row r="29920" spans="10:10" x14ac:dyDescent="0.3">
      <c r="J29920"/>
    </row>
    <row r="29921" spans="10:10" x14ac:dyDescent="0.3">
      <c r="J29921"/>
    </row>
    <row r="29922" spans="10:10" x14ac:dyDescent="0.3">
      <c r="J29922"/>
    </row>
    <row r="29923" spans="10:10" x14ac:dyDescent="0.3">
      <c r="J29923"/>
    </row>
    <row r="29924" spans="10:10" x14ac:dyDescent="0.3">
      <c r="J29924"/>
    </row>
    <row r="29925" spans="10:10" x14ac:dyDescent="0.3">
      <c r="J29925"/>
    </row>
    <row r="29926" spans="10:10" x14ac:dyDescent="0.3">
      <c r="J29926"/>
    </row>
    <row r="29927" spans="10:10" x14ac:dyDescent="0.3">
      <c r="J29927"/>
    </row>
    <row r="29928" spans="10:10" x14ac:dyDescent="0.3">
      <c r="J29928"/>
    </row>
    <row r="29929" spans="10:10" x14ac:dyDescent="0.3">
      <c r="J29929"/>
    </row>
    <row r="29930" spans="10:10" x14ac:dyDescent="0.3">
      <c r="J29930"/>
    </row>
    <row r="29931" spans="10:10" x14ac:dyDescent="0.3">
      <c r="J29931"/>
    </row>
    <row r="29932" spans="10:10" x14ac:dyDescent="0.3">
      <c r="J29932"/>
    </row>
    <row r="29933" spans="10:10" x14ac:dyDescent="0.3">
      <c r="J29933"/>
    </row>
    <row r="29934" spans="10:10" x14ac:dyDescent="0.3">
      <c r="J29934"/>
    </row>
    <row r="29935" spans="10:10" x14ac:dyDescent="0.3">
      <c r="J29935"/>
    </row>
    <row r="29936" spans="10:10" x14ac:dyDescent="0.3">
      <c r="J29936"/>
    </row>
    <row r="29937" spans="10:10" x14ac:dyDescent="0.3">
      <c r="J29937"/>
    </row>
    <row r="29938" spans="10:10" x14ac:dyDescent="0.3">
      <c r="J29938"/>
    </row>
    <row r="29939" spans="10:10" x14ac:dyDescent="0.3">
      <c r="J29939"/>
    </row>
    <row r="29940" spans="10:10" x14ac:dyDescent="0.3">
      <c r="J29940"/>
    </row>
    <row r="29941" spans="10:10" x14ac:dyDescent="0.3">
      <c r="J29941"/>
    </row>
    <row r="29942" spans="10:10" x14ac:dyDescent="0.3">
      <c r="J29942"/>
    </row>
    <row r="29943" spans="10:10" x14ac:dyDescent="0.3">
      <c r="J29943"/>
    </row>
    <row r="29944" spans="10:10" x14ac:dyDescent="0.3">
      <c r="J29944"/>
    </row>
    <row r="29945" spans="10:10" x14ac:dyDescent="0.3">
      <c r="J29945"/>
    </row>
    <row r="29946" spans="10:10" x14ac:dyDescent="0.3">
      <c r="J29946"/>
    </row>
    <row r="29947" spans="10:10" x14ac:dyDescent="0.3">
      <c r="J29947"/>
    </row>
    <row r="29948" spans="10:10" x14ac:dyDescent="0.3">
      <c r="J29948"/>
    </row>
    <row r="29949" spans="10:10" x14ac:dyDescent="0.3">
      <c r="J29949"/>
    </row>
    <row r="29950" spans="10:10" x14ac:dyDescent="0.3">
      <c r="J29950"/>
    </row>
    <row r="29951" spans="10:10" x14ac:dyDescent="0.3">
      <c r="J29951"/>
    </row>
    <row r="29952" spans="10:10" x14ac:dyDescent="0.3">
      <c r="J29952"/>
    </row>
    <row r="29953" spans="10:10" x14ac:dyDescent="0.3">
      <c r="J29953"/>
    </row>
    <row r="29954" spans="10:10" x14ac:dyDescent="0.3">
      <c r="J29954"/>
    </row>
    <row r="29955" spans="10:10" x14ac:dyDescent="0.3">
      <c r="J29955"/>
    </row>
    <row r="29956" spans="10:10" x14ac:dyDescent="0.3">
      <c r="J29956"/>
    </row>
    <row r="29957" spans="10:10" x14ac:dyDescent="0.3">
      <c r="J29957"/>
    </row>
    <row r="29958" spans="10:10" x14ac:dyDescent="0.3">
      <c r="J29958"/>
    </row>
    <row r="29959" spans="10:10" x14ac:dyDescent="0.3">
      <c r="J29959"/>
    </row>
    <row r="29960" spans="10:10" x14ac:dyDescent="0.3">
      <c r="J29960"/>
    </row>
    <row r="29961" spans="10:10" x14ac:dyDescent="0.3">
      <c r="J29961"/>
    </row>
    <row r="29962" spans="10:10" x14ac:dyDescent="0.3">
      <c r="J29962"/>
    </row>
    <row r="29963" spans="10:10" x14ac:dyDescent="0.3">
      <c r="J29963"/>
    </row>
    <row r="29964" spans="10:10" x14ac:dyDescent="0.3">
      <c r="J29964"/>
    </row>
    <row r="29965" spans="10:10" x14ac:dyDescent="0.3">
      <c r="J29965"/>
    </row>
    <row r="29966" spans="10:10" x14ac:dyDescent="0.3">
      <c r="J29966"/>
    </row>
    <row r="29967" spans="10:10" x14ac:dyDescent="0.3">
      <c r="J29967"/>
    </row>
    <row r="29968" spans="10:10" x14ac:dyDescent="0.3">
      <c r="J29968"/>
    </row>
    <row r="29969" spans="10:10" x14ac:dyDescent="0.3">
      <c r="J29969"/>
    </row>
    <row r="29970" spans="10:10" x14ac:dyDescent="0.3">
      <c r="J29970"/>
    </row>
    <row r="29971" spans="10:10" x14ac:dyDescent="0.3">
      <c r="J29971"/>
    </row>
    <row r="29972" spans="10:10" x14ac:dyDescent="0.3">
      <c r="J29972"/>
    </row>
    <row r="29973" spans="10:10" x14ac:dyDescent="0.3">
      <c r="J29973"/>
    </row>
    <row r="29974" spans="10:10" x14ac:dyDescent="0.3">
      <c r="J29974"/>
    </row>
    <row r="29975" spans="10:10" x14ac:dyDescent="0.3">
      <c r="J29975"/>
    </row>
    <row r="29976" spans="10:10" x14ac:dyDescent="0.3">
      <c r="J29976"/>
    </row>
    <row r="29977" spans="10:10" x14ac:dyDescent="0.3">
      <c r="J29977"/>
    </row>
    <row r="29978" spans="10:10" x14ac:dyDescent="0.3">
      <c r="J29978"/>
    </row>
    <row r="29979" spans="10:10" x14ac:dyDescent="0.3">
      <c r="J29979"/>
    </row>
    <row r="29980" spans="10:10" x14ac:dyDescent="0.3">
      <c r="J29980"/>
    </row>
    <row r="29981" spans="10:10" x14ac:dyDescent="0.3">
      <c r="J29981"/>
    </row>
    <row r="29982" spans="10:10" x14ac:dyDescent="0.3">
      <c r="J29982"/>
    </row>
    <row r="29983" spans="10:10" x14ac:dyDescent="0.3">
      <c r="J29983"/>
    </row>
    <row r="29984" spans="10:10" x14ac:dyDescent="0.3">
      <c r="J29984"/>
    </row>
    <row r="29985" spans="10:10" x14ac:dyDescent="0.3">
      <c r="J29985"/>
    </row>
    <row r="29986" spans="10:10" x14ac:dyDescent="0.3">
      <c r="J29986"/>
    </row>
    <row r="29987" spans="10:10" x14ac:dyDescent="0.3">
      <c r="J29987"/>
    </row>
    <row r="29988" spans="10:10" x14ac:dyDescent="0.3">
      <c r="J29988"/>
    </row>
    <row r="29989" spans="10:10" x14ac:dyDescent="0.3">
      <c r="J29989"/>
    </row>
    <row r="29990" spans="10:10" x14ac:dyDescent="0.3">
      <c r="J29990"/>
    </row>
    <row r="29991" spans="10:10" x14ac:dyDescent="0.3">
      <c r="J29991"/>
    </row>
    <row r="29992" spans="10:10" x14ac:dyDescent="0.3">
      <c r="J29992"/>
    </row>
    <row r="29993" spans="10:10" x14ac:dyDescent="0.3">
      <c r="J29993"/>
    </row>
    <row r="29994" spans="10:10" x14ac:dyDescent="0.3">
      <c r="J29994"/>
    </row>
    <row r="29995" spans="10:10" x14ac:dyDescent="0.3">
      <c r="J29995"/>
    </row>
    <row r="29996" spans="10:10" x14ac:dyDescent="0.3">
      <c r="J29996"/>
    </row>
    <row r="29997" spans="10:10" x14ac:dyDescent="0.3">
      <c r="J29997"/>
    </row>
    <row r="29998" spans="10:10" x14ac:dyDescent="0.3">
      <c r="J29998"/>
    </row>
    <row r="29999" spans="10:10" x14ac:dyDescent="0.3">
      <c r="J29999"/>
    </row>
    <row r="30000" spans="10:10" x14ac:dyDescent="0.3">
      <c r="J30000"/>
    </row>
    <row r="30001" spans="10:10" x14ac:dyDescent="0.3">
      <c r="J30001"/>
    </row>
    <row r="30002" spans="10:10" x14ac:dyDescent="0.3">
      <c r="J30002"/>
    </row>
    <row r="30003" spans="10:10" x14ac:dyDescent="0.3">
      <c r="J30003"/>
    </row>
    <row r="30004" spans="10:10" x14ac:dyDescent="0.3">
      <c r="J30004"/>
    </row>
    <row r="30005" spans="10:10" x14ac:dyDescent="0.3">
      <c r="J30005"/>
    </row>
    <row r="30006" spans="10:10" x14ac:dyDescent="0.3">
      <c r="J30006"/>
    </row>
    <row r="30007" spans="10:10" x14ac:dyDescent="0.3">
      <c r="J30007"/>
    </row>
    <row r="30008" spans="10:10" x14ac:dyDescent="0.3">
      <c r="J30008"/>
    </row>
    <row r="30009" spans="10:10" x14ac:dyDescent="0.3">
      <c r="J30009"/>
    </row>
    <row r="30010" spans="10:10" x14ac:dyDescent="0.3">
      <c r="J30010"/>
    </row>
    <row r="30011" spans="10:10" x14ac:dyDescent="0.3">
      <c r="J30011"/>
    </row>
    <row r="30012" spans="10:10" x14ac:dyDescent="0.3">
      <c r="J30012"/>
    </row>
    <row r="30013" spans="10:10" x14ac:dyDescent="0.3">
      <c r="J30013"/>
    </row>
    <row r="30014" spans="10:10" x14ac:dyDescent="0.3">
      <c r="J30014"/>
    </row>
    <row r="30015" spans="10:10" x14ac:dyDescent="0.3">
      <c r="J30015"/>
    </row>
    <row r="30016" spans="10:10" x14ac:dyDescent="0.3">
      <c r="J30016"/>
    </row>
    <row r="30017" spans="10:10" x14ac:dyDescent="0.3">
      <c r="J30017"/>
    </row>
    <row r="30018" spans="10:10" x14ac:dyDescent="0.3">
      <c r="J30018"/>
    </row>
    <row r="30019" spans="10:10" x14ac:dyDescent="0.3">
      <c r="J30019"/>
    </row>
    <row r="30020" spans="10:10" x14ac:dyDescent="0.3">
      <c r="J30020"/>
    </row>
    <row r="30021" spans="10:10" x14ac:dyDescent="0.3">
      <c r="J30021"/>
    </row>
    <row r="30022" spans="10:10" x14ac:dyDescent="0.3">
      <c r="J30022"/>
    </row>
    <row r="30023" spans="10:10" x14ac:dyDescent="0.3">
      <c r="J30023"/>
    </row>
    <row r="30024" spans="10:10" x14ac:dyDescent="0.3">
      <c r="J30024"/>
    </row>
    <row r="30025" spans="10:10" x14ac:dyDescent="0.3">
      <c r="J30025"/>
    </row>
    <row r="30026" spans="10:10" x14ac:dyDescent="0.3">
      <c r="J30026"/>
    </row>
    <row r="30027" spans="10:10" x14ac:dyDescent="0.3">
      <c r="J30027"/>
    </row>
    <row r="30028" spans="10:10" x14ac:dyDescent="0.3">
      <c r="J30028"/>
    </row>
    <row r="30029" spans="10:10" x14ac:dyDescent="0.3">
      <c r="J30029"/>
    </row>
    <row r="30030" spans="10:10" x14ac:dyDescent="0.3">
      <c r="J30030"/>
    </row>
    <row r="30031" spans="10:10" x14ac:dyDescent="0.3">
      <c r="J30031"/>
    </row>
    <row r="30032" spans="10:10" x14ac:dyDescent="0.3">
      <c r="J30032"/>
    </row>
    <row r="30033" spans="10:10" x14ac:dyDescent="0.3">
      <c r="J30033"/>
    </row>
    <row r="30034" spans="10:10" x14ac:dyDescent="0.3">
      <c r="J30034"/>
    </row>
    <row r="30035" spans="10:10" x14ac:dyDescent="0.3">
      <c r="J30035"/>
    </row>
    <row r="30036" spans="10:10" x14ac:dyDescent="0.3">
      <c r="J30036"/>
    </row>
    <row r="30037" spans="10:10" x14ac:dyDescent="0.3">
      <c r="J30037"/>
    </row>
    <row r="30038" spans="10:10" x14ac:dyDescent="0.3">
      <c r="J30038"/>
    </row>
    <row r="30039" spans="10:10" x14ac:dyDescent="0.3">
      <c r="J30039"/>
    </row>
    <row r="30040" spans="10:10" x14ac:dyDescent="0.3">
      <c r="J30040"/>
    </row>
    <row r="30041" spans="10:10" x14ac:dyDescent="0.3">
      <c r="J30041"/>
    </row>
    <row r="30042" spans="10:10" x14ac:dyDescent="0.3">
      <c r="J30042"/>
    </row>
    <row r="30043" spans="10:10" x14ac:dyDescent="0.3">
      <c r="J30043"/>
    </row>
    <row r="30044" spans="10:10" x14ac:dyDescent="0.3">
      <c r="J30044"/>
    </row>
    <row r="30045" spans="10:10" x14ac:dyDescent="0.3">
      <c r="J30045"/>
    </row>
    <row r="30046" spans="10:10" x14ac:dyDescent="0.3">
      <c r="J30046"/>
    </row>
    <row r="30047" spans="10:10" x14ac:dyDescent="0.3">
      <c r="J30047"/>
    </row>
    <row r="30048" spans="10:10" x14ac:dyDescent="0.3">
      <c r="J30048"/>
    </row>
    <row r="30049" spans="10:10" x14ac:dyDescent="0.3">
      <c r="J30049"/>
    </row>
    <row r="30050" spans="10:10" x14ac:dyDescent="0.3">
      <c r="J30050"/>
    </row>
    <row r="30051" spans="10:10" x14ac:dyDescent="0.3">
      <c r="J30051"/>
    </row>
    <row r="30052" spans="10:10" x14ac:dyDescent="0.3">
      <c r="J30052"/>
    </row>
    <row r="30053" spans="10:10" x14ac:dyDescent="0.3">
      <c r="J30053"/>
    </row>
    <row r="30054" spans="10:10" x14ac:dyDescent="0.3">
      <c r="J30054"/>
    </row>
    <row r="30055" spans="10:10" x14ac:dyDescent="0.3">
      <c r="J30055"/>
    </row>
    <row r="30056" spans="10:10" x14ac:dyDescent="0.3">
      <c r="J30056"/>
    </row>
    <row r="30057" spans="10:10" x14ac:dyDescent="0.3">
      <c r="J30057"/>
    </row>
    <row r="30058" spans="10:10" x14ac:dyDescent="0.3">
      <c r="J30058"/>
    </row>
    <row r="30059" spans="10:10" x14ac:dyDescent="0.3">
      <c r="J30059"/>
    </row>
    <row r="30060" spans="10:10" x14ac:dyDescent="0.3">
      <c r="J30060"/>
    </row>
    <row r="30061" spans="10:10" x14ac:dyDescent="0.3">
      <c r="J30061"/>
    </row>
    <row r="30062" spans="10:10" x14ac:dyDescent="0.3">
      <c r="J30062"/>
    </row>
    <row r="30063" spans="10:10" x14ac:dyDescent="0.3">
      <c r="J30063"/>
    </row>
    <row r="30064" spans="10:10" x14ac:dyDescent="0.3">
      <c r="J30064"/>
    </row>
    <row r="30065" spans="10:10" x14ac:dyDescent="0.3">
      <c r="J30065"/>
    </row>
    <row r="30066" spans="10:10" x14ac:dyDescent="0.3">
      <c r="J30066"/>
    </row>
    <row r="30067" spans="10:10" x14ac:dyDescent="0.3">
      <c r="J30067"/>
    </row>
    <row r="30068" spans="10:10" x14ac:dyDescent="0.3">
      <c r="J30068"/>
    </row>
    <row r="30069" spans="10:10" x14ac:dyDescent="0.3">
      <c r="J30069"/>
    </row>
    <row r="30070" spans="10:10" x14ac:dyDescent="0.3">
      <c r="J30070"/>
    </row>
    <row r="30071" spans="10:10" x14ac:dyDescent="0.3">
      <c r="J30071"/>
    </row>
    <row r="30072" spans="10:10" x14ac:dyDescent="0.3">
      <c r="J30072"/>
    </row>
    <row r="30073" spans="10:10" x14ac:dyDescent="0.3">
      <c r="J30073"/>
    </row>
    <row r="30074" spans="10:10" x14ac:dyDescent="0.3">
      <c r="J30074"/>
    </row>
    <row r="30075" spans="10:10" x14ac:dyDescent="0.3">
      <c r="J30075"/>
    </row>
    <row r="30076" spans="10:10" x14ac:dyDescent="0.3">
      <c r="J30076"/>
    </row>
    <row r="30077" spans="10:10" x14ac:dyDescent="0.3">
      <c r="J30077"/>
    </row>
    <row r="30078" spans="10:10" x14ac:dyDescent="0.3">
      <c r="J30078"/>
    </row>
    <row r="30079" spans="10:10" x14ac:dyDescent="0.3">
      <c r="J30079"/>
    </row>
    <row r="30080" spans="10:10" x14ac:dyDescent="0.3">
      <c r="J30080"/>
    </row>
    <row r="30081" spans="10:10" x14ac:dyDescent="0.3">
      <c r="J30081"/>
    </row>
    <row r="30082" spans="10:10" x14ac:dyDescent="0.3">
      <c r="J30082"/>
    </row>
    <row r="30083" spans="10:10" x14ac:dyDescent="0.3">
      <c r="J30083"/>
    </row>
    <row r="30084" spans="10:10" x14ac:dyDescent="0.3">
      <c r="J30084"/>
    </row>
    <row r="30085" spans="10:10" x14ac:dyDescent="0.3">
      <c r="J30085"/>
    </row>
    <row r="30086" spans="10:10" x14ac:dyDescent="0.3">
      <c r="J30086"/>
    </row>
    <row r="30087" spans="10:10" x14ac:dyDescent="0.3">
      <c r="J30087"/>
    </row>
    <row r="30088" spans="10:10" x14ac:dyDescent="0.3">
      <c r="J30088"/>
    </row>
    <row r="30089" spans="10:10" x14ac:dyDescent="0.3">
      <c r="J30089"/>
    </row>
    <row r="30090" spans="10:10" x14ac:dyDescent="0.3">
      <c r="J30090"/>
    </row>
    <row r="30091" spans="10:10" x14ac:dyDescent="0.3">
      <c r="J30091"/>
    </row>
    <row r="30092" spans="10:10" x14ac:dyDescent="0.3">
      <c r="J30092"/>
    </row>
    <row r="30093" spans="10:10" x14ac:dyDescent="0.3">
      <c r="J30093"/>
    </row>
    <row r="30094" spans="10:10" x14ac:dyDescent="0.3">
      <c r="J30094"/>
    </row>
    <row r="30095" spans="10:10" x14ac:dyDescent="0.3">
      <c r="J30095"/>
    </row>
    <row r="30096" spans="10:10" x14ac:dyDescent="0.3">
      <c r="J30096"/>
    </row>
    <row r="30097" spans="10:10" x14ac:dyDescent="0.3">
      <c r="J30097"/>
    </row>
    <row r="30098" spans="10:10" x14ac:dyDescent="0.3">
      <c r="J30098"/>
    </row>
    <row r="30099" spans="10:10" x14ac:dyDescent="0.3">
      <c r="J30099"/>
    </row>
    <row r="30100" spans="10:10" x14ac:dyDescent="0.3">
      <c r="J30100"/>
    </row>
    <row r="30101" spans="10:10" x14ac:dyDescent="0.3">
      <c r="J30101"/>
    </row>
    <row r="30102" spans="10:10" x14ac:dyDescent="0.3">
      <c r="J30102"/>
    </row>
    <row r="30103" spans="10:10" x14ac:dyDescent="0.3">
      <c r="J30103"/>
    </row>
    <row r="30104" spans="10:10" x14ac:dyDescent="0.3">
      <c r="J30104"/>
    </row>
    <row r="30105" spans="10:10" x14ac:dyDescent="0.3">
      <c r="J30105"/>
    </row>
    <row r="30106" spans="10:10" x14ac:dyDescent="0.3">
      <c r="J30106"/>
    </row>
    <row r="30107" spans="10:10" x14ac:dyDescent="0.3">
      <c r="J30107"/>
    </row>
    <row r="30108" spans="10:10" x14ac:dyDescent="0.3">
      <c r="J30108"/>
    </row>
    <row r="30109" spans="10:10" x14ac:dyDescent="0.3">
      <c r="J30109"/>
    </row>
    <row r="30110" spans="10:10" x14ac:dyDescent="0.3">
      <c r="J30110"/>
    </row>
    <row r="30111" spans="10:10" x14ac:dyDescent="0.3">
      <c r="J30111"/>
    </row>
    <row r="30112" spans="10:10" x14ac:dyDescent="0.3">
      <c r="J30112"/>
    </row>
    <row r="30113" spans="10:10" x14ac:dyDescent="0.3">
      <c r="J30113"/>
    </row>
    <row r="30114" spans="10:10" x14ac:dyDescent="0.3">
      <c r="J30114"/>
    </row>
    <row r="30115" spans="10:10" x14ac:dyDescent="0.3">
      <c r="J30115"/>
    </row>
    <row r="30116" spans="10:10" x14ac:dyDescent="0.3">
      <c r="J30116"/>
    </row>
    <row r="30117" spans="10:10" x14ac:dyDescent="0.3">
      <c r="J30117"/>
    </row>
    <row r="30118" spans="10:10" x14ac:dyDescent="0.3">
      <c r="J30118"/>
    </row>
    <row r="30119" spans="10:10" x14ac:dyDescent="0.3">
      <c r="J30119"/>
    </row>
    <row r="30120" spans="10:10" x14ac:dyDescent="0.3">
      <c r="J30120"/>
    </row>
    <row r="30121" spans="10:10" x14ac:dyDescent="0.3">
      <c r="J30121"/>
    </row>
    <row r="30122" spans="10:10" x14ac:dyDescent="0.3">
      <c r="J30122"/>
    </row>
    <row r="30123" spans="10:10" x14ac:dyDescent="0.3">
      <c r="J30123"/>
    </row>
    <row r="30124" spans="10:10" x14ac:dyDescent="0.3">
      <c r="J30124"/>
    </row>
    <row r="30125" spans="10:10" x14ac:dyDescent="0.3">
      <c r="J30125"/>
    </row>
    <row r="30126" spans="10:10" x14ac:dyDescent="0.3">
      <c r="J30126"/>
    </row>
    <row r="30127" spans="10:10" x14ac:dyDescent="0.3">
      <c r="J30127"/>
    </row>
    <row r="30128" spans="10:10" x14ac:dyDescent="0.3">
      <c r="J30128"/>
    </row>
    <row r="30129" spans="10:10" x14ac:dyDescent="0.3">
      <c r="J30129"/>
    </row>
    <row r="30130" spans="10:10" x14ac:dyDescent="0.3">
      <c r="J30130"/>
    </row>
    <row r="30131" spans="10:10" x14ac:dyDescent="0.3">
      <c r="J30131"/>
    </row>
    <row r="30132" spans="10:10" x14ac:dyDescent="0.3">
      <c r="J30132"/>
    </row>
    <row r="30133" spans="10:10" x14ac:dyDescent="0.3">
      <c r="J30133"/>
    </row>
    <row r="30134" spans="10:10" x14ac:dyDescent="0.3">
      <c r="J30134"/>
    </row>
    <row r="30135" spans="10:10" x14ac:dyDescent="0.3">
      <c r="J30135"/>
    </row>
    <row r="30136" spans="10:10" x14ac:dyDescent="0.3">
      <c r="J30136"/>
    </row>
    <row r="30137" spans="10:10" x14ac:dyDescent="0.3">
      <c r="J30137"/>
    </row>
    <row r="30138" spans="10:10" x14ac:dyDescent="0.3">
      <c r="J30138"/>
    </row>
    <row r="30139" spans="10:10" x14ac:dyDescent="0.3">
      <c r="J30139"/>
    </row>
    <row r="30140" spans="10:10" x14ac:dyDescent="0.3">
      <c r="J30140"/>
    </row>
    <row r="30141" spans="10:10" x14ac:dyDescent="0.3">
      <c r="J30141"/>
    </row>
    <row r="30142" spans="10:10" x14ac:dyDescent="0.3">
      <c r="J30142"/>
    </row>
    <row r="30143" spans="10:10" x14ac:dyDescent="0.3">
      <c r="J30143"/>
    </row>
    <row r="30144" spans="10:10" x14ac:dyDescent="0.3">
      <c r="J30144"/>
    </row>
    <row r="30145" spans="10:10" x14ac:dyDescent="0.3">
      <c r="J30145"/>
    </row>
    <row r="30146" spans="10:10" x14ac:dyDescent="0.3">
      <c r="J30146"/>
    </row>
    <row r="30147" spans="10:10" x14ac:dyDescent="0.3">
      <c r="J30147"/>
    </row>
    <row r="30148" spans="10:10" x14ac:dyDescent="0.3">
      <c r="J30148"/>
    </row>
    <row r="30149" spans="10:10" x14ac:dyDescent="0.3">
      <c r="J30149"/>
    </row>
    <row r="30150" spans="10:10" x14ac:dyDescent="0.3">
      <c r="J30150"/>
    </row>
    <row r="30151" spans="10:10" x14ac:dyDescent="0.3">
      <c r="J30151"/>
    </row>
    <row r="30152" spans="10:10" x14ac:dyDescent="0.3">
      <c r="J30152"/>
    </row>
    <row r="30153" spans="10:10" x14ac:dyDescent="0.3">
      <c r="J30153"/>
    </row>
    <row r="30154" spans="10:10" x14ac:dyDescent="0.3">
      <c r="J30154"/>
    </row>
    <row r="30155" spans="10:10" x14ac:dyDescent="0.3">
      <c r="J30155"/>
    </row>
    <row r="30156" spans="10:10" x14ac:dyDescent="0.3">
      <c r="J30156"/>
    </row>
    <row r="30157" spans="10:10" x14ac:dyDescent="0.3">
      <c r="J30157"/>
    </row>
    <row r="30158" spans="10:10" x14ac:dyDescent="0.3">
      <c r="J30158"/>
    </row>
    <row r="30159" spans="10:10" x14ac:dyDescent="0.3">
      <c r="J30159"/>
    </row>
    <row r="30160" spans="10:10" x14ac:dyDescent="0.3">
      <c r="J30160"/>
    </row>
    <row r="30161" spans="10:10" x14ac:dyDescent="0.3">
      <c r="J30161"/>
    </row>
    <row r="30162" spans="10:10" x14ac:dyDescent="0.3">
      <c r="J30162"/>
    </row>
    <row r="30163" spans="10:10" x14ac:dyDescent="0.3">
      <c r="J30163"/>
    </row>
    <row r="30164" spans="10:10" x14ac:dyDescent="0.3">
      <c r="J30164"/>
    </row>
    <row r="30165" spans="10:10" x14ac:dyDescent="0.3">
      <c r="J30165"/>
    </row>
    <row r="30166" spans="10:10" x14ac:dyDescent="0.3">
      <c r="J30166"/>
    </row>
    <row r="30167" spans="10:10" x14ac:dyDescent="0.3">
      <c r="J30167"/>
    </row>
    <row r="30168" spans="10:10" x14ac:dyDescent="0.3">
      <c r="J30168"/>
    </row>
    <row r="30169" spans="10:10" x14ac:dyDescent="0.3">
      <c r="J30169"/>
    </row>
    <row r="30170" spans="10:10" x14ac:dyDescent="0.3">
      <c r="J30170"/>
    </row>
    <row r="30171" spans="10:10" x14ac:dyDescent="0.3">
      <c r="J30171"/>
    </row>
    <row r="30172" spans="10:10" x14ac:dyDescent="0.3">
      <c r="J30172"/>
    </row>
    <row r="30173" spans="10:10" x14ac:dyDescent="0.3">
      <c r="J30173"/>
    </row>
    <row r="30174" spans="10:10" x14ac:dyDescent="0.3">
      <c r="J30174"/>
    </row>
    <row r="30175" spans="10:10" x14ac:dyDescent="0.3">
      <c r="J30175"/>
    </row>
    <row r="30176" spans="10:10" x14ac:dyDescent="0.3">
      <c r="J30176"/>
    </row>
    <row r="30177" spans="10:10" x14ac:dyDescent="0.3">
      <c r="J30177"/>
    </row>
    <row r="30178" spans="10:10" x14ac:dyDescent="0.3">
      <c r="J30178"/>
    </row>
    <row r="30179" spans="10:10" x14ac:dyDescent="0.3">
      <c r="J30179"/>
    </row>
    <row r="30180" spans="10:10" x14ac:dyDescent="0.3">
      <c r="J30180"/>
    </row>
    <row r="30181" spans="10:10" x14ac:dyDescent="0.3">
      <c r="J30181"/>
    </row>
    <row r="30182" spans="10:10" x14ac:dyDescent="0.3">
      <c r="J30182"/>
    </row>
    <row r="30183" spans="10:10" x14ac:dyDescent="0.3">
      <c r="J30183"/>
    </row>
    <row r="30184" spans="10:10" x14ac:dyDescent="0.3">
      <c r="J30184"/>
    </row>
    <row r="30185" spans="10:10" x14ac:dyDescent="0.3">
      <c r="J30185"/>
    </row>
    <row r="30186" spans="10:10" x14ac:dyDescent="0.3">
      <c r="J30186"/>
    </row>
    <row r="30187" spans="10:10" x14ac:dyDescent="0.3">
      <c r="J30187"/>
    </row>
    <row r="30188" spans="10:10" x14ac:dyDescent="0.3">
      <c r="J30188"/>
    </row>
    <row r="30189" spans="10:10" x14ac:dyDescent="0.3">
      <c r="J30189"/>
    </row>
    <row r="30190" spans="10:10" x14ac:dyDescent="0.3">
      <c r="J30190"/>
    </row>
    <row r="30191" spans="10:10" x14ac:dyDescent="0.3">
      <c r="J30191"/>
    </row>
    <row r="30192" spans="10:10" x14ac:dyDescent="0.3">
      <c r="J30192"/>
    </row>
    <row r="30193" spans="10:10" x14ac:dyDescent="0.3">
      <c r="J30193"/>
    </row>
    <row r="30194" spans="10:10" x14ac:dyDescent="0.3">
      <c r="J30194"/>
    </row>
    <row r="30195" spans="10:10" x14ac:dyDescent="0.3">
      <c r="J30195"/>
    </row>
    <row r="30196" spans="10:10" x14ac:dyDescent="0.3">
      <c r="J30196"/>
    </row>
    <row r="30197" spans="10:10" x14ac:dyDescent="0.3">
      <c r="J30197"/>
    </row>
    <row r="30198" spans="10:10" x14ac:dyDescent="0.3">
      <c r="J30198"/>
    </row>
    <row r="30199" spans="10:10" x14ac:dyDescent="0.3">
      <c r="J30199"/>
    </row>
    <row r="30200" spans="10:10" x14ac:dyDescent="0.3">
      <c r="J30200"/>
    </row>
    <row r="30201" spans="10:10" x14ac:dyDescent="0.3">
      <c r="J30201"/>
    </row>
    <row r="30202" spans="10:10" x14ac:dyDescent="0.3">
      <c r="J30202"/>
    </row>
    <row r="30203" spans="10:10" x14ac:dyDescent="0.3">
      <c r="J30203"/>
    </row>
    <row r="30204" spans="10:10" x14ac:dyDescent="0.3">
      <c r="J30204"/>
    </row>
    <row r="30205" spans="10:10" x14ac:dyDescent="0.3">
      <c r="J30205"/>
    </row>
    <row r="30206" spans="10:10" x14ac:dyDescent="0.3">
      <c r="J30206"/>
    </row>
    <row r="30207" spans="10:10" x14ac:dyDescent="0.3">
      <c r="J30207"/>
    </row>
    <row r="30208" spans="10:10" x14ac:dyDescent="0.3">
      <c r="J30208"/>
    </row>
    <row r="30209" spans="10:10" x14ac:dyDescent="0.3">
      <c r="J30209"/>
    </row>
    <row r="30210" spans="10:10" x14ac:dyDescent="0.3">
      <c r="J30210"/>
    </row>
    <row r="30211" spans="10:10" x14ac:dyDescent="0.3">
      <c r="J30211"/>
    </row>
    <row r="30212" spans="10:10" x14ac:dyDescent="0.3">
      <c r="J30212"/>
    </row>
    <row r="30213" spans="10:10" x14ac:dyDescent="0.3">
      <c r="J30213"/>
    </row>
    <row r="30214" spans="10:10" x14ac:dyDescent="0.3">
      <c r="J30214"/>
    </row>
    <row r="30215" spans="10:10" x14ac:dyDescent="0.3">
      <c r="J30215"/>
    </row>
    <row r="30216" spans="10:10" x14ac:dyDescent="0.3">
      <c r="J30216"/>
    </row>
    <row r="30217" spans="10:10" x14ac:dyDescent="0.3">
      <c r="J30217"/>
    </row>
    <row r="30218" spans="10:10" x14ac:dyDescent="0.3">
      <c r="J30218"/>
    </row>
    <row r="30219" spans="10:10" x14ac:dyDescent="0.3">
      <c r="J30219"/>
    </row>
    <row r="30220" spans="10:10" x14ac:dyDescent="0.3">
      <c r="J30220"/>
    </row>
    <row r="30221" spans="10:10" x14ac:dyDescent="0.3">
      <c r="J30221"/>
    </row>
    <row r="30222" spans="10:10" x14ac:dyDescent="0.3">
      <c r="J30222"/>
    </row>
    <row r="30223" spans="10:10" x14ac:dyDescent="0.3">
      <c r="J30223"/>
    </row>
    <row r="30224" spans="10:10" x14ac:dyDescent="0.3">
      <c r="J30224"/>
    </row>
    <row r="30225" spans="10:10" x14ac:dyDescent="0.3">
      <c r="J30225"/>
    </row>
    <row r="30226" spans="10:10" x14ac:dyDescent="0.3">
      <c r="J30226"/>
    </row>
    <row r="30227" spans="10:10" x14ac:dyDescent="0.3">
      <c r="J30227"/>
    </row>
    <row r="30228" spans="10:10" x14ac:dyDescent="0.3">
      <c r="J30228"/>
    </row>
    <row r="30229" spans="10:10" x14ac:dyDescent="0.3">
      <c r="J30229"/>
    </row>
    <row r="30230" spans="10:10" x14ac:dyDescent="0.3">
      <c r="J30230"/>
    </row>
    <row r="30231" spans="10:10" x14ac:dyDescent="0.3">
      <c r="J30231"/>
    </row>
    <row r="30232" spans="10:10" x14ac:dyDescent="0.3">
      <c r="J30232"/>
    </row>
    <row r="30233" spans="10:10" x14ac:dyDescent="0.3">
      <c r="J30233"/>
    </row>
    <row r="30234" spans="10:10" x14ac:dyDescent="0.3">
      <c r="J30234"/>
    </row>
    <row r="30235" spans="10:10" x14ac:dyDescent="0.3">
      <c r="J30235"/>
    </row>
    <row r="30236" spans="10:10" x14ac:dyDescent="0.3">
      <c r="J30236"/>
    </row>
    <row r="30237" spans="10:10" x14ac:dyDescent="0.3">
      <c r="J30237"/>
    </row>
    <row r="30238" spans="10:10" x14ac:dyDescent="0.3">
      <c r="J30238"/>
    </row>
    <row r="30239" spans="10:10" x14ac:dyDescent="0.3">
      <c r="J30239"/>
    </row>
    <row r="30240" spans="10:10" x14ac:dyDescent="0.3">
      <c r="J30240"/>
    </row>
    <row r="30241" spans="10:10" x14ac:dyDescent="0.3">
      <c r="J30241"/>
    </row>
    <row r="30242" spans="10:10" x14ac:dyDescent="0.3">
      <c r="J30242"/>
    </row>
    <row r="30243" spans="10:10" x14ac:dyDescent="0.3">
      <c r="J30243"/>
    </row>
    <row r="30244" spans="10:10" x14ac:dyDescent="0.3">
      <c r="J30244"/>
    </row>
    <row r="30245" spans="10:10" x14ac:dyDescent="0.3">
      <c r="J30245"/>
    </row>
    <row r="30246" spans="10:10" x14ac:dyDescent="0.3">
      <c r="J30246"/>
    </row>
    <row r="30247" spans="10:10" x14ac:dyDescent="0.3">
      <c r="J30247"/>
    </row>
    <row r="30248" spans="10:10" x14ac:dyDescent="0.3">
      <c r="J30248"/>
    </row>
    <row r="30249" spans="10:10" x14ac:dyDescent="0.3">
      <c r="J30249"/>
    </row>
    <row r="30250" spans="10:10" x14ac:dyDescent="0.3">
      <c r="J30250"/>
    </row>
    <row r="30251" spans="10:10" x14ac:dyDescent="0.3">
      <c r="J30251"/>
    </row>
    <row r="30252" spans="10:10" x14ac:dyDescent="0.3">
      <c r="J30252"/>
    </row>
    <row r="30253" spans="10:10" x14ac:dyDescent="0.3">
      <c r="J30253"/>
    </row>
    <row r="30254" spans="10:10" x14ac:dyDescent="0.3">
      <c r="J30254"/>
    </row>
    <row r="30255" spans="10:10" x14ac:dyDescent="0.3">
      <c r="J30255"/>
    </row>
    <row r="30256" spans="10:10" x14ac:dyDescent="0.3">
      <c r="J30256"/>
    </row>
    <row r="30257" spans="10:10" x14ac:dyDescent="0.3">
      <c r="J30257"/>
    </row>
    <row r="30258" spans="10:10" x14ac:dyDescent="0.3">
      <c r="J30258"/>
    </row>
    <row r="30259" spans="10:10" x14ac:dyDescent="0.3">
      <c r="J30259"/>
    </row>
    <row r="30260" spans="10:10" x14ac:dyDescent="0.3">
      <c r="J30260"/>
    </row>
    <row r="30261" spans="10:10" x14ac:dyDescent="0.3">
      <c r="J30261"/>
    </row>
    <row r="30262" spans="10:10" x14ac:dyDescent="0.3">
      <c r="J30262"/>
    </row>
    <row r="30263" spans="10:10" x14ac:dyDescent="0.3">
      <c r="J30263"/>
    </row>
    <row r="30264" spans="10:10" x14ac:dyDescent="0.3">
      <c r="J30264"/>
    </row>
    <row r="30265" spans="10:10" x14ac:dyDescent="0.3">
      <c r="J30265"/>
    </row>
    <row r="30266" spans="10:10" x14ac:dyDescent="0.3">
      <c r="J30266"/>
    </row>
    <row r="30267" spans="10:10" x14ac:dyDescent="0.3">
      <c r="J30267"/>
    </row>
    <row r="30268" spans="10:10" x14ac:dyDescent="0.3">
      <c r="J30268"/>
    </row>
    <row r="30269" spans="10:10" x14ac:dyDescent="0.3">
      <c r="J30269"/>
    </row>
    <row r="30270" spans="10:10" x14ac:dyDescent="0.3">
      <c r="J30270"/>
    </row>
    <row r="30271" spans="10:10" x14ac:dyDescent="0.3">
      <c r="J30271"/>
    </row>
    <row r="30272" spans="10:10" x14ac:dyDescent="0.3">
      <c r="J30272"/>
    </row>
    <row r="30273" spans="10:10" x14ac:dyDescent="0.3">
      <c r="J30273"/>
    </row>
    <row r="30274" spans="10:10" x14ac:dyDescent="0.3">
      <c r="J30274"/>
    </row>
    <row r="30275" spans="10:10" x14ac:dyDescent="0.3">
      <c r="J30275"/>
    </row>
    <row r="30276" spans="10:10" x14ac:dyDescent="0.3">
      <c r="J30276"/>
    </row>
    <row r="30277" spans="10:10" x14ac:dyDescent="0.3">
      <c r="J30277"/>
    </row>
    <row r="30278" spans="10:10" x14ac:dyDescent="0.3">
      <c r="J30278"/>
    </row>
    <row r="30279" spans="10:10" x14ac:dyDescent="0.3">
      <c r="J30279"/>
    </row>
    <row r="30280" spans="10:10" x14ac:dyDescent="0.3">
      <c r="J30280"/>
    </row>
    <row r="30281" spans="10:10" x14ac:dyDescent="0.3">
      <c r="J30281"/>
    </row>
    <row r="30282" spans="10:10" x14ac:dyDescent="0.3">
      <c r="J30282"/>
    </row>
    <row r="30283" spans="10:10" x14ac:dyDescent="0.3">
      <c r="J30283"/>
    </row>
    <row r="30284" spans="10:10" x14ac:dyDescent="0.3">
      <c r="J30284"/>
    </row>
    <row r="30285" spans="10:10" x14ac:dyDescent="0.3">
      <c r="J30285"/>
    </row>
    <row r="30286" spans="10:10" x14ac:dyDescent="0.3">
      <c r="J30286"/>
    </row>
    <row r="30287" spans="10:10" x14ac:dyDescent="0.3">
      <c r="J30287"/>
    </row>
    <row r="30288" spans="10:10" x14ac:dyDescent="0.3">
      <c r="J30288"/>
    </row>
    <row r="30289" spans="10:10" x14ac:dyDescent="0.3">
      <c r="J30289"/>
    </row>
    <row r="30290" spans="10:10" x14ac:dyDescent="0.3">
      <c r="J30290"/>
    </row>
    <row r="30291" spans="10:10" x14ac:dyDescent="0.3">
      <c r="J30291"/>
    </row>
    <row r="30292" spans="10:10" x14ac:dyDescent="0.3">
      <c r="J30292"/>
    </row>
    <row r="30293" spans="10:10" x14ac:dyDescent="0.3">
      <c r="J30293"/>
    </row>
    <row r="30294" spans="10:10" x14ac:dyDescent="0.3">
      <c r="J30294"/>
    </row>
    <row r="30295" spans="10:10" x14ac:dyDescent="0.3">
      <c r="J30295"/>
    </row>
    <row r="30296" spans="10:10" x14ac:dyDescent="0.3">
      <c r="J30296"/>
    </row>
    <row r="30297" spans="10:10" x14ac:dyDescent="0.3">
      <c r="J30297"/>
    </row>
    <row r="30298" spans="10:10" x14ac:dyDescent="0.3">
      <c r="J30298"/>
    </row>
    <row r="30299" spans="10:10" x14ac:dyDescent="0.3">
      <c r="J30299"/>
    </row>
    <row r="30300" spans="10:10" x14ac:dyDescent="0.3">
      <c r="J30300"/>
    </row>
    <row r="30301" spans="10:10" x14ac:dyDescent="0.3">
      <c r="J30301"/>
    </row>
    <row r="30302" spans="10:10" x14ac:dyDescent="0.3">
      <c r="J30302"/>
    </row>
    <row r="30303" spans="10:10" x14ac:dyDescent="0.3">
      <c r="J30303"/>
    </row>
    <row r="30304" spans="10:10" x14ac:dyDescent="0.3">
      <c r="J30304"/>
    </row>
    <row r="30305" spans="10:10" x14ac:dyDescent="0.3">
      <c r="J30305"/>
    </row>
    <row r="30306" spans="10:10" x14ac:dyDescent="0.3">
      <c r="J30306"/>
    </row>
    <row r="30307" spans="10:10" x14ac:dyDescent="0.3">
      <c r="J30307"/>
    </row>
    <row r="30308" spans="10:10" x14ac:dyDescent="0.3">
      <c r="J30308"/>
    </row>
    <row r="30309" spans="10:10" x14ac:dyDescent="0.3">
      <c r="J30309"/>
    </row>
    <row r="30310" spans="10:10" x14ac:dyDescent="0.3">
      <c r="J30310"/>
    </row>
    <row r="30311" spans="10:10" x14ac:dyDescent="0.3">
      <c r="J30311"/>
    </row>
    <row r="30312" spans="10:10" x14ac:dyDescent="0.3">
      <c r="J30312"/>
    </row>
    <row r="30313" spans="10:10" x14ac:dyDescent="0.3">
      <c r="J30313"/>
    </row>
    <row r="30314" spans="10:10" x14ac:dyDescent="0.3">
      <c r="J30314"/>
    </row>
    <row r="30315" spans="10:10" x14ac:dyDescent="0.3">
      <c r="J30315"/>
    </row>
    <row r="30316" spans="10:10" x14ac:dyDescent="0.3">
      <c r="J30316"/>
    </row>
    <row r="30317" spans="10:10" x14ac:dyDescent="0.3">
      <c r="J30317"/>
    </row>
    <row r="30318" spans="10:10" x14ac:dyDescent="0.3">
      <c r="J30318"/>
    </row>
    <row r="30319" spans="10:10" x14ac:dyDescent="0.3">
      <c r="J30319"/>
    </row>
    <row r="30320" spans="10:10" x14ac:dyDescent="0.3">
      <c r="J30320"/>
    </row>
    <row r="30321" spans="10:10" x14ac:dyDescent="0.3">
      <c r="J30321"/>
    </row>
    <row r="30322" spans="10:10" x14ac:dyDescent="0.3">
      <c r="J30322"/>
    </row>
    <row r="30323" spans="10:10" x14ac:dyDescent="0.3">
      <c r="J30323"/>
    </row>
    <row r="30324" spans="10:10" x14ac:dyDescent="0.3">
      <c r="J30324"/>
    </row>
    <row r="30325" spans="10:10" x14ac:dyDescent="0.3">
      <c r="J30325"/>
    </row>
    <row r="30326" spans="10:10" x14ac:dyDescent="0.3">
      <c r="J30326"/>
    </row>
    <row r="30327" spans="10:10" x14ac:dyDescent="0.3">
      <c r="J30327"/>
    </row>
    <row r="30328" spans="10:10" x14ac:dyDescent="0.3">
      <c r="J30328"/>
    </row>
    <row r="30329" spans="10:10" x14ac:dyDescent="0.3">
      <c r="J30329"/>
    </row>
    <row r="30330" spans="10:10" x14ac:dyDescent="0.3">
      <c r="J30330"/>
    </row>
    <row r="30331" spans="10:10" x14ac:dyDescent="0.3">
      <c r="J30331"/>
    </row>
    <row r="30332" spans="10:10" x14ac:dyDescent="0.3">
      <c r="J30332"/>
    </row>
    <row r="30333" spans="10:10" x14ac:dyDescent="0.3">
      <c r="J30333"/>
    </row>
    <row r="30334" spans="10:10" x14ac:dyDescent="0.3">
      <c r="J30334"/>
    </row>
    <row r="30335" spans="10:10" x14ac:dyDescent="0.3">
      <c r="J30335"/>
    </row>
    <row r="30336" spans="10:10" x14ac:dyDescent="0.3">
      <c r="J30336"/>
    </row>
    <row r="30337" spans="10:10" x14ac:dyDescent="0.3">
      <c r="J30337"/>
    </row>
    <row r="30338" spans="10:10" x14ac:dyDescent="0.3">
      <c r="J30338"/>
    </row>
    <row r="30339" spans="10:10" x14ac:dyDescent="0.3">
      <c r="J30339"/>
    </row>
    <row r="30340" spans="10:10" x14ac:dyDescent="0.3">
      <c r="J30340"/>
    </row>
    <row r="30341" spans="10:10" x14ac:dyDescent="0.3">
      <c r="J30341"/>
    </row>
    <row r="30342" spans="10:10" x14ac:dyDescent="0.3">
      <c r="J30342"/>
    </row>
    <row r="30343" spans="10:10" x14ac:dyDescent="0.3">
      <c r="J30343"/>
    </row>
    <row r="30344" spans="10:10" x14ac:dyDescent="0.3">
      <c r="J30344"/>
    </row>
    <row r="30345" spans="10:10" x14ac:dyDescent="0.3">
      <c r="J30345"/>
    </row>
    <row r="30346" spans="10:10" x14ac:dyDescent="0.3">
      <c r="J30346"/>
    </row>
    <row r="30347" spans="10:10" x14ac:dyDescent="0.3">
      <c r="J30347"/>
    </row>
    <row r="30348" spans="10:10" x14ac:dyDescent="0.3">
      <c r="J30348"/>
    </row>
    <row r="30349" spans="10:10" x14ac:dyDescent="0.3">
      <c r="J30349"/>
    </row>
    <row r="30350" spans="10:10" x14ac:dyDescent="0.3">
      <c r="J30350"/>
    </row>
    <row r="30351" spans="10:10" x14ac:dyDescent="0.3">
      <c r="J30351"/>
    </row>
    <row r="30352" spans="10:10" x14ac:dyDescent="0.3">
      <c r="J30352"/>
    </row>
    <row r="30353" spans="10:10" x14ac:dyDescent="0.3">
      <c r="J30353"/>
    </row>
    <row r="30354" spans="10:10" x14ac:dyDescent="0.3">
      <c r="J30354"/>
    </row>
    <row r="30355" spans="10:10" x14ac:dyDescent="0.3">
      <c r="J30355"/>
    </row>
    <row r="30356" spans="10:10" x14ac:dyDescent="0.3">
      <c r="J30356"/>
    </row>
    <row r="30357" spans="10:10" x14ac:dyDescent="0.3">
      <c r="J30357"/>
    </row>
    <row r="30358" spans="10:10" x14ac:dyDescent="0.3">
      <c r="J30358"/>
    </row>
    <row r="30359" spans="10:10" x14ac:dyDescent="0.3">
      <c r="J30359"/>
    </row>
    <row r="30360" spans="10:10" x14ac:dyDescent="0.3">
      <c r="J30360"/>
    </row>
    <row r="30361" spans="10:10" x14ac:dyDescent="0.3">
      <c r="J30361"/>
    </row>
    <row r="30362" spans="10:10" x14ac:dyDescent="0.3">
      <c r="J30362"/>
    </row>
    <row r="30363" spans="10:10" x14ac:dyDescent="0.3">
      <c r="J30363"/>
    </row>
    <row r="30364" spans="10:10" x14ac:dyDescent="0.3">
      <c r="J30364"/>
    </row>
    <row r="30365" spans="10:10" x14ac:dyDescent="0.3">
      <c r="J30365"/>
    </row>
    <row r="30366" spans="10:10" x14ac:dyDescent="0.3">
      <c r="J30366"/>
    </row>
    <row r="30367" spans="10:10" x14ac:dyDescent="0.3">
      <c r="J30367"/>
    </row>
    <row r="30368" spans="10:10" x14ac:dyDescent="0.3">
      <c r="J30368"/>
    </row>
    <row r="30369" spans="10:10" x14ac:dyDescent="0.3">
      <c r="J30369"/>
    </row>
    <row r="30370" spans="10:10" x14ac:dyDescent="0.3">
      <c r="J30370"/>
    </row>
    <row r="30371" spans="10:10" x14ac:dyDescent="0.3">
      <c r="J30371"/>
    </row>
    <row r="30372" spans="10:10" x14ac:dyDescent="0.3">
      <c r="J30372"/>
    </row>
    <row r="30373" spans="10:10" x14ac:dyDescent="0.3">
      <c r="J30373"/>
    </row>
    <row r="30374" spans="10:10" x14ac:dyDescent="0.3">
      <c r="J30374"/>
    </row>
    <row r="30375" spans="10:10" x14ac:dyDescent="0.3">
      <c r="J30375"/>
    </row>
    <row r="30376" spans="10:10" x14ac:dyDescent="0.3">
      <c r="J30376"/>
    </row>
    <row r="30377" spans="10:10" x14ac:dyDescent="0.3">
      <c r="J30377"/>
    </row>
    <row r="30378" spans="10:10" x14ac:dyDescent="0.3">
      <c r="J30378"/>
    </row>
    <row r="30379" spans="10:10" x14ac:dyDescent="0.3">
      <c r="J30379"/>
    </row>
    <row r="30380" spans="10:10" x14ac:dyDescent="0.3">
      <c r="J30380"/>
    </row>
    <row r="30381" spans="10:10" x14ac:dyDescent="0.3">
      <c r="J30381"/>
    </row>
    <row r="30382" spans="10:10" x14ac:dyDescent="0.3">
      <c r="J30382"/>
    </row>
    <row r="30383" spans="10:10" x14ac:dyDescent="0.3">
      <c r="J30383"/>
    </row>
    <row r="30384" spans="10:10" x14ac:dyDescent="0.3">
      <c r="J30384"/>
    </row>
    <row r="30385" spans="10:10" x14ac:dyDescent="0.3">
      <c r="J30385"/>
    </row>
    <row r="30386" spans="10:10" x14ac:dyDescent="0.3">
      <c r="J30386"/>
    </row>
    <row r="30387" spans="10:10" x14ac:dyDescent="0.3">
      <c r="J30387"/>
    </row>
    <row r="30388" spans="10:10" x14ac:dyDescent="0.3">
      <c r="J30388"/>
    </row>
    <row r="30389" spans="10:10" x14ac:dyDescent="0.3">
      <c r="J30389"/>
    </row>
    <row r="30390" spans="10:10" x14ac:dyDescent="0.3">
      <c r="J30390"/>
    </row>
    <row r="30391" spans="10:10" x14ac:dyDescent="0.3">
      <c r="J30391"/>
    </row>
    <row r="30392" spans="10:10" x14ac:dyDescent="0.3">
      <c r="J30392"/>
    </row>
    <row r="30393" spans="10:10" x14ac:dyDescent="0.3">
      <c r="J30393"/>
    </row>
    <row r="30394" spans="10:10" x14ac:dyDescent="0.3">
      <c r="J30394"/>
    </row>
    <row r="30395" spans="10:10" x14ac:dyDescent="0.3">
      <c r="J30395"/>
    </row>
    <row r="30396" spans="10:10" x14ac:dyDescent="0.3">
      <c r="J30396"/>
    </row>
    <row r="30397" spans="10:10" x14ac:dyDescent="0.3">
      <c r="J30397"/>
    </row>
    <row r="30398" spans="10:10" x14ac:dyDescent="0.3">
      <c r="J30398"/>
    </row>
    <row r="30399" spans="10:10" x14ac:dyDescent="0.3">
      <c r="J30399"/>
    </row>
    <row r="30400" spans="10:10" x14ac:dyDescent="0.3">
      <c r="J30400"/>
    </row>
    <row r="30401" spans="10:10" x14ac:dyDescent="0.3">
      <c r="J30401"/>
    </row>
    <row r="30402" spans="10:10" x14ac:dyDescent="0.3">
      <c r="J30402"/>
    </row>
    <row r="30403" spans="10:10" x14ac:dyDescent="0.3">
      <c r="J30403"/>
    </row>
    <row r="30404" spans="10:10" x14ac:dyDescent="0.3">
      <c r="J30404"/>
    </row>
    <row r="30405" spans="10:10" x14ac:dyDescent="0.3">
      <c r="J30405"/>
    </row>
    <row r="30406" spans="10:10" x14ac:dyDescent="0.3">
      <c r="J30406"/>
    </row>
    <row r="30407" spans="10:10" x14ac:dyDescent="0.3">
      <c r="J30407"/>
    </row>
    <row r="30408" spans="10:10" x14ac:dyDescent="0.3">
      <c r="J30408"/>
    </row>
    <row r="30409" spans="10:10" x14ac:dyDescent="0.3">
      <c r="J30409"/>
    </row>
    <row r="30410" spans="10:10" x14ac:dyDescent="0.3">
      <c r="J30410"/>
    </row>
    <row r="30411" spans="10:10" x14ac:dyDescent="0.3">
      <c r="J30411"/>
    </row>
    <row r="30412" spans="10:10" x14ac:dyDescent="0.3">
      <c r="J30412"/>
    </row>
    <row r="30413" spans="10:10" x14ac:dyDescent="0.3">
      <c r="J30413"/>
    </row>
    <row r="30414" spans="10:10" x14ac:dyDescent="0.3">
      <c r="J30414"/>
    </row>
    <row r="30415" spans="10:10" x14ac:dyDescent="0.3">
      <c r="J30415"/>
    </row>
    <row r="30416" spans="10:10" x14ac:dyDescent="0.3">
      <c r="J30416"/>
    </row>
    <row r="30417" spans="10:10" x14ac:dyDescent="0.3">
      <c r="J30417"/>
    </row>
    <row r="30418" spans="10:10" x14ac:dyDescent="0.3">
      <c r="J30418"/>
    </row>
    <row r="30419" spans="10:10" x14ac:dyDescent="0.3">
      <c r="J30419"/>
    </row>
    <row r="30420" spans="10:10" x14ac:dyDescent="0.3">
      <c r="J30420"/>
    </row>
    <row r="30421" spans="10:10" x14ac:dyDescent="0.3">
      <c r="J30421"/>
    </row>
    <row r="30422" spans="10:10" x14ac:dyDescent="0.3">
      <c r="J30422"/>
    </row>
    <row r="30423" spans="10:10" x14ac:dyDescent="0.3">
      <c r="J30423"/>
    </row>
    <row r="30424" spans="10:10" x14ac:dyDescent="0.3">
      <c r="J30424"/>
    </row>
    <row r="30425" spans="10:10" x14ac:dyDescent="0.3">
      <c r="J30425"/>
    </row>
    <row r="30426" spans="10:10" x14ac:dyDescent="0.3">
      <c r="J30426"/>
    </row>
    <row r="30427" spans="10:10" x14ac:dyDescent="0.3">
      <c r="J30427"/>
    </row>
    <row r="30428" spans="10:10" x14ac:dyDescent="0.3">
      <c r="J30428"/>
    </row>
    <row r="30429" spans="10:10" x14ac:dyDescent="0.3">
      <c r="J30429"/>
    </row>
    <row r="30430" spans="10:10" x14ac:dyDescent="0.3">
      <c r="J30430"/>
    </row>
    <row r="30431" spans="10:10" x14ac:dyDescent="0.3">
      <c r="J30431"/>
    </row>
    <row r="30432" spans="10:10" x14ac:dyDescent="0.3">
      <c r="J30432"/>
    </row>
    <row r="30433" spans="10:10" x14ac:dyDescent="0.3">
      <c r="J30433"/>
    </row>
    <row r="30434" spans="10:10" x14ac:dyDescent="0.3">
      <c r="J30434"/>
    </row>
    <row r="30435" spans="10:10" x14ac:dyDescent="0.3">
      <c r="J30435"/>
    </row>
    <row r="30436" spans="10:10" x14ac:dyDescent="0.3">
      <c r="J30436"/>
    </row>
    <row r="30437" spans="10:10" x14ac:dyDescent="0.3">
      <c r="J30437"/>
    </row>
    <row r="30438" spans="10:10" x14ac:dyDescent="0.3">
      <c r="J30438"/>
    </row>
    <row r="30439" spans="10:10" x14ac:dyDescent="0.3">
      <c r="J30439"/>
    </row>
    <row r="30440" spans="10:10" x14ac:dyDescent="0.3">
      <c r="J30440"/>
    </row>
    <row r="30441" spans="10:10" x14ac:dyDescent="0.3">
      <c r="J30441"/>
    </row>
    <row r="30442" spans="10:10" x14ac:dyDescent="0.3">
      <c r="J30442"/>
    </row>
    <row r="30443" spans="10:10" x14ac:dyDescent="0.3">
      <c r="J30443"/>
    </row>
    <row r="30444" spans="10:10" x14ac:dyDescent="0.3">
      <c r="J30444"/>
    </row>
    <row r="30445" spans="10:10" x14ac:dyDescent="0.3">
      <c r="J30445"/>
    </row>
    <row r="30446" spans="10:10" x14ac:dyDescent="0.3">
      <c r="J30446"/>
    </row>
    <row r="30447" spans="10:10" x14ac:dyDescent="0.3">
      <c r="J30447"/>
    </row>
    <row r="30448" spans="10:10" x14ac:dyDescent="0.3">
      <c r="J30448"/>
    </row>
    <row r="30449" spans="10:10" x14ac:dyDescent="0.3">
      <c r="J30449"/>
    </row>
    <row r="30450" spans="10:10" x14ac:dyDescent="0.3">
      <c r="J30450"/>
    </row>
    <row r="30451" spans="10:10" x14ac:dyDescent="0.3">
      <c r="J30451"/>
    </row>
    <row r="30452" spans="10:10" x14ac:dyDescent="0.3">
      <c r="J30452"/>
    </row>
    <row r="30453" spans="10:10" x14ac:dyDescent="0.3">
      <c r="J30453"/>
    </row>
    <row r="30454" spans="10:10" x14ac:dyDescent="0.3">
      <c r="J30454"/>
    </row>
    <row r="30455" spans="10:10" x14ac:dyDescent="0.3">
      <c r="J30455"/>
    </row>
    <row r="30456" spans="10:10" x14ac:dyDescent="0.3">
      <c r="J30456"/>
    </row>
    <row r="30457" spans="10:10" x14ac:dyDescent="0.3">
      <c r="J30457"/>
    </row>
    <row r="30458" spans="10:10" x14ac:dyDescent="0.3">
      <c r="J30458"/>
    </row>
    <row r="30459" spans="10:10" x14ac:dyDescent="0.3">
      <c r="J30459"/>
    </row>
    <row r="30460" spans="10:10" x14ac:dyDescent="0.3">
      <c r="J30460"/>
    </row>
    <row r="30461" spans="10:10" x14ac:dyDescent="0.3">
      <c r="J30461"/>
    </row>
    <row r="30462" spans="10:10" x14ac:dyDescent="0.3">
      <c r="J30462"/>
    </row>
    <row r="30463" spans="10:10" x14ac:dyDescent="0.3">
      <c r="J30463"/>
    </row>
    <row r="30464" spans="10:10" x14ac:dyDescent="0.3">
      <c r="J30464"/>
    </row>
    <row r="30465" spans="10:10" x14ac:dyDescent="0.3">
      <c r="J30465"/>
    </row>
    <row r="30466" spans="10:10" x14ac:dyDescent="0.3">
      <c r="J30466"/>
    </row>
    <row r="30467" spans="10:10" x14ac:dyDescent="0.3">
      <c r="J30467"/>
    </row>
    <row r="30468" spans="10:10" x14ac:dyDescent="0.3">
      <c r="J30468"/>
    </row>
    <row r="30469" spans="10:10" x14ac:dyDescent="0.3">
      <c r="J30469"/>
    </row>
    <row r="30470" spans="10:10" x14ac:dyDescent="0.3">
      <c r="J30470"/>
    </row>
    <row r="30471" spans="10:10" x14ac:dyDescent="0.3">
      <c r="J30471"/>
    </row>
    <row r="30472" spans="10:10" x14ac:dyDescent="0.3">
      <c r="J30472"/>
    </row>
    <row r="30473" spans="10:10" x14ac:dyDescent="0.3">
      <c r="J30473"/>
    </row>
    <row r="30474" spans="10:10" x14ac:dyDescent="0.3">
      <c r="J30474"/>
    </row>
    <row r="30475" spans="10:10" x14ac:dyDescent="0.3">
      <c r="J30475"/>
    </row>
    <row r="30476" spans="10:10" x14ac:dyDescent="0.3">
      <c r="J30476"/>
    </row>
    <row r="30477" spans="10:10" x14ac:dyDescent="0.3">
      <c r="J30477"/>
    </row>
    <row r="30478" spans="10:10" x14ac:dyDescent="0.3">
      <c r="J30478"/>
    </row>
    <row r="30479" spans="10:10" x14ac:dyDescent="0.3">
      <c r="J30479"/>
    </row>
    <row r="30480" spans="10:10" x14ac:dyDescent="0.3">
      <c r="J30480"/>
    </row>
    <row r="30481" spans="10:10" x14ac:dyDescent="0.3">
      <c r="J30481"/>
    </row>
    <row r="30482" spans="10:10" x14ac:dyDescent="0.3">
      <c r="J30482"/>
    </row>
    <row r="30483" spans="10:10" x14ac:dyDescent="0.3">
      <c r="J30483"/>
    </row>
    <row r="30484" spans="10:10" x14ac:dyDescent="0.3">
      <c r="J30484"/>
    </row>
    <row r="30485" spans="10:10" x14ac:dyDescent="0.3">
      <c r="J30485"/>
    </row>
    <row r="30486" spans="10:10" x14ac:dyDescent="0.3">
      <c r="J30486"/>
    </row>
    <row r="30487" spans="10:10" x14ac:dyDescent="0.3">
      <c r="J30487"/>
    </row>
    <row r="30488" spans="10:10" x14ac:dyDescent="0.3">
      <c r="J30488"/>
    </row>
    <row r="30489" spans="10:10" x14ac:dyDescent="0.3">
      <c r="J30489"/>
    </row>
    <row r="30490" spans="10:10" x14ac:dyDescent="0.3">
      <c r="J30490"/>
    </row>
    <row r="30491" spans="10:10" x14ac:dyDescent="0.3">
      <c r="J30491"/>
    </row>
    <row r="30492" spans="10:10" x14ac:dyDescent="0.3">
      <c r="J30492"/>
    </row>
    <row r="30493" spans="10:10" x14ac:dyDescent="0.3">
      <c r="J30493"/>
    </row>
    <row r="30494" spans="10:10" x14ac:dyDescent="0.3">
      <c r="J30494"/>
    </row>
    <row r="30495" spans="10:10" x14ac:dyDescent="0.3">
      <c r="J30495"/>
    </row>
    <row r="30496" spans="10:10" x14ac:dyDescent="0.3">
      <c r="J30496"/>
    </row>
    <row r="30497" spans="10:10" x14ac:dyDescent="0.3">
      <c r="J30497"/>
    </row>
    <row r="30498" spans="10:10" x14ac:dyDescent="0.3">
      <c r="J30498"/>
    </row>
    <row r="30499" spans="10:10" x14ac:dyDescent="0.3">
      <c r="J30499"/>
    </row>
    <row r="30500" spans="10:10" x14ac:dyDescent="0.3">
      <c r="J30500"/>
    </row>
    <row r="30501" spans="10:10" x14ac:dyDescent="0.3">
      <c r="J30501"/>
    </row>
    <row r="30502" spans="10:10" x14ac:dyDescent="0.3">
      <c r="J30502"/>
    </row>
    <row r="30503" spans="10:10" x14ac:dyDescent="0.3">
      <c r="J30503"/>
    </row>
    <row r="30504" spans="10:10" x14ac:dyDescent="0.3">
      <c r="J30504"/>
    </row>
    <row r="30505" spans="10:10" x14ac:dyDescent="0.3">
      <c r="J30505"/>
    </row>
    <row r="30506" spans="10:10" x14ac:dyDescent="0.3">
      <c r="J30506"/>
    </row>
    <row r="30507" spans="10:10" x14ac:dyDescent="0.3">
      <c r="J30507"/>
    </row>
    <row r="30508" spans="10:10" x14ac:dyDescent="0.3">
      <c r="J30508"/>
    </row>
    <row r="30509" spans="10:10" x14ac:dyDescent="0.3">
      <c r="J30509"/>
    </row>
    <row r="30510" spans="10:10" x14ac:dyDescent="0.3">
      <c r="J30510"/>
    </row>
    <row r="30511" spans="10:10" x14ac:dyDescent="0.3">
      <c r="J30511"/>
    </row>
    <row r="30512" spans="10:10" x14ac:dyDescent="0.3">
      <c r="J30512"/>
    </row>
    <row r="30513" spans="10:10" x14ac:dyDescent="0.3">
      <c r="J30513"/>
    </row>
    <row r="30514" spans="10:10" x14ac:dyDescent="0.3">
      <c r="J30514"/>
    </row>
    <row r="30515" spans="10:10" x14ac:dyDescent="0.3">
      <c r="J30515"/>
    </row>
    <row r="30516" spans="10:10" x14ac:dyDescent="0.3">
      <c r="J30516"/>
    </row>
    <row r="30517" spans="10:10" x14ac:dyDescent="0.3">
      <c r="J30517"/>
    </row>
    <row r="30518" spans="10:10" x14ac:dyDescent="0.3">
      <c r="J30518"/>
    </row>
    <row r="30519" spans="10:10" x14ac:dyDescent="0.3">
      <c r="J30519"/>
    </row>
    <row r="30520" spans="10:10" x14ac:dyDescent="0.3">
      <c r="J30520"/>
    </row>
    <row r="30521" spans="10:10" x14ac:dyDescent="0.3">
      <c r="J30521"/>
    </row>
    <row r="30522" spans="10:10" x14ac:dyDescent="0.3">
      <c r="J30522"/>
    </row>
    <row r="30523" spans="10:10" x14ac:dyDescent="0.3">
      <c r="J30523"/>
    </row>
    <row r="30524" spans="10:10" x14ac:dyDescent="0.3">
      <c r="J30524"/>
    </row>
    <row r="30525" spans="10:10" x14ac:dyDescent="0.3">
      <c r="J30525"/>
    </row>
    <row r="30526" spans="10:10" x14ac:dyDescent="0.3">
      <c r="J30526"/>
    </row>
    <row r="30527" spans="10:10" x14ac:dyDescent="0.3">
      <c r="J30527"/>
    </row>
    <row r="30528" spans="10:10" x14ac:dyDescent="0.3">
      <c r="J30528"/>
    </row>
    <row r="30529" spans="10:10" x14ac:dyDescent="0.3">
      <c r="J30529"/>
    </row>
    <row r="30530" spans="10:10" x14ac:dyDescent="0.3">
      <c r="J30530"/>
    </row>
    <row r="30531" spans="10:10" x14ac:dyDescent="0.3">
      <c r="J30531"/>
    </row>
    <row r="30532" spans="10:10" x14ac:dyDescent="0.3">
      <c r="J30532"/>
    </row>
    <row r="30533" spans="10:10" x14ac:dyDescent="0.3">
      <c r="J30533"/>
    </row>
    <row r="30534" spans="10:10" x14ac:dyDescent="0.3">
      <c r="J30534"/>
    </row>
    <row r="30535" spans="10:10" x14ac:dyDescent="0.3">
      <c r="J30535"/>
    </row>
    <row r="30536" spans="10:10" x14ac:dyDescent="0.3">
      <c r="J30536"/>
    </row>
    <row r="30537" spans="10:10" x14ac:dyDescent="0.3">
      <c r="J30537"/>
    </row>
    <row r="30538" spans="10:10" x14ac:dyDescent="0.3">
      <c r="J30538"/>
    </row>
    <row r="30539" spans="10:10" x14ac:dyDescent="0.3">
      <c r="J30539"/>
    </row>
    <row r="30540" spans="10:10" x14ac:dyDescent="0.3">
      <c r="J30540"/>
    </row>
    <row r="30541" spans="10:10" x14ac:dyDescent="0.3">
      <c r="J30541"/>
    </row>
    <row r="30542" spans="10:10" x14ac:dyDescent="0.3">
      <c r="J30542"/>
    </row>
    <row r="30543" spans="10:10" x14ac:dyDescent="0.3">
      <c r="J30543"/>
    </row>
    <row r="30544" spans="10:10" x14ac:dyDescent="0.3">
      <c r="J30544"/>
    </row>
    <row r="30545" spans="10:10" x14ac:dyDescent="0.3">
      <c r="J30545"/>
    </row>
    <row r="30546" spans="10:10" x14ac:dyDescent="0.3">
      <c r="J30546"/>
    </row>
    <row r="30547" spans="10:10" x14ac:dyDescent="0.3">
      <c r="J30547"/>
    </row>
    <row r="30548" spans="10:10" x14ac:dyDescent="0.3">
      <c r="J30548"/>
    </row>
    <row r="30549" spans="10:10" x14ac:dyDescent="0.3">
      <c r="J30549"/>
    </row>
    <row r="30550" spans="10:10" x14ac:dyDescent="0.3">
      <c r="J30550"/>
    </row>
    <row r="30551" spans="10:10" x14ac:dyDescent="0.3">
      <c r="J30551"/>
    </row>
    <row r="30552" spans="10:10" x14ac:dyDescent="0.3">
      <c r="J30552"/>
    </row>
    <row r="30553" spans="10:10" x14ac:dyDescent="0.3">
      <c r="J30553"/>
    </row>
    <row r="30554" spans="10:10" x14ac:dyDescent="0.3">
      <c r="J30554"/>
    </row>
    <row r="30555" spans="10:10" x14ac:dyDescent="0.3">
      <c r="J30555"/>
    </row>
    <row r="30556" spans="10:10" x14ac:dyDescent="0.3">
      <c r="J30556"/>
    </row>
    <row r="30557" spans="10:10" x14ac:dyDescent="0.3">
      <c r="J30557"/>
    </row>
    <row r="30558" spans="10:10" x14ac:dyDescent="0.3">
      <c r="J30558"/>
    </row>
    <row r="30559" spans="10:10" x14ac:dyDescent="0.3">
      <c r="J30559"/>
    </row>
    <row r="30560" spans="10:10" x14ac:dyDescent="0.3">
      <c r="J30560"/>
    </row>
    <row r="30561" spans="10:10" x14ac:dyDescent="0.3">
      <c r="J30561"/>
    </row>
    <row r="30562" spans="10:10" x14ac:dyDescent="0.3">
      <c r="J30562"/>
    </row>
    <row r="30563" spans="10:10" x14ac:dyDescent="0.3">
      <c r="J30563"/>
    </row>
    <row r="30564" spans="10:10" x14ac:dyDescent="0.3">
      <c r="J30564"/>
    </row>
    <row r="30565" spans="10:10" x14ac:dyDescent="0.3">
      <c r="J30565"/>
    </row>
    <row r="30566" spans="10:10" x14ac:dyDescent="0.3">
      <c r="J30566"/>
    </row>
    <row r="30567" spans="10:10" x14ac:dyDescent="0.3">
      <c r="J30567"/>
    </row>
    <row r="30568" spans="10:10" x14ac:dyDescent="0.3">
      <c r="J30568"/>
    </row>
    <row r="30569" spans="10:10" x14ac:dyDescent="0.3">
      <c r="J30569"/>
    </row>
    <row r="30570" spans="10:10" x14ac:dyDescent="0.3">
      <c r="J30570"/>
    </row>
    <row r="30571" spans="10:10" x14ac:dyDescent="0.3">
      <c r="J30571"/>
    </row>
    <row r="30572" spans="10:10" x14ac:dyDescent="0.3">
      <c r="J30572"/>
    </row>
    <row r="30573" spans="10:10" x14ac:dyDescent="0.3">
      <c r="J30573"/>
    </row>
    <row r="30574" spans="10:10" x14ac:dyDescent="0.3">
      <c r="J30574"/>
    </row>
    <row r="30575" spans="10:10" x14ac:dyDescent="0.3">
      <c r="J30575"/>
    </row>
    <row r="30576" spans="10:10" x14ac:dyDescent="0.3">
      <c r="J30576"/>
    </row>
    <row r="30577" spans="10:10" x14ac:dyDescent="0.3">
      <c r="J30577"/>
    </row>
    <row r="30578" spans="10:10" x14ac:dyDescent="0.3">
      <c r="J30578"/>
    </row>
    <row r="30579" spans="10:10" x14ac:dyDescent="0.3">
      <c r="J30579"/>
    </row>
    <row r="30580" spans="10:10" x14ac:dyDescent="0.3">
      <c r="J30580"/>
    </row>
    <row r="30581" spans="10:10" x14ac:dyDescent="0.3">
      <c r="J30581"/>
    </row>
    <row r="30582" spans="10:10" x14ac:dyDescent="0.3">
      <c r="J30582"/>
    </row>
    <row r="30583" spans="10:10" x14ac:dyDescent="0.3">
      <c r="J30583"/>
    </row>
    <row r="30584" spans="10:10" x14ac:dyDescent="0.3">
      <c r="J30584"/>
    </row>
    <row r="30585" spans="10:10" x14ac:dyDescent="0.3">
      <c r="J30585"/>
    </row>
    <row r="30586" spans="10:10" x14ac:dyDescent="0.3">
      <c r="J30586"/>
    </row>
    <row r="30587" spans="10:10" x14ac:dyDescent="0.3">
      <c r="J30587"/>
    </row>
    <row r="30588" spans="10:10" x14ac:dyDescent="0.3">
      <c r="J30588"/>
    </row>
    <row r="30589" spans="10:10" x14ac:dyDescent="0.3">
      <c r="J30589"/>
    </row>
    <row r="30590" spans="10:10" x14ac:dyDescent="0.3">
      <c r="J30590"/>
    </row>
    <row r="30591" spans="10:10" x14ac:dyDescent="0.3">
      <c r="J30591"/>
    </row>
    <row r="30592" spans="10:10" x14ac:dyDescent="0.3">
      <c r="J30592"/>
    </row>
    <row r="30593" spans="10:10" x14ac:dyDescent="0.3">
      <c r="J30593"/>
    </row>
    <row r="30594" spans="10:10" x14ac:dyDescent="0.3">
      <c r="J30594"/>
    </row>
    <row r="30595" spans="10:10" x14ac:dyDescent="0.3">
      <c r="J30595"/>
    </row>
    <row r="30596" spans="10:10" x14ac:dyDescent="0.3">
      <c r="J30596"/>
    </row>
    <row r="30597" spans="10:10" x14ac:dyDescent="0.3">
      <c r="J30597"/>
    </row>
    <row r="30598" spans="10:10" x14ac:dyDescent="0.3">
      <c r="J30598"/>
    </row>
    <row r="30599" spans="10:10" x14ac:dyDescent="0.3">
      <c r="J30599"/>
    </row>
    <row r="30600" spans="10:10" x14ac:dyDescent="0.3">
      <c r="J30600"/>
    </row>
    <row r="30601" spans="10:10" x14ac:dyDescent="0.3">
      <c r="J30601"/>
    </row>
    <row r="30602" spans="10:10" x14ac:dyDescent="0.3">
      <c r="J30602"/>
    </row>
    <row r="30603" spans="10:10" x14ac:dyDescent="0.3">
      <c r="J30603"/>
    </row>
    <row r="30604" spans="10:10" x14ac:dyDescent="0.3">
      <c r="J30604"/>
    </row>
    <row r="30605" spans="10:10" x14ac:dyDescent="0.3">
      <c r="J30605"/>
    </row>
    <row r="30606" spans="10:10" x14ac:dyDescent="0.3">
      <c r="J30606"/>
    </row>
    <row r="30607" spans="10:10" x14ac:dyDescent="0.3">
      <c r="J30607"/>
    </row>
    <row r="30608" spans="10:10" x14ac:dyDescent="0.3">
      <c r="J30608"/>
    </row>
    <row r="30609" spans="10:10" x14ac:dyDescent="0.3">
      <c r="J30609"/>
    </row>
    <row r="30610" spans="10:10" x14ac:dyDescent="0.3">
      <c r="J30610"/>
    </row>
    <row r="30611" spans="10:10" x14ac:dyDescent="0.3">
      <c r="J30611"/>
    </row>
    <row r="30612" spans="10:10" x14ac:dyDescent="0.3">
      <c r="J30612"/>
    </row>
    <row r="30613" spans="10:10" x14ac:dyDescent="0.3">
      <c r="J30613"/>
    </row>
    <row r="30614" spans="10:10" x14ac:dyDescent="0.3">
      <c r="J30614"/>
    </row>
    <row r="30615" spans="10:10" x14ac:dyDescent="0.3">
      <c r="J30615"/>
    </row>
    <row r="30616" spans="10:10" x14ac:dyDescent="0.3">
      <c r="J30616"/>
    </row>
    <row r="30617" spans="10:10" x14ac:dyDescent="0.3">
      <c r="J30617"/>
    </row>
    <row r="30618" spans="10:10" x14ac:dyDescent="0.3">
      <c r="J30618"/>
    </row>
    <row r="30619" spans="10:10" x14ac:dyDescent="0.3">
      <c r="J30619"/>
    </row>
    <row r="30620" spans="10:10" x14ac:dyDescent="0.3">
      <c r="J30620"/>
    </row>
    <row r="30621" spans="10:10" x14ac:dyDescent="0.3">
      <c r="J30621"/>
    </row>
    <row r="30622" spans="10:10" x14ac:dyDescent="0.3">
      <c r="J30622"/>
    </row>
    <row r="30623" spans="10:10" x14ac:dyDescent="0.3">
      <c r="J30623"/>
    </row>
    <row r="30624" spans="10:10" x14ac:dyDescent="0.3">
      <c r="J30624"/>
    </row>
    <row r="30625" spans="10:10" x14ac:dyDescent="0.3">
      <c r="J30625"/>
    </row>
    <row r="30626" spans="10:10" x14ac:dyDescent="0.3">
      <c r="J30626"/>
    </row>
    <row r="30627" spans="10:10" x14ac:dyDescent="0.3">
      <c r="J30627"/>
    </row>
    <row r="30628" spans="10:10" x14ac:dyDescent="0.3">
      <c r="J30628"/>
    </row>
    <row r="30629" spans="10:10" x14ac:dyDescent="0.3">
      <c r="J30629"/>
    </row>
    <row r="30630" spans="10:10" x14ac:dyDescent="0.3">
      <c r="J30630"/>
    </row>
    <row r="30631" spans="10:10" x14ac:dyDescent="0.3">
      <c r="J30631"/>
    </row>
    <row r="30632" spans="10:10" x14ac:dyDescent="0.3">
      <c r="J30632"/>
    </row>
    <row r="30633" spans="10:10" x14ac:dyDescent="0.3">
      <c r="J30633"/>
    </row>
    <row r="30634" spans="10:10" x14ac:dyDescent="0.3">
      <c r="J30634"/>
    </row>
    <row r="30635" spans="10:10" x14ac:dyDescent="0.3">
      <c r="J30635"/>
    </row>
    <row r="30636" spans="10:10" x14ac:dyDescent="0.3">
      <c r="J30636"/>
    </row>
    <row r="30637" spans="10:10" x14ac:dyDescent="0.3">
      <c r="J30637"/>
    </row>
    <row r="30638" spans="10:10" x14ac:dyDescent="0.3">
      <c r="J30638"/>
    </row>
    <row r="30639" spans="10:10" x14ac:dyDescent="0.3">
      <c r="J30639"/>
    </row>
    <row r="30640" spans="10:10" x14ac:dyDescent="0.3">
      <c r="J30640"/>
    </row>
    <row r="30641" spans="10:10" x14ac:dyDescent="0.3">
      <c r="J30641"/>
    </row>
    <row r="30642" spans="10:10" x14ac:dyDescent="0.3">
      <c r="J30642"/>
    </row>
    <row r="30643" spans="10:10" x14ac:dyDescent="0.3">
      <c r="J30643"/>
    </row>
    <row r="30644" spans="10:10" x14ac:dyDescent="0.3">
      <c r="J30644"/>
    </row>
    <row r="30645" spans="10:10" x14ac:dyDescent="0.3">
      <c r="J30645"/>
    </row>
    <row r="30646" spans="10:10" x14ac:dyDescent="0.3">
      <c r="J30646"/>
    </row>
    <row r="30647" spans="10:10" x14ac:dyDescent="0.3">
      <c r="J30647"/>
    </row>
    <row r="30648" spans="10:10" x14ac:dyDescent="0.3">
      <c r="J30648"/>
    </row>
    <row r="30649" spans="10:10" x14ac:dyDescent="0.3">
      <c r="J30649"/>
    </row>
    <row r="30650" spans="10:10" x14ac:dyDescent="0.3">
      <c r="J30650"/>
    </row>
    <row r="30651" spans="10:10" x14ac:dyDescent="0.3">
      <c r="J30651"/>
    </row>
    <row r="30652" spans="10:10" x14ac:dyDescent="0.3">
      <c r="J30652"/>
    </row>
    <row r="30653" spans="10:10" x14ac:dyDescent="0.3">
      <c r="J30653"/>
    </row>
    <row r="30654" spans="10:10" x14ac:dyDescent="0.3">
      <c r="J30654"/>
    </row>
    <row r="30655" spans="10:10" x14ac:dyDescent="0.3">
      <c r="J30655"/>
    </row>
    <row r="30656" spans="10:10" x14ac:dyDescent="0.3">
      <c r="J30656"/>
    </row>
    <row r="30657" spans="10:10" x14ac:dyDescent="0.3">
      <c r="J30657"/>
    </row>
    <row r="30658" spans="10:10" x14ac:dyDescent="0.3">
      <c r="J30658"/>
    </row>
    <row r="30659" spans="10:10" x14ac:dyDescent="0.3">
      <c r="J30659"/>
    </row>
    <row r="30660" spans="10:10" x14ac:dyDescent="0.3">
      <c r="J30660"/>
    </row>
    <row r="30661" spans="10:10" x14ac:dyDescent="0.3">
      <c r="J30661"/>
    </row>
    <row r="30662" spans="10:10" x14ac:dyDescent="0.3">
      <c r="J30662"/>
    </row>
    <row r="30663" spans="10:10" x14ac:dyDescent="0.3">
      <c r="J30663"/>
    </row>
    <row r="30664" spans="10:10" x14ac:dyDescent="0.3">
      <c r="J30664"/>
    </row>
    <row r="30665" spans="10:10" x14ac:dyDescent="0.3">
      <c r="J30665"/>
    </row>
    <row r="30666" spans="10:10" x14ac:dyDescent="0.3">
      <c r="J30666"/>
    </row>
    <row r="30667" spans="10:10" x14ac:dyDescent="0.3">
      <c r="J30667"/>
    </row>
    <row r="30668" spans="10:10" x14ac:dyDescent="0.3">
      <c r="J30668"/>
    </row>
    <row r="30669" spans="10:10" x14ac:dyDescent="0.3">
      <c r="J30669"/>
    </row>
    <row r="30670" spans="10:10" x14ac:dyDescent="0.3">
      <c r="J30670"/>
    </row>
    <row r="30671" spans="10:10" x14ac:dyDescent="0.3">
      <c r="J30671"/>
    </row>
    <row r="30672" spans="10:10" x14ac:dyDescent="0.3">
      <c r="J30672"/>
    </row>
    <row r="30673" spans="10:10" x14ac:dyDescent="0.3">
      <c r="J30673"/>
    </row>
    <row r="30674" spans="10:10" x14ac:dyDescent="0.3">
      <c r="J30674"/>
    </row>
    <row r="30675" spans="10:10" x14ac:dyDescent="0.3">
      <c r="J30675"/>
    </row>
    <row r="30676" spans="10:10" x14ac:dyDescent="0.3">
      <c r="J30676"/>
    </row>
    <row r="30677" spans="10:10" x14ac:dyDescent="0.3">
      <c r="J30677"/>
    </row>
    <row r="30678" spans="10:10" x14ac:dyDescent="0.3">
      <c r="J30678"/>
    </row>
    <row r="30679" spans="10:10" x14ac:dyDescent="0.3">
      <c r="J30679"/>
    </row>
    <row r="30680" spans="10:10" x14ac:dyDescent="0.3">
      <c r="J30680"/>
    </row>
    <row r="30681" spans="10:10" x14ac:dyDescent="0.3">
      <c r="J30681"/>
    </row>
    <row r="30682" spans="10:10" x14ac:dyDescent="0.3">
      <c r="J30682"/>
    </row>
    <row r="30683" spans="10:10" x14ac:dyDescent="0.3">
      <c r="J30683"/>
    </row>
    <row r="30684" spans="10:10" x14ac:dyDescent="0.3">
      <c r="J30684"/>
    </row>
    <row r="30685" spans="10:10" x14ac:dyDescent="0.3">
      <c r="J30685"/>
    </row>
    <row r="30686" spans="10:10" x14ac:dyDescent="0.3">
      <c r="J30686"/>
    </row>
    <row r="30687" spans="10:10" x14ac:dyDescent="0.3">
      <c r="J30687"/>
    </row>
    <row r="30688" spans="10:10" x14ac:dyDescent="0.3">
      <c r="J30688"/>
    </row>
    <row r="30689" spans="10:10" x14ac:dyDescent="0.3">
      <c r="J30689"/>
    </row>
    <row r="30690" spans="10:10" x14ac:dyDescent="0.3">
      <c r="J30690"/>
    </row>
    <row r="30691" spans="10:10" x14ac:dyDescent="0.3">
      <c r="J30691"/>
    </row>
    <row r="30692" spans="10:10" x14ac:dyDescent="0.3">
      <c r="J30692"/>
    </row>
    <row r="30693" spans="10:10" x14ac:dyDescent="0.3">
      <c r="J30693"/>
    </row>
    <row r="30694" spans="10:10" x14ac:dyDescent="0.3">
      <c r="J30694"/>
    </row>
    <row r="30695" spans="10:10" x14ac:dyDescent="0.3">
      <c r="J30695"/>
    </row>
    <row r="30696" spans="10:10" x14ac:dyDescent="0.3">
      <c r="J30696"/>
    </row>
    <row r="30697" spans="10:10" x14ac:dyDescent="0.3">
      <c r="J30697"/>
    </row>
    <row r="30698" spans="10:10" x14ac:dyDescent="0.3">
      <c r="J30698"/>
    </row>
    <row r="30699" spans="10:10" x14ac:dyDescent="0.3">
      <c r="J30699"/>
    </row>
    <row r="30700" spans="10:10" x14ac:dyDescent="0.3">
      <c r="J30700"/>
    </row>
    <row r="30701" spans="10:10" x14ac:dyDescent="0.3">
      <c r="J30701"/>
    </row>
    <row r="30702" spans="10:10" x14ac:dyDescent="0.3">
      <c r="J30702"/>
    </row>
    <row r="30703" spans="10:10" x14ac:dyDescent="0.3">
      <c r="J30703"/>
    </row>
    <row r="30704" spans="10:10" x14ac:dyDescent="0.3">
      <c r="J30704"/>
    </row>
    <row r="30705" spans="10:10" x14ac:dyDescent="0.3">
      <c r="J30705"/>
    </row>
    <row r="30706" spans="10:10" x14ac:dyDescent="0.3">
      <c r="J30706"/>
    </row>
    <row r="30707" spans="10:10" x14ac:dyDescent="0.3">
      <c r="J30707"/>
    </row>
    <row r="30708" spans="10:10" x14ac:dyDescent="0.3">
      <c r="J30708"/>
    </row>
    <row r="30709" spans="10:10" x14ac:dyDescent="0.3">
      <c r="J30709"/>
    </row>
    <row r="30710" spans="10:10" x14ac:dyDescent="0.3">
      <c r="J30710"/>
    </row>
    <row r="30711" spans="10:10" x14ac:dyDescent="0.3">
      <c r="J30711"/>
    </row>
    <row r="30712" spans="10:10" x14ac:dyDescent="0.3">
      <c r="J30712"/>
    </row>
    <row r="30713" spans="10:10" x14ac:dyDescent="0.3">
      <c r="J30713"/>
    </row>
    <row r="30714" spans="10:10" x14ac:dyDescent="0.3">
      <c r="J30714"/>
    </row>
    <row r="30715" spans="10:10" x14ac:dyDescent="0.3">
      <c r="J30715"/>
    </row>
    <row r="30716" spans="10:10" x14ac:dyDescent="0.3">
      <c r="J30716"/>
    </row>
    <row r="30717" spans="10:10" x14ac:dyDescent="0.3">
      <c r="J30717"/>
    </row>
    <row r="30718" spans="10:10" x14ac:dyDescent="0.3">
      <c r="J30718"/>
    </row>
    <row r="30719" spans="10:10" x14ac:dyDescent="0.3">
      <c r="J30719"/>
    </row>
    <row r="30720" spans="10:10" x14ac:dyDescent="0.3">
      <c r="J30720"/>
    </row>
    <row r="30721" spans="10:10" x14ac:dyDescent="0.3">
      <c r="J30721"/>
    </row>
    <row r="30722" spans="10:10" x14ac:dyDescent="0.3">
      <c r="J30722"/>
    </row>
    <row r="30723" spans="10:10" x14ac:dyDescent="0.3">
      <c r="J30723"/>
    </row>
    <row r="30724" spans="10:10" x14ac:dyDescent="0.3">
      <c r="J30724"/>
    </row>
    <row r="30725" spans="10:10" x14ac:dyDescent="0.3">
      <c r="J30725"/>
    </row>
    <row r="30726" spans="10:10" x14ac:dyDescent="0.3">
      <c r="J30726"/>
    </row>
    <row r="30727" spans="10:10" x14ac:dyDescent="0.3">
      <c r="J30727"/>
    </row>
    <row r="30728" spans="10:10" x14ac:dyDescent="0.3">
      <c r="J30728"/>
    </row>
    <row r="30729" spans="10:10" x14ac:dyDescent="0.3">
      <c r="J30729"/>
    </row>
    <row r="30730" spans="10:10" x14ac:dyDescent="0.3">
      <c r="J30730"/>
    </row>
    <row r="30731" spans="10:10" x14ac:dyDescent="0.3">
      <c r="J30731"/>
    </row>
    <row r="30732" spans="10:10" x14ac:dyDescent="0.3">
      <c r="J30732"/>
    </row>
    <row r="30733" spans="10:10" x14ac:dyDescent="0.3">
      <c r="J30733"/>
    </row>
    <row r="30734" spans="10:10" x14ac:dyDescent="0.3">
      <c r="J30734"/>
    </row>
    <row r="30735" spans="10:10" x14ac:dyDescent="0.3">
      <c r="J30735"/>
    </row>
    <row r="30736" spans="10:10" x14ac:dyDescent="0.3">
      <c r="J30736"/>
    </row>
    <row r="30737" spans="10:10" x14ac:dyDescent="0.3">
      <c r="J30737"/>
    </row>
    <row r="30738" spans="10:10" x14ac:dyDescent="0.3">
      <c r="J30738"/>
    </row>
    <row r="30739" spans="10:10" x14ac:dyDescent="0.3">
      <c r="J30739"/>
    </row>
    <row r="30740" spans="10:10" x14ac:dyDescent="0.3">
      <c r="J30740"/>
    </row>
    <row r="30741" spans="10:10" x14ac:dyDescent="0.3">
      <c r="J30741"/>
    </row>
    <row r="30742" spans="10:10" x14ac:dyDescent="0.3">
      <c r="J30742"/>
    </row>
    <row r="30743" spans="10:10" x14ac:dyDescent="0.3">
      <c r="J30743"/>
    </row>
    <row r="30744" spans="10:10" x14ac:dyDescent="0.3">
      <c r="J30744"/>
    </row>
    <row r="30745" spans="10:10" x14ac:dyDescent="0.3">
      <c r="J30745"/>
    </row>
    <row r="30746" spans="10:10" x14ac:dyDescent="0.3">
      <c r="J30746"/>
    </row>
    <row r="30747" spans="10:10" x14ac:dyDescent="0.3">
      <c r="J30747"/>
    </row>
    <row r="30748" spans="10:10" x14ac:dyDescent="0.3">
      <c r="J30748"/>
    </row>
    <row r="30749" spans="10:10" x14ac:dyDescent="0.3">
      <c r="J30749"/>
    </row>
    <row r="30750" spans="10:10" x14ac:dyDescent="0.3">
      <c r="J30750"/>
    </row>
    <row r="30751" spans="10:10" x14ac:dyDescent="0.3">
      <c r="J30751"/>
    </row>
    <row r="30752" spans="10:10" x14ac:dyDescent="0.3">
      <c r="J30752"/>
    </row>
    <row r="30753" spans="10:10" x14ac:dyDescent="0.3">
      <c r="J30753"/>
    </row>
    <row r="30754" spans="10:10" x14ac:dyDescent="0.3">
      <c r="J30754"/>
    </row>
    <row r="30755" spans="10:10" x14ac:dyDescent="0.3">
      <c r="J30755"/>
    </row>
    <row r="30756" spans="10:10" x14ac:dyDescent="0.3">
      <c r="J30756"/>
    </row>
    <row r="30757" spans="10:10" x14ac:dyDescent="0.3">
      <c r="J30757"/>
    </row>
    <row r="30758" spans="10:10" x14ac:dyDescent="0.3">
      <c r="J30758"/>
    </row>
    <row r="30759" spans="10:10" x14ac:dyDescent="0.3">
      <c r="J30759"/>
    </row>
    <row r="30760" spans="10:10" x14ac:dyDescent="0.3">
      <c r="J30760"/>
    </row>
    <row r="30761" spans="10:10" x14ac:dyDescent="0.3">
      <c r="J30761"/>
    </row>
    <row r="30762" spans="10:10" x14ac:dyDescent="0.3">
      <c r="J30762"/>
    </row>
    <row r="30763" spans="10:10" x14ac:dyDescent="0.3">
      <c r="J30763"/>
    </row>
    <row r="30764" spans="10:10" x14ac:dyDescent="0.3">
      <c r="J30764"/>
    </row>
    <row r="30765" spans="10:10" x14ac:dyDescent="0.3">
      <c r="J30765"/>
    </row>
    <row r="30766" spans="10:10" x14ac:dyDescent="0.3">
      <c r="J30766"/>
    </row>
    <row r="30767" spans="10:10" x14ac:dyDescent="0.3">
      <c r="J30767"/>
    </row>
    <row r="30768" spans="10:10" x14ac:dyDescent="0.3">
      <c r="J30768"/>
    </row>
    <row r="30769" spans="10:10" x14ac:dyDescent="0.3">
      <c r="J30769"/>
    </row>
    <row r="30770" spans="10:10" x14ac:dyDescent="0.3">
      <c r="J30770"/>
    </row>
    <row r="30771" spans="10:10" x14ac:dyDescent="0.3">
      <c r="J30771"/>
    </row>
    <row r="30772" spans="10:10" x14ac:dyDescent="0.3">
      <c r="J30772"/>
    </row>
    <row r="30773" spans="10:10" x14ac:dyDescent="0.3">
      <c r="J30773"/>
    </row>
    <row r="30774" spans="10:10" x14ac:dyDescent="0.3">
      <c r="J30774"/>
    </row>
    <row r="30775" spans="10:10" x14ac:dyDescent="0.3">
      <c r="J30775"/>
    </row>
    <row r="30776" spans="10:10" x14ac:dyDescent="0.3">
      <c r="J30776"/>
    </row>
    <row r="30777" spans="10:10" x14ac:dyDescent="0.3">
      <c r="J30777"/>
    </row>
    <row r="30778" spans="10:10" x14ac:dyDescent="0.3">
      <c r="J30778"/>
    </row>
    <row r="30779" spans="10:10" x14ac:dyDescent="0.3">
      <c r="J30779"/>
    </row>
    <row r="30780" spans="10:10" x14ac:dyDescent="0.3">
      <c r="J30780"/>
    </row>
    <row r="30781" spans="10:10" x14ac:dyDescent="0.3">
      <c r="J30781"/>
    </row>
    <row r="30782" spans="10:10" x14ac:dyDescent="0.3">
      <c r="J30782"/>
    </row>
    <row r="30783" spans="10:10" x14ac:dyDescent="0.3">
      <c r="J30783"/>
    </row>
    <row r="30784" spans="10:10" x14ac:dyDescent="0.3">
      <c r="J30784"/>
    </row>
    <row r="30785" spans="10:10" x14ac:dyDescent="0.3">
      <c r="J30785"/>
    </row>
    <row r="30786" spans="10:10" x14ac:dyDescent="0.3">
      <c r="J30786"/>
    </row>
    <row r="30787" spans="10:10" x14ac:dyDescent="0.3">
      <c r="J30787"/>
    </row>
    <row r="30788" spans="10:10" x14ac:dyDescent="0.3">
      <c r="J30788"/>
    </row>
    <row r="30789" spans="10:10" x14ac:dyDescent="0.3">
      <c r="J30789"/>
    </row>
    <row r="30790" spans="10:10" x14ac:dyDescent="0.3">
      <c r="J30790"/>
    </row>
    <row r="30791" spans="10:10" x14ac:dyDescent="0.3">
      <c r="J30791"/>
    </row>
    <row r="30792" spans="10:10" x14ac:dyDescent="0.3">
      <c r="J30792"/>
    </row>
    <row r="30793" spans="10:10" x14ac:dyDescent="0.3">
      <c r="J30793"/>
    </row>
    <row r="30794" spans="10:10" x14ac:dyDescent="0.3">
      <c r="J30794"/>
    </row>
    <row r="30795" spans="10:10" x14ac:dyDescent="0.3">
      <c r="J30795"/>
    </row>
    <row r="30796" spans="10:10" x14ac:dyDescent="0.3">
      <c r="J30796"/>
    </row>
    <row r="30797" spans="10:10" x14ac:dyDescent="0.3">
      <c r="J30797"/>
    </row>
    <row r="30798" spans="10:10" x14ac:dyDescent="0.3">
      <c r="J30798"/>
    </row>
    <row r="30799" spans="10:10" x14ac:dyDescent="0.3">
      <c r="J30799"/>
    </row>
    <row r="30800" spans="10:10" x14ac:dyDescent="0.3">
      <c r="J30800"/>
    </row>
    <row r="30801" spans="10:10" x14ac:dyDescent="0.3">
      <c r="J30801"/>
    </row>
    <row r="30802" spans="10:10" x14ac:dyDescent="0.3">
      <c r="J30802"/>
    </row>
    <row r="30803" spans="10:10" x14ac:dyDescent="0.3">
      <c r="J30803"/>
    </row>
    <row r="30804" spans="10:10" x14ac:dyDescent="0.3">
      <c r="J30804"/>
    </row>
    <row r="30805" spans="10:10" x14ac:dyDescent="0.3">
      <c r="J30805"/>
    </row>
    <row r="30806" spans="10:10" x14ac:dyDescent="0.3">
      <c r="J30806"/>
    </row>
    <row r="30807" spans="10:10" x14ac:dyDescent="0.3">
      <c r="J30807"/>
    </row>
    <row r="30808" spans="10:10" x14ac:dyDescent="0.3">
      <c r="J30808"/>
    </row>
    <row r="30809" spans="10:10" x14ac:dyDescent="0.3">
      <c r="J30809"/>
    </row>
    <row r="30810" spans="10:10" x14ac:dyDescent="0.3">
      <c r="J30810"/>
    </row>
    <row r="30811" spans="10:10" x14ac:dyDescent="0.3">
      <c r="J30811"/>
    </row>
    <row r="30812" spans="10:10" x14ac:dyDescent="0.3">
      <c r="J30812"/>
    </row>
    <row r="30813" spans="10:10" x14ac:dyDescent="0.3">
      <c r="J30813"/>
    </row>
    <row r="30814" spans="10:10" x14ac:dyDescent="0.3">
      <c r="J30814"/>
    </row>
    <row r="30815" spans="10:10" x14ac:dyDescent="0.3">
      <c r="J30815"/>
    </row>
    <row r="30816" spans="10:10" x14ac:dyDescent="0.3">
      <c r="J30816"/>
    </row>
    <row r="30817" spans="10:10" x14ac:dyDescent="0.3">
      <c r="J30817"/>
    </row>
    <row r="30818" spans="10:10" x14ac:dyDescent="0.3">
      <c r="J30818"/>
    </row>
    <row r="30819" spans="10:10" x14ac:dyDescent="0.3">
      <c r="J30819"/>
    </row>
    <row r="30820" spans="10:10" x14ac:dyDescent="0.3">
      <c r="J30820"/>
    </row>
    <row r="30821" spans="10:10" x14ac:dyDescent="0.3">
      <c r="J30821"/>
    </row>
    <row r="30822" spans="10:10" x14ac:dyDescent="0.3">
      <c r="J30822"/>
    </row>
    <row r="30823" spans="10:10" x14ac:dyDescent="0.3">
      <c r="J30823"/>
    </row>
    <row r="30824" spans="10:10" x14ac:dyDescent="0.3">
      <c r="J30824"/>
    </row>
    <row r="30825" spans="10:10" x14ac:dyDescent="0.3">
      <c r="J30825"/>
    </row>
    <row r="30826" spans="10:10" x14ac:dyDescent="0.3">
      <c r="J30826"/>
    </row>
    <row r="30827" spans="10:10" x14ac:dyDescent="0.3">
      <c r="J30827"/>
    </row>
    <row r="30828" spans="10:10" x14ac:dyDescent="0.3">
      <c r="J30828"/>
    </row>
    <row r="30829" spans="10:10" x14ac:dyDescent="0.3">
      <c r="J30829"/>
    </row>
    <row r="30830" spans="10:10" x14ac:dyDescent="0.3">
      <c r="J30830"/>
    </row>
    <row r="30831" spans="10:10" x14ac:dyDescent="0.3">
      <c r="J30831"/>
    </row>
    <row r="30832" spans="10:10" x14ac:dyDescent="0.3">
      <c r="J30832"/>
    </row>
    <row r="30833" spans="10:10" x14ac:dyDescent="0.3">
      <c r="J30833"/>
    </row>
    <row r="30834" spans="10:10" x14ac:dyDescent="0.3">
      <c r="J30834"/>
    </row>
    <row r="30835" spans="10:10" x14ac:dyDescent="0.3">
      <c r="J30835"/>
    </row>
    <row r="30836" spans="10:10" x14ac:dyDescent="0.3">
      <c r="J30836"/>
    </row>
    <row r="30837" spans="10:10" x14ac:dyDescent="0.3">
      <c r="J30837"/>
    </row>
    <row r="30838" spans="10:10" x14ac:dyDescent="0.3">
      <c r="J30838"/>
    </row>
    <row r="30839" spans="10:10" x14ac:dyDescent="0.3">
      <c r="J30839"/>
    </row>
    <row r="30840" spans="10:10" x14ac:dyDescent="0.3">
      <c r="J30840"/>
    </row>
    <row r="30841" spans="10:10" x14ac:dyDescent="0.3">
      <c r="J30841"/>
    </row>
    <row r="30842" spans="10:10" x14ac:dyDescent="0.3">
      <c r="J30842"/>
    </row>
    <row r="30843" spans="10:10" x14ac:dyDescent="0.3">
      <c r="J30843"/>
    </row>
    <row r="30844" spans="10:10" x14ac:dyDescent="0.3">
      <c r="J30844"/>
    </row>
    <row r="30845" spans="10:10" x14ac:dyDescent="0.3">
      <c r="J30845"/>
    </row>
    <row r="30846" spans="10:10" x14ac:dyDescent="0.3">
      <c r="J30846"/>
    </row>
    <row r="30847" spans="10:10" x14ac:dyDescent="0.3">
      <c r="J30847"/>
    </row>
    <row r="30848" spans="10:10" x14ac:dyDescent="0.3">
      <c r="J30848"/>
    </row>
    <row r="30849" spans="10:10" x14ac:dyDescent="0.3">
      <c r="J30849"/>
    </row>
    <row r="30850" spans="10:10" x14ac:dyDescent="0.3">
      <c r="J30850"/>
    </row>
    <row r="30851" spans="10:10" x14ac:dyDescent="0.3">
      <c r="J30851"/>
    </row>
    <row r="30852" spans="10:10" x14ac:dyDescent="0.3">
      <c r="J30852"/>
    </row>
    <row r="30853" spans="10:10" x14ac:dyDescent="0.3">
      <c r="J30853"/>
    </row>
    <row r="30854" spans="10:10" x14ac:dyDescent="0.3">
      <c r="J30854"/>
    </row>
    <row r="30855" spans="10:10" x14ac:dyDescent="0.3">
      <c r="J30855"/>
    </row>
    <row r="30856" spans="10:10" x14ac:dyDescent="0.3">
      <c r="J30856"/>
    </row>
    <row r="30857" spans="10:10" x14ac:dyDescent="0.3">
      <c r="J30857"/>
    </row>
    <row r="30858" spans="10:10" x14ac:dyDescent="0.3">
      <c r="J30858"/>
    </row>
    <row r="30859" spans="10:10" x14ac:dyDescent="0.3">
      <c r="J30859"/>
    </row>
    <row r="30860" spans="10:10" x14ac:dyDescent="0.3">
      <c r="J30860"/>
    </row>
    <row r="30861" spans="10:10" x14ac:dyDescent="0.3">
      <c r="J30861"/>
    </row>
    <row r="30862" spans="10:10" x14ac:dyDescent="0.3">
      <c r="J30862"/>
    </row>
    <row r="30863" spans="10:10" x14ac:dyDescent="0.3">
      <c r="J30863"/>
    </row>
    <row r="30864" spans="10:10" x14ac:dyDescent="0.3">
      <c r="J30864"/>
    </row>
    <row r="30865" spans="10:10" x14ac:dyDescent="0.3">
      <c r="J30865"/>
    </row>
    <row r="30866" spans="10:10" x14ac:dyDescent="0.3">
      <c r="J30866"/>
    </row>
    <row r="30867" spans="10:10" x14ac:dyDescent="0.3">
      <c r="J30867"/>
    </row>
    <row r="30868" spans="10:10" x14ac:dyDescent="0.3">
      <c r="J30868"/>
    </row>
    <row r="30869" spans="10:10" x14ac:dyDescent="0.3">
      <c r="J30869"/>
    </row>
    <row r="30870" spans="10:10" x14ac:dyDescent="0.3">
      <c r="J30870"/>
    </row>
    <row r="30871" spans="10:10" x14ac:dyDescent="0.3">
      <c r="J30871"/>
    </row>
    <row r="30872" spans="10:10" x14ac:dyDescent="0.3">
      <c r="J30872"/>
    </row>
    <row r="30873" spans="10:10" x14ac:dyDescent="0.3">
      <c r="J30873"/>
    </row>
    <row r="30874" spans="10:10" x14ac:dyDescent="0.3">
      <c r="J30874"/>
    </row>
    <row r="30875" spans="10:10" x14ac:dyDescent="0.3">
      <c r="J30875"/>
    </row>
    <row r="30876" spans="10:10" x14ac:dyDescent="0.3">
      <c r="J30876"/>
    </row>
    <row r="30877" spans="10:10" x14ac:dyDescent="0.3">
      <c r="J30877"/>
    </row>
    <row r="30878" spans="10:10" x14ac:dyDescent="0.3">
      <c r="J30878"/>
    </row>
    <row r="30879" spans="10:10" x14ac:dyDescent="0.3">
      <c r="J30879"/>
    </row>
    <row r="30880" spans="10:10" x14ac:dyDescent="0.3">
      <c r="J30880"/>
    </row>
    <row r="30881" spans="10:10" x14ac:dyDescent="0.3">
      <c r="J30881"/>
    </row>
    <row r="30882" spans="10:10" x14ac:dyDescent="0.3">
      <c r="J30882"/>
    </row>
    <row r="30883" spans="10:10" x14ac:dyDescent="0.3">
      <c r="J30883"/>
    </row>
    <row r="30884" spans="10:10" x14ac:dyDescent="0.3">
      <c r="J30884"/>
    </row>
    <row r="30885" spans="10:10" x14ac:dyDescent="0.3">
      <c r="J30885"/>
    </row>
    <row r="30886" spans="10:10" x14ac:dyDescent="0.3">
      <c r="J30886"/>
    </row>
    <row r="30887" spans="10:10" x14ac:dyDescent="0.3">
      <c r="J30887"/>
    </row>
    <row r="30888" spans="10:10" x14ac:dyDescent="0.3">
      <c r="J30888"/>
    </row>
    <row r="30889" spans="10:10" x14ac:dyDescent="0.3">
      <c r="J30889"/>
    </row>
    <row r="30890" spans="10:10" x14ac:dyDescent="0.3">
      <c r="J30890"/>
    </row>
    <row r="30891" spans="10:10" x14ac:dyDescent="0.3">
      <c r="J30891"/>
    </row>
    <row r="30892" spans="10:10" x14ac:dyDescent="0.3">
      <c r="J30892"/>
    </row>
    <row r="30893" spans="10:10" x14ac:dyDescent="0.3">
      <c r="J30893"/>
    </row>
    <row r="30894" spans="10:10" x14ac:dyDescent="0.3">
      <c r="J30894"/>
    </row>
    <row r="30895" spans="10:10" x14ac:dyDescent="0.3">
      <c r="J30895"/>
    </row>
    <row r="30896" spans="10:10" x14ac:dyDescent="0.3">
      <c r="J30896"/>
    </row>
    <row r="30897" spans="10:10" x14ac:dyDescent="0.3">
      <c r="J30897"/>
    </row>
    <row r="30898" spans="10:10" x14ac:dyDescent="0.3">
      <c r="J30898"/>
    </row>
    <row r="30899" spans="10:10" x14ac:dyDescent="0.3">
      <c r="J30899"/>
    </row>
    <row r="30900" spans="10:10" x14ac:dyDescent="0.3">
      <c r="J30900"/>
    </row>
    <row r="30901" spans="10:10" x14ac:dyDescent="0.3">
      <c r="J30901"/>
    </row>
    <row r="30902" spans="10:10" x14ac:dyDescent="0.3">
      <c r="J30902"/>
    </row>
    <row r="30903" spans="10:10" x14ac:dyDescent="0.3">
      <c r="J30903"/>
    </row>
    <row r="30904" spans="10:10" x14ac:dyDescent="0.3">
      <c r="J30904"/>
    </row>
    <row r="30905" spans="10:10" x14ac:dyDescent="0.3">
      <c r="J30905"/>
    </row>
    <row r="30906" spans="10:10" x14ac:dyDescent="0.3">
      <c r="J30906"/>
    </row>
    <row r="30907" spans="10:10" x14ac:dyDescent="0.3">
      <c r="J30907"/>
    </row>
    <row r="30908" spans="10:10" x14ac:dyDescent="0.3">
      <c r="J30908"/>
    </row>
    <row r="30909" spans="10:10" x14ac:dyDescent="0.3">
      <c r="J30909"/>
    </row>
    <row r="30910" spans="10:10" x14ac:dyDescent="0.3">
      <c r="J30910"/>
    </row>
    <row r="30911" spans="10:10" x14ac:dyDescent="0.3">
      <c r="J30911"/>
    </row>
    <row r="30912" spans="10:10" x14ac:dyDescent="0.3">
      <c r="J30912"/>
    </row>
    <row r="30913" spans="10:10" x14ac:dyDescent="0.3">
      <c r="J30913"/>
    </row>
    <row r="30914" spans="10:10" x14ac:dyDescent="0.3">
      <c r="J30914"/>
    </row>
    <row r="30915" spans="10:10" x14ac:dyDescent="0.3">
      <c r="J30915"/>
    </row>
    <row r="30916" spans="10:10" x14ac:dyDescent="0.3">
      <c r="J30916"/>
    </row>
    <row r="30917" spans="10:10" x14ac:dyDescent="0.3">
      <c r="J30917"/>
    </row>
    <row r="30918" spans="10:10" x14ac:dyDescent="0.3">
      <c r="J30918"/>
    </row>
    <row r="30919" spans="10:10" x14ac:dyDescent="0.3">
      <c r="J30919"/>
    </row>
    <row r="30920" spans="10:10" x14ac:dyDescent="0.3">
      <c r="J30920"/>
    </row>
    <row r="30921" spans="10:10" x14ac:dyDescent="0.3">
      <c r="J30921"/>
    </row>
    <row r="30922" spans="10:10" x14ac:dyDescent="0.3">
      <c r="J30922"/>
    </row>
    <row r="30923" spans="10:10" x14ac:dyDescent="0.3">
      <c r="J30923"/>
    </row>
    <row r="30924" spans="10:10" x14ac:dyDescent="0.3">
      <c r="J30924"/>
    </row>
    <row r="30925" spans="10:10" x14ac:dyDescent="0.3">
      <c r="J30925"/>
    </row>
    <row r="30926" spans="10:10" x14ac:dyDescent="0.3">
      <c r="J30926"/>
    </row>
    <row r="30927" spans="10:10" x14ac:dyDescent="0.3">
      <c r="J30927"/>
    </row>
    <row r="30928" spans="10:10" x14ac:dyDescent="0.3">
      <c r="J30928"/>
    </row>
    <row r="30929" spans="10:10" x14ac:dyDescent="0.3">
      <c r="J30929"/>
    </row>
    <row r="30930" spans="10:10" x14ac:dyDescent="0.3">
      <c r="J30930"/>
    </row>
    <row r="30931" spans="10:10" x14ac:dyDescent="0.3">
      <c r="J30931"/>
    </row>
    <row r="30932" spans="10:10" x14ac:dyDescent="0.3">
      <c r="J30932"/>
    </row>
    <row r="30933" spans="10:10" x14ac:dyDescent="0.3">
      <c r="J30933"/>
    </row>
    <row r="30934" spans="10:10" x14ac:dyDescent="0.3">
      <c r="J30934"/>
    </row>
    <row r="30935" spans="10:10" x14ac:dyDescent="0.3">
      <c r="J30935"/>
    </row>
    <row r="30936" spans="10:10" x14ac:dyDescent="0.3">
      <c r="J30936"/>
    </row>
    <row r="30937" spans="10:10" x14ac:dyDescent="0.3">
      <c r="J30937"/>
    </row>
    <row r="30938" spans="10:10" x14ac:dyDescent="0.3">
      <c r="J30938"/>
    </row>
    <row r="30939" spans="10:10" x14ac:dyDescent="0.3">
      <c r="J30939"/>
    </row>
    <row r="30940" spans="10:10" x14ac:dyDescent="0.3">
      <c r="J30940"/>
    </row>
    <row r="30941" spans="10:10" x14ac:dyDescent="0.3">
      <c r="J30941"/>
    </row>
    <row r="30942" spans="10:10" x14ac:dyDescent="0.3">
      <c r="J30942"/>
    </row>
    <row r="30943" spans="10:10" x14ac:dyDescent="0.3">
      <c r="J30943"/>
    </row>
    <row r="30944" spans="10:10" x14ac:dyDescent="0.3">
      <c r="J30944"/>
    </row>
    <row r="30945" spans="10:10" x14ac:dyDescent="0.3">
      <c r="J30945"/>
    </row>
    <row r="30946" spans="10:10" x14ac:dyDescent="0.3">
      <c r="J30946"/>
    </row>
    <row r="30947" spans="10:10" x14ac:dyDescent="0.3">
      <c r="J30947"/>
    </row>
    <row r="30948" spans="10:10" x14ac:dyDescent="0.3">
      <c r="J30948"/>
    </row>
    <row r="30949" spans="10:10" x14ac:dyDescent="0.3">
      <c r="J30949"/>
    </row>
    <row r="30950" spans="10:10" x14ac:dyDescent="0.3">
      <c r="J30950"/>
    </row>
    <row r="30951" spans="10:10" x14ac:dyDescent="0.3">
      <c r="J30951"/>
    </row>
    <row r="30952" spans="10:10" x14ac:dyDescent="0.3">
      <c r="J30952"/>
    </row>
    <row r="30953" spans="10:10" x14ac:dyDescent="0.3">
      <c r="J30953"/>
    </row>
    <row r="30954" spans="10:10" x14ac:dyDescent="0.3">
      <c r="J30954"/>
    </row>
    <row r="30955" spans="10:10" x14ac:dyDescent="0.3">
      <c r="J30955"/>
    </row>
    <row r="30956" spans="10:10" x14ac:dyDescent="0.3">
      <c r="J30956"/>
    </row>
    <row r="30957" spans="10:10" x14ac:dyDescent="0.3">
      <c r="J30957"/>
    </row>
    <row r="30958" spans="10:10" x14ac:dyDescent="0.3">
      <c r="J30958"/>
    </row>
    <row r="30959" spans="10:10" x14ac:dyDescent="0.3">
      <c r="J30959"/>
    </row>
    <row r="30960" spans="10:10" x14ac:dyDescent="0.3">
      <c r="J30960"/>
    </row>
    <row r="30961" spans="10:10" x14ac:dyDescent="0.3">
      <c r="J30961"/>
    </row>
    <row r="30962" spans="10:10" x14ac:dyDescent="0.3">
      <c r="J30962"/>
    </row>
    <row r="30963" spans="10:10" x14ac:dyDescent="0.3">
      <c r="J30963"/>
    </row>
    <row r="30964" spans="10:10" x14ac:dyDescent="0.3">
      <c r="J30964"/>
    </row>
    <row r="30965" spans="10:10" x14ac:dyDescent="0.3">
      <c r="J30965"/>
    </row>
    <row r="30966" spans="10:10" x14ac:dyDescent="0.3">
      <c r="J30966"/>
    </row>
    <row r="30967" spans="10:10" x14ac:dyDescent="0.3">
      <c r="J30967"/>
    </row>
    <row r="30968" spans="10:10" x14ac:dyDescent="0.3">
      <c r="J30968"/>
    </row>
    <row r="30969" spans="10:10" x14ac:dyDescent="0.3">
      <c r="J30969"/>
    </row>
    <row r="30970" spans="10:10" x14ac:dyDescent="0.3">
      <c r="J30970"/>
    </row>
    <row r="30971" spans="10:10" x14ac:dyDescent="0.3">
      <c r="J30971"/>
    </row>
    <row r="30972" spans="10:10" x14ac:dyDescent="0.3">
      <c r="J30972"/>
    </row>
    <row r="30973" spans="10:10" x14ac:dyDescent="0.3">
      <c r="J30973"/>
    </row>
    <row r="30974" spans="10:10" x14ac:dyDescent="0.3">
      <c r="J30974"/>
    </row>
    <row r="30975" spans="10:10" x14ac:dyDescent="0.3">
      <c r="J30975"/>
    </row>
    <row r="30976" spans="10:10" x14ac:dyDescent="0.3">
      <c r="J30976"/>
    </row>
    <row r="30977" spans="10:10" x14ac:dyDescent="0.3">
      <c r="J30977"/>
    </row>
    <row r="30978" spans="10:10" x14ac:dyDescent="0.3">
      <c r="J30978"/>
    </row>
    <row r="30979" spans="10:10" x14ac:dyDescent="0.3">
      <c r="J30979"/>
    </row>
    <row r="30980" spans="10:10" x14ac:dyDescent="0.3">
      <c r="J30980"/>
    </row>
    <row r="30981" spans="10:10" x14ac:dyDescent="0.3">
      <c r="J30981"/>
    </row>
    <row r="30982" spans="10:10" x14ac:dyDescent="0.3">
      <c r="J30982"/>
    </row>
    <row r="30983" spans="10:10" x14ac:dyDescent="0.3">
      <c r="J30983"/>
    </row>
    <row r="30984" spans="10:10" x14ac:dyDescent="0.3">
      <c r="J30984"/>
    </row>
    <row r="30985" spans="10:10" x14ac:dyDescent="0.3">
      <c r="J30985"/>
    </row>
    <row r="30986" spans="10:10" x14ac:dyDescent="0.3">
      <c r="J30986"/>
    </row>
    <row r="30987" spans="10:10" x14ac:dyDescent="0.3">
      <c r="J30987"/>
    </row>
    <row r="30988" spans="10:10" x14ac:dyDescent="0.3">
      <c r="J30988"/>
    </row>
    <row r="30989" spans="10:10" x14ac:dyDescent="0.3">
      <c r="J30989"/>
    </row>
    <row r="30990" spans="10:10" x14ac:dyDescent="0.3">
      <c r="J30990"/>
    </row>
    <row r="30991" spans="10:10" x14ac:dyDescent="0.3">
      <c r="J30991"/>
    </row>
    <row r="30992" spans="10:10" x14ac:dyDescent="0.3">
      <c r="J30992"/>
    </row>
    <row r="30993" spans="10:10" x14ac:dyDescent="0.3">
      <c r="J30993"/>
    </row>
    <row r="30994" spans="10:10" x14ac:dyDescent="0.3">
      <c r="J30994"/>
    </row>
    <row r="30995" spans="10:10" x14ac:dyDescent="0.3">
      <c r="J30995"/>
    </row>
    <row r="30996" spans="10:10" x14ac:dyDescent="0.3">
      <c r="J30996"/>
    </row>
    <row r="30997" spans="10:10" x14ac:dyDescent="0.3">
      <c r="J30997"/>
    </row>
    <row r="30998" spans="10:10" x14ac:dyDescent="0.3">
      <c r="J30998"/>
    </row>
    <row r="30999" spans="10:10" x14ac:dyDescent="0.3">
      <c r="J30999"/>
    </row>
    <row r="31000" spans="10:10" x14ac:dyDescent="0.3">
      <c r="J31000"/>
    </row>
    <row r="31001" spans="10:10" x14ac:dyDescent="0.3">
      <c r="J31001"/>
    </row>
    <row r="31002" spans="10:10" x14ac:dyDescent="0.3">
      <c r="J31002"/>
    </row>
    <row r="31003" spans="10:10" x14ac:dyDescent="0.3">
      <c r="J31003"/>
    </row>
    <row r="31004" spans="10:10" x14ac:dyDescent="0.3">
      <c r="J31004"/>
    </row>
    <row r="31005" spans="10:10" x14ac:dyDescent="0.3">
      <c r="J31005"/>
    </row>
    <row r="31006" spans="10:10" x14ac:dyDescent="0.3">
      <c r="J31006"/>
    </row>
    <row r="31007" spans="10:10" x14ac:dyDescent="0.3">
      <c r="J31007"/>
    </row>
    <row r="31008" spans="10:10" x14ac:dyDescent="0.3">
      <c r="J31008"/>
    </row>
    <row r="31009" spans="10:10" x14ac:dyDescent="0.3">
      <c r="J31009"/>
    </row>
    <row r="31010" spans="10:10" x14ac:dyDescent="0.3">
      <c r="J31010"/>
    </row>
    <row r="31011" spans="10:10" x14ac:dyDescent="0.3">
      <c r="J31011"/>
    </row>
    <row r="31012" spans="10:10" x14ac:dyDescent="0.3">
      <c r="J31012"/>
    </row>
    <row r="31013" spans="10:10" x14ac:dyDescent="0.3">
      <c r="J31013"/>
    </row>
    <row r="31014" spans="10:10" x14ac:dyDescent="0.3">
      <c r="J31014"/>
    </row>
    <row r="31015" spans="10:10" x14ac:dyDescent="0.3">
      <c r="J31015"/>
    </row>
    <row r="31016" spans="10:10" x14ac:dyDescent="0.3">
      <c r="J31016"/>
    </row>
    <row r="31017" spans="10:10" x14ac:dyDescent="0.3">
      <c r="J31017"/>
    </row>
    <row r="31018" spans="10:10" x14ac:dyDescent="0.3">
      <c r="J31018"/>
    </row>
    <row r="31019" spans="10:10" x14ac:dyDescent="0.3">
      <c r="J31019"/>
    </row>
    <row r="31020" spans="10:10" x14ac:dyDescent="0.3">
      <c r="J31020"/>
    </row>
    <row r="31021" spans="10:10" x14ac:dyDescent="0.3">
      <c r="J31021"/>
    </row>
    <row r="31022" spans="10:10" x14ac:dyDescent="0.3">
      <c r="J31022"/>
    </row>
    <row r="31023" spans="10:10" x14ac:dyDescent="0.3">
      <c r="J31023"/>
    </row>
    <row r="31024" spans="10:10" x14ac:dyDescent="0.3">
      <c r="J31024"/>
    </row>
    <row r="31025" spans="10:10" x14ac:dyDescent="0.3">
      <c r="J31025"/>
    </row>
    <row r="31026" spans="10:10" x14ac:dyDescent="0.3">
      <c r="J31026"/>
    </row>
    <row r="31027" spans="10:10" x14ac:dyDescent="0.3">
      <c r="J31027"/>
    </row>
    <row r="31028" spans="10:10" x14ac:dyDescent="0.3">
      <c r="J31028"/>
    </row>
    <row r="31029" spans="10:10" x14ac:dyDescent="0.3">
      <c r="J31029"/>
    </row>
    <row r="31030" spans="10:10" x14ac:dyDescent="0.3">
      <c r="J31030"/>
    </row>
    <row r="31031" spans="10:10" x14ac:dyDescent="0.3">
      <c r="J31031"/>
    </row>
    <row r="31032" spans="10:10" x14ac:dyDescent="0.3">
      <c r="J31032"/>
    </row>
    <row r="31033" spans="10:10" x14ac:dyDescent="0.3">
      <c r="J31033"/>
    </row>
    <row r="31034" spans="10:10" x14ac:dyDescent="0.3">
      <c r="J31034"/>
    </row>
    <row r="31035" spans="10:10" x14ac:dyDescent="0.3">
      <c r="J31035"/>
    </row>
    <row r="31036" spans="10:10" x14ac:dyDescent="0.3">
      <c r="J31036"/>
    </row>
    <row r="31037" spans="10:10" x14ac:dyDescent="0.3">
      <c r="J31037"/>
    </row>
    <row r="31038" spans="10:10" x14ac:dyDescent="0.3">
      <c r="J31038"/>
    </row>
    <row r="31039" spans="10:10" x14ac:dyDescent="0.3">
      <c r="J31039"/>
    </row>
    <row r="31040" spans="10:10" x14ac:dyDescent="0.3">
      <c r="J31040"/>
    </row>
    <row r="31041" spans="10:10" x14ac:dyDescent="0.3">
      <c r="J31041"/>
    </row>
    <row r="31042" spans="10:10" x14ac:dyDescent="0.3">
      <c r="J31042"/>
    </row>
    <row r="31043" spans="10:10" x14ac:dyDescent="0.3">
      <c r="J31043"/>
    </row>
    <row r="31044" spans="10:10" x14ac:dyDescent="0.3">
      <c r="J31044"/>
    </row>
    <row r="31045" spans="10:10" x14ac:dyDescent="0.3">
      <c r="J31045"/>
    </row>
    <row r="31046" spans="10:10" x14ac:dyDescent="0.3">
      <c r="J31046"/>
    </row>
    <row r="31047" spans="10:10" x14ac:dyDescent="0.3">
      <c r="J31047"/>
    </row>
    <row r="31048" spans="10:10" x14ac:dyDescent="0.3">
      <c r="J31048"/>
    </row>
    <row r="31049" spans="10:10" x14ac:dyDescent="0.3">
      <c r="J31049"/>
    </row>
    <row r="31050" spans="10:10" x14ac:dyDescent="0.3">
      <c r="J31050"/>
    </row>
    <row r="31051" spans="10:10" x14ac:dyDescent="0.3">
      <c r="J31051"/>
    </row>
    <row r="31052" spans="10:10" x14ac:dyDescent="0.3">
      <c r="J31052"/>
    </row>
    <row r="31053" spans="10:10" x14ac:dyDescent="0.3">
      <c r="J31053"/>
    </row>
    <row r="31054" spans="10:10" x14ac:dyDescent="0.3">
      <c r="J31054"/>
    </row>
    <row r="31055" spans="10:10" x14ac:dyDescent="0.3">
      <c r="J31055"/>
    </row>
    <row r="31056" spans="10:10" x14ac:dyDescent="0.3">
      <c r="J31056"/>
    </row>
    <row r="31057" spans="10:10" x14ac:dyDescent="0.3">
      <c r="J31057"/>
    </row>
    <row r="31058" spans="10:10" x14ac:dyDescent="0.3">
      <c r="J31058"/>
    </row>
    <row r="31059" spans="10:10" x14ac:dyDescent="0.3">
      <c r="J31059"/>
    </row>
    <row r="31060" spans="10:10" x14ac:dyDescent="0.3">
      <c r="J31060"/>
    </row>
    <row r="31061" spans="10:10" x14ac:dyDescent="0.3">
      <c r="J31061"/>
    </row>
    <row r="31062" spans="10:10" x14ac:dyDescent="0.3">
      <c r="J31062"/>
    </row>
    <row r="31063" spans="10:10" x14ac:dyDescent="0.3">
      <c r="J31063"/>
    </row>
    <row r="31064" spans="10:10" x14ac:dyDescent="0.3">
      <c r="J31064"/>
    </row>
    <row r="31065" spans="10:10" x14ac:dyDescent="0.3">
      <c r="J31065"/>
    </row>
    <row r="31066" spans="10:10" x14ac:dyDescent="0.3">
      <c r="J31066"/>
    </row>
    <row r="31067" spans="10:10" x14ac:dyDescent="0.3">
      <c r="J31067"/>
    </row>
    <row r="31068" spans="10:10" x14ac:dyDescent="0.3">
      <c r="J31068"/>
    </row>
    <row r="31069" spans="10:10" x14ac:dyDescent="0.3">
      <c r="J31069"/>
    </row>
    <row r="31070" spans="10:10" x14ac:dyDescent="0.3">
      <c r="J31070"/>
    </row>
    <row r="31071" spans="10:10" x14ac:dyDescent="0.3">
      <c r="J31071"/>
    </row>
    <row r="31072" spans="10:10" x14ac:dyDescent="0.3">
      <c r="J31072"/>
    </row>
    <row r="31073" spans="10:10" x14ac:dyDescent="0.3">
      <c r="J31073"/>
    </row>
    <row r="31074" spans="10:10" x14ac:dyDescent="0.3">
      <c r="J31074"/>
    </row>
    <row r="31075" spans="10:10" x14ac:dyDescent="0.3">
      <c r="J31075"/>
    </row>
    <row r="31076" spans="10:10" x14ac:dyDescent="0.3">
      <c r="J31076"/>
    </row>
    <row r="31077" spans="10:10" x14ac:dyDescent="0.3">
      <c r="J31077"/>
    </row>
    <row r="31078" spans="10:10" x14ac:dyDescent="0.3">
      <c r="J31078"/>
    </row>
    <row r="31079" spans="10:10" x14ac:dyDescent="0.3">
      <c r="J31079"/>
    </row>
    <row r="31080" spans="10:10" x14ac:dyDescent="0.3">
      <c r="J31080"/>
    </row>
    <row r="31081" spans="10:10" x14ac:dyDescent="0.3">
      <c r="J31081"/>
    </row>
    <row r="31082" spans="10:10" x14ac:dyDescent="0.3">
      <c r="J31082"/>
    </row>
    <row r="31083" spans="10:10" x14ac:dyDescent="0.3">
      <c r="J31083"/>
    </row>
    <row r="31084" spans="10:10" x14ac:dyDescent="0.3">
      <c r="J31084"/>
    </row>
    <row r="31085" spans="10:10" x14ac:dyDescent="0.3">
      <c r="J31085"/>
    </row>
    <row r="31086" spans="10:10" x14ac:dyDescent="0.3">
      <c r="J31086"/>
    </row>
    <row r="31087" spans="10:10" x14ac:dyDescent="0.3">
      <c r="J31087"/>
    </row>
    <row r="31088" spans="10:10" x14ac:dyDescent="0.3">
      <c r="J31088"/>
    </row>
    <row r="31089" spans="10:10" x14ac:dyDescent="0.3">
      <c r="J31089"/>
    </row>
    <row r="31090" spans="10:10" x14ac:dyDescent="0.3">
      <c r="J31090"/>
    </row>
    <row r="31091" spans="10:10" x14ac:dyDescent="0.3">
      <c r="J31091"/>
    </row>
    <row r="31092" spans="10:10" x14ac:dyDescent="0.3">
      <c r="J31092"/>
    </row>
    <row r="31093" spans="10:10" x14ac:dyDescent="0.3">
      <c r="J31093"/>
    </row>
    <row r="31094" spans="10:10" x14ac:dyDescent="0.3">
      <c r="J31094"/>
    </row>
    <row r="31095" spans="10:10" x14ac:dyDescent="0.3">
      <c r="J31095"/>
    </row>
    <row r="31096" spans="10:10" x14ac:dyDescent="0.3">
      <c r="J31096"/>
    </row>
    <row r="31097" spans="10:10" x14ac:dyDescent="0.3">
      <c r="J31097"/>
    </row>
    <row r="31098" spans="10:10" x14ac:dyDescent="0.3">
      <c r="J31098"/>
    </row>
    <row r="31099" spans="10:10" x14ac:dyDescent="0.3">
      <c r="J31099"/>
    </row>
    <row r="31100" spans="10:10" x14ac:dyDescent="0.3">
      <c r="J31100"/>
    </row>
    <row r="31101" spans="10:10" x14ac:dyDescent="0.3">
      <c r="J31101"/>
    </row>
    <row r="31102" spans="10:10" x14ac:dyDescent="0.3">
      <c r="J31102"/>
    </row>
    <row r="31103" spans="10:10" x14ac:dyDescent="0.3">
      <c r="J31103"/>
    </row>
    <row r="31104" spans="10:10" x14ac:dyDescent="0.3">
      <c r="J31104"/>
    </row>
    <row r="31105" spans="10:10" x14ac:dyDescent="0.3">
      <c r="J31105"/>
    </row>
    <row r="31106" spans="10:10" x14ac:dyDescent="0.3">
      <c r="J31106"/>
    </row>
    <row r="31107" spans="10:10" x14ac:dyDescent="0.3">
      <c r="J31107"/>
    </row>
    <row r="31108" spans="10:10" x14ac:dyDescent="0.3">
      <c r="J31108"/>
    </row>
    <row r="31109" spans="10:10" x14ac:dyDescent="0.3">
      <c r="J31109"/>
    </row>
    <row r="31110" spans="10:10" x14ac:dyDescent="0.3">
      <c r="J31110"/>
    </row>
    <row r="31111" spans="10:10" x14ac:dyDescent="0.3">
      <c r="J31111"/>
    </row>
    <row r="31112" spans="10:10" x14ac:dyDescent="0.3">
      <c r="J31112"/>
    </row>
    <row r="31113" spans="10:10" x14ac:dyDescent="0.3">
      <c r="J31113"/>
    </row>
    <row r="31114" spans="10:10" x14ac:dyDescent="0.3">
      <c r="J31114"/>
    </row>
    <row r="31115" spans="10:10" x14ac:dyDescent="0.3">
      <c r="J31115"/>
    </row>
    <row r="31116" spans="10:10" x14ac:dyDescent="0.3">
      <c r="J31116"/>
    </row>
    <row r="31117" spans="10:10" x14ac:dyDescent="0.3">
      <c r="J31117"/>
    </row>
    <row r="31118" spans="10:10" x14ac:dyDescent="0.3">
      <c r="J31118"/>
    </row>
    <row r="31119" spans="10:10" x14ac:dyDescent="0.3">
      <c r="J31119"/>
    </row>
    <row r="31120" spans="10:10" x14ac:dyDescent="0.3">
      <c r="J31120"/>
    </row>
    <row r="31121" spans="10:10" x14ac:dyDescent="0.3">
      <c r="J31121"/>
    </row>
    <row r="31122" spans="10:10" x14ac:dyDescent="0.3">
      <c r="J31122"/>
    </row>
    <row r="31123" spans="10:10" x14ac:dyDescent="0.3">
      <c r="J31123"/>
    </row>
    <row r="31124" spans="10:10" x14ac:dyDescent="0.3">
      <c r="J31124"/>
    </row>
    <row r="31125" spans="10:10" x14ac:dyDescent="0.3">
      <c r="J31125"/>
    </row>
    <row r="31126" spans="10:10" x14ac:dyDescent="0.3">
      <c r="J31126"/>
    </row>
    <row r="31127" spans="10:10" x14ac:dyDescent="0.3">
      <c r="J31127"/>
    </row>
    <row r="31128" spans="10:10" x14ac:dyDescent="0.3">
      <c r="J31128"/>
    </row>
    <row r="31129" spans="10:10" x14ac:dyDescent="0.3">
      <c r="J31129"/>
    </row>
    <row r="31130" spans="10:10" x14ac:dyDescent="0.3">
      <c r="J31130"/>
    </row>
    <row r="31131" spans="10:10" x14ac:dyDescent="0.3">
      <c r="J31131"/>
    </row>
    <row r="31132" spans="10:10" x14ac:dyDescent="0.3">
      <c r="J31132"/>
    </row>
    <row r="31133" spans="10:10" x14ac:dyDescent="0.3">
      <c r="J31133"/>
    </row>
    <row r="31134" spans="10:10" x14ac:dyDescent="0.3">
      <c r="J31134"/>
    </row>
    <row r="31135" spans="10:10" x14ac:dyDescent="0.3">
      <c r="J31135"/>
    </row>
    <row r="31136" spans="10:10" x14ac:dyDescent="0.3">
      <c r="J31136"/>
    </row>
    <row r="31137" spans="10:10" x14ac:dyDescent="0.3">
      <c r="J31137"/>
    </row>
    <row r="31138" spans="10:10" x14ac:dyDescent="0.3">
      <c r="J31138"/>
    </row>
    <row r="31139" spans="10:10" x14ac:dyDescent="0.3">
      <c r="J31139"/>
    </row>
    <row r="31140" spans="10:10" x14ac:dyDescent="0.3">
      <c r="J31140"/>
    </row>
    <row r="31141" spans="10:10" x14ac:dyDescent="0.3">
      <c r="J31141"/>
    </row>
    <row r="31142" spans="10:10" x14ac:dyDescent="0.3">
      <c r="J31142"/>
    </row>
    <row r="31143" spans="10:10" x14ac:dyDescent="0.3">
      <c r="J31143"/>
    </row>
    <row r="31144" spans="10:10" x14ac:dyDescent="0.3">
      <c r="J31144"/>
    </row>
    <row r="31145" spans="10:10" x14ac:dyDescent="0.3">
      <c r="J31145"/>
    </row>
    <row r="31146" spans="10:10" x14ac:dyDescent="0.3">
      <c r="J31146"/>
    </row>
    <row r="31147" spans="10:10" x14ac:dyDescent="0.3">
      <c r="J31147"/>
    </row>
    <row r="31148" spans="10:10" x14ac:dyDescent="0.3">
      <c r="J31148"/>
    </row>
    <row r="31149" spans="10:10" x14ac:dyDescent="0.3">
      <c r="J31149"/>
    </row>
    <row r="31150" spans="10:10" x14ac:dyDescent="0.3">
      <c r="J31150"/>
    </row>
    <row r="31151" spans="10:10" x14ac:dyDescent="0.3">
      <c r="J31151"/>
    </row>
    <row r="31152" spans="10:10" x14ac:dyDescent="0.3">
      <c r="J31152"/>
    </row>
    <row r="31153" spans="10:10" x14ac:dyDescent="0.3">
      <c r="J31153"/>
    </row>
    <row r="31154" spans="10:10" x14ac:dyDescent="0.3">
      <c r="J31154"/>
    </row>
    <row r="31155" spans="10:10" x14ac:dyDescent="0.3">
      <c r="J31155"/>
    </row>
    <row r="31156" spans="10:10" x14ac:dyDescent="0.3">
      <c r="J31156"/>
    </row>
    <row r="31157" spans="10:10" x14ac:dyDescent="0.3">
      <c r="J31157"/>
    </row>
    <row r="31158" spans="10:10" x14ac:dyDescent="0.3">
      <c r="J31158"/>
    </row>
    <row r="31159" spans="10:10" x14ac:dyDescent="0.3">
      <c r="J31159"/>
    </row>
    <row r="31160" spans="10:10" x14ac:dyDescent="0.3">
      <c r="J31160"/>
    </row>
    <row r="31161" spans="10:10" x14ac:dyDescent="0.3">
      <c r="J31161"/>
    </row>
    <row r="31162" spans="10:10" x14ac:dyDescent="0.3">
      <c r="J31162"/>
    </row>
    <row r="31163" spans="10:10" x14ac:dyDescent="0.3">
      <c r="J31163"/>
    </row>
    <row r="31164" spans="10:10" x14ac:dyDescent="0.3">
      <c r="J31164"/>
    </row>
    <row r="31165" spans="10:10" x14ac:dyDescent="0.3">
      <c r="J31165"/>
    </row>
    <row r="31166" spans="10:10" x14ac:dyDescent="0.3">
      <c r="J31166"/>
    </row>
    <row r="31167" spans="10:10" x14ac:dyDescent="0.3">
      <c r="J31167"/>
    </row>
    <row r="31168" spans="10:10" x14ac:dyDescent="0.3">
      <c r="J31168"/>
    </row>
    <row r="31169" spans="10:10" x14ac:dyDescent="0.3">
      <c r="J31169"/>
    </row>
    <row r="31170" spans="10:10" x14ac:dyDescent="0.3">
      <c r="J31170"/>
    </row>
    <row r="31171" spans="10:10" x14ac:dyDescent="0.3">
      <c r="J31171"/>
    </row>
    <row r="31172" spans="10:10" x14ac:dyDescent="0.3">
      <c r="J31172"/>
    </row>
    <row r="31173" spans="10:10" x14ac:dyDescent="0.3">
      <c r="J31173"/>
    </row>
    <row r="31174" spans="10:10" x14ac:dyDescent="0.3">
      <c r="J31174"/>
    </row>
    <row r="31175" spans="10:10" x14ac:dyDescent="0.3">
      <c r="J31175"/>
    </row>
    <row r="31176" spans="10:10" x14ac:dyDescent="0.3">
      <c r="J31176"/>
    </row>
    <row r="31177" spans="10:10" x14ac:dyDescent="0.3">
      <c r="J31177"/>
    </row>
    <row r="31178" spans="10:10" x14ac:dyDescent="0.3">
      <c r="J31178"/>
    </row>
    <row r="31179" spans="10:10" x14ac:dyDescent="0.3">
      <c r="J31179"/>
    </row>
    <row r="31180" spans="10:10" x14ac:dyDescent="0.3">
      <c r="J31180"/>
    </row>
    <row r="31181" spans="10:10" x14ac:dyDescent="0.3">
      <c r="J31181"/>
    </row>
    <row r="31182" spans="10:10" x14ac:dyDescent="0.3">
      <c r="J31182"/>
    </row>
    <row r="31183" spans="10:10" x14ac:dyDescent="0.3">
      <c r="J31183"/>
    </row>
    <row r="31184" spans="10:10" x14ac:dyDescent="0.3">
      <c r="J31184"/>
    </row>
    <row r="31185" spans="10:10" x14ac:dyDescent="0.3">
      <c r="J31185"/>
    </row>
    <row r="31186" spans="10:10" x14ac:dyDescent="0.3">
      <c r="J31186"/>
    </row>
    <row r="31187" spans="10:10" x14ac:dyDescent="0.3">
      <c r="J31187"/>
    </row>
    <row r="31188" spans="10:10" x14ac:dyDescent="0.3">
      <c r="J31188"/>
    </row>
    <row r="31189" spans="10:10" x14ac:dyDescent="0.3">
      <c r="J31189"/>
    </row>
    <row r="31190" spans="10:10" x14ac:dyDescent="0.3">
      <c r="J31190"/>
    </row>
    <row r="31191" spans="10:10" x14ac:dyDescent="0.3">
      <c r="J31191"/>
    </row>
    <row r="31192" spans="10:10" x14ac:dyDescent="0.3">
      <c r="J31192"/>
    </row>
    <row r="31193" spans="10:10" x14ac:dyDescent="0.3">
      <c r="J31193"/>
    </row>
    <row r="31194" spans="10:10" x14ac:dyDescent="0.3">
      <c r="J31194"/>
    </row>
    <row r="31195" spans="10:10" x14ac:dyDescent="0.3">
      <c r="J31195"/>
    </row>
    <row r="31196" spans="10:10" x14ac:dyDescent="0.3">
      <c r="J31196"/>
    </row>
    <row r="31197" spans="10:10" x14ac:dyDescent="0.3">
      <c r="J31197"/>
    </row>
    <row r="31198" spans="10:10" x14ac:dyDescent="0.3">
      <c r="J31198"/>
    </row>
    <row r="31199" spans="10:10" x14ac:dyDescent="0.3">
      <c r="J31199"/>
    </row>
    <row r="31200" spans="10:10" x14ac:dyDescent="0.3">
      <c r="J31200"/>
    </row>
    <row r="31201" spans="10:10" x14ac:dyDescent="0.3">
      <c r="J31201"/>
    </row>
    <row r="31202" spans="10:10" x14ac:dyDescent="0.3">
      <c r="J31202"/>
    </row>
    <row r="31203" spans="10:10" x14ac:dyDescent="0.3">
      <c r="J31203"/>
    </row>
    <row r="31204" spans="10:10" x14ac:dyDescent="0.3">
      <c r="J31204"/>
    </row>
    <row r="31205" spans="10:10" x14ac:dyDescent="0.3">
      <c r="J31205"/>
    </row>
    <row r="31206" spans="10:10" x14ac:dyDescent="0.3">
      <c r="J31206"/>
    </row>
    <row r="31207" spans="10:10" x14ac:dyDescent="0.3">
      <c r="J31207"/>
    </row>
    <row r="31208" spans="10:10" x14ac:dyDescent="0.3">
      <c r="J31208"/>
    </row>
    <row r="31209" spans="10:10" x14ac:dyDescent="0.3">
      <c r="J31209"/>
    </row>
    <row r="31210" spans="10:10" x14ac:dyDescent="0.3">
      <c r="J31210"/>
    </row>
    <row r="31211" spans="10:10" x14ac:dyDescent="0.3">
      <c r="J31211"/>
    </row>
    <row r="31212" spans="10:10" x14ac:dyDescent="0.3">
      <c r="J31212"/>
    </row>
    <row r="31213" spans="10:10" x14ac:dyDescent="0.3">
      <c r="J31213"/>
    </row>
    <row r="31214" spans="10:10" x14ac:dyDescent="0.3">
      <c r="J31214"/>
    </row>
    <row r="31215" spans="10:10" x14ac:dyDescent="0.3">
      <c r="J31215"/>
    </row>
    <row r="31216" spans="10:10" x14ac:dyDescent="0.3">
      <c r="J31216"/>
    </row>
    <row r="31217" spans="10:10" x14ac:dyDescent="0.3">
      <c r="J31217"/>
    </row>
    <row r="31218" spans="10:10" x14ac:dyDescent="0.3">
      <c r="J31218"/>
    </row>
    <row r="31219" spans="10:10" x14ac:dyDescent="0.3">
      <c r="J31219"/>
    </row>
    <row r="31220" spans="10:10" x14ac:dyDescent="0.3">
      <c r="J31220"/>
    </row>
    <row r="31221" spans="10:10" x14ac:dyDescent="0.3">
      <c r="J31221"/>
    </row>
    <row r="31222" spans="10:10" x14ac:dyDescent="0.3">
      <c r="J31222"/>
    </row>
    <row r="31223" spans="10:10" x14ac:dyDescent="0.3">
      <c r="J31223"/>
    </row>
    <row r="31224" spans="10:10" x14ac:dyDescent="0.3">
      <c r="J31224"/>
    </row>
    <row r="31225" spans="10:10" x14ac:dyDescent="0.3">
      <c r="J31225"/>
    </row>
    <row r="31226" spans="10:10" x14ac:dyDescent="0.3">
      <c r="J31226"/>
    </row>
    <row r="31227" spans="10:10" x14ac:dyDescent="0.3">
      <c r="J31227"/>
    </row>
    <row r="31228" spans="10:10" x14ac:dyDescent="0.3">
      <c r="J31228"/>
    </row>
    <row r="31229" spans="10:10" x14ac:dyDescent="0.3">
      <c r="J31229"/>
    </row>
    <row r="31230" spans="10:10" x14ac:dyDescent="0.3">
      <c r="J31230"/>
    </row>
    <row r="31231" spans="10:10" x14ac:dyDescent="0.3">
      <c r="J31231"/>
    </row>
    <row r="31232" spans="10:10" x14ac:dyDescent="0.3">
      <c r="J31232"/>
    </row>
    <row r="31233" spans="10:10" x14ac:dyDescent="0.3">
      <c r="J31233"/>
    </row>
    <row r="31234" spans="10:10" x14ac:dyDescent="0.3">
      <c r="J31234"/>
    </row>
    <row r="31235" spans="10:10" x14ac:dyDescent="0.3">
      <c r="J31235"/>
    </row>
    <row r="31236" spans="10:10" x14ac:dyDescent="0.3">
      <c r="J31236"/>
    </row>
    <row r="31237" spans="10:10" x14ac:dyDescent="0.3">
      <c r="J31237"/>
    </row>
    <row r="31238" spans="10:10" x14ac:dyDescent="0.3">
      <c r="J31238"/>
    </row>
    <row r="31239" spans="10:10" x14ac:dyDescent="0.3">
      <c r="J31239"/>
    </row>
    <row r="31240" spans="10:10" x14ac:dyDescent="0.3">
      <c r="J31240"/>
    </row>
    <row r="31241" spans="10:10" x14ac:dyDescent="0.3">
      <c r="J31241"/>
    </row>
    <row r="31242" spans="10:10" x14ac:dyDescent="0.3">
      <c r="J31242"/>
    </row>
    <row r="31243" spans="10:10" x14ac:dyDescent="0.3">
      <c r="J31243"/>
    </row>
    <row r="31244" spans="10:10" x14ac:dyDescent="0.3">
      <c r="J31244"/>
    </row>
    <row r="31245" spans="10:10" x14ac:dyDescent="0.3">
      <c r="J31245"/>
    </row>
    <row r="31246" spans="10:10" x14ac:dyDescent="0.3">
      <c r="J31246"/>
    </row>
    <row r="31247" spans="10:10" x14ac:dyDescent="0.3">
      <c r="J31247"/>
    </row>
    <row r="31248" spans="10:10" x14ac:dyDescent="0.3">
      <c r="J31248"/>
    </row>
    <row r="31249" spans="10:10" x14ac:dyDescent="0.3">
      <c r="J31249"/>
    </row>
    <row r="31250" spans="10:10" x14ac:dyDescent="0.3">
      <c r="J31250"/>
    </row>
    <row r="31251" spans="10:10" x14ac:dyDescent="0.3">
      <c r="J31251"/>
    </row>
    <row r="31252" spans="10:10" x14ac:dyDescent="0.3">
      <c r="J31252"/>
    </row>
    <row r="31253" spans="10:10" x14ac:dyDescent="0.3">
      <c r="J31253"/>
    </row>
    <row r="31254" spans="10:10" x14ac:dyDescent="0.3">
      <c r="J31254"/>
    </row>
    <row r="31255" spans="10:10" x14ac:dyDescent="0.3">
      <c r="J31255"/>
    </row>
    <row r="31256" spans="10:10" x14ac:dyDescent="0.3">
      <c r="J31256"/>
    </row>
    <row r="31257" spans="10:10" x14ac:dyDescent="0.3">
      <c r="J31257"/>
    </row>
    <row r="31258" spans="10:10" x14ac:dyDescent="0.3">
      <c r="J31258"/>
    </row>
    <row r="31259" spans="10:10" x14ac:dyDescent="0.3">
      <c r="J31259"/>
    </row>
    <row r="31260" spans="10:10" x14ac:dyDescent="0.3">
      <c r="J31260"/>
    </row>
    <row r="31261" spans="10:10" x14ac:dyDescent="0.3">
      <c r="J31261"/>
    </row>
    <row r="31262" spans="10:10" x14ac:dyDescent="0.3">
      <c r="J31262"/>
    </row>
    <row r="31263" spans="10:10" x14ac:dyDescent="0.3">
      <c r="J31263"/>
    </row>
    <row r="31264" spans="10:10" x14ac:dyDescent="0.3">
      <c r="J31264"/>
    </row>
    <row r="31265" spans="10:10" x14ac:dyDescent="0.3">
      <c r="J31265"/>
    </row>
    <row r="31266" spans="10:10" x14ac:dyDescent="0.3">
      <c r="J31266"/>
    </row>
    <row r="31267" spans="10:10" x14ac:dyDescent="0.3">
      <c r="J31267"/>
    </row>
    <row r="31268" spans="10:10" x14ac:dyDescent="0.3">
      <c r="J31268"/>
    </row>
    <row r="31269" spans="10:10" x14ac:dyDescent="0.3">
      <c r="J31269"/>
    </row>
    <row r="31270" spans="10:10" x14ac:dyDescent="0.3">
      <c r="J31270"/>
    </row>
    <row r="31271" spans="10:10" x14ac:dyDescent="0.3">
      <c r="J31271"/>
    </row>
    <row r="31272" spans="10:10" x14ac:dyDescent="0.3">
      <c r="J31272"/>
    </row>
    <row r="31273" spans="10:10" x14ac:dyDescent="0.3">
      <c r="J31273"/>
    </row>
    <row r="31274" spans="10:10" x14ac:dyDescent="0.3">
      <c r="J31274"/>
    </row>
    <row r="31275" spans="10:10" x14ac:dyDescent="0.3">
      <c r="J31275"/>
    </row>
    <row r="31276" spans="10:10" x14ac:dyDescent="0.3">
      <c r="J31276"/>
    </row>
    <row r="31277" spans="10:10" x14ac:dyDescent="0.3">
      <c r="J31277"/>
    </row>
    <row r="31278" spans="10:10" x14ac:dyDescent="0.3">
      <c r="J31278"/>
    </row>
    <row r="31279" spans="10:10" x14ac:dyDescent="0.3">
      <c r="J31279"/>
    </row>
    <row r="31280" spans="10:10" x14ac:dyDescent="0.3">
      <c r="J31280"/>
    </row>
    <row r="31281" spans="10:10" x14ac:dyDescent="0.3">
      <c r="J31281"/>
    </row>
    <row r="31282" spans="10:10" x14ac:dyDescent="0.3">
      <c r="J31282"/>
    </row>
    <row r="31283" spans="10:10" x14ac:dyDescent="0.3">
      <c r="J31283"/>
    </row>
    <row r="31284" spans="10:10" x14ac:dyDescent="0.3">
      <c r="J31284"/>
    </row>
    <row r="31285" spans="10:10" x14ac:dyDescent="0.3">
      <c r="J31285"/>
    </row>
    <row r="31286" spans="10:10" x14ac:dyDescent="0.3">
      <c r="J31286"/>
    </row>
    <row r="31287" spans="10:10" x14ac:dyDescent="0.3">
      <c r="J31287"/>
    </row>
    <row r="31288" spans="10:10" x14ac:dyDescent="0.3">
      <c r="J31288"/>
    </row>
    <row r="31289" spans="10:10" x14ac:dyDescent="0.3">
      <c r="J31289"/>
    </row>
    <row r="31290" spans="10:10" x14ac:dyDescent="0.3">
      <c r="J31290"/>
    </row>
    <row r="31291" spans="10:10" x14ac:dyDescent="0.3">
      <c r="J31291"/>
    </row>
    <row r="31292" spans="10:10" x14ac:dyDescent="0.3">
      <c r="J31292"/>
    </row>
    <row r="31293" spans="10:10" x14ac:dyDescent="0.3">
      <c r="J31293"/>
    </row>
    <row r="31294" spans="10:10" x14ac:dyDescent="0.3">
      <c r="J31294"/>
    </row>
    <row r="31295" spans="10:10" x14ac:dyDescent="0.3">
      <c r="J31295"/>
    </row>
    <row r="31296" spans="10:10" x14ac:dyDescent="0.3">
      <c r="J31296"/>
    </row>
    <row r="31297" spans="10:10" x14ac:dyDescent="0.3">
      <c r="J31297"/>
    </row>
    <row r="31298" spans="10:10" x14ac:dyDescent="0.3">
      <c r="J31298"/>
    </row>
    <row r="31299" spans="10:10" x14ac:dyDescent="0.3">
      <c r="J31299"/>
    </row>
    <row r="31300" spans="10:10" x14ac:dyDescent="0.3">
      <c r="J31300"/>
    </row>
    <row r="31301" spans="10:10" x14ac:dyDescent="0.3">
      <c r="J31301"/>
    </row>
    <row r="31302" spans="10:10" x14ac:dyDescent="0.3">
      <c r="J31302"/>
    </row>
    <row r="31303" spans="10:10" x14ac:dyDescent="0.3">
      <c r="J31303"/>
    </row>
    <row r="31304" spans="10:10" x14ac:dyDescent="0.3">
      <c r="J31304"/>
    </row>
    <row r="31305" spans="10:10" x14ac:dyDescent="0.3">
      <c r="J31305"/>
    </row>
    <row r="31306" spans="10:10" x14ac:dyDescent="0.3">
      <c r="J31306"/>
    </row>
    <row r="31307" spans="10:10" x14ac:dyDescent="0.3">
      <c r="J31307"/>
    </row>
    <row r="31308" spans="10:10" x14ac:dyDescent="0.3">
      <c r="J31308"/>
    </row>
    <row r="31309" spans="10:10" x14ac:dyDescent="0.3">
      <c r="J31309"/>
    </row>
    <row r="31310" spans="10:10" x14ac:dyDescent="0.3">
      <c r="J31310"/>
    </row>
    <row r="31311" spans="10:10" x14ac:dyDescent="0.3">
      <c r="J31311"/>
    </row>
    <row r="31312" spans="10:10" x14ac:dyDescent="0.3">
      <c r="J31312"/>
    </row>
    <row r="31313" spans="10:10" x14ac:dyDescent="0.3">
      <c r="J31313"/>
    </row>
    <row r="31314" spans="10:10" x14ac:dyDescent="0.3">
      <c r="J31314"/>
    </row>
    <row r="31315" spans="10:10" x14ac:dyDescent="0.3">
      <c r="J31315"/>
    </row>
    <row r="31316" spans="10:10" x14ac:dyDescent="0.3">
      <c r="J31316"/>
    </row>
    <row r="31317" spans="10:10" x14ac:dyDescent="0.3">
      <c r="J31317"/>
    </row>
    <row r="31318" spans="10:10" x14ac:dyDescent="0.3">
      <c r="J31318"/>
    </row>
    <row r="31319" spans="10:10" x14ac:dyDescent="0.3">
      <c r="J31319"/>
    </row>
    <row r="31320" spans="10:10" x14ac:dyDescent="0.3">
      <c r="J31320"/>
    </row>
    <row r="31321" spans="10:10" x14ac:dyDescent="0.3">
      <c r="J31321"/>
    </row>
    <row r="31322" spans="10:10" x14ac:dyDescent="0.3">
      <c r="J31322"/>
    </row>
    <row r="31323" spans="10:10" x14ac:dyDescent="0.3">
      <c r="J31323"/>
    </row>
    <row r="31324" spans="10:10" x14ac:dyDescent="0.3">
      <c r="J31324"/>
    </row>
    <row r="31325" spans="10:10" x14ac:dyDescent="0.3">
      <c r="J31325"/>
    </row>
    <row r="31326" spans="10:10" x14ac:dyDescent="0.3">
      <c r="J31326"/>
    </row>
    <row r="31327" spans="10:10" x14ac:dyDescent="0.3">
      <c r="J31327"/>
    </row>
    <row r="31328" spans="10:10" x14ac:dyDescent="0.3">
      <c r="J31328"/>
    </row>
    <row r="31329" spans="10:10" x14ac:dyDescent="0.3">
      <c r="J31329"/>
    </row>
    <row r="31330" spans="10:10" x14ac:dyDescent="0.3">
      <c r="J31330"/>
    </row>
    <row r="31331" spans="10:10" x14ac:dyDescent="0.3">
      <c r="J31331"/>
    </row>
    <row r="31332" spans="10:10" x14ac:dyDescent="0.3">
      <c r="J31332"/>
    </row>
    <row r="31333" spans="10:10" x14ac:dyDescent="0.3">
      <c r="J31333"/>
    </row>
    <row r="31334" spans="10:10" x14ac:dyDescent="0.3">
      <c r="J31334"/>
    </row>
    <row r="31335" spans="10:10" x14ac:dyDescent="0.3">
      <c r="J31335"/>
    </row>
    <row r="31336" spans="10:10" x14ac:dyDescent="0.3">
      <c r="J31336"/>
    </row>
    <row r="31337" spans="10:10" x14ac:dyDescent="0.3">
      <c r="J31337"/>
    </row>
    <row r="31338" spans="10:10" x14ac:dyDescent="0.3">
      <c r="J31338"/>
    </row>
    <row r="31339" spans="10:10" x14ac:dyDescent="0.3">
      <c r="J31339"/>
    </row>
    <row r="31340" spans="10:10" x14ac:dyDescent="0.3">
      <c r="J31340"/>
    </row>
    <row r="31341" spans="10:10" x14ac:dyDescent="0.3">
      <c r="J31341"/>
    </row>
    <row r="31342" spans="10:10" x14ac:dyDescent="0.3">
      <c r="J31342"/>
    </row>
    <row r="31343" spans="10:10" x14ac:dyDescent="0.3">
      <c r="J31343"/>
    </row>
    <row r="31344" spans="10:10" x14ac:dyDescent="0.3">
      <c r="J31344"/>
    </row>
    <row r="31345" spans="10:10" x14ac:dyDescent="0.3">
      <c r="J31345"/>
    </row>
    <row r="31346" spans="10:10" x14ac:dyDescent="0.3">
      <c r="J31346"/>
    </row>
    <row r="31347" spans="10:10" x14ac:dyDescent="0.3">
      <c r="J31347"/>
    </row>
    <row r="31348" spans="10:10" x14ac:dyDescent="0.3">
      <c r="J31348"/>
    </row>
    <row r="31349" spans="10:10" x14ac:dyDescent="0.3">
      <c r="J31349"/>
    </row>
    <row r="31350" spans="10:10" x14ac:dyDescent="0.3">
      <c r="J31350"/>
    </row>
    <row r="31351" spans="10:10" x14ac:dyDescent="0.3">
      <c r="J31351"/>
    </row>
    <row r="31352" spans="10:10" x14ac:dyDescent="0.3">
      <c r="J31352"/>
    </row>
    <row r="31353" spans="10:10" x14ac:dyDescent="0.3">
      <c r="J31353"/>
    </row>
    <row r="31354" spans="10:10" x14ac:dyDescent="0.3">
      <c r="J31354"/>
    </row>
    <row r="31355" spans="10:10" x14ac:dyDescent="0.3">
      <c r="J31355"/>
    </row>
    <row r="31356" spans="10:10" x14ac:dyDescent="0.3">
      <c r="J31356"/>
    </row>
    <row r="31357" spans="10:10" x14ac:dyDescent="0.3">
      <c r="J31357"/>
    </row>
    <row r="31358" spans="10:10" x14ac:dyDescent="0.3">
      <c r="J31358"/>
    </row>
    <row r="31359" spans="10:10" x14ac:dyDescent="0.3">
      <c r="J31359"/>
    </row>
    <row r="31360" spans="10:10" x14ac:dyDescent="0.3">
      <c r="J31360"/>
    </row>
    <row r="31361" spans="10:10" x14ac:dyDescent="0.3">
      <c r="J31361"/>
    </row>
    <row r="31362" spans="10:10" x14ac:dyDescent="0.3">
      <c r="J31362"/>
    </row>
    <row r="31363" spans="10:10" x14ac:dyDescent="0.3">
      <c r="J31363"/>
    </row>
    <row r="31364" spans="10:10" x14ac:dyDescent="0.3">
      <c r="J31364"/>
    </row>
    <row r="31365" spans="10:10" x14ac:dyDescent="0.3">
      <c r="J31365"/>
    </row>
    <row r="31366" spans="10:10" x14ac:dyDescent="0.3">
      <c r="J31366"/>
    </row>
    <row r="31367" spans="10:10" x14ac:dyDescent="0.3">
      <c r="J31367"/>
    </row>
    <row r="31368" spans="10:10" x14ac:dyDescent="0.3">
      <c r="J31368"/>
    </row>
    <row r="31369" spans="10:10" x14ac:dyDescent="0.3">
      <c r="J31369"/>
    </row>
    <row r="31370" spans="10:10" x14ac:dyDescent="0.3">
      <c r="J31370"/>
    </row>
    <row r="31371" spans="10:10" x14ac:dyDescent="0.3">
      <c r="J31371"/>
    </row>
    <row r="31372" spans="10:10" x14ac:dyDescent="0.3">
      <c r="J31372"/>
    </row>
    <row r="31373" spans="10:10" x14ac:dyDescent="0.3">
      <c r="J31373"/>
    </row>
    <row r="31374" spans="10:10" x14ac:dyDescent="0.3">
      <c r="J31374"/>
    </row>
    <row r="31375" spans="10:10" x14ac:dyDescent="0.3">
      <c r="J31375"/>
    </row>
    <row r="31376" spans="10:10" x14ac:dyDescent="0.3">
      <c r="J31376"/>
    </row>
    <row r="31377" spans="10:10" x14ac:dyDescent="0.3">
      <c r="J31377"/>
    </row>
    <row r="31378" spans="10:10" x14ac:dyDescent="0.3">
      <c r="J31378"/>
    </row>
    <row r="31379" spans="10:10" x14ac:dyDescent="0.3">
      <c r="J31379"/>
    </row>
    <row r="31380" spans="10:10" x14ac:dyDescent="0.3">
      <c r="J31380"/>
    </row>
    <row r="31381" spans="10:10" x14ac:dyDescent="0.3">
      <c r="J31381"/>
    </row>
    <row r="31382" spans="10:10" x14ac:dyDescent="0.3">
      <c r="J31382"/>
    </row>
    <row r="31383" spans="10:10" x14ac:dyDescent="0.3">
      <c r="J31383"/>
    </row>
    <row r="31384" spans="10:10" x14ac:dyDescent="0.3">
      <c r="J31384"/>
    </row>
    <row r="31385" spans="10:10" x14ac:dyDescent="0.3">
      <c r="J31385"/>
    </row>
    <row r="31386" spans="10:10" x14ac:dyDescent="0.3">
      <c r="J31386"/>
    </row>
    <row r="31387" spans="10:10" x14ac:dyDescent="0.3">
      <c r="J31387"/>
    </row>
    <row r="31388" spans="10:10" x14ac:dyDescent="0.3">
      <c r="J31388"/>
    </row>
    <row r="31389" spans="10:10" x14ac:dyDescent="0.3">
      <c r="J31389"/>
    </row>
    <row r="31390" spans="10:10" x14ac:dyDescent="0.3">
      <c r="J31390"/>
    </row>
    <row r="31391" spans="10:10" x14ac:dyDescent="0.3">
      <c r="J31391"/>
    </row>
    <row r="31392" spans="10:10" x14ac:dyDescent="0.3">
      <c r="J31392"/>
    </row>
    <row r="31393" spans="10:10" x14ac:dyDescent="0.3">
      <c r="J31393"/>
    </row>
    <row r="31394" spans="10:10" x14ac:dyDescent="0.3">
      <c r="J31394"/>
    </row>
    <row r="31395" spans="10:10" x14ac:dyDescent="0.3">
      <c r="J31395"/>
    </row>
    <row r="31396" spans="10:10" x14ac:dyDescent="0.3">
      <c r="J31396"/>
    </row>
    <row r="31397" spans="10:10" x14ac:dyDescent="0.3">
      <c r="J31397"/>
    </row>
    <row r="31398" spans="10:10" x14ac:dyDescent="0.3">
      <c r="J31398"/>
    </row>
    <row r="31399" spans="10:10" x14ac:dyDescent="0.3">
      <c r="J31399"/>
    </row>
    <row r="31400" spans="10:10" x14ac:dyDescent="0.3">
      <c r="J31400"/>
    </row>
    <row r="31401" spans="10:10" x14ac:dyDescent="0.3">
      <c r="J31401"/>
    </row>
    <row r="31402" spans="10:10" x14ac:dyDescent="0.3">
      <c r="J31402"/>
    </row>
    <row r="31403" spans="10:10" x14ac:dyDescent="0.3">
      <c r="J31403"/>
    </row>
    <row r="31404" spans="10:10" x14ac:dyDescent="0.3">
      <c r="J31404"/>
    </row>
    <row r="31405" spans="10:10" x14ac:dyDescent="0.3">
      <c r="J31405"/>
    </row>
    <row r="31406" spans="10:10" x14ac:dyDescent="0.3">
      <c r="J31406"/>
    </row>
    <row r="31407" spans="10:10" x14ac:dyDescent="0.3">
      <c r="J31407"/>
    </row>
    <row r="31408" spans="10:10" x14ac:dyDescent="0.3">
      <c r="J31408"/>
    </row>
    <row r="31409" spans="10:10" x14ac:dyDescent="0.3">
      <c r="J31409"/>
    </row>
    <row r="31410" spans="10:10" x14ac:dyDescent="0.3">
      <c r="J31410"/>
    </row>
    <row r="31411" spans="10:10" x14ac:dyDescent="0.3">
      <c r="J31411"/>
    </row>
    <row r="31412" spans="10:10" x14ac:dyDescent="0.3">
      <c r="J31412"/>
    </row>
    <row r="31413" spans="10:10" x14ac:dyDescent="0.3">
      <c r="J31413"/>
    </row>
    <row r="31414" spans="10:10" x14ac:dyDescent="0.3">
      <c r="J31414"/>
    </row>
    <row r="31415" spans="10:10" x14ac:dyDescent="0.3">
      <c r="J31415"/>
    </row>
    <row r="31416" spans="10:10" x14ac:dyDescent="0.3">
      <c r="J31416"/>
    </row>
    <row r="31417" spans="10:10" x14ac:dyDescent="0.3">
      <c r="J31417"/>
    </row>
    <row r="31418" spans="10:10" x14ac:dyDescent="0.3">
      <c r="J31418"/>
    </row>
    <row r="31419" spans="10:10" x14ac:dyDescent="0.3">
      <c r="J31419"/>
    </row>
    <row r="31420" spans="10:10" x14ac:dyDescent="0.3">
      <c r="J31420"/>
    </row>
    <row r="31421" spans="10:10" x14ac:dyDescent="0.3">
      <c r="J31421"/>
    </row>
    <row r="31422" spans="10:10" x14ac:dyDescent="0.3">
      <c r="J31422"/>
    </row>
    <row r="31423" spans="10:10" x14ac:dyDescent="0.3">
      <c r="J31423"/>
    </row>
    <row r="31424" spans="10:10" x14ac:dyDescent="0.3">
      <c r="J31424"/>
    </row>
    <row r="31425" spans="10:10" x14ac:dyDescent="0.3">
      <c r="J31425"/>
    </row>
    <row r="31426" spans="10:10" x14ac:dyDescent="0.3">
      <c r="J31426"/>
    </row>
    <row r="31427" spans="10:10" x14ac:dyDescent="0.3">
      <c r="J31427"/>
    </row>
    <row r="31428" spans="10:10" x14ac:dyDescent="0.3">
      <c r="J31428"/>
    </row>
    <row r="31429" spans="10:10" x14ac:dyDescent="0.3">
      <c r="J31429"/>
    </row>
    <row r="31430" spans="10:10" x14ac:dyDescent="0.3">
      <c r="J31430"/>
    </row>
    <row r="31431" spans="10:10" x14ac:dyDescent="0.3">
      <c r="J31431"/>
    </row>
    <row r="31432" spans="10:10" x14ac:dyDescent="0.3">
      <c r="J31432"/>
    </row>
    <row r="31433" spans="10:10" x14ac:dyDescent="0.3">
      <c r="J31433"/>
    </row>
    <row r="31434" spans="10:10" x14ac:dyDescent="0.3">
      <c r="J31434"/>
    </row>
    <row r="31435" spans="10:10" x14ac:dyDescent="0.3">
      <c r="J31435"/>
    </row>
    <row r="31436" spans="10:10" x14ac:dyDescent="0.3">
      <c r="J31436"/>
    </row>
    <row r="31437" spans="10:10" x14ac:dyDescent="0.3">
      <c r="J31437"/>
    </row>
    <row r="31438" spans="10:10" x14ac:dyDescent="0.3">
      <c r="J31438"/>
    </row>
    <row r="31439" spans="10:10" x14ac:dyDescent="0.3">
      <c r="J31439"/>
    </row>
    <row r="31440" spans="10:10" x14ac:dyDescent="0.3">
      <c r="J31440"/>
    </row>
    <row r="31441" spans="10:10" x14ac:dyDescent="0.3">
      <c r="J31441"/>
    </row>
    <row r="31442" spans="10:10" x14ac:dyDescent="0.3">
      <c r="J31442"/>
    </row>
    <row r="31443" spans="10:10" x14ac:dyDescent="0.3">
      <c r="J31443"/>
    </row>
    <row r="31444" spans="10:10" x14ac:dyDescent="0.3">
      <c r="J31444"/>
    </row>
    <row r="31445" spans="10:10" x14ac:dyDescent="0.3">
      <c r="J31445"/>
    </row>
    <row r="31446" spans="10:10" x14ac:dyDescent="0.3">
      <c r="J31446"/>
    </row>
    <row r="31447" spans="10:10" x14ac:dyDescent="0.3">
      <c r="J31447"/>
    </row>
    <row r="31448" spans="10:10" x14ac:dyDescent="0.3">
      <c r="J31448"/>
    </row>
    <row r="31449" spans="10:10" x14ac:dyDescent="0.3">
      <c r="J31449"/>
    </row>
    <row r="31450" spans="10:10" x14ac:dyDescent="0.3">
      <c r="J31450"/>
    </row>
    <row r="31451" spans="10:10" x14ac:dyDescent="0.3">
      <c r="J31451"/>
    </row>
    <row r="31452" spans="10:10" x14ac:dyDescent="0.3">
      <c r="J31452"/>
    </row>
    <row r="31453" spans="10:10" x14ac:dyDescent="0.3">
      <c r="J31453"/>
    </row>
    <row r="31454" spans="10:10" x14ac:dyDescent="0.3">
      <c r="J31454"/>
    </row>
    <row r="31455" spans="10:10" x14ac:dyDescent="0.3">
      <c r="J31455"/>
    </row>
    <row r="31456" spans="10:10" x14ac:dyDescent="0.3">
      <c r="J31456"/>
    </row>
    <row r="31457" spans="10:10" x14ac:dyDescent="0.3">
      <c r="J31457"/>
    </row>
    <row r="31458" spans="10:10" x14ac:dyDescent="0.3">
      <c r="J31458"/>
    </row>
    <row r="31459" spans="10:10" x14ac:dyDescent="0.3">
      <c r="J31459"/>
    </row>
    <row r="31460" spans="10:10" x14ac:dyDescent="0.3">
      <c r="J31460"/>
    </row>
    <row r="31461" spans="10:10" x14ac:dyDescent="0.3">
      <c r="J31461"/>
    </row>
    <row r="31462" spans="10:10" x14ac:dyDescent="0.3">
      <c r="J31462"/>
    </row>
    <row r="31463" spans="10:10" x14ac:dyDescent="0.3">
      <c r="J31463"/>
    </row>
    <row r="31464" spans="10:10" x14ac:dyDescent="0.3">
      <c r="J31464"/>
    </row>
    <row r="31465" spans="10:10" x14ac:dyDescent="0.3">
      <c r="J31465"/>
    </row>
    <row r="31466" spans="10:10" x14ac:dyDescent="0.3">
      <c r="J31466"/>
    </row>
    <row r="31467" spans="10:10" x14ac:dyDescent="0.3">
      <c r="J31467"/>
    </row>
    <row r="31468" spans="10:10" x14ac:dyDescent="0.3">
      <c r="J31468"/>
    </row>
    <row r="31469" spans="10:10" x14ac:dyDescent="0.3">
      <c r="J31469"/>
    </row>
    <row r="31470" spans="10:10" x14ac:dyDescent="0.3">
      <c r="J31470"/>
    </row>
    <row r="31471" spans="10:10" x14ac:dyDescent="0.3">
      <c r="J31471"/>
    </row>
    <row r="31472" spans="10:10" x14ac:dyDescent="0.3">
      <c r="J31472"/>
    </row>
    <row r="31473" spans="10:10" x14ac:dyDescent="0.3">
      <c r="J31473"/>
    </row>
    <row r="31474" spans="10:10" x14ac:dyDescent="0.3">
      <c r="J31474"/>
    </row>
    <row r="31475" spans="10:10" x14ac:dyDescent="0.3">
      <c r="J31475"/>
    </row>
    <row r="31476" spans="10:10" x14ac:dyDescent="0.3">
      <c r="J31476"/>
    </row>
    <row r="31477" spans="10:10" x14ac:dyDescent="0.3">
      <c r="J31477"/>
    </row>
    <row r="31478" spans="10:10" x14ac:dyDescent="0.3">
      <c r="J31478"/>
    </row>
    <row r="31479" spans="10:10" x14ac:dyDescent="0.3">
      <c r="J31479"/>
    </row>
    <row r="31480" spans="10:10" x14ac:dyDescent="0.3">
      <c r="J31480"/>
    </row>
    <row r="31481" spans="10:10" x14ac:dyDescent="0.3">
      <c r="J31481"/>
    </row>
    <row r="31482" spans="10:10" x14ac:dyDescent="0.3">
      <c r="J31482"/>
    </row>
    <row r="31483" spans="10:10" x14ac:dyDescent="0.3">
      <c r="J31483"/>
    </row>
    <row r="31484" spans="10:10" x14ac:dyDescent="0.3">
      <c r="J31484"/>
    </row>
    <row r="31485" spans="10:10" x14ac:dyDescent="0.3">
      <c r="J31485"/>
    </row>
    <row r="31486" spans="10:10" x14ac:dyDescent="0.3">
      <c r="J31486"/>
    </row>
    <row r="31487" spans="10:10" x14ac:dyDescent="0.3">
      <c r="J31487"/>
    </row>
    <row r="31488" spans="10:10" x14ac:dyDescent="0.3">
      <c r="J31488"/>
    </row>
    <row r="31489" spans="10:10" x14ac:dyDescent="0.3">
      <c r="J31489"/>
    </row>
    <row r="31490" spans="10:10" x14ac:dyDescent="0.3">
      <c r="J31490"/>
    </row>
    <row r="31491" spans="10:10" x14ac:dyDescent="0.3">
      <c r="J31491"/>
    </row>
    <row r="31492" spans="10:10" x14ac:dyDescent="0.3">
      <c r="J31492"/>
    </row>
    <row r="31493" spans="10:10" x14ac:dyDescent="0.3">
      <c r="J31493"/>
    </row>
    <row r="31494" spans="10:10" x14ac:dyDescent="0.3">
      <c r="J31494"/>
    </row>
    <row r="31495" spans="10:10" x14ac:dyDescent="0.3">
      <c r="J31495"/>
    </row>
    <row r="31496" spans="10:10" x14ac:dyDescent="0.3">
      <c r="J31496"/>
    </row>
    <row r="31497" spans="10:10" x14ac:dyDescent="0.3">
      <c r="J31497"/>
    </row>
    <row r="31498" spans="10:10" x14ac:dyDescent="0.3">
      <c r="J31498"/>
    </row>
    <row r="31499" spans="10:10" x14ac:dyDescent="0.3">
      <c r="J31499"/>
    </row>
    <row r="31500" spans="10:10" x14ac:dyDescent="0.3">
      <c r="J31500"/>
    </row>
    <row r="31501" spans="10:10" x14ac:dyDescent="0.3">
      <c r="J31501"/>
    </row>
    <row r="31502" spans="10:10" x14ac:dyDescent="0.3">
      <c r="J31502"/>
    </row>
    <row r="31503" spans="10:10" x14ac:dyDescent="0.3">
      <c r="J31503"/>
    </row>
    <row r="31504" spans="10:10" x14ac:dyDescent="0.3">
      <c r="J31504"/>
    </row>
    <row r="31505" spans="10:10" x14ac:dyDescent="0.3">
      <c r="J31505"/>
    </row>
    <row r="31506" spans="10:10" x14ac:dyDescent="0.3">
      <c r="J31506"/>
    </row>
    <row r="31507" spans="10:10" x14ac:dyDescent="0.3">
      <c r="J31507"/>
    </row>
    <row r="31508" spans="10:10" x14ac:dyDescent="0.3">
      <c r="J31508"/>
    </row>
    <row r="31509" spans="10:10" x14ac:dyDescent="0.3">
      <c r="J31509"/>
    </row>
    <row r="31510" spans="10:10" x14ac:dyDescent="0.3">
      <c r="J31510"/>
    </row>
    <row r="31511" spans="10:10" x14ac:dyDescent="0.3">
      <c r="J31511"/>
    </row>
    <row r="31512" spans="10:10" x14ac:dyDescent="0.3">
      <c r="J31512"/>
    </row>
    <row r="31513" spans="10:10" x14ac:dyDescent="0.3">
      <c r="J31513"/>
    </row>
    <row r="31514" spans="10:10" x14ac:dyDescent="0.3">
      <c r="J31514"/>
    </row>
    <row r="31515" spans="10:10" x14ac:dyDescent="0.3">
      <c r="J31515"/>
    </row>
    <row r="31516" spans="10:10" x14ac:dyDescent="0.3">
      <c r="J31516"/>
    </row>
    <row r="31517" spans="10:10" x14ac:dyDescent="0.3">
      <c r="J31517"/>
    </row>
    <row r="31518" spans="10:10" x14ac:dyDescent="0.3">
      <c r="J31518"/>
    </row>
    <row r="31519" spans="10:10" x14ac:dyDescent="0.3">
      <c r="J31519"/>
    </row>
    <row r="31520" spans="10:10" x14ac:dyDescent="0.3">
      <c r="J31520"/>
    </row>
    <row r="31521" spans="10:10" x14ac:dyDescent="0.3">
      <c r="J31521"/>
    </row>
    <row r="31522" spans="10:10" x14ac:dyDescent="0.3">
      <c r="J31522"/>
    </row>
    <row r="31523" spans="10:10" x14ac:dyDescent="0.3">
      <c r="J31523"/>
    </row>
    <row r="31524" spans="10:10" x14ac:dyDescent="0.3">
      <c r="J31524"/>
    </row>
    <row r="31525" spans="10:10" x14ac:dyDescent="0.3">
      <c r="J31525"/>
    </row>
    <row r="31526" spans="10:10" x14ac:dyDescent="0.3">
      <c r="J31526"/>
    </row>
    <row r="31527" spans="10:10" x14ac:dyDescent="0.3">
      <c r="J31527"/>
    </row>
    <row r="31528" spans="10:10" x14ac:dyDescent="0.3">
      <c r="J31528"/>
    </row>
    <row r="31529" spans="10:10" x14ac:dyDescent="0.3">
      <c r="J31529"/>
    </row>
    <row r="31530" spans="10:10" x14ac:dyDescent="0.3">
      <c r="J31530"/>
    </row>
    <row r="31531" spans="10:10" x14ac:dyDescent="0.3">
      <c r="J31531"/>
    </row>
    <row r="31532" spans="10:10" x14ac:dyDescent="0.3">
      <c r="J31532"/>
    </row>
    <row r="31533" spans="10:10" x14ac:dyDescent="0.3">
      <c r="J31533"/>
    </row>
    <row r="31534" spans="10:10" x14ac:dyDescent="0.3">
      <c r="J31534"/>
    </row>
    <row r="31535" spans="10:10" x14ac:dyDescent="0.3">
      <c r="J31535"/>
    </row>
    <row r="31536" spans="10:10" x14ac:dyDescent="0.3">
      <c r="J31536"/>
    </row>
    <row r="31537" spans="10:10" x14ac:dyDescent="0.3">
      <c r="J31537"/>
    </row>
    <row r="31538" spans="10:10" x14ac:dyDescent="0.3">
      <c r="J31538"/>
    </row>
    <row r="31539" spans="10:10" x14ac:dyDescent="0.3">
      <c r="J31539"/>
    </row>
    <row r="31540" spans="10:10" x14ac:dyDescent="0.3">
      <c r="J31540"/>
    </row>
    <row r="31541" spans="10:10" x14ac:dyDescent="0.3">
      <c r="J31541"/>
    </row>
    <row r="31542" spans="10:10" x14ac:dyDescent="0.3">
      <c r="J31542"/>
    </row>
    <row r="31543" spans="10:10" x14ac:dyDescent="0.3">
      <c r="J31543"/>
    </row>
    <row r="31544" spans="10:10" x14ac:dyDescent="0.3">
      <c r="J31544"/>
    </row>
    <row r="31545" spans="10:10" x14ac:dyDescent="0.3">
      <c r="J31545"/>
    </row>
    <row r="31546" spans="10:10" x14ac:dyDescent="0.3">
      <c r="J31546"/>
    </row>
    <row r="31547" spans="10:10" x14ac:dyDescent="0.3">
      <c r="J31547"/>
    </row>
    <row r="31548" spans="10:10" x14ac:dyDescent="0.3">
      <c r="J31548"/>
    </row>
    <row r="31549" spans="10:10" x14ac:dyDescent="0.3">
      <c r="J31549"/>
    </row>
    <row r="31550" spans="10:10" x14ac:dyDescent="0.3">
      <c r="J31550"/>
    </row>
    <row r="31551" spans="10:10" x14ac:dyDescent="0.3">
      <c r="J31551"/>
    </row>
    <row r="31552" spans="10:10" x14ac:dyDescent="0.3">
      <c r="J31552"/>
    </row>
    <row r="31553" spans="10:10" x14ac:dyDescent="0.3">
      <c r="J31553"/>
    </row>
    <row r="31554" spans="10:10" x14ac:dyDescent="0.3">
      <c r="J31554"/>
    </row>
    <row r="31555" spans="10:10" x14ac:dyDescent="0.3">
      <c r="J31555"/>
    </row>
    <row r="31556" spans="10:10" x14ac:dyDescent="0.3">
      <c r="J31556"/>
    </row>
    <row r="31557" spans="10:10" x14ac:dyDescent="0.3">
      <c r="J31557"/>
    </row>
    <row r="31558" spans="10:10" x14ac:dyDescent="0.3">
      <c r="J31558"/>
    </row>
    <row r="31559" spans="10:10" x14ac:dyDescent="0.3">
      <c r="J31559"/>
    </row>
    <row r="31560" spans="10:10" x14ac:dyDescent="0.3">
      <c r="J31560"/>
    </row>
    <row r="31561" spans="10:10" x14ac:dyDescent="0.3">
      <c r="J31561"/>
    </row>
    <row r="31562" spans="10:10" x14ac:dyDescent="0.3">
      <c r="J31562"/>
    </row>
    <row r="31563" spans="10:10" x14ac:dyDescent="0.3">
      <c r="J31563"/>
    </row>
    <row r="31564" spans="10:10" x14ac:dyDescent="0.3">
      <c r="J31564"/>
    </row>
    <row r="31565" spans="10:10" x14ac:dyDescent="0.3">
      <c r="J31565"/>
    </row>
    <row r="31566" spans="10:10" x14ac:dyDescent="0.3">
      <c r="J31566"/>
    </row>
    <row r="31567" spans="10:10" x14ac:dyDescent="0.3">
      <c r="J31567"/>
    </row>
    <row r="31568" spans="10:10" x14ac:dyDescent="0.3">
      <c r="J31568"/>
    </row>
    <row r="31569" spans="10:10" x14ac:dyDescent="0.3">
      <c r="J31569"/>
    </row>
    <row r="31570" spans="10:10" x14ac:dyDescent="0.3">
      <c r="J31570"/>
    </row>
    <row r="31571" spans="10:10" x14ac:dyDescent="0.3">
      <c r="J31571"/>
    </row>
    <row r="31572" spans="10:10" x14ac:dyDescent="0.3">
      <c r="J31572"/>
    </row>
    <row r="31573" spans="10:10" x14ac:dyDescent="0.3">
      <c r="J31573"/>
    </row>
    <row r="31574" spans="10:10" x14ac:dyDescent="0.3">
      <c r="J31574"/>
    </row>
    <row r="31575" spans="10:10" x14ac:dyDescent="0.3">
      <c r="J31575"/>
    </row>
    <row r="31576" spans="10:10" x14ac:dyDescent="0.3">
      <c r="J31576"/>
    </row>
    <row r="31577" spans="10:10" x14ac:dyDescent="0.3">
      <c r="J31577"/>
    </row>
    <row r="31578" spans="10:10" x14ac:dyDescent="0.3">
      <c r="J31578"/>
    </row>
    <row r="31579" spans="10:10" x14ac:dyDescent="0.3">
      <c r="J31579"/>
    </row>
    <row r="31580" spans="10:10" x14ac:dyDescent="0.3">
      <c r="J31580"/>
    </row>
    <row r="31581" spans="10:10" x14ac:dyDescent="0.3">
      <c r="J31581"/>
    </row>
    <row r="31582" spans="10:10" x14ac:dyDescent="0.3">
      <c r="J31582"/>
    </row>
    <row r="31583" spans="10:10" x14ac:dyDescent="0.3">
      <c r="J31583"/>
    </row>
    <row r="31584" spans="10:10" x14ac:dyDescent="0.3">
      <c r="J31584"/>
    </row>
    <row r="31585" spans="10:10" x14ac:dyDescent="0.3">
      <c r="J31585"/>
    </row>
    <row r="31586" spans="10:10" x14ac:dyDescent="0.3">
      <c r="J31586"/>
    </row>
    <row r="31587" spans="10:10" x14ac:dyDescent="0.3">
      <c r="J31587"/>
    </row>
    <row r="31588" spans="10:10" x14ac:dyDescent="0.3">
      <c r="J31588"/>
    </row>
    <row r="31589" spans="10:10" x14ac:dyDescent="0.3">
      <c r="J31589"/>
    </row>
    <row r="31590" spans="10:10" x14ac:dyDescent="0.3">
      <c r="J31590"/>
    </row>
    <row r="31591" spans="10:10" x14ac:dyDescent="0.3">
      <c r="J31591"/>
    </row>
    <row r="31592" spans="10:10" x14ac:dyDescent="0.3">
      <c r="J31592"/>
    </row>
    <row r="31593" spans="10:10" x14ac:dyDescent="0.3">
      <c r="J31593"/>
    </row>
    <row r="31594" spans="10:10" x14ac:dyDescent="0.3">
      <c r="J31594"/>
    </row>
    <row r="31595" spans="10:10" x14ac:dyDescent="0.3">
      <c r="J31595"/>
    </row>
    <row r="31596" spans="10:10" x14ac:dyDescent="0.3">
      <c r="J31596"/>
    </row>
    <row r="31597" spans="10:10" x14ac:dyDescent="0.3">
      <c r="J31597"/>
    </row>
    <row r="31598" spans="10:10" x14ac:dyDescent="0.3">
      <c r="J31598"/>
    </row>
    <row r="31599" spans="10:10" x14ac:dyDescent="0.3">
      <c r="J31599"/>
    </row>
    <row r="31600" spans="10:10" x14ac:dyDescent="0.3">
      <c r="J31600"/>
    </row>
    <row r="31601" spans="10:10" x14ac:dyDescent="0.3">
      <c r="J31601"/>
    </row>
    <row r="31602" spans="10:10" x14ac:dyDescent="0.3">
      <c r="J31602"/>
    </row>
    <row r="31603" spans="10:10" x14ac:dyDescent="0.3">
      <c r="J31603"/>
    </row>
    <row r="31604" spans="10:10" x14ac:dyDescent="0.3">
      <c r="J31604"/>
    </row>
    <row r="31605" spans="10:10" x14ac:dyDescent="0.3">
      <c r="J31605"/>
    </row>
    <row r="31606" spans="10:10" x14ac:dyDescent="0.3">
      <c r="J31606"/>
    </row>
    <row r="31607" spans="10:10" x14ac:dyDescent="0.3">
      <c r="J31607"/>
    </row>
    <row r="31608" spans="10:10" x14ac:dyDescent="0.3">
      <c r="J31608"/>
    </row>
    <row r="31609" spans="10:10" x14ac:dyDescent="0.3">
      <c r="J31609"/>
    </row>
    <row r="31610" spans="10:10" x14ac:dyDescent="0.3">
      <c r="J31610"/>
    </row>
    <row r="31611" spans="10:10" x14ac:dyDescent="0.3">
      <c r="J31611"/>
    </row>
    <row r="31612" spans="10:10" x14ac:dyDescent="0.3">
      <c r="J31612"/>
    </row>
    <row r="31613" spans="10:10" x14ac:dyDescent="0.3">
      <c r="J31613"/>
    </row>
    <row r="31614" spans="10:10" x14ac:dyDescent="0.3">
      <c r="J31614"/>
    </row>
    <row r="31615" spans="10:10" x14ac:dyDescent="0.3">
      <c r="J31615"/>
    </row>
    <row r="31616" spans="10:10" x14ac:dyDescent="0.3">
      <c r="J31616"/>
    </row>
    <row r="31617" spans="10:10" x14ac:dyDescent="0.3">
      <c r="J31617"/>
    </row>
    <row r="31618" spans="10:10" x14ac:dyDescent="0.3">
      <c r="J31618"/>
    </row>
    <row r="31619" spans="10:10" x14ac:dyDescent="0.3">
      <c r="J31619"/>
    </row>
    <row r="31620" spans="10:10" x14ac:dyDescent="0.3">
      <c r="J31620"/>
    </row>
    <row r="31621" spans="10:10" x14ac:dyDescent="0.3">
      <c r="J31621"/>
    </row>
    <row r="31622" spans="10:10" x14ac:dyDescent="0.3">
      <c r="J31622"/>
    </row>
    <row r="31623" spans="10:10" x14ac:dyDescent="0.3">
      <c r="J31623"/>
    </row>
    <row r="31624" spans="10:10" x14ac:dyDescent="0.3">
      <c r="J31624"/>
    </row>
    <row r="31625" spans="10:10" x14ac:dyDescent="0.3">
      <c r="J31625"/>
    </row>
    <row r="31626" spans="10:10" x14ac:dyDescent="0.3">
      <c r="J31626"/>
    </row>
    <row r="31627" spans="10:10" x14ac:dyDescent="0.3">
      <c r="J31627"/>
    </row>
    <row r="31628" spans="10:10" x14ac:dyDescent="0.3">
      <c r="J31628"/>
    </row>
    <row r="31629" spans="10:10" x14ac:dyDescent="0.3">
      <c r="J31629"/>
    </row>
    <row r="31630" spans="10:10" x14ac:dyDescent="0.3">
      <c r="J31630"/>
    </row>
    <row r="31631" spans="10:10" x14ac:dyDescent="0.3">
      <c r="J31631"/>
    </row>
    <row r="31632" spans="10:10" x14ac:dyDescent="0.3">
      <c r="J31632"/>
    </row>
    <row r="31633" spans="10:10" x14ac:dyDescent="0.3">
      <c r="J31633"/>
    </row>
    <row r="31634" spans="10:10" x14ac:dyDescent="0.3">
      <c r="J31634"/>
    </row>
    <row r="31635" spans="10:10" x14ac:dyDescent="0.3">
      <c r="J31635"/>
    </row>
    <row r="31636" spans="10:10" x14ac:dyDescent="0.3">
      <c r="J31636"/>
    </row>
    <row r="31637" spans="10:10" x14ac:dyDescent="0.3">
      <c r="J31637"/>
    </row>
    <row r="31638" spans="10:10" x14ac:dyDescent="0.3">
      <c r="J31638"/>
    </row>
    <row r="31639" spans="10:10" x14ac:dyDescent="0.3">
      <c r="J31639"/>
    </row>
    <row r="31640" spans="10:10" x14ac:dyDescent="0.3">
      <c r="J31640"/>
    </row>
    <row r="31641" spans="10:10" x14ac:dyDescent="0.3">
      <c r="J31641"/>
    </row>
    <row r="31642" spans="10:10" x14ac:dyDescent="0.3">
      <c r="J31642"/>
    </row>
    <row r="31643" spans="10:10" x14ac:dyDescent="0.3">
      <c r="J31643"/>
    </row>
    <row r="31644" spans="10:10" x14ac:dyDescent="0.3">
      <c r="J31644"/>
    </row>
    <row r="31645" spans="10:10" x14ac:dyDescent="0.3">
      <c r="J31645"/>
    </row>
    <row r="31646" spans="10:10" x14ac:dyDescent="0.3">
      <c r="J31646"/>
    </row>
    <row r="31647" spans="10:10" x14ac:dyDescent="0.3">
      <c r="J31647"/>
    </row>
    <row r="31648" spans="10:10" x14ac:dyDescent="0.3">
      <c r="J31648"/>
    </row>
    <row r="31649" spans="10:10" x14ac:dyDescent="0.3">
      <c r="J31649"/>
    </row>
    <row r="31650" spans="10:10" x14ac:dyDescent="0.3">
      <c r="J31650"/>
    </row>
    <row r="31651" spans="10:10" x14ac:dyDescent="0.3">
      <c r="J31651"/>
    </row>
    <row r="31652" spans="10:10" x14ac:dyDescent="0.3">
      <c r="J31652"/>
    </row>
    <row r="31653" spans="10:10" x14ac:dyDescent="0.3">
      <c r="J31653"/>
    </row>
    <row r="31654" spans="10:10" x14ac:dyDescent="0.3">
      <c r="J31654"/>
    </row>
    <row r="31655" spans="10:10" x14ac:dyDescent="0.3">
      <c r="J31655"/>
    </row>
    <row r="31656" spans="10:10" x14ac:dyDescent="0.3">
      <c r="J31656"/>
    </row>
    <row r="31657" spans="10:10" x14ac:dyDescent="0.3">
      <c r="J31657"/>
    </row>
    <row r="31658" spans="10:10" x14ac:dyDescent="0.3">
      <c r="J31658"/>
    </row>
    <row r="31659" spans="10:10" x14ac:dyDescent="0.3">
      <c r="J31659"/>
    </row>
    <row r="31660" spans="10:10" x14ac:dyDescent="0.3">
      <c r="J31660"/>
    </row>
    <row r="31661" spans="10:10" x14ac:dyDescent="0.3">
      <c r="J31661"/>
    </row>
    <row r="31662" spans="10:10" x14ac:dyDescent="0.3">
      <c r="J31662"/>
    </row>
    <row r="31663" spans="10:10" x14ac:dyDescent="0.3">
      <c r="J31663"/>
    </row>
    <row r="31664" spans="10:10" x14ac:dyDescent="0.3">
      <c r="J31664"/>
    </row>
    <row r="31665" spans="10:10" x14ac:dyDescent="0.3">
      <c r="J31665"/>
    </row>
    <row r="31666" spans="10:10" x14ac:dyDescent="0.3">
      <c r="J31666"/>
    </row>
    <row r="31667" spans="10:10" x14ac:dyDescent="0.3">
      <c r="J31667"/>
    </row>
    <row r="31668" spans="10:10" x14ac:dyDescent="0.3">
      <c r="J31668"/>
    </row>
    <row r="31669" spans="10:10" x14ac:dyDescent="0.3">
      <c r="J31669"/>
    </row>
    <row r="31670" spans="10:10" x14ac:dyDescent="0.3">
      <c r="J31670"/>
    </row>
    <row r="31671" spans="10:10" x14ac:dyDescent="0.3">
      <c r="J31671"/>
    </row>
    <row r="31672" spans="10:10" x14ac:dyDescent="0.3">
      <c r="J31672"/>
    </row>
    <row r="31673" spans="10:10" x14ac:dyDescent="0.3">
      <c r="J31673"/>
    </row>
    <row r="31674" spans="10:10" x14ac:dyDescent="0.3">
      <c r="J31674"/>
    </row>
    <row r="31675" spans="10:10" x14ac:dyDescent="0.3">
      <c r="J31675"/>
    </row>
    <row r="31676" spans="10:10" x14ac:dyDescent="0.3">
      <c r="J31676"/>
    </row>
    <row r="31677" spans="10:10" x14ac:dyDescent="0.3">
      <c r="J31677"/>
    </row>
    <row r="31678" spans="10:10" x14ac:dyDescent="0.3">
      <c r="J31678"/>
    </row>
    <row r="31679" spans="10:10" x14ac:dyDescent="0.3">
      <c r="J31679"/>
    </row>
    <row r="31680" spans="10:10" x14ac:dyDescent="0.3">
      <c r="J31680"/>
    </row>
    <row r="31681" spans="10:10" x14ac:dyDescent="0.3">
      <c r="J31681"/>
    </row>
    <row r="31682" spans="10:10" x14ac:dyDescent="0.3">
      <c r="J31682"/>
    </row>
    <row r="31683" spans="10:10" x14ac:dyDescent="0.3">
      <c r="J31683"/>
    </row>
    <row r="31684" spans="10:10" x14ac:dyDescent="0.3">
      <c r="J31684"/>
    </row>
    <row r="31685" spans="10:10" x14ac:dyDescent="0.3">
      <c r="J31685"/>
    </row>
    <row r="31686" spans="10:10" x14ac:dyDescent="0.3">
      <c r="J31686"/>
    </row>
    <row r="31687" spans="10:10" x14ac:dyDescent="0.3">
      <c r="J31687"/>
    </row>
    <row r="31688" spans="10:10" x14ac:dyDescent="0.3">
      <c r="J31688"/>
    </row>
    <row r="31689" spans="10:10" x14ac:dyDescent="0.3">
      <c r="J31689"/>
    </row>
    <row r="31690" spans="10:10" x14ac:dyDescent="0.3">
      <c r="J31690"/>
    </row>
    <row r="31691" spans="10:10" x14ac:dyDescent="0.3">
      <c r="J31691"/>
    </row>
    <row r="31692" spans="10:10" x14ac:dyDescent="0.3">
      <c r="J31692"/>
    </row>
    <row r="31693" spans="10:10" x14ac:dyDescent="0.3">
      <c r="J31693"/>
    </row>
    <row r="31694" spans="10:10" x14ac:dyDescent="0.3">
      <c r="J31694"/>
    </row>
    <row r="31695" spans="10:10" x14ac:dyDescent="0.3">
      <c r="J31695"/>
    </row>
    <row r="31696" spans="10:10" x14ac:dyDescent="0.3">
      <c r="J31696"/>
    </row>
    <row r="31697" spans="10:10" x14ac:dyDescent="0.3">
      <c r="J31697"/>
    </row>
    <row r="31698" spans="10:10" x14ac:dyDescent="0.3">
      <c r="J31698"/>
    </row>
    <row r="31699" spans="10:10" x14ac:dyDescent="0.3">
      <c r="J31699"/>
    </row>
    <row r="31700" spans="10:10" x14ac:dyDescent="0.3">
      <c r="J31700"/>
    </row>
    <row r="31701" spans="10:10" x14ac:dyDescent="0.3">
      <c r="J31701"/>
    </row>
    <row r="31702" spans="10:10" x14ac:dyDescent="0.3">
      <c r="J31702"/>
    </row>
    <row r="31703" spans="10:10" x14ac:dyDescent="0.3">
      <c r="J31703"/>
    </row>
    <row r="31704" spans="10:10" x14ac:dyDescent="0.3">
      <c r="J31704"/>
    </row>
    <row r="31705" spans="10:10" x14ac:dyDescent="0.3">
      <c r="J31705"/>
    </row>
    <row r="31706" spans="10:10" x14ac:dyDescent="0.3">
      <c r="J31706"/>
    </row>
    <row r="31707" spans="10:10" x14ac:dyDescent="0.3">
      <c r="J31707"/>
    </row>
    <row r="31708" spans="10:10" x14ac:dyDescent="0.3">
      <c r="J31708"/>
    </row>
    <row r="31709" spans="10:10" x14ac:dyDescent="0.3">
      <c r="J31709"/>
    </row>
    <row r="31710" spans="10:10" x14ac:dyDescent="0.3">
      <c r="J31710"/>
    </row>
    <row r="31711" spans="10:10" x14ac:dyDescent="0.3">
      <c r="J31711"/>
    </row>
    <row r="31712" spans="10:10" x14ac:dyDescent="0.3">
      <c r="J31712"/>
    </row>
    <row r="31713" spans="10:10" x14ac:dyDescent="0.3">
      <c r="J31713"/>
    </row>
    <row r="31714" spans="10:10" x14ac:dyDescent="0.3">
      <c r="J31714"/>
    </row>
    <row r="31715" spans="10:10" x14ac:dyDescent="0.3">
      <c r="J31715"/>
    </row>
    <row r="31716" spans="10:10" x14ac:dyDescent="0.3">
      <c r="J31716"/>
    </row>
    <row r="31717" spans="10:10" x14ac:dyDescent="0.3">
      <c r="J31717"/>
    </row>
    <row r="31718" spans="10:10" x14ac:dyDescent="0.3">
      <c r="J31718"/>
    </row>
    <row r="31719" spans="10:10" x14ac:dyDescent="0.3">
      <c r="J31719"/>
    </row>
    <row r="31720" spans="10:10" x14ac:dyDescent="0.3">
      <c r="J31720"/>
    </row>
    <row r="31721" spans="10:10" x14ac:dyDescent="0.3">
      <c r="J31721"/>
    </row>
    <row r="31722" spans="10:10" x14ac:dyDescent="0.3">
      <c r="J31722"/>
    </row>
    <row r="31723" spans="10:10" x14ac:dyDescent="0.3">
      <c r="J31723"/>
    </row>
    <row r="31724" spans="10:10" x14ac:dyDescent="0.3">
      <c r="J31724"/>
    </row>
    <row r="31725" spans="10:10" x14ac:dyDescent="0.3">
      <c r="J31725"/>
    </row>
    <row r="31726" spans="10:10" x14ac:dyDescent="0.3">
      <c r="J31726"/>
    </row>
    <row r="31727" spans="10:10" x14ac:dyDescent="0.3">
      <c r="J31727"/>
    </row>
    <row r="31728" spans="10:10" x14ac:dyDescent="0.3">
      <c r="J31728"/>
    </row>
    <row r="31729" spans="10:10" x14ac:dyDescent="0.3">
      <c r="J31729"/>
    </row>
    <row r="31730" spans="10:10" x14ac:dyDescent="0.3">
      <c r="J31730"/>
    </row>
    <row r="31731" spans="10:10" x14ac:dyDescent="0.3">
      <c r="J31731"/>
    </row>
    <row r="31732" spans="10:10" x14ac:dyDescent="0.3">
      <c r="J31732"/>
    </row>
    <row r="31733" spans="10:10" x14ac:dyDescent="0.3">
      <c r="J31733"/>
    </row>
    <row r="31734" spans="10:10" x14ac:dyDescent="0.3">
      <c r="J31734"/>
    </row>
    <row r="31735" spans="10:10" x14ac:dyDescent="0.3">
      <c r="J31735"/>
    </row>
    <row r="31736" spans="10:10" x14ac:dyDescent="0.3">
      <c r="J31736"/>
    </row>
    <row r="31737" spans="10:10" x14ac:dyDescent="0.3">
      <c r="J31737"/>
    </row>
    <row r="31738" spans="10:10" x14ac:dyDescent="0.3">
      <c r="J31738"/>
    </row>
    <row r="31739" spans="10:10" x14ac:dyDescent="0.3">
      <c r="J31739"/>
    </row>
    <row r="31740" spans="10:10" x14ac:dyDescent="0.3">
      <c r="J31740"/>
    </row>
    <row r="31741" spans="10:10" x14ac:dyDescent="0.3">
      <c r="J31741"/>
    </row>
    <row r="31742" spans="10:10" x14ac:dyDescent="0.3">
      <c r="J31742"/>
    </row>
    <row r="31743" spans="10:10" x14ac:dyDescent="0.3">
      <c r="J31743"/>
    </row>
    <row r="31744" spans="10:10" x14ac:dyDescent="0.3">
      <c r="J31744"/>
    </row>
    <row r="31745" spans="10:10" x14ac:dyDescent="0.3">
      <c r="J31745"/>
    </row>
    <row r="31746" spans="10:10" x14ac:dyDescent="0.3">
      <c r="J31746"/>
    </row>
    <row r="31747" spans="10:10" x14ac:dyDescent="0.3">
      <c r="J31747"/>
    </row>
    <row r="31748" spans="10:10" x14ac:dyDescent="0.3">
      <c r="J31748"/>
    </row>
    <row r="31749" spans="10:10" x14ac:dyDescent="0.3">
      <c r="J31749"/>
    </row>
    <row r="31750" spans="10:10" x14ac:dyDescent="0.3">
      <c r="J31750"/>
    </row>
    <row r="31751" spans="10:10" x14ac:dyDescent="0.3">
      <c r="J31751"/>
    </row>
    <row r="31752" spans="10:10" x14ac:dyDescent="0.3">
      <c r="J31752"/>
    </row>
    <row r="31753" spans="10:10" x14ac:dyDescent="0.3">
      <c r="J31753"/>
    </row>
    <row r="31754" spans="10:10" x14ac:dyDescent="0.3">
      <c r="J31754"/>
    </row>
    <row r="31755" spans="10:10" x14ac:dyDescent="0.3">
      <c r="J31755"/>
    </row>
    <row r="31756" spans="10:10" x14ac:dyDescent="0.3">
      <c r="J31756"/>
    </row>
    <row r="31757" spans="10:10" x14ac:dyDescent="0.3">
      <c r="J31757"/>
    </row>
    <row r="31758" spans="10:10" x14ac:dyDescent="0.3">
      <c r="J31758"/>
    </row>
    <row r="31759" spans="10:10" x14ac:dyDescent="0.3">
      <c r="J31759"/>
    </row>
    <row r="31760" spans="10:10" x14ac:dyDescent="0.3">
      <c r="J31760"/>
    </row>
    <row r="31761" spans="10:10" x14ac:dyDescent="0.3">
      <c r="J31761"/>
    </row>
    <row r="31762" spans="10:10" x14ac:dyDescent="0.3">
      <c r="J31762"/>
    </row>
    <row r="31763" spans="10:10" x14ac:dyDescent="0.3">
      <c r="J31763"/>
    </row>
    <row r="31764" spans="10:10" x14ac:dyDescent="0.3">
      <c r="J31764"/>
    </row>
    <row r="31765" spans="10:10" x14ac:dyDescent="0.3">
      <c r="J31765"/>
    </row>
    <row r="31766" spans="10:10" x14ac:dyDescent="0.3">
      <c r="J31766"/>
    </row>
    <row r="31767" spans="10:10" x14ac:dyDescent="0.3">
      <c r="J31767"/>
    </row>
    <row r="31768" spans="10:10" x14ac:dyDescent="0.3">
      <c r="J31768"/>
    </row>
    <row r="31769" spans="10:10" x14ac:dyDescent="0.3">
      <c r="J31769"/>
    </row>
    <row r="31770" spans="10:10" x14ac:dyDescent="0.3">
      <c r="J31770"/>
    </row>
    <row r="31771" spans="10:10" x14ac:dyDescent="0.3">
      <c r="J31771"/>
    </row>
    <row r="31772" spans="10:10" x14ac:dyDescent="0.3">
      <c r="J31772"/>
    </row>
    <row r="31773" spans="10:10" x14ac:dyDescent="0.3">
      <c r="J31773"/>
    </row>
    <row r="31774" spans="10:10" x14ac:dyDescent="0.3">
      <c r="J31774"/>
    </row>
    <row r="31775" spans="10:10" x14ac:dyDescent="0.3">
      <c r="J31775"/>
    </row>
    <row r="31776" spans="10:10" x14ac:dyDescent="0.3">
      <c r="J31776"/>
    </row>
    <row r="31777" spans="10:10" x14ac:dyDescent="0.3">
      <c r="J31777"/>
    </row>
    <row r="31778" spans="10:10" x14ac:dyDescent="0.3">
      <c r="J31778"/>
    </row>
    <row r="31779" spans="10:10" x14ac:dyDescent="0.3">
      <c r="J31779"/>
    </row>
    <row r="31780" spans="10:10" x14ac:dyDescent="0.3">
      <c r="J31780"/>
    </row>
    <row r="31781" spans="10:10" x14ac:dyDescent="0.3">
      <c r="J31781"/>
    </row>
    <row r="31782" spans="10:10" x14ac:dyDescent="0.3">
      <c r="J31782"/>
    </row>
    <row r="31783" spans="10:10" x14ac:dyDescent="0.3">
      <c r="J31783"/>
    </row>
    <row r="31784" spans="10:10" x14ac:dyDescent="0.3">
      <c r="J31784"/>
    </row>
    <row r="31785" spans="10:10" x14ac:dyDescent="0.3">
      <c r="J31785"/>
    </row>
    <row r="31786" spans="10:10" x14ac:dyDescent="0.3">
      <c r="J31786"/>
    </row>
    <row r="31787" spans="10:10" x14ac:dyDescent="0.3">
      <c r="J31787"/>
    </row>
    <row r="31788" spans="10:10" x14ac:dyDescent="0.3">
      <c r="J31788"/>
    </row>
    <row r="31789" spans="10:10" x14ac:dyDescent="0.3">
      <c r="J31789"/>
    </row>
    <row r="31790" spans="10:10" x14ac:dyDescent="0.3">
      <c r="J31790"/>
    </row>
    <row r="31791" spans="10:10" x14ac:dyDescent="0.3">
      <c r="J31791"/>
    </row>
    <row r="31792" spans="10:10" x14ac:dyDescent="0.3">
      <c r="J31792"/>
    </row>
    <row r="31793" spans="10:10" x14ac:dyDescent="0.3">
      <c r="J31793"/>
    </row>
    <row r="31794" spans="10:10" x14ac:dyDescent="0.3">
      <c r="J31794"/>
    </row>
    <row r="31795" spans="10:10" x14ac:dyDescent="0.3">
      <c r="J31795"/>
    </row>
    <row r="31796" spans="10:10" x14ac:dyDescent="0.3">
      <c r="J31796"/>
    </row>
    <row r="31797" spans="10:10" x14ac:dyDescent="0.3">
      <c r="J31797"/>
    </row>
    <row r="31798" spans="10:10" x14ac:dyDescent="0.3">
      <c r="J31798"/>
    </row>
    <row r="31799" spans="10:10" x14ac:dyDescent="0.3">
      <c r="J31799"/>
    </row>
    <row r="31800" spans="10:10" x14ac:dyDescent="0.3">
      <c r="J31800"/>
    </row>
    <row r="31801" spans="10:10" x14ac:dyDescent="0.3">
      <c r="J31801"/>
    </row>
    <row r="31802" spans="10:10" x14ac:dyDescent="0.3">
      <c r="J31802"/>
    </row>
    <row r="31803" spans="10:10" x14ac:dyDescent="0.3">
      <c r="J31803"/>
    </row>
    <row r="31804" spans="10:10" x14ac:dyDescent="0.3">
      <c r="J31804"/>
    </row>
    <row r="31805" spans="10:10" x14ac:dyDescent="0.3">
      <c r="J31805"/>
    </row>
    <row r="31806" spans="10:10" x14ac:dyDescent="0.3">
      <c r="J31806"/>
    </row>
    <row r="31807" spans="10:10" x14ac:dyDescent="0.3">
      <c r="J31807"/>
    </row>
    <row r="31808" spans="10:10" x14ac:dyDescent="0.3">
      <c r="J31808"/>
    </row>
    <row r="31809" spans="10:10" x14ac:dyDescent="0.3">
      <c r="J31809"/>
    </row>
    <row r="31810" spans="10:10" x14ac:dyDescent="0.3">
      <c r="J31810"/>
    </row>
    <row r="31811" spans="10:10" x14ac:dyDescent="0.3">
      <c r="J31811"/>
    </row>
    <row r="31812" spans="10:10" x14ac:dyDescent="0.3">
      <c r="J31812"/>
    </row>
    <row r="31813" spans="10:10" x14ac:dyDescent="0.3">
      <c r="J31813"/>
    </row>
    <row r="31814" spans="10:10" x14ac:dyDescent="0.3">
      <c r="J31814"/>
    </row>
    <row r="31815" spans="10:10" x14ac:dyDescent="0.3">
      <c r="J31815"/>
    </row>
    <row r="31816" spans="10:10" x14ac:dyDescent="0.3">
      <c r="J31816"/>
    </row>
    <row r="31817" spans="10:10" x14ac:dyDescent="0.3">
      <c r="J31817"/>
    </row>
    <row r="31818" spans="10:10" x14ac:dyDescent="0.3">
      <c r="J31818"/>
    </row>
    <row r="31819" spans="10:10" x14ac:dyDescent="0.3">
      <c r="J31819"/>
    </row>
    <row r="31820" spans="10:10" x14ac:dyDescent="0.3">
      <c r="J31820"/>
    </row>
    <row r="31821" spans="10:10" x14ac:dyDescent="0.3">
      <c r="J31821"/>
    </row>
    <row r="31822" spans="10:10" x14ac:dyDescent="0.3">
      <c r="J31822"/>
    </row>
    <row r="31823" spans="10:10" x14ac:dyDescent="0.3">
      <c r="J31823"/>
    </row>
    <row r="31824" spans="10:10" x14ac:dyDescent="0.3">
      <c r="J31824"/>
    </row>
    <row r="31825" spans="10:10" x14ac:dyDescent="0.3">
      <c r="J31825"/>
    </row>
    <row r="31826" spans="10:10" x14ac:dyDescent="0.3">
      <c r="J31826"/>
    </row>
    <row r="31827" spans="10:10" x14ac:dyDescent="0.3">
      <c r="J31827"/>
    </row>
    <row r="31828" spans="10:10" x14ac:dyDescent="0.3">
      <c r="J31828"/>
    </row>
    <row r="31829" spans="10:10" x14ac:dyDescent="0.3">
      <c r="J31829"/>
    </row>
    <row r="31830" spans="10:10" x14ac:dyDescent="0.3">
      <c r="J31830"/>
    </row>
    <row r="31831" spans="10:10" x14ac:dyDescent="0.3">
      <c r="J31831"/>
    </row>
    <row r="31832" spans="10:10" x14ac:dyDescent="0.3">
      <c r="J31832"/>
    </row>
    <row r="31833" spans="10:10" x14ac:dyDescent="0.3">
      <c r="J31833"/>
    </row>
    <row r="31834" spans="10:10" x14ac:dyDescent="0.3">
      <c r="J31834"/>
    </row>
    <row r="31835" spans="10:10" x14ac:dyDescent="0.3">
      <c r="J31835"/>
    </row>
    <row r="31836" spans="10:10" x14ac:dyDescent="0.3">
      <c r="J31836"/>
    </row>
    <row r="31837" spans="10:10" x14ac:dyDescent="0.3">
      <c r="J31837"/>
    </row>
    <row r="31838" spans="10:10" x14ac:dyDescent="0.3">
      <c r="J31838"/>
    </row>
    <row r="31839" spans="10:10" x14ac:dyDescent="0.3">
      <c r="J31839"/>
    </row>
    <row r="31840" spans="10:10" x14ac:dyDescent="0.3">
      <c r="J31840"/>
    </row>
    <row r="31841" spans="10:10" x14ac:dyDescent="0.3">
      <c r="J31841"/>
    </row>
    <row r="31842" spans="10:10" x14ac:dyDescent="0.3">
      <c r="J31842"/>
    </row>
    <row r="31843" spans="10:10" x14ac:dyDescent="0.3">
      <c r="J31843"/>
    </row>
    <row r="31844" spans="10:10" x14ac:dyDescent="0.3">
      <c r="J31844"/>
    </row>
    <row r="31845" spans="10:10" x14ac:dyDescent="0.3">
      <c r="J31845"/>
    </row>
    <row r="31846" spans="10:10" x14ac:dyDescent="0.3">
      <c r="J31846"/>
    </row>
    <row r="31847" spans="10:10" x14ac:dyDescent="0.3">
      <c r="J31847"/>
    </row>
    <row r="31848" spans="10:10" x14ac:dyDescent="0.3">
      <c r="J31848"/>
    </row>
    <row r="31849" spans="10:10" x14ac:dyDescent="0.3">
      <c r="J31849"/>
    </row>
    <row r="31850" spans="10:10" x14ac:dyDescent="0.3">
      <c r="J31850"/>
    </row>
    <row r="31851" spans="10:10" x14ac:dyDescent="0.3">
      <c r="J31851"/>
    </row>
    <row r="31852" spans="10:10" x14ac:dyDescent="0.3">
      <c r="J31852"/>
    </row>
    <row r="31853" spans="10:10" x14ac:dyDescent="0.3">
      <c r="J31853"/>
    </row>
    <row r="31854" spans="10:10" x14ac:dyDescent="0.3">
      <c r="J31854"/>
    </row>
    <row r="31855" spans="10:10" x14ac:dyDescent="0.3">
      <c r="J31855"/>
    </row>
    <row r="31856" spans="10:10" x14ac:dyDescent="0.3">
      <c r="J31856"/>
    </row>
    <row r="31857" spans="10:10" x14ac:dyDescent="0.3">
      <c r="J31857"/>
    </row>
    <row r="31858" spans="10:10" x14ac:dyDescent="0.3">
      <c r="J31858"/>
    </row>
    <row r="31859" spans="10:10" x14ac:dyDescent="0.3">
      <c r="J31859"/>
    </row>
    <row r="31860" spans="10:10" x14ac:dyDescent="0.3">
      <c r="J31860"/>
    </row>
    <row r="31861" spans="10:10" x14ac:dyDescent="0.3">
      <c r="J31861"/>
    </row>
    <row r="31862" spans="10:10" x14ac:dyDescent="0.3">
      <c r="J31862"/>
    </row>
    <row r="31863" spans="10:10" x14ac:dyDescent="0.3">
      <c r="J31863"/>
    </row>
    <row r="31864" spans="10:10" x14ac:dyDescent="0.3">
      <c r="J31864"/>
    </row>
    <row r="31865" spans="10:10" x14ac:dyDescent="0.3">
      <c r="J31865"/>
    </row>
    <row r="31866" spans="10:10" x14ac:dyDescent="0.3">
      <c r="J31866"/>
    </row>
    <row r="31867" spans="10:10" x14ac:dyDescent="0.3">
      <c r="J31867"/>
    </row>
    <row r="31868" spans="10:10" x14ac:dyDescent="0.3">
      <c r="J31868"/>
    </row>
    <row r="31869" spans="10:10" x14ac:dyDescent="0.3">
      <c r="J31869"/>
    </row>
    <row r="31870" spans="10:10" x14ac:dyDescent="0.3">
      <c r="J31870"/>
    </row>
    <row r="31871" spans="10:10" x14ac:dyDescent="0.3">
      <c r="J31871"/>
    </row>
    <row r="31872" spans="10:10" x14ac:dyDescent="0.3">
      <c r="J31872"/>
    </row>
    <row r="31873" spans="10:10" x14ac:dyDescent="0.3">
      <c r="J31873"/>
    </row>
    <row r="31874" spans="10:10" x14ac:dyDescent="0.3">
      <c r="J31874"/>
    </row>
    <row r="31875" spans="10:10" x14ac:dyDescent="0.3">
      <c r="J31875"/>
    </row>
    <row r="31876" spans="10:10" x14ac:dyDescent="0.3">
      <c r="J31876"/>
    </row>
    <row r="31877" spans="10:10" x14ac:dyDescent="0.3">
      <c r="J31877"/>
    </row>
    <row r="31878" spans="10:10" x14ac:dyDescent="0.3">
      <c r="J31878"/>
    </row>
    <row r="31879" spans="10:10" x14ac:dyDescent="0.3">
      <c r="J31879"/>
    </row>
    <row r="31880" spans="10:10" x14ac:dyDescent="0.3">
      <c r="J31880"/>
    </row>
    <row r="31881" spans="10:10" x14ac:dyDescent="0.3">
      <c r="J31881"/>
    </row>
    <row r="31882" spans="10:10" x14ac:dyDescent="0.3">
      <c r="J31882"/>
    </row>
    <row r="31883" spans="10:10" x14ac:dyDescent="0.3">
      <c r="J31883"/>
    </row>
    <row r="31884" spans="10:10" x14ac:dyDescent="0.3">
      <c r="J31884"/>
    </row>
    <row r="31885" spans="10:10" x14ac:dyDescent="0.3">
      <c r="J31885"/>
    </row>
    <row r="31886" spans="10:10" x14ac:dyDescent="0.3">
      <c r="J31886"/>
    </row>
    <row r="31887" spans="10:10" x14ac:dyDescent="0.3">
      <c r="J31887"/>
    </row>
    <row r="31888" spans="10:10" x14ac:dyDescent="0.3">
      <c r="J31888"/>
    </row>
    <row r="31889" spans="10:10" x14ac:dyDescent="0.3">
      <c r="J31889"/>
    </row>
    <row r="31890" spans="10:10" x14ac:dyDescent="0.3">
      <c r="J31890"/>
    </row>
    <row r="31891" spans="10:10" x14ac:dyDescent="0.3">
      <c r="J31891"/>
    </row>
    <row r="31892" spans="10:10" x14ac:dyDescent="0.3">
      <c r="J31892"/>
    </row>
    <row r="31893" spans="10:10" x14ac:dyDescent="0.3">
      <c r="J31893"/>
    </row>
    <row r="31894" spans="10:10" x14ac:dyDescent="0.3">
      <c r="J31894"/>
    </row>
    <row r="31895" spans="10:10" x14ac:dyDescent="0.3">
      <c r="J31895"/>
    </row>
    <row r="31896" spans="10:10" x14ac:dyDescent="0.3">
      <c r="J31896"/>
    </row>
    <row r="31897" spans="10:10" x14ac:dyDescent="0.3">
      <c r="J31897"/>
    </row>
    <row r="31898" spans="10:10" x14ac:dyDescent="0.3">
      <c r="J31898"/>
    </row>
    <row r="31899" spans="10:10" x14ac:dyDescent="0.3">
      <c r="J31899"/>
    </row>
    <row r="31900" spans="10:10" x14ac:dyDescent="0.3">
      <c r="J31900"/>
    </row>
    <row r="31901" spans="10:10" x14ac:dyDescent="0.3">
      <c r="J31901"/>
    </row>
    <row r="31902" spans="10:10" x14ac:dyDescent="0.3">
      <c r="J31902"/>
    </row>
    <row r="31903" spans="10:10" x14ac:dyDescent="0.3">
      <c r="J31903"/>
    </row>
    <row r="31904" spans="10:10" x14ac:dyDescent="0.3">
      <c r="J31904"/>
    </row>
    <row r="31905" spans="10:10" x14ac:dyDescent="0.3">
      <c r="J31905"/>
    </row>
    <row r="31906" spans="10:10" x14ac:dyDescent="0.3">
      <c r="J31906"/>
    </row>
    <row r="31907" spans="10:10" x14ac:dyDescent="0.3">
      <c r="J31907"/>
    </row>
    <row r="31908" spans="10:10" x14ac:dyDescent="0.3">
      <c r="J31908"/>
    </row>
    <row r="31909" spans="10:10" x14ac:dyDescent="0.3">
      <c r="J31909"/>
    </row>
    <row r="31910" spans="10:10" x14ac:dyDescent="0.3">
      <c r="J31910"/>
    </row>
    <row r="31911" spans="10:10" x14ac:dyDescent="0.3">
      <c r="J31911"/>
    </row>
    <row r="31912" spans="10:10" x14ac:dyDescent="0.3">
      <c r="J31912"/>
    </row>
    <row r="31913" spans="10:10" x14ac:dyDescent="0.3">
      <c r="J31913"/>
    </row>
    <row r="31914" spans="10:10" x14ac:dyDescent="0.3">
      <c r="J31914"/>
    </row>
    <row r="31915" spans="10:10" x14ac:dyDescent="0.3">
      <c r="J31915"/>
    </row>
    <row r="31916" spans="10:10" x14ac:dyDescent="0.3">
      <c r="J31916"/>
    </row>
    <row r="31917" spans="10:10" x14ac:dyDescent="0.3">
      <c r="J31917"/>
    </row>
    <row r="31918" spans="10:10" x14ac:dyDescent="0.3">
      <c r="J31918"/>
    </row>
    <row r="31919" spans="10:10" x14ac:dyDescent="0.3">
      <c r="J31919"/>
    </row>
    <row r="31920" spans="10:10" x14ac:dyDescent="0.3">
      <c r="J31920"/>
    </row>
    <row r="31921" spans="10:10" x14ac:dyDescent="0.3">
      <c r="J31921"/>
    </row>
    <row r="31922" spans="10:10" x14ac:dyDescent="0.3">
      <c r="J31922"/>
    </row>
    <row r="31923" spans="10:10" x14ac:dyDescent="0.3">
      <c r="J31923"/>
    </row>
    <row r="31924" spans="10:10" x14ac:dyDescent="0.3">
      <c r="J31924"/>
    </row>
    <row r="31925" spans="10:10" x14ac:dyDescent="0.3">
      <c r="J31925"/>
    </row>
    <row r="31926" spans="10:10" x14ac:dyDescent="0.3">
      <c r="J31926"/>
    </row>
    <row r="31927" spans="10:10" x14ac:dyDescent="0.3">
      <c r="J31927"/>
    </row>
    <row r="31928" spans="10:10" x14ac:dyDescent="0.3">
      <c r="J31928"/>
    </row>
    <row r="31929" spans="10:10" x14ac:dyDescent="0.3">
      <c r="J31929"/>
    </row>
    <row r="31930" spans="10:10" x14ac:dyDescent="0.3">
      <c r="J31930"/>
    </row>
    <row r="31931" spans="10:10" x14ac:dyDescent="0.3">
      <c r="J31931"/>
    </row>
    <row r="31932" spans="10:10" x14ac:dyDescent="0.3">
      <c r="J31932"/>
    </row>
    <row r="31933" spans="10:10" x14ac:dyDescent="0.3">
      <c r="J31933"/>
    </row>
    <row r="31934" spans="10:10" x14ac:dyDescent="0.3">
      <c r="J31934"/>
    </row>
    <row r="31935" spans="10:10" x14ac:dyDescent="0.3">
      <c r="J31935"/>
    </row>
    <row r="31936" spans="10:10" x14ac:dyDescent="0.3">
      <c r="J31936"/>
    </row>
    <row r="31937" spans="10:10" x14ac:dyDescent="0.3">
      <c r="J31937"/>
    </row>
    <row r="31938" spans="10:10" x14ac:dyDescent="0.3">
      <c r="J31938"/>
    </row>
    <row r="31939" spans="10:10" x14ac:dyDescent="0.3">
      <c r="J31939"/>
    </row>
    <row r="31940" spans="10:10" x14ac:dyDescent="0.3">
      <c r="J31940"/>
    </row>
    <row r="31941" spans="10:10" x14ac:dyDescent="0.3">
      <c r="J31941"/>
    </row>
    <row r="31942" spans="10:10" x14ac:dyDescent="0.3">
      <c r="J31942"/>
    </row>
    <row r="31943" spans="10:10" x14ac:dyDescent="0.3">
      <c r="J31943"/>
    </row>
    <row r="31944" spans="10:10" x14ac:dyDescent="0.3">
      <c r="J31944"/>
    </row>
    <row r="31945" spans="10:10" x14ac:dyDescent="0.3">
      <c r="J31945"/>
    </row>
    <row r="31946" spans="10:10" x14ac:dyDescent="0.3">
      <c r="J31946"/>
    </row>
    <row r="31947" spans="10:10" x14ac:dyDescent="0.3">
      <c r="J31947"/>
    </row>
    <row r="31948" spans="10:10" x14ac:dyDescent="0.3">
      <c r="J31948"/>
    </row>
    <row r="31949" spans="10:10" x14ac:dyDescent="0.3">
      <c r="J31949"/>
    </row>
    <row r="31950" spans="10:10" x14ac:dyDescent="0.3">
      <c r="J31950"/>
    </row>
    <row r="31951" spans="10:10" x14ac:dyDescent="0.3">
      <c r="J31951"/>
    </row>
    <row r="31952" spans="10:10" x14ac:dyDescent="0.3">
      <c r="J31952"/>
    </row>
    <row r="31953" spans="10:10" x14ac:dyDescent="0.3">
      <c r="J31953"/>
    </row>
    <row r="31954" spans="10:10" x14ac:dyDescent="0.3">
      <c r="J31954"/>
    </row>
    <row r="31955" spans="10:10" x14ac:dyDescent="0.3">
      <c r="J31955"/>
    </row>
    <row r="31956" spans="10:10" x14ac:dyDescent="0.3">
      <c r="J31956"/>
    </row>
    <row r="31957" spans="10:10" x14ac:dyDescent="0.3">
      <c r="J31957"/>
    </row>
    <row r="31958" spans="10:10" x14ac:dyDescent="0.3">
      <c r="J31958"/>
    </row>
    <row r="31959" spans="10:10" x14ac:dyDescent="0.3">
      <c r="J31959"/>
    </row>
    <row r="31960" spans="10:10" x14ac:dyDescent="0.3">
      <c r="J31960"/>
    </row>
    <row r="31961" spans="10:10" x14ac:dyDescent="0.3">
      <c r="J31961"/>
    </row>
    <row r="31962" spans="10:10" x14ac:dyDescent="0.3">
      <c r="J31962"/>
    </row>
    <row r="31963" spans="10:10" x14ac:dyDescent="0.3">
      <c r="J31963"/>
    </row>
    <row r="31964" spans="10:10" x14ac:dyDescent="0.3">
      <c r="J31964"/>
    </row>
    <row r="31965" spans="10:10" x14ac:dyDescent="0.3">
      <c r="J31965"/>
    </row>
    <row r="31966" spans="10:10" x14ac:dyDescent="0.3">
      <c r="J31966"/>
    </row>
    <row r="31967" spans="10:10" x14ac:dyDescent="0.3">
      <c r="J31967"/>
    </row>
    <row r="31968" spans="10:10" x14ac:dyDescent="0.3">
      <c r="J31968"/>
    </row>
    <row r="31969" spans="10:10" x14ac:dyDescent="0.3">
      <c r="J31969"/>
    </row>
    <row r="31970" spans="10:10" x14ac:dyDescent="0.3">
      <c r="J31970"/>
    </row>
    <row r="31971" spans="10:10" x14ac:dyDescent="0.3">
      <c r="J31971"/>
    </row>
    <row r="31972" spans="10:10" x14ac:dyDescent="0.3">
      <c r="J31972"/>
    </row>
    <row r="31973" spans="10:10" x14ac:dyDescent="0.3">
      <c r="J31973"/>
    </row>
    <row r="31974" spans="10:10" x14ac:dyDescent="0.3">
      <c r="J31974"/>
    </row>
    <row r="31975" spans="10:10" x14ac:dyDescent="0.3">
      <c r="J31975"/>
    </row>
    <row r="31976" spans="10:10" x14ac:dyDescent="0.3">
      <c r="J31976"/>
    </row>
    <row r="31977" spans="10:10" x14ac:dyDescent="0.3">
      <c r="J31977"/>
    </row>
    <row r="31978" spans="10:10" x14ac:dyDescent="0.3">
      <c r="J31978"/>
    </row>
    <row r="31979" spans="10:10" x14ac:dyDescent="0.3">
      <c r="J31979"/>
    </row>
    <row r="31980" spans="10:10" x14ac:dyDescent="0.3">
      <c r="J31980"/>
    </row>
    <row r="31981" spans="10:10" x14ac:dyDescent="0.3">
      <c r="J31981"/>
    </row>
    <row r="31982" spans="10:10" x14ac:dyDescent="0.3">
      <c r="J31982"/>
    </row>
    <row r="31983" spans="10:10" x14ac:dyDescent="0.3">
      <c r="J31983"/>
    </row>
    <row r="31984" spans="10:10" x14ac:dyDescent="0.3">
      <c r="J31984"/>
    </row>
    <row r="31985" spans="10:10" x14ac:dyDescent="0.3">
      <c r="J31985"/>
    </row>
    <row r="31986" spans="10:10" x14ac:dyDescent="0.3">
      <c r="J31986"/>
    </row>
    <row r="31987" spans="10:10" x14ac:dyDescent="0.3">
      <c r="J31987"/>
    </row>
    <row r="31988" spans="10:10" x14ac:dyDescent="0.3">
      <c r="J31988"/>
    </row>
    <row r="31989" spans="10:10" x14ac:dyDescent="0.3">
      <c r="J31989"/>
    </row>
    <row r="31990" spans="10:10" x14ac:dyDescent="0.3">
      <c r="J31990"/>
    </row>
    <row r="31991" spans="10:10" x14ac:dyDescent="0.3">
      <c r="J31991"/>
    </row>
    <row r="31992" spans="10:10" x14ac:dyDescent="0.3">
      <c r="J31992"/>
    </row>
    <row r="31993" spans="10:10" x14ac:dyDescent="0.3">
      <c r="J31993"/>
    </row>
    <row r="31994" spans="10:10" x14ac:dyDescent="0.3">
      <c r="J31994"/>
    </row>
    <row r="31995" spans="10:10" x14ac:dyDescent="0.3">
      <c r="J31995"/>
    </row>
    <row r="31996" spans="10:10" x14ac:dyDescent="0.3">
      <c r="J31996"/>
    </row>
    <row r="31997" spans="10:10" x14ac:dyDescent="0.3">
      <c r="J31997"/>
    </row>
    <row r="31998" spans="10:10" x14ac:dyDescent="0.3">
      <c r="J31998"/>
    </row>
    <row r="31999" spans="10:10" x14ac:dyDescent="0.3">
      <c r="J31999"/>
    </row>
    <row r="32000" spans="10:10" x14ac:dyDescent="0.3">
      <c r="J32000"/>
    </row>
    <row r="32001" spans="10:10" x14ac:dyDescent="0.3">
      <c r="J32001"/>
    </row>
    <row r="32002" spans="10:10" x14ac:dyDescent="0.3">
      <c r="J32002"/>
    </row>
    <row r="32003" spans="10:10" x14ac:dyDescent="0.3">
      <c r="J32003"/>
    </row>
    <row r="32004" spans="10:10" x14ac:dyDescent="0.3">
      <c r="J32004"/>
    </row>
    <row r="32005" spans="10:10" x14ac:dyDescent="0.3">
      <c r="J32005"/>
    </row>
    <row r="32006" spans="10:10" x14ac:dyDescent="0.3">
      <c r="J32006"/>
    </row>
    <row r="32007" spans="10:10" x14ac:dyDescent="0.3">
      <c r="J32007"/>
    </row>
    <row r="32008" spans="10:10" x14ac:dyDescent="0.3">
      <c r="J32008"/>
    </row>
    <row r="32009" spans="10:10" x14ac:dyDescent="0.3">
      <c r="J32009"/>
    </row>
    <row r="32010" spans="10:10" x14ac:dyDescent="0.3">
      <c r="J32010"/>
    </row>
    <row r="32011" spans="10:10" x14ac:dyDescent="0.3">
      <c r="J32011"/>
    </row>
    <row r="32012" spans="10:10" x14ac:dyDescent="0.3">
      <c r="J32012"/>
    </row>
    <row r="32013" spans="10:10" x14ac:dyDescent="0.3">
      <c r="J32013"/>
    </row>
    <row r="32014" spans="10:10" x14ac:dyDescent="0.3">
      <c r="J32014"/>
    </row>
    <row r="32015" spans="10:10" x14ac:dyDescent="0.3">
      <c r="J32015"/>
    </row>
    <row r="32016" spans="10:10" x14ac:dyDescent="0.3">
      <c r="J32016"/>
    </row>
    <row r="32017" spans="10:10" x14ac:dyDescent="0.3">
      <c r="J32017"/>
    </row>
    <row r="32018" spans="10:10" x14ac:dyDescent="0.3">
      <c r="J32018"/>
    </row>
    <row r="32019" spans="10:10" x14ac:dyDescent="0.3">
      <c r="J32019"/>
    </row>
    <row r="32020" spans="10:10" x14ac:dyDescent="0.3">
      <c r="J32020"/>
    </row>
    <row r="32021" spans="10:10" x14ac:dyDescent="0.3">
      <c r="J32021"/>
    </row>
    <row r="32022" spans="10:10" x14ac:dyDescent="0.3">
      <c r="J32022"/>
    </row>
    <row r="32023" spans="10:10" x14ac:dyDescent="0.3">
      <c r="J32023"/>
    </row>
    <row r="32024" spans="10:10" x14ac:dyDescent="0.3">
      <c r="J32024"/>
    </row>
    <row r="32025" spans="10:10" x14ac:dyDescent="0.3">
      <c r="J32025"/>
    </row>
    <row r="32026" spans="10:10" x14ac:dyDescent="0.3">
      <c r="J32026"/>
    </row>
    <row r="32027" spans="10:10" x14ac:dyDescent="0.3">
      <c r="J32027"/>
    </row>
    <row r="32028" spans="10:10" x14ac:dyDescent="0.3">
      <c r="J32028"/>
    </row>
    <row r="32029" spans="10:10" x14ac:dyDescent="0.3">
      <c r="J32029"/>
    </row>
    <row r="32030" spans="10:10" x14ac:dyDescent="0.3">
      <c r="J32030"/>
    </row>
    <row r="32031" spans="10:10" x14ac:dyDescent="0.3">
      <c r="J32031"/>
    </row>
    <row r="32032" spans="10:10" x14ac:dyDescent="0.3">
      <c r="J32032"/>
    </row>
    <row r="32033" spans="10:10" x14ac:dyDescent="0.3">
      <c r="J32033"/>
    </row>
    <row r="32034" spans="10:10" x14ac:dyDescent="0.3">
      <c r="J32034"/>
    </row>
    <row r="32035" spans="10:10" x14ac:dyDescent="0.3">
      <c r="J32035"/>
    </row>
    <row r="32036" spans="10:10" x14ac:dyDescent="0.3">
      <c r="J32036"/>
    </row>
    <row r="32037" spans="10:10" x14ac:dyDescent="0.3">
      <c r="J32037"/>
    </row>
    <row r="32038" spans="10:10" x14ac:dyDescent="0.3">
      <c r="J32038"/>
    </row>
    <row r="32039" spans="10:10" x14ac:dyDescent="0.3">
      <c r="J32039"/>
    </row>
    <row r="32040" spans="10:10" x14ac:dyDescent="0.3">
      <c r="J32040"/>
    </row>
    <row r="32041" spans="10:10" x14ac:dyDescent="0.3">
      <c r="J32041"/>
    </row>
    <row r="32042" spans="10:10" x14ac:dyDescent="0.3">
      <c r="J32042"/>
    </row>
    <row r="32043" spans="10:10" x14ac:dyDescent="0.3">
      <c r="J32043"/>
    </row>
    <row r="32044" spans="10:10" x14ac:dyDescent="0.3">
      <c r="J32044"/>
    </row>
    <row r="32045" spans="10:10" x14ac:dyDescent="0.3">
      <c r="J32045"/>
    </row>
    <row r="32046" spans="10:10" x14ac:dyDescent="0.3">
      <c r="J32046"/>
    </row>
    <row r="32047" spans="10:10" x14ac:dyDescent="0.3">
      <c r="J32047"/>
    </row>
    <row r="32048" spans="10:10" x14ac:dyDescent="0.3">
      <c r="J32048"/>
    </row>
    <row r="32049" spans="10:10" x14ac:dyDescent="0.3">
      <c r="J32049"/>
    </row>
    <row r="32050" spans="10:10" x14ac:dyDescent="0.3">
      <c r="J32050"/>
    </row>
    <row r="32051" spans="10:10" x14ac:dyDescent="0.3">
      <c r="J32051"/>
    </row>
    <row r="32052" spans="10:10" x14ac:dyDescent="0.3">
      <c r="J32052"/>
    </row>
    <row r="32053" spans="10:10" x14ac:dyDescent="0.3">
      <c r="J32053"/>
    </row>
    <row r="32054" spans="10:10" x14ac:dyDescent="0.3">
      <c r="J32054"/>
    </row>
    <row r="32055" spans="10:10" x14ac:dyDescent="0.3">
      <c r="J32055"/>
    </row>
    <row r="32056" spans="10:10" x14ac:dyDescent="0.3">
      <c r="J32056"/>
    </row>
    <row r="32057" spans="10:10" x14ac:dyDescent="0.3">
      <c r="J32057"/>
    </row>
    <row r="32058" spans="10:10" x14ac:dyDescent="0.3">
      <c r="J32058"/>
    </row>
    <row r="32059" spans="10:10" x14ac:dyDescent="0.3">
      <c r="J32059"/>
    </row>
    <row r="32060" spans="10:10" x14ac:dyDescent="0.3">
      <c r="J32060"/>
    </row>
    <row r="32061" spans="10:10" x14ac:dyDescent="0.3">
      <c r="J32061"/>
    </row>
    <row r="32062" spans="10:10" x14ac:dyDescent="0.3">
      <c r="J32062"/>
    </row>
    <row r="32063" spans="10:10" x14ac:dyDescent="0.3">
      <c r="J32063"/>
    </row>
    <row r="32064" spans="10:10" x14ac:dyDescent="0.3">
      <c r="J32064"/>
    </row>
    <row r="32065" spans="10:10" x14ac:dyDescent="0.3">
      <c r="J32065"/>
    </row>
    <row r="32066" spans="10:10" x14ac:dyDescent="0.3">
      <c r="J32066"/>
    </row>
    <row r="32067" spans="10:10" x14ac:dyDescent="0.3">
      <c r="J32067"/>
    </row>
    <row r="32068" spans="10:10" x14ac:dyDescent="0.3">
      <c r="J32068"/>
    </row>
    <row r="32069" spans="10:10" x14ac:dyDescent="0.3">
      <c r="J32069"/>
    </row>
    <row r="32070" spans="10:10" x14ac:dyDescent="0.3">
      <c r="J32070"/>
    </row>
    <row r="32071" spans="10:10" x14ac:dyDescent="0.3">
      <c r="J32071"/>
    </row>
    <row r="32072" spans="10:10" x14ac:dyDescent="0.3">
      <c r="J32072"/>
    </row>
    <row r="32073" spans="10:10" x14ac:dyDescent="0.3">
      <c r="J32073"/>
    </row>
    <row r="32074" spans="10:10" x14ac:dyDescent="0.3">
      <c r="J32074"/>
    </row>
    <row r="32075" spans="10:10" x14ac:dyDescent="0.3">
      <c r="J32075"/>
    </row>
    <row r="32076" spans="10:10" x14ac:dyDescent="0.3">
      <c r="J32076"/>
    </row>
    <row r="32077" spans="10:10" x14ac:dyDescent="0.3">
      <c r="J32077"/>
    </row>
    <row r="32078" spans="10:10" x14ac:dyDescent="0.3">
      <c r="J32078"/>
    </row>
    <row r="32079" spans="10:10" x14ac:dyDescent="0.3">
      <c r="J32079"/>
    </row>
    <row r="32080" spans="10:10" x14ac:dyDescent="0.3">
      <c r="J32080"/>
    </row>
    <row r="32081" spans="10:10" x14ac:dyDescent="0.3">
      <c r="J32081"/>
    </row>
    <row r="32082" spans="10:10" x14ac:dyDescent="0.3">
      <c r="J32082"/>
    </row>
    <row r="32083" spans="10:10" x14ac:dyDescent="0.3">
      <c r="J32083"/>
    </row>
    <row r="32084" spans="10:10" x14ac:dyDescent="0.3">
      <c r="J32084"/>
    </row>
    <row r="32085" spans="10:10" x14ac:dyDescent="0.3">
      <c r="J32085"/>
    </row>
    <row r="32086" spans="10:10" x14ac:dyDescent="0.3">
      <c r="J32086"/>
    </row>
    <row r="32087" spans="10:10" x14ac:dyDescent="0.3">
      <c r="J32087"/>
    </row>
    <row r="32088" spans="10:10" x14ac:dyDescent="0.3">
      <c r="J32088"/>
    </row>
    <row r="32089" spans="10:10" x14ac:dyDescent="0.3">
      <c r="J32089"/>
    </row>
    <row r="32090" spans="10:10" x14ac:dyDescent="0.3">
      <c r="J32090"/>
    </row>
    <row r="32091" spans="10:10" x14ac:dyDescent="0.3">
      <c r="J32091"/>
    </row>
    <row r="32092" spans="10:10" x14ac:dyDescent="0.3">
      <c r="J32092"/>
    </row>
    <row r="32093" spans="10:10" x14ac:dyDescent="0.3">
      <c r="J32093"/>
    </row>
    <row r="32094" spans="10:10" x14ac:dyDescent="0.3">
      <c r="J32094"/>
    </row>
    <row r="32095" spans="10:10" x14ac:dyDescent="0.3">
      <c r="J32095"/>
    </row>
    <row r="32096" spans="10:10" x14ac:dyDescent="0.3">
      <c r="J32096"/>
    </row>
    <row r="32097" spans="10:10" x14ac:dyDescent="0.3">
      <c r="J32097"/>
    </row>
    <row r="32098" spans="10:10" x14ac:dyDescent="0.3">
      <c r="J32098"/>
    </row>
    <row r="32099" spans="10:10" x14ac:dyDescent="0.3">
      <c r="J32099"/>
    </row>
    <row r="32100" spans="10:10" x14ac:dyDescent="0.3">
      <c r="J32100"/>
    </row>
    <row r="32101" spans="10:10" x14ac:dyDescent="0.3">
      <c r="J32101"/>
    </row>
    <row r="32102" spans="10:10" x14ac:dyDescent="0.3">
      <c r="J32102"/>
    </row>
    <row r="32103" spans="10:10" x14ac:dyDescent="0.3">
      <c r="J32103"/>
    </row>
    <row r="32104" spans="10:10" x14ac:dyDescent="0.3">
      <c r="J32104"/>
    </row>
    <row r="32105" spans="10:10" x14ac:dyDescent="0.3">
      <c r="J32105"/>
    </row>
    <row r="32106" spans="10:10" x14ac:dyDescent="0.3">
      <c r="J32106"/>
    </row>
    <row r="32107" spans="10:10" x14ac:dyDescent="0.3">
      <c r="J32107"/>
    </row>
    <row r="32108" spans="10:10" x14ac:dyDescent="0.3">
      <c r="J32108"/>
    </row>
    <row r="32109" spans="10:10" x14ac:dyDescent="0.3">
      <c r="J32109"/>
    </row>
    <row r="32110" spans="10:10" x14ac:dyDescent="0.3">
      <c r="J32110"/>
    </row>
    <row r="32111" spans="10:10" x14ac:dyDescent="0.3">
      <c r="J32111"/>
    </row>
    <row r="32112" spans="10:10" x14ac:dyDescent="0.3">
      <c r="J32112"/>
    </row>
    <row r="32113" spans="10:10" x14ac:dyDescent="0.3">
      <c r="J32113"/>
    </row>
    <row r="32114" spans="10:10" x14ac:dyDescent="0.3">
      <c r="J32114"/>
    </row>
    <row r="32115" spans="10:10" x14ac:dyDescent="0.3">
      <c r="J32115"/>
    </row>
    <row r="32116" spans="10:10" x14ac:dyDescent="0.3">
      <c r="J32116"/>
    </row>
    <row r="32117" spans="10:10" x14ac:dyDescent="0.3">
      <c r="J32117"/>
    </row>
    <row r="32118" spans="10:10" x14ac:dyDescent="0.3">
      <c r="J32118"/>
    </row>
    <row r="32119" spans="10:10" x14ac:dyDescent="0.3">
      <c r="J32119"/>
    </row>
    <row r="32120" spans="10:10" x14ac:dyDescent="0.3">
      <c r="J32120"/>
    </row>
    <row r="32121" spans="10:10" x14ac:dyDescent="0.3">
      <c r="J32121"/>
    </row>
    <row r="32122" spans="10:10" x14ac:dyDescent="0.3">
      <c r="J32122"/>
    </row>
    <row r="32123" spans="10:10" x14ac:dyDescent="0.3">
      <c r="J32123"/>
    </row>
    <row r="32124" spans="10:10" x14ac:dyDescent="0.3">
      <c r="J32124"/>
    </row>
    <row r="32125" spans="10:10" x14ac:dyDescent="0.3">
      <c r="J32125"/>
    </row>
    <row r="32126" spans="10:10" x14ac:dyDescent="0.3">
      <c r="J32126"/>
    </row>
    <row r="32127" spans="10:10" x14ac:dyDescent="0.3">
      <c r="J32127"/>
    </row>
    <row r="32128" spans="10:10" x14ac:dyDescent="0.3">
      <c r="J32128"/>
    </row>
    <row r="32129" spans="10:10" x14ac:dyDescent="0.3">
      <c r="J32129"/>
    </row>
    <row r="32130" spans="10:10" x14ac:dyDescent="0.3">
      <c r="J32130"/>
    </row>
    <row r="32131" spans="10:10" x14ac:dyDescent="0.3">
      <c r="J32131"/>
    </row>
    <row r="32132" spans="10:10" x14ac:dyDescent="0.3">
      <c r="J32132"/>
    </row>
    <row r="32133" spans="10:10" x14ac:dyDescent="0.3">
      <c r="J32133"/>
    </row>
    <row r="32134" spans="10:10" x14ac:dyDescent="0.3">
      <c r="J32134"/>
    </row>
    <row r="32135" spans="10:10" x14ac:dyDescent="0.3">
      <c r="J32135"/>
    </row>
    <row r="32136" spans="10:10" x14ac:dyDescent="0.3">
      <c r="J32136"/>
    </row>
    <row r="32137" spans="10:10" x14ac:dyDescent="0.3">
      <c r="J32137"/>
    </row>
    <row r="32138" spans="10:10" x14ac:dyDescent="0.3">
      <c r="J32138"/>
    </row>
    <row r="32139" spans="10:10" x14ac:dyDescent="0.3">
      <c r="J32139"/>
    </row>
    <row r="32140" spans="10:10" x14ac:dyDescent="0.3">
      <c r="J32140"/>
    </row>
    <row r="32141" spans="10:10" x14ac:dyDescent="0.3">
      <c r="J32141"/>
    </row>
    <row r="32142" spans="10:10" x14ac:dyDescent="0.3">
      <c r="J32142"/>
    </row>
    <row r="32143" spans="10:10" x14ac:dyDescent="0.3">
      <c r="J32143"/>
    </row>
    <row r="32144" spans="10:10" x14ac:dyDescent="0.3">
      <c r="J32144"/>
    </row>
    <row r="32145" spans="10:10" x14ac:dyDescent="0.3">
      <c r="J32145"/>
    </row>
    <row r="32146" spans="10:10" x14ac:dyDescent="0.3">
      <c r="J32146"/>
    </row>
    <row r="32147" spans="10:10" x14ac:dyDescent="0.3">
      <c r="J32147"/>
    </row>
    <row r="32148" spans="10:10" x14ac:dyDescent="0.3">
      <c r="J32148"/>
    </row>
    <row r="32149" spans="10:10" x14ac:dyDescent="0.3">
      <c r="J32149"/>
    </row>
    <row r="32150" spans="10:10" x14ac:dyDescent="0.3">
      <c r="J32150"/>
    </row>
    <row r="32151" spans="10:10" x14ac:dyDescent="0.3">
      <c r="J32151"/>
    </row>
    <row r="32152" spans="10:10" x14ac:dyDescent="0.3">
      <c r="J32152"/>
    </row>
    <row r="32153" spans="10:10" x14ac:dyDescent="0.3">
      <c r="J32153"/>
    </row>
    <row r="32154" spans="10:10" x14ac:dyDescent="0.3">
      <c r="J32154"/>
    </row>
    <row r="32155" spans="10:10" x14ac:dyDescent="0.3">
      <c r="J32155"/>
    </row>
    <row r="32156" spans="10:10" x14ac:dyDescent="0.3">
      <c r="J32156"/>
    </row>
    <row r="32157" spans="10:10" x14ac:dyDescent="0.3">
      <c r="J32157"/>
    </row>
    <row r="32158" spans="10:10" x14ac:dyDescent="0.3">
      <c r="J32158"/>
    </row>
    <row r="32159" spans="10:10" x14ac:dyDescent="0.3">
      <c r="J32159"/>
    </row>
    <row r="32160" spans="10:10" x14ac:dyDescent="0.3">
      <c r="J32160"/>
    </row>
    <row r="32161" spans="10:10" x14ac:dyDescent="0.3">
      <c r="J32161"/>
    </row>
    <row r="32162" spans="10:10" x14ac:dyDescent="0.3">
      <c r="J32162"/>
    </row>
    <row r="32163" spans="10:10" x14ac:dyDescent="0.3">
      <c r="J32163"/>
    </row>
    <row r="32164" spans="10:10" x14ac:dyDescent="0.3">
      <c r="J32164"/>
    </row>
    <row r="32165" spans="10:10" x14ac:dyDescent="0.3">
      <c r="J32165"/>
    </row>
    <row r="32166" spans="10:10" x14ac:dyDescent="0.3">
      <c r="J32166"/>
    </row>
    <row r="32167" spans="10:10" x14ac:dyDescent="0.3">
      <c r="J32167"/>
    </row>
    <row r="32168" spans="10:10" x14ac:dyDescent="0.3">
      <c r="J32168"/>
    </row>
    <row r="32169" spans="10:10" x14ac:dyDescent="0.3">
      <c r="J32169"/>
    </row>
    <row r="32170" spans="10:10" x14ac:dyDescent="0.3">
      <c r="J32170"/>
    </row>
    <row r="32171" spans="10:10" x14ac:dyDescent="0.3">
      <c r="J32171"/>
    </row>
    <row r="32172" spans="10:10" x14ac:dyDescent="0.3">
      <c r="J32172"/>
    </row>
    <row r="32173" spans="10:10" x14ac:dyDescent="0.3">
      <c r="J32173"/>
    </row>
    <row r="32174" spans="10:10" x14ac:dyDescent="0.3">
      <c r="J32174"/>
    </row>
    <row r="32175" spans="10:10" x14ac:dyDescent="0.3">
      <c r="J32175"/>
    </row>
    <row r="32176" spans="10:10" x14ac:dyDescent="0.3">
      <c r="J32176"/>
    </row>
    <row r="32177" spans="10:10" x14ac:dyDescent="0.3">
      <c r="J32177"/>
    </row>
    <row r="32178" spans="10:10" x14ac:dyDescent="0.3">
      <c r="J32178"/>
    </row>
    <row r="32179" spans="10:10" x14ac:dyDescent="0.3">
      <c r="J32179"/>
    </row>
    <row r="32180" spans="10:10" x14ac:dyDescent="0.3">
      <c r="J32180"/>
    </row>
    <row r="32181" spans="10:10" x14ac:dyDescent="0.3">
      <c r="J32181"/>
    </row>
    <row r="32182" spans="10:10" x14ac:dyDescent="0.3">
      <c r="J32182"/>
    </row>
    <row r="32183" spans="10:10" x14ac:dyDescent="0.3">
      <c r="J32183"/>
    </row>
    <row r="32184" spans="10:10" x14ac:dyDescent="0.3">
      <c r="J32184"/>
    </row>
    <row r="32185" spans="10:10" x14ac:dyDescent="0.3">
      <c r="J32185"/>
    </row>
    <row r="32186" spans="10:10" x14ac:dyDescent="0.3">
      <c r="J32186"/>
    </row>
    <row r="32187" spans="10:10" x14ac:dyDescent="0.3">
      <c r="J32187"/>
    </row>
    <row r="32188" spans="10:10" x14ac:dyDescent="0.3">
      <c r="J32188"/>
    </row>
    <row r="32189" spans="10:10" x14ac:dyDescent="0.3">
      <c r="J32189"/>
    </row>
    <row r="32190" spans="10:10" x14ac:dyDescent="0.3">
      <c r="J32190"/>
    </row>
    <row r="32191" spans="10:10" x14ac:dyDescent="0.3">
      <c r="J32191"/>
    </row>
    <row r="32192" spans="10:10" x14ac:dyDescent="0.3">
      <c r="J32192"/>
    </row>
    <row r="32193" spans="10:10" x14ac:dyDescent="0.3">
      <c r="J32193"/>
    </row>
    <row r="32194" spans="10:10" x14ac:dyDescent="0.3">
      <c r="J32194"/>
    </row>
    <row r="32195" spans="10:10" x14ac:dyDescent="0.3">
      <c r="J32195"/>
    </row>
    <row r="32196" spans="10:10" x14ac:dyDescent="0.3">
      <c r="J32196"/>
    </row>
    <row r="32197" spans="10:10" x14ac:dyDescent="0.3">
      <c r="J32197"/>
    </row>
    <row r="32198" spans="10:10" x14ac:dyDescent="0.3">
      <c r="J32198"/>
    </row>
    <row r="32199" spans="10:10" x14ac:dyDescent="0.3">
      <c r="J32199"/>
    </row>
    <row r="32200" spans="10:10" x14ac:dyDescent="0.3">
      <c r="J32200"/>
    </row>
    <row r="32201" spans="10:10" x14ac:dyDescent="0.3">
      <c r="J32201"/>
    </row>
    <row r="32202" spans="10:10" x14ac:dyDescent="0.3">
      <c r="J32202"/>
    </row>
    <row r="32203" spans="10:10" x14ac:dyDescent="0.3">
      <c r="J32203"/>
    </row>
    <row r="32204" spans="10:10" x14ac:dyDescent="0.3">
      <c r="J32204"/>
    </row>
    <row r="32205" spans="10:10" x14ac:dyDescent="0.3">
      <c r="J32205"/>
    </row>
    <row r="32206" spans="10:10" x14ac:dyDescent="0.3">
      <c r="J32206"/>
    </row>
    <row r="32207" spans="10:10" x14ac:dyDescent="0.3">
      <c r="J32207"/>
    </row>
    <row r="32208" spans="10:10" x14ac:dyDescent="0.3">
      <c r="J32208"/>
    </row>
    <row r="32209" spans="10:10" x14ac:dyDescent="0.3">
      <c r="J32209"/>
    </row>
    <row r="32210" spans="10:10" x14ac:dyDescent="0.3">
      <c r="J32210"/>
    </row>
    <row r="32211" spans="10:10" x14ac:dyDescent="0.3">
      <c r="J32211"/>
    </row>
    <row r="32212" spans="10:10" x14ac:dyDescent="0.3">
      <c r="J32212"/>
    </row>
    <row r="32213" spans="10:10" x14ac:dyDescent="0.3">
      <c r="J32213"/>
    </row>
    <row r="32214" spans="10:10" x14ac:dyDescent="0.3">
      <c r="J32214"/>
    </row>
    <row r="32215" spans="10:10" x14ac:dyDescent="0.3">
      <c r="J32215"/>
    </row>
    <row r="32216" spans="10:10" x14ac:dyDescent="0.3">
      <c r="J32216"/>
    </row>
    <row r="32217" spans="10:10" x14ac:dyDescent="0.3">
      <c r="J32217"/>
    </row>
    <row r="32218" spans="10:10" x14ac:dyDescent="0.3">
      <c r="J32218"/>
    </row>
    <row r="32219" spans="10:10" x14ac:dyDescent="0.3">
      <c r="J32219"/>
    </row>
    <row r="32220" spans="10:10" x14ac:dyDescent="0.3">
      <c r="J32220"/>
    </row>
    <row r="32221" spans="10:10" x14ac:dyDescent="0.3">
      <c r="J32221"/>
    </row>
    <row r="32222" spans="10:10" x14ac:dyDescent="0.3">
      <c r="J32222"/>
    </row>
    <row r="32223" spans="10:10" x14ac:dyDescent="0.3">
      <c r="J32223"/>
    </row>
    <row r="32224" spans="10:10" x14ac:dyDescent="0.3">
      <c r="J32224"/>
    </row>
    <row r="32225" spans="10:10" x14ac:dyDescent="0.3">
      <c r="J32225"/>
    </row>
    <row r="32226" spans="10:10" x14ac:dyDescent="0.3">
      <c r="J32226"/>
    </row>
    <row r="32227" spans="10:10" x14ac:dyDescent="0.3">
      <c r="J32227"/>
    </row>
    <row r="32228" spans="10:10" x14ac:dyDescent="0.3">
      <c r="J32228"/>
    </row>
    <row r="32229" spans="10:10" x14ac:dyDescent="0.3">
      <c r="J32229"/>
    </row>
    <row r="32230" spans="10:10" x14ac:dyDescent="0.3">
      <c r="J32230"/>
    </row>
    <row r="32231" spans="10:10" x14ac:dyDescent="0.3">
      <c r="J32231"/>
    </row>
    <row r="32232" spans="10:10" x14ac:dyDescent="0.3">
      <c r="J32232"/>
    </row>
    <row r="32233" spans="10:10" x14ac:dyDescent="0.3">
      <c r="J32233"/>
    </row>
    <row r="32234" spans="10:10" x14ac:dyDescent="0.3">
      <c r="J32234"/>
    </row>
    <row r="32235" spans="10:10" x14ac:dyDescent="0.3">
      <c r="J32235"/>
    </row>
    <row r="32236" spans="10:10" x14ac:dyDescent="0.3">
      <c r="J32236"/>
    </row>
    <row r="32237" spans="10:10" x14ac:dyDescent="0.3">
      <c r="J32237"/>
    </row>
    <row r="32238" spans="10:10" x14ac:dyDescent="0.3">
      <c r="J32238"/>
    </row>
    <row r="32239" spans="10:10" x14ac:dyDescent="0.3">
      <c r="J32239"/>
    </row>
    <row r="32240" spans="10:10" x14ac:dyDescent="0.3">
      <c r="J32240"/>
    </row>
    <row r="32241" spans="10:10" x14ac:dyDescent="0.3">
      <c r="J32241"/>
    </row>
    <row r="32242" spans="10:10" x14ac:dyDescent="0.3">
      <c r="J32242"/>
    </row>
    <row r="32243" spans="10:10" x14ac:dyDescent="0.3">
      <c r="J32243"/>
    </row>
    <row r="32244" spans="10:10" x14ac:dyDescent="0.3">
      <c r="J32244"/>
    </row>
    <row r="32245" spans="10:10" x14ac:dyDescent="0.3">
      <c r="J32245"/>
    </row>
    <row r="32246" spans="10:10" x14ac:dyDescent="0.3">
      <c r="J32246"/>
    </row>
    <row r="32247" spans="10:10" x14ac:dyDescent="0.3">
      <c r="J32247"/>
    </row>
    <row r="32248" spans="10:10" x14ac:dyDescent="0.3">
      <c r="J32248"/>
    </row>
    <row r="32249" spans="10:10" x14ac:dyDescent="0.3">
      <c r="J32249"/>
    </row>
    <row r="32250" spans="10:10" x14ac:dyDescent="0.3">
      <c r="J32250"/>
    </row>
    <row r="32251" spans="10:10" x14ac:dyDescent="0.3">
      <c r="J32251"/>
    </row>
    <row r="32252" spans="10:10" x14ac:dyDescent="0.3">
      <c r="J32252"/>
    </row>
    <row r="32253" spans="10:10" x14ac:dyDescent="0.3">
      <c r="J32253"/>
    </row>
    <row r="32254" spans="10:10" x14ac:dyDescent="0.3">
      <c r="J32254"/>
    </row>
    <row r="32255" spans="10:10" x14ac:dyDescent="0.3">
      <c r="J32255"/>
    </row>
    <row r="32256" spans="10:10" x14ac:dyDescent="0.3">
      <c r="J32256"/>
    </row>
    <row r="32257" spans="10:10" x14ac:dyDescent="0.3">
      <c r="J32257"/>
    </row>
    <row r="32258" spans="10:10" x14ac:dyDescent="0.3">
      <c r="J32258"/>
    </row>
    <row r="32259" spans="10:10" x14ac:dyDescent="0.3">
      <c r="J32259"/>
    </row>
    <row r="32260" spans="10:10" x14ac:dyDescent="0.3">
      <c r="J32260"/>
    </row>
    <row r="32261" spans="10:10" x14ac:dyDescent="0.3">
      <c r="J32261"/>
    </row>
    <row r="32262" spans="10:10" x14ac:dyDescent="0.3">
      <c r="J32262"/>
    </row>
    <row r="32263" spans="10:10" x14ac:dyDescent="0.3">
      <c r="J32263"/>
    </row>
    <row r="32264" spans="10:10" x14ac:dyDescent="0.3">
      <c r="J32264"/>
    </row>
    <row r="32265" spans="10:10" x14ac:dyDescent="0.3">
      <c r="J32265"/>
    </row>
    <row r="32266" spans="10:10" x14ac:dyDescent="0.3">
      <c r="J32266"/>
    </row>
    <row r="32267" spans="10:10" x14ac:dyDescent="0.3">
      <c r="J32267"/>
    </row>
    <row r="32268" spans="10:10" x14ac:dyDescent="0.3">
      <c r="J32268"/>
    </row>
    <row r="32269" spans="10:10" x14ac:dyDescent="0.3">
      <c r="J32269"/>
    </row>
    <row r="32270" spans="10:10" x14ac:dyDescent="0.3">
      <c r="J32270"/>
    </row>
    <row r="32271" spans="10:10" x14ac:dyDescent="0.3">
      <c r="J32271"/>
    </row>
    <row r="32272" spans="10:10" x14ac:dyDescent="0.3">
      <c r="J32272"/>
    </row>
    <row r="32273" spans="10:10" x14ac:dyDescent="0.3">
      <c r="J32273"/>
    </row>
    <row r="32274" spans="10:10" x14ac:dyDescent="0.3">
      <c r="J32274"/>
    </row>
    <row r="32275" spans="10:10" x14ac:dyDescent="0.3">
      <c r="J32275"/>
    </row>
    <row r="32276" spans="10:10" x14ac:dyDescent="0.3">
      <c r="J32276"/>
    </row>
    <row r="32277" spans="10:10" x14ac:dyDescent="0.3">
      <c r="J32277"/>
    </row>
    <row r="32278" spans="10:10" x14ac:dyDescent="0.3">
      <c r="J32278"/>
    </row>
    <row r="32279" spans="10:10" x14ac:dyDescent="0.3">
      <c r="J32279"/>
    </row>
    <row r="32280" spans="10:10" x14ac:dyDescent="0.3">
      <c r="J32280"/>
    </row>
    <row r="32281" spans="10:10" x14ac:dyDescent="0.3">
      <c r="J32281"/>
    </row>
    <row r="32282" spans="10:10" x14ac:dyDescent="0.3">
      <c r="J32282"/>
    </row>
    <row r="32283" spans="10:10" x14ac:dyDescent="0.3">
      <c r="J32283"/>
    </row>
    <row r="32284" spans="10:10" x14ac:dyDescent="0.3">
      <c r="J32284"/>
    </row>
    <row r="32285" spans="10:10" x14ac:dyDescent="0.3">
      <c r="J32285"/>
    </row>
    <row r="32286" spans="10:10" x14ac:dyDescent="0.3">
      <c r="J32286"/>
    </row>
    <row r="32287" spans="10:10" x14ac:dyDescent="0.3">
      <c r="J32287"/>
    </row>
    <row r="32288" spans="10:10" x14ac:dyDescent="0.3">
      <c r="J32288"/>
    </row>
    <row r="32289" spans="10:10" x14ac:dyDescent="0.3">
      <c r="J32289"/>
    </row>
    <row r="32290" spans="10:10" x14ac:dyDescent="0.3">
      <c r="J32290"/>
    </row>
    <row r="32291" spans="10:10" x14ac:dyDescent="0.3">
      <c r="J32291"/>
    </row>
    <row r="32292" spans="10:10" x14ac:dyDescent="0.3">
      <c r="J32292"/>
    </row>
    <row r="32293" spans="10:10" x14ac:dyDescent="0.3">
      <c r="J32293"/>
    </row>
    <row r="32294" spans="10:10" x14ac:dyDescent="0.3">
      <c r="J32294"/>
    </row>
    <row r="32295" spans="10:10" x14ac:dyDescent="0.3">
      <c r="J32295"/>
    </row>
    <row r="32296" spans="10:10" x14ac:dyDescent="0.3">
      <c r="J32296"/>
    </row>
    <row r="32297" spans="10:10" x14ac:dyDescent="0.3">
      <c r="J32297"/>
    </row>
    <row r="32298" spans="10:10" x14ac:dyDescent="0.3">
      <c r="J32298"/>
    </row>
    <row r="32299" spans="10:10" x14ac:dyDescent="0.3">
      <c r="J32299"/>
    </row>
    <row r="32300" spans="10:10" x14ac:dyDescent="0.3">
      <c r="J32300"/>
    </row>
    <row r="32301" spans="10:10" x14ac:dyDescent="0.3">
      <c r="J32301"/>
    </row>
    <row r="32302" spans="10:10" x14ac:dyDescent="0.3">
      <c r="J32302"/>
    </row>
    <row r="32303" spans="10:10" x14ac:dyDescent="0.3">
      <c r="J32303"/>
    </row>
    <row r="32304" spans="10:10" x14ac:dyDescent="0.3">
      <c r="J32304"/>
    </row>
    <row r="32305" spans="10:10" x14ac:dyDescent="0.3">
      <c r="J32305"/>
    </row>
    <row r="32306" spans="10:10" x14ac:dyDescent="0.3">
      <c r="J32306"/>
    </row>
    <row r="32307" spans="10:10" x14ac:dyDescent="0.3">
      <c r="J32307"/>
    </row>
    <row r="32308" spans="10:10" x14ac:dyDescent="0.3">
      <c r="J32308"/>
    </row>
    <row r="32309" spans="10:10" x14ac:dyDescent="0.3">
      <c r="J32309"/>
    </row>
    <row r="32310" spans="10:10" x14ac:dyDescent="0.3">
      <c r="J32310"/>
    </row>
    <row r="32311" spans="10:10" x14ac:dyDescent="0.3">
      <c r="J32311"/>
    </row>
    <row r="32312" spans="10:10" x14ac:dyDescent="0.3">
      <c r="J32312"/>
    </row>
    <row r="32313" spans="10:10" x14ac:dyDescent="0.3">
      <c r="J32313"/>
    </row>
    <row r="32314" spans="10:10" x14ac:dyDescent="0.3">
      <c r="J32314"/>
    </row>
    <row r="32315" spans="10:10" x14ac:dyDescent="0.3">
      <c r="J32315"/>
    </row>
    <row r="32316" spans="10:10" x14ac:dyDescent="0.3">
      <c r="J32316"/>
    </row>
    <row r="32317" spans="10:10" x14ac:dyDescent="0.3">
      <c r="J32317"/>
    </row>
    <row r="32318" spans="10:10" x14ac:dyDescent="0.3">
      <c r="J32318"/>
    </row>
    <row r="32319" spans="10:10" x14ac:dyDescent="0.3">
      <c r="J32319"/>
    </row>
    <row r="32320" spans="10:10" x14ac:dyDescent="0.3">
      <c r="J32320"/>
    </row>
    <row r="32321" spans="10:10" x14ac:dyDescent="0.3">
      <c r="J32321"/>
    </row>
    <row r="32322" spans="10:10" x14ac:dyDescent="0.3">
      <c r="J32322"/>
    </row>
    <row r="32323" spans="10:10" x14ac:dyDescent="0.3">
      <c r="J32323"/>
    </row>
    <row r="32324" spans="10:10" x14ac:dyDescent="0.3">
      <c r="J32324"/>
    </row>
    <row r="32325" spans="10:10" x14ac:dyDescent="0.3">
      <c r="J32325"/>
    </row>
    <row r="32326" spans="10:10" x14ac:dyDescent="0.3">
      <c r="J32326"/>
    </row>
    <row r="32327" spans="10:10" x14ac:dyDescent="0.3">
      <c r="J32327"/>
    </row>
    <row r="32328" spans="10:10" x14ac:dyDescent="0.3">
      <c r="J32328"/>
    </row>
    <row r="32329" spans="10:10" x14ac:dyDescent="0.3">
      <c r="J32329"/>
    </row>
    <row r="32330" spans="10:10" x14ac:dyDescent="0.3">
      <c r="J32330"/>
    </row>
    <row r="32331" spans="10:10" x14ac:dyDescent="0.3">
      <c r="J32331"/>
    </row>
    <row r="32332" spans="10:10" x14ac:dyDescent="0.3">
      <c r="J32332"/>
    </row>
    <row r="32333" spans="10:10" x14ac:dyDescent="0.3">
      <c r="J32333"/>
    </row>
    <row r="32334" spans="10:10" x14ac:dyDescent="0.3">
      <c r="J32334"/>
    </row>
    <row r="32335" spans="10:10" x14ac:dyDescent="0.3">
      <c r="J32335"/>
    </row>
    <row r="32336" spans="10:10" x14ac:dyDescent="0.3">
      <c r="J32336"/>
    </row>
    <row r="32337" spans="10:10" x14ac:dyDescent="0.3">
      <c r="J32337"/>
    </row>
    <row r="32338" spans="10:10" x14ac:dyDescent="0.3">
      <c r="J32338"/>
    </row>
    <row r="32339" spans="10:10" x14ac:dyDescent="0.3">
      <c r="J32339"/>
    </row>
    <row r="32340" spans="10:10" x14ac:dyDescent="0.3">
      <c r="J32340"/>
    </row>
    <row r="32341" spans="10:10" x14ac:dyDescent="0.3">
      <c r="J32341"/>
    </row>
    <row r="32342" spans="10:10" x14ac:dyDescent="0.3">
      <c r="J32342"/>
    </row>
    <row r="32343" spans="10:10" x14ac:dyDescent="0.3">
      <c r="J32343"/>
    </row>
    <row r="32344" spans="10:10" x14ac:dyDescent="0.3">
      <c r="J32344"/>
    </row>
    <row r="32345" spans="10:10" x14ac:dyDescent="0.3">
      <c r="J32345"/>
    </row>
    <row r="32346" spans="10:10" x14ac:dyDescent="0.3">
      <c r="J32346"/>
    </row>
    <row r="32347" spans="10:10" x14ac:dyDescent="0.3">
      <c r="J32347"/>
    </row>
    <row r="32348" spans="10:10" x14ac:dyDescent="0.3">
      <c r="J32348"/>
    </row>
    <row r="32349" spans="10:10" x14ac:dyDescent="0.3">
      <c r="J32349"/>
    </row>
    <row r="32350" spans="10:10" x14ac:dyDescent="0.3">
      <c r="J32350"/>
    </row>
    <row r="32351" spans="10:10" x14ac:dyDescent="0.3">
      <c r="J32351"/>
    </row>
    <row r="32352" spans="10:10" x14ac:dyDescent="0.3">
      <c r="J32352"/>
    </row>
    <row r="32353" spans="10:10" x14ac:dyDescent="0.3">
      <c r="J32353"/>
    </row>
    <row r="32354" spans="10:10" x14ac:dyDescent="0.3">
      <c r="J32354"/>
    </row>
    <row r="32355" spans="10:10" x14ac:dyDescent="0.3">
      <c r="J32355"/>
    </row>
    <row r="32356" spans="10:10" x14ac:dyDescent="0.3">
      <c r="J32356"/>
    </row>
    <row r="32357" spans="10:10" x14ac:dyDescent="0.3">
      <c r="J32357"/>
    </row>
    <row r="32358" spans="10:10" x14ac:dyDescent="0.3">
      <c r="J32358"/>
    </row>
    <row r="32359" spans="10:10" x14ac:dyDescent="0.3">
      <c r="J32359"/>
    </row>
    <row r="32360" spans="10:10" x14ac:dyDescent="0.3">
      <c r="J32360"/>
    </row>
    <row r="32361" spans="10:10" x14ac:dyDescent="0.3">
      <c r="J32361"/>
    </row>
    <row r="32362" spans="10:10" x14ac:dyDescent="0.3">
      <c r="J32362"/>
    </row>
    <row r="32363" spans="10:10" x14ac:dyDescent="0.3">
      <c r="J32363"/>
    </row>
    <row r="32364" spans="10:10" x14ac:dyDescent="0.3">
      <c r="J32364"/>
    </row>
    <row r="32365" spans="10:10" x14ac:dyDescent="0.3">
      <c r="J32365"/>
    </row>
    <row r="32366" spans="10:10" x14ac:dyDescent="0.3">
      <c r="J32366"/>
    </row>
    <row r="32367" spans="10:10" x14ac:dyDescent="0.3">
      <c r="J32367"/>
    </row>
    <row r="32368" spans="10:10" x14ac:dyDescent="0.3">
      <c r="J32368"/>
    </row>
    <row r="32369" spans="10:10" x14ac:dyDescent="0.3">
      <c r="J32369"/>
    </row>
    <row r="32370" spans="10:10" x14ac:dyDescent="0.3">
      <c r="J32370"/>
    </row>
    <row r="32371" spans="10:10" x14ac:dyDescent="0.3">
      <c r="J32371"/>
    </row>
    <row r="32372" spans="10:10" x14ac:dyDescent="0.3">
      <c r="J32372"/>
    </row>
    <row r="32373" spans="10:10" x14ac:dyDescent="0.3">
      <c r="J32373"/>
    </row>
    <row r="32374" spans="10:10" x14ac:dyDescent="0.3">
      <c r="J32374"/>
    </row>
    <row r="32375" spans="10:10" x14ac:dyDescent="0.3">
      <c r="J32375"/>
    </row>
    <row r="32376" spans="10:10" x14ac:dyDescent="0.3">
      <c r="J32376"/>
    </row>
    <row r="32377" spans="10:10" x14ac:dyDescent="0.3">
      <c r="J32377"/>
    </row>
    <row r="32378" spans="10:10" x14ac:dyDescent="0.3">
      <c r="J32378"/>
    </row>
    <row r="32379" spans="10:10" x14ac:dyDescent="0.3">
      <c r="J32379"/>
    </row>
    <row r="32380" spans="10:10" x14ac:dyDescent="0.3">
      <c r="J32380"/>
    </row>
    <row r="32381" spans="10:10" x14ac:dyDescent="0.3">
      <c r="J32381"/>
    </row>
    <row r="32382" spans="10:10" x14ac:dyDescent="0.3">
      <c r="J32382"/>
    </row>
    <row r="32383" spans="10:10" x14ac:dyDescent="0.3">
      <c r="J32383"/>
    </row>
    <row r="32384" spans="10:10" x14ac:dyDescent="0.3">
      <c r="J32384"/>
    </row>
    <row r="32385" spans="10:10" x14ac:dyDescent="0.3">
      <c r="J32385"/>
    </row>
    <row r="32386" spans="10:10" x14ac:dyDescent="0.3">
      <c r="J32386"/>
    </row>
    <row r="32387" spans="10:10" x14ac:dyDescent="0.3">
      <c r="J32387"/>
    </row>
    <row r="32388" spans="10:10" x14ac:dyDescent="0.3">
      <c r="J32388"/>
    </row>
    <row r="32389" spans="10:10" x14ac:dyDescent="0.3">
      <c r="J32389"/>
    </row>
    <row r="32390" spans="10:10" x14ac:dyDescent="0.3">
      <c r="J32390"/>
    </row>
    <row r="32391" spans="10:10" x14ac:dyDescent="0.3">
      <c r="J32391"/>
    </row>
    <row r="32392" spans="10:10" x14ac:dyDescent="0.3">
      <c r="J32392"/>
    </row>
    <row r="32393" spans="10:10" x14ac:dyDescent="0.3">
      <c r="J32393"/>
    </row>
    <row r="32394" spans="10:10" x14ac:dyDescent="0.3">
      <c r="J32394"/>
    </row>
    <row r="32395" spans="10:10" x14ac:dyDescent="0.3">
      <c r="J32395"/>
    </row>
    <row r="32396" spans="10:10" x14ac:dyDescent="0.3">
      <c r="J32396"/>
    </row>
    <row r="32397" spans="10:10" x14ac:dyDescent="0.3">
      <c r="J32397"/>
    </row>
    <row r="32398" spans="10:10" x14ac:dyDescent="0.3">
      <c r="J32398"/>
    </row>
    <row r="32399" spans="10:10" x14ac:dyDescent="0.3">
      <c r="J32399"/>
    </row>
    <row r="32400" spans="10:10" x14ac:dyDescent="0.3">
      <c r="J32400"/>
    </row>
    <row r="32401" spans="10:10" x14ac:dyDescent="0.3">
      <c r="J32401"/>
    </row>
    <row r="32402" spans="10:10" x14ac:dyDescent="0.3">
      <c r="J32402"/>
    </row>
    <row r="32403" spans="10:10" x14ac:dyDescent="0.3">
      <c r="J32403"/>
    </row>
    <row r="32404" spans="10:10" x14ac:dyDescent="0.3">
      <c r="J32404"/>
    </row>
    <row r="32405" spans="10:10" x14ac:dyDescent="0.3">
      <c r="J32405"/>
    </row>
    <row r="32406" spans="10:10" x14ac:dyDescent="0.3">
      <c r="J32406"/>
    </row>
    <row r="32407" spans="10:10" x14ac:dyDescent="0.3">
      <c r="J32407"/>
    </row>
    <row r="32408" spans="10:10" x14ac:dyDescent="0.3">
      <c r="J32408"/>
    </row>
    <row r="32409" spans="10:10" x14ac:dyDescent="0.3">
      <c r="J32409"/>
    </row>
    <row r="32410" spans="10:10" x14ac:dyDescent="0.3">
      <c r="J32410"/>
    </row>
    <row r="32411" spans="10:10" x14ac:dyDescent="0.3">
      <c r="J32411"/>
    </row>
    <row r="32412" spans="10:10" x14ac:dyDescent="0.3">
      <c r="J32412"/>
    </row>
    <row r="32413" spans="10:10" x14ac:dyDescent="0.3">
      <c r="J32413"/>
    </row>
    <row r="32414" spans="10:10" x14ac:dyDescent="0.3">
      <c r="J32414"/>
    </row>
    <row r="32415" spans="10:10" x14ac:dyDescent="0.3">
      <c r="J32415"/>
    </row>
    <row r="32416" spans="10:10" x14ac:dyDescent="0.3">
      <c r="J32416"/>
    </row>
    <row r="32417" spans="10:10" x14ac:dyDescent="0.3">
      <c r="J32417"/>
    </row>
    <row r="32418" spans="10:10" x14ac:dyDescent="0.3">
      <c r="J32418"/>
    </row>
    <row r="32419" spans="10:10" x14ac:dyDescent="0.3">
      <c r="J32419"/>
    </row>
    <row r="32420" spans="10:10" x14ac:dyDescent="0.3">
      <c r="J32420"/>
    </row>
    <row r="32421" spans="10:10" x14ac:dyDescent="0.3">
      <c r="J32421"/>
    </row>
    <row r="32422" spans="10:10" x14ac:dyDescent="0.3">
      <c r="J32422"/>
    </row>
    <row r="32423" spans="10:10" x14ac:dyDescent="0.3">
      <c r="J32423"/>
    </row>
    <row r="32424" spans="10:10" x14ac:dyDescent="0.3">
      <c r="J32424"/>
    </row>
    <row r="32425" spans="10:10" x14ac:dyDescent="0.3">
      <c r="J32425"/>
    </row>
    <row r="32426" spans="10:10" x14ac:dyDescent="0.3">
      <c r="J32426"/>
    </row>
    <row r="32427" spans="10:10" x14ac:dyDescent="0.3">
      <c r="J32427"/>
    </row>
    <row r="32428" spans="10:10" x14ac:dyDescent="0.3">
      <c r="J32428"/>
    </row>
    <row r="32429" spans="10:10" x14ac:dyDescent="0.3">
      <c r="J32429"/>
    </row>
    <row r="32430" spans="10:10" x14ac:dyDescent="0.3">
      <c r="J32430"/>
    </row>
    <row r="32431" spans="10:10" x14ac:dyDescent="0.3">
      <c r="J32431"/>
    </row>
    <row r="32432" spans="10:10" x14ac:dyDescent="0.3">
      <c r="J32432"/>
    </row>
    <row r="32433" spans="10:10" x14ac:dyDescent="0.3">
      <c r="J32433"/>
    </row>
    <row r="32434" spans="10:10" x14ac:dyDescent="0.3">
      <c r="J32434"/>
    </row>
    <row r="32435" spans="10:10" x14ac:dyDescent="0.3">
      <c r="J32435"/>
    </row>
    <row r="32436" spans="10:10" x14ac:dyDescent="0.3">
      <c r="J32436"/>
    </row>
    <row r="32437" spans="10:10" x14ac:dyDescent="0.3">
      <c r="J32437"/>
    </row>
    <row r="32438" spans="10:10" x14ac:dyDescent="0.3">
      <c r="J32438"/>
    </row>
    <row r="32439" spans="10:10" x14ac:dyDescent="0.3">
      <c r="J32439"/>
    </row>
    <row r="32440" spans="10:10" x14ac:dyDescent="0.3">
      <c r="J32440"/>
    </row>
    <row r="32441" spans="10:10" x14ac:dyDescent="0.3">
      <c r="J32441"/>
    </row>
    <row r="32442" spans="10:10" x14ac:dyDescent="0.3">
      <c r="J32442"/>
    </row>
    <row r="32443" spans="10:10" x14ac:dyDescent="0.3">
      <c r="J32443"/>
    </row>
    <row r="32444" spans="10:10" x14ac:dyDescent="0.3">
      <c r="J32444"/>
    </row>
    <row r="32445" spans="10:10" x14ac:dyDescent="0.3">
      <c r="J32445"/>
    </row>
    <row r="32446" spans="10:10" x14ac:dyDescent="0.3">
      <c r="J32446"/>
    </row>
    <row r="32447" spans="10:10" x14ac:dyDescent="0.3">
      <c r="J32447"/>
    </row>
    <row r="32448" spans="10:10" x14ac:dyDescent="0.3">
      <c r="J32448"/>
    </row>
    <row r="32449" spans="10:10" x14ac:dyDescent="0.3">
      <c r="J32449"/>
    </row>
    <row r="32450" spans="10:10" x14ac:dyDescent="0.3">
      <c r="J32450"/>
    </row>
    <row r="32451" spans="10:10" x14ac:dyDescent="0.3">
      <c r="J32451"/>
    </row>
    <row r="32452" spans="10:10" x14ac:dyDescent="0.3">
      <c r="J32452"/>
    </row>
    <row r="32453" spans="10:10" x14ac:dyDescent="0.3">
      <c r="J32453"/>
    </row>
    <row r="32454" spans="10:10" x14ac:dyDescent="0.3">
      <c r="J32454"/>
    </row>
    <row r="32455" spans="10:10" x14ac:dyDescent="0.3">
      <c r="J32455"/>
    </row>
    <row r="32456" spans="10:10" x14ac:dyDescent="0.3">
      <c r="J32456"/>
    </row>
    <row r="32457" spans="10:10" x14ac:dyDescent="0.3">
      <c r="J32457"/>
    </row>
    <row r="32458" spans="10:10" x14ac:dyDescent="0.3">
      <c r="J32458"/>
    </row>
    <row r="32459" spans="10:10" x14ac:dyDescent="0.3">
      <c r="J32459"/>
    </row>
    <row r="32460" spans="10:10" x14ac:dyDescent="0.3">
      <c r="J32460"/>
    </row>
    <row r="32461" spans="10:10" x14ac:dyDescent="0.3">
      <c r="J32461"/>
    </row>
    <row r="32462" spans="10:10" x14ac:dyDescent="0.3">
      <c r="J32462"/>
    </row>
    <row r="32463" spans="10:10" x14ac:dyDescent="0.3">
      <c r="J32463"/>
    </row>
    <row r="32464" spans="10:10" x14ac:dyDescent="0.3">
      <c r="J32464"/>
    </row>
    <row r="32465" spans="10:10" x14ac:dyDescent="0.3">
      <c r="J32465"/>
    </row>
    <row r="32466" spans="10:10" x14ac:dyDescent="0.3">
      <c r="J32466"/>
    </row>
    <row r="32467" spans="10:10" x14ac:dyDescent="0.3">
      <c r="J32467"/>
    </row>
    <row r="32468" spans="10:10" x14ac:dyDescent="0.3">
      <c r="J32468"/>
    </row>
    <row r="32469" spans="10:10" x14ac:dyDescent="0.3">
      <c r="J32469"/>
    </row>
    <row r="32470" spans="10:10" x14ac:dyDescent="0.3">
      <c r="J32470"/>
    </row>
    <row r="32471" spans="10:10" x14ac:dyDescent="0.3">
      <c r="J32471"/>
    </row>
    <row r="32472" spans="10:10" x14ac:dyDescent="0.3">
      <c r="J32472"/>
    </row>
    <row r="32473" spans="10:10" x14ac:dyDescent="0.3">
      <c r="J32473"/>
    </row>
    <row r="32474" spans="10:10" x14ac:dyDescent="0.3">
      <c r="J32474"/>
    </row>
    <row r="32475" spans="10:10" x14ac:dyDescent="0.3">
      <c r="J32475"/>
    </row>
    <row r="32476" spans="10:10" x14ac:dyDescent="0.3">
      <c r="J32476"/>
    </row>
    <row r="32477" spans="10:10" x14ac:dyDescent="0.3">
      <c r="J32477"/>
    </row>
    <row r="32478" spans="10:10" x14ac:dyDescent="0.3">
      <c r="J32478"/>
    </row>
    <row r="32479" spans="10:10" x14ac:dyDescent="0.3">
      <c r="J32479"/>
    </row>
    <row r="32480" spans="10:10" x14ac:dyDescent="0.3">
      <c r="J32480"/>
    </row>
    <row r="32481" spans="10:10" x14ac:dyDescent="0.3">
      <c r="J32481"/>
    </row>
    <row r="32482" spans="10:10" x14ac:dyDescent="0.3">
      <c r="J32482"/>
    </row>
    <row r="32483" spans="10:10" x14ac:dyDescent="0.3">
      <c r="J32483"/>
    </row>
    <row r="32484" spans="10:10" x14ac:dyDescent="0.3">
      <c r="J32484"/>
    </row>
    <row r="32485" spans="10:10" x14ac:dyDescent="0.3">
      <c r="J32485"/>
    </row>
    <row r="32486" spans="10:10" x14ac:dyDescent="0.3">
      <c r="J32486"/>
    </row>
    <row r="32487" spans="10:10" x14ac:dyDescent="0.3">
      <c r="J32487"/>
    </row>
    <row r="32488" spans="10:10" x14ac:dyDescent="0.3">
      <c r="J32488"/>
    </row>
    <row r="32489" spans="10:10" x14ac:dyDescent="0.3">
      <c r="J32489"/>
    </row>
    <row r="32490" spans="10:10" x14ac:dyDescent="0.3">
      <c r="J32490"/>
    </row>
    <row r="32491" spans="10:10" x14ac:dyDescent="0.3">
      <c r="J32491"/>
    </row>
    <row r="32492" spans="10:10" x14ac:dyDescent="0.3">
      <c r="J32492"/>
    </row>
    <row r="32493" spans="10:10" x14ac:dyDescent="0.3">
      <c r="J32493"/>
    </row>
    <row r="32494" spans="10:10" x14ac:dyDescent="0.3">
      <c r="J32494"/>
    </row>
    <row r="32495" spans="10:10" x14ac:dyDescent="0.3">
      <c r="J32495"/>
    </row>
    <row r="32496" spans="10:10" x14ac:dyDescent="0.3">
      <c r="J32496"/>
    </row>
    <row r="32497" spans="10:10" x14ac:dyDescent="0.3">
      <c r="J32497"/>
    </row>
    <row r="32498" spans="10:10" x14ac:dyDescent="0.3">
      <c r="J32498"/>
    </row>
    <row r="32499" spans="10:10" x14ac:dyDescent="0.3">
      <c r="J32499"/>
    </row>
    <row r="32500" spans="10:10" x14ac:dyDescent="0.3">
      <c r="J32500"/>
    </row>
    <row r="32501" spans="10:10" x14ac:dyDescent="0.3">
      <c r="J32501"/>
    </row>
    <row r="32502" spans="10:10" x14ac:dyDescent="0.3">
      <c r="J32502"/>
    </row>
    <row r="32503" spans="10:10" x14ac:dyDescent="0.3">
      <c r="J32503"/>
    </row>
    <row r="32504" spans="10:10" x14ac:dyDescent="0.3">
      <c r="J32504"/>
    </row>
    <row r="32505" spans="10:10" x14ac:dyDescent="0.3">
      <c r="J32505"/>
    </row>
    <row r="32506" spans="10:10" x14ac:dyDescent="0.3">
      <c r="J32506"/>
    </row>
    <row r="32507" spans="10:10" x14ac:dyDescent="0.3">
      <c r="J32507"/>
    </row>
    <row r="32508" spans="10:10" x14ac:dyDescent="0.3">
      <c r="J32508"/>
    </row>
    <row r="32509" spans="10:10" x14ac:dyDescent="0.3">
      <c r="J32509"/>
    </row>
    <row r="32510" spans="10:10" x14ac:dyDescent="0.3">
      <c r="J32510"/>
    </row>
    <row r="32511" spans="10:10" x14ac:dyDescent="0.3">
      <c r="J32511"/>
    </row>
    <row r="32512" spans="10:10" x14ac:dyDescent="0.3">
      <c r="J32512"/>
    </row>
    <row r="32513" spans="10:10" x14ac:dyDescent="0.3">
      <c r="J32513"/>
    </row>
    <row r="32514" spans="10:10" x14ac:dyDescent="0.3">
      <c r="J32514"/>
    </row>
    <row r="32515" spans="10:10" x14ac:dyDescent="0.3">
      <c r="J32515"/>
    </row>
    <row r="32516" spans="10:10" x14ac:dyDescent="0.3">
      <c r="J32516"/>
    </row>
    <row r="32517" spans="10:10" x14ac:dyDescent="0.3">
      <c r="J32517"/>
    </row>
    <row r="32518" spans="10:10" x14ac:dyDescent="0.3">
      <c r="J32518"/>
    </row>
    <row r="32519" spans="10:10" x14ac:dyDescent="0.3">
      <c r="J32519"/>
    </row>
    <row r="32520" spans="10:10" x14ac:dyDescent="0.3">
      <c r="J32520"/>
    </row>
    <row r="32521" spans="10:10" x14ac:dyDescent="0.3">
      <c r="J32521"/>
    </row>
    <row r="32522" spans="10:10" x14ac:dyDescent="0.3">
      <c r="J32522"/>
    </row>
    <row r="32523" spans="10:10" x14ac:dyDescent="0.3">
      <c r="J32523"/>
    </row>
    <row r="32524" spans="10:10" x14ac:dyDescent="0.3">
      <c r="J32524"/>
    </row>
    <row r="32525" spans="10:10" x14ac:dyDescent="0.3">
      <c r="J32525"/>
    </row>
    <row r="32526" spans="10:10" x14ac:dyDescent="0.3">
      <c r="J32526"/>
    </row>
    <row r="32527" spans="10:10" x14ac:dyDescent="0.3">
      <c r="J32527"/>
    </row>
    <row r="32528" spans="10:10" x14ac:dyDescent="0.3">
      <c r="J32528"/>
    </row>
    <row r="32529" spans="10:10" x14ac:dyDescent="0.3">
      <c r="J32529"/>
    </row>
    <row r="32530" spans="10:10" x14ac:dyDescent="0.3">
      <c r="J32530"/>
    </row>
    <row r="32531" spans="10:10" x14ac:dyDescent="0.3">
      <c r="J32531"/>
    </row>
    <row r="32532" spans="10:10" x14ac:dyDescent="0.3">
      <c r="J32532"/>
    </row>
    <row r="32533" spans="10:10" x14ac:dyDescent="0.3">
      <c r="J32533"/>
    </row>
    <row r="32534" spans="10:10" x14ac:dyDescent="0.3">
      <c r="J32534"/>
    </row>
    <row r="32535" spans="10:10" x14ac:dyDescent="0.3">
      <c r="J32535"/>
    </row>
    <row r="32536" spans="10:10" x14ac:dyDescent="0.3">
      <c r="J32536"/>
    </row>
    <row r="32537" spans="10:10" x14ac:dyDescent="0.3">
      <c r="J32537"/>
    </row>
    <row r="32538" spans="10:10" x14ac:dyDescent="0.3">
      <c r="J32538"/>
    </row>
    <row r="32539" spans="10:10" x14ac:dyDescent="0.3">
      <c r="J32539"/>
    </row>
    <row r="32540" spans="10:10" x14ac:dyDescent="0.3">
      <c r="J32540"/>
    </row>
    <row r="32541" spans="10:10" x14ac:dyDescent="0.3">
      <c r="J32541"/>
    </row>
    <row r="32542" spans="10:10" x14ac:dyDescent="0.3">
      <c r="J32542"/>
    </row>
    <row r="32543" spans="10:10" x14ac:dyDescent="0.3">
      <c r="J32543"/>
    </row>
    <row r="32544" spans="10:10" x14ac:dyDescent="0.3">
      <c r="J32544"/>
    </row>
    <row r="32545" spans="10:10" x14ac:dyDescent="0.3">
      <c r="J32545"/>
    </row>
    <row r="32546" spans="10:10" x14ac:dyDescent="0.3">
      <c r="J32546"/>
    </row>
    <row r="32547" spans="10:10" x14ac:dyDescent="0.3">
      <c r="J32547"/>
    </row>
    <row r="32548" spans="10:10" x14ac:dyDescent="0.3">
      <c r="J32548"/>
    </row>
    <row r="32549" spans="10:10" x14ac:dyDescent="0.3">
      <c r="J32549"/>
    </row>
    <row r="32550" spans="10:10" x14ac:dyDescent="0.3">
      <c r="J32550"/>
    </row>
    <row r="32551" spans="10:10" x14ac:dyDescent="0.3">
      <c r="J32551"/>
    </row>
    <row r="32552" spans="10:10" x14ac:dyDescent="0.3">
      <c r="J32552"/>
    </row>
    <row r="32553" spans="10:10" x14ac:dyDescent="0.3">
      <c r="J32553"/>
    </row>
    <row r="32554" spans="10:10" x14ac:dyDescent="0.3">
      <c r="J32554"/>
    </row>
    <row r="32555" spans="10:10" x14ac:dyDescent="0.3">
      <c r="J32555"/>
    </row>
    <row r="32556" spans="10:10" x14ac:dyDescent="0.3">
      <c r="J32556"/>
    </row>
    <row r="32557" spans="10:10" x14ac:dyDescent="0.3">
      <c r="J32557"/>
    </row>
    <row r="32558" spans="10:10" x14ac:dyDescent="0.3">
      <c r="J32558"/>
    </row>
    <row r="32559" spans="10:10" x14ac:dyDescent="0.3">
      <c r="J32559"/>
    </row>
    <row r="32560" spans="10:10" x14ac:dyDescent="0.3">
      <c r="J32560"/>
    </row>
    <row r="32561" spans="10:10" x14ac:dyDescent="0.3">
      <c r="J32561"/>
    </row>
    <row r="32562" spans="10:10" x14ac:dyDescent="0.3">
      <c r="J32562"/>
    </row>
    <row r="32563" spans="10:10" x14ac:dyDescent="0.3">
      <c r="J32563"/>
    </row>
    <row r="32564" spans="10:10" x14ac:dyDescent="0.3">
      <c r="J32564"/>
    </row>
    <row r="32565" spans="10:10" x14ac:dyDescent="0.3">
      <c r="J32565"/>
    </row>
    <row r="32566" spans="10:10" x14ac:dyDescent="0.3">
      <c r="J32566"/>
    </row>
    <row r="32567" spans="10:10" x14ac:dyDescent="0.3">
      <c r="J32567"/>
    </row>
    <row r="32568" spans="10:10" x14ac:dyDescent="0.3">
      <c r="J32568"/>
    </row>
    <row r="32569" spans="10:10" x14ac:dyDescent="0.3">
      <c r="J32569"/>
    </row>
    <row r="32570" spans="10:10" x14ac:dyDescent="0.3">
      <c r="J32570"/>
    </row>
    <row r="32571" spans="10:10" x14ac:dyDescent="0.3">
      <c r="J32571"/>
    </row>
    <row r="32572" spans="10:10" x14ac:dyDescent="0.3">
      <c r="J32572"/>
    </row>
    <row r="32573" spans="10:10" x14ac:dyDescent="0.3">
      <c r="J32573"/>
    </row>
    <row r="32574" spans="10:10" x14ac:dyDescent="0.3">
      <c r="J32574"/>
    </row>
    <row r="32575" spans="10:10" x14ac:dyDescent="0.3">
      <c r="J32575"/>
    </row>
    <row r="32576" spans="10:10" x14ac:dyDescent="0.3">
      <c r="J32576"/>
    </row>
    <row r="32577" spans="10:10" x14ac:dyDescent="0.3">
      <c r="J32577"/>
    </row>
    <row r="32578" spans="10:10" x14ac:dyDescent="0.3">
      <c r="J32578"/>
    </row>
    <row r="32579" spans="10:10" x14ac:dyDescent="0.3">
      <c r="J32579"/>
    </row>
    <row r="32580" spans="10:10" x14ac:dyDescent="0.3">
      <c r="J32580"/>
    </row>
    <row r="32581" spans="10:10" x14ac:dyDescent="0.3">
      <c r="J32581"/>
    </row>
    <row r="32582" spans="10:10" x14ac:dyDescent="0.3">
      <c r="J32582"/>
    </row>
    <row r="32583" spans="10:10" x14ac:dyDescent="0.3">
      <c r="J32583"/>
    </row>
    <row r="32584" spans="10:10" x14ac:dyDescent="0.3">
      <c r="J32584"/>
    </row>
    <row r="32585" spans="10:10" x14ac:dyDescent="0.3">
      <c r="J32585"/>
    </row>
    <row r="32586" spans="10:10" x14ac:dyDescent="0.3">
      <c r="J32586"/>
    </row>
    <row r="32587" spans="10:10" x14ac:dyDescent="0.3">
      <c r="J32587"/>
    </row>
    <row r="32588" spans="10:10" x14ac:dyDescent="0.3">
      <c r="J32588"/>
    </row>
    <row r="32589" spans="10:10" x14ac:dyDescent="0.3">
      <c r="J32589"/>
    </row>
    <row r="32590" spans="10:10" x14ac:dyDescent="0.3">
      <c r="J32590"/>
    </row>
    <row r="32591" spans="10:10" x14ac:dyDescent="0.3">
      <c r="J32591"/>
    </row>
    <row r="32592" spans="10:10" x14ac:dyDescent="0.3">
      <c r="J32592"/>
    </row>
    <row r="32593" spans="10:10" x14ac:dyDescent="0.3">
      <c r="J32593"/>
    </row>
    <row r="32594" spans="10:10" x14ac:dyDescent="0.3">
      <c r="J32594"/>
    </row>
    <row r="32595" spans="10:10" x14ac:dyDescent="0.3">
      <c r="J32595"/>
    </row>
    <row r="32596" spans="10:10" x14ac:dyDescent="0.3">
      <c r="J32596"/>
    </row>
    <row r="32597" spans="10:10" x14ac:dyDescent="0.3">
      <c r="J32597"/>
    </row>
    <row r="32598" spans="10:10" x14ac:dyDescent="0.3">
      <c r="J32598"/>
    </row>
    <row r="32599" spans="10:10" x14ac:dyDescent="0.3">
      <c r="J32599"/>
    </row>
    <row r="32600" spans="10:10" x14ac:dyDescent="0.3">
      <c r="J32600"/>
    </row>
    <row r="32601" spans="10:10" x14ac:dyDescent="0.3">
      <c r="J32601"/>
    </row>
    <row r="32602" spans="10:10" x14ac:dyDescent="0.3">
      <c r="J32602"/>
    </row>
    <row r="32603" spans="10:10" x14ac:dyDescent="0.3">
      <c r="J32603"/>
    </row>
    <row r="32604" spans="10:10" x14ac:dyDescent="0.3">
      <c r="J32604"/>
    </row>
    <row r="32605" spans="10:10" x14ac:dyDescent="0.3">
      <c r="J32605"/>
    </row>
    <row r="32606" spans="10:10" x14ac:dyDescent="0.3">
      <c r="J32606"/>
    </row>
    <row r="32607" spans="10:10" x14ac:dyDescent="0.3">
      <c r="J32607"/>
    </row>
    <row r="32608" spans="10:10" x14ac:dyDescent="0.3">
      <c r="J32608"/>
    </row>
    <row r="32609" spans="10:10" x14ac:dyDescent="0.3">
      <c r="J32609"/>
    </row>
    <row r="32610" spans="10:10" x14ac:dyDescent="0.3">
      <c r="J32610"/>
    </row>
    <row r="32611" spans="10:10" x14ac:dyDescent="0.3">
      <c r="J32611"/>
    </row>
    <row r="32612" spans="10:10" x14ac:dyDescent="0.3">
      <c r="J32612"/>
    </row>
    <row r="32613" spans="10:10" x14ac:dyDescent="0.3">
      <c r="J32613"/>
    </row>
    <row r="32614" spans="10:10" x14ac:dyDescent="0.3">
      <c r="J32614"/>
    </row>
    <row r="32615" spans="10:10" x14ac:dyDescent="0.3">
      <c r="J32615"/>
    </row>
    <row r="32616" spans="10:10" x14ac:dyDescent="0.3">
      <c r="J32616"/>
    </row>
    <row r="32617" spans="10:10" x14ac:dyDescent="0.3">
      <c r="J32617"/>
    </row>
    <row r="32618" spans="10:10" x14ac:dyDescent="0.3">
      <c r="J32618"/>
    </row>
    <row r="32619" spans="10:10" x14ac:dyDescent="0.3">
      <c r="J32619"/>
    </row>
    <row r="32620" spans="10:10" x14ac:dyDescent="0.3">
      <c r="J32620"/>
    </row>
    <row r="32621" spans="10:10" x14ac:dyDescent="0.3">
      <c r="J32621"/>
    </row>
    <row r="32622" spans="10:10" x14ac:dyDescent="0.3">
      <c r="J32622"/>
    </row>
    <row r="32623" spans="10:10" x14ac:dyDescent="0.3">
      <c r="J32623"/>
    </row>
    <row r="32624" spans="10:10" x14ac:dyDescent="0.3">
      <c r="J32624"/>
    </row>
    <row r="32625" spans="10:10" x14ac:dyDescent="0.3">
      <c r="J32625"/>
    </row>
    <row r="32626" spans="10:10" x14ac:dyDescent="0.3">
      <c r="J32626"/>
    </row>
    <row r="32627" spans="10:10" x14ac:dyDescent="0.3">
      <c r="J32627"/>
    </row>
    <row r="32628" spans="10:10" x14ac:dyDescent="0.3">
      <c r="J32628"/>
    </row>
    <row r="32629" spans="10:10" x14ac:dyDescent="0.3">
      <c r="J32629"/>
    </row>
    <row r="32630" spans="10:10" x14ac:dyDescent="0.3">
      <c r="J32630"/>
    </row>
    <row r="32631" spans="10:10" x14ac:dyDescent="0.3">
      <c r="J32631"/>
    </row>
    <row r="32632" spans="10:10" x14ac:dyDescent="0.3">
      <c r="J32632"/>
    </row>
    <row r="32633" spans="10:10" x14ac:dyDescent="0.3">
      <c r="J32633"/>
    </row>
    <row r="32634" spans="10:10" x14ac:dyDescent="0.3">
      <c r="J32634"/>
    </row>
    <row r="32635" spans="10:10" x14ac:dyDescent="0.3">
      <c r="J32635"/>
    </row>
    <row r="32636" spans="10:10" x14ac:dyDescent="0.3">
      <c r="J32636"/>
    </row>
    <row r="32637" spans="10:10" x14ac:dyDescent="0.3">
      <c r="J32637"/>
    </row>
    <row r="32638" spans="10:10" x14ac:dyDescent="0.3">
      <c r="J32638"/>
    </row>
    <row r="32639" spans="10:10" x14ac:dyDescent="0.3">
      <c r="J32639"/>
    </row>
    <row r="32640" spans="10:10" x14ac:dyDescent="0.3">
      <c r="J32640"/>
    </row>
    <row r="32641" spans="10:10" x14ac:dyDescent="0.3">
      <c r="J32641"/>
    </row>
    <row r="32642" spans="10:10" x14ac:dyDescent="0.3">
      <c r="J32642"/>
    </row>
    <row r="32643" spans="10:10" x14ac:dyDescent="0.3">
      <c r="J32643"/>
    </row>
    <row r="32644" spans="10:10" x14ac:dyDescent="0.3">
      <c r="J32644"/>
    </row>
    <row r="32645" spans="10:10" x14ac:dyDescent="0.3">
      <c r="J32645"/>
    </row>
    <row r="32646" spans="10:10" x14ac:dyDescent="0.3">
      <c r="J32646"/>
    </row>
    <row r="32647" spans="10:10" x14ac:dyDescent="0.3">
      <c r="J32647"/>
    </row>
    <row r="32648" spans="10:10" x14ac:dyDescent="0.3">
      <c r="J32648"/>
    </row>
    <row r="32649" spans="10:10" x14ac:dyDescent="0.3">
      <c r="J32649"/>
    </row>
    <row r="32650" spans="10:10" x14ac:dyDescent="0.3">
      <c r="J32650"/>
    </row>
    <row r="32651" spans="10:10" x14ac:dyDescent="0.3">
      <c r="J32651"/>
    </row>
    <row r="32652" spans="10:10" x14ac:dyDescent="0.3">
      <c r="J32652"/>
    </row>
    <row r="32653" spans="10:10" x14ac:dyDescent="0.3">
      <c r="J32653"/>
    </row>
    <row r="32654" spans="10:10" x14ac:dyDescent="0.3">
      <c r="J32654"/>
    </row>
    <row r="32655" spans="10:10" x14ac:dyDescent="0.3">
      <c r="J32655"/>
    </row>
    <row r="32656" spans="10:10" x14ac:dyDescent="0.3">
      <c r="J32656"/>
    </row>
    <row r="32657" spans="10:10" x14ac:dyDescent="0.3">
      <c r="J32657"/>
    </row>
    <row r="32658" spans="10:10" x14ac:dyDescent="0.3">
      <c r="J32658"/>
    </row>
    <row r="32659" spans="10:10" x14ac:dyDescent="0.3">
      <c r="J32659"/>
    </row>
    <row r="32660" spans="10:10" x14ac:dyDescent="0.3">
      <c r="J32660"/>
    </row>
    <row r="32661" spans="10:10" x14ac:dyDescent="0.3">
      <c r="J32661"/>
    </row>
    <row r="32662" spans="10:10" x14ac:dyDescent="0.3">
      <c r="J32662"/>
    </row>
    <row r="32663" spans="10:10" x14ac:dyDescent="0.3">
      <c r="J32663"/>
    </row>
    <row r="32664" spans="10:10" x14ac:dyDescent="0.3">
      <c r="J32664"/>
    </row>
    <row r="32665" spans="10:10" x14ac:dyDescent="0.3">
      <c r="J32665"/>
    </row>
    <row r="32666" spans="10:10" x14ac:dyDescent="0.3">
      <c r="J32666"/>
    </row>
    <row r="32667" spans="10:10" x14ac:dyDescent="0.3">
      <c r="J32667"/>
    </row>
    <row r="32668" spans="10:10" x14ac:dyDescent="0.3">
      <c r="J32668"/>
    </row>
    <row r="32669" spans="10:10" x14ac:dyDescent="0.3">
      <c r="J32669"/>
    </row>
    <row r="32670" spans="10:10" x14ac:dyDescent="0.3">
      <c r="J32670"/>
    </row>
    <row r="32671" spans="10:10" x14ac:dyDescent="0.3">
      <c r="J32671"/>
    </row>
    <row r="32672" spans="10:10" x14ac:dyDescent="0.3">
      <c r="J32672"/>
    </row>
    <row r="32673" spans="10:10" x14ac:dyDescent="0.3">
      <c r="J32673"/>
    </row>
    <row r="32674" spans="10:10" x14ac:dyDescent="0.3">
      <c r="J32674"/>
    </row>
    <row r="32675" spans="10:10" x14ac:dyDescent="0.3">
      <c r="J32675"/>
    </row>
    <row r="32676" spans="10:10" x14ac:dyDescent="0.3">
      <c r="J32676"/>
    </row>
    <row r="32677" spans="10:10" x14ac:dyDescent="0.3">
      <c r="J32677"/>
    </row>
    <row r="32678" spans="10:10" x14ac:dyDescent="0.3">
      <c r="J32678"/>
    </row>
    <row r="32679" spans="10:10" x14ac:dyDescent="0.3">
      <c r="J32679"/>
    </row>
    <row r="32680" spans="10:10" x14ac:dyDescent="0.3">
      <c r="J32680"/>
    </row>
    <row r="32681" spans="10:10" x14ac:dyDescent="0.3">
      <c r="J32681"/>
    </row>
    <row r="32682" spans="10:10" x14ac:dyDescent="0.3">
      <c r="J32682"/>
    </row>
    <row r="32683" spans="10:10" x14ac:dyDescent="0.3">
      <c r="J32683"/>
    </row>
    <row r="32684" spans="10:10" x14ac:dyDescent="0.3">
      <c r="J32684"/>
    </row>
    <row r="32685" spans="10:10" x14ac:dyDescent="0.3">
      <c r="J32685"/>
    </row>
    <row r="32686" spans="10:10" x14ac:dyDescent="0.3">
      <c r="J32686"/>
    </row>
    <row r="32687" spans="10:10" x14ac:dyDescent="0.3">
      <c r="J32687"/>
    </row>
    <row r="32688" spans="10:10" x14ac:dyDescent="0.3">
      <c r="J32688"/>
    </row>
    <row r="32689" spans="10:10" x14ac:dyDescent="0.3">
      <c r="J32689"/>
    </row>
    <row r="32690" spans="10:10" x14ac:dyDescent="0.3">
      <c r="J32690"/>
    </row>
    <row r="32691" spans="10:10" x14ac:dyDescent="0.3">
      <c r="J32691"/>
    </row>
    <row r="32692" spans="10:10" x14ac:dyDescent="0.3">
      <c r="J32692"/>
    </row>
    <row r="32693" spans="10:10" x14ac:dyDescent="0.3">
      <c r="J32693"/>
    </row>
    <row r="32694" spans="10:10" x14ac:dyDescent="0.3">
      <c r="J32694"/>
    </row>
    <row r="32695" spans="10:10" x14ac:dyDescent="0.3">
      <c r="J32695"/>
    </row>
    <row r="32696" spans="10:10" x14ac:dyDescent="0.3">
      <c r="J32696"/>
    </row>
    <row r="32697" spans="10:10" x14ac:dyDescent="0.3">
      <c r="J32697"/>
    </row>
    <row r="32698" spans="10:10" x14ac:dyDescent="0.3">
      <c r="J32698"/>
    </row>
    <row r="32699" spans="10:10" x14ac:dyDescent="0.3">
      <c r="J32699"/>
    </row>
    <row r="32700" spans="10:10" x14ac:dyDescent="0.3">
      <c r="J32700"/>
    </row>
    <row r="32701" spans="10:10" x14ac:dyDescent="0.3">
      <c r="J32701"/>
    </row>
    <row r="32702" spans="10:10" x14ac:dyDescent="0.3">
      <c r="J32702"/>
    </row>
    <row r="32703" spans="10:10" x14ac:dyDescent="0.3">
      <c r="J32703"/>
    </row>
    <row r="32704" spans="10:10" x14ac:dyDescent="0.3">
      <c r="J32704"/>
    </row>
    <row r="32705" spans="10:10" x14ac:dyDescent="0.3">
      <c r="J32705"/>
    </row>
    <row r="32706" spans="10:10" x14ac:dyDescent="0.3">
      <c r="J32706"/>
    </row>
    <row r="32707" spans="10:10" x14ac:dyDescent="0.3">
      <c r="J32707"/>
    </row>
    <row r="32708" spans="10:10" x14ac:dyDescent="0.3">
      <c r="J32708"/>
    </row>
    <row r="32709" spans="10:10" x14ac:dyDescent="0.3">
      <c r="J32709"/>
    </row>
    <row r="32710" spans="10:10" x14ac:dyDescent="0.3">
      <c r="J32710"/>
    </row>
    <row r="32711" spans="10:10" x14ac:dyDescent="0.3">
      <c r="J32711"/>
    </row>
    <row r="32712" spans="10:10" x14ac:dyDescent="0.3">
      <c r="J32712"/>
    </row>
    <row r="32713" spans="10:10" x14ac:dyDescent="0.3">
      <c r="J32713"/>
    </row>
    <row r="32714" spans="10:10" x14ac:dyDescent="0.3">
      <c r="J32714"/>
    </row>
    <row r="32715" spans="10:10" x14ac:dyDescent="0.3">
      <c r="J32715"/>
    </row>
    <row r="32716" spans="10:10" x14ac:dyDescent="0.3">
      <c r="J32716"/>
    </row>
    <row r="32717" spans="10:10" x14ac:dyDescent="0.3">
      <c r="J32717"/>
    </row>
    <row r="32718" spans="10:10" x14ac:dyDescent="0.3">
      <c r="J32718"/>
    </row>
    <row r="32719" spans="10:10" x14ac:dyDescent="0.3">
      <c r="J32719"/>
    </row>
    <row r="32720" spans="10:10" x14ac:dyDescent="0.3">
      <c r="J32720"/>
    </row>
    <row r="32721" spans="10:10" x14ac:dyDescent="0.3">
      <c r="J32721"/>
    </row>
    <row r="32722" spans="10:10" x14ac:dyDescent="0.3">
      <c r="J32722"/>
    </row>
    <row r="32723" spans="10:10" x14ac:dyDescent="0.3">
      <c r="J32723"/>
    </row>
    <row r="32724" spans="10:10" x14ac:dyDescent="0.3">
      <c r="J32724"/>
    </row>
    <row r="32725" spans="10:10" x14ac:dyDescent="0.3">
      <c r="J32725"/>
    </row>
    <row r="32726" spans="10:10" x14ac:dyDescent="0.3">
      <c r="J32726"/>
    </row>
    <row r="32727" spans="10:10" x14ac:dyDescent="0.3">
      <c r="J32727"/>
    </row>
    <row r="32728" spans="10:10" x14ac:dyDescent="0.3">
      <c r="J32728"/>
    </row>
    <row r="32729" spans="10:10" x14ac:dyDescent="0.3">
      <c r="J32729"/>
    </row>
    <row r="32730" spans="10:10" x14ac:dyDescent="0.3">
      <c r="J32730"/>
    </row>
    <row r="32731" spans="10:10" x14ac:dyDescent="0.3">
      <c r="J32731"/>
    </row>
    <row r="32732" spans="10:10" x14ac:dyDescent="0.3">
      <c r="J32732"/>
    </row>
    <row r="32733" spans="10:10" x14ac:dyDescent="0.3">
      <c r="J32733"/>
    </row>
    <row r="32734" spans="10:10" x14ac:dyDescent="0.3">
      <c r="J32734"/>
    </row>
    <row r="32735" spans="10:10" x14ac:dyDescent="0.3">
      <c r="J32735"/>
    </row>
    <row r="32736" spans="10:10" x14ac:dyDescent="0.3">
      <c r="J32736"/>
    </row>
    <row r="32737" spans="10:10" x14ac:dyDescent="0.3">
      <c r="J32737"/>
    </row>
    <row r="32738" spans="10:10" x14ac:dyDescent="0.3">
      <c r="J32738"/>
    </row>
    <row r="32739" spans="10:10" x14ac:dyDescent="0.3">
      <c r="J32739"/>
    </row>
    <row r="32740" spans="10:10" x14ac:dyDescent="0.3">
      <c r="J32740"/>
    </row>
    <row r="32741" spans="10:10" x14ac:dyDescent="0.3">
      <c r="J32741"/>
    </row>
    <row r="32742" spans="10:10" x14ac:dyDescent="0.3">
      <c r="J32742"/>
    </row>
    <row r="32743" spans="10:10" x14ac:dyDescent="0.3">
      <c r="J32743"/>
    </row>
    <row r="32744" spans="10:10" x14ac:dyDescent="0.3">
      <c r="J32744"/>
    </row>
    <row r="32745" spans="10:10" x14ac:dyDescent="0.3">
      <c r="J32745"/>
    </row>
    <row r="32746" spans="10:10" x14ac:dyDescent="0.3">
      <c r="J32746"/>
    </row>
    <row r="32747" spans="10:10" x14ac:dyDescent="0.3">
      <c r="J32747"/>
    </row>
    <row r="32748" spans="10:10" x14ac:dyDescent="0.3">
      <c r="J32748"/>
    </row>
    <row r="32749" spans="10:10" x14ac:dyDescent="0.3">
      <c r="J32749"/>
    </row>
    <row r="32750" spans="10:10" x14ac:dyDescent="0.3">
      <c r="J32750"/>
    </row>
    <row r="32751" spans="10:10" x14ac:dyDescent="0.3">
      <c r="J32751"/>
    </row>
    <row r="32752" spans="10:10" x14ac:dyDescent="0.3">
      <c r="J32752"/>
    </row>
    <row r="32753" spans="10:10" x14ac:dyDescent="0.3">
      <c r="J32753"/>
    </row>
    <row r="32754" spans="10:10" x14ac:dyDescent="0.3">
      <c r="J32754"/>
    </row>
    <row r="32755" spans="10:10" x14ac:dyDescent="0.3">
      <c r="J32755"/>
    </row>
    <row r="32756" spans="10:10" x14ac:dyDescent="0.3">
      <c r="J32756"/>
    </row>
    <row r="32757" spans="10:10" x14ac:dyDescent="0.3">
      <c r="J32757"/>
    </row>
    <row r="32758" spans="10:10" x14ac:dyDescent="0.3">
      <c r="J32758"/>
    </row>
    <row r="32759" spans="10:10" x14ac:dyDescent="0.3">
      <c r="J32759"/>
    </row>
    <row r="32760" spans="10:10" x14ac:dyDescent="0.3">
      <c r="J32760"/>
    </row>
    <row r="32761" spans="10:10" x14ac:dyDescent="0.3">
      <c r="J32761"/>
    </row>
    <row r="32762" spans="10:10" x14ac:dyDescent="0.3">
      <c r="J32762"/>
    </row>
    <row r="32763" spans="10:10" x14ac:dyDescent="0.3">
      <c r="J32763"/>
    </row>
    <row r="32764" spans="10:10" x14ac:dyDescent="0.3">
      <c r="J32764"/>
    </row>
    <row r="32765" spans="10:10" x14ac:dyDescent="0.3">
      <c r="J32765"/>
    </row>
    <row r="32766" spans="10:10" x14ac:dyDescent="0.3">
      <c r="J32766"/>
    </row>
    <row r="32767" spans="10:10" x14ac:dyDescent="0.3">
      <c r="J32767"/>
    </row>
    <row r="32768" spans="10:10" x14ac:dyDescent="0.3">
      <c r="J32768"/>
    </row>
    <row r="32769" spans="10:10" x14ac:dyDescent="0.3">
      <c r="J32769"/>
    </row>
    <row r="32770" spans="10:10" x14ac:dyDescent="0.3">
      <c r="J32770"/>
    </row>
    <row r="32771" spans="10:10" x14ac:dyDescent="0.3">
      <c r="J32771"/>
    </row>
    <row r="32772" spans="10:10" x14ac:dyDescent="0.3">
      <c r="J32772"/>
    </row>
    <row r="32773" spans="10:10" x14ac:dyDescent="0.3">
      <c r="J32773"/>
    </row>
    <row r="32774" spans="10:10" x14ac:dyDescent="0.3">
      <c r="J32774"/>
    </row>
    <row r="32775" spans="10:10" x14ac:dyDescent="0.3">
      <c r="J32775"/>
    </row>
    <row r="32776" spans="10:10" x14ac:dyDescent="0.3">
      <c r="J32776"/>
    </row>
    <row r="32777" spans="10:10" x14ac:dyDescent="0.3">
      <c r="J32777"/>
    </row>
    <row r="32778" spans="10:10" x14ac:dyDescent="0.3">
      <c r="J32778"/>
    </row>
    <row r="32779" spans="10:10" x14ac:dyDescent="0.3">
      <c r="J32779"/>
    </row>
    <row r="32780" spans="10:10" x14ac:dyDescent="0.3">
      <c r="J32780"/>
    </row>
    <row r="32781" spans="10:10" x14ac:dyDescent="0.3">
      <c r="J32781"/>
    </row>
    <row r="32782" spans="10:10" x14ac:dyDescent="0.3">
      <c r="J32782"/>
    </row>
    <row r="32783" spans="10:10" x14ac:dyDescent="0.3">
      <c r="J32783"/>
    </row>
    <row r="32784" spans="10:10" x14ac:dyDescent="0.3">
      <c r="J32784"/>
    </row>
    <row r="32785" spans="10:10" x14ac:dyDescent="0.3">
      <c r="J32785"/>
    </row>
    <row r="32786" spans="10:10" x14ac:dyDescent="0.3">
      <c r="J32786"/>
    </row>
    <row r="32787" spans="10:10" x14ac:dyDescent="0.3">
      <c r="J32787"/>
    </row>
    <row r="32788" spans="10:10" x14ac:dyDescent="0.3">
      <c r="J32788"/>
    </row>
    <row r="32789" spans="10:10" x14ac:dyDescent="0.3">
      <c r="J32789"/>
    </row>
    <row r="32790" spans="10:10" x14ac:dyDescent="0.3">
      <c r="J32790"/>
    </row>
    <row r="32791" spans="10:10" x14ac:dyDescent="0.3">
      <c r="J32791"/>
    </row>
    <row r="32792" spans="10:10" x14ac:dyDescent="0.3">
      <c r="J32792"/>
    </row>
    <row r="32793" spans="10:10" x14ac:dyDescent="0.3">
      <c r="J32793"/>
    </row>
    <row r="32794" spans="10:10" x14ac:dyDescent="0.3">
      <c r="J32794"/>
    </row>
    <row r="32795" spans="10:10" x14ac:dyDescent="0.3">
      <c r="J32795"/>
    </row>
    <row r="32796" spans="10:10" x14ac:dyDescent="0.3">
      <c r="J32796"/>
    </row>
    <row r="32797" spans="10:10" x14ac:dyDescent="0.3">
      <c r="J32797"/>
    </row>
    <row r="32798" spans="10:10" x14ac:dyDescent="0.3">
      <c r="J32798"/>
    </row>
    <row r="32799" spans="10:10" x14ac:dyDescent="0.3">
      <c r="J32799"/>
    </row>
    <row r="32800" spans="10:10" x14ac:dyDescent="0.3">
      <c r="J32800"/>
    </row>
    <row r="32801" spans="10:10" x14ac:dyDescent="0.3">
      <c r="J32801"/>
    </row>
    <row r="32802" spans="10:10" x14ac:dyDescent="0.3">
      <c r="J32802"/>
    </row>
    <row r="32803" spans="10:10" x14ac:dyDescent="0.3">
      <c r="J32803"/>
    </row>
    <row r="32804" spans="10:10" x14ac:dyDescent="0.3">
      <c r="J32804"/>
    </row>
    <row r="32805" spans="10:10" x14ac:dyDescent="0.3">
      <c r="J32805"/>
    </row>
    <row r="32806" spans="10:10" x14ac:dyDescent="0.3">
      <c r="J32806"/>
    </row>
    <row r="32807" spans="10:10" x14ac:dyDescent="0.3">
      <c r="J32807"/>
    </row>
    <row r="32808" spans="10:10" x14ac:dyDescent="0.3">
      <c r="J32808"/>
    </row>
    <row r="32809" spans="10:10" x14ac:dyDescent="0.3">
      <c r="J32809"/>
    </row>
    <row r="32810" spans="10:10" x14ac:dyDescent="0.3">
      <c r="J32810"/>
    </row>
    <row r="32811" spans="10:10" x14ac:dyDescent="0.3">
      <c r="J32811"/>
    </row>
    <row r="32812" spans="10:10" x14ac:dyDescent="0.3">
      <c r="J32812"/>
    </row>
    <row r="32813" spans="10:10" x14ac:dyDescent="0.3">
      <c r="J32813"/>
    </row>
    <row r="32814" spans="10:10" x14ac:dyDescent="0.3">
      <c r="J32814"/>
    </row>
    <row r="32815" spans="10:10" x14ac:dyDescent="0.3">
      <c r="J32815"/>
    </row>
    <row r="32816" spans="10:10" x14ac:dyDescent="0.3">
      <c r="J32816"/>
    </row>
    <row r="32817" spans="10:10" x14ac:dyDescent="0.3">
      <c r="J32817"/>
    </row>
    <row r="32818" spans="10:10" x14ac:dyDescent="0.3">
      <c r="J32818"/>
    </row>
    <row r="32819" spans="10:10" x14ac:dyDescent="0.3">
      <c r="J32819"/>
    </row>
    <row r="32820" spans="10:10" x14ac:dyDescent="0.3">
      <c r="J32820"/>
    </row>
    <row r="32821" spans="10:10" x14ac:dyDescent="0.3">
      <c r="J32821"/>
    </row>
    <row r="32822" spans="10:10" x14ac:dyDescent="0.3">
      <c r="J32822"/>
    </row>
    <row r="32823" spans="10:10" x14ac:dyDescent="0.3">
      <c r="J32823"/>
    </row>
    <row r="32824" spans="10:10" x14ac:dyDescent="0.3">
      <c r="J32824"/>
    </row>
    <row r="32825" spans="10:10" x14ac:dyDescent="0.3">
      <c r="J32825"/>
    </row>
    <row r="32826" spans="10:10" x14ac:dyDescent="0.3">
      <c r="J32826"/>
    </row>
    <row r="32827" spans="10:10" x14ac:dyDescent="0.3">
      <c r="J32827"/>
    </row>
    <row r="32828" spans="10:10" x14ac:dyDescent="0.3">
      <c r="J32828"/>
    </row>
    <row r="32829" spans="10:10" x14ac:dyDescent="0.3">
      <c r="J32829"/>
    </row>
    <row r="32830" spans="10:10" x14ac:dyDescent="0.3">
      <c r="J32830"/>
    </row>
    <row r="32831" spans="10:10" x14ac:dyDescent="0.3">
      <c r="J32831"/>
    </row>
    <row r="32832" spans="10:10" x14ac:dyDescent="0.3">
      <c r="J32832"/>
    </row>
    <row r="32833" spans="10:10" x14ac:dyDescent="0.3">
      <c r="J32833"/>
    </row>
    <row r="32834" spans="10:10" x14ac:dyDescent="0.3">
      <c r="J32834"/>
    </row>
    <row r="32835" spans="10:10" x14ac:dyDescent="0.3">
      <c r="J32835"/>
    </row>
    <row r="32836" spans="10:10" x14ac:dyDescent="0.3">
      <c r="J32836"/>
    </row>
    <row r="32837" spans="10:10" x14ac:dyDescent="0.3">
      <c r="J32837"/>
    </row>
    <row r="32838" spans="10:10" x14ac:dyDescent="0.3">
      <c r="J32838"/>
    </row>
    <row r="32839" spans="10:10" x14ac:dyDescent="0.3">
      <c r="J32839"/>
    </row>
    <row r="32840" spans="10:10" x14ac:dyDescent="0.3">
      <c r="J32840"/>
    </row>
    <row r="32841" spans="10:10" x14ac:dyDescent="0.3">
      <c r="J32841"/>
    </row>
    <row r="32842" spans="10:10" x14ac:dyDescent="0.3">
      <c r="J32842"/>
    </row>
    <row r="32843" spans="10:10" x14ac:dyDescent="0.3">
      <c r="J32843"/>
    </row>
    <row r="32844" spans="10:10" x14ac:dyDescent="0.3">
      <c r="J32844"/>
    </row>
    <row r="32845" spans="10:10" x14ac:dyDescent="0.3">
      <c r="J32845"/>
    </row>
    <row r="32846" spans="10:10" x14ac:dyDescent="0.3">
      <c r="J32846"/>
    </row>
    <row r="32847" spans="10:10" x14ac:dyDescent="0.3">
      <c r="J32847"/>
    </row>
    <row r="32848" spans="10:10" x14ac:dyDescent="0.3">
      <c r="J32848"/>
    </row>
    <row r="32849" spans="10:10" x14ac:dyDescent="0.3">
      <c r="J32849"/>
    </row>
    <row r="32850" spans="10:10" x14ac:dyDescent="0.3">
      <c r="J32850"/>
    </row>
    <row r="32851" spans="10:10" x14ac:dyDescent="0.3">
      <c r="J32851"/>
    </row>
    <row r="32852" spans="10:10" x14ac:dyDescent="0.3">
      <c r="J32852"/>
    </row>
    <row r="32853" spans="10:10" x14ac:dyDescent="0.3">
      <c r="J32853"/>
    </row>
    <row r="32854" spans="10:10" x14ac:dyDescent="0.3">
      <c r="J32854"/>
    </row>
    <row r="32855" spans="10:10" x14ac:dyDescent="0.3">
      <c r="J32855"/>
    </row>
    <row r="32856" spans="10:10" x14ac:dyDescent="0.3">
      <c r="J32856"/>
    </row>
    <row r="32857" spans="10:10" x14ac:dyDescent="0.3">
      <c r="J32857"/>
    </row>
    <row r="32858" spans="10:10" x14ac:dyDescent="0.3">
      <c r="J32858"/>
    </row>
    <row r="32859" spans="10:10" x14ac:dyDescent="0.3">
      <c r="J32859"/>
    </row>
    <row r="32860" spans="10:10" x14ac:dyDescent="0.3">
      <c r="J32860"/>
    </row>
    <row r="32861" spans="10:10" x14ac:dyDescent="0.3">
      <c r="J32861"/>
    </row>
    <row r="32862" spans="10:10" x14ac:dyDescent="0.3">
      <c r="J32862"/>
    </row>
    <row r="32863" spans="10:10" x14ac:dyDescent="0.3">
      <c r="J32863"/>
    </row>
    <row r="32864" spans="10:10" x14ac:dyDescent="0.3">
      <c r="J32864"/>
    </row>
    <row r="32865" spans="10:10" x14ac:dyDescent="0.3">
      <c r="J32865"/>
    </row>
    <row r="32866" spans="10:10" x14ac:dyDescent="0.3">
      <c r="J32866"/>
    </row>
    <row r="32867" spans="10:10" x14ac:dyDescent="0.3">
      <c r="J32867"/>
    </row>
    <row r="32868" spans="10:10" x14ac:dyDescent="0.3">
      <c r="J32868"/>
    </row>
    <row r="32869" spans="10:10" x14ac:dyDescent="0.3">
      <c r="J32869"/>
    </row>
    <row r="32870" spans="10:10" x14ac:dyDescent="0.3">
      <c r="J32870"/>
    </row>
    <row r="32871" spans="10:10" x14ac:dyDescent="0.3">
      <c r="J32871"/>
    </row>
    <row r="32872" spans="10:10" x14ac:dyDescent="0.3">
      <c r="J32872"/>
    </row>
    <row r="32873" spans="10:10" x14ac:dyDescent="0.3">
      <c r="J32873"/>
    </row>
    <row r="32874" spans="10:10" x14ac:dyDescent="0.3">
      <c r="J32874"/>
    </row>
    <row r="32875" spans="10:10" x14ac:dyDescent="0.3">
      <c r="J32875"/>
    </row>
    <row r="32876" spans="10:10" x14ac:dyDescent="0.3">
      <c r="J32876"/>
    </row>
    <row r="32877" spans="10:10" x14ac:dyDescent="0.3">
      <c r="J32877"/>
    </row>
    <row r="32878" spans="10:10" x14ac:dyDescent="0.3">
      <c r="J32878"/>
    </row>
    <row r="32879" spans="10:10" x14ac:dyDescent="0.3">
      <c r="J32879"/>
    </row>
    <row r="32880" spans="10:10" x14ac:dyDescent="0.3">
      <c r="J32880"/>
    </row>
    <row r="32881" spans="10:10" x14ac:dyDescent="0.3">
      <c r="J32881"/>
    </row>
    <row r="32882" spans="10:10" x14ac:dyDescent="0.3">
      <c r="J32882"/>
    </row>
    <row r="32883" spans="10:10" x14ac:dyDescent="0.3">
      <c r="J32883"/>
    </row>
    <row r="32884" spans="10:10" x14ac:dyDescent="0.3">
      <c r="J32884"/>
    </row>
    <row r="32885" spans="10:10" x14ac:dyDescent="0.3">
      <c r="J32885"/>
    </row>
    <row r="32886" spans="10:10" x14ac:dyDescent="0.3">
      <c r="J32886"/>
    </row>
    <row r="32887" spans="10:10" x14ac:dyDescent="0.3">
      <c r="J32887"/>
    </row>
    <row r="32888" spans="10:10" x14ac:dyDescent="0.3">
      <c r="J32888"/>
    </row>
    <row r="32889" spans="10:10" x14ac:dyDescent="0.3">
      <c r="J32889"/>
    </row>
    <row r="32890" spans="10:10" x14ac:dyDescent="0.3">
      <c r="J32890"/>
    </row>
    <row r="32891" spans="10:10" x14ac:dyDescent="0.3">
      <c r="J32891"/>
    </row>
    <row r="32892" spans="10:10" x14ac:dyDescent="0.3">
      <c r="J32892"/>
    </row>
    <row r="32893" spans="10:10" x14ac:dyDescent="0.3">
      <c r="J32893"/>
    </row>
    <row r="32894" spans="10:10" x14ac:dyDescent="0.3">
      <c r="J32894"/>
    </row>
    <row r="32895" spans="10:10" x14ac:dyDescent="0.3">
      <c r="J32895"/>
    </row>
    <row r="32896" spans="10:10" x14ac:dyDescent="0.3">
      <c r="J32896"/>
    </row>
    <row r="32897" spans="10:10" x14ac:dyDescent="0.3">
      <c r="J32897"/>
    </row>
    <row r="32898" spans="10:10" x14ac:dyDescent="0.3">
      <c r="J32898"/>
    </row>
    <row r="32899" spans="10:10" x14ac:dyDescent="0.3">
      <c r="J32899"/>
    </row>
    <row r="32900" spans="10:10" x14ac:dyDescent="0.3">
      <c r="J32900"/>
    </row>
    <row r="32901" spans="10:10" x14ac:dyDescent="0.3">
      <c r="J32901"/>
    </row>
    <row r="32902" spans="10:10" x14ac:dyDescent="0.3">
      <c r="J32902"/>
    </row>
    <row r="32903" spans="10:10" x14ac:dyDescent="0.3">
      <c r="J32903"/>
    </row>
    <row r="32904" spans="10:10" x14ac:dyDescent="0.3">
      <c r="J32904"/>
    </row>
    <row r="32905" spans="10:10" x14ac:dyDescent="0.3">
      <c r="J32905"/>
    </row>
    <row r="32906" spans="10:10" x14ac:dyDescent="0.3">
      <c r="J32906"/>
    </row>
    <row r="32907" spans="10:10" x14ac:dyDescent="0.3">
      <c r="J32907"/>
    </row>
    <row r="32908" spans="10:10" x14ac:dyDescent="0.3">
      <c r="J32908"/>
    </row>
    <row r="32909" spans="10:10" x14ac:dyDescent="0.3">
      <c r="J32909"/>
    </row>
    <row r="32910" spans="10:10" x14ac:dyDescent="0.3">
      <c r="J32910"/>
    </row>
    <row r="32911" spans="10:10" x14ac:dyDescent="0.3">
      <c r="J32911"/>
    </row>
    <row r="32912" spans="10:10" x14ac:dyDescent="0.3">
      <c r="J32912"/>
    </row>
    <row r="32913" spans="10:10" x14ac:dyDescent="0.3">
      <c r="J32913"/>
    </row>
    <row r="32914" spans="10:10" x14ac:dyDescent="0.3">
      <c r="J32914"/>
    </row>
    <row r="32915" spans="10:10" x14ac:dyDescent="0.3">
      <c r="J32915"/>
    </row>
    <row r="32916" spans="10:10" x14ac:dyDescent="0.3">
      <c r="J32916"/>
    </row>
    <row r="32917" spans="10:10" x14ac:dyDescent="0.3">
      <c r="J32917"/>
    </row>
    <row r="32918" spans="10:10" x14ac:dyDescent="0.3">
      <c r="J32918"/>
    </row>
    <row r="32919" spans="10:10" x14ac:dyDescent="0.3">
      <c r="J32919"/>
    </row>
    <row r="32920" spans="10:10" x14ac:dyDescent="0.3">
      <c r="J32920"/>
    </row>
    <row r="32921" spans="10:10" x14ac:dyDescent="0.3">
      <c r="J32921"/>
    </row>
    <row r="32922" spans="10:10" x14ac:dyDescent="0.3">
      <c r="J32922"/>
    </row>
    <row r="32923" spans="10:10" x14ac:dyDescent="0.3">
      <c r="J32923"/>
    </row>
    <row r="32924" spans="10:10" x14ac:dyDescent="0.3">
      <c r="J32924"/>
    </row>
    <row r="32925" spans="10:10" x14ac:dyDescent="0.3">
      <c r="J32925"/>
    </row>
    <row r="32926" spans="10:10" x14ac:dyDescent="0.3">
      <c r="J32926"/>
    </row>
    <row r="32927" spans="10:10" x14ac:dyDescent="0.3">
      <c r="J32927"/>
    </row>
    <row r="32928" spans="10:10" x14ac:dyDescent="0.3">
      <c r="J32928"/>
    </row>
    <row r="32929" spans="10:10" x14ac:dyDescent="0.3">
      <c r="J32929"/>
    </row>
    <row r="32930" spans="10:10" x14ac:dyDescent="0.3">
      <c r="J32930"/>
    </row>
    <row r="32931" spans="10:10" x14ac:dyDescent="0.3">
      <c r="J32931"/>
    </row>
    <row r="32932" spans="10:10" x14ac:dyDescent="0.3">
      <c r="J32932"/>
    </row>
    <row r="32933" spans="10:10" x14ac:dyDescent="0.3">
      <c r="J32933"/>
    </row>
    <row r="32934" spans="10:10" x14ac:dyDescent="0.3">
      <c r="J32934"/>
    </row>
    <row r="32935" spans="10:10" x14ac:dyDescent="0.3">
      <c r="J32935"/>
    </row>
    <row r="32936" spans="10:10" x14ac:dyDescent="0.3">
      <c r="J32936"/>
    </row>
    <row r="32937" spans="10:10" x14ac:dyDescent="0.3">
      <c r="J32937"/>
    </row>
    <row r="32938" spans="10:10" x14ac:dyDescent="0.3">
      <c r="J32938"/>
    </row>
    <row r="32939" spans="10:10" x14ac:dyDescent="0.3">
      <c r="J32939"/>
    </row>
    <row r="32940" spans="10:10" x14ac:dyDescent="0.3">
      <c r="J32940"/>
    </row>
    <row r="32941" spans="10:10" x14ac:dyDescent="0.3">
      <c r="J32941"/>
    </row>
    <row r="32942" spans="10:10" x14ac:dyDescent="0.3">
      <c r="J32942"/>
    </row>
    <row r="32943" spans="10:10" x14ac:dyDescent="0.3">
      <c r="J32943"/>
    </row>
    <row r="32944" spans="10:10" x14ac:dyDescent="0.3">
      <c r="J32944"/>
    </row>
    <row r="32945" spans="10:10" x14ac:dyDescent="0.3">
      <c r="J32945"/>
    </row>
    <row r="32946" spans="10:10" x14ac:dyDescent="0.3">
      <c r="J32946"/>
    </row>
    <row r="32947" spans="10:10" x14ac:dyDescent="0.3">
      <c r="J32947"/>
    </row>
    <row r="32948" spans="10:10" x14ac:dyDescent="0.3">
      <c r="J32948"/>
    </row>
    <row r="32949" spans="10:10" x14ac:dyDescent="0.3">
      <c r="J32949"/>
    </row>
    <row r="32950" spans="10:10" x14ac:dyDescent="0.3">
      <c r="J32950"/>
    </row>
    <row r="32951" spans="10:10" x14ac:dyDescent="0.3">
      <c r="J32951"/>
    </row>
    <row r="32952" spans="10:10" x14ac:dyDescent="0.3">
      <c r="J32952"/>
    </row>
    <row r="32953" spans="10:10" x14ac:dyDescent="0.3">
      <c r="J32953"/>
    </row>
    <row r="32954" spans="10:10" x14ac:dyDescent="0.3">
      <c r="J32954"/>
    </row>
    <row r="32955" spans="10:10" x14ac:dyDescent="0.3">
      <c r="J32955"/>
    </row>
    <row r="32956" spans="10:10" x14ac:dyDescent="0.3">
      <c r="J32956"/>
    </row>
    <row r="32957" spans="10:10" x14ac:dyDescent="0.3">
      <c r="J32957"/>
    </row>
    <row r="32958" spans="10:10" x14ac:dyDescent="0.3">
      <c r="J32958"/>
    </row>
    <row r="32959" spans="10:10" x14ac:dyDescent="0.3">
      <c r="J32959"/>
    </row>
    <row r="32960" spans="10:10" x14ac:dyDescent="0.3">
      <c r="J32960"/>
    </row>
    <row r="32961" spans="10:10" x14ac:dyDescent="0.3">
      <c r="J32961"/>
    </row>
    <row r="32962" spans="10:10" x14ac:dyDescent="0.3">
      <c r="J32962"/>
    </row>
    <row r="32963" spans="10:10" x14ac:dyDescent="0.3">
      <c r="J32963"/>
    </row>
    <row r="32964" spans="10:10" x14ac:dyDescent="0.3">
      <c r="J32964"/>
    </row>
    <row r="32965" spans="10:10" x14ac:dyDescent="0.3">
      <c r="J32965"/>
    </row>
    <row r="32966" spans="10:10" x14ac:dyDescent="0.3">
      <c r="J32966"/>
    </row>
    <row r="32967" spans="10:10" x14ac:dyDescent="0.3">
      <c r="J32967"/>
    </row>
    <row r="32968" spans="10:10" x14ac:dyDescent="0.3">
      <c r="J32968"/>
    </row>
    <row r="32969" spans="10:10" x14ac:dyDescent="0.3">
      <c r="J32969"/>
    </row>
    <row r="32970" spans="10:10" x14ac:dyDescent="0.3">
      <c r="J32970"/>
    </row>
    <row r="32971" spans="10:10" x14ac:dyDescent="0.3">
      <c r="J32971"/>
    </row>
    <row r="32972" spans="10:10" x14ac:dyDescent="0.3">
      <c r="J32972"/>
    </row>
    <row r="32973" spans="10:10" x14ac:dyDescent="0.3">
      <c r="J32973"/>
    </row>
    <row r="32974" spans="10:10" x14ac:dyDescent="0.3">
      <c r="J32974"/>
    </row>
    <row r="32975" spans="10:10" x14ac:dyDescent="0.3">
      <c r="J32975"/>
    </row>
    <row r="32976" spans="10:10" x14ac:dyDescent="0.3">
      <c r="J32976"/>
    </row>
    <row r="32977" spans="10:10" x14ac:dyDescent="0.3">
      <c r="J32977"/>
    </row>
    <row r="32978" spans="10:10" x14ac:dyDescent="0.3">
      <c r="J32978"/>
    </row>
    <row r="32979" spans="10:10" x14ac:dyDescent="0.3">
      <c r="J32979"/>
    </row>
    <row r="32980" spans="10:10" x14ac:dyDescent="0.3">
      <c r="J32980"/>
    </row>
    <row r="32981" spans="10:10" x14ac:dyDescent="0.3">
      <c r="J32981"/>
    </row>
    <row r="32982" spans="10:10" x14ac:dyDescent="0.3">
      <c r="J32982"/>
    </row>
    <row r="32983" spans="10:10" x14ac:dyDescent="0.3">
      <c r="J32983"/>
    </row>
    <row r="32984" spans="10:10" x14ac:dyDescent="0.3">
      <c r="J32984"/>
    </row>
    <row r="32985" spans="10:10" x14ac:dyDescent="0.3">
      <c r="J32985"/>
    </row>
    <row r="32986" spans="10:10" x14ac:dyDescent="0.3">
      <c r="J32986"/>
    </row>
    <row r="32987" spans="10:10" x14ac:dyDescent="0.3">
      <c r="J32987"/>
    </row>
    <row r="32988" spans="10:10" x14ac:dyDescent="0.3">
      <c r="J32988"/>
    </row>
    <row r="32989" spans="10:10" x14ac:dyDescent="0.3">
      <c r="J32989"/>
    </row>
    <row r="32990" spans="10:10" x14ac:dyDescent="0.3">
      <c r="J32990"/>
    </row>
    <row r="32991" spans="10:10" x14ac:dyDescent="0.3">
      <c r="J32991"/>
    </row>
    <row r="32992" spans="10:10" x14ac:dyDescent="0.3">
      <c r="J32992"/>
    </row>
    <row r="32993" spans="10:10" x14ac:dyDescent="0.3">
      <c r="J32993"/>
    </row>
    <row r="32994" spans="10:10" x14ac:dyDescent="0.3">
      <c r="J32994"/>
    </row>
    <row r="32995" spans="10:10" x14ac:dyDescent="0.3">
      <c r="J32995"/>
    </row>
    <row r="32996" spans="10:10" x14ac:dyDescent="0.3">
      <c r="J32996"/>
    </row>
    <row r="32997" spans="10:10" x14ac:dyDescent="0.3">
      <c r="J32997"/>
    </row>
    <row r="32998" spans="10:10" x14ac:dyDescent="0.3">
      <c r="J32998"/>
    </row>
    <row r="32999" spans="10:10" x14ac:dyDescent="0.3">
      <c r="J32999"/>
    </row>
    <row r="33000" spans="10:10" x14ac:dyDescent="0.3">
      <c r="J33000"/>
    </row>
    <row r="33001" spans="10:10" x14ac:dyDescent="0.3">
      <c r="J33001"/>
    </row>
    <row r="33002" spans="10:10" x14ac:dyDescent="0.3">
      <c r="J33002"/>
    </row>
    <row r="33003" spans="10:10" x14ac:dyDescent="0.3">
      <c r="J33003"/>
    </row>
    <row r="33004" spans="10:10" x14ac:dyDescent="0.3">
      <c r="J33004"/>
    </row>
    <row r="33005" spans="10:10" x14ac:dyDescent="0.3">
      <c r="J33005"/>
    </row>
    <row r="33006" spans="10:10" x14ac:dyDescent="0.3">
      <c r="J33006"/>
    </row>
    <row r="33007" spans="10:10" x14ac:dyDescent="0.3">
      <c r="J33007"/>
    </row>
    <row r="33008" spans="10:10" x14ac:dyDescent="0.3">
      <c r="J33008"/>
    </row>
    <row r="33009" spans="10:10" x14ac:dyDescent="0.3">
      <c r="J33009"/>
    </row>
    <row r="33010" spans="10:10" x14ac:dyDescent="0.3">
      <c r="J33010"/>
    </row>
    <row r="33011" spans="10:10" x14ac:dyDescent="0.3">
      <c r="J33011"/>
    </row>
    <row r="33012" spans="10:10" x14ac:dyDescent="0.3">
      <c r="J33012"/>
    </row>
    <row r="33013" spans="10:10" x14ac:dyDescent="0.3">
      <c r="J33013"/>
    </row>
    <row r="33014" spans="10:10" x14ac:dyDescent="0.3">
      <c r="J33014"/>
    </row>
    <row r="33015" spans="10:10" x14ac:dyDescent="0.3">
      <c r="J33015"/>
    </row>
    <row r="33016" spans="10:10" x14ac:dyDescent="0.3">
      <c r="J33016"/>
    </row>
    <row r="33017" spans="10:10" x14ac:dyDescent="0.3">
      <c r="J33017"/>
    </row>
    <row r="33018" spans="10:10" x14ac:dyDescent="0.3">
      <c r="J33018"/>
    </row>
    <row r="33019" spans="10:10" x14ac:dyDescent="0.3">
      <c r="J33019"/>
    </row>
    <row r="33020" spans="10:10" x14ac:dyDescent="0.3">
      <c r="J33020"/>
    </row>
    <row r="33021" spans="10:10" x14ac:dyDescent="0.3">
      <c r="J33021"/>
    </row>
    <row r="33022" spans="10:10" x14ac:dyDescent="0.3">
      <c r="J33022"/>
    </row>
    <row r="33023" spans="10:10" x14ac:dyDescent="0.3">
      <c r="J33023"/>
    </row>
    <row r="33024" spans="10:10" x14ac:dyDescent="0.3">
      <c r="J33024"/>
    </row>
    <row r="33025" spans="10:10" x14ac:dyDescent="0.3">
      <c r="J33025"/>
    </row>
    <row r="33026" spans="10:10" x14ac:dyDescent="0.3">
      <c r="J33026"/>
    </row>
    <row r="33027" spans="10:10" x14ac:dyDescent="0.3">
      <c r="J33027"/>
    </row>
    <row r="33028" spans="10:10" x14ac:dyDescent="0.3">
      <c r="J33028"/>
    </row>
    <row r="33029" spans="10:10" x14ac:dyDescent="0.3">
      <c r="J33029"/>
    </row>
    <row r="33030" spans="10:10" x14ac:dyDescent="0.3">
      <c r="J33030"/>
    </row>
    <row r="33031" spans="10:10" x14ac:dyDescent="0.3">
      <c r="J33031"/>
    </row>
    <row r="33032" spans="10:10" x14ac:dyDescent="0.3">
      <c r="J33032"/>
    </row>
    <row r="33033" spans="10:10" x14ac:dyDescent="0.3">
      <c r="J33033"/>
    </row>
    <row r="33034" spans="10:10" x14ac:dyDescent="0.3">
      <c r="J33034"/>
    </row>
    <row r="33035" spans="10:10" x14ac:dyDescent="0.3">
      <c r="J33035"/>
    </row>
    <row r="33036" spans="10:10" x14ac:dyDescent="0.3">
      <c r="J33036"/>
    </row>
    <row r="33037" spans="10:10" x14ac:dyDescent="0.3">
      <c r="J33037"/>
    </row>
    <row r="33038" spans="10:10" x14ac:dyDescent="0.3">
      <c r="J33038"/>
    </row>
    <row r="33039" spans="10:10" x14ac:dyDescent="0.3">
      <c r="J33039"/>
    </row>
    <row r="33040" spans="10:10" x14ac:dyDescent="0.3">
      <c r="J33040"/>
    </row>
    <row r="33041" spans="10:10" x14ac:dyDescent="0.3">
      <c r="J33041"/>
    </row>
    <row r="33042" spans="10:10" x14ac:dyDescent="0.3">
      <c r="J33042"/>
    </row>
    <row r="33043" spans="10:10" x14ac:dyDescent="0.3">
      <c r="J33043"/>
    </row>
    <row r="33044" spans="10:10" x14ac:dyDescent="0.3">
      <c r="J33044"/>
    </row>
    <row r="33045" spans="10:10" x14ac:dyDescent="0.3">
      <c r="J33045"/>
    </row>
    <row r="33046" spans="10:10" x14ac:dyDescent="0.3">
      <c r="J33046"/>
    </row>
    <row r="33047" spans="10:10" x14ac:dyDescent="0.3">
      <c r="J33047"/>
    </row>
    <row r="33048" spans="10:10" x14ac:dyDescent="0.3">
      <c r="J33048"/>
    </row>
    <row r="33049" spans="10:10" x14ac:dyDescent="0.3">
      <c r="J33049"/>
    </row>
    <row r="33050" spans="10:10" x14ac:dyDescent="0.3">
      <c r="J33050"/>
    </row>
    <row r="33051" spans="10:10" x14ac:dyDescent="0.3">
      <c r="J33051"/>
    </row>
    <row r="33052" spans="10:10" x14ac:dyDescent="0.3">
      <c r="J33052"/>
    </row>
    <row r="33053" spans="10:10" x14ac:dyDescent="0.3">
      <c r="J33053"/>
    </row>
    <row r="33054" spans="10:10" x14ac:dyDescent="0.3">
      <c r="J33054"/>
    </row>
    <row r="33055" spans="10:10" x14ac:dyDescent="0.3">
      <c r="J33055"/>
    </row>
    <row r="33056" spans="10:10" x14ac:dyDescent="0.3">
      <c r="J33056"/>
    </row>
    <row r="33057" spans="10:10" x14ac:dyDescent="0.3">
      <c r="J33057"/>
    </row>
    <row r="33058" spans="10:10" x14ac:dyDescent="0.3">
      <c r="J33058"/>
    </row>
    <row r="33059" spans="10:10" x14ac:dyDescent="0.3">
      <c r="J33059"/>
    </row>
    <row r="33060" spans="10:10" x14ac:dyDescent="0.3">
      <c r="J33060"/>
    </row>
    <row r="33061" spans="10:10" x14ac:dyDescent="0.3">
      <c r="J33061"/>
    </row>
    <row r="33062" spans="10:10" x14ac:dyDescent="0.3">
      <c r="J33062"/>
    </row>
    <row r="33063" spans="10:10" x14ac:dyDescent="0.3">
      <c r="J33063"/>
    </row>
    <row r="33064" spans="10:10" x14ac:dyDescent="0.3">
      <c r="J33064"/>
    </row>
    <row r="33065" spans="10:10" x14ac:dyDescent="0.3">
      <c r="J33065"/>
    </row>
    <row r="33066" spans="10:10" x14ac:dyDescent="0.3">
      <c r="J33066"/>
    </row>
    <row r="33067" spans="10:10" x14ac:dyDescent="0.3">
      <c r="J33067"/>
    </row>
    <row r="33068" spans="10:10" x14ac:dyDescent="0.3">
      <c r="J33068"/>
    </row>
    <row r="33069" spans="10:10" x14ac:dyDescent="0.3">
      <c r="J33069"/>
    </row>
    <row r="33070" spans="10:10" x14ac:dyDescent="0.3">
      <c r="J33070"/>
    </row>
    <row r="33071" spans="10:10" x14ac:dyDescent="0.3">
      <c r="J33071"/>
    </row>
    <row r="33072" spans="10:10" x14ac:dyDescent="0.3">
      <c r="J33072"/>
    </row>
    <row r="33073" spans="10:10" x14ac:dyDescent="0.3">
      <c r="J33073"/>
    </row>
    <row r="33074" spans="10:10" x14ac:dyDescent="0.3">
      <c r="J33074"/>
    </row>
    <row r="33075" spans="10:10" x14ac:dyDescent="0.3">
      <c r="J33075"/>
    </row>
    <row r="33076" spans="10:10" x14ac:dyDescent="0.3">
      <c r="J33076"/>
    </row>
    <row r="33077" spans="10:10" x14ac:dyDescent="0.3">
      <c r="J33077"/>
    </row>
    <row r="33078" spans="10:10" x14ac:dyDescent="0.3">
      <c r="J33078"/>
    </row>
    <row r="33079" spans="10:10" x14ac:dyDescent="0.3">
      <c r="J33079"/>
    </row>
    <row r="33080" spans="10:10" x14ac:dyDescent="0.3">
      <c r="J33080"/>
    </row>
    <row r="33081" spans="10:10" x14ac:dyDescent="0.3">
      <c r="J33081"/>
    </row>
    <row r="33082" spans="10:10" x14ac:dyDescent="0.3">
      <c r="J33082"/>
    </row>
    <row r="33083" spans="10:10" x14ac:dyDescent="0.3">
      <c r="J33083"/>
    </row>
    <row r="33084" spans="10:10" x14ac:dyDescent="0.3">
      <c r="J33084"/>
    </row>
    <row r="33085" spans="10:10" x14ac:dyDescent="0.3">
      <c r="J33085"/>
    </row>
    <row r="33086" spans="10:10" x14ac:dyDescent="0.3">
      <c r="J33086"/>
    </row>
    <row r="33087" spans="10:10" x14ac:dyDescent="0.3">
      <c r="J33087"/>
    </row>
    <row r="33088" spans="10:10" x14ac:dyDescent="0.3">
      <c r="J33088"/>
    </row>
    <row r="33089" spans="10:10" x14ac:dyDescent="0.3">
      <c r="J33089"/>
    </row>
    <row r="33090" spans="10:10" x14ac:dyDescent="0.3">
      <c r="J33090"/>
    </row>
    <row r="33091" spans="10:10" x14ac:dyDescent="0.3">
      <c r="J33091"/>
    </row>
    <row r="33092" spans="10:10" x14ac:dyDescent="0.3">
      <c r="J33092"/>
    </row>
    <row r="33093" spans="10:10" x14ac:dyDescent="0.3">
      <c r="J33093"/>
    </row>
    <row r="33094" spans="10:10" x14ac:dyDescent="0.3">
      <c r="J33094"/>
    </row>
    <row r="33095" spans="10:10" x14ac:dyDescent="0.3">
      <c r="J33095"/>
    </row>
    <row r="33096" spans="10:10" x14ac:dyDescent="0.3">
      <c r="J33096"/>
    </row>
    <row r="33097" spans="10:10" x14ac:dyDescent="0.3">
      <c r="J33097"/>
    </row>
    <row r="33098" spans="10:10" x14ac:dyDescent="0.3">
      <c r="J33098"/>
    </row>
    <row r="33099" spans="10:10" x14ac:dyDescent="0.3">
      <c r="J33099"/>
    </row>
    <row r="33100" spans="10:10" x14ac:dyDescent="0.3">
      <c r="J33100"/>
    </row>
    <row r="33101" spans="10:10" x14ac:dyDescent="0.3">
      <c r="J33101"/>
    </row>
    <row r="33102" spans="10:10" x14ac:dyDescent="0.3">
      <c r="J33102"/>
    </row>
    <row r="33103" spans="10:10" x14ac:dyDescent="0.3">
      <c r="J33103"/>
    </row>
    <row r="33104" spans="10:10" x14ac:dyDescent="0.3">
      <c r="J33104"/>
    </row>
    <row r="33105" spans="10:10" x14ac:dyDescent="0.3">
      <c r="J33105"/>
    </row>
    <row r="33106" spans="10:10" x14ac:dyDescent="0.3">
      <c r="J33106"/>
    </row>
    <row r="33107" spans="10:10" x14ac:dyDescent="0.3">
      <c r="J33107"/>
    </row>
    <row r="33108" spans="10:10" x14ac:dyDescent="0.3">
      <c r="J33108"/>
    </row>
    <row r="33109" spans="10:10" x14ac:dyDescent="0.3">
      <c r="J33109"/>
    </row>
    <row r="33110" spans="10:10" x14ac:dyDescent="0.3">
      <c r="J33110"/>
    </row>
    <row r="33111" spans="10:10" x14ac:dyDescent="0.3">
      <c r="J33111"/>
    </row>
    <row r="33112" spans="10:10" x14ac:dyDescent="0.3">
      <c r="J33112"/>
    </row>
    <row r="33113" spans="10:10" x14ac:dyDescent="0.3">
      <c r="J33113"/>
    </row>
    <row r="33114" spans="10:10" x14ac:dyDescent="0.3">
      <c r="J33114"/>
    </row>
    <row r="33115" spans="10:10" x14ac:dyDescent="0.3">
      <c r="J33115"/>
    </row>
    <row r="33116" spans="10:10" x14ac:dyDescent="0.3">
      <c r="J33116"/>
    </row>
    <row r="33117" spans="10:10" x14ac:dyDescent="0.3">
      <c r="J33117"/>
    </row>
    <row r="33118" spans="10:10" x14ac:dyDescent="0.3">
      <c r="J33118"/>
    </row>
    <row r="33119" spans="10:10" x14ac:dyDescent="0.3">
      <c r="J33119"/>
    </row>
    <row r="33120" spans="10:10" x14ac:dyDescent="0.3">
      <c r="J33120"/>
    </row>
    <row r="33121" spans="10:10" x14ac:dyDescent="0.3">
      <c r="J33121"/>
    </row>
    <row r="33122" spans="10:10" x14ac:dyDescent="0.3">
      <c r="J33122"/>
    </row>
    <row r="33123" spans="10:10" x14ac:dyDescent="0.3">
      <c r="J33123"/>
    </row>
    <row r="33124" spans="10:10" x14ac:dyDescent="0.3">
      <c r="J33124"/>
    </row>
    <row r="33125" spans="10:10" x14ac:dyDescent="0.3">
      <c r="J33125"/>
    </row>
    <row r="33126" spans="10:10" x14ac:dyDescent="0.3">
      <c r="J33126"/>
    </row>
    <row r="33127" spans="10:10" x14ac:dyDescent="0.3">
      <c r="J33127"/>
    </row>
    <row r="33128" spans="10:10" x14ac:dyDescent="0.3">
      <c r="J33128"/>
    </row>
    <row r="33129" spans="10:10" x14ac:dyDescent="0.3">
      <c r="J33129"/>
    </row>
    <row r="33130" spans="10:10" x14ac:dyDescent="0.3">
      <c r="J33130"/>
    </row>
    <row r="33131" spans="10:10" x14ac:dyDescent="0.3">
      <c r="J33131"/>
    </row>
    <row r="33132" spans="10:10" x14ac:dyDescent="0.3">
      <c r="J33132"/>
    </row>
    <row r="33133" spans="10:10" x14ac:dyDescent="0.3">
      <c r="J33133"/>
    </row>
    <row r="33134" spans="10:10" x14ac:dyDescent="0.3">
      <c r="J33134"/>
    </row>
    <row r="33135" spans="10:10" x14ac:dyDescent="0.3">
      <c r="J33135"/>
    </row>
    <row r="33136" spans="10:10" x14ac:dyDescent="0.3">
      <c r="J33136"/>
    </row>
    <row r="33137" spans="10:10" x14ac:dyDescent="0.3">
      <c r="J33137"/>
    </row>
    <row r="33138" spans="10:10" x14ac:dyDescent="0.3">
      <c r="J33138"/>
    </row>
    <row r="33139" spans="10:10" x14ac:dyDescent="0.3">
      <c r="J33139"/>
    </row>
    <row r="33140" spans="10:10" x14ac:dyDescent="0.3">
      <c r="J33140"/>
    </row>
    <row r="33141" spans="10:10" x14ac:dyDescent="0.3">
      <c r="J33141"/>
    </row>
    <row r="33142" spans="10:10" x14ac:dyDescent="0.3">
      <c r="J33142"/>
    </row>
    <row r="33143" spans="10:10" x14ac:dyDescent="0.3">
      <c r="J33143"/>
    </row>
    <row r="33144" spans="10:10" x14ac:dyDescent="0.3">
      <c r="J33144"/>
    </row>
    <row r="33145" spans="10:10" x14ac:dyDescent="0.3">
      <c r="J33145"/>
    </row>
    <row r="33146" spans="10:10" x14ac:dyDescent="0.3">
      <c r="J33146"/>
    </row>
    <row r="33147" spans="10:10" x14ac:dyDescent="0.3">
      <c r="J33147"/>
    </row>
    <row r="33148" spans="10:10" x14ac:dyDescent="0.3">
      <c r="J33148"/>
    </row>
    <row r="33149" spans="10:10" x14ac:dyDescent="0.3">
      <c r="J33149"/>
    </row>
    <row r="33150" spans="10:10" x14ac:dyDescent="0.3">
      <c r="J33150"/>
    </row>
    <row r="33151" spans="10:10" x14ac:dyDescent="0.3">
      <c r="J33151"/>
    </row>
    <row r="33152" spans="10:10" x14ac:dyDescent="0.3">
      <c r="J33152"/>
    </row>
    <row r="33153" spans="10:10" x14ac:dyDescent="0.3">
      <c r="J33153"/>
    </row>
    <row r="33154" spans="10:10" x14ac:dyDescent="0.3">
      <c r="J33154"/>
    </row>
    <row r="33155" spans="10:10" x14ac:dyDescent="0.3">
      <c r="J33155"/>
    </row>
    <row r="33156" spans="10:10" x14ac:dyDescent="0.3">
      <c r="J33156"/>
    </row>
    <row r="33157" spans="10:10" x14ac:dyDescent="0.3">
      <c r="J33157"/>
    </row>
    <row r="33158" spans="10:10" x14ac:dyDescent="0.3">
      <c r="J33158"/>
    </row>
    <row r="33159" spans="10:10" x14ac:dyDescent="0.3">
      <c r="J33159"/>
    </row>
    <row r="33160" spans="10:10" x14ac:dyDescent="0.3">
      <c r="J33160"/>
    </row>
    <row r="33161" spans="10:10" x14ac:dyDescent="0.3">
      <c r="J33161"/>
    </row>
    <row r="33162" spans="10:10" x14ac:dyDescent="0.3">
      <c r="J33162"/>
    </row>
    <row r="33163" spans="10:10" x14ac:dyDescent="0.3">
      <c r="J33163"/>
    </row>
    <row r="33164" spans="10:10" x14ac:dyDescent="0.3">
      <c r="J33164"/>
    </row>
    <row r="33165" spans="10:10" x14ac:dyDescent="0.3">
      <c r="J33165"/>
    </row>
    <row r="33166" spans="10:10" x14ac:dyDescent="0.3">
      <c r="J33166"/>
    </row>
    <row r="33167" spans="10:10" x14ac:dyDescent="0.3">
      <c r="J33167"/>
    </row>
    <row r="33168" spans="10:10" x14ac:dyDescent="0.3">
      <c r="J33168"/>
    </row>
    <row r="33169" spans="10:10" x14ac:dyDescent="0.3">
      <c r="J33169"/>
    </row>
    <row r="33170" spans="10:10" x14ac:dyDescent="0.3">
      <c r="J33170"/>
    </row>
    <row r="33171" spans="10:10" x14ac:dyDescent="0.3">
      <c r="J33171"/>
    </row>
    <row r="33172" spans="10:10" x14ac:dyDescent="0.3">
      <c r="J33172"/>
    </row>
    <row r="33173" spans="10:10" x14ac:dyDescent="0.3">
      <c r="J33173"/>
    </row>
    <row r="33174" spans="10:10" x14ac:dyDescent="0.3">
      <c r="J33174"/>
    </row>
    <row r="33175" spans="10:10" x14ac:dyDescent="0.3">
      <c r="J33175"/>
    </row>
    <row r="33176" spans="10:10" x14ac:dyDescent="0.3">
      <c r="J33176"/>
    </row>
    <row r="33177" spans="10:10" x14ac:dyDescent="0.3">
      <c r="J33177"/>
    </row>
    <row r="33178" spans="10:10" x14ac:dyDescent="0.3">
      <c r="J33178"/>
    </row>
    <row r="33179" spans="10:10" x14ac:dyDescent="0.3">
      <c r="J33179"/>
    </row>
    <row r="33180" spans="10:10" x14ac:dyDescent="0.3">
      <c r="J33180"/>
    </row>
    <row r="33181" spans="10:10" x14ac:dyDescent="0.3">
      <c r="J33181"/>
    </row>
    <row r="33182" spans="10:10" x14ac:dyDescent="0.3">
      <c r="J33182"/>
    </row>
    <row r="33183" spans="10:10" x14ac:dyDescent="0.3">
      <c r="J33183"/>
    </row>
    <row r="33184" spans="10:10" x14ac:dyDescent="0.3">
      <c r="J33184"/>
    </row>
    <row r="33185" spans="10:10" x14ac:dyDescent="0.3">
      <c r="J33185"/>
    </row>
    <row r="33186" spans="10:10" x14ac:dyDescent="0.3">
      <c r="J33186"/>
    </row>
    <row r="33187" spans="10:10" x14ac:dyDescent="0.3">
      <c r="J33187"/>
    </row>
    <row r="33188" spans="10:10" x14ac:dyDescent="0.3">
      <c r="J33188"/>
    </row>
    <row r="33189" spans="10:10" x14ac:dyDescent="0.3">
      <c r="J33189"/>
    </row>
    <row r="33190" spans="10:10" x14ac:dyDescent="0.3">
      <c r="J33190"/>
    </row>
    <row r="33191" spans="10:10" x14ac:dyDescent="0.3">
      <c r="J33191"/>
    </row>
    <row r="33192" spans="10:10" x14ac:dyDescent="0.3">
      <c r="J33192"/>
    </row>
    <row r="33193" spans="10:10" x14ac:dyDescent="0.3">
      <c r="J33193"/>
    </row>
    <row r="33194" spans="10:10" x14ac:dyDescent="0.3">
      <c r="J33194"/>
    </row>
    <row r="33195" spans="10:10" x14ac:dyDescent="0.3">
      <c r="J33195"/>
    </row>
    <row r="33196" spans="10:10" x14ac:dyDescent="0.3">
      <c r="J33196"/>
    </row>
    <row r="33197" spans="10:10" x14ac:dyDescent="0.3">
      <c r="J33197"/>
    </row>
    <row r="33198" spans="10:10" x14ac:dyDescent="0.3">
      <c r="J33198"/>
    </row>
    <row r="33199" spans="10:10" x14ac:dyDescent="0.3">
      <c r="J33199"/>
    </row>
    <row r="33200" spans="10:10" x14ac:dyDescent="0.3">
      <c r="J33200"/>
    </row>
    <row r="33201" spans="10:10" x14ac:dyDescent="0.3">
      <c r="J33201"/>
    </row>
    <row r="33202" spans="10:10" x14ac:dyDescent="0.3">
      <c r="J33202"/>
    </row>
    <row r="33203" spans="10:10" x14ac:dyDescent="0.3">
      <c r="J33203"/>
    </row>
    <row r="33204" spans="10:10" x14ac:dyDescent="0.3">
      <c r="J33204"/>
    </row>
    <row r="33205" spans="10:10" x14ac:dyDescent="0.3">
      <c r="J33205"/>
    </row>
    <row r="33206" spans="10:10" x14ac:dyDescent="0.3">
      <c r="J33206"/>
    </row>
    <row r="33207" spans="10:10" x14ac:dyDescent="0.3">
      <c r="J33207"/>
    </row>
    <row r="33208" spans="10:10" x14ac:dyDescent="0.3">
      <c r="J33208"/>
    </row>
    <row r="33209" spans="10:10" x14ac:dyDescent="0.3">
      <c r="J33209"/>
    </row>
    <row r="33210" spans="10:10" x14ac:dyDescent="0.3">
      <c r="J33210"/>
    </row>
    <row r="33211" spans="10:10" x14ac:dyDescent="0.3">
      <c r="J33211"/>
    </row>
    <row r="33212" spans="10:10" x14ac:dyDescent="0.3">
      <c r="J33212"/>
    </row>
    <row r="33213" spans="10:10" x14ac:dyDescent="0.3">
      <c r="J33213"/>
    </row>
    <row r="33214" spans="10:10" x14ac:dyDescent="0.3">
      <c r="J33214"/>
    </row>
    <row r="33215" spans="10:10" x14ac:dyDescent="0.3">
      <c r="J33215"/>
    </row>
    <row r="33216" spans="10:10" x14ac:dyDescent="0.3">
      <c r="J33216"/>
    </row>
    <row r="33217" spans="10:10" x14ac:dyDescent="0.3">
      <c r="J33217"/>
    </row>
    <row r="33218" spans="10:10" x14ac:dyDescent="0.3">
      <c r="J33218"/>
    </row>
    <row r="33219" spans="10:10" x14ac:dyDescent="0.3">
      <c r="J33219"/>
    </row>
    <row r="33220" spans="10:10" x14ac:dyDescent="0.3">
      <c r="J33220"/>
    </row>
    <row r="33221" spans="10:10" x14ac:dyDescent="0.3">
      <c r="J33221"/>
    </row>
    <row r="33222" spans="10:10" x14ac:dyDescent="0.3">
      <c r="J33222"/>
    </row>
    <row r="33223" spans="10:10" x14ac:dyDescent="0.3">
      <c r="J33223"/>
    </row>
    <row r="33224" spans="10:10" x14ac:dyDescent="0.3">
      <c r="J33224"/>
    </row>
    <row r="33225" spans="10:10" x14ac:dyDescent="0.3">
      <c r="J33225"/>
    </row>
    <row r="33226" spans="10:10" x14ac:dyDescent="0.3">
      <c r="J33226"/>
    </row>
    <row r="33227" spans="10:10" x14ac:dyDescent="0.3">
      <c r="J33227"/>
    </row>
    <row r="33228" spans="10:10" x14ac:dyDescent="0.3">
      <c r="J33228"/>
    </row>
    <row r="33229" spans="10:10" x14ac:dyDescent="0.3">
      <c r="J33229"/>
    </row>
    <row r="33230" spans="10:10" x14ac:dyDescent="0.3">
      <c r="J33230"/>
    </row>
    <row r="33231" spans="10:10" x14ac:dyDescent="0.3">
      <c r="J33231"/>
    </row>
    <row r="33232" spans="10:10" x14ac:dyDescent="0.3">
      <c r="J33232"/>
    </row>
    <row r="33233" spans="10:10" x14ac:dyDescent="0.3">
      <c r="J33233"/>
    </row>
    <row r="33234" spans="10:10" x14ac:dyDescent="0.3">
      <c r="J33234"/>
    </row>
    <row r="33235" spans="10:10" x14ac:dyDescent="0.3">
      <c r="J33235"/>
    </row>
    <row r="33236" spans="10:10" x14ac:dyDescent="0.3">
      <c r="J33236"/>
    </row>
    <row r="33237" spans="10:10" x14ac:dyDescent="0.3">
      <c r="J33237"/>
    </row>
    <row r="33238" spans="10:10" x14ac:dyDescent="0.3">
      <c r="J33238"/>
    </row>
    <row r="33239" spans="10:10" x14ac:dyDescent="0.3">
      <c r="J33239"/>
    </row>
    <row r="33240" spans="10:10" x14ac:dyDescent="0.3">
      <c r="J33240"/>
    </row>
    <row r="33241" spans="10:10" x14ac:dyDescent="0.3">
      <c r="J33241"/>
    </row>
    <row r="33242" spans="10:10" x14ac:dyDescent="0.3">
      <c r="J33242"/>
    </row>
    <row r="33243" spans="10:10" x14ac:dyDescent="0.3">
      <c r="J33243"/>
    </row>
    <row r="33244" spans="10:10" x14ac:dyDescent="0.3">
      <c r="J33244"/>
    </row>
    <row r="33245" spans="10:10" x14ac:dyDescent="0.3">
      <c r="J33245"/>
    </row>
    <row r="33246" spans="10:10" x14ac:dyDescent="0.3">
      <c r="J33246"/>
    </row>
    <row r="33247" spans="10:10" x14ac:dyDescent="0.3">
      <c r="J33247"/>
    </row>
    <row r="33248" spans="10:10" x14ac:dyDescent="0.3">
      <c r="J33248"/>
    </row>
    <row r="33249" spans="10:10" x14ac:dyDescent="0.3">
      <c r="J33249"/>
    </row>
    <row r="33250" spans="10:10" x14ac:dyDescent="0.3">
      <c r="J33250"/>
    </row>
    <row r="33251" spans="10:10" x14ac:dyDescent="0.3">
      <c r="J33251"/>
    </row>
    <row r="33252" spans="10:10" x14ac:dyDescent="0.3">
      <c r="J33252"/>
    </row>
    <row r="33253" spans="10:10" x14ac:dyDescent="0.3">
      <c r="J33253"/>
    </row>
    <row r="33254" spans="10:10" x14ac:dyDescent="0.3">
      <c r="J33254"/>
    </row>
    <row r="33255" spans="10:10" x14ac:dyDescent="0.3">
      <c r="J33255"/>
    </row>
    <row r="33256" spans="10:10" x14ac:dyDescent="0.3">
      <c r="J33256"/>
    </row>
    <row r="33257" spans="10:10" x14ac:dyDescent="0.3">
      <c r="J33257"/>
    </row>
    <row r="33258" spans="10:10" x14ac:dyDescent="0.3">
      <c r="J33258"/>
    </row>
    <row r="33259" spans="10:10" x14ac:dyDescent="0.3">
      <c r="J33259"/>
    </row>
    <row r="33260" spans="10:10" x14ac:dyDescent="0.3">
      <c r="J33260"/>
    </row>
    <row r="33261" spans="10:10" x14ac:dyDescent="0.3">
      <c r="J33261"/>
    </row>
    <row r="33262" spans="10:10" x14ac:dyDescent="0.3">
      <c r="J33262"/>
    </row>
    <row r="33263" spans="10:10" x14ac:dyDescent="0.3">
      <c r="J33263"/>
    </row>
    <row r="33264" spans="10:10" x14ac:dyDescent="0.3">
      <c r="J33264"/>
    </row>
    <row r="33265" spans="10:10" x14ac:dyDescent="0.3">
      <c r="J33265"/>
    </row>
    <row r="33266" spans="10:10" x14ac:dyDescent="0.3">
      <c r="J33266"/>
    </row>
    <row r="33267" spans="10:10" x14ac:dyDescent="0.3">
      <c r="J33267"/>
    </row>
    <row r="33268" spans="10:10" x14ac:dyDescent="0.3">
      <c r="J33268"/>
    </row>
    <row r="33269" spans="10:10" x14ac:dyDescent="0.3">
      <c r="J33269"/>
    </row>
    <row r="33270" spans="10:10" x14ac:dyDescent="0.3">
      <c r="J33270"/>
    </row>
    <row r="33271" spans="10:10" x14ac:dyDescent="0.3">
      <c r="J33271"/>
    </row>
    <row r="33272" spans="10:10" x14ac:dyDescent="0.3">
      <c r="J33272"/>
    </row>
    <row r="33273" spans="10:10" x14ac:dyDescent="0.3">
      <c r="J33273"/>
    </row>
    <row r="33274" spans="10:10" x14ac:dyDescent="0.3">
      <c r="J33274"/>
    </row>
    <row r="33275" spans="10:10" x14ac:dyDescent="0.3">
      <c r="J33275"/>
    </row>
    <row r="33276" spans="10:10" x14ac:dyDescent="0.3">
      <c r="J33276"/>
    </row>
    <row r="33277" spans="10:10" x14ac:dyDescent="0.3">
      <c r="J33277"/>
    </row>
    <row r="33278" spans="10:10" x14ac:dyDescent="0.3">
      <c r="J33278"/>
    </row>
    <row r="33279" spans="10:10" x14ac:dyDescent="0.3">
      <c r="J33279"/>
    </row>
    <row r="33280" spans="10:10" x14ac:dyDescent="0.3">
      <c r="J33280"/>
    </row>
    <row r="33281" spans="10:10" x14ac:dyDescent="0.3">
      <c r="J33281"/>
    </row>
    <row r="33282" spans="10:10" x14ac:dyDescent="0.3">
      <c r="J33282"/>
    </row>
    <row r="33283" spans="10:10" x14ac:dyDescent="0.3">
      <c r="J33283"/>
    </row>
    <row r="33284" spans="10:10" x14ac:dyDescent="0.3">
      <c r="J33284"/>
    </row>
    <row r="33285" spans="10:10" x14ac:dyDescent="0.3">
      <c r="J33285"/>
    </row>
    <row r="33286" spans="10:10" x14ac:dyDescent="0.3">
      <c r="J33286"/>
    </row>
    <row r="33287" spans="10:10" x14ac:dyDescent="0.3">
      <c r="J33287"/>
    </row>
    <row r="33288" spans="10:10" x14ac:dyDescent="0.3">
      <c r="J33288"/>
    </row>
    <row r="33289" spans="10:10" x14ac:dyDescent="0.3">
      <c r="J33289"/>
    </row>
    <row r="33290" spans="10:10" x14ac:dyDescent="0.3">
      <c r="J33290"/>
    </row>
    <row r="33291" spans="10:10" x14ac:dyDescent="0.3">
      <c r="J33291"/>
    </row>
    <row r="33292" spans="10:10" x14ac:dyDescent="0.3">
      <c r="J33292"/>
    </row>
    <row r="33293" spans="10:10" x14ac:dyDescent="0.3">
      <c r="J33293"/>
    </row>
    <row r="33294" spans="10:10" x14ac:dyDescent="0.3">
      <c r="J33294"/>
    </row>
    <row r="33295" spans="10:10" x14ac:dyDescent="0.3">
      <c r="J33295"/>
    </row>
    <row r="33296" spans="10:10" x14ac:dyDescent="0.3">
      <c r="J33296"/>
    </row>
    <row r="33297" spans="10:10" x14ac:dyDescent="0.3">
      <c r="J33297"/>
    </row>
    <row r="33298" spans="10:10" x14ac:dyDescent="0.3">
      <c r="J33298"/>
    </row>
    <row r="33299" spans="10:10" x14ac:dyDescent="0.3">
      <c r="J33299"/>
    </row>
    <row r="33300" spans="10:10" x14ac:dyDescent="0.3">
      <c r="J33300"/>
    </row>
    <row r="33301" spans="10:10" x14ac:dyDescent="0.3">
      <c r="J33301"/>
    </row>
    <row r="33302" spans="10:10" x14ac:dyDescent="0.3">
      <c r="J33302"/>
    </row>
    <row r="33303" spans="10:10" x14ac:dyDescent="0.3">
      <c r="J33303"/>
    </row>
    <row r="33304" spans="10:10" x14ac:dyDescent="0.3">
      <c r="J33304"/>
    </row>
    <row r="33305" spans="10:10" x14ac:dyDescent="0.3">
      <c r="J33305"/>
    </row>
    <row r="33306" spans="10:10" x14ac:dyDescent="0.3">
      <c r="J33306"/>
    </row>
    <row r="33307" spans="10:10" x14ac:dyDescent="0.3">
      <c r="J33307"/>
    </row>
    <row r="33308" spans="10:10" x14ac:dyDescent="0.3">
      <c r="J33308"/>
    </row>
    <row r="33309" spans="10:10" x14ac:dyDescent="0.3">
      <c r="J33309"/>
    </row>
    <row r="33310" spans="10:10" x14ac:dyDescent="0.3">
      <c r="J33310"/>
    </row>
    <row r="33311" spans="10:10" x14ac:dyDescent="0.3">
      <c r="J33311"/>
    </row>
    <row r="33312" spans="10:10" x14ac:dyDescent="0.3">
      <c r="J33312"/>
    </row>
    <row r="33313" spans="10:10" x14ac:dyDescent="0.3">
      <c r="J33313"/>
    </row>
    <row r="33314" spans="10:10" x14ac:dyDescent="0.3">
      <c r="J33314"/>
    </row>
    <row r="33315" spans="10:10" x14ac:dyDescent="0.3">
      <c r="J33315"/>
    </row>
    <row r="33316" spans="10:10" x14ac:dyDescent="0.3">
      <c r="J33316"/>
    </row>
    <row r="33317" spans="10:10" x14ac:dyDescent="0.3">
      <c r="J33317"/>
    </row>
    <row r="33318" spans="10:10" x14ac:dyDescent="0.3">
      <c r="J33318"/>
    </row>
    <row r="33319" spans="10:10" x14ac:dyDescent="0.3">
      <c r="J33319"/>
    </row>
    <row r="33320" spans="10:10" x14ac:dyDescent="0.3">
      <c r="J33320"/>
    </row>
    <row r="33321" spans="10:10" x14ac:dyDescent="0.3">
      <c r="J33321"/>
    </row>
    <row r="33322" spans="10:10" x14ac:dyDescent="0.3">
      <c r="J33322"/>
    </row>
    <row r="33323" spans="10:10" x14ac:dyDescent="0.3">
      <c r="J33323"/>
    </row>
    <row r="33324" spans="10:10" x14ac:dyDescent="0.3">
      <c r="J33324"/>
    </row>
    <row r="33325" spans="10:10" x14ac:dyDescent="0.3">
      <c r="J33325"/>
    </row>
    <row r="33326" spans="10:10" x14ac:dyDescent="0.3">
      <c r="J33326"/>
    </row>
    <row r="33327" spans="10:10" x14ac:dyDescent="0.3">
      <c r="J33327"/>
    </row>
    <row r="33328" spans="10:10" x14ac:dyDescent="0.3">
      <c r="J33328"/>
    </row>
    <row r="33329" spans="10:10" x14ac:dyDescent="0.3">
      <c r="J33329"/>
    </row>
    <row r="33330" spans="10:10" x14ac:dyDescent="0.3">
      <c r="J33330"/>
    </row>
    <row r="33331" spans="10:10" x14ac:dyDescent="0.3">
      <c r="J33331"/>
    </row>
    <row r="33332" spans="10:10" x14ac:dyDescent="0.3">
      <c r="J33332"/>
    </row>
    <row r="33333" spans="10:10" x14ac:dyDescent="0.3">
      <c r="J33333"/>
    </row>
    <row r="33334" spans="10:10" x14ac:dyDescent="0.3">
      <c r="J33334"/>
    </row>
    <row r="33335" spans="10:10" x14ac:dyDescent="0.3">
      <c r="J33335"/>
    </row>
    <row r="33336" spans="10:10" x14ac:dyDescent="0.3">
      <c r="J33336"/>
    </row>
    <row r="33337" spans="10:10" x14ac:dyDescent="0.3">
      <c r="J33337"/>
    </row>
    <row r="33338" spans="10:10" x14ac:dyDescent="0.3">
      <c r="J33338"/>
    </row>
    <row r="33339" spans="10:10" x14ac:dyDescent="0.3">
      <c r="J33339"/>
    </row>
    <row r="33340" spans="10:10" x14ac:dyDescent="0.3">
      <c r="J33340"/>
    </row>
    <row r="33341" spans="10:10" x14ac:dyDescent="0.3">
      <c r="J33341"/>
    </row>
    <row r="33342" spans="10:10" x14ac:dyDescent="0.3">
      <c r="J33342"/>
    </row>
    <row r="33343" spans="10:10" x14ac:dyDescent="0.3">
      <c r="J33343"/>
    </row>
    <row r="33344" spans="10:10" x14ac:dyDescent="0.3">
      <c r="J33344"/>
    </row>
    <row r="33345" spans="10:10" x14ac:dyDescent="0.3">
      <c r="J33345"/>
    </row>
    <row r="33346" spans="10:10" x14ac:dyDescent="0.3">
      <c r="J33346"/>
    </row>
    <row r="33347" spans="10:10" x14ac:dyDescent="0.3">
      <c r="J33347"/>
    </row>
    <row r="33348" spans="10:10" x14ac:dyDescent="0.3">
      <c r="J33348"/>
    </row>
    <row r="33349" spans="10:10" x14ac:dyDescent="0.3">
      <c r="J33349"/>
    </row>
    <row r="33350" spans="10:10" x14ac:dyDescent="0.3">
      <c r="J33350"/>
    </row>
    <row r="33351" spans="10:10" x14ac:dyDescent="0.3">
      <c r="J33351"/>
    </row>
    <row r="33352" spans="10:10" x14ac:dyDescent="0.3">
      <c r="J33352"/>
    </row>
    <row r="33353" spans="10:10" x14ac:dyDescent="0.3">
      <c r="J33353"/>
    </row>
    <row r="33354" spans="10:10" x14ac:dyDescent="0.3">
      <c r="J33354"/>
    </row>
    <row r="33355" spans="10:10" x14ac:dyDescent="0.3">
      <c r="J33355"/>
    </row>
    <row r="33356" spans="10:10" x14ac:dyDescent="0.3">
      <c r="J33356"/>
    </row>
    <row r="33357" spans="10:10" x14ac:dyDescent="0.3">
      <c r="J33357"/>
    </row>
    <row r="33358" spans="10:10" x14ac:dyDescent="0.3">
      <c r="J33358"/>
    </row>
    <row r="33359" spans="10:10" x14ac:dyDescent="0.3">
      <c r="J33359"/>
    </row>
    <row r="33360" spans="10:10" x14ac:dyDescent="0.3">
      <c r="J33360"/>
    </row>
    <row r="33361" spans="10:10" x14ac:dyDescent="0.3">
      <c r="J33361"/>
    </row>
    <row r="33362" spans="10:10" x14ac:dyDescent="0.3">
      <c r="J33362"/>
    </row>
    <row r="33363" spans="10:10" x14ac:dyDescent="0.3">
      <c r="J33363"/>
    </row>
    <row r="33364" spans="10:10" x14ac:dyDescent="0.3">
      <c r="J33364"/>
    </row>
    <row r="33365" spans="10:10" x14ac:dyDescent="0.3">
      <c r="J33365"/>
    </row>
    <row r="33366" spans="10:10" x14ac:dyDescent="0.3">
      <c r="J33366"/>
    </row>
    <row r="33367" spans="10:10" x14ac:dyDescent="0.3">
      <c r="J33367"/>
    </row>
    <row r="33368" spans="10:10" x14ac:dyDescent="0.3">
      <c r="J33368"/>
    </row>
    <row r="33369" spans="10:10" x14ac:dyDescent="0.3">
      <c r="J33369"/>
    </row>
    <row r="33370" spans="10:10" x14ac:dyDescent="0.3">
      <c r="J33370"/>
    </row>
    <row r="33371" spans="10:10" x14ac:dyDescent="0.3">
      <c r="J33371"/>
    </row>
    <row r="33372" spans="10:10" x14ac:dyDescent="0.3">
      <c r="J33372"/>
    </row>
    <row r="33373" spans="10:10" x14ac:dyDescent="0.3">
      <c r="J33373"/>
    </row>
    <row r="33374" spans="10:10" x14ac:dyDescent="0.3">
      <c r="J33374"/>
    </row>
    <row r="33375" spans="10:10" x14ac:dyDescent="0.3">
      <c r="J33375"/>
    </row>
    <row r="33376" spans="10:10" x14ac:dyDescent="0.3">
      <c r="J33376"/>
    </row>
    <row r="33377" spans="10:10" x14ac:dyDescent="0.3">
      <c r="J33377"/>
    </row>
    <row r="33378" spans="10:10" x14ac:dyDescent="0.3">
      <c r="J33378"/>
    </row>
    <row r="33379" spans="10:10" x14ac:dyDescent="0.3">
      <c r="J33379"/>
    </row>
    <row r="33380" spans="10:10" x14ac:dyDescent="0.3">
      <c r="J33380"/>
    </row>
    <row r="33381" spans="10:10" x14ac:dyDescent="0.3">
      <c r="J33381"/>
    </row>
    <row r="33382" spans="10:10" x14ac:dyDescent="0.3">
      <c r="J33382"/>
    </row>
    <row r="33383" spans="10:10" x14ac:dyDescent="0.3">
      <c r="J33383"/>
    </row>
    <row r="33384" spans="10:10" x14ac:dyDescent="0.3">
      <c r="J33384"/>
    </row>
    <row r="33385" spans="10:10" x14ac:dyDescent="0.3">
      <c r="J33385"/>
    </row>
    <row r="33386" spans="10:10" x14ac:dyDescent="0.3">
      <c r="J33386"/>
    </row>
    <row r="33387" spans="10:10" x14ac:dyDescent="0.3">
      <c r="J33387"/>
    </row>
    <row r="33388" spans="10:10" x14ac:dyDescent="0.3">
      <c r="J33388"/>
    </row>
    <row r="33389" spans="10:10" x14ac:dyDescent="0.3">
      <c r="J33389"/>
    </row>
    <row r="33390" spans="10:10" x14ac:dyDescent="0.3">
      <c r="J33390"/>
    </row>
    <row r="33391" spans="10:10" x14ac:dyDescent="0.3">
      <c r="J33391"/>
    </row>
    <row r="33392" spans="10:10" x14ac:dyDescent="0.3">
      <c r="J33392"/>
    </row>
    <row r="33393" spans="10:10" x14ac:dyDescent="0.3">
      <c r="J33393"/>
    </row>
    <row r="33394" spans="10:10" x14ac:dyDescent="0.3">
      <c r="J33394"/>
    </row>
    <row r="33395" spans="10:10" x14ac:dyDescent="0.3">
      <c r="J33395"/>
    </row>
    <row r="33396" spans="10:10" x14ac:dyDescent="0.3">
      <c r="J33396"/>
    </row>
    <row r="33397" spans="10:10" x14ac:dyDescent="0.3">
      <c r="J33397"/>
    </row>
    <row r="33398" spans="10:10" x14ac:dyDescent="0.3">
      <c r="J33398"/>
    </row>
    <row r="33399" spans="10:10" x14ac:dyDescent="0.3">
      <c r="J33399"/>
    </row>
    <row r="33400" spans="10:10" x14ac:dyDescent="0.3">
      <c r="J33400"/>
    </row>
    <row r="33401" spans="10:10" x14ac:dyDescent="0.3">
      <c r="J33401"/>
    </row>
    <row r="33402" spans="10:10" x14ac:dyDescent="0.3">
      <c r="J33402"/>
    </row>
    <row r="33403" spans="10:10" x14ac:dyDescent="0.3">
      <c r="J33403"/>
    </row>
    <row r="33404" spans="10:10" x14ac:dyDescent="0.3">
      <c r="J33404"/>
    </row>
    <row r="33405" spans="10:10" x14ac:dyDescent="0.3">
      <c r="J33405"/>
    </row>
    <row r="33406" spans="10:10" x14ac:dyDescent="0.3">
      <c r="J33406"/>
    </row>
    <row r="33407" spans="10:10" x14ac:dyDescent="0.3">
      <c r="J33407"/>
    </row>
    <row r="33408" spans="10:10" x14ac:dyDescent="0.3">
      <c r="J33408"/>
    </row>
    <row r="33409" spans="10:10" x14ac:dyDescent="0.3">
      <c r="J33409"/>
    </row>
    <row r="33410" spans="10:10" x14ac:dyDescent="0.3">
      <c r="J33410"/>
    </row>
    <row r="33411" spans="10:10" x14ac:dyDescent="0.3">
      <c r="J33411"/>
    </row>
    <row r="33412" spans="10:10" x14ac:dyDescent="0.3">
      <c r="J33412"/>
    </row>
    <row r="33413" spans="10:10" x14ac:dyDescent="0.3">
      <c r="J33413"/>
    </row>
    <row r="33414" spans="10:10" x14ac:dyDescent="0.3">
      <c r="J33414"/>
    </row>
    <row r="33415" spans="10:10" x14ac:dyDescent="0.3">
      <c r="J33415"/>
    </row>
    <row r="33416" spans="10:10" x14ac:dyDescent="0.3">
      <c r="J33416"/>
    </row>
    <row r="33417" spans="10:10" x14ac:dyDescent="0.3">
      <c r="J33417"/>
    </row>
    <row r="33418" spans="10:10" x14ac:dyDescent="0.3">
      <c r="J33418"/>
    </row>
    <row r="33419" spans="10:10" x14ac:dyDescent="0.3">
      <c r="J33419"/>
    </row>
    <row r="33420" spans="10:10" x14ac:dyDescent="0.3">
      <c r="J33420"/>
    </row>
    <row r="33421" spans="10:10" x14ac:dyDescent="0.3">
      <c r="J33421"/>
    </row>
    <row r="33422" spans="10:10" x14ac:dyDescent="0.3">
      <c r="J33422"/>
    </row>
    <row r="33423" spans="10:10" x14ac:dyDescent="0.3">
      <c r="J33423"/>
    </row>
    <row r="33424" spans="10:10" x14ac:dyDescent="0.3">
      <c r="J33424"/>
    </row>
    <row r="33425" spans="10:10" x14ac:dyDescent="0.3">
      <c r="J33425"/>
    </row>
    <row r="33426" spans="10:10" x14ac:dyDescent="0.3">
      <c r="J33426"/>
    </row>
    <row r="33427" spans="10:10" x14ac:dyDescent="0.3">
      <c r="J33427"/>
    </row>
    <row r="33428" spans="10:10" x14ac:dyDescent="0.3">
      <c r="J33428"/>
    </row>
    <row r="33429" spans="10:10" x14ac:dyDescent="0.3">
      <c r="J33429"/>
    </row>
    <row r="33430" spans="10:10" x14ac:dyDescent="0.3">
      <c r="J33430"/>
    </row>
    <row r="33431" spans="10:10" x14ac:dyDescent="0.3">
      <c r="J33431"/>
    </row>
    <row r="33432" spans="10:10" x14ac:dyDescent="0.3">
      <c r="J33432"/>
    </row>
    <row r="33433" spans="10:10" x14ac:dyDescent="0.3">
      <c r="J33433"/>
    </row>
    <row r="33434" spans="10:10" x14ac:dyDescent="0.3">
      <c r="J33434"/>
    </row>
    <row r="33435" spans="10:10" x14ac:dyDescent="0.3">
      <c r="J33435"/>
    </row>
    <row r="33436" spans="10:10" x14ac:dyDescent="0.3">
      <c r="J33436"/>
    </row>
    <row r="33437" spans="10:10" x14ac:dyDescent="0.3">
      <c r="J33437"/>
    </row>
    <row r="33438" spans="10:10" x14ac:dyDescent="0.3">
      <c r="J33438"/>
    </row>
    <row r="33439" spans="10:10" x14ac:dyDescent="0.3">
      <c r="J33439"/>
    </row>
    <row r="33440" spans="10:10" x14ac:dyDescent="0.3">
      <c r="J33440"/>
    </row>
    <row r="33441" spans="10:10" x14ac:dyDescent="0.3">
      <c r="J33441"/>
    </row>
    <row r="33442" spans="10:10" x14ac:dyDescent="0.3">
      <c r="J33442"/>
    </row>
    <row r="33443" spans="10:10" x14ac:dyDescent="0.3">
      <c r="J33443"/>
    </row>
    <row r="33444" spans="10:10" x14ac:dyDescent="0.3">
      <c r="J33444"/>
    </row>
    <row r="33445" spans="10:10" x14ac:dyDescent="0.3">
      <c r="J33445"/>
    </row>
    <row r="33446" spans="10:10" x14ac:dyDescent="0.3">
      <c r="J33446"/>
    </row>
    <row r="33447" spans="10:10" x14ac:dyDescent="0.3">
      <c r="J33447"/>
    </row>
    <row r="33448" spans="10:10" x14ac:dyDescent="0.3">
      <c r="J33448"/>
    </row>
    <row r="33449" spans="10:10" x14ac:dyDescent="0.3">
      <c r="J33449"/>
    </row>
    <row r="33450" spans="10:10" x14ac:dyDescent="0.3">
      <c r="J33450"/>
    </row>
    <row r="33451" spans="10:10" x14ac:dyDescent="0.3">
      <c r="J33451"/>
    </row>
    <row r="33452" spans="10:10" x14ac:dyDescent="0.3">
      <c r="J33452"/>
    </row>
    <row r="33453" spans="10:10" x14ac:dyDescent="0.3">
      <c r="J33453"/>
    </row>
    <row r="33454" spans="10:10" x14ac:dyDescent="0.3">
      <c r="J33454"/>
    </row>
    <row r="33455" spans="10:10" x14ac:dyDescent="0.3">
      <c r="J33455"/>
    </row>
    <row r="33456" spans="10:10" x14ac:dyDescent="0.3">
      <c r="J33456"/>
    </row>
    <row r="33457" spans="10:10" x14ac:dyDescent="0.3">
      <c r="J33457"/>
    </row>
    <row r="33458" spans="10:10" x14ac:dyDescent="0.3">
      <c r="J33458"/>
    </row>
    <row r="33459" spans="10:10" x14ac:dyDescent="0.3">
      <c r="J33459"/>
    </row>
    <row r="33460" spans="10:10" x14ac:dyDescent="0.3">
      <c r="J33460"/>
    </row>
    <row r="33461" spans="10:10" x14ac:dyDescent="0.3">
      <c r="J33461"/>
    </row>
    <row r="33462" spans="10:10" x14ac:dyDescent="0.3">
      <c r="J33462"/>
    </row>
    <row r="33463" spans="10:10" x14ac:dyDescent="0.3">
      <c r="J33463"/>
    </row>
    <row r="33464" spans="10:10" x14ac:dyDescent="0.3">
      <c r="J33464"/>
    </row>
    <row r="33465" spans="10:10" x14ac:dyDescent="0.3">
      <c r="J33465"/>
    </row>
    <row r="33466" spans="10:10" x14ac:dyDescent="0.3">
      <c r="J33466"/>
    </row>
    <row r="33467" spans="10:10" x14ac:dyDescent="0.3">
      <c r="J33467"/>
    </row>
    <row r="33468" spans="10:10" x14ac:dyDescent="0.3">
      <c r="J33468"/>
    </row>
    <row r="33469" spans="10:10" x14ac:dyDescent="0.3">
      <c r="J33469"/>
    </row>
    <row r="33470" spans="10:10" x14ac:dyDescent="0.3">
      <c r="J33470"/>
    </row>
    <row r="33471" spans="10:10" x14ac:dyDescent="0.3">
      <c r="J33471"/>
    </row>
    <row r="33472" spans="10:10" x14ac:dyDescent="0.3">
      <c r="J33472"/>
    </row>
    <row r="33473" spans="10:10" x14ac:dyDescent="0.3">
      <c r="J33473"/>
    </row>
    <row r="33474" spans="10:10" x14ac:dyDescent="0.3">
      <c r="J33474"/>
    </row>
    <row r="33475" spans="10:10" x14ac:dyDescent="0.3">
      <c r="J33475"/>
    </row>
    <row r="33476" spans="10:10" x14ac:dyDescent="0.3">
      <c r="J33476"/>
    </row>
    <row r="33477" spans="10:10" x14ac:dyDescent="0.3">
      <c r="J33477"/>
    </row>
    <row r="33478" spans="10:10" x14ac:dyDescent="0.3">
      <c r="J33478"/>
    </row>
    <row r="33479" spans="10:10" x14ac:dyDescent="0.3">
      <c r="J33479"/>
    </row>
    <row r="33480" spans="10:10" x14ac:dyDescent="0.3">
      <c r="J33480"/>
    </row>
    <row r="33481" spans="10:10" x14ac:dyDescent="0.3">
      <c r="J33481"/>
    </row>
    <row r="33482" spans="10:10" x14ac:dyDescent="0.3">
      <c r="J33482"/>
    </row>
    <row r="33483" spans="10:10" x14ac:dyDescent="0.3">
      <c r="J33483"/>
    </row>
    <row r="33484" spans="10:10" x14ac:dyDescent="0.3">
      <c r="J33484"/>
    </row>
    <row r="33485" spans="10:10" x14ac:dyDescent="0.3">
      <c r="J33485"/>
    </row>
    <row r="33486" spans="10:10" x14ac:dyDescent="0.3">
      <c r="J33486"/>
    </row>
    <row r="33487" spans="10:10" x14ac:dyDescent="0.3">
      <c r="J33487"/>
    </row>
    <row r="33488" spans="10:10" x14ac:dyDescent="0.3">
      <c r="J33488"/>
    </row>
    <row r="33489" spans="10:10" x14ac:dyDescent="0.3">
      <c r="J33489"/>
    </row>
    <row r="33490" spans="10:10" x14ac:dyDescent="0.3">
      <c r="J33490"/>
    </row>
    <row r="33491" spans="10:10" x14ac:dyDescent="0.3">
      <c r="J33491"/>
    </row>
    <row r="33492" spans="10:10" x14ac:dyDescent="0.3">
      <c r="J33492"/>
    </row>
    <row r="33493" spans="10:10" x14ac:dyDescent="0.3">
      <c r="J33493"/>
    </row>
    <row r="33494" spans="10:10" x14ac:dyDescent="0.3">
      <c r="J33494"/>
    </row>
    <row r="33495" spans="10:10" x14ac:dyDescent="0.3">
      <c r="J33495"/>
    </row>
    <row r="33496" spans="10:10" x14ac:dyDescent="0.3">
      <c r="J33496"/>
    </row>
    <row r="33497" spans="10:10" x14ac:dyDescent="0.3">
      <c r="J33497"/>
    </row>
    <row r="33498" spans="10:10" x14ac:dyDescent="0.3">
      <c r="J33498"/>
    </row>
    <row r="33499" spans="10:10" x14ac:dyDescent="0.3">
      <c r="J33499"/>
    </row>
    <row r="33500" spans="10:10" x14ac:dyDescent="0.3">
      <c r="J33500"/>
    </row>
    <row r="33501" spans="10:10" x14ac:dyDescent="0.3">
      <c r="J33501"/>
    </row>
    <row r="33502" spans="10:10" x14ac:dyDescent="0.3">
      <c r="J33502"/>
    </row>
    <row r="33503" spans="10:10" x14ac:dyDescent="0.3">
      <c r="J33503"/>
    </row>
    <row r="33504" spans="10:10" x14ac:dyDescent="0.3">
      <c r="J33504"/>
    </row>
    <row r="33505" spans="10:10" x14ac:dyDescent="0.3">
      <c r="J33505"/>
    </row>
    <row r="33506" spans="10:10" x14ac:dyDescent="0.3">
      <c r="J33506"/>
    </row>
    <row r="33507" spans="10:10" x14ac:dyDescent="0.3">
      <c r="J33507"/>
    </row>
    <row r="33508" spans="10:10" x14ac:dyDescent="0.3">
      <c r="J33508"/>
    </row>
    <row r="33509" spans="10:10" x14ac:dyDescent="0.3">
      <c r="J33509"/>
    </row>
    <row r="33510" spans="10:10" x14ac:dyDescent="0.3">
      <c r="J33510"/>
    </row>
    <row r="33511" spans="10:10" x14ac:dyDescent="0.3">
      <c r="J33511"/>
    </row>
    <row r="33512" spans="10:10" x14ac:dyDescent="0.3">
      <c r="J33512"/>
    </row>
    <row r="33513" spans="10:10" x14ac:dyDescent="0.3">
      <c r="J33513"/>
    </row>
    <row r="33514" spans="10:10" x14ac:dyDescent="0.3">
      <c r="J33514"/>
    </row>
    <row r="33515" spans="10:10" x14ac:dyDescent="0.3">
      <c r="J33515"/>
    </row>
    <row r="33516" spans="10:10" x14ac:dyDescent="0.3">
      <c r="J33516"/>
    </row>
    <row r="33517" spans="10:10" x14ac:dyDescent="0.3">
      <c r="J33517"/>
    </row>
    <row r="33518" spans="10:10" x14ac:dyDescent="0.3">
      <c r="J33518"/>
    </row>
    <row r="33519" spans="10:10" x14ac:dyDescent="0.3">
      <c r="J33519"/>
    </row>
    <row r="33520" spans="10:10" x14ac:dyDescent="0.3">
      <c r="J33520"/>
    </row>
    <row r="33521" spans="10:10" x14ac:dyDescent="0.3">
      <c r="J33521"/>
    </row>
    <row r="33522" spans="10:10" x14ac:dyDescent="0.3">
      <c r="J33522"/>
    </row>
    <row r="33523" spans="10:10" x14ac:dyDescent="0.3">
      <c r="J33523"/>
    </row>
    <row r="33524" spans="10:10" x14ac:dyDescent="0.3">
      <c r="J33524"/>
    </row>
    <row r="33525" spans="10:10" x14ac:dyDescent="0.3">
      <c r="J33525"/>
    </row>
    <row r="33526" spans="10:10" x14ac:dyDescent="0.3">
      <c r="J33526"/>
    </row>
    <row r="33527" spans="10:10" x14ac:dyDescent="0.3">
      <c r="J33527"/>
    </row>
    <row r="33528" spans="10:10" x14ac:dyDescent="0.3">
      <c r="J33528"/>
    </row>
    <row r="33529" spans="10:10" x14ac:dyDescent="0.3">
      <c r="J33529"/>
    </row>
    <row r="33530" spans="10:10" x14ac:dyDescent="0.3">
      <c r="J33530"/>
    </row>
    <row r="33531" spans="10:10" x14ac:dyDescent="0.3">
      <c r="J33531"/>
    </row>
    <row r="33532" spans="10:10" x14ac:dyDescent="0.3">
      <c r="J33532"/>
    </row>
    <row r="33533" spans="10:10" x14ac:dyDescent="0.3">
      <c r="J33533"/>
    </row>
    <row r="33534" spans="10:10" x14ac:dyDescent="0.3">
      <c r="J33534"/>
    </row>
    <row r="33535" spans="10:10" x14ac:dyDescent="0.3">
      <c r="J33535"/>
    </row>
    <row r="33536" spans="10:10" x14ac:dyDescent="0.3">
      <c r="J33536"/>
    </row>
    <row r="33537" spans="10:10" x14ac:dyDescent="0.3">
      <c r="J33537"/>
    </row>
    <row r="33538" spans="10:10" x14ac:dyDescent="0.3">
      <c r="J33538"/>
    </row>
    <row r="33539" spans="10:10" x14ac:dyDescent="0.3">
      <c r="J33539"/>
    </row>
    <row r="33540" spans="10:10" x14ac:dyDescent="0.3">
      <c r="J33540"/>
    </row>
    <row r="33541" spans="10:10" x14ac:dyDescent="0.3">
      <c r="J33541"/>
    </row>
    <row r="33542" spans="10:10" x14ac:dyDescent="0.3">
      <c r="J33542"/>
    </row>
    <row r="33543" spans="10:10" x14ac:dyDescent="0.3">
      <c r="J33543"/>
    </row>
    <row r="33544" spans="10:10" x14ac:dyDescent="0.3">
      <c r="J33544"/>
    </row>
    <row r="33545" spans="10:10" x14ac:dyDescent="0.3">
      <c r="J33545"/>
    </row>
    <row r="33546" spans="10:10" x14ac:dyDescent="0.3">
      <c r="J33546"/>
    </row>
    <row r="33547" spans="10:10" x14ac:dyDescent="0.3">
      <c r="J33547"/>
    </row>
    <row r="33548" spans="10:10" x14ac:dyDescent="0.3">
      <c r="J33548"/>
    </row>
    <row r="33549" spans="10:10" x14ac:dyDescent="0.3">
      <c r="J33549"/>
    </row>
    <row r="33550" spans="10:10" x14ac:dyDescent="0.3">
      <c r="J33550"/>
    </row>
    <row r="33551" spans="10:10" x14ac:dyDescent="0.3">
      <c r="J33551"/>
    </row>
    <row r="33552" spans="10:10" x14ac:dyDescent="0.3">
      <c r="J33552"/>
    </row>
    <row r="33553" spans="10:10" x14ac:dyDescent="0.3">
      <c r="J33553"/>
    </row>
    <row r="33554" spans="10:10" x14ac:dyDescent="0.3">
      <c r="J33554"/>
    </row>
    <row r="33555" spans="10:10" x14ac:dyDescent="0.3">
      <c r="J33555"/>
    </row>
    <row r="33556" spans="10:10" x14ac:dyDescent="0.3">
      <c r="J33556"/>
    </row>
    <row r="33557" spans="10:10" x14ac:dyDescent="0.3">
      <c r="J33557"/>
    </row>
    <row r="33558" spans="10:10" x14ac:dyDescent="0.3">
      <c r="J33558"/>
    </row>
    <row r="33559" spans="10:10" x14ac:dyDescent="0.3">
      <c r="J33559"/>
    </row>
    <row r="33560" spans="10:10" x14ac:dyDescent="0.3">
      <c r="J33560"/>
    </row>
    <row r="33561" spans="10:10" x14ac:dyDescent="0.3">
      <c r="J33561"/>
    </row>
    <row r="33562" spans="10:10" x14ac:dyDescent="0.3">
      <c r="J33562"/>
    </row>
    <row r="33563" spans="10:10" x14ac:dyDescent="0.3">
      <c r="J33563"/>
    </row>
    <row r="33564" spans="10:10" x14ac:dyDescent="0.3">
      <c r="J33564"/>
    </row>
    <row r="33565" spans="10:10" x14ac:dyDescent="0.3">
      <c r="J33565"/>
    </row>
    <row r="33566" spans="10:10" x14ac:dyDescent="0.3">
      <c r="J33566"/>
    </row>
    <row r="33567" spans="10:10" x14ac:dyDescent="0.3">
      <c r="J33567"/>
    </row>
    <row r="33568" spans="10:10" x14ac:dyDescent="0.3">
      <c r="J33568"/>
    </row>
    <row r="33569" spans="10:10" x14ac:dyDescent="0.3">
      <c r="J33569"/>
    </row>
    <row r="33570" spans="10:10" x14ac:dyDescent="0.3">
      <c r="J33570"/>
    </row>
    <row r="33571" spans="10:10" x14ac:dyDescent="0.3">
      <c r="J33571"/>
    </row>
    <row r="33572" spans="10:10" x14ac:dyDescent="0.3">
      <c r="J33572"/>
    </row>
    <row r="33573" spans="10:10" x14ac:dyDescent="0.3">
      <c r="J33573"/>
    </row>
    <row r="33574" spans="10:10" x14ac:dyDescent="0.3">
      <c r="J33574"/>
    </row>
    <row r="33575" spans="10:10" x14ac:dyDescent="0.3">
      <c r="J33575"/>
    </row>
    <row r="33576" spans="10:10" x14ac:dyDescent="0.3">
      <c r="J33576"/>
    </row>
    <row r="33577" spans="10:10" x14ac:dyDescent="0.3">
      <c r="J33577"/>
    </row>
    <row r="33578" spans="10:10" x14ac:dyDescent="0.3">
      <c r="J33578"/>
    </row>
    <row r="33579" spans="10:10" x14ac:dyDescent="0.3">
      <c r="J33579"/>
    </row>
    <row r="33580" spans="10:10" x14ac:dyDescent="0.3">
      <c r="J33580"/>
    </row>
    <row r="33581" spans="10:10" x14ac:dyDescent="0.3">
      <c r="J33581"/>
    </row>
    <row r="33582" spans="10:10" x14ac:dyDescent="0.3">
      <c r="J33582"/>
    </row>
    <row r="33583" spans="10:10" x14ac:dyDescent="0.3">
      <c r="J33583"/>
    </row>
    <row r="33584" spans="10:10" x14ac:dyDescent="0.3">
      <c r="J33584"/>
    </row>
    <row r="33585" spans="10:10" x14ac:dyDescent="0.3">
      <c r="J33585"/>
    </row>
    <row r="33586" spans="10:10" x14ac:dyDescent="0.3">
      <c r="J33586"/>
    </row>
    <row r="33587" spans="10:10" x14ac:dyDescent="0.3">
      <c r="J33587"/>
    </row>
    <row r="33588" spans="10:10" x14ac:dyDescent="0.3">
      <c r="J33588"/>
    </row>
    <row r="33589" spans="10:10" x14ac:dyDescent="0.3">
      <c r="J33589"/>
    </row>
    <row r="33590" spans="10:10" x14ac:dyDescent="0.3">
      <c r="J33590"/>
    </row>
    <row r="33591" spans="10:10" x14ac:dyDescent="0.3">
      <c r="J33591"/>
    </row>
    <row r="33592" spans="10:10" x14ac:dyDescent="0.3">
      <c r="J33592"/>
    </row>
    <row r="33593" spans="10:10" x14ac:dyDescent="0.3">
      <c r="J33593"/>
    </row>
    <row r="33594" spans="10:10" x14ac:dyDescent="0.3">
      <c r="J33594"/>
    </row>
    <row r="33595" spans="10:10" x14ac:dyDescent="0.3">
      <c r="J33595"/>
    </row>
    <row r="33596" spans="10:10" x14ac:dyDescent="0.3">
      <c r="J33596"/>
    </row>
    <row r="33597" spans="10:10" x14ac:dyDescent="0.3">
      <c r="J33597"/>
    </row>
    <row r="33598" spans="10:10" x14ac:dyDescent="0.3">
      <c r="J33598"/>
    </row>
    <row r="33599" spans="10:10" x14ac:dyDescent="0.3">
      <c r="J33599"/>
    </row>
    <row r="33600" spans="10:10" x14ac:dyDescent="0.3">
      <c r="J33600"/>
    </row>
    <row r="33601" spans="10:10" x14ac:dyDescent="0.3">
      <c r="J33601"/>
    </row>
    <row r="33602" spans="10:10" x14ac:dyDescent="0.3">
      <c r="J33602"/>
    </row>
    <row r="33603" spans="10:10" x14ac:dyDescent="0.3">
      <c r="J33603"/>
    </row>
    <row r="33604" spans="10:10" x14ac:dyDescent="0.3">
      <c r="J33604"/>
    </row>
    <row r="33605" spans="10:10" x14ac:dyDescent="0.3">
      <c r="J33605"/>
    </row>
    <row r="33606" spans="10:10" x14ac:dyDescent="0.3">
      <c r="J33606"/>
    </row>
    <row r="33607" spans="10:10" x14ac:dyDescent="0.3">
      <c r="J33607"/>
    </row>
    <row r="33608" spans="10:10" x14ac:dyDescent="0.3">
      <c r="J33608"/>
    </row>
    <row r="33609" spans="10:10" x14ac:dyDescent="0.3">
      <c r="J33609"/>
    </row>
    <row r="33610" spans="10:10" x14ac:dyDescent="0.3">
      <c r="J33610"/>
    </row>
    <row r="33611" spans="10:10" x14ac:dyDescent="0.3">
      <c r="J33611"/>
    </row>
    <row r="33612" spans="10:10" x14ac:dyDescent="0.3">
      <c r="J33612"/>
    </row>
    <row r="33613" spans="10:10" x14ac:dyDescent="0.3">
      <c r="J33613"/>
    </row>
    <row r="33614" spans="10:10" x14ac:dyDescent="0.3">
      <c r="J33614"/>
    </row>
    <row r="33615" spans="10:10" x14ac:dyDescent="0.3">
      <c r="J33615"/>
    </row>
    <row r="33616" spans="10:10" x14ac:dyDescent="0.3">
      <c r="J33616"/>
    </row>
    <row r="33617" spans="10:10" x14ac:dyDescent="0.3">
      <c r="J33617"/>
    </row>
    <row r="33618" spans="10:10" x14ac:dyDescent="0.3">
      <c r="J33618"/>
    </row>
    <row r="33619" spans="10:10" x14ac:dyDescent="0.3">
      <c r="J33619"/>
    </row>
    <row r="33620" spans="10:10" x14ac:dyDescent="0.3">
      <c r="J33620"/>
    </row>
    <row r="33621" spans="10:10" x14ac:dyDescent="0.3">
      <c r="J33621"/>
    </row>
    <row r="33622" spans="10:10" x14ac:dyDescent="0.3">
      <c r="J33622"/>
    </row>
    <row r="33623" spans="10:10" x14ac:dyDescent="0.3">
      <c r="J33623"/>
    </row>
    <row r="33624" spans="10:10" x14ac:dyDescent="0.3">
      <c r="J33624"/>
    </row>
    <row r="33625" spans="10:10" x14ac:dyDescent="0.3">
      <c r="J33625"/>
    </row>
    <row r="33626" spans="10:10" x14ac:dyDescent="0.3">
      <c r="J33626"/>
    </row>
    <row r="33627" spans="10:10" x14ac:dyDescent="0.3">
      <c r="J33627"/>
    </row>
    <row r="33628" spans="10:10" x14ac:dyDescent="0.3">
      <c r="J33628"/>
    </row>
    <row r="33629" spans="10:10" x14ac:dyDescent="0.3">
      <c r="J33629"/>
    </row>
    <row r="33630" spans="10:10" x14ac:dyDescent="0.3">
      <c r="J33630"/>
    </row>
    <row r="33631" spans="10:10" x14ac:dyDescent="0.3">
      <c r="J33631"/>
    </row>
    <row r="33632" spans="10:10" x14ac:dyDescent="0.3">
      <c r="J33632"/>
    </row>
    <row r="33633" spans="10:10" x14ac:dyDescent="0.3">
      <c r="J33633"/>
    </row>
    <row r="33634" spans="10:10" x14ac:dyDescent="0.3">
      <c r="J33634"/>
    </row>
    <row r="33635" spans="10:10" x14ac:dyDescent="0.3">
      <c r="J33635"/>
    </row>
    <row r="33636" spans="10:10" x14ac:dyDescent="0.3">
      <c r="J33636"/>
    </row>
    <row r="33637" spans="10:10" x14ac:dyDescent="0.3">
      <c r="J33637"/>
    </row>
    <row r="33638" spans="10:10" x14ac:dyDescent="0.3">
      <c r="J33638"/>
    </row>
    <row r="33639" spans="10:10" x14ac:dyDescent="0.3">
      <c r="J33639"/>
    </row>
    <row r="33640" spans="10:10" x14ac:dyDescent="0.3">
      <c r="J33640"/>
    </row>
    <row r="33641" spans="10:10" x14ac:dyDescent="0.3">
      <c r="J33641"/>
    </row>
    <row r="33642" spans="10:10" x14ac:dyDescent="0.3">
      <c r="J33642"/>
    </row>
    <row r="33643" spans="10:10" x14ac:dyDescent="0.3">
      <c r="J33643"/>
    </row>
    <row r="33644" spans="10:10" x14ac:dyDescent="0.3">
      <c r="J33644"/>
    </row>
    <row r="33645" spans="10:10" x14ac:dyDescent="0.3">
      <c r="J33645"/>
    </row>
    <row r="33646" spans="10:10" x14ac:dyDescent="0.3">
      <c r="J33646"/>
    </row>
    <row r="33647" spans="10:10" x14ac:dyDescent="0.3">
      <c r="J33647"/>
    </row>
    <row r="33648" spans="10:10" x14ac:dyDescent="0.3">
      <c r="J33648"/>
    </row>
    <row r="33649" spans="10:10" x14ac:dyDescent="0.3">
      <c r="J33649"/>
    </row>
    <row r="33650" spans="10:10" x14ac:dyDescent="0.3">
      <c r="J33650"/>
    </row>
    <row r="33651" spans="10:10" x14ac:dyDescent="0.3">
      <c r="J33651"/>
    </row>
    <row r="33652" spans="10:10" x14ac:dyDescent="0.3">
      <c r="J33652"/>
    </row>
    <row r="33653" spans="10:10" x14ac:dyDescent="0.3">
      <c r="J33653"/>
    </row>
    <row r="33654" spans="10:10" x14ac:dyDescent="0.3">
      <c r="J33654"/>
    </row>
    <row r="33655" spans="10:10" x14ac:dyDescent="0.3">
      <c r="J33655"/>
    </row>
    <row r="33656" spans="10:10" x14ac:dyDescent="0.3">
      <c r="J33656"/>
    </row>
    <row r="33657" spans="10:10" x14ac:dyDescent="0.3">
      <c r="J33657"/>
    </row>
    <row r="33658" spans="10:10" x14ac:dyDescent="0.3">
      <c r="J33658"/>
    </row>
    <row r="33659" spans="10:10" x14ac:dyDescent="0.3">
      <c r="J33659"/>
    </row>
    <row r="33660" spans="10:10" x14ac:dyDescent="0.3">
      <c r="J33660"/>
    </row>
    <row r="33661" spans="10:10" x14ac:dyDescent="0.3">
      <c r="J33661"/>
    </row>
    <row r="33662" spans="10:10" x14ac:dyDescent="0.3">
      <c r="J33662"/>
    </row>
    <row r="33663" spans="10:10" x14ac:dyDescent="0.3">
      <c r="J33663"/>
    </row>
    <row r="33664" spans="10:10" x14ac:dyDescent="0.3">
      <c r="J33664"/>
    </row>
    <row r="33665" spans="10:10" x14ac:dyDescent="0.3">
      <c r="J33665"/>
    </row>
    <row r="33666" spans="10:10" x14ac:dyDescent="0.3">
      <c r="J33666"/>
    </row>
    <row r="33667" spans="10:10" x14ac:dyDescent="0.3">
      <c r="J33667"/>
    </row>
    <row r="33668" spans="10:10" x14ac:dyDescent="0.3">
      <c r="J33668"/>
    </row>
    <row r="33669" spans="10:10" x14ac:dyDescent="0.3">
      <c r="J33669"/>
    </row>
    <row r="33670" spans="10:10" x14ac:dyDescent="0.3">
      <c r="J33670"/>
    </row>
    <row r="33671" spans="10:10" x14ac:dyDescent="0.3">
      <c r="J33671"/>
    </row>
    <row r="33672" spans="10:10" x14ac:dyDescent="0.3">
      <c r="J33672"/>
    </row>
    <row r="33673" spans="10:10" x14ac:dyDescent="0.3">
      <c r="J33673"/>
    </row>
    <row r="33674" spans="10:10" x14ac:dyDescent="0.3">
      <c r="J33674"/>
    </row>
    <row r="33675" spans="10:10" x14ac:dyDescent="0.3">
      <c r="J33675"/>
    </row>
    <row r="33676" spans="10:10" x14ac:dyDescent="0.3">
      <c r="J33676"/>
    </row>
    <row r="33677" spans="10:10" x14ac:dyDescent="0.3">
      <c r="J33677"/>
    </row>
    <row r="33678" spans="10:10" x14ac:dyDescent="0.3">
      <c r="J33678"/>
    </row>
    <row r="33679" spans="10:10" x14ac:dyDescent="0.3">
      <c r="J33679"/>
    </row>
    <row r="33680" spans="10:10" x14ac:dyDescent="0.3">
      <c r="J33680"/>
    </row>
    <row r="33681" spans="10:10" x14ac:dyDescent="0.3">
      <c r="J33681"/>
    </row>
    <row r="33682" spans="10:10" x14ac:dyDescent="0.3">
      <c r="J33682"/>
    </row>
    <row r="33683" spans="10:10" x14ac:dyDescent="0.3">
      <c r="J33683"/>
    </row>
    <row r="33684" spans="10:10" x14ac:dyDescent="0.3">
      <c r="J33684"/>
    </row>
    <row r="33685" spans="10:10" x14ac:dyDescent="0.3">
      <c r="J33685"/>
    </row>
    <row r="33686" spans="10:10" x14ac:dyDescent="0.3">
      <c r="J33686"/>
    </row>
    <row r="33687" spans="10:10" x14ac:dyDescent="0.3">
      <c r="J33687"/>
    </row>
    <row r="33688" spans="10:10" x14ac:dyDescent="0.3">
      <c r="J33688"/>
    </row>
    <row r="33689" spans="10:10" x14ac:dyDescent="0.3">
      <c r="J33689"/>
    </row>
    <row r="33690" spans="10:10" x14ac:dyDescent="0.3">
      <c r="J33690"/>
    </row>
    <row r="33691" spans="10:10" x14ac:dyDescent="0.3">
      <c r="J33691"/>
    </row>
    <row r="33692" spans="10:10" x14ac:dyDescent="0.3">
      <c r="J33692"/>
    </row>
    <row r="33693" spans="10:10" x14ac:dyDescent="0.3">
      <c r="J33693"/>
    </row>
    <row r="33694" spans="10:10" x14ac:dyDescent="0.3">
      <c r="J33694"/>
    </row>
    <row r="33695" spans="10:10" x14ac:dyDescent="0.3">
      <c r="J33695"/>
    </row>
    <row r="33696" spans="10:10" x14ac:dyDescent="0.3">
      <c r="J33696"/>
    </row>
    <row r="33697" spans="10:10" x14ac:dyDescent="0.3">
      <c r="J33697"/>
    </row>
    <row r="33698" spans="10:10" x14ac:dyDescent="0.3">
      <c r="J33698"/>
    </row>
    <row r="33699" spans="10:10" x14ac:dyDescent="0.3">
      <c r="J33699"/>
    </row>
    <row r="33700" spans="10:10" x14ac:dyDescent="0.3">
      <c r="J33700"/>
    </row>
    <row r="33701" spans="10:10" x14ac:dyDescent="0.3">
      <c r="J33701"/>
    </row>
    <row r="33702" spans="10:10" x14ac:dyDescent="0.3">
      <c r="J33702"/>
    </row>
    <row r="33703" spans="10:10" x14ac:dyDescent="0.3">
      <c r="J33703"/>
    </row>
    <row r="33704" spans="10:10" x14ac:dyDescent="0.3">
      <c r="J33704"/>
    </row>
    <row r="33705" spans="10:10" x14ac:dyDescent="0.3">
      <c r="J33705"/>
    </row>
    <row r="33706" spans="10:10" x14ac:dyDescent="0.3">
      <c r="J33706"/>
    </row>
    <row r="33707" spans="10:10" x14ac:dyDescent="0.3">
      <c r="J33707"/>
    </row>
    <row r="33708" spans="10:10" x14ac:dyDescent="0.3">
      <c r="J33708"/>
    </row>
    <row r="33709" spans="10:10" x14ac:dyDescent="0.3">
      <c r="J33709"/>
    </row>
    <row r="33710" spans="10:10" x14ac:dyDescent="0.3">
      <c r="J33710"/>
    </row>
    <row r="33711" spans="10:10" x14ac:dyDescent="0.3">
      <c r="J33711"/>
    </row>
    <row r="33712" spans="10:10" x14ac:dyDescent="0.3">
      <c r="J33712"/>
    </row>
    <row r="33713" spans="10:10" x14ac:dyDescent="0.3">
      <c r="J33713"/>
    </row>
    <row r="33714" spans="10:10" x14ac:dyDescent="0.3">
      <c r="J33714"/>
    </row>
    <row r="33715" spans="10:10" x14ac:dyDescent="0.3">
      <c r="J33715"/>
    </row>
    <row r="33716" spans="10:10" x14ac:dyDescent="0.3">
      <c r="J33716"/>
    </row>
    <row r="33717" spans="10:10" x14ac:dyDescent="0.3">
      <c r="J33717"/>
    </row>
    <row r="33718" spans="10:10" x14ac:dyDescent="0.3">
      <c r="J33718"/>
    </row>
    <row r="33719" spans="10:10" x14ac:dyDescent="0.3">
      <c r="J33719"/>
    </row>
    <row r="33720" spans="10:10" x14ac:dyDescent="0.3">
      <c r="J33720"/>
    </row>
    <row r="33721" spans="10:10" x14ac:dyDescent="0.3">
      <c r="J33721"/>
    </row>
    <row r="33722" spans="10:10" x14ac:dyDescent="0.3">
      <c r="J33722"/>
    </row>
    <row r="33723" spans="10:10" x14ac:dyDescent="0.3">
      <c r="J33723"/>
    </row>
    <row r="33724" spans="10:10" x14ac:dyDescent="0.3">
      <c r="J33724"/>
    </row>
    <row r="33725" spans="10:10" x14ac:dyDescent="0.3">
      <c r="J33725"/>
    </row>
    <row r="33726" spans="10:10" x14ac:dyDescent="0.3">
      <c r="J33726"/>
    </row>
    <row r="33727" spans="10:10" x14ac:dyDescent="0.3">
      <c r="J33727"/>
    </row>
    <row r="33728" spans="10:10" x14ac:dyDescent="0.3">
      <c r="J33728"/>
    </row>
    <row r="33729" spans="10:10" x14ac:dyDescent="0.3">
      <c r="J33729"/>
    </row>
    <row r="33730" spans="10:10" x14ac:dyDescent="0.3">
      <c r="J33730"/>
    </row>
    <row r="33731" spans="10:10" x14ac:dyDescent="0.3">
      <c r="J33731"/>
    </row>
    <row r="33732" spans="10:10" x14ac:dyDescent="0.3">
      <c r="J33732"/>
    </row>
    <row r="33733" spans="10:10" x14ac:dyDescent="0.3">
      <c r="J33733"/>
    </row>
    <row r="33734" spans="10:10" x14ac:dyDescent="0.3">
      <c r="J33734"/>
    </row>
    <row r="33735" spans="10:10" x14ac:dyDescent="0.3">
      <c r="J33735"/>
    </row>
    <row r="33736" spans="10:10" x14ac:dyDescent="0.3">
      <c r="J33736"/>
    </row>
    <row r="33737" spans="10:10" x14ac:dyDescent="0.3">
      <c r="J33737"/>
    </row>
    <row r="33738" spans="10:10" x14ac:dyDescent="0.3">
      <c r="J33738"/>
    </row>
    <row r="33739" spans="10:10" x14ac:dyDescent="0.3">
      <c r="J33739"/>
    </row>
    <row r="33740" spans="10:10" x14ac:dyDescent="0.3">
      <c r="J33740"/>
    </row>
    <row r="33741" spans="10:10" x14ac:dyDescent="0.3">
      <c r="J33741"/>
    </row>
    <row r="33742" spans="10:10" x14ac:dyDescent="0.3">
      <c r="J33742"/>
    </row>
    <row r="33743" spans="10:10" x14ac:dyDescent="0.3">
      <c r="J33743"/>
    </row>
    <row r="33744" spans="10:10" x14ac:dyDescent="0.3">
      <c r="J33744"/>
    </row>
    <row r="33745" spans="10:10" x14ac:dyDescent="0.3">
      <c r="J33745"/>
    </row>
    <row r="33746" spans="10:10" x14ac:dyDescent="0.3">
      <c r="J33746"/>
    </row>
    <row r="33747" spans="10:10" x14ac:dyDescent="0.3">
      <c r="J33747"/>
    </row>
    <row r="33748" spans="10:10" x14ac:dyDescent="0.3">
      <c r="J33748"/>
    </row>
    <row r="33749" spans="10:10" x14ac:dyDescent="0.3">
      <c r="J33749"/>
    </row>
    <row r="33750" spans="10:10" x14ac:dyDescent="0.3">
      <c r="J33750"/>
    </row>
    <row r="33751" spans="10:10" x14ac:dyDescent="0.3">
      <c r="J33751"/>
    </row>
    <row r="33752" spans="10:10" x14ac:dyDescent="0.3">
      <c r="J33752"/>
    </row>
    <row r="33753" spans="10:10" x14ac:dyDescent="0.3">
      <c r="J33753"/>
    </row>
    <row r="33754" spans="10:10" x14ac:dyDescent="0.3">
      <c r="J33754"/>
    </row>
    <row r="33755" spans="10:10" x14ac:dyDescent="0.3">
      <c r="J33755"/>
    </row>
    <row r="33756" spans="10:10" x14ac:dyDescent="0.3">
      <c r="J33756"/>
    </row>
    <row r="33757" spans="10:10" x14ac:dyDescent="0.3">
      <c r="J33757"/>
    </row>
    <row r="33758" spans="10:10" x14ac:dyDescent="0.3">
      <c r="J33758"/>
    </row>
    <row r="33759" spans="10:10" x14ac:dyDescent="0.3">
      <c r="J33759"/>
    </row>
    <row r="33760" spans="10:10" x14ac:dyDescent="0.3">
      <c r="J33760"/>
    </row>
    <row r="33761" spans="10:10" x14ac:dyDescent="0.3">
      <c r="J33761"/>
    </row>
    <row r="33762" spans="10:10" x14ac:dyDescent="0.3">
      <c r="J33762"/>
    </row>
    <row r="33763" spans="10:10" x14ac:dyDescent="0.3">
      <c r="J33763"/>
    </row>
    <row r="33764" spans="10:10" x14ac:dyDescent="0.3">
      <c r="J33764"/>
    </row>
    <row r="33765" spans="10:10" x14ac:dyDescent="0.3">
      <c r="J33765"/>
    </row>
    <row r="33766" spans="10:10" x14ac:dyDescent="0.3">
      <c r="J33766"/>
    </row>
    <row r="33767" spans="10:10" x14ac:dyDescent="0.3">
      <c r="J33767"/>
    </row>
    <row r="33768" spans="10:10" x14ac:dyDescent="0.3">
      <c r="J33768"/>
    </row>
    <row r="33769" spans="10:10" x14ac:dyDescent="0.3">
      <c r="J33769"/>
    </row>
    <row r="33770" spans="10:10" x14ac:dyDescent="0.3">
      <c r="J33770"/>
    </row>
    <row r="33771" spans="10:10" x14ac:dyDescent="0.3">
      <c r="J33771"/>
    </row>
    <row r="33772" spans="10:10" x14ac:dyDescent="0.3">
      <c r="J33772"/>
    </row>
    <row r="33773" spans="10:10" x14ac:dyDescent="0.3">
      <c r="J33773"/>
    </row>
    <row r="33774" spans="10:10" x14ac:dyDescent="0.3">
      <c r="J33774"/>
    </row>
    <row r="33775" spans="10:10" x14ac:dyDescent="0.3">
      <c r="J33775"/>
    </row>
    <row r="33776" spans="10:10" x14ac:dyDescent="0.3">
      <c r="J33776"/>
    </row>
    <row r="33777" spans="10:10" x14ac:dyDescent="0.3">
      <c r="J33777"/>
    </row>
    <row r="33778" spans="10:10" x14ac:dyDescent="0.3">
      <c r="J33778"/>
    </row>
    <row r="33779" spans="10:10" x14ac:dyDescent="0.3">
      <c r="J33779"/>
    </row>
    <row r="33780" spans="10:10" x14ac:dyDescent="0.3">
      <c r="J33780"/>
    </row>
    <row r="33781" spans="10:10" x14ac:dyDescent="0.3">
      <c r="J33781"/>
    </row>
    <row r="33782" spans="10:10" x14ac:dyDescent="0.3">
      <c r="J33782"/>
    </row>
    <row r="33783" spans="10:10" x14ac:dyDescent="0.3">
      <c r="J33783"/>
    </row>
    <row r="33784" spans="10:10" x14ac:dyDescent="0.3">
      <c r="J33784"/>
    </row>
    <row r="33785" spans="10:10" x14ac:dyDescent="0.3">
      <c r="J33785"/>
    </row>
    <row r="33786" spans="10:10" x14ac:dyDescent="0.3">
      <c r="J33786"/>
    </row>
    <row r="33787" spans="10:10" x14ac:dyDescent="0.3">
      <c r="J33787"/>
    </row>
    <row r="33788" spans="10:10" x14ac:dyDescent="0.3">
      <c r="J33788"/>
    </row>
    <row r="33789" spans="10:10" x14ac:dyDescent="0.3">
      <c r="J33789"/>
    </row>
    <row r="33790" spans="10:10" x14ac:dyDescent="0.3">
      <c r="J33790"/>
    </row>
    <row r="33791" spans="10:10" x14ac:dyDescent="0.3">
      <c r="J33791"/>
    </row>
    <row r="33792" spans="10:10" x14ac:dyDescent="0.3">
      <c r="J33792"/>
    </row>
    <row r="33793" spans="10:10" x14ac:dyDescent="0.3">
      <c r="J33793"/>
    </row>
    <row r="33794" spans="10:10" x14ac:dyDescent="0.3">
      <c r="J33794"/>
    </row>
    <row r="33795" spans="10:10" x14ac:dyDescent="0.3">
      <c r="J33795"/>
    </row>
    <row r="33796" spans="10:10" x14ac:dyDescent="0.3">
      <c r="J33796"/>
    </row>
    <row r="33797" spans="10:10" x14ac:dyDescent="0.3">
      <c r="J33797"/>
    </row>
    <row r="33798" spans="10:10" x14ac:dyDescent="0.3">
      <c r="J33798"/>
    </row>
    <row r="33799" spans="10:10" x14ac:dyDescent="0.3">
      <c r="J33799"/>
    </row>
    <row r="33800" spans="10:10" x14ac:dyDescent="0.3">
      <c r="J33800"/>
    </row>
    <row r="33801" spans="10:10" x14ac:dyDescent="0.3">
      <c r="J33801"/>
    </row>
    <row r="33802" spans="10:10" x14ac:dyDescent="0.3">
      <c r="J33802"/>
    </row>
    <row r="33803" spans="10:10" x14ac:dyDescent="0.3">
      <c r="J33803"/>
    </row>
    <row r="33804" spans="10:10" x14ac:dyDescent="0.3">
      <c r="J33804"/>
    </row>
    <row r="33805" spans="10:10" x14ac:dyDescent="0.3">
      <c r="J33805"/>
    </row>
    <row r="33806" spans="10:10" x14ac:dyDescent="0.3">
      <c r="J33806"/>
    </row>
    <row r="33807" spans="10:10" x14ac:dyDescent="0.3">
      <c r="J33807"/>
    </row>
    <row r="33808" spans="10:10" x14ac:dyDescent="0.3">
      <c r="J33808"/>
    </row>
    <row r="33809" spans="10:10" x14ac:dyDescent="0.3">
      <c r="J33809"/>
    </row>
    <row r="33810" spans="10:10" x14ac:dyDescent="0.3">
      <c r="J33810"/>
    </row>
    <row r="33811" spans="10:10" x14ac:dyDescent="0.3">
      <c r="J33811"/>
    </row>
    <row r="33812" spans="10:10" x14ac:dyDescent="0.3">
      <c r="J33812"/>
    </row>
    <row r="33813" spans="10:10" x14ac:dyDescent="0.3">
      <c r="J33813"/>
    </row>
    <row r="33814" spans="10:10" x14ac:dyDescent="0.3">
      <c r="J33814"/>
    </row>
    <row r="33815" spans="10:10" x14ac:dyDescent="0.3">
      <c r="J33815"/>
    </row>
    <row r="33816" spans="10:10" x14ac:dyDescent="0.3">
      <c r="J33816"/>
    </row>
    <row r="33817" spans="10:10" x14ac:dyDescent="0.3">
      <c r="J33817"/>
    </row>
    <row r="33818" spans="10:10" x14ac:dyDescent="0.3">
      <c r="J33818"/>
    </row>
    <row r="33819" spans="10:10" x14ac:dyDescent="0.3">
      <c r="J33819"/>
    </row>
    <row r="33820" spans="10:10" x14ac:dyDescent="0.3">
      <c r="J33820"/>
    </row>
    <row r="33821" spans="10:10" x14ac:dyDescent="0.3">
      <c r="J33821"/>
    </row>
    <row r="33822" spans="10:10" x14ac:dyDescent="0.3">
      <c r="J33822"/>
    </row>
    <row r="33823" spans="10:10" x14ac:dyDescent="0.3">
      <c r="J33823"/>
    </row>
    <row r="33824" spans="10:10" x14ac:dyDescent="0.3">
      <c r="J33824"/>
    </row>
    <row r="33825" spans="10:10" x14ac:dyDescent="0.3">
      <c r="J33825"/>
    </row>
    <row r="33826" spans="10:10" x14ac:dyDescent="0.3">
      <c r="J33826"/>
    </row>
    <row r="33827" spans="10:10" x14ac:dyDescent="0.3">
      <c r="J33827"/>
    </row>
    <row r="33828" spans="10:10" x14ac:dyDescent="0.3">
      <c r="J33828"/>
    </row>
    <row r="33829" spans="10:10" x14ac:dyDescent="0.3">
      <c r="J33829"/>
    </row>
    <row r="33830" spans="10:10" x14ac:dyDescent="0.3">
      <c r="J33830"/>
    </row>
    <row r="33831" spans="10:10" x14ac:dyDescent="0.3">
      <c r="J33831"/>
    </row>
    <row r="33832" spans="10:10" x14ac:dyDescent="0.3">
      <c r="J33832"/>
    </row>
    <row r="33833" spans="10:10" x14ac:dyDescent="0.3">
      <c r="J33833"/>
    </row>
    <row r="33834" spans="10:10" x14ac:dyDescent="0.3">
      <c r="J33834"/>
    </row>
    <row r="33835" spans="10:10" x14ac:dyDescent="0.3">
      <c r="J33835"/>
    </row>
    <row r="33836" spans="10:10" x14ac:dyDescent="0.3">
      <c r="J33836"/>
    </row>
    <row r="33837" spans="10:10" x14ac:dyDescent="0.3">
      <c r="J33837"/>
    </row>
    <row r="33838" spans="10:10" x14ac:dyDescent="0.3">
      <c r="J33838"/>
    </row>
    <row r="33839" spans="10:10" x14ac:dyDescent="0.3">
      <c r="J33839"/>
    </row>
    <row r="33840" spans="10:10" x14ac:dyDescent="0.3">
      <c r="J33840"/>
    </row>
    <row r="33841" spans="10:10" x14ac:dyDescent="0.3">
      <c r="J33841"/>
    </row>
    <row r="33842" spans="10:10" x14ac:dyDescent="0.3">
      <c r="J33842"/>
    </row>
    <row r="33843" spans="10:10" x14ac:dyDescent="0.3">
      <c r="J33843"/>
    </row>
    <row r="33844" spans="10:10" x14ac:dyDescent="0.3">
      <c r="J33844"/>
    </row>
    <row r="33845" spans="10:10" x14ac:dyDescent="0.3">
      <c r="J33845"/>
    </row>
    <row r="33846" spans="10:10" x14ac:dyDescent="0.3">
      <c r="J33846"/>
    </row>
    <row r="33847" spans="10:10" x14ac:dyDescent="0.3">
      <c r="J33847"/>
    </row>
    <row r="33848" spans="10:10" x14ac:dyDescent="0.3">
      <c r="J33848"/>
    </row>
    <row r="33849" spans="10:10" x14ac:dyDescent="0.3">
      <c r="J33849"/>
    </row>
    <row r="33850" spans="10:10" x14ac:dyDescent="0.3">
      <c r="J33850"/>
    </row>
    <row r="33851" spans="10:10" x14ac:dyDescent="0.3">
      <c r="J33851"/>
    </row>
    <row r="33852" spans="10:10" x14ac:dyDescent="0.3">
      <c r="J33852"/>
    </row>
    <row r="33853" spans="10:10" x14ac:dyDescent="0.3">
      <c r="J33853"/>
    </row>
    <row r="33854" spans="10:10" x14ac:dyDescent="0.3">
      <c r="J33854"/>
    </row>
    <row r="33855" spans="10:10" x14ac:dyDescent="0.3">
      <c r="J33855"/>
    </row>
    <row r="33856" spans="10:10" x14ac:dyDescent="0.3">
      <c r="J33856"/>
    </row>
    <row r="33857" spans="10:10" x14ac:dyDescent="0.3">
      <c r="J33857"/>
    </row>
    <row r="33858" spans="10:10" x14ac:dyDescent="0.3">
      <c r="J33858"/>
    </row>
    <row r="33859" spans="10:10" x14ac:dyDescent="0.3">
      <c r="J33859"/>
    </row>
    <row r="33860" spans="10:10" x14ac:dyDescent="0.3">
      <c r="J33860"/>
    </row>
    <row r="33861" spans="10:10" x14ac:dyDescent="0.3">
      <c r="J33861"/>
    </row>
    <row r="33862" spans="10:10" x14ac:dyDescent="0.3">
      <c r="J33862"/>
    </row>
    <row r="33863" spans="10:10" x14ac:dyDescent="0.3">
      <c r="J33863"/>
    </row>
    <row r="33864" spans="10:10" x14ac:dyDescent="0.3">
      <c r="J33864"/>
    </row>
    <row r="33865" spans="10:10" x14ac:dyDescent="0.3">
      <c r="J33865"/>
    </row>
    <row r="33866" spans="10:10" x14ac:dyDescent="0.3">
      <c r="J33866"/>
    </row>
    <row r="33867" spans="10:10" x14ac:dyDescent="0.3">
      <c r="J33867"/>
    </row>
    <row r="33868" spans="10:10" x14ac:dyDescent="0.3">
      <c r="J33868"/>
    </row>
    <row r="33869" spans="10:10" x14ac:dyDescent="0.3">
      <c r="J33869"/>
    </row>
    <row r="33870" spans="10:10" x14ac:dyDescent="0.3">
      <c r="J33870"/>
    </row>
    <row r="33871" spans="10:10" x14ac:dyDescent="0.3">
      <c r="J33871"/>
    </row>
    <row r="33872" spans="10:10" x14ac:dyDescent="0.3">
      <c r="J33872"/>
    </row>
    <row r="33873" spans="10:10" x14ac:dyDescent="0.3">
      <c r="J33873"/>
    </row>
    <row r="33874" spans="10:10" x14ac:dyDescent="0.3">
      <c r="J33874"/>
    </row>
    <row r="33875" spans="10:10" x14ac:dyDescent="0.3">
      <c r="J33875"/>
    </row>
    <row r="33876" spans="10:10" x14ac:dyDescent="0.3">
      <c r="J33876"/>
    </row>
    <row r="33877" spans="10:10" x14ac:dyDescent="0.3">
      <c r="J33877"/>
    </row>
    <row r="33878" spans="10:10" x14ac:dyDescent="0.3">
      <c r="J33878"/>
    </row>
    <row r="33879" spans="10:10" x14ac:dyDescent="0.3">
      <c r="J33879"/>
    </row>
    <row r="33880" spans="10:10" x14ac:dyDescent="0.3">
      <c r="J33880"/>
    </row>
    <row r="33881" spans="10:10" x14ac:dyDescent="0.3">
      <c r="J33881"/>
    </row>
    <row r="33882" spans="10:10" x14ac:dyDescent="0.3">
      <c r="J33882"/>
    </row>
    <row r="33883" spans="10:10" x14ac:dyDescent="0.3">
      <c r="J33883"/>
    </row>
    <row r="33884" spans="10:10" x14ac:dyDescent="0.3">
      <c r="J33884"/>
    </row>
    <row r="33885" spans="10:10" x14ac:dyDescent="0.3">
      <c r="J33885"/>
    </row>
    <row r="33886" spans="10:10" x14ac:dyDescent="0.3">
      <c r="J33886"/>
    </row>
    <row r="33887" spans="10:10" x14ac:dyDescent="0.3">
      <c r="J33887"/>
    </row>
    <row r="33888" spans="10:10" x14ac:dyDescent="0.3">
      <c r="J33888"/>
    </row>
    <row r="33889" spans="10:10" x14ac:dyDescent="0.3">
      <c r="J33889"/>
    </row>
    <row r="33890" spans="10:10" x14ac:dyDescent="0.3">
      <c r="J33890"/>
    </row>
    <row r="33891" spans="10:10" x14ac:dyDescent="0.3">
      <c r="J33891"/>
    </row>
    <row r="33892" spans="10:10" x14ac:dyDescent="0.3">
      <c r="J33892"/>
    </row>
    <row r="33893" spans="10:10" x14ac:dyDescent="0.3">
      <c r="J33893"/>
    </row>
    <row r="33894" spans="10:10" x14ac:dyDescent="0.3">
      <c r="J33894"/>
    </row>
    <row r="33895" spans="10:10" x14ac:dyDescent="0.3">
      <c r="J33895"/>
    </row>
    <row r="33896" spans="10:10" x14ac:dyDescent="0.3">
      <c r="J33896"/>
    </row>
    <row r="33897" spans="10:10" x14ac:dyDescent="0.3">
      <c r="J33897"/>
    </row>
    <row r="33898" spans="10:10" x14ac:dyDescent="0.3">
      <c r="J33898"/>
    </row>
    <row r="33899" spans="10:10" x14ac:dyDescent="0.3">
      <c r="J33899"/>
    </row>
    <row r="33900" spans="10:10" x14ac:dyDescent="0.3">
      <c r="J33900"/>
    </row>
    <row r="33901" spans="10:10" x14ac:dyDescent="0.3">
      <c r="J33901"/>
    </row>
    <row r="33902" spans="10:10" x14ac:dyDescent="0.3">
      <c r="J33902"/>
    </row>
    <row r="33903" spans="10:10" x14ac:dyDescent="0.3">
      <c r="J33903"/>
    </row>
    <row r="33904" spans="10:10" x14ac:dyDescent="0.3">
      <c r="J33904"/>
    </row>
    <row r="33905" spans="10:10" x14ac:dyDescent="0.3">
      <c r="J33905"/>
    </row>
    <row r="33906" spans="10:10" x14ac:dyDescent="0.3">
      <c r="J33906"/>
    </row>
    <row r="33907" spans="10:10" x14ac:dyDescent="0.3">
      <c r="J33907"/>
    </row>
    <row r="33908" spans="10:10" x14ac:dyDescent="0.3">
      <c r="J33908"/>
    </row>
    <row r="33909" spans="10:10" x14ac:dyDescent="0.3">
      <c r="J33909"/>
    </row>
    <row r="33910" spans="10:10" x14ac:dyDescent="0.3">
      <c r="J33910"/>
    </row>
    <row r="33911" spans="10:10" x14ac:dyDescent="0.3">
      <c r="J33911"/>
    </row>
    <row r="33912" spans="10:10" x14ac:dyDescent="0.3">
      <c r="J33912"/>
    </row>
    <row r="33913" spans="10:10" x14ac:dyDescent="0.3">
      <c r="J33913"/>
    </row>
    <row r="33914" spans="10:10" x14ac:dyDescent="0.3">
      <c r="J33914"/>
    </row>
    <row r="33915" spans="10:10" x14ac:dyDescent="0.3">
      <c r="J33915"/>
    </row>
    <row r="33916" spans="10:10" x14ac:dyDescent="0.3">
      <c r="J33916"/>
    </row>
    <row r="33917" spans="10:10" x14ac:dyDescent="0.3">
      <c r="J33917"/>
    </row>
    <row r="33918" spans="10:10" x14ac:dyDescent="0.3">
      <c r="J33918"/>
    </row>
    <row r="33919" spans="10:10" x14ac:dyDescent="0.3">
      <c r="J33919"/>
    </row>
    <row r="33920" spans="10:10" x14ac:dyDescent="0.3">
      <c r="J33920"/>
    </row>
    <row r="33921" spans="10:10" x14ac:dyDescent="0.3">
      <c r="J33921"/>
    </row>
    <row r="33922" spans="10:10" x14ac:dyDescent="0.3">
      <c r="J33922"/>
    </row>
    <row r="33923" spans="10:10" x14ac:dyDescent="0.3">
      <c r="J33923"/>
    </row>
    <row r="33924" spans="10:10" x14ac:dyDescent="0.3">
      <c r="J33924"/>
    </row>
    <row r="33925" spans="10:10" x14ac:dyDescent="0.3">
      <c r="J33925"/>
    </row>
    <row r="33926" spans="10:10" x14ac:dyDescent="0.3">
      <c r="J33926"/>
    </row>
    <row r="33927" spans="10:10" x14ac:dyDescent="0.3">
      <c r="J33927"/>
    </row>
    <row r="33928" spans="10:10" x14ac:dyDescent="0.3">
      <c r="J33928"/>
    </row>
    <row r="33929" spans="10:10" x14ac:dyDescent="0.3">
      <c r="J33929"/>
    </row>
    <row r="33930" spans="10:10" x14ac:dyDescent="0.3">
      <c r="J33930"/>
    </row>
    <row r="33931" spans="10:10" x14ac:dyDescent="0.3">
      <c r="J33931"/>
    </row>
    <row r="33932" spans="10:10" x14ac:dyDescent="0.3">
      <c r="J33932"/>
    </row>
    <row r="33933" spans="10:10" x14ac:dyDescent="0.3">
      <c r="J33933"/>
    </row>
    <row r="33934" spans="10:10" x14ac:dyDescent="0.3">
      <c r="J33934"/>
    </row>
    <row r="33935" spans="10:10" x14ac:dyDescent="0.3">
      <c r="J33935"/>
    </row>
    <row r="33936" spans="10:10" x14ac:dyDescent="0.3">
      <c r="J33936"/>
    </row>
    <row r="33937" spans="10:10" x14ac:dyDescent="0.3">
      <c r="J33937"/>
    </row>
    <row r="33938" spans="10:10" x14ac:dyDescent="0.3">
      <c r="J33938"/>
    </row>
    <row r="33939" spans="10:10" x14ac:dyDescent="0.3">
      <c r="J33939"/>
    </row>
    <row r="33940" spans="10:10" x14ac:dyDescent="0.3">
      <c r="J33940"/>
    </row>
    <row r="33941" spans="10:10" x14ac:dyDescent="0.3">
      <c r="J33941"/>
    </row>
    <row r="33942" spans="10:10" x14ac:dyDescent="0.3">
      <c r="J33942"/>
    </row>
    <row r="33943" spans="10:10" x14ac:dyDescent="0.3">
      <c r="J33943"/>
    </row>
    <row r="33944" spans="10:10" x14ac:dyDescent="0.3">
      <c r="J33944"/>
    </row>
    <row r="33945" spans="10:10" x14ac:dyDescent="0.3">
      <c r="J33945"/>
    </row>
    <row r="33946" spans="10:10" x14ac:dyDescent="0.3">
      <c r="J33946"/>
    </row>
    <row r="33947" spans="10:10" x14ac:dyDescent="0.3">
      <c r="J33947"/>
    </row>
    <row r="33948" spans="10:10" x14ac:dyDescent="0.3">
      <c r="J33948"/>
    </row>
    <row r="33949" spans="10:10" x14ac:dyDescent="0.3">
      <c r="J33949"/>
    </row>
    <row r="33950" spans="10:10" x14ac:dyDescent="0.3">
      <c r="J33950"/>
    </row>
    <row r="33951" spans="10:10" x14ac:dyDescent="0.3">
      <c r="J33951"/>
    </row>
    <row r="33952" spans="10:10" x14ac:dyDescent="0.3">
      <c r="J33952"/>
    </row>
    <row r="33953" spans="10:10" x14ac:dyDescent="0.3">
      <c r="J33953"/>
    </row>
    <row r="33954" spans="10:10" x14ac:dyDescent="0.3">
      <c r="J33954"/>
    </row>
    <row r="33955" spans="10:10" x14ac:dyDescent="0.3">
      <c r="J33955"/>
    </row>
    <row r="33956" spans="10:10" x14ac:dyDescent="0.3">
      <c r="J33956"/>
    </row>
    <row r="33957" spans="10:10" x14ac:dyDescent="0.3">
      <c r="J33957"/>
    </row>
    <row r="33958" spans="10:10" x14ac:dyDescent="0.3">
      <c r="J33958"/>
    </row>
    <row r="33959" spans="10:10" x14ac:dyDescent="0.3">
      <c r="J33959"/>
    </row>
    <row r="33960" spans="10:10" x14ac:dyDescent="0.3">
      <c r="J33960"/>
    </row>
    <row r="33961" spans="10:10" x14ac:dyDescent="0.3">
      <c r="J33961"/>
    </row>
    <row r="33962" spans="10:10" x14ac:dyDescent="0.3">
      <c r="J33962"/>
    </row>
    <row r="33963" spans="10:10" x14ac:dyDescent="0.3">
      <c r="J33963"/>
    </row>
    <row r="33964" spans="10:10" x14ac:dyDescent="0.3">
      <c r="J33964"/>
    </row>
    <row r="33965" spans="10:10" x14ac:dyDescent="0.3">
      <c r="J33965"/>
    </row>
    <row r="33966" spans="10:10" x14ac:dyDescent="0.3">
      <c r="J33966"/>
    </row>
    <row r="33967" spans="10:10" x14ac:dyDescent="0.3">
      <c r="J33967"/>
    </row>
    <row r="33968" spans="10:10" x14ac:dyDescent="0.3">
      <c r="J33968"/>
    </row>
    <row r="33969" spans="10:10" x14ac:dyDescent="0.3">
      <c r="J33969"/>
    </row>
    <row r="33970" spans="10:10" x14ac:dyDescent="0.3">
      <c r="J33970"/>
    </row>
    <row r="33971" spans="10:10" x14ac:dyDescent="0.3">
      <c r="J33971"/>
    </row>
    <row r="33972" spans="10:10" x14ac:dyDescent="0.3">
      <c r="J33972"/>
    </row>
    <row r="33973" spans="10:10" x14ac:dyDescent="0.3">
      <c r="J33973"/>
    </row>
    <row r="33974" spans="10:10" x14ac:dyDescent="0.3">
      <c r="J33974"/>
    </row>
    <row r="33975" spans="10:10" x14ac:dyDescent="0.3">
      <c r="J33975"/>
    </row>
    <row r="33976" spans="10:10" x14ac:dyDescent="0.3">
      <c r="J33976"/>
    </row>
    <row r="33977" spans="10:10" x14ac:dyDescent="0.3">
      <c r="J33977"/>
    </row>
    <row r="33978" spans="10:10" x14ac:dyDescent="0.3">
      <c r="J33978"/>
    </row>
    <row r="33979" spans="10:10" x14ac:dyDescent="0.3">
      <c r="J33979"/>
    </row>
    <row r="33980" spans="10:10" x14ac:dyDescent="0.3">
      <c r="J33980"/>
    </row>
    <row r="33981" spans="10:10" x14ac:dyDescent="0.3">
      <c r="J33981"/>
    </row>
    <row r="33982" spans="10:10" x14ac:dyDescent="0.3">
      <c r="J33982"/>
    </row>
    <row r="33983" spans="10:10" x14ac:dyDescent="0.3">
      <c r="J33983"/>
    </row>
    <row r="33984" spans="10:10" x14ac:dyDescent="0.3">
      <c r="J33984"/>
    </row>
    <row r="33985" spans="10:10" x14ac:dyDescent="0.3">
      <c r="J33985"/>
    </row>
    <row r="33986" spans="10:10" x14ac:dyDescent="0.3">
      <c r="J33986"/>
    </row>
    <row r="33987" spans="10:10" x14ac:dyDescent="0.3">
      <c r="J33987"/>
    </row>
    <row r="33988" spans="10:10" x14ac:dyDescent="0.3">
      <c r="J33988"/>
    </row>
    <row r="33989" spans="10:10" x14ac:dyDescent="0.3">
      <c r="J33989"/>
    </row>
    <row r="33990" spans="10:10" x14ac:dyDescent="0.3">
      <c r="J33990"/>
    </row>
    <row r="33991" spans="10:10" x14ac:dyDescent="0.3">
      <c r="J33991"/>
    </row>
    <row r="33992" spans="10:10" x14ac:dyDescent="0.3">
      <c r="J33992"/>
    </row>
    <row r="33993" spans="10:10" x14ac:dyDescent="0.3">
      <c r="J33993"/>
    </row>
    <row r="33994" spans="10:10" x14ac:dyDescent="0.3">
      <c r="J33994"/>
    </row>
    <row r="33995" spans="10:10" x14ac:dyDescent="0.3">
      <c r="J33995"/>
    </row>
    <row r="33996" spans="10:10" x14ac:dyDescent="0.3">
      <c r="J33996"/>
    </row>
    <row r="33997" spans="10:10" x14ac:dyDescent="0.3">
      <c r="J33997"/>
    </row>
    <row r="33998" spans="10:10" x14ac:dyDescent="0.3">
      <c r="J33998"/>
    </row>
    <row r="33999" spans="10:10" x14ac:dyDescent="0.3">
      <c r="J33999"/>
    </row>
    <row r="34000" spans="10:10" x14ac:dyDescent="0.3">
      <c r="J34000"/>
    </row>
    <row r="34001" spans="10:10" x14ac:dyDescent="0.3">
      <c r="J34001"/>
    </row>
    <row r="34002" spans="10:10" x14ac:dyDescent="0.3">
      <c r="J34002"/>
    </row>
    <row r="34003" spans="10:10" x14ac:dyDescent="0.3">
      <c r="J34003"/>
    </row>
    <row r="34004" spans="10:10" x14ac:dyDescent="0.3">
      <c r="J34004"/>
    </row>
    <row r="34005" spans="10:10" x14ac:dyDescent="0.3">
      <c r="J34005"/>
    </row>
    <row r="34006" spans="10:10" x14ac:dyDescent="0.3">
      <c r="J34006"/>
    </row>
    <row r="34007" spans="10:10" x14ac:dyDescent="0.3">
      <c r="J34007"/>
    </row>
    <row r="34008" spans="10:10" x14ac:dyDescent="0.3">
      <c r="J34008"/>
    </row>
    <row r="34009" spans="10:10" x14ac:dyDescent="0.3">
      <c r="J34009"/>
    </row>
    <row r="34010" spans="10:10" x14ac:dyDescent="0.3">
      <c r="J34010"/>
    </row>
    <row r="34011" spans="10:10" x14ac:dyDescent="0.3">
      <c r="J34011"/>
    </row>
    <row r="34012" spans="10:10" x14ac:dyDescent="0.3">
      <c r="J34012"/>
    </row>
    <row r="34013" spans="10:10" x14ac:dyDescent="0.3">
      <c r="J34013"/>
    </row>
    <row r="34014" spans="10:10" x14ac:dyDescent="0.3">
      <c r="J34014"/>
    </row>
    <row r="34015" spans="10:10" x14ac:dyDescent="0.3">
      <c r="J34015"/>
    </row>
    <row r="34016" spans="10:10" x14ac:dyDescent="0.3">
      <c r="J34016"/>
    </row>
    <row r="34017" spans="10:10" x14ac:dyDescent="0.3">
      <c r="J34017"/>
    </row>
    <row r="34018" spans="10:10" x14ac:dyDescent="0.3">
      <c r="J34018"/>
    </row>
    <row r="34019" spans="10:10" x14ac:dyDescent="0.3">
      <c r="J34019"/>
    </row>
    <row r="34020" spans="10:10" x14ac:dyDescent="0.3">
      <c r="J34020"/>
    </row>
    <row r="34021" spans="10:10" x14ac:dyDescent="0.3">
      <c r="J34021"/>
    </row>
    <row r="34022" spans="10:10" x14ac:dyDescent="0.3">
      <c r="J34022"/>
    </row>
    <row r="34023" spans="10:10" x14ac:dyDescent="0.3">
      <c r="J34023"/>
    </row>
    <row r="34024" spans="10:10" x14ac:dyDescent="0.3">
      <c r="J34024"/>
    </row>
    <row r="34025" spans="10:10" x14ac:dyDescent="0.3">
      <c r="J34025"/>
    </row>
    <row r="34026" spans="10:10" x14ac:dyDescent="0.3">
      <c r="J34026"/>
    </row>
    <row r="34027" spans="10:10" x14ac:dyDescent="0.3">
      <c r="J34027"/>
    </row>
    <row r="34028" spans="10:10" x14ac:dyDescent="0.3">
      <c r="J34028"/>
    </row>
    <row r="34029" spans="10:10" x14ac:dyDescent="0.3">
      <c r="J34029"/>
    </row>
    <row r="34030" spans="10:10" x14ac:dyDescent="0.3">
      <c r="J34030"/>
    </row>
    <row r="34031" spans="10:10" x14ac:dyDescent="0.3">
      <c r="J34031"/>
    </row>
    <row r="34032" spans="10:10" x14ac:dyDescent="0.3">
      <c r="J34032"/>
    </row>
    <row r="34033" spans="10:10" x14ac:dyDescent="0.3">
      <c r="J34033"/>
    </row>
    <row r="34034" spans="10:10" x14ac:dyDescent="0.3">
      <c r="J34034"/>
    </row>
    <row r="34035" spans="10:10" x14ac:dyDescent="0.3">
      <c r="J34035"/>
    </row>
    <row r="34036" spans="10:10" x14ac:dyDescent="0.3">
      <c r="J34036"/>
    </row>
    <row r="34037" spans="10:10" x14ac:dyDescent="0.3">
      <c r="J34037"/>
    </row>
    <row r="34038" spans="10:10" x14ac:dyDescent="0.3">
      <c r="J34038"/>
    </row>
    <row r="34039" spans="10:10" x14ac:dyDescent="0.3">
      <c r="J34039"/>
    </row>
    <row r="34040" spans="10:10" x14ac:dyDescent="0.3">
      <c r="J34040"/>
    </row>
    <row r="34041" spans="10:10" x14ac:dyDescent="0.3">
      <c r="J34041"/>
    </row>
    <row r="34042" spans="10:10" x14ac:dyDescent="0.3">
      <c r="J34042"/>
    </row>
    <row r="34043" spans="10:10" x14ac:dyDescent="0.3">
      <c r="J34043"/>
    </row>
    <row r="34044" spans="10:10" x14ac:dyDescent="0.3">
      <c r="J34044"/>
    </row>
    <row r="34045" spans="10:10" x14ac:dyDescent="0.3">
      <c r="J34045"/>
    </row>
    <row r="34046" spans="10:10" x14ac:dyDescent="0.3">
      <c r="J34046"/>
    </row>
    <row r="34047" spans="10:10" x14ac:dyDescent="0.3">
      <c r="J34047"/>
    </row>
    <row r="34048" spans="10:10" x14ac:dyDescent="0.3">
      <c r="J34048"/>
    </row>
    <row r="34049" spans="10:10" x14ac:dyDescent="0.3">
      <c r="J34049"/>
    </row>
    <row r="34050" spans="10:10" x14ac:dyDescent="0.3">
      <c r="J34050"/>
    </row>
    <row r="34051" spans="10:10" x14ac:dyDescent="0.3">
      <c r="J34051"/>
    </row>
    <row r="34052" spans="10:10" x14ac:dyDescent="0.3">
      <c r="J34052"/>
    </row>
    <row r="34053" spans="10:10" x14ac:dyDescent="0.3">
      <c r="J34053"/>
    </row>
    <row r="34054" spans="10:10" x14ac:dyDescent="0.3">
      <c r="J34054"/>
    </row>
    <row r="34055" spans="10:10" x14ac:dyDescent="0.3">
      <c r="J34055"/>
    </row>
    <row r="34056" spans="10:10" x14ac:dyDescent="0.3">
      <c r="J34056"/>
    </row>
    <row r="34057" spans="10:10" x14ac:dyDescent="0.3">
      <c r="J34057"/>
    </row>
    <row r="34058" spans="10:10" x14ac:dyDescent="0.3">
      <c r="J34058"/>
    </row>
    <row r="34059" spans="10:10" x14ac:dyDescent="0.3">
      <c r="J34059"/>
    </row>
    <row r="34060" spans="10:10" x14ac:dyDescent="0.3">
      <c r="J34060"/>
    </row>
    <row r="34061" spans="10:10" x14ac:dyDescent="0.3">
      <c r="J34061"/>
    </row>
    <row r="34062" spans="10:10" x14ac:dyDescent="0.3">
      <c r="J34062"/>
    </row>
    <row r="34063" spans="10:10" x14ac:dyDescent="0.3">
      <c r="J34063"/>
    </row>
    <row r="34064" spans="10:10" x14ac:dyDescent="0.3">
      <c r="J34064"/>
    </row>
    <row r="34065" spans="10:10" x14ac:dyDescent="0.3">
      <c r="J34065"/>
    </row>
    <row r="34066" spans="10:10" x14ac:dyDescent="0.3">
      <c r="J34066"/>
    </row>
    <row r="34067" spans="10:10" x14ac:dyDescent="0.3">
      <c r="J34067"/>
    </row>
    <row r="34068" spans="10:10" x14ac:dyDescent="0.3">
      <c r="J34068"/>
    </row>
    <row r="34069" spans="10:10" x14ac:dyDescent="0.3">
      <c r="J34069"/>
    </row>
    <row r="34070" spans="10:10" x14ac:dyDescent="0.3">
      <c r="J34070"/>
    </row>
    <row r="34071" spans="10:10" x14ac:dyDescent="0.3">
      <c r="J34071"/>
    </row>
    <row r="34072" spans="10:10" x14ac:dyDescent="0.3">
      <c r="J34072"/>
    </row>
    <row r="34073" spans="10:10" x14ac:dyDescent="0.3">
      <c r="J34073"/>
    </row>
    <row r="34074" spans="10:10" x14ac:dyDescent="0.3">
      <c r="J34074"/>
    </row>
    <row r="34075" spans="10:10" x14ac:dyDescent="0.3">
      <c r="J34075"/>
    </row>
    <row r="34076" spans="10:10" x14ac:dyDescent="0.3">
      <c r="J34076"/>
    </row>
    <row r="34077" spans="10:10" x14ac:dyDescent="0.3">
      <c r="J34077"/>
    </row>
    <row r="34078" spans="10:10" x14ac:dyDescent="0.3">
      <c r="J34078"/>
    </row>
    <row r="34079" spans="10:10" x14ac:dyDescent="0.3">
      <c r="J34079"/>
    </row>
    <row r="34080" spans="10:10" x14ac:dyDescent="0.3">
      <c r="J34080"/>
    </row>
    <row r="34081" spans="10:10" x14ac:dyDescent="0.3">
      <c r="J34081"/>
    </row>
    <row r="34082" spans="10:10" x14ac:dyDescent="0.3">
      <c r="J34082"/>
    </row>
    <row r="34083" spans="10:10" x14ac:dyDescent="0.3">
      <c r="J34083"/>
    </row>
    <row r="34084" spans="10:10" x14ac:dyDescent="0.3">
      <c r="J34084"/>
    </row>
    <row r="34085" spans="10:10" x14ac:dyDescent="0.3">
      <c r="J34085"/>
    </row>
    <row r="34086" spans="10:10" x14ac:dyDescent="0.3">
      <c r="J34086"/>
    </row>
    <row r="34087" spans="10:10" x14ac:dyDescent="0.3">
      <c r="J34087"/>
    </row>
    <row r="34088" spans="10:10" x14ac:dyDescent="0.3">
      <c r="J34088"/>
    </row>
    <row r="34089" spans="10:10" x14ac:dyDescent="0.3">
      <c r="J34089"/>
    </row>
    <row r="34090" spans="10:10" x14ac:dyDescent="0.3">
      <c r="J34090"/>
    </row>
    <row r="34091" spans="10:10" x14ac:dyDescent="0.3">
      <c r="J34091"/>
    </row>
    <row r="34092" spans="10:10" x14ac:dyDescent="0.3">
      <c r="J34092"/>
    </row>
    <row r="34093" spans="10:10" x14ac:dyDescent="0.3">
      <c r="J34093"/>
    </row>
    <row r="34094" spans="10:10" x14ac:dyDescent="0.3">
      <c r="J34094"/>
    </row>
    <row r="34095" spans="10:10" x14ac:dyDescent="0.3">
      <c r="J34095"/>
    </row>
    <row r="34096" spans="10:10" x14ac:dyDescent="0.3">
      <c r="J34096"/>
    </row>
    <row r="34097" spans="10:10" x14ac:dyDescent="0.3">
      <c r="J34097"/>
    </row>
    <row r="34098" spans="10:10" x14ac:dyDescent="0.3">
      <c r="J34098"/>
    </row>
    <row r="34099" spans="10:10" x14ac:dyDescent="0.3">
      <c r="J34099"/>
    </row>
    <row r="34100" spans="10:10" x14ac:dyDescent="0.3">
      <c r="J34100"/>
    </row>
    <row r="34101" spans="10:10" x14ac:dyDescent="0.3">
      <c r="J34101"/>
    </row>
    <row r="34102" spans="10:10" x14ac:dyDescent="0.3">
      <c r="J34102"/>
    </row>
    <row r="34103" spans="10:10" x14ac:dyDescent="0.3">
      <c r="J34103"/>
    </row>
    <row r="34104" spans="10:10" x14ac:dyDescent="0.3">
      <c r="J34104"/>
    </row>
    <row r="34105" spans="10:10" x14ac:dyDescent="0.3">
      <c r="J34105"/>
    </row>
    <row r="34106" spans="10:10" x14ac:dyDescent="0.3">
      <c r="J34106"/>
    </row>
    <row r="34107" spans="10:10" x14ac:dyDescent="0.3">
      <c r="J34107"/>
    </row>
    <row r="34108" spans="10:10" x14ac:dyDescent="0.3">
      <c r="J34108"/>
    </row>
    <row r="34109" spans="10:10" x14ac:dyDescent="0.3">
      <c r="J34109"/>
    </row>
    <row r="34110" spans="10:10" x14ac:dyDescent="0.3">
      <c r="J34110"/>
    </row>
    <row r="34111" spans="10:10" x14ac:dyDescent="0.3">
      <c r="J34111"/>
    </row>
    <row r="34112" spans="10:10" x14ac:dyDescent="0.3">
      <c r="J34112"/>
    </row>
    <row r="34113" spans="10:10" x14ac:dyDescent="0.3">
      <c r="J34113"/>
    </row>
    <row r="34114" spans="10:10" x14ac:dyDescent="0.3">
      <c r="J34114"/>
    </row>
    <row r="34115" spans="10:10" x14ac:dyDescent="0.3">
      <c r="J34115"/>
    </row>
    <row r="34116" spans="10:10" x14ac:dyDescent="0.3">
      <c r="J34116"/>
    </row>
    <row r="34117" spans="10:10" x14ac:dyDescent="0.3">
      <c r="J34117"/>
    </row>
    <row r="34118" spans="10:10" x14ac:dyDescent="0.3">
      <c r="J34118"/>
    </row>
    <row r="34119" spans="10:10" x14ac:dyDescent="0.3">
      <c r="J34119"/>
    </row>
    <row r="34120" spans="10:10" x14ac:dyDescent="0.3">
      <c r="J34120"/>
    </row>
    <row r="34121" spans="10:10" x14ac:dyDescent="0.3">
      <c r="J34121"/>
    </row>
    <row r="34122" spans="10:10" x14ac:dyDescent="0.3">
      <c r="J34122"/>
    </row>
    <row r="34123" spans="10:10" x14ac:dyDescent="0.3">
      <c r="J34123"/>
    </row>
    <row r="34124" spans="10:10" x14ac:dyDescent="0.3">
      <c r="J34124"/>
    </row>
    <row r="34125" spans="10:10" x14ac:dyDescent="0.3">
      <c r="J34125"/>
    </row>
    <row r="34126" spans="10:10" x14ac:dyDescent="0.3">
      <c r="J34126"/>
    </row>
    <row r="34127" spans="10:10" x14ac:dyDescent="0.3">
      <c r="J34127"/>
    </row>
    <row r="34128" spans="10:10" x14ac:dyDescent="0.3">
      <c r="J34128"/>
    </row>
    <row r="34129" spans="10:10" x14ac:dyDescent="0.3">
      <c r="J34129"/>
    </row>
    <row r="34130" spans="10:10" x14ac:dyDescent="0.3">
      <c r="J34130"/>
    </row>
    <row r="34131" spans="10:10" x14ac:dyDescent="0.3">
      <c r="J34131"/>
    </row>
    <row r="34132" spans="10:10" x14ac:dyDescent="0.3">
      <c r="J34132"/>
    </row>
    <row r="34133" spans="10:10" x14ac:dyDescent="0.3">
      <c r="J34133"/>
    </row>
    <row r="34134" spans="10:10" x14ac:dyDescent="0.3">
      <c r="J34134"/>
    </row>
    <row r="34135" spans="10:10" x14ac:dyDescent="0.3">
      <c r="J34135"/>
    </row>
    <row r="34136" spans="10:10" x14ac:dyDescent="0.3">
      <c r="J34136"/>
    </row>
    <row r="34137" spans="10:10" x14ac:dyDescent="0.3">
      <c r="J34137"/>
    </row>
    <row r="34138" spans="10:10" x14ac:dyDescent="0.3">
      <c r="J34138"/>
    </row>
    <row r="34139" spans="10:10" x14ac:dyDescent="0.3">
      <c r="J34139"/>
    </row>
    <row r="34140" spans="10:10" x14ac:dyDescent="0.3">
      <c r="J34140"/>
    </row>
    <row r="34141" spans="10:10" x14ac:dyDescent="0.3">
      <c r="J34141"/>
    </row>
    <row r="34142" spans="10:10" x14ac:dyDescent="0.3">
      <c r="J34142"/>
    </row>
    <row r="34143" spans="10:10" x14ac:dyDescent="0.3">
      <c r="J34143"/>
    </row>
    <row r="34144" spans="10:10" x14ac:dyDescent="0.3">
      <c r="J34144"/>
    </row>
    <row r="34145" spans="10:10" x14ac:dyDescent="0.3">
      <c r="J34145"/>
    </row>
    <row r="34146" spans="10:10" x14ac:dyDescent="0.3">
      <c r="J34146"/>
    </row>
    <row r="34147" spans="10:10" x14ac:dyDescent="0.3">
      <c r="J34147"/>
    </row>
    <row r="34148" spans="10:10" x14ac:dyDescent="0.3">
      <c r="J34148"/>
    </row>
    <row r="34149" spans="10:10" x14ac:dyDescent="0.3">
      <c r="J34149"/>
    </row>
    <row r="34150" spans="10:10" x14ac:dyDescent="0.3">
      <c r="J34150"/>
    </row>
    <row r="34151" spans="10:10" x14ac:dyDescent="0.3">
      <c r="J34151"/>
    </row>
    <row r="34152" spans="10:10" x14ac:dyDescent="0.3">
      <c r="J34152"/>
    </row>
    <row r="34153" spans="10:10" x14ac:dyDescent="0.3">
      <c r="J34153"/>
    </row>
    <row r="34154" spans="10:10" x14ac:dyDescent="0.3">
      <c r="J34154"/>
    </row>
    <row r="34155" spans="10:10" x14ac:dyDescent="0.3">
      <c r="J34155"/>
    </row>
    <row r="34156" spans="10:10" x14ac:dyDescent="0.3">
      <c r="J34156"/>
    </row>
    <row r="34157" spans="10:10" x14ac:dyDescent="0.3">
      <c r="J34157"/>
    </row>
    <row r="34158" spans="10:10" x14ac:dyDescent="0.3">
      <c r="J34158"/>
    </row>
    <row r="34159" spans="10:10" x14ac:dyDescent="0.3">
      <c r="J34159"/>
    </row>
    <row r="34160" spans="10:10" x14ac:dyDescent="0.3">
      <c r="J34160"/>
    </row>
    <row r="34161" spans="10:10" x14ac:dyDescent="0.3">
      <c r="J34161"/>
    </row>
    <row r="34162" spans="10:10" x14ac:dyDescent="0.3">
      <c r="J34162"/>
    </row>
    <row r="34163" spans="10:10" x14ac:dyDescent="0.3">
      <c r="J34163"/>
    </row>
    <row r="34164" spans="10:10" x14ac:dyDescent="0.3">
      <c r="J34164"/>
    </row>
    <row r="34165" spans="10:10" x14ac:dyDescent="0.3">
      <c r="J34165"/>
    </row>
    <row r="34166" spans="10:10" x14ac:dyDescent="0.3">
      <c r="J34166"/>
    </row>
    <row r="34167" spans="10:10" x14ac:dyDescent="0.3">
      <c r="J34167"/>
    </row>
    <row r="34168" spans="10:10" x14ac:dyDescent="0.3">
      <c r="J34168"/>
    </row>
    <row r="34169" spans="10:10" x14ac:dyDescent="0.3">
      <c r="J34169"/>
    </row>
    <row r="34170" spans="10:10" x14ac:dyDescent="0.3">
      <c r="J34170"/>
    </row>
    <row r="34171" spans="10:10" x14ac:dyDescent="0.3">
      <c r="J34171"/>
    </row>
    <row r="34172" spans="10:10" x14ac:dyDescent="0.3">
      <c r="J34172"/>
    </row>
    <row r="34173" spans="10:10" x14ac:dyDescent="0.3">
      <c r="J34173"/>
    </row>
    <row r="34174" spans="10:10" x14ac:dyDescent="0.3">
      <c r="J34174"/>
    </row>
    <row r="34175" spans="10:10" x14ac:dyDescent="0.3">
      <c r="J34175"/>
    </row>
    <row r="34176" spans="10:10" x14ac:dyDescent="0.3">
      <c r="J34176"/>
    </row>
    <row r="34177" spans="10:10" x14ac:dyDescent="0.3">
      <c r="J34177"/>
    </row>
    <row r="34178" spans="10:10" x14ac:dyDescent="0.3">
      <c r="J34178"/>
    </row>
    <row r="34179" spans="10:10" x14ac:dyDescent="0.3">
      <c r="J34179"/>
    </row>
    <row r="34180" spans="10:10" x14ac:dyDescent="0.3">
      <c r="J34180"/>
    </row>
    <row r="34181" spans="10:10" x14ac:dyDescent="0.3">
      <c r="J34181"/>
    </row>
    <row r="34182" spans="10:10" x14ac:dyDescent="0.3">
      <c r="J34182"/>
    </row>
    <row r="34183" spans="10:10" x14ac:dyDescent="0.3">
      <c r="J34183"/>
    </row>
    <row r="34184" spans="10:10" x14ac:dyDescent="0.3">
      <c r="J34184"/>
    </row>
    <row r="34185" spans="10:10" x14ac:dyDescent="0.3">
      <c r="J34185"/>
    </row>
    <row r="34186" spans="10:10" x14ac:dyDescent="0.3">
      <c r="J34186"/>
    </row>
    <row r="34187" spans="10:10" x14ac:dyDescent="0.3">
      <c r="J34187"/>
    </row>
    <row r="34188" spans="10:10" x14ac:dyDescent="0.3">
      <c r="J34188"/>
    </row>
    <row r="34189" spans="10:10" x14ac:dyDescent="0.3">
      <c r="J34189"/>
    </row>
    <row r="34190" spans="10:10" x14ac:dyDescent="0.3">
      <c r="J34190"/>
    </row>
    <row r="34191" spans="10:10" x14ac:dyDescent="0.3">
      <c r="J34191"/>
    </row>
    <row r="34192" spans="10:10" x14ac:dyDescent="0.3">
      <c r="J34192"/>
    </row>
    <row r="34193" spans="10:10" x14ac:dyDescent="0.3">
      <c r="J34193"/>
    </row>
    <row r="34194" spans="10:10" x14ac:dyDescent="0.3">
      <c r="J34194"/>
    </row>
    <row r="34195" spans="10:10" x14ac:dyDescent="0.3">
      <c r="J34195"/>
    </row>
    <row r="34196" spans="10:10" x14ac:dyDescent="0.3">
      <c r="J34196"/>
    </row>
    <row r="34197" spans="10:10" x14ac:dyDescent="0.3">
      <c r="J34197"/>
    </row>
    <row r="34198" spans="10:10" x14ac:dyDescent="0.3">
      <c r="J34198"/>
    </row>
    <row r="34199" spans="10:10" x14ac:dyDescent="0.3">
      <c r="J34199"/>
    </row>
    <row r="34200" spans="10:10" x14ac:dyDescent="0.3">
      <c r="J34200"/>
    </row>
    <row r="34201" spans="10:10" x14ac:dyDescent="0.3">
      <c r="J34201"/>
    </row>
    <row r="34202" spans="10:10" x14ac:dyDescent="0.3">
      <c r="J34202"/>
    </row>
    <row r="34203" spans="10:10" x14ac:dyDescent="0.3">
      <c r="J34203"/>
    </row>
    <row r="34204" spans="10:10" x14ac:dyDescent="0.3">
      <c r="J34204"/>
    </row>
    <row r="34205" spans="10:10" x14ac:dyDescent="0.3">
      <c r="J34205"/>
    </row>
    <row r="34206" spans="10:10" x14ac:dyDescent="0.3">
      <c r="J34206"/>
    </row>
    <row r="34207" spans="10:10" x14ac:dyDescent="0.3">
      <c r="J34207"/>
    </row>
    <row r="34208" spans="10:10" x14ac:dyDescent="0.3">
      <c r="J34208"/>
    </row>
    <row r="34209" spans="10:10" x14ac:dyDescent="0.3">
      <c r="J34209"/>
    </row>
    <row r="34210" spans="10:10" x14ac:dyDescent="0.3">
      <c r="J34210"/>
    </row>
    <row r="34211" spans="10:10" x14ac:dyDescent="0.3">
      <c r="J34211"/>
    </row>
    <row r="34212" spans="10:10" x14ac:dyDescent="0.3">
      <c r="J34212"/>
    </row>
    <row r="34213" spans="10:10" x14ac:dyDescent="0.3">
      <c r="J34213"/>
    </row>
    <row r="34214" spans="10:10" x14ac:dyDescent="0.3">
      <c r="J34214"/>
    </row>
    <row r="34215" spans="10:10" x14ac:dyDescent="0.3">
      <c r="J34215"/>
    </row>
    <row r="34216" spans="10:10" x14ac:dyDescent="0.3">
      <c r="J34216"/>
    </row>
    <row r="34217" spans="10:10" x14ac:dyDescent="0.3">
      <c r="J34217"/>
    </row>
    <row r="34218" spans="10:10" x14ac:dyDescent="0.3">
      <c r="J34218"/>
    </row>
    <row r="34219" spans="10:10" x14ac:dyDescent="0.3">
      <c r="J34219"/>
    </row>
    <row r="34220" spans="10:10" x14ac:dyDescent="0.3">
      <c r="J34220"/>
    </row>
    <row r="34221" spans="10:10" x14ac:dyDescent="0.3">
      <c r="J34221"/>
    </row>
    <row r="34222" spans="10:10" x14ac:dyDescent="0.3">
      <c r="J34222"/>
    </row>
    <row r="34223" spans="10:10" x14ac:dyDescent="0.3">
      <c r="J34223"/>
    </row>
    <row r="34224" spans="10:10" x14ac:dyDescent="0.3">
      <c r="J34224"/>
    </row>
    <row r="34225" spans="10:10" x14ac:dyDescent="0.3">
      <c r="J34225"/>
    </row>
    <row r="34226" spans="10:10" x14ac:dyDescent="0.3">
      <c r="J34226"/>
    </row>
    <row r="34227" spans="10:10" x14ac:dyDescent="0.3">
      <c r="J34227"/>
    </row>
    <row r="34228" spans="10:10" x14ac:dyDescent="0.3">
      <c r="J34228"/>
    </row>
    <row r="34229" spans="10:10" x14ac:dyDescent="0.3">
      <c r="J34229"/>
    </row>
    <row r="34230" spans="10:10" x14ac:dyDescent="0.3">
      <c r="J34230"/>
    </row>
    <row r="34231" spans="10:10" x14ac:dyDescent="0.3">
      <c r="J34231"/>
    </row>
    <row r="34232" spans="10:10" x14ac:dyDescent="0.3">
      <c r="J34232"/>
    </row>
    <row r="34233" spans="10:10" x14ac:dyDescent="0.3">
      <c r="J34233"/>
    </row>
    <row r="34234" spans="10:10" x14ac:dyDescent="0.3">
      <c r="J34234"/>
    </row>
    <row r="34235" spans="10:10" x14ac:dyDescent="0.3">
      <c r="J34235"/>
    </row>
    <row r="34236" spans="10:10" x14ac:dyDescent="0.3">
      <c r="J34236"/>
    </row>
    <row r="34237" spans="10:10" x14ac:dyDescent="0.3">
      <c r="J34237"/>
    </row>
    <row r="34238" spans="10:10" x14ac:dyDescent="0.3">
      <c r="J34238"/>
    </row>
    <row r="34239" spans="10:10" x14ac:dyDescent="0.3">
      <c r="J34239"/>
    </row>
    <row r="34240" spans="10:10" x14ac:dyDescent="0.3">
      <c r="J34240"/>
    </row>
    <row r="34241" spans="10:10" x14ac:dyDescent="0.3">
      <c r="J34241"/>
    </row>
    <row r="34242" spans="10:10" x14ac:dyDescent="0.3">
      <c r="J34242"/>
    </row>
    <row r="34243" spans="10:10" x14ac:dyDescent="0.3">
      <c r="J34243"/>
    </row>
    <row r="34244" spans="10:10" x14ac:dyDescent="0.3">
      <c r="J34244"/>
    </row>
    <row r="34245" spans="10:10" x14ac:dyDescent="0.3">
      <c r="J34245"/>
    </row>
    <row r="34246" spans="10:10" x14ac:dyDescent="0.3">
      <c r="J34246"/>
    </row>
    <row r="34247" spans="10:10" x14ac:dyDescent="0.3">
      <c r="J34247"/>
    </row>
    <row r="34248" spans="10:10" x14ac:dyDescent="0.3">
      <c r="J34248"/>
    </row>
    <row r="34249" spans="10:10" x14ac:dyDescent="0.3">
      <c r="J34249"/>
    </row>
    <row r="34250" spans="10:10" x14ac:dyDescent="0.3">
      <c r="J34250"/>
    </row>
    <row r="34251" spans="10:10" x14ac:dyDescent="0.3">
      <c r="J34251"/>
    </row>
    <row r="34252" spans="10:10" x14ac:dyDescent="0.3">
      <c r="J34252"/>
    </row>
    <row r="34253" spans="10:10" x14ac:dyDescent="0.3">
      <c r="J34253"/>
    </row>
    <row r="34254" spans="10:10" x14ac:dyDescent="0.3">
      <c r="J34254"/>
    </row>
    <row r="34255" spans="10:10" x14ac:dyDescent="0.3">
      <c r="J34255"/>
    </row>
    <row r="34256" spans="10:10" x14ac:dyDescent="0.3">
      <c r="J34256"/>
    </row>
    <row r="34257" spans="10:10" x14ac:dyDescent="0.3">
      <c r="J34257"/>
    </row>
    <row r="34258" spans="10:10" x14ac:dyDescent="0.3">
      <c r="J34258"/>
    </row>
    <row r="34259" spans="10:10" x14ac:dyDescent="0.3">
      <c r="J34259"/>
    </row>
    <row r="34260" spans="10:10" x14ac:dyDescent="0.3">
      <c r="J34260"/>
    </row>
    <row r="34261" spans="10:10" x14ac:dyDescent="0.3">
      <c r="J34261"/>
    </row>
    <row r="34262" spans="10:10" x14ac:dyDescent="0.3">
      <c r="J34262"/>
    </row>
    <row r="34263" spans="10:10" x14ac:dyDescent="0.3">
      <c r="J34263"/>
    </row>
    <row r="34264" spans="10:10" x14ac:dyDescent="0.3">
      <c r="J34264"/>
    </row>
    <row r="34265" spans="10:10" x14ac:dyDescent="0.3">
      <c r="J34265"/>
    </row>
    <row r="34266" spans="10:10" x14ac:dyDescent="0.3">
      <c r="J34266"/>
    </row>
    <row r="34267" spans="10:10" x14ac:dyDescent="0.3">
      <c r="J34267"/>
    </row>
    <row r="34268" spans="10:10" x14ac:dyDescent="0.3">
      <c r="J34268"/>
    </row>
    <row r="34269" spans="10:10" x14ac:dyDescent="0.3">
      <c r="J34269"/>
    </row>
    <row r="34270" spans="10:10" x14ac:dyDescent="0.3">
      <c r="J34270"/>
    </row>
    <row r="34271" spans="10:10" x14ac:dyDescent="0.3">
      <c r="J34271"/>
    </row>
    <row r="34272" spans="10:10" x14ac:dyDescent="0.3">
      <c r="J34272"/>
    </row>
    <row r="34273" spans="10:10" x14ac:dyDescent="0.3">
      <c r="J34273"/>
    </row>
    <row r="34274" spans="10:10" x14ac:dyDescent="0.3">
      <c r="J34274"/>
    </row>
    <row r="34275" spans="10:10" x14ac:dyDescent="0.3">
      <c r="J34275"/>
    </row>
    <row r="34276" spans="10:10" x14ac:dyDescent="0.3">
      <c r="J34276"/>
    </row>
    <row r="34277" spans="10:10" x14ac:dyDescent="0.3">
      <c r="J34277"/>
    </row>
    <row r="34278" spans="10:10" x14ac:dyDescent="0.3">
      <c r="J34278"/>
    </row>
    <row r="34279" spans="10:10" x14ac:dyDescent="0.3">
      <c r="J34279"/>
    </row>
    <row r="34280" spans="10:10" x14ac:dyDescent="0.3">
      <c r="J34280"/>
    </row>
    <row r="34281" spans="10:10" x14ac:dyDescent="0.3">
      <c r="J34281"/>
    </row>
    <row r="34282" spans="10:10" x14ac:dyDescent="0.3">
      <c r="J34282"/>
    </row>
    <row r="34283" spans="10:10" x14ac:dyDescent="0.3">
      <c r="J34283"/>
    </row>
    <row r="34284" spans="10:10" x14ac:dyDescent="0.3">
      <c r="J34284"/>
    </row>
    <row r="34285" spans="10:10" x14ac:dyDescent="0.3">
      <c r="J34285"/>
    </row>
    <row r="34286" spans="10:10" x14ac:dyDescent="0.3">
      <c r="J34286"/>
    </row>
    <row r="34287" spans="10:10" x14ac:dyDescent="0.3">
      <c r="J34287"/>
    </row>
    <row r="34288" spans="10:10" x14ac:dyDescent="0.3">
      <c r="J34288"/>
    </row>
    <row r="34289" spans="10:10" x14ac:dyDescent="0.3">
      <c r="J34289"/>
    </row>
    <row r="34290" spans="10:10" x14ac:dyDescent="0.3">
      <c r="J34290"/>
    </row>
    <row r="34291" spans="10:10" x14ac:dyDescent="0.3">
      <c r="J34291"/>
    </row>
    <row r="34292" spans="10:10" x14ac:dyDescent="0.3">
      <c r="J34292"/>
    </row>
    <row r="34293" spans="10:10" x14ac:dyDescent="0.3">
      <c r="J34293"/>
    </row>
    <row r="34294" spans="10:10" x14ac:dyDescent="0.3">
      <c r="J34294"/>
    </row>
    <row r="34295" spans="10:10" x14ac:dyDescent="0.3">
      <c r="J34295"/>
    </row>
    <row r="34296" spans="10:10" x14ac:dyDescent="0.3">
      <c r="J34296"/>
    </row>
    <row r="34297" spans="10:10" x14ac:dyDescent="0.3">
      <c r="J34297"/>
    </row>
    <row r="34298" spans="10:10" x14ac:dyDescent="0.3">
      <c r="J34298"/>
    </row>
    <row r="34299" spans="10:10" x14ac:dyDescent="0.3">
      <c r="J34299"/>
    </row>
    <row r="34300" spans="10:10" x14ac:dyDescent="0.3">
      <c r="J34300"/>
    </row>
    <row r="34301" spans="10:10" x14ac:dyDescent="0.3">
      <c r="J34301"/>
    </row>
    <row r="34302" spans="10:10" x14ac:dyDescent="0.3">
      <c r="J34302"/>
    </row>
    <row r="34303" spans="10:10" x14ac:dyDescent="0.3">
      <c r="J34303"/>
    </row>
    <row r="34304" spans="10:10" x14ac:dyDescent="0.3">
      <c r="J34304"/>
    </row>
    <row r="34305" spans="10:10" x14ac:dyDescent="0.3">
      <c r="J34305"/>
    </row>
    <row r="34306" spans="10:10" x14ac:dyDescent="0.3">
      <c r="J34306"/>
    </row>
    <row r="34307" spans="10:10" x14ac:dyDescent="0.3">
      <c r="J34307"/>
    </row>
    <row r="34308" spans="10:10" x14ac:dyDescent="0.3">
      <c r="J34308"/>
    </row>
    <row r="34309" spans="10:10" x14ac:dyDescent="0.3">
      <c r="J34309"/>
    </row>
    <row r="34310" spans="10:10" x14ac:dyDescent="0.3">
      <c r="J34310"/>
    </row>
    <row r="34311" spans="10:10" x14ac:dyDescent="0.3">
      <c r="J34311"/>
    </row>
    <row r="34312" spans="10:10" x14ac:dyDescent="0.3">
      <c r="J34312"/>
    </row>
    <row r="34313" spans="10:10" x14ac:dyDescent="0.3">
      <c r="J34313"/>
    </row>
    <row r="34314" spans="10:10" x14ac:dyDescent="0.3">
      <c r="J34314"/>
    </row>
    <row r="34315" spans="10:10" x14ac:dyDescent="0.3">
      <c r="J34315"/>
    </row>
    <row r="34316" spans="10:10" x14ac:dyDescent="0.3">
      <c r="J34316"/>
    </row>
    <row r="34317" spans="10:10" x14ac:dyDescent="0.3">
      <c r="J34317"/>
    </row>
    <row r="34318" spans="10:10" x14ac:dyDescent="0.3">
      <c r="J34318"/>
    </row>
    <row r="34319" spans="10:10" x14ac:dyDescent="0.3">
      <c r="J34319"/>
    </row>
    <row r="34320" spans="10:10" x14ac:dyDescent="0.3">
      <c r="J34320"/>
    </row>
    <row r="34321" spans="10:10" x14ac:dyDescent="0.3">
      <c r="J34321"/>
    </row>
    <row r="34322" spans="10:10" x14ac:dyDescent="0.3">
      <c r="J34322"/>
    </row>
    <row r="34323" spans="10:10" x14ac:dyDescent="0.3">
      <c r="J34323"/>
    </row>
    <row r="34324" spans="10:10" x14ac:dyDescent="0.3">
      <c r="J34324"/>
    </row>
    <row r="34325" spans="10:10" x14ac:dyDescent="0.3">
      <c r="J34325"/>
    </row>
    <row r="34326" spans="10:10" x14ac:dyDescent="0.3">
      <c r="J34326"/>
    </row>
    <row r="34327" spans="10:10" x14ac:dyDescent="0.3">
      <c r="J34327"/>
    </row>
    <row r="34328" spans="10:10" x14ac:dyDescent="0.3">
      <c r="J34328"/>
    </row>
    <row r="34329" spans="10:10" x14ac:dyDescent="0.3">
      <c r="J34329"/>
    </row>
    <row r="34330" spans="10:10" x14ac:dyDescent="0.3">
      <c r="J34330"/>
    </row>
    <row r="34331" spans="10:10" x14ac:dyDescent="0.3">
      <c r="J34331"/>
    </row>
    <row r="34332" spans="10:10" x14ac:dyDescent="0.3">
      <c r="J34332"/>
    </row>
    <row r="34333" spans="10:10" x14ac:dyDescent="0.3">
      <c r="J34333"/>
    </row>
    <row r="34334" spans="10:10" x14ac:dyDescent="0.3">
      <c r="J34334"/>
    </row>
    <row r="34335" spans="10:10" x14ac:dyDescent="0.3">
      <c r="J34335"/>
    </row>
    <row r="34336" spans="10:10" x14ac:dyDescent="0.3">
      <c r="J34336"/>
    </row>
    <row r="34337" spans="10:10" x14ac:dyDescent="0.3">
      <c r="J34337"/>
    </row>
    <row r="34338" spans="10:10" x14ac:dyDescent="0.3">
      <c r="J34338"/>
    </row>
    <row r="34339" spans="10:10" x14ac:dyDescent="0.3">
      <c r="J34339"/>
    </row>
    <row r="34340" spans="10:10" x14ac:dyDescent="0.3">
      <c r="J34340"/>
    </row>
    <row r="34341" spans="10:10" x14ac:dyDescent="0.3">
      <c r="J34341"/>
    </row>
    <row r="34342" spans="10:10" x14ac:dyDescent="0.3">
      <c r="J34342"/>
    </row>
    <row r="34343" spans="10:10" x14ac:dyDescent="0.3">
      <c r="J34343"/>
    </row>
    <row r="34344" spans="10:10" x14ac:dyDescent="0.3">
      <c r="J34344"/>
    </row>
    <row r="34345" spans="10:10" x14ac:dyDescent="0.3">
      <c r="J34345"/>
    </row>
    <row r="34346" spans="10:10" x14ac:dyDescent="0.3">
      <c r="J34346"/>
    </row>
    <row r="34347" spans="10:10" x14ac:dyDescent="0.3">
      <c r="J34347"/>
    </row>
    <row r="34348" spans="10:10" x14ac:dyDescent="0.3">
      <c r="J34348"/>
    </row>
    <row r="34349" spans="10:10" x14ac:dyDescent="0.3">
      <c r="J34349"/>
    </row>
    <row r="34350" spans="10:10" x14ac:dyDescent="0.3">
      <c r="J34350"/>
    </row>
    <row r="34351" spans="10:10" x14ac:dyDescent="0.3">
      <c r="J34351"/>
    </row>
    <row r="34352" spans="10:10" x14ac:dyDescent="0.3">
      <c r="J34352"/>
    </row>
    <row r="34353" spans="10:10" x14ac:dyDescent="0.3">
      <c r="J34353"/>
    </row>
    <row r="34354" spans="10:10" x14ac:dyDescent="0.3">
      <c r="J34354"/>
    </row>
    <row r="34355" spans="10:10" x14ac:dyDescent="0.3">
      <c r="J34355"/>
    </row>
    <row r="34356" spans="10:10" x14ac:dyDescent="0.3">
      <c r="J34356"/>
    </row>
    <row r="34357" spans="10:10" x14ac:dyDescent="0.3">
      <c r="J34357"/>
    </row>
    <row r="34358" spans="10:10" x14ac:dyDescent="0.3">
      <c r="J34358"/>
    </row>
    <row r="34359" spans="10:10" x14ac:dyDescent="0.3">
      <c r="J34359"/>
    </row>
    <row r="34360" spans="10:10" x14ac:dyDescent="0.3">
      <c r="J34360"/>
    </row>
    <row r="34361" spans="10:10" x14ac:dyDescent="0.3">
      <c r="J34361"/>
    </row>
    <row r="34362" spans="10:10" x14ac:dyDescent="0.3">
      <c r="J34362"/>
    </row>
    <row r="34363" spans="10:10" x14ac:dyDescent="0.3">
      <c r="J34363"/>
    </row>
    <row r="34364" spans="10:10" x14ac:dyDescent="0.3">
      <c r="J34364"/>
    </row>
    <row r="34365" spans="10:10" x14ac:dyDescent="0.3">
      <c r="J34365"/>
    </row>
    <row r="34366" spans="10:10" x14ac:dyDescent="0.3">
      <c r="J34366"/>
    </row>
    <row r="34367" spans="10:10" x14ac:dyDescent="0.3">
      <c r="J34367"/>
    </row>
    <row r="34368" spans="10:10" x14ac:dyDescent="0.3">
      <c r="J34368"/>
    </row>
    <row r="34369" spans="10:10" x14ac:dyDescent="0.3">
      <c r="J34369"/>
    </row>
    <row r="34370" spans="10:10" x14ac:dyDescent="0.3">
      <c r="J34370"/>
    </row>
    <row r="34371" spans="10:10" x14ac:dyDescent="0.3">
      <c r="J34371"/>
    </row>
    <row r="34372" spans="10:10" x14ac:dyDescent="0.3">
      <c r="J34372"/>
    </row>
    <row r="34373" spans="10:10" x14ac:dyDescent="0.3">
      <c r="J34373"/>
    </row>
    <row r="34374" spans="10:10" x14ac:dyDescent="0.3">
      <c r="J34374"/>
    </row>
    <row r="34375" spans="10:10" x14ac:dyDescent="0.3">
      <c r="J34375"/>
    </row>
    <row r="34376" spans="10:10" x14ac:dyDescent="0.3">
      <c r="J34376"/>
    </row>
    <row r="34377" spans="10:10" x14ac:dyDescent="0.3">
      <c r="J34377"/>
    </row>
    <row r="34378" spans="10:10" x14ac:dyDescent="0.3">
      <c r="J34378"/>
    </row>
    <row r="34379" spans="10:10" x14ac:dyDescent="0.3">
      <c r="J34379"/>
    </row>
    <row r="34380" spans="10:10" x14ac:dyDescent="0.3">
      <c r="J34380"/>
    </row>
    <row r="34381" spans="10:10" x14ac:dyDescent="0.3">
      <c r="J34381"/>
    </row>
    <row r="34382" spans="10:10" x14ac:dyDescent="0.3">
      <c r="J34382"/>
    </row>
    <row r="34383" spans="10:10" x14ac:dyDescent="0.3">
      <c r="J34383"/>
    </row>
    <row r="34384" spans="10:10" x14ac:dyDescent="0.3">
      <c r="J34384"/>
    </row>
    <row r="34385" spans="10:10" x14ac:dyDescent="0.3">
      <c r="J34385"/>
    </row>
    <row r="34386" spans="10:10" x14ac:dyDescent="0.3">
      <c r="J34386"/>
    </row>
    <row r="34387" spans="10:10" x14ac:dyDescent="0.3">
      <c r="J34387"/>
    </row>
    <row r="34388" spans="10:10" x14ac:dyDescent="0.3">
      <c r="J34388"/>
    </row>
    <row r="34389" spans="10:10" x14ac:dyDescent="0.3">
      <c r="J34389"/>
    </row>
    <row r="34390" spans="10:10" x14ac:dyDescent="0.3">
      <c r="J34390"/>
    </row>
    <row r="34391" spans="10:10" x14ac:dyDescent="0.3">
      <c r="J34391"/>
    </row>
    <row r="34392" spans="10:10" x14ac:dyDescent="0.3">
      <c r="J34392"/>
    </row>
    <row r="34393" spans="10:10" x14ac:dyDescent="0.3">
      <c r="J34393"/>
    </row>
    <row r="34394" spans="10:10" x14ac:dyDescent="0.3">
      <c r="J34394"/>
    </row>
    <row r="34395" spans="10:10" x14ac:dyDescent="0.3">
      <c r="J34395"/>
    </row>
    <row r="34396" spans="10:10" x14ac:dyDescent="0.3">
      <c r="J34396"/>
    </row>
    <row r="34397" spans="10:10" x14ac:dyDescent="0.3">
      <c r="J34397"/>
    </row>
    <row r="34398" spans="10:10" x14ac:dyDescent="0.3">
      <c r="J34398"/>
    </row>
    <row r="34399" spans="10:10" x14ac:dyDescent="0.3">
      <c r="J34399"/>
    </row>
    <row r="34400" spans="10:10" x14ac:dyDescent="0.3">
      <c r="J34400"/>
    </row>
    <row r="34401" spans="10:10" x14ac:dyDescent="0.3">
      <c r="J34401"/>
    </row>
    <row r="34402" spans="10:10" x14ac:dyDescent="0.3">
      <c r="J34402"/>
    </row>
    <row r="34403" spans="10:10" x14ac:dyDescent="0.3">
      <c r="J34403"/>
    </row>
    <row r="34404" spans="10:10" x14ac:dyDescent="0.3">
      <c r="J34404"/>
    </row>
    <row r="34405" spans="10:10" x14ac:dyDescent="0.3">
      <c r="J34405"/>
    </row>
    <row r="34406" spans="10:10" x14ac:dyDescent="0.3">
      <c r="J34406"/>
    </row>
    <row r="34407" spans="10:10" x14ac:dyDescent="0.3">
      <c r="J34407"/>
    </row>
    <row r="34408" spans="10:10" x14ac:dyDescent="0.3">
      <c r="J34408"/>
    </row>
    <row r="34409" spans="10:10" x14ac:dyDescent="0.3">
      <c r="J34409"/>
    </row>
    <row r="34410" spans="10:10" x14ac:dyDescent="0.3">
      <c r="J34410"/>
    </row>
    <row r="34411" spans="10:10" x14ac:dyDescent="0.3">
      <c r="J34411"/>
    </row>
    <row r="34412" spans="10:10" x14ac:dyDescent="0.3">
      <c r="J34412"/>
    </row>
    <row r="34413" spans="10:10" x14ac:dyDescent="0.3">
      <c r="J34413"/>
    </row>
    <row r="34414" spans="10:10" x14ac:dyDescent="0.3">
      <c r="J34414"/>
    </row>
    <row r="34415" spans="10:10" x14ac:dyDescent="0.3">
      <c r="J34415"/>
    </row>
    <row r="34416" spans="10:10" x14ac:dyDescent="0.3">
      <c r="J34416"/>
    </row>
    <row r="34417" spans="10:10" x14ac:dyDescent="0.3">
      <c r="J34417"/>
    </row>
    <row r="34418" spans="10:10" x14ac:dyDescent="0.3">
      <c r="J34418"/>
    </row>
    <row r="34419" spans="10:10" x14ac:dyDescent="0.3">
      <c r="J34419"/>
    </row>
    <row r="34420" spans="10:10" x14ac:dyDescent="0.3">
      <c r="J34420"/>
    </row>
    <row r="34421" spans="10:10" x14ac:dyDescent="0.3">
      <c r="J34421"/>
    </row>
    <row r="34422" spans="10:10" x14ac:dyDescent="0.3">
      <c r="J34422"/>
    </row>
    <row r="34423" spans="10:10" x14ac:dyDescent="0.3">
      <c r="J34423"/>
    </row>
    <row r="34424" spans="10:10" x14ac:dyDescent="0.3">
      <c r="J34424"/>
    </row>
    <row r="34425" spans="10:10" x14ac:dyDescent="0.3">
      <c r="J34425"/>
    </row>
    <row r="34426" spans="10:10" x14ac:dyDescent="0.3">
      <c r="J34426"/>
    </row>
    <row r="34427" spans="10:10" x14ac:dyDescent="0.3">
      <c r="J34427"/>
    </row>
    <row r="34428" spans="10:10" x14ac:dyDescent="0.3">
      <c r="J34428"/>
    </row>
    <row r="34429" spans="10:10" x14ac:dyDescent="0.3">
      <c r="J34429"/>
    </row>
    <row r="34430" spans="10:10" x14ac:dyDescent="0.3">
      <c r="J34430"/>
    </row>
    <row r="34431" spans="10:10" x14ac:dyDescent="0.3">
      <c r="J34431"/>
    </row>
    <row r="34432" spans="10:10" x14ac:dyDescent="0.3">
      <c r="J34432"/>
    </row>
    <row r="34433" spans="10:10" x14ac:dyDescent="0.3">
      <c r="J34433"/>
    </row>
    <row r="34434" spans="10:10" x14ac:dyDescent="0.3">
      <c r="J34434"/>
    </row>
    <row r="34435" spans="10:10" x14ac:dyDescent="0.3">
      <c r="J34435"/>
    </row>
    <row r="34436" spans="10:10" x14ac:dyDescent="0.3">
      <c r="J34436"/>
    </row>
    <row r="34437" spans="10:10" x14ac:dyDescent="0.3">
      <c r="J34437"/>
    </row>
    <row r="34438" spans="10:10" x14ac:dyDescent="0.3">
      <c r="J34438"/>
    </row>
    <row r="34439" spans="10:10" x14ac:dyDescent="0.3">
      <c r="J34439"/>
    </row>
    <row r="34440" spans="10:10" x14ac:dyDescent="0.3">
      <c r="J34440"/>
    </row>
    <row r="34441" spans="10:10" x14ac:dyDescent="0.3">
      <c r="J34441"/>
    </row>
    <row r="34442" spans="10:10" x14ac:dyDescent="0.3">
      <c r="J34442"/>
    </row>
    <row r="34443" spans="10:10" x14ac:dyDescent="0.3">
      <c r="J34443"/>
    </row>
    <row r="34444" spans="10:10" x14ac:dyDescent="0.3">
      <c r="J34444"/>
    </row>
    <row r="34445" spans="10:10" x14ac:dyDescent="0.3">
      <c r="J34445"/>
    </row>
    <row r="34446" spans="10:10" x14ac:dyDescent="0.3">
      <c r="J34446"/>
    </row>
    <row r="34447" spans="10:10" x14ac:dyDescent="0.3">
      <c r="J34447"/>
    </row>
    <row r="34448" spans="10:10" x14ac:dyDescent="0.3">
      <c r="J34448"/>
    </row>
    <row r="34449" spans="10:10" x14ac:dyDescent="0.3">
      <c r="J34449"/>
    </row>
    <row r="34450" spans="10:10" x14ac:dyDescent="0.3">
      <c r="J34450"/>
    </row>
    <row r="34451" spans="10:10" x14ac:dyDescent="0.3">
      <c r="J34451"/>
    </row>
    <row r="34452" spans="10:10" x14ac:dyDescent="0.3">
      <c r="J34452"/>
    </row>
    <row r="34453" spans="10:10" x14ac:dyDescent="0.3">
      <c r="J34453"/>
    </row>
    <row r="34454" spans="10:10" x14ac:dyDescent="0.3">
      <c r="J34454"/>
    </row>
    <row r="34455" spans="10:10" x14ac:dyDescent="0.3">
      <c r="J34455"/>
    </row>
    <row r="34456" spans="10:10" x14ac:dyDescent="0.3">
      <c r="J34456"/>
    </row>
    <row r="34457" spans="10:10" x14ac:dyDescent="0.3">
      <c r="J34457"/>
    </row>
    <row r="34458" spans="10:10" x14ac:dyDescent="0.3">
      <c r="J34458"/>
    </row>
    <row r="34459" spans="10:10" x14ac:dyDescent="0.3">
      <c r="J34459"/>
    </row>
    <row r="34460" spans="10:10" x14ac:dyDescent="0.3">
      <c r="J34460"/>
    </row>
    <row r="34461" spans="10:10" x14ac:dyDescent="0.3">
      <c r="J34461"/>
    </row>
    <row r="34462" spans="10:10" x14ac:dyDescent="0.3">
      <c r="J34462"/>
    </row>
    <row r="34463" spans="10:10" x14ac:dyDescent="0.3">
      <c r="J34463"/>
    </row>
    <row r="34464" spans="10:10" x14ac:dyDescent="0.3">
      <c r="J34464"/>
    </row>
    <row r="34465" spans="10:10" x14ac:dyDescent="0.3">
      <c r="J34465"/>
    </row>
    <row r="34466" spans="10:10" x14ac:dyDescent="0.3">
      <c r="J34466"/>
    </row>
    <row r="34467" spans="10:10" x14ac:dyDescent="0.3">
      <c r="J34467"/>
    </row>
    <row r="34468" spans="10:10" x14ac:dyDescent="0.3">
      <c r="J34468"/>
    </row>
    <row r="34469" spans="10:10" x14ac:dyDescent="0.3">
      <c r="J34469"/>
    </row>
    <row r="34470" spans="10:10" x14ac:dyDescent="0.3">
      <c r="J34470"/>
    </row>
    <row r="34471" spans="10:10" x14ac:dyDescent="0.3">
      <c r="J34471"/>
    </row>
    <row r="34472" spans="10:10" x14ac:dyDescent="0.3">
      <c r="J34472"/>
    </row>
    <row r="34473" spans="10:10" x14ac:dyDescent="0.3">
      <c r="J34473"/>
    </row>
    <row r="34474" spans="10:10" x14ac:dyDescent="0.3">
      <c r="J34474"/>
    </row>
    <row r="34475" spans="10:10" x14ac:dyDescent="0.3">
      <c r="J34475"/>
    </row>
    <row r="34476" spans="10:10" x14ac:dyDescent="0.3">
      <c r="J34476"/>
    </row>
    <row r="34477" spans="10:10" x14ac:dyDescent="0.3">
      <c r="J34477"/>
    </row>
    <row r="34478" spans="10:10" x14ac:dyDescent="0.3">
      <c r="J34478"/>
    </row>
    <row r="34479" spans="10:10" x14ac:dyDescent="0.3">
      <c r="J34479"/>
    </row>
    <row r="34480" spans="10:10" x14ac:dyDescent="0.3">
      <c r="J34480"/>
    </row>
    <row r="34481" spans="10:10" x14ac:dyDescent="0.3">
      <c r="J34481"/>
    </row>
    <row r="34482" spans="10:10" x14ac:dyDescent="0.3">
      <c r="J34482"/>
    </row>
    <row r="34483" spans="10:10" x14ac:dyDescent="0.3">
      <c r="J34483"/>
    </row>
    <row r="34484" spans="10:10" x14ac:dyDescent="0.3">
      <c r="J34484"/>
    </row>
    <row r="34485" spans="10:10" x14ac:dyDescent="0.3">
      <c r="J34485"/>
    </row>
    <row r="34486" spans="10:10" x14ac:dyDescent="0.3">
      <c r="J34486"/>
    </row>
    <row r="34487" spans="10:10" x14ac:dyDescent="0.3">
      <c r="J34487"/>
    </row>
    <row r="34488" spans="10:10" x14ac:dyDescent="0.3">
      <c r="J34488"/>
    </row>
    <row r="34489" spans="10:10" x14ac:dyDescent="0.3">
      <c r="J34489"/>
    </row>
    <row r="34490" spans="10:10" x14ac:dyDescent="0.3">
      <c r="J34490"/>
    </row>
    <row r="34491" spans="10:10" x14ac:dyDescent="0.3">
      <c r="J34491"/>
    </row>
    <row r="34492" spans="10:10" x14ac:dyDescent="0.3">
      <c r="J34492"/>
    </row>
    <row r="34493" spans="10:10" x14ac:dyDescent="0.3">
      <c r="J34493"/>
    </row>
    <row r="34494" spans="10:10" x14ac:dyDescent="0.3">
      <c r="J34494"/>
    </row>
    <row r="34495" spans="10:10" x14ac:dyDescent="0.3">
      <c r="J34495"/>
    </row>
    <row r="34496" spans="10:10" x14ac:dyDescent="0.3">
      <c r="J34496"/>
    </row>
    <row r="34497" spans="10:10" x14ac:dyDescent="0.3">
      <c r="J34497"/>
    </row>
    <row r="34498" spans="10:10" x14ac:dyDescent="0.3">
      <c r="J34498"/>
    </row>
    <row r="34499" spans="10:10" x14ac:dyDescent="0.3">
      <c r="J34499"/>
    </row>
    <row r="34500" spans="10:10" x14ac:dyDescent="0.3">
      <c r="J34500"/>
    </row>
    <row r="34501" spans="10:10" x14ac:dyDescent="0.3">
      <c r="J34501"/>
    </row>
    <row r="34502" spans="10:10" x14ac:dyDescent="0.3">
      <c r="J34502"/>
    </row>
    <row r="34503" spans="10:10" x14ac:dyDescent="0.3">
      <c r="J34503"/>
    </row>
    <row r="34504" spans="10:10" x14ac:dyDescent="0.3">
      <c r="J34504"/>
    </row>
    <row r="34505" spans="10:10" x14ac:dyDescent="0.3">
      <c r="J34505"/>
    </row>
    <row r="34506" spans="10:10" x14ac:dyDescent="0.3">
      <c r="J34506"/>
    </row>
    <row r="34507" spans="10:10" x14ac:dyDescent="0.3">
      <c r="J34507"/>
    </row>
    <row r="34508" spans="10:10" x14ac:dyDescent="0.3">
      <c r="J34508"/>
    </row>
    <row r="34509" spans="10:10" x14ac:dyDescent="0.3">
      <c r="J34509"/>
    </row>
    <row r="34510" spans="10:10" x14ac:dyDescent="0.3">
      <c r="J34510"/>
    </row>
    <row r="34511" spans="10:10" x14ac:dyDescent="0.3">
      <c r="J34511"/>
    </row>
    <row r="34512" spans="10:10" x14ac:dyDescent="0.3">
      <c r="J34512"/>
    </row>
    <row r="34513" spans="10:10" x14ac:dyDescent="0.3">
      <c r="J34513"/>
    </row>
    <row r="34514" spans="10:10" x14ac:dyDescent="0.3">
      <c r="J34514"/>
    </row>
    <row r="34515" spans="10:10" x14ac:dyDescent="0.3">
      <c r="J34515"/>
    </row>
    <row r="34516" spans="10:10" x14ac:dyDescent="0.3">
      <c r="J34516"/>
    </row>
    <row r="34517" spans="10:10" x14ac:dyDescent="0.3">
      <c r="J34517"/>
    </row>
    <row r="34518" spans="10:10" x14ac:dyDescent="0.3">
      <c r="J34518"/>
    </row>
    <row r="34519" spans="10:10" x14ac:dyDescent="0.3">
      <c r="J34519"/>
    </row>
    <row r="34520" spans="10:10" x14ac:dyDescent="0.3">
      <c r="J34520"/>
    </row>
    <row r="34521" spans="10:10" x14ac:dyDescent="0.3">
      <c r="J34521"/>
    </row>
    <row r="34522" spans="10:10" x14ac:dyDescent="0.3">
      <c r="J34522"/>
    </row>
    <row r="34523" spans="10:10" x14ac:dyDescent="0.3">
      <c r="J34523"/>
    </row>
    <row r="34524" spans="10:10" x14ac:dyDescent="0.3">
      <c r="J34524"/>
    </row>
    <row r="34525" spans="10:10" x14ac:dyDescent="0.3">
      <c r="J34525"/>
    </row>
    <row r="34526" spans="10:10" x14ac:dyDescent="0.3">
      <c r="J34526"/>
    </row>
    <row r="34527" spans="10:10" x14ac:dyDescent="0.3">
      <c r="J34527"/>
    </row>
    <row r="34528" spans="10:10" x14ac:dyDescent="0.3">
      <c r="J34528"/>
    </row>
    <row r="34529" spans="10:10" x14ac:dyDescent="0.3">
      <c r="J34529"/>
    </row>
    <row r="34530" spans="10:10" x14ac:dyDescent="0.3">
      <c r="J34530"/>
    </row>
    <row r="34531" spans="10:10" x14ac:dyDescent="0.3">
      <c r="J34531"/>
    </row>
    <row r="34532" spans="10:10" x14ac:dyDescent="0.3">
      <c r="J34532"/>
    </row>
    <row r="34533" spans="10:10" x14ac:dyDescent="0.3">
      <c r="J34533"/>
    </row>
    <row r="34534" spans="10:10" x14ac:dyDescent="0.3">
      <c r="J34534"/>
    </row>
    <row r="34535" spans="10:10" x14ac:dyDescent="0.3">
      <c r="J34535"/>
    </row>
    <row r="34536" spans="10:10" x14ac:dyDescent="0.3">
      <c r="J34536"/>
    </row>
    <row r="34537" spans="10:10" x14ac:dyDescent="0.3">
      <c r="J34537"/>
    </row>
    <row r="34538" spans="10:10" x14ac:dyDescent="0.3">
      <c r="J34538"/>
    </row>
    <row r="34539" spans="10:10" x14ac:dyDescent="0.3">
      <c r="J34539"/>
    </row>
    <row r="34540" spans="10:10" x14ac:dyDescent="0.3">
      <c r="J34540"/>
    </row>
    <row r="34541" spans="10:10" x14ac:dyDescent="0.3">
      <c r="J34541"/>
    </row>
    <row r="34542" spans="10:10" x14ac:dyDescent="0.3">
      <c r="J34542"/>
    </row>
    <row r="34543" spans="10:10" x14ac:dyDescent="0.3">
      <c r="J34543"/>
    </row>
    <row r="34544" spans="10:10" x14ac:dyDescent="0.3">
      <c r="J34544"/>
    </row>
    <row r="34545" spans="10:10" x14ac:dyDescent="0.3">
      <c r="J34545"/>
    </row>
    <row r="34546" spans="10:10" x14ac:dyDescent="0.3">
      <c r="J34546"/>
    </row>
    <row r="34547" spans="10:10" x14ac:dyDescent="0.3">
      <c r="J34547"/>
    </row>
    <row r="34548" spans="10:10" x14ac:dyDescent="0.3">
      <c r="J34548"/>
    </row>
    <row r="34549" spans="10:10" x14ac:dyDescent="0.3">
      <c r="J34549"/>
    </row>
    <row r="34550" spans="10:10" x14ac:dyDescent="0.3">
      <c r="J34550"/>
    </row>
    <row r="34551" spans="10:10" x14ac:dyDescent="0.3">
      <c r="J34551"/>
    </row>
    <row r="34552" spans="10:10" x14ac:dyDescent="0.3">
      <c r="J34552"/>
    </row>
    <row r="34553" spans="10:10" x14ac:dyDescent="0.3">
      <c r="J34553"/>
    </row>
    <row r="34554" spans="10:10" x14ac:dyDescent="0.3">
      <c r="J34554"/>
    </row>
    <row r="34555" spans="10:10" x14ac:dyDescent="0.3">
      <c r="J34555"/>
    </row>
    <row r="34556" spans="10:10" x14ac:dyDescent="0.3">
      <c r="J34556"/>
    </row>
    <row r="34557" spans="10:10" x14ac:dyDescent="0.3">
      <c r="J34557"/>
    </row>
    <row r="34558" spans="10:10" x14ac:dyDescent="0.3">
      <c r="J34558"/>
    </row>
    <row r="34559" spans="10:10" x14ac:dyDescent="0.3">
      <c r="J34559"/>
    </row>
    <row r="34560" spans="10:10" x14ac:dyDescent="0.3">
      <c r="J34560"/>
    </row>
    <row r="34561" spans="10:10" x14ac:dyDescent="0.3">
      <c r="J34561"/>
    </row>
    <row r="34562" spans="10:10" x14ac:dyDescent="0.3">
      <c r="J34562"/>
    </row>
    <row r="34563" spans="10:10" x14ac:dyDescent="0.3">
      <c r="J34563"/>
    </row>
    <row r="34564" spans="10:10" x14ac:dyDescent="0.3">
      <c r="J34564"/>
    </row>
    <row r="34565" spans="10:10" x14ac:dyDescent="0.3">
      <c r="J34565"/>
    </row>
    <row r="34566" spans="10:10" x14ac:dyDescent="0.3">
      <c r="J34566"/>
    </row>
    <row r="34567" spans="10:10" x14ac:dyDescent="0.3">
      <c r="J34567"/>
    </row>
    <row r="34568" spans="10:10" x14ac:dyDescent="0.3">
      <c r="J34568"/>
    </row>
    <row r="34569" spans="10:10" x14ac:dyDescent="0.3">
      <c r="J34569"/>
    </row>
    <row r="34570" spans="10:10" x14ac:dyDescent="0.3">
      <c r="J34570"/>
    </row>
    <row r="34571" spans="10:10" x14ac:dyDescent="0.3">
      <c r="J34571"/>
    </row>
    <row r="34572" spans="10:10" x14ac:dyDescent="0.3">
      <c r="J34572"/>
    </row>
    <row r="34573" spans="10:10" x14ac:dyDescent="0.3">
      <c r="J34573"/>
    </row>
    <row r="34574" spans="10:10" x14ac:dyDescent="0.3">
      <c r="J34574"/>
    </row>
    <row r="34575" spans="10:10" x14ac:dyDescent="0.3">
      <c r="J34575"/>
    </row>
    <row r="34576" spans="10:10" x14ac:dyDescent="0.3">
      <c r="J34576"/>
    </row>
    <row r="34577" spans="10:10" x14ac:dyDescent="0.3">
      <c r="J34577"/>
    </row>
    <row r="34578" spans="10:10" x14ac:dyDescent="0.3">
      <c r="J34578"/>
    </row>
    <row r="34579" spans="10:10" x14ac:dyDescent="0.3">
      <c r="J34579"/>
    </row>
    <row r="34580" spans="10:10" x14ac:dyDescent="0.3">
      <c r="J34580"/>
    </row>
    <row r="34581" spans="10:10" x14ac:dyDescent="0.3">
      <c r="J34581"/>
    </row>
    <row r="34582" spans="10:10" x14ac:dyDescent="0.3">
      <c r="J34582"/>
    </row>
    <row r="34583" spans="10:10" x14ac:dyDescent="0.3">
      <c r="J34583"/>
    </row>
    <row r="34584" spans="10:10" x14ac:dyDescent="0.3">
      <c r="J34584"/>
    </row>
    <row r="34585" spans="10:10" x14ac:dyDescent="0.3">
      <c r="J34585"/>
    </row>
    <row r="34586" spans="10:10" x14ac:dyDescent="0.3">
      <c r="J34586"/>
    </row>
    <row r="34587" spans="10:10" x14ac:dyDescent="0.3">
      <c r="J34587"/>
    </row>
    <row r="34588" spans="10:10" x14ac:dyDescent="0.3">
      <c r="J34588"/>
    </row>
    <row r="34589" spans="10:10" x14ac:dyDescent="0.3">
      <c r="J34589"/>
    </row>
    <row r="34590" spans="10:10" x14ac:dyDescent="0.3">
      <c r="J34590"/>
    </row>
    <row r="34591" spans="10:10" x14ac:dyDescent="0.3">
      <c r="J34591"/>
    </row>
    <row r="34592" spans="10:10" x14ac:dyDescent="0.3">
      <c r="J34592"/>
    </row>
    <row r="34593" spans="10:10" x14ac:dyDescent="0.3">
      <c r="J34593"/>
    </row>
    <row r="34594" spans="10:10" x14ac:dyDescent="0.3">
      <c r="J34594"/>
    </row>
    <row r="34595" spans="10:10" x14ac:dyDescent="0.3">
      <c r="J34595"/>
    </row>
    <row r="34596" spans="10:10" x14ac:dyDescent="0.3">
      <c r="J34596"/>
    </row>
    <row r="34597" spans="10:10" x14ac:dyDescent="0.3">
      <c r="J34597"/>
    </row>
    <row r="34598" spans="10:10" x14ac:dyDescent="0.3">
      <c r="J34598"/>
    </row>
    <row r="34599" spans="10:10" x14ac:dyDescent="0.3">
      <c r="J34599"/>
    </row>
    <row r="34600" spans="10:10" x14ac:dyDescent="0.3">
      <c r="J34600"/>
    </row>
    <row r="34601" spans="10:10" x14ac:dyDescent="0.3">
      <c r="J34601"/>
    </row>
    <row r="34602" spans="10:10" x14ac:dyDescent="0.3">
      <c r="J34602"/>
    </row>
    <row r="34603" spans="10:10" x14ac:dyDescent="0.3">
      <c r="J34603"/>
    </row>
    <row r="34604" spans="10:10" x14ac:dyDescent="0.3">
      <c r="J34604"/>
    </row>
    <row r="34605" spans="10:10" x14ac:dyDescent="0.3">
      <c r="J34605"/>
    </row>
    <row r="34606" spans="10:10" x14ac:dyDescent="0.3">
      <c r="J34606"/>
    </row>
    <row r="34607" spans="10:10" x14ac:dyDescent="0.3">
      <c r="J34607"/>
    </row>
    <row r="34608" spans="10:10" x14ac:dyDescent="0.3">
      <c r="J34608"/>
    </row>
    <row r="34609" spans="10:10" x14ac:dyDescent="0.3">
      <c r="J34609"/>
    </row>
    <row r="34610" spans="10:10" x14ac:dyDescent="0.3">
      <c r="J34610"/>
    </row>
    <row r="34611" spans="10:10" x14ac:dyDescent="0.3">
      <c r="J34611"/>
    </row>
    <row r="34612" spans="10:10" x14ac:dyDescent="0.3">
      <c r="J34612"/>
    </row>
    <row r="34613" spans="10:10" x14ac:dyDescent="0.3">
      <c r="J34613"/>
    </row>
    <row r="34614" spans="10:10" x14ac:dyDescent="0.3">
      <c r="J34614"/>
    </row>
    <row r="34615" spans="10:10" x14ac:dyDescent="0.3">
      <c r="J34615"/>
    </row>
    <row r="34616" spans="10:10" x14ac:dyDescent="0.3">
      <c r="J34616"/>
    </row>
    <row r="34617" spans="10:10" x14ac:dyDescent="0.3">
      <c r="J34617"/>
    </row>
    <row r="34618" spans="10:10" x14ac:dyDescent="0.3">
      <c r="J34618"/>
    </row>
    <row r="34619" spans="10:10" x14ac:dyDescent="0.3">
      <c r="J34619"/>
    </row>
    <row r="34620" spans="10:10" x14ac:dyDescent="0.3">
      <c r="J34620"/>
    </row>
    <row r="34621" spans="10:10" x14ac:dyDescent="0.3">
      <c r="J34621"/>
    </row>
    <row r="34622" spans="10:10" x14ac:dyDescent="0.3">
      <c r="J34622"/>
    </row>
    <row r="34623" spans="10:10" x14ac:dyDescent="0.3">
      <c r="J34623"/>
    </row>
    <row r="34624" spans="10:10" x14ac:dyDescent="0.3">
      <c r="J34624"/>
    </row>
    <row r="34625" spans="10:10" x14ac:dyDescent="0.3">
      <c r="J34625"/>
    </row>
    <row r="34626" spans="10:10" x14ac:dyDescent="0.3">
      <c r="J34626"/>
    </row>
    <row r="34627" spans="10:10" x14ac:dyDescent="0.3">
      <c r="J34627"/>
    </row>
    <row r="34628" spans="10:10" x14ac:dyDescent="0.3">
      <c r="J34628"/>
    </row>
    <row r="34629" spans="10:10" x14ac:dyDescent="0.3">
      <c r="J34629"/>
    </row>
    <row r="34630" spans="10:10" x14ac:dyDescent="0.3">
      <c r="J34630"/>
    </row>
    <row r="34631" spans="10:10" x14ac:dyDescent="0.3">
      <c r="J34631"/>
    </row>
    <row r="34632" spans="10:10" x14ac:dyDescent="0.3">
      <c r="J34632"/>
    </row>
    <row r="34633" spans="10:10" x14ac:dyDescent="0.3">
      <c r="J34633"/>
    </row>
    <row r="34634" spans="10:10" x14ac:dyDescent="0.3">
      <c r="J34634"/>
    </row>
    <row r="34635" spans="10:10" x14ac:dyDescent="0.3">
      <c r="J34635"/>
    </row>
    <row r="34636" spans="10:10" x14ac:dyDescent="0.3">
      <c r="J34636"/>
    </row>
    <row r="34637" spans="10:10" x14ac:dyDescent="0.3">
      <c r="J34637"/>
    </row>
    <row r="34638" spans="10:10" x14ac:dyDescent="0.3">
      <c r="J34638"/>
    </row>
    <row r="34639" spans="10:10" x14ac:dyDescent="0.3">
      <c r="J34639"/>
    </row>
    <row r="34640" spans="10:10" x14ac:dyDescent="0.3">
      <c r="J34640"/>
    </row>
    <row r="34641" spans="10:10" x14ac:dyDescent="0.3">
      <c r="J34641"/>
    </row>
    <row r="34642" spans="10:10" x14ac:dyDescent="0.3">
      <c r="J34642"/>
    </row>
    <row r="34643" spans="10:10" x14ac:dyDescent="0.3">
      <c r="J34643"/>
    </row>
    <row r="34644" spans="10:10" x14ac:dyDescent="0.3">
      <c r="J34644"/>
    </row>
    <row r="34645" spans="10:10" x14ac:dyDescent="0.3">
      <c r="J34645"/>
    </row>
    <row r="34646" spans="10:10" x14ac:dyDescent="0.3">
      <c r="J34646"/>
    </row>
    <row r="34647" spans="10:10" x14ac:dyDescent="0.3">
      <c r="J34647"/>
    </row>
    <row r="34648" spans="10:10" x14ac:dyDescent="0.3">
      <c r="J34648"/>
    </row>
    <row r="34649" spans="10:10" x14ac:dyDescent="0.3">
      <c r="J34649"/>
    </row>
    <row r="34650" spans="10:10" x14ac:dyDescent="0.3">
      <c r="J34650"/>
    </row>
    <row r="34651" spans="10:10" x14ac:dyDescent="0.3">
      <c r="J34651"/>
    </row>
    <row r="34652" spans="10:10" x14ac:dyDescent="0.3">
      <c r="J34652"/>
    </row>
    <row r="34653" spans="10:10" x14ac:dyDescent="0.3">
      <c r="J34653"/>
    </row>
    <row r="34654" spans="10:10" x14ac:dyDescent="0.3">
      <c r="J34654"/>
    </row>
    <row r="34655" spans="10:10" x14ac:dyDescent="0.3">
      <c r="J34655"/>
    </row>
    <row r="34656" spans="10:10" x14ac:dyDescent="0.3">
      <c r="J34656"/>
    </row>
    <row r="34657" spans="10:10" x14ac:dyDescent="0.3">
      <c r="J34657"/>
    </row>
    <row r="34658" spans="10:10" x14ac:dyDescent="0.3">
      <c r="J34658"/>
    </row>
    <row r="34659" spans="10:10" x14ac:dyDescent="0.3">
      <c r="J34659"/>
    </row>
    <row r="34660" spans="10:10" x14ac:dyDescent="0.3">
      <c r="J34660"/>
    </row>
    <row r="34661" spans="10:10" x14ac:dyDescent="0.3">
      <c r="J34661"/>
    </row>
    <row r="34662" spans="10:10" x14ac:dyDescent="0.3">
      <c r="J34662"/>
    </row>
    <row r="34663" spans="10:10" x14ac:dyDescent="0.3">
      <c r="J34663"/>
    </row>
    <row r="34664" spans="10:10" x14ac:dyDescent="0.3">
      <c r="J34664"/>
    </row>
    <row r="34665" spans="10:10" x14ac:dyDescent="0.3">
      <c r="J34665"/>
    </row>
    <row r="34666" spans="10:10" x14ac:dyDescent="0.3">
      <c r="J34666"/>
    </row>
    <row r="34667" spans="10:10" x14ac:dyDescent="0.3">
      <c r="J34667"/>
    </row>
    <row r="34668" spans="10:10" x14ac:dyDescent="0.3">
      <c r="J34668"/>
    </row>
    <row r="34669" spans="10:10" x14ac:dyDescent="0.3">
      <c r="J34669"/>
    </row>
    <row r="34670" spans="10:10" x14ac:dyDescent="0.3">
      <c r="J34670"/>
    </row>
    <row r="34671" spans="10:10" x14ac:dyDescent="0.3">
      <c r="J34671"/>
    </row>
    <row r="34672" spans="10:10" x14ac:dyDescent="0.3">
      <c r="J34672"/>
    </row>
    <row r="34673" spans="10:10" x14ac:dyDescent="0.3">
      <c r="J34673"/>
    </row>
    <row r="34674" spans="10:10" x14ac:dyDescent="0.3">
      <c r="J34674"/>
    </row>
    <row r="34675" spans="10:10" x14ac:dyDescent="0.3">
      <c r="J34675"/>
    </row>
    <row r="34676" spans="10:10" x14ac:dyDescent="0.3">
      <c r="J34676"/>
    </row>
    <row r="34677" spans="10:10" x14ac:dyDescent="0.3">
      <c r="J34677"/>
    </row>
    <row r="34678" spans="10:10" x14ac:dyDescent="0.3">
      <c r="J34678"/>
    </row>
    <row r="34679" spans="10:10" x14ac:dyDescent="0.3">
      <c r="J34679"/>
    </row>
    <row r="34680" spans="10:10" x14ac:dyDescent="0.3">
      <c r="J34680"/>
    </row>
    <row r="34681" spans="10:10" x14ac:dyDescent="0.3">
      <c r="J34681"/>
    </row>
    <row r="34682" spans="10:10" x14ac:dyDescent="0.3">
      <c r="J34682"/>
    </row>
    <row r="34683" spans="10:10" x14ac:dyDescent="0.3">
      <c r="J34683"/>
    </row>
    <row r="34684" spans="10:10" x14ac:dyDescent="0.3">
      <c r="J34684"/>
    </row>
    <row r="34685" spans="10:10" x14ac:dyDescent="0.3">
      <c r="J34685"/>
    </row>
    <row r="34686" spans="10:10" x14ac:dyDescent="0.3">
      <c r="J34686"/>
    </row>
    <row r="34687" spans="10:10" x14ac:dyDescent="0.3">
      <c r="J34687"/>
    </row>
    <row r="34688" spans="10:10" x14ac:dyDescent="0.3">
      <c r="J34688"/>
    </row>
    <row r="34689" spans="10:10" x14ac:dyDescent="0.3">
      <c r="J34689"/>
    </row>
    <row r="34690" spans="10:10" x14ac:dyDescent="0.3">
      <c r="J34690"/>
    </row>
    <row r="34691" spans="10:10" x14ac:dyDescent="0.3">
      <c r="J34691"/>
    </row>
    <row r="34692" spans="10:10" x14ac:dyDescent="0.3">
      <c r="J34692"/>
    </row>
    <row r="34693" spans="10:10" x14ac:dyDescent="0.3">
      <c r="J34693"/>
    </row>
    <row r="34694" spans="10:10" x14ac:dyDescent="0.3">
      <c r="J34694"/>
    </row>
    <row r="34695" spans="10:10" x14ac:dyDescent="0.3">
      <c r="J34695"/>
    </row>
    <row r="34696" spans="10:10" x14ac:dyDescent="0.3">
      <c r="J34696"/>
    </row>
    <row r="34697" spans="10:10" x14ac:dyDescent="0.3">
      <c r="J34697"/>
    </row>
    <row r="34698" spans="10:10" x14ac:dyDescent="0.3">
      <c r="J34698"/>
    </row>
    <row r="34699" spans="10:10" x14ac:dyDescent="0.3">
      <c r="J34699"/>
    </row>
    <row r="34700" spans="10:10" x14ac:dyDescent="0.3">
      <c r="J34700"/>
    </row>
    <row r="34701" spans="10:10" x14ac:dyDescent="0.3">
      <c r="J34701"/>
    </row>
    <row r="34702" spans="10:10" x14ac:dyDescent="0.3">
      <c r="J34702"/>
    </row>
    <row r="34703" spans="10:10" x14ac:dyDescent="0.3">
      <c r="J34703"/>
    </row>
    <row r="34704" spans="10:10" x14ac:dyDescent="0.3">
      <c r="J34704"/>
    </row>
    <row r="34705" spans="10:10" x14ac:dyDescent="0.3">
      <c r="J34705"/>
    </row>
    <row r="34706" spans="10:10" x14ac:dyDescent="0.3">
      <c r="J34706"/>
    </row>
    <row r="34707" spans="10:10" x14ac:dyDescent="0.3">
      <c r="J34707"/>
    </row>
    <row r="34708" spans="10:10" x14ac:dyDescent="0.3">
      <c r="J34708"/>
    </row>
    <row r="34709" spans="10:10" x14ac:dyDescent="0.3">
      <c r="J34709"/>
    </row>
    <row r="34710" spans="10:10" x14ac:dyDescent="0.3">
      <c r="J34710"/>
    </row>
    <row r="34711" spans="10:10" x14ac:dyDescent="0.3">
      <c r="J34711"/>
    </row>
    <row r="34712" spans="10:10" x14ac:dyDescent="0.3">
      <c r="J34712"/>
    </row>
    <row r="34713" spans="10:10" x14ac:dyDescent="0.3">
      <c r="J34713"/>
    </row>
    <row r="34714" spans="10:10" x14ac:dyDescent="0.3">
      <c r="J34714"/>
    </row>
    <row r="34715" spans="10:10" x14ac:dyDescent="0.3">
      <c r="J34715"/>
    </row>
    <row r="34716" spans="10:10" x14ac:dyDescent="0.3">
      <c r="J34716"/>
    </row>
    <row r="34717" spans="10:10" x14ac:dyDescent="0.3">
      <c r="J34717"/>
    </row>
    <row r="34718" spans="10:10" x14ac:dyDescent="0.3">
      <c r="J34718"/>
    </row>
    <row r="34719" spans="10:10" x14ac:dyDescent="0.3">
      <c r="J34719"/>
    </row>
    <row r="34720" spans="10:10" x14ac:dyDescent="0.3">
      <c r="J34720"/>
    </row>
    <row r="34721" spans="10:10" x14ac:dyDescent="0.3">
      <c r="J34721"/>
    </row>
    <row r="34722" spans="10:10" x14ac:dyDescent="0.3">
      <c r="J34722"/>
    </row>
    <row r="34723" spans="10:10" x14ac:dyDescent="0.3">
      <c r="J34723"/>
    </row>
    <row r="34724" spans="10:10" x14ac:dyDescent="0.3">
      <c r="J34724"/>
    </row>
    <row r="34725" spans="10:10" x14ac:dyDescent="0.3">
      <c r="J34725"/>
    </row>
    <row r="34726" spans="10:10" x14ac:dyDescent="0.3">
      <c r="J34726"/>
    </row>
    <row r="34727" spans="10:10" x14ac:dyDescent="0.3">
      <c r="J34727"/>
    </row>
    <row r="34728" spans="10:10" x14ac:dyDescent="0.3">
      <c r="J34728"/>
    </row>
    <row r="34729" spans="10:10" x14ac:dyDescent="0.3">
      <c r="J34729"/>
    </row>
    <row r="34730" spans="10:10" x14ac:dyDescent="0.3">
      <c r="J34730"/>
    </row>
    <row r="34731" spans="10:10" x14ac:dyDescent="0.3">
      <c r="J34731"/>
    </row>
    <row r="34732" spans="10:10" x14ac:dyDescent="0.3">
      <c r="J34732"/>
    </row>
    <row r="34733" spans="10:10" x14ac:dyDescent="0.3">
      <c r="J34733"/>
    </row>
    <row r="34734" spans="10:10" x14ac:dyDescent="0.3">
      <c r="J34734"/>
    </row>
    <row r="34735" spans="10:10" x14ac:dyDescent="0.3">
      <c r="J34735"/>
    </row>
    <row r="34736" spans="10:10" x14ac:dyDescent="0.3">
      <c r="J34736"/>
    </row>
    <row r="34737" spans="10:10" x14ac:dyDescent="0.3">
      <c r="J34737"/>
    </row>
    <row r="34738" spans="10:10" x14ac:dyDescent="0.3">
      <c r="J34738"/>
    </row>
    <row r="34739" spans="10:10" x14ac:dyDescent="0.3">
      <c r="J34739"/>
    </row>
    <row r="34740" spans="10:10" x14ac:dyDescent="0.3">
      <c r="J34740"/>
    </row>
    <row r="34741" spans="10:10" x14ac:dyDescent="0.3">
      <c r="J34741"/>
    </row>
    <row r="34742" spans="10:10" x14ac:dyDescent="0.3">
      <c r="J34742"/>
    </row>
    <row r="34743" spans="10:10" x14ac:dyDescent="0.3">
      <c r="J34743"/>
    </row>
    <row r="34744" spans="10:10" x14ac:dyDescent="0.3">
      <c r="J34744"/>
    </row>
    <row r="34745" spans="10:10" x14ac:dyDescent="0.3">
      <c r="J34745"/>
    </row>
    <row r="34746" spans="10:10" x14ac:dyDescent="0.3">
      <c r="J34746"/>
    </row>
    <row r="34747" spans="10:10" x14ac:dyDescent="0.3">
      <c r="J34747"/>
    </row>
    <row r="34748" spans="10:10" x14ac:dyDescent="0.3">
      <c r="J34748"/>
    </row>
    <row r="34749" spans="10:10" x14ac:dyDescent="0.3">
      <c r="J34749"/>
    </row>
    <row r="34750" spans="10:10" x14ac:dyDescent="0.3">
      <c r="J34750"/>
    </row>
    <row r="34751" spans="10:10" x14ac:dyDescent="0.3">
      <c r="J34751"/>
    </row>
    <row r="34752" spans="10:10" x14ac:dyDescent="0.3">
      <c r="J34752"/>
    </row>
    <row r="34753" spans="10:10" x14ac:dyDescent="0.3">
      <c r="J34753"/>
    </row>
    <row r="34754" spans="10:10" x14ac:dyDescent="0.3">
      <c r="J34754"/>
    </row>
    <row r="34755" spans="10:10" x14ac:dyDescent="0.3">
      <c r="J34755"/>
    </row>
    <row r="34756" spans="10:10" x14ac:dyDescent="0.3">
      <c r="J34756"/>
    </row>
    <row r="34757" spans="10:10" x14ac:dyDescent="0.3">
      <c r="J34757"/>
    </row>
    <row r="34758" spans="10:10" x14ac:dyDescent="0.3">
      <c r="J34758"/>
    </row>
    <row r="34759" spans="10:10" x14ac:dyDescent="0.3">
      <c r="J34759"/>
    </row>
    <row r="34760" spans="10:10" x14ac:dyDescent="0.3">
      <c r="J34760"/>
    </row>
    <row r="34761" spans="10:10" x14ac:dyDescent="0.3">
      <c r="J34761"/>
    </row>
    <row r="34762" spans="10:10" x14ac:dyDescent="0.3">
      <c r="J34762"/>
    </row>
    <row r="34763" spans="10:10" x14ac:dyDescent="0.3">
      <c r="J34763"/>
    </row>
    <row r="34764" spans="10:10" x14ac:dyDescent="0.3">
      <c r="J34764"/>
    </row>
    <row r="34765" spans="10:10" x14ac:dyDescent="0.3">
      <c r="J34765"/>
    </row>
    <row r="34766" spans="10:10" x14ac:dyDescent="0.3">
      <c r="J34766"/>
    </row>
    <row r="34767" spans="10:10" x14ac:dyDescent="0.3">
      <c r="J34767"/>
    </row>
    <row r="34768" spans="10:10" x14ac:dyDescent="0.3">
      <c r="J34768"/>
    </row>
    <row r="34769" spans="10:10" x14ac:dyDescent="0.3">
      <c r="J34769"/>
    </row>
    <row r="34770" spans="10:10" x14ac:dyDescent="0.3">
      <c r="J34770"/>
    </row>
    <row r="34771" spans="10:10" x14ac:dyDescent="0.3">
      <c r="J34771"/>
    </row>
    <row r="34772" spans="10:10" x14ac:dyDescent="0.3">
      <c r="J34772"/>
    </row>
    <row r="34773" spans="10:10" x14ac:dyDescent="0.3">
      <c r="J34773"/>
    </row>
    <row r="34774" spans="10:10" x14ac:dyDescent="0.3">
      <c r="J34774"/>
    </row>
    <row r="34775" spans="10:10" x14ac:dyDescent="0.3">
      <c r="J34775"/>
    </row>
    <row r="34776" spans="10:10" x14ac:dyDescent="0.3">
      <c r="J34776"/>
    </row>
    <row r="34777" spans="10:10" x14ac:dyDescent="0.3">
      <c r="J34777"/>
    </row>
    <row r="34778" spans="10:10" x14ac:dyDescent="0.3">
      <c r="J34778"/>
    </row>
    <row r="34779" spans="10:10" x14ac:dyDescent="0.3">
      <c r="J34779"/>
    </row>
    <row r="34780" spans="10:10" x14ac:dyDescent="0.3">
      <c r="J34780"/>
    </row>
    <row r="34781" spans="10:10" x14ac:dyDescent="0.3">
      <c r="J34781"/>
    </row>
    <row r="34782" spans="10:10" x14ac:dyDescent="0.3">
      <c r="J34782"/>
    </row>
    <row r="34783" spans="10:10" x14ac:dyDescent="0.3">
      <c r="J34783"/>
    </row>
    <row r="34784" spans="10:10" x14ac:dyDescent="0.3">
      <c r="J34784"/>
    </row>
    <row r="34785" spans="10:10" x14ac:dyDescent="0.3">
      <c r="J34785"/>
    </row>
    <row r="34786" spans="10:10" x14ac:dyDescent="0.3">
      <c r="J34786"/>
    </row>
    <row r="34787" spans="10:10" x14ac:dyDescent="0.3">
      <c r="J34787"/>
    </row>
    <row r="34788" spans="10:10" x14ac:dyDescent="0.3">
      <c r="J34788"/>
    </row>
    <row r="34789" spans="10:10" x14ac:dyDescent="0.3">
      <c r="J34789"/>
    </row>
    <row r="34790" spans="10:10" x14ac:dyDescent="0.3">
      <c r="J34790"/>
    </row>
    <row r="34791" spans="10:10" x14ac:dyDescent="0.3">
      <c r="J34791"/>
    </row>
    <row r="34792" spans="10:10" x14ac:dyDescent="0.3">
      <c r="J34792"/>
    </row>
    <row r="34793" spans="10:10" x14ac:dyDescent="0.3">
      <c r="J34793"/>
    </row>
    <row r="34794" spans="10:10" x14ac:dyDescent="0.3">
      <c r="J34794"/>
    </row>
    <row r="34795" spans="10:10" x14ac:dyDescent="0.3">
      <c r="J34795"/>
    </row>
    <row r="34796" spans="10:10" x14ac:dyDescent="0.3">
      <c r="J34796"/>
    </row>
    <row r="34797" spans="10:10" x14ac:dyDescent="0.3">
      <c r="J34797"/>
    </row>
    <row r="34798" spans="10:10" x14ac:dyDescent="0.3">
      <c r="J34798"/>
    </row>
    <row r="34799" spans="10:10" x14ac:dyDescent="0.3">
      <c r="J34799"/>
    </row>
    <row r="34800" spans="10:10" x14ac:dyDescent="0.3">
      <c r="J34800"/>
    </row>
    <row r="34801" spans="10:10" x14ac:dyDescent="0.3">
      <c r="J34801"/>
    </row>
    <row r="34802" spans="10:10" x14ac:dyDescent="0.3">
      <c r="J34802"/>
    </row>
    <row r="34803" spans="10:10" x14ac:dyDescent="0.3">
      <c r="J34803"/>
    </row>
    <row r="34804" spans="10:10" x14ac:dyDescent="0.3">
      <c r="J34804"/>
    </row>
    <row r="34805" spans="10:10" x14ac:dyDescent="0.3">
      <c r="J34805"/>
    </row>
    <row r="34806" spans="10:10" x14ac:dyDescent="0.3">
      <c r="J34806"/>
    </row>
    <row r="34807" spans="10:10" x14ac:dyDescent="0.3">
      <c r="J34807"/>
    </row>
    <row r="34808" spans="10:10" x14ac:dyDescent="0.3">
      <c r="J34808"/>
    </row>
    <row r="34809" spans="10:10" x14ac:dyDescent="0.3">
      <c r="J34809"/>
    </row>
    <row r="34810" spans="10:10" x14ac:dyDescent="0.3">
      <c r="J34810"/>
    </row>
    <row r="34811" spans="10:10" x14ac:dyDescent="0.3">
      <c r="J34811"/>
    </row>
    <row r="34812" spans="10:10" x14ac:dyDescent="0.3">
      <c r="J34812"/>
    </row>
    <row r="34813" spans="10:10" x14ac:dyDescent="0.3">
      <c r="J34813"/>
    </row>
    <row r="34814" spans="10:10" x14ac:dyDescent="0.3">
      <c r="J34814"/>
    </row>
    <row r="34815" spans="10:10" x14ac:dyDescent="0.3">
      <c r="J34815"/>
    </row>
    <row r="34816" spans="10:10" x14ac:dyDescent="0.3">
      <c r="J34816"/>
    </row>
    <row r="34817" spans="10:10" x14ac:dyDescent="0.3">
      <c r="J34817"/>
    </row>
    <row r="34818" spans="10:10" x14ac:dyDescent="0.3">
      <c r="J34818"/>
    </row>
    <row r="34819" spans="10:10" x14ac:dyDescent="0.3">
      <c r="J34819"/>
    </row>
    <row r="34820" spans="10:10" x14ac:dyDescent="0.3">
      <c r="J34820"/>
    </row>
    <row r="34821" spans="10:10" x14ac:dyDescent="0.3">
      <c r="J34821"/>
    </row>
    <row r="34822" spans="10:10" x14ac:dyDescent="0.3">
      <c r="J34822"/>
    </row>
    <row r="34823" spans="10:10" x14ac:dyDescent="0.3">
      <c r="J34823"/>
    </row>
    <row r="34824" spans="10:10" x14ac:dyDescent="0.3">
      <c r="J34824"/>
    </row>
    <row r="34825" spans="10:10" x14ac:dyDescent="0.3">
      <c r="J34825"/>
    </row>
    <row r="34826" spans="10:10" x14ac:dyDescent="0.3">
      <c r="J34826"/>
    </row>
    <row r="34827" spans="10:10" x14ac:dyDescent="0.3">
      <c r="J34827"/>
    </row>
    <row r="34828" spans="10:10" x14ac:dyDescent="0.3">
      <c r="J34828"/>
    </row>
    <row r="34829" spans="10:10" x14ac:dyDescent="0.3">
      <c r="J34829"/>
    </row>
    <row r="34830" spans="10:10" x14ac:dyDescent="0.3">
      <c r="J34830"/>
    </row>
    <row r="34831" spans="10:10" x14ac:dyDescent="0.3">
      <c r="J34831"/>
    </row>
    <row r="34832" spans="10:10" x14ac:dyDescent="0.3">
      <c r="J34832"/>
    </row>
    <row r="34833" spans="10:10" x14ac:dyDescent="0.3">
      <c r="J34833"/>
    </row>
    <row r="34834" spans="10:10" x14ac:dyDescent="0.3">
      <c r="J34834"/>
    </row>
    <row r="34835" spans="10:10" x14ac:dyDescent="0.3">
      <c r="J34835"/>
    </row>
    <row r="34836" spans="10:10" x14ac:dyDescent="0.3">
      <c r="J34836"/>
    </row>
    <row r="34837" spans="10:10" x14ac:dyDescent="0.3">
      <c r="J34837"/>
    </row>
    <row r="34838" spans="10:10" x14ac:dyDescent="0.3">
      <c r="J34838"/>
    </row>
    <row r="34839" spans="10:10" x14ac:dyDescent="0.3">
      <c r="J34839"/>
    </row>
    <row r="34840" spans="10:10" x14ac:dyDescent="0.3">
      <c r="J34840"/>
    </row>
    <row r="34841" spans="10:10" x14ac:dyDescent="0.3">
      <c r="J34841"/>
    </row>
    <row r="34842" spans="10:10" x14ac:dyDescent="0.3">
      <c r="J34842"/>
    </row>
    <row r="34843" spans="10:10" x14ac:dyDescent="0.3">
      <c r="J34843"/>
    </row>
    <row r="34844" spans="10:10" x14ac:dyDescent="0.3">
      <c r="J34844"/>
    </row>
    <row r="34845" spans="10:10" x14ac:dyDescent="0.3">
      <c r="J34845"/>
    </row>
    <row r="34846" spans="10:10" x14ac:dyDescent="0.3">
      <c r="J34846"/>
    </row>
    <row r="34847" spans="10:10" x14ac:dyDescent="0.3">
      <c r="J34847"/>
    </row>
    <row r="34848" spans="10:10" x14ac:dyDescent="0.3">
      <c r="J34848"/>
    </row>
    <row r="34849" spans="10:10" x14ac:dyDescent="0.3">
      <c r="J34849"/>
    </row>
    <row r="34850" spans="10:10" x14ac:dyDescent="0.3">
      <c r="J34850"/>
    </row>
    <row r="34851" spans="10:10" x14ac:dyDescent="0.3">
      <c r="J34851"/>
    </row>
    <row r="34852" spans="10:10" x14ac:dyDescent="0.3">
      <c r="J34852"/>
    </row>
    <row r="34853" spans="10:10" x14ac:dyDescent="0.3">
      <c r="J34853"/>
    </row>
    <row r="34854" spans="10:10" x14ac:dyDescent="0.3">
      <c r="J34854"/>
    </row>
    <row r="34855" spans="10:10" x14ac:dyDescent="0.3">
      <c r="J34855"/>
    </row>
    <row r="34856" spans="10:10" x14ac:dyDescent="0.3">
      <c r="J34856"/>
    </row>
    <row r="34857" spans="10:10" x14ac:dyDescent="0.3">
      <c r="J34857"/>
    </row>
    <row r="34858" spans="10:10" x14ac:dyDescent="0.3">
      <c r="J34858"/>
    </row>
    <row r="34859" spans="10:10" x14ac:dyDescent="0.3">
      <c r="J34859"/>
    </row>
    <row r="34860" spans="10:10" x14ac:dyDescent="0.3">
      <c r="J34860"/>
    </row>
    <row r="34861" spans="10:10" x14ac:dyDescent="0.3">
      <c r="J34861"/>
    </row>
    <row r="34862" spans="10:10" x14ac:dyDescent="0.3">
      <c r="J34862"/>
    </row>
    <row r="34863" spans="10:10" x14ac:dyDescent="0.3">
      <c r="J34863"/>
    </row>
    <row r="34864" spans="10:10" x14ac:dyDescent="0.3">
      <c r="J34864"/>
    </row>
    <row r="34865" spans="10:10" x14ac:dyDescent="0.3">
      <c r="J34865"/>
    </row>
    <row r="34866" spans="10:10" x14ac:dyDescent="0.3">
      <c r="J34866"/>
    </row>
    <row r="34867" spans="10:10" x14ac:dyDescent="0.3">
      <c r="J34867"/>
    </row>
    <row r="34868" spans="10:10" x14ac:dyDescent="0.3">
      <c r="J34868"/>
    </row>
    <row r="34869" spans="10:10" x14ac:dyDescent="0.3">
      <c r="J34869"/>
    </row>
    <row r="34870" spans="10:10" x14ac:dyDescent="0.3">
      <c r="J34870"/>
    </row>
    <row r="34871" spans="10:10" x14ac:dyDescent="0.3">
      <c r="J34871"/>
    </row>
    <row r="34872" spans="10:10" x14ac:dyDescent="0.3">
      <c r="J34872"/>
    </row>
    <row r="34873" spans="10:10" x14ac:dyDescent="0.3">
      <c r="J34873"/>
    </row>
    <row r="34874" spans="10:10" x14ac:dyDescent="0.3">
      <c r="J34874"/>
    </row>
    <row r="34875" spans="10:10" x14ac:dyDescent="0.3">
      <c r="J34875"/>
    </row>
    <row r="34876" spans="10:10" x14ac:dyDescent="0.3">
      <c r="J34876"/>
    </row>
    <row r="34877" spans="10:10" x14ac:dyDescent="0.3">
      <c r="J34877"/>
    </row>
    <row r="34878" spans="10:10" x14ac:dyDescent="0.3">
      <c r="J34878"/>
    </row>
    <row r="34879" spans="10:10" x14ac:dyDescent="0.3">
      <c r="J34879"/>
    </row>
    <row r="34880" spans="10:10" x14ac:dyDescent="0.3">
      <c r="J34880"/>
    </row>
    <row r="34881" spans="10:10" x14ac:dyDescent="0.3">
      <c r="J34881"/>
    </row>
    <row r="34882" spans="10:10" x14ac:dyDescent="0.3">
      <c r="J34882"/>
    </row>
    <row r="34883" spans="10:10" x14ac:dyDescent="0.3">
      <c r="J34883"/>
    </row>
    <row r="34884" spans="10:10" x14ac:dyDescent="0.3">
      <c r="J34884"/>
    </row>
    <row r="34885" spans="10:10" x14ac:dyDescent="0.3">
      <c r="J34885"/>
    </row>
    <row r="34886" spans="10:10" x14ac:dyDescent="0.3">
      <c r="J34886"/>
    </row>
    <row r="34887" spans="10:10" x14ac:dyDescent="0.3">
      <c r="J34887"/>
    </row>
    <row r="34888" spans="10:10" x14ac:dyDescent="0.3">
      <c r="J34888"/>
    </row>
    <row r="34889" spans="10:10" x14ac:dyDescent="0.3">
      <c r="J34889"/>
    </row>
    <row r="34890" spans="10:10" x14ac:dyDescent="0.3">
      <c r="J34890"/>
    </row>
    <row r="34891" spans="10:10" x14ac:dyDescent="0.3">
      <c r="J34891"/>
    </row>
    <row r="34892" spans="10:10" x14ac:dyDescent="0.3">
      <c r="J34892"/>
    </row>
    <row r="34893" spans="10:10" x14ac:dyDescent="0.3">
      <c r="J34893"/>
    </row>
    <row r="34894" spans="10:10" x14ac:dyDescent="0.3">
      <c r="J34894"/>
    </row>
    <row r="34895" spans="10:10" x14ac:dyDescent="0.3">
      <c r="J34895"/>
    </row>
    <row r="34896" spans="10:10" x14ac:dyDescent="0.3">
      <c r="J34896"/>
    </row>
    <row r="34897" spans="10:10" x14ac:dyDescent="0.3">
      <c r="J34897"/>
    </row>
    <row r="34898" spans="10:10" x14ac:dyDescent="0.3">
      <c r="J34898"/>
    </row>
    <row r="34899" spans="10:10" x14ac:dyDescent="0.3">
      <c r="J34899"/>
    </row>
    <row r="34900" spans="10:10" x14ac:dyDescent="0.3">
      <c r="J34900"/>
    </row>
    <row r="34901" spans="10:10" x14ac:dyDescent="0.3">
      <c r="J34901"/>
    </row>
    <row r="34902" spans="10:10" x14ac:dyDescent="0.3">
      <c r="J34902"/>
    </row>
    <row r="34903" spans="10:10" x14ac:dyDescent="0.3">
      <c r="J34903"/>
    </row>
    <row r="34904" spans="10:10" x14ac:dyDescent="0.3">
      <c r="J34904"/>
    </row>
    <row r="34905" spans="10:10" x14ac:dyDescent="0.3">
      <c r="J34905"/>
    </row>
    <row r="34906" spans="10:10" x14ac:dyDescent="0.3">
      <c r="J34906"/>
    </row>
    <row r="34907" spans="10:10" x14ac:dyDescent="0.3">
      <c r="J34907"/>
    </row>
    <row r="34908" spans="10:10" x14ac:dyDescent="0.3">
      <c r="J34908"/>
    </row>
    <row r="34909" spans="10:10" x14ac:dyDescent="0.3">
      <c r="J34909"/>
    </row>
    <row r="34910" spans="10:10" x14ac:dyDescent="0.3">
      <c r="J34910"/>
    </row>
    <row r="34911" spans="10:10" x14ac:dyDescent="0.3">
      <c r="J34911"/>
    </row>
    <row r="34912" spans="10:10" x14ac:dyDescent="0.3">
      <c r="J34912"/>
    </row>
    <row r="34913" spans="10:10" x14ac:dyDescent="0.3">
      <c r="J34913"/>
    </row>
    <row r="34914" spans="10:10" x14ac:dyDescent="0.3">
      <c r="J34914"/>
    </row>
    <row r="34915" spans="10:10" x14ac:dyDescent="0.3">
      <c r="J34915"/>
    </row>
    <row r="34916" spans="10:10" x14ac:dyDescent="0.3">
      <c r="J34916"/>
    </row>
    <row r="34917" spans="10:10" x14ac:dyDescent="0.3">
      <c r="J34917"/>
    </row>
    <row r="34918" spans="10:10" x14ac:dyDescent="0.3">
      <c r="J34918"/>
    </row>
    <row r="34919" spans="10:10" x14ac:dyDescent="0.3">
      <c r="J34919"/>
    </row>
    <row r="34920" spans="10:10" x14ac:dyDescent="0.3">
      <c r="J34920"/>
    </row>
    <row r="34921" spans="10:10" x14ac:dyDescent="0.3">
      <c r="J34921"/>
    </row>
    <row r="34922" spans="10:10" x14ac:dyDescent="0.3">
      <c r="J34922"/>
    </row>
    <row r="34923" spans="10:10" x14ac:dyDescent="0.3">
      <c r="J34923"/>
    </row>
    <row r="34924" spans="10:10" x14ac:dyDescent="0.3">
      <c r="J34924"/>
    </row>
    <row r="34925" spans="10:10" x14ac:dyDescent="0.3">
      <c r="J34925"/>
    </row>
    <row r="34926" spans="10:10" x14ac:dyDescent="0.3">
      <c r="J34926"/>
    </row>
    <row r="34927" spans="10:10" x14ac:dyDescent="0.3">
      <c r="J34927"/>
    </row>
    <row r="34928" spans="10:10" x14ac:dyDescent="0.3">
      <c r="J34928"/>
    </row>
    <row r="34929" spans="10:10" x14ac:dyDescent="0.3">
      <c r="J34929"/>
    </row>
    <row r="34930" spans="10:10" x14ac:dyDescent="0.3">
      <c r="J34930"/>
    </row>
    <row r="34931" spans="10:10" x14ac:dyDescent="0.3">
      <c r="J34931"/>
    </row>
    <row r="34932" spans="10:10" x14ac:dyDescent="0.3">
      <c r="J34932"/>
    </row>
    <row r="34933" spans="10:10" x14ac:dyDescent="0.3">
      <c r="J34933"/>
    </row>
    <row r="34934" spans="10:10" x14ac:dyDescent="0.3">
      <c r="J34934"/>
    </row>
    <row r="34935" spans="10:10" x14ac:dyDescent="0.3">
      <c r="J34935"/>
    </row>
    <row r="34936" spans="10:10" x14ac:dyDescent="0.3">
      <c r="J34936"/>
    </row>
    <row r="34937" spans="10:10" x14ac:dyDescent="0.3">
      <c r="J34937"/>
    </row>
    <row r="34938" spans="10:10" x14ac:dyDescent="0.3">
      <c r="J34938"/>
    </row>
    <row r="34939" spans="10:10" x14ac:dyDescent="0.3">
      <c r="J34939"/>
    </row>
    <row r="34940" spans="10:10" x14ac:dyDescent="0.3">
      <c r="J34940"/>
    </row>
    <row r="34941" spans="10:10" x14ac:dyDescent="0.3">
      <c r="J34941"/>
    </row>
    <row r="34942" spans="10:10" x14ac:dyDescent="0.3">
      <c r="J34942"/>
    </row>
    <row r="34943" spans="10:10" x14ac:dyDescent="0.3">
      <c r="J34943"/>
    </row>
    <row r="34944" spans="10:10" x14ac:dyDescent="0.3">
      <c r="J34944"/>
    </row>
    <row r="34945" spans="10:10" x14ac:dyDescent="0.3">
      <c r="J34945"/>
    </row>
    <row r="34946" spans="10:10" x14ac:dyDescent="0.3">
      <c r="J34946"/>
    </row>
    <row r="34947" spans="10:10" x14ac:dyDescent="0.3">
      <c r="J34947"/>
    </row>
    <row r="34948" spans="10:10" x14ac:dyDescent="0.3">
      <c r="J34948"/>
    </row>
    <row r="34949" spans="10:10" x14ac:dyDescent="0.3">
      <c r="J34949"/>
    </row>
    <row r="34950" spans="10:10" x14ac:dyDescent="0.3">
      <c r="J34950"/>
    </row>
    <row r="34951" spans="10:10" x14ac:dyDescent="0.3">
      <c r="J34951"/>
    </row>
    <row r="34952" spans="10:10" x14ac:dyDescent="0.3">
      <c r="J34952"/>
    </row>
    <row r="34953" spans="10:10" x14ac:dyDescent="0.3">
      <c r="J34953"/>
    </row>
    <row r="34954" spans="10:10" x14ac:dyDescent="0.3">
      <c r="J34954"/>
    </row>
    <row r="34955" spans="10:10" x14ac:dyDescent="0.3">
      <c r="J34955"/>
    </row>
    <row r="34956" spans="10:10" x14ac:dyDescent="0.3">
      <c r="J34956"/>
    </row>
    <row r="34957" spans="10:10" x14ac:dyDescent="0.3">
      <c r="J34957"/>
    </row>
    <row r="34958" spans="10:10" x14ac:dyDescent="0.3">
      <c r="J34958"/>
    </row>
    <row r="34959" spans="10:10" x14ac:dyDescent="0.3">
      <c r="J34959"/>
    </row>
    <row r="34960" spans="10:10" x14ac:dyDescent="0.3">
      <c r="J34960"/>
    </row>
    <row r="34961" spans="10:10" x14ac:dyDescent="0.3">
      <c r="J34961"/>
    </row>
    <row r="34962" spans="10:10" x14ac:dyDescent="0.3">
      <c r="J34962"/>
    </row>
    <row r="34963" spans="10:10" x14ac:dyDescent="0.3">
      <c r="J34963"/>
    </row>
    <row r="34964" spans="10:10" x14ac:dyDescent="0.3">
      <c r="J34964"/>
    </row>
    <row r="34965" spans="10:10" x14ac:dyDescent="0.3">
      <c r="J34965"/>
    </row>
    <row r="34966" spans="10:10" x14ac:dyDescent="0.3">
      <c r="J34966"/>
    </row>
    <row r="34967" spans="10:10" x14ac:dyDescent="0.3">
      <c r="J34967"/>
    </row>
    <row r="34968" spans="10:10" x14ac:dyDescent="0.3">
      <c r="J34968"/>
    </row>
    <row r="34969" spans="10:10" x14ac:dyDescent="0.3">
      <c r="J34969"/>
    </row>
    <row r="34970" spans="10:10" x14ac:dyDescent="0.3">
      <c r="J34970"/>
    </row>
    <row r="34971" spans="10:10" x14ac:dyDescent="0.3">
      <c r="J34971"/>
    </row>
    <row r="34972" spans="10:10" x14ac:dyDescent="0.3">
      <c r="J34972"/>
    </row>
    <row r="34973" spans="10:10" x14ac:dyDescent="0.3">
      <c r="J34973"/>
    </row>
    <row r="34974" spans="10:10" x14ac:dyDescent="0.3">
      <c r="J34974"/>
    </row>
    <row r="34975" spans="10:10" x14ac:dyDescent="0.3">
      <c r="J34975"/>
    </row>
    <row r="34976" spans="10:10" x14ac:dyDescent="0.3">
      <c r="J34976"/>
    </row>
    <row r="34977" spans="10:10" x14ac:dyDescent="0.3">
      <c r="J34977"/>
    </row>
    <row r="34978" spans="10:10" x14ac:dyDescent="0.3">
      <c r="J34978"/>
    </row>
    <row r="34979" spans="10:10" x14ac:dyDescent="0.3">
      <c r="J34979"/>
    </row>
    <row r="34980" spans="10:10" x14ac:dyDescent="0.3">
      <c r="J34980"/>
    </row>
    <row r="34981" spans="10:10" x14ac:dyDescent="0.3">
      <c r="J34981"/>
    </row>
    <row r="34982" spans="10:10" x14ac:dyDescent="0.3">
      <c r="J34982"/>
    </row>
    <row r="34983" spans="10:10" x14ac:dyDescent="0.3">
      <c r="J34983"/>
    </row>
    <row r="34984" spans="10:10" x14ac:dyDescent="0.3">
      <c r="J34984"/>
    </row>
    <row r="34985" spans="10:10" x14ac:dyDescent="0.3">
      <c r="J34985"/>
    </row>
    <row r="34986" spans="10:10" x14ac:dyDescent="0.3">
      <c r="J34986"/>
    </row>
    <row r="34987" spans="10:10" x14ac:dyDescent="0.3">
      <c r="J34987"/>
    </row>
    <row r="34988" spans="10:10" x14ac:dyDescent="0.3">
      <c r="J34988"/>
    </row>
    <row r="34989" spans="10:10" x14ac:dyDescent="0.3">
      <c r="J34989"/>
    </row>
    <row r="34990" spans="10:10" x14ac:dyDescent="0.3">
      <c r="J34990"/>
    </row>
    <row r="34991" spans="10:10" x14ac:dyDescent="0.3">
      <c r="J34991"/>
    </row>
    <row r="34992" spans="10:10" x14ac:dyDescent="0.3">
      <c r="J34992"/>
    </row>
    <row r="34993" spans="10:10" x14ac:dyDescent="0.3">
      <c r="J34993"/>
    </row>
    <row r="34994" spans="10:10" x14ac:dyDescent="0.3">
      <c r="J34994"/>
    </row>
    <row r="34995" spans="10:10" x14ac:dyDescent="0.3">
      <c r="J34995"/>
    </row>
    <row r="34996" spans="10:10" x14ac:dyDescent="0.3">
      <c r="J34996"/>
    </row>
    <row r="34997" spans="10:10" x14ac:dyDescent="0.3">
      <c r="J34997"/>
    </row>
    <row r="34998" spans="10:10" x14ac:dyDescent="0.3">
      <c r="J34998"/>
    </row>
    <row r="34999" spans="10:10" x14ac:dyDescent="0.3">
      <c r="J34999"/>
    </row>
    <row r="35000" spans="10:10" x14ac:dyDescent="0.3">
      <c r="J35000"/>
    </row>
    <row r="35001" spans="10:10" x14ac:dyDescent="0.3">
      <c r="J35001"/>
    </row>
    <row r="35002" spans="10:10" x14ac:dyDescent="0.3">
      <c r="J35002"/>
    </row>
    <row r="35003" spans="10:10" x14ac:dyDescent="0.3">
      <c r="J35003"/>
    </row>
    <row r="35004" spans="10:10" x14ac:dyDescent="0.3">
      <c r="J35004"/>
    </row>
    <row r="35005" spans="10:10" x14ac:dyDescent="0.3">
      <c r="J35005"/>
    </row>
    <row r="35006" spans="10:10" x14ac:dyDescent="0.3">
      <c r="J35006"/>
    </row>
    <row r="35007" spans="10:10" x14ac:dyDescent="0.3">
      <c r="J35007"/>
    </row>
    <row r="35008" spans="10:10" x14ac:dyDescent="0.3">
      <c r="J35008"/>
    </row>
    <row r="35009" spans="10:10" x14ac:dyDescent="0.3">
      <c r="J35009"/>
    </row>
    <row r="35010" spans="10:10" x14ac:dyDescent="0.3">
      <c r="J35010"/>
    </row>
    <row r="35011" spans="10:10" x14ac:dyDescent="0.3">
      <c r="J35011"/>
    </row>
    <row r="35012" spans="10:10" x14ac:dyDescent="0.3">
      <c r="J35012"/>
    </row>
    <row r="35013" spans="10:10" x14ac:dyDescent="0.3">
      <c r="J35013"/>
    </row>
    <row r="35014" spans="10:10" x14ac:dyDescent="0.3">
      <c r="J35014"/>
    </row>
    <row r="35015" spans="10:10" x14ac:dyDescent="0.3">
      <c r="J35015"/>
    </row>
    <row r="35016" spans="10:10" x14ac:dyDescent="0.3">
      <c r="J35016"/>
    </row>
    <row r="35017" spans="10:10" x14ac:dyDescent="0.3">
      <c r="J35017"/>
    </row>
    <row r="35018" spans="10:10" x14ac:dyDescent="0.3">
      <c r="J35018"/>
    </row>
    <row r="35019" spans="10:10" x14ac:dyDescent="0.3">
      <c r="J35019"/>
    </row>
    <row r="35020" spans="10:10" x14ac:dyDescent="0.3">
      <c r="J35020"/>
    </row>
    <row r="35021" spans="10:10" x14ac:dyDescent="0.3">
      <c r="J35021"/>
    </row>
    <row r="35022" spans="10:10" x14ac:dyDescent="0.3">
      <c r="J35022"/>
    </row>
    <row r="35023" spans="10:10" x14ac:dyDescent="0.3">
      <c r="J35023"/>
    </row>
    <row r="35024" spans="10:10" x14ac:dyDescent="0.3">
      <c r="J35024"/>
    </row>
    <row r="35025" spans="10:10" x14ac:dyDescent="0.3">
      <c r="J35025"/>
    </row>
    <row r="35026" spans="10:10" x14ac:dyDescent="0.3">
      <c r="J35026"/>
    </row>
    <row r="35027" spans="10:10" x14ac:dyDescent="0.3">
      <c r="J35027"/>
    </row>
    <row r="35028" spans="10:10" x14ac:dyDescent="0.3">
      <c r="J35028"/>
    </row>
    <row r="35029" spans="10:10" x14ac:dyDescent="0.3">
      <c r="J35029"/>
    </row>
    <row r="35030" spans="10:10" x14ac:dyDescent="0.3">
      <c r="J35030"/>
    </row>
    <row r="35031" spans="10:10" x14ac:dyDescent="0.3">
      <c r="J35031"/>
    </row>
    <row r="35032" spans="10:10" x14ac:dyDescent="0.3">
      <c r="J35032"/>
    </row>
    <row r="35033" spans="10:10" x14ac:dyDescent="0.3">
      <c r="J35033"/>
    </row>
    <row r="35034" spans="10:10" x14ac:dyDescent="0.3">
      <c r="J35034"/>
    </row>
    <row r="35035" spans="10:10" x14ac:dyDescent="0.3">
      <c r="J35035"/>
    </row>
    <row r="35036" spans="10:10" x14ac:dyDescent="0.3">
      <c r="J35036"/>
    </row>
    <row r="35037" spans="10:10" x14ac:dyDescent="0.3">
      <c r="J35037"/>
    </row>
    <row r="35038" spans="10:10" x14ac:dyDescent="0.3">
      <c r="J35038"/>
    </row>
    <row r="35039" spans="10:10" x14ac:dyDescent="0.3">
      <c r="J35039"/>
    </row>
    <row r="35040" spans="10:10" x14ac:dyDescent="0.3">
      <c r="J35040"/>
    </row>
    <row r="35041" spans="10:10" x14ac:dyDescent="0.3">
      <c r="J35041"/>
    </row>
    <row r="35042" spans="10:10" x14ac:dyDescent="0.3">
      <c r="J35042"/>
    </row>
    <row r="35043" spans="10:10" x14ac:dyDescent="0.3">
      <c r="J35043"/>
    </row>
    <row r="35044" spans="10:10" x14ac:dyDescent="0.3">
      <c r="J35044"/>
    </row>
    <row r="35045" spans="10:10" x14ac:dyDescent="0.3">
      <c r="J35045"/>
    </row>
    <row r="35046" spans="10:10" x14ac:dyDescent="0.3">
      <c r="J35046"/>
    </row>
    <row r="35047" spans="10:10" x14ac:dyDescent="0.3">
      <c r="J35047"/>
    </row>
    <row r="35048" spans="10:10" x14ac:dyDescent="0.3">
      <c r="J35048"/>
    </row>
    <row r="35049" spans="10:10" x14ac:dyDescent="0.3">
      <c r="J35049"/>
    </row>
    <row r="35050" spans="10:10" x14ac:dyDescent="0.3">
      <c r="J35050"/>
    </row>
    <row r="35051" spans="10:10" x14ac:dyDescent="0.3">
      <c r="J35051"/>
    </row>
    <row r="35052" spans="10:10" x14ac:dyDescent="0.3">
      <c r="J35052"/>
    </row>
    <row r="35053" spans="10:10" x14ac:dyDescent="0.3">
      <c r="J35053"/>
    </row>
    <row r="35054" spans="10:10" x14ac:dyDescent="0.3">
      <c r="J35054"/>
    </row>
    <row r="35055" spans="10:10" x14ac:dyDescent="0.3">
      <c r="J35055"/>
    </row>
    <row r="35056" spans="10:10" x14ac:dyDescent="0.3">
      <c r="J35056"/>
    </row>
    <row r="35057" spans="10:10" x14ac:dyDescent="0.3">
      <c r="J35057"/>
    </row>
    <row r="35058" spans="10:10" x14ac:dyDescent="0.3">
      <c r="J35058"/>
    </row>
    <row r="35059" spans="10:10" x14ac:dyDescent="0.3">
      <c r="J35059"/>
    </row>
    <row r="35060" spans="10:10" x14ac:dyDescent="0.3">
      <c r="J35060"/>
    </row>
    <row r="35061" spans="10:10" x14ac:dyDescent="0.3">
      <c r="J35061"/>
    </row>
    <row r="35062" spans="10:10" x14ac:dyDescent="0.3">
      <c r="J35062"/>
    </row>
    <row r="35063" spans="10:10" x14ac:dyDescent="0.3">
      <c r="J35063"/>
    </row>
    <row r="35064" spans="10:10" x14ac:dyDescent="0.3">
      <c r="J35064"/>
    </row>
    <row r="35065" spans="10:10" x14ac:dyDescent="0.3">
      <c r="J35065"/>
    </row>
    <row r="35066" spans="10:10" x14ac:dyDescent="0.3">
      <c r="J35066"/>
    </row>
    <row r="35067" spans="10:10" x14ac:dyDescent="0.3">
      <c r="J35067"/>
    </row>
    <row r="35068" spans="10:10" x14ac:dyDescent="0.3">
      <c r="J35068"/>
    </row>
    <row r="35069" spans="10:10" x14ac:dyDescent="0.3">
      <c r="J35069"/>
    </row>
    <row r="35070" spans="10:10" x14ac:dyDescent="0.3">
      <c r="J35070"/>
    </row>
    <row r="35071" spans="10:10" x14ac:dyDescent="0.3">
      <c r="J35071"/>
    </row>
    <row r="35072" spans="10:10" x14ac:dyDescent="0.3">
      <c r="J35072"/>
    </row>
    <row r="35073" spans="10:10" x14ac:dyDescent="0.3">
      <c r="J35073"/>
    </row>
    <row r="35074" spans="10:10" x14ac:dyDescent="0.3">
      <c r="J35074"/>
    </row>
    <row r="35075" spans="10:10" x14ac:dyDescent="0.3">
      <c r="J35075"/>
    </row>
    <row r="35076" spans="10:10" x14ac:dyDescent="0.3">
      <c r="J35076"/>
    </row>
    <row r="35077" spans="10:10" x14ac:dyDescent="0.3">
      <c r="J35077"/>
    </row>
    <row r="35078" spans="10:10" x14ac:dyDescent="0.3">
      <c r="J35078"/>
    </row>
    <row r="35079" spans="10:10" x14ac:dyDescent="0.3">
      <c r="J35079"/>
    </row>
    <row r="35080" spans="10:10" x14ac:dyDescent="0.3">
      <c r="J35080"/>
    </row>
    <row r="35081" spans="10:10" x14ac:dyDescent="0.3">
      <c r="J35081"/>
    </row>
    <row r="35082" spans="10:10" x14ac:dyDescent="0.3">
      <c r="J35082"/>
    </row>
    <row r="35083" spans="10:10" x14ac:dyDescent="0.3">
      <c r="J35083"/>
    </row>
    <row r="35084" spans="10:10" x14ac:dyDescent="0.3">
      <c r="J35084"/>
    </row>
    <row r="35085" spans="10:10" x14ac:dyDescent="0.3">
      <c r="J35085"/>
    </row>
    <row r="35086" spans="10:10" x14ac:dyDescent="0.3">
      <c r="J35086"/>
    </row>
    <row r="35087" spans="10:10" x14ac:dyDescent="0.3">
      <c r="J35087"/>
    </row>
    <row r="35088" spans="10:10" x14ac:dyDescent="0.3">
      <c r="J35088"/>
    </row>
    <row r="35089" spans="10:10" x14ac:dyDescent="0.3">
      <c r="J35089"/>
    </row>
    <row r="35090" spans="10:10" x14ac:dyDescent="0.3">
      <c r="J35090"/>
    </row>
    <row r="35091" spans="10:10" x14ac:dyDescent="0.3">
      <c r="J35091"/>
    </row>
    <row r="35092" spans="10:10" x14ac:dyDescent="0.3">
      <c r="J35092"/>
    </row>
    <row r="35093" spans="10:10" x14ac:dyDescent="0.3">
      <c r="J35093"/>
    </row>
    <row r="35094" spans="10:10" x14ac:dyDescent="0.3">
      <c r="J35094"/>
    </row>
    <row r="35095" spans="10:10" x14ac:dyDescent="0.3">
      <c r="J35095"/>
    </row>
    <row r="35096" spans="10:10" x14ac:dyDescent="0.3">
      <c r="J35096"/>
    </row>
    <row r="35097" spans="10:10" x14ac:dyDescent="0.3">
      <c r="J35097"/>
    </row>
    <row r="35098" spans="10:10" x14ac:dyDescent="0.3">
      <c r="J35098"/>
    </row>
    <row r="35099" spans="10:10" x14ac:dyDescent="0.3">
      <c r="J35099"/>
    </row>
    <row r="35100" spans="10:10" x14ac:dyDescent="0.3">
      <c r="J35100"/>
    </row>
    <row r="35101" spans="10:10" x14ac:dyDescent="0.3">
      <c r="J35101"/>
    </row>
    <row r="35102" spans="10:10" x14ac:dyDescent="0.3">
      <c r="J35102"/>
    </row>
    <row r="35103" spans="10:10" x14ac:dyDescent="0.3">
      <c r="J35103"/>
    </row>
    <row r="35104" spans="10:10" x14ac:dyDescent="0.3">
      <c r="J35104"/>
    </row>
    <row r="35105" spans="10:10" x14ac:dyDescent="0.3">
      <c r="J35105"/>
    </row>
    <row r="35106" spans="10:10" x14ac:dyDescent="0.3">
      <c r="J35106"/>
    </row>
    <row r="35107" spans="10:10" x14ac:dyDescent="0.3">
      <c r="J35107"/>
    </row>
    <row r="35108" spans="10:10" x14ac:dyDescent="0.3">
      <c r="J35108"/>
    </row>
    <row r="35109" spans="10:10" x14ac:dyDescent="0.3">
      <c r="J35109"/>
    </row>
    <row r="35110" spans="10:10" x14ac:dyDescent="0.3">
      <c r="J35110"/>
    </row>
    <row r="35111" spans="10:10" x14ac:dyDescent="0.3">
      <c r="J35111"/>
    </row>
    <row r="35112" spans="10:10" x14ac:dyDescent="0.3">
      <c r="J35112"/>
    </row>
    <row r="35113" spans="10:10" x14ac:dyDescent="0.3">
      <c r="J35113"/>
    </row>
    <row r="35114" spans="10:10" x14ac:dyDescent="0.3">
      <c r="J35114"/>
    </row>
    <row r="35115" spans="10:10" x14ac:dyDescent="0.3">
      <c r="J35115"/>
    </row>
    <row r="35116" spans="10:10" x14ac:dyDescent="0.3">
      <c r="J35116"/>
    </row>
    <row r="35117" spans="10:10" x14ac:dyDescent="0.3">
      <c r="J35117"/>
    </row>
    <row r="35118" spans="10:10" x14ac:dyDescent="0.3">
      <c r="J35118"/>
    </row>
    <row r="35119" spans="10:10" x14ac:dyDescent="0.3">
      <c r="J35119"/>
    </row>
    <row r="35120" spans="10:10" x14ac:dyDescent="0.3">
      <c r="J35120"/>
    </row>
    <row r="35121" spans="10:10" x14ac:dyDescent="0.3">
      <c r="J35121"/>
    </row>
    <row r="35122" spans="10:10" x14ac:dyDescent="0.3">
      <c r="J35122"/>
    </row>
    <row r="35123" spans="10:10" x14ac:dyDescent="0.3">
      <c r="J35123"/>
    </row>
    <row r="35124" spans="10:10" x14ac:dyDescent="0.3">
      <c r="J35124"/>
    </row>
    <row r="35125" spans="10:10" x14ac:dyDescent="0.3">
      <c r="J35125"/>
    </row>
    <row r="35126" spans="10:10" x14ac:dyDescent="0.3">
      <c r="J35126"/>
    </row>
    <row r="35127" spans="10:10" x14ac:dyDescent="0.3">
      <c r="J35127"/>
    </row>
    <row r="35128" spans="10:10" x14ac:dyDescent="0.3">
      <c r="J35128"/>
    </row>
    <row r="35129" spans="10:10" x14ac:dyDescent="0.3">
      <c r="J35129"/>
    </row>
    <row r="35130" spans="10:10" x14ac:dyDescent="0.3">
      <c r="J35130"/>
    </row>
    <row r="35131" spans="10:10" x14ac:dyDescent="0.3">
      <c r="J35131"/>
    </row>
    <row r="35132" spans="10:10" x14ac:dyDescent="0.3">
      <c r="J35132"/>
    </row>
    <row r="35133" spans="10:10" x14ac:dyDescent="0.3">
      <c r="J35133"/>
    </row>
    <row r="35134" spans="10:10" x14ac:dyDescent="0.3">
      <c r="J35134"/>
    </row>
    <row r="35135" spans="10:10" x14ac:dyDescent="0.3">
      <c r="J35135"/>
    </row>
    <row r="35136" spans="10:10" x14ac:dyDescent="0.3">
      <c r="J35136"/>
    </row>
    <row r="35137" spans="10:10" x14ac:dyDescent="0.3">
      <c r="J35137"/>
    </row>
    <row r="35138" spans="10:10" x14ac:dyDescent="0.3">
      <c r="J35138"/>
    </row>
    <row r="35139" spans="10:10" x14ac:dyDescent="0.3">
      <c r="J35139"/>
    </row>
    <row r="35140" spans="10:10" x14ac:dyDescent="0.3">
      <c r="J35140"/>
    </row>
    <row r="35141" spans="10:10" x14ac:dyDescent="0.3">
      <c r="J35141"/>
    </row>
    <row r="35142" spans="10:10" x14ac:dyDescent="0.3">
      <c r="J35142"/>
    </row>
    <row r="35143" spans="10:10" x14ac:dyDescent="0.3">
      <c r="J35143"/>
    </row>
    <row r="35144" spans="10:10" x14ac:dyDescent="0.3">
      <c r="J35144"/>
    </row>
    <row r="35145" spans="10:10" x14ac:dyDescent="0.3">
      <c r="J35145"/>
    </row>
    <row r="35146" spans="10:10" x14ac:dyDescent="0.3">
      <c r="J35146"/>
    </row>
    <row r="35147" spans="10:10" x14ac:dyDescent="0.3">
      <c r="J35147"/>
    </row>
    <row r="35148" spans="10:10" x14ac:dyDescent="0.3">
      <c r="J35148"/>
    </row>
    <row r="35149" spans="10:10" x14ac:dyDescent="0.3">
      <c r="J35149"/>
    </row>
    <row r="35150" spans="10:10" x14ac:dyDescent="0.3">
      <c r="J35150"/>
    </row>
    <row r="35151" spans="10:10" x14ac:dyDescent="0.3">
      <c r="J35151"/>
    </row>
    <row r="35152" spans="10:10" x14ac:dyDescent="0.3">
      <c r="J35152"/>
    </row>
    <row r="35153" spans="10:10" x14ac:dyDescent="0.3">
      <c r="J35153"/>
    </row>
    <row r="35154" spans="10:10" x14ac:dyDescent="0.3">
      <c r="J35154"/>
    </row>
    <row r="35155" spans="10:10" x14ac:dyDescent="0.3">
      <c r="J35155"/>
    </row>
    <row r="35156" spans="10:10" x14ac:dyDescent="0.3">
      <c r="J35156"/>
    </row>
    <row r="35157" spans="10:10" x14ac:dyDescent="0.3">
      <c r="J35157"/>
    </row>
    <row r="35158" spans="10:10" x14ac:dyDescent="0.3">
      <c r="J35158"/>
    </row>
    <row r="35159" spans="10:10" x14ac:dyDescent="0.3">
      <c r="J35159"/>
    </row>
    <row r="35160" spans="10:10" x14ac:dyDescent="0.3">
      <c r="J35160"/>
    </row>
    <row r="35161" spans="10:10" x14ac:dyDescent="0.3">
      <c r="J35161"/>
    </row>
    <row r="35162" spans="10:10" x14ac:dyDescent="0.3">
      <c r="J35162"/>
    </row>
    <row r="35163" spans="10:10" x14ac:dyDescent="0.3">
      <c r="J35163"/>
    </row>
    <row r="35164" spans="10:10" x14ac:dyDescent="0.3">
      <c r="J35164"/>
    </row>
    <row r="35165" spans="10:10" x14ac:dyDescent="0.3">
      <c r="J35165"/>
    </row>
    <row r="35166" spans="10:10" x14ac:dyDescent="0.3">
      <c r="J35166"/>
    </row>
    <row r="35167" spans="10:10" x14ac:dyDescent="0.3">
      <c r="J35167"/>
    </row>
    <row r="35168" spans="10:10" x14ac:dyDescent="0.3">
      <c r="J35168"/>
    </row>
    <row r="35169" spans="10:10" x14ac:dyDescent="0.3">
      <c r="J35169"/>
    </row>
    <row r="35170" spans="10:10" x14ac:dyDescent="0.3">
      <c r="J35170"/>
    </row>
    <row r="35171" spans="10:10" x14ac:dyDescent="0.3">
      <c r="J35171"/>
    </row>
    <row r="35172" spans="10:10" x14ac:dyDescent="0.3">
      <c r="J35172"/>
    </row>
    <row r="35173" spans="10:10" x14ac:dyDescent="0.3">
      <c r="J35173"/>
    </row>
    <row r="35174" spans="10:10" x14ac:dyDescent="0.3">
      <c r="J35174"/>
    </row>
    <row r="35175" spans="10:10" x14ac:dyDescent="0.3">
      <c r="J35175"/>
    </row>
    <row r="35176" spans="10:10" x14ac:dyDescent="0.3">
      <c r="J35176"/>
    </row>
    <row r="35177" spans="10:10" x14ac:dyDescent="0.3">
      <c r="J35177"/>
    </row>
    <row r="35178" spans="10:10" x14ac:dyDescent="0.3">
      <c r="J35178"/>
    </row>
    <row r="35179" spans="10:10" x14ac:dyDescent="0.3">
      <c r="J35179"/>
    </row>
    <row r="35180" spans="10:10" x14ac:dyDescent="0.3">
      <c r="J35180"/>
    </row>
    <row r="35181" spans="10:10" x14ac:dyDescent="0.3">
      <c r="J35181"/>
    </row>
    <row r="35182" spans="10:10" x14ac:dyDescent="0.3">
      <c r="J35182"/>
    </row>
    <row r="35183" spans="10:10" x14ac:dyDescent="0.3">
      <c r="J35183"/>
    </row>
    <row r="35184" spans="10:10" x14ac:dyDescent="0.3">
      <c r="J35184"/>
    </row>
    <row r="35185" spans="10:10" x14ac:dyDescent="0.3">
      <c r="J35185"/>
    </row>
    <row r="35186" spans="10:10" x14ac:dyDescent="0.3">
      <c r="J35186"/>
    </row>
    <row r="35187" spans="10:10" x14ac:dyDescent="0.3">
      <c r="J35187"/>
    </row>
    <row r="35188" spans="10:10" x14ac:dyDescent="0.3">
      <c r="J35188"/>
    </row>
    <row r="35189" spans="10:10" x14ac:dyDescent="0.3">
      <c r="J35189"/>
    </row>
    <row r="35190" spans="10:10" x14ac:dyDescent="0.3">
      <c r="J35190"/>
    </row>
    <row r="35191" spans="10:10" x14ac:dyDescent="0.3">
      <c r="J35191"/>
    </row>
    <row r="35192" spans="10:10" x14ac:dyDescent="0.3">
      <c r="J35192"/>
    </row>
    <row r="35193" spans="10:10" x14ac:dyDescent="0.3">
      <c r="J35193"/>
    </row>
    <row r="35194" spans="10:10" x14ac:dyDescent="0.3">
      <c r="J35194"/>
    </row>
    <row r="35195" spans="10:10" x14ac:dyDescent="0.3">
      <c r="J35195"/>
    </row>
    <row r="35196" spans="10:10" x14ac:dyDescent="0.3">
      <c r="J35196"/>
    </row>
    <row r="35197" spans="10:10" x14ac:dyDescent="0.3">
      <c r="J35197"/>
    </row>
    <row r="35198" spans="10:10" x14ac:dyDescent="0.3">
      <c r="J35198"/>
    </row>
    <row r="35199" spans="10:10" x14ac:dyDescent="0.3">
      <c r="J35199"/>
    </row>
    <row r="35200" spans="10:10" x14ac:dyDescent="0.3">
      <c r="J35200"/>
    </row>
    <row r="35201" spans="10:10" x14ac:dyDescent="0.3">
      <c r="J35201"/>
    </row>
    <row r="35202" spans="10:10" x14ac:dyDescent="0.3">
      <c r="J35202"/>
    </row>
    <row r="35203" spans="10:10" x14ac:dyDescent="0.3">
      <c r="J35203"/>
    </row>
    <row r="35204" spans="10:10" x14ac:dyDescent="0.3">
      <c r="J35204"/>
    </row>
    <row r="35205" spans="10:10" x14ac:dyDescent="0.3">
      <c r="J35205"/>
    </row>
    <row r="35206" spans="10:10" x14ac:dyDescent="0.3">
      <c r="J35206"/>
    </row>
    <row r="35207" spans="10:10" x14ac:dyDescent="0.3">
      <c r="J35207"/>
    </row>
    <row r="35208" spans="10:10" x14ac:dyDescent="0.3">
      <c r="J35208"/>
    </row>
    <row r="35209" spans="10:10" x14ac:dyDescent="0.3">
      <c r="J35209"/>
    </row>
    <row r="35210" spans="10:10" x14ac:dyDescent="0.3">
      <c r="J35210"/>
    </row>
    <row r="35211" spans="10:10" x14ac:dyDescent="0.3">
      <c r="J35211"/>
    </row>
    <row r="35212" spans="10:10" x14ac:dyDescent="0.3">
      <c r="J35212"/>
    </row>
    <row r="35213" spans="10:10" x14ac:dyDescent="0.3">
      <c r="J35213"/>
    </row>
    <row r="35214" spans="10:10" x14ac:dyDescent="0.3">
      <c r="J35214"/>
    </row>
    <row r="35215" spans="10:10" x14ac:dyDescent="0.3">
      <c r="J35215"/>
    </row>
    <row r="35216" spans="10:10" x14ac:dyDescent="0.3">
      <c r="J35216"/>
    </row>
    <row r="35217" spans="10:10" x14ac:dyDescent="0.3">
      <c r="J35217"/>
    </row>
    <row r="35218" spans="10:10" x14ac:dyDescent="0.3">
      <c r="J35218"/>
    </row>
    <row r="35219" spans="10:10" x14ac:dyDescent="0.3">
      <c r="J35219"/>
    </row>
    <row r="35220" spans="10:10" x14ac:dyDescent="0.3">
      <c r="J35220"/>
    </row>
    <row r="35221" spans="10:10" x14ac:dyDescent="0.3">
      <c r="J35221"/>
    </row>
    <row r="35222" spans="10:10" x14ac:dyDescent="0.3">
      <c r="J35222"/>
    </row>
    <row r="35223" spans="10:10" x14ac:dyDescent="0.3">
      <c r="J35223"/>
    </row>
    <row r="35224" spans="10:10" x14ac:dyDescent="0.3">
      <c r="J35224"/>
    </row>
    <row r="35225" spans="10:10" x14ac:dyDescent="0.3">
      <c r="J35225"/>
    </row>
    <row r="35226" spans="10:10" x14ac:dyDescent="0.3">
      <c r="J35226"/>
    </row>
    <row r="35227" spans="10:10" x14ac:dyDescent="0.3">
      <c r="J35227"/>
    </row>
    <row r="35228" spans="10:10" x14ac:dyDescent="0.3">
      <c r="J35228"/>
    </row>
    <row r="35229" spans="10:10" x14ac:dyDescent="0.3">
      <c r="J35229"/>
    </row>
    <row r="35230" spans="10:10" x14ac:dyDescent="0.3">
      <c r="J35230"/>
    </row>
    <row r="35231" spans="10:10" x14ac:dyDescent="0.3">
      <c r="J35231"/>
    </row>
    <row r="35232" spans="10:10" x14ac:dyDescent="0.3">
      <c r="J35232"/>
    </row>
    <row r="35233" spans="10:10" x14ac:dyDescent="0.3">
      <c r="J35233"/>
    </row>
    <row r="35234" spans="10:10" x14ac:dyDescent="0.3">
      <c r="J35234"/>
    </row>
    <row r="35235" spans="10:10" x14ac:dyDescent="0.3">
      <c r="J35235"/>
    </row>
    <row r="35236" spans="10:10" x14ac:dyDescent="0.3">
      <c r="J35236"/>
    </row>
    <row r="35237" spans="10:10" x14ac:dyDescent="0.3">
      <c r="J35237"/>
    </row>
    <row r="35238" spans="10:10" x14ac:dyDescent="0.3">
      <c r="J35238"/>
    </row>
    <row r="35239" spans="10:10" x14ac:dyDescent="0.3">
      <c r="J35239"/>
    </row>
    <row r="35240" spans="10:10" x14ac:dyDescent="0.3">
      <c r="J35240"/>
    </row>
    <row r="35241" spans="10:10" x14ac:dyDescent="0.3">
      <c r="J35241"/>
    </row>
    <row r="35242" spans="10:10" x14ac:dyDescent="0.3">
      <c r="J35242"/>
    </row>
    <row r="35243" spans="10:10" x14ac:dyDescent="0.3">
      <c r="J35243"/>
    </row>
    <row r="35244" spans="10:10" x14ac:dyDescent="0.3">
      <c r="J35244"/>
    </row>
    <row r="35245" spans="10:10" x14ac:dyDescent="0.3">
      <c r="J35245"/>
    </row>
    <row r="35246" spans="10:10" x14ac:dyDescent="0.3">
      <c r="J35246"/>
    </row>
    <row r="35247" spans="10:10" x14ac:dyDescent="0.3">
      <c r="J35247"/>
    </row>
    <row r="35248" spans="10:10" x14ac:dyDescent="0.3">
      <c r="J35248"/>
    </row>
    <row r="35249" spans="10:10" x14ac:dyDescent="0.3">
      <c r="J35249"/>
    </row>
    <row r="35250" spans="10:10" x14ac:dyDescent="0.3">
      <c r="J35250"/>
    </row>
    <row r="35251" spans="10:10" x14ac:dyDescent="0.3">
      <c r="J35251"/>
    </row>
    <row r="35252" spans="10:10" x14ac:dyDescent="0.3">
      <c r="J35252"/>
    </row>
    <row r="35253" spans="10:10" x14ac:dyDescent="0.3">
      <c r="J35253"/>
    </row>
    <row r="35254" spans="10:10" x14ac:dyDescent="0.3">
      <c r="J35254"/>
    </row>
    <row r="35255" spans="10:10" x14ac:dyDescent="0.3">
      <c r="J35255"/>
    </row>
    <row r="35256" spans="10:10" x14ac:dyDescent="0.3">
      <c r="J35256"/>
    </row>
    <row r="35257" spans="10:10" x14ac:dyDescent="0.3">
      <c r="J35257"/>
    </row>
    <row r="35258" spans="10:10" x14ac:dyDescent="0.3">
      <c r="J35258"/>
    </row>
    <row r="35259" spans="10:10" x14ac:dyDescent="0.3">
      <c r="J35259"/>
    </row>
    <row r="35260" spans="10:10" x14ac:dyDescent="0.3">
      <c r="J35260"/>
    </row>
    <row r="35261" spans="10:10" x14ac:dyDescent="0.3">
      <c r="J35261"/>
    </row>
    <row r="35262" spans="10:10" x14ac:dyDescent="0.3">
      <c r="J35262"/>
    </row>
    <row r="35263" spans="10:10" x14ac:dyDescent="0.3">
      <c r="J35263"/>
    </row>
    <row r="35264" spans="10:10" x14ac:dyDescent="0.3">
      <c r="J35264"/>
    </row>
    <row r="35265" spans="10:10" x14ac:dyDescent="0.3">
      <c r="J35265"/>
    </row>
    <row r="35266" spans="10:10" x14ac:dyDescent="0.3">
      <c r="J35266"/>
    </row>
    <row r="35267" spans="10:10" x14ac:dyDescent="0.3">
      <c r="J35267"/>
    </row>
    <row r="35268" spans="10:10" x14ac:dyDescent="0.3">
      <c r="J35268"/>
    </row>
    <row r="35269" spans="10:10" x14ac:dyDescent="0.3">
      <c r="J35269"/>
    </row>
    <row r="35270" spans="10:10" x14ac:dyDescent="0.3">
      <c r="J35270"/>
    </row>
    <row r="35271" spans="10:10" x14ac:dyDescent="0.3">
      <c r="J35271"/>
    </row>
    <row r="35272" spans="10:10" x14ac:dyDescent="0.3">
      <c r="J35272"/>
    </row>
    <row r="35273" spans="10:10" x14ac:dyDescent="0.3">
      <c r="J35273"/>
    </row>
    <row r="35274" spans="10:10" x14ac:dyDescent="0.3">
      <c r="J35274"/>
    </row>
    <row r="35275" spans="10:10" x14ac:dyDescent="0.3">
      <c r="J35275"/>
    </row>
    <row r="35276" spans="10:10" x14ac:dyDescent="0.3">
      <c r="J35276"/>
    </row>
    <row r="35277" spans="10:10" x14ac:dyDescent="0.3">
      <c r="J35277"/>
    </row>
    <row r="35278" spans="10:10" x14ac:dyDescent="0.3">
      <c r="J35278"/>
    </row>
    <row r="35279" spans="10:10" x14ac:dyDescent="0.3">
      <c r="J35279"/>
    </row>
    <row r="35280" spans="10:10" x14ac:dyDescent="0.3">
      <c r="J35280"/>
    </row>
    <row r="35281" spans="10:10" x14ac:dyDescent="0.3">
      <c r="J35281"/>
    </row>
    <row r="35282" spans="10:10" x14ac:dyDescent="0.3">
      <c r="J35282"/>
    </row>
    <row r="35283" spans="10:10" x14ac:dyDescent="0.3">
      <c r="J35283"/>
    </row>
    <row r="35284" spans="10:10" x14ac:dyDescent="0.3">
      <c r="J35284"/>
    </row>
    <row r="35285" spans="10:10" x14ac:dyDescent="0.3">
      <c r="J35285"/>
    </row>
    <row r="35286" spans="10:10" x14ac:dyDescent="0.3">
      <c r="J35286"/>
    </row>
    <row r="35287" spans="10:10" x14ac:dyDescent="0.3">
      <c r="J35287"/>
    </row>
    <row r="35288" spans="10:10" x14ac:dyDescent="0.3">
      <c r="J35288"/>
    </row>
    <row r="35289" spans="10:10" x14ac:dyDescent="0.3">
      <c r="J35289"/>
    </row>
    <row r="35290" spans="10:10" x14ac:dyDescent="0.3">
      <c r="J35290"/>
    </row>
    <row r="35291" spans="10:10" x14ac:dyDescent="0.3">
      <c r="J35291"/>
    </row>
    <row r="35292" spans="10:10" x14ac:dyDescent="0.3">
      <c r="J35292"/>
    </row>
    <row r="35293" spans="10:10" x14ac:dyDescent="0.3">
      <c r="J35293"/>
    </row>
    <row r="35294" spans="10:10" x14ac:dyDescent="0.3">
      <c r="J35294"/>
    </row>
    <row r="35295" spans="10:10" x14ac:dyDescent="0.3">
      <c r="J35295"/>
    </row>
    <row r="35296" spans="10:10" x14ac:dyDescent="0.3">
      <c r="J35296"/>
    </row>
    <row r="35297" spans="10:10" x14ac:dyDescent="0.3">
      <c r="J35297"/>
    </row>
    <row r="35298" spans="10:10" x14ac:dyDescent="0.3">
      <c r="J35298"/>
    </row>
    <row r="35299" spans="10:10" x14ac:dyDescent="0.3">
      <c r="J35299"/>
    </row>
    <row r="35300" spans="10:10" x14ac:dyDescent="0.3">
      <c r="J35300"/>
    </row>
    <row r="35301" spans="10:10" x14ac:dyDescent="0.3">
      <c r="J35301"/>
    </row>
    <row r="35302" spans="10:10" x14ac:dyDescent="0.3">
      <c r="J35302"/>
    </row>
    <row r="35303" spans="10:10" x14ac:dyDescent="0.3">
      <c r="J35303"/>
    </row>
    <row r="35304" spans="10:10" x14ac:dyDescent="0.3">
      <c r="J35304"/>
    </row>
    <row r="35305" spans="10:10" x14ac:dyDescent="0.3">
      <c r="J35305"/>
    </row>
    <row r="35306" spans="10:10" x14ac:dyDescent="0.3">
      <c r="J35306"/>
    </row>
    <row r="35307" spans="10:10" x14ac:dyDescent="0.3">
      <c r="J35307"/>
    </row>
    <row r="35308" spans="10:10" x14ac:dyDescent="0.3">
      <c r="J35308"/>
    </row>
    <row r="35309" spans="10:10" x14ac:dyDescent="0.3">
      <c r="J35309"/>
    </row>
    <row r="35310" spans="10:10" x14ac:dyDescent="0.3">
      <c r="J35310"/>
    </row>
    <row r="35311" spans="10:10" x14ac:dyDescent="0.3">
      <c r="J35311"/>
    </row>
    <row r="35312" spans="10:10" x14ac:dyDescent="0.3">
      <c r="J35312"/>
    </row>
    <row r="35313" spans="10:10" x14ac:dyDescent="0.3">
      <c r="J35313"/>
    </row>
    <row r="35314" spans="10:10" x14ac:dyDescent="0.3">
      <c r="J35314"/>
    </row>
    <row r="35315" spans="10:10" x14ac:dyDescent="0.3">
      <c r="J35315"/>
    </row>
    <row r="35316" spans="10:10" x14ac:dyDescent="0.3">
      <c r="J35316"/>
    </row>
    <row r="35317" spans="10:10" x14ac:dyDescent="0.3">
      <c r="J35317"/>
    </row>
    <row r="35318" spans="10:10" x14ac:dyDescent="0.3">
      <c r="J35318"/>
    </row>
    <row r="35319" spans="10:10" x14ac:dyDescent="0.3">
      <c r="J35319"/>
    </row>
    <row r="35320" spans="10:10" x14ac:dyDescent="0.3">
      <c r="J35320"/>
    </row>
    <row r="35321" spans="10:10" x14ac:dyDescent="0.3">
      <c r="J35321"/>
    </row>
    <row r="35322" spans="10:10" x14ac:dyDescent="0.3">
      <c r="J35322"/>
    </row>
    <row r="35323" spans="10:10" x14ac:dyDescent="0.3">
      <c r="J35323"/>
    </row>
    <row r="35324" spans="10:10" x14ac:dyDescent="0.3">
      <c r="J35324"/>
    </row>
    <row r="35325" spans="10:10" x14ac:dyDescent="0.3">
      <c r="J35325"/>
    </row>
    <row r="35326" spans="10:10" x14ac:dyDescent="0.3">
      <c r="J35326"/>
    </row>
    <row r="35327" spans="10:10" x14ac:dyDescent="0.3">
      <c r="J35327"/>
    </row>
    <row r="35328" spans="10:10" x14ac:dyDescent="0.3">
      <c r="J35328"/>
    </row>
    <row r="35329" spans="10:10" x14ac:dyDescent="0.3">
      <c r="J35329"/>
    </row>
    <row r="35330" spans="10:10" x14ac:dyDescent="0.3">
      <c r="J35330"/>
    </row>
    <row r="35331" spans="10:10" x14ac:dyDescent="0.3">
      <c r="J35331"/>
    </row>
    <row r="35332" spans="10:10" x14ac:dyDescent="0.3">
      <c r="J35332"/>
    </row>
    <row r="35333" spans="10:10" x14ac:dyDescent="0.3">
      <c r="J35333"/>
    </row>
    <row r="35334" spans="10:10" x14ac:dyDescent="0.3">
      <c r="J35334"/>
    </row>
    <row r="35335" spans="10:10" x14ac:dyDescent="0.3">
      <c r="J35335"/>
    </row>
    <row r="35336" spans="10:10" x14ac:dyDescent="0.3">
      <c r="J35336"/>
    </row>
    <row r="35337" spans="10:10" x14ac:dyDescent="0.3">
      <c r="J35337"/>
    </row>
    <row r="35338" spans="10:10" x14ac:dyDescent="0.3">
      <c r="J35338"/>
    </row>
    <row r="35339" spans="10:10" x14ac:dyDescent="0.3">
      <c r="J35339"/>
    </row>
    <row r="35340" spans="10:10" x14ac:dyDescent="0.3">
      <c r="J35340"/>
    </row>
    <row r="35341" spans="10:10" x14ac:dyDescent="0.3">
      <c r="J35341"/>
    </row>
    <row r="35342" spans="10:10" x14ac:dyDescent="0.3">
      <c r="J35342"/>
    </row>
    <row r="35343" spans="10:10" x14ac:dyDescent="0.3">
      <c r="J35343"/>
    </row>
    <row r="35344" spans="10:10" x14ac:dyDescent="0.3">
      <c r="J35344"/>
    </row>
    <row r="35345" spans="10:10" x14ac:dyDescent="0.3">
      <c r="J35345"/>
    </row>
    <row r="35346" spans="10:10" x14ac:dyDescent="0.3">
      <c r="J35346"/>
    </row>
    <row r="35347" spans="10:10" x14ac:dyDescent="0.3">
      <c r="J35347"/>
    </row>
    <row r="35348" spans="10:10" x14ac:dyDescent="0.3">
      <c r="J35348"/>
    </row>
    <row r="35349" spans="10:10" x14ac:dyDescent="0.3">
      <c r="J35349"/>
    </row>
    <row r="35350" spans="10:10" x14ac:dyDescent="0.3">
      <c r="J35350"/>
    </row>
    <row r="35351" spans="10:10" x14ac:dyDescent="0.3">
      <c r="J35351"/>
    </row>
    <row r="35352" spans="10:10" x14ac:dyDescent="0.3">
      <c r="J35352"/>
    </row>
    <row r="35353" spans="10:10" x14ac:dyDescent="0.3">
      <c r="J35353"/>
    </row>
    <row r="35354" spans="10:10" x14ac:dyDescent="0.3">
      <c r="J35354"/>
    </row>
    <row r="35355" spans="10:10" x14ac:dyDescent="0.3">
      <c r="J35355"/>
    </row>
    <row r="35356" spans="10:10" x14ac:dyDescent="0.3">
      <c r="J35356"/>
    </row>
    <row r="35357" spans="10:10" x14ac:dyDescent="0.3">
      <c r="J35357"/>
    </row>
    <row r="35358" spans="10:10" x14ac:dyDescent="0.3">
      <c r="J35358"/>
    </row>
    <row r="35359" spans="10:10" x14ac:dyDescent="0.3">
      <c r="J35359"/>
    </row>
    <row r="35360" spans="10:10" x14ac:dyDescent="0.3">
      <c r="J35360"/>
    </row>
    <row r="35361" spans="10:10" x14ac:dyDescent="0.3">
      <c r="J35361"/>
    </row>
    <row r="35362" spans="10:10" x14ac:dyDescent="0.3">
      <c r="J35362"/>
    </row>
    <row r="35363" spans="10:10" x14ac:dyDescent="0.3">
      <c r="J35363"/>
    </row>
    <row r="35364" spans="10:10" x14ac:dyDescent="0.3">
      <c r="J35364"/>
    </row>
    <row r="35365" spans="10:10" x14ac:dyDescent="0.3">
      <c r="J35365"/>
    </row>
    <row r="35366" spans="10:10" x14ac:dyDescent="0.3">
      <c r="J35366"/>
    </row>
    <row r="35367" spans="10:10" x14ac:dyDescent="0.3">
      <c r="J35367"/>
    </row>
    <row r="35368" spans="10:10" x14ac:dyDescent="0.3">
      <c r="J35368"/>
    </row>
    <row r="35369" spans="10:10" x14ac:dyDescent="0.3">
      <c r="J35369"/>
    </row>
    <row r="35370" spans="10:10" x14ac:dyDescent="0.3">
      <c r="J35370"/>
    </row>
    <row r="35371" spans="10:10" x14ac:dyDescent="0.3">
      <c r="J35371"/>
    </row>
    <row r="35372" spans="10:10" x14ac:dyDescent="0.3">
      <c r="J35372"/>
    </row>
    <row r="35373" spans="10:10" x14ac:dyDescent="0.3">
      <c r="J35373"/>
    </row>
    <row r="35374" spans="10:10" x14ac:dyDescent="0.3">
      <c r="J35374"/>
    </row>
    <row r="35375" spans="10:10" x14ac:dyDescent="0.3">
      <c r="J35375"/>
    </row>
    <row r="35376" spans="10:10" x14ac:dyDescent="0.3">
      <c r="J35376"/>
    </row>
    <row r="35377" spans="10:10" x14ac:dyDescent="0.3">
      <c r="J35377"/>
    </row>
    <row r="35378" spans="10:10" x14ac:dyDescent="0.3">
      <c r="J35378"/>
    </row>
    <row r="35379" spans="10:10" x14ac:dyDescent="0.3">
      <c r="J35379"/>
    </row>
    <row r="35380" spans="10:10" x14ac:dyDescent="0.3">
      <c r="J35380"/>
    </row>
    <row r="35381" spans="10:10" x14ac:dyDescent="0.3">
      <c r="J35381"/>
    </row>
    <row r="35382" spans="10:10" x14ac:dyDescent="0.3">
      <c r="J35382"/>
    </row>
    <row r="35383" spans="10:10" x14ac:dyDescent="0.3">
      <c r="J35383"/>
    </row>
    <row r="35384" spans="10:10" x14ac:dyDescent="0.3">
      <c r="J35384"/>
    </row>
    <row r="35385" spans="10:10" x14ac:dyDescent="0.3">
      <c r="J35385"/>
    </row>
    <row r="35386" spans="10:10" x14ac:dyDescent="0.3">
      <c r="J35386"/>
    </row>
    <row r="35387" spans="10:10" x14ac:dyDescent="0.3">
      <c r="J35387"/>
    </row>
    <row r="35388" spans="10:10" x14ac:dyDescent="0.3">
      <c r="J35388"/>
    </row>
    <row r="35389" spans="10:10" x14ac:dyDescent="0.3">
      <c r="J35389"/>
    </row>
    <row r="35390" spans="10:10" x14ac:dyDescent="0.3">
      <c r="J35390"/>
    </row>
    <row r="35391" spans="10:10" x14ac:dyDescent="0.3">
      <c r="J35391"/>
    </row>
    <row r="35392" spans="10:10" x14ac:dyDescent="0.3">
      <c r="J35392"/>
    </row>
    <row r="35393" spans="10:10" x14ac:dyDescent="0.3">
      <c r="J35393"/>
    </row>
    <row r="35394" spans="10:10" x14ac:dyDescent="0.3">
      <c r="J35394"/>
    </row>
    <row r="35395" spans="10:10" x14ac:dyDescent="0.3">
      <c r="J35395"/>
    </row>
    <row r="35396" spans="10:10" x14ac:dyDescent="0.3">
      <c r="J35396"/>
    </row>
    <row r="35397" spans="10:10" x14ac:dyDescent="0.3">
      <c r="J35397"/>
    </row>
    <row r="35398" spans="10:10" x14ac:dyDescent="0.3">
      <c r="J35398"/>
    </row>
    <row r="35399" spans="10:10" x14ac:dyDescent="0.3">
      <c r="J35399"/>
    </row>
    <row r="35400" spans="10:10" x14ac:dyDescent="0.3">
      <c r="J35400"/>
    </row>
    <row r="35401" spans="10:10" x14ac:dyDescent="0.3">
      <c r="J35401"/>
    </row>
    <row r="35402" spans="10:10" x14ac:dyDescent="0.3">
      <c r="J35402"/>
    </row>
    <row r="35403" spans="10:10" x14ac:dyDescent="0.3">
      <c r="J35403"/>
    </row>
    <row r="35404" spans="10:10" x14ac:dyDescent="0.3">
      <c r="J35404"/>
    </row>
    <row r="35405" spans="10:10" x14ac:dyDescent="0.3">
      <c r="J35405"/>
    </row>
    <row r="35406" spans="10:10" x14ac:dyDescent="0.3">
      <c r="J35406"/>
    </row>
    <row r="35407" spans="10:10" x14ac:dyDescent="0.3">
      <c r="J35407"/>
    </row>
    <row r="35408" spans="10:10" x14ac:dyDescent="0.3">
      <c r="J35408"/>
    </row>
    <row r="35409" spans="10:10" x14ac:dyDescent="0.3">
      <c r="J35409"/>
    </row>
    <row r="35410" spans="10:10" x14ac:dyDescent="0.3">
      <c r="J35410"/>
    </row>
    <row r="35411" spans="10:10" x14ac:dyDescent="0.3">
      <c r="J35411"/>
    </row>
    <row r="35412" spans="10:10" x14ac:dyDescent="0.3">
      <c r="J35412"/>
    </row>
    <row r="35413" spans="10:10" x14ac:dyDescent="0.3">
      <c r="J35413"/>
    </row>
    <row r="35414" spans="10:10" x14ac:dyDescent="0.3">
      <c r="J35414"/>
    </row>
    <row r="35415" spans="10:10" x14ac:dyDescent="0.3">
      <c r="J35415"/>
    </row>
    <row r="35416" spans="10:10" x14ac:dyDescent="0.3">
      <c r="J35416"/>
    </row>
    <row r="35417" spans="10:10" x14ac:dyDescent="0.3">
      <c r="J35417"/>
    </row>
    <row r="35418" spans="10:10" x14ac:dyDescent="0.3">
      <c r="J35418"/>
    </row>
    <row r="35419" spans="10:10" x14ac:dyDescent="0.3">
      <c r="J35419"/>
    </row>
    <row r="35420" spans="10:10" x14ac:dyDescent="0.3">
      <c r="J35420"/>
    </row>
    <row r="35421" spans="10:10" x14ac:dyDescent="0.3">
      <c r="J35421"/>
    </row>
    <row r="35422" spans="10:10" x14ac:dyDescent="0.3">
      <c r="J35422"/>
    </row>
    <row r="35423" spans="10:10" x14ac:dyDescent="0.3">
      <c r="J35423"/>
    </row>
    <row r="35424" spans="10:10" x14ac:dyDescent="0.3">
      <c r="J35424"/>
    </row>
    <row r="35425" spans="10:10" x14ac:dyDescent="0.3">
      <c r="J35425"/>
    </row>
    <row r="35426" spans="10:10" x14ac:dyDescent="0.3">
      <c r="J35426"/>
    </row>
    <row r="35427" spans="10:10" x14ac:dyDescent="0.3">
      <c r="J35427"/>
    </row>
    <row r="35428" spans="10:10" x14ac:dyDescent="0.3">
      <c r="J35428"/>
    </row>
    <row r="35429" spans="10:10" x14ac:dyDescent="0.3">
      <c r="J35429"/>
    </row>
    <row r="35430" spans="10:10" x14ac:dyDescent="0.3">
      <c r="J35430"/>
    </row>
    <row r="35431" spans="10:10" x14ac:dyDescent="0.3">
      <c r="J35431"/>
    </row>
    <row r="35432" spans="10:10" x14ac:dyDescent="0.3">
      <c r="J35432"/>
    </row>
    <row r="35433" spans="10:10" x14ac:dyDescent="0.3">
      <c r="J35433"/>
    </row>
    <row r="35434" spans="10:10" x14ac:dyDescent="0.3">
      <c r="J35434"/>
    </row>
    <row r="35435" spans="10:10" x14ac:dyDescent="0.3">
      <c r="J35435"/>
    </row>
    <row r="35436" spans="10:10" x14ac:dyDescent="0.3">
      <c r="J35436"/>
    </row>
    <row r="35437" spans="10:10" x14ac:dyDescent="0.3">
      <c r="J35437"/>
    </row>
    <row r="35438" spans="10:10" x14ac:dyDescent="0.3">
      <c r="J35438"/>
    </row>
    <row r="35439" spans="10:10" x14ac:dyDescent="0.3">
      <c r="J35439"/>
    </row>
    <row r="35440" spans="10:10" x14ac:dyDescent="0.3">
      <c r="J35440"/>
    </row>
    <row r="35441" spans="10:10" x14ac:dyDescent="0.3">
      <c r="J35441"/>
    </row>
    <row r="35442" spans="10:10" x14ac:dyDescent="0.3">
      <c r="J35442"/>
    </row>
    <row r="35443" spans="10:10" x14ac:dyDescent="0.3">
      <c r="J35443"/>
    </row>
    <row r="35444" spans="10:10" x14ac:dyDescent="0.3">
      <c r="J35444"/>
    </row>
    <row r="35445" spans="10:10" x14ac:dyDescent="0.3">
      <c r="J35445"/>
    </row>
    <row r="35446" spans="10:10" x14ac:dyDescent="0.3">
      <c r="J35446"/>
    </row>
    <row r="35447" spans="10:10" x14ac:dyDescent="0.3">
      <c r="J35447"/>
    </row>
    <row r="35448" spans="10:10" x14ac:dyDescent="0.3">
      <c r="J35448"/>
    </row>
    <row r="35449" spans="10:10" x14ac:dyDescent="0.3">
      <c r="J35449"/>
    </row>
    <row r="35450" spans="10:10" x14ac:dyDescent="0.3">
      <c r="J35450"/>
    </row>
    <row r="35451" spans="10:10" x14ac:dyDescent="0.3">
      <c r="J35451"/>
    </row>
    <row r="35452" spans="10:10" x14ac:dyDescent="0.3">
      <c r="J35452"/>
    </row>
    <row r="35453" spans="10:10" x14ac:dyDescent="0.3">
      <c r="J35453"/>
    </row>
    <row r="35454" spans="10:10" x14ac:dyDescent="0.3">
      <c r="J35454"/>
    </row>
    <row r="35455" spans="10:10" x14ac:dyDescent="0.3">
      <c r="J35455"/>
    </row>
    <row r="35456" spans="10:10" x14ac:dyDescent="0.3">
      <c r="J35456"/>
    </row>
    <row r="35457" spans="10:10" x14ac:dyDescent="0.3">
      <c r="J35457"/>
    </row>
    <row r="35458" spans="10:10" x14ac:dyDescent="0.3">
      <c r="J35458"/>
    </row>
    <row r="35459" spans="10:10" x14ac:dyDescent="0.3">
      <c r="J35459"/>
    </row>
    <row r="35460" spans="10:10" x14ac:dyDescent="0.3">
      <c r="J35460"/>
    </row>
    <row r="35461" spans="10:10" x14ac:dyDescent="0.3">
      <c r="J35461"/>
    </row>
    <row r="35462" spans="10:10" x14ac:dyDescent="0.3">
      <c r="J35462"/>
    </row>
    <row r="35463" spans="10:10" x14ac:dyDescent="0.3">
      <c r="J35463"/>
    </row>
    <row r="35464" spans="10:10" x14ac:dyDescent="0.3">
      <c r="J35464"/>
    </row>
    <row r="35465" spans="10:10" x14ac:dyDescent="0.3">
      <c r="J35465"/>
    </row>
    <row r="35466" spans="10:10" x14ac:dyDescent="0.3">
      <c r="J35466"/>
    </row>
    <row r="35467" spans="10:10" x14ac:dyDescent="0.3">
      <c r="J35467"/>
    </row>
    <row r="35468" spans="10:10" x14ac:dyDescent="0.3">
      <c r="J35468"/>
    </row>
    <row r="35469" spans="10:10" x14ac:dyDescent="0.3">
      <c r="J35469"/>
    </row>
    <row r="35470" spans="10:10" x14ac:dyDescent="0.3">
      <c r="J35470"/>
    </row>
    <row r="35471" spans="10:10" x14ac:dyDescent="0.3">
      <c r="J35471"/>
    </row>
    <row r="35472" spans="10:10" x14ac:dyDescent="0.3">
      <c r="J35472"/>
    </row>
    <row r="35473" spans="10:10" x14ac:dyDescent="0.3">
      <c r="J35473"/>
    </row>
    <row r="35474" spans="10:10" x14ac:dyDescent="0.3">
      <c r="J35474"/>
    </row>
    <row r="35475" spans="10:10" x14ac:dyDescent="0.3">
      <c r="J35475"/>
    </row>
    <row r="35476" spans="10:10" x14ac:dyDescent="0.3">
      <c r="J35476"/>
    </row>
    <row r="35477" spans="10:10" x14ac:dyDescent="0.3">
      <c r="J35477"/>
    </row>
    <row r="35478" spans="10:10" x14ac:dyDescent="0.3">
      <c r="J35478"/>
    </row>
    <row r="35479" spans="10:10" x14ac:dyDescent="0.3">
      <c r="J35479"/>
    </row>
    <row r="35480" spans="10:10" x14ac:dyDescent="0.3">
      <c r="J35480"/>
    </row>
    <row r="35481" spans="10:10" x14ac:dyDescent="0.3">
      <c r="J35481"/>
    </row>
    <row r="35482" spans="10:10" x14ac:dyDescent="0.3">
      <c r="J35482"/>
    </row>
    <row r="35483" spans="10:10" x14ac:dyDescent="0.3">
      <c r="J35483"/>
    </row>
    <row r="35484" spans="10:10" x14ac:dyDescent="0.3">
      <c r="J35484"/>
    </row>
    <row r="35485" spans="10:10" x14ac:dyDescent="0.3">
      <c r="J35485"/>
    </row>
    <row r="35486" spans="10:10" x14ac:dyDescent="0.3">
      <c r="J35486"/>
    </row>
    <row r="35487" spans="10:10" x14ac:dyDescent="0.3">
      <c r="J35487"/>
    </row>
    <row r="35488" spans="10:10" x14ac:dyDescent="0.3">
      <c r="J35488"/>
    </row>
    <row r="35489" spans="10:10" x14ac:dyDescent="0.3">
      <c r="J35489"/>
    </row>
    <row r="35490" spans="10:10" x14ac:dyDescent="0.3">
      <c r="J35490"/>
    </row>
    <row r="35491" spans="10:10" x14ac:dyDescent="0.3">
      <c r="J35491"/>
    </row>
    <row r="35492" spans="10:10" x14ac:dyDescent="0.3">
      <c r="J35492"/>
    </row>
    <row r="35493" spans="10:10" x14ac:dyDescent="0.3">
      <c r="J35493"/>
    </row>
    <row r="35494" spans="10:10" x14ac:dyDescent="0.3">
      <c r="J35494"/>
    </row>
    <row r="35495" spans="10:10" x14ac:dyDescent="0.3">
      <c r="J35495"/>
    </row>
    <row r="35496" spans="10:10" x14ac:dyDescent="0.3">
      <c r="J35496"/>
    </row>
    <row r="35497" spans="10:10" x14ac:dyDescent="0.3">
      <c r="J35497"/>
    </row>
    <row r="35498" spans="10:10" x14ac:dyDescent="0.3">
      <c r="J35498"/>
    </row>
    <row r="35499" spans="10:10" x14ac:dyDescent="0.3">
      <c r="J35499"/>
    </row>
    <row r="35500" spans="10:10" x14ac:dyDescent="0.3">
      <c r="J35500"/>
    </row>
    <row r="35501" spans="10:10" x14ac:dyDescent="0.3">
      <c r="J35501"/>
    </row>
    <row r="35502" spans="10:10" x14ac:dyDescent="0.3">
      <c r="J35502"/>
    </row>
    <row r="35503" spans="10:10" x14ac:dyDescent="0.3">
      <c r="J35503"/>
    </row>
    <row r="35504" spans="10:10" x14ac:dyDescent="0.3">
      <c r="J35504"/>
    </row>
    <row r="35505" spans="10:10" x14ac:dyDescent="0.3">
      <c r="J35505"/>
    </row>
    <row r="35506" spans="10:10" x14ac:dyDescent="0.3">
      <c r="J35506"/>
    </row>
    <row r="35507" spans="10:10" x14ac:dyDescent="0.3">
      <c r="J35507"/>
    </row>
    <row r="35508" spans="10:10" x14ac:dyDescent="0.3">
      <c r="J35508"/>
    </row>
    <row r="35509" spans="10:10" x14ac:dyDescent="0.3">
      <c r="J35509"/>
    </row>
    <row r="35510" spans="10:10" x14ac:dyDescent="0.3">
      <c r="J35510"/>
    </row>
    <row r="35511" spans="10:10" x14ac:dyDescent="0.3">
      <c r="J35511"/>
    </row>
    <row r="35512" spans="10:10" x14ac:dyDescent="0.3">
      <c r="J35512"/>
    </row>
    <row r="35513" spans="10:10" x14ac:dyDescent="0.3">
      <c r="J35513"/>
    </row>
    <row r="35514" spans="10:10" x14ac:dyDescent="0.3">
      <c r="J35514"/>
    </row>
    <row r="35515" spans="10:10" x14ac:dyDescent="0.3">
      <c r="J35515"/>
    </row>
    <row r="35516" spans="10:10" x14ac:dyDescent="0.3">
      <c r="J35516"/>
    </row>
    <row r="35517" spans="10:10" x14ac:dyDescent="0.3">
      <c r="J35517"/>
    </row>
    <row r="35518" spans="10:10" x14ac:dyDescent="0.3">
      <c r="J35518"/>
    </row>
    <row r="35519" spans="10:10" x14ac:dyDescent="0.3">
      <c r="J35519"/>
    </row>
    <row r="35520" spans="10:10" x14ac:dyDescent="0.3">
      <c r="J35520"/>
    </row>
    <row r="35521" spans="10:10" x14ac:dyDescent="0.3">
      <c r="J35521"/>
    </row>
    <row r="35522" spans="10:10" x14ac:dyDescent="0.3">
      <c r="J35522"/>
    </row>
    <row r="35523" spans="10:10" x14ac:dyDescent="0.3">
      <c r="J35523"/>
    </row>
    <row r="35524" spans="10:10" x14ac:dyDescent="0.3">
      <c r="J35524"/>
    </row>
    <row r="35525" spans="10:10" x14ac:dyDescent="0.3">
      <c r="J35525"/>
    </row>
    <row r="35526" spans="10:10" x14ac:dyDescent="0.3">
      <c r="J35526"/>
    </row>
    <row r="35527" spans="10:10" x14ac:dyDescent="0.3">
      <c r="J35527"/>
    </row>
    <row r="35528" spans="10:10" x14ac:dyDescent="0.3">
      <c r="J35528"/>
    </row>
    <row r="35529" spans="10:10" x14ac:dyDescent="0.3">
      <c r="J35529"/>
    </row>
    <row r="35530" spans="10:10" x14ac:dyDescent="0.3">
      <c r="J35530"/>
    </row>
    <row r="35531" spans="10:10" x14ac:dyDescent="0.3">
      <c r="J35531"/>
    </row>
    <row r="35532" spans="10:10" x14ac:dyDescent="0.3">
      <c r="J35532"/>
    </row>
    <row r="35533" spans="10:10" x14ac:dyDescent="0.3">
      <c r="J35533"/>
    </row>
    <row r="35534" spans="10:10" x14ac:dyDescent="0.3">
      <c r="J35534"/>
    </row>
    <row r="35535" spans="10:10" x14ac:dyDescent="0.3">
      <c r="J35535"/>
    </row>
    <row r="35536" spans="10:10" x14ac:dyDescent="0.3">
      <c r="J35536"/>
    </row>
    <row r="35537" spans="10:10" x14ac:dyDescent="0.3">
      <c r="J35537"/>
    </row>
    <row r="35538" spans="10:10" x14ac:dyDescent="0.3">
      <c r="J35538"/>
    </row>
    <row r="35539" spans="10:10" x14ac:dyDescent="0.3">
      <c r="J35539"/>
    </row>
    <row r="35540" spans="10:10" x14ac:dyDescent="0.3">
      <c r="J35540"/>
    </row>
    <row r="35541" spans="10:10" x14ac:dyDescent="0.3">
      <c r="J35541"/>
    </row>
    <row r="35542" spans="10:10" x14ac:dyDescent="0.3">
      <c r="J35542"/>
    </row>
    <row r="35543" spans="10:10" x14ac:dyDescent="0.3">
      <c r="J35543"/>
    </row>
    <row r="35544" spans="10:10" x14ac:dyDescent="0.3">
      <c r="J35544"/>
    </row>
    <row r="35545" spans="10:10" x14ac:dyDescent="0.3">
      <c r="J35545"/>
    </row>
    <row r="35546" spans="10:10" x14ac:dyDescent="0.3">
      <c r="J35546"/>
    </row>
    <row r="35547" spans="10:10" x14ac:dyDescent="0.3">
      <c r="J35547"/>
    </row>
    <row r="35548" spans="10:10" x14ac:dyDescent="0.3">
      <c r="J35548"/>
    </row>
    <row r="35549" spans="10:10" x14ac:dyDescent="0.3">
      <c r="J35549"/>
    </row>
    <row r="35550" spans="10:10" x14ac:dyDescent="0.3">
      <c r="J35550"/>
    </row>
    <row r="35551" spans="10:10" x14ac:dyDescent="0.3">
      <c r="J35551"/>
    </row>
    <row r="35552" spans="10:10" x14ac:dyDescent="0.3">
      <c r="J35552"/>
    </row>
    <row r="35553" spans="10:10" x14ac:dyDescent="0.3">
      <c r="J35553"/>
    </row>
    <row r="35554" spans="10:10" x14ac:dyDescent="0.3">
      <c r="J35554"/>
    </row>
    <row r="35555" spans="10:10" x14ac:dyDescent="0.3">
      <c r="J35555"/>
    </row>
    <row r="35556" spans="10:10" x14ac:dyDescent="0.3">
      <c r="J35556"/>
    </row>
    <row r="35557" spans="10:10" x14ac:dyDescent="0.3">
      <c r="J35557"/>
    </row>
    <row r="35558" spans="10:10" x14ac:dyDescent="0.3">
      <c r="J35558"/>
    </row>
    <row r="35559" spans="10:10" x14ac:dyDescent="0.3">
      <c r="J35559"/>
    </row>
    <row r="35560" spans="10:10" x14ac:dyDescent="0.3">
      <c r="J35560"/>
    </row>
    <row r="35561" spans="10:10" x14ac:dyDescent="0.3">
      <c r="J35561"/>
    </row>
    <row r="35562" spans="10:10" x14ac:dyDescent="0.3">
      <c r="J35562"/>
    </row>
    <row r="35563" spans="10:10" x14ac:dyDescent="0.3">
      <c r="J35563"/>
    </row>
    <row r="35564" spans="10:10" x14ac:dyDescent="0.3">
      <c r="J35564"/>
    </row>
    <row r="35565" spans="10:10" x14ac:dyDescent="0.3">
      <c r="J35565"/>
    </row>
    <row r="35566" spans="10:10" x14ac:dyDescent="0.3">
      <c r="J35566"/>
    </row>
    <row r="35567" spans="10:10" x14ac:dyDescent="0.3">
      <c r="J35567"/>
    </row>
    <row r="35568" spans="10:10" x14ac:dyDescent="0.3">
      <c r="J35568"/>
    </row>
    <row r="35569" spans="10:10" x14ac:dyDescent="0.3">
      <c r="J35569"/>
    </row>
    <row r="35570" spans="10:10" x14ac:dyDescent="0.3">
      <c r="J35570"/>
    </row>
    <row r="35571" spans="10:10" x14ac:dyDescent="0.3">
      <c r="J35571"/>
    </row>
    <row r="35572" spans="10:10" x14ac:dyDescent="0.3">
      <c r="J35572"/>
    </row>
    <row r="35573" spans="10:10" x14ac:dyDescent="0.3">
      <c r="J35573"/>
    </row>
    <row r="35574" spans="10:10" x14ac:dyDescent="0.3">
      <c r="J35574"/>
    </row>
    <row r="35575" spans="10:10" x14ac:dyDescent="0.3">
      <c r="J35575"/>
    </row>
    <row r="35576" spans="10:10" x14ac:dyDescent="0.3">
      <c r="J35576"/>
    </row>
    <row r="35577" spans="10:10" x14ac:dyDescent="0.3">
      <c r="J35577"/>
    </row>
    <row r="35578" spans="10:10" x14ac:dyDescent="0.3">
      <c r="J35578"/>
    </row>
    <row r="35579" spans="10:10" x14ac:dyDescent="0.3">
      <c r="J35579"/>
    </row>
    <row r="35580" spans="10:10" x14ac:dyDescent="0.3">
      <c r="J35580"/>
    </row>
    <row r="35581" spans="10:10" x14ac:dyDescent="0.3">
      <c r="J35581"/>
    </row>
    <row r="35582" spans="10:10" x14ac:dyDescent="0.3">
      <c r="J35582"/>
    </row>
    <row r="35583" spans="10:10" x14ac:dyDescent="0.3">
      <c r="J35583"/>
    </row>
    <row r="35584" spans="10:10" x14ac:dyDescent="0.3">
      <c r="J35584"/>
    </row>
    <row r="35585" spans="10:10" x14ac:dyDescent="0.3">
      <c r="J35585"/>
    </row>
    <row r="35586" spans="10:10" x14ac:dyDescent="0.3">
      <c r="J35586"/>
    </row>
    <row r="35587" spans="10:10" x14ac:dyDescent="0.3">
      <c r="J35587"/>
    </row>
    <row r="35588" spans="10:10" x14ac:dyDescent="0.3">
      <c r="J35588"/>
    </row>
    <row r="35589" spans="10:10" x14ac:dyDescent="0.3">
      <c r="J35589"/>
    </row>
    <row r="35590" spans="10:10" x14ac:dyDescent="0.3">
      <c r="J35590"/>
    </row>
    <row r="35591" spans="10:10" x14ac:dyDescent="0.3">
      <c r="J35591"/>
    </row>
    <row r="35592" spans="10:10" x14ac:dyDescent="0.3">
      <c r="J35592"/>
    </row>
    <row r="35593" spans="10:10" x14ac:dyDescent="0.3">
      <c r="J35593"/>
    </row>
    <row r="35594" spans="10:10" x14ac:dyDescent="0.3">
      <c r="J35594"/>
    </row>
    <row r="35595" spans="10:10" x14ac:dyDescent="0.3">
      <c r="J35595"/>
    </row>
    <row r="35596" spans="10:10" x14ac:dyDescent="0.3">
      <c r="J35596"/>
    </row>
    <row r="35597" spans="10:10" x14ac:dyDescent="0.3">
      <c r="J35597"/>
    </row>
    <row r="35598" spans="10:10" x14ac:dyDescent="0.3">
      <c r="J35598"/>
    </row>
    <row r="35599" spans="10:10" x14ac:dyDescent="0.3">
      <c r="J35599"/>
    </row>
    <row r="35600" spans="10:10" x14ac:dyDescent="0.3">
      <c r="J35600"/>
    </row>
    <row r="35601" spans="10:10" x14ac:dyDescent="0.3">
      <c r="J35601"/>
    </row>
    <row r="35602" spans="10:10" x14ac:dyDescent="0.3">
      <c r="J35602"/>
    </row>
    <row r="35603" spans="10:10" x14ac:dyDescent="0.3">
      <c r="J35603"/>
    </row>
    <row r="35604" spans="10:10" x14ac:dyDescent="0.3">
      <c r="J35604"/>
    </row>
    <row r="35605" spans="10:10" x14ac:dyDescent="0.3">
      <c r="J35605"/>
    </row>
    <row r="35606" spans="10:10" x14ac:dyDescent="0.3">
      <c r="J35606"/>
    </row>
    <row r="35607" spans="10:10" x14ac:dyDescent="0.3">
      <c r="J35607"/>
    </row>
    <row r="35608" spans="10:10" x14ac:dyDescent="0.3">
      <c r="J35608"/>
    </row>
    <row r="35609" spans="10:10" x14ac:dyDescent="0.3">
      <c r="J35609"/>
    </row>
    <row r="35610" spans="10:10" x14ac:dyDescent="0.3">
      <c r="J35610"/>
    </row>
    <row r="35611" spans="10:10" x14ac:dyDescent="0.3">
      <c r="J35611"/>
    </row>
    <row r="35612" spans="10:10" x14ac:dyDescent="0.3">
      <c r="J35612"/>
    </row>
    <row r="35613" spans="10:10" x14ac:dyDescent="0.3">
      <c r="J35613"/>
    </row>
    <row r="35614" spans="10:10" x14ac:dyDescent="0.3">
      <c r="J35614"/>
    </row>
    <row r="35615" spans="10:10" x14ac:dyDescent="0.3">
      <c r="J35615"/>
    </row>
    <row r="35616" spans="10:10" x14ac:dyDescent="0.3">
      <c r="J35616"/>
    </row>
    <row r="35617" spans="10:10" x14ac:dyDescent="0.3">
      <c r="J35617"/>
    </row>
    <row r="35618" spans="10:10" x14ac:dyDescent="0.3">
      <c r="J35618"/>
    </row>
    <row r="35619" spans="10:10" x14ac:dyDescent="0.3">
      <c r="J35619"/>
    </row>
    <row r="35620" spans="10:10" x14ac:dyDescent="0.3">
      <c r="J35620"/>
    </row>
    <row r="35621" spans="10:10" x14ac:dyDescent="0.3">
      <c r="J35621"/>
    </row>
    <row r="35622" spans="10:10" x14ac:dyDescent="0.3">
      <c r="J35622"/>
    </row>
    <row r="35623" spans="10:10" x14ac:dyDescent="0.3">
      <c r="J35623"/>
    </row>
    <row r="35624" spans="10:10" x14ac:dyDescent="0.3">
      <c r="J35624"/>
    </row>
    <row r="35625" spans="10:10" x14ac:dyDescent="0.3">
      <c r="J35625"/>
    </row>
    <row r="35626" spans="10:10" x14ac:dyDescent="0.3">
      <c r="J35626"/>
    </row>
    <row r="35627" spans="10:10" x14ac:dyDescent="0.3">
      <c r="J35627"/>
    </row>
    <row r="35628" spans="10:10" x14ac:dyDescent="0.3">
      <c r="J35628"/>
    </row>
    <row r="35629" spans="10:10" x14ac:dyDescent="0.3">
      <c r="J35629"/>
    </row>
    <row r="35630" spans="10:10" x14ac:dyDescent="0.3">
      <c r="J35630"/>
    </row>
    <row r="35631" spans="10:10" x14ac:dyDescent="0.3">
      <c r="J35631"/>
    </row>
    <row r="35632" spans="10:10" x14ac:dyDescent="0.3">
      <c r="J35632"/>
    </row>
    <row r="35633" spans="10:10" x14ac:dyDescent="0.3">
      <c r="J35633"/>
    </row>
    <row r="35634" spans="10:10" x14ac:dyDescent="0.3">
      <c r="J35634"/>
    </row>
    <row r="35635" spans="10:10" x14ac:dyDescent="0.3">
      <c r="J35635"/>
    </row>
    <row r="35636" spans="10:10" x14ac:dyDescent="0.3">
      <c r="J35636"/>
    </row>
    <row r="35637" spans="10:10" x14ac:dyDescent="0.3">
      <c r="J35637"/>
    </row>
    <row r="35638" spans="10:10" x14ac:dyDescent="0.3">
      <c r="J35638"/>
    </row>
    <row r="35639" spans="10:10" x14ac:dyDescent="0.3">
      <c r="J35639"/>
    </row>
    <row r="35640" spans="10:10" x14ac:dyDescent="0.3">
      <c r="J35640"/>
    </row>
    <row r="35641" spans="10:10" x14ac:dyDescent="0.3">
      <c r="J35641"/>
    </row>
    <row r="35642" spans="10:10" x14ac:dyDescent="0.3">
      <c r="J35642"/>
    </row>
    <row r="35643" spans="10:10" x14ac:dyDescent="0.3">
      <c r="J35643"/>
    </row>
    <row r="35644" spans="10:10" x14ac:dyDescent="0.3">
      <c r="J35644"/>
    </row>
    <row r="35645" spans="10:10" x14ac:dyDescent="0.3">
      <c r="J35645"/>
    </row>
    <row r="35646" spans="10:10" x14ac:dyDescent="0.3">
      <c r="J35646"/>
    </row>
    <row r="35647" spans="10:10" x14ac:dyDescent="0.3">
      <c r="J35647"/>
    </row>
    <row r="35648" spans="10:10" x14ac:dyDescent="0.3">
      <c r="J35648"/>
    </row>
    <row r="35649" spans="10:10" x14ac:dyDescent="0.3">
      <c r="J35649"/>
    </row>
    <row r="35650" spans="10:10" x14ac:dyDescent="0.3">
      <c r="J35650"/>
    </row>
    <row r="35651" spans="10:10" x14ac:dyDescent="0.3">
      <c r="J35651"/>
    </row>
    <row r="35652" spans="10:10" x14ac:dyDescent="0.3">
      <c r="J35652"/>
    </row>
    <row r="35653" spans="10:10" x14ac:dyDescent="0.3">
      <c r="J35653"/>
    </row>
    <row r="35654" spans="10:10" x14ac:dyDescent="0.3">
      <c r="J35654"/>
    </row>
    <row r="35655" spans="10:10" x14ac:dyDescent="0.3">
      <c r="J35655"/>
    </row>
    <row r="35656" spans="10:10" x14ac:dyDescent="0.3">
      <c r="J35656"/>
    </row>
    <row r="35657" spans="10:10" x14ac:dyDescent="0.3">
      <c r="J35657"/>
    </row>
    <row r="35658" spans="10:10" x14ac:dyDescent="0.3">
      <c r="J35658"/>
    </row>
    <row r="35659" spans="10:10" x14ac:dyDescent="0.3">
      <c r="J35659"/>
    </row>
    <row r="35660" spans="10:10" x14ac:dyDescent="0.3">
      <c r="J35660"/>
    </row>
    <row r="35661" spans="10:10" x14ac:dyDescent="0.3">
      <c r="J35661"/>
    </row>
    <row r="35662" spans="10:10" x14ac:dyDescent="0.3">
      <c r="J35662"/>
    </row>
    <row r="35663" spans="10:10" x14ac:dyDescent="0.3">
      <c r="J35663"/>
    </row>
    <row r="35664" spans="10:10" x14ac:dyDescent="0.3">
      <c r="J35664"/>
    </row>
    <row r="35665" spans="10:10" x14ac:dyDescent="0.3">
      <c r="J35665"/>
    </row>
    <row r="35666" spans="10:10" x14ac:dyDescent="0.3">
      <c r="J35666"/>
    </row>
    <row r="35667" spans="10:10" x14ac:dyDescent="0.3">
      <c r="J35667"/>
    </row>
    <row r="35668" spans="10:10" x14ac:dyDescent="0.3">
      <c r="J35668"/>
    </row>
    <row r="35669" spans="10:10" x14ac:dyDescent="0.3">
      <c r="J35669"/>
    </row>
    <row r="35670" spans="10:10" x14ac:dyDescent="0.3">
      <c r="J35670"/>
    </row>
    <row r="35671" spans="10:10" x14ac:dyDescent="0.3">
      <c r="J35671"/>
    </row>
    <row r="35672" spans="10:10" x14ac:dyDescent="0.3">
      <c r="J35672"/>
    </row>
    <row r="35673" spans="10:10" x14ac:dyDescent="0.3">
      <c r="J35673"/>
    </row>
    <row r="35674" spans="10:10" x14ac:dyDescent="0.3">
      <c r="J35674"/>
    </row>
    <row r="35675" spans="10:10" x14ac:dyDescent="0.3">
      <c r="J35675"/>
    </row>
    <row r="35676" spans="10:10" x14ac:dyDescent="0.3">
      <c r="J35676"/>
    </row>
    <row r="35677" spans="10:10" x14ac:dyDescent="0.3">
      <c r="J35677"/>
    </row>
    <row r="35678" spans="10:10" x14ac:dyDescent="0.3">
      <c r="J35678"/>
    </row>
    <row r="35679" spans="10:10" x14ac:dyDescent="0.3">
      <c r="J35679"/>
    </row>
    <row r="35680" spans="10:10" x14ac:dyDescent="0.3">
      <c r="J35680"/>
    </row>
    <row r="35681" spans="10:10" x14ac:dyDescent="0.3">
      <c r="J35681"/>
    </row>
    <row r="35682" spans="10:10" x14ac:dyDescent="0.3">
      <c r="J35682"/>
    </row>
    <row r="35683" spans="10:10" x14ac:dyDescent="0.3">
      <c r="J35683"/>
    </row>
    <row r="35684" spans="10:10" x14ac:dyDescent="0.3">
      <c r="J35684"/>
    </row>
    <row r="35685" spans="10:10" x14ac:dyDescent="0.3">
      <c r="J35685"/>
    </row>
    <row r="35686" spans="10:10" x14ac:dyDescent="0.3">
      <c r="J35686"/>
    </row>
    <row r="35687" spans="10:10" x14ac:dyDescent="0.3">
      <c r="J35687"/>
    </row>
    <row r="35688" spans="10:10" x14ac:dyDescent="0.3">
      <c r="J35688"/>
    </row>
    <row r="35689" spans="10:10" x14ac:dyDescent="0.3">
      <c r="J35689"/>
    </row>
    <row r="35690" spans="10:10" x14ac:dyDescent="0.3">
      <c r="J35690"/>
    </row>
    <row r="35691" spans="10:10" x14ac:dyDescent="0.3">
      <c r="J35691"/>
    </row>
    <row r="35692" spans="10:10" x14ac:dyDescent="0.3">
      <c r="J35692"/>
    </row>
    <row r="35693" spans="10:10" x14ac:dyDescent="0.3">
      <c r="J35693"/>
    </row>
    <row r="35694" spans="10:10" x14ac:dyDescent="0.3">
      <c r="J35694"/>
    </row>
    <row r="35695" spans="10:10" x14ac:dyDescent="0.3">
      <c r="J35695"/>
    </row>
    <row r="35696" spans="10:10" x14ac:dyDescent="0.3">
      <c r="J35696"/>
    </row>
    <row r="35697" spans="10:10" x14ac:dyDescent="0.3">
      <c r="J35697"/>
    </row>
    <row r="35698" spans="10:10" x14ac:dyDescent="0.3">
      <c r="J35698"/>
    </row>
    <row r="35699" spans="10:10" x14ac:dyDescent="0.3">
      <c r="J35699"/>
    </row>
    <row r="35700" spans="10:10" x14ac:dyDescent="0.3">
      <c r="J35700"/>
    </row>
    <row r="35701" spans="10:10" x14ac:dyDescent="0.3">
      <c r="J35701"/>
    </row>
    <row r="35702" spans="10:10" x14ac:dyDescent="0.3">
      <c r="J35702"/>
    </row>
    <row r="35703" spans="10:10" x14ac:dyDescent="0.3">
      <c r="J35703"/>
    </row>
    <row r="35704" spans="10:10" x14ac:dyDescent="0.3">
      <c r="J35704"/>
    </row>
    <row r="35705" spans="10:10" x14ac:dyDescent="0.3">
      <c r="J35705"/>
    </row>
    <row r="35706" spans="10:10" x14ac:dyDescent="0.3">
      <c r="J35706"/>
    </row>
    <row r="35707" spans="10:10" x14ac:dyDescent="0.3">
      <c r="J35707"/>
    </row>
    <row r="35708" spans="10:10" x14ac:dyDescent="0.3">
      <c r="J35708"/>
    </row>
    <row r="35709" spans="10:10" x14ac:dyDescent="0.3">
      <c r="J35709"/>
    </row>
    <row r="35710" spans="10:10" x14ac:dyDescent="0.3">
      <c r="J35710"/>
    </row>
    <row r="35711" spans="10:10" x14ac:dyDescent="0.3">
      <c r="J35711"/>
    </row>
    <row r="35712" spans="10:10" x14ac:dyDescent="0.3">
      <c r="J35712"/>
    </row>
    <row r="35713" spans="10:10" x14ac:dyDescent="0.3">
      <c r="J35713"/>
    </row>
    <row r="35714" spans="10:10" x14ac:dyDescent="0.3">
      <c r="J35714"/>
    </row>
    <row r="35715" spans="10:10" x14ac:dyDescent="0.3">
      <c r="J35715"/>
    </row>
    <row r="35716" spans="10:10" x14ac:dyDescent="0.3">
      <c r="J35716"/>
    </row>
    <row r="35717" spans="10:10" x14ac:dyDescent="0.3">
      <c r="J35717"/>
    </row>
    <row r="35718" spans="10:10" x14ac:dyDescent="0.3">
      <c r="J35718"/>
    </row>
    <row r="35719" spans="10:10" x14ac:dyDescent="0.3">
      <c r="J35719"/>
    </row>
    <row r="35720" spans="10:10" x14ac:dyDescent="0.3">
      <c r="J35720"/>
    </row>
    <row r="35721" spans="10:10" x14ac:dyDescent="0.3">
      <c r="J35721"/>
    </row>
    <row r="35722" spans="10:10" x14ac:dyDescent="0.3">
      <c r="J35722"/>
    </row>
    <row r="35723" spans="10:10" x14ac:dyDescent="0.3">
      <c r="J35723"/>
    </row>
    <row r="35724" spans="10:10" x14ac:dyDescent="0.3">
      <c r="J35724"/>
    </row>
    <row r="35725" spans="10:10" x14ac:dyDescent="0.3">
      <c r="J35725"/>
    </row>
    <row r="35726" spans="10:10" x14ac:dyDescent="0.3">
      <c r="J35726"/>
    </row>
    <row r="35727" spans="10:10" x14ac:dyDescent="0.3">
      <c r="J35727"/>
    </row>
    <row r="35728" spans="10:10" x14ac:dyDescent="0.3">
      <c r="J35728"/>
    </row>
    <row r="35729" spans="10:10" x14ac:dyDescent="0.3">
      <c r="J35729"/>
    </row>
    <row r="35730" spans="10:10" x14ac:dyDescent="0.3">
      <c r="J35730"/>
    </row>
    <row r="35731" spans="10:10" x14ac:dyDescent="0.3">
      <c r="J35731"/>
    </row>
    <row r="35732" spans="10:10" x14ac:dyDescent="0.3">
      <c r="J35732"/>
    </row>
    <row r="35733" spans="10:10" x14ac:dyDescent="0.3">
      <c r="J35733"/>
    </row>
    <row r="35734" spans="10:10" x14ac:dyDescent="0.3">
      <c r="J35734"/>
    </row>
    <row r="35735" spans="10:10" x14ac:dyDescent="0.3">
      <c r="J35735"/>
    </row>
    <row r="35736" spans="10:10" x14ac:dyDescent="0.3">
      <c r="J35736"/>
    </row>
    <row r="35737" spans="10:10" x14ac:dyDescent="0.3">
      <c r="J35737"/>
    </row>
    <row r="35738" spans="10:10" x14ac:dyDescent="0.3">
      <c r="J35738"/>
    </row>
    <row r="35739" spans="10:10" x14ac:dyDescent="0.3">
      <c r="J35739"/>
    </row>
    <row r="35740" spans="10:10" x14ac:dyDescent="0.3">
      <c r="J35740"/>
    </row>
    <row r="35741" spans="10:10" x14ac:dyDescent="0.3">
      <c r="J35741"/>
    </row>
    <row r="35742" spans="10:10" x14ac:dyDescent="0.3">
      <c r="J35742"/>
    </row>
    <row r="35743" spans="10:10" x14ac:dyDescent="0.3">
      <c r="J35743"/>
    </row>
    <row r="35744" spans="10:10" x14ac:dyDescent="0.3">
      <c r="J35744"/>
    </row>
    <row r="35745" spans="10:10" x14ac:dyDescent="0.3">
      <c r="J35745"/>
    </row>
    <row r="35746" spans="10:10" x14ac:dyDescent="0.3">
      <c r="J35746"/>
    </row>
    <row r="35747" spans="10:10" x14ac:dyDescent="0.3">
      <c r="J35747"/>
    </row>
    <row r="35748" spans="10:10" x14ac:dyDescent="0.3">
      <c r="J35748"/>
    </row>
    <row r="35749" spans="10:10" x14ac:dyDescent="0.3">
      <c r="J35749"/>
    </row>
    <row r="35750" spans="10:10" x14ac:dyDescent="0.3">
      <c r="J35750"/>
    </row>
    <row r="35751" spans="10:10" x14ac:dyDescent="0.3">
      <c r="J35751"/>
    </row>
    <row r="35752" spans="10:10" x14ac:dyDescent="0.3">
      <c r="J35752"/>
    </row>
    <row r="35753" spans="10:10" x14ac:dyDescent="0.3">
      <c r="J35753"/>
    </row>
    <row r="35754" spans="10:10" x14ac:dyDescent="0.3">
      <c r="J35754"/>
    </row>
    <row r="35755" spans="10:10" x14ac:dyDescent="0.3">
      <c r="J35755"/>
    </row>
    <row r="35756" spans="10:10" x14ac:dyDescent="0.3">
      <c r="J35756"/>
    </row>
    <row r="35757" spans="10:10" x14ac:dyDescent="0.3">
      <c r="J35757"/>
    </row>
    <row r="35758" spans="10:10" x14ac:dyDescent="0.3">
      <c r="J35758"/>
    </row>
    <row r="35759" spans="10:10" x14ac:dyDescent="0.3">
      <c r="J35759"/>
    </row>
    <row r="35760" spans="10:10" x14ac:dyDescent="0.3">
      <c r="J35760"/>
    </row>
    <row r="35761" spans="10:10" x14ac:dyDescent="0.3">
      <c r="J35761"/>
    </row>
    <row r="35762" spans="10:10" x14ac:dyDescent="0.3">
      <c r="J35762"/>
    </row>
    <row r="35763" spans="10:10" x14ac:dyDescent="0.3">
      <c r="J35763"/>
    </row>
    <row r="35764" spans="10:10" x14ac:dyDescent="0.3">
      <c r="J35764"/>
    </row>
    <row r="35765" spans="10:10" x14ac:dyDescent="0.3">
      <c r="J35765"/>
    </row>
    <row r="35766" spans="10:10" x14ac:dyDescent="0.3">
      <c r="J35766"/>
    </row>
    <row r="35767" spans="10:10" x14ac:dyDescent="0.3">
      <c r="J35767"/>
    </row>
    <row r="35768" spans="10:10" x14ac:dyDescent="0.3">
      <c r="J35768"/>
    </row>
    <row r="35769" spans="10:10" x14ac:dyDescent="0.3">
      <c r="J35769"/>
    </row>
    <row r="35770" spans="10:10" x14ac:dyDescent="0.3">
      <c r="J35770"/>
    </row>
    <row r="35771" spans="10:10" x14ac:dyDescent="0.3">
      <c r="J35771"/>
    </row>
    <row r="35772" spans="10:10" x14ac:dyDescent="0.3">
      <c r="J35772"/>
    </row>
    <row r="35773" spans="10:10" x14ac:dyDescent="0.3">
      <c r="J35773"/>
    </row>
    <row r="35774" spans="10:10" x14ac:dyDescent="0.3">
      <c r="J35774"/>
    </row>
    <row r="35775" spans="10:10" x14ac:dyDescent="0.3">
      <c r="J35775"/>
    </row>
    <row r="35776" spans="10:10" x14ac:dyDescent="0.3">
      <c r="J35776"/>
    </row>
    <row r="35777" spans="10:10" x14ac:dyDescent="0.3">
      <c r="J35777"/>
    </row>
    <row r="35778" spans="10:10" x14ac:dyDescent="0.3">
      <c r="J35778"/>
    </row>
    <row r="35779" spans="10:10" x14ac:dyDescent="0.3">
      <c r="J35779"/>
    </row>
    <row r="35780" spans="10:10" x14ac:dyDescent="0.3">
      <c r="J35780"/>
    </row>
    <row r="35781" spans="10:10" x14ac:dyDescent="0.3">
      <c r="J35781"/>
    </row>
    <row r="35782" spans="10:10" x14ac:dyDescent="0.3">
      <c r="J35782"/>
    </row>
    <row r="35783" spans="10:10" x14ac:dyDescent="0.3">
      <c r="J35783"/>
    </row>
    <row r="35784" spans="10:10" x14ac:dyDescent="0.3">
      <c r="J35784"/>
    </row>
    <row r="35785" spans="10:10" x14ac:dyDescent="0.3">
      <c r="J35785"/>
    </row>
    <row r="35786" spans="10:10" x14ac:dyDescent="0.3">
      <c r="J35786"/>
    </row>
    <row r="35787" spans="10:10" x14ac:dyDescent="0.3">
      <c r="J35787"/>
    </row>
    <row r="35788" spans="10:10" x14ac:dyDescent="0.3">
      <c r="J35788"/>
    </row>
    <row r="35789" spans="10:10" x14ac:dyDescent="0.3">
      <c r="J35789"/>
    </row>
    <row r="35790" spans="10:10" x14ac:dyDescent="0.3">
      <c r="J35790"/>
    </row>
    <row r="35791" spans="10:10" x14ac:dyDescent="0.3">
      <c r="J35791"/>
    </row>
    <row r="35792" spans="10:10" x14ac:dyDescent="0.3">
      <c r="J35792"/>
    </row>
    <row r="35793" spans="10:10" x14ac:dyDescent="0.3">
      <c r="J35793"/>
    </row>
    <row r="35794" spans="10:10" x14ac:dyDescent="0.3">
      <c r="J35794"/>
    </row>
    <row r="35795" spans="10:10" x14ac:dyDescent="0.3">
      <c r="J35795"/>
    </row>
    <row r="35796" spans="10:10" x14ac:dyDescent="0.3">
      <c r="J35796"/>
    </row>
    <row r="35797" spans="10:10" x14ac:dyDescent="0.3">
      <c r="J35797"/>
    </row>
    <row r="35798" spans="10:10" x14ac:dyDescent="0.3">
      <c r="J35798"/>
    </row>
    <row r="35799" spans="10:10" x14ac:dyDescent="0.3">
      <c r="J35799"/>
    </row>
    <row r="35800" spans="10:10" x14ac:dyDescent="0.3">
      <c r="J35800"/>
    </row>
    <row r="35801" spans="10:10" x14ac:dyDescent="0.3">
      <c r="J35801"/>
    </row>
    <row r="35802" spans="10:10" x14ac:dyDescent="0.3">
      <c r="J35802"/>
    </row>
    <row r="35803" spans="10:10" x14ac:dyDescent="0.3">
      <c r="J35803"/>
    </row>
    <row r="35804" spans="10:10" x14ac:dyDescent="0.3">
      <c r="J35804"/>
    </row>
    <row r="35805" spans="10:10" x14ac:dyDescent="0.3">
      <c r="J35805"/>
    </row>
    <row r="35806" spans="10:10" x14ac:dyDescent="0.3">
      <c r="J35806"/>
    </row>
    <row r="35807" spans="10:10" x14ac:dyDescent="0.3">
      <c r="J35807"/>
    </row>
    <row r="35808" spans="10:10" x14ac:dyDescent="0.3">
      <c r="J35808"/>
    </row>
    <row r="35809" spans="10:10" x14ac:dyDescent="0.3">
      <c r="J35809"/>
    </row>
    <row r="35810" spans="10:10" x14ac:dyDescent="0.3">
      <c r="J35810"/>
    </row>
    <row r="35811" spans="10:10" x14ac:dyDescent="0.3">
      <c r="J35811"/>
    </row>
    <row r="35812" spans="10:10" x14ac:dyDescent="0.3">
      <c r="J35812"/>
    </row>
    <row r="35813" spans="10:10" x14ac:dyDescent="0.3">
      <c r="J35813"/>
    </row>
    <row r="35814" spans="10:10" x14ac:dyDescent="0.3">
      <c r="J35814"/>
    </row>
    <row r="35815" spans="10:10" x14ac:dyDescent="0.3">
      <c r="J35815"/>
    </row>
    <row r="35816" spans="10:10" x14ac:dyDescent="0.3">
      <c r="J35816"/>
    </row>
    <row r="35817" spans="10:10" x14ac:dyDescent="0.3">
      <c r="J35817"/>
    </row>
    <row r="35818" spans="10:10" x14ac:dyDescent="0.3">
      <c r="J35818"/>
    </row>
    <row r="35819" spans="10:10" x14ac:dyDescent="0.3">
      <c r="J35819"/>
    </row>
    <row r="35820" spans="10:10" x14ac:dyDescent="0.3">
      <c r="J35820"/>
    </row>
    <row r="35821" spans="10:10" x14ac:dyDescent="0.3">
      <c r="J35821"/>
    </row>
    <row r="35822" spans="10:10" x14ac:dyDescent="0.3">
      <c r="J35822"/>
    </row>
    <row r="35823" spans="10:10" x14ac:dyDescent="0.3">
      <c r="J35823"/>
    </row>
    <row r="35824" spans="10:10" x14ac:dyDescent="0.3">
      <c r="J35824"/>
    </row>
    <row r="35825" spans="10:10" x14ac:dyDescent="0.3">
      <c r="J35825"/>
    </row>
    <row r="35826" spans="10:10" x14ac:dyDescent="0.3">
      <c r="J35826"/>
    </row>
    <row r="35827" spans="10:10" x14ac:dyDescent="0.3">
      <c r="J35827"/>
    </row>
    <row r="35828" spans="10:10" x14ac:dyDescent="0.3">
      <c r="J35828"/>
    </row>
    <row r="35829" spans="10:10" x14ac:dyDescent="0.3">
      <c r="J35829"/>
    </row>
    <row r="35830" spans="10:10" x14ac:dyDescent="0.3">
      <c r="J35830"/>
    </row>
    <row r="35831" spans="10:10" x14ac:dyDescent="0.3">
      <c r="J35831"/>
    </row>
    <row r="35832" spans="10:10" x14ac:dyDescent="0.3">
      <c r="J35832"/>
    </row>
    <row r="35833" spans="10:10" x14ac:dyDescent="0.3">
      <c r="J35833"/>
    </row>
    <row r="35834" spans="10:10" x14ac:dyDescent="0.3">
      <c r="J35834"/>
    </row>
    <row r="35835" spans="10:10" x14ac:dyDescent="0.3">
      <c r="J35835"/>
    </row>
    <row r="35836" spans="10:10" x14ac:dyDescent="0.3">
      <c r="J35836"/>
    </row>
    <row r="35837" spans="10:10" x14ac:dyDescent="0.3">
      <c r="J35837"/>
    </row>
    <row r="35838" spans="10:10" x14ac:dyDescent="0.3">
      <c r="J35838"/>
    </row>
    <row r="35839" spans="10:10" x14ac:dyDescent="0.3">
      <c r="J35839"/>
    </row>
    <row r="35840" spans="10:10" x14ac:dyDescent="0.3">
      <c r="J35840"/>
    </row>
    <row r="35841" spans="10:10" x14ac:dyDescent="0.3">
      <c r="J35841"/>
    </row>
    <row r="35842" spans="10:10" x14ac:dyDescent="0.3">
      <c r="J35842"/>
    </row>
    <row r="35843" spans="10:10" x14ac:dyDescent="0.3">
      <c r="J35843"/>
    </row>
    <row r="35844" spans="10:10" x14ac:dyDescent="0.3">
      <c r="J35844"/>
    </row>
    <row r="35845" spans="10:10" x14ac:dyDescent="0.3">
      <c r="J35845"/>
    </row>
    <row r="35846" spans="10:10" x14ac:dyDescent="0.3">
      <c r="J35846"/>
    </row>
    <row r="35847" spans="10:10" x14ac:dyDescent="0.3">
      <c r="J35847"/>
    </row>
    <row r="35848" spans="10:10" x14ac:dyDescent="0.3">
      <c r="J35848"/>
    </row>
    <row r="35849" spans="10:10" x14ac:dyDescent="0.3">
      <c r="J35849"/>
    </row>
    <row r="35850" spans="10:10" x14ac:dyDescent="0.3">
      <c r="J35850"/>
    </row>
    <row r="35851" spans="10:10" x14ac:dyDescent="0.3">
      <c r="J35851"/>
    </row>
    <row r="35852" spans="10:10" x14ac:dyDescent="0.3">
      <c r="J35852"/>
    </row>
    <row r="35853" spans="10:10" x14ac:dyDescent="0.3">
      <c r="J35853"/>
    </row>
    <row r="35854" spans="10:10" x14ac:dyDescent="0.3">
      <c r="J35854"/>
    </row>
    <row r="35855" spans="10:10" x14ac:dyDescent="0.3">
      <c r="J35855"/>
    </row>
    <row r="35856" spans="10:10" x14ac:dyDescent="0.3">
      <c r="J35856"/>
    </row>
    <row r="35857" spans="10:10" x14ac:dyDescent="0.3">
      <c r="J35857"/>
    </row>
    <row r="35858" spans="10:10" x14ac:dyDescent="0.3">
      <c r="J35858"/>
    </row>
    <row r="35859" spans="10:10" x14ac:dyDescent="0.3">
      <c r="J35859"/>
    </row>
    <row r="35860" spans="10:10" x14ac:dyDescent="0.3">
      <c r="J35860"/>
    </row>
    <row r="35861" spans="10:10" x14ac:dyDescent="0.3">
      <c r="J35861"/>
    </row>
    <row r="35862" spans="10:10" x14ac:dyDescent="0.3">
      <c r="J35862"/>
    </row>
    <row r="35863" spans="10:10" x14ac:dyDescent="0.3">
      <c r="J35863"/>
    </row>
    <row r="35864" spans="10:10" x14ac:dyDescent="0.3">
      <c r="J35864"/>
    </row>
    <row r="35865" spans="10:10" x14ac:dyDescent="0.3">
      <c r="J35865"/>
    </row>
    <row r="35866" spans="10:10" x14ac:dyDescent="0.3">
      <c r="J35866"/>
    </row>
    <row r="35867" spans="10:10" x14ac:dyDescent="0.3">
      <c r="J35867"/>
    </row>
    <row r="35868" spans="10:10" x14ac:dyDescent="0.3">
      <c r="J35868"/>
    </row>
    <row r="35869" spans="10:10" x14ac:dyDescent="0.3">
      <c r="J35869"/>
    </row>
    <row r="35870" spans="10:10" x14ac:dyDescent="0.3">
      <c r="J35870"/>
    </row>
    <row r="35871" spans="10:10" x14ac:dyDescent="0.3">
      <c r="J35871"/>
    </row>
    <row r="35872" spans="10:10" x14ac:dyDescent="0.3">
      <c r="J35872"/>
    </row>
    <row r="35873" spans="10:10" x14ac:dyDescent="0.3">
      <c r="J35873"/>
    </row>
    <row r="35874" spans="10:10" x14ac:dyDescent="0.3">
      <c r="J35874"/>
    </row>
    <row r="35875" spans="10:10" x14ac:dyDescent="0.3">
      <c r="J35875"/>
    </row>
    <row r="35876" spans="10:10" x14ac:dyDescent="0.3">
      <c r="J35876"/>
    </row>
    <row r="35877" spans="10:10" x14ac:dyDescent="0.3">
      <c r="J35877"/>
    </row>
    <row r="35878" spans="10:10" x14ac:dyDescent="0.3">
      <c r="J35878"/>
    </row>
    <row r="35879" spans="10:10" x14ac:dyDescent="0.3">
      <c r="J35879"/>
    </row>
    <row r="35880" spans="10:10" x14ac:dyDescent="0.3">
      <c r="J35880"/>
    </row>
    <row r="35881" spans="10:10" x14ac:dyDescent="0.3">
      <c r="J35881"/>
    </row>
    <row r="35882" spans="10:10" x14ac:dyDescent="0.3">
      <c r="J35882"/>
    </row>
    <row r="35883" spans="10:10" x14ac:dyDescent="0.3">
      <c r="J35883"/>
    </row>
    <row r="35884" spans="10:10" x14ac:dyDescent="0.3">
      <c r="J35884"/>
    </row>
    <row r="35885" spans="10:10" x14ac:dyDescent="0.3">
      <c r="J35885"/>
    </row>
    <row r="35886" spans="10:10" x14ac:dyDescent="0.3">
      <c r="J35886"/>
    </row>
    <row r="35887" spans="10:10" x14ac:dyDescent="0.3">
      <c r="J35887"/>
    </row>
    <row r="35888" spans="10:10" x14ac:dyDescent="0.3">
      <c r="J35888"/>
    </row>
    <row r="35889" spans="10:10" x14ac:dyDescent="0.3">
      <c r="J35889"/>
    </row>
    <row r="35890" spans="10:10" x14ac:dyDescent="0.3">
      <c r="J35890"/>
    </row>
    <row r="35891" spans="10:10" x14ac:dyDescent="0.3">
      <c r="J35891"/>
    </row>
    <row r="35892" spans="10:10" x14ac:dyDescent="0.3">
      <c r="J35892"/>
    </row>
    <row r="35893" spans="10:10" x14ac:dyDescent="0.3">
      <c r="J35893"/>
    </row>
    <row r="35894" spans="10:10" x14ac:dyDescent="0.3">
      <c r="J35894"/>
    </row>
    <row r="35895" spans="10:10" x14ac:dyDescent="0.3">
      <c r="J35895"/>
    </row>
    <row r="35896" spans="10:10" x14ac:dyDescent="0.3">
      <c r="J35896"/>
    </row>
    <row r="35897" spans="10:10" x14ac:dyDescent="0.3">
      <c r="J35897"/>
    </row>
    <row r="35898" spans="10:10" x14ac:dyDescent="0.3">
      <c r="J35898"/>
    </row>
    <row r="35899" spans="10:10" x14ac:dyDescent="0.3">
      <c r="J35899"/>
    </row>
    <row r="35900" spans="10:10" x14ac:dyDescent="0.3">
      <c r="J35900"/>
    </row>
    <row r="35901" spans="10:10" x14ac:dyDescent="0.3">
      <c r="J35901"/>
    </row>
    <row r="35902" spans="10:10" x14ac:dyDescent="0.3">
      <c r="J35902"/>
    </row>
    <row r="35903" spans="10:10" x14ac:dyDescent="0.3">
      <c r="J35903"/>
    </row>
    <row r="35904" spans="10:10" x14ac:dyDescent="0.3">
      <c r="J35904"/>
    </row>
    <row r="35905" spans="10:10" x14ac:dyDescent="0.3">
      <c r="J35905"/>
    </row>
    <row r="35906" spans="10:10" x14ac:dyDescent="0.3">
      <c r="J35906"/>
    </row>
    <row r="35907" spans="10:10" x14ac:dyDescent="0.3">
      <c r="J35907"/>
    </row>
    <row r="35908" spans="10:10" x14ac:dyDescent="0.3">
      <c r="J35908"/>
    </row>
    <row r="35909" spans="10:10" x14ac:dyDescent="0.3">
      <c r="J35909"/>
    </row>
    <row r="35910" spans="10:10" x14ac:dyDescent="0.3">
      <c r="J35910"/>
    </row>
    <row r="35911" spans="10:10" x14ac:dyDescent="0.3">
      <c r="J35911"/>
    </row>
    <row r="35912" spans="10:10" x14ac:dyDescent="0.3">
      <c r="J35912"/>
    </row>
    <row r="35913" spans="10:10" x14ac:dyDescent="0.3">
      <c r="J35913"/>
    </row>
    <row r="35914" spans="10:10" x14ac:dyDescent="0.3">
      <c r="J35914"/>
    </row>
    <row r="35915" spans="10:10" x14ac:dyDescent="0.3">
      <c r="J35915"/>
    </row>
    <row r="35916" spans="10:10" x14ac:dyDescent="0.3">
      <c r="J35916"/>
    </row>
    <row r="35917" spans="10:10" x14ac:dyDescent="0.3">
      <c r="J35917"/>
    </row>
    <row r="35918" spans="10:10" x14ac:dyDescent="0.3">
      <c r="J35918"/>
    </row>
    <row r="35919" spans="10:10" x14ac:dyDescent="0.3">
      <c r="J35919"/>
    </row>
    <row r="35920" spans="10:10" x14ac:dyDescent="0.3">
      <c r="J35920"/>
    </row>
    <row r="35921" spans="10:10" x14ac:dyDescent="0.3">
      <c r="J35921"/>
    </row>
    <row r="35922" spans="10:10" x14ac:dyDescent="0.3">
      <c r="J35922"/>
    </row>
    <row r="35923" spans="10:10" x14ac:dyDescent="0.3">
      <c r="J35923"/>
    </row>
    <row r="35924" spans="10:10" x14ac:dyDescent="0.3">
      <c r="J35924"/>
    </row>
    <row r="35925" spans="10:10" x14ac:dyDescent="0.3">
      <c r="J35925"/>
    </row>
    <row r="35926" spans="10:10" x14ac:dyDescent="0.3">
      <c r="J35926"/>
    </row>
    <row r="35927" spans="10:10" x14ac:dyDescent="0.3">
      <c r="J35927"/>
    </row>
    <row r="35928" spans="10:10" x14ac:dyDescent="0.3">
      <c r="J35928"/>
    </row>
    <row r="35929" spans="10:10" x14ac:dyDescent="0.3">
      <c r="J35929"/>
    </row>
    <row r="35930" spans="10:10" x14ac:dyDescent="0.3">
      <c r="J35930"/>
    </row>
    <row r="35931" spans="10:10" x14ac:dyDescent="0.3">
      <c r="J35931"/>
    </row>
    <row r="35932" spans="10:10" x14ac:dyDescent="0.3">
      <c r="J35932"/>
    </row>
    <row r="35933" spans="10:10" x14ac:dyDescent="0.3">
      <c r="J35933"/>
    </row>
    <row r="35934" spans="10:10" x14ac:dyDescent="0.3">
      <c r="J35934"/>
    </row>
    <row r="35935" spans="10:10" x14ac:dyDescent="0.3">
      <c r="J35935"/>
    </row>
    <row r="35936" spans="10:10" x14ac:dyDescent="0.3">
      <c r="J35936"/>
    </row>
    <row r="35937" spans="10:10" x14ac:dyDescent="0.3">
      <c r="J35937"/>
    </row>
    <row r="35938" spans="10:10" x14ac:dyDescent="0.3">
      <c r="J35938"/>
    </row>
    <row r="35939" spans="10:10" x14ac:dyDescent="0.3">
      <c r="J35939"/>
    </row>
    <row r="35940" spans="10:10" x14ac:dyDescent="0.3">
      <c r="J35940"/>
    </row>
    <row r="35941" spans="10:10" x14ac:dyDescent="0.3">
      <c r="J35941"/>
    </row>
    <row r="35942" spans="10:10" x14ac:dyDescent="0.3">
      <c r="J35942"/>
    </row>
    <row r="35943" spans="10:10" x14ac:dyDescent="0.3">
      <c r="J35943"/>
    </row>
    <row r="35944" spans="10:10" x14ac:dyDescent="0.3">
      <c r="J35944"/>
    </row>
    <row r="35945" spans="10:10" x14ac:dyDescent="0.3">
      <c r="J35945"/>
    </row>
    <row r="35946" spans="10:10" x14ac:dyDescent="0.3">
      <c r="J35946"/>
    </row>
    <row r="35947" spans="10:10" x14ac:dyDescent="0.3">
      <c r="J35947"/>
    </row>
    <row r="35948" spans="10:10" x14ac:dyDescent="0.3">
      <c r="J35948"/>
    </row>
    <row r="35949" spans="10:10" x14ac:dyDescent="0.3">
      <c r="J35949"/>
    </row>
    <row r="35950" spans="10:10" x14ac:dyDescent="0.3">
      <c r="J35950"/>
    </row>
    <row r="35951" spans="10:10" x14ac:dyDescent="0.3">
      <c r="J35951"/>
    </row>
    <row r="35952" spans="10:10" x14ac:dyDescent="0.3">
      <c r="J35952"/>
    </row>
    <row r="35953" spans="10:10" x14ac:dyDescent="0.3">
      <c r="J35953"/>
    </row>
    <row r="35954" spans="10:10" x14ac:dyDescent="0.3">
      <c r="J35954"/>
    </row>
    <row r="35955" spans="10:10" x14ac:dyDescent="0.3">
      <c r="J35955"/>
    </row>
    <row r="35956" spans="10:10" x14ac:dyDescent="0.3">
      <c r="J35956"/>
    </row>
    <row r="35957" spans="10:10" x14ac:dyDescent="0.3">
      <c r="J35957"/>
    </row>
    <row r="35958" spans="10:10" x14ac:dyDescent="0.3">
      <c r="J35958"/>
    </row>
    <row r="35959" spans="10:10" x14ac:dyDescent="0.3">
      <c r="J35959"/>
    </row>
    <row r="35960" spans="10:10" x14ac:dyDescent="0.3">
      <c r="J35960"/>
    </row>
    <row r="35961" spans="10:10" x14ac:dyDescent="0.3">
      <c r="J35961"/>
    </row>
    <row r="35962" spans="10:10" x14ac:dyDescent="0.3">
      <c r="J35962"/>
    </row>
    <row r="35963" spans="10:10" x14ac:dyDescent="0.3">
      <c r="J35963"/>
    </row>
    <row r="35964" spans="10:10" x14ac:dyDescent="0.3">
      <c r="J35964"/>
    </row>
    <row r="35965" spans="10:10" x14ac:dyDescent="0.3">
      <c r="J35965"/>
    </row>
    <row r="35966" spans="10:10" x14ac:dyDescent="0.3">
      <c r="J35966"/>
    </row>
    <row r="35967" spans="10:10" x14ac:dyDescent="0.3">
      <c r="J35967"/>
    </row>
    <row r="35968" spans="10:10" x14ac:dyDescent="0.3">
      <c r="J35968"/>
    </row>
    <row r="35969" spans="10:10" x14ac:dyDescent="0.3">
      <c r="J35969"/>
    </row>
    <row r="35970" spans="10:10" x14ac:dyDescent="0.3">
      <c r="J35970"/>
    </row>
    <row r="35971" spans="10:10" x14ac:dyDescent="0.3">
      <c r="J35971"/>
    </row>
    <row r="35972" spans="10:10" x14ac:dyDescent="0.3">
      <c r="J35972"/>
    </row>
    <row r="35973" spans="10:10" x14ac:dyDescent="0.3">
      <c r="J35973"/>
    </row>
    <row r="35974" spans="10:10" x14ac:dyDescent="0.3">
      <c r="J35974"/>
    </row>
    <row r="35975" spans="10:10" x14ac:dyDescent="0.3">
      <c r="J35975"/>
    </row>
    <row r="35976" spans="10:10" x14ac:dyDescent="0.3">
      <c r="J35976"/>
    </row>
    <row r="35977" spans="10:10" x14ac:dyDescent="0.3">
      <c r="J35977"/>
    </row>
    <row r="35978" spans="10:10" x14ac:dyDescent="0.3">
      <c r="J35978"/>
    </row>
    <row r="35979" spans="10:10" x14ac:dyDescent="0.3">
      <c r="J35979"/>
    </row>
    <row r="35980" spans="10:10" x14ac:dyDescent="0.3">
      <c r="J35980"/>
    </row>
    <row r="35981" spans="10:10" x14ac:dyDescent="0.3">
      <c r="J35981"/>
    </row>
    <row r="35982" spans="10:10" x14ac:dyDescent="0.3">
      <c r="J35982"/>
    </row>
    <row r="35983" spans="10:10" x14ac:dyDescent="0.3">
      <c r="J35983"/>
    </row>
    <row r="35984" spans="10:10" x14ac:dyDescent="0.3">
      <c r="J35984"/>
    </row>
    <row r="35985" spans="10:10" x14ac:dyDescent="0.3">
      <c r="J35985"/>
    </row>
    <row r="35986" spans="10:10" x14ac:dyDescent="0.3">
      <c r="J35986"/>
    </row>
    <row r="35987" spans="10:10" x14ac:dyDescent="0.3">
      <c r="J35987"/>
    </row>
    <row r="35988" spans="10:10" x14ac:dyDescent="0.3">
      <c r="J35988"/>
    </row>
    <row r="35989" spans="10:10" x14ac:dyDescent="0.3">
      <c r="J35989"/>
    </row>
    <row r="35990" spans="10:10" x14ac:dyDescent="0.3">
      <c r="J35990"/>
    </row>
    <row r="35991" spans="10:10" x14ac:dyDescent="0.3">
      <c r="J35991"/>
    </row>
    <row r="35992" spans="10:10" x14ac:dyDescent="0.3">
      <c r="J35992"/>
    </row>
    <row r="35993" spans="10:10" x14ac:dyDescent="0.3">
      <c r="J35993"/>
    </row>
    <row r="35994" spans="10:10" x14ac:dyDescent="0.3">
      <c r="J35994"/>
    </row>
    <row r="35995" spans="10:10" x14ac:dyDescent="0.3">
      <c r="J35995"/>
    </row>
    <row r="35996" spans="10:10" x14ac:dyDescent="0.3">
      <c r="J35996"/>
    </row>
    <row r="35997" spans="10:10" x14ac:dyDescent="0.3">
      <c r="J35997"/>
    </row>
    <row r="35998" spans="10:10" x14ac:dyDescent="0.3">
      <c r="J35998"/>
    </row>
    <row r="35999" spans="10:10" x14ac:dyDescent="0.3">
      <c r="J35999"/>
    </row>
    <row r="36000" spans="10:10" x14ac:dyDescent="0.3">
      <c r="J36000"/>
    </row>
    <row r="36001" spans="10:10" x14ac:dyDescent="0.3">
      <c r="J36001"/>
    </row>
    <row r="36002" spans="10:10" x14ac:dyDescent="0.3">
      <c r="J36002"/>
    </row>
    <row r="36003" spans="10:10" x14ac:dyDescent="0.3">
      <c r="J36003"/>
    </row>
    <row r="36004" spans="10:10" x14ac:dyDescent="0.3">
      <c r="J36004"/>
    </row>
    <row r="36005" spans="10:10" x14ac:dyDescent="0.3">
      <c r="J36005"/>
    </row>
    <row r="36006" spans="10:10" x14ac:dyDescent="0.3">
      <c r="J36006"/>
    </row>
    <row r="36007" spans="10:10" x14ac:dyDescent="0.3">
      <c r="J36007"/>
    </row>
    <row r="36008" spans="10:10" x14ac:dyDescent="0.3">
      <c r="J36008"/>
    </row>
    <row r="36009" spans="10:10" x14ac:dyDescent="0.3">
      <c r="J36009"/>
    </row>
    <row r="36010" spans="10:10" x14ac:dyDescent="0.3">
      <c r="J36010"/>
    </row>
    <row r="36011" spans="10:10" x14ac:dyDescent="0.3">
      <c r="J36011"/>
    </row>
    <row r="36012" spans="10:10" x14ac:dyDescent="0.3">
      <c r="J36012"/>
    </row>
    <row r="36013" spans="10:10" x14ac:dyDescent="0.3">
      <c r="J36013"/>
    </row>
    <row r="36014" spans="10:10" x14ac:dyDescent="0.3">
      <c r="J36014"/>
    </row>
    <row r="36015" spans="10:10" x14ac:dyDescent="0.3">
      <c r="J36015"/>
    </row>
    <row r="36016" spans="10:10" x14ac:dyDescent="0.3">
      <c r="J36016"/>
    </row>
    <row r="36017" spans="10:10" x14ac:dyDescent="0.3">
      <c r="J36017"/>
    </row>
    <row r="36018" spans="10:10" x14ac:dyDescent="0.3">
      <c r="J36018"/>
    </row>
    <row r="36019" spans="10:10" x14ac:dyDescent="0.3">
      <c r="J36019"/>
    </row>
    <row r="36020" spans="10:10" x14ac:dyDescent="0.3">
      <c r="J36020"/>
    </row>
    <row r="36021" spans="10:10" x14ac:dyDescent="0.3">
      <c r="J36021"/>
    </row>
    <row r="36022" spans="10:10" x14ac:dyDescent="0.3">
      <c r="J36022"/>
    </row>
    <row r="36023" spans="10:10" x14ac:dyDescent="0.3">
      <c r="J36023"/>
    </row>
    <row r="36024" spans="10:10" x14ac:dyDescent="0.3">
      <c r="J36024"/>
    </row>
    <row r="36025" spans="10:10" x14ac:dyDescent="0.3">
      <c r="J36025"/>
    </row>
    <row r="36026" spans="10:10" x14ac:dyDescent="0.3">
      <c r="J36026"/>
    </row>
    <row r="36027" spans="10:10" x14ac:dyDescent="0.3">
      <c r="J36027"/>
    </row>
    <row r="36028" spans="10:10" x14ac:dyDescent="0.3">
      <c r="J36028"/>
    </row>
    <row r="36029" spans="10:10" x14ac:dyDescent="0.3">
      <c r="J36029"/>
    </row>
    <row r="36030" spans="10:10" x14ac:dyDescent="0.3">
      <c r="J36030"/>
    </row>
    <row r="36031" spans="10:10" x14ac:dyDescent="0.3">
      <c r="J36031"/>
    </row>
    <row r="36032" spans="10:10" x14ac:dyDescent="0.3">
      <c r="J36032"/>
    </row>
    <row r="36033" spans="10:10" x14ac:dyDescent="0.3">
      <c r="J36033"/>
    </row>
    <row r="36034" spans="10:10" x14ac:dyDescent="0.3">
      <c r="J36034"/>
    </row>
    <row r="36035" spans="10:10" x14ac:dyDescent="0.3">
      <c r="J36035"/>
    </row>
    <row r="36036" spans="10:10" x14ac:dyDescent="0.3">
      <c r="J36036"/>
    </row>
    <row r="36037" spans="10:10" x14ac:dyDescent="0.3">
      <c r="J36037"/>
    </row>
    <row r="36038" spans="10:10" x14ac:dyDescent="0.3">
      <c r="J36038"/>
    </row>
    <row r="36039" spans="10:10" x14ac:dyDescent="0.3">
      <c r="J36039"/>
    </row>
    <row r="36040" spans="10:10" x14ac:dyDescent="0.3">
      <c r="J36040"/>
    </row>
    <row r="36041" spans="10:10" x14ac:dyDescent="0.3">
      <c r="J36041"/>
    </row>
    <row r="36042" spans="10:10" x14ac:dyDescent="0.3">
      <c r="J36042"/>
    </row>
    <row r="36043" spans="10:10" x14ac:dyDescent="0.3">
      <c r="J36043"/>
    </row>
    <row r="36044" spans="10:10" x14ac:dyDescent="0.3">
      <c r="J36044"/>
    </row>
    <row r="36045" spans="10:10" x14ac:dyDescent="0.3">
      <c r="J36045"/>
    </row>
    <row r="36046" spans="10:10" x14ac:dyDescent="0.3">
      <c r="J36046"/>
    </row>
    <row r="36047" spans="10:10" x14ac:dyDescent="0.3">
      <c r="J36047"/>
    </row>
    <row r="36048" spans="10:10" x14ac:dyDescent="0.3">
      <c r="J36048"/>
    </row>
    <row r="36049" spans="10:10" x14ac:dyDescent="0.3">
      <c r="J36049"/>
    </row>
    <row r="36050" spans="10:10" x14ac:dyDescent="0.3">
      <c r="J36050"/>
    </row>
    <row r="36051" spans="10:10" x14ac:dyDescent="0.3">
      <c r="J36051"/>
    </row>
    <row r="36052" spans="10:10" x14ac:dyDescent="0.3">
      <c r="J36052"/>
    </row>
    <row r="36053" spans="10:10" x14ac:dyDescent="0.3">
      <c r="J36053"/>
    </row>
    <row r="36054" spans="10:10" x14ac:dyDescent="0.3">
      <c r="J36054"/>
    </row>
    <row r="36055" spans="10:10" x14ac:dyDescent="0.3">
      <c r="J36055"/>
    </row>
    <row r="36056" spans="10:10" x14ac:dyDescent="0.3">
      <c r="J36056"/>
    </row>
    <row r="36057" spans="10:10" x14ac:dyDescent="0.3">
      <c r="J36057"/>
    </row>
    <row r="36058" spans="10:10" x14ac:dyDescent="0.3">
      <c r="J36058"/>
    </row>
    <row r="36059" spans="10:10" x14ac:dyDescent="0.3">
      <c r="J36059"/>
    </row>
    <row r="36060" spans="10:10" x14ac:dyDescent="0.3">
      <c r="J36060"/>
    </row>
    <row r="36061" spans="10:10" x14ac:dyDescent="0.3">
      <c r="J36061"/>
    </row>
    <row r="36062" spans="10:10" x14ac:dyDescent="0.3">
      <c r="J36062"/>
    </row>
    <row r="36063" spans="10:10" x14ac:dyDescent="0.3">
      <c r="J36063"/>
    </row>
    <row r="36064" spans="10:10" x14ac:dyDescent="0.3">
      <c r="J36064"/>
    </row>
    <row r="36065" spans="10:10" x14ac:dyDescent="0.3">
      <c r="J36065"/>
    </row>
    <row r="36066" spans="10:10" x14ac:dyDescent="0.3">
      <c r="J36066"/>
    </row>
    <row r="36067" spans="10:10" x14ac:dyDescent="0.3">
      <c r="J36067"/>
    </row>
    <row r="36068" spans="10:10" x14ac:dyDescent="0.3">
      <c r="J36068"/>
    </row>
    <row r="36069" spans="10:10" x14ac:dyDescent="0.3">
      <c r="J36069"/>
    </row>
    <row r="36070" spans="10:10" x14ac:dyDescent="0.3">
      <c r="J36070"/>
    </row>
    <row r="36071" spans="10:10" x14ac:dyDescent="0.3">
      <c r="J36071"/>
    </row>
    <row r="36072" spans="10:10" x14ac:dyDescent="0.3">
      <c r="J36072"/>
    </row>
    <row r="36073" spans="10:10" x14ac:dyDescent="0.3">
      <c r="J36073"/>
    </row>
    <row r="36074" spans="10:10" x14ac:dyDescent="0.3">
      <c r="J36074"/>
    </row>
    <row r="36075" spans="10:10" x14ac:dyDescent="0.3">
      <c r="J36075"/>
    </row>
    <row r="36076" spans="10:10" x14ac:dyDescent="0.3">
      <c r="J36076"/>
    </row>
    <row r="36077" spans="10:10" x14ac:dyDescent="0.3">
      <c r="J36077"/>
    </row>
    <row r="36078" spans="10:10" x14ac:dyDescent="0.3">
      <c r="J36078"/>
    </row>
    <row r="36079" spans="10:10" x14ac:dyDescent="0.3">
      <c r="J36079"/>
    </row>
    <row r="36080" spans="10:10" x14ac:dyDescent="0.3">
      <c r="J36080"/>
    </row>
    <row r="36081" spans="10:10" x14ac:dyDescent="0.3">
      <c r="J36081"/>
    </row>
    <row r="36082" spans="10:10" x14ac:dyDescent="0.3">
      <c r="J36082"/>
    </row>
    <row r="36083" spans="10:10" x14ac:dyDescent="0.3">
      <c r="J36083"/>
    </row>
    <row r="36084" spans="10:10" x14ac:dyDescent="0.3">
      <c r="J36084"/>
    </row>
    <row r="36085" spans="10:10" x14ac:dyDescent="0.3">
      <c r="J36085"/>
    </row>
    <row r="36086" spans="10:10" x14ac:dyDescent="0.3">
      <c r="J36086"/>
    </row>
    <row r="36087" spans="10:10" x14ac:dyDescent="0.3">
      <c r="J36087"/>
    </row>
    <row r="36088" spans="10:10" x14ac:dyDescent="0.3">
      <c r="J36088"/>
    </row>
    <row r="36089" spans="10:10" x14ac:dyDescent="0.3">
      <c r="J36089"/>
    </row>
    <row r="36090" spans="10:10" x14ac:dyDescent="0.3">
      <c r="J36090"/>
    </row>
    <row r="36091" spans="10:10" x14ac:dyDescent="0.3">
      <c r="J36091"/>
    </row>
    <row r="36092" spans="10:10" x14ac:dyDescent="0.3">
      <c r="J36092"/>
    </row>
    <row r="36093" spans="10:10" x14ac:dyDescent="0.3">
      <c r="J36093"/>
    </row>
    <row r="36094" spans="10:10" x14ac:dyDescent="0.3">
      <c r="J36094"/>
    </row>
    <row r="36095" spans="10:10" x14ac:dyDescent="0.3">
      <c r="J36095"/>
    </row>
    <row r="36096" spans="10:10" x14ac:dyDescent="0.3">
      <c r="J36096"/>
    </row>
    <row r="36097" spans="10:10" x14ac:dyDescent="0.3">
      <c r="J36097"/>
    </row>
    <row r="36098" spans="10:10" x14ac:dyDescent="0.3">
      <c r="J36098"/>
    </row>
    <row r="36099" spans="10:10" x14ac:dyDescent="0.3">
      <c r="J36099"/>
    </row>
    <row r="36100" spans="10:10" x14ac:dyDescent="0.3">
      <c r="J36100"/>
    </row>
    <row r="36101" spans="10:10" x14ac:dyDescent="0.3">
      <c r="J36101"/>
    </row>
    <row r="36102" spans="10:10" x14ac:dyDescent="0.3">
      <c r="J36102"/>
    </row>
    <row r="36103" spans="10:10" x14ac:dyDescent="0.3">
      <c r="J36103"/>
    </row>
    <row r="36104" spans="10:10" x14ac:dyDescent="0.3">
      <c r="J36104"/>
    </row>
    <row r="36105" spans="10:10" x14ac:dyDescent="0.3">
      <c r="J36105"/>
    </row>
    <row r="36106" spans="10:10" x14ac:dyDescent="0.3">
      <c r="J36106"/>
    </row>
    <row r="36107" spans="10:10" x14ac:dyDescent="0.3">
      <c r="J36107"/>
    </row>
    <row r="36108" spans="10:10" x14ac:dyDescent="0.3">
      <c r="J36108"/>
    </row>
    <row r="36109" spans="10:10" x14ac:dyDescent="0.3">
      <c r="J36109"/>
    </row>
    <row r="36110" spans="10:10" x14ac:dyDescent="0.3">
      <c r="J36110"/>
    </row>
    <row r="36111" spans="10:10" x14ac:dyDescent="0.3">
      <c r="J36111"/>
    </row>
    <row r="36112" spans="10:10" x14ac:dyDescent="0.3">
      <c r="J36112"/>
    </row>
    <row r="36113" spans="10:10" x14ac:dyDescent="0.3">
      <c r="J36113"/>
    </row>
    <row r="36114" spans="10:10" x14ac:dyDescent="0.3">
      <c r="J36114"/>
    </row>
    <row r="36115" spans="10:10" x14ac:dyDescent="0.3">
      <c r="J36115"/>
    </row>
    <row r="36116" spans="10:10" x14ac:dyDescent="0.3">
      <c r="J36116"/>
    </row>
    <row r="36117" spans="10:10" x14ac:dyDescent="0.3">
      <c r="J36117"/>
    </row>
    <row r="36118" spans="10:10" x14ac:dyDescent="0.3">
      <c r="J36118"/>
    </row>
    <row r="36119" spans="10:10" x14ac:dyDescent="0.3">
      <c r="J36119"/>
    </row>
    <row r="36120" spans="10:10" x14ac:dyDescent="0.3">
      <c r="J36120"/>
    </row>
    <row r="36121" spans="10:10" x14ac:dyDescent="0.3">
      <c r="J36121"/>
    </row>
    <row r="36122" spans="10:10" x14ac:dyDescent="0.3">
      <c r="J36122"/>
    </row>
    <row r="36123" spans="10:10" x14ac:dyDescent="0.3">
      <c r="J36123"/>
    </row>
    <row r="36124" spans="10:10" x14ac:dyDescent="0.3">
      <c r="J36124"/>
    </row>
    <row r="36125" spans="10:10" x14ac:dyDescent="0.3">
      <c r="J36125"/>
    </row>
    <row r="36126" spans="10:10" x14ac:dyDescent="0.3">
      <c r="J36126"/>
    </row>
    <row r="36127" spans="10:10" x14ac:dyDescent="0.3">
      <c r="J36127"/>
    </row>
    <row r="36128" spans="10:10" x14ac:dyDescent="0.3">
      <c r="J36128"/>
    </row>
    <row r="36129" spans="10:10" x14ac:dyDescent="0.3">
      <c r="J36129"/>
    </row>
    <row r="36130" spans="10:10" x14ac:dyDescent="0.3">
      <c r="J36130"/>
    </row>
    <row r="36131" spans="10:10" x14ac:dyDescent="0.3">
      <c r="J36131"/>
    </row>
    <row r="36132" spans="10:10" x14ac:dyDescent="0.3">
      <c r="J36132"/>
    </row>
    <row r="36133" spans="10:10" x14ac:dyDescent="0.3">
      <c r="J36133"/>
    </row>
    <row r="36134" spans="10:10" x14ac:dyDescent="0.3">
      <c r="J36134"/>
    </row>
    <row r="36135" spans="10:10" x14ac:dyDescent="0.3">
      <c r="J36135"/>
    </row>
    <row r="36136" spans="10:10" x14ac:dyDescent="0.3">
      <c r="J36136"/>
    </row>
    <row r="36137" spans="10:10" x14ac:dyDescent="0.3">
      <c r="J36137"/>
    </row>
    <row r="36138" spans="10:10" x14ac:dyDescent="0.3">
      <c r="J36138"/>
    </row>
    <row r="36139" spans="10:10" x14ac:dyDescent="0.3">
      <c r="J36139"/>
    </row>
    <row r="36140" spans="10:10" x14ac:dyDescent="0.3">
      <c r="J36140"/>
    </row>
    <row r="36141" spans="10:10" x14ac:dyDescent="0.3">
      <c r="J36141"/>
    </row>
    <row r="36142" spans="10:10" x14ac:dyDescent="0.3">
      <c r="J36142"/>
    </row>
    <row r="36143" spans="10:10" x14ac:dyDescent="0.3">
      <c r="J36143"/>
    </row>
    <row r="36144" spans="10:10" x14ac:dyDescent="0.3">
      <c r="J36144"/>
    </row>
    <row r="36145" spans="10:10" x14ac:dyDescent="0.3">
      <c r="J36145"/>
    </row>
    <row r="36146" spans="10:10" x14ac:dyDescent="0.3">
      <c r="J36146"/>
    </row>
    <row r="36147" spans="10:10" x14ac:dyDescent="0.3">
      <c r="J36147"/>
    </row>
    <row r="36148" spans="10:10" x14ac:dyDescent="0.3">
      <c r="J36148"/>
    </row>
    <row r="36149" spans="10:10" x14ac:dyDescent="0.3">
      <c r="J36149"/>
    </row>
    <row r="36150" spans="10:10" x14ac:dyDescent="0.3">
      <c r="J36150"/>
    </row>
    <row r="36151" spans="10:10" x14ac:dyDescent="0.3">
      <c r="J36151"/>
    </row>
    <row r="36152" spans="10:10" x14ac:dyDescent="0.3">
      <c r="J36152"/>
    </row>
    <row r="36153" spans="10:10" x14ac:dyDescent="0.3">
      <c r="J36153"/>
    </row>
    <row r="36154" spans="10:10" x14ac:dyDescent="0.3">
      <c r="J36154"/>
    </row>
    <row r="36155" spans="10:10" x14ac:dyDescent="0.3">
      <c r="J36155"/>
    </row>
    <row r="36156" spans="10:10" x14ac:dyDescent="0.3">
      <c r="J36156"/>
    </row>
    <row r="36157" spans="10:10" x14ac:dyDescent="0.3">
      <c r="J36157"/>
    </row>
    <row r="36158" spans="10:10" x14ac:dyDescent="0.3">
      <c r="J36158"/>
    </row>
    <row r="36159" spans="10:10" x14ac:dyDescent="0.3">
      <c r="J36159"/>
    </row>
    <row r="36160" spans="10:10" x14ac:dyDescent="0.3">
      <c r="J36160"/>
    </row>
    <row r="36161" spans="10:10" x14ac:dyDescent="0.3">
      <c r="J36161"/>
    </row>
    <row r="36162" spans="10:10" x14ac:dyDescent="0.3">
      <c r="J36162"/>
    </row>
    <row r="36163" spans="10:10" x14ac:dyDescent="0.3">
      <c r="J36163"/>
    </row>
    <row r="36164" spans="10:10" x14ac:dyDescent="0.3">
      <c r="J36164"/>
    </row>
    <row r="36165" spans="10:10" x14ac:dyDescent="0.3">
      <c r="J36165"/>
    </row>
    <row r="36166" spans="10:10" x14ac:dyDescent="0.3">
      <c r="J36166"/>
    </row>
    <row r="36167" spans="10:10" x14ac:dyDescent="0.3">
      <c r="J36167"/>
    </row>
    <row r="36168" spans="10:10" x14ac:dyDescent="0.3">
      <c r="J36168"/>
    </row>
    <row r="36169" spans="10:10" x14ac:dyDescent="0.3">
      <c r="J36169"/>
    </row>
    <row r="36170" spans="10:10" x14ac:dyDescent="0.3">
      <c r="J36170"/>
    </row>
    <row r="36171" spans="10:10" x14ac:dyDescent="0.3">
      <c r="J36171"/>
    </row>
    <row r="36172" spans="10:10" x14ac:dyDescent="0.3">
      <c r="J36172"/>
    </row>
    <row r="36173" spans="10:10" x14ac:dyDescent="0.3">
      <c r="J36173"/>
    </row>
    <row r="36174" spans="10:10" x14ac:dyDescent="0.3">
      <c r="J36174"/>
    </row>
    <row r="36175" spans="10:10" x14ac:dyDescent="0.3">
      <c r="J36175"/>
    </row>
    <row r="36176" spans="10:10" x14ac:dyDescent="0.3">
      <c r="J36176"/>
    </row>
    <row r="36177" spans="10:10" x14ac:dyDescent="0.3">
      <c r="J36177"/>
    </row>
    <row r="36178" spans="10:10" x14ac:dyDescent="0.3">
      <c r="J36178"/>
    </row>
    <row r="36179" spans="10:10" x14ac:dyDescent="0.3">
      <c r="J36179"/>
    </row>
    <row r="36180" spans="10:10" x14ac:dyDescent="0.3">
      <c r="J36180"/>
    </row>
    <row r="36181" spans="10:10" x14ac:dyDescent="0.3">
      <c r="J36181"/>
    </row>
    <row r="36182" spans="10:10" x14ac:dyDescent="0.3">
      <c r="J36182"/>
    </row>
    <row r="36183" spans="10:10" x14ac:dyDescent="0.3">
      <c r="J36183"/>
    </row>
    <row r="36184" spans="10:10" x14ac:dyDescent="0.3">
      <c r="J36184"/>
    </row>
    <row r="36185" spans="10:10" x14ac:dyDescent="0.3">
      <c r="J36185"/>
    </row>
    <row r="36186" spans="10:10" x14ac:dyDescent="0.3">
      <c r="J36186"/>
    </row>
    <row r="36187" spans="10:10" x14ac:dyDescent="0.3">
      <c r="J36187"/>
    </row>
    <row r="36188" spans="10:10" x14ac:dyDescent="0.3">
      <c r="J36188"/>
    </row>
    <row r="36189" spans="10:10" x14ac:dyDescent="0.3">
      <c r="J36189"/>
    </row>
    <row r="36190" spans="10:10" x14ac:dyDescent="0.3">
      <c r="J36190"/>
    </row>
    <row r="36191" spans="10:10" x14ac:dyDescent="0.3">
      <c r="J36191"/>
    </row>
    <row r="36192" spans="10:10" x14ac:dyDescent="0.3">
      <c r="J36192"/>
    </row>
    <row r="36193" spans="10:10" x14ac:dyDescent="0.3">
      <c r="J36193"/>
    </row>
    <row r="36194" spans="10:10" x14ac:dyDescent="0.3">
      <c r="J36194"/>
    </row>
    <row r="36195" spans="10:10" x14ac:dyDescent="0.3">
      <c r="J36195"/>
    </row>
    <row r="36196" spans="10:10" x14ac:dyDescent="0.3">
      <c r="J36196"/>
    </row>
    <row r="36197" spans="10:10" x14ac:dyDescent="0.3">
      <c r="J36197"/>
    </row>
    <row r="36198" spans="10:10" x14ac:dyDescent="0.3">
      <c r="J36198"/>
    </row>
    <row r="36199" spans="10:10" x14ac:dyDescent="0.3">
      <c r="J36199"/>
    </row>
    <row r="36200" spans="10:10" x14ac:dyDescent="0.3">
      <c r="J36200"/>
    </row>
    <row r="36201" spans="10:10" x14ac:dyDescent="0.3">
      <c r="J36201"/>
    </row>
    <row r="36202" spans="10:10" x14ac:dyDescent="0.3">
      <c r="J36202"/>
    </row>
    <row r="36203" spans="10:10" x14ac:dyDescent="0.3">
      <c r="J36203"/>
    </row>
    <row r="36204" spans="10:10" x14ac:dyDescent="0.3">
      <c r="J36204"/>
    </row>
    <row r="36205" spans="10:10" x14ac:dyDescent="0.3">
      <c r="J36205"/>
    </row>
    <row r="36206" spans="10:10" x14ac:dyDescent="0.3">
      <c r="J36206"/>
    </row>
    <row r="36207" spans="10:10" x14ac:dyDescent="0.3">
      <c r="J36207"/>
    </row>
    <row r="36208" spans="10:10" x14ac:dyDescent="0.3">
      <c r="J36208"/>
    </row>
    <row r="36209" spans="10:10" x14ac:dyDescent="0.3">
      <c r="J36209"/>
    </row>
    <row r="36210" spans="10:10" x14ac:dyDescent="0.3">
      <c r="J36210"/>
    </row>
    <row r="36211" spans="10:10" x14ac:dyDescent="0.3">
      <c r="J36211"/>
    </row>
    <row r="36212" spans="10:10" x14ac:dyDescent="0.3">
      <c r="J36212"/>
    </row>
    <row r="36213" spans="10:10" x14ac:dyDescent="0.3">
      <c r="J36213"/>
    </row>
    <row r="36214" spans="10:10" x14ac:dyDescent="0.3">
      <c r="J36214"/>
    </row>
    <row r="36215" spans="10:10" x14ac:dyDescent="0.3">
      <c r="J36215"/>
    </row>
    <row r="36216" spans="10:10" x14ac:dyDescent="0.3">
      <c r="J36216"/>
    </row>
    <row r="36217" spans="10:10" x14ac:dyDescent="0.3">
      <c r="J36217"/>
    </row>
    <row r="36218" spans="10:10" x14ac:dyDescent="0.3">
      <c r="J36218"/>
    </row>
    <row r="36219" spans="10:10" x14ac:dyDescent="0.3">
      <c r="J36219"/>
    </row>
    <row r="36220" spans="10:10" x14ac:dyDescent="0.3">
      <c r="J36220"/>
    </row>
    <row r="36221" spans="10:10" x14ac:dyDescent="0.3">
      <c r="J36221"/>
    </row>
    <row r="36222" spans="10:10" x14ac:dyDescent="0.3">
      <c r="J36222"/>
    </row>
    <row r="36223" spans="10:10" x14ac:dyDescent="0.3">
      <c r="J36223"/>
    </row>
    <row r="36224" spans="10:10" x14ac:dyDescent="0.3">
      <c r="J36224"/>
    </row>
    <row r="36225" spans="10:10" x14ac:dyDescent="0.3">
      <c r="J36225"/>
    </row>
    <row r="36226" spans="10:10" x14ac:dyDescent="0.3">
      <c r="J36226"/>
    </row>
    <row r="36227" spans="10:10" x14ac:dyDescent="0.3">
      <c r="J36227"/>
    </row>
    <row r="36228" spans="10:10" x14ac:dyDescent="0.3">
      <c r="J36228"/>
    </row>
    <row r="36229" spans="10:10" x14ac:dyDescent="0.3">
      <c r="J36229"/>
    </row>
    <row r="36230" spans="10:10" x14ac:dyDescent="0.3">
      <c r="J36230"/>
    </row>
    <row r="36231" spans="10:10" x14ac:dyDescent="0.3">
      <c r="J36231"/>
    </row>
    <row r="36232" spans="10:10" x14ac:dyDescent="0.3">
      <c r="J36232"/>
    </row>
    <row r="36233" spans="10:10" x14ac:dyDescent="0.3">
      <c r="J36233"/>
    </row>
    <row r="36234" spans="10:10" x14ac:dyDescent="0.3">
      <c r="J36234"/>
    </row>
    <row r="36235" spans="10:10" x14ac:dyDescent="0.3">
      <c r="J36235"/>
    </row>
    <row r="36236" spans="10:10" x14ac:dyDescent="0.3">
      <c r="J36236"/>
    </row>
    <row r="36237" spans="10:10" x14ac:dyDescent="0.3">
      <c r="J36237"/>
    </row>
    <row r="36238" spans="10:10" x14ac:dyDescent="0.3">
      <c r="J36238"/>
    </row>
    <row r="36239" spans="10:10" x14ac:dyDescent="0.3">
      <c r="J36239"/>
    </row>
    <row r="36240" spans="10:10" x14ac:dyDescent="0.3">
      <c r="J36240"/>
    </row>
    <row r="36241" spans="10:10" x14ac:dyDescent="0.3">
      <c r="J36241"/>
    </row>
    <row r="36242" spans="10:10" x14ac:dyDescent="0.3">
      <c r="J36242"/>
    </row>
    <row r="36243" spans="10:10" x14ac:dyDescent="0.3">
      <c r="J36243"/>
    </row>
    <row r="36244" spans="10:10" x14ac:dyDescent="0.3">
      <c r="J36244"/>
    </row>
    <row r="36245" spans="10:10" x14ac:dyDescent="0.3">
      <c r="J36245"/>
    </row>
    <row r="36246" spans="10:10" x14ac:dyDescent="0.3">
      <c r="J36246"/>
    </row>
    <row r="36247" spans="10:10" x14ac:dyDescent="0.3">
      <c r="J36247"/>
    </row>
    <row r="36248" spans="10:10" x14ac:dyDescent="0.3">
      <c r="J36248"/>
    </row>
    <row r="36249" spans="10:10" x14ac:dyDescent="0.3">
      <c r="J36249"/>
    </row>
    <row r="36250" spans="10:10" x14ac:dyDescent="0.3">
      <c r="J36250"/>
    </row>
    <row r="36251" spans="10:10" x14ac:dyDescent="0.3">
      <c r="J36251"/>
    </row>
    <row r="36252" spans="10:10" x14ac:dyDescent="0.3">
      <c r="J36252"/>
    </row>
    <row r="36253" spans="10:10" x14ac:dyDescent="0.3">
      <c r="J36253"/>
    </row>
    <row r="36254" spans="10:10" x14ac:dyDescent="0.3">
      <c r="J36254"/>
    </row>
    <row r="36255" spans="10:10" x14ac:dyDescent="0.3">
      <c r="J36255"/>
    </row>
    <row r="36256" spans="10:10" x14ac:dyDescent="0.3">
      <c r="J36256"/>
    </row>
    <row r="36257" spans="10:10" x14ac:dyDescent="0.3">
      <c r="J36257"/>
    </row>
    <row r="36258" spans="10:10" x14ac:dyDescent="0.3">
      <c r="J36258"/>
    </row>
    <row r="36259" spans="10:10" x14ac:dyDescent="0.3">
      <c r="J36259"/>
    </row>
    <row r="36260" spans="10:10" x14ac:dyDescent="0.3">
      <c r="J36260"/>
    </row>
    <row r="36261" spans="10:10" x14ac:dyDescent="0.3">
      <c r="J36261"/>
    </row>
    <row r="36262" spans="10:10" x14ac:dyDescent="0.3">
      <c r="J36262"/>
    </row>
    <row r="36263" spans="10:10" x14ac:dyDescent="0.3">
      <c r="J36263"/>
    </row>
    <row r="36264" spans="10:10" x14ac:dyDescent="0.3">
      <c r="J36264"/>
    </row>
    <row r="36265" spans="10:10" x14ac:dyDescent="0.3">
      <c r="J36265"/>
    </row>
    <row r="36266" spans="10:10" x14ac:dyDescent="0.3">
      <c r="J36266"/>
    </row>
    <row r="36267" spans="10:10" x14ac:dyDescent="0.3">
      <c r="J36267"/>
    </row>
    <row r="36268" spans="10:10" x14ac:dyDescent="0.3">
      <c r="J36268"/>
    </row>
    <row r="36269" spans="10:10" x14ac:dyDescent="0.3">
      <c r="J36269"/>
    </row>
    <row r="36270" spans="10:10" x14ac:dyDescent="0.3">
      <c r="J36270"/>
    </row>
    <row r="36271" spans="10:10" x14ac:dyDescent="0.3">
      <c r="J36271"/>
    </row>
    <row r="36272" spans="10:10" x14ac:dyDescent="0.3">
      <c r="J36272"/>
    </row>
    <row r="36273" spans="10:10" x14ac:dyDescent="0.3">
      <c r="J36273"/>
    </row>
    <row r="36274" spans="10:10" x14ac:dyDescent="0.3">
      <c r="J36274"/>
    </row>
    <row r="36275" spans="10:10" x14ac:dyDescent="0.3">
      <c r="J36275"/>
    </row>
    <row r="36276" spans="10:10" x14ac:dyDescent="0.3">
      <c r="J36276"/>
    </row>
    <row r="36277" spans="10:10" x14ac:dyDescent="0.3">
      <c r="J36277"/>
    </row>
    <row r="36278" spans="10:10" x14ac:dyDescent="0.3">
      <c r="J36278"/>
    </row>
    <row r="36279" spans="10:10" x14ac:dyDescent="0.3">
      <c r="J36279"/>
    </row>
    <row r="36280" spans="10:10" x14ac:dyDescent="0.3">
      <c r="J36280"/>
    </row>
    <row r="36281" spans="10:10" x14ac:dyDescent="0.3">
      <c r="J36281"/>
    </row>
    <row r="36282" spans="10:10" x14ac:dyDescent="0.3">
      <c r="J36282"/>
    </row>
    <row r="36283" spans="10:10" x14ac:dyDescent="0.3">
      <c r="J36283"/>
    </row>
    <row r="36284" spans="10:10" x14ac:dyDescent="0.3">
      <c r="J36284"/>
    </row>
    <row r="36285" spans="10:10" x14ac:dyDescent="0.3">
      <c r="J36285"/>
    </row>
    <row r="36286" spans="10:10" x14ac:dyDescent="0.3">
      <c r="J36286"/>
    </row>
    <row r="36287" spans="10:10" x14ac:dyDescent="0.3">
      <c r="J36287"/>
    </row>
    <row r="36288" spans="10:10" x14ac:dyDescent="0.3">
      <c r="J36288"/>
    </row>
    <row r="36289" spans="10:10" x14ac:dyDescent="0.3">
      <c r="J36289"/>
    </row>
    <row r="36290" spans="10:10" x14ac:dyDescent="0.3">
      <c r="J36290"/>
    </row>
    <row r="36291" spans="10:10" x14ac:dyDescent="0.3">
      <c r="J36291"/>
    </row>
    <row r="36292" spans="10:10" x14ac:dyDescent="0.3">
      <c r="J36292"/>
    </row>
    <row r="36293" spans="10:10" x14ac:dyDescent="0.3">
      <c r="J36293"/>
    </row>
    <row r="36294" spans="10:10" x14ac:dyDescent="0.3">
      <c r="J36294"/>
    </row>
    <row r="36295" spans="10:10" x14ac:dyDescent="0.3">
      <c r="J36295"/>
    </row>
    <row r="36296" spans="10:10" x14ac:dyDescent="0.3">
      <c r="J36296"/>
    </row>
    <row r="36297" spans="10:10" x14ac:dyDescent="0.3">
      <c r="J36297"/>
    </row>
    <row r="36298" spans="10:10" x14ac:dyDescent="0.3">
      <c r="J36298"/>
    </row>
    <row r="36299" spans="10:10" x14ac:dyDescent="0.3">
      <c r="J36299"/>
    </row>
    <row r="36300" spans="10:10" x14ac:dyDescent="0.3">
      <c r="J36300"/>
    </row>
    <row r="36301" spans="10:10" x14ac:dyDescent="0.3">
      <c r="J36301"/>
    </row>
    <row r="36302" spans="10:10" x14ac:dyDescent="0.3">
      <c r="J36302"/>
    </row>
    <row r="36303" spans="10:10" x14ac:dyDescent="0.3">
      <c r="J36303"/>
    </row>
    <row r="36304" spans="10:10" x14ac:dyDescent="0.3">
      <c r="J36304"/>
    </row>
    <row r="36305" spans="10:10" x14ac:dyDescent="0.3">
      <c r="J36305"/>
    </row>
    <row r="36306" spans="10:10" x14ac:dyDescent="0.3">
      <c r="J36306"/>
    </row>
    <row r="36307" spans="10:10" x14ac:dyDescent="0.3">
      <c r="J36307"/>
    </row>
    <row r="36308" spans="10:10" x14ac:dyDescent="0.3">
      <c r="J36308"/>
    </row>
    <row r="36309" spans="10:10" x14ac:dyDescent="0.3">
      <c r="J36309"/>
    </row>
    <row r="36310" spans="10:10" x14ac:dyDescent="0.3">
      <c r="J36310"/>
    </row>
    <row r="36311" spans="10:10" x14ac:dyDescent="0.3">
      <c r="J36311"/>
    </row>
    <row r="36312" spans="10:10" x14ac:dyDescent="0.3">
      <c r="J36312"/>
    </row>
    <row r="36313" spans="10:10" x14ac:dyDescent="0.3">
      <c r="J36313"/>
    </row>
    <row r="36314" spans="10:10" x14ac:dyDescent="0.3">
      <c r="J36314"/>
    </row>
    <row r="36315" spans="10:10" x14ac:dyDescent="0.3">
      <c r="J36315"/>
    </row>
    <row r="36316" spans="10:10" x14ac:dyDescent="0.3">
      <c r="J36316"/>
    </row>
    <row r="36317" spans="10:10" x14ac:dyDescent="0.3">
      <c r="J36317"/>
    </row>
    <row r="36318" spans="10:10" x14ac:dyDescent="0.3">
      <c r="J36318"/>
    </row>
    <row r="36319" spans="10:10" x14ac:dyDescent="0.3">
      <c r="J36319"/>
    </row>
    <row r="36320" spans="10:10" x14ac:dyDescent="0.3">
      <c r="J36320"/>
    </row>
    <row r="36321" spans="10:10" x14ac:dyDescent="0.3">
      <c r="J36321"/>
    </row>
    <row r="36322" spans="10:10" x14ac:dyDescent="0.3">
      <c r="J36322"/>
    </row>
    <row r="36323" spans="10:10" x14ac:dyDescent="0.3">
      <c r="J36323"/>
    </row>
    <row r="36324" spans="10:10" x14ac:dyDescent="0.3">
      <c r="J36324"/>
    </row>
    <row r="36325" spans="10:10" x14ac:dyDescent="0.3">
      <c r="J36325"/>
    </row>
    <row r="36326" spans="10:10" x14ac:dyDescent="0.3">
      <c r="J36326"/>
    </row>
    <row r="36327" spans="10:10" x14ac:dyDescent="0.3">
      <c r="J36327"/>
    </row>
    <row r="36328" spans="10:10" x14ac:dyDescent="0.3">
      <c r="J36328"/>
    </row>
    <row r="36329" spans="10:10" x14ac:dyDescent="0.3">
      <c r="J36329"/>
    </row>
    <row r="36330" spans="10:10" x14ac:dyDescent="0.3">
      <c r="J36330"/>
    </row>
    <row r="36331" spans="10:10" x14ac:dyDescent="0.3">
      <c r="J36331"/>
    </row>
    <row r="36332" spans="10:10" x14ac:dyDescent="0.3">
      <c r="J36332"/>
    </row>
    <row r="36333" spans="10:10" x14ac:dyDescent="0.3">
      <c r="J36333"/>
    </row>
    <row r="36334" spans="10:10" x14ac:dyDescent="0.3">
      <c r="J36334"/>
    </row>
    <row r="36335" spans="10:10" x14ac:dyDescent="0.3">
      <c r="J36335"/>
    </row>
    <row r="36336" spans="10:10" x14ac:dyDescent="0.3">
      <c r="J36336"/>
    </row>
    <row r="36337" spans="10:10" x14ac:dyDescent="0.3">
      <c r="J36337"/>
    </row>
    <row r="36338" spans="10:10" x14ac:dyDescent="0.3">
      <c r="J36338"/>
    </row>
    <row r="36339" spans="10:10" x14ac:dyDescent="0.3">
      <c r="J36339"/>
    </row>
    <row r="36340" spans="10:10" x14ac:dyDescent="0.3">
      <c r="J36340"/>
    </row>
    <row r="36341" spans="10:10" x14ac:dyDescent="0.3">
      <c r="J36341"/>
    </row>
    <row r="36342" spans="10:10" x14ac:dyDescent="0.3">
      <c r="J36342"/>
    </row>
    <row r="36343" spans="10:10" x14ac:dyDescent="0.3">
      <c r="J36343"/>
    </row>
    <row r="36344" spans="10:10" x14ac:dyDescent="0.3">
      <c r="J36344"/>
    </row>
    <row r="36345" spans="10:10" x14ac:dyDescent="0.3">
      <c r="J36345"/>
    </row>
    <row r="36346" spans="10:10" x14ac:dyDescent="0.3">
      <c r="J36346"/>
    </row>
    <row r="36347" spans="10:10" x14ac:dyDescent="0.3">
      <c r="J36347"/>
    </row>
    <row r="36348" spans="10:10" x14ac:dyDescent="0.3">
      <c r="J36348"/>
    </row>
    <row r="36349" spans="10:10" x14ac:dyDescent="0.3">
      <c r="J36349"/>
    </row>
    <row r="36350" spans="10:10" x14ac:dyDescent="0.3">
      <c r="J36350"/>
    </row>
    <row r="36351" spans="10:10" x14ac:dyDescent="0.3">
      <c r="J36351"/>
    </row>
    <row r="36352" spans="10:10" x14ac:dyDescent="0.3">
      <c r="J36352"/>
    </row>
    <row r="36353" spans="10:10" x14ac:dyDescent="0.3">
      <c r="J36353"/>
    </row>
    <row r="36354" spans="10:10" x14ac:dyDescent="0.3">
      <c r="J36354"/>
    </row>
    <row r="36355" spans="10:10" x14ac:dyDescent="0.3">
      <c r="J36355"/>
    </row>
    <row r="36356" spans="10:10" x14ac:dyDescent="0.3">
      <c r="J36356"/>
    </row>
    <row r="36357" spans="10:10" x14ac:dyDescent="0.3">
      <c r="J36357"/>
    </row>
    <row r="36358" spans="10:10" x14ac:dyDescent="0.3">
      <c r="J36358"/>
    </row>
    <row r="36359" spans="10:10" x14ac:dyDescent="0.3">
      <c r="J36359"/>
    </row>
    <row r="36360" spans="10:10" x14ac:dyDescent="0.3">
      <c r="J36360"/>
    </row>
    <row r="36361" spans="10:10" x14ac:dyDescent="0.3">
      <c r="J36361"/>
    </row>
    <row r="36362" spans="10:10" x14ac:dyDescent="0.3">
      <c r="J36362"/>
    </row>
    <row r="36363" spans="10:10" x14ac:dyDescent="0.3">
      <c r="J36363"/>
    </row>
    <row r="36364" spans="10:10" x14ac:dyDescent="0.3">
      <c r="J36364"/>
    </row>
    <row r="36365" spans="10:10" x14ac:dyDescent="0.3">
      <c r="J36365"/>
    </row>
    <row r="36366" spans="10:10" x14ac:dyDescent="0.3">
      <c r="J36366"/>
    </row>
    <row r="36367" spans="10:10" x14ac:dyDescent="0.3">
      <c r="J36367"/>
    </row>
    <row r="36368" spans="10:10" x14ac:dyDescent="0.3">
      <c r="J36368"/>
    </row>
    <row r="36369" spans="10:10" x14ac:dyDescent="0.3">
      <c r="J36369"/>
    </row>
    <row r="36370" spans="10:10" x14ac:dyDescent="0.3">
      <c r="J36370"/>
    </row>
    <row r="36371" spans="10:10" x14ac:dyDescent="0.3">
      <c r="J36371"/>
    </row>
    <row r="36372" spans="10:10" x14ac:dyDescent="0.3">
      <c r="J36372"/>
    </row>
    <row r="36373" spans="10:10" x14ac:dyDescent="0.3">
      <c r="J36373"/>
    </row>
    <row r="36374" spans="10:10" x14ac:dyDescent="0.3">
      <c r="J36374"/>
    </row>
    <row r="36375" spans="10:10" x14ac:dyDescent="0.3">
      <c r="J36375"/>
    </row>
    <row r="36376" spans="10:10" x14ac:dyDescent="0.3">
      <c r="J36376"/>
    </row>
    <row r="36377" spans="10:10" x14ac:dyDescent="0.3">
      <c r="J36377"/>
    </row>
    <row r="36378" spans="10:10" x14ac:dyDescent="0.3">
      <c r="J36378"/>
    </row>
    <row r="36379" spans="10:10" x14ac:dyDescent="0.3">
      <c r="J36379"/>
    </row>
    <row r="36380" spans="10:10" x14ac:dyDescent="0.3">
      <c r="J36380"/>
    </row>
    <row r="36381" spans="10:10" x14ac:dyDescent="0.3">
      <c r="J36381"/>
    </row>
    <row r="36382" spans="10:10" x14ac:dyDescent="0.3">
      <c r="J36382"/>
    </row>
    <row r="36383" spans="10:10" x14ac:dyDescent="0.3">
      <c r="J36383"/>
    </row>
    <row r="36384" spans="10:10" x14ac:dyDescent="0.3">
      <c r="J36384"/>
    </row>
    <row r="36385" spans="10:10" x14ac:dyDescent="0.3">
      <c r="J36385"/>
    </row>
    <row r="36386" spans="10:10" x14ac:dyDescent="0.3">
      <c r="J36386"/>
    </row>
    <row r="36387" spans="10:10" x14ac:dyDescent="0.3">
      <c r="J36387"/>
    </row>
    <row r="36388" spans="10:10" x14ac:dyDescent="0.3">
      <c r="J36388"/>
    </row>
    <row r="36389" spans="10:10" x14ac:dyDescent="0.3">
      <c r="J36389"/>
    </row>
    <row r="36390" spans="10:10" x14ac:dyDescent="0.3">
      <c r="J36390"/>
    </row>
    <row r="36391" spans="10:10" x14ac:dyDescent="0.3">
      <c r="J36391"/>
    </row>
    <row r="36392" spans="10:10" x14ac:dyDescent="0.3">
      <c r="J36392"/>
    </row>
    <row r="36393" spans="10:10" x14ac:dyDescent="0.3">
      <c r="J36393"/>
    </row>
    <row r="36394" spans="10:10" x14ac:dyDescent="0.3">
      <c r="J36394"/>
    </row>
    <row r="36395" spans="10:10" x14ac:dyDescent="0.3">
      <c r="J36395"/>
    </row>
    <row r="36396" spans="10:10" x14ac:dyDescent="0.3">
      <c r="J36396"/>
    </row>
    <row r="36397" spans="10:10" x14ac:dyDescent="0.3">
      <c r="J36397"/>
    </row>
    <row r="36398" spans="10:10" x14ac:dyDescent="0.3">
      <c r="J36398"/>
    </row>
    <row r="36399" spans="10:10" x14ac:dyDescent="0.3">
      <c r="J36399"/>
    </row>
    <row r="36400" spans="10:10" x14ac:dyDescent="0.3">
      <c r="J36400"/>
    </row>
    <row r="36401" spans="10:10" x14ac:dyDescent="0.3">
      <c r="J36401"/>
    </row>
    <row r="36402" spans="10:10" x14ac:dyDescent="0.3">
      <c r="J36402"/>
    </row>
    <row r="36403" spans="10:10" x14ac:dyDescent="0.3">
      <c r="J36403"/>
    </row>
    <row r="36404" spans="10:10" x14ac:dyDescent="0.3">
      <c r="J36404"/>
    </row>
    <row r="36405" spans="10:10" x14ac:dyDescent="0.3">
      <c r="J36405"/>
    </row>
    <row r="36406" spans="10:10" x14ac:dyDescent="0.3">
      <c r="J36406"/>
    </row>
    <row r="36407" spans="10:10" x14ac:dyDescent="0.3">
      <c r="J36407"/>
    </row>
    <row r="36408" spans="10:10" x14ac:dyDescent="0.3">
      <c r="J36408"/>
    </row>
    <row r="36409" spans="10:10" x14ac:dyDescent="0.3">
      <c r="J36409"/>
    </row>
    <row r="36410" spans="10:10" x14ac:dyDescent="0.3">
      <c r="J36410"/>
    </row>
    <row r="36411" spans="10:10" x14ac:dyDescent="0.3">
      <c r="J36411"/>
    </row>
    <row r="36412" spans="10:10" x14ac:dyDescent="0.3">
      <c r="J36412"/>
    </row>
    <row r="36413" spans="10:10" x14ac:dyDescent="0.3">
      <c r="J36413"/>
    </row>
    <row r="36414" spans="10:10" x14ac:dyDescent="0.3">
      <c r="J36414"/>
    </row>
    <row r="36415" spans="10:10" x14ac:dyDescent="0.3">
      <c r="J36415"/>
    </row>
    <row r="36416" spans="10:10" x14ac:dyDescent="0.3">
      <c r="J36416"/>
    </row>
    <row r="36417" spans="10:10" x14ac:dyDescent="0.3">
      <c r="J36417"/>
    </row>
    <row r="36418" spans="10:10" x14ac:dyDescent="0.3">
      <c r="J36418"/>
    </row>
    <row r="36419" spans="10:10" x14ac:dyDescent="0.3">
      <c r="J36419"/>
    </row>
    <row r="36420" spans="10:10" x14ac:dyDescent="0.3">
      <c r="J36420"/>
    </row>
    <row r="36421" spans="10:10" x14ac:dyDescent="0.3">
      <c r="J36421"/>
    </row>
    <row r="36422" spans="10:10" x14ac:dyDescent="0.3">
      <c r="J36422"/>
    </row>
    <row r="36423" spans="10:10" x14ac:dyDescent="0.3">
      <c r="J36423"/>
    </row>
    <row r="36424" spans="10:10" x14ac:dyDescent="0.3">
      <c r="J36424"/>
    </row>
    <row r="36425" spans="10:10" x14ac:dyDescent="0.3">
      <c r="J36425"/>
    </row>
    <row r="36426" spans="10:10" x14ac:dyDescent="0.3">
      <c r="J36426"/>
    </row>
    <row r="36427" spans="10:10" x14ac:dyDescent="0.3">
      <c r="J36427"/>
    </row>
    <row r="36428" spans="10:10" x14ac:dyDescent="0.3">
      <c r="J36428"/>
    </row>
    <row r="36429" spans="10:10" x14ac:dyDescent="0.3">
      <c r="J36429"/>
    </row>
    <row r="36430" spans="10:10" x14ac:dyDescent="0.3">
      <c r="J36430"/>
    </row>
    <row r="36431" spans="10:10" x14ac:dyDescent="0.3">
      <c r="J36431"/>
    </row>
    <row r="36432" spans="10:10" x14ac:dyDescent="0.3">
      <c r="J36432"/>
    </row>
    <row r="36433" spans="10:10" x14ac:dyDescent="0.3">
      <c r="J36433"/>
    </row>
    <row r="36434" spans="10:10" x14ac:dyDescent="0.3">
      <c r="J36434"/>
    </row>
    <row r="36435" spans="10:10" x14ac:dyDescent="0.3">
      <c r="J36435"/>
    </row>
    <row r="36436" spans="10:10" x14ac:dyDescent="0.3">
      <c r="J36436"/>
    </row>
    <row r="36437" spans="10:10" x14ac:dyDescent="0.3">
      <c r="J36437"/>
    </row>
    <row r="36438" spans="10:10" x14ac:dyDescent="0.3">
      <c r="J36438"/>
    </row>
    <row r="36439" spans="10:10" x14ac:dyDescent="0.3">
      <c r="J36439"/>
    </row>
    <row r="36440" spans="10:10" x14ac:dyDescent="0.3">
      <c r="J36440"/>
    </row>
    <row r="36441" spans="10:10" x14ac:dyDescent="0.3">
      <c r="J36441"/>
    </row>
    <row r="36442" spans="10:10" x14ac:dyDescent="0.3">
      <c r="J36442"/>
    </row>
    <row r="36443" spans="10:10" x14ac:dyDescent="0.3">
      <c r="J36443"/>
    </row>
    <row r="36444" spans="10:10" x14ac:dyDescent="0.3">
      <c r="J36444"/>
    </row>
    <row r="36445" spans="10:10" x14ac:dyDescent="0.3">
      <c r="J36445"/>
    </row>
    <row r="36446" spans="10:10" x14ac:dyDescent="0.3">
      <c r="J36446"/>
    </row>
    <row r="36447" spans="10:10" x14ac:dyDescent="0.3">
      <c r="J36447"/>
    </row>
    <row r="36448" spans="10:10" x14ac:dyDescent="0.3">
      <c r="J36448"/>
    </row>
    <row r="36449" spans="10:10" x14ac:dyDescent="0.3">
      <c r="J36449"/>
    </row>
    <row r="36450" spans="10:10" x14ac:dyDescent="0.3">
      <c r="J36450"/>
    </row>
    <row r="36451" spans="10:10" x14ac:dyDescent="0.3">
      <c r="J36451"/>
    </row>
    <row r="36452" spans="10:10" x14ac:dyDescent="0.3">
      <c r="J36452"/>
    </row>
    <row r="36453" spans="10:10" x14ac:dyDescent="0.3">
      <c r="J36453"/>
    </row>
    <row r="36454" spans="10:10" x14ac:dyDescent="0.3">
      <c r="J36454"/>
    </row>
    <row r="36455" spans="10:10" x14ac:dyDescent="0.3">
      <c r="J36455"/>
    </row>
    <row r="36456" spans="10:10" x14ac:dyDescent="0.3">
      <c r="J36456"/>
    </row>
    <row r="36457" spans="10:10" x14ac:dyDescent="0.3">
      <c r="J36457"/>
    </row>
    <row r="36458" spans="10:10" x14ac:dyDescent="0.3">
      <c r="J36458"/>
    </row>
    <row r="36459" spans="10:10" x14ac:dyDescent="0.3">
      <c r="J36459"/>
    </row>
    <row r="36460" spans="10:10" x14ac:dyDescent="0.3">
      <c r="J36460"/>
    </row>
    <row r="36461" spans="10:10" x14ac:dyDescent="0.3">
      <c r="J36461"/>
    </row>
    <row r="36462" spans="10:10" x14ac:dyDescent="0.3">
      <c r="J36462"/>
    </row>
    <row r="36463" spans="10:10" x14ac:dyDescent="0.3">
      <c r="J36463"/>
    </row>
    <row r="36464" spans="10:10" x14ac:dyDescent="0.3">
      <c r="J36464"/>
    </row>
    <row r="36465" spans="10:10" x14ac:dyDescent="0.3">
      <c r="J36465"/>
    </row>
    <row r="36466" spans="10:10" x14ac:dyDescent="0.3">
      <c r="J36466"/>
    </row>
    <row r="36467" spans="10:10" x14ac:dyDescent="0.3">
      <c r="J36467"/>
    </row>
    <row r="36468" spans="10:10" x14ac:dyDescent="0.3">
      <c r="J36468"/>
    </row>
    <row r="36469" spans="10:10" x14ac:dyDescent="0.3">
      <c r="J36469"/>
    </row>
    <row r="36470" spans="10:10" x14ac:dyDescent="0.3">
      <c r="J36470"/>
    </row>
    <row r="36471" spans="10:10" x14ac:dyDescent="0.3">
      <c r="J36471"/>
    </row>
    <row r="36472" spans="10:10" x14ac:dyDescent="0.3">
      <c r="J36472"/>
    </row>
    <row r="36473" spans="10:10" x14ac:dyDescent="0.3">
      <c r="J36473"/>
    </row>
    <row r="36474" spans="10:10" x14ac:dyDescent="0.3">
      <c r="J36474"/>
    </row>
    <row r="36475" spans="10:10" x14ac:dyDescent="0.3">
      <c r="J36475"/>
    </row>
    <row r="36476" spans="10:10" x14ac:dyDescent="0.3">
      <c r="J36476"/>
    </row>
    <row r="36477" spans="10:10" x14ac:dyDescent="0.3">
      <c r="J36477"/>
    </row>
    <row r="36478" spans="10:10" x14ac:dyDescent="0.3">
      <c r="J36478"/>
    </row>
    <row r="36479" spans="10:10" x14ac:dyDescent="0.3">
      <c r="J36479"/>
    </row>
    <row r="36480" spans="10:10" x14ac:dyDescent="0.3">
      <c r="J36480"/>
    </row>
    <row r="36481" spans="10:10" x14ac:dyDescent="0.3">
      <c r="J36481"/>
    </row>
    <row r="36482" spans="10:10" x14ac:dyDescent="0.3">
      <c r="J36482"/>
    </row>
    <row r="36483" spans="10:10" x14ac:dyDescent="0.3">
      <c r="J36483"/>
    </row>
    <row r="36484" spans="10:10" x14ac:dyDescent="0.3">
      <c r="J36484"/>
    </row>
    <row r="36485" spans="10:10" x14ac:dyDescent="0.3">
      <c r="J36485"/>
    </row>
    <row r="36486" spans="10:10" x14ac:dyDescent="0.3">
      <c r="J36486"/>
    </row>
    <row r="36487" spans="10:10" x14ac:dyDescent="0.3">
      <c r="J36487"/>
    </row>
    <row r="36488" spans="10:10" x14ac:dyDescent="0.3">
      <c r="J36488"/>
    </row>
    <row r="36489" spans="10:10" x14ac:dyDescent="0.3">
      <c r="J36489"/>
    </row>
    <row r="36490" spans="10:10" x14ac:dyDescent="0.3">
      <c r="J36490"/>
    </row>
    <row r="36491" spans="10:10" x14ac:dyDescent="0.3">
      <c r="J36491"/>
    </row>
    <row r="36492" spans="10:10" x14ac:dyDescent="0.3">
      <c r="J36492"/>
    </row>
    <row r="36493" spans="10:10" x14ac:dyDescent="0.3">
      <c r="J36493"/>
    </row>
    <row r="36494" spans="10:10" x14ac:dyDescent="0.3">
      <c r="J36494"/>
    </row>
    <row r="36495" spans="10:10" x14ac:dyDescent="0.3">
      <c r="J36495"/>
    </row>
    <row r="36496" spans="10:10" x14ac:dyDescent="0.3">
      <c r="J36496"/>
    </row>
    <row r="36497" spans="10:10" x14ac:dyDescent="0.3">
      <c r="J36497"/>
    </row>
    <row r="36498" spans="10:10" x14ac:dyDescent="0.3">
      <c r="J36498"/>
    </row>
    <row r="36499" spans="10:10" x14ac:dyDescent="0.3">
      <c r="J36499"/>
    </row>
    <row r="36500" spans="10:10" x14ac:dyDescent="0.3">
      <c r="J36500"/>
    </row>
    <row r="36501" spans="10:10" x14ac:dyDescent="0.3">
      <c r="J36501"/>
    </row>
    <row r="36502" spans="10:10" x14ac:dyDescent="0.3">
      <c r="J36502"/>
    </row>
    <row r="36503" spans="10:10" x14ac:dyDescent="0.3">
      <c r="J36503"/>
    </row>
    <row r="36504" spans="10:10" x14ac:dyDescent="0.3">
      <c r="J36504"/>
    </row>
    <row r="36505" spans="10:10" x14ac:dyDescent="0.3">
      <c r="J36505"/>
    </row>
    <row r="36506" spans="10:10" x14ac:dyDescent="0.3">
      <c r="J36506"/>
    </row>
    <row r="36507" spans="10:10" x14ac:dyDescent="0.3">
      <c r="J36507"/>
    </row>
    <row r="36508" spans="10:10" x14ac:dyDescent="0.3">
      <c r="J36508"/>
    </row>
    <row r="36509" spans="10:10" x14ac:dyDescent="0.3">
      <c r="J36509"/>
    </row>
    <row r="36510" spans="10:10" x14ac:dyDescent="0.3">
      <c r="J36510"/>
    </row>
    <row r="36511" spans="10:10" x14ac:dyDescent="0.3">
      <c r="J36511"/>
    </row>
    <row r="36512" spans="10:10" x14ac:dyDescent="0.3">
      <c r="J36512"/>
    </row>
    <row r="36513" spans="10:10" x14ac:dyDescent="0.3">
      <c r="J36513"/>
    </row>
    <row r="36514" spans="10:10" x14ac:dyDescent="0.3">
      <c r="J36514"/>
    </row>
    <row r="36515" spans="10:10" x14ac:dyDescent="0.3">
      <c r="J36515"/>
    </row>
    <row r="36516" spans="10:10" x14ac:dyDescent="0.3">
      <c r="J36516"/>
    </row>
    <row r="36517" spans="10:10" x14ac:dyDescent="0.3">
      <c r="J36517"/>
    </row>
    <row r="36518" spans="10:10" x14ac:dyDescent="0.3">
      <c r="J36518"/>
    </row>
    <row r="36519" spans="10:10" x14ac:dyDescent="0.3">
      <c r="J36519"/>
    </row>
    <row r="36520" spans="10:10" x14ac:dyDescent="0.3">
      <c r="J36520"/>
    </row>
    <row r="36521" spans="10:10" x14ac:dyDescent="0.3">
      <c r="J36521"/>
    </row>
    <row r="36522" spans="10:10" x14ac:dyDescent="0.3">
      <c r="J36522"/>
    </row>
    <row r="36523" spans="10:10" x14ac:dyDescent="0.3">
      <c r="J36523"/>
    </row>
    <row r="36524" spans="10:10" x14ac:dyDescent="0.3">
      <c r="J36524"/>
    </row>
    <row r="36525" spans="10:10" x14ac:dyDescent="0.3">
      <c r="J36525"/>
    </row>
    <row r="36526" spans="10:10" x14ac:dyDescent="0.3">
      <c r="J36526"/>
    </row>
    <row r="36527" spans="10:10" x14ac:dyDescent="0.3">
      <c r="J36527"/>
    </row>
    <row r="36528" spans="10:10" x14ac:dyDescent="0.3">
      <c r="J36528"/>
    </row>
    <row r="36529" spans="10:10" x14ac:dyDescent="0.3">
      <c r="J36529"/>
    </row>
    <row r="36530" spans="10:10" x14ac:dyDescent="0.3">
      <c r="J36530"/>
    </row>
    <row r="36531" spans="10:10" x14ac:dyDescent="0.3">
      <c r="J36531"/>
    </row>
    <row r="36532" spans="10:10" x14ac:dyDescent="0.3">
      <c r="J36532"/>
    </row>
    <row r="36533" spans="10:10" x14ac:dyDescent="0.3">
      <c r="J36533"/>
    </row>
    <row r="36534" spans="10:10" x14ac:dyDescent="0.3">
      <c r="J36534"/>
    </row>
    <row r="36535" spans="10:10" x14ac:dyDescent="0.3">
      <c r="J36535"/>
    </row>
    <row r="36536" spans="10:10" x14ac:dyDescent="0.3">
      <c r="J36536"/>
    </row>
    <row r="36537" spans="10:10" x14ac:dyDescent="0.3">
      <c r="J36537"/>
    </row>
    <row r="36538" spans="10:10" x14ac:dyDescent="0.3">
      <c r="J36538"/>
    </row>
    <row r="36539" spans="10:10" x14ac:dyDescent="0.3">
      <c r="J36539"/>
    </row>
    <row r="36540" spans="10:10" x14ac:dyDescent="0.3">
      <c r="J36540"/>
    </row>
    <row r="36541" spans="10:10" x14ac:dyDescent="0.3">
      <c r="J36541"/>
    </row>
    <row r="36542" spans="10:10" x14ac:dyDescent="0.3">
      <c r="J36542"/>
    </row>
    <row r="36543" spans="10:10" x14ac:dyDescent="0.3">
      <c r="J36543"/>
    </row>
    <row r="36544" spans="10:10" x14ac:dyDescent="0.3">
      <c r="J36544"/>
    </row>
    <row r="36545" spans="10:10" x14ac:dyDescent="0.3">
      <c r="J36545"/>
    </row>
    <row r="36546" spans="10:10" x14ac:dyDescent="0.3">
      <c r="J36546"/>
    </row>
    <row r="36547" spans="10:10" x14ac:dyDescent="0.3">
      <c r="J36547"/>
    </row>
    <row r="36548" spans="10:10" x14ac:dyDescent="0.3">
      <c r="J36548"/>
    </row>
    <row r="36549" spans="10:10" x14ac:dyDescent="0.3">
      <c r="J36549"/>
    </row>
    <row r="36550" spans="10:10" x14ac:dyDescent="0.3">
      <c r="J36550"/>
    </row>
    <row r="36551" spans="10:10" x14ac:dyDescent="0.3">
      <c r="J36551"/>
    </row>
    <row r="36552" spans="10:10" x14ac:dyDescent="0.3">
      <c r="J36552"/>
    </row>
    <row r="36553" spans="10:10" x14ac:dyDescent="0.3">
      <c r="J36553"/>
    </row>
    <row r="36554" spans="10:10" x14ac:dyDescent="0.3">
      <c r="J36554"/>
    </row>
    <row r="36555" spans="10:10" x14ac:dyDescent="0.3">
      <c r="J36555"/>
    </row>
    <row r="36556" spans="10:10" x14ac:dyDescent="0.3">
      <c r="J36556"/>
    </row>
    <row r="36557" spans="10:10" x14ac:dyDescent="0.3">
      <c r="J36557"/>
    </row>
    <row r="36558" spans="10:10" x14ac:dyDescent="0.3">
      <c r="J36558"/>
    </row>
    <row r="36559" spans="10:10" x14ac:dyDescent="0.3">
      <c r="J36559"/>
    </row>
    <row r="36560" spans="10:10" x14ac:dyDescent="0.3">
      <c r="J36560"/>
    </row>
    <row r="36561" spans="10:10" x14ac:dyDescent="0.3">
      <c r="J36561"/>
    </row>
    <row r="36562" spans="10:10" x14ac:dyDescent="0.3">
      <c r="J36562"/>
    </row>
    <row r="36563" spans="10:10" x14ac:dyDescent="0.3">
      <c r="J36563"/>
    </row>
    <row r="36564" spans="10:10" x14ac:dyDescent="0.3">
      <c r="J36564"/>
    </row>
    <row r="36565" spans="10:10" x14ac:dyDescent="0.3">
      <c r="J36565"/>
    </row>
    <row r="36566" spans="10:10" x14ac:dyDescent="0.3">
      <c r="J36566"/>
    </row>
    <row r="36567" spans="10:10" x14ac:dyDescent="0.3">
      <c r="J36567"/>
    </row>
    <row r="36568" spans="10:10" x14ac:dyDescent="0.3">
      <c r="J36568"/>
    </row>
    <row r="36569" spans="10:10" x14ac:dyDescent="0.3">
      <c r="J36569"/>
    </row>
    <row r="36570" spans="10:10" x14ac:dyDescent="0.3">
      <c r="J36570"/>
    </row>
    <row r="36571" spans="10:10" x14ac:dyDescent="0.3">
      <c r="J36571"/>
    </row>
    <row r="36572" spans="10:10" x14ac:dyDescent="0.3">
      <c r="J36572"/>
    </row>
    <row r="36573" spans="10:10" x14ac:dyDescent="0.3">
      <c r="J36573"/>
    </row>
    <row r="36574" spans="10:10" x14ac:dyDescent="0.3">
      <c r="J36574"/>
    </row>
    <row r="36575" spans="10:10" x14ac:dyDescent="0.3">
      <c r="J36575"/>
    </row>
    <row r="36576" spans="10:10" x14ac:dyDescent="0.3">
      <c r="J36576"/>
    </row>
    <row r="36577" spans="10:10" x14ac:dyDescent="0.3">
      <c r="J36577"/>
    </row>
    <row r="36578" spans="10:10" x14ac:dyDescent="0.3">
      <c r="J36578"/>
    </row>
    <row r="36579" spans="10:10" x14ac:dyDescent="0.3">
      <c r="J36579"/>
    </row>
    <row r="36580" spans="10:10" x14ac:dyDescent="0.3">
      <c r="J36580"/>
    </row>
    <row r="36581" spans="10:10" x14ac:dyDescent="0.3">
      <c r="J36581"/>
    </row>
    <row r="36582" spans="10:10" x14ac:dyDescent="0.3">
      <c r="J36582"/>
    </row>
    <row r="36583" spans="10:10" x14ac:dyDescent="0.3">
      <c r="J36583"/>
    </row>
    <row r="36584" spans="10:10" x14ac:dyDescent="0.3">
      <c r="J36584"/>
    </row>
    <row r="36585" spans="10:10" x14ac:dyDescent="0.3">
      <c r="J36585"/>
    </row>
    <row r="36586" spans="10:10" x14ac:dyDescent="0.3">
      <c r="J36586"/>
    </row>
    <row r="36587" spans="10:10" x14ac:dyDescent="0.3">
      <c r="J36587"/>
    </row>
    <row r="36588" spans="10:10" x14ac:dyDescent="0.3">
      <c r="J36588"/>
    </row>
    <row r="36589" spans="10:10" x14ac:dyDescent="0.3">
      <c r="J36589"/>
    </row>
    <row r="36590" spans="10:10" x14ac:dyDescent="0.3">
      <c r="J36590"/>
    </row>
    <row r="36591" spans="10:10" x14ac:dyDescent="0.3">
      <c r="J36591"/>
    </row>
    <row r="36592" spans="10:10" x14ac:dyDescent="0.3">
      <c r="J36592"/>
    </row>
    <row r="36593" spans="10:10" x14ac:dyDescent="0.3">
      <c r="J36593"/>
    </row>
    <row r="36594" spans="10:10" x14ac:dyDescent="0.3">
      <c r="J36594"/>
    </row>
    <row r="36595" spans="10:10" x14ac:dyDescent="0.3">
      <c r="J36595"/>
    </row>
    <row r="36596" spans="10:10" x14ac:dyDescent="0.3">
      <c r="J36596"/>
    </row>
    <row r="36597" spans="10:10" x14ac:dyDescent="0.3">
      <c r="J36597"/>
    </row>
    <row r="36598" spans="10:10" x14ac:dyDescent="0.3">
      <c r="J36598"/>
    </row>
    <row r="36599" spans="10:10" x14ac:dyDescent="0.3">
      <c r="J36599"/>
    </row>
    <row r="36600" spans="10:10" x14ac:dyDescent="0.3">
      <c r="J36600"/>
    </row>
    <row r="36601" spans="10:10" x14ac:dyDescent="0.3">
      <c r="J36601"/>
    </row>
    <row r="36602" spans="10:10" x14ac:dyDescent="0.3">
      <c r="J36602"/>
    </row>
    <row r="36603" spans="10:10" x14ac:dyDescent="0.3">
      <c r="J36603"/>
    </row>
    <row r="36604" spans="10:10" x14ac:dyDescent="0.3">
      <c r="J36604"/>
    </row>
    <row r="36605" spans="10:10" x14ac:dyDescent="0.3">
      <c r="J36605"/>
    </row>
    <row r="36606" spans="10:10" x14ac:dyDescent="0.3">
      <c r="J36606"/>
    </row>
    <row r="36607" spans="10:10" x14ac:dyDescent="0.3">
      <c r="J36607"/>
    </row>
    <row r="36608" spans="10:10" x14ac:dyDescent="0.3">
      <c r="J36608"/>
    </row>
    <row r="36609" spans="10:10" x14ac:dyDescent="0.3">
      <c r="J36609"/>
    </row>
    <row r="36610" spans="10:10" x14ac:dyDescent="0.3">
      <c r="J36610"/>
    </row>
    <row r="36611" spans="10:10" x14ac:dyDescent="0.3">
      <c r="J36611"/>
    </row>
    <row r="36612" spans="10:10" x14ac:dyDescent="0.3">
      <c r="J36612"/>
    </row>
    <row r="36613" spans="10:10" x14ac:dyDescent="0.3">
      <c r="J36613"/>
    </row>
    <row r="36614" spans="10:10" x14ac:dyDescent="0.3">
      <c r="J36614"/>
    </row>
    <row r="36615" spans="10:10" x14ac:dyDescent="0.3">
      <c r="J36615"/>
    </row>
    <row r="36616" spans="10:10" x14ac:dyDescent="0.3">
      <c r="J36616"/>
    </row>
    <row r="36617" spans="10:10" x14ac:dyDescent="0.3">
      <c r="J36617"/>
    </row>
    <row r="36618" spans="10:10" x14ac:dyDescent="0.3">
      <c r="J36618"/>
    </row>
    <row r="36619" spans="10:10" x14ac:dyDescent="0.3">
      <c r="J36619"/>
    </row>
    <row r="36620" spans="10:10" x14ac:dyDescent="0.3">
      <c r="J36620"/>
    </row>
    <row r="36621" spans="10:10" x14ac:dyDescent="0.3">
      <c r="J36621"/>
    </row>
    <row r="36622" spans="10:10" x14ac:dyDescent="0.3">
      <c r="J36622"/>
    </row>
    <row r="36623" spans="10:10" x14ac:dyDescent="0.3">
      <c r="J36623"/>
    </row>
    <row r="36624" spans="10:10" x14ac:dyDescent="0.3">
      <c r="J36624"/>
    </row>
    <row r="36625" spans="10:10" x14ac:dyDescent="0.3">
      <c r="J36625"/>
    </row>
    <row r="36626" spans="10:10" x14ac:dyDescent="0.3">
      <c r="J36626"/>
    </row>
    <row r="36627" spans="10:10" x14ac:dyDescent="0.3">
      <c r="J36627"/>
    </row>
    <row r="36628" spans="10:10" x14ac:dyDescent="0.3">
      <c r="J36628"/>
    </row>
    <row r="36629" spans="10:10" x14ac:dyDescent="0.3">
      <c r="J36629"/>
    </row>
    <row r="36630" spans="10:10" x14ac:dyDescent="0.3">
      <c r="J36630"/>
    </row>
    <row r="36631" spans="10:10" x14ac:dyDescent="0.3">
      <c r="J36631"/>
    </row>
    <row r="36632" spans="10:10" x14ac:dyDescent="0.3">
      <c r="J36632"/>
    </row>
    <row r="36633" spans="10:10" x14ac:dyDescent="0.3">
      <c r="J36633"/>
    </row>
    <row r="36634" spans="10:10" x14ac:dyDescent="0.3">
      <c r="J36634"/>
    </row>
    <row r="36635" spans="10:10" x14ac:dyDescent="0.3">
      <c r="J36635"/>
    </row>
    <row r="36636" spans="10:10" x14ac:dyDescent="0.3">
      <c r="J36636"/>
    </row>
    <row r="36637" spans="10:10" x14ac:dyDescent="0.3">
      <c r="J36637"/>
    </row>
    <row r="36638" spans="10:10" x14ac:dyDescent="0.3">
      <c r="J36638"/>
    </row>
    <row r="36639" spans="10:10" x14ac:dyDescent="0.3">
      <c r="J36639"/>
    </row>
    <row r="36640" spans="10:10" x14ac:dyDescent="0.3">
      <c r="J36640"/>
    </row>
    <row r="36641" spans="10:10" x14ac:dyDescent="0.3">
      <c r="J36641"/>
    </row>
    <row r="36642" spans="10:10" x14ac:dyDescent="0.3">
      <c r="J36642"/>
    </row>
    <row r="36643" spans="10:10" x14ac:dyDescent="0.3">
      <c r="J36643"/>
    </row>
    <row r="36644" spans="10:10" x14ac:dyDescent="0.3">
      <c r="J36644"/>
    </row>
    <row r="36645" spans="10:10" x14ac:dyDescent="0.3">
      <c r="J36645"/>
    </row>
    <row r="36646" spans="10:10" x14ac:dyDescent="0.3">
      <c r="J36646"/>
    </row>
    <row r="36647" spans="10:10" x14ac:dyDescent="0.3">
      <c r="J36647"/>
    </row>
    <row r="36648" spans="10:10" x14ac:dyDescent="0.3">
      <c r="J36648"/>
    </row>
    <row r="36649" spans="10:10" x14ac:dyDescent="0.3">
      <c r="J36649"/>
    </row>
    <row r="36650" spans="10:10" x14ac:dyDescent="0.3">
      <c r="J36650"/>
    </row>
    <row r="36651" spans="10:10" x14ac:dyDescent="0.3">
      <c r="J36651"/>
    </row>
    <row r="36652" spans="10:10" x14ac:dyDescent="0.3">
      <c r="J36652"/>
    </row>
    <row r="36653" spans="10:10" x14ac:dyDescent="0.3">
      <c r="J36653"/>
    </row>
    <row r="36654" spans="10:10" x14ac:dyDescent="0.3">
      <c r="J36654"/>
    </row>
    <row r="36655" spans="10:10" x14ac:dyDescent="0.3">
      <c r="J36655"/>
    </row>
    <row r="36656" spans="10:10" x14ac:dyDescent="0.3">
      <c r="J36656"/>
    </row>
    <row r="36657" spans="10:10" x14ac:dyDescent="0.3">
      <c r="J36657"/>
    </row>
    <row r="36658" spans="10:10" x14ac:dyDescent="0.3">
      <c r="J36658"/>
    </row>
    <row r="36659" spans="10:10" x14ac:dyDescent="0.3">
      <c r="J36659"/>
    </row>
    <row r="36660" spans="10:10" x14ac:dyDescent="0.3">
      <c r="J36660"/>
    </row>
    <row r="36661" spans="10:10" x14ac:dyDescent="0.3">
      <c r="J36661"/>
    </row>
    <row r="36662" spans="10:10" x14ac:dyDescent="0.3">
      <c r="J36662"/>
    </row>
    <row r="36663" spans="10:10" x14ac:dyDescent="0.3">
      <c r="J36663"/>
    </row>
    <row r="36664" spans="10:10" x14ac:dyDescent="0.3">
      <c r="J36664"/>
    </row>
    <row r="36665" spans="10:10" x14ac:dyDescent="0.3">
      <c r="J36665"/>
    </row>
    <row r="36666" spans="10:10" x14ac:dyDescent="0.3">
      <c r="J36666"/>
    </row>
    <row r="36667" spans="10:10" x14ac:dyDescent="0.3">
      <c r="J36667"/>
    </row>
    <row r="36668" spans="10:10" x14ac:dyDescent="0.3">
      <c r="J36668"/>
    </row>
    <row r="36669" spans="10:10" x14ac:dyDescent="0.3">
      <c r="J36669"/>
    </row>
    <row r="36670" spans="10:10" x14ac:dyDescent="0.3">
      <c r="J36670"/>
    </row>
    <row r="36671" spans="10:10" x14ac:dyDescent="0.3">
      <c r="J36671"/>
    </row>
    <row r="36672" spans="10:10" x14ac:dyDescent="0.3">
      <c r="J36672"/>
    </row>
    <row r="36673" spans="10:10" x14ac:dyDescent="0.3">
      <c r="J36673"/>
    </row>
    <row r="36674" spans="10:10" x14ac:dyDescent="0.3">
      <c r="J36674"/>
    </row>
    <row r="36675" spans="10:10" x14ac:dyDescent="0.3">
      <c r="J36675"/>
    </row>
    <row r="36676" spans="10:10" x14ac:dyDescent="0.3">
      <c r="J36676"/>
    </row>
    <row r="36677" spans="10:10" x14ac:dyDescent="0.3">
      <c r="J36677"/>
    </row>
    <row r="36678" spans="10:10" x14ac:dyDescent="0.3">
      <c r="J36678"/>
    </row>
    <row r="36679" spans="10:10" x14ac:dyDescent="0.3">
      <c r="J36679"/>
    </row>
    <row r="36680" spans="10:10" x14ac:dyDescent="0.3">
      <c r="J36680"/>
    </row>
    <row r="36681" spans="10:10" x14ac:dyDescent="0.3">
      <c r="J36681"/>
    </row>
    <row r="36682" spans="10:10" x14ac:dyDescent="0.3">
      <c r="J36682"/>
    </row>
    <row r="36683" spans="10:10" x14ac:dyDescent="0.3">
      <c r="J36683"/>
    </row>
    <row r="36684" spans="10:10" x14ac:dyDescent="0.3">
      <c r="J36684"/>
    </row>
    <row r="36685" spans="10:10" x14ac:dyDescent="0.3">
      <c r="J36685"/>
    </row>
    <row r="36686" spans="10:10" x14ac:dyDescent="0.3">
      <c r="J36686"/>
    </row>
    <row r="36687" spans="10:10" x14ac:dyDescent="0.3">
      <c r="J36687"/>
    </row>
    <row r="36688" spans="10:10" x14ac:dyDescent="0.3">
      <c r="J36688"/>
    </row>
    <row r="36689" spans="10:10" x14ac:dyDescent="0.3">
      <c r="J36689"/>
    </row>
    <row r="36690" spans="10:10" x14ac:dyDescent="0.3">
      <c r="J36690"/>
    </row>
    <row r="36691" spans="10:10" x14ac:dyDescent="0.3">
      <c r="J36691"/>
    </row>
    <row r="36692" spans="10:10" x14ac:dyDescent="0.3">
      <c r="J36692"/>
    </row>
    <row r="36693" spans="10:10" x14ac:dyDescent="0.3">
      <c r="J36693"/>
    </row>
    <row r="36694" spans="10:10" x14ac:dyDescent="0.3">
      <c r="J36694"/>
    </row>
    <row r="36695" spans="10:10" x14ac:dyDescent="0.3">
      <c r="J36695"/>
    </row>
    <row r="36696" spans="10:10" x14ac:dyDescent="0.3">
      <c r="J36696"/>
    </row>
    <row r="36697" spans="10:10" x14ac:dyDescent="0.3">
      <c r="J36697"/>
    </row>
    <row r="36698" spans="10:10" x14ac:dyDescent="0.3">
      <c r="J36698"/>
    </row>
    <row r="36699" spans="10:10" x14ac:dyDescent="0.3">
      <c r="J36699"/>
    </row>
    <row r="36700" spans="10:10" x14ac:dyDescent="0.3">
      <c r="J36700"/>
    </row>
    <row r="36701" spans="10:10" x14ac:dyDescent="0.3">
      <c r="J36701"/>
    </row>
    <row r="36702" spans="10:10" x14ac:dyDescent="0.3">
      <c r="J36702"/>
    </row>
    <row r="36703" spans="10:10" x14ac:dyDescent="0.3">
      <c r="J36703"/>
    </row>
    <row r="36704" spans="10:10" x14ac:dyDescent="0.3">
      <c r="J36704"/>
    </row>
    <row r="36705" spans="10:10" x14ac:dyDescent="0.3">
      <c r="J36705"/>
    </row>
    <row r="36706" spans="10:10" x14ac:dyDescent="0.3">
      <c r="J36706"/>
    </row>
    <row r="36707" spans="10:10" x14ac:dyDescent="0.3">
      <c r="J36707"/>
    </row>
    <row r="36708" spans="10:10" x14ac:dyDescent="0.3">
      <c r="J36708"/>
    </row>
    <row r="36709" spans="10:10" x14ac:dyDescent="0.3">
      <c r="J36709"/>
    </row>
    <row r="36710" spans="10:10" x14ac:dyDescent="0.3">
      <c r="J36710"/>
    </row>
    <row r="36711" spans="10:10" x14ac:dyDescent="0.3">
      <c r="J36711"/>
    </row>
    <row r="36712" spans="10:10" x14ac:dyDescent="0.3">
      <c r="J36712"/>
    </row>
    <row r="36713" spans="10:10" x14ac:dyDescent="0.3">
      <c r="J36713"/>
    </row>
    <row r="36714" spans="10:10" x14ac:dyDescent="0.3">
      <c r="J36714"/>
    </row>
    <row r="36715" spans="10:10" x14ac:dyDescent="0.3">
      <c r="J36715"/>
    </row>
    <row r="36716" spans="10:10" x14ac:dyDescent="0.3">
      <c r="J36716"/>
    </row>
    <row r="36717" spans="10:10" x14ac:dyDescent="0.3">
      <c r="J36717"/>
    </row>
    <row r="36718" spans="10:10" x14ac:dyDescent="0.3">
      <c r="J36718"/>
    </row>
    <row r="36719" spans="10:10" x14ac:dyDescent="0.3">
      <c r="J36719"/>
    </row>
    <row r="36720" spans="10:10" x14ac:dyDescent="0.3">
      <c r="J36720"/>
    </row>
    <row r="36721" spans="10:10" x14ac:dyDescent="0.3">
      <c r="J36721"/>
    </row>
    <row r="36722" spans="10:10" x14ac:dyDescent="0.3">
      <c r="J36722"/>
    </row>
    <row r="36723" spans="10:10" x14ac:dyDescent="0.3">
      <c r="J36723"/>
    </row>
    <row r="36724" spans="10:10" x14ac:dyDescent="0.3">
      <c r="J36724"/>
    </row>
    <row r="36725" spans="10:10" x14ac:dyDescent="0.3">
      <c r="J36725"/>
    </row>
    <row r="36726" spans="10:10" x14ac:dyDescent="0.3">
      <c r="J36726"/>
    </row>
    <row r="36727" spans="10:10" x14ac:dyDescent="0.3">
      <c r="J36727"/>
    </row>
    <row r="36728" spans="10:10" x14ac:dyDescent="0.3">
      <c r="J36728"/>
    </row>
    <row r="36729" spans="10:10" x14ac:dyDescent="0.3">
      <c r="J36729"/>
    </row>
    <row r="36730" spans="10:10" x14ac:dyDescent="0.3">
      <c r="J36730"/>
    </row>
    <row r="36731" spans="10:10" x14ac:dyDescent="0.3">
      <c r="J36731"/>
    </row>
    <row r="36732" spans="10:10" x14ac:dyDescent="0.3">
      <c r="J36732"/>
    </row>
    <row r="36733" spans="10:10" x14ac:dyDescent="0.3">
      <c r="J36733"/>
    </row>
    <row r="36734" spans="10:10" x14ac:dyDescent="0.3">
      <c r="J36734"/>
    </row>
    <row r="36735" spans="10:10" x14ac:dyDescent="0.3">
      <c r="J36735"/>
    </row>
    <row r="36736" spans="10:10" x14ac:dyDescent="0.3">
      <c r="J36736"/>
    </row>
    <row r="36737" spans="10:10" x14ac:dyDescent="0.3">
      <c r="J36737"/>
    </row>
    <row r="36738" spans="10:10" x14ac:dyDescent="0.3">
      <c r="J36738"/>
    </row>
    <row r="36739" spans="10:10" x14ac:dyDescent="0.3">
      <c r="J36739"/>
    </row>
    <row r="36740" spans="10:10" x14ac:dyDescent="0.3">
      <c r="J36740"/>
    </row>
    <row r="36741" spans="10:10" x14ac:dyDescent="0.3">
      <c r="J36741"/>
    </row>
    <row r="36742" spans="10:10" x14ac:dyDescent="0.3">
      <c r="J36742"/>
    </row>
    <row r="36743" spans="10:10" x14ac:dyDescent="0.3">
      <c r="J36743"/>
    </row>
    <row r="36744" spans="10:10" x14ac:dyDescent="0.3">
      <c r="J36744"/>
    </row>
    <row r="36745" spans="10:10" x14ac:dyDescent="0.3">
      <c r="J36745"/>
    </row>
    <row r="36746" spans="10:10" x14ac:dyDescent="0.3">
      <c r="J36746"/>
    </row>
    <row r="36747" spans="10:10" x14ac:dyDescent="0.3">
      <c r="J36747"/>
    </row>
    <row r="36748" spans="10:10" x14ac:dyDescent="0.3">
      <c r="J36748"/>
    </row>
    <row r="36749" spans="10:10" x14ac:dyDescent="0.3">
      <c r="J36749"/>
    </row>
    <row r="36750" spans="10:10" x14ac:dyDescent="0.3">
      <c r="J36750"/>
    </row>
    <row r="36751" spans="10:10" x14ac:dyDescent="0.3">
      <c r="J36751"/>
    </row>
    <row r="36752" spans="10:10" x14ac:dyDescent="0.3">
      <c r="J36752"/>
    </row>
    <row r="36753" spans="10:10" x14ac:dyDescent="0.3">
      <c r="J36753"/>
    </row>
    <row r="36754" spans="10:10" x14ac:dyDescent="0.3">
      <c r="J36754"/>
    </row>
    <row r="36755" spans="10:10" x14ac:dyDescent="0.3">
      <c r="J36755"/>
    </row>
    <row r="36756" spans="10:10" x14ac:dyDescent="0.3">
      <c r="J36756"/>
    </row>
    <row r="36757" spans="10:10" x14ac:dyDescent="0.3">
      <c r="J36757"/>
    </row>
    <row r="36758" spans="10:10" x14ac:dyDescent="0.3">
      <c r="J36758"/>
    </row>
    <row r="36759" spans="10:10" x14ac:dyDescent="0.3">
      <c r="J36759"/>
    </row>
    <row r="36760" spans="10:10" x14ac:dyDescent="0.3">
      <c r="J36760"/>
    </row>
    <row r="36761" spans="10:10" x14ac:dyDescent="0.3">
      <c r="J36761"/>
    </row>
    <row r="36762" spans="10:10" x14ac:dyDescent="0.3">
      <c r="J36762"/>
    </row>
    <row r="36763" spans="10:10" x14ac:dyDescent="0.3">
      <c r="J36763"/>
    </row>
    <row r="36764" spans="10:10" x14ac:dyDescent="0.3">
      <c r="J36764"/>
    </row>
    <row r="36765" spans="10:10" x14ac:dyDescent="0.3">
      <c r="J36765"/>
    </row>
    <row r="36766" spans="10:10" x14ac:dyDescent="0.3">
      <c r="J36766"/>
    </row>
    <row r="36767" spans="10:10" x14ac:dyDescent="0.3">
      <c r="J36767"/>
    </row>
    <row r="36768" spans="10:10" x14ac:dyDescent="0.3">
      <c r="J36768"/>
    </row>
    <row r="36769" spans="10:10" x14ac:dyDescent="0.3">
      <c r="J36769"/>
    </row>
    <row r="36770" spans="10:10" x14ac:dyDescent="0.3">
      <c r="J36770"/>
    </row>
    <row r="36771" spans="10:10" x14ac:dyDescent="0.3">
      <c r="J36771"/>
    </row>
    <row r="36772" spans="10:10" x14ac:dyDescent="0.3">
      <c r="J36772"/>
    </row>
    <row r="36773" spans="10:10" x14ac:dyDescent="0.3">
      <c r="J36773"/>
    </row>
    <row r="36774" spans="10:10" x14ac:dyDescent="0.3">
      <c r="J36774"/>
    </row>
    <row r="36775" spans="10:10" x14ac:dyDescent="0.3">
      <c r="J36775"/>
    </row>
    <row r="36776" spans="10:10" x14ac:dyDescent="0.3">
      <c r="J36776"/>
    </row>
    <row r="36777" spans="10:10" x14ac:dyDescent="0.3">
      <c r="J36777"/>
    </row>
    <row r="36778" spans="10:10" x14ac:dyDescent="0.3">
      <c r="J36778"/>
    </row>
    <row r="36779" spans="10:10" x14ac:dyDescent="0.3">
      <c r="J36779"/>
    </row>
    <row r="36780" spans="10:10" x14ac:dyDescent="0.3">
      <c r="J36780"/>
    </row>
    <row r="36781" spans="10:10" x14ac:dyDescent="0.3">
      <c r="J36781"/>
    </row>
    <row r="36782" spans="10:10" x14ac:dyDescent="0.3">
      <c r="J36782"/>
    </row>
    <row r="36783" spans="10:10" x14ac:dyDescent="0.3">
      <c r="J36783"/>
    </row>
    <row r="36784" spans="10:10" x14ac:dyDescent="0.3">
      <c r="J36784"/>
    </row>
    <row r="36785" spans="10:10" x14ac:dyDescent="0.3">
      <c r="J36785"/>
    </row>
    <row r="36786" spans="10:10" x14ac:dyDescent="0.3">
      <c r="J36786"/>
    </row>
    <row r="36787" spans="10:10" x14ac:dyDescent="0.3">
      <c r="J36787"/>
    </row>
    <row r="36788" spans="10:10" x14ac:dyDescent="0.3">
      <c r="J36788"/>
    </row>
    <row r="36789" spans="10:10" x14ac:dyDescent="0.3">
      <c r="J36789"/>
    </row>
    <row r="36790" spans="10:10" x14ac:dyDescent="0.3">
      <c r="J36790"/>
    </row>
    <row r="36791" spans="10:10" x14ac:dyDescent="0.3">
      <c r="J36791"/>
    </row>
    <row r="36792" spans="10:10" x14ac:dyDescent="0.3">
      <c r="J36792"/>
    </row>
    <row r="36793" spans="10:10" x14ac:dyDescent="0.3">
      <c r="J36793"/>
    </row>
    <row r="36794" spans="10:10" x14ac:dyDescent="0.3">
      <c r="J36794"/>
    </row>
    <row r="36795" spans="10:10" x14ac:dyDescent="0.3">
      <c r="J36795"/>
    </row>
    <row r="36796" spans="10:10" x14ac:dyDescent="0.3">
      <c r="J36796"/>
    </row>
    <row r="36797" spans="10:10" x14ac:dyDescent="0.3">
      <c r="J36797"/>
    </row>
    <row r="36798" spans="10:10" x14ac:dyDescent="0.3">
      <c r="J36798"/>
    </row>
    <row r="36799" spans="10:10" x14ac:dyDescent="0.3">
      <c r="J36799"/>
    </row>
    <row r="36800" spans="10:10" x14ac:dyDescent="0.3">
      <c r="J36800"/>
    </row>
    <row r="36801" spans="10:10" x14ac:dyDescent="0.3">
      <c r="J36801"/>
    </row>
    <row r="36802" spans="10:10" x14ac:dyDescent="0.3">
      <c r="J36802"/>
    </row>
    <row r="36803" spans="10:10" x14ac:dyDescent="0.3">
      <c r="J36803"/>
    </row>
    <row r="36804" spans="10:10" x14ac:dyDescent="0.3">
      <c r="J36804"/>
    </row>
    <row r="36805" spans="10:10" x14ac:dyDescent="0.3">
      <c r="J36805"/>
    </row>
    <row r="36806" spans="10:10" x14ac:dyDescent="0.3">
      <c r="J36806"/>
    </row>
    <row r="36807" spans="10:10" x14ac:dyDescent="0.3">
      <c r="J36807"/>
    </row>
    <row r="36808" spans="10:10" x14ac:dyDescent="0.3">
      <c r="J36808"/>
    </row>
    <row r="36809" spans="10:10" x14ac:dyDescent="0.3">
      <c r="J36809"/>
    </row>
    <row r="36810" spans="10:10" x14ac:dyDescent="0.3">
      <c r="J36810"/>
    </row>
    <row r="36811" spans="10:10" x14ac:dyDescent="0.3">
      <c r="J36811"/>
    </row>
    <row r="36812" spans="10:10" x14ac:dyDescent="0.3">
      <c r="J36812"/>
    </row>
    <row r="36813" spans="10:10" x14ac:dyDescent="0.3">
      <c r="J36813"/>
    </row>
    <row r="36814" spans="10:10" x14ac:dyDescent="0.3">
      <c r="J36814"/>
    </row>
    <row r="36815" spans="10:10" x14ac:dyDescent="0.3">
      <c r="J36815"/>
    </row>
    <row r="36816" spans="10:10" x14ac:dyDescent="0.3">
      <c r="J36816"/>
    </row>
    <row r="36817" spans="10:10" x14ac:dyDescent="0.3">
      <c r="J36817"/>
    </row>
    <row r="36818" spans="10:10" x14ac:dyDescent="0.3">
      <c r="J36818"/>
    </row>
    <row r="36819" spans="10:10" x14ac:dyDescent="0.3">
      <c r="J36819"/>
    </row>
    <row r="36820" spans="10:10" x14ac:dyDescent="0.3">
      <c r="J36820"/>
    </row>
    <row r="36821" spans="10:10" x14ac:dyDescent="0.3">
      <c r="J36821"/>
    </row>
    <row r="36822" spans="10:10" x14ac:dyDescent="0.3">
      <c r="J36822"/>
    </row>
    <row r="36823" spans="10:10" x14ac:dyDescent="0.3">
      <c r="J36823"/>
    </row>
    <row r="36824" spans="10:10" x14ac:dyDescent="0.3">
      <c r="J36824"/>
    </row>
    <row r="36825" spans="10:10" x14ac:dyDescent="0.3">
      <c r="J36825"/>
    </row>
    <row r="36826" spans="10:10" x14ac:dyDescent="0.3">
      <c r="J36826"/>
    </row>
    <row r="36827" spans="10:10" x14ac:dyDescent="0.3">
      <c r="J36827"/>
    </row>
    <row r="36828" spans="10:10" x14ac:dyDescent="0.3">
      <c r="J36828"/>
    </row>
    <row r="36829" spans="10:10" x14ac:dyDescent="0.3">
      <c r="J36829"/>
    </row>
    <row r="36830" spans="10:10" x14ac:dyDescent="0.3">
      <c r="J36830"/>
    </row>
    <row r="36831" spans="10:10" x14ac:dyDescent="0.3">
      <c r="J36831"/>
    </row>
    <row r="36832" spans="10:10" x14ac:dyDescent="0.3">
      <c r="J36832"/>
    </row>
    <row r="36833" spans="10:10" x14ac:dyDescent="0.3">
      <c r="J36833"/>
    </row>
    <row r="36834" spans="10:10" x14ac:dyDescent="0.3">
      <c r="J36834"/>
    </row>
    <row r="36835" spans="10:10" x14ac:dyDescent="0.3">
      <c r="J36835"/>
    </row>
    <row r="36836" spans="10:10" x14ac:dyDescent="0.3">
      <c r="J36836"/>
    </row>
    <row r="36837" spans="10:10" x14ac:dyDescent="0.3">
      <c r="J36837"/>
    </row>
    <row r="36838" spans="10:10" x14ac:dyDescent="0.3">
      <c r="J36838"/>
    </row>
    <row r="36839" spans="10:10" x14ac:dyDescent="0.3">
      <c r="J36839"/>
    </row>
    <row r="36840" spans="10:10" x14ac:dyDescent="0.3">
      <c r="J36840"/>
    </row>
    <row r="36841" spans="10:10" x14ac:dyDescent="0.3">
      <c r="J36841"/>
    </row>
    <row r="36842" spans="10:10" x14ac:dyDescent="0.3">
      <c r="J36842"/>
    </row>
    <row r="36843" spans="10:10" x14ac:dyDescent="0.3">
      <c r="J36843"/>
    </row>
    <row r="36844" spans="10:10" x14ac:dyDescent="0.3">
      <c r="J36844"/>
    </row>
    <row r="36845" spans="10:10" x14ac:dyDescent="0.3">
      <c r="J36845"/>
    </row>
    <row r="36846" spans="10:10" x14ac:dyDescent="0.3">
      <c r="J36846"/>
    </row>
    <row r="36847" spans="10:10" x14ac:dyDescent="0.3">
      <c r="J36847"/>
    </row>
    <row r="36848" spans="10:10" x14ac:dyDescent="0.3">
      <c r="J36848"/>
    </row>
    <row r="36849" spans="10:10" x14ac:dyDescent="0.3">
      <c r="J36849"/>
    </row>
    <row r="36850" spans="10:10" x14ac:dyDescent="0.3">
      <c r="J36850"/>
    </row>
    <row r="36851" spans="10:10" x14ac:dyDescent="0.3">
      <c r="J36851"/>
    </row>
    <row r="36852" spans="10:10" x14ac:dyDescent="0.3">
      <c r="J36852"/>
    </row>
    <row r="36853" spans="10:10" x14ac:dyDescent="0.3">
      <c r="J36853"/>
    </row>
    <row r="36854" spans="10:10" x14ac:dyDescent="0.3">
      <c r="J36854"/>
    </row>
    <row r="36855" spans="10:10" x14ac:dyDescent="0.3">
      <c r="J36855"/>
    </row>
    <row r="36856" spans="10:10" x14ac:dyDescent="0.3">
      <c r="J36856"/>
    </row>
    <row r="36857" spans="10:10" x14ac:dyDescent="0.3">
      <c r="J36857"/>
    </row>
    <row r="36858" spans="10:10" x14ac:dyDescent="0.3">
      <c r="J36858"/>
    </row>
    <row r="36859" spans="10:10" x14ac:dyDescent="0.3">
      <c r="J36859"/>
    </row>
    <row r="36860" spans="10:10" x14ac:dyDescent="0.3">
      <c r="J36860"/>
    </row>
    <row r="36861" spans="10:10" x14ac:dyDescent="0.3">
      <c r="J36861"/>
    </row>
    <row r="36862" spans="10:10" x14ac:dyDescent="0.3">
      <c r="J36862"/>
    </row>
    <row r="36863" spans="10:10" x14ac:dyDescent="0.3">
      <c r="J36863"/>
    </row>
    <row r="36864" spans="10:10" x14ac:dyDescent="0.3">
      <c r="J36864"/>
    </row>
    <row r="36865" spans="10:10" x14ac:dyDescent="0.3">
      <c r="J36865"/>
    </row>
    <row r="36866" spans="10:10" x14ac:dyDescent="0.3">
      <c r="J36866"/>
    </row>
    <row r="36867" spans="10:10" x14ac:dyDescent="0.3">
      <c r="J36867"/>
    </row>
    <row r="36868" spans="10:10" x14ac:dyDescent="0.3">
      <c r="J36868"/>
    </row>
    <row r="36869" spans="10:10" x14ac:dyDescent="0.3">
      <c r="J36869"/>
    </row>
    <row r="36870" spans="10:10" x14ac:dyDescent="0.3">
      <c r="J36870"/>
    </row>
    <row r="36871" spans="10:10" x14ac:dyDescent="0.3">
      <c r="J36871"/>
    </row>
    <row r="36872" spans="10:10" x14ac:dyDescent="0.3">
      <c r="J36872"/>
    </row>
    <row r="36873" spans="10:10" x14ac:dyDescent="0.3">
      <c r="J36873"/>
    </row>
    <row r="36874" spans="10:10" x14ac:dyDescent="0.3">
      <c r="J36874"/>
    </row>
    <row r="36875" spans="10:10" x14ac:dyDescent="0.3">
      <c r="J36875"/>
    </row>
    <row r="36876" spans="10:10" x14ac:dyDescent="0.3">
      <c r="J36876"/>
    </row>
    <row r="36877" spans="10:10" x14ac:dyDescent="0.3">
      <c r="J36877"/>
    </row>
    <row r="36878" spans="10:10" x14ac:dyDescent="0.3">
      <c r="J36878"/>
    </row>
    <row r="36879" spans="10:10" x14ac:dyDescent="0.3">
      <c r="J36879"/>
    </row>
    <row r="36880" spans="10:10" x14ac:dyDescent="0.3">
      <c r="J36880"/>
    </row>
    <row r="36881" spans="10:10" x14ac:dyDescent="0.3">
      <c r="J36881"/>
    </row>
    <row r="36882" spans="10:10" x14ac:dyDescent="0.3">
      <c r="J36882"/>
    </row>
    <row r="36883" spans="10:10" x14ac:dyDescent="0.3">
      <c r="J36883"/>
    </row>
    <row r="36884" spans="10:10" x14ac:dyDescent="0.3">
      <c r="J36884"/>
    </row>
    <row r="36885" spans="10:10" x14ac:dyDescent="0.3">
      <c r="J36885"/>
    </row>
    <row r="36886" spans="10:10" x14ac:dyDescent="0.3">
      <c r="J36886"/>
    </row>
    <row r="36887" spans="10:10" x14ac:dyDescent="0.3">
      <c r="J36887"/>
    </row>
    <row r="36888" spans="10:10" x14ac:dyDescent="0.3">
      <c r="J36888"/>
    </row>
    <row r="36889" spans="10:10" x14ac:dyDescent="0.3">
      <c r="J36889"/>
    </row>
    <row r="36890" spans="10:10" x14ac:dyDescent="0.3">
      <c r="J36890"/>
    </row>
    <row r="36891" spans="10:10" x14ac:dyDescent="0.3">
      <c r="J36891"/>
    </row>
    <row r="36892" spans="10:10" x14ac:dyDescent="0.3">
      <c r="J36892"/>
    </row>
    <row r="36893" spans="10:10" x14ac:dyDescent="0.3">
      <c r="J36893"/>
    </row>
    <row r="36894" spans="10:10" x14ac:dyDescent="0.3">
      <c r="J36894"/>
    </row>
    <row r="36895" spans="10:10" x14ac:dyDescent="0.3">
      <c r="J36895"/>
    </row>
    <row r="36896" spans="10:10" x14ac:dyDescent="0.3">
      <c r="J36896"/>
    </row>
    <row r="36897" spans="10:10" x14ac:dyDescent="0.3">
      <c r="J36897"/>
    </row>
    <row r="36898" spans="10:10" x14ac:dyDescent="0.3">
      <c r="J36898"/>
    </row>
    <row r="36899" spans="10:10" x14ac:dyDescent="0.3">
      <c r="J36899"/>
    </row>
    <row r="36900" spans="10:10" x14ac:dyDescent="0.3">
      <c r="J36900"/>
    </row>
    <row r="36901" spans="10:10" x14ac:dyDescent="0.3">
      <c r="J36901"/>
    </row>
    <row r="36902" spans="10:10" x14ac:dyDescent="0.3">
      <c r="J36902"/>
    </row>
    <row r="36903" spans="10:10" x14ac:dyDescent="0.3">
      <c r="J36903"/>
    </row>
    <row r="36904" spans="10:10" x14ac:dyDescent="0.3">
      <c r="J36904"/>
    </row>
    <row r="36905" spans="10:10" x14ac:dyDescent="0.3">
      <c r="J36905"/>
    </row>
    <row r="36906" spans="10:10" x14ac:dyDescent="0.3">
      <c r="J36906"/>
    </row>
    <row r="36907" spans="10:10" x14ac:dyDescent="0.3">
      <c r="J36907"/>
    </row>
    <row r="36908" spans="10:10" x14ac:dyDescent="0.3">
      <c r="J36908"/>
    </row>
    <row r="36909" spans="10:10" x14ac:dyDescent="0.3">
      <c r="J36909"/>
    </row>
    <row r="36910" spans="10:10" x14ac:dyDescent="0.3">
      <c r="J36910"/>
    </row>
    <row r="36911" spans="10:10" x14ac:dyDescent="0.3">
      <c r="J36911"/>
    </row>
    <row r="36912" spans="10:10" x14ac:dyDescent="0.3">
      <c r="J36912"/>
    </row>
    <row r="36913" spans="10:10" x14ac:dyDescent="0.3">
      <c r="J36913"/>
    </row>
    <row r="36914" spans="10:10" x14ac:dyDescent="0.3">
      <c r="J36914"/>
    </row>
    <row r="36915" spans="10:10" x14ac:dyDescent="0.3">
      <c r="J36915"/>
    </row>
    <row r="36916" spans="10:10" x14ac:dyDescent="0.3">
      <c r="J36916"/>
    </row>
    <row r="36917" spans="10:10" x14ac:dyDescent="0.3">
      <c r="J36917"/>
    </row>
    <row r="36918" spans="10:10" x14ac:dyDescent="0.3">
      <c r="J36918"/>
    </row>
    <row r="36919" spans="10:10" x14ac:dyDescent="0.3">
      <c r="J36919"/>
    </row>
    <row r="36920" spans="10:10" x14ac:dyDescent="0.3">
      <c r="J36920"/>
    </row>
    <row r="36921" spans="10:10" x14ac:dyDescent="0.3">
      <c r="J36921"/>
    </row>
    <row r="36922" spans="10:10" x14ac:dyDescent="0.3">
      <c r="J36922"/>
    </row>
    <row r="36923" spans="10:10" x14ac:dyDescent="0.3">
      <c r="J36923"/>
    </row>
    <row r="36924" spans="10:10" x14ac:dyDescent="0.3">
      <c r="J36924"/>
    </row>
    <row r="36925" spans="10:10" x14ac:dyDescent="0.3">
      <c r="J36925"/>
    </row>
    <row r="36926" spans="10:10" x14ac:dyDescent="0.3">
      <c r="J36926"/>
    </row>
    <row r="36927" spans="10:10" x14ac:dyDescent="0.3">
      <c r="J36927"/>
    </row>
    <row r="36928" spans="10:10" x14ac:dyDescent="0.3">
      <c r="J36928"/>
    </row>
    <row r="36929" spans="10:10" x14ac:dyDescent="0.3">
      <c r="J36929"/>
    </row>
    <row r="36930" spans="10:10" x14ac:dyDescent="0.3">
      <c r="J36930"/>
    </row>
    <row r="36931" spans="10:10" x14ac:dyDescent="0.3">
      <c r="J36931"/>
    </row>
    <row r="36932" spans="10:10" x14ac:dyDescent="0.3">
      <c r="J36932"/>
    </row>
    <row r="36933" spans="10:10" x14ac:dyDescent="0.3">
      <c r="J36933"/>
    </row>
    <row r="36934" spans="10:10" x14ac:dyDescent="0.3">
      <c r="J36934"/>
    </row>
    <row r="36935" spans="10:10" x14ac:dyDescent="0.3">
      <c r="J36935"/>
    </row>
    <row r="36936" spans="10:10" x14ac:dyDescent="0.3">
      <c r="J36936"/>
    </row>
    <row r="36937" spans="10:10" x14ac:dyDescent="0.3">
      <c r="J36937"/>
    </row>
    <row r="36938" spans="10:10" x14ac:dyDescent="0.3">
      <c r="J36938"/>
    </row>
    <row r="36939" spans="10:10" x14ac:dyDescent="0.3">
      <c r="J36939"/>
    </row>
    <row r="36940" spans="10:10" x14ac:dyDescent="0.3">
      <c r="J36940"/>
    </row>
    <row r="36941" spans="10:10" x14ac:dyDescent="0.3">
      <c r="J36941"/>
    </row>
    <row r="36942" spans="10:10" x14ac:dyDescent="0.3">
      <c r="J36942"/>
    </row>
    <row r="36943" spans="10:10" x14ac:dyDescent="0.3">
      <c r="J36943"/>
    </row>
    <row r="36944" spans="10:10" x14ac:dyDescent="0.3">
      <c r="J36944"/>
    </row>
    <row r="36945" spans="10:10" x14ac:dyDescent="0.3">
      <c r="J36945"/>
    </row>
    <row r="36946" spans="10:10" x14ac:dyDescent="0.3">
      <c r="J36946"/>
    </row>
    <row r="36947" spans="10:10" x14ac:dyDescent="0.3">
      <c r="J36947"/>
    </row>
    <row r="36948" spans="10:10" x14ac:dyDescent="0.3">
      <c r="J36948"/>
    </row>
    <row r="36949" spans="10:10" x14ac:dyDescent="0.3">
      <c r="J36949"/>
    </row>
    <row r="36950" spans="10:10" x14ac:dyDescent="0.3">
      <c r="J36950"/>
    </row>
    <row r="36951" spans="10:10" x14ac:dyDescent="0.3">
      <c r="J36951"/>
    </row>
    <row r="36952" spans="10:10" x14ac:dyDescent="0.3">
      <c r="J36952"/>
    </row>
    <row r="36953" spans="10:10" x14ac:dyDescent="0.3">
      <c r="J36953"/>
    </row>
    <row r="36954" spans="10:10" x14ac:dyDescent="0.3">
      <c r="J36954"/>
    </row>
    <row r="36955" spans="10:10" x14ac:dyDescent="0.3">
      <c r="J36955"/>
    </row>
    <row r="36956" spans="10:10" x14ac:dyDescent="0.3">
      <c r="J36956"/>
    </row>
    <row r="36957" spans="10:10" x14ac:dyDescent="0.3">
      <c r="J36957"/>
    </row>
    <row r="36958" spans="10:10" x14ac:dyDescent="0.3">
      <c r="J36958"/>
    </row>
    <row r="36959" spans="10:10" x14ac:dyDescent="0.3">
      <c r="J36959"/>
    </row>
    <row r="36960" spans="10:10" x14ac:dyDescent="0.3">
      <c r="J36960"/>
    </row>
    <row r="36961" spans="10:10" x14ac:dyDescent="0.3">
      <c r="J36961"/>
    </row>
    <row r="36962" spans="10:10" x14ac:dyDescent="0.3">
      <c r="J36962"/>
    </row>
    <row r="36963" spans="10:10" x14ac:dyDescent="0.3">
      <c r="J36963"/>
    </row>
    <row r="36964" spans="10:10" x14ac:dyDescent="0.3">
      <c r="J36964"/>
    </row>
    <row r="36965" spans="10:10" x14ac:dyDescent="0.3">
      <c r="J36965"/>
    </row>
    <row r="36966" spans="10:10" x14ac:dyDescent="0.3">
      <c r="J36966"/>
    </row>
    <row r="36967" spans="10:10" x14ac:dyDescent="0.3">
      <c r="J36967"/>
    </row>
    <row r="36968" spans="10:10" x14ac:dyDescent="0.3">
      <c r="J36968"/>
    </row>
    <row r="36969" spans="10:10" x14ac:dyDescent="0.3">
      <c r="J36969"/>
    </row>
    <row r="36970" spans="10:10" x14ac:dyDescent="0.3">
      <c r="J36970"/>
    </row>
    <row r="36971" spans="10:10" x14ac:dyDescent="0.3">
      <c r="J36971"/>
    </row>
    <row r="36972" spans="10:10" x14ac:dyDescent="0.3">
      <c r="J36972"/>
    </row>
    <row r="36973" spans="10:10" x14ac:dyDescent="0.3">
      <c r="J36973"/>
    </row>
    <row r="36974" spans="10:10" x14ac:dyDescent="0.3">
      <c r="J36974"/>
    </row>
    <row r="36975" spans="10:10" x14ac:dyDescent="0.3">
      <c r="J36975"/>
    </row>
    <row r="36976" spans="10:10" x14ac:dyDescent="0.3">
      <c r="J36976"/>
    </row>
    <row r="36977" spans="10:10" x14ac:dyDescent="0.3">
      <c r="J36977"/>
    </row>
    <row r="36978" spans="10:10" x14ac:dyDescent="0.3">
      <c r="J36978"/>
    </row>
    <row r="36979" spans="10:10" x14ac:dyDescent="0.3">
      <c r="J36979"/>
    </row>
    <row r="36980" spans="10:10" x14ac:dyDescent="0.3">
      <c r="J36980"/>
    </row>
    <row r="36981" spans="10:10" x14ac:dyDescent="0.3">
      <c r="J36981"/>
    </row>
    <row r="36982" spans="10:10" x14ac:dyDescent="0.3">
      <c r="J36982"/>
    </row>
    <row r="36983" spans="10:10" x14ac:dyDescent="0.3">
      <c r="J36983"/>
    </row>
    <row r="36984" spans="10:10" x14ac:dyDescent="0.3">
      <c r="J36984"/>
    </row>
    <row r="36985" spans="10:10" x14ac:dyDescent="0.3">
      <c r="J36985"/>
    </row>
    <row r="36986" spans="10:10" x14ac:dyDescent="0.3">
      <c r="J36986"/>
    </row>
    <row r="36987" spans="10:10" x14ac:dyDescent="0.3">
      <c r="J36987"/>
    </row>
    <row r="36988" spans="10:10" x14ac:dyDescent="0.3">
      <c r="J36988"/>
    </row>
    <row r="36989" spans="10:10" x14ac:dyDescent="0.3">
      <c r="J36989"/>
    </row>
    <row r="36990" spans="10:10" x14ac:dyDescent="0.3">
      <c r="J36990"/>
    </row>
    <row r="36991" spans="10:10" x14ac:dyDescent="0.3">
      <c r="J36991"/>
    </row>
    <row r="36992" spans="10:10" x14ac:dyDescent="0.3">
      <c r="J36992"/>
    </row>
    <row r="36993" spans="10:10" x14ac:dyDescent="0.3">
      <c r="J36993"/>
    </row>
    <row r="36994" spans="10:10" x14ac:dyDescent="0.3">
      <c r="J36994"/>
    </row>
    <row r="36995" spans="10:10" x14ac:dyDescent="0.3">
      <c r="J36995"/>
    </row>
    <row r="36996" spans="10:10" x14ac:dyDescent="0.3">
      <c r="J36996"/>
    </row>
    <row r="36997" spans="10:10" x14ac:dyDescent="0.3">
      <c r="J36997"/>
    </row>
    <row r="36998" spans="10:10" x14ac:dyDescent="0.3">
      <c r="J36998"/>
    </row>
    <row r="36999" spans="10:10" x14ac:dyDescent="0.3">
      <c r="J36999"/>
    </row>
    <row r="37000" spans="10:10" x14ac:dyDescent="0.3">
      <c r="J37000"/>
    </row>
    <row r="37001" spans="10:10" x14ac:dyDescent="0.3">
      <c r="J37001"/>
    </row>
    <row r="37002" spans="10:10" x14ac:dyDescent="0.3">
      <c r="J37002"/>
    </row>
    <row r="37003" spans="10:10" x14ac:dyDescent="0.3">
      <c r="J37003"/>
    </row>
    <row r="37004" spans="10:10" x14ac:dyDescent="0.3">
      <c r="J37004"/>
    </row>
    <row r="37005" spans="10:10" x14ac:dyDescent="0.3">
      <c r="J37005"/>
    </row>
    <row r="37006" spans="10:10" x14ac:dyDescent="0.3">
      <c r="J37006"/>
    </row>
    <row r="37007" spans="10:10" x14ac:dyDescent="0.3">
      <c r="J37007"/>
    </row>
    <row r="37008" spans="10:10" x14ac:dyDescent="0.3">
      <c r="J37008"/>
    </row>
    <row r="37009" spans="10:10" x14ac:dyDescent="0.3">
      <c r="J37009"/>
    </row>
    <row r="37010" spans="10:10" x14ac:dyDescent="0.3">
      <c r="J37010"/>
    </row>
    <row r="37011" spans="10:10" x14ac:dyDescent="0.3">
      <c r="J37011"/>
    </row>
    <row r="37012" spans="10:10" x14ac:dyDescent="0.3">
      <c r="J37012"/>
    </row>
    <row r="37013" spans="10:10" x14ac:dyDescent="0.3">
      <c r="J37013"/>
    </row>
    <row r="37014" spans="10:10" x14ac:dyDescent="0.3">
      <c r="J37014"/>
    </row>
    <row r="37015" spans="10:10" x14ac:dyDescent="0.3">
      <c r="J37015"/>
    </row>
    <row r="37016" spans="10:10" x14ac:dyDescent="0.3">
      <c r="J37016"/>
    </row>
    <row r="37017" spans="10:10" x14ac:dyDescent="0.3">
      <c r="J37017"/>
    </row>
    <row r="37018" spans="10:10" x14ac:dyDescent="0.3">
      <c r="J37018"/>
    </row>
    <row r="37019" spans="10:10" x14ac:dyDescent="0.3">
      <c r="J37019"/>
    </row>
    <row r="37020" spans="10:10" x14ac:dyDescent="0.3">
      <c r="J37020"/>
    </row>
    <row r="37021" spans="10:10" x14ac:dyDescent="0.3">
      <c r="J37021"/>
    </row>
    <row r="37022" spans="10:10" x14ac:dyDescent="0.3">
      <c r="J37022"/>
    </row>
    <row r="37023" spans="10:10" x14ac:dyDescent="0.3">
      <c r="J37023"/>
    </row>
    <row r="37024" spans="10:10" x14ac:dyDescent="0.3">
      <c r="J37024"/>
    </row>
    <row r="37025" spans="10:10" x14ac:dyDescent="0.3">
      <c r="J37025"/>
    </row>
    <row r="37026" spans="10:10" x14ac:dyDescent="0.3">
      <c r="J37026"/>
    </row>
    <row r="37027" spans="10:10" x14ac:dyDescent="0.3">
      <c r="J37027"/>
    </row>
    <row r="37028" spans="10:10" x14ac:dyDescent="0.3">
      <c r="J37028"/>
    </row>
    <row r="37029" spans="10:10" x14ac:dyDescent="0.3">
      <c r="J37029"/>
    </row>
    <row r="37030" spans="10:10" x14ac:dyDescent="0.3">
      <c r="J37030"/>
    </row>
    <row r="37031" spans="10:10" x14ac:dyDescent="0.3">
      <c r="J37031"/>
    </row>
    <row r="37032" spans="10:10" x14ac:dyDescent="0.3">
      <c r="J37032"/>
    </row>
    <row r="37033" spans="10:10" x14ac:dyDescent="0.3">
      <c r="J37033"/>
    </row>
    <row r="37034" spans="10:10" x14ac:dyDescent="0.3">
      <c r="J37034"/>
    </row>
    <row r="37035" spans="10:10" x14ac:dyDescent="0.3">
      <c r="J37035"/>
    </row>
    <row r="37036" spans="10:10" x14ac:dyDescent="0.3">
      <c r="J37036"/>
    </row>
    <row r="37037" spans="10:10" x14ac:dyDescent="0.3">
      <c r="J37037"/>
    </row>
    <row r="37038" spans="10:10" x14ac:dyDescent="0.3">
      <c r="J37038"/>
    </row>
    <row r="37039" spans="10:10" x14ac:dyDescent="0.3">
      <c r="J37039"/>
    </row>
    <row r="37040" spans="10:10" x14ac:dyDescent="0.3">
      <c r="J37040"/>
    </row>
    <row r="37041" spans="10:10" x14ac:dyDescent="0.3">
      <c r="J37041"/>
    </row>
    <row r="37042" spans="10:10" x14ac:dyDescent="0.3">
      <c r="J37042"/>
    </row>
    <row r="37043" spans="10:10" x14ac:dyDescent="0.3">
      <c r="J37043"/>
    </row>
    <row r="37044" spans="10:10" x14ac:dyDescent="0.3">
      <c r="J37044"/>
    </row>
    <row r="37045" spans="10:10" x14ac:dyDescent="0.3">
      <c r="J37045"/>
    </row>
    <row r="37046" spans="10:10" x14ac:dyDescent="0.3">
      <c r="J37046"/>
    </row>
    <row r="37047" spans="10:10" x14ac:dyDescent="0.3">
      <c r="J37047"/>
    </row>
    <row r="37048" spans="10:10" x14ac:dyDescent="0.3">
      <c r="J37048"/>
    </row>
    <row r="37049" spans="10:10" x14ac:dyDescent="0.3">
      <c r="J37049"/>
    </row>
    <row r="37050" spans="10:10" x14ac:dyDescent="0.3">
      <c r="J37050"/>
    </row>
    <row r="37051" spans="10:10" x14ac:dyDescent="0.3">
      <c r="J37051"/>
    </row>
    <row r="37052" spans="10:10" x14ac:dyDescent="0.3">
      <c r="J37052"/>
    </row>
    <row r="37053" spans="10:10" x14ac:dyDescent="0.3">
      <c r="J37053"/>
    </row>
    <row r="37054" spans="10:10" x14ac:dyDescent="0.3">
      <c r="J37054"/>
    </row>
    <row r="37055" spans="10:10" x14ac:dyDescent="0.3">
      <c r="J37055"/>
    </row>
    <row r="37056" spans="10:10" x14ac:dyDescent="0.3">
      <c r="J37056"/>
    </row>
    <row r="37057" spans="10:10" x14ac:dyDescent="0.3">
      <c r="J37057"/>
    </row>
    <row r="37058" spans="10:10" x14ac:dyDescent="0.3">
      <c r="J37058"/>
    </row>
    <row r="37059" spans="10:10" x14ac:dyDescent="0.3">
      <c r="J37059"/>
    </row>
    <row r="37060" spans="10:10" x14ac:dyDescent="0.3">
      <c r="J37060"/>
    </row>
    <row r="37061" spans="10:10" x14ac:dyDescent="0.3">
      <c r="J37061"/>
    </row>
    <row r="37062" spans="10:10" x14ac:dyDescent="0.3">
      <c r="J37062"/>
    </row>
    <row r="37063" spans="10:10" x14ac:dyDescent="0.3">
      <c r="J37063"/>
    </row>
    <row r="37064" spans="10:10" x14ac:dyDescent="0.3">
      <c r="J37064"/>
    </row>
    <row r="37065" spans="10:10" x14ac:dyDescent="0.3">
      <c r="J37065"/>
    </row>
    <row r="37066" spans="10:10" x14ac:dyDescent="0.3">
      <c r="J37066"/>
    </row>
    <row r="37067" spans="10:10" x14ac:dyDescent="0.3">
      <c r="J37067"/>
    </row>
    <row r="37068" spans="10:10" x14ac:dyDescent="0.3">
      <c r="J37068"/>
    </row>
    <row r="37069" spans="10:10" x14ac:dyDescent="0.3">
      <c r="J37069"/>
    </row>
    <row r="37070" spans="10:10" x14ac:dyDescent="0.3">
      <c r="J37070"/>
    </row>
    <row r="37071" spans="10:10" x14ac:dyDescent="0.3">
      <c r="J37071"/>
    </row>
    <row r="37072" spans="10:10" x14ac:dyDescent="0.3">
      <c r="J37072"/>
    </row>
    <row r="37073" spans="10:10" x14ac:dyDescent="0.3">
      <c r="J37073"/>
    </row>
    <row r="37074" spans="10:10" x14ac:dyDescent="0.3">
      <c r="J37074"/>
    </row>
    <row r="37075" spans="10:10" x14ac:dyDescent="0.3">
      <c r="J37075"/>
    </row>
    <row r="37076" spans="10:10" x14ac:dyDescent="0.3">
      <c r="J37076"/>
    </row>
    <row r="37077" spans="10:10" x14ac:dyDescent="0.3">
      <c r="J37077"/>
    </row>
    <row r="37078" spans="10:10" x14ac:dyDescent="0.3">
      <c r="J37078"/>
    </row>
    <row r="37079" spans="10:10" x14ac:dyDescent="0.3">
      <c r="J37079"/>
    </row>
    <row r="37080" spans="10:10" x14ac:dyDescent="0.3">
      <c r="J37080"/>
    </row>
    <row r="37081" spans="10:10" x14ac:dyDescent="0.3">
      <c r="J37081"/>
    </row>
    <row r="37082" spans="10:10" x14ac:dyDescent="0.3">
      <c r="J37082"/>
    </row>
    <row r="37083" spans="10:10" x14ac:dyDescent="0.3">
      <c r="J37083"/>
    </row>
    <row r="37084" spans="10:10" x14ac:dyDescent="0.3">
      <c r="J37084"/>
    </row>
    <row r="37085" spans="10:10" x14ac:dyDescent="0.3">
      <c r="J37085"/>
    </row>
    <row r="37086" spans="10:10" x14ac:dyDescent="0.3">
      <c r="J37086"/>
    </row>
    <row r="37087" spans="10:10" x14ac:dyDescent="0.3">
      <c r="J37087"/>
    </row>
    <row r="37088" spans="10:10" x14ac:dyDescent="0.3">
      <c r="J37088"/>
    </row>
    <row r="37089" spans="10:10" x14ac:dyDescent="0.3">
      <c r="J37089"/>
    </row>
    <row r="37090" spans="10:10" x14ac:dyDescent="0.3">
      <c r="J37090"/>
    </row>
    <row r="37091" spans="10:10" x14ac:dyDescent="0.3">
      <c r="J37091"/>
    </row>
    <row r="37092" spans="10:10" x14ac:dyDescent="0.3">
      <c r="J37092"/>
    </row>
    <row r="37093" spans="10:10" x14ac:dyDescent="0.3">
      <c r="J37093"/>
    </row>
    <row r="37094" spans="10:10" x14ac:dyDescent="0.3">
      <c r="J37094"/>
    </row>
    <row r="37095" spans="10:10" x14ac:dyDescent="0.3">
      <c r="J37095"/>
    </row>
    <row r="37096" spans="10:10" x14ac:dyDescent="0.3">
      <c r="J37096"/>
    </row>
    <row r="37097" spans="10:10" x14ac:dyDescent="0.3">
      <c r="J37097"/>
    </row>
    <row r="37098" spans="10:10" x14ac:dyDescent="0.3">
      <c r="J37098"/>
    </row>
    <row r="37099" spans="10:10" x14ac:dyDescent="0.3">
      <c r="J37099"/>
    </row>
    <row r="37100" spans="10:10" x14ac:dyDescent="0.3">
      <c r="J37100"/>
    </row>
    <row r="37101" spans="10:10" x14ac:dyDescent="0.3">
      <c r="J37101"/>
    </row>
    <row r="37102" spans="10:10" x14ac:dyDescent="0.3">
      <c r="J37102"/>
    </row>
    <row r="37103" spans="10:10" x14ac:dyDescent="0.3">
      <c r="J37103"/>
    </row>
    <row r="37104" spans="10:10" x14ac:dyDescent="0.3">
      <c r="J37104"/>
    </row>
    <row r="37105" spans="10:10" x14ac:dyDescent="0.3">
      <c r="J37105"/>
    </row>
    <row r="37106" spans="10:10" x14ac:dyDescent="0.3">
      <c r="J37106"/>
    </row>
    <row r="37107" spans="10:10" x14ac:dyDescent="0.3">
      <c r="J37107"/>
    </row>
    <row r="37108" spans="10:10" x14ac:dyDescent="0.3">
      <c r="J37108"/>
    </row>
    <row r="37109" spans="10:10" x14ac:dyDescent="0.3">
      <c r="J37109"/>
    </row>
    <row r="37110" spans="10:10" x14ac:dyDescent="0.3">
      <c r="J37110"/>
    </row>
    <row r="37111" spans="10:10" x14ac:dyDescent="0.3">
      <c r="J37111"/>
    </row>
    <row r="37112" spans="10:10" x14ac:dyDescent="0.3">
      <c r="J37112"/>
    </row>
    <row r="37113" spans="10:10" x14ac:dyDescent="0.3">
      <c r="J37113"/>
    </row>
    <row r="37114" spans="10:10" x14ac:dyDescent="0.3">
      <c r="J37114"/>
    </row>
    <row r="37115" spans="10:10" x14ac:dyDescent="0.3">
      <c r="J37115"/>
    </row>
    <row r="37116" spans="10:10" x14ac:dyDescent="0.3">
      <c r="J37116"/>
    </row>
    <row r="37117" spans="10:10" x14ac:dyDescent="0.3">
      <c r="J37117"/>
    </row>
    <row r="37118" spans="10:10" x14ac:dyDescent="0.3">
      <c r="J37118"/>
    </row>
    <row r="37119" spans="10:10" x14ac:dyDescent="0.3">
      <c r="J37119"/>
    </row>
    <row r="37120" spans="10:10" x14ac:dyDescent="0.3">
      <c r="J37120"/>
    </row>
    <row r="37121" spans="10:10" x14ac:dyDescent="0.3">
      <c r="J37121"/>
    </row>
    <row r="37122" spans="10:10" x14ac:dyDescent="0.3">
      <c r="J37122"/>
    </row>
    <row r="37123" spans="10:10" x14ac:dyDescent="0.3">
      <c r="J37123"/>
    </row>
    <row r="37124" spans="10:10" x14ac:dyDescent="0.3">
      <c r="J37124"/>
    </row>
    <row r="37125" spans="10:10" x14ac:dyDescent="0.3">
      <c r="J37125"/>
    </row>
    <row r="37126" spans="10:10" x14ac:dyDescent="0.3">
      <c r="J37126"/>
    </row>
    <row r="37127" spans="10:10" x14ac:dyDescent="0.3">
      <c r="J37127"/>
    </row>
    <row r="37128" spans="10:10" x14ac:dyDescent="0.3">
      <c r="J37128"/>
    </row>
    <row r="37129" spans="10:10" x14ac:dyDescent="0.3">
      <c r="J37129"/>
    </row>
    <row r="37130" spans="10:10" x14ac:dyDescent="0.3">
      <c r="J37130"/>
    </row>
    <row r="37131" spans="10:10" x14ac:dyDescent="0.3">
      <c r="J37131"/>
    </row>
    <row r="37132" spans="10:10" x14ac:dyDescent="0.3">
      <c r="J37132"/>
    </row>
    <row r="37133" spans="10:10" x14ac:dyDescent="0.3">
      <c r="J37133"/>
    </row>
    <row r="37134" spans="10:10" x14ac:dyDescent="0.3">
      <c r="J37134"/>
    </row>
    <row r="37135" spans="10:10" x14ac:dyDescent="0.3">
      <c r="J37135"/>
    </row>
    <row r="37136" spans="10:10" x14ac:dyDescent="0.3">
      <c r="J37136"/>
    </row>
    <row r="37137" spans="10:10" x14ac:dyDescent="0.3">
      <c r="J37137"/>
    </row>
    <row r="37138" spans="10:10" x14ac:dyDescent="0.3">
      <c r="J37138"/>
    </row>
    <row r="37139" spans="10:10" x14ac:dyDescent="0.3">
      <c r="J37139"/>
    </row>
    <row r="37140" spans="10:10" x14ac:dyDescent="0.3">
      <c r="J37140"/>
    </row>
    <row r="37141" spans="10:10" x14ac:dyDescent="0.3">
      <c r="J37141"/>
    </row>
    <row r="37142" spans="10:10" x14ac:dyDescent="0.3">
      <c r="J37142"/>
    </row>
    <row r="37143" spans="10:10" x14ac:dyDescent="0.3">
      <c r="J37143"/>
    </row>
    <row r="37144" spans="10:10" x14ac:dyDescent="0.3">
      <c r="J37144"/>
    </row>
    <row r="37145" spans="10:10" x14ac:dyDescent="0.3">
      <c r="J37145"/>
    </row>
    <row r="37146" spans="10:10" x14ac:dyDescent="0.3">
      <c r="J37146"/>
    </row>
    <row r="37147" spans="10:10" x14ac:dyDescent="0.3">
      <c r="J37147"/>
    </row>
    <row r="37148" spans="10:10" x14ac:dyDescent="0.3">
      <c r="J37148"/>
    </row>
    <row r="37149" spans="10:10" x14ac:dyDescent="0.3">
      <c r="J37149"/>
    </row>
    <row r="37150" spans="10:10" x14ac:dyDescent="0.3">
      <c r="J37150"/>
    </row>
    <row r="37151" spans="10:10" x14ac:dyDescent="0.3">
      <c r="J37151"/>
    </row>
    <row r="37152" spans="10:10" x14ac:dyDescent="0.3">
      <c r="J37152"/>
    </row>
    <row r="37153" spans="10:10" x14ac:dyDescent="0.3">
      <c r="J37153"/>
    </row>
    <row r="37154" spans="10:10" x14ac:dyDescent="0.3">
      <c r="J37154"/>
    </row>
    <row r="37155" spans="10:10" x14ac:dyDescent="0.3">
      <c r="J37155"/>
    </row>
    <row r="37156" spans="10:10" x14ac:dyDescent="0.3">
      <c r="J37156"/>
    </row>
    <row r="37157" spans="10:10" x14ac:dyDescent="0.3">
      <c r="J37157"/>
    </row>
    <row r="37158" spans="10:10" x14ac:dyDescent="0.3">
      <c r="J37158"/>
    </row>
    <row r="37159" spans="10:10" x14ac:dyDescent="0.3">
      <c r="J37159"/>
    </row>
    <row r="37160" spans="10:10" x14ac:dyDescent="0.3">
      <c r="J37160"/>
    </row>
    <row r="37161" spans="10:10" x14ac:dyDescent="0.3">
      <c r="J37161"/>
    </row>
    <row r="37162" spans="10:10" x14ac:dyDescent="0.3">
      <c r="J37162"/>
    </row>
    <row r="37163" spans="10:10" x14ac:dyDescent="0.3">
      <c r="J37163"/>
    </row>
    <row r="37164" spans="10:10" x14ac:dyDescent="0.3">
      <c r="J37164"/>
    </row>
    <row r="37165" spans="10:10" x14ac:dyDescent="0.3">
      <c r="J37165"/>
    </row>
    <row r="37166" spans="10:10" x14ac:dyDescent="0.3">
      <c r="J37166"/>
    </row>
    <row r="37167" spans="10:10" x14ac:dyDescent="0.3">
      <c r="J37167"/>
    </row>
    <row r="37168" spans="10:10" x14ac:dyDescent="0.3">
      <c r="J37168"/>
    </row>
    <row r="37169" spans="10:10" x14ac:dyDescent="0.3">
      <c r="J37169"/>
    </row>
    <row r="37170" spans="10:10" x14ac:dyDescent="0.3">
      <c r="J37170"/>
    </row>
    <row r="37171" spans="10:10" x14ac:dyDescent="0.3">
      <c r="J37171"/>
    </row>
    <row r="37172" spans="10:10" x14ac:dyDescent="0.3">
      <c r="J37172"/>
    </row>
    <row r="37173" spans="10:10" x14ac:dyDescent="0.3">
      <c r="J37173"/>
    </row>
    <row r="37174" spans="10:10" x14ac:dyDescent="0.3">
      <c r="J37174"/>
    </row>
    <row r="37175" spans="10:10" x14ac:dyDescent="0.3">
      <c r="J37175"/>
    </row>
    <row r="37176" spans="10:10" x14ac:dyDescent="0.3">
      <c r="J37176"/>
    </row>
    <row r="37177" spans="10:10" x14ac:dyDescent="0.3">
      <c r="J37177"/>
    </row>
    <row r="37178" spans="10:10" x14ac:dyDescent="0.3">
      <c r="J37178"/>
    </row>
    <row r="37179" spans="10:10" x14ac:dyDescent="0.3">
      <c r="J37179"/>
    </row>
    <row r="37180" spans="10:10" x14ac:dyDescent="0.3">
      <c r="J37180"/>
    </row>
    <row r="37181" spans="10:10" x14ac:dyDescent="0.3">
      <c r="J37181"/>
    </row>
    <row r="37182" spans="10:10" x14ac:dyDescent="0.3">
      <c r="J37182"/>
    </row>
    <row r="37183" spans="10:10" x14ac:dyDescent="0.3">
      <c r="J37183"/>
    </row>
    <row r="37184" spans="10:10" x14ac:dyDescent="0.3">
      <c r="J37184"/>
    </row>
    <row r="37185" spans="10:10" x14ac:dyDescent="0.3">
      <c r="J37185"/>
    </row>
    <row r="37186" spans="10:10" x14ac:dyDescent="0.3">
      <c r="J37186"/>
    </row>
    <row r="37187" spans="10:10" x14ac:dyDescent="0.3">
      <c r="J37187"/>
    </row>
    <row r="37188" spans="10:10" x14ac:dyDescent="0.3">
      <c r="J37188"/>
    </row>
    <row r="37189" spans="10:10" x14ac:dyDescent="0.3">
      <c r="J37189"/>
    </row>
    <row r="37190" spans="10:10" x14ac:dyDescent="0.3">
      <c r="J37190"/>
    </row>
    <row r="37191" spans="10:10" x14ac:dyDescent="0.3">
      <c r="J37191"/>
    </row>
    <row r="37192" spans="10:10" x14ac:dyDescent="0.3">
      <c r="J37192"/>
    </row>
    <row r="37193" spans="10:10" x14ac:dyDescent="0.3">
      <c r="J37193"/>
    </row>
    <row r="37194" spans="10:10" x14ac:dyDescent="0.3">
      <c r="J37194"/>
    </row>
    <row r="37195" spans="10:10" x14ac:dyDescent="0.3">
      <c r="J37195"/>
    </row>
    <row r="37196" spans="10:10" x14ac:dyDescent="0.3">
      <c r="J37196"/>
    </row>
    <row r="37197" spans="10:10" x14ac:dyDescent="0.3">
      <c r="J37197"/>
    </row>
    <row r="37198" spans="10:10" x14ac:dyDescent="0.3">
      <c r="J37198"/>
    </row>
    <row r="37199" spans="10:10" x14ac:dyDescent="0.3">
      <c r="J37199"/>
    </row>
    <row r="37200" spans="10:10" x14ac:dyDescent="0.3">
      <c r="J37200"/>
    </row>
    <row r="37201" spans="10:10" x14ac:dyDescent="0.3">
      <c r="J37201"/>
    </row>
    <row r="37202" spans="10:10" x14ac:dyDescent="0.3">
      <c r="J37202"/>
    </row>
    <row r="37203" spans="10:10" x14ac:dyDescent="0.3">
      <c r="J37203"/>
    </row>
    <row r="37204" spans="10:10" x14ac:dyDescent="0.3">
      <c r="J37204"/>
    </row>
    <row r="37205" spans="10:10" x14ac:dyDescent="0.3">
      <c r="J37205"/>
    </row>
    <row r="37206" spans="10:10" x14ac:dyDescent="0.3">
      <c r="J37206"/>
    </row>
    <row r="37207" spans="10:10" x14ac:dyDescent="0.3">
      <c r="J37207"/>
    </row>
    <row r="37208" spans="10:10" x14ac:dyDescent="0.3">
      <c r="J37208"/>
    </row>
    <row r="37209" spans="10:10" x14ac:dyDescent="0.3">
      <c r="J37209"/>
    </row>
    <row r="37210" spans="10:10" x14ac:dyDescent="0.3">
      <c r="J37210"/>
    </row>
    <row r="37211" spans="10:10" x14ac:dyDescent="0.3">
      <c r="J37211"/>
    </row>
    <row r="37212" spans="10:10" x14ac:dyDescent="0.3">
      <c r="J37212"/>
    </row>
    <row r="37213" spans="10:10" x14ac:dyDescent="0.3">
      <c r="J37213"/>
    </row>
    <row r="37214" spans="10:10" x14ac:dyDescent="0.3">
      <c r="J37214"/>
    </row>
    <row r="37215" spans="10:10" x14ac:dyDescent="0.3">
      <c r="J37215"/>
    </row>
    <row r="37216" spans="10:10" x14ac:dyDescent="0.3">
      <c r="J37216"/>
    </row>
    <row r="37217" spans="10:10" x14ac:dyDescent="0.3">
      <c r="J37217"/>
    </row>
    <row r="37218" spans="10:10" x14ac:dyDescent="0.3">
      <c r="J37218"/>
    </row>
    <row r="37219" spans="10:10" x14ac:dyDescent="0.3">
      <c r="J37219"/>
    </row>
    <row r="37220" spans="10:10" x14ac:dyDescent="0.3">
      <c r="J37220"/>
    </row>
    <row r="37221" spans="10:10" x14ac:dyDescent="0.3">
      <c r="J37221"/>
    </row>
    <row r="37222" spans="10:10" x14ac:dyDescent="0.3">
      <c r="J37222"/>
    </row>
    <row r="37223" spans="10:10" x14ac:dyDescent="0.3">
      <c r="J37223"/>
    </row>
    <row r="37224" spans="10:10" x14ac:dyDescent="0.3">
      <c r="J37224"/>
    </row>
    <row r="37225" spans="10:10" x14ac:dyDescent="0.3">
      <c r="J37225"/>
    </row>
    <row r="37226" spans="10:10" x14ac:dyDescent="0.3">
      <c r="J37226"/>
    </row>
    <row r="37227" spans="10:10" x14ac:dyDescent="0.3">
      <c r="J37227"/>
    </row>
    <row r="37228" spans="10:10" x14ac:dyDescent="0.3">
      <c r="J37228"/>
    </row>
    <row r="37229" spans="10:10" x14ac:dyDescent="0.3">
      <c r="J37229"/>
    </row>
    <row r="37230" spans="10:10" x14ac:dyDescent="0.3">
      <c r="J37230"/>
    </row>
    <row r="37231" spans="10:10" x14ac:dyDescent="0.3">
      <c r="J37231"/>
    </row>
    <row r="37232" spans="10:10" x14ac:dyDescent="0.3">
      <c r="J37232"/>
    </row>
    <row r="37233" spans="10:10" x14ac:dyDescent="0.3">
      <c r="J37233"/>
    </row>
    <row r="37234" spans="10:10" x14ac:dyDescent="0.3">
      <c r="J37234"/>
    </row>
    <row r="37235" spans="10:10" x14ac:dyDescent="0.3">
      <c r="J37235"/>
    </row>
    <row r="37236" spans="10:10" x14ac:dyDescent="0.3">
      <c r="J37236"/>
    </row>
    <row r="37237" spans="10:10" x14ac:dyDescent="0.3">
      <c r="J37237"/>
    </row>
    <row r="37238" spans="10:10" x14ac:dyDescent="0.3">
      <c r="J37238"/>
    </row>
    <row r="37239" spans="10:10" x14ac:dyDescent="0.3">
      <c r="J37239"/>
    </row>
    <row r="37240" spans="10:10" x14ac:dyDescent="0.3">
      <c r="J37240"/>
    </row>
    <row r="37241" spans="10:10" x14ac:dyDescent="0.3">
      <c r="J37241"/>
    </row>
    <row r="37242" spans="10:10" x14ac:dyDescent="0.3">
      <c r="J37242"/>
    </row>
    <row r="37243" spans="10:10" x14ac:dyDescent="0.3">
      <c r="J37243"/>
    </row>
    <row r="37244" spans="10:10" x14ac:dyDescent="0.3">
      <c r="J37244"/>
    </row>
    <row r="37245" spans="10:10" x14ac:dyDescent="0.3">
      <c r="J37245"/>
    </row>
    <row r="37246" spans="10:10" x14ac:dyDescent="0.3">
      <c r="J37246"/>
    </row>
    <row r="37247" spans="10:10" x14ac:dyDescent="0.3">
      <c r="J37247"/>
    </row>
    <row r="37248" spans="10:10" x14ac:dyDescent="0.3">
      <c r="J37248"/>
    </row>
    <row r="37249" spans="10:10" x14ac:dyDescent="0.3">
      <c r="J37249"/>
    </row>
    <row r="37250" spans="10:10" x14ac:dyDescent="0.3">
      <c r="J37250"/>
    </row>
    <row r="37251" spans="10:10" x14ac:dyDescent="0.3">
      <c r="J37251"/>
    </row>
    <row r="37252" spans="10:10" x14ac:dyDescent="0.3">
      <c r="J37252"/>
    </row>
    <row r="37253" spans="10:10" x14ac:dyDescent="0.3">
      <c r="J37253"/>
    </row>
    <row r="37254" spans="10:10" x14ac:dyDescent="0.3">
      <c r="J37254"/>
    </row>
    <row r="37255" spans="10:10" x14ac:dyDescent="0.3">
      <c r="J37255"/>
    </row>
    <row r="37256" spans="10:10" x14ac:dyDescent="0.3">
      <c r="J37256"/>
    </row>
    <row r="37257" spans="10:10" x14ac:dyDescent="0.3">
      <c r="J37257"/>
    </row>
    <row r="37258" spans="10:10" x14ac:dyDescent="0.3">
      <c r="J37258"/>
    </row>
    <row r="37259" spans="10:10" x14ac:dyDescent="0.3">
      <c r="J37259"/>
    </row>
    <row r="37260" spans="10:10" x14ac:dyDescent="0.3">
      <c r="J37260"/>
    </row>
    <row r="37261" spans="10:10" x14ac:dyDescent="0.3">
      <c r="J37261"/>
    </row>
    <row r="37262" spans="10:10" x14ac:dyDescent="0.3">
      <c r="J37262"/>
    </row>
    <row r="37263" spans="10:10" x14ac:dyDescent="0.3">
      <c r="J37263"/>
    </row>
    <row r="37264" spans="10:10" x14ac:dyDescent="0.3">
      <c r="J37264"/>
    </row>
    <row r="37265" spans="10:10" x14ac:dyDescent="0.3">
      <c r="J37265"/>
    </row>
    <row r="37266" spans="10:10" x14ac:dyDescent="0.3">
      <c r="J37266"/>
    </row>
    <row r="37267" spans="10:10" x14ac:dyDescent="0.3">
      <c r="J37267"/>
    </row>
    <row r="37268" spans="10:10" x14ac:dyDescent="0.3">
      <c r="J37268"/>
    </row>
    <row r="37269" spans="10:10" x14ac:dyDescent="0.3">
      <c r="J37269"/>
    </row>
    <row r="37270" spans="10:10" x14ac:dyDescent="0.3">
      <c r="J37270"/>
    </row>
    <row r="37271" spans="10:10" x14ac:dyDescent="0.3">
      <c r="J37271"/>
    </row>
    <row r="37272" spans="10:10" x14ac:dyDescent="0.3">
      <c r="J37272"/>
    </row>
    <row r="37273" spans="10:10" x14ac:dyDescent="0.3">
      <c r="J37273"/>
    </row>
    <row r="37274" spans="10:10" x14ac:dyDescent="0.3">
      <c r="J37274"/>
    </row>
    <row r="37275" spans="10:10" x14ac:dyDescent="0.3">
      <c r="J37275"/>
    </row>
    <row r="37276" spans="10:10" x14ac:dyDescent="0.3">
      <c r="J37276"/>
    </row>
    <row r="37277" spans="10:10" x14ac:dyDescent="0.3">
      <c r="J37277"/>
    </row>
    <row r="37278" spans="10:10" x14ac:dyDescent="0.3">
      <c r="J37278"/>
    </row>
    <row r="37279" spans="10:10" x14ac:dyDescent="0.3">
      <c r="J37279"/>
    </row>
    <row r="37280" spans="10:10" x14ac:dyDescent="0.3">
      <c r="J37280"/>
    </row>
    <row r="37281" spans="10:10" x14ac:dyDescent="0.3">
      <c r="J37281"/>
    </row>
    <row r="37282" spans="10:10" x14ac:dyDescent="0.3">
      <c r="J37282"/>
    </row>
    <row r="37283" spans="10:10" x14ac:dyDescent="0.3">
      <c r="J37283"/>
    </row>
    <row r="37284" spans="10:10" x14ac:dyDescent="0.3">
      <c r="J37284"/>
    </row>
    <row r="37285" spans="10:10" x14ac:dyDescent="0.3">
      <c r="J37285"/>
    </row>
    <row r="37286" spans="10:10" x14ac:dyDescent="0.3">
      <c r="J37286"/>
    </row>
    <row r="37287" spans="10:10" x14ac:dyDescent="0.3">
      <c r="J37287"/>
    </row>
    <row r="37288" spans="10:10" x14ac:dyDescent="0.3">
      <c r="J37288"/>
    </row>
    <row r="37289" spans="10:10" x14ac:dyDescent="0.3">
      <c r="J37289"/>
    </row>
    <row r="37290" spans="10:10" x14ac:dyDescent="0.3">
      <c r="J37290"/>
    </row>
    <row r="37291" spans="10:10" x14ac:dyDescent="0.3">
      <c r="J37291"/>
    </row>
    <row r="37292" spans="10:10" x14ac:dyDescent="0.3">
      <c r="J37292"/>
    </row>
    <row r="37293" spans="10:10" x14ac:dyDescent="0.3">
      <c r="J37293"/>
    </row>
    <row r="37294" spans="10:10" x14ac:dyDescent="0.3">
      <c r="J37294"/>
    </row>
    <row r="37295" spans="10:10" x14ac:dyDescent="0.3">
      <c r="J37295"/>
    </row>
    <row r="37296" spans="10:10" x14ac:dyDescent="0.3">
      <c r="J37296"/>
    </row>
    <row r="37297" spans="10:10" x14ac:dyDescent="0.3">
      <c r="J37297"/>
    </row>
    <row r="37298" spans="10:10" x14ac:dyDescent="0.3">
      <c r="J37298"/>
    </row>
    <row r="37299" spans="10:10" x14ac:dyDescent="0.3">
      <c r="J37299"/>
    </row>
    <row r="37300" spans="10:10" x14ac:dyDescent="0.3">
      <c r="J37300"/>
    </row>
    <row r="37301" spans="10:10" x14ac:dyDescent="0.3">
      <c r="J37301"/>
    </row>
    <row r="37302" spans="10:10" x14ac:dyDescent="0.3">
      <c r="J37302"/>
    </row>
    <row r="37303" spans="10:10" x14ac:dyDescent="0.3">
      <c r="J37303"/>
    </row>
    <row r="37304" spans="10:10" x14ac:dyDescent="0.3">
      <c r="J37304"/>
    </row>
    <row r="37305" spans="10:10" x14ac:dyDescent="0.3">
      <c r="J37305"/>
    </row>
    <row r="37306" spans="10:10" x14ac:dyDescent="0.3">
      <c r="J37306"/>
    </row>
    <row r="37307" spans="10:10" x14ac:dyDescent="0.3">
      <c r="J37307"/>
    </row>
    <row r="37308" spans="10:10" x14ac:dyDescent="0.3">
      <c r="J37308"/>
    </row>
    <row r="37309" spans="10:10" x14ac:dyDescent="0.3">
      <c r="J37309"/>
    </row>
    <row r="37310" spans="10:10" x14ac:dyDescent="0.3">
      <c r="J37310"/>
    </row>
    <row r="37311" spans="10:10" x14ac:dyDescent="0.3">
      <c r="J37311"/>
    </row>
    <row r="37312" spans="10:10" x14ac:dyDescent="0.3">
      <c r="J37312"/>
    </row>
    <row r="37313" spans="10:10" x14ac:dyDescent="0.3">
      <c r="J37313"/>
    </row>
    <row r="37314" spans="10:10" x14ac:dyDescent="0.3">
      <c r="J37314"/>
    </row>
    <row r="37315" spans="10:10" x14ac:dyDescent="0.3">
      <c r="J37315"/>
    </row>
    <row r="37316" spans="10:10" x14ac:dyDescent="0.3">
      <c r="J37316"/>
    </row>
    <row r="37317" spans="10:10" x14ac:dyDescent="0.3">
      <c r="J37317"/>
    </row>
    <row r="37318" spans="10:10" x14ac:dyDescent="0.3">
      <c r="J37318"/>
    </row>
    <row r="37319" spans="10:10" x14ac:dyDescent="0.3">
      <c r="J37319"/>
    </row>
    <row r="37320" spans="10:10" x14ac:dyDescent="0.3">
      <c r="J37320"/>
    </row>
    <row r="37321" spans="10:10" x14ac:dyDescent="0.3">
      <c r="J37321"/>
    </row>
    <row r="37322" spans="10:10" x14ac:dyDescent="0.3">
      <c r="J37322"/>
    </row>
    <row r="37323" spans="10:10" x14ac:dyDescent="0.3">
      <c r="J37323"/>
    </row>
    <row r="37324" spans="10:10" x14ac:dyDescent="0.3">
      <c r="J37324"/>
    </row>
    <row r="37325" spans="10:10" x14ac:dyDescent="0.3">
      <c r="J37325"/>
    </row>
    <row r="37326" spans="10:10" x14ac:dyDescent="0.3">
      <c r="J37326"/>
    </row>
    <row r="37327" spans="10:10" x14ac:dyDescent="0.3">
      <c r="J37327"/>
    </row>
    <row r="37328" spans="10:10" x14ac:dyDescent="0.3">
      <c r="J37328"/>
    </row>
    <row r="37329" spans="10:10" x14ac:dyDescent="0.3">
      <c r="J37329"/>
    </row>
    <row r="37330" spans="10:10" x14ac:dyDescent="0.3">
      <c r="J37330"/>
    </row>
    <row r="37331" spans="10:10" x14ac:dyDescent="0.3">
      <c r="J37331"/>
    </row>
    <row r="37332" spans="10:10" x14ac:dyDescent="0.3">
      <c r="J37332"/>
    </row>
    <row r="37333" spans="10:10" x14ac:dyDescent="0.3">
      <c r="J37333"/>
    </row>
    <row r="37334" spans="10:10" x14ac:dyDescent="0.3">
      <c r="J37334"/>
    </row>
    <row r="37335" spans="10:10" x14ac:dyDescent="0.3">
      <c r="J37335"/>
    </row>
    <row r="37336" spans="10:10" x14ac:dyDescent="0.3">
      <c r="J37336"/>
    </row>
    <row r="37337" spans="10:10" x14ac:dyDescent="0.3">
      <c r="J37337"/>
    </row>
    <row r="37338" spans="10:10" x14ac:dyDescent="0.3">
      <c r="J37338"/>
    </row>
    <row r="37339" spans="10:10" x14ac:dyDescent="0.3">
      <c r="J37339"/>
    </row>
    <row r="37340" spans="10:10" x14ac:dyDescent="0.3">
      <c r="J37340"/>
    </row>
    <row r="37341" spans="10:10" x14ac:dyDescent="0.3">
      <c r="J37341"/>
    </row>
    <row r="37342" spans="10:10" x14ac:dyDescent="0.3">
      <c r="J37342"/>
    </row>
    <row r="37343" spans="10:10" x14ac:dyDescent="0.3">
      <c r="J37343"/>
    </row>
    <row r="37344" spans="10:10" x14ac:dyDescent="0.3">
      <c r="J37344"/>
    </row>
    <row r="37345" spans="10:10" x14ac:dyDescent="0.3">
      <c r="J37345"/>
    </row>
    <row r="37346" spans="10:10" x14ac:dyDescent="0.3">
      <c r="J37346"/>
    </row>
    <row r="37347" spans="10:10" x14ac:dyDescent="0.3">
      <c r="J37347"/>
    </row>
    <row r="37348" spans="10:10" x14ac:dyDescent="0.3">
      <c r="J37348"/>
    </row>
    <row r="37349" spans="10:10" x14ac:dyDescent="0.3">
      <c r="J37349"/>
    </row>
    <row r="37350" spans="10:10" x14ac:dyDescent="0.3">
      <c r="J37350"/>
    </row>
    <row r="37351" spans="10:10" x14ac:dyDescent="0.3">
      <c r="J37351"/>
    </row>
    <row r="37352" spans="10:10" x14ac:dyDescent="0.3">
      <c r="J37352"/>
    </row>
    <row r="37353" spans="10:10" x14ac:dyDescent="0.3">
      <c r="J37353"/>
    </row>
    <row r="37354" spans="10:10" x14ac:dyDescent="0.3">
      <c r="J37354"/>
    </row>
    <row r="37355" spans="10:10" x14ac:dyDescent="0.3">
      <c r="J37355"/>
    </row>
    <row r="37356" spans="10:10" x14ac:dyDescent="0.3">
      <c r="J37356"/>
    </row>
    <row r="37357" spans="10:10" x14ac:dyDescent="0.3">
      <c r="J37357"/>
    </row>
    <row r="37358" spans="10:10" x14ac:dyDescent="0.3">
      <c r="J37358"/>
    </row>
    <row r="37359" spans="10:10" x14ac:dyDescent="0.3">
      <c r="J37359"/>
    </row>
    <row r="37360" spans="10:10" x14ac:dyDescent="0.3">
      <c r="J37360"/>
    </row>
    <row r="37361" spans="10:10" x14ac:dyDescent="0.3">
      <c r="J37361"/>
    </row>
    <row r="37362" spans="10:10" x14ac:dyDescent="0.3">
      <c r="J37362"/>
    </row>
    <row r="37363" spans="10:10" x14ac:dyDescent="0.3">
      <c r="J37363"/>
    </row>
    <row r="37364" spans="10:10" x14ac:dyDescent="0.3">
      <c r="J37364"/>
    </row>
    <row r="37365" spans="10:10" x14ac:dyDescent="0.3">
      <c r="J37365"/>
    </row>
    <row r="37366" spans="10:10" x14ac:dyDescent="0.3">
      <c r="J37366"/>
    </row>
    <row r="37367" spans="10:10" x14ac:dyDescent="0.3">
      <c r="J37367"/>
    </row>
    <row r="37368" spans="10:10" x14ac:dyDescent="0.3">
      <c r="J37368"/>
    </row>
    <row r="37369" spans="10:10" x14ac:dyDescent="0.3">
      <c r="J37369"/>
    </row>
    <row r="37370" spans="10:10" x14ac:dyDescent="0.3">
      <c r="J37370"/>
    </row>
    <row r="37371" spans="10:10" x14ac:dyDescent="0.3">
      <c r="J37371"/>
    </row>
    <row r="37372" spans="10:10" x14ac:dyDescent="0.3">
      <c r="J37372"/>
    </row>
    <row r="37373" spans="10:10" x14ac:dyDescent="0.3">
      <c r="J37373"/>
    </row>
    <row r="37374" spans="10:10" x14ac:dyDescent="0.3">
      <c r="J37374"/>
    </row>
    <row r="37375" spans="10:10" x14ac:dyDescent="0.3">
      <c r="J37375"/>
    </row>
    <row r="37376" spans="10:10" x14ac:dyDescent="0.3">
      <c r="J37376"/>
    </row>
    <row r="37377" spans="10:10" x14ac:dyDescent="0.3">
      <c r="J37377"/>
    </row>
    <row r="37378" spans="10:10" x14ac:dyDescent="0.3">
      <c r="J37378"/>
    </row>
    <row r="37379" spans="10:10" x14ac:dyDescent="0.3">
      <c r="J37379"/>
    </row>
    <row r="37380" spans="10:10" x14ac:dyDescent="0.3">
      <c r="J37380"/>
    </row>
    <row r="37381" spans="10:10" x14ac:dyDescent="0.3">
      <c r="J37381"/>
    </row>
    <row r="37382" spans="10:10" x14ac:dyDescent="0.3">
      <c r="J37382"/>
    </row>
    <row r="37383" spans="10:10" x14ac:dyDescent="0.3">
      <c r="J37383"/>
    </row>
    <row r="37384" spans="10:10" x14ac:dyDescent="0.3">
      <c r="J37384"/>
    </row>
    <row r="37385" spans="10:10" x14ac:dyDescent="0.3">
      <c r="J37385"/>
    </row>
    <row r="37386" spans="10:10" x14ac:dyDescent="0.3">
      <c r="J37386"/>
    </row>
    <row r="37387" spans="10:10" x14ac:dyDescent="0.3">
      <c r="J37387"/>
    </row>
    <row r="37388" spans="10:10" x14ac:dyDescent="0.3">
      <c r="J37388"/>
    </row>
    <row r="37389" spans="10:10" x14ac:dyDescent="0.3">
      <c r="J37389"/>
    </row>
    <row r="37390" spans="10:10" x14ac:dyDescent="0.3">
      <c r="J37390"/>
    </row>
    <row r="37391" spans="10:10" x14ac:dyDescent="0.3">
      <c r="J37391"/>
    </row>
    <row r="37392" spans="10:10" x14ac:dyDescent="0.3">
      <c r="J37392"/>
    </row>
    <row r="37393" spans="10:10" x14ac:dyDescent="0.3">
      <c r="J37393"/>
    </row>
    <row r="37394" spans="10:10" x14ac:dyDescent="0.3">
      <c r="J37394"/>
    </row>
    <row r="37395" spans="10:10" x14ac:dyDescent="0.3">
      <c r="J37395"/>
    </row>
    <row r="37396" spans="10:10" x14ac:dyDescent="0.3">
      <c r="J37396"/>
    </row>
    <row r="37397" spans="10:10" x14ac:dyDescent="0.3">
      <c r="J37397"/>
    </row>
    <row r="37398" spans="10:10" x14ac:dyDescent="0.3">
      <c r="J37398"/>
    </row>
    <row r="37399" spans="10:10" x14ac:dyDescent="0.3">
      <c r="J37399"/>
    </row>
    <row r="37400" spans="10:10" x14ac:dyDescent="0.3">
      <c r="J37400"/>
    </row>
    <row r="37401" spans="10:10" x14ac:dyDescent="0.3">
      <c r="J37401"/>
    </row>
    <row r="37402" spans="10:10" x14ac:dyDescent="0.3">
      <c r="J37402"/>
    </row>
    <row r="37403" spans="10:10" x14ac:dyDescent="0.3">
      <c r="J37403"/>
    </row>
    <row r="37404" spans="10:10" x14ac:dyDescent="0.3">
      <c r="J37404"/>
    </row>
    <row r="37405" spans="10:10" x14ac:dyDescent="0.3">
      <c r="J37405"/>
    </row>
    <row r="37406" spans="10:10" x14ac:dyDescent="0.3">
      <c r="J37406"/>
    </row>
    <row r="37407" spans="10:10" x14ac:dyDescent="0.3">
      <c r="J37407"/>
    </row>
    <row r="37408" spans="10:10" x14ac:dyDescent="0.3">
      <c r="J37408"/>
    </row>
    <row r="37409" spans="10:10" x14ac:dyDescent="0.3">
      <c r="J37409"/>
    </row>
    <row r="37410" spans="10:10" x14ac:dyDescent="0.3">
      <c r="J37410"/>
    </row>
    <row r="37411" spans="10:10" x14ac:dyDescent="0.3">
      <c r="J37411"/>
    </row>
    <row r="37412" spans="10:10" x14ac:dyDescent="0.3">
      <c r="J37412"/>
    </row>
    <row r="37413" spans="10:10" x14ac:dyDescent="0.3">
      <c r="J37413"/>
    </row>
    <row r="37414" spans="10:10" x14ac:dyDescent="0.3">
      <c r="J37414"/>
    </row>
    <row r="37415" spans="10:10" x14ac:dyDescent="0.3">
      <c r="J37415"/>
    </row>
    <row r="37416" spans="10:10" x14ac:dyDescent="0.3">
      <c r="J37416"/>
    </row>
    <row r="37417" spans="10:10" x14ac:dyDescent="0.3">
      <c r="J37417"/>
    </row>
    <row r="37418" spans="10:10" x14ac:dyDescent="0.3">
      <c r="J37418"/>
    </row>
    <row r="37419" spans="10:10" x14ac:dyDescent="0.3">
      <c r="J37419"/>
    </row>
    <row r="37420" spans="10:10" x14ac:dyDescent="0.3">
      <c r="J37420"/>
    </row>
    <row r="37421" spans="10:10" x14ac:dyDescent="0.3">
      <c r="J37421"/>
    </row>
    <row r="37422" spans="10:10" x14ac:dyDescent="0.3">
      <c r="J37422"/>
    </row>
    <row r="37423" spans="10:10" x14ac:dyDescent="0.3">
      <c r="J37423"/>
    </row>
    <row r="37424" spans="10:10" x14ac:dyDescent="0.3">
      <c r="J37424"/>
    </row>
    <row r="37425" spans="10:10" x14ac:dyDescent="0.3">
      <c r="J37425"/>
    </row>
    <row r="37426" spans="10:10" x14ac:dyDescent="0.3">
      <c r="J37426"/>
    </row>
    <row r="37427" spans="10:10" x14ac:dyDescent="0.3">
      <c r="J37427"/>
    </row>
    <row r="37428" spans="10:10" x14ac:dyDescent="0.3">
      <c r="J37428"/>
    </row>
    <row r="37429" spans="10:10" x14ac:dyDescent="0.3">
      <c r="J37429"/>
    </row>
    <row r="37430" spans="10:10" x14ac:dyDescent="0.3">
      <c r="J37430"/>
    </row>
    <row r="37431" spans="10:10" x14ac:dyDescent="0.3">
      <c r="J37431"/>
    </row>
    <row r="37432" spans="10:10" x14ac:dyDescent="0.3">
      <c r="J37432"/>
    </row>
    <row r="37433" spans="10:10" x14ac:dyDescent="0.3">
      <c r="J37433"/>
    </row>
    <row r="37434" spans="10:10" x14ac:dyDescent="0.3">
      <c r="J37434"/>
    </row>
    <row r="37435" spans="10:10" x14ac:dyDescent="0.3">
      <c r="J37435"/>
    </row>
    <row r="37436" spans="10:10" x14ac:dyDescent="0.3">
      <c r="J37436"/>
    </row>
    <row r="37437" spans="10:10" x14ac:dyDescent="0.3">
      <c r="J37437"/>
    </row>
    <row r="37438" spans="10:10" x14ac:dyDescent="0.3">
      <c r="J37438"/>
    </row>
    <row r="37439" spans="10:10" x14ac:dyDescent="0.3">
      <c r="J37439"/>
    </row>
    <row r="37440" spans="10:10" x14ac:dyDescent="0.3">
      <c r="J37440"/>
    </row>
    <row r="37441" spans="10:10" x14ac:dyDescent="0.3">
      <c r="J37441"/>
    </row>
    <row r="37442" spans="10:10" x14ac:dyDescent="0.3">
      <c r="J37442"/>
    </row>
    <row r="37443" spans="10:10" x14ac:dyDescent="0.3">
      <c r="J37443"/>
    </row>
    <row r="37444" spans="10:10" x14ac:dyDescent="0.3">
      <c r="J37444"/>
    </row>
    <row r="37445" spans="10:10" x14ac:dyDescent="0.3">
      <c r="J37445"/>
    </row>
    <row r="37446" spans="10:10" x14ac:dyDescent="0.3">
      <c r="J37446"/>
    </row>
    <row r="37447" spans="10:10" x14ac:dyDescent="0.3">
      <c r="J37447"/>
    </row>
    <row r="37448" spans="10:10" x14ac:dyDescent="0.3">
      <c r="J37448"/>
    </row>
    <row r="37449" spans="10:10" x14ac:dyDescent="0.3">
      <c r="J37449"/>
    </row>
    <row r="37450" spans="10:10" x14ac:dyDescent="0.3">
      <c r="J37450"/>
    </row>
    <row r="37451" spans="10:10" x14ac:dyDescent="0.3">
      <c r="J37451"/>
    </row>
    <row r="37452" spans="10:10" x14ac:dyDescent="0.3">
      <c r="J37452"/>
    </row>
    <row r="37453" spans="10:10" x14ac:dyDescent="0.3">
      <c r="J37453"/>
    </row>
    <row r="37454" spans="10:10" x14ac:dyDescent="0.3">
      <c r="J37454"/>
    </row>
    <row r="37455" spans="10:10" x14ac:dyDescent="0.3">
      <c r="J37455"/>
    </row>
    <row r="37456" spans="10:10" x14ac:dyDescent="0.3">
      <c r="J37456"/>
    </row>
    <row r="37457" spans="10:10" x14ac:dyDescent="0.3">
      <c r="J37457"/>
    </row>
    <row r="37458" spans="10:10" x14ac:dyDescent="0.3">
      <c r="J37458"/>
    </row>
    <row r="37459" spans="10:10" x14ac:dyDescent="0.3">
      <c r="J37459"/>
    </row>
    <row r="37460" spans="10:10" x14ac:dyDescent="0.3">
      <c r="J37460"/>
    </row>
    <row r="37461" spans="10:10" x14ac:dyDescent="0.3">
      <c r="J37461"/>
    </row>
    <row r="37462" spans="10:10" x14ac:dyDescent="0.3">
      <c r="J37462"/>
    </row>
    <row r="37463" spans="10:10" x14ac:dyDescent="0.3">
      <c r="J37463"/>
    </row>
    <row r="37464" spans="10:10" x14ac:dyDescent="0.3">
      <c r="J37464"/>
    </row>
    <row r="37465" spans="10:10" x14ac:dyDescent="0.3">
      <c r="J37465"/>
    </row>
    <row r="37466" spans="10:10" x14ac:dyDescent="0.3">
      <c r="J37466"/>
    </row>
    <row r="37467" spans="10:10" x14ac:dyDescent="0.3">
      <c r="J37467"/>
    </row>
    <row r="37468" spans="10:10" x14ac:dyDescent="0.3">
      <c r="J37468"/>
    </row>
    <row r="37469" spans="10:10" x14ac:dyDescent="0.3">
      <c r="J37469"/>
    </row>
    <row r="37470" spans="10:10" x14ac:dyDescent="0.3">
      <c r="J37470"/>
    </row>
    <row r="37471" spans="10:10" x14ac:dyDescent="0.3">
      <c r="J37471"/>
    </row>
    <row r="37472" spans="10:10" x14ac:dyDescent="0.3">
      <c r="J37472"/>
    </row>
    <row r="37473" spans="10:10" x14ac:dyDescent="0.3">
      <c r="J37473"/>
    </row>
    <row r="37474" spans="10:10" x14ac:dyDescent="0.3">
      <c r="J37474"/>
    </row>
    <row r="37475" spans="10:10" x14ac:dyDescent="0.3">
      <c r="J37475"/>
    </row>
    <row r="37476" spans="10:10" x14ac:dyDescent="0.3">
      <c r="J37476"/>
    </row>
    <row r="37477" spans="10:10" x14ac:dyDescent="0.3">
      <c r="J37477"/>
    </row>
    <row r="37478" spans="10:10" x14ac:dyDescent="0.3">
      <c r="J37478"/>
    </row>
    <row r="37479" spans="10:10" x14ac:dyDescent="0.3">
      <c r="J37479"/>
    </row>
    <row r="37480" spans="10:10" x14ac:dyDescent="0.3">
      <c r="J37480"/>
    </row>
    <row r="37481" spans="10:10" x14ac:dyDescent="0.3">
      <c r="J37481"/>
    </row>
    <row r="37482" spans="10:10" x14ac:dyDescent="0.3">
      <c r="J37482"/>
    </row>
    <row r="37483" spans="10:10" x14ac:dyDescent="0.3">
      <c r="J37483"/>
    </row>
    <row r="37484" spans="10:10" x14ac:dyDescent="0.3">
      <c r="J37484"/>
    </row>
    <row r="37485" spans="10:10" x14ac:dyDescent="0.3">
      <c r="J37485"/>
    </row>
    <row r="37486" spans="10:10" x14ac:dyDescent="0.3">
      <c r="J37486"/>
    </row>
    <row r="37487" spans="10:10" x14ac:dyDescent="0.3">
      <c r="J37487"/>
    </row>
    <row r="37488" spans="10:10" x14ac:dyDescent="0.3">
      <c r="J37488"/>
    </row>
    <row r="37489" spans="10:10" x14ac:dyDescent="0.3">
      <c r="J37489"/>
    </row>
    <row r="37490" spans="10:10" x14ac:dyDescent="0.3">
      <c r="J37490"/>
    </row>
    <row r="37491" spans="10:10" x14ac:dyDescent="0.3">
      <c r="J37491"/>
    </row>
    <row r="37492" spans="10:10" x14ac:dyDescent="0.3">
      <c r="J37492"/>
    </row>
    <row r="37493" spans="10:10" x14ac:dyDescent="0.3">
      <c r="J37493"/>
    </row>
    <row r="37494" spans="10:10" x14ac:dyDescent="0.3">
      <c r="J37494"/>
    </row>
    <row r="37495" spans="10:10" x14ac:dyDescent="0.3">
      <c r="J37495"/>
    </row>
    <row r="37496" spans="10:10" x14ac:dyDescent="0.3">
      <c r="J37496"/>
    </row>
    <row r="37497" spans="10:10" x14ac:dyDescent="0.3">
      <c r="J37497"/>
    </row>
    <row r="37498" spans="10:10" x14ac:dyDescent="0.3">
      <c r="J37498"/>
    </row>
    <row r="37499" spans="10:10" x14ac:dyDescent="0.3">
      <c r="J37499"/>
    </row>
    <row r="37500" spans="10:10" x14ac:dyDescent="0.3">
      <c r="J37500"/>
    </row>
    <row r="37501" spans="10:10" x14ac:dyDescent="0.3">
      <c r="J37501"/>
    </row>
    <row r="37502" spans="10:10" x14ac:dyDescent="0.3">
      <c r="J37502"/>
    </row>
    <row r="37503" spans="10:10" x14ac:dyDescent="0.3">
      <c r="J37503"/>
    </row>
    <row r="37504" spans="10:10" x14ac:dyDescent="0.3">
      <c r="J37504"/>
    </row>
    <row r="37505" spans="10:10" x14ac:dyDescent="0.3">
      <c r="J37505"/>
    </row>
    <row r="37506" spans="10:10" x14ac:dyDescent="0.3">
      <c r="J37506"/>
    </row>
    <row r="37507" spans="10:10" x14ac:dyDescent="0.3">
      <c r="J37507"/>
    </row>
    <row r="37508" spans="10:10" x14ac:dyDescent="0.3">
      <c r="J37508"/>
    </row>
    <row r="37509" spans="10:10" x14ac:dyDescent="0.3">
      <c r="J37509"/>
    </row>
    <row r="37510" spans="10:10" x14ac:dyDescent="0.3">
      <c r="J37510"/>
    </row>
    <row r="37511" spans="10:10" x14ac:dyDescent="0.3">
      <c r="J37511"/>
    </row>
    <row r="37512" spans="10:10" x14ac:dyDescent="0.3">
      <c r="J37512"/>
    </row>
    <row r="37513" spans="10:10" x14ac:dyDescent="0.3">
      <c r="J37513"/>
    </row>
    <row r="37514" spans="10:10" x14ac:dyDescent="0.3">
      <c r="J37514"/>
    </row>
    <row r="37515" spans="10:10" x14ac:dyDescent="0.3">
      <c r="J37515"/>
    </row>
    <row r="37516" spans="10:10" x14ac:dyDescent="0.3">
      <c r="J37516"/>
    </row>
    <row r="37517" spans="10:10" x14ac:dyDescent="0.3">
      <c r="J37517"/>
    </row>
    <row r="37518" spans="10:10" x14ac:dyDescent="0.3">
      <c r="J37518"/>
    </row>
    <row r="37519" spans="10:10" x14ac:dyDescent="0.3">
      <c r="J37519"/>
    </row>
    <row r="37520" spans="10:10" x14ac:dyDescent="0.3">
      <c r="J37520"/>
    </row>
    <row r="37521" spans="10:10" x14ac:dyDescent="0.3">
      <c r="J37521"/>
    </row>
    <row r="37522" spans="10:10" x14ac:dyDescent="0.3">
      <c r="J37522"/>
    </row>
    <row r="37523" spans="10:10" x14ac:dyDescent="0.3">
      <c r="J37523"/>
    </row>
    <row r="37524" spans="10:10" x14ac:dyDescent="0.3">
      <c r="J37524"/>
    </row>
    <row r="37525" spans="10:10" x14ac:dyDescent="0.3">
      <c r="J37525"/>
    </row>
    <row r="37526" spans="10:10" x14ac:dyDescent="0.3">
      <c r="J37526"/>
    </row>
    <row r="37527" spans="10:10" x14ac:dyDescent="0.3">
      <c r="J37527"/>
    </row>
    <row r="37528" spans="10:10" x14ac:dyDescent="0.3">
      <c r="J37528"/>
    </row>
    <row r="37529" spans="10:10" x14ac:dyDescent="0.3">
      <c r="J37529"/>
    </row>
    <row r="37530" spans="10:10" x14ac:dyDescent="0.3">
      <c r="J37530"/>
    </row>
    <row r="37531" spans="10:10" x14ac:dyDescent="0.3">
      <c r="J37531"/>
    </row>
    <row r="37532" spans="10:10" x14ac:dyDescent="0.3">
      <c r="J37532"/>
    </row>
    <row r="37533" spans="10:10" x14ac:dyDescent="0.3">
      <c r="J37533"/>
    </row>
    <row r="37534" spans="10:10" x14ac:dyDescent="0.3">
      <c r="J37534"/>
    </row>
    <row r="37535" spans="10:10" x14ac:dyDescent="0.3">
      <c r="J37535"/>
    </row>
    <row r="37536" spans="10:10" x14ac:dyDescent="0.3">
      <c r="J37536"/>
    </row>
    <row r="37537" spans="10:10" x14ac:dyDescent="0.3">
      <c r="J37537"/>
    </row>
    <row r="37538" spans="10:10" x14ac:dyDescent="0.3">
      <c r="J37538"/>
    </row>
    <row r="37539" spans="10:10" x14ac:dyDescent="0.3">
      <c r="J37539"/>
    </row>
    <row r="37540" spans="10:10" x14ac:dyDescent="0.3">
      <c r="J37540"/>
    </row>
    <row r="37541" spans="10:10" x14ac:dyDescent="0.3">
      <c r="J37541"/>
    </row>
    <row r="37542" spans="10:10" x14ac:dyDescent="0.3">
      <c r="J37542"/>
    </row>
    <row r="37543" spans="10:10" x14ac:dyDescent="0.3">
      <c r="J37543"/>
    </row>
    <row r="37544" spans="10:10" x14ac:dyDescent="0.3">
      <c r="J37544"/>
    </row>
    <row r="37545" spans="10:10" x14ac:dyDescent="0.3">
      <c r="J37545"/>
    </row>
    <row r="37546" spans="10:10" x14ac:dyDescent="0.3">
      <c r="J37546"/>
    </row>
    <row r="37547" spans="10:10" x14ac:dyDescent="0.3">
      <c r="J37547"/>
    </row>
    <row r="37548" spans="10:10" x14ac:dyDescent="0.3">
      <c r="J37548"/>
    </row>
    <row r="37549" spans="10:10" x14ac:dyDescent="0.3">
      <c r="J37549"/>
    </row>
    <row r="37550" spans="10:10" x14ac:dyDescent="0.3">
      <c r="J37550"/>
    </row>
    <row r="37551" spans="10:10" x14ac:dyDescent="0.3">
      <c r="J37551"/>
    </row>
    <row r="37552" spans="10:10" x14ac:dyDescent="0.3">
      <c r="J37552"/>
    </row>
    <row r="37553" spans="10:10" x14ac:dyDescent="0.3">
      <c r="J37553"/>
    </row>
    <row r="37554" spans="10:10" x14ac:dyDescent="0.3">
      <c r="J37554"/>
    </row>
    <row r="37555" spans="10:10" x14ac:dyDescent="0.3">
      <c r="J37555"/>
    </row>
    <row r="37556" spans="10:10" x14ac:dyDescent="0.3">
      <c r="J37556"/>
    </row>
    <row r="37557" spans="10:10" x14ac:dyDescent="0.3">
      <c r="J37557"/>
    </row>
    <row r="37558" spans="10:10" x14ac:dyDescent="0.3">
      <c r="J37558"/>
    </row>
    <row r="37559" spans="10:10" x14ac:dyDescent="0.3">
      <c r="J37559"/>
    </row>
    <row r="37560" spans="10:10" x14ac:dyDescent="0.3">
      <c r="J37560"/>
    </row>
    <row r="37561" spans="10:10" x14ac:dyDescent="0.3">
      <c r="J37561"/>
    </row>
    <row r="37562" spans="10:10" x14ac:dyDescent="0.3">
      <c r="J37562"/>
    </row>
    <row r="37563" spans="10:10" x14ac:dyDescent="0.3">
      <c r="J37563"/>
    </row>
    <row r="37564" spans="10:10" x14ac:dyDescent="0.3">
      <c r="J37564"/>
    </row>
    <row r="37565" spans="10:10" x14ac:dyDescent="0.3">
      <c r="J37565"/>
    </row>
    <row r="37566" spans="10:10" x14ac:dyDescent="0.3">
      <c r="J37566"/>
    </row>
    <row r="37567" spans="10:10" x14ac:dyDescent="0.3">
      <c r="J37567"/>
    </row>
    <row r="37568" spans="10:10" x14ac:dyDescent="0.3">
      <c r="J37568"/>
    </row>
    <row r="37569" spans="10:10" x14ac:dyDescent="0.3">
      <c r="J37569"/>
    </row>
    <row r="37570" spans="10:10" x14ac:dyDescent="0.3">
      <c r="J37570"/>
    </row>
    <row r="37571" spans="10:10" x14ac:dyDescent="0.3">
      <c r="J37571"/>
    </row>
    <row r="37572" spans="10:10" x14ac:dyDescent="0.3">
      <c r="J37572"/>
    </row>
    <row r="37573" spans="10:10" x14ac:dyDescent="0.3">
      <c r="J37573"/>
    </row>
    <row r="37574" spans="10:10" x14ac:dyDescent="0.3">
      <c r="J37574"/>
    </row>
    <row r="37575" spans="10:10" x14ac:dyDescent="0.3">
      <c r="J37575"/>
    </row>
    <row r="37576" spans="10:10" x14ac:dyDescent="0.3">
      <c r="J37576"/>
    </row>
    <row r="37577" spans="10:10" x14ac:dyDescent="0.3">
      <c r="J37577"/>
    </row>
    <row r="37578" spans="10:10" x14ac:dyDescent="0.3">
      <c r="J37578"/>
    </row>
    <row r="37579" spans="10:10" x14ac:dyDescent="0.3">
      <c r="J37579"/>
    </row>
    <row r="37580" spans="10:10" x14ac:dyDescent="0.3">
      <c r="J37580"/>
    </row>
    <row r="37581" spans="10:10" x14ac:dyDescent="0.3">
      <c r="J37581"/>
    </row>
    <row r="37582" spans="10:10" x14ac:dyDescent="0.3">
      <c r="J37582"/>
    </row>
    <row r="37583" spans="10:10" x14ac:dyDescent="0.3">
      <c r="J37583"/>
    </row>
    <row r="37584" spans="10:10" x14ac:dyDescent="0.3">
      <c r="J37584"/>
    </row>
    <row r="37585" spans="10:10" x14ac:dyDescent="0.3">
      <c r="J37585"/>
    </row>
    <row r="37586" spans="10:10" x14ac:dyDescent="0.3">
      <c r="J37586"/>
    </row>
    <row r="37587" spans="10:10" x14ac:dyDescent="0.3">
      <c r="J37587"/>
    </row>
    <row r="37588" spans="10:10" x14ac:dyDescent="0.3">
      <c r="J37588"/>
    </row>
    <row r="37589" spans="10:10" x14ac:dyDescent="0.3">
      <c r="J37589"/>
    </row>
    <row r="37590" spans="10:10" x14ac:dyDescent="0.3">
      <c r="J37590"/>
    </row>
    <row r="37591" spans="10:10" x14ac:dyDescent="0.3">
      <c r="J37591"/>
    </row>
    <row r="37592" spans="10:10" x14ac:dyDescent="0.3">
      <c r="J37592"/>
    </row>
    <row r="37593" spans="10:10" x14ac:dyDescent="0.3">
      <c r="J37593"/>
    </row>
    <row r="37594" spans="10:10" x14ac:dyDescent="0.3">
      <c r="J37594"/>
    </row>
    <row r="37595" spans="10:10" x14ac:dyDescent="0.3">
      <c r="J37595"/>
    </row>
    <row r="37596" spans="10:10" x14ac:dyDescent="0.3">
      <c r="J37596"/>
    </row>
    <row r="37597" spans="10:10" x14ac:dyDescent="0.3">
      <c r="J37597"/>
    </row>
    <row r="37598" spans="10:10" x14ac:dyDescent="0.3">
      <c r="J37598"/>
    </row>
    <row r="37599" spans="10:10" x14ac:dyDescent="0.3">
      <c r="J37599"/>
    </row>
    <row r="37600" spans="10:10" x14ac:dyDescent="0.3">
      <c r="J37600"/>
    </row>
    <row r="37601" spans="10:10" x14ac:dyDescent="0.3">
      <c r="J37601"/>
    </row>
    <row r="37602" spans="10:10" x14ac:dyDescent="0.3">
      <c r="J37602"/>
    </row>
    <row r="37603" spans="10:10" x14ac:dyDescent="0.3">
      <c r="J37603"/>
    </row>
    <row r="37604" spans="10:10" x14ac:dyDescent="0.3">
      <c r="J37604"/>
    </row>
    <row r="37605" spans="10:10" x14ac:dyDescent="0.3">
      <c r="J37605"/>
    </row>
    <row r="37606" spans="10:10" x14ac:dyDescent="0.3">
      <c r="J37606"/>
    </row>
    <row r="37607" spans="10:10" x14ac:dyDescent="0.3">
      <c r="J37607"/>
    </row>
    <row r="37608" spans="10:10" x14ac:dyDescent="0.3">
      <c r="J37608"/>
    </row>
    <row r="37609" spans="10:10" x14ac:dyDescent="0.3">
      <c r="J37609"/>
    </row>
    <row r="37610" spans="10:10" x14ac:dyDescent="0.3">
      <c r="J37610"/>
    </row>
    <row r="37611" spans="10:10" x14ac:dyDescent="0.3">
      <c r="J37611"/>
    </row>
    <row r="37612" spans="10:10" x14ac:dyDescent="0.3">
      <c r="J37612"/>
    </row>
    <row r="37613" spans="10:10" x14ac:dyDescent="0.3">
      <c r="J37613"/>
    </row>
    <row r="37614" spans="10:10" x14ac:dyDescent="0.3">
      <c r="J37614"/>
    </row>
    <row r="37615" spans="10:10" x14ac:dyDescent="0.3">
      <c r="J37615"/>
    </row>
    <row r="37616" spans="10:10" x14ac:dyDescent="0.3">
      <c r="J37616"/>
    </row>
    <row r="37617" spans="10:10" x14ac:dyDescent="0.3">
      <c r="J37617"/>
    </row>
    <row r="37618" spans="10:10" x14ac:dyDescent="0.3">
      <c r="J37618"/>
    </row>
    <row r="37619" spans="10:10" x14ac:dyDescent="0.3">
      <c r="J37619"/>
    </row>
    <row r="37620" spans="10:10" x14ac:dyDescent="0.3">
      <c r="J37620"/>
    </row>
    <row r="37621" spans="10:10" x14ac:dyDescent="0.3">
      <c r="J37621"/>
    </row>
    <row r="37622" spans="10:10" x14ac:dyDescent="0.3">
      <c r="J37622"/>
    </row>
    <row r="37623" spans="10:10" x14ac:dyDescent="0.3">
      <c r="J37623"/>
    </row>
    <row r="37624" spans="10:10" x14ac:dyDescent="0.3">
      <c r="J37624"/>
    </row>
    <row r="37625" spans="10:10" x14ac:dyDescent="0.3">
      <c r="J37625"/>
    </row>
    <row r="37626" spans="10:10" x14ac:dyDescent="0.3">
      <c r="J37626"/>
    </row>
    <row r="37627" spans="10:10" x14ac:dyDescent="0.3">
      <c r="J37627"/>
    </row>
    <row r="37628" spans="10:10" x14ac:dyDescent="0.3">
      <c r="J37628"/>
    </row>
    <row r="37629" spans="10:10" x14ac:dyDescent="0.3">
      <c r="J37629"/>
    </row>
    <row r="37630" spans="10:10" x14ac:dyDescent="0.3">
      <c r="J37630"/>
    </row>
    <row r="37631" spans="10:10" x14ac:dyDescent="0.3">
      <c r="J37631"/>
    </row>
    <row r="37632" spans="10:10" x14ac:dyDescent="0.3">
      <c r="J37632"/>
    </row>
    <row r="37633" spans="10:10" x14ac:dyDescent="0.3">
      <c r="J37633"/>
    </row>
    <row r="37634" spans="10:10" x14ac:dyDescent="0.3">
      <c r="J37634"/>
    </row>
    <row r="37635" spans="10:10" x14ac:dyDescent="0.3">
      <c r="J37635"/>
    </row>
    <row r="37636" spans="10:10" x14ac:dyDescent="0.3">
      <c r="J37636"/>
    </row>
    <row r="37637" spans="10:10" x14ac:dyDescent="0.3">
      <c r="J37637"/>
    </row>
    <row r="37638" spans="10:10" x14ac:dyDescent="0.3">
      <c r="J37638"/>
    </row>
    <row r="37639" spans="10:10" x14ac:dyDescent="0.3">
      <c r="J37639"/>
    </row>
    <row r="37640" spans="10:10" x14ac:dyDescent="0.3">
      <c r="J37640"/>
    </row>
    <row r="37641" spans="10:10" x14ac:dyDescent="0.3">
      <c r="J37641"/>
    </row>
    <row r="37642" spans="10:10" x14ac:dyDescent="0.3">
      <c r="J37642"/>
    </row>
    <row r="37643" spans="10:10" x14ac:dyDescent="0.3">
      <c r="J37643"/>
    </row>
    <row r="37644" spans="10:10" x14ac:dyDescent="0.3">
      <c r="J37644"/>
    </row>
    <row r="37645" spans="10:10" x14ac:dyDescent="0.3">
      <c r="J37645"/>
    </row>
    <row r="37646" spans="10:10" x14ac:dyDescent="0.3">
      <c r="J37646"/>
    </row>
    <row r="37647" spans="10:10" x14ac:dyDescent="0.3">
      <c r="J37647"/>
    </row>
    <row r="37648" spans="10:10" x14ac:dyDescent="0.3">
      <c r="J37648"/>
    </row>
    <row r="37649" spans="10:10" x14ac:dyDescent="0.3">
      <c r="J37649"/>
    </row>
    <row r="37650" spans="10:10" x14ac:dyDescent="0.3">
      <c r="J37650"/>
    </row>
    <row r="37651" spans="10:10" x14ac:dyDescent="0.3">
      <c r="J37651"/>
    </row>
    <row r="37652" spans="10:10" x14ac:dyDescent="0.3">
      <c r="J37652"/>
    </row>
    <row r="37653" spans="10:10" x14ac:dyDescent="0.3">
      <c r="J37653"/>
    </row>
    <row r="37654" spans="10:10" x14ac:dyDescent="0.3">
      <c r="J37654"/>
    </row>
    <row r="37655" spans="10:10" x14ac:dyDescent="0.3">
      <c r="J37655"/>
    </row>
    <row r="37656" spans="10:10" x14ac:dyDescent="0.3">
      <c r="J37656"/>
    </row>
    <row r="37657" spans="10:10" x14ac:dyDescent="0.3">
      <c r="J37657"/>
    </row>
    <row r="37658" spans="10:10" x14ac:dyDescent="0.3">
      <c r="J37658"/>
    </row>
    <row r="37659" spans="10:10" x14ac:dyDescent="0.3">
      <c r="J37659"/>
    </row>
    <row r="37660" spans="10:10" x14ac:dyDescent="0.3">
      <c r="J37660"/>
    </row>
    <row r="37661" spans="10:10" x14ac:dyDescent="0.3">
      <c r="J37661"/>
    </row>
    <row r="37662" spans="10:10" x14ac:dyDescent="0.3">
      <c r="J37662"/>
    </row>
    <row r="37663" spans="10:10" x14ac:dyDescent="0.3">
      <c r="J37663"/>
    </row>
    <row r="37664" spans="10:10" x14ac:dyDescent="0.3">
      <c r="J37664"/>
    </row>
    <row r="37665" spans="10:10" x14ac:dyDescent="0.3">
      <c r="J37665"/>
    </row>
    <row r="37666" spans="10:10" x14ac:dyDescent="0.3">
      <c r="J37666"/>
    </row>
    <row r="37667" spans="10:10" x14ac:dyDescent="0.3">
      <c r="J37667"/>
    </row>
    <row r="37668" spans="10:10" x14ac:dyDescent="0.3">
      <c r="J37668"/>
    </row>
    <row r="37669" spans="10:10" x14ac:dyDescent="0.3">
      <c r="J37669"/>
    </row>
    <row r="37670" spans="10:10" x14ac:dyDescent="0.3">
      <c r="J37670"/>
    </row>
    <row r="37671" spans="10:10" x14ac:dyDescent="0.3">
      <c r="J37671"/>
    </row>
    <row r="37672" spans="10:10" x14ac:dyDescent="0.3">
      <c r="J37672"/>
    </row>
    <row r="37673" spans="10:10" x14ac:dyDescent="0.3">
      <c r="J37673"/>
    </row>
    <row r="37674" spans="10:10" x14ac:dyDescent="0.3">
      <c r="J37674"/>
    </row>
    <row r="37675" spans="10:10" x14ac:dyDescent="0.3">
      <c r="J37675"/>
    </row>
    <row r="37676" spans="10:10" x14ac:dyDescent="0.3">
      <c r="J37676"/>
    </row>
    <row r="37677" spans="10:10" x14ac:dyDescent="0.3">
      <c r="J37677"/>
    </row>
    <row r="37678" spans="10:10" x14ac:dyDescent="0.3">
      <c r="J37678"/>
    </row>
    <row r="37679" spans="10:10" x14ac:dyDescent="0.3">
      <c r="J37679"/>
    </row>
    <row r="37680" spans="10:10" x14ac:dyDescent="0.3">
      <c r="J37680"/>
    </row>
    <row r="37681" spans="10:10" x14ac:dyDescent="0.3">
      <c r="J37681"/>
    </row>
    <row r="37682" spans="10:10" x14ac:dyDescent="0.3">
      <c r="J37682"/>
    </row>
    <row r="37683" spans="10:10" x14ac:dyDescent="0.3">
      <c r="J37683"/>
    </row>
    <row r="37684" spans="10:10" x14ac:dyDescent="0.3">
      <c r="J37684"/>
    </row>
    <row r="37685" spans="10:10" x14ac:dyDescent="0.3">
      <c r="J37685"/>
    </row>
    <row r="37686" spans="10:10" x14ac:dyDescent="0.3">
      <c r="J37686"/>
    </row>
    <row r="37687" spans="10:10" x14ac:dyDescent="0.3">
      <c r="J37687"/>
    </row>
    <row r="37688" spans="10:10" x14ac:dyDescent="0.3">
      <c r="J37688"/>
    </row>
    <row r="37689" spans="10:10" x14ac:dyDescent="0.3">
      <c r="J37689"/>
    </row>
    <row r="37690" spans="10:10" x14ac:dyDescent="0.3">
      <c r="J37690"/>
    </row>
    <row r="37691" spans="10:10" x14ac:dyDescent="0.3">
      <c r="J37691"/>
    </row>
    <row r="37692" spans="10:10" x14ac:dyDescent="0.3">
      <c r="J37692"/>
    </row>
    <row r="37693" spans="10:10" x14ac:dyDescent="0.3">
      <c r="J37693"/>
    </row>
    <row r="37694" spans="10:10" x14ac:dyDescent="0.3">
      <c r="J37694"/>
    </row>
    <row r="37695" spans="10:10" x14ac:dyDescent="0.3">
      <c r="J37695"/>
    </row>
    <row r="37696" spans="10:10" x14ac:dyDescent="0.3">
      <c r="J37696"/>
    </row>
    <row r="37697" spans="10:10" x14ac:dyDescent="0.3">
      <c r="J37697"/>
    </row>
    <row r="37698" spans="10:10" x14ac:dyDescent="0.3">
      <c r="J37698"/>
    </row>
    <row r="37699" spans="10:10" x14ac:dyDescent="0.3">
      <c r="J37699"/>
    </row>
    <row r="37700" spans="10:10" x14ac:dyDescent="0.3">
      <c r="J37700"/>
    </row>
    <row r="37701" spans="10:10" x14ac:dyDescent="0.3">
      <c r="J37701"/>
    </row>
    <row r="37702" spans="10:10" x14ac:dyDescent="0.3">
      <c r="J37702"/>
    </row>
    <row r="37703" spans="10:10" x14ac:dyDescent="0.3">
      <c r="J37703"/>
    </row>
    <row r="37704" spans="10:10" x14ac:dyDescent="0.3">
      <c r="J37704"/>
    </row>
    <row r="37705" spans="10:10" x14ac:dyDescent="0.3">
      <c r="J37705"/>
    </row>
    <row r="37706" spans="10:10" x14ac:dyDescent="0.3">
      <c r="J37706"/>
    </row>
    <row r="37707" spans="10:10" x14ac:dyDescent="0.3">
      <c r="J37707"/>
    </row>
    <row r="37708" spans="10:10" x14ac:dyDescent="0.3">
      <c r="J37708"/>
    </row>
    <row r="37709" spans="10:10" x14ac:dyDescent="0.3">
      <c r="J37709"/>
    </row>
    <row r="37710" spans="10:10" x14ac:dyDescent="0.3">
      <c r="J37710"/>
    </row>
    <row r="37711" spans="10:10" x14ac:dyDescent="0.3">
      <c r="J37711"/>
    </row>
    <row r="37712" spans="10:10" x14ac:dyDescent="0.3">
      <c r="J37712"/>
    </row>
    <row r="37713" spans="10:10" x14ac:dyDescent="0.3">
      <c r="J37713"/>
    </row>
    <row r="37714" spans="10:10" x14ac:dyDescent="0.3">
      <c r="J37714"/>
    </row>
    <row r="37715" spans="10:10" x14ac:dyDescent="0.3">
      <c r="J37715"/>
    </row>
    <row r="37716" spans="10:10" x14ac:dyDescent="0.3">
      <c r="J37716"/>
    </row>
    <row r="37717" spans="10:10" x14ac:dyDescent="0.3">
      <c r="J37717"/>
    </row>
    <row r="37718" spans="10:10" x14ac:dyDescent="0.3">
      <c r="J37718"/>
    </row>
    <row r="37719" spans="10:10" x14ac:dyDescent="0.3">
      <c r="J37719"/>
    </row>
    <row r="37720" spans="10:10" x14ac:dyDescent="0.3">
      <c r="J37720"/>
    </row>
    <row r="37721" spans="10:10" x14ac:dyDescent="0.3">
      <c r="J37721"/>
    </row>
    <row r="37722" spans="10:10" x14ac:dyDescent="0.3">
      <c r="J37722"/>
    </row>
    <row r="37723" spans="10:10" x14ac:dyDescent="0.3">
      <c r="J37723"/>
    </row>
    <row r="37724" spans="10:10" x14ac:dyDescent="0.3">
      <c r="J37724"/>
    </row>
    <row r="37725" spans="10:10" x14ac:dyDescent="0.3">
      <c r="J37725"/>
    </row>
    <row r="37726" spans="10:10" x14ac:dyDescent="0.3">
      <c r="J37726"/>
    </row>
    <row r="37727" spans="10:10" x14ac:dyDescent="0.3">
      <c r="J37727"/>
    </row>
    <row r="37728" spans="10:10" x14ac:dyDescent="0.3">
      <c r="J37728"/>
    </row>
    <row r="37729" spans="10:10" x14ac:dyDescent="0.3">
      <c r="J37729"/>
    </row>
    <row r="37730" spans="10:10" x14ac:dyDescent="0.3">
      <c r="J37730"/>
    </row>
    <row r="37731" spans="10:10" x14ac:dyDescent="0.3">
      <c r="J37731"/>
    </row>
    <row r="37732" spans="10:10" x14ac:dyDescent="0.3">
      <c r="J37732"/>
    </row>
    <row r="37733" spans="10:10" x14ac:dyDescent="0.3">
      <c r="J37733"/>
    </row>
    <row r="37734" spans="10:10" x14ac:dyDescent="0.3">
      <c r="J37734"/>
    </row>
    <row r="37735" spans="10:10" x14ac:dyDescent="0.3">
      <c r="J37735"/>
    </row>
    <row r="37736" spans="10:10" x14ac:dyDescent="0.3">
      <c r="J37736"/>
    </row>
    <row r="37737" spans="10:10" x14ac:dyDescent="0.3">
      <c r="J37737"/>
    </row>
    <row r="37738" spans="10:10" x14ac:dyDescent="0.3">
      <c r="J37738"/>
    </row>
    <row r="37739" spans="10:10" x14ac:dyDescent="0.3">
      <c r="J37739"/>
    </row>
    <row r="37740" spans="10:10" x14ac:dyDescent="0.3">
      <c r="J37740"/>
    </row>
    <row r="37741" spans="10:10" x14ac:dyDescent="0.3">
      <c r="J37741"/>
    </row>
    <row r="37742" spans="10:10" x14ac:dyDescent="0.3">
      <c r="J37742"/>
    </row>
    <row r="37743" spans="10:10" x14ac:dyDescent="0.3">
      <c r="J37743"/>
    </row>
    <row r="37744" spans="10:10" x14ac:dyDescent="0.3">
      <c r="J37744"/>
    </row>
    <row r="37745" spans="10:10" x14ac:dyDescent="0.3">
      <c r="J37745"/>
    </row>
    <row r="37746" spans="10:10" x14ac:dyDescent="0.3">
      <c r="J37746"/>
    </row>
    <row r="37747" spans="10:10" x14ac:dyDescent="0.3">
      <c r="J37747"/>
    </row>
    <row r="37748" spans="10:10" x14ac:dyDescent="0.3">
      <c r="J37748"/>
    </row>
    <row r="37749" spans="10:10" x14ac:dyDescent="0.3">
      <c r="J37749"/>
    </row>
    <row r="37750" spans="10:10" x14ac:dyDescent="0.3">
      <c r="J37750"/>
    </row>
    <row r="37751" spans="10:10" x14ac:dyDescent="0.3">
      <c r="J37751"/>
    </row>
    <row r="37752" spans="10:10" x14ac:dyDescent="0.3">
      <c r="J37752"/>
    </row>
    <row r="37753" spans="10:10" x14ac:dyDescent="0.3">
      <c r="J37753"/>
    </row>
    <row r="37754" spans="10:10" x14ac:dyDescent="0.3">
      <c r="J37754"/>
    </row>
    <row r="37755" spans="10:10" x14ac:dyDescent="0.3">
      <c r="J37755"/>
    </row>
    <row r="37756" spans="10:10" x14ac:dyDescent="0.3">
      <c r="J37756"/>
    </row>
    <row r="37757" spans="10:10" x14ac:dyDescent="0.3">
      <c r="J37757"/>
    </row>
    <row r="37758" spans="10:10" x14ac:dyDescent="0.3">
      <c r="J37758"/>
    </row>
    <row r="37759" spans="10:10" x14ac:dyDescent="0.3">
      <c r="J37759"/>
    </row>
    <row r="37760" spans="10:10" x14ac:dyDescent="0.3">
      <c r="J37760"/>
    </row>
    <row r="37761" spans="10:10" x14ac:dyDescent="0.3">
      <c r="J37761"/>
    </row>
    <row r="37762" spans="10:10" x14ac:dyDescent="0.3">
      <c r="J37762"/>
    </row>
    <row r="37763" spans="10:10" x14ac:dyDescent="0.3">
      <c r="J37763"/>
    </row>
    <row r="37764" spans="10:10" x14ac:dyDescent="0.3">
      <c r="J37764"/>
    </row>
    <row r="37765" spans="10:10" x14ac:dyDescent="0.3">
      <c r="J37765"/>
    </row>
    <row r="37766" spans="10:10" x14ac:dyDescent="0.3">
      <c r="J37766"/>
    </row>
    <row r="37767" spans="10:10" x14ac:dyDescent="0.3">
      <c r="J37767"/>
    </row>
    <row r="37768" spans="10:10" x14ac:dyDescent="0.3">
      <c r="J37768"/>
    </row>
    <row r="37769" spans="10:10" x14ac:dyDescent="0.3">
      <c r="J37769"/>
    </row>
    <row r="37770" spans="10:10" x14ac:dyDescent="0.3">
      <c r="J37770"/>
    </row>
    <row r="37771" spans="10:10" x14ac:dyDescent="0.3">
      <c r="J37771"/>
    </row>
    <row r="37772" spans="10:10" x14ac:dyDescent="0.3">
      <c r="J37772"/>
    </row>
    <row r="37773" spans="10:10" x14ac:dyDescent="0.3">
      <c r="J37773"/>
    </row>
    <row r="37774" spans="10:10" x14ac:dyDescent="0.3">
      <c r="J37774"/>
    </row>
    <row r="37775" spans="10:10" x14ac:dyDescent="0.3">
      <c r="J37775"/>
    </row>
    <row r="37776" spans="10:10" x14ac:dyDescent="0.3">
      <c r="J37776"/>
    </row>
    <row r="37777" spans="10:10" x14ac:dyDescent="0.3">
      <c r="J37777"/>
    </row>
    <row r="37778" spans="10:10" x14ac:dyDescent="0.3">
      <c r="J37778"/>
    </row>
    <row r="37779" spans="10:10" x14ac:dyDescent="0.3">
      <c r="J37779"/>
    </row>
    <row r="37780" spans="10:10" x14ac:dyDescent="0.3">
      <c r="J37780"/>
    </row>
    <row r="37781" spans="10:10" x14ac:dyDescent="0.3">
      <c r="J37781"/>
    </row>
    <row r="37782" spans="10:10" x14ac:dyDescent="0.3">
      <c r="J37782"/>
    </row>
    <row r="37783" spans="10:10" x14ac:dyDescent="0.3">
      <c r="J37783"/>
    </row>
    <row r="37784" spans="10:10" x14ac:dyDescent="0.3">
      <c r="J37784"/>
    </row>
    <row r="37785" spans="10:10" x14ac:dyDescent="0.3">
      <c r="J37785"/>
    </row>
    <row r="37786" spans="10:10" x14ac:dyDescent="0.3">
      <c r="J37786"/>
    </row>
    <row r="37787" spans="10:10" x14ac:dyDescent="0.3">
      <c r="J37787"/>
    </row>
    <row r="37788" spans="10:10" x14ac:dyDescent="0.3">
      <c r="J37788"/>
    </row>
    <row r="37789" spans="10:10" x14ac:dyDescent="0.3">
      <c r="J37789"/>
    </row>
    <row r="37790" spans="10:10" x14ac:dyDescent="0.3">
      <c r="J37790"/>
    </row>
    <row r="37791" spans="10:10" x14ac:dyDescent="0.3">
      <c r="J37791"/>
    </row>
    <row r="37792" spans="10:10" x14ac:dyDescent="0.3">
      <c r="J37792"/>
    </row>
    <row r="37793" spans="10:10" x14ac:dyDescent="0.3">
      <c r="J37793"/>
    </row>
    <row r="37794" spans="10:10" x14ac:dyDescent="0.3">
      <c r="J37794"/>
    </row>
    <row r="37795" spans="10:10" x14ac:dyDescent="0.3">
      <c r="J37795"/>
    </row>
    <row r="37796" spans="10:10" x14ac:dyDescent="0.3">
      <c r="J37796"/>
    </row>
    <row r="37797" spans="10:10" x14ac:dyDescent="0.3">
      <c r="J37797"/>
    </row>
    <row r="37798" spans="10:10" x14ac:dyDescent="0.3">
      <c r="J37798"/>
    </row>
    <row r="37799" spans="10:10" x14ac:dyDescent="0.3">
      <c r="J37799"/>
    </row>
    <row r="37800" spans="10:10" x14ac:dyDescent="0.3">
      <c r="J37800"/>
    </row>
    <row r="37801" spans="10:10" x14ac:dyDescent="0.3">
      <c r="J37801"/>
    </row>
    <row r="37802" spans="10:10" x14ac:dyDescent="0.3">
      <c r="J37802"/>
    </row>
    <row r="37803" spans="10:10" x14ac:dyDescent="0.3">
      <c r="J37803"/>
    </row>
    <row r="37804" spans="10:10" x14ac:dyDescent="0.3">
      <c r="J37804"/>
    </row>
    <row r="37805" spans="10:10" x14ac:dyDescent="0.3">
      <c r="J37805"/>
    </row>
    <row r="37806" spans="10:10" x14ac:dyDescent="0.3">
      <c r="J37806"/>
    </row>
    <row r="37807" spans="10:10" x14ac:dyDescent="0.3">
      <c r="J37807"/>
    </row>
    <row r="37808" spans="10:10" x14ac:dyDescent="0.3">
      <c r="J37808"/>
    </row>
    <row r="37809" spans="10:10" x14ac:dyDescent="0.3">
      <c r="J37809"/>
    </row>
    <row r="37810" spans="10:10" x14ac:dyDescent="0.3">
      <c r="J37810"/>
    </row>
    <row r="37811" spans="10:10" x14ac:dyDescent="0.3">
      <c r="J37811"/>
    </row>
    <row r="37812" spans="10:10" x14ac:dyDescent="0.3">
      <c r="J37812"/>
    </row>
    <row r="37813" spans="10:10" x14ac:dyDescent="0.3">
      <c r="J37813"/>
    </row>
    <row r="37814" spans="10:10" x14ac:dyDescent="0.3">
      <c r="J37814"/>
    </row>
    <row r="37815" spans="10:10" x14ac:dyDescent="0.3">
      <c r="J37815"/>
    </row>
    <row r="37816" spans="10:10" x14ac:dyDescent="0.3">
      <c r="J37816"/>
    </row>
    <row r="37817" spans="10:10" x14ac:dyDescent="0.3">
      <c r="J37817"/>
    </row>
    <row r="37818" spans="10:10" x14ac:dyDescent="0.3">
      <c r="J37818"/>
    </row>
    <row r="37819" spans="10:10" x14ac:dyDescent="0.3">
      <c r="J37819"/>
    </row>
    <row r="37820" spans="10:10" x14ac:dyDescent="0.3">
      <c r="J37820"/>
    </row>
    <row r="37821" spans="10:10" x14ac:dyDescent="0.3">
      <c r="J37821"/>
    </row>
    <row r="37822" spans="10:10" x14ac:dyDescent="0.3">
      <c r="J37822"/>
    </row>
    <row r="37823" spans="10:10" x14ac:dyDescent="0.3">
      <c r="J37823"/>
    </row>
    <row r="37824" spans="10:10" x14ac:dyDescent="0.3">
      <c r="J37824"/>
    </row>
    <row r="37825" spans="10:10" x14ac:dyDescent="0.3">
      <c r="J37825"/>
    </row>
    <row r="37826" spans="10:10" x14ac:dyDescent="0.3">
      <c r="J37826"/>
    </row>
    <row r="37827" spans="10:10" x14ac:dyDescent="0.3">
      <c r="J37827"/>
    </row>
    <row r="37828" spans="10:10" x14ac:dyDescent="0.3">
      <c r="J37828"/>
    </row>
    <row r="37829" spans="10:10" x14ac:dyDescent="0.3">
      <c r="J37829"/>
    </row>
    <row r="37830" spans="10:10" x14ac:dyDescent="0.3">
      <c r="J37830"/>
    </row>
    <row r="37831" spans="10:10" x14ac:dyDescent="0.3">
      <c r="J37831"/>
    </row>
    <row r="37832" spans="10:10" x14ac:dyDescent="0.3">
      <c r="J37832"/>
    </row>
    <row r="37833" spans="10:10" x14ac:dyDescent="0.3">
      <c r="J37833"/>
    </row>
    <row r="37834" spans="10:10" x14ac:dyDescent="0.3">
      <c r="J37834"/>
    </row>
    <row r="37835" spans="10:10" x14ac:dyDescent="0.3">
      <c r="J37835"/>
    </row>
    <row r="37836" spans="10:10" x14ac:dyDescent="0.3">
      <c r="J37836"/>
    </row>
    <row r="37837" spans="10:10" x14ac:dyDescent="0.3">
      <c r="J37837"/>
    </row>
    <row r="37838" spans="10:10" x14ac:dyDescent="0.3">
      <c r="J37838"/>
    </row>
    <row r="37839" spans="10:10" x14ac:dyDescent="0.3">
      <c r="J37839"/>
    </row>
    <row r="37840" spans="10:10" x14ac:dyDescent="0.3">
      <c r="J37840"/>
    </row>
    <row r="37841" spans="10:10" x14ac:dyDescent="0.3">
      <c r="J37841"/>
    </row>
    <row r="37842" spans="10:10" x14ac:dyDescent="0.3">
      <c r="J37842"/>
    </row>
    <row r="37843" spans="10:10" x14ac:dyDescent="0.3">
      <c r="J37843"/>
    </row>
    <row r="37844" spans="10:10" x14ac:dyDescent="0.3">
      <c r="J37844"/>
    </row>
    <row r="37845" spans="10:10" x14ac:dyDescent="0.3">
      <c r="J37845"/>
    </row>
    <row r="37846" spans="10:10" x14ac:dyDescent="0.3">
      <c r="J37846"/>
    </row>
    <row r="37847" spans="10:10" x14ac:dyDescent="0.3">
      <c r="J37847"/>
    </row>
    <row r="37848" spans="10:10" x14ac:dyDescent="0.3">
      <c r="J37848"/>
    </row>
    <row r="37849" spans="10:10" x14ac:dyDescent="0.3">
      <c r="J37849"/>
    </row>
    <row r="37850" spans="10:10" x14ac:dyDescent="0.3">
      <c r="J37850"/>
    </row>
    <row r="37851" spans="10:10" x14ac:dyDescent="0.3">
      <c r="J37851"/>
    </row>
    <row r="37852" spans="10:10" x14ac:dyDescent="0.3">
      <c r="J37852"/>
    </row>
    <row r="37853" spans="10:10" x14ac:dyDescent="0.3">
      <c r="J37853"/>
    </row>
    <row r="37854" spans="10:10" x14ac:dyDescent="0.3">
      <c r="J37854"/>
    </row>
    <row r="37855" spans="10:10" x14ac:dyDescent="0.3">
      <c r="J37855"/>
    </row>
    <row r="37856" spans="10:10" x14ac:dyDescent="0.3">
      <c r="J37856"/>
    </row>
    <row r="37857" spans="10:10" x14ac:dyDescent="0.3">
      <c r="J37857"/>
    </row>
    <row r="37858" spans="10:10" x14ac:dyDescent="0.3">
      <c r="J37858"/>
    </row>
    <row r="37859" spans="10:10" x14ac:dyDescent="0.3">
      <c r="J37859"/>
    </row>
    <row r="37860" spans="10:10" x14ac:dyDescent="0.3">
      <c r="J37860"/>
    </row>
    <row r="37861" spans="10:10" x14ac:dyDescent="0.3">
      <c r="J37861"/>
    </row>
    <row r="37862" spans="10:10" x14ac:dyDescent="0.3">
      <c r="J37862"/>
    </row>
    <row r="37863" spans="10:10" x14ac:dyDescent="0.3">
      <c r="J37863"/>
    </row>
    <row r="37864" spans="10:10" x14ac:dyDescent="0.3">
      <c r="J37864"/>
    </row>
    <row r="37865" spans="10:10" x14ac:dyDescent="0.3">
      <c r="J37865"/>
    </row>
    <row r="37866" spans="10:10" x14ac:dyDescent="0.3">
      <c r="J37866"/>
    </row>
    <row r="37867" spans="10:10" x14ac:dyDescent="0.3">
      <c r="J37867"/>
    </row>
    <row r="37868" spans="10:10" x14ac:dyDescent="0.3">
      <c r="J37868"/>
    </row>
    <row r="37869" spans="10:10" x14ac:dyDescent="0.3">
      <c r="J37869"/>
    </row>
    <row r="37870" spans="10:10" x14ac:dyDescent="0.3">
      <c r="J37870"/>
    </row>
    <row r="37871" spans="10:10" x14ac:dyDescent="0.3">
      <c r="J37871"/>
    </row>
    <row r="37872" spans="10:10" x14ac:dyDescent="0.3">
      <c r="J37872"/>
    </row>
    <row r="37873" spans="10:10" x14ac:dyDescent="0.3">
      <c r="J37873"/>
    </row>
    <row r="37874" spans="10:10" x14ac:dyDescent="0.3">
      <c r="J37874"/>
    </row>
    <row r="37875" spans="10:10" x14ac:dyDescent="0.3">
      <c r="J37875"/>
    </row>
    <row r="37876" spans="10:10" x14ac:dyDescent="0.3">
      <c r="J37876"/>
    </row>
    <row r="37877" spans="10:10" x14ac:dyDescent="0.3">
      <c r="J37877"/>
    </row>
    <row r="37878" spans="10:10" x14ac:dyDescent="0.3">
      <c r="J37878"/>
    </row>
    <row r="37879" spans="10:10" x14ac:dyDescent="0.3">
      <c r="J37879"/>
    </row>
    <row r="37880" spans="10:10" x14ac:dyDescent="0.3">
      <c r="J37880"/>
    </row>
    <row r="37881" spans="10:10" x14ac:dyDescent="0.3">
      <c r="J37881"/>
    </row>
    <row r="37882" spans="10:10" x14ac:dyDescent="0.3">
      <c r="J37882"/>
    </row>
    <row r="37883" spans="10:10" x14ac:dyDescent="0.3">
      <c r="J37883"/>
    </row>
    <row r="37884" spans="10:10" x14ac:dyDescent="0.3">
      <c r="J37884"/>
    </row>
    <row r="37885" spans="10:10" x14ac:dyDescent="0.3">
      <c r="J37885"/>
    </row>
    <row r="37886" spans="10:10" x14ac:dyDescent="0.3">
      <c r="J37886"/>
    </row>
    <row r="37887" spans="10:10" x14ac:dyDescent="0.3">
      <c r="J37887"/>
    </row>
    <row r="37888" spans="10:10" x14ac:dyDescent="0.3">
      <c r="J37888"/>
    </row>
    <row r="37889" spans="10:10" x14ac:dyDescent="0.3">
      <c r="J37889"/>
    </row>
    <row r="37890" spans="10:10" x14ac:dyDescent="0.3">
      <c r="J37890"/>
    </row>
    <row r="37891" spans="10:10" x14ac:dyDescent="0.3">
      <c r="J37891"/>
    </row>
    <row r="37892" spans="10:10" x14ac:dyDescent="0.3">
      <c r="J37892"/>
    </row>
    <row r="37893" spans="10:10" x14ac:dyDescent="0.3">
      <c r="J37893"/>
    </row>
    <row r="37894" spans="10:10" x14ac:dyDescent="0.3">
      <c r="J37894"/>
    </row>
    <row r="37895" spans="10:10" x14ac:dyDescent="0.3">
      <c r="J37895"/>
    </row>
    <row r="37896" spans="10:10" x14ac:dyDescent="0.3">
      <c r="J37896"/>
    </row>
    <row r="37897" spans="10:10" x14ac:dyDescent="0.3">
      <c r="J37897"/>
    </row>
    <row r="37898" spans="10:10" x14ac:dyDescent="0.3">
      <c r="J37898"/>
    </row>
    <row r="37899" spans="10:10" x14ac:dyDescent="0.3">
      <c r="J37899"/>
    </row>
    <row r="37900" spans="10:10" x14ac:dyDescent="0.3">
      <c r="J37900"/>
    </row>
    <row r="37901" spans="10:10" x14ac:dyDescent="0.3">
      <c r="J37901"/>
    </row>
    <row r="37902" spans="10:10" x14ac:dyDescent="0.3">
      <c r="J37902"/>
    </row>
    <row r="37903" spans="10:10" x14ac:dyDescent="0.3">
      <c r="J37903"/>
    </row>
    <row r="37904" spans="10:10" x14ac:dyDescent="0.3">
      <c r="J37904"/>
    </row>
    <row r="37905" spans="10:10" x14ac:dyDescent="0.3">
      <c r="J37905"/>
    </row>
    <row r="37906" spans="10:10" x14ac:dyDescent="0.3">
      <c r="J37906"/>
    </row>
    <row r="37907" spans="10:10" x14ac:dyDescent="0.3">
      <c r="J37907"/>
    </row>
    <row r="37908" spans="10:10" x14ac:dyDescent="0.3">
      <c r="J37908"/>
    </row>
    <row r="37909" spans="10:10" x14ac:dyDescent="0.3">
      <c r="J37909"/>
    </row>
    <row r="37910" spans="10:10" x14ac:dyDescent="0.3">
      <c r="J37910"/>
    </row>
    <row r="37911" spans="10:10" x14ac:dyDescent="0.3">
      <c r="J37911"/>
    </row>
    <row r="37912" spans="10:10" x14ac:dyDescent="0.3">
      <c r="J37912"/>
    </row>
    <row r="37913" spans="10:10" x14ac:dyDescent="0.3">
      <c r="J37913"/>
    </row>
    <row r="37914" spans="10:10" x14ac:dyDescent="0.3">
      <c r="J37914"/>
    </row>
    <row r="37915" spans="10:10" x14ac:dyDescent="0.3">
      <c r="J37915"/>
    </row>
    <row r="37916" spans="10:10" x14ac:dyDescent="0.3">
      <c r="J37916"/>
    </row>
    <row r="37917" spans="10:10" x14ac:dyDescent="0.3">
      <c r="J37917"/>
    </row>
    <row r="37918" spans="10:10" x14ac:dyDescent="0.3">
      <c r="J37918"/>
    </row>
    <row r="37919" spans="10:10" x14ac:dyDescent="0.3">
      <c r="J37919"/>
    </row>
    <row r="37920" spans="10:10" x14ac:dyDescent="0.3">
      <c r="J37920"/>
    </row>
    <row r="37921" spans="10:10" x14ac:dyDescent="0.3">
      <c r="J37921"/>
    </row>
    <row r="37922" spans="10:10" x14ac:dyDescent="0.3">
      <c r="J37922"/>
    </row>
    <row r="37923" spans="10:10" x14ac:dyDescent="0.3">
      <c r="J37923"/>
    </row>
    <row r="37924" spans="10:10" x14ac:dyDescent="0.3">
      <c r="J37924"/>
    </row>
    <row r="37925" spans="10:10" x14ac:dyDescent="0.3">
      <c r="J37925"/>
    </row>
    <row r="37926" spans="10:10" x14ac:dyDescent="0.3">
      <c r="J37926"/>
    </row>
    <row r="37927" spans="10:10" x14ac:dyDescent="0.3">
      <c r="J37927"/>
    </row>
    <row r="37928" spans="10:10" x14ac:dyDescent="0.3">
      <c r="J37928"/>
    </row>
    <row r="37929" spans="10:10" x14ac:dyDescent="0.3">
      <c r="J37929"/>
    </row>
    <row r="37930" spans="10:10" x14ac:dyDescent="0.3">
      <c r="J37930"/>
    </row>
    <row r="37931" spans="10:10" x14ac:dyDescent="0.3">
      <c r="J37931"/>
    </row>
    <row r="37932" spans="10:10" x14ac:dyDescent="0.3">
      <c r="J37932"/>
    </row>
    <row r="37933" spans="10:10" x14ac:dyDescent="0.3">
      <c r="J37933"/>
    </row>
    <row r="37934" spans="10:10" x14ac:dyDescent="0.3">
      <c r="J37934"/>
    </row>
    <row r="37935" spans="10:10" x14ac:dyDescent="0.3">
      <c r="J37935"/>
    </row>
    <row r="37936" spans="10:10" x14ac:dyDescent="0.3">
      <c r="J37936"/>
    </row>
    <row r="37937" spans="10:10" x14ac:dyDescent="0.3">
      <c r="J37937"/>
    </row>
    <row r="37938" spans="10:10" x14ac:dyDescent="0.3">
      <c r="J37938"/>
    </row>
    <row r="37939" spans="10:10" x14ac:dyDescent="0.3">
      <c r="J37939"/>
    </row>
    <row r="37940" spans="10:10" x14ac:dyDescent="0.3">
      <c r="J37940"/>
    </row>
    <row r="37941" spans="10:10" x14ac:dyDescent="0.3">
      <c r="J37941"/>
    </row>
    <row r="37942" spans="10:10" x14ac:dyDescent="0.3">
      <c r="J37942"/>
    </row>
    <row r="37943" spans="10:10" x14ac:dyDescent="0.3">
      <c r="J37943"/>
    </row>
    <row r="37944" spans="10:10" x14ac:dyDescent="0.3">
      <c r="J37944"/>
    </row>
    <row r="37945" spans="10:10" x14ac:dyDescent="0.3">
      <c r="J37945"/>
    </row>
    <row r="37946" spans="10:10" x14ac:dyDescent="0.3">
      <c r="J37946"/>
    </row>
    <row r="37947" spans="10:10" x14ac:dyDescent="0.3">
      <c r="J37947"/>
    </row>
    <row r="37948" spans="10:10" x14ac:dyDescent="0.3">
      <c r="J37948"/>
    </row>
    <row r="37949" spans="10:10" x14ac:dyDescent="0.3">
      <c r="J37949"/>
    </row>
    <row r="37950" spans="10:10" x14ac:dyDescent="0.3">
      <c r="J37950"/>
    </row>
    <row r="37951" spans="10:10" x14ac:dyDescent="0.3">
      <c r="J37951"/>
    </row>
    <row r="37952" spans="10:10" x14ac:dyDescent="0.3">
      <c r="J37952"/>
    </row>
    <row r="37953" spans="10:10" x14ac:dyDescent="0.3">
      <c r="J37953"/>
    </row>
    <row r="37954" spans="10:10" x14ac:dyDescent="0.3">
      <c r="J37954"/>
    </row>
    <row r="37955" spans="10:10" x14ac:dyDescent="0.3">
      <c r="J37955"/>
    </row>
    <row r="37956" spans="10:10" x14ac:dyDescent="0.3">
      <c r="J37956"/>
    </row>
    <row r="37957" spans="10:10" x14ac:dyDescent="0.3">
      <c r="J37957"/>
    </row>
    <row r="37958" spans="10:10" x14ac:dyDescent="0.3">
      <c r="J37958"/>
    </row>
    <row r="37959" spans="10:10" x14ac:dyDescent="0.3">
      <c r="J37959"/>
    </row>
    <row r="37960" spans="10:10" x14ac:dyDescent="0.3">
      <c r="J37960"/>
    </row>
    <row r="37961" spans="10:10" x14ac:dyDescent="0.3">
      <c r="J37961"/>
    </row>
    <row r="37962" spans="10:10" x14ac:dyDescent="0.3">
      <c r="J37962"/>
    </row>
    <row r="37963" spans="10:10" x14ac:dyDescent="0.3">
      <c r="J37963"/>
    </row>
    <row r="37964" spans="10:10" x14ac:dyDescent="0.3">
      <c r="J37964"/>
    </row>
    <row r="37965" spans="10:10" x14ac:dyDescent="0.3">
      <c r="J37965"/>
    </row>
    <row r="37966" spans="10:10" x14ac:dyDescent="0.3">
      <c r="J37966"/>
    </row>
    <row r="37967" spans="10:10" x14ac:dyDescent="0.3">
      <c r="J37967"/>
    </row>
    <row r="37968" spans="10:10" x14ac:dyDescent="0.3">
      <c r="J37968"/>
    </row>
    <row r="37969" spans="10:10" x14ac:dyDescent="0.3">
      <c r="J37969"/>
    </row>
    <row r="37970" spans="10:10" x14ac:dyDescent="0.3">
      <c r="J37970"/>
    </row>
    <row r="37971" spans="10:10" x14ac:dyDescent="0.3">
      <c r="J37971"/>
    </row>
    <row r="37972" spans="10:10" x14ac:dyDescent="0.3">
      <c r="J37972"/>
    </row>
    <row r="37973" spans="10:10" x14ac:dyDescent="0.3">
      <c r="J37973"/>
    </row>
    <row r="37974" spans="10:10" x14ac:dyDescent="0.3">
      <c r="J37974"/>
    </row>
    <row r="37975" spans="10:10" x14ac:dyDescent="0.3">
      <c r="J37975"/>
    </row>
    <row r="37976" spans="10:10" x14ac:dyDescent="0.3">
      <c r="J37976"/>
    </row>
    <row r="37977" spans="10:10" x14ac:dyDescent="0.3">
      <c r="J37977"/>
    </row>
    <row r="37978" spans="10:10" x14ac:dyDescent="0.3">
      <c r="J37978"/>
    </row>
    <row r="37979" spans="10:10" x14ac:dyDescent="0.3">
      <c r="J37979"/>
    </row>
    <row r="37980" spans="10:10" x14ac:dyDescent="0.3">
      <c r="J37980"/>
    </row>
    <row r="37981" spans="10:10" x14ac:dyDescent="0.3">
      <c r="J37981"/>
    </row>
    <row r="37982" spans="10:10" x14ac:dyDescent="0.3">
      <c r="J37982"/>
    </row>
    <row r="37983" spans="10:10" x14ac:dyDescent="0.3">
      <c r="J37983"/>
    </row>
    <row r="37984" spans="10:10" x14ac:dyDescent="0.3">
      <c r="J37984"/>
    </row>
    <row r="37985" spans="10:10" x14ac:dyDescent="0.3">
      <c r="J37985"/>
    </row>
    <row r="37986" spans="10:10" x14ac:dyDescent="0.3">
      <c r="J37986"/>
    </row>
    <row r="37987" spans="10:10" x14ac:dyDescent="0.3">
      <c r="J37987"/>
    </row>
    <row r="37988" spans="10:10" x14ac:dyDescent="0.3">
      <c r="J37988"/>
    </row>
    <row r="37989" spans="10:10" x14ac:dyDescent="0.3">
      <c r="J37989"/>
    </row>
    <row r="37990" spans="10:10" x14ac:dyDescent="0.3">
      <c r="J37990"/>
    </row>
    <row r="37991" spans="10:10" x14ac:dyDescent="0.3">
      <c r="J37991"/>
    </row>
    <row r="37992" spans="10:10" x14ac:dyDescent="0.3">
      <c r="J37992"/>
    </row>
    <row r="37993" spans="10:10" x14ac:dyDescent="0.3">
      <c r="J37993"/>
    </row>
    <row r="37994" spans="10:10" x14ac:dyDescent="0.3">
      <c r="J37994"/>
    </row>
    <row r="37995" spans="10:10" x14ac:dyDescent="0.3">
      <c r="J37995"/>
    </row>
    <row r="37996" spans="10:10" x14ac:dyDescent="0.3">
      <c r="J37996"/>
    </row>
    <row r="37997" spans="10:10" x14ac:dyDescent="0.3">
      <c r="J37997"/>
    </row>
    <row r="37998" spans="10:10" x14ac:dyDescent="0.3">
      <c r="J37998"/>
    </row>
    <row r="37999" spans="10:10" x14ac:dyDescent="0.3">
      <c r="J37999"/>
    </row>
    <row r="38000" spans="10:10" x14ac:dyDescent="0.3">
      <c r="J38000"/>
    </row>
    <row r="38001" spans="10:10" x14ac:dyDescent="0.3">
      <c r="J38001"/>
    </row>
    <row r="38002" spans="10:10" x14ac:dyDescent="0.3">
      <c r="J38002"/>
    </row>
    <row r="38003" spans="10:10" x14ac:dyDescent="0.3">
      <c r="J38003"/>
    </row>
    <row r="38004" spans="10:10" x14ac:dyDescent="0.3">
      <c r="J38004"/>
    </row>
    <row r="38005" spans="10:10" x14ac:dyDescent="0.3">
      <c r="J38005"/>
    </row>
    <row r="38006" spans="10:10" x14ac:dyDescent="0.3">
      <c r="J38006"/>
    </row>
    <row r="38007" spans="10:10" x14ac:dyDescent="0.3">
      <c r="J38007"/>
    </row>
    <row r="38008" spans="10:10" x14ac:dyDescent="0.3">
      <c r="J38008"/>
    </row>
    <row r="38009" spans="10:10" x14ac:dyDescent="0.3">
      <c r="J38009"/>
    </row>
    <row r="38010" spans="10:10" x14ac:dyDescent="0.3">
      <c r="J38010"/>
    </row>
    <row r="38011" spans="10:10" x14ac:dyDescent="0.3">
      <c r="J38011"/>
    </row>
    <row r="38012" spans="10:10" x14ac:dyDescent="0.3">
      <c r="J38012"/>
    </row>
    <row r="38013" spans="10:10" x14ac:dyDescent="0.3">
      <c r="J38013"/>
    </row>
    <row r="38014" spans="10:10" x14ac:dyDescent="0.3">
      <c r="J38014"/>
    </row>
    <row r="38015" spans="10:10" x14ac:dyDescent="0.3">
      <c r="J38015"/>
    </row>
    <row r="38016" spans="10:10" x14ac:dyDescent="0.3">
      <c r="J38016"/>
    </row>
    <row r="38017" spans="10:10" x14ac:dyDescent="0.3">
      <c r="J38017"/>
    </row>
    <row r="38018" spans="10:10" x14ac:dyDescent="0.3">
      <c r="J38018"/>
    </row>
    <row r="38019" spans="10:10" x14ac:dyDescent="0.3">
      <c r="J38019"/>
    </row>
    <row r="38020" spans="10:10" x14ac:dyDescent="0.3">
      <c r="J38020"/>
    </row>
    <row r="38021" spans="10:10" x14ac:dyDescent="0.3">
      <c r="J38021"/>
    </row>
    <row r="38022" spans="10:10" x14ac:dyDescent="0.3">
      <c r="J38022"/>
    </row>
    <row r="38023" spans="10:10" x14ac:dyDescent="0.3">
      <c r="J38023"/>
    </row>
    <row r="38024" spans="10:10" x14ac:dyDescent="0.3">
      <c r="J38024"/>
    </row>
    <row r="38025" spans="10:10" x14ac:dyDescent="0.3">
      <c r="J38025"/>
    </row>
    <row r="38026" spans="10:10" x14ac:dyDescent="0.3">
      <c r="J38026"/>
    </row>
    <row r="38027" spans="10:10" x14ac:dyDescent="0.3">
      <c r="J38027"/>
    </row>
    <row r="38028" spans="10:10" x14ac:dyDescent="0.3">
      <c r="J38028"/>
    </row>
    <row r="38029" spans="10:10" x14ac:dyDescent="0.3">
      <c r="J38029"/>
    </row>
    <row r="38030" spans="10:10" x14ac:dyDescent="0.3">
      <c r="J38030"/>
    </row>
    <row r="38031" spans="10:10" x14ac:dyDescent="0.3">
      <c r="J38031"/>
    </row>
    <row r="38032" spans="10:10" x14ac:dyDescent="0.3">
      <c r="J38032"/>
    </row>
    <row r="38033" spans="10:10" x14ac:dyDescent="0.3">
      <c r="J38033"/>
    </row>
    <row r="38034" spans="10:10" x14ac:dyDescent="0.3">
      <c r="J38034"/>
    </row>
    <row r="38035" spans="10:10" x14ac:dyDescent="0.3">
      <c r="J38035"/>
    </row>
    <row r="38036" spans="10:10" x14ac:dyDescent="0.3">
      <c r="J38036"/>
    </row>
    <row r="38037" spans="10:10" x14ac:dyDescent="0.3">
      <c r="J38037"/>
    </row>
    <row r="38038" spans="10:10" x14ac:dyDescent="0.3">
      <c r="J38038"/>
    </row>
    <row r="38039" spans="10:10" x14ac:dyDescent="0.3">
      <c r="J38039"/>
    </row>
    <row r="38040" spans="10:10" x14ac:dyDescent="0.3">
      <c r="J38040"/>
    </row>
    <row r="38041" spans="10:10" x14ac:dyDescent="0.3">
      <c r="J38041"/>
    </row>
    <row r="38042" spans="10:10" x14ac:dyDescent="0.3">
      <c r="J38042"/>
    </row>
    <row r="38043" spans="10:10" x14ac:dyDescent="0.3">
      <c r="J38043"/>
    </row>
    <row r="38044" spans="10:10" x14ac:dyDescent="0.3">
      <c r="J38044"/>
    </row>
    <row r="38045" spans="10:10" x14ac:dyDescent="0.3">
      <c r="J38045"/>
    </row>
    <row r="38046" spans="10:10" x14ac:dyDescent="0.3">
      <c r="J38046"/>
    </row>
    <row r="38047" spans="10:10" x14ac:dyDescent="0.3">
      <c r="J38047"/>
    </row>
    <row r="38048" spans="10:10" x14ac:dyDescent="0.3">
      <c r="J38048"/>
    </row>
    <row r="38049" spans="10:10" x14ac:dyDescent="0.3">
      <c r="J38049"/>
    </row>
    <row r="38050" spans="10:10" x14ac:dyDescent="0.3">
      <c r="J38050"/>
    </row>
    <row r="38051" spans="10:10" x14ac:dyDescent="0.3">
      <c r="J38051"/>
    </row>
    <row r="38052" spans="10:10" x14ac:dyDescent="0.3">
      <c r="J38052"/>
    </row>
    <row r="38053" spans="10:10" x14ac:dyDescent="0.3">
      <c r="J38053"/>
    </row>
    <row r="38054" spans="10:10" x14ac:dyDescent="0.3">
      <c r="J38054"/>
    </row>
    <row r="38055" spans="10:10" x14ac:dyDescent="0.3">
      <c r="J38055"/>
    </row>
    <row r="38056" spans="10:10" x14ac:dyDescent="0.3">
      <c r="J38056"/>
    </row>
    <row r="38057" spans="10:10" x14ac:dyDescent="0.3">
      <c r="J38057"/>
    </row>
    <row r="38058" spans="10:10" x14ac:dyDescent="0.3">
      <c r="J38058"/>
    </row>
    <row r="38059" spans="10:10" x14ac:dyDescent="0.3">
      <c r="J38059"/>
    </row>
    <row r="38060" spans="10:10" x14ac:dyDescent="0.3">
      <c r="J38060"/>
    </row>
    <row r="38061" spans="10:10" x14ac:dyDescent="0.3">
      <c r="J38061"/>
    </row>
    <row r="38062" spans="10:10" x14ac:dyDescent="0.3">
      <c r="J38062"/>
    </row>
    <row r="38063" spans="10:10" x14ac:dyDescent="0.3">
      <c r="J38063"/>
    </row>
    <row r="38064" spans="10:10" x14ac:dyDescent="0.3">
      <c r="J38064"/>
    </row>
    <row r="38065" spans="10:10" x14ac:dyDescent="0.3">
      <c r="J38065"/>
    </row>
    <row r="38066" spans="10:10" x14ac:dyDescent="0.3">
      <c r="J38066"/>
    </row>
    <row r="38067" spans="10:10" x14ac:dyDescent="0.3">
      <c r="J38067"/>
    </row>
    <row r="38068" spans="10:10" x14ac:dyDescent="0.3">
      <c r="J38068"/>
    </row>
    <row r="38069" spans="10:10" x14ac:dyDescent="0.3">
      <c r="J38069"/>
    </row>
    <row r="38070" spans="10:10" x14ac:dyDescent="0.3">
      <c r="J38070"/>
    </row>
    <row r="38071" spans="10:10" x14ac:dyDescent="0.3">
      <c r="J38071"/>
    </row>
    <row r="38072" spans="10:10" x14ac:dyDescent="0.3">
      <c r="J38072"/>
    </row>
    <row r="38073" spans="10:10" x14ac:dyDescent="0.3">
      <c r="J38073"/>
    </row>
    <row r="38074" spans="10:10" x14ac:dyDescent="0.3">
      <c r="J38074"/>
    </row>
    <row r="38075" spans="10:10" x14ac:dyDescent="0.3">
      <c r="J38075"/>
    </row>
    <row r="38076" spans="10:10" x14ac:dyDescent="0.3">
      <c r="J38076"/>
    </row>
    <row r="38077" spans="10:10" x14ac:dyDescent="0.3">
      <c r="J38077"/>
    </row>
    <row r="38078" spans="10:10" x14ac:dyDescent="0.3">
      <c r="J38078"/>
    </row>
    <row r="38079" spans="10:10" x14ac:dyDescent="0.3">
      <c r="J38079"/>
    </row>
    <row r="38080" spans="10:10" x14ac:dyDescent="0.3">
      <c r="J38080"/>
    </row>
    <row r="38081" spans="10:10" x14ac:dyDescent="0.3">
      <c r="J38081"/>
    </row>
    <row r="38082" spans="10:10" x14ac:dyDescent="0.3">
      <c r="J38082"/>
    </row>
    <row r="38083" spans="10:10" x14ac:dyDescent="0.3">
      <c r="J38083"/>
    </row>
    <row r="38084" spans="10:10" x14ac:dyDescent="0.3">
      <c r="J38084"/>
    </row>
    <row r="38085" spans="10:10" x14ac:dyDescent="0.3">
      <c r="J38085"/>
    </row>
    <row r="38086" spans="10:10" x14ac:dyDescent="0.3">
      <c r="J38086"/>
    </row>
    <row r="38087" spans="10:10" x14ac:dyDescent="0.3">
      <c r="J38087"/>
    </row>
    <row r="38088" spans="10:10" x14ac:dyDescent="0.3">
      <c r="J38088"/>
    </row>
    <row r="38089" spans="10:10" x14ac:dyDescent="0.3">
      <c r="J38089"/>
    </row>
    <row r="38090" spans="10:10" x14ac:dyDescent="0.3">
      <c r="J38090"/>
    </row>
    <row r="38091" spans="10:10" x14ac:dyDescent="0.3">
      <c r="J38091"/>
    </row>
    <row r="38092" spans="10:10" x14ac:dyDescent="0.3">
      <c r="J38092"/>
    </row>
    <row r="38093" spans="10:10" x14ac:dyDescent="0.3">
      <c r="J38093"/>
    </row>
    <row r="38094" spans="10:10" x14ac:dyDescent="0.3">
      <c r="J38094"/>
    </row>
    <row r="38095" spans="10:10" x14ac:dyDescent="0.3">
      <c r="J38095"/>
    </row>
    <row r="38096" spans="10:10" x14ac:dyDescent="0.3">
      <c r="J38096"/>
    </row>
    <row r="38097" spans="10:10" x14ac:dyDescent="0.3">
      <c r="J38097"/>
    </row>
    <row r="38098" spans="10:10" x14ac:dyDescent="0.3">
      <c r="J38098"/>
    </row>
    <row r="38099" spans="10:10" x14ac:dyDescent="0.3">
      <c r="J38099"/>
    </row>
    <row r="38100" spans="10:10" x14ac:dyDescent="0.3">
      <c r="J38100"/>
    </row>
    <row r="38101" spans="10:10" x14ac:dyDescent="0.3">
      <c r="J38101"/>
    </row>
    <row r="38102" spans="10:10" x14ac:dyDescent="0.3">
      <c r="J38102"/>
    </row>
    <row r="38103" spans="10:10" x14ac:dyDescent="0.3">
      <c r="J38103"/>
    </row>
    <row r="38104" spans="10:10" x14ac:dyDescent="0.3">
      <c r="J38104"/>
    </row>
    <row r="38105" spans="10:10" x14ac:dyDescent="0.3">
      <c r="J38105"/>
    </row>
    <row r="38106" spans="10:10" x14ac:dyDescent="0.3">
      <c r="J38106"/>
    </row>
    <row r="38107" spans="10:10" x14ac:dyDescent="0.3">
      <c r="J38107"/>
    </row>
    <row r="38108" spans="10:10" x14ac:dyDescent="0.3">
      <c r="J38108"/>
    </row>
    <row r="38109" spans="10:10" x14ac:dyDescent="0.3">
      <c r="J38109"/>
    </row>
    <row r="38110" spans="10:10" x14ac:dyDescent="0.3">
      <c r="J38110"/>
    </row>
    <row r="38111" spans="10:10" x14ac:dyDescent="0.3">
      <c r="J38111"/>
    </row>
    <row r="38112" spans="10:10" x14ac:dyDescent="0.3">
      <c r="J38112"/>
    </row>
    <row r="38113" spans="10:10" x14ac:dyDescent="0.3">
      <c r="J38113"/>
    </row>
    <row r="38114" spans="10:10" x14ac:dyDescent="0.3">
      <c r="J38114"/>
    </row>
    <row r="38115" spans="10:10" x14ac:dyDescent="0.3">
      <c r="J38115"/>
    </row>
    <row r="38116" spans="10:10" x14ac:dyDescent="0.3">
      <c r="J38116"/>
    </row>
    <row r="38117" spans="10:10" x14ac:dyDescent="0.3">
      <c r="J38117"/>
    </row>
    <row r="38118" spans="10:10" x14ac:dyDescent="0.3">
      <c r="J38118"/>
    </row>
    <row r="38119" spans="10:10" x14ac:dyDescent="0.3">
      <c r="J38119"/>
    </row>
    <row r="38120" spans="10:10" x14ac:dyDescent="0.3">
      <c r="J38120"/>
    </row>
    <row r="38121" spans="10:10" x14ac:dyDescent="0.3">
      <c r="J38121"/>
    </row>
    <row r="38122" spans="10:10" x14ac:dyDescent="0.3">
      <c r="J38122"/>
    </row>
    <row r="38123" spans="10:10" x14ac:dyDescent="0.3">
      <c r="J38123"/>
    </row>
    <row r="38124" spans="10:10" x14ac:dyDescent="0.3">
      <c r="J38124"/>
    </row>
    <row r="38125" spans="10:10" x14ac:dyDescent="0.3">
      <c r="J38125"/>
    </row>
    <row r="38126" spans="10:10" x14ac:dyDescent="0.3">
      <c r="J38126"/>
    </row>
    <row r="38127" spans="10:10" x14ac:dyDescent="0.3">
      <c r="J38127"/>
    </row>
    <row r="38128" spans="10:10" x14ac:dyDescent="0.3">
      <c r="J38128"/>
    </row>
    <row r="38129" spans="10:10" x14ac:dyDescent="0.3">
      <c r="J38129"/>
    </row>
    <row r="38130" spans="10:10" x14ac:dyDescent="0.3">
      <c r="J38130"/>
    </row>
    <row r="38131" spans="10:10" x14ac:dyDescent="0.3">
      <c r="J38131"/>
    </row>
    <row r="38132" spans="10:10" x14ac:dyDescent="0.3">
      <c r="J38132"/>
    </row>
    <row r="38133" spans="10:10" x14ac:dyDescent="0.3">
      <c r="J38133"/>
    </row>
    <row r="38134" spans="10:10" x14ac:dyDescent="0.3">
      <c r="J38134"/>
    </row>
    <row r="38135" spans="10:10" x14ac:dyDescent="0.3">
      <c r="J38135"/>
    </row>
    <row r="38136" spans="10:10" x14ac:dyDescent="0.3">
      <c r="J38136"/>
    </row>
    <row r="38137" spans="10:10" x14ac:dyDescent="0.3">
      <c r="J38137"/>
    </row>
    <row r="38138" spans="10:10" x14ac:dyDescent="0.3">
      <c r="J38138"/>
    </row>
    <row r="38139" spans="10:10" x14ac:dyDescent="0.3">
      <c r="J38139"/>
    </row>
    <row r="38140" spans="10:10" x14ac:dyDescent="0.3">
      <c r="J38140"/>
    </row>
    <row r="38141" spans="10:10" x14ac:dyDescent="0.3">
      <c r="J38141"/>
    </row>
    <row r="38142" spans="10:10" x14ac:dyDescent="0.3">
      <c r="J38142"/>
    </row>
    <row r="38143" spans="10:10" x14ac:dyDescent="0.3">
      <c r="J38143"/>
    </row>
    <row r="38144" spans="10:10" x14ac:dyDescent="0.3">
      <c r="J38144"/>
    </row>
    <row r="38145" spans="10:10" x14ac:dyDescent="0.3">
      <c r="J38145"/>
    </row>
    <row r="38146" spans="10:10" x14ac:dyDescent="0.3">
      <c r="J38146"/>
    </row>
    <row r="38147" spans="10:10" x14ac:dyDescent="0.3">
      <c r="J38147"/>
    </row>
    <row r="38148" spans="10:10" x14ac:dyDescent="0.3">
      <c r="J38148"/>
    </row>
    <row r="38149" spans="10:10" x14ac:dyDescent="0.3">
      <c r="J38149"/>
    </row>
    <row r="38150" spans="10:10" x14ac:dyDescent="0.3">
      <c r="J38150"/>
    </row>
    <row r="38151" spans="10:10" x14ac:dyDescent="0.3">
      <c r="J38151"/>
    </row>
    <row r="38152" spans="10:10" x14ac:dyDescent="0.3">
      <c r="J38152"/>
    </row>
    <row r="38153" spans="10:10" x14ac:dyDescent="0.3">
      <c r="J38153"/>
    </row>
    <row r="38154" spans="10:10" x14ac:dyDescent="0.3">
      <c r="J38154"/>
    </row>
    <row r="38155" spans="10:10" x14ac:dyDescent="0.3">
      <c r="J38155"/>
    </row>
    <row r="38156" spans="10:10" x14ac:dyDescent="0.3">
      <c r="J38156"/>
    </row>
    <row r="38157" spans="10:10" x14ac:dyDescent="0.3">
      <c r="J38157"/>
    </row>
    <row r="38158" spans="10:10" x14ac:dyDescent="0.3">
      <c r="J38158"/>
    </row>
    <row r="38159" spans="10:10" x14ac:dyDescent="0.3">
      <c r="J38159"/>
    </row>
    <row r="38160" spans="10:10" x14ac:dyDescent="0.3">
      <c r="J38160"/>
    </row>
    <row r="38161" spans="10:10" x14ac:dyDescent="0.3">
      <c r="J38161"/>
    </row>
    <row r="38162" spans="10:10" x14ac:dyDescent="0.3">
      <c r="J38162"/>
    </row>
    <row r="38163" spans="10:10" x14ac:dyDescent="0.3">
      <c r="J38163"/>
    </row>
    <row r="38164" spans="10:10" x14ac:dyDescent="0.3">
      <c r="J38164"/>
    </row>
    <row r="38165" spans="10:10" x14ac:dyDescent="0.3">
      <c r="J38165"/>
    </row>
    <row r="38166" spans="10:10" x14ac:dyDescent="0.3">
      <c r="J38166"/>
    </row>
    <row r="38167" spans="10:10" x14ac:dyDescent="0.3">
      <c r="J38167"/>
    </row>
    <row r="38168" spans="10:10" x14ac:dyDescent="0.3">
      <c r="J38168"/>
    </row>
    <row r="38169" spans="10:10" x14ac:dyDescent="0.3">
      <c r="J38169"/>
    </row>
    <row r="38170" spans="10:10" x14ac:dyDescent="0.3">
      <c r="J38170"/>
    </row>
    <row r="38171" spans="10:10" x14ac:dyDescent="0.3">
      <c r="J38171"/>
    </row>
    <row r="38172" spans="10:10" x14ac:dyDescent="0.3">
      <c r="J38172"/>
    </row>
    <row r="38173" spans="10:10" x14ac:dyDescent="0.3">
      <c r="J38173"/>
    </row>
    <row r="38174" spans="10:10" x14ac:dyDescent="0.3">
      <c r="J38174"/>
    </row>
    <row r="38175" spans="10:10" x14ac:dyDescent="0.3">
      <c r="J38175"/>
    </row>
    <row r="38176" spans="10:10" x14ac:dyDescent="0.3">
      <c r="J38176"/>
    </row>
    <row r="38177" spans="10:10" x14ac:dyDescent="0.3">
      <c r="J38177"/>
    </row>
    <row r="38178" spans="10:10" x14ac:dyDescent="0.3">
      <c r="J38178"/>
    </row>
    <row r="38179" spans="10:10" x14ac:dyDescent="0.3">
      <c r="J38179"/>
    </row>
    <row r="38180" spans="10:10" x14ac:dyDescent="0.3">
      <c r="J38180"/>
    </row>
    <row r="38181" spans="10:10" x14ac:dyDescent="0.3">
      <c r="J38181"/>
    </row>
    <row r="38182" spans="10:10" x14ac:dyDescent="0.3">
      <c r="J38182"/>
    </row>
    <row r="38183" spans="10:10" x14ac:dyDescent="0.3">
      <c r="J38183"/>
    </row>
    <row r="38184" spans="10:10" x14ac:dyDescent="0.3">
      <c r="J38184"/>
    </row>
    <row r="38185" spans="10:10" x14ac:dyDescent="0.3">
      <c r="J38185"/>
    </row>
    <row r="38186" spans="10:10" x14ac:dyDescent="0.3">
      <c r="J38186"/>
    </row>
    <row r="38187" spans="10:10" x14ac:dyDescent="0.3">
      <c r="J38187"/>
    </row>
    <row r="38188" spans="10:10" x14ac:dyDescent="0.3">
      <c r="J38188"/>
    </row>
    <row r="38189" spans="10:10" x14ac:dyDescent="0.3">
      <c r="J38189"/>
    </row>
    <row r="38190" spans="10:10" x14ac:dyDescent="0.3">
      <c r="J38190"/>
    </row>
    <row r="38191" spans="10:10" x14ac:dyDescent="0.3">
      <c r="J38191"/>
    </row>
    <row r="38192" spans="10:10" x14ac:dyDescent="0.3">
      <c r="J38192"/>
    </row>
    <row r="38193" spans="10:10" x14ac:dyDescent="0.3">
      <c r="J38193"/>
    </row>
    <row r="38194" spans="10:10" x14ac:dyDescent="0.3">
      <c r="J38194"/>
    </row>
    <row r="38195" spans="10:10" x14ac:dyDescent="0.3">
      <c r="J38195"/>
    </row>
    <row r="38196" spans="10:10" x14ac:dyDescent="0.3">
      <c r="J38196"/>
    </row>
    <row r="38197" spans="10:10" x14ac:dyDescent="0.3">
      <c r="J38197"/>
    </row>
    <row r="38198" spans="10:10" x14ac:dyDescent="0.3">
      <c r="J38198"/>
    </row>
    <row r="38199" spans="10:10" x14ac:dyDescent="0.3">
      <c r="J38199"/>
    </row>
    <row r="38200" spans="10:10" x14ac:dyDescent="0.3">
      <c r="J38200"/>
    </row>
    <row r="38201" spans="10:10" x14ac:dyDescent="0.3">
      <c r="J38201"/>
    </row>
    <row r="38202" spans="10:10" x14ac:dyDescent="0.3">
      <c r="J38202"/>
    </row>
    <row r="38203" spans="10:10" x14ac:dyDescent="0.3">
      <c r="J38203"/>
    </row>
    <row r="38204" spans="10:10" x14ac:dyDescent="0.3">
      <c r="J38204"/>
    </row>
    <row r="38205" spans="10:10" x14ac:dyDescent="0.3">
      <c r="J38205"/>
    </row>
    <row r="38206" spans="10:10" x14ac:dyDescent="0.3">
      <c r="J38206"/>
    </row>
    <row r="38207" spans="10:10" x14ac:dyDescent="0.3">
      <c r="J38207"/>
    </row>
    <row r="38208" spans="10:10" x14ac:dyDescent="0.3">
      <c r="J38208"/>
    </row>
    <row r="38209" spans="10:10" x14ac:dyDescent="0.3">
      <c r="J38209"/>
    </row>
    <row r="38210" spans="10:10" x14ac:dyDescent="0.3">
      <c r="J38210"/>
    </row>
    <row r="38211" spans="10:10" x14ac:dyDescent="0.3">
      <c r="J38211"/>
    </row>
    <row r="38212" spans="10:10" x14ac:dyDescent="0.3">
      <c r="J38212"/>
    </row>
    <row r="38213" spans="10:10" x14ac:dyDescent="0.3">
      <c r="J38213"/>
    </row>
    <row r="38214" spans="10:10" x14ac:dyDescent="0.3">
      <c r="J38214"/>
    </row>
    <row r="38215" spans="10:10" x14ac:dyDescent="0.3">
      <c r="J38215"/>
    </row>
    <row r="38216" spans="10:10" x14ac:dyDescent="0.3">
      <c r="J38216"/>
    </row>
    <row r="38217" spans="10:10" x14ac:dyDescent="0.3">
      <c r="J38217"/>
    </row>
    <row r="38218" spans="10:10" x14ac:dyDescent="0.3">
      <c r="J38218"/>
    </row>
    <row r="38219" spans="10:10" x14ac:dyDescent="0.3">
      <c r="J38219"/>
    </row>
    <row r="38220" spans="10:10" x14ac:dyDescent="0.3">
      <c r="J38220"/>
    </row>
    <row r="38221" spans="10:10" x14ac:dyDescent="0.3">
      <c r="J38221"/>
    </row>
    <row r="38222" spans="10:10" x14ac:dyDescent="0.3">
      <c r="J38222"/>
    </row>
    <row r="38223" spans="10:10" x14ac:dyDescent="0.3">
      <c r="J38223"/>
    </row>
    <row r="38224" spans="10:10" x14ac:dyDescent="0.3">
      <c r="J38224"/>
    </row>
    <row r="38225" spans="10:10" x14ac:dyDescent="0.3">
      <c r="J38225"/>
    </row>
    <row r="38226" spans="10:10" x14ac:dyDescent="0.3">
      <c r="J38226"/>
    </row>
    <row r="38227" spans="10:10" x14ac:dyDescent="0.3">
      <c r="J38227"/>
    </row>
    <row r="38228" spans="10:10" x14ac:dyDescent="0.3">
      <c r="J38228"/>
    </row>
    <row r="38229" spans="10:10" x14ac:dyDescent="0.3">
      <c r="J38229"/>
    </row>
    <row r="38230" spans="10:10" x14ac:dyDescent="0.3">
      <c r="J38230"/>
    </row>
    <row r="38231" spans="10:10" x14ac:dyDescent="0.3">
      <c r="J38231"/>
    </row>
    <row r="38232" spans="10:10" x14ac:dyDescent="0.3">
      <c r="J38232"/>
    </row>
    <row r="38233" spans="10:10" x14ac:dyDescent="0.3">
      <c r="J38233"/>
    </row>
    <row r="38234" spans="10:10" x14ac:dyDescent="0.3">
      <c r="J38234"/>
    </row>
    <row r="38235" spans="10:10" x14ac:dyDescent="0.3">
      <c r="J38235"/>
    </row>
    <row r="38236" spans="10:10" x14ac:dyDescent="0.3">
      <c r="J38236"/>
    </row>
    <row r="38237" spans="10:10" x14ac:dyDescent="0.3">
      <c r="J38237"/>
    </row>
    <row r="38238" spans="10:10" x14ac:dyDescent="0.3">
      <c r="J38238"/>
    </row>
    <row r="38239" spans="10:10" x14ac:dyDescent="0.3">
      <c r="J38239"/>
    </row>
    <row r="38240" spans="10:10" x14ac:dyDescent="0.3">
      <c r="J38240"/>
    </row>
    <row r="38241" spans="10:10" x14ac:dyDescent="0.3">
      <c r="J38241"/>
    </row>
    <row r="38242" spans="10:10" x14ac:dyDescent="0.3">
      <c r="J38242"/>
    </row>
    <row r="38243" spans="10:10" x14ac:dyDescent="0.3">
      <c r="J38243"/>
    </row>
    <row r="38244" spans="10:10" x14ac:dyDescent="0.3">
      <c r="J38244"/>
    </row>
    <row r="38245" spans="10:10" x14ac:dyDescent="0.3">
      <c r="J38245"/>
    </row>
    <row r="38246" spans="10:10" x14ac:dyDescent="0.3">
      <c r="J38246"/>
    </row>
    <row r="38247" spans="10:10" x14ac:dyDescent="0.3">
      <c r="J38247"/>
    </row>
    <row r="38248" spans="10:10" x14ac:dyDescent="0.3">
      <c r="J38248"/>
    </row>
    <row r="38249" spans="10:10" x14ac:dyDescent="0.3">
      <c r="J38249"/>
    </row>
    <row r="38250" spans="10:10" x14ac:dyDescent="0.3">
      <c r="J38250"/>
    </row>
    <row r="38251" spans="10:10" x14ac:dyDescent="0.3">
      <c r="J38251"/>
    </row>
    <row r="38252" spans="10:10" x14ac:dyDescent="0.3">
      <c r="J38252"/>
    </row>
    <row r="38253" spans="10:10" x14ac:dyDescent="0.3">
      <c r="J38253"/>
    </row>
    <row r="38254" spans="10:10" x14ac:dyDescent="0.3">
      <c r="J38254"/>
    </row>
    <row r="38255" spans="10:10" x14ac:dyDescent="0.3">
      <c r="J38255"/>
    </row>
    <row r="38256" spans="10:10" x14ac:dyDescent="0.3">
      <c r="J38256"/>
    </row>
    <row r="38257" spans="10:10" x14ac:dyDescent="0.3">
      <c r="J38257"/>
    </row>
    <row r="38258" spans="10:10" x14ac:dyDescent="0.3">
      <c r="J38258"/>
    </row>
    <row r="38259" spans="10:10" x14ac:dyDescent="0.3">
      <c r="J38259"/>
    </row>
    <row r="38260" spans="10:10" x14ac:dyDescent="0.3">
      <c r="J38260"/>
    </row>
    <row r="38261" spans="10:10" x14ac:dyDescent="0.3">
      <c r="J38261"/>
    </row>
    <row r="38262" spans="10:10" x14ac:dyDescent="0.3">
      <c r="J38262"/>
    </row>
    <row r="38263" spans="10:10" x14ac:dyDescent="0.3">
      <c r="J38263"/>
    </row>
    <row r="38264" spans="10:10" x14ac:dyDescent="0.3">
      <c r="J38264"/>
    </row>
    <row r="38265" spans="10:10" x14ac:dyDescent="0.3">
      <c r="J38265"/>
    </row>
    <row r="38266" spans="10:10" x14ac:dyDescent="0.3">
      <c r="J38266"/>
    </row>
    <row r="38267" spans="10:10" x14ac:dyDescent="0.3">
      <c r="J38267"/>
    </row>
    <row r="38268" spans="10:10" x14ac:dyDescent="0.3">
      <c r="J38268"/>
    </row>
    <row r="38269" spans="10:10" x14ac:dyDescent="0.3">
      <c r="J38269"/>
    </row>
    <row r="38270" spans="10:10" x14ac:dyDescent="0.3">
      <c r="J38270"/>
    </row>
    <row r="38271" spans="10:10" x14ac:dyDescent="0.3">
      <c r="J38271"/>
    </row>
    <row r="38272" spans="10:10" x14ac:dyDescent="0.3">
      <c r="J38272"/>
    </row>
    <row r="38273" spans="10:10" x14ac:dyDescent="0.3">
      <c r="J38273"/>
    </row>
    <row r="38274" spans="10:10" x14ac:dyDescent="0.3">
      <c r="J38274"/>
    </row>
    <row r="38275" spans="10:10" x14ac:dyDescent="0.3">
      <c r="J38275"/>
    </row>
    <row r="38276" spans="10:10" x14ac:dyDescent="0.3">
      <c r="J38276"/>
    </row>
    <row r="38277" spans="10:10" x14ac:dyDescent="0.3">
      <c r="J38277"/>
    </row>
    <row r="38278" spans="10:10" x14ac:dyDescent="0.3">
      <c r="J38278"/>
    </row>
    <row r="38279" spans="10:10" x14ac:dyDescent="0.3">
      <c r="J38279"/>
    </row>
    <row r="38280" spans="10:10" x14ac:dyDescent="0.3">
      <c r="J38280"/>
    </row>
    <row r="38281" spans="10:10" x14ac:dyDescent="0.3">
      <c r="J38281"/>
    </row>
    <row r="38282" spans="10:10" x14ac:dyDescent="0.3">
      <c r="J38282"/>
    </row>
    <row r="38283" spans="10:10" x14ac:dyDescent="0.3">
      <c r="J38283"/>
    </row>
    <row r="38284" spans="10:10" x14ac:dyDescent="0.3">
      <c r="J38284"/>
    </row>
    <row r="38285" spans="10:10" x14ac:dyDescent="0.3">
      <c r="J38285"/>
    </row>
    <row r="38286" spans="10:10" x14ac:dyDescent="0.3">
      <c r="J38286"/>
    </row>
    <row r="38287" spans="10:10" x14ac:dyDescent="0.3">
      <c r="J38287"/>
    </row>
    <row r="38288" spans="10:10" x14ac:dyDescent="0.3">
      <c r="J38288"/>
    </row>
    <row r="38289" spans="10:10" x14ac:dyDescent="0.3">
      <c r="J38289"/>
    </row>
    <row r="38290" spans="10:10" x14ac:dyDescent="0.3">
      <c r="J38290"/>
    </row>
    <row r="38291" spans="10:10" x14ac:dyDescent="0.3">
      <c r="J38291"/>
    </row>
    <row r="38292" spans="10:10" x14ac:dyDescent="0.3">
      <c r="J38292"/>
    </row>
    <row r="38293" spans="10:10" x14ac:dyDescent="0.3">
      <c r="J38293"/>
    </row>
    <row r="38294" spans="10:10" x14ac:dyDescent="0.3">
      <c r="J38294"/>
    </row>
    <row r="38295" spans="10:10" x14ac:dyDescent="0.3">
      <c r="J38295"/>
    </row>
    <row r="38296" spans="10:10" x14ac:dyDescent="0.3">
      <c r="J38296"/>
    </row>
    <row r="38297" spans="10:10" x14ac:dyDescent="0.3">
      <c r="J38297"/>
    </row>
    <row r="38298" spans="10:10" x14ac:dyDescent="0.3">
      <c r="J38298"/>
    </row>
    <row r="38299" spans="10:10" x14ac:dyDescent="0.3">
      <c r="J38299"/>
    </row>
    <row r="38300" spans="10:10" x14ac:dyDescent="0.3">
      <c r="J38300"/>
    </row>
    <row r="38301" spans="10:10" x14ac:dyDescent="0.3">
      <c r="J38301"/>
    </row>
    <row r="38302" spans="10:10" x14ac:dyDescent="0.3">
      <c r="J38302"/>
    </row>
    <row r="38303" spans="10:10" x14ac:dyDescent="0.3">
      <c r="J38303"/>
    </row>
    <row r="38304" spans="10:10" x14ac:dyDescent="0.3">
      <c r="J38304"/>
    </row>
    <row r="38305" spans="10:10" x14ac:dyDescent="0.3">
      <c r="J38305"/>
    </row>
    <row r="38306" spans="10:10" x14ac:dyDescent="0.3">
      <c r="J38306"/>
    </row>
    <row r="38307" spans="10:10" x14ac:dyDescent="0.3">
      <c r="J38307"/>
    </row>
    <row r="38308" spans="10:10" x14ac:dyDescent="0.3">
      <c r="J38308"/>
    </row>
    <row r="38309" spans="10:10" x14ac:dyDescent="0.3">
      <c r="J38309"/>
    </row>
    <row r="38310" spans="10:10" x14ac:dyDescent="0.3">
      <c r="J38310"/>
    </row>
    <row r="38311" spans="10:10" x14ac:dyDescent="0.3">
      <c r="J38311"/>
    </row>
    <row r="38312" spans="10:10" x14ac:dyDescent="0.3">
      <c r="J38312"/>
    </row>
    <row r="38313" spans="10:10" x14ac:dyDescent="0.3">
      <c r="J38313"/>
    </row>
    <row r="38314" spans="10:10" x14ac:dyDescent="0.3">
      <c r="J38314"/>
    </row>
    <row r="38315" spans="10:10" x14ac:dyDescent="0.3">
      <c r="J38315"/>
    </row>
    <row r="38316" spans="10:10" x14ac:dyDescent="0.3">
      <c r="J38316"/>
    </row>
    <row r="38317" spans="10:10" x14ac:dyDescent="0.3">
      <c r="J38317"/>
    </row>
    <row r="38318" spans="10:10" x14ac:dyDescent="0.3">
      <c r="J38318"/>
    </row>
    <row r="38319" spans="10:10" x14ac:dyDescent="0.3">
      <c r="J38319"/>
    </row>
    <row r="38320" spans="10:10" x14ac:dyDescent="0.3">
      <c r="J38320"/>
    </row>
    <row r="38321" spans="10:10" x14ac:dyDescent="0.3">
      <c r="J38321"/>
    </row>
    <row r="38322" spans="10:10" x14ac:dyDescent="0.3">
      <c r="J38322"/>
    </row>
    <row r="38323" spans="10:10" x14ac:dyDescent="0.3">
      <c r="J38323"/>
    </row>
    <row r="38324" spans="10:10" x14ac:dyDescent="0.3">
      <c r="J38324"/>
    </row>
    <row r="38325" spans="10:10" x14ac:dyDescent="0.3">
      <c r="J38325"/>
    </row>
    <row r="38326" spans="10:10" x14ac:dyDescent="0.3">
      <c r="J38326"/>
    </row>
    <row r="38327" spans="10:10" x14ac:dyDescent="0.3">
      <c r="J38327"/>
    </row>
    <row r="38328" spans="10:10" x14ac:dyDescent="0.3">
      <c r="J38328"/>
    </row>
    <row r="38329" spans="10:10" x14ac:dyDescent="0.3">
      <c r="J38329"/>
    </row>
    <row r="38330" spans="10:10" x14ac:dyDescent="0.3">
      <c r="J38330"/>
    </row>
    <row r="38331" spans="10:10" x14ac:dyDescent="0.3">
      <c r="J38331"/>
    </row>
    <row r="38332" spans="10:10" x14ac:dyDescent="0.3">
      <c r="J38332"/>
    </row>
    <row r="38333" spans="10:10" x14ac:dyDescent="0.3">
      <c r="J38333"/>
    </row>
    <row r="38334" spans="10:10" x14ac:dyDescent="0.3">
      <c r="J38334"/>
    </row>
    <row r="38335" spans="10:10" x14ac:dyDescent="0.3">
      <c r="J38335"/>
    </row>
    <row r="38336" spans="10:10" x14ac:dyDescent="0.3">
      <c r="J38336"/>
    </row>
    <row r="38337" spans="10:10" x14ac:dyDescent="0.3">
      <c r="J38337"/>
    </row>
    <row r="38338" spans="10:10" x14ac:dyDescent="0.3">
      <c r="J38338"/>
    </row>
    <row r="38339" spans="10:10" x14ac:dyDescent="0.3">
      <c r="J38339"/>
    </row>
    <row r="38340" spans="10:10" x14ac:dyDescent="0.3">
      <c r="J38340"/>
    </row>
    <row r="38341" spans="10:10" x14ac:dyDescent="0.3">
      <c r="J38341"/>
    </row>
    <row r="38342" spans="10:10" x14ac:dyDescent="0.3">
      <c r="J38342"/>
    </row>
    <row r="38343" spans="10:10" x14ac:dyDescent="0.3">
      <c r="J38343"/>
    </row>
    <row r="38344" spans="10:10" x14ac:dyDescent="0.3">
      <c r="J38344"/>
    </row>
    <row r="38345" spans="10:10" x14ac:dyDescent="0.3">
      <c r="J38345"/>
    </row>
    <row r="38346" spans="10:10" x14ac:dyDescent="0.3">
      <c r="J38346"/>
    </row>
    <row r="38347" spans="10:10" x14ac:dyDescent="0.3">
      <c r="J38347"/>
    </row>
    <row r="38348" spans="10:10" x14ac:dyDescent="0.3">
      <c r="J38348"/>
    </row>
    <row r="38349" spans="10:10" x14ac:dyDescent="0.3">
      <c r="J38349"/>
    </row>
    <row r="38350" spans="10:10" x14ac:dyDescent="0.3">
      <c r="J38350"/>
    </row>
    <row r="38351" spans="10:10" x14ac:dyDescent="0.3">
      <c r="J38351"/>
    </row>
    <row r="38352" spans="10:10" x14ac:dyDescent="0.3">
      <c r="J38352"/>
    </row>
    <row r="38353" spans="10:10" x14ac:dyDescent="0.3">
      <c r="J38353"/>
    </row>
    <row r="38354" spans="10:10" x14ac:dyDescent="0.3">
      <c r="J38354"/>
    </row>
    <row r="38355" spans="10:10" x14ac:dyDescent="0.3">
      <c r="J38355"/>
    </row>
    <row r="38356" spans="10:10" x14ac:dyDescent="0.3">
      <c r="J38356"/>
    </row>
    <row r="38357" spans="10:10" x14ac:dyDescent="0.3">
      <c r="J38357"/>
    </row>
    <row r="38358" spans="10:10" x14ac:dyDescent="0.3">
      <c r="J38358"/>
    </row>
    <row r="38359" spans="10:10" x14ac:dyDescent="0.3">
      <c r="J38359"/>
    </row>
    <row r="38360" spans="10:10" x14ac:dyDescent="0.3">
      <c r="J38360"/>
    </row>
    <row r="38361" spans="10:10" x14ac:dyDescent="0.3">
      <c r="J38361"/>
    </row>
    <row r="38362" spans="10:10" x14ac:dyDescent="0.3">
      <c r="J38362"/>
    </row>
    <row r="38363" spans="10:10" x14ac:dyDescent="0.3">
      <c r="J38363"/>
    </row>
    <row r="38364" spans="10:10" x14ac:dyDescent="0.3">
      <c r="J38364"/>
    </row>
    <row r="38365" spans="10:10" x14ac:dyDescent="0.3">
      <c r="J38365"/>
    </row>
    <row r="38366" spans="10:10" x14ac:dyDescent="0.3">
      <c r="J38366"/>
    </row>
    <row r="38367" spans="10:10" x14ac:dyDescent="0.3">
      <c r="J38367"/>
    </row>
    <row r="38368" spans="10:10" x14ac:dyDescent="0.3">
      <c r="J38368"/>
    </row>
    <row r="38369" spans="10:10" x14ac:dyDescent="0.3">
      <c r="J38369"/>
    </row>
    <row r="38370" spans="10:10" x14ac:dyDescent="0.3">
      <c r="J38370"/>
    </row>
    <row r="38371" spans="10:10" x14ac:dyDescent="0.3">
      <c r="J38371"/>
    </row>
    <row r="38372" spans="10:10" x14ac:dyDescent="0.3">
      <c r="J38372"/>
    </row>
    <row r="38373" spans="10:10" x14ac:dyDescent="0.3">
      <c r="J38373"/>
    </row>
    <row r="38374" spans="10:10" x14ac:dyDescent="0.3">
      <c r="J38374"/>
    </row>
    <row r="38375" spans="10:10" x14ac:dyDescent="0.3">
      <c r="J38375"/>
    </row>
    <row r="38376" spans="10:10" x14ac:dyDescent="0.3">
      <c r="J38376"/>
    </row>
    <row r="38377" spans="10:10" x14ac:dyDescent="0.3">
      <c r="J38377"/>
    </row>
    <row r="38378" spans="10:10" x14ac:dyDescent="0.3">
      <c r="J38378"/>
    </row>
    <row r="38379" spans="10:10" x14ac:dyDescent="0.3">
      <c r="J38379"/>
    </row>
    <row r="38380" spans="10:10" x14ac:dyDescent="0.3">
      <c r="J38380"/>
    </row>
    <row r="38381" spans="10:10" x14ac:dyDescent="0.3">
      <c r="J38381"/>
    </row>
    <row r="38382" spans="10:10" x14ac:dyDescent="0.3">
      <c r="J38382"/>
    </row>
    <row r="38383" spans="10:10" x14ac:dyDescent="0.3">
      <c r="J38383"/>
    </row>
    <row r="38384" spans="10:10" x14ac:dyDescent="0.3">
      <c r="J38384"/>
    </row>
    <row r="38385" spans="10:10" x14ac:dyDescent="0.3">
      <c r="J38385"/>
    </row>
    <row r="38386" spans="10:10" x14ac:dyDescent="0.3">
      <c r="J38386"/>
    </row>
    <row r="38387" spans="10:10" x14ac:dyDescent="0.3">
      <c r="J38387"/>
    </row>
    <row r="38388" spans="10:10" x14ac:dyDescent="0.3">
      <c r="J38388"/>
    </row>
    <row r="38389" spans="10:10" x14ac:dyDescent="0.3">
      <c r="J38389"/>
    </row>
    <row r="38390" spans="10:10" x14ac:dyDescent="0.3">
      <c r="J38390"/>
    </row>
    <row r="38391" spans="10:10" x14ac:dyDescent="0.3">
      <c r="J38391"/>
    </row>
    <row r="38392" spans="10:10" x14ac:dyDescent="0.3">
      <c r="J38392"/>
    </row>
    <row r="38393" spans="10:10" x14ac:dyDescent="0.3">
      <c r="J38393"/>
    </row>
    <row r="38394" spans="10:10" x14ac:dyDescent="0.3">
      <c r="J38394"/>
    </row>
    <row r="38395" spans="10:10" x14ac:dyDescent="0.3">
      <c r="J38395"/>
    </row>
    <row r="38396" spans="10:10" x14ac:dyDescent="0.3">
      <c r="J38396"/>
    </row>
    <row r="38397" spans="10:10" x14ac:dyDescent="0.3">
      <c r="J38397"/>
    </row>
    <row r="38398" spans="10:10" x14ac:dyDescent="0.3">
      <c r="J38398"/>
    </row>
    <row r="38399" spans="10:10" x14ac:dyDescent="0.3">
      <c r="J38399"/>
    </row>
    <row r="38400" spans="10:10" x14ac:dyDescent="0.3">
      <c r="J38400"/>
    </row>
    <row r="38401" spans="10:10" x14ac:dyDescent="0.3">
      <c r="J38401"/>
    </row>
    <row r="38402" spans="10:10" x14ac:dyDescent="0.3">
      <c r="J38402"/>
    </row>
    <row r="38403" spans="10:10" x14ac:dyDescent="0.3">
      <c r="J38403"/>
    </row>
    <row r="38404" spans="10:10" x14ac:dyDescent="0.3">
      <c r="J38404"/>
    </row>
    <row r="38405" spans="10:10" x14ac:dyDescent="0.3">
      <c r="J38405"/>
    </row>
    <row r="38406" spans="10:10" x14ac:dyDescent="0.3">
      <c r="J38406"/>
    </row>
    <row r="38407" spans="10:10" x14ac:dyDescent="0.3">
      <c r="J38407"/>
    </row>
    <row r="38408" spans="10:10" x14ac:dyDescent="0.3">
      <c r="J38408"/>
    </row>
    <row r="38409" spans="10:10" x14ac:dyDescent="0.3">
      <c r="J38409"/>
    </row>
    <row r="38410" spans="10:10" x14ac:dyDescent="0.3">
      <c r="J38410"/>
    </row>
    <row r="38411" spans="10:10" x14ac:dyDescent="0.3">
      <c r="J38411"/>
    </row>
    <row r="38412" spans="10:10" x14ac:dyDescent="0.3">
      <c r="J38412"/>
    </row>
    <row r="38413" spans="10:10" x14ac:dyDescent="0.3">
      <c r="J38413"/>
    </row>
    <row r="38414" spans="10:10" x14ac:dyDescent="0.3">
      <c r="J38414"/>
    </row>
    <row r="38415" spans="10:10" x14ac:dyDescent="0.3">
      <c r="J38415"/>
    </row>
    <row r="38416" spans="10:10" x14ac:dyDescent="0.3">
      <c r="J38416"/>
    </row>
    <row r="38417" spans="10:10" x14ac:dyDescent="0.3">
      <c r="J38417"/>
    </row>
    <row r="38418" spans="10:10" x14ac:dyDescent="0.3">
      <c r="J38418"/>
    </row>
    <row r="38419" spans="10:10" x14ac:dyDescent="0.3">
      <c r="J38419"/>
    </row>
    <row r="38420" spans="10:10" x14ac:dyDescent="0.3">
      <c r="J38420"/>
    </row>
    <row r="38421" spans="10:10" x14ac:dyDescent="0.3">
      <c r="J38421"/>
    </row>
    <row r="38422" spans="10:10" x14ac:dyDescent="0.3">
      <c r="J38422"/>
    </row>
    <row r="38423" spans="10:10" x14ac:dyDescent="0.3">
      <c r="J38423"/>
    </row>
    <row r="38424" spans="10:10" x14ac:dyDescent="0.3">
      <c r="J38424"/>
    </row>
    <row r="38425" spans="10:10" x14ac:dyDescent="0.3">
      <c r="J38425"/>
    </row>
    <row r="38426" spans="10:10" x14ac:dyDescent="0.3">
      <c r="J38426"/>
    </row>
    <row r="38427" spans="10:10" x14ac:dyDescent="0.3">
      <c r="J38427"/>
    </row>
    <row r="38428" spans="10:10" x14ac:dyDescent="0.3">
      <c r="J38428"/>
    </row>
    <row r="38429" spans="10:10" x14ac:dyDescent="0.3">
      <c r="J38429"/>
    </row>
    <row r="38430" spans="10:10" x14ac:dyDescent="0.3">
      <c r="J38430"/>
    </row>
    <row r="38431" spans="10:10" x14ac:dyDescent="0.3">
      <c r="J38431"/>
    </row>
    <row r="38432" spans="10:10" x14ac:dyDescent="0.3">
      <c r="J38432"/>
    </row>
    <row r="38433" spans="10:10" x14ac:dyDescent="0.3">
      <c r="J38433"/>
    </row>
    <row r="38434" spans="10:10" x14ac:dyDescent="0.3">
      <c r="J38434"/>
    </row>
    <row r="38435" spans="10:10" x14ac:dyDescent="0.3">
      <c r="J38435"/>
    </row>
    <row r="38436" spans="10:10" x14ac:dyDescent="0.3">
      <c r="J38436"/>
    </row>
    <row r="38437" spans="10:10" x14ac:dyDescent="0.3">
      <c r="J38437"/>
    </row>
    <row r="38438" spans="10:10" x14ac:dyDescent="0.3">
      <c r="J38438"/>
    </row>
    <row r="38439" spans="10:10" x14ac:dyDescent="0.3">
      <c r="J38439"/>
    </row>
    <row r="38440" spans="10:10" x14ac:dyDescent="0.3">
      <c r="J38440"/>
    </row>
    <row r="38441" spans="10:10" x14ac:dyDescent="0.3">
      <c r="J38441"/>
    </row>
    <row r="38442" spans="10:10" x14ac:dyDescent="0.3">
      <c r="J38442"/>
    </row>
    <row r="38443" spans="10:10" x14ac:dyDescent="0.3">
      <c r="J38443"/>
    </row>
    <row r="38444" spans="10:10" x14ac:dyDescent="0.3">
      <c r="J38444"/>
    </row>
    <row r="38445" spans="10:10" x14ac:dyDescent="0.3">
      <c r="J38445"/>
    </row>
    <row r="38446" spans="10:10" x14ac:dyDescent="0.3">
      <c r="J38446"/>
    </row>
    <row r="38447" spans="10:10" x14ac:dyDescent="0.3">
      <c r="J38447"/>
    </row>
    <row r="38448" spans="10:10" x14ac:dyDescent="0.3">
      <c r="J38448"/>
    </row>
    <row r="38449" spans="10:10" x14ac:dyDescent="0.3">
      <c r="J38449"/>
    </row>
    <row r="38450" spans="10:10" x14ac:dyDescent="0.3">
      <c r="J38450"/>
    </row>
    <row r="38451" spans="10:10" x14ac:dyDescent="0.3">
      <c r="J38451"/>
    </row>
    <row r="38452" spans="10:10" x14ac:dyDescent="0.3">
      <c r="J38452"/>
    </row>
    <row r="38453" spans="10:10" x14ac:dyDescent="0.3">
      <c r="J38453"/>
    </row>
    <row r="38454" spans="10:10" x14ac:dyDescent="0.3">
      <c r="J38454"/>
    </row>
    <row r="38455" spans="10:10" x14ac:dyDescent="0.3">
      <c r="J38455"/>
    </row>
    <row r="38456" spans="10:10" x14ac:dyDescent="0.3">
      <c r="J38456"/>
    </row>
    <row r="38457" spans="10:10" x14ac:dyDescent="0.3">
      <c r="J38457"/>
    </row>
    <row r="38458" spans="10:10" x14ac:dyDescent="0.3">
      <c r="J38458"/>
    </row>
    <row r="38459" spans="10:10" x14ac:dyDescent="0.3">
      <c r="J38459"/>
    </row>
    <row r="38460" spans="10:10" x14ac:dyDescent="0.3">
      <c r="J38460"/>
    </row>
    <row r="38461" spans="10:10" x14ac:dyDescent="0.3">
      <c r="J38461"/>
    </row>
    <row r="38462" spans="10:10" x14ac:dyDescent="0.3">
      <c r="J38462"/>
    </row>
    <row r="38463" spans="10:10" x14ac:dyDescent="0.3">
      <c r="J38463"/>
    </row>
    <row r="38464" spans="10:10" x14ac:dyDescent="0.3">
      <c r="J38464"/>
    </row>
    <row r="38465" spans="10:10" x14ac:dyDescent="0.3">
      <c r="J38465"/>
    </row>
    <row r="38466" spans="10:10" x14ac:dyDescent="0.3">
      <c r="J38466"/>
    </row>
    <row r="38467" spans="10:10" x14ac:dyDescent="0.3">
      <c r="J38467"/>
    </row>
    <row r="38468" spans="10:10" x14ac:dyDescent="0.3">
      <c r="J38468"/>
    </row>
    <row r="38469" spans="10:10" x14ac:dyDescent="0.3">
      <c r="J38469"/>
    </row>
    <row r="38470" spans="10:10" x14ac:dyDescent="0.3">
      <c r="J38470"/>
    </row>
    <row r="38471" spans="10:10" x14ac:dyDescent="0.3">
      <c r="J38471"/>
    </row>
    <row r="38472" spans="10:10" x14ac:dyDescent="0.3">
      <c r="J38472"/>
    </row>
    <row r="38473" spans="10:10" x14ac:dyDescent="0.3">
      <c r="J38473"/>
    </row>
    <row r="38474" spans="10:10" x14ac:dyDescent="0.3">
      <c r="J38474"/>
    </row>
    <row r="38475" spans="10:10" x14ac:dyDescent="0.3">
      <c r="J38475"/>
    </row>
    <row r="38476" spans="10:10" x14ac:dyDescent="0.3">
      <c r="J38476"/>
    </row>
    <row r="38477" spans="10:10" x14ac:dyDescent="0.3">
      <c r="J38477"/>
    </row>
    <row r="38478" spans="10:10" x14ac:dyDescent="0.3">
      <c r="J38478"/>
    </row>
    <row r="38479" spans="10:10" x14ac:dyDescent="0.3">
      <c r="J38479"/>
    </row>
    <row r="38480" spans="10:10" x14ac:dyDescent="0.3">
      <c r="J38480"/>
    </row>
    <row r="38481" spans="10:10" x14ac:dyDescent="0.3">
      <c r="J38481"/>
    </row>
    <row r="38482" spans="10:10" x14ac:dyDescent="0.3">
      <c r="J38482"/>
    </row>
    <row r="38483" spans="10:10" x14ac:dyDescent="0.3">
      <c r="J38483"/>
    </row>
    <row r="38484" spans="10:10" x14ac:dyDescent="0.3">
      <c r="J38484"/>
    </row>
    <row r="38485" spans="10:10" x14ac:dyDescent="0.3">
      <c r="J38485"/>
    </row>
    <row r="38486" spans="10:10" x14ac:dyDescent="0.3">
      <c r="J38486"/>
    </row>
    <row r="38487" spans="10:10" x14ac:dyDescent="0.3">
      <c r="J38487"/>
    </row>
    <row r="38488" spans="10:10" x14ac:dyDescent="0.3">
      <c r="J38488"/>
    </row>
    <row r="38489" spans="10:10" x14ac:dyDescent="0.3">
      <c r="J38489"/>
    </row>
    <row r="38490" spans="10:10" x14ac:dyDescent="0.3">
      <c r="J38490"/>
    </row>
    <row r="38491" spans="10:10" x14ac:dyDescent="0.3">
      <c r="J38491"/>
    </row>
    <row r="38492" spans="10:10" x14ac:dyDescent="0.3">
      <c r="J38492"/>
    </row>
    <row r="38493" spans="10:10" x14ac:dyDescent="0.3">
      <c r="J38493"/>
    </row>
    <row r="38494" spans="10:10" x14ac:dyDescent="0.3">
      <c r="J38494"/>
    </row>
    <row r="38495" spans="10:10" x14ac:dyDescent="0.3">
      <c r="J38495"/>
    </row>
    <row r="38496" spans="10:10" x14ac:dyDescent="0.3">
      <c r="J38496"/>
    </row>
    <row r="38497" spans="10:10" x14ac:dyDescent="0.3">
      <c r="J38497"/>
    </row>
    <row r="38498" spans="10:10" x14ac:dyDescent="0.3">
      <c r="J38498"/>
    </row>
    <row r="38499" spans="10:10" x14ac:dyDescent="0.3">
      <c r="J38499"/>
    </row>
    <row r="38500" spans="10:10" x14ac:dyDescent="0.3">
      <c r="J38500"/>
    </row>
    <row r="38501" spans="10:10" x14ac:dyDescent="0.3">
      <c r="J38501"/>
    </row>
    <row r="38502" spans="10:10" x14ac:dyDescent="0.3">
      <c r="J38502"/>
    </row>
    <row r="38503" spans="10:10" x14ac:dyDescent="0.3">
      <c r="J38503"/>
    </row>
    <row r="38504" spans="10:10" x14ac:dyDescent="0.3">
      <c r="J38504"/>
    </row>
    <row r="38505" spans="10:10" x14ac:dyDescent="0.3">
      <c r="J38505"/>
    </row>
    <row r="38506" spans="10:10" x14ac:dyDescent="0.3">
      <c r="J38506"/>
    </row>
    <row r="38507" spans="10:10" x14ac:dyDescent="0.3">
      <c r="J38507"/>
    </row>
    <row r="38508" spans="10:10" x14ac:dyDescent="0.3">
      <c r="J38508"/>
    </row>
    <row r="38509" spans="10:10" x14ac:dyDescent="0.3">
      <c r="J38509"/>
    </row>
    <row r="38510" spans="10:10" x14ac:dyDescent="0.3">
      <c r="J38510"/>
    </row>
    <row r="38511" spans="10:10" x14ac:dyDescent="0.3">
      <c r="J38511"/>
    </row>
    <row r="38512" spans="10:10" x14ac:dyDescent="0.3">
      <c r="J38512"/>
    </row>
    <row r="38513" spans="10:10" x14ac:dyDescent="0.3">
      <c r="J38513"/>
    </row>
    <row r="38514" spans="10:10" x14ac:dyDescent="0.3">
      <c r="J38514"/>
    </row>
    <row r="38515" spans="10:10" x14ac:dyDescent="0.3">
      <c r="J38515"/>
    </row>
    <row r="38516" spans="10:10" x14ac:dyDescent="0.3">
      <c r="J38516"/>
    </row>
    <row r="38517" spans="10:10" x14ac:dyDescent="0.3">
      <c r="J38517"/>
    </row>
    <row r="38518" spans="10:10" x14ac:dyDescent="0.3">
      <c r="J38518"/>
    </row>
    <row r="38519" spans="10:10" x14ac:dyDescent="0.3">
      <c r="J38519"/>
    </row>
    <row r="38520" spans="10:10" x14ac:dyDescent="0.3">
      <c r="J38520"/>
    </row>
    <row r="38521" spans="10:10" x14ac:dyDescent="0.3">
      <c r="J38521"/>
    </row>
    <row r="38522" spans="10:10" x14ac:dyDescent="0.3">
      <c r="J38522"/>
    </row>
    <row r="38523" spans="10:10" x14ac:dyDescent="0.3">
      <c r="J38523"/>
    </row>
    <row r="38524" spans="10:10" x14ac:dyDescent="0.3">
      <c r="J38524"/>
    </row>
    <row r="38525" spans="10:10" x14ac:dyDescent="0.3">
      <c r="J38525"/>
    </row>
    <row r="38526" spans="10:10" x14ac:dyDescent="0.3">
      <c r="J38526"/>
    </row>
    <row r="38527" spans="10:10" x14ac:dyDescent="0.3">
      <c r="J38527"/>
    </row>
    <row r="38528" spans="10:10" x14ac:dyDescent="0.3">
      <c r="J38528"/>
    </row>
    <row r="38529" spans="10:10" x14ac:dyDescent="0.3">
      <c r="J38529"/>
    </row>
    <row r="38530" spans="10:10" x14ac:dyDescent="0.3">
      <c r="J38530"/>
    </row>
    <row r="38531" spans="10:10" x14ac:dyDescent="0.3">
      <c r="J38531"/>
    </row>
    <row r="38532" spans="10:10" x14ac:dyDescent="0.3">
      <c r="J38532"/>
    </row>
    <row r="38533" spans="10:10" x14ac:dyDescent="0.3">
      <c r="J38533"/>
    </row>
    <row r="38534" spans="10:10" x14ac:dyDescent="0.3">
      <c r="J38534"/>
    </row>
    <row r="38535" spans="10:10" x14ac:dyDescent="0.3">
      <c r="J38535"/>
    </row>
    <row r="38536" spans="10:10" x14ac:dyDescent="0.3">
      <c r="J38536"/>
    </row>
    <row r="38537" spans="10:10" x14ac:dyDescent="0.3">
      <c r="J38537"/>
    </row>
    <row r="38538" spans="10:10" x14ac:dyDescent="0.3">
      <c r="J38538"/>
    </row>
    <row r="38539" spans="10:10" x14ac:dyDescent="0.3">
      <c r="J38539"/>
    </row>
    <row r="38540" spans="10:10" x14ac:dyDescent="0.3">
      <c r="J38540"/>
    </row>
    <row r="38541" spans="10:10" x14ac:dyDescent="0.3">
      <c r="J38541"/>
    </row>
    <row r="38542" spans="10:10" x14ac:dyDescent="0.3">
      <c r="J38542"/>
    </row>
    <row r="38543" spans="10:10" x14ac:dyDescent="0.3">
      <c r="J38543"/>
    </row>
    <row r="38544" spans="10:10" x14ac:dyDescent="0.3">
      <c r="J38544"/>
    </row>
    <row r="38545" spans="10:10" x14ac:dyDescent="0.3">
      <c r="J38545"/>
    </row>
    <row r="38546" spans="10:10" x14ac:dyDescent="0.3">
      <c r="J38546"/>
    </row>
    <row r="38547" spans="10:10" x14ac:dyDescent="0.3">
      <c r="J38547"/>
    </row>
    <row r="38548" spans="10:10" x14ac:dyDescent="0.3">
      <c r="J38548"/>
    </row>
    <row r="38549" spans="10:10" x14ac:dyDescent="0.3">
      <c r="J38549"/>
    </row>
    <row r="38550" spans="10:10" x14ac:dyDescent="0.3">
      <c r="J38550"/>
    </row>
    <row r="38551" spans="10:10" x14ac:dyDescent="0.3">
      <c r="J38551"/>
    </row>
    <row r="38552" spans="10:10" x14ac:dyDescent="0.3">
      <c r="J38552"/>
    </row>
    <row r="38553" spans="10:10" x14ac:dyDescent="0.3">
      <c r="J38553"/>
    </row>
    <row r="38554" spans="10:10" x14ac:dyDescent="0.3">
      <c r="J38554"/>
    </row>
    <row r="38555" spans="10:10" x14ac:dyDescent="0.3">
      <c r="J38555"/>
    </row>
    <row r="38556" spans="10:10" x14ac:dyDescent="0.3">
      <c r="J38556"/>
    </row>
    <row r="38557" spans="10:10" x14ac:dyDescent="0.3">
      <c r="J38557"/>
    </row>
    <row r="38558" spans="10:10" x14ac:dyDescent="0.3">
      <c r="J38558"/>
    </row>
    <row r="38559" spans="10:10" x14ac:dyDescent="0.3">
      <c r="J38559"/>
    </row>
    <row r="38560" spans="10:10" x14ac:dyDescent="0.3">
      <c r="J38560"/>
    </row>
    <row r="38561" spans="10:10" x14ac:dyDescent="0.3">
      <c r="J38561"/>
    </row>
    <row r="38562" spans="10:10" x14ac:dyDescent="0.3">
      <c r="J38562"/>
    </row>
    <row r="38563" spans="10:10" x14ac:dyDescent="0.3">
      <c r="J38563"/>
    </row>
    <row r="38564" spans="10:10" x14ac:dyDescent="0.3">
      <c r="J38564"/>
    </row>
    <row r="38565" spans="10:10" x14ac:dyDescent="0.3">
      <c r="J38565"/>
    </row>
    <row r="38566" spans="10:10" x14ac:dyDescent="0.3">
      <c r="J38566"/>
    </row>
    <row r="38567" spans="10:10" x14ac:dyDescent="0.3">
      <c r="J38567"/>
    </row>
    <row r="38568" spans="10:10" x14ac:dyDescent="0.3">
      <c r="J38568"/>
    </row>
    <row r="38569" spans="10:10" x14ac:dyDescent="0.3">
      <c r="J38569"/>
    </row>
    <row r="38570" spans="10:10" x14ac:dyDescent="0.3">
      <c r="J38570"/>
    </row>
    <row r="38571" spans="10:10" x14ac:dyDescent="0.3">
      <c r="J38571"/>
    </row>
    <row r="38572" spans="10:10" x14ac:dyDescent="0.3">
      <c r="J38572"/>
    </row>
    <row r="38573" spans="10:10" x14ac:dyDescent="0.3">
      <c r="J38573"/>
    </row>
    <row r="38574" spans="10:10" x14ac:dyDescent="0.3">
      <c r="J38574"/>
    </row>
    <row r="38575" spans="10:10" x14ac:dyDescent="0.3">
      <c r="J38575"/>
    </row>
    <row r="38576" spans="10:10" x14ac:dyDescent="0.3">
      <c r="J38576"/>
    </row>
    <row r="38577" spans="10:10" x14ac:dyDescent="0.3">
      <c r="J38577"/>
    </row>
    <row r="38578" spans="10:10" x14ac:dyDescent="0.3">
      <c r="J38578"/>
    </row>
    <row r="38579" spans="10:10" x14ac:dyDescent="0.3">
      <c r="J38579"/>
    </row>
    <row r="38580" spans="10:10" x14ac:dyDescent="0.3">
      <c r="J38580"/>
    </row>
    <row r="38581" spans="10:10" x14ac:dyDescent="0.3">
      <c r="J38581"/>
    </row>
    <row r="38582" spans="10:10" x14ac:dyDescent="0.3">
      <c r="J38582"/>
    </row>
    <row r="38583" spans="10:10" x14ac:dyDescent="0.3">
      <c r="J38583"/>
    </row>
    <row r="38584" spans="10:10" x14ac:dyDescent="0.3">
      <c r="J38584"/>
    </row>
    <row r="38585" spans="10:10" x14ac:dyDescent="0.3">
      <c r="J38585"/>
    </row>
    <row r="38586" spans="10:10" x14ac:dyDescent="0.3">
      <c r="J38586"/>
    </row>
    <row r="38587" spans="10:10" x14ac:dyDescent="0.3">
      <c r="J38587"/>
    </row>
    <row r="38588" spans="10:10" x14ac:dyDescent="0.3">
      <c r="J38588"/>
    </row>
    <row r="38589" spans="10:10" x14ac:dyDescent="0.3">
      <c r="J38589"/>
    </row>
    <row r="38590" spans="10:10" x14ac:dyDescent="0.3">
      <c r="J38590"/>
    </row>
    <row r="38591" spans="10:10" x14ac:dyDescent="0.3">
      <c r="J38591"/>
    </row>
    <row r="38592" spans="10:10" x14ac:dyDescent="0.3">
      <c r="J38592"/>
    </row>
    <row r="38593" spans="10:10" x14ac:dyDescent="0.3">
      <c r="J38593"/>
    </row>
    <row r="38594" spans="10:10" x14ac:dyDescent="0.3">
      <c r="J38594"/>
    </row>
    <row r="38595" spans="10:10" x14ac:dyDescent="0.3">
      <c r="J38595"/>
    </row>
    <row r="38596" spans="10:10" x14ac:dyDescent="0.3">
      <c r="J38596"/>
    </row>
    <row r="38597" spans="10:10" x14ac:dyDescent="0.3">
      <c r="J38597"/>
    </row>
    <row r="38598" spans="10:10" x14ac:dyDescent="0.3">
      <c r="J38598"/>
    </row>
    <row r="38599" spans="10:10" x14ac:dyDescent="0.3">
      <c r="J38599"/>
    </row>
    <row r="38600" spans="10:10" x14ac:dyDescent="0.3">
      <c r="J38600"/>
    </row>
    <row r="38601" spans="10:10" x14ac:dyDescent="0.3">
      <c r="J38601"/>
    </row>
    <row r="38602" spans="10:10" x14ac:dyDescent="0.3">
      <c r="J38602"/>
    </row>
    <row r="38603" spans="10:10" x14ac:dyDescent="0.3">
      <c r="J38603"/>
    </row>
    <row r="38604" spans="10:10" x14ac:dyDescent="0.3">
      <c r="J38604"/>
    </row>
    <row r="38605" spans="10:10" x14ac:dyDescent="0.3">
      <c r="J38605"/>
    </row>
    <row r="38606" spans="10:10" x14ac:dyDescent="0.3">
      <c r="J38606"/>
    </row>
    <row r="38607" spans="10:10" x14ac:dyDescent="0.3">
      <c r="J38607"/>
    </row>
    <row r="38608" spans="10:10" x14ac:dyDescent="0.3">
      <c r="J38608"/>
    </row>
    <row r="38609" spans="10:10" x14ac:dyDescent="0.3">
      <c r="J38609"/>
    </row>
    <row r="38610" spans="10:10" x14ac:dyDescent="0.3">
      <c r="J38610"/>
    </row>
    <row r="38611" spans="10:10" x14ac:dyDescent="0.3">
      <c r="J38611"/>
    </row>
    <row r="38612" spans="10:10" x14ac:dyDescent="0.3">
      <c r="J38612"/>
    </row>
    <row r="38613" spans="10:10" x14ac:dyDescent="0.3">
      <c r="J38613"/>
    </row>
    <row r="38614" spans="10:10" x14ac:dyDescent="0.3">
      <c r="J38614"/>
    </row>
    <row r="38615" spans="10:10" x14ac:dyDescent="0.3">
      <c r="J38615"/>
    </row>
    <row r="38616" spans="10:10" x14ac:dyDescent="0.3">
      <c r="J38616"/>
    </row>
    <row r="38617" spans="10:10" x14ac:dyDescent="0.3">
      <c r="J38617"/>
    </row>
    <row r="38618" spans="10:10" x14ac:dyDescent="0.3">
      <c r="J38618"/>
    </row>
    <row r="38619" spans="10:10" x14ac:dyDescent="0.3">
      <c r="J38619"/>
    </row>
    <row r="38620" spans="10:10" x14ac:dyDescent="0.3">
      <c r="J38620"/>
    </row>
    <row r="38621" spans="10:10" x14ac:dyDescent="0.3">
      <c r="J38621"/>
    </row>
    <row r="38622" spans="10:10" x14ac:dyDescent="0.3">
      <c r="J38622"/>
    </row>
    <row r="38623" spans="10:10" x14ac:dyDescent="0.3">
      <c r="J38623"/>
    </row>
    <row r="38624" spans="10:10" x14ac:dyDescent="0.3">
      <c r="J38624"/>
    </row>
    <row r="38625" spans="10:10" x14ac:dyDescent="0.3">
      <c r="J38625"/>
    </row>
    <row r="38626" spans="10:10" x14ac:dyDescent="0.3">
      <c r="J38626"/>
    </row>
    <row r="38627" spans="10:10" x14ac:dyDescent="0.3">
      <c r="J38627"/>
    </row>
    <row r="38628" spans="10:10" x14ac:dyDescent="0.3">
      <c r="J38628"/>
    </row>
    <row r="38629" spans="10:10" x14ac:dyDescent="0.3">
      <c r="J38629"/>
    </row>
    <row r="38630" spans="10:10" x14ac:dyDescent="0.3">
      <c r="J38630"/>
    </row>
    <row r="38631" spans="10:10" x14ac:dyDescent="0.3">
      <c r="J38631"/>
    </row>
    <row r="38632" spans="10:10" x14ac:dyDescent="0.3">
      <c r="J38632"/>
    </row>
    <row r="38633" spans="10:10" x14ac:dyDescent="0.3">
      <c r="J38633"/>
    </row>
    <row r="38634" spans="10:10" x14ac:dyDescent="0.3">
      <c r="J38634"/>
    </row>
    <row r="38635" spans="10:10" x14ac:dyDescent="0.3">
      <c r="J38635"/>
    </row>
    <row r="38636" spans="10:10" x14ac:dyDescent="0.3">
      <c r="J38636"/>
    </row>
    <row r="38637" spans="10:10" x14ac:dyDescent="0.3">
      <c r="J38637"/>
    </row>
    <row r="38638" spans="10:10" x14ac:dyDescent="0.3">
      <c r="J38638"/>
    </row>
    <row r="38639" spans="10:10" x14ac:dyDescent="0.3">
      <c r="J38639"/>
    </row>
    <row r="38640" spans="10:10" x14ac:dyDescent="0.3">
      <c r="J38640"/>
    </row>
    <row r="38641" spans="10:10" x14ac:dyDescent="0.3">
      <c r="J38641"/>
    </row>
    <row r="38642" spans="10:10" x14ac:dyDescent="0.3">
      <c r="J38642"/>
    </row>
    <row r="38643" spans="10:10" x14ac:dyDescent="0.3">
      <c r="J38643"/>
    </row>
    <row r="38644" spans="10:10" x14ac:dyDescent="0.3">
      <c r="J38644"/>
    </row>
    <row r="38645" spans="10:10" x14ac:dyDescent="0.3">
      <c r="J38645"/>
    </row>
    <row r="38646" spans="10:10" x14ac:dyDescent="0.3">
      <c r="J38646"/>
    </row>
    <row r="38647" spans="10:10" x14ac:dyDescent="0.3">
      <c r="J38647"/>
    </row>
    <row r="38648" spans="10:10" x14ac:dyDescent="0.3">
      <c r="J38648"/>
    </row>
    <row r="38649" spans="10:10" x14ac:dyDescent="0.3">
      <c r="J38649"/>
    </row>
    <row r="38650" spans="10:10" x14ac:dyDescent="0.3">
      <c r="J38650"/>
    </row>
    <row r="38651" spans="10:10" x14ac:dyDescent="0.3">
      <c r="J38651"/>
    </row>
    <row r="38652" spans="10:10" x14ac:dyDescent="0.3">
      <c r="J38652"/>
    </row>
    <row r="38653" spans="10:10" x14ac:dyDescent="0.3">
      <c r="J38653"/>
    </row>
    <row r="38654" spans="10:10" x14ac:dyDescent="0.3">
      <c r="J38654"/>
    </row>
    <row r="38655" spans="10:10" x14ac:dyDescent="0.3">
      <c r="J38655"/>
    </row>
    <row r="38656" spans="10:10" x14ac:dyDescent="0.3">
      <c r="J38656"/>
    </row>
    <row r="38657" spans="10:10" x14ac:dyDescent="0.3">
      <c r="J38657"/>
    </row>
    <row r="38658" spans="10:10" x14ac:dyDescent="0.3">
      <c r="J38658"/>
    </row>
    <row r="38659" spans="10:10" x14ac:dyDescent="0.3">
      <c r="J38659"/>
    </row>
    <row r="38660" spans="10:10" x14ac:dyDescent="0.3">
      <c r="J38660"/>
    </row>
    <row r="38661" spans="10:10" x14ac:dyDescent="0.3">
      <c r="J38661"/>
    </row>
    <row r="38662" spans="10:10" x14ac:dyDescent="0.3">
      <c r="J38662"/>
    </row>
    <row r="38663" spans="10:10" x14ac:dyDescent="0.3">
      <c r="J38663"/>
    </row>
    <row r="38664" spans="10:10" x14ac:dyDescent="0.3">
      <c r="J38664"/>
    </row>
    <row r="38665" spans="10:10" x14ac:dyDescent="0.3">
      <c r="J38665"/>
    </row>
    <row r="38666" spans="10:10" x14ac:dyDescent="0.3">
      <c r="J38666"/>
    </row>
    <row r="38667" spans="10:10" x14ac:dyDescent="0.3">
      <c r="J38667"/>
    </row>
    <row r="38668" spans="10:10" x14ac:dyDescent="0.3">
      <c r="J38668"/>
    </row>
    <row r="38669" spans="10:10" x14ac:dyDescent="0.3">
      <c r="J38669"/>
    </row>
    <row r="38670" spans="10:10" x14ac:dyDescent="0.3">
      <c r="J38670"/>
    </row>
    <row r="38671" spans="10:10" x14ac:dyDescent="0.3">
      <c r="J38671"/>
    </row>
    <row r="38672" spans="10:10" x14ac:dyDescent="0.3">
      <c r="J38672"/>
    </row>
    <row r="38673" spans="10:10" x14ac:dyDescent="0.3">
      <c r="J38673"/>
    </row>
    <row r="38674" spans="10:10" x14ac:dyDescent="0.3">
      <c r="J38674"/>
    </row>
    <row r="38675" spans="10:10" x14ac:dyDescent="0.3">
      <c r="J38675"/>
    </row>
    <row r="38676" spans="10:10" x14ac:dyDescent="0.3">
      <c r="J38676"/>
    </row>
    <row r="38677" spans="10:10" x14ac:dyDescent="0.3">
      <c r="J38677"/>
    </row>
    <row r="38678" spans="10:10" x14ac:dyDescent="0.3">
      <c r="J38678"/>
    </row>
    <row r="38679" spans="10:10" x14ac:dyDescent="0.3">
      <c r="J38679"/>
    </row>
    <row r="38680" spans="10:10" x14ac:dyDescent="0.3">
      <c r="J38680"/>
    </row>
    <row r="38681" spans="10:10" x14ac:dyDescent="0.3">
      <c r="J38681"/>
    </row>
    <row r="38682" spans="10:10" x14ac:dyDescent="0.3">
      <c r="J38682"/>
    </row>
    <row r="38683" spans="10:10" x14ac:dyDescent="0.3">
      <c r="J38683"/>
    </row>
    <row r="38684" spans="10:10" x14ac:dyDescent="0.3">
      <c r="J38684"/>
    </row>
    <row r="38685" spans="10:10" x14ac:dyDescent="0.3">
      <c r="J38685"/>
    </row>
    <row r="38686" spans="10:10" x14ac:dyDescent="0.3">
      <c r="J38686"/>
    </row>
    <row r="38687" spans="10:10" x14ac:dyDescent="0.3">
      <c r="J38687"/>
    </row>
    <row r="38688" spans="10:10" x14ac:dyDescent="0.3">
      <c r="J38688"/>
    </row>
    <row r="38689" spans="10:10" x14ac:dyDescent="0.3">
      <c r="J38689"/>
    </row>
    <row r="38690" spans="10:10" x14ac:dyDescent="0.3">
      <c r="J38690"/>
    </row>
    <row r="38691" spans="10:10" x14ac:dyDescent="0.3">
      <c r="J38691"/>
    </row>
    <row r="38692" spans="10:10" x14ac:dyDescent="0.3">
      <c r="J38692"/>
    </row>
    <row r="38693" spans="10:10" x14ac:dyDescent="0.3">
      <c r="J38693"/>
    </row>
    <row r="38694" spans="10:10" x14ac:dyDescent="0.3">
      <c r="J38694"/>
    </row>
    <row r="38695" spans="10:10" x14ac:dyDescent="0.3">
      <c r="J38695"/>
    </row>
    <row r="38696" spans="10:10" x14ac:dyDescent="0.3">
      <c r="J38696"/>
    </row>
    <row r="38697" spans="10:10" x14ac:dyDescent="0.3">
      <c r="J38697"/>
    </row>
    <row r="38698" spans="10:10" x14ac:dyDescent="0.3">
      <c r="J38698"/>
    </row>
    <row r="38699" spans="10:10" x14ac:dyDescent="0.3">
      <c r="J38699"/>
    </row>
    <row r="38700" spans="10:10" x14ac:dyDescent="0.3">
      <c r="J38700"/>
    </row>
    <row r="38701" spans="10:10" x14ac:dyDescent="0.3">
      <c r="J38701"/>
    </row>
    <row r="38702" spans="10:10" x14ac:dyDescent="0.3">
      <c r="J38702"/>
    </row>
    <row r="38703" spans="10:10" x14ac:dyDescent="0.3">
      <c r="J38703"/>
    </row>
    <row r="38704" spans="10:10" x14ac:dyDescent="0.3">
      <c r="J38704"/>
    </row>
    <row r="38705" spans="10:10" x14ac:dyDescent="0.3">
      <c r="J38705"/>
    </row>
    <row r="38706" spans="10:10" x14ac:dyDescent="0.3">
      <c r="J38706"/>
    </row>
    <row r="38707" spans="10:10" x14ac:dyDescent="0.3">
      <c r="J38707"/>
    </row>
    <row r="38708" spans="10:10" x14ac:dyDescent="0.3">
      <c r="J38708"/>
    </row>
    <row r="38709" spans="10:10" x14ac:dyDescent="0.3">
      <c r="J38709"/>
    </row>
    <row r="38710" spans="10:10" x14ac:dyDescent="0.3">
      <c r="J38710"/>
    </row>
    <row r="38711" spans="10:10" x14ac:dyDescent="0.3">
      <c r="J38711"/>
    </row>
    <row r="38712" spans="10:10" x14ac:dyDescent="0.3">
      <c r="J38712"/>
    </row>
    <row r="38713" spans="10:10" x14ac:dyDescent="0.3">
      <c r="J38713"/>
    </row>
    <row r="38714" spans="10:10" x14ac:dyDescent="0.3">
      <c r="J38714"/>
    </row>
    <row r="38715" spans="10:10" x14ac:dyDescent="0.3">
      <c r="J38715"/>
    </row>
    <row r="38716" spans="10:10" x14ac:dyDescent="0.3">
      <c r="J38716"/>
    </row>
    <row r="38717" spans="10:10" x14ac:dyDescent="0.3">
      <c r="J38717"/>
    </row>
    <row r="38718" spans="10:10" x14ac:dyDescent="0.3">
      <c r="J38718"/>
    </row>
    <row r="38719" spans="10:10" x14ac:dyDescent="0.3">
      <c r="J38719"/>
    </row>
    <row r="38720" spans="10:10" x14ac:dyDescent="0.3">
      <c r="J38720"/>
    </row>
    <row r="38721" spans="10:10" x14ac:dyDescent="0.3">
      <c r="J38721"/>
    </row>
    <row r="38722" spans="10:10" x14ac:dyDescent="0.3">
      <c r="J38722"/>
    </row>
    <row r="38723" spans="10:10" x14ac:dyDescent="0.3">
      <c r="J38723"/>
    </row>
    <row r="38724" spans="10:10" x14ac:dyDescent="0.3">
      <c r="J38724"/>
    </row>
    <row r="38725" spans="10:10" x14ac:dyDescent="0.3">
      <c r="J38725"/>
    </row>
    <row r="38726" spans="10:10" x14ac:dyDescent="0.3">
      <c r="J38726"/>
    </row>
    <row r="38727" spans="10:10" x14ac:dyDescent="0.3">
      <c r="J38727"/>
    </row>
    <row r="38728" spans="10:10" x14ac:dyDescent="0.3">
      <c r="J38728"/>
    </row>
    <row r="38729" spans="10:10" x14ac:dyDescent="0.3">
      <c r="J38729"/>
    </row>
    <row r="38730" spans="10:10" x14ac:dyDescent="0.3">
      <c r="J38730"/>
    </row>
    <row r="38731" spans="10:10" x14ac:dyDescent="0.3">
      <c r="J38731"/>
    </row>
    <row r="38732" spans="10:10" x14ac:dyDescent="0.3">
      <c r="J38732"/>
    </row>
    <row r="38733" spans="10:10" x14ac:dyDescent="0.3">
      <c r="J38733"/>
    </row>
    <row r="38734" spans="10:10" x14ac:dyDescent="0.3">
      <c r="J38734"/>
    </row>
    <row r="38735" spans="10:10" x14ac:dyDescent="0.3">
      <c r="J38735"/>
    </row>
    <row r="38736" spans="10:10" x14ac:dyDescent="0.3">
      <c r="J38736"/>
    </row>
    <row r="38737" spans="10:10" x14ac:dyDescent="0.3">
      <c r="J38737"/>
    </row>
    <row r="38738" spans="10:10" x14ac:dyDescent="0.3">
      <c r="J38738"/>
    </row>
    <row r="38739" spans="10:10" x14ac:dyDescent="0.3">
      <c r="J38739"/>
    </row>
    <row r="38740" spans="10:10" x14ac:dyDescent="0.3">
      <c r="J38740"/>
    </row>
    <row r="38741" spans="10:10" x14ac:dyDescent="0.3">
      <c r="J38741"/>
    </row>
    <row r="38742" spans="10:10" x14ac:dyDescent="0.3">
      <c r="J38742"/>
    </row>
    <row r="38743" spans="10:10" x14ac:dyDescent="0.3">
      <c r="J38743"/>
    </row>
    <row r="38744" spans="10:10" x14ac:dyDescent="0.3">
      <c r="J38744"/>
    </row>
    <row r="38745" spans="10:10" x14ac:dyDescent="0.3">
      <c r="J38745"/>
    </row>
    <row r="38746" spans="10:10" x14ac:dyDescent="0.3">
      <c r="J38746"/>
    </row>
    <row r="38747" spans="10:10" x14ac:dyDescent="0.3">
      <c r="J38747"/>
    </row>
    <row r="38748" spans="10:10" x14ac:dyDescent="0.3">
      <c r="J38748"/>
    </row>
    <row r="38749" spans="10:10" x14ac:dyDescent="0.3">
      <c r="J38749"/>
    </row>
    <row r="38750" spans="10:10" x14ac:dyDescent="0.3">
      <c r="J38750"/>
    </row>
    <row r="38751" spans="10:10" x14ac:dyDescent="0.3">
      <c r="J38751"/>
    </row>
    <row r="38752" spans="10:10" x14ac:dyDescent="0.3">
      <c r="J38752"/>
    </row>
    <row r="38753" spans="10:10" x14ac:dyDescent="0.3">
      <c r="J38753"/>
    </row>
    <row r="38754" spans="10:10" x14ac:dyDescent="0.3">
      <c r="J38754"/>
    </row>
    <row r="38755" spans="10:10" x14ac:dyDescent="0.3">
      <c r="J38755"/>
    </row>
    <row r="38756" spans="10:10" x14ac:dyDescent="0.3">
      <c r="J38756"/>
    </row>
    <row r="38757" spans="10:10" x14ac:dyDescent="0.3">
      <c r="J38757"/>
    </row>
    <row r="38758" spans="10:10" x14ac:dyDescent="0.3">
      <c r="J38758"/>
    </row>
    <row r="38759" spans="10:10" x14ac:dyDescent="0.3">
      <c r="J38759"/>
    </row>
    <row r="38760" spans="10:10" x14ac:dyDescent="0.3">
      <c r="J38760"/>
    </row>
    <row r="38761" spans="10:10" x14ac:dyDescent="0.3">
      <c r="J38761"/>
    </row>
    <row r="38762" spans="10:10" x14ac:dyDescent="0.3">
      <c r="J38762"/>
    </row>
    <row r="38763" spans="10:10" x14ac:dyDescent="0.3">
      <c r="J38763"/>
    </row>
    <row r="38764" spans="10:10" x14ac:dyDescent="0.3">
      <c r="J38764"/>
    </row>
    <row r="38765" spans="10:10" x14ac:dyDescent="0.3">
      <c r="J38765"/>
    </row>
    <row r="38766" spans="10:10" x14ac:dyDescent="0.3">
      <c r="J38766"/>
    </row>
    <row r="38767" spans="10:10" x14ac:dyDescent="0.3">
      <c r="J38767"/>
    </row>
    <row r="38768" spans="10:10" x14ac:dyDescent="0.3">
      <c r="J38768"/>
    </row>
    <row r="38769" spans="10:10" x14ac:dyDescent="0.3">
      <c r="J38769"/>
    </row>
    <row r="38770" spans="10:10" x14ac:dyDescent="0.3">
      <c r="J38770"/>
    </row>
    <row r="38771" spans="10:10" x14ac:dyDescent="0.3">
      <c r="J38771"/>
    </row>
    <row r="38772" spans="10:10" x14ac:dyDescent="0.3">
      <c r="J38772"/>
    </row>
    <row r="38773" spans="10:10" x14ac:dyDescent="0.3">
      <c r="J38773"/>
    </row>
    <row r="38774" spans="10:10" x14ac:dyDescent="0.3">
      <c r="J38774"/>
    </row>
    <row r="38775" spans="10:10" x14ac:dyDescent="0.3">
      <c r="J38775"/>
    </row>
    <row r="38776" spans="10:10" x14ac:dyDescent="0.3">
      <c r="J38776"/>
    </row>
    <row r="38777" spans="10:10" x14ac:dyDescent="0.3">
      <c r="J38777"/>
    </row>
    <row r="38778" spans="10:10" x14ac:dyDescent="0.3">
      <c r="J38778"/>
    </row>
    <row r="38779" spans="10:10" x14ac:dyDescent="0.3">
      <c r="J38779"/>
    </row>
    <row r="38780" spans="10:10" x14ac:dyDescent="0.3">
      <c r="J38780"/>
    </row>
    <row r="38781" spans="10:10" x14ac:dyDescent="0.3">
      <c r="J38781"/>
    </row>
    <row r="38782" spans="10:10" x14ac:dyDescent="0.3">
      <c r="J38782"/>
    </row>
    <row r="38783" spans="10:10" x14ac:dyDescent="0.3">
      <c r="J38783"/>
    </row>
    <row r="38784" spans="10:10" x14ac:dyDescent="0.3">
      <c r="J38784"/>
    </row>
    <row r="38785" spans="10:10" x14ac:dyDescent="0.3">
      <c r="J38785"/>
    </row>
    <row r="38786" spans="10:10" x14ac:dyDescent="0.3">
      <c r="J38786"/>
    </row>
    <row r="38787" spans="10:10" x14ac:dyDescent="0.3">
      <c r="J38787"/>
    </row>
    <row r="38788" spans="10:10" x14ac:dyDescent="0.3">
      <c r="J38788"/>
    </row>
    <row r="38789" spans="10:10" x14ac:dyDescent="0.3">
      <c r="J38789"/>
    </row>
    <row r="38790" spans="10:10" x14ac:dyDescent="0.3">
      <c r="J38790"/>
    </row>
    <row r="38791" spans="10:10" x14ac:dyDescent="0.3">
      <c r="J38791"/>
    </row>
    <row r="38792" spans="10:10" x14ac:dyDescent="0.3">
      <c r="J38792"/>
    </row>
    <row r="38793" spans="10:10" x14ac:dyDescent="0.3">
      <c r="J38793"/>
    </row>
    <row r="38794" spans="10:10" x14ac:dyDescent="0.3">
      <c r="J38794"/>
    </row>
    <row r="38795" spans="10:10" x14ac:dyDescent="0.3">
      <c r="J38795"/>
    </row>
    <row r="38796" spans="10:10" x14ac:dyDescent="0.3">
      <c r="J38796"/>
    </row>
    <row r="38797" spans="10:10" x14ac:dyDescent="0.3">
      <c r="J38797"/>
    </row>
    <row r="38798" spans="10:10" x14ac:dyDescent="0.3">
      <c r="J38798"/>
    </row>
    <row r="38799" spans="10:10" x14ac:dyDescent="0.3">
      <c r="J38799"/>
    </row>
    <row r="38800" spans="10:10" x14ac:dyDescent="0.3">
      <c r="J38800"/>
    </row>
    <row r="38801" spans="10:10" x14ac:dyDescent="0.3">
      <c r="J38801"/>
    </row>
    <row r="38802" spans="10:10" x14ac:dyDescent="0.3">
      <c r="J38802"/>
    </row>
    <row r="38803" spans="10:10" x14ac:dyDescent="0.3">
      <c r="J38803"/>
    </row>
    <row r="38804" spans="10:10" x14ac:dyDescent="0.3">
      <c r="J38804"/>
    </row>
    <row r="38805" spans="10:10" x14ac:dyDescent="0.3">
      <c r="J38805"/>
    </row>
    <row r="38806" spans="10:10" x14ac:dyDescent="0.3">
      <c r="J38806"/>
    </row>
    <row r="38807" spans="10:10" x14ac:dyDescent="0.3">
      <c r="J38807"/>
    </row>
    <row r="38808" spans="10:10" x14ac:dyDescent="0.3">
      <c r="J38808"/>
    </row>
    <row r="38809" spans="10:10" x14ac:dyDescent="0.3">
      <c r="J38809"/>
    </row>
    <row r="38810" spans="10:10" x14ac:dyDescent="0.3">
      <c r="J38810"/>
    </row>
    <row r="38811" spans="10:10" x14ac:dyDescent="0.3">
      <c r="J38811"/>
    </row>
    <row r="38812" spans="10:10" x14ac:dyDescent="0.3">
      <c r="J38812"/>
    </row>
    <row r="38813" spans="10:10" x14ac:dyDescent="0.3">
      <c r="J38813"/>
    </row>
    <row r="38814" spans="10:10" x14ac:dyDescent="0.3">
      <c r="J38814"/>
    </row>
    <row r="38815" spans="10:10" x14ac:dyDescent="0.3">
      <c r="J38815"/>
    </row>
    <row r="38816" spans="10:10" x14ac:dyDescent="0.3">
      <c r="J38816"/>
    </row>
    <row r="38817" spans="10:10" x14ac:dyDescent="0.3">
      <c r="J38817"/>
    </row>
    <row r="38818" spans="10:10" x14ac:dyDescent="0.3">
      <c r="J38818"/>
    </row>
    <row r="38819" spans="10:10" x14ac:dyDescent="0.3">
      <c r="J38819"/>
    </row>
    <row r="38820" spans="10:10" x14ac:dyDescent="0.3">
      <c r="J38820"/>
    </row>
    <row r="38821" spans="10:10" x14ac:dyDescent="0.3">
      <c r="J38821"/>
    </row>
    <row r="38822" spans="10:10" x14ac:dyDescent="0.3">
      <c r="J38822"/>
    </row>
    <row r="38823" spans="10:10" x14ac:dyDescent="0.3">
      <c r="J38823"/>
    </row>
    <row r="38824" spans="10:10" x14ac:dyDescent="0.3">
      <c r="J38824"/>
    </row>
    <row r="38825" spans="10:10" x14ac:dyDescent="0.3">
      <c r="J38825"/>
    </row>
    <row r="38826" spans="10:10" x14ac:dyDescent="0.3">
      <c r="J38826"/>
    </row>
    <row r="38827" spans="10:10" x14ac:dyDescent="0.3">
      <c r="J38827"/>
    </row>
    <row r="38828" spans="10:10" x14ac:dyDescent="0.3">
      <c r="J38828"/>
    </row>
    <row r="38829" spans="10:10" x14ac:dyDescent="0.3">
      <c r="J38829"/>
    </row>
    <row r="38830" spans="10:10" x14ac:dyDescent="0.3">
      <c r="J38830"/>
    </row>
    <row r="38831" spans="10:10" x14ac:dyDescent="0.3">
      <c r="J38831"/>
    </row>
    <row r="38832" spans="10:10" x14ac:dyDescent="0.3">
      <c r="J38832"/>
    </row>
    <row r="38833" spans="10:10" x14ac:dyDescent="0.3">
      <c r="J38833"/>
    </row>
    <row r="38834" spans="10:10" x14ac:dyDescent="0.3">
      <c r="J38834"/>
    </row>
    <row r="38835" spans="10:10" x14ac:dyDescent="0.3">
      <c r="J38835"/>
    </row>
    <row r="38836" spans="10:10" x14ac:dyDescent="0.3">
      <c r="J38836"/>
    </row>
    <row r="38837" spans="10:10" x14ac:dyDescent="0.3">
      <c r="J38837"/>
    </row>
    <row r="38838" spans="10:10" x14ac:dyDescent="0.3">
      <c r="J38838"/>
    </row>
    <row r="38839" spans="10:10" x14ac:dyDescent="0.3">
      <c r="J38839"/>
    </row>
    <row r="38840" spans="10:10" x14ac:dyDescent="0.3">
      <c r="J38840"/>
    </row>
    <row r="38841" spans="10:10" x14ac:dyDescent="0.3">
      <c r="J38841"/>
    </row>
    <row r="38842" spans="10:10" x14ac:dyDescent="0.3">
      <c r="J38842"/>
    </row>
    <row r="38843" spans="10:10" x14ac:dyDescent="0.3">
      <c r="J38843"/>
    </row>
    <row r="38844" spans="10:10" x14ac:dyDescent="0.3">
      <c r="J38844"/>
    </row>
    <row r="38845" spans="10:10" x14ac:dyDescent="0.3">
      <c r="J38845"/>
    </row>
    <row r="38846" spans="10:10" x14ac:dyDescent="0.3">
      <c r="J38846"/>
    </row>
    <row r="38847" spans="10:10" x14ac:dyDescent="0.3">
      <c r="J38847"/>
    </row>
    <row r="38848" spans="10:10" x14ac:dyDescent="0.3">
      <c r="J38848"/>
    </row>
    <row r="38849" spans="10:10" x14ac:dyDescent="0.3">
      <c r="J38849"/>
    </row>
    <row r="38850" spans="10:10" x14ac:dyDescent="0.3">
      <c r="J38850"/>
    </row>
    <row r="38851" spans="10:10" x14ac:dyDescent="0.3">
      <c r="J38851"/>
    </row>
    <row r="38852" spans="10:10" x14ac:dyDescent="0.3">
      <c r="J38852"/>
    </row>
    <row r="38853" spans="10:10" x14ac:dyDescent="0.3">
      <c r="J38853"/>
    </row>
    <row r="38854" spans="10:10" x14ac:dyDescent="0.3">
      <c r="J38854"/>
    </row>
    <row r="38855" spans="10:10" x14ac:dyDescent="0.3">
      <c r="J38855"/>
    </row>
    <row r="38856" spans="10:10" x14ac:dyDescent="0.3">
      <c r="J38856"/>
    </row>
    <row r="38857" spans="10:10" x14ac:dyDescent="0.3">
      <c r="J38857"/>
    </row>
    <row r="38858" spans="10:10" x14ac:dyDescent="0.3">
      <c r="J38858"/>
    </row>
    <row r="38859" spans="10:10" x14ac:dyDescent="0.3">
      <c r="J38859"/>
    </row>
    <row r="38860" spans="10:10" x14ac:dyDescent="0.3">
      <c r="J38860"/>
    </row>
    <row r="38861" spans="10:10" x14ac:dyDescent="0.3">
      <c r="J38861"/>
    </row>
    <row r="38862" spans="10:10" x14ac:dyDescent="0.3">
      <c r="J38862"/>
    </row>
    <row r="38863" spans="10:10" x14ac:dyDescent="0.3">
      <c r="J38863"/>
    </row>
    <row r="38864" spans="10:10" x14ac:dyDescent="0.3">
      <c r="J38864"/>
    </row>
    <row r="38865" spans="10:10" x14ac:dyDescent="0.3">
      <c r="J38865"/>
    </row>
    <row r="38866" spans="10:10" x14ac:dyDescent="0.3">
      <c r="J38866"/>
    </row>
    <row r="38867" spans="10:10" x14ac:dyDescent="0.3">
      <c r="J38867"/>
    </row>
    <row r="38868" spans="10:10" x14ac:dyDescent="0.3">
      <c r="J38868"/>
    </row>
    <row r="38869" spans="10:10" x14ac:dyDescent="0.3">
      <c r="J38869"/>
    </row>
    <row r="38870" spans="10:10" x14ac:dyDescent="0.3">
      <c r="J38870"/>
    </row>
    <row r="38871" spans="10:10" x14ac:dyDescent="0.3">
      <c r="J38871"/>
    </row>
    <row r="38872" spans="10:10" x14ac:dyDescent="0.3">
      <c r="J38872"/>
    </row>
    <row r="38873" spans="10:10" x14ac:dyDescent="0.3">
      <c r="J38873"/>
    </row>
    <row r="38874" spans="10:10" x14ac:dyDescent="0.3">
      <c r="J38874"/>
    </row>
    <row r="38875" spans="10:10" x14ac:dyDescent="0.3">
      <c r="J38875"/>
    </row>
    <row r="38876" spans="10:10" x14ac:dyDescent="0.3">
      <c r="J38876"/>
    </row>
    <row r="38877" spans="10:10" x14ac:dyDescent="0.3">
      <c r="J38877"/>
    </row>
    <row r="38878" spans="10:10" x14ac:dyDescent="0.3">
      <c r="J38878"/>
    </row>
    <row r="38879" spans="10:10" x14ac:dyDescent="0.3">
      <c r="J38879"/>
    </row>
    <row r="38880" spans="10:10" x14ac:dyDescent="0.3">
      <c r="J38880"/>
    </row>
    <row r="38881" spans="10:10" x14ac:dyDescent="0.3">
      <c r="J38881"/>
    </row>
    <row r="38882" spans="10:10" x14ac:dyDescent="0.3">
      <c r="J38882"/>
    </row>
    <row r="38883" spans="10:10" x14ac:dyDescent="0.3">
      <c r="J38883"/>
    </row>
    <row r="38884" spans="10:10" x14ac:dyDescent="0.3">
      <c r="J38884"/>
    </row>
    <row r="38885" spans="10:10" x14ac:dyDescent="0.3">
      <c r="J38885"/>
    </row>
    <row r="38886" spans="10:10" x14ac:dyDescent="0.3">
      <c r="J38886"/>
    </row>
    <row r="38887" spans="10:10" x14ac:dyDescent="0.3">
      <c r="J38887"/>
    </row>
    <row r="38888" spans="10:10" x14ac:dyDescent="0.3">
      <c r="J38888"/>
    </row>
    <row r="38889" spans="10:10" x14ac:dyDescent="0.3">
      <c r="J38889"/>
    </row>
    <row r="38890" spans="10:10" x14ac:dyDescent="0.3">
      <c r="J38890"/>
    </row>
    <row r="38891" spans="10:10" x14ac:dyDescent="0.3">
      <c r="J38891"/>
    </row>
    <row r="38892" spans="10:10" x14ac:dyDescent="0.3">
      <c r="J38892"/>
    </row>
    <row r="38893" spans="10:10" x14ac:dyDescent="0.3">
      <c r="J38893"/>
    </row>
    <row r="38894" spans="10:10" x14ac:dyDescent="0.3">
      <c r="J38894"/>
    </row>
    <row r="38895" spans="10:10" x14ac:dyDescent="0.3">
      <c r="J38895"/>
    </row>
    <row r="38896" spans="10:10" x14ac:dyDescent="0.3">
      <c r="J38896"/>
    </row>
    <row r="38897" spans="10:10" x14ac:dyDescent="0.3">
      <c r="J38897"/>
    </row>
    <row r="38898" spans="10:10" x14ac:dyDescent="0.3">
      <c r="J38898"/>
    </row>
    <row r="38899" spans="10:10" x14ac:dyDescent="0.3">
      <c r="J38899"/>
    </row>
    <row r="38900" spans="10:10" x14ac:dyDescent="0.3">
      <c r="J38900"/>
    </row>
    <row r="38901" spans="10:10" x14ac:dyDescent="0.3">
      <c r="J38901"/>
    </row>
    <row r="38902" spans="10:10" x14ac:dyDescent="0.3">
      <c r="J38902"/>
    </row>
    <row r="38903" spans="10:10" x14ac:dyDescent="0.3">
      <c r="J38903"/>
    </row>
    <row r="38904" spans="10:10" x14ac:dyDescent="0.3">
      <c r="J38904"/>
    </row>
    <row r="38905" spans="10:10" x14ac:dyDescent="0.3">
      <c r="J38905"/>
    </row>
    <row r="38906" spans="10:10" x14ac:dyDescent="0.3">
      <c r="J38906"/>
    </row>
    <row r="38907" spans="10:10" x14ac:dyDescent="0.3">
      <c r="J38907"/>
    </row>
    <row r="38908" spans="10:10" x14ac:dyDescent="0.3">
      <c r="J38908"/>
    </row>
    <row r="38909" spans="10:10" x14ac:dyDescent="0.3">
      <c r="J38909"/>
    </row>
    <row r="38910" spans="10:10" x14ac:dyDescent="0.3">
      <c r="J38910"/>
    </row>
    <row r="38911" spans="10:10" x14ac:dyDescent="0.3">
      <c r="J38911"/>
    </row>
    <row r="38912" spans="10:10" x14ac:dyDescent="0.3">
      <c r="J38912"/>
    </row>
    <row r="38913" spans="10:10" x14ac:dyDescent="0.3">
      <c r="J38913"/>
    </row>
    <row r="38914" spans="10:10" x14ac:dyDescent="0.3">
      <c r="J38914"/>
    </row>
    <row r="38915" spans="10:10" x14ac:dyDescent="0.3">
      <c r="J38915"/>
    </row>
    <row r="38916" spans="10:10" x14ac:dyDescent="0.3">
      <c r="J38916"/>
    </row>
    <row r="38917" spans="10:10" x14ac:dyDescent="0.3">
      <c r="J38917"/>
    </row>
    <row r="38918" spans="10:10" x14ac:dyDescent="0.3">
      <c r="J38918"/>
    </row>
    <row r="38919" spans="10:10" x14ac:dyDescent="0.3">
      <c r="J38919"/>
    </row>
    <row r="38920" spans="10:10" x14ac:dyDescent="0.3">
      <c r="J38920"/>
    </row>
    <row r="38921" spans="10:10" x14ac:dyDescent="0.3">
      <c r="J38921"/>
    </row>
    <row r="38922" spans="10:10" x14ac:dyDescent="0.3">
      <c r="J38922"/>
    </row>
    <row r="38923" spans="10:10" x14ac:dyDescent="0.3">
      <c r="J38923"/>
    </row>
    <row r="38924" spans="10:10" x14ac:dyDescent="0.3">
      <c r="J38924"/>
    </row>
    <row r="38925" spans="10:10" x14ac:dyDescent="0.3">
      <c r="J38925"/>
    </row>
    <row r="38926" spans="10:10" x14ac:dyDescent="0.3">
      <c r="J38926"/>
    </row>
    <row r="38927" spans="10:10" x14ac:dyDescent="0.3">
      <c r="J38927"/>
    </row>
    <row r="38928" spans="10:10" x14ac:dyDescent="0.3">
      <c r="J38928"/>
    </row>
    <row r="38929" spans="10:10" x14ac:dyDescent="0.3">
      <c r="J38929"/>
    </row>
    <row r="38930" spans="10:10" x14ac:dyDescent="0.3">
      <c r="J38930"/>
    </row>
    <row r="38931" spans="10:10" x14ac:dyDescent="0.3">
      <c r="J38931"/>
    </row>
    <row r="38932" spans="10:10" x14ac:dyDescent="0.3">
      <c r="J38932"/>
    </row>
    <row r="38933" spans="10:10" x14ac:dyDescent="0.3">
      <c r="J38933"/>
    </row>
    <row r="38934" spans="10:10" x14ac:dyDescent="0.3">
      <c r="J38934"/>
    </row>
    <row r="38935" spans="10:10" x14ac:dyDescent="0.3">
      <c r="J38935"/>
    </row>
    <row r="38936" spans="10:10" x14ac:dyDescent="0.3">
      <c r="J38936"/>
    </row>
    <row r="38937" spans="10:10" x14ac:dyDescent="0.3">
      <c r="J38937"/>
    </row>
    <row r="38938" spans="10:10" x14ac:dyDescent="0.3">
      <c r="J38938"/>
    </row>
    <row r="38939" spans="10:10" x14ac:dyDescent="0.3">
      <c r="J38939"/>
    </row>
    <row r="38940" spans="10:10" x14ac:dyDescent="0.3">
      <c r="J38940"/>
    </row>
    <row r="38941" spans="10:10" x14ac:dyDescent="0.3">
      <c r="J38941"/>
    </row>
    <row r="38942" spans="10:10" x14ac:dyDescent="0.3">
      <c r="J38942"/>
    </row>
    <row r="38943" spans="10:10" x14ac:dyDescent="0.3">
      <c r="J38943"/>
    </row>
    <row r="38944" spans="10:10" x14ac:dyDescent="0.3">
      <c r="J38944"/>
    </row>
    <row r="38945" spans="10:10" x14ac:dyDescent="0.3">
      <c r="J38945"/>
    </row>
    <row r="38946" spans="10:10" x14ac:dyDescent="0.3">
      <c r="J38946"/>
    </row>
    <row r="38947" spans="10:10" x14ac:dyDescent="0.3">
      <c r="J38947"/>
    </row>
    <row r="38948" spans="10:10" x14ac:dyDescent="0.3">
      <c r="J38948"/>
    </row>
    <row r="38949" spans="10:10" x14ac:dyDescent="0.3">
      <c r="J38949"/>
    </row>
    <row r="38950" spans="10:10" x14ac:dyDescent="0.3">
      <c r="J38950"/>
    </row>
    <row r="38951" spans="10:10" x14ac:dyDescent="0.3">
      <c r="J38951"/>
    </row>
    <row r="38952" spans="10:10" x14ac:dyDescent="0.3">
      <c r="J38952"/>
    </row>
    <row r="38953" spans="10:10" x14ac:dyDescent="0.3">
      <c r="J38953"/>
    </row>
    <row r="38954" spans="10:10" x14ac:dyDescent="0.3">
      <c r="J38954"/>
    </row>
    <row r="38955" spans="10:10" x14ac:dyDescent="0.3">
      <c r="J38955"/>
    </row>
    <row r="38956" spans="10:10" x14ac:dyDescent="0.3">
      <c r="J38956"/>
    </row>
    <row r="38957" spans="10:10" x14ac:dyDescent="0.3">
      <c r="J38957"/>
    </row>
    <row r="38958" spans="10:10" x14ac:dyDescent="0.3">
      <c r="J38958"/>
    </row>
    <row r="38959" spans="10:10" x14ac:dyDescent="0.3">
      <c r="J38959"/>
    </row>
    <row r="38960" spans="10:10" x14ac:dyDescent="0.3">
      <c r="J38960"/>
    </row>
    <row r="38961" spans="10:10" x14ac:dyDescent="0.3">
      <c r="J38961"/>
    </row>
    <row r="38962" spans="10:10" x14ac:dyDescent="0.3">
      <c r="J38962"/>
    </row>
    <row r="38963" spans="10:10" x14ac:dyDescent="0.3">
      <c r="J38963"/>
    </row>
    <row r="38964" spans="10:10" x14ac:dyDescent="0.3">
      <c r="J38964"/>
    </row>
    <row r="38965" spans="10:10" x14ac:dyDescent="0.3">
      <c r="J38965"/>
    </row>
    <row r="38966" spans="10:10" x14ac:dyDescent="0.3">
      <c r="J38966"/>
    </row>
    <row r="38967" spans="10:10" x14ac:dyDescent="0.3">
      <c r="J38967"/>
    </row>
    <row r="38968" spans="10:10" x14ac:dyDescent="0.3">
      <c r="J38968"/>
    </row>
    <row r="38969" spans="10:10" x14ac:dyDescent="0.3">
      <c r="J38969"/>
    </row>
    <row r="38970" spans="10:10" x14ac:dyDescent="0.3">
      <c r="J38970"/>
    </row>
    <row r="38971" spans="10:10" x14ac:dyDescent="0.3">
      <c r="J38971"/>
    </row>
    <row r="38972" spans="10:10" x14ac:dyDescent="0.3">
      <c r="J38972"/>
    </row>
    <row r="38973" spans="10:10" x14ac:dyDescent="0.3">
      <c r="J38973"/>
    </row>
    <row r="38974" spans="10:10" x14ac:dyDescent="0.3">
      <c r="J38974"/>
    </row>
    <row r="38975" spans="10:10" x14ac:dyDescent="0.3">
      <c r="J38975"/>
    </row>
    <row r="38976" spans="10:10" x14ac:dyDescent="0.3">
      <c r="J38976"/>
    </row>
    <row r="38977" spans="10:10" x14ac:dyDescent="0.3">
      <c r="J38977"/>
    </row>
    <row r="38978" spans="10:10" x14ac:dyDescent="0.3">
      <c r="J38978"/>
    </row>
    <row r="38979" spans="10:10" x14ac:dyDescent="0.3">
      <c r="J38979"/>
    </row>
    <row r="38980" spans="10:10" x14ac:dyDescent="0.3">
      <c r="J38980"/>
    </row>
    <row r="38981" spans="10:10" x14ac:dyDescent="0.3">
      <c r="J38981"/>
    </row>
    <row r="38982" spans="10:10" x14ac:dyDescent="0.3">
      <c r="J38982"/>
    </row>
    <row r="38983" spans="10:10" x14ac:dyDescent="0.3">
      <c r="J38983"/>
    </row>
    <row r="38984" spans="10:10" x14ac:dyDescent="0.3">
      <c r="J38984"/>
    </row>
    <row r="38985" spans="10:10" x14ac:dyDescent="0.3">
      <c r="J38985"/>
    </row>
    <row r="38986" spans="10:10" x14ac:dyDescent="0.3">
      <c r="J38986"/>
    </row>
    <row r="38987" spans="10:10" x14ac:dyDescent="0.3">
      <c r="J38987"/>
    </row>
    <row r="38988" spans="10:10" x14ac:dyDescent="0.3">
      <c r="J38988"/>
    </row>
    <row r="38989" spans="10:10" x14ac:dyDescent="0.3">
      <c r="J38989"/>
    </row>
    <row r="38990" spans="10:10" x14ac:dyDescent="0.3">
      <c r="J38990"/>
    </row>
    <row r="38991" spans="10:10" x14ac:dyDescent="0.3">
      <c r="J38991"/>
    </row>
    <row r="38992" spans="10:10" x14ac:dyDescent="0.3">
      <c r="J38992"/>
    </row>
    <row r="38993" spans="10:10" x14ac:dyDescent="0.3">
      <c r="J38993"/>
    </row>
    <row r="38994" spans="10:10" x14ac:dyDescent="0.3">
      <c r="J38994"/>
    </row>
    <row r="38995" spans="10:10" x14ac:dyDescent="0.3">
      <c r="J38995"/>
    </row>
    <row r="38996" spans="10:10" x14ac:dyDescent="0.3">
      <c r="J38996"/>
    </row>
    <row r="38997" spans="10:10" x14ac:dyDescent="0.3">
      <c r="J38997"/>
    </row>
    <row r="38998" spans="10:10" x14ac:dyDescent="0.3">
      <c r="J38998"/>
    </row>
    <row r="38999" spans="10:10" x14ac:dyDescent="0.3">
      <c r="J38999"/>
    </row>
    <row r="39000" spans="10:10" x14ac:dyDescent="0.3">
      <c r="J39000"/>
    </row>
    <row r="39001" spans="10:10" x14ac:dyDescent="0.3">
      <c r="J39001"/>
    </row>
    <row r="39002" spans="10:10" x14ac:dyDescent="0.3">
      <c r="J39002"/>
    </row>
    <row r="39003" spans="10:10" x14ac:dyDescent="0.3">
      <c r="J39003"/>
    </row>
    <row r="39004" spans="10:10" x14ac:dyDescent="0.3">
      <c r="J39004"/>
    </row>
    <row r="39005" spans="10:10" x14ac:dyDescent="0.3">
      <c r="J39005"/>
    </row>
    <row r="39006" spans="10:10" x14ac:dyDescent="0.3">
      <c r="J39006"/>
    </row>
    <row r="39007" spans="10:10" x14ac:dyDescent="0.3">
      <c r="J39007"/>
    </row>
    <row r="39008" spans="10:10" x14ac:dyDescent="0.3">
      <c r="J39008"/>
    </row>
    <row r="39009" spans="10:10" x14ac:dyDescent="0.3">
      <c r="J39009"/>
    </row>
    <row r="39010" spans="10:10" x14ac:dyDescent="0.3">
      <c r="J39010"/>
    </row>
    <row r="39011" spans="10:10" x14ac:dyDescent="0.3">
      <c r="J39011"/>
    </row>
    <row r="39012" spans="10:10" x14ac:dyDescent="0.3">
      <c r="J39012"/>
    </row>
    <row r="39013" spans="10:10" x14ac:dyDescent="0.3">
      <c r="J39013"/>
    </row>
    <row r="39014" spans="10:10" x14ac:dyDescent="0.3">
      <c r="J39014"/>
    </row>
    <row r="39015" spans="10:10" x14ac:dyDescent="0.3">
      <c r="J39015"/>
    </row>
    <row r="39016" spans="10:10" x14ac:dyDescent="0.3">
      <c r="J39016"/>
    </row>
    <row r="39017" spans="10:10" x14ac:dyDescent="0.3">
      <c r="J39017"/>
    </row>
    <row r="39018" spans="10:10" x14ac:dyDescent="0.3">
      <c r="J39018"/>
    </row>
    <row r="39019" spans="10:10" x14ac:dyDescent="0.3">
      <c r="J39019"/>
    </row>
    <row r="39020" spans="10:10" x14ac:dyDescent="0.3">
      <c r="J39020"/>
    </row>
    <row r="39021" spans="10:10" x14ac:dyDescent="0.3">
      <c r="J39021"/>
    </row>
    <row r="39022" spans="10:10" x14ac:dyDescent="0.3">
      <c r="J39022"/>
    </row>
    <row r="39023" spans="10:10" x14ac:dyDescent="0.3">
      <c r="J39023"/>
    </row>
    <row r="39024" spans="10:10" x14ac:dyDescent="0.3">
      <c r="J39024"/>
    </row>
    <row r="39025" spans="10:10" x14ac:dyDescent="0.3">
      <c r="J39025"/>
    </row>
    <row r="39026" spans="10:10" x14ac:dyDescent="0.3">
      <c r="J39026"/>
    </row>
    <row r="39027" spans="10:10" x14ac:dyDescent="0.3">
      <c r="J39027"/>
    </row>
    <row r="39028" spans="10:10" x14ac:dyDescent="0.3">
      <c r="J39028"/>
    </row>
    <row r="39029" spans="10:10" x14ac:dyDescent="0.3">
      <c r="J39029"/>
    </row>
    <row r="39030" spans="10:10" x14ac:dyDescent="0.3">
      <c r="J39030"/>
    </row>
    <row r="39031" spans="10:10" x14ac:dyDescent="0.3">
      <c r="J39031"/>
    </row>
    <row r="39032" spans="10:10" x14ac:dyDescent="0.3">
      <c r="J39032"/>
    </row>
    <row r="39033" spans="10:10" x14ac:dyDescent="0.3">
      <c r="J39033"/>
    </row>
    <row r="39034" spans="10:10" x14ac:dyDescent="0.3">
      <c r="J39034"/>
    </row>
    <row r="39035" spans="10:10" x14ac:dyDescent="0.3">
      <c r="J39035"/>
    </row>
    <row r="39036" spans="10:10" x14ac:dyDescent="0.3">
      <c r="J39036"/>
    </row>
    <row r="39037" spans="10:10" x14ac:dyDescent="0.3">
      <c r="J39037"/>
    </row>
    <row r="39038" spans="10:10" x14ac:dyDescent="0.3">
      <c r="J39038"/>
    </row>
    <row r="39039" spans="10:10" x14ac:dyDescent="0.3">
      <c r="J39039"/>
    </row>
    <row r="39040" spans="10:10" x14ac:dyDescent="0.3">
      <c r="J39040"/>
    </row>
    <row r="39041" spans="10:10" x14ac:dyDescent="0.3">
      <c r="J39041"/>
    </row>
    <row r="39042" spans="10:10" x14ac:dyDescent="0.3">
      <c r="J39042"/>
    </row>
    <row r="39043" spans="10:10" x14ac:dyDescent="0.3">
      <c r="J39043"/>
    </row>
    <row r="39044" spans="10:10" x14ac:dyDescent="0.3">
      <c r="J39044"/>
    </row>
    <row r="39045" spans="10:10" x14ac:dyDescent="0.3">
      <c r="J39045"/>
    </row>
    <row r="39046" spans="10:10" x14ac:dyDescent="0.3">
      <c r="J39046"/>
    </row>
    <row r="39047" spans="10:10" x14ac:dyDescent="0.3">
      <c r="J39047"/>
    </row>
    <row r="39048" spans="10:10" x14ac:dyDescent="0.3">
      <c r="J39048"/>
    </row>
    <row r="39049" spans="10:10" x14ac:dyDescent="0.3">
      <c r="J39049"/>
    </row>
    <row r="39050" spans="10:10" x14ac:dyDescent="0.3">
      <c r="J39050"/>
    </row>
    <row r="39051" spans="10:10" x14ac:dyDescent="0.3">
      <c r="J39051"/>
    </row>
    <row r="39052" spans="10:10" x14ac:dyDescent="0.3">
      <c r="J39052"/>
    </row>
    <row r="39053" spans="10:10" x14ac:dyDescent="0.3">
      <c r="J39053"/>
    </row>
    <row r="39054" spans="10:10" x14ac:dyDescent="0.3">
      <c r="J39054"/>
    </row>
    <row r="39055" spans="10:10" x14ac:dyDescent="0.3">
      <c r="J39055"/>
    </row>
    <row r="39056" spans="10:10" x14ac:dyDescent="0.3">
      <c r="J39056"/>
    </row>
    <row r="39057" spans="10:10" x14ac:dyDescent="0.3">
      <c r="J39057"/>
    </row>
    <row r="39058" spans="10:10" x14ac:dyDescent="0.3">
      <c r="J39058"/>
    </row>
    <row r="39059" spans="10:10" x14ac:dyDescent="0.3">
      <c r="J39059"/>
    </row>
    <row r="39060" spans="10:10" x14ac:dyDescent="0.3">
      <c r="J39060"/>
    </row>
    <row r="39061" spans="10:10" x14ac:dyDescent="0.3">
      <c r="J39061"/>
    </row>
    <row r="39062" spans="10:10" x14ac:dyDescent="0.3">
      <c r="J39062"/>
    </row>
    <row r="39063" spans="10:10" x14ac:dyDescent="0.3">
      <c r="J39063"/>
    </row>
    <row r="39064" spans="10:10" x14ac:dyDescent="0.3">
      <c r="J39064"/>
    </row>
    <row r="39065" spans="10:10" x14ac:dyDescent="0.3">
      <c r="J39065"/>
    </row>
    <row r="39066" spans="10:10" x14ac:dyDescent="0.3">
      <c r="J39066"/>
    </row>
    <row r="39067" spans="10:10" x14ac:dyDescent="0.3">
      <c r="J39067"/>
    </row>
    <row r="39068" spans="10:10" x14ac:dyDescent="0.3">
      <c r="J39068"/>
    </row>
    <row r="39069" spans="10:10" x14ac:dyDescent="0.3">
      <c r="J39069"/>
    </row>
    <row r="39070" spans="10:10" x14ac:dyDescent="0.3">
      <c r="J39070"/>
    </row>
    <row r="39071" spans="10:10" x14ac:dyDescent="0.3">
      <c r="J39071"/>
    </row>
    <row r="39072" spans="10:10" x14ac:dyDescent="0.3">
      <c r="J39072"/>
    </row>
    <row r="39073" spans="10:10" x14ac:dyDescent="0.3">
      <c r="J39073"/>
    </row>
    <row r="39074" spans="10:10" x14ac:dyDescent="0.3">
      <c r="J39074"/>
    </row>
    <row r="39075" spans="10:10" x14ac:dyDescent="0.3">
      <c r="J39075"/>
    </row>
    <row r="39076" spans="10:10" x14ac:dyDescent="0.3">
      <c r="J39076"/>
    </row>
    <row r="39077" spans="10:10" x14ac:dyDescent="0.3">
      <c r="J39077"/>
    </row>
    <row r="39078" spans="10:10" x14ac:dyDescent="0.3">
      <c r="J39078"/>
    </row>
    <row r="39079" spans="10:10" x14ac:dyDescent="0.3">
      <c r="J39079"/>
    </row>
    <row r="39080" spans="10:10" x14ac:dyDescent="0.3">
      <c r="J39080"/>
    </row>
    <row r="39081" spans="10:10" x14ac:dyDescent="0.3">
      <c r="J39081"/>
    </row>
    <row r="39082" spans="10:10" x14ac:dyDescent="0.3">
      <c r="J39082"/>
    </row>
    <row r="39083" spans="10:10" x14ac:dyDescent="0.3">
      <c r="J39083"/>
    </row>
    <row r="39084" spans="10:10" x14ac:dyDescent="0.3">
      <c r="J39084"/>
    </row>
    <row r="39085" spans="10:10" x14ac:dyDescent="0.3">
      <c r="J39085"/>
    </row>
    <row r="39086" spans="10:10" x14ac:dyDescent="0.3">
      <c r="J39086"/>
    </row>
    <row r="39087" spans="10:10" x14ac:dyDescent="0.3">
      <c r="J39087"/>
    </row>
    <row r="39088" spans="10:10" x14ac:dyDescent="0.3">
      <c r="J39088"/>
    </row>
    <row r="39089" spans="10:10" x14ac:dyDescent="0.3">
      <c r="J39089"/>
    </row>
    <row r="39090" spans="10:10" x14ac:dyDescent="0.3">
      <c r="J39090"/>
    </row>
    <row r="39091" spans="10:10" x14ac:dyDescent="0.3">
      <c r="J39091"/>
    </row>
    <row r="39092" spans="10:10" x14ac:dyDescent="0.3">
      <c r="J39092"/>
    </row>
    <row r="39093" spans="10:10" x14ac:dyDescent="0.3">
      <c r="J39093"/>
    </row>
    <row r="39094" spans="10:10" x14ac:dyDescent="0.3">
      <c r="J39094"/>
    </row>
    <row r="39095" spans="10:10" x14ac:dyDescent="0.3">
      <c r="J39095"/>
    </row>
    <row r="39096" spans="10:10" x14ac:dyDescent="0.3">
      <c r="J39096"/>
    </row>
    <row r="39097" spans="10:10" x14ac:dyDescent="0.3">
      <c r="J39097"/>
    </row>
    <row r="39098" spans="10:10" x14ac:dyDescent="0.3">
      <c r="J39098"/>
    </row>
    <row r="39099" spans="10:10" x14ac:dyDescent="0.3">
      <c r="J39099"/>
    </row>
    <row r="39100" spans="10:10" x14ac:dyDescent="0.3">
      <c r="J39100"/>
    </row>
    <row r="39101" spans="10:10" x14ac:dyDescent="0.3">
      <c r="J39101"/>
    </row>
    <row r="39102" spans="10:10" x14ac:dyDescent="0.3">
      <c r="J39102"/>
    </row>
    <row r="39103" spans="10:10" x14ac:dyDescent="0.3">
      <c r="J39103"/>
    </row>
    <row r="39104" spans="10:10" x14ac:dyDescent="0.3">
      <c r="J39104"/>
    </row>
    <row r="39105" spans="10:10" x14ac:dyDescent="0.3">
      <c r="J39105"/>
    </row>
    <row r="39106" spans="10:10" x14ac:dyDescent="0.3">
      <c r="J39106"/>
    </row>
    <row r="39107" spans="10:10" x14ac:dyDescent="0.3">
      <c r="J39107"/>
    </row>
    <row r="39108" spans="10:10" x14ac:dyDescent="0.3">
      <c r="J39108"/>
    </row>
    <row r="39109" spans="10:10" x14ac:dyDescent="0.3">
      <c r="J39109"/>
    </row>
    <row r="39110" spans="10:10" x14ac:dyDescent="0.3">
      <c r="J39110"/>
    </row>
    <row r="39111" spans="10:10" x14ac:dyDescent="0.3">
      <c r="J39111"/>
    </row>
    <row r="39112" spans="10:10" x14ac:dyDescent="0.3">
      <c r="J39112"/>
    </row>
    <row r="39113" spans="10:10" x14ac:dyDescent="0.3">
      <c r="J39113"/>
    </row>
    <row r="39114" spans="10:10" x14ac:dyDescent="0.3">
      <c r="J39114"/>
    </row>
    <row r="39115" spans="10:10" x14ac:dyDescent="0.3">
      <c r="J39115"/>
    </row>
    <row r="39116" spans="10:10" x14ac:dyDescent="0.3">
      <c r="J39116"/>
    </row>
    <row r="39117" spans="10:10" x14ac:dyDescent="0.3">
      <c r="J39117"/>
    </row>
    <row r="39118" spans="10:10" x14ac:dyDescent="0.3">
      <c r="J39118"/>
    </row>
    <row r="39119" spans="10:10" x14ac:dyDescent="0.3">
      <c r="J39119"/>
    </row>
    <row r="39120" spans="10:10" x14ac:dyDescent="0.3">
      <c r="J39120"/>
    </row>
    <row r="39121" spans="10:10" x14ac:dyDescent="0.3">
      <c r="J39121"/>
    </row>
    <row r="39122" spans="10:10" x14ac:dyDescent="0.3">
      <c r="J39122"/>
    </row>
    <row r="39123" spans="10:10" x14ac:dyDescent="0.3">
      <c r="J39123"/>
    </row>
    <row r="39124" spans="10:10" x14ac:dyDescent="0.3">
      <c r="J39124"/>
    </row>
    <row r="39125" spans="10:10" x14ac:dyDescent="0.3">
      <c r="J39125"/>
    </row>
    <row r="39126" spans="10:10" x14ac:dyDescent="0.3">
      <c r="J39126"/>
    </row>
    <row r="39127" spans="10:10" x14ac:dyDescent="0.3">
      <c r="J39127"/>
    </row>
    <row r="39128" spans="10:10" x14ac:dyDescent="0.3">
      <c r="J39128"/>
    </row>
    <row r="39129" spans="10:10" x14ac:dyDescent="0.3">
      <c r="J39129"/>
    </row>
    <row r="39130" spans="10:10" x14ac:dyDescent="0.3">
      <c r="J39130"/>
    </row>
    <row r="39131" spans="10:10" x14ac:dyDescent="0.3">
      <c r="J39131"/>
    </row>
    <row r="39132" spans="10:10" x14ac:dyDescent="0.3">
      <c r="J39132"/>
    </row>
    <row r="39133" spans="10:10" x14ac:dyDescent="0.3">
      <c r="J39133"/>
    </row>
    <row r="39134" spans="10:10" x14ac:dyDescent="0.3">
      <c r="J39134"/>
    </row>
    <row r="39135" spans="10:10" x14ac:dyDescent="0.3">
      <c r="J39135"/>
    </row>
    <row r="39136" spans="10:10" x14ac:dyDescent="0.3">
      <c r="J39136"/>
    </row>
    <row r="39137" spans="10:10" x14ac:dyDescent="0.3">
      <c r="J39137"/>
    </row>
    <row r="39138" spans="10:10" x14ac:dyDescent="0.3">
      <c r="J39138"/>
    </row>
    <row r="39139" spans="10:10" x14ac:dyDescent="0.3">
      <c r="J39139"/>
    </row>
    <row r="39140" spans="10:10" x14ac:dyDescent="0.3">
      <c r="J39140"/>
    </row>
    <row r="39141" spans="10:10" x14ac:dyDescent="0.3">
      <c r="J39141"/>
    </row>
    <row r="39142" spans="10:10" x14ac:dyDescent="0.3">
      <c r="J39142"/>
    </row>
    <row r="39143" spans="10:10" x14ac:dyDescent="0.3">
      <c r="J39143"/>
    </row>
    <row r="39144" spans="10:10" x14ac:dyDescent="0.3">
      <c r="J39144"/>
    </row>
    <row r="39145" spans="10:10" x14ac:dyDescent="0.3">
      <c r="J39145"/>
    </row>
    <row r="39146" spans="10:10" x14ac:dyDescent="0.3">
      <c r="J39146"/>
    </row>
    <row r="39147" spans="10:10" x14ac:dyDescent="0.3">
      <c r="J39147"/>
    </row>
    <row r="39148" spans="10:10" x14ac:dyDescent="0.3">
      <c r="J39148"/>
    </row>
    <row r="39149" spans="10:10" x14ac:dyDescent="0.3">
      <c r="J39149"/>
    </row>
    <row r="39150" spans="10:10" x14ac:dyDescent="0.3">
      <c r="J39150"/>
    </row>
    <row r="39151" spans="10:10" x14ac:dyDescent="0.3">
      <c r="J39151"/>
    </row>
    <row r="39152" spans="10:10" x14ac:dyDescent="0.3">
      <c r="J39152"/>
    </row>
    <row r="39153" spans="10:10" x14ac:dyDescent="0.3">
      <c r="J39153"/>
    </row>
    <row r="39154" spans="10:10" x14ac:dyDescent="0.3">
      <c r="J39154"/>
    </row>
    <row r="39155" spans="10:10" x14ac:dyDescent="0.3">
      <c r="J39155"/>
    </row>
    <row r="39156" spans="10:10" x14ac:dyDescent="0.3">
      <c r="J39156"/>
    </row>
    <row r="39157" spans="10:10" x14ac:dyDescent="0.3">
      <c r="J39157"/>
    </row>
    <row r="39158" spans="10:10" x14ac:dyDescent="0.3">
      <c r="J39158"/>
    </row>
    <row r="39159" spans="10:10" x14ac:dyDescent="0.3">
      <c r="J39159"/>
    </row>
    <row r="39160" spans="10:10" x14ac:dyDescent="0.3">
      <c r="J39160"/>
    </row>
    <row r="39161" spans="10:10" x14ac:dyDescent="0.3">
      <c r="J39161"/>
    </row>
    <row r="39162" spans="10:10" x14ac:dyDescent="0.3">
      <c r="J39162"/>
    </row>
    <row r="39163" spans="10:10" x14ac:dyDescent="0.3">
      <c r="J39163"/>
    </row>
    <row r="39164" spans="10:10" x14ac:dyDescent="0.3">
      <c r="J39164"/>
    </row>
    <row r="39165" spans="10:10" x14ac:dyDescent="0.3">
      <c r="J39165"/>
    </row>
    <row r="39166" spans="10:10" x14ac:dyDescent="0.3">
      <c r="J39166"/>
    </row>
    <row r="39167" spans="10:10" x14ac:dyDescent="0.3">
      <c r="J39167"/>
    </row>
    <row r="39168" spans="10:10" x14ac:dyDescent="0.3">
      <c r="J39168"/>
    </row>
    <row r="39169" spans="10:10" x14ac:dyDescent="0.3">
      <c r="J39169"/>
    </row>
    <row r="39170" spans="10:10" x14ac:dyDescent="0.3">
      <c r="J39170"/>
    </row>
    <row r="39171" spans="10:10" x14ac:dyDescent="0.3">
      <c r="J39171"/>
    </row>
    <row r="39172" spans="10:10" x14ac:dyDescent="0.3">
      <c r="J39172"/>
    </row>
    <row r="39173" spans="10:10" x14ac:dyDescent="0.3">
      <c r="J39173"/>
    </row>
    <row r="39174" spans="10:10" x14ac:dyDescent="0.3">
      <c r="J39174"/>
    </row>
    <row r="39175" spans="10:10" x14ac:dyDescent="0.3">
      <c r="J39175"/>
    </row>
    <row r="39176" spans="10:10" x14ac:dyDescent="0.3">
      <c r="J39176"/>
    </row>
    <row r="39177" spans="10:10" x14ac:dyDescent="0.3">
      <c r="J39177"/>
    </row>
    <row r="39178" spans="10:10" x14ac:dyDescent="0.3">
      <c r="J39178"/>
    </row>
    <row r="39179" spans="10:10" x14ac:dyDescent="0.3">
      <c r="J39179"/>
    </row>
    <row r="39180" spans="10:10" x14ac:dyDescent="0.3">
      <c r="J39180"/>
    </row>
    <row r="39181" spans="10:10" x14ac:dyDescent="0.3">
      <c r="J39181"/>
    </row>
    <row r="39182" spans="10:10" x14ac:dyDescent="0.3">
      <c r="J39182"/>
    </row>
    <row r="39183" spans="10:10" x14ac:dyDescent="0.3">
      <c r="J39183"/>
    </row>
    <row r="39184" spans="10:10" x14ac:dyDescent="0.3">
      <c r="J39184"/>
    </row>
    <row r="39185" spans="10:10" x14ac:dyDescent="0.3">
      <c r="J39185"/>
    </row>
    <row r="39186" spans="10:10" x14ac:dyDescent="0.3">
      <c r="J39186"/>
    </row>
    <row r="39187" spans="10:10" x14ac:dyDescent="0.3">
      <c r="J39187"/>
    </row>
    <row r="39188" spans="10:10" x14ac:dyDescent="0.3">
      <c r="J39188"/>
    </row>
    <row r="39189" spans="10:10" x14ac:dyDescent="0.3">
      <c r="J39189"/>
    </row>
    <row r="39190" spans="10:10" x14ac:dyDescent="0.3">
      <c r="J39190"/>
    </row>
    <row r="39191" spans="10:10" x14ac:dyDescent="0.3">
      <c r="J39191"/>
    </row>
    <row r="39192" spans="10:10" x14ac:dyDescent="0.3">
      <c r="J39192"/>
    </row>
    <row r="39193" spans="10:10" x14ac:dyDescent="0.3">
      <c r="J39193"/>
    </row>
    <row r="39194" spans="10:10" x14ac:dyDescent="0.3">
      <c r="J39194"/>
    </row>
    <row r="39195" spans="10:10" x14ac:dyDescent="0.3">
      <c r="J39195"/>
    </row>
    <row r="39196" spans="10:10" x14ac:dyDescent="0.3">
      <c r="J39196"/>
    </row>
    <row r="39197" spans="10:10" x14ac:dyDescent="0.3">
      <c r="J39197"/>
    </row>
    <row r="39198" spans="10:10" x14ac:dyDescent="0.3">
      <c r="J39198"/>
    </row>
    <row r="39199" spans="10:10" x14ac:dyDescent="0.3">
      <c r="J39199"/>
    </row>
    <row r="39200" spans="10:10" x14ac:dyDescent="0.3">
      <c r="J39200"/>
    </row>
    <row r="39201" spans="10:10" x14ac:dyDescent="0.3">
      <c r="J39201"/>
    </row>
    <row r="39202" spans="10:10" x14ac:dyDescent="0.3">
      <c r="J39202"/>
    </row>
    <row r="39203" spans="10:10" x14ac:dyDescent="0.3">
      <c r="J39203"/>
    </row>
    <row r="39204" spans="10:10" x14ac:dyDescent="0.3">
      <c r="J39204"/>
    </row>
    <row r="39205" spans="10:10" x14ac:dyDescent="0.3">
      <c r="J39205"/>
    </row>
    <row r="39206" spans="10:10" x14ac:dyDescent="0.3">
      <c r="J39206"/>
    </row>
    <row r="39207" spans="10:10" x14ac:dyDescent="0.3">
      <c r="J39207"/>
    </row>
    <row r="39208" spans="10:10" x14ac:dyDescent="0.3">
      <c r="J39208"/>
    </row>
    <row r="39209" spans="10:10" x14ac:dyDescent="0.3">
      <c r="J39209"/>
    </row>
    <row r="39210" spans="10:10" x14ac:dyDescent="0.3">
      <c r="J39210"/>
    </row>
    <row r="39211" spans="10:10" x14ac:dyDescent="0.3">
      <c r="J39211"/>
    </row>
    <row r="39212" spans="10:10" x14ac:dyDescent="0.3">
      <c r="J39212"/>
    </row>
    <row r="39213" spans="10:10" x14ac:dyDescent="0.3">
      <c r="J39213"/>
    </row>
    <row r="39214" spans="10:10" x14ac:dyDescent="0.3">
      <c r="J39214"/>
    </row>
    <row r="39215" spans="10:10" x14ac:dyDescent="0.3">
      <c r="J39215"/>
    </row>
    <row r="39216" spans="10:10" x14ac:dyDescent="0.3">
      <c r="J39216"/>
    </row>
    <row r="39217" spans="10:10" x14ac:dyDescent="0.3">
      <c r="J39217"/>
    </row>
    <row r="39218" spans="10:10" x14ac:dyDescent="0.3">
      <c r="J39218"/>
    </row>
    <row r="39219" spans="10:10" x14ac:dyDescent="0.3">
      <c r="J39219"/>
    </row>
    <row r="39220" spans="10:10" x14ac:dyDescent="0.3">
      <c r="J39220"/>
    </row>
    <row r="39221" spans="10:10" x14ac:dyDescent="0.3">
      <c r="J39221"/>
    </row>
    <row r="39222" spans="10:10" x14ac:dyDescent="0.3">
      <c r="J39222"/>
    </row>
    <row r="39223" spans="10:10" x14ac:dyDescent="0.3">
      <c r="J39223"/>
    </row>
    <row r="39224" spans="10:10" x14ac:dyDescent="0.3">
      <c r="J39224"/>
    </row>
    <row r="39225" spans="10:10" x14ac:dyDescent="0.3">
      <c r="J39225"/>
    </row>
    <row r="39226" spans="10:10" x14ac:dyDescent="0.3">
      <c r="J39226"/>
    </row>
    <row r="39227" spans="10:10" x14ac:dyDescent="0.3">
      <c r="J39227"/>
    </row>
    <row r="39228" spans="10:10" x14ac:dyDescent="0.3">
      <c r="J39228"/>
    </row>
    <row r="39229" spans="10:10" x14ac:dyDescent="0.3">
      <c r="J39229"/>
    </row>
    <row r="39230" spans="10:10" x14ac:dyDescent="0.3">
      <c r="J39230"/>
    </row>
    <row r="39231" spans="10:10" x14ac:dyDescent="0.3">
      <c r="J39231"/>
    </row>
    <row r="39232" spans="10:10" x14ac:dyDescent="0.3">
      <c r="J39232"/>
    </row>
    <row r="39233" spans="10:10" x14ac:dyDescent="0.3">
      <c r="J39233"/>
    </row>
    <row r="39234" spans="10:10" x14ac:dyDescent="0.3">
      <c r="J39234"/>
    </row>
    <row r="39235" spans="10:10" x14ac:dyDescent="0.3">
      <c r="J39235"/>
    </row>
    <row r="39236" spans="10:10" x14ac:dyDescent="0.3">
      <c r="J39236"/>
    </row>
    <row r="39237" spans="10:10" x14ac:dyDescent="0.3">
      <c r="J39237"/>
    </row>
    <row r="39238" spans="10:10" x14ac:dyDescent="0.3">
      <c r="J39238"/>
    </row>
    <row r="39239" spans="10:10" x14ac:dyDescent="0.3">
      <c r="J39239"/>
    </row>
    <row r="39240" spans="10:10" x14ac:dyDescent="0.3">
      <c r="J39240"/>
    </row>
    <row r="39241" spans="10:10" x14ac:dyDescent="0.3">
      <c r="J39241"/>
    </row>
    <row r="39242" spans="10:10" x14ac:dyDescent="0.3">
      <c r="J39242"/>
    </row>
    <row r="39243" spans="10:10" x14ac:dyDescent="0.3">
      <c r="J39243"/>
    </row>
    <row r="39244" spans="10:10" x14ac:dyDescent="0.3">
      <c r="J39244"/>
    </row>
    <row r="39245" spans="10:10" x14ac:dyDescent="0.3">
      <c r="J39245"/>
    </row>
    <row r="39246" spans="10:10" x14ac:dyDescent="0.3">
      <c r="J39246"/>
    </row>
    <row r="39247" spans="10:10" x14ac:dyDescent="0.3">
      <c r="J39247"/>
    </row>
    <row r="39248" spans="10:10" x14ac:dyDescent="0.3">
      <c r="J39248"/>
    </row>
    <row r="39249" spans="10:10" x14ac:dyDescent="0.3">
      <c r="J39249"/>
    </row>
    <row r="39250" spans="10:10" x14ac:dyDescent="0.3">
      <c r="J39250"/>
    </row>
    <row r="39251" spans="10:10" x14ac:dyDescent="0.3">
      <c r="J39251"/>
    </row>
    <row r="39252" spans="10:10" x14ac:dyDescent="0.3">
      <c r="J39252"/>
    </row>
    <row r="39253" spans="10:10" x14ac:dyDescent="0.3">
      <c r="J39253"/>
    </row>
    <row r="39254" spans="10:10" x14ac:dyDescent="0.3">
      <c r="J39254"/>
    </row>
    <row r="39255" spans="10:10" x14ac:dyDescent="0.3">
      <c r="J39255"/>
    </row>
    <row r="39256" spans="10:10" x14ac:dyDescent="0.3">
      <c r="J39256"/>
    </row>
    <row r="39257" spans="10:10" x14ac:dyDescent="0.3">
      <c r="J39257"/>
    </row>
    <row r="39258" spans="10:10" x14ac:dyDescent="0.3">
      <c r="J39258"/>
    </row>
    <row r="39259" spans="10:10" x14ac:dyDescent="0.3">
      <c r="J39259"/>
    </row>
    <row r="39260" spans="10:10" x14ac:dyDescent="0.3">
      <c r="J39260"/>
    </row>
    <row r="39261" spans="10:10" x14ac:dyDescent="0.3">
      <c r="J39261"/>
    </row>
    <row r="39262" spans="10:10" x14ac:dyDescent="0.3">
      <c r="J39262"/>
    </row>
    <row r="39263" spans="10:10" x14ac:dyDescent="0.3">
      <c r="J39263"/>
    </row>
    <row r="39264" spans="10:10" x14ac:dyDescent="0.3">
      <c r="J39264"/>
    </row>
    <row r="39265" spans="10:10" x14ac:dyDescent="0.3">
      <c r="J39265"/>
    </row>
    <row r="39266" spans="10:10" x14ac:dyDescent="0.3">
      <c r="J39266"/>
    </row>
    <row r="39267" spans="10:10" x14ac:dyDescent="0.3">
      <c r="J39267"/>
    </row>
    <row r="39268" spans="10:10" x14ac:dyDescent="0.3">
      <c r="J39268"/>
    </row>
    <row r="39269" spans="10:10" x14ac:dyDescent="0.3">
      <c r="J39269"/>
    </row>
    <row r="39270" spans="10:10" x14ac:dyDescent="0.3">
      <c r="J39270"/>
    </row>
    <row r="39271" spans="10:10" x14ac:dyDescent="0.3">
      <c r="J39271"/>
    </row>
    <row r="39272" spans="10:10" x14ac:dyDescent="0.3">
      <c r="J39272"/>
    </row>
    <row r="39273" spans="10:10" x14ac:dyDescent="0.3">
      <c r="J39273"/>
    </row>
    <row r="39274" spans="10:10" x14ac:dyDescent="0.3">
      <c r="J39274"/>
    </row>
    <row r="39275" spans="10:10" x14ac:dyDescent="0.3">
      <c r="J39275"/>
    </row>
    <row r="39276" spans="10:10" x14ac:dyDescent="0.3">
      <c r="J39276"/>
    </row>
    <row r="39277" spans="10:10" x14ac:dyDescent="0.3">
      <c r="J39277"/>
    </row>
    <row r="39278" spans="10:10" x14ac:dyDescent="0.3">
      <c r="J39278"/>
    </row>
    <row r="39279" spans="10:10" x14ac:dyDescent="0.3">
      <c r="J39279"/>
    </row>
    <row r="39280" spans="10:10" x14ac:dyDescent="0.3">
      <c r="J39280"/>
    </row>
    <row r="39281" spans="10:10" x14ac:dyDescent="0.3">
      <c r="J39281"/>
    </row>
    <row r="39282" spans="10:10" x14ac:dyDescent="0.3">
      <c r="J39282"/>
    </row>
    <row r="39283" spans="10:10" x14ac:dyDescent="0.3">
      <c r="J39283"/>
    </row>
    <row r="39284" spans="10:10" x14ac:dyDescent="0.3">
      <c r="J39284"/>
    </row>
    <row r="39285" spans="10:10" x14ac:dyDescent="0.3">
      <c r="J39285"/>
    </row>
    <row r="39286" spans="10:10" x14ac:dyDescent="0.3">
      <c r="J39286"/>
    </row>
    <row r="39287" spans="10:10" x14ac:dyDescent="0.3">
      <c r="J39287"/>
    </row>
    <row r="39288" spans="10:10" x14ac:dyDescent="0.3">
      <c r="J39288"/>
    </row>
    <row r="39289" spans="10:10" x14ac:dyDescent="0.3">
      <c r="J39289"/>
    </row>
    <row r="39290" spans="10:10" x14ac:dyDescent="0.3">
      <c r="J39290"/>
    </row>
    <row r="39291" spans="10:10" x14ac:dyDescent="0.3">
      <c r="J39291"/>
    </row>
    <row r="39292" spans="10:10" x14ac:dyDescent="0.3">
      <c r="J39292"/>
    </row>
    <row r="39293" spans="10:10" x14ac:dyDescent="0.3">
      <c r="J39293"/>
    </row>
    <row r="39294" spans="10:10" x14ac:dyDescent="0.3">
      <c r="J39294"/>
    </row>
    <row r="39295" spans="10:10" x14ac:dyDescent="0.3">
      <c r="J39295"/>
    </row>
    <row r="39296" spans="10:10" x14ac:dyDescent="0.3">
      <c r="J39296"/>
    </row>
    <row r="39297" spans="10:10" x14ac:dyDescent="0.3">
      <c r="J39297"/>
    </row>
    <row r="39298" spans="10:10" x14ac:dyDescent="0.3">
      <c r="J39298"/>
    </row>
    <row r="39299" spans="10:10" x14ac:dyDescent="0.3">
      <c r="J39299"/>
    </row>
    <row r="39300" spans="10:10" x14ac:dyDescent="0.3">
      <c r="J39300"/>
    </row>
    <row r="39301" spans="10:10" x14ac:dyDescent="0.3">
      <c r="J39301"/>
    </row>
    <row r="39302" spans="10:10" x14ac:dyDescent="0.3">
      <c r="J39302"/>
    </row>
    <row r="39303" spans="10:10" x14ac:dyDescent="0.3">
      <c r="J39303"/>
    </row>
    <row r="39304" spans="10:10" x14ac:dyDescent="0.3">
      <c r="J39304"/>
    </row>
    <row r="39305" spans="10:10" x14ac:dyDescent="0.3">
      <c r="J39305"/>
    </row>
    <row r="39306" spans="10:10" x14ac:dyDescent="0.3">
      <c r="J39306"/>
    </row>
    <row r="39307" spans="10:10" x14ac:dyDescent="0.3">
      <c r="J39307"/>
    </row>
    <row r="39308" spans="10:10" x14ac:dyDescent="0.3">
      <c r="J39308"/>
    </row>
    <row r="39309" spans="10:10" x14ac:dyDescent="0.3">
      <c r="J39309"/>
    </row>
    <row r="39310" spans="10:10" x14ac:dyDescent="0.3">
      <c r="J39310"/>
    </row>
    <row r="39311" spans="10:10" x14ac:dyDescent="0.3">
      <c r="J39311"/>
    </row>
    <row r="39312" spans="10:10" x14ac:dyDescent="0.3">
      <c r="J39312"/>
    </row>
    <row r="39313" spans="10:10" x14ac:dyDescent="0.3">
      <c r="J39313"/>
    </row>
    <row r="39314" spans="10:10" x14ac:dyDescent="0.3">
      <c r="J39314"/>
    </row>
    <row r="39315" spans="10:10" x14ac:dyDescent="0.3">
      <c r="J39315"/>
    </row>
    <row r="39316" spans="10:10" x14ac:dyDescent="0.3">
      <c r="J39316"/>
    </row>
    <row r="39317" spans="10:10" x14ac:dyDescent="0.3">
      <c r="J39317"/>
    </row>
    <row r="39318" spans="10:10" x14ac:dyDescent="0.3">
      <c r="J39318"/>
    </row>
    <row r="39319" spans="10:10" x14ac:dyDescent="0.3">
      <c r="J39319"/>
    </row>
    <row r="39320" spans="10:10" x14ac:dyDescent="0.3">
      <c r="J39320"/>
    </row>
    <row r="39321" spans="10:10" x14ac:dyDescent="0.3">
      <c r="J39321"/>
    </row>
    <row r="39322" spans="10:10" x14ac:dyDescent="0.3">
      <c r="J39322"/>
    </row>
    <row r="39323" spans="10:10" x14ac:dyDescent="0.3">
      <c r="J39323"/>
    </row>
    <row r="39324" spans="10:10" x14ac:dyDescent="0.3">
      <c r="J39324"/>
    </row>
    <row r="39325" spans="10:10" x14ac:dyDescent="0.3">
      <c r="J39325"/>
    </row>
    <row r="39326" spans="10:10" x14ac:dyDescent="0.3">
      <c r="J39326"/>
    </row>
    <row r="39327" spans="10:10" x14ac:dyDescent="0.3">
      <c r="J39327"/>
    </row>
    <row r="39328" spans="10:10" x14ac:dyDescent="0.3">
      <c r="J39328"/>
    </row>
    <row r="39329" spans="10:10" x14ac:dyDescent="0.3">
      <c r="J39329"/>
    </row>
    <row r="39330" spans="10:10" x14ac:dyDescent="0.3">
      <c r="J39330"/>
    </row>
    <row r="39331" spans="10:10" x14ac:dyDescent="0.3">
      <c r="J39331"/>
    </row>
    <row r="39332" spans="10:10" x14ac:dyDescent="0.3">
      <c r="J39332"/>
    </row>
    <row r="39333" spans="10:10" x14ac:dyDescent="0.3">
      <c r="J39333"/>
    </row>
    <row r="39334" spans="10:10" x14ac:dyDescent="0.3">
      <c r="J39334"/>
    </row>
    <row r="39335" spans="10:10" x14ac:dyDescent="0.3">
      <c r="J39335"/>
    </row>
    <row r="39336" spans="10:10" x14ac:dyDescent="0.3">
      <c r="J39336"/>
    </row>
    <row r="39337" spans="10:10" x14ac:dyDescent="0.3">
      <c r="J39337"/>
    </row>
    <row r="39338" spans="10:10" x14ac:dyDescent="0.3">
      <c r="J39338"/>
    </row>
    <row r="39339" spans="10:10" x14ac:dyDescent="0.3">
      <c r="J39339"/>
    </row>
    <row r="39340" spans="10:10" x14ac:dyDescent="0.3">
      <c r="J39340"/>
    </row>
    <row r="39341" spans="10:10" x14ac:dyDescent="0.3">
      <c r="J39341"/>
    </row>
    <row r="39342" spans="10:10" x14ac:dyDescent="0.3">
      <c r="J39342"/>
    </row>
    <row r="39343" spans="10:10" x14ac:dyDescent="0.3">
      <c r="J39343"/>
    </row>
    <row r="39344" spans="10:10" x14ac:dyDescent="0.3">
      <c r="J39344"/>
    </row>
    <row r="39345" spans="10:10" x14ac:dyDescent="0.3">
      <c r="J39345"/>
    </row>
    <row r="39346" spans="10:10" x14ac:dyDescent="0.3">
      <c r="J39346"/>
    </row>
    <row r="39347" spans="10:10" x14ac:dyDescent="0.3">
      <c r="J39347"/>
    </row>
    <row r="39348" spans="10:10" x14ac:dyDescent="0.3">
      <c r="J39348"/>
    </row>
    <row r="39349" spans="10:10" x14ac:dyDescent="0.3">
      <c r="J39349"/>
    </row>
    <row r="39350" spans="10:10" x14ac:dyDescent="0.3">
      <c r="J39350"/>
    </row>
    <row r="39351" spans="10:10" x14ac:dyDescent="0.3">
      <c r="J39351"/>
    </row>
    <row r="39352" spans="10:10" x14ac:dyDescent="0.3">
      <c r="J39352"/>
    </row>
    <row r="39353" spans="10:10" x14ac:dyDescent="0.3">
      <c r="J39353"/>
    </row>
    <row r="39354" spans="10:10" x14ac:dyDescent="0.3">
      <c r="J39354"/>
    </row>
    <row r="39355" spans="10:10" x14ac:dyDescent="0.3">
      <c r="J39355"/>
    </row>
    <row r="39356" spans="10:10" x14ac:dyDescent="0.3">
      <c r="J39356"/>
    </row>
    <row r="39357" spans="10:10" x14ac:dyDescent="0.3">
      <c r="J39357"/>
    </row>
    <row r="39358" spans="10:10" x14ac:dyDescent="0.3">
      <c r="J39358"/>
    </row>
    <row r="39359" spans="10:10" x14ac:dyDescent="0.3">
      <c r="J39359"/>
    </row>
    <row r="39360" spans="10:10" x14ac:dyDescent="0.3">
      <c r="J39360"/>
    </row>
    <row r="39361" spans="10:10" x14ac:dyDescent="0.3">
      <c r="J39361"/>
    </row>
    <row r="39362" spans="10:10" x14ac:dyDescent="0.3">
      <c r="J39362"/>
    </row>
    <row r="39363" spans="10:10" x14ac:dyDescent="0.3">
      <c r="J39363"/>
    </row>
    <row r="39364" spans="10:10" x14ac:dyDescent="0.3">
      <c r="J39364"/>
    </row>
    <row r="39365" spans="10:10" x14ac:dyDescent="0.3">
      <c r="J39365"/>
    </row>
    <row r="39366" spans="10:10" x14ac:dyDescent="0.3">
      <c r="J39366"/>
    </row>
    <row r="39367" spans="10:10" x14ac:dyDescent="0.3">
      <c r="J39367"/>
    </row>
    <row r="39368" spans="10:10" x14ac:dyDescent="0.3">
      <c r="J39368"/>
    </row>
    <row r="39369" spans="10:10" x14ac:dyDescent="0.3">
      <c r="J39369"/>
    </row>
    <row r="39370" spans="10:10" x14ac:dyDescent="0.3">
      <c r="J39370"/>
    </row>
    <row r="39371" spans="10:10" x14ac:dyDescent="0.3">
      <c r="J39371"/>
    </row>
    <row r="39372" spans="10:10" x14ac:dyDescent="0.3">
      <c r="J39372"/>
    </row>
    <row r="39373" spans="10:10" x14ac:dyDescent="0.3">
      <c r="J39373"/>
    </row>
    <row r="39374" spans="10:10" x14ac:dyDescent="0.3">
      <c r="J39374"/>
    </row>
    <row r="39375" spans="10:10" x14ac:dyDescent="0.3">
      <c r="J39375"/>
    </row>
    <row r="39376" spans="10:10" x14ac:dyDescent="0.3">
      <c r="J39376"/>
    </row>
    <row r="39377" spans="10:10" x14ac:dyDescent="0.3">
      <c r="J39377"/>
    </row>
    <row r="39378" spans="10:10" x14ac:dyDescent="0.3">
      <c r="J39378"/>
    </row>
    <row r="39379" spans="10:10" x14ac:dyDescent="0.3">
      <c r="J39379"/>
    </row>
    <row r="39380" spans="10:10" x14ac:dyDescent="0.3">
      <c r="J39380"/>
    </row>
    <row r="39381" spans="10:10" x14ac:dyDescent="0.3">
      <c r="J39381"/>
    </row>
    <row r="39382" spans="10:10" x14ac:dyDescent="0.3">
      <c r="J39382"/>
    </row>
    <row r="39383" spans="10:10" x14ac:dyDescent="0.3">
      <c r="J39383"/>
    </row>
    <row r="39384" spans="10:10" x14ac:dyDescent="0.3">
      <c r="J39384"/>
    </row>
    <row r="39385" spans="10:10" x14ac:dyDescent="0.3">
      <c r="J39385"/>
    </row>
    <row r="39386" spans="10:10" x14ac:dyDescent="0.3">
      <c r="J39386"/>
    </row>
    <row r="39387" spans="10:10" x14ac:dyDescent="0.3">
      <c r="J39387"/>
    </row>
    <row r="39388" spans="10:10" x14ac:dyDescent="0.3">
      <c r="J39388"/>
    </row>
    <row r="39389" spans="10:10" x14ac:dyDescent="0.3">
      <c r="J39389"/>
    </row>
    <row r="39390" spans="10:10" x14ac:dyDescent="0.3">
      <c r="J39390"/>
    </row>
    <row r="39391" spans="10:10" x14ac:dyDescent="0.3">
      <c r="J39391"/>
    </row>
    <row r="39392" spans="10:10" x14ac:dyDescent="0.3">
      <c r="J39392"/>
    </row>
    <row r="39393" spans="10:10" x14ac:dyDescent="0.3">
      <c r="J39393"/>
    </row>
    <row r="39394" spans="10:10" x14ac:dyDescent="0.3">
      <c r="J39394"/>
    </row>
    <row r="39395" spans="10:10" x14ac:dyDescent="0.3">
      <c r="J39395"/>
    </row>
    <row r="39396" spans="10:10" x14ac:dyDescent="0.3">
      <c r="J39396"/>
    </row>
    <row r="39397" spans="10:10" x14ac:dyDescent="0.3">
      <c r="J39397"/>
    </row>
    <row r="39398" spans="10:10" x14ac:dyDescent="0.3">
      <c r="J39398"/>
    </row>
    <row r="39399" spans="10:10" x14ac:dyDescent="0.3">
      <c r="J39399"/>
    </row>
    <row r="39400" spans="10:10" x14ac:dyDescent="0.3">
      <c r="J39400"/>
    </row>
    <row r="39401" spans="10:10" x14ac:dyDescent="0.3">
      <c r="J39401"/>
    </row>
    <row r="39402" spans="10:10" x14ac:dyDescent="0.3">
      <c r="J39402"/>
    </row>
    <row r="39403" spans="10:10" x14ac:dyDescent="0.3">
      <c r="J39403"/>
    </row>
    <row r="39404" spans="10:10" x14ac:dyDescent="0.3">
      <c r="J39404"/>
    </row>
    <row r="39405" spans="10:10" x14ac:dyDescent="0.3">
      <c r="J39405"/>
    </row>
    <row r="39406" spans="10:10" x14ac:dyDescent="0.3">
      <c r="J39406"/>
    </row>
    <row r="39407" spans="10:10" x14ac:dyDescent="0.3">
      <c r="J39407"/>
    </row>
    <row r="39408" spans="10:10" x14ac:dyDescent="0.3">
      <c r="J39408"/>
    </row>
    <row r="39409" spans="10:10" x14ac:dyDescent="0.3">
      <c r="J39409"/>
    </row>
    <row r="39410" spans="10:10" x14ac:dyDescent="0.3">
      <c r="J39410"/>
    </row>
    <row r="39411" spans="10:10" x14ac:dyDescent="0.3">
      <c r="J39411"/>
    </row>
    <row r="39412" spans="10:10" x14ac:dyDescent="0.3">
      <c r="J39412"/>
    </row>
    <row r="39413" spans="10:10" x14ac:dyDescent="0.3">
      <c r="J39413"/>
    </row>
    <row r="39414" spans="10:10" x14ac:dyDescent="0.3">
      <c r="J39414"/>
    </row>
    <row r="39415" spans="10:10" x14ac:dyDescent="0.3">
      <c r="J39415"/>
    </row>
    <row r="39416" spans="10:10" x14ac:dyDescent="0.3">
      <c r="J39416"/>
    </row>
    <row r="39417" spans="10:10" x14ac:dyDescent="0.3">
      <c r="J39417"/>
    </row>
    <row r="39418" spans="10:10" x14ac:dyDescent="0.3">
      <c r="J39418"/>
    </row>
    <row r="39419" spans="10:10" x14ac:dyDescent="0.3">
      <c r="J39419"/>
    </row>
    <row r="39420" spans="10:10" x14ac:dyDescent="0.3">
      <c r="J39420"/>
    </row>
    <row r="39421" spans="10:10" x14ac:dyDescent="0.3">
      <c r="J39421"/>
    </row>
    <row r="39422" spans="10:10" x14ac:dyDescent="0.3">
      <c r="J39422"/>
    </row>
    <row r="39423" spans="10:10" x14ac:dyDescent="0.3">
      <c r="J39423"/>
    </row>
    <row r="39424" spans="10:10" x14ac:dyDescent="0.3">
      <c r="J39424"/>
    </row>
    <row r="39425" spans="10:10" x14ac:dyDescent="0.3">
      <c r="J39425"/>
    </row>
    <row r="39426" spans="10:10" x14ac:dyDescent="0.3">
      <c r="J39426"/>
    </row>
    <row r="39427" spans="10:10" x14ac:dyDescent="0.3">
      <c r="J39427"/>
    </row>
    <row r="39428" spans="10:10" x14ac:dyDescent="0.3">
      <c r="J39428"/>
    </row>
    <row r="39429" spans="10:10" x14ac:dyDescent="0.3">
      <c r="J39429"/>
    </row>
    <row r="39430" spans="10:10" x14ac:dyDescent="0.3">
      <c r="J39430"/>
    </row>
    <row r="39431" spans="10:10" x14ac:dyDescent="0.3">
      <c r="J39431"/>
    </row>
    <row r="39432" spans="10:10" x14ac:dyDescent="0.3">
      <c r="J39432"/>
    </row>
    <row r="39433" spans="10:10" x14ac:dyDescent="0.3">
      <c r="J39433"/>
    </row>
    <row r="39434" spans="10:10" x14ac:dyDescent="0.3">
      <c r="J39434"/>
    </row>
    <row r="39435" spans="10:10" x14ac:dyDescent="0.3">
      <c r="J39435"/>
    </row>
    <row r="39436" spans="10:10" x14ac:dyDescent="0.3">
      <c r="J39436"/>
    </row>
    <row r="39437" spans="10:10" x14ac:dyDescent="0.3">
      <c r="J39437"/>
    </row>
    <row r="39438" spans="10:10" x14ac:dyDescent="0.3">
      <c r="J39438"/>
    </row>
    <row r="39439" spans="10:10" x14ac:dyDescent="0.3">
      <c r="J39439"/>
    </row>
    <row r="39440" spans="10:10" x14ac:dyDescent="0.3">
      <c r="J39440"/>
    </row>
    <row r="39441" spans="10:10" x14ac:dyDescent="0.3">
      <c r="J39441"/>
    </row>
    <row r="39442" spans="10:10" x14ac:dyDescent="0.3">
      <c r="J39442"/>
    </row>
    <row r="39443" spans="10:10" x14ac:dyDescent="0.3">
      <c r="J39443"/>
    </row>
    <row r="39444" spans="10:10" x14ac:dyDescent="0.3">
      <c r="J39444"/>
    </row>
    <row r="39445" spans="10:10" x14ac:dyDescent="0.3">
      <c r="J39445"/>
    </row>
    <row r="39446" spans="10:10" x14ac:dyDescent="0.3">
      <c r="J39446"/>
    </row>
    <row r="39447" spans="10:10" x14ac:dyDescent="0.3">
      <c r="J39447"/>
    </row>
    <row r="39448" spans="10:10" x14ac:dyDescent="0.3">
      <c r="J39448"/>
    </row>
    <row r="39449" spans="10:10" x14ac:dyDescent="0.3">
      <c r="J39449"/>
    </row>
    <row r="39450" spans="10:10" x14ac:dyDescent="0.3">
      <c r="J39450"/>
    </row>
    <row r="39451" spans="10:10" x14ac:dyDescent="0.3">
      <c r="J39451"/>
    </row>
    <row r="39452" spans="10:10" x14ac:dyDescent="0.3">
      <c r="J39452"/>
    </row>
    <row r="39453" spans="10:10" x14ac:dyDescent="0.3">
      <c r="J39453"/>
    </row>
    <row r="39454" spans="10:10" x14ac:dyDescent="0.3">
      <c r="J39454"/>
    </row>
    <row r="39455" spans="10:10" x14ac:dyDescent="0.3">
      <c r="J39455"/>
    </row>
    <row r="39456" spans="10:10" x14ac:dyDescent="0.3">
      <c r="J39456"/>
    </row>
    <row r="39457" spans="10:10" x14ac:dyDescent="0.3">
      <c r="J39457"/>
    </row>
    <row r="39458" spans="10:10" x14ac:dyDescent="0.3">
      <c r="J39458"/>
    </row>
    <row r="39459" spans="10:10" x14ac:dyDescent="0.3">
      <c r="J39459"/>
    </row>
    <row r="39460" spans="10:10" x14ac:dyDescent="0.3">
      <c r="J39460"/>
    </row>
    <row r="39461" spans="10:10" x14ac:dyDescent="0.3">
      <c r="J39461"/>
    </row>
    <row r="39462" spans="10:10" x14ac:dyDescent="0.3">
      <c r="J39462"/>
    </row>
    <row r="39463" spans="10:10" x14ac:dyDescent="0.3">
      <c r="J39463"/>
    </row>
    <row r="39464" spans="10:10" x14ac:dyDescent="0.3">
      <c r="J39464"/>
    </row>
    <row r="39465" spans="10:10" x14ac:dyDescent="0.3">
      <c r="J39465"/>
    </row>
    <row r="39466" spans="10:10" x14ac:dyDescent="0.3">
      <c r="J39466"/>
    </row>
    <row r="39467" spans="10:10" x14ac:dyDescent="0.3">
      <c r="J39467"/>
    </row>
    <row r="39468" spans="10:10" x14ac:dyDescent="0.3">
      <c r="J39468"/>
    </row>
    <row r="39469" spans="10:10" x14ac:dyDescent="0.3">
      <c r="J39469"/>
    </row>
    <row r="39470" spans="10:10" x14ac:dyDescent="0.3">
      <c r="J39470"/>
    </row>
    <row r="39471" spans="10:10" x14ac:dyDescent="0.3">
      <c r="J39471"/>
    </row>
    <row r="39472" spans="10:10" x14ac:dyDescent="0.3">
      <c r="J39472"/>
    </row>
    <row r="39473" spans="10:10" x14ac:dyDescent="0.3">
      <c r="J39473"/>
    </row>
    <row r="39474" spans="10:10" x14ac:dyDescent="0.3">
      <c r="J39474"/>
    </row>
    <row r="39475" spans="10:10" x14ac:dyDescent="0.3">
      <c r="J39475"/>
    </row>
    <row r="39476" spans="10:10" x14ac:dyDescent="0.3">
      <c r="J39476"/>
    </row>
    <row r="39477" spans="10:10" x14ac:dyDescent="0.3">
      <c r="J39477"/>
    </row>
    <row r="39478" spans="10:10" x14ac:dyDescent="0.3">
      <c r="J39478"/>
    </row>
    <row r="39479" spans="10:10" x14ac:dyDescent="0.3">
      <c r="J39479"/>
    </row>
    <row r="39480" spans="10:10" x14ac:dyDescent="0.3">
      <c r="J39480"/>
    </row>
    <row r="39481" spans="10:10" x14ac:dyDescent="0.3">
      <c r="J39481"/>
    </row>
    <row r="39482" spans="10:10" x14ac:dyDescent="0.3">
      <c r="J39482"/>
    </row>
    <row r="39483" spans="10:10" x14ac:dyDescent="0.3">
      <c r="J39483"/>
    </row>
    <row r="39484" spans="10:10" x14ac:dyDescent="0.3">
      <c r="J39484"/>
    </row>
    <row r="39485" spans="10:10" x14ac:dyDescent="0.3">
      <c r="J39485"/>
    </row>
    <row r="39486" spans="10:10" x14ac:dyDescent="0.3">
      <c r="J39486"/>
    </row>
    <row r="39487" spans="10:10" x14ac:dyDescent="0.3">
      <c r="J39487"/>
    </row>
    <row r="39488" spans="10:10" x14ac:dyDescent="0.3">
      <c r="J39488"/>
    </row>
    <row r="39489" spans="10:10" x14ac:dyDescent="0.3">
      <c r="J39489"/>
    </row>
    <row r="39490" spans="10:10" x14ac:dyDescent="0.3">
      <c r="J39490"/>
    </row>
    <row r="39491" spans="10:10" x14ac:dyDescent="0.3">
      <c r="J39491"/>
    </row>
    <row r="39492" spans="10:10" x14ac:dyDescent="0.3">
      <c r="J39492"/>
    </row>
    <row r="39493" spans="10:10" x14ac:dyDescent="0.3">
      <c r="J39493"/>
    </row>
    <row r="39494" spans="10:10" x14ac:dyDescent="0.3">
      <c r="J39494"/>
    </row>
    <row r="39495" spans="10:10" x14ac:dyDescent="0.3">
      <c r="J39495"/>
    </row>
    <row r="39496" spans="10:10" x14ac:dyDescent="0.3">
      <c r="J39496"/>
    </row>
    <row r="39497" spans="10:10" x14ac:dyDescent="0.3">
      <c r="J39497"/>
    </row>
    <row r="39498" spans="10:10" x14ac:dyDescent="0.3">
      <c r="J39498"/>
    </row>
    <row r="39499" spans="10:10" x14ac:dyDescent="0.3">
      <c r="J39499"/>
    </row>
    <row r="39500" spans="10:10" x14ac:dyDescent="0.3">
      <c r="J39500"/>
    </row>
    <row r="39501" spans="10:10" x14ac:dyDescent="0.3">
      <c r="J39501"/>
    </row>
    <row r="39502" spans="10:10" x14ac:dyDescent="0.3">
      <c r="J39502"/>
    </row>
    <row r="39503" spans="10:10" x14ac:dyDescent="0.3">
      <c r="J39503"/>
    </row>
    <row r="39504" spans="10:10" x14ac:dyDescent="0.3">
      <c r="J39504"/>
    </row>
    <row r="39505" spans="10:10" x14ac:dyDescent="0.3">
      <c r="J39505"/>
    </row>
    <row r="39506" spans="10:10" x14ac:dyDescent="0.3">
      <c r="J39506"/>
    </row>
    <row r="39507" spans="10:10" x14ac:dyDescent="0.3">
      <c r="J39507"/>
    </row>
    <row r="39508" spans="10:10" x14ac:dyDescent="0.3">
      <c r="J39508"/>
    </row>
    <row r="39509" spans="10:10" x14ac:dyDescent="0.3">
      <c r="J39509"/>
    </row>
    <row r="39510" spans="10:10" x14ac:dyDescent="0.3">
      <c r="J39510"/>
    </row>
    <row r="39511" spans="10:10" x14ac:dyDescent="0.3">
      <c r="J39511"/>
    </row>
    <row r="39512" spans="10:10" x14ac:dyDescent="0.3">
      <c r="J39512"/>
    </row>
    <row r="39513" spans="10:10" x14ac:dyDescent="0.3">
      <c r="J39513"/>
    </row>
    <row r="39514" spans="10:10" x14ac:dyDescent="0.3">
      <c r="J39514"/>
    </row>
    <row r="39515" spans="10:10" x14ac:dyDescent="0.3">
      <c r="J39515"/>
    </row>
    <row r="39516" spans="10:10" x14ac:dyDescent="0.3">
      <c r="J39516"/>
    </row>
    <row r="39517" spans="10:10" x14ac:dyDescent="0.3">
      <c r="J39517"/>
    </row>
    <row r="39518" spans="10:10" x14ac:dyDescent="0.3">
      <c r="J39518"/>
    </row>
    <row r="39519" spans="10:10" x14ac:dyDescent="0.3">
      <c r="J39519"/>
    </row>
    <row r="39520" spans="10:10" x14ac:dyDescent="0.3">
      <c r="J39520"/>
    </row>
    <row r="39521" spans="10:10" x14ac:dyDescent="0.3">
      <c r="J39521"/>
    </row>
    <row r="39522" spans="10:10" x14ac:dyDescent="0.3">
      <c r="J39522"/>
    </row>
    <row r="39523" spans="10:10" x14ac:dyDescent="0.3">
      <c r="J39523"/>
    </row>
    <row r="39524" spans="10:10" x14ac:dyDescent="0.3">
      <c r="J39524"/>
    </row>
    <row r="39525" spans="10:10" x14ac:dyDescent="0.3">
      <c r="J39525"/>
    </row>
    <row r="39526" spans="10:10" x14ac:dyDescent="0.3">
      <c r="J39526"/>
    </row>
    <row r="39527" spans="10:10" x14ac:dyDescent="0.3">
      <c r="J39527"/>
    </row>
    <row r="39528" spans="10:10" x14ac:dyDescent="0.3">
      <c r="J39528"/>
    </row>
    <row r="39529" spans="10:10" x14ac:dyDescent="0.3">
      <c r="J39529"/>
    </row>
    <row r="39530" spans="10:10" x14ac:dyDescent="0.3">
      <c r="J39530"/>
    </row>
    <row r="39531" spans="10:10" x14ac:dyDescent="0.3">
      <c r="J39531"/>
    </row>
    <row r="39532" spans="10:10" x14ac:dyDescent="0.3">
      <c r="J39532"/>
    </row>
    <row r="39533" spans="10:10" x14ac:dyDescent="0.3">
      <c r="J39533"/>
    </row>
    <row r="39534" spans="10:10" x14ac:dyDescent="0.3">
      <c r="J39534"/>
    </row>
    <row r="39535" spans="10:10" x14ac:dyDescent="0.3">
      <c r="J39535"/>
    </row>
    <row r="39536" spans="10:10" x14ac:dyDescent="0.3">
      <c r="J39536"/>
    </row>
    <row r="39537" spans="10:10" x14ac:dyDescent="0.3">
      <c r="J39537"/>
    </row>
    <row r="39538" spans="10:10" x14ac:dyDescent="0.3">
      <c r="J39538"/>
    </row>
    <row r="39539" spans="10:10" x14ac:dyDescent="0.3">
      <c r="J39539"/>
    </row>
    <row r="39540" spans="10:10" x14ac:dyDescent="0.3">
      <c r="J39540"/>
    </row>
    <row r="39541" spans="10:10" x14ac:dyDescent="0.3">
      <c r="J39541"/>
    </row>
    <row r="39542" spans="10:10" x14ac:dyDescent="0.3">
      <c r="J39542"/>
    </row>
    <row r="39543" spans="10:10" x14ac:dyDescent="0.3">
      <c r="J39543"/>
    </row>
    <row r="39544" spans="10:10" x14ac:dyDescent="0.3">
      <c r="J39544"/>
    </row>
    <row r="39545" spans="10:10" x14ac:dyDescent="0.3">
      <c r="J39545"/>
    </row>
    <row r="39546" spans="10:10" x14ac:dyDescent="0.3">
      <c r="J39546"/>
    </row>
    <row r="39547" spans="10:10" x14ac:dyDescent="0.3">
      <c r="J39547"/>
    </row>
    <row r="39548" spans="10:10" x14ac:dyDescent="0.3">
      <c r="J39548"/>
    </row>
    <row r="39549" spans="10:10" x14ac:dyDescent="0.3">
      <c r="J39549"/>
    </row>
    <row r="39550" spans="10:10" x14ac:dyDescent="0.3">
      <c r="J39550"/>
    </row>
    <row r="39551" spans="10:10" x14ac:dyDescent="0.3">
      <c r="J39551"/>
    </row>
    <row r="39552" spans="10:10" x14ac:dyDescent="0.3">
      <c r="J39552"/>
    </row>
    <row r="39553" spans="10:10" x14ac:dyDescent="0.3">
      <c r="J39553"/>
    </row>
    <row r="39554" spans="10:10" x14ac:dyDescent="0.3">
      <c r="J39554"/>
    </row>
    <row r="39555" spans="10:10" x14ac:dyDescent="0.3">
      <c r="J39555"/>
    </row>
    <row r="39556" spans="10:10" x14ac:dyDescent="0.3">
      <c r="J39556"/>
    </row>
    <row r="39557" spans="10:10" x14ac:dyDescent="0.3">
      <c r="J39557"/>
    </row>
    <row r="39558" spans="10:10" x14ac:dyDescent="0.3">
      <c r="J39558"/>
    </row>
    <row r="39559" spans="10:10" x14ac:dyDescent="0.3">
      <c r="J39559"/>
    </row>
    <row r="39560" spans="10:10" x14ac:dyDescent="0.3">
      <c r="J39560"/>
    </row>
    <row r="39561" spans="10:10" x14ac:dyDescent="0.3">
      <c r="J39561"/>
    </row>
    <row r="39562" spans="10:10" x14ac:dyDescent="0.3">
      <c r="J39562"/>
    </row>
    <row r="39563" spans="10:10" x14ac:dyDescent="0.3">
      <c r="J39563"/>
    </row>
    <row r="39564" spans="10:10" x14ac:dyDescent="0.3">
      <c r="J39564"/>
    </row>
    <row r="39565" spans="10:10" x14ac:dyDescent="0.3">
      <c r="J39565"/>
    </row>
    <row r="39566" spans="10:10" x14ac:dyDescent="0.3">
      <c r="J39566"/>
    </row>
    <row r="39567" spans="10:10" x14ac:dyDescent="0.3">
      <c r="J39567"/>
    </row>
    <row r="39568" spans="10:10" x14ac:dyDescent="0.3">
      <c r="J39568"/>
    </row>
    <row r="39569" spans="10:10" x14ac:dyDescent="0.3">
      <c r="J39569"/>
    </row>
    <row r="39570" spans="10:10" x14ac:dyDescent="0.3">
      <c r="J39570"/>
    </row>
    <row r="39571" spans="10:10" x14ac:dyDescent="0.3">
      <c r="J39571"/>
    </row>
    <row r="39572" spans="10:10" x14ac:dyDescent="0.3">
      <c r="J39572"/>
    </row>
    <row r="39573" spans="10:10" x14ac:dyDescent="0.3">
      <c r="J39573"/>
    </row>
    <row r="39574" spans="10:10" x14ac:dyDescent="0.3">
      <c r="J39574"/>
    </row>
    <row r="39575" spans="10:10" x14ac:dyDescent="0.3">
      <c r="J39575"/>
    </row>
    <row r="39576" spans="10:10" x14ac:dyDescent="0.3">
      <c r="J39576"/>
    </row>
    <row r="39577" spans="10:10" x14ac:dyDescent="0.3">
      <c r="J39577"/>
    </row>
    <row r="39578" spans="10:10" x14ac:dyDescent="0.3">
      <c r="J39578"/>
    </row>
    <row r="39579" spans="10:10" x14ac:dyDescent="0.3">
      <c r="J39579"/>
    </row>
    <row r="39580" spans="10:10" x14ac:dyDescent="0.3">
      <c r="J39580"/>
    </row>
    <row r="39581" spans="10:10" x14ac:dyDescent="0.3">
      <c r="J39581"/>
    </row>
    <row r="39582" spans="10:10" x14ac:dyDescent="0.3">
      <c r="J39582"/>
    </row>
    <row r="39583" spans="10:10" x14ac:dyDescent="0.3">
      <c r="J39583"/>
    </row>
    <row r="39584" spans="10:10" x14ac:dyDescent="0.3">
      <c r="J39584"/>
    </row>
    <row r="39585" spans="10:10" x14ac:dyDescent="0.3">
      <c r="J39585"/>
    </row>
    <row r="39586" spans="10:10" x14ac:dyDescent="0.3">
      <c r="J39586"/>
    </row>
    <row r="39587" spans="10:10" x14ac:dyDescent="0.3">
      <c r="J39587"/>
    </row>
    <row r="39588" spans="10:10" x14ac:dyDescent="0.3">
      <c r="J39588"/>
    </row>
    <row r="39589" spans="10:10" x14ac:dyDescent="0.3">
      <c r="J39589"/>
    </row>
    <row r="39590" spans="10:10" x14ac:dyDescent="0.3">
      <c r="J39590"/>
    </row>
    <row r="39591" spans="10:10" x14ac:dyDescent="0.3">
      <c r="J39591"/>
    </row>
    <row r="39592" spans="10:10" x14ac:dyDescent="0.3">
      <c r="J39592"/>
    </row>
    <row r="39593" spans="10:10" x14ac:dyDescent="0.3">
      <c r="J39593"/>
    </row>
    <row r="39594" spans="10:10" x14ac:dyDescent="0.3">
      <c r="J39594"/>
    </row>
    <row r="39595" spans="10:10" x14ac:dyDescent="0.3">
      <c r="J39595"/>
    </row>
    <row r="39596" spans="10:10" x14ac:dyDescent="0.3">
      <c r="J39596"/>
    </row>
    <row r="39597" spans="10:10" x14ac:dyDescent="0.3">
      <c r="J39597"/>
    </row>
    <row r="39598" spans="10:10" x14ac:dyDescent="0.3">
      <c r="J39598"/>
    </row>
    <row r="39599" spans="10:10" x14ac:dyDescent="0.3">
      <c r="J39599"/>
    </row>
    <row r="39600" spans="10:10" x14ac:dyDescent="0.3">
      <c r="J39600"/>
    </row>
    <row r="39601" spans="10:10" x14ac:dyDescent="0.3">
      <c r="J39601"/>
    </row>
    <row r="39602" spans="10:10" x14ac:dyDescent="0.3">
      <c r="J39602"/>
    </row>
    <row r="39603" spans="10:10" x14ac:dyDescent="0.3">
      <c r="J39603"/>
    </row>
    <row r="39604" spans="10:10" x14ac:dyDescent="0.3">
      <c r="J39604"/>
    </row>
    <row r="39605" spans="10:10" x14ac:dyDescent="0.3">
      <c r="J39605"/>
    </row>
    <row r="39606" spans="10:10" x14ac:dyDescent="0.3">
      <c r="J39606"/>
    </row>
    <row r="39607" spans="10:10" x14ac:dyDescent="0.3">
      <c r="J39607"/>
    </row>
    <row r="39608" spans="10:10" x14ac:dyDescent="0.3">
      <c r="J39608"/>
    </row>
    <row r="39609" spans="10:10" x14ac:dyDescent="0.3">
      <c r="J39609"/>
    </row>
    <row r="39610" spans="10:10" x14ac:dyDescent="0.3">
      <c r="J39610"/>
    </row>
    <row r="39611" spans="10:10" x14ac:dyDescent="0.3">
      <c r="J39611"/>
    </row>
    <row r="39612" spans="10:10" x14ac:dyDescent="0.3">
      <c r="J39612"/>
    </row>
    <row r="39613" spans="10:10" x14ac:dyDescent="0.3">
      <c r="J39613"/>
    </row>
    <row r="39614" spans="10:10" x14ac:dyDescent="0.3">
      <c r="J39614"/>
    </row>
    <row r="39615" spans="10:10" x14ac:dyDescent="0.3">
      <c r="J39615"/>
    </row>
    <row r="39616" spans="10:10" x14ac:dyDescent="0.3">
      <c r="J39616"/>
    </row>
    <row r="39617" spans="10:10" x14ac:dyDescent="0.3">
      <c r="J39617"/>
    </row>
    <row r="39618" spans="10:10" x14ac:dyDescent="0.3">
      <c r="J39618"/>
    </row>
    <row r="39619" spans="10:10" x14ac:dyDescent="0.3">
      <c r="J39619"/>
    </row>
    <row r="39620" spans="10:10" x14ac:dyDescent="0.3">
      <c r="J39620"/>
    </row>
    <row r="39621" spans="10:10" x14ac:dyDescent="0.3">
      <c r="J39621"/>
    </row>
    <row r="39622" spans="10:10" x14ac:dyDescent="0.3">
      <c r="J39622"/>
    </row>
    <row r="39623" spans="10:10" x14ac:dyDescent="0.3">
      <c r="J39623"/>
    </row>
    <row r="39624" spans="10:10" x14ac:dyDescent="0.3">
      <c r="J39624"/>
    </row>
    <row r="39625" spans="10:10" x14ac:dyDescent="0.3">
      <c r="J39625"/>
    </row>
    <row r="39626" spans="10:10" x14ac:dyDescent="0.3">
      <c r="J39626"/>
    </row>
    <row r="39627" spans="10:10" x14ac:dyDescent="0.3">
      <c r="J39627"/>
    </row>
    <row r="39628" spans="10:10" x14ac:dyDescent="0.3">
      <c r="J39628"/>
    </row>
    <row r="39629" spans="10:10" x14ac:dyDescent="0.3">
      <c r="J39629"/>
    </row>
    <row r="39630" spans="10:10" x14ac:dyDescent="0.3">
      <c r="J39630"/>
    </row>
    <row r="39631" spans="10:10" x14ac:dyDescent="0.3">
      <c r="J39631"/>
    </row>
    <row r="39632" spans="10:10" x14ac:dyDescent="0.3">
      <c r="J39632"/>
    </row>
    <row r="39633" spans="10:10" x14ac:dyDescent="0.3">
      <c r="J39633"/>
    </row>
    <row r="39634" spans="10:10" x14ac:dyDescent="0.3">
      <c r="J39634"/>
    </row>
    <row r="39635" spans="10:10" x14ac:dyDescent="0.3">
      <c r="J39635"/>
    </row>
    <row r="39636" spans="10:10" x14ac:dyDescent="0.3">
      <c r="J39636"/>
    </row>
    <row r="39637" spans="10:10" x14ac:dyDescent="0.3">
      <c r="J39637"/>
    </row>
    <row r="39638" spans="10:10" x14ac:dyDescent="0.3">
      <c r="J39638"/>
    </row>
    <row r="39639" spans="10:10" x14ac:dyDescent="0.3">
      <c r="J39639"/>
    </row>
    <row r="39640" spans="10:10" x14ac:dyDescent="0.3">
      <c r="J39640"/>
    </row>
    <row r="39641" spans="10:10" x14ac:dyDescent="0.3">
      <c r="J39641"/>
    </row>
    <row r="39642" spans="10:10" x14ac:dyDescent="0.3">
      <c r="J39642"/>
    </row>
    <row r="39643" spans="10:10" x14ac:dyDescent="0.3">
      <c r="J39643"/>
    </row>
    <row r="39644" spans="10:10" x14ac:dyDescent="0.3">
      <c r="J39644"/>
    </row>
    <row r="39645" spans="10:10" x14ac:dyDescent="0.3">
      <c r="J39645"/>
    </row>
    <row r="39646" spans="10:10" x14ac:dyDescent="0.3">
      <c r="J39646"/>
    </row>
    <row r="39647" spans="10:10" x14ac:dyDescent="0.3">
      <c r="J39647"/>
    </row>
    <row r="39648" spans="10:10" x14ac:dyDescent="0.3">
      <c r="J39648"/>
    </row>
    <row r="39649" spans="10:10" x14ac:dyDescent="0.3">
      <c r="J39649"/>
    </row>
    <row r="39650" spans="10:10" x14ac:dyDescent="0.3">
      <c r="J39650"/>
    </row>
    <row r="39651" spans="10:10" x14ac:dyDescent="0.3">
      <c r="J39651"/>
    </row>
    <row r="39652" spans="10:10" x14ac:dyDescent="0.3">
      <c r="J39652"/>
    </row>
    <row r="39653" spans="10:10" x14ac:dyDescent="0.3">
      <c r="J39653"/>
    </row>
    <row r="39654" spans="10:10" x14ac:dyDescent="0.3">
      <c r="J39654"/>
    </row>
    <row r="39655" spans="10:10" x14ac:dyDescent="0.3">
      <c r="J39655"/>
    </row>
    <row r="39656" spans="10:10" x14ac:dyDescent="0.3">
      <c r="J39656"/>
    </row>
    <row r="39657" spans="10:10" x14ac:dyDescent="0.3">
      <c r="J39657"/>
    </row>
    <row r="39658" spans="10:10" x14ac:dyDescent="0.3">
      <c r="J39658"/>
    </row>
    <row r="39659" spans="10:10" x14ac:dyDescent="0.3">
      <c r="J39659"/>
    </row>
    <row r="39660" spans="10:10" x14ac:dyDescent="0.3">
      <c r="J39660"/>
    </row>
    <row r="39661" spans="10:10" x14ac:dyDescent="0.3">
      <c r="J39661"/>
    </row>
    <row r="39662" spans="10:10" x14ac:dyDescent="0.3">
      <c r="J39662"/>
    </row>
    <row r="39663" spans="10:10" x14ac:dyDescent="0.3">
      <c r="J39663"/>
    </row>
    <row r="39664" spans="10:10" x14ac:dyDescent="0.3">
      <c r="J39664"/>
    </row>
    <row r="39665" spans="10:10" x14ac:dyDescent="0.3">
      <c r="J39665"/>
    </row>
    <row r="39666" spans="10:10" x14ac:dyDescent="0.3">
      <c r="J39666"/>
    </row>
    <row r="39667" spans="10:10" x14ac:dyDescent="0.3">
      <c r="J39667"/>
    </row>
    <row r="39668" spans="10:10" x14ac:dyDescent="0.3">
      <c r="J39668"/>
    </row>
    <row r="39669" spans="10:10" x14ac:dyDescent="0.3">
      <c r="J39669"/>
    </row>
    <row r="39670" spans="10:10" x14ac:dyDescent="0.3">
      <c r="J39670"/>
    </row>
    <row r="39671" spans="10:10" x14ac:dyDescent="0.3">
      <c r="J39671"/>
    </row>
    <row r="39672" spans="10:10" x14ac:dyDescent="0.3">
      <c r="J39672"/>
    </row>
    <row r="39673" spans="10:10" x14ac:dyDescent="0.3">
      <c r="J39673"/>
    </row>
    <row r="39674" spans="10:10" x14ac:dyDescent="0.3">
      <c r="J39674"/>
    </row>
    <row r="39675" spans="10:10" x14ac:dyDescent="0.3">
      <c r="J39675"/>
    </row>
    <row r="39676" spans="10:10" x14ac:dyDescent="0.3">
      <c r="J39676"/>
    </row>
    <row r="39677" spans="10:10" x14ac:dyDescent="0.3">
      <c r="J39677"/>
    </row>
    <row r="39678" spans="10:10" x14ac:dyDescent="0.3">
      <c r="J39678"/>
    </row>
    <row r="39679" spans="10:10" x14ac:dyDescent="0.3">
      <c r="J39679"/>
    </row>
    <row r="39680" spans="10:10" x14ac:dyDescent="0.3">
      <c r="J39680"/>
    </row>
    <row r="39681" spans="10:10" x14ac:dyDescent="0.3">
      <c r="J39681"/>
    </row>
    <row r="39682" spans="10:10" x14ac:dyDescent="0.3">
      <c r="J39682"/>
    </row>
    <row r="39683" spans="10:10" x14ac:dyDescent="0.3">
      <c r="J39683"/>
    </row>
    <row r="39684" spans="10:10" x14ac:dyDescent="0.3">
      <c r="J39684"/>
    </row>
    <row r="39685" spans="10:10" x14ac:dyDescent="0.3">
      <c r="J39685"/>
    </row>
    <row r="39686" spans="10:10" x14ac:dyDescent="0.3">
      <c r="J39686"/>
    </row>
    <row r="39687" spans="10:10" x14ac:dyDescent="0.3">
      <c r="J39687"/>
    </row>
    <row r="39688" spans="10:10" x14ac:dyDescent="0.3">
      <c r="J39688"/>
    </row>
    <row r="39689" spans="10:10" x14ac:dyDescent="0.3">
      <c r="J39689"/>
    </row>
    <row r="39690" spans="10:10" x14ac:dyDescent="0.3">
      <c r="J39690"/>
    </row>
    <row r="39691" spans="10:10" x14ac:dyDescent="0.3">
      <c r="J39691"/>
    </row>
    <row r="39692" spans="10:10" x14ac:dyDescent="0.3">
      <c r="J39692"/>
    </row>
    <row r="39693" spans="10:10" x14ac:dyDescent="0.3">
      <c r="J39693"/>
    </row>
    <row r="39694" spans="10:10" x14ac:dyDescent="0.3">
      <c r="J39694"/>
    </row>
    <row r="39695" spans="10:10" x14ac:dyDescent="0.3">
      <c r="J39695"/>
    </row>
    <row r="39696" spans="10:10" x14ac:dyDescent="0.3">
      <c r="J39696"/>
    </row>
    <row r="39697" spans="10:10" x14ac:dyDescent="0.3">
      <c r="J39697"/>
    </row>
    <row r="39698" spans="10:10" x14ac:dyDescent="0.3">
      <c r="J39698"/>
    </row>
    <row r="39699" spans="10:10" x14ac:dyDescent="0.3">
      <c r="J39699"/>
    </row>
    <row r="39700" spans="10:10" x14ac:dyDescent="0.3">
      <c r="J39700"/>
    </row>
    <row r="39701" spans="10:10" x14ac:dyDescent="0.3">
      <c r="J39701"/>
    </row>
    <row r="39702" spans="10:10" x14ac:dyDescent="0.3">
      <c r="J39702"/>
    </row>
    <row r="39703" spans="10:10" x14ac:dyDescent="0.3">
      <c r="J39703"/>
    </row>
    <row r="39704" spans="10:10" x14ac:dyDescent="0.3">
      <c r="J39704"/>
    </row>
    <row r="39705" spans="10:10" x14ac:dyDescent="0.3">
      <c r="J39705"/>
    </row>
    <row r="39706" spans="10:10" x14ac:dyDescent="0.3">
      <c r="J39706"/>
    </row>
    <row r="39707" spans="10:10" x14ac:dyDescent="0.3">
      <c r="J39707"/>
    </row>
    <row r="39708" spans="10:10" x14ac:dyDescent="0.3">
      <c r="J39708"/>
    </row>
    <row r="39709" spans="10:10" x14ac:dyDescent="0.3">
      <c r="J39709"/>
    </row>
    <row r="39710" spans="10:10" x14ac:dyDescent="0.3">
      <c r="J39710"/>
    </row>
    <row r="39711" spans="10:10" x14ac:dyDescent="0.3">
      <c r="J39711"/>
    </row>
    <row r="39712" spans="10:10" x14ac:dyDescent="0.3">
      <c r="J39712"/>
    </row>
    <row r="39713" spans="10:10" x14ac:dyDescent="0.3">
      <c r="J39713"/>
    </row>
    <row r="39714" spans="10:10" x14ac:dyDescent="0.3">
      <c r="J39714"/>
    </row>
    <row r="39715" spans="10:10" x14ac:dyDescent="0.3">
      <c r="J39715"/>
    </row>
    <row r="39716" spans="10:10" x14ac:dyDescent="0.3">
      <c r="J39716"/>
    </row>
    <row r="39717" spans="10:10" x14ac:dyDescent="0.3">
      <c r="J39717"/>
    </row>
    <row r="39718" spans="10:10" x14ac:dyDescent="0.3">
      <c r="J39718"/>
    </row>
    <row r="39719" spans="10:10" x14ac:dyDescent="0.3">
      <c r="J39719"/>
    </row>
    <row r="39720" spans="10:10" x14ac:dyDescent="0.3">
      <c r="J39720"/>
    </row>
    <row r="39721" spans="10:10" x14ac:dyDescent="0.3">
      <c r="J39721"/>
    </row>
    <row r="39722" spans="10:10" x14ac:dyDescent="0.3">
      <c r="J39722"/>
    </row>
    <row r="39723" spans="10:10" x14ac:dyDescent="0.3">
      <c r="J39723"/>
    </row>
    <row r="39724" spans="10:10" x14ac:dyDescent="0.3">
      <c r="J39724"/>
    </row>
    <row r="39725" spans="10:10" x14ac:dyDescent="0.3">
      <c r="J39725"/>
    </row>
    <row r="39726" spans="10:10" x14ac:dyDescent="0.3">
      <c r="J39726"/>
    </row>
    <row r="39727" spans="10:10" x14ac:dyDescent="0.3">
      <c r="J39727"/>
    </row>
    <row r="39728" spans="10:10" x14ac:dyDescent="0.3">
      <c r="J39728"/>
    </row>
    <row r="39729" spans="10:10" x14ac:dyDescent="0.3">
      <c r="J39729"/>
    </row>
    <row r="39730" spans="10:10" x14ac:dyDescent="0.3">
      <c r="J39730"/>
    </row>
    <row r="39731" spans="10:10" x14ac:dyDescent="0.3">
      <c r="J39731"/>
    </row>
    <row r="39732" spans="10:10" x14ac:dyDescent="0.3">
      <c r="J39732"/>
    </row>
    <row r="39733" spans="10:10" x14ac:dyDescent="0.3">
      <c r="J39733"/>
    </row>
    <row r="39734" spans="10:10" x14ac:dyDescent="0.3">
      <c r="J39734"/>
    </row>
    <row r="39735" spans="10:10" x14ac:dyDescent="0.3">
      <c r="J39735"/>
    </row>
    <row r="39736" spans="10:10" x14ac:dyDescent="0.3">
      <c r="J39736"/>
    </row>
    <row r="39737" spans="10:10" x14ac:dyDescent="0.3">
      <c r="J39737"/>
    </row>
    <row r="39738" spans="10:10" x14ac:dyDescent="0.3">
      <c r="J39738"/>
    </row>
    <row r="39739" spans="10:10" x14ac:dyDescent="0.3">
      <c r="J39739"/>
    </row>
    <row r="39740" spans="10:10" x14ac:dyDescent="0.3">
      <c r="J39740"/>
    </row>
    <row r="39741" spans="10:10" x14ac:dyDescent="0.3">
      <c r="J39741"/>
    </row>
    <row r="39742" spans="10:10" x14ac:dyDescent="0.3">
      <c r="J39742"/>
    </row>
    <row r="39743" spans="10:10" x14ac:dyDescent="0.3">
      <c r="J39743"/>
    </row>
    <row r="39744" spans="10:10" x14ac:dyDescent="0.3">
      <c r="J39744"/>
    </row>
    <row r="39745" spans="10:10" x14ac:dyDescent="0.3">
      <c r="J39745"/>
    </row>
    <row r="39746" spans="10:10" x14ac:dyDescent="0.3">
      <c r="J39746"/>
    </row>
    <row r="39747" spans="10:10" x14ac:dyDescent="0.3">
      <c r="J39747"/>
    </row>
    <row r="39748" spans="10:10" x14ac:dyDescent="0.3">
      <c r="J39748"/>
    </row>
    <row r="39749" spans="10:10" x14ac:dyDescent="0.3">
      <c r="J39749"/>
    </row>
    <row r="39750" spans="10:10" x14ac:dyDescent="0.3">
      <c r="J39750"/>
    </row>
    <row r="39751" spans="10:10" x14ac:dyDescent="0.3">
      <c r="J39751"/>
    </row>
    <row r="39752" spans="10:10" x14ac:dyDescent="0.3">
      <c r="J39752"/>
    </row>
    <row r="39753" spans="10:10" x14ac:dyDescent="0.3">
      <c r="J39753"/>
    </row>
    <row r="39754" spans="10:10" x14ac:dyDescent="0.3">
      <c r="J39754"/>
    </row>
    <row r="39755" spans="10:10" x14ac:dyDescent="0.3">
      <c r="J39755"/>
    </row>
    <row r="39756" spans="10:10" x14ac:dyDescent="0.3">
      <c r="J39756"/>
    </row>
    <row r="39757" spans="10:10" x14ac:dyDescent="0.3">
      <c r="J39757"/>
    </row>
    <row r="39758" spans="10:10" x14ac:dyDescent="0.3">
      <c r="J39758"/>
    </row>
    <row r="39759" spans="10:10" x14ac:dyDescent="0.3">
      <c r="J39759"/>
    </row>
    <row r="39760" spans="10:10" x14ac:dyDescent="0.3">
      <c r="J39760"/>
    </row>
    <row r="39761" spans="10:10" x14ac:dyDescent="0.3">
      <c r="J39761"/>
    </row>
    <row r="39762" spans="10:10" x14ac:dyDescent="0.3">
      <c r="J39762"/>
    </row>
    <row r="39763" spans="10:10" x14ac:dyDescent="0.3">
      <c r="J39763"/>
    </row>
    <row r="39764" spans="10:10" x14ac:dyDescent="0.3">
      <c r="J39764"/>
    </row>
    <row r="39765" spans="10:10" x14ac:dyDescent="0.3">
      <c r="J39765"/>
    </row>
    <row r="39766" spans="10:10" x14ac:dyDescent="0.3">
      <c r="J39766"/>
    </row>
    <row r="39767" spans="10:10" x14ac:dyDescent="0.3">
      <c r="J39767"/>
    </row>
    <row r="39768" spans="10:10" x14ac:dyDescent="0.3">
      <c r="J39768"/>
    </row>
    <row r="39769" spans="10:10" x14ac:dyDescent="0.3">
      <c r="J39769"/>
    </row>
    <row r="39770" spans="10:10" x14ac:dyDescent="0.3">
      <c r="J39770"/>
    </row>
    <row r="39771" spans="10:10" x14ac:dyDescent="0.3">
      <c r="J39771"/>
    </row>
    <row r="39772" spans="10:10" x14ac:dyDescent="0.3">
      <c r="J39772"/>
    </row>
    <row r="39773" spans="10:10" x14ac:dyDescent="0.3">
      <c r="J39773"/>
    </row>
    <row r="39774" spans="10:10" x14ac:dyDescent="0.3">
      <c r="J39774"/>
    </row>
    <row r="39775" spans="10:10" x14ac:dyDescent="0.3">
      <c r="J39775"/>
    </row>
    <row r="39776" spans="10:10" x14ac:dyDescent="0.3">
      <c r="J39776"/>
    </row>
    <row r="39777" spans="10:10" x14ac:dyDescent="0.3">
      <c r="J39777"/>
    </row>
    <row r="39778" spans="10:10" x14ac:dyDescent="0.3">
      <c r="J39778"/>
    </row>
    <row r="39779" spans="10:10" x14ac:dyDescent="0.3">
      <c r="J39779"/>
    </row>
    <row r="39780" spans="10:10" x14ac:dyDescent="0.3">
      <c r="J39780"/>
    </row>
    <row r="39781" spans="10:10" x14ac:dyDescent="0.3">
      <c r="J39781"/>
    </row>
    <row r="39782" spans="10:10" x14ac:dyDescent="0.3">
      <c r="J39782"/>
    </row>
    <row r="39783" spans="10:10" x14ac:dyDescent="0.3">
      <c r="J39783"/>
    </row>
    <row r="39784" spans="10:10" x14ac:dyDescent="0.3">
      <c r="J39784"/>
    </row>
    <row r="39785" spans="10:10" x14ac:dyDescent="0.3">
      <c r="J39785"/>
    </row>
    <row r="39786" spans="10:10" x14ac:dyDescent="0.3">
      <c r="J39786"/>
    </row>
    <row r="39787" spans="10:10" x14ac:dyDescent="0.3">
      <c r="J39787"/>
    </row>
    <row r="39788" spans="10:10" x14ac:dyDescent="0.3">
      <c r="J39788"/>
    </row>
    <row r="39789" spans="10:10" x14ac:dyDescent="0.3">
      <c r="J39789"/>
    </row>
    <row r="39790" spans="10:10" x14ac:dyDescent="0.3">
      <c r="J39790"/>
    </row>
    <row r="39791" spans="10:10" x14ac:dyDescent="0.3">
      <c r="J39791"/>
    </row>
    <row r="39792" spans="10:10" x14ac:dyDescent="0.3">
      <c r="J39792"/>
    </row>
    <row r="39793" spans="10:10" x14ac:dyDescent="0.3">
      <c r="J39793"/>
    </row>
    <row r="39794" spans="10:10" x14ac:dyDescent="0.3">
      <c r="J39794"/>
    </row>
    <row r="39795" spans="10:10" x14ac:dyDescent="0.3">
      <c r="J39795"/>
    </row>
    <row r="39796" spans="10:10" x14ac:dyDescent="0.3">
      <c r="J39796"/>
    </row>
    <row r="39797" spans="10:10" x14ac:dyDescent="0.3">
      <c r="J39797"/>
    </row>
    <row r="39798" spans="10:10" x14ac:dyDescent="0.3">
      <c r="J39798"/>
    </row>
    <row r="39799" spans="10:10" x14ac:dyDescent="0.3">
      <c r="J39799"/>
    </row>
    <row r="39800" spans="10:10" x14ac:dyDescent="0.3">
      <c r="J39800"/>
    </row>
    <row r="39801" spans="10:10" x14ac:dyDescent="0.3">
      <c r="J39801"/>
    </row>
    <row r="39802" spans="10:10" x14ac:dyDescent="0.3">
      <c r="J39802"/>
    </row>
    <row r="39803" spans="10:10" x14ac:dyDescent="0.3">
      <c r="J39803"/>
    </row>
    <row r="39804" spans="10:10" x14ac:dyDescent="0.3">
      <c r="J39804"/>
    </row>
    <row r="39805" spans="10:10" x14ac:dyDescent="0.3">
      <c r="J39805"/>
    </row>
    <row r="39806" spans="10:10" x14ac:dyDescent="0.3">
      <c r="J39806"/>
    </row>
    <row r="39807" spans="10:10" x14ac:dyDescent="0.3">
      <c r="J39807"/>
    </row>
    <row r="39808" spans="10:10" x14ac:dyDescent="0.3">
      <c r="J39808"/>
    </row>
    <row r="39809" spans="10:10" x14ac:dyDescent="0.3">
      <c r="J39809"/>
    </row>
    <row r="39810" spans="10:10" x14ac:dyDescent="0.3">
      <c r="J39810"/>
    </row>
    <row r="39811" spans="10:10" x14ac:dyDescent="0.3">
      <c r="J39811"/>
    </row>
    <row r="39812" spans="10:10" x14ac:dyDescent="0.3">
      <c r="J39812"/>
    </row>
    <row r="39813" spans="10:10" x14ac:dyDescent="0.3">
      <c r="J39813"/>
    </row>
    <row r="39814" spans="10:10" x14ac:dyDescent="0.3">
      <c r="J39814"/>
    </row>
    <row r="39815" spans="10:10" x14ac:dyDescent="0.3">
      <c r="J39815"/>
    </row>
    <row r="39816" spans="10:10" x14ac:dyDescent="0.3">
      <c r="J39816"/>
    </row>
    <row r="39817" spans="10:10" x14ac:dyDescent="0.3">
      <c r="J39817"/>
    </row>
    <row r="39818" spans="10:10" x14ac:dyDescent="0.3">
      <c r="J39818"/>
    </row>
    <row r="39819" spans="10:10" x14ac:dyDescent="0.3">
      <c r="J39819"/>
    </row>
    <row r="39820" spans="10:10" x14ac:dyDescent="0.3">
      <c r="J39820"/>
    </row>
    <row r="39821" spans="10:10" x14ac:dyDescent="0.3">
      <c r="J39821"/>
    </row>
    <row r="39822" spans="10:10" x14ac:dyDescent="0.3">
      <c r="J39822"/>
    </row>
    <row r="39823" spans="10:10" x14ac:dyDescent="0.3">
      <c r="J39823"/>
    </row>
    <row r="39824" spans="10:10" x14ac:dyDescent="0.3">
      <c r="J39824"/>
    </row>
    <row r="39825" spans="10:10" x14ac:dyDescent="0.3">
      <c r="J39825"/>
    </row>
    <row r="39826" spans="10:10" x14ac:dyDescent="0.3">
      <c r="J39826"/>
    </row>
    <row r="39827" spans="10:10" x14ac:dyDescent="0.3">
      <c r="J39827"/>
    </row>
    <row r="39828" spans="10:10" x14ac:dyDescent="0.3">
      <c r="J39828"/>
    </row>
    <row r="39829" spans="10:10" x14ac:dyDescent="0.3">
      <c r="J39829"/>
    </row>
    <row r="39830" spans="10:10" x14ac:dyDescent="0.3">
      <c r="J39830"/>
    </row>
    <row r="39831" spans="10:10" x14ac:dyDescent="0.3">
      <c r="J39831"/>
    </row>
    <row r="39832" spans="10:10" x14ac:dyDescent="0.3">
      <c r="J39832"/>
    </row>
    <row r="39833" spans="10:10" x14ac:dyDescent="0.3">
      <c r="J39833"/>
    </row>
    <row r="39834" spans="10:10" x14ac:dyDescent="0.3">
      <c r="J39834"/>
    </row>
    <row r="39835" spans="10:10" x14ac:dyDescent="0.3">
      <c r="J39835"/>
    </row>
    <row r="39836" spans="10:10" x14ac:dyDescent="0.3">
      <c r="J39836"/>
    </row>
    <row r="39837" spans="10:10" x14ac:dyDescent="0.3">
      <c r="J39837"/>
    </row>
    <row r="39838" spans="10:10" x14ac:dyDescent="0.3">
      <c r="J39838"/>
    </row>
    <row r="39839" spans="10:10" x14ac:dyDescent="0.3">
      <c r="J39839"/>
    </row>
    <row r="39840" spans="10:10" x14ac:dyDescent="0.3">
      <c r="J39840"/>
    </row>
    <row r="39841" spans="10:10" x14ac:dyDescent="0.3">
      <c r="J39841"/>
    </row>
    <row r="39842" spans="10:10" x14ac:dyDescent="0.3">
      <c r="J39842"/>
    </row>
    <row r="39843" spans="10:10" x14ac:dyDescent="0.3">
      <c r="J39843"/>
    </row>
    <row r="39844" spans="10:10" x14ac:dyDescent="0.3">
      <c r="J39844"/>
    </row>
    <row r="39845" spans="10:10" x14ac:dyDescent="0.3">
      <c r="J39845"/>
    </row>
    <row r="39846" spans="10:10" x14ac:dyDescent="0.3">
      <c r="J39846"/>
    </row>
    <row r="39847" spans="10:10" x14ac:dyDescent="0.3">
      <c r="J39847"/>
    </row>
    <row r="39848" spans="10:10" x14ac:dyDescent="0.3">
      <c r="J39848"/>
    </row>
    <row r="39849" spans="10:10" x14ac:dyDescent="0.3">
      <c r="J39849"/>
    </row>
    <row r="39850" spans="10:10" x14ac:dyDescent="0.3">
      <c r="J39850"/>
    </row>
    <row r="39851" spans="10:10" x14ac:dyDescent="0.3">
      <c r="J39851"/>
    </row>
    <row r="39852" spans="10:10" x14ac:dyDescent="0.3">
      <c r="J39852"/>
    </row>
    <row r="39853" spans="10:10" x14ac:dyDescent="0.3">
      <c r="J39853"/>
    </row>
    <row r="39854" spans="10:10" x14ac:dyDescent="0.3">
      <c r="J39854"/>
    </row>
    <row r="39855" spans="10:10" x14ac:dyDescent="0.3">
      <c r="J39855"/>
    </row>
    <row r="39856" spans="10:10" x14ac:dyDescent="0.3">
      <c r="J39856"/>
    </row>
    <row r="39857" spans="10:10" x14ac:dyDescent="0.3">
      <c r="J39857"/>
    </row>
    <row r="39858" spans="10:10" x14ac:dyDescent="0.3">
      <c r="J39858"/>
    </row>
    <row r="39859" spans="10:10" x14ac:dyDescent="0.3">
      <c r="J39859"/>
    </row>
    <row r="39860" spans="10:10" x14ac:dyDescent="0.3">
      <c r="J39860"/>
    </row>
    <row r="39861" spans="10:10" x14ac:dyDescent="0.3">
      <c r="J39861"/>
    </row>
    <row r="39862" spans="10:10" x14ac:dyDescent="0.3">
      <c r="J39862"/>
    </row>
    <row r="39863" spans="10:10" x14ac:dyDescent="0.3">
      <c r="J39863"/>
    </row>
    <row r="39864" spans="10:10" x14ac:dyDescent="0.3">
      <c r="J39864"/>
    </row>
    <row r="39865" spans="10:10" x14ac:dyDescent="0.3">
      <c r="J39865"/>
    </row>
    <row r="39866" spans="10:10" x14ac:dyDescent="0.3">
      <c r="J39866"/>
    </row>
    <row r="39867" spans="10:10" x14ac:dyDescent="0.3">
      <c r="J39867"/>
    </row>
    <row r="39868" spans="10:10" x14ac:dyDescent="0.3">
      <c r="J39868"/>
    </row>
    <row r="39869" spans="10:10" x14ac:dyDescent="0.3">
      <c r="J39869"/>
    </row>
    <row r="39870" spans="10:10" x14ac:dyDescent="0.3">
      <c r="J39870"/>
    </row>
    <row r="39871" spans="10:10" x14ac:dyDescent="0.3">
      <c r="J39871"/>
    </row>
    <row r="39872" spans="10:10" x14ac:dyDescent="0.3">
      <c r="J39872"/>
    </row>
    <row r="39873" spans="10:10" x14ac:dyDescent="0.3">
      <c r="J39873"/>
    </row>
    <row r="39874" spans="10:10" x14ac:dyDescent="0.3">
      <c r="J39874"/>
    </row>
    <row r="39875" spans="10:10" x14ac:dyDescent="0.3">
      <c r="J39875"/>
    </row>
    <row r="39876" spans="10:10" x14ac:dyDescent="0.3">
      <c r="J39876"/>
    </row>
    <row r="39877" spans="10:10" x14ac:dyDescent="0.3">
      <c r="J39877"/>
    </row>
    <row r="39878" spans="10:10" x14ac:dyDescent="0.3">
      <c r="J39878"/>
    </row>
    <row r="39879" spans="10:10" x14ac:dyDescent="0.3">
      <c r="J39879"/>
    </row>
    <row r="39880" spans="10:10" x14ac:dyDescent="0.3">
      <c r="J39880"/>
    </row>
    <row r="39881" spans="10:10" x14ac:dyDescent="0.3">
      <c r="J39881"/>
    </row>
    <row r="39882" spans="10:10" x14ac:dyDescent="0.3">
      <c r="J39882"/>
    </row>
    <row r="39883" spans="10:10" x14ac:dyDescent="0.3">
      <c r="J39883"/>
    </row>
    <row r="39884" spans="10:10" x14ac:dyDescent="0.3">
      <c r="J39884"/>
    </row>
    <row r="39885" spans="10:10" x14ac:dyDescent="0.3">
      <c r="J39885"/>
    </row>
    <row r="39886" spans="10:10" x14ac:dyDescent="0.3">
      <c r="J39886"/>
    </row>
    <row r="39887" spans="10:10" x14ac:dyDescent="0.3">
      <c r="J39887"/>
    </row>
    <row r="39888" spans="10:10" x14ac:dyDescent="0.3">
      <c r="J39888"/>
    </row>
    <row r="39889" spans="10:10" x14ac:dyDescent="0.3">
      <c r="J39889"/>
    </row>
    <row r="39890" spans="10:10" x14ac:dyDescent="0.3">
      <c r="J39890"/>
    </row>
    <row r="39891" spans="10:10" x14ac:dyDescent="0.3">
      <c r="J39891"/>
    </row>
    <row r="39892" spans="10:10" x14ac:dyDescent="0.3">
      <c r="J39892"/>
    </row>
    <row r="39893" spans="10:10" x14ac:dyDescent="0.3">
      <c r="J39893"/>
    </row>
    <row r="39894" spans="10:10" x14ac:dyDescent="0.3">
      <c r="J39894"/>
    </row>
    <row r="39895" spans="10:10" x14ac:dyDescent="0.3">
      <c r="J39895"/>
    </row>
    <row r="39896" spans="10:10" x14ac:dyDescent="0.3">
      <c r="J39896"/>
    </row>
    <row r="39897" spans="10:10" x14ac:dyDescent="0.3">
      <c r="J39897"/>
    </row>
    <row r="39898" spans="10:10" x14ac:dyDescent="0.3">
      <c r="J39898"/>
    </row>
    <row r="39899" spans="10:10" x14ac:dyDescent="0.3">
      <c r="J39899"/>
    </row>
    <row r="39900" spans="10:10" x14ac:dyDescent="0.3">
      <c r="J39900"/>
    </row>
    <row r="39901" spans="10:10" x14ac:dyDescent="0.3">
      <c r="J39901"/>
    </row>
    <row r="39902" spans="10:10" x14ac:dyDescent="0.3">
      <c r="J39902"/>
    </row>
    <row r="39903" spans="10:10" x14ac:dyDescent="0.3">
      <c r="J39903"/>
    </row>
    <row r="39904" spans="10:10" x14ac:dyDescent="0.3">
      <c r="J39904"/>
    </row>
    <row r="39905" spans="10:10" x14ac:dyDescent="0.3">
      <c r="J39905"/>
    </row>
    <row r="39906" spans="10:10" x14ac:dyDescent="0.3">
      <c r="J39906"/>
    </row>
    <row r="39907" spans="10:10" x14ac:dyDescent="0.3">
      <c r="J39907"/>
    </row>
    <row r="39908" spans="10:10" x14ac:dyDescent="0.3">
      <c r="J39908"/>
    </row>
    <row r="39909" spans="10:10" x14ac:dyDescent="0.3">
      <c r="J39909"/>
    </row>
    <row r="39910" spans="10:10" x14ac:dyDescent="0.3">
      <c r="J39910"/>
    </row>
    <row r="39911" spans="10:10" x14ac:dyDescent="0.3">
      <c r="J39911"/>
    </row>
    <row r="39912" spans="10:10" x14ac:dyDescent="0.3">
      <c r="J39912"/>
    </row>
    <row r="39913" spans="10:10" x14ac:dyDescent="0.3">
      <c r="J39913"/>
    </row>
    <row r="39914" spans="10:10" x14ac:dyDescent="0.3">
      <c r="J39914"/>
    </row>
    <row r="39915" spans="10:10" x14ac:dyDescent="0.3">
      <c r="J39915"/>
    </row>
    <row r="39916" spans="10:10" x14ac:dyDescent="0.3">
      <c r="J39916"/>
    </row>
    <row r="39917" spans="10:10" x14ac:dyDescent="0.3">
      <c r="J39917"/>
    </row>
    <row r="39918" spans="10:10" x14ac:dyDescent="0.3">
      <c r="J39918"/>
    </row>
    <row r="39919" spans="10:10" x14ac:dyDescent="0.3">
      <c r="J39919"/>
    </row>
    <row r="39920" spans="10:10" x14ac:dyDescent="0.3">
      <c r="J39920"/>
    </row>
    <row r="39921" spans="10:10" x14ac:dyDescent="0.3">
      <c r="J39921"/>
    </row>
    <row r="39922" spans="10:10" x14ac:dyDescent="0.3">
      <c r="J39922"/>
    </row>
    <row r="39923" spans="10:10" x14ac:dyDescent="0.3">
      <c r="J39923"/>
    </row>
    <row r="39924" spans="10:10" x14ac:dyDescent="0.3">
      <c r="J39924"/>
    </row>
    <row r="39925" spans="10:10" x14ac:dyDescent="0.3">
      <c r="J39925"/>
    </row>
    <row r="39926" spans="10:10" x14ac:dyDescent="0.3">
      <c r="J39926"/>
    </row>
    <row r="39927" spans="10:10" x14ac:dyDescent="0.3">
      <c r="J39927"/>
    </row>
    <row r="39928" spans="10:10" x14ac:dyDescent="0.3">
      <c r="J39928"/>
    </row>
    <row r="39929" spans="10:10" x14ac:dyDescent="0.3">
      <c r="J39929"/>
    </row>
    <row r="39930" spans="10:10" x14ac:dyDescent="0.3">
      <c r="J39930"/>
    </row>
    <row r="39931" spans="10:10" x14ac:dyDescent="0.3">
      <c r="J39931"/>
    </row>
    <row r="39932" spans="10:10" x14ac:dyDescent="0.3">
      <c r="J39932"/>
    </row>
    <row r="39933" spans="10:10" x14ac:dyDescent="0.3">
      <c r="J39933"/>
    </row>
    <row r="39934" spans="10:10" x14ac:dyDescent="0.3">
      <c r="J39934"/>
    </row>
    <row r="39935" spans="10:10" x14ac:dyDescent="0.3">
      <c r="J39935"/>
    </row>
    <row r="39936" spans="10:10" x14ac:dyDescent="0.3">
      <c r="J39936"/>
    </row>
    <row r="39937" spans="10:10" x14ac:dyDescent="0.3">
      <c r="J39937"/>
    </row>
    <row r="39938" spans="10:10" x14ac:dyDescent="0.3">
      <c r="J39938"/>
    </row>
    <row r="39939" spans="10:10" x14ac:dyDescent="0.3">
      <c r="J39939"/>
    </row>
    <row r="39940" spans="10:10" x14ac:dyDescent="0.3">
      <c r="J39940"/>
    </row>
    <row r="39941" spans="10:10" x14ac:dyDescent="0.3">
      <c r="J39941"/>
    </row>
    <row r="39942" spans="10:10" x14ac:dyDescent="0.3">
      <c r="J39942"/>
    </row>
    <row r="39943" spans="10:10" x14ac:dyDescent="0.3">
      <c r="J39943"/>
    </row>
    <row r="39944" spans="10:10" x14ac:dyDescent="0.3">
      <c r="J39944"/>
    </row>
    <row r="39945" spans="10:10" x14ac:dyDescent="0.3">
      <c r="J39945"/>
    </row>
    <row r="39946" spans="10:10" x14ac:dyDescent="0.3">
      <c r="J39946"/>
    </row>
    <row r="39947" spans="10:10" x14ac:dyDescent="0.3">
      <c r="J39947"/>
    </row>
    <row r="39948" spans="10:10" x14ac:dyDescent="0.3">
      <c r="J39948"/>
    </row>
    <row r="39949" spans="10:10" x14ac:dyDescent="0.3">
      <c r="J39949"/>
    </row>
    <row r="39950" spans="10:10" x14ac:dyDescent="0.3">
      <c r="J39950"/>
    </row>
    <row r="39951" spans="10:10" x14ac:dyDescent="0.3">
      <c r="J39951"/>
    </row>
    <row r="39952" spans="10:10" x14ac:dyDescent="0.3">
      <c r="J39952"/>
    </row>
    <row r="39953" spans="10:10" x14ac:dyDescent="0.3">
      <c r="J39953"/>
    </row>
    <row r="39954" spans="10:10" x14ac:dyDescent="0.3">
      <c r="J39954"/>
    </row>
    <row r="39955" spans="10:10" x14ac:dyDescent="0.3">
      <c r="J39955"/>
    </row>
    <row r="39956" spans="10:10" x14ac:dyDescent="0.3">
      <c r="J39956"/>
    </row>
    <row r="39957" spans="10:10" x14ac:dyDescent="0.3">
      <c r="J39957"/>
    </row>
    <row r="39958" spans="10:10" x14ac:dyDescent="0.3">
      <c r="J39958"/>
    </row>
    <row r="39959" spans="10:10" x14ac:dyDescent="0.3">
      <c r="J39959"/>
    </row>
    <row r="39960" spans="10:10" x14ac:dyDescent="0.3">
      <c r="J39960"/>
    </row>
    <row r="39961" spans="10:10" x14ac:dyDescent="0.3">
      <c r="J39961"/>
    </row>
    <row r="39962" spans="10:10" x14ac:dyDescent="0.3">
      <c r="J39962"/>
    </row>
    <row r="39963" spans="10:10" x14ac:dyDescent="0.3">
      <c r="J39963"/>
    </row>
    <row r="39964" spans="10:10" x14ac:dyDescent="0.3">
      <c r="J39964"/>
    </row>
    <row r="39965" spans="10:10" x14ac:dyDescent="0.3">
      <c r="J39965"/>
    </row>
    <row r="39966" spans="10:10" x14ac:dyDescent="0.3">
      <c r="J39966"/>
    </row>
    <row r="39967" spans="10:10" x14ac:dyDescent="0.3">
      <c r="J39967"/>
    </row>
    <row r="39968" spans="10:10" x14ac:dyDescent="0.3">
      <c r="J39968"/>
    </row>
    <row r="39969" spans="10:10" x14ac:dyDescent="0.3">
      <c r="J39969"/>
    </row>
    <row r="39970" spans="10:10" x14ac:dyDescent="0.3">
      <c r="J39970"/>
    </row>
    <row r="39971" spans="10:10" x14ac:dyDescent="0.3">
      <c r="J39971"/>
    </row>
    <row r="39972" spans="10:10" x14ac:dyDescent="0.3">
      <c r="J39972"/>
    </row>
    <row r="39973" spans="10:10" x14ac:dyDescent="0.3">
      <c r="J39973"/>
    </row>
    <row r="39974" spans="10:10" x14ac:dyDescent="0.3">
      <c r="J39974"/>
    </row>
    <row r="39975" spans="10:10" x14ac:dyDescent="0.3">
      <c r="J39975"/>
    </row>
    <row r="39976" spans="10:10" x14ac:dyDescent="0.3">
      <c r="J39976"/>
    </row>
    <row r="39977" spans="10:10" x14ac:dyDescent="0.3">
      <c r="J39977"/>
    </row>
    <row r="39978" spans="10:10" x14ac:dyDescent="0.3">
      <c r="J39978"/>
    </row>
    <row r="39979" spans="10:10" x14ac:dyDescent="0.3">
      <c r="J39979"/>
    </row>
    <row r="39980" spans="10:10" x14ac:dyDescent="0.3">
      <c r="J39980"/>
    </row>
    <row r="39981" spans="10:10" x14ac:dyDescent="0.3">
      <c r="J39981"/>
    </row>
    <row r="39982" spans="10:10" x14ac:dyDescent="0.3">
      <c r="J39982"/>
    </row>
    <row r="39983" spans="10:10" x14ac:dyDescent="0.3">
      <c r="J39983"/>
    </row>
    <row r="39984" spans="10:10" x14ac:dyDescent="0.3">
      <c r="J39984"/>
    </row>
    <row r="39985" spans="10:10" x14ac:dyDescent="0.3">
      <c r="J39985"/>
    </row>
    <row r="39986" spans="10:10" x14ac:dyDescent="0.3">
      <c r="J39986"/>
    </row>
    <row r="39987" spans="10:10" x14ac:dyDescent="0.3">
      <c r="J39987"/>
    </row>
    <row r="39988" spans="10:10" x14ac:dyDescent="0.3">
      <c r="J39988"/>
    </row>
    <row r="39989" spans="10:10" x14ac:dyDescent="0.3">
      <c r="J39989"/>
    </row>
    <row r="39990" spans="10:10" x14ac:dyDescent="0.3">
      <c r="J39990"/>
    </row>
    <row r="39991" spans="10:10" x14ac:dyDescent="0.3">
      <c r="J39991"/>
    </row>
    <row r="39992" spans="10:10" x14ac:dyDescent="0.3">
      <c r="J39992"/>
    </row>
    <row r="39993" spans="10:10" x14ac:dyDescent="0.3">
      <c r="J39993"/>
    </row>
    <row r="39994" spans="10:10" x14ac:dyDescent="0.3">
      <c r="J39994"/>
    </row>
    <row r="39995" spans="10:10" x14ac:dyDescent="0.3">
      <c r="J39995"/>
    </row>
    <row r="39996" spans="10:10" x14ac:dyDescent="0.3">
      <c r="J39996"/>
    </row>
    <row r="39997" spans="10:10" x14ac:dyDescent="0.3">
      <c r="J39997"/>
    </row>
    <row r="39998" spans="10:10" x14ac:dyDescent="0.3">
      <c r="J39998"/>
    </row>
    <row r="39999" spans="10:10" x14ac:dyDescent="0.3">
      <c r="J39999"/>
    </row>
    <row r="40000" spans="10:10" x14ac:dyDescent="0.3">
      <c r="J40000"/>
    </row>
    <row r="40001" spans="10:10" x14ac:dyDescent="0.3">
      <c r="J40001"/>
    </row>
    <row r="40002" spans="10:10" x14ac:dyDescent="0.3">
      <c r="J40002"/>
    </row>
    <row r="40003" spans="10:10" x14ac:dyDescent="0.3">
      <c r="J40003"/>
    </row>
    <row r="40004" spans="10:10" x14ac:dyDescent="0.3">
      <c r="J40004"/>
    </row>
    <row r="40005" spans="10:10" x14ac:dyDescent="0.3">
      <c r="J40005"/>
    </row>
    <row r="40006" spans="10:10" x14ac:dyDescent="0.3">
      <c r="J40006"/>
    </row>
    <row r="40007" spans="10:10" x14ac:dyDescent="0.3">
      <c r="J40007"/>
    </row>
    <row r="40008" spans="10:10" x14ac:dyDescent="0.3">
      <c r="J40008"/>
    </row>
    <row r="40009" spans="10:10" x14ac:dyDescent="0.3">
      <c r="J40009"/>
    </row>
    <row r="40010" spans="10:10" x14ac:dyDescent="0.3">
      <c r="J40010"/>
    </row>
    <row r="40011" spans="10:10" x14ac:dyDescent="0.3">
      <c r="J40011"/>
    </row>
    <row r="40012" spans="10:10" x14ac:dyDescent="0.3">
      <c r="J40012"/>
    </row>
    <row r="40013" spans="10:10" x14ac:dyDescent="0.3">
      <c r="J40013"/>
    </row>
    <row r="40014" spans="10:10" x14ac:dyDescent="0.3">
      <c r="J40014"/>
    </row>
    <row r="40015" spans="10:10" x14ac:dyDescent="0.3">
      <c r="J40015"/>
    </row>
    <row r="40016" spans="10:10" x14ac:dyDescent="0.3">
      <c r="J40016"/>
    </row>
    <row r="40017" spans="10:10" x14ac:dyDescent="0.3">
      <c r="J40017"/>
    </row>
    <row r="40018" spans="10:10" x14ac:dyDescent="0.3">
      <c r="J40018"/>
    </row>
    <row r="40019" spans="10:10" x14ac:dyDescent="0.3">
      <c r="J40019"/>
    </row>
    <row r="40020" spans="10:10" x14ac:dyDescent="0.3">
      <c r="J40020"/>
    </row>
    <row r="40021" spans="10:10" x14ac:dyDescent="0.3">
      <c r="J40021"/>
    </row>
    <row r="40022" spans="10:10" x14ac:dyDescent="0.3">
      <c r="J40022"/>
    </row>
    <row r="40023" spans="10:10" x14ac:dyDescent="0.3">
      <c r="J40023"/>
    </row>
    <row r="40024" spans="10:10" x14ac:dyDescent="0.3">
      <c r="J40024"/>
    </row>
    <row r="40025" spans="10:10" x14ac:dyDescent="0.3">
      <c r="J40025"/>
    </row>
    <row r="40026" spans="10:10" x14ac:dyDescent="0.3">
      <c r="J40026"/>
    </row>
    <row r="40027" spans="10:10" x14ac:dyDescent="0.3">
      <c r="J40027"/>
    </row>
    <row r="40028" spans="10:10" x14ac:dyDescent="0.3">
      <c r="J40028"/>
    </row>
    <row r="40029" spans="10:10" x14ac:dyDescent="0.3">
      <c r="J40029"/>
    </row>
    <row r="40030" spans="10:10" x14ac:dyDescent="0.3">
      <c r="J40030"/>
    </row>
    <row r="40031" spans="10:10" x14ac:dyDescent="0.3">
      <c r="J40031"/>
    </row>
    <row r="40032" spans="10:10" x14ac:dyDescent="0.3">
      <c r="J40032"/>
    </row>
    <row r="40033" spans="10:10" x14ac:dyDescent="0.3">
      <c r="J40033"/>
    </row>
    <row r="40034" spans="10:10" x14ac:dyDescent="0.3">
      <c r="J40034"/>
    </row>
    <row r="40035" spans="10:10" x14ac:dyDescent="0.3">
      <c r="J40035"/>
    </row>
    <row r="40036" spans="10:10" x14ac:dyDescent="0.3">
      <c r="J40036"/>
    </row>
    <row r="40037" spans="10:10" x14ac:dyDescent="0.3">
      <c r="J40037"/>
    </row>
    <row r="40038" spans="10:10" x14ac:dyDescent="0.3">
      <c r="J40038"/>
    </row>
    <row r="40039" spans="10:10" x14ac:dyDescent="0.3">
      <c r="J40039"/>
    </row>
    <row r="40040" spans="10:10" x14ac:dyDescent="0.3">
      <c r="J40040"/>
    </row>
    <row r="40041" spans="10:10" x14ac:dyDescent="0.3">
      <c r="J40041"/>
    </row>
    <row r="40042" spans="10:10" x14ac:dyDescent="0.3">
      <c r="J40042"/>
    </row>
    <row r="40043" spans="10:10" x14ac:dyDescent="0.3">
      <c r="J40043"/>
    </row>
    <row r="40044" spans="10:10" x14ac:dyDescent="0.3">
      <c r="J40044"/>
    </row>
    <row r="40045" spans="10:10" x14ac:dyDescent="0.3">
      <c r="J40045"/>
    </row>
    <row r="40046" spans="10:10" x14ac:dyDescent="0.3">
      <c r="J40046"/>
    </row>
    <row r="40047" spans="10:10" x14ac:dyDescent="0.3">
      <c r="J40047"/>
    </row>
    <row r="40048" spans="10:10" x14ac:dyDescent="0.3">
      <c r="J40048"/>
    </row>
    <row r="40049" spans="10:10" x14ac:dyDescent="0.3">
      <c r="J40049"/>
    </row>
    <row r="40050" spans="10:10" x14ac:dyDescent="0.3">
      <c r="J40050"/>
    </row>
    <row r="40051" spans="10:10" x14ac:dyDescent="0.3">
      <c r="J40051"/>
    </row>
    <row r="40052" spans="10:10" x14ac:dyDescent="0.3">
      <c r="J40052"/>
    </row>
    <row r="40053" spans="10:10" x14ac:dyDescent="0.3">
      <c r="J40053"/>
    </row>
    <row r="40054" spans="10:10" x14ac:dyDescent="0.3">
      <c r="J40054"/>
    </row>
    <row r="40055" spans="10:10" x14ac:dyDescent="0.3">
      <c r="J40055"/>
    </row>
    <row r="40056" spans="10:10" x14ac:dyDescent="0.3">
      <c r="J40056"/>
    </row>
    <row r="40057" spans="10:10" x14ac:dyDescent="0.3">
      <c r="J40057"/>
    </row>
    <row r="40058" spans="10:10" x14ac:dyDescent="0.3">
      <c r="J40058"/>
    </row>
    <row r="40059" spans="10:10" x14ac:dyDescent="0.3">
      <c r="J40059"/>
    </row>
    <row r="40060" spans="10:10" x14ac:dyDescent="0.3">
      <c r="J40060"/>
    </row>
    <row r="40061" spans="10:10" x14ac:dyDescent="0.3">
      <c r="J40061"/>
    </row>
    <row r="40062" spans="10:10" x14ac:dyDescent="0.3">
      <c r="J40062"/>
    </row>
    <row r="40063" spans="10:10" x14ac:dyDescent="0.3">
      <c r="J40063"/>
    </row>
    <row r="40064" spans="10:10" x14ac:dyDescent="0.3">
      <c r="J40064"/>
    </row>
    <row r="40065" spans="10:10" x14ac:dyDescent="0.3">
      <c r="J40065"/>
    </row>
    <row r="40066" spans="10:10" x14ac:dyDescent="0.3">
      <c r="J40066"/>
    </row>
    <row r="40067" spans="10:10" x14ac:dyDescent="0.3">
      <c r="J40067"/>
    </row>
    <row r="40068" spans="10:10" x14ac:dyDescent="0.3">
      <c r="J40068"/>
    </row>
    <row r="40069" spans="10:10" x14ac:dyDescent="0.3">
      <c r="J40069"/>
    </row>
    <row r="40070" spans="10:10" x14ac:dyDescent="0.3">
      <c r="J40070"/>
    </row>
    <row r="40071" spans="10:10" x14ac:dyDescent="0.3">
      <c r="J40071"/>
    </row>
    <row r="40072" spans="10:10" x14ac:dyDescent="0.3">
      <c r="J40072"/>
    </row>
    <row r="40073" spans="10:10" x14ac:dyDescent="0.3">
      <c r="J40073"/>
    </row>
    <row r="40074" spans="10:10" x14ac:dyDescent="0.3">
      <c r="J40074"/>
    </row>
    <row r="40075" spans="10:10" x14ac:dyDescent="0.3">
      <c r="J40075"/>
    </row>
    <row r="40076" spans="10:10" x14ac:dyDescent="0.3">
      <c r="J40076"/>
    </row>
    <row r="40077" spans="10:10" x14ac:dyDescent="0.3">
      <c r="J40077"/>
    </row>
    <row r="40078" spans="10:10" x14ac:dyDescent="0.3">
      <c r="J40078"/>
    </row>
    <row r="40079" spans="10:10" x14ac:dyDescent="0.3">
      <c r="J40079"/>
    </row>
    <row r="40080" spans="10:10" x14ac:dyDescent="0.3">
      <c r="J40080"/>
    </row>
    <row r="40081" spans="10:10" x14ac:dyDescent="0.3">
      <c r="J40081"/>
    </row>
    <row r="40082" spans="10:10" x14ac:dyDescent="0.3">
      <c r="J40082"/>
    </row>
    <row r="40083" spans="10:10" x14ac:dyDescent="0.3">
      <c r="J40083"/>
    </row>
    <row r="40084" spans="10:10" x14ac:dyDescent="0.3">
      <c r="J40084"/>
    </row>
    <row r="40085" spans="10:10" x14ac:dyDescent="0.3">
      <c r="J40085"/>
    </row>
    <row r="40086" spans="10:10" x14ac:dyDescent="0.3">
      <c r="J40086"/>
    </row>
    <row r="40087" spans="10:10" x14ac:dyDescent="0.3">
      <c r="J40087"/>
    </row>
    <row r="40088" spans="10:10" x14ac:dyDescent="0.3">
      <c r="J40088"/>
    </row>
    <row r="40089" spans="10:10" x14ac:dyDescent="0.3">
      <c r="J40089"/>
    </row>
    <row r="40090" spans="10:10" x14ac:dyDescent="0.3">
      <c r="J40090"/>
    </row>
    <row r="40091" spans="10:10" x14ac:dyDescent="0.3">
      <c r="J40091"/>
    </row>
    <row r="40092" spans="10:10" x14ac:dyDescent="0.3">
      <c r="J40092"/>
    </row>
    <row r="40093" spans="10:10" x14ac:dyDescent="0.3">
      <c r="J40093"/>
    </row>
    <row r="40094" spans="10:10" x14ac:dyDescent="0.3">
      <c r="J40094"/>
    </row>
    <row r="40095" spans="10:10" x14ac:dyDescent="0.3">
      <c r="J40095"/>
    </row>
    <row r="40096" spans="10:10" x14ac:dyDescent="0.3">
      <c r="J40096"/>
    </row>
    <row r="40097" spans="10:10" x14ac:dyDescent="0.3">
      <c r="J40097"/>
    </row>
    <row r="40098" spans="10:10" x14ac:dyDescent="0.3">
      <c r="J40098"/>
    </row>
    <row r="40099" spans="10:10" x14ac:dyDescent="0.3">
      <c r="J40099"/>
    </row>
    <row r="40100" spans="10:10" x14ac:dyDescent="0.3">
      <c r="J40100"/>
    </row>
    <row r="40101" spans="10:10" x14ac:dyDescent="0.3">
      <c r="J40101"/>
    </row>
    <row r="40102" spans="10:10" x14ac:dyDescent="0.3">
      <c r="J40102"/>
    </row>
    <row r="40103" spans="10:10" x14ac:dyDescent="0.3">
      <c r="J40103"/>
    </row>
    <row r="40104" spans="10:10" x14ac:dyDescent="0.3">
      <c r="J40104"/>
    </row>
    <row r="40105" spans="10:10" x14ac:dyDescent="0.3">
      <c r="J40105"/>
    </row>
    <row r="40106" spans="10:10" x14ac:dyDescent="0.3">
      <c r="J40106"/>
    </row>
    <row r="40107" spans="10:10" x14ac:dyDescent="0.3">
      <c r="J40107"/>
    </row>
    <row r="40108" spans="10:10" x14ac:dyDescent="0.3">
      <c r="J40108"/>
    </row>
    <row r="40109" spans="10:10" x14ac:dyDescent="0.3">
      <c r="J40109"/>
    </row>
    <row r="40110" spans="10:10" x14ac:dyDescent="0.3">
      <c r="J40110"/>
    </row>
    <row r="40111" spans="10:10" x14ac:dyDescent="0.3">
      <c r="J40111"/>
    </row>
    <row r="40112" spans="10:10" x14ac:dyDescent="0.3">
      <c r="J40112"/>
    </row>
    <row r="40113" spans="10:10" x14ac:dyDescent="0.3">
      <c r="J40113"/>
    </row>
    <row r="40114" spans="10:10" x14ac:dyDescent="0.3">
      <c r="J40114"/>
    </row>
    <row r="40115" spans="10:10" x14ac:dyDescent="0.3">
      <c r="J40115"/>
    </row>
    <row r="40116" spans="10:10" x14ac:dyDescent="0.3">
      <c r="J40116"/>
    </row>
    <row r="40117" spans="10:10" x14ac:dyDescent="0.3">
      <c r="J40117"/>
    </row>
    <row r="40118" spans="10:10" x14ac:dyDescent="0.3">
      <c r="J40118"/>
    </row>
    <row r="40119" spans="10:10" x14ac:dyDescent="0.3">
      <c r="J40119"/>
    </row>
    <row r="40120" spans="10:10" x14ac:dyDescent="0.3">
      <c r="J40120"/>
    </row>
    <row r="40121" spans="10:10" x14ac:dyDescent="0.3">
      <c r="J40121"/>
    </row>
    <row r="40122" spans="10:10" x14ac:dyDescent="0.3">
      <c r="J40122"/>
    </row>
    <row r="40123" spans="10:10" x14ac:dyDescent="0.3">
      <c r="J40123"/>
    </row>
    <row r="40124" spans="10:10" x14ac:dyDescent="0.3">
      <c r="J40124"/>
    </row>
    <row r="40125" spans="10:10" x14ac:dyDescent="0.3">
      <c r="J40125"/>
    </row>
    <row r="40126" spans="10:10" x14ac:dyDescent="0.3">
      <c r="J40126"/>
    </row>
    <row r="40127" spans="10:10" x14ac:dyDescent="0.3">
      <c r="J40127"/>
    </row>
    <row r="40128" spans="10:10" x14ac:dyDescent="0.3">
      <c r="J40128"/>
    </row>
    <row r="40129" spans="10:10" x14ac:dyDescent="0.3">
      <c r="J40129"/>
    </row>
    <row r="40130" spans="10:10" x14ac:dyDescent="0.3">
      <c r="J40130"/>
    </row>
    <row r="40131" spans="10:10" x14ac:dyDescent="0.3">
      <c r="J40131"/>
    </row>
    <row r="40132" spans="10:10" x14ac:dyDescent="0.3">
      <c r="J40132"/>
    </row>
    <row r="40133" spans="10:10" x14ac:dyDescent="0.3">
      <c r="J40133"/>
    </row>
    <row r="40134" spans="10:10" x14ac:dyDescent="0.3">
      <c r="J40134"/>
    </row>
    <row r="40135" spans="10:10" x14ac:dyDescent="0.3">
      <c r="J40135"/>
    </row>
    <row r="40136" spans="10:10" x14ac:dyDescent="0.3">
      <c r="J40136"/>
    </row>
    <row r="40137" spans="10:10" x14ac:dyDescent="0.3">
      <c r="J40137"/>
    </row>
    <row r="40138" spans="10:10" x14ac:dyDescent="0.3">
      <c r="J40138"/>
    </row>
    <row r="40139" spans="10:10" x14ac:dyDescent="0.3">
      <c r="J40139"/>
    </row>
    <row r="40140" spans="10:10" x14ac:dyDescent="0.3">
      <c r="J40140"/>
    </row>
    <row r="40141" spans="10:10" x14ac:dyDescent="0.3">
      <c r="J40141"/>
    </row>
    <row r="40142" spans="10:10" x14ac:dyDescent="0.3">
      <c r="J40142"/>
    </row>
    <row r="40143" spans="10:10" x14ac:dyDescent="0.3">
      <c r="J40143"/>
    </row>
    <row r="40144" spans="10:10" x14ac:dyDescent="0.3">
      <c r="J40144"/>
    </row>
    <row r="40145" spans="10:10" x14ac:dyDescent="0.3">
      <c r="J40145"/>
    </row>
    <row r="40146" spans="10:10" x14ac:dyDescent="0.3">
      <c r="J40146"/>
    </row>
    <row r="40147" spans="10:10" x14ac:dyDescent="0.3">
      <c r="J40147"/>
    </row>
    <row r="40148" spans="10:10" x14ac:dyDescent="0.3">
      <c r="J40148"/>
    </row>
    <row r="40149" spans="10:10" x14ac:dyDescent="0.3">
      <c r="J40149"/>
    </row>
    <row r="40150" spans="10:10" x14ac:dyDescent="0.3">
      <c r="J40150"/>
    </row>
    <row r="40151" spans="10:10" x14ac:dyDescent="0.3">
      <c r="J40151"/>
    </row>
    <row r="40152" spans="10:10" x14ac:dyDescent="0.3">
      <c r="J40152"/>
    </row>
    <row r="40153" spans="10:10" x14ac:dyDescent="0.3">
      <c r="J40153"/>
    </row>
    <row r="40154" spans="10:10" x14ac:dyDescent="0.3">
      <c r="J40154"/>
    </row>
    <row r="40155" spans="10:10" x14ac:dyDescent="0.3">
      <c r="J40155"/>
    </row>
    <row r="40156" spans="10:10" x14ac:dyDescent="0.3">
      <c r="J40156"/>
    </row>
    <row r="40157" spans="10:10" x14ac:dyDescent="0.3">
      <c r="J40157"/>
    </row>
    <row r="40158" spans="10:10" x14ac:dyDescent="0.3">
      <c r="J40158"/>
    </row>
    <row r="40159" spans="10:10" x14ac:dyDescent="0.3">
      <c r="J40159"/>
    </row>
    <row r="40160" spans="10:10" x14ac:dyDescent="0.3">
      <c r="J40160"/>
    </row>
    <row r="40161" spans="10:10" x14ac:dyDescent="0.3">
      <c r="J40161"/>
    </row>
    <row r="40162" spans="10:10" x14ac:dyDescent="0.3">
      <c r="J40162"/>
    </row>
    <row r="40163" spans="10:10" x14ac:dyDescent="0.3">
      <c r="J40163"/>
    </row>
    <row r="40164" spans="10:10" x14ac:dyDescent="0.3">
      <c r="J40164"/>
    </row>
    <row r="40165" spans="10:10" x14ac:dyDescent="0.3">
      <c r="J40165"/>
    </row>
    <row r="40166" spans="10:10" x14ac:dyDescent="0.3">
      <c r="J40166"/>
    </row>
    <row r="40167" spans="10:10" x14ac:dyDescent="0.3">
      <c r="J40167"/>
    </row>
    <row r="40168" spans="10:10" x14ac:dyDescent="0.3">
      <c r="J40168"/>
    </row>
    <row r="40169" spans="10:10" x14ac:dyDescent="0.3">
      <c r="J40169"/>
    </row>
    <row r="40170" spans="10:10" x14ac:dyDescent="0.3">
      <c r="J40170"/>
    </row>
    <row r="40171" spans="10:10" x14ac:dyDescent="0.3">
      <c r="J40171"/>
    </row>
    <row r="40172" spans="10:10" x14ac:dyDescent="0.3">
      <c r="J40172"/>
    </row>
    <row r="40173" spans="10:10" x14ac:dyDescent="0.3">
      <c r="J40173"/>
    </row>
    <row r="40174" spans="10:10" x14ac:dyDescent="0.3">
      <c r="J40174"/>
    </row>
    <row r="40175" spans="10:10" x14ac:dyDescent="0.3">
      <c r="J40175"/>
    </row>
    <row r="40176" spans="10:10" x14ac:dyDescent="0.3">
      <c r="J40176"/>
    </row>
    <row r="40177" spans="10:10" x14ac:dyDescent="0.3">
      <c r="J40177"/>
    </row>
    <row r="40178" spans="10:10" x14ac:dyDescent="0.3">
      <c r="J40178"/>
    </row>
    <row r="40179" spans="10:10" x14ac:dyDescent="0.3">
      <c r="J40179"/>
    </row>
    <row r="40180" spans="10:10" x14ac:dyDescent="0.3">
      <c r="J40180"/>
    </row>
    <row r="40181" spans="10:10" x14ac:dyDescent="0.3">
      <c r="J40181"/>
    </row>
    <row r="40182" spans="10:10" x14ac:dyDescent="0.3">
      <c r="J40182"/>
    </row>
    <row r="40183" spans="10:10" x14ac:dyDescent="0.3">
      <c r="J40183"/>
    </row>
    <row r="40184" spans="10:10" x14ac:dyDescent="0.3">
      <c r="J40184"/>
    </row>
    <row r="40185" spans="10:10" x14ac:dyDescent="0.3">
      <c r="J40185"/>
    </row>
    <row r="40186" spans="10:10" x14ac:dyDescent="0.3">
      <c r="J40186"/>
    </row>
    <row r="40187" spans="10:10" x14ac:dyDescent="0.3">
      <c r="J40187"/>
    </row>
    <row r="40188" spans="10:10" x14ac:dyDescent="0.3">
      <c r="J40188"/>
    </row>
    <row r="40189" spans="10:10" x14ac:dyDescent="0.3">
      <c r="J40189"/>
    </row>
    <row r="40190" spans="10:10" x14ac:dyDescent="0.3">
      <c r="J40190"/>
    </row>
    <row r="40191" spans="10:10" x14ac:dyDescent="0.3">
      <c r="J40191"/>
    </row>
    <row r="40192" spans="10:10" x14ac:dyDescent="0.3">
      <c r="J40192"/>
    </row>
    <row r="40193" spans="10:10" x14ac:dyDescent="0.3">
      <c r="J40193"/>
    </row>
    <row r="40194" spans="10:10" x14ac:dyDescent="0.3">
      <c r="J40194"/>
    </row>
    <row r="40195" spans="10:10" x14ac:dyDescent="0.3">
      <c r="J40195"/>
    </row>
    <row r="40196" spans="10:10" x14ac:dyDescent="0.3">
      <c r="J40196"/>
    </row>
    <row r="40197" spans="10:10" x14ac:dyDescent="0.3">
      <c r="J40197"/>
    </row>
    <row r="40198" spans="10:10" x14ac:dyDescent="0.3">
      <c r="J40198"/>
    </row>
    <row r="40199" spans="10:10" x14ac:dyDescent="0.3">
      <c r="J40199"/>
    </row>
    <row r="40200" spans="10:10" x14ac:dyDescent="0.3">
      <c r="J40200"/>
    </row>
    <row r="40201" spans="10:10" x14ac:dyDescent="0.3">
      <c r="J40201"/>
    </row>
    <row r="40202" spans="10:10" x14ac:dyDescent="0.3">
      <c r="J40202"/>
    </row>
    <row r="40203" spans="10:10" x14ac:dyDescent="0.3">
      <c r="J40203"/>
    </row>
    <row r="40204" spans="10:10" x14ac:dyDescent="0.3">
      <c r="J40204"/>
    </row>
    <row r="40205" spans="10:10" x14ac:dyDescent="0.3">
      <c r="J40205"/>
    </row>
    <row r="40206" spans="10:10" x14ac:dyDescent="0.3">
      <c r="J40206"/>
    </row>
    <row r="40207" spans="10:10" x14ac:dyDescent="0.3">
      <c r="J40207"/>
    </row>
    <row r="40208" spans="10:10" x14ac:dyDescent="0.3">
      <c r="J40208"/>
    </row>
    <row r="40209" spans="10:10" x14ac:dyDescent="0.3">
      <c r="J40209"/>
    </row>
    <row r="40210" spans="10:10" x14ac:dyDescent="0.3">
      <c r="J40210"/>
    </row>
    <row r="40211" spans="10:10" x14ac:dyDescent="0.3">
      <c r="J40211"/>
    </row>
    <row r="40212" spans="10:10" x14ac:dyDescent="0.3">
      <c r="J40212"/>
    </row>
    <row r="40213" spans="10:10" x14ac:dyDescent="0.3">
      <c r="J40213"/>
    </row>
    <row r="40214" spans="10:10" x14ac:dyDescent="0.3">
      <c r="J40214"/>
    </row>
    <row r="40215" spans="10:10" x14ac:dyDescent="0.3">
      <c r="J40215"/>
    </row>
    <row r="40216" spans="10:10" x14ac:dyDescent="0.3">
      <c r="J40216"/>
    </row>
    <row r="40217" spans="10:10" x14ac:dyDescent="0.3">
      <c r="J40217"/>
    </row>
    <row r="40218" spans="10:10" x14ac:dyDescent="0.3">
      <c r="J40218"/>
    </row>
    <row r="40219" spans="10:10" x14ac:dyDescent="0.3">
      <c r="J40219"/>
    </row>
    <row r="40220" spans="10:10" x14ac:dyDescent="0.3">
      <c r="J40220"/>
    </row>
    <row r="40221" spans="10:10" x14ac:dyDescent="0.3">
      <c r="J40221"/>
    </row>
    <row r="40222" spans="10:10" x14ac:dyDescent="0.3">
      <c r="J40222"/>
    </row>
    <row r="40223" spans="10:10" x14ac:dyDescent="0.3">
      <c r="J40223"/>
    </row>
    <row r="40224" spans="10:10" x14ac:dyDescent="0.3">
      <c r="J40224"/>
    </row>
    <row r="40225" spans="10:10" x14ac:dyDescent="0.3">
      <c r="J40225"/>
    </row>
    <row r="40226" spans="10:10" x14ac:dyDescent="0.3">
      <c r="J40226"/>
    </row>
    <row r="40227" spans="10:10" x14ac:dyDescent="0.3">
      <c r="J40227"/>
    </row>
    <row r="40228" spans="10:10" x14ac:dyDescent="0.3">
      <c r="J40228"/>
    </row>
    <row r="40229" spans="10:10" x14ac:dyDescent="0.3">
      <c r="J40229"/>
    </row>
    <row r="40230" spans="10:10" x14ac:dyDescent="0.3">
      <c r="J40230"/>
    </row>
    <row r="40231" spans="10:10" x14ac:dyDescent="0.3">
      <c r="J40231"/>
    </row>
    <row r="40232" spans="10:10" x14ac:dyDescent="0.3">
      <c r="J40232"/>
    </row>
    <row r="40233" spans="10:10" x14ac:dyDescent="0.3">
      <c r="J40233"/>
    </row>
    <row r="40234" spans="10:10" x14ac:dyDescent="0.3">
      <c r="J40234"/>
    </row>
    <row r="40235" spans="10:10" x14ac:dyDescent="0.3">
      <c r="J40235"/>
    </row>
    <row r="40236" spans="10:10" x14ac:dyDescent="0.3">
      <c r="J40236"/>
    </row>
    <row r="40237" spans="10:10" x14ac:dyDescent="0.3">
      <c r="J40237"/>
    </row>
    <row r="40238" spans="10:10" x14ac:dyDescent="0.3">
      <c r="J40238"/>
    </row>
    <row r="40239" spans="10:10" x14ac:dyDescent="0.3">
      <c r="J40239"/>
    </row>
    <row r="40240" spans="10:10" x14ac:dyDescent="0.3">
      <c r="J40240"/>
    </row>
    <row r="40241" spans="10:10" x14ac:dyDescent="0.3">
      <c r="J40241"/>
    </row>
    <row r="40242" spans="10:10" x14ac:dyDescent="0.3">
      <c r="J40242"/>
    </row>
    <row r="40243" spans="10:10" x14ac:dyDescent="0.3">
      <c r="J40243"/>
    </row>
    <row r="40244" spans="10:10" x14ac:dyDescent="0.3">
      <c r="J40244"/>
    </row>
    <row r="40245" spans="10:10" x14ac:dyDescent="0.3">
      <c r="J40245"/>
    </row>
    <row r="40246" spans="10:10" x14ac:dyDescent="0.3">
      <c r="J40246"/>
    </row>
    <row r="40247" spans="10:10" x14ac:dyDescent="0.3">
      <c r="J40247"/>
    </row>
    <row r="40248" spans="10:10" x14ac:dyDescent="0.3">
      <c r="J40248"/>
    </row>
    <row r="40249" spans="10:10" x14ac:dyDescent="0.3">
      <c r="J40249"/>
    </row>
    <row r="40250" spans="10:10" x14ac:dyDescent="0.3">
      <c r="J40250"/>
    </row>
    <row r="40251" spans="10:10" x14ac:dyDescent="0.3">
      <c r="J40251"/>
    </row>
    <row r="40252" spans="10:10" x14ac:dyDescent="0.3">
      <c r="J40252"/>
    </row>
    <row r="40253" spans="10:10" x14ac:dyDescent="0.3">
      <c r="J40253"/>
    </row>
    <row r="40254" spans="10:10" x14ac:dyDescent="0.3">
      <c r="J40254"/>
    </row>
    <row r="40255" spans="10:10" x14ac:dyDescent="0.3">
      <c r="J40255"/>
    </row>
    <row r="40256" spans="10:10" x14ac:dyDescent="0.3">
      <c r="J40256"/>
    </row>
    <row r="40257" spans="10:10" x14ac:dyDescent="0.3">
      <c r="J40257"/>
    </row>
    <row r="40258" spans="10:10" x14ac:dyDescent="0.3">
      <c r="J40258"/>
    </row>
    <row r="40259" spans="10:10" x14ac:dyDescent="0.3">
      <c r="J40259"/>
    </row>
    <row r="40260" spans="10:10" x14ac:dyDescent="0.3">
      <c r="J40260"/>
    </row>
    <row r="40261" spans="10:10" x14ac:dyDescent="0.3">
      <c r="J40261"/>
    </row>
    <row r="40262" spans="10:10" x14ac:dyDescent="0.3">
      <c r="J40262"/>
    </row>
    <row r="40263" spans="10:10" x14ac:dyDescent="0.3">
      <c r="J40263"/>
    </row>
    <row r="40264" spans="10:10" x14ac:dyDescent="0.3">
      <c r="J40264"/>
    </row>
    <row r="40265" spans="10:10" x14ac:dyDescent="0.3">
      <c r="J40265"/>
    </row>
    <row r="40266" spans="10:10" x14ac:dyDescent="0.3">
      <c r="J40266"/>
    </row>
    <row r="40267" spans="10:10" x14ac:dyDescent="0.3">
      <c r="J40267"/>
    </row>
    <row r="40268" spans="10:10" x14ac:dyDescent="0.3">
      <c r="J40268"/>
    </row>
    <row r="40269" spans="10:10" x14ac:dyDescent="0.3">
      <c r="J40269"/>
    </row>
    <row r="40270" spans="10:10" x14ac:dyDescent="0.3">
      <c r="J40270"/>
    </row>
    <row r="40271" spans="10:10" x14ac:dyDescent="0.3">
      <c r="J40271"/>
    </row>
    <row r="40272" spans="10:10" x14ac:dyDescent="0.3">
      <c r="J40272"/>
    </row>
    <row r="40273" spans="10:10" x14ac:dyDescent="0.3">
      <c r="J40273"/>
    </row>
    <row r="40274" spans="10:10" x14ac:dyDescent="0.3">
      <c r="J40274"/>
    </row>
    <row r="40275" spans="10:10" x14ac:dyDescent="0.3">
      <c r="J40275"/>
    </row>
    <row r="40276" spans="10:10" x14ac:dyDescent="0.3">
      <c r="J40276"/>
    </row>
    <row r="40277" spans="10:10" x14ac:dyDescent="0.3">
      <c r="J40277"/>
    </row>
    <row r="40278" spans="10:10" x14ac:dyDescent="0.3">
      <c r="J40278"/>
    </row>
    <row r="40279" spans="10:10" x14ac:dyDescent="0.3">
      <c r="J40279"/>
    </row>
    <row r="40280" spans="10:10" x14ac:dyDescent="0.3">
      <c r="J40280"/>
    </row>
    <row r="40281" spans="10:10" x14ac:dyDescent="0.3">
      <c r="J40281"/>
    </row>
    <row r="40282" spans="10:10" x14ac:dyDescent="0.3">
      <c r="J40282"/>
    </row>
    <row r="40283" spans="10:10" x14ac:dyDescent="0.3">
      <c r="J40283"/>
    </row>
    <row r="40284" spans="10:10" x14ac:dyDescent="0.3">
      <c r="J40284"/>
    </row>
    <row r="40285" spans="10:10" x14ac:dyDescent="0.3">
      <c r="J40285"/>
    </row>
    <row r="40286" spans="10:10" x14ac:dyDescent="0.3">
      <c r="J40286"/>
    </row>
    <row r="40287" spans="10:10" x14ac:dyDescent="0.3">
      <c r="J40287"/>
    </row>
    <row r="40288" spans="10:10" x14ac:dyDescent="0.3">
      <c r="J40288"/>
    </row>
    <row r="40289" spans="10:10" x14ac:dyDescent="0.3">
      <c r="J40289"/>
    </row>
    <row r="40290" spans="10:10" x14ac:dyDescent="0.3">
      <c r="J40290"/>
    </row>
    <row r="40291" spans="10:10" x14ac:dyDescent="0.3">
      <c r="J40291"/>
    </row>
    <row r="40292" spans="10:10" x14ac:dyDescent="0.3">
      <c r="J40292"/>
    </row>
    <row r="40293" spans="10:10" x14ac:dyDescent="0.3">
      <c r="J40293"/>
    </row>
    <row r="40294" spans="10:10" x14ac:dyDescent="0.3">
      <c r="J40294"/>
    </row>
    <row r="40295" spans="10:10" x14ac:dyDescent="0.3">
      <c r="J40295"/>
    </row>
    <row r="40296" spans="10:10" x14ac:dyDescent="0.3">
      <c r="J40296"/>
    </row>
    <row r="40297" spans="10:10" x14ac:dyDescent="0.3">
      <c r="J40297"/>
    </row>
    <row r="40298" spans="10:10" x14ac:dyDescent="0.3">
      <c r="J40298"/>
    </row>
    <row r="40299" spans="10:10" x14ac:dyDescent="0.3">
      <c r="J40299"/>
    </row>
    <row r="40300" spans="10:10" x14ac:dyDescent="0.3">
      <c r="J40300"/>
    </row>
    <row r="40301" spans="10:10" x14ac:dyDescent="0.3">
      <c r="J40301"/>
    </row>
    <row r="40302" spans="10:10" x14ac:dyDescent="0.3">
      <c r="J40302"/>
    </row>
    <row r="40303" spans="10:10" x14ac:dyDescent="0.3">
      <c r="J40303"/>
    </row>
    <row r="40304" spans="10:10" x14ac:dyDescent="0.3">
      <c r="J40304"/>
    </row>
    <row r="40305" spans="10:10" x14ac:dyDescent="0.3">
      <c r="J40305"/>
    </row>
    <row r="40306" spans="10:10" x14ac:dyDescent="0.3">
      <c r="J40306"/>
    </row>
    <row r="40307" spans="10:10" x14ac:dyDescent="0.3">
      <c r="J40307"/>
    </row>
    <row r="40308" spans="10:10" x14ac:dyDescent="0.3">
      <c r="J40308"/>
    </row>
    <row r="40309" spans="10:10" x14ac:dyDescent="0.3">
      <c r="J40309"/>
    </row>
    <row r="40310" spans="10:10" x14ac:dyDescent="0.3">
      <c r="J40310"/>
    </row>
    <row r="40311" spans="10:10" x14ac:dyDescent="0.3">
      <c r="J40311"/>
    </row>
    <row r="40312" spans="10:10" x14ac:dyDescent="0.3">
      <c r="J40312"/>
    </row>
    <row r="40313" spans="10:10" x14ac:dyDescent="0.3">
      <c r="J40313"/>
    </row>
    <row r="40314" spans="10:10" x14ac:dyDescent="0.3">
      <c r="J40314"/>
    </row>
    <row r="40315" spans="10:10" x14ac:dyDescent="0.3">
      <c r="J40315"/>
    </row>
    <row r="40316" spans="10:10" x14ac:dyDescent="0.3">
      <c r="J40316"/>
    </row>
    <row r="40317" spans="10:10" x14ac:dyDescent="0.3">
      <c r="J40317"/>
    </row>
    <row r="40318" spans="10:10" x14ac:dyDescent="0.3">
      <c r="J40318"/>
    </row>
    <row r="40319" spans="10:10" x14ac:dyDescent="0.3">
      <c r="J40319"/>
    </row>
    <row r="40320" spans="10:10" x14ac:dyDescent="0.3">
      <c r="J40320"/>
    </row>
    <row r="40321" spans="10:10" x14ac:dyDescent="0.3">
      <c r="J40321"/>
    </row>
    <row r="40322" spans="10:10" x14ac:dyDescent="0.3">
      <c r="J40322"/>
    </row>
    <row r="40323" spans="10:10" x14ac:dyDescent="0.3">
      <c r="J40323"/>
    </row>
    <row r="40324" spans="10:10" x14ac:dyDescent="0.3">
      <c r="J40324"/>
    </row>
    <row r="40325" spans="10:10" x14ac:dyDescent="0.3">
      <c r="J40325"/>
    </row>
    <row r="40326" spans="10:10" x14ac:dyDescent="0.3">
      <c r="J40326"/>
    </row>
    <row r="40327" spans="10:10" x14ac:dyDescent="0.3">
      <c r="J40327"/>
    </row>
    <row r="40328" spans="10:10" x14ac:dyDescent="0.3">
      <c r="J40328"/>
    </row>
    <row r="40329" spans="10:10" x14ac:dyDescent="0.3">
      <c r="J40329"/>
    </row>
    <row r="40330" spans="10:10" x14ac:dyDescent="0.3">
      <c r="J40330"/>
    </row>
    <row r="40331" spans="10:10" x14ac:dyDescent="0.3">
      <c r="J40331"/>
    </row>
    <row r="40332" spans="10:10" x14ac:dyDescent="0.3">
      <c r="J40332"/>
    </row>
    <row r="40333" spans="10:10" x14ac:dyDescent="0.3">
      <c r="J40333"/>
    </row>
    <row r="40334" spans="10:10" x14ac:dyDescent="0.3">
      <c r="J40334"/>
    </row>
    <row r="40335" spans="10:10" x14ac:dyDescent="0.3">
      <c r="J40335"/>
    </row>
    <row r="40336" spans="10:10" x14ac:dyDescent="0.3">
      <c r="J40336"/>
    </row>
    <row r="40337" spans="10:10" x14ac:dyDescent="0.3">
      <c r="J40337"/>
    </row>
    <row r="40338" spans="10:10" x14ac:dyDescent="0.3">
      <c r="J40338"/>
    </row>
    <row r="40339" spans="10:10" x14ac:dyDescent="0.3">
      <c r="J40339"/>
    </row>
    <row r="40340" spans="10:10" x14ac:dyDescent="0.3">
      <c r="J40340"/>
    </row>
    <row r="40341" spans="10:10" x14ac:dyDescent="0.3">
      <c r="J40341"/>
    </row>
    <row r="40342" spans="10:10" x14ac:dyDescent="0.3">
      <c r="J40342"/>
    </row>
    <row r="40343" spans="10:10" x14ac:dyDescent="0.3">
      <c r="J40343"/>
    </row>
    <row r="40344" spans="10:10" x14ac:dyDescent="0.3">
      <c r="J40344"/>
    </row>
    <row r="40345" spans="10:10" x14ac:dyDescent="0.3">
      <c r="J40345"/>
    </row>
    <row r="40346" spans="10:10" x14ac:dyDescent="0.3">
      <c r="J40346"/>
    </row>
    <row r="40347" spans="10:10" x14ac:dyDescent="0.3">
      <c r="J40347"/>
    </row>
    <row r="40348" spans="10:10" x14ac:dyDescent="0.3">
      <c r="J40348"/>
    </row>
    <row r="40349" spans="10:10" x14ac:dyDescent="0.3">
      <c r="J40349"/>
    </row>
    <row r="40350" spans="10:10" x14ac:dyDescent="0.3">
      <c r="J40350"/>
    </row>
    <row r="40351" spans="10:10" x14ac:dyDescent="0.3">
      <c r="J40351"/>
    </row>
    <row r="40352" spans="10:10" x14ac:dyDescent="0.3">
      <c r="J40352"/>
    </row>
    <row r="40353" spans="10:10" x14ac:dyDescent="0.3">
      <c r="J40353"/>
    </row>
    <row r="40354" spans="10:10" x14ac:dyDescent="0.3">
      <c r="J40354"/>
    </row>
    <row r="40355" spans="10:10" x14ac:dyDescent="0.3">
      <c r="J40355"/>
    </row>
    <row r="40356" spans="10:10" x14ac:dyDescent="0.3">
      <c r="J40356"/>
    </row>
    <row r="40357" spans="10:10" x14ac:dyDescent="0.3">
      <c r="J40357"/>
    </row>
    <row r="40358" spans="10:10" x14ac:dyDescent="0.3">
      <c r="J40358"/>
    </row>
    <row r="40359" spans="10:10" x14ac:dyDescent="0.3">
      <c r="J40359"/>
    </row>
    <row r="40360" spans="10:10" x14ac:dyDescent="0.3">
      <c r="J40360"/>
    </row>
    <row r="40361" spans="10:10" x14ac:dyDescent="0.3">
      <c r="J40361"/>
    </row>
    <row r="40362" spans="10:10" x14ac:dyDescent="0.3">
      <c r="J40362"/>
    </row>
    <row r="40363" spans="10:10" x14ac:dyDescent="0.3">
      <c r="J40363"/>
    </row>
    <row r="40364" spans="10:10" x14ac:dyDescent="0.3">
      <c r="J40364"/>
    </row>
    <row r="40365" spans="10:10" x14ac:dyDescent="0.3">
      <c r="J40365"/>
    </row>
    <row r="40366" spans="10:10" x14ac:dyDescent="0.3">
      <c r="J40366"/>
    </row>
    <row r="40367" spans="10:10" x14ac:dyDescent="0.3">
      <c r="J40367"/>
    </row>
    <row r="40368" spans="10:10" x14ac:dyDescent="0.3">
      <c r="J40368"/>
    </row>
    <row r="40369" spans="10:10" x14ac:dyDescent="0.3">
      <c r="J40369"/>
    </row>
    <row r="40370" spans="10:10" x14ac:dyDescent="0.3">
      <c r="J40370"/>
    </row>
    <row r="40371" spans="10:10" x14ac:dyDescent="0.3">
      <c r="J40371"/>
    </row>
    <row r="40372" spans="10:10" x14ac:dyDescent="0.3">
      <c r="J40372"/>
    </row>
    <row r="40373" spans="10:10" x14ac:dyDescent="0.3">
      <c r="J40373"/>
    </row>
    <row r="40374" spans="10:10" x14ac:dyDescent="0.3">
      <c r="J40374"/>
    </row>
    <row r="40375" spans="10:10" x14ac:dyDescent="0.3">
      <c r="J40375"/>
    </row>
    <row r="40376" spans="10:10" x14ac:dyDescent="0.3">
      <c r="J40376"/>
    </row>
    <row r="40377" spans="10:10" x14ac:dyDescent="0.3">
      <c r="J40377"/>
    </row>
    <row r="40378" spans="10:10" x14ac:dyDescent="0.3">
      <c r="J40378"/>
    </row>
    <row r="40379" spans="10:10" x14ac:dyDescent="0.3">
      <c r="J40379"/>
    </row>
    <row r="40380" spans="10:10" x14ac:dyDescent="0.3">
      <c r="J40380"/>
    </row>
    <row r="40381" spans="10:10" x14ac:dyDescent="0.3">
      <c r="J40381"/>
    </row>
    <row r="40382" spans="10:10" x14ac:dyDescent="0.3">
      <c r="J40382"/>
    </row>
    <row r="40383" spans="10:10" x14ac:dyDescent="0.3">
      <c r="J40383"/>
    </row>
    <row r="40384" spans="10:10" x14ac:dyDescent="0.3">
      <c r="J40384"/>
    </row>
    <row r="40385" spans="10:10" x14ac:dyDescent="0.3">
      <c r="J40385"/>
    </row>
    <row r="40386" spans="10:10" x14ac:dyDescent="0.3">
      <c r="J40386"/>
    </row>
    <row r="40387" spans="10:10" x14ac:dyDescent="0.3">
      <c r="J40387"/>
    </row>
    <row r="40388" spans="10:10" x14ac:dyDescent="0.3">
      <c r="J40388"/>
    </row>
    <row r="40389" spans="10:10" x14ac:dyDescent="0.3">
      <c r="J40389"/>
    </row>
    <row r="40390" spans="10:10" x14ac:dyDescent="0.3">
      <c r="J40390"/>
    </row>
    <row r="40391" spans="10:10" x14ac:dyDescent="0.3">
      <c r="J40391"/>
    </row>
    <row r="40392" spans="10:10" x14ac:dyDescent="0.3">
      <c r="J40392"/>
    </row>
    <row r="40393" spans="10:10" x14ac:dyDescent="0.3">
      <c r="J40393"/>
    </row>
    <row r="40394" spans="10:10" x14ac:dyDescent="0.3">
      <c r="J40394"/>
    </row>
    <row r="40395" spans="10:10" x14ac:dyDescent="0.3">
      <c r="J40395"/>
    </row>
    <row r="40396" spans="10:10" x14ac:dyDescent="0.3">
      <c r="J40396"/>
    </row>
    <row r="40397" spans="10:10" x14ac:dyDescent="0.3">
      <c r="J40397"/>
    </row>
    <row r="40398" spans="10:10" x14ac:dyDescent="0.3">
      <c r="J40398"/>
    </row>
    <row r="40399" spans="10:10" x14ac:dyDescent="0.3">
      <c r="J40399"/>
    </row>
    <row r="40400" spans="10:10" x14ac:dyDescent="0.3">
      <c r="J40400"/>
    </row>
    <row r="40401" spans="10:10" x14ac:dyDescent="0.3">
      <c r="J40401"/>
    </row>
    <row r="40402" spans="10:10" x14ac:dyDescent="0.3">
      <c r="J40402"/>
    </row>
    <row r="40403" spans="10:10" x14ac:dyDescent="0.3">
      <c r="J40403"/>
    </row>
    <row r="40404" spans="10:10" x14ac:dyDescent="0.3">
      <c r="J40404"/>
    </row>
    <row r="40405" spans="10:10" x14ac:dyDescent="0.3">
      <c r="J40405"/>
    </row>
    <row r="40406" spans="10:10" x14ac:dyDescent="0.3">
      <c r="J40406"/>
    </row>
    <row r="40407" spans="10:10" x14ac:dyDescent="0.3">
      <c r="J40407"/>
    </row>
    <row r="40408" spans="10:10" x14ac:dyDescent="0.3">
      <c r="J40408"/>
    </row>
    <row r="40409" spans="10:10" x14ac:dyDescent="0.3">
      <c r="J40409"/>
    </row>
    <row r="40410" spans="10:10" x14ac:dyDescent="0.3">
      <c r="J40410"/>
    </row>
    <row r="40411" spans="10:10" x14ac:dyDescent="0.3">
      <c r="J40411"/>
    </row>
    <row r="40412" spans="10:10" x14ac:dyDescent="0.3">
      <c r="J40412"/>
    </row>
    <row r="40413" spans="10:10" x14ac:dyDescent="0.3">
      <c r="J40413"/>
    </row>
    <row r="40414" spans="10:10" x14ac:dyDescent="0.3">
      <c r="J40414"/>
    </row>
    <row r="40415" spans="10:10" x14ac:dyDescent="0.3">
      <c r="J40415"/>
    </row>
    <row r="40416" spans="10:10" x14ac:dyDescent="0.3">
      <c r="J40416"/>
    </row>
    <row r="40417" spans="10:10" x14ac:dyDescent="0.3">
      <c r="J40417"/>
    </row>
    <row r="40418" spans="10:10" x14ac:dyDescent="0.3">
      <c r="J40418"/>
    </row>
    <row r="40419" spans="10:10" x14ac:dyDescent="0.3">
      <c r="J40419"/>
    </row>
    <row r="40420" spans="10:10" x14ac:dyDescent="0.3">
      <c r="J40420"/>
    </row>
    <row r="40421" spans="10:10" x14ac:dyDescent="0.3">
      <c r="J40421"/>
    </row>
    <row r="40422" spans="10:10" x14ac:dyDescent="0.3">
      <c r="J40422"/>
    </row>
    <row r="40423" spans="10:10" x14ac:dyDescent="0.3">
      <c r="J40423"/>
    </row>
    <row r="40424" spans="10:10" x14ac:dyDescent="0.3">
      <c r="J40424"/>
    </row>
    <row r="40425" spans="10:10" x14ac:dyDescent="0.3">
      <c r="J40425"/>
    </row>
    <row r="40426" spans="10:10" x14ac:dyDescent="0.3">
      <c r="J40426"/>
    </row>
    <row r="40427" spans="10:10" x14ac:dyDescent="0.3">
      <c r="J40427"/>
    </row>
    <row r="40428" spans="10:10" x14ac:dyDescent="0.3">
      <c r="J40428"/>
    </row>
    <row r="40429" spans="10:10" x14ac:dyDescent="0.3">
      <c r="J40429"/>
    </row>
    <row r="40430" spans="10:10" x14ac:dyDescent="0.3">
      <c r="J40430"/>
    </row>
    <row r="40431" spans="10:10" x14ac:dyDescent="0.3">
      <c r="J40431"/>
    </row>
    <row r="40432" spans="10:10" x14ac:dyDescent="0.3">
      <c r="J40432"/>
    </row>
    <row r="40433" spans="10:10" x14ac:dyDescent="0.3">
      <c r="J40433"/>
    </row>
    <row r="40434" spans="10:10" x14ac:dyDescent="0.3">
      <c r="J40434"/>
    </row>
    <row r="40435" spans="10:10" x14ac:dyDescent="0.3">
      <c r="J40435"/>
    </row>
    <row r="40436" spans="10:10" x14ac:dyDescent="0.3">
      <c r="J40436"/>
    </row>
    <row r="40437" spans="10:10" x14ac:dyDescent="0.3">
      <c r="J40437"/>
    </row>
    <row r="40438" spans="10:10" x14ac:dyDescent="0.3">
      <c r="J40438"/>
    </row>
    <row r="40439" spans="10:10" x14ac:dyDescent="0.3">
      <c r="J40439"/>
    </row>
    <row r="40440" spans="10:10" x14ac:dyDescent="0.3">
      <c r="J40440"/>
    </row>
    <row r="40441" spans="10:10" x14ac:dyDescent="0.3">
      <c r="J40441"/>
    </row>
    <row r="40442" spans="10:10" x14ac:dyDescent="0.3">
      <c r="J40442"/>
    </row>
    <row r="40443" spans="10:10" x14ac:dyDescent="0.3">
      <c r="J40443"/>
    </row>
    <row r="40444" spans="10:10" x14ac:dyDescent="0.3">
      <c r="J40444"/>
    </row>
    <row r="40445" spans="10:10" x14ac:dyDescent="0.3">
      <c r="J40445"/>
    </row>
    <row r="40446" spans="10:10" x14ac:dyDescent="0.3">
      <c r="J40446"/>
    </row>
    <row r="40447" spans="10:10" x14ac:dyDescent="0.3">
      <c r="J40447"/>
    </row>
    <row r="40448" spans="10:10" x14ac:dyDescent="0.3">
      <c r="J40448"/>
    </row>
    <row r="40449" spans="10:10" x14ac:dyDescent="0.3">
      <c r="J40449"/>
    </row>
    <row r="40450" spans="10:10" x14ac:dyDescent="0.3">
      <c r="J40450"/>
    </row>
    <row r="40451" spans="10:10" x14ac:dyDescent="0.3">
      <c r="J40451"/>
    </row>
    <row r="40452" spans="10:10" x14ac:dyDescent="0.3">
      <c r="J40452"/>
    </row>
    <row r="40453" spans="10:10" x14ac:dyDescent="0.3">
      <c r="J40453"/>
    </row>
    <row r="40454" spans="10:10" x14ac:dyDescent="0.3">
      <c r="J40454"/>
    </row>
    <row r="40455" spans="10:10" x14ac:dyDescent="0.3">
      <c r="J40455"/>
    </row>
    <row r="40456" spans="10:10" x14ac:dyDescent="0.3">
      <c r="J40456"/>
    </row>
    <row r="40457" spans="10:10" x14ac:dyDescent="0.3">
      <c r="J40457"/>
    </row>
    <row r="40458" spans="10:10" x14ac:dyDescent="0.3">
      <c r="J40458"/>
    </row>
    <row r="40459" spans="10:10" x14ac:dyDescent="0.3">
      <c r="J40459"/>
    </row>
    <row r="40460" spans="10:10" x14ac:dyDescent="0.3">
      <c r="J40460"/>
    </row>
    <row r="40461" spans="10:10" x14ac:dyDescent="0.3">
      <c r="J40461"/>
    </row>
    <row r="40462" spans="10:10" x14ac:dyDescent="0.3">
      <c r="J40462"/>
    </row>
    <row r="40463" spans="10:10" x14ac:dyDescent="0.3">
      <c r="J40463"/>
    </row>
    <row r="40464" spans="10:10" x14ac:dyDescent="0.3">
      <c r="J40464"/>
    </row>
    <row r="40465" spans="10:10" x14ac:dyDescent="0.3">
      <c r="J40465"/>
    </row>
    <row r="40466" spans="10:10" x14ac:dyDescent="0.3">
      <c r="J40466"/>
    </row>
    <row r="40467" spans="10:10" x14ac:dyDescent="0.3">
      <c r="J40467"/>
    </row>
    <row r="40468" spans="10:10" x14ac:dyDescent="0.3">
      <c r="J40468"/>
    </row>
    <row r="40469" spans="10:10" x14ac:dyDescent="0.3">
      <c r="J40469"/>
    </row>
    <row r="40470" spans="10:10" x14ac:dyDescent="0.3">
      <c r="J40470"/>
    </row>
    <row r="40471" spans="10:10" x14ac:dyDescent="0.3">
      <c r="J40471"/>
    </row>
    <row r="40472" spans="10:10" x14ac:dyDescent="0.3">
      <c r="J40472"/>
    </row>
    <row r="40473" spans="10:10" x14ac:dyDescent="0.3">
      <c r="J40473"/>
    </row>
    <row r="40474" spans="10:10" x14ac:dyDescent="0.3">
      <c r="J40474"/>
    </row>
    <row r="40475" spans="10:10" x14ac:dyDescent="0.3">
      <c r="J40475"/>
    </row>
    <row r="40476" spans="10:10" x14ac:dyDescent="0.3">
      <c r="J40476"/>
    </row>
    <row r="40477" spans="10:10" x14ac:dyDescent="0.3">
      <c r="J40477"/>
    </row>
    <row r="40478" spans="10:10" x14ac:dyDescent="0.3">
      <c r="J40478"/>
    </row>
    <row r="40479" spans="10:10" x14ac:dyDescent="0.3">
      <c r="J40479"/>
    </row>
    <row r="40480" spans="10:10" x14ac:dyDescent="0.3">
      <c r="J40480"/>
    </row>
    <row r="40481" spans="10:10" x14ac:dyDescent="0.3">
      <c r="J40481"/>
    </row>
    <row r="40482" spans="10:10" x14ac:dyDescent="0.3">
      <c r="J40482"/>
    </row>
    <row r="40483" spans="10:10" x14ac:dyDescent="0.3">
      <c r="J40483"/>
    </row>
    <row r="40484" spans="10:10" x14ac:dyDescent="0.3">
      <c r="J40484"/>
    </row>
    <row r="40485" spans="10:10" x14ac:dyDescent="0.3">
      <c r="J40485"/>
    </row>
    <row r="40486" spans="10:10" x14ac:dyDescent="0.3">
      <c r="J40486"/>
    </row>
    <row r="40487" spans="10:10" x14ac:dyDescent="0.3">
      <c r="J40487"/>
    </row>
    <row r="40488" spans="10:10" x14ac:dyDescent="0.3">
      <c r="J40488"/>
    </row>
    <row r="40489" spans="10:10" x14ac:dyDescent="0.3">
      <c r="J40489"/>
    </row>
    <row r="40490" spans="10:10" x14ac:dyDescent="0.3">
      <c r="J40490"/>
    </row>
    <row r="40491" spans="10:10" x14ac:dyDescent="0.3">
      <c r="J40491"/>
    </row>
    <row r="40492" spans="10:10" x14ac:dyDescent="0.3">
      <c r="J40492"/>
    </row>
    <row r="40493" spans="10:10" x14ac:dyDescent="0.3">
      <c r="J40493"/>
    </row>
    <row r="40494" spans="10:10" x14ac:dyDescent="0.3">
      <c r="J40494"/>
    </row>
    <row r="40495" spans="10:10" x14ac:dyDescent="0.3">
      <c r="J40495"/>
    </row>
    <row r="40496" spans="10:10" x14ac:dyDescent="0.3">
      <c r="J40496"/>
    </row>
    <row r="40497" spans="10:10" x14ac:dyDescent="0.3">
      <c r="J40497"/>
    </row>
    <row r="40498" spans="10:10" x14ac:dyDescent="0.3">
      <c r="J40498"/>
    </row>
    <row r="40499" spans="10:10" x14ac:dyDescent="0.3">
      <c r="J40499"/>
    </row>
    <row r="40500" spans="10:10" x14ac:dyDescent="0.3">
      <c r="J40500"/>
    </row>
    <row r="40501" spans="10:10" x14ac:dyDescent="0.3">
      <c r="J40501"/>
    </row>
    <row r="40502" spans="10:10" x14ac:dyDescent="0.3">
      <c r="J40502"/>
    </row>
    <row r="40503" spans="10:10" x14ac:dyDescent="0.3">
      <c r="J40503"/>
    </row>
    <row r="40504" spans="10:10" x14ac:dyDescent="0.3">
      <c r="J40504"/>
    </row>
    <row r="40505" spans="10:10" x14ac:dyDescent="0.3">
      <c r="J40505"/>
    </row>
    <row r="40506" spans="10:10" x14ac:dyDescent="0.3">
      <c r="J40506"/>
    </row>
    <row r="40507" spans="10:10" x14ac:dyDescent="0.3">
      <c r="J40507"/>
    </row>
    <row r="40508" spans="10:10" x14ac:dyDescent="0.3">
      <c r="J40508"/>
    </row>
    <row r="40509" spans="10:10" x14ac:dyDescent="0.3">
      <c r="J40509"/>
    </row>
    <row r="40510" spans="10:10" x14ac:dyDescent="0.3">
      <c r="J40510"/>
    </row>
    <row r="40511" spans="10:10" x14ac:dyDescent="0.3">
      <c r="J40511"/>
    </row>
    <row r="40512" spans="10:10" x14ac:dyDescent="0.3">
      <c r="J40512"/>
    </row>
    <row r="40513" spans="10:10" x14ac:dyDescent="0.3">
      <c r="J40513"/>
    </row>
    <row r="40514" spans="10:10" x14ac:dyDescent="0.3">
      <c r="J40514"/>
    </row>
    <row r="40515" spans="10:10" x14ac:dyDescent="0.3">
      <c r="J40515"/>
    </row>
    <row r="40516" spans="10:10" x14ac:dyDescent="0.3">
      <c r="J40516"/>
    </row>
    <row r="40517" spans="10:10" x14ac:dyDescent="0.3">
      <c r="J40517"/>
    </row>
    <row r="40518" spans="10:10" x14ac:dyDescent="0.3">
      <c r="J40518"/>
    </row>
    <row r="40519" spans="10:10" x14ac:dyDescent="0.3">
      <c r="J40519"/>
    </row>
    <row r="40520" spans="10:10" x14ac:dyDescent="0.3">
      <c r="J40520"/>
    </row>
    <row r="40521" spans="10:10" x14ac:dyDescent="0.3">
      <c r="J40521"/>
    </row>
    <row r="40522" spans="10:10" x14ac:dyDescent="0.3">
      <c r="J40522"/>
    </row>
    <row r="40523" spans="10:10" x14ac:dyDescent="0.3">
      <c r="J40523"/>
    </row>
    <row r="40524" spans="10:10" x14ac:dyDescent="0.3">
      <c r="J40524"/>
    </row>
    <row r="40525" spans="10:10" x14ac:dyDescent="0.3">
      <c r="J40525"/>
    </row>
    <row r="40526" spans="10:10" x14ac:dyDescent="0.3">
      <c r="J40526"/>
    </row>
    <row r="40527" spans="10:10" x14ac:dyDescent="0.3">
      <c r="J40527"/>
    </row>
    <row r="40528" spans="10:10" x14ac:dyDescent="0.3">
      <c r="J40528"/>
    </row>
    <row r="40529" spans="10:10" x14ac:dyDescent="0.3">
      <c r="J40529"/>
    </row>
    <row r="40530" spans="10:10" x14ac:dyDescent="0.3">
      <c r="J40530"/>
    </row>
    <row r="40531" spans="10:10" x14ac:dyDescent="0.3">
      <c r="J40531"/>
    </row>
    <row r="40532" spans="10:10" x14ac:dyDescent="0.3">
      <c r="J40532"/>
    </row>
    <row r="40533" spans="10:10" x14ac:dyDescent="0.3">
      <c r="J40533"/>
    </row>
    <row r="40534" spans="10:10" x14ac:dyDescent="0.3">
      <c r="J40534"/>
    </row>
    <row r="40535" spans="10:10" x14ac:dyDescent="0.3">
      <c r="J40535"/>
    </row>
    <row r="40536" spans="10:10" x14ac:dyDescent="0.3">
      <c r="J40536"/>
    </row>
    <row r="40537" spans="10:10" x14ac:dyDescent="0.3">
      <c r="J40537"/>
    </row>
    <row r="40538" spans="10:10" x14ac:dyDescent="0.3">
      <c r="J40538"/>
    </row>
    <row r="40539" spans="10:10" x14ac:dyDescent="0.3">
      <c r="J40539"/>
    </row>
    <row r="40540" spans="10:10" x14ac:dyDescent="0.3">
      <c r="J40540"/>
    </row>
    <row r="40541" spans="10:10" x14ac:dyDescent="0.3">
      <c r="J40541"/>
    </row>
    <row r="40542" spans="10:10" x14ac:dyDescent="0.3">
      <c r="J40542"/>
    </row>
    <row r="40543" spans="10:10" x14ac:dyDescent="0.3">
      <c r="J40543"/>
    </row>
    <row r="40544" spans="10:10" x14ac:dyDescent="0.3">
      <c r="J40544"/>
    </row>
    <row r="40545" spans="10:10" x14ac:dyDescent="0.3">
      <c r="J40545"/>
    </row>
    <row r="40546" spans="10:10" x14ac:dyDescent="0.3">
      <c r="J40546"/>
    </row>
    <row r="40547" spans="10:10" x14ac:dyDescent="0.3">
      <c r="J40547"/>
    </row>
    <row r="40548" spans="10:10" x14ac:dyDescent="0.3">
      <c r="J40548"/>
    </row>
    <row r="40549" spans="10:10" x14ac:dyDescent="0.3">
      <c r="J40549"/>
    </row>
    <row r="40550" spans="10:10" x14ac:dyDescent="0.3">
      <c r="J40550"/>
    </row>
    <row r="40551" spans="10:10" x14ac:dyDescent="0.3">
      <c r="J40551"/>
    </row>
    <row r="40552" spans="10:10" x14ac:dyDescent="0.3">
      <c r="J40552"/>
    </row>
    <row r="40553" spans="10:10" x14ac:dyDescent="0.3">
      <c r="J40553"/>
    </row>
    <row r="40554" spans="10:10" x14ac:dyDescent="0.3">
      <c r="J40554"/>
    </row>
    <row r="40555" spans="10:10" x14ac:dyDescent="0.3">
      <c r="J40555"/>
    </row>
    <row r="40556" spans="10:10" x14ac:dyDescent="0.3">
      <c r="J40556"/>
    </row>
    <row r="40557" spans="10:10" x14ac:dyDescent="0.3">
      <c r="J40557"/>
    </row>
    <row r="40558" spans="10:10" x14ac:dyDescent="0.3">
      <c r="J40558"/>
    </row>
    <row r="40559" spans="10:10" x14ac:dyDescent="0.3">
      <c r="J40559"/>
    </row>
    <row r="40560" spans="10:10" x14ac:dyDescent="0.3">
      <c r="J40560"/>
    </row>
    <row r="40561" spans="10:10" x14ac:dyDescent="0.3">
      <c r="J40561"/>
    </row>
    <row r="40562" spans="10:10" x14ac:dyDescent="0.3">
      <c r="J40562"/>
    </row>
    <row r="40563" spans="10:10" x14ac:dyDescent="0.3">
      <c r="J40563"/>
    </row>
    <row r="40564" spans="10:10" x14ac:dyDescent="0.3">
      <c r="J40564"/>
    </row>
    <row r="40565" spans="10:10" x14ac:dyDescent="0.3">
      <c r="J40565"/>
    </row>
    <row r="40566" spans="10:10" x14ac:dyDescent="0.3">
      <c r="J40566"/>
    </row>
    <row r="40567" spans="10:10" x14ac:dyDescent="0.3">
      <c r="J40567"/>
    </row>
    <row r="40568" spans="10:10" x14ac:dyDescent="0.3">
      <c r="J40568"/>
    </row>
    <row r="40569" spans="10:10" x14ac:dyDescent="0.3">
      <c r="J40569"/>
    </row>
    <row r="40570" spans="10:10" x14ac:dyDescent="0.3">
      <c r="J40570"/>
    </row>
    <row r="40571" spans="10:10" x14ac:dyDescent="0.3">
      <c r="J40571"/>
    </row>
    <row r="40572" spans="10:10" x14ac:dyDescent="0.3">
      <c r="J40572"/>
    </row>
    <row r="40573" spans="10:10" x14ac:dyDescent="0.3">
      <c r="J40573"/>
    </row>
    <row r="40574" spans="10:10" x14ac:dyDescent="0.3">
      <c r="J40574"/>
    </row>
    <row r="40575" spans="10:10" x14ac:dyDescent="0.3">
      <c r="J40575"/>
    </row>
    <row r="40576" spans="10:10" x14ac:dyDescent="0.3">
      <c r="J40576"/>
    </row>
    <row r="40577" spans="10:10" x14ac:dyDescent="0.3">
      <c r="J40577"/>
    </row>
    <row r="40578" spans="10:10" x14ac:dyDescent="0.3">
      <c r="J40578"/>
    </row>
    <row r="40579" spans="10:10" x14ac:dyDescent="0.3">
      <c r="J40579"/>
    </row>
    <row r="40580" spans="10:10" x14ac:dyDescent="0.3">
      <c r="J40580"/>
    </row>
    <row r="40581" spans="10:10" x14ac:dyDescent="0.3">
      <c r="J40581"/>
    </row>
    <row r="40582" spans="10:10" x14ac:dyDescent="0.3">
      <c r="J40582"/>
    </row>
    <row r="40583" spans="10:10" x14ac:dyDescent="0.3">
      <c r="J40583"/>
    </row>
    <row r="40584" spans="10:10" x14ac:dyDescent="0.3">
      <c r="J40584"/>
    </row>
    <row r="40585" spans="10:10" x14ac:dyDescent="0.3">
      <c r="J40585"/>
    </row>
    <row r="40586" spans="10:10" x14ac:dyDescent="0.3">
      <c r="J40586"/>
    </row>
    <row r="40587" spans="10:10" x14ac:dyDescent="0.3">
      <c r="J40587"/>
    </row>
    <row r="40588" spans="10:10" x14ac:dyDescent="0.3">
      <c r="J40588"/>
    </row>
    <row r="40589" spans="10:10" x14ac:dyDescent="0.3">
      <c r="J40589"/>
    </row>
    <row r="40590" spans="10:10" x14ac:dyDescent="0.3">
      <c r="J40590"/>
    </row>
    <row r="40591" spans="10:10" x14ac:dyDescent="0.3">
      <c r="J40591"/>
    </row>
    <row r="40592" spans="10:10" x14ac:dyDescent="0.3">
      <c r="J40592"/>
    </row>
    <row r="40593" spans="10:10" x14ac:dyDescent="0.3">
      <c r="J40593"/>
    </row>
    <row r="40594" spans="10:10" x14ac:dyDescent="0.3">
      <c r="J40594"/>
    </row>
    <row r="40595" spans="10:10" x14ac:dyDescent="0.3">
      <c r="J40595"/>
    </row>
    <row r="40596" spans="10:10" x14ac:dyDescent="0.3">
      <c r="J40596"/>
    </row>
    <row r="40597" spans="10:10" x14ac:dyDescent="0.3">
      <c r="J40597"/>
    </row>
    <row r="40598" spans="10:10" x14ac:dyDescent="0.3">
      <c r="J40598"/>
    </row>
    <row r="40599" spans="10:10" x14ac:dyDescent="0.3">
      <c r="J40599"/>
    </row>
    <row r="40600" spans="10:10" x14ac:dyDescent="0.3">
      <c r="J40600"/>
    </row>
    <row r="40601" spans="10:10" x14ac:dyDescent="0.3">
      <c r="J40601"/>
    </row>
    <row r="40602" spans="10:10" x14ac:dyDescent="0.3">
      <c r="J40602"/>
    </row>
    <row r="40603" spans="10:10" x14ac:dyDescent="0.3">
      <c r="J40603"/>
    </row>
    <row r="40604" spans="10:10" x14ac:dyDescent="0.3">
      <c r="J40604"/>
    </row>
    <row r="40605" spans="10:10" x14ac:dyDescent="0.3">
      <c r="J40605"/>
    </row>
    <row r="40606" spans="10:10" x14ac:dyDescent="0.3">
      <c r="J40606"/>
    </row>
    <row r="40607" spans="10:10" x14ac:dyDescent="0.3">
      <c r="J40607"/>
    </row>
    <row r="40608" spans="10:10" x14ac:dyDescent="0.3">
      <c r="J40608"/>
    </row>
    <row r="40609" spans="10:10" x14ac:dyDescent="0.3">
      <c r="J40609"/>
    </row>
    <row r="40610" spans="10:10" x14ac:dyDescent="0.3">
      <c r="J40610"/>
    </row>
    <row r="40611" spans="10:10" x14ac:dyDescent="0.3">
      <c r="J40611"/>
    </row>
    <row r="40612" spans="10:10" x14ac:dyDescent="0.3">
      <c r="J40612"/>
    </row>
    <row r="40613" spans="10:10" x14ac:dyDescent="0.3">
      <c r="J40613"/>
    </row>
    <row r="40614" spans="10:10" x14ac:dyDescent="0.3">
      <c r="J40614"/>
    </row>
    <row r="40615" spans="10:10" x14ac:dyDescent="0.3">
      <c r="J40615"/>
    </row>
    <row r="40616" spans="10:10" x14ac:dyDescent="0.3">
      <c r="J40616"/>
    </row>
    <row r="40617" spans="10:10" x14ac:dyDescent="0.3">
      <c r="J40617"/>
    </row>
    <row r="40618" spans="10:10" x14ac:dyDescent="0.3">
      <c r="J40618"/>
    </row>
    <row r="40619" spans="10:10" x14ac:dyDescent="0.3">
      <c r="J40619"/>
    </row>
    <row r="40620" spans="10:10" x14ac:dyDescent="0.3">
      <c r="J40620"/>
    </row>
    <row r="40621" spans="10:10" x14ac:dyDescent="0.3">
      <c r="J40621"/>
    </row>
    <row r="40622" spans="10:10" x14ac:dyDescent="0.3">
      <c r="J40622"/>
    </row>
    <row r="40623" spans="10:10" x14ac:dyDescent="0.3">
      <c r="J40623"/>
    </row>
    <row r="40624" spans="10:10" x14ac:dyDescent="0.3">
      <c r="J40624"/>
    </row>
    <row r="40625" spans="10:10" x14ac:dyDescent="0.3">
      <c r="J40625"/>
    </row>
    <row r="40626" spans="10:10" x14ac:dyDescent="0.3">
      <c r="J40626"/>
    </row>
    <row r="40627" spans="10:10" x14ac:dyDescent="0.3">
      <c r="J40627"/>
    </row>
    <row r="40628" spans="10:10" x14ac:dyDescent="0.3">
      <c r="J40628"/>
    </row>
    <row r="40629" spans="10:10" x14ac:dyDescent="0.3">
      <c r="J40629"/>
    </row>
    <row r="40630" spans="10:10" x14ac:dyDescent="0.3">
      <c r="J40630"/>
    </row>
    <row r="40631" spans="10:10" x14ac:dyDescent="0.3">
      <c r="J40631"/>
    </row>
    <row r="40632" spans="10:10" x14ac:dyDescent="0.3">
      <c r="J40632"/>
    </row>
    <row r="40633" spans="10:10" x14ac:dyDescent="0.3">
      <c r="J40633"/>
    </row>
    <row r="40634" spans="10:10" x14ac:dyDescent="0.3">
      <c r="J40634"/>
    </row>
    <row r="40635" spans="10:10" x14ac:dyDescent="0.3">
      <c r="J40635"/>
    </row>
    <row r="40636" spans="10:10" x14ac:dyDescent="0.3">
      <c r="J40636"/>
    </row>
    <row r="40637" spans="10:10" x14ac:dyDescent="0.3">
      <c r="J40637"/>
    </row>
    <row r="40638" spans="10:10" x14ac:dyDescent="0.3">
      <c r="J40638"/>
    </row>
    <row r="40639" spans="10:10" x14ac:dyDescent="0.3">
      <c r="J40639"/>
    </row>
    <row r="40640" spans="10:10" x14ac:dyDescent="0.3">
      <c r="J40640"/>
    </row>
    <row r="40641" spans="10:10" x14ac:dyDescent="0.3">
      <c r="J40641"/>
    </row>
    <row r="40642" spans="10:10" x14ac:dyDescent="0.3">
      <c r="J40642"/>
    </row>
    <row r="40643" spans="10:10" x14ac:dyDescent="0.3">
      <c r="J40643"/>
    </row>
    <row r="40644" spans="10:10" x14ac:dyDescent="0.3">
      <c r="J40644"/>
    </row>
    <row r="40645" spans="10:10" x14ac:dyDescent="0.3">
      <c r="J40645"/>
    </row>
    <row r="40646" spans="10:10" x14ac:dyDescent="0.3">
      <c r="J40646"/>
    </row>
    <row r="40647" spans="10:10" x14ac:dyDescent="0.3">
      <c r="J40647"/>
    </row>
    <row r="40648" spans="10:10" x14ac:dyDescent="0.3">
      <c r="J40648"/>
    </row>
    <row r="40649" spans="10:10" x14ac:dyDescent="0.3">
      <c r="J40649"/>
    </row>
    <row r="40650" spans="10:10" x14ac:dyDescent="0.3">
      <c r="J40650"/>
    </row>
    <row r="40651" spans="10:10" x14ac:dyDescent="0.3">
      <c r="J40651"/>
    </row>
    <row r="40652" spans="10:10" x14ac:dyDescent="0.3">
      <c r="J40652"/>
    </row>
    <row r="40653" spans="10:10" x14ac:dyDescent="0.3">
      <c r="J40653"/>
    </row>
    <row r="40654" spans="10:10" x14ac:dyDescent="0.3">
      <c r="J40654"/>
    </row>
    <row r="40655" spans="10:10" x14ac:dyDescent="0.3">
      <c r="J40655"/>
    </row>
    <row r="40656" spans="10:10" x14ac:dyDescent="0.3">
      <c r="J40656"/>
    </row>
    <row r="40657" spans="10:10" x14ac:dyDescent="0.3">
      <c r="J40657"/>
    </row>
    <row r="40658" spans="10:10" x14ac:dyDescent="0.3">
      <c r="J40658"/>
    </row>
    <row r="40659" spans="10:10" x14ac:dyDescent="0.3">
      <c r="J40659"/>
    </row>
    <row r="40660" spans="10:10" x14ac:dyDescent="0.3">
      <c r="J40660"/>
    </row>
    <row r="40661" spans="10:10" x14ac:dyDescent="0.3">
      <c r="J40661"/>
    </row>
    <row r="40662" spans="10:10" x14ac:dyDescent="0.3">
      <c r="J40662"/>
    </row>
    <row r="40663" spans="10:10" x14ac:dyDescent="0.3">
      <c r="J40663"/>
    </row>
    <row r="40664" spans="10:10" x14ac:dyDescent="0.3">
      <c r="J40664"/>
    </row>
    <row r="40665" spans="10:10" x14ac:dyDescent="0.3">
      <c r="J40665"/>
    </row>
    <row r="40666" spans="10:10" x14ac:dyDescent="0.3">
      <c r="J40666"/>
    </row>
    <row r="40667" spans="10:10" x14ac:dyDescent="0.3">
      <c r="J40667"/>
    </row>
    <row r="40668" spans="10:10" x14ac:dyDescent="0.3">
      <c r="J40668"/>
    </row>
    <row r="40669" spans="10:10" x14ac:dyDescent="0.3">
      <c r="J40669"/>
    </row>
    <row r="40670" spans="10:10" x14ac:dyDescent="0.3">
      <c r="J40670"/>
    </row>
    <row r="40671" spans="10:10" x14ac:dyDescent="0.3">
      <c r="J40671"/>
    </row>
    <row r="40672" spans="10:10" x14ac:dyDescent="0.3">
      <c r="J40672"/>
    </row>
    <row r="40673" spans="10:10" x14ac:dyDescent="0.3">
      <c r="J40673"/>
    </row>
    <row r="40674" spans="10:10" x14ac:dyDescent="0.3">
      <c r="J40674"/>
    </row>
    <row r="40675" spans="10:10" x14ac:dyDescent="0.3">
      <c r="J40675"/>
    </row>
    <row r="40676" spans="10:10" x14ac:dyDescent="0.3">
      <c r="J40676"/>
    </row>
    <row r="40677" spans="10:10" x14ac:dyDescent="0.3">
      <c r="J40677"/>
    </row>
    <row r="40678" spans="10:10" x14ac:dyDescent="0.3">
      <c r="J40678"/>
    </row>
    <row r="40679" spans="10:10" x14ac:dyDescent="0.3">
      <c r="J40679"/>
    </row>
    <row r="40680" spans="10:10" x14ac:dyDescent="0.3">
      <c r="J40680"/>
    </row>
    <row r="40681" spans="10:10" x14ac:dyDescent="0.3">
      <c r="J40681"/>
    </row>
    <row r="40682" spans="10:10" x14ac:dyDescent="0.3">
      <c r="J40682"/>
    </row>
    <row r="40683" spans="10:10" x14ac:dyDescent="0.3">
      <c r="J40683"/>
    </row>
    <row r="40684" spans="10:10" x14ac:dyDescent="0.3">
      <c r="J40684"/>
    </row>
    <row r="40685" spans="10:10" x14ac:dyDescent="0.3">
      <c r="J40685"/>
    </row>
    <row r="40686" spans="10:10" x14ac:dyDescent="0.3">
      <c r="J40686"/>
    </row>
    <row r="40687" spans="10:10" x14ac:dyDescent="0.3">
      <c r="J40687"/>
    </row>
    <row r="40688" spans="10:10" x14ac:dyDescent="0.3">
      <c r="J40688"/>
    </row>
    <row r="40689" spans="10:10" x14ac:dyDescent="0.3">
      <c r="J40689"/>
    </row>
    <row r="40690" spans="10:10" x14ac:dyDescent="0.3">
      <c r="J40690"/>
    </row>
    <row r="40691" spans="10:10" x14ac:dyDescent="0.3">
      <c r="J40691"/>
    </row>
    <row r="40692" spans="10:10" x14ac:dyDescent="0.3">
      <c r="J40692"/>
    </row>
    <row r="40693" spans="10:10" x14ac:dyDescent="0.3">
      <c r="J40693"/>
    </row>
    <row r="40694" spans="10:10" x14ac:dyDescent="0.3">
      <c r="J40694"/>
    </row>
    <row r="40695" spans="10:10" x14ac:dyDescent="0.3">
      <c r="J40695"/>
    </row>
    <row r="40696" spans="10:10" x14ac:dyDescent="0.3">
      <c r="J40696"/>
    </row>
    <row r="40697" spans="10:10" x14ac:dyDescent="0.3">
      <c r="J40697"/>
    </row>
    <row r="40698" spans="10:10" x14ac:dyDescent="0.3">
      <c r="J40698"/>
    </row>
    <row r="40699" spans="10:10" x14ac:dyDescent="0.3">
      <c r="J40699"/>
    </row>
    <row r="40700" spans="10:10" x14ac:dyDescent="0.3">
      <c r="J40700"/>
    </row>
    <row r="40701" spans="10:10" x14ac:dyDescent="0.3">
      <c r="J40701"/>
    </row>
    <row r="40702" spans="10:10" x14ac:dyDescent="0.3">
      <c r="J40702"/>
    </row>
    <row r="40703" spans="10:10" x14ac:dyDescent="0.3">
      <c r="J40703"/>
    </row>
    <row r="40704" spans="10:10" x14ac:dyDescent="0.3">
      <c r="J40704"/>
    </row>
    <row r="40705" spans="10:10" x14ac:dyDescent="0.3">
      <c r="J40705"/>
    </row>
    <row r="40706" spans="10:10" x14ac:dyDescent="0.3">
      <c r="J40706"/>
    </row>
    <row r="40707" spans="10:10" x14ac:dyDescent="0.3">
      <c r="J40707"/>
    </row>
    <row r="40708" spans="10:10" x14ac:dyDescent="0.3">
      <c r="J40708"/>
    </row>
    <row r="40709" spans="10:10" x14ac:dyDescent="0.3">
      <c r="J40709"/>
    </row>
    <row r="40710" spans="10:10" x14ac:dyDescent="0.3">
      <c r="J40710"/>
    </row>
    <row r="40711" spans="10:10" x14ac:dyDescent="0.3">
      <c r="J40711"/>
    </row>
    <row r="40712" spans="10:10" x14ac:dyDescent="0.3">
      <c r="J40712"/>
    </row>
    <row r="40713" spans="10:10" x14ac:dyDescent="0.3">
      <c r="J40713"/>
    </row>
    <row r="40714" spans="10:10" x14ac:dyDescent="0.3">
      <c r="J40714"/>
    </row>
    <row r="40715" spans="10:10" x14ac:dyDescent="0.3">
      <c r="J40715"/>
    </row>
    <row r="40716" spans="10:10" x14ac:dyDescent="0.3">
      <c r="J40716"/>
    </row>
    <row r="40717" spans="10:10" x14ac:dyDescent="0.3">
      <c r="J40717"/>
    </row>
    <row r="40718" spans="10:10" x14ac:dyDescent="0.3">
      <c r="J40718"/>
    </row>
    <row r="40719" spans="10:10" x14ac:dyDescent="0.3">
      <c r="J40719"/>
    </row>
    <row r="40720" spans="10:10" x14ac:dyDescent="0.3">
      <c r="J40720"/>
    </row>
    <row r="40721" spans="10:10" x14ac:dyDescent="0.3">
      <c r="J40721"/>
    </row>
    <row r="40722" spans="10:10" x14ac:dyDescent="0.3">
      <c r="J40722"/>
    </row>
    <row r="40723" spans="10:10" x14ac:dyDescent="0.3">
      <c r="J40723"/>
    </row>
    <row r="40724" spans="10:10" x14ac:dyDescent="0.3">
      <c r="J40724"/>
    </row>
    <row r="40725" spans="10:10" x14ac:dyDescent="0.3">
      <c r="J40725"/>
    </row>
    <row r="40726" spans="10:10" x14ac:dyDescent="0.3">
      <c r="J40726"/>
    </row>
    <row r="40727" spans="10:10" x14ac:dyDescent="0.3">
      <c r="J40727"/>
    </row>
    <row r="40728" spans="10:10" x14ac:dyDescent="0.3">
      <c r="J40728"/>
    </row>
    <row r="40729" spans="10:10" x14ac:dyDescent="0.3">
      <c r="J40729"/>
    </row>
    <row r="40730" spans="10:10" x14ac:dyDescent="0.3">
      <c r="J40730"/>
    </row>
    <row r="40731" spans="10:10" x14ac:dyDescent="0.3">
      <c r="J40731"/>
    </row>
    <row r="40732" spans="10:10" x14ac:dyDescent="0.3">
      <c r="J40732"/>
    </row>
    <row r="40733" spans="10:10" x14ac:dyDescent="0.3">
      <c r="J40733"/>
    </row>
    <row r="40734" spans="10:10" x14ac:dyDescent="0.3">
      <c r="J40734"/>
    </row>
    <row r="40735" spans="10:10" x14ac:dyDescent="0.3">
      <c r="J40735"/>
    </row>
    <row r="40736" spans="10:10" x14ac:dyDescent="0.3">
      <c r="J40736"/>
    </row>
    <row r="40737" spans="10:10" x14ac:dyDescent="0.3">
      <c r="J40737"/>
    </row>
    <row r="40738" spans="10:10" x14ac:dyDescent="0.3">
      <c r="J40738"/>
    </row>
    <row r="40739" spans="10:10" x14ac:dyDescent="0.3">
      <c r="J40739"/>
    </row>
    <row r="40740" spans="10:10" x14ac:dyDescent="0.3">
      <c r="J40740"/>
    </row>
    <row r="40741" spans="10:10" x14ac:dyDescent="0.3">
      <c r="J40741"/>
    </row>
    <row r="40742" spans="10:10" x14ac:dyDescent="0.3">
      <c r="J40742"/>
    </row>
    <row r="40743" spans="10:10" x14ac:dyDescent="0.3">
      <c r="J40743"/>
    </row>
    <row r="40744" spans="10:10" x14ac:dyDescent="0.3">
      <c r="J40744"/>
    </row>
    <row r="40745" spans="10:10" x14ac:dyDescent="0.3">
      <c r="J40745"/>
    </row>
    <row r="40746" spans="10:10" x14ac:dyDescent="0.3">
      <c r="J40746"/>
    </row>
    <row r="40747" spans="10:10" x14ac:dyDescent="0.3">
      <c r="J40747"/>
    </row>
    <row r="40748" spans="10:10" x14ac:dyDescent="0.3">
      <c r="J40748"/>
    </row>
    <row r="40749" spans="10:10" x14ac:dyDescent="0.3">
      <c r="J40749"/>
    </row>
    <row r="40750" spans="10:10" x14ac:dyDescent="0.3">
      <c r="J40750"/>
    </row>
    <row r="40751" spans="10:10" x14ac:dyDescent="0.3">
      <c r="J40751"/>
    </row>
    <row r="40752" spans="10:10" x14ac:dyDescent="0.3">
      <c r="J40752"/>
    </row>
    <row r="40753" spans="10:10" x14ac:dyDescent="0.3">
      <c r="J40753"/>
    </row>
    <row r="40754" spans="10:10" x14ac:dyDescent="0.3">
      <c r="J40754"/>
    </row>
    <row r="40755" spans="10:10" x14ac:dyDescent="0.3">
      <c r="J40755"/>
    </row>
    <row r="40756" spans="10:10" x14ac:dyDescent="0.3">
      <c r="J40756"/>
    </row>
    <row r="40757" spans="10:10" x14ac:dyDescent="0.3">
      <c r="J40757"/>
    </row>
    <row r="40758" spans="10:10" x14ac:dyDescent="0.3">
      <c r="J40758"/>
    </row>
    <row r="40759" spans="10:10" x14ac:dyDescent="0.3">
      <c r="J40759"/>
    </row>
    <row r="40760" spans="10:10" x14ac:dyDescent="0.3">
      <c r="J40760"/>
    </row>
    <row r="40761" spans="10:10" x14ac:dyDescent="0.3">
      <c r="J40761"/>
    </row>
    <row r="40762" spans="10:10" x14ac:dyDescent="0.3">
      <c r="J40762"/>
    </row>
    <row r="40763" spans="10:10" x14ac:dyDescent="0.3">
      <c r="J40763"/>
    </row>
    <row r="40764" spans="10:10" x14ac:dyDescent="0.3">
      <c r="J40764"/>
    </row>
    <row r="40765" spans="10:10" x14ac:dyDescent="0.3">
      <c r="J40765"/>
    </row>
    <row r="40766" spans="10:10" x14ac:dyDescent="0.3">
      <c r="J40766"/>
    </row>
    <row r="40767" spans="10:10" x14ac:dyDescent="0.3">
      <c r="J40767"/>
    </row>
    <row r="40768" spans="10:10" x14ac:dyDescent="0.3">
      <c r="J40768"/>
    </row>
    <row r="40769" spans="10:10" x14ac:dyDescent="0.3">
      <c r="J40769"/>
    </row>
    <row r="40770" spans="10:10" x14ac:dyDescent="0.3">
      <c r="J40770"/>
    </row>
    <row r="40771" spans="10:10" x14ac:dyDescent="0.3">
      <c r="J40771"/>
    </row>
    <row r="40772" spans="10:10" x14ac:dyDescent="0.3">
      <c r="J40772"/>
    </row>
    <row r="40773" spans="10:10" x14ac:dyDescent="0.3">
      <c r="J40773"/>
    </row>
    <row r="40774" spans="10:10" x14ac:dyDescent="0.3">
      <c r="J40774"/>
    </row>
    <row r="40775" spans="10:10" x14ac:dyDescent="0.3">
      <c r="J40775"/>
    </row>
    <row r="40776" spans="10:10" x14ac:dyDescent="0.3">
      <c r="J40776"/>
    </row>
    <row r="40777" spans="10:10" x14ac:dyDescent="0.3">
      <c r="J40777"/>
    </row>
    <row r="40778" spans="10:10" x14ac:dyDescent="0.3">
      <c r="J40778"/>
    </row>
    <row r="40779" spans="10:10" x14ac:dyDescent="0.3">
      <c r="J40779"/>
    </row>
    <row r="40780" spans="10:10" x14ac:dyDescent="0.3">
      <c r="J40780"/>
    </row>
    <row r="40781" spans="10:10" x14ac:dyDescent="0.3">
      <c r="J40781"/>
    </row>
    <row r="40782" spans="10:10" x14ac:dyDescent="0.3">
      <c r="J40782"/>
    </row>
    <row r="40783" spans="10:10" x14ac:dyDescent="0.3">
      <c r="J40783"/>
    </row>
    <row r="40784" spans="10:10" x14ac:dyDescent="0.3">
      <c r="J40784"/>
    </row>
    <row r="40785" spans="10:10" x14ac:dyDescent="0.3">
      <c r="J40785"/>
    </row>
    <row r="40786" spans="10:10" x14ac:dyDescent="0.3">
      <c r="J40786"/>
    </row>
    <row r="40787" spans="10:10" x14ac:dyDescent="0.3">
      <c r="J40787"/>
    </row>
    <row r="40788" spans="10:10" x14ac:dyDescent="0.3">
      <c r="J40788"/>
    </row>
    <row r="40789" spans="10:10" x14ac:dyDescent="0.3">
      <c r="J40789"/>
    </row>
    <row r="40790" spans="10:10" x14ac:dyDescent="0.3">
      <c r="J40790"/>
    </row>
    <row r="40791" spans="10:10" x14ac:dyDescent="0.3">
      <c r="J40791"/>
    </row>
    <row r="40792" spans="10:10" x14ac:dyDescent="0.3">
      <c r="J40792"/>
    </row>
    <row r="40793" spans="10:10" x14ac:dyDescent="0.3">
      <c r="J40793"/>
    </row>
    <row r="40794" spans="10:10" x14ac:dyDescent="0.3">
      <c r="J40794"/>
    </row>
    <row r="40795" spans="10:10" x14ac:dyDescent="0.3">
      <c r="J40795"/>
    </row>
    <row r="40796" spans="10:10" x14ac:dyDescent="0.3">
      <c r="J40796"/>
    </row>
    <row r="40797" spans="10:10" x14ac:dyDescent="0.3">
      <c r="J40797"/>
    </row>
    <row r="40798" spans="10:10" x14ac:dyDescent="0.3">
      <c r="J40798"/>
    </row>
    <row r="40799" spans="10:10" x14ac:dyDescent="0.3">
      <c r="J40799"/>
    </row>
    <row r="40800" spans="10:10" x14ac:dyDescent="0.3">
      <c r="J40800"/>
    </row>
    <row r="40801" spans="10:10" x14ac:dyDescent="0.3">
      <c r="J40801"/>
    </row>
    <row r="40802" spans="10:10" x14ac:dyDescent="0.3">
      <c r="J40802"/>
    </row>
    <row r="40803" spans="10:10" x14ac:dyDescent="0.3">
      <c r="J40803"/>
    </row>
    <row r="40804" spans="10:10" x14ac:dyDescent="0.3">
      <c r="J40804"/>
    </row>
    <row r="40805" spans="10:10" x14ac:dyDescent="0.3">
      <c r="J40805"/>
    </row>
    <row r="40806" spans="10:10" x14ac:dyDescent="0.3">
      <c r="J40806"/>
    </row>
    <row r="40807" spans="10:10" x14ac:dyDescent="0.3">
      <c r="J40807"/>
    </row>
    <row r="40808" spans="10:10" x14ac:dyDescent="0.3">
      <c r="J40808"/>
    </row>
    <row r="40809" spans="10:10" x14ac:dyDescent="0.3">
      <c r="J40809"/>
    </row>
    <row r="40810" spans="10:10" x14ac:dyDescent="0.3">
      <c r="J40810"/>
    </row>
    <row r="40811" spans="10:10" x14ac:dyDescent="0.3">
      <c r="J40811"/>
    </row>
    <row r="40812" spans="10:10" x14ac:dyDescent="0.3">
      <c r="J40812"/>
    </row>
    <row r="40813" spans="10:10" x14ac:dyDescent="0.3">
      <c r="J40813"/>
    </row>
    <row r="40814" spans="10:10" x14ac:dyDescent="0.3">
      <c r="J40814"/>
    </row>
    <row r="40815" spans="10:10" x14ac:dyDescent="0.3">
      <c r="J40815"/>
    </row>
    <row r="40816" spans="10:10" x14ac:dyDescent="0.3">
      <c r="J40816"/>
    </row>
    <row r="40817" spans="10:10" x14ac:dyDescent="0.3">
      <c r="J40817"/>
    </row>
    <row r="40818" spans="10:10" x14ac:dyDescent="0.3">
      <c r="J40818"/>
    </row>
    <row r="40819" spans="10:10" x14ac:dyDescent="0.3">
      <c r="J40819"/>
    </row>
    <row r="40820" spans="10:10" x14ac:dyDescent="0.3">
      <c r="J40820"/>
    </row>
    <row r="40821" spans="10:10" x14ac:dyDescent="0.3">
      <c r="J40821"/>
    </row>
    <row r="40822" spans="10:10" x14ac:dyDescent="0.3">
      <c r="J40822"/>
    </row>
    <row r="40823" spans="10:10" x14ac:dyDescent="0.3">
      <c r="J40823"/>
    </row>
    <row r="40824" spans="10:10" x14ac:dyDescent="0.3">
      <c r="J40824"/>
    </row>
    <row r="40825" spans="10:10" x14ac:dyDescent="0.3">
      <c r="J40825"/>
    </row>
    <row r="40826" spans="10:10" x14ac:dyDescent="0.3">
      <c r="J40826"/>
    </row>
    <row r="40827" spans="10:10" x14ac:dyDescent="0.3">
      <c r="J40827"/>
    </row>
    <row r="40828" spans="10:10" x14ac:dyDescent="0.3">
      <c r="J40828"/>
    </row>
    <row r="40829" spans="10:10" x14ac:dyDescent="0.3">
      <c r="J40829"/>
    </row>
    <row r="40830" spans="10:10" x14ac:dyDescent="0.3">
      <c r="J40830"/>
    </row>
    <row r="40831" spans="10:10" x14ac:dyDescent="0.3">
      <c r="J40831"/>
    </row>
    <row r="40832" spans="10:10" x14ac:dyDescent="0.3">
      <c r="J40832"/>
    </row>
    <row r="40833" spans="10:10" x14ac:dyDescent="0.3">
      <c r="J40833"/>
    </row>
    <row r="40834" spans="10:10" x14ac:dyDescent="0.3">
      <c r="J40834"/>
    </row>
    <row r="40835" spans="10:10" x14ac:dyDescent="0.3">
      <c r="J40835"/>
    </row>
    <row r="40836" spans="10:10" x14ac:dyDescent="0.3">
      <c r="J40836"/>
    </row>
    <row r="40837" spans="10:10" x14ac:dyDescent="0.3">
      <c r="J40837"/>
    </row>
    <row r="40838" spans="10:10" x14ac:dyDescent="0.3">
      <c r="J40838"/>
    </row>
    <row r="40839" spans="10:10" x14ac:dyDescent="0.3">
      <c r="J40839"/>
    </row>
    <row r="40840" spans="10:10" x14ac:dyDescent="0.3">
      <c r="J40840"/>
    </row>
    <row r="40841" spans="10:10" x14ac:dyDescent="0.3">
      <c r="J40841"/>
    </row>
    <row r="40842" spans="10:10" x14ac:dyDescent="0.3">
      <c r="J40842"/>
    </row>
    <row r="40843" spans="10:10" x14ac:dyDescent="0.3">
      <c r="J40843"/>
    </row>
    <row r="40844" spans="10:10" x14ac:dyDescent="0.3">
      <c r="J40844"/>
    </row>
    <row r="40845" spans="10:10" x14ac:dyDescent="0.3">
      <c r="J40845"/>
    </row>
    <row r="40846" spans="10:10" x14ac:dyDescent="0.3">
      <c r="J40846"/>
    </row>
    <row r="40847" spans="10:10" x14ac:dyDescent="0.3">
      <c r="J40847"/>
    </row>
    <row r="40848" spans="10:10" x14ac:dyDescent="0.3">
      <c r="J40848"/>
    </row>
    <row r="40849" spans="10:10" x14ac:dyDescent="0.3">
      <c r="J40849"/>
    </row>
    <row r="40850" spans="10:10" x14ac:dyDescent="0.3">
      <c r="J40850"/>
    </row>
    <row r="40851" spans="10:10" x14ac:dyDescent="0.3">
      <c r="J40851"/>
    </row>
    <row r="40852" spans="10:10" x14ac:dyDescent="0.3">
      <c r="J40852"/>
    </row>
    <row r="40853" spans="10:10" x14ac:dyDescent="0.3">
      <c r="J40853"/>
    </row>
    <row r="40854" spans="10:10" x14ac:dyDescent="0.3">
      <c r="J40854"/>
    </row>
    <row r="40855" spans="10:10" x14ac:dyDescent="0.3">
      <c r="J40855"/>
    </row>
    <row r="40856" spans="10:10" x14ac:dyDescent="0.3">
      <c r="J40856"/>
    </row>
    <row r="40857" spans="10:10" x14ac:dyDescent="0.3">
      <c r="J40857"/>
    </row>
    <row r="40858" spans="10:10" x14ac:dyDescent="0.3">
      <c r="J40858"/>
    </row>
    <row r="40859" spans="10:10" x14ac:dyDescent="0.3">
      <c r="J40859"/>
    </row>
    <row r="40860" spans="10:10" x14ac:dyDescent="0.3">
      <c r="J40860"/>
    </row>
    <row r="40861" spans="10:10" x14ac:dyDescent="0.3">
      <c r="J40861"/>
    </row>
    <row r="40862" spans="10:10" x14ac:dyDescent="0.3">
      <c r="J40862"/>
    </row>
    <row r="40863" spans="10:10" x14ac:dyDescent="0.3">
      <c r="J40863"/>
    </row>
    <row r="40864" spans="10:10" x14ac:dyDescent="0.3">
      <c r="J40864"/>
    </row>
    <row r="40865" spans="10:10" x14ac:dyDescent="0.3">
      <c r="J40865"/>
    </row>
    <row r="40866" spans="10:10" x14ac:dyDescent="0.3">
      <c r="J40866"/>
    </row>
    <row r="40867" spans="10:10" x14ac:dyDescent="0.3">
      <c r="J40867"/>
    </row>
    <row r="40868" spans="10:10" x14ac:dyDescent="0.3">
      <c r="J40868"/>
    </row>
    <row r="40869" spans="10:10" x14ac:dyDescent="0.3">
      <c r="J40869"/>
    </row>
    <row r="40870" spans="10:10" x14ac:dyDescent="0.3">
      <c r="J40870"/>
    </row>
    <row r="40871" spans="10:10" x14ac:dyDescent="0.3">
      <c r="J40871"/>
    </row>
    <row r="40872" spans="10:10" x14ac:dyDescent="0.3">
      <c r="J40872"/>
    </row>
    <row r="40873" spans="10:10" x14ac:dyDescent="0.3">
      <c r="J40873"/>
    </row>
    <row r="40874" spans="10:10" x14ac:dyDescent="0.3">
      <c r="J40874"/>
    </row>
    <row r="40875" spans="10:10" x14ac:dyDescent="0.3">
      <c r="J40875"/>
    </row>
    <row r="40876" spans="10:10" x14ac:dyDescent="0.3">
      <c r="J40876"/>
    </row>
    <row r="40877" spans="10:10" x14ac:dyDescent="0.3">
      <c r="J40877"/>
    </row>
    <row r="40878" spans="10:10" x14ac:dyDescent="0.3">
      <c r="J40878"/>
    </row>
    <row r="40879" spans="10:10" x14ac:dyDescent="0.3">
      <c r="J40879"/>
    </row>
    <row r="40880" spans="10:10" x14ac:dyDescent="0.3">
      <c r="J40880"/>
    </row>
    <row r="40881" spans="10:10" x14ac:dyDescent="0.3">
      <c r="J40881"/>
    </row>
    <row r="40882" spans="10:10" x14ac:dyDescent="0.3">
      <c r="J40882"/>
    </row>
    <row r="40883" spans="10:10" x14ac:dyDescent="0.3">
      <c r="J40883"/>
    </row>
    <row r="40884" spans="10:10" x14ac:dyDescent="0.3">
      <c r="J40884"/>
    </row>
    <row r="40885" spans="10:10" x14ac:dyDescent="0.3">
      <c r="J40885"/>
    </row>
    <row r="40886" spans="10:10" x14ac:dyDescent="0.3">
      <c r="J40886"/>
    </row>
    <row r="40887" spans="10:10" x14ac:dyDescent="0.3">
      <c r="J40887"/>
    </row>
    <row r="40888" spans="10:10" x14ac:dyDescent="0.3">
      <c r="J40888"/>
    </row>
    <row r="40889" spans="10:10" x14ac:dyDescent="0.3">
      <c r="J40889"/>
    </row>
    <row r="40890" spans="10:10" x14ac:dyDescent="0.3">
      <c r="J40890"/>
    </row>
    <row r="40891" spans="10:10" x14ac:dyDescent="0.3">
      <c r="J40891"/>
    </row>
    <row r="40892" spans="10:10" x14ac:dyDescent="0.3">
      <c r="J40892"/>
    </row>
    <row r="40893" spans="10:10" x14ac:dyDescent="0.3">
      <c r="J40893"/>
    </row>
    <row r="40894" spans="10:10" x14ac:dyDescent="0.3">
      <c r="J40894"/>
    </row>
    <row r="40895" spans="10:10" x14ac:dyDescent="0.3">
      <c r="J40895"/>
    </row>
    <row r="40896" spans="10:10" x14ac:dyDescent="0.3">
      <c r="J40896"/>
    </row>
    <row r="40897" spans="10:10" x14ac:dyDescent="0.3">
      <c r="J40897"/>
    </row>
    <row r="40898" spans="10:10" x14ac:dyDescent="0.3">
      <c r="J40898"/>
    </row>
    <row r="40899" spans="10:10" x14ac:dyDescent="0.3">
      <c r="J40899"/>
    </row>
    <row r="40900" spans="10:10" x14ac:dyDescent="0.3">
      <c r="J40900"/>
    </row>
    <row r="40901" spans="10:10" x14ac:dyDescent="0.3">
      <c r="J40901"/>
    </row>
    <row r="40902" spans="10:10" x14ac:dyDescent="0.3">
      <c r="J40902"/>
    </row>
    <row r="40903" spans="10:10" x14ac:dyDescent="0.3">
      <c r="J40903"/>
    </row>
    <row r="40904" spans="10:10" x14ac:dyDescent="0.3">
      <c r="J40904"/>
    </row>
    <row r="40905" spans="10:10" x14ac:dyDescent="0.3">
      <c r="J40905"/>
    </row>
    <row r="40906" spans="10:10" x14ac:dyDescent="0.3">
      <c r="J40906"/>
    </row>
    <row r="40907" spans="10:10" x14ac:dyDescent="0.3">
      <c r="J40907"/>
    </row>
    <row r="40908" spans="10:10" x14ac:dyDescent="0.3">
      <c r="J40908"/>
    </row>
    <row r="40909" spans="10:10" x14ac:dyDescent="0.3">
      <c r="J40909"/>
    </row>
    <row r="40910" spans="10:10" x14ac:dyDescent="0.3">
      <c r="J40910"/>
    </row>
    <row r="40911" spans="10:10" x14ac:dyDescent="0.3">
      <c r="J40911"/>
    </row>
    <row r="40912" spans="10:10" x14ac:dyDescent="0.3">
      <c r="J40912"/>
    </row>
    <row r="40913" spans="10:10" x14ac:dyDescent="0.3">
      <c r="J40913"/>
    </row>
    <row r="40914" spans="10:10" x14ac:dyDescent="0.3">
      <c r="J40914"/>
    </row>
    <row r="40915" spans="10:10" x14ac:dyDescent="0.3">
      <c r="J40915"/>
    </row>
    <row r="40916" spans="10:10" x14ac:dyDescent="0.3">
      <c r="J40916"/>
    </row>
    <row r="40917" spans="10:10" x14ac:dyDescent="0.3">
      <c r="J40917"/>
    </row>
    <row r="40918" spans="10:10" x14ac:dyDescent="0.3">
      <c r="J40918"/>
    </row>
    <row r="40919" spans="10:10" x14ac:dyDescent="0.3">
      <c r="J40919"/>
    </row>
    <row r="40920" spans="10:10" x14ac:dyDescent="0.3">
      <c r="J40920"/>
    </row>
    <row r="40921" spans="10:10" x14ac:dyDescent="0.3">
      <c r="J40921"/>
    </row>
    <row r="40922" spans="10:10" x14ac:dyDescent="0.3">
      <c r="J40922"/>
    </row>
    <row r="40923" spans="10:10" x14ac:dyDescent="0.3">
      <c r="J40923"/>
    </row>
    <row r="40924" spans="10:10" x14ac:dyDescent="0.3">
      <c r="J40924"/>
    </row>
    <row r="40925" spans="10:10" x14ac:dyDescent="0.3">
      <c r="J40925"/>
    </row>
    <row r="40926" spans="10:10" x14ac:dyDescent="0.3">
      <c r="J40926"/>
    </row>
    <row r="40927" spans="10:10" x14ac:dyDescent="0.3">
      <c r="J40927"/>
    </row>
    <row r="40928" spans="10:10" x14ac:dyDescent="0.3">
      <c r="J40928"/>
    </row>
    <row r="40929" spans="10:10" x14ac:dyDescent="0.3">
      <c r="J40929"/>
    </row>
    <row r="40930" spans="10:10" x14ac:dyDescent="0.3">
      <c r="J40930"/>
    </row>
    <row r="40931" spans="10:10" x14ac:dyDescent="0.3">
      <c r="J40931"/>
    </row>
    <row r="40932" spans="10:10" x14ac:dyDescent="0.3">
      <c r="J40932"/>
    </row>
    <row r="40933" spans="10:10" x14ac:dyDescent="0.3">
      <c r="J40933"/>
    </row>
    <row r="40934" spans="10:10" x14ac:dyDescent="0.3">
      <c r="J40934"/>
    </row>
    <row r="40935" spans="10:10" x14ac:dyDescent="0.3">
      <c r="J40935"/>
    </row>
    <row r="40936" spans="10:10" x14ac:dyDescent="0.3">
      <c r="J40936"/>
    </row>
    <row r="40937" spans="10:10" x14ac:dyDescent="0.3">
      <c r="J40937"/>
    </row>
    <row r="40938" spans="10:10" x14ac:dyDescent="0.3">
      <c r="J40938"/>
    </row>
    <row r="40939" spans="10:10" x14ac:dyDescent="0.3">
      <c r="J40939"/>
    </row>
    <row r="40940" spans="10:10" x14ac:dyDescent="0.3">
      <c r="J40940"/>
    </row>
    <row r="40941" spans="10:10" x14ac:dyDescent="0.3">
      <c r="J40941"/>
    </row>
    <row r="40942" spans="10:10" x14ac:dyDescent="0.3">
      <c r="J40942"/>
    </row>
    <row r="40943" spans="10:10" x14ac:dyDescent="0.3">
      <c r="J40943"/>
    </row>
    <row r="40944" spans="10:10" x14ac:dyDescent="0.3">
      <c r="J40944"/>
    </row>
    <row r="40945" spans="10:10" x14ac:dyDescent="0.3">
      <c r="J40945"/>
    </row>
    <row r="40946" spans="10:10" x14ac:dyDescent="0.3">
      <c r="J40946"/>
    </row>
    <row r="40947" spans="10:10" x14ac:dyDescent="0.3">
      <c r="J40947"/>
    </row>
    <row r="40948" spans="10:10" x14ac:dyDescent="0.3">
      <c r="J40948"/>
    </row>
    <row r="40949" spans="10:10" x14ac:dyDescent="0.3">
      <c r="J40949"/>
    </row>
    <row r="40950" spans="10:10" x14ac:dyDescent="0.3">
      <c r="J40950"/>
    </row>
    <row r="40951" spans="10:10" x14ac:dyDescent="0.3">
      <c r="J40951"/>
    </row>
    <row r="40952" spans="10:10" x14ac:dyDescent="0.3">
      <c r="J40952"/>
    </row>
    <row r="40953" spans="10:10" x14ac:dyDescent="0.3">
      <c r="J40953"/>
    </row>
    <row r="40954" spans="10:10" x14ac:dyDescent="0.3">
      <c r="J40954"/>
    </row>
    <row r="40955" spans="10:10" x14ac:dyDescent="0.3">
      <c r="J40955"/>
    </row>
    <row r="40956" spans="10:10" x14ac:dyDescent="0.3">
      <c r="J40956"/>
    </row>
    <row r="40957" spans="10:10" x14ac:dyDescent="0.3">
      <c r="J40957"/>
    </row>
    <row r="40958" spans="10:10" x14ac:dyDescent="0.3">
      <c r="J40958"/>
    </row>
    <row r="40959" spans="10:10" x14ac:dyDescent="0.3">
      <c r="J40959"/>
    </row>
    <row r="40960" spans="10:10" x14ac:dyDescent="0.3">
      <c r="J40960"/>
    </row>
    <row r="40961" spans="10:10" x14ac:dyDescent="0.3">
      <c r="J40961"/>
    </row>
    <row r="40962" spans="10:10" x14ac:dyDescent="0.3">
      <c r="J40962"/>
    </row>
    <row r="40963" spans="10:10" x14ac:dyDescent="0.3">
      <c r="J40963"/>
    </row>
    <row r="40964" spans="10:10" x14ac:dyDescent="0.3">
      <c r="J40964"/>
    </row>
    <row r="40965" spans="10:10" x14ac:dyDescent="0.3">
      <c r="J40965"/>
    </row>
    <row r="40966" spans="10:10" x14ac:dyDescent="0.3">
      <c r="J40966"/>
    </row>
    <row r="40967" spans="10:10" x14ac:dyDescent="0.3">
      <c r="J40967"/>
    </row>
    <row r="40968" spans="10:10" x14ac:dyDescent="0.3">
      <c r="J40968"/>
    </row>
    <row r="40969" spans="10:10" x14ac:dyDescent="0.3">
      <c r="J40969"/>
    </row>
    <row r="40970" spans="10:10" x14ac:dyDescent="0.3">
      <c r="J40970"/>
    </row>
    <row r="40971" spans="10:10" x14ac:dyDescent="0.3">
      <c r="J40971"/>
    </row>
    <row r="40972" spans="10:10" x14ac:dyDescent="0.3">
      <c r="J40972"/>
    </row>
    <row r="40973" spans="10:10" x14ac:dyDescent="0.3">
      <c r="J40973"/>
    </row>
    <row r="40974" spans="10:10" x14ac:dyDescent="0.3">
      <c r="J40974"/>
    </row>
    <row r="40975" spans="10:10" x14ac:dyDescent="0.3">
      <c r="J40975"/>
    </row>
    <row r="40976" spans="10:10" x14ac:dyDescent="0.3">
      <c r="J40976"/>
    </row>
    <row r="40977" spans="10:10" x14ac:dyDescent="0.3">
      <c r="J40977"/>
    </row>
    <row r="40978" spans="10:10" x14ac:dyDescent="0.3">
      <c r="J40978"/>
    </row>
    <row r="40979" spans="10:10" x14ac:dyDescent="0.3">
      <c r="J40979"/>
    </row>
    <row r="40980" spans="10:10" x14ac:dyDescent="0.3">
      <c r="J40980"/>
    </row>
    <row r="40981" spans="10:10" x14ac:dyDescent="0.3">
      <c r="J40981"/>
    </row>
    <row r="40982" spans="10:10" x14ac:dyDescent="0.3">
      <c r="J40982"/>
    </row>
    <row r="40983" spans="10:10" x14ac:dyDescent="0.3">
      <c r="J40983"/>
    </row>
    <row r="40984" spans="10:10" x14ac:dyDescent="0.3">
      <c r="J40984"/>
    </row>
    <row r="40985" spans="10:10" x14ac:dyDescent="0.3">
      <c r="J40985"/>
    </row>
    <row r="40986" spans="10:10" x14ac:dyDescent="0.3">
      <c r="J40986"/>
    </row>
    <row r="40987" spans="10:10" x14ac:dyDescent="0.3">
      <c r="J40987"/>
    </row>
    <row r="40988" spans="10:10" x14ac:dyDescent="0.3">
      <c r="J40988"/>
    </row>
    <row r="40989" spans="10:10" x14ac:dyDescent="0.3">
      <c r="J40989"/>
    </row>
    <row r="40990" spans="10:10" x14ac:dyDescent="0.3">
      <c r="J40990"/>
    </row>
    <row r="40991" spans="10:10" x14ac:dyDescent="0.3">
      <c r="J40991"/>
    </row>
    <row r="40992" spans="10:10" x14ac:dyDescent="0.3">
      <c r="J40992"/>
    </row>
    <row r="40993" spans="10:10" x14ac:dyDescent="0.3">
      <c r="J40993"/>
    </row>
    <row r="40994" spans="10:10" x14ac:dyDescent="0.3">
      <c r="J40994"/>
    </row>
    <row r="40995" spans="10:10" x14ac:dyDescent="0.3">
      <c r="J40995"/>
    </row>
    <row r="40996" spans="10:10" x14ac:dyDescent="0.3">
      <c r="J40996"/>
    </row>
    <row r="40997" spans="10:10" x14ac:dyDescent="0.3">
      <c r="J40997"/>
    </row>
    <row r="40998" spans="10:10" x14ac:dyDescent="0.3">
      <c r="J40998"/>
    </row>
    <row r="40999" spans="10:10" x14ac:dyDescent="0.3">
      <c r="J40999"/>
    </row>
    <row r="41000" spans="10:10" x14ac:dyDescent="0.3">
      <c r="J41000"/>
    </row>
    <row r="41001" spans="10:10" x14ac:dyDescent="0.3">
      <c r="J41001"/>
    </row>
    <row r="41002" spans="10:10" x14ac:dyDescent="0.3">
      <c r="J41002"/>
    </row>
    <row r="41003" spans="10:10" x14ac:dyDescent="0.3">
      <c r="J41003"/>
    </row>
    <row r="41004" spans="10:10" x14ac:dyDescent="0.3">
      <c r="J41004"/>
    </row>
    <row r="41005" spans="10:10" x14ac:dyDescent="0.3">
      <c r="J41005"/>
    </row>
    <row r="41006" spans="10:10" x14ac:dyDescent="0.3">
      <c r="J41006"/>
    </row>
    <row r="41007" spans="10:10" x14ac:dyDescent="0.3">
      <c r="J41007"/>
    </row>
    <row r="41008" spans="10:10" x14ac:dyDescent="0.3">
      <c r="J41008"/>
    </row>
    <row r="41009" spans="10:10" x14ac:dyDescent="0.3">
      <c r="J41009"/>
    </row>
    <row r="41010" spans="10:10" x14ac:dyDescent="0.3">
      <c r="J41010"/>
    </row>
    <row r="41011" spans="10:10" x14ac:dyDescent="0.3">
      <c r="J41011"/>
    </row>
    <row r="41012" spans="10:10" x14ac:dyDescent="0.3">
      <c r="J41012"/>
    </row>
    <row r="41013" spans="10:10" x14ac:dyDescent="0.3">
      <c r="J41013"/>
    </row>
    <row r="41014" spans="10:10" x14ac:dyDescent="0.3">
      <c r="J41014"/>
    </row>
    <row r="41015" spans="10:10" x14ac:dyDescent="0.3">
      <c r="J41015"/>
    </row>
    <row r="41016" spans="10:10" x14ac:dyDescent="0.3">
      <c r="J41016"/>
    </row>
    <row r="41017" spans="10:10" x14ac:dyDescent="0.3">
      <c r="J41017"/>
    </row>
    <row r="41018" spans="10:10" x14ac:dyDescent="0.3">
      <c r="J41018"/>
    </row>
    <row r="41019" spans="10:10" x14ac:dyDescent="0.3">
      <c r="J41019"/>
    </row>
    <row r="41020" spans="10:10" x14ac:dyDescent="0.3">
      <c r="J41020"/>
    </row>
    <row r="41021" spans="10:10" x14ac:dyDescent="0.3">
      <c r="J41021"/>
    </row>
    <row r="41022" spans="10:10" x14ac:dyDescent="0.3">
      <c r="J41022"/>
    </row>
    <row r="41023" spans="10:10" x14ac:dyDescent="0.3">
      <c r="J41023"/>
    </row>
    <row r="41024" spans="10:10" x14ac:dyDescent="0.3">
      <c r="J41024"/>
    </row>
    <row r="41025" spans="10:10" x14ac:dyDescent="0.3">
      <c r="J41025"/>
    </row>
    <row r="41026" spans="10:10" x14ac:dyDescent="0.3">
      <c r="J41026"/>
    </row>
    <row r="41027" spans="10:10" x14ac:dyDescent="0.3">
      <c r="J41027"/>
    </row>
    <row r="41028" spans="10:10" x14ac:dyDescent="0.3">
      <c r="J41028"/>
    </row>
    <row r="41029" spans="10:10" x14ac:dyDescent="0.3">
      <c r="J41029"/>
    </row>
    <row r="41030" spans="10:10" x14ac:dyDescent="0.3">
      <c r="J41030"/>
    </row>
    <row r="41031" spans="10:10" x14ac:dyDescent="0.3">
      <c r="J41031"/>
    </row>
    <row r="41032" spans="10:10" x14ac:dyDescent="0.3">
      <c r="J41032"/>
    </row>
    <row r="41033" spans="10:10" x14ac:dyDescent="0.3">
      <c r="J41033"/>
    </row>
    <row r="41034" spans="10:10" x14ac:dyDescent="0.3">
      <c r="J41034"/>
    </row>
    <row r="41035" spans="10:10" x14ac:dyDescent="0.3">
      <c r="J41035"/>
    </row>
    <row r="41036" spans="10:10" x14ac:dyDescent="0.3">
      <c r="J41036"/>
    </row>
    <row r="41037" spans="10:10" x14ac:dyDescent="0.3">
      <c r="J41037"/>
    </row>
    <row r="41038" spans="10:10" x14ac:dyDescent="0.3">
      <c r="J41038"/>
    </row>
    <row r="41039" spans="10:10" x14ac:dyDescent="0.3">
      <c r="J41039"/>
    </row>
    <row r="41040" spans="10:10" x14ac:dyDescent="0.3">
      <c r="J41040"/>
    </row>
    <row r="41041" spans="10:10" x14ac:dyDescent="0.3">
      <c r="J41041"/>
    </row>
    <row r="41042" spans="10:10" x14ac:dyDescent="0.3">
      <c r="J41042"/>
    </row>
    <row r="41043" spans="10:10" x14ac:dyDescent="0.3">
      <c r="J41043"/>
    </row>
    <row r="41044" spans="10:10" x14ac:dyDescent="0.3">
      <c r="J41044"/>
    </row>
    <row r="41045" spans="10:10" x14ac:dyDescent="0.3">
      <c r="J41045"/>
    </row>
    <row r="41046" spans="10:10" x14ac:dyDescent="0.3">
      <c r="J41046"/>
    </row>
    <row r="41047" spans="10:10" x14ac:dyDescent="0.3">
      <c r="J41047"/>
    </row>
    <row r="41048" spans="10:10" x14ac:dyDescent="0.3">
      <c r="J41048"/>
    </row>
    <row r="41049" spans="10:10" x14ac:dyDescent="0.3">
      <c r="J41049"/>
    </row>
    <row r="41050" spans="10:10" x14ac:dyDescent="0.3">
      <c r="J41050"/>
    </row>
    <row r="41051" spans="10:10" x14ac:dyDescent="0.3">
      <c r="J41051"/>
    </row>
    <row r="41052" spans="10:10" x14ac:dyDescent="0.3">
      <c r="J41052"/>
    </row>
    <row r="41053" spans="10:10" x14ac:dyDescent="0.3">
      <c r="J41053"/>
    </row>
    <row r="41054" spans="10:10" x14ac:dyDescent="0.3">
      <c r="J41054"/>
    </row>
    <row r="41055" spans="10:10" x14ac:dyDescent="0.3">
      <c r="J41055"/>
    </row>
    <row r="41056" spans="10:10" x14ac:dyDescent="0.3">
      <c r="J41056"/>
    </row>
    <row r="41057" spans="10:10" x14ac:dyDescent="0.3">
      <c r="J41057"/>
    </row>
    <row r="41058" spans="10:10" x14ac:dyDescent="0.3">
      <c r="J41058"/>
    </row>
    <row r="41059" spans="10:10" x14ac:dyDescent="0.3">
      <c r="J41059"/>
    </row>
    <row r="41060" spans="10:10" x14ac:dyDescent="0.3">
      <c r="J41060"/>
    </row>
    <row r="41061" spans="10:10" x14ac:dyDescent="0.3">
      <c r="J41061"/>
    </row>
    <row r="41062" spans="10:10" x14ac:dyDescent="0.3">
      <c r="J41062"/>
    </row>
    <row r="41063" spans="10:10" x14ac:dyDescent="0.3">
      <c r="J41063"/>
    </row>
    <row r="41064" spans="10:10" x14ac:dyDescent="0.3">
      <c r="J41064"/>
    </row>
    <row r="41065" spans="10:10" x14ac:dyDescent="0.3">
      <c r="J41065"/>
    </row>
    <row r="41066" spans="10:10" x14ac:dyDescent="0.3">
      <c r="J41066"/>
    </row>
    <row r="41067" spans="10:10" x14ac:dyDescent="0.3">
      <c r="J41067"/>
    </row>
    <row r="41068" spans="10:10" x14ac:dyDescent="0.3">
      <c r="J41068"/>
    </row>
    <row r="41069" spans="10:10" x14ac:dyDescent="0.3">
      <c r="J41069"/>
    </row>
    <row r="41070" spans="10:10" x14ac:dyDescent="0.3">
      <c r="J41070"/>
    </row>
    <row r="41071" spans="10:10" x14ac:dyDescent="0.3">
      <c r="J41071"/>
    </row>
    <row r="41072" spans="10:10" x14ac:dyDescent="0.3">
      <c r="J41072"/>
    </row>
    <row r="41073" spans="10:10" x14ac:dyDescent="0.3">
      <c r="J41073"/>
    </row>
    <row r="41074" spans="10:10" x14ac:dyDescent="0.3">
      <c r="J41074"/>
    </row>
    <row r="41075" spans="10:10" x14ac:dyDescent="0.3">
      <c r="J41075"/>
    </row>
    <row r="41076" spans="10:10" x14ac:dyDescent="0.3">
      <c r="J41076"/>
    </row>
    <row r="41077" spans="10:10" x14ac:dyDescent="0.3">
      <c r="J41077"/>
    </row>
    <row r="41078" spans="10:10" x14ac:dyDescent="0.3">
      <c r="J41078"/>
    </row>
    <row r="41079" spans="10:10" x14ac:dyDescent="0.3">
      <c r="J41079"/>
    </row>
    <row r="41080" spans="10:10" x14ac:dyDescent="0.3">
      <c r="J41080"/>
    </row>
    <row r="41081" spans="10:10" x14ac:dyDescent="0.3">
      <c r="J41081"/>
    </row>
    <row r="41082" spans="10:10" x14ac:dyDescent="0.3">
      <c r="J41082"/>
    </row>
    <row r="41083" spans="10:10" x14ac:dyDescent="0.3">
      <c r="J41083"/>
    </row>
    <row r="41084" spans="10:10" x14ac:dyDescent="0.3">
      <c r="J41084"/>
    </row>
    <row r="41085" spans="10:10" x14ac:dyDescent="0.3">
      <c r="J41085"/>
    </row>
    <row r="41086" spans="10:10" x14ac:dyDescent="0.3">
      <c r="J41086"/>
    </row>
    <row r="41087" spans="10:10" x14ac:dyDescent="0.3">
      <c r="J41087"/>
    </row>
    <row r="41088" spans="10:10" x14ac:dyDescent="0.3">
      <c r="J41088"/>
    </row>
    <row r="41089" spans="10:10" x14ac:dyDescent="0.3">
      <c r="J41089"/>
    </row>
    <row r="41090" spans="10:10" x14ac:dyDescent="0.3">
      <c r="J41090"/>
    </row>
    <row r="41091" spans="10:10" x14ac:dyDescent="0.3">
      <c r="J41091"/>
    </row>
    <row r="41092" spans="10:10" x14ac:dyDescent="0.3">
      <c r="J41092"/>
    </row>
    <row r="41093" spans="10:10" x14ac:dyDescent="0.3">
      <c r="J41093"/>
    </row>
    <row r="41094" spans="10:10" x14ac:dyDescent="0.3">
      <c r="J41094"/>
    </row>
    <row r="41095" spans="10:10" x14ac:dyDescent="0.3">
      <c r="J41095"/>
    </row>
    <row r="41096" spans="10:10" x14ac:dyDescent="0.3">
      <c r="J41096"/>
    </row>
    <row r="41097" spans="10:10" x14ac:dyDescent="0.3">
      <c r="J41097"/>
    </row>
    <row r="41098" spans="10:10" x14ac:dyDescent="0.3">
      <c r="J41098"/>
    </row>
    <row r="41099" spans="10:10" x14ac:dyDescent="0.3">
      <c r="J41099"/>
    </row>
    <row r="41100" spans="10:10" x14ac:dyDescent="0.3">
      <c r="J41100"/>
    </row>
    <row r="41101" spans="10:10" x14ac:dyDescent="0.3">
      <c r="J41101"/>
    </row>
    <row r="41102" spans="10:10" x14ac:dyDescent="0.3">
      <c r="J41102"/>
    </row>
    <row r="41103" spans="10:10" x14ac:dyDescent="0.3">
      <c r="J41103"/>
    </row>
    <row r="41104" spans="10:10" x14ac:dyDescent="0.3">
      <c r="J41104"/>
    </row>
    <row r="41105" spans="10:10" x14ac:dyDescent="0.3">
      <c r="J41105"/>
    </row>
    <row r="41106" spans="10:10" x14ac:dyDescent="0.3">
      <c r="J41106"/>
    </row>
    <row r="41107" spans="10:10" x14ac:dyDescent="0.3">
      <c r="J41107"/>
    </row>
    <row r="41108" spans="10:10" x14ac:dyDescent="0.3">
      <c r="J41108"/>
    </row>
    <row r="41109" spans="10:10" x14ac:dyDescent="0.3">
      <c r="J41109"/>
    </row>
    <row r="41110" spans="10:10" x14ac:dyDescent="0.3">
      <c r="J41110"/>
    </row>
    <row r="41111" spans="10:10" x14ac:dyDescent="0.3">
      <c r="J41111"/>
    </row>
    <row r="41112" spans="10:10" x14ac:dyDescent="0.3">
      <c r="J41112"/>
    </row>
    <row r="41113" spans="10:10" x14ac:dyDescent="0.3">
      <c r="J41113"/>
    </row>
    <row r="41114" spans="10:10" x14ac:dyDescent="0.3">
      <c r="J41114"/>
    </row>
    <row r="41115" spans="10:10" x14ac:dyDescent="0.3">
      <c r="J41115"/>
    </row>
    <row r="41116" spans="10:10" x14ac:dyDescent="0.3">
      <c r="J41116"/>
    </row>
    <row r="41117" spans="10:10" x14ac:dyDescent="0.3">
      <c r="J41117"/>
    </row>
    <row r="41118" spans="10:10" x14ac:dyDescent="0.3">
      <c r="J41118"/>
    </row>
    <row r="41119" spans="10:10" x14ac:dyDescent="0.3">
      <c r="J41119"/>
    </row>
    <row r="41120" spans="10:10" x14ac:dyDescent="0.3">
      <c r="J41120"/>
    </row>
    <row r="41121" spans="10:10" x14ac:dyDescent="0.3">
      <c r="J41121"/>
    </row>
    <row r="41122" spans="10:10" x14ac:dyDescent="0.3">
      <c r="J41122"/>
    </row>
    <row r="41123" spans="10:10" x14ac:dyDescent="0.3">
      <c r="J41123"/>
    </row>
    <row r="41124" spans="10:10" x14ac:dyDescent="0.3">
      <c r="J41124"/>
    </row>
    <row r="41125" spans="10:10" x14ac:dyDescent="0.3">
      <c r="J41125"/>
    </row>
    <row r="41126" spans="10:10" x14ac:dyDescent="0.3">
      <c r="J41126"/>
    </row>
    <row r="41127" spans="10:10" x14ac:dyDescent="0.3">
      <c r="J41127"/>
    </row>
    <row r="41128" spans="10:10" x14ac:dyDescent="0.3">
      <c r="J41128"/>
    </row>
    <row r="41129" spans="10:10" x14ac:dyDescent="0.3">
      <c r="J41129"/>
    </row>
    <row r="41130" spans="10:10" x14ac:dyDescent="0.3">
      <c r="J41130"/>
    </row>
    <row r="41131" spans="10:10" x14ac:dyDescent="0.3">
      <c r="J41131"/>
    </row>
    <row r="41132" spans="10:10" x14ac:dyDescent="0.3">
      <c r="J41132"/>
    </row>
    <row r="41133" spans="10:10" x14ac:dyDescent="0.3">
      <c r="J41133"/>
    </row>
    <row r="41134" spans="10:10" x14ac:dyDescent="0.3">
      <c r="J41134"/>
    </row>
    <row r="41135" spans="10:10" x14ac:dyDescent="0.3">
      <c r="J41135"/>
    </row>
    <row r="41136" spans="10:10" x14ac:dyDescent="0.3">
      <c r="J41136"/>
    </row>
    <row r="41137" spans="10:10" x14ac:dyDescent="0.3">
      <c r="J41137"/>
    </row>
    <row r="41138" spans="10:10" x14ac:dyDescent="0.3">
      <c r="J41138"/>
    </row>
    <row r="41139" spans="10:10" x14ac:dyDescent="0.3">
      <c r="J41139"/>
    </row>
    <row r="41140" spans="10:10" x14ac:dyDescent="0.3">
      <c r="J41140"/>
    </row>
    <row r="41141" spans="10:10" x14ac:dyDescent="0.3">
      <c r="J41141"/>
    </row>
    <row r="41142" spans="10:10" x14ac:dyDescent="0.3">
      <c r="J41142"/>
    </row>
    <row r="41143" spans="10:10" x14ac:dyDescent="0.3">
      <c r="J41143"/>
    </row>
    <row r="41144" spans="10:10" x14ac:dyDescent="0.3">
      <c r="J41144"/>
    </row>
    <row r="41145" spans="10:10" x14ac:dyDescent="0.3">
      <c r="J41145"/>
    </row>
    <row r="41146" spans="10:10" x14ac:dyDescent="0.3">
      <c r="J41146"/>
    </row>
    <row r="41147" spans="10:10" x14ac:dyDescent="0.3">
      <c r="J41147"/>
    </row>
    <row r="41148" spans="10:10" x14ac:dyDescent="0.3">
      <c r="J41148"/>
    </row>
    <row r="41149" spans="10:10" x14ac:dyDescent="0.3">
      <c r="J41149"/>
    </row>
    <row r="41150" spans="10:10" x14ac:dyDescent="0.3">
      <c r="J41150"/>
    </row>
    <row r="41151" spans="10:10" x14ac:dyDescent="0.3">
      <c r="J41151"/>
    </row>
    <row r="41152" spans="10:10" x14ac:dyDescent="0.3">
      <c r="J41152"/>
    </row>
    <row r="41153" spans="10:10" x14ac:dyDescent="0.3">
      <c r="J41153"/>
    </row>
    <row r="41154" spans="10:10" x14ac:dyDescent="0.3">
      <c r="J41154"/>
    </row>
    <row r="41155" spans="10:10" x14ac:dyDescent="0.3">
      <c r="J41155"/>
    </row>
    <row r="41156" spans="10:10" x14ac:dyDescent="0.3">
      <c r="J41156"/>
    </row>
    <row r="41157" spans="10:10" x14ac:dyDescent="0.3">
      <c r="J41157"/>
    </row>
    <row r="41158" spans="10:10" x14ac:dyDescent="0.3">
      <c r="J41158"/>
    </row>
    <row r="41159" spans="10:10" x14ac:dyDescent="0.3">
      <c r="J41159"/>
    </row>
    <row r="41160" spans="10:10" x14ac:dyDescent="0.3">
      <c r="J41160"/>
    </row>
    <row r="41161" spans="10:10" x14ac:dyDescent="0.3">
      <c r="J41161"/>
    </row>
    <row r="41162" spans="10:10" x14ac:dyDescent="0.3">
      <c r="J41162"/>
    </row>
    <row r="41163" spans="10:10" x14ac:dyDescent="0.3">
      <c r="J41163"/>
    </row>
    <row r="41164" spans="10:10" x14ac:dyDescent="0.3">
      <c r="J41164"/>
    </row>
    <row r="41165" spans="10:10" x14ac:dyDescent="0.3">
      <c r="J41165"/>
    </row>
    <row r="41166" spans="10:10" x14ac:dyDescent="0.3">
      <c r="J41166"/>
    </row>
    <row r="41167" spans="10:10" x14ac:dyDescent="0.3">
      <c r="J41167"/>
    </row>
    <row r="41168" spans="10:10" x14ac:dyDescent="0.3">
      <c r="J41168"/>
    </row>
    <row r="41169" spans="10:10" x14ac:dyDescent="0.3">
      <c r="J41169"/>
    </row>
    <row r="41170" spans="10:10" x14ac:dyDescent="0.3">
      <c r="J41170"/>
    </row>
    <row r="41171" spans="10:10" x14ac:dyDescent="0.3">
      <c r="J41171"/>
    </row>
    <row r="41172" spans="10:10" x14ac:dyDescent="0.3">
      <c r="J41172"/>
    </row>
    <row r="41173" spans="10:10" x14ac:dyDescent="0.3">
      <c r="J41173"/>
    </row>
    <row r="41174" spans="10:10" x14ac:dyDescent="0.3">
      <c r="J41174"/>
    </row>
    <row r="41175" spans="10:10" x14ac:dyDescent="0.3">
      <c r="J41175"/>
    </row>
    <row r="41176" spans="10:10" x14ac:dyDescent="0.3">
      <c r="J41176"/>
    </row>
    <row r="41177" spans="10:10" x14ac:dyDescent="0.3">
      <c r="J41177"/>
    </row>
    <row r="41178" spans="10:10" x14ac:dyDescent="0.3">
      <c r="J41178"/>
    </row>
    <row r="41179" spans="10:10" x14ac:dyDescent="0.3">
      <c r="J41179"/>
    </row>
    <row r="41180" spans="10:10" x14ac:dyDescent="0.3">
      <c r="J41180"/>
    </row>
    <row r="41181" spans="10:10" x14ac:dyDescent="0.3">
      <c r="J41181"/>
    </row>
    <row r="41182" spans="10:10" x14ac:dyDescent="0.3">
      <c r="J41182"/>
    </row>
    <row r="41183" spans="10:10" x14ac:dyDescent="0.3">
      <c r="J41183"/>
    </row>
    <row r="41184" spans="10:10" x14ac:dyDescent="0.3">
      <c r="J41184"/>
    </row>
    <row r="41185" spans="10:10" x14ac:dyDescent="0.3">
      <c r="J41185"/>
    </row>
    <row r="41186" spans="10:10" x14ac:dyDescent="0.3">
      <c r="J41186"/>
    </row>
    <row r="41187" spans="10:10" x14ac:dyDescent="0.3">
      <c r="J41187"/>
    </row>
    <row r="41188" spans="10:10" x14ac:dyDescent="0.3">
      <c r="J41188"/>
    </row>
    <row r="41189" spans="10:10" x14ac:dyDescent="0.3">
      <c r="J41189"/>
    </row>
    <row r="41190" spans="10:10" x14ac:dyDescent="0.3">
      <c r="J41190"/>
    </row>
    <row r="41191" spans="10:10" x14ac:dyDescent="0.3">
      <c r="J41191"/>
    </row>
    <row r="41192" spans="10:10" x14ac:dyDescent="0.3">
      <c r="J41192"/>
    </row>
    <row r="41193" spans="10:10" x14ac:dyDescent="0.3">
      <c r="J41193"/>
    </row>
    <row r="41194" spans="10:10" x14ac:dyDescent="0.3">
      <c r="J41194"/>
    </row>
    <row r="41195" spans="10:10" x14ac:dyDescent="0.3">
      <c r="J41195"/>
    </row>
    <row r="41196" spans="10:10" x14ac:dyDescent="0.3">
      <c r="J41196"/>
    </row>
    <row r="41197" spans="10:10" x14ac:dyDescent="0.3">
      <c r="J41197"/>
    </row>
    <row r="41198" spans="10:10" x14ac:dyDescent="0.3">
      <c r="J41198"/>
    </row>
    <row r="41199" spans="10:10" x14ac:dyDescent="0.3">
      <c r="J41199"/>
    </row>
    <row r="41200" spans="10:10" x14ac:dyDescent="0.3">
      <c r="J41200"/>
    </row>
    <row r="41201" spans="10:10" x14ac:dyDescent="0.3">
      <c r="J41201"/>
    </row>
    <row r="41202" spans="10:10" x14ac:dyDescent="0.3">
      <c r="J41202"/>
    </row>
    <row r="41203" spans="10:10" x14ac:dyDescent="0.3">
      <c r="J41203"/>
    </row>
    <row r="41204" spans="10:10" x14ac:dyDescent="0.3">
      <c r="J41204"/>
    </row>
    <row r="41205" spans="10:10" x14ac:dyDescent="0.3">
      <c r="J41205"/>
    </row>
    <row r="41206" spans="10:10" x14ac:dyDescent="0.3">
      <c r="J41206"/>
    </row>
    <row r="41207" spans="10:10" x14ac:dyDescent="0.3">
      <c r="J41207"/>
    </row>
    <row r="41208" spans="10:10" x14ac:dyDescent="0.3">
      <c r="J41208"/>
    </row>
    <row r="41209" spans="10:10" x14ac:dyDescent="0.3">
      <c r="J41209"/>
    </row>
    <row r="41210" spans="10:10" x14ac:dyDescent="0.3">
      <c r="J41210"/>
    </row>
    <row r="41211" spans="10:10" x14ac:dyDescent="0.3">
      <c r="J41211"/>
    </row>
    <row r="41212" spans="10:10" x14ac:dyDescent="0.3">
      <c r="J41212"/>
    </row>
    <row r="41213" spans="10:10" x14ac:dyDescent="0.3">
      <c r="J41213"/>
    </row>
    <row r="41214" spans="10:10" x14ac:dyDescent="0.3">
      <c r="J41214"/>
    </row>
    <row r="41215" spans="10:10" x14ac:dyDescent="0.3">
      <c r="J41215"/>
    </row>
    <row r="41216" spans="10:10" x14ac:dyDescent="0.3">
      <c r="J41216"/>
    </row>
    <row r="41217" spans="10:10" x14ac:dyDescent="0.3">
      <c r="J41217"/>
    </row>
    <row r="41218" spans="10:10" x14ac:dyDescent="0.3">
      <c r="J41218"/>
    </row>
    <row r="41219" spans="10:10" x14ac:dyDescent="0.3">
      <c r="J41219"/>
    </row>
    <row r="41220" spans="10:10" x14ac:dyDescent="0.3">
      <c r="J41220"/>
    </row>
    <row r="41221" spans="10:10" x14ac:dyDescent="0.3">
      <c r="J41221"/>
    </row>
    <row r="41222" spans="10:10" x14ac:dyDescent="0.3">
      <c r="J41222"/>
    </row>
    <row r="41223" spans="10:10" x14ac:dyDescent="0.3">
      <c r="J41223"/>
    </row>
    <row r="41224" spans="10:10" x14ac:dyDescent="0.3">
      <c r="J41224"/>
    </row>
    <row r="41225" spans="10:10" x14ac:dyDescent="0.3">
      <c r="J41225"/>
    </row>
    <row r="41226" spans="10:10" x14ac:dyDescent="0.3">
      <c r="J41226"/>
    </row>
    <row r="41227" spans="10:10" x14ac:dyDescent="0.3">
      <c r="J41227"/>
    </row>
    <row r="41228" spans="10:10" x14ac:dyDescent="0.3">
      <c r="J41228"/>
    </row>
    <row r="41229" spans="10:10" x14ac:dyDescent="0.3">
      <c r="J41229"/>
    </row>
    <row r="41230" spans="10:10" x14ac:dyDescent="0.3">
      <c r="J41230"/>
    </row>
    <row r="41231" spans="10:10" x14ac:dyDescent="0.3">
      <c r="J41231"/>
    </row>
    <row r="41232" spans="10:10" x14ac:dyDescent="0.3">
      <c r="J41232"/>
    </row>
    <row r="41233" spans="10:10" x14ac:dyDescent="0.3">
      <c r="J41233"/>
    </row>
    <row r="41234" spans="10:10" x14ac:dyDescent="0.3">
      <c r="J41234"/>
    </row>
    <row r="41235" spans="10:10" x14ac:dyDescent="0.3">
      <c r="J41235"/>
    </row>
    <row r="41236" spans="10:10" x14ac:dyDescent="0.3">
      <c r="J41236"/>
    </row>
    <row r="41237" spans="10:10" x14ac:dyDescent="0.3">
      <c r="J41237"/>
    </row>
    <row r="41238" spans="10:10" x14ac:dyDescent="0.3">
      <c r="J41238"/>
    </row>
    <row r="41239" spans="10:10" x14ac:dyDescent="0.3">
      <c r="J41239"/>
    </row>
    <row r="41240" spans="10:10" x14ac:dyDescent="0.3">
      <c r="J41240"/>
    </row>
    <row r="41241" spans="10:10" x14ac:dyDescent="0.3">
      <c r="J41241"/>
    </row>
    <row r="41242" spans="10:10" x14ac:dyDescent="0.3">
      <c r="J41242"/>
    </row>
    <row r="41243" spans="10:10" x14ac:dyDescent="0.3">
      <c r="J41243"/>
    </row>
    <row r="41244" spans="10:10" x14ac:dyDescent="0.3">
      <c r="J41244"/>
    </row>
    <row r="41245" spans="10:10" x14ac:dyDescent="0.3">
      <c r="J41245"/>
    </row>
    <row r="41246" spans="10:10" x14ac:dyDescent="0.3">
      <c r="J41246"/>
    </row>
    <row r="41247" spans="10:10" x14ac:dyDescent="0.3">
      <c r="J41247"/>
    </row>
    <row r="41248" spans="10:10" x14ac:dyDescent="0.3">
      <c r="J41248"/>
    </row>
    <row r="41249" spans="10:10" x14ac:dyDescent="0.3">
      <c r="J41249"/>
    </row>
    <row r="41250" spans="10:10" x14ac:dyDescent="0.3">
      <c r="J41250"/>
    </row>
    <row r="41251" spans="10:10" x14ac:dyDescent="0.3">
      <c r="J41251"/>
    </row>
    <row r="41252" spans="10:10" x14ac:dyDescent="0.3">
      <c r="J41252"/>
    </row>
    <row r="41253" spans="10:10" x14ac:dyDescent="0.3">
      <c r="J41253"/>
    </row>
    <row r="41254" spans="10:10" x14ac:dyDescent="0.3">
      <c r="J41254"/>
    </row>
    <row r="41255" spans="10:10" x14ac:dyDescent="0.3">
      <c r="J41255"/>
    </row>
    <row r="41256" spans="10:10" x14ac:dyDescent="0.3">
      <c r="J41256"/>
    </row>
    <row r="41257" spans="10:10" x14ac:dyDescent="0.3">
      <c r="J41257"/>
    </row>
    <row r="41258" spans="10:10" x14ac:dyDescent="0.3">
      <c r="J41258"/>
    </row>
    <row r="41259" spans="10:10" x14ac:dyDescent="0.3">
      <c r="J41259"/>
    </row>
    <row r="41260" spans="10:10" x14ac:dyDescent="0.3">
      <c r="J41260"/>
    </row>
    <row r="41261" spans="10:10" x14ac:dyDescent="0.3">
      <c r="J41261"/>
    </row>
    <row r="41262" spans="10:10" x14ac:dyDescent="0.3">
      <c r="J41262"/>
    </row>
    <row r="41263" spans="10:10" x14ac:dyDescent="0.3">
      <c r="J41263"/>
    </row>
    <row r="41264" spans="10:10" x14ac:dyDescent="0.3">
      <c r="J41264"/>
    </row>
    <row r="41265" spans="10:10" x14ac:dyDescent="0.3">
      <c r="J41265"/>
    </row>
    <row r="41266" spans="10:10" x14ac:dyDescent="0.3">
      <c r="J41266"/>
    </row>
    <row r="41267" spans="10:10" x14ac:dyDescent="0.3">
      <c r="J41267"/>
    </row>
    <row r="41268" spans="10:10" x14ac:dyDescent="0.3">
      <c r="J41268"/>
    </row>
    <row r="41269" spans="10:10" x14ac:dyDescent="0.3">
      <c r="J41269"/>
    </row>
    <row r="41270" spans="10:10" x14ac:dyDescent="0.3">
      <c r="J41270"/>
    </row>
    <row r="41271" spans="10:10" x14ac:dyDescent="0.3">
      <c r="J41271"/>
    </row>
    <row r="41272" spans="10:10" x14ac:dyDescent="0.3">
      <c r="J41272"/>
    </row>
    <row r="41273" spans="10:10" x14ac:dyDescent="0.3">
      <c r="J41273"/>
    </row>
    <row r="41274" spans="10:10" x14ac:dyDescent="0.3">
      <c r="J41274"/>
    </row>
    <row r="41275" spans="10:10" x14ac:dyDescent="0.3">
      <c r="J41275"/>
    </row>
    <row r="41276" spans="10:10" x14ac:dyDescent="0.3">
      <c r="J41276"/>
    </row>
    <row r="41277" spans="10:10" x14ac:dyDescent="0.3">
      <c r="J41277"/>
    </row>
    <row r="41278" spans="10:10" x14ac:dyDescent="0.3">
      <c r="J41278"/>
    </row>
    <row r="41279" spans="10:10" x14ac:dyDescent="0.3">
      <c r="J41279"/>
    </row>
    <row r="41280" spans="10:10" x14ac:dyDescent="0.3">
      <c r="J41280"/>
    </row>
    <row r="41281" spans="10:10" x14ac:dyDescent="0.3">
      <c r="J41281"/>
    </row>
    <row r="41282" spans="10:10" x14ac:dyDescent="0.3">
      <c r="J41282"/>
    </row>
    <row r="41283" spans="10:10" x14ac:dyDescent="0.3">
      <c r="J41283"/>
    </row>
    <row r="41284" spans="10:10" x14ac:dyDescent="0.3">
      <c r="J41284"/>
    </row>
    <row r="41285" spans="10:10" x14ac:dyDescent="0.3">
      <c r="J41285"/>
    </row>
    <row r="41286" spans="10:10" x14ac:dyDescent="0.3">
      <c r="J41286"/>
    </row>
    <row r="41287" spans="10:10" x14ac:dyDescent="0.3">
      <c r="J41287"/>
    </row>
    <row r="41288" spans="10:10" x14ac:dyDescent="0.3">
      <c r="J41288"/>
    </row>
    <row r="41289" spans="10:10" x14ac:dyDescent="0.3">
      <c r="J41289"/>
    </row>
    <row r="41290" spans="10:10" x14ac:dyDescent="0.3">
      <c r="J41290"/>
    </row>
    <row r="41291" spans="10:10" x14ac:dyDescent="0.3">
      <c r="J41291"/>
    </row>
    <row r="41292" spans="10:10" x14ac:dyDescent="0.3">
      <c r="J41292"/>
    </row>
    <row r="41293" spans="10:10" x14ac:dyDescent="0.3">
      <c r="J41293"/>
    </row>
    <row r="41294" spans="10:10" x14ac:dyDescent="0.3">
      <c r="J41294"/>
    </row>
    <row r="41295" spans="10:10" x14ac:dyDescent="0.3">
      <c r="J41295"/>
    </row>
    <row r="41296" spans="10:10" x14ac:dyDescent="0.3">
      <c r="J41296"/>
    </row>
    <row r="41297" spans="10:10" x14ac:dyDescent="0.3">
      <c r="J41297"/>
    </row>
    <row r="41298" spans="10:10" x14ac:dyDescent="0.3">
      <c r="J41298"/>
    </row>
    <row r="41299" spans="10:10" x14ac:dyDescent="0.3">
      <c r="J41299"/>
    </row>
    <row r="41300" spans="10:10" x14ac:dyDescent="0.3">
      <c r="J41300"/>
    </row>
    <row r="41301" spans="10:10" x14ac:dyDescent="0.3">
      <c r="J41301"/>
    </row>
    <row r="41302" spans="10:10" x14ac:dyDescent="0.3">
      <c r="J41302"/>
    </row>
    <row r="41303" spans="10:10" x14ac:dyDescent="0.3">
      <c r="J41303"/>
    </row>
    <row r="41304" spans="10:10" x14ac:dyDescent="0.3">
      <c r="J41304"/>
    </row>
    <row r="41305" spans="10:10" x14ac:dyDescent="0.3">
      <c r="J41305"/>
    </row>
    <row r="41306" spans="10:10" x14ac:dyDescent="0.3">
      <c r="J41306"/>
    </row>
    <row r="41307" spans="10:10" x14ac:dyDescent="0.3">
      <c r="J41307"/>
    </row>
    <row r="41308" spans="10:10" x14ac:dyDescent="0.3">
      <c r="J41308"/>
    </row>
    <row r="41309" spans="10:10" x14ac:dyDescent="0.3">
      <c r="J41309"/>
    </row>
    <row r="41310" spans="10:10" x14ac:dyDescent="0.3">
      <c r="J41310"/>
    </row>
    <row r="41311" spans="10:10" x14ac:dyDescent="0.3">
      <c r="J41311"/>
    </row>
    <row r="41312" spans="10:10" x14ac:dyDescent="0.3">
      <c r="J41312"/>
    </row>
    <row r="41313" spans="10:10" x14ac:dyDescent="0.3">
      <c r="J41313"/>
    </row>
    <row r="41314" spans="10:10" x14ac:dyDescent="0.3">
      <c r="J41314"/>
    </row>
    <row r="41315" spans="10:10" x14ac:dyDescent="0.3">
      <c r="J41315"/>
    </row>
    <row r="41316" spans="10:10" x14ac:dyDescent="0.3">
      <c r="J41316"/>
    </row>
    <row r="41317" spans="10:10" x14ac:dyDescent="0.3">
      <c r="J41317"/>
    </row>
    <row r="41318" spans="10:10" x14ac:dyDescent="0.3">
      <c r="J41318"/>
    </row>
    <row r="41319" spans="10:10" x14ac:dyDescent="0.3">
      <c r="J41319"/>
    </row>
    <row r="41320" spans="10:10" x14ac:dyDescent="0.3">
      <c r="J41320"/>
    </row>
    <row r="41321" spans="10:10" x14ac:dyDescent="0.3">
      <c r="J41321"/>
    </row>
    <row r="41322" spans="10:10" x14ac:dyDescent="0.3">
      <c r="J41322"/>
    </row>
    <row r="41323" spans="10:10" x14ac:dyDescent="0.3">
      <c r="J41323"/>
    </row>
    <row r="41324" spans="10:10" x14ac:dyDescent="0.3">
      <c r="J41324"/>
    </row>
    <row r="41325" spans="10:10" x14ac:dyDescent="0.3">
      <c r="J41325"/>
    </row>
    <row r="41326" spans="10:10" x14ac:dyDescent="0.3">
      <c r="J41326"/>
    </row>
    <row r="41327" spans="10:10" x14ac:dyDescent="0.3">
      <c r="J41327"/>
    </row>
    <row r="41328" spans="10:10" x14ac:dyDescent="0.3">
      <c r="J41328"/>
    </row>
    <row r="41329" spans="10:10" x14ac:dyDescent="0.3">
      <c r="J41329"/>
    </row>
    <row r="41330" spans="10:10" x14ac:dyDescent="0.3">
      <c r="J41330"/>
    </row>
    <row r="41331" spans="10:10" x14ac:dyDescent="0.3">
      <c r="J41331"/>
    </row>
    <row r="41332" spans="10:10" x14ac:dyDescent="0.3">
      <c r="J41332"/>
    </row>
    <row r="41333" spans="10:10" x14ac:dyDescent="0.3">
      <c r="J41333"/>
    </row>
    <row r="41334" spans="10:10" x14ac:dyDescent="0.3">
      <c r="J41334"/>
    </row>
    <row r="41335" spans="10:10" x14ac:dyDescent="0.3">
      <c r="J41335"/>
    </row>
    <row r="41336" spans="10:10" x14ac:dyDescent="0.3">
      <c r="J41336"/>
    </row>
    <row r="41337" spans="10:10" x14ac:dyDescent="0.3">
      <c r="J41337"/>
    </row>
    <row r="41338" spans="10:10" x14ac:dyDescent="0.3">
      <c r="J41338"/>
    </row>
    <row r="41339" spans="10:10" x14ac:dyDescent="0.3">
      <c r="J41339"/>
    </row>
    <row r="41340" spans="10:10" x14ac:dyDescent="0.3">
      <c r="J41340"/>
    </row>
    <row r="41341" spans="10:10" x14ac:dyDescent="0.3">
      <c r="J41341"/>
    </row>
    <row r="41342" spans="10:10" x14ac:dyDescent="0.3">
      <c r="J41342"/>
    </row>
    <row r="41343" spans="10:10" x14ac:dyDescent="0.3">
      <c r="J41343"/>
    </row>
    <row r="41344" spans="10:10" x14ac:dyDescent="0.3">
      <c r="J41344"/>
    </row>
    <row r="41345" spans="10:10" x14ac:dyDescent="0.3">
      <c r="J41345"/>
    </row>
    <row r="41346" spans="10:10" x14ac:dyDescent="0.3">
      <c r="J41346"/>
    </row>
    <row r="41347" spans="10:10" x14ac:dyDescent="0.3">
      <c r="J41347"/>
    </row>
    <row r="41348" spans="10:10" x14ac:dyDescent="0.3">
      <c r="J41348"/>
    </row>
    <row r="41349" spans="10:10" x14ac:dyDescent="0.3">
      <c r="J41349"/>
    </row>
    <row r="41350" spans="10:10" x14ac:dyDescent="0.3">
      <c r="J41350"/>
    </row>
    <row r="41351" spans="10:10" x14ac:dyDescent="0.3">
      <c r="J41351"/>
    </row>
    <row r="41352" spans="10:10" x14ac:dyDescent="0.3">
      <c r="J41352"/>
    </row>
    <row r="41353" spans="10:10" x14ac:dyDescent="0.3">
      <c r="J41353"/>
    </row>
    <row r="41354" spans="10:10" x14ac:dyDescent="0.3">
      <c r="J41354"/>
    </row>
    <row r="41355" spans="10:10" x14ac:dyDescent="0.3">
      <c r="J41355"/>
    </row>
    <row r="41356" spans="10:10" x14ac:dyDescent="0.3">
      <c r="J41356"/>
    </row>
    <row r="41357" spans="10:10" x14ac:dyDescent="0.3">
      <c r="J41357"/>
    </row>
    <row r="41358" spans="10:10" x14ac:dyDescent="0.3">
      <c r="J41358"/>
    </row>
    <row r="41359" spans="10:10" x14ac:dyDescent="0.3">
      <c r="J41359"/>
    </row>
    <row r="41360" spans="10:10" x14ac:dyDescent="0.3">
      <c r="J41360"/>
    </row>
    <row r="41361" spans="10:10" x14ac:dyDescent="0.3">
      <c r="J41361"/>
    </row>
    <row r="41362" spans="10:10" x14ac:dyDescent="0.3">
      <c r="J41362"/>
    </row>
    <row r="41363" spans="10:10" x14ac:dyDescent="0.3">
      <c r="J41363"/>
    </row>
    <row r="41364" spans="10:10" x14ac:dyDescent="0.3">
      <c r="J41364"/>
    </row>
    <row r="41365" spans="10:10" x14ac:dyDescent="0.3">
      <c r="J41365"/>
    </row>
    <row r="41366" spans="10:10" x14ac:dyDescent="0.3">
      <c r="J41366"/>
    </row>
    <row r="41367" spans="10:10" x14ac:dyDescent="0.3">
      <c r="J41367"/>
    </row>
    <row r="41368" spans="10:10" x14ac:dyDescent="0.3">
      <c r="J41368"/>
    </row>
    <row r="41369" spans="10:10" x14ac:dyDescent="0.3">
      <c r="J41369"/>
    </row>
    <row r="41370" spans="10:10" x14ac:dyDescent="0.3">
      <c r="J41370"/>
    </row>
    <row r="41371" spans="10:10" x14ac:dyDescent="0.3">
      <c r="J41371"/>
    </row>
    <row r="41372" spans="10:10" x14ac:dyDescent="0.3">
      <c r="J41372"/>
    </row>
    <row r="41373" spans="10:10" x14ac:dyDescent="0.3">
      <c r="J41373"/>
    </row>
    <row r="41374" spans="10:10" x14ac:dyDescent="0.3">
      <c r="J41374"/>
    </row>
    <row r="41375" spans="10:10" x14ac:dyDescent="0.3">
      <c r="J41375"/>
    </row>
    <row r="41376" spans="10:10" x14ac:dyDescent="0.3">
      <c r="J41376"/>
    </row>
    <row r="41377" spans="10:10" x14ac:dyDescent="0.3">
      <c r="J41377"/>
    </row>
    <row r="41378" spans="10:10" x14ac:dyDescent="0.3">
      <c r="J41378"/>
    </row>
    <row r="41379" spans="10:10" x14ac:dyDescent="0.3">
      <c r="J41379"/>
    </row>
    <row r="41380" spans="10:10" x14ac:dyDescent="0.3">
      <c r="J41380"/>
    </row>
    <row r="41381" spans="10:10" x14ac:dyDescent="0.3">
      <c r="J41381"/>
    </row>
    <row r="41382" spans="10:10" x14ac:dyDescent="0.3">
      <c r="J41382"/>
    </row>
    <row r="41383" spans="10:10" x14ac:dyDescent="0.3">
      <c r="J41383"/>
    </row>
    <row r="41384" spans="10:10" x14ac:dyDescent="0.3">
      <c r="J41384"/>
    </row>
    <row r="41385" spans="10:10" x14ac:dyDescent="0.3">
      <c r="J41385"/>
    </row>
    <row r="41386" spans="10:10" x14ac:dyDescent="0.3">
      <c r="J41386"/>
    </row>
    <row r="41387" spans="10:10" x14ac:dyDescent="0.3">
      <c r="J41387"/>
    </row>
    <row r="41388" spans="10:10" x14ac:dyDescent="0.3">
      <c r="J41388"/>
    </row>
    <row r="41389" spans="10:10" x14ac:dyDescent="0.3">
      <c r="J41389"/>
    </row>
    <row r="41390" spans="10:10" x14ac:dyDescent="0.3">
      <c r="J41390"/>
    </row>
    <row r="41391" spans="10:10" x14ac:dyDescent="0.3">
      <c r="J41391"/>
    </row>
    <row r="41392" spans="10:10" x14ac:dyDescent="0.3">
      <c r="J41392"/>
    </row>
    <row r="41393" spans="10:10" x14ac:dyDescent="0.3">
      <c r="J41393"/>
    </row>
    <row r="41394" spans="10:10" x14ac:dyDescent="0.3">
      <c r="J41394"/>
    </row>
    <row r="41395" spans="10:10" x14ac:dyDescent="0.3">
      <c r="J41395"/>
    </row>
    <row r="41396" spans="10:10" x14ac:dyDescent="0.3">
      <c r="J41396"/>
    </row>
    <row r="41397" spans="10:10" x14ac:dyDescent="0.3">
      <c r="J41397"/>
    </row>
    <row r="41398" spans="10:10" x14ac:dyDescent="0.3">
      <c r="J41398"/>
    </row>
    <row r="41399" spans="10:10" x14ac:dyDescent="0.3">
      <c r="J41399"/>
    </row>
    <row r="41400" spans="10:10" x14ac:dyDescent="0.3">
      <c r="J41400"/>
    </row>
    <row r="41401" spans="10:10" x14ac:dyDescent="0.3">
      <c r="J41401"/>
    </row>
    <row r="41402" spans="10:10" x14ac:dyDescent="0.3">
      <c r="J41402"/>
    </row>
    <row r="41403" spans="10:10" x14ac:dyDescent="0.3">
      <c r="J41403"/>
    </row>
    <row r="41404" spans="10:10" x14ac:dyDescent="0.3">
      <c r="J41404"/>
    </row>
    <row r="41405" spans="10:10" x14ac:dyDescent="0.3">
      <c r="J41405"/>
    </row>
    <row r="41406" spans="10:10" x14ac:dyDescent="0.3">
      <c r="J41406"/>
    </row>
    <row r="41407" spans="10:10" x14ac:dyDescent="0.3">
      <c r="J41407"/>
    </row>
    <row r="41408" spans="10:10" x14ac:dyDescent="0.3">
      <c r="J41408"/>
    </row>
    <row r="41409" spans="10:10" x14ac:dyDescent="0.3">
      <c r="J41409"/>
    </row>
    <row r="41410" spans="10:10" x14ac:dyDescent="0.3">
      <c r="J41410"/>
    </row>
    <row r="41411" spans="10:10" x14ac:dyDescent="0.3">
      <c r="J41411"/>
    </row>
    <row r="41412" spans="10:10" x14ac:dyDescent="0.3">
      <c r="J41412"/>
    </row>
    <row r="41413" spans="10:10" x14ac:dyDescent="0.3">
      <c r="J41413"/>
    </row>
    <row r="41414" spans="10:10" x14ac:dyDescent="0.3">
      <c r="J41414"/>
    </row>
    <row r="41415" spans="10:10" x14ac:dyDescent="0.3">
      <c r="J41415"/>
    </row>
    <row r="41416" spans="10:10" x14ac:dyDescent="0.3">
      <c r="J41416"/>
    </row>
    <row r="41417" spans="10:10" x14ac:dyDescent="0.3">
      <c r="J41417"/>
    </row>
    <row r="41418" spans="10:10" x14ac:dyDescent="0.3">
      <c r="J41418"/>
    </row>
    <row r="41419" spans="10:10" x14ac:dyDescent="0.3">
      <c r="J41419"/>
    </row>
    <row r="41420" spans="10:10" x14ac:dyDescent="0.3">
      <c r="J41420"/>
    </row>
    <row r="41421" spans="10:10" x14ac:dyDescent="0.3">
      <c r="J41421"/>
    </row>
    <row r="41422" spans="10:10" x14ac:dyDescent="0.3">
      <c r="J41422"/>
    </row>
    <row r="41423" spans="10:10" x14ac:dyDescent="0.3">
      <c r="J41423"/>
    </row>
    <row r="41424" spans="10:10" x14ac:dyDescent="0.3">
      <c r="J41424"/>
    </row>
    <row r="41425" spans="10:10" x14ac:dyDescent="0.3">
      <c r="J41425"/>
    </row>
    <row r="41426" spans="10:10" x14ac:dyDescent="0.3">
      <c r="J41426"/>
    </row>
    <row r="41427" spans="10:10" x14ac:dyDescent="0.3">
      <c r="J41427"/>
    </row>
    <row r="41428" spans="10:10" x14ac:dyDescent="0.3">
      <c r="J41428"/>
    </row>
    <row r="41429" spans="10:10" x14ac:dyDescent="0.3">
      <c r="J41429"/>
    </row>
    <row r="41430" spans="10:10" x14ac:dyDescent="0.3">
      <c r="J41430"/>
    </row>
    <row r="41431" spans="10:10" x14ac:dyDescent="0.3">
      <c r="J41431"/>
    </row>
    <row r="41432" spans="10:10" x14ac:dyDescent="0.3">
      <c r="J41432"/>
    </row>
    <row r="41433" spans="10:10" x14ac:dyDescent="0.3">
      <c r="J41433"/>
    </row>
    <row r="41434" spans="10:10" x14ac:dyDescent="0.3">
      <c r="J41434"/>
    </row>
    <row r="41435" spans="10:10" x14ac:dyDescent="0.3">
      <c r="J41435"/>
    </row>
    <row r="41436" spans="10:10" x14ac:dyDescent="0.3">
      <c r="J41436"/>
    </row>
    <row r="41437" spans="10:10" x14ac:dyDescent="0.3">
      <c r="J41437"/>
    </row>
    <row r="41438" spans="10:10" x14ac:dyDescent="0.3">
      <c r="J41438"/>
    </row>
    <row r="41439" spans="10:10" x14ac:dyDescent="0.3">
      <c r="J41439"/>
    </row>
    <row r="41440" spans="10:10" x14ac:dyDescent="0.3">
      <c r="J41440"/>
    </row>
    <row r="41441" spans="10:10" x14ac:dyDescent="0.3">
      <c r="J41441"/>
    </row>
    <row r="41442" spans="10:10" x14ac:dyDescent="0.3">
      <c r="J41442"/>
    </row>
    <row r="41443" spans="10:10" x14ac:dyDescent="0.3">
      <c r="J41443"/>
    </row>
    <row r="41444" spans="10:10" x14ac:dyDescent="0.3">
      <c r="J41444"/>
    </row>
    <row r="41445" spans="10:10" x14ac:dyDescent="0.3">
      <c r="J41445"/>
    </row>
    <row r="41446" spans="10:10" x14ac:dyDescent="0.3">
      <c r="J41446"/>
    </row>
    <row r="41447" spans="10:10" x14ac:dyDescent="0.3">
      <c r="J41447"/>
    </row>
    <row r="41448" spans="10:10" x14ac:dyDescent="0.3">
      <c r="J41448"/>
    </row>
    <row r="41449" spans="10:10" x14ac:dyDescent="0.3">
      <c r="J41449"/>
    </row>
    <row r="41450" spans="10:10" x14ac:dyDescent="0.3">
      <c r="J41450"/>
    </row>
    <row r="41451" spans="10:10" x14ac:dyDescent="0.3">
      <c r="J41451"/>
    </row>
    <row r="41452" spans="10:10" x14ac:dyDescent="0.3">
      <c r="J41452"/>
    </row>
    <row r="41453" spans="10:10" x14ac:dyDescent="0.3">
      <c r="J41453"/>
    </row>
    <row r="41454" spans="10:10" x14ac:dyDescent="0.3">
      <c r="J41454"/>
    </row>
    <row r="41455" spans="10:10" x14ac:dyDescent="0.3">
      <c r="J41455"/>
    </row>
    <row r="41456" spans="10:10" x14ac:dyDescent="0.3">
      <c r="J41456"/>
    </row>
    <row r="41457" spans="10:10" x14ac:dyDescent="0.3">
      <c r="J41457"/>
    </row>
    <row r="41458" spans="10:10" x14ac:dyDescent="0.3">
      <c r="J41458"/>
    </row>
    <row r="41459" spans="10:10" x14ac:dyDescent="0.3">
      <c r="J41459"/>
    </row>
    <row r="41460" spans="10:10" x14ac:dyDescent="0.3">
      <c r="J41460"/>
    </row>
    <row r="41461" spans="10:10" x14ac:dyDescent="0.3">
      <c r="J41461"/>
    </row>
    <row r="41462" spans="10:10" x14ac:dyDescent="0.3">
      <c r="J41462"/>
    </row>
    <row r="41463" spans="10:10" x14ac:dyDescent="0.3">
      <c r="J41463"/>
    </row>
    <row r="41464" spans="10:10" x14ac:dyDescent="0.3">
      <c r="J41464"/>
    </row>
    <row r="41465" spans="10:10" x14ac:dyDescent="0.3">
      <c r="J41465"/>
    </row>
    <row r="41466" spans="10:10" x14ac:dyDescent="0.3">
      <c r="J41466"/>
    </row>
    <row r="41467" spans="10:10" x14ac:dyDescent="0.3">
      <c r="J41467"/>
    </row>
    <row r="41468" spans="10:10" x14ac:dyDescent="0.3">
      <c r="J41468"/>
    </row>
    <row r="41469" spans="10:10" x14ac:dyDescent="0.3">
      <c r="J41469"/>
    </row>
    <row r="41470" spans="10:10" x14ac:dyDescent="0.3">
      <c r="J41470"/>
    </row>
    <row r="41471" spans="10:10" x14ac:dyDescent="0.3">
      <c r="J41471"/>
    </row>
    <row r="41472" spans="10:10" x14ac:dyDescent="0.3">
      <c r="J41472"/>
    </row>
    <row r="41473" spans="10:10" x14ac:dyDescent="0.3">
      <c r="J41473"/>
    </row>
    <row r="41474" spans="10:10" x14ac:dyDescent="0.3">
      <c r="J41474"/>
    </row>
    <row r="41475" spans="10:10" x14ac:dyDescent="0.3">
      <c r="J41475"/>
    </row>
    <row r="41476" spans="10:10" x14ac:dyDescent="0.3">
      <c r="J41476"/>
    </row>
    <row r="41477" spans="10:10" x14ac:dyDescent="0.3">
      <c r="J41477"/>
    </row>
    <row r="41478" spans="10:10" x14ac:dyDescent="0.3">
      <c r="J41478"/>
    </row>
    <row r="41479" spans="10:10" x14ac:dyDescent="0.3">
      <c r="J41479"/>
    </row>
    <row r="41480" spans="10:10" x14ac:dyDescent="0.3">
      <c r="J41480"/>
    </row>
    <row r="41481" spans="10:10" x14ac:dyDescent="0.3">
      <c r="J41481"/>
    </row>
    <row r="41482" spans="10:10" x14ac:dyDescent="0.3">
      <c r="J41482"/>
    </row>
    <row r="41483" spans="10:10" x14ac:dyDescent="0.3">
      <c r="J41483"/>
    </row>
    <row r="41484" spans="10:10" x14ac:dyDescent="0.3">
      <c r="J41484"/>
    </row>
    <row r="41485" spans="10:10" x14ac:dyDescent="0.3">
      <c r="J41485"/>
    </row>
    <row r="41486" spans="10:10" x14ac:dyDescent="0.3">
      <c r="J41486"/>
    </row>
    <row r="41487" spans="10:10" x14ac:dyDescent="0.3">
      <c r="J41487"/>
    </row>
    <row r="41488" spans="10:10" x14ac:dyDescent="0.3">
      <c r="J41488"/>
    </row>
    <row r="41489" spans="10:10" x14ac:dyDescent="0.3">
      <c r="J41489"/>
    </row>
    <row r="41490" spans="10:10" x14ac:dyDescent="0.3">
      <c r="J41490"/>
    </row>
    <row r="41491" spans="10:10" x14ac:dyDescent="0.3">
      <c r="J41491"/>
    </row>
    <row r="41492" spans="10:10" x14ac:dyDescent="0.3">
      <c r="J41492"/>
    </row>
    <row r="41493" spans="10:10" x14ac:dyDescent="0.3">
      <c r="J41493"/>
    </row>
    <row r="41494" spans="10:10" x14ac:dyDescent="0.3">
      <c r="J41494"/>
    </row>
    <row r="41495" spans="10:10" x14ac:dyDescent="0.3">
      <c r="J41495"/>
    </row>
    <row r="41496" spans="10:10" x14ac:dyDescent="0.3">
      <c r="J41496"/>
    </row>
    <row r="41497" spans="10:10" x14ac:dyDescent="0.3">
      <c r="J41497"/>
    </row>
    <row r="41498" spans="10:10" x14ac:dyDescent="0.3">
      <c r="J41498"/>
    </row>
    <row r="41499" spans="10:10" x14ac:dyDescent="0.3">
      <c r="J41499"/>
    </row>
    <row r="41500" spans="10:10" x14ac:dyDescent="0.3">
      <c r="J41500"/>
    </row>
    <row r="41501" spans="10:10" x14ac:dyDescent="0.3">
      <c r="J41501"/>
    </row>
    <row r="41502" spans="10:10" x14ac:dyDescent="0.3">
      <c r="J41502"/>
    </row>
    <row r="41503" spans="10:10" x14ac:dyDescent="0.3">
      <c r="J41503"/>
    </row>
    <row r="41504" spans="10:10" x14ac:dyDescent="0.3">
      <c r="J41504"/>
    </row>
    <row r="41505" spans="10:10" x14ac:dyDescent="0.3">
      <c r="J41505"/>
    </row>
    <row r="41506" spans="10:10" x14ac:dyDescent="0.3">
      <c r="J41506"/>
    </row>
    <row r="41507" spans="10:10" x14ac:dyDescent="0.3">
      <c r="J41507"/>
    </row>
    <row r="41508" spans="10:10" x14ac:dyDescent="0.3">
      <c r="J41508"/>
    </row>
    <row r="41509" spans="10:10" x14ac:dyDescent="0.3">
      <c r="J41509"/>
    </row>
    <row r="41510" spans="10:10" x14ac:dyDescent="0.3">
      <c r="J41510"/>
    </row>
    <row r="41511" spans="10:10" x14ac:dyDescent="0.3">
      <c r="J41511"/>
    </row>
    <row r="41512" spans="10:10" x14ac:dyDescent="0.3">
      <c r="J41512"/>
    </row>
    <row r="41513" spans="10:10" x14ac:dyDescent="0.3">
      <c r="J41513"/>
    </row>
    <row r="41514" spans="10:10" x14ac:dyDescent="0.3">
      <c r="J41514"/>
    </row>
    <row r="41515" spans="10:10" x14ac:dyDescent="0.3">
      <c r="J41515"/>
    </row>
    <row r="41516" spans="10:10" x14ac:dyDescent="0.3">
      <c r="J41516"/>
    </row>
    <row r="41517" spans="10:10" x14ac:dyDescent="0.3">
      <c r="J41517"/>
    </row>
    <row r="41518" spans="10:10" x14ac:dyDescent="0.3">
      <c r="J41518"/>
    </row>
    <row r="41519" spans="10:10" x14ac:dyDescent="0.3">
      <c r="J41519"/>
    </row>
    <row r="41520" spans="10:10" x14ac:dyDescent="0.3">
      <c r="J41520"/>
    </row>
    <row r="41521" spans="10:10" x14ac:dyDescent="0.3">
      <c r="J41521"/>
    </row>
    <row r="41522" spans="10:10" x14ac:dyDescent="0.3">
      <c r="J41522"/>
    </row>
    <row r="41523" spans="10:10" x14ac:dyDescent="0.3">
      <c r="J41523"/>
    </row>
    <row r="41524" spans="10:10" x14ac:dyDescent="0.3">
      <c r="J41524"/>
    </row>
    <row r="41525" spans="10:10" x14ac:dyDescent="0.3">
      <c r="J41525"/>
    </row>
    <row r="41526" spans="10:10" x14ac:dyDescent="0.3">
      <c r="J41526"/>
    </row>
    <row r="41527" spans="10:10" x14ac:dyDescent="0.3">
      <c r="J41527"/>
    </row>
    <row r="41528" spans="10:10" x14ac:dyDescent="0.3">
      <c r="J41528"/>
    </row>
    <row r="41529" spans="10:10" x14ac:dyDescent="0.3">
      <c r="J41529"/>
    </row>
    <row r="41530" spans="10:10" x14ac:dyDescent="0.3">
      <c r="J41530"/>
    </row>
    <row r="41531" spans="10:10" x14ac:dyDescent="0.3">
      <c r="J41531"/>
    </row>
    <row r="41532" spans="10:10" x14ac:dyDescent="0.3">
      <c r="J41532"/>
    </row>
    <row r="41533" spans="10:10" x14ac:dyDescent="0.3">
      <c r="J41533"/>
    </row>
    <row r="41534" spans="10:10" x14ac:dyDescent="0.3">
      <c r="J41534"/>
    </row>
    <row r="41535" spans="10:10" x14ac:dyDescent="0.3">
      <c r="J41535"/>
    </row>
    <row r="41536" spans="10:10" x14ac:dyDescent="0.3">
      <c r="J41536"/>
    </row>
    <row r="41537" spans="10:10" x14ac:dyDescent="0.3">
      <c r="J41537"/>
    </row>
    <row r="41538" spans="10:10" x14ac:dyDescent="0.3">
      <c r="J41538"/>
    </row>
    <row r="41539" spans="10:10" x14ac:dyDescent="0.3">
      <c r="J41539"/>
    </row>
    <row r="41540" spans="10:10" x14ac:dyDescent="0.3">
      <c r="J41540"/>
    </row>
    <row r="41541" spans="10:10" x14ac:dyDescent="0.3">
      <c r="J41541"/>
    </row>
    <row r="41542" spans="10:10" x14ac:dyDescent="0.3">
      <c r="J41542"/>
    </row>
    <row r="41543" spans="10:10" x14ac:dyDescent="0.3">
      <c r="J41543"/>
    </row>
    <row r="41544" spans="10:10" x14ac:dyDescent="0.3">
      <c r="J41544"/>
    </row>
    <row r="41545" spans="10:10" x14ac:dyDescent="0.3">
      <c r="J41545"/>
    </row>
    <row r="41546" spans="10:10" x14ac:dyDescent="0.3">
      <c r="J41546"/>
    </row>
    <row r="41547" spans="10:10" x14ac:dyDescent="0.3">
      <c r="J41547"/>
    </row>
    <row r="41548" spans="10:10" x14ac:dyDescent="0.3">
      <c r="J41548"/>
    </row>
    <row r="41549" spans="10:10" x14ac:dyDescent="0.3">
      <c r="J41549"/>
    </row>
    <row r="41550" spans="10:10" x14ac:dyDescent="0.3">
      <c r="J41550"/>
    </row>
    <row r="41551" spans="10:10" x14ac:dyDescent="0.3">
      <c r="J41551"/>
    </row>
    <row r="41552" spans="10:10" x14ac:dyDescent="0.3">
      <c r="J41552"/>
    </row>
    <row r="41553" spans="10:10" x14ac:dyDescent="0.3">
      <c r="J41553"/>
    </row>
    <row r="41554" spans="10:10" x14ac:dyDescent="0.3">
      <c r="J41554"/>
    </row>
    <row r="41555" spans="10:10" x14ac:dyDescent="0.3">
      <c r="J41555"/>
    </row>
    <row r="41556" spans="10:10" x14ac:dyDescent="0.3">
      <c r="J41556"/>
    </row>
    <row r="41557" spans="10:10" x14ac:dyDescent="0.3">
      <c r="J41557"/>
    </row>
    <row r="41558" spans="10:10" x14ac:dyDescent="0.3">
      <c r="J41558"/>
    </row>
    <row r="41559" spans="10:10" x14ac:dyDescent="0.3">
      <c r="J41559"/>
    </row>
    <row r="41560" spans="10:10" x14ac:dyDescent="0.3">
      <c r="J41560"/>
    </row>
    <row r="41561" spans="10:10" x14ac:dyDescent="0.3">
      <c r="J41561"/>
    </row>
    <row r="41562" spans="10:10" x14ac:dyDescent="0.3">
      <c r="J41562"/>
    </row>
    <row r="41563" spans="10:10" x14ac:dyDescent="0.3">
      <c r="J41563"/>
    </row>
    <row r="41564" spans="10:10" x14ac:dyDescent="0.3">
      <c r="J41564"/>
    </row>
    <row r="41565" spans="10:10" x14ac:dyDescent="0.3">
      <c r="J41565"/>
    </row>
    <row r="41566" spans="10:10" x14ac:dyDescent="0.3">
      <c r="J41566"/>
    </row>
    <row r="41567" spans="10:10" x14ac:dyDescent="0.3">
      <c r="J41567"/>
    </row>
    <row r="41568" spans="10:10" x14ac:dyDescent="0.3">
      <c r="J41568"/>
    </row>
    <row r="41569" spans="10:10" x14ac:dyDescent="0.3">
      <c r="J41569"/>
    </row>
    <row r="41570" spans="10:10" x14ac:dyDescent="0.3">
      <c r="J41570"/>
    </row>
    <row r="41571" spans="10:10" x14ac:dyDescent="0.3">
      <c r="J41571"/>
    </row>
    <row r="41572" spans="10:10" x14ac:dyDescent="0.3">
      <c r="J41572"/>
    </row>
    <row r="41573" spans="10:10" x14ac:dyDescent="0.3">
      <c r="J41573"/>
    </row>
    <row r="41574" spans="10:10" x14ac:dyDescent="0.3">
      <c r="J41574"/>
    </row>
    <row r="41575" spans="10:10" x14ac:dyDescent="0.3">
      <c r="J41575"/>
    </row>
    <row r="41576" spans="10:10" x14ac:dyDescent="0.3">
      <c r="J41576"/>
    </row>
    <row r="41577" spans="10:10" x14ac:dyDescent="0.3">
      <c r="J41577"/>
    </row>
    <row r="41578" spans="10:10" x14ac:dyDescent="0.3">
      <c r="J41578"/>
    </row>
    <row r="41579" spans="10:10" x14ac:dyDescent="0.3">
      <c r="J41579"/>
    </row>
    <row r="41580" spans="10:10" x14ac:dyDescent="0.3">
      <c r="J41580"/>
    </row>
    <row r="41581" spans="10:10" x14ac:dyDescent="0.3">
      <c r="J41581"/>
    </row>
    <row r="41582" spans="10:10" x14ac:dyDescent="0.3">
      <c r="J41582"/>
    </row>
    <row r="41583" spans="10:10" x14ac:dyDescent="0.3">
      <c r="J41583"/>
    </row>
    <row r="41584" spans="10:10" x14ac:dyDescent="0.3">
      <c r="J41584"/>
    </row>
    <row r="41585" spans="10:10" x14ac:dyDescent="0.3">
      <c r="J41585"/>
    </row>
    <row r="41586" spans="10:10" x14ac:dyDescent="0.3">
      <c r="J41586"/>
    </row>
    <row r="41587" spans="10:10" x14ac:dyDescent="0.3">
      <c r="J41587"/>
    </row>
    <row r="41588" spans="10:10" x14ac:dyDescent="0.3">
      <c r="J41588"/>
    </row>
    <row r="41589" spans="10:10" x14ac:dyDescent="0.3">
      <c r="J41589"/>
    </row>
    <row r="41590" spans="10:10" x14ac:dyDescent="0.3">
      <c r="J41590"/>
    </row>
    <row r="41591" spans="10:10" x14ac:dyDescent="0.3">
      <c r="J41591"/>
    </row>
    <row r="41592" spans="10:10" x14ac:dyDescent="0.3">
      <c r="J41592"/>
    </row>
    <row r="41593" spans="10:10" x14ac:dyDescent="0.3">
      <c r="J41593"/>
    </row>
    <row r="41594" spans="10:10" x14ac:dyDescent="0.3">
      <c r="J41594"/>
    </row>
    <row r="41595" spans="10:10" x14ac:dyDescent="0.3">
      <c r="J41595"/>
    </row>
    <row r="41596" spans="10:10" x14ac:dyDescent="0.3">
      <c r="J41596"/>
    </row>
    <row r="41597" spans="10:10" x14ac:dyDescent="0.3">
      <c r="J41597"/>
    </row>
    <row r="41598" spans="10:10" x14ac:dyDescent="0.3">
      <c r="J41598"/>
    </row>
    <row r="41599" spans="10:10" x14ac:dyDescent="0.3">
      <c r="J41599"/>
    </row>
    <row r="41600" spans="10:10" x14ac:dyDescent="0.3">
      <c r="J41600"/>
    </row>
    <row r="41601" spans="10:10" x14ac:dyDescent="0.3">
      <c r="J41601"/>
    </row>
    <row r="41602" spans="10:10" x14ac:dyDescent="0.3">
      <c r="J41602"/>
    </row>
    <row r="41603" spans="10:10" x14ac:dyDescent="0.3">
      <c r="J41603"/>
    </row>
    <row r="41604" spans="10:10" x14ac:dyDescent="0.3">
      <c r="J41604"/>
    </row>
    <row r="41605" spans="10:10" x14ac:dyDescent="0.3">
      <c r="J41605"/>
    </row>
    <row r="41606" spans="10:10" x14ac:dyDescent="0.3">
      <c r="J41606"/>
    </row>
    <row r="41607" spans="10:10" x14ac:dyDescent="0.3">
      <c r="J41607"/>
    </row>
    <row r="41608" spans="10:10" x14ac:dyDescent="0.3">
      <c r="J41608"/>
    </row>
    <row r="41609" spans="10:10" x14ac:dyDescent="0.3">
      <c r="J41609"/>
    </row>
    <row r="41610" spans="10:10" x14ac:dyDescent="0.3">
      <c r="J41610"/>
    </row>
    <row r="41611" spans="10:10" x14ac:dyDescent="0.3">
      <c r="J41611"/>
    </row>
    <row r="41612" spans="10:10" x14ac:dyDescent="0.3">
      <c r="J41612"/>
    </row>
    <row r="41613" spans="10:10" x14ac:dyDescent="0.3">
      <c r="J41613"/>
    </row>
    <row r="41614" spans="10:10" x14ac:dyDescent="0.3">
      <c r="J41614"/>
    </row>
    <row r="41615" spans="10:10" x14ac:dyDescent="0.3">
      <c r="J41615"/>
    </row>
    <row r="41616" spans="10:10" x14ac:dyDescent="0.3">
      <c r="J41616"/>
    </row>
    <row r="41617" spans="10:10" x14ac:dyDescent="0.3">
      <c r="J41617"/>
    </row>
    <row r="41618" spans="10:10" x14ac:dyDescent="0.3">
      <c r="J41618"/>
    </row>
    <row r="41619" spans="10:10" x14ac:dyDescent="0.3">
      <c r="J41619"/>
    </row>
    <row r="41620" spans="10:10" x14ac:dyDescent="0.3">
      <c r="J41620"/>
    </row>
    <row r="41621" spans="10:10" x14ac:dyDescent="0.3">
      <c r="J41621"/>
    </row>
    <row r="41622" spans="10:10" x14ac:dyDescent="0.3">
      <c r="J41622"/>
    </row>
    <row r="41623" spans="10:10" x14ac:dyDescent="0.3">
      <c r="J41623"/>
    </row>
    <row r="41624" spans="10:10" x14ac:dyDescent="0.3">
      <c r="J41624"/>
    </row>
    <row r="41625" spans="10:10" x14ac:dyDescent="0.3">
      <c r="J41625"/>
    </row>
    <row r="41626" spans="10:10" x14ac:dyDescent="0.3">
      <c r="J41626"/>
    </row>
    <row r="41627" spans="10:10" x14ac:dyDescent="0.3">
      <c r="J41627"/>
    </row>
    <row r="41628" spans="10:10" x14ac:dyDescent="0.3">
      <c r="J41628"/>
    </row>
    <row r="41629" spans="10:10" x14ac:dyDescent="0.3">
      <c r="J41629"/>
    </row>
    <row r="41630" spans="10:10" x14ac:dyDescent="0.3">
      <c r="J41630"/>
    </row>
    <row r="41631" spans="10:10" x14ac:dyDescent="0.3">
      <c r="J41631"/>
    </row>
    <row r="41632" spans="10:10" x14ac:dyDescent="0.3">
      <c r="J41632"/>
    </row>
    <row r="41633" spans="10:10" x14ac:dyDescent="0.3">
      <c r="J41633"/>
    </row>
    <row r="41634" spans="10:10" x14ac:dyDescent="0.3">
      <c r="J41634"/>
    </row>
    <row r="41635" spans="10:10" x14ac:dyDescent="0.3">
      <c r="J41635"/>
    </row>
    <row r="41636" spans="10:10" x14ac:dyDescent="0.3">
      <c r="J41636"/>
    </row>
    <row r="41637" spans="10:10" x14ac:dyDescent="0.3">
      <c r="J41637"/>
    </row>
    <row r="41638" spans="10:10" x14ac:dyDescent="0.3">
      <c r="J41638"/>
    </row>
    <row r="41639" spans="10:10" x14ac:dyDescent="0.3">
      <c r="J41639"/>
    </row>
    <row r="41640" spans="10:10" x14ac:dyDescent="0.3">
      <c r="J41640"/>
    </row>
    <row r="41641" spans="10:10" x14ac:dyDescent="0.3">
      <c r="J41641"/>
    </row>
    <row r="41642" spans="10:10" x14ac:dyDescent="0.3">
      <c r="J41642"/>
    </row>
    <row r="41643" spans="10:10" x14ac:dyDescent="0.3">
      <c r="J41643"/>
    </row>
    <row r="41644" spans="10:10" x14ac:dyDescent="0.3">
      <c r="J41644"/>
    </row>
    <row r="41645" spans="10:10" x14ac:dyDescent="0.3">
      <c r="J41645"/>
    </row>
    <row r="41646" spans="10:10" x14ac:dyDescent="0.3">
      <c r="J41646"/>
    </row>
    <row r="41647" spans="10:10" x14ac:dyDescent="0.3">
      <c r="J41647"/>
    </row>
    <row r="41648" spans="10:10" x14ac:dyDescent="0.3">
      <c r="J41648"/>
    </row>
    <row r="41649" spans="10:10" x14ac:dyDescent="0.3">
      <c r="J41649"/>
    </row>
    <row r="41650" spans="10:10" x14ac:dyDescent="0.3">
      <c r="J41650"/>
    </row>
    <row r="41651" spans="10:10" x14ac:dyDescent="0.3">
      <c r="J41651"/>
    </row>
    <row r="41652" spans="10:10" x14ac:dyDescent="0.3">
      <c r="J41652"/>
    </row>
    <row r="41653" spans="10:10" x14ac:dyDescent="0.3">
      <c r="J41653"/>
    </row>
    <row r="41654" spans="10:10" x14ac:dyDescent="0.3">
      <c r="J41654"/>
    </row>
    <row r="41655" spans="10:10" x14ac:dyDescent="0.3">
      <c r="J41655"/>
    </row>
    <row r="41656" spans="10:10" x14ac:dyDescent="0.3">
      <c r="J41656"/>
    </row>
    <row r="41657" spans="10:10" x14ac:dyDescent="0.3">
      <c r="J41657"/>
    </row>
    <row r="41658" spans="10:10" x14ac:dyDescent="0.3">
      <c r="J41658"/>
    </row>
    <row r="41659" spans="10:10" x14ac:dyDescent="0.3">
      <c r="J41659"/>
    </row>
    <row r="41660" spans="10:10" x14ac:dyDescent="0.3">
      <c r="J41660"/>
    </row>
    <row r="41661" spans="10:10" x14ac:dyDescent="0.3">
      <c r="J41661"/>
    </row>
    <row r="41662" spans="10:10" x14ac:dyDescent="0.3">
      <c r="J41662"/>
    </row>
    <row r="41663" spans="10:10" x14ac:dyDescent="0.3">
      <c r="J41663"/>
    </row>
    <row r="41664" spans="10:10" x14ac:dyDescent="0.3">
      <c r="J41664"/>
    </row>
    <row r="41665" spans="10:10" x14ac:dyDescent="0.3">
      <c r="J41665"/>
    </row>
    <row r="41666" spans="10:10" x14ac:dyDescent="0.3">
      <c r="J41666"/>
    </row>
    <row r="41667" spans="10:10" x14ac:dyDescent="0.3">
      <c r="J41667"/>
    </row>
    <row r="41668" spans="10:10" x14ac:dyDescent="0.3">
      <c r="J41668"/>
    </row>
    <row r="41669" spans="10:10" x14ac:dyDescent="0.3">
      <c r="J41669"/>
    </row>
    <row r="41670" spans="10:10" x14ac:dyDescent="0.3">
      <c r="J41670"/>
    </row>
    <row r="41671" spans="10:10" x14ac:dyDescent="0.3">
      <c r="J41671"/>
    </row>
    <row r="41672" spans="10:10" x14ac:dyDescent="0.3">
      <c r="J41672"/>
    </row>
    <row r="41673" spans="10:10" x14ac:dyDescent="0.3">
      <c r="J41673"/>
    </row>
    <row r="41674" spans="10:10" x14ac:dyDescent="0.3">
      <c r="J41674"/>
    </row>
    <row r="41675" spans="10:10" x14ac:dyDescent="0.3">
      <c r="J41675"/>
    </row>
    <row r="41676" spans="10:10" x14ac:dyDescent="0.3">
      <c r="J41676"/>
    </row>
    <row r="41677" spans="10:10" x14ac:dyDescent="0.3">
      <c r="J41677"/>
    </row>
    <row r="41678" spans="10:10" x14ac:dyDescent="0.3">
      <c r="J41678"/>
    </row>
    <row r="41679" spans="10:10" x14ac:dyDescent="0.3">
      <c r="J41679"/>
    </row>
    <row r="41680" spans="10:10" x14ac:dyDescent="0.3">
      <c r="J41680"/>
    </row>
    <row r="41681" spans="10:10" x14ac:dyDescent="0.3">
      <c r="J41681"/>
    </row>
    <row r="41682" spans="10:10" x14ac:dyDescent="0.3">
      <c r="J41682"/>
    </row>
    <row r="41683" spans="10:10" x14ac:dyDescent="0.3">
      <c r="J41683"/>
    </row>
    <row r="41684" spans="10:10" x14ac:dyDescent="0.3">
      <c r="J41684"/>
    </row>
    <row r="41685" spans="10:10" x14ac:dyDescent="0.3">
      <c r="J41685"/>
    </row>
    <row r="41686" spans="10:10" x14ac:dyDescent="0.3">
      <c r="J41686"/>
    </row>
    <row r="41687" spans="10:10" x14ac:dyDescent="0.3">
      <c r="J41687"/>
    </row>
    <row r="41688" spans="10:10" x14ac:dyDescent="0.3">
      <c r="J41688"/>
    </row>
    <row r="41689" spans="10:10" x14ac:dyDescent="0.3">
      <c r="J41689"/>
    </row>
    <row r="41690" spans="10:10" x14ac:dyDescent="0.3">
      <c r="J41690"/>
    </row>
    <row r="41691" spans="10:10" x14ac:dyDescent="0.3">
      <c r="J41691"/>
    </row>
    <row r="41692" spans="10:10" x14ac:dyDescent="0.3">
      <c r="J41692"/>
    </row>
    <row r="41693" spans="10:10" x14ac:dyDescent="0.3">
      <c r="J41693"/>
    </row>
    <row r="41694" spans="10:10" x14ac:dyDescent="0.3">
      <c r="J41694"/>
    </row>
    <row r="41695" spans="10:10" x14ac:dyDescent="0.3">
      <c r="J41695"/>
    </row>
    <row r="41696" spans="10:10" x14ac:dyDescent="0.3">
      <c r="J41696"/>
    </row>
    <row r="41697" spans="10:10" x14ac:dyDescent="0.3">
      <c r="J41697"/>
    </row>
    <row r="41698" spans="10:10" x14ac:dyDescent="0.3">
      <c r="J41698"/>
    </row>
    <row r="41699" spans="10:10" x14ac:dyDescent="0.3">
      <c r="J41699"/>
    </row>
    <row r="41700" spans="10:10" x14ac:dyDescent="0.3">
      <c r="J41700"/>
    </row>
    <row r="41701" spans="10:10" x14ac:dyDescent="0.3">
      <c r="J41701"/>
    </row>
    <row r="41702" spans="10:10" x14ac:dyDescent="0.3">
      <c r="J41702"/>
    </row>
    <row r="41703" spans="10:10" x14ac:dyDescent="0.3">
      <c r="J41703"/>
    </row>
    <row r="41704" spans="10:10" x14ac:dyDescent="0.3">
      <c r="J41704"/>
    </row>
    <row r="41705" spans="10:10" x14ac:dyDescent="0.3">
      <c r="J41705"/>
    </row>
    <row r="41706" spans="10:10" x14ac:dyDescent="0.3">
      <c r="J41706"/>
    </row>
    <row r="41707" spans="10:10" x14ac:dyDescent="0.3">
      <c r="J41707"/>
    </row>
    <row r="41708" spans="10:10" x14ac:dyDescent="0.3">
      <c r="J41708"/>
    </row>
    <row r="41709" spans="10:10" x14ac:dyDescent="0.3">
      <c r="J41709"/>
    </row>
    <row r="41710" spans="10:10" x14ac:dyDescent="0.3">
      <c r="J41710"/>
    </row>
    <row r="41711" spans="10:10" x14ac:dyDescent="0.3">
      <c r="J41711"/>
    </row>
    <row r="41712" spans="10:10" x14ac:dyDescent="0.3">
      <c r="J41712"/>
    </row>
    <row r="41713" spans="10:10" x14ac:dyDescent="0.3">
      <c r="J41713"/>
    </row>
    <row r="41714" spans="10:10" x14ac:dyDescent="0.3">
      <c r="J41714"/>
    </row>
    <row r="41715" spans="10:10" x14ac:dyDescent="0.3">
      <c r="J41715"/>
    </row>
    <row r="41716" spans="10:10" x14ac:dyDescent="0.3">
      <c r="J41716"/>
    </row>
    <row r="41717" spans="10:10" x14ac:dyDescent="0.3">
      <c r="J41717"/>
    </row>
    <row r="41718" spans="10:10" x14ac:dyDescent="0.3">
      <c r="J41718"/>
    </row>
    <row r="41719" spans="10:10" x14ac:dyDescent="0.3">
      <c r="J41719"/>
    </row>
    <row r="41720" spans="10:10" x14ac:dyDescent="0.3">
      <c r="J41720"/>
    </row>
    <row r="41721" spans="10:10" x14ac:dyDescent="0.3">
      <c r="J41721"/>
    </row>
    <row r="41722" spans="10:10" x14ac:dyDescent="0.3">
      <c r="J41722"/>
    </row>
    <row r="41723" spans="10:10" x14ac:dyDescent="0.3">
      <c r="J41723"/>
    </row>
    <row r="41724" spans="10:10" x14ac:dyDescent="0.3">
      <c r="J41724"/>
    </row>
    <row r="41725" spans="10:10" x14ac:dyDescent="0.3">
      <c r="J41725"/>
    </row>
    <row r="41726" spans="10:10" x14ac:dyDescent="0.3">
      <c r="J41726"/>
    </row>
    <row r="41727" spans="10:10" x14ac:dyDescent="0.3">
      <c r="J41727"/>
    </row>
    <row r="41728" spans="10:10" x14ac:dyDescent="0.3">
      <c r="J41728"/>
    </row>
    <row r="41729" spans="10:10" x14ac:dyDescent="0.3">
      <c r="J41729"/>
    </row>
    <row r="41730" spans="10:10" x14ac:dyDescent="0.3">
      <c r="J41730"/>
    </row>
    <row r="41731" spans="10:10" x14ac:dyDescent="0.3">
      <c r="J41731"/>
    </row>
    <row r="41732" spans="10:10" x14ac:dyDescent="0.3">
      <c r="J41732"/>
    </row>
    <row r="41733" spans="10:10" x14ac:dyDescent="0.3">
      <c r="J41733"/>
    </row>
    <row r="41734" spans="10:10" x14ac:dyDescent="0.3">
      <c r="J41734"/>
    </row>
    <row r="41735" spans="10:10" x14ac:dyDescent="0.3">
      <c r="J41735"/>
    </row>
    <row r="41736" spans="10:10" x14ac:dyDescent="0.3">
      <c r="J41736"/>
    </row>
    <row r="41737" spans="10:10" x14ac:dyDescent="0.3">
      <c r="J41737"/>
    </row>
    <row r="41738" spans="10:10" x14ac:dyDescent="0.3">
      <c r="J41738"/>
    </row>
    <row r="41739" spans="10:10" x14ac:dyDescent="0.3">
      <c r="J41739"/>
    </row>
    <row r="41740" spans="10:10" x14ac:dyDescent="0.3">
      <c r="J41740"/>
    </row>
    <row r="41741" spans="10:10" x14ac:dyDescent="0.3">
      <c r="J41741"/>
    </row>
    <row r="41742" spans="10:10" x14ac:dyDescent="0.3">
      <c r="J41742"/>
    </row>
    <row r="41743" spans="10:10" x14ac:dyDescent="0.3">
      <c r="J41743"/>
    </row>
    <row r="41744" spans="10:10" x14ac:dyDescent="0.3">
      <c r="J41744"/>
    </row>
    <row r="41745" spans="10:10" x14ac:dyDescent="0.3">
      <c r="J41745"/>
    </row>
    <row r="41746" spans="10:10" x14ac:dyDescent="0.3">
      <c r="J41746"/>
    </row>
    <row r="41747" spans="10:10" x14ac:dyDescent="0.3">
      <c r="J41747"/>
    </row>
    <row r="41748" spans="10:10" x14ac:dyDescent="0.3">
      <c r="J41748"/>
    </row>
    <row r="41749" spans="10:10" x14ac:dyDescent="0.3">
      <c r="J41749"/>
    </row>
    <row r="41750" spans="10:10" x14ac:dyDescent="0.3">
      <c r="J41750"/>
    </row>
    <row r="41751" spans="10:10" x14ac:dyDescent="0.3">
      <c r="J41751"/>
    </row>
    <row r="41752" spans="10:10" x14ac:dyDescent="0.3">
      <c r="J41752"/>
    </row>
    <row r="41753" spans="10:10" x14ac:dyDescent="0.3">
      <c r="J41753"/>
    </row>
    <row r="41754" spans="10:10" x14ac:dyDescent="0.3">
      <c r="J41754"/>
    </row>
    <row r="41755" spans="10:10" x14ac:dyDescent="0.3">
      <c r="J41755"/>
    </row>
    <row r="41756" spans="10:10" x14ac:dyDescent="0.3">
      <c r="J41756"/>
    </row>
    <row r="41757" spans="10:10" x14ac:dyDescent="0.3">
      <c r="J41757"/>
    </row>
    <row r="41758" spans="10:10" x14ac:dyDescent="0.3">
      <c r="J41758"/>
    </row>
    <row r="41759" spans="10:10" x14ac:dyDescent="0.3">
      <c r="J41759"/>
    </row>
    <row r="41760" spans="10:10" x14ac:dyDescent="0.3">
      <c r="J41760"/>
    </row>
    <row r="41761" spans="10:10" x14ac:dyDescent="0.3">
      <c r="J41761"/>
    </row>
    <row r="41762" spans="10:10" x14ac:dyDescent="0.3">
      <c r="J41762"/>
    </row>
    <row r="41763" spans="10:10" x14ac:dyDescent="0.3">
      <c r="J41763"/>
    </row>
    <row r="41764" spans="10:10" x14ac:dyDescent="0.3">
      <c r="J41764"/>
    </row>
    <row r="41765" spans="10:10" x14ac:dyDescent="0.3">
      <c r="J41765"/>
    </row>
    <row r="41766" spans="10:10" x14ac:dyDescent="0.3">
      <c r="J41766"/>
    </row>
    <row r="41767" spans="10:10" x14ac:dyDescent="0.3">
      <c r="J41767"/>
    </row>
    <row r="41768" spans="10:10" x14ac:dyDescent="0.3">
      <c r="J41768"/>
    </row>
    <row r="41769" spans="10:10" x14ac:dyDescent="0.3">
      <c r="J41769"/>
    </row>
    <row r="41770" spans="10:10" x14ac:dyDescent="0.3">
      <c r="J41770"/>
    </row>
    <row r="41771" spans="10:10" x14ac:dyDescent="0.3">
      <c r="J41771"/>
    </row>
    <row r="41772" spans="10:10" x14ac:dyDescent="0.3">
      <c r="J41772"/>
    </row>
    <row r="41773" spans="10:10" x14ac:dyDescent="0.3">
      <c r="J41773"/>
    </row>
    <row r="41774" spans="10:10" x14ac:dyDescent="0.3">
      <c r="J41774"/>
    </row>
    <row r="41775" spans="10:10" x14ac:dyDescent="0.3">
      <c r="J41775"/>
    </row>
    <row r="41776" spans="10:10" x14ac:dyDescent="0.3">
      <c r="J41776"/>
    </row>
    <row r="41777" spans="10:10" x14ac:dyDescent="0.3">
      <c r="J41777"/>
    </row>
    <row r="41778" spans="10:10" x14ac:dyDescent="0.3">
      <c r="J41778"/>
    </row>
    <row r="41779" spans="10:10" x14ac:dyDescent="0.3">
      <c r="J41779"/>
    </row>
    <row r="41780" spans="10:10" x14ac:dyDescent="0.3">
      <c r="J41780"/>
    </row>
    <row r="41781" spans="10:10" x14ac:dyDescent="0.3">
      <c r="J41781"/>
    </row>
    <row r="41782" spans="10:10" x14ac:dyDescent="0.3">
      <c r="J41782"/>
    </row>
    <row r="41783" spans="10:10" x14ac:dyDescent="0.3">
      <c r="J41783"/>
    </row>
    <row r="41784" spans="10:10" x14ac:dyDescent="0.3">
      <c r="J41784"/>
    </row>
    <row r="41785" spans="10:10" x14ac:dyDescent="0.3">
      <c r="J41785"/>
    </row>
    <row r="41786" spans="10:10" x14ac:dyDescent="0.3">
      <c r="J41786"/>
    </row>
    <row r="41787" spans="10:10" x14ac:dyDescent="0.3">
      <c r="J41787"/>
    </row>
    <row r="41788" spans="10:10" x14ac:dyDescent="0.3">
      <c r="J41788"/>
    </row>
    <row r="41789" spans="10:10" x14ac:dyDescent="0.3">
      <c r="J41789"/>
    </row>
    <row r="41790" spans="10:10" x14ac:dyDescent="0.3">
      <c r="J41790"/>
    </row>
    <row r="41791" spans="10:10" x14ac:dyDescent="0.3">
      <c r="J41791"/>
    </row>
    <row r="41792" spans="10:10" x14ac:dyDescent="0.3">
      <c r="J41792"/>
    </row>
    <row r="41793" spans="10:10" x14ac:dyDescent="0.3">
      <c r="J41793"/>
    </row>
    <row r="41794" spans="10:10" x14ac:dyDescent="0.3">
      <c r="J41794"/>
    </row>
    <row r="41795" spans="10:10" x14ac:dyDescent="0.3">
      <c r="J41795"/>
    </row>
    <row r="41796" spans="10:10" x14ac:dyDescent="0.3">
      <c r="J41796"/>
    </row>
    <row r="41797" spans="10:10" x14ac:dyDescent="0.3">
      <c r="J41797"/>
    </row>
    <row r="41798" spans="10:10" x14ac:dyDescent="0.3">
      <c r="J41798"/>
    </row>
    <row r="41799" spans="10:10" x14ac:dyDescent="0.3">
      <c r="J41799"/>
    </row>
    <row r="41800" spans="10:10" x14ac:dyDescent="0.3">
      <c r="J41800"/>
    </row>
    <row r="41801" spans="10:10" x14ac:dyDescent="0.3">
      <c r="J41801"/>
    </row>
    <row r="41802" spans="10:10" x14ac:dyDescent="0.3">
      <c r="J41802"/>
    </row>
    <row r="41803" spans="10:10" x14ac:dyDescent="0.3">
      <c r="J41803"/>
    </row>
    <row r="41804" spans="10:10" x14ac:dyDescent="0.3">
      <c r="J41804"/>
    </row>
    <row r="41805" spans="10:10" x14ac:dyDescent="0.3">
      <c r="J41805"/>
    </row>
    <row r="41806" spans="10:10" x14ac:dyDescent="0.3">
      <c r="J41806"/>
    </row>
    <row r="41807" spans="10:10" x14ac:dyDescent="0.3">
      <c r="J41807"/>
    </row>
    <row r="41808" spans="10:10" x14ac:dyDescent="0.3">
      <c r="J41808"/>
    </row>
    <row r="41809" spans="10:10" x14ac:dyDescent="0.3">
      <c r="J41809"/>
    </row>
    <row r="41810" spans="10:10" x14ac:dyDescent="0.3">
      <c r="J41810"/>
    </row>
    <row r="41811" spans="10:10" x14ac:dyDescent="0.3">
      <c r="J41811"/>
    </row>
    <row r="41812" spans="10:10" x14ac:dyDescent="0.3">
      <c r="J41812"/>
    </row>
    <row r="41813" spans="10:10" x14ac:dyDescent="0.3">
      <c r="J41813"/>
    </row>
    <row r="41814" spans="10:10" x14ac:dyDescent="0.3">
      <c r="J41814"/>
    </row>
    <row r="41815" spans="10:10" x14ac:dyDescent="0.3">
      <c r="J41815"/>
    </row>
    <row r="41816" spans="10:10" x14ac:dyDescent="0.3">
      <c r="J41816"/>
    </row>
    <row r="41817" spans="10:10" x14ac:dyDescent="0.3">
      <c r="J41817"/>
    </row>
    <row r="41818" spans="10:10" x14ac:dyDescent="0.3">
      <c r="J41818"/>
    </row>
    <row r="41819" spans="10:10" x14ac:dyDescent="0.3">
      <c r="J41819"/>
    </row>
    <row r="41820" spans="10:10" x14ac:dyDescent="0.3">
      <c r="J41820"/>
    </row>
    <row r="41821" spans="10:10" x14ac:dyDescent="0.3">
      <c r="J41821"/>
    </row>
    <row r="41822" spans="10:10" x14ac:dyDescent="0.3">
      <c r="J41822"/>
    </row>
    <row r="41823" spans="10:10" x14ac:dyDescent="0.3">
      <c r="J41823"/>
    </row>
    <row r="41824" spans="10:10" x14ac:dyDescent="0.3">
      <c r="J41824"/>
    </row>
    <row r="41825" spans="10:10" x14ac:dyDescent="0.3">
      <c r="J41825"/>
    </row>
    <row r="41826" spans="10:10" x14ac:dyDescent="0.3">
      <c r="J41826"/>
    </row>
    <row r="41827" spans="10:10" x14ac:dyDescent="0.3">
      <c r="J41827"/>
    </row>
    <row r="41828" spans="10:10" x14ac:dyDescent="0.3">
      <c r="J41828"/>
    </row>
    <row r="41829" spans="10:10" x14ac:dyDescent="0.3">
      <c r="J41829"/>
    </row>
    <row r="41830" spans="10:10" x14ac:dyDescent="0.3">
      <c r="J41830"/>
    </row>
    <row r="41831" spans="10:10" x14ac:dyDescent="0.3">
      <c r="J41831"/>
    </row>
    <row r="41832" spans="10:10" x14ac:dyDescent="0.3">
      <c r="J41832"/>
    </row>
    <row r="41833" spans="10:10" x14ac:dyDescent="0.3">
      <c r="J41833"/>
    </row>
    <row r="41834" spans="10:10" x14ac:dyDescent="0.3">
      <c r="J41834"/>
    </row>
    <row r="41835" spans="10:10" x14ac:dyDescent="0.3">
      <c r="J41835"/>
    </row>
    <row r="41836" spans="10:10" x14ac:dyDescent="0.3">
      <c r="J41836"/>
    </row>
    <row r="41837" spans="10:10" x14ac:dyDescent="0.3">
      <c r="J41837"/>
    </row>
    <row r="41838" spans="10:10" x14ac:dyDescent="0.3">
      <c r="J41838"/>
    </row>
    <row r="41839" spans="10:10" x14ac:dyDescent="0.3">
      <c r="J41839"/>
    </row>
    <row r="41840" spans="10:10" x14ac:dyDescent="0.3">
      <c r="J41840"/>
    </row>
    <row r="41841" spans="10:10" x14ac:dyDescent="0.3">
      <c r="J41841"/>
    </row>
    <row r="41842" spans="10:10" x14ac:dyDescent="0.3">
      <c r="J41842"/>
    </row>
    <row r="41843" spans="10:10" x14ac:dyDescent="0.3">
      <c r="J41843"/>
    </row>
    <row r="41844" spans="10:10" x14ac:dyDescent="0.3">
      <c r="J41844"/>
    </row>
    <row r="41845" spans="10:10" x14ac:dyDescent="0.3">
      <c r="J41845"/>
    </row>
    <row r="41846" spans="10:10" x14ac:dyDescent="0.3">
      <c r="J41846"/>
    </row>
    <row r="41847" spans="10:10" x14ac:dyDescent="0.3">
      <c r="J41847"/>
    </row>
    <row r="41848" spans="10:10" x14ac:dyDescent="0.3">
      <c r="J41848"/>
    </row>
    <row r="41849" spans="10:10" x14ac:dyDescent="0.3">
      <c r="J41849"/>
    </row>
    <row r="41850" spans="10:10" x14ac:dyDescent="0.3">
      <c r="J41850"/>
    </row>
    <row r="41851" spans="10:10" x14ac:dyDescent="0.3">
      <c r="J41851"/>
    </row>
    <row r="41852" spans="10:10" x14ac:dyDescent="0.3">
      <c r="J41852"/>
    </row>
    <row r="41853" spans="10:10" x14ac:dyDescent="0.3">
      <c r="J41853"/>
    </row>
    <row r="41854" spans="10:10" x14ac:dyDescent="0.3">
      <c r="J41854"/>
    </row>
    <row r="41855" spans="10:10" x14ac:dyDescent="0.3">
      <c r="J41855"/>
    </row>
    <row r="41856" spans="10:10" x14ac:dyDescent="0.3">
      <c r="J41856"/>
    </row>
    <row r="41857" spans="10:10" x14ac:dyDescent="0.3">
      <c r="J41857"/>
    </row>
    <row r="41858" spans="10:10" x14ac:dyDescent="0.3">
      <c r="J41858"/>
    </row>
    <row r="41859" spans="10:10" x14ac:dyDescent="0.3">
      <c r="J41859"/>
    </row>
    <row r="41860" spans="10:10" x14ac:dyDescent="0.3">
      <c r="J41860"/>
    </row>
    <row r="41861" spans="10:10" x14ac:dyDescent="0.3">
      <c r="J41861"/>
    </row>
    <row r="41862" spans="10:10" x14ac:dyDescent="0.3">
      <c r="J41862"/>
    </row>
    <row r="41863" spans="10:10" x14ac:dyDescent="0.3">
      <c r="J41863"/>
    </row>
    <row r="41864" spans="10:10" x14ac:dyDescent="0.3">
      <c r="J41864"/>
    </row>
    <row r="41865" spans="10:10" x14ac:dyDescent="0.3">
      <c r="J41865"/>
    </row>
    <row r="41866" spans="10:10" x14ac:dyDescent="0.3">
      <c r="J41866"/>
    </row>
    <row r="41867" spans="10:10" x14ac:dyDescent="0.3">
      <c r="J41867"/>
    </row>
    <row r="41868" spans="10:10" x14ac:dyDescent="0.3">
      <c r="J41868"/>
    </row>
    <row r="41869" spans="10:10" x14ac:dyDescent="0.3">
      <c r="J41869"/>
    </row>
    <row r="41870" spans="10:10" x14ac:dyDescent="0.3">
      <c r="J41870"/>
    </row>
    <row r="41871" spans="10:10" x14ac:dyDescent="0.3">
      <c r="J41871"/>
    </row>
    <row r="41872" spans="10:10" x14ac:dyDescent="0.3">
      <c r="J41872"/>
    </row>
    <row r="41873" spans="10:10" x14ac:dyDescent="0.3">
      <c r="J41873"/>
    </row>
    <row r="41874" spans="10:10" x14ac:dyDescent="0.3">
      <c r="J41874"/>
    </row>
    <row r="41875" spans="10:10" x14ac:dyDescent="0.3">
      <c r="J41875"/>
    </row>
    <row r="41876" spans="10:10" x14ac:dyDescent="0.3">
      <c r="J41876"/>
    </row>
    <row r="41877" spans="10:10" x14ac:dyDescent="0.3">
      <c r="J41877"/>
    </row>
    <row r="41878" spans="10:10" x14ac:dyDescent="0.3">
      <c r="J41878"/>
    </row>
    <row r="41879" spans="10:10" x14ac:dyDescent="0.3">
      <c r="J41879"/>
    </row>
    <row r="41880" spans="10:10" x14ac:dyDescent="0.3">
      <c r="J41880"/>
    </row>
    <row r="41881" spans="10:10" x14ac:dyDescent="0.3">
      <c r="J41881"/>
    </row>
    <row r="41882" spans="10:10" x14ac:dyDescent="0.3">
      <c r="J41882"/>
    </row>
    <row r="41883" spans="10:10" x14ac:dyDescent="0.3">
      <c r="J41883"/>
    </row>
    <row r="41884" spans="10:10" x14ac:dyDescent="0.3">
      <c r="J41884"/>
    </row>
    <row r="41885" spans="10:10" x14ac:dyDescent="0.3">
      <c r="J41885"/>
    </row>
    <row r="41886" spans="10:10" x14ac:dyDescent="0.3">
      <c r="J41886"/>
    </row>
    <row r="41887" spans="10:10" x14ac:dyDescent="0.3">
      <c r="J41887"/>
    </row>
    <row r="41888" spans="10:10" x14ac:dyDescent="0.3">
      <c r="J41888"/>
    </row>
    <row r="41889" spans="10:10" x14ac:dyDescent="0.3">
      <c r="J41889"/>
    </row>
    <row r="41890" spans="10:10" x14ac:dyDescent="0.3">
      <c r="J41890"/>
    </row>
    <row r="41891" spans="10:10" x14ac:dyDescent="0.3">
      <c r="J41891"/>
    </row>
    <row r="41892" spans="10:10" x14ac:dyDescent="0.3">
      <c r="J41892"/>
    </row>
    <row r="41893" spans="10:10" x14ac:dyDescent="0.3">
      <c r="J41893"/>
    </row>
    <row r="41894" spans="10:10" x14ac:dyDescent="0.3">
      <c r="J41894"/>
    </row>
    <row r="41895" spans="10:10" x14ac:dyDescent="0.3">
      <c r="J41895"/>
    </row>
    <row r="41896" spans="10:10" x14ac:dyDescent="0.3">
      <c r="J41896"/>
    </row>
    <row r="41897" spans="10:10" x14ac:dyDescent="0.3">
      <c r="J41897"/>
    </row>
    <row r="41898" spans="10:10" x14ac:dyDescent="0.3">
      <c r="J41898"/>
    </row>
    <row r="41899" spans="10:10" x14ac:dyDescent="0.3">
      <c r="J41899"/>
    </row>
    <row r="41900" spans="10:10" x14ac:dyDescent="0.3">
      <c r="J41900"/>
    </row>
    <row r="41901" spans="10:10" x14ac:dyDescent="0.3">
      <c r="J41901"/>
    </row>
    <row r="41902" spans="10:10" x14ac:dyDescent="0.3">
      <c r="J41902"/>
    </row>
    <row r="41903" spans="10:10" x14ac:dyDescent="0.3">
      <c r="J41903"/>
    </row>
    <row r="41904" spans="10:10" x14ac:dyDescent="0.3">
      <c r="J41904"/>
    </row>
    <row r="41905" spans="10:10" x14ac:dyDescent="0.3">
      <c r="J41905"/>
    </row>
    <row r="41906" spans="10:10" x14ac:dyDescent="0.3">
      <c r="J41906"/>
    </row>
    <row r="41907" spans="10:10" x14ac:dyDescent="0.3">
      <c r="J41907"/>
    </row>
    <row r="41908" spans="10:10" x14ac:dyDescent="0.3">
      <c r="J41908"/>
    </row>
    <row r="41909" spans="10:10" x14ac:dyDescent="0.3">
      <c r="J41909"/>
    </row>
    <row r="41910" spans="10:10" x14ac:dyDescent="0.3">
      <c r="J41910"/>
    </row>
    <row r="41911" spans="10:10" x14ac:dyDescent="0.3">
      <c r="J41911"/>
    </row>
    <row r="41912" spans="10:10" x14ac:dyDescent="0.3">
      <c r="J41912"/>
    </row>
    <row r="41913" spans="10:10" x14ac:dyDescent="0.3">
      <c r="J41913"/>
    </row>
    <row r="41914" spans="10:10" x14ac:dyDescent="0.3">
      <c r="J41914"/>
    </row>
    <row r="41915" spans="10:10" x14ac:dyDescent="0.3">
      <c r="J41915"/>
    </row>
    <row r="41916" spans="10:10" x14ac:dyDescent="0.3">
      <c r="J41916"/>
    </row>
    <row r="41917" spans="10:10" x14ac:dyDescent="0.3">
      <c r="J41917"/>
    </row>
    <row r="41918" spans="10:10" x14ac:dyDescent="0.3">
      <c r="J41918"/>
    </row>
    <row r="41919" spans="10:10" x14ac:dyDescent="0.3">
      <c r="J41919"/>
    </row>
    <row r="41920" spans="10:10" x14ac:dyDescent="0.3">
      <c r="J41920"/>
    </row>
    <row r="41921" spans="10:10" x14ac:dyDescent="0.3">
      <c r="J41921"/>
    </row>
    <row r="41922" spans="10:10" x14ac:dyDescent="0.3">
      <c r="J41922"/>
    </row>
    <row r="41923" spans="10:10" x14ac:dyDescent="0.3">
      <c r="J41923"/>
    </row>
    <row r="41924" spans="10:10" x14ac:dyDescent="0.3">
      <c r="J41924"/>
    </row>
    <row r="41925" spans="10:10" x14ac:dyDescent="0.3">
      <c r="J41925"/>
    </row>
    <row r="41926" spans="10:10" x14ac:dyDescent="0.3">
      <c r="J41926"/>
    </row>
    <row r="41927" spans="10:10" x14ac:dyDescent="0.3">
      <c r="J41927"/>
    </row>
    <row r="41928" spans="10:10" x14ac:dyDescent="0.3">
      <c r="J41928"/>
    </row>
    <row r="41929" spans="10:10" x14ac:dyDescent="0.3">
      <c r="J41929"/>
    </row>
    <row r="41930" spans="10:10" x14ac:dyDescent="0.3">
      <c r="J41930"/>
    </row>
    <row r="41931" spans="10:10" x14ac:dyDescent="0.3">
      <c r="J41931"/>
    </row>
    <row r="41932" spans="10:10" x14ac:dyDescent="0.3">
      <c r="J41932"/>
    </row>
    <row r="41933" spans="10:10" x14ac:dyDescent="0.3">
      <c r="J41933"/>
    </row>
    <row r="41934" spans="10:10" x14ac:dyDescent="0.3">
      <c r="J41934"/>
    </row>
    <row r="41935" spans="10:10" x14ac:dyDescent="0.3">
      <c r="J41935"/>
    </row>
    <row r="41936" spans="10:10" x14ac:dyDescent="0.3">
      <c r="J41936"/>
    </row>
    <row r="41937" spans="10:10" x14ac:dyDescent="0.3">
      <c r="J41937"/>
    </row>
    <row r="41938" spans="10:10" x14ac:dyDescent="0.3">
      <c r="J41938"/>
    </row>
    <row r="41939" spans="10:10" x14ac:dyDescent="0.3">
      <c r="J41939"/>
    </row>
    <row r="41940" spans="10:10" x14ac:dyDescent="0.3">
      <c r="J41940"/>
    </row>
    <row r="41941" spans="10:10" x14ac:dyDescent="0.3">
      <c r="J41941"/>
    </row>
    <row r="41942" spans="10:10" x14ac:dyDescent="0.3">
      <c r="J41942"/>
    </row>
    <row r="41943" spans="10:10" x14ac:dyDescent="0.3">
      <c r="J41943"/>
    </row>
    <row r="41944" spans="10:10" x14ac:dyDescent="0.3">
      <c r="J41944"/>
    </row>
    <row r="41945" spans="10:10" x14ac:dyDescent="0.3">
      <c r="J41945"/>
    </row>
    <row r="41946" spans="10:10" x14ac:dyDescent="0.3">
      <c r="J41946"/>
    </row>
    <row r="41947" spans="10:10" x14ac:dyDescent="0.3">
      <c r="J41947"/>
    </row>
    <row r="41948" spans="10:10" x14ac:dyDescent="0.3">
      <c r="J41948"/>
    </row>
    <row r="41949" spans="10:10" x14ac:dyDescent="0.3">
      <c r="J41949"/>
    </row>
    <row r="41950" spans="10:10" x14ac:dyDescent="0.3">
      <c r="J41950"/>
    </row>
    <row r="41951" spans="10:10" x14ac:dyDescent="0.3">
      <c r="J41951"/>
    </row>
    <row r="41952" spans="10:10" x14ac:dyDescent="0.3">
      <c r="J41952"/>
    </row>
    <row r="41953" spans="10:10" x14ac:dyDescent="0.3">
      <c r="J41953"/>
    </row>
    <row r="41954" spans="10:10" x14ac:dyDescent="0.3">
      <c r="J41954"/>
    </row>
    <row r="41955" spans="10:10" x14ac:dyDescent="0.3">
      <c r="J41955"/>
    </row>
    <row r="41956" spans="10:10" x14ac:dyDescent="0.3">
      <c r="J41956"/>
    </row>
    <row r="41957" spans="10:10" x14ac:dyDescent="0.3">
      <c r="J41957"/>
    </row>
    <row r="41958" spans="10:10" x14ac:dyDescent="0.3">
      <c r="J41958"/>
    </row>
    <row r="41959" spans="10:10" x14ac:dyDescent="0.3">
      <c r="J41959"/>
    </row>
    <row r="41960" spans="10:10" x14ac:dyDescent="0.3">
      <c r="J41960"/>
    </row>
    <row r="41961" spans="10:10" x14ac:dyDescent="0.3">
      <c r="J41961"/>
    </row>
    <row r="41962" spans="10:10" x14ac:dyDescent="0.3">
      <c r="J41962"/>
    </row>
    <row r="41963" spans="10:10" x14ac:dyDescent="0.3">
      <c r="J41963"/>
    </row>
    <row r="41964" spans="10:10" x14ac:dyDescent="0.3">
      <c r="J41964"/>
    </row>
    <row r="41965" spans="10:10" x14ac:dyDescent="0.3">
      <c r="J41965"/>
    </row>
    <row r="41966" spans="10:10" x14ac:dyDescent="0.3">
      <c r="J41966"/>
    </row>
    <row r="41967" spans="10:10" x14ac:dyDescent="0.3">
      <c r="J41967"/>
    </row>
    <row r="41968" spans="10:10" x14ac:dyDescent="0.3">
      <c r="J41968"/>
    </row>
    <row r="41969" spans="10:10" x14ac:dyDescent="0.3">
      <c r="J41969"/>
    </row>
    <row r="41970" spans="10:10" x14ac:dyDescent="0.3">
      <c r="J41970"/>
    </row>
    <row r="41971" spans="10:10" x14ac:dyDescent="0.3">
      <c r="J41971"/>
    </row>
    <row r="41972" spans="10:10" x14ac:dyDescent="0.3">
      <c r="J41972"/>
    </row>
    <row r="41973" spans="10:10" x14ac:dyDescent="0.3">
      <c r="J41973"/>
    </row>
    <row r="41974" spans="10:10" x14ac:dyDescent="0.3">
      <c r="J41974"/>
    </row>
    <row r="41975" spans="10:10" x14ac:dyDescent="0.3">
      <c r="J41975"/>
    </row>
    <row r="41976" spans="10:10" x14ac:dyDescent="0.3">
      <c r="J41976"/>
    </row>
    <row r="41977" spans="10:10" x14ac:dyDescent="0.3">
      <c r="J41977"/>
    </row>
    <row r="41978" spans="10:10" x14ac:dyDescent="0.3">
      <c r="J41978"/>
    </row>
    <row r="41979" spans="10:10" x14ac:dyDescent="0.3">
      <c r="J41979"/>
    </row>
    <row r="41980" spans="10:10" x14ac:dyDescent="0.3">
      <c r="J41980"/>
    </row>
    <row r="41981" spans="10:10" x14ac:dyDescent="0.3">
      <c r="J41981"/>
    </row>
    <row r="41982" spans="10:10" x14ac:dyDescent="0.3">
      <c r="J41982"/>
    </row>
    <row r="41983" spans="10:10" x14ac:dyDescent="0.3">
      <c r="J41983"/>
    </row>
    <row r="41984" spans="10:10" x14ac:dyDescent="0.3">
      <c r="J41984"/>
    </row>
    <row r="41985" spans="10:10" x14ac:dyDescent="0.3">
      <c r="J41985"/>
    </row>
    <row r="41986" spans="10:10" x14ac:dyDescent="0.3">
      <c r="J41986"/>
    </row>
    <row r="41987" spans="10:10" x14ac:dyDescent="0.3">
      <c r="J41987"/>
    </row>
    <row r="41988" spans="10:10" x14ac:dyDescent="0.3">
      <c r="J41988"/>
    </row>
    <row r="41989" spans="10:10" x14ac:dyDescent="0.3">
      <c r="J41989"/>
    </row>
    <row r="41990" spans="10:10" x14ac:dyDescent="0.3">
      <c r="J41990"/>
    </row>
    <row r="41991" spans="10:10" x14ac:dyDescent="0.3">
      <c r="J41991"/>
    </row>
    <row r="41992" spans="10:10" x14ac:dyDescent="0.3">
      <c r="J41992"/>
    </row>
    <row r="41993" spans="10:10" x14ac:dyDescent="0.3">
      <c r="J41993"/>
    </row>
    <row r="41994" spans="10:10" x14ac:dyDescent="0.3">
      <c r="J41994"/>
    </row>
    <row r="41995" spans="10:10" x14ac:dyDescent="0.3">
      <c r="J41995"/>
    </row>
    <row r="41996" spans="10:10" x14ac:dyDescent="0.3">
      <c r="J41996"/>
    </row>
    <row r="41997" spans="10:10" x14ac:dyDescent="0.3">
      <c r="J41997"/>
    </row>
    <row r="41998" spans="10:10" x14ac:dyDescent="0.3">
      <c r="J41998"/>
    </row>
    <row r="41999" spans="10:10" x14ac:dyDescent="0.3">
      <c r="J41999"/>
    </row>
    <row r="42000" spans="10:10" x14ac:dyDescent="0.3">
      <c r="J42000"/>
    </row>
    <row r="42001" spans="10:10" x14ac:dyDescent="0.3">
      <c r="J42001"/>
    </row>
    <row r="42002" spans="10:10" x14ac:dyDescent="0.3">
      <c r="J42002"/>
    </row>
    <row r="42003" spans="10:10" x14ac:dyDescent="0.3">
      <c r="J42003"/>
    </row>
    <row r="42004" spans="10:10" x14ac:dyDescent="0.3">
      <c r="J42004"/>
    </row>
    <row r="42005" spans="10:10" x14ac:dyDescent="0.3">
      <c r="J42005"/>
    </row>
    <row r="42006" spans="10:10" x14ac:dyDescent="0.3">
      <c r="J42006"/>
    </row>
    <row r="42007" spans="10:10" x14ac:dyDescent="0.3">
      <c r="J42007"/>
    </row>
    <row r="42008" spans="10:10" x14ac:dyDescent="0.3">
      <c r="J42008"/>
    </row>
    <row r="42009" spans="10:10" x14ac:dyDescent="0.3">
      <c r="J42009"/>
    </row>
    <row r="42010" spans="10:10" x14ac:dyDescent="0.3">
      <c r="J42010"/>
    </row>
    <row r="42011" spans="10:10" x14ac:dyDescent="0.3">
      <c r="J42011"/>
    </row>
    <row r="42012" spans="10:10" x14ac:dyDescent="0.3">
      <c r="J42012"/>
    </row>
    <row r="42013" spans="10:10" x14ac:dyDescent="0.3">
      <c r="J42013"/>
    </row>
    <row r="42014" spans="10:10" x14ac:dyDescent="0.3">
      <c r="J42014"/>
    </row>
    <row r="42015" spans="10:10" x14ac:dyDescent="0.3">
      <c r="J42015"/>
    </row>
    <row r="42016" spans="10:10" x14ac:dyDescent="0.3">
      <c r="J42016"/>
    </row>
    <row r="42017" spans="10:10" x14ac:dyDescent="0.3">
      <c r="J42017"/>
    </row>
    <row r="42018" spans="10:10" x14ac:dyDescent="0.3">
      <c r="J42018"/>
    </row>
    <row r="42019" spans="10:10" x14ac:dyDescent="0.3">
      <c r="J42019"/>
    </row>
    <row r="42020" spans="10:10" x14ac:dyDescent="0.3">
      <c r="J42020"/>
    </row>
    <row r="42021" spans="10:10" x14ac:dyDescent="0.3">
      <c r="J42021"/>
    </row>
    <row r="42022" spans="10:10" x14ac:dyDescent="0.3">
      <c r="J42022"/>
    </row>
    <row r="42023" spans="10:10" x14ac:dyDescent="0.3">
      <c r="J42023"/>
    </row>
    <row r="42024" spans="10:10" x14ac:dyDescent="0.3">
      <c r="J42024"/>
    </row>
    <row r="42025" spans="10:10" x14ac:dyDescent="0.3">
      <c r="J42025"/>
    </row>
    <row r="42026" spans="10:10" x14ac:dyDescent="0.3">
      <c r="J42026"/>
    </row>
    <row r="42027" spans="10:10" x14ac:dyDescent="0.3">
      <c r="J42027"/>
    </row>
    <row r="42028" spans="10:10" x14ac:dyDescent="0.3">
      <c r="J42028"/>
    </row>
    <row r="42029" spans="10:10" x14ac:dyDescent="0.3">
      <c r="J42029"/>
    </row>
    <row r="42030" spans="10:10" x14ac:dyDescent="0.3">
      <c r="J42030"/>
    </row>
    <row r="42031" spans="10:10" x14ac:dyDescent="0.3">
      <c r="J42031"/>
    </row>
    <row r="42032" spans="10:10" x14ac:dyDescent="0.3">
      <c r="J42032"/>
    </row>
    <row r="42033" spans="10:10" x14ac:dyDescent="0.3">
      <c r="J42033"/>
    </row>
    <row r="42034" spans="10:10" x14ac:dyDescent="0.3">
      <c r="J42034"/>
    </row>
    <row r="42035" spans="10:10" x14ac:dyDescent="0.3">
      <c r="J42035"/>
    </row>
    <row r="42036" spans="10:10" x14ac:dyDescent="0.3">
      <c r="J42036"/>
    </row>
    <row r="42037" spans="10:10" x14ac:dyDescent="0.3">
      <c r="J42037"/>
    </row>
    <row r="42038" spans="10:10" x14ac:dyDescent="0.3">
      <c r="J42038"/>
    </row>
    <row r="42039" spans="10:10" x14ac:dyDescent="0.3">
      <c r="J42039"/>
    </row>
    <row r="42040" spans="10:10" x14ac:dyDescent="0.3">
      <c r="J42040"/>
    </row>
    <row r="42041" spans="10:10" x14ac:dyDescent="0.3">
      <c r="J42041"/>
    </row>
    <row r="42042" spans="10:10" x14ac:dyDescent="0.3">
      <c r="J42042"/>
    </row>
    <row r="42043" spans="10:10" x14ac:dyDescent="0.3">
      <c r="J42043"/>
    </row>
    <row r="42044" spans="10:10" x14ac:dyDescent="0.3">
      <c r="J42044"/>
    </row>
    <row r="42045" spans="10:10" x14ac:dyDescent="0.3">
      <c r="J42045"/>
    </row>
    <row r="42046" spans="10:10" x14ac:dyDescent="0.3">
      <c r="J42046"/>
    </row>
    <row r="42047" spans="10:10" x14ac:dyDescent="0.3">
      <c r="J42047"/>
    </row>
    <row r="42048" spans="10:10" x14ac:dyDescent="0.3">
      <c r="J42048"/>
    </row>
    <row r="42049" spans="10:10" x14ac:dyDescent="0.3">
      <c r="J42049"/>
    </row>
    <row r="42050" spans="10:10" x14ac:dyDescent="0.3">
      <c r="J42050"/>
    </row>
    <row r="42051" spans="10:10" x14ac:dyDescent="0.3">
      <c r="J42051"/>
    </row>
    <row r="42052" spans="10:10" x14ac:dyDescent="0.3">
      <c r="J42052"/>
    </row>
    <row r="42053" spans="10:10" x14ac:dyDescent="0.3">
      <c r="J42053"/>
    </row>
    <row r="42054" spans="10:10" x14ac:dyDescent="0.3">
      <c r="J42054"/>
    </row>
    <row r="42055" spans="10:10" x14ac:dyDescent="0.3">
      <c r="J42055"/>
    </row>
    <row r="42056" spans="10:10" x14ac:dyDescent="0.3">
      <c r="J42056"/>
    </row>
    <row r="42057" spans="10:10" x14ac:dyDescent="0.3">
      <c r="J42057"/>
    </row>
    <row r="42058" spans="10:10" x14ac:dyDescent="0.3">
      <c r="J42058"/>
    </row>
    <row r="42059" spans="10:10" x14ac:dyDescent="0.3">
      <c r="J42059"/>
    </row>
    <row r="42060" spans="10:10" x14ac:dyDescent="0.3">
      <c r="J42060"/>
    </row>
    <row r="42061" spans="10:10" x14ac:dyDescent="0.3">
      <c r="J42061"/>
    </row>
    <row r="42062" spans="10:10" x14ac:dyDescent="0.3">
      <c r="J42062"/>
    </row>
    <row r="42063" spans="10:10" x14ac:dyDescent="0.3">
      <c r="J42063"/>
    </row>
    <row r="42064" spans="10:10" x14ac:dyDescent="0.3">
      <c r="J42064"/>
    </row>
    <row r="42065" spans="10:10" x14ac:dyDescent="0.3">
      <c r="J42065"/>
    </row>
    <row r="42066" spans="10:10" x14ac:dyDescent="0.3">
      <c r="J42066"/>
    </row>
    <row r="42067" spans="10:10" x14ac:dyDescent="0.3">
      <c r="J42067"/>
    </row>
    <row r="42068" spans="10:10" x14ac:dyDescent="0.3">
      <c r="J42068"/>
    </row>
    <row r="42069" spans="10:10" x14ac:dyDescent="0.3">
      <c r="J42069"/>
    </row>
    <row r="42070" spans="10:10" x14ac:dyDescent="0.3">
      <c r="J42070"/>
    </row>
    <row r="42071" spans="10:10" x14ac:dyDescent="0.3">
      <c r="J42071"/>
    </row>
    <row r="42072" spans="10:10" x14ac:dyDescent="0.3">
      <c r="J42072"/>
    </row>
    <row r="42073" spans="10:10" x14ac:dyDescent="0.3">
      <c r="J42073"/>
    </row>
    <row r="42074" spans="10:10" x14ac:dyDescent="0.3">
      <c r="J42074"/>
    </row>
    <row r="42075" spans="10:10" x14ac:dyDescent="0.3">
      <c r="J42075"/>
    </row>
    <row r="42076" spans="10:10" x14ac:dyDescent="0.3">
      <c r="J42076"/>
    </row>
    <row r="42077" spans="10:10" x14ac:dyDescent="0.3">
      <c r="J42077"/>
    </row>
    <row r="42078" spans="10:10" x14ac:dyDescent="0.3">
      <c r="J42078"/>
    </row>
    <row r="42079" spans="10:10" x14ac:dyDescent="0.3">
      <c r="J42079"/>
    </row>
    <row r="42080" spans="10:10" x14ac:dyDescent="0.3">
      <c r="J42080"/>
    </row>
    <row r="42081" spans="10:10" x14ac:dyDescent="0.3">
      <c r="J42081"/>
    </row>
    <row r="42082" spans="10:10" x14ac:dyDescent="0.3">
      <c r="J42082"/>
    </row>
    <row r="42083" spans="10:10" x14ac:dyDescent="0.3">
      <c r="J42083"/>
    </row>
    <row r="42084" spans="10:10" x14ac:dyDescent="0.3">
      <c r="J42084"/>
    </row>
    <row r="42085" spans="10:10" x14ac:dyDescent="0.3">
      <c r="J42085"/>
    </row>
    <row r="42086" spans="10:10" x14ac:dyDescent="0.3">
      <c r="J42086"/>
    </row>
    <row r="42087" spans="10:10" x14ac:dyDescent="0.3">
      <c r="J42087"/>
    </row>
    <row r="42088" spans="10:10" x14ac:dyDescent="0.3">
      <c r="J42088"/>
    </row>
    <row r="42089" spans="10:10" x14ac:dyDescent="0.3">
      <c r="J42089"/>
    </row>
    <row r="42090" spans="10:10" x14ac:dyDescent="0.3">
      <c r="J42090"/>
    </row>
    <row r="42091" spans="10:10" x14ac:dyDescent="0.3">
      <c r="J42091"/>
    </row>
    <row r="42092" spans="10:10" x14ac:dyDescent="0.3">
      <c r="J42092"/>
    </row>
    <row r="42093" spans="10:10" x14ac:dyDescent="0.3">
      <c r="J42093"/>
    </row>
    <row r="42094" spans="10:10" x14ac:dyDescent="0.3">
      <c r="J42094"/>
    </row>
    <row r="42095" spans="10:10" x14ac:dyDescent="0.3">
      <c r="J42095"/>
    </row>
    <row r="42096" spans="10:10" x14ac:dyDescent="0.3">
      <c r="J42096"/>
    </row>
    <row r="42097" spans="10:10" x14ac:dyDescent="0.3">
      <c r="J42097"/>
    </row>
    <row r="42098" spans="10:10" x14ac:dyDescent="0.3">
      <c r="J42098"/>
    </row>
    <row r="42099" spans="10:10" x14ac:dyDescent="0.3">
      <c r="J42099"/>
    </row>
    <row r="42100" spans="10:10" x14ac:dyDescent="0.3">
      <c r="J42100"/>
    </row>
    <row r="42101" spans="10:10" x14ac:dyDescent="0.3">
      <c r="J42101"/>
    </row>
    <row r="42102" spans="10:10" x14ac:dyDescent="0.3">
      <c r="J42102"/>
    </row>
    <row r="42103" spans="10:10" x14ac:dyDescent="0.3">
      <c r="J42103"/>
    </row>
    <row r="42104" spans="10:10" x14ac:dyDescent="0.3">
      <c r="J42104"/>
    </row>
    <row r="42105" spans="10:10" x14ac:dyDescent="0.3">
      <c r="J42105"/>
    </row>
    <row r="42106" spans="10:10" x14ac:dyDescent="0.3">
      <c r="J42106"/>
    </row>
    <row r="42107" spans="10:10" x14ac:dyDescent="0.3">
      <c r="J42107"/>
    </row>
    <row r="42108" spans="10:10" x14ac:dyDescent="0.3">
      <c r="J42108"/>
    </row>
    <row r="42109" spans="10:10" x14ac:dyDescent="0.3">
      <c r="J42109"/>
    </row>
    <row r="42110" spans="10:10" x14ac:dyDescent="0.3">
      <c r="J42110"/>
    </row>
    <row r="42111" spans="10:10" x14ac:dyDescent="0.3">
      <c r="J42111"/>
    </row>
    <row r="42112" spans="10:10" x14ac:dyDescent="0.3">
      <c r="J42112"/>
    </row>
    <row r="42113" spans="10:10" x14ac:dyDescent="0.3">
      <c r="J42113"/>
    </row>
    <row r="42114" spans="10:10" x14ac:dyDescent="0.3">
      <c r="J42114"/>
    </row>
    <row r="42115" spans="10:10" x14ac:dyDescent="0.3">
      <c r="J42115"/>
    </row>
    <row r="42116" spans="10:10" x14ac:dyDescent="0.3">
      <c r="J42116"/>
    </row>
    <row r="42117" spans="10:10" x14ac:dyDescent="0.3">
      <c r="J42117"/>
    </row>
    <row r="42118" spans="10:10" x14ac:dyDescent="0.3">
      <c r="J42118"/>
    </row>
    <row r="42119" spans="10:10" x14ac:dyDescent="0.3">
      <c r="J42119"/>
    </row>
    <row r="42120" spans="10:10" x14ac:dyDescent="0.3">
      <c r="J42120"/>
    </row>
    <row r="42121" spans="10:10" x14ac:dyDescent="0.3">
      <c r="J42121"/>
    </row>
    <row r="42122" spans="10:10" x14ac:dyDescent="0.3">
      <c r="J42122"/>
    </row>
    <row r="42123" spans="10:10" x14ac:dyDescent="0.3">
      <c r="J42123"/>
    </row>
    <row r="42124" spans="10:10" x14ac:dyDescent="0.3">
      <c r="J42124"/>
    </row>
    <row r="42125" spans="10:10" x14ac:dyDescent="0.3">
      <c r="J42125"/>
    </row>
    <row r="42126" spans="10:10" x14ac:dyDescent="0.3">
      <c r="J42126"/>
    </row>
    <row r="42127" spans="10:10" x14ac:dyDescent="0.3">
      <c r="J42127"/>
    </row>
    <row r="42128" spans="10:10" x14ac:dyDescent="0.3">
      <c r="J42128"/>
    </row>
    <row r="42129" spans="10:10" x14ac:dyDescent="0.3">
      <c r="J42129"/>
    </row>
    <row r="42130" spans="10:10" x14ac:dyDescent="0.3">
      <c r="J42130"/>
    </row>
    <row r="42131" spans="10:10" x14ac:dyDescent="0.3">
      <c r="J42131"/>
    </row>
    <row r="42132" spans="10:10" x14ac:dyDescent="0.3">
      <c r="J42132"/>
    </row>
    <row r="42133" spans="10:10" x14ac:dyDescent="0.3">
      <c r="J42133"/>
    </row>
    <row r="42134" spans="10:10" x14ac:dyDescent="0.3">
      <c r="J42134"/>
    </row>
    <row r="42135" spans="10:10" x14ac:dyDescent="0.3">
      <c r="J42135"/>
    </row>
    <row r="42136" spans="10:10" x14ac:dyDescent="0.3">
      <c r="J42136"/>
    </row>
    <row r="42137" spans="10:10" x14ac:dyDescent="0.3">
      <c r="J42137"/>
    </row>
    <row r="42138" spans="10:10" x14ac:dyDescent="0.3">
      <c r="J42138"/>
    </row>
    <row r="42139" spans="10:10" x14ac:dyDescent="0.3">
      <c r="J42139"/>
    </row>
    <row r="42140" spans="10:10" x14ac:dyDescent="0.3">
      <c r="J42140"/>
    </row>
    <row r="42141" spans="10:10" x14ac:dyDescent="0.3">
      <c r="J42141"/>
    </row>
    <row r="42142" spans="10:10" x14ac:dyDescent="0.3">
      <c r="J42142"/>
    </row>
    <row r="42143" spans="10:10" x14ac:dyDescent="0.3">
      <c r="J42143"/>
    </row>
    <row r="42144" spans="10:10" x14ac:dyDescent="0.3">
      <c r="J42144"/>
    </row>
    <row r="42145" spans="10:10" x14ac:dyDescent="0.3">
      <c r="J42145"/>
    </row>
    <row r="42146" spans="10:10" x14ac:dyDescent="0.3">
      <c r="J42146"/>
    </row>
    <row r="42147" spans="10:10" x14ac:dyDescent="0.3">
      <c r="J42147"/>
    </row>
    <row r="42148" spans="10:10" x14ac:dyDescent="0.3">
      <c r="J42148"/>
    </row>
    <row r="42149" spans="10:10" x14ac:dyDescent="0.3">
      <c r="J42149"/>
    </row>
    <row r="42150" spans="10:10" x14ac:dyDescent="0.3">
      <c r="J42150"/>
    </row>
    <row r="42151" spans="10:10" x14ac:dyDescent="0.3">
      <c r="J42151"/>
    </row>
    <row r="42152" spans="10:10" x14ac:dyDescent="0.3">
      <c r="J42152"/>
    </row>
    <row r="42153" spans="10:10" x14ac:dyDescent="0.3">
      <c r="J42153"/>
    </row>
    <row r="42154" spans="10:10" x14ac:dyDescent="0.3">
      <c r="J42154"/>
    </row>
    <row r="42155" spans="10:10" x14ac:dyDescent="0.3">
      <c r="J42155"/>
    </row>
    <row r="42156" spans="10:10" x14ac:dyDescent="0.3">
      <c r="J42156"/>
    </row>
    <row r="42157" spans="10:10" x14ac:dyDescent="0.3">
      <c r="J42157"/>
    </row>
    <row r="42158" spans="10:10" x14ac:dyDescent="0.3">
      <c r="J42158"/>
    </row>
    <row r="42159" spans="10:10" x14ac:dyDescent="0.3">
      <c r="J42159"/>
    </row>
    <row r="42160" spans="10:10" x14ac:dyDescent="0.3">
      <c r="J42160"/>
    </row>
    <row r="42161" spans="10:10" x14ac:dyDescent="0.3">
      <c r="J42161"/>
    </row>
    <row r="42162" spans="10:10" x14ac:dyDescent="0.3">
      <c r="J42162"/>
    </row>
    <row r="42163" spans="10:10" x14ac:dyDescent="0.3">
      <c r="J42163"/>
    </row>
    <row r="42164" spans="10:10" x14ac:dyDescent="0.3">
      <c r="J42164"/>
    </row>
    <row r="42165" spans="10:10" x14ac:dyDescent="0.3">
      <c r="J42165"/>
    </row>
    <row r="42166" spans="10:10" x14ac:dyDescent="0.3">
      <c r="J42166"/>
    </row>
    <row r="42167" spans="10:10" x14ac:dyDescent="0.3">
      <c r="J42167"/>
    </row>
    <row r="42168" spans="10:10" x14ac:dyDescent="0.3">
      <c r="J42168"/>
    </row>
    <row r="42169" spans="10:10" x14ac:dyDescent="0.3">
      <c r="J42169"/>
    </row>
    <row r="42170" spans="10:10" x14ac:dyDescent="0.3">
      <c r="J42170"/>
    </row>
    <row r="42171" spans="10:10" x14ac:dyDescent="0.3">
      <c r="J42171"/>
    </row>
    <row r="42172" spans="10:10" x14ac:dyDescent="0.3">
      <c r="J42172"/>
    </row>
    <row r="42173" spans="10:10" x14ac:dyDescent="0.3">
      <c r="J42173"/>
    </row>
    <row r="42174" spans="10:10" x14ac:dyDescent="0.3">
      <c r="J42174"/>
    </row>
    <row r="42175" spans="10:10" x14ac:dyDescent="0.3">
      <c r="J42175"/>
    </row>
    <row r="42176" spans="10:10" x14ac:dyDescent="0.3">
      <c r="J42176"/>
    </row>
    <row r="42177" spans="10:10" x14ac:dyDescent="0.3">
      <c r="J42177"/>
    </row>
    <row r="42178" spans="10:10" x14ac:dyDescent="0.3">
      <c r="J42178"/>
    </row>
    <row r="42179" spans="10:10" x14ac:dyDescent="0.3">
      <c r="J42179"/>
    </row>
    <row r="42180" spans="10:10" x14ac:dyDescent="0.3">
      <c r="J42180"/>
    </row>
    <row r="42181" spans="10:10" x14ac:dyDescent="0.3">
      <c r="J42181"/>
    </row>
    <row r="42182" spans="10:10" x14ac:dyDescent="0.3">
      <c r="J42182"/>
    </row>
    <row r="42183" spans="10:10" x14ac:dyDescent="0.3">
      <c r="J42183"/>
    </row>
    <row r="42184" spans="10:10" x14ac:dyDescent="0.3">
      <c r="J42184"/>
    </row>
    <row r="42185" spans="10:10" x14ac:dyDescent="0.3">
      <c r="J42185"/>
    </row>
    <row r="42186" spans="10:10" x14ac:dyDescent="0.3">
      <c r="J42186"/>
    </row>
    <row r="42187" spans="10:10" x14ac:dyDescent="0.3">
      <c r="J42187"/>
    </row>
    <row r="42188" spans="10:10" x14ac:dyDescent="0.3">
      <c r="J42188"/>
    </row>
    <row r="42189" spans="10:10" x14ac:dyDescent="0.3">
      <c r="J42189"/>
    </row>
    <row r="42190" spans="10:10" x14ac:dyDescent="0.3">
      <c r="J42190"/>
    </row>
    <row r="42191" spans="10:10" x14ac:dyDescent="0.3">
      <c r="J42191"/>
    </row>
    <row r="42192" spans="10:10" x14ac:dyDescent="0.3">
      <c r="J42192"/>
    </row>
    <row r="42193" spans="10:10" x14ac:dyDescent="0.3">
      <c r="J42193"/>
    </row>
    <row r="42194" spans="10:10" x14ac:dyDescent="0.3">
      <c r="J42194"/>
    </row>
    <row r="42195" spans="10:10" x14ac:dyDescent="0.3">
      <c r="J42195"/>
    </row>
    <row r="42196" spans="10:10" x14ac:dyDescent="0.3">
      <c r="J42196"/>
    </row>
    <row r="42197" spans="10:10" x14ac:dyDescent="0.3">
      <c r="J42197"/>
    </row>
    <row r="42198" spans="10:10" x14ac:dyDescent="0.3">
      <c r="J42198"/>
    </row>
    <row r="42199" spans="10:10" x14ac:dyDescent="0.3">
      <c r="J42199"/>
    </row>
    <row r="42200" spans="10:10" x14ac:dyDescent="0.3">
      <c r="J42200"/>
    </row>
    <row r="42201" spans="10:10" x14ac:dyDescent="0.3">
      <c r="J42201"/>
    </row>
    <row r="42202" spans="10:10" x14ac:dyDescent="0.3">
      <c r="J42202"/>
    </row>
    <row r="42203" spans="10:10" x14ac:dyDescent="0.3">
      <c r="J42203"/>
    </row>
    <row r="42204" spans="10:10" x14ac:dyDescent="0.3">
      <c r="J42204"/>
    </row>
    <row r="42205" spans="10:10" x14ac:dyDescent="0.3">
      <c r="J42205"/>
    </row>
    <row r="42206" spans="10:10" x14ac:dyDescent="0.3">
      <c r="J42206"/>
    </row>
    <row r="42207" spans="10:10" x14ac:dyDescent="0.3">
      <c r="J42207"/>
    </row>
    <row r="42208" spans="10:10" x14ac:dyDescent="0.3">
      <c r="J42208"/>
    </row>
    <row r="42209" spans="10:10" x14ac:dyDescent="0.3">
      <c r="J42209"/>
    </row>
    <row r="42210" spans="10:10" x14ac:dyDescent="0.3">
      <c r="J42210"/>
    </row>
    <row r="42211" spans="10:10" x14ac:dyDescent="0.3">
      <c r="J42211"/>
    </row>
    <row r="42212" spans="10:10" x14ac:dyDescent="0.3">
      <c r="J42212"/>
    </row>
    <row r="42213" spans="10:10" x14ac:dyDescent="0.3">
      <c r="J42213"/>
    </row>
    <row r="42214" spans="10:10" x14ac:dyDescent="0.3">
      <c r="J42214"/>
    </row>
    <row r="42215" spans="10:10" x14ac:dyDescent="0.3">
      <c r="J42215"/>
    </row>
    <row r="42216" spans="10:10" x14ac:dyDescent="0.3">
      <c r="J42216"/>
    </row>
    <row r="42217" spans="10:10" x14ac:dyDescent="0.3">
      <c r="J42217"/>
    </row>
    <row r="42218" spans="10:10" x14ac:dyDescent="0.3">
      <c r="J42218"/>
    </row>
    <row r="42219" spans="10:10" x14ac:dyDescent="0.3">
      <c r="J42219"/>
    </row>
    <row r="42220" spans="10:10" x14ac:dyDescent="0.3">
      <c r="J42220"/>
    </row>
    <row r="42221" spans="10:10" x14ac:dyDescent="0.3">
      <c r="J42221"/>
    </row>
    <row r="42222" spans="10:10" x14ac:dyDescent="0.3">
      <c r="J42222"/>
    </row>
    <row r="42223" spans="10:10" x14ac:dyDescent="0.3">
      <c r="J42223"/>
    </row>
    <row r="42224" spans="10:10" x14ac:dyDescent="0.3">
      <c r="J42224"/>
    </row>
    <row r="42225" spans="10:10" x14ac:dyDescent="0.3">
      <c r="J42225"/>
    </row>
    <row r="42226" spans="10:10" x14ac:dyDescent="0.3">
      <c r="J42226"/>
    </row>
    <row r="42227" spans="10:10" x14ac:dyDescent="0.3">
      <c r="J42227"/>
    </row>
    <row r="42228" spans="10:10" x14ac:dyDescent="0.3">
      <c r="J42228"/>
    </row>
    <row r="42229" spans="10:10" x14ac:dyDescent="0.3">
      <c r="J42229"/>
    </row>
    <row r="42230" spans="10:10" x14ac:dyDescent="0.3">
      <c r="J42230"/>
    </row>
    <row r="42231" spans="10:10" x14ac:dyDescent="0.3">
      <c r="J42231"/>
    </row>
    <row r="42232" spans="10:10" x14ac:dyDescent="0.3">
      <c r="J42232"/>
    </row>
    <row r="42233" spans="10:10" x14ac:dyDescent="0.3">
      <c r="J42233"/>
    </row>
    <row r="42234" spans="10:10" x14ac:dyDescent="0.3">
      <c r="J42234"/>
    </row>
    <row r="42235" spans="10:10" x14ac:dyDescent="0.3">
      <c r="J42235"/>
    </row>
    <row r="42236" spans="10:10" x14ac:dyDescent="0.3">
      <c r="J42236"/>
    </row>
    <row r="42237" spans="10:10" x14ac:dyDescent="0.3">
      <c r="J42237"/>
    </row>
    <row r="42238" spans="10:10" x14ac:dyDescent="0.3">
      <c r="J42238"/>
    </row>
    <row r="42239" spans="10:10" x14ac:dyDescent="0.3">
      <c r="J42239"/>
    </row>
    <row r="42240" spans="10:10" x14ac:dyDescent="0.3">
      <c r="J42240"/>
    </row>
    <row r="42241" spans="10:10" x14ac:dyDescent="0.3">
      <c r="J42241"/>
    </row>
    <row r="42242" spans="10:10" x14ac:dyDescent="0.3">
      <c r="J42242"/>
    </row>
    <row r="42243" spans="10:10" x14ac:dyDescent="0.3">
      <c r="J42243"/>
    </row>
    <row r="42244" spans="10:10" x14ac:dyDescent="0.3">
      <c r="J42244"/>
    </row>
    <row r="42245" spans="10:10" x14ac:dyDescent="0.3">
      <c r="J42245"/>
    </row>
    <row r="42246" spans="10:10" x14ac:dyDescent="0.3">
      <c r="J42246"/>
    </row>
    <row r="42247" spans="10:10" x14ac:dyDescent="0.3">
      <c r="J42247"/>
    </row>
    <row r="42248" spans="10:10" x14ac:dyDescent="0.3">
      <c r="J42248"/>
    </row>
    <row r="42249" spans="10:10" x14ac:dyDescent="0.3">
      <c r="J42249"/>
    </row>
    <row r="42250" spans="10:10" x14ac:dyDescent="0.3">
      <c r="J42250"/>
    </row>
    <row r="42251" spans="10:10" x14ac:dyDescent="0.3">
      <c r="J42251"/>
    </row>
    <row r="42252" spans="10:10" x14ac:dyDescent="0.3">
      <c r="J42252"/>
    </row>
    <row r="42253" spans="10:10" x14ac:dyDescent="0.3">
      <c r="J42253"/>
    </row>
    <row r="42254" spans="10:10" x14ac:dyDescent="0.3">
      <c r="J42254"/>
    </row>
    <row r="42255" spans="10:10" x14ac:dyDescent="0.3">
      <c r="J42255"/>
    </row>
    <row r="42256" spans="10:10" x14ac:dyDescent="0.3">
      <c r="J42256"/>
    </row>
    <row r="42257" spans="10:10" x14ac:dyDescent="0.3">
      <c r="J42257"/>
    </row>
    <row r="42258" spans="10:10" x14ac:dyDescent="0.3">
      <c r="J42258"/>
    </row>
    <row r="42259" spans="10:10" x14ac:dyDescent="0.3">
      <c r="J42259"/>
    </row>
    <row r="42260" spans="10:10" x14ac:dyDescent="0.3">
      <c r="J42260"/>
    </row>
    <row r="42261" spans="10:10" x14ac:dyDescent="0.3">
      <c r="J42261"/>
    </row>
    <row r="42262" spans="10:10" x14ac:dyDescent="0.3">
      <c r="J42262"/>
    </row>
    <row r="42263" spans="10:10" x14ac:dyDescent="0.3">
      <c r="J42263"/>
    </row>
    <row r="42264" spans="10:10" x14ac:dyDescent="0.3">
      <c r="J42264"/>
    </row>
    <row r="42265" spans="10:10" x14ac:dyDescent="0.3">
      <c r="J42265"/>
    </row>
    <row r="42266" spans="10:10" x14ac:dyDescent="0.3">
      <c r="J42266"/>
    </row>
    <row r="42267" spans="10:10" x14ac:dyDescent="0.3">
      <c r="J42267"/>
    </row>
    <row r="42268" spans="10:10" x14ac:dyDescent="0.3">
      <c r="J42268"/>
    </row>
    <row r="42269" spans="10:10" x14ac:dyDescent="0.3">
      <c r="J42269"/>
    </row>
    <row r="42270" spans="10:10" x14ac:dyDescent="0.3">
      <c r="J42270"/>
    </row>
    <row r="42271" spans="10:10" x14ac:dyDescent="0.3">
      <c r="J42271"/>
    </row>
    <row r="42272" spans="10:10" x14ac:dyDescent="0.3">
      <c r="J42272"/>
    </row>
    <row r="42273" spans="10:10" x14ac:dyDescent="0.3">
      <c r="J42273"/>
    </row>
    <row r="42274" spans="10:10" x14ac:dyDescent="0.3">
      <c r="J42274"/>
    </row>
    <row r="42275" spans="10:10" x14ac:dyDescent="0.3">
      <c r="J42275"/>
    </row>
    <row r="42276" spans="10:10" x14ac:dyDescent="0.3">
      <c r="J42276"/>
    </row>
    <row r="42277" spans="10:10" x14ac:dyDescent="0.3">
      <c r="J42277"/>
    </row>
    <row r="42278" spans="10:10" x14ac:dyDescent="0.3">
      <c r="J42278"/>
    </row>
    <row r="42279" spans="10:10" x14ac:dyDescent="0.3">
      <c r="J42279"/>
    </row>
    <row r="42280" spans="10:10" x14ac:dyDescent="0.3">
      <c r="J42280"/>
    </row>
    <row r="42281" spans="10:10" x14ac:dyDescent="0.3">
      <c r="J42281"/>
    </row>
    <row r="42282" spans="10:10" x14ac:dyDescent="0.3">
      <c r="J42282"/>
    </row>
    <row r="42283" spans="10:10" x14ac:dyDescent="0.3">
      <c r="J42283"/>
    </row>
    <row r="42284" spans="10:10" x14ac:dyDescent="0.3">
      <c r="J42284"/>
    </row>
    <row r="42285" spans="10:10" x14ac:dyDescent="0.3">
      <c r="J42285"/>
    </row>
    <row r="42286" spans="10:10" x14ac:dyDescent="0.3">
      <c r="J42286"/>
    </row>
    <row r="42287" spans="10:10" x14ac:dyDescent="0.3">
      <c r="J42287"/>
    </row>
    <row r="42288" spans="10:10" x14ac:dyDescent="0.3">
      <c r="J42288"/>
    </row>
    <row r="42289" spans="10:10" x14ac:dyDescent="0.3">
      <c r="J42289"/>
    </row>
    <row r="42290" spans="10:10" x14ac:dyDescent="0.3">
      <c r="J42290"/>
    </row>
    <row r="42291" spans="10:10" x14ac:dyDescent="0.3">
      <c r="J42291"/>
    </row>
    <row r="42292" spans="10:10" x14ac:dyDescent="0.3">
      <c r="J42292"/>
    </row>
    <row r="42293" spans="10:10" x14ac:dyDescent="0.3">
      <c r="J42293"/>
    </row>
    <row r="42294" spans="10:10" x14ac:dyDescent="0.3">
      <c r="J42294"/>
    </row>
    <row r="42295" spans="10:10" x14ac:dyDescent="0.3">
      <c r="J42295"/>
    </row>
    <row r="42296" spans="10:10" x14ac:dyDescent="0.3">
      <c r="J42296"/>
    </row>
    <row r="42297" spans="10:10" x14ac:dyDescent="0.3">
      <c r="J42297"/>
    </row>
    <row r="42298" spans="10:10" x14ac:dyDescent="0.3">
      <c r="J42298"/>
    </row>
    <row r="42299" spans="10:10" x14ac:dyDescent="0.3">
      <c r="J42299"/>
    </row>
    <row r="42300" spans="10:10" x14ac:dyDescent="0.3">
      <c r="J42300"/>
    </row>
    <row r="42301" spans="10:10" x14ac:dyDescent="0.3">
      <c r="J42301"/>
    </row>
    <row r="42302" spans="10:10" x14ac:dyDescent="0.3">
      <c r="J42302"/>
    </row>
    <row r="42303" spans="10:10" x14ac:dyDescent="0.3">
      <c r="J42303"/>
    </row>
    <row r="42304" spans="10:10" x14ac:dyDescent="0.3">
      <c r="J42304"/>
    </row>
    <row r="42305" spans="10:10" x14ac:dyDescent="0.3">
      <c r="J42305"/>
    </row>
    <row r="42306" spans="10:10" x14ac:dyDescent="0.3">
      <c r="J42306"/>
    </row>
    <row r="42307" spans="10:10" x14ac:dyDescent="0.3">
      <c r="J42307"/>
    </row>
    <row r="42308" spans="10:10" x14ac:dyDescent="0.3">
      <c r="J42308"/>
    </row>
    <row r="42309" spans="10:10" x14ac:dyDescent="0.3">
      <c r="J42309"/>
    </row>
    <row r="42310" spans="10:10" x14ac:dyDescent="0.3">
      <c r="J42310"/>
    </row>
    <row r="42311" spans="10:10" x14ac:dyDescent="0.3">
      <c r="J42311"/>
    </row>
    <row r="42312" spans="10:10" x14ac:dyDescent="0.3">
      <c r="J42312"/>
    </row>
    <row r="42313" spans="10:10" x14ac:dyDescent="0.3">
      <c r="J42313"/>
    </row>
    <row r="42314" spans="10:10" x14ac:dyDescent="0.3">
      <c r="J42314"/>
    </row>
    <row r="42315" spans="10:10" x14ac:dyDescent="0.3">
      <c r="J42315"/>
    </row>
    <row r="42316" spans="10:10" x14ac:dyDescent="0.3">
      <c r="J42316"/>
    </row>
    <row r="42317" spans="10:10" x14ac:dyDescent="0.3">
      <c r="J42317"/>
    </row>
    <row r="42318" spans="10:10" x14ac:dyDescent="0.3">
      <c r="J42318"/>
    </row>
    <row r="42319" spans="10:10" x14ac:dyDescent="0.3">
      <c r="J42319"/>
    </row>
    <row r="42320" spans="10:10" x14ac:dyDescent="0.3">
      <c r="J42320"/>
    </row>
    <row r="42321" spans="10:10" x14ac:dyDescent="0.3">
      <c r="J42321"/>
    </row>
    <row r="42322" spans="10:10" x14ac:dyDescent="0.3">
      <c r="J42322"/>
    </row>
    <row r="42323" spans="10:10" x14ac:dyDescent="0.3">
      <c r="J42323"/>
    </row>
    <row r="42324" spans="10:10" x14ac:dyDescent="0.3">
      <c r="J42324"/>
    </row>
    <row r="42325" spans="10:10" x14ac:dyDescent="0.3">
      <c r="J42325"/>
    </row>
    <row r="42326" spans="10:10" x14ac:dyDescent="0.3">
      <c r="J42326"/>
    </row>
    <row r="42327" spans="10:10" x14ac:dyDescent="0.3">
      <c r="J42327"/>
    </row>
    <row r="42328" spans="10:10" x14ac:dyDescent="0.3">
      <c r="J42328"/>
    </row>
    <row r="42329" spans="10:10" x14ac:dyDescent="0.3">
      <c r="J42329"/>
    </row>
    <row r="42330" spans="10:10" x14ac:dyDescent="0.3">
      <c r="J42330"/>
    </row>
    <row r="42331" spans="10:10" x14ac:dyDescent="0.3">
      <c r="J42331"/>
    </row>
    <row r="42332" spans="10:10" x14ac:dyDescent="0.3">
      <c r="J42332"/>
    </row>
    <row r="42333" spans="10:10" x14ac:dyDescent="0.3">
      <c r="J42333"/>
    </row>
    <row r="42334" spans="10:10" x14ac:dyDescent="0.3">
      <c r="J42334"/>
    </row>
    <row r="42335" spans="10:10" x14ac:dyDescent="0.3">
      <c r="J42335"/>
    </row>
    <row r="42336" spans="10:10" x14ac:dyDescent="0.3">
      <c r="J42336"/>
    </row>
    <row r="42337" spans="10:10" x14ac:dyDescent="0.3">
      <c r="J42337"/>
    </row>
    <row r="42338" spans="10:10" x14ac:dyDescent="0.3">
      <c r="J42338"/>
    </row>
    <row r="42339" spans="10:10" x14ac:dyDescent="0.3">
      <c r="J42339"/>
    </row>
    <row r="42340" spans="10:10" x14ac:dyDescent="0.3">
      <c r="J42340"/>
    </row>
    <row r="42341" spans="10:10" x14ac:dyDescent="0.3">
      <c r="J42341"/>
    </row>
    <row r="42342" spans="10:10" x14ac:dyDescent="0.3">
      <c r="J42342"/>
    </row>
    <row r="42343" spans="10:10" x14ac:dyDescent="0.3">
      <c r="J42343"/>
    </row>
    <row r="42344" spans="10:10" x14ac:dyDescent="0.3">
      <c r="J42344"/>
    </row>
    <row r="42345" spans="10:10" x14ac:dyDescent="0.3">
      <c r="J42345"/>
    </row>
    <row r="42346" spans="10:10" x14ac:dyDescent="0.3">
      <c r="J42346"/>
    </row>
    <row r="42347" spans="10:10" x14ac:dyDescent="0.3">
      <c r="J42347"/>
    </row>
    <row r="42348" spans="10:10" x14ac:dyDescent="0.3">
      <c r="J42348"/>
    </row>
    <row r="42349" spans="10:10" x14ac:dyDescent="0.3">
      <c r="J42349"/>
    </row>
    <row r="42350" spans="10:10" x14ac:dyDescent="0.3">
      <c r="J42350"/>
    </row>
    <row r="42351" spans="10:10" x14ac:dyDescent="0.3">
      <c r="J42351"/>
    </row>
    <row r="42352" spans="10:10" x14ac:dyDescent="0.3">
      <c r="J42352"/>
    </row>
    <row r="42353" spans="10:10" x14ac:dyDescent="0.3">
      <c r="J42353"/>
    </row>
    <row r="42354" spans="10:10" x14ac:dyDescent="0.3">
      <c r="J42354"/>
    </row>
    <row r="42355" spans="10:10" x14ac:dyDescent="0.3">
      <c r="J42355"/>
    </row>
    <row r="42356" spans="10:10" x14ac:dyDescent="0.3">
      <c r="J42356"/>
    </row>
    <row r="42357" spans="10:10" x14ac:dyDescent="0.3">
      <c r="J42357"/>
    </row>
    <row r="42358" spans="10:10" x14ac:dyDescent="0.3">
      <c r="J42358"/>
    </row>
    <row r="42359" spans="10:10" x14ac:dyDescent="0.3">
      <c r="J42359"/>
    </row>
    <row r="42360" spans="10:10" x14ac:dyDescent="0.3">
      <c r="J42360"/>
    </row>
    <row r="42361" spans="10:10" x14ac:dyDescent="0.3">
      <c r="J42361"/>
    </row>
    <row r="42362" spans="10:10" x14ac:dyDescent="0.3">
      <c r="J42362"/>
    </row>
    <row r="42363" spans="10:10" x14ac:dyDescent="0.3">
      <c r="J42363"/>
    </row>
    <row r="42364" spans="10:10" x14ac:dyDescent="0.3">
      <c r="J42364"/>
    </row>
    <row r="42365" spans="10:10" x14ac:dyDescent="0.3">
      <c r="J42365"/>
    </row>
    <row r="42366" spans="10:10" x14ac:dyDescent="0.3">
      <c r="J42366"/>
    </row>
    <row r="42367" spans="10:10" x14ac:dyDescent="0.3">
      <c r="J42367"/>
    </row>
    <row r="42368" spans="10:10" x14ac:dyDescent="0.3">
      <c r="J42368"/>
    </row>
    <row r="42369" spans="10:10" x14ac:dyDescent="0.3">
      <c r="J42369"/>
    </row>
    <row r="42370" spans="10:10" x14ac:dyDescent="0.3">
      <c r="J42370"/>
    </row>
    <row r="42371" spans="10:10" x14ac:dyDescent="0.3">
      <c r="J42371"/>
    </row>
    <row r="42372" spans="10:10" x14ac:dyDescent="0.3">
      <c r="J42372"/>
    </row>
    <row r="42373" spans="10:10" x14ac:dyDescent="0.3">
      <c r="J42373"/>
    </row>
    <row r="42374" spans="10:10" x14ac:dyDescent="0.3">
      <c r="J42374"/>
    </row>
    <row r="42375" spans="10:10" x14ac:dyDescent="0.3">
      <c r="J42375"/>
    </row>
    <row r="42376" spans="10:10" x14ac:dyDescent="0.3">
      <c r="J42376"/>
    </row>
    <row r="42377" spans="10:10" x14ac:dyDescent="0.3">
      <c r="J42377"/>
    </row>
    <row r="42378" spans="10:10" x14ac:dyDescent="0.3">
      <c r="J42378"/>
    </row>
    <row r="42379" spans="10:10" x14ac:dyDescent="0.3">
      <c r="J42379"/>
    </row>
    <row r="42380" spans="10:10" x14ac:dyDescent="0.3">
      <c r="J42380"/>
    </row>
    <row r="42381" spans="10:10" x14ac:dyDescent="0.3">
      <c r="J42381"/>
    </row>
    <row r="42382" spans="10:10" x14ac:dyDescent="0.3">
      <c r="J42382"/>
    </row>
    <row r="42383" spans="10:10" x14ac:dyDescent="0.3">
      <c r="J42383"/>
    </row>
    <row r="42384" spans="10:10" x14ac:dyDescent="0.3">
      <c r="J42384"/>
    </row>
    <row r="42385" spans="10:10" x14ac:dyDescent="0.3">
      <c r="J42385"/>
    </row>
    <row r="42386" spans="10:10" x14ac:dyDescent="0.3">
      <c r="J42386"/>
    </row>
    <row r="42387" spans="10:10" x14ac:dyDescent="0.3">
      <c r="J42387"/>
    </row>
    <row r="42388" spans="10:10" x14ac:dyDescent="0.3">
      <c r="J42388"/>
    </row>
    <row r="42389" spans="10:10" x14ac:dyDescent="0.3">
      <c r="J42389"/>
    </row>
    <row r="42390" spans="10:10" x14ac:dyDescent="0.3">
      <c r="J42390"/>
    </row>
    <row r="42391" spans="10:10" x14ac:dyDescent="0.3">
      <c r="J42391"/>
    </row>
    <row r="42392" spans="10:10" x14ac:dyDescent="0.3">
      <c r="J42392"/>
    </row>
    <row r="42393" spans="10:10" x14ac:dyDescent="0.3">
      <c r="J42393"/>
    </row>
    <row r="42394" spans="10:10" x14ac:dyDescent="0.3">
      <c r="J42394"/>
    </row>
    <row r="42395" spans="10:10" x14ac:dyDescent="0.3">
      <c r="J42395"/>
    </row>
    <row r="42396" spans="10:10" x14ac:dyDescent="0.3">
      <c r="J42396"/>
    </row>
    <row r="42397" spans="10:10" x14ac:dyDescent="0.3">
      <c r="J42397"/>
    </row>
    <row r="42398" spans="10:10" x14ac:dyDescent="0.3">
      <c r="J42398"/>
    </row>
    <row r="42399" spans="10:10" x14ac:dyDescent="0.3">
      <c r="J42399"/>
    </row>
    <row r="42400" spans="10:10" x14ac:dyDescent="0.3">
      <c r="J42400"/>
    </row>
    <row r="42401" spans="10:10" x14ac:dyDescent="0.3">
      <c r="J42401"/>
    </row>
    <row r="42402" spans="10:10" x14ac:dyDescent="0.3">
      <c r="J42402"/>
    </row>
    <row r="42403" spans="10:10" x14ac:dyDescent="0.3">
      <c r="J42403"/>
    </row>
    <row r="42404" spans="10:10" x14ac:dyDescent="0.3">
      <c r="J42404"/>
    </row>
    <row r="42405" spans="10:10" x14ac:dyDescent="0.3">
      <c r="J42405"/>
    </row>
    <row r="42406" spans="10:10" x14ac:dyDescent="0.3">
      <c r="J42406"/>
    </row>
    <row r="42407" spans="10:10" x14ac:dyDescent="0.3">
      <c r="J42407"/>
    </row>
    <row r="42408" spans="10:10" x14ac:dyDescent="0.3">
      <c r="J42408"/>
    </row>
    <row r="42409" spans="10:10" x14ac:dyDescent="0.3">
      <c r="J42409"/>
    </row>
    <row r="42410" spans="10:10" x14ac:dyDescent="0.3">
      <c r="J42410"/>
    </row>
    <row r="42411" spans="10:10" x14ac:dyDescent="0.3">
      <c r="J42411"/>
    </row>
    <row r="42412" spans="10:10" x14ac:dyDescent="0.3">
      <c r="J42412"/>
    </row>
    <row r="42413" spans="10:10" x14ac:dyDescent="0.3">
      <c r="J42413"/>
    </row>
    <row r="42414" spans="10:10" x14ac:dyDescent="0.3">
      <c r="J42414"/>
    </row>
    <row r="42415" spans="10:10" x14ac:dyDescent="0.3">
      <c r="J42415"/>
    </row>
    <row r="42416" spans="10:10" x14ac:dyDescent="0.3">
      <c r="J42416"/>
    </row>
    <row r="42417" spans="10:10" x14ac:dyDescent="0.3">
      <c r="J42417"/>
    </row>
    <row r="42418" spans="10:10" x14ac:dyDescent="0.3">
      <c r="J42418"/>
    </row>
    <row r="42419" spans="10:10" x14ac:dyDescent="0.3">
      <c r="J42419"/>
    </row>
    <row r="42420" spans="10:10" x14ac:dyDescent="0.3">
      <c r="J42420"/>
    </row>
    <row r="42421" spans="10:10" x14ac:dyDescent="0.3">
      <c r="J42421"/>
    </row>
    <row r="42422" spans="10:10" x14ac:dyDescent="0.3">
      <c r="J42422"/>
    </row>
    <row r="42423" spans="10:10" x14ac:dyDescent="0.3">
      <c r="J42423"/>
    </row>
    <row r="42424" spans="10:10" x14ac:dyDescent="0.3">
      <c r="J42424"/>
    </row>
    <row r="42425" spans="10:10" x14ac:dyDescent="0.3">
      <c r="J42425"/>
    </row>
    <row r="42426" spans="10:10" x14ac:dyDescent="0.3">
      <c r="J42426"/>
    </row>
    <row r="42427" spans="10:10" x14ac:dyDescent="0.3">
      <c r="J42427"/>
    </row>
    <row r="42428" spans="10:10" x14ac:dyDescent="0.3">
      <c r="J42428"/>
    </row>
    <row r="42429" spans="10:10" x14ac:dyDescent="0.3">
      <c r="J42429"/>
    </row>
    <row r="42430" spans="10:10" x14ac:dyDescent="0.3">
      <c r="J42430"/>
    </row>
    <row r="42431" spans="10:10" x14ac:dyDescent="0.3">
      <c r="J42431"/>
    </row>
    <row r="42432" spans="10:10" x14ac:dyDescent="0.3">
      <c r="J42432"/>
    </row>
    <row r="42433" spans="10:10" x14ac:dyDescent="0.3">
      <c r="J42433"/>
    </row>
    <row r="42434" spans="10:10" x14ac:dyDescent="0.3">
      <c r="J42434"/>
    </row>
    <row r="42435" spans="10:10" x14ac:dyDescent="0.3">
      <c r="J42435"/>
    </row>
    <row r="42436" spans="10:10" x14ac:dyDescent="0.3">
      <c r="J42436"/>
    </row>
    <row r="42437" spans="10:10" x14ac:dyDescent="0.3">
      <c r="J42437"/>
    </row>
    <row r="42438" spans="10:10" x14ac:dyDescent="0.3">
      <c r="J42438"/>
    </row>
    <row r="42439" spans="10:10" x14ac:dyDescent="0.3">
      <c r="J42439"/>
    </row>
    <row r="42440" spans="10:10" x14ac:dyDescent="0.3">
      <c r="J42440"/>
    </row>
    <row r="42441" spans="10:10" x14ac:dyDescent="0.3">
      <c r="J42441"/>
    </row>
    <row r="42442" spans="10:10" x14ac:dyDescent="0.3">
      <c r="J42442"/>
    </row>
    <row r="42443" spans="10:10" x14ac:dyDescent="0.3">
      <c r="J42443"/>
    </row>
    <row r="42444" spans="10:10" x14ac:dyDescent="0.3">
      <c r="J42444"/>
    </row>
    <row r="42445" spans="10:10" x14ac:dyDescent="0.3">
      <c r="J42445"/>
    </row>
    <row r="42446" spans="10:10" x14ac:dyDescent="0.3">
      <c r="J42446"/>
    </row>
    <row r="42447" spans="10:10" x14ac:dyDescent="0.3">
      <c r="J42447"/>
    </row>
    <row r="42448" spans="10:10" x14ac:dyDescent="0.3">
      <c r="J42448"/>
    </row>
    <row r="42449" spans="10:10" x14ac:dyDescent="0.3">
      <c r="J42449"/>
    </row>
    <row r="42450" spans="10:10" x14ac:dyDescent="0.3">
      <c r="J42450"/>
    </row>
    <row r="42451" spans="10:10" x14ac:dyDescent="0.3">
      <c r="J42451"/>
    </row>
    <row r="42452" spans="10:10" x14ac:dyDescent="0.3">
      <c r="J42452"/>
    </row>
    <row r="42453" spans="10:10" x14ac:dyDescent="0.3">
      <c r="J42453"/>
    </row>
    <row r="42454" spans="10:10" x14ac:dyDescent="0.3">
      <c r="J42454"/>
    </row>
    <row r="42455" spans="10:10" x14ac:dyDescent="0.3">
      <c r="J42455"/>
    </row>
    <row r="42456" spans="10:10" x14ac:dyDescent="0.3">
      <c r="J42456"/>
    </row>
    <row r="42457" spans="10:10" x14ac:dyDescent="0.3">
      <c r="J42457"/>
    </row>
    <row r="42458" spans="10:10" x14ac:dyDescent="0.3">
      <c r="J42458"/>
    </row>
    <row r="42459" spans="10:10" x14ac:dyDescent="0.3">
      <c r="J42459"/>
    </row>
    <row r="42460" spans="10:10" x14ac:dyDescent="0.3">
      <c r="J42460"/>
    </row>
    <row r="42461" spans="10:10" x14ac:dyDescent="0.3">
      <c r="J42461"/>
    </row>
    <row r="42462" spans="10:10" x14ac:dyDescent="0.3">
      <c r="J42462"/>
    </row>
    <row r="42463" spans="10:10" x14ac:dyDescent="0.3">
      <c r="J42463"/>
    </row>
    <row r="42464" spans="10:10" x14ac:dyDescent="0.3">
      <c r="J42464"/>
    </row>
    <row r="42465" spans="10:10" x14ac:dyDescent="0.3">
      <c r="J42465"/>
    </row>
    <row r="42466" spans="10:10" x14ac:dyDescent="0.3">
      <c r="J42466"/>
    </row>
    <row r="42467" spans="10:10" x14ac:dyDescent="0.3">
      <c r="J42467"/>
    </row>
    <row r="42468" spans="10:10" x14ac:dyDescent="0.3">
      <c r="J42468"/>
    </row>
    <row r="42469" spans="10:10" x14ac:dyDescent="0.3">
      <c r="J42469"/>
    </row>
    <row r="42470" spans="10:10" x14ac:dyDescent="0.3">
      <c r="J42470"/>
    </row>
    <row r="42471" spans="10:10" x14ac:dyDescent="0.3">
      <c r="J42471"/>
    </row>
    <row r="42472" spans="10:10" x14ac:dyDescent="0.3">
      <c r="J42472"/>
    </row>
    <row r="42473" spans="10:10" x14ac:dyDescent="0.3">
      <c r="J42473"/>
    </row>
    <row r="42474" spans="10:10" x14ac:dyDescent="0.3">
      <c r="J42474"/>
    </row>
    <row r="42475" spans="10:10" x14ac:dyDescent="0.3">
      <c r="J42475"/>
    </row>
    <row r="42476" spans="10:10" x14ac:dyDescent="0.3">
      <c r="J42476"/>
    </row>
    <row r="42477" spans="10:10" x14ac:dyDescent="0.3">
      <c r="J42477"/>
    </row>
    <row r="42478" spans="10:10" x14ac:dyDescent="0.3">
      <c r="J42478"/>
    </row>
    <row r="42479" spans="10:10" x14ac:dyDescent="0.3">
      <c r="J42479"/>
    </row>
    <row r="42480" spans="10:10" x14ac:dyDescent="0.3">
      <c r="J42480"/>
    </row>
    <row r="42481" spans="10:10" x14ac:dyDescent="0.3">
      <c r="J42481"/>
    </row>
    <row r="42482" spans="10:10" x14ac:dyDescent="0.3">
      <c r="J42482"/>
    </row>
    <row r="42483" spans="10:10" x14ac:dyDescent="0.3">
      <c r="J42483"/>
    </row>
    <row r="42484" spans="10:10" x14ac:dyDescent="0.3">
      <c r="J42484"/>
    </row>
    <row r="42485" spans="10:10" x14ac:dyDescent="0.3">
      <c r="J42485"/>
    </row>
    <row r="42486" spans="10:10" x14ac:dyDescent="0.3">
      <c r="J42486"/>
    </row>
    <row r="42487" spans="10:10" x14ac:dyDescent="0.3">
      <c r="J42487"/>
    </row>
    <row r="42488" spans="10:10" x14ac:dyDescent="0.3">
      <c r="J42488"/>
    </row>
    <row r="42489" spans="10:10" x14ac:dyDescent="0.3">
      <c r="J42489"/>
    </row>
    <row r="42490" spans="10:10" x14ac:dyDescent="0.3">
      <c r="J42490"/>
    </row>
    <row r="42491" spans="10:10" x14ac:dyDescent="0.3">
      <c r="J42491"/>
    </row>
    <row r="42492" spans="10:10" x14ac:dyDescent="0.3">
      <c r="J42492"/>
    </row>
    <row r="42493" spans="10:10" x14ac:dyDescent="0.3">
      <c r="J42493"/>
    </row>
    <row r="42494" spans="10:10" x14ac:dyDescent="0.3">
      <c r="J42494"/>
    </row>
    <row r="42495" spans="10:10" x14ac:dyDescent="0.3">
      <c r="J42495"/>
    </row>
    <row r="42496" spans="10:10" x14ac:dyDescent="0.3">
      <c r="J42496"/>
    </row>
    <row r="42497" spans="10:10" x14ac:dyDescent="0.3">
      <c r="J42497"/>
    </row>
    <row r="42498" spans="10:10" x14ac:dyDescent="0.3">
      <c r="J42498"/>
    </row>
    <row r="42499" spans="10:10" x14ac:dyDescent="0.3">
      <c r="J42499"/>
    </row>
    <row r="42500" spans="10:10" x14ac:dyDescent="0.3">
      <c r="J42500"/>
    </row>
    <row r="42501" spans="10:10" x14ac:dyDescent="0.3">
      <c r="J42501"/>
    </row>
    <row r="42502" spans="10:10" x14ac:dyDescent="0.3">
      <c r="J42502"/>
    </row>
    <row r="42503" spans="10:10" x14ac:dyDescent="0.3">
      <c r="J42503"/>
    </row>
    <row r="42504" spans="10:10" x14ac:dyDescent="0.3">
      <c r="J42504"/>
    </row>
    <row r="42505" spans="10:10" x14ac:dyDescent="0.3">
      <c r="J42505"/>
    </row>
    <row r="42506" spans="10:10" x14ac:dyDescent="0.3">
      <c r="J42506"/>
    </row>
    <row r="42507" spans="10:10" x14ac:dyDescent="0.3">
      <c r="J42507"/>
    </row>
    <row r="42508" spans="10:10" x14ac:dyDescent="0.3">
      <c r="J42508"/>
    </row>
    <row r="42509" spans="10:10" x14ac:dyDescent="0.3">
      <c r="J42509"/>
    </row>
    <row r="42510" spans="10:10" x14ac:dyDescent="0.3">
      <c r="J42510"/>
    </row>
    <row r="42511" spans="10:10" x14ac:dyDescent="0.3">
      <c r="J42511"/>
    </row>
    <row r="42512" spans="10:10" x14ac:dyDescent="0.3">
      <c r="J42512"/>
    </row>
    <row r="42513" spans="10:10" x14ac:dyDescent="0.3">
      <c r="J42513"/>
    </row>
    <row r="42514" spans="10:10" x14ac:dyDescent="0.3">
      <c r="J42514"/>
    </row>
    <row r="42515" spans="10:10" x14ac:dyDescent="0.3">
      <c r="J42515"/>
    </row>
    <row r="42516" spans="10:10" x14ac:dyDescent="0.3">
      <c r="J42516"/>
    </row>
    <row r="42517" spans="10:10" x14ac:dyDescent="0.3">
      <c r="J42517"/>
    </row>
    <row r="42518" spans="10:10" x14ac:dyDescent="0.3">
      <c r="J42518"/>
    </row>
    <row r="42519" spans="10:10" x14ac:dyDescent="0.3">
      <c r="J42519"/>
    </row>
    <row r="42520" spans="10:10" x14ac:dyDescent="0.3">
      <c r="J42520"/>
    </row>
    <row r="42521" spans="10:10" x14ac:dyDescent="0.3">
      <c r="J42521"/>
    </row>
    <row r="42522" spans="10:10" x14ac:dyDescent="0.3">
      <c r="J42522"/>
    </row>
    <row r="42523" spans="10:10" x14ac:dyDescent="0.3">
      <c r="J42523"/>
    </row>
    <row r="42524" spans="10:10" x14ac:dyDescent="0.3">
      <c r="J42524"/>
    </row>
    <row r="42525" spans="10:10" x14ac:dyDescent="0.3">
      <c r="J42525"/>
    </row>
    <row r="42526" spans="10:10" x14ac:dyDescent="0.3">
      <c r="J42526"/>
    </row>
    <row r="42527" spans="10:10" x14ac:dyDescent="0.3">
      <c r="J42527"/>
    </row>
    <row r="42528" spans="10:10" x14ac:dyDescent="0.3">
      <c r="J42528"/>
    </row>
    <row r="42529" spans="10:10" x14ac:dyDescent="0.3">
      <c r="J42529"/>
    </row>
    <row r="42530" spans="10:10" x14ac:dyDescent="0.3">
      <c r="J42530"/>
    </row>
    <row r="42531" spans="10:10" x14ac:dyDescent="0.3">
      <c r="J42531"/>
    </row>
    <row r="42532" spans="10:10" x14ac:dyDescent="0.3">
      <c r="J42532"/>
    </row>
    <row r="42533" spans="10:10" x14ac:dyDescent="0.3">
      <c r="J42533"/>
    </row>
    <row r="42534" spans="10:10" x14ac:dyDescent="0.3">
      <c r="J42534"/>
    </row>
    <row r="42535" spans="10:10" x14ac:dyDescent="0.3">
      <c r="J42535"/>
    </row>
    <row r="42536" spans="10:10" x14ac:dyDescent="0.3">
      <c r="J42536"/>
    </row>
    <row r="42537" spans="10:10" x14ac:dyDescent="0.3">
      <c r="J42537"/>
    </row>
    <row r="42538" spans="10:10" x14ac:dyDescent="0.3">
      <c r="J42538"/>
    </row>
    <row r="42539" spans="10:10" x14ac:dyDescent="0.3">
      <c r="J42539"/>
    </row>
    <row r="42540" spans="10:10" x14ac:dyDescent="0.3">
      <c r="J42540"/>
    </row>
    <row r="42541" spans="10:10" x14ac:dyDescent="0.3">
      <c r="J42541"/>
    </row>
    <row r="42542" spans="10:10" x14ac:dyDescent="0.3">
      <c r="J42542"/>
    </row>
    <row r="42543" spans="10:10" x14ac:dyDescent="0.3">
      <c r="J42543"/>
    </row>
    <row r="42544" spans="10:10" x14ac:dyDescent="0.3">
      <c r="J42544"/>
    </row>
    <row r="42545" spans="10:10" x14ac:dyDescent="0.3">
      <c r="J42545"/>
    </row>
    <row r="42546" spans="10:10" x14ac:dyDescent="0.3">
      <c r="J42546"/>
    </row>
    <row r="42547" spans="10:10" x14ac:dyDescent="0.3">
      <c r="J42547"/>
    </row>
    <row r="42548" spans="10:10" x14ac:dyDescent="0.3">
      <c r="J42548"/>
    </row>
    <row r="42549" spans="10:10" x14ac:dyDescent="0.3">
      <c r="J42549"/>
    </row>
    <row r="42550" spans="10:10" x14ac:dyDescent="0.3">
      <c r="J42550"/>
    </row>
    <row r="42551" spans="10:10" x14ac:dyDescent="0.3">
      <c r="J42551"/>
    </row>
    <row r="42552" spans="10:10" x14ac:dyDescent="0.3">
      <c r="J42552"/>
    </row>
    <row r="42553" spans="10:10" x14ac:dyDescent="0.3">
      <c r="J42553"/>
    </row>
    <row r="42554" spans="10:10" x14ac:dyDescent="0.3">
      <c r="J42554"/>
    </row>
    <row r="42555" spans="10:10" x14ac:dyDescent="0.3">
      <c r="J42555"/>
    </row>
    <row r="42556" spans="10:10" x14ac:dyDescent="0.3">
      <c r="J42556"/>
    </row>
    <row r="42557" spans="10:10" x14ac:dyDescent="0.3">
      <c r="J42557"/>
    </row>
    <row r="42558" spans="10:10" x14ac:dyDescent="0.3">
      <c r="J42558"/>
    </row>
    <row r="42559" spans="10:10" x14ac:dyDescent="0.3">
      <c r="J42559"/>
    </row>
    <row r="42560" spans="10:10" x14ac:dyDescent="0.3">
      <c r="J42560"/>
    </row>
    <row r="42561" spans="10:10" x14ac:dyDescent="0.3">
      <c r="J42561"/>
    </row>
    <row r="42562" spans="10:10" x14ac:dyDescent="0.3">
      <c r="J42562"/>
    </row>
    <row r="42563" spans="10:10" x14ac:dyDescent="0.3">
      <c r="J42563"/>
    </row>
    <row r="42564" spans="10:10" x14ac:dyDescent="0.3">
      <c r="J42564"/>
    </row>
    <row r="42565" spans="10:10" x14ac:dyDescent="0.3">
      <c r="J42565"/>
    </row>
    <row r="42566" spans="10:10" x14ac:dyDescent="0.3">
      <c r="J42566"/>
    </row>
    <row r="42567" spans="10:10" x14ac:dyDescent="0.3">
      <c r="J42567"/>
    </row>
    <row r="42568" spans="10:10" x14ac:dyDescent="0.3">
      <c r="J42568"/>
    </row>
    <row r="42569" spans="10:10" x14ac:dyDescent="0.3">
      <c r="J42569"/>
    </row>
    <row r="42570" spans="10:10" x14ac:dyDescent="0.3">
      <c r="J42570"/>
    </row>
    <row r="42571" spans="10:10" x14ac:dyDescent="0.3">
      <c r="J42571"/>
    </row>
    <row r="42572" spans="10:10" x14ac:dyDescent="0.3">
      <c r="J42572"/>
    </row>
    <row r="42573" spans="10:10" x14ac:dyDescent="0.3">
      <c r="J42573"/>
    </row>
    <row r="42574" spans="10:10" x14ac:dyDescent="0.3">
      <c r="J42574"/>
    </row>
    <row r="42575" spans="10:10" x14ac:dyDescent="0.3">
      <c r="J42575"/>
    </row>
    <row r="42576" spans="10:10" x14ac:dyDescent="0.3">
      <c r="J42576"/>
    </row>
    <row r="42577" spans="10:10" x14ac:dyDescent="0.3">
      <c r="J42577"/>
    </row>
    <row r="42578" spans="10:10" x14ac:dyDescent="0.3">
      <c r="J42578"/>
    </row>
    <row r="42579" spans="10:10" x14ac:dyDescent="0.3">
      <c r="J42579"/>
    </row>
    <row r="42580" spans="10:10" x14ac:dyDescent="0.3">
      <c r="J42580"/>
    </row>
    <row r="42581" spans="10:10" x14ac:dyDescent="0.3">
      <c r="J42581"/>
    </row>
    <row r="42582" spans="10:10" x14ac:dyDescent="0.3">
      <c r="J42582"/>
    </row>
    <row r="42583" spans="10:10" x14ac:dyDescent="0.3">
      <c r="J42583"/>
    </row>
    <row r="42584" spans="10:10" x14ac:dyDescent="0.3">
      <c r="J42584"/>
    </row>
    <row r="42585" spans="10:10" x14ac:dyDescent="0.3">
      <c r="J42585"/>
    </row>
    <row r="42586" spans="10:10" x14ac:dyDescent="0.3">
      <c r="J42586"/>
    </row>
    <row r="42587" spans="10:10" x14ac:dyDescent="0.3">
      <c r="J42587"/>
    </row>
    <row r="42588" spans="10:10" x14ac:dyDescent="0.3">
      <c r="J42588"/>
    </row>
    <row r="42589" spans="10:10" x14ac:dyDescent="0.3">
      <c r="J42589"/>
    </row>
    <row r="42590" spans="10:10" x14ac:dyDescent="0.3">
      <c r="J42590"/>
    </row>
    <row r="42591" spans="10:10" x14ac:dyDescent="0.3">
      <c r="J42591"/>
    </row>
    <row r="42592" spans="10:10" x14ac:dyDescent="0.3">
      <c r="J42592"/>
    </row>
    <row r="42593" spans="10:10" x14ac:dyDescent="0.3">
      <c r="J42593"/>
    </row>
    <row r="42594" spans="10:10" x14ac:dyDescent="0.3">
      <c r="J42594"/>
    </row>
    <row r="42595" spans="10:10" x14ac:dyDescent="0.3">
      <c r="J42595"/>
    </row>
    <row r="42596" spans="10:10" x14ac:dyDescent="0.3">
      <c r="J42596"/>
    </row>
    <row r="42597" spans="10:10" x14ac:dyDescent="0.3">
      <c r="J42597"/>
    </row>
    <row r="42598" spans="10:10" x14ac:dyDescent="0.3">
      <c r="J42598"/>
    </row>
    <row r="42599" spans="10:10" x14ac:dyDescent="0.3">
      <c r="J42599"/>
    </row>
    <row r="42600" spans="10:10" x14ac:dyDescent="0.3">
      <c r="J42600"/>
    </row>
    <row r="42601" spans="10:10" x14ac:dyDescent="0.3">
      <c r="J42601"/>
    </row>
    <row r="42602" spans="10:10" x14ac:dyDescent="0.3">
      <c r="J42602"/>
    </row>
    <row r="42603" spans="10:10" x14ac:dyDescent="0.3">
      <c r="J42603"/>
    </row>
    <row r="42604" spans="10:10" x14ac:dyDescent="0.3">
      <c r="J42604"/>
    </row>
    <row r="42605" spans="10:10" x14ac:dyDescent="0.3">
      <c r="J42605"/>
    </row>
    <row r="42606" spans="10:10" x14ac:dyDescent="0.3">
      <c r="J42606"/>
    </row>
    <row r="42607" spans="10:10" x14ac:dyDescent="0.3">
      <c r="J42607"/>
    </row>
    <row r="42608" spans="10:10" x14ac:dyDescent="0.3">
      <c r="J42608"/>
    </row>
    <row r="42609" spans="10:10" x14ac:dyDescent="0.3">
      <c r="J42609"/>
    </row>
    <row r="42610" spans="10:10" x14ac:dyDescent="0.3">
      <c r="J42610"/>
    </row>
    <row r="42611" spans="10:10" x14ac:dyDescent="0.3">
      <c r="J42611"/>
    </row>
    <row r="42612" spans="10:10" x14ac:dyDescent="0.3">
      <c r="J42612"/>
    </row>
    <row r="42613" spans="10:10" x14ac:dyDescent="0.3">
      <c r="J42613"/>
    </row>
    <row r="42614" spans="10:10" x14ac:dyDescent="0.3">
      <c r="J42614"/>
    </row>
    <row r="42615" spans="10:10" x14ac:dyDescent="0.3">
      <c r="J42615"/>
    </row>
    <row r="42616" spans="10:10" x14ac:dyDescent="0.3">
      <c r="J42616"/>
    </row>
    <row r="42617" spans="10:10" x14ac:dyDescent="0.3">
      <c r="J42617"/>
    </row>
    <row r="42618" spans="10:10" x14ac:dyDescent="0.3">
      <c r="J42618"/>
    </row>
    <row r="42619" spans="10:10" x14ac:dyDescent="0.3">
      <c r="J42619"/>
    </row>
    <row r="42620" spans="10:10" x14ac:dyDescent="0.3">
      <c r="J42620"/>
    </row>
    <row r="42621" spans="10:10" x14ac:dyDescent="0.3">
      <c r="J42621"/>
    </row>
    <row r="42622" spans="10:10" x14ac:dyDescent="0.3">
      <c r="J42622"/>
    </row>
    <row r="42623" spans="10:10" x14ac:dyDescent="0.3">
      <c r="J42623"/>
    </row>
    <row r="42624" spans="10:10" x14ac:dyDescent="0.3">
      <c r="J42624"/>
    </row>
    <row r="42625" spans="10:10" x14ac:dyDescent="0.3">
      <c r="J42625"/>
    </row>
    <row r="42626" spans="10:10" x14ac:dyDescent="0.3">
      <c r="J42626"/>
    </row>
    <row r="42627" spans="10:10" x14ac:dyDescent="0.3">
      <c r="J42627"/>
    </row>
    <row r="42628" spans="10:10" x14ac:dyDescent="0.3">
      <c r="J42628"/>
    </row>
    <row r="42629" spans="10:10" x14ac:dyDescent="0.3">
      <c r="J42629"/>
    </row>
    <row r="42630" spans="10:10" x14ac:dyDescent="0.3">
      <c r="J42630"/>
    </row>
    <row r="42631" spans="10:10" x14ac:dyDescent="0.3">
      <c r="J42631"/>
    </row>
    <row r="42632" spans="10:10" x14ac:dyDescent="0.3">
      <c r="J42632"/>
    </row>
    <row r="42633" spans="10:10" x14ac:dyDescent="0.3">
      <c r="J42633"/>
    </row>
    <row r="42634" spans="10:10" x14ac:dyDescent="0.3">
      <c r="J42634"/>
    </row>
    <row r="42635" spans="10:10" x14ac:dyDescent="0.3">
      <c r="J42635"/>
    </row>
    <row r="42636" spans="10:10" x14ac:dyDescent="0.3">
      <c r="J42636"/>
    </row>
    <row r="42637" spans="10:10" x14ac:dyDescent="0.3">
      <c r="J42637"/>
    </row>
    <row r="42638" spans="10:10" x14ac:dyDescent="0.3">
      <c r="J42638"/>
    </row>
    <row r="42639" spans="10:10" x14ac:dyDescent="0.3">
      <c r="J42639"/>
    </row>
    <row r="42640" spans="10:10" x14ac:dyDescent="0.3">
      <c r="J42640"/>
    </row>
    <row r="42641" spans="10:10" x14ac:dyDescent="0.3">
      <c r="J42641"/>
    </row>
    <row r="42642" spans="10:10" x14ac:dyDescent="0.3">
      <c r="J42642"/>
    </row>
    <row r="42643" spans="10:10" x14ac:dyDescent="0.3">
      <c r="J42643"/>
    </row>
    <row r="42644" spans="10:10" x14ac:dyDescent="0.3">
      <c r="J42644"/>
    </row>
    <row r="42645" spans="10:10" x14ac:dyDescent="0.3">
      <c r="J42645"/>
    </row>
    <row r="42646" spans="10:10" x14ac:dyDescent="0.3">
      <c r="J42646"/>
    </row>
    <row r="42647" spans="10:10" x14ac:dyDescent="0.3">
      <c r="J42647"/>
    </row>
    <row r="42648" spans="10:10" x14ac:dyDescent="0.3">
      <c r="J42648"/>
    </row>
    <row r="42649" spans="10:10" x14ac:dyDescent="0.3">
      <c r="J42649"/>
    </row>
    <row r="42650" spans="10:10" x14ac:dyDescent="0.3">
      <c r="J42650"/>
    </row>
    <row r="42651" spans="10:10" x14ac:dyDescent="0.3">
      <c r="J42651"/>
    </row>
    <row r="42652" spans="10:10" x14ac:dyDescent="0.3">
      <c r="J42652"/>
    </row>
    <row r="42653" spans="10:10" x14ac:dyDescent="0.3">
      <c r="J42653"/>
    </row>
    <row r="42654" spans="10:10" x14ac:dyDescent="0.3">
      <c r="J42654"/>
    </row>
    <row r="42655" spans="10:10" x14ac:dyDescent="0.3">
      <c r="J42655"/>
    </row>
    <row r="42656" spans="10:10" x14ac:dyDescent="0.3">
      <c r="J42656"/>
    </row>
    <row r="42657" spans="10:10" x14ac:dyDescent="0.3">
      <c r="J42657"/>
    </row>
    <row r="42658" spans="10:10" x14ac:dyDescent="0.3">
      <c r="J42658"/>
    </row>
    <row r="42659" spans="10:10" x14ac:dyDescent="0.3">
      <c r="J42659"/>
    </row>
    <row r="42660" spans="10:10" x14ac:dyDescent="0.3">
      <c r="J42660"/>
    </row>
    <row r="42661" spans="10:10" x14ac:dyDescent="0.3">
      <c r="J42661"/>
    </row>
    <row r="42662" spans="10:10" x14ac:dyDescent="0.3">
      <c r="J42662"/>
    </row>
    <row r="42663" spans="10:10" x14ac:dyDescent="0.3">
      <c r="J42663"/>
    </row>
    <row r="42664" spans="10:10" x14ac:dyDescent="0.3">
      <c r="J42664"/>
    </row>
    <row r="42665" spans="10:10" x14ac:dyDescent="0.3">
      <c r="J42665"/>
    </row>
    <row r="42666" spans="10:10" x14ac:dyDescent="0.3">
      <c r="J42666"/>
    </row>
    <row r="42667" spans="10:10" x14ac:dyDescent="0.3">
      <c r="J42667"/>
    </row>
    <row r="42668" spans="10:10" x14ac:dyDescent="0.3">
      <c r="J42668"/>
    </row>
    <row r="42669" spans="10:10" x14ac:dyDescent="0.3">
      <c r="J42669"/>
    </row>
    <row r="42670" spans="10:10" x14ac:dyDescent="0.3">
      <c r="J42670"/>
    </row>
    <row r="42671" spans="10:10" x14ac:dyDescent="0.3">
      <c r="J42671"/>
    </row>
    <row r="42672" spans="10:10" x14ac:dyDescent="0.3">
      <c r="J42672"/>
    </row>
    <row r="42673" spans="10:10" x14ac:dyDescent="0.3">
      <c r="J42673"/>
    </row>
    <row r="42674" spans="10:10" x14ac:dyDescent="0.3">
      <c r="J42674"/>
    </row>
    <row r="42675" spans="10:10" x14ac:dyDescent="0.3">
      <c r="J42675"/>
    </row>
    <row r="42676" spans="10:10" x14ac:dyDescent="0.3">
      <c r="J42676"/>
    </row>
    <row r="42677" spans="10:10" x14ac:dyDescent="0.3">
      <c r="J42677"/>
    </row>
    <row r="42678" spans="10:10" x14ac:dyDescent="0.3">
      <c r="J42678"/>
    </row>
    <row r="42679" spans="10:10" x14ac:dyDescent="0.3">
      <c r="J42679"/>
    </row>
    <row r="42680" spans="10:10" x14ac:dyDescent="0.3">
      <c r="J42680"/>
    </row>
    <row r="42681" spans="10:10" x14ac:dyDescent="0.3">
      <c r="J42681"/>
    </row>
    <row r="42682" spans="10:10" x14ac:dyDescent="0.3">
      <c r="J42682"/>
    </row>
    <row r="42683" spans="10:10" x14ac:dyDescent="0.3">
      <c r="J42683"/>
    </row>
    <row r="42684" spans="10:10" x14ac:dyDescent="0.3">
      <c r="J42684"/>
    </row>
    <row r="42685" spans="10:10" x14ac:dyDescent="0.3">
      <c r="J42685"/>
    </row>
    <row r="42686" spans="10:10" x14ac:dyDescent="0.3">
      <c r="J42686"/>
    </row>
    <row r="42687" spans="10:10" x14ac:dyDescent="0.3">
      <c r="J42687"/>
    </row>
    <row r="42688" spans="10:10" x14ac:dyDescent="0.3">
      <c r="J42688"/>
    </row>
    <row r="42689" spans="10:10" x14ac:dyDescent="0.3">
      <c r="J42689"/>
    </row>
    <row r="42690" spans="10:10" x14ac:dyDescent="0.3">
      <c r="J42690"/>
    </row>
    <row r="42691" spans="10:10" x14ac:dyDescent="0.3">
      <c r="J42691"/>
    </row>
    <row r="42692" spans="10:10" x14ac:dyDescent="0.3">
      <c r="J42692"/>
    </row>
    <row r="42693" spans="10:10" x14ac:dyDescent="0.3">
      <c r="J42693"/>
    </row>
    <row r="42694" spans="10:10" x14ac:dyDescent="0.3">
      <c r="J42694"/>
    </row>
    <row r="42695" spans="10:10" x14ac:dyDescent="0.3">
      <c r="J42695"/>
    </row>
    <row r="42696" spans="10:10" x14ac:dyDescent="0.3">
      <c r="J42696"/>
    </row>
    <row r="42697" spans="10:10" x14ac:dyDescent="0.3">
      <c r="J42697"/>
    </row>
    <row r="42698" spans="10:10" x14ac:dyDescent="0.3">
      <c r="J42698"/>
    </row>
    <row r="42699" spans="10:10" x14ac:dyDescent="0.3">
      <c r="J42699"/>
    </row>
    <row r="42700" spans="10:10" x14ac:dyDescent="0.3">
      <c r="J42700"/>
    </row>
    <row r="42701" spans="10:10" x14ac:dyDescent="0.3">
      <c r="J42701"/>
    </row>
    <row r="42702" spans="10:10" x14ac:dyDescent="0.3">
      <c r="J42702"/>
    </row>
    <row r="42703" spans="10:10" x14ac:dyDescent="0.3">
      <c r="J42703"/>
    </row>
    <row r="42704" spans="10:10" x14ac:dyDescent="0.3">
      <c r="J42704"/>
    </row>
    <row r="42705" spans="10:10" x14ac:dyDescent="0.3">
      <c r="J42705"/>
    </row>
    <row r="42706" spans="10:10" x14ac:dyDescent="0.3">
      <c r="J42706"/>
    </row>
    <row r="42707" spans="10:10" x14ac:dyDescent="0.3">
      <c r="J42707"/>
    </row>
    <row r="42708" spans="10:10" x14ac:dyDescent="0.3">
      <c r="J42708"/>
    </row>
    <row r="42709" spans="10:10" x14ac:dyDescent="0.3">
      <c r="J42709"/>
    </row>
    <row r="42710" spans="10:10" x14ac:dyDescent="0.3">
      <c r="J42710"/>
    </row>
    <row r="42711" spans="10:10" x14ac:dyDescent="0.3">
      <c r="J42711"/>
    </row>
    <row r="42712" spans="10:10" x14ac:dyDescent="0.3">
      <c r="J42712"/>
    </row>
    <row r="42713" spans="10:10" x14ac:dyDescent="0.3">
      <c r="J42713"/>
    </row>
    <row r="42714" spans="10:10" x14ac:dyDescent="0.3">
      <c r="J42714"/>
    </row>
    <row r="42715" spans="10:10" x14ac:dyDescent="0.3">
      <c r="J42715"/>
    </row>
    <row r="42716" spans="10:10" x14ac:dyDescent="0.3">
      <c r="J42716"/>
    </row>
    <row r="42717" spans="10:10" x14ac:dyDescent="0.3">
      <c r="J42717"/>
    </row>
    <row r="42718" spans="10:10" x14ac:dyDescent="0.3">
      <c r="J42718"/>
    </row>
    <row r="42719" spans="10:10" x14ac:dyDescent="0.3">
      <c r="J42719"/>
    </row>
    <row r="42720" spans="10:10" x14ac:dyDescent="0.3">
      <c r="J42720"/>
    </row>
    <row r="42721" spans="10:10" x14ac:dyDescent="0.3">
      <c r="J42721"/>
    </row>
    <row r="42722" spans="10:10" x14ac:dyDescent="0.3">
      <c r="J42722"/>
    </row>
    <row r="42723" spans="10:10" x14ac:dyDescent="0.3">
      <c r="J42723"/>
    </row>
    <row r="42724" spans="10:10" x14ac:dyDescent="0.3">
      <c r="J42724"/>
    </row>
    <row r="42725" spans="10:10" x14ac:dyDescent="0.3">
      <c r="J42725"/>
    </row>
    <row r="42726" spans="10:10" x14ac:dyDescent="0.3">
      <c r="J42726"/>
    </row>
    <row r="42727" spans="10:10" x14ac:dyDescent="0.3">
      <c r="J42727"/>
    </row>
    <row r="42728" spans="10:10" x14ac:dyDescent="0.3">
      <c r="J42728"/>
    </row>
    <row r="42729" spans="10:10" x14ac:dyDescent="0.3">
      <c r="J42729"/>
    </row>
    <row r="42730" spans="10:10" x14ac:dyDescent="0.3">
      <c r="J42730"/>
    </row>
    <row r="42731" spans="10:10" x14ac:dyDescent="0.3">
      <c r="J42731"/>
    </row>
    <row r="42732" spans="10:10" x14ac:dyDescent="0.3">
      <c r="J42732"/>
    </row>
    <row r="42733" spans="10:10" x14ac:dyDescent="0.3">
      <c r="J42733"/>
    </row>
    <row r="42734" spans="10:10" x14ac:dyDescent="0.3">
      <c r="J42734"/>
    </row>
    <row r="42735" spans="10:10" x14ac:dyDescent="0.3">
      <c r="J42735"/>
    </row>
    <row r="42736" spans="10:10" x14ac:dyDescent="0.3">
      <c r="J42736"/>
    </row>
    <row r="42737" spans="10:10" x14ac:dyDescent="0.3">
      <c r="J42737"/>
    </row>
    <row r="42738" spans="10:10" x14ac:dyDescent="0.3">
      <c r="J42738"/>
    </row>
    <row r="42739" spans="10:10" x14ac:dyDescent="0.3">
      <c r="J42739"/>
    </row>
    <row r="42740" spans="10:10" x14ac:dyDescent="0.3">
      <c r="J42740"/>
    </row>
    <row r="42741" spans="10:10" x14ac:dyDescent="0.3">
      <c r="J42741"/>
    </row>
    <row r="42742" spans="10:10" x14ac:dyDescent="0.3">
      <c r="J42742"/>
    </row>
    <row r="42743" spans="10:10" x14ac:dyDescent="0.3">
      <c r="J42743"/>
    </row>
    <row r="42744" spans="10:10" x14ac:dyDescent="0.3">
      <c r="J42744"/>
    </row>
    <row r="42745" spans="10:10" x14ac:dyDescent="0.3">
      <c r="J42745"/>
    </row>
    <row r="42746" spans="10:10" x14ac:dyDescent="0.3">
      <c r="J42746"/>
    </row>
    <row r="42747" spans="10:10" x14ac:dyDescent="0.3">
      <c r="J42747"/>
    </row>
    <row r="42748" spans="10:10" x14ac:dyDescent="0.3">
      <c r="J42748"/>
    </row>
    <row r="42749" spans="10:10" x14ac:dyDescent="0.3">
      <c r="J42749"/>
    </row>
    <row r="42750" spans="10:10" x14ac:dyDescent="0.3">
      <c r="J42750"/>
    </row>
    <row r="42751" spans="10:10" x14ac:dyDescent="0.3">
      <c r="J42751"/>
    </row>
    <row r="42752" spans="10:10" x14ac:dyDescent="0.3">
      <c r="J42752"/>
    </row>
    <row r="42753" spans="10:10" x14ac:dyDescent="0.3">
      <c r="J42753"/>
    </row>
    <row r="42754" spans="10:10" x14ac:dyDescent="0.3">
      <c r="J42754"/>
    </row>
    <row r="42755" spans="10:10" x14ac:dyDescent="0.3">
      <c r="J42755"/>
    </row>
    <row r="42756" spans="10:10" x14ac:dyDescent="0.3">
      <c r="J42756"/>
    </row>
    <row r="42757" spans="10:10" x14ac:dyDescent="0.3">
      <c r="J42757"/>
    </row>
    <row r="42758" spans="10:10" x14ac:dyDescent="0.3">
      <c r="J42758"/>
    </row>
    <row r="42759" spans="10:10" x14ac:dyDescent="0.3">
      <c r="J42759"/>
    </row>
    <row r="42760" spans="10:10" x14ac:dyDescent="0.3">
      <c r="J42760"/>
    </row>
    <row r="42761" spans="10:10" x14ac:dyDescent="0.3">
      <c r="J42761"/>
    </row>
    <row r="42762" spans="10:10" x14ac:dyDescent="0.3">
      <c r="J42762"/>
    </row>
    <row r="42763" spans="10:10" x14ac:dyDescent="0.3">
      <c r="J42763"/>
    </row>
    <row r="42764" spans="10:10" x14ac:dyDescent="0.3">
      <c r="J42764"/>
    </row>
    <row r="42765" spans="10:10" x14ac:dyDescent="0.3">
      <c r="J42765"/>
    </row>
    <row r="42766" spans="10:10" x14ac:dyDescent="0.3">
      <c r="J42766"/>
    </row>
    <row r="42767" spans="10:10" x14ac:dyDescent="0.3">
      <c r="J42767"/>
    </row>
    <row r="42768" spans="10:10" x14ac:dyDescent="0.3">
      <c r="J42768"/>
    </row>
    <row r="42769" spans="10:10" x14ac:dyDescent="0.3">
      <c r="J42769"/>
    </row>
    <row r="42770" spans="10:10" x14ac:dyDescent="0.3">
      <c r="J42770"/>
    </row>
    <row r="42771" spans="10:10" x14ac:dyDescent="0.3">
      <c r="J42771"/>
    </row>
    <row r="42772" spans="10:10" x14ac:dyDescent="0.3">
      <c r="J42772"/>
    </row>
    <row r="42773" spans="10:10" x14ac:dyDescent="0.3">
      <c r="J42773"/>
    </row>
    <row r="42774" spans="10:10" x14ac:dyDescent="0.3">
      <c r="J42774"/>
    </row>
    <row r="42775" spans="10:10" x14ac:dyDescent="0.3">
      <c r="J42775"/>
    </row>
    <row r="42776" spans="10:10" x14ac:dyDescent="0.3">
      <c r="J42776"/>
    </row>
    <row r="42777" spans="10:10" x14ac:dyDescent="0.3">
      <c r="J42777"/>
    </row>
    <row r="42778" spans="10:10" x14ac:dyDescent="0.3">
      <c r="J42778"/>
    </row>
    <row r="42779" spans="10:10" x14ac:dyDescent="0.3">
      <c r="J42779"/>
    </row>
    <row r="42780" spans="10:10" x14ac:dyDescent="0.3">
      <c r="J42780"/>
    </row>
    <row r="42781" spans="10:10" x14ac:dyDescent="0.3">
      <c r="J42781"/>
    </row>
    <row r="42782" spans="10:10" x14ac:dyDescent="0.3">
      <c r="J42782"/>
    </row>
    <row r="42783" spans="10:10" x14ac:dyDescent="0.3">
      <c r="J42783"/>
    </row>
    <row r="42784" spans="10:10" x14ac:dyDescent="0.3">
      <c r="J42784"/>
    </row>
    <row r="42785" spans="10:10" x14ac:dyDescent="0.3">
      <c r="J42785"/>
    </row>
    <row r="42786" spans="10:10" x14ac:dyDescent="0.3">
      <c r="J42786"/>
    </row>
    <row r="42787" spans="10:10" x14ac:dyDescent="0.3">
      <c r="J42787"/>
    </row>
    <row r="42788" spans="10:10" x14ac:dyDescent="0.3">
      <c r="J42788"/>
    </row>
    <row r="42789" spans="10:10" x14ac:dyDescent="0.3">
      <c r="J42789"/>
    </row>
    <row r="42790" spans="10:10" x14ac:dyDescent="0.3">
      <c r="J42790"/>
    </row>
    <row r="42791" spans="10:10" x14ac:dyDescent="0.3">
      <c r="J42791"/>
    </row>
    <row r="42792" spans="10:10" x14ac:dyDescent="0.3">
      <c r="J42792"/>
    </row>
    <row r="42793" spans="10:10" x14ac:dyDescent="0.3">
      <c r="J42793"/>
    </row>
    <row r="42794" spans="10:10" x14ac:dyDescent="0.3">
      <c r="J42794"/>
    </row>
    <row r="42795" spans="10:10" x14ac:dyDescent="0.3">
      <c r="J42795"/>
    </row>
    <row r="42796" spans="10:10" x14ac:dyDescent="0.3">
      <c r="J42796"/>
    </row>
    <row r="42797" spans="10:10" x14ac:dyDescent="0.3">
      <c r="J42797"/>
    </row>
    <row r="42798" spans="10:10" x14ac:dyDescent="0.3">
      <c r="J42798"/>
    </row>
    <row r="42799" spans="10:10" x14ac:dyDescent="0.3">
      <c r="J42799"/>
    </row>
    <row r="42800" spans="10:10" x14ac:dyDescent="0.3">
      <c r="J42800"/>
    </row>
    <row r="42801" spans="10:10" x14ac:dyDescent="0.3">
      <c r="J42801"/>
    </row>
    <row r="42802" spans="10:10" x14ac:dyDescent="0.3">
      <c r="J42802"/>
    </row>
    <row r="42803" spans="10:10" x14ac:dyDescent="0.3">
      <c r="J42803"/>
    </row>
    <row r="42804" spans="10:10" x14ac:dyDescent="0.3">
      <c r="J42804"/>
    </row>
    <row r="42805" spans="10:10" x14ac:dyDescent="0.3">
      <c r="J42805"/>
    </row>
    <row r="42806" spans="10:10" x14ac:dyDescent="0.3">
      <c r="J42806"/>
    </row>
    <row r="42807" spans="10:10" x14ac:dyDescent="0.3">
      <c r="J42807"/>
    </row>
    <row r="42808" spans="10:10" x14ac:dyDescent="0.3">
      <c r="J42808"/>
    </row>
    <row r="42809" spans="10:10" x14ac:dyDescent="0.3">
      <c r="J42809"/>
    </row>
    <row r="42810" spans="10:10" x14ac:dyDescent="0.3">
      <c r="J42810"/>
    </row>
    <row r="42811" spans="10:10" x14ac:dyDescent="0.3">
      <c r="J42811"/>
    </row>
    <row r="42812" spans="10:10" x14ac:dyDescent="0.3">
      <c r="J42812"/>
    </row>
    <row r="42813" spans="10:10" x14ac:dyDescent="0.3">
      <c r="J42813"/>
    </row>
    <row r="42814" spans="10:10" x14ac:dyDescent="0.3">
      <c r="J42814"/>
    </row>
    <row r="42815" spans="10:10" x14ac:dyDescent="0.3">
      <c r="J42815"/>
    </row>
    <row r="42816" spans="10:10" x14ac:dyDescent="0.3">
      <c r="J42816"/>
    </row>
    <row r="42817" spans="10:10" x14ac:dyDescent="0.3">
      <c r="J42817"/>
    </row>
    <row r="42818" spans="10:10" x14ac:dyDescent="0.3">
      <c r="J42818"/>
    </row>
    <row r="42819" spans="10:10" x14ac:dyDescent="0.3">
      <c r="J42819"/>
    </row>
    <row r="42820" spans="10:10" x14ac:dyDescent="0.3">
      <c r="J42820"/>
    </row>
    <row r="42821" spans="10:10" x14ac:dyDescent="0.3">
      <c r="J42821"/>
    </row>
    <row r="42822" spans="10:10" x14ac:dyDescent="0.3">
      <c r="J42822"/>
    </row>
    <row r="42823" spans="10:10" x14ac:dyDescent="0.3">
      <c r="J42823"/>
    </row>
    <row r="42824" spans="10:10" x14ac:dyDescent="0.3">
      <c r="J42824"/>
    </row>
    <row r="42825" spans="10:10" x14ac:dyDescent="0.3">
      <c r="J42825"/>
    </row>
    <row r="42826" spans="10:10" x14ac:dyDescent="0.3">
      <c r="J42826"/>
    </row>
    <row r="42827" spans="10:10" x14ac:dyDescent="0.3">
      <c r="J42827"/>
    </row>
    <row r="42828" spans="10:10" x14ac:dyDescent="0.3">
      <c r="J42828"/>
    </row>
    <row r="42829" spans="10:10" x14ac:dyDescent="0.3">
      <c r="J42829"/>
    </row>
    <row r="42830" spans="10:10" x14ac:dyDescent="0.3">
      <c r="J42830"/>
    </row>
    <row r="42831" spans="10:10" x14ac:dyDescent="0.3">
      <c r="J42831"/>
    </row>
    <row r="42832" spans="10:10" x14ac:dyDescent="0.3">
      <c r="J42832"/>
    </row>
    <row r="42833" spans="10:10" x14ac:dyDescent="0.3">
      <c r="J42833"/>
    </row>
    <row r="42834" spans="10:10" x14ac:dyDescent="0.3">
      <c r="J42834"/>
    </row>
    <row r="42835" spans="10:10" x14ac:dyDescent="0.3">
      <c r="J42835"/>
    </row>
    <row r="42836" spans="10:10" x14ac:dyDescent="0.3">
      <c r="J42836"/>
    </row>
    <row r="42837" spans="10:10" x14ac:dyDescent="0.3">
      <c r="J42837"/>
    </row>
    <row r="42838" spans="10:10" x14ac:dyDescent="0.3">
      <c r="J42838"/>
    </row>
    <row r="42839" spans="10:10" x14ac:dyDescent="0.3">
      <c r="J42839"/>
    </row>
    <row r="42840" spans="10:10" x14ac:dyDescent="0.3">
      <c r="J42840"/>
    </row>
    <row r="42841" spans="10:10" x14ac:dyDescent="0.3">
      <c r="J42841"/>
    </row>
    <row r="42842" spans="10:10" x14ac:dyDescent="0.3">
      <c r="J42842"/>
    </row>
    <row r="42843" spans="10:10" x14ac:dyDescent="0.3">
      <c r="J42843"/>
    </row>
    <row r="42844" spans="10:10" x14ac:dyDescent="0.3">
      <c r="J42844"/>
    </row>
    <row r="42845" spans="10:10" x14ac:dyDescent="0.3">
      <c r="J42845"/>
    </row>
    <row r="42846" spans="10:10" x14ac:dyDescent="0.3">
      <c r="J42846"/>
    </row>
    <row r="42847" spans="10:10" x14ac:dyDescent="0.3">
      <c r="J42847"/>
    </row>
    <row r="42848" spans="10:10" x14ac:dyDescent="0.3">
      <c r="J42848"/>
    </row>
    <row r="42849" spans="10:10" x14ac:dyDescent="0.3">
      <c r="J42849"/>
    </row>
    <row r="42850" spans="10:10" x14ac:dyDescent="0.3">
      <c r="J42850"/>
    </row>
    <row r="42851" spans="10:10" x14ac:dyDescent="0.3">
      <c r="J42851"/>
    </row>
    <row r="42852" spans="10:10" x14ac:dyDescent="0.3">
      <c r="J42852"/>
    </row>
    <row r="42853" spans="10:10" x14ac:dyDescent="0.3">
      <c r="J42853"/>
    </row>
    <row r="42854" spans="10:10" x14ac:dyDescent="0.3">
      <c r="J42854"/>
    </row>
    <row r="42855" spans="10:10" x14ac:dyDescent="0.3">
      <c r="J42855"/>
    </row>
    <row r="42856" spans="10:10" x14ac:dyDescent="0.3">
      <c r="J42856"/>
    </row>
    <row r="42857" spans="10:10" x14ac:dyDescent="0.3">
      <c r="J42857"/>
    </row>
    <row r="42858" spans="10:10" x14ac:dyDescent="0.3">
      <c r="J42858"/>
    </row>
    <row r="42859" spans="10:10" x14ac:dyDescent="0.3">
      <c r="J42859"/>
    </row>
    <row r="42860" spans="10:10" x14ac:dyDescent="0.3">
      <c r="J42860"/>
    </row>
    <row r="42861" spans="10:10" x14ac:dyDescent="0.3">
      <c r="J42861"/>
    </row>
    <row r="42862" spans="10:10" x14ac:dyDescent="0.3">
      <c r="J42862"/>
    </row>
    <row r="42863" spans="10:10" x14ac:dyDescent="0.3">
      <c r="J42863"/>
    </row>
    <row r="42864" spans="10:10" x14ac:dyDescent="0.3">
      <c r="J42864"/>
    </row>
    <row r="42865" spans="10:10" x14ac:dyDescent="0.3">
      <c r="J42865"/>
    </row>
    <row r="42866" spans="10:10" x14ac:dyDescent="0.3">
      <c r="J42866"/>
    </row>
    <row r="42867" spans="10:10" x14ac:dyDescent="0.3">
      <c r="J42867"/>
    </row>
    <row r="42868" spans="10:10" x14ac:dyDescent="0.3">
      <c r="J42868"/>
    </row>
    <row r="42869" spans="10:10" x14ac:dyDescent="0.3">
      <c r="J42869"/>
    </row>
    <row r="42870" spans="10:10" x14ac:dyDescent="0.3">
      <c r="J42870"/>
    </row>
    <row r="42871" spans="10:10" x14ac:dyDescent="0.3">
      <c r="J42871"/>
    </row>
    <row r="42872" spans="10:10" x14ac:dyDescent="0.3">
      <c r="J42872"/>
    </row>
    <row r="42873" spans="10:10" x14ac:dyDescent="0.3">
      <c r="J42873"/>
    </row>
    <row r="42874" spans="10:10" x14ac:dyDescent="0.3">
      <c r="J42874"/>
    </row>
    <row r="42875" spans="10:10" x14ac:dyDescent="0.3">
      <c r="J42875"/>
    </row>
    <row r="42876" spans="10:10" x14ac:dyDescent="0.3">
      <c r="J42876"/>
    </row>
    <row r="42877" spans="10:10" x14ac:dyDescent="0.3">
      <c r="J42877"/>
    </row>
    <row r="42878" spans="10:10" x14ac:dyDescent="0.3">
      <c r="J42878"/>
    </row>
    <row r="42879" spans="10:10" x14ac:dyDescent="0.3">
      <c r="J42879"/>
    </row>
    <row r="42880" spans="10:10" x14ac:dyDescent="0.3">
      <c r="J42880"/>
    </row>
    <row r="42881" spans="10:10" x14ac:dyDescent="0.3">
      <c r="J42881"/>
    </row>
    <row r="42882" spans="10:10" x14ac:dyDescent="0.3">
      <c r="J42882"/>
    </row>
    <row r="42883" spans="10:10" x14ac:dyDescent="0.3">
      <c r="J42883"/>
    </row>
    <row r="42884" spans="10:10" x14ac:dyDescent="0.3">
      <c r="J42884"/>
    </row>
    <row r="42885" spans="10:10" x14ac:dyDescent="0.3">
      <c r="J42885"/>
    </row>
    <row r="42886" spans="10:10" x14ac:dyDescent="0.3">
      <c r="J42886"/>
    </row>
    <row r="42887" spans="10:10" x14ac:dyDescent="0.3">
      <c r="J42887"/>
    </row>
    <row r="42888" spans="10:10" x14ac:dyDescent="0.3">
      <c r="J42888"/>
    </row>
    <row r="42889" spans="10:10" x14ac:dyDescent="0.3">
      <c r="J42889"/>
    </row>
    <row r="42890" spans="10:10" x14ac:dyDescent="0.3">
      <c r="J42890"/>
    </row>
    <row r="42891" spans="10:10" x14ac:dyDescent="0.3">
      <c r="J42891"/>
    </row>
    <row r="42892" spans="10:10" x14ac:dyDescent="0.3">
      <c r="J42892"/>
    </row>
    <row r="42893" spans="10:10" x14ac:dyDescent="0.3">
      <c r="J42893"/>
    </row>
    <row r="42894" spans="10:10" x14ac:dyDescent="0.3">
      <c r="J42894"/>
    </row>
    <row r="42895" spans="10:10" x14ac:dyDescent="0.3">
      <c r="J42895"/>
    </row>
    <row r="42896" spans="10:10" x14ac:dyDescent="0.3">
      <c r="J42896"/>
    </row>
    <row r="42897" spans="10:10" x14ac:dyDescent="0.3">
      <c r="J42897"/>
    </row>
    <row r="42898" spans="10:10" x14ac:dyDescent="0.3">
      <c r="J42898"/>
    </row>
    <row r="42899" spans="10:10" x14ac:dyDescent="0.3">
      <c r="J42899"/>
    </row>
    <row r="42900" spans="10:10" x14ac:dyDescent="0.3">
      <c r="J42900"/>
    </row>
    <row r="42901" spans="10:10" x14ac:dyDescent="0.3">
      <c r="J42901"/>
    </row>
    <row r="42902" spans="10:10" x14ac:dyDescent="0.3">
      <c r="J42902"/>
    </row>
    <row r="42903" spans="10:10" x14ac:dyDescent="0.3">
      <c r="J42903"/>
    </row>
    <row r="42904" spans="10:10" x14ac:dyDescent="0.3">
      <c r="J42904"/>
    </row>
    <row r="42905" spans="10:10" x14ac:dyDescent="0.3">
      <c r="J42905"/>
    </row>
    <row r="42906" spans="10:10" x14ac:dyDescent="0.3">
      <c r="J42906"/>
    </row>
    <row r="42907" spans="10:10" x14ac:dyDescent="0.3">
      <c r="J42907"/>
    </row>
    <row r="42908" spans="10:10" x14ac:dyDescent="0.3">
      <c r="J42908"/>
    </row>
    <row r="42909" spans="10:10" x14ac:dyDescent="0.3">
      <c r="J42909"/>
    </row>
    <row r="42910" spans="10:10" x14ac:dyDescent="0.3">
      <c r="J42910"/>
    </row>
    <row r="42911" spans="10:10" x14ac:dyDescent="0.3">
      <c r="J42911"/>
    </row>
    <row r="42912" spans="10:10" x14ac:dyDescent="0.3">
      <c r="J42912"/>
    </row>
    <row r="42913" spans="10:10" x14ac:dyDescent="0.3">
      <c r="J42913"/>
    </row>
    <row r="42914" spans="10:10" x14ac:dyDescent="0.3">
      <c r="J42914"/>
    </row>
    <row r="42915" spans="10:10" x14ac:dyDescent="0.3">
      <c r="J42915"/>
    </row>
    <row r="42916" spans="10:10" x14ac:dyDescent="0.3">
      <c r="J42916"/>
    </row>
    <row r="42917" spans="10:10" x14ac:dyDescent="0.3">
      <c r="J42917"/>
    </row>
    <row r="42918" spans="10:10" x14ac:dyDescent="0.3">
      <c r="J42918"/>
    </row>
    <row r="42919" spans="10:10" x14ac:dyDescent="0.3">
      <c r="J42919"/>
    </row>
    <row r="42920" spans="10:10" x14ac:dyDescent="0.3">
      <c r="J42920"/>
    </row>
    <row r="42921" spans="10:10" x14ac:dyDescent="0.3">
      <c r="J42921"/>
    </row>
    <row r="42922" spans="10:10" x14ac:dyDescent="0.3">
      <c r="J42922"/>
    </row>
    <row r="42923" spans="10:10" x14ac:dyDescent="0.3">
      <c r="J42923"/>
    </row>
    <row r="42924" spans="10:10" x14ac:dyDescent="0.3">
      <c r="J42924"/>
    </row>
    <row r="42925" spans="10:10" x14ac:dyDescent="0.3">
      <c r="J42925"/>
    </row>
    <row r="42926" spans="10:10" x14ac:dyDescent="0.3">
      <c r="J42926"/>
    </row>
    <row r="42927" spans="10:10" x14ac:dyDescent="0.3">
      <c r="J42927"/>
    </row>
    <row r="42928" spans="10:10" x14ac:dyDescent="0.3">
      <c r="J42928"/>
    </row>
    <row r="42929" spans="10:10" x14ac:dyDescent="0.3">
      <c r="J42929"/>
    </row>
    <row r="42930" spans="10:10" x14ac:dyDescent="0.3">
      <c r="J42930"/>
    </row>
    <row r="42931" spans="10:10" x14ac:dyDescent="0.3">
      <c r="J42931"/>
    </row>
    <row r="42932" spans="10:10" x14ac:dyDescent="0.3">
      <c r="J42932"/>
    </row>
    <row r="42933" spans="10:10" x14ac:dyDescent="0.3">
      <c r="J42933"/>
    </row>
    <row r="42934" spans="10:10" x14ac:dyDescent="0.3">
      <c r="J42934"/>
    </row>
    <row r="42935" spans="10:10" x14ac:dyDescent="0.3">
      <c r="J42935"/>
    </row>
    <row r="42936" spans="10:10" x14ac:dyDescent="0.3">
      <c r="J42936"/>
    </row>
    <row r="42937" spans="10:10" x14ac:dyDescent="0.3">
      <c r="J42937"/>
    </row>
    <row r="42938" spans="10:10" x14ac:dyDescent="0.3">
      <c r="J42938"/>
    </row>
    <row r="42939" spans="10:10" x14ac:dyDescent="0.3">
      <c r="J42939"/>
    </row>
    <row r="42940" spans="10:10" x14ac:dyDescent="0.3">
      <c r="J42940"/>
    </row>
    <row r="42941" spans="10:10" x14ac:dyDescent="0.3">
      <c r="J42941"/>
    </row>
    <row r="42942" spans="10:10" x14ac:dyDescent="0.3">
      <c r="J42942"/>
    </row>
    <row r="42943" spans="10:10" x14ac:dyDescent="0.3">
      <c r="J42943"/>
    </row>
    <row r="42944" spans="10:10" x14ac:dyDescent="0.3">
      <c r="J42944"/>
    </row>
    <row r="42945" spans="10:10" x14ac:dyDescent="0.3">
      <c r="J42945"/>
    </row>
    <row r="42946" spans="10:10" x14ac:dyDescent="0.3">
      <c r="J42946"/>
    </row>
    <row r="42947" spans="10:10" x14ac:dyDescent="0.3">
      <c r="J42947"/>
    </row>
    <row r="42948" spans="10:10" x14ac:dyDescent="0.3">
      <c r="J42948"/>
    </row>
    <row r="42949" spans="10:10" x14ac:dyDescent="0.3">
      <c r="J42949"/>
    </row>
    <row r="42950" spans="10:10" x14ac:dyDescent="0.3">
      <c r="J42950"/>
    </row>
    <row r="42951" spans="10:10" x14ac:dyDescent="0.3">
      <c r="J42951"/>
    </row>
    <row r="42952" spans="10:10" x14ac:dyDescent="0.3">
      <c r="J42952"/>
    </row>
    <row r="42953" spans="10:10" x14ac:dyDescent="0.3">
      <c r="J42953"/>
    </row>
    <row r="42954" spans="10:10" x14ac:dyDescent="0.3">
      <c r="J42954"/>
    </row>
    <row r="42955" spans="10:10" x14ac:dyDescent="0.3">
      <c r="J42955"/>
    </row>
    <row r="42956" spans="10:10" x14ac:dyDescent="0.3">
      <c r="J42956"/>
    </row>
    <row r="42957" spans="10:10" x14ac:dyDescent="0.3">
      <c r="J42957"/>
    </row>
    <row r="42958" spans="10:10" x14ac:dyDescent="0.3">
      <c r="J42958"/>
    </row>
    <row r="42959" spans="10:10" x14ac:dyDescent="0.3">
      <c r="J42959"/>
    </row>
    <row r="42960" spans="10:10" x14ac:dyDescent="0.3">
      <c r="J42960"/>
    </row>
    <row r="42961" spans="10:10" x14ac:dyDescent="0.3">
      <c r="J42961"/>
    </row>
    <row r="42962" spans="10:10" x14ac:dyDescent="0.3">
      <c r="J42962"/>
    </row>
    <row r="42963" spans="10:10" x14ac:dyDescent="0.3">
      <c r="J42963"/>
    </row>
    <row r="42964" spans="10:10" x14ac:dyDescent="0.3">
      <c r="J42964"/>
    </row>
    <row r="42965" spans="10:10" x14ac:dyDescent="0.3">
      <c r="J42965"/>
    </row>
    <row r="42966" spans="10:10" x14ac:dyDescent="0.3">
      <c r="J42966"/>
    </row>
    <row r="42967" spans="10:10" x14ac:dyDescent="0.3">
      <c r="J42967"/>
    </row>
    <row r="42968" spans="10:10" x14ac:dyDescent="0.3">
      <c r="J42968"/>
    </row>
    <row r="42969" spans="10:10" x14ac:dyDescent="0.3">
      <c r="J42969"/>
    </row>
    <row r="42970" spans="10:10" x14ac:dyDescent="0.3">
      <c r="J42970"/>
    </row>
    <row r="42971" spans="10:10" x14ac:dyDescent="0.3">
      <c r="J42971"/>
    </row>
    <row r="42972" spans="10:10" x14ac:dyDescent="0.3">
      <c r="J42972"/>
    </row>
    <row r="42973" spans="10:10" x14ac:dyDescent="0.3">
      <c r="J42973"/>
    </row>
    <row r="42974" spans="10:10" x14ac:dyDescent="0.3">
      <c r="J42974"/>
    </row>
    <row r="42975" spans="10:10" x14ac:dyDescent="0.3">
      <c r="J42975"/>
    </row>
    <row r="42976" spans="10:10" x14ac:dyDescent="0.3">
      <c r="J42976"/>
    </row>
    <row r="42977" spans="10:10" x14ac:dyDescent="0.3">
      <c r="J42977"/>
    </row>
    <row r="42978" spans="10:10" x14ac:dyDescent="0.3">
      <c r="J42978"/>
    </row>
    <row r="42979" spans="10:10" x14ac:dyDescent="0.3">
      <c r="J42979"/>
    </row>
    <row r="42980" spans="10:10" x14ac:dyDescent="0.3">
      <c r="J42980"/>
    </row>
    <row r="42981" spans="10:10" x14ac:dyDescent="0.3">
      <c r="J42981"/>
    </row>
    <row r="42982" spans="10:10" x14ac:dyDescent="0.3">
      <c r="J42982"/>
    </row>
    <row r="42983" spans="10:10" x14ac:dyDescent="0.3">
      <c r="J42983"/>
    </row>
    <row r="42984" spans="10:10" x14ac:dyDescent="0.3">
      <c r="J42984"/>
    </row>
    <row r="42985" spans="10:10" x14ac:dyDescent="0.3">
      <c r="J42985"/>
    </row>
    <row r="42986" spans="10:10" x14ac:dyDescent="0.3">
      <c r="J42986"/>
    </row>
    <row r="42987" spans="10:10" x14ac:dyDescent="0.3">
      <c r="J42987"/>
    </row>
    <row r="42988" spans="10:10" x14ac:dyDescent="0.3">
      <c r="J42988"/>
    </row>
    <row r="42989" spans="10:10" x14ac:dyDescent="0.3">
      <c r="J42989"/>
    </row>
    <row r="42990" spans="10:10" x14ac:dyDescent="0.3">
      <c r="J42990"/>
    </row>
    <row r="42991" spans="10:10" x14ac:dyDescent="0.3">
      <c r="J42991"/>
    </row>
    <row r="42992" spans="10:10" x14ac:dyDescent="0.3">
      <c r="J42992"/>
    </row>
    <row r="42993" spans="10:10" x14ac:dyDescent="0.3">
      <c r="J42993"/>
    </row>
    <row r="42994" spans="10:10" x14ac:dyDescent="0.3">
      <c r="J42994"/>
    </row>
    <row r="42995" spans="10:10" x14ac:dyDescent="0.3">
      <c r="J42995"/>
    </row>
    <row r="42996" spans="10:10" x14ac:dyDescent="0.3">
      <c r="J42996"/>
    </row>
    <row r="42997" spans="10:10" x14ac:dyDescent="0.3">
      <c r="J42997"/>
    </row>
    <row r="42998" spans="10:10" x14ac:dyDescent="0.3">
      <c r="J42998"/>
    </row>
    <row r="42999" spans="10:10" x14ac:dyDescent="0.3">
      <c r="J42999"/>
    </row>
    <row r="43000" spans="10:10" x14ac:dyDescent="0.3">
      <c r="J43000"/>
    </row>
    <row r="43001" spans="10:10" x14ac:dyDescent="0.3">
      <c r="J43001"/>
    </row>
    <row r="43002" spans="10:10" x14ac:dyDescent="0.3">
      <c r="J43002"/>
    </row>
    <row r="43003" spans="10:10" x14ac:dyDescent="0.3">
      <c r="J43003"/>
    </row>
    <row r="43004" spans="10:10" x14ac:dyDescent="0.3">
      <c r="J43004"/>
    </row>
    <row r="43005" spans="10:10" x14ac:dyDescent="0.3">
      <c r="J43005"/>
    </row>
    <row r="43006" spans="10:10" x14ac:dyDescent="0.3">
      <c r="J43006"/>
    </row>
    <row r="43007" spans="10:10" x14ac:dyDescent="0.3">
      <c r="J43007"/>
    </row>
    <row r="43008" spans="10:10" x14ac:dyDescent="0.3">
      <c r="J43008"/>
    </row>
    <row r="43009" spans="10:10" x14ac:dyDescent="0.3">
      <c r="J43009"/>
    </row>
    <row r="43010" spans="10:10" x14ac:dyDescent="0.3">
      <c r="J43010"/>
    </row>
    <row r="43011" spans="10:10" x14ac:dyDescent="0.3">
      <c r="J43011"/>
    </row>
    <row r="43012" spans="10:10" x14ac:dyDescent="0.3">
      <c r="J43012"/>
    </row>
    <row r="43013" spans="10:10" x14ac:dyDescent="0.3">
      <c r="J43013"/>
    </row>
    <row r="43014" spans="10:10" x14ac:dyDescent="0.3">
      <c r="J43014"/>
    </row>
    <row r="43015" spans="10:10" x14ac:dyDescent="0.3">
      <c r="J43015"/>
    </row>
    <row r="43016" spans="10:10" x14ac:dyDescent="0.3">
      <c r="J43016"/>
    </row>
    <row r="43017" spans="10:10" x14ac:dyDescent="0.3">
      <c r="J43017"/>
    </row>
    <row r="43018" spans="10:10" x14ac:dyDescent="0.3">
      <c r="J43018"/>
    </row>
    <row r="43019" spans="10:10" x14ac:dyDescent="0.3">
      <c r="J43019"/>
    </row>
    <row r="43020" spans="10:10" x14ac:dyDescent="0.3">
      <c r="J43020"/>
    </row>
    <row r="43021" spans="10:10" x14ac:dyDescent="0.3">
      <c r="J43021"/>
    </row>
    <row r="43022" spans="10:10" x14ac:dyDescent="0.3">
      <c r="J43022"/>
    </row>
    <row r="43023" spans="10:10" x14ac:dyDescent="0.3">
      <c r="J43023"/>
    </row>
    <row r="43024" spans="10:10" x14ac:dyDescent="0.3">
      <c r="J43024"/>
    </row>
    <row r="43025" spans="10:10" x14ac:dyDescent="0.3">
      <c r="J43025"/>
    </row>
    <row r="43026" spans="10:10" x14ac:dyDescent="0.3">
      <c r="J43026"/>
    </row>
    <row r="43027" spans="10:10" x14ac:dyDescent="0.3">
      <c r="J43027"/>
    </row>
    <row r="43028" spans="10:10" x14ac:dyDescent="0.3">
      <c r="J43028"/>
    </row>
    <row r="43029" spans="10:10" x14ac:dyDescent="0.3">
      <c r="J43029"/>
    </row>
    <row r="43030" spans="10:10" x14ac:dyDescent="0.3">
      <c r="J43030"/>
    </row>
    <row r="43031" spans="10:10" x14ac:dyDescent="0.3">
      <c r="J43031"/>
    </row>
    <row r="43032" spans="10:10" x14ac:dyDescent="0.3">
      <c r="J43032"/>
    </row>
    <row r="43033" spans="10:10" x14ac:dyDescent="0.3">
      <c r="J43033"/>
    </row>
    <row r="43034" spans="10:10" x14ac:dyDescent="0.3">
      <c r="J43034"/>
    </row>
    <row r="43035" spans="10:10" x14ac:dyDescent="0.3">
      <c r="J43035"/>
    </row>
    <row r="43036" spans="10:10" x14ac:dyDescent="0.3">
      <c r="J43036"/>
    </row>
    <row r="43037" spans="10:10" x14ac:dyDescent="0.3">
      <c r="J43037"/>
    </row>
    <row r="43038" spans="10:10" x14ac:dyDescent="0.3">
      <c r="J43038"/>
    </row>
    <row r="43039" spans="10:10" x14ac:dyDescent="0.3">
      <c r="J43039"/>
    </row>
    <row r="43040" spans="10:10" x14ac:dyDescent="0.3">
      <c r="J43040"/>
    </row>
    <row r="43041" spans="10:10" x14ac:dyDescent="0.3">
      <c r="J43041"/>
    </row>
    <row r="43042" spans="10:10" x14ac:dyDescent="0.3">
      <c r="J43042"/>
    </row>
    <row r="43043" spans="10:10" x14ac:dyDescent="0.3">
      <c r="J43043"/>
    </row>
    <row r="43044" spans="10:10" x14ac:dyDescent="0.3">
      <c r="J43044"/>
    </row>
    <row r="43045" spans="10:10" x14ac:dyDescent="0.3">
      <c r="J43045"/>
    </row>
    <row r="43046" spans="10:10" x14ac:dyDescent="0.3">
      <c r="J43046"/>
    </row>
    <row r="43047" spans="10:10" x14ac:dyDescent="0.3">
      <c r="J43047"/>
    </row>
    <row r="43048" spans="10:10" x14ac:dyDescent="0.3">
      <c r="J43048"/>
    </row>
    <row r="43049" spans="10:10" x14ac:dyDescent="0.3">
      <c r="J43049"/>
    </row>
    <row r="43050" spans="10:10" x14ac:dyDescent="0.3">
      <c r="J43050"/>
    </row>
    <row r="43051" spans="10:10" x14ac:dyDescent="0.3">
      <c r="J43051"/>
    </row>
    <row r="43052" spans="10:10" x14ac:dyDescent="0.3">
      <c r="J43052"/>
    </row>
    <row r="43053" spans="10:10" x14ac:dyDescent="0.3">
      <c r="J43053"/>
    </row>
    <row r="43054" spans="10:10" x14ac:dyDescent="0.3">
      <c r="J43054"/>
    </row>
    <row r="43055" spans="10:10" x14ac:dyDescent="0.3">
      <c r="J43055"/>
    </row>
    <row r="43056" spans="10:10" x14ac:dyDescent="0.3">
      <c r="J43056"/>
    </row>
    <row r="43057" spans="10:10" x14ac:dyDescent="0.3">
      <c r="J43057"/>
    </row>
    <row r="43058" spans="10:10" x14ac:dyDescent="0.3">
      <c r="J43058"/>
    </row>
    <row r="43059" spans="10:10" x14ac:dyDescent="0.3">
      <c r="J43059"/>
    </row>
    <row r="43060" spans="10:10" x14ac:dyDescent="0.3">
      <c r="J43060"/>
    </row>
    <row r="43061" spans="10:10" x14ac:dyDescent="0.3">
      <c r="J43061"/>
    </row>
    <row r="43062" spans="10:10" x14ac:dyDescent="0.3">
      <c r="J43062"/>
    </row>
    <row r="43063" spans="10:10" x14ac:dyDescent="0.3">
      <c r="J43063"/>
    </row>
    <row r="43064" spans="10:10" x14ac:dyDescent="0.3">
      <c r="J43064"/>
    </row>
    <row r="43065" spans="10:10" x14ac:dyDescent="0.3">
      <c r="J43065"/>
    </row>
    <row r="43066" spans="10:10" x14ac:dyDescent="0.3">
      <c r="J43066"/>
    </row>
    <row r="43067" spans="10:10" x14ac:dyDescent="0.3">
      <c r="J43067"/>
    </row>
    <row r="43068" spans="10:10" x14ac:dyDescent="0.3">
      <c r="J43068"/>
    </row>
    <row r="43069" spans="10:10" x14ac:dyDescent="0.3">
      <c r="J43069"/>
    </row>
    <row r="43070" spans="10:10" x14ac:dyDescent="0.3">
      <c r="J43070"/>
    </row>
    <row r="43071" spans="10:10" x14ac:dyDescent="0.3">
      <c r="J43071"/>
    </row>
    <row r="43072" spans="10:10" x14ac:dyDescent="0.3">
      <c r="J43072"/>
    </row>
    <row r="43073" spans="10:10" x14ac:dyDescent="0.3">
      <c r="J43073"/>
    </row>
    <row r="43074" spans="10:10" x14ac:dyDescent="0.3">
      <c r="J43074"/>
    </row>
    <row r="43075" spans="10:10" x14ac:dyDescent="0.3">
      <c r="J43075"/>
    </row>
    <row r="43076" spans="10:10" x14ac:dyDescent="0.3">
      <c r="J43076"/>
    </row>
    <row r="43077" spans="10:10" x14ac:dyDescent="0.3">
      <c r="J43077"/>
    </row>
    <row r="43078" spans="10:10" x14ac:dyDescent="0.3">
      <c r="J43078"/>
    </row>
    <row r="43079" spans="10:10" x14ac:dyDescent="0.3">
      <c r="J43079"/>
    </row>
    <row r="43080" spans="10:10" x14ac:dyDescent="0.3">
      <c r="J43080"/>
    </row>
    <row r="43081" spans="10:10" x14ac:dyDescent="0.3">
      <c r="J43081"/>
    </row>
    <row r="43082" spans="10:10" x14ac:dyDescent="0.3">
      <c r="J43082"/>
    </row>
    <row r="43083" spans="10:10" x14ac:dyDescent="0.3">
      <c r="J43083"/>
    </row>
    <row r="43084" spans="10:10" x14ac:dyDescent="0.3">
      <c r="J43084"/>
    </row>
    <row r="43085" spans="10:10" x14ac:dyDescent="0.3">
      <c r="J43085"/>
    </row>
    <row r="43086" spans="10:10" x14ac:dyDescent="0.3">
      <c r="J43086"/>
    </row>
    <row r="43087" spans="10:10" x14ac:dyDescent="0.3">
      <c r="J43087"/>
    </row>
    <row r="43088" spans="10:10" x14ac:dyDescent="0.3">
      <c r="J43088"/>
    </row>
    <row r="43089" spans="10:10" x14ac:dyDescent="0.3">
      <c r="J43089"/>
    </row>
    <row r="43090" spans="10:10" x14ac:dyDescent="0.3">
      <c r="J43090"/>
    </row>
    <row r="43091" spans="10:10" x14ac:dyDescent="0.3">
      <c r="J43091"/>
    </row>
    <row r="43092" spans="10:10" x14ac:dyDescent="0.3">
      <c r="J43092"/>
    </row>
    <row r="43093" spans="10:10" x14ac:dyDescent="0.3">
      <c r="J43093"/>
    </row>
    <row r="43094" spans="10:10" x14ac:dyDescent="0.3">
      <c r="J43094"/>
    </row>
    <row r="43095" spans="10:10" x14ac:dyDescent="0.3">
      <c r="J43095"/>
    </row>
    <row r="43096" spans="10:10" x14ac:dyDescent="0.3">
      <c r="J43096"/>
    </row>
    <row r="43097" spans="10:10" x14ac:dyDescent="0.3">
      <c r="J43097"/>
    </row>
    <row r="43098" spans="10:10" x14ac:dyDescent="0.3">
      <c r="J43098"/>
    </row>
    <row r="43099" spans="10:10" x14ac:dyDescent="0.3">
      <c r="J43099"/>
    </row>
    <row r="43100" spans="10:10" x14ac:dyDescent="0.3">
      <c r="J43100"/>
    </row>
    <row r="43101" spans="10:10" x14ac:dyDescent="0.3">
      <c r="J43101"/>
    </row>
    <row r="43102" spans="10:10" x14ac:dyDescent="0.3">
      <c r="J43102"/>
    </row>
    <row r="43103" spans="10:10" x14ac:dyDescent="0.3">
      <c r="J43103"/>
    </row>
    <row r="43104" spans="10:10" x14ac:dyDescent="0.3">
      <c r="J43104"/>
    </row>
    <row r="43105" spans="10:10" x14ac:dyDescent="0.3">
      <c r="J43105"/>
    </row>
    <row r="43106" spans="10:10" x14ac:dyDescent="0.3">
      <c r="J43106"/>
    </row>
    <row r="43107" spans="10:10" x14ac:dyDescent="0.3">
      <c r="J43107"/>
    </row>
    <row r="43108" spans="10:10" x14ac:dyDescent="0.3">
      <c r="J43108"/>
    </row>
    <row r="43109" spans="10:10" x14ac:dyDescent="0.3">
      <c r="J43109"/>
    </row>
    <row r="43110" spans="10:10" x14ac:dyDescent="0.3">
      <c r="J43110"/>
    </row>
    <row r="43111" spans="10:10" x14ac:dyDescent="0.3">
      <c r="J43111"/>
    </row>
    <row r="43112" spans="10:10" x14ac:dyDescent="0.3">
      <c r="J43112"/>
    </row>
    <row r="43113" spans="10:10" x14ac:dyDescent="0.3">
      <c r="J43113"/>
    </row>
    <row r="43114" spans="10:10" x14ac:dyDescent="0.3">
      <c r="J43114"/>
    </row>
    <row r="43115" spans="10:10" x14ac:dyDescent="0.3">
      <c r="J43115"/>
    </row>
    <row r="43116" spans="10:10" x14ac:dyDescent="0.3">
      <c r="J43116"/>
    </row>
    <row r="43117" spans="10:10" x14ac:dyDescent="0.3">
      <c r="J43117"/>
    </row>
    <row r="43118" spans="10:10" x14ac:dyDescent="0.3">
      <c r="J43118"/>
    </row>
    <row r="43119" spans="10:10" x14ac:dyDescent="0.3">
      <c r="J43119"/>
    </row>
    <row r="43120" spans="10:10" x14ac:dyDescent="0.3">
      <c r="J43120"/>
    </row>
    <row r="43121" spans="10:10" x14ac:dyDescent="0.3">
      <c r="J43121"/>
    </row>
    <row r="43122" spans="10:10" x14ac:dyDescent="0.3">
      <c r="J43122"/>
    </row>
    <row r="43123" spans="10:10" x14ac:dyDescent="0.3">
      <c r="J43123"/>
    </row>
    <row r="43124" spans="10:10" x14ac:dyDescent="0.3">
      <c r="J43124"/>
    </row>
    <row r="43125" spans="10:10" x14ac:dyDescent="0.3">
      <c r="J43125"/>
    </row>
    <row r="43126" spans="10:10" x14ac:dyDescent="0.3">
      <c r="J43126"/>
    </row>
    <row r="43127" spans="10:10" x14ac:dyDescent="0.3">
      <c r="J43127"/>
    </row>
    <row r="43128" spans="10:10" x14ac:dyDescent="0.3">
      <c r="J43128"/>
    </row>
    <row r="43129" spans="10:10" x14ac:dyDescent="0.3">
      <c r="J43129"/>
    </row>
    <row r="43130" spans="10:10" x14ac:dyDescent="0.3">
      <c r="J43130"/>
    </row>
    <row r="43131" spans="10:10" x14ac:dyDescent="0.3">
      <c r="J43131"/>
    </row>
    <row r="43132" spans="10:10" x14ac:dyDescent="0.3">
      <c r="J43132"/>
    </row>
    <row r="43133" spans="10:10" x14ac:dyDescent="0.3">
      <c r="J43133"/>
    </row>
    <row r="43134" spans="10:10" x14ac:dyDescent="0.3">
      <c r="J43134"/>
    </row>
    <row r="43135" spans="10:10" x14ac:dyDescent="0.3">
      <c r="J43135"/>
    </row>
    <row r="43136" spans="10:10" x14ac:dyDescent="0.3">
      <c r="J43136"/>
    </row>
    <row r="43137" spans="10:10" x14ac:dyDescent="0.3">
      <c r="J43137"/>
    </row>
    <row r="43138" spans="10:10" x14ac:dyDescent="0.3">
      <c r="J43138"/>
    </row>
    <row r="43139" spans="10:10" x14ac:dyDescent="0.3">
      <c r="J43139"/>
    </row>
    <row r="43140" spans="10:10" x14ac:dyDescent="0.3">
      <c r="J43140"/>
    </row>
    <row r="43141" spans="10:10" x14ac:dyDescent="0.3">
      <c r="J43141"/>
    </row>
    <row r="43142" spans="10:10" x14ac:dyDescent="0.3">
      <c r="J43142"/>
    </row>
    <row r="43143" spans="10:10" x14ac:dyDescent="0.3">
      <c r="J43143"/>
    </row>
    <row r="43144" spans="10:10" x14ac:dyDescent="0.3">
      <c r="J43144"/>
    </row>
    <row r="43145" spans="10:10" x14ac:dyDescent="0.3">
      <c r="J43145"/>
    </row>
    <row r="43146" spans="10:10" x14ac:dyDescent="0.3">
      <c r="J43146"/>
    </row>
    <row r="43147" spans="10:10" x14ac:dyDescent="0.3">
      <c r="J43147"/>
    </row>
    <row r="43148" spans="10:10" x14ac:dyDescent="0.3">
      <c r="J43148"/>
    </row>
    <row r="43149" spans="10:10" x14ac:dyDescent="0.3">
      <c r="J43149"/>
    </row>
    <row r="43150" spans="10:10" x14ac:dyDescent="0.3">
      <c r="J43150"/>
    </row>
    <row r="43151" spans="10:10" x14ac:dyDescent="0.3">
      <c r="J43151"/>
    </row>
    <row r="43152" spans="10:10" x14ac:dyDescent="0.3">
      <c r="J43152"/>
    </row>
    <row r="43153" spans="10:10" x14ac:dyDescent="0.3">
      <c r="J43153"/>
    </row>
    <row r="43154" spans="10:10" x14ac:dyDescent="0.3">
      <c r="J43154"/>
    </row>
    <row r="43155" spans="10:10" x14ac:dyDescent="0.3">
      <c r="J43155"/>
    </row>
    <row r="43156" spans="10:10" x14ac:dyDescent="0.3">
      <c r="J43156"/>
    </row>
    <row r="43157" spans="10:10" x14ac:dyDescent="0.3">
      <c r="J43157"/>
    </row>
    <row r="43158" spans="10:10" x14ac:dyDescent="0.3">
      <c r="J43158"/>
    </row>
    <row r="43159" spans="10:10" x14ac:dyDescent="0.3">
      <c r="J43159"/>
    </row>
    <row r="43160" spans="10:10" x14ac:dyDescent="0.3">
      <c r="J43160"/>
    </row>
    <row r="43161" spans="10:10" x14ac:dyDescent="0.3">
      <c r="J43161"/>
    </row>
    <row r="43162" spans="10:10" x14ac:dyDescent="0.3">
      <c r="J43162"/>
    </row>
    <row r="43163" spans="10:10" x14ac:dyDescent="0.3">
      <c r="J43163"/>
    </row>
    <row r="43164" spans="10:10" x14ac:dyDescent="0.3">
      <c r="J43164"/>
    </row>
    <row r="43165" spans="10:10" x14ac:dyDescent="0.3">
      <c r="J43165"/>
    </row>
    <row r="43166" spans="10:10" x14ac:dyDescent="0.3">
      <c r="J43166"/>
    </row>
    <row r="43167" spans="10:10" x14ac:dyDescent="0.3">
      <c r="J43167"/>
    </row>
    <row r="43168" spans="10:10" x14ac:dyDescent="0.3">
      <c r="J43168"/>
    </row>
    <row r="43169" spans="10:10" x14ac:dyDescent="0.3">
      <c r="J43169"/>
    </row>
    <row r="43170" spans="10:10" x14ac:dyDescent="0.3">
      <c r="J43170"/>
    </row>
    <row r="43171" spans="10:10" x14ac:dyDescent="0.3">
      <c r="J43171"/>
    </row>
    <row r="43172" spans="10:10" x14ac:dyDescent="0.3">
      <c r="J43172"/>
    </row>
    <row r="43173" spans="10:10" x14ac:dyDescent="0.3">
      <c r="J43173"/>
    </row>
    <row r="43174" spans="10:10" x14ac:dyDescent="0.3">
      <c r="J43174"/>
    </row>
    <row r="43175" spans="10:10" x14ac:dyDescent="0.3">
      <c r="J43175"/>
    </row>
    <row r="43176" spans="10:10" x14ac:dyDescent="0.3">
      <c r="J43176"/>
    </row>
    <row r="43177" spans="10:10" x14ac:dyDescent="0.3">
      <c r="J43177"/>
    </row>
    <row r="43178" spans="10:10" x14ac:dyDescent="0.3">
      <c r="J43178"/>
    </row>
    <row r="43179" spans="10:10" x14ac:dyDescent="0.3">
      <c r="J43179"/>
    </row>
    <row r="43180" spans="10:10" x14ac:dyDescent="0.3">
      <c r="J43180"/>
    </row>
    <row r="43181" spans="10:10" x14ac:dyDescent="0.3">
      <c r="J43181"/>
    </row>
    <row r="43182" spans="10:10" x14ac:dyDescent="0.3">
      <c r="J43182"/>
    </row>
    <row r="43183" spans="10:10" x14ac:dyDescent="0.3">
      <c r="J43183"/>
    </row>
    <row r="43184" spans="10:10" x14ac:dyDescent="0.3">
      <c r="J43184"/>
    </row>
    <row r="43185" spans="10:10" x14ac:dyDescent="0.3">
      <c r="J43185"/>
    </row>
    <row r="43186" spans="10:10" x14ac:dyDescent="0.3">
      <c r="J43186"/>
    </row>
    <row r="43187" spans="10:10" x14ac:dyDescent="0.3">
      <c r="J43187"/>
    </row>
    <row r="43188" spans="10:10" x14ac:dyDescent="0.3">
      <c r="J43188"/>
    </row>
    <row r="43189" spans="10:10" x14ac:dyDescent="0.3">
      <c r="J43189"/>
    </row>
    <row r="43190" spans="10:10" x14ac:dyDescent="0.3">
      <c r="J43190"/>
    </row>
    <row r="43191" spans="10:10" x14ac:dyDescent="0.3">
      <c r="J43191"/>
    </row>
    <row r="43192" spans="10:10" x14ac:dyDescent="0.3">
      <c r="J43192"/>
    </row>
    <row r="43193" spans="10:10" x14ac:dyDescent="0.3">
      <c r="J43193"/>
    </row>
    <row r="43194" spans="10:10" x14ac:dyDescent="0.3">
      <c r="J43194"/>
    </row>
    <row r="43195" spans="10:10" x14ac:dyDescent="0.3">
      <c r="J43195"/>
    </row>
    <row r="43196" spans="10:10" x14ac:dyDescent="0.3">
      <c r="J43196"/>
    </row>
    <row r="43197" spans="10:10" x14ac:dyDescent="0.3">
      <c r="J43197"/>
    </row>
    <row r="43198" spans="10:10" x14ac:dyDescent="0.3">
      <c r="J43198"/>
    </row>
    <row r="43199" spans="10:10" x14ac:dyDescent="0.3">
      <c r="J43199"/>
    </row>
    <row r="43200" spans="10:10" x14ac:dyDescent="0.3">
      <c r="J43200"/>
    </row>
    <row r="43201" spans="10:10" x14ac:dyDescent="0.3">
      <c r="J43201"/>
    </row>
    <row r="43202" spans="10:10" x14ac:dyDescent="0.3">
      <c r="J43202"/>
    </row>
    <row r="43203" spans="10:10" x14ac:dyDescent="0.3">
      <c r="J43203"/>
    </row>
    <row r="43204" spans="10:10" x14ac:dyDescent="0.3">
      <c r="J43204"/>
    </row>
    <row r="43205" spans="10:10" x14ac:dyDescent="0.3">
      <c r="J43205"/>
    </row>
    <row r="43206" spans="10:10" x14ac:dyDescent="0.3">
      <c r="J43206"/>
    </row>
    <row r="43207" spans="10:10" x14ac:dyDescent="0.3">
      <c r="J43207"/>
    </row>
    <row r="43208" spans="10:10" x14ac:dyDescent="0.3">
      <c r="J43208"/>
    </row>
    <row r="43209" spans="10:10" x14ac:dyDescent="0.3">
      <c r="J43209"/>
    </row>
    <row r="43210" spans="10:10" x14ac:dyDescent="0.3">
      <c r="J43210"/>
    </row>
    <row r="43211" spans="10:10" x14ac:dyDescent="0.3">
      <c r="J43211"/>
    </row>
    <row r="43212" spans="10:10" x14ac:dyDescent="0.3">
      <c r="J43212"/>
    </row>
    <row r="43213" spans="10:10" x14ac:dyDescent="0.3">
      <c r="J43213"/>
    </row>
    <row r="43214" spans="10:10" x14ac:dyDescent="0.3">
      <c r="J43214"/>
    </row>
    <row r="43215" spans="10:10" x14ac:dyDescent="0.3">
      <c r="J43215"/>
    </row>
    <row r="43216" spans="10:10" x14ac:dyDescent="0.3">
      <c r="J43216"/>
    </row>
    <row r="43217" spans="10:10" x14ac:dyDescent="0.3">
      <c r="J43217"/>
    </row>
    <row r="43218" spans="10:10" x14ac:dyDescent="0.3">
      <c r="J43218"/>
    </row>
    <row r="43219" spans="10:10" x14ac:dyDescent="0.3">
      <c r="J43219"/>
    </row>
    <row r="43220" spans="10:10" x14ac:dyDescent="0.3">
      <c r="J43220"/>
    </row>
    <row r="43221" spans="10:10" x14ac:dyDescent="0.3">
      <c r="J43221"/>
    </row>
    <row r="43222" spans="10:10" x14ac:dyDescent="0.3">
      <c r="J43222"/>
    </row>
    <row r="43223" spans="10:10" x14ac:dyDescent="0.3">
      <c r="J43223"/>
    </row>
    <row r="43224" spans="10:10" x14ac:dyDescent="0.3">
      <c r="J43224"/>
    </row>
    <row r="43225" spans="10:10" x14ac:dyDescent="0.3">
      <c r="J43225"/>
    </row>
    <row r="43226" spans="10:10" x14ac:dyDescent="0.3">
      <c r="J43226"/>
    </row>
    <row r="43227" spans="10:10" x14ac:dyDescent="0.3">
      <c r="J43227"/>
    </row>
    <row r="43228" spans="10:10" x14ac:dyDescent="0.3">
      <c r="J43228"/>
    </row>
    <row r="43229" spans="10:10" x14ac:dyDescent="0.3">
      <c r="J43229"/>
    </row>
    <row r="43230" spans="10:10" x14ac:dyDescent="0.3">
      <c r="J43230"/>
    </row>
    <row r="43231" spans="10:10" x14ac:dyDescent="0.3">
      <c r="J43231"/>
    </row>
    <row r="43232" spans="10:10" x14ac:dyDescent="0.3">
      <c r="J43232"/>
    </row>
    <row r="43233" spans="10:10" x14ac:dyDescent="0.3">
      <c r="J43233"/>
    </row>
    <row r="43234" spans="10:10" x14ac:dyDescent="0.3">
      <c r="J43234"/>
    </row>
    <row r="43235" spans="10:10" x14ac:dyDescent="0.3">
      <c r="J43235"/>
    </row>
    <row r="43236" spans="10:10" x14ac:dyDescent="0.3">
      <c r="J43236"/>
    </row>
    <row r="43237" spans="10:10" x14ac:dyDescent="0.3">
      <c r="J43237"/>
    </row>
    <row r="43238" spans="10:10" x14ac:dyDescent="0.3">
      <c r="J43238"/>
    </row>
    <row r="43239" spans="10:10" x14ac:dyDescent="0.3">
      <c r="J43239"/>
    </row>
    <row r="43240" spans="10:10" x14ac:dyDescent="0.3">
      <c r="J43240"/>
    </row>
    <row r="43241" spans="10:10" x14ac:dyDescent="0.3">
      <c r="J43241"/>
    </row>
    <row r="43242" spans="10:10" x14ac:dyDescent="0.3">
      <c r="J43242"/>
    </row>
    <row r="43243" spans="10:10" x14ac:dyDescent="0.3">
      <c r="J43243"/>
    </row>
    <row r="43244" spans="10:10" x14ac:dyDescent="0.3">
      <c r="J43244"/>
    </row>
    <row r="43245" spans="10:10" x14ac:dyDescent="0.3">
      <c r="J43245"/>
    </row>
    <row r="43246" spans="10:10" x14ac:dyDescent="0.3">
      <c r="J43246"/>
    </row>
    <row r="43247" spans="10:10" x14ac:dyDescent="0.3">
      <c r="J43247"/>
    </row>
    <row r="43248" spans="10:10" x14ac:dyDescent="0.3">
      <c r="J43248"/>
    </row>
    <row r="43249" spans="10:10" x14ac:dyDescent="0.3">
      <c r="J43249"/>
    </row>
    <row r="43250" spans="10:10" x14ac:dyDescent="0.3">
      <c r="J43250"/>
    </row>
    <row r="43251" spans="10:10" x14ac:dyDescent="0.3">
      <c r="J43251"/>
    </row>
    <row r="43252" spans="10:10" x14ac:dyDescent="0.3">
      <c r="J43252"/>
    </row>
    <row r="43253" spans="10:10" x14ac:dyDescent="0.3">
      <c r="J43253"/>
    </row>
    <row r="43254" spans="10:10" x14ac:dyDescent="0.3">
      <c r="J43254"/>
    </row>
    <row r="43255" spans="10:10" x14ac:dyDescent="0.3">
      <c r="J43255"/>
    </row>
    <row r="43256" spans="10:10" x14ac:dyDescent="0.3">
      <c r="J43256"/>
    </row>
    <row r="43257" spans="10:10" x14ac:dyDescent="0.3">
      <c r="J43257"/>
    </row>
    <row r="43258" spans="10:10" x14ac:dyDescent="0.3">
      <c r="J43258"/>
    </row>
    <row r="43259" spans="10:10" x14ac:dyDescent="0.3">
      <c r="J43259"/>
    </row>
    <row r="43260" spans="10:10" x14ac:dyDescent="0.3">
      <c r="J43260"/>
    </row>
    <row r="43261" spans="10:10" x14ac:dyDescent="0.3">
      <c r="J43261"/>
    </row>
    <row r="43262" spans="10:10" x14ac:dyDescent="0.3">
      <c r="J43262"/>
    </row>
    <row r="43263" spans="10:10" x14ac:dyDescent="0.3">
      <c r="J43263"/>
    </row>
    <row r="43264" spans="10:10" x14ac:dyDescent="0.3">
      <c r="J43264"/>
    </row>
    <row r="43265" spans="10:10" x14ac:dyDescent="0.3">
      <c r="J43265"/>
    </row>
    <row r="43266" spans="10:10" x14ac:dyDescent="0.3">
      <c r="J43266"/>
    </row>
    <row r="43267" spans="10:10" x14ac:dyDescent="0.3">
      <c r="J43267"/>
    </row>
    <row r="43268" spans="10:10" x14ac:dyDescent="0.3">
      <c r="J43268"/>
    </row>
    <row r="43269" spans="10:10" x14ac:dyDescent="0.3">
      <c r="J43269"/>
    </row>
    <row r="43270" spans="10:10" x14ac:dyDescent="0.3">
      <c r="J43270"/>
    </row>
    <row r="43271" spans="10:10" x14ac:dyDescent="0.3">
      <c r="J43271"/>
    </row>
    <row r="43272" spans="10:10" x14ac:dyDescent="0.3">
      <c r="J43272"/>
    </row>
    <row r="43273" spans="10:10" x14ac:dyDescent="0.3">
      <c r="J43273"/>
    </row>
    <row r="43274" spans="10:10" x14ac:dyDescent="0.3">
      <c r="J43274"/>
    </row>
    <row r="43275" spans="10:10" x14ac:dyDescent="0.3">
      <c r="J43275"/>
    </row>
    <row r="43276" spans="10:10" x14ac:dyDescent="0.3">
      <c r="J43276"/>
    </row>
    <row r="43277" spans="10:10" x14ac:dyDescent="0.3">
      <c r="J43277"/>
    </row>
    <row r="43278" spans="10:10" x14ac:dyDescent="0.3">
      <c r="J43278"/>
    </row>
    <row r="43279" spans="10:10" x14ac:dyDescent="0.3">
      <c r="J43279"/>
    </row>
    <row r="43280" spans="10:10" x14ac:dyDescent="0.3">
      <c r="J43280"/>
    </row>
    <row r="43281" spans="10:10" x14ac:dyDescent="0.3">
      <c r="J43281"/>
    </row>
    <row r="43282" spans="10:10" x14ac:dyDescent="0.3">
      <c r="J43282"/>
    </row>
    <row r="43283" spans="10:10" x14ac:dyDescent="0.3">
      <c r="J43283"/>
    </row>
    <row r="43284" spans="10:10" x14ac:dyDescent="0.3">
      <c r="J43284"/>
    </row>
    <row r="43285" spans="10:10" x14ac:dyDescent="0.3">
      <c r="J43285"/>
    </row>
    <row r="43286" spans="10:10" x14ac:dyDescent="0.3">
      <c r="J43286"/>
    </row>
    <row r="43287" spans="10:10" x14ac:dyDescent="0.3">
      <c r="J43287"/>
    </row>
    <row r="43288" spans="10:10" x14ac:dyDescent="0.3">
      <c r="J43288"/>
    </row>
    <row r="43289" spans="10:10" x14ac:dyDescent="0.3">
      <c r="J43289"/>
    </row>
    <row r="43290" spans="10:10" x14ac:dyDescent="0.3">
      <c r="J43290"/>
    </row>
    <row r="43291" spans="10:10" x14ac:dyDescent="0.3">
      <c r="J43291"/>
    </row>
    <row r="43292" spans="10:10" x14ac:dyDescent="0.3">
      <c r="J43292"/>
    </row>
    <row r="43293" spans="10:10" x14ac:dyDescent="0.3">
      <c r="J43293"/>
    </row>
    <row r="43294" spans="10:10" x14ac:dyDescent="0.3">
      <c r="J43294"/>
    </row>
    <row r="43295" spans="10:10" x14ac:dyDescent="0.3">
      <c r="J43295"/>
    </row>
    <row r="43296" spans="10:10" x14ac:dyDescent="0.3">
      <c r="J43296"/>
    </row>
    <row r="43297" spans="10:10" x14ac:dyDescent="0.3">
      <c r="J43297"/>
    </row>
    <row r="43298" spans="10:10" x14ac:dyDescent="0.3">
      <c r="J43298"/>
    </row>
    <row r="43299" spans="10:10" x14ac:dyDescent="0.3">
      <c r="J43299"/>
    </row>
    <row r="43300" spans="10:10" x14ac:dyDescent="0.3">
      <c r="J43300"/>
    </row>
    <row r="43301" spans="10:10" x14ac:dyDescent="0.3">
      <c r="J43301"/>
    </row>
    <row r="43302" spans="10:10" x14ac:dyDescent="0.3">
      <c r="J43302"/>
    </row>
    <row r="43303" spans="10:10" x14ac:dyDescent="0.3">
      <c r="J43303"/>
    </row>
    <row r="43304" spans="10:10" x14ac:dyDescent="0.3">
      <c r="J43304"/>
    </row>
    <row r="43305" spans="10:10" x14ac:dyDescent="0.3">
      <c r="J43305"/>
    </row>
    <row r="43306" spans="10:10" x14ac:dyDescent="0.3">
      <c r="J43306"/>
    </row>
    <row r="43307" spans="10:10" x14ac:dyDescent="0.3">
      <c r="J43307"/>
    </row>
    <row r="43308" spans="10:10" x14ac:dyDescent="0.3">
      <c r="J43308"/>
    </row>
    <row r="43309" spans="10:10" x14ac:dyDescent="0.3">
      <c r="J43309"/>
    </row>
    <row r="43310" spans="10:10" x14ac:dyDescent="0.3">
      <c r="J43310"/>
    </row>
    <row r="43311" spans="10:10" x14ac:dyDescent="0.3">
      <c r="J43311"/>
    </row>
    <row r="43312" spans="10:10" x14ac:dyDescent="0.3">
      <c r="J43312"/>
    </row>
    <row r="43313" spans="10:10" x14ac:dyDescent="0.3">
      <c r="J43313"/>
    </row>
    <row r="43314" spans="10:10" x14ac:dyDescent="0.3">
      <c r="J43314"/>
    </row>
    <row r="43315" spans="10:10" x14ac:dyDescent="0.3">
      <c r="J43315"/>
    </row>
    <row r="43316" spans="10:10" x14ac:dyDescent="0.3">
      <c r="J43316"/>
    </row>
    <row r="43317" spans="10:10" x14ac:dyDescent="0.3">
      <c r="J43317"/>
    </row>
    <row r="43318" spans="10:10" x14ac:dyDescent="0.3">
      <c r="J43318"/>
    </row>
    <row r="43319" spans="10:10" x14ac:dyDescent="0.3">
      <c r="J43319"/>
    </row>
    <row r="43320" spans="10:10" x14ac:dyDescent="0.3">
      <c r="J43320"/>
    </row>
    <row r="43321" spans="10:10" x14ac:dyDescent="0.3">
      <c r="J43321"/>
    </row>
    <row r="43322" spans="10:10" x14ac:dyDescent="0.3">
      <c r="J43322"/>
    </row>
    <row r="43323" spans="10:10" x14ac:dyDescent="0.3">
      <c r="J43323"/>
    </row>
    <row r="43324" spans="10:10" x14ac:dyDescent="0.3">
      <c r="J43324"/>
    </row>
    <row r="43325" spans="10:10" x14ac:dyDescent="0.3">
      <c r="J43325"/>
    </row>
    <row r="43326" spans="10:10" x14ac:dyDescent="0.3">
      <c r="J43326"/>
    </row>
    <row r="43327" spans="10:10" x14ac:dyDescent="0.3">
      <c r="J43327"/>
    </row>
    <row r="43328" spans="10:10" x14ac:dyDescent="0.3">
      <c r="J43328"/>
    </row>
    <row r="43329" spans="10:10" x14ac:dyDescent="0.3">
      <c r="J43329"/>
    </row>
    <row r="43330" spans="10:10" x14ac:dyDescent="0.3">
      <c r="J43330"/>
    </row>
    <row r="43331" spans="10:10" x14ac:dyDescent="0.3">
      <c r="J43331"/>
    </row>
    <row r="43332" spans="10:10" x14ac:dyDescent="0.3">
      <c r="J43332"/>
    </row>
    <row r="43333" spans="10:10" x14ac:dyDescent="0.3">
      <c r="J43333"/>
    </row>
    <row r="43334" spans="10:10" x14ac:dyDescent="0.3">
      <c r="J43334"/>
    </row>
    <row r="43335" spans="10:10" x14ac:dyDescent="0.3">
      <c r="J43335"/>
    </row>
    <row r="43336" spans="10:10" x14ac:dyDescent="0.3">
      <c r="J43336"/>
    </row>
    <row r="43337" spans="10:10" x14ac:dyDescent="0.3">
      <c r="J43337"/>
    </row>
    <row r="43338" spans="10:10" x14ac:dyDescent="0.3">
      <c r="J43338"/>
    </row>
    <row r="43339" spans="10:10" x14ac:dyDescent="0.3">
      <c r="J43339"/>
    </row>
    <row r="43340" spans="10:10" x14ac:dyDescent="0.3">
      <c r="J43340"/>
    </row>
    <row r="43341" spans="10:10" x14ac:dyDescent="0.3">
      <c r="J43341"/>
    </row>
    <row r="43342" spans="10:10" x14ac:dyDescent="0.3">
      <c r="J43342"/>
    </row>
    <row r="43343" spans="10:10" x14ac:dyDescent="0.3">
      <c r="J43343"/>
    </row>
    <row r="43344" spans="10:10" x14ac:dyDescent="0.3">
      <c r="J43344"/>
    </row>
    <row r="43345" spans="10:10" x14ac:dyDescent="0.3">
      <c r="J43345"/>
    </row>
    <row r="43346" spans="10:10" x14ac:dyDescent="0.3">
      <c r="J43346"/>
    </row>
    <row r="43347" spans="10:10" x14ac:dyDescent="0.3">
      <c r="J43347"/>
    </row>
    <row r="43348" spans="10:10" x14ac:dyDescent="0.3">
      <c r="J43348"/>
    </row>
    <row r="43349" spans="10:10" x14ac:dyDescent="0.3">
      <c r="J43349"/>
    </row>
    <row r="43350" spans="10:10" x14ac:dyDescent="0.3">
      <c r="J43350"/>
    </row>
    <row r="43351" spans="10:10" x14ac:dyDescent="0.3">
      <c r="J43351"/>
    </row>
    <row r="43352" spans="10:10" x14ac:dyDescent="0.3">
      <c r="J43352"/>
    </row>
    <row r="43353" spans="10:10" x14ac:dyDescent="0.3">
      <c r="J43353"/>
    </row>
    <row r="43354" spans="10:10" x14ac:dyDescent="0.3">
      <c r="J43354"/>
    </row>
    <row r="43355" spans="10:10" x14ac:dyDescent="0.3">
      <c r="J43355"/>
    </row>
    <row r="43356" spans="10:10" x14ac:dyDescent="0.3">
      <c r="J43356"/>
    </row>
    <row r="43357" spans="10:10" x14ac:dyDescent="0.3">
      <c r="J43357"/>
    </row>
    <row r="43358" spans="10:10" x14ac:dyDescent="0.3">
      <c r="J43358"/>
    </row>
    <row r="43359" spans="10:10" x14ac:dyDescent="0.3">
      <c r="J43359"/>
    </row>
    <row r="43360" spans="10:10" x14ac:dyDescent="0.3">
      <c r="J43360"/>
    </row>
    <row r="43361" spans="10:10" x14ac:dyDescent="0.3">
      <c r="J43361"/>
    </row>
    <row r="43362" spans="10:10" x14ac:dyDescent="0.3">
      <c r="J43362"/>
    </row>
    <row r="43363" spans="10:10" x14ac:dyDescent="0.3">
      <c r="J43363"/>
    </row>
    <row r="43364" spans="10:10" x14ac:dyDescent="0.3">
      <c r="J43364"/>
    </row>
    <row r="43365" spans="10:10" x14ac:dyDescent="0.3">
      <c r="J43365"/>
    </row>
    <row r="43366" spans="10:10" x14ac:dyDescent="0.3">
      <c r="J43366"/>
    </row>
    <row r="43367" spans="10:10" x14ac:dyDescent="0.3">
      <c r="J43367"/>
    </row>
    <row r="43368" spans="10:10" x14ac:dyDescent="0.3">
      <c r="J43368"/>
    </row>
    <row r="43369" spans="10:10" x14ac:dyDescent="0.3">
      <c r="J43369"/>
    </row>
    <row r="43370" spans="10:10" x14ac:dyDescent="0.3">
      <c r="J43370"/>
    </row>
    <row r="43371" spans="10:10" x14ac:dyDescent="0.3">
      <c r="J43371"/>
    </row>
    <row r="43372" spans="10:10" x14ac:dyDescent="0.3">
      <c r="J43372"/>
    </row>
    <row r="43373" spans="10:10" x14ac:dyDescent="0.3">
      <c r="J43373"/>
    </row>
    <row r="43374" spans="10:10" x14ac:dyDescent="0.3">
      <c r="J43374"/>
    </row>
    <row r="43375" spans="10:10" x14ac:dyDescent="0.3">
      <c r="J43375"/>
    </row>
    <row r="43376" spans="10:10" x14ac:dyDescent="0.3">
      <c r="J43376"/>
    </row>
    <row r="43377" spans="10:10" x14ac:dyDescent="0.3">
      <c r="J43377"/>
    </row>
    <row r="43378" spans="10:10" x14ac:dyDescent="0.3">
      <c r="J43378"/>
    </row>
    <row r="43379" spans="10:10" x14ac:dyDescent="0.3">
      <c r="J43379"/>
    </row>
    <row r="43380" spans="10:10" x14ac:dyDescent="0.3">
      <c r="J43380"/>
    </row>
    <row r="43381" spans="10:10" x14ac:dyDescent="0.3">
      <c r="J43381"/>
    </row>
    <row r="43382" spans="10:10" x14ac:dyDescent="0.3">
      <c r="J43382"/>
    </row>
    <row r="43383" spans="10:10" x14ac:dyDescent="0.3">
      <c r="J43383"/>
    </row>
    <row r="43384" spans="10:10" x14ac:dyDescent="0.3">
      <c r="J43384"/>
    </row>
    <row r="43385" spans="10:10" x14ac:dyDescent="0.3">
      <c r="J43385"/>
    </row>
    <row r="43386" spans="10:10" x14ac:dyDescent="0.3">
      <c r="J43386"/>
    </row>
    <row r="43387" spans="10:10" x14ac:dyDescent="0.3">
      <c r="J43387"/>
    </row>
    <row r="43388" spans="10:10" x14ac:dyDescent="0.3">
      <c r="J43388"/>
    </row>
    <row r="43389" spans="10:10" x14ac:dyDescent="0.3">
      <c r="J43389"/>
    </row>
    <row r="43390" spans="10:10" x14ac:dyDescent="0.3">
      <c r="J43390"/>
    </row>
    <row r="43391" spans="10:10" x14ac:dyDescent="0.3">
      <c r="J43391"/>
    </row>
    <row r="43392" spans="10:10" x14ac:dyDescent="0.3">
      <c r="J43392"/>
    </row>
    <row r="43393" spans="10:10" x14ac:dyDescent="0.3">
      <c r="J43393"/>
    </row>
    <row r="43394" spans="10:10" x14ac:dyDescent="0.3">
      <c r="J43394"/>
    </row>
    <row r="43395" spans="10:10" x14ac:dyDescent="0.3">
      <c r="J43395"/>
    </row>
    <row r="43396" spans="10:10" x14ac:dyDescent="0.3">
      <c r="J43396"/>
    </row>
    <row r="43397" spans="10:10" x14ac:dyDescent="0.3">
      <c r="J43397"/>
    </row>
    <row r="43398" spans="10:10" x14ac:dyDescent="0.3">
      <c r="J43398"/>
    </row>
    <row r="43399" spans="10:10" x14ac:dyDescent="0.3">
      <c r="J43399"/>
    </row>
    <row r="43400" spans="10:10" x14ac:dyDescent="0.3">
      <c r="J43400"/>
    </row>
    <row r="43401" spans="10:10" x14ac:dyDescent="0.3">
      <c r="J43401"/>
    </row>
    <row r="43402" spans="10:10" x14ac:dyDescent="0.3">
      <c r="J43402"/>
    </row>
    <row r="43403" spans="10:10" x14ac:dyDescent="0.3">
      <c r="J43403"/>
    </row>
    <row r="43404" spans="10:10" x14ac:dyDescent="0.3">
      <c r="J43404"/>
    </row>
    <row r="43405" spans="10:10" x14ac:dyDescent="0.3">
      <c r="J43405"/>
    </row>
    <row r="43406" spans="10:10" x14ac:dyDescent="0.3">
      <c r="J43406"/>
    </row>
    <row r="43407" spans="10:10" x14ac:dyDescent="0.3">
      <c r="J43407"/>
    </row>
    <row r="43408" spans="10:10" x14ac:dyDescent="0.3">
      <c r="J43408"/>
    </row>
    <row r="43409" spans="10:10" x14ac:dyDescent="0.3">
      <c r="J43409"/>
    </row>
    <row r="43410" spans="10:10" x14ac:dyDescent="0.3">
      <c r="J43410"/>
    </row>
    <row r="43411" spans="10:10" x14ac:dyDescent="0.3">
      <c r="J43411"/>
    </row>
    <row r="43412" spans="10:10" x14ac:dyDescent="0.3">
      <c r="J43412"/>
    </row>
    <row r="43413" spans="10:10" x14ac:dyDescent="0.3">
      <c r="J43413"/>
    </row>
    <row r="43414" spans="10:10" x14ac:dyDescent="0.3">
      <c r="J43414"/>
    </row>
    <row r="43415" spans="10:10" x14ac:dyDescent="0.3">
      <c r="J43415"/>
    </row>
    <row r="43416" spans="10:10" x14ac:dyDescent="0.3">
      <c r="J43416"/>
    </row>
    <row r="43417" spans="10:10" x14ac:dyDescent="0.3">
      <c r="J43417"/>
    </row>
    <row r="43418" spans="10:10" x14ac:dyDescent="0.3">
      <c r="J43418"/>
    </row>
    <row r="43419" spans="10:10" x14ac:dyDescent="0.3">
      <c r="J43419"/>
    </row>
    <row r="43420" spans="10:10" x14ac:dyDescent="0.3">
      <c r="J43420"/>
    </row>
    <row r="43421" spans="10:10" x14ac:dyDescent="0.3">
      <c r="J43421"/>
    </row>
    <row r="43422" spans="10:10" x14ac:dyDescent="0.3">
      <c r="J43422"/>
    </row>
    <row r="43423" spans="10:10" x14ac:dyDescent="0.3">
      <c r="J43423"/>
    </row>
    <row r="43424" spans="10:10" x14ac:dyDescent="0.3">
      <c r="J43424"/>
    </row>
    <row r="43425" spans="10:10" x14ac:dyDescent="0.3">
      <c r="J43425"/>
    </row>
    <row r="43426" spans="10:10" x14ac:dyDescent="0.3">
      <c r="J43426"/>
    </row>
    <row r="43427" spans="10:10" x14ac:dyDescent="0.3">
      <c r="J43427"/>
    </row>
    <row r="43428" spans="10:10" x14ac:dyDescent="0.3">
      <c r="J43428"/>
    </row>
    <row r="43429" spans="10:10" x14ac:dyDescent="0.3">
      <c r="J43429"/>
    </row>
    <row r="43430" spans="10:10" x14ac:dyDescent="0.3">
      <c r="J43430"/>
    </row>
    <row r="43431" spans="10:10" x14ac:dyDescent="0.3">
      <c r="J43431"/>
    </row>
    <row r="43432" spans="10:10" x14ac:dyDescent="0.3">
      <c r="J43432"/>
    </row>
    <row r="43433" spans="10:10" x14ac:dyDescent="0.3">
      <c r="J43433"/>
    </row>
    <row r="43434" spans="10:10" x14ac:dyDescent="0.3">
      <c r="J43434"/>
    </row>
    <row r="43435" spans="10:10" x14ac:dyDescent="0.3">
      <c r="J43435"/>
    </row>
    <row r="43436" spans="10:10" x14ac:dyDescent="0.3">
      <c r="J43436"/>
    </row>
    <row r="43437" spans="10:10" x14ac:dyDescent="0.3">
      <c r="J43437"/>
    </row>
    <row r="43438" spans="10:10" x14ac:dyDescent="0.3">
      <c r="J43438"/>
    </row>
    <row r="43439" spans="10:10" x14ac:dyDescent="0.3">
      <c r="J43439"/>
    </row>
    <row r="43440" spans="10:10" x14ac:dyDescent="0.3">
      <c r="J43440"/>
    </row>
    <row r="43441" spans="10:10" x14ac:dyDescent="0.3">
      <c r="J43441"/>
    </row>
    <row r="43442" spans="10:10" x14ac:dyDescent="0.3">
      <c r="J43442"/>
    </row>
    <row r="43443" spans="10:10" x14ac:dyDescent="0.3">
      <c r="J43443"/>
    </row>
    <row r="43444" spans="10:10" x14ac:dyDescent="0.3">
      <c r="J43444"/>
    </row>
    <row r="43445" spans="10:10" x14ac:dyDescent="0.3">
      <c r="J43445"/>
    </row>
    <row r="43446" spans="10:10" x14ac:dyDescent="0.3">
      <c r="J43446"/>
    </row>
    <row r="43447" spans="10:10" x14ac:dyDescent="0.3">
      <c r="J43447"/>
    </row>
    <row r="43448" spans="10:10" x14ac:dyDescent="0.3">
      <c r="J43448"/>
    </row>
    <row r="43449" spans="10:10" x14ac:dyDescent="0.3">
      <c r="J43449"/>
    </row>
    <row r="43450" spans="10:10" x14ac:dyDescent="0.3">
      <c r="J43450"/>
    </row>
    <row r="43451" spans="10:10" x14ac:dyDescent="0.3">
      <c r="J43451"/>
    </row>
    <row r="43452" spans="10:10" x14ac:dyDescent="0.3">
      <c r="J43452"/>
    </row>
    <row r="43453" spans="10:10" x14ac:dyDescent="0.3">
      <c r="J43453"/>
    </row>
    <row r="43454" spans="10:10" x14ac:dyDescent="0.3">
      <c r="J43454"/>
    </row>
    <row r="43455" spans="10:10" x14ac:dyDescent="0.3">
      <c r="J43455"/>
    </row>
    <row r="43456" spans="10:10" x14ac:dyDescent="0.3">
      <c r="J43456"/>
    </row>
    <row r="43457" spans="10:10" x14ac:dyDescent="0.3">
      <c r="J43457"/>
    </row>
    <row r="43458" spans="10:10" x14ac:dyDescent="0.3">
      <c r="J43458"/>
    </row>
    <row r="43459" spans="10:10" x14ac:dyDescent="0.3">
      <c r="J43459"/>
    </row>
    <row r="43460" spans="10:10" x14ac:dyDescent="0.3">
      <c r="J43460"/>
    </row>
    <row r="43461" spans="10:10" x14ac:dyDescent="0.3">
      <c r="J43461"/>
    </row>
    <row r="43462" spans="10:10" x14ac:dyDescent="0.3">
      <c r="J43462"/>
    </row>
    <row r="43463" spans="10:10" x14ac:dyDescent="0.3">
      <c r="J43463"/>
    </row>
    <row r="43464" spans="10:10" x14ac:dyDescent="0.3">
      <c r="J43464"/>
    </row>
    <row r="43465" spans="10:10" x14ac:dyDescent="0.3">
      <c r="J43465"/>
    </row>
    <row r="43466" spans="10:10" x14ac:dyDescent="0.3">
      <c r="J43466"/>
    </row>
    <row r="43467" spans="10:10" x14ac:dyDescent="0.3">
      <c r="J43467"/>
    </row>
    <row r="43468" spans="10:10" x14ac:dyDescent="0.3">
      <c r="J43468"/>
    </row>
    <row r="43469" spans="10:10" x14ac:dyDescent="0.3">
      <c r="J43469"/>
    </row>
    <row r="43470" spans="10:10" x14ac:dyDescent="0.3">
      <c r="J43470"/>
    </row>
    <row r="43471" spans="10:10" x14ac:dyDescent="0.3">
      <c r="J43471"/>
    </row>
    <row r="43472" spans="10:10" x14ac:dyDescent="0.3">
      <c r="J43472"/>
    </row>
    <row r="43473" spans="10:10" x14ac:dyDescent="0.3">
      <c r="J43473"/>
    </row>
    <row r="43474" spans="10:10" x14ac:dyDescent="0.3">
      <c r="J43474"/>
    </row>
    <row r="43475" spans="10:10" x14ac:dyDescent="0.3">
      <c r="J43475"/>
    </row>
    <row r="43476" spans="10:10" x14ac:dyDescent="0.3">
      <c r="J43476"/>
    </row>
    <row r="43477" spans="10:10" x14ac:dyDescent="0.3">
      <c r="J43477"/>
    </row>
    <row r="43478" spans="10:10" x14ac:dyDescent="0.3">
      <c r="J43478"/>
    </row>
    <row r="43479" spans="10:10" x14ac:dyDescent="0.3">
      <c r="J43479"/>
    </row>
    <row r="43480" spans="10:10" x14ac:dyDescent="0.3">
      <c r="J43480"/>
    </row>
    <row r="43481" spans="10:10" x14ac:dyDescent="0.3">
      <c r="J43481"/>
    </row>
    <row r="43482" spans="10:10" x14ac:dyDescent="0.3">
      <c r="J43482"/>
    </row>
    <row r="43483" spans="10:10" x14ac:dyDescent="0.3">
      <c r="J43483"/>
    </row>
    <row r="43484" spans="10:10" x14ac:dyDescent="0.3">
      <c r="J43484"/>
    </row>
    <row r="43485" spans="10:10" x14ac:dyDescent="0.3">
      <c r="J43485"/>
    </row>
    <row r="43486" spans="10:10" x14ac:dyDescent="0.3">
      <c r="J43486"/>
    </row>
    <row r="43487" spans="10:10" x14ac:dyDescent="0.3">
      <c r="J43487"/>
    </row>
    <row r="43488" spans="10:10" x14ac:dyDescent="0.3">
      <c r="J43488"/>
    </row>
    <row r="43489" spans="10:10" x14ac:dyDescent="0.3">
      <c r="J43489"/>
    </row>
    <row r="43490" spans="10:10" x14ac:dyDescent="0.3">
      <c r="J43490"/>
    </row>
    <row r="43491" spans="10:10" x14ac:dyDescent="0.3">
      <c r="J43491"/>
    </row>
    <row r="43492" spans="10:10" x14ac:dyDescent="0.3">
      <c r="J43492"/>
    </row>
    <row r="43493" spans="10:10" x14ac:dyDescent="0.3">
      <c r="J43493"/>
    </row>
    <row r="43494" spans="10:10" x14ac:dyDescent="0.3">
      <c r="J43494"/>
    </row>
    <row r="43495" spans="10:10" x14ac:dyDescent="0.3">
      <c r="J43495"/>
    </row>
    <row r="43496" spans="10:10" x14ac:dyDescent="0.3">
      <c r="J43496"/>
    </row>
    <row r="43497" spans="10:10" x14ac:dyDescent="0.3">
      <c r="J43497"/>
    </row>
    <row r="43498" spans="10:10" x14ac:dyDescent="0.3">
      <c r="J43498"/>
    </row>
    <row r="43499" spans="10:10" x14ac:dyDescent="0.3">
      <c r="J43499"/>
    </row>
    <row r="43500" spans="10:10" x14ac:dyDescent="0.3">
      <c r="J43500"/>
    </row>
    <row r="43501" spans="10:10" x14ac:dyDescent="0.3">
      <c r="J43501"/>
    </row>
    <row r="43502" spans="10:10" x14ac:dyDescent="0.3">
      <c r="J43502"/>
    </row>
    <row r="43503" spans="10:10" x14ac:dyDescent="0.3">
      <c r="J43503"/>
    </row>
    <row r="43504" spans="10:10" x14ac:dyDescent="0.3">
      <c r="J43504"/>
    </row>
    <row r="43505" spans="10:10" x14ac:dyDescent="0.3">
      <c r="J43505"/>
    </row>
    <row r="43506" spans="10:10" x14ac:dyDescent="0.3">
      <c r="J43506"/>
    </row>
    <row r="43507" spans="10:10" x14ac:dyDescent="0.3">
      <c r="J43507"/>
    </row>
    <row r="43508" spans="10:10" x14ac:dyDescent="0.3">
      <c r="J43508"/>
    </row>
    <row r="43509" spans="10:10" x14ac:dyDescent="0.3">
      <c r="J43509"/>
    </row>
    <row r="43510" spans="10:10" x14ac:dyDescent="0.3">
      <c r="J43510"/>
    </row>
    <row r="43511" spans="10:10" x14ac:dyDescent="0.3">
      <c r="J43511"/>
    </row>
    <row r="43512" spans="10:10" x14ac:dyDescent="0.3">
      <c r="J43512"/>
    </row>
    <row r="43513" spans="10:10" x14ac:dyDescent="0.3">
      <c r="J43513"/>
    </row>
    <row r="43514" spans="10:10" x14ac:dyDescent="0.3">
      <c r="J43514"/>
    </row>
    <row r="43515" spans="10:10" x14ac:dyDescent="0.3">
      <c r="J43515"/>
    </row>
    <row r="43516" spans="10:10" x14ac:dyDescent="0.3">
      <c r="J43516"/>
    </row>
    <row r="43517" spans="10:10" x14ac:dyDescent="0.3">
      <c r="J43517"/>
    </row>
    <row r="43518" spans="10:10" x14ac:dyDescent="0.3">
      <c r="J43518"/>
    </row>
    <row r="43519" spans="10:10" x14ac:dyDescent="0.3">
      <c r="J43519"/>
    </row>
    <row r="43520" spans="10:10" x14ac:dyDescent="0.3">
      <c r="J43520"/>
    </row>
    <row r="43521" spans="10:10" x14ac:dyDescent="0.3">
      <c r="J43521"/>
    </row>
    <row r="43522" spans="10:10" x14ac:dyDescent="0.3">
      <c r="J43522"/>
    </row>
    <row r="43523" spans="10:10" x14ac:dyDescent="0.3">
      <c r="J43523"/>
    </row>
    <row r="43524" spans="10:10" x14ac:dyDescent="0.3">
      <c r="J43524"/>
    </row>
    <row r="43525" spans="10:10" x14ac:dyDescent="0.3">
      <c r="J43525"/>
    </row>
    <row r="43526" spans="10:10" x14ac:dyDescent="0.3">
      <c r="J43526"/>
    </row>
    <row r="43527" spans="10:10" x14ac:dyDescent="0.3">
      <c r="J43527"/>
    </row>
    <row r="43528" spans="10:10" x14ac:dyDescent="0.3">
      <c r="J43528"/>
    </row>
    <row r="43529" spans="10:10" x14ac:dyDescent="0.3">
      <c r="J43529"/>
    </row>
    <row r="43530" spans="10:10" x14ac:dyDescent="0.3">
      <c r="J43530"/>
    </row>
    <row r="43531" spans="10:10" x14ac:dyDescent="0.3">
      <c r="J43531"/>
    </row>
    <row r="43532" spans="10:10" x14ac:dyDescent="0.3">
      <c r="J43532"/>
    </row>
    <row r="43533" spans="10:10" x14ac:dyDescent="0.3">
      <c r="J43533"/>
    </row>
    <row r="43534" spans="10:10" x14ac:dyDescent="0.3">
      <c r="J43534"/>
    </row>
    <row r="43535" spans="10:10" x14ac:dyDescent="0.3">
      <c r="J43535"/>
    </row>
    <row r="43536" spans="10:10" x14ac:dyDescent="0.3">
      <c r="J43536"/>
    </row>
    <row r="43537" spans="10:10" x14ac:dyDescent="0.3">
      <c r="J43537"/>
    </row>
    <row r="43538" spans="10:10" x14ac:dyDescent="0.3">
      <c r="J43538"/>
    </row>
    <row r="43539" spans="10:10" x14ac:dyDescent="0.3">
      <c r="J43539"/>
    </row>
    <row r="43540" spans="10:10" x14ac:dyDescent="0.3">
      <c r="J43540"/>
    </row>
    <row r="43541" spans="10:10" x14ac:dyDescent="0.3">
      <c r="J43541"/>
    </row>
    <row r="43542" spans="10:10" x14ac:dyDescent="0.3">
      <c r="J43542"/>
    </row>
    <row r="43543" spans="10:10" x14ac:dyDescent="0.3">
      <c r="J43543"/>
    </row>
    <row r="43544" spans="10:10" x14ac:dyDescent="0.3">
      <c r="J43544"/>
    </row>
    <row r="43545" spans="10:10" x14ac:dyDescent="0.3">
      <c r="J43545"/>
    </row>
    <row r="43546" spans="10:10" x14ac:dyDescent="0.3">
      <c r="J43546"/>
    </row>
    <row r="43547" spans="10:10" x14ac:dyDescent="0.3">
      <c r="J43547"/>
    </row>
    <row r="43548" spans="10:10" x14ac:dyDescent="0.3">
      <c r="J43548"/>
    </row>
    <row r="43549" spans="10:10" x14ac:dyDescent="0.3">
      <c r="J43549"/>
    </row>
    <row r="43550" spans="10:10" x14ac:dyDescent="0.3">
      <c r="J43550"/>
    </row>
    <row r="43551" spans="10:10" x14ac:dyDescent="0.3">
      <c r="J43551"/>
    </row>
    <row r="43552" spans="10:10" x14ac:dyDescent="0.3">
      <c r="J43552"/>
    </row>
    <row r="43553" spans="10:10" x14ac:dyDescent="0.3">
      <c r="J43553"/>
    </row>
    <row r="43554" spans="10:10" x14ac:dyDescent="0.3">
      <c r="J43554"/>
    </row>
    <row r="43555" spans="10:10" x14ac:dyDescent="0.3">
      <c r="J43555"/>
    </row>
    <row r="43556" spans="10:10" x14ac:dyDescent="0.3">
      <c r="J43556"/>
    </row>
    <row r="43557" spans="10:10" x14ac:dyDescent="0.3">
      <c r="J43557"/>
    </row>
    <row r="43558" spans="10:10" x14ac:dyDescent="0.3">
      <c r="J43558"/>
    </row>
    <row r="43559" spans="10:10" x14ac:dyDescent="0.3">
      <c r="J43559"/>
    </row>
    <row r="43560" spans="10:10" x14ac:dyDescent="0.3">
      <c r="J43560"/>
    </row>
    <row r="43561" spans="10:10" x14ac:dyDescent="0.3">
      <c r="J43561"/>
    </row>
    <row r="43562" spans="10:10" x14ac:dyDescent="0.3">
      <c r="J43562"/>
    </row>
    <row r="43563" spans="10:10" x14ac:dyDescent="0.3">
      <c r="J43563"/>
    </row>
    <row r="43564" spans="10:10" x14ac:dyDescent="0.3">
      <c r="J43564"/>
    </row>
    <row r="43565" spans="10:10" x14ac:dyDescent="0.3">
      <c r="J43565"/>
    </row>
    <row r="43566" spans="10:10" x14ac:dyDescent="0.3">
      <c r="J43566"/>
    </row>
    <row r="43567" spans="10:10" x14ac:dyDescent="0.3">
      <c r="J43567"/>
    </row>
    <row r="43568" spans="10:10" x14ac:dyDescent="0.3">
      <c r="J43568"/>
    </row>
    <row r="43569" spans="10:10" x14ac:dyDescent="0.3">
      <c r="J43569"/>
    </row>
    <row r="43570" spans="10:10" x14ac:dyDescent="0.3">
      <c r="J43570"/>
    </row>
    <row r="43571" spans="10:10" x14ac:dyDescent="0.3">
      <c r="J43571"/>
    </row>
    <row r="43572" spans="10:10" x14ac:dyDescent="0.3">
      <c r="J43572"/>
    </row>
    <row r="43573" spans="10:10" x14ac:dyDescent="0.3">
      <c r="J43573"/>
    </row>
    <row r="43574" spans="10:10" x14ac:dyDescent="0.3">
      <c r="J43574"/>
    </row>
    <row r="43575" spans="10:10" x14ac:dyDescent="0.3">
      <c r="J43575"/>
    </row>
    <row r="43576" spans="10:10" x14ac:dyDescent="0.3">
      <c r="J43576"/>
    </row>
    <row r="43577" spans="10:10" x14ac:dyDescent="0.3">
      <c r="J43577"/>
    </row>
    <row r="43578" spans="10:10" x14ac:dyDescent="0.3">
      <c r="J43578"/>
    </row>
    <row r="43579" spans="10:10" x14ac:dyDescent="0.3">
      <c r="J43579"/>
    </row>
    <row r="43580" spans="10:10" x14ac:dyDescent="0.3">
      <c r="J43580"/>
    </row>
    <row r="43581" spans="10:10" x14ac:dyDescent="0.3">
      <c r="J43581"/>
    </row>
    <row r="43582" spans="10:10" x14ac:dyDescent="0.3">
      <c r="J43582"/>
    </row>
    <row r="43583" spans="10:10" x14ac:dyDescent="0.3">
      <c r="J43583"/>
    </row>
    <row r="43584" spans="10:10" x14ac:dyDescent="0.3">
      <c r="J43584"/>
    </row>
    <row r="43585" spans="10:10" x14ac:dyDescent="0.3">
      <c r="J43585"/>
    </row>
    <row r="43586" spans="10:10" x14ac:dyDescent="0.3">
      <c r="J43586"/>
    </row>
    <row r="43587" spans="10:10" x14ac:dyDescent="0.3">
      <c r="J43587"/>
    </row>
    <row r="43588" spans="10:10" x14ac:dyDescent="0.3">
      <c r="J43588"/>
    </row>
    <row r="43589" spans="10:10" x14ac:dyDescent="0.3">
      <c r="J43589"/>
    </row>
    <row r="43590" spans="10:10" x14ac:dyDescent="0.3">
      <c r="J43590"/>
    </row>
    <row r="43591" spans="10:10" x14ac:dyDescent="0.3">
      <c r="J43591"/>
    </row>
    <row r="43592" spans="10:10" x14ac:dyDescent="0.3">
      <c r="J43592"/>
    </row>
    <row r="43593" spans="10:10" x14ac:dyDescent="0.3">
      <c r="J43593"/>
    </row>
    <row r="43594" spans="10:10" x14ac:dyDescent="0.3">
      <c r="J43594"/>
    </row>
    <row r="43595" spans="10:10" x14ac:dyDescent="0.3">
      <c r="J43595"/>
    </row>
    <row r="43596" spans="10:10" x14ac:dyDescent="0.3">
      <c r="J43596"/>
    </row>
    <row r="43597" spans="10:10" x14ac:dyDescent="0.3">
      <c r="J43597"/>
    </row>
    <row r="43598" spans="10:10" x14ac:dyDescent="0.3">
      <c r="J43598"/>
    </row>
    <row r="43599" spans="10:10" x14ac:dyDescent="0.3">
      <c r="J43599"/>
    </row>
    <row r="43600" spans="10:10" x14ac:dyDescent="0.3">
      <c r="J43600"/>
    </row>
    <row r="43601" spans="10:10" x14ac:dyDescent="0.3">
      <c r="J43601"/>
    </row>
    <row r="43602" spans="10:10" x14ac:dyDescent="0.3">
      <c r="J43602"/>
    </row>
    <row r="43603" spans="10:10" x14ac:dyDescent="0.3">
      <c r="J43603"/>
    </row>
    <row r="43604" spans="10:10" x14ac:dyDescent="0.3">
      <c r="J43604"/>
    </row>
    <row r="43605" spans="10:10" x14ac:dyDescent="0.3">
      <c r="J43605"/>
    </row>
    <row r="43606" spans="10:10" x14ac:dyDescent="0.3">
      <c r="J43606"/>
    </row>
    <row r="43607" spans="10:10" x14ac:dyDescent="0.3">
      <c r="J43607"/>
    </row>
    <row r="43608" spans="10:10" x14ac:dyDescent="0.3">
      <c r="J43608"/>
    </row>
    <row r="43609" spans="10:10" x14ac:dyDescent="0.3">
      <c r="J43609"/>
    </row>
    <row r="43610" spans="10:10" x14ac:dyDescent="0.3">
      <c r="J43610"/>
    </row>
    <row r="43611" spans="10:10" x14ac:dyDescent="0.3">
      <c r="J43611"/>
    </row>
    <row r="43612" spans="10:10" x14ac:dyDescent="0.3">
      <c r="J43612"/>
    </row>
    <row r="43613" spans="10:10" x14ac:dyDescent="0.3">
      <c r="J43613"/>
    </row>
    <row r="43614" spans="10:10" x14ac:dyDescent="0.3">
      <c r="J43614"/>
    </row>
    <row r="43615" spans="10:10" x14ac:dyDescent="0.3">
      <c r="J43615"/>
    </row>
    <row r="43616" spans="10:10" x14ac:dyDescent="0.3">
      <c r="J43616"/>
    </row>
    <row r="43617" spans="10:10" x14ac:dyDescent="0.3">
      <c r="J43617"/>
    </row>
    <row r="43618" spans="10:10" x14ac:dyDescent="0.3">
      <c r="J43618"/>
    </row>
    <row r="43619" spans="10:10" x14ac:dyDescent="0.3">
      <c r="J43619"/>
    </row>
    <row r="43620" spans="10:10" x14ac:dyDescent="0.3">
      <c r="J43620"/>
    </row>
    <row r="43621" spans="10:10" x14ac:dyDescent="0.3">
      <c r="J43621"/>
    </row>
    <row r="43622" spans="10:10" x14ac:dyDescent="0.3">
      <c r="J43622"/>
    </row>
    <row r="43623" spans="10:10" x14ac:dyDescent="0.3">
      <c r="J43623"/>
    </row>
    <row r="43624" spans="10:10" x14ac:dyDescent="0.3">
      <c r="J43624"/>
    </row>
    <row r="43625" spans="10:10" x14ac:dyDescent="0.3">
      <c r="J43625"/>
    </row>
    <row r="43626" spans="10:10" x14ac:dyDescent="0.3">
      <c r="J43626"/>
    </row>
    <row r="43627" spans="10:10" x14ac:dyDescent="0.3">
      <c r="J43627"/>
    </row>
    <row r="43628" spans="10:10" x14ac:dyDescent="0.3">
      <c r="J43628"/>
    </row>
    <row r="43629" spans="10:10" x14ac:dyDescent="0.3">
      <c r="J43629"/>
    </row>
    <row r="43630" spans="10:10" x14ac:dyDescent="0.3">
      <c r="J43630"/>
    </row>
    <row r="43631" spans="10:10" x14ac:dyDescent="0.3">
      <c r="J43631"/>
    </row>
    <row r="43632" spans="10:10" x14ac:dyDescent="0.3">
      <c r="J43632"/>
    </row>
    <row r="43633" spans="10:10" x14ac:dyDescent="0.3">
      <c r="J43633"/>
    </row>
    <row r="43634" spans="10:10" x14ac:dyDescent="0.3">
      <c r="J43634"/>
    </row>
    <row r="43635" spans="10:10" x14ac:dyDescent="0.3">
      <c r="J43635"/>
    </row>
    <row r="43636" spans="10:10" x14ac:dyDescent="0.3">
      <c r="J43636"/>
    </row>
    <row r="43637" spans="10:10" x14ac:dyDescent="0.3">
      <c r="J43637"/>
    </row>
    <row r="43638" spans="10:10" x14ac:dyDescent="0.3">
      <c r="J43638"/>
    </row>
    <row r="43639" spans="10:10" x14ac:dyDescent="0.3">
      <c r="J43639"/>
    </row>
    <row r="43640" spans="10:10" x14ac:dyDescent="0.3">
      <c r="J43640"/>
    </row>
    <row r="43641" spans="10:10" x14ac:dyDescent="0.3">
      <c r="J43641"/>
    </row>
    <row r="43642" spans="10:10" x14ac:dyDescent="0.3">
      <c r="J43642"/>
    </row>
    <row r="43643" spans="10:10" x14ac:dyDescent="0.3">
      <c r="J43643"/>
    </row>
    <row r="43644" spans="10:10" x14ac:dyDescent="0.3">
      <c r="J43644"/>
    </row>
    <row r="43645" spans="10:10" x14ac:dyDescent="0.3">
      <c r="J43645"/>
    </row>
    <row r="43646" spans="10:10" x14ac:dyDescent="0.3">
      <c r="J43646"/>
    </row>
    <row r="43647" spans="10:10" x14ac:dyDescent="0.3">
      <c r="J43647"/>
    </row>
    <row r="43648" spans="10:10" x14ac:dyDescent="0.3">
      <c r="J43648"/>
    </row>
    <row r="43649" spans="10:10" x14ac:dyDescent="0.3">
      <c r="J43649"/>
    </row>
    <row r="43650" spans="10:10" x14ac:dyDescent="0.3">
      <c r="J43650"/>
    </row>
    <row r="43651" spans="10:10" x14ac:dyDescent="0.3">
      <c r="J43651"/>
    </row>
    <row r="43652" spans="10:10" x14ac:dyDescent="0.3">
      <c r="J43652"/>
    </row>
    <row r="43653" spans="10:10" x14ac:dyDescent="0.3">
      <c r="J43653"/>
    </row>
    <row r="43654" spans="10:10" x14ac:dyDescent="0.3">
      <c r="J43654"/>
    </row>
    <row r="43655" spans="10:10" x14ac:dyDescent="0.3">
      <c r="J43655"/>
    </row>
    <row r="43656" spans="10:10" x14ac:dyDescent="0.3">
      <c r="J43656"/>
    </row>
    <row r="43657" spans="10:10" x14ac:dyDescent="0.3">
      <c r="J43657"/>
    </row>
    <row r="43658" spans="10:10" x14ac:dyDescent="0.3">
      <c r="J43658"/>
    </row>
    <row r="43659" spans="10:10" x14ac:dyDescent="0.3">
      <c r="J43659"/>
    </row>
    <row r="43660" spans="10:10" x14ac:dyDescent="0.3">
      <c r="J43660"/>
    </row>
    <row r="43661" spans="10:10" x14ac:dyDescent="0.3">
      <c r="J43661"/>
    </row>
    <row r="43662" spans="10:10" x14ac:dyDescent="0.3">
      <c r="J43662"/>
    </row>
    <row r="43663" spans="10:10" x14ac:dyDescent="0.3">
      <c r="J43663"/>
    </row>
    <row r="43664" spans="10:10" x14ac:dyDescent="0.3">
      <c r="J43664"/>
    </row>
    <row r="43665" spans="10:10" x14ac:dyDescent="0.3">
      <c r="J43665"/>
    </row>
    <row r="43666" spans="10:10" x14ac:dyDescent="0.3">
      <c r="J43666"/>
    </row>
    <row r="43667" spans="10:10" x14ac:dyDescent="0.3">
      <c r="J43667"/>
    </row>
    <row r="43668" spans="10:10" x14ac:dyDescent="0.3">
      <c r="J43668"/>
    </row>
    <row r="43669" spans="10:10" x14ac:dyDescent="0.3">
      <c r="J43669"/>
    </row>
    <row r="43670" spans="10:10" x14ac:dyDescent="0.3">
      <c r="J43670"/>
    </row>
    <row r="43671" spans="10:10" x14ac:dyDescent="0.3">
      <c r="J43671"/>
    </row>
    <row r="43672" spans="10:10" x14ac:dyDescent="0.3">
      <c r="J43672"/>
    </row>
    <row r="43673" spans="10:10" x14ac:dyDescent="0.3">
      <c r="J43673"/>
    </row>
    <row r="43674" spans="10:10" x14ac:dyDescent="0.3">
      <c r="J43674"/>
    </row>
    <row r="43675" spans="10:10" x14ac:dyDescent="0.3">
      <c r="J43675"/>
    </row>
    <row r="43676" spans="10:10" x14ac:dyDescent="0.3">
      <c r="J43676"/>
    </row>
    <row r="43677" spans="10:10" x14ac:dyDescent="0.3">
      <c r="J43677"/>
    </row>
    <row r="43678" spans="10:10" x14ac:dyDescent="0.3">
      <c r="J43678"/>
    </row>
    <row r="43679" spans="10:10" x14ac:dyDescent="0.3">
      <c r="J43679"/>
    </row>
    <row r="43680" spans="10:10" x14ac:dyDescent="0.3">
      <c r="J43680"/>
    </row>
    <row r="43681" spans="10:10" x14ac:dyDescent="0.3">
      <c r="J43681"/>
    </row>
    <row r="43682" spans="10:10" x14ac:dyDescent="0.3">
      <c r="J43682"/>
    </row>
    <row r="43683" spans="10:10" x14ac:dyDescent="0.3">
      <c r="J43683"/>
    </row>
    <row r="43684" spans="10:10" x14ac:dyDescent="0.3">
      <c r="J43684"/>
    </row>
    <row r="43685" spans="10:10" x14ac:dyDescent="0.3">
      <c r="J43685"/>
    </row>
    <row r="43686" spans="10:10" x14ac:dyDescent="0.3">
      <c r="J43686"/>
    </row>
    <row r="43687" spans="10:10" x14ac:dyDescent="0.3">
      <c r="J43687"/>
    </row>
    <row r="43688" spans="10:10" x14ac:dyDescent="0.3">
      <c r="J43688"/>
    </row>
    <row r="43689" spans="10:10" x14ac:dyDescent="0.3">
      <c r="J43689"/>
    </row>
    <row r="43690" spans="10:10" x14ac:dyDescent="0.3">
      <c r="J43690"/>
    </row>
    <row r="43691" spans="10:10" x14ac:dyDescent="0.3">
      <c r="J43691"/>
    </row>
    <row r="43692" spans="10:10" x14ac:dyDescent="0.3">
      <c r="J43692"/>
    </row>
    <row r="43693" spans="10:10" x14ac:dyDescent="0.3">
      <c r="J43693"/>
    </row>
    <row r="43694" spans="10:10" x14ac:dyDescent="0.3">
      <c r="J43694"/>
    </row>
    <row r="43695" spans="10:10" x14ac:dyDescent="0.3">
      <c r="J43695"/>
    </row>
    <row r="43696" spans="10:10" x14ac:dyDescent="0.3">
      <c r="J43696"/>
    </row>
    <row r="43697" spans="10:10" x14ac:dyDescent="0.3">
      <c r="J43697"/>
    </row>
    <row r="43698" spans="10:10" x14ac:dyDescent="0.3">
      <c r="J43698"/>
    </row>
    <row r="43699" spans="10:10" x14ac:dyDescent="0.3">
      <c r="J43699"/>
    </row>
    <row r="43700" spans="10:10" x14ac:dyDescent="0.3">
      <c r="J43700"/>
    </row>
    <row r="43701" spans="10:10" x14ac:dyDescent="0.3">
      <c r="J43701"/>
    </row>
    <row r="43702" spans="10:10" x14ac:dyDescent="0.3">
      <c r="J43702"/>
    </row>
    <row r="43703" spans="10:10" x14ac:dyDescent="0.3">
      <c r="J43703"/>
    </row>
    <row r="43704" spans="10:10" x14ac:dyDescent="0.3">
      <c r="J43704"/>
    </row>
    <row r="43705" spans="10:10" x14ac:dyDescent="0.3">
      <c r="J43705"/>
    </row>
    <row r="43706" spans="10:10" x14ac:dyDescent="0.3">
      <c r="J43706"/>
    </row>
    <row r="43707" spans="10:10" x14ac:dyDescent="0.3">
      <c r="J43707"/>
    </row>
    <row r="43708" spans="10:10" x14ac:dyDescent="0.3">
      <c r="J43708"/>
    </row>
    <row r="43709" spans="10:10" x14ac:dyDescent="0.3">
      <c r="J43709"/>
    </row>
    <row r="43710" spans="10:10" x14ac:dyDescent="0.3">
      <c r="J43710"/>
    </row>
    <row r="43711" spans="10:10" x14ac:dyDescent="0.3">
      <c r="J43711"/>
    </row>
    <row r="43712" spans="10:10" x14ac:dyDescent="0.3">
      <c r="J43712"/>
    </row>
    <row r="43713" spans="10:10" x14ac:dyDescent="0.3">
      <c r="J43713"/>
    </row>
    <row r="43714" spans="10:10" x14ac:dyDescent="0.3">
      <c r="J43714"/>
    </row>
    <row r="43715" spans="10:10" x14ac:dyDescent="0.3">
      <c r="J43715"/>
    </row>
    <row r="43716" spans="10:10" x14ac:dyDescent="0.3">
      <c r="J43716"/>
    </row>
    <row r="43717" spans="10:10" x14ac:dyDescent="0.3">
      <c r="J43717"/>
    </row>
    <row r="43718" spans="10:10" x14ac:dyDescent="0.3">
      <c r="J43718"/>
    </row>
    <row r="43719" spans="10:10" x14ac:dyDescent="0.3">
      <c r="J43719"/>
    </row>
    <row r="43720" spans="10:10" x14ac:dyDescent="0.3">
      <c r="J43720"/>
    </row>
    <row r="43721" spans="10:10" x14ac:dyDescent="0.3">
      <c r="J43721"/>
    </row>
    <row r="43722" spans="10:10" x14ac:dyDescent="0.3">
      <c r="J43722"/>
    </row>
    <row r="43723" spans="10:10" x14ac:dyDescent="0.3">
      <c r="J43723"/>
    </row>
    <row r="43724" spans="10:10" x14ac:dyDescent="0.3">
      <c r="J43724"/>
    </row>
    <row r="43725" spans="10:10" x14ac:dyDescent="0.3">
      <c r="J43725"/>
    </row>
    <row r="43726" spans="10:10" x14ac:dyDescent="0.3">
      <c r="J43726"/>
    </row>
    <row r="43727" spans="10:10" x14ac:dyDescent="0.3">
      <c r="J43727"/>
    </row>
    <row r="43728" spans="10:10" x14ac:dyDescent="0.3">
      <c r="J43728"/>
    </row>
    <row r="43729" spans="10:10" x14ac:dyDescent="0.3">
      <c r="J43729"/>
    </row>
    <row r="43730" spans="10:10" x14ac:dyDescent="0.3">
      <c r="J43730"/>
    </row>
    <row r="43731" spans="10:10" x14ac:dyDescent="0.3">
      <c r="J43731"/>
    </row>
    <row r="43732" spans="10:10" x14ac:dyDescent="0.3">
      <c r="J43732"/>
    </row>
    <row r="43733" spans="10:10" x14ac:dyDescent="0.3">
      <c r="J43733"/>
    </row>
    <row r="43734" spans="10:10" x14ac:dyDescent="0.3">
      <c r="J43734"/>
    </row>
    <row r="43735" spans="10:10" x14ac:dyDescent="0.3">
      <c r="J43735"/>
    </row>
    <row r="43736" spans="10:10" x14ac:dyDescent="0.3">
      <c r="J43736"/>
    </row>
    <row r="43737" spans="10:10" x14ac:dyDescent="0.3">
      <c r="J43737"/>
    </row>
    <row r="43738" spans="10:10" x14ac:dyDescent="0.3">
      <c r="J43738"/>
    </row>
    <row r="43739" spans="10:10" x14ac:dyDescent="0.3">
      <c r="J43739"/>
    </row>
    <row r="43740" spans="10:10" x14ac:dyDescent="0.3">
      <c r="J43740"/>
    </row>
    <row r="43741" spans="10:10" x14ac:dyDescent="0.3">
      <c r="J43741"/>
    </row>
    <row r="43742" spans="10:10" x14ac:dyDescent="0.3">
      <c r="J43742"/>
    </row>
    <row r="43743" spans="10:10" x14ac:dyDescent="0.3">
      <c r="J43743"/>
    </row>
    <row r="43744" spans="10:10" x14ac:dyDescent="0.3">
      <c r="J43744"/>
    </row>
    <row r="43745" spans="10:10" x14ac:dyDescent="0.3">
      <c r="J43745"/>
    </row>
    <row r="43746" spans="10:10" x14ac:dyDescent="0.3">
      <c r="J43746"/>
    </row>
    <row r="43747" spans="10:10" x14ac:dyDescent="0.3">
      <c r="J43747"/>
    </row>
    <row r="43748" spans="10:10" x14ac:dyDescent="0.3">
      <c r="J43748"/>
    </row>
    <row r="43749" spans="10:10" x14ac:dyDescent="0.3">
      <c r="J43749"/>
    </row>
    <row r="43750" spans="10:10" x14ac:dyDescent="0.3">
      <c r="J43750"/>
    </row>
    <row r="43751" spans="10:10" x14ac:dyDescent="0.3">
      <c r="J43751"/>
    </row>
    <row r="43752" spans="10:10" x14ac:dyDescent="0.3">
      <c r="J43752"/>
    </row>
    <row r="43753" spans="10:10" x14ac:dyDescent="0.3">
      <c r="J43753"/>
    </row>
    <row r="43754" spans="10:10" x14ac:dyDescent="0.3">
      <c r="J43754"/>
    </row>
    <row r="43755" spans="10:10" x14ac:dyDescent="0.3">
      <c r="J43755"/>
    </row>
    <row r="43756" spans="10:10" x14ac:dyDescent="0.3">
      <c r="J43756"/>
    </row>
    <row r="43757" spans="10:10" x14ac:dyDescent="0.3">
      <c r="J43757"/>
    </row>
    <row r="43758" spans="10:10" x14ac:dyDescent="0.3">
      <c r="J43758"/>
    </row>
    <row r="43759" spans="10:10" x14ac:dyDescent="0.3">
      <c r="J43759"/>
    </row>
    <row r="43760" spans="10:10" x14ac:dyDescent="0.3">
      <c r="J43760"/>
    </row>
    <row r="43761" spans="10:10" x14ac:dyDescent="0.3">
      <c r="J43761"/>
    </row>
    <row r="43762" spans="10:10" x14ac:dyDescent="0.3">
      <c r="J43762"/>
    </row>
    <row r="43763" spans="10:10" x14ac:dyDescent="0.3">
      <c r="J43763"/>
    </row>
    <row r="43764" spans="10:10" x14ac:dyDescent="0.3">
      <c r="J43764"/>
    </row>
    <row r="43765" spans="10:10" x14ac:dyDescent="0.3">
      <c r="J43765"/>
    </row>
    <row r="43766" spans="10:10" x14ac:dyDescent="0.3">
      <c r="J43766"/>
    </row>
    <row r="43767" spans="10:10" x14ac:dyDescent="0.3">
      <c r="J43767"/>
    </row>
    <row r="43768" spans="10:10" x14ac:dyDescent="0.3">
      <c r="J43768"/>
    </row>
    <row r="43769" spans="10:10" x14ac:dyDescent="0.3">
      <c r="J43769"/>
    </row>
    <row r="43770" spans="10:10" x14ac:dyDescent="0.3">
      <c r="J43770"/>
    </row>
    <row r="43771" spans="10:10" x14ac:dyDescent="0.3">
      <c r="J43771"/>
    </row>
    <row r="43772" spans="10:10" x14ac:dyDescent="0.3">
      <c r="J43772"/>
    </row>
    <row r="43773" spans="10:10" x14ac:dyDescent="0.3">
      <c r="J43773"/>
    </row>
    <row r="43774" spans="10:10" x14ac:dyDescent="0.3">
      <c r="J43774"/>
    </row>
    <row r="43775" spans="10:10" x14ac:dyDescent="0.3">
      <c r="J43775"/>
    </row>
    <row r="43776" spans="10:10" x14ac:dyDescent="0.3">
      <c r="J43776"/>
    </row>
    <row r="43777" spans="10:10" x14ac:dyDescent="0.3">
      <c r="J43777"/>
    </row>
    <row r="43778" spans="10:10" x14ac:dyDescent="0.3">
      <c r="J43778"/>
    </row>
    <row r="43779" spans="10:10" x14ac:dyDescent="0.3">
      <c r="J43779"/>
    </row>
    <row r="43780" spans="10:10" x14ac:dyDescent="0.3">
      <c r="J43780"/>
    </row>
    <row r="43781" spans="10:10" x14ac:dyDescent="0.3">
      <c r="J43781"/>
    </row>
    <row r="43782" spans="10:10" x14ac:dyDescent="0.3">
      <c r="J43782"/>
    </row>
    <row r="43783" spans="10:10" x14ac:dyDescent="0.3">
      <c r="J43783"/>
    </row>
    <row r="43784" spans="10:10" x14ac:dyDescent="0.3">
      <c r="J43784"/>
    </row>
    <row r="43785" spans="10:10" x14ac:dyDescent="0.3">
      <c r="J43785"/>
    </row>
    <row r="43786" spans="10:10" x14ac:dyDescent="0.3">
      <c r="J43786"/>
    </row>
    <row r="43787" spans="10:10" x14ac:dyDescent="0.3">
      <c r="J43787"/>
    </row>
    <row r="43788" spans="10:10" x14ac:dyDescent="0.3">
      <c r="J43788"/>
    </row>
    <row r="43789" spans="10:10" x14ac:dyDescent="0.3">
      <c r="J43789"/>
    </row>
    <row r="43790" spans="10:10" x14ac:dyDescent="0.3">
      <c r="J43790"/>
    </row>
    <row r="43791" spans="10:10" x14ac:dyDescent="0.3">
      <c r="J43791"/>
    </row>
    <row r="43792" spans="10:10" x14ac:dyDescent="0.3">
      <c r="J43792"/>
    </row>
    <row r="43793" spans="10:10" x14ac:dyDescent="0.3">
      <c r="J43793"/>
    </row>
    <row r="43794" spans="10:10" x14ac:dyDescent="0.3">
      <c r="J43794"/>
    </row>
    <row r="43795" spans="10:10" x14ac:dyDescent="0.3">
      <c r="J43795"/>
    </row>
    <row r="43796" spans="10:10" x14ac:dyDescent="0.3">
      <c r="J43796"/>
    </row>
    <row r="43797" spans="10:10" x14ac:dyDescent="0.3">
      <c r="J43797"/>
    </row>
    <row r="43798" spans="10:10" x14ac:dyDescent="0.3">
      <c r="J43798"/>
    </row>
    <row r="43799" spans="10:10" x14ac:dyDescent="0.3">
      <c r="J43799"/>
    </row>
    <row r="43800" spans="10:10" x14ac:dyDescent="0.3">
      <c r="J43800"/>
    </row>
    <row r="43801" spans="10:10" x14ac:dyDescent="0.3">
      <c r="J43801"/>
    </row>
    <row r="43802" spans="10:10" x14ac:dyDescent="0.3">
      <c r="J43802"/>
    </row>
    <row r="43803" spans="10:10" x14ac:dyDescent="0.3">
      <c r="J43803"/>
    </row>
    <row r="43804" spans="10:10" x14ac:dyDescent="0.3">
      <c r="J43804"/>
    </row>
    <row r="43805" spans="10:10" x14ac:dyDescent="0.3">
      <c r="J43805"/>
    </row>
    <row r="43806" spans="10:10" x14ac:dyDescent="0.3">
      <c r="J43806"/>
    </row>
    <row r="43807" spans="10:10" x14ac:dyDescent="0.3">
      <c r="J43807"/>
    </row>
    <row r="43808" spans="10:10" x14ac:dyDescent="0.3">
      <c r="J43808"/>
    </row>
    <row r="43809" spans="10:10" x14ac:dyDescent="0.3">
      <c r="J43809"/>
    </row>
    <row r="43810" spans="10:10" x14ac:dyDescent="0.3">
      <c r="J43810"/>
    </row>
    <row r="43811" spans="10:10" x14ac:dyDescent="0.3">
      <c r="J43811"/>
    </row>
    <row r="43812" spans="10:10" x14ac:dyDescent="0.3">
      <c r="J43812"/>
    </row>
    <row r="43813" spans="10:10" x14ac:dyDescent="0.3">
      <c r="J43813"/>
    </row>
    <row r="43814" spans="10:10" x14ac:dyDescent="0.3">
      <c r="J43814"/>
    </row>
    <row r="43815" spans="10:10" x14ac:dyDescent="0.3">
      <c r="J43815"/>
    </row>
    <row r="43816" spans="10:10" x14ac:dyDescent="0.3">
      <c r="J43816"/>
    </row>
    <row r="43817" spans="10:10" x14ac:dyDescent="0.3">
      <c r="J43817"/>
    </row>
    <row r="43818" spans="10:10" x14ac:dyDescent="0.3">
      <c r="J43818"/>
    </row>
    <row r="43819" spans="10:10" x14ac:dyDescent="0.3">
      <c r="J43819"/>
    </row>
    <row r="43820" spans="10:10" x14ac:dyDescent="0.3">
      <c r="J43820"/>
    </row>
    <row r="43821" spans="10:10" x14ac:dyDescent="0.3">
      <c r="J43821"/>
    </row>
    <row r="43822" spans="10:10" x14ac:dyDescent="0.3">
      <c r="J43822"/>
    </row>
    <row r="43823" spans="10:10" x14ac:dyDescent="0.3">
      <c r="J43823"/>
    </row>
    <row r="43824" spans="10:10" x14ac:dyDescent="0.3">
      <c r="J43824"/>
    </row>
    <row r="43825" spans="10:10" x14ac:dyDescent="0.3">
      <c r="J43825"/>
    </row>
    <row r="43826" spans="10:10" x14ac:dyDescent="0.3">
      <c r="J43826"/>
    </row>
    <row r="43827" spans="10:10" x14ac:dyDescent="0.3">
      <c r="J43827"/>
    </row>
    <row r="43828" spans="10:10" x14ac:dyDescent="0.3">
      <c r="J43828"/>
    </row>
    <row r="43829" spans="10:10" x14ac:dyDescent="0.3">
      <c r="J43829"/>
    </row>
    <row r="43830" spans="10:10" x14ac:dyDescent="0.3">
      <c r="J43830"/>
    </row>
    <row r="43831" spans="10:10" x14ac:dyDescent="0.3">
      <c r="J43831"/>
    </row>
    <row r="43832" spans="10:10" x14ac:dyDescent="0.3">
      <c r="J43832"/>
    </row>
    <row r="43833" spans="10:10" x14ac:dyDescent="0.3">
      <c r="J43833"/>
    </row>
    <row r="43834" spans="10:10" x14ac:dyDescent="0.3">
      <c r="J43834"/>
    </row>
    <row r="43835" spans="10:10" x14ac:dyDescent="0.3">
      <c r="J43835"/>
    </row>
    <row r="43836" spans="10:10" x14ac:dyDescent="0.3">
      <c r="J43836"/>
    </row>
    <row r="43837" spans="10:10" x14ac:dyDescent="0.3">
      <c r="J43837"/>
    </row>
    <row r="43838" spans="10:10" x14ac:dyDescent="0.3">
      <c r="J43838"/>
    </row>
    <row r="43839" spans="10:10" x14ac:dyDescent="0.3">
      <c r="J43839"/>
    </row>
    <row r="43840" spans="10:10" x14ac:dyDescent="0.3">
      <c r="J43840"/>
    </row>
    <row r="43841" spans="10:10" x14ac:dyDescent="0.3">
      <c r="J43841"/>
    </row>
    <row r="43842" spans="10:10" x14ac:dyDescent="0.3">
      <c r="J43842"/>
    </row>
    <row r="43843" spans="10:10" x14ac:dyDescent="0.3">
      <c r="J43843"/>
    </row>
    <row r="43844" spans="10:10" x14ac:dyDescent="0.3">
      <c r="J43844"/>
    </row>
    <row r="43845" spans="10:10" x14ac:dyDescent="0.3">
      <c r="J43845"/>
    </row>
    <row r="43846" spans="10:10" x14ac:dyDescent="0.3">
      <c r="J43846"/>
    </row>
    <row r="43847" spans="10:10" x14ac:dyDescent="0.3">
      <c r="J43847"/>
    </row>
    <row r="43848" spans="10:10" x14ac:dyDescent="0.3">
      <c r="J43848"/>
    </row>
    <row r="43849" spans="10:10" x14ac:dyDescent="0.3">
      <c r="J43849"/>
    </row>
    <row r="43850" spans="10:10" x14ac:dyDescent="0.3">
      <c r="J43850"/>
    </row>
    <row r="43851" spans="10:10" x14ac:dyDescent="0.3">
      <c r="J43851"/>
    </row>
    <row r="43852" spans="10:10" x14ac:dyDescent="0.3">
      <c r="J43852"/>
    </row>
    <row r="43853" spans="10:10" x14ac:dyDescent="0.3">
      <c r="J43853"/>
    </row>
    <row r="43854" spans="10:10" x14ac:dyDescent="0.3">
      <c r="J43854"/>
    </row>
    <row r="43855" spans="10:10" x14ac:dyDescent="0.3">
      <c r="J43855"/>
    </row>
    <row r="43856" spans="10:10" x14ac:dyDescent="0.3">
      <c r="J43856"/>
    </row>
    <row r="43857" spans="10:10" x14ac:dyDescent="0.3">
      <c r="J43857"/>
    </row>
    <row r="43858" spans="10:10" x14ac:dyDescent="0.3">
      <c r="J43858"/>
    </row>
    <row r="43859" spans="10:10" x14ac:dyDescent="0.3">
      <c r="J43859"/>
    </row>
    <row r="43860" spans="10:10" x14ac:dyDescent="0.3">
      <c r="J43860"/>
    </row>
    <row r="43861" spans="10:10" x14ac:dyDescent="0.3">
      <c r="J43861"/>
    </row>
    <row r="43862" spans="10:10" x14ac:dyDescent="0.3">
      <c r="J43862"/>
    </row>
    <row r="43863" spans="10:10" x14ac:dyDescent="0.3">
      <c r="J43863"/>
    </row>
    <row r="43864" spans="10:10" x14ac:dyDescent="0.3">
      <c r="J43864"/>
    </row>
    <row r="43865" spans="10:10" x14ac:dyDescent="0.3">
      <c r="J43865"/>
    </row>
    <row r="43866" spans="10:10" x14ac:dyDescent="0.3">
      <c r="J43866"/>
    </row>
    <row r="43867" spans="10:10" x14ac:dyDescent="0.3">
      <c r="J43867"/>
    </row>
    <row r="43868" spans="10:10" x14ac:dyDescent="0.3">
      <c r="J43868"/>
    </row>
    <row r="43869" spans="10:10" x14ac:dyDescent="0.3">
      <c r="J43869"/>
    </row>
    <row r="43870" spans="10:10" x14ac:dyDescent="0.3">
      <c r="J43870"/>
    </row>
    <row r="43871" spans="10:10" x14ac:dyDescent="0.3">
      <c r="J43871"/>
    </row>
    <row r="43872" spans="10:10" x14ac:dyDescent="0.3">
      <c r="J43872"/>
    </row>
    <row r="43873" spans="10:10" x14ac:dyDescent="0.3">
      <c r="J43873"/>
    </row>
    <row r="43874" spans="10:10" x14ac:dyDescent="0.3">
      <c r="J43874"/>
    </row>
    <row r="43875" spans="10:10" x14ac:dyDescent="0.3">
      <c r="J43875"/>
    </row>
    <row r="43876" spans="10:10" x14ac:dyDescent="0.3">
      <c r="J43876"/>
    </row>
    <row r="43877" spans="10:10" x14ac:dyDescent="0.3">
      <c r="J43877"/>
    </row>
    <row r="43878" spans="10:10" x14ac:dyDescent="0.3">
      <c r="J43878"/>
    </row>
    <row r="43879" spans="10:10" x14ac:dyDescent="0.3">
      <c r="J43879"/>
    </row>
    <row r="43880" spans="10:10" x14ac:dyDescent="0.3">
      <c r="J43880"/>
    </row>
    <row r="43881" spans="10:10" x14ac:dyDescent="0.3">
      <c r="J43881"/>
    </row>
    <row r="43882" spans="10:10" x14ac:dyDescent="0.3">
      <c r="J43882"/>
    </row>
    <row r="43883" spans="10:10" x14ac:dyDescent="0.3">
      <c r="J43883"/>
    </row>
    <row r="43884" spans="10:10" x14ac:dyDescent="0.3">
      <c r="J43884"/>
    </row>
    <row r="43885" spans="10:10" x14ac:dyDescent="0.3">
      <c r="J43885"/>
    </row>
    <row r="43886" spans="10:10" x14ac:dyDescent="0.3">
      <c r="J43886"/>
    </row>
    <row r="43887" spans="10:10" x14ac:dyDescent="0.3">
      <c r="J43887"/>
    </row>
    <row r="43888" spans="10:10" x14ac:dyDescent="0.3">
      <c r="J43888"/>
    </row>
    <row r="43889" spans="10:10" x14ac:dyDescent="0.3">
      <c r="J43889"/>
    </row>
    <row r="43890" spans="10:10" x14ac:dyDescent="0.3">
      <c r="J43890"/>
    </row>
    <row r="43891" spans="10:10" x14ac:dyDescent="0.3">
      <c r="J43891"/>
    </row>
    <row r="43892" spans="10:10" x14ac:dyDescent="0.3">
      <c r="J43892"/>
    </row>
    <row r="43893" spans="10:10" x14ac:dyDescent="0.3">
      <c r="J43893"/>
    </row>
    <row r="43894" spans="10:10" x14ac:dyDescent="0.3">
      <c r="J43894"/>
    </row>
    <row r="43895" spans="10:10" x14ac:dyDescent="0.3">
      <c r="J43895"/>
    </row>
    <row r="43896" spans="10:10" x14ac:dyDescent="0.3">
      <c r="J43896"/>
    </row>
    <row r="43897" spans="10:10" x14ac:dyDescent="0.3">
      <c r="J43897"/>
    </row>
    <row r="43898" spans="10:10" x14ac:dyDescent="0.3">
      <c r="J43898"/>
    </row>
    <row r="43899" spans="10:10" x14ac:dyDescent="0.3">
      <c r="J43899"/>
    </row>
    <row r="43900" spans="10:10" x14ac:dyDescent="0.3">
      <c r="J43900"/>
    </row>
    <row r="43901" spans="10:10" x14ac:dyDescent="0.3">
      <c r="J43901"/>
    </row>
    <row r="43902" spans="10:10" x14ac:dyDescent="0.3">
      <c r="J43902"/>
    </row>
    <row r="43903" spans="10:10" x14ac:dyDescent="0.3">
      <c r="J43903"/>
    </row>
    <row r="43904" spans="10:10" x14ac:dyDescent="0.3">
      <c r="J43904"/>
    </row>
    <row r="43905" spans="10:10" x14ac:dyDescent="0.3">
      <c r="J43905"/>
    </row>
    <row r="43906" spans="10:10" x14ac:dyDescent="0.3">
      <c r="J43906"/>
    </row>
    <row r="43907" spans="10:10" x14ac:dyDescent="0.3">
      <c r="J43907"/>
    </row>
    <row r="43908" spans="10:10" x14ac:dyDescent="0.3">
      <c r="J43908"/>
    </row>
    <row r="43909" spans="10:10" x14ac:dyDescent="0.3">
      <c r="J43909"/>
    </row>
    <row r="43910" spans="10:10" x14ac:dyDescent="0.3">
      <c r="J43910"/>
    </row>
    <row r="43911" spans="10:10" x14ac:dyDescent="0.3">
      <c r="J43911"/>
    </row>
    <row r="43912" spans="10:10" x14ac:dyDescent="0.3">
      <c r="J43912"/>
    </row>
    <row r="43913" spans="10:10" x14ac:dyDescent="0.3">
      <c r="J43913"/>
    </row>
    <row r="43914" spans="10:10" x14ac:dyDescent="0.3">
      <c r="J43914"/>
    </row>
    <row r="43915" spans="10:10" x14ac:dyDescent="0.3">
      <c r="J43915"/>
    </row>
    <row r="43916" spans="10:10" x14ac:dyDescent="0.3">
      <c r="J43916"/>
    </row>
    <row r="43917" spans="10:10" x14ac:dyDescent="0.3">
      <c r="J43917"/>
    </row>
    <row r="43918" spans="10:10" x14ac:dyDescent="0.3">
      <c r="J43918"/>
    </row>
    <row r="43919" spans="10:10" x14ac:dyDescent="0.3">
      <c r="J43919"/>
    </row>
    <row r="43920" spans="10:10" x14ac:dyDescent="0.3">
      <c r="J43920"/>
    </row>
    <row r="43921" spans="10:10" x14ac:dyDescent="0.3">
      <c r="J43921"/>
    </row>
    <row r="43922" spans="10:10" x14ac:dyDescent="0.3">
      <c r="J43922"/>
    </row>
    <row r="43923" spans="10:10" x14ac:dyDescent="0.3">
      <c r="J43923"/>
    </row>
    <row r="43924" spans="10:10" x14ac:dyDescent="0.3">
      <c r="J43924"/>
    </row>
    <row r="43925" spans="10:10" x14ac:dyDescent="0.3">
      <c r="J43925"/>
    </row>
    <row r="43926" spans="10:10" x14ac:dyDescent="0.3">
      <c r="J43926"/>
    </row>
    <row r="43927" spans="10:10" x14ac:dyDescent="0.3">
      <c r="J43927"/>
    </row>
    <row r="43928" spans="10:10" x14ac:dyDescent="0.3">
      <c r="J43928"/>
    </row>
    <row r="43929" spans="10:10" x14ac:dyDescent="0.3">
      <c r="J43929"/>
    </row>
    <row r="43930" spans="10:10" x14ac:dyDescent="0.3">
      <c r="J43930"/>
    </row>
    <row r="43931" spans="10:10" x14ac:dyDescent="0.3">
      <c r="J43931"/>
    </row>
    <row r="43932" spans="10:10" x14ac:dyDescent="0.3">
      <c r="J43932"/>
    </row>
    <row r="43933" spans="10:10" x14ac:dyDescent="0.3">
      <c r="J43933"/>
    </row>
    <row r="43934" spans="10:10" x14ac:dyDescent="0.3">
      <c r="J43934"/>
    </row>
    <row r="43935" spans="10:10" x14ac:dyDescent="0.3">
      <c r="J43935"/>
    </row>
    <row r="43936" spans="10:10" x14ac:dyDescent="0.3">
      <c r="J43936"/>
    </row>
    <row r="43937" spans="10:10" x14ac:dyDescent="0.3">
      <c r="J43937"/>
    </row>
    <row r="43938" spans="10:10" x14ac:dyDescent="0.3">
      <c r="J43938"/>
    </row>
    <row r="43939" spans="10:10" x14ac:dyDescent="0.3">
      <c r="J43939"/>
    </row>
    <row r="43940" spans="10:10" x14ac:dyDescent="0.3">
      <c r="J43940"/>
    </row>
    <row r="43941" spans="10:10" x14ac:dyDescent="0.3">
      <c r="J43941"/>
    </row>
    <row r="43942" spans="10:10" x14ac:dyDescent="0.3">
      <c r="J43942"/>
    </row>
    <row r="43943" spans="10:10" x14ac:dyDescent="0.3">
      <c r="J43943"/>
    </row>
    <row r="43944" spans="10:10" x14ac:dyDescent="0.3">
      <c r="J43944"/>
    </row>
    <row r="43945" spans="10:10" x14ac:dyDescent="0.3">
      <c r="J43945"/>
    </row>
    <row r="43946" spans="10:10" x14ac:dyDescent="0.3">
      <c r="J43946"/>
    </row>
    <row r="43947" spans="10:10" x14ac:dyDescent="0.3">
      <c r="J43947"/>
    </row>
    <row r="43948" spans="10:10" x14ac:dyDescent="0.3">
      <c r="J43948"/>
    </row>
    <row r="43949" spans="10:10" x14ac:dyDescent="0.3">
      <c r="J43949"/>
    </row>
    <row r="43950" spans="10:10" x14ac:dyDescent="0.3">
      <c r="J43950"/>
    </row>
    <row r="43951" spans="10:10" x14ac:dyDescent="0.3">
      <c r="J43951"/>
    </row>
    <row r="43952" spans="10:10" x14ac:dyDescent="0.3">
      <c r="J43952"/>
    </row>
    <row r="43953" spans="10:10" x14ac:dyDescent="0.3">
      <c r="J43953"/>
    </row>
    <row r="43954" spans="10:10" x14ac:dyDescent="0.3">
      <c r="J43954"/>
    </row>
    <row r="43955" spans="10:10" x14ac:dyDescent="0.3">
      <c r="J43955"/>
    </row>
    <row r="43956" spans="10:10" x14ac:dyDescent="0.3">
      <c r="J43956"/>
    </row>
    <row r="43957" spans="10:10" x14ac:dyDescent="0.3">
      <c r="J43957"/>
    </row>
    <row r="43958" spans="10:10" x14ac:dyDescent="0.3">
      <c r="J43958"/>
    </row>
    <row r="43959" spans="10:10" x14ac:dyDescent="0.3">
      <c r="J43959"/>
    </row>
    <row r="43960" spans="10:10" x14ac:dyDescent="0.3">
      <c r="J43960"/>
    </row>
    <row r="43961" spans="10:10" x14ac:dyDescent="0.3">
      <c r="J43961"/>
    </row>
    <row r="43962" spans="10:10" x14ac:dyDescent="0.3">
      <c r="J43962"/>
    </row>
    <row r="43963" spans="10:10" x14ac:dyDescent="0.3">
      <c r="J43963"/>
    </row>
    <row r="43964" spans="10:10" x14ac:dyDescent="0.3">
      <c r="J43964"/>
    </row>
    <row r="43965" spans="10:10" x14ac:dyDescent="0.3">
      <c r="J43965"/>
    </row>
    <row r="43966" spans="10:10" x14ac:dyDescent="0.3">
      <c r="J43966"/>
    </row>
    <row r="43967" spans="10:10" x14ac:dyDescent="0.3">
      <c r="J43967"/>
    </row>
    <row r="43968" spans="10:10" x14ac:dyDescent="0.3">
      <c r="J43968"/>
    </row>
    <row r="43969" spans="10:10" x14ac:dyDescent="0.3">
      <c r="J43969"/>
    </row>
    <row r="43970" spans="10:10" x14ac:dyDescent="0.3">
      <c r="J43970"/>
    </row>
    <row r="43971" spans="10:10" x14ac:dyDescent="0.3">
      <c r="J43971"/>
    </row>
    <row r="43972" spans="10:10" x14ac:dyDescent="0.3">
      <c r="J43972"/>
    </row>
    <row r="43973" spans="10:10" x14ac:dyDescent="0.3">
      <c r="J43973"/>
    </row>
    <row r="43974" spans="10:10" x14ac:dyDescent="0.3">
      <c r="J43974"/>
    </row>
    <row r="43975" spans="10:10" x14ac:dyDescent="0.3">
      <c r="J43975"/>
    </row>
    <row r="43976" spans="10:10" x14ac:dyDescent="0.3">
      <c r="J43976"/>
    </row>
    <row r="43977" spans="10:10" x14ac:dyDescent="0.3">
      <c r="J43977"/>
    </row>
    <row r="43978" spans="10:10" x14ac:dyDescent="0.3">
      <c r="J43978"/>
    </row>
    <row r="43979" spans="10:10" x14ac:dyDescent="0.3">
      <c r="J43979"/>
    </row>
    <row r="43980" spans="10:10" x14ac:dyDescent="0.3">
      <c r="J43980"/>
    </row>
    <row r="43981" spans="10:10" x14ac:dyDescent="0.3">
      <c r="J43981"/>
    </row>
    <row r="43982" spans="10:10" x14ac:dyDescent="0.3">
      <c r="J43982"/>
    </row>
    <row r="43983" spans="10:10" x14ac:dyDescent="0.3">
      <c r="J43983"/>
    </row>
    <row r="43984" spans="10:10" x14ac:dyDescent="0.3">
      <c r="J43984"/>
    </row>
    <row r="43985" spans="10:10" x14ac:dyDescent="0.3">
      <c r="J43985"/>
    </row>
    <row r="43986" spans="10:10" x14ac:dyDescent="0.3">
      <c r="J43986"/>
    </row>
    <row r="43987" spans="10:10" x14ac:dyDescent="0.3">
      <c r="J43987"/>
    </row>
    <row r="43988" spans="10:10" x14ac:dyDescent="0.3">
      <c r="J43988"/>
    </row>
    <row r="43989" spans="10:10" x14ac:dyDescent="0.3">
      <c r="J43989"/>
    </row>
    <row r="43990" spans="10:10" x14ac:dyDescent="0.3">
      <c r="J43990"/>
    </row>
    <row r="43991" spans="10:10" x14ac:dyDescent="0.3">
      <c r="J43991"/>
    </row>
    <row r="43992" spans="10:10" x14ac:dyDescent="0.3">
      <c r="J43992"/>
    </row>
    <row r="43993" spans="10:10" x14ac:dyDescent="0.3">
      <c r="J43993"/>
    </row>
    <row r="43994" spans="10:10" x14ac:dyDescent="0.3">
      <c r="J43994"/>
    </row>
    <row r="43995" spans="10:10" x14ac:dyDescent="0.3">
      <c r="J43995"/>
    </row>
    <row r="43996" spans="10:10" x14ac:dyDescent="0.3">
      <c r="J43996"/>
    </row>
    <row r="43997" spans="10:10" x14ac:dyDescent="0.3">
      <c r="J43997"/>
    </row>
    <row r="43998" spans="10:10" x14ac:dyDescent="0.3">
      <c r="J43998"/>
    </row>
    <row r="43999" spans="10:10" x14ac:dyDescent="0.3">
      <c r="J43999"/>
    </row>
    <row r="44000" spans="10:10" x14ac:dyDescent="0.3">
      <c r="J44000"/>
    </row>
    <row r="44001" spans="10:10" x14ac:dyDescent="0.3">
      <c r="J44001"/>
    </row>
    <row r="44002" spans="10:10" x14ac:dyDescent="0.3">
      <c r="J44002"/>
    </row>
    <row r="44003" spans="10:10" x14ac:dyDescent="0.3">
      <c r="J44003"/>
    </row>
    <row r="44004" spans="10:10" x14ac:dyDescent="0.3">
      <c r="J44004"/>
    </row>
    <row r="44005" spans="10:10" x14ac:dyDescent="0.3">
      <c r="J44005"/>
    </row>
    <row r="44006" spans="10:10" x14ac:dyDescent="0.3">
      <c r="J44006"/>
    </row>
    <row r="44007" spans="10:10" x14ac:dyDescent="0.3">
      <c r="J44007"/>
    </row>
    <row r="44008" spans="10:10" x14ac:dyDescent="0.3">
      <c r="J44008"/>
    </row>
    <row r="44009" spans="10:10" x14ac:dyDescent="0.3">
      <c r="J44009"/>
    </row>
    <row r="44010" spans="10:10" x14ac:dyDescent="0.3">
      <c r="J44010"/>
    </row>
    <row r="44011" spans="10:10" x14ac:dyDescent="0.3">
      <c r="J44011"/>
    </row>
    <row r="44012" spans="10:10" x14ac:dyDescent="0.3">
      <c r="J44012"/>
    </row>
    <row r="44013" spans="10:10" x14ac:dyDescent="0.3">
      <c r="J44013"/>
    </row>
    <row r="44014" spans="10:10" x14ac:dyDescent="0.3">
      <c r="J44014"/>
    </row>
    <row r="44015" spans="10:10" x14ac:dyDescent="0.3">
      <c r="J44015"/>
    </row>
    <row r="44016" spans="10:10" x14ac:dyDescent="0.3">
      <c r="J44016"/>
    </row>
    <row r="44017" spans="10:10" x14ac:dyDescent="0.3">
      <c r="J44017"/>
    </row>
    <row r="44018" spans="10:10" x14ac:dyDescent="0.3">
      <c r="J44018"/>
    </row>
    <row r="44019" spans="10:10" x14ac:dyDescent="0.3">
      <c r="J44019"/>
    </row>
    <row r="44020" spans="10:10" x14ac:dyDescent="0.3">
      <c r="J44020"/>
    </row>
    <row r="44021" spans="10:10" x14ac:dyDescent="0.3">
      <c r="J44021"/>
    </row>
    <row r="44022" spans="10:10" x14ac:dyDescent="0.3">
      <c r="J44022"/>
    </row>
    <row r="44023" spans="10:10" x14ac:dyDescent="0.3">
      <c r="J44023"/>
    </row>
    <row r="44024" spans="10:10" x14ac:dyDescent="0.3">
      <c r="J44024"/>
    </row>
    <row r="44025" spans="10:10" x14ac:dyDescent="0.3">
      <c r="J44025"/>
    </row>
    <row r="44026" spans="10:10" x14ac:dyDescent="0.3">
      <c r="J44026"/>
    </row>
    <row r="44027" spans="10:10" x14ac:dyDescent="0.3">
      <c r="J44027"/>
    </row>
    <row r="44028" spans="10:10" x14ac:dyDescent="0.3">
      <c r="J44028"/>
    </row>
    <row r="44029" spans="10:10" x14ac:dyDescent="0.3">
      <c r="J44029"/>
    </row>
    <row r="44030" spans="10:10" x14ac:dyDescent="0.3">
      <c r="J44030"/>
    </row>
    <row r="44031" spans="10:10" x14ac:dyDescent="0.3">
      <c r="J44031"/>
    </row>
    <row r="44032" spans="10:10" x14ac:dyDescent="0.3">
      <c r="J44032"/>
    </row>
    <row r="44033" spans="10:10" x14ac:dyDescent="0.3">
      <c r="J44033"/>
    </row>
    <row r="44034" spans="10:10" x14ac:dyDescent="0.3">
      <c r="J44034"/>
    </row>
    <row r="44035" spans="10:10" x14ac:dyDescent="0.3">
      <c r="J44035"/>
    </row>
    <row r="44036" spans="10:10" x14ac:dyDescent="0.3">
      <c r="J44036"/>
    </row>
    <row r="44037" spans="10:10" x14ac:dyDescent="0.3">
      <c r="J44037"/>
    </row>
    <row r="44038" spans="10:10" x14ac:dyDescent="0.3">
      <c r="J44038"/>
    </row>
    <row r="44039" spans="10:10" x14ac:dyDescent="0.3">
      <c r="J44039"/>
    </row>
    <row r="44040" spans="10:10" x14ac:dyDescent="0.3">
      <c r="J44040"/>
    </row>
    <row r="44041" spans="10:10" x14ac:dyDescent="0.3">
      <c r="J44041"/>
    </row>
    <row r="44042" spans="10:10" x14ac:dyDescent="0.3">
      <c r="J44042"/>
    </row>
    <row r="44043" spans="10:10" x14ac:dyDescent="0.3">
      <c r="J44043"/>
    </row>
    <row r="44044" spans="10:10" x14ac:dyDescent="0.3">
      <c r="J44044"/>
    </row>
    <row r="44045" spans="10:10" x14ac:dyDescent="0.3">
      <c r="J44045"/>
    </row>
    <row r="44046" spans="10:10" x14ac:dyDescent="0.3">
      <c r="J44046"/>
    </row>
    <row r="44047" spans="10:10" x14ac:dyDescent="0.3">
      <c r="J44047"/>
    </row>
    <row r="44048" spans="10:10" x14ac:dyDescent="0.3">
      <c r="J44048"/>
    </row>
    <row r="44049" spans="10:10" x14ac:dyDescent="0.3">
      <c r="J44049"/>
    </row>
    <row r="44050" spans="10:10" x14ac:dyDescent="0.3">
      <c r="J44050"/>
    </row>
    <row r="44051" spans="10:10" x14ac:dyDescent="0.3">
      <c r="J44051"/>
    </row>
    <row r="44052" spans="10:10" x14ac:dyDescent="0.3">
      <c r="J44052"/>
    </row>
    <row r="44053" spans="10:10" x14ac:dyDescent="0.3">
      <c r="J44053"/>
    </row>
    <row r="44054" spans="10:10" x14ac:dyDescent="0.3">
      <c r="J44054"/>
    </row>
    <row r="44055" spans="10:10" x14ac:dyDescent="0.3">
      <c r="J44055"/>
    </row>
    <row r="44056" spans="10:10" x14ac:dyDescent="0.3">
      <c r="J44056"/>
    </row>
    <row r="44057" spans="10:10" x14ac:dyDescent="0.3">
      <c r="J44057"/>
    </row>
    <row r="44058" spans="10:10" x14ac:dyDescent="0.3">
      <c r="J44058"/>
    </row>
    <row r="44059" spans="10:10" x14ac:dyDescent="0.3">
      <c r="J44059"/>
    </row>
    <row r="44060" spans="10:10" x14ac:dyDescent="0.3">
      <c r="J44060"/>
    </row>
    <row r="44061" spans="10:10" x14ac:dyDescent="0.3">
      <c r="J44061"/>
    </row>
    <row r="44062" spans="10:10" x14ac:dyDescent="0.3">
      <c r="J44062"/>
    </row>
    <row r="44063" spans="10:10" x14ac:dyDescent="0.3">
      <c r="J44063"/>
    </row>
    <row r="44064" spans="10:10" x14ac:dyDescent="0.3">
      <c r="J44064"/>
    </row>
    <row r="44065" spans="10:10" x14ac:dyDescent="0.3">
      <c r="J44065"/>
    </row>
    <row r="44066" spans="10:10" x14ac:dyDescent="0.3">
      <c r="J44066"/>
    </row>
    <row r="44067" spans="10:10" x14ac:dyDescent="0.3">
      <c r="J44067"/>
    </row>
    <row r="44068" spans="10:10" x14ac:dyDescent="0.3">
      <c r="J44068"/>
    </row>
    <row r="44069" spans="10:10" x14ac:dyDescent="0.3">
      <c r="J44069"/>
    </row>
    <row r="44070" spans="10:10" x14ac:dyDescent="0.3">
      <c r="J44070"/>
    </row>
    <row r="44071" spans="10:10" x14ac:dyDescent="0.3">
      <c r="J44071"/>
    </row>
    <row r="44072" spans="10:10" x14ac:dyDescent="0.3">
      <c r="J44072"/>
    </row>
    <row r="44073" spans="10:10" x14ac:dyDescent="0.3">
      <c r="J44073"/>
    </row>
    <row r="44074" spans="10:10" x14ac:dyDescent="0.3">
      <c r="J44074"/>
    </row>
    <row r="44075" spans="10:10" x14ac:dyDescent="0.3">
      <c r="J44075"/>
    </row>
    <row r="44076" spans="10:10" x14ac:dyDescent="0.3">
      <c r="J44076"/>
    </row>
    <row r="44077" spans="10:10" x14ac:dyDescent="0.3">
      <c r="J44077"/>
    </row>
    <row r="44078" spans="10:10" x14ac:dyDescent="0.3">
      <c r="J44078"/>
    </row>
    <row r="44079" spans="10:10" x14ac:dyDescent="0.3">
      <c r="J44079"/>
    </row>
    <row r="44080" spans="10:10" x14ac:dyDescent="0.3">
      <c r="J44080"/>
    </row>
    <row r="44081" spans="10:10" x14ac:dyDescent="0.3">
      <c r="J44081"/>
    </row>
    <row r="44082" spans="10:10" x14ac:dyDescent="0.3">
      <c r="J44082"/>
    </row>
    <row r="44083" spans="10:10" x14ac:dyDescent="0.3">
      <c r="J44083"/>
    </row>
    <row r="44084" spans="10:10" x14ac:dyDescent="0.3">
      <c r="J44084"/>
    </row>
    <row r="44085" spans="10:10" x14ac:dyDescent="0.3">
      <c r="J44085"/>
    </row>
    <row r="44086" spans="10:10" x14ac:dyDescent="0.3">
      <c r="J44086"/>
    </row>
    <row r="44087" spans="10:10" x14ac:dyDescent="0.3">
      <c r="J44087"/>
    </row>
    <row r="44088" spans="10:10" x14ac:dyDescent="0.3">
      <c r="J44088"/>
    </row>
    <row r="44089" spans="10:10" x14ac:dyDescent="0.3">
      <c r="J44089"/>
    </row>
    <row r="44090" spans="10:10" x14ac:dyDescent="0.3">
      <c r="J44090"/>
    </row>
    <row r="44091" spans="10:10" x14ac:dyDescent="0.3">
      <c r="J44091"/>
    </row>
    <row r="44092" spans="10:10" x14ac:dyDescent="0.3">
      <c r="J44092"/>
    </row>
    <row r="44093" spans="10:10" x14ac:dyDescent="0.3">
      <c r="J44093"/>
    </row>
    <row r="44094" spans="10:10" x14ac:dyDescent="0.3">
      <c r="J44094"/>
    </row>
    <row r="44095" spans="10:10" x14ac:dyDescent="0.3">
      <c r="J44095"/>
    </row>
    <row r="44096" spans="10:10" x14ac:dyDescent="0.3">
      <c r="J44096"/>
    </row>
    <row r="44097" spans="10:10" x14ac:dyDescent="0.3">
      <c r="J44097"/>
    </row>
    <row r="44098" spans="10:10" x14ac:dyDescent="0.3">
      <c r="J44098"/>
    </row>
    <row r="44099" spans="10:10" x14ac:dyDescent="0.3">
      <c r="J44099"/>
    </row>
    <row r="44100" spans="10:10" x14ac:dyDescent="0.3">
      <c r="J44100"/>
    </row>
    <row r="44101" spans="10:10" x14ac:dyDescent="0.3">
      <c r="J44101"/>
    </row>
    <row r="44102" spans="10:10" x14ac:dyDescent="0.3">
      <c r="J44102"/>
    </row>
    <row r="44103" spans="10:10" x14ac:dyDescent="0.3">
      <c r="J44103"/>
    </row>
    <row r="44104" spans="10:10" x14ac:dyDescent="0.3">
      <c r="J44104"/>
    </row>
    <row r="44105" spans="10:10" x14ac:dyDescent="0.3">
      <c r="J44105"/>
    </row>
    <row r="44106" spans="10:10" x14ac:dyDescent="0.3">
      <c r="J44106"/>
    </row>
    <row r="44107" spans="10:10" x14ac:dyDescent="0.3">
      <c r="J44107"/>
    </row>
    <row r="44108" spans="10:10" x14ac:dyDescent="0.3">
      <c r="J44108"/>
    </row>
    <row r="44109" spans="10:10" x14ac:dyDescent="0.3">
      <c r="J44109"/>
    </row>
    <row r="44110" spans="10:10" x14ac:dyDescent="0.3">
      <c r="J44110"/>
    </row>
    <row r="44111" spans="10:10" x14ac:dyDescent="0.3">
      <c r="J44111"/>
    </row>
    <row r="44112" spans="10:10" x14ac:dyDescent="0.3">
      <c r="J44112"/>
    </row>
    <row r="44113" spans="10:10" x14ac:dyDescent="0.3">
      <c r="J44113"/>
    </row>
    <row r="44114" spans="10:10" x14ac:dyDescent="0.3">
      <c r="J44114"/>
    </row>
    <row r="44115" spans="10:10" x14ac:dyDescent="0.3">
      <c r="J44115"/>
    </row>
    <row r="44116" spans="10:10" x14ac:dyDescent="0.3">
      <c r="J44116"/>
    </row>
    <row r="44117" spans="10:10" x14ac:dyDescent="0.3">
      <c r="J44117"/>
    </row>
    <row r="44118" spans="10:10" x14ac:dyDescent="0.3">
      <c r="J44118"/>
    </row>
    <row r="44119" spans="10:10" x14ac:dyDescent="0.3">
      <c r="J44119"/>
    </row>
    <row r="44120" spans="10:10" x14ac:dyDescent="0.3">
      <c r="J44120"/>
    </row>
    <row r="44121" spans="10:10" x14ac:dyDescent="0.3">
      <c r="J44121"/>
    </row>
    <row r="44122" spans="10:10" x14ac:dyDescent="0.3">
      <c r="J44122"/>
    </row>
    <row r="44123" spans="10:10" x14ac:dyDescent="0.3">
      <c r="J44123"/>
    </row>
    <row r="44124" spans="10:10" x14ac:dyDescent="0.3">
      <c r="J44124"/>
    </row>
    <row r="44125" spans="10:10" x14ac:dyDescent="0.3">
      <c r="J44125"/>
    </row>
    <row r="44126" spans="10:10" x14ac:dyDescent="0.3">
      <c r="J44126"/>
    </row>
    <row r="44127" spans="10:10" x14ac:dyDescent="0.3">
      <c r="J44127"/>
    </row>
    <row r="44128" spans="10:10" x14ac:dyDescent="0.3">
      <c r="J44128"/>
    </row>
    <row r="44129" spans="10:10" x14ac:dyDescent="0.3">
      <c r="J44129"/>
    </row>
    <row r="44130" spans="10:10" x14ac:dyDescent="0.3">
      <c r="J44130"/>
    </row>
    <row r="44131" spans="10:10" x14ac:dyDescent="0.3">
      <c r="J44131"/>
    </row>
    <row r="44132" spans="10:10" x14ac:dyDescent="0.3">
      <c r="J44132"/>
    </row>
    <row r="44133" spans="10:10" x14ac:dyDescent="0.3">
      <c r="J44133"/>
    </row>
    <row r="44134" spans="10:10" x14ac:dyDescent="0.3">
      <c r="J44134"/>
    </row>
    <row r="44135" spans="10:10" x14ac:dyDescent="0.3">
      <c r="J44135"/>
    </row>
    <row r="44136" spans="10:10" x14ac:dyDescent="0.3">
      <c r="J44136"/>
    </row>
    <row r="44137" spans="10:10" x14ac:dyDescent="0.3">
      <c r="J44137"/>
    </row>
    <row r="44138" spans="10:10" x14ac:dyDescent="0.3">
      <c r="J44138"/>
    </row>
    <row r="44139" spans="10:10" x14ac:dyDescent="0.3">
      <c r="J44139"/>
    </row>
    <row r="44140" spans="10:10" x14ac:dyDescent="0.3">
      <c r="J44140"/>
    </row>
    <row r="44141" spans="10:10" x14ac:dyDescent="0.3">
      <c r="J44141"/>
    </row>
    <row r="44142" spans="10:10" x14ac:dyDescent="0.3">
      <c r="J44142"/>
    </row>
    <row r="44143" spans="10:10" x14ac:dyDescent="0.3">
      <c r="J44143"/>
    </row>
    <row r="44144" spans="10:10" x14ac:dyDescent="0.3">
      <c r="J44144"/>
    </row>
    <row r="44145" spans="10:10" x14ac:dyDescent="0.3">
      <c r="J44145"/>
    </row>
    <row r="44146" spans="10:10" x14ac:dyDescent="0.3">
      <c r="J44146"/>
    </row>
    <row r="44147" spans="10:10" x14ac:dyDescent="0.3">
      <c r="J44147"/>
    </row>
    <row r="44148" spans="10:10" x14ac:dyDescent="0.3">
      <c r="J44148"/>
    </row>
    <row r="44149" spans="10:10" x14ac:dyDescent="0.3">
      <c r="J44149"/>
    </row>
    <row r="44150" spans="10:10" x14ac:dyDescent="0.3">
      <c r="J44150"/>
    </row>
    <row r="44151" spans="10:10" x14ac:dyDescent="0.3">
      <c r="J44151"/>
    </row>
    <row r="44152" spans="10:10" x14ac:dyDescent="0.3">
      <c r="J44152"/>
    </row>
    <row r="44153" spans="10:10" x14ac:dyDescent="0.3">
      <c r="J44153"/>
    </row>
    <row r="44154" spans="10:10" x14ac:dyDescent="0.3">
      <c r="J44154"/>
    </row>
    <row r="44155" spans="10:10" x14ac:dyDescent="0.3">
      <c r="J44155"/>
    </row>
    <row r="44156" spans="10:10" x14ac:dyDescent="0.3">
      <c r="J44156"/>
    </row>
    <row r="44157" spans="10:10" x14ac:dyDescent="0.3">
      <c r="J44157"/>
    </row>
    <row r="44158" spans="10:10" x14ac:dyDescent="0.3">
      <c r="J44158"/>
    </row>
    <row r="44159" spans="10:10" x14ac:dyDescent="0.3">
      <c r="J44159"/>
    </row>
    <row r="44160" spans="10:10" x14ac:dyDescent="0.3">
      <c r="J44160"/>
    </row>
    <row r="44161" spans="10:10" x14ac:dyDescent="0.3">
      <c r="J44161"/>
    </row>
    <row r="44162" spans="10:10" x14ac:dyDescent="0.3">
      <c r="J44162"/>
    </row>
    <row r="44163" spans="10:10" x14ac:dyDescent="0.3">
      <c r="J44163"/>
    </row>
    <row r="44164" spans="10:10" x14ac:dyDescent="0.3">
      <c r="J44164"/>
    </row>
    <row r="44165" spans="10:10" x14ac:dyDescent="0.3">
      <c r="J44165"/>
    </row>
    <row r="44166" spans="10:10" x14ac:dyDescent="0.3">
      <c r="J44166"/>
    </row>
    <row r="44167" spans="10:10" x14ac:dyDescent="0.3">
      <c r="J44167"/>
    </row>
    <row r="44168" spans="10:10" x14ac:dyDescent="0.3">
      <c r="J44168"/>
    </row>
    <row r="44169" spans="10:10" x14ac:dyDescent="0.3">
      <c r="J44169"/>
    </row>
    <row r="44170" spans="10:10" x14ac:dyDescent="0.3">
      <c r="J44170"/>
    </row>
    <row r="44171" spans="10:10" x14ac:dyDescent="0.3">
      <c r="J44171"/>
    </row>
    <row r="44172" spans="10:10" x14ac:dyDescent="0.3">
      <c r="J44172"/>
    </row>
    <row r="44173" spans="10:10" x14ac:dyDescent="0.3">
      <c r="J44173"/>
    </row>
    <row r="44174" spans="10:10" x14ac:dyDescent="0.3">
      <c r="J44174"/>
    </row>
    <row r="44175" spans="10:10" x14ac:dyDescent="0.3">
      <c r="J44175"/>
    </row>
    <row r="44176" spans="10:10" x14ac:dyDescent="0.3">
      <c r="J44176"/>
    </row>
    <row r="44177" spans="10:10" x14ac:dyDescent="0.3">
      <c r="J44177"/>
    </row>
    <row r="44178" spans="10:10" x14ac:dyDescent="0.3">
      <c r="J44178"/>
    </row>
    <row r="44179" spans="10:10" x14ac:dyDescent="0.3">
      <c r="J44179"/>
    </row>
    <row r="44180" spans="10:10" x14ac:dyDescent="0.3">
      <c r="J44180"/>
    </row>
    <row r="44181" spans="10:10" x14ac:dyDescent="0.3">
      <c r="J44181"/>
    </row>
    <row r="44182" spans="10:10" x14ac:dyDescent="0.3">
      <c r="J44182"/>
    </row>
    <row r="44183" spans="10:10" x14ac:dyDescent="0.3">
      <c r="J44183"/>
    </row>
    <row r="44184" spans="10:10" x14ac:dyDescent="0.3">
      <c r="J44184"/>
    </row>
    <row r="44185" spans="10:10" x14ac:dyDescent="0.3">
      <c r="J44185"/>
    </row>
    <row r="44186" spans="10:10" x14ac:dyDescent="0.3">
      <c r="J44186"/>
    </row>
    <row r="44187" spans="10:10" x14ac:dyDescent="0.3">
      <c r="J44187"/>
    </row>
    <row r="44188" spans="10:10" x14ac:dyDescent="0.3">
      <c r="J44188"/>
    </row>
    <row r="44189" spans="10:10" x14ac:dyDescent="0.3">
      <c r="J44189"/>
    </row>
    <row r="44190" spans="10:10" x14ac:dyDescent="0.3">
      <c r="J44190"/>
    </row>
    <row r="44191" spans="10:10" x14ac:dyDescent="0.3">
      <c r="J44191"/>
    </row>
    <row r="44192" spans="10:10" x14ac:dyDescent="0.3">
      <c r="J44192"/>
    </row>
    <row r="44193" spans="10:10" x14ac:dyDescent="0.3">
      <c r="J44193"/>
    </row>
    <row r="44194" spans="10:10" x14ac:dyDescent="0.3">
      <c r="J44194"/>
    </row>
    <row r="44195" spans="10:10" x14ac:dyDescent="0.3">
      <c r="J44195"/>
    </row>
    <row r="44196" spans="10:10" x14ac:dyDescent="0.3">
      <c r="J44196"/>
    </row>
    <row r="44197" spans="10:10" x14ac:dyDescent="0.3">
      <c r="J44197"/>
    </row>
    <row r="44198" spans="10:10" x14ac:dyDescent="0.3">
      <c r="J44198"/>
    </row>
    <row r="44199" spans="10:10" x14ac:dyDescent="0.3">
      <c r="J44199"/>
    </row>
    <row r="44200" spans="10:10" x14ac:dyDescent="0.3">
      <c r="J44200"/>
    </row>
    <row r="44201" spans="10:10" x14ac:dyDescent="0.3">
      <c r="J44201"/>
    </row>
    <row r="44202" spans="10:10" x14ac:dyDescent="0.3">
      <c r="J44202"/>
    </row>
    <row r="44203" spans="10:10" x14ac:dyDescent="0.3">
      <c r="J44203"/>
    </row>
    <row r="44204" spans="10:10" x14ac:dyDescent="0.3">
      <c r="J44204"/>
    </row>
    <row r="44205" spans="10:10" x14ac:dyDescent="0.3">
      <c r="J44205"/>
    </row>
    <row r="44206" spans="10:10" x14ac:dyDescent="0.3">
      <c r="J44206"/>
    </row>
    <row r="44207" spans="10:10" x14ac:dyDescent="0.3">
      <c r="J44207"/>
    </row>
    <row r="44208" spans="10:10" x14ac:dyDescent="0.3">
      <c r="J44208"/>
    </row>
    <row r="44209" spans="10:10" x14ac:dyDescent="0.3">
      <c r="J44209"/>
    </row>
    <row r="44210" spans="10:10" x14ac:dyDescent="0.3">
      <c r="J44210"/>
    </row>
    <row r="44211" spans="10:10" x14ac:dyDescent="0.3">
      <c r="J44211"/>
    </row>
    <row r="44212" spans="10:10" x14ac:dyDescent="0.3">
      <c r="J44212"/>
    </row>
    <row r="44213" spans="10:10" x14ac:dyDescent="0.3">
      <c r="J44213"/>
    </row>
    <row r="44214" spans="10:10" x14ac:dyDescent="0.3">
      <c r="J44214"/>
    </row>
    <row r="44215" spans="10:10" x14ac:dyDescent="0.3">
      <c r="J44215"/>
    </row>
    <row r="44216" spans="10:10" x14ac:dyDescent="0.3">
      <c r="J44216"/>
    </row>
    <row r="44217" spans="10:10" x14ac:dyDescent="0.3">
      <c r="J44217"/>
    </row>
    <row r="44218" spans="10:10" x14ac:dyDescent="0.3">
      <c r="J44218"/>
    </row>
    <row r="44219" spans="10:10" x14ac:dyDescent="0.3">
      <c r="J44219"/>
    </row>
    <row r="44220" spans="10:10" x14ac:dyDescent="0.3">
      <c r="J44220"/>
    </row>
    <row r="44221" spans="10:10" x14ac:dyDescent="0.3">
      <c r="J44221"/>
    </row>
    <row r="44222" spans="10:10" x14ac:dyDescent="0.3">
      <c r="J44222"/>
    </row>
    <row r="44223" spans="10:10" x14ac:dyDescent="0.3">
      <c r="J44223"/>
    </row>
    <row r="44224" spans="10:10" x14ac:dyDescent="0.3">
      <c r="J44224"/>
    </row>
    <row r="44225" spans="10:10" x14ac:dyDescent="0.3">
      <c r="J44225"/>
    </row>
    <row r="44226" spans="10:10" x14ac:dyDescent="0.3">
      <c r="J44226"/>
    </row>
    <row r="44227" spans="10:10" x14ac:dyDescent="0.3">
      <c r="J44227"/>
    </row>
    <row r="44228" spans="10:10" x14ac:dyDescent="0.3">
      <c r="J44228"/>
    </row>
    <row r="44229" spans="10:10" x14ac:dyDescent="0.3">
      <c r="J44229"/>
    </row>
    <row r="44230" spans="10:10" x14ac:dyDescent="0.3">
      <c r="J44230"/>
    </row>
    <row r="44231" spans="10:10" x14ac:dyDescent="0.3">
      <c r="J44231"/>
    </row>
    <row r="44232" spans="10:10" x14ac:dyDescent="0.3">
      <c r="J44232"/>
    </row>
    <row r="44233" spans="10:10" x14ac:dyDescent="0.3">
      <c r="J44233"/>
    </row>
    <row r="44234" spans="10:10" x14ac:dyDescent="0.3">
      <c r="J44234"/>
    </row>
    <row r="44235" spans="10:10" x14ac:dyDescent="0.3">
      <c r="J44235"/>
    </row>
    <row r="44236" spans="10:10" x14ac:dyDescent="0.3">
      <c r="J44236"/>
    </row>
    <row r="44237" spans="10:10" x14ac:dyDescent="0.3">
      <c r="J44237"/>
    </row>
    <row r="44238" spans="10:10" x14ac:dyDescent="0.3">
      <c r="J44238"/>
    </row>
    <row r="44239" spans="10:10" x14ac:dyDescent="0.3">
      <c r="J44239"/>
    </row>
    <row r="44240" spans="10:10" x14ac:dyDescent="0.3">
      <c r="J44240"/>
    </row>
    <row r="44241" spans="10:10" x14ac:dyDescent="0.3">
      <c r="J44241"/>
    </row>
    <row r="44242" spans="10:10" x14ac:dyDescent="0.3">
      <c r="J44242"/>
    </row>
    <row r="44243" spans="10:10" x14ac:dyDescent="0.3">
      <c r="J44243"/>
    </row>
    <row r="44244" spans="10:10" x14ac:dyDescent="0.3">
      <c r="J44244"/>
    </row>
    <row r="44245" spans="10:10" x14ac:dyDescent="0.3">
      <c r="J44245"/>
    </row>
    <row r="44246" spans="10:10" x14ac:dyDescent="0.3">
      <c r="J44246"/>
    </row>
    <row r="44247" spans="10:10" x14ac:dyDescent="0.3">
      <c r="J44247"/>
    </row>
    <row r="44248" spans="10:10" x14ac:dyDescent="0.3">
      <c r="J44248"/>
    </row>
    <row r="44249" spans="10:10" x14ac:dyDescent="0.3">
      <c r="J44249"/>
    </row>
    <row r="44250" spans="10:10" x14ac:dyDescent="0.3">
      <c r="J44250"/>
    </row>
    <row r="44251" spans="10:10" x14ac:dyDescent="0.3">
      <c r="J44251"/>
    </row>
    <row r="44252" spans="10:10" x14ac:dyDescent="0.3">
      <c r="J44252"/>
    </row>
    <row r="44253" spans="10:10" x14ac:dyDescent="0.3">
      <c r="J44253"/>
    </row>
    <row r="44254" spans="10:10" x14ac:dyDescent="0.3">
      <c r="J44254"/>
    </row>
    <row r="44255" spans="10:10" x14ac:dyDescent="0.3">
      <c r="J44255"/>
    </row>
    <row r="44256" spans="10:10" x14ac:dyDescent="0.3">
      <c r="J44256"/>
    </row>
    <row r="44257" spans="10:10" x14ac:dyDescent="0.3">
      <c r="J44257"/>
    </row>
    <row r="44258" spans="10:10" x14ac:dyDescent="0.3">
      <c r="J44258"/>
    </row>
    <row r="44259" spans="10:10" x14ac:dyDescent="0.3">
      <c r="J44259"/>
    </row>
    <row r="44260" spans="10:10" x14ac:dyDescent="0.3">
      <c r="J44260"/>
    </row>
    <row r="44261" spans="10:10" x14ac:dyDescent="0.3">
      <c r="J44261"/>
    </row>
    <row r="44262" spans="10:10" x14ac:dyDescent="0.3">
      <c r="J44262"/>
    </row>
    <row r="44263" spans="10:10" x14ac:dyDescent="0.3">
      <c r="J44263"/>
    </row>
    <row r="44264" spans="10:10" x14ac:dyDescent="0.3">
      <c r="J44264"/>
    </row>
    <row r="44265" spans="10:10" x14ac:dyDescent="0.3">
      <c r="J44265"/>
    </row>
    <row r="44266" spans="10:10" x14ac:dyDescent="0.3">
      <c r="J44266"/>
    </row>
    <row r="44267" spans="10:10" x14ac:dyDescent="0.3">
      <c r="J44267"/>
    </row>
    <row r="44268" spans="10:10" x14ac:dyDescent="0.3">
      <c r="J44268"/>
    </row>
    <row r="44269" spans="10:10" x14ac:dyDescent="0.3">
      <c r="J44269"/>
    </row>
    <row r="44270" spans="10:10" x14ac:dyDescent="0.3">
      <c r="J44270"/>
    </row>
    <row r="44271" spans="10:10" x14ac:dyDescent="0.3">
      <c r="J44271"/>
    </row>
    <row r="44272" spans="10:10" x14ac:dyDescent="0.3">
      <c r="J44272"/>
    </row>
    <row r="44273" spans="10:10" x14ac:dyDescent="0.3">
      <c r="J44273"/>
    </row>
    <row r="44274" spans="10:10" x14ac:dyDescent="0.3">
      <c r="J44274"/>
    </row>
    <row r="44275" spans="10:10" x14ac:dyDescent="0.3">
      <c r="J44275"/>
    </row>
    <row r="44276" spans="10:10" x14ac:dyDescent="0.3">
      <c r="J44276"/>
    </row>
    <row r="44277" spans="10:10" x14ac:dyDescent="0.3">
      <c r="J44277"/>
    </row>
    <row r="44278" spans="10:10" x14ac:dyDescent="0.3">
      <c r="J44278"/>
    </row>
    <row r="44279" spans="10:10" x14ac:dyDescent="0.3">
      <c r="J44279"/>
    </row>
    <row r="44280" spans="10:10" x14ac:dyDescent="0.3">
      <c r="J44280"/>
    </row>
    <row r="44281" spans="10:10" x14ac:dyDescent="0.3">
      <c r="J44281"/>
    </row>
    <row r="44282" spans="10:10" x14ac:dyDescent="0.3">
      <c r="J44282"/>
    </row>
    <row r="44283" spans="10:10" x14ac:dyDescent="0.3">
      <c r="J44283"/>
    </row>
    <row r="44284" spans="10:10" x14ac:dyDescent="0.3">
      <c r="J44284"/>
    </row>
    <row r="44285" spans="10:10" x14ac:dyDescent="0.3">
      <c r="J44285"/>
    </row>
    <row r="44286" spans="10:10" x14ac:dyDescent="0.3">
      <c r="J44286"/>
    </row>
    <row r="44287" spans="10:10" x14ac:dyDescent="0.3">
      <c r="J44287"/>
    </row>
    <row r="44288" spans="10:10" x14ac:dyDescent="0.3">
      <c r="J44288"/>
    </row>
    <row r="44289" spans="10:10" x14ac:dyDescent="0.3">
      <c r="J44289"/>
    </row>
    <row r="44290" spans="10:10" x14ac:dyDescent="0.3">
      <c r="J44290"/>
    </row>
    <row r="44291" spans="10:10" x14ac:dyDescent="0.3">
      <c r="J44291"/>
    </row>
    <row r="44292" spans="10:10" x14ac:dyDescent="0.3">
      <c r="J44292"/>
    </row>
    <row r="44293" spans="10:10" x14ac:dyDescent="0.3">
      <c r="J44293"/>
    </row>
    <row r="44294" spans="10:10" x14ac:dyDescent="0.3">
      <c r="J44294"/>
    </row>
    <row r="44295" spans="10:10" x14ac:dyDescent="0.3">
      <c r="J44295"/>
    </row>
    <row r="44296" spans="10:10" x14ac:dyDescent="0.3">
      <c r="J44296"/>
    </row>
    <row r="44297" spans="10:10" x14ac:dyDescent="0.3">
      <c r="J44297"/>
    </row>
    <row r="44298" spans="10:10" x14ac:dyDescent="0.3">
      <c r="J44298"/>
    </row>
    <row r="44299" spans="10:10" x14ac:dyDescent="0.3">
      <c r="J44299"/>
    </row>
    <row r="44300" spans="10:10" x14ac:dyDescent="0.3">
      <c r="J44300"/>
    </row>
    <row r="44301" spans="10:10" x14ac:dyDescent="0.3">
      <c r="J44301"/>
    </row>
    <row r="44302" spans="10:10" x14ac:dyDescent="0.3">
      <c r="J44302"/>
    </row>
    <row r="44303" spans="10:10" x14ac:dyDescent="0.3">
      <c r="J44303"/>
    </row>
    <row r="44304" spans="10:10" x14ac:dyDescent="0.3">
      <c r="J44304"/>
    </row>
    <row r="44305" spans="10:10" x14ac:dyDescent="0.3">
      <c r="J44305"/>
    </row>
    <row r="44306" spans="10:10" x14ac:dyDescent="0.3">
      <c r="J44306"/>
    </row>
    <row r="44307" spans="10:10" x14ac:dyDescent="0.3">
      <c r="J44307"/>
    </row>
    <row r="44308" spans="10:10" x14ac:dyDescent="0.3">
      <c r="J44308"/>
    </row>
    <row r="44309" spans="10:10" x14ac:dyDescent="0.3">
      <c r="J44309"/>
    </row>
    <row r="44310" spans="10:10" x14ac:dyDescent="0.3">
      <c r="J44310"/>
    </row>
    <row r="44311" spans="10:10" x14ac:dyDescent="0.3">
      <c r="J44311"/>
    </row>
    <row r="44312" spans="10:10" x14ac:dyDescent="0.3">
      <c r="J44312"/>
    </row>
    <row r="44313" spans="10:10" x14ac:dyDescent="0.3">
      <c r="J44313"/>
    </row>
    <row r="44314" spans="10:10" x14ac:dyDescent="0.3">
      <c r="J44314"/>
    </row>
    <row r="44315" spans="10:10" x14ac:dyDescent="0.3">
      <c r="J44315"/>
    </row>
    <row r="44316" spans="10:10" x14ac:dyDescent="0.3">
      <c r="J44316"/>
    </row>
    <row r="44317" spans="10:10" x14ac:dyDescent="0.3">
      <c r="J44317"/>
    </row>
    <row r="44318" spans="10:10" x14ac:dyDescent="0.3">
      <c r="J44318"/>
    </row>
    <row r="44319" spans="10:10" x14ac:dyDescent="0.3">
      <c r="J44319"/>
    </row>
    <row r="44320" spans="10:10" x14ac:dyDescent="0.3">
      <c r="J44320"/>
    </row>
    <row r="44321" spans="10:10" x14ac:dyDescent="0.3">
      <c r="J44321"/>
    </row>
    <row r="44322" spans="10:10" x14ac:dyDescent="0.3">
      <c r="J44322"/>
    </row>
    <row r="44323" spans="10:10" x14ac:dyDescent="0.3">
      <c r="J44323"/>
    </row>
    <row r="44324" spans="10:10" x14ac:dyDescent="0.3">
      <c r="J44324"/>
    </row>
    <row r="44325" spans="10:10" x14ac:dyDescent="0.3">
      <c r="J44325"/>
    </row>
    <row r="44326" spans="10:10" x14ac:dyDescent="0.3">
      <c r="J44326"/>
    </row>
    <row r="44327" spans="10:10" x14ac:dyDescent="0.3">
      <c r="J44327"/>
    </row>
    <row r="44328" spans="10:10" x14ac:dyDescent="0.3">
      <c r="J44328"/>
    </row>
    <row r="44329" spans="10:10" x14ac:dyDescent="0.3">
      <c r="J44329"/>
    </row>
    <row r="44330" spans="10:10" x14ac:dyDescent="0.3">
      <c r="J44330"/>
    </row>
    <row r="44331" spans="10:10" x14ac:dyDescent="0.3">
      <c r="J44331"/>
    </row>
    <row r="44332" spans="10:10" x14ac:dyDescent="0.3">
      <c r="J44332"/>
    </row>
    <row r="44333" spans="10:10" x14ac:dyDescent="0.3">
      <c r="J44333"/>
    </row>
    <row r="44334" spans="10:10" x14ac:dyDescent="0.3">
      <c r="J44334"/>
    </row>
    <row r="44335" spans="10:10" x14ac:dyDescent="0.3">
      <c r="J44335"/>
    </row>
    <row r="44336" spans="10:10" x14ac:dyDescent="0.3">
      <c r="J44336"/>
    </row>
    <row r="44337" spans="10:10" x14ac:dyDescent="0.3">
      <c r="J44337"/>
    </row>
    <row r="44338" spans="10:10" x14ac:dyDescent="0.3">
      <c r="J44338"/>
    </row>
    <row r="44339" spans="10:10" x14ac:dyDescent="0.3">
      <c r="J44339"/>
    </row>
    <row r="44340" spans="10:10" x14ac:dyDescent="0.3">
      <c r="J44340"/>
    </row>
    <row r="44341" spans="10:10" x14ac:dyDescent="0.3">
      <c r="J44341"/>
    </row>
    <row r="44342" spans="10:10" x14ac:dyDescent="0.3">
      <c r="J44342"/>
    </row>
    <row r="44343" spans="10:10" x14ac:dyDescent="0.3">
      <c r="J44343"/>
    </row>
    <row r="44344" spans="10:10" x14ac:dyDescent="0.3">
      <c r="J44344"/>
    </row>
    <row r="44345" spans="10:10" x14ac:dyDescent="0.3">
      <c r="J44345"/>
    </row>
    <row r="44346" spans="10:10" x14ac:dyDescent="0.3">
      <c r="J44346"/>
    </row>
    <row r="44347" spans="10:10" x14ac:dyDescent="0.3">
      <c r="J44347"/>
    </row>
    <row r="44348" spans="10:10" x14ac:dyDescent="0.3">
      <c r="J44348"/>
    </row>
    <row r="44349" spans="10:10" x14ac:dyDescent="0.3">
      <c r="J44349"/>
    </row>
    <row r="44350" spans="10:10" x14ac:dyDescent="0.3">
      <c r="J44350"/>
    </row>
    <row r="44351" spans="10:10" x14ac:dyDescent="0.3">
      <c r="J44351"/>
    </row>
    <row r="44352" spans="10:10" x14ac:dyDescent="0.3">
      <c r="J44352"/>
    </row>
    <row r="44353" spans="10:10" x14ac:dyDescent="0.3">
      <c r="J44353"/>
    </row>
    <row r="44354" spans="10:10" x14ac:dyDescent="0.3">
      <c r="J44354"/>
    </row>
    <row r="44355" spans="10:10" x14ac:dyDescent="0.3">
      <c r="J44355"/>
    </row>
    <row r="44356" spans="10:10" x14ac:dyDescent="0.3">
      <c r="J44356"/>
    </row>
    <row r="44357" spans="10:10" x14ac:dyDescent="0.3">
      <c r="J44357"/>
    </row>
    <row r="44358" spans="10:10" x14ac:dyDescent="0.3">
      <c r="J44358"/>
    </row>
    <row r="44359" spans="10:10" x14ac:dyDescent="0.3">
      <c r="J44359"/>
    </row>
    <row r="44360" spans="10:10" x14ac:dyDescent="0.3">
      <c r="J44360"/>
    </row>
    <row r="44361" spans="10:10" x14ac:dyDescent="0.3">
      <c r="J44361"/>
    </row>
    <row r="44362" spans="10:10" x14ac:dyDescent="0.3">
      <c r="J44362"/>
    </row>
    <row r="44363" spans="10:10" x14ac:dyDescent="0.3">
      <c r="J44363"/>
    </row>
    <row r="44364" spans="10:10" x14ac:dyDescent="0.3">
      <c r="J44364"/>
    </row>
    <row r="44365" spans="10:10" x14ac:dyDescent="0.3">
      <c r="J44365"/>
    </row>
    <row r="44366" spans="10:10" x14ac:dyDescent="0.3">
      <c r="J44366"/>
    </row>
    <row r="44367" spans="10:10" x14ac:dyDescent="0.3">
      <c r="J44367"/>
    </row>
    <row r="44368" spans="10:10" x14ac:dyDescent="0.3">
      <c r="J44368"/>
    </row>
    <row r="44369" spans="10:10" x14ac:dyDescent="0.3">
      <c r="J44369"/>
    </row>
    <row r="44370" spans="10:10" x14ac:dyDescent="0.3">
      <c r="J44370"/>
    </row>
    <row r="44371" spans="10:10" x14ac:dyDescent="0.3">
      <c r="J44371"/>
    </row>
    <row r="44372" spans="10:10" x14ac:dyDescent="0.3">
      <c r="J44372"/>
    </row>
    <row r="44373" spans="10:10" x14ac:dyDescent="0.3">
      <c r="J44373"/>
    </row>
    <row r="44374" spans="10:10" x14ac:dyDescent="0.3">
      <c r="J44374"/>
    </row>
    <row r="44375" spans="10:10" x14ac:dyDescent="0.3">
      <c r="J44375"/>
    </row>
    <row r="44376" spans="10:10" x14ac:dyDescent="0.3">
      <c r="J44376"/>
    </row>
    <row r="44377" spans="10:10" x14ac:dyDescent="0.3">
      <c r="J44377"/>
    </row>
    <row r="44378" spans="10:10" x14ac:dyDescent="0.3">
      <c r="J44378"/>
    </row>
    <row r="44379" spans="10:10" x14ac:dyDescent="0.3">
      <c r="J44379"/>
    </row>
    <row r="44380" spans="10:10" x14ac:dyDescent="0.3">
      <c r="J44380"/>
    </row>
    <row r="44381" spans="10:10" x14ac:dyDescent="0.3">
      <c r="J44381"/>
    </row>
    <row r="44382" spans="10:10" x14ac:dyDescent="0.3">
      <c r="J44382"/>
    </row>
    <row r="44383" spans="10:10" x14ac:dyDescent="0.3">
      <c r="J44383"/>
    </row>
    <row r="44384" spans="10:10" x14ac:dyDescent="0.3">
      <c r="J44384"/>
    </row>
    <row r="44385" spans="10:10" x14ac:dyDescent="0.3">
      <c r="J44385"/>
    </row>
    <row r="44386" spans="10:10" x14ac:dyDescent="0.3">
      <c r="J44386"/>
    </row>
    <row r="44387" spans="10:10" x14ac:dyDescent="0.3">
      <c r="J44387"/>
    </row>
    <row r="44388" spans="10:10" x14ac:dyDescent="0.3">
      <c r="J44388"/>
    </row>
    <row r="44389" spans="10:10" x14ac:dyDescent="0.3">
      <c r="J44389"/>
    </row>
    <row r="44390" spans="10:10" x14ac:dyDescent="0.3">
      <c r="J44390"/>
    </row>
    <row r="44391" spans="10:10" x14ac:dyDescent="0.3">
      <c r="J44391"/>
    </row>
    <row r="44392" spans="10:10" x14ac:dyDescent="0.3">
      <c r="J44392"/>
    </row>
    <row r="44393" spans="10:10" x14ac:dyDescent="0.3">
      <c r="J44393"/>
    </row>
    <row r="44394" spans="10:10" x14ac:dyDescent="0.3">
      <c r="J44394"/>
    </row>
    <row r="44395" spans="10:10" x14ac:dyDescent="0.3">
      <c r="J44395"/>
    </row>
    <row r="44396" spans="10:10" x14ac:dyDescent="0.3">
      <c r="J44396"/>
    </row>
    <row r="44397" spans="10:10" x14ac:dyDescent="0.3">
      <c r="J44397"/>
    </row>
    <row r="44398" spans="10:10" x14ac:dyDescent="0.3">
      <c r="J44398"/>
    </row>
    <row r="44399" spans="10:10" x14ac:dyDescent="0.3">
      <c r="J44399"/>
    </row>
    <row r="44400" spans="10:10" x14ac:dyDescent="0.3">
      <c r="J44400"/>
    </row>
    <row r="44401" spans="10:10" x14ac:dyDescent="0.3">
      <c r="J44401"/>
    </row>
    <row r="44402" spans="10:10" x14ac:dyDescent="0.3">
      <c r="J44402"/>
    </row>
    <row r="44403" spans="10:10" x14ac:dyDescent="0.3">
      <c r="J44403"/>
    </row>
    <row r="44404" spans="10:10" x14ac:dyDescent="0.3">
      <c r="J44404"/>
    </row>
    <row r="44405" spans="10:10" x14ac:dyDescent="0.3">
      <c r="J44405"/>
    </row>
    <row r="44406" spans="10:10" x14ac:dyDescent="0.3">
      <c r="J44406"/>
    </row>
    <row r="44407" spans="10:10" x14ac:dyDescent="0.3">
      <c r="J44407"/>
    </row>
    <row r="44408" spans="10:10" x14ac:dyDescent="0.3">
      <c r="J44408"/>
    </row>
    <row r="44409" spans="10:10" x14ac:dyDescent="0.3">
      <c r="J44409"/>
    </row>
    <row r="44410" spans="10:10" x14ac:dyDescent="0.3">
      <c r="J44410"/>
    </row>
    <row r="44411" spans="10:10" x14ac:dyDescent="0.3">
      <c r="J44411"/>
    </row>
    <row r="44412" spans="10:10" x14ac:dyDescent="0.3">
      <c r="J44412"/>
    </row>
    <row r="44413" spans="10:10" x14ac:dyDescent="0.3">
      <c r="J44413"/>
    </row>
    <row r="44414" spans="10:10" x14ac:dyDescent="0.3">
      <c r="J44414"/>
    </row>
    <row r="44415" spans="10:10" x14ac:dyDescent="0.3">
      <c r="J44415"/>
    </row>
    <row r="44416" spans="10:10" x14ac:dyDescent="0.3">
      <c r="J44416"/>
    </row>
    <row r="44417" spans="10:10" x14ac:dyDescent="0.3">
      <c r="J44417"/>
    </row>
    <row r="44418" spans="10:10" x14ac:dyDescent="0.3">
      <c r="J44418"/>
    </row>
    <row r="44419" spans="10:10" x14ac:dyDescent="0.3">
      <c r="J44419"/>
    </row>
    <row r="44420" spans="10:10" x14ac:dyDescent="0.3">
      <c r="J44420"/>
    </row>
    <row r="44421" spans="10:10" x14ac:dyDescent="0.3">
      <c r="J44421"/>
    </row>
    <row r="44422" spans="10:10" x14ac:dyDescent="0.3">
      <c r="J44422"/>
    </row>
    <row r="44423" spans="10:10" x14ac:dyDescent="0.3">
      <c r="J44423"/>
    </row>
    <row r="44424" spans="10:10" x14ac:dyDescent="0.3">
      <c r="J44424"/>
    </row>
    <row r="44425" spans="10:10" x14ac:dyDescent="0.3">
      <c r="J44425"/>
    </row>
    <row r="44426" spans="10:10" x14ac:dyDescent="0.3">
      <c r="J44426"/>
    </row>
    <row r="44427" spans="10:10" x14ac:dyDescent="0.3">
      <c r="J44427"/>
    </row>
    <row r="44428" spans="10:10" x14ac:dyDescent="0.3">
      <c r="J44428"/>
    </row>
    <row r="44429" spans="10:10" x14ac:dyDescent="0.3">
      <c r="J44429"/>
    </row>
    <row r="44430" spans="10:10" x14ac:dyDescent="0.3">
      <c r="J44430"/>
    </row>
    <row r="44431" spans="10:10" x14ac:dyDescent="0.3">
      <c r="J44431"/>
    </row>
    <row r="44432" spans="10:10" x14ac:dyDescent="0.3">
      <c r="J44432"/>
    </row>
    <row r="44433" spans="10:10" x14ac:dyDescent="0.3">
      <c r="J44433"/>
    </row>
    <row r="44434" spans="10:10" x14ac:dyDescent="0.3">
      <c r="J44434"/>
    </row>
    <row r="44435" spans="10:10" x14ac:dyDescent="0.3">
      <c r="J44435"/>
    </row>
    <row r="44436" spans="10:10" x14ac:dyDescent="0.3">
      <c r="J44436"/>
    </row>
    <row r="44437" spans="10:10" x14ac:dyDescent="0.3">
      <c r="J44437"/>
    </row>
    <row r="44438" spans="10:10" x14ac:dyDescent="0.3">
      <c r="J44438"/>
    </row>
    <row r="44439" spans="10:10" x14ac:dyDescent="0.3">
      <c r="J44439"/>
    </row>
    <row r="44440" spans="10:10" x14ac:dyDescent="0.3">
      <c r="J44440"/>
    </row>
    <row r="44441" spans="10:10" x14ac:dyDescent="0.3">
      <c r="J44441"/>
    </row>
    <row r="44442" spans="10:10" x14ac:dyDescent="0.3">
      <c r="J44442"/>
    </row>
    <row r="44443" spans="10:10" x14ac:dyDescent="0.3">
      <c r="J44443"/>
    </row>
    <row r="44444" spans="10:10" x14ac:dyDescent="0.3">
      <c r="J44444"/>
    </row>
    <row r="44445" spans="10:10" x14ac:dyDescent="0.3">
      <c r="J44445"/>
    </row>
    <row r="44446" spans="10:10" x14ac:dyDescent="0.3">
      <c r="J44446"/>
    </row>
    <row r="44447" spans="10:10" x14ac:dyDescent="0.3">
      <c r="J44447"/>
    </row>
    <row r="44448" spans="10:10" x14ac:dyDescent="0.3">
      <c r="J44448"/>
    </row>
    <row r="44449" spans="10:10" x14ac:dyDescent="0.3">
      <c r="J44449"/>
    </row>
    <row r="44450" spans="10:10" x14ac:dyDescent="0.3">
      <c r="J44450"/>
    </row>
    <row r="44451" spans="10:10" x14ac:dyDescent="0.3">
      <c r="J44451"/>
    </row>
    <row r="44452" spans="10:10" x14ac:dyDescent="0.3">
      <c r="J44452"/>
    </row>
    <row r="44453" spans="10:10" x14ac:dyDescent="0.3">
      <c r="J44453"/>
    </row>
    <row r="44454" spans="10:10" x14ac:dyDescent="0.3">
      <c r="J44454"/>
    </row>
    <row r="44455" spans="10:10" x14ac:dyDescent="0.3">
      <c r="J44455"/>
    </row>
    <row r="44456" spans="10:10" x14ac:dyDescent="0.3">
      <c r="J44456"/>
    </row>
    <row r="44457" spans="10:10" x14ac:dyDescent="0.3">
      <c r="J44457"/>
    </row>
    <row r="44458" spans="10:10" x14ac:dyDescent="0.3">
      <c r="J44458"/>
    </row>
    <row r="44459" spans="10:10" x14ac:dyDescent="0.3">
      <c r="J44459"/>
    </row>
    <row r="44460" spans="10:10" x14ac:dyDescent="0.3">
      <c r="J44460"/>
    </row>
    <row r="44461" spans="10:10" x14ac:dyDescent="0.3">
      <c r="J44461"/>
    </row>
    <row r="44462" spans="10:10" x14ac:dyDescent="0.3">
      <c r="J44462"/>
    </row>
    <row r="44463" spans="10:10" x14ac:dyDescent="0.3">
      <c r="J44463"/>
    </row>
    <row r="44464" spans="10:10" x14ac:dyDescent="0.3">
      <c r="J44464"/>
    </row>
    <row r="44465" spans="10:10" x14ac:dyDescent="0.3">
      <c r="J44465"/>
    </row>
    <row r="44466" spans="10:10" x14ac:dyDescent="0.3">
      <c r="J44466"/>
    </row>
    <row r="44467" spans="10:10" x14ac:dyDescent="0.3">
      <c r="J44467"/>
    </row>
    <row r="44468" spans="10:10" x14ac:dyDescent="0.3">
      <c r="J44468"/>
    </row>
    <row r="44469" spans="10:10" x14ac:dyDescent="0.3">
      <c r="J44469"/>
    </row>
    <row r="44470" spans="10:10" x14ac:dyDescent="0.3">
      <c r="J44470"/>
    </row>
    <row r="44471" spans="10:10" x14ac:dyDescent="0.3">
      <c r="J44471"/>
    </row>
    <row r="44472" spans="10:10" x14ac:dyDescent="0.3">
      <c r="J44472"/>
    </row>
    <row r="44473" spans="10:10" x14ac:dyDescent="0.3">
      <c r="J44473"/>
    </row>
    <row r="44474" spans="10:10" x14ac:dyDescent="0.3">
      <c r="J44474"/>
    </row>
    <row r="44475" spans="10:10" x14ac:dyDescent="0.3">
      <c r="J44475"/>
    </row>
    <row r="44476" spans="10:10" x14ac:dyDescent="0.3">
      <c r="J44476"/>
    </row>
    <row r="44477" spans="10:10" x14ac:dyDescent="0.3">
      <c r="J44477"/>
    </row>
    <row r="44478" spans="10:10" x14ac:dyDescent="0.3">
      <c r="J44478"/>
    </row>
    <row r="44479" spans="10:10" x14ac:dyDescent="0.3">
      <c r="J44479"/>
    </row>
    <row r="44480" spans="10:10" x14ac:dyDescent="0.3">
      <c r="J44480"/>
    </row>
    <row r="44481" spans="10:10" x14ac:dyDescent="0.3">
      <c r="J44481"/>
    </row>
    <row r="44482" spans="10:10" x14ac:dyDescent="0.3">
      <c r="J44482"/>
    </row>
    <row r="44483" spans="10:10" x14ac:dyDescent="0.3">
      <c r="J44483"/>
    </row>
    <row r="44484" spans="10:10" x14ac:dyDescent="0.3">
      <c r="J44484"/>
    </row>
    <row r="44485" spans="10:10" x14ac:dyDescent="0.3">
      <c r="J44485"/>
    </row>
    <row r="44486" spans="10:10" x14ac:dyDescent="0.3">
      <c r="J44486"/>
    </row>
    <row r="44487" spans="10:10" x14ac:dyDescent="0.3">
      <c r="J44487"/>
    </row>
    <row r="44488" spans="10:10" x14ac:dyDescent="0.3">
      <c r="J44488"/>
    </row>
    <row r="44489" spans="10:10" x14ac:dyDescent="0.3">
      <c r="J44489"/>
    </row>
    <row r="44490" spans="10:10" x14ac:dyDescent="0.3">
      <c r="J44490"/>
    </row>
    <row r="44491" spans="10:10" x14ac:dyDescent="0.3">
      <c r="J44491"/>
    </row>
    <row r="44492" spans="10:10" x14ac:dyDescent="0.3">
      <c r="J44492"/>
    </row>
    <row r="44493" spans="10:10" x14ac:dyDescent="0.3">
      <c r="J44493"/>
    </row>
    <row r="44494" spans="10:10" x14ac:dyDescent="0.3">
      <c r="J44494"/>
    </row>
    <row r="44495" spans="10:10" x14ac:dyDescent="0.3">
      <c r="J44495"/>
    </row>
    <row r="44496" spans="10:10" x14ac:dyDescent="0.3">
      <c r="J44496"/>
    </row>
    <row r="44497" spans="10:10" x14ac:dyDescent="0.3">
      <c r="J44497"/>
    </row>
    <row r="44498" spans="10:10" x14ac:dyDescent="0.3">
      <c r="J44498"/>
    </row>
    <row r="44499" spans="10:10" x14ac:dyDescent="0.3">
      <c r="J44499"/>
    </row>
    <row r="44500" spans="10:10" x14ac:dyDescent="0.3">
      <c r="J44500"/>
    </row>
    <row r="44501" spans="10:10" x14ac:dyDescent="0.3">
      <c r="J44501"/>
    </row>
    <row r="44502" spans="10:10" x14ac:dyDescent="0.3">
      <c r="J44502"/>
    </row>
    <row r="44503" spans="10:10" x14ac:dyDescent="0.3">
      <c r="J44503"/>
    </row>
    <row r="44504" spans="10:10" x14ac:dyDescent="0.3">
      <c r="J44504"/>
    </row>
    <row r="44505" spans="10:10" x14ac:dyDescent="0.3">
      <c r="J44505"/>
    </row>
    <row r="44506" spans="10:10" x14ac:dyDescent="0.3">
      <c r="J44506"/>
    </row>
    <row r="44507" spans="10:10" x14ac:dyDescent="0.3">
      <c r="J44507"/>
    </row>
    <row r="44508" spans="10:10" x14ac:dyDescent="0.3">
      <c r="J44508"/>
    </row>
    <row r="44509" spans="10:10" x14ac:dyDescent="0.3">
      <c r="J44509"/>
    </row>
    <row r="44510" spans="10:10" x14ac:dyDescent="0.3">
      <c r="J44510"/>
    </row>
    <row r="44511" spans="10:10" x14ac:dyDescent="0.3">
      <c r="J44511"/>
    </row>
    <row r="44512" spans="10:10" x14ac:dyDescent="0.3">
      <c r="J44512"/>
    </row>
    <row r="44513" spans="10:10" x14ac:dyDescent="0.3">
      <c r="J44513"/>
    </row>
    <row r="44514" spans="10:10" x14ac:dyDescent="0.3">
      <c r="J44514"/>
    </row>
    <row r="44515" spans="10:10" x14ac:dyDescent="0.3">
      <c r="J44515"/>
    </row>
    <row r="44516" spans="10:10" x14ac:dyDescent="0.3">
      <c r="J44516"/>
    </row>
    <row r="44517" spans="10:10" x14ac:dyDescent="0.3">
      <c r="J44517"/>
    </row>
    <row r="44518" spans="10:10" x14ac:dyDescent="0.3">
      <c r="J44518"/>
    </row>
    <row r="44519" spans="10:10" x14ac:dyDescent="0.3">
      <c r="J44519"/>
    </row>
    <row r="44520" spans="10:10" x14ac:dyDescent="0.3">
      <c r="J44520"/>
    </row>
    <row r="44521" spans="10:10" x14ac:dyDescent="0.3">
      <c r="J44521"/>
    </row>
    <row r="44522" spans="10:10" x14ac:dyDescent="0.3">
      <c r="J44522"/>
    </row>
    <row r="44523" spans="10:10" x14ac:dyDescent="0.3">
      <c r="J44523"/>
    </row>
    <row r="44524" spans="10:10" x14ac:dyDescent="0.3">
      <c r="J44524"/>
    </row>
    <row r="44525" spans="10:10" x14ac:dyDescent="0.3">
      <c r="J44525"/>
    </row>
    <row r="44526" spans="10:10" x14ac:dyDescent="0.3">
      <c r="J44526"/>
    </row>
    <row r="44527" spans="10:10" x14ac:dyDescent="0.3">
      <c r="J44527"/>
    </row>
    <row r="44528" spans="10:10" x14ac:dyDescent="0.3">
      <c r="J44528"/>
    </row>
    <row r="44529" spans="10:10" x14ac:dyDescent="0.3">
      <c r="J44529"/>
    </row>
    <row r="44530" spans="10:10" x14ac:dyDescent="0.3">
      <c r="J44530"/>
    </row>
    <row r="44531" spans="10:10" x14ac:dyDescent="0.3">
      <c r="J44531"/>
    </row>
    <row r="44532" spans="10:10" x14ac:dyDescent="0.3">
      <c r="J44532"/>
    </row>
    <row r="44533" spans="10:10" x14ac:dyDescent="0.3">
      <c r="J44533"/>
    </row>
    <row r="44534" spans="10:10" x14ac:dyDescent="0.3">
      <c r="J44534"/>
    </row>
    <row r="44535" spans="10:10" x14ac:dyDescent="0.3">
      <c r="J44535"/>
    </row>
    <row r="44536" spans="10:10" x14ac:dyDescent="0.3">
      <c r="J44536"/>
    </row>
    <row r="44537" spans="10:10" x14ac:dyDescent="0.3">
      <c r="J44537"/>
    </row>
    <row r="44538" spans="10:10" x14ac:dyDescent="0.3">
      <c r="J44538"/>
    </row>
    <row r="44539" spans="10:10" x14ac:dyDescent="0.3">
      <c r="J44539"/>
    </row>
    <row r="44540" spans="10:10" x14ac:dyDescent="0.3">
      <c r="J44540"/>
    </row>
    <row r="44541" spans="10:10" x14ac:dyDescent="0.3">
      <c r="J44541"/>
    </row>
    <row r="44542" spans="10:10" x14ac:dyDescent="0.3">
      <c r="J44542"/>
    </row>
    <row r="44543" spans="10:10" x14ac:dyDescent="0.3">
      <c r="J44543"/>
    </row>
    <row r="44544" spans="10:10" x14ac:dyDescent="0.3">
      <c r="J44544"/>
    </row>
    <row r="44545" spans="10:10" x14ac:dyDescent="0.3">
      <c r="J44545"/>
    </row>
    <row r="44546" spans="10:10" x14ac:dyDescent="0.3">
      <c r="J44546"/>
    </row>
    <row r="44547" spans="10:10" x14ac:dyDescent="0.3">
      <c r="J44547"/>
    </row>
    <row r="44548" spans="10:10" x14ac:dyDescent="0.3">
      <c r="J44548"/>
    </row>
    <row r="44549" spans="10:10" x14ac:dyDescent="0.3">
      <c r="J44549"/>
    </row>
    <row r="44550" spans="10:10" x14ac:dyDescent="0.3">
      <c r="J44550"/>
    </row>
    <row r="44551" spans="10:10" x14ac:dyDescent="0.3">
      <c r="J44551"/>
    </row>
    <row r="44552" spans="10:10" x14ac:dyDescent="0.3">
      <c r="J44552"/>
    </row>
    <row r="44553" spans="10:10" x14ac:dyDescent="0.3">
      <c r="J44553"/>
    </row>
    <row r="44554" spans="10:10" x14ac:dyDescent="0.3">
      <c r="J44554"/>
    </row>
    <row r="44555" spans="10:10" x14ac:dyDescent="0.3">
      <c r="J44555"/>
    </row>
    <row r="44556" spans="10:10" x14ac:dyDescent="0.3">
      <c r="J44556"/>
    </row>
    <row r="44557" spans="10:10" x14ac:dyDescent="0.3">
      <c r="J44557"/>
    </row>
    <row r="44558" spans="10:10" x14ac:dyDescent="0.3">
      <c r="J44558"/>
    </row>
    <row r="44559" spans="10:10" x14ac:dyDescent="0.3">
      <c r="J44559"/>
    </row>
    <row r="44560" spans="10:10" x14ac:dyDescent="0.3">
      <c r="J44560"/>
    </row>
    <row r="44561" spans="10:10" x14ac:dyDescent="0.3">
      <c r="J44561"/>
    </row>
    <row r="44562" spans="10:10" x14ac:dyDescent="0.3">
      <c r="J44562"/>
    </row>
    <row r="44563" spans="10:10" x14ac:dyDescent="0.3">
      <c r="J44563"/>
    </row>
    <row r="44564" spans="10:10" x14ac:dyDescent="0.3">
      <c r="J44564"/>
    </row>
    <row r="44565" spans="10:10" x14ac:dyDescent="0.3">
      <c r="J44565"/>
    </row>
    <row r="44566" spans="10:10" x14ac:dyDescent="0.3">
      <c r="J44566"/>
    </row>
    <row r="44567" spans="10:10" x14ac:dyDescent="0.3">
      <c r="J44567"/>
    </row>
    <row r="44568" spans="10:10" x14ac:dyDescent="0.3">
      <c r="J44568"/>
    </row>
    <row r="44569" spans="10:10" x14ac:dyDescent="0.3">
      <c r="J44569"/>
    </row>
    <row r="44570" spans="10:10" x14ac:dyDescent="0.3">
      <c r="J44570"/>
    </row>
    <row r="44571" spans="10:10" x14ac:dyDescent="0.3">
      <c r="J44571"/>
    </row>
    <row r="44572" spans="10:10" x14ac:dyDescent="0.3">
      <c r="J44572"/>
    </row>
    <row r="44573" spans="10:10" x14ac:dyDescent="0.3">
      <c r="J44573"/>
    </row>
    <row r="44574" spans="10:10" x14ac:dyDescent="0.3">
      <c r="J44574"/>
    </row>
    <row r="44575" spans="10:10" x14ac:dyDescent="0.3">
      <c r="J44575"/>
    </row>
    <row r="44576" spans="10:10" x14ac:dyDescent="0.3">
      <c r="J44576"/>
    </row>
    <row r="44577" spans="10:10" x14ac:dyDescent="0.3">
      <c r="J44577"/>
    </row>
    <row r="44578" spans="10:10" x14ac:dyDescent="0.3">
      <c r="J44578"/>
    </row>
    <row r="44579" spans="10:10" x14ac:dyDescent="0.3">
      <c r="J44579"/>
    </row>
    <row r="44580" spans="10:10" x14ac:dyDescent="0.3">
      <c r="J44580"/>
    </row>
    <row r="44581" spans="10:10" x14ac:dyDescent="0.3">
      <c r="J44581"/>
    </row>
    <row r="44582" spans="10:10" x14ac:dyDescent="0.3">
      <c r="J44582"/>
    </row>
    <row r="44583" spans="10:10" x14ac:dyDescent="0.3">
      <c r="J44583"/>
    </row>
    <row r="44584" spans="10:10" x14ac:dyDescent="0.3">
      <c r="J44584"/>
    </row>
    <row r="44585" spans="10:10" x14ac:dyDescent="0.3">
      <c r="J44585"/>
    </row>
    <row r="44586" spans="10:10" x14ac:dyDescent="0.3">
      <c r="J44586"/>
    </row>
    <row r="44587" spans="10:10" x14ac:dyDescent="0.3">
      <c r="J44587"/>
    </row>
    <row r="44588" spans="10:10" x14ac:dyDescent="0.3">
      <c r="J44588"/>
    </row>
    <row r="44589" spans="10:10" x14ac:dyDescent="0.3">
      <c r="J44589"/>
    </row>
    <row r="44590" spans="10:10" x14ac:dyDescent="0.3">
      <c r="J44590"/>
    </row>
    <row r="44591" spans="10:10" x14ac:dyDescent="0.3">
      <c r="J44591"/>
    </row>
    <row r="44592" spans="10:10" x14ac:dyDescent="0.3">
      <c r="J44592"/>
    </row>
    <row r="44593" spans="10:10" x14ac:dyDescent="0.3">
      <c r="J44593"/>
    </row>
    <row r="44594" spans="10:10" x14ac:dyDescent="0.3">
      <c r="J44594"/>
    </row>
    <row r="44595" spans="10:10" x14ac:dyDescent="0.3">
      <c r="J44595"/>
    </row>
    <row r="44596" spans="10:10" x14ac:dyDescent="0.3">
      <c r="J44596"/>
    </row>
    <row r="44597" spans="10:10" x14ac:dyDescent="0.3">
      <c r="J44597"/>
    </row>
    <row r="44598" spans="10:10" x14ac:dyDescent="0.3">
      <c r="J44598"/>
    </row>
    <row r="44599" spans="10:10" x14ac:dyDescent="0.3">
      <c r="J44599"/>
    </row>
    <row r="44600" spans="10:10" x14ac:dyDescent="0.3">
      <c r="J44600"/>
    </row>
    <row r="44601" spans="10:10" x14ac:dyDescent="0.3">
      <c r="J44601"/>
    </row>
    <row r="44602" spans="10:10" x14ac:dyDescent="0.3">
      <c r="J44602"/>
    </row>
    <row r="44603" spans="10:10" x14ac:dyDescent="0.3">
      <c r="J44603"/>
    </row>
    <row r="44604" spans="10:10" x14ac:dyDescent="0.3">
      <c r="J44604"/>
    </row>
    <row r="44605" spans="10:10" x14ac:dyDescent="0.3">
      <c r="J44605"/>
    </row>
    <row r="44606" spans="10:10" x14ac:dyDescent="0.3">
      <c r="J44606"/>
    </row>
    <row r="44607" spans="10:10" x14ac:dyDescent="0.3">
      <c r="J44607"/>
    </row>
    <row r="44608" spans="10:10" x14ac:dyDescent="0.3">
      <c r="J44608"/>
    </row>
    <row r="44609" spans="10:10" x14ac:dyDescent="0.3">
      <c r="J44609"/>
    </row>
    <row r="44610" spans="10:10" x14ac:dyDescent="0.3">
      <c r="J44610"/>
    </row>
    <row r="44611" spans="10:10" x14ac:dyDescent="0.3">
      <c r="J44611"/>
    </row>
    <row r="44612" spans="10:10" x14ac:dyDescent="0.3">
      <c r="J44612"/>
    </row>
    <row r="44613" spans="10:10" x14ac:dyDescent="0.3">
      <c r="J44613"/>
    </row>
    <row r="44614" spans="10:10" x14ac:dyDescent="0.3">
      <c r="J44614"/>
    </row>
    <row r="44615" spans="10:10" x14ac:dyDescent="0.3">
      <c r="J44615"/>
    </row>
    <row r="44616" spans="10:10" x14ac:dyDescent="0.3">
      <c r="J44616"/>
    </row>
    <row r="44617" spans="10:10" x14ac:dyDescent="0.3">
      <c r="J44617"/>
    </row>
    <row r="44618" spans="10:10" x14ac:dyDescent="0.3">
      <c r="J44618"/>
    </row>
    <row r="44619" spans="10:10" x14ac:dyDescent="0.3">
      <c r="J44619"/>
    </row>
    <row r="44620" spans="10:10" x14ac:dyDescent="0.3">
      <c r="J44620"/>
    </row>
    <row r="44621" spans="10:10" x14ac:dyDescent="0.3">
      <c r="J44621"/>
    </row>
    <row r="44622" spans="10:10" x14ac:dyDescent="0.3">
      <c r="J44622"/>
    </row>
    <row r="44623" spans="10:10" x14ac:dyDescent="0.3">
      <c r="J44623"/>
    </row>
    <row r="44624" spans="10:10" x14ac:dyDescent="0.3">
      <c r="J44624"/>
    </row>
    <row r="44625" spans="10:10" x14ac:dyDescent="0.3">
      <c r="J44625"/>
    </row>
    <row r="44626" spans="10:10" x14ac:dyDescent="0.3">
      <c r="J44626"/>
    </row>
    <row r="44627" spans="10:10" x14ac:dyDescent="0.3">
      <c r="J44627"/>
    </row>
    <row r="44628" spans="10:10" x14ac:dyDescent="0.3">
      <c r="J44628"/>
    </row>
    <row r="44629" spans="10:10" x14ac:dyDescent="0.3">
      <c r="J44629"/>
    </row>
    <row r="44630" spans="10:10" x14ac:dyDescent="0.3">
      <c r="J44630"/>
    </row>
    <row r="44631" spans="10:10" x14ac:dyDescent="0.3">
      <c r="J44631"/>
    </row>
    <row r="44632" spans="10:10" x14ac:dyDescent="0.3">
      <c r="J44632"/>
    </row>
    <row r="44633" spans="10:10" x14ac:dyDescent="0.3">
      <c r="J44633"/>
    </row>
    <row r="44634" spans="10:10" x14ac:dyDescent="0.3">
      <c r="J44634"/>
    </row>
    <row r="44635" spans="10:10" x14ac:dyDescent="0.3">
      <c r="J44635"/>
    </row>
    <row r="44636" spans="10:10" x14ac:dyDescent="0.3">
      <c r="J44636"/>
    </row>
    <row r="44637" spans="10:10" x14ac:dyDescent="0.3">
      <c r="J44637"/>
    </row>
    <row r="44638" spans="10:10" x14ac:dyDescent="0.3">
      <c r="J44638"/>
    </row>
    <row r="44639" spans="10:10" x14ac:dyDescent="0.3">
      <c r="J44639"/>
    </row>
    <row r="44640" spans="10:10" x14ac:dyDescent="0.3">
      <c r="J44640"/>
    </row>
    <row r="44641" spans="10:10" x14ac:dyDescent="0.3">
      <c r="J44641"/>
    </row>
    <row r="44642" spans="10:10" x14ac:dyDescent="0.3">
      <c r="J44642"/>
    </row>
    <row r="44643" spans="10:10" x14ac:dyDescent="0.3">
      <c r="J44643"/>
    </row>
    <row r="44644" spans="10:10" x14ac:dyDescent="0.3">
      <c r="J44644"/>
    </row>
    <row r="44645" spans="10:10" x14ac:dyDescent="0.3">
      <c r="J44645"/>
    </row>
    <row r="44646" spans="10:10" x14ac:dyDescent="0.3">
      <c r="J44646"/>
    </row>
    <row r="44647" spans="10:10" x14ac:dyDescent="0.3">
      <c r="J44647"/>
    </row>
    <row r="44648" spans="10:10" x14ac:dyDescent="0.3">
      <c r="J44648"/>
    </row>
    <row r="44649" spans="10:10" x14ac:dyDescent="0.3">
      <c r="J44649"/>
    </row>
    <row r="44650" spans="10:10" x14ac:dyDescent="0.3">
      <c r="J44650"/>
    </row>
    <row r="44651" spans="10:10" x14ac:dyDescent="0.3">
      <c r="J44651"/>
    </row>
    <row r="44652" spans="10:10" x14ac:dyDescent="0.3">
      <c r="J44652"/>
    </row>
    <row r="44653" spans="10:10" x14ac:dyDescent="0.3">
      <c r="J44653"/>
    </row>
    <row r="44654" spans="10:10" x14ac:dyDescent="0.3">
      <c r="J44654"/>
    </row>
    <row r="44655" spans="10:10" x14ac:dyDescent="0.3">
      <c r="J44655"/>
    </row>
    <row r="44656" spans="10:10" x14ac:dyDescent="0.3">
      <c r="J44656"/>
    </row>
    <row r="44657" spans="10:10" x14ac:dyDescent="0.3">
      <c r="J44657"/>
    </row>
    <row r="44658" spans="10:10" x14ac:dyDescent="0.3">
      <c r="J44658"/>
    </row>
    <row r="44659" spans="10:10" x14ac:dyDescent="0.3">
      <c r="J44659"/>
    </row>
    <row r="44660" spans="10:10" x14ac:dyDescent="0.3">
      <c r="J44660"/>
    </row>
    <row r="44661" spans="10:10" x14ac:dyDescent="0.3">
      <c r="J44661"/>
    </row>
    <row r="44662" spans="10:10" x14ac:dyDescent="0.3">
      <c r="J44662"/>
    </row>
    <row r="44663" spans="10:10" x14ac:dyDescent="0.3">
      <c r="J44663"/>
    </row>
    <row r="44664" spans="10:10" x14ac:dyDescent="0.3">
      <c r="J44664"/>
    </row>
    <row r="44665" spans="10:10" x14ac:dyDescent="0.3">
      <c r="J44665"/>
    </row>
    <row r="44666" spans="10:10" x14ac:dyDescent="0.3">
      <c r="J44666"/>
    </row>
    <row r="44667" spans="10:10" x14ac:dyDescent="0.3">
      <c r="J44667"/>
    </row>
    <row r="44668" spans="10:10" x14ac:dyDescent="0.3">
      <c r="J44668"/>
    </row>
    <row r="44669" spans="10:10" x14ac:dyDescent="0.3">
      <c r="J44669"/>
    </row>
    <row r="44670" spans="10:10" x14ac:dyDescent="0.3">
      <c r="J44670"/>
    </row>
    <row r="44671" spans="10:10" x14ac:dyDescent="0.3">
      <c r="J44671"/>
    </row>
    <row r="44672" spans="10:10" x14ac:dyDescent="0.3">
      <c r="J44672"/>
    </row>
    <row r="44673" spans="10:10" x14ac:dyDescent="0.3">
      <c r="J44673"/>
    </row>
    <row r="44674" spans="10:10" x14ac:dyDescent="0.3">
      <c r="J44674"/>
    </row>
    <row r="44675" spans="10:10" x14ac:dyDescent="0.3">
      <c r="J44675"/>
    </row>
    <row r="44676" spans="10:10" x14ac:dyDescent="0.3">
      <c r="J44676"/>
    </row>
    <row r="44677" spans="10:10" x14ac:dyDescent="0.3">
      <c r="J44677"/>
    </row>
    <row r="44678" spans="10:10" x14ac:dyDescent="0.3">
      <c r="J44678"/>
    </row>
    <row r="44679" spans="10:10" x14ac:dyDescent="0.3">
      <c r="J44679"/>
    </row>
    <row r="44680" spans="10:10" x14ac:dyDescent="0.3">
      <c r="J44680"/>
    </row>
    <row r="44681" spans="10:10" x14ac:dyDescent="0.3">
      <c r="J44681"/>
    </row>
    <row r="44682" spans="10:10" x14ac:dyDescent="0.3">
      <c r="J44682"/>
    </row>
    <row r="44683" spans="10:10" x14ac:dyDescent="0.3">
      <c r="J44683"/>
    </row>
    <row r="44684" spans="10:10" x14ac:dyDescent="0.3">
      <c r="J44684"/>
    </row>
    <row r="44685" spans="10:10" x14ac:dyDescent="0.3">
      <c r="J44685"/>
    </row>
    <row r="44686" spans="10:10" x14ac:dyDescent="0.3">
      <c r="J44686"/>
    </row>
    <row r="44687" spans="10:10" x14ac:dyDescent="0.3">
      <c r="J44687"/>
    </row>
    <row r="44688" spans="10:10" x14ac:dyDescent="0.3">
      <c r="J44688"/>
    </row>
    <row r="44689" spans="10:10" x14ac:dyDescent="0.3">
      <c r="J44689"/>
    </row>
    <row r="44690" spans="10:10" x14ac:dyDescent="0.3">
      <c r="J44690"/>
    </row>
    <row r="44691" spans="10:10" x14ac:dyDescent="0.3">
      <c r="J44691"/>
    </row>
    <row r="44692" spans="10:10" x14ac:dyDescent="0.3">
      <c r="J44692"/>
    </row>
    <row r="44693" spans="10:10" x14ac:dyDescent="0.3">
      <c r="J44693"/>
    </row>
    <row r="44694" spans="10:10" x14ac:dyDescent="0.3">
      <c r="J44694"/>
    </row>
    <row r="44695" spans="10:10" x14ac:dyDescent="0.3">
      <c r="J44695"/>
    </row>
    <row r="44696" spans="10:10" x14ac:dyDescent="0.3">
      <c r="J44696"/>
    </row>
    <row r="44697" spans="10:10" x14ac:dyDescent="0.3">
      <c r="J44697"/>
    </row>
    <row r="44698" spans="10:10" x14ac:dyDescent="0.3">
      <c r="J44698"/>
    </row>
    <row r="44699" spans="10:10" x14ac:dyDescent="0.3">
      <c r="J44699"/>
    </row>
    <row r="44700" spans="10:10" x14ac:dyDescent="0.3">
      <c r="J44700"/>
    </row>
    <row r="44701" spans="10:10" x14ac:dyDescent="0.3">
      <c r="J44701"/>
    </row>
    <row r="44702" spans="10:10" x14ac:dyDescent="0.3">
      <c r="J44702"/>
    </row>
    <row r="44703" spans="10:10" x14ac:dyDescent="0.3">
      <c r="J44703"/>
    </row>
    <row r="44704" spans="10:10" x14ac:dyDescent="0.3">
      <c r="J44704"/>
    </row>
    <row r="44705" spans="10:10" x14ac:dyDescent="0.3">
      <c r="J44705"/>
    </row>
    <row r="44706" spans="10:10" x14ac:dyDescent="0.3">
      <c r="J44706"/>
    </row>
    <row r="44707" spans="10:10" x14ac:dyDescent="0.3">
      <c r="J44707"/>
    </row>
    <row r="44708" spans="10:10" x14ac:dyDescent="0.3">
      <c r="J44708"/>
    </row>
    <row r="44709" spans="10:10" x14ac:dyDescent="0.3">
      <c r="J44709"/>
    </row>
    <row r="44710" spans="10:10" x14ac:dyDescent="0.3">
      <c r="J44710"/>
    </row>
    <row r="44711" spans="10:10" x14ac:dyDescent="0.3">
      <c r="J44711"/>
    </row>
    <row r="44712" spans="10:10" x14ac:dyDescent="0.3">
      <c r="J44712"/>
    </row>
    <row r="44713" spans="10:10" x14ac:dyDescent="0.3">
      <c r="J44713"/>
    </row>
    <row r="44714" spans="10:10" x14ac:dyDescent="0.3">
      <c r="J44714"/>
    </row>
    <row r="44715" spans="10:10" x14ac:dyDescent="0.3">
      <c r="J44715"/>
    </row>
    <row r="44716" spans="10:10" x14ac:dyDescent="0.3">
      <c r="J44716"/>
    </row>
    <row r="44717" spans="10:10" x14ac:dyDescent="0.3">
      <c r="J44717"/>
    </row>
    <row r="44718" spans="10:10" x14ac:dyDescent="0.3">
      <c r="J44718"/>
    </row>
    <row r="44719" spans="10:10" x14ac:dyDescent="0.3">
      <c r="J44719"/>
    </row>
    <row r="44720" spans="10:10" x14ac:dyDescent="0.3">
      <c r="J44720"/>
    </row>
    <row r="44721" spans="10:10" x14ac:dyDescent="0.3">
      <c r="J44721"/>
    </row>
    <row r="44722" spans="10:10" x14ac:dyDescent="0.3">
      <c r="J44722"/>
    </row>
    <row r="44723" spans="10:10" x14ac:dyDescent="0.3">
      <c r="J44723"/>
    </row>
    <row r="44724" spans="10:10" x14ac:dyDescent="0.3">
      <c r="J44724"/>
    </row>
    <row r="44725" spans="10:10" x14ac:dyDescent="0.3">
      <c r="J44725"/>
    </row>
    <row r="44726" spans="10:10" x14ac:dyDescent="0.3">
      <c r="J44726"/>
    </row>
    <row r="44727" spans="10:10" x14ac:dyDescent="0.3">
      <c r="J44727"/>
    </row>
    <row r="44728" spans="10:10" x14ac:dyDescent="0.3">
      <c r="J44728"/>
    </row>
    <row r="44729" spans="10:10" x14ac:dyDescent="0.3">
      <c r="J44729"/>
    </row>
    <row r="44730" spans="10:10" x14ac:dyDescent="0.3">
      <c r="J44730"/>
    </row>
    <row r="44731" spans="10:10" x14ac:dyDescent="0.3">
      <c r="J44731"/>
    </row>
    <row r="44732" spans="10:10" x14ac:dyDescent="0.3">
      <c r="J44732"/>
    </row>
    <row r="44733" spans="10:10" x14ac:dyDescent="0.3">
      <c r="J44733"/>
    </row>
    <row r="44734" spans="10:10" x14ac:dyDescent="0.3">
      <c r="J44734"/>
    </row>
    <row r="44735" spans="10:10" x14ac:dyDescent="0.3">
      <c r="J44735"/>
    </row>
    <row r="44736" spans="10:10" x14ac:dyDescent="0.3">
      <c r="J44736"/>
    </row>
    <row r="44737" spans="10:10" x14ac:dyDescent="0.3">
      <c r="J44737"/>
    </row>
    <row r="44738" spans="10:10" x14ac:dyDescent="0.3">
      <c r="J44738"/>
    </row>
    <row r="44739" spans="10:10" x14ac:dyDescent="0.3">
      <c r="J44739"/>
    </row>
    <row r="44740" spans="10:10" x14ac:dyDescent="0.3">
      <c r="J44740"/>
    </row>
    <row r="44741" spans="10:10" x14ac:dyDescent="0.3">
      <c r="J44741"/>
    </row>
    <row r="44742" spans="10:10" x14ac:dyDescent="0.3">
      <c r="J44742"/>
    </row>
    <row r="44743" spans="10:10" x14ac:dyDescent="0.3">
      <c r="J44743"/>
    </row>
    <row r="44744" spans="10:10" x14ac:dyDescent="0.3">
      <c r="J44744"/>
    </row>
    <row r="44745" spans="10:10" x14ac:dyDescent="0.3">
      <c r="J44745"/>
    </row>
    <row r="44746" spans="10:10" x14ac:dyDescent="0.3">
      <c r="J44746"/>
    </row>
    <row r="44747" spans="10:10" x14ac:dyDescent="0.3">
      <c r="J44747"/>
    </row>
    <row r="44748" spans="10:10" x14ac:dyDescent="0.3">
      <c r="J44748"/>
    </row>
    <row r="44749" spans="10:10" x14ac:dyDescent="0.3">
      <c r="J44749"/>
    </row>
    <row r="44750" spans="10:10" x14ac:dyDescent="0.3">
      <c r="J44750"/>
    </row>
    <row r="44751" spans="10:10" x14ac:dyDescent="0.3">
      <c r="J44751"/>
    </row>
    <row r="44752" spans="10:10" x14ac:dyDescent="0.3">
      <c r="J44752"/>
    </row>
    <row r="44753" spans="10:10" x14ac:dyDescent="0.3">
      <c r="J44753"/>
    </row>
    <row r="44754" spans="10:10" x14ac:dyDescent="0.3">
      <c r="J44754"/>
    </row>
    <row r="44755" spans="10:10" x14ac:dyDescent="0.3">
      <c r="J44755"/>
    </row>
    <row r="44756" spans="10:10" x14ac:dyDescent="0.3">
      <c r="J44756"/>
    </row>
    <row r="44757" spans="10:10" x14ac:dyDescent="0.3">
      <c r="J44757"/>
    </row>
    <row r="44758" spans="10:10" x14ac:dyDescent="0.3">
      <c r="J44758"/>
    </row>
    <row r="44759" spans="10:10" x14ac:dyDescent="0.3">
      <c r="J44759"/>
    </row>
    <row r="44760" spans="10:10" x14ac:dyDescent="0.3">
      <c r="J44760"/>
    </row>
    <row r="44761" spans="10:10" x14ac:dyDescent="0.3">
      <c r="J44761"/>
    </row>
    <row r="44762" spans="10:10" x14ac:dyDescent="0.3">
      <c r="J44762"/>
    </row>
    <row r="44763" spans="10:10" x14ac:dyDescent="0.3">
      <c r="J44763"/>
    </row>
    <row r="44764" spans="10:10" x14ac:dyDescent="0.3">
      <c r="J44764"/>
    </row>
    <row r="44765" spans="10:10" x14ac:dyDescent="0.3">
      <c r="J44765"/>
    </row>
    <row r="44766" spans="10:10" x14ac:dyDescent="0.3">
      <c r="J44766"/>
    </row>
    <row r="44767" spans="10:10" x14ac:dyDescent="0.3">
      <c r="J44767"/>
    </row>
    <row r="44768" spans="10:10" x14ac:dyDescent="0.3">
      <c r="J44768"/>
    </row>
    <row r="44769" spans="10:10" x14ac:dyDescent="0.3">
      <c r="J44769"/>
    </row>
    <row r="44770" spans="10:10" x14ac:dyDescent="0.3">
      <c r="J44770"/>
    </row>
    <row r="44771" spans="10:10" x14ac:dyDescent="0.3">
      <c r="J44771"/>
    </row>
    <row r="44772" spans="10:10" x14ac:dyDescent="0.3">
      <c r="J44772"/>
    </row>
    <row r="44773" spans="10:10" x14ac:dyDescent="0.3">
      <c r="J44773"/>
    </row>
    <row r="44774" spans="10:10" x14ac:dyDescent="0.3">
      <c r="J44774"/>
    </row>
    <row r="44775" spans="10:10" x14ac:dyDescent="0.3">
      <c r="J44775"/>
    </row>
    <row r="44776" spans="10:10" x14ac:dyDescent="0.3">
      <c r="J44776"/>
    </row>
    <row r="44777" spans="10:10" x14ac:dyDescent="0.3">
      <c r="J44777"/>
    </row>
    <row r="44778" spans="10:10" x14ac:dyDescent="0.3">
      <c r="J44778"/>
    </row>
    <row r="44779" spans="10:10" x14ac:dyDescent="0.3">
      <c r="J44779"/>
    </row>
    <row r="44780" spans="10:10" x14ac:dyDescent="0.3">
      <c r="J44780"/>
    </row>
    <row r="44781" spans="10:10" x14ac:dyDescent="0.3">
      <c r="J44781"/>
    </row>
    <row r="44782" spans="10:10" x14ac:dyDescent="0.3">
      <c r="J44782"/>
    </row>
    <row r="44783" spans="10:10" x14ac:dyDescent="0.3">
      <c r="J44783"/>
    </row>
    <row r="44784" spans="10:10" x14ac:dyDescent="0.3">
      <c r="J44784"/>
    </row>
    <row r="44785" spans="10:10" x14ac:dyDescent="0.3">
      <c r="J44785"/>
    </row>
    <row r="44786" spans="10:10" x14ac:dyDescent="0.3">
      <c r="J44786"/>
    </row>
    <row r="44787" spans="10:10" x14ac:dyDescent="0.3">
      <c r="J44787"/>
    </row>
    <row r="44788" spans="10:10" x14ac:dyDescent="0.3">
      <c r="J44788"/>
    </row>
    <row r="44789" spans="10:10" x14ac:dyDescent="0.3">
      <c r="J44789"/>
    </row>
    <row r="44790" spans="10:10" x14ac:dyDescent="0.3">
      <c r="J44790"/>
    </row>
    <row r="44791" spans="10:10" x14ac:dyDescent="0.3">
      <c r="J44791"/>
    </row>
    <row r="44792" spans="10:10" x14ac:dyDescent="0.3">
      <c r="J44792"/>
    </row>
    <row r="44793" spans="10:10" x14ac:dyDescent="0.3">
      <c r="J44793"/>
    </row>
    <row r="44794" spans="10:10" x14ac:dyDescent="0.3">
      <c r="J44794"/>
    </row>
    <row r="44795" spans="10:10" x14ac:dyDescent="0.3">
      <c r="J44795"/>
    </row>
    <row r="44796" spans="10:10" x14ac:dyDescent="0.3">
      <c r="J44796"/>
    </row>
    <row r="44797" spans="10:10" x14ac:dyDescent="0.3">
      <c r="J44797"/>
    </row>
    <row r="44798" spans="10:10" x14ac:dyDescent="0.3">
      <c r="J44798"/>
    </row>
    <row r="44799" spans="10:10" x14ac:dyDescent="0.3">
      <c r="J44799"/>
    </row>
    <row r="44800" spans="10:10" x14ac:dyDescent="0.3">
      <c r="J44800"/>
    </row>
    <row r="44801" spans="10:10" x14ac:dyDescent="0.3">
      <c r="J44801"/>
    </row>
    <row r="44802" spans="10:10" x14ac:dyDescent="0.3">
      <c r="J44802"/>
    </row>
    <row r="44803" spans="10:10" x14ac:dyDescent="0.3">
      <c r="J44803"/>
    </row>
    <row r="44804" spans="10:10" x14ac:dyDescent="0.3">
      <c r="J44804"/>
    </row>
    <row r="44805" spans="10:10" x14ac:dyDescent="0.3">
      <c r="J44805"/>
    </row>
    <row r="44806" spans="10:10" x14ac:dyDescent="0.3">
      <c r="J44806"/>
    </row>
    <row r="44807" spans="10:10" x14ac:dyDescent="0.3">
      <c r="J44807"/>
    </row>
    <row r="44808" spans="10:10" x14ac:dyDescent="0.3">
      <c r="J44808"/>
    </row>
    <row r="44809" spans="10:10" x14ac:dyDescent="0.3">
      <c r="J44809"/>
    </row>
    <row r="44810" spans="10:10" x14ac:dyDescent="0.3">
      <c r="J44810"/>
    </row>
    <row r="44811" spans="10:10" x14ac:dyDescent="0.3">
      <c r="J44811"/>
    </row>
    <row r="44812" spans="10:10" x14ac:dyDescent="0.3">
      <c r="J44812"/>
    </row>
    <row r="44813" spans="10:10" x14ac:dyDescent="0.3">
      <c r="J44813"/>
    </row>
    <row r="44814" spans="10:10" x14ac:dyDescent="0.3">
      <c r="J44814"/>
    </row>
    <row r="44815" spans="10:10" x14ac:dyDescent="0.3">
      <c r="J44815"/>
    </row>
    <row r="44816" spans="10:10" x14ac:dyDescent="0.3">
      <c r="J44816"/>
    </row>
    <row r="44817" spans="10:10" x14ac:dyDescent="0.3">
      <c r="J44817"/>
    </row>
    <row r="44818" spans="10:10" x14ac:dyDescent="0.3">
      <c r="J44818"/>
    </row>
    <row r="44819" spans="10:10" x14ac:dyDescent="0.3">
      <c r="J44819"/>
    </row>
    <row r="44820" spans="10:10" x14ac:dyDescent="0.3">
      <c r="J44820"/>
    </row>
    <row r="44821" spans="10:10" x14ac:dyDescent="0.3">
      <c r="J44821"/>
    </row>
    <row r="44822" spans="10:10" x14ac:dyDescent="0.3">
      <c r="J44822"/>
    </row>
    <row r="44823" spans="10:10" x14ac:dyDescent="0.3">
      <c r="J44823"/>
    </row>
    <row r="44824" spans="10:10" x14ac:dyDescent="0.3">
      <c r="J44824"/>
    </row>
    <row r="44825" spans="10:10" x14ac:dyDescent="0.3">
      <c r="J44825"/>
    </row>
    <row r="44826" spans="10:10" x14ac:dyDescent="0.3">
      <c r="J44826"/>
    </row>
    <row r="44827" spans="10:10" x14ac:dyDescent="0.3">
      <c r="J44827"/>
    </row>
    <row r="44828" spans="10:10" x14ac:dyDescent="0.3">
      <c r="J44828"/>
    </row>
    <row r="44829" spans="10:10" x14ac:dyDescent="0.3">
      <c r="J44829"/>
    </row>
    <row r="44830" spans="10:10" x14ac:dyDescent="0.3">
      <c r="J44830"/>
    </row>
    <row r="44831" spans="10:10" x14ac:dyDescent="0.3">
      <c r="J44831"/>
    </row>
    <row r="44832" spans="10:10" x14ac:dyDescent="0.3">
      <c r="J44832"/>
    </row>
    <row r="44833" spans="10:10" x14ac:dyDescent="0.3">
      <c r="J44833"/>
    </row>
    <row r="44834" spans="10:10" x14ac:dyDescent="0.3">
      <c r="J44834"/>
    </row>
    <row r="44835" spans="10:10" x14ac:dyDescent="0.3">
      <c r="J44835"/>
    </row>
    <row r="44836" spans="10:10" x14ac:dyDescent="0.3">
      <c r="J44836"/>
    </row>
    <row r="44837" spans="10:10" x14ac:dyDescent="0.3">
      <c r="J44837"/>
    </row>
    <row r="44838" spans="10:10" x14ac:dyDescent="0.3">
      <c r="J44838"/>
    </row>
    <row r="44839" spans="10:10" x14ac:dyDescent="0.3">
      <c r="J44839"/>
    </row>
    <row r="44840" spans="10:10" x14ac:dyDescent="0.3">
      <c r="J44840"/>
    </row>
    <row r="44841" spans="10:10" x14ac:dyDescent="0.3">
      <c r="J44841"/>
    </row>
    <row r="44842" spans="10:10" x14ac:dyDescent="0.3">
      <c r="J44842"/>
    </row>
    <row r="44843" spans="10:10" x14ac:dyDescent="0.3">
      <c r="J44843"/>
    </row>
    <row r="44844" spans="10:10" x14ac:dyDescent="0.3">
      <c r="J44844"/>
    </row>
    <row r="44845" spans="10:10" x14ac:dyDescent="0.3">
      <c r="J44845"/>
    </row>
    <row r="44846" spans="10:10" x14ac:dyDescent="0.3">
      <c r="J44846"/>
    </row>
    <row r="44847" spans="10:10" x14ac:dyDescent="0.3">
      <c r="J44847"/>
    </row>
    <row r="44848" spans="10:10" x14ac:dyDescent="0.3">
      <c r="J44848"/>
    </row>
    <row r="44849" spans="10:10" x14ac:dyDescent="0.3">
      <c r="J44849"/>
    </row>
    <row r="44850" spans="10:10" x14ac:dyDescent="0.3">
      <c r="J44850"/>
    </row>
    <row r="44851" spans="10:10" x14ac:dyDescent="0.3">
      <c r="J44851"/>
    </row>
    <row r="44852" spans="10:10" x14ac:dyDescent="0.3">
      <c r="J44852"/>
    </row>
    <row r="44853" spans="10:10" x14ac:dyDescent="0.3">
      <c r="J44853"/>
    </row>
    <row r="44854" spans="10:10" x14ac:dyDescent="0.3">
      <c r="J44854"/>
    </row>
    <row r="44855" spans="10:10" x14ac:dyDescent="0.3">
      <c r="J44855"/>
    </row>
    <row r="44856" spans="10:10" x14ac:dyDescent="0.3">
      <c r="J44856"/>
    </row>
    <row r="44857" spans="10:10" x14ac:dyDescent="0.3">
      <c r="J44857"/>
    </row>
    <row r="44858" spans="10:10" x14ac:dyDescent="0.3">
      <c r="J44858"/>
    </row>
    <row r="44859" spans="10:10" x14ac:dyDescent="0.3">
      <c r="J44859"/>
    </row>
    <row r="44860" spans="10:10" x14ac:dyDescent="0.3">
      <c r="J44860"/>
    </row>
    <row r="44861" spans="10:10" x14ac:dyDescent="0.3">
      <c r="J44861"/>
    </row>
    <row r="44862" spans="10:10" x14ac:dyDescent="0.3">
      <c r="J44862"/>
    </row>
    <row r="44863" spans="10:10" x14ac:dyDescent="0.3">
      <c r="J44863"/>
    </row>
    <row r="44864" spans="10:10" x14ac:dyDescent="0.3">
      <c r="J44864"/>
    </row>
    <row r="44865" spans="10:10" x14ac:dyDescent="0.3">
      <c r="J44865"/>
    </row>
    <row r="44866" spans="10:10" x14ac:dyDescent="0.3">
      <c r="J44866"/>
    </row>
    <row r="44867" spans="10:10" x14ac:dyDescent="0.3">
      <c r="J44867"/>
    </row>
    <row r="44868" spans="10:10" x14ac:dyDescent="0.3">
      <c r="J44868"/>
    </row>
    <row r="44869" spans="10:10" x14ac:dyDescent="0.3">
      <c r="J44869"/>
    </row>
    <row r="44870" spans="10:10" x14ac:dyDescent="0.3">
      <c r="J44870"/>
    </row>
    <row r="44871" spans="10:10" x14ac:dyDescent="0.3">
      <c r="J44871"/>
    </row>
    <row r="44872" spans="10:10" x14ac:dyDescent="0.3">
      <c r="J44872"/>
    </row>
    <row r="44873" spans="10:10" x14ac:dyDescent="0.3">
      <c r="J44873"/>
    </row>
    <row r="44874" spans="10:10" x14ac:dyDescent="0.3">
      <c r="J44874"/>
    </row>
    <row r="44875" spans="10:10" x14ac:dyDescent="0.3">
      <c r="J44875"/>
    </row>
    <row r="44876" spans="10:10" x14ac:dyDescent="0.3">
      <c r="J44876"/>
    </row>
    <row r="44877" spans="10:10" x14ac:dyDescent="0.3">
      <c r="J44877"/>
    </row>
    <row r="44878" spans="10:10" x14ac:dyDescent="0.3">
      <c r="J44878"/>
    </row>
    <row r="44879" spans="10:10" x14ac:dyDescent="0.3">
      <c r="J44879"/>
    </row>
    <row r="44880" spans="10:10" x14ac:dyDescent="0.3">
      <c r="J44880"/>
    </row>
    <row r="44881" spans="10:10" x14ac:dyDescent="0.3">
      <c r="J44881"/>
    </row>
    <row r="44882" spans="10:10" x14ac:dyDescent="0.3">
      <c r="J44882"/>
    </row>
    <row r="44883" spans="10:10" x14ac:dyDescent="0.3">
      <c r="J44883"/>
    </row>
    <row r="44884" spans="10:10" x14ac:dyDescent="0.3">
      <c r="J44884"/>
    </row>
    <row r="44885" spans="10:10" x14ac:dyDescent="0.3">
      <c r="J44885"/>
    </row>
    <row r="44886" spans="10:10" x14ac:dyDescent="0.3">
      <c r="J44886"/>
    </row>
    <row r="44887" spans="10:10" x14ac:dyDescent="0.3">
      <c r="J44887"/>
    </row>
    <row r="44888" spans="10:10" x14ac:dyDescent="0.3">
      <c r="J44888"/>
    </row>
    <row r="44889" spans="10:10" x14ac:dyDescent="0.3">
      <c r="J44889"/>
    </row>
    <row r="44890" spans="10:10" x14ac:dyDescent="0.3">
      <c r="J44890"/>
    </row>
    <row r="44891" spans="10:10" x14ac:dyDescent="0.3">
      <c r="J44891"/>
    </row>
    <row r="44892" spans="10:10" x14ac:dyDescent="0.3">
      <c r="J44892"/>
    </row>
    <row r="44893" spans="10:10" x14ac:dyDescent="0.3">
      <c r="J44893"/>
    </row>
    <row r="44894" spans="10:10" x14ac:dyDescent="0.3">
      <c r="J44894"/>
    </row>
    <row r="44895" spans="10:10" x14ac:dyDescent="0.3">
      <c r="J44895"/>
    </row>
    <row r="44896" spans="10:10" x14ac:dyDescent="0.3">
      <c r="J44896"/>
    </row>
    <row r="44897" spans="10:10" x14ac:dyDescent="0.3">
      <c r="J44897"/>
    </row>
    <row r="44898" spans="10:10" x14ac:dyDescent="0.3">
      <c r="J44898"/>
    </row>
    <row r="44899" spans="10:10" x14ac:dyDescent="0.3">
      <c r="J44899"/>
    </row>
    <row r="44900" spans="10:10" x14ac:dyDescent="0.3">
      <c r="J44900"/>
    </row>
    <row r="44901" spans="10:10" x14ac:dyDescent="0.3">
      <c r="J44901"/>
    </row>
    <row r="44902" spans="10:10" x14ac:dyDescent="0.3">
      <c r="J44902"/>
    </row>
    <row r="44903" spans="10:10" x14ac:dyDescent="0.3">
      <c r="J44903"/>
    </row>
    <row r="44904" spans="10:10" x14ac:dyDescent="0.3">
      <c r="J44904"/>
    </row>
    <row r="44905" spans="10:10" x14ac:dyDescent="0.3">
      <c r="J44905"/>
    </row>
    <row r="44906" spans="10:10" x14ac:dyDescent="0.3">
      <c r="J44906"/>
    </row>
    <row r="44907" spans="10:10" x14ac:dyDescent="0.3">
      <c r="J44907"/>
    </row>
    <row r="44908" spans="10:10" x14ac:dyDescent="0.3">
      <c r="J44908"/>
    </row>
    <row r="44909" spans="10:10" x14ac:dyDescent="0.3">
      <c r="J44909"/>
    </row>
    <row r="44910" spans="10:10" x14ac:dyDescent="0.3">
      <c r="J44910"/>
    </row>
    <row r="44911" spans="10:10" x14ac:dyDescent="0.3">
      <c r="J44911"/>
    </row>
    <row r="44912" spans="10:10" x14ac:dyDescent="0.3">
      <c r="J44912"/>
    </row>
    <row r="44913" spans="10:10" x14ac:dyDescent="0.3">
      <c r="J44913"/>
    </row>
    <row r="44914" spans="10:10" x14ac:dyDescent="0.3">
      <c r="J44914"/>
    </row>
    <row r="44915" spans="10:10" x14ac:dyDescent="0.3">
      <c r="J44915"/>
    </row>
    <row r="44916" spans="10:10" x14ac:dyDescent="0.3">
      <c r="J44916"/>
    </row>
    <row r="44917" spans="10:10" x14ac:dyDescent="0.3">
      <c r="J44917"/>
    </row>
    <row r="44918" spans="10:10" x14ac:dyDescent="0.3">
      <c r="J44918"/>
    </row>
    <row r="44919" spans="10:10" x14ac:dyDescent="0.3">
      <c r="J44919"/>
    </row>
    <row r="44920" spans="10:10" x14ac:dyDescent="0.3">
      <c r="J44920"/>
    </row>
    <row r="44921" spans="10:10" x14ac:dyDescent="0.3">
      <c r="J44921"/>
    </row>
    <row r="44922" spans="10:10" x14ac:dyDescent="0.3">
      <c r="J44922"/>
    </row>
    <row r="44923" spans="10:10" x14ac:dyDescent="0.3">
      <c r="J44923"/>
    </row>
    <row r="44924" spans="10:10" x14ac:dyDescent="0.3">
      <c r="J44924"/>
    </row>
    <row r="44925" spans="10:10" x14ac:dyDescent="0.3">
      <c r="J44925"/>
    </row>
    <row r="44926" spans="10:10" x14ac:dyDescent="0.3">
      <c r="J44926"/>
    </row>
    <row r="44927" spans="10:10" x14ac:dyDescent="0.3">
      <c r="J44927"/>
    </row>
    <row r="44928" spans="10:10" x14ac:dyDescent="0.3">
      <c r="J44928"/>
    </row>
    <row r="44929" spans="10:10" x14ac:dyDescent="0.3">
      <c r="J44929"/>
    </row>
    <row r="44930" spans="10:10" x14ac:dyDescent="0.3">
      <c r="J44930"/>
    </row>
    <row r="44931" spans="10:10" x14ac:dyDescent="0.3">
      <c r="J44931"/>
    </row>
    <row r="44932" spans="10:10" x14ac:dyDescent="0.3">
      <c r="J44932"/>
    </row>
    <row r="44933" spans="10:10" x14ac:dyDescent="0.3">
      <c r="J44933"/>
    </row>
    <row r="44934" spans="10:10" x14ac:dyDescent="0.3">
      <c r="J44934"/>
    </row>
    <row r="44935" spans="10:10" x14ac:dyDescent="0.3">
      <c r="J44935"/>
    </row>
    <row r="44936" spans="10:10" x14ac:dyDescent="0.3">
      <c r="J44936"/>
    </row>
    <row r="44937" spans="10:10" x14ac:dyDescent="0.3">
      <c r="J44937"/>
    </row>
    <row r="44938" spans="10:10" x14ac:dyDescent="0.3">
      <c r="J44938"/>
    </row>
    <row r="44939" spans="10:10" x14ac:dyDescent="0.3">
      <c r="J44939"/>
    </row>
    <row r="44940" spans="10:10" x14ac:dyDescent="0.3">
      <c r="J44940"/>
    </row>
    <row r="44941" spans="10:10" x14ac:dyDescent="0.3">
      <c r="J44941"/>
    </row>
    <row r="44942" spans="10:10" x14ac:dyDescent="0.3">
      <c r="J44942"/>
    </row>
    <row r="44943" spans="10:10" x14ac:dyDescent="0.3">
      <c r="J44943"/>
    </row>
    <row r="44944" spans="10:10" x14ac:dyDescent="0.3">
      <c r="J44944"/>
    </row>
    <row r="44945" spans="10:10" x14ac:dyDescent="0.3">
      <c r="J44945"/>
    </row>
    <row r="44946" spans="10:10" x14ac:dyDescent="0.3">
      <c r="J44946"/>
    </row>
    <row r="44947" spans="10:10" x14ac:dyDescent="0.3">
      <c r="J44947"/>
    </row>
    <row r="44948" spans="10:10" x14ac:dyDescent="0.3">
      <c r="J44948"/>
    </row>
    <row r="44949" spans="10:10" x14ac:dyDescent="0.3">
      <c r="J44949"/>
    </row>
    <row r="44950" spans="10:10" x14ac:dyDescent="0.3">
      <c r="J44950"/>
    </row>
    <row r="44951" spans="10:10" x14ac:dyDescent="0.3">
      <c r="J44951"/>
    </row>
    <row r="44952" spans="10:10" x14ac:dyDescent="0.3">
      <c r="J44952"/>
    </row>
    <row r="44953" spans="10:10" x14ac:dyDescent="0.3">
      <c r="J44953"/>
    </row>
    <row r="44954" spans="10:10" x14ac:dyDescent="0.3">
      <c r="J44954"/>
    </row>
    <row r="44955" spans="10:10" x14ac:dyDescent="0.3">
      <c r="J44955"/>
    </row>
    <row r="44956" spans="10:10" x14ac:dyDescent="0.3">
      <c r="J44956"/>
    </row>
    <row r="44957" spans="10:10" x14ac:dyDescent="0.3">
      <c r="J44957"/>
    </row>
    <row r="44958" spans="10:10" x14ac:dyDescent="0.3">
      <c r="J44958"/>
    </row>
    <row r="44959" spans="10:10" x14ac:dyDescent="0.3">
      <c r="J44959"/>
    </row>
    <row r="44960" spans="10:10" x14ac:dyDescent="0.3">
      <c r="J44960"/>
    </row>
    <row r="44961" spans="10:10" x14ac:dyDescent="0.3">
      <c r="J44961"/>
    </row>
    <row r="44962" spans="10:10" x14ac:dyDescent="0.3">
      <c r="J44962"/>
    </row>
    <row r="44963" spans="10:10" x14ac:dyDescent="0.3">
      <c r="J44963"/>
    </row>
    <row r="44964" spans="10:10" x14ac:dyDescent="0.3">
      <c r="J44964"/>
    </row>
    <row r="44965" spans="10:10" x14ac:dyDescent="0.3">
      <c r="J44965"/>
    </row>
    <row r="44966" spans="10:10" x14ac:dyDescent="0.3">
      <c r="J44966"/>
    </row>
    <row r="44967" spans="10:10" x14ac:dyDescent="0.3">
      <c r="J44967"/>
    </row>
    <row r="44968" spans="10:10" x14ac:dyDescent="0.3">
      <c r="J44968"/>
    </row>
    <row r="44969" spans="10:10" x14ac:dyDescent="0.3">
      <c r="J44969"/>
    </row>
    <row r="44970" spans="10:10" x14ac:dyDescent="0.3">
      <c r="J44970"/>
    </row>
    <row r="44971" spans="10:10" x14ac:dyDescent="0.3">
      <c r="J44971"/>
    </row>
    <row r="44972" spans="10:10" x14ac:dyDescent="0.3">
      <c r="J44972"/>
    </row>
    <row r="44973" spans="10:10" x14ac:dyDescent="0.3">
      <c r="J44973"/>
    </row>
    <row r="44974" spans="10:10" x14ac:dyDescent="0.3">
      <c r="J44974"/>
    </row>
    <row r="44975" spans="10:10" x14ac:dyDescent="0.3">
      <c r="J44975"/>
    </row>
    <row r="44976" spans="10:10" x14ac:dyDescent="0.3">
      <c r="J44976"/>
    </row>
    <row r="44977" spans="10:10" x14ac:dyDescent="0.3">
      <c r="J44977"/>
    </row>
    <row r="44978" spans="10:10" x14ac:dyDescent="0.3">
      <c r="J44978"/>
    </row>
    <row r="44979" spans="10:10" x14ac:dyDescent="0.3">
      <c r="J44979"/>
    </row>
    <row r="44980" spans="10:10" x14ac:dyDescent="0.3">
      <c r="J44980"/>
    </row>
    <row r="44981" spans="10:10" x14ac:dyDescent="0.3">
      <c r="J44981"/>
    </row>
    <row r="44982" spans="10:10" x14ac:dyDescent="0.3">
      <c r="J44982"/>
    </row>
    <row r="44983" spans="10:10" x14ac:dyDescent="0.3">
      <c r="J44983"/>
    </row>
    <row r="44984" spans="10:10" x14ac:dyDescent="0.3">
      <c r="J44984"/>
    </row>
    <row r="44985" spans="10:10" x14ac:dyDescent="0.3">
      <c r="J44985"/>
    </row>
    <row r="44986" spans="10:10" x14ac:dyDescent="0.3">
      <c r="J44986"/>
    </row>
    <row r="44987" spans="10:10" x14ac:dyDescent="0.3">
      <c r="J44987"/>
    </row>
    <row r="44988" spans="10:10" x14ac:dyDescent="0.3">
      <c r="J44988"/>
    </row>
    <row r="44989" spans="10:10" x14ac:dyDescent="0.3">
      <c r="J44989"/>
    </row>
    <row r="44990" spans="10:10" x14ac:dyDescent="0.3">
      <c r="J44990"/>
    </row>
    <row r="44991" spans="10:10" x14ac:dyDescent="0.3">
      <c r="J44991"/>
    </row>
    <row r="44992" spans="10:10" x14ac:dyDescent="0.3">
      <c r="J44992"/>
    </row>
    <row r="44993" spans="10:10" x14ac:dyDescent="0.3">
      <c r="J44993"/>
    </row>
    <row r="44994" spans="10:10" x14ac:dyDescent="0.3">
      <c r="J44994"/>
    </row>
    <row r="44995" spans="10:10" x14ac:dyDescent="0.3">
      <c r="J44995"/>
    </row>
    <row r="44996" spans="10:10" x14ac:dyDescent="0.3">
      <c r="J44996"/>
    </row>
    <row r="44997" spans="10:10" x14ac:dyDescent="0.3">
      <c r="J44997"/>
    </row>
    <row r="44998" spans="10:10" x14ac:dyDescent="0.3">
      <c r="J44998"/>
    </row>
    <row r="44999" spans="10:10" x14ac:dyDescent="0.3">
      <c r="J44999"/>
    </row>
    <row r="45000" spans="10:10" x14ac:dyDescent="0.3">
      <c r="J45000"/>
    </row>
    <row r="45001" spans="10:10" x14ac:dyDescent="0.3">
      <c r="J45001"/>
    </row>
    <row r="45002" spans="10:10" x14ac:dyDescent="0.3">
      <c r="J45002"/>
    </row>
    <row r="45003" spans="10:10" x14ac:dyDescent="0.3">
      <c r="J45003"/>
    </row>
    <row r="45004" spans="10:10" x14ac:dyDescent="0.3">
      <c r="J45004"/>
    </row>
    <row r="45005" spans="10:10" x14ac:dyDescent="0.3">
      <c r="J45005"/>
    </row>
    <row r="45006" spans="10:10" x14ac:dyDescent="0.3">
      <c r="J45006"/>
    </row>
    <row r="45007" spans="10:10" x14ac:dyDescent="0.3">
      <c r="J45007"/>
    </row>
    <row r="45008" spans="10:10" x14ac:dyDescent="0.3">
      <c r="J45008"/>
    </row>
    <row r="45009" spans="10:10" x14ac:dyDescent="0.3">
      <c r="J45009"/>
    </row>
    <row r="45010" spans="10:10" x14ac:dyDescent="0.3">
      <c r="J45010"/>
    </row>
    <row r="45011" spans="10:10" x14ac:dyDescent="0.3">
      <c r="J45011"/>
    </row>
    <row r="45012" spans="10:10" x14ac:dyDescent="0.3">
      <c r="J45012"/>
    </row>
    <row r="45013" spans="10:10" x14ac:dyDescent="0.3">
      <c r="J45013"/>
    </row>
    <row r="45014" spans="10:10" x14ac:dyDescent="0.3">
      <c r="J45014"/>
    </row>
    <row r="45015" spans="10:10" x14ac:dyDescent="0.3">
      <c r="J45015"/>
    </row>
    <row r="45016" spans="10:10" x14ac:dyDescent="0.3">
      <c r="J45016"/>
    </row>
    <row r="45017" spans="10:10" x14ac:dyDescent="0.3">
      <c r="J45017"/>
    </row>
    <row r="45018" spans="10:10" x14ac:dyDescent="0.3">
      <c r="J45018"/>
    </row>
    <row r="45019" spans="10:10" x14ac:dyDescent="0.3">
      <c r="J45019"/>
    </row>
    <row r="45020" spans="10:10" x14ac:dyDescent="0.3">
      <c r="J45020"/>
    </row>
    <row r="45021" spans="10:10" x14ac:dyDescent="0.3">
      <c r="J45021"/>
    </row>
    <row r="45022" spans="10:10" x14ac:dyDescent="0.3">
      <c r="J45022"/>
    </row>
    <row r="45023" spans="10:10" x14ac:dyDescent="0.3">
      <c r="J45023"/>
    </row>
    <row r="45024" spans="10:10" x14ac:dyDescent="0.3">
      <c r="J45024"/>
    </row>
    <row r="45025" spans="10:10" x14ac:dyDescent="0.3">
      <c r="J45025"/>
    </row>
    <row r="45026" spans="10:10" x14ac:dyDescent="0.3">
      <c r="J45026"/>
    </row>
    <row r="45027" spans="10:10" x14ac:dyDescent="0.3">
      <c r="J45027"/>
    </row>
    <row r="45028" spans="10:10" x14ac:dyDescent="0.3">
      <c r="J45028"/>
    </row>
    <row r="45029" spans="10:10" x14ac:dyDescent="0.3">
      <c r="J45029"/>
    </row>
    <row r="45030" spans="10:10" x14ac:dyDescent="0.3">
      <c r="J45030"/>
    </row>
    <row r="45031" spans="10:10" x14ac:dyDescent="0.3">
      <c r="J45031"/>
    </row>
    <row r="45032" spans="10:10" x14ac:dyDescent="0.3">
      <c r="J45032"/>
    </row>
    <row r="45033" spans="10:10" x14ac:dyDescent="0.3">
      <c r="J45033"/>
    </row>
    <row r="45034" spans="10:10" x14ac:dyDescent="0.3">
      <c r="J45034"/>
    </row>
    <row r="45035" spans="10:10" x14ac:dyDescent="0.3">
      <c r="J45035"/>
    </row>
    <row r="45036" spans="10:10" x14ac:dyDescent="0.3">
      <c r="J45036"/>
    </row>
    <row r="45037" spans="10:10" x14ac:dyDescent="0.3">
      <c r="J45037"/>
    </row>
    <row r="45038" spans="10:10" x14ac:dyDescent="0.3">
      <c r="J45038"/>
    </row>
    <row r="45039" spans="10:10" x14ac:dyDescent="0.3">
      <c r="J45039"/>
    </row>
    <row r="45040" spans="10:10" x14ac:dyDescent="0.3">
      <c r="J45040"/>
    </row>
    <row r="45041" spans="10:10" x14ac:dyDescent="0.3">
      <c r="J45041"/>
    </row>
    <row r="45042" spans="10:10" x14ac:dyDescent="0.3">
      <c r="J45042"/>
    </row>
    <row r="45043" spans="10:10" x14ac:dyDescent="0.3">
      <c r="J45043"/>
    </row>
    <row r="45044" spans="10:10" x14ac:dyDescent="0.3">
      <c r="J45044"/>
    </row>
    <row r="45045" spans="10:10" x14ac:dyDescent="0.3">
      <c r="J45045"/>
    </row>
    <row r="45046" spans="10:10" x14ac:dyDescent="0.3">
      <c r="J45046"/>
    </row>
    <row r="45047" spans="10:10" x14ac:dyDescent="0.3">
      <c r="J45047"/>
    </row>
    <row r="45048" spans="10:10" x14ac:dyDescent="0.3">
      <c r="J45048"/>
    </row>
    <row r="45049" spans="10:10" x14ac:dyDescent="0.3">
      <c r="J45049"/>
    </row>
    <row r="45050" spans="10:10" x14ac:dyDescent="0.3">
      <c r="J45050"/>
    </row>
    <row r="45051" spans="10:10" x14ac:dyDescent="0.3">
      <c r="J45051"/>
    </row>
    <row r="45052" spans="10:10" x14ac:dyDescent="0.3">
      <c r="J45052"/>
    </row>
    <row r="45053" spans="10:10" x14ac:dyDescent="0.3">
      <c r="J45053"/>
    </row>
    <row r="45054" spans="10:10" x14ac:dyDescent="0.3">
      <c r="J45054"/>
    </row>
    <row r="45055" spans="10:10" x14ac:dyDescent="0.3">
      <c r="J45055"/>
    </row>
    <row r="45056" spans="10:10" x14ac:dyDescent="0.3">
      <c r="J45056"/>
    </row>
    <row r="45057" spans="10:10" x14ac:dyDescent="0.3">
      <c r="J45057"/>
    </row>
    <row r="45058" spans="10:10" x14ac:dyDescent="0.3">
      <c r="J45058"/>
    </row>
    <row r="45059" spans="10:10" x14ac:dyDescent="0.3">
      <c r="J45059"/>
    </row>
    <row r="45060" spans="10:10" x14ac:dyDescent="0.3">
      <c r="J45060"/>
    </row>
    <row r="45061" spans="10:10" x14ac:dyDescent="0.3">
      <c r="J45061"/>
    </row>
    <row r="45062" spans="10:10" x14ac:dyDescent="0.3">
      <c r="J45062"/>
    </row>
    <row r="45063" spans="10:10" x14ac:dyDescent="0.3">
      <c r="J45063"/>
    </row>
    <row r="45064" spans="10:10" x14ac:dyDescent="0.3">
      <c r="J45064"/>
    </row>
    <row r="45065" spans="10:10" x14ac:dyDescent="0.3">
      <c r="J45065"/>
    </row>
    <row r="45066" spans="10:10" x14ac:dyDescent="0.3">
      <c r="J45066"/>
    </row>
    <row r="45067" spans="10:10" x14ac:dyDescent="0.3">
      <c r="J45067"/>
    </row>
    <row r="45068" spans="10:10" x14ac:dyDescent="0.3">
      <c r="J45068"/>
    </row>
    <row r="45069" spans="10:10" x14ac:dyDescent="0.3">
      <c r="J45069"/>
    </row>
    <row r="45070" spans="10:10" x14ac:dyDescent="0.3">
      <c r="J45070"/>
    </row>
    <row r="45071" spans="10:10" x14ac:dyDescent="0.3">
      <c r="J45071"/>
    </row>
    <row r="45072" spans="10:10" x14ac:dyDescent="0.3">
      <c r="J45072"/>
    </row>
    <row r="45073" spans="10:10" x14ac:dyDescent="0.3">
      <c r="J45073"/>
    </row>
    <row r="45074" spans="10:10" x14ac:dyDescent="0.3">
      <c r="J45074"/>
    </row>
    <row r="45075" spans="10:10" x14ac:dyDescent="0.3">
      <c r="J45075"/>
    </row>
    <row r="45076" spans="10:10" x14ac:dyDescent="0.3">
      <c r="J45076"/>
    </row>
    <row r="45077" spans="10:10" x14ac:dyDescent="0.3">
      <c r="J45077"/>
    </row>
    <row r="45078" spans="10:10" x14ac:dyDescent="0.3">
      <c r="J45078"/>
    </row>
    <row r="45079" spans="10:10" x14ac:dyDescent="0.3">
      <c r="J45079"/>
    </row>
    <row r="45080" spans="10:10" x14ac:dyDescent="0.3">
      <c r="J45080"/>
    </row>
    <row r="45081" spans="10:10" x14ac:dyDescent="0.3">
      <c r="J45081"/>
    </row>
    <row r="45082" spans="10:10" x14ac:dyDescent="0.3">
      <c r="J45082"/>
    </row>
    <row r="45083" spans="10:10" x14ac:dyDescent="0.3">
      <c r="J45083"/>
    </row>
    <row r="45084" spans="10:10" x14ac:dyDescent="0.3">
      <c r="J45084"/>
    </row>
    <row r="45085" spans="10:10" x14ac:dyDescent="0.3">
      <c r="J45085"/>
    </row>
    <row r="45086" spans="10:10" x14ac:dyDescent="0.3">
      <c r="J45086"/>
    </row>
    <row r="45087" spans="10:10" x14ac:dyDescent="0.3">
      <c r="J45087"/>
    </row>
    <row r="45088" spans="10:10" x14ac:dyDescent="0.3">
      <c r="J45088"/>
    </row>
    <row r="45089" spans="10:10" x14ac:dyDescent="0.3">
      <c r="J45089"/>
    </row>
    <row r="45090" spans="10:10" x14ac:dyDescent="0.3">
      <c r="J45090"/>
    </row>
    <row r="45091" spans="10:10" x14ac:dyDescent="0.3">
      <c r="J45091"/>
    </row>
    <row r="45092" spans="10:10" x14ac:dyDescent="0.3">
      <c r="J45092"/>
    </row>
    <row r="45093" spans="10:10" x14ac:dyDescent="0.3">
      <c r="J45093"/>
    </row>
    <row r="45094" spans="10:10" x14ac:dyDescent="0.3">
      <c r="J45094"/>
    </row>
    <row r="45095" spans="10:10" x14ac:dyDescent="0.3">
      <c r="J45095"/>
    </row>
    <row r="45096" spans="10:10" x14ac:dyDescent="0.3">
      <c r="J45096"/>
    </row>
    <row r="45097" spans="10:10" x14ac:dyDescent="0.3">
      <c r="J45097"/>
    </row>
    <row r="45098" spans="10:10" x14ac:dyDescent="0.3">
      <c r="J45098"/>
    </row>
    <row r="45099" spans="10:10" x14ac:dyDescent="0.3">
      <c r="J45099"/>
    </row>
    <row r="45100" spans="10:10" x14ac:dyDescent="0.3">
      <c r="J45100"/>
    </row>
    <row r="45101" spans="10:10" x14ac:dyDescent="0.3">
      <c r="J45101"/>
    </row>
    <row r="45102" spans="10:10" x14ac:dyDescent="0.3">
      <c r="J45102"/>
    </row>
    <row r="45103" spans="10:10" x14ac:dyDescent="0.3">
      <c r="J45103"/>
    </row>
    <row r="45104" spans="10:10" x14ac:dyDescent="0.3">
      <c r="J45104"/>
    </row>
    <row r="45105" spans="10:10" x14ac:dyDescent="0.3">
      <c r="J45105"/>
    </row>
    <row r="45106" spans="10:10" x14ac:dyDescent="0.3">
      <c r="J45106"/>
    </row>
    <row r="45107" spans="10:10" x14ac:dyDescent="0.3">
      <c r="J45107"/>
    </row>
    <row r="45108" spans="10:10" x14ac:dyDescent="0.3">
      <c r="J45108"/>
    </row>
    <row r="45109" spans="10:10" x14ac:dyDescent="0.3">
      <c r="J45109"/>
    </row>
    <row r="45110" spans="10:10" x14ac:dyDescent="0.3">
      <c r="J45110"/>
    </row>
    <row r="45111" spans="10:10" x14ac:dyDescent="0.3">
      <c r="J45111"/>
    </row>
    <row r="45112" spans="10:10" x14ac:dyDescent="0.3">
      <c r="J45112"/>
    </row>
    <row r="45113" spans="10:10" x14ac:dyDescent="0.3">
      <c r="J45113"/>
    </row>
    <row r="45114" spans="10:10" x14ac:dyDescent="0.3">
      <c r="J45114"/>
    </row>
    <row r="45115" spans="10:10" x14ac:dyDescent="0.3">
      <c r="J45115"/>
    </row>
    <row r="45116" spans="10:10" x14ac:dyDescent="0.3">
      <c r="J45116"/>
    </row>
    <row r="45117" spans="10:10" x14ac:dyDescent="0.3">
      <c r="J45117"/>
    </row>
    <row r="45118" spans="10:10" x14ac:dyDescent="0.3">
      <c r="J45118"/>
    </row>
    <row r="45119" spans="10:10" x14ac:dyDescent="0.3">
      <c r="J45119"/>
    </row>
    <row r="45120" spans="10:10" x14ac:dyDescent="0.3">
      <c r="J45120"/>
    </row>
    <row r="45121" spans="10:10" x14ac:dyDescent="0.3">
      <c r="J45121"/>
    </row>
    <row r="45122" spans="10:10" x14ac:dyDescent="0.3">
      <c r="J45122"/>
    </row>
    <row r="45123" spans="10:10" x14ac:dyDescent="0.3">
      <c r="J45123"/>
    </row>
    <row r="45124" spans="10:10" x14ac:dyDescent="0.3">
      <c r="J45124"/>
    </row>
    <row r="45125" spans="10:10" x14ac:dyDescent="0.3">
      <c r="J45125"/>
    </row>
    <row r="45126" spans="10:10" x14ac:dyDescent="0.3">
      <c r="J45126"/>
    </row>
    <row r="45127" spans="10:10" x14ac:dyDescent="0.3">
      <c r="J45127"/>
    </row>
    <row r="45128" spans="10:10" x14ac:dyDescent="0.3">
      <c r="J45128"/>
    </row>
    <row r="45129" spans="10:10" x14ac:dyDescent="0.3">
      <c r="J45129"/>
    </row>
    <row r="45130" spans="10:10" x14ac:dyDescent="0.3">
      <c r="J45130"/>
    </row>
    <row r="45131" spans="10:10" x14ac:dyDescent="0.3">
      <c r="J45131"/>
    </row>
    <row r="45132" spans="10:10" x14ac:dyDescent="0.3">
      <c r="J45132"/>
    </row>
    <row r="45133" spans="10:10" x14ac:dyDescent="0.3">
      <c r="J45133"/>
    </row>
    <row r="45134" spans="10:10" x14ac:dyDescent="0.3">
      <c r="J45134"/>
    </row>
    <row r="45135" spans="10:10" x14ac:dyDescent="0.3">
      <c r="J45135"/>
    </row>
    <row r="45136" spans="10:10" x14ac:dyDescent="0.3">
      <c r="J45136"/>
    </row>
    <row r="45137" spans="10:10" x14ac:dyDescent="0.3">
      <c r="J45137"/>
    </row>
    <row r="45138" spans="10:10" x14ac:dyDescent="0.3">
      <c r="J45138"/>
    </row>
    <row r="45139" spans="10:10" x14ac:dyDescent="0.3">
      <c r="J45139"/>
    </row>
    <row r="45140" spans="10:10" x14ac:dyDescent="0.3">
      <c r="J45140"/>
    </row>
    <row r="45141" spans="10:10" x14ac:dyDescent="0.3">
      <c r="J45141"/>
    </row>
    <row r="45142" spans="10:10" x14ac:dyDescent="0.3">
      <c r="J45142"/>
    </row>
    <row r="45143" spans="10:10" x14ac:dyDescent="0.3">
      <c r="J45143"/>
    </row>
    <row r="45144" spans="10:10" x14ac:dyDescent="0.3">
      <c r="J45144"/>
    </row>
    <row r="45145" spans="10:10" x14ac:dyDescent="0.3">
      <c r="J45145"/>
    </row>
    <row r="45146" spans="10:10" x14ac:dyDescent="0.3">
      <c r="J45146"/>
    </row>
    <row r="45147" spans="10:10" x14ac:dyDescent="0.3">
      <c r="J45147"/>
    </row>
    <row r="45148" spans="10:10" x14ac:dyDescent="0.3">
      <c r="J45148"/>
    </row>
    <row r="45149" spans="10:10" x14ac:dyDescent="0.3">
      <c r="J45149"/>
    </row>
    <row r="45150" spans="10:10" x14ac:dyDescent="0.3">
      <c r="J45150"/>
    </row>
    <row r="45151" spans="10:10" x14ac:dyDescent="0.3">
      <c r="J45151"/>
    </row>
    <row r="45152" spans="10:10" x14ac:dyDescent="0.3">
      <c r="J45152"/>
    </row>
    <row r="45153" spans="10:10" x14ac:dyDescent="0.3">
      <c r="J45153"/>
    </row>
    <row r="45154" spans="10:10" x14ac:dyDescent="0.3">
      <c r="J45154"/>
    </row>
    <row r="45155" spans="10:10" x14ac:dyDescent="0.3">
      <c r="J45155"/>
    </row>
    <row r="45156" spans="10:10" x14ac:dyDescent="0.3">
      <c r="J45156"/>
    </row>
    <row r="45157" spans="10:10" x14ac:dyDescent="0.3">
      <c r="J45157"/>
    </row>
    <row r="45158" spans="10:10" x14ac:dyDescent="0.3">
      <c r="J45158"/>
    </row>
    <row r="45159" spans="10:10" x14ac:dyDescent="0.3">
      <c r="J45159"/>
    </row>
    <row r="45160" spans="10:10" x14ac:dyDescent="0.3">
      <c r="J45160"/>
    </row>
    <row r="45161" spans="10:10" x14ac:dyDescent="0.3">
      <c r="J45161"/>
    </row>
    <row r="45162" spans="10:10" x14ac:dyDescent="0.3">
      <c r="J45162"/>
    </row>
    <row r="45163" spans="10:10" x14ac:dyDescent="0.3">
      <c r="J45163"/>
    </row>
    <row r="45164" spans="10:10" x14ac:dyDescent="0.3">
      <c r="J45164"/>
    </row>
    <row r="45165" spans="10:10" x14ac:dyDescent="0.3">
      <c r="J45165"/>
    </row>
    <row r="45166" spans="10:10" x14ac:dyDescent="0.3">
      <c r="J45166"/>
    </row>
    <row r="45167" spans="10:10" x14ac:dyDescent="0.3">
      <c r="J45167"/>
    </row>
    <row r="45168" spans="10:10" x14ac:dyDescent="0.3">
      <c r="J45168"/>
    </row>
    <row r="45169" spans="10:10" x14ac:dyDescent="0.3">
      <c r="J45169"/>
    </row>
    <row r="45170" spans="10:10" x14ac:dyDescent="0.3">
      <c r="J45170"/>
    </row>
    <row r="45171" spans="10:10" x14ac:dyDescent="0.3">
      <c r="J45171"/>
    </row>
    <row r="45172" spans="10:10" x14ac:dyDescent="0.3">
      <c r="J45172"/>
    </row>
    <row r="45173" spans="10:10" x14ac:dyDescent="0.3">
      <c r="J45173"/>
    </row>
    <row r="45174" spans="10:10" x14ac:dyDescent="0.3">
      <c r="J45174"/>
    </row>
    <row r="45175" spans="10:10" x14ac:dyDescent="0.3">
      <c r="J45175"/>
    </row>
    <row r="45176" spans="10:10" x14ac:dyDescent="0.3">
      <c r="J45176"/>
    </row>
    <row r="45177" spans="10:10" x14ac:dyDescent="0.3">
      <c r="J45177"/>
    </row>
    <row r="45178" spans="10:10" x14ac:dyDescent="0.3">
      <c r="J45178"/>
    </row>
    <row r="45179" spans="10:10" x14ac:dyDescent="0.3">
      <c r="J45179"/>
    </row>
    <row r="45180" spans="10:10" x14ac:dyDescent="0.3">
      <c r="J45180"/>
    </row>
    <row r="45181" spans="10:10" x14ac:dyDescent="0.3">
      <c r="J45181"/>
    </row>
    <row r="45182" spans="10:10" x14ac:dyDescent="0.3">
      <c r="J45182"/>
    </row>
    <row r="45183" spans="10:10" x14ac:dyDescent="0.3">
      <c r="J45183"/>
    </row>
    <row r="45184" spans="10:10" x14ac:dyDescent="0.3">
      <c r="J45184"/>
    </row>
    <row r="45185" spans="10:10" x14ac:dyDescent="0.3">
      <c r="J45185"/>
    </row>
    <row r="45186" spans="10:10" x14ac:dyDescent="0.3">
      <c r="J45186"/>
    </row>
    <row r="45187" spans="10:10" x14ac:dyDescent="0.3">
      <c r="J45187"/>
    </row>
    <row r="45188" spans="10:10" x14ac:dyDescent="0.3">
      <c r="J45188"/>
    </row>
    <row r="45189" spans="10:10" x14ac:dyDescent="0.3">
      <c r="J45189"/>
    </row>
    <row r="45190" spans="10:10" x14ac:dyDescent="0.3">
      <c r="J45190"/>
    </row>
    <row r="45191" spans="10:10" x14ac:dyDescent="0.3">
      <c r="J45191"/>
    </row>
    <row r="45192" spans="10:10" x14ac:dyDescent="0.3">
      <c r="J45192"/>
    </row>
    <row r="45193" spans="10:10" x14ac:dyDescent="0.3">
      <c r="J45193"/>
    </row>
    <row r="45194" spans="10:10" x14ac:dyDescent="0.3">
      <c r="J45194"/>
    </row>
    <row r="45195" spans="10:10" x14ac:dyDescent="0.3">
      <c r="J45195"/>
    </row>
    <row r="45196" spans="10:10" x14ac:dyDescent="0.3">
      <c r="J45196"/>
    </row>
    <row r="45197" spans="10:10" x14ac:dyDescent="0.3">
      <c r="J45197"/>
    </row>
    <row r="45198" spans="10:10" x14ac:dyDescent="0.3">
      <c r="J45198"/>
    </row>
    <row r="45199" spans="10:10" x14ac:dyDescent="0.3">
      <c r="J45199"/>
    </row>
    <row r="45200" spans="10:10" x14ac:dyDescent="0.3">
      <c r="J45200"/>
    </row>
    <row r="45201" spans="10:10" x14ac:dyDescent="0.3">
      <c r="J45201"/>
    </row>
    <row r="45202" spans="10:10" x14ac:dyDescent="0.3">
      <c r="J45202"/>
    </row>
    <row r="45203" spans="10:10" x14ac:dyDescent="0.3">
      <c r="J45203"/>
    </row>
    <row r="45204" spans="10:10" x14ac:dyDescent="0.3">
      <c r="J45204"/>
    </row>
    <row r="45205" spans="10:10" x14ac:dyDescent="0.3">
      <c r="J45205"/>
    </row>
    <row r="45206" spans="10:10" x14ac:dyDescent="0.3">
      <c r="J45206"/>
    </row>
    <row r="45207" spans="10:10" x14ac:dyDescent="0.3">
      <c r="J45207"/>
    </row>
    <row r="45208" spans="10:10" x14ac:dyDescent="0.3">
      <c r="J45208"/>
    </row>
    <row r="45209" spans="10:10" x14ac:dyDescent="0.3">
      <c r="J45209"/>
    </row>
    <row r="45210" spans="10:10" x14ac:dyDescent="0.3">
      <c r="J45210"/>
    </row>
    <row r="45211" spans="10:10" x14ac:dyDescent="0.3">
      <c r="J45211"/>
    </row>
    <row r="45212" spans="10:10" x14ac:dyDescent="0.3">
      <c r="J45212"/>
    </row>
    <row r="45213" spans="10:10" x14ac:dyDescent="0.3">
      <c r="J45213"/>
    </row>
    <row r="45214" spans="10:10" x14ac:dyDescent="0.3">
      <c r="J45214"/>
    </row>
    <row r="45215" spans="10:10" x14ac:dyDescent="0.3">
      <c r="J45215"/>
    </row>
    <row r="45216" spans="10:10" x14ac:dyDescent="0.3">
      <c r="J45216"/>
    </row>
    <row r="45217" spans="10:10" x14ac:dyDescent="0.3">
      <c r="J45217"/>
    </row>
    <row r="45218" spans="10:10" x14ac:dyDescent="0.3">
      <c r="J45218"/>
    </row>
    <row r="45219" spans="10:10" x14ac:dyDescent="0.3">
      <c r="J45219"/>
    </row>
    <row r="45220" spans="10:10" x14ac:dyDescent="0.3">
      <c r="J45220"/>
    </row>
    <row r="45221" spans="10:10" x14ac:dyDescent="0.3">
      <c r="J45221"/>
    </row>
    <row r="45222" spans="10:10" x14ac:dyDescent="0.3">
      <c r="J45222"/>
    </row>
    <row r="45223" spans="10:10" x14ac:dyDescent="0.3">
      <c r="J45223"/>
    </row>
    <row r="45224" spans="10:10" x14ac:dyDescent="0.3">
      <c r="J45224"/>
    </row>
    <row r="45225" spans="10:10" x14ac:dyDescent="0.3">
      <c r="J45225"/>
    </row>
    <row r="45226" spans="10:10" x14ac:dyDescent="0.3">
      <c r="J45226"/>
    </row>
    <row r="45227" spans="10:10" x14ac:dyDescent="0.3">
      <c r="J45227"/>
    </row>
    <row r="45228" spans="10:10" x14ac:dyDescent="0.3">
      <c r="J45228"/>
    </row>
    <row r="45229" spans="10:10" x14ac:dyDescent="0.3">
      <c r="J45229"/>
    </row>
    <row r="45230" spans="10:10" x14ac:dyDescent="0.3">
      <c r="J45230"/>
    </row>
    <row r="45231" spans="10:10" x14ac:dyDescent="0.3">
      <c r="J45231"/>
    </row>
    <row r="45232" spans="10:10" x14ac:dyDescent="0.3">
      <c r="J45232"/>
    </row>
    <row r="45233" spans="10:10" x14ac:dyDescent="0.3">
      <c r="J45233"/>
    </row>
    <row r="45234" spans="10:10" x14ac:dyDescent="0.3">
      <c r="J45234"/>
    </row>
    <row r="45235" spans="10:10" x14ac:dyDescent="0.3">
      <c r="J45235"/>
    </row>
    <row r="45236" spans="10:10" x14ac:dyDescent="0.3">
      <c r="J45236"/>
    </row>
    <row r="45237" spans="10:10" x14ac:dyDescent="0.3">
      <c r="J45237"/>
    </row>
    <row r="45238" spans="10:10" x14ac:dyDescent="0.3">
      <c r="J45238"/>
    </row>
    <row r="45239" spans="10:10" x14ac:dyDescent="0.3">
      <c r="J45239"/>
    </row>
    <row r="45240" spans="10:10" x14ac:dyDescent="0.3">
      <c r="J45240"/>
    </row>
    <row r="45241" spans="10:10" x14ac:dyDescent="0.3">
      <c r="J45241"/>
    </row>
    <row r="45242" spans="10:10" x14ac:dyDescent="0.3">
      <c r="J45242"/>
    </row>
    <row r="45243" spans="10:10" x14ac:dyDescent="0.3">
      <c r="J45243"/>
    </row>
    <row r="45244" spans="10:10" x14ac:dyDescent="0.3">
      <c r="J45244"/>
    </row>
    <row r="45245" spans="10:10" x14ac:dyDescent="0.3">
      <c r="J45245"/>
    </row>
    <row r="45246" spans="10:10" x14ac:dyDescent="0.3">
      <c r="J45246"/>
    </row>
    <row r="45247" spans="10:10" x14ac:dyDescent="0.3">
      <c r="J45247"/>
    </row>
    <row r="45248" spans="10:10" x14ac:dyDescent="0.3">
      <c r="J45248"/>
    </row>
    <row r="45249" spans="10:10" x14ac:dyDescent="0.3">
      <c r="J45249"/>
    </row>
    <row r="45250" spans="10:10" x14ac:dyDescent="0.3">
      <c r="J45250"/>
    </row>
    <row r="45251" spans="10:10" x14ac:dyDescent="0.3">
      <c r="J45251"/>
    </row>
    <row r="45252" spans="10:10" x14ac:dyDescent="0.3">
      <c r="J45252"/>
    </row>
    <row r="45253" spans="10:10" x14ac:dyDescent="0.3">
      <c r="J45253"/>
    </row>
    <row r="45254" spans="10:10" x14ac:dyDescent="0.3">
      <c r="J45254"/>
    </row>
    <row r="45255" spans="10:10" x14ac:dyDescent="0.3">
      <c r="J45255"/>
    </row>
    <row r="45256" spans="10:10" x14ac:dyDescent="0.3">
      <c r="J45256"/>
    </row>
    <row r="45257" spans="10:10" x14ac:dyDescent="0.3">
      <c r="J45257"/>
    </row>
    <row r="45258" spans="10:10" x14ac:dyDescent="0.3">
      <c r="J45258"/>
    </row>
    <row r="45259" spans="10:10" x14ac:dyDescent="0.3">
      <c r="J45259"/>
    </row>
    <row r="45260" spans="10:10" x14ac:dyDescent="0.3">
      <c r="J45260"/>
    </row>
    <row r="45261" spans="10:10" x14ac:dyDescent="0.3">
      <c r="J45261"/>
    </row>
    <row r="45262" spans="10:10" x14ac:dyDescent="0.3">
      <c r="J45262"/>
    </row>
    <row r="45263" spans="10:10" x14ac:dyDescent="0.3">
      <c r="J45263"/>
    </row>
    <row r="45264" spans="10:10" x14ac:dyDescent="0.3">
      <c r="J45264"/>
    </row>
    <row r="45265" spans="10:10" x14ac:dyDescent="0.3">
      <c r="J45265"/>
    </row>
    <row r="45266" spans="10:10" x14ac:dyDescent="0.3">
      <c r="J45266"/>
    </row>
    <row r="45267" spans="10:10" x14ac:dyDescent="0.3">
      <c r="J45267"/>
    </row>
    <row r="45268" spans="10:10" x14ac:dyDescent="0.3">
      <c r="J45268"/>
    </row>
    <row r="45269" spans="10:10" x14ac:dyDescent="0.3">
      <c r="J45269"/>
    </row>
    <row r="45270" spans="10:10" x14ac:dyDescent="0.3">
      <c r="J45270"/>
    </row>
    <row r="45271" spans="10:10" x14ac:dyDescent="0.3">
      <c r="J45271"/>
    </row>
    <row r="45272" spans="10:10" x14ac:dyDescent="0.3">
      <c r="J45272"/>
    </row>
    <row r="45273" spans="10:10" x14ac:dyDescent="0.3">
      <c r="J45273"/>
    </row>
    <row r="45274" spans="10:10" x14ac:dyDescent="0.3">
      <c r="J45274"/>
    </row>
    <row r="45275" spans="10:10" x14ac:dyDescent="0.3">
      <c r="J45275"/>
    </row>
    <row r="45276" spans="10:10" x14ac:dyDescent="0.3">
      <c r="J45276"/>
    </row>
    <row r="45277" spans="10:10" x14ac:dyDescent="0.3">
      <c r="J45277"/>
    </row>
    <row r="45278" spans="10:10" x14ac:dyDescent="0.3">
      <c r="J45278"/>
    </row>
    <row r="45279" spans="10:10" x14ac:dyDescent="0.3">
      <c r="J45279"/>
    </row>
    <row r="45280" spans="10:10" x14ac:dyDescent="0.3">
      <c r="J45280"/>
    </row>
    <row r="45281" spans="10:10" x14ac:dyDescent="0.3">
      <c r="J45281"/>
    </row>
    <row r="45282" spans="10:10" x14ac:dyDescent="0.3">
      <c r="J45282"/>
    </row>
    <row r="45283" spans="10:10" x14ac:dyDescent="0.3">
      <c r="J45283"/>
    </row>
    <row r="45284" spans="10:10" x14ac:dyDescent="0.3">
      <c r="J45284"/>
    </row>
    <row r="45285" spans="10:10" x14ac:dyDescent="0.3">
      <c r="J45285"/>
    </row>
    <row r="45286" spans="10:10" x14ac:dyDescent="0.3">
      <c r="J45286"/>
    </row>
    <row r="45287" spans="10:10" x14ac:dyDescent="0.3">
      <c r="J45287"/>
    </row>
    <row r="45288" spans="10:10" x14ac:dyDescent="0.3">
      <c r="J45288"/>
    </row>
    <row r="45289" spans="10:10" x14ac:dyDescent="0.3">
      <c r="J45289"/>
    </row>
    <row r="45290" spans="10:10" x14ac:dyDescent="0.3">
      <c r="J45290"/>
    </row>
    <row r="45291" spans="10:10" x14ac:dyDescent="0.3">
      <c r="J45291"/>
    </row>
    <row r="45292" spans="10:10" x14ac:dyDescent="0.3">
      <c r="J45292"/>
    </row>
    <row r="45293" spans="10:10" x14ac:dyDescent="0.3">
      <c r="J45293"/>
    </row>
    <row r="45294" spans="10:10" x14ac:dyDescent="0.3">
      <c r="J45294"/>
    </row>
    <row r="45295" spans="10:10" x14ac:dyDescent="0.3">
      <c r="J45295"/>
    </row>
    <row r="45296" spans="10:10" x14ac:dyDescent="0.3">
      <c r="J45296"/>
    </row>
    <row r="45297" spans="10:10" x14ac:dyDescent="0.3">
      <c r="J45297"/>
    </row>
    <row r="45298" spans="10:10" x14ac:dyDescent="0.3">
      <c r="J45298"/>
    </row>
    <row r="45299" spans="10:10" x14ac:dyDescent="0.3">
      <c r="J45299"/>
    </row>
    <row r="45300" spans="10:10" x14ac:dyDescent="0.3">
      <c r="J45300"/>
    </row>
    <row r="45301" spans="10:10" x14ac:dyDescent="0.3">
      <c r="J45301"/>
    </row>
    <row r="45302" spans="10:10" x14ac:dyDescent="0.3">
      <c r="J45302"/>
    </row>
    <row r="45303" spans="10:10" x14ac:dyDescent="0.3">
      <c r="J45303"/>
    </row>
    <row r="45304" spans="10:10" x14ac:dyDescent="0.3">
      <c r="J45304"/>
    </row>
    <row r="45305" spans="10:10" x14ac:dyDescent="0.3">
      <c r="J45305"/>
    </row>
    <row r="45306" spans="10:10" x14ac:dyDescent="0.3">
      <c r="J45306"/>
    </row>
    <row r="45307" spans="10:10" x14ac:dyDescent="0.3">
      <c r="J45307"/>
    </row>
    <row r="45308" spans="10:10" x14ac:dyDescent="0.3">
      <c r="J45308"/>
    </row>
    <row r="45309" spans="10:10" x14ac:dyDescent="0.3">
      <c r="J45309"/>
    </row>
    <row r="45310" spans="10:10" x14ac:dyDescent="0.3">
      <c r="J45310"/>
    </row>
    <row r="45311" spans="10:10" x14ac:dyDescent="0.3">
      <c r="J45311"/>
    </row>
    <row r="45312" spans="10:10" x14ac:dyDescent="0.3">
      <c r="J45312"/>
    </row>
    <row r="45313" spans="10:10" x14ac:dyDescent="0.3">
      <c r="J45313"/>
    </row>
    <row r="45314" spans="10:10" x14ac:dyDescent="0.3">
      <c r="J45314"/>
    </row>
    <row r="45315" spans="10:10" x14ac:dyDescent="0.3">
      <c r="J45315"/>
    </row>
    <row r="45316" spans="10:10" x14ac:dyDescent="0.3">
      <c r="J45316"/>
    </row>
    <row r="45317" spans="10:10" x14ac:dyDescent="0.3">
      <c r="J45317"/>
    </row>
    <row r="45318" spans="10:10" x14ac:dyDescent="0.3">
      <c r="J45318"/>
    </row>
    <row r="45319" spans="10:10" x14ac:dyDescent="0.3">
      <c r="J45319"/>
    </row>
    <row r="45320" spans="10:10" x14ac:dyDescent="0.3">
      <c r="J45320"/>
    </row>
    <row r="45321" spans="10:10" x14ac:dyDescent="0.3">
      <c r="J45321"/>
    </row>
    <row r="45322" spans="10:10" x14ac:dyDescent="0.3">
      <c r="J45322"/>
    </row>
    <row r="45323" spans="10:10" x14ac:dyDescent="0.3">
      <c r="J45323"/>
    </row>
    <row r="45324" spans="10:10" x14ac:dyDescent="0.3">
      <c r="J45324"/>
    </row>
    <row r="45325" spans="10:10" x14ac:dyDescent="0.3">
      <c r="J45325"/>
    </row>
    <row r="45326" spans="10:10" x14ac:dyDescent="0.3">
      <c r="J45326"/>
    </row>
    <row r="45327" spans="10:10" x14ac:dyDescent="0.3">
      <c r="J45327"/>
    </row>
    <row r="45328" spans="10:10" x14ac:dyDescent="0.3">
      <c r="J45328"/>
    </row>
    <row r="45329" spans="10:10" x14ac:dyDescent="0.3">
      <c r="J45329"/>
    </row>
    <row r="45330" spans="10:10" x14ac:dyDescent="0.3">
      <c r="J45330"/>
    </row>
    <row r="45331" spans="10:10" x14ac:dyDescent="0.3">
      <c r="J45331"/>
    </row>
    <row r="45332" spans="10:10" x14ac:dyDescent="0.3">
      <c r="J45332"/>
    </row>
    <row r="45333" spans="10:10" x14ac:dyDescent="0.3">
      <c r="J45333"/>
    </row>
    <row r="45334" spans="10:10" x14ac:dyDescent="0.3">
      <c r="J45334"/>
    </row>
    <row r="45335" spans="10:10" x14ac:dyDescent="0.3">
      <c r="J45335"/>
    </row>
    <row r="45336" spans="10:10" x14ac:dyDescent="0.3">
      <c r="J45336"/>
    </row>
    <row r="45337" spans="10:10" x14ac:dyDescent="0.3">
      <c r="J45337"/>
    </row>
    <row r="45338" spans="10:10" x14ac:dyDescent="0.3">
      <c r="J45338"/>
    </row>
    <row r="45339" spans="10:10" x14ac:dyDescent="0.3">
      <c r="J45339"/>
    </row>
    <row r="45340" spans="10:10" x14ac:dyDescent="0.3">
      <c r="J45340"/>
    </row>
    <row r="45341" spans="10:10" x14ac:dyDescent="0.3">
      <c r="J45341"/>
    </row>
    <row r="45342" spans="10:10" x14ac:dyDescent="0.3">
      <c r="J45342"/>
    </row>
    <row r="45343" spans="10:10" x14ac:dyDescent="0.3">
      <c r="J45343"/>
    </row>
    <row r="45344" spans="10:10" x14ac:dyDescent="0.3">
      <c r="J45344"/>
    </row>
    <row r="45345" spans="10:10" x14ac:dyDescent="0.3">
      <c r="J45345"/>
    </row>
    <row r="45346" spans="10:10" x14ac:dyDescent="0.3">
      <c r="J45346"/>
    </row>
    <row r="45347" spans="10:10" x14ac:dyDescent="0.3">
      <c r="J45347"/>
    </row>
    <row r="45348" spans="10:10" x14ac:dyDescent="0.3">
      <c r="J45348"/>
    </row>
    <row r="45349" spans="10:10" x14ac:dyDescent="0.3">
      <c r="J45349"/>
    </row>
    <row r="45350" spans="10:10" x14ac:dyDescent="0.3">
      <c r="J45350"/>
    </row>
    <row r="45351" spans="10:10" x14ac:dyDescent="0.3">
      <c r="J45351"/>
    </row>
    <row r="45352" spans="10:10" x14ac:dyDescent="0.3">
      <c r="J45352"/>
    </row>
    <row r="45353" spans="10:10" x14ac:dyDescent="0.3">
      <c r="J45353"/>
    </row>
    <row r="45354" spans="10:10" x14ac:dyDescent="0.3">
      <c r="J45354"/>
    </row>
    <row r="45355" spans="10:10" x14ac:dyDescent="0.3">
      <c r="J45355"/>
    </row>
    <row r="45356" spans="10:10" x14ac:dyDescent="0.3">
      <c r="J45356"/>
    </row>
    <row r="45357" spans="10:10" x14ac:dyDescent="0.3">
      <c r="J45357"/>
    </row>
    <row r="45358" spans="10:10" x14ac:dyDescent="0.3">
      <c r="J45358"/>
    </row>
    <row r="45359" spans="10:10" x14ac:dyDescent="0.3">
      <c r="J45359"/>
    </row>
    <row r="45360" spans="10:10" x14ac:dyDescent="0.3">
      <c r="J45360"/>
    </row>
    <row r="45361" spans="10:10" x14ac:dyDescent="0.3">
      <c r="J45361"/>
    </row>
    <row r="45362" spans="10:10" x14ac:dyDescent="0.3">
      <c r="J45362"/>
    </row>
    <row r="45363" spans="10:10" x14ac:dyDescent="0.3">
      <c r="J45363"/>
    </row>
    <row r="45364" spans="10:10" x14ac:dyDescent="0.3">
      <c r="J45364"/>
    </row>
    <row r="45365" spans="10:10" x14ac:dyDescent="0.3">
      <c r="J45365"/>
    </row>
    <row r="45366" spans="10:10" x14ac:dyDescent="0.3">
      <c r="J45366"/>
    </row>
    <row r="45367" spans="10:10" x14ac:dyDescent="0.3">
      <c r="J45367"/>
    </row>
    <row r="45368" spans="10:10" x14ac:dyDescent="0.3">
      <c r="J45368"/>
    </row>
    <row r="45369" spans="10:10" x14ac:dyDescent="0.3">
      <c r="J45369"/>
    </row>
    <row r="45370" spans="10:10" x14ac:dyDescent="0.3">
      <c r="J45370"/>
    </row>
    <row r="45371" spans="10:10" x14ac:dyDescent="0.3">
      <c r="J45371"/>
    </row>
    <row r="45372" spans="10:10" x14ac:dyDescent="0.3">
      <c r="J45372"/>
    </row>
    <row r="45373" spans="10:10" x14ac:dyDescent="0.3">
      <c r="J45373"/>
    </row>
    <row r="45374" spans="10:10" x14ac:dyDescent="0.3">
      <c r="J45374"/>
    </row>
    <row r="45375" spans="10:10" x14ac:dyDescent="0.3">
      <c r="J45375"/>
    </row>
    <row r="45376" spans="10:10" x14ac:dyDescent="0.3">
      <c r="J45376"/>
    </row>
    <row r="45377" spans="10:10" x14ac:dyDescent="0.3">
      <c r="J45377"/>
    </row>
    <row r="45378" spans="10:10" x14ac:dyDescent="0.3">
      <c r="J45378"/>
    </row>
    <row r="45379" spans="10:10" x14ac:dyDescent="0.3">
      <c r="J45379"/>
    </row>
    <row r="45380" spans="10:10" x14ac:dyDescent="0.3">
      <c r="J45380"/>
    </row>
    <row r="45381" spans="10:10" x14ac:dyDescent="0.3">
      <c r="J45381"/>
    </row>
    <row r="45382" spans="10:10" x14ac:dyDescent="0.3">
      <c r="J45382"/>
    </row>
    <row r="45383" spans="10:10" x14ac:dyDescent="0.3">
      <c r="J45383"/>
    </row>
    <row r="45384" spans="10:10" x14ac:dyDescent="0.3">
      <c r="J45384"/>
    </row>
    <row r="45385" spans="10:10" x14ac:dyDescent="0.3">
      <c r="J45385"/>
    </row>
    <row r="45386" spans="10:10" x14ac:dyDescent="0.3">
      <c r="J45386"/>
    </row>
    <row r="45387" spans="10:10" x14ac:dyDescent="0.3">
      <c r="J45387"/>
    </row>
    <row r="45388" spans="10:10" x14ac:dyDescent="0.3">
      <c r="J45388"/>
    </row>
    <row r="45389" spans="10:10" x14ac:dyDescent="0.3">
      <c r="J45389"/>
    </row>
    <row r="45390" spans="10:10" x14ac:dyDescent="0.3">
      <c r="J45390"/>
    </row>
    <row r="45391" spans="10:10" x14ac:dyDescent="0.3">
      <c r="J45391"/>
    </row>
    <row r="45392" spans="10:10" x14ac:dyDescent="0.3">
      <c r="J45392"/>
    </row>
    <row r="45393" spans="10:10" x14ac:dyDescent="0.3">
      <c r="J45393"/>
    </row>
    <row r="45394" spans="10:10" x14ac:dyDescent="0.3">
      <c r="J45394"/>
    </row>
    <row r="45395" spans="10:10" x14ac:dyDescent="0.3">
      <c r="J45395"/>
    </row>
    <row r="45396" spans="10:10" x14ac:dyDescent="0.3">
      <c r="J45396"/>
    </row>
    <row r="45397" spans="10:10" x14ac:dyDescent="0.3">
      <c r="J45397"/>
    </row>
    <row r="45398" spans="10:10" x14ac:dyDescent="0.3">
      <c r="J45398"/>
    </row>
    <row r="45399" spans="10:10" x14ac:dyDescent="0.3">
      <c r="J45399"/>
    </row>
    <row r="45400" spans="10:10" x14ac:dyDescent="0.3">
      <c r="J45400"/>
    </row>
    <row r="45401" spans="10:10" x14ac:dyDescent="0.3">
      <c r="J45401"/>
    </row>
    <row r="45402" spans="10:10" x14ac:dyDescent="0.3">
      <c r="J45402"/>
    </row>
    <row r="45403" spans="10:10" x14ac:dyDescent="0.3">
      <c r="J45403"/>
    </row>
    <row r="45404" spans="10:10" x14ac:dyDescent="0.3">
      <c r="J45404"/>
    </row>
    <row r="45405" spans="10:10" x14ac:dyDescent="0.3">
      <c r="J45405"/>
    </row>
    <row r="45406" spans="10:10" x14ac:dyDescent="0.3">
      <c r="J45406"/>
    </row>
    <row r="45407" spans="10:10" x14ac:dyDescent="0.3">
      <c r="J45407"/>
    </row>
    <row r="45408" spans="10:10" x14ac:dyDescent="0.3">
      <c r="J45408"/>
    </row>
    <row r="45409" spans="10:10" x14ac:dyDescent="0.3">
      <c r="J45409"/>
    </row>
    <row r="45410" spans="10:10" x14ac:dyDescent="0.3">
      <c r="J45410"/>
    </row>
    <row r="45411" spans="10:10" x14ac:dyDescent="0.3">
      <c r="J45411"/>
    </row>
    <row r="45412" spans="10:10" x14ac:dyDescent="0.3">
      <c r="J45412"/>
    </row>
    <row r="45413" spans="10:10" x14ac:dyDescent="0.3">
      <c r="J45413"/>
    </row>
    <row r="45414" spans="10:10" x14ac:dyDescent="0.3">
      <c r="J45414"/>
    </row>
    <row r="45415" spans="10:10" x14ac:dyDescent="0.3">
      <c r="J45415"/>
    </row>
    <row r="45416" spans="10:10" x14ac:dyDescent="0.3">
      <c r="J45416"/>
    </row>
    <row r="45417" spans="10:10" x14ac:dyDescent="0.3">
      <c r="J45417"/>
    </row>
    <row r="45418" spans="10:10" x14ac:dyDescent="0.3">
      <c r="J45418"/>
    </row>
    <row r="45419" spans="10:10" x14ac:dyDescent="0.3">
      <c r="J45419"/>
    </row>
    <row r="45420" spans="10:10" x14ac:dyDescent="0.3">
      <c r="J45420"/>
    </row>
    <row r="45421" spans="10:10" x14ac:dyDescent="0.3">
      <c r="J45421"/>
    </row>
    <row r="45422" spans="10:10" x14ac:dyDescent="0.3">
      <c r="J45422"/>
    </row>
    <row r="45423" spans="10:10" x14ac:dyDescent="0.3">
      <c r="J45423"/>
    </row>
    <row r="45424" spans="10:10" x14ac:dyDescent="0.3">
      <c r="J45424"/>
    </row>
    <row r="45425" spans="10:10" x14ac:dyDescent="0.3">
      <c r="J45425"/>
    </row>
    <row r="45426" spans="10:10" x14ac:dyDescent="0.3">
      <c r="J45426"/>
    </row>
    <row r="45427" spans="10:10" x14ac:dyDescent="0.3">
      <c r="J45427"/>
    </row>
    <row r="45428" spans="10:10" x14ac:dyDescent="0.3">
      <c r="J45428"/>
    </row>
    <row r="45429" spans="10:10" x14ac:dyDescent="0.3">
      <c r="J45429"/>
    </row>
    <row r="45430" spans="10:10" x14ac:dyDescent="0.3">
      <c r="J45430"/>
    </row>
    <row r="45431" spans="10:10" x14ac:dyDescent="0.3">
      <c r="J45431"/>
    </row>
    <row r="45432" spans="10:10" x14ac:dyDescent="0.3">
      <c r="J45432"/>
    </row>
    <row r="45433" spans="10:10" x14ac:dyDescent="0.3">
      <c r="J45433"/>
    </row>
    <row r="45434" spans="10:10" x14ac:dyDescent="0.3">
      <c r="J45434"/>
    </row>
    <row r="45435" spans="10:10" x14ac:dyDescent="0.3">
      <c r="J45435"/>
    </row>
    <row r="45436" spans="10:10" x14ac:dyDescent="0.3">
      <c r="J45436"/>
    </row>
    <row r="45437" spans="10:10" x14ac:dyDescent="0.3">
      <c r="J45437"/>
    </row>
    <row r="45438" spans="10:10" x14ac:dyDescent="0.3">
      <c r="J45438"/>
    </row>
    <row r="45439" spans="10:10" x14ac:dyDescent="0.3">
      <c r="J45439"/>
    </row>
    <row r="45440" spans="10:10" x14ac:dyDescent="0.3">
      <c r="J45440"/>
    </row>
    <row r="45441" spans="10:10" x14ac:dyDescent="0.3">
      <c r="J45441"/>
    </row>
    <row r="45442" spans="10:10" x14ac:dyDescent="0.3">
      <c r="J45442"/>
    </row>
    <row r="45443" spans="10:10" x14ac:dyDescent="0.3">
      <c r="J45443"/>
    </row>
    <row r="45444" spans="10:10" x14ac:dyDescent="0.3">
      <c r="J45444"/>
    </row>
    <row r="45445" spans="10:10" x14ac:dyDescent="0.3">
      <c r="J45445"/>
    </row>
    <row r="45446" spans="10:10" x14ac:dyDescent="0.3">
      <c r="J45446"/>
    </row>
    <row r="45447" spans="10:10" x14ac:dyDescent="0.3">
      <c r="J45447"/>
    </row>
    <row r="45448" spans="10:10" x14ac:dyDescent="0.3">
      <c r="J45448"/>
    </row>
    <row r="45449" spans="10:10" x14ac:dyDescent="0.3">
      <c r="J45449"/>
    </row>
    <row r="45450" spans="10:10" x14ac:dyDescent="0.3">
      <c r="J45450"/>
    </row>
    <row r="45451" spans="10:10" x14ac:dyDescent="0.3">
      <c r="J45451"/>
    </row>
    <row r="45452" spans="10:10" x14ac:dyDescent="0.3">
      <c r="J45452"/>
    </row>
    <row r="45453" spans="10:10" x14ac:dyDescent="0.3">
      <c r="J45453"/>
    </row>
    <row r="45454" spans="10:10" x14ac:dyDescent="0.3">
      <c r="J45454"/>
    </row>
    <row r="45455" spans="10:10" x14ac:dyDescent="0.3">
      <c r="J45455"/>
    </row>
    <row r="45456" spans="10:10" x14ac:dyDescent="0.3">
      <c r="J45456"/>
    </row>
    <row r="45457" spans="10:10" x14ac:dyDescent="0.3">
      <c r="J45457"/>
    </row>
    <row r="45458" spans="10:10" x14ac:dyDescent="0.3">
      <c r="J45458"/>
    </row>
    <row r="45459" spans="10:10" x14ac:dyDescent="0.3">
      <c r="J45459"/>
    </row>
    <row r="45460" spans="10:10" x14ac:dyDescent="0.3">
      <c r="J45460"/>
    </row>
    <row r="45461" spans="10:10" x14ac:dyDescent="0.3">
      <c r="J45461"/>
    </row>
    <row r="45462" spans="10:10" x14ac:dyDescent="0.3">
      <c r="J45462"/>
    </row>
    <row r="45463" spans="10:10" x14ac:dyDescent="0.3">
      <c r="J45463"/>
    </row>
    <row r="45464" spans="10:10" x14ac:dyDescent="0.3">
      <c r="J45464"/>
    </row>
    <row r="45465" spans="10:10" x14ac:dyDescent="0.3">
      <c r="J45465"/>
    </row>
    <row r="45466" spans="10:10" x14ac:dyDescent="0.3">
      <c r="J45466"/>
    </row>
    <row r="45467" spans="10:10" x14ac:dyDescent="0.3">
      <c r="J45467"/>
    </row>
    <row r="45468" spans="10:10" x14ac:dyDescent="0.3">
      <c r="J45468"/>
    </row>
    <row r="45469" spans="10:10" x14ac:dyDescent="0.3">
      <c r="J45469"/>
    </row>
    <row r="45470" spans="10:10" x14ac:dyDescent="0.3">
      <c r="J45470"/>
    </row>
    <row r="45471" spans="10:10" x14ac:dyDescent="0.3">
      <c r="J45471"/>
    </row>
    <row r="45472" spans="10:10" x14ac:dyDescent="0.3">
      <c r="J45472"/>
    </row>
    <row r="45473" spans="10:10" x14ac:dyDescent="0.3">
      <c r="J45473"/>
    </row>
    <row r="45474" spans="10:10" x14ac:dyDescent="0.3">
      <c r="J45474"/>
    </row>
    <row r="45475" spans="10:10" x14ac:dyDescent="0.3">
      <c r="J45475"/>
    </row>
    <row r="45476" spans="10:10" x14ac:dyDescent="0.3">
      <c r="J45476"/>
    </row>
    <row r="45477" spans="10:10" x14ac:dyDescent="0.3">
      <c r="J45477"/>
    </row>
    <row r="45478" spans="10:10" x14ac:dyDescent="0.3">
      <c r="J45478"/>
    </row>
    <row r="45479" spans="10:10" x14ac:dyDescent="0.3">
      <c r="J45479"/>
    </row>
    <row r="45480" spans="10:10" x14ac:dyDescent="0.3">
      <c r="J45480"/>
    </row>
    <row r="45481" spans="10:10" x14ac:dyDescent="0.3">
      <c r="J45481"/>
    </row>
    <row r="45482" spans="10:10" x14ac:dyDescent="0.3">
      <c r="J45482"/>
    </row>
    <row r="45483" spans="10:10" x14ac:dyDescent="0.3">
      <c r="J45483"/>
    </row>
    <row r="45484" spans="10:10" x14ac:dyDescent="0.3">
      <c r="J45484"/>
    </row>
    <row r="45485" spans="10:10" x14ac:dyDescent="0.3">
      <c r="J45485"/>
    </row>
    <row r="45486" spans="10:10" x14ac:dyDescent="0.3">
      <c r="J45486"/>
    </row>
    <row r="45487" spans="10:10" x14ac:dyDescent="0.3">
      <c r="J45487"/>
    </row>
    <row r="45488" spans="10:10" x14ac:dyDescent="0.3">
      <c r="J45488"/>
    </row>
    <row r="45489" spans="10:10" x14ac:dyDescent="0.3">
      <c r="J45489"/>
    </row>
    <row r="45490" spans="10:10" x14ac:dyDescent="0.3">
      <c r="J45490"/>
    </row>
    <row r="45491" spans="10:10" x14ac:dyDescent="0.3">
      <c r="J45491"/>
    </row>
    <row r="45492" spans="10:10" x14ac:dyDescent="0.3">
      <c r="J45492"/>
    </row>
    <row r="45493" spans="10:10" x14ac:dyDescent="0.3">
      <c r="J45493"/>
    </row>
    <row r="45494" spans="10:10" x14ac:dyDescent="0.3">
      <c r="J45494"/>
    </row>
    <row r="45495" spans="10:10" x14ac:dyDescent="0.3">
      <c r="J45495"/>
    </row>
    <row r="45496" spans="10:10" x14ac:dyDescent="0.3">
      <c r="J45496"/>
    </row>
    <row r="45497" spans="10:10" x14ac:dyDescent="0.3">
      <c r="J45497"/>
    </row>
    <row r="45498" spans="10:10" x14ac:dyDescent="0.3">
      <c r="J45498"/>
    </row>
    <row r="45499" spans="10:10" x14ac:dyDescent="0.3">
      <c r="J45499"/>
    </row>
    <row r="45500" spans="10:10" x14ac:dyDescent="0.3">
      <c r="J45500"/>
    </row>
    <row r="45501" spans="10:10" x14ac:dyDescent="0.3">
      <c r="J45501"/>
    </row>
    <row r="45502" spans="10:10" x14ac:dyDescent="0.3">
      <c r="J45502"/>
    </row>
    <row r="45503" spans="10:10" x14ac:dyDescent="0.3">
      <c r="J45503"/>
    </row>
    <row r="45504" spans="10:10" x14ac:dyDescent="0.3">
      <c r="J45504"/>
    </row>
    <row r="45505" spans="10:10" x14ac:dyDescent="0.3">
      <c r="J45505"/>
    </row>
    <row r="45506" spans="10:10" x14ac:dyDescent="0.3">
      <c r="J45506"/>
    </row>
    <row r="45507" spans="10:10" x14ac:dyDescent="0.3">
      <c r="J45507"/>
    </row>
    <row r="45508" spans="10:10" x14ac:dyDescent="0.3">
      <c r="J45508"/>
    </row>
    <row r="45509" spans="10:10" x14ac:dyDescent="0.3">
      <c r="J45509"/>
    </row>
    <row r="45510" spans="10:10" x14ac:dyDescent="0.3">
      <c r="J45510"/>
    </row>
    <row r="45511" spans="10:10" x14ac:dyDescent="0.3">
      <c r="J45511"/>
    </row>
    <row r="45512" spans="10:10" x14ac:dyDescent="0.3">
      <c r="J45512"/>
    </row>
    <row r="45513" spans="10:10" x14ac:dyDescent="0.3">
      <c r="J45513"/>
    </row>
    <row r="45514" spans="10:10" x14ac:dyDescent="0.3">
      <c r="J45514"/>
    </row>
    <row r="45515" spans="10:10" x14ac:dyDescent="0.3">
      <c r="J45515"/>
    </row>
    <row r="45516" spans="10:10" x14ac:dyDescent="0.3">
      <c r="J45516"/>
    </row>
    <row r="45517" spans="10:10" x14ac:dyDescent="0.3">
      <c r="J45517"/>
    </row>
    <row r="45518" spans="10:10" x14ac:dyDescent="0.3">
      <c r="J45518"/>
    </row>
    <row r="45519" spans="10:10" x14ac:dyDescent="0.3">
      <c r="J45519"/>
    </row>
    <row r="45520" spans="10:10" x14ac:dyDescent="0.3">
      <c r="J45520"/>
    </row>
    <row r="45521" spans="10:10" x14ac:dyDescent="0.3">
      <c r="J45521"/>
    </row>
    <row r="45522" spans="10:10" x14ac:dyDescent="0.3">
      <c r="J45522"/>
    </row>
    <row r="45523" spans="10:10" x14ac:dyDescent="0.3">
      <c r="J45523"/>
    </row>
    <row r="45524" spans="10:10" x14ac:dyDescent="0.3">
      <c r="J45524"/>
    </row>
    <row r="45525" spans="10:10" x14ac:dyDescent="0.3">
      <c r="J45525"/>
    </row>
    <row r="45526" spans="10:10" x14ac:dyDescent="0.3">
      <c r="J45526"/>
    </row>
    <row r="45527" spans="10:10" x14ac:dyDescent="0.3">
      <c r="J45527"/>
    </row>
    <row r="45528" spans="10:10" x14ac:dyDescent="0.3">
      <c r="J45528"/>
    </row>
    <row r="45529" spans="10:10" x14ac:dyDescent="0.3">
      <c r="J45529"/>
    </row>
    <row r="45530" spans="10:10" x14ac:dyDescent="0.3">
      <c r="J45530"/>
    </row>
    <row r="45531" spans="10:10" x14ac:dyDescent="0.3">
      <c r="J45531"/>
    </row>
    <row r="45532" spans="10:10" x14ac:dyDescent="0.3">
      <c r="J45532"/>
    </row>
    <row r="45533" spans="10:10" x14ac:dyDescent="0.3">
      <c r="J45533"/>
    </row>
    <row r="45534" spans="10:10" x14ac:dyDescent="0.3">
      <c r="J45534"/>
    </row>
    <row r="45535" spans="10:10" x14ac:dyDescent="0.3">
      <c r="J45535"/>
    </row>
    <row r="45536" spans="10:10" x14ac:dyDescent="0.3">
      <c r="J45536"/>
    </row>
    <row r="45537" spans="10:10" x14ac:dyDescent="0.3">
      <c r="J45537"/>
    </row>
    <row r="45538" spans="10:10" x14ac:dyDescent="0.3">
      <c r="J45538"/>
    </row>
    <row r="45539" spans="10:10" x14ac:dyDescent="0.3">
      <c r="J45539"/>
    </row>
    <row r="45540" spans="10:10" x14ac:dyDescent="0.3">
      <c r="J45540"/>
    </row>
    <row r="45541" spans="10:10" x14ac:dyDescent="0.3">
      <c r="J45541"/>
    </row>
    <row r="45542" spans="10:10" x14ac:dyDescent="0.3">
      <c r="J45542"/>
    </row>
    <row r="45543" spans="10:10" x14ac:dyDescent="0.3">
      <c r="J45543"/>
    </row>
    <row r="45544" spans="10:10" x14ac:dyDescent="0.3">
      <c r="J45544"/>
    </row>
    <row r="45545" spans="10:10" x14ac:dyDescent="0.3">
      <c r="J45545"/>
    </row>
    <row r="45546" spans="10:10" x14ac:dyDescent="0.3">
      <c r="J45546"/>
    </row>
    <row r="45547" spans="10:10" x14ac:dyDescent="0.3">
      <c r="J45547"/>
    </row>
    <row r="45548" spans="10:10" x14ac:dyDescent="0.3">
      <c r="J45548"/>
    </row>
    <row r="45549" spans="10:10" x14ac:dyDescent="0.3">
      <c r="J45549"/>
    </row>
    <row r="45550" spans="10:10" x14ac:dyDescent="0.3">
      <c r="J45550"/>
    </row>
    <row r="45551" spans="10:10" x14ac:dyDescent="0.3">
      <c r="J45551"/>
    </row>
    <row r="45552" spans="10:10" x14ac:dyDescent="0.3">
      <c r="J45552"/>
    </row>
    <row r="45553" spans="10:10" x14ac:dyDescent="0.3">
      <c r="J45553"/>
    </row>
    <row r="45554" spans="10:10" x14ac:dyDescent="0.3">
      <c r="J45554"/>
    </row>
    <row r="45555" spans="10:10" x14ac:dyDescent="0.3">
      <c r="J45555"/>
    </row>
    <row r="45556" spans="10:10" x14ac:dyDescent="0.3">
      <c r="J45556"/>
    </row>
    <row r="45557" spans="10:10" x14ac:dyDescent="0.3">
      <c r="J45557"/>
    </row>
    <row r="45558" spans="10:10" x14ac:dyDescent="0.3">
      <c r="J45558"/>
    </row>
    <row r="45559" spans="10:10" x14ac:dyDescent="0.3">
      <c r="J45559"/>
    </row>
    <row r="45560" spans="10:10" x14ac:dyDescent="0.3">
      <c r="J45560"/>
    </row>
    <row r="45561" spans="10:10" x14ac:dyDescent="0.3">
      <c r="J45561"/>
    </row>
    <row r="45562" spans="10:10" x14ac:dyDescent="0.3">
      <c r="J45562"/>
    </row>
    <row r="45563" spans="10:10" x14ac:dyDescent="0.3">
      <c r="J45563"/>
    </row>
    <row r="45564" spans="10:10" x14ac:dyDescent="0.3">
      <c r="J45564"/>
    </row>
    <row r="45565" spans="10:10" x14ac:dyDescent="0.3">
      <c r="J45565"/>
    </row>
    <row r="45566" spans="10:10" x14ac:dyDescent="0.3">
      <c r="J45566"/>
    </row>
    <row r="45567" spans="10:10" x14ac:dyDescent="0.3">
      <c r="J45567"/>
    </row>
    <row r="45568" spans="10:10" x14ac:dyDescent="0.3">
      <c r="J45568"/>
    </row>
    <row r="45569" spans="10:10" x14ac:dyDescent="0.3">
      <c r="J45569"/>
    </row>
    <row r="45570" spans="10:10" x14ac:dyDescent="0.3">
      <c r="J45570"/>
    </row>
    <row r="45571" spans="10:10" x14ac:dyDescent="0.3">
      <c r="J45571"/>
    </row>
    <row r="45572" spans="10:10" x14ac:dyDescent="0.3">
      <c r="J45572"/>
    </row>
    <row r="45573" spans="10:10" x14ac:dyDescent="0.3">
      <c r="J45573"/>
    </row>
    <row r="45574" spans="10:10" x14ac:dyDescent="0.3">
      <c r="J45574"/>
    </row>
    <row r="45575" spans="10:10" x14ac:dyDescent="0.3">
      <c r="J45575"/>
    </row>
    <row r="45576" spans="10:10" x14ac:dyDescent="0.3">
      <c r="J45576"/>
    </row>
    <row r="45577" spans="10:10" x14ac:dyDescent="0.3">
      <c r="J45577"/>
    </row>
    <row r="45578" spans="10:10" x14ac:dyDescent="0.3">
      <c r="J45578"/>
    </row>
    <row r="45579" spans="10:10" x14ac:dyDescent="0.3">
      <c r="J45579"/>
    </row>
    <row r="45580" spans="10:10" x14ac:dyDescent="0.3">
      <c r="J45580"/>
    </row>
    <row r="45581" spans="10:10" x14ac:dyDescent="0.3">
      <c r="J45581"/>
    </row>
    <row r="45582" spans="10:10" x14ac:dyDescent="0.3">
      <c r="J45582"/>
    </row>
    <row r="45583" spans="10:10" x14ac:dyDescent="0.3">
      <c r="J45583"/>
    </row>
    <row r="45584" spans="10:10" x14ac:dyDescent="0.3">
      <c r="J45584"/>
    </row>
    <row r="45585" spans="10:10" x14ac:dyDescent="0.3">
      <c r="J45585"/>
    </row>
    <row r="45586" spans="10:10" x14ac:dyDescent="0.3">
      <c r="J45586"/>
    </row>
    <row r="45587" spans="10:10" x14ac:dyDescent="0.3">
      <c r="J45587"/>
    </row>
    <row r="45588" spans="10:10" x14ac:dyDescent="0.3">
      <c r="J45588"/>
    </row>
    <row r="45589" spans="10:10" x14ac:dyDescent="0.3">
      <c r="J45589"/>
    </row>
    <row r="45590" spans="10:10" x14ac:dyDescent="0.3">
      <c r="J45590"/>
    </row>
    <row r="45591" spans="10:10" x14ac:dyDescent="0.3">
      <c r="J45591"/>
    </row>
    <row r="45592" spans="10:10" x14ac:dyDescent="0.3">
      <c r="J45592"/>
    </row>
    <row r="45593" spans="10:10" x14ac:dyDescent="0.3">
      <c r="J45593"/>
    </row>
    <row r="45594" spans="10:10" x14ac:dyDescent="0.3">
      <c r="J45594"/>
    </row>
    <row r="45595" spans="10:10" x14ac:dyDescent="0.3">
      <c r="J45595"/>
    </row>
    <row r="45596" spans="10:10" x14ac:dyDescent="0.3">
      <c r="J45596"/>
    </row>
    <row r="45597" spans="10:10" x14ac:dyDescent="0.3">
      <c r="J45597"/>
    </row>
    <row r="45598" spans="10:10" x14ac:dyDescent="0.3">
      <c r="J45598"/>
    </row>
    <row r="45599" spans="10:10" x14ac:dyDescent="0.3">
      <c r="J45599"/>
    </row>
    <row r="45600" spans="10:10" x14ac:dyDescent="0.3">
      <c r="J45600"/>
    </row>
    <row r="45601" spans="10:10" x14ac:dyDescent="0.3">
      <c r="J45601"/>
    </row>
    <row r="45602" spans="10:10" x14ac:dyDescent="0.3">
      <c r="J45602"/>
    </row>
    <row r="45603" spans="10:10" x14ac:dyDescent="0.3">
      <c r="J45603"/>
    </row>
    <row r="45604" spans="10:10" x14ac:dyDescent="0.3">
      <c r="J45604"/>
    </row>
    <row r="45605" spans="10:10" x14ac:dyDescent="0.3">
      <c r="J45605"/>
    </row>
    <row r="45606" spans="10:10" x14ac:dyDescent="0.3">
      <c r="J45606"/>
    </row>
    <row r="45607" spans="10:10" x14ac:dyDescent="0.3">
      <c r="J45607"/>
    </row>
    <row r="45608" spans="10:10" x14ac:dyDescent="0.3">
      <c r="J45608"/>
    </row>
    <row r="45609" spans="10:10" x14ac:dyDescent="0.3">
      <c r="J45609"/>
    </row>
    <row r="45610" spans="10:10" x14ac:dyDescent="0.3">
      <c r="J45610"/>
    </row>
    <row r="45611" spans="10:10" x14ac:dyDescent="0.3">
      <c r="J45611"/>
    </row>
    <row r="45612" spans="10:10" x14ac:dyDescent="0.3">
      <c r="J45612"/>
    </row>
    <row r="45613" spans="10:10" x14ac:dyDescent="0.3">
      <c r="J45613"/>
    </row>
    <row r="45614" spans="10:10" x14ac:dyDescent="0.3">
      <c r="J45614"/>
    </row>
    <row r="45615" spans="10:10" x14ac:dyDescent="0.3">
      <c r="J45615"/>
    </row>
    <row r="45616" spans="10:10" x14ac:dyDescent="0.3">
      <c r="J45616"/>
    </row>
    <row r="45617" spans="10:10" x14ac:dyDescent="0.3">
      <c r="J45617"/>
    </row>
    <row r="45618" spans="10:10" x14ac:dyDescent="0.3">
      <c r="J45618"/>
    </row>
    <row r="45619" spans="10:10" x14ac:dyDescent="0.3">
      <c r="J45619"/>
    </row>
    <row r="45620" spans="10:10" x14ac:dyDescent="0.3">
      <c r="J45620"/>
    </row>
    <row r="45621" spans="10:10" x14ac:dyDescent="0.3">
      <c r="J45621"/>
    </row>
    <row r="45622" spans="10:10" x14ac:dyDescent="0.3">
      <c r="J45622"/>
    </row>
    <row r="45623" spans="10:10" x14ac:dyDescent="0.3">
      <c r="J45623"/>
    </row>
    <row r="45624" spans="10:10" x14ac:dyDescent="0.3">
      <c r="J45624"/>
    </row>
    <row r="45625" spans="10:10" x14ac:dyDescent="0.3">
      <c r="J45625"/>
    </row>
    <row r="45626" spans="10:10" x14ac:dyDescent="0.3">
      <c r="J45626"/>
    </row>
    <row r="45627" spans="10:10" x14ac:dyDescent="0.3">
      <c r="J45627"/>
    </row>
    <row r="45628" spans="10:10" x14ac:dyDescent="0.3">
      <c r="J45628"/>
    </row>
    <row r="45629" spans="10:10" x14ac:dyDescent="0.3">
      <c r="J45629"/>
    </row>
    <row r="45630" spans="10:10" x14ac:dyDescent="0.3">
      <c r="J45630"/>
    </row>
    <row r="45631" spans="10:10" x14ac:dyDescent="0.3">
      <c r="J45631"/>
    </row>
    <row r="45632" spans="10:10" x14ac:dyDescent="0.3">
      <c r="J45632"/>
    </row>
    <row r="45633" spans="10:10" x14ac:dyDescent="0.3">
      <c r="J45633"/>
    </row>
    <row r="45634" spans="10:10" x14ac:dyDescent="0.3">
      <c r="J45634"/>
    </row>
    <row r="45635" spans="10:10" x14ac:dyDescent="0.3">
      <c r="J45635"/>
    </row>
    <row r="45636" spans="10:10" x14ac:dyDescent="0.3">
      <c r="J45636"/>
    </row>
    <row r="45637" spans="10:10" x14ac:dyDescent="0.3">
      <c r="J45637"/>
    </row>
    <row r="45638" spans="10:10" x14ac:dyDescent="0.3">
      <c r="J45638"/>
    </row>
    <row r="45639" spans="10:10" x14ac:dyDescent="0.3">
      <c r="J45639"/>
    </row>
    <row r="45640" spans="10:10" x14ac:dyDescent="0.3">
      <c r="J45640"/>
    </row>
    <row r="45641" spans="10:10" x14ac:dyDescent="0.3">
      <c r="J45641"/>
    </row>
    <row r="45642" spans="10:10" x14ac:dyDescent="0.3">
      <c r="J45642"/>
    </row>
    <row r="45643" spans="10:10" x14ac:dyDescent="0.3">
      <c r="J45643"/>
    </row>
    <row r="45644" spans="10:10" x14ac:dyDescent="0.3">
      <c r="J45644"/>
    </row>
    <row r="45645" spans="10:10" x14ac:dyDescent="0.3">
      <c r="J45645"/>
    </row>
    <row r="45646" spans="10:10" x14ac:dyDescent="0.3">
      <c r="J45646"/>
    </row>
    <row r="45647" spans="10:10" x14ac:dyDescent="0.3">
      <c r="J45647"/>
    </row>
    <row r="45648" spans="10:10" x14ac:dyDescent="0.3">
      <c r="J45648"/>
    </row>
    <row r="45649" spans="10:10" x14ac:dyDescent="0.3">
      <c r="J45649"/>
    </row>
    <row r="45650" spans="10:10" x14ac:dyDescent="0.3">
      <c r="J45650"/>
    </row>
    <row r="45651" spans="10:10" x14ac:dyDescent="0.3">
      <c r="J45651"/>
    </row>
    <row r="45652" spans="10:10" x14ac:dyDescent="0.3">
      <c r="J45652"/>
    </row>
    <row r="45653" spans="10:10" x14ac:dyDescent="0.3">
      <c r="J45653"/>
    </row>
    <row r="45654" spans="10:10" x14ac:dyDescent="0.3">
      <c r="J45654"/>
    </row>
    <row r="45655" spans="10:10" x14ac:dyDescent="0.3">
      <c r="J45655"/>
    </row>
    <row r="45656" spans="10:10" x14ac:dyDescent="0.3">
      <c r="J45656"/>
    </row>
    <row r="45657" spans="10:10" x14ac:dyDescent="0.3">
      <c r="J45657"/>
    </row>
    <row r="45658" spans="10:10" x14ac:dyDescent="0.3">
      <c r="J45658"/>
    </row>
    <row r="45659" spans="10:10" x14ac:dyDescent="0.3">
      <c r="J45659"/>
    </row>
    <row r="45660" spans="10:10" x14ac:dyDescent="0.3">
      <c r="J45660"/>
    </row>
    <row r="45661" spans="10:10" x14ac:dyDescent="0.3">
      <c r="J45661"/>
    </row>
    <row r="45662" spans="10:10" x14ac:dyDescent="0.3">
      <c r="J45662"/>
    </row>
    <row r="45663" spans="10:10" x14ac:dyDescent="0.3">
      <c r="J45663"/>
    </row>
    <row r="45664" spans="10:10" x14ac:dyDescent="0.3">
      <c r="J45664"/>
    </row>
    <row r="45665" spans="10:10" x14ac:dyDescent="0.3">
      <c r="J45665"/>
    </row>
    <row r="45666" spans="10:10" x14ac:dyDescent="0.3">
      <c r="J45666"/>
    </row>
    <row r="45667" spans="10:10" x14ac:dyDescent="0.3">
      <c r="J45667"/>
    </row>
    <row r="45668" spans="10:10" x14ac:dyDescent="0.3">
      <c r="J45668"/>
    </row>
    <row r="45669" spans="10:10" x14ac:dyDescent="0.3">
      <c r="J45669"/>
    </row>
    <row r="45670" spans="10:10" x14ac:dyDescent="0.3">
      <c r="J45670"/>
    </row>
    <row r="45671" spans="10:10" x14ac:dyDescent="0.3">
      <c r="J45671"/>
    </row>
    <row r="45672" spans="10:10" x14ac:dyDescent="0.3">
      <c r="J45672"/>
    </row>
    <row r="45673" spans="10:10" x14ac:dyDescent="0.3">
      <c r="J45673"/>
    </row>
    <row r="45674" spans="10:10" x14ac:dyDescent="0.3">
      <c r="J45674"/>
    </row>
    <row r="45675" spans="10:10" x14ac:dyDescent="0.3">
      <c r="J45675"/>
    </row>
    <row r="45676" spans="10:10" x14ac:dyDescent="0.3">
      <c r="J45676"/>
    </row>
    <row r="45677" spans="10:10" x14ac:dyDescent="0.3">
      <c r="J45677"/>
    </row>
    <row r="45678" spans="10:10" x14ac:dyDescent="0.3">
      <c r="J45678"/>
    </row>
    <row r="45679" spans="10:10" x14ac:dyDescent="0.3">
      <c r="J45679"/>
    </row>
    <row r="45680" spans="10:10" x14ac:dyDescent="0.3">
      <c r="J45680"/>
    </row>
    <row r="45681" spans="10:10" x14ac:dyDescent="0.3">
      <c r="J45681"/>
    </row>
    <row r="45682" spans="10:10" x14ac:dyDescent="0.3">
      <c r="J45682"/>
    </row>
    <row r="45683" spans="10:10" x14ac:dyDescent="0.3">
      <c r="J45683"/>
    </row>
    <row r="45684" spans="10:10" x14ac:dyDescent="0.3">
      <c r="J45684"/>
    </row>
    <row r="45685" spans="10:10" x14ac:dyDescent="0.3">
      <c r="J45685"/>
    </row>
    <row r="45686" spans="10:10" x14ac:dyDescent="0.3">
      <c r="J45686"/>
    </row>
    <row r="45687" spans="10:10" x14ac:dyDescent="0.3">
      <c r="J45687"/>
    </row>
    <row r="45688" spans="10:10" x14ac:dyDescent="0.3">
      <c r="J45688"/>
    </row>
    <row r="45689" spans="10:10" x14ac:dyDescent="0.3">
      <c r="J45689"/>
    </row>
    <row r="45690" spans="10:10" x14ac:dyDescent="0.3">
      <c r="J45690"/>
    </row>
    <row r="45691" spans="10:10" x14ac:dyDescent="0.3">
      <c r="J45691"/>
    </row>
    <row r="45692" spans="10:10" x14ac:dyDescent="0.3">
      <c r="J45692"/>
    </row>
    <row r="45693" spans="10:10" x14ac:dyDescent="0.3">
      <c r="J45693"/>
    </row>
    <row r="45694" spans="10:10" x14ac:dyDescent="0.3">
      <c r="J45694"/>
    </row>
    <row r="45695" spans="10:10" x14ac:dyDescent="0.3">
      <c r="J45695"/>
    </row>
    <row r="45696" spans="10:10" x14ac:dyDescent="0.3">
      <c r="J45696"/>
    </row>
    <row r="45697" spans="10:10" x14ac:dyDescent="0.3">
      <c r="J45697"/>
    </row>
    <row r="45698" spans="10:10" x14ac:dyDescent="0.3">
      <c r="J45698"/>
    </row>
    <row r="45699" spans="10:10" x14ac:dyDescent="0.3">
      <c r="J45699"/>
    </row>
    <row r="45700" spans="10:10" x14ac:dyDescent="0.3">
      <c r="J45700"/>
    </row>
    <row r="45701" spans="10:10" x14ac:dyDescent="0.3">
      <c r="J45701"/>
    </row>
    <row r="45702" spans="10:10" x14ac:dyDescent="0.3">
      <c r="J45702"/>
    </row>
    <row r="45703" spans="10:10" x14ac:dyDescent="0.3">
      <c r="J45703"/>
    </row>
    <row r="45704" spans="10:10" x14ac:dyDescent="0.3">
      <c r="J45704"/>
    </row>
    <row r="45705" spans="10:10" x14ac:dyDescent="0.3">
      <c r="J45705"/>
    </row>
    <row r="45706" spans="10:10" x14ac:dyDescent="0.3">
      <c r="J45706"/>
    </row>
    <row r="45707" spans="10:10" x14ac:dyDescent="0.3">
      <c r="J45707"/>
    </row>
    <row r="45708" spans="10:10" x14ac:dyDescent="0.3">
      <c r="J45708"/>
    </row>
    <row r="45709" spans="10:10" x14ac:dyDescent="0.3">
      <c r="J45709"/>
    </row>
    <row r="45710" spans="10:10" x14ac:dyDescent="0.3">
      <c r="J45710"/>
    </row>
    <row r="45711" spans="10:10" x14ac:dyDescent="0.3">
      <c r="J45711"/>
    </row>
    <row r="45712" spans="10:10" x14ac:dyDescent="0.3">
      <c r="J45712"/>
    </row>
    <row r="45713" spans="10:10" x14ac:dyDescent="0.3">
      <c r="J45713"/>
    </row>
    <row r="45714" spans="10:10" x14ac:dyDescent="0.3">
      <c r="J45714"/>
    </row>
    <row r="45715" spans="10:10" x14ac:dyDescent="0.3">
      <c r="J45715"/>
    </row>
    <row r="45716" spans="10:10" x14ac:dyDescent="0.3">
      <c r="J45716"/>
    </row>
    <row r="45717" spans="10:10" x14ac:dyDescent="0.3">
      <c r="J45717"/>
    </row>
    <row r="45718" spans="10:10" x14ac:dyDescent="0.3">
      <c r="J45718"/>
    </row>
    <row r="45719" spans="10:10" x14ac:dyDescent="0.3">
      <c r="J45719"/>
    </row>
    <row r="45720" spans="10:10" x14ac:dyDescent="0.3">
      <c r="J45720"/>
    </row>
    <row r="45721" spans="10:10" x14ac:dyDescent="0.3">
      <c r="J45721"/>
    </row>
    <row r="45722" spans="10:10" x14ac:dyDescent="0.3">
      <c r="J45722"/>
    </row>
    <row r="45723" spans="10:10" x14ac:dyDescent="0.3">
      <c r="J45723"/>
    </row>
    <row r="45724" spans="10:10" x14ac:dyDescent="0.3">
      <c r="J45724"/>
    </row>
    <row r="45725" spans="10:10" x14ac:dyDescent="0.3">
      <c r="J45725"/>
    </row>
    <row r="45726" spans="10:10" x14ac:dyDescent="0.3">
      <c r="J45726"/>
    </row>
    <row r="45727" spans="10:10" x14ac:dyDescent="0.3">
      <c r="J45727"/>
    </row>
    <row r="45728" spans="10:10" x14ac:dyDescent="0.3">
      <c r="J45728"/>
    </row>
    <row r="45729" spans="10:10" x14ac:dyDescent="0.3">
      <c r="J45729"/>
    </row>
    <row r="45730" spans="10:10" x14ac:dyDescent="0.3">
      <c r="J45730"/>
    </row>
    <row r="45731" spans="10:10" x14ac:dyDescent="0.3">
      <c r="J45731"/>
    </row>
    <row r="45732" spans="10:10" x14ac:dyDescent="0.3">
      <c r="J45732"/>
    </row>
    <row r="45733" spans="10:10" x14ac:dyDescent="0.3">
      <c r="J45733"/>
    </row>
    <row r="45734" spans="10:10" x14ac:dyDescent="0.3">
      <c r="J45734"/>
    </row>
    <row r="45735" spans="10:10" x14ac:dyDescent="0.3">
      <c r="J45735"/>
    </row>
    <row r="45736" spans="10:10" x14ac:dyDescent="0.3">
      <c r="J45736"/>
    </row>
    <row r="45737" spans="10:10" x14ac:dyDescent="0.3">
      <c r="J45737"/>
    </row>
    <row r="45738" spans="10:10" x14ac:dyDescent="0.3">
      <c r="J45738"/>
    </row>
    <row r="45739" spans="10:10" x14ac:dyDescent="0.3">
      <c r="J45739"/>
    </row>
    <row r="45740" spans="10:10" x14ac:dyDescent="0.3">
      <c r="J45740"/>
    </row>
    <row r="45741" spans="10:10" x14ac:dyDescent="0.3">
      <c r="J45741"/>
    </row>
    <row r="45742" spans="10:10" x14ac:dyDescent="0.3">
      <c r="J45742"/>
    </row>
    <row r="45743" spans="10:10" x14ac:dyDescent="0.3">
      <c r="J45743"/>
    </row>
    <row r="45744" spans="10:10" x14ac:dyDescent="0.3">
      <c r="J45744"/>
    </row>
    <row r="45745" spans="10:10" x14ac:dyDescent="0.3">
      <c r="J45745"/>
    </row>
    <row r="45746" spans="10:10" x14ac:dyDescent="0.3">
      <c r="J45746"/>
    </row>
    <row r="45747" spans="10:10" x14ac:dyDescent="0.3">
      <c r="J45747"/>
    </row>
    <row r="45748" spans="10:10" x14ac:dyDescent="0.3">
      <c r="J45748"/>
    </row>
    <row r="45749" spans="10:10" x14ac:dyDescent="0.3">
      <c r="J45749"/>
    </row>
    <row r="45750" spans="10:10" x14ac:dyDescent="0.3">
      <c r="J45750"/>
    </row>
    <row r="45751" spans="10:10" x14ac:dyDescent="0.3">
      <c r="J45751"/>
    </row>
    <row r="45752" spans="10:10" x14ac:dyDescent="0.3">
      <c r="J45752"/>
    </row>
    <row r="45753" spans="10:10" x14ac:dyDescent="0.3">
      <c r="J45753"/>
    </row>
    <row r="45754" spans="10:10" x14ac:dyDescent="0.3">
      <c r="J45754"/>
    </row>
    <row r="45755" spans="10:10" x14ac:dyDescent="0.3">
      <c r="J45755"/>
    </row>
    <row r="45756" spans="10:10" x14ac:dyDescent="0.3">
      <c r="J45756"/>
    </row>
    <row r="45757" spans="10:10" x14ac:dyDescent="0.3">
      <c r="J45757"/>
    </row>
    <row r="45758" spans="10:10" x14ac:dyDescent="0.3">
      <c r="J45758"/>
    </row>
    <row r="45759" spans="10:10" x14ac:dyDescent="0.3">
      <c r="J45759"/>
    </row>
    <row r="45760" spans="10:10" x14ac:dyDescent="0.3">
      <c r="J45760"/>
    </row>
    <row r="45761" spans="10:10" x14ac:dyDescent="0.3">
      <c r="J45761"/>
    </row>
    <row r="45762" spans="10:10" x14ac:dyDescent="0.3">
      <c r="J45762"/>
    </row>
    <row r="45763" spans="10:10" x14ac:dyDescent="0.3">
      <c r="J45763"/>
    </row>
    <row r="45764" spans="10:10" x14ac:dyDescent="0.3">
      <c r="J45764"/>
    </row>
    <row r="45765" spans="10:10" x14ac:dyDescent="0.3">
      <c r="J45765"/>
    </row>
    <row r="45766" spans="10:10" x14ac:dyDescent="0.3">
      <c r="J45766"/>
    </row>
    <row r="45767" spans="10:10" x14ac:dyDescent="0.3">
      <c r="J45767"/>
    </row>
    <row r="45768" spans="10:10" x14ac:dyDescent="0.3">
      <c r="J45768"/>
    </row>
    <row r="45769" spans="10:10" x14ac:dyDescent="0.3">
      <c r="J45769"/>
    </row>
    <row r="45770" spans="10:10" x14ac:dyDescent="0.3">
      <c r="J45770"/>
    </row>
    <row r="45771" spans="10:10" x14ac:dyDescent="0.3">
      <c r="J45771"/>
    </row>
    <row r="45772" spans="10:10" x14ac:dyDescent="0.3">
      <c r="J45772"/>
    </row>
    <row r="45773" spans="10:10" x14ac:dyDescent="0.3">
      <c r="J45773"/>
    </row>
    <row r="45774" spans="10:10" x14ac:dyDescent="0.3">
      <c r="J45774"/>
    </row>
    <row r="45775" spans="10:10" x14ac:dyDescent="0.3">
      <c r="J45775"/>
    </row>
    <row r="45776" spans="10:10" x14ac:dyDescent="0.3">
      <c r="J45776"/>
    </row>
    <row r="45777" spans="10:10" x14ac:dyDescent="0.3">
      <c r="J45777"/>
    </row>
    <row r="45778" spans="10:10" x14ac:dyDescent="0.3">
      <c r="J45778"/>
    </row>
    <row r="45779" spans="10:10" x14ac:dyDescent="0.3">
      <c r="J45779"/>
    </row>
    <row r="45780" spans="10:10" x14ac:dyDescent="0.3">
      <c r="J45780"/>
    </row>
    <row r="45781" spans="10:10" x14ac:dyDescent="0.3">
      <c r="J45781"/>
    </row>
    <row r="45782" spans="10:10" x14ac:dyDescent="0.3">
      <c r="J45782"/>
    </row>
    <row r="45783" spans="10:10" x14ac:dyDescent="0.3">
      <c r="J45783"/>
    </row>
    <row r="45784" spans="10:10" x14ac:dyDescent="0.3">
      <c r="J45784"/>
    </row>
    <row r="45785" spans="10:10" x14ac:dyDescent="0.3">
      <c r="J45785"/>
    </row>
    <row r="45786" spans="10:10" x14ac:dyDescent="0.3">
      <c r="J45786"/>
    </row>
    <row r="45787" spans="10:10" x14ac:dyDescent="0.3">
      <c r="J45787"/>
    </row>
    <row r="45788" spans="10:10" x14ac:dyDescent="0.3">
      <c r="J45788"/>
    </row>
    <row r="45789" spans="10:10" x14ac:dyDescent="0.3">
      <c r="J45789"/>
    </row>
    <row r="45790" spans="10:10" x14ac:dyDescent="0.3">
      <c r="J45790"/>
    </row>
    <row r="45791" spans="10:10" x14ac:dyDescent="0.3">
      <c r="J45791"/>
    </row>
    <row r="45792" spans="10:10" x14ac:dyDescent="0.3">
      <c r="J45792"/>
    </row>
    <row r="45793" spans="10:10" x14ac:dyDescent="0.3">
      <c r="J45793"/>
    </row>
    <row r="45794" spans="10:10" x14ac:dyDescent="0.3">
      <c r="J45794"/>
    </row>
    <row r="45795" spans="10:10" x14ac:dyDescent="0.3">
      <c r="J45795"/>
    </row>
    <row r="45796" spans="10:10" x14ac:dyDescent="0.3">
      <c r="J45796"/>
    </row>
    <row r="45797" spans="10:10" x14ac:dyDescent="0.3">
      <c r="J45797"/>
    </row>
    <row r="45798" spans="10:10" x14ac:dyDescent="0.3">
      <c r="J45798"/>
    </row>
    <row r="45799" spans="10:10" x14ac:dyDescent="0.3">
      <c r="J45799"/>
    </row>
    <row r="45800" spans="10:10" x14ac:dyDescent="0.3">
      <c r="J45800"/>
    </row>
    <row r="45801" spans="10:10" x14ac:dyDescent="0.3">
      <c r="J45801"/>
    </row>
    <row r="45802" spans="10:10" x14ac:dyDescent="0.3">
      <c r="J45802"/>
    </row>
    <row r="45803" spans="10:10" x14ac:dyDescent="0.3">
      <c r="J45803"/>
    </row>
    <row r="45804" spans="10:10" x14ac:dyDescent="0.3">
      <c r="J45804"/>
    </row>
    <row r="45805" spans="10:10" x14ac:dyDescent="0.3">
      <c r="J45805"/>
    </row>
    <row r="45806" spans="10:10" x14ac:dyDescent="0.3">
      <c r="J45806"/>
    </row>
    <row r="45807" spans="10:10" x14ac:dyDescent="0.3">
      <c r="J45807"/>
    </row>
    <row r="45808" spans="10:10" x14ac:dyDescent="0.3">
      <c r="J45808"/>
    </row>
    <row r="45809" spans="10:10" x14ac:dyDescent="0.3">
      <c r="J45809"/>
    </row>
    <row r="45810" spans="10:10" x14ac:dyDescent="0.3">
      <c r="J45810"/>
    </row>
    <row r="45811" spans="10:10" x14ac:dyDescent="0.3">
      <c r="J45811"/>
    </row>
    <row r="45812" spans="10:10" x14ac:dyDescent="0.3">
      <c r="J45812"/>
    </row>
    <row r="45813" spans="10:10" x14ac:dyDescent="0.3">
      <c r="J45813"/>
    </row>
    <row r="45814" spans="10:10" x14ac:dyDescent="0.3">
      <c r="J45814"/>
    </row>
    <row r="45815" spans="10:10" x14ac:dyDescent="0.3">
      <c r="J45815"/>
    </row>
    <row r="45816" spans="10:10" x14ac:dyDescent="0.3">
      <c r="J45816"/>
    </row>
    <row r="45817" spans="10:10" x14ac:dyDescent="0.3">
      <c r="J45817"/>
    </row>
    <row r="45818" spans="10:10" x14ac:dyDescent="0.3">
      <c r="J45818"/>
    </row>
    <row r="45819" spans="10:10" x14ac:dyDescent="0.3">
      <c r="J45819"/>
    </row>
    <row r="45820" spans="10:10" x14ac:dyDescent="0.3">
      <c r="J45820"/>
    </row>
    <row r="45821" spans="10:10" x14ac:dyDescent="0.3">
      <c r="J45821"/>
    </row>
    <row r="45822" spans="10:10" x14ac:dyDescent="0.3">
      <c r="J45822"/>
    </row>
    <row r="45823" spans="10:10" x14ac:dyDescent="0.3">
      <c r="J45823"/>
    </row>
    <row r="45824" spans="10:10" x14ac:dyDescent="0.3">
      <c r="J45824"/>
    </row>
    <row r="45825" spans="10:10" x14ac:dyDescent="0.3">
      <c r="J45825"/>
    </row>
    <row r="45826" spans="10:10" x14ac:dyDescent="0.3">
      <c r="J45826"/>
    </row>
    <row r="45827" spans="10:10" x14ac:dyDescent="0.3">
      <c r="J45827"/>
    </row>
    <row r="45828" spans="10:10" x14ac:dyDescent="0.3">
      <c r="J45828"/>
    </row>
    <row r="45829" spans="10:10" x14ac:dyDescent="0.3">
      <c r="J45829"/>
    </row>
    <row r="45830" spans="10:10" x14ac:dyDescent="0.3">
      <c r="J45830"/>
    </row>
    <row r="45831" spans="10:10" x14ac:dyDescent="0.3">
      <c r="J45831"/>
    </row>
    <row r="45832" spans="10:10" x14ac:dyDescent="0.3">
      <c r="J45832"/>
    </row>
    <row r="45833" spans="10:10" x14ac:dyDescent="0.3">
      <c r="J45833"/>
    </row>
    <row r="45834" spans="10:10" x14ac:dyDescent="0.3">
      <c r="J45834"/>
    </row>
    <row r="45835" spans="10:10" x14ac:dyDescent="0.3">
      <c r="J45835"/>
    </row>
    <row r="45836" spans="10:10" x14ac:dyDescent="0.3">
      <c r="J45836"/>
    </row>
    <row r="45837" spans="10:10" x14ac:dyDescent="0.3">
      <c r="J45837"/>
    </row>
    <row r="45838" spans="10:10" x14ac:dyDescent="0.3">
      <c r="J45838"/>
    </row>
    <row r="45839" spans="10:10" x14ac:dyDescent="0.3">
      <c r="J45839"/>
    </row>
    <row r="45840" spans="10:10" x14ac:dyDescent="0.3">
      <c r="J45840"/>
    </row>
    <row r="45841" spans="10:10" x14ac:dyDescent="0.3">
      <c r="J45841"/>
    </row>
    <row r="45842" spans="10:10" x14ac:dyDescent="0.3">
      <c r="J45842"/>
    </row>
    <row r="45843" spans="10:10" x14ac:dyDescent="0.3">
      <c r="J45843"/>
    </row>
    <row r="45844" spans="10:10" x14ac:dyDescent="0.3">
      <c r="J45844"/>
    </row>
    <row r="45845" spans="10:10" x14ac:dyDescent="0.3">
      <c r="J45845"/>
    </row>
    <row r="45846" spans="10:10" x14ac:dyDescent="0.3">
      <c r="J45846"/>
    </row>
    <row r="45847" spans="10:10" x14ac:dyDescent="0.3">
      <c r="J45847"/>
    </row>
    <row r="45848" spans="10:10" x14ac:dyDescent="0.3">
      <c r="J45848"/>
    </row>
    <row r="45849" spans="10:10" x14ac:dyDescent="0.3">
      <c r="J45849"/>
    </row>
    <row r="45850" spans="10:10" x14ac:dyDescent="0.3">
      <c r="J45850"/>
    </row>
    <row r="45851" spans="10:10" x14ac:dyDescent="0.3">
      <c r="J45851"/>
    </row>
    <row r="45852" spans="10:10" x14ac:dyDescent="0.3">
      <c r="J45852"/>
    </row>
    <row r="45853" spans="10:10" x14ac:dyDescent="0.3">
      <c r="J45853"/>
    </row>
    <row r="45854" spans="10:10" x14ac:dyDescent="0.3">
      <c r="J45854"/>
    </row>
    <row r="45855" spans="10:10" x14ac:dyDescent="0.3">
      <c r="J45855"/>
    </row>
    <row r="45856" spans="10:10" x14ac:dyDescent="0.3">
      <c r="J45856"/>
    </row>
    <row r="45857" spans="10:10" x14ac:dyDescent="0.3">
      <c r="J45857"/>
    </row>
    <row r="45858" spans="10:10" x14ac:dyDescent="0.3">
      <c r="J45858"/>
    </row>
    <row r="45859" spans="10:10" x14ac:dyDescent="0.3">
      <c r="J45859"/>
    </row>
    <row r="45860" spans="10:10" x14ac:dyDescent="0.3">
      <c r="J45860"/>
    </row>
    <row r="45861" spans="10:10" x14ac:dyDescent="0.3">
      <c r="J45861"/>
    </row>
    <row r="45862" spans="10:10" x14ac:dyDescent="0.3">
      <c r="J45862"/>
    </row>
    <row r="45863" spans="10:10" x14ac:dyDescent="0.3">
      <c r="J45863"/>
    </row>
    <row r="45864" spans="10:10" x14ac:dyDescent="0.3">
      <c r="J45864"/>
    </row>
    <row r="45865" spans="10:10" x14ac:dyDescent="0.3">
      <c r="J45865"/>
    </row>
    <row r="45866" spans="10:10" x14ac:dyDescent="0.3">
      <c r="J45866"/>
    </row>
    <row r="45867" spans="10:10" x14ac:dyDescent="0.3">
      <c r="J45867"/>
    </row>
    <row r="45868" spans="10:10" x14ac:dyDescent="0.3">
      <c r="J45868"/>
    </row>
    <row r="45869" spans="10:10" x14ac:dyDescent="0.3">
      <c r="J45869"/>
    </row>
    <row r="45870" spans="10:10" x14ac:dyDescent="0.3">
      <c r="J45870"/>
    </row>
    <row r="45871" spans="10:10" x14ac:dyDescent="0.3">
      <c r="J45871"/>
    </row>
    <row r="45872" spans="10:10" x14ac:dyDescent="0.3">
      <c r="J45872"/>
    </row>
    <row r="45873" spans="10:10" x14ac:dyDescent="0.3">
      <c r="J45873"/>
    </row>
    <row r="45874" spans="10:10" x14ac:dyDescent="0.3">
      <c r="J45874"/>
    </row>
    <row r="45875" spans="10:10" x14ac:dyDescent="0.3">
      <c r="J45875"/>
    </row>
    <row r="45876" spans="10:10" x14ac:dyDescent="0.3">
      <c r="J45876"/>
    </row>
    <row r="45877" spans="10:10" x14ac:dyDescent="0.3">
      <c r="J45877"/>
    </row>
    <row r="45878" spans="10:10" x14ac:dyDescent="0.3">
      <c r="J45878"/>
    </row>
    <row r="45879" spans="10:10" x14ac:dyDescent="0.3">
      <c r="J45879"/>
    </row>
    <row r="45880" spans="10:10" x14ac:dyDescent="0.3">
      <c r="J45880"/>
    </row>
    <row r="45881" spans="10:10" x14ac:dyDescent="0.3">
      <c r="J45881"/>
    </row>
    <row r="45882" spans="10:10" x14ac:dyDescent="0.3">
      <c r="J45882"/>
    </row>
    <row r="45883" spans="10:10" x14ac:dyDescent="0.3">
      <c r="J45883"/>
    </row>
    <row r="45884" spans="10:10" x14ac:dyDescent="0.3">
      <c r="J45884"/>
    </row>
    <row r="45885" spans="10:10" x14ac:dyDescent="0.3">
      <c r="J45885"/>
    </row>
    <row r="45886" spans="10:10" x14ac:dyDescent="0.3">
      <c r="J45886"/>
    </row>
    <row r="45887" spans="10:10" x14ac:dyDescent="0.3">
      <c r="J45887"/>
    </row>
    <row r="45888" spans="10:10" x14ac:dyDescent="0.3">
      <c r="J45888"/>
    </row>
    <row r="45889" spans="10:10" x14ac:dyDescent="0.3">
      <c r="J45889"/>
    </row>
    <row r="45890" spans="10:10" x14ac:dyDescent="0.3">
      <c r="J45890"/>
    </row>
    <row r="45891" spans="10:10" x14ac:dyDescent="0.3">
      <c r="J45891"/>
    </row>
    <row r="45892" spans="10:10" x14ac:dyDescent="0.3">
      <c r="J45892"/>
    </row>
    <row r="45893" spans="10:10" x14ac:dyDescent="0.3">
      <c r="J45893"/>
    </row>
    <row r="45894" spans="10:10" x14ac:dyDescent="0.3">
      <c r="J45894"/>
    </row>
    <row r="45895" spans="10:10" x14ac:dyDescent="0.3">
      <c r="J45895"/>
    </row>
    <row r="45896" spans="10:10" x14ac:dyDescent="0.3">
      <c r="J45896"/>
    </row>
    <row r="45897" spans="10:10" x14ac:dyDescent="0.3">
      <c r="J45897"/>
    </row>
    <row r="45898" spans="10:10" x14ac:dyDescent="0.3">
      <c r="J45898"/>
    </row>
    <row r="45899" spans="10:10" x14ac:dyDescent="0.3">
      <c r="J45899"/>
    </row>
    <row r="45900" spans="10:10" x14ac:dyDescent="0.3">
      <c r="J45900"/>
    </row>
    <row r="45901" spans="10:10" x14ac:dyDescent="0.3">
      <c r="J45901"/>
    </row>
    <row r="45902" spans="10:10" x14ac:dyDescent="0.3">
      <c r="J45902"/>
    </row>
    <row r="45903" spans="10:10" x14ac:dyDescent="0.3">
      <c r="J45903"/>
    </row>
    <row r="45904" spans="10:10" x14ac:dyDescent="0.3">
      <c r="J45904"/>
    </row>
    <row r="45905" spans="10:10" x14ac:dyDescent="0.3">
      <c r="J45905"/>
    </row>
    <row r="45906" spans="10:10" x14ac:dyDescent="0.3">
      <c r="J45906"/>
    </row>
    <row r="45907" spans="10:10" x14ac:dyDescent="0.3">
      <c r="J45907"/>
    </row>
    <row r="45908" spans="10:10" x14ac:dyDescent="0.3">
      <c r="J45908"/>
    </row>
    <row r="45909" spans="10:10" x14ac:dyDescent="0.3">
      <c r="J45909"/>
    </row>
    <row r="45910" spans="10:10" x14ac:dyDescent="0.3">
      <c r="J45910"/>
    </row>
    <row r="45911" spans="10:10" x14ac:dyDescent="0.3">
      <c r="J45911"/>
    </row>
    <row r="45912" spans="10:10" x14ac:dyDescent="0.3">
      <c r="J45912"/>
    </row>
    <row r="45913" spans="10:10" x14ac:dyDescent="0.3">
      <c r="J45913"/>
    </row>
    <row r="45914" spans="10:10" x14ac:dyDescent="0.3">
      <c r="J45914"/>
    </row>
    <row r="45915" spans="10:10" x14ac:dyDescent="0.3">
      <c r="J45915"/>
    </row>
    <row r="45916" spans="10:10" x14ac:dyDescent="0.3">
      <c r="J45916"/>
    </row>
    <row r="45917" spans="10:10" x14ac:dyDescent="0.3">
      <c r="J45917"/>
    </row>
    <row r="45918" spans="10:10" x14ac:dyDescent="0.3">
      <c r="J45918"/>
    </row>
    <row r="45919" spans="10:10" x14ac:dyDescent="0.3">
      <c r="J45919"/>
    </row>
    <row r="45920" spans="10:10" x14ac:dyDescent="0.3">
      <c r="J45920"/>
    </row>
    <row r="45921" spans="10:10" x14ac:dyDescent="0.3">
      <c r="J45921"/>
    </row>
    <row r="45922" spans="10:10" x14ac:dyDescent="0.3">
      <c r="J45922"/>
    </row>
    <row r="45923" spans="10:10" x14ac:dyDescent="0.3">
      <c r="J45923"/>
    </row>
    <row r="45924" spans="10:10" x14ac:dyDescent="0.3">
      <c r="J45924"/>
    </row>
    <row r="45925" spans="10:10" x14ac:dyDescent="0.3">
      <c r="J45925"/>
    </row>
    <row r="45926" spans="10:10" x14ac:dyDescent="0.3">
      <c r="J45926"/>
    </row>
    <row r="45927" spans="10:10" x14ac:dyDescent="0.3">
      <c r="J45927"/>
    </row>
    <row r="45928" spans="10:10" x14ac:dyDescent="0.3">
      <c r="J45928"/>
    </row>
    <row r="45929" spans="10:10" x14ac:dyDescent="0.3">
      <c r="J45929"/>
    </row>
    <row r="45930" spans="10:10" x14ac:dyDescent="0.3">
      <c r="J45930"/>
    </row>
    <row r="45931" spans="10:10" x14ac:dyDescent="0.3">
      <c r="J45931"/>
    </row>
    <row r="45932" spans="10:10" x14ac:dyDescent="0.3">
      <c r="J45932"/>
    </row>
    <row r="45933" spans="10:10" x14ac:dyDescent="0.3">
      <c r="J45933"/>
    </row>
    <row r="45934" spans="10:10" x14ac:dyDescent="0.3">
      <c r="J45934"/>
    </row>
    <row r="45935" spans="10:10" x14ac:dyDescent="0.3">
      <c r="J45935"/>
    </row>
    <row r="45936" spans="10:10" x14ac:dyDescent="0.3">
      <c r="J45936"/>
    </row>
    <row r="45937" spans="10:10" x14ac:dyDescent="0.3">
      <c r="J45937"/>
    </row>
    <row r="45938" spans="10:10" x14ac:dyDescent="0.3">
      <c r="J45938"/>
    </row>
    <row r="45939" spans="10:10" x14ac:dyDescent="0.3">
      <c r="J45939"/>
    </row>
    <row r="45940" spans="10:10" x14ac:dyDescent="0.3">
      <c r="J45940"/>
    </row>
    <row r="45941" spans="10:10" x14ac:dyDescent="0.3">
      <c r="J45941"/>
    </row>
    <row r="45942" spans="10:10" x14ac:dyDescent="0.3">
      <c r="J45942"/>
    </row>
    <row r="45943" spans="10:10" x14ac:dyDescent="0.3">
      <c r="J45943"/>
    </row>
    <row r="45944" spans="10:10" x14ac:dyDescent="0.3">
      <c r="J45944"/>
    </row>
    <row r="45945" spans="10:10" x14ac:dyDescent="0.3">
      <c r="J45945"/>
    </row>
    <row r="45946" spans="10:10" x14ac:dyDescent="0.3">
      <c r="J45946"/>
    </row>
    <row r="45947" spans="10:10" x14ac:dyDescent="0.3">
      <c r="J45947"/>
    </row>
    <row r="45948" spans="10:10" x14ac:dyDescent="0.3">
      <c r="J45948"/>
    </row>
    <row r="45949" spans="10:10" x14ac:dyDescent="0.3">
      <c r="J45949"/>
    </row>
    <row r="45950" spans="10:10" x14ac:dyDescent="0.3">
      <c r="J45950"/>
    </row>
    <row r="45951" spans="10:10" x14ac:dyDescent="0.3">
      <c r="J45951"/>
    </row>
    <row r="45952" spans="10:10" x14ac:dyDescent="0.3">
      <c r="J45952"/>
    </row>
    <row r="45953" spans="10:10" x14ac:dyDescent="0.3">
      <c r="J45953"/>
    </row>
    <row r="45954" spans="10:10" x14ac:dyDescent="0.3">
      <c r="J45954"/>
    </row>
    <row r="45955" spans="10:10" x14ac:dyDescent="0.3">
      <c r="J45955"/>
    </row>
    <row r="45956" spans="10:10" x14ac:dyDescent="0.3">
      <c r="J45956"/>
    </row>
    <row r="45957" spans="10:10" x14ac:dyDescent="0.3">
      <c r="J45957"/>
    </row>
    <row r="45958" spans="10:10" x14ac:dyDescent="0.3">
      <c r="J45958"/>
    </row>
    <row r="45959" spans="10:10" x14ac:dyDescent="0.3">
      <c r="J45959"/>
    </row>
    <row r="45960" spans="10:10" x14ac:dyDescent="0.3">
      <c r="J45960"/>
    </row>
    <row r="45961" spans="10:10" x14ac:dyDescent="0.3">
      <c r="J45961"/>
    </row>
    <row r="45962" spans="10:10" x14ac:dyDescent="0.3">
      <c r="J45962"/>
    </row>
    <row r="45963" spans="10:10" x14ac:dyDescent="0.3">
      <c r="J45963"/>
    </row>
    <row r="45964" spans="10:10" x14ac:dyDescent="0.3">
      <c r="J45964"/>
    </row>
    <row r="45965" spans="10:10" x14ac:dyDescent="0.3">
      <c r="J45965"/>
    </row>
    <row r="45966" spans="10:10" x14ac:dyDescent="0.3">
      <c r="J45966"/>
    </row>
    <row r="45967" spans="10:10" x14ac:dyDescent="0.3">
      <c r="J45967"/>
    </row>
    <row r="45968" spans="10:10" x14ac:dyDescent="0.3">
      <c r="J45968"/>
    </row>
    <row r="45969" spans="10:10" x14ac:dyDescent="0.3">
      <c r="J45969"/>
    </row>
    <row r="45970" spans="10:10" x14ac:dyDescent="0.3">
      <c r="J45970"/>
    </row>
    <row r="45971" spans="10:10" x14ac:dyDescent="0.3">
      <c r="J45971"/>
    </row>
    <row r="45972" spans="10:10" x14ac:dyDescent="0.3">
      <c r="J45972"/>
    </row>
    <row r="45973" spans="10:10" x14ac:dyDescent="0.3">
      <c r="J45973"/>
    </row>
    <row r="45974" spans="10:10" x14ac:dyDescent="0.3">
      <c r="J45974"/>
    </row>
    <row r="45975" spans="10:10" x14ac:dyDescent="0.3">
      <c r="J45975"/>
    </row>
    <row r="45976" spans="10:10" x14ac:dyDescent="0.3">
      <c r="J45976"/>
    </row>
    <row r="45977" spans="10:10" x14ac:dyDescent="0.3">
      <c r="J45977"/>
    </row>
    <row r="45978" spans="10:10" x14ac:dyDescent="0.3">
      <c r="J45978"/>
    </row>
    <row r="45979" spans="10:10" x14ac:dyDescent="0.3">
      <c r="J45979"/>
    </row>
    <row r="45980" spans="10:10" x14ac:dyDescent="0.3">
      <c r="J45980"/>
    </row>
    <row r="45981" spans="10:10" x14ac:dyDescent="0.3">
      <c r="J45981"/>
    </row>
    <row r="45982" spans="10:10" x14ac:dyDescent="0.3">
      <c r="J45982"/>
    </row>
    <row r="45983" spans="10:10" x14ac:dyDescent="0.3">
      <c r="J45983"/>
    </row>
    <row r="45984" spans="10:10" x14ac:dyDescent="0.3">
      <c r="J45984"/>
    </row>
    <row r="45985" spans="10:10" x14ac:dyDescent="0.3">
      <c r="J45985"/>
    </row>
    <row r="45986" spans="10:10" x14ac:dyDescent="0.3">
      <c r="J45986"/>
    </row>
    <row r="45987" spans="10:10" x14ac:dyDescent="0.3">
      <c r="J45987"/>
    </row>
    <row r="45988" spans="10:10" x14ac:dyDescent="0.3">
      <c r="J45988"/>
    </row>
    <row r="45989" spans="10:10" x14ac:dyDescent="0.3">
      <c r="J45989"/>
    </row>
    <row r="45990" spans="10:10" x14ac:dyDescent="0.3">
      <c r="J45990"/>
    </row>
    <row r="45991" spans="10:10" x14ac:dyDescent="0.3">
      <c r="J45991"/>
    </row>
    <row r="45992" spans="10:10" x14ac:dyDescent="0.3">
      <c r="J45992"/>
    </row>
    <row r="45993" spans="10:10" x14ac:dyDescent="0.3">
      <c r="J45993"/>
    </row>
    <row r="45994" spans="10:10" x14ac:dyDescent="0.3">
      <c r="J45994"/>
    </row>
    <row r="45995" spans="10:10" x14ac:dyDescent="0.3">
      <c r="J45995"/>
    </row>
    <row r="45996" spans="10:10" x14ac:dyDescent="0.3">
      <c r="J45996"/>
    </row>
    <row r="45997" spans="10:10" x14ac:dyDescent="0.3">
      <c r="J45997"/>
    </row>
    <row r="45998" spans="10:10" x14ac:dyDescent="0.3">
      <c r="J45998"/>
    </row>
    <row r="45999" spans="10:10" x14ac:dyDescent="0.3">
      <c r="J45999"/>
    </row>
    <row r="46000" spans="10:10" x14ac:dyDescent="0.3">
      <c r="J46000"/>
    </row>
    <row r="46001" spans="10:10" x14ac:dyDescent="0.3">
      <c r="J46001"/>
    </row>
    <row r="46002" spans="10:10" x14ac:dyDescent="0.3">
      <c r="J46002"/>
    </row>
    <row r="46003" spans="10:10" x14ac:dyDescent="0.3">
      <c r="J46003"/>
    </row>
    <row r="46004" spans="10:10" x14ac:dyDescent="0.3">
      <c r="J46004"/>
    </row>
    <row r="46005" spans="10:10" x14ac:dyDescent="0.3">
      <c r="J46005"/>
    </row>
    <row r="46006" spans="10:10" x14ac:dyDescent="0.3">
      <c r="J46006"/>
    </row>
    <row r="46007" spans="10:10" x14ac:dyDescent="0.3">
      <c r="J46007"/>
    </row>
    <row r="46008" spans="10:10" x14ac:dyDescent="0.3">
      <c r="J46008"/>
    </row>
    <row r="46009" spans="10:10" x14ac:dyDescent="0.3">
      <c r="J46009"/>
    </row>
    <row r="46010" spans="10:10" x14ac:dyDescent="0.3">
      <c r="J46010"/>
    </row>
    <row r="46011" spans="10:10" x14ac:dyDescent="0.3">
      <c r="J46011"/>
    </row>
    <row r="46012" spans="10:10" x14ac:dyDescent="0.3">
      <c r="J46012"/>
    </row>
    <row r="46013" spans="10:10" x14ac:dyDescent="0.3">
      <c r="J46013"/>
    </row>
    <row r="46014" spans="10:10" x14ac:dyDescent="0.3">
      <c r="J46014"/>
    </row>
    <row r="46015" spans="10:10" x14ac:dyDescent="0.3">
      <c r="J46015"/>
    </row>
    <row r="46016" spans="10:10" x14ac:dyDescent="0.3">
      <c r="J46016"/>
    </row>
    <row r="46017" spans="10:10" x14ac:dyDescent="0.3">
      <c r="J46017"/>
    </row>
    <row r="46018" spans="10:10" x14ac:dyDescent="0.3">
      <c r="J46018"/>
    </row>
    <row r="46019" spans="10:10" x14ac:dyDescent="0.3">
      <c r="J46019"/>
    </row>
    <row r="46020" spans="10:10" x14ac:dyDescent="0.3">
      <c r="J46020"/>
    </row>
    <row r="46021" spans="10:10" x14ac:dyDescent="0.3">
      <c r="J46021"/>
    </row>
    <row r="46022" spans="10:10" x14ac:dyDescent="0.3">
      <c r="J46022"/>
    </row>
    <row r="46023" spans="10:10" x14ac:dyDescent="0.3">
      <c r="J46023"/>
    </row>
    <row r="46024" spans="10:10" x14ac:dyDescent="0.3">
      <c r="J46024"/>
    </row>
    <row r="46025" spans="10:10" x14ac:dyDescent="0.3">
      <c r="J46025"/>
    </row>
    <row r="46026" spans="10:10" x14ac:dyDescent="0.3">
      <c r="J46026"/>
    </row>
    <row r="46027" spans="10:10" x14ac:dyDescent="0.3">
      <c r="J46027"/>
    </row>
    <row r="46028" spans="10:10" x14ac:dyDescent="0.3">
      <c r="J46028"/>
    </row>
    <row r="46029" spans="10:10" x14ac:dyDescent="0.3">
      <c r="J46029"/>
    </row>
    <row r="46030" spans="10:10" x14ac:dyDescent="0.3">
      <c r="J46030"/>
    </row>
    <row r="46031" spans="10:10" x14ac:dyDescent="0.3">
      <c r="J46031"/>
    </row>
    <row r="46032" spans="10:10" x14ac:dyDescent="0.3">
      <c r="J46032"/>
    </row>
    <row r="46033" spans="10:10" x14ac:dyDescent="0.3">
      <c r="J46033"/>
    </row>
    <row r="46034" spans="10:10" x14ac:dyDescent="0.3">
      <c r="J46034"/>
    </row>
    <row r="46035" spans="10:10" x14ac:dyDescent="0.3">
      <c r="J46035"/>
    </row>
    <row r="46036" spans="10:10" x14ac:dyDescent="0.3">
      <c r="J46036"/>
    </row>
    <row r="46037" spans="10:10" x14ac:dyDescent="0.3">
      <c r="J46037"/>
    </row>
    <row r="46038" spans="10:10" x14ac:dyDescent="0.3">
      <c r="J46038"/>
    </row>
    <row r="46039" spans="10:10" x14ac:dyDescent="0.3">
      <c r="J46039"/>
    </row>
    <row r="46040" spans="10:10" x14ac:dyDescent="0.3">
      <c r="J46040"/>
    </row>
    <row r="46041" spans="10:10" x14ac:dyDescent="0.3">
      <c r="J46041"/>
    </row>
    <row r="46042" spans="10:10" x14ac:dyDescent="0.3">
      <c r="J46042"/>
    </row>
    <row r="46043" spans="10:10" x14ac:dyDescent="0.3">
      <c r="J46043"/>
    </row>
    <row r="46044" spans="10:10" x14ac:dyDescent="0.3">
      <c r="J46044"/>
    </row>
    <row r="46045" spans="10:10" x14ac:dyDescent="0.3">
      <c r="J46045"/>
    </row>
    <row r="46046" spans="10:10" x14ac:dyDescent="0.3">
      <c r="J46046"/>
    </row>
    <row r="46047" spans="10:10" x14ac:dyDescent="0.3">
      <c r="J46047"/>
    </row>
    <row r="46048" spans="10:10" x14ac:dyDescent="0.3">
      <c r="J46048"/>
    </row>
    <row r="46049" spans="10:10" x14ac:dyDescent="0.3">
      <c r="J46049"/>
    </row>
    <row r="46050" spans="10:10" x14ac:dyDescent="0.3">
      <c r="J46050"/>
    </row>
    <row r="46051" spans="10:10" x14ac:dyDescent="0.3">
      <c r="J46051"/>
    </row>
    <row r="46052" spans="10:10" x14ac:dyDescent="0.3">
      <c r="J46052"/>
    </row>
    <row r="46053" spans="10:10" x14ac:dyDescent="0.3">
      <c r="J46053"/>
    </row>
    <row r="46054" spans="10:10" x14ac:dyDescent="0.3">
      <c r="J46054"/>
    </row>
    <row r="46055" spans="10:10" x14ac:dyDescent="0.3">
      <c r="J46055"/>
    </row>
    <row r="46056" spans="10:10" x14ac:dyDescent="0.3">
      <c r="J46056"/>
    </row>
    <row r="46057" spans="10:10" x14ac:dyDescent="0.3">
      <c r="J46057"/>
    </row>
    <row r="46058" spans="10:10" x14ac:dyDescent="0.3">
      <c r="J46058"/>
    </row>
    <row r="46059" spans="10:10" x14ac:dyDescent="0.3">
      <c r="J46059"/>
    </row>
    <row r="46060" spans="10:10" x14ac:dyDescent="0.3">
      <c r="J46060"/>
    </row>
    <row r="46061" spans="10:10" x14ac:dyDescent="0.3">
      <c r="J46061"/>
    </row>
    <row r="46062" spans="10:10" x14ac:dyDescent="0.3">
      <c r="J46062"/>
    </row>
    <row r="46063" spans="10:10" x14ac:dyDescent="0.3">
      <c r="J46063"/>
    </row>
    <row r="46064" spans="10:10" x14ac:dyDescent="0.3">
      <c r="J46064"/>
    </row>
    <row r="46065" spans="10:10" x14ac:dyDescent="0.3">
      <c r="J46065"/>
    </row>
    <row r="46066" spans="10:10" x14ac:dyDescent="0.3">
      <c r="J46066"/>
    </row>
    <row r="46067" spans="10:10" x14ac:dyDescent="0.3">
      <c r="J46067"/>
    </row>
    <row r="46068" spans="10:10" x14ac:dyDescent="0.3">
      <c r="J46068"/>
    </row>
    <row r="46069" spans="10:10" x14ac:dyDescent="0.3">
      <c r="J46069"/>
    </row>
    <row r="46070" spans="10:10" x14ac:dyDescent="0.3">
      <c r="J46070"/>
    </row>
    <row r="46071" spans="10:10" x14ac:dyDescent="0.3">
      <c r="J46071"/>
    </row>
    <row r="46072" spans="10:10" x14ac:dyDescent="0.3">
      <c r="J46072"/>
    </row>
    <row r="46073" spans="10:10" x14ac:dyDescent="0.3">
      <c r="J46073"/>
    </row>
    <row r="46074" spans="10:10" x14ac:dyDescent="0.3">
      <c r="J46074"/>
    </row>
    <row r="46075" spans="10:10" x14ac:dyDescent="0.3">
      <c r="J46075"/>
    </row>
    <row r="46076" spans="10:10" x14ac:dyDescent="0.3">
      <c r="J46076"/>
    </row>
    <row r="46077" spans="10:10" x14ac:dyDescent="0.3">
      <c r="J46077"/>
    </row>
    <row r="46078" spans="10:10" x14ac:dyDescent="0.3">
      <c r="J46078"/>
    </row>
    <row r="46079" spans="10:10" x14ac:dyDescent="0.3">
      <c r="J46079"/>
    </row>
    <row r="46080" spans="10:10" x14ac:dyDescent="0.3">
      <c r="J46080"/>
    </row>
    <row r="46081" spans="10:10" x14ac:dyDescent="0.3">
      <c r="J46081"/>
    </row>
    <row r="46082" spans="10:10" x14ac:dyDescent="0.3">
      <c r="J46082"/>
    </row>
    <row r="46083" spans="10:10" x14ac:dyDescent="0.3">
      <c r="J46083"/>
    </row>
    <row r="46084" spans="10:10" x14ac:dyDescent="0.3">
      <c r="J46084"/>
    </row>
    <row r="46085" spans="10:10" x14ac:dyDescent="0.3">
      <c r="J46085"/>
    </row>
    <row r="46086" spans="10:10" x14ac:dyDescent="0.3">
      <c r="J46086"/>
    </row>
    <row r="46087" spans="10:10" x14ac:dyDescent="0.3">
      <c r="J46087"/>
    </row>
    <row r="46088" spans="10:10" x14ac:dyDescent="0.3">
      <c r="J46088"/>
    </row>
    <row r="46089" spans="10:10" x14ac:dyDescent="0.3">
      <c r="J46089"/>
    </row>
    <row r="46090" spans="10:10" x14ac:dyDescent="0.3">
      <c r="J46090"/>
    </row>
    <row r="46091" spans="10:10" x14ac:dyDescent="0.3">
      <c r="J46091"/>
    </row>
    <row r="46092" spans="10:10" x14ac:dyDescent="0.3">
      <c r="J46092"/>
    </row>
    <row r="46093" spans="10:10" x14ac:dyDescent="0.3">
      <c r="J46093"/>
    </row>
    <row r="46094" spans="10:10" x14ac:dyDescent="0.3">
      <c r="J46094"/>
    </row>
    <row r="46095" spans="10:10" x14ac:dyDescent="0.3">
      <c r="J46095"/>
    </row>
    <row r="46096" spans="10:10" x14ac:dyDescent="0.3">
      <c r="J46096"/>
    </row>
    <row r="46097" spans="10:10" x14ac:dyDescent="0.3">
      <c r="J46097"/>
    </row>
    <row r="46098" spans="10:10" x14ac:dyDescent="0.3">
      <c r="J46098"/>
    </row>
    <row r="46099" spans="10:10" x14ac:dyDescent="0.3">
      <c r="J46099"/>
    </row>
    <row r="46100" spans="10:10" x14ac:dyDescent="0.3">
      <c r="J46100"/>
    </row>
    <row r="46101" spans="10:10" x14ac:dyDescent="0.3">
      <c r="J46101"/>
    </row>
    <row r="46102" spans="10:10" x14ac:dyDescent="0.3">
      <c r="J46102"/>
    </row>
    <row r="46103" spans="10:10" x14ac:dyDescent="0.3">
      <c r="J46103"/>
    </row>
    <row r="46104" spans="10:10" x14ac:dyDescent="0.3">
      <c r="J46104"/>
    </row>
    <row r="46105" spans="10:10" x14ac:dyDescent="0.3">
      <c r="J46105"/>
    </row>
    <row r="46106" spans="10:10" x14ac:dyDescent="0.3">
      <c r="J46106"/>
    </row>
    <row r="46107" spans="10:10" x14ac:dyDescent="0.3">
      <c r="J46107"/>
    </row>
    <row r="46108" spans="10:10" x14ac:dyDescent="0.3">
      <c r="J46108"/>
    </row>
    <row r="46109" spans="10:10" x14ac:dyDescent="0.3">
      <c r="J46109"/>
    </row>
    <row r="46110" spans="10:10" x14ac:dyDescent="0.3">
      <c r="J46110"/>
    </row>
    <row r="46111" spans="10:10" x14ac:dyDescent="0.3">
      <c r="J46111"/>
    </row>
    <row r="46112" spans="10:10" x14ac:dyDescent="0.3">
      <c r="J46112"/>
    </row>
    <row r="46113" spans="10:10" x14ac:dyDescent="0.3">
      <c r="J46113"/>
    </row>
    <row r="46114" spans="10:10" x14ac:dyDescent="0.3">
      <c r="J46114"/>
    </row>
    <row r="46115" spans="10:10" x14ac:dyDescent="0.3">
      <c r="J46115"/>
    </row>
    <row r="46116" spans="10:10" x14ac:dyDescent="0.3">
      <c r="J46116"/>
    </row>
    <row r="46117" spans="10:10" x14ac:dyDescent="0.3">
      <c r="J46117"/>
    </row>
    <row r="46118" spans="10:10" x14ac:dyDescent="0.3">
      <c r="J46118"/>
    </row>
    <row r="46119" spans="10:10" x14ac:dyDescent="0.3">
      <c r="J46119"/>
    </row>
    <row r="46120" spans="10:10" x14ac:dyDescent="0.3">
      <c r="J46120"/>
    </row>
    <row r="46121" spans="10:10" x14ac:dyDescent="0.3">
      <c r="J46121"/>
    </row>
    <row r="46122" spans="10:10" x14ac:dyDescent="0.3">
      <c r="J46122"/>
    </row>
    <row r="46123" spans="10:10" x14ac:dyDescent="0.3">
      <c r="J46123"/>
    </row>
    <row r="46124" spans="10:10" x14ac:dyDescent="0.3">
      <c r="J46124"/>
    </row>
    <row r="46125" spans="10:10" x14ac:dyDescent="0.3">
      <c r="J46125"/>
    </row>
    <row r="46126" spans="10:10" x14ac:dyDescent="0.3">
      <c r="J46126"/>
    </row>
    <row r="46127" spans="10:10" x14ac:dyDescent="0.3">
      <c r="J46127"/>
    </row>
    <row r="46128" spans="10:10" x14ac:dyDescent="0.3">
      <c r="J46128"/>
    </row>
    <row r="46129" spans="10:10" x14ac:dyDescent="0.3">
      <c r="J46129"/>
    </row>
    <row r="46130" spans="10:10" x14ac:dyDescent="0.3">
      <c r="J46130"/>
    </row>
    <row r="46131" spans="10:10" x14ac:dyDescent="0.3">
      <c r="J46131"/>
    </row>
    <row r="46132" spans="10:10" x14ac:dyDescent="0.3">
      <c r="J46132"/>
    </row>
    <row r="46133" spans="10:10" x14ac:dyDescent="0.3">
      <c r="J46133"/>
    </row>
    <row r="46134" spans="10:10" x14ac:dyDescent="0.3">
      <c r="J46134"/>
    </row>
    <row r="46135" spans="10:10" x14ac:dyDescent="0.3">
      <c r="J46135"/>
    </row>
    <row r="46136" spans="10:10" x14ac:dyDescent="0.3">
      <c r="J46136"/>
    </row>
    <row r="46137" spans="10:10" x14ac:dyDescent="0.3">
      <c r="J46137"/>
    </row>
    <row r="46138" spans="10:10" x14ac:dyDescent="0.3">
      <c r="J46138"/>
    </row>
    <row r="46139" spans="10:10" x14ac:dyDescent="0.3">
      <c r="J46139"/>
    </row>
    <row r="46140" spans="10:10" x14ac:dyDescent="0.3">
      <c r="J46140"/>
    </row>
    <row r="46141" spans="10:10" x14ac:dyDescent="0.3">
      <c r="J46141"/>
    </row>
    <row r="46142" spans="10:10" x14ac:dyDescent="0.3">
      <c r="J46142"/>
    </row>
    <row r="46143" spans="10:10" x14ac:dyDescent="0.3">
      <c r="J46143"/>
    </row>
    <row r="46144" spans="10:10" x14ac:dyDescent="0.3">
      <c r="J46144"/>
    </row>
    <row r="46145" spans="10:10" x14ac:dyDescent="0.3">
      <c r="J46145"/>
    </row>
    <row r="46146" spans="10:10" x14ac:dyDescent="0.3">
      <c r="J46146"/>
    </row>
    <row r="46147" spans="10:10" x14ac:dyDescent="0.3">
      <c r="J46147"/>
    </row>
    <row r="46148" spans="10:10" x14ac:dyDescent="0.3">
      <c r="J46148"/>
    </row>
    <row r="46149" spans="10:10" x14ac:dyDescent="0.3">
      <c r="J46149"/>
    </row>
    <row r="46150" spans="10:10" x14ac:dyDescent="0.3">
      <c r="J46150"/>
    </row>
    <row r="46151" spans="10:10" x14ac:dyDescent="0.3">
      <c r="J46151"/>
    </row>
    <row r="46152" spans="10:10" x14ac:dyDescent="0.3">
      <c r="J46152"/>
    </row>
    <row r="46153" spans="10:10" x14ac:dyDescent="0.3">
      <c r="J46153"/>
    </row>
    <row r="46154" spans="10:10" x14ac:dyDescent="0.3">
      <c r="J46154"/>
    </row>
    <row r="46155" spans="10:10" x14ac:dyDescent="0.3">
      <c r="J46155"/>
    </row>
    <row r="46156" spans="10:10" x14ac:dyDescent="0.3">
      <c r="J46156"/>
    </row>
    <row r="46157" spans="10:10" x14ac:dyDescent="0.3">
      <c r="J46157"/>
    </row>
    <row r="46158" spans="10:10" x14ac:dyDescent="0.3">
      <c r="J46158"/>
    </row>
    <row r="46159" spans="10:10" x14ac:dyDescent="0.3">
      <c r="J46159"/>
    </row>
    <row r="46160" spans="10:10" x14ac:dyDescent="0.3">
      <c r="J46160"/>
    </row>
    <row r="46161" spans="10:10" x14ac:dyDescent="0.3">
      <c r="J46161"/>
    </row>
    <row r="46162" spans="10:10" x14ac:dyDescent="0.3">
      <c r="J46162"/>
    </row>
    <row r="46163" spans="10:10" x14ac:dyDescent="0.3">
      <c r="J46163"/>
    </row>
    <row r="46164" spans="10:10" x14ac:dyDescent="0.3">
      <c r="J46164"/>
    </row>
    <row r="46165" spans="10:10" x14ac:dyDescent="0.3">
      <c r="J46165"/>
    </row>
    <row r="46166" spans="10:10" x14ac:dyDescent="0.3">
      <c r="J46166"/>
    </row>
    <row r="46167" spans="10:10" x14ac:dyDescent="0.3">
      <c r="J46167"/>
    </row>
    <row r="46168" spans="10:10" x14ac:dyDescent="0.3">
      <c r="J46168"/>
    </row>
    <row r="46169" spans="10:10" x14ac:dyDescent="0.3">
      <c r="J46169"/>
    </row>
    <row r="46170" spans="10:10" x14ac:dyDescent="0.3">
      <c r="J46170"/>
    </row>
    <row r="46171" spans="10:10" x14ac:dyDescent="0.3">
      <c r="J46171"/>
    </row>
    <row r="46172" spans="10:10" x14ac:dyDescent="0.3">
      <c r="J46172"/>
    </row>
    <row r="46173" spans="10:10" x14ac:dyDescent="0.3">
      <c r="J46173"/>
    </row>
    <row r="46174" spans="10:10" x14ac:dyDescent="0.3">
      <c r="J46174"/>
    </row>
    <row r="46175" spans="10:10" x14ac:dyDescent="0.3">
      <c r="J46175"/>
    </row>
    <row r="46176" spans="10:10" x14ac:dyDescent="0.3">
      <c r="J46176"/>
    </row>
    <row r="46177" spans="10:10" x14ac:dyDescent="0.3">
      <c r="J46177"/>
    </row>
    <row r="46178" spans="10:10" x14ac:dyDescent="0.3">
      <c r="J46178"/>
    </row>
    <row r="46179" spans="10:10" x14ac:dyDescent="0.3">
      <c r="J46179"/>
    </row>
    <row r="46180" spans="10:10" x14ac:dyDescent="0.3">
      <c r="J46180"/>
    </row>
    <row r="46181" spans="10:10" x14ac:dyDescent="0.3">
      <c r="J46181"/>
    </row>
    <row r="46182" spans="10:10" x14ac:dyDescent="0.3">
      <c r="J46182"/>
    </row>
    <row r="46183" spans="10:10" x14ac:dyDescent="0.3">
      <c r="J46183"/>
    </row>
    <row r="46184" spans="10:10" x14ac:dyDescent="0.3">
      <c r="J46184"/>
    </row>
    <row r="46185" spans="10:10" x14ac:dyDescent="0.3">
      <c r="J46185"/>
    </row>
    <row r="46186" spans="10:10" x14ac:dyDescent="0.3">
      <c r="J46186"/>
    </row>
    <row r="46187" spans="10:10" x14ac:dyDescent="0.3">
      <c r="J46187"/>
    </row>
    <row r="46188" spans="10:10" x14ac:dyDescent="0.3">
      <c r="J46188"/>
    </row>
    <row r="46189" spans="10:10" x14ac:dyDescent="0.3">
      <c r="J46189"/>
    </row>
    <row r="46190" spans="10:10" x14ac:dyDescent="0.3">
      <c r="J46190"/>
    </row>
    <row r="46191" spans="10:10" x14ac:dyDescent="0.3">
      <c r="J46191"/>
    </row>
    <row r="46192" spans="10:10" x14ac:dyDescent="0.3">
      <c r="J46192"/>
    </row>
    <row r="46193" spans="10:10" x14ac:dyDescent="0.3">
      <c r="J46193"/>
    </row>
    <row r="46194" spans="10:10" x14ac:dyDescent="0.3">
      <c r="J46194"/>
    </row>
    <row r="46195" spans="10:10" x14ac:dyDescent="0.3">
      <c r="J46195"/>
    </row>
    <row r="46196" spans="10:10" x14ac:dyDescent="0.3">
      <c r="J46196"/>
    </row>
    <row r="46197" spans="10:10" x14ac:dyDescent="0.3">
      <c r="J46197"/>
    </row>
    <row r="46198" spans="10:10" x14ac:dyDescent="0.3">
      <c r="J46198"/>
    </row>
    <row r="46199" spans="10:10" x14ac:dyDescent="0.3">
      <c r="J46199"/>
    </row>
    <row r="46200" spans="10:10" x14ac:dyDescent="0.3">
      <c r="J46200"/>
    </row>
    <row r="46201" spans="10:10" x14ac:dyDescent="0.3">
      <c r="J46201"/>
    </row>
    <row r="46202" spans="10:10" x14ac:dyDescent="0.3">
      <c r="J46202"/>
    </row>
    <row r="46203" spans="10:10" x14ac:dyDescent="0.3">
      <c r="J46203"/>
    </row>
    <row r="46204" spans="10:10" x14ac:dyDescent="0.3">
      <c r="J46204"/>
    </row>
    <row r="46205" spans="10:10" x14ac:dyDescent="0.3">
      <c r="J46205"/>
    </row>
    <row r="46206" spans="10:10" x14ac:dyDescent="0.3">
      <c r="J46206"/>
    </row>
    <row r="46207" spans="10:10" x14ac:dyDescent="0.3">
      <c r="J46207"/>
    </row>
    <row r="46208" spans="10:10" x14ac:dyDescent="0.3">
      <c r="J46208"/>
    </row>
    <row r="46209" spans="10:10" x14ac:dyDescent="0.3">
      <c r="J46209"/>
    </row>
    <row r="46210" spans="10:10" x14ac:dyDescent="0.3">
      <c r="J46210"/>
    </row>
    <row r="46211" spans="10:10" x14ac:dyDescent="0.3">
      <c r="J46211"/>
    </row>
    <row r="46212" spans="10:10" x14ac:dyDescent="0.3">
      <c r="J46212"/>
    </row>
    <row r="46213" spans="10:10" x14ac:dyDescent="0.3">
      <c r="J46213"/>
    </row>
    <row r="46214" spans="10:10" x14ac:dyDescent="0.3">
      <c r="J46214"/>
    </row>
    <row r="46215" spans="10:10" x14ac:dyDescent="0.3">
      <c r="J46215"/>
    </row>
    <row r="46216" spans="10:10" x14ac:dyDescent="0.3">
      <c r="J46216"/>
    </row>
    <row r="46217" spans="10:10" x14ac:dyDescent="0.3">
      <c r="J46217"/>
    </row>
    <row r="46218" spans="10:10" x14ac:dyDescent="0.3">
      <c r="J46218"/>
    </row>
    <row r="46219" spans="10:10" x14ac:dyDescent="0.3">
      <c r="J46219"/>
    </row>
    <row r="46220" spans="10:10" x14ac:dyDescent="0.3">
      <c r="J46220"/>
    </row>
    <row r="46221" spans="10:10" x14ac:dyDescent="0.3">
      <c r="J46221"/>
    </row>
    <row r="46222" spans="10:10" x14ac:dyDescent="0.3">
      <c r="J46222"/>
    </row>
    <row r="46223" spans="10:10" x14ac:dyDescent="0.3">
      <c r="J46223"/>
    </row>
    <row r="46224" spans="10:10" x14ac:dyDescent="0.3">
      <c r="J46224"/>
    </row>
    <row r="46225" spans="10:10" x14ac:dyDescent="0.3">
      <c r="J46225"/>
    </row>
    <row r="46226" spans="10:10" x14ac:dyDescent="0.3">
      <c r="J46226"/>
    </row>
    <row r="46227" spans="10:10" x14ac:dyDescent="0.3">
      <c r="J46227"/>
    </row>
    <row r="46228" spans="10:10" x14ac:dyDescent="0.3">
      <c r="J46228"/>
    </row>
    <row r="46229" spans="10:10" x14ac:dyDescent="0.3">
      <c r="J46229"/>
    </row>
    <row r="46230" spans="10:10" x14ac:dyDescent="0.3">
      <c r="J46230"/>
    </row>
    <row r="46231" spans="10:10" x14ac:dyDescent="0.3">
      <c r="J46231"/>
    </row>
    <row r="46232" spans="10:10" x14ac:dyDescent="0.3">
      <c r="J46232"/>
    </row>
    <row r="46233" spans="10:10" x14ac:dyDescent="0.3">
      <c r="J46233"/>
    </row>
    <row r="46234" spans="10:10" x14ac:dyDescent="0.3">
      <c r="J46234"/>
    </row>
    <row r="46235" spans="10:10" x14ac:dyDescent="0.3">
      <c r="J46235"/>
    </row>
    <row r="46236" spans="10:10" x14ac:dyDescent="0.3">
      <c r="J46236"/>
    </row>
    <row r="46237" spans="10:10" x14ac:dyDescent="0.3">
      <c r="J46237"/>
    </row>
    <row r="46238" spans="10:10" x14ac:dyDescent="0.3">
      <c r="J46238"/>
    </row>
    <row r="46239" spans="10:10" x14ac:dyDescent="0.3">
      <c r="J46239"/>
    </row>
    <row r="46240" spans="10:10" x14ac:dyDescent="0.3">
      <c r="J46240"/>
    </row>
    <row r="46241" spans="10:10" x14ac:dyDescent="0.3">
      <c r="J46241"/>
    </row>
    <row r="46242" spans="10:10" x14ac:dyDescent="0.3">
      <c r="J46242"/>
    </row>
    <row r="46243" spans="10:10" x14ac:dyDescent="0.3">
      <c r="J46243"/>
    </row>
    <row r="46244" spans="10:10" x14ac:dyDescent="0.3">
      <c r="J46244"/>
    </row>
    <row r="46245" spans="10:10" x14ac:dyDescent="0.3">
      <c r="J46245"/>
    </row>
    <row r="46246" spans="10:10" x14ac:dyDescent="0.3">
      <c r="J46246"/>
    </row>
    <row r="46247" spans="10:10" x14ac:dyDescent="0.3">
      <c r="J46247"/>
    </row>
    <row r="46248" spans="10:10" x14ac:dyDescent="0.3">
      <c r="J46248"/>
    </row>
    <row r="46249" spans="10:10" x14ac:dyDescent="0.3">
      <c r="J46249"/>
    </row>
    <row r="46250" spans="10:10" x14ac:dyDescent="0.3">
      <c r="J46250"/>
    </row>
    <row r="46251" spans="10:10" x14ac:dyDescent="0.3">
      <c r="J46251"/>
    </row>
    <row r="46252" spans="10:10" x14ac:dyDescent="0.3">
      <c r="J46252"/>
    </row>
    <row r="46253" spans="10:10" x14ac:dyDescent="0.3">
      <c r="J46253"/>
    </row>
    <row r="46254" spans="10:10" x14ac:dyDescent="0.3">
      <c r="J46254"/>
    </row>
    <row r="46255" spans="10:10" x14ac:dyDescent="0.3">
      <c r="J46255"/>
    </row>
    <row r="46256" spans="10:10" x14ac:dyDescent="0.3">
      <c r="J46256"/>
    </row>
    <row r="46257" spans="10:10" x14ac:dyDescent="0.3">
      <c r="J46257"/>
    </row>
    <row r="46258" spans="10:10" x14ac:dyDescent="0.3">
      <c r="J46258"/>
    </row>
    <row r="46259" spans="10:10" x14ac:dyDescent="0.3">
      <c r="J46259"/>
    </row>
    <row r="46260" spans="10:10" x14ac:dyDescent="0.3">
      <c r="J46260"/>
    </row>
    <row r="46261" spans="10:10" x14ac:dyDescent="0.3">
      <c r="J46261"/>
    </row>
    <row r="46262" spans="10:10" x14ac:dyDescent="0.3">
      <c r="J46262"/>
    </row>
    <row r="46263" spans="10:10" x14ac:dyDescent="0.3">
      <c r="J46263"/>
    </row>
    <row r="46264" spans="10:10" x14ac:dyDescent="0.3">
      <c r="J46264"/>
    </row>
    <row r="46265" spans="10:10" x14ac:dyDescent="0.3">
      <c r="J46265"/>
    </row>
    <row r="46266" spans="10:10" x14ac:dyDescent="0.3">
      <c r="J46266"/>
    </row>
    <row r="46267" spans="10:10" x14ac:dyDescent="0.3">
      <c r="J46267"/>
    </row>
    <row r="46268" spans="10:10" x14ac:dyDescent="0.3">
      <c r="J46268"/>
    </row>
    <row r="46269" spans="10:10" x14ac:dyDescent="0.3">
      <c r="J46269"/>
    </row>
    <row r="46270" spans="10:10" x14ac:dyDescent="0.3">
      <c r="J46270"/>
    </row>
    <row r="46271" spans="10:10" x14ac:dyDescent="0.3">
      <c r="J46271"/>
    </row>
    <row r="46272" spans="10:10" x14ac:dyDescent="0.3">
      <c r="J46272"/>
    </row>
    <row r="46273" spans="10:10" x14ac:dyDescent="0.3">
      <c r="J46273"/>
    </row>
    <row r="46274" spans="10:10" x14ac:dyDescent="0.3">
      <c r="J46274"/>
    </row>
    <row r="46275" spans="10:10" x14ac:dyDescent="0.3">
      <c r="J46275"/>
    </row>
    <row r="46276" spans="10:10" x14ac:dyDescent="0.3">
      <c r="J46276"/>
    </row>
    <row r="46277" spans="10:10" x14ac:dyDescent="0.3">
      <c r="J46277"/>
    </row>
    <row r="46278" spans="10:10" x14ac:dyDescent="0.3">
      <c r="J46278"/>
    </row>
    <row r="46279" spans="10:10" x14ac:dyDescent="0.3">
      <c r="J46279"/>
    </row>
    <row r="46280" spans="10:10" x14ac:dyDescent="0.3">
      <c r="J46280"/>
    </row>
    <row r="46281" spans="10:10" x14ac:dyDescent="0.3">
      <c r="J46281"/>
    </row>
    <row r="46282" spans="10:10" x14ac:dyDescent="0.3">
      <c r="J46282"/>
    </row>
    <row r="46283" spans="10:10" x14ac:dyDescent="0.3">
      <c r="J46283"/>
    </row>
    <row r="46284" spans="10:10" x14ac:dyDescent="0.3">
      <c r="J46284"/>
    </row>
    <row r="46285" spans="10:10" x14ac:dyDescent="0.3">
      <c r="J46285"/>
    </row>
    <row r="46286" spans="10:10" x14ac:dyDescent="0.3">
      <c r="J46286"/>
    </row>
    <row r="46287" spans="10:10" x14ac:dyDescent="0.3">
      <c r="J46287"/>
    </row>
    <row r="46288" spans="10:10" x14ac:dyDescent="0.3">
      <c r="J46288"/>
    </row>
    <row r="46289" spans="10:10" x14ac:dyDescent="0.3">
      <c r="J46289"/>
    </row>
    <row r="46290" spans="10:10" x14ac:dyDescent="0.3">
      <c r="J46290"/>
    </row>
    <row r="46291" spans="10:10" x14ac:dyDescent="0.3">
      <c r="J46291"/>
    </row>
    <row r="46292" spans="10:10" x14ac:dyDescent="0.3">
      <c r="J46292"/>
    </row>
    <row r="46293" spans="10:10" x14ac:dyDescent="0.3">
      <c r="J46293"/>
    </row>
    <row r="46294" spans="10:10" x14ac:dyDescent="0.3">
      <c r="J46294"/>
    </row>
    <row r="46295" spans="10:10" x14ac:dyDescent="0.3">
      <c r="J46295"/>
    </row>
    <row r="46296" spans="10:10" x14ac:dyDescent="0.3">
      <c r="J46296"/>
    </row>
    <row r="46297" spans="10:10" x14ac:dyDescent="0.3">
      <c r="J46297"/>
    </row>
    <row r="46298" spans="10:10" x14ac:dyDescent="0.3">
      <c r="J46298"/>
    </row>
    <row r="46299" spans="10:10" x14ac:dyDescent="0.3">
      <c r="J46299"/>
    </row>
    <row r="46300" spans="10:10" x14ac:dyDescent="0.3">
      <c r="J46300"/>
    </row>
    <row r="46301" spans="10:10" x14ac:dyDescent="0.3">
      <c r="J46301"/>
    </row>
    <row r="46302" spans="10:10" x14ac:dyDescent="0.3">
      <c r="J46302"/>
    </row>
    <row r="46303" spans="10:10" x14ac:dyDescent="0.3">
      <c r="J46303"/>
    </row>
    <row r="46304" spans="10:10" x14ac:dyDescent="0.3">
      <c r="J46304"/>
    </row>
    <row r="46305" spans="10:10" x14ac:dyDescent="0.3">
      <c r="J46305"/>
    </row>
    <row r="46306" spans="10:10" x14ac:dyDescent="0.3">
      <c r="J46306"/>
    </row>
    <row r="46307" spans="10:10" x14ac:dyDescent="0.3">
      <c r="J46307"/>
    </row>
    <row r="46308" spans="10:10" x14ac:dyDescent="0.3">
      <c r="J46308"/>
    </row>
    <row r="46309" spans="10:10" x14ac:dyDescent="0.3">
      <c r="J46309"/>
    </row>
    <row r="46310" spans="10:10" x14ac:dyDescent="0.3">
      <c r="J46310"/>
    </row>
    <row r="46311" spans="10:10" x14ac:dyDescent="0.3">
      <c r="J46311"/>
    </row>
    <row r="46312" spans="10:10" x14ac:dyDescent="0.3">
      <c r="J46312"/>
    </row>
    <row r="46313" spans="10:10" x14ac:dyDescent="0.3">
      <c r="J46313"/>
    </row>
    <row r="46314" spans="10:10" x14ac:dyDescent="0.3">
      <c r="J46314"/>
    </row>
    <row r="46315" spans="10:10" x14ac:dyDescent="0.3">
      <c r="J46315"/>
    </row>
    <row r="46316" spans="10:10" x14ac:dyDescent="0.3">
      <c r="J46316"/>
    </row>
    <row r="46317" spans="10:10" x14ac:dyDescent="0.3">
      <c r="J46317"/>
    </row>
    <row r="46318" spans="10:10" x14ac:dyDescent="0.3">
      <c r="J46318"/>
    </row>
    <row r="46319" spans="10:10" x14ac:dyDescent="0.3">
      <c r="J46319"/>
    </row>
    <row r="46320" spans="10:10" x14ac:dyDescent="0.3">
      <c r="J46320"/>
    </row>
    <row r="46321" spans="10:10" x14ac:dyDescent="0.3">
      <c r="J46321"/>
    </row>
    <row r="46322" spans="10:10" x14ac:dyDescent="0.3">
      <c r="J46322"/>
    </row>
    <row r="46323" spans="10:10" x14ac:dyDescent="0.3">
      <c r="J46323"/>
    </row>
    <row r="46324" spans="10:10" x14ac:dyDescent="0.3">
      <c r="J46324"/>
    </row>
    <row r="46325" spans="10:10" x14ac:dyDescent="0.3">
      <c r="J46325"/>
    </row>
    <row r="46326" spans="10:10" x14ac:dyDescent="0.3">
      <c r="J46326"/>
    </row>
    <row r="46327" spans="10:10" x14ac:dyDescent="0.3">
      <c r="J46327"/>
    </row>
    <row r="46328" spans="10:10" x14ac:dyDescent="0.3">
      <c r="J46328"/>
    </row>
    <row r="46329" spans="10:10" x14ac:dyDescent="0.3">
      <c r="J46329"/>
    </row>
    <row r="46330" spans="10:10" x14ac:dyDescent="0.3">
      <c r="J46330"/>
    </row>
    <row r="46331" spans="10:10" x14ac:dyDescent="0.3">
      <c r="J46331"/>
    </row>
    <row r="46332" spans="10:10" x14ac:dyDescent="0.3">
      <c r="J46332"/>
    </row>
    <row r="46333" spans="10:10" x14ac:dyDescent="0.3">
      <c r="J46333"/>
    </row>
    <row r="46334" spans="10:10" x14ac:dyDescent="0.3">
      <c r="J46334"/>
    </row>
    <row r="46335" spans="10:10" x14ac:dyDescent="0.3">
      <c r="J46335"/>
    </row>
    <row r="46336" spans="10:10" x14ac:dyDescent="0.3">
      <c r="J46336"/>
    </row>
    <row r="46337" spans="10:10" x14ac:dyDescent="0.3">
      <c r="J46337"/>
    </row>
    <row r="46338" spans="10:10" x14ac:dyDescent="0.3">
      <c r="J46338"/>
    </row>
    <row r="46339" spans="10:10" x14ac:dyDescent="0.3">
      <c r="J46339"/>
    </row>
    <row r="46340" spans="10:10" x14ac:dyDescent="0.3">
      <c r="J46340"/>
    </row>
    <row r="46341" spans="10:10" x14ac:dyDescent="0.3">
      <c r="J46341"/>
    </row>
    <row r="46342" spans="10:10" x14ac:dyDescent="0.3">
      <c r="J46342"/>
    </row>
    <row r="46343" spans="10:10" x14ac:dyDescent="0.3">
      <c r="J46343"/>
    </row>
    <row r="46344" spans="10:10" x14ac:dyDescent="0.3">
      <c r="J46344"/>
    </row>
    <row r="46345" spans="10:10" x14ac:dyDescent="0.3">
      <c r="J46345"/>
    </row>
    <row r="46346" spans="10:10" x14ac:dyDescent="0.3">
      <c r="J46346"/>
    </row>
    <row r="46347" spans="10:10" x14ac:dyDescent="0.3">
      <c r="J46347"/>
    </row>
    <row r="46348" spans="10:10" x14ac:dyDescent="0.3">
      <c r="J46348"/>
    </row>
    <row r="46349" spans="10:10" x14ac:dyDescent="0.3">
      <c r="J46349"/>
    </row>
    <row r="46350" spans="10:10" x14ac:dyDescent="0.3">
      <c r="J46350"/>
    </row>
    <row r="46351" spans="10:10" x14ac:dyDescent="0.3">
      <c r="J46351"/>
    </row>
    <row r="46352" spans="10:10" x14ac:dyDescent="0.3">
      <c r="J46352"/>
    </row>
    <row r="46353" spans="10:10" x14ac:dyDescent="0.3">
      <c r="J46353"/>
    </row>
    <row r="46354" spans="10:10" x14ac:dyDescent="0.3">
      <c r="J46354"/>
    </row>
    <row r="46355" spans="10:10" x14ac:dyDescent="0.3">
      <c r="J46355"/>
    </row>
    <row r="46356" spans="10:10" x14ac:dyDescent="0.3">
      <c r="J46356"/>
    </row>
    <row r="46357" spans="10:10" x14ac:dyDescent="0.3">
      <c r="J46357"/>
    </row>
    <row r="46358" spans="10:10" x14ac:dyDescent="0.3">
      <c r="J46358"/>
    </row>
    <row r="46359" spans="10:10" x14ac:dyDescent="0.3">
      <c r="J46359"/>
    </row>
    <row r="46360" spans="10:10" x14ac:dyDescent="0.3">
      <c r="J46360"/>
    </row>
    <row r="46361" spans="10:10" x14ac:dyDescent="0.3">
      <c r="J46361"/>
    </row>
    <row r="46362" spans="10:10" x14ac:dyDescent="0.3">
      <c r="J46362"/>
    </row>
    <row r="46363" spans="10:10" x14ac:dyDescent="0.3">
      <c r="J46363"/>
    </row>
    <row r="46364" spans="10:10" x14ac:dyDescent="0.3">
      <c r="J46364"/>
    </row>
    <row r="46365" spans="10:10" x14ac:dyDescent="0.3">
      <c r="J46365"/>
    </row>
    <row r="46366" spans="10:10" x14ac:dyDescent="0.3">
      <c r="J46366"/>
    </row>
    <row r="46367" spans="10:10" x14ac:dyDescent="0.3">
      <c r="J46367"/>
    </row>
    <row r="46368" spans="10:10" x14ac:dyDescent="0.3">
      <c r="J46368"/>
    </row>
    <row r="46369" spans="10:10" x14ac:dyDescent="0.3">
      <c r="J46369"/>
    </row>
    <row r="46370" spans="10:10" x14ac:dyDescent="0.3">
      <c r="J46370"/>
    </row>
    <row r="46371" spans="10:10" x14ac:dyDescent="0.3">
      <c r="J46371"/>
    </row>
    <row r="46372" spans="10:10" x14ac:dyDescent="0.3">
      <c r="J46372"/>
    </row>
    <row r="46373" spans="10:10" x14ac:dyDescent="0.3">
      <c r="J46373"/>
    </row>
    <row r="46374" spans="10:10" x14ac:dyDescent="0.3">
      <c r="J46374"/>
    </row>
    <row r="46375" spans="10:10" x14ac:dyDescent="0.3">
      <c r="J46375"/>
    </row>
    <row r="46376" spans="10:10" x14ac:dyDescent="0.3">
      <c r="J46376"/>
    </row>
    <row r="46377" spans="10:10" x14ac:dyDescent="0.3">
      <c r="J46377"/>
    </row>
    <row r="46378" spans="10:10" x14ac:dyDescent="0.3">
      <c r="J46378"/>
    </row>
    <row r="46379" spans="10:10" x14ac:dyDescent="0.3">
      <c r="J46379"/>
    </row>
    <row r="46380" spans="10:10" x14ac:dyDescent="0.3">
      <c r="J46380"/>
    </row>
    <row r="46381" spans="10:10" x14ac:dyDescent="0.3">
      <c r="J46381"/>
    </row>
    <row r="46382" spans="10:10" x14ac:dyDescent="0.3">
      <c r="J46382"/>
    </row>
    <row r="46383" spans="10:10" x14ac:dyDescent="0.3">
      <c r="J46383"/>
    </row>
    <row r="46384" spans="10:10" x14ac:dyDescent="0.3">
      <c r="J46384"/>
    </row>
    <row r="46385" spans="10:10" x14ac:dyDescent="0.3">
      <c r="J46385"/>
    </row>
    <row r="46386" spans="10:10" x14ac:dyDescent="0.3">
      <c r="J46386"/>
    </row>
    <row r="46387" spans="10:10" x14ac:dyDescent="0.3">
      <c r="J46387"/>
    </row>
    <row r="46388" spans="10:10" x14ac:dyDescent="0.3">
      <c r="J46388"/>
    </row>
    <row r="46389" spans="10:10" x14ac:dyDescent="0.3">
      <c r="J46389"/>
    </row>
    <row r="46390" spans="10:10" x14ac:dyDescent="0.3">
      <c r="J46390"/>
    </row>
    <row r="46391" spans="10:10" x14ac:dyDescent="0.3">
      <c r="J46391"/>
    </row>
    <row r="46392" spans="10:10" x14ac:dyDescent="0.3">
      <c r="J46392"/>
    </row>
    <row r="46393" spans="10:10" x14ac:dyDescent="0.3">
      <c r="J46393"/>
    </row>
    <row r="46394" spans="10:10" x14ac:dyDescent="0.3">
      <c r="J46394"/>
    </row>
    <row r="46395" spans="10:10" x14ac:dyDescent="0.3">
      <c r="J46395"/>
    </row>
    <row r="46396" spans="10:10" x14ac:dyDescent="0.3">
      <c r="J46396"/>
    </row>
    <row r="46397" spans="10:10" x14ac:dyDescent="0.3">
      <c r="J46397"/>
    </row>
    <row r="46398" spans="10:10" x14ac:dyDescent="0.3">
      <c r="J46398"/>
    </row>
    <row r="46399" spans="10:10" x14ac:dyDescent="0.3">
      <c r="J46399"/>
    </row>
    <row r="46400" spans="10:10" x14ac:dyDescent="0.3">
      <c r="J46400"/>
    </row>
    <row r="46401" spans="10:10" x14ac:dyDescent="0.3">
      <c r="J46401"/>
    </row>
    <row r="46402" spans="10:10" x14ac:dyDescent="0.3">
      <c r="J46402"/>
    </row>
    <row r="46403" spans="10:10" x14ac:dyDescent="0.3">
      <c r="J46403"/>
    </row>
    <row r="46404" spans="10:10" x14ac:dyDescent="0.3">
      <c r="J46404"/>
    </row>
    <row r="46405" spans="10:10" x14ac:dyDescent="0.3">
      <c r="J46405"/>
    </row>
    <row r="46406" spans="10:10" x14ac:dyDescent="0.3">
      <c r="J46406"/>
    </row>
    <row r="46407" spans="10:10" x14ac:dyDescent="0.3">
      <c r="J46407"/>
    </row>
    <row r="46408" spans="10:10" x14ac:dyDescent="0.3">
      <c r="J46408"/>
    </row>
    <row r="46409" spans="10:10" x14ac:dyDescent="0.3">
      <c r="J46409"/>
    </row>
    <row r="46410" spans="10:10" x14ac:dyDescent="0.3">
      <c r="J46410"/>
    </row>
    <row r="46411" spans="10:10" x14ac:dyDescent="0.3">
      <c r="J46411"/>
    </row>
    <row r="46412" spans="10:10" x14ac:dyDescent="0.3">
      <c r="J46412"/>
    </row>
    <row r="46413" spans="10:10" x14ac:dyDescent="0.3">
      <c r="J46413"/>
    </row>
    <row r="46414" spans="10:10" x14ac:dyDescent="0.3">
      <c r="J46414"/>
    </row>
    <row r="46415" spans="10:10" x14ac:dyDescent="0.3">
      <c r="J46415"/>
    </row>
    <row r="46416" spans="10:10" x14ac:dyDescent="0.3">
      <c r="J46416"/>
    </row>
    <row r="46417" spans="10:10" x14ac:dyDescent="0.3">
      <c r="J46417"/>
    </row>
    <row r="46418" spans="10:10" x14ac:dyDescent="0.3">
      <c r="J46418"/>
    </row>
    <row r="46419" spans="10:10" x14ac:dyDescent="0.3">
      <c r="J46419"/>
    </row>
    <row r="46420" spans="10:10" x14ac:dyDescent="0.3">
      <c r="J46420"/>
    </row>
    <row r="46421" spans="10:10" x14ac:dyDescent="0.3">
      <c r="J46421"/>
    </row>
    <row r="46422" spans="10:10" x14ac:dyDescent="0.3">
      <c r="J46422"/>
    </row>
    <row r="46423" spans="10:10" x14ac:dyDescent="0.3">
      <c r="J46423"/>
    </row>
    <row r="46424" spans="10:10" x14ac:dyDescent="0.3">
      <c r="J46424"/>
    </row>
    <row r="46425" spans="10:10" x14ac:dyDescent="0.3">
      <c r="J46425"/>
    </row>
    <row r="46426" spans="10:10" x14ac:dyDescent="0.3">
      <c r="J46426"/>
    </row>
    <row r="46427" spans="10:10" x14ac:dyDescent="0.3">
      <c r="J46427"/>
    </row>
    <row r="46428" spans="10:10" x14ac:dyDescent="0.3">
      <c r="J46428"/>
    </row>
    <row r="46429" spans="10:10" x14ac:dyDescent="0.3">
      <c r="J46429"/>
    </row>
    <row r="46430" spans="10:10" x14ac:dyDescent="0.3">
      <c r="J46430"/>
    </row>
    <row r="46431" spans="10:10" x14ac:dyDescent="0.3">
      <c r="J46431"/>
    </row>
    <row r="46432" spans="10:10" x14ac:dyDescent="0.3">
      <c r="J46432"/>
    </row>
    <row r="46433" spans="10:10" x14ac:dyDescent="0.3">
      <c r="J46433"/>
    </row>
    <row r="46434" spans="10:10" x14ac:dyDescent="0.3">
      <c r="J46434"/>
    </row>
    <row r="46435" spans="10:10" x14ac:dyDescent="0.3">
      <c r="J46435"/>
    </row>
    <row r="46436" spans="10:10" x14ac:dyDescent="0.3">
      <c r="J46436"/>
    </row>
    <row r="46437" spans="10:10" x14ac:dyDescent="0.3">
      <c r="J46437"/>
    </row>
    <row r="46438" spans="10:10" x14ac:dyDescent="0.3">
      <c r="J46438"/>
    </row>
    <row r="46439" spans="10:10" x14ac:dyDescent="0.3">
      <c r="J46439"/>
    </row>
    <row r="46440" spans="10:10" x14ac:dyDescent="0.3">
      <c r="J46440"/>
    </row>
    <row r="46441" spans="10:10" x14ac:dyDescent="0.3">
      <c r="J46441"/>
    </row>
    <row r="46442" spans="10:10" x14ac:dyDescent="0.3">
      <c r="J46442"/>
    </row>
    <row r="46443" spans="10:10" x14ac:dyDescent="0.3">
      <c r="J46443"/>
    </row>
    <row r="46444" spans="10:10" x14ac:dyDescent="0.3">
      <c r="J46444"/>
    </row>
    <row r="46445" spans="10:10" x14ac:dyDescent="0.3">
      <c r="J46445"/>
    </row>
    <row r="46446" spans="10:10" x14ac:dyDescent="0.3">
      <c r="J46446"/>
    </row>
    <row r="46447" spans="10:10" x14ac:dyDescent="0.3">
      <c r="J46447"/>
    </row>
    <row r="46448" spans="10:10" x14ac:dyDescent="0.3">
      <c r="J46448"/>
    </row>
    <row r="46449" spans="10:10" x14ac:dyDescent="0.3">
      <c r="J46449"/>
    </row>
    <row r="46450" spans="10:10" x14ac:dyDescent="0.3">
      <c r="J46450"/>
    </row>
    <row r="46451" spans="10:10" x14ac:dyDescent="0.3">
      <c r="J46451"/>
    </row>
    <row r="46452" spans="10:10" x14ac:dyDescent="0.3">
      <c r="J46452"/>
    </row>
    <row r="46453" spans="10:10" x14ac:dyDescent="0.3">
      <c r="J46453"/>
    </row>
    <row r="46454" spans="10:10" x14ac:dyDescent="0.3">
      <c r="J46454"/>
    </row>
    <row r="46455" spans="10:10" x14ac:dyDescent="0.3">
      <c r="J46455"/>
    </row>
    <row r="46456" spans="10:10" x14ac:dyDescent="0.3">
      <c r="J46456"/>
    </row>
    <row r="46457" spans="10:10" x14ac:dyDescent="0.3">
      <c r="J46457"/>
    </row>
    <row r="46458" spans="10:10" x14ac:dyDescent="0.3">
      <c r="J46458"/>
    </row>
    <row r="46459" spans="10:10" x14ac:dyDescent="0.3">
      <c r="J46459"/>
    </row>
    <row r="46460" spans="10:10" x14ac:dyDescent="0.3">
      <c r="J46460"/>
    </row>
    <row r="46461" spans="10:10" x14ac:dyDescent="0.3">
      <c r="J46461"/>
    </row>
    <row r="46462" spans="10:10" x14ac:dyDescent="0.3">
      <c r="J46462"/>
    </row>
    <row r="46463" spans="10:10" x14ac:dyDescent="0.3">
      <c r="J46463"/>
    </row>
    <row r="46464" spans="10:10" x14ac:dyDescent="0.3">
      <c r="J46464"/>
    </row>
    <row r="46465" spans="10:10" x14ac:dyDescent="0.3">
      <c r="J46465"/>
    </row>
    <row r="46466" spans="10:10" x14ac:dyDescent="0.3">
      <c r="J46466"/>
    </row>
    <row r="46467" spans="10:10" x14ac:dyDescent="0.3">
      <c r="J46467"/>
    </row>
    <row r="46468" spans="10:10" x14ac:dyDescent="0.3">
      <c r="J46468"/>
    </row>
    <row r="46469" spans="10:10" x14ac:dyDescent="0.3">
      <c r="J46469"/>
    </row>
    <row r="46470" spans="10:10" x14ac:dyDescent="0.3">
      <c r="J46470"/>
    </row>
    <row r="46471" spans="10:10" x14ac:dyDescent="0.3">
      <c r="J46471"/>
    </row>
    <row r="46472" spans="10:10" x14ac:dyDescent="0.3">
      <c r="J46472"/>
    </row>
    <row r="46473" spans="10:10" x14ac:dyDescent="0.3">
      <c r="J46473"/>
    </row>
    <row r="46474" spans="10:10" x14ac:dyDescent="0.3">
      <c r="J46474"/>
    </row>
    <row r="46475" spans="10:10" x14ac:dyDescent="0.3">
      <c r="J46475"/>
    </row>
    <row r="46476" spans="10:10" x14ac:dyDescent="0.3">
      <c r="J46476"/>
    </row>
    <row r="46477" spans="10:10" x14ac:dyDescent="0.3">
      <c r="J46477"/>
    </row>
    <row r="46478" spans="10:10" x14ac:dyDescent="0.3">
      <c r="J46478"/>
    </row>
    <row r="46479" spans="10:10" x14ac:dyDescent="0.3">
      <c r="J46479"/>
    </row>
    <row r="46480" spans="10:10" x14ac:dyDescent="0.3">
      <c r="J46480"/>
    </row>
    <row r="46481" spans="10:10" x14ac:dyDescent="0.3">
      <c r="J46481"/>
    </row>
    <row r="46482" spans="10:10" x14ac:dyDescent="0.3">
      <c r="J46482"/>
    </row>
    <row r="46483" spans="10:10" x14ac:dyDescent="0.3">
      <c r="J46483"/>
    </row>
    <row r="46484" spans="10:10" x14ac:dyDescent="0.3">
      <c r="J46484"/>
    </row>
    <row r="46485" spans="10:10" x14ac:dyDescent="0.3">
      <c r="J46485"/>
    </row>
    <row r="46486" spans="10:10" x14ac:dyDescent="0.3">
      <c r="J46486"/>
    </row>
    <row r="46487" spans="10:10" x14ac:dyDescent="0.3">
      <c r="J46487"/>
    </row>
    <row r="46488" spans="10:10" x14ac:dyDescent="0.3">
      <c r="J46488"/>
    </row>
    <row r="46489" spans="10:10" x14ac:dyDescent="0.3">
      <c r="J46489"/>
    </row>
    <row r="46490" spans="10:10" x14ac:dyDescent="0.3">
      <c r="J46490"/>
    </row>
    <row r="46491" spans="10:10" x14ac:dyDescent="0.3">
      <c r="J46491"/>
    </row>
    <row r="46492" spans="10:10" x14ac:dyDescent="0.3">
      <c r="J46492"/>
    </row>
    <row r="46493" spans="10:10" x14ac:dyDescent="0.3">
      <c r="J46493"/>
    </row>
    <row r="46494" spans="10:10" x14ac:dyDescent="0.3">
      <c r="J46494"/>
    </row>
    <row r="46495" spans="10:10" x14ac:dyDescent="0.3">
      <c r="J46495"/>
    </row>
    <row r="46496" spans="10:10" x14ac:dyDescent="0.3">
      <c r="J46496"/>
    </row>
    <row r="46497" spans="10:10" x14ac:dyDescent="0.3">
      <c r="J46497"/>
    </row>
    <row r="46498" spans="10:10" x14ac:dyDescent="0.3">
      <c r="J46498"/>
    </row>
    <row r="46499" spans="10:10" x14ac:dyDescent="0.3">
      <c r="J46499"/>
    </row>
    <row r="46500" spans="10:10" x14ac:dyDescent="0.3">
      <c r="J46500"/>
    </row>
    <row r="46501" spans="10:10" x14ac:dyDescent="0.3">
      <c r="J46501"/>
    </row>
    <row r="46502" spans="10:10" x14ac:dyDescent="0.3">
      <c r="J46502"/>
    </row>
    <row r="46503" spans="10:10" x14ac:dyDescent="0.3">
      <c r="J46503"/>
    </row>
    <row r="46504" spans="10:10" x14ac:dyDescent="0.3">
      <c r="J46504"/>
    </row>
    <row r="46505" spans="10:10" x14ac:dyDescent="0.3">
      <c r="J46505"/>
    </row>
    <row r="46506" spans="10:10" x14ac:dyDescent="0.3">
      <c r="J46506"/>
    </row>
    <row r="46507" spans="10:10" x14ac:dyDescent="0.3">
      <c r="J46507"/>
    </row>
    <row r="46508" spans="10:10" x14ac:dyDescent="0.3">
      <c r="J46508"/>
    </row>
    <row r="46509" spans="10:10" x14ac:dyDescent="0.3">
      <c r="J46509"/>
    </row>
    <row r="46510" spans="10:10" x14ac:dyDescent="0.3">
      <c r="J46510"/>
    </row>
    <row r="46511" spans="10:10" x14ac:dyDescent="0.3">
      <c r="J46511"/>
    </row>
    <row r="46512" spans="10:10" x14ac:dyDescent="0.3">
      <c r="J46512"/>
    </row>
    <row r="46513" spans="10:10" x14ac:dyDescent="0.3">
      <c r="J46513"/>
    </row>
    <row r="46514" spans="10:10" x14ac:dyDescent="0.3">
      <c r="J46514"/>
    </row>
    <row r="46515" spans="10:10" x14ac:dyDescent="0.3">
      <c r="J46515"/>
    </row>
    <row r="46516" spans="10:10" x14ac:dyDescent="0.3">
      <c r="J46516"/>
    </row>
    <row r="46517" spans="10:10" x14ac:dyDescent="0.3">
      <c r="J46517"/>
    </row>
    <row r="46518" spans="10:10" x14ac:dyDescent="0.3">
      <c r="J46518"/>
    </row>
    <row r="46519" spans="10:10" x14ac:dyDescent="0.3">
      <c r="J46519"/>
    </row>
    <row r="46520" spans="10:10" x14ac:dyDescent="0.3">
      <c r="J46520"/>
    </row>
    <row r="46521" spans="10:10" x14ac:dyDescent="0.3">
      <c r="J46521"/>
    </row>
    <row r="46522" spans="10:10" x14ac:dyDescent="0.3">
      <c r="J46522"/>
    </row>
    <row r="46523" spans="10:10" x14ac:dyDescent="0.3">
      <c r="J46523"/>
    </row>
    <row r="46524" spans="10:10" x14ac:dyDescent="0.3">
      <c r="J46524"/>
    </row>
    <row r="46525" spans="10:10" x14ac:dyDescent="0.3">
      <c r="J46525"/>
    </row>
    <row r="46526" spans="10:10" x14ac:dyDescent="0.3">
      <c r="J46526"/>
    </row>
    <row r="46527" spans="10:10" x14ac:dyDescent="0.3">
      <c r="J46527"/>
    </row>
    <row r="46528" spans="10:10" x14ac:dyDescent="0.3">
      <c r="J46528"/>
    </row>
    <row r="46529" spans="10:10" x14ac:dyDescent="0.3">
      <c r="J46529"/>
    </row>
    <row r="46530" spans="10:10" x14ac:dyDescent="0.3">
      <c r="J46530"/>
    </row>
    <row r="46531" spans="10:10" x14ac:dyDescent="0.3">
      <c r="J46531"/>
    </row>
    <row r="46532" spans="10:10" x14ac:dyDescent="0.3">
      <c r="J46532"/>
    </row>
    <row r="46533" spans="10:10" x14ac:dyDescent="0.3">
      <c r="J46533"/>
    </row>
    <row r="46534" spans="10:10" x14ac:dyDescent="0.3">
      <c r="J46534"/>
    </row>
    <row r="46535" spans="10:10" x14ac:dyDescent="0.3">
      <c r="J46535"/>
    </row>
    <row r="46536" spans="10:10" x14ac:dyDescent="0.3">
      <c r="J46536"/>
    </row>
    <row r="46537" spans="10:10" x14ac:dyDescent="0.3">
      <c r="J46537"/>
    </row>
    <row r="46538" spans="10:10" x14ac:dyDescent="0.3">
      <c r="J46538"/>
    </row>
    <row r="46539" spans="10:10" x14ac:dyDescent="0.3">
      <c r="J46539"/>
    </row>
    <row r="46540" spans="10:10" x14ac:dyDescent="0.3">
      <c r="J46540"/>
    </row>
    <row r="46541" spans="10:10" x14ac:dyDescent="0.3">
      <c r="J46541"/>
    </row>
    <row r="46542" spans="10:10" x14ac:dyDescent="0.3">
      <c r="J46542"/>
    </row>
    <row r="46543" spans="10:10" x14ac:dyDescent="0.3">
      <c r="J46543"/>
    </row>
    <row r="46544" spans="10:10" x14ac:dyDescent="0.3">
      <c r="J46544"/>
    </row>
    <row r="46545" spans="10:10" x14ac:dyDescent="0.3">
      <c r="J46545"/>
    </row>
    <row r="46546" spans="10:10" x14ac:dyDescent="0.3">
      <c r="J46546"/>
    </row>
    <row r="46547" spans="10:10" x14ac:dyDescent="0.3">
      <c r="J46547"/>
    </row>
    <row r="46548" spans="10:10" x14ac:dyDescent="0.3">
      <c r="J46548"/>
    </row>
    <row r="46549" spans="10:10" x14ac:dyDescent="0.3">
      <c r="J46549"/>
    </row>
    <row r="46550" spans="10:10" x14ac:dyDescent="0.3">
      <c r="J46550"/>
    </row>
    <row r="46551" spans="10:10" x14ac:dyDescent="0.3">
      <c r="J46551"/>
    </row>
    <row r="46552" spans="10:10" x14ac:dyDescent="0.3">
      <c r="J46552"/>
    </row>
    <row r="46553" spans="10:10" x14ac:dyDescent="0.3">
      <c r="J46553"/>
    </row>
    <row r="46554" spans="10:10" x14ac:dyDescent="0.3">
      <c r="J46554"/>
    </row>
    <row r="46555" spans="10:10" x14ac:dyDescent="0.3">
      <c r="J46555"/>
    </row>
    <row r="46556" spans="10:10" x14ac:dyDescent="0.3">
      <c r="J46556"/>
    </row>
    <row r="46557" spans="10:10" x14ac:dyDescent="0.3">
      <c r="J46557"/>
    </row>
    <row r="46558" spans="10:10" x14ac:dyDescent="0.3">
      <c r="J46558"/>
    </row>
    <row r="46559" spans="10:10" x14ac:dyDescent="0.3">
      <c r="J46559"/>
    </row>
    <row r="46560" spans="10:10" x14ac:dyDescent="0.3">
      <c r="J46560"/>
    </row>
    <row r="46561" spans="10:10" x14ac:dyDescent="0.3">
      <c r="J46561"/>
    </row>
    <row r="46562" spans="10:10" x14ac:dyDescent="0.3">
      <c r="J46562"/>
    </row>
    <row r="46563" spans="10:10" x14ac:dyDescent="0.3">
      <c r="J46563"/>
    </row>
    <row r="46564" spans="10:10" x14ac:dyDescent="0.3">
      <c r="J46564"/>
    </row>
    <row r="46565" spans="10:10" x14ac:dyDescent="0.3">
      <c r="J46565"/>
    </row>
    <row r="46566" spans="10:10" x14ac:dyDescent="0.3">
      <c r="J46566"/>
    </row>
    <row r="46567" spans="10:10" x14ac:dyDescent="0.3">
      <c r="J46567"/>
    </row>
    <row r="46568" spans="10:10" x14ac:dyDescent="0.3">
      <c r="J46568"/>
    </row>
    <row r="46569" spans="10:10" x14ac:dyDescent="0.3">
      <c r="J46569"/>
    </row>
    <row r="46570" spans="10:10" x14ac:dyDescent="0.3">
      <c r="J46570"/>
    </row>
    <row r="46571" spans="10:10" x14ac:dyDescent="0.3">
      <c r="J46571"/>
    </row>
    <row r="46572" spans="10:10" x14ac:dyDescent="0.3">
      <c r="J46572"/>
    </row>
    <row r="46573" spans="10:10" x14ac:dyDescent="0.3">
      <c r="J46573"/>
    </row>
    <row r="46574" spans="10:10" x14ac:dyDescent="0.3">
      <c r="J46574"/>
    </row>
    <row r="46575" spans="10:10" x14ac:dyDescent="0.3">
      <c r="J46575"/>
    </row>
    <row r="46576" spans="10:10" x14ac:dyDescent="0.3">
      <c r="J46576"/>
    </row>
    <row r="46577" spans="10:10" x14ac:dyDescent="0.3">
      <c r="J46577"/>
    </row>
    <row r="46578" spans="10:10" x14ac:dyDescent="0.3">
      <c r="J46578"/>
    </row>
    <row r="46579" spans="10:10" x14ac:dyDescent="0.3">
      <c r="J46579"/>
    </row>
    <row r="46580" spans="10:10" x14ac:dyDescent="0.3">
      <c r="J46580"/>
    </row>
    <row r="46581" spans="10:10" x14ac:dyDescent="0.3">
      <c r="J46581"/>
    </row>
    <row r="46582" spans="10:10" x14ac:dyDescent="0.3">
      <c r="J46582"/>
    </row>
    <row r="46583" spans="10:10" x14ac:dyDescent="0.3">
      <c r="J46583"/>
    </row>
    <row r="46584" spans="10:10" x14ac:dyDescent="0.3">
      <c r="J46584"/>
    </row>
    <row r="46585" spans="10:10" x14ac:dyDescent="0.3">
      <c r="J46585"/>
    </row>
    <row r="46586" spans="10:10" x14ac:dyDescent="0.3">
      <c r="J46586"/>
    </row>
    <row r="46587" spans="10:10" x14ac:dyDescent="0.3">
      <c r="J46587"/>
    </row>
    <row r="46588" spans="10:10" x14ac:dyDescent="0.3">
      <c r="J46588"/>
    </row>
    <row r="46589" spans="10:10" x14ac:dyDescent="0.3">
      <c r="J46589"/>
    </row>
    <row r="46590" spans="10:10" x14ac:dyDescent="0.3">
      <c r="J46590"/>
    </row>
    <row r="46591" spans="10:10" x14ac:dyDescent="0.3">
      <c r="J46591"/>
    </row>
    <row r="46592" spans="10:10" x14ac:dyDescent="0.3">
      <c r="J46592"/>
    </row>
    <row r="46593" spans="10:10" x14ac:dyDescent="0.3">
      <c r="J46593"/>
    </row>
    <row r="46594" spans="10:10" x14ac:dyDescent="0.3">
      <c r="J46594"/>
    </row>
    <row r="46595" spans="10:10" x14ac:dyDescent="0.3">
      <c r="J46595"/>
    </row>
    <row r="46596" spans="10:10" x14ac:dyDescent="0.3">
      <c r="J46596"/>
    </row>
    <row r="46597" spans="10:10" x14ac:dyDescent="0.3">
      <c r="J46597"/>
    </row>
    <row r="46598" spans="10:10" x14ac:dyDescent="0.3">
      <c r="J46598"/>
    </row>
    <row r="46599" spans="10:10" x14ac:dyDescent="0.3">
      <c r="J46599"/>
    </row>
    <row r="46600" spans="10:10" x14ac:dyDescent="0.3">
      <c r="J46600"/>
    </row>
    <row r="46601" spans="10:10" x14ac:dyDescent="0.3">
      <c r="J46601"/>
    </row>
    <row r="46602" spans="10:10" x14ac:dyDescent="0.3">
      <c r="J46602"/>
    </row>
    <row r="46603" spans="10:10" x14ac:dyDescent="0.3">
      <c r="J46603"/>
    </row>
    <row r="46604" spans="10:10" x14ac:dyDescent="0.3">
      <c r="J46604"/>
    </row>
    <row r="46605" spans="10:10" x14ac:dyDescent="0.3">
      <c r="J46605"/>
    </row>
    <row r="46606" spans="10:10" x14ac:dyDescent="0.3">
      <c r="J46606"/>
    </row>
    <row r="46607" spans="10:10" x14ac:dyDescent="0.3">
      <c r="J46607"/>
    </row>
    <row r="46608" spans="10:10" x14ac:dyDescent="0.3">
      <c r="J46608"/>
    </row>
    <row r="46609" spans="10:10" x14ac:dyDescent="0.3">
      <c r="J46609"/>
    </row>
    <row r="46610" spans="10:10" x14ac:dyDescent="0.3">
      <c r="J46610"/>
    </row>
    <row r="46611" spans="10:10" x14ac:dyDescent="0.3">
      <c r="J46611"/>
    </row>
    <row r="46612" spans="10:10" x14ac:dyDescent="0.3">
      <c r="J46612"/>
    </row>
    <row r="46613" spans="10:10" x14ac:dyDescent="0.3">
      <c r="J46613"/>
    </row>
    <row r="46614" spans="10:10" x14ac:dyDescent="0.3">
      <c r="J46614"/>
    </row>
    <row r="46615" spans="10:10" x14ac:dyDescent="0.3">
      <c r="J46615"/>
    </row>
    <row r="46616" spans="10:10" x14ac:dyDescent="0.3">
      <c r="J46616"/>
    </row>
    <row r="46617" spans="10:10" x14ac:dyDescent="0.3">
      <c r="J46617"/>
    </row>
    <row r="46618" spans="10:10" x14ac:dyDescent="0.3">
      <c r="J46618"/>
    </row>
    <row r="46619" spans="10:10" x14ac:dyDescent="0.3">
      <c r="J46619"/>
    </row>
    <row r="46620" spans="10:10" x14ac:dyDescent="0.3">
      <c r="J46620"/>
    </row>
    <row r="46621" spans="10:10" x14ac:dyDescent="0.3">
      <c r="J46621"/>
    </row>
    <row r="46622" spans="10:10" x14ac:dyDescent="0.3">
      <c r="J46622"/>
    </row>
    <row r="46623" spans="10:10" x14ac:dyDescent="0.3">
      <c r="J46623"/>
    </row>
    <row r="46624" spans="10:10" x14ac:dyDescent="0.3">
      <c r="J46624"/>
    </row>
    <row r="46625" spans="10:10" x14ac:dyDescent="0.3">
      <c r="J46625"/>
    </row>
    <row r="46626" spans="10:10" x14ac:dyDescent="0.3">
      <c r="J46626"/>
    </row>
    <row r="46627" spans="10:10" x14ac:dyDescent="0.3">
      <c r="J46627"/>
    </row>
    <row r="46628" spans="10:10" x14ac:dyDescent="0.3">
      <c r="J46628"/>
    </row>
    <row r="46629" spans="10:10" x14ac:dyDescent="0.3">
      <c r="J46629"/>
    </row>
    <row r="46630" spans="10:10" x14ac:dyDescent="0.3">
      <c r="J46630"/>
    </row>
    <row r="46631" spans="10:10" x14ac:dyDescent="0.3">
      <c r="J46631"/>
    </row>
    <row r="46632" spans="10:10" x14ac:dyDescent="0.3">
      <c r="J46632"/>
    </row>
    <row r="46633" spans="10:10" x14ac:dyDescent="0.3">
      <c r="J46633"/>
    </row>
    <row r="46634" spans="10:10" x14ac:dyDescent="0.3">
      <c r="J46634"/>
    </row>
    <row r="46635" spans="10:10" x14ac:dyDescent="0.3">
      <c r="J46635"/>
    </row>
    <row r="46636" spans="10:10" x14ac:dyDescent="0.3">
      <c r="J46636"/>
    </row>
    <row r="46637" spans="10:10" x14ac:dyDescent="0.3">
      <c r="J46637"/>
    </row>
    <row r="46638" spans="10:10" x14ac:dyDescent="0.3">
      <c r="J46638"/>
    </row>
    <row r="46639" spans="10:10" x14ac:dyDescent="0.3">
      <c r="J46639"/>
    </row>
    <row r="46640" spans="10:10" x14ac:dyDescent="0.3">
      <c r="J46640"/>
    </row>
    <row r="46641" spans="10:10" x14ac:dyDescent="0.3">
      <c r="J46641"/>
    </row>
    <row r="46642" spans="10:10" x14ac:dyDescent="0.3">
      <c r="J46642"/>
    </row>
    <row r="46643" spans="10:10" x14ac:dyDescent="0.3">
      <c r="J46643"/>
    </row>
    <row r="46644" spans="10:10" x14ac:dyDescent="0.3">
      <c r="J46644"/>
    </row>
    <row r="46645" spans="10:10" x14ac:dyDescent="0.3">
      <c r="J46645"/>
    </row>
    <row r="46646" spans="10:10" x14ac:dyDescent="0.3">
      <c r="J46646"/>
    </row>
    <row r="46647" spans="10:10" x14ac:dyDescent="0.3">
      <c r="J46647"/>
    </row>
    <row r="46648" spans="10:10" x14ac:dyDescent="0.3">
      <c r="J46648"/>
    </row>
    <row r="46649" spans="10:10" x14ac:dyDescent="0.3">
      <c r="J46649"/>
    </row>
    <row r="46650" spans="10:10" x14ac:dyDescent="0.3">
      <c r="J46650"/>
    </row>
    <row r="46651" spans="10:10" x14ac:dyDescent="0.3">
      <c r="J46651"/>
    </row>
    <row r="46652" spans="10:10" x14ac:dyDescent="0.3">
      <c r="J46652"/>
    </row>
    <row r="46653" spans="10:10" x14ac:dyDescent="0.3">
      <c r="J46653"/>
    </row>
    <row r="46654" spans="10:10" x14ac:dyDescent="0.3">
      <c r="J46654"/>
    </row>
    <row r="46655" spans="10:10" x14ac:dyDescent="0.3">
      <c r="J46655"/>
    </row>
    <row r="46656" spans="10:10" x14ac:dyDescent="0.3">
      <c r="J46656"/>
    </row>
    <row r="46657" spans="10:10" x14ac:dyDescent="0.3">
      <c r="J46657"/>
    </row>
    <row r="46658" spans="10:10" x14ac:dyDescent="0.3">
      <c r="J46658"/>
    </row>
    <row r="46659" spans="10:10" x14ac:dyDescent="0.3">
      <c r="J46659"/>
    </row>
    <row r="46660" spans="10:10" x14ac:dyDescent="0.3">
      <c r="J46660"/>
    </row>
    <row r="46661" spans="10:10" x14ac:dyDescent="0.3">
      <c r="J46661"/>
    </row>
    <row r="46662" spans="10:10" x14ac:dyDescent="0.3">
      <c r="J46662"/>
    </row>
    <row r="46663" spans="10:10" x14ac:dyDescent="0.3">
      <c r="J46663"/>
    </row>
    <row r="46664" spans="10:10" x14ac:dyDescent="0.3">
      <c r="J46664"/>
    </row>
    <row r="46665" spans="10:10" x14ac:dyDescent="0.3">
      <c r="J46665"/>
    </row>
    <row r="46666" spans="10:10" x14ac:dyDescent="0.3">
      <c r="J46666"/>
    </row>
    <row r="46667" spans="10:10" x14ac:dyDescent="0.3">
      <c r="J46667"/>
    </row>
    <row r="46668" spans="10:10" x14ac:dyDescent="0.3">
      <c r="J46668"/>
    </row>
    <row r="46669" spans="10:10" x14ac:dyDescent="0.3">
      <c r="J46669"/>
    </row>
    <row r="46670" spans="10:10" x14ac:dyDescent="0.3">
      <c r="J46670"/>
    </row>
    <row r="46671" spans="10:10" x14ac:dyDescent="0.3">
      <c r="J46671"/>
    </row>
    <row r="46672" spans="10:10" x14ac:dyDescent="0.3">
      <c r="J46672"/>
    </row>
    <row r="46673" spans="10:10" x14ac:dyDescent="0.3">
      <c r="J46673"/>
    </row>
    <row r="46674" spans="10:10" x14ac:dyDescent="0.3">
      <c r="J46674"/>
    </row>
    <row r="46675" spans="10:10" x14ac:dyDescent="0.3">
      <c r="J46675"/>
    </row>
    <row r="46676" spans="10:10" x14ac:dyDescent="0.3">
      <c r="J46676"/>
    </row>
    <row r="46677" spans="10:10" x14ac:dyDescent="0.3">
      <c r="J46677"/>
    </row>
    <row r="46678" spans="10:10" x14ac:dyDescent="0.3">
      <c r="J46678"/>
    </row>
    <row r="46679" spans="10:10" x14ac:dyDescent="0.3">
      <c r="J46679"/>
    </row>
    <row r="46680" spans="10:10" x14ac:dyDescent="0.3">
      <c r="J46680"/>
    </row>
    <row r="46681" spans="10:10" x14ac:dyDescent="0.3">
      <c r="J46681"/>
    </row>
    <row r="46682" spans="10:10" x14ac:dyDescent="0.3">
      <c r="J46682"/>
    </row>
    <row r="46683" spans="10:10" x14ac:dyDescent="0.3">
      <c r="J46683"/>
    </row>
    <row r="46684" spans="10:10" x14ac:dyDescent="0.3">
      <c r="J46684"/>
    </row>
    <row r="46685" spans="10:10" x14ac:dyDescent="0.3">
      <c r="J46685"/>
    </row>
    <row r="46686" spans="10:10" x14ac:dyDescent="0.3">
      <c r="J46686"/>
    </row>
    <row r="46687" spans="10:10" x14ac:dyDescent="0.3">
      <c r="J46687"/>
    </row>
    <row r="46688" spans="10:10" x14ac:dyDescent="0.3">
      <c r="J46688"/>
    </row>
    <row r="46689" spans="10:10" x14ac:dyDescent="0.3">
      <c r="J46689"/>
    </row>
    <row r="46690" spans="10:10" x14ac:dyDescent="0.3">
      <c r="J46690"/>
    </row>
    <row r="46691" spans="10:10" x14ac:dyDescent="0.3">
      <c r="J46691"/>
    </row>
    <row r="46692" spans="10:10" x14ac:dyDescent="0.3">
      <c r="J46692"/>
    </row>
    <row r="46693" spans="10:10" x14ac:dyDescent="0.3">
      <c r="J46693"/>
    </row>
    <row r="46694" spans="10:10" x14ac:dyDescent="0.3">
      <c r="J46694"/>
    </row>
    <row r="46695" spans="10:10" x14ac:dyDescent="0.3">
      <c r="J46695"/>
    </row>
    <row r="46696" spans="10:10" x14ac:dyDescent="0.3">
      <c r="J46696"/>
    </row>
    <row r="46697" spans="10:10" x14ac:dyDescent="0.3">
      <c r="J46697"/>
    </row>
    <row r="46698" spans="10:10" x14ac:dyDescent="0.3">
      <c r="J46698"/>
    </row>
    <row r="46699" spans="10:10" x14ac:dyDescent="0.3">
      <c r="J46699"/>
    </row>
    <row r="46700" spans="10:10" x14ac:dyDescent="0.3">
      <c r="J46700"/>
    </row>
    <row r="46701" spans="10:10" x14ac:dyDescent="0.3">
      <c r="J46701"/>
    </row>
    <row r="46702" spans="10:10" x14ac:dyDescent="0.3">
      <c r="J46702"/>
    </row>
    <row r="46703" spans="10:10" x14ac:dyDescent="0.3">
      <c r="J46703"/>
    </row>
    <row r="46704" spans="10:10" x14ac:dyDescent="0.3">
      <c r="J46704"/>
    </row>
    <row r="46705" spans="10:10" x14ac:dyDescent="0.3">
      <c r="J46705"/>
    </row>
    <row r="46706" spans="10:10" x14ac:dyDescent="0.3">
      <c r="J46706"/>
    </row>
    <row r="46707" spans="10:10" x14ac:dyDescent="0.3">
      <c r="J46707"/>
    </row>
    <row r="46708" spans="10:10" x14ac:dyDescent="0.3">
      <c r="J46708"/>
    </row>
    <row r="46709" spans="10:10" x14ac:dyDescent="0.3">
      <c r="J46709"/>
    </row>
    <row r="46710" spans="10:10" x14ac:dyDescent="0.3">
      <c r="J46710"/>
    </row>
    <row r="46711" spans="10:10" x14ac:dyDescent="0.3">
      <c r="J46711"/>
    </row>
    <row r="46712" spans="10:10" x14ac:dyDescent="0.3">
      <c r="J46712"/>
    </row>
    <row r="46713" spans="10:10" x14ac:dyDescent="0.3">
      <c r="J46713"/>
    </row>
    <row r="46714" spans="10:10" x14ac:dyDescent="0.3">
      <c r="J46714"/>
    </row>
    <row r="46715" spans="10:10" x14ac:dyDescent="0.3">
      <c r="J46715"/>
    </row>
    <row r="46716" spans="10:10" x14ac:dyDescent="0.3">
      <c r="J46716"/>
    </row>
    <row r="46717" spans="10:10" x14ac:dyDescent="0.3">
      <c r="J46717"/>
    </row>
    <row r="46718" spans="10:10" x14ac:dyDescent="0.3">
      <c r="J46718"/>
    </row>
    <row r="46719" spans="10:10" x14ac:dyDescent="0.3">
      <c r="J46719"/>
    </row>
    <row r="46720" spans="10:10" x14ac:dyDescent="0.3">
      <c r="J46720"/>
    </row>
    <row r="46721" spans="10:10" x14ac:dyDescent="0.3">
      <c r="J46721"/>
    </row>
    <row r="46722" spans="10:10" x14ac:dyDescent="0.3">
      <c r="J46722"/>
    </row>
    <row r="46723" spans="10:10" x14ac:dyDescent="0.3">
      <c r="J46723"/>
    </row>
    <row r="46724" spans="10:10" x14ac:dyDescent="0.3">
      <c r="J46724"/>
    </row>
    <row r="46725" spans="10:10" x14ac:dyDescent="0.3">
      <c r="J46725"/>
    </row>
    <row r="46726" spans="10:10" x14ac:dyDescent="0.3">
      <c r="J46726"/>
    </row>
    <row r="46727" spans="10:10" x14ac:dyDescent="0.3">
      <c r="J46727"/>
    </row>
    <row r="46728" spans="10:10" x14ac:dyDescent="0.3">
      <c r="J46728"/>
    </row>
    <row r="46729" spans="10:10" x14ac:dyDescent="0.3">
      <c r="J46729"/>
    </row>
    <row r="46730" spans="10:10" x14ac:dyDescent="0.3">
      <c r="J46730"/>
    </row>
    <row r="46731" spans="10:10" x14ac:dyDescent="0.3">
      <c r="J46731"/>
    </row>
    <row r="46732" spans="10:10" x14ac:dyDescent="0.3">
      <c r="J46732"/>
    </row>
    <row r="46733" spans="10:10" x14ac:dyDescent="0.3">
      <c r="J46733"/>
    </row>
    <row r="46734" spans="10:10" x14ac:dyDescent="0.3">
      <c r="J46734"/>
    </row>
    <row r="46735" spans="10:10" x14ac:dyDescent="0.3">
      <c r="J46735"/>
    </row>
    <row r="46736" spans="10:10" x14ac:dyDescent="0.3">
      <c r="J46736"/>
    </row>
    <row r="46737" spans="10:10" x14ac:dyDescent="0.3">
      <c r="J46737"/>
    </row>
    <row r="46738" spans="10:10" x14ac:dyDescent="0.3">
      <c r="J46738"/>
    </row>
    <row r="46739" spans="10:10" x14ac:dyDescent="0.3">
      <c r="J46739"/>
    </row>
    <row r="46740" spans="10:10" x14ac:dyDescent="0.3">
      <c r="J46740"/>
    </row>
    <row r="46741" spans="10:10" x14ac:dyDescent="0.3">
      <c r="J46741"/>
    </row>
    <row r="46742" spans="10:10" x14ac:dyDescent="0.3">
      <c r="J46742"/>
    </row>
    <row r="46743" spans="10:10" x14ac:dyDescent="0.3">
      <c r="J46743"/>
    </row>
    <row r="46744" spans="10:10" x14ac:dyDescent="0.3">
      <c r="J46744"/>
    </row>
    <row r="46745" spans="10:10" x14ac:dyDescent="0.3">
      <c r="J46745"/>
    </row>
    <row r="46746" spans="10:10" x14ac:dyDescent="0.3">
      <c r="J46746"/>
    </row>
    <row r="46747" spans="10:10" x14ac:dyDescent="0.3">
      <c r="J46747"/>
    </row>
    <row r="46748" spans="10:10" x14ac:dyDescent="0.3">
      <c r="J46748"/>
    </row>
    <row r="46749" spans="10:10" x14ac:dyDescent="0.3">
      <c r="J46749"/>
    </row>
    <row r="46750" spans="10:10" x14ac:dyDescent="0.3">
      <c r="J46750"/>
    </row>
    <row r="46751" spans="10:10" x14ac:dyDescent="0.3">
      <c r="J46751"/>
    </row>
    <row r="46752" spans="10:10" x14ac:dyDescent="0.3">
      <c r="J46752"/>
    </row>
    <row r="46753" spans="10:10" x14ac:dyDescent="0.3">
      <c r="J46753"/>
    </row>
    <row r="46754" spans="10:10" x14ac:dyDescent="0.3">
      <c r="J46754"/>
    </row>
    <row r="46755" spans="10:10" x14ac:dyDescent="0.3">
      <c r="J46755"/>
    </row>
    <row r="46756" spans="10:10" x14ac:dyDescent="0.3">
      <c r="J46756"/>
    </row>
    <row r="46757" spans="10:10" x14ac:dyDescent="0.3">
      <c r="J46757"/>
    </row>
    <row r="46758" spans="10:10" x14ac:dyDescent="0.3">
      <c r="J46758"/>
    </row>
    <row r="46759" spans="10:10" x14ac:dyDescent="0.3">
      <c r="J46759"/>
    </row>
    <row r="46760" spans="10:10" x14ac:dyDescent="0.3">
      <c r="J46760"/>
    </row>
    <row r="46761" spans="10:10" x14ac:dyDescent="0.3">
      <c r="J46761"/>
    </row>
    <row r="46762" spans="10:10" x14ac:dyDescent="0.3">
      <c r="J46762"/>
    </row>
    <row r="46763" spans="10:10" x14ac:dyDescent="0.3">
      <c r="J46763"/>
    </row>
    <row r="46764" spans="10:10" x14ac:dyDescent="0.3">
      <c r="J46764"/>
    </row>
    <row r="46765" spans="10:10" x14ac:dyDescent="0.3">
      <c r="J46765"/>
    </row>
    <row r="46766" spans="10:10" x14ac:dyDescent="0.3">
      <c r="J46766"/>
    </row>
    <row r="46767" spans="10:10" x14ac:dyDescent="0.3">
      <c r="J46767"/>
    </row>
    <row r="46768" spans="10:10" x14ac:dyDescent="0.3">
      <c r="J46768"/>
    </row>
    <row r="46769" spans="10:10" x14ac:dyDescent="0.3">
      <c r="J46769"/>
    </row>
    <row r="46770" spans="10:10" x14ac:dyDescent="0.3">
      <c r="J46770"/>
    </row>
    <row r="46771" spans="10:10" x14ac:dyDescent="0.3">
      <c r="J46771"/>
    </row>
    <row r="46772" spans="10:10" x14ac:dyDescent="0.3">
      <c r="J46772"/>
    </row>
    <row r="46773" spans="10:10" x14ac:dyDescent="0.3">
      <c r="J46773"/>
    </row>
    <row r="46774" spans="10:10" x14ac:dyDescent="0.3">
      <c r="J46774"/>
    </row>
    <row r="46775" spans="10:10" x14ac:dyDescent="0.3">
      <c r="J46775"/>
    </row>
    <row r="46776" spans="10:10" x14ac:dyDescent="0.3">
      <c r="J46776"/>
    </row>
    <row r="46777" spans="10:10" x14ac:dyDescent="0.3">
      <c r="J46777"/>
    </row>
    <row r="46778" spans="10:10" x14ac:dyDescent="0.3">
      <c r="J46778"/>
    </row>
    <row r="46779" spans="10:10" x14ac:dyDescent="0.3">
      <c r="J46779"/>
    </row>
    <row r="46780" spans="10:10" x14ac:dyDescent="0.3">
      <c r="J46780"/>
    </row>
    <row r="46781" spans="10:10" x14ac:dyDescent="0.3">
      <c r="J46781"/>
    </row>
    <row r="46782" spans="10:10" x14ac:dyDescent="0.3">
      <c r="J46782"/>
    </row>
    <row r="46783" spans="10:10" x14ac:dyDescent="0.3">
      <c r="J46783"/>
    </row>
    <row r="46784" spans="10:10" x14ac:dyDescent="0.3">
      <c r="J46784"/>
    </row>
    <row r="46785" spans="10:10" x14ac:dyDescent="0.3">
      <c r="J46785"/>
    </row>
    <row r="46786" spans="10:10" x14ac:dyDescent="0.3">
      <c r="J46786"/>
    </row>
    <row r="46787" spans="10:10" x14ac:dyDescent="0.3">
      <c r="J46787"/>
    </row>
    <row r="46788" spans="10:10" x14ac:dyDescent="0.3">
      <c r="J46788"/>
    </row>
    <row r="46789" spans="10:10" x14ac:dyDescent="0.3">
      <c r="J46789"/>
    </row>
    <row r="46790" spans="10:10" x14ac:dyDescent="0.3">
      <c r="J46790"/>
    </row>
    <row r="46791" spans="10:10" x14ac:dyDescent="0.3">
      <c r="J46791"/>
    </row>
    <row r="46792" spans="10:10" x14ac:dyDescent="0.3">
      <c r="J46792"/>
    </row>
    <row r="46793" spans="10:10" x14ac:dyDescent="0.3">
      <c r="J46793"/>
    </row>
    <row r="46794" spans="10:10" x14ac:dyDescent="0.3">
      <c r="J46794"/>
    </row>
    <row r="46795" spans="10:10" x14ac:dyDescent="0.3">
      <c r="J46795"/>
    </row>
    <row r="46796" spans="10:10" x14ac:dyDescent="0.3">
      <c r="J46796"/>
    </row>
    <row r="46797" spans="10:10" x14ac:dyDescent="0.3">
      <c r="J46797"/>
    </row>
    <row r="46798" spans="10:10" x14ac:dyDescent="0.3">
      <c r="J46798"/>
    </row>
    <row r="46799" spans="10:10" x14ac:dyDescent="0.3">
      <c r="J46799"/>
    </row>
    <row r="46800" spans="10:10" x14ac:dyDescent="0.3">
      <c r="J46800"/>
    </row>
    <row r="46801" spans="10:10" x14ac:dyDescent="0.3">
      <c r="J46801"/>
    </row>
    <row r="46802" spans="10:10" x14ac:dyDescent="0.3">
      <c r="J46802"/>
    </row>
    <row r="46803" spans="10:10" x14ac:dyDescent="0.3">
      <c r="J46803"/>
    </row>
    <row r="46804" spans="10:10" x14ac:dyDescent="0.3">
      <c r="J46804"/>
    </row>
    <row r="46805" spans="10:10" x14ac:dyDescent="0.3">
      <c r="J46805"/>
    </row>
    <row r="46806" spans="10:10" x14ac:dyDescent="0.3">
      <c r="J46806"/>
    </row>
    <row r="46807" spans="10:10" x14ac:dyDescent="0.3">
      <c r="J46807"/>
    </row>
    <row r="46808" spans="10:10" x14ac:dyDescent="0.3">
      <c r="J46808"/>
    </row>
    <row r="46809" spans="10:10" x14ac:dyDescent="0.3">
      <c r="J46809"/>
    </row>
    <row r="46810" spans="10:10" x14ac:dyDescent="0.3">
      <c r="J46810"/>
    </row>
    <row r="46811" spans="10:10" x14ac:dyDescent="0.3">
      <c r="J46811"/>
    </row>
    <row r="46812" spans="10:10" x14ac:dyDescent="0.3">
      <c r="J46812"/>
    </row>
    <row r="46813" spans="10:10" x14ac:dyDescent="0.3">
      <c r="J46813"/>
    </row>
    <row r="46814" spans="10:10" x14ac:dyDescent="0.3">
      <c r="J46814"/>
    </row>
    <row r="46815" spans="10:10" x14ac:dyDescent="0.3">
      <c r="J46815"/>
    </row>
    <row r="46816" spans="10:10" x14ac:dyDescent="0.3">
      <c r="J46816"/>
    </row>
    <row r="46817" spans="10:10" x14ac:dyDescent="0.3">
      <c r="J46817"/>
    </row>
    <row r="46818" spans="10:10" x14ac:dyDescent="0.3">
      <c r="J46818"/>
    </row>
    <row r="46819" spans="10:10" x14ac:dyDescent="0.3">
      <c r="J46819"/>
    </row>
    <row r="46820" spans="10:10" x14ac:dyDescent="0.3">
      <c r="J46820"/>
    </row>
    <row r="46821" spans="10:10" x14ac:dyDescent="0.3">
      <c r="J46821"/>
    </row>
    <row r="46822" spans="10:10" x14ac:dyDescent="0.3">
      <c r="J46822"/>
    </row>
    <row r="46823" spans="10:10" x14ac:dyDescent="0.3">
      <c r="J46823"/>
    </row>
    <row r="46824" spans="10:10" x14ac:dyDescent="0.3">
      <c r="J46824"/>
    </row>
    <row r="46825" spans="10:10" x14ac:dyDescent="0.3">
      <c r="J46825"/>
    </row>
    <row r="46826" spans="10:10" x14ac:dyDescent="0.3">
      <c r="J46826"/>
    </row>
    <row r="46827" spans="10:10" x14ac:dyDescent="0.3">
      <c r="J46827"/>
    </row>
    <row r="46828" spans="10:10" x14ac:dyDescent="0.3">
      <c r="J46828"/>
    </row>
    <row r="46829" spans="10:10" x14ac:dyDescent="0.3">
      <c r="J46829"/>
    </row>
    <row r="46830" spans="10:10" x14ac:dyDescent="0.3">
      <c r="J46830"/>
    </row>
    <row r="46831" spans="10:10" x14ac:dyDescent="0.3">
      <c r="J46831"/>
    </row>
    <row r="46832" spans="10:10" x14ac:dyDescent="0.3">
      <c r="J46832"/>
    </row>
    <row r="46833" spans="10:10" x14ac:dyDescent="0.3">
      <c r="J46833"/>
    </row>
    <row r="46834" spans="10:10" x14ac:dyDescent="0.3">
      <c r="J46834"/>
    </row>
    <row r="46835" spans="10:10" x14ac:dyDescent="0.3">
      <c r="J46835"/>
    </row>
    <row r="46836" spans="10:10" x14ac:dyDescent="0.3">
      <c r="J46836"/>
    </row>
    <row r="46837" spans="10:10" x14ac:dyDescent="0.3">
      <c r="J46837"/>
    </row>
    <row r="46838" spans="10:10" x14ac:dyDescent="0.3">
      <c r="J46838"/>
    </row>
    <row r="46839" spans="10:10" x14ac:dyDescent="0.3">
      <c r="J46839"/>
    </row>
    <row r="46840" spans="10:10" x14ac:dyDescent="0.3">
      <c r="J46840"/>
    </row>
    <row r="46841" spans="10:10" x14ac:dyDescent="0.3">
      <c r="J46841"/>
    </row>
    <row r="46842" spans="10:10" x14ac:dyDescent="0.3">
      <c r="J46842"/>
    </row>
    <row r="46843" spans="10:10" x14ac:dyDescent="0.3">
      <c r="J46843"/>
    </row>
    <row r="46844" spans="10:10" x14ac:dyDescent="0.3">
      <c r="J46844"/>
    </row>
    <row r="46845" spans="10:10" x14ac:dyDescent="0.3">
      <c r="J46845"/>
    </row>
    <row r="46846" spans="10:10" x14ac:dyDescent="0.3">
      <c r="J46846"/>
    </row>
    <row r="46847" spans="10:10" x14ac:dyDescent="0.3">
      <c r="J46847"/>
    </row>
    <row r="46848" spans="10:10" x14ac:dyDescent="0.3">
      <c r="J46848"/>
    </row>
    <row r="46849" spans="10:10" x14ac:dyDescent="0.3">
      <c r="J46849"/>
    </row>
    <row r="46850" spans="10:10" x14ac:dyDescent="0.3">
      <c r="J46850"/>
    </row>
    <row r="46851" spans="10:10" x14ac:dyDescent="0.3">
      <c r="J46851"/>
    </row>
    <row r="46852" spans="10:10" x14ac:dyDescent="0.3">
      <c r="J46852"/>
    </row>
    <row r="46853" spans="10:10" x14ac:dyDescent="0.3">
      <c r="J46853"/>
    </row>
    <row r="46854" spans="10:10" x14ac:dyDescent="0.3">
      <c r="J46854"/>
    </row>
    <row r="46855" spans="10:10" x14ac:dyDescent="0.3">
      <c r="J46855"/>
    </row>
    <row r="46856" spans="10:10" x14ac:dyDescent="0.3">
      <c r="J46856"/>
    </row>
    <row r="46857" spans="10:10" x14ac:dyDescent="0.3">
      <c r="J46857"/>
    </row>
    <row r="46858" spans="10:10" x14ac:dyDescent="0.3">
      <c r="J46858"/>
    </row>
    <row r="46859" spans="10:10" x14ac:dyDescent="0.3">
      <c r="J46859"/>
    </row>
    <row r="46860" spans="10:10" x14ac:dyDescent="0.3">
      <c r="J46860"/>
    </row>
    <row r="46861" spans="10:10" x14ac:dyDescent="0.3">
      <c r="J46861"/>
    </row>
    <row r="46862" spans="10:10" x14ac:dyDescent="0.3">
      <c r="J46862"/>
    </row>
    <row r="46863" spans="10:10" x14ac:dyDescent="0.3">
      <c r="J46863"/>
    </row>
    <row r="46864" spans="10:10" x14ac:dyDescent="0.3">
      <c r="J46864"/>
    </row>
    <row r="46865" spans="10:10" x14ac:dyDescent="0.3">
      <c r="J46865"/>
    </row>
    <row r="46866" spans="10:10" x14ac:dyDescent="0.3">
      <c r="J46866"/>
    </row>
    <row r="46867" spans="10:10" x14ac:dyDescent="0.3">
      <c r="J46867"/>
    </row>
    <row r="46868" spans="10:10" x14ac:dyDescent="0.3">
      <c r="J46868"/>
    </row>
    <row r="46869" spans="10:10" x14ac:dyDescent="0.3">
      <c r="J46869"/>
    </row>
    <row r="46870" spans="10:10" x14ac:dyDescent="0.3">
      <c r="J46870"/>
    </row>
    <row r="46871" spans="10:10" x14ac:dyDescent="0.3">
      <c r="J46871"/>
    </row>
    <row r="46872" spans="10:10" x14ac:dyDescent="0.3">
      <c r="J46872"/>
    </row>
    <row r="46873" spans="10:10" x14ac:dyDescent="0.3">
      <c r="J46873"/>
    </row>
    <row r="46874" spans="10:10" x14ac:dyDescent="0.3">
      <c r="J46874"/>
    </row>
    <row r="46875" spans="10:10" x14ac:dyDescent="0.3">
      <c r="J46875"/>
    </row>
    <row r="46876" spans="10:10" x14ac:dyDescent="0.3">
      <c r="J46876"/>
    </row>
    <row r="46877" spans="10:10" x14ac:dyDescent="0.3">
      <c r="J46877"/>
    </row>
    <row r="46878" spans="10:10" x14ac:dyDescent="0.3">
      <c r="J46878"/>
    </row>
    <row r="46879" spans="10:10" x14ac:dyDescent="0.3">
      <c r="J46879"/>
    </row>
    <row r="46880" spans="10:10" x14ac:dyDescent="0.3">
      <c r="J46880"/>
    </row>
    <row r="46881" spans="10:10" x14ac:dyDescent="0.3">
      <c r="J46881"/>
    </row>
    <row r="46882" spans="10:10" x14ac:dyDescent="0.3">
      <c r="J46882"/>
    </row>
    <row r="46883" spans="10:10" x14ac:dyDescent="0.3">
      <c r="J46883"/>
    </row>
    <row r="46884" spans="10:10" x14ac:dyDescent="0.3">
      <c r="J46884"/>
    </row>
    <row r="46885" spans="10:10" x14ac:dyDescent="0.3">
      <c r="J46885"/>
    </row>
    <row r="46886" spans="10:10" x14ac:dyDescent="0.3">
      <c r="J46886"/>
    </row>
    <row r="46887" spans="10:10" x14ac:dyDescent="0.3">
      <c r="J46887"/>
    </row>
    <row r="46888" spans="10:10" x14ac:dyDescent="0.3">
      <c r="J46888"/>
    </row>
    <row r="46889" spans="10:10" x14ac:dyDescent="0.3">
      <c r="J46889"/>
    </row>
    <row r="46890" spans="10:10" x14ac:dyDescent="0.3">
      <c r="J46890"/>
    </row>
    <row r="46891" spans="10:10" x14ac:dyDescent="0.3">
      <c r="J46891"/>
    </row>
    <row r="46892" spans="10:10" x14ac:dyDescent="0.3">
      <c r="J46892"/>
    </row>
    <row r="46893" spans="10:10" x14ac:dyDescent="0.3">
      <c r="J46893"/>
    </row>
    <row r="46894" spans="10:10" x14ac:dyDescent="0.3">
      <c r="J46894"/>
    </row>
    <row r="46895" spans="10:10" x14ac:dyDescent="0.3">
      <c r="J46895"/>
    </row>
    <row r="46896" spans="10:10" x14ac:dyDescent="0.3">
      <c r="J46896"/>
    </row>
    <row r="46897" spans="10:10" x14ac:dyDescent="0.3">
      <c r="J46897"/>
    </row>
    <row r="46898" spans="10:10" x14ac:dyDescent="0.3">
      <c r="J46898"/>
    </row>
    <row r="46899" spans="10:10" x14ac:dyDescent="0.3">
      <c r="J46899"/>
    </row>
    <row r="46900" spans="10:10" x14ac:dyDescent="0.3">
      <c r="J46900"/>
    </row>
    <row r="46901" spans="10:10" x14ac:dyDescent="0.3">
      <c r="J46901"/>
    </row>
    <row r="46902" spans="10:10" x14ac:dyDescent="0.3">
      <c r="J46902"/>
    </row>
    <row r="46903" spans="10:10" x14ac:dyDescent="0.3">
      <c r="J46903"/>
    </row>
    <row r="46904" spans="10:10" x14ac:dyDescent="0.3">
      <c r="J46904"/>
    </row>
    <row r="46905" spans="10:10" x14ac:dyDescent="0.3">
      <c r="J46905"/>
    </row>
    <row r="46906" spans="10:10" x14ac:dyDescent="0.3">
      <c r="J46906"/>
    </row>
    <row r="46907" spans="10:10" x14ac:dyDescent="0.3">
      <c r="J46907"/>
    </row>
    <row r="46908" spans="10:10" x14ac:dyDescent="0.3">
      <c r="J46908"/>
    </row>
    <row r="46909" spans="10:10" x14ac:dyDescent="0.3">
      <c r="J46909"/>
    </row>
    <row r="46910" spans="10:10" x14ac:dyDescent="0.3">
      <c r="J46910"/>
    </row>
    <row r="46911" spans="10:10" x14ac:dyDescent="0.3">
      <c r="J46911"/>
    </row>
    <row r="46912" spans="10:10" x14ac:dyDescent="0.3">
      <c r="J46912"/>
    </row>
    <row r="46913" spans="10:10" x14ac:dyDescent="0.3">
      <c r="J46913"/>
    </row>
    <row r="46914" spans="10:10" x14ac:dyDescent="0.3">
      <c r="J46914"/>
    </row>
    <row r="46915" spans="10:10" x14ac:dyDescent="0.3">
      <c r="J46915"/>
    </row>
    <row r="46916" spans="10:10" x14ac:dyDescent="0.3">
      <c r="J46916"/>
    </row>
    <row r="46917" spans="10:10" x14ac:dyDescent="0.3">
      <c r="J46917"/>
    </row>
    <row r="46918" spans="10:10" x14ac:dyDescent="0.3">
      <c r="J46918"/>
    </row>
    <row r="46919" spans="10:10" x14ac:dyDescent="0.3">
      <c r="J46919"/>
    </row>
    <row r="46920" spans="10:10" x14ac:dyDescent="0.3">
      <c r="J46920"/>
    </row>
    <row r="46921" spans="10:10" x14ac:dyDescent="0.3">
      <c r="J46921"/>
    </row>
    <row r="46922" spans="10:10" x14ac:dyDescent="0.3">
      <c r="J46922"/>
    </row>
    <row r="46923" spans="10:10" x14ac:dyDescent="0.3">
      <c r="J46923"/>
    </row>
    <row r="46924" spans="10:10" x14ac:dyDescent="0.3">
      <c r="J46924"/>
    </row>
    <row r="46925" spans="10:10" x14ac:dyDescent="0.3">
      <c r="J46925"/>
    </row>
    <row r="46926" spans="10:10" x14ac:dyDescent="0.3">
      <c r="J46926"/>
    </row>
    <row r="46927" spans="10:10" x14ac:dyDescent="0.3">
      <c r="J46927"/>
    </row>
    <row r="46928" spans="10:10" x14ac:dyDescent="0.3">
      <c r="J46928"/>
    </row>
    <row r="46929" spans="10:10" x14ac:dyDescent="0.3">
      <c r="J46929"/>
    </row>
    <row r="46930" spans="10:10" x14ac:dyDescent="0.3">
      <c r="J46930"/>
    </row>
    <row r="46931" spans="10:10" x14ac:dyDescent="0.3">
      <c r="J46931"/>
    </row>
    <row r="46932" spans="10:10" x14ac:dyDescent="0.3">
      <c r="J46932"/>
    </row>
    <row r="46933" spans="10:10" x14ac:dyDescent="0.3">
      <c r="J46933"/>
    </row>
    <row r="46934" spans="10:10" x14ac:dyDescent="0.3">
      <c r="J46934"/>
    </row>
    <row r="46935" spans="10:10" x14ac:dyDescent="0.3">
      <c r="J46935"/>
    </row>
    <row r="46936" spans="10:10" x14ac:dyDescent="0.3">
      <c r="J46936"/>
    </row>
    <row r="46937" spans="10:10" x14ac:dyDescent="0.3">
      <c r="J46937"/>
    </row>
    <row r="46938" spans="10:10" x14ac:dyDescent="0.3">
      <c r="J46938"/>
    </row>
    <row r="46939" spans="10:10" x14ac:dyDescent="0.3">
      <c r="J46939"/>
    </row>
    <row r="46940" spans="10:10" x14ac:dyDescent="0.3">
      <c r="J46940"/>
    </row>
    <row r="46941" spans="10:10" x14ac:dyDescent="0.3">
      <c r="J46941"/>
    </row>
    <row r="46942" spans="10:10" x14ac:dyDescent="0.3">
      <c r="J46942"/>
    </row>
    <row r="46943" spans="10:10" x14ac:dyDescent="0.3">
      <c r="J46943"/>
    </row>
    <row r="46944" spans="10:10" x14ac:dyDescent="0.3">
      <c r="J46944"/>
    </row>
    <row r="46945" spans="10:10" x14ac:dyDescent="0.3">
      <c r="J46945"/>
    </row>
    <row r="46946" spans="10:10" x14ac:dyDescent="0.3">
      <c r="J46946"/>
    </row>
    <row r="46947" spans="10:10" x14ac:dyDescent="0.3">
      <c r="J46947"/>
    </row>
    <row r="46948" spans="10:10" x14ac:dyDescent="0.3">
      <c r="J46948"/>
    </row>
    <row r="46949" spans="10:10" x14ac:dyDescent="0.3">
      <c r="J46949"/>
    </row>
    <row r="46950" spans="10:10" x14ac:dyDescent="0.3">
      <c r="J46950"/>
    </row>
    <row r="46951" spans="10:10" x14ac:dyDescent="0.3">
      <c r="J46951"/>
    </row>
    <row r="46952" spans="10:10" x14ac:dyDescent="0.3">
      <c r="J46952"/>
    </row>
    <row r="46953" spans="10:10" x14ac:dyDescent="0.3">
      <c r="J46953"/>
    </row>
    <row r="46954" spans="10:10" x14ac:dyDescent="0.3">
      <c r="J46954"/>
    </row>
    <row r="46955" spans="10:10" x14ac:dyDescent="0.3">
      <c r="J46955"/>
    </row>
    <row r="46956" spans="10:10" x14ac:dyDescent="0.3">
      <c r="J46956"/>
    </row>
    <row r="46957" spans="10:10" x14ac:dyDescent="0.3">
      <c r="J46957"/>
    </row>
    <row r="46958" spans="10:10" x14ac:dyDescent="0.3">
      <c r="J46958"/>
    </row>
    <row r="46959" spans="10:10" x14ac:dyDescent="0.3">
      <c r="J46959"/>
    </row>
    <row r="46960" spans="10:10" x14ac:dyDescent="0.3">
      <c r="J46960"/>
    </row>
    <row r="46961" spans="10:10" x14ac:dyDescent="0.3">
      <c r="J46961"/>
    </row>
    <row r="46962" spans="10:10" x14ac:dyDescent="0.3">
      <c r="J46962"/>
    </row>
    <row r="46963" spans="10:10" x14ac:dyDescent="0.3">
      <c r="J46963"/>
    </row>
    <row r="46964" spans="10:10" x14ac:dyDescent="0.3">
      <c r="J46964"/>
    </row>
    <row r="46965" spans="10:10" x14ac:dyDescent="0.3">
      <c r="J46965"/>
    </row>
    <row r="46966" spans="10:10" x14ac:dyDescent="0.3">
      <c r="J46966"/>
    </row>
    <row r="46967" spans="10:10" x14ac:dyDescent="0.3">
      <c r="J46967"/>
    </row>
    <row r="46968" spans="10:10" x14ac:dyDescent="0.3">
      <c r="J46968"/>
    </row>
    <row r="46969" spans="10:10" x14ac:dyDescent="0.3">
      <c r="J46969"/>
    </row>
    <row r="46970" spans="10:10" x14ac:dyDescent="0.3">
      <c r="J46970"/>
    </row>
    <row r="46971" spans="10:10" x14ac:dyDescent="0.3">
      <c r="J46971"/>
    </row>
    <row r="46972" spans="10:10" x14ac:dyDescent="0.3">
      <c r="J46972"/>
    </row>
    <row r="46973" spans="10:10" x14ac:dyDescent="0.3">
      <c r="J46973"/>
    </row>
    <row r="46974" spans="10:10" x14ac:dyDescent="0.3">
      <c r="J46974"/>
    </row>
    <row r="46975" spans="10:10" x14ac:dyDescent="0.3">
      <c r="J46975"/>
    </row>
    <row r="46976" spans="10:10" x14ac:dyDescent="0.3">
      <c r="J46976"/>
    </row>
    <row r="46977" spans="10:10" x14ac:dyDescent="0.3">
      <c r="J46977"/>
    </row>
    <row r="46978" spans="10:10" x14ac:dyDescent="0.3">
      <c r="J46978"/>
    </row>
    <row r="46979" spans="10:10" x14ac:dyDescent="0.3">
      <c r="J46979"/>
    </row>
    <row r="46980" spans="10:10" x14ac:dyDescent="0.3">
      <c r="J46980"/>
    </row>
    <row r="46981" spans="10:10" x14ac:dyDescent="0.3">
      <c r="J46981"/>
    </row>
    <row r="46982" spans="10:10" x14ac:dyDescent="0.3">
      <c r="J46982"/>
    </row>
    <row r="46983" spans="10:10" x14ac:dyDescent="0.3">
      <c r="J46983"/>
    </row>
    <row r="46984" spans="10:10" x14ac:dyDescent="0.3">
      <c r="J46984"/>
    </row>
    <row r="46985" spans="10:10" x14ac:dyDescent="0.3">
      <c r="J46985"/>
    </row>
    <row r="46986" spans="10:10" x14ac:dyDescent="0.3">
      <c r="J46986"/>
    </row>
    <row r="46987" spans="10:10" x14ac:dyDescent="0.3">
      <c r="J46987"/>
    </row>
    <row r="46988" spans="10:10" x14ac:dyDescent="0.3">
      <c r="J46988"/>
    </row>
    <row r="46989" spans="10:10" x14ac:dyDescent="0.3">
      <c r="J46989"/>
    </row>
    <row r="46990" spans="10:10" x14ac:dyDescent="0.3">
      <c r="J46990"/>
    </row>
    <row r="46991" spans="10:10" x14ac:dyDescent="0.3">
      <c r="J46991"/>
    </row>
    <row r="46992" spans="10:10" x14ac:dyDescent="0.3">
      <c r="J46992"/>
    </row>
    <row r="46993" spans="10:10" x14ac:dyDescent="0.3">
      <c r="J46993"/>
    </row>
    <row r="46994" spans="10:10" x14ac:dyDescent="0.3">
      <c r="J46994"/>
    </row>
    <row r="46995" spans="10:10" x14ac:dyDescent="0.3">
      <c r="J46995"/>
    </row>
    <row r="46996" spans="10:10" x14ac:dyDescent="0.3">
      <c r="J46996"/>
    </row>
    <row r="46997" spans="10:10" x14ac:dyDescent="0.3">
      <c r="J46997"/>
    </row>
    <row r="46998" spans="10:10" x14ac:dyDescent="0.3">
      <c r="J46998"/>
    </row>
    <row r="46999" spans="10:10" x14ac:dyDescent="0.3">
      <c r="J46999"/>
    </row>
    <row r="47000" spans="10:10" x14ac:dyDescent="0.3">
      <c r="J47000"/>
    </row>
    <row r="47001" spans="10:10" x14ac:dyDescent="0.3">
      <c r="J47001"/>
    </row>
    <row r="47002" spans="10:10" x14ac:dyDescent="0.3">
      <c r="J47002"/>
    </row>
    <row r="47003" spans="10:10" x14ac:dyDescent="0.3">
      <c r="J47003"/>
    </row>
    <row r="47004" spans="10:10" x14ac:dyDescent="0.3">
      <c r="J47004"/>
    </row>
    <row r="47005" spans="10:10" x14ac:dyDescent="0.3">
      <c r="J47005"/>
    </row>
    <row r="47006" spans="10:10" x14ac:dyDescent="0.3">
      <c r="J47006"/>
    </row>
    <row r="47007" spans="10:10" x14ac:dyDescent="0.3">
      <c r="J47007"/>
    </row>
    <row r="47008" spans="10:10" x14ac:dyDescent="0.3">
      <c r="J47008"/>
    </row>
    <row r="47009" spans="10:10" x14ac:dyDescent="0.3">
      <c r="J47009"/>
    </row>
    <row r="47010" spans="10:10" x14ac:dyDescent="0.3">
      <c r="J47010"/>
    </row>
    <row r="47011" spans="10:10" x14ac:dyDescent="0.3">
      <c r="J47011"/>
    </row>
    <row r="47012" spans="10:10" x14ac:dyDescent="0.3">
      <c r="J47012"/>
    </row>
    <row r="47013" spans="10:10" x14ac:dyDescent="0.3">
      <c r="J47013"/>
    </row>
    <row r="47014" spans="10:10" x14ac:dyDescent="0.3">
      <c r="J47014"/>
    </row>
    <row r="47015" spans="10:10" x14ac:dyDescent="0.3">
      <c r="J47015"/>
    </row>
    <row r="47016" spans="10:10" x14ac:dyDescent="0.3">
      <c r="J47016"/>
    </row>
    <row r="47017" spans="10:10" x14ac:dyDescent="0.3">
      <c r="J47017"/>
    </row>
    <row r="47018" spans="10:10" x14ac:dyDescent="0.3">
      <c r="J47018"/>
    </row>
    <row r="47019" spans="10:10" x14ac:dyDescent="0.3">
      <c r="J47019"/>
    </row>
    <row r="47020" spans="10:10" x14ac:dyDescent="0.3">
      <c r="J47020"/>
    </row>
    <row r="47021" spans="10:10" x14ac:dyDescent="0.3">
      <c r="J47021"/>
    </row>
    <row r="47022" spans="10:10" x14ac:dyDescent="0.3">
      <c r="J47022"/>
    </row>
    <row r="47023" spans="10:10" x14ac:dyDescent="0.3">
      <c r="J47023"/>
    </row>
    <row r="47024" spans="10:10" x14ac:dyDescent="0.3">
      <c r="J47024"/>
    </row>
    <row r="47025" spans="10:10" x14ac:dyDescent="0.3">
      <c r="J47025"/>
    </row>
    <row r="47026" spans="10:10" x14ac:dyDescent="0.3">
      <c r="J47026"/>
    </row>
    <row r="47027" spans="10:10" x14ac:dyDescent="0.3">
      <c r="J47027"/>
    </row>
    <row r="47028" spans="10:10" x14ac:dyDescent="0.3">
      <c r="J47028"/>
    </row>
    <row r="47029" spans="10:10" x14ac:dyDescent="0.3">
      <c r="J47029"/>
    </row>
    <row r="47030" spans="10:10" x14ac:dyDescent="0.3">
      <c r="J47030"/>
    </row>
    <row r="47031" spans="10:10" x14ac:dyDescent="0.3">
      <c r="J47031"/>
    </row>
    <row r="47032" spans="10:10" x14ac:dyDescent="0.3">
      <c r="J47032"/>
    </row>
    <row r="47033" spans="10:10" x14ac:dyDescent="0.3">
      <c r="J47033"/>
    </row>
    <row r="47034" spans="10:10" x14ac:dyDescent="0.3">
      <c r="J47034"/>
    </row>
    <row r="47035" spans="10:10" x14ac:dyDescent="0.3">
      <c r="J47035"/>
    </row>
    <row r="47036" spans="10:10" x14ac:dyDescent="0.3">
      <c r="J47036"/>
    </row>
    <row r="47037" spans="10:10" x14ac:dyDescent="0.3">
      <c r="J47037"/>
    </row>
    <row r="47038" spans="10:10" x14ac:dyDescent="0.3">
      <c r="J47038"/>
    </row>
    <row r="47039" spans="10:10" x14ac:dyDescent="0.3">
      <c r="J47039"/>
    </row>
    <row r="47040" spans="10:10" x14ac:dyDescent="0.3">
      <c r="J47040"/>
    </row>
    <row r="47041" spans="10:10" x14ac:dyDescent="0.3">
      <c r="J47041"/>
    </row>
    <row r="47042" spans="10:10" x14ac:dyDescent="0.3">
      <c r="J47042"/>
    </row>
    <row r="47043" spans="10:10" x14ac:dyDescent="0.3">
      <c r="J47043"/>
    </row>
    <row r="47044" spans="10:10" x14ac:dyDescent="0.3">
      <c r="J47044"/>
    </row>
    <row r="47045" spans="10:10" x14ac:dyDescent="0.3">
      <c r="J47045"/>
    </row>
    <row r="47046" spans="10:10" x14ac:dyDescent="0.3">
      <c r="J47046"/>
    </row>
    <row r="47047" spans="10:10" x14ac:dyDescent="0.3">
      <c r="J47047"/>
    </row>
    <row r="47048" spans="10:10" x14ac:dyDescent="0.3">
      <c r="J47048"/>
    </row>
    <row r="47049" spans="10:10" x14ac:dyDescent="0.3">
      <c r="J47049"/>
    </row>
    <row r="47050" spans="10:10" x14ac:dyDescent="0.3">
      <c r="J47050"/>
    </row>
    <row r="47051" spans="10:10" x14ac:dyDescent="0.3">
      <c r="J47051"/>
    </row>
    <row r="47052" spans="10:10" x14ac:dyDescent="0.3">
      <c r="J47052"/>
    </row>
    <row r="47053" spans="10:10" x14ac:dyDescent="0.3">
      <c r="J47053"/>
    </row>
    <row r="47054" spans="10:10" x14ac:dyDescent="0.3">
      <c r="J47054"/>
    </row>
    <row r="47055" spans="10:10" x14ac:dyDescent="0.3">
      <c r="J47055"/>
    </row>
    <row r="47056" spans="10:10" x14ac:dyDescent="0.3">
      <c r="J47056"/>
    </row>
    <row r="47057" spans="10:10" x14ac:dyDescent="0.3">
      <c r="J47057"/>
    </row>
    <row r="47058" spans="10:10" x14ac:dyDescent="0.3">
      <c r="J47058"/>
    </row>
    <row r="47059" spans="10:10" x14ac:dyDescent="0.3">
      <c r="J47059"/>
    </row>
    <row r="47060" spans="10:10" x14ac:dyDescent="0.3">
      <c r="J47060"/>
    </row>
    <row r="47061" spans="10:10" x14ac:dyDescent="0.3">
      <c r="J47061"/>
    </row>
    <row r="47062" spans="10:10" x14ac:dyDescent="0.3">
      <c r="J47062"/>
    </row>
    <row r="47063" spans="10:10" x14ac:dyDescent="0.3">
      <c r="J47063"/>
    </row>
    <row r="47064" spans="10:10" x14ac:dyDescent="0.3">
      <c r="J47064"/>
    </row>
    <row r="47065" spans="10:10" x14ac:dyDescent="0.3">
      <c r="J47065"/>
    </row>
    <row r="47066" spans="10:10" x14ac:dyDescent="0.3">
      <c r="J47066"/>
    </row>
    <row r="47067" spans="10:10" x14ac:dyDescent="0.3">
      <c r="J47067"/>
    </row>
    <row r="47068" spans="10:10" x14ac:dyDescent="0.3">
      <c r="J47068"/>
    </row>
    <row r="47069" spans="10:10" x14ac:dyDescent="0.3">
      <c r="J47069"/>
    </row>
    <row r="47070" spans="10:10" x14ac:dyDescent="0.3">
      <c r="J47070"/>
    </row>
    <row r="47071" spans="10:10" x14ac:dyDescent="0.3">
      <c r="J47071"/>
    </row>
    <row r="47072" spans="10:10" x14ac:dyDescent="0.3">
      <c r="J47072"/>
    </row>
    <row r="47073" spans="10:10" x14ac:dyDescent="0.3">
      <c r="J47073"/>
    </row>
    <row r="47074" spans="10:10" x14ac:dyDescent="0.3">
      <c r="J47074"/>
    </row>
    <row r="47075" spans="10:10" x14ac:dyDescent="0.3">
      <c r="J47075"/>
    </row>
    <row r="47076" spans="10:10" x14ac:dyDescent="0.3">
      <c r="J47076"/>
    </row>
    <row r="47077" spans="10:10" x14ac:dyDescent="0.3">
      <c r="J47077"/>
    </row>
    <row r="47078" spans="10:10" x14ac:dyDescent="0.3">
      <c r="J47078"/>
    </row>
    <row r="47079" spans="10:10" x14ac:dyDescent="0.3">
      <c r="J47079"/>
    </row>
    <row r="47080" spans="10:10" x14ac:dyDescent="0.3">
      <c r="J47080"/>
    </row>
    <row r="47081" spans="10:10" x14ac:dyDescent="0.3">
      <c r="J47081"/>
    </row>
    <row r="47082" spans="10:10" x14ac:dyDescent="0.3">
      <c r="J47082"/>
    </row>
    <row r="47083" spans="10:10" x14ac:dyDescent="0.3">
      <c r="J47083"/>
    </row>
    <row r="47084" spans="10:10" x14ac:dyDescent="0.3">
      <c r="J47084"/>
    </row>
    <row r="47085" spans="10:10" x14ac:dyDescent="0.3">
      <c r="J47085"/>
    </row>
    <row r="47086" spans="10:10" x14ac:dyDescent="0.3">
      <c r="J47086"/>
    </row>
    <row r="47087" spans="10:10" x14ac:dyDescent="0.3">
      <c r="J47087"/>
    </row>
    <row r="47088" spans="10:10" x14ac:dyDescent="0.3">
      <c r="J47088"/>
    </row>
    <row r="47089" spans="10:10" x14ac:dyDescent="0.3">
      <c r="J47089"/>
    </row>
    <row r="47090" spans="10:10" x14ac:dyDescent="0.3">
      <c r="J47090"/>
    </row>
    <row r="47091" spans="10:10" x14ac:dyDescent="0.3">
      <c r="J47091"/>
    </row>
    <row r="47092" spans="10:10" x14ac:dyDescent="0.3">
      <c r="J47092"/>
    </row>
    <row r="47093" spans="10:10" x14ac:dyDescent="0.3">
      <c r="J47093"/>
    </row>
    <row r="47094" spans="10:10" x14ac:dyDescent="0.3">
      <c r="J47094"/>
    </row>
    <row r="47095" spans="10:10" x14ac:dyDescent="0.3">
      <c r="J47095"/>
    </row>
    <row r="47096" spans="10:10" x14ac:dyDescent="0.3">
      <c r="J47096"/>
    </row>
    <row r="47097" spans="10:10" x14ac:dyDescent="0.3">
      <c r="J47097"/>
    </row>
    <row r="47098" spans="10:10" x14ac:dyDescent="0.3">
      <c r="J47098"/>
    </row>
    <row r="47099" spans="10:10" x14ac:dyDescent="0.3">
      <c r="J47099"/>
    </row>
    <row r="47100" spans="10:10" x14ac:dyDescent="0.3">
      <c r="J47100"/>
    </row>
    <row r="47101" spans="10:10" x14ac:dyDescent="0.3">
      <c r="J47101"/>
    </row>
    <row r="47102" spans="10:10" x14ac:dyDescent="0.3">
      <c r="J47102"/>
    </row>
    <row r="47103" spans="10:10" x14ac:dyDescent="0.3">
      <c r="J47103"/>
    </row>
    <row r="47104" spans="10:10" x14ac:dyDescent="0.3">
      <c r="J47104"/>
    </row>
    <row r="47105" spans="10:10" x14ac:dyDescent="0.3">
      <c r="J47105"/>
    </row>
    <row r="47106" spans="10:10" x14ac:dyDescent="0.3">
      <c r="J47106"/>
    </row>
    <row r="47107" spans="10:10" x14ac:dyDescent="0.3">
      <c r="J47107"/>
    </row>
    <row r="47108" spans="10:10" x14ac:dyDescent="0.3">
      <c r="J47108"/>
    </row>
    <row r="47109" spans="10:10" x14ac:dyDescent="0.3">
      <c r="J47109"/>
    </row>
    <row r="47110" spans="10:10" x14ac:dyDescent="0.3">
      <c r="J47110"/>
    </row>
    <row r="47111" spans="10:10" x14ac:dyDescent="0.3">
      <c r="J47111"/>
    </row>
    <row r="47112" spans="10:10" x14ac:dyDescent="0.3">
      <c r="J47112"/>
    </row>
    <row r="47113" spans="10:10" x14ac:dyDescent="0.3">
      <c r="J47113"/>
    </row>
    <row r="47114" spans="10:10" x14ac:dyDescent="0.3">
      <c r="J47114"/>
    </row>
    <row r="47115" spans="10:10" x14ac:dyDescent="0.3">
      <c r="J47115"/>
    </row>
    <row r="47116" spans="10:10" x14ac:dyDescent="0.3">
      <c r="J47116"/>
    </row>
    <row r="47117" spans="10:10" x14ac:dyDescent="0.3">
      <c r="J47117"/>
    </row>
    <row r="47118" spans="10:10" x14ac:dyDescent="0.3">
      <c r="J47118"/>
    </row>
    <row r="47119" spans="10:10" x14ac:dyDescent="0.3">
      <c r="J47119"/>
    </row>
    <row r="47120" spans="10:10" x14ac:dyDescent="0.3">
      <c r="J47120"/>
    </row>
    <row r="47121" spans="10:10" x14ac:dyDescent="0.3">
      <c r="J47121"/>
    </row>
    <row r="47122" spans="10:10" x14ac:dyDescent="0.3">
      <c r="J47122"/>
    </row>
    <row r="47123" spans="10:10" x14ac:dyDescent="0.3">
      <c r="J47123"/>
    </row>
    <row r="47124" spans="10:10" x14ac:dyDescent="0.3">
      <c r="J47124"/>
    </row>
    <row r="47125" spans="10:10" x14ac:dyDescent="0.3">
      <c r="J47125"/>
    </row>
    <row r="47126" spans="10:10" x14ac:dyDescent="0.3">
      <c r="J47126"/>
    </row>
    <row r="47127" spans="10:10" x14ac:dyDescent="0.3">
      <c r="J47127"/>
    </row>
    <row r="47128" spans="10:10" x14ac:dyDescent="0.3">
      <c r="J47128"/>
    </row>
    <row r="47129" spans="10:10" x14ac:dyDescent="0.3">
      <c r="J47129"/>
    </row>
    <row r="47130" spans="10:10" x14ac:dyDescent="0.3">
      <c r="J47130"/>
    </row>
    <row r="47131" spans="10:10" x14ac:dyDescent="0.3">
      <c r="J47131"/>
    </row>
    <row r="47132" spans="10:10" x14ac:dyDescent="0.3">
      <c r="J47132"/>
    </row>
    <row r="47133" spans="10:10" x14ac:dyDescent="0.3">
      <c r="J47133"/>
    </row>
    <row r="47134" spans="10:10" x14ac:dyDescent="0.3">
      <c r="J47134"/>
    </row>
    <row r="47135" spans="10:10" x14ac:dyDescent="0.3">
      <c r="J47135"/>
    </row>
    <row r="47136" spans="10:10" x14ac:dyDescent="0.3">
      <c r="J47136"/>
    </row>
    <row r="47137" spans="10:10" x14ac:dyDescent="0.3">
      <c r="J47137"/>
    </row>
    <row r="47138" spans="10:10" x14ac:dyDescent="0.3">
      <c r="J47138"/>
    </row>
    <row r="47139" spans="10:10" x14ac:dyDescent="0.3">
      <c r="J47139"/>
    </row>
    <row r="47140" spans="10:10" x14ac:dyDescent="0.3">
      <c r="J47140"/>
    </row>
    <row r="47141" spans="10:10" x14ac:dyDescent="0.3">
      <c r="J47141"/>
    </row>
    <row r="47142" spans="10:10" x14ac:dyDescent="0.3">
      <c r="J47142"/>
    </row>
    <row r="47143" spans="10:10" x14ac:dyDescent="0.3">
      <c r="J47143"/>
    </row>
    <row r="47144" spans="10:10" x14ac:dyDescent="0.3">
      <c r="J47144"/>
    </row>
    <row r="47145" spans="10:10" x14ac:dyDescent="0.3">
      <c r="J47145"/>
    </row>
    <row r="47146" spans="10:10" x14ac:dyDescent="0.3">
      <c r="J47146"/>
    </row>
    <row r="47147" spans="10:10" x14ac:dyDescent="0.3">
      <c r="J47147"/>
    </row>
    <row r="47148" spans="10:10" x14ac:dyDescent="0.3">
      <c r="J47148"/>
    </row>
    <row r="47149" spans="10:10" x14ac:dyDescent="0.3">
      <c r="J47149"/>
    </row>
    <row r="47150" spans="10:10" x14ac:dyDescent="0.3">
      <c r="J47150"/>
    </row>
    <row r="47151" spans="10:10" x14ac:dyDescent="0.3">
      <c r="J47151"/>
    </row>
    <row r="47152" spans="10:10" x14ac:dyDescent="0.3">
      <c r="J47152"/>
    </row>
    <row r="47153" spans="10:10" x14ac:dyDescent="0.3">
      <c r="J47153"/>
    </row>
    <row r="47154" spans="10:10" x14ac:dyDescent="0.3">
      <c r="J47154"/>
    </row>
    <row r="47155" spans="10:10" x14ac:dyDescent="0.3">
      <c r="J47155"/>
    </row>
    <row r="47156" spans="10:10" x14ac:dyDescent="0.3">
      <c r="J47156"/>
    </row>
    <row r="47157" spans="10:10" x14ac:dyDescent="0.3">
      <c r="J47157"/>
    </row>
    <row r="47158" spans="10:10" x14ac:dyDescent="0.3">
      <c r="J47158"/>
    </row>
    <row r="47159" spans="10:10" x14ac:dyDescent="0.3">
      <c r="J47159"/>
    </row>
    <row r="47160" spans="10:10" x14ac:dyDescent="0.3">
      <c r="J47160"/>
    </row>
    <row r="47161" spans="10:10" x14ac:dyDescent="0.3">
      <c r="J47161"/>
    </row>
    <row r="47162" spans="10:10" x14ac:dyDescent="0.3">
      <c r="J47162"/>
    </row>
    <row r="47163" spans="10:10" x14ac:dyDescent="0.3">
      <c r="J47163"/>
    </row>
    <row r="47164" spans="10:10" x14ac:dyDescent="0.3">
      <c r="J47164"/>
    </row>
    <row r="47165" spans="10:10" x14ac:dyDescent="0.3">
      <c r="J47165"/>
    </row>
    <row r="47166" spans="10:10" x14ac:dyDescent="0.3">
      <c r="J47166"/>
    </row>
    <row r="47167" spans="10:10" x14ac:dyDescent="0.3">
      <c r="J47167"/>
    </row>
    <row r="47168" spans="10:10" x14ac:dyDescent="0.3">
      <c r="J47168"/>
    </row>
    <row r="47169" spans="10:10" x14ac:dyDescent="0.3">
      <c r="J47169"/>
    </row>
    <row r="47170" spans="10:10" x14ac:dyDescent="0.3">
      <c r="J47170"/>
    </row>
    <row r="47171" spans="10:10" x14ac:dyDescent="0.3">
      <c r="J47171"/>
    </row>
    <row r="47172" spans="10:10" x14ac:dyDescent="0.3">
      <c r="J47172"/>
    </row>
    <row r="47173" spans="10:10" x14ac:dyDescent="0.3">
      <c r="J47173"/>
    </row>
    <row r="47174" spans="10:10" x14ac:dyDescent="0.3">
      <c r="J47174"/>
    </row>
    <row r="47175" spans="10:10" x14ac:dyDescent="0.3">
      <c r="J47175"/>
    </row>
    <row r="47176" spans="10:10" x14ac:dyDescent="0.3">
      <c r="J47176"/>
    </row>
    <row r="47177" spans="10:10" x14ac:dyDescent="0.3">
      <c r="J47177"/>
    </row>
    <row r="47178" spans="10:10" x14ac:dyDescent="0.3">
      <c r="J47178"/>
    </row>
    <row r="47179" spans="10:10" x14ac:dyDescent="0.3">
      <c r="J47179"/>
    </row>
    <row r="47180" spans="10:10" x14ac:dyDescent="0.3">
      <c r="J47180"/>
    </row>
    <row r="47181" spans="10:10" x14ac:dyDescent="0.3">
      <c r="J47181"/>
    </row>
    <row r="47182" spans="10:10" x14ac:dyDescent="0.3">
      <c r="J47182"/>
    </row>
    <row r="47183" spans="10:10" x14ac:dyDescent="0.3">
      <c r="J47183"/>
    </row>
    <row r="47184" spans="10:10" x14ac:dyDescent="0.3">
      <c r="J47184"/>
    </row>
    <row r="47185" spans="10:10" x14ac:dyDescent="0.3">
      <c r="J47185"/>
    </row>
    <row r="47186" spans="10:10" x14ac:dyDescent="0.3">
      <c r="J47186"/>
    </row>
    <row r="47187" spans="10:10" x14ac:dyDescent="0.3">
      <c r="J47187"/>
    </row>
    <row r="47188" spans="10:10" x14ac:dyDescent="0.3">
      <c r="J47188"/>
    </row>
    <row r="47189" spans="10:10" x14ac:dyDescent="0.3">
      <c r="J47189"/>
    </row>
    <row r="47190" spans="10:10" x14ac:dyDescent="0.3">
      <c r="J47190"/>
    </row>
    <row r="47191" spans="10:10" x14ac:dyDescent="0.3">
      <c r="J47191"/>
    </row>
    <row r="47192" spans="10:10" x14ac:dyDescent="0.3">
      <c r="J47192"/>
    </row>
    <row r="47193" spans="10:10" x14ac:dyDescent="0.3">
      <c r="J47193"/>
    </row>
    <row r="47194" spans="10:10" x14ac:dyDescent="0.3">
      <c r="J47194"/>
    </row>
    <row r="47195" spans="10:10" x14ac:dyDescent="0.3">
      <c r="J47195"/>
    </row>
    <row r="47196" spans="10:10" x14ac:dyDescent="0.3">
      <c r="J47196"/>
    </row>
    <row r="47197" spans="10:10" x14ac:dyDescent="0.3">
      <c r="J47197"/>
    </row>
    <row r="47198" spans="10:10" x14ac:dyDescent="0.3">
      <c r="J47198"/>
    </row>
    <row r="47199" spans="10:10" x14ac:dyDescent="0.3">
      <c r="J47199"/>
    </row>
    <row r="47200" spans="10:10" x14ac:dyDescent="0.3">
      <c r="J47200"/>
    </row>
    <row r="47201" spans="10:10" x14ac:dyDescent="0.3">
      <c r="J47201"/>
    </row>
    <row r="47202" spans="10:10" x14ac:dyDescent="0.3">
      <c r="J47202"/>
    </row>
    <row r="47203" spans="10:10" x14ac:dyDescent="0.3">
      <c r="J47203"/>
    </row>
    <row r="47204" spans="10:10" x14ac:dyDescent="0.3">
      <c r="J47204"/>
    </row>
    <row r="47205" spans="10:10" x14ac:dyDescent="0.3">
      <c r="J47205"/>
    </row>
    <row r="47206" spans="10:10" x14ac:dyDescent="0.3">
      <c r="J47206"/>
    </row>
    <row r="47207" spans="10:10" x14ac:dyDescent="0.3">
      <c r="J47207"/>
    </row>
    <row r="47208" spans="10:10" x14ac:dyDescent="0.3">
      <c r="J47208"/>
    </row>
    <row r="47209" spans="10:10" x14ac:dyDescent="0.3">
      <c r="J47209"/>
    </row>
    <row r="47210" spans="10:10" x14ac:dyDescent="0.3">
      <c r="J47210"/>
    </row>
    <row r="47211" spans="10:10" x14ac:dyDescent="0.3">
      <c r="J47211"/>
    </row>
    <row r="47212" spans="10:10" x14ac:dyDescent="0.3">
      <c r="J47212"/>
    </row>
    <row r="47213" spans="10:10" x14ac:dyDescent="0.3">
      <c r="J47213"/>
    </row>
    <row r="47214" spans="10:10" x14ac:dyDescent="0.3">
      <c r="J47214"/>
    </row>
    <row r="47215" spans="10:10" x14ac:dyDescent="0.3">
      <c r="J47215"/>
    </row>
    <row r="47216" spans="10:10" x14ac:dyDescent="0.3">
      <c r="J47216"/>
    </row>
    <row r="47217" spans="10:10" x14ac:dyDescent="0.3">
      <c r="J47217"/>
    </row>
    <row r="47218" spans="10:10" x14ac:dyDescent="0.3">
      <c r="J47218"/>
    </row>
    <row r="47219" spans="10:10" x14ac:dyDescent="0.3">
      <c r="J47219"/>
    </row>
    <row r="47220" spans="10:10" x14ac:dyDescent="0.3">
      <c r="J47220"/>
    </row>
    <row r="47221" spans="10:10" x14ac:dyDescent="0.3">
      <c r="J47221"/>
    </row>
    <row r="47222" spans="10:10" x14ac:dyDescent="0.3">
      <c r="J47222"/>
    </row>
    <row r="47223" spans="10:10" x14ac:dyDescent="0.3">
      <c r="J47223"/>
    </row>
    <row r="47224" spans="10:10" x14ac:dyDescent="0.3">
      <c r="J47224"/>
    </row>
    <row r="47225" spans="10:10" x14ac:dyDescent="0.3">
      <c r="J47225"/>
    </row>
    <row r="47226" spans="10:10" x14ac:dyDescent="0.3">
      <c r="J47226"/>
    </row>
    <row r="47227" spans="10:10" x14ac:dyDescent="0.3">
      <c r="J47227"/>
    </row>
    <row r="47228" spans="10:10" x14ac:dyDescent="0.3">
      <c r="J47228"/>
    </row>
    <row r="47229" spans="10:10" x14ac:dyDescent="0.3">
      <c r="J47229"/>
    </row>
    <row r="47230" spans="10:10" x14ac:dyDescent="0.3">
      <c r="J47230"/>
    </row>
    <row r="47231" spans="10:10" x14ac:dyDescent="0.3">
      <c r="J47231"/>
    </row>
    <row r="47232" spans="10:10" x14ac:dyDescent="0.3">
      <c r="J47232"/>
    </row>
    <row r="47233" spans="10:10" x14ac:dyDescent="0.3">
      <c r="J47233"/>
    </row>
    <row r="47234" spans="10:10" x14ac:dyDescent="0.3">
      <c r="J47234"/>
    </row>
    <row r="47235" spans="10:10" x14ac:dyDescent="0.3">
      <c r="J47235"/>
    </row>
    <row r="47236" spans="10:10" x14ac:dyDescent="0.3">
      <c r="J47236"/>
    </row>
    <row r="47237" spans="10:10" x14ac:dyDescent="0.3">
      <c r="J47237"/>
    </row>
    <row r="47238" spans="10:10" x14ac:dyDescent="0.3">
      <c r="J47238"/>
    </row>
    <row r="47239" spans="10:10" x14ac:dyDescent="0.3">
      <c r="J47239"/>
    </row>
    <row r="47240" spans="10:10" x14ac:dyDescent="0.3">
      <c r="J47240"/>
    </row>
    <row r="47241" spans="10:10" x14ac:dyDescent="0.3">
      <c r="J47241"/>
    </row>
    <row r="47242" spans="10:10" x14ac:dyDescent="0.3">
      <c r="J47242"/>
    </row>
    <row r="47243" spans="10:10" x14ac:dyDescent="0.3">
      <c r="J47243"/>
    </row>
    <row r="47244" spans="10:10" x14ac:dyDescent="0.3">
      <c r="J47244"/>
    </row>
    <row r="47245" spans="10:10" x14ac:dyDescent="0.3">
      <c r="J47245"/>
    </row>
    <row r="47246" spans="10:10" x14ac:dyDescent="0.3">
      <c r="J47246"/>
    </row>
    <row r="47247" spans="10:10" x14ac:dyDescent="0.3">
      <c r="J47247"/>
    </row>
    <row r="47248" spans="10:10" x14ac:dyDescent="0.3">
      <c r="J47248"/>
    </row>
    <row r="47249" spans="10:10" x14ac:dyDescent="0.3">
      <c r="J47249"/>
    </row>
    <row r="47250" spans="10:10" x14ac:dyDescent="0.3">
      <c r="J47250"/>
    </row>
    <row r="47251" spans="10:10" x14ac:dyDescent="0.3">
      <c r="J47251"/>
    </row>
    <row r="47252" spans="10:10" x14ac:dyDescent="0.3">
      <c r="J47252"/>
    </row>
    <row r="47253" spans="10:10" x14ac:dyDescent="0.3">
      <c r="J47253"/>
    </row>
    <row r="47254" spans="10:10" x14ac:dyDescent="0.3">
      <c r="J47254"/>
    </row>
    <row r="47255" spans="10:10" x14ac:dyDescent="0.3">
      <c r="J47255"/>
    </row>
    <row r="47256" spans="10:10" x14ac:dyDescent="0.3">
      <c r="J47256"/>
    </row>
    <row r="47257" spans="10:10" x14ac:dyDescent="0.3">
      <c r="J47257"/>
    </row>
    <row r="47258" spans="10:10" x14ac:dyDescent="0.3">
      <c r="J47258"/>
    </row>
    <row r="47259" spans="10:10" x14ac:dyDescent="0.3">
      <c r="J47259"/>
    </row>
    <row r="47260" spans="10:10" x14ac:dyDescent="0.3">
      <c r="J47260"/>
    </row>
    <row r="47261" spans="10:10" x14ac:dyDescent="0.3">
      <c r="J47261"/>
    </row>
    <row r="47262" spans="10:10" x14ac:dyDescent="0.3">
      <c r="J47262"/>
    </row>
    <row r="47263" spans="10:10" x14ac:dyDescent="0.3">
      <c r="J47263"/>
    </row>
    <row r="47264" spans="10:10" x14ac:dyDescent="0.3">
      <c r="J47264"/>
    </row>
    <row r="47265" spans="10:10" x14ac:dyDescent="0.3">
      <c r="J47265"/>
    </row>
    <row r="47266" spans="10:10" x14ac:dyDescent="0.3">
      <c r="J47266"/>
    </row>
    <row r="47267" spans="10:10" x14ac:dyDescent="0.3">
      <c r="J47267"/>
    </row>
    <row r="47268" spans="10:10" x14ac:dyDescent="0.3">
      <c r="J47268"/>
    </row>
    <row r="47269" spans="10:10" x14ac:dyDescent="0.3">
      <c r="J47269"/>
    </row>
    <row r="47270" spans="10:10" x14ac:dyDescent="0.3">
      <c r="J47270"/>
    </row>
    <row r="47271" spans="10:10" x14ac:dyDescent="0.3">
      <c r="J47271"/>
    </row>
    <row r="47272" spans="10:10" x14ac:dyDescent="0.3">
      <c r="J47272"/>
    </row>
    <row r="47273" spans="10:10" x14ac:dyDescent="0.3">
      <c r="J47273"/>
    </row>
    <row r="47274" spans="10:10" x14ac:dyDescent="0.3">
      <c r="J47274"/>
    </row>
    <row r="47275" spans="10:10" x14ac:dyDescent="0.3">
      <c r="J47275"/>
    </row>
    <row r="47276" spans="10:10" x14ac:dyDescent="0.3">
      <c r="J47276"/>
    </row>
    <row r="47277" spans="10:10" x14ac:dyDescent="0.3">
      <c r="J47277"/>
    </row>
    <row r="47278" spans="10:10" x14ac:dyDescent="0.3">
      <c r="J47278"/>
    </row>
    <row r="47279" spans="10:10" x14ac:dyDescent="0.3">
      <c r="J47279"/>
    </row>
    <row r="47280" spans="10:10" x14ac:dyDescent="0.3">
      <c r="J47280"/>
    </row>
    <row r="47281" spans="10:10" x14ac:dyDescent="0.3">
      <c r="J47281"/>
    </row>
    <row r="47282" spans="10:10" x14ac:dyDescent="0.3">
      <c r="J47282"/>
    </row>
    <row r="47283" spans="10:10" x14ac:dyDescent="0.3">
      <c r="J47283"/>
    </row>
    <row r="47284" spans="10:10" x14ac:dyDescent="0.3">
      <c r="J47284"/>
    </row>
    <row r="47285" spans="10:10" x14ac:dyDescent="0.3">
      <c r="J47285"/>
    </row>
    <row r="47286" spans="10:10" x14ac:dyDescent="0.3">
      <c r="J47286"/>
    </row>
    <row r="47287" spans="10:10" x14ac:dyDescent="0.3">
      <c r="J47287"/>
    </row>
    <row r="47288" spans="10:10" x14ac:dyDescent="0.3">
      <c r="J47288"/>
    </row>
    <row r="47289" spans="10:10" x14ac:dyDescent="0.3">
      <c r="J47289"/>
    </row>
    <row r="47290" spans="10:10" x14ac:dyDescent="0.3">
      <c r="J47290"/>
    </row>
    <row r="47291" spans="10:10" x14ac:dyDescent="0.3">
      <c r="J47291"/>
    </row>
    <row r="47292" spans="10:10" x14ac:dyDescent="0.3">
      <c r="J47292"/>
    </row>
    <row r="47293" spans="10:10" x14ac:dyDescent="0.3">
      <c r="J47293"/>
    </row>
    <row r="47294" spans="10:10" x14ac:dyDescent="0.3">
      <c r="J47294"/>
    </row>
    <row r="47295" spans="10:10" x14ac:dyDescent="0.3">
      <c r="J47295"/>
    </row>
    <row r="47296" spans="10:10" x14ac:dyDescent="0.3">
      <c r="J47296"/>
    </row>
    <row r="47297" spans="10:10" x14ac:dyDescent="0.3">
      <c r="J47297"/>
    </row>
    <row r="47298" spans="10:10" x14ac:dyDescent="0.3">
      <c r="J47298"/>
    </row>
    <row r="47299" spans="10:10" x14ac:dyDescent="0.3">
      <c r="J47299"/>
    </row>
    <row r="47300" spans="10:10" x14ac:dyDescent="0.3">
      <c r="J47300"/>
    </row>
    <row r="47301" spans="10:10" x14ac:dyDescent="0.3">
      <c r="J47301"/>
    </row>
    <row r="47302" spans="10:10" x14ac:dyDescent="0.3">
      <c r="J47302"/>
    </row>
    <row r="47303" spans="10:10" x14ac:dyDescent="0.3">
      <c r="J47303"/>
    </row>
    <row r="47304" spans="10:10" x14ac:dyDescent="0.3">
      <c r="J47304"/>
    </row>
    <row r="47305" spans="10:10" x14ac:dyDescent="0.3">
      <c r="J47305"/>
    </row>
    <row r="47306" spans="10:10" x14ac:dyDescent="0.3">
      <c r="J47306"/>
    </row>
    <row r="47307" spans="10:10" x14ac:dyDescent="0.3">
      <c r="J47307"/>
    </row>
    <row r="47308" spans="10:10" x14ac:dyDescent="0.3">
      <c r="J47308"/>
    </row>
    <row r="47309" spans="10:10" x14ac:dyDescent="0.3">
      <c r="J47309"/>
    </row>
    <row r="47310" spans="10:10" x14ac:dyDescent="0.3">
      <c r="J47310"/>
    </row>
    <row r="47311" spans="10:10" x14ac:dyDescent="0.3">
      <c r="J47311"/>
    </row>
    <row r="47312" spans="10:10" x14ac:dyDescent="0.3">
      <c r="J47312"/>
    </row>
    <row r="47313" spans="10:10" x14ac:dyDescent="0.3">
      <c r="J47313"/>
    </row>
    <row r="47314" spans="10:10" x14ac:dyDescent="0.3">
      <c r="J47314"/>
    </row>
    <row r="47315" spans="10:10" x14ac:dyDescent="0.3">
      <c r="J47315"/>
    </row>
    <row r="47316" spans="10:10" x14ac:dyDescent="0.3">
      <c r="J47316"/>
    </row>
    <row r="47317" spans="10:10" x14ac:dyDescent="0.3">
      <c r="J47317"/>
    </row>
    <row r="47318" spans="10:10" x14ac:dyDescent="0.3">
      <c r="J47318"/>
    </row>
    <row r="47319" spans="10:10" x14ac:dyDescent="0.3">
      <c r="J47319"/>
    </row>
    <row r="47320" spans="10:10" x14ac:dyDescent="0.3">
      <c r="J47320"/>
    </row>
    <row r="47321" spans="10:10" x14ac:dyDescent="0.3">
      <c r="J47321"/>
    </row>
    <row r="47322" spans="10:10" x14ac:dyDescent="0.3">
      <c r="J47322"/>
    </row>
    <row r="47323" spans="10:10" x14ac:dyDescent="0.3">
      <c r="J47323"/>
    </row>
    <row r="47324" spans="10:10" x14ac:dyDescent="0.3">
      <c r="J47324"/>
    </row>
    <row r="47325" spans="10:10" x14ac:dyDescent="0.3">
      <c r="J47325"/>
    </row>
    <row r="47326" spans="10:10" x14ac:dyDescent="0.3">
      <c r="J47326"/>
    </row>
    <row r="47327" spans="10:10" x14ac:dyDescent="0.3">
      <c r="J47327"/>
    </row>
    <row r="47328" spans="10:10" x14ac:dyDescent="0.3">
      <c r="J47328"/>
    </row>
    <row r="47329" spans="10:10" x14ac:dyDescent="0.3">
      <c r="J47329"/>
    </row>
    <row r="47330" spans="10:10" x14ac:dyDescent="0.3">
      <c r="J47330"/>
    </row>
    <row r="47331" spans="10:10" x14ac:dyDescent="0.3">
      <c r="J47331"/>
    </row>
    <row r="47332" spans="10:10" x14ac:dyDescent="0.3">
      <c r="J47332"/>
    </row>
    <row r="47333" spans="10:10" x14ac:dyDescent="0.3">
      <c r="J47333"/>
    </row>
    <row r="47334" spans="10:10" x14ac:dyDescent="0.3">
      <c r="J47334"/>
    </row>
    <row r="47335" spans="10:10" x14ac:dyDescent="0.3">
      <c r="J47335"/>
    </row>
    <row r="47336" spans="10:10" x14ac:dyDescent="0.3">
      <c r="J47336"/>
    </row>
    <row r="47337" spans="10:10" x14ac:dyDescent="0.3">
      <c r="J47337"/>
    </row>
    <row r="47338" spans="10:10" x14ac:dyDescent="0.3">
      <c r="J47338"/>
    </row>
    <row r="47339" spans="10:10" x14ac:dyDescent="0.3">
      <c r="J47339"/>
    </row>
    <row r="47340" spans="10:10" x14ac:dyDescent="0.3">
      <c r="J47340"/>
    </row>
    <row r="47341" spans="10:10" x14ac:dyDescent="0.3">
      <c r="J47341"/>
    </row>
    <row r="47342" spans="10:10" x14ac:dyDescent="0.3">
      <c r="J47342"/>
    </row>
    <row r="47343" spans="10:10" x14ac:dyDescent="0.3">
      <c r="J47343"/>
    </row>
    <row r="47344" spans="10:10" x14ac:dyDescent="0.3">
      <c r="J47344"/>
    </row>
    <row r="47345" spans="10:10" x14ac:dyDescent="0.3">
      <c r="J47345"/>
    </row>
    <row r="47346" spans="10:10" x14ac:dyDescent="0.3">
      <c r="J47346"/>
    </row>
    <row r="47347" spans="10:10" x14ac:dyDescent="0.3">
      <c r="J47347"/>
    </row>
    <row r="47348" spans="10:10" x14ac:dyDescent="0.3">
      <c r="J47348"/>
    </row>
    <row r="47349" spans="10:10" x14ac:dyDescent="0.3">
      <c r="J47349"/>
    </row>
    <row r="47350" spans="10:10" x14ac:dyDescent="0.3">
      <c r="J47350"/>
    </row>
    <row r="47351" spans="10:10" x14ac:dyDescent="0.3">
      <c r="J47351"/>
    </row>
    <row r="47352" spans="10:10" x14ac:dyDescent="0.3">
      <c r="J47352"/>
    </row>
    <row r="47353" spans="10:10" x14ac:dyDescent="0.3">
      <c r="J47353"/>
    </row>
    <row r="47354" spans="10:10" x14ac:dyDescent="0.3">
      <c r="J47354"/>
    </row>
    <row r="47355" spans="10:10" x14ac:dyDescent="0.3">
      <c r="J47355"/>
    </row>
    <row r="47356" spans="10:10" x14ac:dyDescent="0.3">
      <c r="J47356"/>
    </row>
    <row r="47357" spans="10:10" x14ac:dyDescent="0.3">
      <c r="J47357"/>
    </row>
    <row r="47358" spans="10:10" x14ac:dyDescent="0.3">
      <c r="J47358"/>
    </row>
    <row r="47359" spans="10:10" x14ac:dyDescent="0.3">
      <c r="J47359"/>
    </row>
    <row r="47360" spans="10:10" x14ac:dyDescent="0.3">
      <c r="J47360"/>
    </row>
    <row r="47361" spans="10:10" x14ac:dyDescent="0.3">
      <c r="J47361"/>
    </row>
    <row r="47362" spans="10:10" x14ac:dyDescent="0.3">
      <c r="J47362"/>
    </row>
    <row r="47363" spans="10:10" x14ac:dyDescent="0.3">
      <c r="J47363"/>
    </row>
    <row r="47364" spans="10:10" x14ac:dyDescent="0.3">
      <c r="J47364"/>
    </row>
    <row r="47365" spans="10:10" x14ac:dyDescent="0.3">
      <c r="J47365"/>
    </row>
    <row r="47366" spans="10:10" x14ac:dyDescent="0.3">
      <c r="J47366"/>
    </row>
    <row r="47367" spans="10:10" x14ac:dyDescent="0.3">
      <c r="J47367"/>
    </row>
    <row r="47368" spans="10:10" x14ac:dyDescent="0.3">
      <c r="J47368"/>
    </row>
    <row r="47369" spans="10:10" x14ac:dyDescent="0.3">
      <c r="J47369"/>
    </row>
    <row r="47370" spans="10:10" x14ac:dyDescent="0.3">
      <c r="J47370"/>
    </row>
    <row r="47371" spans="10:10" x14ac:dyDescent="0.3">
      <c r="J47371"/>
    </row>
    <row r="47372" spans="10:10" x14ac:dyDescent="0.3">
      <c r="J47372"/>
    </row>
    <row r="47373" spans="10:10" x14ac:dyDescent="0.3">
      <c r="J47373"/>
    </row>
    <row r="47374" spans="10:10" x14ac:dyDescent="0.3">
      <c r="J47374"/>
    </row>
    <row r="47375" spans="10:10" x14ac:dyDescent="0.3">
      <c r="J47375"/>
    </row>
    <row r="47376" spans="10:10" x14ac:dyDescent="0.3">
      <c r="J47376"/>
    </row>
    <row r="47377" spans="10:10" x14ac:dyDescent="0.3">
      <c r="J47377"/>
    </row>
    <row r="47378" spans="10:10" x14ac:dyDescent="0.3">
      <c r="J47378"/>
    </row>
    <row r="47379" spans="10:10" x14ac:dyDescent="0.3">
      <c r="J47379"/>
    </row>
    <row r="47380" spans="10:10" x14ac:dyDescent="0.3">
      <c r="J47380"/>
    </row>
    <row r="47381" spans="10:10" x14ac:dyDescent="0.3">
      <c r="J47381"/>
    </row>
    <row r="47382" spans="10:10" x14ac:dyDescent="0.3">
      <c r="J47382"/>
    </row>
    <row r="47383" spans="10:10" x14ac:dyDescent="0.3">
      <c r="J47383"/>
    </row>
    <row r="47384" spans="10:10" x14ac:dyDescent="0.3">
      <c r="J47384"/>
    </row>
    <row r="47385" spans="10:10" x14ac:dyDescent="0.3">
      <c r="J47385"/>
    </row>
    <row r="47386" spans="10:10" x14ac:dyDescent="0.3">
      <c r="J47386"/>
    </row>
    <row r="47387" spans="10:10" x14ac:dyDescent="0.3">
      <c r="J47387"/>
    </row>
    <row r="47388" spans="10:10" x14ac:dyDescent="0.3">
      <c r="J47388"/>
    </row>
    <row r="47389" spans="10:10" x14ac:dyDescent="0.3">
      <c r="J47389"/>
    </row>
    <row r="47390" spans="10:10" x14ac:dyDescent="0.3">
      <c r="J47390"/>
    </row>
    <row r="47391" spans="10:10" x14ac:dyDescent="0.3">
      <c r="J47391"/>
    </row>
    <row r="47392" spans="10:10" x14ac:dyDescent="0.3">
      <c r="J47392"/>
    </row>
    <row r="47393" spans="10:10" x14ac:dyDescent="0.3">
      <c r="J47393"/>
    </row>
    <row r="47394" spans="10:10" x14ac:dyDescent="0.3">
      <c r="J47394"/>
    </row>
    <row r="47395" spans="10:10" x14ac:dyDescent="0.3">
      <c r="J47395"/>
    </row>
    <row r="47396" spans="10:10" x14ac:dyDescent="0.3">
      <c r="J47396"/>
    </row>
    <row r="47397" spans="10:10" x14ac:dyDescent="0.3">
      <c r="J47397"/>
    </row>
    <row r="47398" spans="10:10" x14ac:dyDescent="0.3">
      <c r="J47398"/>
    </row>
    <row r="47399" spans="10:10" x14ac:dyDescent="0.3">
      <c r="J47399"/>
    </row>
    <row r="47400" spans="10:10" x14ac:dyDescent="0.3">
      <c r="J47400"/>
    </row>
    <row r="47401" spans="10:10" x14ac:dyDescent="0.3">
      <c r="J47401"/>
    </row>
    <row r="47402" spans="10:10" x14ac:dyDescent="0.3">
      <c r="J47402"/>
    </row>
    <row r="47403" spans="10:10" x14ac:dyDescent="0.3">
      <c r="J47403"/>
    </row>
    <row r="47404" spans="10:10" x14ac:dyDescent="0.3">
      <c r="J47404"/>
    </row>
    <row r="47405" spans="10:10" x14ac:dyDescent="0.3">
      <c r="J47405"/>
    </row>
    <row r="47406" spans="10:10" x14ac:dyDescent="0.3">
      <c r="J47406"/>
    </row>
    <row r="47407" spans="10:10" x14ac:dyDescent="0.3">
      <c r="J47407"/>
    </row>
    <row r="47408" spans="10:10" x14ac:dyDescent="0.3">
      <c r="J47408"/>
    </row>
    <row r="47409" spans="10:10" x14ac:dyDescent="0.3">
      <c r="J47409"/>
    </row>
    <row r="47410" spans="10:10" x14ac:dyDescent="0.3">
      <c r="J47410"/>
    </row>
    <row r="47411" spans="10:10" x14ac:dyDescent="0.3">
      <c r="J47411"/>
    </row>
    <row r="47412" spans="10:10" x14ac:dyDescent="0.3">
      <c r="J47412"/>
    </row>
    <row r="47413" spans="10:10" x14ac:dyDescent="0.3">
      <c r="J47413"/>
    </row>
    <row r="47414" spans="10:10" x14ac:dyDescent="0.3">
      <c r="J47414"/>
    </row>
    <row r="47415" spans="10:10" x14ac:dyDescent="0.3">
      <c r="J47415"/>
    </row>
    <row r="47416" spans="10:10" x14ac:dyDescent="0.3">
      <c r="J47416"/>
    </row>
    <row r="47417" spans="10:10" x14ac:dyDescent="0.3">
      <c r="J47417"/>
    </row>
    <row r="47418" spans="10:10" x14ac:dyDescent="0.3">
      <c r="J47418"/>
    </row>
    <row r="47419" spans="10:10" x14ac:dyDescent="0.3">
      <c r="J47419"/>
    </row>
    <row r="47420" spans="10:10" x14ac:dyDescent="0.3">
      <c r="J47420"/>
    </row>
    <row r="47421" spans="10:10" x14ac:dyDescent="0.3">
      <c r="J47421"/>
    </row>
    <row r="47422" spans="10:10" x14ac:dyDescent="0.3">
      <c r="J47422"/>
    </row>
    <row r="47423" spans="10:10" x14ac:dyDescent="0.3">
      <c r="J47423"/>
    </row>
    <row r="47424" spans="10:10" x14ac:dyDescent="0.3">
      <c r="J47424"/>
    </row>
    <row r="47425" spans="10:10" x14ac:dyDescent="0.3">
      <c r="J47425"/>
    </row>
    <row r="47426" spans="10:10" x14ac:dyDescent="0.3">
      <c r="J47426"/>
    </row>
    <row r="47427" spans="10:10" x14ac:dyDescent="0.3">
      <c r="J47427"/>
    </row>
    <row r="47428" spans="10:10" x14ac:dyDescent="0.3">
      <c r="J47428"/>
    </row>
    <row r="47429" spans="10:10" x14ac:dyDescent="0.3">
      <c r="J47429"/>
    </row>
    <row r="47430" spans="10:10" x14ac:dyDescent="0.3">
      <c r="J47430"/>
    </row>
    <row r="47431" spans="10:10" x14ac:dyDescent="0.3">
      <c r="J47431"/>
    </row>
    <row r="47432" spans="10:10" x14ac:dyDescent="0.3">
      <c r="J47432"/>
    </row>
    <row r="47433" spans="10:10" x14ac:dyDescent="0.3">
      <c r="J47433"/>
    </row>
    <row r="47434" spans="10:10" x14ac:dyDescent="0.3">
      <c r="J47434"/>
    </row>
    <row r="47435" spans="10:10" x14ac:dyDescent="0.3">
      <c r="J47435"/>
    </row>
    <row r="47436" spans="10:10" x14ac:dyDescent="0.3">
      <c r="J47436"/>
    </row>
    <row r="47437" spans="10:10" x14ac:dyDescent="0.3">
      <c r="J47437"/>
    </row>
    <row r="47438" spans="10:10" x14ac:dyDescent="0.3">
      <c r="J47438"/>
    </row>
    <row r="47439" spans="10:10" x14ac:dyDescent="0.3">
      <c r="J47439"/>
    </row>
    <row r="47440" spans="10:10" x14ac:dyDescent="0.3">
      <c r="J47440"/>
    </row>
    <row r="47441" spans="10:10" x14ac:dyDescent="0.3">
      <c r="J47441"/>
    </row>
    <row r="47442" spans="10:10" x14ac:dyDescent="0.3">
      <c r="J47442"/>
    </row>
    <row r="47443" spans="10:10" x14ac:dyDescent="0.3">
      <c r="J47443"/>
    </row>
    <row r="47444" spans="10:10" x14ac:dyDescent="0.3">
      <c r="J47444"/>
    </row>
    <row r="47445" spans="10:10" x14ac:dyDescent="0.3">
      <c r="J47445"/>
    </row>
    <row r="47446" spans="10:10" x14ac:dyDescent="0.3">
      <c r="J47446"/>
    </row>
    <row r="47447" spans="10:10" x14ac:dyDescent="0.3">
      <c r="J47447"/>
    </row>
    <row r="47448" spans="10:10" x14ac:dyDescent="0.3">
      <c r="J47448"/>
    </row>
    <row r="47449" spans="10:10" x14ac:dyDescent="0.3">
      <c r="J47449"/>
    </row>
    <row r="47450" spans="10:10" x14ac:dyDescent="0.3">
      <c r="J47450"/>
    </row>
    <row r="47451" spans="10:10" x14ac:dyDescent="0.3">
      <c r="J47451"/>
    </row>
    <row r="47452" spans="10:10" x14ac:dyDescent="0.3">
      <c r="J47452"/>
    </row>
    <row r="47453" spans="10:10" x14ac:dyDescent="0.3">
      <c r="J47453"/>
    </row>
    <row r="47454" spans="10:10" x14ac:dyDescent="0.3">
      <c r="J47454"/>
    </row>
    <row r="47455" spans="10:10" x14ac:dyDescent="0.3">
      <c r="J47455"/>
    </row>
    <row r="47456" spans="10:10" x14ac:dyDescent="0.3">
      <c r="J47456"/>
    </row>
    <row r="47457" spans="10:10" x14ac:dyDescent="0.3">
      <c r="J47457"/>
    </row>
    <row r="47458" spans="10:10" x14ac:dyDescent="0.3">
      <c r="J47458"/>
    </row>
    <row r="47459" spans="10:10" x14ac:dyDescent="0.3">
      <c r="J47459"/>
    </row>
    <row r="47460" spans="10:10" x14ac:dyDescent="0.3">
      <c r="J47460"/>
    </row>
    <row r="47461" spans="10:10" x14ac:dyDescent="0.3">
      <c r="J47461"/>
    </row>
    <row r="47462" spans="10:10" x14ac:dyDescent="0.3">
      <c r="J47462"/>
    </row>
    <row r="47463" spans="10:10" x14ac:dyDescent="0.3">
      <c r="J47463"/>
    </row>
    <row r="47464" spans="10:10" x14ac:dyDescent="0.3">
      <c r="J47464"/>
    </row>
    <row r="47465" spans="10:10" x14ac:dyDescent="0.3">
      <c r="J47465"/>
    </row>
    <row r="47466" spans="10:10" x14ac:dyDescent="0.3">
      <c r="J47466"/>
    </row>
    <row r="47467" spans="10:10" x14ac:dyDescent="0.3">
      <c r="J47467"/>
    </row>
    <row r="47468" spans="10:10" x14ac:dyDescent="0.3">
      <c r="J47468"/>
    </row>
    <row r="47469" spans="10:10" x14ac:dyDescent="0.3">
      <c r="J47469"/>
    </row>
    <row r="47470" spans="10:10" x14ac:dyDescent="0.3">
      <c r="J47470"/>
    </row>
    <row r="47471" spans="10:10" x14ac:dyDescent="0.3">
      <c r="J47471"/>
    </row>
    <row r="47472" spans="10:10" x14ac:dyDescent="0.3">
      <c r="J47472"/>
    </row>
    <row r="47473" spans="10:10" x14ac:dyDescent="0.3">
      <c r="J47473"/>
    </row>
    <row r="47474" spans="10:10" x14ac:dyDescent="0.3">
      <c r="J47474"/>
    </row>
    <row r="47475" spans="10:10" x14ac:dyDescent="0.3">
      <c r="J47475"/>
    </row>
    <row r="47476" spans="10:10" x14ac:dyDescent="0.3">
      <c r="J47476"/>
    </row>
    <row r="47477" spans="10:10" x14ac:dyDescent="0.3">
      <c r="J47477"/>
    </row>
    <row r="47478" spans="10:10" x14ac:dyDescent="0.3">
      <c r="J47478"/>
    </row>
    <row r="47479" spans="10:10" x14ac:dyDescent="0.3">
      <c r="J47479"/>
    </row>
    <row r="47480" spans="10:10" x14ac:dyDescent="0.3">
      <c r="J47480"/>
    </row>
    <row r="47481" spans="10:10" x14ac:dyDescent="0.3">
      <c r="J47481"/>
    </row>
    <row r="47482" spans="10:10" x14ac:dyDescent="0.3">
      <c r="J47482"/>
    </row>
    <row r="47483" spans="10:10" x14ac:dyDescent="0.3">
      <c r="J47483"/>
    </row>
    <row r="47484" spans="10:10" x14ac:dyDescent="0.3">
      <c r="J47484"/>
    </row>
    <row r="47485" spans="10:10" x14ac:dyDescent="0.3">
      <c r="J47485"/>
    </row>
    <row r="47486" spans="10:10" x14ac:dyDescent="0.3">
      <c r="J47486"/>
    </row>
    <row r="47487" spans="10:10" x14ac:dyDescent="0.3">
      <c r="J47487"/>
    </row>
    <row r="47488" spans="10:10" x14ac:dyDescent="0.3">
      <c r="J47488"/>
    </row>
    <row r="47489" spans="10:10" x14ac:dyDescent="0.3">
      <c r="J47489"/>
    </row>
    <row r="47490" spans="10:10" x14ac:dyDescent="0.3">
      <c r="J47490"/>
    </row>
    <row r="47491" spans="10:10" x14ac:dyDescent="0.3">
      <c r="J47491"/>
    </row>
    <row r="47492" spans="10:10" x14ac:dyDescent="0.3">
      <c r="J47492"/>
    </row>
    <row r="47493" spans="10:10" x14ac:dyDescent="0.3">
      <c r="J47493"/>
    </row>
    <row r="47494" spans="10:10" x14ac:dyDescent="0.3">
      <c r="J47494"/>
    </row>
    <row r="47495" spans="10:10" x14ac:dyDescent="0.3">
      <c r="J47495"/>
    </row>
    <row r="47496" spans="10:10" x14ac:dyDescent="0.3">
      <c r="J47496"/>
    </row>
    <row r="47497" spans="10:10" x14ac:dyDescent="0.3">
      <c r="J47497"/>
    </row>
    <row r="47498" spans="10:10" x14ac:dyDescent="0.3">
      <c r="J47498"/>
    </row>
    <row r="47499" spans="10:10" x14ac:dyDescent="0.3">
      <c r="J47499"/>
    </row>
    <row r="47500" spans="10:10" x14ac:dyDescent="0.3">
      <c r="J47500"/>
    </row>
    <row r="47501" spans="10:10" x14ac:dyDescent="0.3">
      <c r="J47501"/>
    </row>
    <row r="47502" spans="10:10" x14ac:dyDescent="0.3">
      <c r="J47502"/>
    </row>
    <row r="47503" spans="10:10" x14ac:dyDescent="0.3">
      <c r="J47503"/>
    </row>
    <row r="47504" spans="10:10" x14ac:dyDescent="0.3">
      <c r="J47504"/>
    </row>
    <row r="47505" spans="10:10" x14ac:dyDescent="0.3">
      <c r="J47505"/>
    </row>
    <row r="47506" spans="10:10" x14ac:dyDescent="0.3">
      <c r="J47506"/>
    </row>
    <row r="47507" spans="10:10" x14ac:dyDescent="0.3">
      <c r="J47507"/>
    </row>
    <row r="47508" spans="10:10" x14ac:dyDescent="0.3">
      <c r="J47508"/>
    </row>
    <row r="47509" spans="10:10" x14ac:dyDescent="0.3">
      <c r="J47509"/>
    </row>
    <row r="47510" spans="10:10" x14ac:dyDescent="0.3">
      <c r="J47510"/>
    </row>
    <row r="47511" spans="10:10" x14ac:dyDescent="0.3">
      <c r="J47511"/>
    </row>
    <row r="47512" spans="10:10" x14ac:dyDescent="0.3">
      <c r="J47512"/>
    </row>
    <row r="47513" spans="10:10" x14ac:dyDescent="0.3">
      <c r="J47513"/>
    </row>
    <row r="47514" spans="10:10" x14ac:dyDescent="0.3">
      <c r="J47514"/>
    </row>
    <row r="47515" spans="10:10" x14ac:dyDescent="0.3">
      <c r="J47515"/>
    </row>
    <row r="47516" spans="10:10" x14ac:dyDescent="0.3">
      <c r="J47516"/>
    </row>
    <row r="47517" spans="10:10" x14ac:dyDescent="0.3">
      <c r="J47517"/>
    </row>
    <row r="47518" spans="10:10" x14ac:dyDescent="0.3">
      <c r="J47518"/>
    </row>
    <row r="47519" spans="10:10" x14ac:dyDescent="0.3">
      <c r="J47519"/>
    </row>
    <row r="47520" spans="10:10" x14ac:dyDescent="0.3">
      <c r="J47520"/>
    </row>
    <row r="47521" spans="10:10" x14ac:dyDescent="0.3">
      <c r="J47521"/>
    </row>
    <row r="47522" spans="10:10" x14ac:dyDescent="0.3">
      <c r="J47522"/>
    </row>
    <row r="47523" spans="10:10" x14ac:dyDescent="0.3">
      <c r="J47523"/>
    </row>
    <row r="47524" spans="10:10" x14ac:dyDescent="0.3">
      <c r="J47524"/>
    </row>
    <row r="47525" spans="10:10" x14ac:dyDescent="0.3">
      <c r="J47525"/>
    </row>
    <row r="47526" spans="10:10" x14ac:dyDescent="0.3">
      <c r="J47526"/>
    </row>
    <row r="47527" spans="10:10" x14ac:dyDescent="0.3">
      <c r="J47527"/>
    </row>
    <row r="47528" spans="10:10" x14ac:dyDescent="0.3">
      <c r="J47528"/>
    </row>
    <row r="47529" spans="10:10" x14ac:dyDescent="0.3">
      <c r="J47529"/>
    </row>
    <row r="47530" spans="10:10" x14ac:dyDescent="0.3">
      <c r="J47530"/>
    </row>
    <row r="47531" spans="10:10" x14ac:dyDescent="0.3">
      <c r="J47531"/>
    </row>
    <row r="47532" spans="10:10" x14ac:dyDescent="0.3">
      <c r="J47532"/>
    </row>
    <row r="47533" spans="10:10" x14ac:dyDescent="0.3">
      <c r="J47533"/>
    </row>
    <row r="47534" spans="10:10" x14ac:dyDescent="0.3">
      <c r="J47534"/>
    </row>
    <row r="47535" spans="10:10" x14ac:dyDescent="0.3">
      <c r="J47535"/>
    </row>
    <row r="47536" spans="10:10" x14ac:dyDescent="0.3">
      <c r="J47536"/>
    </row>
    <row r="47537" spans="10:10" x14ac:dyDescent="0.3">
      <c r="J47537"/>
    </row>
    <row r="47538" spans="10:10" x14ac:dyDescent="0.3">
      <c r="J47538"/>
    </row>
    <row r="47539" spans="10:10" x14ac:dyDescent="0.3">
      <c r="J47539"/>
    </row>
    <row r="47540" spans="10:10" x14ac:dyDescent="0.3">
      <c r="J47540"/>
    </row>
    <row r="47541" spans="10:10" x14ac:dyDescent="0.3">
      <c r="J47541"/>
    </row>
    <row r="47542" spans="10:10" x14ac:dyDescent="0.3">
      <c r="J47542"/>
    </row>
    <row r="47543" spans="10:10" x14ac:dyDescent="0.3">
      <c r="J47543"/>
    </row>
    <row r="47544" spans="10:10" x14ac:dyDescent="0.3">
      <c r="J47544"/>
    </row>
    <row r="47545" spans="10:10" x14ac:dyDescent="0.3">
      <c r="J47545"/>
    </row>
    <row r="47546" spans="10:10" x14ac:dyDescent="0.3">
      <c r="J47546"/>
    </row>
    <row r="47547" spans="10:10" x14ac:dyDescent="0.3">
      <c r="J47547"/>
    </row>
    <row r="47548" spans="10:10" x14ac:dyDescent="0.3">
      <c r="J47548"/>
    </row>
    <row r="47549" spans="10:10" x14ac:dyDescent="0.3">
      <c r="J47549"/>
    </row>
    <row r="47550" spans="10:10" x14ac:dyDescent="0.3">
      <c r="J47550"/>
    </row>
    <row r="47551" spans="10:10" x14ac:dyDescent="0.3">
      <c r="J47551"/>
    </row>
    <row r="47552" spans="10:10" x14ac:dyDescent="0.3">
      <c r="J47552"/>
    </row>
    <row r="47553" spans="10:10" x14ac:dyDescent="0.3">
      <c r="J47553"/>
    </row>
    <row r="47554" spans="10:10" x14ac:dyDescent="0.3">
      <c r="J47554"/>
    </row>
    <row r="47555" spans="10:10" x14ac:dyDescent="0.3">
      <c r="J47555"/>
    </row>
    <row r="47556" spans="10:10" x14ac:dyDescent="0.3">
      <c r="J47556"/>
    </row>
    <row r="47557" spans="10:10" x14ac:dyDescent="0.3">
      <c r="J47557"/>
    </row>
    <row r="47558" spans="10:10" x14ac:dyDescent="0.3">
      <c r="J47558"/>
    </row>
    <row r="47559" spans="10:10" x14ac:dyDescent="0.3">
      <c r="J47559"/>
    </row>
    <row r="47560" spans="10:10" x14ac:dyDescent="0.3">
      <c r="J47560"/>
    </row>
    <row r="47561" spans="10:10" x14ac:dyDescent="0.3">
      <c r="J47561"/>
    </row>
    <row r="47562" spans="10:10" x14ac:dyDescent="0.3">
      <c r="J47562"/>
    </row>
    <row r="47563" spans="10:10" x14ac:dyDescent="0.3">
      <c r="J47563"/>
    </row>
    <row r="47564" spans="10:10" x14ac:dyDescent="0.3">
      <c r="J47564"/>
    </row>
    <row r="47565" spans="10:10" x14ac:dyDescent="0.3">
      <c r="J47565"/>
    </row>
    <row r="47566" spans="10:10" x14ac:dyDescent="0.3">
      <c r="J47566"/>
    </row>
    <row r="47567" spans="10:10" x14ac:dyDescent="0.3">
      <c r="J47567"/>
    </row>
    <row r="47568" spans="10:10" x14ac:dyDescent="0.3">
      <c r="J47568"/>
    </row>
    <row r="47569" spans="10:10" x14ac:dyDescent="0.3">
      <c r="J47569"/>
    </row>
    <row r="47570" spans="10:10" x14ac:dyDescent="0.3">
      <c r="J47570"/>
    </row>
    <row r="47571" spans="10:10" x14ac:dyDescent="0.3">
      <c r="J47571"/>
    </row>
    <row r="47572" spans="10:10" x14ac:dyDescent="0.3">
      <c r="J47572"/>
    </row>
    <row r="47573" spans="10:10" x14ac:dyDescent="0.3">
      <c r="J47573"/>
    </row>
    <row r="47574" spans="10:10" x14ac:dyDescent="0.3">
      <c r="J47574"/>
    </row>
    <row r="47575" spans="10:10" x14ac:dyDescent="0.3">
      <c r="J47575"/>
    </row>
    <row r="47576" spans="10:10" x14ac:dyDescent="0.3">
      <c r="J47576"/>
    </row>
    <row r="47577" spans="10:10" x14ac:dyDescent="0.3">
      <c r="J47577"/>
    </row>
    <row r="47578" spans="10:10" x14ac:dyDescent="0.3">
      <c r="J47578"/>
    </row>
    <row r="47579" spans="10:10" x14ac:dyDescent="0.3">
      <c r="J47579"/>
    </row>
    <row r="47580" spans="10:10" x14ac:dyDescent="0.3">
      <c r="J47580"/>
    </row>
    <row r="47581" spans="10:10" x14ac:dyDescent="0.3">
      <c r="J47581"/>
    </row>
    <row r="47582" spans="10:10" x14ac:dyDescent="0.3">
      <c r="J47582"/>
    </row>
    <row r="47583" spans="10:10" x14ac:dyDescent="0.3">
      <c r="J47583"/>
    </row>
    <row r="47584" spans="10:10" x14ac:dyDescent="0.3">
      <c r="J47584"/>
    </row>
    <row r="47585" spans="10:10" x14ac:dyDescent="0.3">
      <c r="J47585"/>
    </row>
    <row r="47586" spans="10:10" x14ac:dyDescent="0.3">
      <c r="J47586"/>
    </row>
    <row r="47587" spans="10:10" x14ac:dyDescent="0.3">
      <c r="J47587"/>
    </row>
    <row r="47588" spans="10:10" x14ac:dyDescent="0.3">
      <c r="J47588"/>
    </row>
    <row r="47589" spans="10:10" x14ac:dyDescent="0.3">
      <c r="J47589"/>
    </row>
    <row r="47590" spans="10:10" x14ac:dyDescent="0.3">
      <c r="J47590"/>
    </row>
    <row r="47591" spans="10:10" x14ac:dyDescent="0.3">
      <c r="J47591"/>
    </row>
    <row r="47592" spans="10:10" x14ac:dyDescent="0.3">
      <c r="J47592"/>
    </row>
    <row r="47593" spans="10:10" x14ac:dyDescent="0.3">
      <c r="J47593"/>
    </row>
    <row r="47594" spans="10:10" x14ac:dyDescent="0.3">
      <c r="J47594"/>
    </row>
    <row r="47595" spans="10:10" x14ac:dyDescent="0.3">
      <c r="J47595"/>
    </row>
    <row r="47596" spans="10:10" x14ac:dyDescent="0.3">
      <c r="J47596"/>
    </row>
    <row r="47597" spans="10:10" x14ac:dyDescent="0.3">
      <c r="J47597"/>
    </row>
    <row r="47598" spans="10:10" x14ac:dyDescent="0.3">
      <c r="J47598"/>
    </row>
    <row r="47599" spans="10:10" x14ac:dyDescent="0.3">
      <c r="J47599"/>
    </row>
    <row r="47600" spans="10:10" x14ac:dyDescent="0.3">
      <c r="J47600"/>
    </row>
    <row r="47601" spans="10:10" x14ac:dyDescent="0.3">
      <c r="J47601"/>
    </row>
    <row r="47602" spans="10:10" x14ac:dyDescent="0.3">
      <c r="J47602"/>
    </row>
    <row r="47603" spans="10:10" x14ac:dyDescent="0.3">
      <c r="J47603"/>
    </row>
    <row r="47604" spans="10:10" x14ac:dyDescent="0.3">
      <c r="J47604"/>
    </row>
    <row r="47605" spans="10:10" x14ac:dyDescent="0.3">
      <c r="J47605"/>
    </row>
    <row r="47606" spans="10:10" x14ac:dyDescent="0.3">
      <c r="J47606"/>
    </row>
    <row r="47607" spans="10:10" x14ac:dyDescent="0.3">
      <c r="J47607"/>
    </row>
    <row r="47608" spans="10:10" x14ac:dyDescent="0.3">
      <c r="J47608"/>
    </row>
    <row r="47609" spans="10:10" x14ac:dyDescent="0.3">
      <c r="J47609"/>
    </row>
    <row r="47610" spans="10:10" x14ac:dyDescent="0.3">
      <c r="J47610"/>
    </row>
    <row r="47611" spans="10:10" x14ac:dyDescent="0.3">
      <c r="J47611"/>
    </row>
    <row r="47612" spans="10:10" x14ac:dyDescent="0.3">
      <c r="J47612"/>
    </row>
    <row r="47613" spans="10:10" x14ac:dyDescent="0.3">
      <c r="J47613"/>
    </row>
    <row r="47614" spans="10:10" x14ac:dyDescent="0.3">
      <c r="J47614"/>
    </row>
    <row r="47615" spans="10:10" x14ac:dyDescent="0.3">
      <c r="J47615"/>
    </row>
    <row r="47616" spans="10:10" x14ac:dyDescent="0.3">
      <c r="J47616"/>
    </row>
    <row r="47617" spans="10:10" x14ac:dyDescent="0.3">
      <c r="J47617"/>
    </row>
    <row r="47618" spans="10:10" x14ac:dyDescent="0.3">
      <c r="J47618"/>
    </row>
    <row r="47619" spans="10:10" x14ac:dyDescent="0.3">
      <c r="J47619"/>
    </row>
    <row r="47620" spans="10:10" x14ac:dyDescent="0.3">
      <c r="J47620"/>
    </row>
    <row r="47621" spans="10:10" x14ac:dyDescent="0.3">
      <c r="J47621"/>
    </row>
    <row r="47622" spans="10:10" x14ac:dyDescent="0.3">
      <c r="J47622"/>
    </row>
    <row r="47623" spans="10:10" x14ac:dyDescent="0.3">
      <c r="J47623"/>
    </row>
    <row r="47624" spans="10:10" x14ac:dyDescent="0.3">
      <c r="J47624"/>
    </row>
    <row r="47625" spans="10:10" x14ac:dyDescent="0.3">
      <c r="J47625"/>
    </row>
    <row r="47626" spans="10:10" x14ac:dyDescent="0.3">
      <c r="J47626"/>
    </row>
    <row r="47627" spans="10:10" x14ac:dyDescent="0.3">
      <c r="J47627"/>
    </row>
    <row r="47628" spans="10:10" x14ac:dyDescent="0.3">
      <c r="J47628"/>
    </row>
    <row r="47629" spans="10:10" x14ac:dyDescent="0.3">
      <c r="J47629"/>
    </row>
    <row r="47630" spans="10:10" x14ac:dyDescent="0.3">
      <c r="J47630"/>
    </row>
    <row r="47631" spans="10:10" x14ac:dyDescent="0.3">
      <c r="J47631"/>
    </row>
    <row r="47632" spans="10:10" x14ac:dyDescent="0.3">
      <c r="J47632"/>
    </row>
    <row r="47633" spans="10:10" x14ac:dyDescent="0.3">
      <c r="J47633"/>
    </row>
    <row r="47634" spans="10:10" x14ac:dyDescent="0.3">
      <c r="J47634"/>
    </row>
    <row r="47635" spans="10:10" x14ac:dyDescent="0.3">
      <c r="J47635"/>
    </row>
    <row r="47636" spans="10:10" x14ac:dyDescent="0.3">
      <c r="J47636"/>
    </row>
    <row r="47637" spans="10:10" x14ac:dyDescent="0.3">
      <c r="J47637"/>
    </row>
    <row r="47638" spans="10:10" x14ac:dyDescent="0.3">
      <c r="J47638"/>
    </row>
    <row r="47639" spans="10:10" x14ac:dyDescent="0.3">
      <c r="J47639"/>
    </row>
    <row r="47640" spans="10:10" x14ac:dyDescent="0.3">
      <c r="J47640"/>
    </row>
    <row r="47641" spans="10:10" x14ac:dyDescent="0.3">
      <c r="J47641"/>
    </row>
    <row r="47642" spans="10:10" x14ac:dyDescent="0.3">
      <c r="J47642"/>
    </row>
    <row r="47643" spans="10:10" x14ac:dyDescent="0.3">
      <c r="J47643"/>
    </row>
    <row r="47644" spans="10:10" x14ac:dyDescent="0.3">
      <c r="J47644"/>
    </row>
    <row r="47645" spans="10:10" x14ac:dyDescent="0.3">
      <c r="J47645"/>
    </row>
    <row r="47646" spans="10:10" x14ac:dyDescent="0.3">
      <c r="J47646"/>
    </row>
    <row r="47647" spans="10:10" x14ac:dyDescent="0.3">
      <c r="J47647"/>
    </row>
    <row r="47648" spans="10:10" x14ac:dyDescent="0.3">
      <c r="J47648"/>
    </row>
    <row r="47649" spans="10:10" x14ac:dyDescent="0.3">
      <c r="J47649"/>
    </row>
    <row r="47650" spans="10:10" x14ac:dyDescent="0.3">
      <c r="J47650"/>
    </row>
    <row r="47651" spans="10:10" x14ac:dyDescent="0.3">
      <c r="J47651"/>
    </row>
    <row r="47652" spans="10:10" x14ac:dyDescent="0.3">
      <c r="J47652"/>
    </row>
    <row r="47653" spans="10:10" x14ac:dyDescent="0.3">
      <c r="J47653"/>
    </row>
    <row r="47654" spans="10:10" x14ac:dyDescent="0.3">
      <c r="J47654"/>
    </row>
    <row r="47655" spans="10:10" x14ac:dyDescent="0.3">
      <c r="J47655"/>
    </row>
    <row r="47656" spans="10:10" x14ac:dyDescent="0.3">
      <c r="J47656"/>
    </row>
    <row r="47657" spans="10:10" x14ac:dyDescent="0.3">
      <c r="J47657"/>
    </row>
    <row r="47658" spans="10:10" x14ac:dyDescent="0.3">
      <c r="J47658"/>
    </row>
    <row r="47659" spans="10:10" x14ac:dyDescent="0.3">
      <c r="J47659"/>
    </row>
    <row r="47660" spans="10:10" x14ac:dyDescent="0.3">
      <c r="J47660"/>
    </row>
    <row r="47661" spans="10:10" x14ac:dyDescent="0.3">
      <c r="J47661"/>
    </row>
    <row r="47662" spans="10:10" x14ac:dyDescent="0.3">
      <c r="J47662"/>
    </row>
    <row r="47663" spans="10:10" x14ac:dyDescent="0.3">
      <c r="J47663"/>
    </row>
    <row r="47664" spans="10:10" x14ac:dyDescent="0.3">
      <c r="J47664"/>
    </row>
    <row r="47665" spans="10:10" x14ac:dyDescent="0.3">
      <c r="J47665"/>
    </row>
    <row r="47666" spans="10:10" x14ac:dyDescent="0.3">
      <c r="J47666"/>
    </row>
    <row r="47667" spans="10:10" x14ac:dyDescent="0.3">
      <c r="J47667"/>
    </row>
    <row r="47668" spans="10:10" x14ac:dyDescent="0.3">
      <c r="J47668"/>
    </row>
    <row r="47669" spans="10:10" x14ac:dyDescent="0.3">
      <c r="J47669"/>
    </row>
    <row r="47670" spans="10:10" x14ac:dyDescent="0.3">
      <c r="J47670"/>
    </row>
    <row r="47671" spans="10:10" x14ac:dyDescent="0.3">
      <c r="J47671"/>
    </row>
    <row r="47672" spans="10:10" x14ac:dyDescent="0.3">
      <c r="J47672"/>
    </row>
    <row r="47673" spans="10:10" x14ac:dyDescent="0.3">
      <c r="J47673"/>
    </row>
    <row r="47674" spans="10:10" x14ac:dyDescent="0.3">
      <c r="J47674"/>
    </row>
    <row r="47675" spans="10:10" x14ac:dyDescent="0.3">
      <c r="J47675"/>
    </row>
    <row r="47676" spans="10:10" x14ac:dyDescent="0.3">
      <c r="J47676"/>
    </row>
    <row r="47677" spans="10:10" x14ac:dyDescent="0.3">
      <c r="J47677"/>
    </row>
    <row r="47678" spans="10:10" x14ac:dyDescent="0.3">
      <c r="J47678"/>
    </row>
    <row r="47679" spans="10:10" x14ac:dyDescent="0.3">
      <c r="J47679"/>
    </row>
    <row r="47680" spans="10:10" x14ac:dyDescent="0.3">
      <c r="J47680"/>
    </row>
    <row r="47681" spans="10:10" x14ac:dyDescent="0.3">
      <c r="J47681"/>
    </row>
    <row r="47682" spans="10:10" x14ac:dyDescent="0.3">
      <c r="J47682"/>
    </row>
    <row r="47683" spans="10:10" x14ac:dyDescent="0.3">
      <c r="J47683"/>
    </row>
    <row r="47684" spans="10:10" x14ac:dyDescent="0.3">
      <c r="J47684"/>
    </row>
    <row r="47685" spans="10:10" x14ac:dyDescent="0.3">
      <c r="J47685"/>
    </row>
    <row r="47686" spans="10:10" x14ac:dyDescent="0.3">
      <c r="J47686"/>
    </row>
    <row r="47687" spans="10:10" x14ac:dyDescent="0.3">
      <c r="J47687"/>
    </row>
    <row r="47688" spans="10:10" x14ac:dyDescent="0.3">
      <c r="J47688"/>
    </row>
    <row r="47689" spans="10:10" x14ac:dyDescent="0.3">
      <c r="J47689"/>
    </row>
    <row r="47690" spans="10:10" x14ac:dyDescent="0.3">
      <c r="J47690"/>
    </row>
    <row r="47691" spans="10:10" x14ac:dyDescent="0.3">
      <c r="J47691"/>
    </row>
    <row r="47692" spans="10:10" x14ac:dyDescent="0.3">
      <c r="J47692"/>
    </row>
    <row r="47693" spans="10:10" x14ac:dyDescent="0.3">
      <c r="J47693"/>
    </row>
    <row r="47694" spans="10:10" x14ac:dyDescent="0.3">
      <c r="J47694"/>
    </row>
    <row r="47695" spans="10:10" x14ac:dyDescent="0.3">
      <c r="J47695"/>
    </row>
    <row r="47696" spans="10:10" x14ac:dyDescent="0.3">
      <c r="J47696"/>
    </row>
    <row r="47697" spans="10:10" x14ac:dyDescent="0.3">
      <c r="J47697"/>
    </row>
    <row r="47698" spans="10:10" x14ac:dyDescent="0.3">
      <c r="J47698"/>
    </row>
    <row r="47699" spans="10:10" x14ac:dyDescent="0.3">
      <c r="J47699"/>
    </row>
    <row r="47700" spans="10:10" x14ac:dyDescent="0.3">
      <c r="J47700"/>
    </row>
    <row r="47701" spans="10:10" x14ac:dyDescent="0.3">
      <c r="J47701"/>
    </row>
    <row r="47702" spans="10:10" x14ac:dyDescent="0.3">
      <c r="J47702"/>
    </row>
    <row r="47703" spans="10:10" x14ac:dyDescent="0.3">
      <c r="J47703"/>
    </row>
    <row r="47704" spans="10:10" x14ac:dyDescent="0.3">
      <c r="J47704"/>
    </row>
    <row r="47705" spans="10:10" x14ac:dyDescent="0.3">
      <c r="J47705"/>
    </row>
    <row r="47706" spans="10:10" x14ac:dyDescent="0.3">
      <c r="J47706"/>
    </row>
    <row r="47707" spans="10:10" x14ac:dyDescent="0.3">
      <c r="J47707"/>
    </row>
    <row r="47708" spans="10:10" x14ac:dyDescent="0.3">
      <c r="J47708"/>
    </row>
    <row r="47709" spans="10:10" x14ac:dyDescent="0.3">
      <c r="J47709"/>
    </row>
    <row r="47710" spans="10:10" x14ac:dyDescent="0.3">
      <c r="J47710"/>
    </row>
    <row r="47711" spans="10:10" x14ac:dyDescent="0.3">
      <c r="J47711"/>
    </row>
    <row r="47712" spans="10:10" x14ac:dyDescent="0.3">
      <c r="J47712"/>
    </row>
    <row r="47713" spans="10:10" x14ac:dyDescent="0.3">
      <c r="J47713"/>
    </row>
    <row r="47714" spans="10:10" x14ac:dyDescent="0.3">
      <c r="J47714"/>
    </row>
    <row r="47715" spans="10:10" x14ac:dyDescent="0.3">
      <c r="J47715"/>
    </row>
    <row r="47716" spans="10:10" x14ac:dyDescent="0.3">
      <c r="J47716"/>
    </row>
    <row r="47717" spans="10:10" x14ac:dyDescent="0.3">
      <c r="J47717"/>
    </row>
    <row r="47718" spans="10:10" x14ac:dyDescent="0.3">
      <c r="J47718"/>
    </row>
    <row r="47719" spans="10:10" x14ac:dyDescent="0.3">
      <c r="J47719"/>
    </row>
    <row r="47720" spans="10:10" x14ac:dyDescent="0.3">
      <c r="J47720"/>
    </row>
    <row r="47721" spans="10:10" x14ac:dyDescent="0.3">
      <c r="J47721"/>
    </row>
    <row r="47722" spans="10:10" x14ac:dyDescent="0.3">
      <c r="J47722"/>
    </row>
    <row r="47723" spans="10:10" x14ac:dyDescent="0.3">
      <c r="J47723"/>
    </row>
    <row r="47724" spans="10:10" x14ac:dyDescent="0.3">
      <c r="J47724"/>
    </row>
    <row r="47725" spans="10:10" x14ac:dyDescent="0.3">
      <c r="J47725"/>
    </row>
    <row r="47726" spans="10:10" x14ac:dyDescent="0.3">
      <c r="J47726"/>
    </row>
    <row r="47727" spans="10:10" x14ac:dyDescent="0.3">
      <c r="J47727"/>
    </row>
    <row r="47728" spans="10:10" x14ac:dyDescent="0.3">
      <c r="J47728"/>
    </row>
    <row r="47729" spans="10:10" x14ac:dyDescent="0.3">
      <c r="J47729"/>
    </row>
    <row r="47730" spans="10:10" x14ac:dyDescent="0.3">
      <c r="J47730"/>
    </row>
    <row r="47731" spans="10:10" x14ac:dyDescent="0.3">
      <c r="J47731"/>
    </row>
    <row r="47732" spans="10:10" x14ac:dyDescent="0.3">
      <c r="J47732"/>
    </row>
    <row r="47733" spans="10:10" x14ac:dyDescent="0.3">
      <c r="J47733"/>
    </row>
    <row r="47734" spans="10:10" x14ac:dyDescent="0.3">
      <c r="J47734"/>
    </row>
    <row r="47735" spans="10:10" x14ac:dyDescent="0.3">
      <c r="J47735"/>
    </row>
    <row r="47736" spans="10:10" x14ac:dyDescent="0.3">
      <c r="J47736"/>
    </row>
    <row r="47737" spans="10:10" x14ac:dyDescent="0.3">
      <c r="J47737"/>
    </row>
    <row r="47738" spans="10:10" x14ac:dyDescent="0.3">
      <c r="J47738"/>
    </row>
    <row r="47739" spans="10:10" x14ac:dyDescent="0.3">
      <c r="J47739"/>
    </row>
    <row r="47740" spans="10:10" x14ac:dyDescent="0.3">
      <c r="J47740"/>
    </row>
    <row r="47741" spans="10:10" x14ac:dyDescent="0.3">
      <c r="J47741"/>
    </row>
    <row r="47742" spans="10:10" x14ac:dyDescent="0.3">
      <c r="J47742"/>
    </row>
    <row r="47743" spans="10:10" x14ac:dyDescent="0.3">
      <c r="J47743"/>
    </row>
    <row r="47744" spans="10:10" x14ac:dyDescent="0.3">
      <c r="J47744"/>
    </row>
    <row r="47745" spans="10:10" x14ac:dyDescent="0.3">
      <c r="J47745"/>
    </row>
    <row r="47746" spans="10:10" x14ac:dyDescent="0.3">
      <c r="J47746"/>
    </row>
    <row r="47747" spans="10:10" x14ac:dyDescent="0.3">
      <c r="J47747"/>
    </row>
    <row r="47748" spans="10:10" x14ac:dyDescent="0.3">
      <c r="J47748"/>
    </row>
    <row r="47749" spans="10:10" x14ac:dyDescent="0.3">
      <c r="J47749"/>
    </row>
    <row r="47750" spans="10:10" x14ac:dyDescent="0.3">
      <c r="J47750"/>
    </row>
    <row r="47751" spans="10:10" x14ac:dyDescent="0.3">
      <c r="J47751"/>
    </row>
    <row r="47752" spans="10:10" x14ac:dyDescent="0.3">
      <c r="J47752"/>
    </row>
    <row r="47753" spans="10:10" x14ac:dyDescent="0.3">
      <c r="J47753"/>
    </row>
    <row r="47754" spans="10:10" x14ac:dyDescent="0.3">
      <c r="J47754"/>
    </row>
    <row r="47755" spans="10:10" x14ac:dyDescent="0.3">
      <c r="J47755"/>
    </row>
    <row r="47756" spans="10:10" x14ac:dyDescent="0.3">
      <c r="J47756"/>
    </row>
    <row r="47757" spans="10:10" x14ac:dyDescent="0.3">
      <c r="J47757"/>
    </row>
    <row r="47758" spans="10:10" x14ac:dyDescent="0.3">
      <c r="J47758"/>
    </row>
    <row r="47759" spans="10:10" x14ac:dyDescent="0.3">
      <c r="J47759"/>
    </row>
    <row r="47760" spans="10:10" x14ac:dyDescent="0.3">
      <c r="J47760"/>
    </row>
    <row r="47761" spans="10:10" x14ac:dyDescent="0.3">
      <c r="J47761"/>
    </row>
    <row r="47762" spans="10:10" x14ac:dyDescent="0.3">
      <c r="J47762"/>
    </row>
    <row r="47763" spans="10:10" x14ac:dyDescent="0.3">
      <c r="J47763"/>
    </row>
    <row r="47764" spans="10:10" x14ac:dyDescent="0.3">
      <c r="J47764"/>
    </row>
    <row r="47765" spans="10:10" x14ac:dyDescent="0.3">
      <c r="J47765"/>
    </row>
    <row r="47766" spans="10:10" x14ac:dyDescent="0.3">
      <c r="J47766"/>
    </row>
    <row r="47767" spans="10:10" x14ac:dyDescent="0.3">
      <c r="J47767"/>
    </row>
    <row r="47768" spans="10:10" x14ac:dyDescent="0.3">
      <c r="J47768"/>
    </row>
    <row r="47769" spans="10:10" x14ac:dyDescent="0.3">
      <c r="J47769"/>
    </row>
    <row r="47770" spans="10:10" x14ac:dyDescent="0.3">
      <c r="J47770"/>
    </row>
    <row r="47771" spans="10:10" x14ac:dyDescent="0.3">
      <c r="J47771"/>
    </row>
    <row r="47772" spans="10:10" x14ac:dyDescent="0.3">
      <c r="J47772"/>
    </row>
    <row r="47773" spans="10:10" x14ac:dyDescent="0.3">
      <c r="J47773"/>
    </row>
    <row r="47774" spans="10:10" x14ac:dyDescent="0.3">
      <c r="J47774"/>
    </row>
    <row r="47775" spans="10:10" x14ac:dyDescent="0.3">
      <c r="J47775"/>
    </row>
    <row r="47776" spans="10:10" x14ac:dyDescent="0.3">
      <c r="J47776"/>
    </row>
    <row r="47777" spans="10:10" x14ac:dyDescent="0.3">
      <c r="J47777"/>
    </row>
    <row r="47778" spans="10:10" x14ac:dyDescent="0.3">
      <c r="J47778"/>
    </row>
    <row r="47779" spans="10:10" x14ac:dyDescent="0.3">
      <c r="J47779"/>
    </row>
    <row r="47780" spans="10:10" x14ac:dyDescent="0.3">
      <c r="J47780"/>
    </row>
    <row r="47781" spans="10:10" x14ac:dyDescent="0.3">
      <c r="J47781"/>
    </row>
    <row r="47782" spans="10:10" x14ac:dyDescent="0.3">
      <c r="J47782"/>
    </row>
    <row r="47783" spans="10:10" x14ac:dyDescent="0.3">
      <c r="J47783"/>
    </row>
    <row r="47784" spans="10:10" x14ac:dyDescent="0.3">
      <c r="J47784"/>
    </row>
    <row r="47785" spans="10:10" x14ac:dyDescent="0.3">
      <c r="J47785"/>
    </row>
    <row r="47786" spans="10:10" x14ac:dyDescent="0.3">
      <c r="J47786"/>
    </row>
    <row r="47787" spans="10:10" x14ac:dyDescent="0.3">
      <c r="J47787"/>
    </row>
    <row r="47788" spans="10:10" x14ac:dyDescent="0.3">
      <c r="J47788"/>
    </row>
    <row r="47789" spans="10:10" x14ac:dyDescent="0.3">
      <c r="J47789"/>
    </row>
    <row r="47790" spans="10:10" x14ac:dyDescent="0.3">
      <c r="J47790"/>
    </row>
    <row r="47791" spans="10:10" x14ac:dyDescent="0.3">
      <c r="J47791"/>
    </row>
    <row r="47792" spans="10:10" x14ac:dyDescent="0.3">
      <c r="J47792"/>
    </row>
    <row r="47793" spans="10:10" x14ac:dyDescent="0.3">
      <c r="J47793"/>
    </row>
    <row r="47794" spans="10:10" x14ac:dyDescent="0.3">
      <c r="J47794"/>
    </row>
    <row r="47795" spans="10:10" x14ac:dyDescent="0.3">
      <c r="J47795"/>
    </row>
    <row r="47796" spans="10:10" x14ac:dyDescent="0.3">
      <c r="J47796"/>
    </row>
    <row r="47797" spans="10:10" x14ac:dyDescent="0.3">
      <c r="J47797"/>
    </row>
    <row r="47798" spans="10:10" x14ac:dyDescent="0.3">
      <c r="J47798"/>
    </row>
    <row r="47799" spans="10:10" x14ac:dyDescent="0.3">
      <c r="J47799"/>
    </row>
    <row r="47800" spans="10:10" x14ac:dyDescent="0.3">
      <c r="J47800"/>
    </row>
    <row r="47801" spans="10:10" x14ac:dyDescent="0.3">
      <c r="J47801"/>
    </row>
    <row r="47802" spans="10:10" x14ac:dyDescent="0.3">
      <c r="J47802"/>
    </row>
    <row r="47803" spans="10:10" x14ac:dyDescent="0.3">
      <c r="J47803"/>
    </row>
    <row r="47804" spans="10:10" x14ac:dyDescent="0.3">
      <c r="J47804"/>
    </row>
    <row r="47805" spans="10:10" x14ac:dyDescent="0.3">
      <c r="J47805"/>
    </row>
    <row r="47806" spans="10:10" x14ac:dyDescent="0.3">
      <c r="J47806"/>
    </row>
    <row r="47807" spans="10:10" x14ac:dyDescent="0.3">
      <c r="J47807"/>
    </row>
    <row r="47808" spans="10:10" x14ac:dyDescent="0.3">
      <c r="J47808"/>
    </row>
    <row r="47809" spans="10:10" x14ac:dyDescent="0.3">
      <c r="J47809"/>
    </row>
    <row r="47810" spans="10:10" x14ac:dyDescent="0.3">
      <c r="J47810"/>
    </row>
    <row r="47811" spans="10:10" x14ac:dyDescent="0.3">
      <c r="J47811"/>
    </row>
    <row r="47812" spans="10:10" x14ac:dyDescent="0.3">
      <c r="J47812"/>
    </row>
    <row r="47813" spans="10:10" x14ac:dyDescent="0.3">
      <c r="J47813"/>
    </row>
    <row r="47814" spans="10:10" x14ac:dyDescent="0.3">
      <c r="J47814"/>
    </row>
    <row r="47815" spans="10:10" x14ac:dyDescent="0.3">
      <c r="J47815"/>
    </row>
    <row r="47816" spans="10:10" x14ac:dyDescent="0.3">
      <c r="J47816"/>
    </row>
    <row r="47817" spans="10:10" x14ac:dyDescent="0.3">
      <c r="J47817"/>
    </row>
    <row r="47818" spans="10:10" x14ac:dyDescent="0.3">
      <c r="J47818"/>
    </row>
    <row r="47819" spans="10:10" x14ac:dyDescent="0.3">
      <c r="J47819"/>
    </row>
    <row r="47820" spans="10:10" x14ac:dyDescent="0.3">
      <c r="J47820"/>
    </row>
    <row r="47821" spans="10:10" x14ac:dyDescent="0.3">
      <c r="J47821"/>
    </row>
    <row r="47822" spans="10:10" x14ac:dyDescent="0.3">
      <c r="J47822"/>
    </row>
    <row r="47823" spans="10:10" x14ac:dyDescent="0.3">
      <c r="J47823"/>
    </row>
    <row r="47824" spans="10:10" x14ac:dyDescent="0.3">
      <c r="J47824"/>
    </row>
    <row r="47825" spans="10:10" x14ac:dyDescent="0.3">
      <c r="J47825"/>
    </row>
    <row r="47826" spans="10:10" x14ac:dyDescent="0.3">
      <c r="J47826"/>
    </row>
    <row r="47827" spans="10:10" x14ac:dyDescent="0.3">
      <c r="J47827"/>
    </row>
    <row r="47828" spans="10:10" x14ac:dyDescent="0.3">
      <c r="J47828"/>
    </row>
    <row r="47829" spans="10:10" x14ac:dyDescent="0.3">
      <c r="J47829"/>
    </row>
    <row r="47830" spans="10:10" x14ac:dyDescent="0.3">
      <c r="J47830"/>
    </row>
    <row r="47831" spans="10:10" x14ac:dyDescent="0.3">
      <c r="J47831"/>
    </row>
    <row r="47832" spans="10:10" x14ac:dyDescent="0.3">
      <c r="J47832"/>
    </row>
    <row r="47833" spans="10:10" x14ac:dyDescent="0.3">
      <c r="J47833"/>
    </row>
    <row r="47834" spans="10:10" x14ac:dyDescent="0.3">
      <c r="J47834"/>
    </row>
    <row r="47835" spans="10:10" x14ac:dyDescent="0.3">
      <c r="J47835"/>
    </row>
    <row r="47836" spans="10:10" x14ac:dyDescent="0.3">
      <c r="J47836"/>
    </row>
    <row r="47837" spans="10:10" x14ac:dyDescent="0.3">
      <c r="J47837"/>
    </row>
    <row r="47838" spans="10:10" x14ac:dyDescent="0.3">
      <c r="J47838"/>
    </row>
    <row r="47839" spans="10:10" x14ac:dyDescent="0.3">
      <c r="J47839"/>
    </row>
    <row r="47840" spans="10:10" x14ac:dyDescent="0.3">
      <c r="J47840"/>
    </row>
    <row r="47841" spans="10:10" x14ac:dyDescent="0.3">
      <c r="J47841"/>
    </row>
    <row r="47842" spans="10:10" x14ac:dyDescent="0.3">
      <c r="J47842"/>
    </row>
    <row r="47843" spans="10:10" x14ac:dyDescent="0.3">
      <c r="J47843"/>
    </row>
    <row r="47844" spans="10:10" x14ac:dyDescent="0.3">
      <c r="J47844"/>
    </row>
    <row r="47845" spans="10:10" x14ac:dyDescent="0.3">
      <c r="J47845"/>
    </row>
    <row r="47846" spans="10:10" x14ac:dyDescent="0.3">
      <c r="J47846"/>
    </row>
    <row r="47847" spans="10:10" x14ac:dyDescent="0.3">
      <c r="J47847"/>
    </row>
    <row r="47848" spans="10:10" x14ac:dyDescent="0.3">
      <c r="J47848"/>
    </row>
    <row r="47849" spans="10:10" x14ac:dyDescent="0.3">
      <c r="J47849"/>
    </row>
    <row r="47850" spans="10:10" x14ac:dyDescent="0.3">
      <c r="J47850"/>
    </row>
    <row r="47851" spans="10:10" x14ac:dyDescent="0.3">
      <c r="J47851"/>
    </row>
    <row r="47852" spans="10:10" x14ac:dyDescent="0.3">
      <c r="J47852"/>
    </row>
    <row r="47853" spans="10:10" x14ac:dyDescent="0.3">
      <c r="J47853"/>
    </row>
    <row r="47854" spans="10:10" x14ac:dyDescent="0.3">
      <c r="J47854"/>
    </row>
    <row r="47855" spans="10:10" x14ac:dyDescent="0.3">
      <c r="J47855"/>
    </row>
    <row r="47856" spans="10:10" x14ac:dyDescent="0.3">
      <c r="J47856"/>
    </row>
    <row r="47857" spans="10:10" x14ac:dyDescent="0.3">
      <c r="J47857"/>
    </row>
    <row r="47858" spans="10:10" x14ac:dyDescent="0.3">
      <c r="J47858"/>
    </row>
    <row r="47859" spans="10:10" x14ac:dyDescent="0.3">
      <c r="J47859"/>
    </row>
    <row r="47860" spans="10:10" x14ac:dyDescent="0.3">
      <c r="J47860"/>
    </row>
    <row r="47861" spans="10:10" x14ac:dyDescent="0.3">
      <c r="J47861"/>
    </row>
    <row r="47862" spans="10:10" x14ac:dyDescent="0.3">
      <c r="J47862"/>
    </row>
    <row r="47863" spans="10:10" x14ac:dyDescent="0.3">
      <c r="J47863"/>
    </row>
    <row r="47864" spans="10:10" x14ac:dyDescent="0.3">
      <c r="J47864"/>
    </row>
    <row r="47865" spans="10:10" x14ac:dyDescent="0.3">
      <c r="J47865"/>
    </row>
    <row r="47866" spans="10:10" x14ac:dyDescent="0.3">
      <c r="J47866"/>
    </row>
    <row r="47867" spans="10:10" x14ac:dyDescent="0.3">
      <c r="J47867"/>
    </row>
    <row r="47868" spans="10:10" x14ac:dyDescent="0.3">
      <c r="J47868"/>
    </row>
    <row r="47869" spans="10:10" x14ac:dyDescent="0.3">
      <c r="J47869"/>
    </row>
    <row r="47870" spans="10:10" x14ac:dyDescent="0.3">
      <c r="J47870"/>
    </row>
    <row r="47871" spans="10:10" x14ac:dyDescent="0.3">
      <c r="J47871"/>
    </row>
    <row r="47872" spans="10:10" x14ac:dyDescent="0.3">
      <c r="J47872"/>
    </row>
    <row r="47873" spans="10:10" x14ac:dyDescent="0.3">
      <c r="J47873"/>
    </row>
    <row r="47874" spans="10:10" x14ac:dyDescent="0.3">
      <c r="J47874"/>
    </row>
    <row r="47875" spans="10:10" x14ac:dyDescent="0.3">
      <c r="J47875"/>
    </row>
    <row r="47876" spans="10:10" x14ac:dyDescent="0.3">
      <c r="J47876"/>
    </row>
    <row r="47877" spans="10:10" x14ac:dyDescent="0.3">
      <c r="J47877"/>
    </row>
    <row r="47878" spans="10:10" x14ac:dyDescent="0.3">
      <c r="J47878"/>
    </row>
    <row r="47879" spans="10:10" x14ac:dyDescent="0.3">
      <c r="J47879"/>
    </row>
    <row r="47880" spans="10:10" x14ac:dyDescent="0.3">
      <c r="J47880"/>
    </row>
    <row r="47881" spans="10:10" x14ac:dyDescent="0.3">
      <c r="J47881"/>
    </row>
    <row r="47882" spans="10:10" x14ac:dyDescent="0.3">
      <c r="J47882"/>
    </row>
    <row r="47883" spans="10:10" x14ac:dyDescent="0.3">
      <c r="J47883"/>
    </row>
    <row r="47884" spans="10:10" x14ac:dyDescent="0.3">
      <c r="J47884"/>
    </row>
    <row r="47885" spans="10:10" x14ac:dyDescent="0.3">
      <c r="J47885"/>
    </row>
    <row r="47886" spans="10:10" x14ac:dyDescent="0.3">
      <c r="J47886"/>
    </row>
    <row r="47887" spans="10:10" x14ac:dyDescent="0.3">
      <c r="J47887"/>
    </row>
    <row r="47888" spans="10:10" x14ac:dyDescent="0.3">
      <c r="J47888"/>
    </row>
    <row r="47889" spans="10:10" x14ac:dyDescent="0.3">
      <c r="J47889"/>
    </row>
    <row r="47890" spans="10:10" x14ac:dyDescent="0.3">
      <c r="J47890"/>
    </row>
    <row r="47891" spans="10:10" x14ac:dyDescent="0.3">
      <c r="J47891"/>
    </row>
    <row r="47892" spans="10:10" x14ac:dyDescent="0.3">
      <c r="J47892"/>
    </row>
    <row r="47893" spans="10:10" x14ac:dyDescent="0.3">
      <c r="J47893"/>
    </row>
    <row r="47894" spans="10:10" x14ac:dyDescent="0.3">
      <c r="J47894"/>
    </row>
    <row r="47895" spans="10:10" x14ac:dyDescent="0.3">
      <c r="J47895"/>
    </row>
    <row r="47896" spans="10:10" x14ac:dyDescent="0.3">
      <c r="J47896"/>
    </row>
    <row r="47897" spans="10:10" x14ac:dyDescent="0.3">
      <c r="J47897"/>
    </row>
    <row r="47898" spans="10:10" x14ac:dyDescent="0.3">
      <c r="J47898"/>
    </row>
    <row r="47899" spans="10:10" x14ac:dyDescent="0.3">
      <c r="J47899"/>
    </row>
    <row r="47900" spans="10:10" x14ac:dyDescent="0.3">
      <c r="J47900"/>
    </row>
    <row r="47901" spans="10:10" x14ac:dyDescent="0.3">
      <c r="J47901"/>
    </row>
    <row r="47902" spans="10:10" x14ac:dyDescent="0.3">
      <c r="J47902"/>
    </row>
    <row r="47903" spans="10:10" x14ac:dyDescent="0.3">
      <c r="J47903"/>
    </row>
    <row r="47904" spans="10:10" x14ac:dyDescent="0.3">
      <c r="J47904"/>
    </row>
    <row r="47905" spans="10:10" x14ac:dyDescent="0.3">
      <c r="J47905"/>
    </row>
    <row r="47906" spans="10:10" x14ac:dyDescent="0.3">
      <c r="J47906"/>
    </row>
    <row r="47907" spans="10:10" x14ac:dyDescent="0.3">
      <c r="J47907"/>
    </row>
    <row r="47908" spans="10:10" x14ac:dyDescent="0.3">
      <c r="J47908"/>
    </row>
    <row r="47909" spans="10:10" x14ac:dyDescent="0.3">
      <c r="J47909"/>
    </row>
    <row r="47910" spans="10:10" x14ac:dyDescent="0.3">
      <c r="J47910"/>
    </row>
    <row r="47911" spans="10:10" x14ac:dyDescent="0.3">
      <c r="J47911"/>
    </row>
    <row r="47912" spans="10:10" x14ac:dyDescent="0.3">
      <c r="J47912"/>
    </row>
    <row r="47913" spans="10:10" x14ac:dyDescent="0.3">
      <c r="J47913"/>
    </row>
    <row r="47914" spans="10:10" x14ac:dyDescent="0.3">
      <c r="J47914"/>
    </row>
    <row r="47915" spans="10:10" x14ac:dyDescent="0.3">
      <c r="J47915"/>
    </row>
    <row r="47916" spans="10:10" x14ac:dyDescent="0.3">
      <c r="J47916"/>
    </row>
    <row r="47917" spans="10:10" x14ac:dyDescent="0.3">
      <c r="J47917"/>
    </row>
    <row r="47918" spans="10:10" x14ac:dyDescent="0.3">
      <c r="J47918"/>
    </row>
    <row r="47919" spans="10:10" x14ac:dyDescent="0.3">
      <c r="J47919"/>
    </row>
    <row r="47920" spans="10:10" x14ac:dyDescent="0.3">
      <c r="J47920"/>
    </row>
    <row r="47921" spans="10:10" x14ac:dyDescent="0.3">
      <c r="J47921"/>
    </row>
    <row r="47922" spans="10:10" x14ac:dyDescent="0.3">
      <c r="J47922"/>
    </row>
    <row r="47923" spans="10:10" x14ac:dyDescent="0.3">
      <c r="J47923"/>
    </row>
    <row r="47924" spans="10:10" x14ac:dyDescent="0.3">
      <c r="J47924"/>
    </row>
    <row r="47925" spans="10:10" x14ac:dyDescent="0.3">
      <c r="J47925"/>
    </row>
    <row r="47926" spans="10:10" x14ac:dyDescent="0.3">
      <c r="J47926"/>
    </row>
    <row r="47927" spans="10:10" x14ac:dyDescent="0.3">
      <c r="J47927"/>
    </row>
    <row r="47928" spans="10:10" x14ac:dyDescent="0.3">
      <c r="J47928"/>
    </row>
    <row r="47929" spans="10:10" x14ac:dyDescent="0.3">
      <c r="J47929"/>
    </row>
    <row r="47930" spans="10:10" x14ac:dyDescent="0.3">
      <c r="J47930"/>
    </row>
    <row r="47931" spans="10:10" x14ac:dyDescent="0.3">
      <c r="J47931"/>
    </row>
    <row r="47932" spans="10:10" x14ac:dyDescent="0.3">
      <c r="J47932"/>
    </row>
    <row r="47933" spans="10:10" x14ac:dyDescent="0.3">
      <c r="J47933"/>
    </row>
    <row r="47934" spans="10:10" x14ac:dyDescent="0.3">
      <c r="J47934"/>
    </row>
    <row r="47935" spans="10:10" x14ac:dyDescent="0.3">
      <c r="J47935"/>
    </row>
    <row r="47936" spans="10:10" x14ac:dyDescent="0.3">
      <c r="J47936"/>
    </row>
    <row r="47937" spans="10:10" x14ac:dyDescent="0.3">
      <c r="J47937"/>
    </row>
    <row r="47938" spans="10:10" x14ac:dyDescent="0.3">
      <c r="J47938"/>
    </row>
    <row r="47939" spans="10:10" x14ac:dyDescent="0.3">
      <c r="J47939"/>
    </row>
    <row r="47940" spans="10:10" x14ac:dyDescent="0.3">
      <c r="J47940"/>
    </row>
    <row r="47941" spans="10:10" x14ac:dyDescent="0.3">
      <c r="J47941"/>
    </row>
    <row r="47942" spans="10:10" x14ac:dyDescent="0.3">
      <c r="J47942"/>
    </row>
    <row r="47943" spans="10:10" x14ac:dyDescent="0.3">
      <c r="J47943"/>
    </row>
    <row r="47944" spans="10:10" x14ac:dyDescent="0.3">
      <c r="J47944"/>
    </row>
    <row r="47945" spans="10:10" x14ac:dyDescent="0.3">
      <c r="J47945"/>
    </row>
    <row r="47946" spans="10:10" x14ac:dyDescent="0.3">
      <c r="J47946"/>
    </row>
    <row r="47947" spans="10:10" x14ac:dyDescent="0.3">
      <c r="J47947"/>
    </row>
    <row r="47948" spans="10:10" x14ac:dyDescent="0.3">
      <c r="J47948"/>
    </row>
    <row r="47949" spans="10:10" x14ac:dyDescent="0.3">
      <c r="J47949"/>
    </row>
    <row r="47950" spans="10:10" x14ac:dyDescent="0.3">
      <c r="J47950"/>
    </row>
    <row r="47951" spans="10:10" x14ac:dyDescent="0.3">
      <c r="J47951"/>
    </row>
    <row r="47952" spans="10:10" x14ac:dyDescent="0.3">
      <c r="J47952"/>
    </row>
    <row r="47953" spans="10:10" x14ac:dyDescent="0.3">
      <c r="J47953"/>
    </row>
    <row r="47954" spans="10:10" x14ac:dyDescent="0.3">
      <c r="J47954"/>
    </row>
    <row r="47955" spans="10:10" x14ac:dyDescent="0.3">
      <c r="J47955"/>
    </row>
    <row r="47956" spans="10:10" x14ac:dyDescent="0.3">
      <c r="J47956"/>
    </row>
    <row r="47957" spans="10:10" x14ac:dyDescent="0.3">
      <c r="J47957"/>
    </row>
    <row r="47958" spans="10:10" x14ac:dyDescent="0.3">
      <c r="J47958"/>
    </row>
    <row r="47959" spans="10:10" x14ac:dyDescent="0.3">
      <c r="J47959"/>
    </row>
    <row r="47960" spans="10:10" x14ac:dyDescent="0.3">
      <c r="J47960"/>
    </row>
    <row r="47961" spans="10:10" x14ac:dyDescent="0.3">
      <c r="J47961"/>
    </row>
    <row r="47962" spans="10:10" x14ac:dyDescent="0.3">
      <c r="J47962"/>
    </row>
    <row r="47963" spans="10:10" x14ac:dyDescent="0.3">
      <c r="J47963"/>
    </row>
    <row r="47964" spans="10:10" x14ac:dyDescent="0.3">
      <c r="J47964"/>
    </row>
    <row r="47965" spans="10:10" x14ac:dyDescent="0.3">
      <c r="J47965"/>
    </row>
    <row r="47966" spans="10:10" x14ac:dyDescent="0.3">
      <c r="J47966"/>
    </row>
    <row r="47967" spans="10:10" x14ac:dyDescent="0.3">
      <c r="J47967"/>
    </row>
    <row r="47968" spans="10:10" x14ac:dyDescent="0.3">
      <c r="J47968"/>
    </row>
    <row r="47969" spans="10:10" x14ac:dyDescent="0.3">
      <c r="J47969"/>
    </row>
    <row r="47970" spans="10:10" x14ac:dyDescent="0.3">
      <c r="J47970"/>
    </row>
    <row r="47971" spans="10:10" x14ac:dyDescent="0.3">
      <c r="J47971"/>
    </row>
    <row r="47972" spans="10:10" x14ac:dyDescent="0.3">
      <c r="J47972"/>
    </row>
    <row r="47973" spans="10:10" x14ac:dyDescent="0.3">
      <c r="J47973"/>
    </row>
    <row r="47974" spans="10:10" x14ac:dyDescent="0.3">
      <c r="J47974"/>
    </row>
    <row r="47975" spans="10:10" x14ac:dyDescent="0.3">
      <c r="J47975"/>
    </row>
    <row r="47976" spans="10:10" x14ac:dyDescent="0.3">
      <c r="J47976"/>
    </row>
    <row r="47977" spans="10:10" x14ac:dyDescent="0.3">
      <c r="J47977"/>
    </row>
    <row r="47978" spans="10:10" x14ac:dyDescent="0.3">
      <c r="J47978"/>
    </row>
    <row r="47979" spans="10:10" x14ac:dyDescent="0.3">
      <c r="J47979"/>
    </row>
    <row r="47980" spans="10:10" x14ac:dyDescent="0.3">
      <c r="J47980"/>
    </row>
    <row r="47981" spans="10:10" x14ac:dyDescent="0.3">
      <c r="J47981"/>
    </row>
    <row r="47982" spans="10:10" x14ac:dyDescent="0.3">
      <c r="J47982"/>
    </row>
    <row r="47983" spans="10:10" x14ac:dyDescent="0.3">
      <c r="J47983"/>
    </row>
    <row r="47984" spans="10:10" x14ac:dyDescent="0.3">
      <c r="J47984"/>
    </row>
    <row r="47985" spans="10:10" x14ac:dyDescent="0.3">
      <c r="J47985"/>
    </row>
    <row r="47986" spans="10:10" x14ac:dyDescent="0.3">
      <c r="J47986"/>
    </row>
    <row r="47987" spans="10:10" x14ac:dyDescent="0.3">
      <c r="J47987"/>
    </row>
    <row r="47988" spans="10:10" x14ac:dyDescent="0.3">
      <c r="J47988"/>
    </row>
    <row r="47989" spans="10:10" x14ac:dyDescent="0.3">
      <c r="J47989"/>
    </row>
    <row r="47990" spans="10:10" x14ac:dyDescent="0.3">
      <c r="J47990"/>
    </row>
    <row r="47991" spans="10:10" x14ac:dyDescent="0.3">
      <c r="J47991"/>
    </row>
    <row r="47992" spans="10:10" x14ac:dyDescent="0.3">
      <c r="J47992"/>
    </row>
    <row r="47993" spans="10:10" x14ac:dyDescent="0.3">
      <c r="J47993"/>
    </row>
    <row r="47994" spans="10:10" x14ac:dyDescent="0.3">
      <c r="J47994"/>
    </row>
    <row r="47995" spans="10:10" x14ac:dyDescent="0.3">
      <c r="J47995"/>
    </row>
    <row r="47996" spans="10:10" x14ac:dyDescent="0.3">
      <c r="J47996"/>
    </row>
    <row r="47997" spans="10:10" x14ac:dyDescent="0.3">
      <c r="J47997"/>
    </row>
    <row r="47998" spans="10:10" x14ac:dyDescent="0.3">
      <c r="J47998"/>
    </row>
    <row r="47999" spans="10:10" x14ac:dyDescent="0.3">
      <c r="J47999"/>
    </row>
    <row r="48000" spans="10:10" x14ac:dyDescent="0.3">
      <c r="J48000"/>
    </row>
    <row r="48001" spans="10:10" x14ac:dyDescent="0.3">
      <c r="J48001"/>
    </row>
    <row r="48002" spans="10:10" x14ac:dyDescent="0.3">
      <c r="J48002"/>
    </row>
    <row r="48003" spans="10:10" x14ac:dyDescent="0.3">
      <c r="J48003"/>
    </row>
    <row r="48004" spans="10:10" x14ac:dyDescent="0.3">
      <c r="J48004"/>
    </row>
    <row r="48005" spans="10:10" x14ac:dyDescent="0.3">
      <c r="J48005"/>
    </row>
    <row r="48006" spans="10:10" x14ac:dyDescent="0.3">
      <c r="J48006"/>
    </row>
    <row r="48007" spans="10:10" x14ac:dyDescent="0.3">
      <c r="J48007"/>
    </row>
    <row r="48008" spans="10:10" x14ac:dyDescent="0.3">
      <c r="J48008"/>
    </row>
    <row r="48009" spans="10:10" x14ac:dyDescent="0.3">
      <c r="J48009"/>
    </row>
    <row r="48010" spans="10:10" x14ac:dyDescent="0.3">
      <c r="J48010"/>
    </row>
    <row r="48011" spans="10:10" x14ac:dyDescent="0.3">
      <c r="J48011"/>
    </row>
    <row r="48012" spans="10:10" x14ac:dyDescent="0.3">
      <c r="J48012"/>
    </row>
    <row r="48013" spans="10:10" x14ac:dyDescent="0.3">
      <c r="J48013"/>
    </row>
    <row r="48014" spans="10:10" x14ac:dyDescent="0.3">
      <c r="J48014"/>
    </row>
    <row r="48015" spans="10:10" x14ac:dyDescent="0.3">
      <c r="J48015"/>
    </row>
    <row r="48016" spans="10:10" x14ac:dyDescent="0.3">
      <c r="J48016"/>
    </row>
    <row r="48017" spans="10:10" x14ac:dyDescent="0.3">
      <c r="J48017"/>
    </row>
    <row r="48018" spans="10:10" x14ac:dyDescent="0.3">
      <c r="J48018"/>
    </row>
    <row r="48019" spans="10:10" x14ac:dyDescent="0.3">
      <c r="J48019"/>
    </row>
    <row r="48020" spans="10:10" x14ac:dyDescent="0.3">
      <c r="J48020"/>
    </row>
    <row r="48021" spans="10:10" x14ac:dyDescent="0.3">
      <c r="J48021"/>
    </row>
    <row r="48022" spans="10:10" x14ac:dyDescent="0.3">
      <c r="J48022"/>
    </row>
    <row r="48023" spans="10:10" x14ac:dyDescent="0.3">
      <c r="J48023"/>
    </row>
    <row r="48024" spans="10:10" x14ac:dyDescent="0.3">
      <c r="J48024"/>
    </row>
    <row r="48025" spans="10:10" x14ac:dyDescent="0.3">
      <c r="J48025"/>
    </row>
    <row r="48026" spans="10:10" x14ac:dyDescent="0.3">
      <c r="J48026"/>
    </row>
    <row r="48027" spans="10:10" x14ac:dyDescent="0.3">
      <c r="J48027"/>
    </row>
    <row r="48028" spans="10:10" x14ac:dyDescent="0.3">
      <c r="J48028"/>
    </row>
    <row r="48029" spans="10:10" x14ac:dyDescent="0.3">
      <c r="J48029"/>
    </row>
    <row r="48030" spans="10:10" x14ac:dyDescent="0.3">
      <c r="J48030"/>
    </row>
    <row r="48031" spans="10:10" x14ac:dyDescent="0.3">
      <c r="J48031"/>
    </row>
    <row r="48032" spans="10:10" x14ac:dyDescent="0.3">
      <c r="J48032"/>
    </row>
    <row r="48033" spans="10:10" x14ac:dyDescent="0.3">
      <c r="J48033"/>
    </row>
    <row r="48034" spans="10:10" x14ac:dyDescent="0.3">
      <c r="J48034"/>
    </row>
    <row r="48035" spans="10:10" x14ac:dyDescent="0.3">
      <c r="J48035"/>
    </row>
    <row r="48036" spans="10:10" x14ac:dyDescent="0.3">
      <c r="J48036"/>
    </row>
    <row r="48037" spans="10:10" x14ac:dyDescent="0.3">
      <c r="J48037"/>
    </row>
    <row r="48038" spans="10:10" x14ac:dyDescent="0.3">
      <c r="J48038"/>
    </row>
    <row r="48039" spans="10:10" x14ac:dyDescent="0.3">
      <c r="J48039"/>
    </row>
    <row r="48040" spans="10:10" x14ac:dyDescent="0.3">
      <c r="J48040"/>
    </row>
    <row r="48041" spans="10:10" x14ac:dyDescent="0.3">
      <c r="J48041"/>
    </row>
    <row r="48042" spans="10:10" x14ac:dyDescent="0.3">
      <c r="J48042"/>
    </row>
    <row r="48043" spans="10:10" x14ac:dyDescent="0.3">
      <c r="J48043"/>
    </row>
    <row r="48044" spans="10:10" x14ac:dyDescent="0.3">
      <c r="J48044"/>
    </row>
    <row r="48045" spans="10:10" x14ac:dyDescent="0.3">
      <c r="J48045"/>
    </row>
    <row r="48046" spans="10:10" x14ac:dyDescent="0.3">
      <c r="J48046"/>
    </row>
    <row r="48047" spans="10:10" x14ac:dyDescent="0.3">
      <c r="J48047"/>
    </row>
    <row r="48048" spans="10:10" x14ac:dyDescent="0.3">
      <c r="J48048"/>
    </row>
    <row r="48049" spans="10:10" x14ac:dyDescent="0.3">
      <c r="J48049"/>
    </row>
    <row r="48050" spans="10:10" x14ac:dyDescent="0.3">
      <c r="J48050"/>
    </row>
    <row r="48051" spans="10:10" x14ac:dyDescent="0.3">
      <c r="J48051"/>
    </row>
    <row r="48052" spans="10:10" x14ac:dyDescent="0.3">
      <c r="J48052"/>
    </row>
    <row r="48053" spans="10:10" x14ac:dyDescent="0.3">
      <c r="J48053"/>
    </row>
    <row r="48054" spans="10:10" x14ac:dyDescent="0.3">
      <c r="J48054"/>
    </row>
    <row r="48055" spans="10:10" x14ac:dyDescent="0.3">
      <c r="J48055"/>
    </row>
    <row r="48056" spans="10:10" x14ac:dyDescent="0.3">
      <c r="J48056"/>
    </row>
    <row r="48057" spans="10:10" x14ac:dyDescent="0.3">
      <c r="J48057"/>
    </row>
    <row r="48058" spans="10:10" x14ac:dyDescent="0.3">
      <c r="J48058"/>
    </row>
    <row r="48059" spans="10:10" x14ac:dyDescent="0.3">
      <c r="J48059"/>
    </row>
    <row r="48060" spans="10:10" x14ac:dyDescent="0.3">
      <c r="J48060"/>
    </row>
    <row r="48061" spans="10:10" x14ac:dyDescent="0.3">
      <c r="J48061"/>
    </row>
    <row r="48062" spans="10:10" x14ac:dyDescent="0.3">
      <c r="J48062"/>
    </row>
    <row r="48063" spans="10:10" x14ac:dyDescent="0.3">
      <c r="J48063"/>
    </row>
    <row r="48064" spans="10:10" x14ac:dyDescent="0.3">
      <c r="J48064"/>
    </row>
    <row r="48065" spans="10:10" x14ac:dyDescent="0.3">
      <c r="J48065"/>
    </row>
    <row r="48066" spans="10:10" x14ac:dyDescent="0.3">
      <c r="J48066"/>
    </row>
    <row r="48067" spans="10:10" x14ac:dyDescent="0.3">
      <c r="J48067"/>
    </row>
    <row r="48068" spans="10:10" x14ac:dyDescent="0.3">
      <c r="J48068"/>
    </row>
    <row r="48069" spans="10:10" x14ac:dyDescent="0.3">
      <c r="J48069"/>
    </row>
    <row r="48070" spans="10:10" x14ac:dyDescent="0.3">
      <c r="J48070"/>
    </row>
    <row r="48071" spans="10:10" x14ac:dyDescent="0.3">
      <c r="J48071"/>
    </row>
    <row r="48072" spans="10:10" x14ac:dyDescent="0.3">
      <c r="J48072"/>
    </row>
    <row r="48073" spans="10:10" x14ac:dyDescent="0.3">
      <c r="J48073"/>
    </row>
    <row r="48074" spans="10:10" x14ac:dyDescent="0.3">
      <c r="J48074"/>
    </row>
    <row r="48075" spans="10:10" x14ac:dyDescent="0.3">
      <c r="J48075"/>
    </row>
    <row r="48076" spans="10:10" x14ac:dyDescent="0.3">
      <c r="J48076"/>
    </row>
    <row r="48077" spans="10:10" x14ac:dyDescent="0.3">
      <c r="J48077"/>
    </row>
    <row r="48078" spans="10:10" x14ac:dyDescent="0.3">
      <c r="J48078"/>
    </row>
    <row r="48079" spans="10:10" x14ac:dyDescent="0.3">
      <c r="J48079"/>
    </row>
    <row r="48080" spans="10:10" x14ac:dyDescent="0.3">
      <c r="J48080"/>
    </row>
    <row r="48081" spans="10:10" x14ac:dyDescent="0.3">
      <c r="J48081"/>
    </row>
    <row r="48082" spans="10:10" x14ac:dyDescent="0.3">
      <c r="J48082"/>
    </row>
    <row r="48083" spans="10:10" x14ac:dyDescent="0.3">
      <c r="J48083"/>
    </row>
    <row r="48084" spans="10:10" x14ac:dyDescent="0.3">
      <c r="J48084"/>
    </row>
    <row r="48085" spans="10:10" x14ac:dyDescent="0.3">
      <c r="J48085"/>
    </row>
    <row r="48086" spans="10:10" x14ac:dyDescent="0.3">
      <c r="J48086"/>
    </row>
    <row r="48087" spans="10:10" x14ac:dyDescent="0.3">
      <c r="J48087"/>
    </row>
    <row r="48088" spans="10:10" x14ac:dyDescent="0.3">
      <c r="J48088"/>
    </row>
    <row r="48089" spans="10:10" x14ac:dyDescent="0.3">
      <c r="J48089"/>
    </row>
    <row r="48090" spans="10:10" x14ac:dyDescent="0.3">
      <c r="J48090"/>
    </row>
    <row r="48091" spans="10:10" x14ac:dyDescent="0.3">
      <c r="J48091"/>
    </row>
    <row r="48092" spans="10:10" x14ac:dyDescent="0.3">
      <c r="J48092"/>
    </row>
    <row r="48093" spans="10:10" x14ac:dyDescent="0.3">
      <c r="J48093"/>
    </row>
    <row r="48094" spans="10:10" x14ac:dyDescent="0.3">
      <c r="J48094"/>
    </row>
    <row r="48095" spans="10:10" x14ac:dyDescent="0.3">
      <c r="J48095"/>
    </row>
    <row r="48096" spans="10:10" x14ac:dyDescent="0.3">
      <c r="J48096"/>
    </row>
    <row r="48097" spans="10:10" x14ac:dyDescent="0.3">
      <c r="J48097"/>
    </row>
    <row r="48098" spans="10:10" x14ac:dyDescent="0.3">
      <c r="J48098"/>
    </row>
    <row r="48099" spans="10:10" x14ac:dyDescent="0.3">
      <c r="J48099"/>
    </row>
    <row r="48100" spans="10:10" x14ac:dyDescent="0.3">
      <c r="J48100"/>
    </row>
    <row r="48101" spans="10:10" x14ac:dyDescent="0.3">
      <c r="J48101"/>
    </row>
    <row r="48102" spans="10:10" x14ac:dyDescent="0.3">
      <c r="J48102"/>
    </row>
    <row r="48103" spans="10:10" x14ac:dyDescent="0.3">
      <c r="J48103"/>
    </row>
    <row r="48104" spans="10:10" x14ac:dyDescent="0.3">
      <c r="J48104"/>
    </row>
    <row r="48105" spans="10:10" x14ac:dyDescent="0.3">
      <c r="J48105"/>
    </row>
    <row r="48106" spans="10:10" x14ac:dyDescent="0.3">
      <c r="J48106"/>
    </row>
    <row r="48107" spans="10:10" x14ac:dyDescent="0.3">
      <c r="J48107"/>
    </row>
    <row r="48108" spans="10:10" x14ac:dyDescent="0.3">
      <c r="J48108"/>
    </row>
    <row r="48109" spans="10:10" x14ac:dyDescent="0.3">
      <c r="J48109"/>
    </row>
    <row r="48110" spans="10:10" x14ac:dyDescent="0.3">
      <c r="J48110"/>
    </row>
    <row r="48111" spans="10:10" x14ac:dyDescent="0.3">
      <c r="J48111"/>
    </row>
    <row r="48112" spans="10:10" x14ac:dyDescent="0.3">
      <c r="J48112"/>
    </row>
    <row r="48113" spans="10:10" x14ac:dyDescent="0.3">
      <c r="J48113"/>
    </row>
    <row r="48114" spans="10:10" x14ac:dyDescent="0.3">
      <c r="J48114"/>
    </row>
    <row r="48115" spans="10:10" x14ac:dyDescent="0.3">
      <c r="J48115"/>
    </row>
    <row r="48116" spans="10:10" x14ac:dyDescent="0.3">
      <c r="J48116"/>
    </row>
    <row r="48117" spans="10:10" x14ac:dyDescent="0.3">
      <c r="J48117"/>
    </row>
    <row r="48118" spans="10:10" x14ac:dyDescent="0.3">
      <c r="J48118"/>
    </row>
    <row r="48119" spans="10:10" x14ac:dyDescent="0.3">
      <c r="J48119"/>
    </row>
    <row r="48120" spans="10:10" x14ac:dyDescent="0.3">
      <c r="J48120"/>
    </row>
    <row r="48121" spans="10:10" x14ac:dyDescent="0.3">
      <c r="J48121"/>
    </row>
    <row r="48122" spans="10:10" x14ac:dyDescent="0.3">
      <c r="J48122"/>
    </row>
    <row r="48123" spans="10:10" x14ac:dyDescent="0.3">
      <c r="J48123"/>
    </row>
    <row r="48124" spans="10:10" x14ac:dyDescent="0.3">
      <c r="J48124"/>
    </row>
    <row r="48125" spans="10:10" x14ac:dyDescent="0.3">
      <c r="J48125"/>
    </row>
    <row r="48126" spans="10:10" x14ac:dyDescent="0.3">
      <c r="J48126"/>
    </row>
    <row r="48127" spans="10:10" x14ac:dyDescent="0.3">
      <c r="J48127"/>
    </row>
    <row r="48128" spans="10:10" x14ac:dyDescent="0.3">
      <c r="J48128"/>
    </row>
    <row r="48129" spans="10:10" x14ac:dyDescent="0.3">
      <c r="J48129"/>
    </row>
    <row r="48130" spans="10:10" x14ac:dyDescent="0.3">
      <c r="J48130"/>
    </row>
    <row r="48131" spans="10:10" x14ac:dyDescent="0.3">
      <c r="J48131"/>
    </row>
    <row r="48132" spans="10:10" x14ac:dyDescent="0.3">
      <c r="J48132"/>
    </row>
    <row r="48133" spans="10:10" x14ac:dyDescent="0.3">
      <c r="J48133"/>
    </row>
    <row r="48134" spans="10:10" x14ac:dyDescent="0.3">
      <c r="J48134"/>
    </row>
    <row r="48135" spans="10:10" x14ac:dyDescent="0.3">
      <c r="J48135"/>
    </row>
    <row r="48136" spans="10:10" x14ac:dyDescent="0.3">
      <c r="J48136"/>
    </row>
    <row r="48137" spans="10:10" x14ac:dyDescent="0.3">
      <c r="J48137"/>
    </row>
    <row r="48138" spans="10:10" x14ac:dyDescent="0.3">
      <c r="J48138"/>
    </row>
    <row r="48139" spans="10:10" x14ac:dyDescent="0.3">
      <c r="J48139"/>
    </row>
    <row r="48140" spans="10:10" x14ac:dyDescent="0.3">
      <c r="J48140"/>
    </row>
    <row r="48141" spans="10:10" x14ac:dyDescent="0.3">
      <c r="J48141"/>
    </row>
    <row r="48142" spans="10:10" x14ac:dyDescent="0.3">
      <c r="J48142"/>
    </row>
    <row r="48143" spans="10:10" x14ac:dyDescent="0.3">
      <c r="J48143"/>
    </row>
    <row r="48144" spans="10:10" x14ac:dyDescent="0.3">
      <c r="J48144"/>
    </row>
    <row r="48145" spans="10:10" x14ac:dyDescent="0.3">
      <c r="J48145"/>
    </row>
    <row r="48146" spans="10:10" x14ac:dyDescent="0.3">
      <c r="J48146"/>
    </row>
    <row r="48147" spans="10:10" x14ac:dyDescent="0.3">
      <c r="J48147"/>
    </row>
    <row r="48148" spans="10:10" x14ac:dyDescent="0.3">
      <c r="J48148"/>
    </row>
    <row r="48149" spans="10:10" x14ac:dyDescent="0.3">
      <c r="J48149"/>
    </row>
    <row r="48150" spans="10:10" x14ac:dyDescent="0.3">
      <c r="J48150"/>
    </row>
    <row r="48151" spans="10:10" x14ac:dyDescent="0.3">
      <c r="J48151"/>
    </row>
    <row r="48152" spans="10:10" x14ac:dyDescent="0.3">
      <c r="J48152"/>
    </row>
    <row r="48153" spans="10:10" x14ac:dyDescent="0.3">
      <c r="J48153"/>
    </row>
    <row r="48154" spans="10:10" x14ac:dyDescent="0.3">
      <c r="J48154"/>
    </row>
    <row r="48155" spans="10:10" x14ac:dyDescent="0.3">
      <c r="J48155"/>
    </row>
    <row r="48156" spans="10:10" x14ac:dyDescent="0.3">
      <c r="J48156"/>
    </row>
    <row r="48157" spans="10:10" x14ac:dyDescent="0.3">
      <c r="J48157"/>
    </row>
    <row r="48158" spans="10:10" x14ac:dyDescent="0.3">
      <c r="J48158"/>
    </row>
    <row r="48159" spans="10:10" x14ac:dyDescent="0.3">
      <c r="J48159"/>
    </row>
    <row r="48160" spans="10:10" x14ac:dyDescent="0.3">
      <c r="J48160"/>
    </row>
    <row r="48161" spans="10:10" x14ac:dyDescent="0.3">
      <c r="J48161"/>
    </row>
    <row r="48162" spans="10:10" x14ac:dyDescent="0.3">
      <c r="J48162"/>
    </row>
    <row r="48163" spans="10:10" x14ac:dyDescent="0.3">
      <c r="J48163"/>
    </row>
    <row r="48164" spans="10:10" x14ac:dyDescent="0.3">
      <c r="J48164"/>
    </row>
    <row r="48165" spans="10:10" x14ac:dyDescent="0.3">
      <c r="J48165"/>
    </row>
    <row r="48166" spans="10:10" x14ac:dyDescent="0.3">
      <c r="J48166"/>
    </row>
    <row r="48167" spans="10:10" x14ac:dyDescent="0.3">
      <c r="J48167"/>
    </row>
    <row r="48168" spans="10:10" x14ac:dyDescent="0.3">
      <c r="J48168"/>
    </row>
    <row r="48169" spans="10:10" x14ac:dyDescent="0.3">
      <c r="J48169"/>
    </row>
    <row r="48170" spans="10:10" x14ac:dyDescent="0.3">
      <c r="J48170"/>
    </row>
    <row r="48171" spans="10:10" x14ac:dyDescent="0.3">
      <c r="J48171"/>
    </row>
    <row r="48172" spans="10:10" x14ac:dyDescent="0.3">
      <c r="J48172"/>
    </row>
    <row r="48173" spans="10:10" x14ac:dyDescent="0.3">
      <c r="J48173"/>
    </row>
    <row r="48174" spans="10:10" x14ac:dyDescent="0.3">
      <c r="J48174"/>
    </row>
    <row r="48175" spans="10:10" x14ac:dyDescent="0.3">
      <c r="J48175"/>
    </row>
    <row r="48176" spans="10:10" x14ac:dyDescent="0.3">
      <c r="J48176"/>
    </row>
    <row r="48177" spans="10:10" x14ac:dyDescent="0.3">
      <c r="J48177"/>
    </row>
    <row r="48178" spans="10:10" x14ac:dyDescent="0.3">
      <c r="J48178"/>
    </row>
    <row r="48179" spans="10:10" x14ac:dyDescent="0.3">
      <c r="J48179"/>
    </row>
    <row r="48180" spans="10:10" x14ac:dyDescent="0.3">
      <c r="J48180"/>
    </row>
    <row r="48181" spans="10:10" x14ac:dyDescent="0.3">
      <c r="J48181"/>
    </row>
    <row r="48182" spans="10:10" x14ac:dyDescent="0.3">
      <c r="J48182"/>
    </row>
    <row r="48183" spans="10:10" x14ac:dyDescent="0.3">
      <c r="J48183"/>
    </row>
    <row r="48184" spans="10:10" x14ac:dyDescent="0.3">
      <c r="J48184"/>
    </row>
    <row r="48185" spans="10:10" x14ac:dyDescent="0.3">
      <c r="J48185"/>
    </row>
    <row r="48186" spans="10:10" x14ac:dyDescent="0.3">
      <c r="J48186"/>
    </row>
    <row r="48187" spans="10:10" x14ac:dyDescent="0.3">
      <c r="J48187"/>
    </row>
    <row r="48188" spans="10:10" x14ac:dyDescent="0.3">
      <c r="J48188"/>
    </row>
    <row r="48189" spans="10:10" x14ac:dyDescent="0.3">
      <c r="J48189"/>
    </row>
    <row r="48190" spans="10:10" x14ac:dyDescent="0.3">
      <c r="J48190"/>
    </row>
    <row r="48191" spans="10:10" x14ac:dyDescent="0.3">
      <c r="J48191"/>
    </row>
    <row r="48192" spans="10:10" x14ac:dyDescent="0.3">
      <c r="J48192"/>
    </row>
    <row r="48193" spans="10:10" x14ac:dyDescent="0.3">
      <c r="J48193"/>
    </row>
    <row r="48194" spans="10:10" x14ac:dyDescent="0.3">
      <c r="J48194"/>
    </row>
    <row r="48195" spans="10:10" x14ac:dyDescent="0.3">
      <c r="J48195"/>
    </row>
    <row r="48196" spans="10:10" x14ac:dyDescent="0.3">
      <c r="J48196"/>
    </row>
    <row r="48197" spans="10:10" x14ac:dyDescent="0.3">
      <c r="J48197"/>
    </row>
    <row r="48198" spans="10:10" x14ac:dyDescent="0.3">
      <c r="J48198"/>
    </row>
    <row r="48199" spans="10:10" x14ac:dyDescent="0.3">
      <c r="J48199"/>
    </row>
    <row r="48200" spans="10:10" x14ac:dyDescent="0.3">
      <c r="J48200"/>
    </row>
    <row r="48201" spans="10:10" x14ac:dyDescent="0.3">
      <c r="J48201"/>
    </row>
    <row r="48202" spans="10:10" x14ac:dyDescent="0.3">
      <c r="J48202"/>
    </row>
    <row r="48203" spans="10:10" x14ac:dyDescent="0.3">
      <c r="J48203"/>
    </row>
    <row r="48204" spans="10:10" x14ac:dyDescent="0.3">
      <c r="J48204"/>
    </row>
    <row r="48205" spans="10:10" x14ac:dyDescent="0.3">
      <c r="J48205"/>
    </row>
    <row r="48206" spans="10:10" x14ac:dyDescent="0.3">
      <c r="J48206"/>
    </row>
    <row r="48207" spans="10:10" x14ac:dyDescent="0.3">
      <c r="J48207"/>
    </row>
    <row r="48208" spans="10:10" x14ac:dyDescent="0.3">
      <c r="J48208"/>
    </row>
    <row r="48209" spans="10:10" x14ac:dyDescent="0.3">
      <c r="J48209"/>
    </row>
    <row r="48210" spans="10:10" x14ac:dyDescent="0.3">
      <c r="J48210"/>
    </row>
    <row r="48211" spans="10:10" x14ac:dyDescent="0.3">
      <c r="J48211"/>
    </row>
    <row r="48212" spans="10:10" x14ac:dyDescent="0.3">
      <c r="J48212"/>
    </row>
    <row r="48213" spans="10:10" x14ac:dyDescent="0.3">
      <c r="J48213"/>
    </row>
    <row r="48214" spans="10:10" x14ac:dyDescent="0.3">
      <c r="J48214"/>
    </row>
    <row r="48215" spans="10:10" x14ac:dyDescent="0.3">
      <c r="J48215"/>
    </row>
    <row r="48216" spans="10:10" x14ac:dyDescent="0.3">
      <c r="J48216"/>
    </row>
    <row r="48217" spans="10:10" x14ac:dyDescent="0.3">
      <c r="J48217"/>
    </row>
    <row r="48218" spans="10:10" x14ac:dyDescent="0.3">
      <c r="J48218"/>
    </row>
    <row r="48219" spans="10:10" x14ac:dyDescent="0.3">
      <c r="J48219"/>
    </row>
    <row r="48220" spans="10:10" x14ac:dyDescent="0.3">
      <c r="J48220"/>
    </row>
    <row r="48221" spans="10:10" x14ac:dyDescent="0.3">
      <c r="J48221"/>
    </row>
    <row r="48222" spans="10:10" x14ac:dyDescent="0.3">
      <c r="J48222"/>
    </row>
    <row r="48223" spans="10:10" x14ac:dyDescent="0.3">
      <c r="J48223"/>
    </row>
    <row r="48224" spans="10:10" x14ac:dyDescent="0.3">
      <c r="J48224"/>
    </row>
    <row r="48225" spans="10:10" x14ac:dyDescent="0.3">
      <c r="J48225"/>
    </row>
    <row r="48226" spans="10:10" x14ac:dyDescent="0.3">
      <c r="J48226"/>
    </row>
    <row r="48227" spans="10:10" x14ac:dyDescent="0.3">
      <c r="J48227"/>
    </row>
    <row r="48228" spans="10:10" x14ac:dyDescent="0.3">
      <c r="J48228"/>
    </row>
    <row r="48229" spans="10:10" x14ac:dyDescent="0.3">
      <c r="J48229"/>
    </row>
    <row r="48230" spans="10:10" x14ac:dyDescent="0.3">
      <c r="J48230"/>
    </row>
    <row r="48231" spans="10:10" x14ac:dyDescent="0.3">
      <c r="J48231"/>
    </row>
    <row r="48232" spans="10:10" x14ac:dyDescent="0.3">
      <c r="J48232"/>
    </row>
    <row r="48233" spans="10:10" x14ac:dyDescent="0.3">
      <c r="J48233"/>
    </row>
    <row r="48234" spans="10:10" x14ac:dyDescent="0.3">
      <c r="J48234"/>
    </row>
    <row r="48235" spans="10:10" x14ac:dyDescent="0.3">
      <c r="J48235"/>
    </row>
    <row r="48236" spans="10:10" x14ac:dyDescent="0.3">
      <c r="J48236"/>
    </row>
    <row r="48237" spans="10:10" x14ac:dyDescent="0.3">
      <c r="J48237"/>
    </row>
    <row r="48238" spans="10:10" x14ac:dyDescent="0.3">
      <c r="J48238"/>
    </row>
    <row r="48239" spans="10:10" x14ac:dyDescent="0.3">
      <c r="J48239"/>
    </row>
    <row r="48240" spans="10:10" x14ac:dyDescent="0.3">
      <c r="J48240"/>
    </row>
    <row r="48241" spans="10:10" x14ac:dyDescent="0.3">
      <c r="J48241"/>
    </row>
    <row r="48242" spans="10:10" x14ac:dyDescent="0.3">
      <c r="J48242"/>
    </row>
    <row r="48243" spans="10:10" x14ac:dyDescent="0.3">
      <c r="J48243"/>
    </row>
    <row r="48244" spans="10:10" x14ac:dyDescent="0.3">
      <c r="J48244"/>
    </row>
    <row r="48245" spans="10:10" x14ac:dyDescent="0.3">
      <c r="J48245"/>
    </row>
    <row r="48246" spans="10:10" x14ac:dyDescent="0.3">
      <c r="J48246"/>
    </row>
    <row r="48247" spans="10:10" x14ac:dyDescent="0.3">
      <c r="J48247"/>
    </row>
    <row r="48248" spans="10:10" x14ac:dyDescent="0.3">
      <c r="J48248"/>
    </row>
    <row r="48249" spans="10:10" x14ac:dyDescent="0.3">
      <c r="J48249"/>
    </row>
    <row r="48250" spans="10:10" x14ac:dyDescent="0.3">
      <c r="J48250"/>
    </row>
    <row r="48251" spans="10:10" x14ac:dyDescent="0.3">
      <c r="J48251"/>
    </row>
    <row r="48252" spans="10:10" x14ac:dyDescent="0.3">
      <c r="J48252"/>
    </row>
    <row r="48253" spans="10:10" x14ac:dyDescent="0.3">
      <c r="J48253"/>
    </row>
    <row r="48254" spans="10:10" x14ac:dyDescent="0.3">
      <c r="J48254"/>
    </row>
    <row r="48255" spans="10:10" x14ac:dyDescent="0.3">
      <c r="J48255"/>
    </row>
    <row r="48256" spans="10:10" x14ac:dyDescent="0.3">
      <c r="J48256"/>
    </row>
    <row r="48257" spans="10:10" x14ac:dyDescent="0.3">
      <c r="J48257"/>
    </row>
    <row r="48258" spans="10:10" x14ac:dyDescent="0.3">
      <c r="J48258"/>
    </row>
    <row r="48259" spans="10:10" x14ac:dyDescent="0.3">
      <c r="J48259"/>
    </row>
    <row r="48260" spans="10:10" x14ac:dyDescent="0.3">
      <c r="J48260"/>
    </row>
    <row r="48261" spans="10:10" x14ac:dyDescent="0.3">
      <c r="J48261"/>
    </row>
    <row r="48262" spans="10:10" x14ac:dyDescent="0.3">
      <c r="J48262"/>
    </row>
    <row r="48263" spans="10:10" x14ac:dyDescent="0.3">
      <c r="J48263"/>
    </row>
    <row r="48264" spans="10:10" x14ac:dyDescent="0.3">
      <c r="J48264"/>
    </row>
    <row r="48265" spans="10:10" x14ac:dyDescent="0.3">
      <c r="J48265"/>
    </row>
    <row r="48266" spans="10:10" x14ac:dyDescent="0.3">
      <c r="J48266"/>
    </row>
    <row r="48267" spans="10:10" x14ac:dyDescent="0.3">
      <c r="J48267"/>
    </row>
    <row r="48268" spans="10:10" x14ac:dyDescent="0.3">
      <c r="J48268"/>
    </row>
    <row r="48269" spans="10:10" x14ac:dyDescent="0.3">
      <c r="J48269"/>
    </row>
    <row r="48270" spans="10:10" x14ac:dyDescent="0.3">
      <c r="J48270"/>
    </row>
    <row r="48271" spans="10:10" x14ac:dyDescent="0.3">
      <c r="J48271"/>
    </row>
    <row r="48272" spans="10:10" x14ac:dyDescent="0.3">
      <c r="J48272"/>
    </row>
    <row r="48273" spans="10:10" x14ac:dyDescent="0.3">
      <c r="J48273"/>
    </row>
    <row r="48274" spans="10:10" x14ac:dyDescent="0.3">
      <c r="J48274"/>
    </row>
    <row r="48275" spans="10:10" x14ac:dyDescent="0.3">
      <c r="J48275"/>
    </row>
    <row r="48276" spans="10:10" x14ac:dyDescent="0.3">
      <c r="J48276"/>
    </row>
    <row r="48277" spans="10:10" x14ac:dyDescent="0.3">
      <c r="J48277"/>
    </row>
    <row r="48278" spans="10:10" x14ac:dyDescent="0.3">
      <c r="J48278"/>
    </row>
    <row r="48279" spans="10:10" x14ac:dyDescent="0.3">
      <c r="J48279"/>
    </row>
    <row r="48280" spans="10:10" x14ac:dyDescent="0.3">
      <c r="J48280"/>
    </row>
    <row r="48281" spans="10:10" x14ac:dyDescent="0.3">
      <c r="J48281"/>
    </row>
    <row r="48282" spans="10:10" x14ac:dyDescent="0.3">
      <c r="J48282"/>
    </row>
    <row r="48283" spans="10:10" x14ac:dyDescent="0.3">
      <c r="J48283"/>
    </row>
    <row r="48284" spans="10:10" x14ac:dyDescent="0.3">
      <c r="J48284"/>
    </row>
    <row r="48285" spans="10:10" x14ac:dyDescent="0.3">
      <c r="J48285"/>
    </row>
    <row r="48286" spans="10:10" x14ac:dyDescent="0.3">
      <c r="J48286"/>
    </row>
    <row r="48287" spans="10:10" x14ac:dyDescent="0.3">
      <c r="J48287"/>
    </row>
    <row r="48288" spans="10:10" x14ac:dyDescent="0.3">
      <c r="J48288"/>
    </row>
    <row r="48289" spans="10:10" x14ac:dyDescent="0.3">
      <c r="J48289"/>
    </row>
    <row r="48290" spans="10:10" x14ac:dyDescent="0.3">
      <c r="J48290"/>
    </row>
    <row r="48291" spans="10:10" x14ac:dyDescent="0.3">
      <c r="J48291"/>
    </row>
    <row r="48292" spans="10:10" x14ac:dyDescent="0.3">
      <c r="J48292"/>
    </row>
    <row r="48293" spans="10:10" x14ac:dyDescent="0.3">
      <c r="J48293"/>
    </row>
    <row r="48294" spans="10:10" x14ac:dyDescent="0.3">
      <c r="J48294"/>
    </row>
    <row r="48295" spans="10:10" x14ac:dyDescent="0.3">
      <c r="J48295"/>
    </row>
    <row r="48296" spans="10:10" x14ac:dyDescent="0.3">
      <c r="J48296"/>
    </row>
    <row r="48297" spans="10:10" x14ac:dyDescent="0.3">
      <c r="J48297"/>
    </row>
    <row r="48298" spans="10:10" x14ac:dyDescent="0.3">
      <c r="J48298"/>
    </row>
    <row r="48299" spans="10:10" x14ac:dyDescent="0.3">
      <c r="J48299"/>
    </row>
    <row r="48300" spans="10:10" x14ac:dyDescent="0.3">
      <c r="J48300"/>
    </row>
    <row r="48301" spans="10:10" x14ac:dyDescent="0.3">
      <c r="J48301"/>
    </row>
    <row r="48302" spans="10:10" x14ac:dyDescent="0.3">
      <c r="J48302"/>
    </row>
    <row r="48303" spans="10:10" x14ac:dyDescent="0.3">
      <c r="J48303"/>
    </row>
    <row r="48304" spans="10:10" x14ac:dyDescent="0.3">
      <c r="J48304"/>
    </row>
    <row r="48305" spans="10:10" x14ac:dyDescent="0.3">
      <c r="J48305"/>
    </row>
    <row r="48306" spans="10:10" x14ac:dyDescent="0.3">
      <c r="J48306"/>
    </row>
    <row r="48307" spans="10:10" x14ac:dyDescent="0.3">
      <c r="J48307"/>
    </row>
    <row r="48308" spans="10:10" x14ac:dyDescent="0.3">
      <c r="J48308"/>
    </row>
    <row r="48309" spans="10:10" x14ac:dyDescent="0.3">
      <c r="J48309"/>
    </row>
    <row r="48310" spans="10:10" x14ac:dyDescent="0.3">
      <c r="J48310"/>
    </row>
    <row r="48311" spans="10:10" x14ac:dyDescent="0.3">
      <c r="J48311"/>
    </row>
    <row r="48312" spans="10:10" x14ac:dyDescent="0.3">
      <c r="J48312"/>
    </row>
    <row r="48313" spans="10:10" x14ac:dyDescent="0.3">
      <c r="J48313"/>
    </row>
    <row r="48314" spans="10:10" x14ac:dyDescent="0.3">
      <c r="J48314"/>
    </row>
    <row r="48315" spans="10:10" x14ac:dyDescent="0.3">
      <c r="J48315"/>
    </row>
    <row r="48316" spans="10:10" x14ac:dyDescent="0.3">
      <c r="J48316"/>
    </row>
    <row r="48317" spans="10:10" x14ac:dyDescent="0.3">
      <c r="J48317"/>
    </row>
    <row r="48318" spans="10:10" x14ac:dyDescent="0.3">
      <c r="J48318"/>
    </row>
    <row r="48319" spans="10:10" x14ac:dyDescent="0.3">
      <c r="J48319"/>
    </row>
    <row r="48320" spans="10:10" x14ac:dyDescent="0.3">
      <c r="J48320"/>
    </row>
    <row r="48321" spans="10:10" x14ac:dyDescent="0.3">
      <c r="J48321"/>
    </row>
    <row r="48322" spans="10:10" x14ac:dyDescent="0.3">
      <c r="J48322"/>
    </row>
    <row r="48323" spans="10:10" x14ac:dyDescent="0.3">
      <c r="J48323"/>
    </row>
    <row r="48324" spans="10:10" x14ac:dyDescent="0.3">
      <c r="J48324"/>
    </row>
    <row r="48325" spans="10:10" x14ac:dyDescent="0.3">
      <c r="J48325"/>
    </row>
    <row r="48326" spans="10:10" x14ac:dyDescent="0.3">
      <c r="J48326"/>
    </row>
    <row r="48327" spans="10:10" x14ac:dyDescent="0.3">
      <c r="J48327"/>
    </row>
    <row r="48328" spans="10:10" x14ac:dyDescent="0.3">
      <c r="J48328"/>
    </row>
    <row r="48329" spans="10:10" x14ac:dyDescent="0.3">
      <c r="J48329"/>
    </row>
    <row r="48330" spans="10:10" x14ac:dyDescent="0.3">
      <c r="J48330"/>
    </row>
    <row r="48331" spans="10:10" x14ac:dyDescent="0.3">
      <c r="J48331"/>
    </row>
    <row r="48332" spans="10:10" x14ac:dyDescent="0.3">
      <c r="J48332"/>
    </row>
    <row r="48333" spans="10:10" x14ac:dyDescent="0.3">
      <c r="J48333"/>
    </row>
    <row r="48334" spans="10:10" x14ac:dyDescent="0.3">
      <c r="J48334"/>
    </row>
    <row r="48335" spans="10:10" x14ac:dyDescent="0.3">
      <c r="J48335"/>
    </row>
    <row r="48336" spans="10:10" x14ac:dyDescent="0.3">
      <c r="J48336"/>
    </row>
    <row r="48337" spans="10:10" x14ac:dyDescent="0.3">
      <c r="J48337"/>
    </row>
    <row r="48338" spans="10:10" x14ac:dyDescent="0.3">
      <c r="J48338"/>
    </row>
    <row r="48339" spans="10:10" x14ac:dyDescent="0.3">
      <c r="J48339"/>
    </row>
    <row r="48340" spans="10:10" x14ac:dyDescent="0.3">
      <c r="J48340"/>
    </row>
    <row r="48341" spans="10:10" x14ac:dyDescent="0.3">
      <c r="J48341"/>
    </row>
    <row r="48342" spans="10:10" x14ac:dyDescent="0.3">
      <c r="J48342"/>
    </row>
    <row r="48343" spans="10:10" x14ac:dyDescent="0.3">
      <c r="J48343"/>
    </row>
    <row r="48344" spans="10:10" x14ac:dyDescent="0.3">
      <c r="J48344"/>
    </row>
    <row r="48345" spans="10:10" x14ac:dyDescent="0.3">
      <c r="J48345"/>
    </row>
    <row r="48346" spans="10:10" x14ac:dyDescent="0.3">
      <c r="J48346"/>
    </row>
    <row r="48347" spans="10:10" x14ac:dyDescent="0.3">
      <c r="J48347"/>
    </row>
    <row r="48348" spans="10:10" x14ac:dyDescent="0.3">
      <c r="J48348"/>
    </row>
    <row r="48349" spans="10:10" x14ac:dyDescent="0.3">
      <c r="J48349"/>
    </row>
    <row r="48350" spans="10:10" x14ac:dyDescent="0.3">
      <c r="J48350"/>
    </row>
    <row r="48351" spans="10:10" x14ac:dyDescent="0.3">
      <c r="J48351"/>
    </row>
    <row r="48352" spans="10:10" x14ac:dyDescent="0.3">
      <c r="J48352"/>
    </row>
    <row r="48353" spans="10:10" x14ac:dyDescent="0.3">
      <c r="J48353"/>
    </row>
    <row r="48354" spans="10:10" x14ac:dyDescent="0.3">
      <c r="J48354"/>
    </row>
    <row r="48355" spans="10:10" x14ac:dyDescent="0.3">
      <c r="J48355"/>
    </row>
    <row r="48356" spans="10:10" x14ac:dyDescent="0.3">
      <c r="J48356"/>
    </row>
    <row r="48357" spans="10:10" x14ac:dyDescent="0.3">
      <c r="J48357"/>
    </row>
    <row r="48358" spans="10:10" x14ac:dyDescent="0.3">
      <c r="J48358"/>
    </row>
    <row r="48359" spans="10:10" x14ac:dyDescent="0.3">
      <c r="J48359"/>
    </row>
    <row r="48360" spans="10:10" x14ac:dyDescent="0.3">
      <c r="J48360"/>
    </row>
    <row r="48361" spans="10:10" x14ac:dyDescent="0.3">
      <c r="J48361"/>
    </row>
    <row r="48362" spans="10:10" x14ac:dyDescent="0.3">
      <c r="J48362"/>
    </row>
    <row r="48363" spans="10:10" x14ac:dyDescent="0.3">
      <c r="J48363"/>
    </row>
    <row r="48364" spans="10:10" x14ac:dyDescent="0.3">
      <c r="J48364"/>
    </row>
    <row r="48365" spans="10:10" x14ac:dyDescent="0.3">
      <c r="J48365"/>
    </row>
    <row r="48366" spans="10:10" x14ac:dyDescent="0.3">
      <c r="J48366"/>
    </row>
    <row r="48367" spans="10:10" x14ac:dyDescent="0.3">
      <c r="J48367"/>
    </row>
    <row r="48368" spans="10:10" x14ac:dyDescent="0.3">
      <c r="J48368"/>
    </row>
    <row r="48369" spans="10:10" x14ac:dyDescent="0.3">
      <c r="J48369"/>
    </row>
    <row r="48370" spans="10:10" x14ac:dyDescent="0.3">
      <c r="J48370"/>
    </row>
    <row r="48371" spans="10:10" x14ac:dyDescent="0.3">
      <c r="J48371"/>
    </row>
    <row r="48372" spans="10:10" x14ac:dyDescent="0.3">
      <c r="J48372"/>
    </row>
    <row r="48373" spans="10:10" x14ac:dyDescent="0.3">
      <c r="J48373"/>
    </row>
    <row r="48374" spans="10:10" x14ac:dyDescent="0.3">
      <c r="J48374"/>
    </row>
    <row r="48375" spans="10:10" x14ac:dyDescent="0.3">
      <c r="J48375"/>
    </row>
    <row r="48376" spans="10:10" x14ac:dyDescent="0.3">
      <c r="J48376"/>
    </row>
    <row r="48377" spans="10:10" x14ac:dyDescent="0.3">
      <c r="J48377"/>
    </row>
    <row r="48378" spans="10:10" x14ac:dyDescent="0.3">
      <c r="J48378"/>
    </row>
    <row r="48379" spans="10:10" x14ac:dyDescent="0.3">
      <c r="J48379"/>
    </row>
    <row r="48380" spans="10:10" x14ac:dyDescent="0.3">
      <c r="J48380"/>
    </row>
    <row r="48381" spans="10:10" x14ac:dyDescent="0.3">
      <c r="J48381"/>
    </row>
    <row r="48382" spans="10:10" x14ac:dyDescent="0.3">
      <c r="J48382"/>
    </row>
    <row r="48383" spans="10:10" x14ac:dyDescent="0.3">
      <c r="J48383"/>
    </row>
    <row r="48384" spans="10:10" x14ac:dyDescent="0.3">
      <c r="J48384"/>
    </row>
    <row r="48385" spans="10:10" x14ac:dyDescent="0.3">
      <c r="J48385"/>
    </row>
    <row r="48386" spans="10:10" x14ac:dyDescent="0.3">
      <c r="J48386"/>
    </row>
    <row r="48387" spans="10:10" x14ac:dyDescent="0.3">
      <c r="J48387"/>
    </row>
    <row r="48388" spans="10:10" x14ac:dyDescent="0.3">
      <c r="J48388"/>
    </row>
    <row r="48389" spans="10:10" x14ac:dyDescent="0.3">
      <c r="J48389"/>
    </row>
    <row r="48390" spans="10:10" x14ac:dyDescent="0.3">
      <c r="J48390"/>
    </row>
    <row r="48391" spans="10:10" x14ac:dyDescent="0.3">
      <c r="J48391"/>
    </row>
    <row r="48392" spans="10:10" x14ac:dyDescent="0.3">
      <c r="J48392"/>
    </row>
    <row r="48393" spans="10:10" x14ac:dyDescent="0.3">
      <c r="J48393"/>
    </row>
    <row r="48394" spans="10:10" x14ac:dyDescent="0.3">
      <c r="J48394"/>
    </row>
    <row r="48395" spans="10:10" x14ac:dyDescent="0.3">
      <c r="J48395"/>
    </row>
    <row r="48396" spans="10:10" x14ac:dyDescent="0.3">
      <c r="J48396"/>
    </row>
    <row r="48397" spans="10:10" x14ac:dyDescent="0.3">
      <c r="J48397"/>
    </row>
    <row r="48398" spans="10:10" x14ac:dyDescent="0.3">
      <c r="J48398"/>
    </row>
    <row r="48399" spans="10:10" x14ac:dyDescent="0.3">
      <c r="J48399"/>
    </row>
    <row r="48400" spans="10:10" x14ac:dyDescent="0.3">
      <c r="J48400"/>
    </row>
    <row r="48401" spans="10:10" x14ac:dyDescent="0.3">
      <c r="J48401"/>
    </row>
    <row r="48402" spans="10:10" x14ac:dyDescent="0.3">
      <c r="J48402"/>
    </row>
    <row r="48403" spans="10:10" x14ac:dyDescent="0.3">
      <c r="J48403"/>
    </row>
    <row r="48404" spans="10:10" x14ac:dyDescent="0.3">
      <c r="J48404"/>
    </row>
    <row r="48405" spans="10:10" x14ac:dyDescent="0.3">
      <c r="J48405"/>
    </row>
    <row r="48406" spans="10:10" x14ac:dyDescent="0.3">
      <c r="J48406"/>
    </row>
    <row r="48407" spans="10:10" x14ac:dyDescent="0.3">
      <c r="J48407"/>
    </row>
    <row r="48408" spans="10:10" x14ac:dyDescent="0.3">
      <c r="J48408"/>
    </row>
    <row r="48409" spans="10:10" x14ac:dyDescent="0.3">
      <c r="J48409"/>
    </row>
    <row r="48410" spans="10:10" x14ac:dyDescent="0.3">
      <c r="J48410"/>
    </row>
    <row r="48411" spans="10:10" x14ac:dyDescent="0.3">
      <c r="J48411"/>
    </row>
    <row r="48412" spans="10:10" x14ac:dyDescent="0.3">
      <c r="J48412"/>
    </row>
    <row r="48413" spans="10:10" x14ac:dyDescent="0.3">
      <c r="J48413"/>
    </row>
    <row r="48414" spans="10:10" x14ac:dyDescent="0.3">
      <c r="J48414"/>
    </row>
    <row r="48415" spans="10:10" x14ac:dyDescent="0.3">
      <c r="J48415"/>
    </row>
    <row r="48416" spans="10:10" x14ac:dyDescent="0.3">
      <c r="J48416"/>
    </row>
    <row r="48417" spans="10:10" x14ac:dyDescent="0.3">
      <c r="J48417"/>
    </row>
    <row r="48418" spans="10:10" x14ac:dyDescent="0.3">
      <c r="J48418"/>
    </row>
    <row r="48419" spans="10:10" x14ac:dyDescent="0.3">
      <c r="J48419"/>
    </row>
    <row r="48420" spans="10:10" x14ac:dyDescent="0.3">
      <c r="J48420"/>
    </row>
    <row r="48421" spans="10:10" x14ac:dyDescent="0.3">
      <c r="J48421"/>
    </row>
    <row r="48422" spans="10:10" x14ac:dyDescent="0.3">
      <c r="J48422"/>
    </row>
    <row r="48423" spans="10:10" x14ac:dyDescent="0.3">
      <c r="J48423"/>
    </row>
    <row r="48424" spans="10:10" x14ac:dyDescent="0.3">
      <c r="J48424"/>
    </row>
    <row r="48425" spans="10:10" x14ac:dyDescent="0.3">
      <c r="J48425"/>
    </row>
    <row r="48426" spans="10:10" x14ac:dyDescent="0.3">
      <c r="J48426"/>
    </row>
    <row r="48427" spans="10:10" x14ac:dyDescent="0.3">
      <c r="J48427"/>
    </row>
    <row r="48428" spans="10:10" x14ac:dyDescent="0.3">
      <c r="J48428"/>
    </row>
    <row r="48429" spans="10:10" x14ac:dyDescent="0.3">
      <c r="J48429"/>
    </row>
    <row r="48430" spans="10:10" x14ac:dyDescent="0.3">
      <c r="J48430"/>
    </row>
    <row r="48431" spans="10:10" x14ac:dyDescent="0.3">
      <c r="J48431"/>
    </row>
    <row r="48432" spans="10:10" x14ac:dyDescent="0.3">
      <c r="J48432"/>
    </row>
    <row r="48433" spans="10:10" x14ac:dyDescent="0.3">
      <c r="J48433"/>
    </row>
    <row r="48434" spans="10:10" x14ac:dyDescent="0.3">
      <c r="J48434"/>
    </row>
    <row r="48435" spans="10:10" x14ac:dyDescent="0.3">
      <c r="J48435"/>
    </row>
    <row r="48436" spans="10:10" x14ac:dyDescent="0.3">
      <c r="J48436"/>
    </row>
    <row r="48437" spans="10:10" x14ac:dyDescent="0.3">
      <c r="J48437"/>
    </row>
    <row r="48438" spans="10:10" x14ac:dyDescent="0.3">
      <c r="J48438"/>
    </row>
    <row r="48439" spans="10:10" x14ac:dyDescent="0.3">
      <c r="J48439"/>
    </row>
    <row r="48440" spans="10:10" x14ac:dyDescent="0.3">
      <c r="J48440"/>
    </row>
    <row r="48441" spans="10:10" x14ac:dyDescent="0.3">
      <c r="J48441"/>
    </row>
    <row r="48442" spans="10:10" x14ac:dyDescent="0.3">
      <c r="J48442"/>
    </row>
    <row r="48443" spans="10:10" x14ac:dyDescent="0.3">
      <c r="J48443"/>
    </row>
    <row r="48444" spans="10:10" x14ac:dyDescent="0.3">
      <c r="J48444"/>
    </row>
    <row r="48445" spans="10:10" x14ac:dyDescent="0.3">
      <c r="J48445"/>
    </row>
    <row r="48446" spans="10:10" x14ac:dyDescent="0.3">
      <c r="J48446"/>
    </row>
    <row r="48447" spans="10:10" x14ac:dyDescent="0.3">
      <c r="J48447"/>
    </row>
    <row r="48448" spans="10:10" x14ac:dyDescent="0.3">
      <c r="J48448"/>
    </row>
    <row r="48449" spans="10:10" x14ac:dyDescent="0.3">
      <c r="J48449"/>
    </row>
    <row r="48450" spans="10:10" x14ac:dyDescent="0.3">
      <c r="J48450"/>
    </row>
    <row r="48451" spans="10:10" x14ac:dyDescent="0.3">
      <c r="J48451"/>
    </row>
    <row r="48452" spans="10:10" x14ac:dyDescent="0.3">
      <c r="J48452"/>
    </row>
    <row r="48453" spans="10:10" x14ac:dyDescent="0.3">
      <c r="J48453"/>
    </row>
    <row r="48454" spans="10:10" x14ac:dyDescent="0.3">
      <c r="J48454"/>
    </row>
    <row r="48455" spans="10:10" x14ac:dyDescent="0.3">
      <c r="J48455"/>
    </row>
    <row r="48456" spans="10:10" x14ac:dyDescent="0.3">
      <c r="J48456"/>
    </row>
    <row r="48457" spans="10:10" x14ac:dyDescent="0.3">
      <c r="J48457"/>
    </row>
    <row r="48458" spans="10:10" x14ac:dyDescent="0.3">
      <c r="J48458"/>
    </row>
    <row r="48459" spans="10:10" x14ac:dyDescent="0.3">
      <c r="J48459"/>
    </row>
    <row r="48460" spans="10:10" x14ac:dyDescent="0.3">
      <c r="J48460"/>
    </row>
    <row r="48461" spans="10:10" x14ac:dyDescent="0.3">
      <c r="J48461"/>
    </row>
    <row r="48462" spans="10:10" x14ac:dyDescent="0.3">
      <c r="J48462"/>
    </row>
    <row r="48463" spans="10:10" x14ac:dyDescent="0.3">
      <c r="J48463"/>
    </row>
    <row r="48464" spans="10:10" x14ac:dyDescent="0.3">
      <c r="J48464"/>
    </row>
    <row r="48465" spans="10:10" x14ac:dyDescent="0.3">
      <c r="J48465"/>
    </row>
    <row r="48466" spans="10:10" x14ac:dyDescent="0.3">
      <c r="J48466"/>
    </row>
    <row r="48467" spans="10:10" x14ac:dyDescent="0.3">
      <c r="J48467"/>
    </row>
    <row r="48468" spans="10:10" x14ac:dyDescent="0.3">
      <c r="J48468"/>
    </row>
    <row r="48469" spans="10:10" x14ac:dyDescent="0.3">
      <c r="J48469"/>
    </row>
    <row r="48470" spans="10:10" x14ac:dyDescent="0.3">
      <c r="J48470"/>
    </row>
    <row r="48471" spans="10:10" x14ac:dyDescent="0.3">
      <c r="J48471"/>
    </row>
    <row r="48472" spans="10:10" x14ac:dyDescent="0.3">
      <c r="J48472"/>
    </row>
    <row r="48473" spans="10:10" x14ac:dyDescent="0.3">
      <c r="J48473"/>
    </row>
    <row r="48474" spans="10:10" x14ac:dyDescent="0.3">
      <c r="J48474"/>
    </row>
    <row r="48475" spans="10:10" x14ac:dyDescent="0.3">
      <c r="J48475"/>
    </row>
    <row r="48476" spans="10:10" x14ac:dyDescent="0.3">
      <c r="J48476"/>
    </row>
    <row r="48477" spans="10:10" x14ac:dyDescent="0.3">
      <c r="J48477"/>
    </row>
    <row r="48478" spans="10:10" x14ac:dyDescent="0.3">
      <c r="J48478"/>
    </row>
    <row r="48479" spans="10:10" x14ac:dyDescent="0.3">
      <c r="J48479"/>
    </row>
    <row r="48480" spans="10:10" x14ac:dyDescent="0.3">
      <c r="J48480"/>
    </row>
    <row r="48481" spans="10:10" x14ac:dyDescent="0.3">
      <c r="J48481"/>
    </row>
    <row r="48482" spans="10:10" x14ac:dyDescent="0.3">
      <c r="J48482"/>
    </row>
    <row r="48483" spans="10:10" x14ac:dyDescent="0.3">
      <c r="J48483"/>
    </row>
    <row r="48484" spans="10:10" x14ac:dyDescent="0.3">
      <c r="J48484"/>
    </row>
    <row r="48485" spans="10:10" x14ac:dyDescent="0.3">
      <c r="J48485"/>
    </row>
    <row r="48486" spans="10:10" x14ac:dyDescent="0.3">
      <c r="J48486"/>
    </row>
    <row r="48487" spans="10:10" x14ac:dyDescent="0.3">
      <c r="J48487"/>
    </row>
    <row r="48488" spans="10:10" x14ac:dyDescent="0.3">
      <c r="J48488"/>
    </row>
    <row r="48489" spans="10:10" x14ac:dyDescent="0.3">
      <c r="J48489"/>
    </row>
    <row r="48490" spans="10:10" x14ac:dyDescent="0.3">
      <c r="J48490"/>
    </row>
    <row r="48491" spans="10:10" x14ac:dyDescent="0.3">
      <c r="J48491"/>
    </row>
    <row r="48492" spans="10:10" x14ac:dyDescent="0.3">
      <c r="J48492"/>
    </row>
    <row r="48493" spans="10:10" x14ac:dyDescent="0.3">
      <c r="J48493"/>
    </row>
    <row r="48494" spans="10:10" x14ac:dyDescent="0.3">
      <c r="J48494"/>
    </row>
    <row r="48495" spans="10:10" x14ac:dyDescent="0.3">
      <c r="J48495"/>
    </row>
    <row r="48496" spans="10:10" x14ac:dyDescent="0.3">
      <c r="J48496"/>
    </row>
    <row r="48497" spans="10:10" x14ac:dyDescent="0.3">
      <c r="J48497"/>
    </row>
    <row r="48498" spans="10:10" x14ac:dyDescent="0.3">
      <c r="J48498"/>
    </row>
    <row r="48499" spans="10:10" x14ac:dyDescent="0.3">
      <c r="J48499"/>
    </row>
    <row r="48500" spans="10:10" x14ac:dyDescent="0.3">
      <c r="J48500"/>
    </row>
    <row r="48501" spans="10:10" x14ac:dyDescent="0.3">
      <c r="J48501"/>
    </row>
    <row r="48502" spans="10:10" x14ac:dyDescent="0.3">
      <c r="J48502"/>
    </row>
    <row r="48503" spans="10:10" x14ac:dyDescent="0.3">
      <c r="J48503"/>
    </row>
    <row r="48504" spans="10:10" x14ac:dyDescent="0.3">
      <c r="J48504"/>
    </row>
    <row r="48505" spans="10:10" x14ac:dyDescent="0.3">
      <c r="J48505"/>
    </row>
    <row r="48506" spans="10:10" x14ac:dyDescent="0.3">
      <c r="J48506"/>
    </row>
    <row r="48507" spans="10:10" x14ac:dyDescent="0.3">
      <c r="J48507"/>
    </row>
    <row r="48508" spans="10:10" x14ac:dyDescent="0.3">
      <c r="J48508"/>
    </row>
    <row r="48509" spans="10:10" x14ac:dyDescent="0.3">
      <c r="J48509"/>
    </row>
    <row r="48510" spans="10:10" x14ac:dyDescent="0.3">
      <c r="J48510"/>
    </row>
    <row r="48511" spans="10:10" x14ac:dyDescent="0.3">
      <c r="J48511"/>
    </row>
    <row r="48512" spans="10:10" x14ac:dyDescent="0.3">
      <c r="J48512"/>
    </row>
    <row r="48513" spans="10:10" x14ac:dyDescent="0.3">
      <c r="J48513"/>
    </row>
    <row r="48514" spans="10:10" x14ac:dyDescent="0.3">
      <c r="J48514"/>
    </row>
    <row r="48515" spans="10:10" x14ac:dyDescent="0.3">
      <c r="J48515"/>
    </row>
    <row r="48516" spans="10:10" x14ac:dyDescent="0.3">
      <c r="J48516"/>
    </row>
    <row r="48517" spans="10:10" x14ac:dyDescent="0.3">
      <c r="J48517"/>
    </row>
    <row r="48518" spans="10:10" x14ac:dyDescent="0.3">
      <c r="J48518"/>
    </row>
    <row r="48519" spans="10:10" x14ac:dyDescent="0.3">
      <c r="J48519"/>
    </row>
    <row r="48520" spans="10:10" x14ac:dyDescent="0.3">
      <c r="J48520"/>
    </row>
    <row r="48521" spans="10:10" x14ac:dyDescent="0.3">
      <c r="J48521"/>
    </row>
    <row r="48522" spans="10:10" x14ac:dyDescent="0.3">
      <c r="J48522"/>
    </row>
    <row r="48523" spans="10:10" x14ac:dyDescent="0.3">
      <c r="J48523"/>
    </row>
    <row r="48524" spans="10:10" x14ac:dyDescent="0.3">
      <c r="J48524"/>
    </row>
    <row r="48525" spans="10:10" x14ac:dyDescent="0.3">
      <c r="J48525"/>
    </row>
    <row r="48526" spans="10:10" x14ac:dyDescent="0.3">
      <c r="J48526"/>
    </row>
    <row r="48527" spans="10:10" x14ac:dyDescent="0.3">
      <c r="J48527"/>
    </row>
    <row r="48528" spans="10:10" x14ac:dyDescent="0.3">
      <c r="J48528"/>
    </row>
    <row r="48529" spans="10:10" x14ac:dyDescent="0.3">
      <c r="J48529"/>
    </row>
    <row r="48530" spans="10:10" x14ac:dyDescent="0.3">
      <c r="J48530"/>
    </row>
    <row r="48531" spans="10:10" x14ac:dyDescent="0.3">
      <c r="J48531"/>
    </row>
    <row r="48532" spans="10:10" x14ac:dyDescent="0.3">
      <c r="J48532"/>
    </row>
    <row r="48533" spans="10:10" x14ac:dyDescent="0.3">
      <c r="J48533"/>
    </row>
    <row r="48534" spans="10:10" x14ac:dyDescent="0.3">
      <c r="J48534"/>
    </row>
    <row r="48535" spans="10:10" x14ac:dyDescent="0.3">
      <c r="J48535"/>
    </row>
    <row r="48536" spans="10:10" x14ac:dyDescent="0.3">
      <c r="J48536"/>
    </row>
    <row r="48537" spans="10:10" x14ac:dyDescent="0.3">
      <c r="J48537"/>
    </row>
    <row r="48538" spans="10:10" x14ac:dyDescent="0.3">
      <c r="J48538"/>
    </row>
    <row r="48539" spans="10:10" x14ac:dyDescent="0.3">
      <c r="J48539"/>
    </row>
    <row r="48540" spans="10:10" x14ac:dyDescent="0.3">
      <c r="J48540"/>
    </row>
    <row r="48541" spans="10:10" x14ac:dyDescent="0.3">
      <c r="J48541"/>
    </row>
    <row r="48542" spans="10:10" x14ac:dyDescent="0.3">
      <c r="J48542"/>
    </row>
    <row r="48543" spans="10:10" x14ac:dyDescent="0.3">
      <c r="J48543"/>
    </row>
    <row r="48544" spans="10:10" x14ac:dyDescent="0.3">
      <c r="J48544"/>
    </row>
    <row r="48545" spans="10:10" x14ac:dyDescent="0.3">
      <c r="J48545"/>
    </row>
    <row r="48546" spans="10:10" x14ac:dyDescent="0.3">
      <c r="J48546"/>
    </row>
    <row r="48547" spans="10:10" x14ac:dyDescent="0.3">
      <c r="J48547"/>
    </row>
    <row r="48548" spans="10:10" x14ac:dyDescent="0.3">
      <c r="J48548"/>
    </row>
    <row r="48549" spans="10:10" x14ac:dyDescent="0.3">
      <c r="J48549"/>
    </row>
    <row r="48550" spans="10:10" x14ac:dyDescent="0.3">
      <c r="J48550"/>
    </row>
    <row r="48551" spans="10:10" x14ac:dyDescent="0.3">
      <c r="J48551"/>
    </row>
    <row r="48552" spans="10:10" x14ac:dyDescent="0.3">
      <c r="J48552"/>
    </row>
    <row r="48553" spans="10:10" x14ac:dyDescent="0.3">
      <c r="J48553"/>
    </row>
    <row r="48554" spans="10:10" x14ac:dyDescent="0.3">
      <c r="J48554"/>
    </row>
    <row r="48555" spans="10:10" x14ac:dyDescent="0.3">
      <c r="J48555"/>
    </row>
    <row r="48556" spans="10:10" x14ac:dyDescent="0.3">
      <c r="J48556"/>
    </row>
    <row r="48557" spans="10:10" x14ac:dyDescent="0.3">
      <c r="J48557"/>
    </row>
    <row r="48558" spans="10:10" x14ac:dyDescent="0.3">
      <c r="J48558"/>
    </row>
    <row r="48559" spans="10:10" x14ac:dyDescent="0.3">
      <c r="J48559"/>
    </row>
    <row r="48560" spans="10:10" x14ac:dyDescent="0.3">
      <c r="J48560"/>
    </row>
    <row r="48561" spans="10:10" x14ac:dyDescent="0.3">
      <c r="J48561"/>
    </row>
    <row r="48562" spans="10:10" x14ac:dyDescent="0.3">
      <c r="J48562"/>
    </row>
    <row r="48563" spans="10:10" x14ac:dyDescent="0.3">
      <c r="J48563"/>
    </row>
    <row r="48564" spans="10:10" x14ac:dyDescent="0.3">
      <c r="J48564"/>
    </row>
    <row r="48565" spans="10:10" x14ac:dyDescent="0.3">
      <c r="J48565"/>
    </row>
    <row r="48566" spans="10:10" x14ac:dyDescent="0.3">
      <c r="J48566"/>
    </row>
    <row r="48567" spans="10:10" x14ac:dyDescent="0.3">
      <c r="J48567"/>
    </row>
    <row r="48568" spans="10:10" x14ac:dyDescent="0.3">
      <c r="J48568"/>
    </row>
    <row r="48569" spans="10:10" x14ac:dyDescent="0.3">
      <c r="J48569"/>
    </row>
    <row r="48570" spans="10:10" x14ac:dyDescent="0.3">
      <c r="J48570"/>
    </row>
    <row r="48571" spans="10:10" x14ac:dyDescent="0.3">
      <c r="J48571"/>
    </row>
    <row r="48572" spans="10:10" x14ac:dyDescent="0.3">
      <c r="J48572"/>
    </row>
    <row r="48573" spans="10:10" x14ac:dyDescent="0.3">
      <c r="J48573"/>
    </row>
    <row r="48574" spans="10:10" x14ac:dyDescent="0.3">
      <c r="J48574"/>
    </row>
    <row r="48575" spans="10:10" x14ac:dyDescent="0.3">
      <c r="J48575"/>
    </row>
    <row r="48576" spans="10:10" x14ac:dyDescent="0.3">
      <c r="J48576"/>
    </row>
    <row r="48577" spans="10:10" x14ac:dyDescent="0.3">
      <c r="J48577"/>
    </row>
    <row r="48578" spans="10:10" x14ac:dyDescent="0.3">
      <c r="J48578"/>
    </row>
    <row r="48579" spans="10:10" x14ac:dyDescent="0.3">
      <c r="J48579"/>
    </row>
    <row r="48580" spans="10:10" x14ac:dyDescent="0.3">
      <c r="J48580"/>
    </row>
    <row r="48581" spans="10:10" x14ac:dyDescent="0.3">
      <c r="J48581"/>
    </row>
    <row r="48582" spans="10:10" x14ac:dyDescent="0.3">
      <c r="J48582"/>
    </row>
    <row r="48583" spans="10:10" x14ac:dyDescent="0.3">
      <c r="J48583"/>
    </row>
    <row r="48584" spans="10:10" x14ac:dyDescent="0.3">
      <c r="J48584"/>
    </row>
    <row r="48585" spans="10:10" x14ac:dyDescent="0.3">
      <c r="J48585"/>
    </row>
    <row r="48586" spans="10:10" x14ac:dyDescent="0.3">
      <c r="J48586"/>
    </row>
    <row r="48587" spans="10:10" x14ac:dyDescent="0.3">
      <c r="J48587"/>
    </row>
    <row r="48588" spans="10:10" x14ac:dyDescent="0.3">
      <c r="J48588"/>
    </row>
    <row r="48589" spans="10:10" x14ac:dyDescent="0.3">
      <c r="J48589"/>
    </row>
    <row r="48590" spans="10:10" x14ac:dyDescent="0.3">
      <c r="J48590"/>
    </row>
    <row r="48591" spans="10:10" x14ac:dyDescent="0.3">
      <c r="J48591"/>
    </row>
    <row r="48592" spans="10:10" x14ac:dyDescent="0.3">
      <c r="J48592"/>
    </row>
    <row r="48593" spans="10:10" x14ac:dyDescent="0.3">
      <c r="J48593"/>
    </row>
    <row r="48594" spans="10:10" x14ac:dyDescent="0.3">
      <c r="J48594"/>
    </row>
    <row r="48595" spans="10:10" x14ac:dyDescent="0.3">
      <c r="J48595"/>
    </row>
    <row r="48596" spans="10:10" x14ac:dyDescent="0.3">
      <c r="J48596"/>
    </row>
    <row r="48597" spans="10:10" x14ac:dyDescent="0.3">
      <c r="J48597"/>
    </row>
    <row r="48598" spans="10:10" x14ac:dyDescent="0.3">
      <c r="J48598"/>
    </row>
    <row r="48599" spans="10:10" x14ac:dyDescent="0.3">
      <c r="J48599"/>
    </row>
    <row r="48600" spans="10:10" x14ac:dyDescent="0.3">
      <c r="J48600"/>
    </row>
    <row r="48601" spans="10:10" x14ac:dyDescent="0.3">
      <c r="J48601"/>
    </row>
    <row r="48602" spans="10:10" x14ac:dyDescent="0.3">
      <c r="J48602"/>
    </row>
    <row r="48603" spans="10:10" x14ac:dyDescent="0.3">
      <c r="J48603"/>
    </row>
    <row r="48604" spans="10:10" x14ac:dyDescent="0.3">
      <c r="J48604"/>
    </row>
    <row r="48605" spans="10:10" x14ac:dyDescent="0.3">
      <c r="J48605"/>
    </row>
    <row r="48606" spans="10:10" x14ac:dyDescent="0.3">
      <c r="J48606"/>
    </row>
    <row r="48607" spans="10:10" x14ac:dyDescent="0.3">
      <c r="J48607"/>
    </row>
    <row r="48608" spans="10:10" x14ac:dyDescent="0.3">
      <c r="J48608"/>
    </row>
    <row r="48609" spans="10:10" x14ac:dyDescent="0.3">
      <c r="J48609"/>
    </row>
    <row r="48610" spans="10:10" x14ac:dyDescent="0.3">
      <c r="J48610"/>
    </row>
    <row r="48611" spans="10:10" x14ac:dyDescent="0.3">
      <c r="J48611"/>
    </row>
    <row r="48612" spans="10:10" x14ac:dyDescent="0.3">
      <c r="J48612"/>
    </row>
    <row r="48613" spans="10:10" x14ac:dyDescent="0.3">
      <c r="J48613"/>
    </row>
    <row r="48614" spans="10:10" x14ac:dyDescent="0.3">
      <c r="J48614"/>
    </row>
    <row r="48615" spans="10:10" x14ac:dyDescent="0.3">
      <c r="J48615"/>
    </row>
    <row r="48616" spans="10:10" x14ac:dyDescent="0.3">
      <c r="J48616"/>
    </row>
    <row r="48617" spans="10:10" x14ac:dyDescent="0.3">
      <c r="J48617"/>
    </row>
    <row r="48618" spans="10:10" x14ac:dyDescent="0.3">
      <c r="J48618"/>
    </row>
    <row r="48619" spans="10:10" x14ac:dyDescent="0.3">
      <c r="J48619"/>
    </row>
    <row r="48620" spans="10:10" x14ac:dyDescent="0.3">
      <c r="J48620"/>
    </row>
    <row r="48621" spans="10:10" x14ac:dyDescent="0.3">
      <c r="J48621"/>
    </row>
    <row r="48622" spans="10:10" x14ac:dyDescent="0.3">
      <c r="J48622"/>
    </row>
    <row r="48623" spans="10:10" x14ac:dyDescent="0.3">
      <c r="J48623"/>
    </row>
    <row r="48624" spans="10:10" x14ac:dyDescent="0.3">
      <c r="J48624"/>
    </row>
    <row r="48625" spans="10:10" x14ac:dyDescent="0.3">
      <c r="J48625"/>
    </row>
    <row r="48626" spans="10:10" x14ac:dyDescent="0.3">
      <c r="J48626"/>
    </row>
    <row r="48627" spans="10:10" x14ac:dyDescent="0.3">
      <c r="J48627"/>
    </row>
    <row r="48628" spans="10:10" x14ac:dyDescent="0.3">
      <c r="J48628"/>
    </row>
    <row r="48629" spans="10:10" x14ac:dyDescent="0.3">
      <c r="J48629"/>
    </row>
    <row r="48630" spans="10:10" x14ac:dyDescent="0.3">
      <c r="J48630"/>
    </row>
    <row r="48631" spans="10:10" x14ac:dyDescent="0.3">
      <c r="J48631"/>
    </row>
    <row r="48632" spans="10:10" x14ac:dyDescent="0.3">
      <c r="J48632"/>
    </row>
    <row r="48633" spans="10:10" x14ac:dyDescent="0.3">
      <c r="J48633"/>
    </row>
    <row r="48634" spans="10:10" x14ac:dyDescent="0.3">
      <c r="J48634"/>
    </row>
    <row r="48635" spans="10:10" x14ac:dyDescent="0.3">
      <c r="J48635"/>
    </row>
    <row r="48636" spans="10:10" x14ac:dyDescent="0.3">
      <c r="J48636"/>
    </row>
    <row r="48637" spans="10:10" x14ac:dyDescent="0.3">
      <c r="J48637"/>
    </row>
    <row r="48638" spans="10:10" x14ac:dyDescent="0.3">
      <c r="J48638"/>
    </row>
    <row r="48639" spans="10:10" x14ac:dyDescent="0.3">
      <c r="J48639"/>
    </row>
    <row r="48640" spans="10:10" x14ac:dyDescent="0.3">
      <c r="J48640"/>
    </row>
    <row r="48641" spans="10:10" x14ac:dyDescent="0.3">
      <c r="J48641"/>
    </row>
    <row r="48642" spans="10:10" x14ac:dyDescent="0.3">
      <c r="J48642"/>
    </row>
    <row r="48643" spans="10:10" x14ac:dyDescent="0.3">
      <c r="J48643"/>
    </row>
    <row r="48644" spans="10:10" x14ac:dyDescent="0.3">
      <c r="J48644"/>
    </row>
    <row r="48645" spans="10:10" x14ac:dyDescent="0.3">
      <c r="J48645"/>
    </row>
    <row r="48646" spans="10:10" x14ac:dyDescent="0.3">
      <c r="J48646"/>
    </row>
    <row r="48647" spans="10:10" x14ac:dyDescent="0.3">
      <c r="J48647"/>
    </row>
    <row r="48648" spans="10:10" x14ac:dyDescent="0.3">
      <c r="J48648"/>
    </row>
    <row r="48649" spans="10:10" x14ac:dyDescent="0.3">
      <c r="J48649"/>
    </row>
    <row r="48650" spans="10:10" x14ac:dyDescent="0.3">
      <c r="J48650"/>
    </row>
    <row r="48651" spans="10:10" x14ac:dyDescent="0.3">
      <c r="J48651"/>
    </row>
    <row r="48652" spans="10:10" x14ac:dyDescent="0.3">
      <c r="J48652"/>
    </row>
    <row r="48653" spans="10:10" x14ac:dyDescent="0.3">
      <c r="J48653"/>
    </row>
    <row r="48654" spans="10:10" x14ac:dyDescent="0.3">
      <c r="J48654"/>
    </row>
    <row r="48655" spans="10:10" x14ac:dyDescent="0.3">
      <c r="J48655"/>
    </row>
    <row r="48656" spans="10:10" x14ac:dyDescent="0.3">
      <c r="J48656"/>
    </row>
    <row r="48657" spans="10:10" x14ac:dyDescent="0.3">
      <c r="J48657"/>
    </row>
    <row r="48658" spans="10:10" x14ac:dyDescent="0.3">
      <c r="J48658"/>
    </row>
    <row r="48659" spans="10:10" x14ac:dyDescent="0.3">
      <c r="J48659"/>
    </row>
    <row r="48660" spans="10:10" x14ac:dyDescent="0.3">
      <c r="J48660"/>
    </row>
    <row r="48661" spans="10:10" x14ac:dyDescent="0.3">
      <c r="J48661"/>
    </row>
    <row r="48662" spans="10:10" x14ac:dyDescent="0.3">
      <c r="J48662"/>
    </row>
    <row r="48663" spans="10:10" x14ac:dyDescent="0.3">
      <c r="J48663"/>
    </row>
    <row r="48664" spans="10:10" x14ac:dyDescent="0.3">
      <c r="J48664"/>
    </row>
    <row r="48665" spans="10:10" x14ac:dyDescent="0.3">
      <c r="J48665"/>
    </row>
    <row r="48666" spans="10:10" x14ac:dyDescent="0.3">
      <c r="J48666"/>
    </row>
    <row r="48667" spans="10:10" x14ac:dyDescent="0.3">
      <c r="J48667"/>
    </row>
    <row r="48668" spans="10:10" x14ac:dyDescent="0.3">
      <c r="J48668"/>
    </row>
    <row r="48669" spans="10:10" x14ac:dyDescent="0.3">
      <c r="J48669"/>
    </row>
    <row r="48670" spans="10:10" x14ac:dyDescent="0.3">
      <c r="J48670"/>
    </row>
    <row r="48671" spans="10:10" x14ac:dyDescent="0.3">
      <c r="J48671"/>
    </row>
    <row r="48672" spans="10:10" x14ac:dyDescent="0.3">
      <c r="J48672"/>
    </row>
    <row r="48673" spans="10:10" x14ac:dyDescent="0.3">
      <c r="J48673"/>
    </row>
    <row r="48674" spans="10:10" x14ac:dyDescent="0.3">
      <c r="J48674"/>
    </row>
    <row r="48675" spans="10:10" x14ac:dyDescent="0.3">
      <c r="J48675"/>
    </row>
    <row r="48676" spans="10:10" x14ac:dyDescent="0.3">
      <c r="J48676"/>
    </row>
    <row r="48677" spans="10:10" x14ac:dyDescent="0.3">
      <c r="J48677"/>
    </row>
    <row r="48678" spans="10:10" x14ac:dyDescent="0.3">
      <c r="J48678"/>
    </row>
    <row r="48679" spans="10:10" x14ac:dyDescent="0.3">
      <c r="J48679"/>
    </row>
    <row r="48680" spans="10:10" x14ac:dyDescent="0.3">
      <c r="J48680"/>
    </row>
    <row r="48681" spans="10:10" x14ac:dyDescent="0.3">
      <c r="J48681"/>
    </row>
    <row r="48682" spans="10:10" x14ac:dyDescent="0.3">
      <c r="J48682"/>
    </row>
    <row r="48683" spans="10:10" x14ac:dyDescent="0.3">
      <c r="J48683"/>
    </row>
    <row r="48684" spans="10:10" x14ac:dyDescent="0.3">
      <c r="J48684"/>
    </row>
    <row r="48685" spans="10:10" x14ac:dyDescent="0.3">
      <c r="J48685"/>
    </row>
    <row r="48686" spans="10:10" x14ac:dyDescent="0.3">
      <c r="J48686"/>
    </row>
    <row r="48687" spans="10:10" x14ac:dyDescent="0.3">
      <c r="J48687"/>
    </row>
    <row r="48688" spans="10:10" x14ac:dyDescent="0.3">
      <c r="J48688"/>
    </row>
    <row r="48689" spans="10:10" x14ac:dyDescent="0.3">
      <c r="J48689"/>
    </row>
    <row r="48690" spans="10:10" x14ac:dyDescent="0.3">
      <c r="J48690"/>
    </row>
    <row r="48691" spans="10:10" x14ac:dyDescent="0.3">
      <c r="J48691"/>
    </row>
    <row r="48692" spans="10:10" x14ac:dyDescent="0.3">
      <c r="J48692"/>
    </row>
    <row r="48693" spans="10:10" x14ac:dyDescent="0.3">
      <c r="J48693"/>
    </row>
    <row r="48694" spans="10:10" x14ac:dyDescent="0.3">
      <c r="J48694"/>
    </row>
    <row r="48695" spans="10:10" x14ac:dyDescent="0.3">
      <c r="J48695"/>
    </row>
    <row r="48696" spans="10:10" x14ac:dyDescent="0.3">
      <c r="J48696"/>
    </row>
    <row r="48697" spans="10:10" x14ac:dyDescent="0.3">
      <c r="J48697"/>
    </row>
    <row r="48698" spans="10:10" x14ac:dyDescent="0.3">
      <c r="J48698"/>
    </row>
    <row r="48699" spans="10:10" x14ac:dyDescent="0.3">
      <c r="J48699"/>
    </row>
    <row r="48700" spans="10:10" x14ac:dyDescent="0.3">
      <c r="J48700"/>
    </row>
    <row r="48701" spans="10:10" x14ac:dyDescent="0.3">
      <c r="J48701"/>
    </row>
    <row r="48702" spans="10:10" x14ac:dyDescent="0.3">
      <c r="J48702"/>
    </row>
    <row r="48703" spans="10:10" x14ac:dyDescent="0.3">
      <c r="J48703"/>
    </row>
    <row r="48704" spans="10:10" x14ac:dyDescent="0.3">
      <c r="J48704"/>
    </row>
    <row r="48705" spans="10:10" x14ac:dyDescent="0.3">
      <c r="J48705"/>
    </row>
    <row r="48706" spans="10:10" x14ac:dyDescent="0.3">
      <c r="J48706"/>
    </row>
    <row r="48707" spans="10:10" x14ac:dyDescent="0.3">
      <c r="J48707"/>
    </row>
    <row r="48708" spans="10:10" x14ac:dyDescent="0.3">
      <c r="J48708"/>
    </row>
    <row r="48709" spans="10:10" x14ac:dyDescent="0.3">
      <c r="J48709"/>
    </row>
    <row r="48710" spans="10:10" x14ac:dyDescent="0.3">
      <c r="J48710"/>
    </row>
    <row r="48711" spans="10:10" x14ac:dyDescent="0.3">
      <c r="J48711"/>
    </row>
    <row r="48712" spans="10:10" x14ac:dyDescent="0.3">
      <c r="J48712"/>
    </row>
    <row r="48713" spans="10:10" x14ac:dyDescent="0.3">
      <c r="J48713"/>
    </row>
    <row r="48714" spans="10:10" x14ac:dyDescent="0.3">
      <c r="J48714"/>
    </row>
    <row r="48715" spans="10:10" x14ac:dyDescent="0.3">
      <c r="J48715"/>
    </row>
    <row r="48716" spans="10:10" x14ac:dyDescent="0.3">
      <c r="J48716"/>
    </row>
    <row r="48717" spans="10:10" x14ac:dyDescent="0.3">
      <c r="J48717"/>
    </row>
    <row r="48718" spans="10:10" x14ac:dyDescent="0.3">
      <c r="J48718"/>
    </row>
    <row r="48719" spans="10:10" x14ac:dyDescent="0.3">
      <c r="J48719"/>
    </row>
    <row r="48720" spans="10:10" x14ac:dyDescent="0.3">
      <c r="J48720"/>
    </row>
    <row r="48721" spans="10:10" x14ac:dyDescent="0.3">
      <c r="J48721"/>
    </row>
    <row r="48722" spans="10:10" x14ac:dyDescent="0.3">
      <c r="J48722"/>
    </row>
    <row r="48723" spans="10:10" x14ac:dyDescent="0.3">
      <c r="J48723"/>
    </row>
    <row r="48724" spans="10:10" x14ac:dyDescent="0.3">
      <c r="J48724"/>
    </row>
    <row r="48725" spans="10:10" x14ac:dyDescent="0.3">
      <c r="J48725"/>
    </row>
    <row r="48726" spans="10:10" x14ac:dyDescent="0.3">
      <c r="J48726"/>
    </row>
    <row r="48727" spans="10:10" x14ac:dyDescent="0.3">
      <c r="J48727"/>
    </row>
    <row r="48728" spans="10:10" x14ac:dyDescent="0.3">
      <c r="J48728"/>
    </row>
    <row r="48729" spans="10:10" x14ac:dyDescent="0.3">
      <c r="J48729"/>
    </row>
    <row r="48730" spans="10:10" x14ac:dyDescent="0.3">
      <c r="J48730"/>
    </row>
    <row r="48731" spans="10:10" x14ac:dyDescent="0.3">
      <c r="J48731"/>
    </row>
    <row r="48732" spans="10:10" x14ac:dyDescent="0.3">
      <c r="J48732"/>
    </row>
    <row r="48733" spans="10:10" x14ac:dyDescent="0.3">
      <c r="J48733"/>
    </row>
    <row r="48734" spans="10:10" x14ac:dyDescent="0.3">
      <c r="J48734"/>
    </row>
    <row r="48735" spans="10:10" x14ac:dyDescent="0.3">
      <c r="J48735"/>
    </row>
    <row r="48736" spans="10:10" x14ac:dyDescent="0.3">
      <c r="J48736"/>
    </row>
    <row r="48737" spans="10:10" x14ac:dyDescent="0.3">
      <c r="J48737"/>
    </row>
    <row r="48738" spans="10:10" x14ac:dyDescent="0.3">
      <c r="J48738"/>
    </row>
    <row r="48739" spans="10:10" x14ac:dyDescent="0.3">
      <c r="J48739"/>
    </row>
    <row r="48740" spans="10:10" x14ac:dyDescent="0.3">
      <c r="J48740"/>
    </row>
    <row r="48741" spans="10:10" x14ac:dyDescent="0.3">
      <c r="J48741"/>
    </row>
    <row r="48742" spans="10:10" x14ac:dyDescent="0.3">
      <c r="J48742"/>
    </row>
    <row r="48743" spans="10:10" x14ac:dyDescent="0.3">
      <c r="J48743"/>
    </row>
    <row r="48744" spans="10:10" x14ac:dyDescent="0.3">
      <c r="J48744"/>
    </row>
    <row r="48745" spans="10:10" x14ac:dyDescent="0.3">
      <c r="J48745"/>
    </row>
    <row r="48746" spans="10:10" x14ac:dyDescent="0.3">
      <c r="J48746"/>
    </row>
    <row r="48747" spans="10:10" x14ac:dyDescent="0.3">
      <c r="J48747"/>
    </row>
    <row r="48748" spans="10:10" x14ac:dyDescent="0.3">
      <c r="J48748"/>
    </row>
    <row r="48749" spans="10:10" x14ac:dyDescent="0.3">
      <c r="J48749"/>
    </row>
    <row r="48750" spans="10:10" x14ac:dyDescent="0.3">
      <c r="J48750"/>
    </row>
    <row r="48751" spans="10:10" x14ac:dyDescent="0.3">
      <c r="J48751"/>
    </row>
    <row r="48752" spans="10:10" x14ac:dyDescent="0.3">
      <c r="J48752"/>
    </row>
    <row r="48753" spans="10:10" x14ac:dyDescent="0.3">
      <c r="J48753"/>
    </row>
    <row r="48754" spans="10:10" x14ac:dyDescent="0.3">
      <c r="J48754"/>
    </row>
    <row r="48755" spans="10:10" x14ac:dyDescent="0.3">
      <c r="J48755"/>
    </row>
    <row r="48756" spans="10:10" x14ac:dyDescent="0.3">
      <c r="J48756"/>
    </row>
    <row r="48757" spans="10:10" x14ac:dyDescent="0.3">
      <c r="J48757"/>
    </row>
    <row r="48758" spans="10:10" x14ac:dyDescent="0.3">
      <c r="J48758"/>
    </row>
    <row r="48759" spans="10:10" x14ac:dyDescent="0.3">
      <c r="J48759"/>
    </row>
    <row r="48760" spans="10:10" x14ac:dyDescent="0.3">
      <c r="J48760"/>
    </row>
    <row r="48761" spans="10:10" x14ac:dyDescent="0.3">
      <c r="J48761"/>
    </row>
    <row r="48762" spans="10:10" x14ac:dyDescent="0.3">
      <c r="J48762"/>
    </row>
    <row r="48763" spans="10:10" x14ac:dyDescent="0.3">
      <c r="J48763"/>
    </row>
    <row r="48764" spans="10:10" x14ac:dyDescent="0.3">
      <c r="J48764"/>
    </row>
    <row r="48765" spans="10:10" x14ac:dyDescent="0.3">
      <c r="J48765"/>
    </row>
    <row r="48766" spans="10:10" x14ac:dyDescent="0.3">
      <c r="J48766"/>
    </row>
    <row r="48767" spans="10:10" x14ac:dyDescent="0.3">
      <c r="J48767"/>
    </row>
    <row r="48768" spans="10:10" x14ac:dyDescent="0.3">
      <c r="J48768"/>
    </row>
    <row r="48769" spans="10:10" x14ac:dyDescent="0.3">
      <c r="J48769"/>
    </row>
    <row r="48770" spans="10:10" x14ac:dyDescent="0.3">
      <c r="J48770"/>
    </row>
    <row r="48771" spans="10:10" x14ac:dyDescent="0.3">
      <c r="J48771"/>
    </row>
    <row r="48772" spans="10:10" x14ac:dyDescent="0.3">
      <c r="J48772"/>
    </row>
    <row r="48773" spans="10:10" x14ac:dyDescent="0.3">
      <c r="J48773"/>
    </row>
    <row r="48774" spans="10:10" x14ac:dyDescent="0.3">
      <c r="J48774"/>
    </row>
    <row r="48775" spans="10:10" x14ac:dyDescent="0.3">
      <c r="J48775"/>
    </row>
    <row r="48776" spans="10:10" x14ac:dyDescent="0.3">
      <c r="J48776"/>
    </row>
    <row r="48777" spans="10:10" x14ac:dyDescent="0.3">
      <c r="J48777"/>
    </row>
    <row r="48778" spans="10:10" x14ac:dyDescent="0.3">
      <c r="J48778"/>
    </row>
    <row r="48779" spans="10:10" x14ac:dyDescent="0.3">
      <c r="J48779"/>
    </row>
    <row r="48780" spans="10:10" x14ac:dyDescent="0.3">
      <c r="J48780"/>
    </row>
    <row r="48781" spans="10:10" x14ac:dyDescent="0.3">
      <c r="J48781"/>
    </row>
    <row r="48782" spans="10:10" x14ac:dyDescent="0.3">
      <c r="J48782"/>
    </row>
    <row r="48783" spans="10:10" x14ac:dyDescent="0.3">
      <c r="J48783"/>
    </row>
    <row r="48784" spans="10:10" x14ac:dyDescent="0.3">
      <c r="J48784"/>
    </row>
    <row r="48785" spans="10:10" x14ac:dyDescent="0.3">
      <c r="J48785"/>
    </row>
    <row r="48786" spans="10:10" x14ac:dyDescent="0.3">
      <c r="J48786"/>
    </row>
    <row r="48787" spans="10:10" x14ac:dyDescent="0.3">
      <c r="J48787"/>
    </row>
    <row r="48788" spans="10:10" x14ac:dyDescent="0.3">
      <c r="J48788"/>
    </row>
    <row r="48789" spans="10:10" x14ac:dyDescent="0.3">
      <c r="J48789"/>
    </row>
    <row r="48790" spans="10:10" x14ac:dyDescent="0.3">
      <c r="J48790"/>
    </row>
    <row r="48791" spans="10:10" x14ac:dyDescent="0.3">
      <c r="J48791"/>
    </row>
    <row r="48792" spans="10:10" x14ac:dyDescent="0.3">
      <c r="J48792"/>
    </row>
    <row r="48793" spans="10:10" x14ac:dyDescent="0.3">
      <c r="J48793"/>
    </row>
    <row r="48794" spans="10:10" x14ac:dyDescent="0.3">
      <c r="J48794"/>
    </row>
    <row r="48795" spans="10:10" x14ac:dyDescent="0.3">
      <c r="J48795"/>
    </row>
    <row r="48796" spans="10:10" x14ac:dyDescent="0.3">
      <c r="J48796"/>
    </row>
    <row r="48797" spans="10:10" x14ac:dyDescent="0.3">
      <c r="J48797"/>
    </row>
    <row r="48798" spans="10:10" x14ac:dyDescent="0.3">
      <c r="J48798"/>
    </row>
    <row r="48799" spans="10:10" x14ac:dyDescent="0.3">
      <c r="J48799"/>
    </row>
    <row r="48800" spans="10:10" x14ac:dyDescent="0.3">
      <c r="J48800"/>
    </row>
    <row r="48801" spans="10:10" x14ac:dyDescent="0.3">
      <c r="J48801"/>
    </row>
    <row r="48802" spans="10:10" x14ac:dyDescent="0.3">
      <c r="J48802"/>
    </row>
    <row r="48803" spans="10:10" x14ac:dyDescent="0.3">
      <c r="J48803"/>
    </row>
    <row r="48804" spans="10:10" x14ac:dyDescent="0.3">
      <c r="J48804"/>
    </row>
    <row r="48805" spans="10:10" x14ac:dyDescent="0.3">
      <c r="J48805"/>
    </row>
    <row r="48806" spans="10:10" x14ac:dyDescent="0.3">
      <c r="J48806"/>
    </row>
    <row r="48807" spans="10:10" x14ac:dyDescent="0.3">
      <c r="J48807"/>
    </row>
    <row r="48808" spans="10:10" x14ac:dyDescent="0.3">
      <c r="J48808"/>
    </row>
    <row r="48809" spans="10:10" x14ac:dyDescent="0.3">
      <c r="J48809"/>
    </row>
    <row r="48810" spans="10:10" x14ac:dyDescent="0.3">
      <c r="J48810"/>
    </row>
    <row r="48811" spans="10:10" x14ac:dyDescent="0.3">
      <c r="J48811"/>
    </row>
    <row r="48812" spans="10:10" x14ac:dyDescent="0.3">
      <c r="J48812"/>
    </row>
    <row r="48813" spans="10:10" x14ac:dyDescent="0.3">
      <c r="J48813"/>
    </row>
    <row r="48814" spans="10:10" x14ac:dyDescent="0.3">
      <c r="J48814"/>
    </row>
    <row r="48815" spans="10:10" x14ac:dyDescent="0.3">
      <c r="J48815"/>
    </row>
    <row r="48816" spans="10:10" x14ac:dyDescent="0.3">
      <c r="J48816"/>
    </row>
    <row r="48817" spans="10:10" x14ac:dyDescent="0.3">
      <c r="J48817"/>
    </row>
    <row r="48818" spans="10:10" x14ac:dyDescent="0.3">
      <c r="J48818"/>
    </row>
    <row r="48819" spans="10:10" x14ac:dyDescent="0.3">
      <c r="J48819"/>
    </row>
    <row r="48820" spans="10:10" x14ac:dyDescent="0.3">
      <c r="J48820"/>
    </row>
    <row r="48821" spans="10:10" x14ac:dyDescent="0.3">
      <c r="J48821"/>
    </row>
    <row r="48822" spans="10:10" x14ac:dyDescent="0.3">
      <c r="J48822"/>
    </row>
    <row r="48823" spans="10:10" x14ac:dyDescent="0.3">
      <c r="J48823"/>
    </row>
    <row r="48824" spans="10:10" x14ac:dyDescent="0.3">
      <c r="J48824"/>
    </row>
    <row r="48825" spans="10:10" x14ac:dyDescent="0.3">
      <c r="J48825"/>
    </row>
    <row r="48826" spans="10:10" x14ac:dyDescent="0.3">
      <c r="J48826"/>
    </row>
    <row r="48827" spans="10:10" x14ac:dyDescent="0.3">
      <c r="J48827"/>
    </row>
    <row r="48828" spans="10:10" x14ac:dyDescent="0.3">
      <c r="J48828"/>
    </row>
    <row r="48829" spans="10:10" x14ac:dyDescent="0.3">
      <c r="J48829"/>
    </row>
    <row r="48830" spans="10:10" x14ac:dyDescent="0.3">
      <c r="J48830"/>
    </row>
    <row r="48831" spans="10:10" x14ac:dyDescent="0.3">
      <c r="J48831"/>
    </row>
    <row r="48832" spans="10:10" x14ac:dyDescent="0.3">
      <c r="J48832"/>
    </row>
    <row r="48833" spans="10:10" x14ac:dyDescent="0.3">
      <c r="J48833"/>
    </row>
    <row r="48834" spans="10:10" x14ac:dyDescent="0.3">
      <c r="J48834"/>
    </row>
    <row r="48835" spans="10:10" x14ac:dyDescent="0.3">
      <c r="J48835"/>
    </row>
    <row r="48836" spans="10:10" x14ac:dyDescent="0.3">
      <c r="J48836"/>
    </row>
    <row r="48837" spans="10:10" x14ac:dyDescent="0.3">
      <c r="J48837"/>
    </row>
    <row r="48838" spans="10:10" x14ac:dyDescent="0.3">
      <c r="J48838"/>
    </row>
    <row r="48839" spans="10:10" x14ac:dyDescent="0.3">
      <c r="J48839"/>
    </row>
    <row r="48840" spans="10:10" x14ac:dyDescent="0.3">
      <c r="J48840"/>
    </row>
    <row r="48841" spans="10:10" x14ac:dyDescent="0.3">
      <c r="J48841"/>
    </row>
    <row r="48842" spans="10:10" x14ac:dyDescent="0.3">
      <c r="J48842"/>
    </row>
    <row r="48843" spans="10:10" x14ac:dyDescent="0.3">
      <c r="J48843"/>
    </row>
    <row r="48844" spans="10:10" x14ac:dyDescent="0.3">
      <c r="J48844"/>
    </row>
    <row r="48845" spans="10:10" x14ac:dyDescent="0.3">
      <c r="J48845"/>
    </row>
    <row r="48846" spans="10:10" x14ac:dyDescent="0.3">
      <c r="J48846"/>
    </row>
    <row r="48847" spans="10:10" x14ac:dyDescent="0.3">
      <c r="J48847"/>
    </row>
    <row r="48848" spans="10:10" x14ac:dyDescent="0.3">
      <c r="J48848"/>
    </row>
    <row r="48849" spans="10:10" x14ac:dyDescent="0.3">
      <c r="J48849"/>
    </row>
    <row r="48850" spans="10:10" x14ac:dyDescent="0.3">
      <c r="J48850"/>
    </row>
    <row r="48851" spans="10:10" x14ac:dyDescent="0.3">
      <c r="J48851"/>
    </row>
    <row r="48852" spans="10:10" x14ac:dyDescent="0.3">
      <c r="J48852"/>
    </row>
    <row r="48853" spans="10:10" x14ac:dyDescent="0.3">
      <c r="J48853"/>
    </row>
    <row r="48854" spans="10:10" x14ac:dyDescent="0.3">
      <c r="J48854"/>
    </row>
    <row r="48855" spans="10:10" x14ac:dyDescent="0.3">
      <c r="J48855"/>
    </row>
    <row r="48856" spans="10:10" x14ac:dyDescent="0.3">
      <c r="J48856"/>
    </row>
    <row r="48857" spans="10:10" x14ac:dyDescent="0.3">
      <c r="J48857"/>
    </row>
    <row r="48858" spans="10:10" x14ac:dyDescent="0.3">
      <c r="J48858"/>
    </row>
    <row r="48859" spans="10:10" x14ac:dyDescent="0.3">
      <c r="J48859"/>
    </row>
    <row r="48860" spans="10:10" x14ac:dyDescent="0.3">
      <c r="J48860"/>
    </row>
    <row r="48861" spans="10:10" x14ac:dyDescent="0.3">
      <c r="J48861"/>
    </row>
    <row r="48862" spans="10:10" x14ac:dyDescent="0.3">
      <c r="J48862"/>
    </row>
    <row r="48863" spans="10:10" x14ac:dyDescent="0.3">
      <c r="J48863"/>
    </row>
    <row r="48864" spans="10:10" x14ac:dyDescent="0.3">
      <c r="J48864"/>
    </row>
    <row r="48865" spans="10:10" x14ac:dyDescent="0.3">
      <c r="J48865"/>
    </row>
    <row r="48866" spans="10:10" x14ac:dyDescent="0.3">
      <c r="J48866"/>
    </row>
    <row r="48867" spans="10:10" x14ac:dyDescent="0.3">
      <c r="J48867"/>
    </row>
    <row r="48868" spans="10:10" x14ac:dyDescent="0.3">
      <c r="J48868"/>
    </row>
    <row r="48869" spans="10:10" x14ac:dyDescent="0.3">
      <c r="J48869"/>
    </row>
    <row r="48870" spans="10:10" x14ac:dyDescent="0.3">
      <c r="J48870"/>
    </row>
    <row r="48871" spans="10:10" x14ac:dyDescent="0.3">
      <c r="J48871"/>
    </row>
    <row r="48872" spans="10:10" x14ac:dyDescent="0.3">
      <c r="J48872"/>
    </row>
    <row r="48873" spans="10:10" x14ac:dyDescent="0.3">
      <c r="J48873"/>
    </row>
    <row r="48874" spans="10:10" x14ac:dyDescent="0.3">
      <c r="J48874"/>
    </row>
    <row r="48875" spans="10:10" x14ac:dyDescent="0.3">
      <c r="J48875"/>
    </row>
    <row r="48876" spans="10:10" x14ac:dyDescent="0.3">
      <c r="J48876"/>
    </row>
    <row r="48877" spans="10:10" x14ac:dyDescent="0.3">
      <c r="J48877"/>
    </row>
    <row r="48878" spans="10:10" x14ac:dyDescent="0.3">
      <c r="J48878"/>
    </row>
    <row r="48879" spans="10:10" x14ac:dyDescent="0.3">
      <c r="J48879"/>
    </row>
    <row r="48880" spans="10:10" x14ac:dyDescent="0.3">
      <c r="J48880"/>
    </row>
    <row r="48881" spans="10:10" x14ac:dyDescent="0.3">
      <c r="J48881"/>
    </row>
    <row r="48882" spans="10:10" x14ac:dyDescent="0.3">
      <c r="J48882"/>
    </row>
    <row r="48883" spans="10:10" x14ac:dyDescent="0.3">
      <c r="J48883"/>
    </row>
    <row r="48884" spans="10:10" x14ac:dyDescent="0.3">
      <c r="J48884"/>
    </row>
    <row r="48885" spans="10:10" x14ac:dyDescent="0.3">
      <c r="J48885"/>
    </row>
    <row r="48886" spans="10:10" x14ac:dyDescent="0.3">
      <c r="J48886"/>
    </row>
    <row r="48887" spans="10:10" x14ac:dyDescent="0.3">
      <c r="J48887"/>
    </row>
    <row r="48888" spans="10:10" x14ac:dyDescent="0.3">
      <c r="J48888"/>
    </row>
    <row r="48889" spans="10:10" x14ac:dyDescent="0.3">
      <c r="J48889"/>
    </row>
    <row r="48890" spans="10:10" x14ac:dyDescent="0.3">
      <c r="J48890"/>
    </row>
    <row r="48891" spans="10:10" x14ac:dyDescent="0.3">
      <c r="J48891"/>
    </row>
    <row r="48892" spans="10:10" x14ac:dyDescent="0.3">
      <c r="J48892"/>
    </row>
    <row r="48893" spans="10:10" x14ac:dyDescent="0.3">
      <c r="J48893"/>
    </row>
    <row r="48894" spans="10:10" x14ac:dyDescent="0.3">
      <c r="J48894"/>
    </row>
    <row r="48895" spans="10:10" x14ac:dyDescent="0.3">
      <c r="J48895"/>
    </row>
    <row r="48896" spans="10:10" x14ac:dyDescent="0.3">
      <c r="J48896"/>
    </row>
    <row r="48897" spans="10:10" x14ac:dyDescent="0.3">
      <c r="J48897"/>
    </row>
    <row r="48898" spans="10:10" x14ac:dyDescent="0.3">
      <c r="J48898"/>
    </row>
    <row r="48899" spans="10:10" x14ac:dyDescent="0.3">
      <c r="J48899"/>
    </row>
    <row r="48900" spans="10:10" x14ac:dyDescent="0.3">
      <c r="J48900"/>
    </row>
    <row r="48901" spans="10:10" x14ac:dyDescent="0.3">
      <c r="J48901"/>
    </row>
    <row r="48902" spans="10:10" x14ac:dyDescent="0.3">
      <c r="J48902"/>
    </row>
    <row r="48903" spans="10:10" x14ac:dyDescent="0.3">
      <c r="J48903"/>
    </row>
    <row r="48904" spans="10:10" x14ac:dyDescent="0.3">
      <c r="J48904"/>
    </row>
    <row r="48905" spans="10:10" x14ac:dyDescent="0.3">
      <c r="J48905"/>
    </row>
    <row r="48906" spans="10:10" x14ac:dyDescent="0.3">
      <c r="J48906"/>
    </row>
    <row r="48907" spans="10:10" x14ac:dyDescent="0.3">
      <c r="J48907"/>
    </row>
    <row r="48908" spans="10:10" x14ac:dyDescent="0.3">
      <c r="J48908"/>
    </row>
    <row r="48909" spans="10:10" x14ac:dyDescent="0.3">
      <c r="J48909"/>
    </row>
    <row r="48910" spans="10:10" x14ac:dyDescent="0.3">
      <c r="J48910"/>
    </row>
    <row r="48911" spans="10:10" x14ac:dyDescent="0.3">
      <c r="J48911"/>
    </row>
    <row r="48912" spans="10:10" x14ac:dyDescent="0.3">
      <c r="J48912"/>
    </row>
    <row r="48913" spans="10:10" x14ac:dyDescent="0.3">
      <c r="J48913"/>
    </row>
    <row r="48914" spans="10:10" x14ac:dyDescent="0.3">
      <c r="J48914"/>
    </row>
    <row r="48915" spans="10:10" x14ac:dyDescent="0.3">
      <c r="J48915"/>
    </row>
    <row r="48916" spans="10:10" x14ac:dyDescent="0.3">
      <c r="J48916"/>
    </row>
    <row r="48917" spans="10:10" x14ac:dyDescent="0.3">
      <c r="J48917"/>
    </row>
    <row r="48918" spans="10:10" x14ac:dyDescent="0.3">
      <c r="J48918"/>
    </row>
    <row r="48919" spans="10:10" x14ac:dyDescent="0.3">
      <c r="J48919"/>
    </row>
    <row r="48920" spans="10:10" x14ac:dyDescent="0.3">
      <c r="J48920"/>
    </row>
    <row r="48921" spans="10:10" x14ac:dyDescent="0.3">
      <c r="J48921"/>
    </row>
    <row r="48922" spans="10:10" x14ac:dyDescent="0.3">
      <c r="J48922"/>
    </row>
    <row r="48923" spans="10:10" x14ac:dyDescent="0.3">
      <c r="J48923"/>
    </row>
    <row r="48924" spans="10:10" x14ac:dyDescent="0.3">
      <c r="J48924"/>
    </row>
    <row r="48925" spans="10:10" x14ac:dyDescent="0.3">
      <c r="J48925"/>
    </row>
    <row r="48926" spans="10:10" x14ac:dyDescent="0.3">
      <c r="J48926"/>
    </row>
    <row r="48927" spans="10:10" x14ac:dyDescent="0.3">
      <c r="J48927"/>
    </row>
    <row r="48928" spans="10:10" x14ac:dyDescent="0.3">
      <c r="J48928"/>
    </row>
    <row r="48929" spans="10:10" x14ac:dyDescent="0.3">
      <c r="J48929"/>
    </row>
    <row r="48930" spans="10:10" x14ac:dyDescent="0.3">
      <c r="J48930"/>
    </row>
    <row r="48931" spans="10:10" x14ac:dyDescent="0.3">
      <c r="J48931"/>
    </row>
    <row r="48932" spans="10:10" x14ac:dyDescent="0.3">
      <c r="J48932"/>
    </row>
    <row r="48933" spans="10:10" x14ac:dyDescent="0.3">
      <c r="J48933"/>
    </row>
    <row r="48934" spans="10:10" x14ac:dyDescent="0.3">
      <c r="J48934"/>
    </row>
    <row r="48935" spans="10:10" x14ac:dyDescent="0.3">
      <c r="J48935"/>
    </row>
    <row r="48936" spans="10:10" x14ac:dyDescent="0.3">
      <c r="J48936"/>
    </row>
    <row r="48937" spans="10:10" x14ac:dyDescent="0.3">
      <c r="J48937"/>
    </row>
    <row r="48938" spans="10:10" x14ac:dyDescent="0.3">
      <c r="J48938"/>
    </row>
    <row r="48939" spans="10:10" x14ac:dyDescent="0.3">
      <c r="J48939"/>
    </row>
    <row r="48940" spans="10:10" x14ac:dyDescent="0.3">
      <c r="J48940"/>
    </row>
    <row r="48941" spans="10:10" x14ac:dyDescent="0.3">
      <c r="J48941"/>
    </row>
    <row r="48942" spans="10:10" x14ac:dyDescent="0.3">
      <c r="J48942"/>
    </row>
    <row r="48943" spans="10:10" x14ac:dyDescent="0.3">
      <c r="J48943"/>
    </row>
    <row r="48944" spans="10:10" x14ac:dyDescent="0.3">
      <c r="J48944"/>
    </row>
    <row r="48945" spans="10:10" x14ac:dyDescent="0.3">
      <c r="J48945"/>
    </row>
    <row r="48946" spans="10:10" x14ac:dyDescent="0.3">
      <c r="J48946"/>
    </row>
    <row r="48947" spans="10:10" x14ac:dyDescent="0.3">
      <c r="J48947"/>
    </row>
    <row r="48948" spans="10:10" x14ac:dyDescent="0.3">
      <c r="J48948"/>
    </row>
    <row r="48949" spans="10:10" x14ac:dyDescent="0.3">
      <c r="J48949"/>
    </row>
    <row r="48950" spans="10:10" x14ac:dyDescent="0.3">
      <c r="J48950"/>
    </row>
    <row r="48951" spans="10:10" x14ac:dyDescent="0.3">
      <c r="J48951"/>
    </row>
    <row r="48952" spans="10:10" x14ac:dyDescent="0.3">
      <c r="J48952"/>
    </row>
    <row r="48953" spans="10:10" x14ac:dyDescent="0.3">
      <c r="J48953"/>
    </row>
    <row r="48954" spans="10:10" x14ac:dyDescent="0.3">
      <c r="J48954"/>
    </row>
    <row r="48955" spans="10:10" x14ac:dyDescent="0.3">
      <c r="J48955"/>
    </row>
    <row r="48956" spans="10:10" x14ac:dyDescent="0.3">
      <c r="J48956"/>
    </row>
    <row r="48957" spans="10:10" x14ac:dyDescent="0.3">
      <c r="J48957"/>
    </row>
    <row r="48958" spans="10:10" x14ac:dyDescent="0.3">
      <c r="J48958"/>
    </row>
    <row r="48959" spans="10:10" x14ac:dyDescent="0.3">
      <c r="J48959"/>
    </row>
    <row r="48960" spans="10:10" x14ac:dyDescent="0.3">
      <c r="J48960"/>
    </row>
    <row r="48961" spans="10:10" x14ac:dyDescent="0.3">
      <c r="J48961"/>
    </row>
    <row r="48962" spans="10:10" x14ac:dyDescent="0.3">
      <c r="J48962"/>
    </row>
    <row r="48963" spans="10:10" x14ac:dyDescent="0.3">
      <c r="J48963"/>
    </row>
    <row r="48964" spans="10:10" x14ac:dyDescent="0.3">
      <c r="J48964"/>
    </row>
    <row r="48965" spans="10:10" x14ac:dyDescent="0.3">
      <c r="J48965"/>
    </row>
    <row r="48966" spans="10:10" x14ac:dyDescent="0.3">
      <c r="J48966"/>
    </row>
    <row r="48967" spans="10:10" x14ac:dyDescent="0.3">
      <c r="J48967"/>
    </row>
    <row r="48968" spans="10:10" x14ac:dyDescent="0.3">
      <c r="J48968"/>
    </row>
    <row r="48969" spans="10:10" x14ac:dyDescent="0.3">
      <c r="J48969"/>
    </row>
    <row r="48970" spans="10:10" x14ac:dyDescent="0.3">
      <c r="J48970"/>
    </row>
    <row r="48971" spans="10:10" x14ac:dyDescent="0.3">
      <c r="J48971"/>
    </row>
    <row r="48972" spans="10:10" x14ac:dyDescent="0.3">
      <c r="J48972"/>
    </row>
    <row r="48973" spans="10:10" x14ac:dyDescent="0.3">
      <c r="J48973"/>
    </row>
    <row r="48974" spans="10:10" x14ac:dyDescent="0.3">
      <c r="J48974"/>
    </row>
    <row r="48975" spans="10:10" x14ac:dyDescent="0.3">
      <c r="J48975"/>
    </row>
    <row r="48976" spans="10:10" x14ac:dyDescent="0.3">
      <c r="J48976"/>
    </row>
    <row r="48977" spans="10:10" x14ac:dyDescent="0.3">
      <c r="J48977"/>
    </row>
    <row r="48978" spans="10:10" x14ac:dyDescent="0.3">
      <c r="J48978"/>
    </row>
    <row r="48979" spans="10:10" x14ac:dyDescent="0.3">
      <c r="J48979"/>
    </row>
    <row r="48980" spans="10:10" x14ac:dyDescent="0.3">
      <c r="J48980"/>
    </row>
    <row r="48981" spans="10:10" x14ac:dyDescent="0.3">
      <c r="J48981"/>
    </row>
    <row r="48982" spans="10:10" x14ac:dyDescent="0.3">
      <c r="J48982"/>
    </row>
    <row r="48983" spans="10:10" x14ac:dyDescent="0.3">
      <c r="J48983"/>
    </row>
    <row r="48984" spans="10:10" x14ac:dyDescent="0.3">
      <c r="J48984"/>
    </row>
    <row r="48985" spans="10:10" x14ac:dyDescent="0.3">
      <c r="J48985"/>
    </row>
    <row r="48986" spans="10:10" x14ac:dyDescent="0.3">
      <c r="J48986"/>
    </row>
    <row r="48987" spans="10:10" x14ac:dyDescent="0.3">
      <c r="J48987"/>
    </row>
    <row r="48988" spans="10:10" x14ac:dyDescent="0.3">
      <c r="J48988"/>
    </row>
    <row r="48989" spans="10:10" x14ac:dyDescent="0.3">
      <c r="J48989"/>
    </row>
    <row r="48990" spans="10:10" x14ac:dyDescent="0.3">
      <c r="J48990"/>
    </row>
    <row r="48991" spans="10:10" x14ac:dyDescent="0.3">
      <c r="J48991"/>
    </row>
    <row r="48992" spans="10:10" x14ac:dyDescent="0.3">
      <c r="J48992"/>
    </row>
    <row r="48993" spans="10:10" x14ac:dyDescent="0.3">
      <c r="J48993"/>
    </row>
    <row r="48994" spans="10:10" x14ac:dyDescent="0.3">
      <c r="J48994"/>
    </row>
    <row r="48995" spans="10:10" x14ac:dyDescent="0.3">
      <c r="J48995"/>
    </row>
    <row r="48996" spans="10:10" x14ac:dyDescent="0.3">
      <c r="J48996"/>
    </row>
    <row r="48997" spans="10:10" x14ac:dyDescent="0.3">
      <c r="J48997"/>
    </row>
    <row r="48998" spans="10:10" x14ac:dyDescent="0.3">
      <c r="J48998"/>
    </row>
    <row r="48999" spans="10:10" x14ac:dyDescent="0.3">
      <c r="J48999"/>
    </row>
    <row r="49000" spans="10:10" x14ac:dyDescent="0.3">
      <c r="J49000"/>
    </row>
    <row r="49001" spans="10:10" x14ac:dyDescent="0.3">
      <c r="J49001"/>
    </row>
    <row r="49002" spans="10:10" x14ac:dyDescent="0.3">
      <c r="J49002"/>
    </row>
    <row r="49003" spans="10:10" x14ac:dyDescent="0.3">
      <c r="J49003"/>
    </row>
    <row r="49004" spans="10:10" x14ac:dyDescent="0.3">
      <c r="J49004"/>
    </row>
    <row r="49005" spans="10:10" x14ac:dyDescent="0.3">
      <c r="J49005"/>
    </row>
    <row r="49006" spans="10:10" x14ac:dyDescent="0.3">
      <c r="J49006"/>
    </row>
    <row r="49007" spans="10:10" x14ac:dyDescent="0.3">
      <c r="J49007"/>
    </row>
    <row r="49008" spans="10:10" x14ac:dyDescent="0.3">
      <c r="J49008"/>
    </row>
    <row r="49009" spans="10:10" x14ac:dyDescent="0.3">
      <c r="J49009"/>
    </row>
    <row r="49010" spans="10:10" x14ac:dyDescent="0.3">
      <c r="J49010"/>
    </row>
    <row r="49011" spans="10:10" x14ac:dyDescent="0.3">
      <c r="J49011"/>
    </row>
    <row r="49012" spans="10:10" x14ac:dyDescent="0.3">
      <c r="J49012"/>
    </row>
    <row r="49013" spans="10:10" x14ac:dyDescent="0.3">
      <c r="J49013"/>
    </row>
    <row r="49014" spans="10:10" x14ac:dyDescent="0.3">
      <c r="J49014"/>
    </row>
    <row r="49015" spans="10:10" x14ac:dyDescent="0.3">
      <c r="J49015"/>
    </row>
    <row r="49016" spans="10:10" x14ac:dyDescent="0.3">
      <c r="J49016"/>
    </row>
    <row r="49017" spans="10:10" x14ac:dyDescent="0.3">
      <c r="J49017"/>
    </row>
    <row r="49018" spans="10:10" x14ac:dyDescent="0.3">
      <c r="J49018"/>
    </row>
    <row r="49019" spans="10:10" x14ac:dyDescent="0.3">
      <c r="J49019"/>
    </row>
    <row r="49020" spans="10:10" x14ac:dyDescent="0.3">
      <c r="J49020"/>
    </row>
    <row r="49021" spans="10:10" x14ac:dyDescent="0.3">
      <c r="J49021"/>
    </row>
    <row r="49022" spans="10:10" x14ac:dyDescent="0.3">
      <c r="J49022"/>
    </row>
    <row r="49023" spans="10:10" x14ac:dyDescent="0.3">
      <c r="J49023"/>
    </row>
    <row r="49024" spans="10:10" x14ac:dyDescent="0.3">
      <c r="J49024"/>
    </row>
    <row r="49025" spans="10:10" x14ac:dyDescent="0.3">
      <c r="J49025"/>
    </row>
    <row r="49026" spans="10:10" x14ac:dyDescent="0.3">
      <c r="J49026"/>
    </row>
    <row r="49027" spans="10:10" x14ac:dyDescent="0.3">
      <c r="J49027"/>
    </row>
    <row r="49028" spans="10:10" x14ac:dyDescent="0.3">
      <c r="J49028"/>
    </row>
    <row r="49029" spans="10:10" x14ac:dyDescent="0.3">
      <c r="J49029"/>
    </row>
    <row r="49030" spans="10:10" x14ac:dyDescent="0.3">
      <c r="J49030"/>
    </row>
    <row r="49031" spans="10:10" x14ac:dyDescent="0.3">
      <c r="J49031"/>
    </row>
    <row r="49032" spans="10:10" x14ac:dyDescent="0.3">
      <c r="J49032"/>
    </row>
    <row r="49033" spans="10:10" x14ac:dyDescent="0.3">
      <c r="J49033"/>
    </row>
    <row r="49034" spans="10:10" x14ac:dyDescent="0.3">
      <c r="J49034"/>
    </row>
    <row r="49035" spans="10:10" x14ac:dyDescent="0.3">
      <c r="J49035"/>
    </row>
    <row r="49036" spans="10:10" x14ac:dyDescent="0.3">
      <c r="J49036"/>
    </row>
    <row r="49037" spans="10:10" x14ac:dyDescent="0.3">
      <c r="J49037"/>
    </row>
    <row r="49038" spans="10:10" x14ac:dyDescent="0.3">
      <c r="J49038"/>
    </row>
    <row r="49039" spans="10:10" x14ac:dyDescent="0.3">
      <c r="J49039"/>
    </row>
    <row r="49040" spans="10:10" x14ac:dyDescent="0.3">
      <c r="J49040"/>
    </row>
    <row r="49041" spans="10:10" x14ac:dyDescent="0.3">
      <c r="J49041"/>
    </row>
    <row r="49042" spans="10:10" x14ac:dyDescent="0.3">
      <c r="J49042"/>
    </row>
    <row r="49043" spans="10:10" x14ac:dyDescent="0.3">
      <c r="J49043"/>
    </row>
    <row r="49044" spans="10:10" x14ac:dyDescent="0.3">
      <c r="J49044"/>
    </row>
    <row r="49045" spans="10:10" x14ac:dyDescent="0.3">
      <c r="J49045"/>
    </row>
    <row r="49046" spans="10:10" x14ac:dyDescent="0.3">
      <c r="J49046"/>
    </row>
    <row r="49047" spans="10:10" x14ac:dyDescent="0.3">
      <c r="J49047"/>
    </row>
    <row r="49048" spans="10:10" x14ac:dyDescent="0.3">
      <c r="J49048"/>
    </row>
    <row r="49049" spans="10:10" x14ac:dyDescent="0.3">
      <c r="J49049"/>
    </row>
    <row r="49050" spans="10:10" x14ac:dyDescent="0.3">
      <c r="J49050"/>
    </row>
    <row r="49051" spans="10:10" x14ac:dyDescent="0.3">
      <c r="J49051"/>
    </row>
    <row r="49052" spans="10:10" x14ac:dyDescent="0.3">
      <c r="J49052"/>
    </row>
    <row r="49053" spans="10:10" x14ac:dyDescent="0.3">
      <c r="J49053"/>
    </row>
    <row r="49054" spans="10:10" x14ac:dyDescent="0.3">
      <c r="J49054"/>
    </row>
    <row r="49055" spans="10:10" x14ac:dyDescent="0.3">
      <c r="J49055"/>
    </row>
    <row r="49056" spans="10:10" x14ac:dyDescent="0.3">
      <c r="J49056"/>
    </row>
    <row r="49057" spans="10:10" x14ac:dyDescent="0.3">
      <c r="J49057"/>
    </row>
    <row r="49058" spans="10:10" x14ac:dyDescent="0.3">
      <c r="J49058"/>
    </row>
    <row r="49059" spans="10:10" x14ac:dyDescent="0.3">
      <c r="J49059"/>
    </row>
    <row r="49060" spans="10:10" x14ac:dyDescent="0.3">
      <c r="J49060"/>
    </row>
    <row r="49061" spans="10:10" x14ac:dyDescent="0.3">
      <c r="J49061"/>
    </row>
    <row r="49062" spans="10:10" x14ac:dyDescent="0.3">
      <c r="J49062"/>
    </row>
    <row r="49063" spans="10:10" x14ac:dyDescent="0.3">
      <c r="J49063"/>
    </row>
    <row r="49064" spans="10:10" x14ac:dyDescent="0.3">
      <c r="J49064"/>
    </row>
    <row r="49065" spans="10:10" x14ac:dyDescent="0.3">
      <c r="J49065"/>
    </row>
    <row r="49066" spans="10:10" x14ac:dyDescent="0.3">
      <c r="J49066"/>
    </row>
    <row r="49067" spans="10:10" x14ac:dyDescent="0.3">
      <c r="J49067"/>
    </row>
    <row r="49068" spans="10:10" x14ac:dyDescent="0.3">
      <c r="J49068"/>
    </row>
    <row r="49069" spans="10:10" x14ac:dyDescent="0.3">
      <c r="J49069"/>
    </row>
    <row r="49070" spans="10:10" x14ac:dyDescent="0.3">
      <c r="J49070"/>
    </row>
    <row r="49071" spans="10:10" x14ac:dyDescent="0.3">
      <c r="J49071"/>
    </row>
    <row r="49072" spans="10:10" x14ac:dyDescent="0.3">
      <c r="J49072"/>
    </row>
    <row r="49073" spans="10:10" x14ac:dyDescent="0.3">
      <c r="J49073"/>
    </row>
    <row r="49074" spans="10:10" x14ac:dyDescent="0.3">
      <c r="J49074"/>
    </row>
    <row r="49075" spans="10:10" x14ac:dyDescent="0.3">
      <c r="J49075"/>
    </row>
    <row r="49076" spans="10:10" x14ac:dyDescent="0.3">
      <c r="J49076"/>
    </row>
    <row r="49077" spans="10:10" x14ac:dyDescent="0.3">
      <c r="J49077"/>
    </row>
    <row r="49078" spans="10:10" x14ac:dyDescent="0.3">
      <c r="J49078"/>
    </row>
    <row r="49079" spans="10:10" x14ac:dyDescent="0.3">
      <c r="J49079"/>
    </row>
    <row r="49080" spans="10:10" x14ac:dyDescent="0.3">
      <c r="J49080"/>
    </row>
    <row r="49081" spans="10:10" x14ac:dyDescent="0.3">
      <c r="J49081"/>
    </row>
    <row r="49082" spans="10:10" x14ac:dyDescent="0.3">
      <c r="J49082"/>
    </row>
    <row r="49083" spans="10:10" x14ac:dyDescent="0.3">
      <c r="J49083"/>
    </row>
    <row r="49084" spans="10:10" x14ac:dyDescent="0.3">
      <c r="J49084"/>
    </row>
    <row r="49085" spans="10:10" x14ac:dyDescent="0.3">
      <c r="J49085"/>
    </row>
    <row r="49086" spans="10:10" x14ac:dyDescent="0.3">
      <c r="J49086"/>
    </row>
    <row r="49087" spans="10:10" x14ac:dyDescent="0.3">
      <c r="J49087"/>
    </row>
    <row r="49088" spans="10:10" x14ac:dyDescent="0.3">
      <c r="J49088"/>
    </row>
    <row r="49089" spans="10:10" x14ac:dyDescent="0.3">
      <c r="J49089"/>
    </row>
    <row r="49090" spans="10:10" x14ac:dyDescent="0.3">
      <c r="J49090"/>
    </row>
    <row r="49091" spans="10:10" x14ac:dyDescent="0.3">
      <c r="J49091"/>
    </row>
    <row r="49092" spans="10:10" x14ac:dyDescent="0.3">
      <c r="J49092"/>
    </row>
    <row r="49093" spans="10:10" x14ac:dyDescent="0.3">
      <c r="J49093"/>
    </row>
    <row r="49094" spans="10:10" x14ac:dyDescent="0.3">
      <c r="J49094"/>
    </row>
    <row r="49095" spans="10:10" x14ac:dyDescent="0.3">
      <c r="J49095"/>
    </row>
    <row r="49096" spans="10:10" x14ac:dyDescent="0.3">
      <c r="J49096"/>
    </row>
    <row r="49097" spans="10:10" x14ac:dyDescent="0.3">
      <c r="J49097"/>
    </row>
    <row r="49098" spans="10:10" x14ac:dyDescent="0.3">
      <c r="J49098"/>
    </row>
    <row r="49099" spans="10:10" x14ac:dyDescent="0.3">
      <c r="J49099"/>
    </row>
    <row r="49100" spans="10:10" x14ac:dyDescent="0.3">
      <c r="J49100"/>
    </row>
    <row r="49101" spans="10:10" x14ac:dyDescent="0.3">
      <c r="J49101"/>
    </row>
    <row r="49102" spans="10:10" x14ac:dyDescent="0.3">
      <c r="J49102"/>
    </row>
    <row r="49103" spans="10:10" x14ac:dyDescent="0.3">
      <c r="J49103"/>
    </row>
    <row r="49104" spans="10:10" x14ac:dyDescent="0.3">
      <c r="J49104"/>
    </row>
    <row r="49105" spans="10:10" x14ac:dyDescent="0.3">
      <c r="J49105"/>
    </row>
    <row r="49106" spans="10:10" x14ac:dyDescent="0.3">
      <c r="J49106"/>
    </row>
    <row r="49107" spans="10:10" x14ac:dyDescent="0.3">
      <c r="J49107"/>
    </row>
    <row r="49108" spans="10:10" x14ac:dyDescent="0.3">
      <c r="J49108"/>
    </row>
    <row r="49109" spans="10:10" x14ac:dyDescent="0.3">
      <c r="J49109"/>
    </row>
    <row r="49110" spans="10:10" x14ac:dyDescent="0.3">
      <c r="J49110"/>
    </row>
    <row r="49111" spans="10:10" x14ac:dyDescent="0.3">
      <c r="J49111"/>
    </row>
    <row r="49112" spans="10:10" x14ac:dyDescent="0.3">
      <c r="J49112"/>
    </row>
    <row r="49113" spans="10:10" x14ac:dyDescent="0.3">
      <c r="J49113"/>
    </row>
    <row r="49114" spans="10:10" x14ac:dyDescent="0.3">
      <c r="J49114"/>
    </row>
    <row r="49115" spans="10:10" x14ac:dyDescent="0.3">
      <c r="J49115"/>
    </row>
    <row r="49116" spans="10:10" x14ac:dyDescent="0.3">
      <c r="J49116"/>
    </row>
    <row r="49117" spans="10:10" x14ac:dyDescent="0.3">
      <c r="J49117"/>
    </row>
    <row r="49118" spans="10:10" x14ac:dyDescent="0.3">
      <c r="J49118"/>
    </row>
    <row r="49119" spans="10:10" x14ac:dyDescent="0.3">
      <c r="J49119"/>
    </row>
    <row r="49120" spans="10:10" x14ac:dyDescent="0.3">
      <c r="J49120"/>
    </row>
    <row r="49121" spans="10:10" x14ac:dyDescent="0.3">
      <c r="J49121"/>
    </row>
    <row r="49122" spans="10:10" x14ac:dyDescent="0.3">
      <c r="J49122"/>
    </row>
    <row r="49123" spans="10:10" x14ac:dyDescent="0.3">
      <c r="J49123"/>
    </row>
    <row r="49124" spans="10:10" x14ac:dyDescent="0.3">
      <c r="J49124"/>
    </row>
    <row r="49125" spans="10:10" x14ac:dyDescent="0.3">
      <c r="J49125"/>
    </row>
    <row r="49126" spans="10:10" x14ac:dyDescent="0.3">
      <c r="J49126"/>
    </row>
    <row r="49127" spans="10:10" x14ac:dyDescent="0.3">
      <c r="J49127"/>
    </row>
    <row r="49128" spans="10:10" x14ac:dyDescent="0.3">
      <c r="J49128"/>
    </row>
    <row r="49129" spans="10:10" x14ac:dyDescent="0.3">
      <c r="J49129"/>
    </row>
    <row r="49130" spans="10:10" x14ac:dyDescent="0.3">
      <c r="J49130"/>
    </row>
    <row r="49131" spans="10:10" x14ac:dyDescent="0.3">
      <c r="J49131"/>
    </row>
    <row r="49132" spans="10:10" x14ac:dyDescent="0.3">
      <c r="J49132"/>
    </row>
    <row r="49133" spans="10:10" x14ac:dyDescent="0.3">
      <c r="J49133"/>
    </row>
    <row r="49134" spans="10:10" x14ac:dyDescent="0.3">
      <c r="J49134"/>
    </row>
    <row r="49135" spans="10:10" x14ac:dyDescent="0.3">
      <c r="J49135"/>
    </row>
    <row r="49136" spans="10:10" x14ac:dyDescent="0.3">
      <c r="J49136"/>
    </row>
    <row r="49137" spans="10:10" x14ac:dyDescent="0.3">
      <c r="J49137"/>
    </row>
    <row r="49138" spans="10:10" x14ac:dyDescent="0.3">
      <c r="J49138"/>
    </row>
    <row r="49139" spans="10:10" x14ac:dyDescent="0.3">
      <c r="J49139"/>
    </row>
    <row r="49140" spans="10:10" x14ac:dyDescent="0.3">
      <c r="J49140"/>
    </row>
    <row r="49141" spans="10:10" x14ac:dyDescent="0.3">
      <c r="J49141"/>
    </row>
    <row r="49142" spans="10:10" x14ac:dyDescent="0.3">
      <c r="J49142"/>
    </row>
    <row r="49143" spans="10:10" x14ac:dyDescent="0.3">
      <c r="J49143"/>
    </row>
    <row r="49144" spans="10:10" x14ac:dyDescent="0.3">
      <c r="J49144"/>
    </row>
    <row r="49145" spans="10:10" x14ac:dyDescent="0.3">
      <c r="J49145"/>
    </row>
    <row r="49146" spans="10:10" x14ac:dyDescent="0.3">
      <c r="J49146"/>
    </row>
    <row r="49147" spans="10:10" x14ac:dyDescent="0.3">
      <c r="J49147"/>
    </row>
    <row r="49148" spans="10:10" x14ac:dyDescent="0.3">
      <c r="J49148"/>
    </row>
    <row r="49149" spans="10:10" x14ac:dyDescent="0.3">
      <c r="J49149"/>
    </row>
    <row r="49150" spans="10:10" x14ac:dyDescent="0.3">
      <c r="J49150"/>
    </row>
    <row r="49151" spans="10:10" x14ac:dyDescent="0.3">
      <c r="J49151"/>
    </row>
    <row r="49152" spans="10:10" x14ac:dyDescent="0.3">
      <c r="J49152"/>
    </row>
    <row r="49153" spans="10:10" x14ac:dyDescent="0.3">
      <c r="J49153"/>
    </row>
    <row r="49154" spans="10:10" x14ac:dyDescent="0.3">
      <c r="J49154"/>
    </row>
    <row r="49155" spans="10:10" x14ac:dyDescent="0.3">
      <c r="J49155"/>
    </row>
    <row r="49156" spans="10:10" x14ac:dyDescent="0.3">
      <c r="J49156"/>
    </row>
    <row r="49157" spans="10:10" x14ac:dyDescent="0.3">
      <c r="J49157"/>
    </row>
    <row r="49158" spans="10:10" x14ac:dyDescent="0.3">
      <c r="J49158"/>
    </row>
    <row r="49159" spans="10:10" x14ac:dyDescent="0.3">
      <c r="J49159"/>
    </row>
    <row r="49160" spans="10:10" x14ac:dyDescent="0.3">
      <c r="J49160"/>
    </row>
    <row r="49161" spans="10:10" x14ac:dyDescent="0.3">
      <c r="J49161"/>
    </row>
    <row r="49162" spans="10:10" x14ac:dyDescent="0.3">
      <c r="J49162"/>
    </row>
    <row r="49163" spans="10:10" x14ac:dyDescent="0.3">
      <c r="J49163"/>
    </row>
    <row r="49164" spans="10:10" x14ac:dyDescent="0.3">
      <c r="J49164"/>
    </row>
    <row r="49165" spans="10:10" x14ac:dyDescent="0.3">
      <c r="J49165"/>
    </row>
    <row r="49166" spans="10:10" x14ac:dyDescent="0.3">
      <c r="J49166"/>
    </row>
    <row r="49167" spans="10:10" x14ac:dyDescent="0.3">
      <c r="J49167"/>
    </row>
    <row r="49168" spans="10:10" x14ac:dyDescent="0.3">
      <c r="J49168"/>
    </row>
    <row r="49169" spans="10:10" x14ac:dyDescent="0.3">
      <c r="J49169"/>
    </row>
    <row r="49170" spans="10:10" x14ac:dyDescent="0.3">
      <c r="J49170"/>
    </row>
    <row r="49171" spans="10:10" x14ac:dyDescent="0.3">
      <c r="J49171"/>
    </row>
    <row r="49172" spans="10:10" x14ac:dyDescent="0.3">
      <c r="J49172"/>
    </row>
    <row r="49173" spans="10:10" x14ac:dyDescent="0.3">
      <c r="J49173"/>
    </row>
    <row r="49174" spans="10:10" x14ac:dyDescent="0.3">
      <c r="J49174"/>
    </row>
    <row r="49175" spans="10:10" x14ac:dyDescent="0.3">
      <c r="J49175"/>
    </row>
    <row r="49176" spans="10:10" x14ac:dyDescent="0.3">
      <c r="J49176"/>
    </row>
    <row r="49177" spans="10:10" x14ac:dyDescent="0.3">
      <c r="J49177"/>
    </row>
    <row r="49178" spans="10:10" x14ac:dyDescent="0.3">
      <c r="J49178"/>
    </row>
    <row r="49179" spans="10:10" x14ac:dyDescent="0.3">
      <c r="J49179"/>
    </row>
    <row r="49180" spans="10:10" x14ac:dyDescent="0.3">
      <c r="J49180"/>
    </row>
    <row r="49181" spans="10:10" x14ac:dyDescent="0.3">
      <c r="J49181"/>
    </row>
    <row r="49182" spans="10:10" x14ac:dyDescent="0.3">
      <c r="J49182"/>
    </row>
    <row r="49183" spans="10:10" x14ac:dyDescent="0.3">
      <c r="J49183"/>
    </row>
    <row r="49184" spans="10:10" x14ac:dyDescent="0.3">
      <c r="J49184"/>
    </row>
    <row r="49185" spans="10:10" x14ac:dyDescent="0.3">
      <c r="J49185"/>
    </row>
    <row r="49186" spans="10:10" x14ac:dyDescent="0.3">
      <c r="J49186"/>
    </row>
    <row r="49187" spans="10:10" x14ac:dyDescent="0.3">
      <c r="J49187"/>
    </row>
    <row r="49188" spans="10:10" x14ac:dyDescent="0.3">
      <c r="J49188"/>
    </row>
    <row r="49189" spans="10:10" x14ac:dyDescent="0.3">
      <c r="J49189"/>
    </row>
    <row r="49190" spans="10:10" x14ac:dyDescent="0.3">
      <c r="J49190"/>
    </row>
    <row r="49191" spans="10:10" x14ac:dyDescent="0.3">
      <c r="J49191"/>
    </row>
    <row r="49192" spans="10:10" x14ac:dyDescent="0.3">
      <c r="J49192"/>
    </row>
    <row r="49193" spans="10:10" x14ac:dyDescent="0.3">
      <c r="J49193"/>
    </row>
    <row r="49194" spans="10:10" x14ac:dyDescent="0.3">
      <c r="J49194"/>
    </row>
    <row r="49195" spans="10:10" x14ac:dyDescent="0.3">
      <c r="J49195"/>
    </row>
    <row r="49196" spans="10:10" x14ac:dyDescent="0.3">
      <c r="J49196"/>
    </row>
    <row r="49197" spans="10:10" x14ac:dyDescent="0.3">
      <c r="J49197"/>
    </row>
    <row r="49198" spans="10:10" x14ac:dyDescent="0.3">
      <c r="J49198"/>
    </row>
    <row r="49199" spans="10:10" x14ac:dyDescent="0.3">
      <c r="J49199"/>
    </row>
    <row r="49200" spans="10:10" x14ac:dyDescent="0.3">
      <c r="J49200"/>
    </row>
    <row r="49201" spans="10:10" x14ac:dyDescent="0.3">
      <c r="J49201"/>
    </row>
    <row r="49202" spans="10:10" x14ac:dyDescent="0.3">
      <c r="J49202"/>
    </row>
    <row r="49203" spans="10:10" x14ac:dyDescent="0.3">
      <c r="J49203"/>
    </row>
    <row r="49204" spans="10:10" x14ac:dyDescent="0.3">
      <c r="J49204"/>
    </row>
    <row r="49205" spans="10:10" x14ac:dyDescent="0.3">
      <c r="J49205"/>
    </row>
    <row r="49206" spans="10:10" x14ac:dyDescent="0.3">
      <c r="J49206"/>
    </row>
    <row r="49207" spans="10:10" x14ac:dyDescent="0.3">
      <c r="J49207"/>
    </row>
    <row r="49208" spans="10:10" x14ac:dyDescent="0.3">
      <c r="J49208"/>
    </row>
    <row r="49209" spans="10:10" x14ac:dyDescent="0.3">
      <c r="J49209"/>
    </row>
    <row r="49210" spans="10:10" x14ac:dyDescent="0.3">
      <c r="J49210"/>
    </row>
    <row r="49211" spans="10:10" x14ac:dyDescent="0.3">
      <c r="J49211"/>
    </row>
    <row r="49212" spans="10:10" x14ac:dyDescent="0.3">
      <c r="J49212"/>
    </row>
    <row r="49213" spans="10:10" x14ac:dyDescent="0.3">
      <c r="J49213"/>
    </row>
    <row r="49214" spans="10:10" x14ac:dyDescent="0.3">
      <c r="J49214"/>
    </row>
    <row r="49215" spans="10:10" x14ac:dyDescent="0.3">
      <c r="J49215"/>
    </row>
    <row r="49216" spans="10:10" x14ac:dyDescent="0.3">
      <c r="J49216"/>
    </row>
    <row r="49217" spans="10:10" x14ac:dyDescent="0.3">
      <c r="J49217"/>
    </row>
    <row r="49218" spans="10:10" x14ac:dyDescent="0.3">
      <c r="J49218"/>
    </row>
    <row r="49219" spans="10:10" x14ac:dyDescent="0.3">
      <c r="J49219"/>
    </row>
    <row r="49220" spans="10:10" x14ac:dyDescent="0.3">
      <c r="J49220"/>
    </row>
    <row r="49221" spans="10:10" x14ac:dyDescent="0.3">
      <c r="J49221"/>
    </row>
    <row r="49222" spans="10:10" x14ac:dyDescent="0.3">
      <c r="J49222"/>
    </row>
    <row r="49223" spans="10:10" x14ac:dyDescent="0.3">
      <c r="J49223"/>
    </row>
    <row r="49224" spans="10:10" x14ac:dyDescent="0.3">
      <c r="J49224"/>
    </row>
    <row r="49225" spans="10:10" x14ac:dyDescent="0.3">
      <c r="J49225"/>
    </row>
    <row r="49226" spans="10:10" x14ac:dyDescent="0.3">
      <c r="J49226"/>
    </row>
    <row r="49227" spans="10:10" x14ac:dyDescent="0.3">
      <c r="J49227"/>
    </row>
    <row r="49228" spans="10:10" x14ac:dyDescent="0.3">
      <c r="J49228"/>
    </row>
    <row r="49229" spans="10:10" x14ac:dyDescent="0.3">
      <c r="J49229"/>
    </row>
    <row r="49230" spans="10:10" x14ac:dyDescent="0.3">
      <c r="J49230"/>
    </row>
    <row r="49231" spans="10:10" x14ac:dyDescent="0.3">
      <c r="J49231"/>
    </row>
    <row r="49232" spans="10:10" x14ac:dyDescent="0.3">
      <c r="J49232"/>
    </row>
    <row r="49233" spans="10:10" x14ac:dyDescent="0.3">
      <c r="J49233"/>
    </row>
    <row r="49234" spans="10:10" x14ac:dyDescent="0.3">
      <c r="J49234"/>
    </row>
    <row r="49235" spans="10:10" x14ac:dyDescent="0.3">
      <c r="J49235"/>
    </row>
    <row r="49236" spans="10:10" x14ac:dyDescent="0.3">
      <c r="J49236"/>
    </row>
    <row r="49237" spans="10:10" x14ac:dyDescent="0.3">
      <c r="J49237"/>
    </row>
    <row r="49238" spans="10:10" x14ac:dyDescent="0.3">
      <c r="J49238"/>
    </row>
    <row r="49239" spans="10:10" x14ac:dyDescent="0.3">
      <c r="J49239"/>
    </row>
    <row r="49240" spans="10:10" x14ac:dyDescent="0.3">
      <c r="J49240"/>
    </row>
    <row r="49241" spans="10:10" x14ac:dyDescent="0.3">
      <c r="J49241"/>
    </row>
    <row r="49242" spans="10:10" x14ac:dyDescent="0.3">
      <c r="J49242"/>
    </row>
    <row r="49243" spans="10:10" x14ac:dyDescent="0.3">
      <c r="J49243"/>
    </row>
    <row r="49244" spans="10:10" x14ac:dyDescent="0.3">
      <c r="J49244"/>
    </row>
    <row r="49245" spans="10:10" x14ac:dyDescent="0.3">
      <c r="J49245"/>
    </row>
    <row r="49246" spans="10:10" x14ac:dyDescent="0.3">
      <c r="J49246"/>
    </row>
    <row r="49247" spans="10:10" x14ac:dyDescent="0.3">
      <c r="J49247"/>
    </row>
    <row r="49248" spans="10:10" x14ac:dyDescent="0.3">
      <c r="J49248"/>
    </row>
    <row r="49249" spans="10:10" x14ac:dyDescent="0.3">
      <c r="J49249"/>
    </row>
    <row r="49250" spans="10:10" x14ac:dyDescent="0.3">
      <c r="J49250"/>
    </row>
    <row r="49251" spans="10:10" x14ac:dyDescent="0.3">
      <c r="J49251"/>
    </row>
    <row r="49252" spans="10:10" x14ac:dyDescent="0.3">
      <c r="J49252"/>
    </row>
    <row r="49253" spans="10:10" x14ac:dyDescent="0.3">
      <c r="J49253"/>
    </row>
    <row r="49254" spans="10:10" x14ac:dyDescent="0.3">
      <c r="J49254"/>
    </row>
    <row r="49255" spans="10:10" x14ac:dyDescent="0.3">
      <c r="J49255"/>
    </row>
    <row r="49256" spans="10:10" x14ac:dyDescent="0.3">
      <c r="J49256"/>
    </row>
    <row r="49257" spans="10:10" x14ac:dyDescent="0.3">
      <c r="J49257"/>
    </row>
    <row r="49258" spans="10:10" x14ac:dyDescent="0.3">
      <c r="J49258"/>
    </row>
    <row r="49259" spans="10:10" x14ac:dyDescent="0.3">
      <c r="J49259"/>
    </row>
    <row r="49260" spans="10:10" x14ac:dyDescent="0.3">
      <c r="J49260"/>
    </row>
    <row r="49261" spans="10:10" x14ac:dyDescent="0.3">
      <c r="J49261"/>
    </row>
    <row r="49262" spans="10:10" x14ac:dyDescent="0.3">
      <c r="J49262"/>
    </row>
    <row r="49263" spans="10:10" x14ac:dyDescent="0.3">
      <c r="J49263"/>
    </row>
    <row r="49264" spans="10:10" x14ac:dyDescent="0.3">
      <c r="J49264"/>
    </row>
    <row r="49265" spans="10:10" x14ac:dyDescent="0.3">
      <c r="J49265"/>
    </row>
    <row r="49266" spans="10:10" x14ac:dyDescent="0.3">
      <c r="J49266"/>
    </row>
    <row r="49267" spans="10:10" x14ac:dyDescent="0.3">
      <c r="J49267"/>
    </row>
    <row r="49268" spans="10:10" x14ac:dyDescent="0.3">
      <c r="J49268"/>
    </row>
    <row r="49269" spans="10:10" x14ac:dyDescent="0.3">
      <c r="J49269"/>
    </row>
    <row r="49270" spans="10:10" x14ac:dyDescent="0.3">
      <c r="J49270"/>
    </row>
    <row r="49271" spans="10:10" x14ac:dyDescent="0.3">
      <c r="J49271"/>
    </row>
    <row r="49272" spans="10:10" x14ac:dyDescent="0.3">
      <c r="J49272"/>
    </row>
    <row r="49273" spans="10:10" x14ac:dyDescent="0.3">
      <c r="J49273"/>
    </row>
    <row r="49274" spans="10:10" x14ac:dyDescent="0.3">
      <c r="J49274"/>
    </row>
    <row r="49275" spans="10:10" x14ac:dyDescent="0.3">
      <c r="J49275"/>
    </row>
    <row r="49276" spans="10:10" x14ac:dyDescent="0.3">
      <c r="J49276"/>
    </row>
    <row r="49277" spans="10:10" x14ac:dyDescent="0.3">
      <c r="J49277"/>
    </row>
    <row r="49278" spans="10:10" x14ac:dyDescent="0.3">
      <c r="J49278"/>
    </row>
    <row r="49279" spans="10:10" x14ac:dyDescent="0.3">
      <c r="J49279"/>
    </row>
    <row r="49280" spans="10:10" x14ac:dyDescent="0.3">
      <c r="J49280"/>
    </row>
    <row r="49281" spans="10:10" x14ac:dyDescent="0.3">
      <c r="J49281"/>
    </row>
    <row r="49282" spans="10:10" x14ac:dyDescent="0.3">
      <c r="J49282"/>
    </row>
    <row r="49283" spans="10:10" x14ac:dyDescent="0.3">
      <c r="J49283"/>
    </row>
    <row r="49284" spans="10:10" x14ac:dyDescent="0.3">
      <c r="J49284"/>
    </row>
    <row r="49285" spans="10:10" x14ac:dyDescent="0.3">
      <c r="J49285"/>
    </row>
    <row r="49286" spans="10:10" x14ac:dyDescent="0.3">
      <c r="J49286"/>
    </row>
    <row r="49287" spans="10:10" x14ac:dyDescent="0.3">
      <c r="J49287"/>
    </row>
    <row r="49288" spans="10:10" x14ac:dyDescent="0.3">
      <c r="J49288"/>
    </row>
    <row r="49289" spans="10:10" x14ac:dyDescent="0.3">
      <c r="J49289"/>
    </row>
    <row r="49290" spans="10:10" x14ac:dyDescent="0.3">
      <c r="J49290"/>
    </row>
    <row r="49291" spans="10:10" x14ac:dyDescent="0.3">
      <c r="J49291"/>
    </row>
    <row r="49292" spans="10:10" x14ac:dyDescent="0.3">
      <c r="J49292"/>
    </row>
    <row r="49293" spans="10:10" x14ac:dyDescent="0.3">
      <c r="J49293"/>
    </row>
    <row r="49294" spans="10:10" x14ac:dyDescent="0.3">
      <c r="J49294"/>
    </row>
    <row r="49295" spans="10:10" x14ac:dyDescent="0.3">
      <c r="J49295"/>
    </row>
    <row r="49296" spans="10:10" x14ac:dyDescent="0.3">
      <c r="J49296"/>
    </row>
    <row r="49297" spans="10:10" x14ac:dyDescent="0.3">
      <c r="J49297"/>
    </row>
    <row r="49298" spans="10:10" x14ac:dyDescent="0.3">
      <c r="J49298"/>
    </row>
    <row r="49299" spans="10:10" x14ac:dyDescent="0.3">
      <c r="J49299"/>
    </row>
    <row r="49300" spans="10:10" x14ac:dyDescent="0.3">
      <c r="J49300"/>
    </row>
    <row r="49301" spans="10:10" x14ac:dyDescent="0.3">
      <c r="J49301"/>
    </row>
    <row r="49302" spans="10:10" x14ac:dyDescent="0.3">
      <c r="J49302"/>
    </row>
    <row r="49303" spans="10:10" x14ac:dyDescent="0.3">
      <c r="J49303"/>
    </row>
    <row r="49304" spans="10:10" x14ac:dyDescent="0.3">
      <c r="J49304"/>
    </row>
    <row r="49305" spans="10:10" x14ac:dyDescent="0.3">
      <c r="J49305"/>
    </row>
    <row r="49306" spans="10:10" x14ac:dyDescent="0.3">
      <c r="J49306"/>
    </row>
    <row r="49307" spans="10:10" x14ac:dyDescent="0.3">
      <c r="J49307"/>
    </row>
    <row r="49308" spans="10:10" x14ac:dyDescent="0.3">
      <c r="J49308"/>
    </row>
    <row r="49309" spans="10:10" x14ac:dyDescent="0.3">
      <c r="J49309"/>
    </row>
    <row r="49310" spans="10:10" x14ac:dyDescent="0.3">
      <c r="J49310"/>
    </row>
    <row r="49311" spans="10:10" x14ac:dyDescent="0.3">
      <c r="J49311"/>
    </row>
    <row r="49312" spans="10:10" x14ac:dyDescent="0.3">
      <c r="J49312"/>
    </row>
    <row r="49313" spans="10:10" x14ac:dyDescent="0.3">
      <c r="J49313"/>
    </row>
    <row r="49314" spans="10:10" x14ac:dyDescent="0.3">
      <c r="J49314"/>
    </row>
    <row r="49315" spans="10:10" x14ac:dyDescent="0.3">
      <c r="J49315"/>
    </row>
    <row r="49316" spans="10:10" x14ac:dyDescent="0.3">
      <c r="J49316"/>
    </row>
    <row r="49317" spans="10:10" x14ac:dyDescent="0.3">
      <c r="J49317"/>
    </row>
    <row r="49318" spans="10:10" x14ac:dyDescent="0.3">
      <c r="J49318"/>
    </row>
    <row r="49319" spans="10:10" x14ac:dyDescent="0.3">
      <c r="J49319"/>
    </row>
    <row r="49320" spans="10:10" x14ac:dyDescent="0.3">
      <c r="J49320"/>
    </row>
    <row r="49321" spans="10:10" x14ac:dyDescent="0.3">
      <c r="J49321"/>
    </row>
    <row r="49322" spans="10:10" x14ac:dyDescent="0.3">
      <c r="J49322"/>
    </row>
    <row r="49323" spans="10:10" x14ac:dyDescent="0.3">
      <c r="J49323"/>
    </row>
    <row r="49324" spans="10:10" x14ac:dyDescent="0.3">
      <c r="J49324"/>
    </row>
    <row r="49325" spans="10:10" x14ac:dyDescent="0.3">
      <c r="J49325"/>
    </row>
    <row r="49326" spans="10:10" x14ac:dyDescent="0.3">
      <c r="J49326"/>
    </row>
    <row r="49327" spans="10:10" x14ac:dyDescent="0.3">
      <c r="J49327"/>
    </row>
    <row r="49328" spans="10:10" x14ac:dyDescent="0.3">
      <c r="J49328"/>
    </row>
    <row r="49329" spans="10:10" x14ac:dyDescent="0.3">
      <c r="J49329"/>
    </row>
    <row r="49330" spans="10:10" x14ac:dyDescent="0.3">
      <c r="J49330"/>
    </row>
    <row r="49331" spans="10:10" x14ac:dyDescent="0.3">
      <c r="J49331"/>
    </row>
    <row r="49332" spans="10:10" x14ac:dyDescent="0.3">
      <c r="J49332"/>
    </row>
    <row r="49333" spans="10:10" x14ac:dyDescent="0.3">
      <c r="J49333"/>
    </row>
    <row r="49334" spans="10:10" x14ac:dyDescent="0.3">
      <c r="J49334"/>
    </row>
    <row r="49335" spans="10:10" x14ac:dyDescent="0.3">
      <c r="J49335"/>
    </row>
    <row r="49336" spans="10:10" x14ac:dyDescent="0.3">
      <c r="J49336"/>
    </row>
    <row r="49337" spans="10:10" x14ac:dyDescent="0.3">
      <c r="J49337"/>
    </row>
    <row r="49338" spans="10:10" x14ac:dyDescent="0.3">
      <c r="J49338"/>
    </row>
    <row r="49339" spans="10:10" x14ac:dyDescent="0.3">
      <c r="J49339"/>
    </row>
    <row r="49340" spans="10:10" x14ac:dyDescent="0.3">
      <c r="J49340"/>
    </row>
    <row r="49341" spans="10:10" x14ac:dyDescent="0.3">
      <c r="J49341"/>
    </row>
    <row r="49342" spans="10:10" x14ac:dyDescent="0.3">
      <c r="J49342"/>
    </row>
    <row r="49343" spans="10:10" x14ac:dyDescent="0.3">
      <c r="J49343"/>
    </row>
    <row r="49344" spans="10:10" x14ac:dyDescent="0.3">
      <c r="J49344"/>
    </row>
    <row r="49345" spans="10:10" x14ac:dyDescent="0.3">
      <c r="J49345"/>
    </row>
    <row r="49346" spans="10:10" x14ac:dyDescent="0.3">
      <c r="J49346"/>
    </row>
    <row r="49347" spans="10:10" x14ac:dyDescent="0.3">
      <c r="J49347"/>
    </row>
    <row r="49348" spans="10:10" x14ac:dyDescent="0.3">
      <c r="J49348"/>
    </row>
    <row r="49349" spans="10:10" x14ac:dyDescent="0.3">
      <c r="J49349"/>
    </row>
    <row r="49350" spans="10:10" x14ac:dyDescent="0.3">
      <c r="J49350"/>
    </row>
    <row r="49351" spans="10:10" x14ac:dyDescent="0.3">
      <c r="J49351"/>
    </row>
    <row r="49352" spans="10:10" x14ac:dyDescent="0.3">
      <c r="J49352"/>
    </row>
    <row r="49353" spans="10:10" x14ac:dyDescent="0.3">
      <c r="J49353"/>
    </row>
    <row r="49354" spans="10:10" x14ac:dyDescent="0.3">
      <c r="J49354"/>
    </row>
    <row r="49355" spans="10:10" x14ac:dyDescent="0.3">
      <c r="J49355"/>
    </row>
    <row r="49356" spans="10:10" x14ac:dyDescent="0.3">
      <c r="J49356"/>
    </row>
    <row r="49357" spans="10:10" x14ac:dyDescent="0.3">
      <c r="J49357"/>
    </row>
    <row r="49358" spans="10:10" x14ac:dyDescent="0.3">
      <c r="J49358"/>
    </row>
    <row r="49359" spans="10:10" x14ac:dyDescent="0.3">
      <c r="J49359"/>
    </row>
    <row r="49360" spans="10:10" x14ac:dyDescent="0.3">
      <c r="J49360"/>
    </row>
    <row r="49361" spans="10:10" x14ac:dyDescent="0.3">
      <c r="J49361"/>
    </row>
    <row r="49362" spans="10:10" x14ac:dyDescent="0.3">
      <c r="J49362"/>
    </row>
    <row r="49363" spans="10:10" x14ac:dyDescent="0.3">
      <c r="J49363"/>
    </row>
    <row r="49364" spans="10:10" x14ac:dyDescent="0.3">
      <c r="J49364"/>
    </row>
    <row r="49365" spans="10:10" x14ac:dyDescent="0.3">
      <c r="J49365"/>
    </row>
    <row r="49366" spans="10:10" x14ac:dyDescent="0.3">
      <c r="J49366"/>
    </row>
    <row r="49367" spans="10:10" x14ac:dyDescent="0.3">
      <c r="J49367"/>
    </row>
    <row r="49368" spans="10:10" x14ac:dyDescent="0.3">
      <c r="J49368"/>
    </row>
    <row r="49369" spans="10:10" x14ac:dyDescent="0.3">
      <c r="J49369"/>
    </row>
    <row r="49370" spans="10:10" x14ac:dyDescent="0.3">
      <c r="J49370"/>
    </row>
    <row r="49371" spans="10:10" x14ac:dyDescent="0.3">
      <c r="J49371"/>
    </row>
    <row r="49372" spans="10:10" x14ac:dyDescent="0.3">
      <c r="J49372"/>
    </row>
    <row r="49373" spans="10:10" x14ac:dyDescent="0.3">
      <c r="J49373"/>
    </row>
    <row r="49374" spans="10:10" x14ac:dyDescent="0.3">
      <c r="J49374"/>
    </row>
    <row r="49375" spans="10:10" x14ac:dyDescent="0.3">
      <c r="J49375"/>
    </row>
    <row r="49376" spans="10:10" x14ac:dyDescent="0.3">
      <c r="J49376"/>
    </row>
    <row r="49377" spans="10:10" x14ac:dyDescent="0.3">
      <c r="J49377"/>
    </row>
    <row r="49378" spans="10:10" x14ac:dyDescent="0.3">
      <c r="J49378"/>
    </row>
    <row r="49379" spans="10:10" x14ac:dyDescent="0.3">
      <c r="J49379"/>
    </row>
    <row r="49380" spans="10:10" x14ac:dyDescent="0.3">
      <c r="J49380"/>
    </row>
    <row r="49381" spans="10:10" x14ac:dyDescent="0.3">
      <c r="J49381"/>
    </row>
    <row r="49382" spans="10:10" x14ac:dyDescent="0.3">
      <c r="J49382"/>
    </row>
    <row r="49383" spans="10:10" x14ac:dyDescent="0.3">
      <c r="J49383"/>
    </row>
    <row r="49384" spans="10:10" x14ac:dyDescent="0.3">
      <c r="J49384"/>
    </row>
    <row r="49385" spans="10:10" x14ac:dyDescent="0.3">
      <c r="J49385"/>
    </row>
    <row r="49386" spans="10:10" x14ac:dyDescent="0.3">
      <c r="J49386"/>
    </row>
    <row r="49387" spans="10:10" x14ac:dyDescent="0.3">
      <c r="J49387"/>
    </row>
    <row r="49388" spans="10:10" x14ac:dyDescent="0.3">
      <c r="J49388"/>
    </row>
    <row r="49389" spans="10:10" x14ac:dyDescent="0.3">
      <c r="J49389"/>
    </row>
    <row r="49390" spans="10:10" x14ac:dyDescent="0.3">
      <c r="J49390"/>
    </row>
    <row r="49391" spans="10:10" x14ac:dyDescent="0.3">
      <c r="J49391"/>
    </row>
    <row r="49392" spans="10:10" x14ac:dyDescent="0.3">
      <c r="J49392"/>
    </row>
    <row r="49393" spans="10:10" x14ac:dyDescent="0.3">
      <c r="J49393"/>
    </row>
    <row r="49394" spans="10:10" x14ac:dyDescent="0.3">
      <c r="J49394"/>
    </row>
    <row r="49395" spans="10:10" x14ac:dyDescent="0.3">
      <c r="J49395"/>
    </row>
    <row r="49396" spans="10:10" x14ac:dyDescent="0.3">
      <c r="J49396"/>
    </row>
    <row r="49397" spans="10:10" x14ac:dyDescent="0.3">
      <c r="J49397"/>
    </row>
    <row r="49398" spans="10:10" x14ac:dyDescent="0.3">
      <c r="J49398"/>
    </row>
    <row r="49399" spans="10:10" x14ac:dyDescent="0.3">
      <c r="J49399"/>
    </row>
    <row r="49400" spans="10:10" x14ac:dyDescent="0.3">
      <c r="J49400"/>
    </row>
    <row r="49401" spans="10:10" x14ac:dyDescent="0.3">
      <c r="J49401"/>
    </row>
    <row r="49402" spans="10:10" x14ac:dyDescent="0.3">
      <c r="J49402"/>
    </row>
    <row r="49403" spans="10:10" x14ac:dyDescent="0.3">
      <c r="J49403"/>
    </row>
    <row r="49404" spans="10:10" x14ac:dyDescent="0.3">
      <c r="J49404"/>
    </row>
    <row r="49405" spans="10:10" x14ac:dyDescent="0.3">
      <c r="J49405"/>
    </row>
    <row r="49406" spans="10:10" x14ac:dyDescent="0.3">
      <c r="J49406"/>
    </row>
    <row r="49407" spans="10:10" x14ac:dyDescent="0.3">
      <c r="J49407"/>
    </row>
    <row r="49408" spans="10:10" x14ac:dyDescent="0.3">
      <c r="J49408"/>
    </row>
    <row r="49409" spans="10:10" x14ac:dyDescent="0.3">
      <c r="J49409"/>
    </row>
    <row r="49410" spans="10:10" x14ac:dyDescent="0.3">
      <c r="J49410"/>
    </row>
    <row r="49411" spans="10:10" x14ac:dyDescent="0.3">
      <c r="J49411"/>
    </row>
    <row r="49412" spans="10:10" x14ac:dyDescent="0.3">
      <c r="J49412"/>
    </row>
    <row r="49413" spans="10:10" x14ac:dyDescent="0.3">
      <c r="J49413"/>
    </row>
    <row r="49414" spans="10:10" x14ac:dyDescent="0.3">
      <c r="J49414"/>
    </row>
    <row r="49415" spans="10:10" x14ac:dyDescent="0.3">
      <c r="J49415"/>
    </row>
    <row r="49416" spans="10:10" x14ac:dyDescent="0.3">
      <c r="J49416"/>
    </row>
    <row r="49417" spans="10:10" x14ac:dyDescent="0.3">
      <c r="J49417"/>
    </row>
    <row r="49418" spans="10:10" x14ac:dyDescent="0.3">
      <c r="J49418"/>
    </row>
    <row r="49419" spans="10:10" x14ac:dyDescent="0.3">
      <c r="J49419"/>
    </row>
    <row r="49420" spans="10:10" x14ac:dyDescent="0.3">
      <c r="J49420"/>
    </row>
    <row r="49421" spans="10:10" x14ac:dyDescent="0.3">
      <c r="J49421"/>
    </row>
    <row r="49422" spans="10:10" x14ac:dyDescent="0.3">
      <c r="J49422"/>
    </row>
    <row r="49423" spans="10:10" x14ac:dyDescent="0.3">
      <c r="J49423"/>
    </row>
    <row r="49424" spans="10:10" x14ac:dyDescent="0.3">
      <c r="J49424"/>
    </row>
    <row r="49425" spans="10:10" x14ac:dyDescent="0.3">
      <c r="J49425"/>
    </row>
    <row r="49426" spans="10:10" x14ac:dyDescent="0.3">
      <c r="J49426"/>
    </row>
    <row r="49427" spans="10:10" x14ac:dyDescent="0.3">
      <c r="J49427"/>
    </row>
    <row r="49428" spans="10:10" x14ac:dyDescent="0.3">
      <c r="J49428"/>
    </row>
    <row r="49429" spans="10:10" x14ac:dyDescent="0.3">
      <c r="J49429"/>
    </row>
    <row r="49430" spans="10:10" x14ac:dyDescent="0.3">
      <c r="J49430"/>
    </row>
    <row r="49431" spans="10:10" x14ac:dyDescent="0.3">
      <c r="J49431"/>
    </row>
    <row r="49432" spans="10:10" x14ac:dyDescent="0.3">
      <c r="J49432"/>
    </row>
    <row r="49433" spans="10:10" x14ac:dyDescent="0.3">
      <c r="J49433"/>
    </row>
    <row r="49434" spans="10:10" x14ac:dyDescent="0.3">
      <c r="J49434"/>
    </row>
    <row r="49435" spans="10:10" x14ac:dyDescent="0.3">
      <c r="J49435"/>
    </row>
    <row r="49436" spans="10:10" x14ac:dyDescent="0.3">
      <c r="J49436"/>
    </row>
    <row r="49437" spans="10:10" x14ac:dyDescent="0.3">
      <c r="J49437"/>
    </row>
    <row r="49438" spans="10:10" x14ac:dyDescent="0.3">
      <c r="J49438"/>
    </row>
    <row r="49439" spans="10:10" x14ac:dyDescent="0.3">
      <c r="J49439"/>
    </row>
    <row r="49440" spans="10:10" x14ac:dyDescent="0.3">
      <c r="J49440"/>
    </row>
    <row r="49441" spans="10:10" x14ac:dyDescent="0.3">
      <c r="J49441"/>
    </row>
    <row r="49442" spans="10:10" x14ac:dyDescent="0.3">
      <c r="J49442"/>
    </row>
    <row r="49443" spans="10:10" x14ac:dyDescent="0.3">
      <c r="J49443"/>
    </row>
    <row r="49444" spans="10:10" x14ac:dyDescent="0.3">
      <c r="J49444"/>
    </row>
    <row r="49445" spans="10:10" x14ac:dyDescent="0.3">
      <c r="J49445"/>
    </row>
    <row r="49446" spans="10:10" x14ac:dyDescent="0.3">
      <c r="J49446"/>
    </row>
    <row r="49447" spans="10:10" x14ac:dyDescent="0.3">
      <c r="J49447"/>
    </row>
    <row r="49448" spans="10:10" x14ac:dyDescent="0.3">
      <c r="J49448"/>
    </row>
    <row r="49449" spans="10:10" x14ac:dyDescent="0.3">
      <c r="J49449"/>
    </row>
    <row r="49450" spans="10:10" x14ac:dyDescent="0.3">
      <c r="J49450"/>
    </row>
    <row r="49451" spans="10:10" x14ac:dyDescent="0.3">
      <c r="J49451"/>
    </row>
    <row r="49452" spans="10:10" x14ac:dyDescent="0.3">
      <c r="J49452"/>
    </row>
    <row r="49453" spans="10:10" x14ac:dyDescent="0.3">
      <c r="J49453"/>
    </row>
    <row r="49454" spans="10:10" x14ac:dyDescent="0.3">
      <c r="J49454"/>
    </row>
    <row r="49455" spans="10:10" x14ac:dyDescent="0.3">
      <c r="J49455"/>
    </row>
    <row r="49456" spans="10:10" x14ac:dyDescent="0.3">
      <c r="J49456"/>
    </row>
    <row r="49457" spans="10:10" x14ac:dyDescent="0.3">
      <c r="J49457"/>
    </row>
    <row r="49458" spans="10:10" x14ac:dyDescent="0.3">
      <c r="J49458"/>
    </row>
    <row r="49459" spans="10:10" x14ac:dyDescent="0.3">
      <c r="J49459"/>
    </row>
    <row r="49460" spans="10:10" x14ac:dyDescent="0.3">
      <c r="J49460"/>
    </row>
    <row r="49461" spans="10:10" x14ac:dyDescent="0.3">
      <c r="J49461"/>
    </row>
    <row r="49462" spans="10:10" x14ac:dyDescent="0.3">
      <c r="J49462"/>
    </row>
    <row r="49463" spans="10:10" x14ac:dyDescent="0.3">
      <c r="J49463"/>
    </row>
    <row r="49464" spans="10:10" x14ac:dyDescent="0.3">
      <c r="J49464"/>
    </row>
    <row r="49465" spans="10:10" x14ac:dyDescent="0.3">
      <c r="J49465"/>
    </row>
    <row r="49466" spans="10:10" x14ac:dyDescent="0.3">
      <c r="J49466"/>
    </row>
    <row r="49467" spans="10:10" x14ac:dyDescent="0.3">
      <c r="J49467"/>
    </row>
    <row r="49468" spans="10:10" x14ac:dyDescent="0.3">
      <c r="J49468"/>
    </row>
    <row r="49469" spans="10:10" x14ac:dyDescent="0.3">
      <c r="J49469"/>
    </row>
    <row r="49470" spans="10:10" x14ac:dyDescent="0.3">
      <c r="J49470"/>
    </row>
    <row r="49471" spans="10:10" x14ac:dyDescent="0.3">
      <c r="J49471"/>
    </row>
    <row r="49472" spans="10:10" x14ac:dyDescent="0.3">
      <c r="J49472"/>
    </row>
    <row r="49473" spans="10:10" x14ac:dyDescent="0.3">
      <c r="J49473"/>
    </row>
    <row r="49474" spans="10:10" x14ac:dyDescent="0.3">
      <c r="J49474"/>
    </row>
    <row r="49475" spans="10:10" x14ac:dyDescent="0.3">
      <c r="J49475"/>
    </row>
    <row r="49476" spans="10:10" x14ac:dyDescent="0.3">
      <c r="J49476"/>
    </row>
    <row r="49477" spans="10:10" x14ac:dyDescent="0.3">
      <c r="J49477"/>
    </row>
    <row r="49478" spans="10:10" x14ac:dyDescent="0.3">
      <c r="J49478"/>
    </row>
    <row r="49479" spans="10:10" x14ac:dyDescent="0.3">
      <c r="J49479"/>
    </row>
    <row r="49480" spans="10:10" x14ac:dyDescent="0.3">
      <c r="J49480"/>
    </row>
    <row r="49481" spans="10:10" x14ac:dyDescent="0.3">
      <c r="J49481"/>
    </row>
    <row r="49482" spans="10:10" x14ac:dyDescent="0.3">
      <c r="J49482"/>
    </row>
    <row r="49483" spans="10:10" x14ac:dyDescent="0.3">
      <c r="J49483"/>
    </row>
    <row r="49484" spans="10:10" x14ac:dyDescent="0.3">
      <c r="J49484"/>
    </row>
    <row r="49485" spans="10:10" x14ac:dyDescent="0.3">
      <c r="J49485"/>
    </row>
    <row r="49486" spans="10:10" x14ac:dyDescent="0.3">
      <c r="J49486"/>
    </row>
    <row r="49487" spans="10:10" x14ac:dyDescent="0.3">
      <c r="J49487"/>
    </row>
    <row r="49488" spans="10:10" x14ac:dyDescent="0.3">
      <c r="J49488"/>
    </row>
    <row r="49489" spans="10:10" x14ac:dyDescent="0.3">
      <c r="J49489"/>
    </row>
    <row r="49490" spans="10:10" x14ac:dyDescent="0.3">
      <c r="J49490"/>
    </row>
    <row r="49491" spans="10:10" x14ac:dyDescent="0.3">
      <c r="J49491"/>
    </row>
    <row r="49492" spans="10:10" x14ac:dyDescent="0.3">
      <c r="J49492"/>
    </row>
    <row r="49493" spans="10:10" x14ac:dyDescent="0.3">
      <c r="J49493"/>
    </row>
    <row r="49494" spans="10:10" x14ac:dyDescent="0.3">
      <c r="J49494"/>
    </row>
    <row r="49495" spans="10:10" x14ac:dyDescent="0.3">
      <c r="J49495"/>
    </row>
    <row r="49496" spans="10:10" x14ac:dyDescent="0.3">
      <c r="J49496"/>
    </row>
    <row r="49497" spans="10:10" x14ac:dyDescent="0.3">
      <c r="J49497"/>
    </row>
    <row r="49498" spans="10:10" x14ac:dyDescent="0.3">
      <c r="J49498"/>
    </row>
    <row r="49499" spans="10:10" x14ac:dyDescent="0.3">
      <c r="J49499"/>
    </row>
    <row r="49500" spans="10:10" x14ac:dyDescent="0.3">
      <c r="J49500"/>
    </row>
    <row r="49501" spans="10:10" x14ac:dyDescent="0.3">
      <c r="J49501"/>
    </row>
    <row r="49502" spans="10:10" x14ac:dyDescent="0.3">
      <c r="J49502"/>
    </row>
    <row r="49503" spans="10:10" x14ac:dyDescent="0.3">
      <c r="J49503"/>
    </row>
    <row r="49504" spans="10:10" x14ac:dyDescent="0.3">
      <c r="J49504"/>
    </row>
    <row r="49505" spans="10:10" x14ac:dyDescent="0.3">
      <c r="J49505"/>
    </row>
    <row r="49506" spans="10:10" x14ac:dyDescent="0.3">
      <c r="J49506"/>
    </row>
    <row r="49507" spans="10:10" x14ac:dyDescent="0.3">
      <c r="J49507"/>
    </row>
    <row r="49508" spans="10:10" x14ac:dyDescent="0.3">
      <c r="J49508"/>
    </row>
    <row r="49509" spans="10:10" x14ac:dyDescent="0.3">
      <c r="J49509"/>
    </row>
    <row r="49510" spans="10:10" x14ac:dyDescent="0.3">
      <c r="J49510"/>
    </row>
    <row r="49511" spans="10:10" x14ac:dyDescent="0.3">
      <c r="J49511"/>
    </row>
    <row r="49512" spans="10:10" x14ac:dyDescent="0.3">
      <c r="J49512"/>
    </row>
    <row r="49513" spans="10:10" x14ac:dyDescent="0.3">
      <c r="J49513"/>
    </row>
    <row r="49514" spans="10:10" x14ac:dyDescent="0.3">
      <c r="J49514"/>
    </row>
    <row r="49515" spans="10:10" x14ac:dyDescent="0.3">
      <c r="J49515"/>
    </row>
    <row r="49516" spans="10:10" x14ac:dyDescent="0.3">
      <c r="J49516"/>
    </row>
    <row r="49517" spans="10:10" x14ac:dyDescent="0.3">
      <c r="J49517"/>
    </row>
    <row r="49518" spans="10:10" x14ac:dyDescent="0.3">
      <c r="J49518"/>
    </row>
    <row r="49519" spans="10:10" x14ac:dyDescent="0.3">
      <c r="J49519"/>
    </row>
    <row r="49520" spans="10:10" x14ac:dyDescent="0.3">
      <c r="J49520"/>
    </row>
    <row r="49521" spans="10:10" x14ac:dyDescent="0.3">
      <c r="J49521"/>
    </row>
    <row r="49522" spans="10:10" x14ac:dyDescent="0.3">
      <c r="J49522"/>
    </row>
    <row r="49523" spans="10:10" x14ac:dyDescent="0.3">
      <c r="J49523"/>
    </row>
    <row r="49524" spans="10:10" x14ac:dyDescent="0.3">
      <c r="J49524"/>
    </row>
    <row r="49525" spans="10:10" x14ac:dyDescent="0.3">
      <c r="J49525"/>
    </row>
    <row r="49526" spans="10:10" x14ac:dyDescent="0.3">
      <c r="J49526"/>
    </row>
    <row r="49527" spans="10:10" x14ac:dyDescent="0.3">
      <c r="J49527"/>
    </row>
    <row r="49528" spans="10:10" x14ac:dyDescent="0.3">
      <c r="J49528"/>
    </row>
    <row r="49529" spans="10:10" x14ac:dyDescent="0.3">
      <c r="J49529"/>
    </row>
    <row r="49530" spans="10:10" x14ac:dyDescent="0.3">
      <c r="J49530"/>
    </row>
    <row r="49531" spans="10:10" x14ac:dyDescent="0.3">
      <c r="J49531"/>
    </row>
    <row r="49532" spans="10:10" x14ac:dyDescent="0.3">
      <c r="J49532"/>
    </row>
    <row r="49533" spans="10:10" x14ac:dyDescent="0.3">
      <c r="J49533"/>
    </row>
    <row r="49534" spans="10:10" x14ac:dyDescent="0.3">
      <c r="J49534"/>
    </row>
    <row r="49535" spans="10:10" x14ac:dyDescent="0.3">
      <c r="J49535"/>
    </row>
    <row r="49536" spans="10:10" x14ac:dyDescent="0.3">
      <c r="J49536"/>
    </row>
    <row r="49537" spans="10:10" x14ac:dyDescent="0.3">
      <c r="J49537"/>
    </row>
    <row r="49538" spans="10:10" x14ac:dyDescent="0.3">
      <c r="J49538"/>
    </row>
    <row r="49539" spans="10:10" x14ac:dyDescent="0.3">
      <c r="J49539"/>
    </row>
    <row r="49540" spans="10:10" x14ac:dyDescent="0.3">
      <c r="J49540"/>
    </row>
    <row r="49541" spans="10:10" x14ac:dyDescent="0.3">
      <c r="J49541"/>
    </row>
    <row r="49542" spans="10:10" x14ac:dyDescent="0.3">
      <c r="J49542"/>
    </row>
    <row r="49543" spans="10:10" x14ac:dyDescent="0.3">
      <c r="J49543"/>
    </row>
    <row r="49544" spans="10:10" x14ac:dyDescent="0.3">
      <c r="J49544"/>
    </row>
    <row r="49545" spans="10:10" x14ac:dyDescent="0.3">
      <c r="J49545"/>
    </row>
    <row r="49546" spans="10:10" x14ac:dyDescent="0.3">
      <c r="J49546"/>
    </row>
    <row r="49547" spans="10:10" x14ac:dyDescent="0.3">
      <c r="J49547"/>
    </row>
    <row r="49548" spans="10:10" x14ac:dyDescent="0.3">
      <c r="J49548"/>
    </row>
    <row r="49549" spans="10:10" x14ac:dyDescent="0.3">
      <c r="J49549"/>
    </row>
    <row r="49550" spans="10:10" x14ac:dyDescent="0.3">
      <c r="J49550"/>
    </row>
    <row r="49551" spans="10:10" x14ac:dyDescent="0.3">
      <c r="J49551"/>
    </row>
    <row r="49552" spans="10:10" x14ac:dyDescent="0.3">
      <c r="J49552"/>
    </row>
    <row r="49553" spans="10:10" x14ac:dyDescent="0.3">
      <c r="J49553"/>
    </row>
    <row r="49554" spans="10:10" x14ac:dyDescent="0.3">
      <c r="J49554"/>
    </row>
    <row r="49555" spans="10:10" x14ac:dyDescent="0.3">
      <c r="J49555"/>
    </row>
    <row r="49556" spans="10:10" x14ac:dyDescent="0.3">
      <c r="J49556"/>
    </row>
    <row r="49557" spans="10:10" x14ac:dyDescent="0.3">
      <c r="J49557"/>
    </row>
    <row r="49558" spans="10:10" x14ac:dyDescent="0.3">
      <c r="J49558"/>
    </row>
    <row r="49559" spans="10:10" x14ac:dyDescent="0.3">
      <c r="J49559"/>
    </row>
    <row r="49560" spans="10:10" x14ac:dyDescent="0.3">
      <c r="J49560"/>
    </row>
    <row r="49561" spans="10:10" x14ac:dyDescent="0.3">
      <c r="J49561"/>
    </row>
    <row r="49562" spans="10:10" x14ac:dyDescent="0.3">
      <c r="J49562"/>
    </row>
    <row r="49563" spans="10:10" x14ac:dyDescent="0.3">
      <c r="J49563"/>
    </row>
    <row r="49564" spans="10:10" x14ac:dyDescent="0.3">
      <c r="J49564"/>
    </row>
    <row r="49565" spans="10:10" x14ac:dyDescent="0.3">
      <c r="J49565"/>
    </row>
    <row r="49566" spans="10:10" x14ac:dyDescent="0.3">
      <c r="J49566"/>
    </row>
    <row r="49567" spans="10:10" x14ac:dyDescent="0.3">
      <c r="J49567"/>
    </row>
    <row r="49568" spans="10:10" x14ac:dyDescent="0.3">
      <c r="J49568"/>
    </row>
    <row r="49569" spans="10:10" x14ac:dyDescent="0.3">
      <c r="J49569"/>
    </row>
    <row r="49570" spans="10:10" x14ac:dyDescent="0.3">
      <c r="J49570"/>
    </row>
    <row r="49571" spans="10:10" x14ac:dyDescent="0.3">
      <c r="J49571"/>
    </row>
    <row r="49572" spans="10:10" x14ac:dyDescent="0.3">
      <c r="J49572"/>
    </row>
    <row r="49573" spans="10:10" x14ac:dyDescent="0.3">
      <c r="J49573"/>
    </row>
    <row r="49574" spans="10:10" x14ac:dyDescent="0.3">
      <c r="J49574"/>
    </row>
    <row r="49575" spans="10:10" x14ac:dyDescent="0.3">
      <c r="J49575"/>
    </row>
    <row r="49576" spans="10:10" x14ac:dyDescent="0.3">
      <c r="J49576"/>
    </row>
    <row r="49577" spans="10:10" x14ac:dyDescent="0.3">
      <c r="J49577"/>
    </row>
    <row r="49578" spans="10:10" x14ac:dyDescent="0.3">
      <c r="J49578"/>
    </row>
    <row r="49579" spans="10:10" x14ac:dyDescent="0.3">
      <c r="J49579"/>
    </row>
    <row r="49580" spans="10:10" x14ac:dyDescent="0.3">
      <c r="J49580"/>
    </row>
    <row r="49581" spans="10:10" x14ac:dyDescent="0.3">
      <c r="J49581"/>
    </row>
    <row r="49582" spans="10:10" x14ac:dyDescent="0.3">
      <c r="J49582"/>
    </row>
    <row r="49583" spans="10:10" x14ac:dyDescent="0.3">
      <c r="J49583"/>
    </row>
    <row r="49584" spans="10:10" x14ac:dyDescent="0.3">
      <c r="J49584"/>
    </row>
    <row r="49585" spans="10:10" x14ac:dyDescent="0.3">
      <c r="J49585"/>
    </row>
    <row r="49586" spans="10:10" x14ac:dyDescent="0.3">
      <c r="J49586"/>
    </row>
    <row r="49587" spans="10:10" x14ac:dyDescent="0.3">
      <c r="J49587"/>
    </row>
    <row r="49588" spans="10:10" x14ac:dyDescent="0.3">
      <c r="J49588"/>
    </row>
    <row r="49589" spans="10:10" x14ac:dyDescent="0.3">
      <c r="J49589"/>
    </row>
    <row r="49590" spans="10:10" x14ac:dyDescent="0.3">
      <c r="J49590"/>
    </row>
    <row r="49591" spans="10:10" x14ac:dyDescent="0.3">
      <c r="J49591"/>
    </row>
    <row r="49592" spans="10:10" x14ac:dyDescent="0.3">
      <c r="J49592"/>
    </row>
    <row r="49593" spans="10:10" x14ac:dyDescent="0.3">
      <c r="J49593"/>
    </row>
    <row r="49594" spans="10:10" x14ac:dyDescent="0.3">
      <c r="J49594"/>
    </row>
    <row r="49595" spans="10:10" x14ac:dyDescent="0.3">
      <c r="J49595"/>
    </row>
    <row r="49596" spans="10:10" x14ac:dyDescent="0.3">
      <c r="J49596"/>
    </row>
    <row r="49597" spans="10:10" x14ac:dyDescent="0.3">
      <c r="J49597"/>
    </row>
    <row r="49598" spans="10:10" x14ac:dyDescent="0.3">
      <c r="J49598"/>
    </row>
    <row r="49599" spans="10:10" x14ac:dyDescent="0.3">
      <c r="J49599"/>
    </row>
    <row r="49600" spans="10:10" x14ac:dyDescent="0.3">
      <c r="J49600"/>
    </row>
    <row r="49601" spans="10:10" x14ac:dyDescent="0.3">
      <c r="J49601"/>
    </row>
    <row r="49602" spans="10:10" x14ac:dyDescent="0.3">
      <c r="J49602"/>
    </row>
    <row r="49603" spans="10:10" x14ac:dyDescent="0.3">
      <c r="J49603"/>
    </row>
    <row r="49604" spans="10:10" x14ac:dyDescent="0.3">
      <c r="J49604"/>
    </row>
    <row r="49605" spans="10:10" x14ac:dyDescent="0.3">
      <c r="J49605"/>
    </row>
    <row r="49606" spans="10:10" x14ac:dyDescent="0.3">
      <c r="J49606"/>
    </row>
    <row r="49607" spans="10:10" x14ac:dyDescent="0.3">
      <c r="J49607"/>
    </row>
    <row r="49608" spans="10:10" x14ac:dyDescent="0.3">
      <c r="J49608"/>
    </row>
    <row r="49609" spans="10:10" x14ac:dyDescent="0.3">
      <c r="J49609"/>
    </row>
    <row r="49610" spans="10:10" x14ac:dyDescent="0.3">
      <c r="J49610"/>
    </row>
    <row r="49611" spans="10:10" x14ac:dyDescent="0.3">
      <c r="J49611"/>
    </row>
    <row r="49612" spans="10:10" x14ac:dyDescent="0.3">
      <c r="J49612"/>
    </row>
    <row r="49613" spans="10:10" x14ac:dyDescent="0.3">
      <c r="J49613"/>
    </row>
    <row r="49614" spans="10:10" x14ac:dyDescent="0.3">
      <c r="J49614"/>
    </row>
    <row r="49615" spans="10:10" x14ac:dyDescent="0.3">
      <c r="J49615"/>
    </row>
    <row r="49616" spans="10:10" x14ac:dyDescent="0.3">
      <c r="J49616"/>
    </row>
    <row r="49617" spans="10:10" x14ac:dyDescent="0.3">
      <c r="J49617"/>
    </row>
    <row r="49618" spans="10:10" x14ac:dyDescent="0.3">
      <c r="J49618"/>
    </row>
    <row r="49619" spans="10:10" x14ac:dyDescent="0.3">
      <c r="J49619"/>
    </row>
    <row r="49620" spans="10:10" x14ac:dyDescent="0.3">
      <c r="J49620"/>
    </row>
    <row r="49621" spans="10:10" x14ac:dyDescent="0.3">
      <c r="J49621"/>
    </row>
    <row r="49622" spans="10:10" x14ac:dyDescent="0.3">
      <c r="J49622"/>
    </row>
    <row r="49623" spans="10:10" x14ac:dyDescent="0.3">
      <c r="J49623"/>
    </row>
    <row r="49624" spans="10:10" x14ac:dyDescent="0.3">
      <c r="J49624"/>
    </row>
    <row r="49625" spans="10:10" x14ac:dyDescent="0.3">
      <c r="J49625"/>
    </row>
    <row r="49626" spans="10:10" x14ac:dyDescent="0.3">
      <c r="J49626"/>
    </row>
    <row r="49627" spans="10:10" x14ac:dyDescent="0.3">
      <c r="J49627"/>
    </row>
    <row r="49628" spans="10:10" x14ac:dyDescent="0.3">
      <c r="J49628"/>
    </row>
    <row r="49629" spans="10:10" x14ac:dyDescent="0.3">
      <c r="J49629"/>
    </row>
    <row r="49630" spans="10:10" x14ac:dyDescent="0.3">
      <c r="J49630"/>
    </row>
    <row r="49631" spans="10:10" x14ac:dyDescent="0.3">
      <c r="J49631"/>
    </row>
    <row r="49632" spans="10:10" x14ac:dyDescent="0.3">
      <c r="J49632"/>
    </row>
    <row r="49633" spans="10:10" x14ac:dyDescent="0.3">
      <c r="J49633"/>
    </row>
    <row r="49634" spans="10:10" x14ac:dyDescent="0.3">
      <c r="J49634"/>
    </row>
    <row r="49635" spans="10:10" x14ac:dyDescent="0.3">
      <c r="J49635"/>
    </row>
    <row r="49636" spans="10:10" x14ac:dyDescent="0.3">
      <c r="J49636"/>
    </row>
    <row r="49637" spans="10:10" x14ac:dyDescent="0.3">
      <c r="J49637"/>
    </row>
    <row r="49638" spans="10:10" x14ac:dyDescent="0.3">
      <c r="J49638"/>
    </row>
    <row r="49639" spans="10:10" x14ac:dyDescent="0.3">
      <c r="J49639"/>
    </row>
    <row r="49640" spans="10:10" x14ac:dyDescent="0.3">
      <c r="J49640"/>
    </row>
    <row r="49641" spans="10:10" x14ac:dyDescent="0.3">
      <c r="J49641"/>
    </row>
    <row r="49642" spans="10:10" x14ac:dyDescent="0.3">
      <c r="J49642"/>
    </row>
    <row r="49643" spans="10:10" x14ac:dyDescent="0.3">
      <c r="J49643"/>
    </row>
    <row r="49644" spans="10:10" x14ac:dyDescent="0.3">
      <c r="J49644"/>
    </row>
    <row r="49645" spans="10:10" x14ac:dyDescent="0.3">
      <c r="J49645"/>
    </row>
    <row r="49646" spans="10:10" x14ac:dyDescent="0.3">
      <c r="J49646"/>
    </row>
    <row r="49647" spans="10:10" x14ac:dyDescent="0.3">
      <c r="J49647"/>
    </row>
    <row r="49648" spans="10:10" x14ac:dyDescent="0.3">
      <c r="J49648"/>
    </row>
    <row r="49649" spans="10:10" x14ac:dyDescent="0.3">
      <c r="J49649"/>
    </row>
    <row r="49650" spans="10:10" x14ac:dyDescent="0.3">
      <c r="J49650"/>
    </row>
    <row r="49651" spans="10:10" x14ac:dyDescent="0.3">
      <c r="J49651"/>
    </row>
    <row r="49652" spans="10:10" x14ac:dyDescent="0.3">
      <c r="J49652"/>
    </row>
    <row r="49653" spans="10:10" x14ac:dyDescent="0.3">
      <c r="J49653"/>
    </row>
    <row r="49654" spans="10:10" x14ac:dyDescent="0.3">
      <c r="J49654"/>
    </row>
    <row r="49655" spans="10:10" x14ac:dyDescent="0.3">
      <c r="J49655"/>
    </row>
    <row r="49656" spans="10:10" x14ac:dyDescent="0.3">
      <c r="J49656"/>
    </row>
    <row r="49657" spans="10:10" x14ac:dyDescent="0.3">
      <c r="J49657"/>
    </row>
    <row r="49658" spans="10:10" x14ac:dyDescent="0.3">
      <c r="J49658"/>
    </row>
    <row r="49659" spans="10:10" x14ac:dyDescent="0.3">
      <c r="J49659"/>
    </row>
    <row r="49660" spans="10:10" x14ac:dyDescent="0.3">
      <c r="J49660"/>
    </row>
    <row r="49661" spans="10:10" x14ac:dyDescent="0.3">
      <c r="J49661"/>
    </row>
    <row r="49662" spans="10:10" x14ac:dyDescent="0.3">
      <c r="J49662"/>
    </row>
    <row r="49663" spans="10:10" x14ac:dyDescent="0.3">
      <c r="J49663"/>
    </row>
    <row r="49664" spans="10:10" x14ac:dyDescent="0.3">
      <c r="J49664"/>
    </row>
    <row r="49665" spans="10:10" x14ac:dyDescent="0.3">
      <c r="J49665"/>
    </row>
    <row r="49666" spans="10:10" x14ac:dyDescent="0.3">
      <c r="J49666"/>
    </row>
    <row r="49667" spans="10:10" x14ac:dyDescent="0.3">
      <c r="J49667"/>
    </row>
    <row r="49668" spans="10:10" x14ac:dyDescent="0.3">
      <c r="J49668"/>
    </row>
    <row r="49669" spans="10:10" x14ac:dyDescent="0.3">
      <c r="J49669"/>
    </row>
    <row r="49670" spans="10:10" x14ac:dyDescent="0.3">
      <c r="J49670"/>
    </row>
    <row r="49671" spans="10:10" x14ac:dyDescent="0.3">
      <c r="J49671"/>
    </row>
    <row r="49672" spans="10:10" x14ac:dyDescent="0.3">
      <c r="J49672"/>
    </row>
    <row r="49673" spans="10:10" x14ac:dyDescent="0.3">
      <c r="J49673"/>
    </row>
    <row r="49674" spans="10:10" x14ac:dyDescent="0.3">
      <c r="J49674"/>
    </row>
    <row r="49675" spans="10:10" x14ac:dyDescent="0.3">
      <c r="J49675"/>
    </row>
    <row r="49676" spans="10:10" x14ac:dyDescent="0.3">
      <c r="J49676"/>
    </row>
    <row r="49677" spans="10:10" x14ac:dyDescent="0.3">
      <c r="J49677"/>
    </row>
    <row r="49678" spans="10:10" x14ac:dyDescent="0.3">
      <c r="J49678"/>
    </row>
    <row r="49679" spans="10:10" x14ac:dyDescent="0.3">
      <c r="J49679"/>
    </row>
    <row r="49680" spans="10:10" x14ac:dyDescent="0.3">
      <c r="J49680"/>
    </row>
    <row r="49681" spans="10:10" x14ac:dyDescent="0.3">
      <c r="J49681"/>
    </row>
    <row r="49682" spans="10:10" x14ac:dyDescent="0.3">
      <c r="J49682"/>
    </row>
    <row r="49683" spans="10:10" x14ac:dyDescent="0.3">
      <c r="J49683"/>
    </row>
    <row r="49684" spans="10:10" x14ac:dyDescent="0.3">
      <c r="J49684"/>
    </row>
    <row r="49685" spans="10:10" x14ac:dyDescent="0.3">
      <c r="J49685"/>
    </row>
    <row r="49686" spans="10:10" x14ac:dyDescent="0.3">
      <c r="J49686"/>
    </row>
    <row r="49687" spans="10:10" x14ac:dyDescent="0.3">
      <c r="J49687"/>
    </row>
    <row r="49688" spans="10:10" x14ac:dyDescent="0.3">
      <c r="J49688"/>
    </row>
    <row r="49689" spans="10:10" x14ac:dyDescent="0.3">
      <c r="J49689"/>
    </row>
    <row r="49690" spans="10:10" x14ac:dyDescent="0.3">
      <c r="J49690"/>
    </row>
    <row r="49691" spans="10:10" x14ac:dyDescent="0.3">
      <c r="J49691"/>
    </row>
    <row r="49692" spans="10:10" x14ac:dyDescent="0.3">
      <c r="J49692"/>
    </row>
    <row r="49693" spans="10:10" x14ac:dyDescent="0.3">
      <c r="J49693"/>
    </row>
    <row r="49694" spans="10:10" x14ac:dyDescent="0.3">
      <c r="J49694"/>
    </row>
    <row r="49695" spans="10:10" x14ac:dyDescent="0.3">
      <c r="J49695"/>
    </row>
    <row r="49696" spans="10:10" x14ac:dyDescent="0.3">
      <c r="J49696"/>
    </row>
    <row r="49697" spans="10:10" x14ac:dyDescent="0.3">
      <c r="J49697"/>
    </row>
    <row r="49698" spans="10:10" x14ac:dyDescent="0.3">
      <c r="J49698"/>
    </row>
    <row r="49699" spans="10:10" x14ac:dyDescent="0.3">
      <c r="J49699"/>
    </row>
    <row r="49700" spans="10:10" x14ac:dyDescent="0.3">
      <c r="J49700"/>
    </row>
    <row r="49701" spans="10:10" x14ac:dyDescent="0.3">
      <c r="J49701"/>
    </row>
    <row r="49702" spans="10:10" x14ac:dyDescent="0.3">
      <c r="J49702"/>
    </row>
    <row r="49703" spans="10:10" x14ac:dyDescent="0.3">
      <c r="J49703"/>
    </row>
    <row r="49704" spans="10:10" x14ac:dyDescent="0.3">
      <c r="J49704"/>
    </row>
    <row r="49705" spans="10:10" x14ac:dyDescent="0.3">
      <c r="J49705"/>
    </row>
    <row r="49706" spans="10:10" x14ac:dyDescent="0.3">
      <c r="J49706"/>
    </row>
    <row r="49707" spans="10:10" x14ac:dyDescent="0.3">
      <c r="J49707"/>
    </row>
    <row r="49708" spans="10:10" x14ac:dyDescent="0.3">
      <c r="J49708"/>
    </row>
    <row r="49709" spans="10:10" x14ac:dyDescent="0.3">
      <c r="J49709"/>
    </row>
    <row r="49710" spans="10:10" x14ac:dyDescent="0.3">
      <c r="J49710"/>
    </row>
    <row r="49711" spans="10:10" x14ac:dyDescent="0.3">
      <c r="J49711"/>
    </row>
    <row r="49712" spans="10:10" x14ac:dyDescent="0.3">
      <c r="J49712"/>
    </row>
    <row r="49713" spans="10:10" x14ac:dyDescent="0.3">
      <c r="J49713"/>
    </row>
    <row r="49714" spans="10:10" x14ac:dyDescent="0.3">
      <c r="J49714"/>
    </row>
    <row r="49715" spans="10:10" x14ac:dyDescent="0.3">
      <c r="J49715"/>
    </row>
    <row r="49716" spans="10:10" x14ac:dyDescent="0.3">
      <c r="J49716"/>
    </row>
    <row r="49717" spans="10:10" x14ac:dyDescent="0.3">
      <c r="J49717"/>
    </row>
    <row r="49718" spans="10:10" x14ac:dyDescent="0.3">
      <c r="J49718"/>
    </row>
    <row r="49719" spans="10:10" x14ac:dyDescent="0.3">
      <c r="J49719"/>
    </row>
    <row r="49720" spans="10:10" x14ac:dyDescent="0.3">
      <c r="J49720"/>
    </row>
    <row r="49721" spans="10:10" x14ac:dyDescent="0.3">
      <c r="J49721"/>
    </row>
    <row r="49722" spans="10:10" x14ac:dyDescent="0.3">
      <c r="J49722"/>
    </row>
    <row r="49723" spans="10:10" x14ac:dyDescent="0.3">
      <c r="J49723"/>
    </row>
    <row r="49724" spans="10:10" x14ac:dyDescent="0.3">
      <c r="J49724"/>
    </row>
    <row r="49725" spans="10:10" x14ac:dyDescent="0.3">
      <c r="J49725"/>
    </row>
    <row r="49726" spans="10:10" x14ac:dyDescent="0.3">
      <c r="J49726"/>
    </row>
    <row r="49727" spans="10:10" x14ac:dyDescent="0.3">
      <c r="J49727"/>
    </row>
    <row r="49728" spans="10:10" x14ac:dyDescent="0.3">
      <c r="J49728"/>
    </row>
    <row r="49729" spans="10:10" x14ac:dyDescent="0.3">
      <c r="J49729"/>
    </row>
    <row r="49730" spans="10:10" x14ac:dyDescent="0.3">
      <c r="J49730"/>
    </row>
    <row r="49731" spans="10:10" x14ac:dyDescent="0.3">
      <c r="J49731"/>
    </row>
    <row r="49732" spans="10:10" x14ac:dyDescent="0.3">
      <c r="J49732"/>
    </row>
    <row r="49733" spans="10:10" x14ac:dyDescent="0.3">
      <c r="J49733"/>
    </row>
    <row r="49734" spans="10:10" x14ac:dyDescent="0.3">
      <c r="J49734"/>
    </row>
    <row r="49735" spans="10:10" x14ac:dyDescent="0.3">
      <c r="J49735"/>
    </row>
    <row r="49736" spans="10:10" x14ac:dyDescent="0.3">
      <c r="J49736"/>
    </row>
    <row r="49737" spans="10:10" x14ac:dyDescent="0.3">
      <c r="J49737"/>
    </row>
    <row r="49738" spans="10:10" x14ac:dyDescent="0.3">
      <c r="J49738"/>
    </row>
    <row r="49739" spans="10:10" x14ac:dyDescent="0.3">
      <c r="J49739"/>
    </row>
    <row r="49740" spans="10:10" x14ac:dyDescent="0.3">
      <c r="J49740"/>
    </row>
    <row r="49741" spans="10:10" x14ac:dyDescent="0.3">
      <c r="J49741"/>
    </row>
    <row r="49742" spans="10:10" x14ac:dyDescent="0.3">
      <c r="J49742"/>
    </row>
    <row r="49743" spans="10:10" x14ac:dyDescent="0.3">
      <c r="J49743"/>
    </row>
    <row r="49744" spans="10:10" x14ac:dyDescent="0.3">
      <c r="J49744"/>
    </row>
    <row r="49745" spans="10:10" x14ac:dyDescent="0.3">
      <c r="J49745"/>
    </row>
    <row r="49746" spans="10:10" x14ac:dyDescent="0.3">
      <c r="J49746"/>
    </row>
    <row r="49747" spans="10:10" x14ac:dyDescent="0.3">
      <c r="J49747"/>
    </row>
    <row r="49748" spans="10:10" x14ac:dyDescent="0.3">
      <c r="J49748"/>
    </row>
    <row r="49749" spans="10:10" x14ac:dyDescent="0.3">
      <c r="J49749"/>
    </row>
    <row r="49750" spans="10:10" x14ac:dyDescent="0.3">
      <c r="J49750"/>
    </row>
    <row r="49751" spans="10:10" x14ac:dyDescent="0.3">
      <c r="J49751"/>
    </row>
    <row r="49752" spans="10:10" x14ac:dyDescent="0.3">
      <c r="J49752"/>
    </row>
    <row r="49753" spans="10:10" x14ac:dyDescent="0.3">
      <c r="J49753"/>
    </row>
    <row r="49754" spans="10:10" x14ac:dyDescent="0.3">
      <c r="J49754"/>
    </row>
    <row r="49755" spans="10:10" x14ac:dyDescent="0.3">
      <c r="J49755"/>
    </row>
    <row r="49756" spans="10:10" x14ac:dyDescent="0.3">
      <c r="J49756"/>
    </row>
    <row r="49757" spans="10:10" x14ac:dyDescent="0.3">
      <c r="J49757"/>
    </row>
    <row r="49758" spans="10:10" x14ac:dyDescent="0.3">
      <c r="J49758"/>
    </row>
    <row r="49759" spans="10:10" x14ac:dyDescent="0.3">
      <c r="J49759"/>
    </row>
    <row r="49760" spans="10:10" x14ac:dyDescent="0.3">
      <c r="J49760"/>
    </row>
    <row r="49761" spans="10:10" x14ac:dyDescent="0.3">
      <c r="J49761"/>
    </row>
    <row r="49762" spans="10:10" x14ac:dyDescent="0.3">
      <c r="J49762"/>
    </row>
    <row r="49763" spans="10:10" x14ac:dyDescent="0.3">
      <c r="J49763"/>
    </row>
    <row r="49764" spans="10:10" x14ac:dyDescent="0.3">
      <c r="J49764"/>
    </row>
    <row r="49765" spans="10:10" x14ac:dyDescent="0.3">
      <c r="J49765"/>
    </row>
    <row r="49766" spans="10:10" x14ac:dyDescent="0.3">
      <c r="J49766"/>
    </row>
    <row r="49767" spans="10:10" x14ac:dyDescent="0.3">
      <c r="J49767"/>
    </row>
    <row r="49768" spans="10:10" x14ac:dyDescent="0.3">
      <c r="J49768"/>
    </row>
    <row r="49769" spans="10:10" x14ac:dyDescent="0.3">
      <c r="J49769"/>
    </row>
    <row r="49770" spans="10:10" x14ac:dyDescent="0.3">
      <c r="J49770"/>
    </row>
    <row r="49771" spans="10:10" x14ac:dyDescent="0.3">
      <c r="J49771"/>
    </row>
    <row r="49772" spans="10:10" x14ac:dyDescent="0.3">
      <c r="J49772"/>
    </row>
    <row r="49773" spans="10:10" x14ac:dyDescent="0.3">
      <c r="J49773"/>
    </row>
    <row r="49774" spans="10:10" x14ac:dyDescent="0.3">
      <c r="J49774"/>
    </row>
    <row r="49775" spans="10:10" x14ac:dyDescent="0.3">
      <c r="J49775"/>
    </row>
    <row r="49776" spans="10:10" x14ac:dyDescent="0.3">
      <c r="J49776"/>
    </row>
    <row r="49777" spans="10:10" x14ac:dyDescent="0.3">
      <c r="J49777"/>
    </row>
    <row r="49778" spans="10:10" x14ac:dyDescent="0.3">
      <c r="J49778"/>
    </row>
    <row r="49779" spans="10:10" x14ac:dyDescent="0.3">
      <c r="J49779"/>
    </row>
    <row r="49780" spans="10:10" x14ac:dyDescent="0.3">
      <c r="J49780"/>
    </row>
    <row r="49781" spans="10:10" x14ac:dyDescent="0.3">
      <c r="J49781"/>
    </row>
    <row r="49782" spans="10:10" x14ac:dyDescent="0.3">
      <c r="J49782"/>
    </row>
    <row r="49783" spans="10:10" x14ac:dyDescent="0.3">
      <c r="J49783"/>
    </row>
    <row r="49784" spans="10:10" x14ac:dyDescent="0.3">
      <c r="J49784"/>
    </row>
    <row r="49785" spans="10:10" x14ac:dyDescent="0.3">
      <c r="J49785"/>
    </row>
    <row r="49786" spans="10:10" x14ac:dyDescent="0.3">
      <c r="J49786"/>
    </row>
    <row r="49787" spans="10:10" x14ac:dyDescent="0.3">
      <c r="J49787"/>
    </row>
    <row r="49788" spans="10:10" x14ac:dyDescent="0.3">
      <c r="J49788"/>
    </row>
    <row r="49789" spans="10:10" x14ac:dyDescent="0.3">
      <c r="J49789"/>
    </row>
    <row r="49790" spans="10:10" x14ac:dyDescent="0.3">
      <c r="J49790"/>
    </row>
    <row r="49791" spans="10:10" x14ac:dyDescent="0.3">
      <c r="J49791"/>
    </row>
    <row r="49792" spans="10:10" x14ac:dyDescent="0.3">
      <c r="J49792"/>
    </row>
    <row r="49793" spans="10:10" x14ac:dyDescent="0.3">
      <c r="J49793"/>
    </row>
    <row r="49794" spans="10:10" x14ac:dyDescent="0.3">
      <c r="J49794"/>
    </row>
    <row r="49795" spans="10:10" x14ac:dyDescent="0.3">
      <c r="J49795"/>
    </row>
    <row r="49796" spans="10:10" x14ac:dyDescent="0.3">
      <c r="J49796"/>
    </row>
    <row r="49797" spans="10:10" x14ac:dyDescent="0.3">
      <c r="J49797"/>
    </row>
    <row r="49798" spans="10:10" x14ac:dyDescent="0.3">
      <c r="J49798"/>
    </row>
    <row r="49799" spans="10:10" x14ac:dyDescent="0.3">
      <c r="J49799"/>
    </row>
    <row r="49800" spans="10:10" x14ac:dyDescent="0.3">
      <c r="J49800"/>
    </row>
    <row r="49801" spans="10:10" x14ac:dyDescent="0.3">
      <c r="J49801"/>
    </row>
    <row r="49802" spans="10:10" x14ac:dyDescent="0.3">
      <c r="J49802"/>
    </row>
    <row r="49803" spans="10:10" x14ac:dyDescent="0.3">
      <c r="J49803"/>
    </row>
    <row r="49804" spans="10:10" x14ac:dyDescent="0.3">
      <c r="J49804"/>
    </row>
    <row r="49805" spans="10:10" x14ac:dyDescent="0.3">
      <c r="J49805"/>
    </row>
    <row r="49806" spans="10:10" x14ac:dyDescent="0.3">
      <c r="J49806"/>
    </row>
    <row r="49807" spans="10:10" x14ac:dyDescent="0.3">
      <c r="J49807"/>
    </row>
    <row r="49808" spans="10:10" x14ac:dyDescent="0.3">
      <c r="J49808"/>
    </row>
    <row r="49809" spans="10:10" x14ac:dyDescent="0.3">
      <c r="J49809"/>
    </row>
    <row r="49810" spans="10:10" x14ac:dyDescent="0.3">
      <c r="J49810"/>
    </row>
    <row r="49811" spans="10:10" x14ac:dyDescent="0.3">
      <c r="J49811"/>
    </row>
    <row r="49812" spans="10:10" x14ac:dyDescent="0.3">
      <c r="J49812"/>
    </row>
    <row r="49813" spans="10:10" x14ac:dyDescent="0.3">
      <c r="J49813"/>
    </row>
    <row r="49814" spans="10:10" x14ac:dyDescent="0.3">
      <c r="J49814"/>
    </row>
    <row r="49815" spans="10:10" x14ac:dyDescent="0.3">
      <c r="J49815"/>
    </row>
    <row r="49816" spans="10:10" x14ac:dyDescent="0.3">
      <c r="J49816"/>
    </row>
    <row r="49817" spans="10:10" x14ac:dyDescent="0.3">
      <c r="J49817"/>
    </row>
    <row r="49818" spans="10:10" x14ac:dyDescent="0.3">
      <c r="J49818"/>
    </row>
    <row r="49819" spans="10:10" x14ac:dyDescent="0.3">
      <c r="J49819"/>
    </row>
    <row r="49820" spans="10:10" x14ac:dyDescent="0.3">
      <c r="J49820"/>
    </row>
    <row r="49821" spans="10:10" x14ac:dyDescent="0.3">
      <c r="J49821"/>
    </row>
    <row r="49822" spans="10:10" x14ac:dyDescent="0.3">
      <c r="J49822"/>
    </row>
    <row r="49823" spans="10:10" x14ac:dyDescent="0.3">
      <c r="J49823"/>
    </row>
    <row r="49824" spans="10:10" x14ac:dyDescent="0.3">
      <c r="J49824"/>
    </row>
    <row r="49825" spans="10:10" x14ac:dyDescent="0.3">
      <c r="J49825"/>
    </row>
    <row r="49826" spans="10:10" x14ac:dyDescent="0.3">
      <c r="J49826"/>
    </row>
    <row r="49827" spans="10:10" x14ac:dyDescent="0.3">
      <c r="J49827"/>
    </row>
    <row r="49828" spans="10:10" x14ac:dyDescent="0.3">
      <c r="J49828"/>
    </row>
    <row r="49829" spans="10:10" x14ac:dyDescent="0.3">
      <c r="J49829"/>
    </row>
    <row r="49830" spans="10:10" x14ac:dyDescent="0.3">
      <c r="J49830"/>
    </row>
    <row r="49831" spans="10:10" x14ac:dyDescent="0.3">
      <c r="J49831"/>
    </row>
    <row r="49832" spans="10:10" x14ac:dyDescent="0.3">
      <c r="J49832"/>
    </row>
    <row r="49833" spans="10:10" x14ac:dyDescent="0.3">
      <c r="J49833"/>
    </row>
    <row r="49834" spans="10:10" x14ac:dyDescent="0.3">
      <c r="J49834"/>
    </row>
    <row r="49835" spans="10:10" x14ac:dyDescent="0.3">
      <c r="J49835"/>
    </row>
    <row r="49836" spans="10:10" x14ac:dyDescent="0.3">
      <c r="J49836"/>
    </row>
    <row r="49837" spans="10:10" x14ac:dyDescent="0.3">
      <c r="J49837"/>
    </row>
    <row r="49838" spans="10:10" x14ac:dyDescent="0.3">
      <c r="J49838"/>
    </row>
    <row r="49839" spans="10:10" x14ac:dyDescent="0.3">
      <c r="J49839"/>
    </row>
    <row r="49840" spans="10:10" x14ac:dyDescent="0.3">
      <c r="J49840"/>
    </row>
    <row r="49841" spans="10:10" x14ac:dyDescent="0.3">
      <c r="J49841"/>
    </row>
    <row r="49842" spans="10:10" x14ac:dyDescent="0.3">
      <c r="J49842"/>
    </row>
    <row r="49843" spans="10:10" x14ac:dyDescent="0.3">
      <c r="J49843"/>
    </row>
    <row r="49844" spans="10:10" x14ac:dyDescent="0.3">
      <c r="J49844"/>
    </row>
    <row r="49845" spans="10:10" x14ac:dyDescent="0.3">
      <c r="J49845"/>
    </row>
    <row r="49846" spans="10:10" x14ac:dyDescent="0.3">
      <c r="J49846"/>
    </row>
    <row r="49847" spans="10:10" x14ac:dyDescent="0.3">
      <c r="J49847"/>
    </row>
    <row r="49848" spans="10:10" x14ac:dyDescent="0.3">
      <c r="J49848"/>
    </row>
    <row r="49849" spans="10:10" x14ac:dyDescent="0.3">
      <c r="J49849"/>
    </row>
    <row r="49850" spans="10:10" x14ac:dyDescent="0.3">
      <c r="J49850"/>
    </row>
    <row r="49851" spans="10:10" x14ac:dyDescent="0.3">
      <c r="J49851"/>
    </row>
    <row r="49852" spans="10:10" x14ac:dyDescent="0.3">
      <c r="J49852"/>
    </row>
    <row r="49853" spans="10:10" x14ac:dyDescent="0.3">
      <c r="J49853"/>
    </row>
    <row r="49854" spans="10:10" x14ac:dyDescent="0.3">
      <c r="J49854"/>
    </row>
    <row r="49855" spans="10:10" x14ac:dyDescent="0.3">
      <c r="J49855"/>
    </row>
    <row r="49856" spans="10:10" x14ac:dyDescent="0.3">
      <c r="J49856"/>
    </row>
    <row r="49857" spans="10:10" x14ac:dyDescent="0.3">
      <c r="J49857"/>
    </row>
    <row r="49858" spans="10:10" x14ac:dyDescent="0.3">
      <c r="J49858"/>
    </row>
    <row r="49859" spans="10:10" x14ac:dyDescent="0.3">
      <c r="J49859"/>
    </row>
    <row r="49860" spans="10:10" x14ac:dyDescent="0.3">
      <c r="J49860"/>
    </row>
    <row r="49861" spans="10:10" x14ac:dyDescent="0.3">
      <c r="J49861"/>
    </row>
    <row r="49862" spans="10:10" x14ac:dyDescent="0.3">
      <c r="J49862"/>
    </row>
    <row r="49863" spans="10:10" x14ac:dyDescent="0.3">
      <c r="J49863"/>
    </row>
    <row r="49864" spans="10:10" x14ac:dyDescent="0.3">
      <c r="J49864"/>
    </row>
    <row r="49865" spans="10:10" x14ac:dyDescent="0.3">
      <c r="J49865"/>
    </row>
    <row r="49866" spans="10:10" x14ac:dyDescent="0.3">
      <c r="J49866"/>
    </row>
    <row r="49867" spans="10:10" x14ac:dyDescent="0.3">
      <c r="J49867"/>
    </row>
    <row r="49868" spans="10:10" x14ac:dyDescent="0.3">
      <c r="J49868"/>
    </row>
    <row r="49869" spans="10:10" x14ac:dyDescent="0.3">
      <c r="J49869"/>
    </row>
    <row r="49870" spans="10:10" x14ac:dyDescent="0.3">
      <c r="J49870"/>
    </row>
    <row r="49871" spans="10:10" x14ac:dyDescent="0.3">
      <c r="J49871"/>
    </row>
    <row r="49872" spans="10:10" x14ac:dyDescent="0.3">
      <c r="J49872"/>
    </row>
    <row r="49873" spans="10:10" x14ac:dyDescent="0.3">
      <c r="J49873"/>
    </row>
    <row r="49874" spans="10:10" x14ac:dyDescent="0.3">
      <c r="J49874"/>
    </row>
    <row r="49875" spans="10:10" x14ac:dyDescent="0.3">
      <c r="J49875"/>
    </row>
    <row r="49876" spans="10:10" x14ac:dyDescent="0.3">
      <c r="J49876"/>
    </row>
    <row r="49877" spans="10:10" x14ac:dyDescent="0.3">
      <c r="J49877"/>
    </row>
    <row r="49878" spans="10:10" x14ac:dyDescent="0.3">
      <c r="J49878"/>
    </row>
    <row r="49879" spans="10:10" x14ac:dyDescent="0.3">
      <c r="J49879"/>
    </row>
    <row r="49880" spans="10:10" x14ac:dyDescent="0.3">
      <c r="J49880"/>
    </row>
    <row r="49881" spans="10:10" x14ac:dyDescent="0.3">
      <c r="J49881"/>
    </row>
    <row r="49882" spans="10:10" x14ac:dyDescent="0.3">
      <c r="J49882"/>
    </row>
    <row r="49883" spans="10:10" x14ac:dyDescent="0.3">
      <c r="J49883"/>
    </row>
    <row r="49884" spans="10:10" x14ac:dyDescent="0.3">
      <c r="J49884"/>
    </row>
    <row r="49885" spans="10:10" x14ac:dyDescent="0.3">
      <c r="J49885"/>
    </row>
    <row r="49886" spans="10:10" x14ac:dyDescent="0.3">
      <c r="J49886"/>
    </row>
    <row r="49887" spans="10:10" x14ac:dyDescent="0.3">
      <c r="J49887"/>
    </row>
    <row r="49888" spans="10:10" x14ac:dyDescent="0.3">
      <c r="J49888"/>
    </row>
    <row r="49889" spans="10:10" x14ac:dyDescent="0.3">
      <c r="J49889"/>
    </row>
    <row r="49890" spans="10:10" x14ac:dyDescent="0.3">
      <c r="J49890"/>
    </row>
    <row r="49891" spans="10:10" x14ac:dyDescent="0.3">
      <c r="J49891"/>
    </row>
    <row r="49892" spans="10:10" x14ac:dyDescent="0.3">
      <c r="J49892"/>
    </row>
    <row r="49893" spans="10:10" x14ac:dyDescent="0.3">
      <c r="J49893"/>
    </row>
    <row r="49894" spans="10:10" x14ac:dyDescent="0.3">
      <c r="J49894"/>
    </row>
    <row r="49895" spans="10:10" x14ac:dyDescent="0.3">
      <c r="J49895"/>
    </row>
    <row r="49896" spans="10:10" x14ac:dyDescent="0.3">
      <c r="J49896"/>
    </row>
    <row r="49897" spans="10:10" x14ac:dyDescent="0.3">
      <c r="J49897"/>
    </row>
    <row r="49898" spans="10:10" x14ac:dyDescent="0.3">
      <c r="J49898"/>
    </row>
    <row r="49899" spans="10:10" x14ac:dyDescent="0.3">
      <c r="J49899"/>
    </row>
    <row r="49900" spans="10:10" x14ac:dyDescent="0.3">
      <c r="J49900"/>
    </row>
    <row r="49901" spans="10:10" x14ac:dyDescent="0.3">
      <c r="J49901"/>
    </row>
    <row r="49902" spans="10:10" x14ac:dyDescent="0.3">
      <c r="J49902"/>
    </row>
    <row r="49903" spans="10:10" x14ac:dyDescent="0.3">
      <c r="J49903"/>
    </row>
    <row r="49904" spans="10:10" x14ac:dyDescent="0.3">
      <c r="J49904"/>
    </row>
    <row r="49905" spans="10:10" x14ac:dyDescent="0.3">
      <c r="J49905"/>
    </row>
    <row r="49906" spans="10:10" x14ac:dyDescent="0.3">
      <c r="J49906"/>
    </row>
    <row r="49907" spans="10:10" x14ac:dyDescent="0.3">
      <c r="J49907"/>
    </row>
    <row r="49908" spans="10:10" x14ac:dyDescent="0.3">
      <c r="J49908"/>
    </row>
    <row r="49909" spans="10:10" x14ac:dyDescent="0.3">
      <c r="J49909"/>
    </row>
    <row r="49910" spans="10:10" x14ac:dyDescent="0.3">
      <c r="J49910"/>
    </row>
    <row r="49911" spans="10:10" x14ac:dyDescent="0.3">
      <c r="J49911"/>
    </row>
    <row r="49912" spans="10:10" x14ac:dyDescent="0.3">
      <c r="J49912"/>
    </row>
    <row r="49913" spans="10:10" x14ac:dyDescent="0.3">
      <c r="J49913"/>
    </row>
    <row r="49914" spans="10:10" x14ac:dyDescent="0.3">
      <c r="J49914"/>
    </row>
    <row r="49915" spans="10:10" x14ac:dyDescent="0.3">
      <c r="J49915"/>
    </row>
    <row r="49916" spans="10:10" x14ac:dyDescent="0.3">
      <c r="J49916"/>
    </row>
    <row r="49917" spans="10:10" x14ac:dyDescent="0.3">
      <c r="J49917"/>
    </row>
    <row r="49918" spans="10:10" x14ac:dyDescent="0.3">
      <c r="J49918"/>
    </row>
    <row r="49919" spans="10:10" x14ac:dyDescent="0.3">
      <c r="J49919"/>
    </row>
    <row r="49920" spans="10:10" x14ac:dyDescent="0.3">
      <c r="J49920"/>
    </row>
    <row r="49921" spans="10:10" x14ac:dyDescent="0.3">
      <c r="J49921"/>
    </row>
    <row r="49922" spans="10:10" x14ac:dyDescent="0.3">
      <c r="J49922"/>
    </row>
    <row r="49923" spans="10:10" x14ac:dyDescent="0.3">
      <c r="J49923"/>
    </row>
    <row r="49924" spans="10:10" x14ac:dyDescent="0.3">
      <c r="J49924"/>
    </row>
    <row r="49925" spans="10:10" x14ac:dyDescent="0.3">
      <c r="J49925"/>
    </row>
    <row r="49926" spans="10:10" x14ac:dyDescent="0.3">
      <c r="J49926"/>
    </row>
    <row r="49927" spans="10:10" x14ac:dyDescent="0.3">
      <c r="J49927"/>
    </row>
    <row r="49928" spans="10:10" x14ac:dyDescent="0.3">
      <c r="J49928"/>
    </row>
    <row r="49929" spans="10:10" x14ac:dyDescent="0.3">
      <c r="J49929"/>
    </row>
    <row r="49930" spans="10:10" x14ac:dyDescent="0.3">
      <c r="J49930"/>
    </row>
    <row r="49931" spans="10:10" x14ac:dyDescent="0.3">
      <c r="J49931"/>
    </row>
    <row r="49932" spans="10:10" x14ac:dyDescent="0.3">
      <c r="J49932"/>
    </row>
    <row r="49933" spans="10:10" x14ac:dyDescent="0.3">
      <c r="J49933"/>
    </row>
    <row r="49934" spans="10:10" x14ac:dyDescent="0.3">
      <c r="J49934"/>
    </row>
    <row r="49935" spans="10:10" x14ac:dyDescent="0.3">
      <c r="J49935"/>
    </row>
    <row r="49936" spans="10:10" x14ac:dyDescent="0.3">
      <c r="J49936"/>
    </row>
    <row r="49937" spans="10:10" x14ac:dyDescent="0.3">
      <c r="J49937"/>
    </row>
    <row r="49938" spans="10:10" x14ac:dyDescent="0.3">
      <c r="J49938"/>
    </row>
    <row r="49939" spans="10:10" x14ac:dyDescent="0.3">
      <c r="J49939"/>
    </row>
    <row r="49940" spans="10:10" x14ac:dyDescent="0.3">
      <c r="J49940"/>
    </row>
    <row r="49941" spans="10:10" x14ac:dyDescent="0.3">
      <c r="J49941"/>
    </row>
    <row r="49942" spans="10:10" x14ac:dyDescent="0.3">
      <c r="J49942"/>
    </row>
    <row r="49943" spans="10:10" x14ac:dyDescent="0.3">
      <c r="J49943"/>
    </row>
    <row r="49944" spans="10:10" x14ac:dyDescent="0.3">
      <c r="J49944"/>
    </row>
    <row r="49945" spans="10:10" x14ac:dyDescent="0.3">
      <c r="J49945"/>
    </row>
    <row r="49946" spans="10:10" x14ac:dyDescent="0.3">
      <c r="J49946"/>
    </row>
    <row r="49947" spans="10:10" x14ac:dyDescent="0.3">
      <c r="J49947"/>
    </row>
    <row r="49948" spans="10:10" x14ac:dyDescent="0.3">
      <c r="J49948"/>
    </row>
    <row r="49949" spans="10:10" x14ac:dyDescent="0.3">
      <c r="J49949"/>
    </row>
    <row r="49950" spans="10:10" x14ac:dyDescent="0.3">
      <c r="J49950"/>
    </row>
    <row r="49951" spans="10:10" x14ac:dyDescent="0.3">
      <c r="J49951"/>
    </row>
    <row r="49952" spans="10:10" x14ac:dyDescent="0.3">
      <c r="J49952"/>
    </row>
    <row r="49953" spans="10:10" x14ac:dyDescent="0.3">
      <c r="J49953"/>
    </row>
    <row r="49954" spans="10:10" x14ac:dyDescent="0.3">
      <c r="J49954"/>
    </row>
    <row r="49955" spans="10:10" x14ac:dyDescent="0.3">
      <c r="J49955"/>
    </row>
    <row r="49956" spans="10:10" x14ac:dyDescent="0.3">
      <c r="J49956"/>
    </row>
    <row r="49957" spans="10:10" x14ac:dyDescent="0.3">
      <c r="J49957"/>
    </row>
    <row r="49958" spans="10:10" x14ac:dyDescent="0.3">
      <c r="J49958"/>
    </row>
    <row r="49959" spans="10:10" x14ac:dyDescent="0.3">
      <c r="J49959"/>
    </row>
    <row r="49960" spans="10:10" x14ac:dyDescent="0.3">
      <c r="J49960"/>
    </row>
    <row r="49961" spans="10:10" x14ac:dyDescent="0.3">
      <c r="J49961"/>
    </row>
    <row r="49962" spans="10:10" x14ac:dyDescent="0.3">
      <c r="J49962"/>
    </row>
    <row r="49963" spans="10:10" x14ac:dyDescent="0.3">
      <c r="J49963"/>
    </row>
    <row r="49964" spans="10:10" x14ac:dyDescent="0.3">
      <c r="J49964"/>
    </row>
    <row r="49965" spans="10:10" x14ac:dyDescent="0.3">
      <c r="J49965"/>
    </row>
    <row r="49966" spans="10:10" x14ac:dyDescent="0.3">
      <c r="J49966"/>
    </row>
    <row r="49967" spans="10:10" x14ac:dyDescent="0.3">
      <c r="J49967"/>
    </row>
    <row r="49968" spans="10:10" x14ac:dyDescent="0.3">
      <c r="J49968"/>
    </row>
    <row r="49969" spans="10:10" x14ac:dyDescent="0.3">
      <c r="J49969"/>
    </row>
    <row r="49970" spans="10:10" x14ac:dyDescent="0.3">
      <c r="J49970"/>
    </row>
    <row r="49971" spans="10:10" x14ac:dyDescent="0.3">
      <c r="J49971"/>
    </row>
    <row r="49972" spans="10:10" x14ac:dyDescent="0.3">
      <c r="J49972"/>
    </row>
    <row r="49973" spans="10:10" x14ac:dyDescent="0.3">
      <c r="J49973"/>
    </row>
    <row r="49974" spans="10:10" x14ac:dyDescent="0.3">
      <c r="J49974"/>
    </row>
    <row r="49975" spans="10:10" x14ac:dyDescent="0.3">
      <c r="J49975"/>
    </row>
    <row r="49976" spans="10:10" x14ac:dyDescent="0.3">
      <c r="J49976"/>
    </row>
    <row r="49977" spans="10:10" x14ac:dyDescent="0.3">
      <c r="J49977"/>
    </row>
    <row r="49978" spans="10:10" x14ac:dyDescent="0.3">
      <c r="J49978"/>
    </row>
    <row r="49979" spans="10:10" x14ac:dyDescent="0.3">
      <c r="J49979"/>
    </row>
    <row r="49980" spans="10:10" x14ac:dyDescent="0.3">
      <c r="J49980"/>
    </row>
    <row r="49981" spans="10:10" x14ac:dyDescent="0.3">
      <c r="J49981"/>
    </row>
    <row r="49982" spans="10:10" x14ac:dyDescent="0.3">
      <c r="J49982"/>
    </row>
    <row r="49983" spans="10:10" x14ac:dyDescent="0.3">
      <c r="J49983"/>
    </row>
    <row r="49984" spans="10:10" x14ac:dyDescent="0.3">
      <c r="J49984"/>
    </row>
    <row r="49985" spans="10:10" x14ac:dyDescent="0.3">
      <c r="J49985"/>
    </row>
    <row r="49986" spans="10:10" x14ac:dyDescent="0.3">
      <c r="J49986"/>
    </row>
    <row r="49987" spans="10:10" x14ac:dyDescent="0.3">
      <c r="J49987"/>
    </row>
    <row r="49988" spans="10:10" x14ac:dyDescent="0.3">
      <c r="J49988"/>
    </row>
    <row r="49989" spans="10:10" x14ac:dyDescent="0.3">
      <c r="J49989"/>
    </row>
    <row r="49990" spans="10:10" x14ac:dyDescent="0.3">
      <c r="J49990"/>
    </row>
    <row r="49991" spans="10:10" x14ac:dyDescent="0.3">
      <c r="J49991"/>
    </row>
    <row r="49992" spans="10:10" x14ac:dyDescent="0.3">
      <c r="J49992"/>
    </row>
    <row r="49993" spans="10:10" x14ac:dyDescent="0.3">
      <c r="J49993"/>
    </row>
    <row r="49994" spans="10:10" x14ac:dyDescent="0.3">
      <c r="J49994"/>
    </row>
    <row r="49995" spans="10:10" x14ac:dyDescent="0.3">
      <c r="J49995"/>
    </row>
    <row r="49996" spans="10:10" x14ac:dyDescent="0.3">
      <c r="J49996"/>
    </row>
    <row r="49997" spans="10:10" x14ac:dyDescent="0.3">
      <c r="J49997"/>
    </row>
    <row r="49998" spans="10:10" x14ac:dyDescent="0.3">
      <c r="J49998"/>
    </row>
    <row r="49999" spans="10:10" x14ac:dyDescent="0.3">
      <c r="J49999"/>
    </row>
    <row r="50000" spans="10:10" x14ac:dyDescent="0.3">
      <c r="J50000"/>
    </row>
    <row r="50001" spans="10:10" x14ac:dyDescent="0.3">
      <c r="J50001"/>
    </row>
    <row r="50002" spans="10:10" x14ac:dyDescent="0.3">
      <c r="J50002"/>
    </row>
    <row r="50003" spans="10:10" x14ac:dyDescent="0.3">
      <c r="J50003"/>
    </row>
    <row r="50004" spans="10:10" x14ac:dyDescent="0.3">
      <c r="J50004"/>
    </row>
    <row r="50005" spans="10:10" x14ac:dyDescent="0.3">
      <c r="J50005"/>
    </row>
    <row r="50006" spans="10:10" x14ac:dyDescent="0.3">
      <c r="J50006"/>
    </row>
    <row r="50007" spans="10:10" x14ac:dyDescent="0.3">
      <c r="J50007"/>
    </row>
    <row r="50008" spans="10:10" x14ac:dyDescent="0.3">
      <c r="J50008"/>
    </row>
    <row r="50009" spans="10:10" x14ac:dyDescent="0.3">
      <c r="J50009"/>
    </row>
    <row r="50010" spans="10:10" x14ac:dyDescent="0.3">
      <c r="J50010"/>
    </row>
    <row r="50011" spans="10:10" x14ac:dyDescent="0.3">
      <c r="J50011"/>
    </row>
    <row r="50012" spans="10:10" x14ac:dyDescent="0.3">
      <c r="J50012"/>
    </row>
    <row r="50013" spans="10:10" x14ac:dyDescent="0.3">
      <c r="J50013"/>
    </row>
    <row r="50014" spans="10:10" x14ac:dyDescent="0.3">
      <c r="J50014"/>
    </row>
    <row r="50015" spans="10:10" x14ac:dyDescent="0.3">
      <c r="J50015"/>
    </row>
    <row r="50016" spans="10:10" x14ac:dyDescent="0.3">
      <c r="J50016"/>
    </row>
    <row r="50017" spans="10:10" x14ac:dyDescent="0.3">
      <c r="J50017"/>
    </row>
    <row r="50018" spans="10:10" x14ac:dyDescent="0.3">
      <c r="J50018"/>
    </row>
    <row r="50019" spans="10:10" x14ac:dyDescent="0.3">
      <c r="J50019"/>
    </row>
    <row r="50020" spans="10:10" x14ac:dyDescent="0.3">
      <c r="J50020"/>
    </row>
    <row r="50021" spans="10:10" x14ac:dyDescent="0.3">
      <c r="J50021"/>
    </row>
    <row r="50022" spans="10:10" x14ac:dyDescent="0.3">
      <c r="J50022"/>
    </row>
    <row r="50023" spans="10:10" x14ac:dyDescent="0.3">
      <c r="J50023"/>
    </row>
    <row r="50024" spans="10:10" x14ac:dyDescent="0.3">
      <c r="J50024"/>
    </row>
    <row r="50025" spans="10:10" x14ac:dyDescent="0.3">
      <c r="J50025"/>
    </row>
    <row r="50026" spans="10:10" x14ac:dyDescent="0.3">
      <c r="J50026"/>
    </row>
    <row r="50027" spans="10:10" x14ac:dyDescent="0.3">
      <c r="J50027"/>
    </row>
    <row r="50028" spans="10:10" x14ac:dyDescent="0.3">
      <c r="J50028"/>
    </row>
    <row r="50029" spans="10:10" x14ac:dyDescent="0.3">
      <c r="J50029"/>
    </row>
    <row r="50030" spans="10:10" x14ac:dyDescent="0.3">
      <c r="J50030"/>
    </row>
    <row r="50031" spans="10:10" x14ac:dyDescent="0.3">
      <c r="J50031"/>
    </row>
    <row r="50032" spans="10:10" x14ac:dyDescent="0.3">
      <c r="J50032"/>
    </row>
    <row r="50033" spans="10:10" x14ac:dyDescent="0.3">
      <c r="J50033"/>
    </row>
    <row r="50034" spans="10:10" x14ac:dyDescent="0.3">
      <c r="J50034"/>
    </row>
    <row r="50035" spans="10:10" x14ac:dyDescent="0.3">
      <c r="J50035"/>
    </row>
    <row r="50036" spans="10:10" x14ac:dyDescent="0.3">
      <c r="J50036"/>
    </row>
    <row r="50037" spans="10:10" x14ac:dyDescent="0.3">
      <c r="J50037"/>
    </row>
    <row r="50038" spans="10:10" x14ac:dyDescent="0.3">
      <c r="J50038"/>
    </row>
    <row r="50039" spans="10:10" x14ac:dyDescent="0.3">
      <c r="J50039"/>
    </row>
    <row r="50040" spans="10:10" x14ac:dyDescent="0.3">
      <c r="J50040"/>
    </row>
    <row r="50041" spans="10:10" x14ac:dyDescent="0.3">
      <c r="J50041"/>
    </row>
    <row r="50042" spans="10:10" x14ac:dyDescent="0.3">
      <c r="J50042"/>
    </row>
    <row r="50043" spans="10:10" x14ac:dyDescent="0.3">
      <c r="J50043"/>
    </row>
    <row r="50044" spans="10:10" x14ac:dyDescent="0.3">
      <c r="J50044"/>
    </row>
    <row r="50045" spans="10:10" x14ac:dyDescent="0.3">
      <c r="J50045"/>
    </row>
    <row r="50046" spans="10:10" x14ac:dyDescent="0.3">
      <c r="J50046"/>
    </row>
    <row r="50047" spans="10:10" x14ac:dyDescent="0.3">
      <c r="J50047"/>
    </row>
    <row r="50048" spans="10:10" x14ac:dyDescent="0.3">
      <c r="J50048"/>
    </row>
    <row r="50049" spans="10:10" x14ac:dyDescent="0.3">
      <c r="J50049"/>
    </row>
    <row r="50050" spans="10:10" x14ac:dyDescent="0.3">
      <c r="J50050"/>
    </row>
    <row r="50051" spans="10:10" x14ac:dyDescent="0.3">
      <c r="J50051"/>
    </row>
    <row r="50052" spans="10:10" x14ac:dyDescent="0.3">
      <c r="J50052"/>
    </row>
    <row r="50053" spans="10:10" x14ac:dyDescent="0.3">
      <c r="J50053"/>
    </row>
    <row r="50054" spans="10:10" x14ac:dyDescent="0.3">
      <c r="J50054"/>
    </row>
    <row r="50055" spans="10:10" x14ac:dyDescent="0.3">
      <c r="J50055"/>
    </row>
    <row r="50056" spans="10:10" x14ac:dyDescent="0.3">
      <c r="J50056"/>
    </row>
    <row r="50057" spans="10:10" x14ac:dyDescent="0.3">
      <c r="J50057"/>
    </row>
    <row r="50058" spans="10:10" x14ac:dyDescent="0.3">
      <c r="J50058"/>
    </row>
    <row r="50059" spans="10:10" x14ac:dyDescent="0.3">
      <c r="J50059"/>
    </row>
    <row r="50060" spans="10:10" x14ac:dyDescent="0.3">
      <c r="J50060"/>
    </row>
    <row r="50061" spans="10:10" x14ac:dyDescent="0.3">
      <c r="J50061"/>
    </row>
    <row r="50062" spans="10:10" x14ac:dyDescent="0.3">
      <c r="J50062"/>
    </row>
    <row r="50063" spans="10:10" x14ac:dyDescent="0.3">
      <c r="J50063"/>
    </row>
    <row r="50064" spans="10:10" x14ac:dyDescent="0.3">
      <c r="J50064"/>
    </row>
    <row r="50065" spans="10:10" x14ac:dyDescent="0.3">
      <c r="J50065"/>
    </row>
    <row r="50066" spans="10:10" x14ac:dyDescent="0.3">
      <c r="J50066"/>
    </row>
    <row r="50067" spans="10:10" x14ac:dyDescent="0.3">
      <c r="J50067"/>
    </row>
    <row r="50068" spans="10:10" x14ac:dyDescent="0.3">
      <c r="J50068"/>
    </row>
    <row r="50069" spans="10:10" x14ac:dyDescent="0.3">
      <c r="J50069"/>
    </row>
    <row r="50070" spans="10:10" x14ac:dyDescent="0.3">
      <c r="J50070"/>
    </row>
    <row r="50071" spans="10:10" x14ac:dyDescent="0.3">
      <c r="J50071"/>
    </row>
    <row r="50072" spans="10:10" x14ac:dyDescent="0.3">
      <c r="J50072"/>
    </row>
    <row r="50073" spans="10:10" x14ac:dyDescent="0.3">
      <c r="J50073"/>
    </row>
    <row r="50074" spans="10:10" x14ac:dyDescent="0.3">
      <c r="J50074"/>
    </row>
    <row r="50075" spans="10:10" x14ac:dyDescent="0.3">
      <c r="J50075"/>
    </row>
    <row r="50076" spans="10:10" x14ac:dyDescent="0.3">
      <c r="J50076"/>
    </row>
    <row r="50077" spans="10:10" x14ac:dyDescent="0.3">
      <c r="J50077"/>
    </row>
    <row r="50078" spans="10:10" x14ac:dyDescent="0.3">
      <c r="J50078"/>
    </row>
    <row r="50079" spans="10:10" x14ac:dyDescent="0.3">
      <c r="J50079"/>
    </row>
    <row r="50080" spans="10:10" x14ac:dyDescent="0.3">
      <c r="J50080"/>
    </row>
    <row r="50081" spans="10:10" x14ac:dyDescent="0.3">
      <c r="J50081"/>
    </row>
    <row r="50082" spans="10:10" x14ac:dyDescent="0.3">
      <c r="J50082"/>
    </row>
    <row r="50083" spans="10:10" x14ac:dyDescent="0.3">
      <c r="J50083"/>
    </row>
    <row r="50084" spans="10:10" x14ac:dyDescent="0.3">
      <c r="J50084"/>
    </row>
    <row r="50085" spans="10:10" x14ac:dyDescent="0.3">
      <c r="J50085"/>
    </row>
    <row r="50086" spans="10:10" x14ac:dyDescent="0.3">
      <c r="J50086"/>
    </row>
    <row r="50087" spans="10:10" x14ac:dyDescent="0.3">
      <c r="J50087"/>
    </row>
    <row r="50088" spans="10:10" x14ac:dyDescent="0.3">
      <c r="J50088"/>
    </row>
    <row r="50089" spans="10:10" x14ac:dyDescent="0.3">
      <c r="J50089"/>
    </row>
    <row r="50090" spans="10:10" x14ac:dyDescent="0.3">
      <c r="J50090"/>
    </row>
    <row r="50091" spans="10:10" x14ac:dyDescent="0.3">
      <c r="J50091"/>
    </row>
    <row r="50092" spans="10:10" x14ac:dyDescent="0.3">
      <c r="J50092"/>
    </row>
    <row r="50093" spans="10:10" x14ac:dyDescent="0.3">
      <c r="J50093"/>
    </row>
    <row r="50094" spans="10:10" x14ac:dyDescent="0.3">
      <c r="J50094"/>
    </row>
    <row r="50095" spans="10:10" x14ac:dyDescent="0.3">
      <c r="J50095"/>
    </row>
    <row r="50096" spans="10:10" x14ac:dyDescent="0.3">
      <c r="J50096"/>
    </row>
    <row r="50097" spans="10:10" x14ac:dyDescent="0.3">
      <c r="J50097"/>
    </row>
    <row r="50098" spans="10:10" x14ac:dyDescent="0.3">
      <c r="J50098"/>
    </row>
    <row r="50099" spans="10:10" x14ac:dyDescent="0.3">
      <c r="J50099"/>
    </row>
    <row r="50100" spans="10:10" x14ac:dyDescent="0.3">
      <c r="J50100"/>
    </row>
    <row r="50101" spans="10:10" x14ac:dyDescent="0.3">
      <c r="J50101"/>
    </row>
    <row r="50102" spans="10:10" x14ac:dyDescent="0.3">
      <c r="J50102"/>
    </row>
    <row r="50103" spans="10:10" x14ac:dyDescent="0.3">
      <c r="J50103"/>
    </row>
    <row r="50104" spans="10:10" x14ac:dyDescent="0.3">
      <c r="J50104"/>
    </row>
    <row r="50105" spans="10:10" x14ac:dyDescent="0.3">
      <c r="J50105"/>
    </row>
    <row r="50106" spans="10:10" x14ac:dyDescent="0.3">
      <c r="J50106"/>
    </row>
    <row r="50107" spans="10:10" x14ac:dyDescent="0.3">
      <c r="J50107"/>
    </row>
    <row r="50108" spans="10:10" x14ac:dyDescent="0.3">
      <c r="J50108"/>
    </row>
    <row r="50109" spans="10:10" x14ac:dyDescent="0.3">
      <c r="J50109"/>
    </row>
    <row r="50110" spans="10:10" x14ac:dyDescent="0.3">
      <c r="J50110"/>
    </row>
    <row r="50111" spans="10:10" x14ac:dyDescent="0.3">
      <c r="J50111"/>
    </row>
    <row r="50112" spans="10:10" x14ac:dyDescent="0.3">
      <c r="J50112"/>
    </row>
    <row r="50113" spans="10:10" x14ac:dyDescent="0.3">
      <c r="J50113"/>
    </row>
    <row r="50114" spans="10:10" x14ac:dyDescent="0.3">
      <c r="J50114"/>
    </row>
    <row r="50115" spans="10:10" x14ac:dyDescent="0.3">
      <c r="J50115"/>
    </row>
    <row r="50116" spans="10:10" x14ac:dyDescent="0.3">
      <c r="J50116"/>
    </row>
    <row r="50117" spans="10:10" x14ac:dyDescent="0.3">
      <c r="J50117"/>
    </row>
    <row r="50118" spans="10:10" x14ac:dyDescent="0.3">
      <c r="J50118"/>
    </row>
    <row r="50119" spans="10:10" x14ac:dyDescent="0.3">
      <c r="J50119"/>
    </row>
    <row r="50120" spans="10:10" x14ac:dyDescent="0.3">
      <c r="J50120"/>
    </row>
    <row r="50121" spans="10:10" x14ac:dyDescent="0.3">
      <c r="J50121"/>
    </row>
    <row r="50122" spans="10:10" x14ac:dyDescent="0.3">
      <c r="J50122"/>
    </row>
    <row r="50123" spans="10:10" x14ac:dyDescent="0.3">
      <c r="J50123"/>
    </row>
    <row r="50124" spans="10:10" x14ac:dyDescent="0.3">
      <c r="J50124"/>
    </row>
    <row r="50125" spans="10:10" x14ac:dyDescent="0.3">
      <c r="J50125"/>
    </row>
    <row r="50126" spans="10:10" x14ac:dyDescent="0.3">
      <c r="J50126"/>
    </row>
    <row r="50127" spans="10:10" x14ac:dyDescent="0.3">
      <c r="J50127"/>
    </row>
    <row r="50128" spans="10:10" x14ac:dyDescent="0.3">
      <c r="J50128"/>
    </row>
    <row r="50129" spans="10:10" x14ac:dyDescent="0.3">
      <c r="J50129"/>
    </row>
    <row r="50130" spans="10:10" x14ac:dyDescent="0.3">
      <c r="J50130"/>
    </row>
    <row r="50131" spans="10:10" x14ac:dyDescent="0.3">
      <c r="J50131"/>
    </row>
    <row r="50132" spans="10:10" x14ac:dyDescent="0.3">
      <c r="J50132"/>
    </row>
    <row r="50133" spans="10:10" x14ac:dyDescent="0.3">
      <c r="J50133"/>
    </row>
    <row r="50134" spans="10:10" x14ac:dyDescent="0.3">
      <c r="J50134"/>
    </row>
    <row r="50135" spans="10:10" x14ac:dyDescent="0.3">
      <c r="J50135"/>
    </row>
    <row r="50136" spans="10:10" x14ac:dyDescent="0.3">
      <c r="J50136"/>
    </row>
    <row r="50137" spans="10:10" x14ac:dyDescent="0.3">
      <c r="J50137"/>
    </row>
    <row r="50138" spans="10:10" x14ac:dyDescent="0.3">
      <c r="J50138"/>
    </row>
    <row r="50139" spans="10:10" x14ac:dyDescent="0.3">
      <c r="J50139"/>
    </row>
    <row r="50140" spans="10:10" x14ac:dyDescent="0.3">
      <c r="J50140"/>
    </row>
    <row r="50141" spans="10:10" x14ac:dyDescent="0.3">
      <c r="J50141"/>
    </row>
    <row r="50142" spans="10:10" x14ac:dyDescent="0.3">
      <c r="J50142"/>
    </row>
    <row r="50143" spans="10:10" x14ac:dyDescent="0.3">
      <c r="J50143"/>
    </row>
    <row r="50144" spans="10:10" x14ac:dyDescent="0.3">
      <c r="J50144"/>
    </row>
    <row r="50145" spans="10:10" x14ac:dyDescent="0.3">
      <c r="J50145"/>
    </row>
    <row r="50146" spans="10:10" x14ac:dyDescent="0.3">
      <c r="J50146"/>
    </row>
    <row r="50147" spans="10:10" x14ac:dyDescent="0.3">
      <c r="J50147"/>
    </row>
    <row r="50148" spans="10:10" x14ac:dyDescent="0.3">
      <c r="J50148"/>
    </row>
    <row r="50149" spans="10:10" x14ac:dyDescent="0.3">
      <c r="J50149"/>
    </row>
    <row r="50150" spans="10:10" x14ac:dyDescent="0.3">
      <c r="J50150"/>
    </row>
    <row r="50151" spans="10:10" x14ac:dyDescent="0.3">
      <c r="J50151"/>
    </row>
    <row r="50152" spans="10:10" x14ac:dyDescent="0.3">
      <c r="J50152"/>
    </row>
    <row r="50153" spans="10:10" x14ac:dyDescent="0.3">
      <c r="J50153"/>
    </row>
    <row r="50154" spans="10:10" x14ac:dyDescent="0.3">
      <c r="J50154"/>
    </row>
    <row r="50155" spans="10:10" x14ac:dyDescent="0.3">
      <c r="J50155"/>
    </row>
    <row r="50156" spans="10:10" x14ac:dyDescent="0.3">
      <c r="J50156"/>
    </row>
    <row r="50157" spans="10:10" x14ac:dyDescent="0.3">
      <c r="J50157"/>
    </row>
    <row r="50158" spans="10:10" x14ac:dyDescent="0.3">
      <c r="J50158"/>
    </row>
    <row r="50159" spans="10:10" x14ac:dyDescent="0.3">
      <c r="J50159"/>
    </row>
    <row r="50160" spans="10:10" x14ac:dyDescent="0.3">
      <c r="J50160"/>
    </row>
    <row r="50161" spans="10:10" x14ac:dyDescent="0.3">
      <c r="J50161"/>
    </row>
    <row r="50162" spans="10:10" x14ac:dyDescent="0.3">
      <c r="J50162"/>
    </row>
    <row r="50163" spans="10:10" x14ac:dyDescent="0.3">
      <c r="J50163"/>
    </row>
    <row r="50164" spans="10:10" x14ac:dyDescent="0.3">
      <c r="J50164"/>
    </row>
    <row r="50165" spans="10:10" x14ac:dyDescent="0.3">
      <c r="J50165"/>
    </row>
    <row r="50166" spans="10:10" x14ac:dyDescent="0.3">
      <c r="J50166"/>
    </row>
    <row r="50167" spans="10:10" x14ac:dyDescent="0.3">
      <c r="J50167"/>
    </row>
    <row r="50168" spans="10:10" x14ac:dyDescent="0.3">
      <c r="J50168"/>
    </row>
    <row r="50169" spans="10:10" x14ac:dyDescent="0.3">
      <c r="J50169"/>
    </row>
    <row r="50170" spans="10:10" x14ac:dyDescent="0.3">
      <c r="J50170"/>
    </row>
    <row r="50171" spans="10:10" x14ac:dyDescent="0.3">
      <c r="J50171"/>
    </row>
    <row r="50172" spans="10:10" x14ac:dyDescent="0.3">
      <c r="J50172"/>
    </row>
    <row r="50173" spans="10:10" x14ac:dyDescent="0.3">
      <c r="J50173"/>
    </row>
    <row r="50174" spans="10:10" x14ac:dyDescent="0.3">
      <c r="J50174"/>
    </row>
    <row r="50175" spans="10:10" x14ac:dyDescent="0.3">
      <c r="J50175"/>
    </row>
    <row r="50176" spans="10:10" x14ac:dyDescent="0.3">
      <c r="J50176"/>
    </row>
    <row r="50177" spans="10:10" x14ac:dyDescent="0.3">
      <c r="J50177"/>
    </row>
    <row r="50178" spans="10:10" x14ac:dyDescent="0.3">
      <c r="J50178"/>
    </row>
    <row r="50179" spans="10:10" x14ac:dyDescent="0.3">
      <c r="J50179"/>
    </row>
    <row r="50180" spans="10:10" x14ac:dyDescent="0.3">
      <c r="J50180"/>
    </row>
    <row r="50181" spans="10:10" x14ac:dyDescent="0.3">
      <c r="J50181"/>
    </row>
    <row r="50182" spans="10:10" x14ac:dyDescent="0.3">
      <c r="J50182"/>
    </row>
    <row r="50183" spans="10:10" x14ac:dyDescent="0.3">
      <c r="J50183"/>
    </row>
    <row r="50184" spans="10:10" x14ac:dyDescent="0.3">
      <c r="J50184"/>
    </row>
    <row r="50185" spans="10:10" x14ac:dyDescent="0.3">
      <c r="J50185"/>
    </row>
    <row r="50186" spans="10:10" x14ac:dyDescent="0.3">
      <c r="J50186"/>
    </row>
    <row r="50187" spans="10:10" x14ac:dyDescent="0.3">
      <c r="J50187"/>
    </row>
    <row r="50188" spans="10:10" x14ac:dyDescent="0.3">
      <c r="J50188"/>
    </row>
    <row r="50189" spans="10:10" x14ac:dyDescent="0.3">
      <c r="J50189"/>
    </row>
    <row r="50190" spans="10:10" x14ac:dyDescent="0.3">
      <c r="J50190"/>
    </row>
    <row r="50191" spans="10:10" x14ac:dyDescent="0.3">
      <c r="J50191"/>
    </row>
    <row r="50192" spans="10:10" x14ac:dyDescent="0.3">
      <c r="J50192"/>
    </row>
    <row r="50193" spans="10:10" x14ac:dyDescent="0.3">
      <c r="J50193"/>
    </row>
    <row r="50194" spans="10:10" x14ac:dyDescent="0.3">
      <c r="J50194"/>
    </row>
    <row r="50195" spans="10:10" x14ac:dyDescent="0.3">
      <c r="J50195"/>
    </row>
    <row r="50196" spans="10:10" x14ac:dyDescent="0.3">
      <c r="J50196"/>
    </row>
    <row r="50197" spans="10:10" x14ac:dyDescent="0.3">
      <c r="J50197"/>
    </row>
    <row r="50198" spans="10:10" x14ac:dyDescent="0.3">
      <c r="J50198"/>
    </row>
    <row r="50199" spans="10:10" x14ac:dyDescent="0.3">
      <c r="J50199"/>
    </row>
    <row r="50200" spans="10:10" x14ac:dyDescent="0.3">
      <c r="J50200"/>
    </row>
    <row r="50201" spans="10:10" x14ac:dyDescent="0.3">
      <c r="J50201"/>
    </row>
    <row r="50202" spans="10:10" x14ac:dyDescent="0.3">
      <c r="J50202"/>
    </row>
    <row r="50203" spans="10:10" x14ac:dyDescent="0.3">
      <c r="J50203"/>
    </row>
    <row r="50204" spans="10:10" x14ac:dyDescent="0.3">
      <c r="J50204"/>
    </row>
    <row r="50205" spans="10:10" x14ac:dyDescent="0.3">
      <c r="J50205"/>
    </row>
    <row r="50206" spans="10:10" x14ac:dyDescent="0.3">
      <c r="J50206"/>
    </row>
    <row r="50207" spans="10:10" x14ac:dyDescent="0.3">
      <c r="J50207"/>
    </row>
    <row r="50208" spans="10:10" x14ac:dyDescent="0.3">
      <c r="J50208"/>
    </row>
    <row r="50209" spans="10:10" x14ac:dyDescent="0.3">
      <c r="J50209"/>
    </row>
    <row r="50210" spans="10:10" x14ac:dyDescent="0.3">
      <c r="J50210"/>
    </row>
    <row r="50211" spans="10:10" x14ac:dyDescent="0.3">
      <c r="J50211"/>
    </row>
    <row r="50212" spans="10:10" x14ac:dyDescent="0.3">
      <c r="J50212"/>
    </row>
    <row r="50213" spans="10:10" x14ac:dyDescent="0.3">
      <c r="J50213"/>
    </row>
    <row r="50214" spans="10:10" x14ac:dyDescent="0.3">
      <c r="J50214"/>
    </row>
    <row r="50215" spans="10:10" x14ac:dyDescent="0.3">
      <c r="J50215"/>
    </row>
    <row r="50216" spans="10:10" x14ac:dyDescent="0.3">
      <c r="J50216"/>
    </row>
    <row r="50217" spans="10:10" x14ac:dyDescent="0.3">
      <c r="J50217"/>
    </row>
    <row r="50218" spans="10:10" x14ac:dyDescent="0.3">
      <c r="J50218"/>
    </row>
    <row r="50219" spans="10:10" x14ac:dyDescent="0.3">
      <c r="J50219"/>
    </row>
    <row r="50220" spans="10:10" x14ac:dyDescent="0.3">
      <c r="J50220"/>
    </row>
    <row r="50221" spans="10:10" x14ac:dyDescent="0.3">
      <c r="J50221"/>
    </row>
    <row r="50222" spans="10:10" x14ac:dyDescent="0.3">
      <c r="J50222"/>
    </row>
    <row r="50223" spans="10:10" x14ac:dyDescent="0.3">
      <c r="J50223"/>
    </row>
    <row r="50224" spans="10:10" x14ac:dyDescent="0.3">
      <c r="J50224"/>
    </row>
    <row r="50225" spans="10:10" x14ac:dyDescent="0.3">
      <c r="J50225"/>
    </row>
    <row r="50226" spans="10:10" x14ac:dyDescent="0.3">
      <c r="J50226"/>
    </row>
    <row r="50227" spans="10:10" x14ac:dyDescent="0.3">
      <c r="J50227"/>
    </row>
    <row r="50228" spans="10:10" x14ac:dyDescent="0.3">
      <c r="J50228"/>
    </row>
    <row r="50229" spans="10:10" x14ac:dyDescent="0.3">
      <c r="J50229"/>
    </row>
    <row r="50230" spans="10:10" x14ac:dyDescent="0.3">
      <c r="J50230"/>
    </row>
    <row r="50231" spans="10:10" x14ac:dyDescent="0.3">
      <c r="J50231"/>
    </row>
    <row r="50232" spans="10:10" x14ac:dyDescent="0.3">
      <c r="J50232"/>
    </row>
    <row r="50233" spans="10:10" x14ac:dyDescent="0.3">
      <c r="J50233"/>
    </row>
    <row r="50234" spans="10:10" x14ac:dyDescent="0.3">
      <c r="J50234"/>
    </row>
    <row r="50235" spans="10:10" x14ac:dyDescent="0.3">
      <c r="J50235"/>
    </row>
    <row r="50236" spans="10:10" x14ac:dyDescent="0.3">
      <c r="J50236"/>
    </row>
    <row r="50237" spans="10:10" x14ac:dyDescent="0.3">
      <c r="J50237"/>
    </row>
    <row r="50238" spans="10:10" x14ac:dyDescent="0.3">
      <c r="J50238"/>
    </row>
    <row r="50239" spans="10:10" x14ac:dyDescent="0.3">
      <c r="J50239"/>
    </row>
    <row r="50240" spans="10:10" x14ac:dyDescent="0.3">
      <c r="J50240"/>
    </row>
    <row r="50241" spans="10:10" x14ac:dyDescent="0.3">
      <c r="J50241"/>
    </row>
    <row r="50242" spans="10:10" x14ac:dyDescent="0.3">
      <c r="J50242"/>
    </row>
    <row r="50243" spans="10:10" x14ac:dyDescent="0.3">
      <c r="J50243"/>
    </row>
    <row r="50244" spans="10:10" x14ac:dyDescent="0.3">
      <c r="J50244"/>
    </row>
    <row r="50245" spans="10:10" x14ac:dyDescent="0.3">
      <c r="J50245"/>
    </row>
    <row r="50246" spans="10:10" x14ac:dyDescent="0.3">
      <c r="J50246"/>
    </row>
    <row r="50247" spans="10:10" x14ac:dyDescent="0.3">
      <c r="J50247"/>
    </row>
    <row r="50248" spans="10:10" x14ac:dyDescent="0.3">
      <c r="J50248"/>
    </row>
    <row r="50249" spans="10:10" x14ac:dyDescent="0.3">
      <c r="J50249"/>
    </row>
    <row r="50250" spans="10:10" x14ac:dyDescent="0.3">
      <c r="J50250"/>
    </row>
    <row r="50251" spans="10:10" x14ac:dyDescent="0.3">
      <c r="J50251"/>
    </row>
    <row r="50252" spans="10:10" x14ac:dyDescent="0.3">
      <c r="J50252"/>
    </row>
    <row r="50253" spans="10:10" x14ac:dyDescent="0.3">
      <c r="J50253"/>
    </row>
    <row r="50254" spans="10:10" x14ac:dyDescent="0.3">
      <c r="J50254"/>
    </row>
    <row r="50255" spans="10:10" x14ac:dyDescent="0.3">
      <c r="J50255"/>
    </row>
    <row r="50256" spans="10:10" x14ac:dyDescent="0.3">
      <c r="J50256"/>
    </row>
    <row r="50257" spans="10:10" x14ac:dyDescent="0.3">
      <c r="J50257"/>
    </row>
    <row r="50258" spans="10:10" x14ac:dyDescent="0.3">
      <c r="J50258"/>
    </row>
    <row r="50259" spans="10:10" x14ac:dyDescent="0.3">
      <c r="J50259"/>
    </row>
    <row r="50260" spans="10:10" x14ac:dyDescent="0.3">
      <c r="J50260"/>
    </row>
    <row r="50261" spans="10:10" x14ac:dyDescent="0.3">
      <c r="J50261"/>
    </row>
    <row r="50262" spans="10:10" x14ac:dyDescent="0.3">
      <c r="J50262"/>
    </row>
    <row r="50263" spans="10:10" x14ac:dyDescent="0.3">
      <c r="J50263"/>
    </row>
    <row r="50264" spans="10:10" x14ac:dyDescent="0.3">
      <c r="J50264"/>
    </row>
    <row r="50265" spans="10:10" x14ac:dyDescent="0.3">
      <c r="J50265"/>
    </row>
    <row r="50266" spans="10:10" x14ac:dyDescent="0.3">
      <c r="J50266"/>
    </row>
    <row r="50267" spans="10:10" x14ac:dyDescent="0.3">
      <c r="J50267"/>
    </row>
    <row r="50268" spans="10:10" x14ac:dyDescent="0.3">
      <c r="J50268"/>
    </row>
    <row r="50269" spans="10:10" x14ac:dyDescent="0.3">
      <c r="J50269"/>
    </row>
    <row r="50270" spans="10:10" x14ac:dyDescent="0.3">
      <c r="J50270"/>
    </row>
    <row r="50271" spans="10:10" x14ac:dyDescent="0.3">
      <c r="J50271"/>
    </row>
    <row r="50272" spans="10:10" x14ac:dyDescent="0.3">
      <c r="J50272"/>
    </row>
    <row r="50273" spans="10:10" x14ac:dyDescent="0.3">
      <c r="J50273"/>
    </row>
    <row r="50274" spans="10:10" x14ac:dyDescent="0.3">
      <c r="J50274"/>
    </row>
    <row r="50275" spans="10:10" x14ac:dyDescent="0.3">
      <c r="J50275"/>
    </row>
    <row r="50276" spans="10:10" x14ac:dyDescent="0.3">
      <c r="J50276"/>
    </row>
    <row r="50277" spans="10:10" x14ac:dyDescent="0.3">
      <c r="J50277"/>
    </row>
    <row r="50278" spans="10:10" x14ac:dyDescent="0.3">
      <c r="J50278"/>
    </row>
    <row r="50279" spans="10:10" x14ac:dyDescent="0.3">
      <c r="J50279"/>
    </row>
    <row r="50280" spans="10:10" x14ac:dyDescent="0.3">
      <c r="J50280"/>
    </row>
    <row r="50281" spans="10:10" x14ac:dyDescent="0.3">
      <c r="J50281"/>
    </row>
    <row r="50282" spans="10:10" x14ac:dyDescent="0.3">
      <c r="J50282"/>
    </row>
    <row r="50283" spans="10:10" x14ac:dyDescent="0.3">
      <c r="J50283"/>
    </row>
    <row r="50284" spans="10:10" x14ac:dyDescent="0.3">
      <c r="J50284"/>
    </row>
    <row r="50285" spans="10:10" x14ac:dyDescent="0.3">
      <c r="J50285"/>
    </row>
    <row r="50286" spans="10:10" x14ac:dyDescent="0.3">
      <c r="J50286"/>
    </row>
    <row r="50287" spans="10:10" x14ac:dyDescent="0.3">
      <c r="J50287"/>
    </row>
    <row r="50288" spans="10:10" x14ac:dyDescent="0.3">
      <c r="J50288"/>
    </row>
    <row r="50289" spans="10:10" x14ac:dyDescent="0.3">
      <c r="J50289"/>
    </row>
    <row r="50290" spans="10:10" x14ac:dyDescent="0.3">
      <c r="J50290"/>
    </row>
    <row r="50291" spans="10:10" x14ac:dyDescent="0.3">
      <c r="J50291"/>
    </row>
    <row r="50292" spans="10:10" x14ac:dyDescent="0.3">
      <c r="J50292"/>
    </row>
    <row r="50293" spans="10:10" x14ac:dyDescent="0.3">
      <c r="J50293"/>
    </row>
    <row r="50294" spans="10:10" x14ac:dyDescent="0.3">
      <c r="J50294"/>
    </row>
    <row r="50295" spans="10:10" x14ac:dyDescent="0.3">
      <c r="J50295"/>
    </row>
    <row r="50296" spans="10:10" x14ac:dyDescent="0.3">
      <c r="J50296"/>
    </row>
    <row r="50297" spans="10:10" x14ac:dyDescent="0.3">
      <c r="J50297"/>
    </row>
    <row r="50298" spans="10:10" x14ac:dyDescent="0.3">
      <c r="J50298"/>
    </row>
    <row r="50299" spans="10:10" x14ac:dyDescent="0.3">
      <c r="J50299"/>
    </row>
    <row r="50300" spans="10:10" x14ac:dyDescent="0.3">
      <c r="J50300"/>
    </row>
    <row r="50301" spans="10:10" x14ac:dyDescent="0.3">
      <c r="J50301"/>
    </row>
    <row r="50302" spans="10:10" x14ac:dyDescent="0.3">
      <c r="J50302"/>
    </row>
    <row r="50303" spans="10:10" x14ac:dyDescent="0.3">
      <c r="J50303"/>
    </row>
    <row r="50304" spans="10:10" x14ac:dyDescent="0.3">
      <c r="J50304"/>
    </row>
    <row r="50305" spans="10:10" x14ac:dyDescent="0.3">
      <c r="J50305"/>
    </row>
    <row r="50306" spans="10:10" x14ac:dyDescent="0.3">
      <c r="J50306"/>
    </row>
    <row r="50307" spans="10:10" x14ac:dyDescent="0.3">
      <c r="J50307"/>
    </row>
    <row r="50308" spans="10:10" x14ac:dyDescent="0.3">
      <c r="J50308"/>
    </row>
    <row r="50309" spans="10:10" x14ac:dyDescent="0.3">
      <c r="J50309"/>
    </row>
    <row r="50310" spans="10:10" x14ac:dyDescent="0.3">
      <c r="J50310"/>
    </row>
    <row r="50311" spans="10:10" x14ac:dyDescent="0.3">
      <c r="J50311"/>
    </row>
    <row r="50312" spans="10:10" x14ac:dyDescent="0.3">
      <c r="J50312"/>
    </row>
    <row r="50313" spans="10:10" x14ac:dyDescent="0.3">
      <c r="J50313"/>
    </row>
    <row r="50314" spans="10:10" x14ac:dyDescent="0.3">
      <c r="J50314"/>
    </row>
    <row r="50315" spans="10:10" x14ac:dyDescent="0.3">
      <c r="J50315"/>
    </row>
    <row r="50316" spans="10:10" x14ac:dyDescent="0.3">
      <c r="J50316"/>
    </row>
    <row r="50317" spans="10:10" x14ac:dyDescent="0.3">
      <c r="J50317"/>
    </row>
    <row r="50318" spans="10:10" x14ac:dyDescent="0.3">
      <c r="J50318"/>
    </row>
    <row r="50319" spans="10:10" x14ac:dyDescent="0.3">
      <c r="J50319"/>
    </row>
    <row r="50320" spans="10:10" x14ac:dyDescent="0.3">
      <c r="J50320"/>
    </row>
    <row r="50321" spans="10:10" x14ac:dyDescent="0.3">
      <c r="J50321"/>
    </row>
    <row r="50322" spans="10:10" x14ac:dyDescent="0.3">
      <c r="J50322"/>
    </row>
    <row r="50323" spans="10:10" x14ac:dyDescent="0.3">
      <c r="J50323"/>
    </row>
    <row r="50324" spans="10:10" x14ac:dyDescent="0.3">
      <c r="J50324"/>
    </row>
    <row r="50325" spans="10:10" x14ac:dyDescent="0.3">
      <c r="J50325"/>
    </row>
    <row r="50326" spans="10:10" x14ac:dyDescent="0.3">
      <c r="J50326"/>
    </row>
    <row r="50327" spans="10:10" x14ac:dyDescent="0.3">
      <c r="J50327"/>
    </row>
    <row r="50328" spans="10:10" x14ac:dyDescent="0.3">
      <c r="J50328"/>
    </row>
    <row r="50329" spans="10:10" x14ac:dyDescent="0.3">
      <c r="J50329"/>
    </row>
    <row r="50330" spans="10:10" x14ac:dyDescent="0.3">
      <c r="J50330"/>
    </row>
    <row r="50331" spans="10:10" x14ac:dyDescent="0.3">
      <c r="J50331"/>
    </row>
    <row r="50332" spans="10:10" x14ac:dyDescent="0.3">
      <c r="J50332"/>
    </row>
    <row r="50333" spans="10:10" x14ac:dyDescent="0.3">
      <c r="J50333"/>
    </row>
    <row r="50334" spans="10:10" x14ac:dyDescent="0.3">
      <c r="J50334"/>
    </row>
    <row r="50335" spans="10:10" x14ac:dyDescent="0.3">
      <c r="J50335"/>
    </row>
    <row r="50336" spans="10:10" x14ac:dyDescent="0.3">
      <c r="J50336"/>
    </row>
    <row r="50337" spans="10:10" x14ac:dyDescent="0.3">
      <c r="J50337"/>
    </row>
    <row r="50338" spans="10:10" x14ac:dyDescent="0.3">
      <c r="J50338"/>
    </row>
    <row r="50339" spans="10:10" x14ac:dyDescent="0.3">
      <c r="J50339"/>
    </row>
    <row r="50340" spans="10:10" x14ac:dyDescent="0.3">
      <c r="J50340"/>
    </row>
    <row r="50341" spans="10:10" x14ac:dyDescent="0.3">
      <c r="J50341"/>
    </row>
    <row r="50342" spans="10:10" x14ac:dyDescent="0.3">
      <c r="J50342"/>
    </row>
    <row r="50343" spans="10:10" x14ac:dyDescent="0.3">
      <c r="J50343"/>
    </row>
    <row r="50344" spans="10:10" x14ac:dyDescent="0.3">
      <c r="J50344"/>
    </row>
    <row r="50345" spans="10:10" x14ac:dyDescent="0.3">
      <c r="J50345"/>
    </row>
    <row r="50346" spans="10:10" x14ac:dyDescent="0.3">
      <c r="J50346"/>
    </row>
    <row r="50347" spans="10:10" x14ac:dyDescent="0.3">
      <c r="J50347"/>
    </row>
    <row r="50348" spans="10:10" x14ac:dyDescent="0.3">
      <c r="J50348"/>
    </row>
    <row r="50349" spans="10:10" x14ac:dyDescent="0.3">
      <c r="J50349"/>
    </row>
    <row r="50350" spans="10:10" x14ac:dyDescent="0.3">
      <c r="J50350"/>
    </row>
    <row r="50351" spans="10:10" x14ac:dyDescent="0.3">
      <c r="J50351"/>
    </row>
    <row r="50352" spans="10:10" x14ac:dyDescent="0.3">
      <c r="J50352"/>
    </row>
    <row r="50353" spans="10:10" x14ac:dyDescent="0.3">
      <c r="J50353"/>
    </row>
    <row r="50354" spans="10:10" x14ac:dyDescent="0.3">
      <c r="J50354"/>
    </row>
    <row r="50355" spans="10:10" x14ac:dyDescent="0.3">
      <c r="J50355"/>
    </row>
    <row r="50356" spans="10:10" x14ac:dyDescent="0.3">
      <c r="J50356"/>
    </row>
    <row r="50357" spans="10:10" x14ac:dyDescent="0.3">
      <c r="J50357"/>
    </row>
    <row r="50358" spans="10:10" x14ac:dyDescent="0.3">
      <c r="J50358"/>
    </row>
    <row r="50359" spans="10:10" x14ac:dyDescent="0.3">
      <c r="J50359"/>
    </row>
    <row r="50360" spans="10:10" x14ac:dyDescent="0.3">
      <c r="J50360"/>
    </row>
    <row r="50361" spans="10:10" x14ac:dyDescent="0.3">
      <c r="J50361"/>
    </row>
    <row r="50362" spans="10:10" x14ac:dyDescent="0.3">
      <c r="J50362"/>
    </row>
    <row r="50363" spans="10:10" x14ac:dyDescent="0.3">
      <c r="J50363"/>
    </row>
    <row r="50364" spans="10:10" x14ac:dyDescent="0.3">
      <c r="J50364"/>
    </row>
    <row r="50365" spans="10:10" x14ac:dyDescent="0.3">
      <c r="J50365"/>
    </row>
    <row r="50366" spans="10:10" x14ac:dyDescent="0.3">
      <c r="J50366"/>
    </row>
    <row r="50367" spans="10:10" x14ac:dyDescent="0.3">
      <c r="J50367"/>
    </row>
    <row r="50368" spans="10:10" x14ac:dyDescent="0.3">
      <c r="J50368"/>
    </row>
    <row r="50369" spans="10:10" x14ac:dyDescent="0.3">
      <c r="J50369"/>
    </row>
    <row r="50370" spans="10:10" x14ac:dyDescent="0.3">
      <c r="J50370"/>
    </row>
    <row r="50371" spans="10:10" x14ac:dyDescent="0.3">
      <c r="J50371"/>
    </row>
    <row r="50372" spans="10:10" x14ac:dyDescent="0.3">
      <c r="J50372"/>
    </row>
    <row r="50373" spans="10:10" x14ac:dyDescent="0.3">
      <c r="J50373"/>
    </row>
    <row r="50374" spans="10:10" x14ac:dyDescent="0.3">
      <c r="J50374"/>
    </row>
    <row r="50375" spans="10:10" x14ac:dyDescent="0.3">
      <c r="J50375"/>
    </row>
    <row r="50376" spans="10:10" x14ac:dyDescent="0.3">
      <c r="J50376"/>
    </row>
    <row r="50377" spans="10:10" x14ac:dyDescent="0.3">
      <c r="J50377"/>
    </row>
    <row r="50378" spans="10:10" x14ac:dyDescent="0.3">
      <c r="J50378"/>
    </row>
    <row r="50379" spans="10:10" x14ac:dyDescent="0.3">
      <c r="J50379"/>
    </row>
    <row r="50380" spans="10:10" x14ac:dyDescent="0.3">
      <c r="J50380"/>
    </row>
    <row r="50381" spans="10:10" x14ac:dyDescent="0.3">
      <c r="J50381"/>
    </row>
    <row r="50382" spans="10:10" x14ac:dyDescent="0.3">
      <c r="J50382"/>
    </row>
    <row r="50383" spans="10:10" x14ac:dyDescent="0.3">
      <c r="J50383"/>
    </row>
    <row r="50384" spans="10:10" x14ac:dyDescent="0.3">
      <c r="J50384"/>
    </row>
    <row r="50385" spans="10:10" x14ac:dyDescent="0.3">
      <c r="J50385"/>
    </row>
    <row r="50386" spans="10:10" x14ac:dyDescent="0.3">
      <c r="J50386"/>
    </row>
    <row r="50387" spans="10:10" x14ac:dyDescent="0.3">
      <c r="J50387"/>
    </row>
    <row r="50388" spans="10:10" x14ac:dyDescent="0.3">
      <c r="J50388"/>
    </row>
    <row r="50389" spans="10:10" x14ac:dyDescent="0.3">
      <c r="J50389"/>
    </row>
    <row r="50390" spans="10:10" x14ac:dyDescent="0.3">
      <c r="J50390"/>
    </row>
    <row r="50391" spans="10:10" x14ac:dyDescent="0.3">
      <c r="J50391"/>
    </row>
    <row r="50392" spans="10:10" x14ac:dyDescent="0.3">
      <c r="J50392"/>
    </row>
    <row r="50393" spans="10:10" x14ac:dyDescent="0.3">
      <c r="J50393"/>
    </row>
    <row r="50394" spans="10:10" x14ac:dyDescent="0.3">
      <c r="J50394"/>
    </row>
    <row r="50395" spans="10:10" x14ac:dyDescent="0.3">
      <c r="J50395"/>
    </row>
    <row r="50396" spans="10:10" x14ac:dyDescent="0.3">
      <c r="J50396"/>
    </row>
    <row r="50397" spans="10:10" x14ac:dyDescent="0.3">
      <c r="J50397"/>
    </row>
    <row r="50398" spans="10:10" x14ac:dyDescent="0.3">
      <c r="J50398"/>
    </row>
    <row r="50399" spans="10:10" x14ac:dyDescent="0.3">
      <c r="J50399"/>
    </row>
    <row r="50400" spans="10:10" x14ac:dyDescent="0.3">
      <c r="J50400"/>
    </row>
    <row r="50401" spans="10:10" x14ac:dyDescent="0.3">
      <c r="J50401"/>
    </row>
    <row r="50402" spans="10:10" x14ac:dyDescent="0.3">
      <c r="J50402"/>
    </row>
    <row r="50403" spans="10:10" x14ac:dyDescent="0.3">
      <c r="J50403"/>
    </row>
    <row r="50404" spans="10:10" x14ac:dyDescent="0.3">
      <c r="J50404"/>
    </row>
    <row r="50405" spans="10:10" x14ac:dyDescent="0.3">
      <c r="J50405"/>
    </row>
    <row r="50406" spans="10:10" x14ac:dyDescent="0.3">
      <c r="J50406"/>
    </row>
    <row r="50407" spans="10:10" x14ac:dyDescent="0.3">
      <c r="J50407"/>
    </row>
    <row r="50408" spans="10:10" x14ac:dyDescent="0.3">
      <c r="J50408"/>
    </row>
    <row r="50409" spans="10:10" x14ac:dyDescent="0.3">
      <c r="J50409"/>
    </row>
    <row r="50410" spans="10:10" x14ac:dyDescent="0.3">
      <c r="J50410"/>
    </row>
    <row r="50411" spans="10:10" x14ac:dyDescent="0.3">
      <c r="J50411"/>
    </row>
    <row r="50412" spans="10:10" x14ac:dyDescent="0.3">
      <c r="J50412"/>
    </row>
    <row r="50413" spans="10:10" x14ac:dyDescent="0.3">
      <c r="J50413"/>
    </row>
    <row r="50414" spans="10:10" x14ac:dyDescent="0.3">
      <c r="J50414"/>
    </row>
    <row r="50415" spans="10:10" x14ac:dyDescent="0.3">
      <c r="J50415"/>
    </row>
    <row r="50416" spans="10:10" x14ac:dyDescent="0.3">
      <c r="J50416"/>
    </row>
    <row r="50417" spans="10:10" x14ac:dyDescent="0.3">
      <c r="J50417"/>
    </row>
    <row r="50418" spans="10:10" x14ac:dyDescent="0.3">
      <c r="J50418"/>
    </row>
    <row r="50419" spans="10:10" x14ac:dyDescent="0.3">
      <c r="J50419"/>
    </row>
    <row r="50420" spans="10:10" x14ac:dyDescent="0.3">
      <c r="J50420"/>
    </row>
    <row r="50421" spans="10:10" x14ac:dyDescent="0.3">
      <c r="J50421"/>
    </row>
    <row r="50422" spans="10:10" x14ac:dyDescent="0.3">
      <c r="J50422"/>
    </row>
    <row r="50423" spans="10:10" x14ac:dyDescent="0.3">
      <c r="J50423"/>
    </row>
    <row r="50424" spans="10:10" x14ac:dyDescent="0.3">
      <c r="J50424"/>
    </row>
    <row r="50425" spans="10:10" x14ac:dyDescent="0.3">
      <c r="J50425"/>
    </row>
    <row r="50426" spans="10:10" x14ac:dyDescent="0.3">
      <c r="J50426"/>
    </row>
    <row r="50427" spans="10:10" x14ac:dyDescent="0.3">
      <c r="J50427"/>
    </row>
    <row r="50428" spans="10:10" x14ac:dyDescent="0.3">
      <c r="J50428"/>
    </row>
    <row r="50429" spans="10:10" x14ac:dyDescent="0.3">
      <c r="J50429"/>
    </row>
    <row r="50430" spans="10:10" x14ac:dyDescent="0.3">
      <c r="J50430"/>
    </row>
    <row r="50431" spans="10:10" x14ac:dyDescent="0.3">
      <c r="J50431"/>
    </row>
    <row r="50432" spans="10:10" x14ac:dyDescent="0.3">
      <c r="J50432"/>
    </row>
    <row r="50433" spans="10:10" x14ac:dyDescent="0.3">
      <c r="J50433"/>
    </row>
    <row r="50434" spans="10:10" x14ac:dyDescent="0.3">
      <c r="J50434"/>
    </row>
    <row r="50435" spans="10:10" x14ac:dyDescent="0.3">
      <c r="J50435"/>
    </row>
    <row r="50436" spans="10:10" x14ac:dyDescent="0.3">
      <c r="J50436"/>
    </row>
    <row r="50437" spans="10:10" x14ac:dyDescent="0.3">
      <c r="J50437"/>
    </row>
    <row r="50438" spans="10:10" x14ac:dyDescent="0.3">
      <c r="J50438"/>
    </row>
    <row r="50439" spans="10:10" x14ac:dyDescent="0.3">
      <c r="J50439"/>
    </row>
    <row r="50440" spans="10:10" x14ac:dyDescent="0.3">
      <c r="J50440"/>
    </row>
    <row r="50441" spans="10:10" x14ac:dyDescent="0.3">
      <c r="J50441"/>
    </row>
    <row r="50442" spans="10:10" x14ac:dyDescent="0.3">
      <c r="J50442"/>
    </row>
    <row r="50443" spans="10:10" x14ac:dyDescent="0.3">
      <c r="J50443"/>
    </row>
    <row r="50444" spans="10:10" x14ac:dyDescent="0.3">
      <c r="J50444"/>
    </row>
    <row r="50445" spans="10:10" x14ac:dyDescent="0.3">
      <c r="J50445"/>
    </row>
    <row r="50446" spans="10:10" x14ac:dyDescent="0.3">
      <c r="J50446"/>
    </row>
    <row r="50447" spans="10:10" x14ac:dyDescent="0.3">
      <c r="J50447"/>
    </row>
    <row r="50448" spans="10:10" x14ac:dyDescent="0.3">
      <c r="J50448"/>
    </row>
    <row r="50449" spans="10:10" x14ac:dyDescent="0.3">
      <c r="J50449"/>
    </row>
    <row r="50450" spans="10:10" x14ac:dyDescent="0.3">
      <c r="J50450"/>
    </row>
    <row r="50451" spans="10:10" x14ac:dyDescent="0.3">
      <c r="J50451"/>
    </row>
    <row r="50452" spans="10:10" x14ac:dyDescent="0.3">
      <c r="J50452"/>
    </row>
    <row r="50453" spans="10:10" x14ac:dyDescent="0.3">
      <c r="J50453"/>
    </row>
    <row r="50454" spans="10:10" x14ac:dyDescent="0.3">
      <c r="J50454"/>
    </row>
    <row r="50455" spans="10:10" x14ac:dyDescent="0.3">
      <c r="J50455"/>
    </row>
    <row r="50456" spans="10:10" x14ac:dyDescent="0.3">
      <c r="J50456"/>
    </row>
    <row r="50457" spans="10:10" x14ac:dyDescent="0.3">
      <c r="J50457"/>
    </row>
    <row r="50458" spans="10:10" x14ac:dyDescent="0.3">
      <c r="J50458"/>
    </row>
    <row r="50459" spans="10:10" x14ac:dyDescent="0.3">
      <c r="J50459"/>
    </row>
    <row r="50460" spans="10:10" x14ac:dyDescent="0.3">
      <c r="J50460"/>
    </row>
    <row r="50461" spans="10:10" x14ac:dyDescent="0.3">
      <c r="J50461"/>
    </row>
    <row r="50462" spans="10:10" x14ac:dyDescent="0.3">
      <c r="J50462"/>
    </row>
    <row r="50463" spans="10:10" x14ac:dyDescent="0.3">
      <c r="J50463"/>
    </row>
    <row r="50464" spans="10:10" x14ac:dyDescent="0.3">
      <c r="J50464"/>
    </row>
    <row r="50465" spans="10:10" x14ac:dyDescent="0.3">
      <c r="J50465"/>
    </row>
    <row r="50466" spans="10:10" x14ac:dyDescent="0.3">
      <c r="J50466"/>
    </row>
    <row r="50467" spans="10:10" x14ac:dyDescent="0.3">
      <c r="J50467"/>
    </row>
    <row r="50468" spans="10:10" x14ac:dyDescent="0.3">
      <c r="J50468"/>
    </row>
    <row r="50469" spans="10:10" x14ac:dyDescent="0.3">
      <c r="J50469"/>
    </row>
    <row r="50470" spans="10:10" x14ac:dyDescent="0.3">
      <c r="J50470"/>
    </row>
    <row r="50471" spans="10:10" x14ac:dyDescent="0.3">
      <c r="J50471"/>
    </row>
    <row r="50472" spans="10:10" x14ac:dyDescent="0.3">
      <c r="J50472"/>
    </row>
    <row r="50473" spans="10:10" x14ac:dyDescent="0.3">
      <c r="J50473"/>
    </row>
    <row r="50474" spans="10:10" x14ac:dyDescent="0.3">
      <c r="J50474"/>
    </row>
    <row r="50475" spans="10:10" x14ac:dyDescent="0.3">
      <c r="J50475"/>
    </row>
    <row r="50476" spans="10:10" x14ac:dyDescent="0.3">
      <c r="J50476"/>
    </row>
    <row r="50477" spans="10:10" x14ac:dyDescent="0.3">
      <c r="J50477"/>
    </row>
    <row r="50478" spans="10:10" x14ac:dyDescent="0.3">
      <c r="J50478"/>
    </row>
    <row r="50479" spans="10:10" x14ac:dyDescent="0.3">
      <c r="J50479"/>
    </row>
    <row r="50480" spans="10:10" x14ac:dyDescent="0.3">
      <c r="J50480"/>
    </row>
    <row r="50481" spans="10:10" x14ac:dyDescent="0.3">
      <c r="J50481"/>
    </row>
    <row r="50482" spans="10:10" x14ac:dyDescent="0.3">
      <c r="J50482"/>
    </row>
    <row r="50483" spans="10:10" x14ac:dyDescent="0.3">
      <c r="J50483"/>
    </row>
    <row r="50484" spans="10:10" x14ac:dyDescent="0.3">
      <c r="J50484"/>
    </row>
    <row r="50485" spans="10:10" x14ac:dyDescent="0.3">
      <c r="J50485"/>
    </row>
    <row r="50486" spans="10:10" x14ac:dyDescent="0.3">
      <c r="J50486"/>
    </row>
    <row r="50487" spans="10:10" x14ac:dyDescent="0.3">
      <c r="J50487"/>
    </row>
    <row r="50488" spans="10:10" x14ac:dyDescent="0.3">
      <c r="J50488"/>
    </row>
    <row r="50489" spans="10:10" x14ac:dyDescent="0.3">
      <c r="J50489"/>
    </row>
    <row r="50490" spans="10:10" x14ac:dyDescent="0.3">
      <c r="J50490"/>
    </row>
    <row r="50491" spans="10:10" x14ac:dyDescent="0.3">
      <c r="J50491"/>
    </row>
    <row r="50492" spans="10:10" x14ac:dyDescent="0.3">
      <c r="J50492"/>
    </row>
    <row r="50493" spans="10:10" x14ac:dyDescent="0.3">
      <c r="J50493"/>
    </row>
    <row r="50494" spans="10:10" x14ac:dyDescent="0.3">
      <c r="J50494"/>
    </row>
    <row r="50495" spans="10:10" x14ac:dyDescent="0.3">
      <c r="J50495"/>
    </row>
    <row r="50496" spans="10:10" x14ac:dyDescent="0.3">
      <c r="J50496"/>
    </row>
    <row r="50497" spans="10:10" x14ac:dyDescent="0.3">
      <c r="J50497"/>
    </row>
    <row r="50498" spans="10:10" x14ac:dyDescent="0.3">
      <c r="J50498"/>
    </row>
    <row r="50499" spans="10:10" x14ac:dyDescent="0.3">
      <c r="J50499"/>
    </row>
    <row r="50500" spans="10:10" x14ac:dyDescent="0.3">
      <c r="J50500"/>
    </row>
    <row r="50501" spans="10:10" x14ac:dyDescent="0.3">
      <c r="J50501"/>
    </row>
    <row r="50502" spans="10:10" x14ac:dyDescent="0.3">
      <c r="J50502"/>
    </row>
    <row r="50503" spans="10:10" x14ac:dyDescent="0.3">
      <c r="J50503"/>
    </row>
    <row r="50504" spans="10:10" x14ac:dyDescent="0.3">
      <c r="J50504"/>
    </row>
    <row r="50505" spans="10:10" x14ac:dyDescent="0.3">
      <c r="J50505"/>
    </row>
    <row r="50506" spans="10:10" x14ac:dyDescent="0.3">
      <c r="J50506"/>
    </row>
    <row r="50507" spans="10:10" x14ac:dyDescent="0.3">
      <c r="J50507"/>
    </row>
    <row r="50508" spans="10:10" x14ac:dyDescent="0.3">
      <c r="J50508"/>
    </row>
    <row r="50509" spans="10:10" x14ac:dyDescent="0.3">
      <c r="J50509"/>
    </row>
    <row r="50510" spans="10:10" x14ac:dyDescent="0.3">
      <c r="J50510"/>
    </row>
    <row r="50511" spans="10:10" x14ac:dyDescent="0.3">
      <c r="J50511"/>
    </row>
    <row r="50512" spans="10:10" x14ac:dyDescent="0.3">
      <c r="J50512"/>
    </row>
    <row r="50513" spans="10:10" x14ac:dyDescent="0.3">
      <c r="J50513"/>
    </row>
    <row r="50514" spans="10:10" x14ac:dyDescent="0.3">
      <c r="J50514"/>
    </row>
    <row r="50515" spans="10:10" x14ac:dyDescent="0.3">
      <c r="J50515"/>
    </row>
    <row r="50516" spans="10:10" x14ac:dyDescent="0.3">
      <c r="J50516"/>
    </row>
    <row r="50517" spans="10:10" x14ac:dyDescent="0.3">
      <c r="J50517"/>
    </row>
    <row r="50518" spans="10:10" x14ac:dyDescent="0.3">
      <c r="J50518"/>
    </row>
    <row r="50519" spans="10:10" x14ac:dyDescent="0.3">
      <c r="J50519"/>
    </row>
    <row r="50520" spans="10:10" x14ac:dyDescent="0.3">
      <c r="J50520"/>
    </row>
    <row r="50521" spans="10:10" x14ac:dyDescent="0.3">
      <c r="J50521"/>
    </row>
    <row r="50522" spans="10:10" x14ac:dyDescent="0.3">
      <c r="J50522"/>
    </row>
    <row r="50523" spans="10:10" x14ac:dyDescent="0.3">
      <c r="J50523"/>
    </row>
    <row r="50524" spans="10:10" x14ac:dyDescent="0.3">
      <c r="J50524"/>
    </row>
    <row r="50525" spans="10:10" x14ac:dyDescent="0.3">
      <c r="J50525"/>
    </row>
    <row r="50526" spans="10:10" x14ac:dyDescent="0.3">
      <c r="J50526"/>
    </row>
    <row r="50527" spans="10:10" x14ac:dyDescent="0.3">
      <c r="J50527"/>
    </row>
    <row r="50528" spans="10:10" x14ac:dyDescent="0.3">
      <c r="J50528"/>
    </row>
    <row r="50529" spans="10:10" x14ac:dyDescent="0.3">
      <c r="J50529"/>
    </row>
    <row r="50530" spans="10:10" x14ac:dyDescent="0.3">
      <c r="J50530"/>
    </row>
    <row r="50531" spans="10:10" x14ac:dyDescent="0.3">
      <c r="J50531"/>
    </row>
    <row r="50532" spans="10:10" x14ac:dyDescent="0.3">
      <c r="J50532"/>
    </row>
    <row r="50533" spans="10:10" x14ac:dyDescent="0.3">
      <c r="J50533"/>
    </row>
    <row r="50534" spans="10:10" x14ac:dyDescent="0.3">
      <c r="J50534"/>
    </row>
    <row r="50535" spans="10:10" x14ac:dyDescent="0.3">
      <c r="J50535"/>
    </row>
    <row r="50536" spans="10:10" x14ac:dyDescent="0.3">
      <c r="J50536"/>
    </row>
    <row r="50537" spans="10:10" x14ac:dyDescent="0.3">
      <c r="J50537"/>
    </row>
    <row r="50538" spans="10:10" x14ac:dyDescent="0.3">
      <c r="J50538"/>
    </row>
    <row r="50539" spans="10:10" x14ac:dyDescent="0.3">
      <c r="J50539"/>
    </row>
    <row r="50540" spans="10:10" x14ac:dyDescent="0.3">
      <c r="J50540"/>
    </row>
    <row r="50541" spans="10:10" x14ac:dyDescent="0.3">
      <c r="J50541"/>
    </row>
    <row r="50542" spans="10:10" x14ac:dyDescent="0.3">
      <c r="J50542"/>
    </row>
    <row r="50543" spans="10:10" x14ac:dyDescent="0.3">
      <c r="J50543"/>
    </row>
    <row r="50544" spans="10:10" x14ac:dyDescent="0.3">
      <c r="J50544"/>
    </row>
    <row r="50545" spans="10:10" x14ac:dyDescent="0.3">
      <c r="J50545"/>
    </row>
    <row r="50546" spans="10:10" x14ac:dyDescent="0.3">
      <c r="J50546"/>
    </row>
    <row r="50547" spans="10:10" x14ac:dyDescent="0.3">
      <c r="J50547"/>
    </row>
    <row r="50548" spans="10:10" x14ac:dyDescent="0.3">
      <c r="J50548"/>
    </row>
    <row r="50549" spans="10:10" x14ac:dyDescent="0.3">
      <c r="J50549"/>
    </row>
    <row r="50550" spans="10:10" x14ac:dyDescent="0.3">
      <c r="J50550"/>
    </row>
    <row r="50551" spans="10:10" x14ac:dyDescent="0.3">
      <c r="J50551"/>
    </row>
    <row r="50552" spans="10:10" x14ac:dyDescent="0.3">
      <c r="J50552"/>
    </row>
    <row r="50553" spans="10:10" x14ac:dyDescent="0.3">
      <c r="J50553"/>
    </row>
    <row r="50554" spans="10:10" x14ac:dyDescent="0.3">
      <c r="J50554"/>
    </row>
    <row r="50555" spans="10:10" x14ac:dyDescent="0.3">
      <c r="J50555"/>
    </row>
    <row r="50556" spans="10:10" x14ac:dyDescent="0.3">
      <c r="J50556"/>
    </row>
    <row r="50557" spans="10:10" x14ac:dyDescent="0.3">
      <c r="J50557"/>
    </row>
    <row r="50558" spans="10:10" x14ac:dyDescent="0.3">
      <c r="J50558"/>
    </row>
    <row r="50559" spans="10:10" x14ac:dyDescent="0.3">
      <c r="J50559"/>
    </row>
    <row r="50560" spans="10:10" x14ac:dyDescent="0.3">
      <c r="J50560"/>
    </row>
    <row r="50561" spans="10:10" x14ac:dyDescent="0.3">
      <c r="J50561"/>
    </row>
    <row r="50562" spans="10:10" x14ac:dyDescent="0.3">
      <c r="J50562"/>
    </row>
    <row r="50563" spans="10:10" x14ac:dyDescent="0.3">
      <c r="J50563"/>
    </row>
    <row r="50564" spans="10:10" x14ac:dyDescent="0.3">
      <c r="J50564"/>
    </row>
    <row r="50565" spans="10:10" x14ac:dyDescent="0.3">
      <c r="J50565"/>
    </row>
    <row r="50566" spans="10:10" x14ac:dyDescent="0.3">
      <c r="J50566"/>
    </row>
    <row r="50567" spans="10:10" x14ac:dyDescent="0.3">
      <c r="J50567"/>
    </row>
    <row r="50568" spans="10:10" x14ac:dyDescent="0.3">
      <c r="J50568"/>
    </row>
    <row r="50569" spans="10:10" x14ac:dyDescent="0.3">
      <c r="J50569"/>
    </row>
    <row r="50570" spans="10:10" x14ac:dyDescent="0.3">
      <c r="J50570"/>
    </row>
    <row r="50571" spans="10:10" x14ac:dyDescent="0.3">
      <c r="J50571"/>
    </row>
    <row r="50572" spans="10:10" x14ac:dyDescent="0.3">
      <c r="J50572"/>
    </row>
    <row r="50573" spans="10:10" x14ac:dyDescent="0.3">
      <c r="J50573"/>
    </row>
    <row r="50574" spans="10:10" x14ac:dyDescent="0.3">
      <c r="J50574"/>
    </row>
    <row r="50575" spans="10:10" x14ac:dyDescent="0.3">
      <c r="J50575"/>
    </row>
    <row r="50576" spans="10:10" x14ac:dyDescent="0.3">
      <c r="J50576"/>
    </row>
    <row r="50577" spans="10:10" x14ac:dyDescent="0.3">
      <c r="J50577"/>
    </row>
    <row r="50578" spans="10:10" x14ac:dyDescent="0.3">
      <c r="J50578"/>
    </row>
    <row r="50579" spans="10:10" x14ac:dyDescent="0.3">
      <c r="J50579"/>
    </row>
    <row r="50580" spans="10:10" x14ac:dyDescent="0.3">
      <c r="J50580"/>
    </row>
    <row r="50581" spans="10:10" x14ac:dyDescent="0.3">
      <c r="J50581"/>
    </row>
    <row r="50582" spans="10:10" x14ac:dyDescent="0.3">
      <c r="J50582"/>
    </row>
    <row r="50583" spans="10:10" x14ac:dyDescent="0.3">
      <c r="J50583"/>
    </row>
    <row r="50584" spans="10:10" x14ac:dyDescent="0.3">
      <c r="J50584"/>
    </row>
    <row r="50585" spans="10:10" x14ac:dyDescent="0.3">
      <c r="J50585"/>
    </row>
    <row r="50586" spans="10:10" x14ac:dyDescent="0.3">
      <c r="J50586"/>
    </row>
    <row r="50587" spans="10:10" x14ac:dyDescent="0.3">
      <c r="J50587"/>
    </row>
    <row r="50588" spans="10:10" x14ac:dyDescent="0.3">
      <c r="J50588"/>
    </row>
    <row r="50589" spans="10:10" x14ac:dyDescent="0.3">
      <c r="J50589"/>
    </row>
    <row r="50590" spans="10:10" x14ac:dyDescent="0.3">
      <c r="J50590"/>
    </row>
    <row r="50591" spans="10:10" x14ac:dyDescent="0.3">
      <c r="J50591"/>
    </row>
    <row r="50592" spans="10:10" x14ac:dyDescent="0.3">
      <c r="J50592"/>
    </row>
    <row r="50593" spans="10:10" x14ac:dyDescent="0.3">
      <c r="J50593"/>
    </row>
    <row r="50594" spans="10:10" x14ac:dyDescent="0.3">
      <c r="J50594"/>
    </row>
    <row r="50595" spans="10:10" x14ac:dyDescent="0.3">
      <c r="J50595"/>
    </row>
    <row r="50596" spans="10:10" x14ac:dyDescent="0.3">
      <c r="J50596"/>
    </row>
    <row r="50597" spans="10:10" x14ac:dyDescent="0.3">
      <c r="J50597"/>
    </row>
    <row r="50598" spans="10:10" x14ac:dyDescent="0.3">
      <c r="J50598"/>
    </row>
    <row r="50599" spans="10:10" x14ac:dyDescent="0.3">
      <c r="J50599"/>
    </row>
    <row r="50600" spans="10:10" x14ac:dyDescent="0.3">
      <c r="J50600"/>
    </row>
    <row r="50601" spans="10:10" x14ac:dyDescent="0.3">
      <c r="J50601"/>
    </row>
    <row r="50602" spans="10:10" x14ac:dyDescent="0.3">
      <c r="J50602"/>
    </row>
    <row r="50603" spans="10:10" x14ac:dyDescent="0.3">
      <c r="J50603"/>
    </row>
    <row r="50604" spans="10:10" x14ac:dyDescent="0.3">
      <c r="J50604"/>
    </row>
    <row r="50605" spans="10:10" x14ac:dyDescent="0.3">
      <c r="J50605"/>
    </row>
    <row r="50606" spans="10:10" x14ac:dyDescent="0.3">
      <c r="J50606"/>
    </row>
    <row r="50607" spans="10:10" x14ac:dyDescent="0.3">
      <c r="J50607"/>
    </row>
    <row r="50608" spans="10:10" x14ac:dyDescent="0.3">
      <c r="J50608"/>
    </row>
    <row r="50609" spans="10:10" x14ac:dyDescent="0.3">
      <c r="J50609"/>
    </row>
    <row r="50610" spans="10:10" x14ac:dyDescent="0.3">
      <c r="J50610"/>
    </row>
    <row r="50611" spans="10:10" x14ac:dyDescent="0.3">
      <c r="J50611"/>
    </row>
    <row r="50612" spans="10:10" x14ac:dyDescent="0.3">
      <c r="J50612"/>
    </row>
    <row r="50613" spans="10:10" x14ac:dyDescent="0.3">
      <c r="J50613"/>
    </row>
    <row r="50614" spans="10:10" x14ac:dyDescent="0.3">
      <c r="J50614"/>
    </row>
    <row r="50615" spans="10:10" x14ac:dyDescent="0.3">
      <c r="J50615"/>
    </row>
    <row r="50616" spans="10:10" x14ac:dyDescent="0.3">
      <c r="J50616"/>
    </row>
    <row r="50617" spans="10:10" x14ac:dyDescent="0.3">
      <c r="J50617"/>
    </row>
    <row r="50618" spans="10:10" x14ac:dyDescent="0.3">
      <c r="J50618"/>
    </row>
    <row r="50619" spans="10:10" x14ac:dyDescent="0.3">
      <c r="J50619"/>
    </row>
    <row r="50620" spans="10:10" x14ac:dyDescent="0.3">
      <c r="J50620"/>
    </row>
    <row r="50621" spans="10:10" x14ac:dyDescent="0.3">
      <c r="J50621"/>
    </row>
    <row r="50622" spans="10:10" x14ac:dyDescent="0.3">
      <c r="J50622"/>
    </row>
    <row r="50623" spans="10:10" x14ac:dyDescent="0.3">
      <c r="J50623"/>
    </row>
    <row r="50624" spans="10:10" x14ac:dyDescent="0.3">
      <c r="J50624"/>
    </row>
    <row r="50625" spans="10:10" x14ac:dyDescent="0.3">
      <c r="J50625"/>
    </row>
    <row r="50626" spans="10:10" x14ac:dyDescent="0.3">
      <c r="J50626"/>
    </row>
    <row r="50627" spans="10:10" x14ac:dyDescent="0.3">
      <c r="J50627"/>
    </row>
    <row r="50628" spans="10:10" x14ac:dyDescent="0.3">
      <c r="J50628"/>
    </row>
    <row r="50629" spans="10:10" x14ac:dyDescent="0.3">
      <c r="J50629"/>
    </row>
    <row r="50630" spans="10:10" x14ac:dyDescent="0.3">
      <c r="J50630"/>
    </row>
    <row r="50631" spans="10:10" x14ac:dyDescent="0.3">
      <c r="J50631"/>
    </row>
    <row r="50632" spans="10:10" x14ac:dyDescent="0.3">
      <c r="J50632"/>
    </row>
    <row r="50633" spans="10:10" x14ac:dyDescent="0.3">
      <c r="J50633"/>
    </row>
    <row r="50634" spans="10:10" x14ac:dyDescent="0.3">
      <c r="J50634"/>
    </row>
    <row r="50635" spans="10:10" x14ac:dyDescent="0.3">
      <c r="J50635"/>
    </row>
    <row r="50636" spans="10:10" x14ac:dyDescent="0.3">
      <c r="J50636"/>
    </row>
    <row r="50637" spans="10:10" x14ac:dyDescent="0.3">
      <c r="J50637"/>
    </row>
    <row r="50638" spans="10:10" x14ac:dyDescent="0.3">
      <c r="J50638"/>
    </row>
    <row r="50639" spans="10:10" x14ac:dyDescent="0.3">
      <c r="J50639"/>
    </row>
    <row r="50640" spans="10:10" x14ac:dyDescent="0.3">
      <c r="J50640"/>
    </row>
    <row r="50641" spans="10:10" x14ac:dyDescent="0.3">
      <c r="J50641"/>
    </row>
    <row r="50642" spans="10:10" x14ac:dyDescent="0.3">
      <c r="J50642"/>
    </row>
    <row r="50643" spans="10:10" x14ac:dyDescent="0.3">
      <c r="J50643"/>
    </row>
    <row r="50644" spans="10:10" x14ac:dyDescent="0.3">
      <c r="J50644"/>
    </row>
    <row r="50645" spans="10:10" x14ac:dyDescent="0.3">
      <c r="J50645"/>
    </row>
    <row r="50646" spans="10:10" x14ac:dyDescent="0.3">
      <c r="J50646"/>
    </row>
    <row r="50647" spans="10:10" x14ac:dyDescent="0.3">
      <c r="J50647"/>
    </row>
    <row r="50648" spans="10:10" x14ac:dyDescent="0.3">
      <c r="J50648"/>
    </row>
    <row r="50649" spans="10:10" x14ac:dyDescent="0.3">
      <c r="J50649"/>
    </row>
    <row r="50650" spans="10:10" x14ac:dyDescent="0.3">
      <c r="J50650"/>
    </row>
    <row r="50651" spans="10:10" x14ac:dyDescent="0.3">
      <c r="J50651"/>
    </row>
    <row r="50652" spans="10:10" x14ac:dyDescent="0.3">
      <c r="J50652"/>
    </row>
    <row r="50653" spans="10:10" x14ac:dyDescent="0.3">
      <c r="J50653"/>
    </row>
    <row r="50654" spans="10:10" x14ac:dyDescent="0.3">
      <c r="J50654"/>
    </row>
    <row r="50655" spans="10:10" x14ac:dyDescent="0.3">
      <c r="J50655"/>
    </row>
    <row r="50656" spans="10:10" x14ac:dyDescent="0.3">
      <c r="J50656"/>
    </row>
    <row r="50657" spans="10:10" x14ac:dyDescent="0.3">
      <c r="J50657"/>
    </row>
    <row r="50658" spans="10:10" x14ac:dyDescent="0.3">
      <c r="J50658"/>
    </row>
    <row r="50659" spans="10:10" x14ac:dyDescent="0.3">
      <c r="J50659"/>
    </row>
    <row r="50660" spans="10:10" x14ac:dyDescent="0.3">
      <c r="J50660"/>
    </row>
    <row r="50661" spans="10:10" x14ac:dyDescent="0.3">
      <c r="J50661"/>
    </row>
    <row r="50662" spans="10:10" x14ac:dyDescent="0.3">
      <c r="J50662"/>
    </row>
    <row r="50663" spans="10:10" x14ac:dyDescent="0.3">
      <c r="J50663"/>
    </row>
    <row r="50664" spans="10:10" x14ac:dyDescent="0.3">
      <c r="J50664"/>
    </row>
    <row r="50665" spans="10:10" x14ac:dyDescent="0.3">
      <c r="J50665"/>
    </row>
    <row r="50666" spans="10:10" x14ac:dyDescent="0.3">
      <c r="J50666"/>
    </row>
    <row r="50667" spans="10:10" x14ac:dyDescent="0.3">
      <c r="J50667"/>
    </row>
    <row r="50668" spans="10:10" x14ac:dyDescent="0.3">
      <c r="J50668"/>
    </row>
    <row r="50669" spans="10:10" x14ac:dyDescent="0.3">
      <c r="J50669"/>
    </row>
    <row r="50670" spans="10:10" x14ac:dyDescent="0.3">
      <c r="J50670"/>
    </row>
    <row r="50671" spans="10:10" x14ac:dyDescent="0.3">
      <c r="J50671"/>
    </row>
    <row r="50672" spans="10:10" x14ac:dyDescent="0.3">
      <c r="J50672"/>
    </row>
    <row r="50673" spans="10:10" x14ac:dyDescent="0.3">
      <c r="J50673"/>
    </row>
    <row r="50674" spans="10:10" x14ac:dyDescent="0.3">
      <c r="J50674"/>
    </row>
    <row r="50675" spans="10:10" x14ac:dyDescent="0.3">
      <c r="J50675"/>
    </row>
    <row r="50676" spans="10:10" x14ac:dyDescent="0.3">
      <c r="J50676"/>
    </row>
    <row r="50677" spans="10:10" x14ac:dyDescent="0.3">
      <c r="J50677"/>
    </row>
    <row r="50678" spans="10:10" x14ac:dyDescent="0.3">
      <c r="J50678"/>
    </row>
    <row r="50679" spans="10:10" x14ac:dyDescent="0.3">
      <c r="J50679"/>
    </row>
    <row r="50680" spans="10:10" x14ac:dyDescent="0.3">
      <c r="J50680"/>
    </row>
    <row r="50681" spans="10:10" x14ac:dyDescent="0.3">
      <c r="J50681"/>
    </row>
    <row r="50682" spans="10:10" x14ac:dyDescent="0.3">
      <c r="J50682"/>
    </row>
    <row r="50683" spans="10:10" x14ac:dyDescent="0.3">
      <c r="J50683"/>
    </row>
    <row r="50684" spans="10:10" x14ac:dyDescent="0.3">
      <c r="J50684"/>
    </row>
    <row r="50685" spans="10:10" x14ac:dyDescent="0.3">
      <c r="J50685"/>
    </row>
    <row r="50686" spans="10:10" x14ac:dyDescent="0.3">
      <c r="J50686"/>
    </row>
    <row r="50687" spans="10:10" x14ac:dyDescent="0.3">
      <c r="J50687"/>
    </row>
    <row r="50688" spans="10:10" x14ac:dyDescent="0.3">
      <c r="J50688"/>
    </row>
    <row r="50689" spans="10:10" x14ac:dyDescent="0.3">
      <c r="J50689"/>
    </row>
    <row r="50690" spans="10:10" x14ac:dyDescent="0.3">
      <c r="J50690"/>
    </row>
    <row r="50691" spans="10:10" x14ac:dyDescent="0.3">
      <c r="J50691"/>
    </row>
    <row r="50692" spans="10:10" x14ac:dyDescent="0.3">
      <c r="J50692"/>
    </row>
    <row r="50693" spans="10:10" x14ac:dyDescent="0.3">
      <c r="J50693"/>
    </row>
    <row r="50694" spans="10:10" x14ac:dyDescent="0.3">
      <c r="J50694"/>
    </row>
    <row r="50695" spans="10:10" x14ac:dyDescent="0.3">
      <c r="J50695"/>
    </row>
    <row r="50696" spans="10:10" x14ac:dyDescent="0.3">
      <c r="J50696"/>
    </row>
    <row r="50697" spans="10:10" x14ac:dyDescent="0.3">
      <c r="J50697"/>
    </row>
    <row r="50698" spans="10:10" x14ac:dyDescent="0.3">
      <c r="J50698"/>
    </row>
    <row r="50699" spans="10:10" x14ac:dyDescent="0.3">
      <c r="J50699"/>
    </row>
    <row r="50700" spans="10:10" x14ac:dyDescent="0.3">
      <c r="J50700"/>
    </row>
    <row r="50701" spans="10:10" x14ac:dyDescent="0.3">
      <c r="J50701"/>
    </row>
    <row r="50702" spans="10:10" x14ac:dyDescent="0.3">
      <c r="J50702"/>
    </row>
    <row r="50703" spans="10:10" x14ac:dyDescent="0.3">
      <c r="J50703"/>
    </row>
    <row r="50704" spans="10:10" x14ac:dyDescent="0.3">
      <c r="J50704"/>
    </row>
    <row r="50705" spans="10:10" x14ac:dyDescent="0.3">
      <c r="J50705"/>
    </row>
    <row r="50706" spans="10:10" x14ac:dyDescent="0.3">
      <c r="J50706"/>
    </row>
    <row r="50707" spans="10:10" x14ac:dyDescent="0.3">
      <c r="J50707"/>
    </row>
    <row r="50708" spans="10:10" x14ac:dyDescent="0.3">
      <c r="J50708"/>
    </row>
    <row r="50709" spans="10:10" x14ac:dyDescent="0.3">
      <c r="J50709"/>
    </row>
    <row r="50710" spans="10:10" x14ac:dyDescent="0.3">
      <c r="J50710"/>
    </row>
    <row r="50711" spans="10:10" x14ac:dyDescent="0.3">
      <c r="J50711"/>
    </row>
    <row r="50712" spans="10:10" x14ac:dyDescent="0.3">
      <c r="J50712"/>
    </row>
    <row r="50713" spans="10:10" x14ac:dyDescent="0.3">
      <c r="J50713"/>
    </row>
    <row r="50714" spans="10:10" x14ac:dyDescent="0.3">
      <c r="J50714"/>
    </row>
    <row r="50715" spans="10:10" x14ac:dyDescent="0.3">
      <c r="J50715"/>
    </row>
    <row r="50716" spans="10:10" x14ac:dyDescent="0.3">
      <c r="J50716"/>
    </row>
    <row r="50717" spans="10:10" x14ac:dyDescent="0.3">
      <c r="J50717"/>
    </row>
    <row r="50718" spans="10:10" x14ac:dyDescent="0.3">
      <c r="J50718"/>
    </row>
    <row r="50719" spans="10:10" x14ac:dyDescent="0.3">
      <c r="J50719"/>
    </row>
    <row r="50720" spans="10:10" x14ac:dyDescent="0.3">
      <c r="J50720"/>
    </row>
    <row r="50721" spans="10:10" x14ac:dyDescent="0.3">
      <c r="J50721"/>
    </row>
    <row r="50722" spans="10:10" x14ac:dyDescent="0.3">
      <c r="J50722"/>
    </row>
    <row r="50723" spans="10:10" x14ac:dyDescent="0.3">
      <c r="J50723"/>
    </row>
    <row r="50724" spans="10:10" x14ac:dyDescent="0.3">
      <c r="J50724"/>
    </row>
    <row r="50725" spans="10:10" x14ac:dyDescent="0.3">
      <c r="J50725"/>
    </row>
    <row r="50726" spans="10:10" x14ac:dyDescent="0.3">
      <c r="J50726"/>
    </row>
    <row r="50727" spans="10:10" x14ac:dyDescent="0.3">
      <c r="J50727"/>
    </row>
    <row r="50728" spans="10:10" x14ac:dyDescent="0.3">
      <c r="J50728"/>
    </row>
    <row r="50729" spans="10:10" x14ac:dyDescent="0.3">
      <c r="J50729"/>
    </row>
    <row r="50730" spans="10:10" x14ac:dyDescent="0.3">
      <c r="J50730"/>
    </row>
    <row r="50731" spans="10:10" x14ac:dyDescent="0.3">
      <c r="J50731"/>
    </row>
    <row r="50732" spans="10:10" x14ac:dyDescent="0.3">
      <c r="J50732"/>
    </row>
    <row r="50733" spans="10:10" x14ac:dyDescent="0.3">
      <c r="J50733"/>
    </row>
    <row r="50734" spans="10:10" x14ac:dyDescent="0.3">
      <c r="J50734"/>
    </row>
    <row r="50735" spans="10:10" x14ac:dyDescent="0.3">
      <c r="J50735"/>
    </row>
    <row r="50736" spans="10:10" x14ac:dyDescent="0.3">
      <c r="J50736"/>
    </row>
    <row r="50737" spans="10:10" x14ac:dyDescent="0.3">
      <c r="J50737"/>
    </row>
    <row r="50738" spans="10:10" x14ac:dyDescent="0.3">
      <c r="J50738"/>
    </row>
    <row r="50739" spans="10:10" x14ac:dyDescent="0.3">
      <c r="J50739"/>
    </row>
    <row r="50740" spans="10:10" x14ac:dyDescent="0.3">
      <c r="J50740"/>
    </row>
    <row r="50741" spans="10:10" x14ac:dyDescent="0.3">
      <c r="J50741"/>
    </row>
    <row r="50742" spans="10:10" x14ac:dyDescent="0.3">
      <c r="J50742"/>
    </row>
    <row r="50743" spans="10:10" x14ac:dyDescent="0.3">
      <c r="J50743"/>
    </row>
    <row r="50744" spans="10:10" x14ac:dyDescent="0.3">
      <c r="J50744"/>
    </row>
    <row r="50745" spans="10:10" x14ac:dyDescent="0.3">
      <c r="J50745"/>
    </row>
    <row r="50746" spans="10:10" x14ac:dyDescent="0.3">
      <c r="J50746"/>
    </row>
    <row r="50747" spans="10:10" x14ac:dyDescent="0.3">
      <c r="J50747"/>
    </row>
    <row r="50748" spans="10:10" x14ac:dyDescent="0.3">
      <c r="J50748"/>
    </row>
    <row r="50749" spans="10:10" x14ac:dyDescent="0.3">
      <c r="J50749"/>
    </row>
    <row r="50750" spans="10:10" x14ac:dyDescent="0.3">
      <c r="J50750"/>
    </row>
    <row r="50751" spans="10:10" x14ac:dyDescent="0.3">
      <c r="J50751"/>
    </row>
    <row r="50752" spans="10:10" x14ac:dyDescent="0.3">
      <c r="J50752"/>
    </row>
    <row r="50753" spans="10:10" x14ac:dyDescent="0.3">
      <c r="J50753"/>
    </row>
    <row r="50754" spans="10:10" x14ac:dyDescent="0.3">
      <c r="J50754"/>
    </row>
    <row r="50755" spans="10:10" x14ac:dyDescent="0.3">
      <c r="J50755"/>
    </row>
    <row r="50756" spans="10:10" x14ac:dyDescent="0.3">
      <c r="J50756"/>
    </row>
    <row r="50757" spans="10:10" x14ac:dyDescent="0.3">
      <c r="J50757"/>
    </row>
    <row r="50758" spans="10:10" x14ac:dyDescent="0.3">
      <c r="J50758"/>
    </row>
    <row r="50759" spans="10:10" x14ac:dyDescent="0.3">
      <c r="J50759"/>
    </row>
    <row r="50760" spans="10:10" x14ac:dyDescent="0.3">
      <c r="J50760"/>
    </row>
    <row r="50761" spans="10:10" x14ac:dyDescent="0.3">
      <c r="J50761"/>
    </row>
    <row r="50762" spans="10:10" x14ac:dyDescent="0.3">
      <c r="J50762"/>
    </row>
    <row r="50763" spans="10:10" x14ac:dyDescent="0.3">
      <c r="J50763"/>
    </row>
    <row r="50764" spans="10:10" x14ac:dyDescent="0.3">
      <c r="J50764"/>
    </row>
    <row r="50765" spans="10:10" x14ac:dyDescent="0.3">
      <c r="J50765"/>
    </row>
    <row r="50766" spans="10:10" x14ac:dyDescent="0.3">
      <c r="J50766"/>
    </row>
    <row r="50767" spans="10:10" x14ac:dyDescent="0.3">
      <c r="J50767"/>
    </row>
    <row r="50768" spans="10:10" x14ac:dyDescent="0.3">
      <c r="J50768"/>
    </row>
    <row r="50769" spans="10:10" x14ac:dyDescent="0.3">
      <c r="J50769"/>
    </row>
    <row r="50770" spans="10:10" x14ac:dyDescent="0.3">
      <c r="J50770"/>
    </row>
    <row r="50771" spans="10:10" x14ac:dyDescent="0.3">
      <c r="J50771"/>
    </row>
    <row r="50772" spans="10:10" x14ac:dyDescent="0.3">
      <c r="J50772"/>
    </row>
    <row r="50773" spans="10:10" x14ac:dyDescent="0.3">
      <c r="J50773"/>
    </row>
    <row r="50774" spans="10:10" x14ac:dyDescent="0.3">
      <c r="J50774"/>
    </row>
    <row r="50775" spans="10:10" x14ac:dyDescent="0.3">
      <c r="J50775"/>
    </row>
    <row r="50776" spans="10:10" x14ac:dyDescent="0.3">
      <c r="J50776"/>
    </row>
    <row r="50777" spans="10:10" x14ac:dyDescent="0.3">
      <c r="J50777"/>
    </row>
    <row r="50778" spans="10:10" x14ac:dyDescent="0.3">
      <c r="J50778"/>
    </row>
    <row r="50779" spans="10:10" x14ac:dyDescent="0.3">
      <c r="J50779"/>
    </row>
    <row r="50780" spans="10:10" x14ac:dyDescent="0.3">
      <c r="J50780"/>
    </row>
    <row r="50781" spans="10:10" x14ac:dyDescent="0.3">
      <c r="J50781"/>
    </row>
    <row r="50782" spans="10:10" x14ac:dyDescent="0.3">
      <c r="J50782"/>
    </row>
    <row r="50783" spans="10:10" x14ac:dyDescent="0.3">
      <c r="J50783"/>
    </row>
    <row r="50784" spans="10:10" x14ac:dyDescent="0.3">
      <c r="J50784"/>
    </row>
    <row r="50785" spans="10:10" x14ac:dyDescent="0.3">
      <c r="J50785"/>
    </row>
    <row r="50786" spans="10:10" x14ac:dyDescent="0.3">
      <c r="J50786"/>
    </row>
    <row r="50787" spans="10:10" x14ac:dyDescent="0.3">
      <c r="J50787"/>
    </row>
    <row r="50788" spans="10:10" x14ac:dyDescent="0.3">
      <c r="J50788"/>
    </row>
    <row r="50789" spans="10:10" x14ac:dyDescent="0.3">
      <c r="J50789"/>
    </row>
    <row r="50790" spans="10:10" x14ac:dyDescent="0.3">
      <c r="J50790"/>
    </row>
    <row r="50791" spans="10:10" x14ac:dyDescent="0.3">
      <c r="J50791"/>
    </row>
    <row r="50792" spans="10:10" x14ac:dyDescent="0.3">
      <c r="J50792"/>
    </row>
    <row r="50793" spans="10:10" x14ac:dyDescent="0.3">
      <c r="J50793"/>
    </row>
    <row r="50794" spans="10:10" x14ac:dyDescent="0.3">
      <c r="J50794"/>
    </row>
    <row r="50795" spans="10:10" x14ac:dyDescent="0.3">
      <c r="J50795"/>
    </row>
    <row r="50796" spans="10:10" x14ac:dyDescent="0.3">
      <c r="J50796"/>
    </row>
    <row r="50797" spans="10:10" x14ac:dyDescent="0.3">
      <c r="J50797"/>
    </row>
    <row r="50798" spans="10:10" x14ac:dyDescent="0.3">
      <c r="J50798"/>
    </row>
    <row r="50799" spans="10:10" x14ac:dyDescent="0.3">
      <c r="J50799"/>
    </row>
    <row r="50800" spans="10:10" x14ac:dyDescent="0.3">
      <c r="J50800"/>
    </row>
    <row r="50801" spans="10:10" x14ac:dyDescent="0.3">
      <c r="J50801"/>
    </row>
    <row r="50802" spans="10:10" x14ac:dyDescent="0.3">
      <c r="J50802"/>
    </row>
    <row r="50803" spans="10:10" x14ac:dyDescent="0.3">
      <c r="J50803"/>
    </row>
    <row r="50804" spans="10:10" x14ac:dyDescent="0.3">
      <c r="J50804"/>
    </row>
    <row r="50805" spans="10:10" x14ac:dyDescent="0.3">
      <c r="J50805"/>
    </row>
    <row r="50806" spans="10:10" x14ac:dyDescent="0.3">
      <c r="J50806"/>
    </row>
    <row r="50807" spans="10:10" x14ac:dyDescent="0.3">
      <c r="J50807"/>
    </row>
    <row r="50808" spans="10:10" x14ac:dyDescent="0.3">
      <c r="J50808"/>
    </row>
    <row r="50809" spans="10:10" x14ac:dyDescent="0.3">
      <c r="J50809"/>
    </row>
    <row r="50810" spans="10:10" x14ac:dyDescent="0.3">
      <c r="J50810"/>
    </row>
    <row r="50811" spans="10:10" x14ac:dyDescent="0.3">
      <c r="J50811"/>
    </row>
    <row r="50812" spans="10:10" x14ac:dyDescent="0.3">
      <c r="J50812"/>
    </row>
    <row r="50813" spans="10:10" x14ac:dyDescent="0.3">
      <c r="J50813"/>
    </row>
    <row r="50814" spans="10:10" x14ac:dyDescent="0.3">
      <c r="J50814"/>
    </row>
    <row r="50815" spans="10:10" x14ac:dyDescent="0.3">
      <c r="J50815"/>
    </row>
    <row r="50816" spans="10:10" x14ac:dyDescent="0.3">
      <c r="J50816"/>
    </row>
    <row r="50817" spans="10:10" x14ac:dyDescent="0.3">
      <c r="J50817"/>
    </row>
    <row r="50818" spans="10:10" x14ac:dyDescent="0.3">
      <c r="J50818"/>
    </row>
    <row r="50819" spans="10:10" x14ac:dyDescent="0.3">
      <c r="J50819"/>
    </row>
    <row r="50820" spans="10:10" x14ac:dyDescent="0.3">
      <c r="J50820"/>
    </row>
    <row r="50821" spans="10:10" x14ac:dyDescent="0.3">
      <c r="J50821"/>
    </row>
    <row r="50822" spans="10:10" x14ac:dyDescent="0.3">
      <c r="J50822"/>
    </row>
    <row r="50823" spans="10:10" x14ac:dyDescent="0.3">
      <c r="J50823"/>
    </row>
    <row r="50824" spans="10:10" x14ac:dyDescent="0.3">
      <c r="J50824"/>
    </row>
    <row r="50825" spans="10:10" x14ac:dyDescent="0.3">
      <c r="J50825"/>
    </row>
    <row r="50826" spans="10:10" x14ac:dyDescent="0.3">
      <c r="J50826"/>
    </row>
    <row r="50827" spans="10:10" x14ac:dyDescent="0.3">
      <c r="J50827"/>
    </row>
    <row r="50828" spans="10:10" x14ac:dyDescent="0.3">
      <c r="J50828"/>
    </row>
    <row r="50829" spans="10:10" x14ac:dyDescent="0.3">
      <c r="J50829"/>
    </row>
    <row r="50830" spans="10:10" x14ac:dyDescent="0.3">
      <c r="J50830"/>
    </row>
    <row r="50831" spans="10:10" x14ac:dyDescent="0.3">
      <c r="J50831"/>
    </row>
    <row r="50832" spans="10:10" x14ac:dyDescent="0.3">
      <c r="J50832"/>
    </row>
    <row r="50833" spans="10:10" x14ac:dyDescent="0.3">
      <c r="J50833"/>
    </row>
    <row r="50834" spans="10:10" x14ac:dyDescent="0.3">
      <c r="J50834"/>
    </row>
    <row r="50835" spans="10:10" x14ac:dyDescent="0.3">
      <c r="J50835"/>
    </row>
    <row r="50836" spans="10:10" x14ac:dyDescent="0.3">
      <c r="J50836"/>
    </row>
    <row r="50837" spans="10:10" x14ac:dyDescent="0.3">
      <c r="J50837"/>
    </row>
    <row r="50838" spans="10:10" x14ac:dyDescent="0.3">
      <c r="J50838"/>
    </row>
    <row r="50839" spans="10:10" x14ac:dyDescent="0.3">
      <c r="J50839"/>
    </row>
    <row r="50840" spans="10:10" x14ac:dyDescent="0.3">
      <c r="J50840"/>
    </row>
    <row r="50841" spans="10:10" x14ac:dyDescent="0.3">
      <c r="J50841"/>
    </row>
    <row r="50842" spans="10:10" x14ac:dyDescent="0.3">
      <c r="J50842"/>
    </row>
    <row r="50843" spans="10:10" x14ac:dyDescent="0.3">
      <c r="J50843"/>
    </row>
    <row r="50844" spans="10:10" x14ac:dyDescent="0.3">
      <c r="J50844"/>
    </row>
    <row r="50845" spans="10:10" x14ac:dyDescent="0.3">
      <c r="J50845"/>
    </row>
    <row r="50846" spans="10:10" x14ac:dyDescent="0.3">
      <c r="J50846"/>
    </row>
    <row r="50847" spans="10:10" x14ac:dyDescent="0.3">
      <c r="J50847"/>
    </row>
    <row r="50848" spans="10:10" x14ac:dyDescent="0.3">
      <c r="J50848"/>
    </row>
    <row r="50849" spans="10:10" x14ac:dyDescent="0.3">
      <c r="J50849"/>
    </row>
    <row r="50850" spans="10:10" x14ac:dyDescent="0.3">
      <c r="J50850"/>
    </row>
    <row r="50851" spans="10:10" x14ac:dyDescent="0.3">
      <c r="J50851"/>
    </row>
    <row r="50852" spans="10:10" x14ac:dyDescent="0.3">
      <c r="J50852"/>
    </row>
    <row r="50853" spans="10:10" x14ac:dyDescent="0.3">
      <c r="J50853"/>
    </row>
    <row r="50854" spans="10:10" x14ac:dyDescent="0.3">
      <c r="J50854"/>
    </row>
    <row r="50855" spans="10:10" x14ac:dyDescent="0.3">
      <c r="J50855"/>
    </row>
    <row r="50856" spans="10:10" x14ac:dyDescent="0.3">
      <c r="J50856"/>
    </row>
    <row r="50857" spans="10:10" x14ac:dyDescent="0.3">
      <c r="J50857"/>
    </row>
    <row r="50858" spans="10:10" x14ac:dyDescent="0.3">
      <c r="J50858"/>
    </row>
    <row r="50859" spans="10:10" x14ac:dyDescent="0.3">
      <c r="J50859"/>
    </row>
    <row r="50860" spans="10:10" x14ac:dyDescent="0.3">
      <c r="J50860"/>
    </row>
    <row r="50861" spans="10:10" x14ac:dyDescent="0.3">
      <c r="J50861"/>
    </row>
    <row r="50862" spans="10:10" x14ac:dyDescent="0.3">
      <c r="J50862"/>
    </row>
    <row r="50863" spans="10:10" x14ac:dyDescent="0.3">
      <c r="J50863"/>
    </row>
    <row r="50864" spans="10:10" x14ac:dyDescent="0.3">
      <c r="J50864"/>
    </row>
    <row r="50865" spans="10:10" x14ac:dyDescent="0.3">
      <c r="J50865"/>
    </row>
    <row r="50866" spans="10:10" x14ac:dyDescent="0.3">
      <c r="J50866"/>
    </row>
    <row r="50867" spans="10:10" x14ac:dyDescent="0.3">
      <c r="J50867"/>
    </row>
    <row r="50868" spans="10:10" x14ac:dyDescent="0.3">
      <c r="J50868"/>
    </row>
    <row r="50869" spans="10:10" x14ac:dyDescent="0.3">
      <c r="J50869"/>
    </row>
    <row r="50870" spans="10:10" x14ac:dyDescent="0.3">
      <c r="J50870"/>
    </row>
    <row r="50871" spans="10:10" x14ac:dyDescent="0.3">
      <c r="J50871"/>
    </row>
    <row r="50872" spans="10:10" x14ac:dyDescent="0.3">
      <c r="J50872"/>
    </row>
    <row r="50873" spans="10:10" x14ac:dyDescent="0.3">
      <c r="J50873"/>
    </row>
    <row r="50874" spans="10:10" x14ac:dyDescent="0.3">
      <c r="J50874"/>
    </row>
    <row r="50875" spans="10:10" x14ac:dyDescent="0.3">
      <c r="J50875"/>
    </row>
    <row r="50876" spans="10:10" x14ac:dyDescent="0.3">
      <c r="J50876"/>
    </row>
    <row r="50877" spans="10:10" x14ac:dyDescent="0.3">
      <c r="J50877"/>
    </row>
    <row r="50878" spans="10:10" x14ac:dyDescent="0.3">
      <c r="J50878"/>
    </row>
    <row r="50879" spans="10:10" x14ac:dyDescent="0.3">
      <c r="J50879"/>
    </row>
    <row r="50880" spans="10:10" x14ac:dyDescent="0.3">
      <c r="J50880"/>
    </row>
    <row r="50881" spans="10:10" x14ac:dyDescent="0.3">
      <c r="J50881"/>
    </row>
    <row r="50882" spans="10:10" x14ac:dyDescent="0.3">
      <c r="J50882"/>
    </row>
    <row r="50883" spans="10:10" x14ac:dyDescent="0.3">
      <c r="J50883"/>
    </row>
    <row r="50884" spans="10:10" x14ac:dyDescent="0.3">
      <c r="J50884"/>
    </row>
    <row r="50885" spans="10:10" x14ac:dyDescent="0.3">
      <c r="J50885"/>
    </row>
    <row r="50886" spans="10:10" x14ac:dyDescent="0.3">
      <c r="J50886"/>
    </row>
    <row r="50887" spans="10:10" x14ac:dyDescent="0.3">
      <c r="J50887"/>
    </row>
    <row r="50888" spans="10:10" x14ac:dyDescent="0.3">
      <c r="J50888"/>
    </row>
    <row r="50889" spans="10:10" x14ac:dyDescent="0.3">
      <c r="J50889"/>
    </row>
    <row r="50890" spans="10:10" x14ac:dyDescent="0.3">
      <c r="J50890"/>
    </row>
    <row r="50891" spans="10:10" x14ac:dyDescent="0.3">
      <c r="J50891"/>
    </row>
    <row r="50892" spans="10:10" x14ac:dyDescent="0.3">
      <c r="J50892"/>
    </row>
    <row r="50893" spans="10:10" x14ac:dyDescent="0.3">
      <c r="J50893"/>
    </row>
    <row r="50894" spans="10:10" x14ac:dyDescent="0.3">
      <c r="J50894"/>
    </row>
    <row r="50895" spans="10:10" x14ac:dyDescent="0.3">
      <c r="J50895"/>
    </row>
    <row r="50896" spans="10:10" x14ac:dyDescent="0.3">
      <c r="J50896"/>
    </row>
    <row r="50897" spans="10:10" x14ac:dyDescent="0.3">
      <c r="J50897"/>
    </row>
    <row r="50898" spans="10:10" x14ac:dyDescent="0.3">
      <c r="J50898"/>
    </row>
    <row r="50899" spans="10:10" x14ac:dyDescent="0.3">
      <c r="J50899"/>
    </row>
    <row r="50900" spans="10:10" x14ac:dyDescent="0.3">
      <c r="J50900"/>
    </row>
    <row r="50901" spans="10:10" x14ac:dyDescent="0.3">
      <c r="J50901"/>
    </row>
    <row r="50902" spans="10:10" x14ac:dyDescent="0.3">
      <c r="J50902"/>
    </row>
    <row r="50903" spans="10:10" x14ac:dyDescent="0.3">
      <c r="J50903"/>
    </row>
    <row r="50904" spans="10:10" x14ac:dyDescent="0.3">
      <c r="J50904"/>
    </row>
    <row r="50905" spans="10:10" x14ac:dyDescent="0.3">
      <c r="J50905"/>
    </row>
    <row r="50906" spans="10:10" x14ac:dyDescent="0.3">
      <c r="J50906"/>
    </row>
    <row r="50907" spans="10:10" x14ac:dyDescent="0.3">
      <c r="J50907"/>
    </row>
    <row r="50908" spans="10:10" x14ac:dyDescent="0.3">
      <c r="J50908"/>
    </row>
    <row r="50909" spans="10:10" x14ac:dyDescent="0.3">
      <c r="J50909"/>
    </row>
    <row r="50910" spans="10:10" x14ac:dyDescent="0.3">
      <c r="J50910"/>
    </row>
    <row r="50911" spans="10:10" x14ac:dyDescent="0.3">
      <c r="J50911"/>
    </row>
    <row r="50912" spans="10:10" x14ac:dyDescent="0.3">
      <c r="J50912"/>
    </row>
    <row r="50913" spans="10:10" x14ac:dyDescent="0.3">
      <c r="J50913"/>
    </row>
    <row r="50914" spans="10:10" x14ac:dyDescent="0.3">
      <c r="J50914"/>
    </row>
    <row r="50915" spans="10:10" x14ac:dyDescent="0.3">
      <c r="J50915"/>
    </row>
    <row r="50916" spans="10:10" x14ac:dyDescent="0.3">
      <c r="J50916"/>
    </row>
    <row r="50917" spans="10:10" x14ac:dyDescent="0.3">
      <c r="J50917"/>
    </row>
    <row r="50918" spans="10:10" x14ac:dyDescent="0.3">
      <c r="J50918"/>
    </row>
    <row r="50919" spans="10:10" x14ac:dyDescent="0.3">
      <c r="J50919"/>
    </row>
    <row r="50920" spans="10:10" x14ac:dyDescent="0.3">
      <c r="J50920"/>
    </row>
    <row r="50921" spans="10:10" x14ac:dyDescent="0.3">
      <c r="J50921"/>
    </row>
    <row r="50922" spans="10:10" x14ac:dyDescent="0.3">
      <c r="J50922"/>
    </row>
    <row r="50923" spans="10:10" x14ac:dyDescent="0.3">
      <c r="J50923"/>
    </row>
    <row r="50924" spans="10:10" x14ac:dyDescent="0.3">
      <c r="J50924"/>
    </row>
    <row r="50925" spans="10:10" x14ac:dyDescent="0.3">
      <c r="J50925"/>
    </row>
    <row r="50926" spans="10:10" x14ac:dyDescent="0.3">
      <c r="J50926"/>
    </row>
    <row r="50927" spans="10:10" x14ac:dyDescent="0.3">
      <c r="J50927"/>
    </row>
    <row r="50928" spans="10:10" x14ac:dyDescent="0.3">
      <c r="J50928"/>
    </row>
    <row r="50929" spans="10:10" x14ac:dyDescent="0.3">
      <c r="J50929"/>
    </row>
    <row r="50930" spans="10:10" x14ac:dyDescent="0.3">
      <c r="J50930"/>
    </row>
    <row r="50931" spans="10:10" x14ac:dyDescent="0.3">
      <c r="J50931"/>
    </row>
    <row r="50932" spans="10:10" x14ac:dyDescent="0.3">
      <c r="J50932"/>
    </row>
    <row r="50933" spans="10:10" x14ac:dyDescent="0.3">
      <c r="J50933"/>
    </row>
    <row r="50934" spans="10:10" x14ac:dyDescent="0.3">
      <c r="J50934"/>
    </row>
    <row r="50935" spans="10:10" x14ac:dyDescent="0.3">
      <c r="J50935"/>
    </row>
    <row r="50936" spans="10:10" x14ac:dyDescent="0.3">
      <c r="J50936"/>
    </row>
    <row r="50937" spans="10:10" x14ac:dyDescent="0.3">
      <c r="J50937"/>
    </row>
    <row r="50938" spans="10:10" x14ac:dyDescent="0.3">
      <c r="J50938"/>
    </row>
    <row r="50939" spans="10:10" x14ac:dyDescent="0.3">
      <c r="J50939"/>
    </row>
    <row r="50940" spans="10:10" x14ac:dyDescent="0.3">
      <c r="J50940"/>
    </row>
    <row r="50941" spans="10:10" x14ac:dyDescent="0.3">
      <c r="J50941"/>
    </row>
    <row r="50942" spans="10:10" x14ac:dyDescent="0.3">
      <c r="J50942"/>
    </row>
    <row r="50943" spans="10:10" x14ac:dyDescent="0.3">
      <c r="J50943"/>
    </row>
    <row r="50944" spans="10:10" x14ac:dyDescent="0.3">
      <c r="J50944"/>
    </row>
    <row r="50945" spans="10:10" x14ac:dyDescent="0.3">
      <c r="J50945"/>
    </row>
    <row r="50946" spans="10:10" x14ac:dyDescent="0.3">
      <c r="J50946"/>
    </row>
    <row r="50947" spans="10:10" x14ac:dyDescent="0.3">
      <c r="J50947"/>
    </row>
    <row r="50948" spans="10:10" x14ac:dyDescent="0.3">
      <c r="J50948"/>
    </row>
    <row r="50949" spans="10:10" x14ac:dyDescent="0.3">
      <c r="J50949"/>
    </row>
    <row r="50950" spans="10:10" x14ac:dyDescent="0.3">
      <c r="J50950"/>
    </row>
    <row r="50951" spans="10:10" x14ac:dyDescent="0.3">
      <c r="J50951"/>
    </row>
    <row r="50952" spans="10:10" x14ac:dyDescent="0.3">
      <c r="J50952"/>
    </row>
    <row r="50953" spans="10:10" x14ac:dyDescent="0.3">
      <c r="J50953"/>
    </row>
    <row r="50954" spans="10:10" x14ac:dyDescent="0.3">
      <c r="J50954"/>
    </row>
    <row r="50955" spans="10:10" x14ac:dyDescent="0.3">
      <c r="J50955"/>
    </row>
    <row r="50956" spans="10:10" x14ac:dyDescent="0.3">
      <c r="J50956"/>
    </row>
    <row r="50957" spans="10:10" x14ac:dyDescent="0.3">
      <c r="J50957"/>
    </row>
    <row r="50958" spans="10:10" x14ac:dyDescent="0.3">
      <c r="J50958"/>
    </row>
    <row r="50959" spans="10:10" x14ac:dyDescent="0.3">
      <c r="J50959"/>
    </row>
    <row r="50960" spans="10:10" x14ac:dyDescent="0.3">
      <c r="J50960"/>
    </row>
    <row r="50961" spans="10:10" x14ac:dyDescent="0.3">
      <c r="J50961"/>
    </row>
    <row r="50962" spans="10:10" x14ac:dyDescent="0.3">
      <c r="J50962"/>
    </row>
    <row r="50963" spans="10:10" x14ac:dyDescent="0.3">
      <c r="J50963"/>
    </row>
    <row r="50964" spans="10:10" x14ac:dyDescent="0.3">
      <c r="J50964"/>
    </row>
    <row r="50965" spans="10:10" x14ac:dyDescent="0.3">
      <c r="J50965"/>
    </row>
    <row r="50966" spans="10:10" x14ac:dyDescent="0.3">
      <c r="J50966"/>
    </row>
    <row r="50967" spans="10:10" x14ac:dyDescent="0.3">
      <c r="J50967"/>
    </row>
    <row r="50968" spans="10:10" x14ac:dyDescent="0.3">
      <c r="J50968"/>
    </row>
    <row r="50969" spans="10:10" x14ac:dyDescent="0.3">
      <c r="J50969"/>
    </row>
    <row r="50970" spans="10:10" x14ac:dyDescent="0.3">
      <c r="J50970"/>
    </row>
    <row r="50971" spans="10:10" x14ac:dyDescent="0.3">
      <c r="J50971"/>
    </row>
    <row r="50972" spans="10:10" x14ac:dyDescent="0.3">
      <c r="J50972"/>
    </row>
    <row r="50973" spans="10:10" x14ac:dyDescent="0.3">
      <c r="J50973"/>
    </row>
    <row r="50974" spans="10:10" x14ac:dyDescent="0.3">
      <c r="J50974"/>
    </row>
    <row r="50975" spans="10:10" x14ac:dyDescent="0.3">
      <c r="J50975"/>
    </row>
    <row r="50976" spans="10:10" x14ac:dyDescent="0.3">
      <c r="J50976"/>
    </row>
    <row r="50977" spans="10:10" x14ac:dyDescent="0.3">
      <c r="J50977"/>
    </row>
    <row r="50978" spans="10:10" x14ac:dyDescent="0.3">
      <c r="J50978"/>
    </row>
    <row r="50979" spans="10:10" x14ac:dyDescent="0.3">
      <c r="J50979"/>
    </row>
    <row r="50980" spans="10:10" x14ac:dyDescent="0.3">
      <c r="J50980"/>
    </row>
    <row r="50981" spans="10:10" x14ac:dyDescent="0.3">
      <c r="J50981"/>
    </row>
    <row r="50982" spans="10:10" x14ac:dyDescent="0.3">
      <c r="J50982"/>
    </row>
    <row r="50983" spans="10:10" x14ac:dyDescent="0.3">
      <c r="J50983"/>
    </row>
    <row r="50984" spans="10:10" x14ac:dyDescent="0.3">
      <c r="J50984"/>
    </row>
    <row r="50985" spans="10:10" x14ac:dyDescent="0.3">
      <c r="J50985"/>
    </row>
    <row r="50986" spans="10:10" x14ac:dyDescent="0.3">
      <c r="J50986"/>
    </row>
    <row r="50987" spans="10:10" x14ac:dyDescent="0.3">
      <c r="J50987"/>
    </row>
    <row r="50988" spans="10:10" x14ac:dyDescent="0.3">
      <c r="J50988"/>
    </row>
    <row r="50989" spans="10:10" x14ac:dyDescent="0.3">
      <c r="J50989"/>
    </row>
    <row r="50990" spans="10:10" x14ac:dyDescent="0.3">
      <c r="J50990"/>
    </row>
    <row r="50991" spans="10:10" x14ac:dyDescent="0.3">
      <c r="J50991"/>
    </row>
    <row r="50992" spans="10:10" x14ac:dyDescent="0.3">
      <c r="J50992"/>
    </row>
    <row r="50993" spans="10:10" x14ac:dyDescent="0.3">
      <c r="J50993"/>
    </row>
    <row r="50994" spans="10:10" x14ac:dyDescent="0.3">
      <c r="J50994"/>
    </row>
    <row r="50995" spans="10:10" x14ac:dyDescent="0.3">
      <c r="J50995"/>
    </row>
    <row r="50996" spans="10:10" x14ac:dyDescent="0.3">
      <c r="J50996"/>
    </row>
    <row r="50997" spans="10:10" x14ac:dyDescent="0.3">
      <c r="J50997"/>
    </row>
    <row r="50998" spans="10:10" x14ac:dyDescent="0.3">
      <c r="J50998"/>
    </row>
    <row r="50999" spans="10:10" x14ac:dyDescent="0.3">
      <c r="J50999"/>
    </row>
    <row r="51000" spans="10:10" x14ac:dyDescent="0.3">
      <c r="J51000"/>
    </row>
    <row r="51001" spans="10:10" x14ac:dyDescent="0.3">
      <c r="J51001"/>
    </row>
    <row r="51002" spans="10:10" x14ac:dyDescent="0.3">
      <c r="J51002"/>
    </row>
    <row r="51003" spans="10:10" x14ac:dyDescent="0.3">
      <c r="J51003"/>
    </row>
    <row r="51004" spans="10:10" x14ac:dyDescent="0.3">
      <c r="J51004"/>
    </row>
    <row r="51005" spans="10:10" x14ac:dyDescent="0.3">
      <c r="J51005"/>
    </row>
    <row r="51006" spans="10:10" x14ac:dyDescent="0.3">
      <c r="J51006"/>
    </row>
    <row r="51007" spans="10:10" x14ac:dyDescent="0.3">
      <c r="J51007"/>
    </row>
    <row r="51008" spans="10:10" x14ac:dyDescent="0.3">
      <c r="J51008"/>
    </row>
    <row r="51009" spans="10:10" x14ac:dyDescent="0.3">
      <c r="J51009"/>
    </row>
    <row r="51010" spans="10:10" x14ac:dyDescent="0.3">
      <c r="J51010"/>
    </row>
    <row r="51011" spans="10:10" x14ac:dyDescent="0.3">
      <c r="J51011"/>
    </row>
    <row r="51012" spans="10:10" x14ac:dyDescent="0.3">
      <c r="J51012"/>
    </row>
    <row r="51013" spans="10:10" x14ac:dyDescent="0.3">
      <c r="J51013"/>
    </row>
    <row r="51014" spans="10:10" x14ac:dyDescent="0.3">
      <c r="J51014"/>
    </row>
    <row r="51015" spans="10:10" x14ac:dyDescent="0.3">
      <c r="J51015"/>
    </row>
    <row r="51016" spans="10:10" x14ac:dyDescent="0.3">
      <c r="J51016"/>
    </row>
    <row r="51017" spans="10:10" x14ac:dyDescent="0.3">
      <c r="J51017"/>
    </row>
    <row r="51018" spans="10:10" x14ac:dyDescent="0.3">
      <c r="J51018"/>
    </row>
    <row r="51019" spans="10:10" x14ac:dyDescent="0.3">
      <c r="J51019"/>
    </row>
    <row r="51020" spans="10:10" x14ac:dyDescent="0.3">
      <c r="J51020"/>
    </row>
    <row r="51021" spans="10:10" x14ac:dyDescent="0.3">
      <c r="J51021"/>
    </row>
    <row r="51022" spans="10:10" x14ac:dyDescent="0.3">
      <c r="J51022"/>
    </row>
    <row r="51023" spans="10:10" x14ac:dyDescent="0.3">
      <c r="J51023"/>
    </row>
    <row r="51024" spans="10:10" x14ac:dyDescent="0.3">
      <c r="J51024"/>
    </row>
    <row r="51025" spans="10:10" x14ac:dyDescent="0.3">
      <c r="J51025"/>
    </row>
    <row r="51026" spans="10:10" x14ac:dyDescent="0.3">
      <c r="J51026"/>
    </row>
    <row r="51027" spans="10:10" x14ac:dyDescent="0.3">
      <c r="J51027"/>
    </row>
    <row r="51028" spans="10:10" x14ac:dyDescent="0.3">
      <c r="J51028"/>
    </row>
    <row r="51029" spans="10:10" x14ac:dyDescent="0.3">
      <c r="J51029"/>
    </row>
    <row r="51030" spans="10:10" x14ac:dyDescent="0.3">
      <c r="J51030"/>
    </row>
    <row r="51031" spans="10:10" x14ac:dyDescent="0.3">
      <c r="J51031"/>
    </row>
    <row r="51032" spans="10:10" x14ac:dyDescent="0.3">
      <c r="J51032"/>
    </row>
    <row r="51033" spans="10:10" x14ac:dyDescent="0.3">
      <c r="J51033"/>
    </row>
    <row r="51034" spans="10:10" x14ac:dyDescent="0.3">
      <c r="J51034"/>
    </row>
    <row r="51035" spans="10:10" x14ac:dyDescent="0.3">
      <c r="J51035"/>
    </row>
    <row r="51036" spans="10:10" x14ac:dyDescent="0.3">
      <c r="J51036"/>
    </row>
    <row r="51037" spans="10:10" x14ac:dyDescent="0.3">
      <c r="J51037"/>
    </row>
    <row r="51038" spans="10:10" x14ac:dyDescent="0.3">
      <c r="J51038"/>
    </row>
    <row r="51039" spans="10:10" x14ac:dyDescent="0.3">
      <c r="J51039"/>
    </row>
    <row r="51040" spans="10:10" x14ac:dyDescent="0.3">
      <c r="J51040"/>
    </row>
    <row r="51041" spans="10:10" x14ac:dyDescent="0.3">
      <c r="J51041"/>
    </row>
    <row r="51042" spans="10:10" x14ac:dyDescent="0.3">
      <c r="J51042"/>
    </row>
    <row r="51043" spans="10:10" x14ac:dyDescent="0.3">
      <c r="J51043"/>
    </row>
    <row r="51044" spans="10:10" x14ac:dyDescent="0.3">
      <c r="J51044"/>
    </row>
    <row r="51045" spans="10:10" x14ac:dyDescent="0.3">
      <c r="J51045"/>
    </row>
    <row r="51046" spans="10:10" x14ac:dyDescent="0.3">
      <c r="J51046"/>
    </row>
    <row r="51047" spans="10:10" x14ac:dyDescent="0.3">
      <c r="J51047"/>
    </row>
    <row r="51048" spans="10:10" x14ac:dyDescent="0.3">
      <c r="J51048"/>
    </row>
    <row r="51049" spans="10:10" x14ac:dyDescent="0.3">
      <c r="J51049"/>
    </row>
    <row r="51050" spans="10:10" x14ac:dyDescent="0.3">
      <c r="J51050"/>
    </row>
    <row r="51051" spans="10:10" x14ac:dyDescent="0.3">
      <c r="J51051"/>
    </row>
    <row r="51052" spans="10:10" x14ac:dyDescent="0.3">
      <c r="J51052"/>
    </row>
    <row r="51053" spans="10:10" x14ac:dyDescent="0.3">
      <c r="J51053"/>
    </row>
    <row r="51054" spans="10:10" x14ac:dyDescent="0.3">
      <c r="J51054"/>
    </row>
    <row r="51055" spans="10:10" x14ac:dyDescent="0.3">
      <c r="J51055"/>
    </row>
    <row r="51056" spans="10:10" x14ac:dyDescent="0.3">
      <c r="J51056"/>
    </row>
    <row r="51057" spans="10:10" x14ac:dyDescent="0.3">
      <c r="J51057"/>
    </row>
    <row r="51058" spans="10:10" x14ac:dyDescent="0.3">
      <c r="J51058"/>
    </row>
    <row r="51059" spans="10:10" x14ac:dyDescent="0.3">
      <c r="J51059"/>
    </row>
    <row r="51060" spans="10:10" x14ac:dyDescent="0.3">
      <c r="J51060"/>
    </row>
    <row r="51061" spans="10:10" x14ac:dyDescent="0.3">
      <c r="J51061"/>
    </row>
    <row r="51062" spans="10:10" x14ac:dyDescent="0.3">
      <c r="J51062"/>
    </row>
    <row r="51063" spans="10:10" x14ac:dyDescent="0.3">
      <c r="J51063"/>
    </row>
    <row r="51064" spans="10:10" x14ac:dyDescent="0.3">
      <c r="J51064"/>
    </row>
    <row r="51065" spans="10:10" x14ac:dyDescent="0.3">
      <c r="J51065"/>
    </row>
    <row r="51066" spans="10:10" x14ac:dyDescent="0.3">
      <c r="J51066"/>
    </row>
    <row r="51067" spans="10:10" x14ac:dyDescent="0.3">
      <c r="J51067"/>
    </row>
    <row r="51068" spans="10:10" x14ac:dyDescent="0.3">
      <c r="J51068"/>
    </row>
    <row r="51069" spans="10:10" x14ac:dyDescent="0.3">
      <c r="J51069"/>
    </row>
    <row r="51070" spans="10:10" x14ac:dyDescent="0.3">
      <c r="J51070"/>
    </row>
    <row r="51071" spans="10:10" x14ac:dyDescent="0.3">
      <c r="J51071"/>
    </row>
    <row r="51072" spans="10:10" x14ac:dyDescent="0.3">
      <c r="J51072"/>
    </row>
    <row r="51073" spans="10:10" x14ac:dyDescent="0.3">
      <c r="J51073"/>
    </row>
    <row r="51074" spans="10:10" x14ac:dyDescent="0.3">
      <c r="J51074"/>
    </row>
    <row r="51075" spans="10:10" x14ac:dyDescent="0.3">
      <c r="J51075"/>
    </row>
    <row r="51076" spans="10:10" x14ac:dyDescent="0.3">
      <c r="J51076"/>
    </row>
    <row r="51077" spans="10:10" x14ac:dyDescent="0.3">
      <c r="J51077"/>
    </row>
    <row r="51078" spans="10:10" x14ac:dyDescent="0.3">
      <c r="J51078"/>
    </row>
    <row r="51079" spans="10:10" x14ac:dyDescent="0.3">
      <c r="J51079"/>
    </row>
    <row r="51080" spans="10:10" x14ac:dyDescent="0.3">
      <c r="J51080"/>
    </row>
    <row r="51081" spans="10:10" x14ac:dyDescent="0.3">
      <c r="J51081"/>
    </row>
    <row r="51082" spans="10:10" x14ac:dyDescent="0.3">
      <c r="J51082"/>
    </row>
    <row r="51083" spans="10:10" x14ac:dyDescent="0.3">
      <c r="J51083"/>
    </row>
    <row r="51084" spans="10:10" x14ac:dyDescent="0.3">
      <c r="J51084"/>
    </row>
    <row r="51085" spans="10:10" x14ac:dyDescent="0.3">
      <c r="J51085"/>
    </row>
    <row r="51086" spans="10:10" x14ac:dyDescent="0.3">
      <c r="J51086"/>
    </row>
    <row r="51087" spans="10:10" x14ac:dyDescent="0.3">
      <c r="J51087"/>
    </row>
    <row r="51088" spans="10:10" x14ac:dyDescent="0.3">
      <c r="J51088"/>
    </row>
    <row r="51089" spans="10:10" x14ac:dyDescent="0.3">
      <c r="J51089"/>
    </row>
    <row r="51090" spans="10:10" x14ac:dyDescent="0.3">
      <c r="J51090"/>
    </row>
    <row r="51091" spans="10:10" x14ac:dyDescent="0.3">
      <c r="J51091"/>
    </row>
    <row r="51092" spans="10:10" x14ac:dyDescent="0.3">
      <c r="J51092"/>
    </row>
    <row r="51093" spans="10:10" x14ac:dyDescent="0.3">
      <c r="J51093"/>
    </row>
    <row r="51094" spans="10:10" x14ac:dyDescent="0.3">
      <c r="J51094"/>
    </row>
    <row r="51095" spans="10:10" x14ac:dyDescent="0.3">
      <c r="J51095"/>
    </row>
    <row r="51096" spans="10:10" x14ac:dyDescent="0.3">
      <c r="J51096"/>
    </row>
    <row r="51097" spans="10:10" x14ac:dyDescent="0.3">
      <c r="J51097"/>
    </row>
    <row r="51098" spans="10:10" x14ac:dyDescent="0.3">
      <c r="J51098"/>
    </row>
    <row r="51099" spans="10:10" x14ac:dyDescent="0.3">
      <c r="J51099"/>
    </row>
    <row r="51100" spans="10:10" x14ac:dyDescent="0.3">
      <c r="J51100"/>
    </row>
    <row r="51101" spans="10:10" x14ac:dyDescent="0.3">
      <c r="J51101"/>
    </row>
    <row r="51102" spans="10:10" x14ac:dyDescent="0.3">
      <c r="J51102"/>
    </row>
    <row r="51103" spans="10:10" x14ac:dyDescent="0.3">
      <c r="J51103"/>
    </row>
    <row r="51104" spans="10:10" x14ac:dyDescent="0.3">
      <c r="J51104"/>
    </row>
    <row r="51105" spans="10:10" x14ac:dyDescent="0.3">
      <c r="J51105"/>
    </row>
    <row r="51106" spans="10:10" x14ac:dyDescent="0.3">
      <c r="J51106"/>
    </row>
    <row r="51107" spans="10:10" x14ac:dyDescent="0.3">
      <c r="J51107"/>
    </row>
    <row r="51108" spans="10:10" x14ac:dyDescent="0.3">
      <c r="J51108"/>
    </row>
    <row r="51109" spans="10:10" x14ac:dyDescent="0.3">
      <c r="J51109"/>
    </row>
    <row r="51110" spans="10:10" x14ac:dyDescent="0.3">
      <c r="J51110"/>
    </row>
    <row r="51111" spans="10:10" x14ac:dyDescent="0.3">
      <c r="J51111"/>
    </row>
    <row r="51112" spans="10:10" x14ac:dyDescent="0.3">
      <c r="J51112"/>
    </row>
    <row r="51113" spans="10:10" x14ac:dyDescent="0.3">
      <c r="J51113"/>
    </row>
    <row r="51114" spans="10:10" x14ac:dyDescent="0.3">
      <c r="J51114"/>
    </row>
    <row r="51115" spans="10:10" x14ac:dyDescent="0.3">
      <c r="J51115"/>
    </row>
    <row r="51116" spans="10:10" x14ac:dyDescent="0.3">
      <c r="J51116"/>
    </row>
    <row r="51117" spans="10:10" x14ac:dyDescent="0.3">
      <c r="J51117"/>
    </row>
    <row r="51118" spans="10:10" x14ac:dyDescent="0.3">
      <c r="J51118"/>
    </row>
    <row r="51119" spans="10:10" x14ac:dyDescent="0.3">
      <c r="J51119"/>
    </row>
    <row r="51120" spans="10:10" x14ac:dyDescent="0.3">
      <c r="J51120"/>
    </row>
    <row r="51121" spans="10:10" x14ac:dyDescent="0.3">
      <c r="J51121"/>
    </row>
    <row r="51122" spans="10:10" x14ac:dyDescent="0.3">
      <c r="J51122"/>
    </row>
    <row r="51123" spans="10:10" x14ac:dyDescent="0.3">
      <c r="J51123"/>
    </row>
    <row r="51124" spans="10:10" x14ac:dyDescent="0.3">
      <c r="J51124"/>
    </row>
    <row r="51125" spans="10:10" x14ac:dyDescent="0.3">
      <c r="J51125"/>
    </row>
    <row r="51126" spans="10:10" x14ac:dyDescent="0.3">
      <c r="J51126"/>
    </row>
    <row r="51127" spans="10:10" x14ac:dyDescent="0.3">
      <c r="J51127"/>
    </row>
    <row r="51128" spans="10:10" x14ac:dyDescent="0.3">
      <c r="J51128"/>
    </row>
    <row r="51129" spans="10:10" x14ac:dyDescent="0.3">
      <c r="J51129"/>
    </row>
    <row r="51130" spans="10:10" x14ac:dyDescent="0.3">
      <c r="J51130"/>
    </row>
    <row r="51131" spans="10:10" x14ac:dyDescent="0.3">
      <c r="J51131"/>
    </row>
    <row r="51132" spans="10:10" x14ac:dyDescent="0.3">
      <c r="J51132"/>
    </row>
    <row r="51133" spans="10:10" x14ac:dyDescent="0.3">
      <c r="J51133"/>
    </row>
    <row r="51134" spans="10:10" x14ac:dyDescent="0.3">
      <c r="J51134"/>
    </row>
    <row r="51135" spans="10:10" x14ac:dyDescent="0.3">
      <c r="J51135"/>
    </row>
    <row r="51136" spans="10:10" x14ac:dyDescent="0.3">
      <c r="J51136"/>
    </row>
    <row r="51137" spans="10:10" x14ac:dyDescent="0.3">
      <c r="J51137"/>
    </row>
    <row r="51138" spans="10:10" x14ac:dyDescent="0.3">
      <c r="J51138"/>
    </row>
    <row r="51139" spans="10:10" x14ac:dyDescent="0.3">
      <c r="J51139"/>
    </row>
    <row r="51140" spans="10:10" x14ac:dyDescent="0.3">
      <c r="J51140"/>
    </row>
    <row r="51141" spans="10:10" x14ac:dyDescent="0.3">
      <c r="J51141"/>
    </row>
    <row r="51142" spans="10:10" x14ac:dyDescent="0.3">
      <c r="J51142"/>
    </row>
    <row r="51143" spans="10:10" x14ac:dyDescent="0.3">
      <c r="J51143"/>
    </row>
    <row r="51144" spans="10:10" x14ac:dyDescent="0.3">
      <c r="J51144"/>
    </row>
    <row r="51145" spans="10:10" x14ac:dyDescent="0.3">
      <c r="J51145"/>
    </row>
    <row r="51146" spans="10:10" x14ac:dyDescent="0.3">
      <c r="J51146"/>
    </row>
    <row r="51147" spans="10:10" x14ac:dyDescent="0.3">
      <c r="J51147"/>
    </row>
    <row r="51148" spans="10:10" x14ac:dyDescent="0.3">
      <c r="J51148"/>
    </row>
    <row r="51149" spans="10:10" x14ac:dyDescent="0.3">
      <c r="J51149"/>
    </row>
    <row r="51150" spans="10:10" x14ac:dyDescent="0.3">
      <c r="J51150"/>
    </row>
    <row r="51151" spans="10:10" x14ac:dyDescent="0.3">
      <c r="J51151"/>
    </row>
    <row r="51152" spans="10:10" x14ac:dyDescent="0.3">
      <c r="J51152"/>
    </row>
    <row r="51153" spans="10:10" x14ac:dyDescent="0.3">
      <c r="J51153"/>
    </row>
    <row r="51154" spans="10:10" x14ac:dyDescent="0.3">
      <c r="J51154"/>
    </row>
    <row r="51155" spans="10:10" x14ac:dyDescent="0.3">
      <c r="J51155"/>
    </row>
    <row r="51156" spans="10:10" x14ac:dyDescent="0.3">
      <c r="J51156"/>
    </row>
    <row r="51157" spans="10:10" x14ac:dyDescent="0.3">
      <c r="J51157"/>
    </row>
    <row r="51158" spans="10:10" x14ac:dyDescent="0.3">
      <c r="J51158"/>
    </row>
    <row r="51159" spans="10:10" x14ac:dyDescent="0.3">
      <c r="J51159"/>
    </row>
    <row r="51160" spans="10:10" x14ac:dyDescent="0.3">
      <c r="J51160"/>
    </row>
    <row r="51161" spans="10:10" x14ac:dyDescent="0.3">
      <c r="J51161"/>
    </row>
    <row r="51162" spans="10:10" x14ac:dyDescent="0.3">
      <c r="J51162"/>
    </row>
    <row r="51163" spans="10:10" x14ac:dyDescent="0.3">
      <c r="J51163"/>
    </row>
    <row r="51164" spans="10:10" x14ac:dyDescent="0.3">
      <c r="J51164"/>
    </row>
    <row r="51165" spans="10:10" x14ac:dyDescent="0.3">
      <c r="J51165"/>
    </row>
    <row r="51166" spans="10:10" x14ac:dyDescent="0.3">
      <c r="J51166"/>
    </row>
    <row r="51167" spans="10:10" x14ac:dyDescent="0.3">
      <c r="J51167"/>
    </row>
    <row r="51168" spans="10:10" x14ac:dyDescent="0.3">
      <c r="J51168"/>
    </row>
    <row r="51169" spans="10:10" x14ac:dyDescent="0.3">
      <c r="J51169"/>
    </row>
    <row r="51170" spans="10:10" x14ac:dyDescent="0.3">
      <c r="J51170"/>
    </row>
    <row r="51171" spans="10:10" x14ac:dyDescent="0.3">
      <c r="J51171"/>
    </row>
    <row r="51172" spans="10:10" x14ac:dyDescent="0.3">
      <c r="J51172"/>
    </row>
    <row r="51173" spans="10:10" x14ac:dyDescent="0.3">
      <c r="J51173"/>
    </row>
    <row r="51174" spans="10:10" x14ac:dyDescent="0.3">
      <c r="J51174"/>
    </row>
    <row r="51175" spans="10:10" x14ac:dyDescent="0.3">
      <c r="J51175"/>
    </row>
    <row r="51176" spans="10:10" x14ac:dyDescent="0.3">
      <c r="J51176"/>
    </row>
    <row r="51177" spans="10:10" x14ac:dyDescent="0.3">
      <c r="J51177"/>
    </row>
    <row r="51178" spans="10:10" x14ac:dyDescent="0.3">
      <c r="J51178"/>
    </row>
    <row r="51179" spans="10:10" x14ac:dyDescent="0.3">
      <c r="J51179"/>
    </row>
    <row r="51180" spans="10:10" x14ac:dyDescent="0.3">
      <c r="J51180"/>
    </row>
    <row r="51181" spans="10:10" x14ac:dyDescent="0.3">
      <c r="J51181"/>
    </row>
    <row r="51182" spans="10:10" x14ac:dyDescent="0.3">
      <c r="J51182"/>
    </row>
    <row r="51183" spans="10:10" x14ac:dyDescent="0.3">
      <c r="J51183"/>
    </row>
    <row r="51184" spans="10:10" x14ac:dyDescent="0.3">
      <c r="J51184"/>
    </row>
    <row r="51185" spans="10:10" x14ac:dyDescent="0.3">
      <c r="J51185"/>
    </row>
    <row r="51186" spans="10:10" x14ac:dyDescent="0.3">
      <c r="J51186"/>
    </row>
    <row r="51187" spans="10:10" x14ac:dyDescent="0.3">
      <c r="J51187"/>
    </row>
    <row r="51188" spans="10:10" x14ac:dyDescent="0.3">
      <c r="J51188"/>
    </row>
    <row r="51189" spans="10:10" x14ac:dyDescent="0.3">
      <c r="J51189"/>
    </row>
    <row r="51190" spans="10:10" x14ac:dyDescent="0.3">
      <c r="J51190"/>
    </row>
    <row r="51191" spans="10:10" x14ac:dyDescent="0.3">
      <c r="J51191"/>
    </row>
    <row r="51192" spans="10:10" x14ac:dyDescent="0.3">
      <c r="J51192"/>
    </row>
    <row r="51193" spans="10:10" x14ac:dyDescent="0.3">
      <c r="J51193"/>
    </row>
    <row r="51194" spans="10:10" x14ac:dyDescent="0.3">
      <c r="J51194"/>
    </row>
    <row r="51195" spans="10:10" x14ac:dyDescent="0.3">
      <c r="J51195"/>
    </row>
    <row r="51196" spans="10:10" x14ac:dyDescent="0.3">
      <c r="J51196"/>
    </row>
    <row r="51197" spans="10:10" x14ac:dyDescent="0.3">
      <c r="J51197"/>
    </row>
    <row r="51198" spans="10:10" x14ac:dyDescent="0.3">
      <c r="J51198"/>
    </row>
    <row r="51199" spans="10:10" x14ac:dyDescent="0.3">
      <c r="J51199"/>
    </row>
    <row r="51200" spans="10:10" x14ac:dyDescent="0.3">
      <c r="J51200"/>
    </row>
    <row r="51201" spans="10:10" x14ac:dyDescent="0.3">
      <c r="J51201"/>
    </row>
    <row r="51202" spans="10:10" x14ac:dyDescent="0.3">
      <c r="J51202"/>
    </row>
    <row r="51203" spans="10:10" x14ac:dyDescent="0.3">
      <c r="J51203"/>
    </row>
    <row r="51204" spans="10:10" x14ac:dyDescent="0.3">
      <c r="J51204"/>
    </row>
    <row r="51205" spans="10:10" x14ac:dyDescent="0.3">
      <c r="J51205"/>
    </row>
    <row r="51206" spans="10:10" x14ac:dyDescent="0.3">
      <c r="J51206"/>
    </row>
    <row r="51207" spans="10:10" x14ac:dyDescent="0.3">
      <c r="J51207"/>
    </row>
    <row r="51208" spans="10:10" x14ac:dyDescent="0.3">
      <c r="J51208"/>
    </row>
    <row r="51209" spans="10:10" x14ac:dyDescent="0.3">
      <c r="J51209"/>
    </row>
    <row r="51210" spans="10:10" x14ac:dyDescent="0.3">
      <c r="J51210"/>
    </row>
    <row r="51211" spans="10:10" x14ac:dyDescent="0.3">
      <c r="J51211"/>
    </row>
    <row r="51212" spans="10:10" x14ac:dyDescent="0.3">
      <c r="J51212"/>
    </row>
    <row r="51213" spans="10:10" x14ac:dyDescent="0.3">
      <c r="J51213"/>
    </row>
    <row r="51214" spans="10:10" x14ac:dyDescent="0.3">
      <c r="J51214"/>
    </row>
    <row r="51215" spans="10:10" x14ac:dyDescent="0.3">
      <c r="J51215"/>
    </row>
    <row r="51216" spans="10:10" x14ac:dyDescent="0.3">
      <c r="J51216"/>
    </row>
    <row r="51217" spans="10:10" x14ac:dyDescent="0.3">
      <c r="J51217"/>
    </row>
    <row r="51218" spans="10:10" x14ac:dyDescent="0.3">
      <c r="J51218"/>
    </row>
    <row r="51219" spans="10:10" x14ac:dyDescent="0.3">
      <c r="J51219"/>
    </row>
    <row r="51220" spans="10:10" x14ac:dyDescent="0.3">
      <c r="J51220"/>
    </row>
    <row r="51221" spans="10:10" x14ac:dyDescent="0.3">
      <c r="J51221"/>
    </row>
    <row r="51222" spans="10:10" x14ac:dyDescent="0.3">
      <c r="J51222"/>
    </row>
    <row r="51223" spans="10:10" x14ac:dyDescent="0.3">
      <c r="J51223"/>
    </row>
    <row r="51224" spans="10:10" x14ac:dyDescent="0.3">
      <c r="J51224"/>
    </row>
    <row r="51225" spans="10:10" x14ac:dyDescent="0.3">
      <c r="J51225"/>
    </row>
    <row r="51226" spans="10:10" x14ac:dyDescent="0.3">
      <c r="J51226"/>
    </row>
    <row r="51227" spans="10:10" x14ac:dyDescent="0.3">
      <c r="J51227"/>
    </row>
    <row r="51228" spans="10:10" x14ac:dyDescent="0.3">
      <c r="J51228"/>
    </row>
    <row r="51229" spans="10:10" x14ac:dyDescent="0.3">
      <c r="J51229"/>
    </row>
    <row r="51230" spans="10:10" x14ac:dyDescent="0.3">
      <c r="J51230"/>
    </row>
    <row r="51231" spans="10:10" x14ac:dyDescent="0.3">
      <c r="J51231"/>
    </row>
    <row r="51232" spans="10:10" x14ac:dyDescent="0.3">
      <c r="J51232"/>
    </row>
    <row r="51233" spans="10:10" x14ac:dyDescent="0.3">
      <c r="J51233"/>
    </row>
    <row r="51234" spans="10:10" x14ac:dyDescent="0.3">
      <c r="J51234"/>
    </row>
    <row r="51235" spans="10:10" x14ac:dyDescent="0.3">
      <c r="J51235"/>
    </row>
    <row r="51236" spans="10:10" x14ac:dyDescent="0.3">
      <c r="J51236"/>
    </row>
    <row r="51237" spans="10:10" x14ac:dyDescent="0.3">
      <c r="J51237"/>
    </row>
    <row r="51238" spans="10:10" x14ac:dyDescent="0.3">
      <c r="J51238"/>
    </row>
    <row r="51239" spans="10:10" x14ac:dyDescent="0.3">
      <c r="J51239"/>
    </row>
    <row r="51240" spans="10:10" x14ac:dyDescent="0.3">
      <c r="J51240"/>
    </row>
    <row r="51241" spans="10:10" x14ac:dyDescent="0.3">
      <c r="J51241"/>
    </row>
    <row r="51242" spans="10:10" x14ac:dyDescent="0.3">
      <c r="J51242"/>
    </row>
    <row r="51243" spans="10:10" x14ac:dyDescent="0.3">
      <c r="J51243"/>
    </row>
    <row r="51244" spans="10:10" x14ac:dyDescent="0.3">
      <c r="J51244"/>
    </row>
    <row r="51245" spans="10:10" x14ac:dyDescent="0.3">
      <c r="J51245"/>
    </row>
    <row r="51246" spans="10:10" x14ac:dyDescent="0.3">
      <c r="J51246"/>
    </row>
    <row r="51247" spans="10:10" x14ac:dyDescent="0.3">
      <c r="J51247"/>
    </row>
    <row r="51248" spans="10:10" x14ac:dyDescent="0.3">
      <c r="J51248"/>
    </row>
    <row r="51249" spans="10:10" x14ac:dyDescent="0.3">
      <c r="J51249"/>
    </row>
    <row r="51250" spans="10:10" x14ac:dyDescent="0.3">
      <c r="J51250"/>
    </row>
    <row r="51251" spans="10:10" x14ac:dyDescent="0.3">
      <c r="J51251"/>
    </row>
    <row r="51252" spans="10:10" x14ac:dyDescent="0.3">
      <c r="J51252"/>
    </row>
    <row r="51253" spans="10:10" x14ac:dyDescent="0.3">
      <c r="J51253"/>
    </row>
    <row r="51254" spans="10:10" x14ac:dyDescent="0.3">
      <c r="J51254"/>
    </row>
    <row r="51255" spans="10:10" x14ac:dyDescent="0.3">
      <c r="J51255"/>
    </row>
    <row r="51256" spans="10:10" x14ac:dyDescent="0.3">
      <c r="J51256"/>
    </row>
    <row r="51257" spans="10:10" x14ac:dyDescent="0.3">
      <c r="J51257"/>
    </row>
    <row r="51258" spans="10:10" x14ac:dyDescent="0.3">
      <c r="J51258"/>
    </row>
    <row r="51259" spans="10:10" x14ac:dyDescent="0.3">
      <c r="J51259"/>
    </row>
    <row r="51260" spans="10:10" x14ac:dyDescent="0.3">
      <c r="J51260"/>
    </row>
    <row r="51261" spans="10:10" x14ac:dyDescent="0.3">
      <c r="J51261"/>
    </row>
    <row r="51262" spans="10:10" x14ac:dyDescent="0.3">
      <c r="J51262"/>
    </row>
    <row r="51263" spans="10:10" x14ac:dyDescent="0.3">
      <c r="J51263"/>
    </row>
    <row r="51264" spans="10:10" x14ac:dyDescent="0.3">
      <c r="J51264"/>
    </row>
    <row r="51265" spans="10:10" x14ac:dyDescent="0.3">
      <c r="J51265"/>
    </row>
    <row r="51266" spans="10:10" x14ac:dyDescent="0.3">
      <c r="J51266"/>
    </row>
    <row r="51267" spans="10:10" x14ac:dyDescent="0.3">
      <c r="J51267"/>
    </row>
    <row r="51268" spans="10:10" x14ac:dyDescent="0.3">
      <c r="J51268"/>
    </row>
    <row r="51269" spans="10:10" x14ac:dyDescent="0.3">
      <c r="J51269"/>
    </row>
    <row r="51270" spans="10:10" x14ac:dyDescent="0.3">
      <c r="J51270"/>
    </row>
    <row r="51271" spans="10:10" x14ac:dyDescent="0.3">
      <c r="J51271"/>
    </row>
    <row r="51272" spans="10:10" x14ac:dyDescent="0.3">
      <c r="J51272"/>
    </row>
    <row r="51273" spans="10:10" x14ac:dyDescent="0.3">
      <c r="J51273"/>
    </row>
    <row r="51274" spans="10:10" x14ac:dyDescent="0.3">
      <c r="J51274"/>
    </row>
    <row r="51275" spans="10:10" x14ac:dyDescent="0.3">
      <c r="J51275"/>
    </row>
    <row r="51276" spans="10:10" x14ac:dyDescent="0.3">
      <c r="J51276"/>
    </row>
    <row r="51277" spans="10:10" x14ac:dyDescent="0.3">
      <c r="J51277"/>
    </row>
    <row r="51278" spans="10:10" x14ac:dyDescent="0.3">
      <c r="J51278"/>
    </row>
    <row r="51279" spans="10:10" x14ac:dyDescent="0.3">
      <c r="J51279"/>
    </row>
    <row r="51280" spans="10:10" x14ac:dyDescent="0.3">
      <c r="J51280"/>
    </row>
    <row r="51281" spans="10:10" x14ac:dyDescent="0.3">
      <c r="J51281"/>
    </row>
    <row r="51282" spans="10:10" x14ac:dyDescent="0.3">
      <c r="J51282"/>
    </row>
    <row r="51283" spans="10:10" x14ac:dyDescent="0.3">
      <c r="J51283"/>
    </row>
    <row r="51284" spans="10:10" x14ac:dyDescent="0.3">
      <c r="J51284"/>
    </row>
    <row r="51285" spans="10:10" x14ac:dyDescent="0.3">
      <c r="J51285"/>
    </row>
    <row r="51286" spans="10:10" x14ac:dyDescent="0.3">
      <c r="J51286"/>
    </row>
    <row r="51287" spans="10:10" x14ac:dyDescent="0.3">
      <c r="J51287"/>
    </row>
    <row r="51288" spans="10:10" x14ac:dyDescent="0.3">
      <c r="J51288"/>
    </row>
    <row r="51289" spans="10:10" x14ac:dyDescent="0.3">
      <c r="J51289"/>
    </row>
    <row r="51290" spans="10:10" x14ac:dyDescent="0.3">
      <c r="J51290"/>
    </row>
    <row r="51291" spans="10:10" x14ac:dyDescent="0.3">
      <c r="J51291"/>
    </row>
    <row r="51292" spans="10:10" x14ac:dyDescent="0.3">
      <c r="J51292"/>
    </row>
    <row r="51293" spans="10:10" x14ac:dyDescent="0.3">
      <c r="J51293"/>
    </row>
    <row r="51294" spans="10:10" x14ac:dyDescent="0.3">
      <c r="J51294"/>
    </row>
    <row r="51295" spans="10:10" x14ac:dyDescent="0.3">
      <c r="J51295"/>
    </row>
    <row r="51296" spans="10:10" x14ac:dyDescent="0.3">
      <c r="J51296"/>
    </row>
    <row r="51297" spans="10:10" x14ac:dyDescent="0.3">
      <c r="J51297"/>
    </row>
    <row r="51298" spans="10:10" x14ac:dyDescent="0.3">
      <c r="J51298"/>
    </row>
    <row r="51299" spans="10:10" x14ac:dyDescent="0.3">
      <c r="J51299"/>
    </row>
    <row r="51300" spans="10:10" x14ac:dyDescent="0.3">
      <c r="J51300"/>
    </row>
    <row r="51301" spans="10:10" x14ac:dyDescent="0.3">
      <c r="J51301"/>
    </row>
    <row r="51302" spans="10:10" x14ac:dyDescent="0.3">
      <c r="J51302"/>
    </row>
    <row r="51303" spans="10:10" x14ac:dyDescent="0.3">
      <c r="J51303"/>
    </row>
    <row r="51304" spans="10:10" x14ac:dyDescent="0.3">
      <c r="J51304"/>
    </row>
    <row r="51305" spans="10:10" x14ac:dyDescent="0.3">
      <c r="J51305"/>
    </row>
    <row r="51306" spans="10:10" x14ac:dyDescent="0.3">
      <c r="J51306"/>
    </row>
    <row r="51307" spans="10:10" x14ac:dyDescent="0.3">
      <c r="J51307"/>
    </row>
    <row r="51308" spans="10:10" x14ac:dyDescent="0.3">
      <c r="J51308"/>
    </row>
    <row r="51309" spans="10:10" x14ac:dyDescent="0.3">
      <c r="J51309"/>
    </row>
    <row r="51310" spans="10:10" x14ac:dyDescent="0.3">
      <c r="J51310"/>
    </row>
    <row r="51311" spans="10:10" x14ac:dyDescent="0.3">
      <c r="J51311"/>
    </row>
    <row r="51312" spans="10:10" x14ac:dyDescent="0.3">
      <c r="J51312"/>
    </row>
    <row r="51313" spans="10:10" x14ac:dyDescent="0.3">
      <c r="J51313"/>
    </row>
    <row r="51314" spans="10:10" x14ac:dyDescent="0.3">
      <c r="J51314"/>
    </row>
    <row r="51315" spans="10:10" x14ac:dyDescent="0.3">
      <c r="J51315"/>
    </row>
    <row r="51316" spans="10:10" x14ac:dyDescent="0.3">
      <c r="J51316"/>
    </row>
    <row r="51317" spans="10:10" x14ac:dyDescent="0.3">
      <c r="J51317"/>
    </row>
    <row r="51318" spans="10:10" x14ac:dyDescent="0.3">
      <c r="J51318"/>
    </row>
    <row r="51319" spans="10:10" x14ac:dyDescent="0.3">
      <c r="J51319"/>
    </row>
    <row r="51320" spans="10:10" x14ac:dyDescent="0.3">
      <c r="J51320"/>
    </row>
    <row r="51321" spans="10:10" x14ac:dyDescent="0.3">
      <c r="J51321"/>
    </row>
    <row r="51322" spans="10:10" x14ac:dyDescent="0.3">
      <c r="J51322"/>
    </row>
    <row r="51323" spans="10:10" x14ac:dyDescent="0.3">
      <c r="J51323"/>
    </row>
    <row r="51324" spans="10:10" x14ac:dyDescent="0.3">
      <c r="J51324"/>
    </row>
    <row r="51325" spans="10:10" x14ac:dyDescent="0.3">
      <c r="J51325"/>
    </row>
    <row r="51326" spans="10:10" x14ac:dyDescent="0.3">
      <c r="J51326"/>
    </row>
    <row r="51327" spans="10:10" x14ac:dyDescent="0.3">
      <c r="J51327"/>
    </row>
    <row r="51328" spans="10:10" x14ac:dyDescent="0.3">
      <c r="J51328"/>
    </row>
    <row r="51329" spans="10:10" x14ac:dyDescent="0.3">
      <c r="J51329"/>
    </row>
    <row r="51330" spans="10:10" x14ac:dyDescent="0.3">
      <c r="J51330"/>
    </row>
    <row r="51331" spans="10:10" x14ac:dyDescent="0.3">
      <c r="J51331"/>
    </row>
    <row r="51332" spans="10:10" x14ac:dyDescent="0.3">
      <c r="J51332"/>
    </row>
    <row r="51333" spans="10:10" x14ac:dyDescent="0.3">
      <c r="J51333"/>
    </row>
    <row r="51334" spans="10:10" x14ac:dyDescent="0.3">
      <c r="J51334"/>
    </row>
    <row r="51335" spans="10:10" x14ac:dyDescent="0.3">
      <c r="J51335"/>
    </row>
    <row r="51336" spans="10:10" x14ac:dyDescent="0.3">
      <c r="J51336"/>
    </row>
    <row r="51337" spans="10:10" x14ac:dyDescent="0.3">
      <c r="J51337"/>
    </row>
    <row r="51338" spans="10:10" x14ac:dyDescent="0.3">
      <c r="J51338"/>
    </row>
    <row r="51339" spans="10:10" x14ac:dyDescent="0.3">
      <c r="J51339"/>
    </row>
    <row r="51340" spans="10:10" x14ac:dyDescent="0.3">
      <c r="J51340"/>
    </row>
    <row r="51341" spans="10:10" x14ac:dyDescent="0.3">
      <c r="J51341"/>
    </row>
    <row r="51342" spans="10:10" x14ac:dyDescent="0.3">
      <c r="J51342"/>
    </row>
    <row r="51343" spans="10:10" x14ac:dyDescent="0.3">
      <c r="J51343"/>
    </row>
    <row r="51344" spans="10:10" x14ac:dyDescent="0.3">
      <c r="J51344"/>
    </row>
    <row r="51345" spans="10:10" x14ac:dyDescent="0.3">
      <c r="J51345"/>
    </row>
    <row r="51346" spans="10:10" x14ac:dyDescent="0.3">
      <c r="J51346"/>
    </row>
    <row r="51347" spans="10:10" x14ac:dyDescent="0.3">
      <c r="J51347"/>
    </row>
    <row r="51348" spans="10:10" x14ac:dyDescent="0.3">
      <c r="J51348"/>
    </row>
    <row r="51349" spans="10:10" x14ac:dyDescent="0.3">
      <c r="J51349"/>
    </row>
    <row r="51350" spans="10:10" x14ac:dyDescent="0.3">
      <c r="J51350"/>
    </row>
    <row r="51351" spans="10:10" x14ac:dyDescent="0.3">
      <c r="J51351"/>
    </row>
    <row r="51352" spans="10:10" x14ac:dyDescent="0.3">
      <c r="J51352"/>
    </row>
    <row r="51353" spans="10:10" x14ac:dyDescent="0.3">
      <c r="J51353"/>
    </row>
    <row r="51354" spans="10:10" x14ac:dyDescent="0.3">
      <c r="J51354"/>
    </row>
    <row r="51355" spans="10:10" x14ac:dyDescent="0.3">
      <c r="J51355"/>
    </row>
    <row r="51356" spans="10:10" x14ac:dyDescent="0.3">
      <c r="J51356"/>
    </row>
    <row r="51357" spans="10:10" x14ac:dyDescent="0.3">
      <c r="J51357"/>
    </row>
    <row r="51358" spans="10:10" x14ac:dyDescent="0.3">
      <c r="J51358"/>
    </row>
    <row r="51359" spans="10:10" x14ac:dyDescent="0.3">
      <c r="J51359"/>
    </row>
    <row r="51360" spans="10:10" x14ac:dyDescent="0.3">
      <c r="J51360"/>
    </row>
    <row r="51361" spans="10:10" x14ac:dyDescent="0.3">
      <c r="J51361"/>
    </row>
    <row r="51362" spans="10:10" x14ac:dyDescent="0.3">
      <c r="J51362"/>
    </row>
    <row r="51363" spans="10:10" x14ac:dyDescent="0.3">
      <c r="J51363"/>
    </row>
    <row r="51364" spans="10:10" x14ac:dyDescent="0.3">
      <c r="J51364"/>
    </row>
    <row r="51365" spans="10:10" x14ac:dyDescent="0.3">
      <c r="J51365"/>
    </row>
    <row r="51366" spans="10:10" x14ac:dyDescent="0.3">
      <c r="J51366"/>
    </row>
    <row r="51367" spans="10:10" x14ac:dyDescent="0.3">
      <c r="J51367"/>
    </row>
    <row r="51368" spans="10:10" x14ac:dyDescent="0.3">
      <c r="J51368"/>
    </row>
    <row r="51369" spans="10:10" x14ac:dyDescent="0.3">
      <c r="J51369"/>
    </row>
    <row r="51370" spans="10:10" x14ac:dyDescent="0.3">
      <c r="J51370"/>
    </row>
    <row r="51371" spans="10:10" x14ac:dyDescent="0.3">
      <c r="J51371"/>
    </row>
    <row r="51372" spans="10:10" x14ac:dyDescent="0.3">
      <c r="J51372"/>
    </row>
    <row r="51373" spans="10:10" x14ac:dyDescent="0.3">
      <c r="J51373"/>
    </row>
    <row r="51374" spans="10:10" x14ac:dyDescent="0.3">
      <c r="J51374"/>
    </row>
    <row r="51375" spans="10:10" x14ac:dyDescent="0.3">
      <c r="J51375"/>
    </row>
    <row r="51376" spans="10:10" x14ac:dyDescent="0.3">
      <c r="J51376"/>
    </row>
    <row r="51377" spans="10:10" x14ac:dyDescent="0.3">
      <c r="J51377"/>
    </row>
    <row r="51378" spans="10:10" x14ac:dyDescent="0.3">
      <c r="J51378"/>
    </row>
    <row r="51379" spans="10:10" x14ac:dyDescent="0.3">
      <c r="J51379"/>
    </row>
    <row r="51380" spans="10:10" x14ac:dyDescent="0.3">
      <c r="J51380"/>
    </row>
    <row r="51381" spans="10:10" x14ac:dyDescent="0.3">
      <c r="J51381"/>
    </row>
    <row r="51382" spans="10:10" x14ac:dyDescent="0.3">
      <c r="J51382"/>
    </row>
    <row r="51383" spans="10:10" x14ac:dyDescent="0.3">
      <c r="J51383"/>
    </row>
    <row r="51384" spans="10:10" x14ac:dyDescent="0.3">
      <c r="J51384"/>
    </row>
    <row r="51385" spans="10:10" x14ac:dyDescent="0.3">
      <c r="J51385"/>
    </row>
    <row r="51386" spans="10:10" x14ac:dyDescent="0.3">
      <c r="J51386"/>
    </row>
    <row r="51387" spans="10:10" x14ac:dyDescent="0.3">
      <c r="J51387"/>
    </row>
    <row r="51388" spans="10:10" x14ac:dyDescent="0.3">
      <c r="J51388"/>
    </row>
    <row r="51389" spans="10:10" x14ac:dyDescent="0.3">
      <c r="J51389"/>
    </row>
    <row r="51390" spans="10:10" x14ac:dyDescent="0.3">
      <c r="J51390"/>
    </row>
    <row r="51391" spans="10:10" x14ac:dyDescent="0.3">
      <c r="J51391"/>
    </row>
    <row r="51392" spans="10:10" x14ac:dyDescent="0.3">
      <c r="J51392"/>
    </row>
    <row r="51393" spans="10:10" x14ac:dyDescent="0.3">
      <c r="J51393"/>
    </row>
    <row r="51394" spans="10:10" x14ac:dyDescent="0.3">
      <c r="J51394"/>
    </row>
    <row r="51395" spans="10:10" x14ac:dyDescent="0.3">
      <c r="J51395"/>
    </row>
    <row r="51396" spans="10:10" x14ac:dyDescent="0.3">
      <c r="J51396"/>
    </row>
    <row r="51397" spans="10:10" x14ac:dyDescent="0.3">
      <c r="J51397"/>
    </row>
    <row r="51398" spans="10:10" x14ac:dyDescent="0.3">
      <c r="J51398"/>
    </row>
    <row r="51399" spans="10:10" x14ac:dyDescent="0.3">
      <c r="J51399"/>
    </row>
    <row r="51400" spans="10:10" x14ac:dyDescent="0.3">
      <c r="J51400"/>
    </row>
    <row r="51401" spans="10:10" x14ac:dyDescent="0.3">
      <c r="J51401"/>
    </row>
    <row r="51402" spans="10:10" x14ac:dyDescent="0.3">
      <c r="J51402"/>
    </row>
    <row r="51403" spans="10:10" x14ac:dyDescent="0.3">
      <c r="J51403"/>
    </row>
    <row r="51404" spans="10:10" x14ac:dyDescent="0.3">
      <c r="J51404"/>
    </row>
    <row r="51405" spans="10:10" x14ac:dyDescent="0.3">
      <c r="J51405"/>
    </row>
    <row r="51406" spans="10:10" x14ac:dyDescent="0.3">
      <c r="J51406"/>
    </row>
    <row r="51407" spans="10:10" x14ac:dyDescent="0.3">
      <c r="J51407"/>
    </row>
    <row r="51408" spans="10:10" x14ac:dyDescent="0.3">
      <c r="J51408"/>
    </row>
    <row r="51409" spans="10:10" x14ac:dyDescent="0.3">
      <c r="J51409"/>
    </row>
    <row r="51410" spans="10:10" x14ac:dyDescent="0.3">
      <c r="J51410"/>
    </row>
    <row r="51411" spans="10:10" x14ac:dyDescent="0.3">
      <c r="J51411"/>
    </row>
    <row r="51412" spans="10:10" x14ac:dyDescent="0.3">
      <c r="J51412"/>
    </row>
    <row r="51413" spans="10:10" x14ac:dyDescent="0.3">
      <c r="J51413"/>
    </row>
    <row r="51414" spans="10:10" x14ac:dyDescent="0.3">
      <c r="J51414"/>
    </row>
    <row r="51415" spans="10:10" x14ac:dyDescent="0.3">
      <c r="J51415"/>
    </row>
    <row r="51416" spans="10:10" x14ac:dyDescent="0.3">
      <c r="J51416"/>
    </row>
    <row r="51417" spans="10:10" x14ac:dyDescent="0.3">
      <c r="J51417"/>
    </row>
    <row r="51418" spans="10:10" x14ac:dyDescent="0.3">
      <c r="J51418"/>
    </row>
    <row r="51419" spans="10:10" x14ac:dyDescent="0.3">
      <c r="J51419"/>
    </row>
    <row r="51420" spans="10:10" x14ac:dyDescent="0.3">
      <c r="J51420"/>
    </row>
    <row r="51421" spans="10:10" x14ac:dyDescent="0.3">
      <c r="J51421"/>
    </row>
    <row r="51422" spans="10:10" x14ac:dyDescent="0.3">
      <c r="J51422"/>
    </row>
    <row r="51423" spans="10:10" x14ac:dyDescent="0.3">
      <c r="J51423"/>
    </row>
    <row r="51424" spans="10:10" x14ac:dyDescent="0.3">
      <c r="J51424"/>
    </row>
    <row r="51425" spans="10:10" x14ac:dyDescent="0.3">
      <c r="J51425"/>
    </row>
    <row r="51426" spans="10:10" x14ac:dyDescent="0.3">
      <c r="J51426"/>
    </row>
    <row r="51427" spans="10:10" x14ac:dyDescent="0.3">
      <c r="J51427"/>
    </row>
    <row r="51428" spans="10:10" x14ac:dyDescent="0.3">
      <c r="J51428"/>
    </row>
    <row r="51429" spans="10:10" x14ac:dyDescent="0.3">
      <c r="J51429"/>
    </row>
    <row r="51430" spans="10:10" x14ac:dyDescent="0.3">
      <c r="J51430"/>
    </row>
    <row r="51431" spans="10:10" x14ac:dyDescent="0.3">
      <c r="J51431"/>
    </row>
    <row r="51432" spans="10:10" x14ac:dyDescent="0.3">
      <c r="J51432"/>
    </row>
    <row r="51433" spans="10:10" x14ac:dyDescent="0.3">
      <c r="J51433"/>
    </row>
    <row r="51434" spans="10:10" x14ac:dyDescent="0.3">
      <c r="J51434"/>
    </row>
    <row r="51435" spans="10:10" x14ac:dyDescent="0.3">
      <c r="J51435"/>
    </row>
    <row r="51436" spans="10:10" x14ac:dyDescent="0.3">
      <c r="J51436"/>
    </row>
    <row r="51437" spans="10:10" x14ac:dyDescent="0.3">
      <c r="J51437"/>
    </row>
    <row r="51438" spans="10:10" x14ac:dyDescent="0.3">
      <c r="J51438"/>
    </row>
    <row r="51439" spans="10:10" x14ac:dyDescent="0.3">
      <c r="J51439"/>
    </row>
    <row r="51440" spans="10:10" x14ac:dyDescent="0.3">
      <c r="J51440"/>
    </row>
    <row r="51441" spans="10:10" x14ac:dyDescent="0.3">
      <c r="J51441"/>
    </row>
    <row r="51442" spans="10:10" x14ac:dyDescent="0.3">
      <c r="J51442"/>
    </row>
    <row r="51443" spans="10:10" x14ac:dyDescent="0.3">
      <c r="J51443"/>
    </row>
    <row r="51444" spans="10:10" x14ac:dyDescent="0.3">
      <c r="J51444"/>
    </row>
    <row r="51445" spans="10:10" x14ac:dyDescent="0.3">
      <c r="J51445"/>
    </row>
    <row r="51446" spans="10:10" x14ac:dyDescent="0.3">
      <c r="J51446"/>
    </row>
    <row r="51447" spans="10:10" x14ac:dyDescent="0.3">
      <c r="J51447"/>
    </row>
    <row r="51448" spans="10:10" x14ac:dyDescent="0.3">
      <c r="J51448"/>
    </row>
    <row r="51449" spans="10:10" x14ac:dyDescent="0.3">
      <c r="J51449"/>
    </row>
    <row r="51450" spans="10:10" x14ac:dyDescent="0.3">
      <c r="J51450"/>
    </row>
    <row r="51451" spans="10:10" x14ac:dyDescent="0.3">
      <c r="J51451"/>
    </row>
    <row r="51452" spans="10:10" x14ac:dyDescent="0.3">
      <c r="J51452"/>
    </row>
    <row r="51453" spans="10:10" x14ac:dyDescent="0.3">
      <c r="J51453"/>
    </row>
    <row r="51454" spans="10:10" x14ac:dyDescent="0.3">
      <c r="J51454"/>
    </row>
    <row r="51455" spans="10:10" x14ac:dyDescent="0.3">
      <c r="J51455"/>
    </row>
    <row r="51456" spans="10:10" x14ac:dyDescent="0.3">
      <c r="J51456"/>
    </row>
    <row r="51457" spans="10:10" x14ac:dyDescent="0.3">
      <c r="J51457"/>
    </row>
    <row r="51458" spans="10:10" x14ac:dyDescent="0.3">
      <c r="J51458"/>
    </row>
    <row r="51459" spans="10:10" x14ac:dyDescent="0.3">
      <c r="J51459"/>
    </row>
    <row r="51460" spans="10:10" x14ac:dyDescent="0.3">
      <c r="J51460"/>
    </row>
    <row r="51461" spans="10:10" x14ac:dyDescent="0.3">
      <c r="J51461"/>
    </row>
    <row r="51462" spans="10:10" x14ac:dyDescent="0.3">
      <c r="J51462"/>
    </row>
    <row r="51463" spans="10:10" x14ac:dyDescent="0.3">
      <c r="J51463"/>
    </row>
    <row r="51464" spans="10:10" x14ac:dyDescent="0.3">
      <c r="J51464"/>
    </row>
    <row r="51465" spans="10:10" x14ac:dyDescent="0.3">
      <c r="J51465"/>
    </row>
    <row r="51466" spans="10:10" x14ac:dyDescent="0.3">
      <c r="J51466"/>
    </row>
    <row r="51467" spans="10:10" x14ac:dyDescent="0.3">
      <c r="J51467"/>
    </row>
    <row r="51468" spans="10:10" x14ac:dyDescent="0.3">
      <c r="J51468"/>
    </row>
    <row r="51469" spans="10:10" x14ac:dyDescent="0.3">
      <c r="J51469"/>
    </row>
    <row r="51470" spans="10:10" x14ac:dyDescent="0.3">
      <c r="J51470"/>
    </row>
    <row r="51471" spans="10:10" x14ac:dyDescent="0.3">
      <c r="J51471"/>
    </row>
    <row r="51472" spans="10:10" x14ac:dyDescent="0.3">
      <c r="J51472"/>
    </row>
    <row r="51473" spans="10:10" x14ac:dyDescent="0.3">
      <c r="J51473"/>
    </row>
    <row r="51474" spans="10:10" x14ac:dyDescent="0.3">
      <c r="J51474"/>
    </row>
    <row r="51475" spans="10:10" x14ac:dyDescent="0.3">
      <c r="J51475"/>
    </row>
    <row r="51476" spans="10:10" x14ac:dyDescent="0.3">
      <c r="J51476"/>
    </row>
    <row r="51477" spans="10:10" x14ac:dyDescent="0.3">
      <c r="J51477"/>
    </row>
    <row r="51478" spans="10:10" x14ac:dyDescent="0.3">
      <c r="J51478"/>
    </row>
    <row r="51479" spans="10:10" x14ac:dyDescent="0.3">
      <c r="J51479"/>
    </row>
    <row r="51480" spans="10:10" x14ac:dyDescent="0.3">
      <c r="J51480"/>
    </row>
    <row r="51481" spans="10:10" x14ac:dyDescent="0.3">
      <c r="J51481"/>
    </row>
    <row r="51482" spans="10:10" x14ac:dyDescent="0.3">
      <c r="J51482"/>
    </row>
    <row r="51483" spans="10:10" x14ac:dyDescent="0.3">
      <c r="J51483"/>
    </row>
    <row r="51484" spans="10:10" x14ac:dyDescent="0.3">
      <c r="J51484"/>
    </row>
    <row r="51485" spans="10:10" x14ac:dyDescent="0.3">
      <c r="J51485"/>
    </row>
    <row r="51486" spans="10:10" x14ac:dyDescent="0.3">
      <c r="J51486"/>
    </row>
    <row r="51487" spans="10:10" x14ac:dyDescent="0.3">
      <c r="J51487"/>
    </row>
    <row r="51488" spans="10:10" x14ac:dyDescent="0.3">
      <c r="J51488"/>
    </row>
    <row r="51489" spans="10:10" x14ac:dyDescent="0.3">
      <c r="J51489"/>
    </row>
    <row r="51490" spans="10:10" x14ac:dyDescent="0.3">
      <c r="J51490"/>
    </row>
    <row r="51491" spans="10:10" x14ac:dyDescent="0.3">
      <c r="J51491"/>
    </row>
    <row r="51492" spans="10:10" x14ac:dyDescent="0.3">
      <c r="J51492"/>
    </row>
    <row r="51493" spans="10:10" x14ac:dyDescent="0.3">
      <c r="J51493"/>
    </row>
    <row r="51494" spans="10:10" x14ac:dyDescent="0.3">
      <c r="J51494"/>
    </row>
    <row r="51495" spans="10:10" x14ac:dyDescent="0.3">
      <c r="J51495"/>
    </row>
    <row r="51496" spans="10:10" x14ac:dyDescent="0.3">
      <c r="J51496"/>
    </row>
    <row r="51497" spans="10:10" x14ac:dyDescent="0.3">
      <c r="J51497"/>
    </row>
    <row r="51498" spans="10:10" x14ac:dyDescent="0.3">
      <c r="J51498"/>
    </row>
    <row r="51499" spans="10:10" x14ac:dyDescent="0.3">
      <c r="J51499"/>
    </row>
    <row r="51500" spans="10:10" x14ac:dyDescent="0.3">
      <c r="J51500"/>
    </row>
    <row r="51501" spans="10:10" x14ac:dyDescent="0.3">
      <c r="J51501"/>
    </row>
    <row r="51502" spans="10:10" x14ac:dyDescent="0.3">
      <c r="J51502"/>
    </row>
    <row r="51503" spans="10:10" x14ac:dyDescent="0.3">
      <c r="J51503"/>
    </row>
    <row r="51504" spans="10:10" x14ac:dyDescent="0.3">
      <c r="J51504"/>
    </row>
    <row r="51505" spans="10:10" x14ac:dyDescent="0.3">
      <c r="J51505"/>
    </row>
    <row r="51506" spans="10:10" x14ac:dyDescent="0.3">
      <c r="J51506"/>
    </row>
    <row r="51507" spans="10:10" x14ac:dyDescent="0.3">
      <c r="J51507"/>
    </row>
    <row r="51508" spans="10:10" x14ac:dyDescent="0.3">
      <c r="J51508"/>
    </row>
    <row r="51509" spans="10:10" x14ac:dyDescent="0.3">
      <c r="J51509"/>
    </row>
    <row r="51510" spans="10:10" x14ac:dyDescent="0.3">
      <c r="J51510"/>
    </row>
    <row r="51511" spans="10:10" x14ac:dyDescent="0.3">
      <c r="J51511"/>
    </row>
    <row r="51512" spans="10:10" x14ac:dyDescent="0.3">
      <c r="J51512"/>
    </row>
    <row r="51513" spans="10:10" x14ac:dyDescent="0.3">
      <c r="J51513"/>
    </row>
    <row r="51514" spans="10:10" x14ac:dyDescent="0.3">
      <c r="J51514"/>
    </row>
    <row r="51515" spans="10:10" x14ac:dyDescent="0.3">
      <c r="J51515"/>
    </row>
    <row r="51516" spans="10:10" x14ac:dyDescent="0.3">
      <c r="J51516"/>
    </row>
    <row r="51517" spans="10:10" x14ac:dyDescent="0.3">
      <c r="J51517"/>
    </row>
    <row r="51518" spans="10:10" x14ac:dyDescent="0.3">
      <c r="J51518"/>
    </row>
    <row r="51519" spans="10:10" x14ac:dyDescent="0.3">
      <c r="J51519"/>
    </row>
    <row r="51520" spans="10:10" x14ac:dyDescent="0.3">
      <c r="J51520"/>
    </row>
    <row r="51521" spans="10:10" x14ac:dyDescent="0.3">
      <c r="J51521"/>
    </row>
    <row r="51522" spans="10:10" x14ac:dyDescent="0.3">
      <c r="J51522"/>
    </row>
    <row r="51523" spans="10:10" x14ac:dyDescent="0.3">
      <c r="J51523"/>
    </row>
    <row r="51524" spans="10:10" x14ac:dyDescent="0.3">
      <c r="J51524"/>
    </row>
    <row r="51525" spans="10:10" x14ac:dyDescent="0.3">
      <c r="J51525"/>
    </row>
    <row r="51526" spans="10:10" x14ac:dyDescent="0.3">
      <c r="J51526"/>
    </row>
    <row r="51527" spans="10:10" x14ac:dyDescent="0.3">
      <c r="J51527"/>
    </row>
    <row r="51528" spans="10:10" x14ac:dyDescent="0.3">
      <c r="J51528"/>
    </row>
    <row r="51529" spans="10:10" x14ac:dyDescent="0.3">
      <c r="J51529"/>
    </row>
    <row r="51530" spans="10:10" x14ac:dyDescent="0.3">
      <c r="J51530"/>
    </row>
    <row r="51531" spans="10:10" x14ac:dyDescent="0.3">
      <c r="J51531"/>
    </row>
    <row r="51532" spans="10:10" x14ac:dyDescent="0.3">
      <c r="J51532"/>
    </row>
    <row r="51533" spans="10:10" x14ac:dyDescent="0.3">
      <c r="J51533"/>
    </row>
    <row r="51534" spans="10:10" x14ac:dyDescent="0.3">
      <c r="J51534"/>
    </row>
    <row r="51535" spans="10:10" x14ac:dyDescent="0.3">
      <c r="J51535"/>
    </row>
    <row r="51536" spans="10:10" x14ac:dyDescent="0.3">
      <c r="J51536"/>
    </row>
    <row r="51537" spans="10:10" x14ac:dyDescent="0.3">
      <c r="J51537"/>
    </row>
    <row r="51538" spans="10:10" x14ac:dyDescent="0.3">
      <c r="J51538"/>
    </row>
    <row r="51539" spans="10:10" x14ac:dyDescent="0.3">
      <c r="J51539"/>
    </row>
    <row r="51540" spans="10:10" x14ac:dyDescent="0.3">
      <c r="J51540"/>
    </row>
    <row r="51541" spans="10:10" x14ac:dyDescent="0.3">
      <c r="J51541"/>
    </row>
    <row r="51542" spans="10:10" x14ac:dyDescent="0.3">
      <c r="J51542"/>
    </row>
    <row r="51543" spans="10:10" x14ac:dyDescent="0.3">
      <c r="J51543"/>
    </row>
    <row r="51544" spans="10:10" x14ac:dyDescent="0.3">
      <c r="J51544"/>
    </row>
    <row r="51545" spans="10:10" x14ac:dyDescent="0.3">
      <c r="J51545"/>
    </row>
    <row r="51546" spans="10:10" x14ac:dyDescent="0.3">
      <c r="J51546"/>
    </row>
    <row r="51547" spans="10:10" x14ac:dyDescent="0.3">
      <c r="J51547"/>
    </row>
    <row r="51548" spans="10:10" x14ac:dyDescent="0.3">
      <c r="J51548"/>
    </row>
    <row r="51549" spans="10:10" x14ac:dyDescent="0.3">
      <c r="J51549"/>
    </row>
    <row r="51550" spans="10:10" x14ac:dyDescent="0.3">
      <c r="J51550"/>
    </row>
    <row r="51551" spans="10:10" x14ac:dyDescent="0.3">
      <c r="J51551"/>
    </row>
    <row r="51552" spans="10:10" x14ac:dyDescent="0.3">
      <c r="J51552"/>
    </row>
    <row r="51553" spans="10:10" x14ac:dyDescent="0.3">
      <c r="J51553"/>
    </row>
    <row r="51554" spans="10:10" x14ac:dyDescent="0.3">
      <c r="J51554"/>
    </row>
    <row r="51555" spans="10:10" x14ac:dyDescent="0.3">
      <c r="J51555"/>
    </row>
    <row r="51556" spans="10:10" x14ac:dyDescent="0.3">
      <c r="J51556"/>
    </row>
    <row r="51557" spans="10:10" x14ac:dyDescent="0.3">
      <c r="J51557"/>
    </row>
    <row r="51558" spans="10:10" x14ac:dyDescent="0.3">
      <c r="J51558"/>
    </row>
    <row r="51559" spans="10:10" x14ac:dyDescent="0.3">
      <c r="J51559"/>
    </row>
    <row r="51560" spans="10:10" x14ac:dyDescent="0.3">
      <c r="J51560"/>
    </row>
    <row r="51561" spans="10:10" x14ac:dyDescent="0.3">
      <c r="J51561"/>
    </row>
    <row r="51562" spans="10:10" x14ac:dyDescent="0.3">
      <c r="J51562"/>
    </row>
    <row r="51563" spans="10:10" x14ac:dyDescent="0.3">
      <c r="J51563"/>
    </row>
    <row r="51564" spans="10:10" x14ac:dyDescent="0.3">
      <c r="J51564"/>
    </row>
    <row r="51565" spans="10:10" x14ac:dyDescent="0.3">
      <c r="J51565"/>
    </row>
    <row r="51566" spans="10:10" x14ac:dyDescent="0.3">
      <c r="J51566"/>
    </row>
    <row r="51567" spans="10:10" x14ac:dyDescent="0.3">
      <c r="J51567"/>
    </row>
    <row r="51568" spans="10:10" x14ac:dyDescent="0.3">
      <c r="J51568"/>
    </row>
    <row r="51569" spans="10:10" x14ac:dyDescent="0.3">
      <c r="J51569"/>
    </row>
    <row r="51570" spans="10:10" x14ac:dyDescent="0.3">
      <c r="J51570"/>
    </row>
    <row r="51571" spans="10:10" x14ac:dyDescent="0.3">
      <c r="J51571"/>
    </row>
    <row r="51572" spans="10:10" x14ac:dyDescent="0.3">
      <c r="J51572"/>
    </row>
    <row r="51573" spans="10:10" x14ac:dyDescent="0.3">
      <c r="J51573"/>
    </row>
    <row r="51574" spans="10:10" x14ac:dyDescent="0.3">
      <c r="J51574"/>
    </row>
    <row r="51575" spans="10:10" x14ac:dyDescent="0.3">
      <c r="J51575"/>
    </row>
    <row r="51576" spans="10:10" x14ac:dyDescent="0.3">
      <c r="J51576"/>
    </row>
    <row r="51577" spans="10:10" x14ac:dyDescent="0.3">
      <c r="J51577"/>
    </row>
    <row r="51578" spans="10:10" x14ac:dyDescent="0.3">
      <c r="J51578"/>
    </row>
    <row r="51579" spans="10:10" x14ac:dyDescent="0.3">
      <c r="J51579"/>
    </row>
    <row r="51580" spans="10:10" x14ac:dyDescent="0.3">
      <c r="J51580"/>
    </row>
    <row r="51581" spans="10:10" x14ac:dyDescent="0.3">
      <c r="J51581"/>
    </row>
    <row r="51582" spans="10:10" x14ac:dyDescent="0.3">
      <c r="J51582"/>
    </row>
    <row r="51583" spans="10:10" x14ac:dyDescent="0.3">
      <c r="J51583"/>
    </row>
    <row r="51584" spans="10:10" x14ac:dyDescent="0.3">
      <c r="J51584"/>
    </row>
    <row r="51585" spans="10:10" x14ac:dyDescent="0.3">
      <c r="J51585"/>
    </row>
    <row r="51586" spans="10:10" x14ac:dyDescent="0.3">
      <c r="J51586"/>
    </row>
    <row r="51587" spans="10:10" x14ac:dyDescent="0.3">
      <c r="J51587"/>
    </row>
    <row r="51588" spans="10:10" x14ac:dyDescent="0.3">
      <c r="J51588"/>
    </row>
    <row r="51589" spans="10:10" x14ac:dyDescent="0.3">
      <c r="J51589"/>
    </row>
    <row r="51590" spans="10:10" x14ac:dyDescent="0.3">
      <c r="J51590"/>
    </row>
    <row r="51591" spans="10:10" x14ac:dyDescent="0.3">
      <c r="J51591"/>
    </row>
    <row r="51592" spans="10:10" x14ac:dyDescent="0.3">
      <c r="J51592"/>
    </row>
    <row r="51593" spans="10:10" x14ac:dyDescent="0.3">
      <c r="J51593"/>
    </row>
    <row r="51594" spans="10:10" x14ac:dyDescent="0.3">
      <c r="J51594"/>
    </row>
    <row r="51595" spans="10:10" x14ac:dyDescent="0.3">
      <c r="J51595"/>
    </row>
    <row r="51596" spans="10:10" x14ac:dyDescent="0.3">
      <c r="J51596"/>
    </row>
    <row r="51597" spans="10:10" x14ac:dyDescent="0.3">
      <c r="J51597"/>
    </row>
    <row r="51598" spans="10:10" x14ac:dyDescent="0.3">
      <c r="J51598"/>
    </row>
    <row r="51599" spans="10:10" x14ac:dyDescent="0.3">
      <c r="J51599"/>
    </row>
    <row r="51600" spans="10:10" x14ac:dyDescent="0.3">
      <c r="J51600"/>
    </row>
    <row r="51601" spans="10:10" x14ac:dyDescent="0.3">
      <c r="J51601"/>
    </row>
    <row r="51602" spans="10:10" x14ac:dyDescent="0.3">
      <c r="J51602"/>
    </row>
    <row r="51603" spans="10:10" x14ac:dyDescent="0.3">
      <c r="J51603"/>
    </row>
    <row r="51604" spans="10:10" x14ac:dyDescent="0.3">
      <c r="J51604"/>
    </row>
    <row r="51605" spans="10:10" x14ac:dyDescent="0.3">
      <c r="J51605"/>
    </row>
    <row r="51606" spans="10:10" x14ac:dyDescent="0.3">
      <c r="J51606"/>
    </row>
    <row r="51607" spans="10:10" x14ac:dyDescent="0.3">
      <c r="J51607"/>
    </row>
    <row r="51608" spans="10:10" x14ac:dyDescent="0.3">
      <c r="J51608"/>
    </row>
    <row r="51609" spans="10:10" x14ac:dyDescent="0.3">
      <c r="J51609"/>
    </row>
    <row r="51610" spans="10:10" x14ac:dyDescent="0.3">
      <c r="J51610"/>
    </row>
    <row r="51611" spans="10:10" x14ac:dyDescent="0.3">
      <c r="J51611"/>
    </row>
    <row r="51612" spans="10:10" x14ac:dyDescent="0.3">
      <c r="J51612"/>
    </row>
    <row r="51613" spans="10:10" x14ac:dyDescent="0.3">
      <c r="J51613"/>
    </row>
    <row r="51614" spans="10:10" x14ac:dyDescent="0.3">
      <c r="J51614"/>
    </row>
    <row r="51615" spans="10:10" x14ac:dyDescent="0.3">
      <c r="J51615"/>
    </row>
    <row r="51616" spans="10:10" x14ac:dyDescent="0.3">
      <c r="J51616"/>
    </row>
    <row r="51617" spans="10:10" x14ac:dyDescent="0.3">
      <c r="J51617"/>
    </row>
    <row r="51618" spans="10:10" x14ac:dyDescent="0.3">
      <c r="J51618"/>
    </row>
    <row r="51619" spans="10:10" x14ac:dyDescent="0.3">
      <c r="J51619"/>
    </row>
    <row r="51620" spans="10:10" x14ac:dyDescent="0.3">
      <c r="J51620"/>
    </row>
    <row r="51621" spans="10:10" x14ac:dyDescent="0.3">
      <c r="J51621"/>
    </row>
    <row r="51622" spans="10:10" x14ac:dyDescent="0.3">
      <c r="J51622"/>
    </row>
    <row r="51623" spans="10:10" x14ac:dyDescent="0.3">
      <c r="J51623"/>
    </row>
    <row r="51624" spans="10:10" x14ac:dyDescent="0.3">
      <c r="J51624"/>
    </row>
    <row r="51625" spans="10:10" x14ac:dyDescent="0.3">
      <c r="J51625"/>
    </row>
    <row r="51626" spans="10:10" x14ac:dyDescent="0.3">
      <c r="J51626"/>
    </row>
    <row r="51627" spans="10:10" x14ac:dyDescent="0.3">
      <c r="J51627"/>
    </row>
    <row r="51628" spans="10:10" x14ac:dyDescent="0.3">
      <c r="J51628"/>
    </row>
    <row r="51629" spans="10:10" x14ac:dyDescent="0.3">
      <c r="J51629"/>
    </row>
    <row r="51630" spans="10:10" x14ac:dyDescent="0.3">
      <c r="J51630"/>
    </row>
    <row r="51631" spans="10:10" x14ac:dyDescent="0.3">
      <c r="J51631"/>
    </row>
    <row r="51632" spans="10:10" x14ac:dyDescent="0.3">
      <c r="J51632"/>
    </row>
    <row r="51633" spans="10:10" x14ac:dyDescent="0.3">
      <c r="J51633"/>
    </row>
    <row r="51634" spans="10:10" x14ac:dyDescent="0.3">
      <c r="J51634"/>
    </row>
    <row r="51635" spans="10:10" x14ac:dyDescent="0.3">
      <c r="J51635"/>
    </row>
    <row r="51636" spans="10:10" x14ac:dyDescent="0.3">
      <c r="J51636"/>
    </row>
    <row r="51637" spans="10:10" x14ac:dyDescent="0.3">
      <c r="J51637"/>
    </row>
    <row r="51638" spans="10:10" x14ac:dyDescent="0.3">
      <c r="J51638"/>
    </row>
    <row r="51639" spans="10:10" x14ac:dyDescent="0.3">
      <c r="J51639"/>
    </row>
    <row r="51640" spans="10:10" x14ac:dyDescent="0.3">
      <c r="J51640"/>
    </row>
    <row r="51641" spans="10:10" x14ac:dyDescent="0.3">
      <c r="J51641"/>
    </row>
    <row r="51642" spans="10:10" x14ac:dyDescent="0.3">
      <c r="J51642"/>
    </row>
    <row r="51643" spans="10:10" x14ac:dyDescent="0.3">
      <c r="J51643"/>
    </row>
    <row r="51644" spans="10:10" x14ac:dyDescent="0.3">
      <c r="J51644"/>
    </row>
    <row r="51645" spans="10:10" x14ac:dyDescent="0.3">
      <c r="J51645"/>
    </row>
    <row r="51646" spans="10:10" x14ac:dyDescent="0.3">
      <c r="J51646"/>
    </row>
    <row r="51647" spans="10:10" x14ac:dyDescent="0.3">
      <c r="J51647"/>
    </row>
    <row r="51648" spans="10:10" x14ac:dyDescent="0.3">
      <c r="J51648"/>
    </row>
    <row r="51649" spans="10:10" x14ac:dyDescent="0.3">
      <c r="J51649"/>
    </row>
    <row r="51650" spans="10:10" x14ac:dyDescent="0.3">
      <c r="J51650"/>
    </row>
    <row r="51651" spans="10:10" x14ac:dyDescent="0.3">
      <c r="J51651"/>
    </row>
    <row r="51652" spans="10:10" x14ac:dyDescent="0.3">
      <c r="J51652"/>
    </row>
    <row r="51653" spans="10:10" x14ac:dyDescent="0.3">
      <c r="J51653"/>
    </row>
    <row r="51654" spans="10:10" x14ac:dyDescent="0.3">
      <c r="J51654"/>
    </row>
    <row r="51655" spans="10:10" x14ac:dyDescent="0.3">
      <c r="J51655"/>
    </row>
    <row r="51656" spans="10:10" x14ac:dyDescent="0.3">
      <c r="J51656"/>
    </row>
    <row r="51657" spans="10:10" x14ac:dyDescent="0.3">
      <c r="J51657"/>
    </row>
    <row r="51658" spans="10:10" x14ac:dyDescent="0.3">
      <c r="J51658"/>
    </row>
    <row r="51659" spans="10:10" x14ac:dyDescent="0.3">
      <c r="J51659"/>
    </row>
    <row r="51660" spans="10:10" x14ac:dyDescent="0.3">
      <c r="J51660"/>
    </row>
    <row r="51661" spans="10:10" x14ac:dyDescent="0.3">
      <c r="J51661"/>
    </row>
    <row r="51662" spans="10:10" x14ac:dyDescent="0.3">
      <c r="J51662"/>
    </row>
    <row r="51663" spans="10:10" x14ac:dyDescent="0.3">
      <c r="J51663"/>
    </row>
    <row r="51664" spans="10:10" x14ac:dyDescent="0.3">
      <c r="J51664"/>
    </row>
    <row r="51665" spans="10:10" x14ac:dyDescent="0.3">
      <c r="J51665"/>
    </row>
    <row r="51666" spans="10:10" x14ac:dyDescent="0.3">
      <c r="J51666"/>
    </row>
    <row r="51667" spans="10:10" x14ac:dyDescent="0.3">
      <c r="J51667"/>
    </row>
    <row r="51668" spans="10:10" x14ac:dyDescent="0.3">
      <c r="J51668"/>
    </row>
    <row r="51669" spans="10:10" x14ac:dyDescent="0.3">
      <c r="J51669"/>
    </row>
    <row r="51670" spans="10:10" x14ac:dyDescent="0.3">
      <c r="J51670"/>
    </row>
    <row r="51671" spans="10:10" x14ac:dyDescent="0.3">
      <c r="J51671"/>
    </row>
    <row r="51672" spans="10:10" x14ac:dyDescent="0.3">
      <c r="J51672"/>
    </row>
    <row r="51673" spans="10:10" x14ac:dyDescent="0.3">
      <c r="J51673"/>
    </row>
    <row r="51674" spans="10:10" x14ac:dyDescent="0.3">
      <c r="J51674"/>
    </row>
    <row r="51675" spans="10:10" x14ac:dyDescent="0.3">
      <c r="J51675"/>
    </row>
    <row r="51676" spans="10:10" x14ac:dyDescent="0.3">
      <c r="J51676"/>
    </row>
    <row r="51677" spans="10:10" x14ac:dyDescent="0.3">
      <c r="J51677"/>
    </row>
    <row r="51678" spans="10:10" x14ac:dyDescent="0.3">
      <c r="J51678"/>
    </row>
    <row r="51679" spans="10:10" x14ac:dyDescent="0.3">
      <c r="J51679"/>
    </row>
    <row r="51680" spans="10:10" x14ac:dyDescent="0.3">
      <c r="J51680"/>
    </row>
    <row r="51681" spans="10:10" x14ac:dyDescent="0.3">
      <c r="J51681"/>
    </row>
    <row r="51682" spans="10:10" x14ac:dyDescent="0.3">
      <c r="J51682"/>
    </row>
    <row r="51683" spans="10:10" x14ac:dyDescent="0.3">
      <c r="J51683"/>
    </row>
    <row r="51684" spans="10:10" x14ac:dyDescent="0.3">
      <c r="J51684"/>
    </row>
    <row r="51685" spans="10:10" x14ac:dyDescent="0.3">
      <c r="J51685"/>
    </row>
    <row r="51686" spans="10:10" x14ac:dyDescent="0.3">
      <c r="J51686"/>
    </row>
    <row r="51687" spans="10:10" x14ac:dyDescent="0.3">
      <c r="J51687"/>
    </row>
    <row r="51688" spans="10:10" x14ac:dyDescent="0.3">
      <c r="J51688"/>
    </row>
    <row r="51689" spans="10:10" x14ac:dyDescent="0.3">
      <c r="J51689"/>
    </row>
    <row r="51690" spans="10:10" x14ac:dyDescent="0.3">
      <c r="J51690"/>
    </row>
    <row r="51691" spans="10:10" x14ac:dyDescent="0.3">
      <c r="J51691"/>
    </row>
    <row r="51692" spans="10:10" x14ac:dyDescent="0.3">
      <c r="J51692"/>
    </row>
    <row r="51693" spans="10:10" x14ac:dyDescent="0.3">
      <c r="J51693"/>
    </row>
    <row r="51694" spans="10:10" x14ac:dyDescent="0.3">
      <c r="J51694"/>
    </row>
    <row r="51695" spans="10:10" x14ac:dyDescent="0.3">
      <c r="J51695"/>
    </row>
    <row r="51696" spans="10:10" x14ac:dyDescent="0.3">
      <c r="J51696"/>
    </row>
    <row r="51697" spans="10:10" x14ac:dyDescent="0.3">
      <c r="J51697"/>
    </row>
    <row r="51698" spans="10:10" x14ac:dyDescent="0.3">
      <c r="J51698"/>
    </row>
    <row r="51699" spans="10:10" x14ac:dyDescent="0.3">
      <c r="J51699"/>
    </row>
    <row r="51700" spans="10:10" x14ac:dyDescent="0.3">
      <c r="J51700"/>
    </row>
    <row r="51701" spans="10:10" x14ac:dyDescent="0.3">
      <c r="J51701"/>
    </row>
    <row r="51702" spans="10:10" x14ac:dyDescent="0.3">
      <c r="J51702"/>
    </row>
    <row r="51703" spans="10:10" x14ac:dyDescent="0.3">
      <c r="J51703"/>
    </row>
    <row r="51704" spans="10:10" x14ac:dyDescent="0.3">
      <c r="J51704"/>
    </row>
    <row r="51705" spans="10:10" x14ac:dyDescent="0.3">
      <c r="J51705"/>
    </row>
    <row r="51706" spans="10:10" x14ac:dyDescent="0.3">
      <c r="J51706"/>
    </row>
    <row r="51707" spans="10:10" x14ac:dyDescent="0.3">
      <c r="J51707"/>
    </row>
    <row r="51708" spans="10:10" x14ac:dyDescent="0.3">
      <c r="J51708"/>
    </row>
    <row r="51709" spans="10:10" x14ac:dyDescent="0.3">
      <c r="J51709"/>
    </row>
    <row r="51710" spans="10:10" x14ac:dyDescent="0.3">
      <c r="J51710"/>
    </row>
    <row r="51711" spans="10:10" x14ac:dyDescent="0.3">
      <c r="J51711"/>
    </row>
    <row r="51712" spans="10:10" x14ac:dyDescent="0.3">
      <c r="J51712"/>
    </row>
    <row r="51713" spans="10:10" x14ac:dyDescent="0.3">
      <c r="J51713"/>
    </row>
    <row r="51714" spans="10:10" x14ac:dyDescent="0.3">
      <c r="J51714"/>
    </row>
    <row r="51715" spans="10:10" x14ac:dyDescent="0.3">
      <c r="J51715"/>
    </row>
    <row r="51716" spans="10:10" x14ac:dyDescent="0.3">
      <c r="J51716"/>
    </row>
    <row r="51717" spans="10:10" x14ac:dyDescent="0.3">
      <c r="J51717"/>
    </row>
    <row r="51718" spans="10:10" x14ac:dyDescent="0.3">
      <c r="J51718"/>
    </row>
    <row r="51719" spans="10:10" x14ac:dyDescent="0.3">
      <c r="J51719"/>
    </row>
    <row r="51720" spans="10:10" x14ac:dyDescent="0.3">
      <c r="J51720"/>
    </row>
    <row r="51721" spans="10:10" x14ac:dyDescent="0.3">
      <c r="J51721"/>
    </row>
    <row r="51722" spans="10:10" x14ac:dyDescent="0.3">
      <c r="J51722"/>
    </row>
    <row r="51723" spans="10:10" x14ac:dyDescent="0.3">
      <c r="J51723"/>
    </row>
    <row r="51724" spans="10:10" x14ac:dyDescent="0.3">
      <c r="J51724"/>
    </row>
    <row r="51725" spans="10:10" x14ac:dyDescent="0.3">
      <c r="J51725"/>
    </row>
    <row r="51726" spans="10:10" x14ac:dyDescent="0.3">
      <c r="J51726"/>
    </row>
    <row r="51727" spans="10:10" x14ac:dyDescent="0.3">
      <c r="J51727"/>
    </row>
    <row r="51728" spans="10:10" x14ac:dyDescent="0.3">
      <c r="J51728"/>
    </row>
    <row r="51729" spans="10:10" x14ac:dyDescent="0.3">
      <c r="J51729"/>
    </row>
    <row r="51730" spans="10:10" x14ac:dyDescent="0.3">
      <c r="J51730"/>
    </row>
    <row r="51731" spans="10:10" x14ac:dyDescent="0.3">
      <c r="J51731"/>
    </row>
    <row r="51732" spans="10:10" x14ac:dyDescent="0.3">
      <c r="J51732"/>
    </row>
    <row r="51733" spans="10:10" x14ac:dyDescent="0.3">
      <c r="J51733"/>
    </row>
    <row r="51734" spans="10:10" x14ac:dyDescent="0.3">
      <c r="J51734"/>
    </row>
    <row r="51735" spans="10:10" x14ac:dyDescent="0.3">
      <c r="J51735"/>
    </row>
    <row r="51736" spans="10:10" x14ac:dyDescent="0.3">
      <c r="J51736"/>
    </row>
    <row r="51737" spans="10:10" x14ac:dyDescent="0.3">
      <c r="J51737"/>
    </row>
    <row r="51738" spans="10:10" x14ac:dyDescent="0.3">
      <c r="J51738"/>
    </row>
    <row r="51739" spans="10:10" x14ac:dyDescent="0.3">
      <c r="J51739"/>
    </row>
    <row r="51740" spans="10:10" x14ac:dyDescent="0.3">
      <c r="J51740"/>
    </row>
    <row r="51741" spans="10:10" x14ac:dyDescent="0.3">
      <c r="J51741"/>
    </row>
    <row r="51742" spans="10:10" x14ac:dyDescent="0.3">
      <c r="J51742"/>
    </row>
    <row r="51743" spans="10:10" x14ac:dyDescent="0.3">
      <c r="J51743"/>
    </row>
    <row r="51744" spans="10:10" x14ac:dyDescent="0.3">
      <c r="J51744"/>
    </row>
    <row r="51745" spans="10:10" x14ac:dyDescent="0.3">
      <c r="J51745"/>
    </row>
    <row r="51746" spans="10:10" x14ac:dyDescent="0.3">
      <c r="J51746"/>
    </row>
    <row r="51747" spans="10:10" x14ac:dyDescent="0.3">
      <c r="J51747"/>
    </row>
    <row r="51748" spans="10:10" x14ac:dyDescent="0.3">
      <c r="J51748"/>
    </row>
    <row r="51749" spans="10:10" x14ac:dyDescent="0.3">
      <c r="J51749"/>
    </row>
    <row r="51750" spans="10:10" x14ac:dyDescent="0.3">
      <c r="J51750"/>
    </row>
    <row r="51751" spans="10:10" x14ac:dyDescent="0.3">
      <c r="J51751"/>
    </row>
    <row r="51752" spans="10:10" x14ac:dyDescent="0.3">
      <c r="J51752"/>
    </row>
    <row r="51753" spans="10:10" x14ac:dyDescent="0.3">
      <c r="J51753"/>
    </row>
    <row r="51754" spans="10:10" x14ac:dyDescent="0.3">
      <c r="J51754"/>
    </row>
    <row r="51755" spans="10:10" x14ac:dyDescent="0.3">
      <c r="J51755"/>
    </row>
    <row r="51756" spans="10:10" x14ac:dyDescent="0.3">
      <c r="J51756"/>
    </row>
    <row r="51757" spans="10:10" x14ac:dyDescent="0.3">
      <c r="J51757"/>
    </row>
    <row r="51758" spans="10:10" x14ac:dyDescent="0.3">
      <c r="J51758"/>
    </row>
    <row r="51759" spans="10:10" x14ac:dyDescent="0.3">
      <c r="J51759"/>
    </row>
    <row r="51760" spans="10:10" x14ac:dyDescent="0.3">
      <c r="J51760"/>
    </row>
    <row r="51761" spans="10:10" x14ac:dyDescent="0.3">
      <c r="J51761"/>
    </row>
    <row r="51762" spans="10:10" x14ac:dyDescent="0.3">
      <c r="J51762"/>
    </row>
    <row r="51763" spans="10:10" x14ac:dyDescent="0.3">
      <c r="J51763"/>
    </row>
    <row r="51764" spans="10:10" x14ac:dyDescent="0.3">
      <c r="J51764"/>
    </row>
    <row r="51765" spans="10:10" x14ac:dyDescent="0.3">
      <c r="J51765"/>
    </row>
    <row r="51766" spans="10:10" x14ac:dyDescent="0.3">
      <c r="J51766"/>
    </row>
    <row r="51767" spans="10:10" x14ac:dyDescent="0.3">
      <c r="J51767"/>
    </row>
    <row r="51768" spans="10:10" x14ac:dyDescent="0.3">
      <c r="J51768"/>
    </row>
    <row r="51769" spans="10:10" x14ac:dyDescent="0.3">
      <c r="J51769"/>
    </row>
    <row r="51770" spans="10:10" x14ac:dyDescent="0.3">
      <c r="J51770"/>
    </row>
    <row r="51771" spans="10:10" x14ac:dyDescent="0.3">
      <c r="J51771"/>
    </row>
    <row r="51772" spans="10:10" x14ac:dyDescent="0.3">
      <c r="J51772"/>
    </row>
    <row r="51773" spans="10:10" x14ac:dyDescent="0.3">
      <c r="J51773"/>
    </row>
    <row r="51774" spans="10:10" x14ac:dyDescent="0.3">
      <c r="J51774"/>
    </row>
    <row r="51775" spans="10:10" x14ac:dyDescent="0.3">
      <c r="J51775"/>
    </row>
    <row r="51776" spans="10:10" x14ac:dyDescent="0.3">
      <c r="J51776"/>
    </row>
    <row r="51777" spans="10:10" x14ac:dyDescent="0.3">
      <c r="J51777"/>
    </row>
    <row r="51778" spans="10:10" x14ac:dyDescent="0.3">
      <c r="J51778"/>
    </row>
    <row r="51779" spans="10:10" x14ac:dyDescent="0.3">
      <c r="J51779"/>
    </row>
    <row r="51780" spans="10:10" x14ac:dyDescent="0.3">
      <c r="J51780"/>
    </row>
    <row r="51781" spans="10:10" x14ac:dyDescent="0.3">
      <c r="J51781"/>
    </row>
    <row r="51782" spans="10:10" x14ac:dyDescent="0.3">
      <c r="J51782"/>
    </row>
    <row r="51783" spans="10:10" x14ac:dyDescent="0.3">
      <c r="J51783"/>
    </row>
    <row r="51784" spans="10:10" x14ac:dyDescent="0.3">
      <c r="J51784"/>
    </row>
    <row r="51785" spans="10:10" x14ac:dyDescent="0.3">
      <c r="J51785"/>
    </row>
    <row r="51786" spans="10:10" x14ac:dyDescent="0.3">
      <c r="J51786"/>
    </row>
    <row r="51787" spans="10:10" x14ac:dyDescent="0.3">
      <c r="J51787"/>
    </row>
    <row r="51788" spans="10:10" x14ac:dyDescent="0.3">
      <c r="J51788"/>
    </row>
    <row r="51789" spans="10:10" x14ac:dyDescent="0.3">
      <c r="J51789"/>
    </row>
    <row r="51790" spans="10:10" x14ac:dyDescent="0.3">
      <c r="J51790"/>
    </row>
    <row r="51791" spans="10:10" x14ac:dyDescent="0.3">
      <c r="J51791"/>
    </row>
    <row r="51792" spans="10:10" x14ac:dyDescent="0.3">
      <c r="J51792"/>
    </row>
    <row r="51793" spans="10:10" x14ac:dyDescent="0.3">
      <c r="J51793"/>
    </row>
    <row r="51794" spans="10:10" x14ac:dyDescent="0.3">
      <c r="J51794"/>
    </row>
    <row r="51795" spans="10:10" x14ac:dyDescent="0.3">
      <c r="J51795"/>
    </row>
    <row r="51796" spans="10:10" x14ac:dyDescent="0.3">
      <c r="J51796"/>
    </row>
    <row r="51797" spans="10:10" x14ac:dyDescent="0.3">
      <c r="J51797"/>
    </row>
    <row r="51798" spans="10:10" x14ac:dyDescent="0.3">
      <c r="J51798"/>
    </row>
    <row r="51799" spans="10:10" x14ac:dyDescent="0.3">
      <c r="J51799"/>
    </row>
    <row r="51800" spans="10:10" x14ac:dyDescent="0.3">
      <c r="J51800"/>
    </row>
    <row r="51801" spans="10:10" x14ac:dyDescent="0.3">
      <c r="J51801"/>
    </row>
    <row r="51802" spans="10:10" x14ac:dyDescent="0.3">
      <c r="J51802"/>
    </row>
    <row r="51803" spans="10:10" x14ac:dyDescent="0.3">
      <c r="J51803"/>
    </row>
    <row r="51804" spans="10:10" x14ac:dyDescent="0.3">
      <c r="J51804"/>
    </row>
    <row r="51805" spans="10:10" x14ac:dyDescent="0.3">
      <c r="J51805"/>
    </row>
    <row r="51806" spans="10:10" x14ac:dyDescent="0.3">
      <c r="J51806"/>
    </row>
    <row r="51807" spans="10:10" x14ac:dyDescent="0.3">
      <c r="J51807"/>
    </row>
    <row r="51808" spans="10:10" x14ac:dyDescent="0.3">
      <c r="J51808"/>
    </row>
    <row r="51809" spans="10:10" x14ac:dyDescent="0.3">
      <c r="J51809"/>
    </row>
    <row r="51810" spans="10:10" x14ac:dyDescent="0.3">
      <c r="J51810"/>
    </row>
    <row r="51811" spans="10:10" x14ac:dyDescent="0.3">
      <c r="J51811"/>
    </row>
    <row r="51812" spans="10:10" x14ac:dyDescent="0.3">
      <c r="J51812"/>
    </row>
    <row r="51813" spans="10:10" x14ac:dyDescent="0.3">
      <c r="J51813"/>
    </row>
    <row r="51814" spans="10:10" x14ac:dyDescent="0.3">
      <c r="J51814"/>
    </row>
    <row r="51815" spans="10:10" x14ac:dyDescent="0.3">
      <c r="J51815"/>
    </row>
    <row r="51816" spans="10:10" x14ac:dyDescent="0.3">
      <c r="J51816"/>
    </row>
    <row r="51817" spans="10:10" x14ac:dyDescent="0.3">
      <c r="J51817"/>
    </row>
    <row r="51818" spans="10:10" x14ac:dyDescent="0.3">
      <c r="J51818"/>
    </row>
    <row r="51819" spans="10:10" x14ac:dyDescent="0.3">
      <c r="J51819"/>
    </row>
    <row r="51820" spans="10:10" x14ac:dyDescent="0.3">
      <c r="J51820"/>
    </row>
    <row r="51821" spans="10:10" x14ac:dyDescent="0.3">
      <c r="J51821"/>
    </row>
    <row r="51822" spans="10:10" x14ac:dyDescent="0.3">
      <c r="J51822"/>
    </row>
    <row r="51823" spans="10:10" x14ac:dyDescent="0.3">
      <c r="J51823"/>
    </row>
    <row r="51824" spans="10:10" x14ac:dyDescent="0.3">
      <c r="J51824"/>
    </row>
    <row r="51825" spans="10:10" x14ac:dyDescent="0.3">
      <c r="J51825"/>
    </row>
    <row r="51826" spans="10:10" x14ac:dyDescent="0.3">
      <c r="J51826"/>
    </row>
    <row r="51827" spans="10:10" x14ac:dyDescent="0.3">
      <c r="J51827"/>
    </row>
    <row r="51828" spans="10:10" x14ac:dyDescent="0.3">
      <c r="J51828"/>
    </row>
    <row r="51829" spans="10:10" x14ac:dyDescent="0.3">
      <c r="J51829"/>
    </row>
    <row r="51830" spans="10:10" x14ac:dyDescent="0.3">
      <c r="J51830"/>
    </row>
    <row r="51831" spans="10:10" x14ac:dyDescent="0.3">
      <c r="J51831"/>
    </row>
    <row r="51832" spans="10:10" x14ac:dyDescent="0.3">
      <c r="J51832"/>
    </row>
    <row r="51833" spans="10:10" x14ac:dyDescent="0.3">
      <c r="J51833"/>
    </row>
    <row r="51834" spans="10:10" x14ac:dyDescent="0.3">
      <c r="J51834"/>
    </row>
    <row r="51835" spans="10:10" x14ac:dyDescent="0.3">
      <c r="J51835"/>
    </row>
    <row r="51836" spans="10:10" x14ac:dyDescent="0.3">
      <c r="J51836"/>
    </row>
    <row r="51837" spans="10:10" x14ac:dyDescent="0.3">
      <c r="J51837"/>
    </row>
    <row r="51838" spans="10:10" x14ac:dyDescent="0.3">
      <c r="J51838"/>
    </row>
    <row r="51839" spans="10:10" x14ac:dyDescent="0.3">
      <c r="J51839"/>
    </row>
    <row r="51840" spans="10:10" x14ac:dyDescent="0.3">
      <c r="J51840"/>
    </row>
    <row r="51841" spans="10:10" x14ac:dyDescent="0.3">
      <c r="J51841"/>
    </row>
    <row r="51842" spans="10:10" x14ac:dyDescent="0.3">
      <c r="J51842"/>
    </row>
    <row r="51843" spans="10:10" x14ac:dyDescent="0.3">
      <c r="J51843"/>
    </row>
    <row r="51844" spans="10:10" x14ac:dyDescent="0.3">
      <c r="J51844"/>
    </row>
    <row r="51845" spans="10:10" x14ac:dyDescent="0.3">
      <c r="J51845"/>
    </row>
    <row r="51846" spans="10:10" x14ac:dyDescent="0.3">
      <c r="J51846"/>
    </row>
    <row r="51847" spans="10:10" x14ac:dyDescent="0.3">
      <c r="J51847"/>
    </row>
    <row r="51848" spans="10:10" x14ac:dyDescent="0.3">
      <c r="J51848"/>
    </row>
    <row r="51849" spans="10:10" x14ac:dyDescent="0.3">
      <c r="J51849"/>
    </row>
    <row r="51850" spans="10:10" x14ac:dyDescent="0.3">
      <c r="J51850"/>
    </row>
    <row r="51851" spans="10:10" x14ac:dyDescent="0.3">
      <c r="J51851"/>
    </row>
    <row r="51852" spans="10:10" x14ac:dyDescent="0.3">
      <c r="J51852"/>
    </row>
    <row r="51853" spans="10:10" x14ac:dyDescent="0.3">
      <c r="J51853"/>
    </row>
    <row r="51854" spans="10:10" x14ac:dyDescent="0.3">
      <c r="J51854"/>
    </row>
    <row r="51855" spans="10:10" x14ac:dyDescent="0.3">
      <c r="J51855"/>
    </row>
    <row r="51856" spans="10:10" x14ac:dyDescent="0.3">
      <c r="J51856"/>
    </row>
    <row r="51857" spans="10:10" x14ac:dyDescent="0.3">
      <c r="J51857"/>
    </row>
    <row r="51858" spans="10:10" x14ac:dyDescent="0.3">
      <c r="J51858"/>
    </row>
    <row r="51859" spans="10:10" x14ac:dyDescent="0.3">
      <c r="J51859"/>
    </row>
    <row r="51860" spans="10:10" x14ac:dyDescent="0.3">
      <c r="J51860"/>
    </row>
    <row r="51861" spans="10:10" x14ac:dyDescent="0.3">
      <c r="J51861"/>
    </row>
    <row r="51862" spans="10:10" x14ac:dyDescent="0.3">
      <c r="J51862"/>
    </row>
    <row r="51863" spans="10:10" x14ac:dyDescent="0.3">
      <c r="J51863"/>
    </row>
    <row r="51864" spans="10:10" x14ac:dyDescent="0.3">
      <c r="J51864"/>
    </row>
    <row r="51865" spans="10:10" x14ac:dyDescent="0.3">
      <c r="J51865"/>
    </row>
    <row r="51866" spans="10:10" x14ac:dyDescent="0.3">
      <c r="J51866"/>
    </row>
    <row r="51867" spans="10:10" x14ac:dyDescent="0.3">
      <c r="J51867"/>
    </row>
    <row r="51868" spans="10:10" x14ac:dyDescent="0.3">
      <c r="J51868"/>
    </row>
    <row r="51869" spans="10:10" x14ac:dyDescent="0.3">
      <c r="J51869"/>
    </row>
    <row r="51870" spans="10:10" x14ac:dyDescent="0.3">
      <c r="J51870"/>
    </row>
    <row r="51871" spans="10:10" x14ac:dyDescent="0.3">
      <c r="J51871"/>
    </row>
    <row r="51872" spans="10:10" x14ac:dyDescent="0.3">
      <c r="J51872"/>
    </row>
    <row r="51873" spans="10:10" x14ac:dyDescent="0.3">
      <c r="J51873"/>
    </row>
    <row r="51874" spans="10:10" x14ac:dyDescent="0.3">
      <c r="J51874"/>
    </row>
    <row r="51875" spans="10:10" x14ac:dyDescent="0.3">
      <c r="J51875"/>
    </row>
    <row r="51876" spans="10:10" x14ac:dyDescent="0.3">
      <c r="J51876"/>
    </row>
    <row r="51877" spans="10:10" x14ac:dyDescent="0.3">
      <c r="J51877"/>
    </row>
    <row r="51878" spans="10:10" x14ac:dyDescent="0.3">
      <c r="J51878"/>
    </row>
    <row r="51879" spans="10:10" x14ac:dyDescent="0.3">
      <c r="J51879"/>
    </row>
    <row r="51880" spans="10:10" x14ac:dyDescent="0.3">
      <c r="J51880"/>
    </row>
    <row r="51881" spans="10:10" x14ac:dyDescent="0.3">
      <c r="J51881"/>
    </row>
    <row r="51882" spans="10:10" x14ac:dyDescent="0.3">
      <c r="J51882"/>
    </row>
    <row r="51883" spans="10:10" x14ac:dyDescent="0.3">
      <c r="J51883"/>
    </row>
    <row r="51884" spans="10:10" x14ac:dyDescent="0.3">
      <c r="J51884"/>
    </row>
    <row r="51885" spans="10:10" x14ac:dyDescent="0.3">
      <c r="J51885"/>
    </row>
    <row r="51886" spans="10:10" x14ac:dyDescent="0.3">
      <c r="J51886"/>
    </row>
    <row r="51887" spans="10:10" x14ac:dyDescent="0.3">
      <c r="J51887"/>
    </row>
    <row r="51888" spans="10:10" x14ac:dyDescent="0.3">
      <c r="J51888"/>
    </row>
    <row r="51889" spans="10:10" x14ac:dyDescent="0.3">
      <c r="J51889"/>
    </row>
    <row r="51890" spans="10:10" x14ac:dyDescent="0.3">
      <c r="J51890"/>
    </row>
    <row r="51891" spans="10:10" x14ac:dyDescent="0.3">
      <c r="J51891"/>
    </row>
    <row r="51892" spans="10:10" x14ac:dyDescent="0.3">
      <c r="J51892"/>
    </row>
    <row r="51893" spans="10:10" x14ac:dyDescent="0.3">
      <c r="J51893"/>
    </row>
    <row r="51894" spans="10:10" x14ac:dyDescent="0.3">
      <c r="J51894"/>
    </row>
    <row r="51895" spans="10:10" x14ac:dyDescent="0.3">
      <c r="J51895"/>
    </row>
    <row r="51896" spans="10:10" x14ac:dyDescent="0.3">
      <c r="J51896"/>
    </row>
    <row r="51897" spans="10:10" x14ac:dyDescent="0.3">
      <c r="J51897"/>
    </row>
    <row r="51898" spans="10:10" x14ac:dyDescent="0.3">
      <c r="J51898"/>
    </row>
    <row r="51899" spans="10:10" x14ac:dyDescent="0.3">
      <c r="J51899"/>
    </row>
    <row r="51900" spans="10:10" x14ac:dyDescent="0.3">
      <c r="J51900"/>
    </row>
    <row r="51901" spans="10:10" x14ac:dyDescent="0.3">
      <c r="J51901"/>
    </row>
    <row r="51902" spans="10:10" x14ac:dyDescent="0.3">
      <c r="J51902"/>
    </row>
    <row r="51903" spans="10:10" x14ac:dyDescent="0.3">
      <c r="J51903"/>
    </row>
    <row r="51904" spans="10:10" x14ac:dyDescent="0.3">
      <c r="J51904"/>
    </row>
    <row r="51905" spans="10:10" x14ac:dyDescent="0.3">
      <c r="J51905"/>
    </row>
    <row r="51906" spans="10:10" x14ac:dyDescent="0.3">
      <c r="J51906"/>
    </row>
    <row r="51907" spans="10:10" x14ac:dyDescent="0.3">
      <c r="J51907"/>
    </row>
    <row r="51908" spans="10:10" x14ac:dyDescent="0.3">
      <c r="J51908"/>
    </row>
    <row r="51909" spans="10:10" x14ac:dyDescent="0.3">
      <c r="J51909"/>
    </row>
    <row r="51910" spans="10:10" x14ac:dyDescent="0.3">
      <c r="J51910"/>
    </row>
    <row r="51911" spans="10:10" x14ac:dyDescent="0.3">
      <c r="J51911"/>
    </row>
    <row r="51912" spans="10:10" x14ac:dyDescent="0.3">
      <c r="J51912"/>
    </row>
    <row r="51913" spans="10:10" x14ac:dyDescent="0.3">
      <c r="J51913"/>
    </row>
    <row r="51914" spans="10:10" x14ac:dyDescent="0.3">
      <c r="J51914"/>
    </row>
    <row r="51915" spans="10:10" x14ac:dyDescent="0.3">
      <c r="J51915"/>
    </row>
    <row r="51916" spans="10:10" x14ac:dyDescent="0.3">
      <c r="J51916"/>
    </row>
    <row r="51917" spans="10:10" x14ac:dyDescent="0.3">
      <c r="J51917"/>
    </row>
    <row r="51918" spans="10:10" x14ac:dyDescent="0.3">
      <c r="J51918"/>
    </row>
    <row r="51919" spans="10:10" x14ac:dyDescent="0.3">
      <c r="J51919"/>
    </row>
    <row r="51920" spans="10:10" x14ac:dyDescent="0.3">
      <c r="J51920"/>
    </row>
    <row r="51921" spans="10:10" x14ac:dyDescent="0.3">
      <c r="J51921"/>
    </row>
    <row r="51922" spans="10:10" x14ac:dyDescent="0.3">
      <c r="J51922"/>
    </row>
    <row r="51923" spans="10:10" x14ac:dyDescent="0.3">
      <c r="J51923"/>
    </row>
    <row r="51924" spans="10:10" x14ac:dyDescent="0.3">
      <c r="J51924"/>
    </row>
    <row r="51925" spans="10:10" x14ac:dyDescent="0.3">
      <c r="J51925"/>
    </row>
    <row r="51926" spans="10:10" x14ac:dyDescent="0.3">
      <c r="J51926"/>
    </row>
    <row r="51927" spans="10:10" x14ac:dyDescent="0.3">
      <c r="J51927"/>
    </row>
    <row r="51928" spans="10:10" x14ac:dyDescent="0.3">
      <c r="J51928"/>
    </row>
    <row r="51929" spans="10:10" x14ac:dyDescent="0.3">
      <c r="J51929"/>
    </row>
    <row r="51930" spans="10:10" x14ac:dyDescent="0.3">
      <c r="J51930"/>
    </row>
    <row r="51931" spans="10:10" x14ac:dyDescent="0.3">
      <c r="J51931"/>
    </row>
    <row r="51932" spans="10:10" x14ac:dyDescent="0.3">
      <c r="J51932"/>
    </row>
    <row r="51933" spans="10:10" x14ac:dyDescent="0.3">
      <c r="J51933"/>
    </row>
    <row r="51934" spans="10:10" x14ac:dyDescent="0.3">
      <c r="J51934"/>
    </row>
    <row r="51935" spans="10:10" x14ac:dyDescent="0.3">
      <c r="J51935"/>
    </row>
    <row r="51936" spans="10:10" x14ac:dyDescent="0.3">
      <c r="J51936"/>
    </row>
    <row r="51937" spans="10:10" x14ac:dyDescent="0.3">
      <c r="J51937"/>
    </row>
    <row r="51938" spans="10:10" x14ac:dyDescent="0.3">
      <c r="J51938"/>
    </row>
    <row r="51939" spans="10:10" x14ac:dyDescent="0.3">
      <c r="J51939"/>
    </row>
    <row r="51940" spans="10:10" x14ac:dyDescent="0.3">
      <c r="J51940"/>
    </row>
    <row r="51941" spans="10:10" x14ac:dyDescent="0.3">
      <c r="J51941"/>
    </row>
    <row r="51942" spans="10:10" x14ac:dyDescent="0.3">
      <c r="J51942"/>
    </row>
    <row r="51943" spans="10:10" x14ac:dyDescent="0.3">
      <c r="J51943"/>
    </row>
    <row r="51944" spans="10:10" x14ac:dyDescent="0.3">
      <c r="J51944"/>
    </row>
    <row r="51945" spans="10:10" x14ac:dyDescent="0.3">
      <c r="J51945"/>
    </row>
    <row r="51946" spans="10:10" x14ac:dyDescent="0.3">
      <c r="J51946"/>
    </row>
    <row r="51947" spans="10:10" x14ac:dyDescent="0.3">
      <c r="J51947"/>
    </row>
    <row r="51948" spans="10:10" x14ac:dyDescent="0.3">
      <c r="J51948"/>
    </row>
    <row r="51949" spans="10:10" x14ac:dyDescent="0.3">
      <c r="J51949"/>
    </row>
    <row r="51950" spans="10:10" x14ac:dyDescent="0.3">
      <c r="J51950"/>
    </row>
    <row r="51951" spans="10:10" x14ac:dyDescent="0.3">
      <c r="J51951"/>
    </row>
    <row r="51952" spans="10:10" x14ac:dyDescent="0.3">
      <c r="J51952"/>
    </row>
    <row r="51953" spans="10:10" x14ac:dyDescent="0.3">
      <c r="J51953"/>
    </row>
    <row r="51954" spans="10:10" x14ac:dyDescent="0.3">
      <c r="J51954"/>
    </row>
    <row r="51955" spans="10:10" x14ac:dyDescent="0.3">
      <c r="J51955"/>
    </row>
    <row r="51956" spans="10:10" x14ac:dyDescent="0.3">
      <c r="J51956"/>
    </row>
    <row r="51957" spans="10:10" x14ac:dyDescent="0.3">
      <c r="J51957"/>
    </row>
    <row r="51958" spans="10:10" x14ac:dyDescent="0.3">
      <c r="J51958"/>
    </row>
    <row r="51959" spans="10:10" x14ac:dyDescent="0.3">
      <c r="J51959"/>
    </row>
    <row r="51960" spans="10:10" x14ac:dyDescent="0.3">
      <c r="J51960"/>
    </row>
    <row r="51961" spans="10:10" x14ac:dyDescent="0.3">
      <c r="J51961"/>
    </row>
    <row r="51962" spans="10:10" x14ac:dyDescent="0.3">
      <c r="J51962"/>
    </row>
    <row r="51963" spans="10:10" x14ac:dyDescent="0.3">
      <c r="J51963"/>
    </row>
    <row r="51964" spans="10:10" x14ac:dyDescent="0.3">
      <c r="J51964"/>
    </row>
    <row r="51965" spans="10:10" x14ac:dyDescent="0.3">
      <c r="J51965"/>
    </row>
    <row r="51966" spans="10:10" x14ac:dyDescent="0.3">
      <c r="J51966"/>
    </row>
    <row r="51967" spans="10:10" x14ac:dyDescent="0.3">
      <c r="J51967"/>
    </row>
    <row r="51968" spans="10:10" x14ac:dyDescent="0.3">
      <c r="J51968"/>
    </row>
    <row r="51969" spans="10:10" x14ac:dyDescent="0.3">
      <c r="J51969"/>
    </row>
    <row r="51970" spans="10:10" x14ac:dyDescent="0.3">
      <c r="J51970"/>
    </row>
    <row r="51971" spans="10:10" x14ac:dyDescent="0.3">
      <c r="J51971"/>
    </row>
    <row r="51972" spans="10:10" x14ac:dyDescent="0.3">
      <c r="J51972"/>
    </row>
    <row r="51973" spans="10:10" x14ac:dyDescent="0.3">
      <c r="J51973"/>
    </row>
    <row r="51974" spans="10:10" x14ac:dyDescent="0.3">
      <c r="J51974"/>
    </row>
    <row r="51975" spans="10:10" x14ac:dyDescent="0.3">
      <c r="J51975"/>
    </row>
    <row r="51976" spans="10:10" x14ac:dyDescent="0.3">
      <c r="J51976"/>
    </row>
    <row r="51977" spans="10:10" x14ac:dyDescent="0.3">
      <c r="J51977"/>
    </row>
    <row r="51978" spans="10:10" x14ac:dyDescent="0.3">
      <c r="J51978"/>
    </row>
    <row r="51979" spans="10:10" x14ac:dyDescent="0.3">
      <c r="J51979"/>
    </row>
    <row r="51980" spans="10:10" x14ac:dyDescent="0.3">
      <c r="J51980"/>
    </row>
    <row r="51981" spans="10:10" x14ac:dyDescent="0.3">
      <c r="J51981"/>
    </row>
    <row r="51982" spans="10:10" x14ac:dyDescent="0.3">
      <c r="J51982"/>
    </row>
    <row r="51983" spans="10:10" x14ac:dyDescent="0.3">
      <c r="J51983"/>
    </row>
    <row r="51984" spans="10:10" x14ac:dyDescent="0.3">
      <c r="J51984"/>
    </row>
    <row r="51985" spans="10:10" x14ac:dyDescent="0.3">
      <c r="J51985"/>
    </row>
    <row r="51986" spans="10:10" x14ac:dyDescent="0.3">
      <c r="J51986"/>
    </row>
    <row r="51987" spans="10:10" x14ac:dyDescent="0.3">
      <c r="J51987"/>
    </row>
    <row r="51988" spans="10:10" x14ac:dyDescent="0.3">
      <c r="J51988"/>
    </row>
    <row r="51989" spans="10:10" x14ac:dyDescent="0.3">
      <c r="J51989"/>
    </row>
    <row r="51990" spans="10:10" x14ac:dyDescent="0.3">
      <c r="J51990"/>
    </row>
    <row r="51991" spans="10:10" x14ac:dyDescent="0.3">
      <c r="J51991"/>
    </row>
    <row r="51992" spans="10:10" x14ac:dyDescent="0.3">
      <c r="J51992"/>
    </row>
    <row r="51993" spans="10:10" x14ac:dyDescent="0.3">
      <c r="J51993"/>
    </row>
    <row r="51994" spans="10:10" x14ac:dyDescent="0.3">
      <c r="J51994"/>
    </row>
    <row r="51995" spans="10:10" x14ac:dyDescent="0.3">
      <c r="J51995"/>
    </row>
    <row r="51996" spans="10:10" x14ac:dyDescent="0.3">
      <c r="J51996"/>
    </row>
    <row r="51997" spans="10:10" x14ac:dyDescent="0.3">
      <c r="J51997"/>
    </row>
    <row r="51998" spans="10:10" x14ac:dyDescent="0.3">
      <c r="J51998"/>
    </row>
    <row r="51999" spans="10:10" x14ac:dyDescent="0.3">
      <c r="J51999"/>
    </row>
    <row r="52000" spans="10:10" x14ac:dyDescent="0.3">
      <c r="J52000"/>
    </row>
    <row r="52001" spans="10:10" x14ac:dyDescent="0.3">
      <c r="J52001"/>
    </row>
    <row r="52002" spans="10:10" x14ac:dyDescent="0.3">
      <c r="J52002"/>
    </row>
    <row r="52003" spans="10:10" x14ac:dyDescent="0.3">
      <c r="J52003"/>
    </row>
    <row r="52004" spans="10:10" x14ac:dyDescent="0.3">
      <c r="J52004"/>
    </row>
    <row r="52005" spans="10:10" x14ac:dyDescent="0.3">
      <c r="J52005"/>
    </row>
    <row r="52006" spans="10:10" x14ac:dyDescent="0.3">
      <c r="J52006"/>
    </row>
    <row r="52007" spans="10:10" x14ac:dyDescent="0.3">
      <c r="J52007"/>
    </row>
    <row r="52008" spans="10:10" x14ac:dyDescent="0.3">
      <c r="J52008"/>
    </row>
    <row r="52009" spans="10:10" x14ac:dyDescent="0.3">
      <c r="J52009"/>
    </row>
    <row r="52010" spans="10:10" x14ac:dyDescent="0.3">
      <c r="J52010"/>
    </row>
    <row r="52011" spans="10:10" x14ac:dyDescent="0.3">
      <c r="J52011"/>
    </row>
    <row r="52012" spans="10:10" x14ac:dyDescent="0.3">
      <c r="J52012"/>
    </row>
    <row r="52013" spans="10:10" x14ac:dyDescent="0.3">
      <c r="J52013"/>
    </row>
    <row r="52014" spans="10:10" x14ac:dyDescent="0.3">
      <c r="J52014"/>
    </row>
    <row r="52015" spans="10:10" x14ac:dyDescent="0.3">
      <c r="J52015"/>
    </row>
    <row r="52016" spans="10:10" x14ac:dyDescent="0.3">
      <c r="J52016"/>
    </row>
    <row r="52017" spans="10:10" x14ac:dyDescent="0.3">
      <c r="J52017"/>
    </row>
    <row r="52018" spans="10:10" x14ac:dyDescent="0.3">
      <c r="J52018"/>
    </row>
    <row r="52019" spans="10:10" x14ac:dyDescent="0.3">
      <c r="J52019"/>
    </row>
    <row r="52020" spans="10:10" x14ac:dyDescent="0.3">
      <c r="J52020"/>
    </row>
    <row r="52021" spans="10:10" x14ac:dyDescent="0.3">
      <c r="J52021"/>
    </row>
    <row r="52022" spans="10:10" x14ac:dyDescent="0.3">
      <c r="J52022"/>
    </row>
    <row r="52023" spans="10:10" x14ac:dyDescent="0.3">
      <c r="J52023"/>
    </row>
    <row r="52024" spans="10:10" x14ac:dyDescent="0.3">
      <c r="J52024"/>
    </row>
    <row r="52025" spans="10:10" x14ac:dyDescent="0.3">
      <c r="J52025"/>
    </row>
    <row r="52026" spans="10:10" x14ac:dyDescent="0.3">
      <c r="J52026"/>
    </row>
    <row r="52027" spans="10:10" x14ac:dyDescent="0.3">
      <c r="J52027"/>
    </row>
    <row r="52028" spans="10:10" x14ac:dyDescent="0.3">
      <c r="J52028"/>
    </row>
    <row r="52029" spans="10:10" x14ac:dyDescent="0.3">
      <c r="J52029"/>
    </row>
    <row r="52030" spans="10:10" x14ac:dyDescent="0.3">
      <c r="J52030"/>
    </row>
    <row r="52031" spans="10:10" x14ac:dyDescent="0.3">
      <c r="J52031"/>
    </row>
    <row r="52032" spans="10:10" x14ac:dyDescent="0.3">
      <c r="J52032"/>
    </row>
    <row r="52033" spans="10:10" x14ac:dyDescent="0.3">
      <c r="J52033"/>
    </row>
    <row r="52034" spans="10:10" x14ac:dyDescent="0.3">
      <c r="J52034"/>
    </row>
    <row r="52035" spans="10:10" x14ac:dyDescent="0.3">
      <c r="J52035"/>
    </row>
    <row r="52036" spans="10:10" x14ac:dyDescent="0.3">
      <c r="J52036"/>
    </row>
    <row r="52037" spans="10:10" x14ac:dyDescent="0.3">
      <c r="J52037"/>
    </row>
    <row r="52038" spans="10:10" x14ac:dyDescent="0.3">
      <c r="J52038"/>
    </row>
    <row r="52039" spans="10:10" x14ac:dyDescent="0.3">
      <c r="J52039"/>
    </row>
    <row r="52040" spans="10:10" x14ac:dyDescent="0.3">
      <c r="J52040"/>
    </row>
    <row r="52041" spans="10:10" x14ac:dyDescent="0.3">
      <c r="J52041"/>
    </row>
    <row r="52042" spans="10:10" x14ac:dyDescent="0.3">
      <c r="J52042"/>
    </row>
    <row r="52043" spans="10:10" x14ac:dyDescent="0.3">
      <c r="J52043"/>
    </row>
    <row r="52044" spans="10:10" x14ac:dyDescent="0.3">
      <c r="J52044"/>
    </row>
    <row r="52045" spans="10:10" x14ac:dyDescent="0.3">
      <c r="J52045"/>
    </row>
    <row r="52046" spans="10:10" x14ac:dyDescent="0.3">
      <c r="J52046"/>
    </row>
    <row r="52047" spans="10:10" x14ac:dyDescent="0.3">
      <c r="J52047"/>
    </row>
    <row r="52048" spans="10:10" x14ac:dyDescent="0.3">
      <c r="J52048"/>
    </row>
    <row r="52049" spans="10:10" x14ac:dyDescent="0.3">
      <c r="J52049"/>
    </row>
    <row r="52050" spans="10:10" x14ac:dyDescent="0.3">
      <c r="J52050"/>
    </row>
    <row r="52051" spans="10:10" x14ac:dyDescent="0.3">
      <c r="J52051"/>
    </row>
    <row r="52052" spans="10:10" x14ac:dyDescent="0.3">
      <c r="J52052"/>
    </row>
    <row r="52053" spans="10:10" x14ac:dyDescent="0.3">
      <c r="J52053"/>
    </row>
    <row r="52054" spans="10:10" x14ac:dyDescent="0.3">
      <c r="J52054"/>
    </row>
    <row r="52055" spans="10:10" x14ac:dyDescent="0.3">
      <c r="J52055"/>
    </row>
    <row r="52056" spans="10:10" x14ac:dyDescent="0.3">
      <c r="J52056"/>
    </row>
    <row r="52057" spans="10:10" x14ac:dyDescent="0.3">
      <c r="J52057"/>
    </row>
    <row r="52058" spans="10:10" x14ac:dyDescent="0.3">
      <c r="J52058"/>
    </row>
    <row r="52059" spans="10:10" x14ac:dyDescent="0.3">
      <c r="J52059"/>
    </row>
    <row r="52060" spans="10:10" x14ac:dyDescent="0.3">
      <c r="J52060"/>
    </row>
    <row r="52061" spans="10:10" x14ac:dyDescent="0.3">
      <c r="J52061"/>
    </row>
    <row r="52062" spans="10:10" x14ac:dyDescent="0.3">
      <c r="J52062"/>
    </row>
    <row r="52063" spans="10:10" x14ac:dyDescent="0.3">
      <c r="J52063"/>
    </row>
    <row r="52064" spans="10:10" x14ac:dyDescent="0.3">
      <c r="J52064"/>
    </row>
    <row r="52065" spans="10:10" x14ac:dyDescent="0.3">
      <c r="J52065"/>
    </row>
    <row r="52066" spans="10:10" x14ac:dyDescent="0.3">
      <c r="J52066"/>
    </row>
    <row r="52067" spans="10:10" x14ac:dyDescent="0.3">
      <c r="J52067"/>
    </row>
    <row r="52068" spans="10:10" x14ac:dyDescent="0.3">
      <c r="J52068"/>
    </row>
    <row r="52069" spans="10:10" x14ac:dyDescent="0.3">
      <c r="J52069"/>
    </row>
    <row r="52070" spans="10:10" x14ac:dyDescent="0.3">
      <c r="J52070"/>
    </row>
    <row r="52071" spans="10:10" x14ac:dyDescent="0.3">
      <c r="J52071"/>
    </row>
    <row r="52072" spans="10:10" x14ac:dyDescent="0.3">
      <c r="J52072"/>
    </row>
    <row r="52073" spans="10:10" x14ac:dyDescent="0.3">
      <c r="J52073"/>
    </row>
    <row r="52074" spans="10:10" x14ac:dyDescent="0.3">
      <c r="J52074"/>
    </row>
    <row r="52075" spans="10:10" x14ac:dyDescent="0.3">
      <c r="J52075"/>
    </row>
    <row r="52076" spans="10:10" x14ac:dyDescent="0.3">
      <c r="J52076"/>
    </row>
    <row r="52077" spans="10:10" x14ac:dyDescent="0.3">
      <c r="J52077"/>
    </row>
    <row r="52078" spans="10:10" x14ac:dyDescent="0.3">
      <c r="J52078"/>
    </row>
    <row r="52079" spans="10:10" x14ac:dyDescent="0.3">
      <c r="J52079"/>
    </row>
    <row r="52080" spans="10:10" x14ac:dyDescent="0.3">
      <c r="J52080"/>
    </row>
    <row r="52081" spans="10:10" x14ac:dyDescent="0.3">
      <c r="J52081"/>
    </row>
    <row r="52082" spans="10:10" x14ac:dyDescent="0.3">
      <c r="J52082"/>
    </row>
    <row r="52083" spans="10:10" x14ac:dyDescent="0.3">
      <c r="J52083"/>
    </row>
    <row r="52084" spans="10:10" x14ac:dyDescent="0.3">
      <c r="J52084"/>
    </row>
    <row r="52085" spans="10:10" x14ac:dyDescent="0.3">
      <c r="J52085"/>
    </row>
    <row r="52086" spans="10:10" x14ac:dyDescent="0.3">
      <c r="J52086"/>
    </row>
    <row r="52087" spans="10:10" x14ac:dyDescent="0.3">
      <c r="J52087"/>
    </row>
    <row r="52088" spans="10:10" x14ac:dyDescent="0.3">
      <c r="J52088"/>
    </row>
    <row r="52089" spans="10:10" x14ac:dyDescent="0.3">
      <c r="J52089"/>
    </row>
    <row r="52090" spans="10:10" x14ac:dyDescent="0.3">
      <c r="J52090"/>
    </row>
    <row r="52091" spans="10:10" x14ac:dyDescent="0.3">
      <c r="J52091"/>
    </row>
    <row r="52092" spans="10:10" x14ac:dyDescent="0.3">
      <c r="J52092"/>
    </row>
    <row r="52093" spans="10:10" x14ac:dyDescent="0.3">
      <c r="J52093"/>
    </row>
    <row r="52094" spans="10:10" x14ac:dyDescent="0.3">
      <c r="J52094"/>
    </row>
    <row r="52095" spans="10:10" x14ac:dyDescent="0.3">
      <c r="J52095"/>
    </row>
    <row r="52096" spans="10:10" x14ac:dyDescent="0.3">
      <c r="J52096"/>
    </row>
    <row r="52097" spans="10:10" x14ac:dyDescent="0.3">
      <c r="J52097"/>
    </row>
    <row r="52098" spans="10:10" x14ac:dyDescent="0.3">
      <c r="J52098"/>
    </row>
    <row r="52099" spans="10:10" x14ac:dyDescent="0.3">
      <c r="J52099"/>
    </row>
    <row r="52100" spans="10:10" x14ac:dyDescent="0.3">
      <c r="J52100"/>
    </row>
    <row r="52101" spans="10:10" x14ac:dyDescent="0.3">
      <c r="J52101"/>
    </row>
    <row r="52102" spans="10:10" x14ac:dyDescent="0.3">
      <c r="J52102"/>
    </row>
    <row r="52103" spans="10:10" x14ac:dyDescent="0.3">
      <c r="J52103"/>
    </row>
    <row r="52104" spans="10:10" x14ac:dyDescent="0.3">
      <c r="J52104"/>
    </row>
    <row r="52105" spans="10:10" x14ac:dyDescent="0.3">
      <c r="J52105"/>
    </row>
    <row r="52106" spans="10:10" x14ac:dyDescent="0.3">
      <c r="J52106"/>
    </row>
    <row r="52107" spans="10:10" x14ac:dyDescent="0.3">
      <c r="J52107"/>
    </row>
    <row r="52108" spans="10:10" x14ac:dyDescent="0.3">
      <c r="J52108"/>
    </row>
    <row r="52109" spans="10:10" x14ac:dyDescent="0.3">
      <c r="J52109"/>
    </row>
    <row r="52110" spans="10:10" x14ac:dyDescent="0.3">
      <c r="J52110"/>
    </row>
    <row r="52111" spans="10:10" x14ac:dyDescent="0.3">
      <c r="J52111"/>
    </row>
    <row r="52112" spans="10:10" x14ac:dyDescent="0.3">
      <c r="J52112"/>
    </row>
    <row r="52113" spans="10:10" x14ac:dyDescent="0.3">
      <c r="J52113"/>
    </row>
    <row r="52114" spans="10:10" x14ac:dyDescent="0.3">
      <c r="J52114"/>
    </row>
    <row r="52115" spans="10:10" x14ac:dyDescent="0.3">
      <c r="J52115"/>
    </row>
    <row r="52116" spans="10:10" x14ac:dyDescent="0.3">
      <c r="J52116"/>
    </row>
    <row r="52117" spans="10:10" x14ac:dyDescent="0.3">
      <c r="J52117"/>
    </row>
    <row r="52118" spans="10:10" x14ac:dyDescent="0.3">
      <c r="J52118"/>
    </row>
    <row r="52119" spans="10:10" x14ac:dyDescent="0.3">
      <c r="J52119"/>
    </row>
    <row r="52120" spans="10:10" x14ac:dyDescent="0.3">
      <c r="J52120"/>
    </row>
    <row r="52121" spans="10:10" x14ac:dyDescent="0.3">
      <c r="J52121"/>
    </row>
    <row r="52122" spans="10:10" x14ac:dyDescent="0.3">
      <c r="J52122"/>
    </row>
    <row r="52123" spans="10:10" x14ac:dyDescent="0.3">
      <c r="J52123"/>
    </row>
    <row r="52124" spans="10:10" x14ac:dyDescent="0.3">
      <c r="J52124"/>
    </row>
    <row r="52125" spans="10:10" x14ac:dyDescent="0.3">
      <c r="J52125"/>
    </row>
    <row r="52126" spans="10:10" x14ac:dyDescent="0.3">
      <c r="J52126"/>
    </row>
    <row r="52127" spans="10:10" x14ac:dyDescent="0.3">
      <c r="J52127"/>
    </row>
    <row r="52128" spans="10:10" x14ac:dyDescent="0.3">
      <c r="J52128"/>
    </row>
    <row r="52129" spans="10:10" x14ac:dyDescent="0.3">
      <c r="J52129"/>
    </row>
    <row r="52130" spans="10:10" x14ac:dyDescent="0.3">
      <c r="J52130"/>
    </row>
    <row r="52131" spans="10:10" x14ac:dyDescent="0.3">
      <c r="J52131"/>
    </row>
    <row r="52132" spans="10:10" x14ac:dyDescent="0.3">
      <c r="J52132"/>
    </row>
    <row r="52133" spans="10:10" x14ac:dyDescent="0.3">
      <c r="J52133"/>
    </row>
    <row r="52134" spans="10:10" x14ac:dyDescent="0.3">
      <c r="J52134"/>
    </row>
    <row r="52135" spans="10:10" x14ac:dyDescent="0.3">
      <c r="J52135"/>
    </row>
    <row r="52136" spans="10:10" x14ac:dyDescent="0.3">
      <c r="J52136"/>
    </row>
    <row r="52137" spans="10:10" x14ac:dyDescent="0.3">
      <c r="J52137"/>
    </row>
    <row r="52138" spans="10:10" x14ac:dyDescent="0.3">
      <c r="J52138"/>
    </row>
    <row r="52139" spans="10:10" x14ac:dyDescent="0.3">
      <c r="J52139"/>
    </row>
    <row r="52140" spans="10:10" x14ac:dyDescent="0.3">
      <c r="J52140"/>
    </row>
    <row r="52141" spans="10:10" x14ac:dyDescent="0.3">
      <c r="J52141"/>
    </row>
    <row r="52142" spans="10:10" x14ac:dyDescent="0.3">
      <c r="J52142"/>
    </row>
    <row r="52143" spans="10:10" x14ac:dyDescent="0.3">
      <c r="J52143"/>
    </row>
    <row r="52144" spans="10:10" x14ac:dyDescent="0.3">
      <c r="J52144"/>
    </row>
    <row r="52145" spans="10:10" x14ac:dyDescent="0.3">
      <c r="J52145"/>
    </row>
    <row r="52146" spans="10:10" x14ac:dyDescent="0.3">
      <c r="J52146"/>
    </row>
    <row r="52147" spans="10:10" x14ac:dyDescent="0.3">
      <c r="J52147"/>
    </row>
    <row r="52148" spans="10:10" x14ac:dyDescent="0.3">
      <c r="J52148"/>
    </row>
    <row r="52149" spans="10:10" x14ac:dyDescent="0.3">
      <c r="J52149"/>
    </row>
    <row r="52150" spans="10:10" x14ac:dyDescent="0.3">
      <c r="J52150"/>
    </row>
    <row r="52151" spans="10:10" x14ac:dyDescent="0.3">
      <c r="J52151"/>
    </row>
    <row r="52152" spans="10:10" x14ac:dyDescent="0.3">
      <c r="J52152"/>
    </row>
    <row r="52153" spans="10:10" x14ac:dyDescent="0.3">
      <c r="J52153"/>
    </row>
    <row r="52154" spans="10:10" x14ac:dyDescent="0.3">
      <c r="J52154"/>
    </row>
    <row r="52155" spans="10:10" x14ac:dyDescent="0.3">
      <c r="J52155"/>
    </row>
    <row r="52156" spans="10:10" x14ac:dyDescent="0.3">
      <c r="J52156"/>
    </row>
    <row r="52157" spans="10:10" x14ac:dyDescent="0.3">
      <c r="J52157"/>
    </row>
    <row r="52158" spans="10:10" x14ac:dyDescent="0.3">
      <c r="J52158"/>
    </row>
    <row r="52159" spans="10:10" x14ac:dyDescent="0.3">
      <c r="J52159"/>
    </row>
    <row r="52160" spans="10:10" x14ac:dyDescent="0.3">
      <c r="J52160"/>
    </row>
    <row r="52161" spans="10:10" x14ac:dyDescent="0.3">
      <c r="J52161"/>
    </row>
    <row r="52162" spans="10:10" x14ac:dyDescent="0.3">
      <c r="J52162"/>
    </row>
    <row r="52163" spans="10:10" x14ac:dyDescent="0.3">
      <c r="J52163"/>
    </row>
    <row r="52164" spans="10:10" x14ac:dyDescent="0.3">
      <c r="J52164"/>
    </row>
    <row r="52165" spans="10:10" x14ac:dyDescent="0.3">
      <c r="J52165"/>
    </row>
    <row r="52166" spans="10:10" x14ac:dyDescent="0.3">
      <c r="J52166"/>
    </row>
    <row r="52167" spans="10:10" x14ac:dyDescent="0.3">
      <c r="J52167"/>
    </row>
    <row r="52168" spans="10:10" x14ac:dyDescent="0.3">
      <c r="J52168"/>
    </row>
    <row r="52169" spans="10:10" x14ac:dyDescent="0.3">
      <c r="J52169"/>
    </row>
    <row r="52170" spans="10:10" x14ac:dyDescent="0.3">
      <c r="J52170"/>
    </row>
    <row r="52171" spans="10:10" x14ac:dyDescent="0.3">
      <c r="J52171"/>
    </row>
    <row r="52172" spans="10:10" x14ac:dyDescent="0.3">
      <c r="J52172"/>
    </row>
    <row r="52173" spans="10:10" x14ac:dyDescent="0.3">
      <c r="J52173"/>
    </row>
    <row r="52174" spans="10:10" x14ac:dyDescent="0.3">
      <c r="J52174"/>
    </row>
    <row r="52175" spans="10:10" x14ac:dyDescent="0.3">
      <c r="J52175"/>
    </row>
    <row r="52176" spans="10:10" x14ac:dyDescent="0.3">
      <c r="J52176"/>
    </row>
    <row r="52177" spans="10:10" x14ac:dyDescent="0.3">
      <c r="J52177"/>
    </row>
    <row r="52178" spans="10:10" x14ac:dyDescent="0.3">
      <c r="J52178"/>
    </row>
    <row r="52179" spans="10:10" x14ac:dyDescent="0.3">
      <c r="J52179"/>
    </row>
    <row r="52180" spans="10:10" x14ac:dyDescent="0.3">
      <c r="J52180"/>
    </row>
    <row r="52181" spans="10:10" x14ac:dyDescent="0.3">
      <c r="J52181"/>
    </row>
    <row r="52182" spans="10:10" x14ac:dyDescent="0.3">
      <c r="J52182"/>
    </row>
    <row r="52183" spans="10:10" x14ac:dyDescent="0.3">
      <c r="J52183"/>
    </row>
    <row r="52184" spans="10:10" x14ac:dyDescent="0.3">
      <c r="J52184"/>
    </row>
    <row r="52185" spans="10:10" x14ac:dyDescent="0.3">
      <c r="J52185"/>
    </row>
    <row r="52186" spans="10:10" x14ac:dyDescent="0.3">
      <c r="J52186"/>
    </row>
    <row r="52187" spans="10:10" x14ac:dyDescent="0.3">
      <c r="J52187"/>
    </row>
    <row r="52188" spans="10:10" x14ac:dyDescent="0.3">
      <c r="J52188"/>
    </row>
    <row r="52189" spans="10:10" x14ac:dyDescent="0.3">
      <c r="J52189"/>
    </row>
    <row r="52190" spans="10:10" x14ac:dyDescent="0.3">
      <c r="J52190"/>
    </row>
    <row r="52191" spans="10:10" x14ac:dyDescent="0.3">
      <c r="J52191"/>
    </row>
    <row r="52192" spans="10:10" x14ac:dyDescent="0.3">
      <c r="J52192"/>
    </row>
    <row r="52193" spans="10:10" x14ac:dyDescent="0.3">
      <c r="J52193"/>
    </row>
    <row r="52194" spans="10:10" x14ac:dyDescent="0.3">
      <c r="J52194"/>
    </row>
    <row r="52195" spans="10:10" x14ac:dyDescent="0.3">
      <c r="J52195"/>
    </row>
    <row r="52196" spans="10:10" x14ac:dyDescent="0.3">
      <c r="J52196"/>
    </row>
    <row r="52197" spans="10:10" x14ac:dyDescent="0.3">
      <c r="J52197"/>
    </row>
    <row r="52198" spans="10:10" x14ac:dyDescent="0.3">
      <c r="J52198"/>
    </row>
    <row r="52199" spans="10:10" x14ac:dyDescent="0.3">
      <c r="J52199"/>
    </row>
    <row r="52200" spans="10:10" x14ac:dyDescent="0.3">
      <c r="J52200"/>
    </row>
    <row r="52201" spans="10:10" x14ac:dyDescent="0.3">
      <c r="J52201"/>
    </row>
    <row r="52202" spans="10:10" x14ac:dyDescent="0.3">
      <c r="J52202"/>
    </row>
    <row r="52203" spans="10:10" x14ac:dyDescent="0.3">
      <c r="J52203"/>
    </row>
    <row r="52204" spans="10:10" x14ac:dyDescent="0.3">
      <c r="J52204"/>
    </row>
    <row r="52205" spans="10:10" x14ac:dyDescent="0.3">
      <c r="J52205"/>
    </row>
    <row r="52206" spans="10:10" x14ac:dyDescent="0.3">
      <c r="J52206"/>
    </row>
    <row r="52207" spans="10:10" x14ac:dyDescent="0.3">
      <c r="J52207"/>
    </row>
    <row r="52208" spans="10:10" x14ac:dyDescent="0.3">
      <c r="J52208"/>
    </row>
    <row r="52209" spans="10:10" x14ac:dyDescent="0.3">
      <c r="J52209"/>
    </row>
    <row r="52210" spans="10:10" x14ac:dyDescent="0.3">
      <c r="J52210"/>
    </row>
    <row r="52211" spans="10:10" x14ac:dyDescent="0.3">
      <c r="J52211"/>
    </row>
    <row r="52212" spans="10:10" x14ac:dyDescent="0.3">
      <c r="J52212"/>
    </row>
    <row r="52213" spans="10:10" x14ac:dyDescent="0.3">
      <c r="J52213"/>
    </row>
    <row r="52214" spans="10:10" x14ac:dyDescent="0.3">
      <c r="J52214"/>
    </row>
    <row r="52215" spans="10:10" x14ac:dyDescent="0.3">
      <c r="J52215"/>
    </row>
    <row r="52216" spans="10:10" x14ac:dyDescent="0.3">
      <c r="J52216"/>
    </row>
    <row r="52217" spans="10:10" x14ac:dyDescent="0.3">
      <c r="J52217"/>
    </row>
    <row r="52218" spans="10:10" x14ac:dyDescent="0.3">
      <c r="J52218"/>
    </row>
    <row r="52219" spans="10:10" x14ac:dyDescent="0.3">
      <c r="J52219"/>
    </row>
    <row r="52220" spans="10:10" x14ac:dyDescent="0.3">
      <c r="J52220"/>
    </row>
    <row r="52221" spans="10:10" x14ac:dyDescent="0.3">
      <c r="J52221"/>
    </row>
    <row r="52222" spans="10:10" x14ac:dyDescent="0.3">
      <c r="J52222"/>
    </row>
    <row r="52223" spans="10:10" x14ac:dyDescent="0.3">
      <c r="J52223"/>
    </row>
    <row r="52224" spans="10:10" x14ac:dyDescent="0.3">
      <c r="J52224"/>
    </row>
    <row r="52225" spans="10:10" x14ac:dyDescent="0.3">
      <c r="J52225"/>
    </row>
    <row r="52226" spans="10:10" x14ac:dyDescent="0.3">
      <c r="J52226"/>
    </row>
    <row r="52227" spans="10:10" x14ac:dyDescent="0.3">
      <c r="J52227"/>
    </row>
    <row r="52228" spans="10:10" x14ac:dyDescent="0.3">
      <c r="J52228"/>
    </row>
    <row r="52229" spans="10:10" x14ac:dyDescent="0.3">
      <c r="J52229"/>
    </row>
    <row r="52230" spans="10:10" x14ac:dyDescent="0.3">
      <c r="J52230"/>
    </row>
    <row r="52231" spans="10:10" x14ac:dyDescent="0.3">
      <c r="J52231"/>
    </row>
    <row r="52232" spans="10:10" x14ac:dyDescent="0.3">
      <c r="J52232"/>
    </row>
    <row r="52233" spans="10:10" x14ac:dyDescent="0.3">
      <c r="J52233"/>
    </row>
    <row r="52234" spans="10:10" x14ac:dyDescent="0.3">
      <c r="J52234"/>
    </row>
    <row r="52235" spans="10:10" x14ac:dyDescent="0.3">
      <c r="J52235"/>
    </row>
    <row r="52236" spans="10:10" x14ac:dyDescent="0.3">
      <c r="J52236"/>
    </row>
    <row r="52237" spans="10:10" x14ac:dyDescent="0.3">
      <c r="J52237"/>
    </row>
    <row r="52238" spans="10:10" x14ac:dyDescent="0.3">
      <c r="J52238"/>
    </row>
    <row r="52239" spans="10:10" x14ac:dyDescent="0.3">
      <c r="J52239"/>
    </row>
    <row r="52240" spans="10:10" x14ac:dyDescent="0.3">
      <c r="J52240"/>
    </row>
    <row r="52241" spans="10:10" x14ac:dyDescent="0.3">
      <c r="J52241"/>
    </row>
    <row r="52242" spans="10:10" x14ac:dyDescent="0.3">
      <c r="J52242"/>
    </row>
    <row r="52243" spans="10:10" x14ac:dyDescent="0.3">
      <c r="J52243"/>
    </row>
    <row r="52244" spans="10:10" x14ac:dyDescent="0.3">
      <c r="J52244"/>
    </row>
    <row r="52245" spans="10:10" x14ac:dyDescent="0.3">
      <c r="J52245"/>
    </row>
    <row r="52246" spans="10:10" x14ac:dyDescent="0.3">
      <c r="J52246"/>
    </row>
    <row r="52247" spans="10:10" x14ac:dyDescent="0.3">
      <c r="J52247"/>
    </row>
    <row r="52248" spans="10:10" x14ac:dyDescent="0.3">
      <c r="J52248"/>
    </row>
    <row r="52249" spans="10:10" x14ac:dyDescent="0.3">
      <c r="J52249"/>
    </row>
    <row r="52250" spans="10:10" x14ac:dyDescent="0.3">
      <c r="J52250"/>
    </row>
    <row r="52251" spans="10:10" x14ac:dyDescent="0.3">
      <c r="J52251"/>
    </row>
    <row r="52252" spans="10:10" x14ac:dyDescent="0.3">
      <c r="J52252"/>
    </row>
    <row r="52253" spans="10:10" x14ac:dyDescent="0.3">
      <c r="J52253"/>
    </row>
    <row r="52254" spans="10:10" x14ac:dyDescent="0.3">
      <c r="J52254"/>
    </row>
    <row r="52255" spans="10:10" x14ac:dyDescent="0.3">
      <c r="J52255"/>
    </row>
    <row r="52256" spans="10:10" x14ac:dyDescent="0.3">
      <c r="J52256"/>
    </row>
    <row r="52257" spans="10:10" x14ac:dyDescent="0.3">
      <c r="J52257"/>
    </row>
    <row r="52258" spans="10:10" x14ac:dyDescent="0.3">
      <c r="J52258"/>
    </row>
    <row r="52259" spans="10:10" x14ac:dyDescent="0.3">
      <c r="J52259"/>
    </row>
    <row r="52260" spans="10:10" x14ac:dyDescent="0.3">
      <c r="J52260"/>
    </row>
    <row r="52261" spans="10:10" x14ac:dyDescent="0.3">
      <c r="J52261"/>
    </row>
    <row r="52262" spans="10:10" x14ac:dyDescent="0.3">
      <c r="J52262"/>
    </row>
    <row r="52263" spans="10:10" x14ac:dyDescent="0.3">
      <c r="J52263"/>
    </row>
    <row r="52264" spans="10:10" x14ac:dyDescent="0.3">
      <c r="J52264"/>
    </row>
    <row r="52265" spans="10:10" x14ac:dyDescent="0.3">
      <c r="J52265"/>
    </row>
    <row r="52266" spans="10:10" x14ac:dyDescent="0.3">
      <c r="J52266"/>
    </row>
    <row r="52267" spans="10:10" x14ac:dyDescent="0.3">
      <c r="J52267"/>
    </row>
    <row r="52268" spans="10:10" x14ac:dyDescent="0.3">
      <c r="J52268"/>
    </row>
    <row r="52269" spans="10:10" x14ac:dyDescent="0.3">
      <c r="J52269"/>
    </row>
    <row r="52270" spans="10:10" x14ac:dyDescent="0.3">
      <c r="J52270"/>
    </row>
    <row r="52271" spans="10:10" x14ac:dyDescent="0.3">
      <c r="J52271"/>
    </row>
    <row r="52272" spans="10:10" x14ac:dyDescent="0.3">
      <c r="J52272"/>
    </row>
    <row r="52273" spans="10:10" x14ac:dyDescent="0.3">
      <c r="J52273"/>
    </row>
    <row r="52274" spans="10:10" x14ac:dyDescent="0.3">
      <c r="J52274"/>
    </row>
    <row r="52275" spans="10:10" x14ac:dyDescent="0.3">
      <c r="J52275"/>
    </row>
    <row r="52276" spans="10:10" x14ac:dyDescent="0.3">
      <c r="J52276"/>
    </row>
    <row r="52277" spans="10:10" x14ac:dyDescent="0.3">
      <c r="J52277"/>
    </row>
    <row r="52278" spans="10:10" x14ac:dyDescent="0.3">
      <c r="J52278"/>
    </row>
    <row r="52279" spans="10:10" x14ac:dyDescent="0.3">
      <c r="J52279"/>
    </row>
    <row r="52280" spans="10:10" x14ac:dyDescent="0.3">
      <c r="J52280"/>
    </row>
    <row r="52281" spans="10:10" x14ac:dyDescent="0.3">
      <c r="J52281"/>
    </row>
    <row r="52282" spans="10:10" x14ac:dyDescent="0.3">
      <c r="J52282"/>
    </row>
    <row r="52283" spans="10:10" x14ac:dyDescent="0.3">
      <c r="J52283"/>
    </row>
    <row r="52284" spans="10:10" x14ac:dyDescent="0.3">
      <c r="J52284"/>
    </row>
    <row r="52285" spans="10:10" x14ac:dyDescent="0.3">
      <c r="J52285"/>
    </row>
    <row r="52286" spans="10:10" x14ac:dyDescent="0.3">
      <c r="J52286"/>
    </row>
    <row r="52287" spans="10:10" x14ac:dyDescent="0.3">
      <c r="J52287"/>
    </row>
    <row r="52288" spans="10:10" x14ac:dyDescent="0.3">
      <c r="J52288"/>
    </row>
    <row r="52289" spans="10:10" x14ac:dyDescent="0.3">
      <c r="J52289"/>
    </row>
    <row r="52290" spans="10:10" x14ac:dyDescent="0.3">
      <c r="J52290"/>
    </row>
    <row r="52291" spans="10:10" x14ac:dyDescent="0.3">
      <c r="J52291"/>
    </row>
    <row r="52292" spans="10:10" x14ac:dyDescent="0.3">
      <c r="J52292"/>
    </row>
    <row r="52293" spans="10:10" x14ac:dyDescent="0.3">
      <c r="J52293"/>
    </row>
    <row r="52294" spans="10:10" x14ac:dyDescent="0.3">
      <c r="J52294"/>
    </row>
    <row r="52295" spans="10:10" x14ac:dyDescent="0.3">
      <c r="J52295"/>
    </row>
    <row r="52296" spans="10:10" x14ac:dyDescent="0.3">
      <c r="J52296"/>
    </row>
    <row r="52297" spans="10:10" x14ac:dyDescent="0.3">
      <c r="J52297"/>
    </row>
    <row r="52298" spans="10:10" x14ac:dyDescent="0.3">
      <c r="J52298"/>
    </row>
    <row r="52299" spans="10:10" x14ac:dyDescent="0.3">
      <c r="J52299"/>
    </row>
    <row r="52300" spans="10:10" x14ac:dyDescent="0.3">
      <c r="J52300"/>
    </row>
    <row r="52301" spans="10:10" x14ac:dyDescent="0.3">
      <c r="J52301"/>
    </row>
    <row r="52302" spans="10:10" x14ac:dyDescent="0.3">
      <c r="J52302"/>
    </row>
    <row r="52303" spans="10:10" x14ac:dyDescent="0.3">
      <c r="J52303"/>
    </row>
    <row r="52304" spans="10:10" x14ac:dyDescent="0.3">
      <c r="J52304"/>
    </row>
    <row r="52305" spans="10:10" x14ac:dyDescent="0.3">
      <c r="J52305"/>
    </row>
    <row r="52306" spans="10:10" x14ac:dyDescent="0.3">
      <c r="J52306"/>
    </row>
    <row r="52307" spans="10:10" x14ac:dyDescent="0.3">
      <c r="J52307"/>
    </row>
    <row r="52308" spans="10:10" x14ac:dyDescent="0.3">
      <c r="J52308"/>
    </row>
    <row r="52309" spans="10:10" x14ac:dyDescent="0.3">
      <c r="J52309"/>
    </row>
    <row r="52310" spans="10:10" x14ac:dyDescent="0.3">
      <c r="J52310"/>
    </row>
    <row r="52311" spans="10:10" x14ac:dyDescent="0.3">
      <c r="J52311"/>
    </row>
    <row r="52312" spans="10:10" x14ac:dyDescent="0.3">
      <c r="J52312"/>
    </row>
    <row r="52313" spans="10:10" x14ac:dyDescent="0.3">
      <c r="J52313"/>
    </row>
    <row r="52314" spans="10:10" x14ac:dyDescent="0.3">
      <c r="J52314"/>
    </row>
    <row r="52315" spans="10:10" x14ac:dyDescent="0.3">
      <c r="J52315"/>
    </row>
    <row r="52316" spans="10:10" x14ac:dyDescent="0.3">
      <c r="J52316"/>
    </row>
    <row r="52317" spans="10:10" x14ac:dyDescent="0.3">
      <c r="J52317"/>
    </row>
    <row r="52318" spans="10:10" x14ac:dyDescent="0.3">
      <c r="J52318"/>
    </row>
    <row r="52319" spans="10:10" x14ac:dyDescent="0.3">
      <c r="J52319"/>
    </row>
    <row r="52320" spans="10:10" x14ac:dyDescent="0.3">
      <c r="J52320"/>
    </row>
    <row r="52321" spans="10:10" x14ac:dyDescent="0.3">
      <c r="J52321"/>
    </row>
    <row r="52322" spans="10:10" x14ac:dyDescent="0.3">
      <c r="J52322"/>
    </row>
    <row r="52323" spans="10:10" x14ac:dyDescent="0.3">
      <c r="J52323"/>
    </row>
    <row r="52324" spans="10:10" x14ac:dyDescent="0.3">
      <c r="J52324"/>
    </row>
    <row r="52325" spans="10:10" x14ac:dyDescent="0.3">
      <c r="J52325"/>
    </row>
    <row r="52326" spans="10:10" x14ac:dyDescent="0.3">
      <c r="J52326"/>
    </row>
    <row r="52327" spans="10:10" x14ac:dyDescent="0.3">
      <c r="J52327"/>
    </row>
    <row r="52328" spans="10:10" x14ac:dyDescent="0.3">
      <c r="J52328"/>
    </row>
    <row r="52329" spans="10:10" x14ac:dyDescent="0.3">
      <c r="J52329"/>
    </row>
    <row r="52330" spans="10:10" x14ac:dyDescent="0.3">
      <c r="J52330"/>
    </row>
    <row r="52331" spans="10:10" x14ac:dyDescent="0.3">
      <c r="J52331"/>
    </row>
    <row r="52332" spans="10:10" x14ac:dyDescent="0.3">
      <c r="J52332"/>
    </row>
    <row r="52333" spans="10:10" x14ac:dyDescent="0.3">
      <c r="J52333"/>
    </row>
    <row r="52334" spans="10:10" x14ac:dyDescent="0.3">
      <c r="J52334"/>
    </row>
    <row r="52335" spans="10:10" x14ac:dyDescent="0.3">
      <c r="J52335"/>
    </row>
    <row r="52336" spans="10:10" x14ac:dyDescent="0.3">
      <c r="J52336"/>
    </row>
    <row r="52337" spans="10:10" x14ac:dyDescent="0.3">
      <c r="J52337"/>
    </row>
    <row r="52338" spans="10:10" x14ac:dyDescent="0.3">
      <c r="J52338"/>
    </row>
    <row r="52339" spans="10:10" x14ac:dyDescent="0.3">
      <c r="J52339"/>
    </row>
    <row r="52340" spans="10:10" x14ac:dyDescent="0.3">
      <c r="J52340"/>
    </row>
    <row r="52341" spans="10:10" x14ac:dyDescent="0.3">
      <c r="J52341"/>
    </row>
    <row r="52342" spans="10:10" x14ac:dyDescent="0.3">
      <c r="J52342"/>
    </row>
    <row r="52343" spans="10:10" x14ac:dyDescent="0.3">
      <c r="J52343"/>
    </row>
    <row r="52344" spans="10:10" x14ac:dyDescent="0.3">
      <c r="J52344"/>
    </row>
    <row r="52345" spans="10:10" x14ac:dyDescent="0.3">
      <c r="J52345"/>
    </row>
    <row r="52346" spans="10:10" x14ac:dyDescent="0.3">
      <c r="J52346"/>
    </row>
    <row r="52347" spans="10:10" x14ac:dyDescent="0.3">
      <c r="J52347"/>
    </row>
    <row r="52348" spans="10:10" x14ac:dyDescent="0.3">
      <c r="J52348"/>
    </row>
    <row r="52349" spans="10:10" x14ac:dyDescent="0.3">
      <c r="J52349"/>
    </row>
    <row r="52350" spans="10:10" x14ac:dyDescent="0.3">
      <c r="J52350"/>
    </row>
    <row r="52351" spans="10:10" x14ac:dyDescent="0.3">
      <c r="J52351"/>
    </row>
    <row r="52352" spans="10:10" x14ac:dyDescent="0.3">
      <c r="J52352"/>
    </row>
    <row r="52353" spans="10:10" x14ac:dyDescent="0.3">
      <c r="J52353"/>
    </row>
    <row r="52354" spans="10:10" x14ac:dyDescent="0.3">
      <c r="J52354"/>
    </row>
    <row r="52355" spans="10:10" x14ac:dyDescent="0.3">
      <c r="J52355"/>
    </row>
    <row r="52356" spans="10:10" x14ac:dyDescent="0.3">
      <c r="J52356"/>
    </row>
    <row r="52357" spans="10:10" x14ac:dyDescent="0.3">
      <c r="J52357"/>
    </row>
    <row r="52358" spans="10:10" x14ac:dyDescent="0.3">
      <c r="J52358"/>
    </row>
    <row r="52359" spans="10:10" x14ac:dyDescent="0.3">
      <c r="J52359"/>
    </row>
    <row r="52360" spans="10:10" x14ac:dyDescent="0.3">
      <c r="J52360"/>
    </row>
    <row r="52361" spans="10:10" x14ac:dyDescent="0.3">
      <c r="J52361"/>
    </row>
    <row r="52362" spans="10:10" x14ac:dyDescent="0.3">
      <c r="J52362"/>
    </row>
    <row r="52363" spans="10:10" x14ac:dyDescent="0.3">
      <c r="J52363"/>
    </row>
    <row r="52364" spans="10:10" x14ac:dyDescent="0.3">
      <c r="J52364"/>
    </row>
    <row r="52365" spans="10:10" x14ac:dyDescent="0.3">
      <c r="J52365"/>
    </row>
    <row r="52366" spans="10:10" x14ac:dyDescent="0.3">
      <c r="J52366"/>
    </row>
    <row r="52367" spans="10:10" x14ac:dyDescent="0.3">
      <c r="J52367"/>
    </row>
    <row r="52368" spans="10:10" x14ac:dyDescent="0.3">
      <c r="J52368"/>
    </row>
    <row r="52369" spans="10:10" x14ac:dyDescent="0.3">
      <c r="J52369"/>
    </row>
    <row r="52370" spans="10:10" x14ac:dyDescent="0.3">
      <c r="J52370"/>
    </row>
    <row r="52371" spans="10:10" x14ac:dyDescent="0.3">
      <c r="J52371"/>
    </row>
    <row r="52372" spans="10:10" x14ac:dyDescent="0.3">
      <c r="J52372"/>
    </row>
    <row r="52373" spans="10:10" x14ac:dyDescent="0.3">
      <c r="J52373"/>
    </row>
    <row r="52374" spans="10:10" x14ac:dyDescent="0.3">
      <c r="J52374"/>
    </row>
    <row r="52375" spans="10:10" x14ac:dyDescent="0.3">
      <c r="J52375"/>
    </row>
    <row r="52376" spans="10:10" x14ac:dyDescent="0.3">
      <c r="J52376"/>
    </row>
    <row r="52377" spans="10:10" x14ac:dyDescent="0.3">
      <c r="J52377"/>
    </row>
    <row r="52378" spans="10:10" x14ac:dyDescent="0.3">
      <c r="J52378"/>
    </row>
    <row r="52379" spans="10:10" x14ac:dyDescent="0.3">
      <c r="J52379"/>
    </row>
    <row r="52380" spans="10:10" x14ac:dyDescent="0.3">
      <c r="J52380"/>
    </row>
    <row r="52381" spans="10:10" x14ac:dyDescent="0.3">
      <c r="J52381"/>
    </row>
    <row r="52382" spans="10:10" x14ac:dyDescent="0.3">
      <c r="J52382"/>
    </row>
    <row r="52383" spans="10:10" x14ac:dyDescent="0.3">
      <c r="J52383"/>
    </row>
    <row r="52384" spans="10:10" x14ac:dyDescent="0.3">
      <c r="J52384"/>
    </row>
    <row r="52385" spans="10:10" x14ac:dyDescent="0.3">
      <c r="J52385"/>
    </row>
    <row r="52386" spans="10:10" x14ac:dyDescent="0.3">
      <c r="J52386"/>
    </row>
    <row r="52387" spans="10:10" x14ac:dyDescent="0.3">
      <c r="J52387"/>
    </row>
    <row r="52388" spans="10:10" x14ac:dyDescent="0.3">
      <c r="J52388"/>
    </row>
    <row r="52389" spans="10:10" x14ac:dyDescent="0.3">
      <c r="J52389"/>
    </row>
    <row r="52390" spans="10:10" x14ac:dyDescent="0.3">
      <c r="J52390"/>
    </row>
    <row r="52391" spans="10:10" x14ac:dyDescent="0.3">
      <c r="J52391"/>
    </row>
    <row r="52392" spans="10:10" x14ac:dyDescent="0.3">
      <c r="J52392"/>
    </row>
    <row r="52393" spans="10:10" x14ac:dyDescent="0.3">
      <c r="J52393"/>
    </row>
    <row r="52394" spans="10:10" x14ac:dyDescent="0.3">
      <c r="J52394"/>
    </row>
    <row r="52395" spans="10:10" x14ac:dyDescent="0.3">
      <c r="J52395"/>
    </row>
    <row r="52396" spans="10:10" x14ac:dyDescent="0.3">
      <c r="J52396"/>
    </row>
    <row r="52397" spans="10:10" x14ac:dyDescent="0.3">
      <c r="J52397"/>
    </row>
    <row r="52398" spans="10:10" x14ac:dyDescent="0.3">
      <c r="J52398"/>
    </row>
    <row r="52399" spans="10:10" x14ac:dyDescent="0.3">
      <c r="J52399"/>
    </row>
    <row r="52400" spans="10:10" x14ac:dyDescent="0.3">
      <c r="J52400"/>
    </row>
    <row r="52401" spans="10:10" x14ac:dyDescent="0.3">
      <c r="J52401"/>
    </row>
    <row r="52402" spans="10:10" x14ac:dyDescent="0.3">
      <c r="J52402"/>
    </row>
    <row r="52403" spans="10:10" x14ac:dyDescent="0.3">
      <c r="J52403"/>
    </row>
    <row r="52404" spans="10:10" x14ac:dyDescent="0.3">
      <c r="J52404"/>
    </row>
    <row r="52405" spans="10:10" x14ac:dyDescent="0.3">
      <c r="J52405"/>
    </row>
    <row r="52406" spans="10:10" x14ac:dyDescent="0.3">
      <c r="J52406"/>
    </row>
    <row r="52407" spans="10:10" x14ac:dyDescent="0.3">
      <c r="J52407"/>
    </row>
    <row r="52408" spans="10:10" x14ac:dyDescent="0.3">
      <c r="J52408"/>
    </row>
    <row r="52409" spans="10:10" x14ac:dyDescent="0.3">
      <c r="J52409"/>
    </row>
    <row r="52410" spans="10:10" x14ac:dyDescent="0.3">
      <c r="J52410"/>
    </row>
    <row r="52411" spans="10:10" x14ac:dyDescent="0.3">
      <c r="J52411"/>
    </row>
    <row r="52412" spans="10:10" x14ac:dyDescent="0.3">
      <c r="J52412"/>
    </row>
    <row r="52413" spans="10:10" x14ac:dyDescent="0.3">
      <c r="J52413"/>
    </row>
    <row r="52414" spans="10:10" x14ac:dyDescent="0.3">
      <c r="J52414"/>
    </row>
    <row r="52415" spans="10:10" x14ac:dyDescent="0.3">
      <c r="J52415"/>
    </row>
    <row r="52416" spans="10:10" x14ac:dyDescent="0.3">
      <c r="J52416"/>
    </row>
    <row r="52417" spans="10:10" x14ac:dyDescent="0.3">
      <c r="J52417"/>
    </row>
    <row r="52418" spans="10:10" x14ac:dyDescent="0.3">
      <c r="J52418"/>
    </row>
    <row r="52419" spans="10:10" x14ac:dyDescent="0.3">
      <c r="J52419"/>
    </row>
    <row r="52420" spans="10:10" x14ac:dyDescent="0.3">
      <c r="J52420"/>
    </row>
    <row r="52421" spans="10:10" x14ac:dyDescent="0.3">
      <c r="J52421"/>
    </row>
    <row r="52422" spans="10:10" x14ac:dyDescent="0.3">
      <c r="J52422"/>
    </row>
    <row r="52423" spans="10:10" x14ac:dyDescent="0.3">
      <c r="J52423"/>
    </row>
    <row r="52424" spans="10:10" x14ac:dyDescent="0.3">
      <c r="J52424"/>
    </row>
    <row r="52425" spans="10:10" x14ac:dyDescent="0.3">
      <c r="J52425"/>
    </row>
    <row r="52426" spans="10:10" x14ac:dyDescent="0.3">
      <c r="J52426"/>
    </row>
    <row r="52427" spans="10:10" x14ac:dyDescent="0.3">
      <c r="J52427"/>
    </row>
    <row r="52428" spans="10:10" x14ac:dyDescent="0.3">
      <c r="J52428"/>
    </row>
    <row r="52429" spans="10:10" x14ac:dyDescent="0.3">
      <c r="J52429"/>
    </row>
    <row r="52430" spans="10:10" x14ac:dyDescent="0.3">
      <c r="J52430"/>
    </row>
    <row r="52431" spans="10:10" x14ac:dyDescent="0.3">
      <c r="J52431"/>
    </row>
    <row r="52432" spans="10:10" x14ac:dyDescent="0.3">
      <c r="J52432"/>
    </row>
    <row r="52433" spans="10:10" x14ac:dyDescent="0.3">
      <c r="J52433"/>
    </row>
    <row r="52434" spans="10:10" x14ac:dyDescent="0.3">
      <c r="J52434"/>
    </row>
    <row r="52435" spans="10:10" x14ac:dyDescent="0.3">
      <c r="J52435"/>
    </row>
    <row r="52436" spans="10:10" x14ac:dyDescent="0.3">
      <c r="J52436"/>
    </row>
    <row r="52437" spans="10:10" x14ac:dyDescent="0.3">
      <c r="J52437"/>
    </row>
    <row r="52438" spans="10:10" x14ac:dyDescent="0.3">
      <c r="J52438"/>
    </row>
    <row r="52439" spans="10:10" x14ac:dyDescent="0.3">
      <c r="J52439"/>
    </row>
    <row r="52440" spans="10:10" x14ac:dyDescent="0.3">
      <c r="J52440"/>
    </row>
    <row r="52441" spans="10:10" x14ac:dyDescent="0.3">
      <c r="J52441"/>
    </row>
    <row r="52442" spans="10:10" x14ac:dyDescent="0.3">
      <c r="J52442"/>
    </row>
    <row r="52443" spans="10:10" x14ac:dyDescent="0.3">
      <c r="J52443"/>
    </row>
    <row r="52444" spans="10:10" x14ac:dyDescent="0.3">
      <c r="J52444"/>
    </row>
    <row r="52445" spans="10:10" x14ac:dyDescent="0.3">
      <c r="J52445"/>
    </row>
    <row r="52446" spans="10:10" x14ac:dyDescent="0.3">
      <c r="J52446"/>
    </row>
    <row r="52447" spans="10:10" x14ac:dyDescent="0.3">
      <c r="J52447"/>
    </row>
    <row r="52448" spans="10:10" x14ac:dyDescent="0.3">
      <c r="J52448"/>
    </row>
    <row r="52449" spans="10:10" x14ac:dyDescent="0.3">
      <c r="J52449"/>
    </row>
    <row r="52450" spans="10:10" x14ac:dyDescent="0.3">
      <c r="J52450"/>
    </row>
    <row r="52451" spans="10:10" x14ac:dyDescent="0.3">
      <c r="J52451"/>
    </row>
    <row r="52452" spans="10:10" x14ac:dyDescent="0.3">
      <c r="J52452"/>
    </row>
    <row r="52453" spans="10:10" x14ac:dyDescent="0.3">
      <c r="J52453"/>
    </row>
    <row r="52454" spans="10:10" x14ac:dyDescent="0.3">
      <c r="J52454"/>
    </row>
    <row r="52455" spans="10:10" x14ac:dyDescent="0.3">
      <c r="J52455"/>
    </row>
    <row r="52456" spans="10:10" x14ac:dyDescent="0.3">
      <c r="J52456"/>
    </row>
    <row r="52457" spans="10:10" x14ac:dyDescent="0.3">
      <c r="J52457"/>
    </row>
    <row r="52458" spans="10:10" x14ac:dyDescent="0.3">
      <c r="J52458"/>
    </row>
    <row r="52459" spans="10:10" x14ac:dyDescent="0.3">
      <c r="J52459"/>
    </row>
    <row r="52460" spans="10:10" x14ac:dyDescent="0.3">
      <c r="J52460"/>
    </row>
    <row r="52461" spans="10:10" x14ac:dyDescent="0.3">
      <c r="J52461"/>
    </row>
    <row r="52462" spans="10:10" x14ac:dyDescent="0.3">
      <c r="J52462"/>
    </row>
    <row r="52463" spans="10:10" x14ac:dyDescent="0.3">
      <c r="J52463"/>
    </row>
    <row r="52464" spans="10:10" x14ac:dyDescent="0.3">
      <c r="J52464"/>
    </row>
    <row r="52465" spans="10:10" x14ac:dyDescent="0.3">
      <c r="J52465"/>
    </row>
    <row r="52466" spans="10:10" x14ac:dyDescent="0.3">
      <c r="J52466"/>
    </row>
    <row r="52467" spans="10:10" x14ac:dyDescent="0.3">
      <c r="J52467"/>
    </row>
    <row r="52468" spans="10:10" x14ac:dyDescent="0.3">
      <c r="J52468"/>
    </row>
    <row r="52469" spans="10:10" x14ac:dyDescent="0.3">
      <c r="J52469"/>
    </row>
    <row r="52470" spans="10:10" x14ac:dyDescent="0.3">
      <c r="J52470"/>
    </row>
    <row r="52471" spans="10:10" x14ac:dyDescent="0.3">
      <c r="J52471"/>
    </row>
    <row r="52472" spans="10:10" x14ac:dyDescent="0.3">
      <c r="J52472"/>
    </row>
    <row r="52473" spans="10:10" x14ac:dyDescent="0.3">
      <c r="J52473"/>
    </row>
    <row r="52474" spans="10:10" x14ac:dyDescent="0.3">
      <c r="J52474"/>
    </row>
    <row r="52475" spans="10:10" x14ac:dyDescent="0.3">
      <c r="J52475"/>
    </row>
    <row r="52476" spans="10:10" x14ac:dyDescent="0.3">
      <c r="J52476"/>
    </row>
    <row r="52477" spans="10:10" x14ac:dyDescent="0.3">
      <c r="J52477"/>
    </row>
    <row r="52478" spans="10:10" x14ac:dyDescent="0.3">
      <c r="J52478"/>
    </row>
    <row r="52479" spans="10:10" x14ac:dyDescent="0.3">
      <c r="J52479"/>
    </row>
    <row r="52480" spans="10:10" x14ac:dyDescent="0.3">
      <c r="J52480"/>
    </row>
    <row r="52481" spans="10:10" x14ac:dyDescent="0.3">
      <c r="J52481"/>
    </row>
    <row r="52482" spans="10:10" x14ac:dyDescent="0.3">
      <c r="J52482"/>
    </row>
    <row r="52483" spans="10:10" x14ac:dyDescent="0.3">
      <c r="J52483"/>
    </row>
    <row r="52484" spans="10:10" x14ac:dyDescent="0.3">
      <c r="J52484"/>
    </row>
    <row r="52485" spans="10:10" x14ac:dyDescent="0.3">
      <c r="J52485"/>
    </row>
    <row r="52486" spans="10:10" x14ac:dyDescent="0.3">
      <c r="J52486"/>
    </row>
    <row r="52487" spans="10:10" x14ac:dyDescent="0.3">
      <c r="J52487"/>
    </row>
    <row r="52488" spans="10:10" x14ac:dyDescent="0.3">
      <c r="J52488"/>
    </row>
    <row r="52489" spans="10:10" x14ac:dyDescent="0.3">
      <c r="J52489"/>
    </row>
    <row r="52490" spans="10:10" x14ac:dyDescent="0.3">
      <c r="J52490"/>
    </row>
    <row r="52491" spans="10:10" x14ac:dyDescent="0.3">
      <c r="J52491"/>
    </row>
    <row r="52492" spans="10:10" x14ac:dyDescent="0.3">
      <c r="J52492"/>
    </row>
    <row r="52493" spans="10:10" x14ac:dyDescent="0.3">
      <c r="J52493"/>
    </row>
    <row r="52494" spans="10:10" x14ac:dyDescent="0.3">
      <c r="J52494"/>
    </row>
    <row r="52495" spans="10:10" x14ac:dyDescent="0.3">
      <c r="J52495"/>
    </row>
    <row r="52496" spans="10:10" x14ac:dyDescent="0.3">
      <c r="J52496"/>
    </row>
    <row r="52497" spans="10:10" x14ac:dyDescent="0.3">
      <c r="J52497"/>
    </row>
    <row r="52498" spans="10:10" x14ac:dyDescent="0.3">
      <c r="J52498"/>
    </row>
    <row r="52499" spans="10:10" x14ac:dyDescent="0.3">
      <c r="J52499"/>
    </row>
    <row r="52500" spans="10:10" x14ac:dyDescent="0.3">
      <c r="J52500"/>
    </row>
    <row r="52501" spans="10:10" x14ac:dyDescent="0.3">
      <c r="J52501"/>
    </row>
    <row r="52502" spans="10:10" x14ac:dyDescent="0.3">
      <c r="J52502"/>
    </row>
    <row r="52503" spans="10:10" x14ac:dyDescent="0.3">
      <c r="J52503"/>
    </row>
    <row r="52504" spans="10:10" x14ac:dyDescent="0.3">
      <c r="J52504"/>
    </row>
    <row r="52505" spans="10:10" x14ac:dyDescent="0.3">
      <c r="J52505"/>
    </row>
    <row r="52506" spans="10:10" x14ac:dyDescent="0.3">
      <c r="J52506"/>
    </row>
    <row r="52507" spans="10:10" x14ac:dyDescent="0.3">
      <c r="J52507"/>
    </row>
    <row r="52508" spans="10:10" x14ac:dyDescent="0.3">
      <c r="J52508"/>
    </row>
    <row r="52509" spans="10:10" x14ac:dyDescent="0.3">
      <c r="J52509"/>
    </row>
    <row r="52510" spans="10:10" x14ac:dyDescent="0.3">
      <c r="J52510"/>
    </row>
    <row r="52511" spans="10:10" x14ac:dyDescent="0.3">
      <c r="J52511"/>
    </row>
    <row r="52512" spans="10:10" x14ac:dyDescent="0.3">
      <c r="J52512"/>
    </row>
    <row r="52513" spans="10:10" x14ac:dyDescent="0.3">
      <c r="J52513"/>
    </row>
    <row r="52514" spans="10:10" x14ac:dyDescent="0.3">
      <c r="J52514"/>
    </row>
    <row r="52515" spans="10:10" x14ac:dyDescent="0.3">
      <c r="J52515"/>
    </row>
    <row r="52516" spans="10:10" x14ac:dyDescent="0.3">
      <c r="J52516"/>
    </row>
    <row r="52517" spans="10:10" x14ac:dyDescent="0.3">
      <c r="J52517"/>
    </row>
    <row r="52518" spans="10:10" x14ac:dyDescent="0.3">
      <c r="J52518"/>
    </row>
    <row r="52519" spans="10:10" x14ac:dyDescent="0.3">
      <c r="J52519"/>
    </row>
    <row r="52520" spans="10:10" x14ac:dyDescent="0.3">
      <c r="J52520"/>
    </row>
    <row r="52521" spans="10:10" x14ac:dyDescent="0.3">
      <c r="J52521"/>
    </row>
    <row r="52522" spans="10:10" x14ac:dyDescent="0.3">
      <c r="J52522"/>
    </row>
    <row r="52523" spans="10:10" x14ac:dyDescent="0.3">
      <c r="J52523"/>
    </row>
    <row r="52524" spans="10:10" x14ac:dyDescent="0.3">
      <c r="J52524"/>
    </row>
    <row r="52525" spans="10:10" x14ac:dyDescent="0.3">
      <c r="J52525"/>
    </row>
    <row r="52526" spans="10:10" x14ac:dyDescent="0.3">
      <c r="J52526"/>
    </row>
    <row r="52527" spans="10:10" x14ac:dyDescent="0.3">
      <c r="J52527"/>
    </row>
    <row r="52528" spans="10:10" x14ac:dyDescent="0.3">
      <c r="J52528"/>
    </row>
    <row r="52529" spans="10:10" x14ac:dyDescent="0.3">
      <c r="J52529"/>
    </row>
    <row r="52530" spans="10:10" x14ac:dyDescent="0.3">
      <c r="J52530"/>
    </row>
    <row r="52531" spans="10:10" x14ac:dyDescent="0.3">
      <c r="J52531"/>
    </row>
    <row r="52532" spans="10:10" x14ac:dyDescent="0.3">
      <c r="J52532"/>
    </row>
    <row r="52533" spans="10:10" x14ac:dyDescent="0.3">
      <c r="J52533"/>
    </row>
    <row r="52534" spans="10:10" x14ac:dyDescent="0.3">
      <c r="J52534"/>
    </row>
    <row r="52535" spans="10:10" x14ac:dyDescent="0.3">
      <c r="J52535"/>
    </row>
    <row r="52536" spans="10:10" x14ac:dyDescent="0.3">
      <c r="J52536"/>
    </row>
    <row r="52537" spans="10:10" x14ac:dyDescent="0.3">
      <c r="J52537"/>
    </row>
    <row r="52538" spans="10:10" x14ac:dyDescent="0.3">
      <c r="J52538"/>
    </row>
    <row r="52539" spans="10:10" x14ac:dyDescent="0.3">
      <c r="J52539"/>
    </row>
    <row r="52540" spans="10:10" x14ac:dyDescent="0.3">
      <c r="J52540"/>
    </row>
    <row r="52541" spans="10:10" x14ac:dyDescent="0.3">
      <c r="J52541"/>
    </row>
    <row r="52542" spans="10:10" x14ac:dyDescent="0.3">
      <c r="J52542"/>
    </row>
    <row r="52543" spans="10:10" x14ac:dyDescent="0.3">
      <c r="J52543"/>
    </row>
    <row r="52544" spans="10:10" x14ac:dyDescent="0.3">
      <c r="J52544"/>
    </row>
    <row r="52545" spans="10:10" x14ac:dyDescent="0.3">
      <c r="J52545"/>
    </row>
    <row r="52546" spans="10:10" x14ac:dyDescent="0.3">
      <c r="J52546"/>
    </row>
    <row r="52547" spans="10:10" x14ac:dyDescent="0.3">
      <c r="J52547"/>
    </row>
    <row r="52548" spans="10:10" x14ac:dyDescent="0.3">
      <c r="J52548"/>
    </row>
    <row r="52549" spans="10:10" x14ac:dyDescent="0.3">
      <c r="J52549"/>
    </row>
    <row r="52550" spans="10:10" x14ac:dyDescent="0.3">
      <c r="J52550"/>
    </row>
    <row r="52551" spans="10:10" x14ac:dyDescent="0.3">
      <c r="J52551"/>
    </row>
    <row r="52552" spans="10:10" x14ac:dyDescent="0.3">
      <c r="J52552"/>
    </row>
    <row r="52553" spans="10:10" x14ac:dyDescent="0.3">
      <c r="J52553"/>
    </row>
    <row r="52554" spans="10:10" x14ac:dyDescent="0.3">
      <c r="J52554"/>
    </row>
    <row r="52555" spans="10:10" x14ac:dyDescent="0.3">
      <c r="J52555"/>
    </row>
    <row r="52556" spans="10:10" x14ac:dyDescent="0.3">
      <c r="J52556"/>
    </row>
    <row r="52557" spans="10:10" x14ac:dyDescent="0.3">
      <c r="J52557"/>
    </row>
    <row r="52558" spans="10:10" x14ac:dyDescent="0.3">
      <c r="J52558"/>
    </row>
    <row r="52559" spans="10:10" x14ac:dyDescent="0.3">
      <c r="J52559"/>
    </row>
    <row r="52560" spans="10:10" x14ac:dyDescent="0.3">
      <c r="J52560"/>
    </row>
    <row r="52561" spans="10:10" x14ac:dyDescent="0.3">
      <c r="J52561"/>
    </row>
    <row r="52562" spans="10:10" x14ac:dyDescent="0.3">
      <c r="J52562"/>
    </row>
    <row r="52563" spans="10:10" x14ac:dyDescent="0.3">
      <c r="J52563"/>
    </row>
    <row r="52564" spans="10:10" x14ac:dyDescent="0.3">
      <c r="J52564"/>
    </row>
    <row r="52565" spans="10:10" x14ac:dyDescent="0.3">
      <c r="J52565"/>
    </row>
    <row r="52566" spans="10:10" x14ac:dyDescent="0.3">
      <c r="J52566"/>
    </row>
    <row r="52567" spans="10:10" x14ac:dyDescent="0.3">
      <c r="J52567"/>
    </row>
    <row r="52568" spans="10:10" x14ac:dyDescent="0.3">
      <c r="J52568"/>
    </row>
    <row r="52569" spans="10:10" x14ac:dyDescent="0.3">
      <c r="J52569"/>
    </row>
    <row r="52570" spans="10:10" x14ac:dyDescent="0.3">
      <c r="J52570"/>
    </row>
    <row r="52571" spans="10:10" x14ac:dyDescent="0.3">
      <c r="J52571"/>
    </row>
    <row r="52572" spans="10:10" x14ac:dyDescent="0.3">
      <c r="J52572"/>
    </row>
    <row r="52573" spans="10:10" x14ac:dyDescent="0.3">
      <c r="J52573"/>
    </row>
    <row r="52574" spans="10:10" x14ac:dyDescent="0.3">
      <c r="J52574"/>
    </row>
    <row r="52575" spans="10:10" x14ac:dyDescent="0.3">
      <c r="J52575"/>
    </row>
    <row r="52576" spans="10:10" x14ac:dyDescent="0.3">
      <c r="J52576"/>
    </row>
    <row r="52577" spans="10:10" x14ac:dyDescent="0.3">
      <c r="J52577"/>
    </row>
    <row r="52578" spans="10:10" x14ac:dyDescent="0.3">
      <c r="J52578"/>
    </row>
    <row r="52579" spans="10:10" x14ac:dyDescent="0.3">
      <c r="J52579"/>
    </row>
    <row r="52580" spans="10:10" x14ac:dyDescent="0.3">
      <c r="J52580"/>
    </row>
    <row r="52581" spans="10:10" x14ac:dyDescent="0.3">
      <c r="J52581"/>
    </row>
    <row r="52582" spans="10:10" x14ac:dyDescent="0.3">
      <c r="J52582"/>
    </row>
    <row r="52583" spans="10:10" x14ac:dyDescent="0.3">
      <c r="J52583"/>
    </row>
    <row r="52584" spans="10:10" x14ac:dyDescent="0.3">
      <c r="J52584"/>
    </row>
    <row r="52585" spans="10:10" x14ac:dyDescent="0.3">
      <c r="J52585"/>
    </row>
    <row r="52586" spans="10:10" x14ac:dyDescent="0.3">
      <c r="J52586"/>
    </row>
    <row r="52587" spans="10:10" x14ac:dyDescent="0.3">
      <c r="J52587"/>
    </row>
    <row r="52588" spans="10:10" x14ac:dyDescent="0.3">
      <c r="J52588"/>
    </row>
    <row r="52589" spans="10:10" x14ac:dyDescent="0.3">
      <c r="J52589"/>
    </row>
    <row r="52590" spans="10:10" x14ac:dyDescent="0.3">
      <c r="J52590"/>
    </row>
    <row r="52591" spans="10:10" x14ac:dyDescent="0.3">
      <c r="J52591"/>
    </row>
    <row r="52592" spans="10:10" x14ac:dyDescent="0.3">
      <c r="J52592"/>
    </row>
    <row r="52593" spans="10:10" x14ac:dyDescent="0.3">
      <c r="J52593"/>
    </row>
    <row r="52594" spans="10:10" x14ac:dyDescent="0.3">
      <c r="J52594"/>
    </row>
    <row r="52595" spans="10:10" x14ac:dyDescent="0.3">
      <c r="J52595"/>
    </row>
    <row r="52596" spans="10:10" x14ac:dyDescent="0.3">
      <c r="J52596"/>
    </row>
    <row r="52597" spans="10:10" x14ac:dyDescent="0.3">
      <c r="J52597"/>
    </row>
    <row r="52598" spans="10:10" x14ac:dyDescent="0.3">
      <c r="J52598"/>
    </row>
    <row r="52599" spans="10:10" x14ac:dyDescent="0.3">
      <c r="J52599"/>
    </row>
    <row r="52600" spans="10:10" x14ac:dyDescent="0.3">
      <c r="J52600"/>
    </row>
    <row r="52601" spans="10:10" x14ac:dyDescent="0.3">
      <c r="J52601"/>
    </row>
    <row r="52602" spans="10:10" x14ac:dyDescent="0.3">
      <c r="J52602"/>
    </row>
    <row r="52603" spans="10:10" x14ac:dyDescent="0.3">
      <c r="J52603"/>
    </row>
    <row r="52604" spans="10:10" x14ac:dyDescent="0.3">
      <c r="J52604"/>
    </row>
    <row r="52605" spans="10:10" x14ac:dyDescent="0.3">
      <c r="J52605"/>
    </row>
    <row r="52606" spans="10:10" x14ac:dyDescent="0.3">
      <c r="J52606"/>
    </row>
    <row r="52607" spans="10:10" x14ac:dyDescent="0.3">
      <c r="J52607"/>
    </row>
    <row r="52608" spans="10:10" x14ac:dyDescent="0.3">
      <c r="J52608"/>
    </row>
    <row r="52609" spans="10:10" x14ac:dyDescent="0.3">
      <c r="J52609"/>
    </row>
    <row r="52610" spans="10:10" x14ac:dyDescent="0.3">
      <c r="J52610"/>
    </row>
    <row r="52611" spans="10:10" x14ac:dyDescent="0.3">
      <c r="J52611"/>
    </row>
    <row r="52612" spans="10:10" x14ac:dyDescent="0.3">
      <c r="J52612"/>
    </row>
    <row r="52613" spans="10:10" x14ac:dyDescent="0.3">
      <c r="J52613"/>
    </row>
    <row r="52614" spans="10:10" x14ac:dyDescent="0.3">
      <c r="J52614"/>
    </row>
    <row r="52615" spans="10:10" x14ac:dyDescent="0.3">
      <c r="J52615"/>
    </row>
    <row r="52616" spans="10:10" x14ac:dyDescent="0.3">
      <c r="J52616"/>
    </row>
    <row r="52617" spans="10:10" x14ac:dyDescent="0.3">
      <c r="J52617"/>
    </row>
    <row r="52618" spans="10:10" x14ac:dyDescent="0.3">
      <c r="J52618"/>
    </row>
    <row r="52619" spans="10:10" x14ac:dyDescent="0.3">
      <c r="J52619"/>
    </row>
    <row r="52620" spans="10:10" x14ac:dyDescent="0.3">
      <c r="J52620"/>
    </row>
    <row r="52621" spans="10:10" x14ac:dyDescent="0.3">
      <c r="J52621"/>
    </row>
    <row r="52622" spans="10:10" x14ac:dyDescent="0.3">
      <c r="J52622"/>
    </row>
    <row r="52623" spans="10:10" x14ac:dyDescent="0.3">
      <c r="J52623"/>
    </row>
    <row r="52624" spans="10:10" x14ac:dyDescent="0.3">
      <c r="J52624"/>
    </row>
    <row r="52625" spans="10:10" x14ac:dyDescent="0.3">
      <c r="J52625"/>
    </row>
    <row r="52626" spans="10:10" x14ac:dyDescent="0.3">
      <c r="J52626"/>
    </row>
    <row r="52627" spans="10:10" x14ac:dyDescent="0.3">
      <c r="J52627"/>
    </row>
    <row r="52628" spans="10:10" x14ac:dyDescent="0.3">
      <c r="J52628"/>
    </row>
    <row r="52629" spans="10:10" x14ac:dyDescent="0.3">
      <c r="J52629"/>
    </row>
    <row r="52630" spans="10:10" x14ac:dyDescent="0.3">
      <c r="J52630"/>
    </row>
    <row r="52631" spans="10:10" x14ac:dyDescent="0.3">
      <c r="J52631"/>
    </row>
    <row r="52632" spans="10:10" x14ac:dyDescent="0.3">
      <c r="J52632"/>
    </row>
    <row r="52633" spans="10:10" x14ac:dyDescent="0.3">
      <c r="J52633"/>
    </row>
    <row r="52634" spans="10:10" x14ac:dyDescent="0.3">
      <c r="J52634"/>
    </row>
    <row r="52635" spans="10:10" x14ac:dyDescent="0.3">
      <c r="J52635"/>
    </row>
    <row r="52636" spans="10:10" x14ac:dyDescent="0.3">
      <c r="J52636"/>
    </row>
    <row r="52637" spans="10:10" x14ac:dyDescent="0.3">
      <c r="J52637"/>
    </row>
    <row r="52638" spans="10:10" x14ac:dyDescent="0.3">
      <c r="J52638"/>
    </row>
    <row r="52639" spans="10:10" x14ac:dyDescent="0.3">
      <c r="J52639"/>
    </row>
    <row r="52640" spans="10:10" x14ac:dyDescent="0.3">
      <c r="J52640"/>
    </row>
    <row r="52641" spans="10:10" x14ac:dyDescent="0.3">
      <c r="J52641"/>
    </row>
    <row r="52642" spans="10:10" x14ac:dyDescent="0.3">
      <c r="J52642"/>
    </row>
    <row r="52643" spans="10:10" x14ac:dyDescent="0.3">
      <c r="J52643"/>
    </row>
    <row r="52644" spans="10:10" x14ac:dyDescent="0.3">
      <c r="J52644"/>
    </row>
    <row r="52645" spans="10:10" x14ac:dyDescent="0.3">
      <c r="J52645"/>
    </row>
    <row r="52646" spans="10:10" x14ac:dyDescent="0.3">
      <c r="J52646"/>
    </row>
    <row r="52647" spans="10:10" x14ac:dyDescent="0.3">
      <c r="J52647"/>
    </row>
    <row r="52648" spans="10:10" x14ac:dyDescent="0.3">
      <c r="J52648"/>
    </row>
    <row r="52649" spans="10:10" x14ac:dyDescent="0.3">
      <c r="J52649"/>
    </row>
    <row r="52650" spans="10:10" x14ac:dyDescent="0.3">
      <c r="J52650"/>
    </row>
    <row r="52651" spans="10:10" x14ac:dyDescent="0.3">
      <c r="J52651"/>
    </row>
    <row r="52652" spans="10:10" x14ac:dyDescent="0.3">
      <c r="J52652"/>
    </row>
    <row r="52653" spans="10:10" x14ac:dyDescent="0.3">
      <c r="J52653"/>
    </row>
    <row r="52654" spans="10:10" x14ac:dyDescent="0.3">
      <c r="J52654"/>
    </row>
    <row r="52655" spans="10:10" x14ac:dyDescent="0.3">
      <c r="J52655"/>
    </row>
    <row r="52656" spans="10:10" x14ac:dyDescent="0.3">
      <c r="J52656"/>
    </row>
    <row r="52657" spans="10:10" x14ac:dyDescent="0.3">
      <c r="J52657"/>
    </row>
    <row r="52658" spans="10:10" x14ac:dyDescent="0.3">
      <c r="J52658"/>
    </row>
    <row r="52659" spans="10:10" x14ac:dyDescent="0.3">
      <c r="J52659"/>
    </row>
    <row r="52660" spans="10:10" x14ac:dyDescent="0.3">
      <c r="J52660"/>
    </row>
    <row r="52661" spans="10:10" x14ac:dyDescent="0.3">
      <c r="J52661"/>
    </row>
    <row r="52662" spans="10:10" x14ac:dyDescent="0.3">
      <c r="J52662"/>
    </row>
    <row r="52663" spans="10:10" x14ac:dyDescent="0.3">
      <c r="J52663"/>
    </row>
    <row r="52664" spans="10:10" x14ac:dyDescent="0.3">
      <c r="J52664"/>
    </row>
    <row r="52665" spans="10:10" x14ac:dyDescent="0.3">
      <c r="J52665"/>
    </row>
    <row r="52666" spans="10:10" x14ac:dyDescent="0.3">
      <c r="J52666"/>
    </row>
    <row r="52667" spans="10:10" x14ac:dyDescent="0.3">
      <c r="J52667"/>
    </row>
    <row r="52668" spans="10:10" x14ac:dyDescent="0.3">
      <c r="J52668"/>
    </row>
    <row r="52669" spans="10:10" x14ac:dyDescent="0.3">
      <c r="J52669"/>
    </row>
    <row r="52670" spans="10:10" x14ac:dyDescent="0.3">
      <c r="J52670"/>
    </row>
    <row r="52671" spans="10:10" x14ac:dyDescent="0.3">
      <c r="J52671"/>
    </row>
    <row r="52672" spans="10:10" x14ac:dyDescent="0.3">
      <c r="J52672"/>
    </row>
    <row r="52673" spans="10:10" x14ac:dyDescent="0.3">
      <c r="J52673"/>
    </row>
    <row r="52674" spans="10:10" x14ac:dyDescent="0.3">
      <c r="J52674"/>
    </row>
    <row r="52675" spans="10:10" x14ac:dyDescent="0.3">
      <c r="J52675"/>
    </row>
    <row r="52676" spans="10:10" x14ac:dyDescent="0.3">
      <c r="J52676"/>
    </row>
    <row r="52677" spans="10:10" x14ac:dyDescent="0.3">
      <c r="J52677"/>
    </row>
    <row r="52678" spans="10:10" x14ac:dyDescent="0.3">
      <c r="J52678"/>
    </row>
    <row r="52679" spans="10:10" x14ac:dyDescent="0.3">
      <c r="J52679"/>
    </row>
    <row r="52680" spans="10:10" x14ac:dyDescent="0.3">
      <c r="J52680"/>
    </row>
    <row r="52681" spans="10:10" x14ac:dyDescent="0.3">
      <c r="J52681"/>
    </row>
    <row r="52682" spans="10:10" x14ac:dyDescent="0.3">
      <c r="J52682"/>
    </row>
    <row r="52683" spans="10:10" x14ac:dyDescent="0.3">
      <c r="J52683"/>
    </row>
    <row r="52684" spans="10:10" x14ac:dyDescent="0.3">
      <c r="J52684"/>
    </row>
    <row r="52685" spans="10:10" x14ac:dyDescent="0.3">
      <c r="J52685"/>
    </row>
    <row r="52686" spans="10:10" x14ac:dyDescent="0.3">
      <c r="J52686"/>
    </row>
    <row r="52687" spans="10:10" x14ac:dyDescent="0.3">
      <c r="J52687"/>
    </row>
    <row r="52688" spans="10:10" x14ac:dyDescent="0.3">
      <c r="J52688"/>
    </row>
    <row r="52689" spans="10:10" x14ac:dyDescent="0.3">
      <c r="J52689"/>
    </row>
    <row r="52690" spans="10:10" x14ac:dyDescent="0.3">
      <c r="J52690"/>
    </row>
    <row r="52691" spans="10:10" x14ac:dyDescent="0.3">
      <c r="J52691"/>
    </row>
    <row r="52692" spans="10:10" x14ac:dyDescent="0.3">
      <c r="J52692"/>
    </row>
    <row r="52693" spans="10:10" x14ac:dyDescent="0.3">
      <c r="J52693"/>
    </row>
    <row r="52694" spans="10:10" x14ac:dyDescent="0.3">
      <c r="J52694"/>
    </row>
    <row r="52695" spans="10:10" x14ac:dyDescent="0.3">
      <c r="J52695"/>
    </row>
    <row r="52696" spans="10:10" x14ac:dyDescent="0.3">
      <c r="J52696"/>
    </row>
    <row r="52697" spans="10:10" x14ac:dyDescent="0.3">
      <c r="J52697"/>
    </row>
    <row r="52698" spans="10:10" x14ac:dyDescent="0.3">
      <c r="J52698"/>
    </row>
    <row r="52699" spans="10:10" x14ac:dyDescent="0.3">
      <c r="J52699"/>
    </row>
    <row r="52700" spans="10:10" x14ac:dyDescent="0.3">
      <c r="J52700"/>
    </row>
    <row r="52701" spans="10:10" x14ac:dyDescent="0.3">
      <c r="J52701"/>
    </row>
    <row r="52702" spans="10:10" x14ac:dyDescent="0.3">
      <c r="J52702"/>
    </row>
    <row r="52703" spans="10:10" x14ac:dyDescent="0.3">
      <c r="J52703"/>
    </row>
    <row r="52704" spans="10:10" x14ac:dyDescent="0.3">
      <c r="J52704"/>
    </row>
    <row r="52705" spans="10:10" x14ac:dyDescent="0.3">
      <c r="J52705"/>
    </row>
    <row r="52706" spans="10:10" x14ac:dyDescent="0.3">
      <c r="J52706"/>
    </row>
    <row r="52707" spans="10:10" x14ac:dyDescent="0.3">
      <c r="J52707"/>
    </row>
    <row r="52708" spans="10:10" x14ac:dyDescent="0.3">
      <c r="J52708"/>
    </row>
    <row r="52709" spans="10:10" x14ac:dyDescent="0.3">
      <c r="J52709"/>
    </row>
    <row r="52710" spans="10:10" x14ac:dyDescent="0.3">
      <c r="J52710"/>
    </row>
    <row r="52711" spans="10:10" x14ac:dyDescent="0.3">
      <c r="J52711"/>
    </row>
    <row r="52712" spans="10:10" x14ac:dyDescent="0.3">
      <c r="J52712"/>
    </row>
    <row r="52713" spans="10:10" x14ac:dyDescent="0.3">
      <c r="J52713"/>
    </row>
    <row r="52714" spans="10:10" x14ac:dyDescent="0.3">
      <c r="J52714"/>
    </row>
    <row r="52715" spans="10:10" x14ac:dyDescent="0.3">
      <c r="J52715"/>
    </row>
    <row r="52716" spans="10:10" x14ac:dyDescent="0.3">
      <c r="J52716"/>
    </row>
    <row r="52717" spans="10:10" x14ac:dyDescent="0.3">
      <c r="J52717"/>
    </row>
    <row r="52718" spans="10:10" x14ac:dyDescent="0.3">
      <c r="J52718"/>
    </row>
    <row r="52719" spans="10:10" x14ac:dyDescent="0.3">
      <c r="J52719"/>
    </row>
    <row r="52720" spans="10:10" x14ac:dyDescent="0.3">
      <c r="J52720"/>
    </row>
    <row r="52721" spans="10:10" x14ac:dyDescent="0.3">
      <c r="J52721"/>
    </row>
    <row r="52722" spans="10:10" x14ac:dyDescent="0.3">
      <c r="J52722"/>
    </row>
    <row r="52723" spans="10:10" x14ac:dyDescent="0.3">
      <c r="J52723"/>
    </row>
    <row r="52724" spans="10:10" x14ac:dyDescent="0.3">
      <c r="J52724"/>
    </row>
    <row r="52725" spans="10:10" x14ac:dyDescent="0.3">
      <c r="J52725"/>
    </row>
    <row r="52726" spans="10:10" x14ac:dyDescent="0.3">
      <c r="J52726"/>
    </row>
    <row r="52727" spans="10:10" x14ac:dyDescent="0.3">
      <c r="J52727"/>
    </row>
    <row r="52728" spans="10:10" x14ac:dyDescent="0.3">
      <c r="J52728"/>
    </row>
    <row r="52729" spans="10:10" x14ac:dyDescent="0.3">
      <c r="J52729"/>
    </row>
    <row r="52730" spans="10:10" x14ac:dyDescent="0.3">
      <c r="J52730"/>
    </row>
    <row r="52731" spans="10:10" x14ac:dyDescent="0.3">
      <c r="J52731"/>
    </row>
    <row r="52732" spans="10:10" x14ac:dyDescent="0.3">
      <c r="J52732"/>
    </row>
    <row r="52733" spans="10:10" x14ac:dyDescent="0.3">
      <c r="J52733"/>
    </row>
    <row r="52734" spans="10:10" x14ac:dyDescent="0.3">
      <c r="J52734"/>
    </row>
    <row r="52735" spans="10:10" x14ac:dyDescent="0.3">
      <c r="J52735"/>
    </row>
    <row r="52736" spans="10:10" x14ac:dyDescent="0.3">
      <c r="J52736"/>
    </row>
    <row r="52737" spans="10:10" x14ac:dyDescent="0.3">
      <c r="J52737"/>
    </row>
    <row r="52738" spans="10:10" x14ac:dyDescent="0.3">
      <c r="J52738"/>
    </row>
    <row r="52739" spans="10:10" x14ac:dyDescent="0.3">
      <c r="J52739"/>
    </row>
    <row r="52740" spans="10:10" x14ac:dyDescent="0.3">
      <c r="J52740"/>
    </row>
    <row r="52741" spans="10:10" x14ac:dyDescent="0.3">
      <c r="J52741"/>
    </row>
    <row r="52742" spans="10:10" x14ac:dyDescent="0.3">
      <c r="J52742"/>
    </row>
    <row r="52743" spans="10:10" x14ac:dyDescent="0.3">
      <c r="J52743"/>
    </row>
    <row r="52744" spans="10:10" x14ac:dyDescent="0.3">
      <c r="J52744"/>
    </row>
    <row r="52745" spans="10:10" x14ac:dyDescent="0.3">
      <c r="J52745"/>
    </row>
    <row r="52746" spans="10:10" x14ac:dyDescent="0.3">
      <c r="J52746"/>
    </row>
    <row r="52747" spans="10:10" x14ac:dyDescent="0.3">
      <c r="J52747"/>
    </row>
    <row r="52748" spans="10:10" x14ac:dyDescent="0.3">
      <c r="J52748"/>
    </row>
    <row r="52749" spans="10:10" x14ac:dyDescent="0.3">
      <c r="J52749"/>
    </row>
    <row r="52750" spans="10:10" x14ac:dyDescent="0.3">
      <c r="J52750"/>
    </row>
    <row r="52751" spans="10:10" x14ac:dyDescent="0.3">
      <c r="J52751"/>
    </row>
    <row r="52752" spans="10:10" x14ac:dyDescent="0.3">
      <c r="J52752"/>
    </row>
    <row r="52753" spans="10:10" x14ac:dyDescent="0.3">
      <c r="J52753"/>
    </row>
    <row r="52754" spans="10:10" x14ac:dyDescent="0.3">
      <c r="J52754"/>
    </row>
    <row r="52755" spans="10:10" x14ac:dyDescent="0.3">
      <c r="J52755"/>
    </row>
    <row r="52756" spans="10:10" x14ac:dyDescent="0.3">
      <c r="J52756"/>
    </row>
    <row r="52757" spans="10:10" x14ac:dyDescent="0.3">
      <c r="J52757"/>
    </row>
    <row r="52758" spans="10:10" x14ac:dyDescent="0.3">
      <c r="J52758"/>
    </row>
    <row r="52759" spans="10:10" x14ac:dyDescent="0.3">
      <c r="J52759"/>
    </row>
    <row r="52760" spans="10:10" x14ac:dyDescent="0.3">
      <c r="J52760"/>
    </row>
    <row r="52761" spans="10:10" x14ac:dyDescent="0.3">
      <c r="J52761"/>
    </row>
    <row r="52762" spans="10:10" x14ac:dyDescent="0.3">
      <c r="J52762"/>
    </row>
    <row r="52763" spans="10:10" x14ac:dyDescent="0.3">
      <c r="J52763"/>
    </row>
    <row r="52764" spans="10:10" x14ac:dyDescent="0.3">
      <c r="J52764"/>
    </row>
    <row r="52765" spans="10:10" x14ac:dyDescent="0.3">
      <c r="J52765"/>
    </row>
    <row r="52766" spans="10:10" x14ac:dyDescent="0.3">
      <c r="J52766"/>
    </row>
    <row r="52767" spans="10:10" x14ac:dyDescent="0.3">
      <c r="J52767"/>
    </row>
    <row r="52768" spans="10:10" x14ac:dyDescent="0.3">
      <c r="J52768"/>
    </row>
    <row r="52769" spans="10:10" x14ac:dyDescent="0.3">
      <c r="J52769"/>
    </row>
    <row r="52770" spans="10:10" x14ac:dyDescent="0.3">
      <c r="J52770"/>
    </row>
    <row r="52771" spans="10:10" x14ac:dyDescent="0.3">
      <c r="J52771"/>
    </row>
    <row r="52772" spans="10:10" x14ac:dyDescent="0.3">
      <c r="J52772"/>
    </row>
    <row r="52773" spans="10:10" x14ac:dyDescent="0.3">
      <c r="J52773"/>
    </row>
    <row r="52774" spans="10:10" x14ac:dyDescent="0.3">
      <c r="J52774"/>
    </row>
    <row r="52775" spans="10:10" x14ac:dyDescent="0.3">
      <c r="J52775"/>
    </row>
    <row r="52776" spans="10:10" x14ac:dyDescent="0.3">
      <c r="J52776"/>
    </row>
    <row r="52777" spans="10:10" x14ac:dyDescent="0.3">
      <c r="J52777"/>
    </row>
    <row r="52778" spans="10:10" x14ac:dyDescent="0.3">
      <c r="J52778"/>
    </row>
    <row r="52779" spans="10:10" x14ac:dyDescent="0.3">
      <c r="J52779"/>
    </row>
    <row r="52780" spans="10:10" x14ac:dyDescent="0.3">
      <c r="J52780"/>
    </row>
    <row r="52781" spans="10:10" x14ac:dyDescent="0.3">
      <c r="J52781"/>
    </row>
    <row r="52782" spans="10:10" x14ac:dyDescent="0.3">
      <c r="J52782"/>
    </row>
    <row r="52783" spans="10:10" x14ac:dyDescent="0.3">
      <c r="J52783"/>
    </row>
    <row r="52784" spans="10:10" x14ac:dyDescent="0.3">
      <c r="J52784"/>
    </row>
    <row r="52785" spans="10:10" x14ac:dyDescent="0.3">
      <c r="J52785"/>
    </row>
    <row r="52786" spans="10:10" x14ac:dyDescent="0.3">
      <c r="J52786"/>
    </row>
    <row r="52787" spans="10:10" x14ac:dyDescent="0.3">
      <c r="J52787"/>
    </row>
    <row r="52788" spans="10:10" x14ac:dyDescent="0.3">
      <c r="J52788"/>
    </row>
    <row r="52789" spans="10:10" x14ac:dyDescent="0.3">
      <c r="J52789"/>
    </row>
    <row r="52790" spans="10:10" x14ac:dyDescent="0.3">
      <c r="J52790"/>
    </row>
    <row r="52791" spans="10:10" x14ac:dyDescent="0.3">
      <c r="J52791"/>
    </row>
    <row r="52792" spans="10:10" x14ac:dyDescent="0.3">
      <c r="J52792"/>
    </row>
    <row r="52793" spans="10:10" x14ac:dyDescent="0.3">
      <c r="J52793"/>
    </row>
    <row r="52794" spans="10:10" x14ac:dyDescent="0.3">
      <c r="J52794"/>
    </row>
    <row r="52795" spans="10:10" x14ac:dyDescent="0.3">
      <c r="J52795"/>
    </row>
    <row r="52796" spans="10:10" x14ac:dyDescent="0.3">
      <c r="J52796"/>
    </row>
    <row r="52797" spans="10:10" x14ac:dyDescent="0.3">
      <c r="J52797"/>
    </row>
    <row r="52798" spans="10:10" x14ac:dyDescent="0.3">
      <c r="J52798"/>
    </row>
    <row r="52799" spans="10:10" x14ac:dyDescent="0.3">
      <c r="J52799"/>
    </row>
    <row r="52800" spans="10:10" x14ac:dyDescent="0.3">
      <c r="J52800"/>
    </row>
    <row r="52801" spans="10:10" x14ac:dyDescent="0.3">
      <c r="J52801"/>
    </row>
    <row r="52802" spans="10:10" x14ac:dyDescent="0.3">
      <c r="J52802"/>
    </row>
    <row r="52803" spans="10:10" x14ac:dyDescent="0.3">
      <c r="J52803"/>
    </row>
    <row r="52804" spans="10:10" x14ac:dyDescent="0.3">
      <c r="J52804"/>
    </row>
    <row r="52805" spans="10:10" x14ac:dyDescent="0.3">
      <c r="J52805"/>
    </row>
    <row r="52806" spans="10:10" x14ac:dyDescent="0.3">
      <c r="J52806"/>
    </row>
    <row r="52807" spans="10:10" x14ac:dyDescent="0.3">
      <c r="J52807"/>
    </row>
    <row r="52808" spans="10:10" x14ac:dyDescent="0.3">
      <c r="J52808"/>
    </row>
    <row r="52809" spans="10:10" x14ac:dyDescent="0.3">
      <c r="J52809"/>
    </row>
    <row r="52810" spans="10:10" x14ac:dyDescent="0.3">
      <c r="J52810"/>
    </row>
    <row r="52811" spans="10:10" x14ac:dyDescent="0.3">
      <c r="J52811"/>
    </row>
    <row r="52812" spans="10:10" x14ac:dyDescent="0.3">
      <c r="J52812"/>
    </row>
    <row r="52813" spans="10:10" x14ac:dyDescent="0.3">
      <c r="J52813"/>
    </row>
    <row r="52814" spans="10:10" x14ac:dyDescent="0.3">
      <c r="J52814"/>
    </row>
    <row r="52815" spans="10:10" x14ac:dyDescent="0.3">
      <c r="J52815"/>
    </row>
    <row r="52816" spans="10:10" x14ac:dyDescent="0.3">
      <c r="J52816"/>
    </row>
    <row r="52817" spans="10:10" x14ac:dyDescent="0.3">
      <c r="J52817"/>
    </row>
    <row r="52818" spans="10:10" x14ac:dyDescent="0.3">
      <c r="J52818"/>
    </row>
    <row r="52819" spans="10:10" x14ac:dyDescent="0.3">
      <c r="J52819"/>
    </row>
    <row r="52820" spans="10:10" x14ac:dyDescent="0.3">
      <c r="J52820"/>
    </row>
    <row r="52821" spans="10:10" x14ac:dyDescent="0.3">
      <c r="J52821"/>
    </row>
    <row r="52822" spans="10:10" x14ac:dyDescent="0.3">
      <c r="J52822"/>
    </row>
    <row r="52823" spans="10:10" x14ac:dyDescent="0.3">
      <c r="J52823"/>
    </row>
    <row r="52824" spans="10:10" x14ac:dyDescent="0.3">
      <c r="J52824"/>
    </row>
    <row r="52825" spans="10:10" x14ac:dyDescent="0.3">
      <c r="J52825"/>
    </row>
    <row r="52826" spans="10:10" x14ac:dyDescent="0.3">
      <c r="J52826"/>
    </row>
    <row r="52827" spans="10:10" x14ac:dyDescent="0.3">
      <c r="J52827"/>
    </row>
    <row r="52828" spans="10:10" x14ac:dyDescent="0.3">
      <c r="J52828"/>
    </row>
    <row r="52829" spans="10:10" x14ac:dyDescent="0.3">
      <c r="J52829"/>
    </row>
    <row r="52830" spans="10:10" x14ac:dyDescent="0.3">
      <c r="J52830"/>
    </row>
    <row r="52831" spans="10:10" x14ac:dyDescent="0.3">
      <c r="J52831"/>
    </row>
    <row r="52832" spans="10:10" x14ac:dyDescent="0.3">
      <c r="J52832"/>
    </row>
    <row r="52833" spans="10:10" x14ac:dyDescent="0.3">
      <c r="J52833"/>
    </row>
    <row r="52834" spans="10:10" x14ac:dyDescent="0.3">
      <c r="J52834"/>
    </row>
    <row r="52835" spans="10:10" x14ac:dyDescent="0.3">
      <c r="J52835"/>
    </row>
    <row r="52836" spans="10:10" x14ac:dyDescent="0.3">
      <c r="J52836"/>
    </row>
    <row r="52837" spans="10:10" x14ac:dyDescent="0.3">
      <c r="J52837"/>
    </row>
    <row r="52838" spans="10:10" x14ac:dyDescent="0.3">
      <c r="J52838"/>
    </row>
    <row r="52839" spans="10:10" x14ac:dyDescent="0.3">
      <c r="J52839"/>
    </row>
    <row r="52840" spans="10:10" x14ac:dyDescent="0.3">
      <c r="J52840"/>
    </row>
    <row r="52841" spans="10:10" x14ac:dyDescent="0.3">
      <c r="J52841"/>
    </row>
    <row r="52842" spans="10:10" x14ac:dyDescent="0.3">
      <c r="J52842"/>
    </row>
    <row r="52843" spans="10:10" x14ac:dyDescent="0.3">
      <c r="J52843"/>
    </row>
    <row r="52844" spans="10:10" x14ac:dyDescent="0.3">
      <c r="J52844"/>
    </row>
    <row r="52845" spans="10:10" x14ac:dyDescent="0.3">
      <c r="J52845"/>
    </row>
    <row r="52846" spans="10:10" x14ac:dyDescent="0.3">
      <c r="J52846"/>
    </row>
    <row r="52847" spans="10:10" x14ac:dyDescent="0.3">
      <c r="J52847"/>
    </row>
    <row r="52848" spans="10:10" x14ac:dyDescent="0.3">
      <c r="J52848"/>
    </row>
    <row r="52849" spans="10:10" x14ac:dyDescent="0.3">
      <c r="J52849"/>
    </row>
    <row r="52850" spans="10:10" x14ac:dyDescent="0.3">
      <c r="J52850"/>
    </row>
    <row r="52851" spans="10:10" x14ac:dyDescent="0.3">
      <c r="J52851"/>
    </row>
    <row r="52852" spans="10:10" x14ac:dyDescent="0.3">
      <c r="J52852"/>
    </row>
    <row r="52853" spans="10:10" x14ac:dyDescent="0.3">
      <c r="J52853"/>
    </row>
    <row r="52854" spans="10:10" x14ac:dyDescent="0.3">
      <c r="J52854"/>
    </row>
    <row r="52855" spans="10:10" x14ac:dyDescent="0.3">
      <c r="J52855"/>
    </row>
    <row r="52856" spans="10:10" x14ac:dyDescent="0.3">
      <c r="J52856"/>
    </row>
    <row r="52857" spans="10:10" x14ac:dyDescent="0.3">
      <c r="J52857"/>
    </row>
    <row r="52858" spans="10:10" x14ac:dyDescent="0.3">
      <c r="J52858"/>
    </row>
    <row r="52859" spans="10:10" x14ac:dyDescent="0.3">
      <c r="J52859"/>
    </row>
    <row r="52860" spans="10:10" x14ac:dyDescent="0.3">
      <c r="J52860"/>
    </row>
    <row r="52861" spans="10:10" x14ac:dyDescent="0.3">
      <c r="J52861"/>
    </row>
    <row r="52862" spans="10:10" x14ac:dyDescent="0.3">
      <c r="J52862"/>
    </row>
    <row r="52863" spans="10:10" x14ac:dyDescent="0.3">
      <c r="J52863"/>
    </row>
    <row r="52864" spans="10:10" x14ac:dyDescent="0.3">
      <c r="J52864"/>
    </row>
    <row r="52865" spans="10:10" x14ac:dyDescent="0.3">
      <c r="J52865"/>
    </row>
    <row r="52866" spans="10:10" x14ac:dyDescent="0.3">
      <c r="J52866"/>
    </row>
    <row r="52867" spans="10:10" x14ac:dyDescent="0.3">
      <c r="J52867"/>
    </row>
    <row r="52868" spans="10:10" x14ac:dyDescent="0.3">
      <c r="J52868"/>
    </row>
    <row r="52869" spans="10:10" x14ac:dyDescent="0.3">
      <c r="J52869"/>
    </row>
    <row r="52870" spans="10:10" x14ac:dyDescent="0.3">
      <c r="J52870"/>
    </row>
    <row r="52871" spans="10:10" x14ac:dyDescent="0.3">
      <c r="J52871"/>
    </row>
    <row r="52872" spans="10:10" x14ac:dyDescent="0.3">
      <c r="J52872"/>
    </row>
    <row r="52873" spans="10:10" x14ac:dyDescent="0.3">
      <c r="J52873"/>
    </row>
    <row r="52874" spans="10:10" x14ac:dyDescent="0.3">
      <c r="J52874"/>
    </row>
    <row r="52875" spans="10:10" x14ac:dyDescent="0.3">
      <c r="J52875"/>
    </row>
    <row r="52876" spans="10:10" x14ac:dyDescent="0.3">
      <c r="J52876"/>
    </row>
    <row r="52877" spans="10:10" x14ac:dyDescent="0.3">
      <c r="J52877"/>
    </row>
    <row r="52878" spans="10:10" x14ac:dyDescent="0.3">
      <c r="J52878"/>
    </row>
    <row r="52879" spans="10:10" x14ac:dyDescent="0.3">
      <c r="J52879"/>
    </row>
    <row r="52880" spans="10:10" x14ac:dyDescent="0.3">
      <c r="J52880"/>
    </row>
    <row r="52881" spans="10:10" x14ac:dyDescent="0.3">
      <c r="J52881"/>
    </row>
    <row r="52882" spans="10:10" x14ac:dyDescent="0.3">
      <c r="J52882"/>
    </row>
    <row r="52883" spans="10:10" x14ac:dyDescent="0.3">
      <c r="J52883"/>
    </row>
    <row r="52884" spans="10:10" x14ac:dyDescent="0.3">
      <c r="J52884"/>
    </row>
    <row r="52885" spans="10:10" x14ac:dyDescent="0.3">
      <c r="J52885"/>
    </row>
    <row r="52886" spans="10:10" x14ac:dyDescent="0.3">
      <c r="J52886"/>
    </row>
    <row r="52887" spans="10:10" x14ac:dyDescent="0.3">
      <c r="J52887"/>
    </row>
    <row r="52888" spans="10:10" x14ac:dyDescent="0.3">
      <c r="J52888"/>
    </row>
    <row r="52889" spans="10:10" x14ac:dyDescent="0.3">
      <c r="J52889"/>
    </row>
    <row r="52890" spans="10:10" x14ac:dyDescent="0.3">
      <c r="J52890"/>
    </row>
    <row r="52891" spans="10:10" x14ac:dyDescent="0.3">
      <c r="J52891"/>
    </row>
    <row r="52892" spans="10:10" x14ac:dyDescent="0.3">
      <c r="J52892"/>
    </row>
    <row r="52893" spans="10:10" x14ac:dyDescent="0.3">
      <c r="J52893"/>
    </row>
    <row r="52894" spans="10:10" x14ac:dyDescent="0.3">
      <c r="J52894"/>
    </row>
    <row r="52895" spans="10:10" x14ac:dyDescent="0.3">
      <c r="J52895"/>
    </row>
    <row r="52896" spans="10:10" x14ac:dyDescent="0.3">
      <c r="J52896"/>
    </row>
    <row r="52897" spans="10:10" x14ac:dyDescent="0.3">
      <c r="J52897"/>
    </row>
    <row r="52898" spans="10:10" x14ac:dyDescent="0.3">
      <c r="J52898"/>
    </row>
    <row r="52899" spans="10:10" x14ac:dyDescent="0.3">
      <c r="J52899"/>
    </row>
    <row r="52900" spans="10:10" x14ac:dyDescent="0.3">
      <c r="J52900"/>
    </row>
    <row r="52901" spans="10:10" x14ac:dyDescent="0.3">
      <c r="J52901"/>
    </row>
    <row r="52902" spans="10:10" x14ac:dyDescent="0.3">
      <c r="J52902"/>
    </row>
    <row r="52903" spans="10:10" x14ac:dyDescent="0.3">
      <c r="J52903"/>
    </row>
    <row r="52904" spans="10:10" x14ac:dyDescent="0.3">
      <c r="J52904"/>
    </row>
    <row r="52905" spans="10:10" x14ac:dyDescent="0.3">
      <c r="J52905"/>
    </row>
    <row r="52906" spans="10:10" x14ac:dyDescent="0.3">
      <c r="J52906"/>
    </row>
    <row r="52907" spans="10:10" x14ac:dyDescent="0.3">
      <c r="J52907"/>
    </row>
    <row r="52908" spans="10:10" x14ac:dyDescent="0.3">
      <c r="J52908"/>
    </row>
    <row r="52909" spans="10:10" x14ac:dyDescent="0.3">
      <c r="J52909"/>
    </row>
    <row r="52910" spans="10:10" x14ac:dyDescent="0.3">
      <c r="J52910"/>
    </row>
    <row r="52911" spans="10:10" x14ac:dyDescent="0.3">
      <c r="J52911"/>
    </row>
    <row r="52912" spans="10:10" x14ac:dyDescent="0.3">
      <c r="J52912"/>
    </row>
    <row r="52913" spans="10:10" x14ac:dyDescent="0.3">
      <c r="J52913"/>
    </row>
    <row r="52914" spans="10:10" x14ac:dyDescent="0.3">
      <c r="J52914"/>
    </row>
    <row r="52915" spans="10:10" x14ac:dyDescent="0.3">
      <c r="J52915"/>
    </row>
    <row r="52916" spans="10:10" x14ac:dyDescent="0.3">
      <c r="J52916"/>
    </row>
    <row r="52917" spans="10:10" x14ac:dyDescent="0.3">
      <c r="J52917"/>
    </row>
    <row r="52918" spans="10:10" x14ac:dyDescent="0.3">
      <c r="J52918"/>
    </row>
    <row r="52919" spans="10:10" x14ac:dyDescent="0.3">
      <c r="J52919"/>
    </row>
    <row r="52920" spans="10:10" x14ac:dyDescent="0.3">
      <c r="J52920"/>
    </row>
    <row r="52921" spans="10:10" x14ac:dyDescent="0.3">
      <c r="J52921"/>
    </row>
    <row r="52922" spans="10:10" x14ac:dyDescent="0.3">
      <c r="J52922"/>
    </row>
    <row r="52923" spans="10:10" x14ac:dyDescent="0.3">
      <c r="J52923"/>
    </row>
    <row r="52924" spans="10:10" x14ac:dyDescent="0.3">
      <c r="J52924"/>
    </row>
    <row r="52925" spans="10:10" x14ac:dyDescent="0.3">
      <c r="J52925"/>
    </row>
    <row r="52926" spans="10:10" x14ac:dyDescent="0.3">
      <c r="J52926"/>
    </row>
    <row r="52927" spans="10:10" x14ac:dyDescent="0.3">
      <c r="J52927"/>
    </row>
    <row r="52928" spans="10:10" x14ac:dyDescent="0.3">
      <c r="J52928"/>
    </row>
    <row r="52929" spans="10:10" x14ac:dyDescent="0.3">
      <c r="J52929"/>
    </row>
    <row r="52930" spans="10:10" x14ac:dyDescent="0.3">
      <c r="J52930"/>
    </row>
    <row r="52931" spans="10:10" x14ac:dyDescent="0.3">
      <c r="J52931"/>
    </row>
    <row r="52932" spans="10:10" x14ac:dyDescent="0.3">
      <c r="J52932"/>
    </row>
    <row r="52933" spans="10:10" x14ac:dyDescent="0.3">
      <c r="J52933"/>
    </row>
    <row r="52934" spans="10:10" x14ac:dyDescent="0.3">
      <c r="J52934"/>
    </row>
    <row r="52935" spans="10:10" x14ac:dyDescent="0.3">
      <c r="J52935"/>
    </row>
    <row r="52936" spans="10:10" x14ac:dyDescent="0.3">
      <c r="J52936"/>
    </row>
    <row r="52937" spans="10:10" x14ac:dyDescent="0.3">
      <c r="J52937"/>
    </row>
    <row r="52938" spans="10:10" x14ac:dyDescent="0.3">
      <c r="J52938"/>
    </row>
    <row r="52939" spans="10:10" x14ac:dyDescent="0.3">
      <c r="J52939"/>
    </row>
    <row r="52940" spans="10:10" x14ac:dyDescent="0.3">
      <c r="J52940"/>
    </row>
    <row r="52941" spans="10:10" x14ac:dyDescent="0.3">
      <c r="J52941"/>
    </row>
    <row r="52942" spans="10:10" x14ac:dyDescent="0.3">
      <c r="J52942"/>
    </row>
    <row r="52943" spans="10:10" x14ac:dyDescent="0.3">
      <c r="J52943"/>
    </row>
    <row r="52944" spans="10:10" x14ac:dyDescent="0.3">
      <c r="J52944"/>
    </row>
    <row r="52945" spans="10:10" x14ac:dyDescent="0.3">
      <c r="J52945"/>
    </row>
    <row r="52946" spans="10:10" x14ac:dyDescent="0.3">
      <c r="J52946"/>
    </row>
    <row r="52947" spans="10:10" x14ac:dyDescent="0.3">
      <c r="J52947"/>
    </row>
    <row r="52948" spans="10:10" x14ac:dyDescent="0.3">
      <c r="J52948"/>
    </row>
    <row r="52949" spans="10:10" x14ac:dyDescent="0.3">
      <c r="J52949"/>
    </row>
    <row r="52950" spans="10:10" x14ac:dyDescent="0.3">
      <c r="J52950"/>
    </row>
    <row r="52951" spans="10:10" x14ac:dyDescent="0.3">
      <c r="J52951"/>
    </row>
    <row r="52952" spans="10:10" x14ac:dyDescent="0.3">
      <c r="J52952"/>
    </row>
    <row r="52953" spans="10:10" x14ac:dyDescent="0.3">
      <c r="J52953"/>
    </row>
    <row r="52954" spans="10:10" x14ac:dyDescent="0.3">
      <c r="J52954"/>
    </row>
    <row r="52955" spans="10:10" x14ac:dyDescent="0.3">
      <c r="J52955"/>
    </row>
    <row r="52956" spans="10:10" x14ac:dyDescent="0.3">
      <c r="J52956"/>
    </row>
    <row r="52957" spans="10:10" x14ac:dyDescent="0.3">
      <c r="J52957"/>
    </row>
    <row r="52958" spans="10:10" x14ac:dyDescent="0.3">
      <c r="J52958"/>
    </row>
    <row r="52959" spans="10:10" x14ac:dyDescent="0.3">
      <c r="J52959"/>
    </row>
    <row r="52960" spans="10:10" x14ac:dyDescent="0.3">
      <c r="J52960"/>
    </row>
    <row r="52961" spans="10:10" x14ac:dyDescent="0.3">
      <c r="J52961"/>
    </row>
    <row r="52962" spans="10:10" x14ac:dyDescent="0.3">
      <c r="J52962"/>
    </row>
    <row r="52963" spans="10:10" x14ac:dyDescent="0.3">
      <c r="J52963"/>
    </row>
    <row r="52964" spans="10:10" x14ac:dyDescent="0.3">
      <c r="J52964"/>
    </row>
    <row r="52965" spans="10:10" x14ac:dyDescent="0.3">
      <c r="J52965"/>
    </row>
    <row r="52966" spans="10:10" x14ac:dyDescent="0.3">
      <c r="J52966"/>
    </row>
    <row r="52967" spans="10:10" x14ac:dyDescent="0.3">
      <c r="J52967"/>
    </row>
    <row r="52968" spans="10:10" x14ac:dyDescent="0.3">
      <c r="J52968"/>
    </row>
    <row r="52969" spans="10:10" x14ac:dyDescent="0.3">
      <c r="J52969"/>
    </row>
    <row r="52970" spans="10:10" x14ac:dyDescent="0.3">
      <c r="J52970"/>
    </row>
    <row r="52971" spans="10:10" x14ac:dyDescent="0.3">
      <c r="J52971"/>
    </row>
    <row r="52972" spans="10:10" x14ac:dyDescent="0.3">
      <c r="J52972"/>
    </row>
    <row r="52973" spans="10:10" x14ac:dyDescent="0.3">
      <c r="J52973"/>
    </row>
    <row r="52974" spans="10:10" x14ac:dyDescent="0.3">
      <c r="J52974"/>
    </row>
    <row r="52975" spans="10:10" x14ac:dyDescent="0.3">
      <c r="J52975"/>
    </row>
    <row r="52976" spans="10:10" x14ac:dyDescent="0.3">
      <c r="J52976"/>
    </row>
    <row r="52977" spans="10:10" x14ac:dyDescent="0.3">
      <c r="J52977"/>
    </row>
    <row r="52978" spans="10:10" x14ac:dyDescent="0.3">
      <c r="J52978"/>
    </row>
    <row r="52979" spans="10:10" x14ac:dyDescent="0.3">
      <c r="J52979"/>
    </row>
    <row r="52980" spans="10:10" x14ac:dyDescent="0.3">
      <c r="J52980"/>
    </row>
    <row r="52981" spans="10:10" x14ac:dyDescent="0.3">
      <c r="J52981"/>
    </row>
    <row r="52982" spans="10:10" x14ac:dyDescent="0.3">
      <c r="J52982"/>
    </row>
    <row r="52983" spans="10:10" x14ac:dyDescent="0.3">
      <c r="J52983"/>
    </row>
    <row r="52984" spans="10:10" x14ac:dyDescent="0.3">
      <c r="J52984"/>
    </row>
    <row r="52985" spans="10:10" x14ac:dyDescent="0.3">
      <c r="J52985"/>
    </row>
    <row r="52986" spans="10:10" x14ac:dyDescent="0.3">
      <c r="J52986"/>
    </row>
    <row r="52987" spans="10:10" x14ac:dyDescent="0.3">
      <c r="J52987"/>
    </row>
    <row r="52988" spans="10:10" x14ac:dyDescent="0.3">
      <c r="J52988"/>
    </row>
    <row r="52989" spans="10:10" x14ac:dyDescent="0.3">
      <c r="J52989"/>
    </row>
    <row r="52990" spans="10:10" x14ac:dyDescent="0.3">
      <c r="J52990"/>
    </row>
    <row r="52991" spans="10:10" x14ac:dyDescent="0.3">
      <c r="J52991"/>
    </row>
    <row r="52992" spans="10:10" x14ac:dyDescent="0.3">
      <c r="J52992"/>
    </row>
    <row r="52993" spans="10:10" x14ac:dyDescent="0.3">
      <c r="J52993"/>
    </row>
    <row r="52994" spans="10:10" x14ac:dyDescent="0.3">
      <c r="J52994"/>
    </row>
    <row r="52995" spans="10:10" x14ac:dyDescent="0.3">
      <c r="J52995"/>
    </row>
    <row r="52996" spans="10:10" x14ac:dyDescent="0.3">
      <c r="J52996"/>
    </row>
    <row r="52997" spans="10:10" x14ac:dyDescent="0.3">
      <c r="J52997"/>
    </row>
    <row r="52998" spans="10:10" x14ac:dyDescent="0.3">
      <c r="J52998"/>
    </row>
    <row r="52999" spans="10:10" x14ac:dyDescent="0.3">
      <c r="J52999"/>
    </row>
    <row r="53000" spans="10:10" x14ac:dyDescent="0.3">
      <c r="J53000"/>
    </row>
    <row r="53001" spans="10:10" x14ac:dyDescent="0.3">
      <c r="J53001"/>
    </row>
    <row r="53002" spans="10:10" x14ac:dyDescent="0.3">
      <c r="J53002"/>
    </row>
    <row r="53003" spans="10:10" x14ac:dyDescent="0.3">
      <c r="J53003"/>
    </row>
    <row r="53004" spans="10:10" x14ac:dyDescent="0.3">
      <c r="J53004"/>
    </row>
    <row r="53005" spans="10:10" x14ac:dyDescent="0.3">
      <c r="J53005"/>
    </row>
    <row r="53006" spans="10:10" x14ac:dyDescent="0.3">
      <c r="J53006"/>
    </row>
    <row r="53007" spans="10:10" x14ac:dyDescent="0.3">
      <c r="J53007"/>
    </row>
    <row r="53008" spans="10:10" x14ac:dyDescent="0.3">
      <c r="J53008"/>
    </row>
    <row r="53009" spans="10:10" x14ac:dyDescent="0.3">
      <c r="J53009"/>
    </row>
    <row r="53010" spans="10:10" x14ac:dyDescent="0.3">
      <c r="J53010"/>
    </row>
    <row r="53011" spans="10:10" x14ac:dyDescent="0.3">
      <c r="J53011"/>
    </row>
    <row r="53012" spans="10:10" x14ac:dyDescent="0.3">
      <c r="J53012"/>
    </row>
    <row r="53013" spans="10:10" x14ac:dyDescent="0.3">
      <c r="J53013"/>
    </row>
    <row r="53014" spans="10:10" x14ac:dyDescent="0.3">
      <c r="J53014"/>
    </row>
    <row r="53015" spans="10:10" x14ac:dyDescent="0.3">
      <c r="J53015"/>
    </row>
    <row r="53016" spans="10:10" x14ac:dyDescent="0.3">
      <c r="J53016"/>
    </row>
    <row r="53017" spans="10:10" x14ac:dyDescent="0.3">
      <c r="J53017"/>
    </row>
    <row r="53018" spans="10:10" x14ac:dyDescent="0.3">
      <c r="J53018"/>
    </row>
    <row r="53019" spans="10:10" x14ac:dyDescent="0.3">
      <c r="J53019"/>
    </row>
    <row r="53020" spans="10:10" x14ac:dyDescent="0.3">
      <c r="J53020"/>
    </row>
    <row r="53021" spans="10:10" x14ac:dyDescent="0.3">
      <c r="J53021"/>
    </row>
    <row r="53022" spans="10:10" x14ac:dyDescent="0.3">
      <c r="J53022"/>
    </row>
    <row r="53023" spans="10:10" x14ac:dyDescent="0.3">
      <c r="J53023"/>
    </row>
    <row r="53024" spans="10:10" x14ac:dyDescent="0.3">
      <c r="J53024"/>
    </row>
    <row r="53025" spans="10:10" x14ac:dyDescent="0.3">
      <c r="J53025"/>
    </row>
    <row r="53026" spans="10:10" x14ac:dyDescent="0.3">
      <c r="J53026"/>
    </row>
    <row r="53027" spans="10:10" x14ac:dyDescent="0.3">
      <c r="J53027"/>
    </row>
    <row r="53028" spans="10:10" x14ac:dyDescent="0.3">
      <c r="J53028"/>
    </row>
    <row r="53029" spans="10:10" x14ac:dyDescent="0.3">
      <c r="J53029"/>
    </row>
    <row r="53030" spans="10:10" x14ac:dyDescent="0.3">
      <c r="J53030"/>
    </row>
    <row r="53031" spans="10:10" x14ac:dyDescent="0.3">
      <c r="J53031"/>
    </row>
    <row r="53032" spans="10:10" x14ac:dyDescent="0.3">
      <c r="J53032"/>
    </row>
    <row r="53033" spans="10:10" x14ac:dyDescent="0.3">
      <c r="J53033"/>
    </row>
    <row r="53034" spans="10:10" x14ac:dyDescent="0.3">
      <c r="J53034"/>
    </row>
    <row r="53035" spans="10:10" x14ac:dyDescent="0.3">
      <c r="J53035"/>
    </row>
    <row r="53036" spans="10:10" x14ac:dyDescent="0.3">
      <c r="J53036"/>
    </row>
    <row r="53037" spans="10:10" x14ac:dyDescent="0.3">
      <c r="J53037"/>
    </row>
    <row r="53038" spans="10:10" x14ac:dyDescent="0.3">
      <c r="J53038"/>
    </row>
    <row r="53039" spans="10:10" x14ac:dyDescent="0.3">
      <c r="J53039"/>
    </row>
    <row r="53040" spans="10:10" x14ac:dyDescent="0.3">
      <c r="J53040"/>
    </row>
    <row r="53041" spans="10:10" x14ac:dyDescent="0.3">
      <c r="J53041"/>
    </row>
    <row r="53042" spans="10:10" x14ac:dyDescent="0.3">
      <c r="J53042"/>
    </row>
    <row r="53043" spans="10:10" x14ac:dyDescent="0.3">
      <c r="J53043"/>
    </row>
    <row r="53044" spans="10:10" x14ac:dyDescent="0.3">
      <c r="J53044"/>
    </row>
    <row r="53045" spans="10:10" x14ac:dyDescent="0.3">
      <c r="J53045"/>
    </row>
    <row r="53046" spans="10:10" x14ac:dyDescent="0.3">
      <c r="J53046"/>
    </row>
    <row r="53047" spans="10:10" x14ac:dyDescent="0.3">
      <c r="J53047"/>
    </row>
    <row r="53048" spans="10:10" x14ac:dyDescent="0.3">
      <c r="J53048"/>
    </row>
    <row r="53049" spans="10:10" x14ac:dyDescent="0.3">
      <c r="J53049"/>
    </row>
    <row r="53050" spans="10:10" x14ac:dyDescent="0.3">
      <c r="J53050"/>
    </row>
    <row r="53051" spans="10:10" x14ac:dyDescent="0.3">
      <c r="J53051"/>
    </row>
    <row r="53052" spans="10:10" x14ac:dyDescent="0.3">
      <c r="J53052"/>
    </row>
    <row r="53053" spans="10:10" x14ac:dyDescent="0.3">
      <c r="J53053"/>
    </row>
    <row r="53054" spans="10:10" x14ac:dyDescent="0.3">
      <c r="J53054"/>
    </row>
    <row r="53055" spans="10:10" x14ac:dyDescent="0.3">
      <c r="J53055"/>
    </row>
    <row r="53056" spans="10:10" x14ac:dyDescent="0.3">
      <c r="J53056"/>
    </row>
    <row r="53057" spans="10:10" x14ac:dyDescent="0.3">
      <c r="J53057"/>
    </row>
    <row r="53058" spans="10:10" x14ac:dyDescent="0.3">
      <c r="J53058"/>
    </row>
    <row r="53059" spans="10:10" x14ac:dyDescent="0.3">
      <c r="J53059"/>
    </row>
    <row r="53060" spans="10:10" x14ac:dyDescent="0.3">
      <c r="J53060"/>
    </row>
    <row r="53061" spans="10:10" x14ac:dyDescent="0.3">
      <c r="J53061"/>
    </row>
    <row r="53062" spans="10:10" x14ac:dyDescent="0.3">
      <c r="J53062"/>
    </row>
    <row r="53063" spans="10:10" x14ac:dyDescent="0.3">
      <c r="J53063"/>
    </row>
    <row r="53064" spans="10:10" x14ac:dyDescent="0.3">
      <c r="J53064"/>
    </row>
    <row r="53065" spans="10:10" x14ac:dyDescent="0.3">
      <c r="J53065"/>
    </row>
    <row r="53066" spans="10:10" x14ac:dyDescent="0.3">
      <c r="J53066"/>
    </row>
    <row r="53067" spans="10:10" x14ac:dyDescent="0.3">
      <c r="J53067"/>
    </row>
    <row r="53068" spans="10:10" x14ac:dyDescent="0.3">
      <c r="J53068"/>
    </row>
    <row r="53069" spans="10:10" x14ac:dyDescent="0.3">
      <c r="J53069"/>
    </row>
    <row r="53070" spans="10:10" x14ac:dyDescent="0.3">
      <c r="J53070"/>
    </row>
    <row r="53071" spans="10:10" x14ac:dyDescent="0.3">
      <c r="J53071"/>
    </row>
    <row r="53072" spans="10:10" x14ac:dyDescent="0.3">
      <c r="J53072"/>
    </row>
    <row r="53073" spans="10:10" x14ac:dyDescent="0.3">
      <c r="J53073"/>
    </row>
    <row r="53074" spans="10:10" x14ac:dyDescent="0.3">
      <c r="J53074"/>
    </row>
    <row r="53075" spans="10:10" x14ac:dyDescent="0.3">
      <c r="J53075"/>
    </row>
    <row r="53076" spans="10:10" x14ac:dyDescent="0.3">
      <c r="J53076"/>
    </row>
    <row r="53077" spans="10:10" x14ac:dyDescent="0.3">
      <c r="J53077"/>
    </row>
    <row r="53078" spans="10:10" x14ac:dyDescent="0.3">
      <c r="J53078"/>
    </row>
    <row r="53079" spans="10:10" x14ac:dyDescent="0.3">
      <c r="J53079"/>
    </row>
    <row r="53080" spans="10:10" x14ac:dyDescent="0.3">
      <c r="J53080"/>
    </row>
    <row r="53081" spans="10:10" x14ac:dyDescent="0.3">
      <c r="J53081"/>
    </row>
    <row r="53082" spans="10:10" x14ac:dyDescent="0.3">
      <c r="J53082"/>
    </row>
    <row r="53083" spans="10:10" x14ac:dyDescent="0.3">
      <c r="J53083"/>
    </row>
    <row r="53084" spans="10:10" x14ac:dyDescent="0.3">
      <c r="J53084"/>
    </row>
    <row r="53085" spans="10:10" x14ac:dyDescent="0.3">
      <c r="J53085"/>
    </row>
    <row r="53086" spans="10:10" x14ac:dyDescent="0.3">
      <c r="J53086"/>
    </row>
    <row r="53087" spans="10:10" x14ac:dyDescent="0.3">
      <c r="J53087"/>
    </row>
    <row r="53088" spans="10:10" x14ac:dyDescent="0.3">
      <c r="J53088"/>
    </row>
    <row r="53089" spans="10:10" x14ac:dyDescent="0.3">
      <c r="J53089"/>
    </row>
    <row r="53090" spans="10:10" x14ac:dyDescent="0.3">
      <c r="J53090"/>
    </row>
    <row r="53091" spans="10:10" x14ac:dyDescent="0.3">
      <c r="J53091"/>
    </row>
    <row r="53092" spans="10:10" x14ac:dyDescent="0.3">
      <c r="J53092"/>
    </row>
    <row r="53093" spans="10:10" x14ac:dyDescent="0.3">
      <c r="J53093"/>
    </row>
    <row r="53094" spans="10:10" x14ac:dyDescent="0.3">
      <c r="J53094"/>
    </row>
    <row r="53095" spans="10:10" x14ac:dyDescent="0.3">
      <c r="J53095"/>
    </row>
    <row r="53096" spans="10:10" x14ac:dyDescent="0.3">
      <c r="J53096"/>
    </row>
    <row r="53097" spans="10:10" x14ac:dyDescent="0.3">
      <c r="J53097"/>
    </row>
    <row r="53098" spans="10:10" x14ac:dyDescent="0.3">
      <c r="J53098"/>
    </row>
    <row r="53099" spans="10:10" x14ac:dyDescent="0.3">
      <c r="J53099"/>
    </row>
    <row r="53100" spans="10:10" x14ac:dyDescent="0.3">
      <c r="J53100"/>
    </row>
    <row r="53101" spans="10:10" x14ac:dyDescent="0.3">
      <c r="J53101"/>
    </row>
    <row r="53102" spans="10:10" x14ac:dyDescent="0.3">
      <c r="J53102"/>
    </row>
    <row r="53103" spans="10:10" x14ac:dyDescent="0.3">
      <c r="J53103"/>
    </row>
    <row r="53104" spans="10:10" x14ac:dyDescent="0.3">
      <c r="J53104"/>
    </row>
    <row r="53105" spans="10:10" x14ac:dyDescent="0.3">
      <c r="J53105"/>
    </row>
    <row r="53106" spans="10:10" x14ac:dyDescent="0.3">
      <c r="J53106"/>
    </row>
    <row r="53107" spans="10:10" x14ac:dyDescent="0.3">
      <c r="J53107"/>
    </row>
    <row r="53108" spans="10:10" x14ac:dyDescent="0.3">
      <c r="J53108"/>
    </row>
    <row r="53109" spans="10:10" x14ac:dyDescent="0.3">
      <c r="J53109"/>
    </row>
    <row r="53110" spans="10:10" x14ac:dyDescent="0.3">
      <c r="J53110"/>
    </row>
    <row r="53111" spans="10:10" x14ac:dyDescent="0.3">
      <c r="J53111"/>
    </row>
    <row r="53112" spans="10:10" x14ac:dyDescent="0.3">
      <c r="J53112"/>
    </row>
    <row r="53113" spans="10:10" x14ac:dyDescent="0.3">
      <c r="J53113"/>
    </row>
    <row r="53114" spans="10:10" x14ac:dyDescent="0.3">
      <c r="J53114"/>
    </row>
    <row r="53115" spans="10:10" x14ac:dyDescent="0.3">
      <c r="J53115"/>
    </row>
    <row r="53116" spans="10:10" x14ac:dyDescent="0.3">
      <c r="J53116"/>
    </row>
    <row r="53117" spans="10:10" x14ac:dyDescent="0.3">
      <c r="J53117"/>
    </row>
    <row r="53118" spans="10:10" x14ac:dyDescent="0.3">
      <c r="J53118"/>
    </row>
    <row r="53119" spans="10:10" x14ac:dyDescent="0.3">
      <c r="J53119"/>
    </row>
    <row r="53120" spans="10:10" x14ac:dyDescent="0.3">
      <c r="J53120"/>
    </row>
    <row r="53121" spans="10:10" x14ac:dyDescent="0.3">
      <c r="J53121"/>
    </row>
    <row r="53122" spans="10:10" x14ac:dyDescent="0.3">
      <c r="J53122"/>
    </row>
    <row r="53123" spans="10:10" x14ac:dyDescent="0.3">
      <c r="J53123"/>
    </row>
    <row r="53124" spans="10:10" x14ac:dyDescent="0.3">
      <c r="J53124"/>
    </row>
    <row r="53125" spans="10:10" x14ac:dyDescent="0.3">
      <c r="J53125"/>
    </row>
    <row r="53126" spans="10:10" x14ac:dyDescent="0.3">
      <c r="J53126"/>
    </row>
    <row r="53127" spans="10:10" x14ac:dyDescent="0.3">
      <c r="J53127"/>
    </row>
    <row r="53128" spans="10:10" x14ac:dyDescent="0.3">
      <c r="J53128"/>
    </row>
    <row r="53129" spans="10:10" x14ac:dyDescent="0.3">
      <c r="J53129"/>
    </row>
    <row r="53130" spans="10:10" x14ac:dyDescent="0.3">
      <c r="J53130"/>
    </row>
    <row r="53131" spans="10:10" x14ac:dyDescent="0.3">
      <c r="J53131"/>
    </row>
    <row r="53132" spans="10:10" x14ac:dyDescent="0.3">
      <c r="J53132"/>
    </row>
    <row r="53133" spans="10:10" x14ac:dyDescent="0.3">
      <c r="J53133"/>
    </row>
    <row r="53134" spans="10:10" x14ac:dyDescent="0.3">
      <c r="J53134"/>
    </row>
    <row r="53135" spans="10:10" x14ac:dyDescent="0.3">
      <c r="J53135"/>
    </row>
    <row r="53136" spans="10:10" x14ac:dyDescent="0.3">
      <c r="J53136"/>
    </row>
    <row r="53137" spans="10:10" x14ac:dyDescent="0.3">
      <c r="J53137"/>
    </row>
    <row r="53138" spans="10:10" x14ac:dyDescent="0.3">
      <c r="J53138"/>
    </row>
    <row r="53139" spans="10:10" x14ac:dyDescent="0.3">
      <c r="J53139"/>
    </row>
    <row r="53140" spans="10:10" x14ac:dyDescent="0.3">
      <c r="J53140"/>
    </row>
    <row r="53141" spans="10:10" x14ac:dyDescent="0.3">
      <c r="J53141"/>
    </row>
    <row r="53142" spans="10:10" x14ac:dyDescent="0.3">
      <c r="J53142"/>
    </row>
    <row r="53143" spans="10:10" x14ac:dyDescent="0.3">
      <c r="J53143"/>
    </row>
    <row r="53144" spans="10:10" x14ac:dyDescent="0.3">
      <c r="J53144"/>
    </row>
    <row r="53145" spans="10:10" x14ac:dyDescent="0.3">
      <c r="J53145"/>
    </row>
    <row r="53146" spans="10:10" x14ac:dyDescent="0.3">
      <c r="J53146"/>
    </row>
    <row r="53147" spans="10:10" x14ac:dyDescent="0.3">
      <c r="J53147"/>
    </row>
    <row r="53148" spans="10:10" x14ac:dyDescent="0.3">
      <c r="J53148"/>
    </row>
    <row r="53149" spans="10:10" x14ac:dyDescent="0.3">
      <c r="J53149"/>
    </row>
    <row r="53150" spans="10:10" x14ac:dyDescent="0.3">
      <c r="J53150"/>
    </row>
    <row r="53151" spans="10:10" x14ac:dyDescent="0.3">
      <c r="J53151"/>
    </row>
    <row r="53152" spans="10:10" x14ac:dyDescent="0.3">
      <c r="J53152"/>
    </row>
    <row r="53153" spans="10:10" x14ac:dyDescent="0.3">
      <c r="J53153"/>
    </row>
    <row r="53154" spans="10:10" x14ac:dyDescent="0.3">
      <c r="J53154"/>
    </row>
    <row r="53155" spans="10:10" x14ac:dyDescent="0.3">
      <c r="J53155"/>
    </row>
    <row r="53156" spans="10:10" x14ac:dyDescent="0.3">
      <c r="J53156"/>
    </row>
    <row r="53157" spans="10:10" x14ac:dyDescent="0.3">
      <c r="J53157"/>
    </row>
    <row r="53158" spans="10:10" x14ac:dyDescent="0.3">
      <c r="J53158"/>
    </row>
    <row r="53159" spans="10:10" x14ac:dyDescent="0.3">
      <c r="J53159"/>
    </row>
    <row r="53160" spans="10:10" x14ac:dyDescent="0.3">
      <c r="J53160"/>
    </row>
    <row r="53161" spans="10:10" x14ac:dyDescent="0.3">
      <c r="J53161"/>
    </row>
    <row r="53162" spans="10:10" x14ac:dyDescent="0.3">
      <c r="J53162"/>
    </row>
    <row r="53163" spans="10:10" x14ac:dyDescent="0.3">
      <c r="J53163"/>
    </row>
    <row r="53164" spans="10:10" x14ac:dyDescent="0.3">
      <c r="J53164"/>
    </row>
    <row r="53165" spans="10:10" x14ac:dyDescent="0.3">
      <c r="J53165"/>
    </row>
    <row r="53166" spans="10:10" x14ac:dyDescent="0.3">
      <c r="J53166"/>
    </row>
    <row r="53167" spans="10:10" x14ac:dyDescent="0.3">
      <c r="J53167"/>
    </row>
    <row r="53168" spans="10:10" x14ac:dyDescent="0.3">
      <c r="J53168"/>
    </row>
    <row r="53169" spans="10:10" x14ac:dyDescent="0.3">
      <c r="J53169"/>
    </row>
    <row r="53170" spans="10:10" x14ac:dyDescent="0.3">
      <c r="J53170"/>
    </row>
    <row r="53171" spans="10:10" x14ac:dyDescent="0.3">
      <c r="J53171"/>
    </row>
    <row r="53172" spans="10:10" x14ac:dyDescent="0.3">
      <c r="J53172"/>
    </row>
    <row r="53173" spans="10:10" x14ac:dyDescent="0.3">
      <c r="J53173"/>
    </row>
    <row r="53174" spans="10:10" x14ac:dyDescent="0.3">
      <c r="J53174"/>
    </row>
    <row r="53175" spans="10:10" x14ac:dyDescent="0.3">
      <c r="J53175"/>
    </row>
    <row r="53176" spans="10:10" x14ac:dyDescent="0.3">
      <c r="J53176"/>
    </row>
    <row r="53177" spans="10:10" x14ac:dyDescent="0.3">
      <c r="J53177"/>
    </row>
    <row r="53178" spans="10:10" x14ac:dyDescent="0.3">
      <c r="J53178"/>
    </row>
    <row r="53179" spans="10:10" x14ac:dyDescent="0.3">
      <c r="J53179"/>
    </row>
    <row r="53180" spans="10:10" x14ac:dyDescent="0.3">
      <c r="J53180"/>
    </row>
    <row r="53181" spans="10:10" x14ac:dyDescent="0.3">
      <c r="J53181"/>
    </row>
    <row r="53182" spans="10:10" x14ac:dyDescent="0.3">
      <c r="J53182"/>
    </row>
    <row r="53183" spans="10:10" x14ac:dyDescent="0.3">
      <c r="J53183"/>
    </row>
    <row r="53184" spans="10:10" x14ac:dyDescent="0.3">
      <c r="J53184"/>
    </row>
    <row r="53185" spans="10:10" x14ac:dyDescent="0.3">
      <c r="J53185"/>
    </row>
    <row r="53186" spans="10:10" x14ac:dyDescent="0.3">
      <c r="J53186"/>
    </row>
    <row r="53187" spans="10:10" x14ac:dyDescent="0.3">
      <c r="J53187"/>
    </row>
    <row r="53188" spans="10:10" x14ac:dyDescent="0.3">
      <c r="J53188"/>
    </row>
    <row r="53189" spans="10:10" x14ac:dyDescent="0.3">
      <c r="J53189"/>
    </row>
    <row r="53190" spans="10:10" x14ac:dyDescent="0.3">
      <c r="J53190"/>
    </row>
    <row r="53191" spans="10:10" x14ac:dyDescent="0.3">
      <c r="J53191"/>
    </row>
    <row r="53192" spans="10:10" x14ac:dyDescent="0.3">
      <c r="J53192"/>
    </row>
    <row r="53193" spans="10:10" x14ac:dyDescent="0.3">
      <c r="J53193"/>
    </row>
    <row r="53194" spans="10:10" x14ac:dyDescent="0.3">
      <c r="J53194"/>
    </row>
    <row r="53195" spans="10:10" x14ac:dyDescent="0.3">
      <c r="J53195"/>
    </row>
    <row r="53196" spans="10:10" x14ac:dyDescent="0.3">
      <c r="J53196"/>
    </row>
    <row r="53197" spans="10:10" x14ac:dyDescent="0.3">
      <c r="J53197"/>
    </row>
    <row r="53198" spans="10:10" x14ac:dyDescent="0.3">
      <c r="J53198"/>
    </row>
    <row r="53199" spans="10:10" x14ac:dyDescent="0.3">
      <c r="J53199"/>
    </row>
    <row r="53200" spans="10:10" x14ac:dyDescent="0.3">
      <c r="J53200"/>
    </row>
    <row r="53201" spans="10:10" x14ac:dyDescent="0.3">
      <c r="J53201"/>
    </row>
    <row r="53202" spans="10:10" x14ac:dyDescent="0.3">
      <c r="J53202"/>
    </row>
    <row r="53203" spans="10:10" x14ac:dyDescent="0.3">
      <c r="J53203"/>
    </row>
    <row r="53204" spans="10:10" x14ac:dyDescent="0.3">
      <c r="J53204"/>
    </row>
    <row r="53205" spans="10:10" x14ac:dyDescent="0.3">
      <c r="J53205"/>
    </row>
    <row r="53206" spans="10:10" x14ac:dyDescent="0.3">
      <c r="J53206"/>
    </row>
    <row r="53207" spans="10:10" x14ac:dyDescent="0.3">
      <c r="J53207"/>
    </row>
    <row r="53208" spans="10:10" x14ac:dyDescent="0.3">
      <c r="J53208"/>
    </row>
    <row r="53209" spans="10:10" x14ac:dyDescent="0.3">
      <c r="J53209"/>
    </row>
    <row r="53210" spans="10:10" x14ac:dyDescent="0.3">
      <c r="J53210"/>
    </row>
    <row r="53211" spans="10:10" x14ac:dyDescent="0.3">
      <c r="J53211"/>
    </row>
    <row r="53212" spans="10:10" x14ac:dyDescent="0.3">
      <c r="J53212"/>
    </row>
    <row r="53213" spans="10:10" x14ac:dyDescent="0.3">
      <c r="J53213"/>
    </row>
    <row r="53214" spans="10:10" x14ac:dyDescent="0.3">
      <c r="J53214"/>
    </row>
    <row r="53215" spans="10:10" x14ac:dyDescent="0.3">
      <c r="J53215"/>
    </row>
    <row r="53216" spans="10:10" x14ac:dyDescent="0.3">
      <c r="J53216"/>
    </row>
    <row r="53217" spans="10:10" x14ac:dyDescent="0.3">
      <c r="J53217"/>
    </row>
    <row r="53218" spans="10:10" x14ac:dyDescent="0.3">
      <c r="J53218"/>
    </row>
    <row r="53219" spans="10:10" x14ac:dyDescent="0.3">
      <c r="J53219"/>
    </row>
    <row r="53220" spans="10:10" x14ac:dyDescent="0.3">
      <c r="J53220"/>
    </row>
    <row r="53221" spans="10:10" x14ac:dyDescent="0.3">
      <c r="J53221"/>
    </row>
    <row r="53222" spans="10:10" x14ac:dyDescent="0.3">
      <c r="J53222"/>
    </row>
    <row r="53223" spans="10:10" x14ac:dyDescent="0.3">
      <c r="J53223"/>
    </row>
    <row r="53224" spans="10:10" x14ac:dyDescent="0.3">
      <c r="J53224"/>
    </row>
    <row r="53225" spans="10:10" x14ac:dyDescent="0.3">
      <c r="J53225"/>
    </row>
    <row r="53226" spans="10:10" x14ac:dyDescent="0.3">
      <c r="J53226"/>
    </row>
    <row r="53227" spans="10:10" x14ac:dyDescent="0.3">
      <c r="J53227"/>
    </row>
    <row r="53228" spans="10:10" x14ac:dyDescent="0.3">
      <c r="J53228"/>
    </row>
    <row r="53229" spans="10:10" x14ac:dyDescent="0.3">
      <c r="J53229"/>
    </row>
    <row r="53230" spans="10:10" x14ac:dyDescent="0.3">
      <c r="J53230"/>
    </row>
    <row r="53231" spans="10:10" x14ac:dyDescent="0.3">
      <c r="J53231"/>
    </row>
    <row r="53232" spans="10:10" x14ac:dyDescent="0.3">
      <c r="J53232"/>
    </row>
    <row r="53233" spans="10:10" x14ac:dyDescent="0.3">
      <c r="J53233"/>
    </row>
    <row r="53234" spans="10:10" x14ac:dyDescent="0.3">
      <c r="J53234"/>
    </row>
    <row r="53235" spans="10:10" x14ac:dyDescent="0.3">
      <c r="J53235"/>
    </row>
    <row r="53236" spans="10:10" x14ac:dyDescent="0.3">
      <c r="J53236"/>
    </row>
    <row r="53237" spans="10:10" x14ac:dyDescent="0.3">
      <c r="J53237"/>
    </row>
    <row r="53238" spans="10:10" x14ac:dyDescent="0.3">
      <c r="J53238"/>
    </row>
    <row r="53239" spans="10:10" x14ac:dyDescent="0.3">
      <c r="J53239"/>
    </row>
    <row r="53240" spans="10:10" x14ac:dyDescent="0.3">
      <c r="J53240"/>
    </row>
    <row r="53241" spans="10:10" x14ac:dyDescent="0.3">
      <c r="J53241"/>
    </row>
    <row r="53242" spans="10:10" x14ac:dyDescent="0.3">
      <c r="J53242"/>
    </row>
    <row r="53243" spans="10:10" x14ac:dyDescent="0.3">
      <c r="J53243"/>
    </row>
    <row r="53244" spans="10:10" x14ac:dyDescent="0.3">
      <c r="J53244"/>
    </row>
    <row r="53245" spans="10:10" x14ac:dyDescent="0.3">
      <c r="J53245"/>
    </row>
    <row r="53246" spans="10:10" x14ac:dyDescent="0.3">
      <c r="J53246"/>
    </row>
    <row r="53247" spans="10:10" x14ac:dyDescent="0.3">
      <c r="J53247"/>
    </row>
    <row r="53248" spans="10:10" x14ac:dyDescent="0.3">
      <c r="J53248"/>
    </row>
    <row r="53249" spans="10:10" x14ac:dyDescent="0.3">
      <c r="J53249"/>
    </row>
    <row r="53250" spans="10:10" x14ac:dyDescent="0.3">
      <c r="J53250"/>
    </row>
    <row r="53251" spans="10:10" x14ac:dyDescent="0.3">
      <c r="J53251"/>
    </row>
    <row r="53252" spans="10:10" x14ac:dyDescent="0.3">
      <c r="J53252"/>
    </row>
    <row r="53253" spans="10:10" x14ac:dyDescent="0.3">
      <c r="J53253"/>
    </row>
    <row r="53254" spans="10:10" x14ac:dyDescent="0.3">
      <c r="J53254"/>
    </row>
    <row r="53255" spans="10:10" x14ac:dyDescent="0.3">
      <c r="J53255"/>
    </row>
    <row r="53256" spans="10:10" x14ac:dyDescent="0.3">
      <c r="J53256"/>
    </row>
    <row r="53257" spans="10:10" x14ac:dyDescent="0.3">
      <c r="J53257"/>
    </row>
    <row r="53258" spans="10:10" x14ac:dyDescent="0.3">
      <c r="J53258"/>
    </row>
    <row r="53259" spans="10:10" x14ac:dyDescent="0.3">
      <c r="J53259"/>
    </row>
    <row r="53260" spans="10:10" x14ac:dyDescent="0.3">
      <c r="J53260"/>
    </row>
    <row r="53261" spans="10:10" x14ac:dyDescent="0.3">
      <c r="J53261"/>
    </row>
    <row r="53262" spans="10:10" x14ac:dyDescent="0.3">
      <c r="J53262"/>
    </row>
    <row r="53263" spans="10:10" x14ac:dyDescent="0.3">
      <c r="J53263"/>
    </row>
    <row r="53264" spans="10:10" x14ac:dyDescent="0.3">
      <c r="J53264"/>
    </row>
    <row r="53265" spans="10:10" x14ac:dyDescent="0.3">
      <c r="J53265"/>
    </row>
    <row r="53266" spans="10:10" x14ac:dyDescent="0.3">
      <c r="J53266"/>
    </row>
    <row r="53267" spans="10:10" x14ac:dyDescent="0.3">
      <c r="J53267"/>
    </row>
    <row r="53268" spans="10:10" x14ac:dyDescent="0.3">
      <c r="J53268"/>
    </row>
    <row r="53269" spans="10:10" x14ac:dyDescent="0.3">
      <c r="J53269"/>
    </row>
    <row r="53270" spans="10:10" x14ac:dyDescent="0.3">
      <c r="J53270"/>
    </row>
    <row r="53271" spans="10:10" x14ac:dyDescent="0.3">
      <c r="J53271"/>
    </row>
    <row r="53272" spans="10:10" x14ac:dyDescent="0.3">
      <c r="J53272"/>
    </row>
    <row r="53273" spans="10:10" x14ac:dyDescent="0.3">
      <c r="J53273"/>
    </row>
    <row r="53274" spans="10:10" x14ac:dyDescent="0.3">
      <c r="J53274"/>
    </row>
    <row r="53275" spans="10:10" x14ac:dyDescent="0.3">
      <c r="J53275"/>
    </row>
    <row r="53276" spans="10:10" x14ac:dyDescent="0.3">
      <c r="J53276"/>
    </row>
    <row r="53277" spans="10:10" x14ac:dyDescent="0.3">
      <c r="J53277"/>
    </row>
    <row r="53278" spans="10:10" x14ac:dyDescent="0.3">
      <c r="J53278"/>
    </row>
    <row r="53279" spans="10:10" x14ac:dyDescent="0.3">
      <c r="J53279"/>
    </row>
    <row r="53280" spans="10:10" x14ac:dyDescent="0.3">
      <c r="J53280"/>
    </row>
    <row r="53281" spans="10:10" x14ac:dyDescent="0.3">
      <c r="J53281"/>
    </row>
    <row r="53282" spans="10:10" x14ac:dyDescent="0.3">
      <c r="J53282"/>
    </row>
    <row r="53283" spans="10:10" x14ac:dyDescent="0.3">
      <c r="J53283"/>
    </row>
    <row r="53284" spans="10:10" x14ac:dyDescent="0.3">
      <c r="J53284"/>
    </row>
    <row r="53285" spans="10:10" x14ac:dyDescent="0.3">
      <c r="J53285"/>
    </row>
    <row r="53286" spans="10:10" x14ac:dyDescent="0.3">
      <c r="J53286"/>
    </row>
    <row r="53287" spans="10:10" x14ac:dyDescent="0.3">
      <c r="J53287"/>
    </row>
    <row r="53288" spans="10:10" x14ac:dyDescent="0.3">
      <c r="J53288"/>
    </row>
    <row r="53289" spans="10:10" x14ac:dyDescent="0.3">
      <c r="J53289"/>
    </row>
    <row r="53290" spans="10:10" x14ac:dyDescent="0.3">
      <c r="J53290"/>
    </row>
    <row r="53291" spans="10:10" x14ac:dyDescent="0.3">
      <c r="J53291"/>
    </row>
    <row r="53292" spans="10:10" x14ac:dyDescent="0.3">
      <c r="J53292"/>
    </row>
    <row r="53293" spans="10:10" x14ac:dyDescent="0.3">
      <c r="J53293"/>
    </row>
    <row r="53294" spans="10:10" x14ac:dyDescent="0.3">
      <c r="J53294"/>
    </row>
    <row r="53295" spans="10:10" x14ac:dyDescent="0.3">
      <c r="J53295"/>
    </row>
    <row r="53296" spans="10:10" x14ac:dyDescent="0.3">
      <c r="J53296"/>
    </row>
    <row r="53297" spans="10:10" x14ac:dyDescent="0.3">
      <c r="J53297"/>
    </row>
    <row r="53298" spans="10:10" x14ac:dyDescent="0.3">
      <c r="J53298"/>
    </row>
    <row r="53299" spans="10:10" x14ac:dyDescent="0.3">
      <c r="J53299"/>
    </row>
    <row r="53300" spans="10:10" x14ac:dyDescent="0.3">
      <c r="J53300"/>
    </row>
    <row r="53301" spans="10:10" x14ac:dyDescent="0.3">
      <c r="J53301"/>
    </row>
    <row r="53302" spans="10:10" x14ac:dyDescent="0.3">
      <c r="J53302"/>
    </row>
    <row r="53303" spans="10:10" x14ac:dyDescent="0.3">
      <c r="J53303"/>
    </row>
    <row r="53304" spans="10:10" x14ac:dyDescent="0.3">
      <c r="J53304"/>
    </row>
    <row r="53305" spans="10:10" x14ac:dyDescent="0.3">
      <c r="J53305"/>
    </row>
    <row r="53306" spans="10:10" x14ac:dyDescent="0.3">
      <c r="J53306"/>
    </row>
    <row r="53307" spans="10:10" x14ac:dyDescent="0.3">
      <c r="J53307"/>
    </row>
    <row r="53308" spans="10:10" x14ac:dyDescent="0.3">
      <c r="J53308"/>
    </row>
    <row r="53309" spans="10:10" x14ac:dyDescent="0.3">
      <c r="J53309"/>
    </row>
    <row r="53310" spans="10:10" x14ac:dyDescent="0.3">
      <c r="J53310"/>
    </row>
    <row r="53311" spans="10:10" x14ac:dyDescent="0.3">
      <c r="J53311"/>
    </row>
    <row r="53312" spans="10:10" x14ac:dyDescent="0.3">
      <c r="J53312"/>
    </row>
    <row r="53313" spans="10:10" x14ac:dyDescent="0.3">
      <c r="J53313"/>
    </row>
    <row r="53314" spans="10:10" x14ac:dyDescent="0.3">
      <c r="J53314"/>
    </row>
    <row r="53315" spans="10:10" x14ac:dyDescent="0.3">
      <c r="J53315"/>
    </row>
    <row r="53316" spans="10:10" x14ac:dyDescent="0.3">
      <c r="J53316"/>
    </row>
    <row r="53317" spans="10:10" x14ac:dyDescent="0.3">
      <c r="J53317"/>
    </row>
    <row r="53318" spans="10:10" x14ac:dyDescent="0.3">
      <c r="J53318"/>
    </row>
    <row r="53319" spans="10:10" x14ac:dyDescent="0.3">
      <c r="J53319"/>
    </row>
    <row r="53320" spans="10:10" x14ac:dyDescent="0.3">
      <c r="J53320"/>
    </row>
    <row r="53321" spans="10:10" x14ac:dyDescent="0.3">
      <c r="J53321"/>
    </row>
    <row r="53322" spans="10:10" x14ac:dyDescent="0.3">
      <c r="J53322"/>
    </row>
    <row r="53323" spans="10:10" x14ac:dyDescent="0.3">
      <c r="J53323"/>
    </row>
    <row r="53324" spans="10:10" x14ac:dyDescent="0.3">
      <c r="J53324"/>
    </row>
    <row r="53325" spans="10:10" x14ac:dyDescent="0.3">
      <c r="J53325"/>
    </row>
    <row r="53326" spans="10:10" x14ac:dyDescent="0.3">
      <c r="J53326"/>
    </row>
    <row r="53327" spans="10:10" x14ac:dyDescent="0.3">
      <c r="J53327"/>
    </row>
    <row r="53328" spans="10:10" x14ac:dyDescent="0.3">
      <c r="J53328"/>
    </row>
    <row r="53329" spans="10:10" x14ac:dyDescent="0.3">
      <c r="J53329"/>
    </row>
    <row r="53330" spans="10:10" x14ac:dyDescent="0.3">
      <c r="J53330"/>
    </row>
    <row r="53331" spans="10:10" x14ac:dyDescent="0.3">
      <c r="J53331"/>
    </row>
    <row r="53332" spans="10:10" x14ac:dyDescent="0.3">
      <c r="J53332"/>
    </row>
    <row r="53333" spans="10:10" x14ac:dyDescent="0.3">
      <c r="J53333"/>
    </row>
    <row r="53334" spans="10:10" x14ac:dyDescent="0.3">
      <c r="J53334"/>
    </row>
    <row r="53335" spans="10:10" x14ac:dyDescent="0.3">
      <c r="J53335"/>
    </row>
    <row r="53336" spans="10:10" x14ac:dyDescent="0.3">
      <c r="J53336"/>
    </row>
    <row r="53337" spans="10:10" x14ac:dyDescent="0.3">
      <c r="J53337"/>
    </row>
    <row r="53338" spans="10:10" x14ac:dyDescent="0.3">
      <c r="J53338"/>
    </row>
    <row r="53339" spans="10:10" x14ac:dyDescent="0.3">
      <c r="J53339"/>
    </row>
    <row r="53340" spans="10:10" x14ac:dyDescent="0.3">
      <c r="J53340"/>
    </row>
    <row r="53341" spans="10:10" x14ac:dyDescent="0.3">
      <c r="J53341"/>
    </row>
    <row r="53342" spans="10:10" x14ac:dyDescent="0.3">
      <c r="J53342"/>
    </row>
    <row r="53343" spans="10:10" x14ac:dyDescent="0.3">
      <c r="J53343"/>
    </row>
    <row r="53344" spans="10:10" x14ac:dyDescent="0.3">
      <c r="J53344"/>
    </row>
    <row r="53345" spans="10:10" x14ac:dyDescent="0.3">
      <c r="J53345"/>
    </row>
    <row r="53346" spans="10:10" x14ac:dyDescent="0.3">
      <c r="J53346"/>
    </row>
    <row r="53347" spans="10:10" x14ac:dyDescent="0.3">
      <c r="J53347"/>
    </row>
    <row r="53348" spans="10:10" x14ac:dyDescent="0.3">
      <c r="J53348"/>
    </row>
    <row r="53349" spans="10:10" x14ac:dyDescent="0.3">
      <c r="J53349"/>
    </row>
    <row r="53350" spans="10:10" x14ac:dyDescent="0.3">
      <c r="J53350"/>
    </row>
    <row r="53351" spans="10:10" x14ac:dyDescent="0.3">
      <c r="J53351"/>
    </row>
    <row r="53352" spans="10:10" x14ac:dyDescent="0.3">
      <c r="J53352"/>
    </row>
    <row r="53353" spans="10:10" x14ac:dyDescent="0.3">
      <c r="J53353"/>
    </row>
    <row r="53354" spans="10:10" x14ac:dyDescent="0.3">
      <c r="J53354"/>
    </row>
    <row r="53355" spans="10:10" x14ac:dyDescent="0.3">
      <c r="J53355"/>
    </row>
    <row r="53356" spans="10:10" x14ac:dyDescent="0.3">
      <c r="J53356"/>
    </row>
    <row r="53357" spans="10:10" x14ac:dyDescent="0.3">
      <c r="J53357"/>
    </row>
    <row r="53358" spans="10:10" x14ac:dyDescent="0.3">
      <c r="J53358"/>
    </row>
    <row r="53359" spans="10:10" x14ac:dyDescent="0.3">
      <c r="J53359"/>
    </row>
    <row r="53360" spans="10:10" x14ac:dyDescent="0.3">
      <c r="J53360"/>
    </row>
    <row r="53361" spans="10:10" x14ac:dyDescent="0.3">
      <c r="J53361"/>
    </row>
    <row r="53362" spans="10:10" x14ac:dyDescent="0.3">
      <c r="J53362"/>
    </row>
    <row r="53363" spans="10:10" x14ac:dyDescent="0.3">
      <c r="J53363"/>
    </row>
    <row r="53364" spans="10:10" x14ac:dyDescent="0.3">
      <c r="J53364"/>
    </row>
    <row r="53365" spans="10:10" x14ac:dyDescent="0.3">
      <c r="J53365"/>
    </row>
    <row r="53366" spans="10:10" x14ac:dyDescent="0.3">
      <c r="J53366"/>
    </row>
    <row r="53367" spans="10:10" x14ac:dyDescent="0.3">
      <c r="J53367"/>
    </row>
    <row r="53368" spans="10:10" x14ac:dyDescent="0.3">
      <c r="J53368"/>
    </row>
    <row r="53369" spans="10:10" x14ac:dyDescent="0.3">
      <c r="J53369"/>
    </row>
    <row r="53370" spans="10:10" x14ac:dyDescent="0.3">
      <c r="J53370"/>
    </row>
    <row r="53371" spans="10:10" x14ac:dyDescent="0.3">
      <c r="J53371"/>
    </row>
    <row r="53372" spans="10:10" x14ac:dyDescent="0.3">
      <c r="J53372"/>
    </row>
    <row r="53373" spans="10:10" x14ac:dyDescent="0.3">
      <c r="J53373"/>
    </row>
    <row r="53374" spans="10:10" x14ac:dyDescent="0.3">
      <c r="J53374"/>
    </row>
    <row r="53375" spans="10:10" x14ac:dyDescent="0.3">
      <c r="J53375"/>
    </row>
    <row r="53376" spans="10:10" x14ac:dyDescent="0.3">
      <c r="J53376"/>
    </row>
    <row r="53377" spans="10:10" x14ac:dyDescent="0.3">
      <c r="J53377"/>
    </row>
    <row r="53378" spans="10:10" x14ac:dyDescent="0.3">
      <c r="J53378"/>
    </row>
    <row r="53379" spans="10:10" x14ac:dyDescent="0.3">
      <c r="J53379"/>
    </row>
    <row r="53380" spans="10:10" x14ac:dyDescent="0.3">
      <c r="J53380"/>
    </row>
    <row r="53381" spans="10:10" x14ac:dyDescent="0.3">
      <c r="J53381"/>
    </row>
    <row r="53382" spans="10:10" x14ac:dyDescent="0.3">
      <c r="J53382"/>
    </row>
    <row r="53383" spans="10:10" x14ac:dyDescent="0.3">
      <c r="J53383"/>
    </row>
    <row r="53384" spans="10:10" x14ac:dyDescent="0.3">
      <c r="J53384"/>
    </row>
    <row r="53385" spans="10:10" x14ac:dyDescent="0.3">
      <c r="J53385"/>
    </row>
    <row r="53386" spans="10:10" x14ac:dyDescent="0.3">
      <c r="J53386"/>
    </row>
    <row r="53387" spans="10:10" x14ac:dyDescent="0.3">
      <c r="J53387"/>
    </row>
    <row r="53388" spans="10:10" x14ac:dyDescent="0.3">
      <c r="J53388"/>
    </row>
    <row r="53389" spans="10:10" x14ac:dyDescent="0.3">
      <c r="J53389"/>
    </row>
    <row r="53390" spans="10:10" x14ac:dyDescent="0.3">
      <c r="J53390"/>
    </row>
    <row r="53391" spans="10:10" x14ac:dyDescent="0.3">
      <c r="J53391"/>
    </row>
    <row r="53392" spans="10:10" x14ac:dyDescent="0.3">
      <c r="J53392"/>
    </row>
    <row r="53393" spans="10:10" x14ac:dyDescent="0.3">
      <c r="J53393"/>
    </row>
    <row r="53394" spans="10:10" x14ac:dyDescent="0.3">
      <c r="J53394"/>
    </row>
    <row r="53395" spans="10:10" x14ac:dyDescent="0.3">
      <c r="J53395"/>
    </row>
    <row r="53396" spans="10:10" x14ac:dyDescent="0.3">
      <c r="J53396"/>
    </row>
    <row r="53397" spans="10:10" x14ac:dyDescent="0.3">
      <c r="J53397"/>
    </row>
    <row r="53398" spans="10:10" x14ac:dyDescent="0.3">
      <c r="J53398"/>
    </row>
    <row r="53399" spans="10:10" x14ac:dyDescent="0.3">
      <c r="J53399"/>
    </row>
    <row r="53400" spans="10:10" x14ac:dyDescent="0.3">
      <c r="J53400"/>
    </row>
    <row r="53401" spans="10:10" x14ac:dyDescent="0.3">
      <c r="J53401"/>
    </row>
    <row r="53402" spans="10:10" x14ac:dyDescent="0.3">
      <c r="J53402"/>
    </row>
    <row r="53403" spans="10:10" x14ac:dyDescent="0.3">
      <c r="J53403"/>
    </row>
    <row r="53404" spans="10:10" x14ac:dyDescent="0.3">
      <c r="J53404"/>
    </row>
    <row r="53405" spans="10:10" x14ac:dyDescent="0.3">
      <c r="J53405"/>
    </row>
    <row r="53406" spans="10:10" x14ac:dyDescent="0.3">
      <c r="J53406"/>
    </row>
    <row r="53407" spans="10:10" x14ac:dyDescent="0.3">
      <c r="J53407"/>
    </row>
    <row r="53408" spans="10:10" x14ac:dyDescent="0.3">
      <c r="J53408"/>
    </row>
    <row r="53409" spans="10:10" x14ac:dyDescent="0.3">
      <c r="J53409"/>
    </row>
    <row r="53410" spans="10:10" x14ac:dyDescent="0.3">
      <c r="J53410"/>
    </row>
    <row r="53411" spans="10:10" x14ac:dyDescent="0.3">
      <c r="J53411"/>
    </row>
    <row r="53412" spans="10:10" x14ac:dyDescent="0.3">
      <c r="J53412"/>
    </row>
    <row r="53413" spans="10:10" x14ac:dyDescent="0.3">
      <c r="J53413"/>
    </row>
    <row r="53414" spans="10:10" x14ac:dyDescent="0.3">
      <c r="J53414"/>
    </row>
    <row r="53415" spans="10:10" x14ac:dyDescent="0.3">
      <c r="J53415"/>
    </row>
    <row r="53416" spans="10:10" x14ac:dyDescent="0.3">
      <c r="J53416"/>
    </row>
    <row r="53417" spans="10:10" x14ac:dyDescent="0.3">
      <c r="J53417"/>
    </row>
    <row r="53418" spans="10:10" x14ac:dyDescent="0.3">
      <c r="J53418"/>
    </row>
    <row r="53419" spans="10:10" x14ac:dyDescent="0.3">
      <c r="J53419"/>
    </row>
    <row r="53420" spans="10:10" x14ac:dyDescent="0.3">
      <c r="J53420"/>
    </row>
    <row r="53421" spans="10:10" x14ac:dyDescent="0.3">
      <c r="J53421"/>
    </row>
    <row r="53422" spans="10:10" x14ac:dyDescent="0.3">
      <c r="J53422"/>
    </row>
    <row r="53423" spans="10:10" x14ac:dyDescent="0.3">
      <c r="J53423"/>
    </row>
    <row r="53424" spans="10:10" x14ac:dyDescent="0.3">
      <c r="J53424"/>
    </row>
    <row r="53425" spans="10:10" x14ac:dyDescent="0.3">
      <c r="J53425"/>
    </row>
    <row r="53426" spans="10:10" x14ac:dyDescent="0.3">
      <c r="J53426"/>
    </row>
    <row r="53427" spans="10:10" x14ac:dyDescent="0.3">
      <c r="J53427"/>
    </row>
    <row r="53428" spans="10:10" x14ac:dyDescent="0.3">
      <c r="J53428"/>
    </row>
    <row r="53429" spans="10:10" x14ac:dyDescent="0.3">
      <c r="J53429"/>
    </row>
    <row r="53430" spans="10:10" x14ac:dyDescent="0.3">
      <c r="J53430"/>
    </row>
    <row r="53431" spans="10:10" x14ac:dyDescent="0.3">
      <c r="J53431"/>
    </row>
    <row r="53432" spans="10:10" x14ac:dyDescent="0.3">
      <c r="J53432"/>
    </row>
    <row r="53433" spans="10:10" x14ac:dyDescent="0.3">
      <c r="J53433"/>
    </row>
    <row r="53434" spans="10:10" x14ac:dyDescent="0.3">
      <c r="J53434"/>
    </row>
    <row r="53435" spans="10:10" x14ac:dyDescent="0.3">
      <c r="J53435"/>
    </row>
    <row r="53436" spans="10:10" x14ac:dyDescent="0.3">
      <c r="J53436"/>
    </row>
    <row r="53437" spans="10:10" x14ac:dyDescent="0.3">
      <c r="J53437"/>
    </row>
    <row r="53438" spans="10:10" x14ac:dyDescent="0.3">
      <c r="J53438"/>
    </row>
    <row r="53439" spans="10:10" x14ac:dyDescent="0.3">
      <c r="J53439"/>
    </row>
    <row r="53440" spans="10:10" x14ac:dyDescent="0.3">
      <c r="J53440"/>
    </row>
    <row r="53441" spans="10:10" x14ac:dyDescent="0.3">
      <c r="J53441"/>
    </row>
    <row r="53442" spans="10:10" x14ac:dyDescent="0.3">
      <c r="J53442"/>
    </row>
    <row r="53443" spans="10:10" x14ac:dyDescent="0.3">
      <c r="J53443"/>
    </row>
    <row r="53444" spans="10:10" x14ac:dyDescent="0.3">
      <c r="J53444"/>
    </row>
    <row r="53445" spans="10:10" x14ac:dyDescent="0.3">
      <c r="J53445"/>
    </row>
    <row r="53446" spans="10:10" x14ac:dyDescent="0.3">
      <c r="J53446"/>
    </row>
    <row r="53447" spans="10:10" x14ac:dyDescent="0.3">
      <c r="J53447"/>
    </row>
    <row r="53448" spans="10:10" x14ac:dyDescent="0.3">
      <c r="J53448"/>
    </row>
    <row r="53449" spans="10:10" x14ac:dyDescent="0.3">
      <c r="J53449"/>
    </row>
    <row r="53450" spans="10:10" x14ac:dyDescent="0.3">
      <c r="J53450"/>
    </row>
    <row r="53451" spans="10:10" x14ac:dyDescent="0.3">
      <c r="J53451"/>
    </row>
    <row r="53452" spans="10:10" x14ac:dyDescent="0.3">
      <c r="J53452"/>
    </row>
    <row r="53453" spans="10:10" x14ac:dyDescent="0.3">
      <c r="J53453"/>
    </row>
    <row r="53454" spans="10:10" x14ac:dyDescent="0.3">
      <c r="J53454"/>
    </row>
    <row r="53455" spans="10:10" x14ac:dyDescent="0.3">
      <c r="J53455"/>
    </row>
    <row r="53456" spans="10:10" x14ac:dyDescent="0.3">
      <c r="J53456"/>
    </row>
    <row r="53457" spans="10:10" x14ac:dyDescent="0.3">
      <c r="J53457"/>
    </row>
    <row r="53458" spans="10:10" x14ac:dyDescent="0.3">
      <c r="J53458"/>
    </row>
    <row r="53459" spans="10:10" x14ac:dyDescent="0.3">
      <c r="J53459"/>
    </row>
    <row r="53460" spans="10:10" x14ac:dyDescent="0.3">
      <c r="J53460"/>
    </row>
    <row r="53461" spans="10:10" x14ac:dyDescent="0.3">
      <c r="J53461"/>
    </row>
    <row r="53462" spans="10:10" x14ac:dyDescent="0.3">
      <c r="J53462"/>
    </row>
    <row r="53463" spans="10:10" x14ac:dyDescent="0.3">
      <c r="J53463"/>
    </row>
    <row r="53464" spans="10:10" x14ac:dyDescent="0.3">
      <c r="J53464"/>
    </row>
    <row r="53465" spans="10:10" x14ac:dyDescent="0.3">
      <c r="J53465"/>
    </row>
    <row r="53466" spans="10:10" x14ac:dyDescent="0.3">
      <c r="J53466"/>
    </row>
    <row r="53467" spans="10:10" x14ac:dyDescent="0.3">
      <c r="J53467"/>
    </row>
    <row r="53468" spans="10:10" x14ac:dyDescent="0.3">
      <c r="J53468"/>
    </row>
    <row r="53469" spans="10:10" x14ac:dyDescent="0.3">
      <c r="J53469"/>
    </row>
    <row r="53470" spans="10:10" x14ac:dyDescent="0.3">
      <c r="J53470"/>
    </row>
    <row r="53471" spans="10:10" x14ac:dyDescent="0.3">
      <c r="J53471"/>
    </row>
    <row r="53472" spans="10:10" x14ac:dyDescent="0.3">
      <c r="J53472"/>
    </row>
    <row r="53473" spans="10:10" x14ac:dyDescent="0.3">
      <c r="J53473"/>
    </row>
    <row r="53474" spans="10:10" x14ac:dyDescent="0.3">
      <c r="J53474"/>
    </row>
    <row r="53475" spans="10:10" x14ac:dyDescent="0.3">
      <c r="J53475"/>
    </row>
    <row r="53476" spans="10:10" x14ac:dyDescent="0.3">
      <c r="J53476"/>
    </row>
    <row r="53477" spans="10:10" x14ac:dyDescent="0.3">
      <c r="J53477"/>
    </row>
    <row r="53478" spans="10:10" x14ac:dyDescent="0.3">
      <c r="J53478"/>
    </row>
    <row r="53479" spans="10:10" x14ac:dyDescent="0.3">
      <c r="J53479"/>
    </row>
    <row r="53480" spans="10:10" x14ac:dyDescent="0.3">
      <c r="J53480"/>
    </row>
    <row r="53481" spans="10:10" x14ac:dyDescent="0.3">
      <c r="J53481"/>
    </row>
    <row r="53482" spans="10:10" x14ac:dyDescent="0.3">
      <c r="J53482"/>
    </row>
    <row r="53483" spans="10:10" x14ac:dyDescent="0.3">
      <c r="J53483"/>
    </row>
    <row r="53484" spans="10:10" x14ac:dyDescent="0.3">
      <c r="J53484"/>
    </row>
    <row r="53485" spans="10:10" x14ac:dyDescent="0.3">
      <c r="J53485"/>
    </row>
    <row r="53486" spans="10:10" x14ac:dyDescent="0.3">
      <c r="J53486"/>
    </row>
    <row r="53487" spans="10:10" x14ac:dyDescent="0.3">
      <c r="J53487"/>
    </row>
    <row r="53488" spans="10:10" x14ac:dyDescent="0.3">
      <c r="J53488"/>
    </row>
    <row r="53489" spans="10:10" x14ac:dyDescent="0.3">
      <c r="J53489"/>
    </row>
    <row r="53490" spans="10:10" x14ac:dyDescent="0.3">
      <c r="J53490"/>
    </row>
    <row r="53491" spans="10:10" x14ac:dyDescent="0.3">
      <c r="J53491"/>
    </row>
    <row r="53492" spans="10:10" x14ac:dyDescent="0.3">
      <c r="J53492"/>
    </row>
    <row r="53493" spans="10:10" x14ac:dyDescent="0.3">
      <c r="J53493"/>
    </row>
    <row r="53494" spans="10:10" x14ac:dyDescent="0.3">
      <c r="J53494"/>
    </row>
    <row r="53495" spans="10:10" x14ac:dyDescent="0.3">
      <c r="J53495"/>
    </row>
    <row r="53496" spans="10:10" x14ac:dyDescent="0.3">
      <c r="J53496"/>
    </row>
    <row r="53497" spans="10:10" x14ac:dyDescent="0.3">
      <c r="J53497"/>
    </row>
    <row r="53498" spans="10:10" x14ac:dyDescent="0.3">
      <c r="J53498"/>
    </row>
    <row r="53499" spans="10:10" x14ac:dyDescent="0.3">
      <c r="J53499"/>
    </row>
    <row r="53500" spans="10:10" x14ac:dyDescent="0.3">
      <c r="J53500"/>
    </row>
    <row r="53501" spans="10:10" x14ac:dyDescent="0.3">
      <c r="J53501"/>
    </row>
    <row r="53502" spans="10:10" x14ac:dyDescent="0.3">
      <c r="J53502"/>
    </row>
    <row r="53503" spans="10:10" x14ac:dyDescent="0.3">
      <c r="J53503"/>
    </row>
    <row r="53504" spans="10:10" x14ac:dyDescent="0.3">
      <c r="J53504"/>
    </row>
    <row r="53505" spans="10:10" x14ac:dyDescent="0.3">
      <c r="J53505"/>
    </row>
    <row r="53506" spans="10:10" x14ac:dyDescent="0.3">
      <c r="J53506"/>
    </row>
    <row r="53507" spans="10:10" x14ac:dyDescent="0.3">
      <c r="J53507"/>
    </row>
    <row r="53508" spans="10:10" x14ac:dyDescent="0.3">
      <c r="J53508"/>
    </row>
    <row r="53509" spans="10:10" x14ac:dyDescent="0.3">
      <c r="J53509"/>
    </row>
    <row r="53510" spans="10:10" x14ac:dyDescent="0.3">
      <c r="J53510"/>
    </row>
    <row r="53511" spans="10:10" x14ac:dyDescent="0.3">
      <c r="J53511"/>
    </row>
    <row r="53512" spans="10:10" x14ac:dyDescent="0.3">
      <c r="J53512"/>
    </row>
    <row r="53513" spans="10:10" x14ac:dyDescent="0.3">
      <c r="J53513"/>
    </row>
    <row r="53514" spans="10:10" x14ac:dyDescent="0.3">
      <c r="J53514"/>
    </row>
    <row r="53515" spans="10:10" x14ac:dyDescent="0.3">
      <c r="J53515"/>
    </row>
    <row r="53516" spans="10:10" x14ac:dyDescent="0.3">
      <c r="J53516"/>
    </row>
    <row r="53517" spans="10:10" x14ac:dyDescent="0.3">
      <c r="J53517"/>
    </row>
    <row r="53518" spans="10:10" x14ac:dyDescent="0.3">
      <c r="J53518"/>
    </row>
    <row r="53519" spans="10:10" x14ac:dyDescent="0.3">
      <c r="J53519"/>
    </row>
    <row r="53520" spans="10:10" x14ac:dyDescent="0.3">
      <c r="J53520"/>
    </row>
    <row r="53521" spans="10:10" x14ac:dyDescent="0.3">
      <c r="J53521"/>
    </row>
    <row r="53522" spans="10:10" x14ac:dyDescent="0.3">
      <c r="J53522"/>
    </row>
    <row r="53523" spans="10:10" x14ac:dyDescent="0.3">
      <c r="J53523"/>
    </row>
    <row r="53524" spans="10:10" x14ac:dyDescent="0.3">
      <c r="J53524"/>
    </row>
    <row r="53525" spans="10:10" x14ac:dyDescent="0.3">
      <c r="J53525"/>
    </row>
    <row r="53526" spans="10:10" x14ac:dyDescent="0.3">
      <c r="J53526"/>
    </row>
    <row r="53527" spans="10:10" x14ac:dyDescent="0.3">
      <c r="J53527"/>
    </row>
    <row r="53528" spans="10:10" x14ac:dyDescent="0.3">
      <c r="J53528"/>
    </row>
    <row r="53529" spans="10:10" x14ac:dyDescent="0.3">
      <c r="J53529"/>
    </row>
    <row r="53530" spans="10:10" x14ac:dyDescent="0.3">
      <c r="J53530"/>
    </row>
    <row r="53531" spans="10:10" x14ac:dyDescent="0.3">
      <c r="J53531"/>
    </row>
    <row r="53532" spans="10:10" x14ac:dyDescent="0.3">
      <c r="J53532"/>
    </row>
    <row r="53533" spans="10:10" x14ac:dyDescent="0.3">
      <c r="J53533"/>
    </row>
    <row r="53534" spans="10:10" x14ac:dyDescent="0.3">
      <c r="J53534"/>
    </row>
    <row r="53535" spans="10:10" x14ac:dyDescent="0.3">
      <c r="J53535"/>
    </row>
    <row r="53536" spans="10:10" x14ac:dyDescent="0.3">
      <c r="J53536"/>
    </row>
    <row r="53537" spans="10:10" x14ac:dyDescent="0.3">
      <c r="J53537"/>
    </row>
    <row r="53538" spans="10:10" x14ac:dyDescent="0.3">
      <c r="J53538"/>
    </row>
    <row r="53539" spans="10:10" x14ac:dyDescent="0.3">
      <c r="J53539"/>
    </row>
    <row r="53540" spans="10:10" x14ac:dyDescent="0.3">
      <c r="J53540"/>
    </row>
    <row r="53541" spans="10:10" x14ac:dyDescent="0.3">
      <c r="J53541"/>
    </row>
    <row r="53542" spans="10:10" x14ac:dyDescent="0.3">
      <c r="J53542"/>
    </row>
    <row r="53543" spans="10:10" x14ac:dyDescent="0.3">
      <c r="J53543"/>
    </row>
    <row r="53544" spans="10:10" x14ac:dyDescent="0.3">
      <c r="J53544"/>
    </row>
    <row r="53545" spans="10:10" x14ac:dyDescent="0.3">
      <c r="J53545"/>
    </row>
    <row r="53546" spans="10:10" x14ac:dyDescent="0.3">
      <c r="J53546"/>
    </row>
    <row r="53547" spans="10:10" x14ac:dyDescent="0.3">
      <c r="J53547"/>
    </row>
    <row r="53548" spans="10:10" x14ac:dyDescent="0.3">
      <c r="J53548"/>
    </row>
    <row r="53549" spans="10:10" x14ac:dyDescent="0.3">
      <c r="J53549"/>
    </row>
    <row r="53550" spans="10:10" x14ac:dyDescent="0.3">
      <c r="J53550"/>
    </row>
    <row r="53551" spans="10:10" x14ac:dyDescent="0.3">
      <c r="J53551"/>
    </row>
    <row r="53552" spans="10:10" x14ac:dyDescent="0.3">
      <c r="J53552"/>
    </row>
    <row r="53553" spans="10:10" x14ac:dyDescent="0.3">
      <c r="J53553"/>
    </row>
    <row r="53554" spans="10:10" x14ac:dyDescent="0.3">
      <c r="J53554"/>
    </row>
    <row r="53555" spans="10:10" x14ac:dyDescent="0.3">
      <c r="J53555"/>
    </row>
    <row r="53556" spans="10:10" x14ac:dyDescent="0.3">
      <c r="J53556"/>
    </row>
    <row r="53557" spans="10:10" x14ac:dyDescent="0.3">
      <c r="J53557"/>
    </row>
    <row r="53558" spans="10:10" x14ac:dyDescent="0.3">
      <c r="J53558"/>
    </row>
    <row r="53559" spans="10:10" x14ac:dyDescent="0.3">
      <c r="J53559"/>
    </row>
    <row r="53560" spans="10:10" x14ac:dyDescent="0.3">
      <c r="J53560"/>
    </row>
    <row r="53561" spans="10:10" x14ac:dyDescent="0.3">
      <c r="J53561"/>
    </row>
    <row r="53562" spans="10:10" x14ac:dyDescent="0.3">
      <c r="J53562"/>
    </row>
    <row r="53563" spans="10:10" x14ac:dyDescent="0.3">
      <c r="J53563"/>
    </row>
    <row r="53564" spans="10:10" x14ac:dyDescent="0.3">
      <c r="J53564"/>
    </row>
    <row r="53565" spans="10:10" x14ac:dyDescent="0.3">
      <c r="J53565"/>
    </row>
    <row r="53566" spans="10:10" x14ac:dyDescent="0.3">
      <c r="J53566"/>
    </row>
    <row r="53567" spans="10:10" x14ac:dyDescent="0.3">
      <c r="J53567"/>
    </row>
    <row r="53568" spans="10:10" x14ac:dyDescent="0.3">
      <c r="J53568"/>
    </row>
    <row r="53569" spans="10:10" x14ac:dyDescent="0.3">
      <c r="J53569"/>
    </row>
    <row r="53570" spans="10:10" x14ac:dyDescent="0.3">
      <c r="J53570"/>
    </row>
    <row r="53571" spans="10:10" x14ac:dyDescent="0.3">
      <c r="J53571"/>
    </row>
    <row r="53572" spans="10:10" x14ac:dyDescent="0.3">
      <c r="J53572"/>
    </row>
    <row r="53573" spans="10:10" x14ac:dyDescent="0.3">
      <c r="J53573"/>
    </row>
    <row r="53574" spans="10:10" x14ac:dyDescent="0.3">
      <c r="J53574"/>
    </row>
    <row r="53575" spans="10:10" x14ac:dyDescent="0.3">
      <c r="J53575"/>
    </row>
    <row r="53576" spans="10:10" x14ac:dyDescent="0.3">
      <c r="J53576"/>
    </row>
    <row r="53577" spans="10:10" x14ac:dyDescent="0.3">
      <c r="J53577"/>
    </row>
    <row r="53578" spans="10:10" x14ac:dyDescent="0.3">
      <c r="J53578"/>
    </row>
    <row r="53579" spans="10:10" x14ac:dyDescent="0.3">
      <c r="J53579"/>
    </row>
    <row r="53580" spans="10:10" x14ac:dyDescent="0.3">
      <c r="J53580"/>
    </row>
    <row r="53581" spans="10:10" x14ac:dyDescent="0.3">
      <c r="J53581"/>
    </row>
    <row r="53582" spans="10:10" x14ac:dyDescent="0.3">
      <c r="J53582"/>
    </row>
    <row r="53583" spans="10:10" x14ac:dyDescent="0.3">
      <c r="J53583"/>
    </row>
    <row r="53584" spans="10:10" x14ac:dyDescent="0.3">
      <c r="J53584"/>
    </row>
    <row r="53585" spans="10:10" x14ac:dyDescent="0.3">
      <c r="J53585"/>
    </row>
    <row r="53586" spans="10:10" x14ac:dyDescent="0.3">
      <c r="J53586"/>
    </row>
    <row r="53587" spans="10:10" x14ac:dyDescent="0.3">
      <c r="J53587"/>
    </row>
    <row r="53588" spans="10:10" x14ac:dyDescent="0.3">
      <c r="J53588"/>
    </row>
    <row r="53589" spans="10:10" x14ac:dyDescent="0.3">
      <c r="J53589"/>
    </row>
    <row r="53590" spans="10:10" x14ac:dyDescent="0.3">
      <c r="J53590"/>
    </row>
    <row r="53591" spans="10:10" x14ac:dyDescent="0.3">
      <c r="J53591"/>
    </row>
    <row r="53592" spans="10:10" x14ac:dyDescent="0.3">
      <c r="J53592"/>
    </row>
    <row r="53593" spans="10:10" x14ac:dyDescent="0.3">
      <c r="J53593"/>
    </row>
    <row r="53594" spans="10:10" x14ac:dyDescent="0.3">
      <c r="J53594"/>
    </row>
    <row r="53595" spans="10:10" x14ac:dyDescent="0.3">
      <c r="J53595"/>
    </row>
    <row r="53596" spans="10:10" x14ac:dyDescent="0.3">
      <c r="J53596"/>
    </row>
    <row r="53597" spans="10:10" x14ac:dyDescent="0.3">
      <c r="J53597"/>
    </row>
    <row r="53598" spans="10:10" x14ac:dyDescent="0.3">
      <c r="J53598"/>
    </row>
    <row r="53599" spans="10:10" x14ac:dyDescent="0.3">
      <c r="J53599"/>
    </row>
    <row r="53600" spans="10:10" x14ac:dyDescent="0.3">
      <c r="J53600"/>
    </row>
    <row r="53601" spans="10:10" x14ac:dyDescent="0.3">
      <c r="J53601"/>
    </row>
    <row r="53602" spans="10:10" x14ac:dyDescent="0.3">
      <c r="J53602"/>
    </row>
    <row r="53603" spans="10:10" x14ac:dyDescent="0.3">
      <c r="J53603"/>
    </row>
    <row r="53604" spans="10:10" x14ac:dyDescent="0.3">
      <c r="J53604"/>
    </row>
    <row r="53605" spans="10:10" x14ac:dyDescent="0.3">
      <c r="J53605"/>
    </row>
    <row r="53606" spans="10:10" x14ac:dyDescent="0.3">
      <c r="J53606"/>
    </row>
    <row r="53607" spans="10:10" x14ac:dyDescent="0.3">
      <c r="J53607"/>
    </row>
    <row r="53608" spans="10:10" x14ac:dyDescent="0.3">
      <c r="J53608"/>
    </row>
    <row r="53609" spans="10:10" x14ac:dyDescent="0.3">
      <c r="J53609"/>
    </row>
    <row r="53610" spans="10:10" x14ac:dyDescent="0.3">
      <c r="J53610"/>
    </row>
    <row r="53611" spans="10:10" x14ac:dyDescent="0.3">
      <c r="J53611"/>
    </row>
    <row r="53612" spans="10:10" x14ac:dyDescent="0.3">
      <c r="J53612"/>
    </row>
    <row r="53613" spans="10:10" x14ac:dyDescent="0.3">
      <c r="J53613"/>
    </row>
    <row r="53614" spans="10:10" x14ac:dyDescent="0.3">
      <c r="J53614"/>
    </row>
    <row r="53615" spans="10:10" x14ac:dyDescent="0.3">
      <c r="J53615"/>
    </row>
    <row r="53616" spans="10:10" x14ac:dyDescent="0.3">
      <c r="J53616"/>
    </row>
    <row r="53617" spans="10:10" x14ac:dyDescent="0.3">
      <c r="J53617"/>
    </row>
    <row r="53618" spans="10:10" x14ac:dyDescent="0.3">
      <c r="J53618"/>
    </row>
    <row r="53619" spans="10:10" x14ac:dyDescent="0.3">
      <c r="J53619"/>
    </row>
    <row r="53620" spans="10:10" x14ac:dyDescent="0.3">
      <c r="J53620"/>
    </row>
    <row r="53621" spans="10:10" x14ac:dyDescent="0.3">
      <c r="J53621"/>
    </row>
    <row r="53622" spans="10:10" x14ac:dyDescent="0.3">
      <c r="J53622"/>
    </row>
    <row r="53623" spans="10:10" x14ac:dyDescent="0.3">
      <c r="J53623"/>
    </row>
    <row r="53624" spans="10:10" x14ac:dyDescent="0.3">
      <c r="J53624"/>
    </row>
    <row r="53625" spans="10:10" x14ac:dyDescent="0.3">
      <c r="J53625"/>
    </row>
    <row r="53626" spans="10:10" x14ac:dyDescent="0.3">
      <c r="J53626"/>
    </row>
    <row r="53627" spans="10:10" x14ac:dyDescent="0.3">
      <c r="J53627"/>
    </row>
    <row r="53628" spans="10:10" x14ac:dyDescent="0.3">
      <c r="J53628"/>
    </row>
    <row r="53629" spans="10:10" x14ac:dyDescent="0.3">
      <c r="J53629"/>
    </row>
    <row r="53630" spans="10:10" x14ac:dyDescent="0.3">
      <c r="J53630"/>
    </row>
    <row r="53631" spans="10:10" x14ac:dyDescent="0.3">
      <c r="J53631"/>
    </row>
    <row r="53632" spans="10:10" x14ac:dyDescent="0.3">
      <c r="J53632"/>
    </row>
    <row r="53633" spans="10:10" x14ac:dyDescent="0.3">
      <c r="J53633"/>
    </row>
    <row r="53634" spans="10:10" x14ac:dyDescent="0.3">
      <c r="J53634"/>
    </row>
    <row r="53635" spans="10:10" x14ac:dyDescent="0.3">
      <c r="J53635"/>
    </row>
    <row r="53636" spans="10:10" x14ac:dyDescent="0.3">
      <c r="J53636"/>
    </row>
    <row r="53637" spans="10:10" x14ac:dyDescent="0.3">
      <c r="J53637"/>
    </row>
    <row r="53638" spans="10:10" x14ac:dyDescent="0.3">
      <c r="J53638"/>
    </row>
    <row r="53639" spans="10:10" x14ac:dyDescent="0.3">
      <c r="J53639"/>
    </row>
    <row r="53640" spans="10:10" x14ac:dyDescent="0.3">
      <c r="J53640"/>
    </row>
    <row r="53641" spans="10:10" x14ac:dyDescent="0.3">
      <c r="J53641"/>
    </row>
    <row r="53642" spans="10:10" x14ac:dyDescent="0.3">
      <c r="J53642"/>
    </row>
    <row r="53643" spans="10:10" x14ac:dyDescent="0.3">
      <c r="J53643"/>
    </row>
    <row r="53644" spans="10:10" x14ac:dyDescent="0.3">
      <c r="J53644"/>
    </row>
    <row r="53645" spans="10:10" x14ac:dyDescent="0.3">
      <c r="J53645"/>
    </row>
    <row r="53646" spans="10:10" x14ac:dyDescent="0.3">
      <c r="J53646"/>
    </row>
    <row r="53647" spans="10:10" x14ac:dyDescent="0.3">
      <c r="J53647"/>
    </row>
    <row r="53648" spans="10:10" x14ac:dyDescent="0.3">
      <c r="J53648"/>
    </row>
    <row r="53649" spans="10:10" x14ac:dyDescent="0.3">
      <c r="J53649"/>
    </row>
    <row r="53650" spans="10:10" x14ac:dyDescent="0.3">
      <c r="J53650"/>
    </row>
    <row r="53651" spans="10:10" x14ac:dyDescent="0.3">
      <c r="J53651"/>
    </row>
    <row r="53652" spans="10:10" x14ac:dyDescent="0.3">
      <c r="J53652"/>
    </row>
    <row r="53653" spans="10:10" x14ac:dyDescent="0.3">
      <c r="J53653"/>
    </row>
    <row r="53654" spans="10:10" x14ac:dyDescent="0.3">
      <c r="J53654"/>
    </row>
    <row r="53655" spans="10:10" x14ac:dyDescent="0.3">
      <c r="J53655"/>
    </row>
    <row r="53656" spans="10:10" x14ac:dyDescent="0.3">
      <c r="J53656"/>
    </row>
    <row r="53657" spans="10:10" x14ac:dyDescent="0.3">
      <c r="J53657"/>
    </row>
    <row r="53658" spans="10:10" x14ac:dyDescent="0.3">
      <c r="J53658"/>
    </row>
    <row r="53659" spans="10:10" x14ac:dyDescent="0.3">
      <c r="J53659"/>
    </row>
    <row r="53660" spans="10:10" x14ac:dyDescent="0.3">
      <c r="J53660"/>
    </row>
    <row r="53661" spans="10:10" x14ac:dyDescent="0.3">
      <c r="J53661"/>
    </row>
    <row r="53662" spans="10:10" x14ac:dyDescent="0.3">
      <c r="J53662"/>
    </row>
    <row r="53663" spans="10:10" x14ac:dyDescent="0.3">
      <c r="J53663"/>
    </row>
    <row r="53664" spans="10:10" x14ac:dyDescent="0.3">
      <c r="J53664"/>
    </row>
    <row r="53665" spans="10:10" x14ac:dyDescent="0.3">
      <c r="J53665"/>
    </row>
    <row r="53666" spans="10:10" x14ac:dyDescent="0.3">
      <c r="J53666"/>
    </row>
    <row r="53667" spans="10:10" x14ac:dyDescent="0.3">
      <c r="J53667"/>
    </row>
    <row r="53668" spans="10:10" x14ac:dyDescent="0.3">
      <c r="J53668"/>
    </row>
    <row r="53669" spans="10:10" x14ac:dyDescent="0.3">
      <c r="J53669"/>
    </row>
    <row r="53670" spans="10:10" x14ac:dyDescent="0.3">
      <c r="J53670"/>
    </row>
    <row r="53671" spans="10:10" x14ac:dyDescent="0.3">
      <c r="J53671"/>
    </row>
    <row r="53672" spans="10:10" x14ac:dyDescent="0.3">
      <c r="J53672"/>
    </row>
    <row r="53673" spans="10:10" x14ac:dyDescent="0.3">
      <c r="J53673"/>
    </row>
    <row r="53674" spans="10:10" x14ac:dyDescent="0.3">
      <c r="J53674"/>
    </row>
    <row r="53675" spans="10:10" x14ac:dyDescent="0.3">
      <c r="J53675"/>
    </row>
    <row r="53676" spans="10:10" x14ac:dyDescent="0.3">
      <c r="J53676"/>
    </row>
    <row r="53677" spans="10:10" x14ac:dyDescent="0.3">
      <c r="J53677"/>
    </row>
    <row r="53678" spans="10:10" x14ac:dyDescent="0.3">
      <c r="J53678"/>
    </row>
    <row r="53679" spans="10:10" x14ac:dyDescent="0.3">
      <c r="J53679"/>
    </row>
    <row r="53680" spans="10:10" x14ac:dyDescent="0.3">
      <c r="J53680"/>
    </row>
    <row r="53681" spans="10:10" x14ac:dyDescent="0.3">
      <c r="J53681"/>
    </row>
    <row r="53682" spans="10:10" x14ac:dyDescent="0.3">
      <c r="J53682"/>
    </row>
    <row r="53683" spans="10:10" x14ac:dyDescent="0.3">
      <c r="J53683"/>
    </row>
    <row r="53684" spans="10:10" x14ac:dyDescent="0.3">
      <c r="J53684"/>
    </row>
    <row r="53685" spans="10:10" x14ac:dyDescent="0.3">
      <c r="J53685"/>
    </row>
    <row r="53686" spans="10:10" x14ac:dyDescent="0.3">
      <c r="J53686"/>
    </row>
    <row r="53687" spans="10:10" x14ac:dyDescent="0.3">
      <c r="J53687"/>
    </row>
    <row r="53688" spans="10:10" x14ac:dyDescent="0.3">
      <c r="J53688"/>
    </row>
    <row r="53689" spans="10:10" x14ac:dyDescent="0.3">
      <c r="J53689"/>
    </row>
    <row r="53690" spans="10:10" x14ac:dyDescent="0.3">
      <c r="J53690"/>
    </row>
    <row r="53691" spans="10:10" x14ac:dyDescent="0.3">
      <c r="J53691"/>
    </row>
    <row r="53692" spans="10:10" x14ac:dyDescent="0.3">
      <c r="J53692"/>
    </row>
    <row r="53693" spans="10:10" x14ac:dyDescent="0.3">
      <c r="J53693"/>
    </row>
    <row r="53694" spans="10:10" x14ac:dyDescent="0.3">
      <c r="J53694"/>
    </row>
    <row r="53695" spans="10:10" x14ac:dyDescent="0.3">
      <c r="J53695"/>
    </row>
    <row r="53696" spans="10:10" x14ac:dyDescent="0.3">
      <c r="J53696"/>
    </row>
    <row r="53697" spans="10:10" x14ac:dyDescent="0.3">
      <c r="J53697"/>
    </row>
    <row r="53698" spans="10:10" x14ac:dyDescent="0.3">
      <c r="J53698"/>
    </row>
    <row r="53699" spans="10:10" x14ac:dyDescent="0.3">
      <c r="J53699"/>
    </row>
    <row r="53700" spans="10:10" x14ac:dyDescent="0.3">
      <c r="J53700"/>
    </row>
    <row r="53701" spans="10:10" x14ac:dyDescent="0.3">
      <c r="J53701"/>
    </row>
    <row r="53702" spans="10:10" x14ac:dyDescent="0.3">
      <c r="J53702"/>
    </row>
    <row r="53703" spans="10:10" x14ac:dyDescent="0.3">
      <c r="J53703"/>
    </row>
    <row r="53704" spans="10:10" x14ac:dyDescent="0.3">
      <c r="J53704"/>
    </row>
    <row r="53705" spans="10:10" x14ac:dyDescent="0.3">
      <c r="J53705"/>
    </row>
    <row r="53706" spans="10:10" x14ac:dyDescent="0.3">
      <c r="J53706"/>
    </row>
    <row r="53707" spans="10:10" x14ac:dyDescent="0.3">
      <c r="J53707"/>
    </row>
    <row r="53708" spans="10:10" x14ac:dyDescent="0.3">
      <c r="J53708"/>
    </row>
    <row r="53709" spans="10:10" x14ac:dyDescent="0.3">
      <c r="J53709"/>
    </row>
    <row r="53710" spans="10:10" x14ac:dyDescent="0.3">
      <c r="J53710"/>
    </row>
    <row r="53711" spans="10:10" x14ac:dyDescent="0.3">
      <c r="J53711"/>
    </row>
    <row r="53712" spans="10:10" x14ac:dyDescent="0.3">
      <c r="J53712"/>
    </row>
    <row r="53713" spans="10:10" x14ac:dyDescent="0.3">
      <c r="J53713"/>
    </row>
    <row r="53714" spans="10:10" x14ac:dyDescent="0.3">
      <c r="J53714"/>
    </row>
    <row r="53715" spans="10:10" x14ac:dyDescent="0.3">
      <c r="J53715"/>
    </row>
    <row r="53716" spans="10:10" x14ac:dyDescent="0.3">
      <c r="J53716"/>
    </row>
    <row r="53717" spans="10:10" x14ac:dyDescent="0.3">
      <c r="J53717"/>
    </row>
    <row r="53718" spans="10:10" x14ac:dyDescent="0.3">
      <c r="J53718"/>
    </row>
    <row r="53719" spans="10:10" x14ac:dyDescent="0.3">
      <c r="J53719"/>
    </row>
    <row r="53720" spans="10:10" x14ac:dyDescent="0.3">
      <c r="J53720"/>
    </row>
    <row r="53721" spans="10:10" x14ac:dyDescent="0.3">
      <c r="J53721"/>
    </row>
    <row r="53722" spans="10:10" x14ac:dyDescent="0.3">
      <c r="J53722"/>
    </row>
    <row r="53723" spans="10:10" x14ac:dyDescent="0.3">
      <c r="J53723"/>
    </row>
    <row r="53724" spans="10:10" x14ac:dyDescent="0.3">
      <c r="J53724"/>
    </row>
    <row r="53725" spans="10:10" x14ac:dyDescent="0.3">
      <c r="J53725"/>
    </row>
    <row r="53726" spans="10:10" x14ac:dyDescent="0.3">
      <c r="J53726"/>
    </row>
    <row r="53727" spans="10:10" x14ac:dyDescent="0.3">
      <c r="J53727"/>
    </row>
    <row r="53728" spans="10:10" x14ac:dyDescent="0.3">
      <c r="J53728"/>
    </row>
    <row r="53729" spans="10:10" x14ac:dyDescent="0.3">
      <c r="J53729"/>
    </row>
    <row r="53730" spans="10:10" x14ac:dyDescent="0.3">
      <c r="J53730"/>
    </row>
    <row r="53731" spans="10:10" x14ac:dyDescent="0.3">
      <c r="J53731"/>
    </row>
    <row r="53732" spans="10:10" x14ac:dyDescent="0.3">
      <c r="J53732"/>
    </row>
    <row r="53733" spans="10:10" x14ac:dyDescent="0.3">
      <c r="J53733"/>
    </row>
    <row r="53734" spans="10:10" x14ac:dyDescent="0.3">
      <c r="J53734"/>
    </row>
    <row r="53735" spans="10:10" x14ac:dyDescent="0.3">
      <c r="J53735"/>
    </row>
    <row r="53736" spans="10:10" x14ac:dyDescent="0.3">
      <c r="J53736"/>
    </row>
    <row r="53737" spans="10:10" x14ac:dyDescent="0.3">
      <c r="J53737"/>
    </row>
    <row r="53738" spans="10:10" x14ac:dyDescent="0.3">
      <c r="J53738"/>
    </row>
    <row r="53739" spans="10:10" x14ac:dyDescent="0.3">
      <c r="J53739"/>
    </row>
    <row r="53740" spans="10:10" x14ac:dyDescent="0.3">
      <c r="J53740"/>
    </row>
    <row r="53741" spans="10:10" x14ac:dyDescent="0.3">
      <c r="J53741"/>
    </row>
    <row r="53742" spans="10:10" x14ac:dyDescent="0.3">
      <c r="J53742"/>
    </row>
    <row r="53743" spans="10:10" x14ac:dyDescent="0.3">
      <c r="J53743"/>
    </row>
    <row r="53744" spans="10:10" x14ac:dyDescent="0.3">
      <c r="J53744"/>
    </row>
    <row r="53745" spans="10:10" x14ac:dyDescent="0.3">
      <c r="J53745"/>
    </row>
    <row r="53746" spans="10:10" x14ac:dyDescent="0.3">
      <c r="J53746"/>
    </row>
    <row r="53747" spans="10:10" x14ac:dyDescent="0.3">
      <c r="J53747"/>
    </row>
    <row r="53748" spans="10:10" x14ac:dyDescent="0.3">
      <c r="J53748"/>
    </row>
    <row r="53749" spans="10:10" x14ac:dyDescent="0.3">
      <c r="J53749"/>
    </row>
    <row r="53750" spans="10:10" x14ac:dyDescent="0.3">
      <c r="J53750"/>
    </row>
    <row r="53751" spans="10:10" x14ac:dyDescent="0.3">
      <c r="J53751"/>
    </row>
    <row r="53752" spans="10:10" x14ac:dyDescent="0.3">
      <c r="J53752"/>
    </row>
    <row r="53753" spans="10:10" x14ac:dyDescent="0.3">
      <c r="J53753"/>
    </row>
    <row r="53754" spans="10:10" x14ac:dyDescent="0.3">
      <c r="J53754"/>
    </row>
    <row r="53755" spans="10:10" x14ac:dyDescent="0.3">
      <c r="J53755"/>
    </row>
    <row r="53756" spans="10:10" x14ac:dyDescent="0.3">
      <c r="J53756"/>
    </row>
    <row r="53757" spans="10:10" x14ac:dyDescent="0.3">
      <c r="J53757"/>
    </row>
    <row r="53758" spans="10:10" x14ac:dyDescent="0.3">
      <c r="J53758"/>
    </row>
    <row r="53759" spans="10:10" x14ac:dyDescent="0.3">
      <c r="J53759"/>
    </row>
    <row r="53760" spans="10:10" x14ac:dyDescent="0.3">
      <c r="J53760"/>
    </row>
    <row r="53761" spans="10:10" x14ac:dyDescent="0.3">
      <c r="J53761"/>
    </row>
    <row r="53762" spans="10:10" x14ac:dyDescent="0.3">
      <c r="J53762"/>
    </row>
    <row r="53763" spans="10:10" x14ac:dyDescent="0.3">
      <c r="J53763"/>
    </row>
    <row r="53764" spans="10:10" x14ac:dyDescent="0.3">
      <c r="J53764"/>
    </row>
    <row r="53765" spans="10:10" x14ac:dyDescent="0.3">
      <c r="J53765"/>
    </row>
    <row r="53766" spans="10:10" x14ac:dyDescent="0.3">
      <c r="J53766"/>
    </row>
    <row r="53767" spans="10:10" x14ac:dyDescent="0.3">
      <c r="J53767"/>
    </row>
    <row r="53768" spans="10:10" x14ac:dyDescent="0.3">
      <c r="J53768"/>
    </row>
    <row r="53769" spans="10:10" x14ac:dyDescent="0.3">
      <c r="J53769"/>
    </row>
    <row r="53770" spans="10:10" x14ac:dyDescent="0.3">
      <c r="J53770"/>
    </row>
    <row r="53771" spans="10:10" x14ac:dyDescent="0.3">
      <c r="J53771"/>
    </row>
    <row r="53772" spans="10:10" x14ac:dyDescent="0.3">
      <c r="J53772"/>
    </row>
    <row r="53773" spans="10:10" x14ac:dyDescent="0.3">
      <c r="J53773"/>
    </row>
    <row r="53774" spans="10:10" x14ac:dyDescent="0.3">
      <c r="J53774"/>
    </row>
    <row r="53775" spans="10:10" x14ac:dyDescent="0.3">
      <c r="J53775"/>
    </row>
    <row r="53776" spans="10:10" x14ac:dyDescent="0.3">
      <c r="J53776"/>
    </row>
    <row r="53777" spans="10:10" x14ac:dyDescent="0.3">
      <c r="J53777"/>
    </row>
    <row r="53778" spans="10:10" x14ac:dyDescent="0.3">
      <c r="J53778"/>
    </row>
    <row r="53779" spans="10:10" x14ac:dyDescent="0.3">
      <c r="J53779"/>
    </row>
    <row r="53780" spans="10:10" x14ac:dyDescent="0.3">
      <c r="J53780"/>
    </row>
    <row r="53781" spans="10:10" x14ac:dyDescent="0.3">
      <c r="J53781"/>
    </row>
    <row r="53782" spans="10:10" x14ac:dyDescent="0.3">
      <c r="J53782"/>
    </row>
    <row r="53783" spans="10:10" x14ac:dyDescent="0.3">
      <c r="J53783"/>
    </row>
    <row r="53784" spans="10:10" x14ac:dyDescent="0.3">
      <c r="J53784"/>
    </row>
    <row r="53785" spans="10:10" x14ac:dyDescent="0.3">
      <c r="J53785"/>
    </row>
    <row r="53786" spans="10:10" x14ac:dyDescent="0.3">
      <c r="J53786"/>
    </row>
    <row r="53787" spans="10:10" x14ac:dyDescent="0.3">
      <c r="J53787"/>
    </row>
    <row r="53788" spans="10:10" x14ac:dyDescent="0.3">
      <c r="J53788"/>
    </row>
    <row r="53789" spans="10:10" x14ac:dyDescent="0.3">
      <c r="J53789"/>
    </row>
    <row r="53790" spans="10:10" x14ac:dyDescent="0.3">
      <c r="J53790"/>
    </row>
    <row r="53791" spans="10:10" x14ac:dyDescent="0.3">
      <c r="J53791"/>
    </row>
    <row r="53792" spans="10:10" x14ac:dyDescent="0.3">
      <c r="J53792"/>
    </row>
    <row r="53793" spans="10:10" x14ac:dyDescent="0.3">
      <c r="J53793"/>
    </row>
    <row r="53794" spans="10:10" x14ac:dyDescent="0.3">
      <c r="J53794"/>
    </row>
    <row r="53795" spans="10:10" x14ac:dyDescent="0.3">
      <c r="J53795"/>
    </row>
    <row r="53796" spans="10:10" x14ac:dyDescent="0.3">
      <c r="J53796"/>
    </row>
    <row r="53797" spans="10:10" x14ac:dyDescent="0.3">
      <c r="J53797"/>
    </row>
    <row r="53798" spans="10:10" x14ac:dyDescent="0.3">
      <c r="J53798"/>
    </row>
    <row r="53799" spans="10:10" x14ac:dyDescent="0.3">
      <c r="J53799"/>
    </row>
    <row r="53800" spans="10:10" x14ac:dyDescent="0.3">
      <c r="J53800"/>
    </row>
    <row r="53801" spans="10:10" x14ac:dyDescent="0.3">
      <c r="J53801"/>
    </row>
    <row r="53802" spans="10:10" x14ac:dyDescent="0.3">
      <c r="J53802"/>
    </row>
    <row r="53803" spans="10:10" x14ac:dyDescent="0.3">
      <c r="J53803"/>
    </row>
    <row r="53804" spans="10:10" x14ac:dyDescent="0.3">
      <c r="J53804"/>
    </row>
    <row r="53805" spans="10:10" x14ac:dyDescent="0.3">
      <c r="J53805"/>
    </row>
    <row r="53806" spans="10:10" x14ac:dyDescent="0.3">
      <c r="J53806"/>
    </row>
    <row r="53807" spans="10:10" x14ac:dyDescent="0.3">
      <c r="J53807"/>
    </row>
    <row r="53808" spans="10:10" x14ac:dyDescent="0.3">
      <c r="J53808"/>
    </row>
    <row r="53809" spans="10:10" x14ac:dyDescent="0.3">
      <c r="J53809"/>
    </row>
    <row r="53810" spans="10:10" x14ac:dyDescent="0.3">
      <c r="J53810"/>
    </row>
    <row r="53811" spans="10:10" x14ac:dyDescent="0.3">
      <c r="J53811"/>
    </row>
    <row r="53812" spans="10:10" x14ac:dyDescent="0.3">
      <c r="J53812"/>
    </row>
    <row r="53813" spans="10:10" x14ac:dyDescent="0.3">
      <c r="J53813"/>
    </row>
    <row r="53814" spans="10:10" x14ac:dyDescent="0.3">
      <c r="J53814"/>
    </row>
    <row r="53815" spans="10:10" x14ac:dyDescent="0.3">
      <c r="J53815"/>
    </row>
    <row r="53816" spans="10:10" x14ac:dyDescent="0.3">
      <c r="J53816"/>
    </row>
    <row r="53817" spans="10:10" x14ac:dyDescent="0.3">
      <c r="J53817"/>
    </row>
    <row r="53818" spans="10:10" x14ac:dyDescent="0.3">
      <c r="J53818"/>
    </row>
    <row r="53819" spans="10:10" x14ac:dyDescent="0.3">
      <c r="J53819"/>
    </row>
    <row r="53820" spans="10:10" x14ac:dyDescent="0.3">
      <c r="J53820"/>
    </row>
    <row r="53821" spans="10:10" x14ac:dyDescent="0.3">
      <c r="J53821"/>
    </row>
    <row r="53822" spans="10:10" x14ac:dyDescent="0.3">
      <c r="J53822"/>
    </row>
    <row r="53823" spans="10:10" x14ac:dyDescent="0.3">
      <c r="J53823"/>
    </row>
    <row r="53824" spans="10:10" x14ac:dyDescent="0.3">
      <c r="J53824"/>
    </row>
    <row r="53825" spans="10:10" x14ac:dyDescent="0.3">
      <c r="J53825"/>
    </row>
    <row r="53826" spans="10:10" x14ac:dyDescent="0.3">
      <c r="J53826"/>
    </row>
    <row r="53827" spans="10:10" x14ac:dyDescent="0.3">
      <c r="J53827"/>
    </row>
    <row r="53828" spans="10:10" x14ac:dyDescent="0.3">
      <c r="J53828"/>
    </row>
    <row r="53829" spans="10:10" x14ac:dyDescent="0.3">
      <c r="J53829"/>
    </row>
    <row r="53830" spans="10:10" x14ac:dyDescent="0.3">
      <c r="J53830"/>
    </row>
    <row r="53831" spans="10:10" x14ac:dyDescent="0.3">
      <c r="J53831"/>
    </row>
    <row r="53832" spans="10:10" x14ac:dyDescent="0.3">
      <c r="J53832"/>
    </row>
    <row r="53833" spans="10:10" x14ac:dyDescent="0.3">
      <c r="J53833"/>
    </row>
    <row r="53834" spans="10:10" x14ac:dyDescent="0.3">
      <c r="J53834"/>
    </row>
    <row r="53835" spans="10:10" x14ac:dyDescent="0.3">
      <c r="J53835"/>
    </row>
    <row r="53836" spans="10:10" x14ac:dyDescent="0.3">
      <c r="J53836"/>
    </row>
    <row r="53837" spans="10:10" x14ac:dyDescent="0.3">
      <c r="J53837"/>
    </row>
    <row r="53838" spans="10:10" x14ac:dyDescent="0.3">
      <c r="J53838"/>
    </row>
    <row r="53839" spans="10:10" x14ac:dyDescent="0.3">
      <c r="J53839"/>
    </row>
    <row r="53840" spans="10:10" x14ac:dyDescent="0.3">
      <c r="J53840"/>
    </row>
    <row r="53841" spans="10:10" x14ac:dyDescent="0.3">
      <c r="J53841"/>
    </row>
    <row r="53842" spans="10:10" x14ac:dyDescent="0.3">
      <c r="J53842"/>
    </row>
    <row r="53843" spans="10:10" x14ac:dyDescent="0.3">
      <c r="J53843"/>
    </row>
    <row r="53844" spans="10:10" x14ac:dyDescent="0.3">
      <c r="J53844"/>
    </row>
    <row r="53845" spans="10:10" x14ac:dyDescent="0.3">
      <c r="J53845"/>
    </row>
    <row r="53846" spans="10:10" x14ac:dyDescent="0.3">
      <c r="J53846"/>
    </row>
    <row r="53847" spans="10:10" x14ac:dyDescent="0.3">
      <c r="J53847"/>
    </row>
    <row r="53848" spans="10:10" x14ac:dyDescent="0.3">
      <c r="J53848"/>
    </row>
    <row r="53849" spans="10:10" x14ac:dyDescent="0.3">
      <c r="J53849"/>
    </row>
    <row r="53850" spans="10:10" x14ac:dyDescent="0.3">
      <c r="J53850"/>
    </row>
    <row r="53851" spans="10:10" x14ac:dyDescent="0.3">
      <c r="J53851"/>
    </row>
    <row r="53852" spans="10:10" x14ac:dyDescent="0.3">
      <c r="J53852"/>
    </row>
    <row r="53853" spans="10:10" x14ac:dyDescent="0.3">
      <c r="J53853"/>
    </row>
    <row r="53854" spans="10:10" x14ac:dyDescent="0.3">
      <c r="J53854"/>
    </row>
    <row r="53855" spans="10:10" x14ac:dyDescent="0.3">
      <c r="J53855"/>
    </row>
    <row r="53856" spans="10:10" x14ac:dyDescent="0.3">
      <c r="J53856"/>
    </row>
    <row r="53857" spans="10:10" x14ac:dyDescent="0.3">
      <c r="J53857"/>
    </row>
    <row r="53858" spans="10:10" x14ac:dyDescent="0.3">
      <c r="J53858"/>
    </row>
    <row r="53859" spans="10:10" x14ac:dyDescent="0.3">
      <c r="J53859"/>
    </row>
    <row r="53860" spans="10:10" x14ac:dyDescent="0.3">
      <c r="J53860"/>
    </row>
    <row r="53861" spans="10:10" x14ac:dyDescent="0.3">
      <c r="J53861"/>
    </row>
    <row r="53862" spans="10:10" x14ac:dyDescent="0.3">
      <c r="J53862"/>
    </row>
    <row r="53863" spans="10:10" x14ac:dyDescent="0.3">
      <c r="J53863"/>
    </row>
    <row r="53864" spans="10:10" x14ac:dyDescent="0.3">
      <c r="J53864"/>
    </row>
    <row r="53865" spans="10:10" x14ac:dyDescent="0.3">
      <c r="J53865"/>
    </row>
    <row r="53866" spans="10:10" x14ac:dyDescent="0.3">
      <c r="J53866"/>
    </row>
    <row r="53867" spans="10:10" x14ac:dyDescent="0.3">
      <c r="J53867"/>
    </row>
    <row r="53868" spans="10:10" x14ac:dyDescent="0.3">
      <c r="J53868"/>
    </row>
    <row r="53869" spans="10:10" x14ac:dyDescent="0.3">
      <c r="J53869"/>
    </row>
    <row r="53870" spans="10:10" x14ac:dyDescent="0.3">
      <c r="J53870"/>
    </row>
    <row r="53871" spans="10:10" x14ac:dyDescent="0.3">
      <c r="J53871"/>
    </row>
    <row r="53872" spans="10:10" x14ac:dyDescent="0.3">
      <c r="J53872"/>
    </row>
    <row r="53873" spans="10:10" x14ac:dyDescent="0.3">
      <c r="J53873"/>
    </row>
    <row r="53874" spans="10:10" x14ac:dyDescent="0.3">
      <c r="J53874"/>
    </row>
    <row r="53875" spans="10:10" x14ac:dyDescent="0.3">
      <c r="J53875"/>
    </row>
    <row r="53876" spans="10:10" x14ac:dyDescent="0.3">
      <c r="J53876"/>
    </row>
    <row r="53877" spans="10:10" x14ac:dyDescent="0.3">
      <c r="J53877"/>
    </row>
    <row r="53878" spans="10:10" x14ac:dyDescent="0.3">
      <c r="J53878"/>
    </row>
    <row r="53879" spans="10:10" x14ac:dyDescent="0.3">
      <c r="J53879"/>
    </row>
    <row r="53880" spans="10:10" x14ac:dyDescent="0.3">
      <c r="J53880"/>
    </row>
    <row r="53881" spans="10:10" x14ac:dyDescent="0.3">
      <c r="J53881"/>
    </row>
    <row r="53882" spans="10:10" x14ac:dyDescent="0.3">
      <c r="J53882"/>
    </row>
    <row r="53883" spans="10:10" x14ac:dyDescent="0.3">
      <c r="J53883"/>
    </row>
    <row r="53884" spans="10:10" x14ac:dyDescent="0.3">
      <c r="J53884"/>
    </row>
    <row r="53885" spans="10:10" x14ac:dyDescent="0.3">
      <c r="J53885"/>
    </row>
    <row r="53886" spans="10:10" x14ac:dyDescent="0.3">
      <c r="J53886"/>
    </row>
    <row r="53887" spans="10:10" x14ac:dyDescent="0.3">
      <c r="J53887"/>
    </row>
    <row r="53888" spans="10:10" x14ac:dyDescent="0.3">
      <c r="J53888"/>
    </row>
    <row r="53889" spans="10:10" x14ac:dyDescent="0.3">
      <c r="J53889"/>
    </row>
    <row r="53890" spans="10:10" x14ac:dyDescent="0.3">
      <c r="J53890"/>
    </row>
    <row r="53891" spans="10:10" x14ac:dyDescent="0.3">
      <c r="J53891"/>
    </row>
    <row r="53892" spans="10:10" x14ac:dyDescent="0.3">
      <c r="J53892"/>
    </row>
    <row r="53893" spans="10:10" x14ac:dyDescent="0.3">
      <c r="J53893"/>
    </row>
    <row r="53894" spans="10:10" x14ac:dyDescent="0.3">
      <c r="J53894"/>
    </row>
    <row r="53895" spans="10:10" x14ac:dyDescent="0.3">
      <c r="J53895"/>
    </row>
    <row r="53896" spans="10:10" x14ac:dyDescent="0.3">
      <c r="J53896"/>
    </row>
    <row r="53897" spans="10:10" x14ac:dyDescent="0.3">
      <c r="J53897"/>
    </row>
    <row r="53898" spans="10:10" x14ac:dyDescent="0.3">
      <c r="J53898"/>
    </row>
    <row r="53899" spans="10:10" x14ac:dyDescent="0.3">
      <c r="J53899"/>
    </row>
    <row r="53900" spans="10:10" x14ac:dyDescent="0.3">
      <c r="J53900"/>
    </row>
    <row r="53901" spans="10:10" x14ac:dyDescent="0.3">
      <c r="J53901"/>
    </row>
    <row r="53902" spans="10:10" x14ac:dyDescent="0.3">
      <c r="J53902"/>
    </row>
    <row r="53903" spans="10:10" x14ac:dyDescent="0.3">
      <c r="J53903"/>
    </row>
    <row r="53904" spans="10:10" x14ac:dyDescent="0.3">
      <c r="J53904"/>
    </row>
    <row r="53905" spans="10:10" x14ac:dyDescent="0.3">
      <c r="J53905"/>
    </row>
    <row r="53906" spans="10:10" x14ac:dyDescent="0.3">
      <c r="J53906"/>
    </row>
    <row r="53907" spans="10:10" x14ac:dyDescent="0.3">
      <c r="J53907"/>
    </row>
    <row r="53908" spans="10:10" x14ac:dyDescent="0.3">
      <c r="J53908"/>
    </row>
    <row r="53909" spans="10:10" x14ac:dyDescent="0.3">
      <c r="J53909"/>
    </row>
    <row r="53910" spans="10:10" x14ac:dyDescent="0.3">
      <c r="J53910"/>
    </row>
    <row r="53911" spans="10:10" x14ac:dyDescent="0.3">
      <c r="J53911"/>
    </row>
    <row r="53912" spans="10:10" x14ac:dyDescent="0.3">
      <c r="J53912"/>
    </row>
    <row r="53913" spans="10:10" x14ac:dyDescent="0.3">
      <c r="J53913"/>
    </row>
    <row r="53914" spans="10:10" x14ac:dyDescent="0.3">
      <c r="J53914"/>
    </row>
    <row r="53915" spans="10:10" x14ac:dyDescent="0.3">
      <c r="J53915"/>
    </row>
    <row r="53916" spans="10:10" x14ac:dyDescent="0.3">
      <c r="J53916"/>
    </row>
    <row r="53917" spans="10:10" x14ac:dyDescent="0.3">
      <c r="J53917"/>
    </row>
    <row r="53918" spans="10:10" x14ac:dyDescent="0.3">
      <c r="J53918"/>
    </row>
    <row r="53919" spans="10:10" x14ac:dyDescent="0.3">
      <c r="J53919"/>
    </row>
    <row r="53920" spans="10:10" x14ac:dyDescent="0.3">
      <c r="J53920"/>
    </row>
    <row r="53921" spans="10:10" x14ac:dyDescent="0.3">
      <c r="J53921"/>
    </row>
    <row r="53922" spans="10:10" x14ac:dyDescent="0.3">
      <c r="J53922"/>
    </row>
    <row r="53923" spans="10:10" x14ac:dyDescent="0.3">
      <c r="J53923"/>
    </row>
    <row r="53924" spans="10:10" x14ac:dyDescent="0.3">
      <c r="J53924"/>
    </row>
    <row r="53925" spans="10:10" x14ac:dyDescent="0.3">
      <c r="J53925"/>
    </row>
    <row r="53926" spans="10:10" x14ac:dyDescent="0.3">
      <c r="J53926"/>
    </row>
    <row r="53927" spans="10:10" x14ac:dyDescent="0.3">
      <c r="J53927"/>
    </row>
    <row r="53928" spans="10:10" x14ac:dyDescent="0.3">
      <c r="J53928"/>
    </row>
    <row r="53929" spans="10:10" x14ac:dyDescent="0.3">
      <c r="J53929"/>
    </row>
    <row r="53930" spans="10:10" x14ac:dyDescent="0.3">
      <c r="J53930"/>
    </row>
    <row r="53931" spans="10:10" x14ac:dyDescent="0.3">
      <c r="J53931"/>
    </row>
    <row r="53932" spans="10:10" x14ac:dyDescent="0.3">
      <c r="J53932"/>
    </row>
    <row r="53933" spans="10:10" x14ac:dyDescent="0.3">
      <c r="J53933"/>
    </row>
    <row r="53934" spans="10:10" x14ac:dyDescent="0.3">
      <c r="J53934"/>
    </row>
    <row r="53935" spans="10:10" x14ac:dyDescent="0.3">
      <c r="J53935"/>
    </row>
    <row r="53936" spans="10:10" x14ac:dyDescent="0.3">
      <c r="J53936"/>
    </row>
    <row r="53937" spans="10:10" x14ac:dyDescent="0.3">
      <c r="J53937"/>
    </row>
    <row r="53938" spans="10:10" x14ac:dyDescent="0.3">
      <c r="J53938"/>
    </row>
    <row r="53939" spans="10:10" x14ac:dyDescent="0.3">
      <c r="J53939"/>
    </row>
    <row r="53940" spans="10:10" x14ac:dyDescent="0.3">
      <c r="J53940"/>
    </row>
    <row r="53941" spans="10:10" x14ac:dyDescent="0.3">
      <c r="J53941"/>
    </row>
    <row r="53942" spans="10:10" x14ac:dyDescent="0.3">
      <c r="J53942"/>
    </row>
    <row r="53943" spans="10:10" x14ac:dyDescent="0.3">
      <c r="J53943"/>
    </row>
    <row r="53944" spans="10:10" x14ac:dyDescent="0.3">
      <c r="J53944"/>
    </row>
    <row r="53945" spans="10:10" x14ac:dyDescent="0.3">
      <c r="J53945"/>
    </row>
    <row r="53946" spans="10:10" x14ac:dyDescent="0.3">
      <c r="J53946"/>
    </row>
    <row r="53947" spans="10:10" x14ac:dyDescent="0.3">
      <c r="J53947"/>
    </row>
    <row r="53948" spans="10:10" x14ac:dyDescent="0.3">
      <c r="J53948"/>
    </row>
    <row r="53949" spans="10:10" x14ac:dyDescent="0.3">
      <c r="J53949"/>
    </row>
    <row r="53950" spans="10:10" x14ac:dyDescent="0.3">
      <c r="J53950"/>
    </row>
    <row r="53951" spans="10:10" x14ac:dyDescent="0.3">
      <c r="J53951"/>
    </row>
    <row r="53952" spans="10:10" x14ac:dyDescent="0.3">
      <c r="J53952"/>
    </row>
    <row r="53953" spans="10:10" x14ac:dyDescent="0.3">
      <c r="J53953"/>
    </row>
    <row r="53954" spans="10:10" x14ac:dyDescent="0.3">
      <c r="J53954"/>
    </row>
    <row r="53955" spans="10:10" x14ac:dyDescent="0.3">
      <c r="J53955"/>
    </row>
    <row r="53956" spans="10:10" x14ac:dyDescent="0.3">
      <c r="J53956"/>
    </row>
    <row r="53957" spans="10:10" x14ac:dyDescent="0.3">
      <c r="J53957"/>
    </row>
    <row r="53958" spans="10:10" x14ac:dyDescent="0.3">
      <c r="J53958"/>
    </row>
    <row r="53959" spans="10:10" x14ac:dyDescent="0.3">
      <c r="J53959"/>
    </row>
    <row r="53960" spans="10:10" x14ac:dyDescent="0.3">
      <c r="J53960"/>
    </row>
    <row r="53961" spans="10:10" x14ac:dyDescent="0.3">
      <c r="J53961"/>
    </row>
    <row r="53962" spans="10:10" x14ac:dyDescent="0.3">
      <c r="J53962"/>
    </row>
    <row r="53963" spans="10:10" x14ac:dyDescent="0.3">
      <c r="J53963"/>
    </row>
    <row r="53964" spans="10:10" x14ac:dyDescent="0.3">
      <c r="J53964"/>
    </row>
    <row r="53965" spans="10:10" x14ac:dyDescent="0.3">
      <c r="J53965"/>
    </row>
    <row r="53966" spans="10:10" x14ac:dyDescent="0.3">
      <c r="J53966"/>
    </row>
    <row r="53967" spans="10:10" x14ac:dyDescent="0.3">
      <c r="J53967"/>
    </row>
    <row r="53968" spans="10:10" x14ac:dyDescent="0.3">
      <c r="J53968"/>
    </row>
    <row r="53969" spans="10:10" x14ac:dyDescent="0.3">
      <c r="J53969"/>
    </row>
    <row r="53970" spans="10:10" x14ac:dyDescent="0.3">
      <c r="J53970"/>
    </row>
    <row r="53971" spans="10:10" x14ac:dyDescent="0.3">
      <c r="J53971"/>
    </row>
    <row r="53972" spans="10:10" x14ac:dyDescent="0.3">
      <c r="J53972"/>
    </row>
    <row r="53973" spans="10:10" x14ac:dyDescent="0.3">
      <c r="J53973"/>
    </row>
    <row r="53974" spans="10:10" x14ac:dyDescent="0.3">
      <c r="J53974"/>
    </row>
    <row r="53975" spans="10:10" x14ac:dyDescent="0.3">
      <c r="J53975"/>
    </row>
    <row r="53976" spans="10:10" x14ac:dyDescent="0.3">
      <c r="J53976"/>
    </row>
    <row r="53977" spans="10:10" x14ac:dyDescent="0.3">
      <c r="J53977"/>
    </row>
    <row r="53978" spans="10:10" x14ac:dyDescent="0.3">
      <c r="J53978"/>
    </row>
    <row r="53979" spans="10:10" x14ac:dyDescent="0.3">
      <c r="J53979"/>
    </row>
    <row r="53980" spans="10:10" x14ac:dyDescent="0.3">
      <c r="J53980"/>
    </row>
    <row r="53981" spans="10:10" x14ac:dyDescent="0.3">
      <c r="J53981"/>
    </row>
    <row r="53982" spans="10:10" x14ac:dyDescent="0.3">
      <c r="J53982"/>
    </row>
    <row r="53983" spans="10:10" x14ac:dyDescent="0.3">
      <c r="J53983"/>
    </row>
    <row r="53984" spans="10:10" x14ac:dyDescent="0.3">
      <c r="J53984"/>
    </row>
    <row r="53985" spans="10:10" x14ac:dyDescent="0.3">
      <c r="J53985"/>
    </row>
    <row r="53986" spans="10:10" x14ac:dyDescent="0.3">
      <c r="J53986"/>
    </row>
    <row r="53987" spans="10:10" x14ac:dyDescent="0.3">
      <c r="J53987"/>
    </row>
    <row r="53988" spans="10:10" x14ac:dyDescent="0.3">
      <c r="J53988"/>
    </row>
    <row r="53989" spans="10:10" x14ac:dyDescent="0.3">
      <c r="J53989"/>
    </row>
    <row r="53990" spans="10:10" x14ac:dyDescent="0.3">
      <c r="J53990"/>
    </row>
    <row r="53991" spans="10:10" x14ac:dyDescent="0.3">
      <c r="J53991"/>
    </row>
    <row r="53992" spans="10:10" x14ac:dyDescent="0.3">
      <c r="J53992"/>
    </row>
    <row r="53993" spans="10:10" x14ac:dyDescent="0.3">
      <c r="J53993"/>
    </row>
    <row r="53994" spans="10:10" x14ac:dyDescent="0.3">
      <c r="J53994"/>
    </row>
    <row r="53995" spans="10:10" x14ac:dyDescent="0.3">
      <c r="J53995"/>
    </row>
    <row r="53996" spans="10:10" x14ac:dyDescent="0.3">
      <c r="J53996"/>
    </row>
    <row r="53997" spans="10:10" x14ac:dyDescent="0.3">
      <c r="J53997"/>
    </row>
    <row r="53998" spans="10:10" x14ac:dyDescent="0.3">
      <c r="J53998"/>
    </row>
    <row r="53999" spans="10:10" x14ac:dyDescent="0.3">
      <c r="J53999"/>
    </row>
    <row r="54000" spans="10:10" x14ac:dyDescent="0.3">
      <c r="J54000"/>
    </row>
    <row r="54001" spans="10:10" x14ac:dyDescent="0.3">
      <c r="J54001"/>
    </row>
    <row r="54002" spans="10:10" x14ac:dyDescent="0.3">
      <c r="J54002"/>
    </row>
    <row r="54003" spans="10:10" x14ac:dyDescent="0.3">
      <c r="J54003"/>
    </row>
    <row r="54004" spans="10:10" x14ac:dyDescent="0.3">
      <c r="J54004"/>
    </row>
    <row r="54005" spans="10:10" x14ac:dyDescent="0.3">
      <c r="J54005"/>
    </row>
    <row r="54006" spans="10:10" x14ac:dyDescent="0.3">
      <c r="J54006"/>
    </row>
    <row r="54007" spans="10:10" x14ac:dyDescent="0.3">
      <c r="J54007"/>
    </row>
    <row r="54008" spans="10:10" x14ac:dyDescent="0.3">
      <c r="J54008"/>
    </row>
    <row r="54009" spans="10:10" x14ac:dyDescent="0.3">
      <c r="J54009"/>
    </row>
    <row r="54010" spans="10:10" x14ac:dyDescent="0.3">
      <c r="J54010"/>
    </row>
    <row r="54011" spans="10:10" x14ac:dyDescent="0.3">
      <c r="J54011"/>
    </row>
    <row r="54012" spans="10:10" x14ac:dyDescent="0.3">
      <c r="J54012"/>
    </row>
    <row r="54013" spans="10:10" x14ac:dyDescent="0.3">
      <c r="J54013"/>
    </row>
    <row r="54014" spans="10:10" x14ac:dyDescent="0.3">
      <c r="J54014"/>
    </row>
    <row r="54015" spans="10:10" x14ac:dyDescent="0.3">
      <c r="J54015"/>
    </row>
    <row r="54016" spans="10:10" x14ac:dyDescent="0.3">
      <c r="J54016"/>
    </row>
    <row r="54017" spans="10:10" x14ac:dyDescent="0.3">
      <c r="J54017"/>
    </row>
    <row r="54018" spans="10:10" x14ac:dyDescent="0.3">
      <c r="J54018"/>
    </row>
    <row r="54019" spans="10:10" x14ac:dyDescent="0.3">
      <c r="J54019"/>
    </row>
    <row r="54020" spans="10:10" x14ac:dyDescent="0.3">
      <c r="J54020"/>
    </row>
    <row r="54021" spans="10:10" x14ac:dyDescent="0.3">
      <c r="J54021"/>
    </row>
    <row r="54022" spans="10:10" x14ac:dyDescent="0.3">
      <c r="J54022"/>
    </row>
    <row r="54023" spans="10:10" x14ac:dyDescent="0.3">
      <c r="J54023"/>
    </row>
    <row r="54024" spans="10:10" x14ac:dyDescent="0.3">
      <c r="J54024"/>
    </row>
    <row r="54025" spans="10:10" x14ac:dyDescent="0.3">
      <c r="J54025"/>
    </row>
    <row r="54026" spans="10:10" x14ac:dyDescent="0.3">
      <c r="J54026"/>
    </row>
    <row r="54027" spans="10:10" x14ac:dyDescent="0.3">
      <c r="J54027"/>
    </row>
    <row r="54028" spans="10:10" x14ac:dyDescent="0.3">
      <c r="J54028"/>
    </row>
    <row r="54029" spans="10:10" x14ac:dyDescent="0.3">
      <c r="J54029"/>
    </row>
    <row r="54030" spans="10:10" x14ac:dyDescent="0.3">
      <c r="J54030"/>
    </row>
    <row r="54031" spans="10:10" x14ac:dyDescent="0.3">
      <c r="J54031"/>
    </row>
    <row r="54032" spans="10:10" x14ac:dyDescent="0.3">
      <c r="J54032"/>
    </row>
    <row r="54033" spans="10:10" x14ac:dyDescent="0.3">
      <c r="J54033"/>
    </row>
    <row r="54034" spans="10:10" x14ac:dyDescent="0.3">
      <c r="J54034"/>
    </row>
    <row r="54035" spans="10:10" x14ac:dyDescent="0.3">
      <c r="J54035"/>
    </row>
    <row r="54036" spans="10:10" x14ac:dyDescent="0.3">
      <c r="J54036"/>
    </row>
    <row r="54037" spans="10:10" x14ac:dyDescent="0.3">
      <c r="J54037"/>
    </row>
    <row r="54038" spans="10:10" x14ac:dyDescent="0.3">
      <c r="J54038"/>
    </row>
    <row r="54039" spans="10:10" x14ac:dyDescent="0.3">
      <c r="J54039"/>
    </row>
    <row r="54040" spans="10:10" x14ac:dyDescent="0.3">
      <c r="J54040"/>
    </row>
    <row r="54041" spans="10:10" x14ac:dyDescent="0.3">
      <c r="J54041"/>
    </row>
    <row r="54042" spans="10:10" x14ac:dyDescent="0.3">
      <c r="J54042"/>
    </row>
    <row r="54043" spans="10:10" x14ac:dyDescent="0.3">
      <c r="J54043"/>
    </row>
    <row r="54044" spans="10:10" x14ac:dyDescent="0.3">
      <c r="J54044"/>
    </row>
    <row r="54045" spans="10:10" x14ac:dyDescent="0.3">
      <c r="J54045"/>
    </row>
    <row r="54046" spans="10:10" x14ac:dyDescent="0.3">
      <c r="J54046"/>
    </row>
    <row r="54047" spans="10:10" x14ac:dyDescent="0.3">
      <c r="J54047"/>
    </row>
    <row r="54048" spans="10:10" x14ac:dyDescent="0.3">
      <c r="J54048"/>
    </row>
    <row r="54049" spans="10:10" x14ac:dyDescent="0.3">
      <c r="J54049"/>
    </row>
    <row r="54050" spans="10:10" x14ac:dyDescent="0.3">
      <c r="J54050"/>
    </row>
    <row r="54051" spans="10:10" x14ac:dyDescent="0.3">
      <c r="J54051"/>
    </row>
    <row r="54052" spans="10:10" x14ac:dyDescent="0.3">
      <c r="J54052"/>
    </row>
    <row r="54053" spans="10:10" x14ac:dyDescent="0.3">
      <c r="J54053"/>
    </row>
    <row r="54054" spans="10:10" x14ac:dyDescent="0.3">
      <c r="J54054"/>
    </row>
    <row r="54055" spans="10:10" x14ac:dyDescent="0.3">
      <c r="J54055"/>
    </row>
    <row r="54056" spans="10:10" x14ac:dyDescent="0.3">
      <c r="J54056"/>
    </row>
    <row r="54057" spans="10:10" x14ac:dyDescent="0.3">
      <c r="J54057"/>
    </row>
    <row r="54058" spans="10:10" x14ac:dyDescent="0.3">
      <c r="J54058"/>
    </row>
    <row r="54059" spans="10:10" x14ac:dyDescent="0.3">
      <c r="J54059"/>
    </row>
    <row r="54060" spans="10:10" x14ac:dyDescent="0.3">
      <c r="J54060"/>
    </row>
    <row r="54061" spans="10:10" x14ac:dyDescent="0.3">
      <c r="J54061"/>
    </row>
    <row r="54062" spans="10:10" x14ac:dyDescent="0.3">
      <c r="J54062"/>
    </row>
    <row r="54063" spans="10:10" x14ac:dyDescent="0.3">
      <c r="J54063"/>
    </row>
    <row r="54064" spans="10:10" x14ac:dyDescent="0.3">
      <c r="J54064"/>
    </row>
    <row r="54065" spans="10:10" x14ac:dyDescent="0.3">
      <c r="J54065"/>
    </row>
    <row r="54066" spans="10:10" x14ac:dyDescent="0.3">
      <c r="J54066"/>
    </row>
    <row r="54067" spans="10:10" x14ac:dyDescent="0.3">
      <c r="J54067"/>
    </row>
    <row r="54068" spans="10:10" x14ac:dyDescent="0.3">
      <c r="J54068"/>
    </row>
    <row r="54069" spans="10:10" x14ac:dyDescent="0.3">
      <c r="J54069"/>
    </row>
    <row r="54070" spans="10:10" x14ac:dyDescent="0.3">
      <c r="J54070"/>
    </row>
    <row r="54071" spans="10:10" x14ac:dyDescent="0.3">
      <c r="J54071"/>
    </row>
    <row r="54072" spans="10:10" x14ac:dyDescent="0.3">
      <c r="J54072"/>
    </row>
    <row r="54073" spans="10:10" x14ac:dyDescent="0.3">
      <c r="J54073"/>
    </row>
    <row r="54074" spans="10:10" x14ac:dyDescent="0.3">
      <c r="J54074"/>
    </row>
    <row r="54075" spans="10:10" x14ac:dyDescent="0.3">
      <c r="J54075"/>
    </row>
    <row r="54076" spans="10:10" x14ac:dyDescent="0.3">
      <c r="J54076"/>
    </row>
    <row r="54077" spans="10:10" x14ac:dyDescent="0.3">
      <c r="J54077"/>
    </row>
    <row r="54078" spans="10:10" x14ac:dyDescent="0.3">
      <c r="J54078"/>
    </row>
    <row r="54079" spans="10:10" x14ac:dyDescent="0.3">
      <c r="J54079"/>
    </row>
    <row r="54080" spans="10:10" x14ac:dyDescent="0.3">
      <c r="J54080"/>
    </row>
    <row r="54081" spans="10:10" x14ac:dyDescent="0.3">
      <c r="J54081"/>
    </row>
    <row r="54082" spans="10:10" x14ac:dyDescent="0.3">
      <c r="J54082"/>
    </row>
    <row r="54083" spans="10:10" x14ac:dyDescent="0.3">
      <c r="J54083"/>
    </row>
    <row r="54084" spans="10:10" x14ac:dyDescent="0.3">
      <c r="J54084"/>
    </row>
    <row r="54085" spans="10:10" x14ac:dyDescent="0.3">
      <c r="J54085"/>
    </row>
    <row r="54086" spans="10:10" x14ac:dyDescent="0.3">
      <c r="J54086"/>
    </row>
    <row r="54087" spans="10:10" x14ac:dyDescent="0.3">
      <c r="J54087"/>
    </row>
    <row r="54088" spans="10:10" x14ac:dyDescent="0.3">
      <c r="J54088"/>
    </row>
    <row r="54089" spans="10:10" x14ac:dyDescent="0.3">
      <c r="J54089"/>
    </row>
    <row r="54090" spans="10:10" x14ac:dyDescent="0.3">
      <c r="J54090"/>
    </row>
    <row r="54091" spans="10:10" x14ac:dyDescent="0.3">
      <c r="J54091"/>
    </row>
    <row r="54092" spans="10:10" x14ac:dyDescent="0.3">
      <c r="J54092"/>
    </row>
    <row r="54093" spans="10:10" x14ac:dyDescent="0.3">
      <c r="J54093"/>
    </row>
    <row r="54094" spans="10:10" x14ac:dyDescent="0.3">
      <c r="J54094"/>
    </row>
    <row r="54095" spans="10:10" x14ac:dyDescent="0.3">
      <c r="J54095"/>
    </row>
    <row r="54096" spans="10:10" x14ac:dyDescent="0.3">
      <c r="J54096"/>
    </row>
    <row r="54097" spans="10:10" x14ac:dyDescent="0.3">
      <c r="J54097"/>
    </row>
    <row r="54098" spans="10:10" x14ac:dyDescent="0.3">
      <c r="J54098"/>
    </row>
    <row r="54099" spans="10:10" x14ac:dyDescent="0.3">
      <c r="J54099"/>
    </row>
    <row r="54100" spans="10:10" x14ac:dyDescent="0.3">
      <c r="J54100"/>
    </row>
    <row r="54101" spans="10:10" x14ac:dyDescent="0.3">
      <c r="J54101"/>
    </row>
    <row r="54102" spans="10:10" x14ac:dyDescent="0.3">
      <c r="J54102"/>
    </row>
    <row r="54103" spans="10:10" x14ac:dyDescent="0.3">
      <c r="J54103"/>
    </row>
    <row r="54104" spans="10:10" x14ac:dyDescent="0.3">
      <c r="J54104"/>
    </row>
    <row r="54105" spans="10:10" x14ac:dyDescent="0.3">
      <c r="J54105"/>
    </row>
    <row r="54106" spans="10:10" x14ac:dyDescent="0.3">
      <c r="J54106"/>
    </row>
    <row r="54107" spans="10:10" x14ac:dyDescent="0.3">
      <c r="J54107"/>
    </row>
    <row r="54108" spans="10:10" x14ac:dyDescent="0.3">
      <c r="J54108"/>
    </row>
    <row r="54109" spans="10:10" x14ac:dyDescent="0.3">
      <c r="J54109"/>
    </row>
    <row r="54110" spans="10:10" x14ac:dyDescent="0.3">
      <c r="J54110"/>
    </row>
    <row r="54111" spans="10:10" x14ac:dyDescent="0.3">
      <c r="J54111"/>
    </row>
    <row r="54112" spans="10:10" x14ac:dyDescent="0.3">
      <c r="J54112"/>
    </row>
    <row r="54113" spans="10:10" x14ac:dyDescent="0.3">
      <c r="J54113"/>
    </row>
    <row r="54114" spans="10:10" x14ac:dyDescent="0.3">
      <c r="J54114"/>
    </row>
    <row r="54115" spans="10:10" x14ac:dyDescent="0.3">
      <c r="J54115"/>
    </row>
    <row r="54116" spans="10:10" x14ac:dyDescent="0.3">
      <c r="J54116"/>
    </row>
    <row r="54117" spans="10:10" x14ac:dyDescent="0.3">
      <c r="J54117"/>
    </row>
    <row r="54118" spans="10:10" x14ac:dyDescent="0.3">
      <c r="J54118"/>
    </row>
    <row r="54119" spans="10:10" x14ac:dyDescent="0.3">
      <c r="J54119"/>
    </row>
    <row r="54120" spans="10:10" x14ac:dyDescent="0.3">
      <c r="J54120"/>
    </row>
    <row r="54121" spans="10:10" x14ac:dyDescent="0.3">
      <c r="J54121"/>
    </row>
    <row r="54122" spans="10:10" x14ac:dyDescent="0.3">
      <c r="J54122"/>
    </row>
    <row r="54123" spans="10:10" x14ac:dyDescent="0.3">
      <c r="J54123"/>
    </row>
    <row r="54124" spans="10:10" x14ac:dyDescent="0.3">
      <c r="J54124"/>
    </row>
    <row r="54125" spans="10:10" x14ac:dyDescent="0.3">
      <c r="J54125"/>
    </row>
    <row r="54126" spans="10:10" x14ac:dyDescent="0.3">
      <c r="J54126"/>
    </row>
    <row r="54127" spans="10:10" x14ac:dyDescent="0.3">
      <c r="J54127"/>
    </row>
    <row r="54128" spans="10:10" x14ac:dyDescent="0.3">
      <c r="J54128"/>
    </row>
    <row r="54129" spans="10:10" x14ac:dyDescent="0.3">
      <c r="J54129"/>
    </row>
    <row r="54130" spans="10:10" x14ac:dyDescent="0.3">
      <c r="J54130"/>
    </row>
    <row r="54131" spans="10:10" x14ac:dyDescent="0.3">
      <c r="J54131"/>
    </row>
    <row r="54132" spans="10:10" x14ac:dyDescent="0.3">
      <c r="J54132"/>
    </row>
    <row r="54133" spans="10:10" x14ac:dyDescent="0.3">
      <c r="J54133"/>
    </row>
    <row r="54134" spans="10:10" x14ac:dyDescent="0.3">
      <c r="J54134"/>
    </row>
    <row r="54135" spans="10:10" x14ac:dyDescent="0.3">
      <c r="J54135"/>
    </row>
    <row r="54136" spans="10:10" x14ac:dyDescent="0.3">
      <c r="J54136"/>
    </row>
    <row r="54137" spans="10:10" x14ac:dyDescent="0.3">
      <c r="J54137"/>
    </row>
    <row r="54138" spans="10:10" x14ac:dyDescent="0.3">
      <c r="J54138"/>
    </row>
    <row r="54139" spans="10:10" x14ac:dyDescent="0.3">
      <c r="J54139"/>
    </row>
    <row r="54140" spans="10:10" x14ac:dyDescent="0.3">
      <c r="J54140"/>
    </row>
    <row r="54141" spans="10:10" x14ac:dyDescent="0.3">
      <c r="J54141"/>
    </row>
    <row r="54142" spans="10:10" x14ac:dyDescent="0.3">
      <c r="J54142"/>
    </row>
    <row r="54143" spans="10:10" x14ac:dyDescent="0.3">
      <c r="J54143"/>
    </row>
    <row r="54144" spans="10:10" x14ac:dyDescent="0.3">
      <c r="J54144"/>
    </row>
    <row r="54145" spans="10:10" x14ac:dyDescent="0.3">
      <c r="J54145"/>
    </row>
    <row r="54146" spans="10:10" x14ac:dyDescent="0.3">
      <c r="J54146"/>
    </row>
    <row r="54147" spans="10:10" x14ac:dyDescent="0.3">
      <c r="J54147"/>
    </row>
    <row r="54148" spans="10:10" x14ac:dyDescent="0.3">
      <c r="J54148"/>
    </row>
    <row r="54149" spans="10:10" x14ac:dyDescent="0.3">
      <c r="J54149"/>
    </row>
    <row r="54150" spans="10:10" x14ac:dyDescent="0.3">
      <c r="J54150"/>
    </row>
    <row r="54151" spans="10:10" x14ac:dyDescent="0.3">
      <c r="J54151"/>
    </row>
    <row r="54152" spans="10:10" x14ac:dyDescent="0.3">
      <c r="J54152"/>
    </row>
    <row r="54153" spans="10:10" x14ac:dyDescent="0.3">
      <c r="J54153"/>
    </row>
    <row r="54154" spans="10:10" x14ac:dyDescent="0.3">
      <c r="J54154"/>
    </row>
    <row r="54155" spans="10:10" x14ac:dyDescent="0.3">
      <c r="J54155"/>
    </row>
    <row r="54156" spans="10:10" x14ac:dyDescent="0.3">
      <c r="J54156"/>
    </row>
    <row r="54157" spans="10:10" x14ac:dyDescent="0.3">
      <c r="J54157"/>
    </row>
    <row r="54158" spans="10:10" x14ac:dyDescent="0.3">
      <c r="J54158"/>
    </row>
    <row r="54159" spans="10:10" x14ac:dyDescent="0.3">
      <c r="J54159"/>
    </row>
    <row r="54160" spans="10:10" x14ac:dyDescent="0.3">
      <c r="J54160"/>
    </row>
    <row r="54161" spans="10:10" x14ac:dyDescent="0.3">
      <c r="J54161"/>
    </row>
    <row r="54162" spans="10:10" x14ac:dyDescent="0.3">
      <c r="J54162"/>
    </row>
    <row r="54163" spans="10:10" x14ac:dyDescent="0.3">
      <c r="J54163"/>
    </row>
    <row r="54164" spans="10:10" x14ac:dyDescent="0.3">
      <c r="J54164"/>
    </row>
    <row r="54165" spans="10:10" x14ac:dyDescent="0.3">
      <c r="J54165"/>
    </row>
    <row r="54166" spans="10:10" x14ac:dyDescent="0.3">
      <c r="J54166"/>
    </row>
    <row r="54167" spans="10:10" x14ac:dyDescent="0.3">
      <c r="J54167"/>
    </row>
    <row r="54168" spans="10:10" x14ac:dyDescent="0.3">
      <c r="J54168"/>
    </row>
    <row r="54169" spans="10:10" x14ac:dyDescent="0.3">
      <c r="J54169"/>
    </row>
    <row r="54170" spans="10:10" x14ac:dyDescent="0.3">
      <c r="J54170"/>
    </row>
    <row r="54171" spans="10:10" x14ac:dyDescent="0.3">
      <c r="J54171"/>
    </row>
    <row r="54172" spans="10:10" x14ac:dyDescent="0.3">
      <c r="J54172"/>
    </row>
    <row r="54173" spans="10:10" x14ac:dyDescent="0.3">
      <c r="J54173"/>
    </row>
    <row r="54174" spans="10:10" x14ac:dyDescent="0.3">
      <c r="J54174"/>
    </row>
    <row r="54175" spans="10:10" x14ac:dyDescent="0.3">
      <c r="J54175"/>
    </row>
    <row r="54176" spans="10:10" x14ac:dyDescent="0.3">
      <c r="J54176"/>
    </row>
    <row r="54177" spans="10:10" x14ac:dyDescent="0.3">
      <c r="J54177"/>
    </row>
    <row r="54178" spans="10:10" x14ac:dyDescent="0.3">
      <c r="J54178"/>
    </row>
    <row r="54179" spans="10:10" x14ac:dyDescent="0.3">
      <c r="J54179"/>
    </row>
    <row r="54180" spans="10:10" x14ac:dyDescent="0.3">
      <c r="J54180"/>
    </row>
    <row r="54181" spans="10:10" x14ac:dyDescent="0.3">
      <c r="J54181"/>
    </row>
    <row r="54182" spans="10:10" x14ac:dyDescent="0.3">
      <c r="J54182"/>
    </row>
    <row r="54183" spans="10:10" x14ac:dyDescent="0.3">
      <c r="J54183"/>
    </row>
    <row r="54184" spans="10:10" x14ac:dyDescent="0.3">
      <c r="J54184"/>
    </row>
    <row r="54185" spans="10:10" x14ac:dyDescent="0.3">
      <c r="J54185"/>
    </row>
    <row r="54186" spans="10:10" x14ac:dyDescent="0.3">
      <c r="J54186"/>
    </row>
    <row r="54187" spans="10:10" x14ac:dyDescent="0.3">
      <c r="J54187"/>
    </row>
    <row r="54188" spans="10:10" x14ac:dyDescent="0.3">
      <c r="J54188"/>
    </row>
    <row r="54189" spans="10:10" x14ac:dyDescent="0.3">
      <c r="J54189"/>
    </row>
    <row r="54190" spans="10:10" x14ac:dyDescent="0.3">
      <c r="J54190"/>
    </row>
    <row r="54191" spans="10:10" x14ac:dyDescent="0.3">
      <c r="J54191"/>
    </row>
    <row r="54192" spans="10:10" x14ac:dyDescent="0.3">
      <c r="J54192"/>
    </row>
    <row r="54193" spans="10:10" x14ac:dyDescent="0.3">
      <c r="J54193"/>
    </row>
    <row r="54194" spans="10:10" x14ac:dyDescent="0.3">
      <c r="J54194"/>
    </row>
    <row r="54195" spans="10:10" x14ac:dyDescent="0.3">
      <c r="J54195"/>
    </row>
    <row r="54196" spans="10:10" x14ac:dyDescent="0.3">
      <c r="J54196"/>
    </row>
    <row r="54197" spans="10:10" x14ac:dyDescent="0.3">
      <c r="J54197"/>
    </row>
    <row r="54198" spans="10:10" x14ac:dyDescent="0.3">
      <c r="J54198"/>
    </row>
    <row r="54199" spans="10:10" x14ac:dyDescent="0.3">
      <c r="J54199"/>
    </row>
    <row r="54200" spans="10:10" x14ac:dyDescent="0.3">
      <c r="J54200"/>
    </row>
    <row r="54201" spans="10:10" x14ac:dyDescent="0.3">
      <c r="J54201"/>
    </row>
    <row r="54202" spans="10:10" x14ac:dyDescent="0.3">
      <c r="J54202"/>
    </row>
    <row r="54203" spans="10:10" x14ac:dyDescent="0.3">
      <c r="J54203"/>
    </row>
    <row r="54204" spans="10:10" x14ac:dyDescent="0.3">
      <c r="J54204"/>
    </row>
    <row r="54205" spans="10:10" x14ac:dyDescent="0.3">
      <c r="J54205"/>
    </row>
    <row r="54206" spans="10:10" x14ac:dyDescent="0.3">
      <c r="J54206"/>
    </row>
    <row r="54207" spans="10:10" x14ac:dyDescent="0.3">
      <c r="J54207"/>
    </row>
    <row r="54208" spans="10:10" x14ac:dyDescent="0.3">
      <c r="J54208"/>
    </row>
    <row r="54209" spans="10:10" x14ac:dyDescent="0.3">
      <c r="J54209"/>
    </row>
    <row r="54210" spans="10:10" x14ac:dyDescent="0.3">
      <c r="J54210"/>
    </row>
    <row r="54211" spans="10:10" x14ac:dyDescent="0.3">
      <c r="J54211"/>
    </row>
    <row r="54212" spans="10:10" x14ac:dyDescent="0.3">
      <c r="J54212"/>
    </row>
    <row r="54213" spans="10:10" x14ac:dyDescent="0.3">
      <c r="J54213"/>
    </row>
    <row r="54214" spans="10:10" x14ac:dyDescent="0.3">
      <c r="J54214"/>
    </row>
    <row r="54215" spans="10:10" x14ac:dyDescent="0.3">
      <c r="J54215"/>
    </row>
    <row r="54216" spans="10:10" x14ac:dyDescent="0.3">
      <c r="J54216"/>
    </row>
    <row r="54217" spans="10:10" x14ac:dyDescent="0.3">
      <c r="J54217"/>
    </row>
    <row r="54218" spans="10:10" x14ac:dyDescent="0.3">
      <c r="J54218"/>
    </row>
    <row r="54219" spans="10:10" x14ac:dyDescent="0.3">
      <c r="J54219"/>
    </row>
    <row r="54220" spans="10:10" x14ac:dyDescent="0.3">
      <c r="J54220"/>
    </row>
    <row r="54221" spans="10:10" x14ac:dyDescent="0.3">
      <c r="J54221"/>
    </row>
    <row r="54222" spans="10:10" x14ac:dyDescent="0.3">
      <c r="J54222"/>
    </row>
    <row r="54223" spans="10:10" x14ac:dyDescent="0.3">
      <c r="J54223"/>
    </row>
    <row r="54224" spans="10:10" x14ac:dyDescent="0.3">
      <c r="J54224"/>
    </row>
    <row r="54225" spans="10:10" x14ac:dyDescent="0.3">
      <c r="J54225"/>
    </row>
    <row r="54226" spans="10:10" x14ac:dyDescent="0.3">
      <c r="J54226"/>
    </row>
    <row r="54227" spans="10:10" x14ac:dyDescent="0.3">
      <c r="J54227"/>
    </row>
    <row r="54228" spans="10:10" x14ac:dyDescent="0.3">
      <c r="J54228"/>
    </row>
    <row r="54229" spans="10:10" x14ac:dyDescent="0.3">
      <c r="J54229"/>
    </row>
    <row r="54230" spans="10:10" x14ac:dyDescent="0.3">
      <c r="J54230"/>
    </row>
    <row r="54231" spans="10:10" x14ac:dyDescent="0.3">
      <c r="J54231"/>
    </row>
    <row r="54232" spans="10:10" x14ac:dyDescent="0.3">
      <c r="J54232"/>
    </row>
    <row r="54233" spans="10:10" x14ac:dyDescent="0.3">
      <c r="J54233"/>
    </row>
    <row r="54234" spans="10:10" x14ac:dyDescent="0.3">
      <c r="J54234"/>
    </row>
    <row r="54235" spans="10:10" x14ac:dyDescent="0.3">
      <c r="J54235"/>
    </row>
    <row r="54236" spans="10:10" x14ac:dyDescent="0.3">
      <c r="J54236"/>
    </row>
    <row r="54237" spans="10:10" x14ac:dyDescent="0.3">
      <c r="J54237"/>
    </row>
    <row r="54238" spans="10:10" x14ac:dyDescent="0.3">
      <c r="J54238"/>
    </row>
    <row r="54239" spans="10:10" x14ac:dyDescent="0.3">
      <c r="J54239"/>
    </row>
    <row r="54240" spans="10:10" x14ac:dyDescent="0.3">
      <c r="J54240"/>
    </row>
    <row r="54241" spans="10:10" x14ac:dyDescent="0.3">
      <c r="J54241"/>
    </row>
    <row r="54242" spans="10:10" x14ac:dyDescent="0.3">
      <c r="J54242"/>
    </row>
    <row r="54243" spans="10:10" x14ac:dyDescent="0.3">
      <c r="J54243"/>
    </row>
    <row r="54244" spans="10:10" x14ac:dyDescent="0.3">
      <c r="J54244"/>
    </row>
    <row r="54245" spans="10:10" x14ac:dyDescent="0.3">
      <c r="J54245"/>
    </row>
    <row r="54246" spans="10:10" x14ac:dyDescent="0.3">
      <c r="J54246"/>
    </row>
    <row r="54247" spans="10:10" x14ac:dyDescent="0.3">
      <c r="J54247"/>
    </row>
    <row r="54248" spans="10:10" x14ac:dyDescent="0.3">
      <c r="J54248"/>
    </row>
    <row r="54249" spans="10:10" x14ac:dyDescent="0.3">
      <c r="J54249"/>
    </row>
    <row r="54250" spans="10:10" x14ac:dyDescent="0.3">
      <c r="J54250"/>
    </row>
    <row r="54251" spans="10:10" x14ac:dyDescent="0.3">
      <c r="J54251"/>
    </row>
    <row r="54252" spans="10:10" x14ac:dyDescent="0.3">
      <c r="J54252"/>
    </row>
    <row r="54253" spans="10:10" x14ac:dyDescent="0.3">
      <c r="J54253"/>
    </row>
    <row r="54254" spans="10:10" x14ac:dyDescent="0.3">
      <c r="J54254"/>
    </row>
    <row r="54255" spans="10:10" x14ac:dyDescent="0.3">
      <c r="J54255"/>
    </row>
    <row r="54256" spans="10:10" x14ac:dyDescent="0.3">
      <c r="J54256"/>
    </row>
    <row r="54257" spans="10:10" x14ac:dyDescent="0.3">
      <c r="J54257"/>
    </row>
    <row r="54258" spans="10:10" x14ac:dyDescent="0.3">
      <c r="J54258"/>
    </row>
    <row r="54259" spans="10:10" x14ac:dyDescent="0.3">
      <c r="J54259"/>
    </row>
    <row r="54260" spans="10:10" x14ac:dyDescent="0.3">
      <c r="J54260"/>
    </row>
    <row r="54261" spans="10:10" x14ac:dyDescent="0.3">
      <c r="J54261"/>
    </row>
    <row r="54262" spans="10:10" x14ac:dyDescent="0.3">
      <c r="J54262"/>
    </row>
    <row r="54263" spans="10:10" x14ac:dyDescent="0.3">
      <c r="J54263"/>
    </row>
    <row r="54264" spans="10:10" x14ac:dyDescent="0.3">
      <c r="J54264"/>
    </row>
    <row r="54265" spans="10:10" x14ac:dyDescent="0.3">
      <c r="J54265"/>
    </row>
    <row r="54266" spans="10:10" x14ac:dyDescent="0.3">
      <c r="J54266"/>
    </row>
    <row r="54267" spans="10:10" x14ac:dyDescent="0.3">
      <c r="J54267"/>
    </row>
    <row r="54268" spans="10:10" x14ac:dyDescent="0.3">
      <c r="J54268"/>
    </row>
    <row r="54269" spans="10:10" x14ac:dyDescent="0.3">
      <c r="J54269"/>
    </row>
    <row r="54270" spans="10:10" x14ac:dyDescent="0.3">
      <c r="J54270"/>
    </row>
    <row r="54271" spans="10:10" x14ac:dyDescent="0.3">
      <c r="J54271"/>
    </row>
    <row r="54272" spans="10:10" x14ac:dyDescent="0.3">
      <c r="J54272"/>
    </row>
    <row r="54273" spans="10:10" x14ac:dyDescent="0.3">
      <c r="J54273"/>
    </row>
    <row r="54274" spans="10:10" x14ac:dyDescent="0.3">
      <c r="J54274"/>
    </row>
    <row r="54275" spans="10:10" x14ac:dyDescent="0.3">
      <c r="J54275"/>
    </row>
    <row r="54276" spans="10:10" x14ac:dyDescent="0.3">
      <c r="J54276"/>
    </row>
    <row r="54277" spans="10:10" x14ac:dyDescent="0.3">
      <c r="J54277"/>
    </row>
    <row r="54278" spans="10:10" x14ac:dyDescent="0.3">
      <c r="J54278"/>
    </row>
    <row r="54279" spans="10:10" x14ac:dyDescent="0.3">
      <c r="J54279"/>
    </row>
    <row r="54280" spans="10:10" x14ac:dyDescent="0.3">
      <c r="J54280"/>
    </row>
    <row r="54281" spans="10:10" x14ac:dyDescent="0.3">
      <c r="J54281"/>
    </row>
    <row r="54282" spans="10:10" x14ac:dyDescent="0.3">
      <c r="J54282"/>
    </row>
    <row r="54283" spans="10:10" x14ac:dyDescent="0.3">
      <c r="J54283"/>
    </row>
    <row r="54284" spans="10:10" x14ac:dyDescent="0.3">
      <c r="J54284"/>
    </row>
    <row r="54285" spans="10:10" x14ac:dyDescent="0.3">
      <c r="J54285"/>
    </row>
    <row r="54286" spans="10:10" x14ac:dyDescent="0.3">
      <c r="J54286"/>
    </row>
    <row r="54287" spans="10:10" x14ac:dyDescent="0.3">
      <c r="J54287"/>
    </row>
    <row r="54288" spans="10:10" x14ac:dyDescent="0.3">
      <c r="J54288"/>
    </row>
    <row r="54289" spans="10:10" x14ac:dyDescent="0.3">
      <c r="J54289"/>
    </row>
    <row r="54290" spans="10:10" x14ac:dyDescent="0.3">
      <c r="J54290"/>
    </row>
    <row r="54291" spans="10:10" x14ac:dyDescent="0.3">
      <c r="J54291"/>
    </row>
    <row r="54292" spans="10:10" x14ac:dyDescent="0.3">
      <c r="J54292"/>
    </row>
    <row r="54293" spans="10:10" x14ac:dyDescent="0.3">
      <c r="J54293"/>
    </row>
    <row r="54294" spans="10:10" x14ac:dyDescent="0.3">
      <c r="J54294"/>
    </row>
    <row r="54295" spans="10:10" x14ac:dyDescent="0.3">
      <c r="J54295"/>
    </row>
    <row r="54296" spans="10:10" x14ac:dyDescent="0.3">
      <c r="J54296"/>
    </row>
    <row r="54297" spans="10:10" x14ac:dyDescent="0.3">
      <c r="J54297"/>
    </row>
    <row r="54298" spans="10:10" x14ac:dyDescent="0.3">
      <c r="J54298"/>
    </row>
    <row r="54299" spans="10:10" x14ac:dyDescent="0.3">
      <c r="J54299"/>
    </row>
    <row r="54300" spans="10:10" x14ac:dyDescent="0.3">
      <c r="J54300"/>
    </row>
    <row r="54301" spans="10:10" x14ac:dyDescent="0.3">
      <c r="J54301"/>
    </row>
    <row r="54302" spans="10:10" x14ac:dyDescent="0.3">
      <c r="J54302"/>
    </row>
    <row r="54303" spans="10:10" x14ac:dyDescent="0.3">
      <c r="J54303"/>
    </row>
    <row r="54304" spans="10:10" x14ac:dyDescent="0.3">
      <c r="J54304"/>
    </row>
    <row r="54305" spans="10:10" x14ac:dyDescent="0.3">
      <c r="J54305"/>
    </row>
    <row r="54306" spans="10:10" x14ac:dyDescent="0.3">
      <c r="J54306"/>
    </row>
    <row r="54307" spans="10:10" x14ac:dyDescent="0.3">
      <c r="J54307"/>
    </row>
    <row r="54308" spans="10:10" x14ac:dyDescent="0.3">
      <c r="J54308"/>
    </row>
    <row r="54309" spans="10:10" x14ac:dyDescent="0.3">
      <c r="J54309"/>
    </row>
    <row r="54310" spans="10:10" x14ac:dyDescent="0.3">
      <c r="J54310"/>
    </row>
    <row r="54311" spans="10:10" x14ac:dyDescent="0.3">
      <c r="J54311"/>
    </row>
    <row r="54312" spans="10:10" x14ac:dyDescent="0.3">
      <c r="J54312"/>
    </row>
    <row r="54313" spans="10:10" x14ac:dyDescent="0.3">
      <c r="J54313"/>
    </row>
    <row r="54314" spans="10:10" x14ac:dyDescent="0.3">
      <c r="J54314"/>
    </row>
    <row r="54315" spans="10:10" x14ac:dyDescent="0.3">
      <c r="J54315"/>
    </row>
    <row r="54316" spans="10:10" x14ac:dyDescent="0.3">
      <c r="J54316"/>
    </row>
    <row r="54317" spans="10:10" x14ac:dyDescent="0.3">
      <c r="J54317"/>
    </row>
    <row r="54318" spans="10:10" x14ac:dyDescent="0.3">
      <c r="J54318"/>
    </row>
    <row r="54319" spans="10:10" x14ac:dyDescent="0.3">
      <c r="J54319"/>
    </row>
    <row r="54320" spans="10:10" x14ac:dyDescent="0.3">
      <c r="J54320"/>
    </row>
    <row r="54321" spans="10:10" x14ac:dyDescent="0.3">
      <c r="J54321"/>
    </row>
    <row r="54322" spans="10:10" x14ac:dyDescent="0.3">
      <c r="J54322"/>
    </row>
    <row r="54323" spans="10:10" x14ac:dyDescent="0.3">
      <c r="J54323"/>
    </row>
    <row r="54324" spans="10:10" x14ac:dyDescent="0.3">
      <c r="J54324"/>
    </row>
    <row r="54325" spans="10:10" x14ac:dyDescent="0.3">
      <c r="J54325"/>
    </row>
    <row r="54326" spans="10:10" x14ac:dyDescent="0.3">
      <c r="J54326"/>
    </row>
    <row r="54327" spans="10:10" x14ac:dyDescent="0.3">
      <c r="J54327"/>
    </row>
    <row r="54328" spans="10:10" x14ac:dyDescent="0.3">
      <c r="J54328"/>
    </row>
    <row r="54329" spans="10:10" x14ac:dyDescent="0.3">
      <c r="J54329"/>
    </row>
    <row r="54330" spans="10:10" x14ac:dyDescent="0.3">
      <c r="J54330"/>
    </row>
    <row r="54331" spans="10:10" x14ac:dyDescent="0.3">
      <c r="J54331"/>
    </row>
    <row r="54332" spans="10:10" x14ac:dyDescent="0.3">
      <c r="J54332"/>
    </row>
    <row r="54333" spans="10:10" x14ac:dyDescent="0.3">
      <c r="J54333"/>
    </row>
    <row r="54334" spans="10:10" x14ac:dyDescent="0.3">
      <c r="J54334"/>
    </row>
    <row r="54335" spans="10:10" x14ac:dyDescent="0.3">
      <c r="J54335"/>
    </row>
    <row r="54336" spans="10:10" x14ac:dyDescent="0.3">
      <c r="J54336"/>
    </row>
    <row r="54337" spans="10:10" x14ac:dyDescent="0.3">
      <c r="J54337"/>
    </row>
    <row r="54338" spans="10:10" x14ac:dyDescent="0.3">
      <c r="J54338"/>
    </row>
    <row r="54339" spans="10:10" x14ac:dyDescent="0.3">
      <c r="J54339"/>
    </row>
    <row r="54340" spans="10:10" x14ac:dyDescent="0.3">
      <c r="J54340"/>
    </row>
    <row r="54341" spans="10:10" x14ac:dyDescent="0.3">
      <c r="J54341"/>
    </row>
    <row r="54342" spans="10:10" x14ac:dyDescent="0.3">
      <c r="J54342"/>
    </row>
    <row r="54343" spans="10:10" x14ac:dyDescent="0.3">
      <c r="J54343"/>
    </row>
    <row r="54344" spans="10:10" x14ac:dyDescent="0.3">
      <c r="J54344"/>
    </row>
    <row r="54345" spans="10:10" x14ac:dyDescent="0.3">
      <c r="J54345"/>
    </row>
    <row r="54346" spans="10:10" x14ac:dyDescent="0.3">
      <c r="J54346"/>
    </row>
    <row r="54347" spans="10:10" x14ac:dyDescent="0.3">
      <c r="J54347"/>
    </row>
    <row r="54348" spans="10:10" x14ac:dyDescent="0.3">
      <c r="J54348"/>
    </row>
    <row r="54349" spans="10:10" x14ac:dyDescent="0.3">
      <c r="J54349"/>
    </row>
    <row r="54350" spans="10:10" x14ac:dyDescent="0.3">
      <c r="J54350"/>
    </row>
    <row r="54351" spans="10:10" x14ac:dyDescent="0.3">
      <c r="J54351"/>
    </row>
    <row r="54352" spans="10:10" x14ac:dyDescent="0.3">
      <c r="J54352"/>
    </row>
    <row r="54353" spans="10:10" x14ac:dyDescent="0.3">
      <c r="J54353"/>
    </row>
    <row r="54354" spans="10:10" x14ac:dyDescent="0.3">
      <c r="J54354"/>
    </row>
    <row r="54355" spans="10:10" x14ac:dyDescent="0.3">
      <c r="J54355"/>
    </row>
    <row r="54356" spans="10:10" x14ac:dyDescent="0.3">
      <c r="J54356"/>
    </row>
    <row r="54357" spans="10:10" x14ac:dyDescent="0.3">
      <c r="J54357"/>
    </row>
    <row r="54358" spans="10:10" x14ac:dyDescent="0.3">
      <c r="J54358"/>
    </row>
    <row r="54359" spans="10:10" x14ac:dyDescent="0.3">
      <c r="J54359"/>
    </row>
    <row r="54360" spans="10:10" x14ac:dyDescent="0.3">
      <c r="J54360"/>
    </row>
    <row r="54361" spans="10:10" x14ac:dyDescent="0.3">
      <c r="J54361"/>
    </row>
    <row r="54362" spans="10:10" x14ac:dyDescent="0.3">
      <c r="J54362"/>
    </row>
    <row r="54363" spans="10:10" x14ac:dyDescent="0.3">
      <c r="J54363"/>
    </row>
    <row r="54364" spans="10:10" x14ac:dyDescent="0.3">
      <c r="J54364"/>
    </row>
    <row r="54365" spans="10:10" x14ac:dyDescent="0.3">
      <c r="J54365"/>
    </row>
    <row r="54366" spans="10:10" x14ac:dyDescent="0.3">
      <c r="J54366"/>
    </row>
    <row r="54367" spans="10:10" x14ac:dyDescent="0.3">
      <c r="J54367"/>
    </row>
    <row r="54368" spans="10:10" x14ac:dyDescent="0.3">
      <c r="J54368"/>
    </row>
    <row r="54369" spans="10:10" x14ac:dyDescent="0.3">
      <c r="J54369"/>
    </row>
    <row r="54370" spans="10:10" x14ac:dyDescent="0.3">
      <c r="J54370"/>
    </row>
    <row r="54371" spans="10:10" x14ac:dyDescent="0.3">
      <c r="J54371"/>
    </row>
    <row r="54372" spans="10:10" x14ac:dyDescent="0.3">
      <c r="J54372"/>
    </row>
    <row r="54373" spans="10:10" x14ac:dyDescent="0.3">
      <c r="J54373"/>
    </row>
    <row r="54374" spans="10:10" x14ac:dyDescent="0.3">
      <c r="J54374"/>
    </row>
    <row r="54375" spans="10:10" x14ac:dyDescent="0.3">
      <c r="J54375"/>
    </row>
    <row r="54376" spans="10:10" x14ac:dyDescent="0.3">
      <c r="J54376"/>
    </row>
    <row r="54377" spans="10:10" x14ac:dyDescent="0.3">
      <c r="J54377"/>
    </row>
    <row r="54378" spans="10:10" x14ac:dyDescent="0.3">
      <c r="J54378"/>
    </row>
    <row r="54379" spans="10:10" x14ac:dyDescent="0.3">
      <c r="J54379"/>
    </row>
    <row r="54380" spans="10:10" x14ac:dyDescent="0.3">
      <c r="J54380"/>
    </row>
    <row r="54381" spans="10:10" x14ac:dyDescent="0.3">
      <c r="J54381"/>
    </row>
    <row r="54382" spans="10:10" x14ac:dyDescent="0.3">
      <c r="J54382"/>
    </row>
    <row r="54383" spans="10:10" x14ac:dyDescent="0.3">
      <c r="J54383"/>
    </row>
    <row r="54384" spans="10:10" x14ac:dyDescent="0.3">
      <c r="J54384"/>
    </row>
    <row r="54385" spans="10:10" x14ac:dyDescent="0.3">
      <c r="J54385"/>
    </row>
    <row r="54386" spans="10:10" x14ac:dyDescent="0.3">
      <c r="J54386"/>
    </row>
    <row r="54387" spans="10:10" x14ac:dyDescent="0.3">
      <c r="J54387"/>
    </row>
    <row r="54388" spans="10:10" x14ac:dyDescent="0.3">
      <c r="J54388"/>
    </row>
    <row r="54389" spans="10:10" x14ac:dyDescent="0.3">
      <c r="J54389"/>
    </row>
    <row r="54390" spans="10:10" x14ac:dyDescent="0.3">
      <c r="J54390"/>
    </row>
    <row r="54391" spans="10:10" x14ac:dyDescent="0.3">
      <c r="J54391"/>
    </row>
    <row r="54392" spans="10:10" x14ac:dyDescent="0.3">
      <c r="J54392"/>
    </row>
    <row r="54393" spans="10:10" x14ac:dyDescent="0.3">
      <c r="J54393"/>
    </row>
    <row r="54394" spans="10:10" x14ac:dyDescent="0.3">
      <c r="J54394"/>
    </row>
    <row r="54395" spans="10:10" x14ac:dyDescent="0.3">
      <c r="J54395"/>
    </row>
    <row r="54396" spans="10:10" x14ac:dyDescent="0.3">
      <c r="J54396"/>
    </row>
    <row r="54397" spans="10:10" x14ac:dyDescent="0.3">
      <c r="J54397"/>
    </row>
    <row r="54398" spans="10:10" x14ac:dyDescent="0.3">
      <c r="J54398"/>
    </row>
    <row r="54399" spans="10:10" x14ac:dyDescent="0.3">
      <c r="J54399"/>
    </row>
    <row r="54400" spans="10:10" x14ac:dyDescent="0.3">
      <c r="J54400"/>
    </row>
    <row r="54401" spans="10:10" x14ac:dyDescent="0.3">
      <c r="J54401"/>
    </row>
    <row r="54402" spans="10:10" x14ac:dyDescent="0.3">
      <c r="J54402"/>
    </row>
    <row r="54403" spans="10:10" x14ac:dyDescent="0.3">
      <c r="J54403"/>
    </row>
    <row r="54404" spans="10:10" x14ac:dyDescent="0.3">
      <c r="J54404"/>
    </row>
    <row r="54405" spans="10:10" x14ac:dyDescent="0.3">
      <c r="J54405"/>
    </row>
    <row r="54406" spans="10:10" x14ac:dyDescent="0.3">
      <c r="J54406"/>
    </row>
    <row r="54407" spans="10:10" x14ac:dyDescent="0.3">
      <c r="J54407"/>
    </row>
    <row r="54408" spans="10:10" x14ac:dyDescent="0.3">
      <c r="J54408"/>
    </row>
    <row r="54409" spans="10:10" x14ac:dyDescent="0.3">
      <c r="J54409"/>
    </row>
    <row r="54410" spans="10:10" x14ac:dyDescent="0.3">
      <c r="J54410"/>
    </row>
    <row r="54411" spans="10:10" x14ac:dyDescent="0.3">
      <c r="J54411"/>
    </row>
    <row r="54412" spans="10:10" x14ac:dyDescent="0.3">
      <c r="J54412"/>
    </row>
    <row r="54413" spans="10:10" x14ac:dyDescent="0.3">
      <c r="J54413"/>
    </row>
    <row r="54414" spans="10:10" x14ac:dyDescent="0.3">
      <c r="J54414"/>
    </row>
    <row r="54415" spans="10:10" x14ac:dyDescent="0.3">
      <c r="J54415"/>
    </row>
    <row r="54416" spans="10:10" x14ac:dyDescent="0.3">
      <c r="J54416"/>
    </row>
    <row r="54417" spans="10:10" x14ac:dyDescent="0.3">
      <c r="J54417"/>
    </row>
    <row r="54418" spans="10:10" x14ac:dyDescent="0.3">
      <c r="J54418"/>
    </row>
    <row r="54419" spans="10:10" x14ac:dyDescent="0.3">
      <c r="J54419"/>
    </row>
    <row r="54420" spans="10:10" x14ac:dyDescent="0.3">
      <c r="J54420"/>
    </row>
    <row r="54421" spans="10:10" x14ac:dyDescent="0.3">
      <c r="J54421"/>
    </row>
    <row r="54422" spans="10:10" x14ac:dyDescent="0.3">
      <c r="J54422"/>
    </row>
    <row r="54423" spans="10:10" x14ac:dyDescent="0.3">
      <c r="J54423"/>
    </row>
    <row r="54424" spans="10:10" x14ac:dyDescent="0.3">
      <c r="J54424"/>
    </row>
    <row r="54425" spans="10:10" x14ac:dyDescent="0.3">
      <c r="J54425"/>
    </row>
    <row r="54426" spans="10:10" x14ac:dyDescent="0.3">
      <c r="J54426"/>
    </row>
    <row r="54427" spans="10:10" x14ac:dyDescent="0.3">
      <c r="J54427"/>
    </row>
    <row r="54428" spans="10:10" x14ac:dyDescent="0.3">
      <c r="J54428"/>
    </row>
    <row r="54429" spans="10:10" x14ac:dyDescent="0.3">
      <c r="J54429"/>
    </row>
    <row r="54430" spans="10:10" x14ac:dyDescent="0.3">
      <c r="J54430"/>
    </row>
    <row r="54431" spans="10:10" x14ac:dyDescent="0.3">
      <c r="J54431"/>
    </row>
    <row r="54432" spans="10:10" x14ac:dyDescent="0.3">
      <c r="J54432"/>
    </row>
    <row r="54433" spans="10:10" x14ac:dyDescent="0.3">
      <c r="J54433"/>
    </row>
    <row r="54434" spans="10:10" x14ac:dyDescent="0.3">
      <c r="J54434"/>
    </row>
    <row r="54435" spans="10:10" x14ac:dyDescent="0.3">
      <c r="J54435"/>
    </row>
    <row r="54436" spans="10:10" x14ac:dyDescent="0.3">
      <c r="J54436"/>
    </row>
    <row r="54437" spans="10:10" x14ac:dyDescent="0.3">
      <c r="J54437"/>
    </row>
    <row r="54438" spans="10:10" x14ac:dyDescent="0.3">
      <c r="J54438"/>
    </row>
    <row r="54439" spans="10:10" x14ac:dyDescent="0.3">
      <c r="J54439"/>
    </row>
    <row r="54440" spans="10:10" x14ac:dyDescent="0.3">
      <c r="J54440"/>
    </row>
    <row r="54441" spans="10:10" x14ac:dyDescent="0.3">
      <c r="J54441"/>
    </row>
    <row r="54442" spans="10:10" x14ac:dyDescent="0.3">
      <c r="J54442"/>
    </row>
    <row r="54443" spans="10:10" x14ac:dyDescent="0.3">
      <c r="J54443"/>
    </row>
    <row r="54444" spans="10:10" x14ac:dyDescent="0.3">
      <c r="J54444"/>
    </row>
    <row r="54445" spans="10:10" x14ac:dyDescent="0.3">
      <c r="J54445"/>
    </row>
    <row r="54446" spans="10:10" x14ac:dyDescent="0.3">
      <c r="J54446"/>
    </row>
    <row r="54447" spans="10:10" x14ac:dyDescent="0.3">
      <c r="J54447"/>
    </row>
    <row r="54448" spans="10:10" x14ac:dyDescent="0.3">
      <c r="J54448"/>
    </row>
    <row r="54449" spans="10:10" x14ac:dyDescent="0.3">
      <c r="J54449"/>
    </row>
    <row r="54450" spans="10:10" x14ac:dyDescent="0.3">
      <c r="J54450"/>
    </row>
    <row r="54451" spans="10:10" x14ac:dyDescent="0.3">
      <c r="J54451"/>
    </row>
    <row r="54452" spans="10:10" x14ac:dyDescent="0.3">
      <c r="J54452"/>
    </row>
    <row r="54453" spans="10:10" x14ac:dyDescent="0.3">
      <c r="J54453"/>
    </row>
    <row r="54454" spans="10:10" x14ac:dyDescent="0.3">
      <c r="J54454"/>
    </row>
    <row r="54455" spans="10:10" x14ac:dyDescent="0.3">
      <c r="J54455"/>
    </row>
    <row r="54456" spans="10:10" x14ac:dyDescent="0.3">
      <c r="J54456"/>
    </row>
    <row r="54457" spans="10:10" x14ac:dyDescent="0.3">
      <c r="J54457"/>
    </row>
    <row r="54458" spans="10:10" x14ac:dyDescent="0.3">
      <c r="J54458"/>
    </row>
    <row r="54459" spans="10:10" x14ac:dyDescent="0.3">
      <c r="J54459"/>
    </row>
    <row r="54460" spans="10:10" x14ac:dyDescent="0.3">
      <c r="J54460"/>
    </row>
    <row r="54461" spans="10:10" x14ac:dyDescent="0.3">
      <c r="J54461"/>
    </row>
    <row r="54462" spans="10:10" x14ac:dyDescent="0.3">
      <c r="J54462"/>
    </row>
    <row r="54463" spans="10:10" x14ac:dyDescent="0.3">
      <c r="J54463"/>
    </row>
    <row r="54464" spans="10:10" x14ac:dyDescent="0.3">
      <c r="J54464"/>
    </row>
    <row r="54465" spans="10:10" x14ac:dyDescent="0.3">
      <c r="J54465"/>
    </row>
    <row r="54466" spans="10:10" x14ac:dyDescent="0.3">
      <c r="J54466"/>
    </row>
    <row r="54467" spans="10:10" x14ac:dyDescent="0.3">
      <c r="J54467"/>
    </row>
    <row r="54468" spans="10:10" x14ac:dyDescent="0.3">
      <c r="J54468"/>
    </row>
    <row r="54469" spans="10:10" x14ac:dyDescent="0.3">
      <c r="J54469"/>
    </row>
    <row r="54470" spans="10:10" x14ac:dyDescent="0.3">
      <c r="J54470"/>
    </row>
    <row r="54471" spans="10:10" x14ac:dyDescent="0.3">
      <c r="J54471"/>
    </row>
    <row r="54472" spans="10:10" x14ac:dyDescent="0.3">
      <c r="J54472"/>
    </row>
    <row r="54473" spans="10:10" x14ac:dyDescent="0.3">
      <c r="J54473"/>
    </row>
    <row r="54474" spans="10:10" x14ac:dyDescent="0.3">
      <c r="J54474"/>
    </row>
    <row r="54475" spans="10:10" x14ac:dyDescent="0.3">
      <c r="J54475"/>
    </row>
    <row r="54476" spans="10:10" x14ac:dyDescent="0.3">
      <c r="J54476"/>
    </row>
    <row r="54477" spans="10:10" x14ac:dyDescent="0.3">
      <c r="J54477"/>
    </row>
    <row r="54478" spans="10:10" x14ac:dyDescent="0.3">
      <c r="J54478"/>
    </row>
    <row r="54479" spans="10:10" x14ac:dyDescent="0.3">
      <c r="J54479"/>
    </row>
    <row r="54480" spans="10:10" x14ac:dyDescent="0.3">
      <c r="J54480"/>
    </row>
    <row r="54481" spans="10:10" x14ac:dyDescent="0.3">
      <c r="J54481"/>
    </row>
    <row r="54482" spans="10:10" x14ac:dyDescent="0.3">
      <c r="J54482"/>
    </row>
    <row r="54483" spans="10:10" x14ac:dyDescent="0.3">
      <c r="J54483"/>
    </row>
    <row r="54484" spans="10:10" x14ac:dyDescent="0.3">
      <c r="J54484"/>
    </row>
    <row r="54485" spans="10:10" x14ac:dyDescent="0.3">
      <c r="J54485"/>
    </row>
    <row r="54486" spans="10:10" x14ac:dyDescent="0.3">
      <c r="J54486"/>
    </row>
    <row r="54487" spans="10:10" x14ac:dyDescent="0.3">
      <c r="J54487"/>
    </row>
    <row r="54488" spans="10:10" x14ac:dyDescent="0.3">
      <c r="J54488"/>
    </row>
    <row r="54489" spans="10:10" x14ac:dyDescent="0.3">
      <c r="J54489"/>
    </row>
    <row r="54490" spans="10:10" x14ac:dyDescent="0.3">
      <c r="J54490"/>
    </row>
    <row r="54491" spans="10:10" x14ac:dyDescent="0.3">
      <c r="J54491"/>
    </row>
    <row r="54492" spans="10:10" x14ac:dyDescent="0.3">
      <c r="J54492"/>
    </row>
    <row r="54493" spans="10:10" x14ac:dyDescent="0.3">
      <c r="J54493"/>
    </row>
    <row r="54494" spans="10:10" x14ac:dyDescent="0.3">
      <c r="J54494"/>
    </row>
    <row r="54495" spans="10:10" x14ac:dyDescent="0.3">
      <c r="J54495"/>
    </row>
    <row r="54496" spans="10:10" x14ac:dyDescent="0.3">
      <c r="J54496"/>
    </row>
    <row r="54497" spans="10:10" x14ac:dyDescent="0.3">
      <c r="J54497"/>
    </row>
    <row r="54498" spans="10:10" x14ac:dyDescent="0.3">
      <c r="J54498"/>
    </row>
    <row r="54499" spans="10:10" x14ac:dyDescent="0.3">
      <c r="J54499"/>
    </row>
    <row r="54500" spans="10:10" x14ac:dyDescent="0.3">
      <c r="J54500"/>
    </row>
    <row r="54501" spans="10:10" x14ac:dyDescent="0.3">
      <c r="J54501"/>
    </row>
    <row r="54502" spans="10:10" x14ac:dyDescent="0.3">
      <c r="J54502"/>
    </row>
    <row r="54503" spans="10:10" x14ac:dyDescent="0.3">
      <c r="J54503"/>
    </row>
    <row r="54504" spans="10:10" x14ac:dyDescent="0.3">
      <c r="J54504"/>
    </row>
    <row r="54505" spans="10:10" x14ac:dyDescent="0.3">
      <c r="J54505"/>
    </row>
    <row r="54506" spans="10:10" x14ac:dyDescent="0.3">
      <c r="J54506"/>
    </row>
    <row r="54507" spans="10:10" x14ac:dyDescent="0.3">
      <c r="J54507"/>
    </row>
    <row r="54508" spans="10:10" x14ac:dyDescent="0.3">
      <c r="J54508"/>
    </row>
    <row r="54509" spans="10:10" x14ac:dyDescent="0.3">
      <c r="J54509"/>
    </row>
    <row r="54510" spans="10:10" x14ac:dyDescent="0.3">
      <c r="J54510"/>
    </row>
    <row r="54511" spans="10:10" x14ac:dyDescent="0.3">
      <c r="J54511"/>
    </row>
    <row r="54512" spans="10:10" x14ac:dyDescent="0.3">
      <c r="J54512"/>
    </row>
    <row r="54513" spans="10:10" x14ac:dyDescent="0.3">
      <c r="J54513"/>
    </row>
    <row r="54514" spans="10:10" x14ac:dyDescent="0.3">
      <c r="J54514"/>
    </row>
    <row r="54515" spans="10:10" x14ac:dyDescent="0.3">
      <c r="J54515"/>
    </row>
    <row r="54516" spans="10:10" x14ac:dyDescent="0.3">
      <c r="J54516"/>
    </row>
    <row r="54517" spans="10:10" x14ac:dyDescent="0.3">
      <c r="J54517"/>
    </row>
    <row r="54518" spans="10:10" x14ac:dyDescent="0.3">
      <c r="J54518"/>
    </row>
    <row r="54519" spans="10:10" x14ac:dyDescent="0.3">
      <c r="J54519"/>
    </row>
    <row r="54520" spans="10:10" x14ac:dyDescent="0.3">
      <c r="J54520"/>
    </row>
    <row r="54521" spans="10:10" x14ac:dyDescent="0.3">
      <c r="J54521"/>
    </row>
    <row r="54522" spans="10:10" x14ac:dyDescent="0.3">
      <c r="J54522"/>
    </row>
    <row r="54523" spans="10:10" x14ac:dyDescent="0.3">
      <c r="J54523"/>
    </row>
    <row r="54524" spans="10:10" x14ac:dyDescent="0.3">
      <c r="J54524"/>
    </row>
    <row r="54525" spans="10:10" x14ac:dyDescent="0.3">
      <c r="J54525"/>
    </row>
    <row r="54526" spans="10:10" x14ac:dyDescent="0.3">
      <c r="J54526"/>
    </row>
    <row r="54527" spans="10:10" x14ac:dyDescent="0.3">
      <c r="J54527"/>
    </row>
    <row r="54528" spans="10:10" x14ac:dyDescent="0.3">
      <c r="J54528"/>
    </row>
    <row r="54529" spans="10:10" x14ac:dyDescent="0.3">
      <c r="J54529"/>
    </row>
    <row r="54530" spans="10:10" x14ac:dyDescent="0.3">
      <c r="J54530"/>
    </row>
    <row r="54531" spans="10:10" x14ac:dyDescent="0.3">
      <c r="J54531"/>
    </row>
    <row r="54532" spans="10:10" x14ac:dyDescent="0.3">
      <c r="J54532"/>
    </row>
    <row r="54533" spans="10:10" x14ac:dyDescent="0.3">
      <c r="J54533"/>
    </row>
    <row r="54534" spans="10:10" x14ac:dyDescent="0.3">
      <c r="J54534"/>
    </row>
    <row r="54535" spans="10:10" x14ac:dyDescent="0.3">
      <c r="J54535"/>
    </row>
    <row r="54536" spans="10:10" x14ac:dyDescent="0.3">
      <c r="J54536"/>
    </row>
    <row r="54537" spans="10:10" x14ac:dyDescent="0.3">
      <c r="J54537"/>
    </row>
    <row r="54538" spans="10:10" x14ac:dyDescent="0.3">
      <c r="J54538"/>
    </row>
    <row r="54539" spans="10:10" x14ac:dyDescent="0.3">
      <c r="J54539"/>
    </row>
    <row r="54540" spans="10:10" x14ac:dyDescent="0.3">
      <c r="J54540"/>
    </row>
    <row r="54541" spans="10:10" x14ac:dyDescent="0.3">
      <c r="J54541"/>
    </row>
    <row r="54542" spans="10:10" x14ac:dyDescent="0.3">
      <c r="J54542"/>
    </row>
    <row r="54543" spans="10:10" x14ac:dyDescent="0.3">
      <c r="J54543"/>
    </row>
    <row r="54544" spans="10:10" x14ac:dyDescent="0.3">
      <c r="J54544"/>
    </row>
    <row r="54545" spans="10:10" x14ac:dyDescent="0.3">
      <c r="J54545"/>
    </row>
    <row r="54546" spans="10:10" x14ac:dyDescent="0.3">
      <c r="J54546"/>
    </row>
    <row r="54547" spans="10:10" x14ac:dyDescent="0.3">
      <c r="J54547"/>
    </row>
    <row r="54548" spans="10:10" x14ac:dyDescent="0.3">
      <c r="J54548"/>
    </row>
    <row r="54549" spans="10:10" x14ac:dyDescent="0.3">
      <c r="J54549"/>
    </row>
    <row r="54550" spans="10:10" x14ac:dyDescent="0.3">
      <c r="J54550"/>
    </row>
    <row r="54551" spans="10:10" x14ac:dyDescent="0.3">
      <c r="J54551"/>
    </row>
    <row r="54552" spans="10:10" x14ac:dyDescent="0.3">
      <c r="J54552"/>
    </row>
    <row r="54553" spans="10:10" x14ac:dyDescent="0.3">
      <c r="J54553"/>
    </row>
    <row r="54554" spans="10:10" x14ac:dyDescent="0.3">
      <c r="J54554"/>
    </row>
    <row r="54555" spans="10:10" x14ac:dyDescent="0.3">
      <c r="J54555"/>
    </row>
    <row r="54556" spans="10:10" x14ac:dyDescent="0.3">
      <c r="J54556"/>
    </row>
    <row r="54557" spans="10:10" x14ac:dyDescent="0.3">
      <c r="J54557"/>
    </row>
    <row r="54558" spans="10:10" x14ac:dyDescent="0.3">
      <c r="J54558"/>
    </row>
    <row r="54559" spans="10:10" x14ac:dyDescent="0.3">
      <c r="J54559"/>
    </row>
    <row r="54560" spans="10:10" x14ac:dyDescent="0.3">
      <c r="J54560"/>
    </row>
    <row r="54561" spans="10:10" x14ac:dyDescent="0.3">
      <c r="J54561"/>
    </row>
    <row r="54562" spans="10:10" x14ac:dyDescent="0.3">
      <c r="J54562"/>
    </row>
    <row r="54563" spans="10:10" x14ac:dyDescent="0.3">
      <c r="J54563"/>
    </row>
    <row r="54564" spans="10:10" x14ac:dyDescent="0.3">
      <c r="J54564"/>
    </row>
    <row r="54565" spans="10:10" x14ac:dyDescent="0.3">
      <c r="J54565"/>
    </row>
    <row r="54566" spans="10:10" x14ac:dyDescent="0.3">
      <c r="J54566"/>
    </row>
    <row r="54567" spans="10:10" x14ac:dyDescent="0.3">
      <c r="J54567"/>
    </row>
    <row r="54568" spans="10:10" x14ac:dyDescent="0.3">
      <c r="J54568"/>
    </row>
    <row r="54569" spans="10:10" x14ac:dyDescent="0.3">
      <c r="J54569"/>
    </row>
    <row r="54570" spans="10:10" x14ac:dyDescent="0.3">
      <c r="J54570"/>
    </row>
    <row r="54571" spans="10:10" x14ac:dyDescent="0.3">
      <c r="J54571"/>
    </row>
    <row r="54572" spans="10:10" x14ac:dyDescent="0.3">
      <c r="J54572"/>
    </row>
    <row r="54573" spans="10:10" x14ac:dyDescent="0.3">
      <c r="J54573"/>
    </row>
    <row r="54574" spans="10:10" x14ac:dyDescent="0.3">
      <c r="J54574"/>
    </row>
    <row r="54575" spans="10:10" x14ac:dyDescent="0.3">
      <c r="J54575"/>
    </row>
    <row r="54576" spans="10:10" x14ac:dyDescent="0.3">
      <c r="J54576"/>
    </row>
    <row r="54577" spans="10:10" x14ac:dyDescent="0.3">
      <c r="J54577"/>
    </row>
    <row r="54578" spans="10:10" x14ac:dyDescent="0.3">
      <c r="J54578"/>
    </row>
    <row r="54579" spans="10:10" x14ac:dyDescent="0.3">
      <c r="J54579"/>
    </row>
    <row r="54580" spans="10:10" x14ac:dyDescent="0.3">
      <c r="J54580"/>
    </row>
    <row r="54581" spans="10:10" x14ac:dyDescent="0.3">
      <c r="J54581"/>
    </row>
    <row r="54582" spans="10:10" x14ac:dyDescent="0.3">
      <c r="J54582"/>
    </row>
    <row r="54583" spans="10:10" x14ac:dyDescent="0.3">
      <c r="J54583"/>
    </row>
    <row r="54584" spans="10:10" x14ac:dyDescent="0.3">
      <c r="J54584"/>
    </row>
    <row r="54585" spans="10:10" x14ac:dyDescent="0.3">
      <c r="J54585"/>
    </row>
    <row r="54586" spans="10:10" x14ac:dyDescent="0.3">
      <c r="J54586"/>
    </row>
    <row r="54587" spans="10:10" x14ac:dyDescent="0.3">
      <c r="J54587"/>
    </row>
    <row r="54588" spans="10:10" x14ac:dyDescent="0.3">
      <c r="J54588"/>
    </row>
    <row r="54589" spans="10:10" x14ac:dyDescent="0.3">
      <c r="J54589"/>
    </row>
    <row r="54590" spans="10:10" x14ac:dyDescent="0.3">
      <c r="J54590"/>
    </row>
    <row r="54591" spans="10:10" x14ac:dyDescent="0.3">
      <c r="J54591"/>
    </row>
    <row r="54592" spans="10:10" x14ac:dyDescent="0.3">
      <c r="J54592"/>
    </row>
    <row r="54593" spans="10:10" x14ac:dyDescent="0.3">
      <c r="J54593"/>
    </row>
    <row r="54594" spans="10:10" x14ac:dyDescent="0.3">
      <c r="J54594"/>
    </row>
    <row r="54595" spans="10:10" x14ac:dyDescent="0.3">
      <c r="J54595"/>
    </row>
    <row r="54596" spans="10:10" x14ac:dyDescent="0.3">
      <c r="J54596"/>
    </row>
    <row r="54597" spans="10:10" x14ac:dyDescent="0.3">
      <c r="J54597"/>
    </row>
    <row r="54598" spans="10:10" x14ac:dyDescent="0.3">
      <c r="J54598"/>
    </row>
    <row r="54599" spans="10:10" x14ac:dyDescent="0.3">
      <c r="J54599"/>
    </row>
    <row r="54600" spans="10:10" x14ac:dyDescent="0.3">
      <c r="J54600"/>
    </row>
    <row r="54601" spans="10:10" x14ac:dyDescent="0.3">
      <c r="J54601"/>
    </row>
    <row r="54602" spans="10:10" x14ac:dyDescent="0.3">
      <c r="J54602"/>
    </row>
    <row r="54603" spans="10:10" x14ac:dyDescent="0.3">
      <c r="J54603"/>
    </row>
    <row r="54604" spans="10:10" x14ac:dyDescent="0.3">
      <c r="J54604"/>
    </row>
    <row r="54605" spans="10:10" x14ac:dyDescent="0.3">
      <c r="J54605"/>
    </row>
    <row r="54606" spans="10:10" x14ac:dyDescent="0.3">
      <c r="J54606"/>
    </row>
    <row r="54607" spans="10:10" x14ac:dyDescent="0.3">
      <c r="J54607"/>
    </row>
    <row r="54608" spans="10:10" x14ac:dyDescent="0.3">
      <c r="J54608"/>
    </row>
    <row r="54609" spans="10:10" x14ac:dyDescent="0.3">
      <c r="J54609"/>
    </row>
    <row r="54610" spans="10:10" x14ac:dyDescent="0.3">
      <c r="J54610"/>
    </row>
    <row r="54611" spans="10:10" x14ac:dyDescent="0.3">
      <c r="J54611"/>
    </row>
    <row r="54612" spans="10:10" x14ac:dyDescent="0.3">
      <c r="J54612"/>
    </row>
    <row r="54613" spans="10:10" x14ac:dyDescent="0.3">
      <c r="J54613"/>
    </row>
    <row r="54614" spans="10:10" x14ac:dyDescent="0.3">
      <c r="J54614"/>
    </row>
    <row r="54615" spans="10:10" x14ac:dyDescent="0.3">
      <c r="J54615"/>
    </row>
    <row r="54616" spans="10:10" x14ac:dyDescent="0.3">
      <c r="J54616"/>
    </row>
    <row r="54617" spans="10:10" x14ac:dyDescent="0.3">
      <c r="J54617"/>
    </row>
    <row r="54618" spans="10:10" x14ac:dyDescent="0.3">
      <c r="J54618"/>
    </row>
    <row r="54619" spans="10:10" x14ac:dyDescent="0.3">
      <c r="J54619"/>
    </row>
    <row r="54620" spans="10:10" x14ac:dyDescent="0.3">
      <c r="J54620"/>
    </row>
    <row r="54621" spans="10:10" x14ac:dyDescent="0.3">
      <c r="J54621"/>
    </row>
    <row r="54622" spans="10:10" x14ac:dyDescent="0.3">
      <c r="J54622"/>
    </row>
    <row r="54623" spans="10:10" x14ac:dyDescent="0.3">
      <c r="J54623"/>
    </row>
    <row r="54624" spans="10:10" x14ac:dyDescent="0.3">
      <c r="J54624"/>
    </row>
    <row r="54625" spans="10:10" x14ac:dyDescent="0.3">
      <c r="J54625"/>
    </row>
    <row r="54626" spans="10:10" x14ac:dyDescent="0.3">
      <c r="J54626"/>
    </row>
    <row r="54627" spans="10:10" x14ac:dyDescent="0.3">
      <c r="J54627"/>
    </row>
    <row r="54628" spans="10:10" x14ac:dyDescent="0.3">
      <c r="J54628"/>
    </row>
    <row r="54629" spans="10:10" x14ac:dyDescent="0.3">
      <c r="J54629"/>
    </row>
    <row r="54630" spans="10:10" x14ac:dyDescent="0.3">
      <c r="J54630"/>
    </row>
    <row r="54631" spans="10:10" x14ac:dyDescent="0.3">
      <c r="J54631"/>
    </row>
    <row r="54632" spans="10:10" x14ac:dyDescent="0.3">
      <c r="J54632"/>
    </row>
    <row r="54633" spans="10:10" x14ac:dyDescent="0.3">
      <c r="J54633"/>
    </row>
    <row r="54634" spans="10:10" x14ac:dyDescent="0.3">
      <c r="J54634"/>
    </row>
    <row r="54635" spans="10:10" x14ac:dyDescent="0.3">
      <c r="J54635"/>
    </row>
    <row r="54636" spans="10:10" x14ac:dyDescent="0.3">
      <c r="J54636"/>
    </row>
    <row r="54637" spans="10:10" x14ac:dyDescent="0.3">
      <c r="J54637"/>
    </row>
    <row r="54638" spans="10:10" x14ac:dyDescent="0.3">
      <c r="J54638"/>
    </row>
    <row r="54639" spans="10:10" x14ac:dyDescent="0.3">
      <c r="J54639"/>
    </row>
    <row r="54640" spans="10:10" x14ac:dyDescent="0.3">
      <c r="J54640"/>
    </row>
    <row r="54641" spans="10:10" x14ac:dyDescent="0.3">
      <c r="J54641"/>
    </row>
    <row r="54642" spans="10:10" x14ac:dyDescent="0.3">
      <c r="J54642"/>
    </row>
    <row r="54643" spans="10:10" x14ac:dyDescent="0.3">
      <c r="J54643"/>
    </row>
    <row r="54644" spans="10:10" x14ac:dyDescent="0.3">
      <c r="J54644"/>
    </row>
    <row r="54645" spans="10:10" x14ac:dyDescent="0.3">
      <c r="J54645"/>
    </row>
    <row r="54646" spans="10:10" x14ac:dyDescent="0.3">
      <c r="J54646"/>
    </row>
    <row r="54647" spans="10:10" x14ac:dyDescent="0.3">
      <c r="J54647"/>
    </row>
    <row r="54648" spans="10:10" x14ac:dyDescent="0.3">
      <c r="J54648"/>
    </row>
    <row r="54649" spans="10:10" x14ac:dyDescent="0.3">
      <c r="J54649"/>
    </row>
    <row r="54650" spans="10:10" x14ac:dyDescent="0.3">
      <c r="J54650"/>
    </row>
    <row r="54651" spans="10:10" x14ac:dyDescent="0.3">
      <c r="J54651"/>
    </row>
    <row r="54652" spans="10:10" x14ac:dyDescent="0.3">
      <c r="J54652"/>
    </row>
    <row r="54653" spans="10:10" x14ac:dyDescent="0.3">
      <c r="J54653"/>
    </row>
    <row r="54654" spans="10:10" x14ac:dyDescent="0.3">
      <c r="J54654"/>
    </row>
    <row r="54655" spans="10:10" x14ac:dyDescent="0.3">
      <c r="J54655"/>
    </row>
    <row r="54656" spans="10:10" x14ac:dyDescent="0.3">
      <c r="J54656"/>
    </row>
    <row r="54657" spans="10:10" x14ac:dyDescent="0.3">
      <c r="J54657"/>
    </row>
    <row r="54658" spans="10:10" x14ac:dyDescent="0.3">
      <c r="J54658"/>
    </row>
    <row r="54659" spans="10:10" x14ac:dyDescent="0.3">
      <c r="J54659"/>
    </row>
    <row r="54660" spans="10:10" x14ac:dyDescent="0.3">
      <c r="J54660"/>
    </row>
    <row r="54661" spans="10:10" x14ac:dyDescent="0.3">
      <c r="J54661"/>
    </row>
    <row r="54662" spans="10:10" x14ac:dyDescent="0.3">
      <c r="J54662"/>
    </row>
    <row r="54663" spans="10:10" x14ac:dyDescent="0.3">
      <c r="J54663"/>
    </row>
    <row r="54664" spans="10:10" x14ac:dyDescent="0.3">
      <c r="J54664"/>
    </row>
    <row r="54665" spans="10:10" x14ac:dyDescent="0.3">
      <c r="J54665"/>
    </row>
    <row r="54666" spans="10:10" x14ac:dyDescent="0.3">
      <c r="J54666"/>
    </row>
    <row r="54667" spans="10:10" x14ac:dyDescent="0.3">
      <c r="J54667"/>
    </row>
    <row r="54668" spans="10:10" x14ac:dyDescent="0.3">
      <c r="J54668"/>
    </row>
    <row r="54669" spans="10:10" x14ac:dyDescent="0.3">
      <c r="J54669"/>
    </row>
    <row r="54670" spans="10:10" x14ac:dyDescent="0.3">
      <c r="J54670"/>
    </row>
    <row r="54671" spans="10:10" x14ac:dyDescent="0.3">
      <c r="J54671"/>
    </row>
    <row r="54672" spans="10:10" x14ac:dyDescent="0.3">
      <c r="J54672"/>
    </row>
    <row r="54673" spans="10:10" x14ac:dyDescent="0.3">
      <c r="J54673"/>
    </row>
    <row r="54674" spans="10:10" x14ac:dyDescent="0.3">
      <c r="J54674"/>
    </row>
    <row r="54675" spans="10:10" x14ac:dyDescent="0.3">
      <c r="J54675"/>
    </row>
    <row r="54676" spans="10:10" x14ac:dyDescent="0.3">
      <c r="J54676"/>
    </row>
    <row r="54677" spans="10:10" x14ac:dyDescent="0.3">
      <c r="J54677"/>
    </row>
    <row r="54678" spans="10:10" x14ac:dyDescent="0.3">
      <c r="J54678"/>
    </row>
    <row r="54679" spans="10:10" x14ac:dyDescent="0.3">
      <c r="J54679"/>
    </row>
    <row r="54680" spans="10:10" x14ac:dyDescent="0.3">
      <c r="J54680"/>
    </row>
    <row r="54681" spans="10:10" x14ac:dyDescent="0.3">
      <c r="J54681"/>
    </row>
    <row r="54682" spans="10:10" x14ac:dyDescent="0.3">
      <c r="J54682"/>
    </row>
    <row r="54683" spans="10:10" x14ac:dyDescent="0.3">
      <c r="J54683"/>
    </row>
    <row r="54684" spans="10:10" x14ac:dyDescent="0.3">
      <c r="J54684"/>
    </row>
    <row r="54685" spans="10:10" x14ac:dyDescent="0.3">
      <c r="J54685"/>
    </row>
    <row r="54686" spans="10:10" x14ac:dyDescent="0.3">
      <c r="J54686"/>
    </row>
    <row r="54687" spans="10:10" x14ac:dyDescent="0.3">
      <c r="J54687"/>
    </row>
    <row r="54688" spans="10:10" x14ac:dyDescent="0.3">
      <c r="J54688"/>
    </row>
    <row r="54689" spans="10:10" x14ac:dyDescent="0.3">
      <c r="J54689"/>
    </row>
    <row r="54690" spans="10:10" x14ac:dyDescent="0.3">
      <c r="J54690"/>
    </row>
    <row r="54691" spans="10:10" x14ac:dyDescent="0.3">
      <c r="J54691"/>
    </row>
    <row r="54692" spans="10:10" x14ac:dyDescent="0.3">
      <c r="J54692"/>
    </row>
    <row r="54693" spans="10:10" x14ac:dyDescent="0.3">
      <c r="J54693"/>
    </row>
    <row r="54694" spans="10:10" x14ac:dyDescent="0.3">
      <c r="J54694"/>
    </row>
    <row r="54695" spans="10:10" x14ac:dyDescent="0.3">
      <c r="J54695"/>
    </row>
    <row r="54696" spans="10:10" x14ac:dyDescent="0.3">
      <c r="J54696"/>
    </row>
    <row r="54697" spans="10:10" x14ac:dyDescent="0.3">
      <c r="J54697"/>
    </row>
    <row r="54698" spans="10:10" x14ac:dyDescent="0.3">
      <c r="J54698"/>
    </row>
    <row r="54699" spans="10:10" x14ac:dyDescent="0.3">
      <c r="J54699"/>
    </row>
    <row r="54700" spans="10:10" x14ac:dyDescent="0.3">
      <c r="J54700"/>
    </row>
    <row r="54701" spans="10:10" x14ac:dyDescent="0.3">
      <c r="J54701"/>
    </row>
    <row r="54702" spans="10:10" x14ac:dyDescent="0.3">
      <c r="J54702"/>
    </row>
    <row r="54703" spans="10:10" x14ac:dyDescent="0.3">
      <c r="J54703"/>
    </row>
    <row r="54704" spans="10:10" x14ac:dyDescent="0.3">
      <c r="J54704"/>
    </row>
    <row r="54705" spans="10:10" x14ac:dyDescent="0.3">
      <c r="J54705"/>
    </row>
    <row r="54706" spans="10:10" x14ac:dyDescent="0.3">
      <c r="J54706"/>
    </row>
    <row r="54707" spans="10:10" x14ac:dyDescent="0.3">
      <c r="J54707"/>
    </row>
    <row r="54708" spans="10:10" x14ac:dyDescent="0.3">
      <c r="J54708"/>
    </row>
    <row r="54709" spans="10:10" x14ac:dyDescent="0.3">
      <c r="J54709"/>
    </row>
    <row r="54710" spans="10:10" x14ac:dyDescent="0.3">
      <c r="J54710"/>
    </row>
    <row r="54711" spans="10:10" x14ac:dyDescent="0.3">
      <c r="J54711"/>
    </row>
    <row r="54712" spans="10:10" x14ac:dyDescent="0.3">
      <c r="J54712"/>
    </row>
    <row r="54713" spans="10:10" x14ac:dyDescent="0.3">
      <c r="J54713"/>
    </row>
    <row r="54714" spans="10:10" x14ac:dyDescent="0.3">
      <c r="J54714"/>
    </row>
    <row r="54715" spans="10:10" x14ac:dyDescent="0.3">
      <c r="J54715"/>
    </row>
    <row r="54716" spans="10:10" x14ac:dyDescent="0.3">
      <c r="J54716"/>
    </row>
    <row r="54717" spans="10:10" x14ac:dyDescent="0.3">
      <c r="J54717"/>
    </row>
    <row r="54718" spans="10:10" x14ac:dyDescent="0.3">
      <c r="J54718"/>
    </row>
    <row r="54719" spans="10:10" x14ac:dyDescent="0.3">
      <c r="J54719"/>
    </row>
    <row r="54720" spans="10:10" x14ac:dyDescent="0.3">
      <c r="J54720"/>
    </row>
    <row r="54721" spans="10:10" x14ac:dyDescent="0.3">
      <c r="J54721"/>
    </row>
    <row r="54722" spans="10:10" x14ac:dyDescent="0.3">
      <c r="J54722"/>
    </row>
    <row r="54723" spans="10:10" x14ac:dyDescent="0.3">
      <c r="J54723"/>
    </row>
    <row r="54724" spans="10:10" x14ac:dyDescent="0.3">
      <c r="J54724"/>
    </row>
    <row r="54725" spans="10:10" x14ac:dyDescent="0.3">
      <c r="J54725"/>
    </row>
    <row r="54726" spans="10:10" x14ac:dyDescent="0.3">
      <c r="J54726"/>
    </row>
    <row r="54727" spans="10:10" x14ac:dyDescent="0.3">
      <c r="J54727"/>
    </row>
    <row r="54728" spans="10:10" x14ac:dyDescent="0.3">
      <c r="J54728"/>
    </row>
    <row r="54729" spans="10:10" x14ac:dyDescent="0.3">
      <c r="J54729"/>
    </row>
    <row r="54730" spans="10:10" x14ac:dyDescent="0.3">
      <c r="J54730"/>
    </row>
    <row r="54731" spans="10:10" x14ac:dyDescent="0.3">
      <c r="J54731"/>
    </row>
    <row r="54732" spans="10:10" x14ac:dyDescent="0.3">
      <c r="J54732"/>
    </row>
    <row r="54733" spans="10:10" x14ac:dyDescent="0.3">
      <c r="J54733"/>
    </row>
    <row r="54734" spans="10:10" x14ac:dyDescent="0.3">
      <c r="J54734"/>
    </row>
    <row r="54735" spans="10:10" x14ac:dyDescent="0.3">
      <c r="J54735"/>
    </row>
    <row r="54736" spans="10:10" x14ac:dyDescent="0.3">
      <c r="J54736"/>
    </row>
    <row r="54737" spans="10:10" x14ac:dyDescent="0.3">
      <c r="J54737"/>
    </row>
    <row r="54738" spans="10:10" x14ac:dyDescent="0.3">
      <c r="J54738"/>
    </row>
    <row r="54739" spans="10:10" x14ac:dyDescent="0.3">
      <c r="J54739"/>
    </row>
    <row r="54740" spans="10:10" x14ac:dyDescent="0.3">
      <c r="J54740"/>
    </row>
    <row r="54741" spans="10:10" x14ac:dyDescent="0.3">
      <c r="J54741"/>
    </row>
    <row r="54742" spans="10:10" x14ac:dyDescent="0.3">
      <c r="J54742"/>
    </row>
    <row r="54743" spans="10:10" x14ac:dyDescent="0.3">
      <c r="J54743"/>
    </row>
    <row r="54744" spans="10:10" x14ac:dyDescent="0.3">
      <c r="J54744"/>
    </row>
    <row r="54745" spans="10:10" x14ac:dyDescent="0.3">
      <c r="J54745"/>
    </row>
    <row r="54746" spans="10:10" x14ac:dyDescent="0.3">
      <c r="J54746"/>
    </row>
    <row r="54747" spans="10:10" x14ac:dyDescent="0.3">
      <c r="J54747"/>
    </row>
    <row r="54748" spans="10:10" x14ac:dyDescent="0.3">
      <c r="J54748"/>
    </row>
    <row r="54749" spans="10:10" x14ac:dyDescent="0.3">
      <c r="J54749"/>
    </row>
    <row r="54750" spans="10:10" x14ac:dyDescent="0.3">
      <c r="J54750"/>
    </row>
    <row r="54751" spans="10:10" x14ac:dyDescent="0.3">
      <c r="J54751"/>
    </row>
    <row r="54752" spans="10:10" x14ac:dyDescent="0.3">
      <c r="J54752"/>
    </row>
    <row r="54753" spans="10:10" x14ac:dyDescent="0.3">
      <c r="J54753"/>
    </row>
    <row r="54754" spans="10:10" x14ac:dyDescent="0.3">
      <c r="J54754"/>
    </row>
    <row r="54755" spans="10:10" x14ac:dyDescent="0.3">
      <c r="J54755"/>
    </row>
    <row r="54756" spans="10:10" x14ac:dyDescent="0.3">
      <c r="J54756"/>
    </row>
    <row r="54757" spans="10:10" x14ac:dyDescent="0.3">
      <c r="J54757"/>
    </row>
    <row r="54758" spans="10:10" x14ac:dyDescent="0.3">
      <c r="J54758"/>
    </row>
    <row r="54759" spans="10:10" x14ac:dyDescent="0.3">
      <c r="J54759"/>
    </row>
    <row r="54760" spans="10:10" x14ac:dyDescent="0.3">
      <c r="J54760"/>
    </row>
    <row r="54761" spans="10:10" x14ac:dyDescent="0.3">
      <c r="J54761"/>
    </row>
    <row r="54762" spans="10:10" x14ac:dyDescent="0.3">
      <c r="J54762"/>
    </row>
    <row r="54763" spans="10:10" x14ac:dyDescent="0.3">
      <c r="J54763"/>
    </row>
    <row r="54764" spans="10:10" x14ac:dyDescent="0.3">
      <c r="J54764"/>
    </row>
    <row r="54765" spans="10:10" x14ac:dyDescent="0.3">
      <c r="J54765"/>
    </row>
    <row r="54766" spans="10:10" x14ac:dyDescent="0.3">
      <c r="J54766"/>
    </row>
    <row r="54767" spans="10:10" x14ac:dyDescent="0.3">
      <c r="J54767"/>
    </row>
    <row r="54768" spans="10:10" x14ac:dyDescent="0.3">
      <c r="J54768"/>
    </row>
    <row r="54769" spans="10:10" x14ac:dyDescent="0.3">
      <c r="J54769"/>
    </row>
    <row r="54770" spans="10:10" x14ac:dyDescent="0.3">
      <c r="J54770"/>
    </row>
    <row r="54771" spans="10:10" x14ac:dyDescent="0.3">
      <c r="J54771"/>
    </row>
    <row r="54772" spans="10:10" x14ac:dyDescent="0.3">
      <c r="J54772"/>
    </row>
    <row r="54773" spans="10:10" x14ac:dyDescent="0.3">
      <c r="J54773"/>
    </row>
    <row r="54774" spans="10:10" x14ac:dyDescent="0.3">
      <c r="J54774"/>
    </row>
    <row r="54775" spans="10:10" x14ac:dyDescent="0.3">
      <c r="J54775"/>
    </row>
    <row r="54776" spans="10:10" x14ac:dyDescent="0.3">
      <c r="J54776"/>
    </row>
    <row r="54777" spans="10:10" x14ac:dyDescent="0.3">
      <c r="J54777"/>
    </row>
    <row r="54778" spans="10:10" x14ac:dyDescent="0.3">
      <c r="J54778"/>
    </row>
    <row r="54779" spans="10:10" x14ac:dyDescent="0.3">
      <c r="J54779"/>
    </row>
    <row r="54780" spans="10:10" x14ac:dyDescent="0.3">
      <c r="J54780"/>
    </row>
    <row r="54781" spans="10:10" x14ac:dyDescent="0.3">
      <c r="J54781"/>
    </row>
    <row r="54782" spans="10:10" x14ac:dyDescent="0.3">
      <c r="J54782"/>
    </row>
    <row r="54783" spans="10:10" x14ac:dyDescent="0.3">
      <c r="J54783"/>
    </row>
    <row r="54784" spans="10:10" x14ac:dyDescent="0.3">
      <c r="J54784"/>
    </row>
    <row r="54785" spans="10:10" x14ac:dyDescent="0.3">
      <c r="J54785"/>
    </row>
    <row r="54786" spans="10:10" x14ac:dyDescent="0.3">
      <c r="J54786"/>
    </row>
    <row r="54787" spans="10:10" x14ac:dyDescent="0.3">
      <c r="J54787"/>
    </row>
    <row r="54788" spans="10:10" x14ac:dyDescent="0.3">
      <c r="J54788"/>
    </row>
    <row r="54789" spans="10:10" x14ac:dyDescent="0.3">
      <c r="J54789"/>
    </row>
    <row r="54790" spans="10:10" x14ac:dyDescent="0.3">
      <c r="J54790"/>
    </row>
    <row r="54791" spans="10:10" x14ac:dyDescent="0.3">
      <c r="J54791"/>
    </row>
    <row r="54792" spans="10:10" x14ac:dyDescent="0.3">
      <c r="J54792"/>
    </row>
    <row r="54793" spans="10:10" x14ac:dyDescent="0.3">
      <c r="J54793"/>
    </row>
    <row r="54794" spans="10:10" x14ac:dyDescent="0.3">
      <c r="J54794"/>
    </row>
    <row r="54795" spans="10:10" x14ac:dyDescent="0.3">
      <c r="J54795"/>
    </row>
    <row r="54796" spans="10:10" x14ac:dyDescent="0.3">
      <c r="J54796"/>
    </row>
    <row r="54797" spans="10:10" x14ac:dyDescent="0.3">
      <c r="J54797"/>
    </row>
    <row r="54798" spans="10:10" x14ac:dyDescent="0.3">
      <c r="J54798"/>
    </row>
    <row r="54799" spans="10:10" x14ac:dyDescent="0.3">
      <c r="J54799"/>
    </row>
    <row r="54800" spans="10:10" x14ac:dyDescent="0.3">
      <c r="J54800"/>
    </row>
    <row r="54801" spans="10:10" x14ac:dyDescent="0.3">
      <c r="J54801"/>
    </row>
    <row r="54802" spans="10:10" x14ac:dyDescent="0.3">
      <c r="J54802"/>
    </row>
    <row r="54803" spans="10:10" x14ac:dyDescent="0.3">
      <c r="J54803"/>
    </row>
    <row r="54804" spans="10:10" x14ac:dyDescent="0.3">
      <c r="J54804"/>
    </row>
    <row r="54805" spans="10:10" x14ac:dyDescent="0.3">
      <c r="J54805"/>
    </row>
    <row r="54806" spans="10:10" x14ac:dyDescent="0.3">
      <c r="J54806"/>
    </row>
    <row r="54807" spans="10:10" x14ac:dyDescent="0.3">
      <c r="J54807"/>
    </row>
    <row r="54808" spans="10:10" x14ac:dyDescent="0.3">
      <c r="J54808"/>
    </row>
    <row r="54809" spans="10:10" x14ac:dyDescent="0.3">
      <c r="J54809"/>
    </row>
    <row r="54810" spans="10:10" x14ac:dyDescent="0.3">
      <c r="J54810"/>
    </row>
    <row r="54811" spans="10:10" x14ac:dyDescent="0.3">
      <c r="J54811"/>
    </row>
    <row r="54812" spans="10:10" x14ac:dyDescent="0.3">
      <c r="J54812"/>
    </row>
    <row r="54813" spans="10:10" x14ac:dyDescent="0.3">
      <c r="J54813"/>
    </row>
    <row r="54814" spans="10:10" x14ac:dyDescent="0.3">
      <c r="J54814"/>
    </row>
    <row r="54815" spans="10:10" x14ac:dyDescent="0.3">
      <c r="J54815"/>
    </row>
    <row r="54816" spans="10:10" x14ac:dyDescent="0.3">
      <c r="J54816"/>
    </row>
    <row r="54817" spans="10:10" x14ac:dyDescent="0.3">
      <c r="J54817"/>
    </row>
    <row r="54818" spans="10:10" x14ac:dyDescent="0.3">
      <c r="J54818"/>
    </row>
    <row r="54819" spans="10:10" x14ac:dyDescent="0.3">
      <c r="J54819"/>
    </row>
    <row r="54820" spans="10:10" x14ac:dyDescent="0.3">
      <c r="J54820"/>
    </row>
    <row r="54821" spans="10:10" x14ac:dyDescent="0.3">
      <c r="J54821"/>
    </row>
    <row r="54822" spans="10:10" x14ac:dyDescent="0.3">
      <c r="J54822"/>
    </row>
    <row r="54823" spans="10:10" x14ac:dyDescent="0.3">
      <c r="J54823"/>
    </row>
    <row r="54824" spans="10:10" x14ac:dyDescent="0.3">
      <c r="J54824"/>
    </row>
    <row r="54825" spans="10:10" x14ac:dyDescent="0.3">
      <c r="J54825"/>
    </row>
    <row r="54826" spans="10:10" x14ac:dyDescent="0.3">
      <c r="J54826"/>
    </row>
    <row r="54827" spans="10:10" x14ac:dyDescent="0.3">
      <c r="J54827"/>
    </row>
    <row r="54828" spans="10:10" x14ac:dyDescent="0.3">
      <c r="J54828"/>
    </row>
    <row r="54829" spans="10:10" x14ac:dyDescent="0.3">
      <c r="J54829"/>
    </row>
    <row r="54830" spans="10:10" x14ac:dyDescent="0.3">
      <c r="J54830"/>
    </row>
    <row r="54831" spans="10:10" x14ac:dyDescent="0.3">
      <c r="J54831"/>
    </row>
    <row r="54832" spans="10:10" x14ac:dyDescent="0.3">
      <c r="J54832"/>
    </row>
    <row r="54833" spans="10:10" x14ac:dyDescent="0.3">
      <c r="J54833"/>
    </row>
    <row r="54834" spans="10:10" x14ac:dyDescent="0.3">
      <c r="J54834"/>
    </row>
    <row r="54835" spans="10:10" x14ac:dyDescent="0.3">
      <c r="J54835"/>
    </row>
    <row r="54836" spans="10:10" x14ac:dyDescent="0.3">
      <c r="J54836"/>
    </row>
    <row r="54837" spans="10:10" x14ac:dyDescent="0.3">
      <c r="J54837"/>
    </row>
    <row r="54838" spans="10:10" x14ac:dyDescent="0.3">
      <c r="J54838"/>
    </row>
    <row r="54839" spans="10:10" x14ac:dyDescent="0.3">
      <c r="J54839"/>
    </row>
    <row r="54840" spans="10:10" x14ac:dyDescent="0.3">
      <c r="J54840"/>
    </row>
    <row r="54841" spans="10:10" x14ac:dyDescent="0.3">
      <c r="J54841"/>
    </row>
    <row r="54842" spans="10:10" x14ac:dyDescent="0.3">
      <c r="J54842"/>
    </row>
    <row r="54843" spans="10:10" x14ac:dyDescent="0.3">
      <c r="J54843"/>
    </row>
    <row r="54844" spans="10:10" x14ac:dyDescent="0.3">
      <c r="J54844"/>
    </row>
    <row r="54845" spans="10:10" x14ac:dyDescent="0.3">
      <c r="J54845"/>
    </row>
    <row r="54846" spans="10:10" x14ac:dyDescent="0.3">
      <c r="J54846"/>
    </row>
    <row r="54847" spans="10:10" x14ac:dyDescent="0.3">
      <c r="J54847"/>
    </row>
    <row r="54848" spans="10:10" x14ac:dyDescent="0.3">
      <c r="J54848"/>
    </row>
    <row r="54849" spans="10:10" x14ac:dyDescent="0.3">
      <c r="J54849"/>
    </row>
    <row r="54850" spans="10:10" x14ac:dyDescent="0.3">
      <c r="J54850"/>
    </row>
    <row r="54851" spans="10:10" x14ac:dyDescent="0.3">
      <c r="J54851"/>
    </row>
    <row r="54852" spans="10:10" x14ac:dyDescent="0.3">
      <c r="J54852"/>
    </row>
    <row r="54853" spans="10:10" x14ac:dyDescent="0.3">
      <c r="J54853"/>
    </row>
    <row r="54854" spans="10:10" x14ac:dyDescent="0.3">
      <c r="J54854"/>
    </row>
    <row r="54855" spans="10:10" x14ac:dyDescent="0.3">
      <c r="J54855"/>
    </row>
    <row r="54856" spans="10:10" x14ac:dyDescent="0.3">
      <c r="J54856"/>
    </row>
    <row r="54857" spans="10:10" x14ac:dyDescent="0.3">
      <c r="J54857"/>
    </row>
    <row r="54858" spans="10:10" x14ac:dyDescent="0.3">
      <c r="J54858"/>
    </row>
    <row r="54859" spans="10:10" x14ac:dyDescent="0.3">
      <c r="J54859"/>
    </row>
    <row r="54860" spans="10:10" x14ac:dyDescent="0.3">
      <c r="J54860"/>
    </row>
    <row r="54861" spans="10:10" x14ac:dyDescent="0.3">
      <c r="J54861"/>
    </row>
    <row r="54862" spans="10:10" x14ac:dyDescent="0.3">
      <c r="J54862"/>
    </row>
    <row r="54863" spans="10:10" x14ac:dyDescent="0.3">
      <c r="J54863"/>
    </row>
    <row r="54864" spans="10:10" x14ac:dyDescent="0.3">
      <c r="J54864"/>
    </row>
    <row r="54865" spans="10:10" x14ac:dyDescent="0.3">
      <c r="J54865"/>
    </row>
    <row r="54866" spans="10:10" x14ac:dyDescent="0.3">
      <c r="J54866"/>
    </row>
    <row r="54867" spans="10:10" x14ac:dyDescent="0.3">
      <c r="J54867"/>
    </row>
    <row r="54868" spans="10:10" x14ac:dyDescent="0.3">
      <c r="J54868"/>
    </row>
    <row r="54869" spans="10:10" x14ac:dyDescent="0.3">
      <c r="J54869"/>
    </row>
    <row r="54870" spans="10:10" x14ac:dyDescent="0.3">
      <c r="J54870"/>
    </row>
    <row r="54871" spans="10:10" x14ac:dyDescent="0.3">
      <c r="J54871"/>
    </row>
    <row r="54872" spans="10:10" x14ac:dyDescent="0.3">
      <c r="J54872"/>
    </row>
    <row r="54873" spans="10:10" x14ac:dyDescent="0.3">
      <c r="J54873"/>
    </row>
    <row r="54874" spans="10:10" x14ac:dyDescent="0.3">
      <c r="J54874"/>
    </row>
    <row r="54875" spans="10:10" x14ac:dyDescent="0.3">
      <c r="J54875"/>
    </row>
    <row r="54876" spans="10:10" x14ac:dyDescent="0.3">
      <c r="J54876"/>
    </row>
    <row r="54877" spans="10:10" x14ac:dyDescent="0.3">
      <c r="J54877"/>
    </row>
    <row r="54878" spans="10:10" x14ac:dyDescent="0.3">
      <c r="J54878"/>
    </row>
    <row r="54879" spans="10:10" x14ac:dyDescent="0.3">
      <c r="J54879"/>
    </row>
    <row r="54880" spans="10:10" x14ac:dyDescent="0.3">
      <c r="J54880"/>
    </row>
    <row r="54881" spans="10:10" x14ac:dyDescent="0.3">
      <c r="J54881"/>
    </row>
    <row r="54882" spans="10:10" x14ac:dyDescent="0.3">
      <c r="J54882"/>
    </row>
    <row r="54883" spans="10:10" x14ac:dyDescent="0.3">
      <c r="J54883"/>
    </row>
    <row r="54884" spans="10:10" x14ac:dyDescent="0.3">
      <c r="J54884"/>
    </row>
    <row r="54885" spans="10:10" x14ac:dyDescent="0.3">
      <c r="J54885"/>
    </row>
    <row r="54886" spans="10:10" x14ac:dyDescent="0.3">
      <c r="J54886"/>
    </row>
    <row r="54887" spans="10:10" x14ac:dyDescent="0.3">
      <c r="J54887"/>
    </row>
    <row r="54888" spans="10:10" x14ac:dyDescent="0.3">
      <c r="J54888"/>
    </row>
    <row r="54889" spans="10:10" x14ac:dyDescent="0.3">
      <c r="J54889"/>
    </row>
    <row r="54890" spans="10:10" x14ac:dyDescent="0.3">
      <c r="J54890"/>
    </row>
    <row r="54891" spans="10:10" x14ac:dyDescent="0.3">
      <c r="J54891"/>
    </row>
    <row r="54892" spans="10:10" x14ac:dyDescent="0.3">
      <c r="J54892"/>
    </row>
    <row r="54893" spans="10:10" x14ac:dyDescent="0.3">
      <c r="J54893"/>
    </row>
    <row r="54894" spans="10:10" x14ac:dyDescent="0.3">
      <c r="J54894"/>
    </row>
    <row r="54895" spans="10:10" x14ac:dyDescent="0.3">
      <c r="J54895"/>
    </row>
    <row r="54896" spans="10:10" x14ac:dyDescent="0.3">
      <c r="J54896"/>
    </row>
    <row r="54897" spans="10:10" x14ac:dyDescent="0.3">
      <c r="J54897"/>
    </row>
    <row r="54898" spans="10:10" x14ac:dyDescent="0.3">
      <c r="J54898"/>
    </row>
    <row r="54899" spans="10:10" x14ac:dyDescent="0.3">
      <c r="J54899"/>
    </row>
    <row r="54900" spans="10:10" x14ac:dyDescent="0.3">
      <c r="J54900"/>
    </row>
    <row r="54901" spans="10:10" x14ac:dyDescent="0.3">
      <c r="J54901"/>
    </row>
    <row r="54902" spans="10:10" x14ac:dyDescent="0.3">
      <c r="J54902"/>
    </row>
    <row r="54903" spans="10:10" x14ac:dyDescent="0.3">
      <c r="J54903"/>
    </row>
    <row r="54904" spans="10:10" x14ac:dyDescent="0.3">
      <c r="J54904"/>
    </row>
    <row r="54905" spans="10:10" x14ac:dyDescent="0.3">
      <c r="J54905"/>
    </row>
    <row r="54906" spans="10:10" x14ac:dyDescent="0.3">
      <c r="J54906"/>
    </row>
    <row r="54907" spans="10:10" x14ac:dyDescent="0.3">
      <c r="J54907"/>
    </row>
    <row r="54908" spans="10:10" x14ac:dyDescent="0.3">
      <c r="J54908"/>
    </row>
    <row r="54909" spans="10:10" x14ac:dyDescent="0.3">
      <c r="J54909"/>
    </row>
    <row r="54910" spans="10:10" x14ac:dyDescent="0.3">
      <c r="J54910"/>
    </row>
    <row r="54911" spans="10:10" x14ac:dyDescent="0.3">
      <c r="J54911"/>
    </row>
    <row r="54912" spans="10:10" x14ac:dyDescent="0.3">
      <c r="J54912"/>
    </row>
    <row r="54913" spans="10:10" x14ac:dyDescent="0.3">
      <c r="J54913"/>
    </row>
    <row r="54914" spans="10:10" x14ac:dyDescent="0.3">
      <c r="J54914"/>
    </row>
    <row r="54915" spans="10:10" x14ac:dyDescent="0.3">
      <c r="J54915"/>
    </row>
    <row r="54916" spans="10:10" x14ac:dyDescent="0.3">
      <c r="J54916"/>
    </row>
    <row r="54917" spans="10:10" x14ac:dyDescent="0.3">
      <c r="J54917"/>
    </row>
    <row r="54918" spans="10:10" x14ac:dyDescent="0.3">
      <c r="J54918"/>
    </row>
    <row r="54919" spans="10:10" x14ac:dyDescent="0.3">
      <c r="J54919"/>
    </row>
    <row r="54920" spans="10:10" x14ac:dyDescent="0.3">
      <c r="J54920"/>
    </row>
    <row r="54921" spans="10:10" x14ac:dyDescent="0.3">
      <c r="J54921"/>
    </row>
    <row r="54922" spans="10:10" x14ac:dyDescent="0.3">
      <c r="J54922"/>
    </row>
    <row r="54923" spans="10:10" x14ac:dyDescent="0.3">
      <c r="J54923"/>
    </row>
    <row r="54924" spans="10:10" x14ac:dyDescent="0.3">
      <c r="J54924"/>
    </row>
    <row r="54925" spans="10:10" x14ac:dyDescent="0.3">
      <c r="J54925"/>
    </row>
    <row r="54926" spans="10:10" x14ac:dyDescent="0.3">
      <c r="J54926"/>
    </row>
    <row r="54927" spans="10:10" x14ac:dyDescent="0.3">
      <c r="J54927"/>
    </row>
    <row r="54928" spans="10:10" x14ac:dyDescent="0.3">
      <c r="J54928"/>
    </row>
    <row r="54929" spans="10:10" x14ac:dyDescent="0.3">
      <c r="J54929"/>
    </row>
    <row r="54930" spans="10:10" x14ac:dyDescent="0.3">
      <c r="J54930"/>
    </row>
    <row r="54931" spans="10:10" x14ac:dyDescent="0.3">
      <c r="J54931"/>
    </row>
    <row r="54932" spans="10:10" x14ac:dyDescent="0.3">
      <c r="J54932"/>
    </row>
    <row r="54933" spans="10:10" x14ac:dyDescent="0.3">
      <c r="J54933"/>
    </row>
    <row r="54934" spans="10:10" x14ac:dyDescent="0.3">
      <c r="J54934"/>
    </row>
    <row r="54935" spans="10:10" x14ac:dyDescent="0.3">
      <c r="J54935"/>
    </row>
    <row r="54936" spans="10:10" x14ac:dyDescent="0.3">
      <c r="J54936"/>
    </row>
    <row r="54937" spans="10:10" x14ac:dyDescent="0.3">
      <c r="J54937"/>
    </row>
    <row r="54938" spans="10:10" x14ac:dyDescent="0.3">
      <c r="J54938"/>
    </row>
    <row r="54939" spans="10:10" x14ac:dyDescent="0.3">
      <c r="J54939"/>
    </row>
    <row r="54940" spans="10:10" x14ac:dyDescent="0.3">
      <c r="J54940"/>
    </row>
    <row r="54941" spans="10:10" x14ac:dyDescent="0.3">
      <c r="J54941"/>
    </row>
    <row r="54942" spans="10:10" x14ac:dyDescent="0.3">
      <c r="J54942"/>
    </row>
    <row r="54943" spans="10:10" x14ac:dyDescent="0.3">
      <c r="J54943"/>
    </row>
    <row r="54944" spans="10:10" x14ac:dyDescent="0.3">
      <c r="J54944"/>
    </row>
    <row r="54945" spans="10:10" x14ac:dyDescent="0.3">
      <c r="J54945"/>
    </row>
    <row r="54946" spans="10:10" x14ac:dyDescent="0.3">
      <c r="J54946"/>
    </row>
    <row r="54947" spans="10:10" x14ac:dyDescent="0.3">
      <c r="J54947"/>
    </row>
    <row r="54948" spans="10:10" x14ac:dyDescent="0.3">
      <c r="J54948"/>
    </row>
    <row r="54949" spans="10:10" x14ac:dyDescent="0.3">
      <c r="J54949"/>
    </row>
    <row r="54950" spans="10:10" x14ac:dyDescent="0.3">
      <c r="J54950"/>
    </row>
    <row r="54951" spans="10:10" x14ac:dyDescent="0.3">
      <c r="J54951"/>
    </row>
    <row r="54952" spans="10:10" x14ac:dyDescent="0.3">
      <c r="J54952"/>
    </row>
    <row r="54953" spans="10:10" x14ac:dyDescent="0.3">
      <c r="J54953"/>
    </row>
    <row r="54954" spans="10:10" x14ac:dyDescent="0.3">
      <c r="J54954"/>
    </row>
    <row r="54955" spans="10:10" x14ac:dyDescent="0.3">
      <c r="J54955"/>
    </row>
    <row r="54956" spans="10:10" x14ac:dyDescent="0.3">
      <c r="J54956"/>
    </row>
    <row r="54957" spans="10:10" x14ac:dyDescent="0.3">
      <c r="J54957"/>
    </row>
    <row r="54958" spans="10:10" x14ac:dyDescent="0.3">
      <c r="J54958"/>
    </row>
    <row r="54959" spans="10:10" x14ac:dyDescent="0.3">
      <c r="J54959"/>
    </row>
    <row r="54960" spans="10:10" x14ac:dyDescent="0.3">
      <c r="J54960"/>
    </row>
    <row r="54961" spans="10:10" x14ac:dyDescent="0.3">
      <c r="J54961"/>
    </row>
    <row r="54962" spans="10:10" x14ac:dyDescent="0.3">
      <c r="J54962"/>
    </row>
    <row r="54963" spans="10:10" x14ac:dyDescent="0.3">
      <c r="J54963"/>
    </row>
    <row r="54964" spans="10:10" x14ac:dyDescent="0.3">
      <c r="J54964"/>
    </row>
    <row r="54965" spans="10:10" x14ac:dyDescent="0.3">
      <c r="J54965"/>
    </row>
    <row r="54966" spans="10:10" x14ac:dyDescent="0.3">
      <c r="J54966"/>
    </row>
    <row r="54967" spans="10:10" x14ac:dyDescent="0.3">
      <c r="J54967"/>
    </row>
    <row r="54968" spans="10:10" x14ac:dyDescent="0.3">
      <c r="J54968"/>
    </row>
    <row r="54969" spans="10:10" x14ac:dyDescent="0.3">
      <c r="J54969"/>
    </row>
    <row r="54970" spans="10:10" x14ac:dyDescent="0.3">
      <c r="J54970"/>
    </row>
    <row r="54971" spans="10:10" x14ac:dyDescent="0.3">
      <c r="J54971"/>
    </row>
    <row r="54972" spans="10:10" x14ac:dyDescent="0.3">
      <c r="J54972"/>
    </row>
    <row r="54973" spans="10:10" x14ac:dyDescent="0.3">
      <c r="J54973"/>
    </row>
    <row r="54974" spans="10:10" x14ac:dyDescent="0.3">
      <c r="J54974"/>
    </row>
    <row r="54975" spans="10:10" x14ac:dyDescent="0.3">
      <c r="J54975"/>
    </row>
    <row r="54976" spans="10:10" x14ac:dyDescent="0.3">
      <c r="J54976"/>
    </row>
    <row r="54977" spans="10:10" x14ac:dyDescent="0.3">
      <c r="J54977"/>
    </row>
    <row r="54978" spans="10:10" x14ac:dyDescent="0.3">
      <c r="J54978"/>
    </row>
    <row r="54979" spans="10:10" x14ac:dyDescent="0.3">
      <c r="J54979"/>
    </row>
    <row r="54980" spans="10:10" x14ac:dyDescent="0.3">
      <c r="J54980"/>
    </row>
    <row r="54981" spans="10:10" x14ac:dyDescent="0.3">
      <c r="J54981"/>
    </row>
    <row r="54982" spans="10:10" x14ac:dyDescent="0.3">
      <c r="J54982"/>
    </row>
    <row r="54983" spans="10:10" x14ac:dyDescent="0.3">
      <c r="J54983"/>
    </row>
    <row r="54984" spans="10:10" x14ac:dyDescent="0.3">
      <c r="J54984"/>
    </row>
    <row r="54985" spans="10:10" x14ac:dyDescent="0.3">
      <c r="J54985"/>
    </row>
    <row r="54986" spans="10:10" x14ac:dyDescent="0.3">
      <c r="J54986"/>
    </row>
    <row r="54987" spans="10:10" x14ac:dyDescent="0.3">
      <c r="J54987"/>
    </row>
    <row r="54988" spans="10:10" x14ac:dyDescent="0.3">
      <c r="J54988"/>
    </row>
    <row r="54989" spans="10:10" x14ac:dyDescent="0.3">
      <c r="J54989"/>
    </row>
    <row r="54990" spans="10:10" x14ac:dyDescent="0.3">
      <c r="J54990"/>
    </row>
    <row r="54991" spans="10:10" x14ac:dyDescent="0.3">
      <c r="J54991"/>
    </row>
    <row r="54992" spans="10:10" x14ac:dyDescent="0.3">
      <c r="J54992"/>
    </row>
    <row r="54993" spans="10:10" x14ac:dyDescent="0.3">
      <c r="J54993"/>
    </row>
    <row r="54994" spans="10:10" x14ac:dyDescent="0.3">
      <c r="J54994"/>
    </row>
    <row r="54995" spans="10:10" x14ac:dyDescent="0.3">
      <c r="J54995"/>
    </row>
    <row r="54996" spans="10:10" x14ac:dyDescent="0.3">
      <c r="J54996"/>
    </row>
    <row r="54997" spans="10:10" x14ac:dyDescent="0.3">
      <c r="J54997"/>
    </row>
    <row r="54998" spans="10:10" x14ac:dyDescent="0.3">
      <c r="J54998"/>
    </row>
    <row r="54999" spans="10:10" x14ac:dyDescent="0.3">
      <c r="J54999"/>
    </row>
    <row r="55000" spans="10:10" x14ac:dyDescent="0.3">
      <c r="J55000"/>
    </row>
    <row r="55001" spans="10:10" x14ac:dyDescent="0.3">
      <c r="J55001"/>
    </row>
    <row r="55002" spans="10:10" x14ac:dyDescent="0.3">
      <c r="J55002"/>
    </row>
    <row r="55003" spans="10:10" x14ac:dyDescent="0.3">
      <c r="J55003"/>
    </row>
    <row r="55004" spans="10:10" x14ac:dyDescent="0.3">
      <c r="J55004"/>
    </row>
    <row r="55005" spans="10:10" x14ac:dyDescent="0.3">
      <c r="J55005"/>
    </row>
    <row r="55006" spans="10:10" x14ac:dyDescent="0.3">
      <c r="J55006"/>
    </row>
    <row r="55007" spans="10:10" x14ac:dyDescent="0.3">
      <c r="J55007"/>
    </row>
    <row r="55008" spans="10:10" x14ac:dyDescent="0.3">
      <c r="J55008"/>
    </row>
    <row r="55009" spans="10:10" x14ac:dyDescent="0.3">
      <c r="J55009"/>
    </row>
    <row r="55010" spans="10:10" x14ac:dyDescent="0.3">
      <c r="J55010"/>
    </row>
    <row r="55011" spans="10:10" x14ac:dyDescent="0.3">
      <c r="J55011"/>
    </row>
    <row r="55012" spans="10:10" x14ac:dyDescent="0.3">
      <c r="J55012"/>
    </row>
    <row r="55013" spans="10:10" x14ac:dyDescent="0.3">
      <c r="J55013"/>
    </row>
    <row r="55014" spans="10:10" x14ac:dyDescent="0.3">
      <c r="J55014"/>
    </row>
    <row r="55015" spans="10:10" x14ac:dyDescent="0.3">
      <c r="J55015"/>
    </row>
    <row r="55016" spans="10:10" x14ac:dyDescent="0.3">
      <c r="J55016"/>
    </row>
    <row r="55017" spans="10:10" x14ac:dyDescent="0.3">
      <c r="J55017"/>
    </row>
    <row r="55018" spans="10:10" x14ac:dyDescent="0.3">
      <c r="J55018"/>
    </row>
    <row r="55019" spans="10:10" x14ac:dyDescent="0.3">
      <c r="J55019"/>
    </row>
    <row r="55020" spans="10:10" x14ac:dyDescent="0.3">
      <c r="J55020"/>
    </row>
    <row r="55021" spans="10:10" x14ac:dyDescent="0.3">
      <c r="J55021"/>
    </row>
    <row r="55022" spans="10:10" x14ac:dyDescent="0.3">
      <c r="J55022"/>
    </row>
    <row r="55023" spans="10:10" x14ac:dyDescent="0.3">
      <c r="J55023"/>
    </row>
    <row r="55024" spans="10:10" x14ac:dyDescent="0.3">
      <c r="J55024"/>
    </row>
    <row r="55025" spans="10:10" x14ac:dyDescent="0.3">
      <c r="J55025"/>
    </row>
    <row r="55026" spans="10:10" x14ac:dyDescent="0.3">
      <c r="J55026"/>
    </row>
    <row r="55027" spans="10:10" x14ac:dyDescent="0.3">
      <c r="J55027"/>
    </row>
    <row r="55028" spans="10:10" x14ac:dyDescent="0.3">
      <c r="J55028"/>
    </row>
    <row r="55029" spans="10:10" x14ac:dyDescent="0.3">
      <c r="J55029"/>
    </row>
    <row r="55030" spans="10:10" x14ac:dyDescent="0.3">
      <c r="J55030"/>
    </row>
    <row r="55031" spans="10:10" x14ac:dyDescent="0.3">
      <c r="J55031"/>
    </row>
    <row r="55032" spans="10:10" x14ac:dyDescent="0.3">
      <c r="J55032"/>
    </row>
    <row r="55033" spans="10:10" x14ac:dyDescent="0.3">
      <c r="J55033"/>
    </row>
    <row r="55034" spans="10:10" x14ac:dyDescent="0.3">
      <c r="J55034"/>
    </row>
    <row r="55035" spans="10:10" x14ac:dyDescent="0.3">
      <c r="J55035"/>
    </row>
    <row r="55036" spans="10:10" x14ac:dyDescent="0.3">
      <c r="J55036"/>
    </row>
    <row r="55037" spans="10:10" x14ac:dyDescent="0.3">
      <c r="J55037"/>
    </row>
    <row r="55038" spans="10:10" x14ac:dyDescent="0.3">
      <c r="J55038"/>
    </row>
    <row r="55039" spans="10:10" x14ac:dyDescent="0.3">
      <c r="J55039"/>
    </row>
    <row r="55040" spans="10:10" x14ac:dyDescent="0.3">
      <c r="J55040"/>
    </row>
    <row r="55041" spans="10:10" x14ac:dyDescent="0.3">
      <c r="J55041"/>
    </row>
    <row r="55042" spans="10:10" x14ac:dyDescent="0.3">
      <c r="J55042"/>
    </row>
    <row r="55043" spans="10:10" x14ac:dyDescent="0.3">
      <c r="J55043"/>
    </row>
    <row r="55044" spans="10:10" x14ac:dyDescent="0.3">
      <c r="J55044"/>
    </row>
    <row r="55045" spans="10:10" x14ac:dyDescent="0.3">
      <c r="J55045"/>
    </row>
    <row r="55046" spans="10:10" x14ac:dyDescent="0.3">
      <c r="J55046"/>
    </row>
    <row r="55047" spans="10:10" x14ac:dyDescent="0.3">
      <c r="J55047"/>
    </row>
    <row r="55048" spans="10:10" x14ac:dyDescent="0.3">
      <c r="J55048"/>
    </row>
    <row r="55049" spans="10:10" x14ac:dyDescent="0.3">
      <c r="J55049"/>
    </row>
    <row r="55050" spans="10:10" x14ac:dyDescent="0.3">
      <c r="J55050"/>
    </row>
    <row r="55051" spans="10:10" x14ac:dyDescent="0.3">
      <c r="J55051"/>
    </row>
    <row r="55052" spans="10:10" x14ac:dyDescent="0.3">
      <c r="J55052"/>
    </row>
    <row r="55053" spans="10:10" x14ac:dyDescent="0.3">
      <c r="J55053"/>
    </row>
    <row r="55054" spans="10:10" x14ac:dyDescent="0.3">
      <c r="J55054"/>
    </row>
    <row r="55055" spans="10:10" x14ac:dyDescent="0.3">
      <c r="J55055"/>
    </row>
    <row r="55056" spans="10:10" x14ac:dyDescent="0.3">
      <c r="J55056"/>
    </row>
    <row r="55057" spans="10:10" x14ac:dyDescent="0.3">
      <c r="J55057"/>
    </row>
    <row r="55058" spans="10:10" x14ac:dyDescent="0.3">
      <c r="J55058"/>
    </row>
    <row r="55059" spans="10:10" x14ac:dyDescent="0.3">
      <c r="J55059"/>
    </row>
    <row r="55060" spans="10:10" x14ac:dyDescent="0.3">
      <c r="J55060"/>
    </row>
    <row r="55061" spans="10:10" x14ac:dyDescent="0.3">
      <c r="J55061"/>
    </row>
    <row r="55062" spans="10:10" x14ac:dyDescent="0.3">
      <c r="J55062"/>
    </row>
    <row r="55063" spans="10:10" x14ac:dyDescent="0.3">
      <c r="J55063"/>
    </row>
    <row r="55064" spans="10:10" x14ac:dyDescent="0.3">
      <c r="J55064"/>
    </row>
    <row r="55065" spans="10:10" x14ac:dyDescent="0.3">
      <c r="J55065"/>
    </row>
    <row r="55066" spans="10:10" x14ac:dyDescent="0.3">
      <c r="J55066"/>
    </row>
    <row r="55067" spans="10:10" x14ac:dyDescent="0.3">
      <c r="J55067"/>
    </row>
    <row r="55068" spans="10:10" x14ac:dyDescent="0.3">
      <c r="J55068"/>
    </row>
    <row r="55069" spans="10:10" x14ac:dyDescent="0.3">
      <c r="J55069"/>
    </row>
    <row r="55070" spans="10:10" x14ac:dyDescent="0.3">
      <c r="J55070"/>
    </row>
    <row r="55071" spans="10:10" x14ac:dyDescent="0.3">
      <c r="J55071"/>
    </row>
    <row r="55072" spans="10:10" x14ac:dyDescent="0.3">
      <c r="J55072"/>
    </row>
    <row r="55073" spans="10:10" x14ac:dyDescent="0.3">
      <c r="J55073"/>
    </row>
    <row r="55074" spans="10:10" x14ac:dyDescent="0.3">
      <c r="J55074"/>
    </row>
    <row r="55075" spans="10:10" x14ac:dyDescent="0.3">
      <c r="J55075"/>
    </row>
    <row r="55076" spans="10:10" x14ac:dyDescent="0.3">
      <c r="J55076"/>
    </row>
    <row r="55077" spans="10:10" x14ac:dyDescent="0.3">
      <c r="J55077"/>
    </row>
    <row r="55078" spans="10:10" x14ac:dyDescent="0.3">
      <c r="J55078"/>
    </row>
    <row r="55079" spans="10:10" x14ac:dyDescent="0.3">
      <c r="J55079"/>
    </row>
    <row r="55080" spans="10:10" x14ac:dyDescent="0.3">
      <c r="J55080"/>
    </row>
    <row r="55081" spans="10:10" x14ac:dyDescent="0.3">
      <c r="J55081"/>
    </row>
    <row r="55082" spans="10:10" x14ac:dyDescent="0.3">
      <c r="J55082"/>
    </row>
    <row r="55083" spans="10:10" x14ac:dyDescent="0.3">
      <c r="J55083"/>
    </row>
    <row r="55084" spans="10:10" x14ac:dyDescent="0.3">
      <c r="J55084"/>
    </row>
    <row r="55085" spans="10:10" x14ac:dyDescent="0.3">
      <c r="J55085"/>
    </row>
    <row r="55086" spans="10:10" x14ac:dyDescent="0.3">
      <c r="J55086"/>
    </row>
    <row r="55087" spans="10:10" x14ac:dyDescent="0.3">
      <c r="J55087"/>
    </row>
    <row r="55088" spans="10:10" x14ac:dyDescent="0.3">
      <c r="J55088"/>
    </row>
    <row r="55089" spans="10:10" x14ac:dyDescent="0.3">
      <c r="J55089"/>
    </row>
    <row r="55090" spans="10:10" x14ac:dyDescent="0.3">
      <c r="J55090"/>
    </row>
    <row r="55091" spans="10:10" x14ac:dyDescent="0.3">
      <c r="J55091"/>
    </row>
    <row r="55092" spans="10:10" x14ac:dyDescent="0.3">
      <c r="J55092"/>
    </row>
    <row r="55093" spans="10:10" x14ac:dyDescent="0.3">
      <c r="J55093"/>
    </row>
    <row r="55094" spans="10:10" x14ac:dyDescent="0.3">
      <c r="J55094"/>
    </row>
    <row r="55095" spans="10:10" x14ac:dyDescent="0.3">
      <c r="J55095"/>
    </row>
    <row r="55096" spans="10:10" x14ac:dyDescent="0.3">
      <c r="J55096"/>
    </row>
    <row r="55097" spans="10:10" x14ac:dyDescent="0.3">
      <c r="J55097"/>
    </row>
    <row r="55098" spans="10:10" x14ac:dyDescent="0.3">
      <c r="J55098"/>
    </row>
    <row r="55099" spans="10:10" x14ac:dyDescent="0.3">
      <c r="J55099"/>
    </row>
    <row r="55100" spans="10:10" x14ac:dyDescent="0.3">
      <c r="J55100"/>
    </row>
    <row r="55101" spans="10:10" x14ac:dyDescent="0.3">
      <c r="J55101"/>
    </row>
    <row r="55102" spans="10:10" x14ac:dyDescent="0.3">
      <c r="J55102"/>
    </row>
    <row r="55103" spans="10:10" x14ac:dyDescent="0.3">
      <c r="J55103"/>
    </row>
    <row r="55104" spans="10:10" x14ac:dyDescent="0.3">
      <c r="J55104"/>
    </row>
    <row r="55105" spans="10:10" x14ac:dyDescent="0.3">
      <c r="J55105"/>
    </row>
    <row r="55106" spans="10:10" x14ac:dyDescent="0.3">
      <c r="J55106"/>
    </row>
    <row r="55107" spans="10:10" x14ac:dyDescent="0.3">
      <c r="J55107"/>
    </row>
    <row r="55108" spans="10:10" x14ac:dyDescent="0.3">
      <c r="J55108"/>
    </row>
    <row r="55109" spans="10:10" x14ac:dyDescent="0.3">
      <c r="J55109"/>
    </row>
    <row r="55110" spans="10:10" x14ac:dyDescent="0.3">
      <c r="J55110"/>
    </row>
    <row r="55111" spans="10:10" x14ac:dyDescent="0.3">
      <c r="J55111"/>
    </row>
    <row r="55112" spans="10:10" x14ac:dyDescent="0.3">
      <c r="J55112"/>
    </row>
    <row r="55113" spans="10:10" x14ac:dyDescent="0.3">
      <c r="J55113"/>
    </row>
    <row r="55114" spans="10:10" x14ac:dyDescent="0.3">
      <c r="J55114"/>
    </row>
    <row r="55115" spans="10:10" x14ac:dyDescent="0.3">
      <c r="J55115"/>
    </row>
    <row r="55116" spans="10:10" x14ac:dyDescent="0.3">
      <c r="J55116"/>
    </row>
    <row r="55117" spans="10:10" x14ac:dyDescent="0.3">
      <c r="J55117"/>
    </row>
    <row r="55118" spans="10:10" x14ac:dyDescent="0.3">
      <c r="J55118"/>
    </row>
    <row r="55119" spans="10:10" x14ac:dyDescent="0.3">
      <c r="J55119"/>
    </row>
    <row r="55120" spans="10:10" x14ac:dyDescent="0.3">
      <c r="J55120"/>
    </row>
    <row r="55121" spans="10:10" x14ac:dyDescent="0.3">
      <c r="J55121"/>
    </row>
    <row r="55122" spans="10:10" x14ac:dyDescent="0.3">
      <c r="J55122"/>
    </row>
    <row r="55123" spans="10:10" x14ac:dyDescent="0.3">
      <c r="J55123"/>
    </row>
    <row r="55124" spans="10:10" x14ac:dyDescent="0.3">
      <c r="J55124"/>
    </row>
    <row r="55125" spans="10:10" x14ac:dyDescent="0.3">
      <c r="J55125"/>
    </row>
    <row r="55126" spans="10:10" x14ac:dyDescent="0.3">
      <c r="J55126"/>
    </row>
    <row r="55127" spans="10:10" x14ac:dyDescent="0.3">
      <c r="J55127"/>
    </row>
    <row r="55128" spans="10:10" x14ac:dyDescent="0.3">
      <c r="J55128"/>
    </row>
    <row r="55129" spans="10:10" x14ac:dyDescent="0.3">
      <c r="J55129"/>
    </row>
    <row r="55130" spans="10:10" x14ac:dyDescent="0.3">
      <c r="J55130"/>
    </row>
    <row r="55131" spans="10:10" x14ac:dyDescent="0.3">
      <c r="J55131"/>
    </row>
    <row r="55132" spans="10:10" x14ac:dyDescent="0.3">
      <c r="J55132"/>
    </row>
    <row r="55133" spans="10:10" x14ac:dyDescent="0.3">
      <c r="J55133"/>
    </row>
    <row r="55134" spans="10:10" x14ac:dyDescent="0.3">
      <c r="J55134"/>
    </row>
    <row r="55135" spans="10:10" x14ac:dyDescent="0.3">
      <c r="J55135"/>
    </row>
    <row r="55136" spans="10:10" x14ac:dyDescent="0.3">
      <c r="J55136"/>
    </row>
    <row r="55137" spans="10:10" x14ac:dyDescent="0.3">
      <c r="J55137"/>
    </row>
    <row r="55138" spans="10:10" x14ac:dyDescent="0.3">
      <c r="J55138"/>
    </row>
    <row r="55139" spans="10:10" x14ac:dyDescent="0.3">
      <c r="J55139"/>
    </row>
    <row r="55140" spans="10:10" x14ac:dyDescent="0.3">
      <c r="J55140"/>
    </row>
    <row r="55141" spans="10:10" x14ac:dyDescent="0.3">
      <c r="J55141"/>
    </row>
    <row r="55142" spans="10:10" x14ac:dyDescent="0.3">
      <c r="J55142"/>
    </row>
    <row r="55143" spans="10:10" x14ac:dyDescent="0.3">
      <c r="J55143"/>
    </row>
    <row r="55144" spans="10:10" x14ac:dyDescent="0.3">
      <c r="J55144"/>
    </row>
    <row r="55145" spans="10:10" x14ac:dyDescent="0.3">
      <c r="J55145"/>
    </row>
    <row r="55146" spans="10:10" x14ac:dyDescent="0.3">
      <c r="J55146"/>
    </row>
    <row r="55147" spans="10:10" x14ac:dyDescent="0.3">
      <c r="J55147"/>
    </row>
    <row r="55148" spans="10:10" x14ac:dyDescent="0.3">
      <c r="J55148"/>
    </row>
    <row r="55149" spans="10:10" x14ac:dyDescent="0.3">
      <c r="J55149"/>
    </row>
    <row r="55150" spans="10:10" x14ac:dyDescent="0.3">
      <c r="J55150"/>
    </row>
    <row r="55151" spans="10:10" x14ac:dyDescent="0.3">
      <c r="J55151"/>
    </row>
    <row r="55152" spans="10:10" x14ac:dyDescent="0.3">
      <c r="J55152"/>
    </row>
    <row r="55153" spans="10:10" x14ac:dyDescent="0.3">
      <c r="J55153"/>
    </row>
    <row r="55154" spans="10:10" x14ac:dyDescent="0.3">
      <c r="J55154"/>
    </row>
    <row r="55155" spans="10:10" x14ac:dyDescent="0.3">
      <c r="J55155"/>
    </row>
    <row r="55156" spans="10:10" x14ac:dyDescent="0.3">
      <c r="J55156"/>
    </row>
    <row r="55157" spans="10:10" x14ac:dyDescent="0.3">
      <c r="J55157"/>
    </row>
    <row r="55158" spans="10:10" x14ac:dyDescent="0.3">
      <c r="J55158"/>
    </row>
    <row r="55159" spans="10:10" x14ac:dyDescent="0.3">
      <c r="J55159"/>
    </row>
    <row r="55160" spans="10:10" x14ac:dyDescent="0.3">
      <c r="J55160"/>
    </row>
    <row r="55161" spans="10:10" x14ac:dyDescent="0.3">
      <c r="J55161"/>
    </row>
    <row r="55162" spans="10:10" x14ac:dyDescent="0.3">
      <c r="J55162"/>
    </row>
    <row r="55163" spans="10:10" x14ac:dyDescent="0.3">
      <c r="J55163"/>
    </row>
    <row r="55164" spans="10:10" x14ac:dyDescent="0.3">
      <c r="J55164"/>
    </row>
    <row r="55165" spans="10:10" x14ac:dyDescent="0.3">
      <c r="J55165"/>
    </row>
    <row r="55166" spans="10:10" x14ac:dyDescent="0.3">
      <c r="J55166"/>
    </row>
    <row r="55167" spans="10:10" x14ac:dyDescent="0.3">
      <c r="J55167"/>
    </row>
    <row r="55168" spans="10:10" x14ac:dyDescent="0.3">
      <c r="J55168"/>
    </row>
    <row r="55169" spans="10:10" x14ac:dyDescent="0.3">
      <c r="J55169"/>
    </row>
    <row r="55170" spans="10:10" x14ac:dyDescent="0.3">
      <c r="J55170"/>
    </row>
    <row r="55171" spans="10:10" x14ac:dyDescent="0.3">
      <c r="J55171"/>
    </row>
    <row r="55172" spans="10:10" x14ac:dyDescent="0.3">
      <c r="J55172"/>
    </row>
    <row r="55173" spans="10:10" x14ac:dyDescent="0.3">
      <c r="J55173"/>
    </row>
    <row r="55174" spans="10:10" x14ac:dyDescent="0.3">
      <c r="J55174"/>
    </row>
    <row r="55175" spans="10:10" x14ac:dyDescent="0.3">
      <c r="J55175"/>
    </row>
    <row r="55176" spans="10:10" x14ac:dyDescent="0.3">
      <c r="J55176"/>
    </row>
    <row r="55177" spans="10:10" x14ac:dyDescent="0.3">
      <c r="J55177"/>
    </row>
    <row r="55178" spans="10:10" x14ac:dyDescent="0.3">
      <c r="J55178"/>
    </row>
    <row r="55179" spans="10:10" x14ac:dyDescent="0.3">
      <c r="J55179"/>
    </row>
    <row r="55180" spans="10:10" x14ac:dyDescent="0.3">
      <c r="J55180"/>
    </row>
    <row r="55181" spans="10:10" x14ac:dyDescent="0.3">
      <c r="J55181"/>
    </row>
    <row r="55182" spans="10:10" x14ac:dyDescent="0.3">
      <c r="J55182"/>
    </row>
    <row r="55183" spans="10:10" x14ac:dyDescent="0.3">
      <c r="J55183"/>
    </row>
    <row r="55184" spans="10:10" x14ac:dyDescent="0.3">
      <c r="J55184"/>
    </row>
    <row r="55185" spans="10:10" x14ac:dyDescent="0.3">
      <c r="J55185"/>
    </row>
    <row r="55186" spans="10:10" x14ac:dyDescent="0.3">
      <c r="J55186"/>
    </row>
    <row r="55187" spans="10:10" x14ac:dyDescent="0.3">
      <c r="J55187"/>
    </row>
    <row r="55188" spans="10:10" x14ac:dyDescent="0.3">
      <c r="J55188"/>
    </row>
    <row r="55189" spans="10:10" x14ac:dyDescent="0.3">
      <c r="J55189"/>
    </row>
    <row r="55190" spans="10:10" x14ac:dyDescent="0.3">
      <c r="J55190"/>
    </row>
    <row r="55191" spans="10:10" x14ac:dyDescent="0.3">
      <c r="J55191"/>
    </row>
    <row r="55192" spans="10:10" x14ac:dyDescent="0.3">
      <c r="J55192"/>
    </row>
    <row r="55193" spans="10:10" x14ac:dyDescent="0.3">
      <c r="J55193"/>
    </row>
    <row r="55194" spans="10:10" x14ac:dyDescent="0.3">
      <c r="J55194"/>
    </row>
    <row r="55195" spans="10:10" x14ac:dyDescent="0.3">
      <c r="J55195"/>
    </row>
    <row r="55196" spans="10:10" x14ac:dyDescent="0.3">
      <c r="J55196"/>
    </row>
    <row r="55197" spans="10:10" x14ac:dyDescent="0.3">
      <c r="J55197"/>
    </row>
    <row r="55198" spans="10:10" x14ac:dyDescent="0.3">
      <c r="J55198"/>
    </row>
    <row r="55199" spans="10:10" x14ac:dyDescent="0.3">
      <c r="J55199"/>
    </row>
    <row r="55200" spans="10:10" x14ac:dyDescent="0.3">
      <c r="J55200"/>
    </row>
    <row r="55201" spans="10:10" x14ac:dyDescent="0.3">
      <c r="J55201"/>
    </row>
    <row r="55202" spans="10:10" x14ac:dyDescent="0.3">
      <c r="J55202"/>
    </row>
    <row r="55203" spans="10:10" x14ac:dyDescent="0.3">
      <c r="J55203"/>
    </row>
    <row r="55204" spans="10:10" x14ac:dyDescent="0.3">
      <c r="J55204"/>
    </row>
    <row r="55205" spans="10:10" x14ac:dyDescent="0.3">
      <c r="J55205"/>
    </row>
    <row r="55206" spans="10:10" x14ac:dyDescent="0.3">
      <c r="J55206"/>
    </row>
    <row r="55207" spans="10:10" x14ac:dyDescent="0.3">
      <c r="J55207"/>
    </row>
    <row r="55208" spans="10:10" x14ac:dyDescent="0.3">
      <c r="J55208"/>
    </row>
    <row r="55209" spans="10:10" x14ac:dyDescent="0.3">
      <c r="J55209"/>
    </row>
    <row r="55210" spans="10:10" x14ac:dyDescent="0.3">
      <c r="J55210"/>
    </row>
    <row r="55211" spans="10:10" x14ac:dyDescent="0.3">
      <c r="J55211"/>
    </row>
    <row r="55212" spans="10:10" x14ac:dyDescent="0.3">
      <c r="J55212"/>
    </row>
    <row r="55213" spans="10:10" x14ac:dyDescent="0.3">
      <c r="J55213"/>
    </row>
    <row r="55214" spans="10:10" x14ac:dyDescent="0.3">
      <c r="J55214"/>
    </row>
    <row r="55215" spans="10:10" x14ac:dyDescent="0.3">
      <c r="J55215"/>
    </row>
    <row r="55216" spans="10:10" x14ac:dyDescent="0.3">
      <c r="J55216"/>
    </row>
    <row r="55217" spans="10:10" x14ac:dyDescent="0.3">
      <c r="J55217"/>
    </row>
    <row r="55218" spans="10:10" x14ac:dyDescent="0.3">
      <c r="J55218"/>
    </row>
    <row r="55219" spans="10:10" x14ac:dyDescent="0.3">
      <c r="J55219"/>
    </row>
    <row r="55220" spans="10:10" x14ac:dyDescent="0.3">
      <c r="J55220"/>
    </row>
    <row r="55221" spans="10:10" x14ac:dyDescent="0.3">
      <c r="J55221"/>
    </row>
    <row r="55222" spans="10:10" x14ac:dyDescent="0.3">
      <c r="J55222"/>
    </row>
    <row r="55223" spans="10:10" x14ac:dyDescent="0.3">
      <c r="J55223"/>
    </row>
    <row r="55224" spans="10:10" x14ac:dyDescent="0.3">
      <c r="J55224"/>
    </row>
    <row r="55225" spans="10:10" x14ac:dyDescent="0.3">
      <c r="J55225"/>
    </row>
    <row r="55226" spans="10:10" x14ac:dyDescent="0.3">
      <c r="J55226"/>
    </row>
    <row r="55227" spans="10:10" x14ac:dyDescent="0.3">
      <c r="J55227"/>
    </row>
    <row r="55228" spans="10:10" x14ac:dyDescent="0.3">
      <c r="J55228"/>
    </row>
    <row r="55229" spans="10:10" x14ac:dyDescent="0.3">
      <c r="J55229"/>
    </row>
    <row r="55230" spans="10:10" x14ac:dyDescent="0.3">
      <c r="J55230"/>
    </row>
    <row r="55231" spans="10:10" x14ac:dyDescent="0.3">
      <c r="J55231"/>
    </row>
    <row r="55232" spans="10:10" x14ac:dyDescent="0.3">
      <c r="J55232"/>
    </row>
    <row r="55233" spans="10:10" x14ac:dyDescent="0.3">
      <c r="J55233"/>
    </row>
    <row r="55234" spans="10:10" x14ac:dyDescent="0.3">
      <c r="J55234"/>
    </row>
    <row r="55235" spans="10:10" x14ac:dyDescent="0.3">
      <c r="J55235"/>
    </row>
    <row r="55236" spans="10:10" x14ac:dyDescent="0.3">
      <c r="J55236"/>
    </row>
    <row r="55237" spans="10:10" x14ac:dyDescent="0.3">
      <c r="J55237"/>
    </row>
    <row r="55238" spans="10:10" x14ac:dyDescent="0.3">
      <c r="J55238"/>
    </row>
    <row r="55239" spans="10:10" x14ac:dyDescent="0.3">
      <c r="J55239"/>
    </row>
    <row r="55240" spans="10:10" x14ac:dyDescent="0.3">
      <c r="J55240"/>
    </row>
    <row r="55241" spans="10:10" x14ac:dyDescent="0.3">
      <c r="J55241"/>
    </row>
    <row r="55242" spans="10:10" x14ac:dyDescent="0.3">
      <c r="J55242"/>
    </row>
    <row r="55243" spans="10:10" x14ac:dyDescent="0.3">
      <c r="J55243"/>
    </row>
    <row r="55244" spans="10:10" x14ac:dyDescent="0.3">
      <c r="J55244"/>
    </row>
    <row r="55245" spans="10:10" x14ac:dyDescent="0.3">
      <c r="J55245"/>
    </row>
    <row r="55246" spans="10:10" x14ac:dyDescent="0.3">
      <c r="J55246"/>
    </row>
    <row r="55247" spans="10:10" x14ac:dyDescent="0.3">
      <c r="J55247"/>
    </row>
    <row r="55248" spans="10:10" x14ac:dyDescent="0.3">
      <c r="J55248"/>
    </row>
    <row r="55249" spans="10:10" x14ac:dyDescent="0.3">
      <c r="J55249"/>
    </row>
    <row r="55250" spans="10:10" x14ac:dyDescent="0.3">
      <c r="J55250"/>
    </row>
    <row r="55251" spans="10:10" x14ac:dyDescent="0.3">
      <c r="J55251"/>
    </row>
    <row r="55252" spans="10:10" x14ac:dyDescent="0.3">
      <c r="J55252"/>
    </row>
    <row r="55253" spans="10:10" x14ac:dyDescent="0.3">
      <c r="J55253"/>
    </row>
    <row r="55254" spans="10:10" x14ac:dyDescent="0.3">
      <c r="J55254"/>
    </row>
    <row r="55255" spans="10:10" x14ac:dyDescent="0.3">
      <c r="J55255"/>
    </row>
    <row r="55256" spans="10:10" x14ac:dyDescent="0.3">
      <c r="J55256"/>
    </row>
    <row r="55257" spans="10:10" x14ac:dyDescent="0.3">
      <c r="J55257"/>
    </row>
    <row r="55258" spans="10:10" x14ac:dyDescent="0.3">
      <c r="J55258"/>
    </row>
    <row r="55259" spans="10:10" x14ac:dyDescent="0.3">
      <c r="J55259"/>
    </row>
    <row r="55260" spans="10:10" x14ac:dyDescent="0.3">
      <c r="J55260"/>
    </row>
    <row r="55261" spans="10:10" x14ac:dyDescent="0.3">
      <c r="J55261"/>
    </row>
    <row r="55262" spans="10:10" x14ac:dyDescent="0.3">
      <c r="J55262"/>
    </row>
    <row r="55263" spans="10:10" x14ac:dyDescent="0.3">
      <c r="J55263"/>
    </row>
    <row r="55264" spans="10:10" x14ac:dyDescent="0.3">
      <c r="J55264"/>
    </row>
    <row r="55265" spans="10:10" x14ac:dyDescent="0.3">
      <c r="J55265"/>
    </row>
    <row r="55266" spans="10:10" x14ac:dyDescent="0.3">
      <c r="J55266"/>
    </row>
    <row r="55267" spans="10:10" x14ac:dyDescent="0.3">
      <c r="J55267"/>
    </row>
    <row r="55268" spans="10:10" x14ac:dyDescent="0.3">
      <c r="J55268"/>
    </row>
    <row r="55269" spans="10:10" x14ac:dyDescent="0.3">
      <c r="J55269"/>
    </row>
    <row r="55270" spans="10:10" x14ac:dyDescent="0.3">
      <c r="J55270"/>
    </row>
    <row r="55271" spans="10:10" x14ac:dyDescent="0.3">
      <c r="J55271"/>
    </row>
    <row r="55272" spans="10:10" x14ac:dyDescent="0.3">
      <c r="J55272"/>
    </row>
    <row r="55273" spans="10:10" x14ac:dyDescent="0.3">
      <c r="J55273"/>
    </row>
    <row r="55274" spans="10:10" x14ac:dyDescent="0.3">
      <c r="J55274"/>
    </row>
    <row r="55275" spans="10:10" x14ac:dyDescent="0.3">
      <c r="J55275"/>
    </row>
    <row r="55276" spans="10:10" x14ac:dyDescent="0.3">
      <c r="J55276"/>
    </row>
    <row r="55277" spans="10:10" x14ac:dyDescent="0.3">
      <c r="J55277"/>
    </row>
    <row r="55278" spans="10:10" x14ac:dyDescent="0.3">
      <c r="J55278"/>
    </row>
    <row r="55279" spans="10:10" x14ac:dyDescent="0.3">
      <c r="J55279"/>
    </row>
    <row r="55280" spans="10:10" x14ac:dyDescent="0.3">
      <c r="J55280"/>
    </row>
    <row r="55281" spans="10:10" x14ac:dyDescent="0.3">
      <c r="J55281"/>
    </row>
    <row r="55282" spans="10:10" x14ac:dyDescent="0.3">
      <c r="J55282"/>
    </row>
    <row r="55283" spans="10:10" x14ac:dyDescent="0.3">
      <c r="J55283"/>
    </row>
    <row r="55284" spans="10:10" x14ac:dyDescent="0.3">
      <c r="J55284"/>
    </row>
    <row r="55285" spans="10:10" x14ac:dyDescent="0.3">
      <c r="J55285"/>
    </row>
    <row r="55286" spans="10:10" x14ac:dyDescent="0.3">
      <c r="J55286"/>
    </row>
    <row r="55287" spans="10:10" x14ac:dyDescent="0.3">
      <c r="J55287"/>
    </row>
    <row r="55288" spans="10:10" x14ac:dyDescent="0.3">
      <c r="J55288"/>
    </row>
    <row r="55289" spans="10:10" x14ac:dyDescent="0.3">
      <c r="J55289"/>
    </row>
    <row r="55290" spans="10:10" x14ac:dyDescent="0.3">
      <c r="J55290"/>
    </row>
    <row r="55291" spans="10:10" x14ac:dyDescent="0.3">
      <c r="J55291"/>
    </row>
    <row r="55292" spans="10:10" x14ac:dyDescent="0.3">
      <c r="J55292"/>
    </row>
    <row r="55293" spans="10:10" x14ac:dyDescent="0.3">
      <c r="J55293"/>
    </row>
    <row r="55294" spans="10:10" x14ac:dyDescent="0.3">
      <c r="J55294"/>
    </row>
    <row r="55295" spans="10:10" x14ac:dyDescent="0.3">
      <c r="J55295"/>
    </row>
    <row r="55296" spans="10:10" x14ac:dyDescent="0.3">
      <c r="J55296"/>
    </row>
    <row r="55297" spans="10:10" x14ac:dyDescent="0.3">
      <c r="J55297"/>
    </row>
    <row r="55298" spans="10:10" x14ac:dyDescent="0.3">
      <c r="J55298"/>
    </row>
    <row r="55299" spans="10:10" x14ac:dyDescent="0.3">
      <c r="J55299"/>
    </row>
    <row r="55300" spans="10:10" x14ac:dyDescent="0.3">
      <c r="J55300"/>
    </row>
    <row r="55301" spans="10:10" x14ac:dyDescent="0.3">
      <c r="J55301"/>
    </row>
    <row r="55302" spans="10:10" x14ac:dyDescent="0.3">
      <c r="J55302"/>
    </row>
    <row r="55303" spans="10:10" x14ac:dyDescent="0.3">
      <c r="J55303"/>
    </row>
    <row r="55304" spans="10:10" x14ac:dyDescent="0.3">
      <c r="J55304"/>
    </row>
    <row r="55305" spans="10:10" x14ac:dyDescent="0.3">
      <c r="J55305"/>
    </row>
    <row r="55306" spans="10:10" x14ac:dyDescent="0.3">
      <c r="J55306"/>
    </row>
    <row r="55307" spans="10:10" x14ac:dyDescent="0.3">
      <c r="J55307"/>
    </row>
    <row r="55308" spans="10:10" x14ac:dyDescent="0.3">
      <c r="J55308"/>
    </row>
    <row r="55309" spans="10:10" x14ac:dyDescent="0.3">
      <c r="J55309"/>
    </row>
    <row r="55310" spans="10:10" x14ac:dyDescent="0.3">
      <c r="J55310"/>
    </row>
    <row r="55311" spans="10:10" x14ac:dyDescent="0.3">
      <c r="J55311"/>
    </row>
    <row r="55312" spans="10:10" x14ac:dyDescent="0.3">
      <c r="J55312"/>
    </row>
    <row r="55313" spans="10:10" x14ac:dyDescent="0.3">
      <c r="J55313"/>
    </row>
    <row r="55314" spans="10:10" x14ac:dyDescent="0.3">
      <c r="J55314"/>
    </row>
    <row r="55315" spans="10:10" x14ac:dyDescent="0.3">
      <c r="J55315"/>
    </row>
    <row r="55316" spans="10:10" x14ac:dyDescent="0.3">
      <c r="J55316"/>
    </row>
    <row r="55317" spans="10:10" x14ac:dyDescent="0.3">
      <c r="J55317"/>
    </row>
    <row r="55318" spans="10:10" x14ac:dyDescent="0.3">
      <c r="J55318"/>
    </row>
    <row r="55319" spans="10:10" x14ac:dyDescent="0.3">
      <c r="J55319"/>
    </row>
    <row r="55320" spans="10:10" x14ac:dyDescent="0.3">
      <c r="J55320"/>
    </row>
    <row r="55321" spans="10:10" x14ac:dyDescent="0.3">
      <c r="J55321"/>
    </row>
    <row r="55322" spans="10:10" x14ac:dyDescent="0.3">
      <c r="J55322"/>
    </row>
    <row r="55323" spans="10:10" x14ac:dyDescent="0.3">
      <c r="J55323"/>
    </row>
    <row r="55324" spans="10:10" x14ac:dyDescent="0.3">
      <c r="J55324"/>
    </row>
    <row r="55325" spans="10:10" x14ac:dyDescent="0.3">
      <c r="J55325"/>
    </row>
    <row r="55326" spans="10:10" x14ac:dyDescent="0.3">
      <c r="J55326"/>
    </row>
    <row r="55327" spans="10:10" x14ac:dyDescent="0.3">
      <c r="J55327"/>
    </row>
    <row r="55328" spans="10:10" x14ac:dyDescent="0.3">
      <c r="J55328"/>
    </row>
    <row r="55329" spans="10:10" x14ac:dyDescent="0.3">
      <c r="J55329"/>
    </row>
    <row r="55330" spans="10:10" x14ac:dyDescent="0.3">
      <c r="J55330"/>
    </row>
    <row r="55331" spans="10:10" x14ac:dyDescent="0.3">
      <c r="J55331"/>
    </row>
    <row r="55332" spans="10:10" x14ac:dyDescent="0.3">
      <c r="J55332"/>
    </row>
    <row r="55333" spans="10:10" x14ac:dyDescent="0.3">
      <c r="J55333"/>
    </row>
    <row r="55334" spans="10:10" x14ac:dyDescent="0.3">
      <c r="J55334"/>
    </row>
    <row r="55335" spans="10:10" x14ac:dyDescent="0.3">
      <c r="J55335"/>
    </row>
    <row r="55336" spans="10:10" x14ac:dyDescent="0.3">
      <c r="J55336"/>
    </row>
    <row r="55337" spans="10:10" x14ac:dyDescent="0.3">
      <c r="J55337"/>
    </row>
    <row r="55338" spans="10:10" x14ac:dyDescent="0.3">
      <c r="J55338"/>
    </row>
    <row r="55339" spans="10:10" x14ac:dyDescent="0.3">
      <c r="J55339"/>
    </row>
    <row r="55340" spans="10:10" x14ac:dyDescent="0.3">
      <c r="J55340"/>
    </row>
    <row r="55341" spans="10:10" x14ac:dyDescent="0.3">
      <c r="J55341"/>
    </row>
    <row r="55342" spans="10:10" x14ac:dyDescent="0.3">
      <c r="J55342"/>
    </row>
    <row r="55343" spans="10:10" x14ac:dyDescent="0.3">
      <c r="J55343"/>
    </row>
    <row r="55344" spans="10:10" x14ac:dyDescent="0.3">
      <c r="J55344"/>
    </row>
    <row r="55345" spans="10:10" x14ac:dyDescent="0.3">
      <c r="J55345"/>
    </row>
    <row r="55346" spans="10:10" x14ac:dyDescent="0.3">
      <c r="J55346"/>
    </row>
    <row r="55347" spans="10:10" x14ac:dyDescent="0.3">
      <c r="J55347"/>
    </row>
    <row r="55348" spans="10:10" x14ac:dyDescent="0.3">
      <c r="J55348"/>
    </row>
    <row r="55349" spans="10:10" x14ac:dyDescent="0.3">
      <c r="J55349"/>
    </row>
    <row r="55350" spans="10:10" x14ac:dyDescent="0.3">
      <c r="J55350"/>
    </row>
    <row r="55351" spans="10:10" x14ac:dyDescent="0.3">
      <c r="J55351"/>
    </row>
    <row r="55352" spans="10:10" x14ac:dyDescent="0.3">
      <c r="J55352"/>
    </row>
    <row r="55353" spans="10:10" x14ac:dyDescent="0.3">
      <c r="J55353"/>
    </row>
    <row r="55354" spans="10:10" x14ac:dyDescent="0.3">
      <c r="J55354"/>
    </row>
    <row r="55355" spans="10:10" x14ac:dyDescent="0.3">
      <c r="J55355"/>
    </row>
    <row r="55356" spans="10:10" x14ac:dyDescent="0.3">
      <c r="J55356"/>
    </row>
    <row r="55357" spans="10:10" x14ac:dyDescent="0.3">
      <c r="J55357"/>
    </row>
    <row r="55358" spans="10:10" x14ac:dyDescent="0.3">
      <c r="J55358"/>
    </row>
    <row r="55359" spans="10:10" x14ac:dyDescent="0.3">
      <c r="J55359"/>
    </row>
    <row r="55360" spans="10:10" x14ac:dyDescent="0.3">
      <c r="J55360"/>
    </row>
    <row r="55361" spans="10:10" x14ac:dyDescent="0.3">
      <c r="J55361"/>
    </row>
    <row r="55362" spans="10:10" x14ac:dyDescent="0.3">
      <c r="J55362"/>
    </row>
    <row r="55363" spans="10:10" x14ac:dyDescent="0.3">
      <c r="J55363"/>
    </row>
    <row r="55364" spans="10:10" x14ac:dyDescent="0.3">
      <c r="J55364"/>
    </row>
    <row r="55365" spans="10:10" x14ac:dyDescent="0.3">
      <c r="J55365"/>
    </row>
    <row r="55366" spans="10:10" x14ac:dyDescent="0.3">
      <c r="J55366"/>
    </row>
    <row r="55367" spans="10:10" x14ac:dyDescent="0.3">
      <c r="J55367"/>
    </row>
    <row r="55368" spans="10:10" x14ac:dyDescent="0.3">
      <c r="J55368"/>
    </row>
    <row r="55369" spans="10:10" x14ac:dyDescent="0.3">
      <c r="J55369"/>
    </row>
    <row r="55370" spans="10:10" x14ac:dyDescent="0.3">
      <c r="J55370"/>
    </row>
    <row r="55371" spans="10:10" x14ac:dyDescent="0.3">
      <c r="J55371"/>
    </row>
    <row r="55372" spans="10:10" x14ac:dyDescent="0.3">
      <c r="J55372"/>
    </row>
    <row r="55373" spans="10:10" x14ac:dyDescent="0.3">
      <c r="J55373"/>
    </row>
    <row r="55374" spans="10:10" x14ac:dyDescent="0.3">
      <c r="J55374"/>
    </row>
    <row r="55375" spans="10:10" x14ac:dyDescent="0.3">
      <c r="J55375"/>
    </row>
    <row r="55376" spans="10:10" x14ac:dyDescent="0.3">
      <c r="J55376"/>
    </row>
    <row r="55377" spans="10:10" x14ac:dyDescent="0.3">
      <c r="J55377"/>
    </row>
    <row r="55378" spans="10:10" x14ac:dyDescent="0.3">
      <c r="J55378"/>
    </row>
    <row r="55379" spans="10:10" x14ac:dyDescent="0.3">
      <c r="J55379"/>
    </row>
    <row r="55380" spans="10:10" x14ac:dyDescent="0.3">
      <c r="J55380"/>
    </row>
    <row r="55381" spans="10:10" x14ac:dyDescent="0.3">
      <c r="J55381"/>
    </row>
    <row r="55382" spans="10:10" x14ac:dyDescent="0.3">
      <c r="J55382"/>
    </row>
    <row r="55383" spans="10:10" x14ac:dyDescent="0.3">
      <c r="J55383"/>
    </row>
    <row r="55384" spans="10:10" x14ac:dyDescent="0.3">
      <c r="J55384"/>
    </row>
    <row r="55385" spans="10:10" x14ac:dyDescent="0.3">
      <c r="J55385"/>
    </row>
    <row r="55386" spans="10:10" x14ac:dyDescent="0.3">
      <c r="J55386"/>
    </row>
    <row r="55387" spans="10:10" x14ac:dyDescent="0.3">
      <c r="J55387"/>
    </row>
    <row r="55388" spans="10:10" x14ac:dyDescent="0.3">
      <c r="J55388"/>
    </row>
    <row r="55389" spans="10:10" x14ac:dyDescent="0.3">
      <c r="J55389"/>
    </row>
    <row r="55390" spans="10:10" x14ac:dyDescent="0.3">
      <c r="J55390"/>
    </row>
    <row r="55391" spans="10:10" x14ac:dyDescent="0.3">
      <c r="J55391"/>
    </row>
    <row r="55392" spans="10:10" x14ac:dyDescent="0.3">
      <c r="J55392"/>
    </row>
    <row r="55393" spans="10:10" x14ac:dyDescent="0.3">
      <c r="J55393"/>
    </row>
    <row r="55394" spans="10:10" x14ac:dyDescent="0.3">
      <c r="J55394"/>
    </row>
    <row r="55395" spans="10:10" x14ac:dyDescent="0.3">
      <c r="J55395"/>
    </row>
    <row r="55396" spans="10:10" x14ac:dyDescent="0.3">
      <c r="J55396"/>
    </row>
    <row r="55397" spans="10:10" x14ac:dyDescent="0.3">
      <c r="J55397"/>
    </row>
    <row r="55398" spans="10:10" x14ac:dyDescent="0.3">
      <c r="J55398"/>
    </row>
    <row r="55399" spans="10:10" x14ac:dyDescent="0.3">
      <c r="J55399"/>
    </row>
    <row r="55400" spans="10:10" x14ac:dyDescent="0.3">
      <c r="J55400"/>
    </row>
    <row r="55401" spans="10:10" x14ac:dyDescent="0.3">
      <c r="J55401"/>
    </row>
    <row r="55402" spans="10:10" x14ac:dyDescent="0.3">
      <c r="J55402"/>
    </row>
    <row r="55403" spans="10:10" x14ac:dyDescent="0.3">
      <c r="J55403"/>
    </row>
    <row r="55404" spans="10:10" x14ac:dyDescent="0.3">
      <c r="J55404"/>
    </row>
    <row r="55405" spans="10:10" x14ac:dyDescent="0.3">
      <c r="J55405"/>
    </row>
    <row r="55406" spans="10:10" x14ac:dyDescent="0.3">
      <c r="J55406"/>
    </row>
    <row r="55407" spans="10:10" x14ac:dyDescent="0.3">
      <c r="J55407"/>
    </row>
    <row r="55408" spans="10:10" x14ac:dyDescent="0.3">
      <c r="J55408"/>
    </row>
    <row r="55409" spans="10:10" x14ac:dyDescent="0.3">
      <c r="J55409"/>
    </row>
    <row r="55410" spans="10:10" x14ac:dyDescent="0.3">
      <c r="J55410"/>
    </row>
    <row r="55411" spans="10:10" x14ac:dyDescent="0.3">
      <c r="J55411"/>
    </row>
    <row r="55412" spans="10:10" x14ac:dyDescent="0.3">
      <c r="J55412"/>
    </row>
    <row r="55413" spans="10:10" x14ac:dyDescent="0.3">
      <c r="J55413"/>
    </row>
    <row r="55414" spans="10:10" x14ac:dyDescent="0.3">
      <c r="J55414"/>
    </row>
    <row r="55415" spans="10:10" x14ac:dyDescent="0.3">
      <c r="J55415"/>
    </row>
    <row r="55416" spans="10:10" x14ac:dyDescent="0.3">
      <c r="J55416"/>
    </row>
    <row r="55417" spans="10:10" x14ac:dyDescent="0.3">
      <c r="J55417"/>
    </row>
    <row r="55418" spans="10:10" x14ac:dyDescent="0.3">
      <c r="J55418"/>
    </row>
    <row r="55419" spans="10:10" x14ac:dyDescent="0.3">
      <c r="J55419"/>
    </row>
    <row r="55420" spans="10:10" x14ac:dyDescent="0.3">
      <c r="J55420"/>
    </row>
    <row r="55421" spans="10:10" x14ac:dyDescent="0.3">
      <c r="J55421"/>
    </row>
    <row r="55422" spans="10:10" x14ac:dyDescent="0.3">
      <c r="J55422"/>
    </row>
    <row r="55423" spans="10:10" x14ac:dyDescent="0.3">
      <c r="J55423"/>
    </row>
    <row r="55424" spans="10:10" x14ac:dyDescent="0.3">
      <c r="J55424"/>
    </row>
    <row r="55425" spans="10:10" x14ac:dyDescent="0.3">
      <c r="J55425"/>
    </row>
    <row r="55426" spans="10:10" x14ac:dyDescent="0.3">
      <c r="J55426"/>
    </row>
    <row r="55427" spans="10:10" x14ac:dyDescent="0.3">
      <c r="J55427"/>
    </row>
    <row r="55428" spans="10:10" x14ac:dyDescent="0.3">
      <c r="J55428"/>
    </row>
    <row r="55429" spans="10:10" x14ac:dyDescent="0.3">
      <c r="J55429"/>
    </row>
    <row r="55430" spans="10:10" x14ac:dyDescent="0.3">
      <c r="J55430"/>
    </row>
    <row r="55431" spans="10:10" x14ac:dyDescent="0.3">
      <c r="J55431"/>
    </row>
    <row r="55432" spans="10:10" x14ac:dyDescent="0.3">
      <c r="J55432"/>
    </row>
    <row r="55433" spans="10:10" x14ac:dyDescent="0.3">
      <c r="J55433"/>
    </row>
    <row r="55434" spans="10:10" x14ac:dyDescent="0.3">
      <c r="J55434"/>
    </row>
    <row r="55435" spans="10:10" x14ac:dyDescent="0.3">
      <c r="J55435"/>
    </row>
    <row r="55436" spans="10:10" x14ac:dyDescent="0.3">
      <c r="J55436"/>
    </row>
    <row r="55437" spans="10:10" x14ac:dyDescent="0.3">
      <c r="J55437"/>
    </row>
    <row r="55438" spans="10:10" x14ac:dyDescent="0.3">
      <c r="J55438"/>
    </row>
    <row r="55439" spans="10:10" x14ac:dyDescent="0.3">
      <c r="J55439"/>
    </row>
    <row r="55440" spans="10:10" x14ac:dyDescent="0.3">
      <c r="J55440"/>
    </row>
    <row r="55441" spans="10:10" x14ac:dyDescent="0.3">
      <c r="J55441"/>
    </row>
    <row r="55442" spans="10:10" x14ac:dyDescent="0.3">
      <c r="J55442"/>
    </row>
    <row r="55443" spans="10:10" x14ac:dyDescent="0.3">
      <c r="J55443"/>
    </row>
    <row r="55444" spans="10:10" x14ac:dyDescent="0.3">
      <c r="J55444"/>
    </row>
    <row r="55445" spans="10:10" x14ac:dyDescent="0.3">
      <c r="J55445"/>
    </row>
    <row r="55446" spans="10:10" x14ac:dyDescent="0.3">
      <c r="J55446"/>
    </row>
    <row r="55447" spans="10:10" x14ac:dyDescent="0.3">
      <c r="J55447"/>
    </row>
    <row r="55448" spans="10:10" x14ac:dyDescent="0.3">
      <c r="J55448"/>
    </row>
    <row r="55449" spans="10:10" x14ac:dyDescent="0.3">
      <c r="J55449"/>
    </row>
    <row r="55450" spans="10:10" x14ac:dyDescent="0.3">
      <c r="J55450"/>
    </row>
    <row r="55451" spans="10:10" x14ac:dyDescent="0.3">
      <c r="J55451"/>
    </row>
    <row r="55452" spans="10:10" x14ac:dyDescent="0.3">
      <c r="J55452"/>
    </row>
    <row r="55453" spans="10:10" x14ac:dyDescent="0.3">
      <c r="J55453"/>
    </row>
    <row r="55454" spans="10:10" x14ac:dyDescent="0.3">
      <c r="J55454"/>
    </row>
    <row r="55455" spans="10:10" x14ac:dyDescent="0.3">
      <c r="J55455"/>
    </row>
    <row r="55456" spans="10:10" x14ac:dyDescent="0.3">
      <c r="J55456"/>
    </row>
    <row r="55457" spans="10:10" x14ac:dyDescent="0.3">
      <c r="J55457"/>
    </row>
    <row r="55458" spans="10:10" x14ac:dyDescent="0.3">
      <c r="J55458"/>
    </row>
    <row r="55459" spans="10:10" x14ac:dyDescent="0.3">
      <c r="J55459"/>
    </row>
    <row r="55460" spans="10:10" x14ac:dyDescent="0.3">
      <c r="J55460"/>
    </row>
    <row r="55461" spans="10:10" x14ac:dyDescent="0.3">
      <c r="J55461"/>
    </row>
    <row r="55462" spans="10:10" x14ac:dyDescent="0.3">
      <c r="J55462"/>
    </row>
    <row r="55463" spans="10:10" x14ac:dyDescent="0.3">
      <c r="J55463"/>
    </row>
    <row r="55464" spans="10:10" x14ac:dyDescent="0.3">
      <c r="J55464"/>
    </row>
    <row r="55465" spans="10:10" x14ac:dyDescent="0.3">
      <c r="J55465"/>
    </row>
    <row r="55466" spans="10:10" x14ac:dyDescent="0.3">
      <c r="J55466"/>
    </row>
    <row r="55467" spans="10:10" x14ac:dyDescent="0.3">
      <c r="J55467"/>
    </row>
    <row r="55468" spans="10:10" x14ac:dyDescent="0.3">
      <c r="J55468"/>
    </row>
    <row r="55469" spans="10:10" x14ac:dyDescent="0.3">
      <c r="J55469"/>
    </row>
    <row r="55470" spans="10:10" x14ac:dyDescent="0.3">
      <c r="J55470"/>
    </row>
    <row r="55471" spans="10:10" x14ac:dyDescent="0.3">
      <c r="J55471"/>
    </row>
    <row r="55472" spans="10:10" x14ac:dyDescent="0.3">
      <c r="J55472"/>
    </row>
    <row r="55473" spans="10:10" x14ac:dyDescent="0.3">
      <c r="J55473"/>
    </row>
    <row r="55474" spans="10:10" x14ac:dyDescent="0.3">
      <c r="J55474"/>
    </row>
    <row r="55475" spans="10:10" x14ac:dyDescent="0.3">
      <c r="J55475"/>
    </row>
    <row r="55476" spans="10:10" x14ac:dyDescent="0.3">
      <c r="J55476"/>
    </row>
    <row r="55477" spans="10:10" x14ac:dyDescent="0.3">
      <c r="J55477"/>
    </row>
    <row r="55478" spans="10:10" x14ac:dyDescent="0.3">
      <c r="J55478"/>
    </row>
    <row r="55479" spans="10:10" x14ac:dyDescent="0.3">
      <c r="J55479"/>
    </row>
    <row r="55480" spans="10:10" x14ac:dyDescent="0.3">
      <c r="J55480"/>
    </row>
    <row r="55481" spans="10:10" x14ac:dyDescent="0.3">
      <c r="J55481"/>
    </row>
    <row r="55482" spans="10:10" x14ac:dyDescent="0.3">
      <c r="J55482"/>
    </row>
    <row r="55483" spans="10:10" x14ac:dyDescent="0.3">
      <c r="J55483"/>
    </row>
    <row r="55484" spans="10:10" x14ac:dyDescent="0.3">
      <c r="J55484"/>
    </row>
    <row r="55485" spans="10:10" x14ac:dyDescent="0.3">
      <c r="J55485"/>
    </row>
    <row r="55486" spans="10:10" x14ac:dyDescent="0.3">
      <c r="J55486"/>
    </row>
    <row r="55487" spans="10:10" x14ac:dyDescent="0.3">
      <c r="J55487"/>
    </row>
    <row r="55488" spans="10:10" x14ac:dyDescent="0.3">
      <c r="J55488"/>
    </row>
    <row r="55489" spans="10:10" x14ac:dyDescent="0.3">
      <c r="J55489"/>
    </row>
    <row r="55490" spans="10:10" x14ac:dyDescent="0.3">
      <c r="J55490"/>
    </row>
    <row r="55491" spans="10:10" x14ac:dyDescent="0.3">
      <c r="J55491"/>
    </row>
    <row r="55492" spans="10:10" x14ac:dyDescent="0.3">
      <c r="J55492"/>
    </row>
    <row r="55493" spans="10:10" x14ac:dyDescent="0.3">
      <c r="J55493"/>
    </row>
    <row r="55494" spans="10:10" x14ac:dyDescent="0.3">
      <c r="J55494"/>
    </row>
    <row r="55495" spans="10:10" x14ac:dyDescent="0.3">
      <c r="J55495"/>
    </row>
    <row r="55496" spans="10:10" x14ac:dyDescent="0.3">
      <c r="J55496"/>
    </row>
    <row r="55497" spans="10:10" x14ac:dyDescent="0.3">
      <c r="J55497"/>
    </row>
    <row r="55498" spans="10:10" x14ac:dyDescent="0.3">
      <c r="J55498"/>
    </row>
    <row r="55499" spans="10:10" x14ac:dyDescent="0.3">
      <c r="J55499"/>
    </row>
    <row r="55500" spans="10:10" x14ac:dyDescent="0.3">
      <c r="J55500"/>
    </row>
    <row r="55501" spans="10:10" x14ac:dyDescent="0.3">
      <c r="J55501"/>
    </row>
    <row r="55502" spans="10:10" x14ac:dyDescent="0.3">
      <c r="J55502"/>
    </row>
    <row r="55503" spans="10:10" x14ac:dyDescent="0.3">
      <c r="J55503"/>
    </row>
    <row r="55504" spans="10:10" x14ac:dyDescent="0.3">
      <c r="J55504"/>
    </row>
    <row r="55505" spans="10:10" x14ac:dyDescent="0.3">
      <c r="J55505"/>
    </row>
    <row r="55506" spans="10:10" x14ac:dyDescent="0.3">
      <c r="J55506"/>
    </row>
    <row r="55507" spans="10:10" x14ac:dyDescent="0.3">
      <c r="J55507"/>
    </row>
    <row r="55508" spans="10:10" x14ac:dyDescent="0.3">
      <c r="J55508"/>
    </row>
    <row r="55509" spans="10:10" x14ac:dyDescent="0.3">
      <c r="J55509"/>
    </row>
    <row r="55510" spans="10:10" x14ac:dyDescent="0.3">
      <c r="J55510"/>
    </row>
    <row r="55511" spans="10:10" x14ac:dyDescent="0.3">
      <c r="J55511"/>
    </row>
    <row r="55512" spans="10:10" x14ac:dyDescent="0.3">
      <c r="J55512"/>
    </row>
    <row r="55513" spans="10:10" x14ac:dyDescent="0.3">
      <c r="J55513"/>
    </row>
    <row r="55514" spans="10:10" x14ac:dyDescent="0.3">
      <c r="J55514"/>
    </row>
    <row r="55515" spans="10:10" x14ac:dyDescent="0.3">
      <c r="J55515"/>
    </row>
    <row r="55516" spans="10:10" x14ac:dyDescent="0.3">
      <c r="J55516"/>
    </row>
    <row r="55517" spans="10:10" x14ac:dyDescent="0.3">
      <c r="J55517"/>
    </row>
    <row r="55518" spans="10:10" x14ac:dyDescent="0.3">
      <c r="J55518"/>
    </row>
    <row r="55519" spans="10:10" x14ac:dyDescent="0.3">
      <c r="J55519"/>
    </row>
    <row r="55520" spans="10:10" x14ac:dyDescent="0.3">
      <c r="J55520"/>
    </row>
    <row r="55521" spans="10:10" x14ac:dyDescent="0.3">
      <c r="J55521"/>
    </row>
    <row r="55522" spans="10:10" x14ac:dyDescent="0.3">
      <c r="J55522"/>
    </row>
    <row r="55523" spans="10:10" x14ac:dyDescent="0.3">
      <c r="J55523"/>
    </row>
    <row r="55524" spans="10:10" x14ac:dyDescent="0.3">
      <c r="J55524"/>
    </row>
    <row r="55525" spans="10:10" x14ac:dyDescent="0.3">
      <c r="J55525"/>
    </row>
    <row r="55526" spans="10:10" x14ac:dyDescent="0.3">
      <c r="J55526"/>
    </row>
    <row r="55527" spans="10:10" x14ac:dyDescent="0.3">
      <c r="J55527"/>
    </row>
    <row r="55528" spans="10:10" x14ac:dyDescent="0.3">
      <c r="J55528"/>
    </row>
    <row r="55529" spans="10:10" x14ac:dyDescent="0.3">
      <c r="J55529"/>
    </row>
    <row r="55530" spans="10:10" x14ac:dyDescent="0.3">
      <c r="J55530"/>
    </row>
    <row r="55531" spans="10:10" x14ac:dyDescent="0.3">
      <c r="J55531"/>
    </row>
    <row r="55532" spans="10:10" x14ac:dyDescent="0.3">
      <c r="J55532"/>
    </row>
    <row r="55533" spans="10:10" x14ac:dyDescent="0.3">
      <c r="J55533"/>
    </row>
    <row r="55534" spans="10:10" x14ac:dyDescent="0.3">
      <c r="J55534"/>
    </row>
    <row r="55535" spans="10:10" x14ac:dyDescent="0.3">
      <c r="J55535"/>
    </row>
    <row r="55536" spans="10:10" x14ac:dyDescent="0.3">
      <c r="J55536"/>
    </row>
    <row r="55537" spans="10:10" x14ac:dyDescent="0.3">
      <c r="J55537"/>
    </row>
    <row r="55538" spans="10:10" x14ac:dyDescent="0.3">
      <c r="J55538"/>
    </row>
    <row r="55539" spans="10:10" x14ac:dyDescent="0.3">
      <c r="J55539"/>
    </row>
    <row r="55540" spans="10:10" x14ac:dyDescent="0.3">
      <c r="J55540"/>
    </row>
    <row r="55541" spans="10:10" x14ac:dyDescent="0.3">
      <c r="J55541"/>
    </row>
    <row r="55542" spans="10:10" x14ac:dyDescent="0.3">
      <c r="J55542"/>
    </row>
    <row r="55543" spans="10:10" x14ac:dyDescent="0.3">
      <c r="J55543"/>
    </row>
    <row r="55544" spans="10:10" x14ac:dyDescent="0.3">
      <c r="J55544"/>
    </row>
    <row r="55545" spans="10:10" x14ac:dyDescent="0.3">
      <c r="J55545"/>
    </row>
    <row r="55546" spans="10:10" x14ac:dyDescent="0.3">
      <c r="J55546"/>
    </row>
    <row r="55547" spans="10:10" x14ac:dyDescent="0.3">
      <c r="J55547"/>
    </row>
    <row r="55548" spans="10:10" x14ac:dyDescent="0.3">
      <c r="J55548"/>
    </row>
    <row r="55549" spans="10:10" x14ac:dyDescent="0.3">
      <c r="J55549"/>
    </row>
    <row r="55550" spans="10:10" x14ac:dyDescent="0.3">
      <c r="J55550"/>
    </row>
    <row r="55551" spans="10:10" x14ac:dyDescent="0.3">
      <c r="J55551"/>
    </row>
    <row r="55552" spans="10:10" x14ac:dyDescent="0.3">
      <c r="J55552"/>
    </row>
    <row r="55553" spans="10:10" x14ac:dyDescent="0.3">
      <c r="J55553"/>
    </row>
    <row r="55554" spans="10:10" x14ac:dyDescent="0.3">
      <c r="J55554"/>
    </row>
    <row r="55555" spans="10:10" x14ac:dyDescent="0.3">
      <c r="J55555"/>
    </row>
    <row r="55556" spans="10:10" x14ac:dyDescent="0.3">
      <c r="J55556"/>
    </row>
    <row r="55557" spans="10:10" x14ac:dyDescent="0.3">
      <c r="J55557"/>
    </row>
    <row r="55558" spans="10:10" x14ac:dyDescent="0.3">
      <c r="J55558"/>
    </row>
    <row r="55559" spans="10:10" x14ac:dyDescent="0.3">
      <c r="J55559"/>
    </row>
    <row r="55560" spans="10:10" x14ac:dyDescent="0.3">
      <c r="J55560"/>
    </row>
    <row r="55561" spans="10:10" x14ac:dyDescent="0.3">
      <c r="J55561"/>
    </row>
    <row r="55562" spans="10:10" x14ac:dyDescent="0.3">
      <c r="J55562"/>
    </row>
    <row r="55563" spans="10:10" x14ac:dyDescent="0.3">
      <c r="J55563"/>
    </row>
    <row r="55564" spans="10:10" x14ac:dyDescent="0.3">
      <c r="J55564"/>
    </row>
    <row r="55565" spans="10:10" x14ac:dyDescent="0.3">
      <c r="J55565"/>
    </row>
    <row r="55566" spans="10:10" x14ac:dyDescent="0.3">
      <c r="J55566"/>
    </row>
    <row r="55567" spans="10:10" x14ac:dyDescent="0.3">
      <c r="J55567"/>
    </row>
    <row r="55568" spans="10:10" x14ac:dyDescent="0.3">
      <c r="J55568"/>
    </row>
    <row r="55569" spans="10:10" x14ac:dyDescent="0.3">
      <c r="J55569"/>
    </row>
    <row r="55570" spans="10:10" x14ac:dyDescent="0.3">
      <c r="J55570"/>
    </row>
    <row r="55571" spans="10:10" x14ac:dyDescent="0.3">
      <c r="J55571"/>
    </row>
    <row r="55572" spans="10:10" x14ac:dyDescent="0.3">
      <c r="J55572"/>
    </row>
    <row r="55573" spans="10:10" x14ac:dyDescent="0.3">
      <c r="J55573"/>
    </row>
    <row r="55574" spans="10:10" x14ac:dyDescent="0.3">
      <c r="J55574"/>
    </row>
    <row r="55575" spans="10:10" x14ac:dyDescent="0.3">
      <c r="J55575"/>
    </row>
    <row r="55576" spans="10:10" x14ac:dyDescent="0.3">
      <c r="J55576"/>
    </row>
    <row r="55577" spans="10:10" x14ac:dyDescent="0.3">
      <c r="J55577"/>
    </row>
    <row r="55578" spans="10:10" x14ac:dyDescent="0.3">
      <c r="J55578"/>
    </row>
    <row r="55579" spans="10:10" x14ac:dyDescent="0.3">
      <c r="J55579"/>
    </row>
    <row r="55580" spans="10:10" x14ac:dyDescent="0.3">
      <c r="J55580"/>
    </row>
    <row r="55581" spans="10:10" x14ac:dyDescent="0.3">
      <c r="J55581"/>
    </row>
    <row r="55582" spans="10:10" x14ac:dyDescent="0.3">
      <c r="J55582"/>
    </row>
    <row r="55583" spans="10:10" x14ac:dyDescent="0.3">
      <c r="J55583"/>
    </row>
    <row r="55584" spans="10:10" x14ac:dyDescent="0.3">
      <c r="J55584"/>
    </row>
    <row r="55585" spans="10:10" x14ac:dyDescent="0.3">
      <c r="J55585"/>
    </row>
    <row r="55586" spans="10:10" x14ac:dyDescent="0.3">
      <c r="J55586"/>
    </row>
    <row r="55587" spans="10:10" x14ac:dyDescent="0.3">
      <c r="J55587"/>
    </row>
    <row r="55588" spans="10:10" x14ac:dyDescent="0.3">
      <c r="J55588"/>
    </row>
    <row r="55589" spans="10:10" x14ac:dyDescent="0.3">
      <c r="J55589"/>
    </row>
    <row r="55590" spans="10:10" x14ac:dyDescent="0.3">
      <c r="J55590"/>
    </row>
    <row r="55591" spans="10:10" x14ac:dyDescent="0.3">
      <c r="J55591"/>
    </row>
    <row r="55592" spans="10:10" x14ac:dyDescent="0.3">
      <c r="J55592"/>
    </row>
    <row r="55593" spans="10:10" x14ac:dyDescent="0.3">
      <c r="J55593"/>
    </row>
    <row r="55594" spans="10:10" x14ac:dyDescent="0.3">
      <c r="J55594"/>
    </row>
    <row r="55595" spans="10:10" x14ac:dyDescent="0.3">
      <c r="J55595"/>
    </row>
    <row r="55596" spans="10:10" x14ac:dyDescent="0.3">
      <c r="J55596"/>
    </row>
    <row r="55597" spans="10:10" x14ac:dyDescent="0.3">
      <c r="J55597"/>
    </row>
    <row r="55598" spans="10:10" x14ac:dyDescent="0.3">
      <c r="J55598"/>
    </row>
    <row r="55599" spans="10:10" x14ac:dyDescent="0.3">
      <c r="J55599"/>
    </row>
    <row r="55600" spans="10:10" x14ac:dyDescent="0.3">
      <c r="J55600"/>
    </row>
    <row r="55601" spans="10:10" x14ac:dyDescent="0.3">
      <c r="J55601"/>
    </row>
    <row r="55602" spans="10:10" x14ac:dyDescent="0.3">
      <c r="J55602"/>
    </row>
    <row r="55603" spans="10:10" x14ac:dyDescent="0.3">
      <c r="J55603"/>
    </row>
    <row r="55604" spans="10:10" x14ac:dyDescent="0.3">
      <c r="J55604"/>
    </row>
    <row r="55605" spans="10:10" x14ac:dyDescent="0.3">
      <c r="J55605"/>
    </row>
    <row r="55606" spans="10:10" x14ac:dyDescent="0.3">
      <c r="J55606"/>
    </row>
    <row r="55607" spans="10:10" x14ac:dyDescent="0.3">
      <c r="J55607"/>
    </row>
    <row r="55608" spans="10:10" x14ac:dyDescent="0.3">
      <c r="J55608"/>
    </row>
    <row r="55609" spans="10:10" x14ac:dyDescent="0.3">
      <c r="J55609"/>
    </row>
    <row r="55610" spans="10:10" x14ac:dyDescent="0.3">
      <c r="J55610"/>
    </row>
    <row r="55611" spans="10:10" x14ac:dyDescent="0.3">
      <c r="J55611"/>
    </row>
    <row r="55612" spans="10:10" x14ac:dyDescent="0.3">
      <c r="J55612"/>
    </row>
    <row r="55613" spans="10:10" x14ac:dyDescent="0.3">
      <c r="J55613"/>
    </row>
    <row r="55614" spans="10:10" x14ac:dyDescent="0.3">
      <c r="J55614"/>
    </row>
    <row r="55615" spans="10:10" x14ac:dyDescent="0.3">
      <c r="J55615"/>
    </row>
    <row r="55616" spans="10:10" x14ac:dyDescent="0.3">
      <c r="J55616"/>
    </row>
    <row r="55617" spans="10:10" x14ac:dyDescent="0.3">
      <c r="J55617"/>
    </row>
    <row r="55618" spans="10:10" x14ac:dyDescent="0.3">
      <c r="J55618"/>
    </row>
    <row r="55619" spans="10:10" x14ac:dyDescent="0.3">
      <c r="J55619"/>
    </row>
    <row r="55620" spans="10:10" x14ac:dyDescent="0.3">
      <c r="J55620"/>
    </row>
    <row r="55621" spans="10:10" x14ac:dyDescent="0.3">
      <c r="J55621"/>
    </row>
    <row r="55622" spans="10:10" x14ac:dyDescent="0.3">
      <c r="J55622"/>
    </row>
    <row r="55623" spans="10:10" x14ac:dyDescent="0.3">
      <c r="J55623"/>
    </row>
    <row r="55624" spans="10:10" x14ac:dyDescent="0.3">
      <c r="J55624"/>
    </row>
    <row r="55625" spans="10:10" x14ac:dyDescent="0.3">
      <c r="J55625"/>
    </row>
    <row r="55626" spans="10:10" x14ac:dyDescent="0.3">
      <c r="J55626"/>
    </row>
    <row r="55627" spans="10:10" x14ac:dyDescent="0.3">
      <c r="J55627"/>
    </row>
    <row r="55628" spans="10:10" x14ac:dyDescent="0.3">
      <c r="J55628"/>
    </row>
    <row r="55629" spans="10:10" x14ac:dyDescent="0.3">
      <c r="J55629"/>
    </row>
    <row r="55630" spans="10:10" x14ac:dyDescent="0.3">
      <c r="J55630"/>
    </row>
    <row r="55631" spans="10:10" x14ac:dyDescent="0.3">
      <c r="J55631"/>
    </row>
    <row r="55632" spans="10:10" x14ac:dyDescent="0.3">
      <c r="J55632"/>
    </row>
    <row r="55633" spans="10:10" x14ac:dyDescent="0.3">
      <c r="J55633"/>
    </row>
    <row r="55634" spans="10:10" x14ac:dyDescent="0.3">
      <c r="J55634"/>
    </row>
    <row r="55635" spans="10:10" x14ac:dyDescent="0.3">
      <c r="J55635"/>
    </row>
    <row r="55636" spans="10:10" x14ac:dyDescent="0.3">
      <c r="J55636"/>
    </row>
    <row r="55637" spans="10:10" x14ac:dyDescent="0.3">
      <c r="J55637"/>
    </row>
    <row r="55638" spans="10:10" x14ac:dyDescent="0.3">
      <c r="J55638"/>
    </row>
    <row r="55639" spans="10:10" x14ac:dyDescent="0.3">
      <c r="J55639"/>
    </row>
    <row r="55640" spans="10:10" x14ac:dyDescent="0.3">
      <c r="J55640"/>
    </row>
    <row r="55641" spans="10:10" x14ac:dyDescent="0.3">
      <c r="J55641"/>
    </row>
    <row r="55642" spans="10:10" x14ac:dyDescent="0.3">
      <c r="J55642"/>
    </row>
    <row r="55643" spans="10:10" x14ac:dyDescent="0.3">
      <c r="J55643"/>
    </row>
    <row r="55644" spans="10:10" x14ac:dyDescent="0.3">
      <c r="J55644"/>
    </row>
    <row r="55645" spans="10:10" x14ac:dyDescent="0.3">
      <c r="J55645"/>
    </row>
    <row r="55646" spans="10:10" x14ac:dyDescent="0.3">
      <c r="J55646"/>
    </row>
    <row r="55647" spans="10:10" x14ac:dyDescent="0.3">
      <c r="J55647"/>
    </row>
    <row r="55648" spans="10:10" x14ac:dyDescent="0.3">
      <c r="J55648"/>
    </row>
    <row r="55649" spans="10:10" x14ac:dyDescent="0.3">
      <c r="J55649"/>
    </row>
    <row r="55650" spans="10:10" x14ac:dyDescent="0.3">
      <c r="J55650"/>
    </row>
    <row r="55651" spans="10:10" x14ac:dyDescent="0.3">
      <c r="J55651"/>
    </row>
    <row r="55652" spans="10:10" x14ac:dyDescent="0.3">
      <c r="J55652"/>
    </row>
    <row r="55653" spans="10:10" x14ac:dyDescent="0.3">
      <c r="J55653"/>
    </row>
    <row r="55654" spans="10:10" x14ac:dyDescent="0.3">
      <c r="J55654"/>
    </row>
    <row r="55655" spans="10:10" x14ac:dyDescent="0.3">
      <c r="J55655"/>
    </row>
    <row r="55656" spans="10:10" x14ac:dyDescent="0.3">
      <c r="J55656"/>
    </row>
    <row r="55657" spans="10:10" x14ac:dyDescent="0.3">
      <c r="J55657"/>
    </row>
    <row r="55658" spans="10:10" x14ac:dyDescent="0.3">
      <c r="J55658"/>
    </row>
    <row r="55659" spans="10:10" x14ac:dyDescent="0.3">
      <c r="J55659"/>
    </row>
    <row r="55660" spans="10:10" x14ac:dyDescent="0.3">
      <c r="J55660"/>
    </row>
    <row r="55661" spans="10:10" x14ac:dyDescent="0.3">
      <c r="J55661"/>
    </row>
    <row r="55662" spans="10:10" x14ac:dyDescent="0.3">
      <c r="J55662"/>
    </row>
    <row r="55663" spans="10:10" x14ac:dyDescent="0.3">
      <c r="J55663"/>
    </row>
    <row r="55664" spans="10:10" x14ac:dyDescent="0.3">
      <c r="J55664"/>
    </row>
    <row r="55665" spans="10:10" x14ac:dyDescent="0.3">
      <c r="J55665"/>
    </row>
    <row r="55666" spans="10:10" x14ac:dyDescent="0.3">
      <c r="J55666"/>
    </row>
    <row r="55667" spans="10:10" x14ac:dyDescent="0.3">
      <c r="J55667"/>
    </row>
    <row r="55668" spans="10:10" x14ac:dyDescent="0.3">
      <c r="J55668"/>
    </row>
    <row r="55669" spans="10:10" x14ac:dyDescent="0.3">
      <c r="J55669"/>
    </row>
    <row r="55670" spans="10:10" x14ac:dyDescent="0.3">
      <c r="J55670"/>
    </row>
    <row r="55671" spans="10:10" x14ac:dyDescent="0.3">
      <c r="J55671"/>
    </row>
    <row r="55672" spans="10:10" x14ac:dyDescent="0.3">
      <c r="J55672"/>
    </row>
    <row r="55673" spans="10:10" x14ac:dyDescent="0.3">
      <c r="J55673"/>
    </row>
    <row r="55674" spans="10:10" x14ac:dyDescent="0.3">
      <c r="J55674"/>
    </row>
    <row r="55675" spans="10:10" x14ac:dyDescent="0.3">
      <c r="J55675"/>
    </row>
    <row r="55676" spans="10:10" x14ac:dyDescent="0.3">
      <c r="J55676"/>
    </row>
    <row r="55677" spans="10:10" x14ac:dyDescent="0.3">
      <c r="J55677"/>
    </row>
    <row r="55678" spans="10:10" x14ac:dyDescent="0.3">
      <c r="J55678"/>
    </row>
    <row r="55679" spans="10:10" x14ac:dyDescent="0.3">
      <c r="J55679"/>
    </row>
    <row r="55680" spans="10:10" x14ac:dyDescent="0.3">
      <c r="J55680"/>
    </row>
    <row r="55681" spans="10:10" x14ac:dyDescent="0.3">
      <c r="J55681"/>
    </row>
    <row r="55682" spans="10:10" x14ac:dyDescent="0.3">
      <c r="J55682"/>
    </row>
    <row r="55683" spans="10:10" x14ac:dyDescent="0.3">
      <c r="J55683"/>
    </row>
    <row r="55684" spans="10:10" x14ac:dyDescent="0.3">
      <c r="J55684"/>
    </row>
    <row r="55685" spans="10:10" x14ac:dyDescent="0.3">
      <c r="J55685"/>
    </row>
    <row r="55686" spans="10:10" x14ac:dyDescent="0.3">
      <c r="J55686"/>
    </row>
    <row r="55687" spans="10:10" x14ac:dyDescent="0.3">
      <c r="J55687"/>
    </row>
    <row r="55688" spans="10:10" x14ac:dyDescent="0.3">
      <c r="J55688"/>
    </row>
    <row r="55689" spans="10:10" x14ac:dyDescent="0.3">
      <c r="J55689"/>
    </row>
    <row r="55690" spans="10:10" x14ac:dyDescent="0.3">
      <c r="J55690"/>
    </row>
    <row r="55691" spans="10:10" x14ac:dyDescent="0.3">
      <c r="J55691"/>
    </row>
    <row r="55692" spans="10:10" x14ac:dyDescent="0.3">
      <c r="J55692"/>
    </row>
    <row r="55693" spans="10:10" x14ac:dyDescent="0.3">
      <c r="J55693"/>
    </row>
    <row r="55694" spans="10:10" x14ac:dyDescent="0.3">
      <c r="J55694"/>
    </row>
    <row r="55695" spans="10:10" x14ac:dyDescent="0.3">
      <c r="J55695"/>
    </row>
    <row r="55696" spans="10:10" x14ac:dyDescent="0.3">
      <c r="J55696"/>
    </row>
    <row r="55697" spans="10:10" x14ac:dyDescent="0.3">
      <c r="J55697"/>
    </row>
    <row r="55698" spans="10:10" x14ac:dyDescent="0.3">
      <c r="J55698"/>
    </row>
    <row r="55699" spans="10:10" x14ac:dyDescent="0.3">
      <c r="J55699"/>
    </row>
    <row r="55700" spans="10:10" x14ac:dyDescent="0.3">
      <c r="J55700"/>
    </row>
    <row r="55701" spans="10:10" x14ac:dyDescent="0.3">
      <c r="J55701"/>
    </row>
    <row r="55702" spans="10:10" x14ac:dyDescent="0.3">
      <c r="J55702"/>
    </row>
    <row r="55703" spans="10:10" x14ac:dyDescent="0.3">
      <c r="J55703"/>
    </row>
    <row r="55704" spans="10:10" x14ac:dyDescent="0.3">
      <c r="J55704"/>
    </row>
    <row r="55705" spans="10:10" x14ac:dyDescent="0.3">
      <c r="J55705"/>
    </row>
    <row r="55706" spans="10:10" x14ac:dyDescent="0.3">
      <c r="J55706"/>
    </row>
    <row r="55707" spans="10:10" x14ac:dyDescent="0.3">
      <c r="J55707"/>
    </row>
    <row r="55708" spans="10:10" x14ac:dyDescent="0.3">
      <c r="J55708"/>
    </row>
    <row r="55709" spans="10:10" x14ac:dyDescent="0.3">
      <c r="J55709"/>
    </row>
    <row r="55710" spans="10:10" x14ac:dyDescent="0.3">
      <c r="J55710"/>
    </row>
    <row r="55711" spans="10:10" x14ac:dyDescent="0.3">
      <c r="J55711"/>
    </row>
    <row r="55712" spans="10:10" x14ac:dyDescent="0.3">
      <c r="J55712"/>
    </row>
    <row r="55713" spans="10:10" x14ac:dyDescent="0.3">
      <c r="J55713"/>
    </row>
    <row r="55714" spans="10:10" x14ac:dyDescent="0.3">
      <c r="J55714"/>
    </row>
    <row r="55715" spans="10:10" x14ac:dyDescent="0.3">
      <c r="J55715"/>
    </row>
    <row r="55716" spans="10:10" x14ac:dyDescent="0.3">
      <c r="J55716"/>
    </row>
    <row r="55717" spans="10:10" x14ac:dyDescent="0.3">
      <c r="J55717"/>
    </row>
    <row r="55718" spans="10:10" x14ac:dyDescent="0.3">
      <c r="J55718"/>
    </row>
    <row r="55719" spans="10:10" x14ac:dyDescent="0.3">
      <c r="J55719"/>
    </row>
    <row r="55720" spans="10:10" x14ac:dyDescent="0.3">
      <c r="J55720"/>
    </row>
    <row r="55721" spans="10:10" x14ac:dyDescent="0.3">
      <c r="J55721"/>
    </row>
    <row r="55722" spans="10:10" x14ac:dyDescent="0.3">
      <c r="J55722"/>
    </row>
    <row r="55723" spans="10:10" x14ac:dyDescent="0.3">
      <c r="J55723"/>
    </row>
    <row r="55724" spans="10:10" x14ac:dyDescent="0.3">
      <c r="J55724"/>
    </row>
    <row r="55725" spans="10:10" x14ac:dyDescent="0.3">
      <c r="J55725"/>
    </row>
    <row r="55726" spans="10:10" x14ac:dyDescent="0.3">
      <c r="J55726"/>
    </row>
    <row r="55727" spans="10:10" x14ac:dyDescent="0.3">
      <c r="J55727"/>
    </row>
    <row r="55728" spans="10:10" x14ac:dyDescent="0.3">
      <c r="J55728"/>
    </row>
    <row r="55729" spans="10:10" x14ac:dyDescent="0.3">
      <c r="J55729"/>
    </row>
    <row r="55730" spans="10:10" x14ac:dyDescent="0.3">
      <c r="J55730"/>
    </row>
    <row r="55731" spans="10:10" x14ac:dyDescent="0.3">
      <c r="J55731"/>
    </row>
    <row r="55732" spans="10:10" x14ac:dyDescent="0.3">
      <c r="J55732"/>
    </row>
    <row r="55733" spans="10:10" x14ac:dyDescent="0.3">
      <c r="J55733"/>
    </row>
    <row r="55734" spans="10:10" x14ac:dyDescent="0.3">
      <c r="J55734"/>
    </row>
    <row r="55735" spans="10:10" x14ac:dyDescent="0.3">
      <c r="J55735"/>
    </row>
    <row r="55736" spans="10:10" x14ac:dyDescent="0.3">
      <c r="J55736"/>
    </row>
    <row r="55737" spans="10:10" x14ac:dyDescent="0.3">
      <c r="J55737"/>
    </row>
    <row r="55738" spans="10:10" x14ac:dyDescent="0.3">
      <c r="J55738"/>
    </row>
    <row r="55739" spans="10:10" x14ac:dyDescent="0.3">
      <c r="J55739"/>
    </row>
    <row r="55740" spans="10:10" x14ac:dyDescent="0.3">
      <c r="J55740"/>
    </row>
    <row r="55741" spans="10:10" x14ac:dyDescent="0.3">
      <c r="J55741"/>
    </row>
    <row r="55742" spans="10:10" x14ac:dyDescent="0.3">
      <c r="J55742"/>
    </row>
    <row r="55743" spans="10:10" x14ac:dyDescent="0.3">
      <c r="J55743"/>
    </row>
    <row r="55744" spans="10:10" x14ac:dyDescent="0.3">
      <c r="J55744"/>
    </row>
    <row r="55745" spans="10:10" x14ac:dyDescent="0.3">
      <c r="J55745"/>
    </row>
    <row r="55746" spans="10:10" x14ac:dyDescent="0.3">
      <c r="J55746"/>
    </row>
    <row r="55747" spans="10:10" x14ac:dyDescent="0.3">
      <c r="J55747"/>
    </row>
    <row r="55748" spans="10:10" x14ac:dyDescent="0.3">
      <c r="J55748"/>
    </row>
    <row r="55749" spans="10:10" x14ac:dyDescent="0.3">
      <c r="J55749"/>
    </row>
    <row r="55750" spans="10:10" x14ac:dyDescent="0.3">
      <c r="J55750"/>
    </row>
    <row r="55751" spans="10:10" x14ac:dyDescent="0.3">
      <c r="J55751"/>
    </row>
    <row r="55752" spans="10:10" x14ac:dyDescent="0.3">
      <c r="J55752"/>
    </row>
    <row r="55753" spans="10:10" x14ac:dyDescent="0.3">
      <c r="J55753"/>
    </row>
    <row r="55754" spans="10:10" x14ac:dyDescent="0.3">
      <c r="J55754"/>
    </row>
    <row r="55755" spans="10:10" x14ac:dyDescent="0.3">
      <c r="J55755"/>
    </row>
    <row r="55756" spans="10:10" x14ac:dyDescent="0.3">
      <c r="J55756"/>
    </row>
    <row r="55757" spans="10:10" x14ac:dyDescent="0.3">
      <c r="J55757"/>
    </row>
    <row r="55758" spans="10:10" x14ac:dyDescent="0.3">
      <c r="J55758"/>
    </row>
    <row r="55759" spans="10:10" x14ac:dyDescent="0.3">
      <c r="J55759"/>
    </row>
    <row r="55760" spans="10:10" x14ac:dyDescent="0.3">
      <c r="J55760"/>
    </row>
    <row r="55761" spans="10:10" x14ac:dyDescent="0.3">
      <c r="J55761"/>
    </row>
    <row r="55762" spans="10:10" x14ac:dyDescent="0.3">
      <c r="J55762"/>
    </row>
    <row r="55763" spans="10:10" x14ac:dyDescent="0.3">
      <c r="J55763"/>
    </row>
    <row r="55764" spans="10:10" x14ac:dyDescent="0.3">
      <c r="J55764"/>
    </row>
    <row r="55765" spans="10:10" x14ac:dyDescent="0.3">
      <c r="J55765"/>
    </row>
    <row r="55766" spans="10:10" x14ac:dyDescent="0.3">
      <c r="J55766"/>
    </row>
    <row r="55767" spans="10:10" x14ac:dyDescent="0.3">
      <c r="J55767"/>
    </row>
    <row r="55768" spans="10:10" x14ac:dyDescent="0.3">
      <c r="J55768"/>
    </row>
    <row r="55769" spans="10:10" x14ac:dyDescent="0.3">
      <c r="J55769"/>
    </row>
    <row r="55770" spans="10:10" x14ac:dyDescent="0.3">
      <c r="J55770"/>
    </row>
    <row r="55771" spans="10:10" x14ac:dyDescent="0.3">
      <c r="J55771"/>
    </row>
    <row r="55772" spans="10:10" x14ac:dyDescent="0.3">
      <c r="J55772"/>
    </row>
    <row r="55773" spans="10:10" x14ac:dyDescent="0.3">
      <c r="J55773"/>
    </row>
    <row r="55774" spans="10:10" x14ac:dyDescent="0.3">
      <c r="J55774"/>
    </row>
    <row r="55775" spans="10:10" x14ac:dyDescent="0.3">
      <c r="J55775"/>
    </row>
    <row r="55776" spans="10:10" x14ac:dyDescent="0.3">
      <c r="J55776"/>
    </row>
    <row r="55777" spans="10:10" x14ac:dyDescent="0.3">
      <c r="J55777"/>
    </row>
    <row r="55778" spans="10:10" x14ac:dyDescent="0.3">
      <c r="J55778"/>
    </row>
    <row r="55779" spans="10:10" x14ac:dyDescent="0.3">
      <c r="J55779"/>
    </row>
    <row r="55780" spans="10:10" x14ac:dyDescent="0.3">
      <c r="J55780"/>
    </row>
    <row r="55781" spans="10:10" x14ac:dyDescent="0.3">
      <c r="J55781"/>
    </row>
    <row r="55782" spans="10:10" x14ac:dyDescent="0.3">
      <c r="J55782"/>
    </row>
    <row r="55783" spans="10:10" x14ac:dyDescent="0.3">
      <c r="J55783"/>
    </row>
    <row r="55784" spans="10:10" x14ac:dyDescent="0.3">
      <c r="J55784"/>
    </row>
    <row r="55785" spans="10:10" x14ac:dyDescent="0.3">
      <c r="J55785"/>
    </row>
    <row r="55786" spans="10:10" x14ac:dyDescent="0.3">
      <c r="J55786"/>
    </row>
    <row r="55787" spans="10:10" x14ac:dyDescent="0.3">
      <c r="J55787"/>
    </row>
    <row r="55788" spans="10:10" x14ac:dyDescent="0.3">
      <c r="J55788"/>
    </row>
    <row r="55789" spans="10:10" x14ac:dyDescent="0.3">
      <c r="J55789"/>
    </row>
    <row r="55790" spans="10:10" x14ac:dyDescent="0.3">
      <c r="J55790"/>
    </row>
    <row r="55791" spans="10:10" x14ac:dyDescent="0.3">
      <c r="J55791"/>
    </row>
    <row r="55792" spans="10:10" x14ac:dyDescent="0.3">
      <c r="J55792"/>
    </row>
    <row r="55793" spans="10:10" x14ac:dyDescent="0.3">
      <c r="J55793"/>
    </row>
    <row r="55794" spans="10:10" x14ac:dyDescent="0.3">
      <c r="J55794"/>
    </row>
    <row r="55795" spans="10:10" x14ac:dyDescent="0.3">
      <c r="J55795"/>
    </row>
    <row r="55796" spans="10:10" x14ac:dyDescent="0.3">
      <c r="J55796"/>
    </row>
    <row r="55797" spans="10:10" x14ac:dyDescent="0.3">
      <c r="J55797"/>
    </row>
    <row r="55798" spans="10:10" x14ac:dyDescent="0.3">
      <c r="J55798"/>
    </row>
    <row r="55799" spans="10:10" x14ac:dyDescent="0.3">
      <c r="J55799"/>
    </row>
    <row r="55800" spans="10:10" x14ac:dyDescent="0.3">
      <c r="J55800"/>
    </row>
    <row r="55801" spans="10:10" x14ac:dyDescent="0.3">
      <c r="J55801"/>
    </row>
    <row r="55802" spans="10:10" x14ac:dyDescent="0.3">
      <c r="J55802"/>
    </row>
    <row r="55803" spans="10:10" x14ac:dyDescent="0.3">
      <c r="J55803"/>
    </row>
    <row r="55804" spans="10:10" x14ac:dyDescent="0.3">
      <c r="J55804"/>
    </row>
    <row r="55805" spans="10:10" x14ac:dyDescent="0.3">
      <c r="J55805"/>
    </row>
    <row r="55806" spans="10:10" x14ac:dyDescent="0.3">
      <c r="J55806"/>
    </row>
    <row r="55807" spans="10:10" x14ac:dyDescent="0.3">
      <c r="J55807"/>
    </row>
    <row r="55808" spans="10:10" x14ac:dyDescent="0.3">
      <c r="J55808"/>
    </row>
    <row r="55809" spans="10:10" x14ac:dyDescent="0.3">
      <c r="J55809"/>
    </row>
    <row r="55810" spans="10:10" x14ac:dyDescent="0.3">
      <c r="J55810"/>
    </row>
    <row r="55811" spans="10:10" x14ac:dyDescent="0.3">
      <c r="J55811"/>
    </row>
    <row r="55812" spans="10:10" x14ac:dyDescent="0.3">
      <c r="J55812"/>
    </row>
    <row r="55813" spans="10:10" x14ac:dyDescent="0.3">
      <c r="J55813"/>
    </row>
    <row r="55814" spans="10:10" x14ac:dyDescent="0.3">
      <c r="J55814"/>
    </row>
    <row r="55815" spans="10:10" x14ac:dyDescent="0.3">
      <c r="J55815"/>
    </row>
    <row r="55816" spans="10:10" x14ac:dyDescent="0.3">
      <c r="J55816"/>
    </row>
    <row r="55817" spans="10:10" x14ac:dyDescent="0.3">
      <c r="J55817"/>
    </row>
    <row r="55818" spans="10:10" x14ac:dyDescent="0.3">
      <c r="J55818"/>
    </row>
    <row r="55819" spans="10:10" x14ac:dyDescent="0.3">
      <c r="J55819"/>
    </row>
    <row r="55820" spans="10:10" x14ac:dyDescent="0.3">
      <c r="J55820"/>
    </row>
    <row r="55821" spans="10:10" x14ac:dyDescent="0.3">
      <c r="J55821"/>
    </row>
    <row r="55822" spans="10:10" x14ac:dyDescent="0.3">
      <c r="J55822"/>
    </row>
    <row r="55823" spans="10:10" x14ac:dyDescent="0.3">
      <c r="J55823"/>
    </row>
    <row r="55824" spans="10:10" x14ac:dyDescent="0.3">
      <c r="J55824"/>
    </row>
    <row r="55825" spans="10:10" x14ac:dyDescent="0.3">
      <c r="J55825"/>
    </row>
    <row r="55826" spans="10:10" x14ac:dyDescent="0.3">
      <c r="J55826"/>
    </row>
    <row r="55827" spans="10:10" x14ac:dyDescent="0.3">
      <c r="J55827"/>
    </row>
    <row r="55828" spans="10:10" x14ac:dyDescent="0.3">
      <c r="J55828"/>
    </row>
    <row r="55829" spans="10:10" x14ac:dyDescent="0.3">
      <c r="J55829"/>
    </row>
    <row r="55830" spans="10:10" x14ac:dyDescent="0.3">
      <c r="J55830"/>
    </row>
    <row r="55831" spans="10:10" x14ac:dyDescent="0.3">
      <c r="J55831"/>
    </row>
    <row r="55832" spans="10:10" x14ac:dyDescent="0.3">
      <c r="J55832"/>
    </row>
    <row r="55833" spans="10:10" x14ac:dyDescent="0.3">
      <c r="J55833"/>
    </row>
    <row r="55834" spans="10:10" x14ac:dyDescent="0.3">
      <c r="J55834"/>
    </row>
    <row r="55835" spans="10:10" x14ac:dyDescent="0.3">
      <c r="J55835"/>
    </row>
    <row r="55836" spans="10:10" x14ac:dyDescent="0.3">
      <c r="J55836"/>
    </row>
    <row r="55837" spans="10:10" x14ac:dyDescent="0.3">
      <c r="J55837"/>
    </row>
    <row r="55838" spans="10:10" x14ac:dyDescent="0.3">
      <c r="J55838"/>
    </row>
    <row r="55839" spans="10:10" x14ac:dyDescent="0.3">
      <c r="J55839"/>
    </row>
    <row r="55840" spans="10:10" x14ac:dyDescent="0.3">
      <c r="J55840"/>
    </row>
    <row r="55841" spans="10:10" x14ac:dyDescent="0.3">
      <c r="J55841"/>
    </row>
    <row r="55842" spans="10:10" x14ac:dyDescent="0.3">
      <c r="J55842"/>
    </row>
    <row r="55843" spans="10:10" x14ac:dyDescent="0.3">
      <c r="J55843"/>
    </row>
    <row r="55844" spans="10:10" x14ac:dyDescent="0.3">
      <c r="J55844"/>
    </row>
    <row r="55845" spans="10:10" x14ac:dyDescent="0.3">
      <c r="J55845"/>
    </row>
    <row r="55846" spans="10:10" x14ac:dyDescent="0.3">
      <c r="J55846"/>
    </row>
    <row r="55847" spans="10:10" x14ac:dyDescent="0.3">
      <c r="J55847"/>
    </row>
    <row r="55848" spans="10:10" x14ac:dyDescent="0.3">
      <c r="J55848"/>
    </row>
    <row r="55849" spans="10:10" x14ac:dyDescent="0.3">
      <c r="J55849"/>
    </row>
    <row r="55850" spans="10:10" x14ac:dyDescent="0.3">
      <c r="J55850"/>
    </row>
    <row r="55851" spans="10:10" x14ac:dyDescent="0.3">
      <c r="J55851"/>
    </row>
    <row r="55852" spans="10:10" x14ac:dyDescent="0.3">
      <c r="J55852"/>
    </row>
    <row r="55853" spans="10:10" x14ac:dyDescent="0.3">
      <c r="J55853"/>
    </row>
    <row r="55854" spans="10:10" x14ac:dyDescent="0.3">
      <c r="J55854"/>
    </row>
    <row r="55855" spans="10:10" x14ac:dyDescent="0.3">
      <c r="J55855"/>
    </row>
    <row r="55856" spans="10:10" x14ac:dyDescent="0.3">
      <c r="J55856"/>
    </row>
    <row r="55857" spans="10:10" x14ac:dyDescent="0.3">
      <c r="J55857"/>
    </row>
    <row r="55858" spans="10:10" x14ac:dyDescent="0.3">
      <c r="J55858"/>
    </row>
    <row r="55859" spans="10:10" x14ac:dyDescent="0.3">
      <c r="J55859"/>
    </row>
    <row r="55860" spans="10:10" x14ac:dyDescent="0.3">
      <c r="J55860"/>
    </row>
    <row r="55861" spans="10:10" x14ac:dyDescent="0.3">
      <c r="J55861"/>
    </row>
    <row r="55862" spans="10:10" x14ac:dyDescent="0.3">
      <c r="J55862"/>
    </row>
    <row r="55863" spans="10:10" x14ac:dyDescent="0.3">
      <c r="J55863"/>
    </row>
    <row r="55864" spans="10:10" x14ac:dyDescent="0.3">
      <c r="J55864"/>
    </row>
    <row r="55865" spans="10:10" x14ac:dyDescent="0.3">
      <c r="J55865"/>
    </row>
    <row r="55866" spans="10:10" x14ac:dyDescent="0.3">
      <c r="J55866"/>
    </row>
    <row r="55867" spans="10:10" x14ac:dyDescent="0.3">
      <c r="J55867"/>
    </row>
    <row r="55868" spans="10:10" x14ac:dyDescent="0.3">
      <c r="J55868"/>
    </row>
    <row r="55869" spans="10:10" x14ac:dyDescent="0.3">
      <c r="J55869"/>
    </row>
    <row r="55870" spans="10:10" x14ac:dyDescent="0.3">
      <c r="J55870"/>
    </row>
    <row r="55871" spans="10:10" x14ac:dyDescent="0.3">
      <c r="J55871"/>
    </row>
    <row r="55872" spans="10:10" x14ac:dyDescent="0.3">
      <c r="J55872"/>
    </row>
    <row r="55873" spans="10:10" x14ac:dyDescent="0.3">
      <c r="J55873"/>
    </row>
    <row r="55874" spans="10:10" x14ac:dyDescent="0.3">
      <c r="J55874"/>
    </row>
    <row r="55875" spans="10:10" x14ac:dyDescent="0.3">
      <c r="J55875"/>
    </row>
    <row r="55876" spans="10:10" x14ac:dyDescent="0.3">
      <c r="J55876"/>
    </row>
    <row r="55877" spans="10:10" x14ac:dyDescent="0.3">
      <c r="J55877"/>
    </row>
    <row r="55878" spans="10:10" x14ac:dyDescent="0.3">
      <c r="J55878"/>
    </row>
    <row r="55879" spans="10:10" x14ac:dyDescent="0.3">
      <c r="J55879"/>
    </row>
    <row r="55880" spans="10:10" x14ac:dyDescent="0.3">
      <c r="J55880"/>
    </row>
    <row r="55881" spans="10:10" x14ac:dyDescent="0.3">
      <c r="J55881"/>
    </row>
    <row r="55882" spans="10:10" x14ac:dyDescent="0.3">
      <c r="J55882"/>
    </row>
    <row r="55883" spans="10:10" x14ac:dyDescent="0.3">
      <c r="J55883"/>
    </row>
    <row r="55884" spans="10:10" x14ac:dyDescent="0.3">
      <c r="J55884"/>
    </row>
    <row r="55885" spans="10:10" x14ac:dyDescent="0.3">
      <c r="J55885"/>
    </row>
    <row r="55886" spans="10:10" x14ac:dyDescent="0.3">
      <c r="J55886"/>
    </row>
    <row r="55887" spans="10:10" x14ac:dyDescent="0.3">
      <c r="J55887"/>
    </row>
    <row r="55888" spans="10:10" x14ac:dyDescent="0.3">
      <c r="J55888"/>
    </row>
    <row r="55889" spans="10:10" x14ac:dyDescent="0.3">
      <c r="J55889"/>
    </row>
    <row r="55890" spans="10:10" x14ac:dyDescent="0.3">
      <c r="J55890"/>
    </row>
    <row r="55891" spans="10:10" x14ac:dyDescent="0.3">
      <c r="J55891"/>
    </row>
    <row r="55892" spans="10:10" x14ac:dyDescent="0.3">
      <c r="J55892"/>
    </row>
    <row r="55893" spans="10:10" x14ac:dyDescent="0.3">
      <c r="J55893"/>
    </row>
    <row r="55894" spans="10:10" x14ac:dyDescent="0.3">
      <c r="J55894"/>
    </row>
    <row r="55895" spans="10:10" x14ac:dyDescent="0.3">
      <c r="J55895"/>
    </row>
    <row r="55896" spans="10:10" x14ac:dyDescent="0.3">
      <c r="J55896"/>
    </row>
    <row r="55897" spans="10:10" x14ac:dyDescent="0.3">
      <c r="J55897"/>
    </row>
    <row r="55898" spans="10:10" x14ac:dyDescent="0.3">
      <c r="J55898"/>
    </row>
    <row r="55899" spans="10:10" x14ac:dyDescent="0.3">
      <c r="J55899"/>
    </row>
    <row r="55900" spans="10:10" x14ac:dyDescent="0.3">
      <c r="J55900"/>
    </row>
    <row r="55901" spans="10:10" x14ac:dyDescent="0.3">
      <c r="J55901"/>
    </row>
    <row r="55902" spans="10:10" x14ac:dyDescent="0.3">
      <c r="J55902"/>
    </row>
    <row r="55903" spans="10:10" x14ac:dyDescent="0.3">
      <c r="J55903"/>
    </row>
    <row r="55904" spans="10:10" x14ac:dyDescent="0.3">
      <c r="J55904"/>
    </row>
    <row r="55905" spans="10:10" x14ac:dyDescent="0.3">
      <c r="J55905"/>
    </row>
    <row r="55906" spans="10:10" x14ac:dyDescent="0.3">
      <c r="J55906"/>
    </row>
    <row r="55907" spans="10:10" x14ac:dyDescent="0.3">
      <c r="J55907"/>
    </row>
    <row r="55908" spans="10:10" x14ac:dyDescent="0.3">
      <c r="J55908"/>
    </row>
    <row r="55909" spans="10:10" x14ac:dyDescent="0.3">
      <c r="J55909"/>
    </row>
    <row r="55910" spans="10:10" x14ac:dyDescent="0.3">
      <c r="J55910"/>
    </row>
    <row r="55911" spans="10:10" x14ac:dyDescent="0.3">
      <c r="J55911"/>
    </row>
    <row r="55912" spans="10:10" x14ac:dyDescent="0.3">
      <c r="J55912"/>
    </row>
    <row r="55913" spans="10:10" x14ac:dyDescent="0.3">
      <c r="J55913"/>
    </row>
    <row r="55914" spans="10:10" x14ac:dyDescent="0.3">
      <c r="J55914"/>
    </row>
    <row r="55915" spans="10:10" x14ac:dyDescent="0.3">
      <c r="J55915"/>
    </row>
    <row r="55916" spans="10:10" x14ac:dyDescent="0.3">
      <c r="J55916"/>
    </row>
    <row r="55917" spans="10:10" x14ac:dyDescent="0.3">
      <c r="J55917"/>
    </row>
    <row r="55918" spans="10:10" x14ac:dyDescent="0.3">
      <c r="J55918"/>
    </row>
    <row r="55919" spans="10:10" x14ac:dyDescent="0.3">
      <c r="J55919"/>
    </row>
    <row r="55920" spans="10:10" x14ac:dyDescent="0.3">
      <c r="J55920"/>
    </row>
    <row r="55921" spans="10:10" x14ac:dyDescent="0.3">
      <c r="J55921"/>
    </row>
    <row r="55922" spans="10:10" x14ac:dyDescent="0.3">
      <c r="J55922"/>
    </row>
    <row r="55923" spans="10:10" x14ac:dyDescent="0.3">
      <c r="J55923"/>
    </row>
    <row r="55924" spans="10:10" x14ac:dyDescent="0.3">
      <c r="J55924"/>
    </row>
    <row r="55925" spans="10:10" x14ac:dyDescent="0.3">
      <c r="J55925"/>
    </row>
    <row r="55926" spans="10:10" x14ac:dyDescent="0.3">
      <c r="J55926"/>
    </row>
    <row r="55927" spans="10:10" x14ac:dyDescent="0.3">
      <c r="J55927"/>
    </row>
    <row r="55928" spans="10:10" x14ac:dyDescent="0.3">
      <c r="J55928"/>
    </row>
    <row r="55929" spans="10:10" x14ac:dyDescent="0.3">
      <c r="J55929"/>
    </row>
    <row r="55930" spans="10:10" x14ac:dyDescent="0.3">
      <c r="J55930"/>
    </row>
    <row r="55931" spans="10:10" x14ac:dyDescent="0.3">
      <c r="J55931"/>
    </row>
    <row r="55932" spans="10:10" x14ac:dyDescent="0.3">
      <c r="J55932"/>
    </row>
    <row r="55933" spans="10:10" x14ac:dyDescent="0.3">
      <c r="J55933"/>
    </row>
    <row r="55934" spans="10:10" x14ac:dyDescent="0.3">
      <c r="J55934"/>
    </row>
    <row r="55935" spans="10:10" x14ac:dyDescent="0.3">
      <c r="J55935"/>
    </row>
    <row r="55936" spans="10:10" x14ac:dyDescent="0.3">
      <c r="J55936"/>
    </row>
    <row r="55937" spans="10:10" x14ac:dyDescent="0.3">
      <c r="J55937"/>
    </row>
    <row r="55938" spans="10:10" x14ac:dyDescent="0.3">
      <c r="J55938"/>
    </row>
    <row r="55939" spans="10:10" x14ac:dyDescent="0.3">
      <c r="J55939"/>
    </row>
    <row r="55940" spans="10:10" x14ac:dyDescent="0.3">
      <c r="J55940"/>
    </row>
    <row r="55941" spans="10:10" x14ac:dyDescent="0.3">
      <c r="J55941"/>
    </row>
    <row r="55942" spans="10:10" x14ac:dyDescent="0.3">
      <c r="J55942"/>
    </row>
    <row r="55943" spans="10:10" x14ac:dyDescent="0.3">
      <c r="J55943"/>
    </row>
    <row r="55944" spans="10:10" x14ac:dyDescent="0.3">
      <c r="J55944"/>
    </row>
    <row r="55945" spans="10:10" x14ac:dyDescent="0.3">
      <c r="J55945"/>
    </row>
    <row r="55946" spans="10:10" x14ac:dyDescent="0.3">
      <c r="J55946"/>
    </row>
    <row r="55947" spans="10:10" x14ac:dyDescent="0.3">
      <c r="J55947"/>
    </row>
    <row r="55948" spans="10:10" x14ac:dyDescent="0.3">
      <c r="J55948"/>
    </row>
    <row r="55949" spans="10:10" x14ac:dyDescent="0.3">
      <c r="J55949"/>
    </row>
    <row r="55950" spans="10:10" x14ac:dyDescent="0.3">
      <c r="J55950"/>
    </row>
    <row r="55951" spans="10:10" x14ac:dyDescent="0.3">
      <c r="J55951"/>
    </row>
    <row r="55952" spans="10:10" x14ac:dyDescent="0.3">
      <c r="J55952"/>
    </row>
    <row r="55953" spans="10:10" x14ac:dyDescent="0.3">
      <c r="J55953"/>
    </row>
    <row r="55954" spans="10:10" x14ac:dyDescent="0.3">
      <c r="J55954"/>
    </row>
    <row r="55955" spans="10:10" x14ac:dyDescent="0.3">
      <c r="J55955"/>
    </row>
    <row r="55956" spans="10:10" x14ac:dyDescent="0.3">
      <c r="J55956"/>
    </row>
    <row r="55957" spans="10:10" x14ac:dyDescent="0.3">
      <c r="J55957"/>
    </row>
    <row r="55958" spans="10:10" x14ac:dyDescent="0.3">
      <c r="J55958"/>
    </row>
    <row r="55959" spans="10:10" x14ac:dyDescent="0.3">
      <c r="J55959"/>
    </row>
    <row r="55960" spans="10:10" x14ac:dyDescent="0.3">
      <c r="J55960"/>
    </row>
    <row r="55961" spans="10:10" x14ac:dyDescent="0.3">
      <c r="J55961"/>
    </row>
    <row r="55962" spans="10:10" x14ac:dyDescent="0.3">
      <c r="J55962"/>
    </row>
    <row r="55963" spans="10:10" x14ac:dyDescent="0.3">
      <c r="J55963"/>
    </row>
    <row r="55964" spans="10:10" x14ac:dyDescent="0.3">
      <c r="J55964"/>
    </row>
    <row r="55965" spans="10:10" x14ac:dyDescent="0.3">
      <c r="J55965"/>
    </row>
    <row r="55966" spans="10:10" x14ac:dyDescent="0.3">
      <c r="J55966"/>
    </row>
    <row r="55967" spans="10:10" x14ac:dyDescent="0.3">
      <c r="J55967"/>
    </row>
    <row r="55968" spans="10:10" x14ac:dyDescent="0.3">
      <c r="J55968"/>
    </row>
    <row r="55969" spans="10:10" x14ac:dyDescent="0.3">
      <c r="J55969"/>
    </row>
    <row r="55970" spans="10:10" x14ac:dyDescent="0.3">
      <c r="J55970"/>
    </row>
    <row r="55971" spans="10:10" x14ac:dyDescent="0.3">
      <c r="J55971"/>
    </row>
    <row r="55972" spans="10:10" x14ac:dyDescent="0.3">
      <c r="J55972"/>
    </row>
    <row r="55973" spans="10:10" x14ac:dyDescent="0.3">
      <c r="J55973"/>
    </row>
    <row r="55974" spans="10:10" x14ac:dyDescent="0.3">
      <c r="J55974"/>
    </row>
    <row r="55975" spans="10:10" x14ac:dyDescent="0.3">
      <c r="J55975"/>
    </row>
    <row r="55976" spans="10:10" x14ac:dyDescent="0.3">
      <c r="J55976"/>
    </row>
    <row r="55977" spans="10:10" x14ac:dyDescent="0.3">
      <c r="J55977"/>
    </row>
    <row r="55978" spans="10:10" x14ac:dyDescent="0.3">
      <c r="J55978"/>
    </row>
    <row r="55979" spans="10:10" x14ac:dyDescent="0.3">
      <c r="J55979"/>
    </row>
    <row r="55980" spans="10:10" x14ac:dyDescent="0.3">
      <c r="J55980"/>
    </row>
    <row r="55981" spans="10:10" x14ac:dyDescent="0.3">
      <c r="J55981"/>
    </row>
    <row r="55982" spans="10:10" x14ac:dyDescent="0.3">
      <c r="J55982"/>
    </row>
    <row r="55983" spans="10:10" x14ac:dyDescent="0.3">
      <c r="J55983"/>
    </row>
    <row r="55984" spans="10:10" x14ac:dyDescent="0.3">
      <c r="J55984"/>
    </row>
    <row r="55985" spans="10:10" x14ac:dyDescent="0.3">
      <c r="J55985"/>
    </row>
    <row r="55986" spans="10:10" x14ac:dyDescent="0.3">
      <c r="J55986"/>
    </row>
    <row r="55987" spans="10:10" x14ac:dyDescent="0.3">
      <c r="J55987"/>
    </row>
    <row r="55988" spans="10:10" x14ac:dyDescent="0.3">
      <c r="J55988"/>
    </row>
    <row r="55989" spans="10:10" x14ac:dyDescent="0.3">
      <c r="J55989"/>
    </row>
    <row r="55990" spans="10:10" x14ac:dyDescent="0.3">
      <c r="J55990"/>
    </row>
    <row r="55991" spans="10:10" x14ac:dyDescent="0.3">
      <c r="J55991"/>
    </row>
    <row r="55992" spans="10:10" x14ac:dyDescent="0.3">
      <c r="J55992"/>
    </row>
    <row r="55993" spans="10:10" x14ac:dyDescent="0.3">
      <c r="J55993"/>
    </row>
    <row r="55994" spans="10:10" x14ac:dyDescent="0.3">
      <c r="J55994"/>
    </row>
    <row r="55995" spans="10:10" x14ac:dyDescent="0.3">
      <c r="J55995"/>
    </row>
    <row r="55996" spans="10:10" x14ac:dyDescent="0.3">
      <c r="J55996"/>
    </row>
    <row r="55997" spans="10:10" x14ac:dyDescent="0.3">
      <c r="J55997"/>
    </row>
    <row r="55998" spans="10:10" x14ac:dyDescent="0.3">
      <c r="J55998"/>
    </row>
    <row r="55999" spans="10:10" x14ac:dyDescent="0.3">
      <c r="J55999"/>
    </row>
    <row r="56000" spans="10:10" x14ac:dyDescent="0.3">
      <c r="J56000"/>
    </row>
    <row r="56001" spans="10:10" x14ac:dyDescent="0.3">
      <c r="J56001"/>
    </row>
    <row r="56002" spans="10:10" x14ac:dyDescent="0.3">
      <c r="J56002"/>
    </row>
    <row r="56003" spans="10:10" x14ac:dyDescent="0.3">
      <c r="J56003"/>
    </row>
    <row r="56004" spans="10:10" x14ac:dyDescent="0.3">
      <c r="J56004"/>
    </row>
    <row r="56005" spans="10:10" x14ac:dyDescent="0.3">
      <c r="J56005"/>
    </row>
    <row r="56006" spans="10:10" x14ac:dyDescent="0.3">
      <c r="J56006"/>
    </row>
    <row r="56007" spans="10:10" x14ac:dyDescent="0.3">
      <c r="J56007"/>
    </row>
    <row r="56008" spans="10:10" x14ac:dyDescent="0.3">
      <c r="J56008"/>
    </row>
    <row r="56009" spans="10:10" x14ac:dyDescent="0.3">
      <c r="J56009"/>
    </row>
    <row r="56010" spans="10:10" x14ac:dyDescent="0.3">
      <c r="J56010"/>
    </row>
    <row r="56011" spans="10:10" x14ac:dyDescent="0.3">
      <c r="J56011"/>
    </row>
    <row r="56012" spans="10:10" x14ac:dyDescent="0.3">
      <c r="J56012"/>
    </row>
    <row r="56013" spans="10:10" x14ac:dyDescent="0.3">
      <c r="J56013"/>
    </row>
    <row r="56014" spans="10:10" x14ac:dyDescent="0.3">
      <c r="J56014"/>
    </row>
    <row r="56015" spans="10:10" x14ac:dyDescent="0.3">
      <c r="J56015"/>
    </row>
    <row r="56016" spans="10:10" x14ac:dyDescent="0.3">
      <c r="J56016"/>
    </row>
    <row r="56017" spans="10:10" x14ac:dyDescent="0.3">
      <c r="J56017"/>
    </row>
    <row r="56018" spans="10:10" x14ac:dyDescent="0.3">
      <c r="J56018"/>
    </row>
    <row r="56019" spans="10:10" x14ac:dyDescent="0.3">
      <c r="J56019"/>
    </row>
    <row r="56020" spans="10:10" x14ac:dyDescent="0.3">
      <c r="J56020"/>
    </row>
    <row r="56021" spans="10:10" x14ac:dyDescent="0.3">
      <c r="J56021"/>
    </row>
    <row r="56022" spans="10:10" x14ac:dyDescent="0.3">
      <c r="J56022"/>
    </row>
    <row r="56023" spans="10:10" x14ac:dyDescent="0.3">
      <c r="J56023"/>
    </row>
    <row r="56024" spans="10:10" x14ac:dyDescent="0.3">
      <c r="J56024"/>
    </row>
    <row r="56025" spans="10:10" x14ac:dyDescent="0.3">
      <c r="J56025"/>
    </row>
    <row r="56026" spans="10:10" x14ac:dyDescent="0.3">
      <c r="J56026"/>
    </row>
    <row r="56027" spans="10:10" x14ac:dyDescent="0.3">
      <c r="J56027"/>
    </row>
    <row r="56028" spans="10:10" x14ac:dyDescent="0.3">
      <c r="J56028"/>
    </row>
    <row r="56029" spans="10:10" x14ac:dyDescent="0.3">
      <c r="J56029"/>
    </row>
    <row r="56030" spans="10:10" x14ac:dyDescent="0.3">
      <c r="J56030"/>
    </row>
    <row r="56031" spans="10:10" x14ac:dyDescent="0.3">
      <c r="J56031"/>
    </row>
    <row r="56032" spans="10:10" x14ac:dyDescent="0.3">
      <c r="J56032"/>
    </row>
    <row r="56033" spans="10:10" x14ac:dyDescent="0.3">
      <c r="J56033"/>
    </row>
    <row r="56034" spans="10:10" x14ac:dyDescent="0.3">
      <c r="J56034"/>
    </row>
    <row r="56035" spans="10:10" x14ac:dyDescent="0.3">
      <c r="J56035"/>
    </row>
    <row r="56036" spans="10:10" x14ac:dyDescent="0.3">
      <c r="J56036"/>
    </row>
    <row r="56037" spans="10:10" x14ac:dyDescent="0.3">
      <c r="J56037"/>
    </row>
    <row r="56038" spans="10:10" x14ac:dyDescent="0.3">
      <c r="J56038"/>
    </row>
    <row r="56039" spans="10:10" x14ac:dyDescent="0.3">
      <c r="J56039"/>
    </row>
    <row r="56040" spans="10:10" x14ac:dyDescent="0.3">
      <c r="J56040"/>
    </row>
    <row r="56041" spans="10:10" x14ac:dyDescent="0.3">
      <c r="J56041"/>
    </row>
    <row r="56042" spans="10:10" x14ac:dyDescent="0.3">
      <c r="J56042"/>
    </row>
    <row r="56043" spans="10:10" x14ac:dyDescent="0.3">
      <c r="J56043"/>
    </row>
    <row r="56044" spans="10:10" x14ac:dyDescent="0.3">
      <c r="J56044"/>
    </row>
    <row r="56045" spans="10:10" x14ac:dyDescent="0.3">
      <c r="J56045"/>
    </row>
    <row r="56046" spans="10:10" x14ac:dyDescent="0.3">
      <c r="J56046"/>
    </row>
    <row r="56047" spans="10:10" x14ac:dyDescent="0.3">
      <c r="J56047"/>
    </row>
    <row r="56048" spans="10:10" x14ac:dyDescent="0.3">
      <c r="J56048"/>
    </row>
    <row r="56049" spans="10:10" x14ac:dyDescent="0.3">
      <c r="J56049"/>
    </row>
    <row r="56050" spans="10:10" x14ac:dyDescent="0.3">
      <c r="J56050"/>
    </row>
    <row r="56051" spans="10:10" x14ac:dyDescent="0.3">
      <c r="J56051"/>
    </row>
    <row r="56052" spans="10:10" x14ac:dyDescent="0.3">
      <c r="J56052"/>
    </row>
    <row r="56053" spans="10:10" x14ac:dyDescent="0.3">
      <c r="J56053"/>
    </row>
    <row r="56054" spans="10:10" x14ac:dyDescent="0.3">
      <c r="J56054"/>
    </row>
    <row r="56055" spans="10:10" x14ac:dyDescent="0.3">
      <c r="J56055"/>
    </row>
    <row r="56056" spans="10:10" x14ac:dyDescent="0.3">
      <c r="J56056"/>
    </row>
    <row r="56057" spans="10:10" x14ac:dyDescent="0.3">
      <c r="J56057"/>
    </row>
    <row r="56058" spans="10:10" x14ac:dyDescent="0.3">
      <c r="J56058"/>
    </row>
    <row r="56059" spans="10:10" x14ac:dyDescent="0.3">
      <c r="J56059"/>
    </row>
    <row r="56060" spans="10:10" x14ac:dyDescent="0.3">
      <c r="J56060"/>
    </row>
    <row r="56061" spans="10:10" x14ac:dyDescent="0.3">
      <c r="J56061"/>
    </row>
    <row r="56062" spans="10:10" x14ac:dyDescent="0.3">
      <c r="J56062"/>
    </row>
    <row r="56063" spans="10:10" x14ac:dyDescent="0.3">
      <c r="J56063"/>
    </row>
    <row r="56064" spans="10:10" x14ac:dyDescent="0.3">
      <c r="J56064"/>
    </row>
    <row r="56065" spans="10:10" x14ac:dyDescent="0.3">
      <c r="J56065"/>
    </row>
    <row r="56066" spans="10:10" x14ac:dyDescent="0.3">
      <c r="J56066"/>
    </row>
    <row r="56067" spans="10:10" x14ac:dyDescent="0.3">
      <c r="J56067"/>
    </row>
    <row r="56068" spans="10:10" x14ac:dyDescent="0.3">
      <c r="J56068"/>
    </row>
    <row r="56069" spans="10:10" x14ac:dyDescent="0.3">
      <c r="J56069"/>
    </row>
    <row r="56070" spans="10:10" x14ac:dyDescent="0.3">
      <c r="J56070"/>
    </row>
    <row r="56071" spans="10:10" x14ac:dyDescent="0.3">
      <c r="J56071"/>
    </row>
    <row r="56072" spans="10:10" x14ac:dyDescent="0.3">
      <c r="J56072"/>
    </row>
    <row r="56073" spans="10:10" x14ac:dyDescent="0.3">
      <c r="J56073"/>
    </row>
    <row r="56074" spans="10:10" x14ac:dyDescent="0.3">
      <c r="J56074"/>
    </row>
    <row r="56075" spans="10:10" x14ac:dyDescent="0.3">
      <c r="J56075"/>
    </row>
    <row r="56076" spans="10:10" x14ac:dyDescent="0.3">
      <c r="J56076"/>
    </row>
    <row r="56077" spans="10:10" x14ac:dyDescent="0.3">
      <c r="J56077"/>
    </row>
    <row r="56078" spans="10:10" x14ac:dyDescent="0.3">
      <c r="J56078"/>
    </row>
    <row r="56079" spans="10:10" x14ac:dyDescent="0.3">
      <c r="J56079"/>
    </row>
    <row r="56080" spans="10:10" x14ac:dyDescent="0.3">
      <c r="J56080"/>
    </row>
    <row r="56081" spans="10:10" x14ac:dyDescent="0.3">
      <c r="J56081"/>
    </row>
    <row r="56082" spans="10:10" x14ac:dyDescent="0.3">
      <c r="J56082"/>
    </row>
    <row r="56083" spans="10:10" x14ac:dyDescent="0.3">
      <c r="J56083"/>
    </row>
    <row r="56084" spans="10:10" x14ac:dyDescent="0.3">
      <c r="J56084"/>
    </row>
    <row r="56085" spans="10:10" x14ac:dyDescent="0.3">
      <c r="J56085"/>
    </row>
    <row r="56086" spans="10:10" x14ac:dyDescent="0.3">
      <c r="J56086"/>
    </row>
    <row r="56087" spans="10:10" x14ac:dyDescent="0.3">
      <c r="J56087"/>
    </row>
    <row r="56088" spans="10:10" x14ac:dyDescent="0.3">
      <c r="J56088"/>
    </row>
    <row r="56089" spans="10:10" x14ac:dyDescent="0.3">
      <c r="J56089"/>
    </row>
    <row r="56090" spans="10:10" x14ac:dyDescent="0.3">
      <c r="J56090"/>
    </row>
    <row r="56091" spans="10:10" x14ac:dyDescent="0.3">
      <c r="J56091"/>
    </row>
    <row r="56092" spans="10:10" x14ac:dyDescent="0.3">
      <c r="J56092"/>
    </row>
    <row r="56093" spans="10:10" x14ac:dyDescent="0.3">
      <c r="J56093"/>
    </row>
    <row r="56094" spans="10:10" x14ac:dyDescent="0.3">
      <c r="J56094"/>
    </row>
    <row r="56095" spans="10:10" x14ac:dyDescent="0.3">
      <c r="J56095"/>
    </row>
    <row r="56096" spans="10:10" x14ac:dyDescent="0.3">
      <c r="J56096"/>
    </row>
    <row r="56097" spans="10:10" x14ac:dyDescent="0.3">
      <c r="J56097"/>
    </row>
    <row r="56098" spans="10:10" x14ac:dyDescent="0.3">
      <c r="J56098"/>
    </row>
    <row r="56099" spans="10:10" x14ac:dyDescent="0.3">
      <c r="J56099"/>
    </row>
    <row r="56100" spans="10:10" x14ac:dyDescent="0.3">
      <c r="J56100"/>
    </row>
    <row r="56101" spans="10:10" x14ac:dyDescent="0.3">
      <c r="J56101"/>
    </row>
    <row r="56102" spans="10:10" x14ac:dyDescent="0.3">
      <c r="J56102"/>
    </row>
    <row r="56103" spans="10:10" x14ac:dyDescent="0.3">
      <c r="J56103"/>
    </row>
    <row r="56104" spans="10:10" x14ac:dyDescent="0.3">
      <c r="J56104"/>
    </row>
    <row r="56105" spans="10:10" x14ac:dyDescent="0.3">
      <c r="J56105"/>
    </row>
    <row r="56106" spans="10:10" x14ac:dyDescent="0.3">
      <c r="J56106"/>
    </row>
    <row r="56107" spans="10:10" x14ac:dyDescent="0.3">
      <c r="J56107"/>
    </row>
    <row r="56108" spans="10:10" x14ac:dyDescent="0.3">
      <c r="J56108"/>
    </row>
    <row r="56109" spans="10:10" x14ac:dyDescent="0.3">
      <c r="J56109"/>
    </row>
    <row r="56110" spans="10:10" x14ac:dyDescent="0.3">
      <c r="J56110"/>
    </row>
    <row r="56111" spans="10:10" x14ac:dyDescent="0.3">
      <c r="J56111"/>
    </row>
    <row r="56112" spans="10:10" x14ac:dyDescent="0.3">
      <c r="J56112"/>
    </row>
    <row r="56113" spans="10:10" x14ac:dyDescent="0.3">
      <c r="J56113"/>
    </row>
    <row r="56114" spans="10:10" x14ac:dyDescent="0.3">
      <c r="J56114"/>
    </row>
    <row r="56115" spans="10:10" x14ac:dyDescent="0.3">
      <c r="J56115"/>
    </row>
    <row r="56116" spans="10:10" x14ac:dyDescent="0.3">
      <c r="J56116"/>
    </row>
    <row r="56117" spans="10:10" x14ac:dyDescent="0.3">
      <c r="J56117"/>
    </row>
    <row r="56118" spans="10:10" x14ac:dyDescent="0.3">
      <c r="J56118"/>
    </row>
    <row r="56119" spans="10:10" x14ac:dyDescent="0.3">
      <c r="J56119"/>
    </row>
    <row r="56120" spans="10:10" x14ac:dyDescent="0.3">
      <c r="J56120"/>
    </row>
    <row r="56121" spans="10:10" x14ac:dyDescent="0.3">
      <c r="J56121"/>
    </row>
    <row r="56122" spans="10:10" x14ac:dyDescent="0.3">
      <c r="J56122"/>
    </row>
    <row r="56123" spans="10:10" x14ac:dyDescent="0.3">
      <c r="J56123"/>
    </row>
    <row r="56124" spans="10:10" x14ac:dyDescent="0.3">
      <c r="J56124"/>
    </row>
    <row r="56125" spans="10:10" x14ac:dyDescent="0.3">
      <c r="J56125"/>
    </row>
    <row r="56126" spans="10:10" x14ac:dyDescent="0.3">
      <c r="J56126"/>
    </row>
    <row r="56127" spans="10:10" x14ac:dyDescent="0.3">
      <c r="J56127"/>
    </row>
    <row r="56128" spans="10:10" x14ac:dyDescent="0.3">
      <c r="J56128"/>
    </row>
    <row r="56129" spans="10:10" x14ac:dyDescent="0.3">
      <c r="J56129"/>
    </row>
    <row r="56130" spans="10:10" x14ac:dyDescent="0.3">
      <c r="J56130"/>
    </row>
    <row r="56131" spans="10:10" x14ac:dyDescent="0.3">
      <c r="J56131"/>
    </row>
    <row r="56132" spans="10:10" x14ac:dyDescent="0.3">
      <c r="J56132"/>
    </row>
    <row r="56133" spans="10:10" x14ac:dyDescent="0.3">
      <c r="J56133"/>
    </row>
    <row r="56134" spans="10:10" x14ac:dyDescent="0.3">
      <c r="J56134"/>
    </row>
    <row r="56135" spans="10:10" x14ac:dyDescent="0.3">
      <c r="J56135"/>
    </row>
    <row r="56136" spans="10:10" x14ac:dyDescent="0.3">
      <c r="J56136"/>
    </row>
    <row r="56137" spans="10:10" x14ac:dyDescent="0.3">
      <c r="J56137"/>
    </row>
    <row r="56138" spans="10:10" x14ac:dyDescent="0.3">
      <c r="J56138"/>
    </row>
    <row r="56139" spans="10:10" x14ac:dyDescent="0.3">
      <c r="J56139"/>
    </row>
    <row r="56140" spans="10:10" x14ac:dyDescent="0.3">
      <c r="J56140"/>
    </row>
    <row r="56141" spans="10:10" x14ac:dyDescent="0.3">
      <c r="J56141"/>
    </row>
    <row r="56142" spans="10:10" x14ac:dyDescent="0.3">
      <c r="J56142"/>
    </row>
    <row r="56143" spans="10:10" x14ac:dyDescent="0.3">
      <c r="J56143"/>
    </row>
    <row r="56144" spans="10:10" x14ac:dyDescent="0.3">
      <c r="J56144"/>
    </row>
    <row r="56145" spans="10:10" x14ac:dyDescent="0.3">
      <c r="J56145"/>
    </row>
    <row r="56146" spans="10:10" x14ac:dyDescent="0.3">
      <c r="J56146"/>
    </row>
    <row r="56147" spans="10:10" x14ac:dyDescent="0.3">
      <c r="J56147"/>
    </row>
    <row r="56148" spans="10:10" x14ac:dyDescent="0.3">
      <c r="J56148"/>
    </row>
    <row r="56149" spans="10:10" x14ac:dyDescent="0.3">
      <c r="J56149"/>
    </row>
    <row r="56150" spans="10:10" x14ac:dyDescent="0.3">
      <c r="J56150"/>
    </row>
    <row r="56151" spans="10:10" x14ac:dyDescent="0.3">
      <c r="J56151"/>
    </row>
    <row r="56152" spans="10:10" x14ac:dyDescent="0.3">
      <c r="J56152"/>
    </row>
    <row r="56153" spans="10:10" x14ac:dyDescent="0.3">
      <c r="J56153"/>
    </row>
    <row r="56154" spans="10:10" x14ac:dyDescent="0.3">
      <c r="J56154"/>
    </row>
    <row r="56155" spans="10:10" x14ac:dyDescent="0.3">
      <c r="J56155"/>
    </row>
    <row r="56156" spans="10:10" x14ac:dyDescent="0.3">
      <c r="J56156"/>
    </row>
    <row r="56157" spans="10:10" x14ac:dyDescent="0.3">
      <c r="J56157"/>
    </row>
    <row r="56158" spans="10:10" x14ac:dyDescent="0.3">
      <c r="J56158"/>
    </row>
    <row r="56159" spans="10:10" x14ac:dyDescent="0.3">
      <c r="J56159"/>
    </row>
    <row r="56160" spans="10:10" x14ac:dyDescent="0.3">
      <c r="J56160"/>
    </row>
    <row r="56161" spans="10:10" x14ac:dyDescent="0.3">
      <c r="J56161"/>
    </row>
    <row r="56162" spans="10:10" x14ac:dyDescent="0.3">
      <c r="J56162"/>
    </row>
    <row r="56163" spans="10:10" x14ac:dyDescent="0.3">
      <c r="J56163"/>
    </row>
    <row r="56164" spans="10:10" x14ac:dyDescent="0.3">
      <c r="J56164"/>
    </row>
    <row r="56165" spans="10:10" x14ac:dyDescent="0.3">
      <c r="J56165"/>
    </row>
    <row r="56166" spans="10:10" x14ac:dyDescent="0.3">
      <c r="J56166"/>
    </row>
    <row r="56167" spans="10:10" x14ac:dyDescent="0.3">
      <c r="J56167"/>
    </row>
    <row r="56168" spans="10:10" x14ac:dyDescent="0.3">
      <c r="J56168"/>
    </row>
    <row r="56169" spans="10:10" x14ac:dyDescent="0.3">
      <c r="J56169"/>
    </row>
    <row r="56170" spans="10:10" x14ac:dyDescent="0.3">
      <c r="J56170"/>
    </row>
    <row r="56171" spans="10:10" x14ac:dyDescent="0.3">
      <c r="J56171"/>
    </row>
    <row r="56172" spans="10:10" x14ac:dyDescent="0.3">
      <c r="J56172"/>
    </row>
    <row r="56173" spans="10:10" x14ac:dyDescent="0.3">
      <c r="J56173"/>
    </row>
    <row r="56174" spans="10:10" x14ac:dyDescent="0.3">
      <c r="J56174"/>
    </row>
    <row r="56175" spans="10:10" x14ac:dyDescent="0.3">
      <c r="J56175"/>
    </row>
    <row r="56176" spans="10:10" x14ac:dyDescent="0.3">
      <c r="J56176"/>
    </row>
    <row r="56177" spans="10:10" x14ac:dyDescent="0.3">
      <c r="J56177"/>
    </row>
    <row r="56178" spans="10:10" x14ac:dyDescent="0.3">
      <c r="J56178"/>
    </row>
    <row r="56179" spans="10:10" x14ac:dyDescent="0.3">
      <c r="J56179"/>
    </row>
    <row r="56180" spans="10:10" x14ac:dyDescent="0.3">
      <c r="J56180"/>
    </row>
    <row r="56181" spans="10:10" x14ac:dyDescent="0.3">
      <c r="J56181"/>
    </row>
    <row r="56182" spans="10:10" x14ac:dyDescent="0.3">
      <c r="J56182"/>
    </row>
    <row r="56183" spans="10:10" x14ac:dyDescent="0.3">
      <c r="J56183"/>
    </row>
    <row r="56184" spans="10:10" x14ac:dyDescent="0.3">
      <c r="J56184"/>
    </row>
    <row r="56185" spans="10:10" x14ac:dyDescent="0.3">
      <c r="J56185"/>
    </row>
    <row r="56186" spans="10:10" x14ac:dyDescent="0.3">
      <c r="J56186"/>
    </row>
    <row r="56187" spans="10:10" x14ac:dyDescent="0.3">
      <c r="J56187"/>
    </row>
    <row r="56188" spans="10:10" x14ac:dyDescent="0.3">
      <c r="J56188"/>
    </row>
    <row r="56189" spans="10:10" x14ac:dyDescent="0.3">
      <c r="J56189"/>
    </row>
    <row r="56190" spans="10:10" x14ac:dyDescent="0.3">
      <c r="J56190"/>
    </row>
    <row r="56191" spans="10:10" x14ac:dyDescent="0.3">
      <c r="J56191"/>
    </row>
    <row r="56192" spans="10:10" x14ac:dyDescent="0.3">
      <c r="J56192"/>
    </row>
    <row r="56193" spans="10:10" x14ac:dyDescent="0.3">
      <c r="J56193"/>
    </row>
    <row r="56194" spans="10:10" x14ac:dyDescent="0.3">
      <c r="J56194"/>
    </row>
    <row r="56195" spans="10:10" x14ac:dyDescent="0.3">
      <c r="J56195"/>
    </row>
    <row r="56196" spans="10:10" x14ac:dyDescent="0.3">
      <c r="J56196"/>
    </row>
    <row r="56197" spans="10:10" x14ac:dyDescent="0.3">
      <c r="J56197"/>
    </row>
    <row r="56198" spans="10:10" x14ac:dyDescent="0.3">
      <c r="J56198"/>
    </row>
    <row r="56199" spans="10:10" x14ac:dyDescent="0.3">
      <c r="J56199"/>
    </row>
    <row r="56200" spans="10:10" x14ac:dyDescent="0.3">
      <c r="J56200"/>
    </row>
    <row r="56201" spans="10:10" x14ac:dyDescent="0.3">
      <c r="J56201"/>
    </row>
    <row r="56202" spans="10:10" x14ac:dyDescent="0.3">
      <c r="J56202"/>
    </row>
    <row r="56203" spans="10:10" x14ac:dyDescent="0.3">
      <c r="J56203"/>
    </row>
    <row r="56204" spans="10:10" x14ac:dyDescent="0.3">
      <c r="J56204"/>
    </row>
    <row r="56205" spans="10:10" x14ac:dyDescent="0.3">
      <c r="J56205"/>
    </row>
    <row r="56206" spans="10:10" x14ac:dyDescent="0.3">
      <c r="J56206"/>
    </row>
    <row r="56207" spans="10:10" x14ac:dyDescent="0.3">
      <c r="J56207"/>
    </row>
    <row r="56208" spans="10:10" x14ac:dyDescent="0.3">
      <c r="J56208"/>
    </row>
    <row r="56209" spans="10:10" x14ac:dyDescent="0.3">
      <c r="J56209"/>
    </row>
    <row r="56210" spans="10:10" x14ac:dyDescent="0.3">
      <c r="J56210"/>
    </row>
    <row r="56211" spans="10:10" x14ac:dyDescent="0.3">
      <c r="J56211"/>
    </row>
    <row r="56212" spans="10:10" x14ac:dyDescent="0.3">
      <c r="J56212"/>
    </row>
    <row r="56213" spans="10:10" x14ac:dyDescent="0.3">
      <c r="J56213"/>
    </row>
    <row r="56214" spans="10:10" x14ac:dyDescent="0.3">
      <c r="J56214"/>
    </row>
    <row r="56215" spans="10:10" x14ac:dyDescent="0.3">
      <c r="J56215"/>
    </row>
    <row r="56216" spans="10:10" x14ac:dyDescent="0.3">
      <c r="J56216"/>
    </row>
    <row r="56217" spans="10:10" x14ac:dyDescent="0.3">
      <c r="J56217"/>
    </row>
    <row r="56218" spans="10:10" x14ac:dyDescent="0.3">
      <c r="J56218"/>
    </row>
    <row r="56219" spans="10:10" x14ac:dyDescent="0.3">
      <c r="J56219"/>
    </row>
    <row r="56220" spans="10:10" x14ac:dyDescent="0.3">
      <c r="J56220"/>
    </row>
    <row r="56221" spans="10:10" x14ac:dyDescent="0.3">
      <c r="J56221"/>
    </row>
    <row r="56222" spans="10:10" x14ac:dyDescent="0.3">
      <c r="J56222"/>
    </row>
    <row r="56223" spans="10:10" x14ac:dyDescent="0.3">
      <c r="J56223"/>
    </row>
    <row r="56224" spans="10:10" x14ac:dyDescent="0.3">
      <c r="J56224"/>
    </row>
    <row r="56225" spans="10:10" x14ac:dyDescent="0.3">
      <c r="J56225"/>
    </row>
    <row r="56226" spans="10:10" x14ac:dyDescent="0.3">
      <c r="J56226"/>
    </row>
    <row r="56227" spans="10:10" x14ac:dyDescent="0.3">
      <c r="J56227"/>
    </row>
    <row r="56228" spans="10:10" x14ac:dyDescent="0.3">
      <c r="J56228"/>
    </row>
    <row r="56229" spans="10:10" x14ac:dyDescent="0.3">
      <c r="J56229"/>
    </row>
    <row r="56230" spans="10:10" x14ac:dyDescent="0.3">
      <c r="J56230"/>
    </row>
    <row r="56231" spans="10:10" x14ac:dyDescent="0.3">
      <c r="J56231"/>
    </row>
    <row r="56232" spans="10:10" x14ac:dyDescent="0.3">
      <c r="J56232"/>
    </row>
    <row r="56233" spans="10:10" x14ac:dyDescent="0.3">
      <c r="J56233"/>
    </row>
    <row r="56234" spans="10:10" x14ac:dyDescent="0.3">
      <c r="J56234"/>
    </row>
    <row r="56235" spans="10:10" x14ac:dyDescent="0.3">
      <c r="J56235"/>
    </row>
    <row r="56236" spans="10:10" x14ac:dyDescent="0.3">
      <c r="J56236"/>
    </row>
    <row r="56237" spans="10:10" x14ac:dyDescent="0.3">
      <c r="J56237"/>
    </row>
    <row r="56238" spans="10:10" x14ac:dyDescent="0.3">
      <c r="J56238"/>
    </row>
    <row r="56239" spans="10:10" x14ac:dyDescent="0.3">
      <c r="J56239"/>
    </row>
    <row r="56240" spans="10:10" x14ac:dyDescent="0.3">
      <c r="J56240"/>
    </row>
    <row r="56241" spans="10:10" x14ac:dyDescent="0.3">
      <c r="J56241"/>
    </row>
    <row r="56242" spans="10:10" x14ac:dyDescent="0.3">
      <c r="J56242"/>
    </row>
    <row r="56243" spans="10:10" x14ac:dyDescent="0.3">
      <c r="J56243"/>
    </row>
    <row r="56244" spans="10:10" x14ac:dyDescent="0.3">
      <c r="J56244"/>
    </row>
    <row r="56245" spans="10:10" x14ac:dyDescent="0.3">
      <c r="J56245"/>
    </row>
    <row r="56246" spans="10:10" x14ac:dyDescent="0.3">
      <c r="J56246"/>
    </row>
    <row r="56247" spans="10:10" x14ac:dyDescent="0.3">
      <c r="J56247"/>
    </row>
    <row r="56248" spans="10:10" x14ac:dyDescent="0.3">
      <c r="J56248"/>
    </row>
    <row r="56249" spans="10:10" x14ac:dyDescent="0.3">
      <c r="J56249"/>
    </row>
    <row r="56250" spans="10:10" x14ac:dyDescent="0.3">
      <c r="J56250"/>
    </row>
    <row r="56251" spans="10:10" x14ac:dyDescent="0.3">
      <c r="J56251"/>
    </row>
    <row r="56252" spans="10:10" x14ac:dyDescent="0.3">
      <c r="J56252"/>
    </row>
    <row r="56253" spans="10:10" x14ac:dyDescent="0.3">
      <c r="J56253"/>
    </row>
    <row r="56254" spans="10:10" x14ac:dyDescent="0.3">
      <c r="J56254"/>
    </row>
    <row r="56255" spans="10:10" x14ac:dyDescent="0.3">
      <c r="J56255"/>
    </row>
    <row r="56256" spans="10:10" x14ac:dyDescent="0.3">
      <c r="J56256"/>
    </row>
    <row r="56257" spans="10:10" x14ac:dyDescent="0.3">
      <c r="J56257"/>
    </row>
    <row r="56258" spans="10:10" x14ac:dyDescent="0.3">
      <c r="J56258"/>
    </row>
    <row r="56259" spans="10:10" x14ac:dyDescent="0.3">
      <c r="J56259"/>
    </row>
    <row r="56260" spans="10:10" x14ac:dyDescent="0.3">
      <c r="J56260"/>
    </row>
    <row r="56261" spans="10:10" x14ac:dyDescent="0.3">
      <c r="J56261"/>
    </row>
    <row r="56262" spans="10:10" x14ac:dyDescent="0.3">
      <c r="J56262"/>
    </row>
    <row r="56263" spans="10:10" x14ac:dyDescent="0.3">
      <c r="J56263"/>
    </row>
    <row r="56264" spans="10:10" x14ac:dyDescent="0.3">
      <c r="J56264"/>
    </row>
    <row r="56265" spans="10:10" x14ac:dyDescent="0.3">
      <c r="J56265"/>
    </row>
    <row r="56266" spans="10:10" x14ac:dyDescent="0.3">
      <c r="J56266"/>
    </row>
    <row r="56267" spans="10:10" x14ac:dyDescent="0.3">
      <c r="J56267"/>
    </row>
    <row r="56268" spans="10:10" x14ac:dyDescent="0.3">
      <c r="J56268"/>
    </row>
    <row r="56269" spans="10:10" x14ac:dyDescent="0.3">
      <c r="J56269"/>
    </row>
    <row r="56270" spans="10:10" x14ac:dyDescent="0.3">
      <c r="J56270"/>
    </row>
    <row r="56271" spans="10:10" x14ac:dyDescent="0.3">
      <c r="J56271"/>
    </row>
    <row r="56272" spans="10:10" x14ac:dyDescent="0.3">
      <c r="J56272"/>
    </row>
    <row r="56273" spans="10:10" x14ac:dyDescent="0.3">
      <c r="J56273"/>
    </row>
    <row r="56274" spans="10:10" x14ac:dyDescent="0.3">
      <c r="J56274"/>
    </row>
    <row r="56275" spans="10:10" x14ac:dyDescent="0.3">
      <c r="J56275"/>
    </row>
    <row r="56276" spans="10:10" x14ac:dyDescent="0.3">
      <c r="J56276"/>
    </row>
    <row r="56277" spans="10:10" x14ac:dyDescent="0.3">
      <c r="J56277"/>
    </row>
    <row r="56278" spans="10:10" x14ac:dyDescent="0.3">
      <c r="J56278"/>
    </row>
    <row r="56279" spans="10:10" x14ac:dyDescent="0.3">
      <c r="J56279"/>
    </row>
    <row r="56280" spans="10:10" x14ac:dyDescent="0.3">
      <c r="J56280"/>
    </row>
    <row r="56281" spans="10:10" x14ac:dyDescent="0.3">
      <c r="J56281"/>
    </row>
    <row r="56282" spans="10:10" x14ac:dyDescent="0.3">
      <c r="J56282"/>
    </row>
    <row r="56283" spans="10:10" x14ac:dyDescent="0.3">
      <c r="J56283"/>
    </row>
    <row r="56284" spans="10:10" x14ac:dyDescent="0.3">
      <c r="J56284"/>
    </row>
    <row r="56285" spans="10:10" x14ac:dyDescent="0.3">
      <c r="J56285"/>
    </row>
    <row r="56286" spans="10:10" x14ac:dyDescent="0.3">
      <c r="J56286"/>
    </row>
    <row r="56287" spans="10:10" x14ac:dyDescent="0.3">
      <c r="J56287"/>
    </row>
    <row r="56288" spans="10:10" x14ac:dyDescent="0.3">
      <c r="J56288"/>
    </row>
    <row r="56289" spans="10:10" x14ac:dyDescent="0.3">
      <c r="J56289"/>
    </row>
    <row r="56290" spans="10:10" x14ac:dyDescent="0.3">
      <c r="J56290"/>
    </row>
    <row r="56291" spans="10:10" x14ac:dyDescent="0.3">
      <c r="J56291"/>
    </row>
    <row r="56292" spans="10:10" x14ac:dyDescent="0.3">
      <c r="J56292"/>
    </row>
    <row r="56293" spans="10:10" x14ac:dyDescent="0.3">
      <c r="J56293"/>
    </row>
    <row r="56294" spans="10:10" x14ac:dyDescent="0.3">
      <c r="J56294"/>
    </row>
    <row r="56295" spans="10:10" x14ac:dyDescent="0.3">
      <c r="J56295"/>
    </row>
    <row r="56296" spans="10:10" x14ac:dyDescent="0.3">
      <c r="J56296"/>
    </row>
    <row r="56297" spans="10:10" x14ac:dyDescent="0.3">
      <c r="J56297"/>
    </row>
    <row r="56298" spans="10:10" x14ac:dyDescent="0.3">
      <c r="J56298"/>
    </row>
    <row r="56299" spans="10:10" x14ac:dyDescent="0.3">
      <c r="J56299"/>
    </row>
    <row r="56300" spans="10:10" x14ac:dyDescent="0.3">
      <c r="J56300"/>
    </row>
    <row r="56301" spans="10:10" x14ac:dyDescent="0.3">
      <c r="J56301"/>
    </row>
    <row r="56302" spans="10:10" x14ac:dyDescent="0.3">
      <c r="J56302"/>
    </row>
    <row r="56303" spans="10:10" x14ac:dyDescent="0.3">
      <c r="J56303"/>
    </row>
    <row r="56304" spans="10:10" x14ac:dyDescent="0.3">
      <c r="J56304"/>
    </row>
    <row r="56305" spans="10:10" x14ac:dyDescent="0.3">
      <c r="J56305"/>
    </row>
    <row r="56306" spans="10:10" x14ac:dyDescent="0.3">
      <c r="J56306"/>
    </row>
    <row r="56307" spans="10:10" x14ac:dyDescent="0.3">
      <c r="J56307"/>
    </row>
    <row r="56308" spans="10:10" x14ac:dyDescent="0.3">
      <c r="J56308"/>
    </row>
    <row r="56309" spans="10:10" x14ac:dyDescent="0.3">
      <c r="J56309"/>
    </row>
    <row r="56310" spans="10:10" x14ac:dyDescent="0.3">
      <c r="J56310"/>
    </row>
    <row r="56311" spans="10:10" x14ac:dyDescent="0.3">
      <c r="J56311"/>
    </row>
    <row r="56312" spans="10:10" x14ac:dyDescent="0.3">
      <c r="J56312"/>
    </row>
    <row r="56313" spans="10:10" x14ac:dyDescent="0.3">
      <c r="J56313"/>
    </row>
    <row r="56314" spans="10:10" x14ac:dyDescent="0.3">
      <c r="J56314"/>
    </row>
    <row r="56315" spans="10:10" x14ac:dyDescent="0.3">
      <c r="J56315"/>
    </row>
    <row r="56316" spans="10:10" x14ac:dyDescent="0.3">
      <c r="J56316"/>
    </row>
    <row r="56317" spans="10:10" x14ac:dyDescent="0.3">
      <c r="J56317"/>
    </row>
    <row r="56318" spans="10:10" x14ac:dyDescent="0.3">
      <c r="J56318"/>
    </row>
    <row r="56319" spans="10:10" x14ac:dyDescent="0.3">
      <c r="J56319"/>
    </row>
    <row r="56320" spans="10:10" x14ac:dyDescent="0.3">
      <c r="J56320"/>
    </row>
    <row r="56321" spans="10:10" x14ac:dyDescent="0.3">
      <c r="J56321"/>
    </row>
    <row r="56322" spans="10:10" x14ac:dyDescent="0.3">
      <c r="J56322"/>
    </row>
    <row r="56323" spans="10:10" x14ac:dyDescent="0.3">
      <c r="J56323"/>
    </row>
    <row r="56324" spans="10:10" x14ac:dyDescent="0.3">
      <c r="J56324"/>
    </row>
    <row r="56325" spans="10:10" x14ac:dyDescent="0.3">
      <c r="J56325"/>
    </row>
    <row r="56326" spans="10:10" x14ac:dyDescent="0.3">
      <c r="J56326"/>
    </row>
    <row r="56327" spans="10:10" x14ac:dyDescent="0.3">
      <c r="J56327"/>
    </row>
    <row r="56328" spans="10:10" x14ac:dyDescent="0.3">
      <c r="J56328"/>
    </row>
    <row r="56329" spans="10:10" x14ac:dyDescent="0.3">
      <c r="J56329"/>
    </row>
    <row r="56330" spans="10:10" x14ac:dyDescent="0.3">
      <c r="J56330"/>
    </row>
    <row r="56331" spans="10:10" x14ac:dyDescent="0.3">
      <c r="J56331"/>
    </row>
    <row r="56332" spans="10:10" x14ac:dyDescent="0.3">
      <c r="J56332"/>
    </row>
    <row r="56333" spans="10:10" x14ac:dyDescent="0.3">
      <c r="J56333"/>
    </row>
    <row r="56334" spans="10:10" x14ac:dyDescent="0.3">
      <c r="J56334"/>
    </row>
    <row r="56335" spans="10:10" x14ac:dyDescent="0.3">
      <c r="J56335"/>
    </row>
    <row r="56336" spans="10:10" x14ac:dyDescent="0.3">
      <c r="J56336"/>
    </row>
    <row r="56337" spans="10:10" x14ac:dyDescent="0.3">
      <c r="J56337"/>
    </row>
    <row r="56338" spans="10:10" x14ac:dyDescent="0.3">
      <c r="J56338"/>
    </row>
    <row r="56339" spans="10:10" x14ac:dyDescent="0.3">
      <c r="J56339"/>
    </row>
    <row r="56340" spans="10:10" x14ac:dyDescent="0.3">
      <c r="J56340"/>
    </row>
    <row r="56341" spans="10:10" x14ac:dyDescent="0.3">
      <c r="J56341"/>
    </row>
    <row r="56342" spans="10:10" x14ac:dyDescent="0.3">
      <c r="J56342"/>
    </row>
    <row r="56343" spans="10:10" x14ac:dyDescent="0.3">
      <c r="J56343"/>
    </row>
    <row r="56344" spans="10:10" x14ac:dyDescent="0.3">
      <c r="J56344"/>
    </row>
    <row r="56345" spans="10:10" x14ac:dyDescent="0.3">
      <c r="J56345"/>
    </row>
    <row r="56346" spans="10:10" x14ac:dyDescent="0.3">
      <c r="J56346"/>
    </row>
    <row r="56347" spans="10:10" x14ac:dyDescent="0.3">
      <c r="J56347"/>
    </row>
    <row r="56348" spans="10:10" x14ac:dyDescent="0.3">
      <c r="J56348"/>
    </row>
    <row r="56349" spans="10:10" x14ac:dyDescent="0.3">
      <c r="J56349"/>
    </row>
    <row r="56350" spans="10:10" x14ac:dyDescent="0.3">
      <c r="J56350"/>
    </row>
    <row r="56351" spans="10:10" x14ac:dyDescent="0.3">
      <c r="J56351"/>
    </row>
    <row r="56352" spans="10:10" x14ac:dyDescent="0.3">
      <c r="J56352"/>
    </row>
    <row r="56353" spans="10:10" x14ac:dyDescent="0.3">
      <c r="J56353"/>
    </row>
    <row r="56354" spans="10:10" x14ac:dyDescent="0.3">
      <c r="J56354"/>
    </row>
    <row r="56355" spans="10:10" x14ac:dyDescent="0.3">
      <c r="J56355"/>
    </row>
    <row r="56356" spans="10:10" x14ac:dyDescent="0.3">
      <c r="J56356"/>
    </row>
    <row r="56357" spans="10:10" x14ac:dyDescent="0.3">
      <c r="J56357"/>
    </row>
    <row r="56358" spans="10:10" x14ac:dyDescent="0.3">
      <c r="J56358"/>
    </row>
    <row r="56359" spans="10:10" x14ac:dyDescent="0.3">
      <c r="J56359"/>
    </row>
    <row r="56360" spans="10:10" x14ac:dyDescent="0.3">
      <c r="J56360"/>
    </row>
    <row r="56361" spans="10:10" x14ac:dyDescent="0.3">
      <c r="J56361"/>
    </row>
    <row r="56362" spans="10:10" x14ac:dyDescent="0.3">
      <c r="J56362"/>
    </row>
    <row r="56363" spans="10:10" x14ac:dyDescent="0.3">
      <c r="J56363"/>
    </row>
    <row r="56364" spans="10:10" x14ac:dyDescent="0.3">
      <c r="J56364"/>
    </row>
    <row r="56365" spans="10:10" x14ac:dyDescent="0.3">
      <c r="J56365"/>
    </row>
    <row r="56366" spans="10:10" x14ac:dyDescent="0.3">
      <c r="J56366"/>
    </row>
    <row r="56367" spans="10:10" x14ac:dyDescent="0.3">
      <c r="J56367"/>
    </row>
    <row r="56368" spans="10:10" x14ac:dyDescent="0.3">
      <c r="J56368"/>
    </row>
    <row r="56369" spans="10:10" x14ac:dyDescent="0.3">
      <c r="J56369"/>
    </row>
    <row r="56370" spans="10:10" x14ac:dyDescent="0.3">
      <c r="J56370"/>
    </row>
    <row r="56371" spans="10:10" x14ac:dyDescent="0.3">
      <c r="J56371"/>
    </row>
    <row r="56372" spans="10:10" x14ac:dyDescent="0.3">
      <c r="J56372"/>
    </row>
    <row r="56373" spans="10:10" x14ac:dyDescent="0.3">
      <c r="J56373"/>
    </row>
    <row r="56374" spans="10:10" x14ac:dyDescent="0.3">
      <c r="J56374"/>
    </row>
    <row r="56375" spans="10:10" x14ac:dyDescent="0.3">
      <c r="J56375"/>
    </row>
    <row r="56376" spans="10:10" x14ac:dyDescent="0.3">
      <c r="J56376"/>
    </row>
    <row r="56377" spans="10:10" x14ac:dyDescent="0.3">
      <c r="J56377"/>
    </row>
    <row r="56378" spans="10:10" x14ac:dyDescent="0.3">
      <c r="J56378"/>
    </row>
    <row r="56379" spans="10:10" x14ac:dyDescent="0.3">
      <c r="J56379"/>
    </row>
    <row r="56380" spans="10:10" x14ac:dyDescent="0.3">
      <c r="J56380"/>
    </row>
    <row r="56381" spans="10:10" x14ac:dyDescent="0.3">
      <c r="J56381"/>
    </row>
    <row r="56382" spans="10:10" x14ac:dyDescent="0.3">
      <c r="J56382"/>
    </row>
    <row r="56383" spans="10:10" x14ac:dyDescent="0.3">
      <c r="J56383"/>
    </row>
    <row r="56384" spans="10:10" x14ac:dyDescent="0.3">
      <c r="J56384"/>
    </row>
    <row r="56385" spans="10:10" x14ac:dyDescent="0.3">
      <c r="J56385"/>
    </row>
    <row r="56386" spans="10:10" x14ac:dyDescent="0.3">
      <c r="J56386"/>
    </row>
    <row r="56387" spans="10:10" x14ac:dyDescent="0.3">
      <c r="J56387"/>
    </row>
    <row r="56388" spans="10:10" x14ac:dyDescent="0.3">
      <c r="J56388"/>
    </row>
    <row r="56389" spans="10:10" x14ac:dyDescent="0.3">
      <c r="J56389"/>
    </row>
    <row r="56390" spans="10:10" x14ac:dyDescent="0.3">
      <c r="J56390"/>
    </row>
    <row r="56391" spans="10:10" x14ac:dyDescent="0.3">
      <c r="J56391"/>
    </row>
    <row r="56392" spans="10:10" x14ac:dyDescent="0.3">
      <c r="J56392"/>
    </row>
    <row r="56393" spans="10:10" x14ac:dyDescent="0.3">
      <c r="J56393"/>
    </row>
    <row r="56394" spans="10:10" x14ac:dyDescent="0.3">
      <c r="J56394"/>
    </row>
    <row r="56395" spans="10:10" x14ac:dyDescent="0.3">
      <c r="J56395"/>
    </row>
    <row r="56396" spans="10:10" x14ac:dyDescent="0.3">
      <c r="J56396"/>
    </row>
    <row r="56397" spans="10:10" x14ac:dyDescent="0.3">
      <c r="J56397"/>
    </row>
    <row r="56398" spans="10:10" x14ac:dyDescent="0.3">
      <c r="J56398"/>
    </row>
    <row r="56399" spans="10:10" x14ac:dyDescent="0.3">
      <c r="J56399"/>
    </row>
    <row r="56400" spans="10:10" x14ac:dyDescent="0.3">
      <c r="J56400"/>
    </row>
    <row r="56401" spans="10:10" x14ac:dyDescent="0.3">
      <c r="J56401"/>
    </row>
    <row r="56402" spans="10:10" x14ac:dyDescent="0.3">
      <c r="J56402"/>
    </row>
    <row r="56403" spans="10:10" x14ac:dyDescent="0.3">
      <c r="J56403"/>
    </row>
    <row r="56404" spans="10:10" x14ac:dyDescent="0.3">
      <c r="J56404"/>
    </row>
    <row r="56405" spans="10:10" x14ac:dyDescent="0.3">
      <c r="J56405"/>
    </row>
    <row r="56406" spans="10:10" x14ac:dyDescent="0.3">
      <c r="J56406"/>
    </row>
    <row r="56407" spans="10:10" x14ac:dyDescent="0.3">
      <c r="J56407"/>
    </row>
    <row r="56408" spans="10:10" x14ac:dyDescent="0.3">
      <c r="J56408"/>
    </row>
    <row r="56409" spans="10:10" x14ac:dyDescent="0.3">
      <c r="J56409"/>
    </row>
    <row r="56410" spans="10:10" x14ac:dyDescent="0.3">
      <c r="J56410"/>
    </row>
    <row r="56411" spans="10:10" x14ac:dyDescent="0.3">
      <c r="J56411"/>
    </row>
    <row r="56412" spans="10:10" x14ac:dyDescent="0.3">
      <c r="J56412"/>
    </row>
    <row r="56413" spans="10:10" x14ac:dyDescent="0.3">
      <c r="J56413"/>
    </row>
    <row r="56414" spans="10:10" x14ac:dyDescent="0.3">
      <c r="J56414"/>
    </row>
    <row r="56415" spans="10:10" x14ac:dyDescent="0.3">
      <c r="J56415"/>
    </row>
    <row r="56416" spans="10:10" x14ac:dyDescent="0.3">
      <c r="J56416"/>
    </row>
    <row r="56417" spans="10:10" x14ac:dyDescent="0.3">
      <c r="J56417"/>
    </row>
    <row r="56418" spans="10:10" x14ac:dyDescent="0.3">
      <c r="J56418"/>
    </row>
    <row r="56419" spans="10:10" x14ac:dyDescent="0.3">
      <c r="J56419"/>
    </row>
    <row r="56420" spans="10:10" x14ac:dyDescent="0.3">
      <c r="J56420"/>
    </row>
    <row r="56421" spans="10:10" x14ac:dyDescent="0.3">
      <c r="J56421"/>
    </row>
    <row r="56422" spans="10:10" x14ac:dyDescent="0.3">
      <c r="J56422"/>
    </row>
    <row r="56423" spans="10:10" x14ac:dyDescent="0.3">
      <c r="J56423"/>
    </row>
    <row r="56424" spans="10:10" x14ac:dyDescent="0.3">
      <c r="J56424"/>
    </row>
    <row r="56425" spans="10:10" x14ac:dyDescent="0.3">
      <c r="J56425"/>
    </row>
    <row r="56426" spans="10:10" x14ac:dyDescent="0.3">
      <c r="J56426"/>
    </row>
    <row r="56427" spans="10:10" x14ac:dyDescent="0.3">
      <c r="J56427"/>
    </row>
    <row r="56428" spans="10:10" x14ac:dyDescent="0.3">
      <c r="J56428"/>
    </row>
    <row r="56429" spans="10:10" x14ac:dyDescent="0.3">
      <c r="J56429"/>
    </row>
    <row r="56430" spans="10:10" x14ac:dyDescent="0.3">
      <c r="J56430"/>
    </row>
    <row r="56431" spans="10:10" x14ac:dyDescent="0.3">
      <c r="J56431"/>
    </row>
    <row r="56432" spans="10:10" x14ac:dyDescent="0.3">
      <c r="J56432"/>
    </row>
    <row r="56433" spans="10:10" x14ac:dyDescent="0.3">
      <c r="J56433"/>
    </row>
    <row r="56434" spans="10:10" x14ac:dyDescent="0.3">
      <c r="J56434"/>
    </row>
    <row r="56435" spans="10:10" x14ac:dyDescent="0.3">
      <c r="J56435"/>
    </row>
    <row r="56436" spans="10:10" x14ac:dyDescent="0.3">
      <c r="J56436"/>
    </row>
    <row r="56437" spans="10:10" x14ac:dyDescent="0.3">
      <c r="J56437"/>
    </row>
    <row r="56438" spans="10:10" x14ac:dyDescent="0.3">
      <c r="J56438"/>
    </row>
    <row r="56439" spans="10:10" x14ac:dyDescent="0.3">
      <c r="J56439"/>
    </row>
    <row r="56440" spans="10:10" x14ac:dyDescent="0.3">
      <c r="J56440"/>
    </row>
    <row r="56441" spans="10:10" x14ac:dyDescent="0.3">
      <c r="J56441"/>
    </row>
    <row r="56442" spans="10:10" x14ac:dyDescent="0.3">
      <c r="J56442"/>
    </row>
    <row r="56443" spans="10:10" x14ac:dyDescent="0.3">
      <c r="J56443"/>
    </row>
    <row r="56444" spans="10:10" x14ac:dyDescent="0.3">
      <c r="J56444"/>
    </row>
    <row r="56445" spans="10:10" x14ac:dyDescent="0.3">
      <c r="J56445"/>
    </row>
    <row r="56446" spans="10:10" x14ac:dyDescent="0.3">
      <c r="J56446"/>
    </row>
    <row r="56447" spans="10:10" x14ac:dyDescent="0.3">
      <c r="J56447"/>
    </row>
    <row r="56448" spans="10:10" x14ac:dyDescent="0.3">
      <c r="J56448"/>
    </row>
    <row r="56449" spans="10:10" x14ac:dyDescent="0.3">
      <c r="J56449"/>
    </row>
    <row r="56450" spans="10:10" x14ac:dyDescent="0.3">
      <c r="J56450"/>
    </row>
    <row r="56451" spans="10:10" x14ac:dyDescent="0.3">
      <c r="J56451"/>
    </row>
    <row r="56452" spans="10:10" x14ac:dyDescent="0.3">
      <c r="J56452"/>
    </row>
    <row r="56453" spans="10:10" x14ac:dyDescent="0.3">
      <c r="J56453"/>
    </row>
    <row r="56454" spans="10:10" x14ac:dyDescent="0.3">
      <c r="J56454"/>
    </row>
    <row r="56455" spans="10:10" x14ac:dyDescent="0.3">
      <c r="J56455"/>
    </row>
    <row r="56456" spans="10:10" x14ac:dyDescent="0.3">
      <c r="J56456"/>
    </row>
    <row r="56457" spans="10:10" x14ac:dyDescent="0.3">
      <c r="J56457"/>
    </row>
    <row r="56458" spans="10:10" x14ac:dyDescent="0.3">
      <c r="J56458"/>
    </row>
    <row r="56459" spans="10:10" x14ac:dyDescent="0.3">
      <c r="J56459"/>
    </row>
    <row r="56460" spans="10:10" x14ac:dyDescent="0.3">
      <c r="J56460"/>
    </row>
    <row r="56461" spans="10:10" x14ac:dyDescent="0.3">
      <c r="J56461"/>
    </row>
    <row r="56462" spans="10:10" x14ac:dyDescent="0.3">
      <c r="J56462"/>
    </row>
    <row r="56463" spans="10:10" x14ac:dyDescent="0.3">
      <c r="J56463"/>
    </row>
    <row r="56464" spans="10:10" x14ac:dyDescent="0.3">
      <c r="J56464"/>
    </row>
    <row r="56465" spans="10:10" x14ac:dyDescent="0.3">
      <c r="J56465"/>
    </row>
    <row r="56466" spans="10:10" x14ac:dyDescent="0.3">
      <c r="J56466"/>
    </row>
    <row r="56467" spans="10:10" x14ac:dyDescent="0.3">
      <c r="J56467"/>
    </row>
    <row r="56468" spans="10:10" x14ac:dyDescent="0.3">
      <c r="J56468"/>
    </row>
    <row r="56469" spans="10:10" x14ac:dyDescent="0.3">
      <c r="J56469"/>
    </row>
    <row r="56470" spans="10:10" x14ac:dyDescent="0.3">
      <c r="J56470"/>
    </row>
    <row r="56471" spans="10:10" x14ac:dyDescent="0.3">
      <c r="J56471"/>
    </row>
    <row r="56472" spans="10:10" x14ac:dyDescent="0.3">
      <c r="J56472"/>
    </row>
    <row r="56473" spans="10:10" x14ac:dyDescent="0.3">
      <c r="J56473"/>
    </row>
    <row r="56474" spans="10:10" x14ac:dyDescent="0.3">
      <c r="J56474"/>
    </row>
    <row r="56475" spans="10:10" x14ac:dyDescent="0.3">
      <c r="J56475"/>
    </row>
    <row r="56476" spans="10:10" x14ac:dyDescent="0.3">
      <c r="J56476"/>
    </row>
    <row r="56477" spans="10:10" x14ac:dyDescent="0.3">
      <c r="J56477"/>
    </row>
    <row r="56478" spans="10:10" x14ac:dyDescent="0.3">
      <c r="J56478"/>
    </row>
    <row r="56479" spans="10:10" x14ac:dyDescent="0.3">
      <c r="J56479"/>
    </row>
    <row r="56480" spans="10:10" x14ac:dyDescent="0.3">
      <c r="J56480"/>
    </row>
    <row r="56481" spans="10:10" x14ac:dyDescent="0.3">
      <c r="J56481"/>
    </row>
    <row r="56482" spans="10:10" x14ac:dyDescent="0.3">
      <c r="J56482"/>
    </row>
    <row r="56483" spans="10:10" x14ac:dyDescent="0.3">
      <c r="J56483"/>
    </row>
    <row r="56484" spans="10:10" x14ac:dyDescent="0.3">
      <c r="J56484"/>
    </row>
    <row r="56485" spans="10:10" x14ac:dyDescent="0.3">
      <c r="J56485"/>
    </row>
    <row r="56486" spans="10:10" x14ac:dyDescent="0.3">
      <c r="J56486"/>
    </row>
    <row r="56487" spans="10:10" x14ac:dyDescent="0.3">
      <c r="J56487"/>
    </row>
    <row r="56488" spans="10:10" x14ac:dyDescent="0.3">
      <c r="J56488"/>
    </row>
    <row r="56489" spans="10:10" x14ac:dyDescent="0.3">
      <c r="J56489"/>
    </row>
    <row r="56490" spans="10:10" x14ac:dyDescent="0.3">
      <c r="J56490"/>
    </row>
    <row r="56491" spans="10:10" x14ac:dyDescent="0.3">
      <c r="J56491"/>
    </row>
    <row r="56492" spans="10:10" x14ac:dyDescent="0.3">
      <c r="J56492"/>
    </row>
    <row r="56493" spans="10:10" x14ac:dyDescent="0.3">
      <c r="J56493"/>
    </row>
    <row r="56494" spans="10:10" x14ac:dyDescent="0.3">
      <c r="J56494"/>
    </row>
    <row r="56495" spans="10:10" x14ac:dyDescent="0.3">
      <c r="J56495"/>
    </row>
    <row r="56496" spans="10:10" x14ac:dyDescent="0.3">
      <c r="J56496"/>
    </row>
    <row r="56497" spans="10:10" x14ac:dyDescent="0.3">
      <c r="J56497"/>
    </row>
    <row r="56498" spans="10:10" x14ac:dyDescent="0.3">
      <c r="J56498"/>
    </row>
    <row r="56499" spans="10:10" x14ac:dyDescent="0.3">
      <c r="J56499"/>
    </row>
    <row r="56500" spans="10:10" x14ac:dyDescent="0.3">
      <c r="J56500"/>
    </row>
    <row r="56501" spans="10:10" x14ac:dyDescent="0.3">
      <c r="J56501"/>
    </row>
    <row r="56502" spans="10:10" x14ac:dyDescent="0.3">
      <c r="J56502"/>
    </row>
    <row r="56503" spans="10:10" x14ac:dyDescent="0.3">
      <c r="J56503"/>
    </row>
    <row r="56504" spans="10:10" x14ac:dyDescent="0.3">
      <c r="J56504"/>
    </row>
    <row r="56505" spans="10:10" x14ac:dyDescent="0.3">
      <c r="J56505"/>
    </row>
    <row r="56506" spans="10:10" x14ac:dyDescent="0.3">
      <c r="J56506"/>
    </row>
    <row r="56507" spans="10:10" x14ac:dyDescent="0.3">
      <c r="J56507"/>
    </row>
    <row r="56508" spans="10:10" x14ac:dyDescent="0.3">
      <c r="J56508"/>
    </row>
    <row r="56509" spans="10:10" x14ac:dyDescent="0.3">
      <c r="J56509"/>
    </row>
    <row r="56510" spans="10:10" x14ac:dyDescent="0.3">
      <c r="J56510"/>
    </row>
    <row r="56511" spans="10:10" x14ac:dyDescent="0.3">
      <c r="J56511"/>
    </row>
    <row r="56512" spans="10:10" x14ac:dyDescent="0.3">
      <c r="J56512"/>
    </row>
    <row r="56513" spans="10:10" x14ac:dyDescent="0.3">
      <c r="J56513"/>
    </row>
    <row r="56514" spans="10:10" x14ac:dyDescent="0.3">
      <c r="J56514"/>
    </row>
    <row r="56515" spans="10:10" x14ac:dyDescent="0.3">
      <c r="J56515"/>
    </row>
    <row r="56516" spans="10:10" x14ac:dyDescent="0.3">
      <c r="J56516"/>
    </row>
    <row r="56517" spans="10:10" x14ac:dyDescent="0.3">
      <c r="J56517"/>
    </row>
    <row r="56518" spans="10:10" x14ac:dyDescent="0.3">
      <c r="J56518"/>
    </row>
    <row r="56519" spans="10:10" x14ac:dyDescent="0.3">
      <c r="J56519"/>
    </row>
    <row r="56520" spans="10:10" x14ac:dyDescent="0.3">
      <c r="J56520"/>
    </row>
    <row r="56521" spans="10:10" x14ac:dyDescent="0.3">
      <c r="J56521"/>
    </row>
    <row r="56522" spans="10:10" x14ac:dyDescent="0.3">
      <c r="J56522"/>
    </row>
    <row r="56523" spans="10:10" x14ac:dyDescent="0.3">
      <c r="J56523"/>
    </row>
    <row r="56524" spans="10:10" x14ac:dyDescent="0.3">
      <c r="J56524"/>
    </row>
    <row r="56525" spans="10:10" x14ac:dyDescent="0.3">
      <c r="J56525"/>
    </row>
    <row r="56526" spans="10:10" x14ac:dyDescent="0.3">
      <c r="J56526"/>
    </row>
    <row r="56527" spans="10:10" x14ac:dyDescent="0.3">
      <c r="J56527"/>
    </row>
    <row r="56528" spans="10:10" x14ac:dyDescent="0.3">
      <c r="J56528"/>
    </row>
    <row r="56529" spans="10:10" x14ac:dyDescent="0.3">
      <c r="J56529"/>
    </row>
    <row r="56530" spans="10:10" x14ac:dyDescent="0.3">
      <c r="J56530"/>
    </row>
    <row r="56531" spans="10:10" x14ac:dyDescent="0.3">
      <c r="J56531"/>
    </row>
    <row r="56532" spans="10:10" x14ac:dyDescent="0.3">
      <c r="J56532"/>
    </row>
    <row r="56533" spans="10:10" x14ac:dyDescent="0.3">
      <c r="J56533"/>
    </row>
    <row r="56534" spans="10:10" x14ac:dyDescent="0.3">
      <c r="J56534"/>
    </row>
    <row r="56535" spans="10:10" x14ac:dyDescent="0.3">
      <c r="J56535"/>
    </row>
    <row r="56536" spans="10:10" x14ac:dyDescent="0.3">
      <c r="J56536"/>
    </row>
    <row r="56537" spans="10:10" x14ac:dyDescent="0.3">
      <c r="J56537"/>
    </row>
    <row r="56538" spans="10:10" x14ac:dyDescent="0.3">
      <c r="J56538"/>
    </row>
    <row r="56539" spans="10:10" x14ac:dyDescent="0.3">
      <c r="J56539"/>
    </row>
    <row r="56540" spans="10:10" x14ac:dyDescent="0.3">
      <c r="J56540"/>
    </row>
    <row r="56541" spans="10:10" x14ac:dyDescent="0.3">
      <c r="J56541"/>
    </row>
    <row r="56542" spans="10:10" x14ac:dyDescent="0.3">
      <c r="J56542"/>
    </row>
    <row r="56543" spans="10:10" x14ac:dyDescent="0.3">
      <c r="J56543"/>
    </row>
    <row r="56544" spans="10:10" x14ac:dyDescent="0.3">
      <c r="J56544"/>
    </row>
    <row r="56545" spans="10:10" x14ac:dyDescent="0.3">
      <c r="J56545"/>
    </row>
    <row r="56546" spans="10:10" x14ac:dyDescent="0.3">
      <c r="J56546"/>
    </row>
    <row r="56547" spans="10:10" x14ac:dyDescent="0.3">
      <c r="J56547"/>
    </row>
    <row r="56548" spans="10:10" x14ac:dyDescent="0.3">
      <c r="J56548"/>
    </row>
    <row r="56549" spans="10:10" x14ac:dyDescent="0.3">
      <c r="J56549"/>
    </row>
    <row r="56550" spans="10:10" x14ac:dyDescent="0.3">
      <c r="J56550"/>
    </row>
    <row r="56551" spans="10:10" x14ac:dyDescent="0.3">
      <c r="J56551"/>
    </row>
    <row r="56552" spans="10:10" x14ac:dyDescent="0.3">
      <c r="J56552"/>
    </row>
    <row r="56553" spans="10:10" x14ac:dyDescent="0.3">
      <c r="J56553"/>
    </row>
    <row r="56554" spans="10:10" x14ac:dyDescent="0.3">
      <c r="J56554"/>
    </row>
    <row r="56555" spans="10:10" x14ac:dyDescent="0.3">
      <c r="J56555"/>
    </row>
    <row r="56556" spans="10:10" x14ac:dyDescent="0.3">
      <c r="J56556"/>
    </row>
    <row r="56557" spans="10:10" x14ac:dyDescent="0.3">
      <c r="J56557"/>
    </row>
    <row r="56558" spans="10:10" x14ac:dyDescent="0.3">
      <c r="J56558"/>
    </row>
    <row r="56559" spans="10:10" x14ac:dyDescent="0.3">
      <c r="J56559"/>
    </row>
    <row r="56560" spans="10:10" x14ac:dyDescent="0.3">
      <c r="J56560"/>
    </row>
    <row r="56561" spans="10:10" x14ac:dyDescent="0.3">
      <c r="J56561"/>
    </row>
    <row r="56562" spans="10:10" x14ac:dyDescent="0.3">
      <c r="J56562"/>
    </row>
    <row r="56563" spans="10:10" x14ac:dyDescent="0.3">
      <c r="J56563"/>
    </row>
    <row r="56564" spans="10:10" x14ac:dyDescent="0.3">
      <c r="J56564"/>
    </row>
    <row r="56565" spans="10:10" x14ac:dyDescent="0.3">
      <c r="J56565"/>
    </row>
    <row r="56566" spans="10:10" x14ac:dyDescent="0.3">
      <c r="J56566"/>
    </row>
    <row r="56567" spans="10:10" x14ac:dyDescent="0.3">
      <c r="J56567"/>
    </row>
    <row r="56568" spans="10:10" x14ac:dyDescent="0.3">
      <c r="J56568"/>
    </row>
    <row r="56569" spans="10:10" x14ac:dyDescent="0.3">
      <c r="J56569"/>
    </row>
    <row r="56570" spans="10:10" x14ac:dyDescent="0.3">
      <c r="J56570"/>
    </row>
    <row r="56571" spans="10:10" x14ac:dyDescent="0.3">
      <c r="J56571"/>
    </row>
    <row r="56572" spans="10:10" x14ac:dyDescent="0.3">
      <c r="J56572"/>
    </row>
    <row r="56573" spans="10:10" x14ac:dyDescent="0.3">
      <c r="J56573"/>
    </row>
    <row r="56574" spans="10:10" x14ac:dyDescent="0.3">
      <c r="J56574"/>
    </row>
    <row r="56575" spans="10:10" x14ac:dyDescent="0.3">
      <c r="J56575"/>
    </row>
    <row r="56576" spans="10:10" x14ac:dyDescent="0.3">
      <c r="J56576"/>
    </row>
    <row r="56577" spans="10:10" x14ac:dyDescent="0.3">
      <c r="J56577"/>
    </row>
    <row r="56578" spans="10:10" x14ac:dyDescent="0.3">
      <c r="J56578"/>
    </row>
    <row r="56579" spans="10:10" x14ac:dyDescent="0.3">
      <c r="J56579"/>
    </row>
    <row r="56580" spans="10:10" x14ac:dyDescent="0.3">
      <c r="J56580"/>
    </row>
    <row r="56581" spans="10:10" x14ac:dyDescent="0.3">
      <c r="J56581"/>
    </row>
    <row r="56582" spans="10:10" x14ac:dyDescent="0.3">
      <c r="J56582"/>
    </row>
    <row r="56583" spans="10:10" x14ac:dyDescent="0.3">
      <c r="J56583"/>
    </row>
    <row r="56584" spans="10:10" x14ac:dyDescent="0.3">
      <c r="J56584"/>
    </row>
    <row r="56585" spans="10:10" x14ac:dyDescent="0.3">
      <c r="J56585"/>
    </row>
    <row r="56586" spans="10:10" x14ac:dyDescent="0.3">
      <c r="J56586"/>
    </row>
    <row r="56587" spans="10:10" x14ac:dyDescent="0.3">
      <c r="J56587"/>
    </row>
    <row r="56588" spans="10:10" x14ac:dyDescent="0.3">
      <c r="J56588"/>
    </row>
    <row r="56589" spans="10:10" x14ac:dyDescent="0.3">
      <c r="J56589"/>
    </row>
    <row r="56590" spans="10:10" x14ac:dyDescent="0.3">
      <c r="J56590"/>
    </row>
    <row r="56591" spans="10:10" x14ac:dyDescent="0.3">
      <c r="J56591"/>
    </row>
    <row r="56592" spans="10:10" x14ac:dyDescent="0.3">
      <c r="J56592"/>
    </row>
    <row r="56593" spans="10:10" x14ac:dyDescent="0.3">
      <c r="J56593"/>
    </row>
    <row r="56594" spans="10:10" x14ac:dyDescent="0.3">
      <c r="J56594"/>
    </row>
    <row r="56595" spans="10:10" x14ac:dyDescent="0.3">
      <c r="J56595"/>
    </row>
    <row r="56596" spans="10:10" x14ac:dyDescent="0.3">
      <c r="J56596"/>
    </row>
    <row r="56597" spans="10:10" x14ac:dyDescent="0.3">
      <c r="J56597"/>
    </row>
    <row r="56598" spans="10:10" x14ac:dyDescent="0.3">
      <c r="J56598"/>
    </row>
    <row r="56599" spans="10:10" x14ac:dyDescent="0.3">
      <c r="J56599"/>
    </row>
    <row r="56600" spans="10:10" x14ac:dyDescent="0.3">
      <c r="J56600"/>
    </row>
    <row r="56601" spans="10:10" x14ac:dyDescent="0.3">
      <c r="J56601"/>
    </row>
    <row r="56602" spans="10:10" x14ac:dyDescent="0.3">
      <c r="J56602"/>
    </row>
    <row r="56603" spans="10:10" x14ac:dyDescent="0.3">
      <c r="J56603"/>
    </row>
    <row r="56604" spans="10:10" x14ac:dyDescent="0.3">
      <c r="J56604"/>
    </row>
    <row r="56605" spans="10:10" x14ac:dyDescent="0.3">
      <c r="J56605"/>
    </row>
    <row r="56606" spans="10:10" x14ac:dyDescent="0.3">
      <c r="J56606"/>
    </row>
    <row r="56607" spans="10:10" x14ac:dyDescent="0.3">
      <c r="J56607"/>
    </row>
    <row r="56608" spans="10:10" x14ac:dyDescent="0.3">
      <c r="J56608"/>
    </row>
    <row r="56609" spans="10:10" x14ac:dyDescent="0.3">
      <c r="J56609"/>
    </row>
    <row r="56610" spans="10:10" x14ac:dyDescent="0.3">
      <c r="J56610"/>
    </row>
    <row r="56611" spans="10:10" x14ac:dyDescent="0.3">
      <c r="J56611"/>
    </row>
    <row r="56612" spans="10:10" x14ac:dyDescent="0.3">
      <c r="J56612"/>
    </row>
    <row r="56613" spans="10:10" x14ac:dyDescent="0.3">
      <c r="J56613"/>
    </row>
    <row r="56614" spans="10:10" x14ac:dyDescent="0.3">
      <c r="J56614"/>
    </row>
    <row r="56615" spans="10:10" x14ac:dyDescent="0.3">
      <c r="J56615"/>
    </row>
    <row r="56616" spans="10:10" x14ac:dyDescent="0.3">
      <c r="J56616"/>
    </row>
    <row r="56617" spans="10:10" x14ac:dyDescent="0.3">
      <c r="J56617"/>
    </row>
    <row r="56618" spans="10:10" x14ac:dyDescent="0.3">
      <c r="J56618"/>
    </row>
    <row r="56619" spans="10:10" x14ac:dyDescent="0.3">
      <c r="J56619"/>
    </row>
    <row r="56620" spans="10:10" x14ac:dyDescent="0.3">
      <c r="J56620"/>
    </row>
    <row r="56621" spans="10:10" x14ac:dyDescent="0.3">
      <c r="J56621"/>
    </row>
    <row r="56622" spans="10:10" x14ac:dyDescent="0.3">
      <c r="J56622"/>
    </row>
    <row r="56623" spans="10:10" x14ac:dyDescent="0.3">
      <c r="J56623"/>
    </row>
    <row r="56624" spans="10:10" x14ac:dyDescent="0.3">
      <c r="J56624"/>
    </row>
    <row r="56625" spans="10:10" x14ac:dyDescent="0.3">
      <c r="J56625"/>
    </row>
    <row r="56626" spans="10:10" x14ac:dyDescent="0.3">
      <c r="J56626"/>
    </row>
    <row r="56627" spans="10:10" x14ac:dyDescent="0.3">
      <c r="J56627"/>
    </row>
    <row r="56628" spans="10:10" x14ac:dyDescent="0.3">
      <c r="J56628"/>
    </row>
    <row r="56629" spans="10:10" x14ac:dyDescent="0.3">
      <c r="J56629"/>
    </row>
    <row r="56630" spans="10:10" x14ac:dyDescent="0.3">
      <c r="J56630"/>
    </row>
    <row r="56631" spans="10:10" x14ac:dyDescent="0.3">
      <c r="J56631"/>
    </row>
    <row r="56632" spans="10:10" x14ac:dyDescent="0.3">
      <c r="J56632"/>
    </row>
    <row r="56633" spans="10:10" x14ac:dyDescent="0.3">
      <c r="J56633"/>
    </row>
    <row r="56634" spans="10:10" x14ac:dyDescent="0.3">
      <c r="J56634"/>
    </row>
    <row r="56635" spans="10:10" x14ac:dyDescent="0.3">
      <c r="J56635"/>
    </row>
    <row r="56636" spans="10:10" x14ac:dyDescent="0.3">
      <c r="J56636"/>
    </row>
    <row r="56637" spans="10:10" x14ac:dyDescent="0.3">
      <c r="J56637"/>
    </row>
    <row r="56638" spans="10:10" x14ac:dyDescent="0.3">
      <c r="J56638"/>
    </row>
    <row r="56639" spans="10:10" x14ac:dyDescent="0.3">
      <c r="J56639"/>
    </row>
    <row r="56640" spans="10:10" x14ac:dyDescent="0.3">
      <c r="J56640"/>
    </row>
    <row r="56641" spans="10:10" x14ac:dyDescent="0.3">
      <c r="J56641"/>
    </row>
    <row r="56642" spans="10:10" x14ac:dyDescent="0.3">
      <c r="J56642"/>
    </row>
    <row r="56643" spans="10:10" x14ac:dyDescent="0.3">
      <c r="J56643"/>
    </row>
    <row r="56644" spans="10:10" x14ac:dyDescent="0.3">
      <c r="J56644"/>
    </row>
    <row r="56645" spans="10:10" x14ac:dyDescent="0.3">
      <c r="J56645"/>
    </row>
    <row r="56646" spans="10:10" x14ac:dyDescent="0.3">
      <c r="J56646"/>
    </row>
    <row r="56647" spans="10:10" x14ac:dyDescent="0.3">
      <c r="J56647"/>
    </row>
    <row r="56648" spans="10:10" x14ac:dyDescent="0.3">
      <c r="J56648"/>
    </row>
    <row r="56649" spans="10:10" x14ac:dyDescent="0.3">
      <c r="J56649"/>
    </row>
    <row r="56650" spans="10:10" x14ac:dyDescent="0.3">
      <c r="J56650"/>
    </row>
    <row r="56651" spans="10:10" x14ac:dyDescent="0.3">
      <c r="J56651"/>
    </row>
    <row r="56652" spans="10:10" x14ac:dyDescent="0.3">
      <c r="J56652"/>
    </row>
    <row r="56653" spans="10:10" x14ac:dyDescent="0.3">
      <c r="J56653"/>
    </row>
    <row r="56654" spans="10:10" x14ac:dyDescent="0.3">
      <c r="J56654"/>
    </row>
    <row r="56655" spans="10:10" x14ac:dyDescent="0.3">
      <c r="J56655"/>
    </row>
    <row r="56656" spans="10:10" x14ac:dyDescent="0.3">
      <c r="J56656"/>
    </row>
    <row r="56657" spans="10:10" x14ac:dyDescent="0.3">
      <c r="J56657"/>
    </row>
    <row r="56658" spans="10:10" x14ac:dyDescent="0.3">
      <c r="J56658"/>
    </row>
    <row r="56659" spans="10:10" x14ac:dyDescent="0.3">
      <c r="J56659"/>
    </row>
    <row r="56660" spans="10:10" x14ac:dyDescent="0.3">
      <c r="J56660"/>
    </row>
    <row r="56661" spans="10:10" x14ac:dyDescent="0.3">
      <c r="J56661"/>
    </row>
    <row r="56662" spans="10:10" x14ac:dyDescent="0.3">
      <c r="J56662"/>
    </row>
    <row r="56663" spans="10:10" x14ac:dyDescent="0.3">
      <c r="J56663"/>
    </row>
    <row r="56664" spans="10:10" x14ac:dyDescent="0.3">
      <c r="J56664"/>
    </row>
    <row r="56665" spans="10:10" x14ac:dyDescent="0.3">
      <c r="J56665"/>
    </row>
    <row r="56666" spans="10:10" x14ac:dyDescent="0.3">
      <c r="J56666"/>
    </row>
    <row r="56667" spans="10:10" x14ac:dyDescent="0.3">
      <c r="J56667"/>
    </row>
    <row r="56668" spans="10:10" x14ac:dyDescent="0.3">
      <c r="J56668"/>
    </row>
    <row r="56669" spans="10:10" x14ac:dyDescent="0.3">
      <c r="J56669"/>
    </row>
    <row r="56670" spans="10:10" x14ac:dyDescent="0.3">
      <c r="J56670"/>
    </row>
    <row r="56671" spans="10:10" x14ac:dyDescent="0.3">
      <c r="J56671"/>
    </row>
    <row r="56672" spans="10:10" x14ac:dyDescent="0.3">
      <c r="J56672"/>
    </row>
    <row r="56673" spans="10:10" x14ac:dyDescent="0.3">
      <c r="J56673"/>
    </row>
    <row r="56674" spans="10:10" x14ac:dyDescent="0.3">
      <c r="J56674"/>
    </row>
    <row r="56675" spans="10:10" x14ac:dyDescent="0.3">
      <c r="J56675"/>
    </row>
    <row r="56676" spans="10:10" x14ac:dyDescent="0.3">
      <c r="J56676"/>
    </row>
    <row r="56677" spans="10:10" x14ac:dyDescent="0.3">
      <c r="J56677"/>
    </row>
    <row r="56678" spans="10:10" x14ac:dyDescent="0.3">
      <c r="J56678"/>
    </row>
    <row r="56679" spans="10:10" x14ac:dyDescent="0.3">
      <c r="J56679"/>
    </row>
    <row r="56680" spans="10:10" x14ac:dyDescent="0.3">
      <c r="J56680"/>
    </row>
    <row r="56681" spans="10:10" x14ac:dyDescent="0.3">
      <c r="J56681"/>
    </row>
    <row r="56682" spans="10:10" x14ac:dyDescent="0.3">
      <c r="J56682"/>
    </row>
    <row r="56683" spans="10:10" x14ac:dyDescent="0.3">
      <c r="J56683"/>
    </row>
    <row r="56684" spans="10:10" x14ac:dyDescent="0.3">
      <c r="J56684"/>
    </row>
    <row r="56685" spans="10:10" x14ac:dyDescent="0.3">
      <c r="J56685"/>
    </row>
    <row r="56686" spans="10:10" x14ac:dyDescent="0.3">
      <c r="J56686"/>
    </row>
    <row r="56687" spans="10:10" x14ac:dyDescent="0.3">
      <c r="J56687"/>
    </row>
    <row r="56688" spans="10:10" x14ac:dyDescent="0.3">
      <c r="J56688"/>
    </row>
    <row r="56689" spans="10:10" x14ac:dyDescent="0.3">
      <c r="J56689"/>
    </row>
    <row r="56690" spans="10:10" x14ac:dyDescent="0.3">
      <c r="J56690"/>
    </row>
    <row r="56691" spans="10:10" x14ac:dyDescent="0.3">
      <c r="J56691"/>
    </row>
    <row r="56692" spans="10:10" x14ac:dyDescent="0.3">
      <c r="J56692"/>
    </row>
    <row r="56693" spans="10:10" x14ac:dyDescent="0.3">
      <c r="J56693"/>
    </row>
    <row r="56694" spans="10:10" x14ac:dyDescent="0.3">
      <c r="J56694"/>
    </row>
    <row r="56695" spans="10:10" x14ac:dyDescent="0.3">
      <c r="J56695"/>
    </row>
    <row r="56696" spans="10:10" x14ac:dyDescent="0.3">
      <c r="J56696"/>
    </row>
    <row r="56697" spans="10:10" x14ac:dyDescent="0.3">
      <c r="J56697"/>
    </row>
    <row r="56698" spans="10:10" x14ac:dyDescent="0.3">
      <c r="J56698"/>
    </row>
    <row r="56699" spans="10:10" x14ac:dyDescent="0.3">
      <c r="J56699"/>
    </row>
    <row r="56700" spans="10:10" x14ac:dyDescent="0.3">
      <c r="J56700"/>
    </row>
    <row r="56701" spans="10:10" x14ac:dyDescent="0.3">
      <c r="J56701"/>
    </row>
    <row r="56702" spans="10:10" x14ac:dyDescent="0.3">
      <c r="J56702"/>
    </row>
    <row r="56703" spans="10:10" x14ac:dyDescent="0.3">
      <c r="J56703"/>
    </row>
    <row r="56704" spans="10:10" x14ac:dyDescent="0.3">
      <c r="J56704"/>
    </row>
    <row r="56705" spans="10:10" x14ac:dyDescent="0.3">
      <c r="J56705"/>
    </row>
    <row r="56706" spans="10:10" x14ac:dyDescent="0.3">
      <c r="J56706"/>
    </row>
    <row r="56707" spans="10:10" x14ac:dyDescent="0.3">
      <c r="J56707"/>
    </row>
    <row r="56708" spans="10:10" x14ac:dyDescent="0.3">
      <c r="J56708"/>
    </row>
    <row r="56709" spans="10:10" x14ac:dyDescent="0.3">
      <c r="J56709"/>
    </row>
    <row r="56710" spans="10:10" x14ac:dyDescent="0.3">
      <c r="J56710"/>
    </row>
    <row r="56711" spans="10:10" x14ac:dyDescent="0.3">
      <c r="J56711"/>
    </row>
    <row r="56712" spans="10:10" x14ac:dyDescent="0.3">
      <c r="J56712"/>
    </row>
    <row r="56713" spans="10:10" x14ac:dyDescent="0.3">
      <c r="J56713"/>
    </row>
    <row r="56714" spans="10:10" x14ac:dyDescent="0.3">
      <c r="J56714"/>
    </row>
    <row r="56715" spans="10:10" x14ac:dyDescent="0.3">
      <c r="J56715"/>
    </row>
    <row r="56716" spans="10:10" x14ac:dyDescent="0.3">
      <c r="J56716"/>
    </row>
    <row r="56717" spans="10:10" x14ac:dyDescent="0.3">
      <c r="J56717"/>
    </row>
    <row r="56718" spans="10:10" x14ac:dyDescent="0.3">
      <c r="J56718"/>
    </row>
    <row r="56719" spans="10:10" x14ac:dyDescent="0.3">
      <c r="J56719"/>
    </row>
    <row r="56720" spans="10:10" x14ac:dyDescent="0.3">
      <c r="J56720"/>
    </row>
    <row r="56721" spans="10:10" x14ac:dyDescent="0.3">
      <c r="J56721"/>
    </row>
    <row r="56722" spans="10:10" x14ac:dyDescent="0.3">
      <c r="J56722"/>
    </row>
    <row r="56723" spans="10:10" x14ac:dyDescent="0.3">
      <c r="J56723"/>
    </row>
    <row r="56724" spans="10:10" x14ac:dyDescent="0.3">
      <c r="J56724"/>
    </row>
    <row r="56725" spans="10:10" x14ac:dyDescent="0.3">
      <c r="J56725"/>
    </row>
    <row r="56726" spans="10:10" x14ac:dyDescent="0.3">
      <c r="J56726"/>
    </row>
    <row r="56727" spans="10:10" x14ac:dyDescent="0.3">
      <c r="J56727"/>
    </row>
    <row r="56728" spans="10:10" x14ac:dyDescent="0.3">
      <c r="J56728"/>
    </row>
    <row r="56729" spans="10:10" x14ac:dyDescent="0.3">
      <c r="J56729"/>
    </row>
    <row r="56730" spans="10:10" x14ac:dyDescent="0.3">
      <c r="J56730"/>
    </row>
    <row r="56731" spans="10:10" x14ac:dyDescent="0.3">
      <c r="J56731"/>
    </row>
    <row r="56732" spans="10:10" x14ac:dyDescent="0.3">
      <c r="J56732"/>
    </row>
    <row r="56733" spans="10:10" x14ac:dyDescent="0.3">
      <c r="J56733"/>
    </row>
    <row r="56734" spans="10:10" x14ac:dyDescent="0.3">
      <c r="J56734"/>
    </row>
    <row r="56735" spans="10:10" x14ac:dyDescent="0.3">
      <c r="J56735"/>
    </row>
    <row r="56736" spans="10:10" x14ac:dyDescent="0.3">
      <c r="J56736"/>
    </row>
    <row r="56737" spans="10:10" x14ac:dyDescent="0.3">
      <c r="J56737"/>
    </row>
    <row r="56738" spans="10:10" x14ac:dyDescent="0.3">
      <c r="J56738"/>
    </row>
    <row r="56739" spans="10:10" x14ac:dyDescent="0.3">
      <c r="J56739"/>
    </row>
    <row r="56740" spans="10:10" x14ac:dyDescent="0.3">
      <c r="J56740"/>
    </row>
    <row r="56741" spans="10:10" x14ac:dyDescent="0.3">
      <c r="J56741"/>
    </row>
    <row r="56742" spans="10:10" x14ac:dyDescent="0.3">
      <c r="J56742"/>
    </row>
    <row r="56743" spans="10:10" x14ac:dyDescent="0.3">
      <c r="J56743"/>
    </row>
    <row r="56744" spans="10:10" x14ac:dyDescent="0.3">
      <c r="J56744"/>
    </row>
    <row r="56745" spans="10:10" x14ac:dyDescent="0.3">
      <c r="J56745"/>
    </row>
    <row r="56746" spans="10:10" x14ac:dyDescent="0.3">
      <c r="J56746"/>
    </row>
    <row r="56747" spans="10:10" x14ac:dyDescent="0.3">
      <c r="J56747"/>
    </row>
    <row r="56748" spans="10:10" x14ac:dyDescent="0.3">
      <c r="J56748"/>
    </row>
    <row r="56749" spans="10:10" x14ac:dyDescent="0.3">
      <c r="J56749"/>
    </row>
    <row r="56750" spans="10:10" x14ac:dyDescent="0.3">
      <c r="J56750"/>
    </row>
    <row r="56751" spans="10:10" x14ac:dyDescent="0.3">
      <c r="J56751"/>
    </row>
    <row r="56752" spans="10:10" x14ac:dyDescent="0.3">
      <c r="J56752"/>
    </row>
    <row r="56753" spans="10:10" x14ac:dyDescent="0.3">
      <c r="J56753"/>
    </row>
    <row r="56754" spans="10:10" x14ac:dyDescent="0.3">
      <c r="J56754"/>
    </row>
    <row r="56755" spans="10:10" x14ac:dyDescent="0.3">
      <c r="J56755"/>
    </row>
    <row r="56756" spans="10:10" x14ac:dyDescent="0.3">
      <c r="J56756"/>
    </row>
    <row r="56757" spans="10:10" x14ac:dyDescent="0.3">
      <c r="J56757"/>
    </row>
    <row r="56758" spans="10:10" x14ac:dyDescent="0.3">
      <c r="J56758"/>
    </row>
    <row r="56759" spans="10:10" x14ac:dyDescent="0.3">
      <c r="J56759"/>
    </row>
    <row r="56760" spans="10:10" x14ac:dyDescent="0.3">
      <c r="J56760"/>
    </row>
    <row r="56761" spans="10:10" x14ac:dyDescent="0.3">
      <c r="J56761"/>
    </row>
    <row r="56762" spans="10:10" x14ac:dyDescent="0.3">
      <c r="J56762"/>
    </row>
    <row r="56763" spans="10:10" x14ac:dyDescent="0.3">
      <c r="J56763"/>
    </row>
    <row r="56764" spans="10:10" x14ac:dyDescent="0.3">
      <c r="J56764"/>
    </row>
    <row r="56765" spans="10:10" x14ac:dyDescent="0.3">
      <c r="J56765"/>
    </row>
    <row r="56766" spans="10:10" x14ac:dyDescent="0.3">
      <c r="J56766"/>
    </row>
    <row r="56767" spans="10:10" x14ac:dyDescent="0.3">
      <c r="J56767"/>
    </row>
    <row r="56768" spans="10:10" x14ac:dyDescent="0.3">
      <c r="J56768"/>
    </row>
    <row r="56769" spans="10:10" x14ac:dyDescent="0.3">
      <c r="J56769"/>
    </row>
    <row r="56770" spans="10:10" x14ac:dyDescent="0.3">
      <c r="J56770"/>
    </row>
    <row r="56771" spans="10:10" x14ac:dyDescent="0.3">
      <c r="J56771"/>
    </row>
    <row r="56772" spans="10:10" x14ac:dyDescent="0.3">
      <c r="J56772"/>
    </row>
    <row r="56773" spans="10:10" x14ac:dyDescent="0.3">
      <c r="J56773"/>
    </row>
    <row r="56774" spans="10:10" x14ac:dyDescent="0.3">
      <c r="J56774"/>
    </row>
    <row r="56775" spans="10:10" x14ac:dyDescent="0.3">
      <c r="J56775"/>
    </row>
    <row r="56776" spans="10:10" x14ac:dyDescent="0.3">
      <c r="J56776"/>
    </row>
    <row r="56777" spans="10:10" x14ac:dyDescent="0.3">
      <c r="J56777"/>
    </row>
    <row r="56778" spans="10:10" x14ac:dyDescent="0.3">
      <c r="J56778"/>
    </row>
    <row r="56779" spans="10:10" x14ac:dyDescent="0.3">
      <c r="J56779"/>
    </row>
    <row r="56780" spans="10:10" x14ac:dyDescent="0.3">
      <c r="J56780"/>
    </row>
    <row r="56781" spans="10:10" x14ac:dyDescent="0.3">
      <c r="J56781"/>
    </row>
    <row r="56782" spans="10:10" x14ac:dyDescent="0.3">
      <c r="J56782"/>
    </row>
    <row r="56783" spans="10:10" x14ac:dyDescent="0.3">
      <c r="J56783"/>
    </row>
    <row r="56784" spans="10:10" x14ac:dyDescent="0.3">
      <c r="J56784"/>
    </row>
    <row r="56785" spans="10:10" x14ac:dyDescent="0.3">
      <c r="J56785"/>
    </row>
    <row r="56786" spans="10:10" x14ac:dyDescent="0.3">
      <c r="J56786"/>
    </row>
    <row r="56787" spans="10:10" x14ac:dyDescent="0.3">
      <c r="J56787"/>
    </row>
    <row r="56788" spans="10:10" x14ac:dyDescent="0.3">
      <c r="J56788"/>
    </row>
    <row r="56789" spans="10:10" x14ac:dyDescent="0.3">
      <c r="J56789"/>
    </row>
    <row r="56790" spans="10:10" x14ac:dyDescent="0.3">
      <c r="J56790"/>
    </row>
    <row r="56791" spans="10:10" x14ac:dyDescent="0.3">
      <c r="J56791"/>
    </row>
    <row r="56792" spans="10:10" x14ac:dyDescent="0.3">
      <c r="J56792"/>
    </row>
    <row r="56793" spans="10:10" x14ac:dyDescent="0.3">
      <c r="J56793"/>
    </row>
    <row r="56794" spans="10:10" x14ac:dyDescent="0.3">
      <c r="J56794"/>
    </row>
    <row r="56795" spans="10:10" x14ac:dyDescent="0.3">
      <c r="J56795"/>
    </row>
    <row r="56796" spans="10:10" x14ac:dyDescent="0.3">
      <c r="J56796"/>
    </row>
    <row r="56797" spans="10:10" x14ac:dyDescent="0.3">
      <c r="J56797"/>
    </row>
    <row r="56798" spans="10:10" x14ac:dyDescent="0.3">
      <c r="J56798"/>
    </row>
    <row r="56799" spans="10:10" x14ac:dyDescent="0.3">
      <c r="J56799"/>
    </row>
    <row r="56800" spans="10:10" x14ac:dyDescent="0.3">
      <c r="J56800"/>
    </row>
    <row r="56801" spans="10:10" x14ac:dyDescent="0.3">
      <c r="J56801"/>
    </row>
    <row r="56802" spans="10:10" x14ac:dyDescent="0.3">
      <c r="J56802"/>
    </row>
    <row r="56803" spans="10:10" x14ac:dyDescent="0.3">
      <c r="J56803"/>
    </row>
    <row r="56804" spans="10:10" x14ac:dyDescent="0.3">
      <c r="J56804"/>
    </row>
    <row r="56805" spans="10:10" x14ac:dyDescent="0.3">
      <c r="J56805"/>
    </row>
    <row r="56806" spans="10:10" x14ac:dyDescent="0.3">
      <c r="J56806"/>
    </row>
    <row r="56807" spans="10:10" x14ac:dyDescent="0.3">
      <c r="J56807"/>
    </row>
    <row r="56808" spans="10:10" x14ac:dyDescent="0.3">
      <c r="J56808"/>
    </row>
    <row r="56809" spans="10:10" x14ac:dyDescent="0.3">
      <c r="J56809"/>
    </row>
    <row r="56810" spans="10:10" x14ac:dyDescent="0.3">
      <c r="J56810"/>
    </row>
    <row r="56811" spans="10:10" x14ac:dyDescent="0.3">
      <c r="J56811"/>
    </row>
    <row r="56812" spans="10:10" x14ac:dyDescent="0.3">
      <c r="J56812"/>
    </row>
    <row r="56813" spans="10:10" x14ac:dyDescent="0.3">
      <c r="J56813"/>
    </row>
    <row r="56814" spans="10:10" x14ac:dyDescent="0.3">
      <c r="J56814"/>
    </row>
    <row r="56815" spans="10:10" x14ac:dyDescent="0.3">
      <c r="J56815"/>
    </row>
    <row r="56816" spans="10:10" x14ac:dyDescent="0.3">
      <c r="J56816"/>
    </row>
    <row r="56817" spans="10:10" x14ac:dyDescent="0.3">
      <c r="J56817"/>
    </row>
    <row r="56818" spans="10:10" x14ac:dyDescent="0.3">
      <c r="J56818"/>
    </row>
    <row r="56819" spans="10:10" x14ac:dyDescent="0.3">
      <c r="J56819"/>
    </row>
    <row r="56820" spans="10:10" x14ac:dyDescent="0.3">
      <c r="J56820"/>
    </row>
    <row r="56821" spans="10:10" x14ac:dyDescent="0.3">
      <c r="J56821"/>
    </row>
    <row r="56822" spans="10:10" x14ac:dyDescent="0.3">
      <c r="J56822"/>
    </row>
    <row r="56823" spans="10:10" x14ac:dyDescent="0.3">
      <c r="J56823"/>
    </row>
    <row r="56824" spans="10:10" x14ac:dyDescent="0.3">
      <c r="J56824"/>
    </row>
    <row r="56825" spans="10:10" x14ac:dyDescent="0.3">
      <c r="J56825"/>
    </row>
    <row r="56826" spans="10:10" x14ac:dyDescent="0.3">
      <c r="J56826"/>
    </row>
    <row r="56827" spans="10:10" x14ac:dyDescent="0.3">
      <c r="J56827"/>
    </row>
    <row r="56828" spans="10:10" x14ac:dyDescent="0.3">
      <c r="J56828"/>
    </row>
    <row r="56829" spans="10:10" x14ac:dyDescent="0.3">
      <c r="J56829"/>
    </row>
    <row r="56830" spans="10:10" x14ac:dyDescent="0.3">
      <c r="J56830"/>
    </row>
    <row r="56831" spans="10:10" x14ac:dyDescent="0.3">
      <c r="J56831"/>
    </row>
    <row r="56832" spans="10:10" x14ac:dyDescent="0.3">
      <c r="J56832"/>
    </row>
    <row r="56833" spans="10:10" x14ac:dyDescent="0.3">
      <c r="J56833"/>
    </row>
    <row r="56834" spans="10:10" x14ac:dyDescent="0.3">
      <c r="J56834"/>
    </row>
    <row r="56835" spans="10:10" x14ac:dyDescent="0.3">
      <c r="J56835"/>
    </row>
    <row r="56836" spans="10:10" x14ac:dyDescent="0.3">
      <c r="J56836"/>
    </row>
    <row r="56837" spans="10:10" x14ac:dyDescent="0.3">
      <c r="J56837"/>
    </row>
    <row r="56838" spans="10:10" x14ac:dyDescent="0.3">
      <c r="J56838"/>
    </row>
    <row r="56839" spans="10:10" x14ac:dyDescent="0.3">
      <c r="J56839"/>
    </row>
    <row r="56840" spans="10:10" x14ac:dyDescent="0.3">
      <c r="J56840"/>
    </row>
    <row r="56841" spans="10:10" x14ac:dyDescent="0.3">
      <c r="J56841"/>
    </row>
    <row r="56842" spans="10:10" x14ac:dyDescent="0.3">
      <c r="J56842"/>
    </row>
    <row r="56843" spans="10:10" x14ac:dyDescent="0.3">
      <c r="J56843"/>
    </row>
    <row r="56844" spans="10:10" x14ac:dyDescent="0.3">
      <c r="J56844"/>
    </row>
    <row r="56845" spans="10:10" x14ac:dyDescent="0.3">
      <c r="J56845"/>
    </row>
    <row r="56846" spans="10:10" x14ac:dyDescent="0.3">
      <c r="J56846"/>
    </row>
    <row r="56847" spans="10:10" x14ac:dyDescent="0.3">
      <c r="J56847"/>
    </row>
    <row r="56848" spans="10:10" x14ac:dyDescent="0.3">
      <c r="J56848"/>
    </row>
    <row r="56849" spans="10:10" x14ac:dyDescent="0.3">
      <c r="J56849"/>
    </row>
    <row r="56850" spans="10:10" x14ac:dyDescent="0.3">
      <c r="J56850"/>
    </row>
    <row r="56851" spans="10:10" x14ac:dyDescent="0.3">
      <c r="J56851"/>
    </row>
    <row r="56852" spans="10:10" x14ac:dyDescent="0.3">
      <c r="J56852"/>
    </row>
    <row r="56853" spans="10:10" x14ac:dyDescent="0.3">
      <c r="J56853"/>
    </row>
    <row r="56854" spans="10:10" x14ac:dyDescent="0.3">
      <c r="J56854"/>
    </row>
    <row r="56855" spans="10:10" x14ac:dyDescent="0.3">
      <c r="J56855"/>
    </row>
    <row r="56856" spans="10:10" x14ac:dyDescent="0.3">
      <c r="J56856"/>
    </row>
    <row r="56857" spans="10:10" x14ac:dyDescent="0.3">
      <c r="J56857"/>
    </row>
    <row r="56858" spans="10:10" x14ac:dyDescent="0.3">
      <c r="J56858"/>
    </row>
    <row r="56859" spans="10:10" x14ac:dyDescent="0.3">
      <c r="J56859"/>
    </row>
    <row r="56860" spans="10:10" x14ac:dyDescent="0.3">
      <c r="J56860"/>
    </row>
    <row r="56861" spans="10:10" x14ac:dyDescent="0.3">
      <c r="J56861"/>
    </row>
    <row r="56862" spans="10:10" x14ac:dyDescent="0.3">
      <c r="J56862"/>
    </row>
    <row r="56863" spans="10:10" x14ac:dyDescent="0.3">
      <c r="J56863"/>
    </row>
    <row r="56864" spans="10:10" x14ac:dyDescent="0.3">
      <c r="J56864"/>
    </row>
    <row r="56865" spans="10:10" x14ac:dyDescent="0.3">
      <c r="J56865"/>
    </row>
    <row r="56866" spans="10:10" x14ac:dyDescent="0.3">
      <c r="J56866"/>
    </row>
    <row r="56867" spans="10:10" x14ac:dyDescent="0.3">
      <c r="J56867"/>
    </row>
    <row r="56868" spans="10:10" x14ac:dyDescent="0.3">
      <c r="J56868"/>
    </row>
    <row r="56869" spans="10:10" x14ac:dyDescent="0.3">
      <c r="J56869"/>
    </row>
    <row r="56870" spans="10:10" x14ac:dyDescent="0.3">
      <c r="J56870"/>
    </row>
    <row r="56871" spans="10:10" x14ac:dyDescent="0.3">
      <c r="J56871"/>
    </row>
    <row r="56872" spans="10:10" x14ac:dyDescent="0.3">
      <c r="J56872"/>
    </row>
    <row r="56873" spans="10:10" x14ac:dyDescent="0.3">
      <c r="J56873"/>
    </row>
    <row r="56874" spans="10:10" x14ac:dyDescent="0.3">
      <c r="J56874"/>
    </row>
    <row r="56875" spans="10:10" x14ac:dyDescent="0.3">
      <c r="J56875"/>
    </row>
    <row r="56876" spans="10:10" x14ac:dyDescent="0.3">
      <c r="J56876"/>
    </row>
    <row r="56877" spans="10:10" x14ac:dyDescent="0.3">
      <c r="J56877"/>
    </row>
    <row r="56878" spans="10:10" x14ac:dyDescent="0.3">
      <c r="J56878"/>
    </row>
    <row r="56879" spans="10:10" x14ac:dyDescent="0.3">
      <c r="J56879"/>
    </row>
    <row r="56880" spans="10:10" x14ac:dyDescent="0.3">
      <c r="J56880"/>
    </row>
    <row r="56881" spans="10:10" x14ac:dyDescent="0.3">
      <c r="J56881"/>
    </row>
    <row r="56882" spans="10:10" x14ac:dyDescent="0.3">
      <c r="J56882"/>
    </row>
    <row r="56883" spans="10:10" x14ac:dyDescent="0.3">
      <c r="J56883"/>
    </row>
    <row r="56884" spans="10:10" x14ac:dyDescent="0.3">
      <c r="J56884"/>
    </row>
    <row r="56885" spans="10:10" x14ac:dyDescent="0.3">
      <c r="J56885"/>
    </row>
    <row r="56886" spans="10:10" x14ac:dyDescent="0.3">
      <c r="J56886"/>
    </row>
    <row r="56887" spans="10:10" x14ac:dyDescent="0.3">
      <c r="J56887"/>
    </row>
    <row r="56888" spans="10:10" x14ac:dyDescent="0.3">
      <c r="J56888"/>
    </row>
    <row r="56889" spans="10:10" x14ac:dyDescent="0.3">
      <c r="J56889"/>
    </row>
    <row r="56890" spans="10:10" x14ac:dyDescent="0.3">
      <c r="J56890"/>
    </row>
    <row r="56891" spans="10:10" x14ac:dyDescent="0.3">
      <c r="J56891"/>
    </row>
    <row r="56892" spans="10:10" x14ac:dyDescent="0.3">
      <c r="J56892"/>
    </row>
    <row r="56893" spans="10:10" x14ac:dyDescent="0.3">
      <c r="J56893"/>
    </row>
    <row r="56894" spans="10:10" x14ac:dyDescent="0.3">
      <c r="J56894"/>
    </row>
    <row r="56895" spans="10:10" x14ac:dyDescent="0.3">
      <c r="J56895"/>
    </row>
    <row r="56896" spans="10:10" x14ac:dyDescent="0.3">
      <c r="J56896"/>
    </row>
    <row r="56897" spans="10:10" x14ac:dyDescent="0.3">
      <c r="J56897"/>
    </row>
    <row r="56898" spans="10:10" x14ac:dyDescent="0.3">
      <c r="J56898"/>
    </row>
    <row r="56899" spans="10:10" x14ac:dyDescent="0.3">
      <c r="J56899"/>
    </row>
    <row r="56900" spans="10:10" x14ac:dyDescent="0.3">
      <c r="J56900"/>
    </row>
    <row r="56901" spans="10:10" x14ac:dyDescent="0.3">
      <c r="J56901"/>
    </row>
    <row r="56902" spans="10:10" x14ac:dyDescent="0.3">
      <c r="J56902"/>
    </row>
    <row r="56903" spans="10:10" x14ac:dyDescent="0.3">
      <c r="J56903"/>
    </row>
    <row r="56904" spans="10:10" x14ac:dyDescent="0.3">
      <c r="J56904"/>
    </row>
    <row r="56905" spans="10:10" x14ac:dyDescent="0.3">
      <c r="J56905"/>
    </row>
    <row r="56906" spans="10:10" x14ac:dyDescent="0.3">
      <c r="J56906"/>
    </row>
    <row r="56907" spans="10:10" x14ac:dyDescent="0.3">
      <c r="J56907"/>
    </row>
    <row r="56908" spans="10:10" x14ac:dyDescent="0.3">
      <c r="J56908"/>
    </row>
    <row r="56909" spans="10:10" x14ac:dyDescent="0.3">
      <c r="J56909"/>
    </row>
    <row r="56910" spans="10:10" x14ac:dyDescent="0.3">
      <c r="J56910"/>
    </row>
    <row r="56911" spans="10:10" x14ac:dyDescent="0.3">
      <c r="J56911"/>
    </row>
    <row r="56912" spans="10:10" x14ac:dyDescent="0.3">
      <c r="J56912"/>
    </row>
    <row r="56913" spans="10:10" x14ac:dyDescent="0.3">
      <c r="J56913"/>
    </row>
    <row r="56914" spans="10:10" x14ac:dyDescent="0.3">
      <c r="J56914"/>
    </row>
    <row r="56915" spans="10:10" x14ac:dyDescent="0.3">
      <c r="J56915"/>
    </row>
    <row r="56916" spans="10:10" x14ac:dyDescent="0.3">
      <c r="J56916"/>
    </row>
    <row r="56917" spans="10:10" x14ac:dyDescent="0.3">
      <c r="J56917"/>
    </row>
    <row r="56918" spans="10:10" x14ac:dyDescent="0.3">
      <c r="J56918"/>
    </row>
    <row r="56919" spans="10:10" x14ac:dyDescent="0.3">
      <c r="J56919"/>
    </row>
    <row r="56920" spans="10:10" x14ac:dyDescent="0.3">
      <c r="J56920"/>
    </row>
    <row r="56921" spans="10:10" x14ac:dyDescent="0.3">
      <c r="J56921"/>
    </row>
    <row r="56922" spans="10:10" x14ac:dyDescent="0.3">
      <c r="J56922"/>
    </row>
    <row r="56923" spans="10:10" x14ac:dyDescent="0.3">
      <c r="J56923"/>
    </row>
    <row r="56924" spans="10:10" x14ac:dyDescent="0.3">
      <c r="J56924"/>
    </row>
    <row r="56925" spans="10:10" x14ac:dyDescent="0.3">
      <c r="J56925"/>
    </row>
    <row r="56926" spans="10:10" x14ac:dyDescent="0.3">
      <c r="J56926"/>
    </row>
    <row r="56927" spans="10:10" x14ac:dyDescent="0.3">
      <c r="J56927"/>
    </row>
    <row r="56928" spans="10:10" x14ac:dyDescent="0.3">
      <c r="J56928"/>
    </row>
    <row r="56929" spans="10:10" x14ac:dyDescent="0.3">
      <c r="J56929"/>
    </row>
    <row r="56930" spans="10:10" x14ac:dyDescent="0.3">
      <c r="J56930"/>
    </row>
    <row r="56931" spans="10:10" x14ac:dyDescent="0.3">
      <c r="J56931"/>
    </row>
    <row r="56932" spans="10:10" x14ac:dyDescent="0.3">
      <c r="J56932"/>
    </row>
    <row r="56933" spans="10:10" x14ac:dyDescent="0.3">
      <c r="J56933"/>
    </row>
    <row r="56934" spans="10:10" x14ac:dyDescent="0.3">
      <c r="J56934"/>
    </row>
    <row r="56935" spans="10:10" x14ac:dyDescent="0.3">
      <c r="J56935"/>
    </row>
    <row r="56936" spans="10:10" x14ac:dyDescent="0.3">
      <c r="J56936"/>
    </row>
    <row r="56937" spans="10:10" x14ac:dyDescent="0.3">
      <c r="J56937"/>
    </row>
    <row r="56938" spans="10:10" x14ac:dyDescent="0.3">
      <c r="J56938"/>
    </row>
    <row r="56939" spans="10:10" x14ac:dyDescent="0.3">
      <c r="J56939"/>
    </row>
    <row r="56940" spans="10:10" x14ac:dyDescent="0.3">
      <c r="J56940"/>
    </row>
    <row r="56941" spans="10:10" x14ac:dyDescent="0.3">
      <c r="J56941"/>
    </row>
    <row r="56942" spans="10:10" x14ac:dyDescent="0.3">
      <c r="J56942"/>
    </row>
    <row r="56943" spans="10:10" x14ac:dyDescent="0.3">
      <c r="J56943"/>
    </row>
    <row r="56944" spans="10:10" x14ac:dyDescent="0.3">
      <c r="J56944"/>
    </row>
    <row r="56945" spans="10:10" x14ac:dyDescent="0.3">
      <c r="J56945"/>
    </row>
    <row r="56946" spans="10:10" x14ac:dyDescent="0.3">
      <c r="J56946"/>
    </row>
    <row r="56947" spans="10:10" x14ac:dyDescent="0.3">
      <c r="J56947"/>
    </row>
    <row r="56948" spans="10:10" x14ac:dyDescent="0.3">
      <c r="J56948"/>
    </row>
    <row r="56949" spans="10:10" x14ac:dyDescent="0.3">
      <c r="J56949"/>
    </row>
    <row r="56950" spans="10:10" x14ac:dyDescent="0.3">
      <c r="J56950"/>
    </row>
    <row r="56951" spans="10:10" x14ac:dyDescent="0.3">
      <c r="J56951"/>
    </row>
    <row r="56952" spans="10:10" x14ac:dyDescent="0.3">
      <c r="J56952"/>
    </row>
    <row r="56953" spans="10:10" x14ac:dyDescent="0.3">
      <c r="J56953"/>
    </row>
    <row r="56954" spans="10:10" x14ac:dyDescent="0.3">
      <c r="J56954"/>
    </row>
    <row r="56955" spans="10:10" x14ac:dyDescent="0.3">
      <c r="J56955"/>
    </row>
    <row r="56956" spans="10:10" x14ac:dyDescent="0.3">
      <c r="J56956"/>
    </row>
    <row r="56957" spans="10:10" x14ac:dyDescent="0.3">
      <c r="J56957"/>
    </row>
    <row r="56958" spans="10:10" x14ac:dyDescent="0.3">
      <c r="J56958"/>
    </row>
    <row r="56959" spans="10:10" x14ac:dyDescent="0.3">
      <c r="J56959"/>
    </row>
    <row r="56960" spans="10:10" x14ac:dyDescent="0.3">
      <c r="J56960"/>
    </row>
    <row r="56961" spans="10:10" x14ac:dyDescent="0.3">
      <c r="J56961"/>
    </row>
    <row r="56962" spans="10:10" x14ac:dyDescent="0.3">
      <c r="J56962"/>
    </row>
    <row r="56963" spans="10:10" x14ac:dyDescent="0.3">
      <c r="J56963"/>
    </row>
    <row r="56964" spans="10:10" x14ac:dyDescent="0.3">
      <c r="J56964"/>
    </row>
    <row r="56965" spans="10:10" x14ac:dyDescent="0.3">
      <c r="J56965"/>
    </row>
    <row r="56966" spans="10:10" x14ac:dyDescent="0.3">
      <c r="J56966"/>
    </row>
    <row r="56967" spans="10:10" x14ac:dyDescent="0.3">
      <c r="J56967"/>
    </row>
    <row r="56968" spans="10:10" x14ac:dyDescent="0.3">
      <c r="J56968"/>
    </row>
    <row r="56969" spans="10:10" x14ac:dyDescent="0.3">
      <c r="J56969"/>
    </row>
    <row r="56970" spans="10:10" x14ac:dyDescent="0.3">
      <c r="J56970"/>
    </row>
    <row r="56971" spans="10:10" x14ac:dyDescent="0.3">
      <c r="J56971"/>
    </row>
    <row r="56972" spans="10:10" x14ac:dyDescent="0.3">
      <c r="J56972"/>
    </row>
    <row r="56973" spans="10:10" x14ac:dyDescent="0.3">
      <c r="J56973"/>
    </row>
    <row r="56974" spans="10:10" x14ac:dyDescent="0.3">
      <c r="J56974"/>
    </row>
    <row r="56975" spans="10:10" x14ac:dyDescent="0.3">
      <c r="J56975"/>
    </row>
    <row r="56976" spans="10:10" x14ac:dyDescent="0.3">
      <c r="J56976"/>
    </row>
    <row r="56977" spans="10:10" x14ac:dyDescent="0.3">
      <c r="J56977"/>
    </row>
    <row r="56978" spans="10:10" x14ac:dyDescent="0.3">
      <c r="J56978"/>
    </row>
    <row r="56979" spans="10:10" x14ac:dyDescent="0.3">
      <c r="J56979"/>
    </row>
    <row r="56980" spans="10:10" x14ac:dyDescent="0.3">
      <c r="J56980"/>
    </row>
    <row r="56981" spans="10:10" x14ac:dyDescent="0.3">
      <c r="J56981"/>
    </row>
    <row r="56982" spans="10:10" x14ac:dyDescent="0.3">
      <c r="J56982"/>
    </row>
    <row r="56983" spans="10:10" x14ac:dyDescent="0.3">
      <c r="J56983"/>
    </row>
    <row r="56984" spans="10:10" x14ac:dyDescent="0.3">
      <c r="J56984"/>
    </row>
    <row r="56985" spans="10:10" x14ac:dyDescent="0.3">
      <c r="J56985"/>
    </row>
    <row r="56986" spans="10:10" x14ac:dyDescent="0.3">
      <c r="J56986"/>
    </row>
    <row r="56987" spans="10:10" x14ac:dyDescent="0.3">
      <c r="J56987"/>
    </row>
    <row r="56988" spans="10:10" x14ac:dyDescent="0.3">
      <c r="J56988"/>
    </row>
    <row r="56989" spans="10:10" x14ac:dyDescent="0.3">
      <c r="J56989"/>
    </row>
    <row r="56990" spans="10:10" x14ac:dyDescent="0.3">
      <c r="J56990"/>
    </row>
    <row r="56991" spans="10:10" x14ac:dyDescent="0.3">
      <c r="J56991"/>
    </row>
    <row r="56992" spans="10:10" x14ac:dyDescent="0.3">
      <c r="J56992"/>
    </row>
    <row r="56993" spans="10:10" x14ac:dyDescent="0.3">
      <c r="J56993"/>
    </row>
    <row r="56994" spans="10:10" x14ac:dyDescent="0.3">
      <c r="J56994"/>
    </row>
    <row r="56995" spans="10:10" x14ac:dyDescent="0.3">
      <c r="J56995"/>
    </row>
    <row r="56996" spans="10:10" x14ac:dyDescent="0.3">
      <c r="J56996"/>
    </row>
    <row r="56997" spans="10:10" x14ac:dyDescent="0.3">
      <c r="J56997"/>
    </row>
    <row r="56998" spans="10:10" x14ac:dyDescent="0.3">
      <c r="J56998"/>
    </row>
    <row r="56999" spans="10:10" x14ac:dyDescent="0.3">
      <c r="J56999"/>
    </row>
    <row r="57000" spans="10:10" x14ac:dyDescent="0.3">
      <c r="J57000"/>
    </row>
    <row r="57001" spans="10:10" x14ac:dyDescent="0.3">
      <c r="J57001"/>
    </row>
    <row r="57002" spans="10:10" x14ac:dyDescent="0.3">
      <c r="J57002"/>
    </row>
    <row r="57003" spans="10:10" x14ac:dyDescent="0.3">
      <c r="J57003"/>
    </row>
    <row r="57004" spans="10:10" x14ac:dyDescent="0.3">
      <c r="J57004"/>
    </row>
    <row r="57005" spans="10:10" x14ac:dyDescent="0.3">
      <c r="J57005"/>
    </row>
    <row r="57006" spans="10:10" x14ac:dyDescent="0.3">
      <c r="J57006"/>
    </row>
    <row r="57007" spans="10:10" x14ac:dyDescent="0.3">
      <c r="J57007"/>
    </row>
    <row r="57008" spans="10:10" x14ac:dyDescent="0.3">
      <c r="J57008"/>
    </row>
    <row r="57009" spans="10:10" x14ac:dyDescent="0.3">
      <c r="J57009"/>
    </row>
    <row r="57010" spans="10:10" x14ac:dyDescent="0.3">
      <c r="J57010"/>
    </row>
    <row r="57011" spans="10:10" x14ac:dyDescent="0.3">
      <c r="J57011"/>
    </row>
    <row r="57012" spans="10:10" x14ac:dyDescent="0.3">
      <c r="J57012"/>
    </row>
    <row r="57013" spans="10:10" x14ac:dyDescent="0.3">
      <c r="J57013"/>
    </row>
    <row r="57014" spans="10:10" x14ac:dyDescent="0.3">
      <c r="J57014"/>
    </row>
    <row r="57015" spans="10:10" x14ac:dyDescent="0.3">
      <c r="J57015"/>
    </row>
    <row r="57016" spans="10:10" x14ac:dyDescent="0.3">
      <c r="J57016"/>
    </row>
    <row r="57017" spans="10:10" x14ac:dyDescent="0.3">
      <c r="J57017"/>
    </row>
    <row r="57018" spans="10:10" x14ac:dyDescent="0.3">
      <c r="J57018"/>
    </row>
    <row r="57019" spans="10:10" x14ac:dyDescent="0.3">
      <c r="J57019"/>
    </row>
    <row r="57020" spans="10:10" x14ac:dyDescent="0.3">
      <c r="J57020"/>
    </row>
    <row r="57021" spans="10:10" x14ac:dyDescent="0.3">
      <c r="J57021"/>
    </row>
    <row r="57022" spans="10:10" x14ac:dyDescent="0.3">
      <c r="J57022"/>
    </row>
    <row r="57023" spans="10:10" x14ac:dyDescent="0.3">
      <c r="J57023"/>
    </row>
    <row r="57024" spans="10:10" x14ac:dyDescent="0.3">
      <c r="J57024"/>
    </row>
    <row r="57025" spans="10:10" x14ac:dyDescent="0.3">
      <c r="J57025"/>
    </row>
    <row r="57026" spans="10:10" x14ac:dyDescent="0.3">
      <c r="J57026"/>
    </row>
    <row r="57027" spans="10:10" x14ac:dyDescent="0.3">
      <c r="J57027"/>
    </row>
    <row r="57028" spans="10:10" x14ac:dyDescent="0.3">
      <c r="J57028"/>
    </row>
    <row r="57029" spans="10:10" x14ac:dyDescent="0.3">
      <c r="J57029"/>
    </row>
    <row r="57030" spans="10:10" x14ac:dyDescent="0.3">
      <c r="J57030"/>
    </row>
    <row r="57031" spans="10:10" x14ac:dyDescent="0.3">
      <c r="J57031"/>
    </row>
    <row r="57032" spans="10:10" x14ac:dyDescent="0.3">
      <c r="J57032"/>
    </row>
    <row r="57033" spans="10:10" x14ac:dyDescent="0.3">
      <c r="J57033"/>
    </row>
    <row r="57034" spans="10:10" x14ac:dyDescent="0.3">
      <c r="J57034"/>
    </row>
    <row r="57035" spans="10:10" x14ac:dyDescent="0.3">
      <c r="J57035"/>
    </row>
    <row r="57036" spans="10:10" x14ac:dyDescent="0.3">
      <c r="J57036"/>
    </row>
    <row r="57037" spans="10:10" x14ac:dyDescent="0.3">
      <c r="J57037"/>
    </row>
    <row r="57038" spans="10:10" x14ac:dyDescent="0.3">
      <c r="J57038"/>
    </row>
    <row r="57039" spans="10:10" x14ac:dyDescent="0.3">
      <c r="J57039"/>
    </row>
    <row r="57040" spans="10:10" x14ac:dyDescent="0.3">
      <c r="J57040"/>
    </row>
    <row r="57041" spans="10:10" x14ac:dyDescent="0.3">
      <c r="J57041"/>
    </row>
    <row r="57042" spans="10:10" x14ac:dyDescent="0.3">
      <c r="J57042"/>
    </row>
    <row r="57043" spans="10:10" x14ac:dyDescent="0.3">
      <c r="J57043"/>
    </row>
    <row r="57044" spans="10:10" x14ac:dyDescent="0.3">
      <c r="J57044"/>
    </row>
    <row r="57045" spans="10:10" x14ac:dyDescent="0.3">
      <c r="J57045"/>
    </row>
    <row r="57046" spans="10:10" x14ac:dyDescent="0.3">
      <c r="J57046"/>
    </row>
    <row r="57047" spans="10:10" x14ac:dyDescent="0.3">
      <c r="J57047"/>
    </row>
    <row r="57048" spans="10:10" x14ac:dyDescent="0.3">
      <c r="J57048"/>
    </row>
    <row r="57049" spans="10:10" x14ac:dyDescent="0.3">
      <c r="J57049"/>
    </row>
    <row r="57050" spans="10:10" x14ac:dyDescent="0.3">
      <c r="J57050"/>
    </row>
    <row r="57051" spans="10:10" x14ac:dyDescent="0.3">
      <c r="J57051"/>
    </row>
    <row r="57052" spans="10:10" x14ac:dyDescent="0.3">
      <c r="J57052"/>
    </row>
    <row r="57053" spans="10:10" x14ac:dyDescent="0.3">
      <c r="J57053"/>
    </row>
    <row r="57054" spans="10:10" x14ac:dyDescent="0.3">
      <c r="J57054"/>
    </row>
    <row r="57055" spans="10:10" x14ac:dyDescent="0.3">
      <c r="J57055"/>
    </row>
    <row r="57056" spans="10:10" x14ac:dyDescent="0.3">
      <c r="J57056"/>
    </row>
    <row r="57057" spans="10:10" x14ac:dyDescent="0.3">
      <c r="J57057"/>
    </row>
    <row r="57058" spans="10:10" x14ac:dyDescent="0.3">
      <c r="J57058"/>
    </row>
    <row r="57059" spans="10:10" x14ac:dyDescent="0.3">
      <c r="J57059"/>
    </row>
    <row r="57060" spans="10:10" x14ac:dyDescent="0.3">
      <c r="J57060"/>
    </row>
    <row r="57061" spans="10:10" x14ac:dyDescent="0.3">
      <c r="J57061"/>
    </row>
    <row r="57062" spans="10:10" x14ac:dyDescent="0.3">
      <c r="J57062"/>
    </row>
    <row r="57063" spans="10:10" x14ac:dyDescent="0.3">
      <c r="J57063"/>
    </row>
    <row r="57064" spans="10:10" x14ac:dyDescent="0.3">
      <c r="J57064"/>
    </row>
    <row r="57065" spans="10:10" x14ac:dyDescent="0.3">
      <c r="J57065"/>
    </row>
    <row r="57066" spans="10:10" x14ac:dyDescent="0.3">
      <c r="J57066"/>
    </row>
    <row r="57067" spans="10:10" x14ac:dyDescent="0.3">
      <c r="J57067"/>
    </row>
    <row r="57068" spans="10:10" x14ac:dyDescent="0.3">
      <c r="J57068"/>
    </row>
    <row r="57069" spans="10:10" x14ac:dyDescent="0.3">
      <c r="J57069"/>
    </row>
    <row r="57070" spans="10:10" x14ac:dyDescent="0.3">
      <c r="J57070"/>
    </row>
    <row r="57071" spans="10:10" x14ac:dyDescent="0.3">
      <c r="J57071"/>
    </row>
    <row r="57072" spans="10:10" x14ac:dyDescent="0.3">
      <c r="J57072"/>
    </row>
    <row r="57073" spans="10:10" x14ac:dyDescent="0.3">
      <c r="J57073"/>
    </row>
    <row r="57074" spans="10:10" x14ac:dyDescent="0.3">
      <c r="J57074"/>
    </row>
    <row r="57075" spans="10:10" x14ac:dyDescent="0.3">
      <c r="J57075"/>
    </row>
    <row r="57076" spans="10:10" x14ac:dyDescent="0.3">
      <c r="J57076"/>
    </row>
    <row r="57077" spans="10:10" x14ac:dyDescent="0.3">
      <c r="J57077"/>
    </row>
    <row r="57078" spans="10:10" x14ac:dyDescent="0.3">
      <c r="J57078"/>
    </row>
    <row r="57079" spans="10:10" x14ac:dyDescent="0.3">
      <c r="J57079"/>
    </row>
    <row r="57080" spans="10:10" x14ac:dyDescent="0.3">
      <c r="J57080"/>
    </row>
    <row r="57081" spans="10:10" x14ac:dyDescent="0.3">
      <c r="J57081"/>
    </row>
    <row r="57082" spans="10:10" x14ac:dyDescent="0.3">
      <c r="J57082"/>
    </row>
    <row r="57083" spans="10:10" x14ac:dyDescent="0.3">
      <c r="J57083"/>
    </row>
    <row r="57084" spans="10:10" x14ac:dyDescent="0.3">
      <c r="J57084"/>
    </row>
    <row r="57085" spans="10:10" x14ac:dyDescent="0.3">
      <c r="J57085"/>
    </row>
    <row r="57086" spans="10:10" x14ac:dyDescent="0.3">
      <c r="J57086"/>
    </row>
    <row r="57087" spans="10:10" x14ac:dyDescent="0.3">
      <c r="J57087"/>
    </row>
    <row r="57088" spans="10:10" x14ac:dyDescent="0.3">
      <c r="J57088"/>
    </row>
    <row r="57089" spans="10:10" x14ac:dyDescent="0.3">
      <c r="J57089"/>
    </row>
    <row r="57090" spans="10:10" x14ac:dyDescent="0.3">
      <c r="J57090"/>
    </row>
    <row r="57091" spans="10:10" x14ac:dyDescent="0.3">
      <c r="J57091"/>
    </row>
    <row r="57092" spans="10:10" x14ac:dyDescent="0.3">
      <c r="J57092"/>
    </row>
    <row r="57093" spans="10:10" x14ac:dyDescent="0.3">
      <c r="J57093"/>
    </row>
    <row r="57094" spans="10:10" x14ac:dyDescent="0.3">
      <c r="J57094"/>
    </row>
    <row r="57095" spans="10:10" x14ac:dyDescent="0.3">
      <c r="J57095"/>
    </row>
    <row r="57096" spans="10:10" x14ac:dyDescent="0.3">
      <c r="J57096"/>
    </row>
    <row r="57097" spans="10:10" x14ac:dyDescent="0.3">
      <c r="J57097"/>
    </row>
    <row r="57098" spans="10:10" x14ac:dyDescent="0.3">
      <c r="J57098"/>
    </row>
    <row r="57099" spans="10:10" x14ac:dyDescent="0.3">
      <c r="J57099"/>
    </row>
    <row r="57100" spans="10:10" x14ac:dyDescent="0.3">
      <c r="J57100"/>
    </row>
    <row r="57101" spans="10:10" x14ac:dyDescent="0.3">
      <c r="J57101"/>
    </row>
    <row r="57102" spans="10:10" x14ac:dyDescent="0.3">
      <c r="J57102"/>
    </row>
    <row r="57103" spans="10:10" x14ac:dyDescent="0.3">
      <c r="J57103"/>
    </row>
    <row r="57104" spans="10:10" x14ac:dyDescent="0.3">
      <c r="J57104"/>
    </row>
    <row r="57105" spans="10:10" x14ac:dyDescent="0.3">
      <c r="J57105"/>
    </row>
    <row r="57106" spans="10:10" x14ac:dyDescent="0.3">
      <c r="J57106"/>
    </row>
    <row r="57107" spans="10:10" x14ac:dyDescent="0.3">
      <c r="J57107"/>
    </row>
    <row r="57108" spans="10:10" x14ac:dyDescent="0.3">
      <c r="J57108"/>
    </row>
    <row r="57109" spans="10:10" x14ac:dyDescent="0.3">
      <c r="J57109"/>
    </row>
    <row r="57110" spans="10:10" x14ac:dyDescent="0.3">
      <c r="J57110"/>
    </row>
    <row r="57111" spans="10:10" x14ac:dyDescent="0.3">
      <c r="J57111"/>
    </row>
    <row r="57112" spans="10:10" x14ac:dyDescent="0.3">
      <c r="J57112"/>
    </row>
    <row r="57113" spans="10:10" x14ac:dyDescent="0.3">
      <c r="J57113"/>
    </row>
    <row r="57114" spans="10:10" x14ac:dyDescent="0.3">
      <c r="J57114"/>
    </row>
    <row r="57115" spans="10:10" x14ac:dyDescent="0.3">
      <c r="J57115"/>
    </row>
    <row r="57116" spans="10:10" x14ac:dyDescent="0.3">
      <c r="J57116"/>
    </row>
    <row r="57117" spans="10:10" x14ac:dyDescent="0.3">
      <c r="J57117"/>
    </row>
    <row r="57118" spans="10:10" x14ac:dyDescent="0.3">
      <c r="J57118"/>
    </row>
    <row r="57119" spans="10:10" x14ac:dyDescent="0.3">
      <c r="J57119"/>
    </row>
    <row r="57120" spans="10:10" x14ac:dyDescent="0.3">
      <c r="J57120"/>
    </row>
    <row r="57121" spans="10:10" x14ac:dyDescent="0.3">
      <c r="J57121"/>
    </row>
    <row r="57122" spans="10:10" x14ac:dyDescent="0.3">
      <c r="J57122"/>
    </row>
    <row r="57123" spans="10:10" x14ac:dyDescent="0.3">
      <c r="J57123"/>
    </row>
    <row r="57124" spans="10:10" x14ac:dyDescent="0.3">
      <c r="J57124"/>
    </row>
    <row r="57125" spans="10:10" x14ac:dyDescent="0.3">
      <c r="J57125"/>
    </row>
    <row r="57126" spans="10:10" x14ac:dyDescent="0.3">
      <c r="J57126"/>
    </row>
    <row r="57127" spans="10:10" x14ac:dyDescent="0.3">
      <c r="J57127"/>
    </row>
    <row r="57128" spans="10:10" x14ac:dyDescent="0.3">
      <c r="J57128"/>
    </row>
    <row r="57129" spans="10:10" x14ac:dyDescent="0.3">
      <c r="J57129"/>
    </row>
    <row r="57130" spans="10:10" x14ac:dyDescent="0.3">
      <c r="J57130"/>
    </row>
    <row r="57131" spans="10:10" x14ac:dyDescent="0.3">
      <c r="J57131"/>
    </row>
    <row r="57132" spans="10:10" x14ac:dyDescent="0.3">
      <c r="J57132"/>
    </row>
    <row r="57133" spans="10:10" x14ac:dyDescent="0.3">
      <c r="J57133"/>
    </row>
    <row r="57134" spans="10:10" x14ac:dyDescent="0.3">
      <c r="J57134"/>
    </row>
    <row r="57135" spans="10:10" x14ac:dyDescent="0.3">
      <c r="J57135"/>
    </row>
    <row r="57136" spans="10:10" x14ac:dyDescent="0.3">
      <c r="J57136"/>
    </row>
    <row r="57137" spans="10:10" x14ac:dyDescent="0.3">
      <c r="J57137"/>
    </row>
    <row r="57138" spans="10:10" x14ac:dyDescent="0.3">
      <c r="J57138"/>
    </row>
    <row r="57139" spans="10:10" x14ac:dyDescent="0.3">
      <c r="J57139"/>
    </row>
    <row r="57140" spans="10:10" x14ac:dyDescent="0.3">
      <c r="J57140"/>
    </row>
    <row r="57141" spans="10:10" x14ac:dyDescent="0.3">
      <c r="J57141"/>
    </row>
    <row r="57142" spans="10:10" x14ac:dyDescent="0.3">
      <c r="J57142"/>
    </row>
    <row r="57143" spans="10:10" x14ac:dyDescent="0.3">
      <c r="J57143"/>
    </row>
    <row r="57144" spans="10:10" x14ac:dyDescent="0.3">
      <c r="J57144"/>
    </row>
    <row r="57145" spans="10:10" x14ac:dyDescent="0.3">
      <c r="J57145"/>
    </row>
    <row r="57146" spans="10:10" x14ac:dyDescent="0.3">
      <c r="J57146"/>
    </row>
    <row r="57147" spans="10:10" x14ac:dyDescent="0.3">
      <c r="J57147"/>
    </row>
    <row r="57148" spans="10:10" x14ac:dyDescent="0.3">
      <c r="J57148"/>
    </row>
    <row r="57149" spans="10:10" x14ac:dyDescent="0.3">
      <c r="J57149"/>
    </row>
    <row r="57150" spans="10:10" x14ac:dyDescent="0.3">
      <c r="J57150"/>
    </row>
    <row r="57151" spans="10:10" x14ac:dyDescent="0.3">
      <c r="J57151"/>
    </row>
    <row r="57152" spans="10:10" x14ac:dyDescent="0.3">
      <c r="J57152"/>
    </row>
    <row r="57153" spans="10:10" x14ac:dyDescent="0.3">
      <c r="J57153"/>
    </row>
    <row r="57154" spans="10:10" x14ac:dyDescent="0.3">
      <c r="J57154"/>
    </row>
    <row r="57155" spans="10:10" x14ac:dyDescent="0.3">
      <c r="J57155"/>
    </row>
    <row r="57156" spans="10:10" x14ac:dyDescent="0.3">
      <c r="J57156"/>
    </row>
    <row r="57157" spans="10:10" x14ac:dyDescent="0.3">
      <c r="J57157"/>
    </row>
    <row r="57158" spans="10:10" x14ac:dyDescent="0.3">
      <c r="J57158"/>
    </row>
    <row r="57159" spans="10:10" x14ac:dyDescent="0.3">
      <c r="J57159"/>
    </row>
    <row r="57160" spans="10:10" x14ac:dyDescent="0.3">
      <c r="J57160"/>
    </row>
    <row r="57161" spans="10:10" x14ac:dyDescent="0.3">
      <c r="J57161"/>
    </row>
    <row r="57162" spans="10:10" x14ac:dyDescent="0.3">
      <c r="J57162"/>
    </row>
    <row r="57163" spans="10:10" x14ac:dyDescent="0.3">
      <c r="J57163"/>
    </row>
    <row r="57164" spans="10:10" x14ac:dyDescent="0.3">
      <c r="J57164"/>
    </row>
    <row r="57165" spans="10:10" x14ac:dyDescent="0.3">
      <c r="J57165"/>
    </row>
    <row r="57166" spans="10:10" x14ac:dyDescent="0.3">
      <c r="J57166"/>
    </row>
    <row r="57167" spans="10:10" x14ac:dyDescent="0.3">
      <c r="J57167"/>
    </row>
    <row r="57168" spans="10:10" x14ac:dyDescent="0.3">
      <c r="J57168"/>
    </row>
    <row r="57169" spans="10:10" x14ac:dyDescent="0.3">
      <c r="J57169"/>
    </row>
    <row r="57170" spans="10:10" x14ac:dyDescent="0.3">
      <c r="J57170"/>
    </row>
    <row r="57171" spans="10:10" x14ac:dyDescent="0.3">
      <c r="J57171"/>
    </row>
    <row r="57172" spans="10:10" x14ac:dyDescent="0.3">
      <c r="J57172"/>
    </row>
    <row r="57173" spans="10:10" x14ac:dyDescent="0.3">
      <c r="J57173"/>
    </row>
    <row r="57174" spans="10:10" x14ac:dyDescent="0.3">
      <c r="J57174"/>
    </row>
    <row r="57175" spans="10:10" x14ac:dyDescent="0.3">
      <c r="J57175"/>
    </row>
    <row r="57176" spans="10:10" x14ac:dyDescent="0.3">
      <c r="J57176"/>
    </row>
    <row r="57177" spans="10:10" x14ac:dyDescent="0.3">
      <c r="J57177"/>
    </row>
    <row r="57178" spans="10:10" x14ac:dyDescent="0.3">
      <c r="J57178"/>
    </row>
    <row r="57179" spans="10:10" x14ac:dyDescent="0.3">
      <c r="J57179"/>
    </row>
    <row r="57180" spans="10:10" x14ac:dyDescent="0.3">
      <c r="J57180"/>
    </row>
    <row r="57181" spans="10:10" x14ac:dyDescent="0.3">
      <c r="J57181"/>
    </row>
    <row r="57182" spans="10:10" x14ac:dyDescent="0.3">
      <c r="J57182"/>
    </row>
    <row r="57183" spans="10:10" x14ac:dyDescent="0.3">
      <c r="J57183"/>
    </row>
    <row r="57184" spans="10:10" x14ac:dyDescent="0.3">
      <c r="J57184"/>
    </row>
    <row r="57185" spans="10:10" x14ac:dyDescent="0.3">
      <c r="J57185"/>
    </row>
    <row r="57186" spans="10:10" x14ac:dyDescent="0.3">
      <c r="J57186"/>
    </row>
    <row r="57187" spans="10:10" x14ac:dyDescent="0.3">
      <c r="J57187"/>
    </row>
    <row r="57188" spans="10:10" x14ac:dyDescent="0.3">
      <c r="J57188"/>
    </row>
    <row r="57189" spans="10:10" x14ac:dyDescent="0.3">
      <c r="J57189"/>
    </row>
    <row r="57190" spans="10:10" x14ac:dyDescent="0.3">
      <c r="J57190"/>
    </row>
    <row r="57191" spans="10:10" x14ac:dyDescent="0.3">
      <c r="J57191"/>
    </row>
    <row r="57192" spans="10:10" x14ac:dyDescent="0.3">
      <c r="J57192"/>
    </row>
    <row r="57193" spans="10:10" x14ac:dyDescent="0.3">
      <c r="J57193"/>
    </row>
    <row r="57194" spans="10:10" x14ac:dyDescent="0.3">
      <c r="J57194"/>
    </row>
    <row r="57195" spans="10:10" x14ac:dyDescent="0.3">
      <c r="J57195"/>
    </row>
    <row r="57196" spans="10:10" x14ac:dyDescent="0.3">
      <c r="J57196"/>
    </row>
    <row r="57197" spans="10:10" x14ac:dyDescent="0.3">
      <c r="J57197"/>
    </row>
    <row r="57198" spans="10:10" x14ac:dyDescent="0.3">
      <c r="J57198"/>
    </row>
    <row r="57199" spans="10:10" x14ac:dyDescent="0.3">
      <c r="J57199"/>
    </row>
    <row r="57200" spans="10:10" x14ac:dyDescent="0.3">
      <c r="J57200"/>
    </row>
    <row r="57201" spans="10:10" x14ac:dyDescent="0.3">
      <c r="J57201"/>
    </row>
    <row r="57202" spans="10:10" x14ac:dyDescent="0.3">
      <c r="J57202"/>
    </row>
    <row r="57203" spans="10:10" x14ac:dyDescent="0.3">
      <c r="J57203"/>
    </row>
    <row r="57204" spans="10:10" x14ac:dyDescent="0.3">
      <c r="J57204"/>
    </row>
    <row r="57205" spans="10:10" x14ac:dyDescent="0.3">
      <c r="J57205"/>
    </row>
    <row r="57206" spans="10:10" x14ac:dyDescent="0.3">
      <c r="J57206"/>
    </row>
    <row r="57207" spans="10:10" x14ac:dyDescent="0.3">
      <c r="J57207"/>
    </row>
    <row r="57208" spans="10:10" x14ac:dyDescent="0.3">
      <c r="J57208"/>
    </row>
    <row r="57209" spans="10:10" x14ac:dyDescent="0.3">
      <c r="J57209"/>
    </row>
    <row r="57210" spans="10:10" x14ac:dyDescent="0.3">
      <c r="J57210"/>
    </row>
    <row r="57211" spans="10:10" x14ac:dyDescent="0.3">
      <c r="J57211"/>
    </row>
    <row r="57212" spans="10:10" x14ac:dyDescent="0.3">
      <c r="J57212"/>
    </row>
    <row r="57213" spans="10:10" x14ac:dyDescent="0.3">
      <c r="J57213"/>
    </row>
    <row r="57214" spans="10:10" x14ac:dyDescent="0.3">
      <c r="J57214"/>
    </row>
    <row r="57215" spans="10:10" x14ac:dyDescent="0.3">
      <c r="J57215"/>
    </row>
    <row r="57216" spans="10:10" x14ac:dyDescent="0.3">
      <c r="J57216"/>
    </row>
    <row r="57217" spans="10:10" x14ac:dyDescent="0.3">
      <c r="J57217"/>
    </row>
    <row r="57218" spans="10:10" x14ac:dyDescent="0.3">
      <c r="J57218"/>
    </row>
    <row r="57219" spans="10:10" x14ac:dyDescent="0.3">
      <c r="J57219"/>
    </row>
    <row r="57220" spans="10:10" x14ac:dyDescent="0.3">
      <c r="J57220"/>
    </row>
    <row r="57221" spans="10:10" x14ac:dyDescent="0.3">
      <c r="J57221"/>
    </row>
    <row r="57222" spans="10:10" x14ac:dyDescent="0.3">
      <c r="J57222"/>
    </row>
    <row r="57223" spans="10:10" x14ac:dyDescent="0.3">
      <c r="J57223"/>
    </row>
    <row r="57224" spans="10:10" x14ac:dyDescent="0.3">
      <c r="J57224"/>
    </row>
    <row r="57225" spans="10:10" x14ac:dyDescent="0.3">
      <c r="J57225"/>
    </row>
    <row r="57226" spans="10:10" x14ac:dyDescent="0.3">
      <c r="J57226"/>
    </row>
    <row r="57227" spans="10:10" x14ac:dyDescent="0.3">
      <c r="J57227"/>
    </row>
    <row r="57228" spans="10:10" x14ac:dyDescent="0.3">
      <c r="J57228"/>
    </row>
    <row r="57229" spans="10:10" x14ac:dyDescent="0.3">
      <c r="J57229"/>
    </row>
    <row r="57230" spans="10:10" x14ac:dyDescent="0.3">
      <c r="J57230"/>
    </row>
    <row r="57231" spans="10:10" x14ac:dyDescent="0.3">
      <c r="J57231"/>
    </row>
    <row r="57232" spans="10:10" x14ac:dyDescent="0.3">
      <c r="J57232"/>
    </row>
    <row r="57233" spans="10:10" x14ac:dyDescent="0.3">
      <c r="J57233"/>
    </row>
    <row r="57234" spans="10:10" x14ac:dyDescent="0.3">
      <c r="J57234"/>
    </row>
    <row r="57235" spans="10:10" x14ac:dyDescent="0.3">
      <c r="J57235"/>
    </row>
    <row r="57236" spans="10:10" x14ac:dyDescent="0.3">
      <c r="J57236"/>
    </row>
    <row r="57237" spans="10:10" x14ac:dyDescent="0.3">
      <c r="J57237"/>
    </row>
    <row r="57238" spans="10:10" x14ac:dyDescent="0.3">
      <c r="J57238"/>
    </row>
    <row r="57239" spans="10:10" x14ac:dyDescent="0.3">
      <c r="J57239"/>
    </row>
    <row r="57240" spans="10:10" x14ac:dyDescent="0.3">
      <c r="J57240"/>
    </row>
    <row r="57241" spans="10:10" x14ac:dyDescent="0.3">
      <c r="J57241"/>
    </row>
    <row r="57242" spans="10:10" x14ac:dyDescent="0.3">
      <c r="J57242"/>
    </row>
    <row r="57243" spans="10:10" x14ac:dyDescent="0.3">
      <c r="J57243"/>
    </row>
    <row r="57244" spans="10:10" x14ac:dyDescent="0.3">
      <c r="J57244"/>
    </row>
    <row r="57245" spans="10:10" x14ac:dyDescent="0.3">
      <c r="J57245"/>
    </row>
    <row r="57246" spans="10:10" x14ac:dyDescent="0.3">
      <c r="J57246"/>
    </row>
    <row r="57247" spans="10:10" x14ac:dyDescent="0.3">
      <c r="J57247"/>
    </row>
    <row r="57248" spans="10:10" x14ac:dyDescent="0.3">
      <c r="J57248"/>
    </row>
    <row r="57249" spans="10:10" x14ac:dyDescent="0.3">
      <c r="J57249"/>
    </row>
    <row r="57250" spans="10:10" x14ac:dyDescent="0.3">
      <c r="J57250"/>
    </row>
    <row r="57251" spans="10:10" x14ac:dyDescent="0.3">
      <c r="J57251"/>
    </row>
    <row r="57252" spans="10:10" x14ac:dyDescent="0.3">
      <c r="J57252"/>
    </row>
    <row r="57253" spans="10:10" x14ac:dyDescent="0.3">
      <c r="J57253"/>
    </row>
    <row r="57254" spans="10:10" x14ac:dyDescent="0.3">
      <c r="J57254"/>
    </row>
    <row r="57255" spans="10:10" x14ac:dyDescent="0.3">
      <c r="J57255"/>
    </row>
    <row r="57256" spans="10:10" x14ac:dyDescent="0.3">
      <c r="J57256"/>
    </row>
    <row r="57257" spans="10:10" x14ac:dyDescent="0.3">
      <c r="J57257"/>
    </row>
    <row r="57258" spans="10:10" x14ac:dyDescent="0.3">
      <c r="J57258"/>
    </row>
    <row r="57259" spans="10:10" x14ac:dyDescent="0.3">
      <c r="J57259"/>
    </row>
    <row r="57260" spans="10:10" x14ac:dyDescent="0.3">
      <c r="J57260"/>
    </row>
    <row r="57261" spans="10:10" x14ac:dyDescent="0.3">
      <c r="J57261"/>
    </row>
    <row r="57262" spans="10:10" x14ac:dyDescent="0.3">
      <c r="J57262"/>
    </row>
    <row r="57263" spans="10:10" x14ac:dyDescent="0.3">
      <c r="J57263"/>
    </row>
    <row r="57264" spans="10:10" x14ac:dyDescent="0.3">
      <c r="J57264"/>
    </row>
    <row r="57265" spans="10:10" x14ac:dyDescent="0.3">
      <c r="J57265"/>
    </row>
    <row r="57266" spans="10:10" x14ac:dyDescent="0.3">
      <c r="J57266"/>
    </row>
    <row r="57267" spans="10:10" x14ac:dyDescent="0.3">
      <c r="J57267"/>
    </row>
    <row r="57268" spans="10:10" x14ac:dyDescent="0.3">
      <c r="J57268"/>
    </row>
    <row r="57269" spans="10:10" x14ac:dyDescent="0.3">
      <c r="J57269"/>
    </row>
    <row r="57270" spans="10:10" x14ac:dyDescent="0.3">
      <c r="J57270"/>
    </row>
    <row r="57271" spans="10:10" x14ac:dyDescent="0.3">
      <c r="J57271"/>
    </row>
    <row r="57272" spans="10:10" x14ac:dyDescent="0.3">
      <c r="J57272"/>
    </row>
    <row r="57273" spans="10:10" x14ac:dyDescent="0.3">
      <c r="J57273"/>
    </row>
    <row r="57274" spans="10:10" x14ac:dyDescent="0.3">
      <c r="J57274"/>
    </row>
    <row r="57275" spans="10:10" x14ac:dyDescent="0.3">
      <c r="J57275"/>
    </row>
    <row r="57276" spans="10:10" x14ac:dyDescent="0.3">
      <c r="J57276"/>
    </row>
    <row r="57277" spans="10:10" x14ac:dyDescent="0.3">
      <c r="J57277"/>
    </row>
    <row r="57278" spans="10:10" x14ac:dyDescent="0.3">
      <c r="J57278"/>
    </row>
    <row r="57279" spans="10:10" x14ac:dyDescent="0.3">
      <c r="J57279"/>
    </row>
    <row r="57280" spans="10:10" x14ac:dyDescent="0.3">
      <c r="J57280"/>
    </row>
    <row r="57281" spans="10:10" x14ac:dyDescent="0.3">
      <c r="J57281"/>
    </row>
    <row r="57282" spans="10:10" x14ac:dyDescent="0.3">
      <c r="J57282"/>
    </row>
    <row r="57283" spans="10:10" x14ac:dyDescent="0.3">
      <c r="J57283"/>
    </row>
    <row r="57284" spans="10:10" x14ac:dyDescent="0.3">
      <c r="J57284"/>
    </row>
    <row r="57285" spans="10:10" x14ac:dyDescent="0.3">
      <c r="J57285"/>
    </row>
    <row r="57286" spans="10:10" x14ac:dyDescent="0.3">
      <c r="J57286"/>
    </row>
    <row r="57287" spans="10:10" x14ac:dyDescent="0.3">
      <c r="J57287"/>
    </row>
    <row r="57288" spans="10:10" x14ac:dyDescent="0.3">
      <c r="J57288"/>
    </row>
    <row r="57289" spans="10:10" x14ac:dyDescent="0.3">
      <c r="J57289"/>
    </row>
    <row r="57290" spans="10:10" x14ac:dyDescent="0.3">
      <c r="J57290"/>
    </row>
    <row r="57291" spans="10:10" x14ac:dyDescent="0.3">
      <c r="J57291"/>
    </row>
    <row r="57292" spans="10:10" x14ac:dyDescent="0.3">
      <c r="J57292"/>
    </row>
    <row r="57293" spans="10:10" x14ac:dyDescent="0.3">
      <c r="J57293"/>
    </row>
    <row r="57294" spans="10:10" x14ac:dyDescent="0.3">
      <c r="J57294"/>
    </row>
    <row r="57295" spans="10:10" x14ac:dyDescent="0.3">
      <c r="J57295"/>
    </row>
    <row r="57296" spans="10:10" x14ac:dyDescent="0.3">
      <c r="J57296"/>
    </row>
    <row r="57297" spans="10:10" x14ac:dyDescent="0.3">
      <c r="J57297"/>
    </row>
    <row r="57298" spans="10:10" x14ac:dyDescent="0.3">
      <c r="J57298"/>
    </row>
    <row r="57299" spans="10:10" x14ac:dyDescent="0.3">
      <c r="J57299"/>
    </row>
    <row r="57300" spans="10:10" x14ac:dyDescent="0.3">
      <c r="J57300"/>
    </row>
    <row r="57301" spans="10:10" x14ac:dyDescent="0.3">
      <c r="J57301"/>
    </row>
    <row r="57302" spans="10:10" x14ac:dyDescent="0.3">
      <c r="J57302"/>
    </row>
    <row r="57303" spans="10:10" x14ac:dyDescent="0.3">
      <c r="J57303"/>
    </row>
    <row r="57304" spans="10:10" x14ac:dyDescent="0.3">
      <c r="J57304"/>
    </row>
    <row r="57305" spans="10:10" x14ac:dyDescent="0.3">
      <c r="J57305"/>
    </row>
    <row r="57306" spans="10:10" x14ac:dyDescent="0.3">
      <c r="J57306"/>
    </row>
    <row r="57307" spans="10:10" x14ac:dyDescent="0.3">
      <c r="J57307"/>
    </row>
    <row r="57308" spans="10:10" x14ac:dyDescent="0.3">
      <c r="J57308"/>
    </row>
    <row r="57309" spans="10:10" x14ac:dyDescent="0.3">
      <c r="J57309"/>
    </row>
    <row r="57310" spans="10:10" x14ac:dyDescent="0.3">
      <c r="J57310"/>
    </row>
    <row r="57311" spans="10:10" x14ac:dyDescent="0.3">
      <c r="J57311"/>
    </row>
    <row r="57312" spans="10:10" x14ac:dyDescent="0.3">
      <c r="J57312"/>
    </row>
    <row r="57313" spans="10:10" x14ac:dyDescent="0.3">
      <c r="J57313"/>
    </row>
    <row r="57314" spans="10:10" x14ac:dyDescent="0.3">
      <c r="J57314"/>
    </row>
    <row r="57315" spans="10:10" x14ac:dyDescent="0.3">
      <c r="J57315"/>
    </row>
    <row r="57316" spans="10:10" x14ac:dyDescent="0.3">
      <c r="J57316"/>
    </row>
    <row r="57317" spans="10:10" x14ac:dyDescent="0.3">
      <c r="J57317"/>
    </row>
    <row r="57318" spans="10:10" x14ac:dyDescent="0.3">
      <c r="J57318"/>
    </row>
    <row r="57319" spans="10:10" x14ac:dyDescent="0.3">
      <c r="J57319"/>
    </row>
    <row r="57320" spans="10:10" x14ac:dyDescent="0.3">
      <c r="J57320"/>
    </row>
    <row r="57321" spans="10:10" x14ac:dyDescent="0.3">
      <c r="J57321"/>
    </row>
    <row r="57322" spans="10:10" x14ac:dyDescent="0.3">
      <c r="J57322"/>
    </row>
    <row r="57323" spans="10:10" x14ac:dyDescent="0.3">
      <c r="J57323"/>
    </row>
    <row r="57324" spans="10:10" x14ac:dyDescent="0.3">
      <c r="J57324"/>
    </row>
    <row r="57325" spans="10:10" x14ac:dyDescent="0.3">
      <c r="J57325"/>
    </row>
    <row r="57326" spans="10:10" x14ac:dyDescent="0.3">
      <c r="J57326"/>
    </row>
    <row r="57327" spans="10:10" x14ac:dyDescent="0.3">
      <c r="J57327"/>
    </row>
    <row r="57328" spans="10:10" x14ac:dyDescent="0.3">
      <c r="J57328"/>
    </row>
    <row r="57329" spans="10:10" x14ac:dyDescent="0.3">
      <c r="J57329"/>
    </row>
    <row r="57330" spans="10:10" x14ac:dyDescent="0.3">
      <c r="J57330"/>
    </row>
    <row r="57331" spans="10:10" x14ac:dyDescent="0.3">
      <c r="J57331"/>
    </row>
    <row r="57332" spans="10:10" x14ac:dyDescent="0.3">
      <c r="J57332"/>
    </row>
    <row r="57333" spans="10:10" x14ac:dyDescent="0.3">
      <c r="J57333"/>
    </row>
    <row r="57334" spans="10:10" x14ac:dyDescent="0.3">
      <c r="J57334"/>
    </row>
    <row r="57335" spans="10:10" x14ac:dyDescent="0.3">
      <c r="J57335"/>
    </row>
    <row r="57336" spans="10:10" x14ac:dyDescent="0.3">
      <c r="J57336"/>
    </row>
    <row r="57337" spans="10:10" x14ac:dyDescent="0.3">
      <c r="J57337"/>
    </row>
    <row r="57338" spans="10:10" x14ac:dyDescent="0.3">
      <c r="J57338"/>
    </row>
    <row r="57339" spans="10:10" x14ac:dyDescent="0.3">
      <c r="J57339"/>
    </row>
    <row r="57340" spans="10:10" x14ac:dyDescent="0.3">
      <c r="J57340"/>
    </row>
    <row r="57341" spans="10:10" x14ac:dyDescent="0.3">
      <c r="J57341"/>
    </row>
    <row r="57342" spans="10:10" x14ac:dyDescent="0.3">
      <c r="J57342"/>
    </row>
    <row r="57343" spans="10:10" x14ac:dyDescent="0.3">
      <c r="J57343"/>
    </row>
    <row r="57344" spans="10:10" x14ac:dyDescent="0.3">
      <c r="J57344"/>
    </row>
    <row r="57345" spans="10:10" x14ac:dyDescent="0.3">
      <c r="J57345"/>
    </row>
    <row r="57346" spans="10:10" x14ac:dyDescent="0.3">
      <c r="J57346"/>
    </row>
    <row r="57347" spans="10:10" x14ac:dyDescent="0.3">
      <c r="J57347"/>
    </row>
    <row r="57348" spans="10:10" x14ac:dyDescent="0.3">
      <c r="J57348"/>
    </row>
    <row r="57349" spans="10:10" x14ac:dyDescent="0.3">
      <c r="J57349"/>
    </row>
    <row r="57350" spans="10:10" x14ac:dyDescent="0.3">
      <c r="J57350"/>
    </row>
    <row r="57351" spans="10:10" x14ac:dyDescent="0.3">
      <c r="J57351"/>
    </row>
    <row r="57352" spans="10:10" x14ac:dyDescent="0.3">
      <c r="J57352"/>
    </row>
    <row r="57353" spans="10:10" x14ac:dyDescent="0.3">
      <c r="J57353"/>
    </row>
    <row r="57354" spans="10:10" x14ac:dyDescent="0.3">
      <c r="J57354"/>
    </row>
    <row r="57355" spans="10:10" x14ac:dyDescent="0.3">
      <c r="J57355"/>
    </row>
    <row r="57356" spans="10:10" x14ac:dyDescent="0.3">
      <c r="J57356"/>
    </row>
    <row r="57357" spans="10:10" x14ac:dyDescent="0.3">
      <c r="J57357"/>
    </row>
    <row r="57358" spans="10:10" x14ac:dyDescent="0.3">
      <c r="J57358"/>
    </row>
    <row r="57359" spans="10:10" x14ac:dyDescent="0.3">
      <c r="J57359"/>
    </row>
    <row r="57360" spans="10:10" x14ac:dyDescent="0.3">
      <c r="J57360"/>
    </row>
    <row r="57361" spans="10:10" x14ac:dyDescent="0.3">
      <c r="J57361"/>
    </row>
    <row r="57362" spans="10:10" x14ac:dyDescent="0.3">
      <c r="J57362"/>
    </row>
    <row r="57363" spans="10:10" x14ac:dyDescent="0.3">
      <c r="J57363"/>
    </row>
    <row r="57364" spans="10:10" x14ac:dyDescent="0.3">
      <c r="J57364"/>
    </row>
    <row r="57365" spans="10:10" x14ac:dyDescent="0.3">
      <c r="J57365"/>
    </row>
    <row r="57366" spans="10:10" x14ac:dyDescent="0.3">
      <c r="J57366"/>
    </row>
    <row r="57367" spans="10:10" x14ac:dyDescent="0.3">
      <c r="J57367"/>
    </row>
    <row r="57368" spans="10:10" x14ac:dyDescent="0.3">
      <c r="J57368"/>
    </row>
    <row r="57369" spans="10:10" x14ac:dyDescent="0.3">
      <c r="J57369"/>
    </row>
    <row r="57370" spans="10:10" x14ac:dyDescent="0.3">
      <c r="J57370"/>
    </row>
    <row r="57371" spans="10:10" x14ac:dyDescent="0.3">
      <c r="J57371"/>
    </row>
    <row r="57372" spans="10:10" x14ac:dyDescent="0.3">
      <c r="J57372"/>
    </row>
    <row r="57373" spans="10:10" x14ac:dyDescent="0.3">
      <c r="J57373"/>
    </row>
    <row r="57374" spans="10:10" x14ac:dyDescent="0.3">
      <c r="J57374"/>
    </row>
    <row r="57375" spans="10:10" x14ac:dyDescent="0.3">
      <c r="J57375"/>
    </row>
    <row r="57376" spans="10:10" x14ac:dyDescent="0.3">
      <c r="J57376"/>
    </row>
    <row r="57377" spans="10:10" x14ac:dyDescent="0.3">
      <c r="J57377"/>
    </row>
    <row r="57378" spans="10:10" x14ac:dyDescent="0.3">
      <c r="J57378"/>
    </row>
    <row r="57379" spans="10:10" x14ac:dyDescent="0.3">
      <c r="J57379"/>
    </row>
    <row r="57380" spans="10:10" x14ac:dyDescent="0.3">
      <c r="J57380"/>
    </row>
    <row r="57381" spans="10:10" x14ac:dyDescent="0.3">
      <c r="J57381"/>
    </row>
    <row r="57382" spans="10:10" x14ac:dyDescent="0.3">
      <c r="J57382"/>
    </row>
    <row r="57383" spans="10:10" x14ac:dyDescent="0.3">
      <c r="J57383"/>
    </row>
    <row r="57384" spans="10:10" x14ac:dyDescent="0.3">
      <c r="J57384"/>
    </row>
    <row r="57385" spans="10:10" x14ac:dyDescent="0.3">
      <c r="J57385"/>
    </row>
    <row r="57386" spans="10:10" x14ac:dyDescent="0.3">
      <c r="J57386"/>
    </row>
    <row r="57387" spans="10:10" x14ac:dyDescent="0.3">
      <c r="J57387"/>
    </row>
    <row r="57388" spans="10:10" x14ac:dyDescent="0.3">
      <c r="J57388"/>
    </row>
    <row r="57389" spans="10:10" x14ac:dyDescent="0.3">
      <c r="J57389"/>
    </row>
    <row r="57390" spans="10:10" x14ac:dyDescent="0.3">
      <c r="J57390"/>
    </row>
    <row r="57391" spans="10:10" x14ac:dyDescent="0.3">
      <c r="J57391"/>
    </row>
    <row r="57392" spans="10:10" x14ac:dyDescent="0.3">
      <c r="J57392"/>
    </row>
    <row r="57393" spans="10:10" x14ac:dyDescent="0.3">
      <c r="J57393"/>
    </row>
    <row r="57394" spans="10:10" x14ac:dyDescent="0.3">
      <c r="J57394"/>
    </row>
    <row r="57395" spans="10:10" x14ac:dyDescent="0.3">
      <c r="J57395"/>
    </row>
    <row r="57396" spans="10:10" x14ac:dyDescent="0.3">
      <c r="J57396"/>
    </row>
    <row r="57397" spans="10:10" x14ac:dyDescent="0.3">
      <c r="J57397"/>
    </row>
    <row r="57398" spans="10:10" x14ac:dyDescent="0.3">
      <c r="J57398"/>
    </row>
    <row r="57399" spans="10:10" x14ac:dyDescent="0.3">
      <c r="J57399"/>
    </row>
    <row r="57400" spans="10:10" x14ac:dyDescent="0.3">
      <c r="J57400"/>
    </row>
    <row r="57401" spans="10:10" x14ac:dyDescent="0.3">
      <c r="J57401"/>
    </row>
    <row r="57402" spans="10:10" x14ac:dyDescent="0.3">
      <c r="J57402"/>
    </row>
    <row r="57403" spans="10:10" x14ac:dyDescent="0.3">
      <c r="J57403"/>
    </row>
    <row r="57404" spans="10:10" x14ac:dyDescent="0.3">
      <c r="J57404"/>
    </row>
    <row r="57405" spans="10:10" x14ac:dyDescent="0.3">
      <c r="J57405"/>
    </row>
    <row r="57406" spans="10:10" x14ac:dyDescent="0.3">
      <c r="J57406"/>
    </row>
    <row r="57407" spans="10:10" x14ac:dyDescent="0.3">
      <c r="J57407"/>
    </row>
    <row r="57408" spans="10:10" x14ac:dyDescent="0.3">
      <c r="J57408"/>
    </row>
    <row r="57409" spans="10:10" x14ac:dyDescent="0.3">
      <c r="J57409"/>
    </row>
    <row r="57410" spans="10:10" x14ac:dyDescent="0.3">
      <c r="J57410"/>
    </row>
    <row r="57411" spans="10:10" x14ac:dyDescent="0.3">
      <c r="J57411"/>
    </row>
    <row r="57412" spans="10:10" x14ac:dyDescent="0.3">
      <c r="J57412"/>
    </row>
    <row r="57413" spans="10:10" x14ac:dyDescent="0.3">
      <c r="J57413"/>
    </row>
    <row r="57414" spans="10:10" x14ac:dyDescent="0.3">
      <c r="J57414"/>
    </row>
    <row r="57415" spans="10:10" x14ac:dyDescent="0.3">
      <c r="J57415"/>
    </row>
    <row r="57416" spans="10:10" x14ac:dyDescent="0.3">
      <c r="J57416"/>
    </row>
    <row r="57417" spans="10:10" x14ac:dyDescent="0.3">
      <c r="J57417"/>
    </row>
    <row r="57418" spans="10:10" x14ac:dyDescent="0.3">
      <c r="J57418"/>
    </row>
    <row r="57419" spans="10:10" x14ac:dyDescent="0.3">
      <c r="J57419"/>
    </row>
    <row r="57420" spans="10:10" x14ac:dyDescent="0.3">
      <c r="J57420"/>
    </row>
    <row r="57421" spans="10:10" x14ac:dyDescent="0.3">
      <c r="J57421"/>
    </row>
    <row r="57422" spans="10:10" x14ac:dyDescent="0.3">
      <c r="J57422"/>
    </row>
    <row r="57423" spans="10:10" x14ac:dyDescent="0.3">
      <c r="J57423"/>
    </row>
    <row r="57424" spans="10:10" x14ac:dyDescent="0.3">
      <c r="J57424"/>
    </row>
    <row r="57425" spans="10:10" x14ac:dyDescent="0.3">
      <c r="J57425"/>
    </row>
    <row r="57426" spans="10:10" x14ac:dyDescent="0.3">
      <c r="J57426"/>
    </row>
    <row r="57427" spans="10:10" x14ac:dyDescent="0.3">
      <c r="J57427"/>
    </row>
    <row r="57428" spans="10:10" x14ac:dyDescent="0.3">
      <c r="J57428"/>
    </row>
    <row r="57429" spans="10:10" x14ac:dyDescent="0.3">
      <c r="J57429"/>
    </row>
    <row r="57430" spans="10:10" x14ac:dyDescent="0.3">
      <c r="J57430"/>
    </row>
    <row r="57431" spans="10:10" x14ac:dyDescent="0.3">
      <c r="J57431"/>
    </row>
    <row r="57432" spans="10:10" x14ac:dyDescent="0.3">
      <c r="J57432"/>
    </row>
    <row r="57433" spans="10:10" x14ac:dyDescent="0.3">
      <c r="J57433"/>
    </row>
    <row r="57434" spans="10:10" x14ac:dyDescent="0.3">
      <c r="J57434"/>
    </row>
    <row r="57435" spans="10:10" x14ac:dyDescent="0.3">
      <c r="J57435"/>
    </row>
    <row r="57436" spans="10:10" x14ac:dyDescent="0.3">
      <c r="J57436"/>
    </row>
    <row r="57437" spans="10:10" x14ac:dyDescent="0.3">
      <c r="J57437"/>
    </row>
    <row r="57438" spans="10:10" x14ac:dyDescent="0.3">
      <c r="J57438"/>
    </row>
    <row r="57439" spans="10:10" x14ac:dyDescent="0.3">
      <c r="J57439"/>
    </row>
    <row r="57440" spans="10:10" x14ac:dyDescent="0.3">
      <c r="J57440"/>
    </row>
    <row r="57441" spans="10:10" x14ac:dyDescent="0.3">
      <c r="J57441"/>
    </row>
    <row r="57442" spans="10:10" x14ac:dyDescent="0.3">
      <c r="J57442"/>
    </row>
    <row r="57443" spans="10:10" x14ac:dyDescent="0.3">
      <c r="J57443"/>
    </row>
    <row r="57444" spans="10:10" x14ac:dyDescent="0.3">
      <c r="J57444"/>
    </row>
    <row r="57445" spans="10:10" x14ac:dyDescent="0.3">
      <c r="J57445"/>
    </row>
    <row r="57446" spans="10:10" x14ac:dyDescent="0.3">
      <c r="J57446"/>
    </row>
    <row r="57447" spans="10:10" x14ac:dyDescent="0.3">
      <c r="J57447"/>
    </row>
    <row r="57448" spans="10:10" x14ac:dyDescent="0.3">
      <c r="J57448"/>
    </row>
    <row r="57449" spans="10:10" x14ac:dyDescent="0.3">
      <c r="J57449"/>
    </row>
    <row r="57450" spans="10:10" x14ac:dyDescent="0.3">
      <c r="J57450"/>
    </row>
    <row r="57451" spans="10:10" x14ac:dyDescent="0.3">
      <c r="J57451"/>
    </row>
    <row r="57452" spans="10:10" x14ac:dyDescent="0.3">
      <c r="J57452"/>
    </row>
    <row r="57453" spans="10:10" x14ac:dyDescent="0.3">
      <c r="J57453"/>
    </row>
    <row r="57454" spans="10:10" x14ac:dyDescent="0.3">
      <c r="J57454"/>
    </row>
    <row r="57455" spans="10:10" x14ac:dyDescent="0.3">
      <c r="J57455"/>
    </row>
    <row r="57456" spans="10:10" x14ac:dyDescent="0.3">
      <c r="J57456"/>
    </row>
    <row r="57457" spans="10:10" x14ac:dyDescent="0.3">
      <c r="J57457"/>
    </row>
    <row r="57458" spans="10:10" x14ac:dyDescent="0.3">
      <c r="J57458"/>
    </row>
    <row r="57459" spans="10:10" x14ac:dyDescent="0.3">
      <c r="J57459"/>
    </row>
    <row r="57460" spans="10:10" x14ac:dyDescent="0.3">
      <c r="J57460"/>
    </row>
    <row r="57461" spans="10:10" x14ac:dyDescent="0.3">
      <c r="J57461"/>
    </row>
    <row r="57462" spans="10:10" x14ac:dyDescent="0.3">
      <c r="J57462"/>
    </row>
    <row r="57463" spans="10:10" x14ac:dyDescent="0.3">
      <c r="J57463"/>
    </row>
    <row r="57464" spans="10:10" x14ac:dyDescent="0.3">
      <c r="J57464"/>
    </row>
    <row r="57465" spans="10:10" x14ac:dyDescent="0.3">
      <c r="J57465"/>
    </row>
    <row r="57466" spans="10:10" x14ac:dyDescent="0.3">
      <c r="J57466"/>
    </row>
    <row r="57467" spans="10:10" x14ac:dyDescent="0.3">
      <c r="J57467"/>
    </row>
    <row r="57468" spans="10:10" x14ac:dyDescent="0.3">
      <c r="J57468"/>
    </row>
    <row r="57469" spans="10:10" x14ac:dyDescent="0.3">
      <c r="J57469"/>
    </row>
    <row r="57470" spans="10:10" x14ac:dyDescent="0.3">
      <c r="J57470"/>
    </row>
    <row r="57471" spans="10:10" x14ac:dyDescent="0.3">
      <c r="J57471"/>
    </row>
    <row r="57472" spans="10:10" x14ac:dyDescent="0.3">
      <c r="J57472"/>
    </row>
    <row r="57473" spans="10:10" x14ac:dyDescent="0.3">
      <c r="J57473"/>
    </row>
    <row r="57474" spans="10:10" x14ac:dyDescent="0.3">
      <c r="J57474"/>
    </row>
    <row r="57475" spans="10:10" x14ac:dyDescent="0.3">
      <c r="J57475"/>
    </row>
    <row r="57476" spans="10:10" x14ac:dyDescent="0.3">
      <c r="J57476"/>
    </row>
    <row r="57477" spans="10:10" x14ac:dyDescent="0.3">
      <c r="J57477"/>
    </row>
    <row r="57478" spans="10:10" x14ac:dyDescent="0.3">
      <c r="J57478"/>
    </row>
    <row r="57479" spans="10:10" x14ac:dyDescent="0.3">
      <c r="J57479"/>
    </row>
    <row r="57480" spans="10:10" x14ac:dyDescent="0.3">
      <c r="J57480"/>
    </row>
    <row r="57481" spans="10:10" x14ac:dyDescent="0.3">
      <c r="J57481"/>
    </row>
    <row r="57482" spans="10:10" x14ac:dyDescent="0.3">
      <c r="J57482"/>
    </row>
    <row r="57483" spans="10:10" x14ac:dyDescent="0.3">
      <c r="J57483"/>
    </row>
    <row r="57484" spans="10:10" x14ac:dyDescent="0.3">
      <c r="J57484"/>
    </row>
    <row r="57485" spans="10:10" x14ac:dyDescent="0.3">
      <c r="J57485"/>
    </row>
    <row r="57486" spans="10:10" x14ac:dyDescent="0.3">
      <c r="J57486"/>
    </row>
    <row r="57487" spans="10:10" x14ac:dyDescent="0.3">
      <c r="J57487"/>
    </row>
    <row r="57488" spans="10:10" x14ac:dyDescent="0.3">
      <c r="J57488"/>
    </row>
    <row r="57489" spans="10:10" x14ac:dyDescent="0.3">
      <c r="J57489"/>
    </row>
    <row r="57490" spans="10:10" x14ac:dyDescent="0.3">
      <c r="J57490"/>
    </row>
    <row r="57491" spans="10:10" x14ac:dyDescent="0.3">
      <c r="J57491"/>
    </row>
    <row r="57492" spans="10:10" x14ac:dyDescent="0.3">
      <c r="J57492"/>
    </row>
    <row r="57493" spans="10:10" x14ac:dyDescent="0.3">
      <c r="J57493"/>
    </row>
    <row r="57494" spans="10:10" x14ac:dyDescent="0.3">
      <c r="J57494"/>
    </row>
    <row r="57495" spans="10:10" x14ac:dyDescent="0.3">
      <c r="J57495"/>
    </row>
    <row r="57496" spans="10:10" x14ac:dyDescent="0.3">
      <c r="J57496"/>
    </row>
    <row r="57497" spans="10:10" x14ac:dyDescent="0.3">
      <c r="J57497"/>
    </row>
    <row r="57498" spans="10:10" x14ac:dyDescent="0.3">
      <c r="J57498"/>
    </row>
    <row r="57499" spans="10:10" x14ac:dyDescent="0.3">
      <c r="J57499"/>
    </row>
    <row r="57500" spans="10:10" x14ac:dyDescent="0.3">
      <c r="J57500"/>
    </row>
    <row r="57501" spans="10:10" x14ac:dyDescent="0.3">
      <c r="J57501"/>
    </row>
    <row r="57502" spans="10:10" x14ac:dyDescent="0.3">
      <c r="J57502"/>
    </row>
    <row r="57503" spans="10:10" x14ac:dyDescent="0.3">
      <c r="J57503"/>
    </row>
    <row r="57504" spans="10:10" x14ac:dyDescent="0.3">
      <c r="J57504"/>
    </row>
    <row r="57505" spans="10:10" x14ac:dyDescent="0.3">
      <c r="J57505"/>
    </row>
    <row r="57506" spans="10:10" x14ac:dyDescent="0.3">
      <c r="J57506"/>
    </row>
    <row r="57507" spans="10:10" x14ac:dyDescent="0.3">
      <c r="J57507"/>
    </row>
    <row r="57508" spans="10:10" x14ac:dyDescent="0.3">
      <c r="J57508"/>
    </row>
    <row r="57509" spans="10:10" x14ac:dyDescent="0.3">
      <c r="J57509"/>
    </row>
    <row r="57510" spans="10:10" x14ac:dyDescent="0.3">
      <c r="J57510"/>
    </row>
    <row r="57511" spans="10:10" x14ac:dyDescent="0.3">
      <c r="J57511"/>
    </row>
    <row r="57512" spans="10:10" x14ac:dyDescent="0.3">
      <c r="J57512"/>
    </row>
    <row r="57513" spans="10:10" x14ac:dyDescent="0.3">
      <c r="J57513"/>
    </row>
    <row r="57514" spans="10:10" x14ac:dyDescent="0.3">
      <c r="J57514"/>
    </row>
    <row r="57515" spans="10:10" x14ac:dyDescent="0.3">
      <c r="J57515"/>
    </row>
    <row r="57516" spans="10:10" x14ac:dyDescent="0.3">
      <c r="J57516"/>
    </row>
    <row r="57517" spans="10:10" x14ac:dyDescent="0.3">
      <c r="J57517"/>
    </row>
    <row r="57518" spans="10:10" x14ac:dyDescent="0.3">
      <c r="J57518"/>
    </row>
    <row r="57519" spans="10:10" x14ac:dyDescent="0.3">
      <c r="J57519"/>
    </row>
    <row r="57520" spans="10:10" x14ac:dyDescent="0.3">
      <c r="J57520"/>
    </row>
    <row r="57521" spans="10:10" x14ac:dyDescent="0.3">
      <c r="J57521"/>
    </row>
    <row r="57522" spans="10:10" x14ac:dyDescent="0.3">
      <c r="J57522"/>
    </row>
    <row r="57523" spans="10:10" x14ac:dyDescent="0.3">
      <c r="J57523"/>
    </row>
    <row r="57524" spans="10:10" x14ac:dyDescent="0.3">
      <c r="J57524"/>
    </row>
    <row r="57525" spans="10:10" x14ac:dyDescent="0.3">
      <c r="J57525"/>
    </row>
    <row r="57526" spans="10:10" x14ac:dyDescent="0.3">
      <c r="J57526"/>
    </row>
    <row r="57527" spans="10:10" x14ac:dyDescent="0.3">
      <c r="J57527"/>
    </row>
    <row r="57528" spans="10:10" x14ac:dyDescent="0.3">
      <c r="J57528"/>
    </row>
    <row r="57529" spans="10:10" x14ac:dyDescent="0.3">
      <c r="J57529"/>
    </row>
    <row r="57530" spans="10:10" x14ac:dyDescent="0.3">
      <c r="J57530"/>
    </row>
    <row r="57531" spans="10:10" x14ac:dyDescent="0.3">
      <c r="J57531"/>
    </row>
    <row r="57532" spans="10:10" x14ac:dyDescent="0.3">
      <c r="J57532"/>
    </row>
    <row r="57533" spans="10:10" x14ac:dyDescent="0.3">
      <c r="J57533"/>
    </row>
    <row r="57534" spans="10:10" x14ac:dyDescent="0.3">
      <c r="J57534"/>
    </row>
    <row r="57535" spans="10:10" x14ac:dyDescent="0.3">
      <c r="J57535"/>
    </row>
    <row r="57536" spans="10:10" x14ac:dyDescent="0.3">
      <c r="J57536"/>
    </row>
    <row r="57537" spans="10:10" x14ac:dyDescent="0.3">
      <c r="J57537"/>
    </row>
    <row r="57538" spans="10:10" x14ac:dyDescent="0.3">
      <c r="J57538"/>
    </row>
    <row r="57539" spans="10:10" x14ac:dyDescent="0.3">
      <c r="J57539"/>
    </row>
    <row r="57540" spans="10:10" x14ac:dyDescent="0.3">
      <c r="J57540"/>
    </row>
    <row r="57541" spans="10:10" x14ac:dyDescent="0.3">
      <c r="J57541"/>
    </row>
    <row r="57542" spans="10:10" x14ac:dyDescent="0.3">
      <c r="J57542"/>
    </row>
    <row r="57543" spans="10:10" x14ac:dyDescent="0.3">
      <c r="J57543"/>
    </row>
    <row r="57544" spans="10:10" x14ac:dyDescent="0.3">
      <c r="J57544"/>
    </row>
    <row r="57545" spans="10:10" x14ac:dyDescent="0.3">
      <c r="J57545"/>
    </row>
    <row r="57546" spans="10:10" x14ac:dyDescent="0.3">
      <c r="J57546"/>
    </row>
    <row r="57547" spans="10:10" x14ac:dyDescent="0.3">
      <c r="J57547"/>
    </row>
    <row r="57548" spans="10:10" x14ac:dyDescent="0.3">
      <c r="J57548"/>
    </row>
    <row r="57549" spans="10:10" x14ac:dyDescent="0.3">
      <c r="J57549"/>
    </row>
    <row r="57550" spans="10:10" x14ac:dyDescent="0.3">
      <c r="J57550"/>
    </row>
    <row r="57551" spans="10:10" x14ac:dyDescent="0.3">
      <c r="J57551"/>
    </row>
    <row r="57552" spans="10:10" x14ac:dyDescent="0.3">
      <c r="J57552"/>
    </row>
    <row r="57553" spans="10:10" x14ac:dyDescent="0.3">
      <c r="J57553"/>
    </row>
    <row r="57554" spans="10:10" x14ac:dyDescent="0.3">
      <c r="J57554"/>
    </row>
    <row r="57555" spans="10:10" x14ac:dyDescent="0.3">
      <c r="J57555"/>
    </row>
    <row r="57556" spans="10:10" x14ac:dyDescent="0.3">
      <c r="J57556"/>
    </row>
    <row r="57557" spans="10:10" x14ac:dyDescent="0.3">
      <c r="J57557"/>
    </row>
    <row r="57558" spans="10:10" x14ac:dyDescent="0.3">
      <c r="J57558"/>
    </row>
    <row r="57559" spans="10:10" x14ac:dyDescent="0.3">
      <c r="J57559"/>
    </row>
    <row r="57560" spans="10:10" x14ac:dyDescent="0.3">
      <c r="J57560"/>
    </row>
    <row r="57561" spans="10:10" x14ac:dyDescent="0.3">
      <c r="J57561"/>
    </row>
    <row r="57562" spans="10:10" x14ac:dyDescent="0.3">
      <c r="J57562"/>
    </row>
    <row r="57563" spans="10:10" x14ac:dyDescent="0.3">
      <c r="J57563"/>
    </row>
    <row r="57564" spans="10:10" x14ac:dyDescent="0.3">
      <c r="J57564"/>
    </row>
    <row r="57565" spans="10:10" x14ac:dyDescent="0.3">
      <c r="J57565"/>
    </row>
    <row r="57566" spans="10:10" x14ac:dyDescent="0.3">
      <c r="J57566"/>
    </row>
    <row r="57567" spans="10:10" x14ac:dyDescent="0.3">
      <c r="J57567"/>
    </row>
    <row r="57568" spans="10:10" x14ac:dyDescent="0.3">
      <c r="J57568"/>
    </row>
    <row r="57569" spans="10:10" x14ac:dyDescent="0.3">
      <c r="J57569"/>
    </row>
    <row r="57570" spans="10:10" x14ac:dyDescent="0.3">
      <c r="J57570"/>
    </row>
    <row r="57571" spans="10:10" x14ac:dyDescent="0.3">
      <c r="J57571"/>
    </row>
    <row r="57572" spans="10:10" x14ac:dyDescent="0.3">
      <c r="J57572"/>
    </row>
    <row r="57573" spans="10:10" x14ac:dyDescent="0.3">
      <c r="J57573"/>
    </row>
    <row r="57574" spans="10:10" x14ac:dyDescent="0.3">
      <c r="J57574"/>
    </row>
    <row r="57575" spans="10:10" x14ac:dyDescent="0.3">
      <c r="J57575"/>
    </row>
    <row r="57576" spans="10:10" x14ac:dyDescent="0.3">
      <c r="J57576"/>
    </row>
    <row r="57577" spans="10:10" x14ac:dyDescent="0.3">
      <c r="J57577"/>
    </row>
    <row r="57578" spans="10:10" x14ac:dyDescent="0.3">
      <c r="J57578"/>
    </row>
    <row r="57579" spans="10:10" x14ac:dyDescent="0.3">
      <c r="J57579"/>
    </row>
    <row r="57580" spans="10:10" x14ac:dyDescent="0.3">
      <c r="J57580"/>
    </row>
    <row r="57581" spans="10:10" x14ac:dyDescent="0.3">
      <c r="J57581"/>
    </row>
    <row r="57582" spans="10:10" x14ac:dyDescent="0.3">
      <c r="J57582"/>
    </row>
    <row r="57583" spans="10:10" x14ac:dyDescent="0.3">
      <c r="J57583"/>
    </row>
    <row r="57584" spans="10:10" x14ac:dyDescent="0.3">
      <c r="J57584"/>
    </row>
    <row r="57585" spans="10:10" x14ac:dyDescent="0.3">
      <c r="J57585"/>
    </row>
    <row r="57586" spans="10:10" x14ac:dyDescent="0.3">
      <c r="J57586"/>
    </row>
    <row r="57587" spans="10:10" x14ac:dyDescent="0.3">
      <c r="J57587"/>
    </row>
    <row r="57588" spans="10:10" x14ac:dyDescent="0.3">
      <c r="J57588"/>
    </row>
    <row r="57589" spans="10:10" x14ac:dyDescent="0.3">
      <c r="J57589"/>
    </row>
    <row r="57590" spans="10:10" x14ac:dyDescent="0.3">
      <c r="J57590"/>
    </row>
    <row r="57591" spans="10:10" x14ac:dyDescent="0.3">
      <c r="J57591"/>
    </row>
    <row r="57592" spans="10:10" x14ac:dyDescent="0.3">
      <c r="J57592"/>
    </row>
    <row r="57593" spans="10:10" x14ac:dyDescent="0.3">
      <c r="J57593"/>
    </row>
    <row r="57594" spans="10:10" x14ac:dyDescent="0.3">
      <c r="J57594"/>
    </row>
    <row r="57595" spans="10:10" x14ac:dyDescent="0.3">
      <c r="J57595"/>
    </row>
    <row r="57596" spans="10:10" x14ac:dyDescent="0.3">
      <c r="J57596"/>
    </row>
    <row r="57597" spans="10:10" x14ac:dyDescent="0.3">
      <c r="J57597"/>
    </row>
    <row r="57598" spans="10:10" x14ac:dyDescent="0.3">
      <c r="J57598"/>
    </row>
    <row r="57599" spans="10:10" x14ac:dyDescent="0.3">
      <c r="J57599"/>
    </row>
    <row r="57600" spans="10:10" x14ac:dyDescent="0.3">
      <c r="J57600"/>
    </row>
    <row r="57601" spans="10:10" x14ac:dyDescent="0.3">
      <c r="J57601"/>
    </row>
    <row r="57602" spans="10:10" x14ac:dyDescent="0.3">
      <c r="J57602"/>
    </row>
    <row r="57603" spans="10:10" x14ac:dyDescent="0.3">
      <c r="J57603"/>
    </row>
    <row r="57604" spans="10:10" x14ac:dyDescent="0.3">
      <c r="J57604"/>
    </row>
    <row r="57605" spans="10:10" x14ac:dyDescent="0.3">
      <c r="J57605"/>
    </row>
    <row r="57606" spans="10:10" x14ac:dyDescent="0.3">
      <c r="J57606"/>
    </row>
    <row r="57607" spans="10:10" x14ac:dyDescent="0.3">
      <c r="J57607"/>
    </row>
    <row r="57608" spans="10:10" x14ac:dyDescent="0.3">
      <c r="J57608"/>
    </row>
    <row r="57609" spans="10:10" x14ac:dyDescent="0.3">
      <c r="J57609"/>
    </row>
    <row r="57610" spans="10:10" x14ac:dyDescent="0.3">
      <c r="J57610"/>
    </row>
    <row r="57611" spans="10:10" x14ac:dyDescent="0.3">
      <c r="J57611"/>
    </row>
    <row r="57612" spans="10:10" x14ac:dyDescent="0.3">
      <c r="J57612"/>
    </row>
    <row r="57613" spans="10:10" x14ac:dyDescent="0.3">
      <c r="J57613"/>
    </row>
    <row r="57614" spans="10:10" x14ac:dyDescent="0.3">
      <c r="J57614"/>
    </row>
    <row r="57615" spans="10:10" x14ac:dyDescent="0.3">
      <c r="J57615"/>
    </row>
    <row r="57616" spans="10:10" x14ac:dyDescent="0.3">
      <c r="J57616"/>
    </row>
    <row r="57617" spans="10:10" x14ac:dyDescent="0.3">
      <c r="J57617"/>
    </row>
    <row r="57618" spans="10:10" x14ac:dyDescent="0.3">
      <c r="J57618"/>
    </row>
    <row r="57619" spans="10:10" x14ac:dyDescent="0.3">
      <c r="J57619"/>
    </row>
    <row r="57620" spans="10:10" x14ac:dyDescent="0.3">
      <c r="J57620"/>
    </row>
    <row r="57621" spans="10:10" x14ac:dyDescent="0.3">
      <c r="J57621"/>
    </row>
    <row r="57622" spans="10:10" x14ac:dyDescent="0.3">
      <c r="J57622"/>
    </row>
    <row r="57623" spans="10:10" x14ac:dyDescent="0.3">
      <c r="J57623"/>
    </row>
    <row r="57624" spans="10:10" x14ac:dyDescent="0.3">
      <c r="J57624"/>
    </row>
    <row r="57625" spans="10:10" x14ac:dyDescent="0.3">
      <c r="J57625"/>
    </row>
    <row r="57626" spans="10:10" x14ac:dyDescent="0.3">
      <c r="J57626"/>
    </row>
    <row r="57627" spans="10:10" x14ac:dyDescent="0.3">
      <c r="J57627"/>
    </row>
    <row r="57628" spans="10:10" x14ac:dyDescent="0.3">
      <c r="J57628"/>
    </row>
    <row r="57629" spans="10:10" x14ac:dyDescent="0.3">
      <c r="J57629"/>
    </row>
    <row r="57630" spans="10:10" x14ac:dyDescent="0.3">
      <c r="J57630"/>
    </row>
    <row r="57631" spans="10:10" x14ac:dyDescent="0.3">
      <c r="J57631"/>
    </row>
    <row r="57632" spans="10:10" x14ac:dyDescent="0.3">
      <c r="J57632"/>
    </row>
    <row r="57633" spans="10:10" x14ac:dyDescent="0.3">
      <c r="J57633"/>
    </row>
    <row r="57634" spans="10:10" x14ac:dyDescent="0.3">
      <c r="J57634"/>
    </row>
    <row r="57635" spans="10:10" x14ac:dyDescent="0.3">
      <c r="J57635"/>
    </row>
    <row r="57636" spans="10:10" x14ac:dyDescent="0.3">
      <c r="J57636"/>
    </row>
    <row r="57637" spans="10:10" x14ac:dyDescent="0.3">
      <c r="J57637"/>
    </row>
    <row r="57638" spans="10:10" x14ac:dyDescent="0.3">
      <c r="J57638"/>
    </row>
    <row r="57639" spans="10:10" x14ac:dyDescent="0.3">
      <c r="J57639"/>
    </row>
    <row r="57640" spans="10:10" x14ac:dyDescent="0.3">
      <c r="J57640"/>
    </row>
    <row r="57641" spans="10:10" x14ac:dyDescent="0.3">
      <c r="J57641"/>
    </row>
    <row r="57642" spans="10:10" x14ac:dyDescent="0.3">
      <c r="J57642"/>
    </row>
    <row r="57643" spans="10:10" x14ac:dyDescent="0.3">
      <c r="J57643"/>
    </row>
    <row r="57644" spans="10:10" x14ac:dyDescent="0.3">
      <c r="J57644"/>
    </row>
    <row r="57645" spans="10:10" x14ac:dyDescent="0.3">
      <c r="J57645"/>
    </row>
    <row r="57646" spans="10:10" x14ac:dyDescent="0.3">
      <c r="J57646"/>
    </row>
    <row r="57647" spans="10:10" x14ac:dyDescent="0.3">
      <c r="J57647"/>
    </row>
    <row r="57648" spans="10:10" x14ac:dyDescent="0.3">
      <c r="J57648"/>
    </row>
    <row r="57649" spans="10:10" x14ac:dyDescent="0.3">
      <c r="J57649"/>
    </row>
    <row r="57650" spans="10:10" x14ac:dyDescent="0.3">
      <c r="J57650"/>
    </row>
    <row r="57651" spans="10:10" x14ac:dyDescent="0.3">
      <c r="J57651"/>
    </row>
    <row r="57652" spans="10:10" x14ac:dyDescent="0.3">
      <c r="J57652"/>
    </row>
    <row r="57653" spans="10:10" x14ac:dyDescent="0.3">
      <c r="J57653"/>
    </row>
    <row r="57654" spans="10:10" x14ac:dyDescent="0.3">
      <c r="J57654"/>
    </row>
    <row r="57655" spans="10:10" x14ac:dyDescent="0.3">
      <c r="J57655"/>
    </row>
    <row r="57656" spans="10:10" x14ac:dyDescent="0.3">
      <c r="J57656"/>
    </row>
    <row r="57657" spans="10:10" x14ac:dyDescent="0.3">
      <c r="J57657"/>
    </row>
    <row r="57658" spans="10:10" x14ac:dyDescent="0.3">
      <c r="J57658"/>
    </row>
    <row r="57659" spans="10:10" x14ac:dyDescent="0.3">
      <c r="J57659"/>
    </row>
    <row r="57660" spans="10:10" x14ac:dyDescent="0.3">
      <c r="J57660"/>
    </row>
    <row r="57661" spans="10:10" x14ac:dyDescent="0.3">
      <c r="J57661"/>
    </row>
    <row r="57662" spans="10:10" x14ac:dyDescent="0.3">
      <c r="J57662"/>
    </row>
    <row r="57663" spans="10:10" x14ac:dyDescent="0.3">
      <c r="J57663"/>
    </row>
    <row r="57664" spans="10:10" x14ac:dyDescent="0.3">
      <c r="J57664"/>
    </row>
    <row r="57665" spans="10:10" x14ac:dyDescent="0.3">
      <c r="J57665"/>
    </row>
    <row r="57666" spans="10:10" x14ac:dyDescent="0.3">
      <c r="J57666"/>
    </row>
    <row r="57667" spans="10:10" x14ac:dyDescent="0.3">
      <c r="J57667"/>
    </row>
    <row r="57668" spans="10:10" x14ac:dyDescent="0.3">
      <c r="J57668"/>
    </row>
    <row r="57669" spans="10:10" x14ac:dyDescent="0.3">
      <c r="J57669"/>
    </row>
    <row r="57670" spans="10:10" x14ac:dyDescent="0.3">
      <c r="J57670"/>
    </row>
    <row r="57671" spans="10:10" x14ac:dyDescent="0.3">
      <c r="J57671"/>
    </row>
    <row r="57672" spans="10:10" x14ac:dyDescent="0.3">
      <c r="J57672"/>
    </row>
    <row r="57673" spans="10:10" x14ac:dyDescent="0.3">
      <c r="J57673"/>
    </row>
    <row r="57674" spans="10:10" x14ac:dyDescent="0.3">
      <c r="J57674"/>
    </row>
    <row r="57675" spans="10:10" x14ac:dyDescent="0.3">
      <c r="J57675"/>
    </row>
    <row r="57676" spans="10:10" x14ac:dyDescent="0.3">
      <c r="J57676"/>
    </row>
    <row r="57677" spans="10:10" x14ac:dyDescent="0.3">
      <c r="J57677"/>
    </row>
    <row r="57678" spans="10:10" x14ac:dyDescent="0.3">
      <c r="J57678"/>
    </row>
    <row r="57679" spans="10:10" x14ac:dyDescent="0.3">
      <c r="J57679"/>
    </row>
    <row r="57680" spans="10:10" x14ac:dyDescent="0.3">
      <c r="J57680"/>
    </row>
    <row r="57681" spans="10:10" x14ac:dyDescent="0.3">
      <c r="J57681"/>
    </row>
    <row r="57682" spans="10:10" x14ac:dyDescent="0.3">
      <c r="J57682"/>
    </row>
    <row r="57683" spans="10:10" x14ac:dyDescent="0.3">
      <c r="J57683"/>
    </row>
    <row r="57684" spans="10:10" x14ac:dyDescent="0.3">
      <c r="J57684"/>
    </row>
    <row r="57685" spans="10:10" x14ac:dyDescent="0.3">
      <c r="J57685"/>
    </row>
    <row r="57686" spans="10:10" x14ac:dyDescent="0.3">
      <c r="J57686"/>
    </row>
    <row r="57687" spans="10:10" x14ac:dyDescent="0.3">
      <c r="J57687"/>
    </row>
    <row r="57688" spans="10:10" x14ac:dyDescent="0.3">
      <c r="J57688"/>
    </row>
    <row r="57689" spans="10:10" x14ac:dyDescent="0.3">
      <c r="J57689"/>
    </row>
    <row r="57690" spans="10:10" x14ac:dyDescent="0.3">
      <c r="J57690"/>
    </row>
    <row r="57691" spans="10:10" x14ac:dyDescent="0.3">
      <c r="J57691"/>
    </row>
    <row r="57692" spans="10:10" x14ac:dyDescent="0.3">
      <c r="J57692"/>
    </row>
    <row r="57693" spans="10:10" x14ac:dyDescent="0.3">
      <c r="J57693"/>
    </row>
    <row r="57694" spans="10:10" x14ac:dyDescent="0.3">
      <c r="J57694"/>
    </row>
    <row r="57695" spans="10:10" x14ac:dyDescent="0.3">
      <c r="J57695"/>
    </row>
    <row r="57696" spans="10:10" x14ac:dyDescent="0.3">
      <c r="J57696"/>
    </row>
    <row r="57697" spans="10:10" x14ac:dyDescent="0.3">
      <c r="J57697"/>
    </row>
    <row r="57698" spans="10:10" x14ac:dyDescent="0.3">
      <c r="J57698"/>
    </row>
    <row r="57699" spans="10:10" x14ac:dyDescent="0.3">
      <c r="J57699"/>
    </row>
    <row r="57700" spans="10:10" x14ac:dyDescent="0.3">
      <c r="J57700"/>
    </row>
    <row r="57701" spans="10:10" x14ac:dyDescent="0.3">
      <c r="J57701"/>
    </row>
    <row r="57702" spans="10:10" x14ac:dyDescent="0.3">
      <c r="J57702"/>
    </row>
    <row r="57703" spans="10:10" x14ac:dyDescent="0.3">
      <c r="J57703"/>
    </row>
    <row r="57704" spans="10:10" x14ac:dyDescent="0.3">
      <c r="J57704"/>
    </row>
    <row r="57705" spans="10:10" x14ac:dyDescent="0.3">
      <c r="J57705"/>
    </row>
    <row r="57706" spans="10:10" x14ac:dyDescent="0.3">
      <c r="J57706"/>
    </row>
    <row r="57707" spans="10:10" x14ac:dyDescent="0.3">
      <c r="J57707"/>
    </row>
    <row r="57708" spans="10:10" x14ac:dyDescent="0.3">
      <c r="J57708"/>
    </row>
    <row r="57709" spans="10:10" x14ac:dyDescent="0.3">
      <c r="J57709"/>
    </row>
    <row r="57710" spans="10:10" x14ac:dyDescent="0.3">
      <c r="J57710"/>
    </row>
    <row r="57711" spans="10:10" x14ac:dyDescent="0.3">
      <c r="J57711"/>
    </row>
    <row r="57712" spans="10:10" x14ac:dyDescent="0.3">
      <c r="J57712"/>
    </row>
    <row r="57713" spans="10:10" x14ac:dyDescent="0.3">
      <c r="J57713"/>
    </row>
    <row r="57714" spans="10:10" x14ac:dyDescent="0.3">
      <c r="J57714"/>
    </row>
    <row r="57715" spans="10:10" x14ac:dyDescent="0.3">
      <c r="J57715"/>
    </row>
    <row r="57716" spans="10:10" x14ac:dyDescent="0.3">
      <c r="J57716"/>
    </row>
    <row r="57717" spans="10:10" x14ac:dyDescent="0.3">
      <c r="J57717"/>
    </row>
    <row r="57718" spans="10:10" x14ac:dyDescent="0.3">
      <c r="J57718"/>
    </row>
    <row r="57719" spans="10:10" x14ac:dyDescent="0.3">
      <c r="J57719"/>
    </row>
    <row r="57720" spans="10:10" x14ac:dyDescent="0.3">
      <c r="J57720"/>
    </row>
    <row r="57721" spans="10:10" x14ac:dyDescent="0.3">
      <c r="J57721"/>
    </row>
    <row r="57722" spans="10:10" x14ac:dyDescent="0.3">
      <c r="J57722"/>
    </row>
    <row r="57723" spans="10:10" x14ac:dyDescent="0.3">
      <c r="J57723"/>
    </row>
    <row r="57724" spans="10:10" x14ac:dyDescent="0.3">
      <c r="J57724"/>
    </row>
    <row r="57725" spans="10:10" x14ac:dyDescent="0.3">
      <c r="J57725"/>
    </row>
    <row r="57726" spans="10:10" x14ac:dyDescent="0.3">
      <c r="J57726"/>
    </row>
    <row r="57727" spans="10:10" x14ac:dyDescent="0.3">
      <c r="J57727"/>
    </row>
    <row r="57728" spans="10:10" x14ac:dyDescent="0.3">
      <c r="J57728"/>
    </row>
    <row r="57729" spans="10:10" x14ac:dyDescent="0.3">
      <c r="J57729"/>
    </row>
    <row r="57730" spans="10:10" x14ac:dyDescent="0.3">
      <c r="J57730"/>
    </row>
    <row r="57731" spans="10:10" x14ac:dyDescent="0.3">
      <c r="J57731"/>
    </row>
    <row r="57732" spans="10:10" x14ac:dyDescent="0.3">
      <c r="J57732"/>
    </row>
    <row r="57733" spans="10:10" x14ac:dyDescent="0.3">
      <c r="J57733"/>
    </row>
    <row r="57734" spans="10:10" x14ac:dyDescent="0.3">
      <c r="J57734"/>
    </row>
    <row r="57735" spans="10:10" x14ac:dyDescent="0.3">
      <c r="J57735"/>
    </row>
    <row r="57736" spans="10:10" x14ac:dyDescent="0.3">
      <c r="J57736"/>
    </row>
    <row r="57737" spans="10:10" x14ac:dyDescent="0.3">
      <c r="J57737"/>
    </row>
    <row r="57738" spans="10:10" x14ac:dyDescent="0.3">
      <c r="J57738"/>
    </row>
    <row r="57739" spans="10:10" x14ac:dyDescent="0.3">
      <c r="J57739"/>
    </row>
    <row r="57740" spans="10:10" x14ac:dyDescent="0.3">
      <c r="J57740"/>
    </row>
    <row r="57741" spans="10:10" x14ac:dyDescent="0.3">
      <c r="J57741"/>
    </row>
    <row r="57742" spans="10:10" x14ac:dyDescent="0.3">
      <c r="J57742"/>
    </row>
    <row r="57743" spans="10:10" x14ac:dyDescent="0.3">
      <c r="J57743"/>
    </row>
    <row r="57744" spans="10:10" x14ac:dyDescent="0.3">
      <c r="J57744"/>
    </row>
    <row r="57745" spans="10:10" x14ac:dyDescent="0.3">
      <c r="J57745"/>
    </row>
    <row r="57746" spans="10:10" x14ac:dyDescent="0.3">
      <c r="J57746"/>
    </row>
    <row r="57747" spans="10:10" x14ac:dyDescent="0.3">
      <c r="J57747"/>
    </row>
    <row r="57748" spans="10:10" x14ac:dyDescent="0.3">
      <c r="J57748"/>
    </row>
    <row r="57749" spans="10:10" x14ac:dyDescent="0.3">
      <c r="J57749"/>
    </row>
    <row r="57750" spans="10:10" x14ac:dyDescent="0.3">
      <c r="J57750"/>
    </row>
    <row r="57751" spans="10:10" x14ac:dyDescent="0.3">
      <c r="J57751"/>
    </row>
    <row r="57752" spans="10:10" x14ac:dyDescent="0.3">
      <c r="J57752"/>
    </row>
    <row r="57753" spans="10:10" x14ac:dyDescent="0.3">
      <c r="J57753"/>
    </row>
    <row r="57754" spans="10:10" x14ac:dyDescent="0.3">
      <c r="J57754"/>
    </row>
    <row r="57755" spans="10:10" x14ac:dyDescent="0.3">
      <c r="J57755"/>
    </row>
    <row r="57756" spans="10:10" x14ac:dyDescent="0.3">
      <c r="J57756"/>
    </row>
    <row r="57757" spans="10:10" x14ac:dyDescent="0.3">
      <c r="J57757"/>
    </row>
    <row r="57758" spans="10:10" x14ac:dyDescent="0.3">
      <c r="J57758"/>
    </row>
    <row r="57759" spans="10:10" x14ac:dyDescent="0.3">
      <c r="J57759"/>
    </row>
    <row r="57760" spans="10:10" x14ac:dyDescent="0.3">
      <c r="J57760"/>
    </row>
    <row r="57761" spans="10:10" x14ac:dyDescent="0.3">
      <c r="J57761"/>
    </row>
    <row r="57762" spans="10:10" x14ac:dyDescent="0.3">
      <c r="J57762"/>
    </row>
    <row r="57763" spans="10:10" x14ac:dyDescent="0.3">
      <c r="J57763"/>
    </row>
    <row r="57764" spans="10:10" x14ac:dyDescent="0.3">
      <c r="J57764"/>
    </row>
    <row r="57765" spans="10:10" x14ac:dyDescent="0.3">
      <c r="J57765"/>
    </row>
    <row r="57766" spans="10:10" x14ac:dyDescent="0.3">
      <c r="J57766"/>
    </row>
    <row r="57767" spans="10:10" x14ac:dyDescent="0.3">
      <c r="J57767"/>
    </row>
    <row r="57768" spans="10:10" x14ac:dyDescent="0.3">
      <c r="J57768"/>
    </row>
    <row r="57769" spans="10:10" x14ac:dyDescent="0.3">
      <c r="J57769"/>
    </row>
    <row r="57770" spans="10:10" x14ac:dyDescent="0.3">
      <c r="J57770"/>
    </row>
    <row r="57771" spans="10:10" x14ac:dyDescent="0.3">
      <c r="J57771"/>
    </row>
    <row r="57772" spans="10:10" x14ac:dyDescent="0.3">
      <c r="J57772"/>
    </row>
    <row r="57773" spans="10:10" x14ac:dyDescent="0.3">
      <c r="J57773"/>
    </row>
    <row r="57774" spans="10:10" x14ac:dyDescent="0.3">
      <c r="J57774"/>
    </row>
    <row r="57775" spans="10:10" x14ac:dyDescent="0.3">
      <c r="J57775"/>
    </row>
    <row r="57776" spans="10:10" x14ac:dyDescent="0.3">
      <c r="J57776"/>
    </row>
    <row r="57777" spans="10:10" x14ac:dyDescent="0.3">
      <c r="J57777"/>
    </row>
    <row r="57778" spans="10:10" x14ac:dyDescent="0.3">
      <c r="J57778"/>
    </row>
    <row r="57779" spans="10:10" x14ac:dyDescent="0.3">
      <c r="J57779"/>
    </row>
    <row r="57780" spans="10:10" x14ac:dyDescent="0.3">
      <c r="J57780"/>
    </row>
    <row r="57781" spans="10:10" x14ac:dyDescent="0.3">
      <c r="J57781"/>
    </row>
    <row r="57782" spans="10:10" x14ac:dyDescent="0.3">
      <c r="J57782"/>
    </row>
    <row r="57783" spans="10:10" x14ac:dyDescent="0.3">
      <c r="J57783"/>
    </row>
    <row r="57784" spans="10:10" x14ac:dyDescent="0.3">
      <c r="J57784"/>
    </row>
    <row r="57785" spans="10:10" x14ac:dyDescent="0.3">
      <c r="J57785"/>
    </row>
    <row r="57786" spans="10:10" x14ac:dyDescent="0.3">
      <c r="J57786"/>
    </row>
    <row r="57787" spans="10:10" x14ac:dyDescent="0.3">
      <c r="J57787"/>
    </row>
    <row r="57788" spans="10:10" x14ac:dyDescent="0.3">
      <c r="J57788"/>
    </row>
    <row r="57789" spans="10:10" x14ac:dyDescent="0.3">
      <c r="J57789"/>
    </row>
    <row r="57790" spans="10:10" x14ac:dyDescent="0.3">
      <c r="J57790"/>
    </row>
    <row r="57791" spans="10:10" x14ac:dyDescent="0.3">
      <c r="J57791"/>
    </row>
    <row r="57792" spans="10:10" x14ac:dyDescent="0.3">
      <c r="J57792"/>
    </row>
    <row r="57793" spans="10:10" x14ac:dyDescent="0.3">
      <c r="J57793"/>
    </row>
    <row r="57794" spans="10:10" x14ac:dyDescent="0.3">
      <c r="J57794"/>
    </row>
    <row r="57795" spans="10:10" x14ac:dyDescent="0.3">
      <c r="J57795"/>
    </row>
    <row r="57796" spans="10:10" x14ac:dyDescent="0.3">
      <c r="J57796"/>
    </row>
    <row r="57797" spans="10:10" x14ac:dyDescent="0.3">
      <c r="J57797"/>
    </row>
    <row r="57798" spans="10:10" x14ac:dyDescent="0.3">
      <c r="J57798"/>
    </row>
    <row r="57799" spans="10:10" x14ac:dyDescent="0.3">
      <c r="J57799"/>
    </row>
    <row r="57800" spans="10:10" x14ac:dyDescent="0.3">
      <c r="J57800"/>
    </row>
    <row r="57801" spans="10:10" x14ac:dyDescent="0.3">
      <c r="J57801"/>
    </row>
    <row r="57802" spans="10:10" x14ac:dyDescent="0.3">
      <c r="J57802"/>
    </row>
    <row r="57803" spans="10:10" x14ac:dyDescent="0.3">
      <c r="J57803"/>
    </row>
    <row r="57804" spans="10:10" x14ac:dyDescent="0.3">
      <c r="J57804"/>
    </row>
    <row r="57805" spans="10:10" x14ac:dyDescent="0.3">
      <c r="J57805"/>
    </row>
    <row r="57806" spans="10:10" x14ac:dyDescent="0.3">
      <c r="J57806"/>
    </row>
    <row r="57807" spans="10:10" x14ac:dyDescent="0.3">
      <c r="J57807"/>
    </row>
    <row r="57808" spans="10:10" x14ac:dyDescent="0.3">
      <c r="J57808"/>
    </row>
    <row r="57809" spans="10:10" x14ac:dyDescent="0.3">
      <c r="J57809"/>
    </row>
    <row r="57810" spans="10:10" x14ac:dyDescent="0.3">
      <c r="J57810"/>
    </row>
    <row r="57811" spans="10:10" x14ac:dyDescent="0.3">
      <c r="J57811"/>
    </row>
    <row r="57812" spans="10:10" x14ac:dyDescent="0.3">
      <c r="J57812"/>
    </row>
    <row r="57813" spans="10:10" x14ac:dyDescent="0.3">
      <c r="J57813"/>
    </row>
    <row r="57814" spans="10:10" x14ac:dyDescent="0.3">
      <c r="J57814"/>
    </row>
    <row r="57815" spans="10:10" x14ac:dyDescent="0.3">
      <c r="J57815"/>
    </row>
    <row r="57816" spans="10:10" x14ac:dyDescent="0.3">
      <c r="J57816"/>
    </row>
    <row r="57817" spans="10:10" x14ac:dyDescent="0.3">
      <c r="J57817"/>
    </row>
    <row r="57818" spans="10:10" x14ac:dyDescent="0.3">
      <c r="J57818"/>
    </row>
    <row r="57819" spans="10:10" x14ac:dyDescent="0.3">
      <c r="J57819"/>
    </row>
    <row r="57820" spans="10:10" x14ac:dyDescent="0.3">
      <c r="J57820"/>
    </row>
    <row r="57821" spans="10:10" x14ac:dyDescent="0.3">
      <c r="J57821"/>
    </row>
    <row r="57822" spans="10:10" x14ac:dyDescent="0.3">
      <c r="J57822"/>
    </row>
    <row r="57823" spans="10:10" x14ac:dyDescent="0.3">
      <c r="J57823"/>
    </row>
    <row r="57824" spans="10:10" x14ac:dyDescent="0.3">
      <c r="J57824"/>
    </row>
    <row r="57825" spans="10:10" x14ac:dyDescent="0.3">
      <c r="J57825"/>
    </row>
    <row r="57826" spans="10:10" x14ac:dyDescent="0.3">
      <c r="J57826"/>
    </row>
    <row r="57827" spans="10:10" x14ac:dyDescent="0.3">
      <c r="J57827"/>
    </row>
    <row r="57828" spans="10:10" x14ac:dyDescent="0.3">
      <c r="J57828"/>
    </row>
    <row r="57829" spans="10:10" x14ac:dyDescent="0.3">
      <c r="J57829"/>
    </row>
    <row r="57830" spans="10:10" x14ac:dyDescent="0.3">
      <c r="J57830"/>
    </row>
    <row r="57831" spans="10:10" x14ac:dyDescent="0.3">
      <c r="J57831"/>
    </row>
    <row r="57832" spans="10:10" x14ac:dyDescent="0.3">
      <c r="J57832"/>
    </row>
    <row r="57833" spans="10:10" x14ac:dyDescent="0.3">
      <c r="J57833"/>
    </row>
    <row r="57834" spans="10:10" x14ac:dyDescent="0.3">
      <c r="J57834"/>
    </row>
    <row r="57835" spans="10:10" x14ac:dyDescent="0.3">
      <c r="J57835"/>
    </row>
    <row r="57836" spans="10:10" x14ac:dyDescent="0.3">
      <c r="J57836"/>
    </row>
    <row r="57837" spans="10:10" x14ac:dyDescent="0.3">
      <c r="J57837"/>
    </row>
    <row r="57838" spans="10:10" x14ac:dyDescent="0.3">
      <c r="J57838"/>
    </row>
    <row r="57839" spans="10:10" x14ac:dyDescent="0.3">
      <c r="J57839"/>
    </row>
    <row r="57840" spans="10:10" x14ac:dyDescent="0.3">
      <c r="J57840"/>
    </row>
    <row r="57841" spans="10:10" x14ac:dyDescent="0.3">
      <c r="J57841"/>
    </row>
    <row r="57842" spans="10:10" x14ac:dyDescent="0.3">
      <c r="J57842"/>
    </row>
    <row r="57843" spans="10:10" x14ac:dyDescent="0.3">
      <c r="J57843"/>
    </row>
    <row r="57844" spans="10:10" x14ac:dyDescent="0.3">
      <c r="J57844"/>
    </row>
    <row r="57845" spans="10:10" x14ac:dyDescent="0.3">
      <c r="J57845"/>
    </row>
    <row r="57846" spans="10:10" x14ac:dyDescent="0.3">
      <c r="J57846"/>
    </row>
    <row r="57847" spans="10:10" x14ac:dyDescent="0.3">
      <c r="J57847"/>
    </row>
    <row r="57848" spans="10:10" x14ac:dyDescent="0.3">
      <c r="J57848"/>
    </row>
    <row r="57849" spans="10:10" x14ac:dyDescent="0.3">
      <c r="J57849"/>
    </row>
    <row r="57850" spans="10:10" x14ac:dyDescent="0.3">
      <c r="J57850"/>
    </row>
    <row r="57851" spans="10:10" x14ac:dyDescent="0.3">
      <c r="J57851"/>
    </row>
    <row r="57852" spans="10:10" x14ac:dyDescent="0.3">
      <c r="J57852"/>
    </row>
    <row r="57853" spans="10:10" x14ac:dyDescent="0.3">
      <c r="J57853"/>
    </row>
    <row r="57854" spans="10:10" x14ac:dyDescent="0.3">
      <c r="J57854"/>
    </row>
    <row r="57855" spans="10:10" x14ac:dyDescent="0.3">
      <c r="J57855"/>
    </row>
    <row r="57856" spans="10:10" x14ac:dyDescent="0.3">
      <c r="J57856"/>
    </row>
    <row r="57857" spans="10:10" x14ac:dyDescent="0.3">
      <c r="J57857"/>
    </row>
    <row r="57858" spans="10:10" x14ac:dyDescent="0.3">
      <c r="J57858"/>
    </row>
    <row r="57859" spans="10:10" x14ac:dyDescent="0.3">
      <c r="J57859"/>
    </row>
    <row r="57860" spans="10:10" x14ac:dyDescent="0.3">
      <c r="J57860"/>
    </row>
    <row r="57861" spans="10:10" x14ac:dyDescent="0.3">
      <c r="J57861"/>
    </row>
    <row r="57862" spans="10:10" x14ac:dyDescent="0.3">
      <c r="J57862"/>
    </row>
    <row r="57863" spans="10:10" x14ac:dyDescent="0.3">
      <c r="J57863"/>
    </row>
    <row r="57864" spans="10:10" x14ac:dyDescent="0.3">
      <c r="J57864"/>
    </row>
    <row r="57865" spans="10:10" x14ac:dyDescent="0.3">
      <c r="J57865"/>
    </row>
    <row r="57866" spans="10:10" x14ac:dyDescent="0.3">
      <c r="J57866"/>
    </row>
    <row r="57867" spans="10:10" x14ac:dyDescent="0.3">
      <c r="J57867"/>
    </row>
    <row r="57868" spans="10:10" x14ac:dyDescent="0.3">
      <c r="J57868"/>
    </row>
    <row r="57869" spans="10:10" x14ac:dyDescent="0.3">
      <c r="J57869"/>
    </row>
    <row r="57870" spans="10:10" x14ac:dyDescent="0.3">
      <c r="J57870"/>
    </row>
    <row r="57871" spans="10:10" x14ac:dyDescent="0.3">
      <c r="J57871"/>
    </row>
    <row r="57872" spans="10:10" x14ac:dyDescent="0.3">
      <c r="J57872"/>
    </row>
    <row r="57873" spans="10:10" x14ac:dyDescent="0.3">
      <c r="J57873"/>
    </row>
    <row r="57874" spans="10:10" x14ac:dyDescent="0.3">
      <c r="J57874"/>
    </row>
    <row r="57875" spans="10:10" x14ac:dyDescent="0.3">
      <c r="J57875"/>
    </row>
    <row r="57876" spans="10:10" x14ac:dyDescent="0.3">
      <c r="J57876"/>
    </row>
    <row r="57877" spans="10:10" x14ac:dyDescent="0.3">
      <c r="J57877"/>
    </row>
    <row r="57878" spans="10:10" x14ac:dyDescent="0.3">
      <c r="J57878"/>
    </row>
    <row r="57879" spans="10:10" x14ac:dyDescent="0.3">
      <c r="J57879"/>
    </row>
    <row r="57880" spans="10:10" x14ac:dyDescent="0.3">
      <c r="J57880"/>
    </row>
    <row r="57881" spans="10:10" x14ac:dyDescent="0.3">
      <c r="J57881"/>
    </row>
    <row r="57882" spans="10:10" x14ac:dyDescent="0.3">
      <c r="J57882"/>
    </row>
    <row r="57883" spans="10:10" x14ac:dyDescent="0.3">
      <c r="J57883"/>
    </row>
    <row r="57884" spans="10:10" x14ac:dyDescent="0.3">
      <c r="J57884"/>
    </row>
    <row r="57885" spans="10:10" x14ac:dyDescent="0.3">
      <c r="J57885"/>
    </row>
    <row r="57886" spans="10:10" x14ac:dyDescent="0.3">
      <c r="J57886"/>
    </row>
    <row r="57887" spans="10:10" x14ac:dyDescent="0.3">
      <c r="J57887"/>
    </row>
    <row r="57888" spans="10:10" x14ac:dyDescent="0.3">
      <c r="J57888"/>
    </row>
    <row r="57889" spans="10:10" x14ac:dyDescent="0.3">
      <c r="J57889"/>
    </row>
    <row r="57890" spans="10:10" x14ac:dyDescent="0.3">
      <c r="J57890"/>
    </row>
    <row r="57891" spans="10:10" x14ac:dyDescent="0.3">
      <c r="J57891"/>
    </row>
    <row r="57892" spans="10:10" x14ac:dyDescent="0.3">
      <c r="J57892"/>
    </row>
    <row r="57893" spans="10:10" x14ac:dyDescent="0.3">
      <c r="J57893"/>
    </row>
    <row r="57894" spans="10:10" x14ac:dyDescent="0.3">
      <c r="J57894"/>
    </row>
    <row r="57895" spans="10:10" x14ac:dyDescent="0.3">
      <c r="J57895"/>
    </row>
    <row r="57896" spans="10:10" x14ac:dyDescent="0.3">
      <c r="J57896"/>
    </row>
    <row r="57897" spans="10:10" x14ac:dyDescent="0.3">
      <c r="J57897"/>
    </row>
    <row r="57898" spans="10:10" x14ac:dyDescent="0.3">
      <c r="J57898"/>
    </row>
    <row r="57899" spans="10:10" x14ac:dyDescent="0.3">
      <c r="J57899"/>
    </row>
    <row r="57900" spans="10:10" x14ac:dyDescent="0.3">
      <c r="J57900"/>
    </row>
    <row r="57901" spans="10:10" x14ac:dyDescent="0.3">
      <c r="J57901"/>
    </row>
    <row r="57902" spans="10:10" x14ac:dyDescent="0.3">
      <c r="J57902"/>
    </row>
    <row r="57903" spans="10:10" x14ac:dyDescent="0.3">
      <c r="J57903"/>
    </row>
    <row r="57904" spans="10:10" x14ac:dyDescent="0.3">
      <c r="J57904"/>
    </row>
    <row r="57905" spans="10:10" x14ac:dyDescent="0.3">
      <c r="J57905"/>
    </row>
    <row r="57906" spans="10:10" x14ac:dyDescent="0.3">
      <c r="J57906"/>
    </row>
    <row r="57907" spans="10:10" x14ac:dyDescent="0.3">
      <c r="J57907"/>
    </row>
    <row r="57908" spans="10:10" x14ac:dyDescent="0.3">
      <c r="J57908"/>
    </row>
    <row r="57909" spans="10:10" x14ac:dyDescent="0.3">
      <c r="J57909"/>
    </row>
    <row r="57910" spans="10:10" x14ac:dyDescent="0.3">
      <c r="J57910"/>
    </row>
    <row r="57911" spans="10:10" x14ac:dyDescent="0.3">
      <c r="J57911"/>
    </row>
    <row r="57912" spans="10:10" x14ac:dyDescent="0.3">
      <c r="J57912"/>
    </row>
    <row r="57913" spans="10:10" x14ac:dyDescent="0.3">
      <c r="J57913"/>
    </row>
    <row r="57914" spans="10:10" x14ac:dyDescent="0.3">
      <c r="J57914"/>
    </row>
    <row r="57915" spans="10:10" x14ac:dyDescent="0.3">
      <c r="J57915"/>
    </row>
    <row r="57916" spans="10:10" x14ac:dyDescent="0.3">
      <c r="J57916"/>
    </row>
    <row r="57917" spans="10:10" x14ac:dyDescent="0.3">
      <c r="J57917"/>
    </row>
    <row r="57918" spans="10:10" x14ac:dyDescent="0.3">
      <c r="J57918"/>
    </row>
    <row r="57919" spans="10:10" x14ac:dyDescent="0.3">
      <c r="J57919"/>
    </row>
    <row r="57920" spans="10:10" x14ac:dyDescent="0.3">
      <c r="J57920"/>
    </row>
    <row r="57921" spans="10:10" x14ac:dyDescent="0.3">
      <c r="J57921"/>
    </row>
    <row r="57922" spans="10:10" x14ac:dyDescent="0.3">
      <c r="J57922"/>
    </row>
    <row r="57923" spans="10:10" x14ac:dyDescent="0.3">
      <c r="J57923"/>
    </row>
    <row r="57924" spans="10:10" x14ac:dyDescent="0.3">
      <c r="J57924"/>
    </row>
    <row r="57925" spans="10:10" x14ac:dyDescent="0.3">
      <c r="J57925"/>
    </row>
    <row r="57926" spans="10:10" x14ac:dyDescent="0.3">
      <c r="J57926"/>
    </row>
    <row r="57927" spans="10:10" x14ac:dyDescent="0.3">
      <c r="J57927"/>
    </row>
    <row r="57928" spans="10:10" x14ac:dyDescent="0.3">
      <c r="J57928"/>
    </row>
    <row r="57929" spans="10:10" x14ac:dyDescent="0.3">
      <c r="J57929"/>
    </row>
    <row r="57930" spans="10:10" x14ac:dyDescent="0.3">
      <c r="J57930"/>
    </row>
    <row r="57931" spans="10:10" x14ac:dyDescent="0.3">
      <c r="J57931"/>
    </row>
    <row r="57932" spans="10:10" x14ac:dyDescent="0.3">
      <c r="J57932"/>
    </row>
    <row r="57933" spans="10:10" x14ac:dyDescent="0.3">
      <c r="J57933"/>
    </row>
    <row r="57934" spans="10:10" x14ac:dyDescent="0.3">
      <c r="J57934"/>
    </row>
    <row r="57935" spans="10:10" x14ac:dyDescent="0.3">
      <c r="J57935"/>
    </row>
    <row r="57936" spans="10:10" x14ac:dyDescent="0.3">
      <c r="J57936"/>
    </row>
    <row r="57937" spans="10:10" x14ac:dyDescent="0.3">
      <c r="J57937"/>
    </row>
    <row r="57938" spans="10:10" x14ac:dyDescent="0.3">
      <c r="J57938"/>
    </row>
    <row r="57939" spans="10:10" x14ac:dyDescent="0.3">
      <c r="J57939"/>
    </row>
    <row r="57940" spans="10:10" x14ac:dyDescent="0.3">
      <c r="J57940"/>
    </row>
    <row r="57941" spans="10:10" x14ac:dyDescent="0.3">
      <c r="J57941"/>
    </row>
    <row r="57942" spans="10:10" x14ac:dyDescent="0.3">
      <c r="J57942"/>
    </row>
    <row r="57943" spans="10:10" x14ac:dyDescent="0.3">
      <c r="J57943"/>
    </row>
    <row r="57944" spans="10:10" x14ac:dyDescent="0.3">
      <c r="J57944"/>
    </row>
    <row r="57945" spans="10:10" x14ac:dyDescent="0.3">
      <c r="J57945"/>
    </row>
    <row r="57946" spans="10:10" x14ac:dyDescent="0.3">
      <c r="J57946"/>
    </row>
    <row r="57947" spans="10:10" x14ac:dyDescent="0.3">
      <c r="J57947"/>
    </row>
    <row r="57948" spans="10:10" x14ac:dyDescent="0.3">
      <c r="J57948"/>
    </row>
    <row r="57949" spans="10:10" x14ac:dyDescent="0.3">
      <c r="J57949"/>
    </row>
    <row r="57950" spans="10:10" x14ac:dyDescent="0.3">
      <c r="J57950"/>
    </row>
    <row r="57951" spans="10:10" x14ac:dyDescent="0.3">
      <c r="J57951"/>
    </row>
    <row r="57952" spans="10:10" x14ac:dyDescent="0.3">
      <c r="J57952"/>
    </row>
    <row r="57953" spans="10:10" x14ac:dyDescent="0.3">
      <c r="J57953"/>
    </row>
    <row r="57954" spans="10:10" x14ac:dyDescent="0.3">
      <c r="J57954"/>
    </row>
    <row r="57955" spans="10:10" x14ac:dyDescent="0.3">
      <c r="J57955"/>
    </row>
    <row r="57956" spans="10:10" x14ac:dyDescent="0.3">
      <c r="J57956"/>
    </row>
    <row r="57957" spans="10:10" x14ac:dyDescent="0.3">
      <c r="J57957"/>
    </row>
    <row r="57958" spans="10:10" x14ac:dyDescent="0.3">
      <c r="J57958"/>
    </row>
    <row r="57959" spans="10:10" x14ac:dyDescent="0.3">
      <c r="J57959"/>
    </row>
    <row r="57960" spans="10:10" x14ac:dyDescent="0.3">
      <c r="J57960"/>
    </row>
    <row r="57961" spans="10:10" x14ac:dyDescent="0.3">
      <c r="J57961"/>
    </row>
    <row r="57962" spans="10:10" x14ac:dyDescent="0.3">
      <c r="J57962"/>
    </row>
    <row r="57963" spans="10:10" x14ac:dyDescent="0.3">
      <c r="J57963"/>
    </row>
    <row r="57964" spans="10:10" x14ac:dyDescent="0.3">
      <c r="J57964"/>
    </row>
    <row r="57965" spans="10:10" x14ac:dyDescent="0.3">
      <c r="J57965"/>
    </row>
    <row r="57966" spans="10:10" x14ac:dyDescent="0.3">
      <c r="J57966"/>
    </row>
    <row r="57967" spans="10:10" x14ac:dyDescent="0.3">
      <c r="J57967"/>
    </row>
    <row r="57968" spans="10:10" x14ac:dyDescent="0.3">
      <c r="J57968"/>
    </row>
    <row r="57969" spans="10:10" x14ac:dyDescent="0.3">
      <c r="J57969"/>
    </row>
    <row r="57970" spans="10:10" x14ac:dyDescent="0.3">
      <c r="J57970"/>
    </row>
    <row r="57971" spans="10:10" x14ac:dyDescent="0.3">
      <c r="J57971"/>
    </row>
    <row r="57972" spans="10:10" x14ac:dyDescent="0.3">
      <c r="J57972"/>
    </row>
    <row r="57973" spans="10:10" x14ac:dyDescent="0.3">
      <c r="J57973"/>
    </row>
    <row r="57974" spans="10:10" x14ac:dyDescent="0.3">
      <c r="J57974"/>
    </row>
    <row r="57975" spans="10:10" x14ac:dyDescent="0.3">
      <c r="J57975"/>
    </row>
    <row r="57976" spans="10:10" x14ac:dyDescent="0.3">
      <c r="J57976"/>
    </row>
    <row r="57977" spans="10:10" x14ac:dyDescent="0.3">
      <c r="J57977"/>
    </row>
    <row r="57978" spans="10:10" x14ac:dyDescent="0.3">
      <c r="J57978"/>
    </row>
    <row r="57979" spans="10:10" x14ac:dyDescent="0.3">
      <c r="J57979"/>
    </row>
    <row r="57980" spans="10:10" x14ac:dyDescent="0.3">
      <c r="J57980"/>
    </row>
    <row r="57981" spans="10:10" x14ac:dyDescent="0.3">
      <c r="J57981"/>
    </row>
    <row r="57982" spans="10:10" x14ac:dyDescent="0.3">
      <c r="J57982"/>
    </row>
    <row r="57983" spans="10:10" x14ac:dyDescent="0.3">
      <c r="J57983"/>
    </row>
    <row r="57984" spans="10:10" x14ac:dyDescent="0.3">
      <c r="J57984"/>
    </row>
    <row r="57985" spans="10:10" x14ac:dyDescent="0.3">
      <c r="J57985"/>
    </row>
    <row r="57986" spans="10:10" x14ac:dyDescent="0.3">
      <c r="J57986"/>
    </row>
    <row r="57987" spans="10:10" x14ac:dyDescent="0.3">
      <c r="J57987"/>
    </row>
    <row r="57988" spans="10:10" x14ac:dyDescent="0.3">
      <c r="J57988"/>
    </row>
    <row r="57989" spans="10:10" x14ac:dyDescent="0.3">
      <c r="J57989"/>
    </row>
    <row r="57990" spans="10:10" x14ac:dyDescent="0.3">
      <c r="J57990"/>
    </row>
    <row r="57991" spans="10:10" x14ac:dyDescent="0.3">
      <c r="J57991"/>
    </row>
    <row r="57992" spans="10:10" x14ac:dyDescent="0.3">
      <c r="J57992"/>
    </row>
    <row r="57993" spans="10:10" x14ac:dyDescent="0.3">
      <c r="J57993"/>
    </row>
    <row r="57994" spans="10:10" x14ac:dyDescent="0.3">
      <c r="J57994"/>
    </row>
    <row r="57995" spans="10:10" x14ac:dyDescent="0.3">
      <c r="J57995"/>
    </row>
    <row r="57996" spans="10:10" x14ac:dyDescent="0.3">
      <c r="J57996"/>
    </row>
    <row r="57997" spans="10:10" x14ac:dyDescent="0.3">
      <c r="J57997"/>
    </row>
    <row r="57998" spans="10:10" x14ac:dyDescent="0.3">
      <c r="J57998"/>
    </row>
    <row r="57999" spans="10:10" x14ac:dyDescent="0.3">
      <c r="J57999"/>
    </row>
    <row r="58000" spans="10:10" x14ac:dyDescent="0.3">
      <c r="J58000"/>
    </row>
    <row r="58001" spans="10:10" x14ac:dyDescent="0.3">
      <c r="J58001"/>
    </row>
    <row r="58002" spans="10:10" x14ac:dyDescent="0.3">
      <c r="J58002"/>
    </row>
    <row r="58003" spans="10:10" x14ac:dyDescent="0.3">
      <c r="J58003"/>
    </row>
    <row r="58004" spans="10:10" x14ac:dyDescent="0.3">
      <c r="J58004"/>
    </row>
    <row r="58005" spans="10:10" x14ac:dyDescent="0.3">
      <c r="J58005"/>
    </row>
    <row r="58006" spans="10:10" x14ac:dyDescent="0.3">
      <c r="J58006"/>
    </row>
    <row r="58007" spans="10:10" x14ac:dyDescent="0.3">
      <c r="J58007"/>
    </row>
    <row r="58008" spans="10:10" x14ac:dyDescent="0.3">
      <c r="J58008"/>
    </row>
    <row r="58009" spans="10:10" x14ac:dyDescent="0.3">
      <c r="J58009"/>
    </row>
    <row r="58010" spans="10:10" x14ac:dyDescent="0.3">
      <c r="J58010"/>
    </row>
    <row r="58011" spans="10:10" x14ac:dyDescent="0.3">
      <c r="J58011"/>
    </row>
    <row r="58012" spans="10:10" x14ac:dyDescent="0.3">
      <c r="J58012"/>
    </row>
    <row r="58013" spans="10:10" x14ac:dyDescent="0.3">
      <c r="J58013"/>
    </row>
    <row r="58014" spans="10:10" x14ac:dyDescent="0.3">
      <c r="J58014"/>
    </row>
    <row r="58015" spans="10:10" x14ac:dyDescent="0.3">
      <c r="J58015"/>
    </row>
    <row r="58016" spans="10:10" x14ac:dyDescent="0.3">
      <c r="J58016"/>
    </row>
    <row r="58017" spans="10:10" x14ac:dyDescent="0.3">
      <c r="J58017"/>
    </row>
    <row r="58018" spans="10:10" x14ac:dyDescent="0.3">
      <c r="J58018"/>
    </row>
    <row r="58019" spans="10:10" x14ac:dyDescent="0.3">
      <c r="J58019"/>
    </row>
    <row r="58020" spans="10:10" x14ac:dyDescent="0.3">
      <c r="J58020"/>
    </row>
    <row r="58021" spans="10:10" x14ac:dyDescent="0.3">
      <c r="J58021"/>
    </row>
    <row r="58022" spans="10:10" x14ac:dyDescent="0.3">
      <c r="J58022"/>
    </row>
    <row r="58023" spans="10:10" x14ac:dyDescent="0.3">
      <c r="J58023"/>
    </row>
    <row r="58024" spans="10:10" x14ac:dyDescent="0.3">
      <c r="J58024"/>
    </row>
    <row r="58025" spans="10:10" x14ac:dyDescent="0.3">
      <c r="J58025"/>
    </row>
    <row r="58026" spans="10:10" x14ac:dyDescent="0.3">
      <c r="J58026"/>
    </row>
    <row r="58027" spans="10:10" x14ac:dyDescent="0.3">
      <c r="J58027"/>
    </row>
    <row r="58028" spans="10:10" x14ac:dyDescent="0.3">
      <c r="J58028"/>
    </row>
    <row r="58029" spans="10:10" x14ac:dyDescent="0.3">
      <c r="J58029"/>
    </row>
    <row r="58030" spans="10:10" x14ac:dyDescent="0.3">
      <c r="J58030"/>
    </row>
    <row r="58031" spans="10:10" x14ac:dyDescent="0.3">
      <c r="J58031"/>
    </row>
    <row r="58032" spans="10:10" x14ac:dyDescent="0.3">
      <c r="J58032"/>
    </row>
    <row r="58033" spans="10:10" x14ac:dyDescent="0.3">
      <c r="J58033"/>
    </row>
    <row r="58034" spans="10:10" x14ac:dyDescent="0.3">
      <c r="J58034"/>
    </row>
    <row r="58035" spans="10:10" x14ac:dyDescent="0.3">
      <c r="J58035"/>
    </row>
    <row r="58036" spans="10:10" x14ac:dyDescent="0.3">
      <c r="J58036"/>
    </row>
    <row r="58037" spans="10:10" x14ac:dyDescent="0.3">
      <c r="J58037"/>
    </row>
    <row r="58038" spans="10:10" x14ac:dyDescent="0.3">
      <c r="J58038"/>
    </row>
    <row r="58039" spans="10:10" x14ac:dyDescent="0.3">
      <c r="J58039"/>
    </row>
    <row r="58040" spans="10:10" x14ac:dyDescent="0.3">
      <c r="J58040"/>
    </row>
    <row r="58041" spans="10:10" x14ac:dyDescent="0.3">
      <c r="J58041"/>
    </row>
    <row r="58042" spans="10:10" x14ac:dyDescent="0.3">
      <c r="J58042"/>
    </row>
    <row r="58043" spans="10:10" x14ac:dyDescent="0.3">
      <c r="J58043"/>
    </row>
    <row r="58044" spans="10:10" x14ac:dyDescent="0.3">
      <c r="J58044"/>
    </row>
    <row r="58045" spans="10:10" x14ac:dyDescent="0.3">
      <c r="J58045"/>
    </row>
    <row r="58046" spans="10:10" x14ac:dyDescent="0.3">
      <c r="J58046"/>
    </row>
    <row r="58047" spans="10:10" x14ac:dyDescent="0.3">
      <c r="J58047"/>
    </row>
    <row r="58048" spans="10:10" x14ac:dyDescent="0.3">
      <c r="J58048"/>
    </row>
    <row r="58049" spans="10:10" x14ac:dyDescent="0.3">
      <c r="J58049"/>
    </row>
    <row r="58050" spans="10:10" x14ac:dyDescent="0.3">
      <c r="J58050"/>
    </row>
    <row r="58051" spans="10:10" x14ac:dyDescent="0.3">
      <c r="J58051"/>
    </row>
    <row r="58052" spans="10:10" x14ac:dyDescent="0.3">
      <c r="J58052"/>
    </row>
    <row r="58053" spans="10:10" x14ac:dyDescent="0.3">
      <c r="J58053"/>
    </row>
    <row r="58054" spans="10:10" x14ac:dyDescent="0.3">
      <c r="J58054"/>
    </row>
    <row r="58055" spans="10:10" x14ac:dyDescent="0.3">
      <c r="J58055"/>
    </row>
    <row r="58056" spans="10:10" x14ac:dyDescent="0.3">
      <c r="J58056"/>
    </row>
    <row r="58057" spans="10:10" x14ac:dyDescent="0.3">
      <c r="J58057"/>
    </row>
    <row r="58058" spans="10:10" x14ac:dyDescent="0.3">
      <c r="J58058"/>
    </row>
    <row r="58059" spans="10:10" x14ac:dyDescent="0.3">
      <c r="J58059"/>
    </row>
    <row r="58060" spans="10:10" x14ac:dyDescent="0.3">
      <c r="J58060"/>
    </row>
    <row r="58061" spans="10:10" x14ac:dyDescent="0.3">
      <c r="J58061"/>
    </row>
    <row r="58062" spans="10:10" x14ac:dyDescent="0.3">
      <c r="J58062"/>
    </row>
    <row r="58063" spans="10:10" x14ac:dyDescent="0.3">
      <c r="J58063"/>
    </row>
    <row r="58064" spans="10:10" x14ac:dyDescent="0.3">
      <c r="J58064"/>
    </row>
    <row r="58065" spans="10:10" x14ac:dyDescent="0.3">
      <c r="J58065"/>
    </row>
    <row r="58066" spans="10:10" x14ac:dyDescent="0.3">
      <c r="J58066"/>
    </row>
    <row r="58067" spans="10:10" x14ac:dyDescent="0.3">
      <c r="J58067"/>
    </row>
    <row r="58068" spans="10:10" x14ac:dyDescent="0.3">
      <c r="J58068"/>
    </row>
    <row r="58069" spans="10:10" x14ac:dyDescent="0.3">
      <c r="J58069"/>
    </row>
    <row r="58070" spans="10:10" x14ac:dyDescent="0.3">
      <c r="J58070"/>
    </row>
    <row r="58071" spans="10:10" x14ac:dyDescent="0.3">
      <c r="J58071"/>
    </row>
    <row r="58072" spans="10:10" x14ac:dyDescent="0.3">
      <c r="J58072"/>
    </row>
    <row r="58073" spans="10:10" x14ac:dyDescent="0.3">
      <c r="J58073"/>
    </row>
    <row r="58074" spans="10:10" x14ac:dyDescent="0.3">
      <c r="J58074"/>
    </row>
    <row r="58075" spans="10:10" x14ac:dyDescent="0.3">
      <c r="J58075"/>
    </row>
    <row r="58076" spans="10:10" x14ac:dyDescent="0.3">
      <c r="J58076"/>
    </row>
    <row r="58077" spans="10:10" x14ac:dyDescent="0.3">
      <c r="J58077"/>
    </row>
    <row r="58078" spans="10:10" x14ac:dyDescent="0.3">
      <c r="J58078"/>
    </row>
    <row r="58079" spans="10:10" x14ac:dyDescent="0.3">
      <c r="J58079"/>
    </row>
    <row r="58080" spans="10:10" x14ac:dyDescent="0.3">
      <c r="J58080"/>
    </row>
    <row r="58081" spans="10:10" x14ac:dyDescent="0.3">
      <c r="J58081"/>
    </row>
    <row r="58082" spans="10:10" x14ac:dyDescent="0.3">
      <c r="J58082"/>
    </row>
    <row r="58083" spans="10:10" x14ac:dyDescent="0.3">
      <c r="J58083"/>
    </row>
    <row r="58084" spans="10:10" x14ac:dyDescent="0.3">
      <c r="J58084"/>
    </row>
    <row r="58085" spans="10:10" x14ac:dyDescent="0.3">
      <c r="J58085"/>
    </row>
    <row r="58086" spans="10:10" x14ac:dyDescent="0.3">
      <c r="J58086"/>
    </row>
    <row r="58087" spans="10:10" x14ac:dyDescent="0.3">
      <c r="J58087"/>
    </row>
    <row r="58088" spans="10:10" x14ac:dyDescent="0.3">
      <c r="J58088"/>
    </row>
    <row r="58089" spans="10:10" x14ac:dyDescent="0.3">
      <c r="J58089"/>
    </row>
    <row r="58090" spans="10:10" x14ac:dyDescent="0.3">
      <c r="J58090"/>
    </row>
    <row r="58091" spans="10:10" x14ac:dyDescent="0.3">
      <c r="J58091"/>
    </row>
    <row r="58092" spans="10:10" x14ac:dyDescent="0.3">
      <c r="J58092"/>
    </row>
    <row r="58093" spans="10:10" x14ac:dyDescent="0.3">
      <c r="J58093"/>
    </row>
    <row r="58094" spans="10:10" x14ac:dyDescent="0.3">
      <c r="J58094"/>
    </row>
    <row r="58095" spans="10:10" x14ac:dyDescent="0.3">
      <c r="J58095"/>
    </row>
    <row r="58096" spans="10:10" x14ac:dyDescent="0.3">
      <c r="J58096"/>
    </row>
    <row r="58097" spans="10:10" x14ac:dyDescent="0.3">
      <c r="J58097"/>
    </row>
    <row r="58098" spans="10:10" x14ac:dyDescent="0.3">
      <c r="J58098"/>
    </row>
    <row r="58099" spans="10:10" x14ac:dyDescent="0.3">
      <c r="J58099"/>
    </row>
    <row r="58100" spans="10:10" x14ac:dyDescent="0.3">
      <c r="J58100"/>
    </row>
    <row r="58101" spans="10:10" x14ac:dyDescent="0.3">
      <c r="J58101"/>
    </row>
    <row r="58102" spans="10:10" x14ac:dyDescent="0.3">
      <c r="J58102"/>
    </row>
    <row r="58103" spans="10:10" x14ac:dyDescent="0.3">
      <c r="J58103"/>
    </row>
    <row r="58104" spans="10:10" x14ac:dyDescent="0.3">
      <c r="J58104"/>
    </row>
    <row r="58105" spans="10:10" x14ac:dyDescent="0.3">
      <c r="J58105"/>
    </row>
    <row r="58106" spans="10:10" x14ac:dyDescent="0.3">
      <c r="J58106"/>
    </row>
    <row r="58107" spans="10:10" x14ac:dyDescent="0.3">
      <c r="J58107"/>
    </row>
    <row r="58108" spans="10:10" x14ac:dyDescent="0.3">
      <c r="J58108"/>
    </row>
    <row r="58109" spans="10:10" x14ac:dyDescent="0.3">
      <c r="J58109"/>
    </row>
    <row r="58110" spans="10:10" x14ac:dyDescent="0.3">
      <c r="J58110"/>
    </row>
    <row r="58111" spans="10:10" x14ac:dyDescent="0.3">
      <c r="J58111"/>
    </row>
    <row r="58112" spans="10:10" x14ac:dyDescent="0.3">
      <c r="J58112"/>
    </row>
    <row r="58113" spans="10:10" x14ac:dyDescent="0.3">
      <c r="J58113"/>
    </row>
    <row r="58114" spans="10:10" x14ac:dyDescent="0.3">
      <c r="J58114"/>
    </row>
    <row r="58115" spans="10:10" x14ac:dyDescent="0.3">
      <c r="J58115"/>
    </row>
    <row r="58116" spans="10:10" x14ac:dyDescent="0.3">
      <c r="J58116"/>
    </row>
    <row r="58117" spans="10:10" x14ac:dyDescent="0.3">
      <c r="J58117"/>
    </row>
    <row r="58118" spans="10:10" x14ac:dyDescent="0.3">
      <c r="J58118"/>
    </row>
    <row r="58119" spans="10:10" x14ac:dyDescent="0.3">
      <c r="J58119"/>
    </row>
    <row r="58120" spans="10:10" x14ac:dyDescent="0.3">
      <c r="J58120"/>
    </row>
    <row r="58121" spans="10:10" x14ac:dyDescent="0.3">
      <c r="J58121"/>
    </row>
    <row r="58122" spans="10:10" x14ac:dyDescent="0.3">
      <c r="J58122"/>
    </row>
    <row r="58123" spans="10:10" x14ac:dyDescent="0.3">
      <c r="J58123"/>
    </row>
    <row r="58124" spans="10:10" x14ac:dyDescent="0.3">
      <c r="J58124"/>
    </row>
    <row r="58125" spans="10:10" x14ac:dyDescent="0.3">
      <c r="J58125"/>
    </row>
    <row r="58126" spans="10:10" x14ac:dyDescent="0.3">
      <c r="J58126"/>
    </row>
    <row r="58127" spans="10:10" x14ac:dyDescent="0.3">
      <c r="J58127"/>
    </row>
    <row r="58128" spans="10:10" x14ac:dyDescent="0.3">
      <c r="J58128"/>
    </row>
    <row r="58129" spans="10:10" x14ac:dyDescent="0.3">
      <c r="J58129"/>
    </row>
    <row r="58130" spans="10:10" x14ac:dyDescent="0.3">
      <c r="J58130"/>
    </row>
    <row r="58131" spans="10:10" x14ac:dyDescent="0.3">
      <c r="J58131"/>
    </row>
    <row r="58132" spans="10:10" x14ac:dyDescent="0.3">
      <c r="J58132"/>
    </row>
    <row r="58133" spans="10:10" x14ac:dyDescent="0.3">
      <c r="J58133"/>
    </row>
    <row r="58134" spans="10:10" x14ac:dyDescent="0.3">
      <c r="J58134"/>
    </row>
    <row r="58135" spans="10:10" x14ac:dyDescent="0.3">
      <c r="J58135"/>
    </row>
    <row r="58136" spans="10:10" x14ac:dyDescent="0.3">
      <c r="J58136"/>
    </row>
    <row r="58137" spans="10:10" x14ac:dyDescent="0.3">
      <c r="J58137"/>
    </row>
    <row r="58138" spans="10:10" x14ac:dyDescent="0.3">
      <c r="J58138"/>
    </row>
    <row r="58139" spans="10:10" x14ac:dyDescent="0.3">
      <c r="J58139"/>
    </row>
    <row r="58140" spans="10:10" x14ac:dyDescent="0.3">
      <c r="J58140"/>
    </row>
    <row r="58141" spans="10:10" x14ac:dyDescent="0.3">
      <c r="J58141"/>
    </row>
    <row r="58142" spans="10:10" x14ac:dyDescent="0.3">
      <c r="J58142"/>
    </row>
    <row r="58143" spans="10:10" x14ac:dyDescent="0.3">
      <c r="J58143"/>
    </row>
    <row r="58144" spans="10:10" x14ac:dyDescent="0.3">
      <c r="J58144"/>
    </row>
    <row r="58145" spans="10:10" x14ac:dyDescent="0.3">
      <c r="J58145"/>
    </row>
    <row r="58146" spans="10:10" x14ac:dyDescent="0.3">
      <c r="J58146"/>
    </row>
    <row r="58147" spans="10:10" x14ac:dyDescent="0.3">
      <c r="J58147"/>
    </row>
    <row r="58148" spans="10:10" x14ac:dyDescent="0.3">
      <c r="J58148"/>
    </row>
    <row r="58149" spans="10:10" x14ac:dyDescent="0.3">
      <c r="J58149"/>
    </row>
    <row r="58150" spans="10:10" x14ac:dyDescent="0.3">
      <c r="J58150"/>
    </row>
    <row r="58151" spans="10:10" x14ac:dyDescent="0.3">
      <c r="J58151"/>
    </row>
    <row r="58152" spans="10:10" x14ac:dyDescent="0.3">
      <c r="J58152"/>
    </row>
    <row r="58153" spans="10:10" x14ac:dyDescent="0.3">
      <c r="J58153"/>
    </row>
    <row r="58154" spans="10:10" x14ac:dyDescent="0.3">
      <c r="J58154"/>
    </row>
    <row r="58155" spans="10:10" x14ac:dyDescent="0.3">
      <c r="J58155"/>
    </row>
    <row r="58156" spans="10:10" x14ac:dyDescent="0.3">
      <c r="J58156"/>
    </row>
    <row r="58157" spans="10:10" x14ac:dyDescent="0.3">
      <c r="J58157"/>
    </row>
    <row r="58158" spans="10:10" x14ac:dyDescent="0.3">
      <c r="J58158"/>
    </row>
    <row r="58159" spans="10:10" x14ac:dyDescent="0.3">
      <c r="J58159"/>
    </row>
    <row r="58160" spans="10:10" x14ac:dyDescent="0.3">
      <c r="J58160"/>
    </row>
    <row r="58161" spans="10:10" x14ac:dyDescent="0.3">
      <c r="J58161"/>
    </row>
    <row r="58162" spans="10:10" x14ac:dyDescent="0.3">
      <c r="J58162"/>
    </row>
    <row r="58163" spans="10:10" x14ac:dyDescent="0.3">
      <c r="J58163"/>
    </row>
    <row r="58164" spans="10:10" x14ac:dyDescent="0.3">
      <c r="J58164"/>
    </row>
    <row r="58165" spans="10:10" x14ac:dyDescent="0.3">
      <c r="J58165"/>
    </row>
    <row r="58166" spans="10:10" x14ac:dyDescent="0.3">
      <c r="J58166"/>
    </row>
    <row r="58167" spans="10:10" x14ac:dyDescent="0.3">
      <c r="J58167"/>
    </row>
    <row r="58168" spans="10:10" x14ac:dyDescent="0.3">
      <c r="J58168"/>
    </row>
    <row r="58169" spans="10:10" x14ac:dyDescent="0.3">
      <c r="J58169"/>
    </row>
    <row r="58170" spans="10:10" x14ac:dyDescent="0.3">
      <c r="J58170"/>
    </row>
    <row r="58171" spans="10:10" x14ac:dyDescent="0.3">
      <c r="J58171"/>
    </row>
    <row r="58172" spans="10:10" x14ac:dyDescent="0.3">
      <c r="J58172"/>
    </row>
    <row r="58173" spans="10:10" x14ac:dyDescent="0.3">
      <c r="J58173"/>
    </row>
    <row r="58174" spans="10:10" x14ac:dyDescent="0.3">
      <c r="J58174"/>
    </row>
    <row r="58175" spans="10:10" x14ac:dyDescent="0.3">
      <c r="J58175"/>
    </row>
    <row r="58176" spans="10:10" x14ac:dyDescent="0.3">
      <c r="J58176"/>
    </row>
    <row r="58177" spans="10:10" x14ac:dyDescent="0.3">
      <c r="J58177"/>
    </row>
    <row r="58178" spans="10:10" x14ac:dyDescent="0.3">
      <c r="J58178"/>
    </row>
    <row r="58179" spans="10:10" x14ac:dyDescent="0.3">
      <c r="J58179"/>
    </row>
    <row r="58180" spans="10:10" x14ac:dyDescent="0.3">
      <c r="J58180"/>
    </row>
    <row r="58181" spans="10:10" x14ac:dyDescent="0.3">
      <c r="J58181"/>
    </row>
    <row r="58182" spans="10:10" x14ac:dyDescent="0.3">
      <c r="J58182"/>
    </row>
    <row r="58183" spans="10:10" x14ac:dyDescent="0.3">
      <c r="J58183"/>
    </row>
    <row r="58184" spans="10:10" x14ac:dyDescent="0.3">
      <c r="J58184"/>
    </row>
    <row r="58185" spans="10:10" x14ac:dyDescent="0.3">
      <c r="J58185"/>
    </row>
    <row r="58186" spans="10:10" x14ac:dyDescent="0.3">
      <c r="J58186"/>
    </row>
    <row r="58187" spans="10:10" x14ac:dyDescent="0.3">
      <c r="J58187"/>
    </row>
    <row r="58188" spans="10:10" x14ac:dyDescent="0.3">
      <c r="J58188"/>
    </row>
    <row r="58189" spans="10:10" x14ac:dyDescent="0.3">
      <c r="J58189"/>
    </row>
    <row r="58190" spans="10:10" x14ac:dyDescent="0.3">
      <c r="J58190"/>
    </row>
    <row r="58191" spans="10:10" x14ac:dyDescent="0.3">
      <c r="J58191"/>
    </row>
    <row r="58192" spans="10:10" x14ac:dyDescent="0.3">
      <c r="J58192"/>
    </row>
    <row r="58193" spans="10:10" x14ac:dyDescent="0.3">
      <c r="J58193"/>
    </row>
    <row r="58194" spans="10:10" x14ac:dyDescent="0.3">
      <c r="J58194"/>
    </row>
    <row r="58195" spans="10:10" x14ac:dyDescent="0.3">
      <c r="J58195"/>
    </row>
    <row r="58196" spans="10:10" x14ac:dyDescent="0.3">
      <c r="J58196"/>
    </row>
    <row r="58197" spans="10:10" x14ac:dyDescent="0.3">
      <c r="J58197"/>
    </row>
    <row r="58198" spans="10:10" x14ac:dyDescent="0.3">
      <c r="J58198"/>
    </row>
    <row r="58199" spans="10:10" x14ac:dyDescent="0.3">
      <c r="J58199"/>
    </row>
    <row r="58200" spans="10:10" x14ac:dyDescent="0.3">
      <c r="J58200"/>
    </row>
    <row r="58201" spans="10:10" x14ac:dyDescent="0.3">
      <c r="J58201"/>
    </row>
    <row r="58202" spans="10:10" x14ac:dyDescent="0.3">
      <c r="J58202"/>
    </row>
    <row r="58203" spans="10:10" x14ac:dyDescent="0.3">
      <c r="J58203"/>
    </row>
    <row r="58204" spans="10:10" x14ac:dyDescent="0.3">
      <c r="J58204"/>
    </row>
    <row r="58205" spans="10:10" x14ac:dyDescent="0.3">
      <c r="J58205"/>
    </row>
    <row r="58206" spans="10:10" x14ac:dyDescent="0.3">
      <c r="J58206"/>
    </row>
    <row r="58207" spans="10:10" x14ac:dyDescent="0.3">
      <c r="J58207"/>
    </row>
    <row r="58208" spans="10:10" x14ac:dyDescent="0.3">
      <c r="J58208"/>
    </row>
    <row r="58209" spans="10:10" x14ac:dyDescent="0.3">
      <c r="J58209"/>
    </row>
    <row r="58210" spans="10:10" x14ac:dyDescent="0.3">
      <c r="J58210"/>
    </row>
    <row r="58211" spans="10:10" x14ac:dyDescent="0.3">
      <c r="J58211"/>
    </row>
    <row r="58212" spans="10:10" x14ac:dyDescent="0.3">
      <c r="J58212"/>
    </row>
    <row r="58213" spans="10:10" x14ac:dyDescent="0.3">
      <c r="J58213"/>
    </row>
    <row r="58214" spans="10:10" x14ac:dyDescent="0.3">
      <c r="J58214"/>
    </row>
    <row r="58215" spans="10:10" x14ac:dyDescent="0.3">
      <c r="J58215"/>
    </row>
    <row r="58216" spans="10:10" x14ac:dyDescent="0.3">
      <c r="J58216"/>
    </row>
    <row r="58217" spans="10:10" x14ac:dyDescent="0.3">
      <c r="J58217"/>
    </row>
    <row r="58218" spans="10:10" x14ac:dyDescent="0.3">
      <c r="J58218"/>
    </row>
    <row r="58219" spans="10:10" x14ac:dyDescent="0.3">
      <c r="J58219"/>
    </row>
    <row r="58220" spans="10:10" x14ac:dyDescent="0.3">
      <c r="J58220"/>
    </row>
    <row r="58221" spans="10:10" x14ac:dyDescent="0.3">
      <c r="J58221"/>
    </row>
    <row r="58222" spans="10:10" x14ac:dyDescent="0.3">
      <c r="J58222"/>
    </row>
    <row r="58223" spans="10:10" x14ac:dyDescent="0.3">
      <c r="J58223"/>
    </row>
    <row r="58224" spans="10:10" x14ac:dyDescent="0.3">
      <c r="J58224"/>
    </row>
    <row r="58225" spans="10:10" x14ac:dyDescent="0.3">
      <c r="J58225"/>
    </row>
    <row r="58226" spans="10:10" x14ac:dyDescent="0.3">
      <c r="J58226"/>
    </row>
    <row r="58227" spans="10:10" x14ac:dyDescent="0.3">
      <c r="J58227"/>
    </row>
    <row r="58228" spans="10:10" x14ac:dyDescent="0.3">
      <c r="J58228"/>
    </row>
    <row r="58229" spans="10:10" x14ac:dyDescent="0.3">
      <c r="J58229"/>
    </row>
    <row r="58230" spans="10:10" x14ac:dyDescent="0.3">
      <c r="J58230"/>
    </row>
    <row r="58231" spans="10:10" x14ac:dyDescent="0.3">
      <c r="J58231"/>
    </row>
    <row r="58232" spans="10:10" x14ac:dyDescent="0.3">
      <c r="J58232"/>
    </row>
    <row r="58233" spans="10:10" x14ac:dyDescent="0.3">
      <c r="J58233"/>
    </row>
    <row r="58234" spans="10:10" x14ac:dyDescent="0.3">
      <c r="J58234"/>
    </row>
    <row r="58235" spans="10:10" x14ac:dyDescent="0.3">
      <c r="J58235"/>
    </row>
    <row r="58236" spans="10:10" x14ac:dyDescent="0.3">
      <c r="J58236"/>
    </row>
    <row r="58237" spans="10:10" x14ac:dyDescent="0.3">
      <c r="J58237"/>
    </row>
    <row r="58238" spans="10:10" x14ac:dyDescent="0.3">
      <c r="J58238"/>
    </row>
    <row r="58239" spans="10:10" x14ac:dyDescent="0.3">
      <c r="J58239"/>
    </row>
    <row r="58240" spans="10:10" x14ac:dyDescent="0.3">
      <c r="J58240"/>
    </row>
    <row r="58241" spans="10:10" x14ac:dyDescent="0.3">
      <c r="J58241"/>
    </row>
    <row r="58242" spans="10:10" x14ac:dyDescent="0.3">
      <c r="J58242"/>
    </row>
    <row r="58243" spans="10:10" x14ac:dyDescent="0.3">
      <c r="J58243"/>
    </row>
    <row r="58244" spans="10:10" x14ac:dyDescent="0.3">
      <c r="J58244"/>
    </row>
    <row r="58245" spans="10:10" x14ac:dyDescent="0.3">
      <c r="J58245"/>
    </row>
    <row r="58246" spans="10:10" x14ac:dyDescent="0.3">
      <c r="J58246"/>
    </row>
    <row r="58247" spans="10:10" x14ac:dyDescent="0.3">
      <c r="J58247"/>
    </row>
    <row r="58248" spans="10:10" x14ac:dyDescent="0.3">
      <c r="J58248"/>
    </row>
    <row r="58249" spans="10:10" x14ac:dyDescent="0.3">
      <c r="J58249"/>
    </row>
    <row r="58250" spans="10:10" x14ac:dyDescent="0.3">
      <c r="J58250"/>
    </row>
    <row r="58251" spans="10:10" x14ac:dyDescent="0.3">
      <c r="J58251"/>
    </row>
    <row r="58252" spans="10:10" x14ac:dyDescent="0.3">
      <c r="J58252"/>
    </row>
    <row r="58253" spans="10:10" x14ac:dyDescent="0.3">
      <c r="J58253"/>
    </row>
    <row r="58254" spans="10:10" x14ac:dyDescent="0.3">
      <c r="J58254"/>
    </row>
    <row r="58255" spans="10:10" x14ac:dyDescent="0.3">
      <c r="J58255"/>
    </row>
    <row r="58256" spans="10:10" x14ac:dyDescent="0.3">
      <c r="J58256"/>
    </row>
    <row r="58257" spans="10:10" x14ac:dyDescent="0.3">
      <c r="J58257"/>
    </row>
    <row r="58258" spans="10:10" x14ac:dyDescent="0.3">
      <c r="J58258"/>
    </row>
    <row r="58259" spans="10:10" x14ac:dyDescent="0.3">
      <c r="J58259"/>
    </row>
    <row r="58260" spans="10:10" x14ac:dyDescent="0.3">
      <c r="J58260"/>
    </row>
    <row r="58261" spans="10:10" x14ac:dyDescent="0.3">
      <c r="J58261"/>
    </row>
    <row r="58262" spans="10:10" x14ac:dyDescent="0.3">
      <c r="J58262"/>
    </row>
    <row r="58263" spans="10:10" x14ac:dyDescent="0.3">
      <c r="J58263"/>
    </row>
    <row r="58264" spans="10:10" x14ac:dyDescent="0.3">
      <c r="J58264"/>
    </row>
    <row r="58265" spans="10:10" x14ac:dyDescent="0.3">
      <c r="J58265"/>
    </row>
    <row r="58266" spans="10:10" x14ac:dyDescent="0.3">
      <c r="J58266"/>
    </row>
    <row r="58267" spans="10:10" x14ac:dyDescent="0.3">
      <c r="J58267"/>
    </row>
    <row r="58268" spans="10:10" x14ac:dyDescent="0.3">
      <c r="J58268"/>
    </row>
    <row r="58269" spans="10:10" x14ac:dyDescent="0.3">
      <c r="J58269"/>
    </row>
    <row r="58270" spans="10:10" x14ac:dyDescent="0.3">
      <c r="J58270"/>
    </row>
    <row r="58271" spans="10:10" x14ac:dyDescent="0.3">
      <c r="J58271"/>
    </row>
    <row r="58272" spans="10:10" x14ac:dyDescent="0.3">
      <c r="J58272"/>
    </row>
    <row r="58273" spans="10:10" x14ac:dyDescent="0.3">
      <c r="J58273"/>
    </row>
    <row r="58274" spans="10:10" x14ac:dyDescent="0.3">
      <c r="J58274"/>
    </row>
    <row r="58275" spans="10:10" x14ac:dyDescent="0.3">
      <c r="J58275"/>
    </row>
    <row r="58276" spans="10:10" x14ac:dyDescent="0.3">
      <c r="J58276"/>
    </row>
    <row r="58277" spans="10:10" x14ac:dyDescent="0.3">
      <c r="J58277"/>
    </row>
    <row r="58278" spans="10:10" x14ac:dyDescent="0.3">
      <c r="J58278"/>
    </row>
    <row r="58279" spans="10:10" x14ac:dyDescent="0.3">
      <c r="J58279"/>
    </row>
    <row r="58280" spans="10:10" x14ac:dyDescent="0.3">
      <c r="J58280"/>
    </row>
    <row r="58281" spans="10:10" x14ac:dyDescent="0.3">
      <c r="J58281"/>
    </row>
    <row r="58282" spans="10:10" x14ac:dyDescent="0.3">
      <c r="J58282"/>
    </row>
    <row r="58283" spans="10:10" x14ac:dyDescent="0.3">
      <c r="J58283"/>
    </row>
    <row r="58284" spans="10:10" x14ac:dyDescent="0.3">
      <c r="J58284"/>
    </row>
    <row r="58285" spans="10:10" x14ac:dyDescent="0.3">
      <c r="J58285"/>
    </row>
    <row r="58286" spans="10:10" x14ac:dyDescent="0.3">
      <c r="J58286"/>
    </row>
    <row r="58287" spans="10:10" x14ac:dyDescent="0.3">
      <c r="J58287"/>
    </row>
    <row r="58288" spans="10:10" x14ac:dyDescent="0.3">
      <c r="J58288"/>
    </row>
    <row r="58289" spans="10:10" x14ac:dyDescent="0.3">
      <c r="J58289"/>
    </row>
    <row r="58290" spans="10:10" x14ac:dyDescent="0.3">
      <c r="J58290"/>
    </row>
    <row r="58291" spans="10:10" x14ac:dyDescent="0.3">
      <c r="J58291"/>
    </row>
    <row r="58292" spans="10:10" x14ac:dyDescent="0.3">
      <c r="J58292"/>
    </row>
    <row r="58293" spans="10:10" x14ac:dyDescent="0.3">
      <c r="J58293"/>
    </row>
    <row r="58294" spans="10:10" x14ac:dyDescent="0.3">
      <c r="J58294"/>
    </row>
    <row r="58295" spans="10:10" x14ac:dyDescent="0.3">
      <c r="J58295"/>
    </row>
    <row r="58296" spans="10:10" x14ac:dyDescent="0.3">
      <c r="J58296"/>
    </row>
    <row r="58297" spans="10:10" x14ac:dyDescent="0.3">
      <c r="J58297"/>
    </row>
    <row r="58298" spans="10:10" x14ac:dyDescent="0.3">
      <c r="J58298"/>
    </row>
    <row r="58299" spans="10:10" x14ac:dyDescent="0.3">
      <c r="J58299"/>
    </row>
    <row r="58300" spans="10:10" x14ac:dyDescent="0.3">
      <c r="J58300"/>
    </row>
    <row r="58301" spans="10:10" x14ac:dyDescent="0.3">
      <c r="J58301"/>
    </row>
    <row r="58302" spans="10:10" x14ac:dyDescent="0.3">
      <c r="J58302"/>
    </row>
    <row r="58303" spans="10:10" x14ac:dyDescent="0.3">
      <c r="J58303"/>
    </row>
    <row r="58304" spans="10:10" x14ac:dyDescent="0.3">
      <c r="J58304"/>
    </row>
    <row r="58305" spans="10:10" x14ac:dyDescent="0.3">
      <c r="J58305"/>
    </row>
    <row r="58306" spans="10:10" x14ac:dyDescent="0.3">
      <c r="J58306"/>
    </row>
    <row r="58307" spans="10:10" x14ac:dyDescent="0.3">
      <c r="J58307"/>
    </row>
    <row r="58308" spans="10:10" x14ac:dyDescent="0.3">
      <c r="J58308"/>
    </row>
    <row r="58309" spans="10:10" x14ac:dyDescent="0.3">
      <c r="J58309"/>
    </row>
    <row r="58310" spans="10:10" x14ac:dyDescent="0.3">
      <c r="J58310"/>
    </row>
    <row r="58311" spans="10:10" x14ac:dyDescent="0.3">
      <c r="J58311"/>
    </row>
    <row r="58312" spans="10:10" x14ac:dyDescent="0.3">
      <c r="J58312"/>
    </row>
    <row r="58313" spans="10:10" x14ac:dyDescent="0.3">
      <c r="J58313"/>
    </row>
    <row r="58314" spans="10:10" x14ac:dyDescent="0.3">
      <c r="J58314"/>
    </row>
    <row r="58315" spans="10:10" x14ac:dyDescent="0.3">
      <c r="J58315"/>
    </row>
    <row r="58316" spans="10:10" x14ac:dyDescent="0.3">
      <c r="J58316"/>
    </row>
    <row r="58317" spans="10:10" x14ac:dyDescent="0.3">
      <c r="J58317"/>
    </row>
    <row r="58318" spans="10:10" x14ac:dyDescent="0.3">
      <c r="J58318"/>
    </row>
    <row r="58319" spans="10:10" x14ac:dyDescent="0.3">
      <c r="J58319"/>
    </row>
    <row r="58320" spans="10:10" x14ac:dyDescent="0.3">
      <c r="J58320"/>
    </row>
    <row r="58321" spans="10:10" x14ac:dyDescent="0.3">
      <c r="J58321"/>
    </row>
    <row r="58322" spans="10:10" x14ac:dyDescent="0.3">
      <c r="J58322"/>
    </row>
    <row r="58323" spans="10:10" x14ac:dyDescent="0.3">
      <c r="J58323"/>
    </row>
    <row r="58324" spans="10:10" x14ac:dyDescent="0.3">
      <c r="J58324"/>
    </row>
    <row r="58325" spans="10:10" x14ac:dyDescent="0.3">
      <c r="J58325"/>
    </row>
    <row r="58326" spans="10:10" x14ac:dyDescent="0.3">
      <c r="J58326"/>
    </row>
    <row r="58327" spans="10:10" x14ac:dyDescent="0.3">
      <c r="J58327"/>
    </row>
    <row r="58328" spans="10:10" x14ac:dyDescent="0.3">
      <c r="J58328"/>
    </row>
    <row r="58329" spans="10:10" x14ac:dyDescent="0.3">
      <c r="J58329"/>
    </row>
    <row r="58330" spans="10:10" x14ac:dyDescent="0.3">
      <c r="J58330"/>
    </row>
    <row r="58331" spans="10:10" x14ac:dyDescent="0.3">
      <c r="J58331"/>
    </row>
    <row r="58332" spans="10:10" x14ac:dyDescent="0.3">
      <c r="J58332"/>
    </row>
    <row r="58333" spans="10:10" x14ac:dyDescent="0.3">
      <c r="J58333"/>
    </row>
    <row r="58334" spans="10:10" x14ac:dyDescent="0.3">
      <c r="J58334"/>
    </row>
    <row r="58335" spans="10:10" x14ac:dyDescent="0.3">
      <c r="J58335"/>
    </row>
    <row r="58336" spans="10:10" x14ac:dyDescent="0.3">
      <c r="J58336"/>
    </row>
    <row r="58337" spans="10:10" x14ac:dyDescent="0.3">
      <c r="J58337"/>
    </row>
    <row r="58338" spans="10:10" x14ac:dyDescent="0.3">
      <c r="J58338"/>
    </row>
    <row r="58339" spans="10:10" x14ac:dyDescent="0.3">
      <c r="J58339"/>
    </row>
    <row r="58340" spans="10:10" x14ac:dyDescent="0.3">
      <c r="J58340"/>
    </row>
    <row r="58341" spans="10:10" x14ac:dyDescent="0.3">
      <c r="J58341"/>
    </row>
    <row r="58342" spans="10:10" x14ac:dyDescent="0.3">
      <c r="J58342"/>
    </row>
    <row r="58343" spans="10:10" x14ac:dyDescent="0.3">
      <c r="J58343"/>
    </row>
    <row r="58344" spans="10:10" x14ac:dyDescent="0.3">
      <c r="J58344"/>
    </row>
    <row r="58345" spans="10:10" x14ac:dyDescent="0.3">
      <c r="J58345"/>
    </row>
    <row r="58346" spans="10:10" x14ac:dyDescent="0.3">
      <c r="J58346"/>
    </row>
    <row r="58347" spans="10:10" x14ac:dyDescent="0.3">
      <c r="J58347"/>
    </row>
    <row r="58348" spans="10:10" x14ac:dyDescent="0.3">
      <c r="J58348"/>
    </row>
    <row r="58349" spans="10:10" x14ac:dyDescent="0.3">
      <c r="J58349"/>
    </row>
    <row r="58350" spans="10:10" x14ac:dyDescent="0.3">
      <c r="J58350"/>
    </row>
    <row r="58351" spans="10:10" x14ac:dyDescent="0.3">
      <c r="J58351"/>
    </row>
    <row r="58352" spans="10:10" x14ac:dyDescent="0.3">
      <c r="J58352"/>
    </row>
    <row r="58353" spans="10:10" x14ac:dyDescent="0.3">
      <c r="J58353"/>
    </row>
    <row r="58354" spans="10:10" x14ac:dyDescent="0.3">
      <c r="J58354"/>
    </row>
    <row r="58355" spans="10:10" x14ac:dyDescent="0.3">
      <c r="J58355"/>
    </row>
    <row r="58356" spans="10:10" x14ac:dyDescent="0.3">
      <c r="J58356"/>
    </row>
    <row r="58357" spans="10:10" x14ac:dyDescent="0.3">
      <c r="J58357"/>
    </row>
    <row r="58358" spans="10:10" x14ac:dyDescent="0.3">
      <c r="J58358"/>
    </row>
    <row r="58359" spans="10:10" x14ac:dyDescent="0.3">
      <c r="J58359"/>
    </row>
    <row r="58360" spans="10:10" x14ac:dyDescent="0.3">
      <c r="J58360"/>
    </row>
    <row r="58361" spans="10:10" x14ac:dyDescent="0.3">
      <c r="J58361"/>
    </row>
    <row r="58362" spans="10:10" x14ac:dyDescent="0.3">
      <c r="J58362"/>
    </row>
    <row r="58363" spans="10:10" x14ac:dyDescent="0.3">
      <c r="J58363"/>
    </row>
    <row r="58364" spans="10:10" x14ac:dyDescent="0.3">
      <c r="J58364"/>
    </row>
    <row r="58365" spans="10:10" x14ac:dyDescent="0.3">
      <c r="J58365"/>
    </row>
    <row r="58366" spans="10:10" x14ac:dyDescent="0.3">
      <c r="J58366"/>
    </row>
    <row r="58367" spans="10:10" x14ac:dyDescent="0.3">
      <c r="J58367"/>
    </row>
    <row r="58368" spans="10:10" x14ac:dyDescent="0.3">
      <c r="J58368"/>
    </row>
    <row r="58369" spans="10:10" x14ac:dyDescent="0.3">
      <c r="J58369"/>
    </row>
    <row r="58370" spans="10:10" x14ac:dyDescent="0.3">
      <c r="J58370"/>
    </row>
    <row r="58371" spans="10:10" x14ac:dyDescent="0.3">
      <c r="J58371"/>
    </row>
    <row r="58372" spans="10:10" x14ac:dyDescent="0.3">
      <c r="J58372"/>
    </row>
    <row r="58373" spans="10:10" x14ac:dyDescent="0.3">
      <c r="J58373"/>
    </row>
    <row r="58374" spans="10:10" x14ac:dyDescent="0.3">
      <c r="J58374"/>
    </row>
    <row r="58375" spans="10:10" x14ac:dyDescent="0.3">
      <c r="J58375"/>
    </row>
    <row r="58376" spans="10:10" x14ac:dyDescent="0.3">
      <c r="J58376"/>
    </row>
    <row r="58377" spans="10:10" x14ac:dyDescent="0.3">
      <c r="J58377"/>
    </row>
    <row r="58378" spans="10:10" x14ac:dyDescent="0.3">
      <c r="J58378"/>
    </row>
    <row r="58379" spans="10:10" x14ac:dyDescent="0.3">
      <c r="J58379"/>
    </row>
    <row r="58380" spans="10:10" x14ac:dyDescent="0.3">
      <c r="J58380"/>
    </row>
    <row r="58381" spans="10:10" x14ac:dyDescent="0.3">
      <c r="J58381"/>
    </row>
    <row r="58382" spans="10:10" x14ac:dyDescent="0.3">
      <c r="J58382"/>
    </row>
    <row r="58383" spans="10:10" x14ac:dyDescent="0.3">
      <c r="J58383"/>
    </row>
    <row r="58384" spans="10:10" x14ac:dyDescent="0.3">
      <c r="J58384"/>
    </row>
    <row r="58385" spans="10:10" x14ac:dyDescent="0.3">
      <c r="J58385"/>
    </row>
    <row r="58386" spans="10:10" x14ac:dyDescent="0.3">
      <c r="J58386"/>
    </row>
    <row r="58387" spans="10:10" x14ac:dyDescent="0.3">
      <c r="J58387"/>
    </row>
    <row r="58388" spans="10:10" x14ac:dyDescent="0.3">
      <c r="J58388"/>
    </row>
    <row r="58389" spans="10:10" x14ac:dyDescent="0.3">
      <c r="J58389"/>
    </row>
    <row r="58390" spans="10:10" x14ac:dyDescent="0.3">
      <c r="J58390"/>
    </row>
    <row r="58391" spans="10:10" x14ac:dyDescent="0.3">
      <c r="J58391"/>
    </row>
    <row r="58392" spans="10:10" x14ac:dyDescent="0.3">
      <c r="J58392"/>
    </row>
    <row r="58393" spans="10:10" x14ac:dyDescent="0.3">
      <c r="J58393"/>
    </row>
    <row r="58394" spans="10:10" x14ac:dyDescent="0.3">
      <c r="J58394"/>
    </row>
    <row r="58395" spans="10:10" x14ac:dyDescent="0.3">
      <c r="J58395"/>
    </row>
    <row r="58396" spans="10:10" x14ac:dyDescent="0.3">
      <c r="J58396"/>
    </row>
    <row r="58397" spans="10:10" x14ac:dyDescent="0.3">
      <c r="J58397"/>
    </row>
    <row r="58398" spans="10:10" x14ac:dyDescent="0.3">
      <c r="J58398"/>
    </row>
    <row r="58399" spans="10:10" x14ac:dyDescent="0.3">
      <c r="J58399"/>
    </row>
    <row r="58400" spans="10:10" x14ac:dyDescent="0.3">
      <c r="J58400"/>
    </row>
    <row r="58401" spans="10:10" x14ac:dyDescent="0.3">
      <c r="J58401"/>
    </row>
    <row r="58402" spans="10:10" x14ac:dyDescent="0.3">
      <c r="J58402"/>
    </row>
    <row r="58403" spans="10:10" x14ac:dyDescent="0.3">
      <c r="J58403"/>
    </row>
    <row r="58404" spans="10:10" x14ac:dyDescent="0.3">
      <c r="J58404"/>
    </row>
    <row r="58405" spans="10:10" x14ac:dyDescent="0.3">
      <c r="J58405"/>
    </row>
    <row r="58406" spans="10:10" x14ac:dyDescent="0.3">
      <c r="J58406"/>
    </row>
    <row r="58407" spans="10:10" x14ac:dyDescent="0.3">
      <c r="J58407"/>
    </row>
    <row r="58408" spans="10:10" x14ac:dyDescent="0.3">
      <c r="J58408"/>
    </row>
    <row r="58409" spans="10:10" x14ac:dyDescent="0.3">
      <c r="J58409"/>
    </row>
    <row r="58410" spans="10:10" x14ac:dyDescent="0.3">
      <c r="J58410"/>
    </row>
    <row r="58411" spans="10:10" x14ac:dyDescent="0.3">
      <c r="J58411"/>
    </row>
    <row r="58412" spans="10:10" x14ac:dyDescent="0.3">
      <c r="J58412"/>
    </row>
    <row r="58413" spans="10:10" x14ac:dyDescent="0.3">
      <c r="J58413"/>
    </row>
    <row r="58414" spans="10:10" x14ac:dyDescent="0.3">
      <c r="J58414"/>
    </row>
    <row r="58415" spans="10:10" x14ac:dyDescent="0.3">
      <c r="J58415"/>
    </row>
    <row r="58416" spans="10:10" x14ac:dyDescent="0.3">
      <c r="J58416"/>
    </row>
    <row r="58417" spans="10:10" x14ac:dyDescent="0.3">
      <c r="J58417"/>
    </row>
    <row r="58418" spans="10:10" x14ac:dyDescent="0.3">
      <c r="J58418"/>
    </row>
    <row r="58419" spans="10:10" x14ac:dyDescent="0.3">
      <c r="J58419"/>
    </row>
    <row r="58420" spans="10:10" x14ac:dyDescent="0.3">
      <c r="J58420"/>
    </row>
    <row r="58421" spans="10:10" x14ac:dyDescent="0.3">
      <c r="J58421"/>
    </row>
    <row r="58422" spans="10:10" x14ac:dyDescent="0.3">
      <c r="J58422"/>
    </row>
    <row r="58423" spans="10:10" x14ac:dyDescent="0.3">
      <c r="J58423"/>
    </row>
    <row r="58424" spans="10:10" x14ac:dyDescent="0.3">
      <c r="J58424"/>
    </row>
    <row r="58425" spans="10:10" x14ac:dyDescent="0.3">
      <c r="J58425"/>
    </row>
    <row r="58426" spans="10:10" x14ac:dyDescent="0.3">
      <c r="J58426"/>
    </row>
    <row r="58427" spans="10:10" x14ac:dyDescent="0.3">
      <c r="J58427"/>
    </row>
    <row r="58428" spans="10:10" x14ac:dyDescent="0.3">
      <c r="J58428"/>
    </row>
    <row r="58429" spans="10:10" x14ac:dyDescent="0.3">
      <c r="J58429"/>
    </row>
    <row r="58430" spans="10:10" x14ac:dyDescent="0.3">
      <c r="J58430"/>
    </row>
    <row r="58431" spans="10:10" x14ac:dyDescent="0.3">
      <c r="J58431"/>
    </row>
    <row r="58432" spans="10:10" x14ac:dyDescent="0.3">
      <c r="J58432"/>
    </row>
    <row r="58433" spans="10:10" x14ac:dyDescent="0.3">
      <c r="J58433"/>
    </row>
    <row r="58434" spans="10:10" x14ac:dyDescent="0.3">
      <c r="J58434"/>
    </row>
    <row r="58435" spans="10:10" x14ac:dyDescent="0.3">
      <c r="J58435"/>
    </row>
    <row r="58436" spans="10:10" x14ac:dyDescent="0.3">
      <c r="J58436"/>
    </row>
    <row r="58437" spans="10:10" x14ac:dyDescent="0.3">
      <c r="J58437"/>
    </row>
    <row r="58438" spans="10:10" x14ac:dyDescent="0.3">
      <c r="J58438"/>
    </row>
    <row r="58439" spans="10:10" x14ac:dyDescent="0.3">
      <c r="J58439"/>
    </row>
    <row r="58440" spans="10:10" x14ac:dyDescent="0.3">
      <c r="J58440"/>
    </row>
    <row r="58441" spans="10:10" x14ac:dyDescent="0.3">
      <c r="J58441"/>
    </row>
    <row r="58442" spans="10:10" x14ac:dyDescent="0.3">
      <c r="J58442"/>
    </row>
    <row r="58443" spans="10:10" x14ac:dyDescent="0.3">
      <c r="J58443"/>
    </row>
    <row r="58444" spans="10:10" x14ac:dyDescent="0.3">
      <c r="J58444"/>
    </row>
    <row r="58445" spans="10:10" x14ac:dyDescent="0.3">
      <c r="J58445"/>
    </row>
    <row r="58446" spans="10:10" x14ac:dyDescent="0.3">
      <c r="J58446"/>
    </row>
    <row r="58447" spans="10:10" x14ac:dyDescent="0.3">
      <c r="J58447"/>
    </row>
    <row r="58448" spans="10:10" x14ac:dyDescent="0.3">
      <c r="J58448"/>
    </row>
    <row r="58449" spans="10:10" x14ac:dyDescent="0.3">
      <c r="J58449"/>
    </row>
    <row r="58450" spans="10:10" x14ac:dyDescent="0.3">
      <c r="J58450"/>
    </row>
    <row r="58451" spans="10:10" x14ac:dyDescent="0.3">
      <c r="J58451"/>
    </row>
    <row r="58452" spans="10:10" x14ac:dyDescent="0.3">
      <c r="J58452"/>
    </row>
    <row r="58453" spans="10:10" x14ac:dyDescent="0.3">
      <c r="J58453"/>
    </row>
    <row r="58454" spans="10:10" x14ac:dyDescent="0.3">
      <c r="J58454"/>
    </row>
    <row r="58455" spans="10:10" x14ac:dyDescent="0.3">
      <c r="J58455"/>
    </row>
    <row r="58456" spans="10:10" x14ac:dyDescent="0.3">
      <c r="J58456"/>
    </row>
    <row r="58457" spans="10:10" x14ac:dyDescent="0.3">
      <c r="J58457"/>
    </row>
    <row r="58458" spans="10:10" x14ac:dyDescent="0.3">
      <c r="J58458"/>
    </row>
    <row r="58459" spans="10:10" x14ac:dyDescent="0.3">
      <c r="J58459"/>
    </row>
    <row r="58460" spans="10:10" x14ac:dyDescent="0.3">
      <c r="J58460"/>
    </row>
    <row r="58461" spans="10:10" x14ac:dyDescent="0.3">
      <c r="J58461"/>
    </row>
    <row r="58462" spans="10:10" x14ac:dyDescent="0.3">
      <c r="J58462"/>
    </row>
    <row r="58463" spans="10:10" x14ac:dyDescent="0.3">
      <c r="J58463"/>
    </row>
    <row r="58464" spans="10:10" x14ac:dyDescent="0.3">
      <c r="J58464"/>
    </row>
    <row r="58465" spans="10:10" x14ac:dyDescent="0.3">
      <c r="J58465"/>
    </row>
    <row r="58466" spans="10:10" x14ac:dyDescent="0.3">
      <c r="J58466"/>
    </row>
    <row r="58467" spans="10:10" x14ac:dyDescent="0.3">
      <c r="J58467"/>
    </row>
    <row r="58468" spans="10:10" x14ac:dyDescent="0.3">
      <c r="J58468"/>
    </row>
    <row r="58469" spans="10:10" x14ac:dyDescent="0.3">
      <c r="J58469"/>
    </row>
    <row r="58470" spans="10:10" x14ac:dyDescent="0.3">
      <c r="J58470"/>
    </row>
    <row r="58471" spans="10:10" x14ac:dyDescent="0.3">
      <c r="J58471"/>
    </row>
    <row r="58472" spans="10:10" x14ac:dyDescent="0.3">
      <c r="J58472"/>
    </row>
    <row r="58473" spans="10:10" x14ac:dyDescent="0.3">
      <c r="J58473"/>
    </row>
    <row r="58474" spans="10:10" x14ac:dyDescent="0.3">
      <c r="J58474"/>
    </row>
    <row r="58475" spans="10:10" x14ac:dyDescent="0.3">
      <c r="J58475"/>
    </row>
    <row r="58476" spans="10:10" x14ac:dyDescent="0.3">
      <c r="J58476"/>
    </row>
    <row r="58477" spans="10:10" x14ac:dyDescent="0.3">
      <c r="J58477"/>
    </row>
    <row r="58478" spans="10:10" x14ac:dyDescent="0.3">
      <c r="J58478"/>
    </row>
    <row r="58479" spans="10:10" x14ac:dyDescent="0.3">
      <c r="J58479"/>
    </row>
    <row r="58480" spans="10:10" x14ac:dyDescent="0.3">
      <c r="J58480"/>
    </row>
    <row r="58481" spans="10:10" x14ac:dyDescent="0.3">
      <c r="J58481"/>
    </row>
    <row r="58482" spans="10:10" x14ac:dyDescent="0.3">
      <c r="J58482"/>
    </row>
    <row r="58483" spans="10:10" x14ac:dyDescent="0.3">
      <c r="J58483"/>
    </row>
    <row r="58484" spans="10:10" x14ac:dyDescent="0.3">
      <c r="J58484"/>
    </row>
    <row r="58485" spans="10:10" x14ac:dyDescent="0.3">
      <c r="J58485"/>
    </row>
    <row r="58486" spans="10:10" x14ac:dyDescent="0.3">
      <c r="J58486"/>
    </row>
    <row r="58487" spans="10:10" x14ac:dyDescent="0.3">
      <c r="J58487"/>
    </row>
    <row r="58488" spans="10:10" x14ac:dyDescent="0.3">
      <c r="J58488"/>
    </row>
    <row r="58489" spans="10:10" x14ac:dyDescent="0.3">
      <c r="J58489"/>
    </row>
    <row r="58490" spans="10:10" x14ac:dyDescent="0.3">
      <c r="J58490"/>
    </row>
    <row r="58491" spans="10:10" x14ac:dyDescent="0.3">
      <c r="J58491"/>
    </row>
    <row r="58492" spans="10:10" x14ac:dyDescent="0.3">
      <c r="J58492"/>
    </row>
    <row r="58493" spans="10:10" x14ac:dyDescent="0.3">
      <c r="J58493"/>
    </row>
    <row r="58494" spans="10:10" x14ac:dyDescent="0.3">
      <c r="J58494"/>
    </row>
    <row r="58495" spans="10:10" x14ac:dyDescent="0.3">
      <c r="J58495"/>
    </row>
    <row r="58496" spans="10:10" x14ac:dyDescent="0.3">
      <c r="J58496"/>
    </row>
    <row r="58497" spans="10:10" x14ac:dyDescent="0.3">
      <c r="J58497"/>
    </row>
    <row r="58498" spans="10:10" x14ac:dyDescent="0.3">
      <c r="J58498"/>
    </row>
    <row r="58499" spans="10:10" x14ac:dyDescent="0.3">
      <c r="J58499"/>
    </row>
    <row r="58500" spans="10:10" x14ac:dyDescent="0.3">
      <c r="J58500"/>
    </row>
    <row r="58501" spans="10:10" x14ac:dyDescent="0.3">
      <c r="J58501"/>
    </row>
    <row r="58502" spans="10:10" x14ac:dyDescent="0.3">
      <c r="J58502"/>
    </row>
    <row r="58503" spans="10:10" x14ac:dyDescent="0.3">
      <c r="J58503"/>
    </row>
    <row r="58504" spans="10:10" x14ac:dyDescent="0.3">
      <c r="J58504"/>
    </row>
    <row r="58505" spans="10:10" x14ac:dyDescent="0.3">
      <c r="J58505"/>
    </row>
    <row r="58506" spans="10:10" x14ac:dyDescent="0.3">
      <c r="J58506"/>
    </row>
    <row r="58507" spans="10:10" x14ac:dyDescent="0.3">
      <c r="J58507"/>
    </row>
    <row r="58508" spans="10:10" x14ac:dyDescent="0.3">
      <c r="J58508"/>
    </row>
    <row r="58509" spans="10:10" x14ac:dyDescent="0.3">
      <c r="J58509"/>
    </row>
    <row r="58510" spans="10:10" x14ac:dyDescent="0.3">
      <c r="J58510"/>
    </row>
    <row r="58511" spans="10:10" x14ac:dyDescent="0.3">
      <c r="J58511"/>
    </row>
    <row r="58512" spans="10:10" x14ac:dyDescent="0.3">
      <c r="J58512"/>
    </row>
    <row r="58513" spans="10:10" x14ac:dyDescent="0.3">
      <c r="J58513"/>
    </row>
    <row r="58514" spans="10:10" x14ac:dyDescent="0.3">
      <c r="J58514"/>
    </row>
    <row r="58515" spans="10:10" x14ac:dyDescent="0.3">
      <c r="J58515"/>
    </row>
    <row r="58516" spans="10:10" x14ac:dyDescent="0.3">
      <c r="J58516"/>
    </row>
    <row r="58517" spans="10:10" x14ac:dyDescent="0.3">
      <c r="J58517"/>
    </row>
    <row r="58518" spans="10:10" x14ac:dyDescent="0.3">
      <c r="J58518"/>
    </row>
    <row r="58519" spans="10:10" x14ac:dyDescent="0.3">
      <c r="J58519"/>
    </row>
    <row r="58520" spans="10:10" x14ac:dyDescent="0.3">
      <c r="J58520"/>
    </row>
    <row r="58521" spans="10:10" x14ac:dyDescent="0.3">
      <c r="J58521"/>
    </row>
    <row r="58522" spans="10:10" x14ac:dyDescent="0.3">
      <c r="J58522"/>
    </row>
    <row r="58523" spans="10:10" x14ac:dyDescent="0.3">
      <c r="J58523"/>
    </row>
    <row r="58524" spans="10:10" x14ac:dyDescent="0.3">
      <c r="J58524"/>
    </row>
    <row r="58525" spans="10:10" x14ac:dyDescent="0.3">
      <c r="J58525"/>
    </row>
    <row r="58526" spans="10:10" x14ac:dyDescent="0.3">
      <c r="J58526"/>
    </row>
    <row r="58527" spans="10:10" x14ac:dyDescent="0.3">
      <c r="J58527"/>
    </row>
    <row r="58528" spans="10:10" x14ac:dyDescent="0.3">
      <c r="J58528"/>
    </row>
    <row r="58529" spans="10:10" x14ac:dyDescent="0.3">
      <c r="J58529"/>
    </row>
    <row r="58530" spans="10:10" x14ac:dyDescent="0.3">
      <c r="J58530"/>
    </row>
    <row r="58531" spans="10:10" x14ac:dyDescent="0.3">
      <c r="J58531"/>
    </row>
    <row r="58532" spans="10:10" x14ac:dyDescent="0.3">
      <c r="J58532"/>
    </row>
    <row r="58533" spans="10:10" x14ac:dyDescent="0.3">
      <c r="J58533"/>
    </row>
    <row r="58534" spans="10:10" x14ac:dyDescent="0.3">
      <c r="J58534"/>
    </row>
    <row r="58535" spans="10:10" x14ac:dyDescent="0.3">
      <c r="J58535"/>
    </row>
    <row r="58536" spans="10:10" x14ac:dyDescent="0.3">
      <c r="J58536"/>
    </row>
    <row r="58537" spans="10:10" x14ac:dyDescent="0.3">
      <c r="J58537"/>
    </row>
    <row r="58538" spans="10:10" x14ac:dyDescent="0.3">
      <c r="J58538"/>
    </row>
    <row r="58539" spans="10:10" x14ac:dyDescent="0.3">
      <c r="J58539"/>
    </row>
    <row r="58540" spans="10:10" x14ac:dyDescent="0.3">
      <c r="J58540"/>
    </row>
    <row r="58541" spans="10:10" x14ac:dyDescent="0.3">
      <c r="J58541"/>
    </row>
    <row r="58542" spans="10:10" x14ac:dyDescent="0.3">
      <c r="J58542"/>
    </row>
    <row r="58543" spans="10:10" x14ac:dyDescent="0.3">
      <c r="J58543"/>
    </row>
    <row r="58544" spans="10:10" x14ac:dyDescent="0.3">
      <c r="J58544"/>
    </row>
    <row r="58545" spans="10:10" x14ac:dyDescent="0.3">
      <c r="J58545"/>
    </row>
    <row r="58546" spans="10:10" x14ac:dyDescent="0.3">
      <c r="J58546"/>
    </row>
    <row r="58547" spans="10:10" x14ac:dyDescent="0.3">
      <c r="J58547"/>
    </row>
    <row r="58548" spans="10:10" x14ac:dyDescent="0.3">
      <c r="J58548"/>
    </row>
    <row r="58549" spans="10:10" x14ac:dyDescent="0.3">
      <c r="J58549"/>
    </row>
    <row r="58550" spans="10:10" x14ac:dyDescent="0.3">
      <c r="J58550"/>
    </row>
    <row r="58551" spans="10:10" x14ac:dyDescent="0.3">
      <c r="J58551"/>
    </row>
    <row r="58552" spans="10:10" x14ac:dyDescent="0.3">
      <c r="J58552"/>
    </row>
    <row r="58553" spans="10:10" x14ac:dyDescent="0.3">
      <c r="J58553"/>
    </row>
    <row r="58554" spans="10:10" x14ac:dyDescent="0.3">
      <c r="J58554"/>
    </row>
    <row r="58555" spans="10:10" x14ac:dyDescent="0.3">
      <c r="J58555"/>
    </row>
    <row r="58556" spans="10:10" x14ac:dyDescent="0.3">
      <c r="J58556"/>
    </row>
    <row r="58557" spans="10:10" x14ac:dyDescent="0.3">
      <c r="J58557"/>
    </row>
    <row r="58558" spans="10:10" x14ac:dyDescent="0.3">
      <c r="J58558"/>
    </row>
    <row r="58559" spans="10:10" x14ac:dyDescent="0.3">
      <c r="J58559"/>
    </row>
    <row r="58560" spans="10:10" x14ac:dyDescent="0.3">
      <c r="J58560"/>
    </row>
    <row r="58561" spans="10:10" x14ac:dyDescent="0.3">
      <c r="J58561"/>
    </row>
    <row r="58562" spans="10:10" x14ac:dyDescent="0.3">
      <c r="J58562"/>
    </row>
    <row r="58563" spans="10:10" x14ac:dyDescent="0.3">
      <c r="J58563"/>
    </row>
    <row r="58564" spans="10:10" x14ac:dyDescent="0.3">
      <c r="J58564"/>
    </row>
    <row r="58565" spans="10:10" x14ac:dyDescent="0.3">
      <c r="J58565"/>
    </row>
    <row r="58566" spans="10:10" x14ac:dyDescent="0.3">
      <c r="J58566"/>
    </row>
    <row r="58567" spans="10:10" x14ac:dyDescent="0.3">
      <c r="J58567"/>
    </row>
    <row r="58568" spans="10:10" x14ac:dyDescent="0.3">
      <c r="J58568"/>
    </row>
    <row r="58569" spans="10:10" x14ac:dyDescent="0.3">
      <c r="J58569"/>
    </row>
    <row r="58570" spans="10:10" x14ac:dyDescent="0.3">
      <c r="J58570"/>
    </row>
    <row r="58571" spans="10:10" x14ac:dyDescent="0.3">
      <c r="J58571"/>
    </row>
    <row r="58572" spans="10:10" x14ac:dyDescent="0.3">
      <c r="J58572"/>
    </row>
    <row r="58573" spans="10:10" x14ac:dyDescent="0.3">
      <c r="J58573"/>
    </row>
    <row r="58574" spans="10:10" x14ac:dyDescent="0.3">
      <c r="J58574"/>
    </row>
    <row r="58575" spans="10:10" x14ac:dyDescent="0.3">
      <c r="J58575"/>
    </row>
    <row r="58576" spans="10:10" x14ac:dyDescent="0.3">
      <c r="J58576"/>
    </row>
    <row r="58577" spans="10:10" x14ac:dyDescent="0.3">
      <c r="J58577"/>
    </row>
    <row r="58578" spans="10:10" x14ac:dyDescent="0.3">
      <c r="J58578"/>
    </row>
    <row r="58579" spans="10:10" x14ac:dyDescent="0.3">
      <c r="J58579"/>
    </row>
    <row r="58580" spans="10:10" x14ac:dyDescent="0.3">
      <c r="J58580"/>
    </row>
    <row r="58581" spans="10:10" x14ac:dyDescent="0.3">
      <c r="J58581"/>
    </row>
    <row r="58582" spans="10:10" x14ac:dyDescent="0.3">
      <c r="J58582"/>
    </row>
    <row r="58583" spans="10:10" x14ac:dyDescent="0.3">
      <c r="J58583"/>
    </row>
    <row r="58584" spans="10:10" x14ac:dyDescent="0.3">
      <c r="J58584"/>
    </row>
    <row r="58585" spans="10:10" x14ac:dyDescent="0.3">
      <c r="J58585"/>
    </row>
    <row r="58586" spans="10:10" x14ac:dyDescent="0.3">
      <c r="J58586"/>
    </row>
    <row r="58587" spans="10:10" x14ac:dyDescent="0.3">
      <c r="J58587"/>
    </row>
    <row r="58588" spans="10:10" x14ac:dyDescent="0.3">
      <c r="J58588"/>
    </row>
    <row r="58589" spans="10:10" x14ac:dyDescent="0.3">
      <c r="J58589"/>
    </row>
    <row r="58590" spans="10:10" x14ac:dyDescent="0.3">
      <c r="J58590"/>
    </row>
    <row r="58591" spans="10:10" x14ac:dyDescent="0.3">
      <c r="J58591"/>
    </row>
    <row r="58592" spans="10:10" x14ac:dyDescent="0.3">
      <c r="J58592"/>
    </row>
    <row r="58593" spans="10:10" x14ac:dyDescent="0.3">
      <c r="J58593"/>
    </row>
    <row r="58594" spans="10:10" x14ac:dyDescent="0.3">
      <c r="J58594"/>
    </row>
    <row r="58595" spans="10:10" x14ac:dyDescent="0.3">
      <c r="J58595"/>
    </row>
    <row r="58596" spans="10:10" x14ac:dyDescent="0.3">
      <c r="J58596"/>
    </row>
    <row r="58597" spans="10:10" x14ac:dyDescent="0.3">
      <c r="J58597"/>
    </row>
    <row r="58598" spans="10:10" x14ac:dyDescent="0.3">
      <c r="J58598"/>
    </row>
    <row r="58599" spans="10:10" x14ac:dyDescent="0.3">
      <c r="J58599"/>
    </row>
    <row r="58600" spans="10:10" x14ac:dyDescent="0.3">
      <c r="J58600"/>
    </row>
    <row r="58601" spans="10:10" x14ac:dyDescent="0.3">
      <c r="J58601"/>
    </row>
    <row r="58602" spans="10:10" x14ac:dyDescent="0.3">
      <c r="J58602"/>
    </row>
    <row r="58603" spans="10:10" x14ac:dyDescent="0.3">
      <c r="J58603"/>
    </row>
    <row r="58604" spans="10:10" x14ac:dyDescent="0.3">
      <c r="J58604"/>
    </row>
    <row r="58605" spans="10:10" x14ac:dyDescent="0.3">
      <c r="J58605"/>
    </row>
    <row r="58606" spans="10:10" x14ac:dyDescent="0.3">
      <c r="J58606"/>
    </row>
    <row r="58607" spans="10:10" x14ac:dyDescent="0.3">
      <c r="J58607"/>
    </row>
    <row r="58608" spans="10:10" x14ac:dyDescent="0.3">
      <c r="J58608"/>
    </row>
    <row r="58609" spans="10:10" x14ac:dyDescent="0.3">
      <c r="J58609"/>
    </row>
    <row r="58610" spans="10:10" x14ac:dyDescent="0.3">
      <c r="J58610"/>
    </row>
    <row r="58611" spans="10:10" x14ac:dyDescent="0.3">
      <c r="J58611"/>
    </row>
    <row r="58612" spans="10:10" x14ac:dyDescent="0.3">
      <c r="J58612"/>
    </row>
    <row r="58613" spans="10:10" x14ac:dyDescent="0.3">
      <c r="J58613"/>
    </row>
    <row r="58614" spans="10:10" x14ac:dyDescent="0.3">
      <c r="J58614"/>
    </row>
    <row r="58615" spans="10:10" x14ac:dyDescent="0.3">
      <c r="J58615"/>
    </row>
    <row r="58616" spans="10:10" x14ac:dyDescent="0.3">
      <c r="J58616"/>
    </row>
    <row r="58617" spans="10:10" x14ac:dyDescent="0.3">
      <c r="J58617"/>
    </row>
    <row r="58618" spans="10:10" x14ac:dyDescent="0.3">
      <c r="J58618"/>
    </row>
    <row r="58619" spans="10:10" x14ac:dyDescent="0.3">
      <c r="J58619"/>
    </row>
    <row r="58620" spans="10:10" x14ac:dyDescent="0.3">
      <c r="J58620"/>
    </row>
    <row r="58621" spans="10:10" x14ac:dyDescent="0.3">
      <c r="J58621"/>
    </row>
    <row r="58622" spans="10:10" x14ac:dyDescent="0.3">
      <c r="J58622"/>
    </row>
    <row r="58623" spans="10:10" x14ac:dyDescent="0.3">
      <c r="J58623"/>
    </row>
    <row r="58624" spans="10:10" x14ac:dyDescent="0.3">
      <c r="J58624"/>
    </row>
    <row r="58625" spans="10:10" x14ac:dyDescent="0.3">
      <c r="J58625"/>
    </row>
    <row r="58626" spans="10:10" x14ac:dyDescent="0.3">
      <c r="J58626"/>
    </row>
    <row r="58627" spans="10:10" x14ac:dyDescent="0.3">
      <c r="J58627"/>
    </row>
    <row r="58628" spans="10:10" x14ac:dyDescent="0.3">
      <c r="J58628"/>
    </row>
    <row r="58629" spans="10:10" x14ac:dyDescent="0.3">
      <c r="J58629"/>
    </row>
    <row r="58630" spans="10:10" x14ac:dyDescent="0.3">
      <c r="J58630"/>
    </row>
    <row r="58631" spans="10:10" x14ac:dyDescent="0.3">
      <c r="J58631"/>
    </row>
    <row r="58632" spans="10:10" x14ac:dyDescent="0.3">
      <c r="J58632"/>
    </row>
    <row r="58633" spans="10:10" x14ac:dyDescent="0.3">
      <c r="J58633"/>
    </row>
    <row r="58634" spans="10:10" x14ac:dyDescent="0.3">
      <c r="J58634"/>
    </row>
    <row r="58635" spans="10:10" x14ac:dyDescent="0.3">
      <c r="J58635"/>
    </row>
    <row r="58636" spans="10:10" x14ac:dyDescent="0.3">
      <c r="J58636"/>
    </row>
    <row r="58637" spans="10:10" x14ac:dyDescent="0.3">
      <c r="J58637"/>
    </row>
    <row r="58638" spans="10:10" x14ac:dyDescent="0.3">
      <c r="J58638"/>
    </row>
    <row r="58639" spans="10:10" x14ac:dyDescent="0.3">
      <c r="J58639"/>
    </row>
    <row r="58640" spans="10:10" x14ac:dyDescent="0.3">
      <c r="J58640"/>
    </row>
    <row r="58641" spans="10:10" x14ac:dyDescent="0.3">
      <c r="J58641"/>
    </row>
    <row r="58642" spans="10:10" x14ac:dyDescent="0.3">
      <c r="J58642"/>
    </row>
    <row r="58643" spans="10:10" x14ac:dyDescent="0.3">
      <c r="J58643"/>
    </row>
    <row r="58644" spans="10:10" x14ac:dyDescent="0.3">
      <c r="J58644"/>
    </row>
    <row r="58645" spans="10:10" x14ac:dyDescent="0.3">
      <c r="J58645"/>
    </row>
    <row r="58646" spans="10:10" x14ac:dyDescent="0.3">
      <c r="J58646"/>
    </row>
    <row r="58647" spans="10:10" x14ac:dyDescent="0.3">
      <c r="J58647"/>
    </row>
    <row r="58648" spans="10:10" x14ac:dyDescent="0.3">
      <c r="J58648"/>
    </row>
    <row r="58649" spans="10:10" x14ac:dyDescent="0.3">
      <c r="J58649"/>
    </row>
    <row r="58650" spans="10:10" x14ac:dyDescent="0.3">
      <c r="J58650"/>
    </row>
    <row r="58651" spans="10:10" x14ac:dyDescent="0.3">
      <c r="J58651"/>
    </row>
    <row r="58652" spans="10:10" x14ac:dyDescent="0.3">
      <c r="J58652"/>
    </row>
    <row r="58653" spans="10:10" x14ac:dyDescent="0.3">
      <c r="J58653"/>
    </row>
    <row r="58654" spans="10:10" x14ac:dyDescent="0.3">
      <c r="J58654"/>
    </row>
    <row r="58655" spans="10:10" x14ac:dyDescent="0.3">
      <c r="J58655"/>
    </row>
    <row r="58656" spans="10:10" x14ac:dyDescent="0.3">
      <c r="J58656"/>
    </row>
    <row r="58657" spans="10:10" x14ac:dyDescent="0.3">
      <c r="J58657"/>
    </row>
    <row r="58658" spans="10:10" x14ac:dyDescent="0.3">
      <c r="J58658"/>
    </row>
    <row r="58659" spans="10:10" x14ac:dyDescent="0.3">
      <c r="J58659"/>
    </row>
    <row r="58660" spans="10:10" x14ac:dyDescent="0.3">
      <c r="J58660"/>
    </row>
    <row r="58661" spans="10:10" x14ac:dyDescent="0.3">
      <c r="J58661"/>
    </row>
    <row r="58662" spans="10:10" x14ac:dyDescent="0.3">
      <c r="J58662"/>
    </row>
    <row r="58663" spans="10:10" x14ac:dyDescent="0.3">
      <c r="J58663"/>
    </row>
    <row r="58664" spans="10:10" x14ac:dyDescent="0.3">
      <c r="J58664"/>
    </row>
    <row r="58665" spans="10:10" x14ac:dyDescent="0.3">
      <c r="J58665"/>
    </row>
    <row r="58666" spans="10:10" x14ac:dyDescent="0.3">
      <c r="J58666"/>
    </row>
    <row r="58667" spans="10:10" x14ac:dyDescent="0.3">
      <c r="J58667"/>
    </row>
    <row r="58668" spans="10:10" x14ac:dyDescent="0.3">
      <c r="J58668"/>
    </row>
    <row r="58669" spans="10:10" x14ac:dyDescent="0.3">
      <c r="J58669"/>
    </row>
    <row r="58670" spans="10:10" x14ac:dyDescent="0.3">
      <c r="J58670"/>
    </row>
    <row r="58671" spans="10:10" x14ac:dyDescent="0.3">
      <c r="J58671"/>
    </row>
    <row r="58672" spans="10:10" x14ac:dyDescent="0.3">
      <c r="J58672"/>
    </row>
    <row r="58673" spans="10:10" x14ac:dyDescent="0.3">
      <c r="J58673"/>
    </row>
    <row r="58674" spans="10:10" x14ac:dyDescent="0.3">
      <c r="J58674"/>
    </row>
    <row r="58675" spans="10:10" x14ac:dyDescent="0.3">
      <c r="J58675"/>
    </row>
    <row r="58676" spans="10:10" x14ac:dyDescent="0.3">
      <c r="J58676"/>
    </row>
    <row r="58677" spans="10:10" x14ac:dyDescent="0.3">
      <c r="J58677"/>
    </row>
    <row r="58678" spans="10:10" x14ac:dyDescent="0.3">
      <c r="J58678"/>
    </row>
    <row r="58679" spans="10:10" x14ac:dyDescent="0.3">
      <c r="J58679"/>
    </row>
    <row r="58680" spans="10:10" x14ac:dyDescent="0.3">
      <c r="J58680"/>
    </row>
    <row r="58681" spans="10:10" x14ac:dyDescent="0.3">
      <c r="J58681"/>
    </row>
    <row r="58682" spans="10:10" x14ac:dyDescent="0.3">
      <c r="J58682"/>
    </row>
    <row r="58683" spans="10:10" x14ac:dyDescent="0.3">
      <c r="J58683"/>
    </row>
    <row r="58684" spans="10:10" x14ac:dyDescent="0.3">
      <c r="J58684"/>
    </row>
    <row r="58685" spans="10:10" x14ac:dyDescent="0.3">
      <c r="J58685"/>
    </row>
    <row r="58686" spans="10:10" x14ac:dyDescent="0.3">
      <c r="J58686"/>
    </row>
    <row r="58687" spans="10:10" x14ac:dyDescent="0.3">
      <c r="J58687"/>
    </row>
    <row r="58688" spans="10:10" x14ac:dyDescent="0.3">
      <c r="J58688"/>
    </row>
    <row r="58689" spans="10:10" x14ac:dyDescent="0.3">
      <c r="J58689"/>
    </row>
    <row r="58690" spans="10:10" x14ac:dyDescent="0.3">
      <c r="J58690"/>
    </row>
    <row r="58691" spans="10:10" x14ac:dyDescent="0.3">
      <c r="J58691"/>
    </row>
    <row r="58692" spans="10:10" x14ac:dyDescent="0.3">
      <c r="J58692"/>
    </row>
    <row r="58693" spans="10:10" x14ac:dyDescent="0.3">
      <c r="J58693"/>
    </row>
    <row r="58694" spans="10:10" x14ac:dyDescent="0.3">
      <c r="J58694"/>
    </row>
    <row r="58695" spans="10:10" x14ac:dyDescent="0.3">
      <c r="J58695"/>
    </row>
    <row r="58696" spans="10:10" x14ac:dyDescent="0.3">
      <c r="J58696"/>
    </row>
    <row r="58697" spans="10:10" x14ac:dyDescent="0.3">
      <c r="J58697"/>
    </row>
    <row r="58698" spans="10:10" x14ac:dyDescent="0.3">
      <c r="J58698"/>
    </row>
    <row r="58699" spans="10:10" x14ac:dyDescent="0.3">
      <c r="J58699"/>
    </row>
    <row r="58700" spans="10:10" x14ac:dyDescent="0.3">
      <c r="J58700"/>
    </row>
    <row r="58701" spans="10:10" x14ac:dyDescent="0.3">
      <c r="J58701"/>
    </row>
    <row r="58702" spans="10:10" x14ac:dyDescent="0.3">
      <c r="J58702"/>
    </row>
    <row r="58703" spans="10:10" x14ac:dyDescent="0.3">
      <c r="J58703"/>
    </row>
    <row r="58704" spans="10:10" x14ac:dyDescent="0.3">
      <c r="J58704"/>
    </row>
    <row r="58705" spans="10:10" x14ac:dyDescent="0.3">
      <c r="J58705"/>
    </row>
    <row r="58706" spans="10:10" x14ac:dyDescent="0.3">
      <c r="J58706"/>
    </row>
    <row r="58707" spans="10:10" x14ac:dyDescent="0.3">
      <c r="J58707"/>
    </row>
    <row r="58708" spans="10:10" x14ac:dyDescent="0.3">
      <c r="J58708"/>
    </row>
    <row r="58709" spans="10:10" x14ac:dyDescent="0.3">
      <c r="J58709"/>
    </row>
    <row r="58710" spans="10:10" x14ac:dyDescent="0.3">
      <c r="J58710"/>
    </row>
    <row r="58711" spans="10:10" x14ac:dyDescent="0.3">
      <c r="J58711"/>
    </row>
    <row r="58712" spans="10:10" x14ac:dyDescent="0.3">
      <c r="J58712"/>
    </row>
    <row r="58713" spans="10:10" x14ac:dyDescent="0.3">
      <c r="J58713"/>
    </row>
    <row r="58714" spans="10:10" x14ac:dyDescent="0.3">
      <c r="J58714"/>
    </row>
    <row r="58715" spans="10:10" x14ac:dyDescent="0.3">
      <c r="J58715"/>
    </row>
    <row r="58716" spans="10:10" x14ac:dyDescent="0.3">
      <c r="J58716"/>
    </row>
    <row r="58717" spans="10:10" x14ac:dyDescent="0.3">
      <c r="J58717"/>
    </row>
    <row r="58718" spans="10:10" x14ac:dyDescent="0.3">
      <c r="J58718"/>
    </row>
    <row r="58719" spans="10:10" x14ac:dyDescent="0.3">
      <c r="J58719"/>
    </row>
    <row r="58720" spans="10:10" x14ac:dyDescent="0.3">
      <c r="J58720"/>
    </row>
    <row r="58721" spans="10:10" x14ac:dyDescent="0.3">
      <c r="J58721"/>
    </row>
    <row r="58722" spans="10:10" x14ac:dyDescent="0.3">
      <c r="J58722"/>
    </row>
    <row r="58723" spans="10:10" x14ac:dyDescent="0.3">
      <c r="J58723"/>
    </row>
    <row r="58724" spans="10:10" x14ac:dyDescent="0.3">
      <c r="J58724"/>
    </row>
    <row r="58725" spans="10:10" x14ac:dyDescent="0.3">
      <c r="J58725"/>
    </row>
    <row r="58726" spans="10:10" x14ac:dyDescent="0.3">
      <c r="J58726"/>
    </row>
    <row r="58727" spans="10:10" x14ac:dyDescent="0.3">
      <c r="J58727"/>
    </row>
    <row r="58728" spans="10:10" x14ac:dyDescent="0.3">
      <c r="J58728"/>
    </row>
    <row r="58729" spans="10:10" x14ac:dyDescent="0.3">
      <c r="J58729"/>
    </row>
    <row r="58730" spans="10:10" x14ac:dyDescent="0.3">
      <c r="J58730"/>
    </row>
    <row r="58731" spans="10:10" x14ac:dyDescent="0.3">
      <c r="J58731"/>
    </row>
    <row r="58732" spans="10:10" x14ac:dyDescent="0.3">
      <c r="J58732"/>
    </row>
    <row r="58733" spans="10:10" x14ac:dyDescent="0.3">
      <c r="J58733"/>
    </row>
    <row r="58734" spans="10:10" x14ac:dyDescent="0.3">
      <c r="J58734"/>
    </row>
    <row r="58735" spans="10:10" x14ac:dyDescent="0.3">
      <c r="J58735"/>
    </row>
    <row r="58736" spans="10:10" x14ac:dyDescent="0.3">
      <c r="J58736"/>
    </row>
    <row r="58737" spans="10:10" x14ac:dyDescent="0.3">
      <c r="J58737"/>
    </row>
    <row r="58738" spans="10:10" x14ac:dyDescent="0.3">
      <c r="J58738"/>
    </row>
    <row r="58739" spans="10:10" x14ac:dyDescent="0.3">
      <c r="J58739"/>
    </row>
    <row r="58740" spans="10:10" x14ac:dyDescent="0.3">
      <c r="J58740"/>
    </row>
    <row r="58741" spans="10:10" x14ac:dyDescent="0.3">
      <c r="J58741"/>
    </row>
    <row r="58742" spans="10:10" x14ac:dyDescent="0.3">
      <c r="J58742"/>
    </row>
    <row r="58743" spans="10:10" x14ac:dyDescent="0.3">
      <c r="J58743"/>
    </row>
    <row r="58744" spans="10:10" x14ac:dyDescent="0.3">
      <c r="J58744"/>
    </row>
    <row r="58745" spans="10:10" x14ac:dyDescent="0.3">
      <c r="J58745"/>
    </row>
    <row r="58746" spans="10:10" x14ac:dyDescent="0.3">
      <c r="J58746"/>
    </row>
    <row r="58747" spans="10:10" x14ac:dyDescent="0.3">
      <c r="J58747"/>
    </row>
    <row r="58748" spans="10:10" x14ac:dyDescent="0.3">
      <c r="J58748"/>
    </row>
    <row r="58749" spans="10:10" x14ac:dyDescent="0.3">
      <c r="J58749"/>
    </row>
    <row r="58750" spans="10:10" x14ac:dyDescent="0.3">
      <c r="J58750"/>
    </row>
    <row r="58751" spans="10:10" x14ac:dyDescent="0.3">
      <c r="J58751"/>
    </row>
    <row r="58752" spans="10:10" x14ac:dyDescent="0.3">
      <c r="J58752"/>
    </row>
    <row r="58753" spans="10:10" x14ac:dyDescent="0.3">
      <c r="J58753"/>
    </row>
    <row r="58754" spans="10:10" x14ac:dyDescent="0.3">
      <c r="J58754"/>
    </row>
    <row r="58755" spans="10:10" x14ac:dyDescent="0.3">
      <c r="J58755"/>
    </row>
    <row r="58756" spans="10:10" x14ac:dyDescent="0.3">
      <c r="J58756"/>
    </row>
    <row r="58757" spans="10:10" x14ac:dyDescent="0.3">
      <c r="J58757"/>
    </row>
    <row r="58758" spans="10:10" x14ac:dyDescent="0.3">
      <c r="J58758"/>
    </row>
    <row r="58759" spans="10:10" x14ac:dyDescent="0.3">
      <c r="J58759"/>
    </row>
    <row r="58760" spans="10:10" x14ac:dyDescent="0.3">
      <c r="J58760"/>
    </row>
    <row r="58761" spans="10:10" x14ac:dyDescent="0.3">
      <c r="J58761"/>
    </row>
    <row r="58762" spans="10:10" x14ac:dyDescent="0.3">
      <c r="J58762"/>
    </row>
    <row r="58763" spans="10:10" x14ac:dyDescent="0.3">
      <c r="J58763"/>
    </row>
    <row r="58764" spans="10:10" x14ac:dyDescent="0.3">
      <c r="J58764"/>
    </row>
    <row r="58765" spans="10:10" x14ac:dyDescent="0.3">
      <c r="J58765"/>
    </row>
    <row r="58766" spans="10:10" x14ac:dyDescent="0.3">
      <c r="J58766"/>
    </row>
    <row r="58767" spans="10:10" x14ac:dyDescent="0.3">
      <c r="J58767"/>
    </row>
    <row r="58768" spans="10:10" x14ac:dyDescent="0.3">
      <c r="J58768"/>
    </row>
    <row r="58769" spans="10:10" x14ac:dyDescent="0.3">
      <c r="J58769"/>
    </row>
    <row r="58770" spans="10:10" x14ac:dyDescent="0.3">
      <c r="J58770"/>
    </row>
    <row r="58771" spans="10:10" x14ac:dyDescent="0.3">
      <c r="J58771"/>
    </row>
    <row r="58772" spans="10:10" x14ac:dyDescent="0.3">
      <c r="J58772"/>
    </row>
    <row r="58773" spans="10:10" x14ac:dyDescent="0.3">
      <c r="J58773"/>
    </row>
    <row r="58774" spans="10:10" x14ac:dyDescent="0.3">
      <c r="J58774"/>
    </row>
    <row r="58775" spans="10:10" x14ac:dyDescent="0.3">
      <c r="J58775"/>
    </row>
    <row r="58776" spans="10:10" x14ac:dyDescent="0.3">
      <c r="J58776"/>
    </row>
    <row r="58777" spans="10:10" x14ac:dyDescent="0.3">
      <c r="J58777"/>
    </row>
    <row r="58778" spans="10:10" x14ac:dyDescent="0.3">
      <c r="J58778"/>
    </row>
    <row r="58779" spans="10:10" x14ac:dyDescent="0.3">
      <c r="J58779"/>
    </row>
    <row r="58780" spans="10:10" x14ac:dyDescent="0.3">
      <c r="J58780"/>
    </row>
    <row r="58781" spans="10:10" x14ac:dyDescent="0.3">
      <c r="J58781"/>
    </row>
    <row r="58782" spans="10:10" x14ac:dyDescent="0.3">
      <c r="J58782"/>
    </row>
    <row r="58783" spans="10:10" x14ac:dyDescent="0.3">
      <c r="J58783"/>
    </row>
    <row r="58784" spans="10:10" x14ac:dyDescent="0.3">
      <c r="J58784"/>
    </row>
    <row r="58785" spans="10:10" x14ac:dyDescent="0.3">
      <c r="J58785"/>
    </row>
    <row r="58786" spans="10:10" x14ac:dyDescent="0.3">
      <c r="J58786"/>
    </row>
    <row r="58787" spans="10:10" x14ac:dyDescent="0.3">
      <c r="J58787"/>
    </row>
    <row r="58788" spans="10:10" x14ac:dyDescent="0.3">
      <c r="J58788"/>
    </row>
    <row r="58789" spans="10:10" x14ac:dyDescent="0.3">
      <c r="J58789"/>
    </row>
    <row r="58790" spans="10:10" x14ac:dyDescent="0.3">
      <c r="J58790"/>
    </row>
    <row r="58791" spans="10:10" x14ac:dyDescent="0.3">
      <c r="J58791"/>
    </row>
    <row r="58792" spans="10:10" x14ac:dyDescent="0.3">
      <c r="J58792"/>
    </row>
    <row r="58793" spans="10:10" x14ac:dyDescent="0.3">
      <c r="J58793"/>
    </row>
    <row r="58794" spans="10:10" x14ac:dyDescent="0.3">
      <c r="J58794"/>
    </row>
    <row r="58795" spans="10:10" x14ac:dyDescent="0.3">
      <c r="J58795"/>
    </row>
    <row r="58796" spans="10:10" x14ac:dyDescent="0.3">
      <c r="J58796"/>
    </row>
    <row r="58797" spans="10:10" x14ac:dyDescent="0.3">
      <c r="J58797"/>
    </row>
    <row r="58798" spans="10:10" x14ac:dyDescent="0.3">
      <c r="J58798"/>
    </row>
    <row r="58799" spans="10:10" x14ac:dyDescent="0.3">
      <c r="J58799"/>
    </row>
    <row r="58800" spans="10:10" x14ac:dyDescent="0.3">
      <c r="J58800"/>
    </row>
    <row r="58801" spans="10:10" x14ac:dyDescent="0.3">
      <c r="J58801"/>
    </row>
    <row r="58802" spans="10:10" x14ac:dyDescent="0.3">
      <c r="J58802"/>
    </row>
    <row r="58803" spans="10:10" x14ac:dyDescent="0.3">
      <c r="J58803"/>
    </row>
    <row r="58804" spans="10:10" x14ac:dyDescent="0.3">
      <c r="J58804"/>
    </row>
    <row r="58805" spans="10:10" x14ac:dyDescent="0.3">
      <c r="J58805"/>
    </row>
    <row r="58806" spans="10:10" x14ac:dyDescent="0.3">
      <c r="J58806"/>
    </row>
    <row r="58807" spans="10:10" x14ac:dyDescent="0.3">
      <c r="J58807"/>
    </row>
    <row r="58808" spans="10:10" x14ac:dyDescent="0.3">
      <c r="J58808"/>
    </row>
    <row r="58809" spans="10:10" x14ac:dyDescent="0.3">
      <c r="J58809"/>
    </row>
    <row r="58810" spans="10:10" x14ac:dyDescent="0.3">
      <c r="J58810"/>
    </row>
    <row r="58811" spans="10:10" x14ac:dyDescent="0.3">
      <c r="J58811"/>
    </row>
    <row r="58812" spans="10:10" x14ac:dyDescent="0.3">
      <c r="J58812"/>
    </row>
    <row r="58813" spans="10:10" x14ac:dyDescent="0.3">
      <c r="J58813"/>
    </row>
    <row r="58814" spans="10:10" x14ac:dyDescent="0.3">
      <c r="J58814"/>
    </row>
    <row r="58815" spans="10:10" x14ac:dyDescent="0.3">
      <c r="J58815"/>
    </row>
    <row r="58816" spans="10:10" x14ac:dyDescent="0.3">
      <c r="J58816"/>
    </row>
    <row r="58817" spans="10:10" x14ac:dyDescent="0.3">
      <c r="J58817"/>
    </row>
    <row r="58818" spans="10:10" x14ac:dyDescent="0.3">
      <c r="J58818"/>
    </row>
    <row r="58819" spans="10:10" x14ac:dyDescent="0.3">
      <c r="J58819"/>
    </row>
    <row r="58820" spans="10:10" x14ac:dyDescent="0.3">
      <c r="J58820"/>
    </row>
    <row r="58821" spans="10:10" x14ac:dyDescent="0.3">
      <c r="J58821"/>
    </row>
    <row r="58822" spans="10:10" x14ac:dyDescent="0.3">
      <c r="J58822"/>
    </row>
    <row r="58823" spans="10:10" x14ac:dyDescent="0.3">
      <c r="J58823"/>
    </row>
    <row r="58824" spans="10:10" x14ac:dyDescent="0.3">
      <c r="J58824"/>
    </row>
    <row r="58825" spans="10:10" x14ac:dyDescent="0.3">
      <c r="J58825"/>
    </row>
    <row r="58826" spans="10:10" x14ac:dyDescent="0.3">
      <c r="J58826"/>
    </row>
    <row r="58827" spans="10:10" x14ac:dyDescent="0.3">
      <c r="J58827"/>
    </row>
    <row r="58828" spans="10:10" x14ac:dyDescent="0.3">
      <c r="J58828"/>
    </row>
    <row r="58829" spans="10:10" x14ac:dyDescent="0.3">
      <c r="J58829"/>
    </row>
    <row r="58830" spans="10:10" x14ac:dyDescent="0.3">
      <c r="J58830"/>
    </row>
    <row r="58831" spans="10:10" x14ac:dyDescent="0.3">
      <c r="J58831"/>
    </row>
    <row r="58832" spans="10:10" x14ac:dyDescent="0.3">
      <c r="J58832"/>
    </row>
    <row r="58833" spans="10:10" x14ac:dyDescent="0.3">
      <c r="J58833"/>
    </row>
    <row r="58834" spans="10:10" x14ac:dyDescent="0.3">
      <c r="J58834"/>
    </row>
    <row r="58835" spans="10:10" x14ac:dyDescent="0.3">
      <c r="J58835"/>
    </row>
    <row r="58836" spans="10:10" x14ac:dyDescent="0.3">
      <c r="J58836"/>
    </row>
    <row r="58837" spans="10:10" x14ac:dyDescent="0.3">
      <c r="J58837"/>
    </row>
    <row r="58838" spans="10:10" x14ac:dyDescent="0.3">
      <c r="J58838"/>
    </row>
    <row r="58839" spans="10:10" x14ac:dyDescent="0.3">
      <c r="J58839"/>
    </row>
    <row r="58840" spans="10:10" x14ac:dyDescent="0.3">
      <c r="J58840"/>
    </row>
    <row r="58841" spans="10:10" x14ac:dyDescent="0.3">
      <c r="J58841"/>
    </row>
    <row r="58842" spans="10:10" x14ac:dyDescent="0.3">
      <c r="J58842"/>
    </row>
    <row r="58843" spans="10:10" x14ac:dyDescent="0.3">
      <c r="J58843"/>
    </row>
    <row r="58844" spans="10:10" x14ac:dyDescent="0.3">
      <c r="J58844"/>
    </row>
    <row r="58845" spans="10:10" x14ac:dyDescent="0.3">
      <c r="J58845"/>
    </row>
    <row r="58846" spans="10:10" x14ac:dyDescent="0.3">
      <c r="J58846"/>
    </row>
    <row r="58847" spans="10:10" x14ac:dyDescent="0.3">
      <c r="J58847"/>
    </row>
    <row r="58848" spans="10:10" x14ac:dyDescent="0.3">
      <c r="J58848"/>
    </row>
    <row r="58849" spans="10:10" x14ac:dyDescent="0.3">
      <c r="J58849"/>
    </row>
    <row r="58850" spans="10:10" x14ac:dyDescent="0.3">
      <c r="J58850"/>
    </row>
    <row r="58851" spans="10:10" x14ac:dyDescent="0.3">
      <c r="J58851"/>
    </row>
    <row r="58852" spans="10:10" x14ac:dyDescent="0.3">
      <c r="J58852"/>
    </row>
    <row r="58853" spans="10:10" x14ac:dyDescent="0.3">
      <c r="J58853"/>
    </row>
    <row r="58854" spans="10:10" x14ac:dyDescent="0.3">
      <c r="J58854"/>
    </row>
    <row r="58855" spans="10:10" x14ac:dyDescent="0.3">
      <c r="J58855"/>
    </row>
    <row r="58856" spans="10:10" x14ac:dyDescent="0.3">
      <c r="J58856"/>
    </row>
    <row r="58857" spans="10:10" x14ac:dyDescent="0.3">
      <c r="J58857"/>
    </row>
    <row r="58858" spans="10:10" x14ac:dyDescent="0.3">
      <c r="J58858"/>
    </row>
    <row r="58859" spans="10:10" x14ac:dyDescent="0.3">
      <c r="J58859"/>
    </row>
    <row r="58860" spans="10:10" x14ac:dyDescent="0.3">
      <c r="J58860"/>
    </row>
    <row r="58861" spans="10:10" x14ac:dyDescent="0.3">
      <c r="J58861"/>
    </row>
    <row r="58862" spans="10:10" x14ac:dyDescent="0.3">
      <c r="J58862"/>
    </row>
    <row r="58863" spans="10:10" x14ac:dyDescent="0.3">
      <c r="J58863"/>
    </row>
    <row r="58864" spans="10:10" x14ac:dyDescent="0.3">
      <c r="J58864"/>
    </row>
    <row r="58865" spans="10:10" x14ac:dyDescent="0.3">
      <c r="J58865"/>
    </row>
    <row r="58866" spans="10:10" x14ac:dyDescent="0.3">
      <c r="J58866"/>
    </row>
    <row r="58867" spans="10:10" x14ac:dyDescent="0.3">
      <c r="J58867"/>
    </row>
    <row r="58868" spans="10:10" x14ac:dyDescent="0.3">
      <c r="J58868"/>
    </row>
    <row r="58869" spans="10:10" x14ac:dyDescent="0.3">
      <c r="J58869"/>
    </row>
    <row r="58870" spans="10:10" x14ac:dyDescent="0.3">
      <c r="J58870"/>
    </row>
    <row r="58871" spans="10:10" x14ac:dyDescent="0.3">
      <c r="J58871"/>
    </row>
    <row r="58872" spans="10:10" x14ac:dyDescent="0.3">
      <c r="J58872"/>
    </row>
    <row r="58873" spans="10:10" x14ac:dyDescent="0.3">
      <c r="J58873"/>
    </row>
    <row r="58874" spans="10:10" x14ac:dyDescent="0.3">
      <c r="J58874"/>
    </row>
    <row r="58875" spans="10:10" x14ac:dyDescent="0.3">
      <c r="J58875"/>
    </row>
    <row r="58876" spans="10:10" x14ac:dyDescent="0.3">
      <c r="J58876"/>
    </row>
    <row r="58877" spans="10:10" x14ac:dyDescent="0.3">
      <c r="J58877"/>
    </row>
    <row r="58878" spans="10:10" x14ac:dyDescent="0.3">
      <c r="J58878"/>
    </row>
    <row r="58879" spans="10:10" x14ac:dyDescent="0.3">
      <c r="J58879"/>
    </row>
    <row r="58880" spans="10:10" x14ac:dyDescent="0.3">
      <c r="J58880"/>
    </row>
    <row r="58881" spans="10:10" x14ac:dyDescent="0.3">
      <c r="J58881"/>
    </row>
    <row r="58882" spans="10:10" x14ac:dyDescent="0.3">
      <c r="J58882"/>
    </row>
    <row r="58883" spans="10:10" x14ac:dyDescent="0.3">
      <c r="J58883"/>
    </row>
    <row r="58884" spans="10:10" x14ac:dyDescent="0.3">
      <c r="J58884"/>
    </row>
    <row r="58885" spans="10:10" x14ac:dyDescent="0.3">
      <c r="J58885"/>
    </row>
    <row r="58886" spans="10:10" x14ac:dyDescent="0.3">
      <c r="J58886"/>
    </row>
    <row r="58887" spans="10:10" x14ac:dyDescent="0.3">
      <c r="J58887"/>
    </row>
    <row r="58888" spans="10:10" x14ac:dyDescent="0.3">
      <c r="J58888"/>
    </row>
    <row r="58889" spans="10:10" x14ac:dyDescent="0.3">
      <c r="J58889"/>
    </row>
    <row r="58890" spans="10:10" x14ac:dyDescent="0.3">
      <c r="J58890"/>
    </row>
    <row r="58891" spans="10:10" x14ac:dyDescent="0.3">
      <c r="J58891"/>
    </row>
    <row r="58892" spans="10:10" x14ac:dyDescent="0.3">
      <c r="J58892"/>
    </row>
    <row r="58893" spans="10:10" x14ac:dyDescent="0.3">
      <c r="J58893"/>
    </row>
    <row r="58894" spans="10:10" x14ac:dyDescent="0.3">
      <c r="J58894"/>
    </row>
    <row r="58895" spans="10:10" x14ac:dyDescent="0.3">
      <c r="J58895"/>
    </row>
    <row r="58896" spans="10:10" x14ac:dyDescent="0.3">
      <c r="J58896"/>
    </row>
    <row r="58897" spans="10:10" x14ac:dyDescent="0.3">
      <c r="J58897"/>
    </row>
    <row r="58898" spans="10:10" x14ac:dyDescent="0.3">
      <c r="J58898"/>
    </row>
    <row r="58899" spans="10:10" x14ac:dyDescent="0.3">
      <c r="J58899"/>
    </row>
    <row r="58900" spans="10:10" x14ac:dyDescent="0.3">
      <c r="J58900"/>
    </row>
    <row r="58901" spans="10:10" x14ac:dyDescent="0.3">
      <c r="J58901"/>
    </row>
    <row r="58902" spans="10:10" x14ac:dyDescent="0.3">
      <c r="J58902"/>
    </row>
    <row r="58903" spans="10:10" x14ac:dyDescent="0.3">
      <c r="J58903"/>
    </row>
    <row r="58904" spans="10:10" x14ac:dyDescent="0.3">
      <c r="J58904"/>
    </row>
    <row r="58905" spans="10:10" x14ac:dyDescent="0.3">
      <c r="J58905"/>
    </row>
    <row r="58906" spans="10:10" x14ac:dyDescent="0.3">
      <c r="J58906"/>
    </row>
    <row r="58907" spans="10:10" x14ac:dyDescent="0.3">
      <c r="J58907"/>
    </row>
    <row r="58908" spans="10:10" x14ac:dyDescent="0.3">
      <c r="J58908"/>
    </row>
    <row r="58909" spans="10:10" x14ac:dyDescent="0.3">
      <c r="J58909"/>
    </row>
    <row r="58910" spans="10:10" x14ac:dyDescent="0.3">
      <c r="J58910"/>
    </row>
    <row r="58911" spans="10:10" x14ac:dyDescent="0.3">
      <c r="J58911"/>
    </row>
    <row r="58912" spans="10:10" x14ac:dyDescent="0.3">
      <c r="J58912"/>
    </row>
    <row r="58913" spans="10:10" x14ac:dyDescent="0.3">
      <c r="J58913"/>
    </row>
    <row r="58914" spans="10:10" x14ac:dyDescent="0.3">
      <c r="J58914"/>
    </row>
    <row r="58915" spans="10:10" x14ac:dyDescent="0.3">
      <c r="J58915"/>
    </row>
    <row r="58916" spans="10:10" x14ac:dyDescent="0.3">
      <c r="J58916"/>
    </row>
    <row r="58917" spans="10:10" x14ac:dyDescent="0.3">
      <c r="J58917"/>
    </row>
    <row r="58918" spans="10:10" x14ac:dyDescent="0.3">
      <c r="J58918"/>
    </row>
    <row r="58919" spans="10:10" x14ac:dyDescent="0.3">
      <c r="J58919"/>
    </row>
    <row r="58920" spans="10:10" x14ac:dyDescent="0.3">
      <c r="J58920"/>
    </row>
    <row r="58921" spans="10:10" x14ac:dyDescent="0.3">
      <c r="J58921"/>
    </row>
    <row r="58922" spans="10:10" x14ac:dyDescent="0.3">
      <c r="J58922"/>
    </row>
    <row r="58923" spans="10:10" x14ac:dyDescent="0.3">
      <c r="J58923"/>
    </row>
    <row r="58924" spans="10:10" x14ac:dyDescent="0.3">
      <c r="J58924"/>
    </row>
    <row r="58925" spans="10:10" x14ac:dyDescent="0.3">
      <c r="J58925"/>
    </row>
    <row r="58926" spans="10:10" x14ac:dyDescent="0.3">
      <c r="J58926"/>
    </row>
    <row r="58927" spans="10:10" x14ac:dyDescent="0.3">
      <c r="J58927"/>
    </row>
    <row r="58928" spans="10:10" x14ac:dyDescent="0.3">
      <c r="J58928"/>
    </row>
    <row r="58929" spans="10:10" x14ac:dyDescent="0.3">
      <c r="J58929"/>
    </row>
    <row r="58930" spans="10:10" x14ac:dyDescent="0.3">
      <c r="J58930"/>
    </row>
    <row r="58931" spans="10:10" x14ac:dyDescent="0.3">
      <c r="J58931"/>
    </row>
    <row r="58932" spans="10:10" x14ac:dyDescent="0.3">
      <c r="J58932"/>
    </row>
    <row r="58933" spans="10:10" x14ac:dyDescent="0.3">
      <c r="J58933"/>
    </row>
    <row r="58934" spans="10:10" x14ac:dyDescent="0.3">
      <c r="J58934"/>
    </row>
    <row r="58935" spans="10:10" x14ac:dyDescent="0.3">
      <c r="J58935"/>
    </row>
    <row r="58936" spans="10:10" x14ac:dyDescent="0.3">
      <c r="J58936"/>
    </row>
    <row r="58937" spans="10:10" x14ac:dyDescent="0.3">
      <c r="J58937"/>
    </row>
    <row r="58938" spans="10:10" x14ac:dyDescent="0.3">
      <c r="J58938"/>
    </row>
    <row r="58939" spans="10:10" x14ac:dyDescent="0.3">
      <c r="J58939"/>
    </row>
    <row r="58940" spans="10:10" x14ac:dyDescent="0.3">
      <c r="J58940"/>
    </row>
    <row r="58941" spans="10:10" x14ac:dyDescent="0.3">
      <c r="J58941"/>
    </row>
    <row r="58942" spans="10:10" x14ac:dyDescent="0.3">
      <c r="J58942"/>
    </row>
    <row r="58943" spans="10:10" x14ac:dyDescent="0.3">
      <c r="J58943"/>
    </row>
    <row r="58944" spans="10:10" x14ac:dyDescent="0.3">
      <c r="J58944"/>
    </row>
    <row r="58945" spans="10:10" x14ac:dyDescent="0.3">
      <c r="J58945"/>
    </row>
    <row r="58946" spans="10:10" x14ac:dyDescent="0.3">
      <c r="J58946"/>
    </row>
    <row r="58947" spans="10:10" x14ac:dyDescent="0.3">
      <c r="J58947"/>
    </row>
    <row r="58948" spans="10:10" x14ac:dyDescent="0.3">
      <c r="J58948"/>
    </row>
    <row r="58949" spans="10:10" x14ac:dyDescent="0.3">
      <c r="J58949"/>
    </row>
    <row r="58950" spans="10:10" x14ac:dyDescent="0.3">
      <c r="J58950"/>
    </row>
    <row r="58951" spans="10:10" x14ac:dyDescent="0.3">
      <c r="J58951"/>
    </row>
    <row r="58952" spans="10:10" x14ac:dyDescent="0.3">
      <c r="J58952"/>
    </row>
    <row r="58953" spans="10:10" x14ac:dyDescent="0.3">
      <c r="J58953"/>
    </row>
    <row r="58954" spans="10:10" x14ac:dyDescent="0.3">
      <c r="J58954"/>
    </row>
    <row r="58955" spans="10:10" x14ac:dyDescent="0.3">
      <c r="J58955"/>
    </row>
    <row r="58956" spans="10:10" x14ac:dyDescent="0.3">
      <c r="J58956"/>
    </row>
    <row r="58957" spans="10:10" x14ac:dyDescent="0.3">
      <c r="J58957"/>
    </row>
    <row r="58958" spans="10:10" x14ac:dyDescent="0.3">
      <c r="J58958"/>
    </row>
    <row r="58959" spans="10:10" x14ac:dyDescent="0.3">
      <c r="J58959"/>
    </row>
    <row r="58960" spans="10:10" x14ac:dyDescent="0.3">
      <c r="J58960"/>
    </row>
    <row r="58961" spans="10:10" x14ac:dyDescent="0.3">
      <c r="J58961"/>
    </row>
    <row r="58962" spans="10:10" x14ac:dyDescent="0.3">
      <c r="J58962"/>
    </row>
    <row r="58963" spans="10:10" x14ac:dyDescent="0.3">
      <c r="J58963"/>
    </row>
    <row r="58964" spans="10:10" x14ac:dyDescent="0.3">
      <c r="J58964"/>
    </row>
    <row r="58965" spans="10:10" x14ac:dyDescent="0.3">
      <c r="J58965"/>
    </row>
    <row r="58966" spans="10:10" x14ac:dyDescent="0.3">
      <c r="J58966"/>
    </row>
    <row r="58967" spans="10:10" x14ac:dyDescent="0.3">
      <c r="J58967"/>
    </row>
    <row r="58968" spans="10:10" x14ac:dyDescent="0.3">
      <c r="J58968"/>
    </row>
    <row r="58969" spans="10:10" x14ac:dyDescent="0.3">
      <c r="J58969"/>
    </row>
    <row r="58970" spans="10:10" x14ac:dyDescent="0.3">
      <c r="J58970"/>
    </row>
    <row r="58971" spans="10:10" x14ac:dyDescent="0.3">
      <c r="J58971"/>
    </row>
    <row r="58972" spans="10:10" x14ac:dyDescent="0.3">
      <c r="J58972"/>
    </row>
    <row r="58973" spans="10:10" x14ac:dyDescent="0.3">
      <c r="J58973"/>
    </row>
    <row r="58974" spans="10:10" x14ac:dyDescent="0.3">
      <c r="J58974"/>
    </row>
    <row r="58975" spans="10:10" x14ac:dyDescent="0.3">
      <c r="J58975"/>
    </row>
    <row r="58976" spans="10:10" x14ac:dyDescent="0.3">
      <c r="J58976"/>
    </row>
    <row r="58977" spans="10:10" x14ac:dyDescent="0.3">
      <c r="J58977"/>
    </row>
    <row r="58978" spans="10:10" x14ac:dyDescent="0.3">
      <c r="J58978"/>
    </row>
    <row r="58979" spans="10:10" x14ac:dyDescent="0.3">
      <c r="J58979"/>
    </row>
    <row r="58980" spans="10:10" x14ac:dyDescent="0.3">
      <c r="J58980"/>
    </row>
    <row r="58981" spans="10:10" x14ac:dyDescent="0.3">
      <c r="J58981"/>
    </row>
    <row r="58982" spans="10:10" x14ac:dyDescent="0.3">
      <c r="J58982"/>
    </row>
    <row r="58983" spans="10:10" x14ac:dyDescent="0.3">
      <c r="J58983"/>
    </row>
    <row r="58984" spans="10:10" x14ac:dyDescent="0.3">
      <c r="J58984"/>
    </row>
    <row r="58985" spans="10:10" x14ac:dyDescent="0.3">
      <c r="J58985"/>
    </row>
    <row r="58986" spans="10:10" x14ac:dyDescent="0.3">
      <c r="J58986"/>
    </row>
    <row r="58987" spans="10:10" x14ac:dyDescent="0.3">
      <c r="J58987"/>
    </row>
    <row r="58988" spans="10:10" x14ac:dyDescent="0.3">
      <c r="J58988"/>
    </row>
    <row r="58989" spans="10:10" x14ac:dyDescent="0.3">
      <c r="J58989"/>
    </row>
    <row r="58990" spans="10:10" x14ac:dyDescent="0.3">
      <c r="J58990"/>
    </row>
    <row r="58991" spans="10:10" x14ac:dyDescent="0.3">
      <c r="J58991"/>
    </row>
    <row r="58992" spans="10:10" x14ac:dyDescent="0.3">
      <c r="J58992"/>
    </row>
    <row r="58993" spans="10:10" x14ac:dyDescent="0.3">
      <c r="J58993"/>
    </row>
    <row r="58994" spans="10:10" x14ac:dyDescent="0.3">
      <c r="J58994"/>
    </row>
    <row r="58995" spans="10:10" x14ac:dyDescent="0.3">
      <c r="J58995"/>
    </row>
    <row r="58996" spans="10:10" x14ac:dyDescent="0.3">
      <c r="J58996"/>
    </row>
    <row r="58997" spans="10:10" x14ac:dyDescent="0.3">
      <c r="J58997"/>
    </row>
    <row r="58998" spans="10:10" x14ac:dyDescent="0.3">
      <c r="J58998"/>
    </row>
    <row r="58999" spans="10:10" x14ac:dyDescent="0.3">
      <c r="J58999"/>
    </row>
    <row r="59000" spans="10:10" x14ac:dyDescent="0.3">
      <c r="J59000"/>
    </row>
    <row r="59001" spans="10:10" x14ac:dyDescent="0.3">
      <c r="J59001"/>
    </row>
    <row r="59002" spans="10:10" x14ac:dyDescent="0.3">
      <c r="J59002"/>
    </row>
    <row r="59003" spans="10:10" x14ac:dyDescent="0.3">
      <c r="J59003"/>
    </row>
    <row r="59004" spans="10:10" x14ac:dyDescent="0.3">
      <c r="J59004"/>
    </row>
    <row r="59005" spans="10:10" x14ac:dyDescent="0.3">
      <c r="J59005"/>
    </row>
    <row r="59006" spans="10:10" x14ac:dyDescent="0.3">
      <c r="J59006"/>
    </row>
    <row r="59007" spans="10:10" x14ac:dyDescent="0.3">
      <c r="J59007"/>
    </row>
    <row r="59008" spans="10:10" x14ac:dyDescent="0.3">
      <c r="J59008"/>
    </row>
    <row r="59009" spans="10:10" x14ac:dyDescent="0.3">
      <c r="J59009"/>
    </row>
    <row r="59010" spans="10:10" x14ac:dyDescent="0.3">
      <c r="J59010"/>
    </row>
    <row r="59011" spans="10:10" x14ac:dyDescent="0.3">
      <c r="J59011"/>
    </row>
    <row r="59012" spans="10:10" x14ac:dyDescent="0.3">
      <c r="J59012"/>
    </row>
    <row r="59013" spans="10:10" x14ac:dyDescent="0.3">
      <c r="J59013"/>
    </row>
    <row r="59014" spans="10:10" x14ac:dyDescent="0.3">
      <c r="J59014"/>
    </row>
    <row r="59015" spans="10:10" x14ac:dyDescent="0.3">
      <c r="J59015"/>
    </row>
    <row r="59016" spans="10:10" x14ac:dyDescent="0.3">
      <c r="J59016"/>
    </row>
    <row r="59017" spans="10:10" x14ac:dyDescent="0.3">
      <c r="J59017"/>
    </row>
    <row r="59018" spans="10:10" x14ac:dyDescent="0.3">
      <c r="J59018"/>
    </row>
    <row r="59019" spans="10:10" x14ac:dyDescent="0.3">
      <c r="J59019"/>
    </row>
    <row r="59020" spans="10:10" x14ac:dyDescent="0.3">
      <c r="J59020"/>
    </row>
    <row r="59021" spans="10:10" x14ac:dyDescent="0.3">
      <c r="J59021"/>
    </row>
    <row r="59022" spans="10:10" x14ac:dyDescent="0.3">
      <c r="J59022"/>
    </row>
    <row r="59023" spans="10:10" x14ac:dyDescent="0.3">
      <c r="J59023"/>
    </row>
    <row r="59024" spans="10:10" x14ac:dyDescent="0.3">
      <c r="J59024"/>
    </row>
    <row r="59025" spans="10:10" x14ac:dyDescent="0.3">
      <c r="J59025"/>
    </row>
    <row r="59026" spans="10:10" x14ac:dyDescent="0.3">
      <c r="J59026"/>
    </row>
    <row r="59027" spans="10:10" x14ac:dyDescent="0.3">
      <c r="J59027"/>
    </row>
    <row r="59028" spans="10:10" x14ac:dyDescent="0.3">
      <c r="J59028"/>
    </row>
    <row r="59029" spans="10:10" x14ac:dyDescent="0.3">
      <c r="J59029"/>
    </row>
    <row r="59030" spans="10:10" x14ac:dyDescent="0.3">
      <c r="J59030"/>
    </row>
    <row r="59031" spans="10:10" x14ac:dyDescent="0.3">
      <c r="J59031"/>
    </row>
    <row r="59032" spans="10:10" x14ac:dyDescent="0.3">
      <c r="J59032"/>
    </row>
    <row r="59033" spans="10:10" x14ac:dyDescent="0.3">
      <c r="J59033"/>
    </row>
    <row r="59034" spans="10:10" x14ac:dyDescent="0.3">
      <c r="J59034"/>
    </row>
    <row r="59035" spans="10:10" x14ac:dyDescent="0.3">
      <c r="J59035"/>
    </row>
    <row r="59036" spans="10:10" x14ac:dyDescent="0.3">
      <c r="J59036"/>
    </row>
    <row r="59037" spans="10:10" x14ac:dyDescent="0.3">
      <c r="J59037"/>
    </row>
    <row r="59038" spans="10:10" x14ac:dyDescent="0.3">
      <c r="J59038"/>
    </row>
    <row r="59039" spans="10:10" x14ac:dyDescent="0.3">
      <c r="J59039"/>
    </row>
    <row r="59040" spans="10:10" x14ac:dyDescent="0.3">
      <c r="J59040"/>
    </row>
    <row r="59041" spans="10:10" x14ac:dyDescent="0.3">
      <c r="J59041"/>
    </row>
    <row r="59042" spans="10:10" x14ac:dyDescent="0.3">
      <c r="J59042"/>
    </row>
    <row r="59043" spans="10:10" x14ac:dyDescent="0.3">
      <c r="J59043"/>
    </row>
    <row r="59044" spans="10:10" x14ac:dyDescent="0.3">
      <c r="J59044"/>
    </row>
    <row r="59045" spans="10:10" x14ac:dyDescent="0.3">
      <c r="J59045"/>
    </row>
    <row r="59046" spans="10:10" x14ac:dyDescent="0.3">
      <c r="J59046"/>
    </row>
    <row r="59047" spans="10:10" x14ac:dyDescent="0.3">
      <c r="J59047"/>
    </row>
    <row r="59048" spans="10:10" x14ac:dyDescent="0.3">
      <c r="J59048"/>
    </row>
    <row r="59049" spans="10:10" x14ac:dyDescent="0.3">
      <c r="J59049"/>
    </row>
    <row r="59050" spans="10:10" x14ac:dyDescent="0.3">
      <c r="J59050"/>
    </row>
    <row r="59051" spans="10:10" x14ac:dyDescent="0.3">
      <c r="J59051"/>
    </row>
    <row r="59052" spans="10:10" x14ac:dyDescent="0.3">
      <c r="J59052"/>
    </row>
    <row r="59053" spans="10:10" x14ac:dyDescent="0.3">
      <c r="J59053"/>
    </row>
    <row r="59054" spans="10:10" x14ac:dyDescent="0.3">
      <c r="J59054"/>
    </row>
    <row r="59055" spans="10:10" x14ac:dyDescent="0.3">
      <c r="J59055"/>
    </row>
    <row r="59056" spans="10:10" x14ac:dyDescent="0.3">
      <c r="J59056"/>
    </row>
    <row r="59057" spans="10:10" x14ac:dyDescent="0.3">
      <c r="J59057"/>
    </row>
    <row r="59058" spans="10:10" x14ac:dyDescent="0.3">
      <c r="J59058"/>
    </row>
    <row r="59059" spans="10:10" x14ac:dyDescent="0.3">
      <c r="J59059"/>
    </row>
    <row r="59060" spans="10:10" x14ac:dyDescent="0.3">
      <c r="J59060"/>
    </row>
    <row r="59061" spans="10:10" x14ac:dyDescent="0.3">
      <c r="J59061"/>
    </row>
    <row r="59062" spans="10:10" x14ac:dyDescent="0.3">
      <c r="J59062"/>
    </row>
    <row r="59063" spans="10:10" x14ac:dyDescent="0.3">
      <c r="J59063"/>
    </row>
    <row r="59064" spans="10:10" x14ac:dyDescent="0.3">
      <c r="J59064"/>
    </row>
    <row r="59065" spans="10:10" x14ac:dyDescent="0.3">
      <c r="J59065"/>
    </row>
    <row r="59066" spans="10:10" x14ac:dyDescent="0.3">
      <c r="J59066"/>
    </row>
    <row r="59067" spans="10:10" x14ac:dyDescent="0.3">
      <c r="J59067"/>
    </row>
    <row r="59068" spans="10:10" x14ac:dyDescent="0.3">
      <c r="J59068"/>
    </row>
    <row r="59069" spans="10:10" x14ac:dyDescent="0.3">
      <c r="J59069"/>
    </row>
    <row r="59070" spans="10:10" x14ac:dyDescent="0.3">
      <c r="J59070"/>
    </row>
    <row r="59071" spans="10:10" x14ac:dyDescent="0.3">
      <c r="J59071"/>
    </row>
    <row r="59072" spans="10:10" x14ac:dyDescent="0.3">
      <c r="J59072"/>
    </row>
    <row r="59073" spans="10:10" x14ac:dyDescent="0.3">
      <c r="J59073"/>
    </row>
    <row r="59074" spans="10:10" x14ac:dyDescent="0.3">
      <c r="J59074"/>
    </row>
    <row r="59075" spans="10:10" x14ac:dyDescent="0.3">
      <c r="J59075"/>
    </row>
    <row r="59076" spans="10:10" x14ac:dyDescent="0.3">
      <c r="J59076"/>
    </row>
    <row r="59077" spans="10:10" x14ac:dyDescent="0.3">
      <c r="J59077"/>
    </row>
    <row r="59078" spans="10:10" x14ac:dyDescent="0.3">
      <c r="J59078"/>
    </row>
    <row r="59079" spans="10:10" x14ac:dyDescent="0.3">
      <c r="J59079"/>
    </row>
    <row r="59080" spans="10:10" x14ac:dyDescent="0.3">
      <c r="J59080"/>
    </row>
    <row r="59081" spans="10:10" x14ac:dyDescent="0.3">
      <c r="J59081"/>
    </row>
    <row r="59082" spans="10:10" x14ac:dyDescent="0.3">
      <c r="J59082"/>
    </row>
    <row r="59083" spans="10:10" x14ac:dyDescent="0.3">
      <c r="J59083"/>
    </row>
    <row r="59084" spans="10:10" x14ac:dyDescent="0.3">
      <c r="J59084"/>
    </row>
    <row r="59085" spans="10:10" x14ac:dyDescent="0.3">
      <c r="J59085"/>
    </row>
    <row r="59086" spans="10:10" x14ac:dyDescent="0.3">
      <c r="J59086"/>
    </row>
    <row r="59087" spans="10:10" x14ac:dyDescent="0.3">
      <c r="J59087"/>
    </row>
    <row r="59088" spans="10:10" x14ac:dyDescent="0.3">
      <c r="J59088"/>
    </row>
    <row r="59089" spans="10:10" x14ac:dyDescent="0.3">
      <c r="J59089"/>
    </row>
    <row r="59090" spans="10:10" x14ac:dyDescent="0.3">
      <c r="J59090"/>
    </row>
    <row r="59091" spans="10:10" x14ac:dyDescent="0.3">
      <c r="J59091"/>
    </row>
    <row r="59092" spans="10:10" x14ac:dyDescent="0.3">
      <c r="J59092"/>
    </row>
    <row r="59093" spans="10:10" x14ac:dyDescent="0.3">
      <c r="J59093"/>
    </row>
    <row r="59094" spans="10:10" x14ac:dyDescent="0.3">
      <c r="J59094"/>
    </row>
    <row r="59095" spans="10:10" x14ac:dyDescent="0.3">
      <c r="J59095"/>
    </row>
    <row r="59096" spans="10:10" x14ac:dyDescent="0.3">
      <c r="J59096"/>
    </row>
    <row r="59097" spans="10:10" x14ac:dyDescent="0.3">
      <c r="J59097"/>
    </row>
    <row r="59098" spans="10:10" x14ac:dyDescent="0.3">
      <c r="J59098"/>
    </row>
    <row r="59099" spans="10:10" x14ac:dyDescent="0.3">
      <c r="J59099"/>
    </row>
    <row r="59100" spans="10:10" x14ac:dyDescent="0.3">
      <c r="J59100"/>
    </row>
    <row r="59101" spans="10:10" x14ac:dyDescent="0.3">
      <c r="J59101"/>
    </row>
    <row r="59102" spans="10:10" x14ac:dyDescent="0.3">
      <c r="J59102"/>
    </row>
    <row r="59103" spans="10:10" x14ac:dyDescent="0.3">
      <c r="J59103"/>
    </row>
    <row r="59104" spans="10:10" x14ac:dyDescent="0.3">
      <c r="J59104"/>
    </row>
    <row r="59105" spans="10:10" x14ac:dyDescent="0.3">
      <c r="J59105"/>
    </row>
    <row r="59106" spans="10:10" x14ac:dyDescent="0.3">
      <c r="J59106"/>
    </row>
    <row r="59107" spans="10:10" x14ac:dyDescent="0.3">
      <c r="J59107"/>
    </row>
    <row r="59108" spans="10:10" x14ac:dyDescent="0.3">
      <c r="J59108"/>
    </row>
    <row r="59109" spans="10:10" x14ac:dyDescent="0.3">
      <c r="J59109"/>
    </row>
    <row r="59110" spans="10:10" x14ac:dyDescent="0.3">
      <c r="J59110"/>
    </row>
    <row r="59111" spans="10:10" x14ac:dyDescent="0.3">
      <c r="J59111"/>
    </row>
    <row r="59112" spans="10:10" x14ac:dyDescent="0.3">
      <c r="J59112"/>
    </row>
    <row r="59113" spans="10:10" x14ac:dyDescent="0.3">
      <c r="J59113"/>
    </row>
    <row r="59114" spans="10:10" x14ac:dyDescent="0.3">
      <c r="J59114"/>
    </row>
    <row r="59115" spans="10:10" x14ac:dyDescent="0.3">
      <c r="J59115"/>
    </row>
    <row r="59116" spans="10:10" x14ac:dyDescent="0.3">
      <c r="J59116"/>
    </row>
    <row r="59117" spans="10:10" x14ac:dyDescent="0.3">
      <c r="J59117"/>
    </row>
    <row r="59118" spans="10:10" x14ac:dyDescent="0.3">
      <c r="J59118"/>
    </row>
    <row r="59119" spans="10:10" x14ac:dyDescent="0.3">
      <c r="J59119"/>
    </row>
    <row r="59120" spans="10:10" x14ac:dyDescent="0.3">
      <c r="J59120"/>
    </row>
    <row r="59121" spans="10:10" x14ac:dyDescent="0.3">
      <c r="J59121"/>
    </row>
    <row r="59122" spans="10:10" x14ac:dyDescent="0.3">
      <c r="J59122"/>
    </row>
    <row r="59123" spans="10:10" x14ac:dyDescent="0.3">
      <c r="J59123"/>
    </row>
    <row r="59124" spans="10:10" x14ac:dyDescent="0.3">
      <c r="J59124"/>
    </row>
    <row r="59125" spans="10:10" x14ac:dyDescent="0.3">
      <c r="J59125"/>
    </row>
    <row r="59126" spans="10:10" x14ac:dyDescent="0.3">
      <c r="J59126"/>
    </row>
    <row r="59127" spans="10:10" x14ac:dyDescent="0.3">
      <c r="J59127"/>
    </row>
    <row r="59128" spans="10:10" x14ac:dyDescent="0.3">
      <c r="J59128"/>
    </row>
    <row r="59129" spans="10:10" x14ac:dyDescent="0.3">
      <c r="J59129"/>
    </row>
    <row r="59130" spans="10:10" x14ac:dyDescent="0.3">
      <c r="J59130"/>
    </row>
    <row r="59131" spans="10:10" x14ac:dyDescent="0.3">
      <c r="J59131"/>
    </row>
    <row r="59132" spans="10:10" x14ac:dyDescent="0.3">
      <c r="J59132"/>
    </row>
    <row r="59133" spans="10:10" x14ac:dyDescent="0.3">
      <c r="J59133"/>
    </row>
    <row r="59134" spans="10:10" x14ac:dyDescent="0.3">
      <c r="J59134"/>
    </row>
    <row r="59135" spans="10:10" x14ac:dyDescent="0.3">
      <c r="J59135"/>
    </row>
    <row r="59136" spans="10:10" x14ac:dyDescent="0.3">
      <c r="J59136"/>
    </row>
    <row r="59137" spans="10:10" x14ac:dyDescent="0.3">
      <c r="J59137"/>
    </row>
    <row r="59138" spans="10:10" x14ac:dyDescent="0.3">
      <c r="J59138"/>
    </row>
    <row r="59139" spans="10:10" x14ac:dyDescent="0.3">
      <c r="J59139"/>
    </row>
    <row r="59140" spans="10:10" x14ac:dyDescent="0.3">
      <c r="J59140"/>
    </row>
    <row r="59141" spans="10:10" x14ac:dyDescent="0.3">
      <c r="J59141"/>
    </row>
    <row r="59142" spans="10:10" x14ac:dyDescent="0.3">
      <c r="J59142"/>
    </row>
    <row r="59143" spans="10:10" x14ac:dyDescent="0.3">
      <c r="J59143"/>
    </row>
    <row r="59144" spans="10:10" x14ac:dyDescent="0.3">
      <c r="J59144"/>
    </row>
    <row r="59145" spans="10:10" x14ac:dyDescent="0.3">
      <c r="J59145"/>
    </row>
    <row r="59146" spans="10:10" x14ac:dyDescent="0.3">
      <c r="J59146"/>
    </row>
    <row r="59147" spans="10:10" x14ac:dyDescent="0.3">
      <c r="J59147"/>
    </row>
    <row r="59148" spans="10:10" x14ac:dyDescent="0.3">
      <c r="J59148"/>
    </row>
    <row r="59149" spans="10:10" x14ac:dyDescent="0.3">
      <c r="J59149"/>
    </row>
    <row r="59150" spans="10:10" x14ac:dyDescent="0.3">
      <c r="J59150"/>
    </row>
    <row r="59151" spans="10:10" x14ac:dyDescent="0.3">
      <c r="J59151"/>
    </row>
    <row r="59152" spans="10:10" x14ac:dyDescent="0.3">
      <c r="J59152"/>
    </row>
    <row r="59153" spans="10:10" x14ac:dyDescent="0.3">
      <c r="J59153"/>
    </row>
    <row r="59154" spans="10:10" x14ac:dyDescent="0.3">
      <c r="J59154"/>
    </row>
    <row r="59155" spans="10:10" x14ac:dyDescent="0.3">
      <c r="J59155"/>
    </row>
    <row r="59156" spans="10:10" x14ac:dyDescent="0.3">
      <c r="J59156"/>
    </row>
    <row r="59157" spans="10:10" x14ac:dyDescent="0.3">
      <c r="J59157"/>
    </row>
    <row r="59158" spans="10:10" x14ac:dyDescent="0.3">
      <c r="J59158"/>
    </row>
    <row r="59159" spans="10:10" x14ac:dyDescent="0.3">
      <c r="J59159"/>
    </row>
    <row r="59160" spans="10:10" x14ac:dyDescent="0.3">
      <c r="J59160"/>
    </row>
    <row r="59161" spans="10:10" x14ac:dyDescent="0.3">
      <c r="J59161"/>
    </row>
    <row r="59162" spans="10:10" x14ac:dyDescent="0.3">
      <c r="J59162"/>
    </row>
    <row r="59163" spans="10:10" x14ac:dyDescent="0.3">
      <c r="J59163"/>
    </row>
    <row r="59164" spans="10:10" x14ac:dyDescent="0.3">
      <c r="J59164"/>
    </row>
    <row r="59165" spans="10:10" x14ac:dyDescent="0.3">
      <c r="J59165"/>
    </row>
    <row r="59166" spans="10:10" x14ac:dyDescent="0.3">
      <c r="J59166"/>
    </row>
    <row r="59167" spans="10:10" x14ac:dyDescent="0.3">
      <c r="J59167"/>
    </row>
    <row r="59168" spans="10:10" x14ac:dyDescent="0.3">
      <c r="J59168"/>
    </row>
    <row r="59169" spans="10:10" x14ac:dyDescent="0.3">
      <c r="J59169"/>
    </row>
    <row r="59170" spans="10:10" x14ac:dyDescent="0.3">
      <c r="J59170"/>
    </row>
    <row r="59171" spans="10:10" x14ac:dyDescent="0.3">
      <c r="J59171"/>
    </row>
    <row r="59172" spans="10:10" x14ac:dyDescent="0.3">
      <c r="J59172"/>
    </row>
    <row r="59173" spans="10:10" x14ac:dyDescent="0.3">
      <c r="J59173"/>
    </row>
    <row r="59174" spans="10:10" x14ac:dyDescent="0.3">
      <c r="J59174"/>
    </row>
    <row r="59175" spans="10:10" x14ac:dyDescent="0.3">
      <c r="J59175"/>
    </row>
    <row r="59176" spans="10:10" x14ac:dyDescent="0.3">
      <c r="J59176"/>
    </row>
    <row r="59177" spans="10:10" x14ac:dyDescent="0.3">
      <c r="J59177"/>
    </row>
    <row r="59178" spans="10:10" x14ac:dyDescent="0.3">
      <c r="J59178"/>
    </row>
    <row r="59179" spans="10:10" x14ac:dyDescent="0.3">
      <c r="J59179"/>
    </row>
    <row r="59180" spans="10:10" x14ac:dyDescent="0.3">
      <c r="J59180"/>
    </row>
    <row r="59181" spans="10:10" x14ac:dyDescent="0.3">
      <c r="J59181"/>
    </row>
    <row r="59182" spans="10:10" x14ac:dyDescent="0.3">
      <c r="J59182"/>
    </row>
    <row r="59183" spans="10:10" x14ac:dyDescent="0.3">
      <c r="J59183"/>
    </row>
    <row r="59184" spans="10:10" x14ac:dyDescent="0.3">
      <c r="J59184"/>
    </row>
    <row r="59185" spans="10:10" x14ac:dyDescent="0.3">
      <c r="J59185"/>
    </row>
    <row r="59186" spans="10:10" x14ac:dyDescent="0.3">
      <c r="J59186"/>
    </row>
    <row r="59187" spans="10:10" x14ac:dyDescent="0.3">
      <c r="J59187"/>
    </row>
    <row r="59188" spans="10:10" x14ac:dyDescent="0.3">
      <c r="J59188"/>
    </row>
    <row r="59189" spans="10:10" x14ac:dyDescent="0.3">
      <c r="J59189"/>
    </row>
    <row r="59190" spans="10:10" x14ac:dyDescent="0.3">
      <c r="J59190"/>
    </row>
    <row r="59191" spans="10:10" x14ac:dyDescent="0.3">
      <c r="J59191"/>
    </row>
    <row r="59192" spans="10:10" x14ac:dyDescent="0.3">
      <c r="J59192"/>
    </row>
    <row r="59193" spans="10:10" x14ac:dyDescent="0.3">
      <c r="J59193"/>
    </row>
    <row r="59194" spans="10:10" x14ac:dyDescent="0.3">
      <c r="J59194"/>
    </row>
    <row r="59195" spans="10:10" x14ac:dyDescent="0.3">
      <c r="J59195"/>
    </row>
    <row r="59196" spans="10:10" x14ac:dyDescent="0.3">
      <c r="J59196"/>
    </row>
    <row r="59197" spans="10:10" x14ac:dyDescent="0.3">
      <c r="J59197"/>
    </row>
    <row r="59198" spans="10:10" x14ac:dyDescent="0.3">
      <c r="J59198"/>
    </row>
    <row r="59199" spans="10:10" x14ac:dyDescent="0.3">
      <c r="J59199"/>
    </row>
    <row r="59200" spans="10:10" x14ac:dyDescent="0.3">
      <c r="J59200"/>
    </row>
    <row r="59201" spans="10:10" x14ac:dyDescent="0.3">
      <c r="J59201"/>
    </row>
    <row r="59202" spans="10:10" x14ac:dyDescent="0.3">
      <c r="J59202"/>
    </row>
    <row r="59203" spans="10:10" x14ac:dyDescent="0.3">
      <c r="J59203"/>
    </row>
    <row r="59204" spans="10:10" x14ac:dyDescent="0.3">
      <c r="J59204"/>
    </row>
    <row r="59205" spans="10:10" x14ac:dyDescent="0.3">
      <c r="J59205"/>
    </row>
    <row r="59206" spans="10:10" x14ac:dyDescent="0.3">
      <c r="J59206"/>
    </row>
    <row r="59207" spans="10:10" x14ac:dyDescent="0.3">
      <c r="J59207"/>
    </row>
    <row r="59208" spans="10:10" x14ac:dyDescent="0.3">
      <c r="J59208"/>
    </row>
    <row r="59209" spans="10:10" x14ac:dyDescent="0.3">
      <c r="J59209"/>
    </row>
    <row r="59210" spans="10:10" x14ac:dyDescent="0.3">
      <c r="J59210"/>
    </row>
    <row r="59211" spans="10:10" x14ac:dyDescent="0.3">
      <c r="J59211"/>
    </row>
    <row r="59212" spans="10:10" x14ac:dyDescent="0.3">
      <c r="J59212"/>
    </row>
    <row r="59213" spans="10:10" x14ac:dyDescent="0.3">
      <c r="J59213"/>
    </row>
    <row r="59214" spans="10:10" x14ac:dyDescent="0.3">
      <c r="J59214"/>
    </row>
    <row r="59215" spans="10:10" x14ac:dyDescent="0.3">
      <c r="J59215"/>
    </row>
    <row r="59216" spans="10:10" x14ac:dyDescent="0.3">
      <c r="J59216"/>
    </row>
    <row r="59217" spans="10:10" x14ac:dyDescent="0.3">
      <c r="J59217"/>
    </row>
    <row r="59218" spans="10:10" x14ac:dyDescent="0.3">
      <c r="J59218"/>
    </row>
    <row r="59219" spans="10:10" x14ac:dyDescent="0.3">
      <c r="J59219"/>
    </row>
    <row r="59220" spans="10:10" x14ac:dyDescent="0.3">
      <c r="J59220"/>
    </row>
    <row r="59221" spans="10:10" x14ac:dyDescent="0.3">
      <c r="J59221"/>
    </row>
    <row r="59222" spans="10:10" x14ac:dyDescent="0.3">
      <c r="J59222"/>
    </row>
    <row r="59223" spans="10:10" x14ac:dyDescent="0.3">
      <c r="J59223"/>
    </row>
    <row r="59224" spans="10:10" x14ac:dyDescent="0.3">
      <c r="J59224"/>
    </row>
    <row r="59225" spans="10:10" x14ac:dyDescent="0.3">
      <c r="J59225"/>
    </row>
    <row r="59226" spans="10:10" x14ac:dyDescent="0.3">
      <c r="J59226"/>
    </row>
    <row r="59227" spans="10:10" x14ac:dyDescent="0.3">
      <c r="J59227"/>
    </row>
    <row r="59228" spans="10:10" x14ac:dyDescent="0.3">
      <c r="J59228"/>
    </row>
    <row r="59229" spans="10:10" x14ac:dyDescent="0.3">
      <c r="J59229"/>
    </row>
    <row r="59230" spans="10:10" x14ac:dyDescent="0.3">
      <c r="J59230"/>
    </row>
    <row r="59231" spans="10:10" x14ac:dyDescent="0.3">
      <c r="J59231"/>
    </row>
    <row r="59232" spans="10:10" x14ac:dyDescent="0.3">
      <c r="J59232"/>
    </row>
    <row r="59233" spans="10:10" x14ac:dyDescent="0.3">
      <c r="J59233"/>
    </row>
    <row r="59234" spans="10:10" x14ac:dyDescent="0.3">
      <c r="J59234"/>
    </row>
    <row r="59235" spans="10:10" x14ac:dyDescent="0.3">
      <c r="J59235"/>
    </row>
    <row r="59236" spans="10:10" x14ac:dyDescent="0.3">
      <c r="J59236"/>
    </row>
    <row r="59237" spans="10:10" x14ac:dyDescent="0.3">
      <c r="J59237"/>
    </row>
    <row r="59238" spans="10:10" x14ac:dyDescent="0.3">
      <c r="J59238"/>
    </row>
    <row r="59239" spans="10:10" x14ac:dyDescent="0.3">
      <c r="J59239"/>
    </row>
    <row r="59240" spans="10:10" x14ac:dyDescent="0.3">
      <c r="J59240"/>
    </row>
    <row r="59241" spans="10:10" x14ac:dyDescent="0.3">
      <c r="J59241"/>
    </row>
    <row r="59242" spans="10:10" x14ac:dyDescent="0.3">
      <c r="J59242"/>
    </row>
    <row r="59243" spans="10:10" x14ac:dyDescent="0.3">
      <c r="J59243"/>
    </row>
    <row r="59244" spans="10:10" x14ac:dyDescent="0.3">
      <c r="J59244"/>
    </row>
    <row r="59245" spans="10:10" x14ac:dyDescent="0.3">
      <c r="J59245"/>
    </row>
    <row r="59246" spans="10:10" x14ac:dyDescent="0.3">
      <c r="J59246"/>
    </row>
    <row r="59247" spans="10:10" x14ac:dyDescent="0.3">
      <c r="J59247"/>
    </row>
    <row r="59248" spans="10:10" x14ac:dyDescent="0.3">
      <c r="J59248"/>
    </row>
    <row r="59249" spans="10:10" x14ac:dyDescent="0.3">
      <c r="J59249"/>
    </row>
    <row r="59250" spans="10:10" x14ac:dyDescent="0.3">
      <c r="J59250"/>
    </row>
    <row r="59251" spans="10:10" x14ac:dyDescent="0.3">
      <c r="J59251"/>
    </row>
    <row r="59252" spans="10:10" x14ac:dyDescent="0.3">
      <c r="J59252"/>
    </row>
    <row r="59253" spans="10:10" x14ac:dyDescent="0.3">
      <c r="J59253"/>
    </row>
    <row r="59254" spans="10:10" x14ac:dyDescent="0.3">
      <c r="J59254"/>
    </row>
    <row r="59255" spans="10:10" x14ac:dyDescent="0.3">
      <c r="J59255"/>
    </row>
    <row r="59256" spans="10:10" x14ac:dyDescent="0.3">
      <c r="J59256"/>
    </row>
    <row r="59257" spans="10:10" x14ac:dyDescent="0.3">
      <c r="J59257"/>
    </row>
    <row r="59258" spans="10:10" x14ac:dyDescent="0.3">
      <c r="J59258"/>
    </row>
    <row r="59259" spans="10:10" x14ac:dyDescent="0.3">
      <c r="J59259"/>
    </row>
    <row r="59260" spans="10:10" x14ac:dyDescent="0.3">
      <c r="J59260"/>
    </row>
    <row r="59261" spans="10:10" x14ac:dyDescent="0.3">
      <c r="J59261"/>
    </row>
    <row r="59262" spans="10:10" x14ac:dyDescent="0.3">
      <c r="J59262"/>
    </row>
    <row r="59263" spans="10:10" x14ac:dyDescent="0.3">
      <c r="J59263"/>
    </row>
    <row r="59264" spans="10:10" x14ac:dyDescent="0.3">
      <c r="J59264"/>
    </row>
    <row r="59265" spans="10:10" x14ac:dyDescent="0.3">
      <c r="J59265"/>
    </row>
    <row r="59266" spans="10:10" x14ac:dyDescent="0.3">
      <c r="J59266"/>
    </row>
    <row r="59267" spans="10:10" x14ac:dyDescent="0.3">
      <c r="J59267"/>
    </row>
    <row r="59268" spans="10:10" x14ac:dyDescent="0.3">
      <c r="J59268"/>
    </row>
    <row r="59269" spans="10:10" x14ac:dyDescent="0.3">
      <c r="J59269"/>
    </row>
    <row r="59270" spans="10:10" x14ac:dyDescent="0.3">
      <c r="J59270"/>
    </row>
    <row r="59271" spans="10:10" x14ac:dyDescent="0.3">
      <c r="J59271"/>
    </row>
    <row r="59272" spans="10:10" x14ac:dyDescent="0.3">
      <c r="J59272"/>
    </row>
    <row r="59273" spans="10:10" x14ac:dyDescent="0.3">
      <c r="J59273"/>
    </row>
    <row r="59274" spans="10:10" x14ac:dyDescent="0.3">
      <c r="J59274"/>
    </row>
    <row r="59275" spans="10:10" x14ac:dyDescent="0.3">
      <c r="J59275"/>
    </row>
    <row r="59276" spans="10:10" x14ac:dyDescent="0.3">
      <c r="J59276"/>
    </row>
    <row r="59277" spans="10:10" x14ac:dyDescent="0.3">
      <c r="J59277"/>
    </row>
    <row r="59278" spans="10:10" x14ac:dyDescent="0.3">
      <c r="J59278"/>
    </row>
    <row r="59279" spans="10:10" x14ac:dyDescent="0.3">
      <c r="J59279"/>
    </row>
    <row r="59280" spans="10:10" x14ac:dyDescent="0.3">
      <c r="J59280"/>
    </row>
    <row r="59281" spans="10:10" x14ac:dyDescent="0.3">
      <c r="J59281"/>
    </row>
    <row r="59282" spans="10:10" x14ac:dyDescent="0.3">
      <c r="J59282"/>
    </row>
    <row r="59283" spans="10:10" x14ac:dyDescent="0.3">
      <c r="J59283"/>
    </row>
    <row r="59284" spans="10:10" x14ac:dyDescent="0.3">
      <c r="J59284"/>
    </row>
    <row r="59285" spans="10:10" x14ac:dyDescent="0.3">
      <c r="J59285"/>
    </row>
    <row r="59286" spans="10:10" x14ac:dyDescent="0.3">
      <c r="J59286"/>
    </row>
    <row r="59287" spans="10:10" x14ac:dyDescent="0.3">
      <c r="J59287"/>
    </row>
    <row r="59288" spans="10:10" x14ac:dyDescent="0.3">
      <c r="J59288"/>
    </row>
    <row r="59289" spans="10:10" x14ac:dyDescent="0.3">
      <c r="J59289"/>
    </row>
    <row r="59290" spans="10:10" x14ac:dyDescent="0.3">
      <c r="J59290"/>
    </row>
    <row r="59291" spans="10:10" x14ac:dyDescent="0.3">
      <c r="J59291"/>
    </row>
    <row r="59292" spans="10:10" x14ac:dyDescent="0.3">
      <c r="J59292"/>
    </row>
    <row r="59293" spans="10:10" x14ac:dyDescent="0.3">
      <c r="J59293"/>
    </row>
    <row r="59294" spans="10:10" x14ac:dyDescent="0.3">
      <c r="J59294"/>
    </row>
    <row r="59295" spans="10:10" x14ac:dyDescent="0.3">
      <c r="J59295"/>
    </row>
    <row r="59296" spans="10:10" x14ac:dyDescent="0.3">
      <c r="J59296"/>
    </row>
    <row r="59297" spans="10:10" x14ac:dyDescent="0.3">
      <c r="J59297"/>
    </row>
    <row r="59298" spans="10:10" x14ac:dyDescent="0.3">
      <c r="J59298"/>
    </row>
    <row r="59299" spans="10:10" x14ac:dyDescent="0.3">
      <c r="J59299"/>
    </row>
    <row r="59300" spans="10:10" x14ac:dyDescent="0.3">
      <c r="J59300"/>
    </row>
    <row r="59301" spans="10:10" x14ac:dyDescent="0.3">
      <c r="J59301"/>
    </row>
    <row r="59302" spans="10:10" x14ac:dyDescent="0.3">
      <c r="J59302"/>
    </row>
    <row r="59303" spans="10:10" x14ac:dyDescent="0.3">
      <c r="J59303"/>
    </row>
    <row r="59304" spans="10:10" x14ac:dyDescent="0.3">
      <c r="J59304"/>
    </row>
    <row r="59305" spans="10:10" x14ac:dyDescent="0.3">
      <c r="J59305"/>
    </row>
    <row r="59306" spans="10:10" x14ac:dyDescent="0.3">
      <c r="J59306"/>
    </row>
    <row r="59307" spans="10:10" x14ac:dyDescent="0.3">
      <c r="J59307"/>
    </row>
    <row r="59308" spans="10:10" x14ac:dyDescent="0.3">
      <c r="J59308"/>
    </row>
    <row r="59309" spans="10:10" x14ac:dyDescent="0.3">
      <c r="J59309"/>
    </row>
    <row r="59310" spans="10:10" x14ac:dyDescent="0.3">
      <c r="J59310"/>
    </row>
    <row r="59311" spans="10:10" x14ac:dyDescent="0.3">
      <c r="J59311"/>
    </row>
    <row r="59312" spans="10:10" x14ac:dyDescent="0.3">
      <c r="J59312"/>
    </row>
    <row r="59313" spans="10:10" x14ac:dyDescent="0.3">
      <c r="J59313"/>
    </row>
    <row r="59314" spans="10:10" x14ac:dyDescent="0.3">
      <c r="J59314"/>
    </row>
    <row r="59315" spans="10:10" x14ac:dyDescent="0.3">
      <c r="J59315"/>
    </row>
    <row r="59316" spans="10:10" x14ac:dyDescent="0.3">
      <c r="J59316"/>
    </row>
    <row r="59317" spans="10:10" x14ac:dyDescent="0.3">
      <c r="J59317"/>
    </row>
    <row r="59318" spans="10:10" x14ac:dyDescent="0.3">
      <c r="J59318"/>
    </row>
    <row r="59319" spans="10:10" x14ac:dyDescent="0.3">
      <c r="J59319"/>
    </row>
    <row r="59320" spans="10:10" x14ac:dyDescent="0.3">
      <c r="J59320"/>
    </row>
    <row r="59321" spans="10:10" x14ac:dyDescent="0.3">
      <c r="J59321"/>
    </row>
    <row r="59322" spans="10:10" x14ac:dyDescent="0.3">
      <c r="J59322"/>
    </row>
    <row r="59323" spans="10:10" x14ac:dyDescent="0.3">
      <c r="J59323"/>
    </row>
    <row r="59324" spans="10:10" x14ac:dyDescent="0.3">
      <c r="J59324"/>
    </row>
    <row r="59325" spans="10:10" x14ac:dyDescent="0.3">
      <c r="J59325"/>
    </row>
    <row r="59326" spans="10:10" x14ac:dyDescent="0.3">
      <c r="J59326"/>
    </row>
    <row r="59327" spans="10:10" x14ac:dyDescent="0.3">
      <c r="J59327"/>
    </row>
    <row r="59328" spans="10:10" x14ac:dyDescent="0.3">
      <c r="J59328"/>
    </row>
    <row r="59329" spans="10:10" x14ac:dyDescent="0.3">
      <c r="J59329"/>
    </row>
    <row r="59330" spans="10:10" x14ac:dyDescent="0.3">
      <c r="J59330"/>
    </row>
    <row r="59331" spans="10:10" x14ac:dyDescent="0.3">
      <c r="J59331"/>
    </row>
    <row r="59332" spans="10:10" x14ac:dyDescent="0.3">
      <c r="J59332"/>
    </row>
    <row r="59333" spans="10:10" x14ac:dyDescent="0.3">
      <c r="J59333"/>
    </row>
    <row r="59334" spans="10:10" x14ac:dyDescent="0.3">
      <c r="J59334"/>
    </row>
    <row r="59335" spans="10:10" x14ac:dyDescent="0.3">
      <c r="J59335"/>
    </row>
    <row r="59336" spans="10:10" x14ac:dyDescent="0.3">
      <c r="J59336"/>
    </row>
    <row r="59337" spans="10:10" x14ac:dyDescent="0.3">
      <c r="J59337"/>
    </row>
    <row r="59338" spans="10:10" x14ac:dyDescent="0.3">
      <c r="J59338"/>
    </row>
    <row r="59339" spans="10:10" x14ac:dyDescent="0.3">
      <c r="J59339"/>
    </row>
    <row r="59340" spans="10:10" x14ac:dyDescent="0.3">
      <c r="J59340"/>
    </row>
    <row r="59341" spans="10:10" x14ac:dyDescent="0.3">
      <c r="J59341"/>
    </row>
    <row r="59342" spans="10:10" x14ac:dyDescent="0.3">
      <c r="J59342"/>
    </row>
    <row r="59343" spans="10:10" x14ac:dyDescent="0.3">
      <c r="J59343"/>
    </row>
    <row r="59344" spans="10:10" x14ac:dyDescent="0.3">
      <c r="J59344"/>
    </row>
    <row r="59345" spans="10:10" x14ac:dyDescent="0.3">
      <c r="J59345"/>
    </row>
    <row r="59346" spans="10:10" x14ac:dyDescent="0.3">
      <c r="J59346"/>
    </row>
    <row r="59347" spans="10:10" x14ac:dyDescent="0.3">
      <c r="J59347"/>
    </row>
    <row r="59348" spans="10:10" x14ac:dyDescent="0.3">
      <c r="J59348"/>
    </row>
    <row r="59349" spans="10:10" x14ac:dyDescent="0.3">
      <c r="J59349"/>
    </row>
    <row r="59350" spans="10:10" x14ac:dyDescent="0.3">
      <c r="J59350"/>
    </row>
    <row r="59351" spans="10:10" x14ac:dyDescent="0.3">
      <c r="J59351"/>
    </row>
    <row r="59352" spans="10:10" x14ac:dyDescent="0.3">
      <c r="J59352"/>
    </row>
    <row r="59353" spans="10:10" x14ac:dyDescent="0.3">
      <c r="J59353"/>
    </row>
    <row r="59354" spans="10:10" x14ac:dyDescent="0.3">
      <c r="J59354"/>
    </row>
    <row r="59355" spans="10:10" x14ac:dyDescent="0.3">
      <c r="J59355"/>
    </row>
    <row r="59356" spans="10:10" x14ac:dyDescent="0.3">
      <c r="J59356"/>
    </row>
    <row r="59357" spans="10:10" x14ac:dyDescent="0.3">
      <c r="J59357"/>
    </row>
    <row r="59358" spans="10:10" x14ac:dyDescent="0.3">
      <c r="J59358"/>
    </row>
    <row r="59359" spans="10:10" x14ac:dyDescent="0.3">
      <c r="J59359"/>
    </row>
    <row r="59360" spans="10:10" x14ac:dyDescent="0.3">
      <c r="J59360"/>
    </row>
    <row r="59361" spans="10:10" x14ac:dyDescent="0.3">
      <c r="J59361"/>
    </row>
    <row r="59362" spans="10:10" x14ac:dyDescent="0.3">
      <c r="J59362"/>
    </row>
    <row r="59363" spans="10:10" x14ac:dyDescent="0.3">
      <c r="J59363"/>
    </row>
    <row r="59364" spans="10:10" x14ac:dyDescent="0.3">
      <c r="J59364"/>
    </row>
    <row r="59365" spans="10:10" x14ac:dyDescent="0.3">
      <c r="J59365"/>
    </row>
    <row r="59366" spans="10:10" x14ac:dyDescent="0.3">
      <c r="J59366"/>
    </row>
    <row r="59367" spans="10:10" x14ac:dyDescent="0.3">
      <c r="J59367"/>
    </row>
    <row r="59368" spans="10:10" x14ac:dyDescent="0.3">
      <c r="J59368"/>
    </row>
    <row r="59369" spans="10:10" x14ac:dyDescent="0.3">
      <c r="J59369"/>
    </row>
    <row r="59370" spans="10:10" x14ac:dyDescent="0.3">
      <c r="J59370"/>
    </row>
    <row r="59371" spans="10:10" x14ac:dyDescent="0.3">
      <c r="J59371"/>
    </row>
    <row r="59372" spans="10:10" x14ac:dyDescent="0.3">
      <c r="J59372"/>
    </row>
    <row r="59373" spans="10:10" x14ac:dyDescent="0.3">
      <c r="J59373"/>
    </row>
    <row r="59374" spans="10:10" x14ac:dyDescent="0.3">
      <c r="J59374"/>
    </row>
    <row r="59375" spans="10:10" x14ac:dyDescent="0.3">
      <c r="J59375"/>
    </row>
    <row r="59376" spans="10:10" x14ac:dyDescent="0.3">
      <c r="J59376"/>
    </row>
    <row r="59377" spans="10:10" x14ac:dyDescent="0.3">
      <c r="J59377"/>
    </row>
    <row r="59378" spans="10:10" x14ac:dyDescent="0.3">
      <c r="J59378"/>
    </row>
    <row r="59379" spans="10:10" x14ac:dyDescent="0.3">
      <c r="J59379"/>
    </row>
    <row r="59380" spans="10:10" x14ac:dyDescent="0.3">
      <c r="J59380"/>
    </row>
    <row r="59381" spans="10:10" x14ac:dyDescent="0.3">
      <c r="J59381"/>
    </row>
    <row r="59382" spans="10:10" x14ac:dyDescent="0.3">
      <c r="J59382"/>
    </row>
    <row r="59383" spans="10:10" x14ac:dyDescent="0.3">
      <c r="J59383"/>
    </row>
    <row r="59384" spans="10:10" x14ac:dyDescent="0.3">
      <c r="J59384"/>
    </row>
    <row r="59385" spans="10:10" x14ac:dyDescent="0.3">
      <c r="J59385"/>
    </row>
    <row r="59386" spans="10:10" x14ac:dyDescent="0.3">
      <c r="J59386"/>
    </row>
    <row r="59387" spans="10:10" x14ac:dyDescent="0.3">
      <c r="J59387"/>
    </row>
    <row r="59388" spans="10:10" x14ac:dyDescent="0.3">
      <c r="J59388"/>
    </row>
    <row r="59389" spans="10:10" x14ac:dyDescent="0.3">
      <c r="J59389"/>
    </row>
    <row r="59390" spans="10:10" x14ac:dyDescent="0.3">
      <c r="J59390"/>
    </row>
    <row r="59391" spans="10:10" x14ac:dyDescent="0.3">
      <c r="J59391"/>
    </row>
    <row r="59392" spans="10:10" x14ac:dyDescent="0.3">
      <c r="J59392"/>
    </row>
    <row r="59393" spans="10:10" x14ac:dyDescent="0.3">
      <c r="J59393"/>
    </row>
    <row r="59394" spans="10:10" x14ac:dyDescent="0.3">
      <c r="J59394"/>
    </row>
    <row r="59395" spans="10:10" x14ac:dyDescent="0.3">
      <c r="J59395"/>
    </row>
    <row r="59396" spans="10:10" x14ac:dyDescent="0.3">
      <c r="J59396"/>
    </row>
    <row r="59397" spans="10:10" x14ac:dyDescent="0.3">
      <c r="J59397"/>
    </row>
    <row r="59398" spans="10:10" x14ac:dyDescent="0.3">
      <c r="J59398"/>
    </row>
    <row r="59399" spans="10:10" x14ac:dyDescent="0.3">
      <c r="J59399"/>
    </row>
    <row r="59400" spans="10:10" x14ac:dyDescent="0.3">
      <c r="J59400"/>
    </row>
    <row r="59401" spans="10:10" x14ac:dyDescent="0.3">
      <c r="J59401"/>
    </row>
    <row r="59402" spans="10:10" x14ac:dyDescent="0.3">
      <c r="J59402"/>
    </row>
    <row r="59403" spans="10:10" x14ac:dyDescent="0.3">
      <c r="J59403"/>
    </row>
    <row r="59404" spans="10:10" x14ac:dyDescent="0.3">
      <c r="J59404"/>
    </row>
    <row r="59405" spans="10:10" x14ac:dyDescent="0.3">
      <c r="J59405"/>
    </row>
    <row r="59406" spans="10:10" x14ac:dyDescent="0.3">
      <c r="J59406"/>
    </row>
    <row r="59407" spans="10:10" x14ac:dyDescent="0.3">
      <c r="J59407"/>
    </row>
    <row r="59408" spans="10:10" x14ac:dyDescent="0.3">
      <c r="J59408"/>
    </row>
    <row r="59409" spans="10:10" x14ac:dyDescent="0.3">
      <c r="J59409"/>
    </row>
    <row r="59410" spans="10:10" x14ac:dyDescent="0.3">
      <c r="J59410"/>
    </row>
    <row r="59411" spans="10:10" x14ac:dyDescent="0.3">
      <c r="J59411"/>
    </row>
    <row r="59412" spans="10:10" x14ac:dyDescent="0.3">
      <c r="J59412"/>
    </row>
    <row r="59413" spans="10:10" x14ac:dyDescent="0.3">
      <c r="J59413"/>
    </row>
    <row r="59414" spans="10:10" x14ac:dyDescent="0.3">
      <c r="J59414"/>
    </row>
    <row r="59415" spans="10:10" x14ac:dyDescent="0.3">
      <c r="J59415"/>
    </row>
    <row r="59416" spans="10:10" x14ac:dyDescent="0.3">
      <c r="J59416"/>
    </row>
    <row r="59417" spans="10:10" x14ac:dyDescent="0.3">
      <c r="J59417"/>
    </row>
    <row r="59418" spans="10:10" x14ac:dyDescent="0.3">
      <c r="J59418"/>
    </row>
    <row r="59419" spans="10:10" x14ac:dyDescent="0.3">
      <c r="J59419"/>
    </row>
    <row r="59420" spans="10:10" x14ac:dyDescent="0.3">
      <c r="J59420"/>
    </row>
    <row r="59421" spans="10:10" x14ac:dyDescent="0.3">
      <c r="J59421"/>
    </row>
    <row r="59422" spans="10:10" x14ac:dyDescent="0.3">
      <c r="J59422"/>
    </row>
    <row r="59423" spans="10:10" x14ac:dyDescent="0.3">
      <c r="J59423"/>
    </row>
    <row r="59424" spans="10:10" x14ac:dyDescent="0.3">
      <c r="J59424"/>
    </row>
    <row r="59425" spans="10:10" x14ac:dyDescent="0.3">
      <c r="J59425"/>
    </row>
    <row r="59426" spans="10:10" x14ac:dyDescent="0.3">
      <c r="J59426"/>
    </row>
    <row r="59427" spans="10:10" x14ac:dyDescent="0.3">
      <c r="J59427"/>
    </row>
    <row r="59428" spans="10:10" x14ac:dyDescent="0.3">
      <c r="J59428"/>
    </row>
    <row r="59429" spans="10:10" x14ac:dyDescent="0.3">
      <c r="J59429"/>
    </row>
    <row r="59430" spans="10:10" x14ac:dyDescent="0.3">
      <c r="J59430"/>
    </row>
    <row r="59431" spans="10:10" x14ac:dyDescent="0.3">
      <c r="J59431"/>
    </row>
    <row r="59432" spans="10:10" x14ac:dyDescent="0.3">
      <c r="J59432"/>
    </row>
    <row r="59433" spans="10:10" x14ac:dyDescent="0.3">
      <c r="J59433"/>
    </row>
    <row r="59434" spans="10:10" x14ac:dyDescent="0.3">
      <c r="J59434"/>
    </row>
    <row r="59435" spans="10:10" x14ac:dyDescent="0.3">
      <c r="J59435"/>
    </row>
    <row r="59436" spans="10:10" x14ac:dyDescent="0.3">
      <c r="J59436"/>
    </row>
    <row r="59437" spans="10:10" x14ac:dyDescent="0.3">
      <c r="J59437"/>
    </row>
    <row r="59438" spans="10:10" x14ac:dyDescent="0.3">
      <c r="J59438"/>
    </row>
    <row r="59439" spans="10:10" x14ac:dyDescent="0.3">
      <c r="J59439"/>
    </row>
    <row r="59440" spans="10:10" x14ac:dyDescent="0.3">
      <c r="J59440"/>
    </row>
    <row r="59441" spans="10:10" x14ac:dyDescent="0.3">
      <c r="J59441"/>
    </row>
    <row r="59442" spans="10:10" x14ac:dyDescent="0.3">
      <c r="J59442"/>
    </row>
    <row r="59443" spans="10:10" x14ac:dyDescent="0.3">
      <c r="J59443"/>
    </row>
    <row r="59444" spans="10:10" x14ac:dyDescent="0.3">
      <c r="J59444"/>
    </row>
    <row r="59445" spans="10:10" x14ac:dyDescent="0.3">
      <c r="J59445"/>
    </row>
    <row r="59446" spans="10:10" x14ac:dyDescent="0.3">
      <c r="J59446"/>
    </row>
    <row r="59447" spans="10:10" x14ac:dyDescent="0.3">
      <c r="J59447"/>
    </row>
    <row r="59448" spans="10:10" x14ac:dyDescent="0.3">
      <c r="J59448"/>
    </row>
    <row r="59449" spans="10:10" x14ac:dyDescent="0.3">
      <c r="J59449"/>
    </row>
    <row r="59450" spans="10:10" x14ac:dyDescent="0.3">
      <c r="J59450"/>
    </row>
    <row r="59451" spans="10:10" x14ac:dyDescent="0.3">
      <c r="J59451"/>
    </row>
    <row r="59452" spans="10:10" x14ac:dyDescent="0.3">
      <c r="J59452"/>
    </row>
    <row r="59453" spans="10:10" x14ac:dyDescent="0.3">
      <c r="J59453"/>
    </row>
    <row r="59454" spans="10:10" x14ac:dyDescent="0.3">
      <c r="J59454"/>
    </row>
    <row r="59455" spans="10:10" x14ac:dyDescent="0.3">
      <c r="J59455"/>
    </row>
    <row r="59456" spans="10:10" x14ac:dyDescent="0.3">
      <c r="J59456"/>
    </row>
    <row r="59457" spans="10:10" x14ac:dyDescent="0.3">
      <c r="J59457"/>
    </row>
    <row r="59458" spans="10:10" x14ac:dyDescent="0.3">
      <c r="J59458"/>
    </row>
    <row r="59459" spans="10:10" x14ac:dyDescent="0.3">
      <c r="J59459"/>
    </row>
    <row r="59460" spans="10:10" x14ac:dyDescent="0.3">
      <c r="J59460"/>
    </row>
    <row r="59461" spans="10:10" x14ac:dyDescent="0.3">
      <c r="J59461"/>
    </row>
    <row r="59462" spans="10:10" x14ac:dyDescent="0.3">
      <c r="J59462"/>
    </row>
    <row r="59463" spans="10:10" x14ac:dyDescent="0.3">
      <c r="J59463"/>
    </row>
    <row r="59464" spans="10:10" x14ac:dyDescent="0.3">
      <c r="J59464"/>
    </row>
    <row r="59465" spans="10:10" x14ac:dyDescent="0.3">
      <c r="J59465"/>
    </row>
    <row r="59466" spans="10:10" x14ac:dyDescent="0.3">
      <c r="J59466"/>
    </row>
    <row r="59467" spans="10:10" x14ac:dyDescent="0.3">
      <c r="J59467"/>
    </row>
    <row r="59468" spans="10:10" x14ac:dyDescent="0.3">
      <c r="J59468"/>
    </row>
    <row r="59469" spans="10:10" x14ac:dyDescent="0.3">
      <c r="J59469"/>
    </row>
    <row r="59470" spans="10:10" x14ac:dyDescent="0.3">
      <c r="J59470"/>
    </row>
    <row r="59471" spans="10:10" x14ac:dyDescent="0.3">
      <c r="J59471"/>
    </row>
    <row r="59472" spans="10:10" x14ac:dyDescent="0.3">
      <c r="J59472"/>
    </row>
    <row r="59473" spans="10:10" x14ac:dyDescent="0.3">
      <c r="J59473"/>
    </row>
    <row r="59474" spans="10:10" x14ac:dyDescent="0.3">
      <c r="J59474"/>
    </row>
    <row r="59475" spans="10:10" x14ac:dyDescent="0.3">
      <c r="J59475"/>
    </row>
    <row r="59476" spans="10:10" x14ac:dyDescent="0.3">
      <c r="J59476"/>
    </row>
    <row r="59477" spans="10:10" x14ac:dyDescent="0.3">
      <c r="J59477"/>
    </row>
    <row r="59478" spans="10:10" x14ac:dyDescent="0.3">
      <c r="J59478"/>
    </row>
    <row r="59479" spans="10:10" x14ac:dyDescent="0.3">
      <c r="J59479"/>
    </row>
    <row r="59480" spans="10:10" x14ac:dyDescent="0.3">
      <c r="J59480"/>
    </row>
    <row r="59481" spans="10:10" x14ac:dyDescent="0.3">
      <c r="J59481"/>
    </row>
    <row r="59482" spans="10:10" x14ac:dyDescent="0.3">
      <c r="J59482"/>
    </row>
    <row r="59483" spans="10:10" x14ac:dyDescent="0.3">
      <c r="J59483"/>
    </row>
    <row r="59484" spans="10:10" x14ac:dyDescent="0.3">
      <c r="J59484"/>
    </row>
    <row r="59485" spans="10:10" x14ac:dyDescent="0.3">
      <c r="J59485"/>
    </row>
    <row r="59486" spans="10:10" x14ac:dyDescent="0.3">
      <c r="J59486"/>
    </row>
    <row r="59487" spans="10:10" x14ac:dyDescent="0.3">
      <c r="J59487"/>
    </row>
    <row r="59488" spans="10:10" x14ac:dyDescent="0.3">
      <c r="J59488"/>
    </row>
    <row r="59489" spans="10:10" x14ac:dyDescent="0.3">
      <c r="J59489"/>
    </row>
    <row r="59490" spans="10:10" x14ac:dyDescent="0.3">
      <c r="J59490"/>
    </row>
    <row r="59491" spans="10:10" x14ac:dyDescent="0.3">
      <c r="J59491"/>
    </row>
    <row r="59492" spans="10:10" x14ac:dyDescent="0.3">
      <c r="J59492"/>
    </row>
    <row r="59493" spans="10:10" x14ac:dyDescent="0.3">
      <c r="J59493"/>
    </row>
    <row r="59494" spans="10:10" x14ac:dyDescent="0.3">
      <c r="J59494"/>
    </row>
    <row r="59495" spans="10:10" x14ac:dyDescent="0.3">
      <c r="J59495"/>
    </row>
    <row r="59496" spans="10:10" x14ac:dyDescent="0.3">
      <c r="J59496"/>
    </row>
    <row r="59497" spans="10:10" x14ac:dyDescent="0.3">
      <c r="J59497"/>
    </row>
    <row r="59498" spans="10:10" x14ac:dyDescent="0.3">
      <c r="J59498"/>
    </row>
    <row r="59499" spans="10:10" x14ac:dyDescent="0.3">
      <c r="J59499"/>
    </row>
    <row r="59500" spans="10:10" x14ac:dyDescent="0.3">
      <c r="J59500"/>
    </row>
    <row r="59501" spans="10:10" x14ac:dyDescent="0.3">
      <c r="J59501"/>
    </row>
    <row r="59502" spans="10:10" x14ac:dyDescent="0.3">
      <c r="J59502"/>
    </row>
    <row r="59503" spans="10:10" x14ac:dyDescent="0.3">
      <c r="J59503"/>
    </row>
    <row r="59504" spans="10:10" x14ac:dyDescent="0.3">
      <c r="J59504"/>
    </row>
    <row r="59505" spans="10:10" x14ac:dyDescent="0.3">
      <c r="J59505"/>
    </row>
    <row r="59506" spans="10:10" x14ac:dyDescent="0.3">
      <c r="J59506"/>
    </row>
    <row r="59507" spans="10:10" x14ac:dyDescent="0.3">
      <c r="J59507"/>
    </row>
    <row r="59508" spans="10:10" x14ac:dyDescent="0.3">
      <c r="J59508"/>
    </row>
    <row r="59509" spans="10:10" x14ac:dyDescent="0.3">
      <c r="J59509"/>
    </row>
    <row r="59510" spans="10:10" x14ac:dyDescent="0.3">
      <c r="J59510"/>
    </row>
    <row r="59511" spans="10:10" x14ac:dyDescent="0.3">
      <c r="J59511"/>
    </row>
    <row r="59512" spans="10:10" x14ac:dyDescent="0.3">
      <c r="J59512"/>
    </row>
    <row r="59513" spans="10:10" x14ac:dyDescent="0.3">
      <c r="J59513"/>
    </row>
    <row r="59514" spans="10:10" x14ac:dyDescent="0.3">
      <c r="J59514"/>
    </row>
    <row r="59515" spans="10:10" x14ac:dyDescent="0.3">
      <c r="J59515"/>
    </row>
    <row r="59516" spans="10:10" x14ac:dyDescent="0.3">
      <c r="J59516"/>
    </row>
    <row r="59517" spans="10:10" x14ac:dyDescent="0.3">
      <c r="J59517"/>
    </row>
    <row r="59518" spans="10:10" x14ac:dyDescent="0.3">
      <c r="J59518"/>
    </row>
    <row r="59519" spans="10:10" x14ac:dyDescent="0.3">
      <c r="J59519"/>
    </row>
    <row r="59520" spans="10:10" x14ac:dyDescent="0.3">
      <c r="J59520"/>
    </row>
    <row r="59521" spans="10:10" x14ac:dyDescent="0.3">
      <c r="J59521"/>
    </row>
    <row r="59522" spans="10:10" x14ac:dyDescent="0.3">
      <c r="J59522"/>
    </row>
    <row r="59523" spans="10:10" x14ac:dyDescent="0.3">
      <c r="J59523"/>
    </row>
    <row r="59524" spans="10:10" x14ac:dyDescent="0.3">
      <c r="J59524"/>
    </row>
    <row r="59525" spans="10:10" x14ac:dyDescent="0.3">
      <c r="J59525"/>
    </row>
    <row r="59526" spans="10:10" x14ac:dyDescent="0.3">
      <c r="J59526"/>
    </row>
    <row r="59527" spans="10:10" x14ac:dyDescent="0.3">
      <c r="J59527"/>
    </row>
    <row r="59528" spans="10:10" x14ac:dyDescent="0.3">
      <c r="J59528"/>
    </row>
    <row r="59529" spans="10:10" x14ac:dyDescent="0.3">
      <c r="J59529"/>
    </row>
    <row r="59530" spans="10:10" x14ac:dyDescent="0.3">
      <c r="J59530"/>
    </row>
    <row r="59531" spans="10:10" x14ac:dyDescent="0.3">
      <c r="J59531"/>
    </row>
    <row r="59532" spans="10:10" x14ac:dyDescent="0.3">
      <c r="J59532"/>
    </row>
    <row r="59533" spans="10:10" x14ac:dyDescent="0.3">
      <c r="J59533"/>
    </row>
    <row r="59534" spans="10:10" x14ac:dyDescent="0.3">
      <c r="J59534"/>
    </row>
    <row r="59535" spans="10:10" x14ac:dyDescent="0.3">
      <c r="J59535"/>
    </row>
    <row r="59536" spans="10:10" x14ac:dyDescent="0.3">
      <c r="J59536"/>
    </row>
    <row r="59537" spans="10:10" x14ac:dyDescent="0.3">
      <c r="J59537"/>
    </row>
    <row r="59538" spans="10:10" x14ac:dyDescent="0.3">
      <c r="J59538"/>
    </row>
    <row r="59539" spans="10:10" x14ac:dyDescent="0.3">
      <c r="J59539"/>
    </row>
    <row r="59540" spans="10:10" x14ac:dyDescent="0.3">
      <c r="J59540"/>
    </row>
    <row r="59541" spans="10:10" x14ac:dyDescent="0.3">
      <c r="J59541"/>
    </row>
    <row r="59542" spans="10:10" x14ac:dyDescent="0.3">
      <c r="J59542"/>
    </row>
    <row r="59543" spans="10:10" x14ac:dyDescent="0.3">
      <c r="J59543"/>
    </row>
    <row r="59544" spans="10:10" x14ac:dyDescent="0.3">
      <c r="J59544"/>
    </row>
    <row r="59545" spans="10:10" x14ac:dyDescent="0.3">
      <c r="J59545"/>
    </row>
    <row r="59546" spans="10:10" x14ac:dyDescent="0.3">
      <c r="J59546"/>
    </row>
    <row r="59547" spans="10:10" x14ac:dyDescent="0.3">
      <c r="J59547"/>
    </row>
    <row r="59548" spans="10:10" x14ac:dyDescent="0.3">
      <c r="J59548"/>
    </row>
    <row r="59549" spans="10:10" x14ac:dyDescent="0.3">
      <c r="J59549"/>
    </row>
    <row r="59550" spans="10:10" x14ac:dyDescent="0.3">
      <c r="J59550"/>
    </row>
    <row r="59551" spans="10:10" x14ac:dyDescent="0.3">
      <c r="J59551"/>
    </row>
    <row r="59552" spans="10:10" x14ac:dyDescent="0.3">
      <c r="J59552"/>
    </row>
    <row r="59553" spans="10:10" x14ac:dyDescent="0.3">
      <c r="J59553"/>
    </row>
    <row r="59554" spans="10:10" x14ac:dyDescent="0.3">
      <c r="J59554"/>
    </row>
    <row r="59555" spans="10:10" x14ac:dyDescent="0.3">
      <c r="J59555"/>
    </row>
    <row r="59556" spans="10:10" x14ac:dyDescent="0.3">
      <c r="J59556"/>
    </row>
    <row r="59557" spans="10:10" x14ac:dyDescent="0.3">
      <c r="J59557"/>
    </row>
    <row r="59558" spans="10:10" x14ac:dyDescent="0.3">
      <c r="J59558"/>
    </row>
    <row r="59559" spans="10:10" x14ac:dyDescent="0.3">
      <c r="J59559"/>
    </row>
    <row r="59560" spans="10:10" x14ac:dyDescent="0.3">
      <c r="J59560"/>
    </row>
    <row r="59561" spans="10:10" x14ac:dyDescent="0.3">
      <c r="J59561"/>
    </row>
    <row r="59562" spans="10:10" x14ac:dyDescent="0.3">
      <c r="J59562"/>
    </row>
    <row r="59563" spans="10:10" x14ac:dyDescent="0.3">
      <c r="J59563"/>
    </row>
    <row r="59564" spans="10:10" x14ac:dyDescent="0.3">
      <c r="J59564"/>
    </row>
    <row r="59565" spans="10:10" x14ac:dyDescent="0.3">
      <c r="J59565"/>
    </row>
    <row r="59566" spans="10:10" x14ac:dyDescent="0.3">
      <c r="J59566"/>
    </row>
    <row r="59567" spans="10:10" x14ac:dyDescent="0.3">
      <c r="J59567"/>
    </row>
    <row r="59568" spans="10:10" x14ac:dyDescent="0.3">
      <c r="J59568"/>
    </row>
    <row r="59569" spans="10:10" x14ac:dyDescent="0.3">
      <c r="J59569"/>
    </row>
    <row r="59570" spans="10:10" x14ac:dyDescent="0.3">
      <c r="J59570"/>
    </row>
    <row r="59571" spans="10:10" x14ac:dyDescent="0.3">
      <c r="J59571"/>
    </row>
    <row r="59572" spans="10:10" x14ac:dyDescent="0.3">
      <c r="J59572"/>
    </row>
    <row r="59573" spans="10:10" x14ac:dyDescent="0.3">
      <c r="J59573"/>
    </row>
    <row r="59574" spans="10:10" x14ac:dyDescent="0.3">
      <c r="J59574"/>
    </row>
    <row r="59575" spans="10:10" x14ac:dyDescent="0.3">
      <c r="J59575"/>
    </row>
    <row r="59576" spans="10:10" x14ac:dyDescent="0.3">
      <c r="J59576"/>
    </row>
    <row r="59577" spans="10:10" x14ac:dyDescent="0.3">
      <c r="J59577"/>
    </row>
    <row r="59578" spans="10:10" x14ac:dyDescent="0.3">
      <c r="J59578"/>
    </row>
    <row r="59579" spans="10:10" x14ac:dyDescent="0.3">
      <c r="J59579"/>
    </row>
    <row r="59580" spans="10:10" x14ac:dyDescent="0.3">
      <c r="J59580"/>
    </row>
    <row r="59581" spans="10:10" x14ac:dyDescent="0.3">
      <c r="J59581"/>
    </row>
    <row r="59582" spans="10:10" x14ac:dyDescent="0.3">
      <c r="J59582"/>
    </row>
    <row r="59583" spans="10:10" x14ac:dyDescent="0.3">
      <c r="J59583"/>
    </row>
    <row r="59584" spans="10:10" x14ac:dyDescent="0.3">
      <c r="J59584"/>
    </row>
    <row r="59585" spans="10:10" x14ac:dyDescent="0.3">
      <c r="J59585"/>
    </row>
    <row r="59586" spans="10:10" x14ac:dyDescent="0.3">
      <c r="J59586"/>
    </row>
    <row r="59587" spans="10:10" x14ac:dyDescent="0.3">
      <c r="J59587"/>
    </row>
    <row r="59588" spans="10:10" x14ac:dyDescent="0.3">
      <c r="J59588"/>
    </row>
    <row r="59589" spans="10:10" x14ac:dyDescent="0.3">
      <c r="J59589"/>
    </row>
    <row r="59590" spans="10:10" x14ac:dyDescent="0.3">
      <c r="J59590"/>
    </row>
    <row r="59591" spans="10:10" x14ac:dyDescent="0.3">
      <c r="J59591"/>
    </row>
    <row r="59592" spans="10:10" x14ac:dyDescent="0.3">
      <c r="J59592"/>
    </row>
    <row r="59593" spans="10:10" x14ac:dyDescent="0.3">
      <c r="J59593"/>
    </row>
    <row r="59594" spans="10:10" x14ac:dyDescent="0.3">
      <c r="J59594"/>
    </row>
    <row r="59595" spans="10:10" x14ac:dyDescent="0.3">
      <c r="J59595"/>
    </row>
    <row r="59596" spans="10:10" x14ac:dyDescent="0.3">
      <c r="J59596"/>
    </row>
    <row r="59597" spans="10:10" x14ac:dyDescent="0.3">
      <c r="J59597"/>
    </row>
    <row r="59598" spans="10:10" x14ac:dyDescent="0.3">
      <c r="J59598"/>
    </row>
    <row r="59599" spans="10:10" x14ac:dyDescent="0.3">
      <c r="J59599"/>
    </row>
    <row r="59600" spans="10:10" x14ac:dyDescent="0.3">
      <c r="J59600"/>
    </row>
    <row r="59601" spans="10:10" x14ac:dyDescent="0.3">
      <c r="J59601"/>
    </row>
    <row r="59602" spans="10:10" x14ac:dyDescent="0.3">
      <c r="J59602"/>
    </row>
    <row r="59603" spans="10:10" x14ac:dyDescent="0.3">
      <c r="J59603"/>
    </row>
    <row r="59604" spans="10:10" x14ac:dyDescent="0.3">
      <c r="J59604"/>
    </row>
    <row r="59605" spans="10:10" x14ac:dyDescent="0.3">
      <c r="J59605"/>
    </row>
    <row r="59606" spans="10:10" x14ac:dyDescent="0.3">
      <c r="J59606"/>
    </row>
    <row r="59607" spans="10:10" x14ac:dyDescent="0.3">
      <c r="J59607"/>
    </row>
    <row r="59608" spans="10:10" x14ac:dyDescent="0.3">
      <c r="J59608"/>
    </row>
    <row r="59609" spans="10:10" x14ac:dyDescent="0.3">
      <c r="J59609"/>
    </row>
    <row r="59610" spans="10:10" x14ac:dyDescent="0.3">
      <c r="J59610"/>
    </row>
    <row r="59611" spans="10:10" x14ac:dyDescent="0.3">
      <c r="J59611"/>
    </row>
    <row r="59612" spans="10:10" x14ac:dyDescent="0.3">
      <c r="J59612"/>
    </row>
    <row r="59613" spans="10:10" x14ac:dyDescent="0.3">
      <c r="J59613"/>
    </row>
    <row r="59614" spans="10:10" x14ac:dyDescent="0.3">
      <c r="J59614"/>
    </row>
    <row r="59615" spans="10:10" x14ac:dyDescent="0.3">
      <c r="J59615"/>
    </row>
    <row r="59616" spans="10:10" x14ac:dyDescent="0.3">
      <c r="J59616"/>
    </row>
    <row r="59617" spans="10:10" x14ac:dyDescent="0.3">
      <c r="J59617"/>
    </row>
    <row r="59618" spans="10:10" x14ac:dyDescent="0.3">
      <c r="J59618"/>
    </row>
    <row r="59619" spans="10:10" x14ac:dyDescent="0.3">
      <c r="J59619"/>
    </row>
    <row r="59620" spans="10:10" x14ac:dyDescent="0.3">
      <c r="J59620"/>
    </row>
    <row r="59621" spans="10:10" x14ac:dyDescent="0.3">
      <c r="J59621"/>
    </row>
    <row r="59622" spans="10:10" x14ac:dyDescent="0.3">
      <c r="J59622"/>
    </row>
    <row r="59623" spans="10:10" x14ac:dyDescent="0.3">
      <c r="J59623"/>
    </row>
    <row r="59624" spans="10:10" x14ac:dyDescent="0.3">
      <c r="J59624"/>
    </row>
    <row r="59625" spans="10:10" x14ac:dyDescent="0.3">
      <c r="J59625"/>
    </row>
    <row r="59626" spans="10:10" x14ac:dyDescent="0.3">
      <c r="J59626"/>
    </row>
    <row r="59627" spans="10:10" x14ac:dyDescent="0.3">
      <c r="J59627"/>
    </row>
    <row r="59628" spans="10:10" x14ac:dyDescent="0.3">
      <c r="J59628"/>
    </row>
    <row r="59629" spans="10:10" x14ac:dyDescent="0.3">
      <c r="J59629"/>
    </row>
    <row r="59630" spans="10:10" x14ac:dyDescent="0.3">
      <c r="J59630"/>
    </row>
    <row r="59631" spans="10:10" x14ac:dyDescent="0.3">
      <c r="J59631"/>
    </row>
    <row r="59632" spans="10:10" x14ac:dyDescent="0.3">
      <c r="J59632"/>
    </row>
    <row r="59633" spans="10:10" x14ac:dyDescent="0.3">
      <c r="J59633"/>
    </row>
    <row r="59634" spans="10:10" x14ac:dyDescent="0.3">
      <c r="J59634"/>
    </row>
    <row r="59635" spans="10:10" x14ac:dyDescent="0.3">
      <c r="J59635"/>
    </row>
    <row r="59636" spans="10:10" x14ac:dyDescent="0.3">
      <c r="J59636"/>
    </row>
    <row r="59637" spans="10:10" x14ac:dyDescent="0.3">
      <c r="J59637"/>
    </row>
    <row r="59638" spans="10:10" x14ac:dyDescent="0.3">
      <c r="J59638"/>
    </row>
    <row r="59639" spans="10:10" x14ac:dyDescent="0.3">
      <c r="J59639"/>
    </row>
    <row r="59640" spans="10:10" x14ac:dyDescent="0.3">
      <c r="J59640"/>
    </row>
    <row r="59641" spans="10:10" x14ac:dyDescent="0.3">
      <c r="J59641"/>
    </row>
    <row r="59642" spans="10:10" x14ac:dyDescent="0.3">
      <c r="J59642"/>
    </row>
    <row r="59643" spans="10:10" x14ac:dyDescent="0.3">
      <c r="J59643"/>
    </row>
    <row r="59644" spans="10:10" x14ac:dyDescent="0.3">
      <c r="J59644"/>
    </row>
    <row r="59645" spans="10:10" x14ac:dyDescent="0.3">
      <c r="J59645"/>
    </row>
    <row r="59646" spans="10:10" x14ac:dyDescent="0.3">
      <c r="J59646"/>
    </row>
    <row r="59647" spans="10:10" x14ac:dyDescent="0.3">
      <c r="J59647"/>
    </row>
    <row r="59648" spans="10:10" x14ac:dyDescent="0.3">
      <c r="J59648"/>
    </row>
    <row r="59649" spans="10:10" x14ac:dyDescent="0.3">
      <c r="J59649"/>
    </row>
    <row r="59650" spans="10:10" x14ac:dyDescent="0.3">
      <c r="J59650"/>
    </row>
    <row r="59651" spans="10:10" x14ac:dyDescent="0.3">
      <c r="J59651"/>
    </row>
    <row r="59652" spans="10:10" x14ac:dyDescent="0.3">
      <c r="J59652"/>
    </row>
    <row r="59653" spans="10:10" x14ac:dyDescent="0.3">
      <c r="J59653"/>
    </row>
    <row r="59654" spans="10:10" x14ac:dyDescent="0.3">
      <c r="J59654"/>
    </row>
    <row r="59655" spans="10:10" x14ac:dyDescent="0.3">
      <c r="J59655"/>
    </row>
    <row r="59656" spans="10:10" x14ac:dyDescent="0.3">
      <c r="J59656"/>
    </row>
    <row r="59657" spans="10:10" x14ac:dyDescent="0.3">
      <c r="J59657"/>
    </row>
    <row r="59658" spans="10:10" x14ac:dyDescent="0.3">
      <c r="J59658"/>
    </row>
    <row r="59659" spans="10:10" x14ac:dyDescent="0.3">
      <c r="J59659"/>
    </row>
    <row r="59660" spans="10:10" x14ac:dyDescent="0.3">
      <c r="J59660"/>
    </row>
    <row r="59661" spans="10:10" x14ac:dyDescent="0.3">
      <c r="J59661"/>
    </row>
    <row r="59662" spans="10:10" x14ac:dyDescent="0.3">
      <c r="J59662"/>
    </row>
    <row r="59663" spans="10:10" x14ac:dyDescent="0.3">
      <c r="J59663"/>
    </row>
    <row r="59664" spans="10:10" x14ac:dyDescent="0.3">
      <c r="J59664"/>
    </row>
    <row r="59665" spans="10:10" x14ac:dyDescent="0.3">
      <c r="J59665"/>
    </row>
    <row r="59666" spans="10:10" x14ac:dyDescent="0.3">
      <c r="J59666"/>
    </row>
    <row r="59667" spans="10:10" x14ac:dyDescent="0.3">
      <c r="J59667"/>
    </row>
    <row r="59668" spans="10:10" x14ac:dyDescent="0.3">
      <c r="J59668"/>
    </row>
    <row r="59669" spans="10:10" x14ac:dyDescent="0.3">
      <c r="J59669"/>
    </row>
    <row r="59670" spans="10:10" x14ac:dyDescent="0.3">
      <c r="J59670"/>
    </row>
    <row r="59671" spans="10:10" x14ac:dyDescent="0.3">
      <c r="J59671"/>
    </row>
    <row r="59672" spans="10:10" x14ac:dyDescent="0.3">
      <c r="J59672"/>
    </row>
    <row r="59673" spans="10:10" x14ac:dyDescent="0.3">
      <c r="J59673"/>
    </row>
    <row r="59674" spans="10:10" x14ac:dyDescent="0.3">
      <c r="J59674"/>
    </row>
    <row r="59675" spans="10:10" x14ac:dyDescent="0.3">
      <c r="J59675"/>
    </row>
    <row r="59676" spans="10:10" x14ac:dyDescent="0.3">
      <c r="J59676"/>
    </row>
    <row r="59677" spans="10:10" x14ac:dyDescent="0.3">
      <c r="J59677"/>
    </row>
    <row r="59678" spans="10:10" x14ac:dyDescent="0.3">
      <c r="J59678"/>
    </row>
    <row r="59679" spans="10:10" x14ac:dyDescent="0.3">
      <c r="J59679"/>
    </row>
    <row r="59680" spans="10:10" x14ac:dyDescent="0.3">
      <c r="J59680"/>
    </row>
    <row r="59681" spans="10:10" x14ac:dyDescent="0.3">
      <c r="J59681"/>
    </row>
    <row r="59682" spans="10:10" x14ac:dyDescent="0.3">
      <c r="J59682"/>
    </row>
    <row r="59683" spans="10:10" x14ac:dyDescent="0.3">
      <c r="J59683"/>
    </row>
    <row r="59684" spans="10:10" x14ac:dyDescent="0.3">
      <c r="J59684"/>
    </row>
    <row r="59685" spans="10:10" x14ac:dyDescent="0.3">
      <c r="J59685"/>
    </row>
    <row r="59686" spans="10:10" x14ac:dyDescent="0.3">
      <c r="J59686"/>
    </row>
    <row r="59687" spans="10:10" x14ac:dyDescent="0.3">
      <c r="J59687"/>
    </row>
    <row r="59688" spans="10:10" x14ac:dyDescent="0.3">
      <c r="J59688"/>
    </row>
    <row r="59689" spans="10:10" x14ac:dyDescent="0.3">
      <c r="J59689"/>
    </row>
    <row r="59690" spans="10:10" x14ac:dyDescent="0.3">
      <c r="J59690"/>
    </row>
    <row r="59691" spans="10:10" x14ac:dyDescent="0.3">
      <c r="J59691"/>
    </row>
    <row r="59692" spans="10:10" x14ac:dyDescent="0.3">
      <c r="J59692"/>
    </row>
    <row r="59693" spans="10:10" x14ac:dyDescent="0.3">
      <c r="J59693"/>
    </row>
    <row r="59694" spans="10:10" x14ac:dyDescent="0.3">
      <c r="J59694"/>
    </row>
    <row r="59695" spans="10:10" x14ac:dyDescent="0.3">
      <c r="J59695"/>
    </row>
    <row r="59696" spans="10:10" x14ac:dyDescent="0.3">
      <c r="J59696"/>
    </row>
    <row r="59697" spans="10:10" x14ac:dyDescent="0.3">
      <c r="J59697"/>
    </row>
    <row r="59698" spans="10:10" x14ac:dyDescent="0.3">
      <c r="J59698"/>
    </row>
    <row r="59699" spans="10:10" x14ac:dyDescent="0.3">
      <c r="J59699"/>
    </row>
    <row r="59700" spans="10:10" x14ac:dyDescent="0.3">
      <c r="J59700"/>
    </row>
    <row r="59701" spans="10:10" x14ac:dyDescent="0.3">
      <c r="J59701"/>
    </row>
    <row r="59702" spans="10:10" x14ac:dyDescent="0.3">
      <c r="J59702"/>
    </row>
    <row r="59703" spans="10:10" x14ac:dyDescent="0.3">
      <c r="J59703"/>
    </row>
    <row r="59704" spans="10:10" x14ac:dyDescent="0.3">
      <c r="J59704"/>
    </row>
    <row r="59705" spans="10:10" x14ac:dyDescent="0.3">
      <c r="J59705"/>
    </row>
    <row r="59706" spans="10:10" x14ac:dyDescent="0.3">
      <c r="J59706"/>
    </row>
    <row r="59707" spans="10:10" x14ac:dyDescent="0.3">
      <c r="J59707"/>
    </row>
    <row r="59708" spans="10:10" x14ac:dyDescent="0.3">
      <c r="J59708"/>
    </row>
    <row r="59709" spans="10:10" x14ac:dyDescent="0.3">
      <c r="J59709"/>
    </row>
    <row r="59710" spans="10:10" x14ac:dyDescent="0.3">
      <c r="J59710"/>
    </row>
    <row r="59711" spans="10:10" x14ac:dyDescent="0.3">
      <c r="J59711"/>
    </row>
    <row r="59712" spans="10:10" x14ac:dyDescent="0.3">
      <c r="J59712"/>
    </row>
    <row r="59713" spans="10:10" x14ac:dyDescent="0.3">
      <c r="J59713"/>
    </row>
    <row r="59714" spans="10:10" x14ac:dyDescent="0.3">
      <c r="J59714"/>
    </row>
    <row r="59715" spans="10:10" x14ac:dyDescent="0.3">
      <c r="J59715"/>
    </row>
    <row r="59716" spans="10:10" x14ac:dyDescent="0.3">
      <c r="J59716"/>
    </row>
    <row r="59717" spans="10:10" x14ac:dyDescent="0.3">
      <c r="J59717"/>
    </row>
    <row r="59718" spans="10:10" x14ac:dyDescent="0.3">
      <c r="J59718"/>
    </row>
    <row r="59719" spans="10:10" x14ac:dyDescent="0.3">
      <c r="J59719"/>
    </row>
    <row r="59720" spans="10:10" x14ac:dyDescent="0.3">
      <c r="J59720"/>
    </row>
    <row r="59721" spans="10:10" x14ac:dyDescent="0.3">
      <c r="J59721"/>
    </row>
    <row r="59722" spans="10:10" x14ac:dyDescent="0.3">
      <c r="J59722"/>
    </row>
    <row r="59723" spans="10:10" x14ac:dyDescent="0.3">
      <c r="J59723"/>
    </row>
    <row r="59724" spans="10:10" x14ac:dyDescent="0.3">
      <c r="J59724"/>
    </row>
    <row r="59725" spans="10:10" x14ac:dyDescent="0.3">
      <c r="J59725"/>
    </row>
    <row r="59726" spans="10:10" x14ac:dyDescent="0.3">
      <c r="J59726"/>
    </row>
    <row r="59727" spans="10:10" x14ac:dyDescent="0.3">
      <c r="J59727"/>
    </row>
    <row r="59728" spans="10:10" x14ac:dyDescent="0.3">
      <c r="J59728"/>
    </row>
    <row r="59729" spans="10:10" x14ac:dyDescent="0.3">
      <c r="J59729"/>
    </row>
    <row r="59730" spans="10:10" x14ac:dyDescent="0.3">
      <c r="J59730"/>
    </row>
    <row r="59731" spans="10:10" x14ac:dyDescent="0.3">
      <c r="J59731"/>
    </row>
    <row r="59732" spans="10:10" x14ac:dyDescent="0.3">
      <c r="J59732"/>
    </row>
    <row r="59733" spans="10:10" x14ac:dyDescent="0.3">
      <c r="J59733"/>
    </row>
    <row r="59734" spans="10:10" x14ac:dyDescent="0.3">
      <c r="J59734"/>
    </row>
    <row r="59735" spans="10:10" x14ac:dyDescent="0.3">
      <c r="J59735"/>
    </row>
    <row r="59736" spans="10:10" x14ac:dyDescent="0.3">
      <c r="J59736"/>
    </row>
    <row r="59737" spans="10:10" x14ac:dyDescent="0.3">
      <c r="J59737"/>
    </row>
    <row r="59738" spans="10:10" x14ac:dyDescent="0.3">
      <c r="J59738"/>
    </row>
    <row r="59739" spans="10:10" x14ac:dyDescent="0.3">
      <c r="J59739"/>
    </row>
    <row r="59740" spans="10:10" x14ac:dyDescent="0.3">
      <c r="J59740"/>
    </row>
    <row r="59741" spans="10:10" x14ac:dyDescent="0.3">
      <c r="J59741"/>
    </row>
    <row r="59742" spans="10:10" x14ac:dyDescent="0.3">
      <c r="J59742"/>
    </row>
    <row r="59743" spans="10:10" x14ac:dyDescent="0.3">
      <c r="J59743"/>
    </row>
    <row r="59744" spans="10:10" x14ac:dyDescent="0.3">
      <c r="J59744"/>
    </row>
    <row r="59745" spans="10:10" x14ac:dyDescent="0.3">
      <c r="J59745"/>
    </row>
    <row r="59746" spans="10:10" x14ac:dyDescent="0.3">
      <c r="J59746"/>
    </row>
    <row r="59747" spans="10:10" x14ac:dyDescent="0.3">
      <c r="J59747"/>
    </row>
    <row r="59748" spans="10:10" x14ac:dyDescent="0.3">
      <c r="J59748"/>
    </row>
    <row r="59749" spans="10:10" x14ac:dyDescent="0.3">
      <c r="J59749"/>
    </row>
    <row r="59750" spans="10:10" x14ac:dyDescent="0.3">
      <c r="J59750"/>
    </row>
    <row r="59751" spans="10:10" x14ac:dyDescent="0.3">
      <c r="J59751"/>
    </row>
    <row r="59752" spans="10:10" x14ac:dyDescent="0.3">
      <c r="J59752"/>
    </row>
    <row r="59753" spans="10:10" x14ac:dyDescent="0.3">
      <c r="J59753"/>
    </row>
    <row r="59754" spans="10:10" x14ac:dyDescent="0.3">
      <c r="J59754"/>
    </row>
    <row r="59755" spans="10:10" x14ac:dyDescent="0.3">
      <c r="J59755"/>
    </row>
    <row r="59756" spans="10:10" x14ac:dyDescent="0.3">
      <c r="J59756"/>
    </row>
    <row r="59757" spans="10:10" x14ac:dyDescent="0.3">
      <c r="J59757"/>
    </row>
    <row r="59758" spans="10:10" x14ac:dyDescent="0.3">
      <c r="J59758"/>
    </row>
    <row r="59759" spans="10:10" x14ac:dyDescent="0.3">
      <c r="J59759"/>
    </row>
    <row r="59760" spans="10:10" x14ac:dyDescent="0.3">
      <c r="J59760"/>
    </row>
    <row r="59761" spans="10:10" x14ac:dyDescent="0.3">
      <c r="J59761"/>
    </row>
    <row r="59762" spans="10:10" x14ac:dyDescent="0.3">
      <c r="J59762"/>
    </row>
    <row r="59763" spans="10:10" x14ac:dyDescent="0.3">
      <c r="J59763"/>
    </row>
    <row r="59764" spans="10:10" x14ac:dyDescent="0.3">
      <c r="J59764"/>
    </row>
    <row r="59765" spans="10:10" x14ac:dyDescent="0.3">
      <c r="J59765"/>
    </row>
    <row r="59766" spans="10:10" x14ac:dyDescent="0.3">
      <c r="J59766"/>
    </row>
    <row r="59767" spans="10:10" x14ac:dyDescent="0.3">
      <c r="J59767"/>
    </row>
    <row r="59768" spans="10:10" x14ac:dyDescent="0.3">
      <c r="J59768"/>
    </row>
    <row r="59769" spans="10:10" x14ac:dyDescent="0.3">
      <c r="J59769"/>
    </row>
    <row r="59770" spans="10:10" x14ac:dyDescent="0.3">
      <c r="J59770"/>
    </row>
    <row r="59771" spans="10:10" x14ac:dyDescent="0.3">
      <c r="J59771"/>
    </row>
    <row r="59772" spans="10:10" x14ac:dyDescent="0.3">
      <c r="J59772"/>
    </row>
    <row r="59773" spans="10:10" x14ac:dyDescent="0.3">
      <c r="J59773"/>
    </row>
    <row r="59774" spans="10:10" x14ac:dyDescent="0.3">
      <c r="J59774"/>
    </row>
    <row r="59775" spans="10:10" x14ac:dyDescent="0.3">
      <c r="J59775"/>
    </row>
    <row r="59776" spans="10:10" x14ac:dyDescent="0.3">
      <c r="J59776"/>
    </row>
    <row r="59777" spans="10:10" x14ac:dyDescent="0.3">
      <c r="J59777"/>
    </row>
    <row r="59778" spans="10:10" x14ac:dyDescent="0.3">
      <c r="J59778"/>
    </row>
    <row r="59779" spans="10:10" x14ac:dyDescent="0.3">
      <c r="J59779"/>
    </row>
    <row r="59780" spans="10:10" x14ac:dyDescent="0.3">
      <c r="J59780"/>
    </row>
    <row r="59781" spans="10:10" x14ac:dyDescent="0.3">
      <c r="J59781"/>
    </row>
    <row r="59782" spans="10:10" x14ac:dyDescent="0.3">
      <c r="J59782"/>
    </row>
    <row r="59783" spans="10:10" x14ac:dyDescent="0.3">
      <c r="J59783"/>
    </row>
    <row r="59784" spans="10:10" x14ac:dyDescent="0.3">
      <c r="J59784"/>
    </row>
    <row r="59785" spans="10:10" x14ac:dyDescent="0.3">
      <c r="J59785"/>
    </row>
    <row r="59786" spans="10:10" x14ac:dyDescent="0.3">
      <c r="J59786"/>
    </row>
    <row r="59787" spans="10:10" x14ac:dyDescent="0.3">
      <c r="J59787"/>
    </row>
    <row r="59788" spans="10:10" x14ac:dyDescent="0.3">
      <c r="J59788"/>
    </row>
    <row r="59789" spans="10:10" x14ac:dyDescent="0.3">
      <c r="J59789"/>
    </row>
    <row r="59790" spans="10:10" x14ac:dyDescent="0.3">
      <c r="J59790"/>
    </row>
    <row r="59791" spans="10:10" x14ac:dyDescent="0.3">
      <c r="J59791"/>
    </row>
    <row r="59792" spans="10:10" x14ac:dyDescent="0.3">
      <c r="J59792"/>
    </row>
    <row r="59793" spans="10:10" x14ac:dyDescent="0.3">
      <c r="J59793"/>
    </row>
    <row r="59794" spans="10:10" x14ac:dyDescent="0.3">
      <c r="J59794"/>
    </row>
    <row r="59795" spans="10:10" x14ac:dyDescent="0.3">
      <c r="J59795"/>
    </row>
    <row r="59796" spans="10:10" x14ac:dyDescent="0.3">
      <c r="J59796"/>
    </row>
    <row r="59797" spans="10:10" x14ac:dyDescent="0.3">
      <c r="J59797"/>
    </row>
    <row r="59798" spans="10:10" x14ac:dyDescent="0.3">
      <c r="J59798"/>
    </row>
    <row r="59799" spans="10:10" x14ac:dyDescent="0.3">
      <c r="J59799"/>
    </row>
    <row r="59800" spans="10:10" x14ac:dyDescent="0.3">
      <c r="J59800"/>
    </row>
    <row r="59801" spans="10:10" x14ac:dyDescent="0.3">
      <c r="J59801"/>
    </row>
    <row r="59802" spans="10:10" x14ac:dyDescent="0.3">
      <c r="J59802"/>
    </row>
    <row r="59803" spans="10:10" x14ac:dyDescent="0.3">
      <c r="J59803"/>
    </row>
    <row r="59804" spans="10:10" x14ac:dyDescent="0.3">
      <c r="J59804"/>
    </row>
    <row r="59805" spans="10:10" x14ac:dyDescent="0.3">
      <c r="J59805"/>
    </row>
    <row r="59806" spans="10:10" x14ac:dyDescent="0.3">
      <c r="J59806"/>
    </row>
    <row r="59807" spans="10:10" x14ac:dyDescent="0.3">
      <c r="J59807"/>
    </row>
    <row r="59808" spans="10:10" x14ac:dyDescent="0.3">
      <c r="J59808"/>
    </row>
    <row r="59809" spans="10:10" x14ac:dyDescent="0.3">
      <c r="J59809"/>
    </row>
    <row r="59810" spans="10:10" x14ac:dyDescent="0.3">
      <c r="J59810"/>
    </row>
    <row r="59811" spans="10:10" x14ac:dyDescent="0.3">
      <c r="J59811"/>
    </row>
    <row r="59812" spans="10:10" x14ac:dyDescent="0.3">
      <c r="J59812"/>
    </row>
    <row r="59813" spans="10:10" x14ac:dyDescent="0.3">
      <c r="J59813"/>
    </row>
    <row r="59814" spans="10:10" x14ac:dyDescent="0.3">
      <c r="J59814"/>
    </row>
    <row r="59815" spans="10:10" x14ac:dyDescent="0.3">
      <c r="J59815"/>
    </row>
    <row r="59816" spans="10:10" x14ac:dyDescent="0.3">
      <c r="J59816"/>
    </row>
    <row r="59817" spans="10:10" x14ac:dyDescent="0.3">
      <c r="J59817"/>
    </row>
    <row r="59818" spans="10:10" x14ac:dyDescent="0.3">
      <c r="J59818"/>
    </row>
    <row r="59819" spans="10:10" x14ac:dyDescent="0.3">
      <c r="J59819"/>
    </row>
    <row r="59820" spans="10:10" x14ac:dyDescent="0.3">
      <c r="J59820"/>
    </row>
    <row r="59821" spans="10:10" x14ac:dyDescent="0.3">
      <c r="J59821"/>
    </row>
    <row r="59822" spans="10:10" x14ac:dyDescent="0.3">
      <c r="J59822"/>
    </row>
    <row r="59823" spans="10:10" x14ac:dyDescent="0.3">
      <c r="J59823"/>
    </row>
    <row r="59824" spans="10:10" x14ac:dyDescent="0.3">
      <c r="J59824"/>
    </row>
    <row r="59825" spans="10:10" x14ac:dyDescent="0.3">
      <c r="J59825"/>
    </row>
    <row r="59826" spans="10:10" x14ac:dyDescent="0.3">
      <c r="J59826"/>
    </row>
    <row r="59827" spans="10:10" x14ac:dyDescent="0.3">
      <c r="J59827"/>
    </row>
    <row r="59828" spans="10:10" x14ac:dyDescent="0.3">
      <c r="J59828"/>
    </row>
    <row r="59829" spans="10:10" x14ac:dyDescent="0.3">
      <c r="J59829"/>
    </row>
    <row r="59830" spans="10:10" x14ac:dyDescent="0.3">
      <c r="J59830"/>
    </row>
    <row r="59831" spans="10:10" x14ac:dyDescent="0.3">
      <c r="J59831"/>
    </row>
    <row r="59832" spans="10:10" x14ac:dyDescent="0.3">
      <c r="J59832"/>
    </row>
    <row r="59833" spans="10:10" x14ac:dyDescent="0.3">
      <c r="J59833"/>
    </row>
    <row r="59834" spans="10:10" x14ac:dyDescent="0.3">
      <c r="J59834"/>
    </row>
    <row r="59835" spans="10:10" x14ac:dyDescent="0.3">
      <c r="J59835"/>
    </row>
    <row r="59836" spans="10:10" x14ac:dyDescent="0.3">
      <c r="J59836"/>
    </row>
    <row r="59837" spans="10:10" x14ac:dyDescent="0.3">
      <c r="J59837"/>
    </row>
    <row r="59838" spans="10:10" x14ac:dyDescent="0.3">
      <c r="J59838"/>
    </row>
    <row r="59839" spans="10:10" x14ac:dyDescent="0.3">
      <c r="J59839"/>
    </row>
    <row r="59840" spans="10:10" x14ac:dyDescent="0.3">
      <c r="J59840"/>
    </row>
    <row r="59841" spans="10:10" x14ac:dyDescent="0.3">
      <c r="J59841"/>
    </row>
    <row r="59842" spans="10:10" x14ac:dyDescent="0.3">
      <c r="J59842"/>
    </row>
    <row r="59843" spans="10:10" x14ac:dyDescent="0.3">
      <c r="J59843"/>
    </row>
    <row r="59844" spans="10:10" x14ac:dyDescent="0.3">
      <c r="J59844"/>
    </row>
    <row r="59845" spans="10:10" x14ac:dyDescent="0.3">
      <c r="J59845"/>
    </row>
    <row r="59846" spans="10:10" x14ac:dyDescent="0.3">
      <c r="J59846"/>
    </row>
    <row r="59847" spans="10:10" x14ac:dyDescent="0.3">
      <c r="J59847"/>
    </row>
    <row r="59848" spans="10:10" x14ac:dyDescent="0.3">
      <c r="J59848"/>
    </row>
    <row r="59849" spans="10:10" x14ac:dyDescent="0.3">
      <c r="J59849"/>
    </row>
    <row r="59850" spans="10:10" x14ac:dyDescent="0.3">
      <c r="J59850"/>
    </row>
    <row r="59851" spans="10:10" x14ac:dyDescent="0.3">
      <c r="J59851"/>
    </row>
    <row r="59852" spans="10:10" x14ac:dyDescent="0.3">
      <c r="J59852"/>
    </row>
    <row r="59853" spans="10:10" x14ac:dyDescent="0.3">
      <c r="J59853"/>
    </row>
    <row r="59854" spans="10:10" x14ac:dyDescent="0.3">
      <c r="J59854"/>
    </row>
    <row r="59855" spans="10:10" x14ac:dyDescent="0.3">
      <c r="J59855"/>
    </row>
    <row r="59856" spans="10:10" x14ac:dyDescent="0.3">
      <c r="J59856"/>
    </row>
    <row r="59857" spans="10:10" x14ac:dyDescent="0.3">
      <c r="J59857"/>
    </row>
    <row r="59858" spans="10:10" x14ac:dyDescent="0.3">
      <c r="J59858"/>
    </row>
    <row r="59859" spans="10:10" x14ac:dyDescent="0.3">
      <c r="J59859"/>
    </row>
    <row r="59860" spans="10:10" x14ac:dyDescent="0.3">
      <c r="J59860"/>
    </row>
    <row r="59861" spans="10:10" x14ac:dyDescent="0.3">
      <c r="J59861"/>
    </row>
    <row r="59862" spans="10:10" x14ac:dyDescent="0.3">
      <c r="J59862"/>
    </row>
    <row r="59863" spans="10:10" x14ac:dyDescent="0.3">
      <c r="J59863"/>
    </row>
    <row r="59864" spans="10:10" x14ac:dyDescent="0.3">
      <c r="J59864"/>
    </row>
    <row r="59865" spans="10:10" x14ac:dyDescent="0.3">
      <c r="J59865"/>
    </row>
    <row r="59866" spans="10:10" x14ac:dyDescent="0.3">
      <c r="J59866"/>
    </row>
    <row r="59867" spans="10:10" x14ac:dyDescent="0.3">
      <c r="J59867"/>
    </row>
    <row r="59868" spans="10:10" x14ac:dyDescent="0.3">
      <c r="J59868"/>
    </row>
    <row r="59869" spans="10:10" x14ac:dyDescent="0.3">
      <c r="J59869"/>
    </row>
    <row r="59870" spans="10:10" x14ac:dyDescent="0.3">
      <c r="J59870"/>
    </row>
    <row r="59871" spans="10:10" x14ac:dyDescent="0.3">
      <c r="J59871"/>
    </row>
    <row r="59872" spans="10:10" x14ac:dyDescent="0.3">
      <c r="J59872"/>
    </row>
    <row r="59873" spans="10:10" x14ac:dyDescent="0.3">
      <c r="J59873"/>
    </row>
    <row r="59874" spans="10:10" x14ac:dyDescent="0.3">
      <c r="J59874"/>
    </row>
    <row r="59875" spans="10:10" x14ac:dyDescent="0.3">
      <c r="J59875"/>
    </row>
    <row r="59876" spans="10:10" x14ac:dyDescent="0.3">
      <c r="J59876"/>
    </row>
    <row r="59877" spans="10:10" x14ac:dyDescent="0.3">
      <c r="J59877"/>
    </row>
    <row r="59878" spans="10:10" x14ac:dyDescent="0.3">
      <c r="J59878"/>
    </row>
    <row r="59879" spans="10:10" x14ac:dyDescent="0.3">
      <c r="J59879"/>
    </row>
    <row r="59880" spans="10:10" x14ac:dyDescent="0.3">
      <c r="J59880"/>
    </row>
    <row r="59881" spans="10:10" x14ac:dyDescent="0.3">
      <c r="J59881"/>
    </row>
    <row r="59882" spans="10:10" x14ac:dyDescent="0.3">
      <c r="J59882"/>
    </row>
    <row r="59883" spans="10:10" x14ac:dyDescent="0.3">
      <c r="J59883"/>
    </row>
    <row r="59884" spans="10:10" x14ac:dyDescent="0.3">
      <c r="J59884"/>
    </row>
    <row r="59885" spans="10:10" x14ac:dyDescent="0.3">
      <c r="J59885"/>
    </row>
    <row r="59886" spans="10:10" x14ac:dyDescent="0.3">
      <c r="J59886"/>
    </row>
    <row r="59887" spans="10:10" x14ac:dyDescent="0.3">
      <c r="J59887"/>
    </row>
    <row r="59888" spans="10:10" x14ac:dyDescent="0.3">
      <c r="J59888"/>
    </row>
    <row r="59889" spans="10:10" x14ac:dyDescent="0.3">
      <c r="J59889"/>
    </row>
    <row r="59890" spans="10:10" x14ac:dyDescent="0.3">
      <c r="J59890"/>
    </row>
    <row r="59891" spans="10:10" x14ac:dyDescent="0.3">
      <c r="J59891"/>
    </row>
    <row r="59892" spans="10:10" x14ac:dyDescent="0.3">
      <c r="J59892"/>
    </row>
    <row r="59893" spans="10:10" x14ac:dyDescent="0.3">
      <c r="J59893"/>
    </row>
    <row r="59894" spans="10:10" x14ac:dyDescent="0.3">
      <c r="J59894"/>
    </row>
    <row r="59895" spans="10:10" x14ac:dyDescent="0.3">
      <c r="J59895"/>
    </row>
    <row r="59896" spans="10:10" x14ac:dyDescent="0.3">
      <c r="J59896"/>
    </row>
    <row r="59897" spans="10:10" x14ac:dyDescent="0.3">
      <c r="J59897"/>
    </row>
    <row r="59898" spans="10:10" x14ac:dyDescent="0.3">
      <c r="J59898"/>
    </row>
    <row r="59899" spans="10:10" x14ac:dyDescent="0.3">
      <c r="J59899"/>
    </row>
    <row r="59900" spans="10:10" x14ac:dyDescent="0.3">
      <c r="J59900"/>
    </row>
    <row r="59901" spans="10:10" x14ac:dyDescent="0.3">
      <c r="J59901"/>
    </row>
    <row r="59902" spans="10:10" x14ac:dyDescent="0.3">
      <c r="J59902"/>
    </row>
    <row r="59903" spans="10:10" x14ac:dyDescent="0.3">
      <c r="J59903"/>
    </row>
    <row r="59904" spans="10:10" x14ac:dyDescent="0.3">
      <c r="J59904"/>
    </row>
    <row r="59905" spans="10:10" x14ac:dyDescent="0.3">
      <c r="J59905"/>
    </row>
    <row r="59906" spans="10:10" x14ac:dyDescent="0.3">
      <c r="J59906"/>
    </row>
    <row r="59907" spans="10:10" x14ac:dyDescent="0.3">
      <c r="J59907"/>
    </row>
    <row r="59908" spans="10:10" x14ac:dyDescent="0.3">
      <c r="J59908"/>
    </row>
    <row r="59909" spans="10:10" x14ac:dyDescent="0.3">
      <c r="J59909"/>
    </row>
    <row r="59910" spans="10:10" x14ac:dyDescent="0.3">
      <c r="J59910"/>
    </row>
    <row r="59911" spans="10:10" x14ac:dyDescent="0.3">
      <c r="J59911"/>
    </row>
    <row r="59912" spans="10:10" x14ac:dyDescent="0.3">
      <c r="J59912"/>
    </row>
    <row r="59913" spans="10:10" x14ac:dyDescent="0.3">
      <c r="J59913"/>
    </row>
    <row r="59914" spans="10:10" x14ac:dyDescent="0.3">
      <c r="J59914"/>
    </row>
    <row r="59915" spans="10:10" x14ac:dyDescent="0.3">
      <c r="J59915"/>
    </row>
    <row r="59916" spans="10:10" x14ac:dyDescent="0.3">
      <c r="J59916"/>
    </row>
    <row r="59917" spans="10:10" x14ac:dyDescent="0.3">
      <c r="J59917"/>
    </row>
    <row r="59918" spans="10:10" x14ac:dyDescent="0.3">
      <c r="J59918"/>
    </row>
    <row r="59919" spans="10:10" x14ac:dyDescent="0.3">
      <c r="J59919"/>
    </row>
    <row r="59920" spans="10:10" x14ac:dyDescent="0.3">
      <c r="J59920"/>
    </row>
    <row r="59921" spans="10:10" x14ac:dyDescent="0.3">
      <c r="J59921"/>
    </row>
    <row r="59922" spans="10:10" x14ac:dyDescent="0.3">
      <c r="J59922"/>
    </row>
    <row r="59923" spans="10:10" x14ac:dyDescent="0.3">
      <c r="J59923"/>
    </row>
    <row r="59924" spans="10:10" x14ac:dyDescent="0.3">
      <c r="J59924"/>
    </row>
    <row r="59925" spans="10:10" x14ac:dyDescent="0.3">
      <c r="J59925"/>
    </row>
    <row r="59926" spans="10:10" x14ac:dyDescent="0.3">
      <c r="J59926"/>
    </row>
    <row r="59927" spans="10:10" x14ac:dyDescent="0.3">
      <c r="J59927"/>
    </row>
    <row r="59928" spans="10:10" x14ac:dyDescent="0.3">
      <c r="J59928"/>
    </row>
    <row r="59929" spans="10:10" x14ac:dyDescent="0.3">
      <c r="J59929"/>
    </row>
    <row r="59930" spans="10:10" x14ac:dyDescent="0.3">
      <c r="J59930"/>
    </row>
    <row r="59931" spans="10:10" x14ac:dyDescent="0.3">
      <c r="J59931"/>
    </row>
    <row r="59932" spans="10:10" x14ac:dyDescent="0.3">
      <c r="J59932"/>
    </row>
    <row r="59933" spans="10:10" x14ac:dyDescent="0.3">
      <c r="J59933"/>
    </row>
    <row r="59934" spans="10:10" x14ac:dyDescent="0.3">
      <c r="J59934"/>
    </row>
    <row r="59935" spans="10:10" x14ac:dyDescent="0.3">
      <c r="J59935"/>
    </row>
    <row r="59936" spans="10:10" x14ac:dyDescent="0.3">
      <c r="J59936"/>
    </row>
    <row r="59937" spans="10:10" x14ac:dyDescent="0.3">
      <c r="J59937"/>
    </row>
    <row r="59938" spans="10:10" x14ac:dyDescent="0.3">
      <c r="J59938"/>
    </row>
    <row r="59939" spans="10:10" x14ac:dyDescent="0.3">
      <c r="J59939"/>
    </row>
    <row r="59940" spans="10:10" x14ac:dyDescent="0.3">
      <c r="J59940"/>
    </row>
    <row r="59941" spans="10:10" x14ac:dyDescent="0.3">
      <c r="J59941"/>
    </row>
    <row r="59942" spans="10:10" x14ac:dyDescent="0.3">
      <c r="J59942"/>
    </row>
    <row r="59943" spans="10:10" x14ac:dyDescent="0.3">
      <c r="J59943"/>
    </row>
    <row r="59944" spans="10:10" x14ac:dyDescent="0.3">
      <c r="J59944"/>
    </row>
    <row r="59945" spans="10:10" x14ac:dyDescent="0.3">
      <c r="J59945"/>
    </row>
    <row r="59946" spans="10:10" x14ac:dyDescent="0.3">
      <c r="J59946"/>
    </row>
    <row r="59947" spans="10:10" x14ac:dyDescent="0.3">
      <c r="J59947"/>
    </row>
    <row r="59948" spans="10:10" x14ac:dyDescent="0.3">
      <c r="J59948"/>
    </row>
    <row r="59949" spans="10:10" x14ac:dyDescent="0.3">
      <c r="J59949"/>
    </row>
    <row r="59950" spans="10:10" x14ac:dyDescent="0.3">
      <c r="J59950"/>
    </row>
    <row r="59951" spans="10:10" x14ac:dyDescent="0.3">
      <c r="J59951"/>
    </row>
    <row r="59952" spans="10:10" x14ac:dyDescent="0.3">
      <c r="J59952"/>
    </row>
    <row r="59953" spans="10:10" x14ac:dyDescent="0.3">
      <c r="J59953"/>
    </row>
    <row r="59954" spans="10:10" x14ac:dyDescent="0.3">
      <c r="J59954"/>
    </row>
    <row r="59955" spans="10:10" x14ac:dyDescent="0.3">
      <c r="J59955"/>
    </row>
    <row r="59956" spans="10:10" x14ac:dyDescent="0.3">
      <c r="J59956"/>
    </row>
    <row r="59957" spans="10:10" x14ac:dyDescent="0.3">
      <c r="J59957"/>
    </row>
    <row r="59958" spans="10:10" x14ac:dyDescent="0.3">
      <c r="J59958"/>
    </row>
    <row r="59959" spans="10:10" x14ac:dyDescent="0.3">
      <c r="J59959"/>
    </row>
    <row r="59960" spans="10:10" x14ac:dyDescent="0.3">
      <c r="J59960"/>
    </row>
    <row r="59961" spans="10:10" x14ac:dyDescent="0.3">
      <c r="J59961"/>
    </row>
    <row r="59962" spans="10:10" x14ac:dyDescent="0.3">
      <c r="J59962"/>
    </row>
    <row r="59963" spans="10:10" x14ac:dyDescent="0.3">
      <c r="J59963"/>
    </row>
    <row r="59964" spans="10:10" x14ac:dyDescent="0.3">
      <c r="J59964"/>
    </row>
    <row r="59965" spans="10:10" x14ac:dyDescent="0.3">
      <c r="J59965"/>
    </row>
    <row r="59966" spans="10:10" x14ac:dyDescent="0.3">
      <c r="J59966"/>
    </row>
    <row r="59967" spans="10:10" x14ac:dyDescent="0.3">
      <c r="J59967"/>
    </row>
    <row r="59968" spans="10:10" x14ac:dyDescent="0.3">
      <c r="J59968"/>
    </row>
    <row r="59969" spans="10:10" x14ac:dyDescent="0.3">
      <c r="J59969"/>
    </row>
    <row r="59970" spans="10:10" x14ac:dyDescent="0.3">
      <c r="J59970"/>
    </row>
    <row r="59971" spans="10:10" x14ac:dyDescent="0.3">
      <c r="J59971"/>
    </row>
    <row r="59972" spans="10:10" x14ac:dyDescent="0.3">
      <c r="J59972"/>
    </row>
    <row r="59973" spans="10:10" x14ac:dyDescent="0.3">
      <c r="J59973"/>
    </row>
    <row r="59974" spans="10:10" x14ac:dyDescent="0.3">
      <c r="J59974"/>
    </row>
    <row r="59975" spans="10:10" x14ac:dyDescent="0.3">
      <c r="J59975"/>
    </row>
    <row r="59976" spans="10:10" x14ac:dyDescent="0.3">
      <c r="J59976"/>
    </row>
    <row r="59977" spans="10:10" x14ac:dyDescent="0.3">
      <c r="J59977"/>
    </row>
    <row r="59978" spans="10:10" x14ac:dyDescent="0.3">
      <c r="J59978"/>
    </row>
    <row r="59979" spans="10:10" x14ac:dyDescent="0.3">
      <c r="J59979"/>
    </row>
    <row r="59980" spans="10:10" x14ac:dyDescent="0.3">
      <c r="J59980"/>
    </row>
    <row r="59981" spans="10:10" x14ac:dyDescent="0.3">
      <c r="J59981"/>
    </row>
    <row r="59982" spans="10:10" x14ac:dyDescent="0.3">
      <c r="J59982"/>
    </row>
    <row r="59983" spans="10:10" x14ac:dyDescent="0.3">
      <c r="J59983"/>
    </row>
    <row r="59984" spans="10:10" x14ac:dyDescent="0.3">
      <c r="J59984"/>
    </row>
    <row r="59985" spans="10:10" x14ac:dyDescent="0.3">
      <c r="J59985"/>
    </row>
    <row r="59986" spans="10:10" x14ac:dyDescent="0.3">
      <c r="J59986"/>
    </row>
    <row r="59987" spans="10:10" x14ac:dyDescent="0.3">
      <c r="J59987"/>
    </row>
    <row r="59988" spans="10:10" x14ac:dyDescent="0.3">
      <c r="J59988"/>
    </row>
    <row r="59989" spans="10:10" x14ac:dyDescent="0.3">
      <c r="J59989"/>
    </row>
    <row r="59990" spans="10:10" x14ac:dyDescent="0.3">
      <c r="J59990"/>
    </row>
    <row r="59991" spans="10:10" x14ac:dyDescent="0.3">
      <c r="J59991"/>
    </row>
    <row r="59992" spans="10:10" x14ac:dyDescent="0.3">
      <c r="J59992"/>
    </row>
    <row r="59993" spans="10:10" x14ac:dyDescent="0.3">
      <c r="J59993"/>
    </row>
    <row r="59994" spans="10:10" x14ac:dyDescent="0.3">
      <c r="J59994"/>
    </row>
    <row r="59995" spans="10:10" x14ac:dyDescent="0.3">
      <c r="J59995"/>
    </row>
    <row r="59996" spans="10:10" x14ac:dyDescent="0.3">
      <c r="J59996"/>
    </row>
    <row r="59997" spans="10:10" x14ac:dyDescent="0.3">
      <c r="J59997"/>
    </row>
    <row r="59998" spans="10:10" x14ac:dyDescent="0.3">
      <c r="J59998"/>
    </row>
    <row r="59999" spans="10:10" x14ac:dyDescent="0.3">
      <c r="J59999"/>
    </row>
    <row r="60000" spans="10:10" x14ac:dyDescent="0.3">
      <c r="J60000"/>
    </row>
    <row r="60001" spans="10:10" x14ac:dyDescent="0.3">
      <c r="J60001"/>
    </row>
    <row r="60002" spans="10:10" x14ac:dyDescent="0.3">
      <c r="J60002"/>
    </row>
    <row r="60003" spans="10:10" x14ac:dyDescent="0.3">
      <c r="J60003"/>
    </row>
    <row r="60004" spans="10:10" x14ac:dyDescent="0.3">
      <c r="J60004"/>
    </row>
    <row r="60005" spans="10:10" x14ac:dyDescent="0.3">
      <c r="J60005"/>
    </row>
    <row r="60006" spans="10:10" x14ac:dyDescent="0.3">
      <c r="J60006"/>
    </row>
    <row r="60007" spans="10:10" x14ac:dyDescent="0.3">
      <c r="J60007"/>
    </row>
    <row r="60008" spans="10:10" x14ac:dyDescent="0.3">
      <c r="J60008"/>
    </row>
    <row r="60009" spans="10:10" x14ac:dyDescent="0.3">
      <c r="J60009"/>
    </row>
    <row r="60010" spans="10:10" x14ac:dyDescent="0.3">
      <c r="J60010"/>
    </row>
    <row r="60011" spans="10:10" x14ac:dyDescent="0.3">
      <c r="J60011"/>
    </row>
    <row r="60012" spans="10:10" x14ac:dyDescent="0.3">
      <c r="J60012"/>
    </row>
    <row r="60013" spans="10:10" x14ac:dyDescent="0.3">
      <c r="J60013"/>
    </row>
    <row r="60014" spans="10:10" x14ac:dyDescent="0.3">
      <c r="J60014"/>
    </row>
    <row r="60015" spans="10:10" x14ac:dyDescent="0.3">
      <c r="J60015"/>
    </row>
    <row r="60016" spans="10:10" x14ac:dyDescent="0.3">
      <c r="J60016"/>
    </row>
    <row r="60017" spans="10:10" x14ac:dyDescent="0.3">
      <c r="J60017"/>
    </row>
    <row r="60018" spans="10:10" x14ac:dyDescent="0.3">
      <c r="J60018"/>
    </row>
    <row r="60019" spans="10:10" x14ac:dyDescent="0.3">
      <c r="J60019"/>
    </row>
    <row r="60020" spans="10:10" x14ac:dyDescent="0.3">
      <c r="J60020"/>
    </row>
    <row r="60021" spans="10:10" x14ac:dyDescent="0.3">
      <c r="J60021"/>
    </row>
    <row r="60022" spans="10:10" x14ac:dyDescent="0.3">
      <c r="J60022"/>
    </row>
    <row r="60023" spans="10:10" x14ac:dyDescent="0.3">
      <c r="J60023"/>
    </row>
    <row r="60024" spans="10:10" x14ac:dyDescent="0.3">
      <c r="J60024"/>
    </row>
    <row r="60025" spans="10:10" x14ac:dyDescent="0.3">
      <c r="J60025"/>
    </row>
    <row r="60026" spans="10:10" x14ac:dyDescent="0.3">
      <c r="J60026"/>
    </row>
    <row r="60027" spans="10:10" x14ac:dyDescent="0.3">
      <c r="J60027"/>
    </row>
    <row r="60028" spans="10:10" x14ac:dyDescent="0.3">
      <c r="J60028"/>
    </row>
    <row r="60029" spans="10:10" x14ac:dyDescent="0.3">
      <c r="J60029"/>
    </row>
    <row r="60030" spans="10:10" x14ac:dyDescent="0.3">
      <c r="J60030"/>
    </row>
    <row r="60031" spans="10:10" x14ac:dyDescent="0.3">
      <c r="J60031"/>
    </row>
    <row r="60032" spans="10:10" x14ac:dyDescent="0.3">
      <c r="J60032"/>
    </row>
    <row r="60033" spans="10:10" x14ac:dyDescent="0.3">
      <c r="J60033"/>
    </row>
    <row r="60034" spans="10:10" x14ac:dyDescent="0.3">
      <c r="J60034"/>
    </row>
    <row r="60035" spans="10:10" x14ac:dyDescent="0.3">
      <c r="J60035"/>
    </row>
    <row r="60036" spans="10:10" x14ac:dyDescent="0.3">
      <c r="J60036"/>
    </row>
    <row r="60037" spans="10:10" x14ac:dyDescent="0.3">
      <c r="J60037"/>
    </row>
    <row r="60038" spans="10:10" x14ac:dyDescent="0.3">
      <c r="J60038"/>
    </row>
    <row r="60039" spans="10:10" x14ac:dyDescent="0.3">
      <c r="J60039"/>
    </row>
    <row r="60040" spans="10:10" x14ac:dyDescent="0.3">
      <c r="J60040"/>
    </row>
    <row r="60041" spans="10:10" x14ac:dyDescent="0.3">
      <c r="J60041"/>
    </row>
    <row r="60042" spans="10:10" x14ac:dyDescent="0.3">
      <c r="J60042"/>
    </row>
    <row r="60043" spans="10:10" x14ac:dyDescent="0.3">
      <c r="J60043"/>
    </row>
    <row r="60044" spans="10:10" x14ac:dyDescent="0.3">
      <c r="J60044"/>
    </row>
    <row r="60045" spans="10:10" x14ac:dyDescent="0.3">
      <c r="J60045"/>
    </row>
    <row r="60046" spans="10:10" x14ac:dyDescent="0.3">
      <c r="J60046"/>
    </row>
    <row r="60047" spans="10:10" x14ac:dyDescent="0.3">
      <c r="J60047"/>
    </row>
    <row r="60048" spans="10:10" x14ac:dyDescent="0.3">
      <c r="J60048"/>
    </row>
    <row r="60049" spans="10:10" x14ac:dyDescent="0.3">
      <c r="J60049"/>
    </row>
    <row r="60050" spans="10:10" x14ac:dyDescent="0.3">
      <c r="J60050"/>
    </row>
    <row r="60051" spans="10:10" x14ac:dyDescent="0.3">
      <c r="J60051"/>
    </row>
    <row r="60052" spans="10:10" x14ac:dyDescent="0.3">
      <c r="J60052"/>
    </row>
    <row r="60053" spans="10:10" x14ac:dyDescent="0.3">
      <c r="J60053"/>
    </row>
    <row r="60054" spans="10:10" x14ac:dyDescent="0.3">
      <c r="J60054"/>
    </row>
    <row r="60055" spans="10:10" x14ac:dyDescent="0.3">
      <c r="J60055"/>
    </row>
    <row r="60056" spans="10:10" x14ac:dyDescent="0.3">
      <c r="J60056"/>
    </row>
    <row r="60057" spans="10:10" x14ac:dyDescent="0.3">
      <c r="J60057"/>
    </row>
    <row r="60058" spans="10:10" x14ac:dyDescent="0.3">
      <c r="J60058"/>
    </row>
    <row r="60059" spans="10:10" x14ac:dyDescent="0.3">
      <c r="J60059"/>
    </row>
    <row r="60060" spans="10:10" x14ac:dyDescent="0.3">
      <c r="J60060"/>
    </row>
    <row r="60061" spans="10:10" x14ac:dyDescent="0.3">
      <c r="J60061"/>
    </row>
    <row r="60062" spans="10:10" x14ac:dyDescent="0.3">
      <c r="J60062"/>
    </row>
    <row r="60063" spans="10:10" x14ac:dyDescent="0.3">
      <c r="J60063"/>
    </row>
    <row r="60064" spans="10:10" x14ac:dyDescent="0.3">
      <c r="J60064"/>
    </row>
    <row r="60065" spans="10:10" x14ac:dyDescent="0.3">
      <c r="J60065"/>
    </row>
    <row r="60066" spans="10:10" x14ac:dyDescent="0.3">
      <c r="J60066"/>
    </row>
    <row r="60067" spans="10:10" x14ac:dyDescent="0.3">
      <c r="J60067"/>
    </row>
    <row r="60068" spans="10:10" x14ac:dyDescent="0.3">
      <c r="J60068"/>
    </row>
    <row r="60069" spans="10:10" x14ac:dyDescent="0.3">
      <c r="J60069"/>
    </row>
    <row r="60070" spans="10:10" x14ac:dyDescent="0.3">
      <c r="J60070"/>
    </row>
    <row r="60071" spans="10:10" x14ac:dyDescent="0.3">
      <c r="J60071"/>
    </row>
    <row r="60072" spans="10:10" x14ac:dyDescent="0.3">
      <c r="J60072"/>
    </row>
    <row r="60073" spans="10:10" x14ac:dyDescent="0.3">
      <c r="J60073"/>
    </row>
    <row r="60074" spans="10:10" x14ac:dyDescent="0.3">
      <c r="J60074"/>
    </row>
    <row r="60075" spans="10:10" x14ac:dyDescent="0.3">
      <c r="J60075"/>
    </row>
    <row r="60076" spans="10:10" x14ac:dyDescent="0.3">
      <c r="J60076"/>
    </row>
    <row r="60077" spans="10:10" x14ac:dyDescent="0.3">
      <c r="J60077"/>
    </row>
    <row r="60078" spans="10:10" x14ac:dyDescent="0.3">
      <c r="J60078"/>
    </row>
    <row r="60079" spans="10:10" x14ac:dyDescent="0.3">
      <c r="J60079"/>
    </row>
    <row r="60080" spans="10:10" x14ac:dyDescent="0.3">
      <c r="J60080"/>
    </row>
    <row r="60081" spans="10:10" x14ac:dyDescent="0.3">
      <c r="J60081"/>
    </row>
    <row r="60082" spans="10:10" x14ac:dyDescent="0.3">
      <c r="J60082"/>
    </row>
    <row r="60083" spans="10:10" x14ac:dyDescent="0.3">
      <c r="J60083"/>
    </row>
    <row r="60084" spans="10:10" x14ac:dyDescent="0.3">
      <c r="J60084"/>
    </row>
    <row r="60085" spans="10:10" x14ac:dyDescent="0.3">
      <c r="J60085"/>
    </row>
    <row r="60086" spans="10:10" x14ac:dyDescent="0.3">
      <c r="J60086"/>
    </row>
    <row r="60087" spans="10:10" x14ac:dyDescent="0.3">
      <c r="J60087"/>
    </row>
    <row r="60088" spans="10:10" x14ac:dyDescent="0.3">
      <c r="J60088"/>
    </row>
    <row r="60089" spans="10:10" x14ac:dyDescent="0.3">
      <c r="J60089"/>
    </row>
    <row r="60090" spans="10:10" x14ac:dyDescent="0.3">
      <c r="J60090"/>
    </row>
    <row r="60091" spans="10:10" x14ac:dyDescent="0.3">
      <c r="J60091"/>
    </row>
    <row r="60092" spans="10:10" x14ac:dyDescent="0.3">
      <c r="J60092"/>
    </row>
    <row r="60093" spans="10:10" x14ac:dyDescent="0.3">
      <c r="J60093"/>
    </row>
    <row r="60094" spans="10:10" x14ac:dyDescent="0.3">
      <c r="J60094"/>
    </row>
    <row r="60095" spans="10:10" x14ac:dyDescent="0.3">
      <c r="J60095"/>
    </row>
    <row r="60096" spans="10:10" x14ac:dyDescent="0.3">
      <c r="J60096"/>
    </row>
    <row r="60097" spans="10:10" x14ac:dyDescent="0.3">
      <c r="J60097"/>
    </row>
    <row r="60098" spans="10:10" x14ac:dyDescent="0.3">
      <c r="J60098"/>
    </row>
    <row r="60099" spans="10:10" x14ac:dyDescent="0.3">
      <c r="J60099"/>
    </row>
    <row r="60100" spans="10:10" x14ac:dyDescent="0.3">
      <c r="J60100"/>
    </row>
    <row r="60101" spans="10:10" x14ac:dyDescent="0.3">
      <c r="J60101"/>
    </row>
    <row r="60102" spans="10:10" x14ac:dyDescent="0.3">
      <c r="J60102"/>
    </row>
    <row r="60103" spans="10:10" x14ac:dyDescent="0.3">
      <c r="J60103"/>
    </row>
    <row r="60104" spans="10:10" x14ac:dyDescent="0.3">
      <c r="J60104"/>
    </row>
    <row r="60105" spans="10:10" x14ac:dyDescent="0.3">
      <c r="J60105"/>
    </row>
    <row r="60106" spans="10:10" x14ac:dyDescent="0.3">
      <c r="J60106"/>
    </row>
    <row r="60107" spans="10:10" x14ac:dyDescent="0.3">
      <c r="J60107"/>
    </row>
    <row r="60108" spans="10:10" x14ac:dyDescent="0.3">
      <c r="J60108"/>
    </row>
    <row r="60109" spans="10:10" x14ac:dyDescent="0.3">
      <c r="J60109"/>
    </row>
    <row r="60110" spans="10:10" x14ac:dyDescent="0.3">
      <c r="J60110"/>
    </row>
    <row r="60111" spans="10:10" x14ac:dyDescent="0.3">
      <c r="J60111"/>
    </row>
    <row r="60112" spans="10:10" x14ac:dyDescent="0.3">
      <c r="J60112"/>
    </row>
    <row r="60113" spans="10:10" x14ac:dyDescent="0.3">
      <c r="J60113"/>
    </row>
    <row r="60114" spans="10:10" x14ac:dyDescent="0.3">
      <c r="J60114"/>
    </row>
    <row r="60115" spans="10:10" x14ac:dyDescent="0.3">
      <c r="J60115"/>
    </row>
    <row r="60116" spans="10:10" x14ac:dyDescent="0.3">
      <c r="J60116"/>
    </row>
    <row r="60117" spans="10:10" x14ac:dyDescent="0.3">
      <c r="J60117"/>
    </row>
    <row r="60118" spans="10:10" x14ac:dyDescent="0.3">
      <c r="J60118"/>
    </row>
    <row r="60119" spans="10:10" x14ac:dyDescent="0.3">
      <c r="J60119"/>
    </row>
    <row r="60120" spans="10:10" x14ac:dyDescent="0.3">
      <c r="J60120"/>
    </row>
    <row r="60121" spans="10:10" x14ac:dyDescent="0.3">
      <c r="J60121"/>
    </row>
    <row r="60122" spans="10:10" x14ac:dyDescent="0.3">
      <c r="J60122"/>
    </row>
    <row r="60123" spans="10:10" x14ac:dyDescent="0.3">
      <c r="J60123"/>
    </row>
    <row r="60124" spans="10:10" x14ac:dyDescent="0.3">
      <c r="J60124"/>
    </row>
    <row r="60125" spans="10:10" x14ac:dyDescent="0.3">
      <c r="J60125"/>
    </row>
    <row r="60126" spans="10:10" x14ac:dyDescent="0.3">
      <c r="J60126"/>
    </row>
    <row r="60127" spans="10:10" x14ac:dyDescent="0.3">
      <c r="J60127"/>
    </row>
    <row r="60128" spans="10:10" x14ac:dyDescent="0.3">
      <c r="J60128"/>
    </row>
    <row r="60129" spans="10:10" x14ac:dyDescent="0.3">
      <c r="J60129"/>
    </row>
    <row r="60130" spans="10:10" x14ac:dyDescent="0.3">
      <c r="J60130"/>
    </row>
    <row r="60131" spans="10:10" x14ac:dyDescent="0.3">
      <c r="J60131"/>
    </row>
    <row r="60132" spans="10:10" x14ac:dyDescent="0.3">
      <c r="J60132"/>
    </row>
    <row r="60133" spans="10:10" x14ac:dyDescent="0.3">
      <c r="J60133"/>
    </row>
    <row r="60134" spans="10:10" x14ac:dyDescent="0.3">
      <c r="J60134"/>
    </row>
    <row r="60135" spans="10:10" x14ac:dyDescent="0.3">
      <c r="J60135"/>
    </row>
    <row r="60136" spans="10:10" x14ac:dyDescent="0.3">
      <c r="J60136"/>
    </row>
    <row r="60137" spans="10:10" x14ac:dyDescent="0.3">
      <c r="J60137"/>
    </row>
    <row r="60138" spans="10:10" x14ac:dyDescent="0.3">
      <c r="J60138"/>
    </row>
    <row r="60139" spans="10:10" x14ac:dyDescent="0.3">
      <c r="J60139"/>
    </row>
    <row r="60140" spans="10:10" x14ac:dyDescent="0.3">
      <c r="J60140"/>
    </row>
    <row r="60141" spans="10:10" x14ac:dyDescent="0.3">
      <c r="J60141"/>
    </row>
    <row r="60142" spans="10:10" x14ac:dyDescent="0.3">
      <c r="J60142"/>
    </row>
    <row r="60143" spans="10:10" x14ac:dyDescent="0.3">
      <c r="J60143"/>
    </row>
    <row r="60144" spans="10:10" x14ac:dyDescent="0.3">
      <c r="J60144"/>
    </row>
    <row r="60145" spans="10:10" x14ac:dyDescent="0.3">
      <c r="J60145"/>
    </row>
    <row r="60146" spans="10:10" x14ac:dyDescent="0.3">
      <c r="J60146"/>
    </row>
    <row r="60147" spans="10:10" x14ac:dyDescent="0.3">
      <c r="J60147"/>
    </row>
    <row r="60148" spans="10:10" x14ac:dyDescent="0.3">
      <c r="J60148"/>
    </row>
    <row r="60149" spans="10:10" x14ac:dyDescent="0.3">
      <c r="J60149"/>
    </row>
    <row r="60150" spans="10:10" x14ac:dyDescent="0.3">
      <c r="J60150"/>
    </row>
    <row r="60151" spans="10:10" x14ac:dyDescent="0.3">
      <c r="J60151"/>
    </row>
    <row r="60152" spans="10:10" x14ac:dyDescent="0.3">
      <c r="J60152"/>
    </row>
    <row r="60153" spans="10:10" x14ac:dyDescent="0.3">
      <c r="J60153"/>
    </row>
    <row r="60154" spans="10:10" x14ac:dyDescent="0.3">
      <c r="J60154"/>
    </row>
    <row r="60155" spans="10:10" x14ac:dyDescent="0.3">
      <c r="J60155"/>
    </row>
    <row r="60156" spans="10:10" x14ac:dyDescent="0.3">
      <c r="J60156"/>
    </row>
    <row r="60157" spans="10:10" x14ac:dyDescent="0.3">
      <c r="J60157"/>
    </row>
    <row r="60158" spans="10:10" x14ac:dyDescent="0.3">
      <c r="J60158"/>
    </row>
    <row r="60159" spans="10:10" x14ac:dyDescent="0.3">
      <c r="J60159"/>
    </row>
    <row r="60160" spans="10:10" x14ac:dyDescent="0.3">
      <c r="J60160"/>
    </row>
    <row r="60161" spans="10:10" x14ac:dyDescent="0.3">
      <c r="J60161"/>
    </row>
    <row r="60162" spans="10:10" x14ac:dyDescent="0.3">
      <c r="J60162"/>
    </row>
    <row r="60163" spans="10:10" x14ac:dyDescent="0.3">
      <c r="J60163"/>
    </row>
    <row r="60164" spans="10:10" x14ac:dyDescent="0.3">
      <c r="J60164"/>
    </row>
    <row r="60165" spans="10:10" x14ac:dyDescent="0.3">
      <c r="J60165"/>
    </row>
    <row r="60166" spans="10:10" x14ac:dyDescent="0.3">
      <c r="J60166"/>
    </row>
    <row r="60167" spans="10:10" x14ac:dyDescent="0.3">
      <c r="J60167"/>
    </row>
    <row r="60168" spans="10:10" x14ac:dyDescent="0.3">
      <c r="J60168"/>
    </row>
    <row r="60169" spans="10:10" x14ac:dyDescent="0.3">
      <c r="J60169"/>
    </row>
    <row r="60170" spans="10:10" x14ac:dyDescent="0.3">
      <c r="J60170"/>
    </row>
    <row r="60171" spans="10:10" x14ac:dyDescent="0.3">
      <c r="J60171"/>
    </row>
    <row r="60172" spans="10:10" x14ac:dyDescent="0.3">
      <c r="J60172"/>
    </row>
    <row r="60173" spans="10:10" x14ac:dyDescent="0.3">
      <c r="J60173"/>
    </row>
    <row r="60174" spans="10:10" x14ac:dyDescent="0.3">
      <c r="J60174"/>
    </row>
    <row r="60175" spans="10:10" x14ac:dyDescent="0.3">
      <c r="J60175"/>
    </row>
    <row r="60176" spans="10:10" x14ac:dyDescent="0.3">
      <c r="J60176"/>
    </row>
    <row r="60177" spans="10:10" x14ac:dyDescent="0.3">
      <c r="J60177"/>
    </row>
    <row r="60178" spans="10:10" x14ac:dyDescent="0.3">
      <c r="J60178"/>
    </row>
    <row r="60179" spans="10:10" x14ac:dyDescent="0.3">
      <c r="J60179"/>
    </row>
    <row r="60180" spans="10:10" x14ac:dyDescent="0.3">
      <c r="J60180"/>
    </row>
    <row r="60181" spans="10:10" x14ac:dyDescent="0.3">
      <c r="J60181"/>
    </row>
    <row r="60182" spans="10:10" x14ac:dyDescent="0.3">
      <c r="J60182"/>
    </row>
    <row r="60183" spans="10:10" x14ac:dyDescent="0.3">
      <c r="J60183"/>
    </row>
    <row r="60184" spans="10:10" x14ac:dyDescent="0.3">
      <c r="J60184"/>
    </row>
    <row r="60185" spans="10:10" x14ac:dyDescent="0.3">
      <c r="J60185"/>
    </row>
    <row r="60186" spans="10:10" x14ac:dyDescent="0.3">
      <c r="J60186"/>
    </row>
    <row r="60187" spans="10:10" x14ac:dyDescent="0.3">
      <c r="J60187"/>
    </row>
    <row r="60188" spans="10:10" x14ac:dyDescent="0.3">
      <c r="J60188"/>
    </row>
    <row r="60189" spans="10:10" x14ac:dyDescent="0.3">
      <c r="J60189"/>
    </row>
    <row r="60190" spans="10:10" x14ac:dyDescent="0.3">
      <c r="J60190"/>
    </row>
    <row r="60191" spans="10:10" x14ac:dyDescent="0.3">
      <c r="J60191"/>
    </row>
    <row r="60192" spans="10:10" x14ac:dyDescent="0.3">
      <c r="J60192"/>
    </row>
    <row r="60193" spans="10:10" x14ac:dyDescent="0.3">
      <c r="J60193"/>
    </row>
    <row r="60194" spans="10:10" x14ac:dyDescent="0.3">
      <c r="J60194"/>
    </row>
    <row r="60195" spans="10:10" x14ac:dyDescent="0.3">
      <c r="J60195"/>
    </row>
    <row r="60196" spans="10:10" x14ac:dyDescent="0.3">
      <c r="J60196"/>
    </row>
    <row r="60197" spans="10:10" x14ac:dyDescent="0.3">
      <c r="J60197"/>
    </row>
    <row r="60198" spans="10:10" x14ac:dyDescent="0.3">
      <c r="J60198"/>
    </row>
    <row r="60199" spans="10:10" x14ac:dyDescent="0.3">
      <c r="J60199"/>
    </row>
    <row r="60200" spans="10:10" x14ac:dyDescent="0.3">
      <c r="J60200"/>
    </row>
    <row r="60201" spans="10:10" x14ac:dyDescent="0.3">
      <c r="J60201"/>
    </row>
    <row r="60202" spans="10:10" x14ac:dyDescent="0.3">
      <c r="J60202"/>
    </row>
    <row r="60203" spans="10:10" x14ac:dyDescent="0.3">
      <c r="J60203"/>
    </row>
    <row r="60204" spans="10:10" x14ac:dyDescent="0.3">
      <c r="J60204"/>
    </row>
    <row r="60205" spans="10:10" x14ac:dyDescent="0.3">
      <c r="J60205"/>
    </row>
    <row r="60206" spans="10:10" x14ac:dyDescent="0.3">
      <c r="J60206"/>
    </row>
    <row r="60207" spans="10:10" x14ac:dyDescent="0.3">
      <c r="J60207"/>
    </row>
    <row r="60208" spans="10:10" x14ac:dyDescent="0.3">
      <c r="J60208"/>
    </row>
    <row r="60209" spans="10:10" x14ac:dyDescent="0.3">
      <c r="J60209"/>
    </row>
    <row r="60210" spans="10:10" x14ac:dyDescent="0.3">
      <c r="J60210"/>
    </row>
    <row r="60211" spans="10:10" x14ac:dyDescent="0.3">
      <c r="J60211"/>
    </row>
    <row r="60212" spans="10:10" x14ac:dyDescent="0.3">
      <c r="J60212"/>
    </row>
    <row r="60213" spans="10:10" x14ac:dyDescent="0.3">
      <c r="J60213"/>
    </row>
    <row r="60214" spans="10:10" x14ac:dyDescent="0.3">
      <c r="J60214"/>
    </row>
    <row r="60215" spans="10:10" x14ac:dyDescent="0.3">
      <c r="J60215"/>
    </row>
    <row r="60216" spans="10:10" x14ac:dyDescent="0.3">
      <c r="J60216"/>
    </row>
    <row r="60217" spans="10:10" x14ac:dyDescent="0.3">
      <c r="J60217"/>
    </row>
    <row r="60218" spans="10:10" x14ac:dyDescent="0.3">
      <c r="J60218"/>
    </row>
    <row r="60219" spans="10:10" x14ac:dyDescent="0.3">
      <c r="J60219"/>
    </row>
    <row r="60220" spans="10:10" x14ac:dyDescent="0.3">
      <c r="J60220"/>
    </row>
    <row r="60221" spans="10:10" x14ac:dyDescent="0.3">
      <c r="J60221"/>
    </row>
    <row r="60222" spans="10:10" x14ac:dyDescent="0.3">
      <c r="J60222"/>
    </row>
    <row r="60223" spans="10:10" x14ac:dyDescent="0.3">
      <c r="J60223"/>
    </row>
    <row r="60224" spans="10:10" x14ac:dyDescent="0.3">
      <c r="J60224"/>
    </row>
    <row r="60225" spans="10:10" x14ac:dyDescent="0.3">
      <c r="J60225"/>
    </row>
    <row r="60226" spans="10:10" x14ac:dyDescent="0.3">
      <c r="J60226"/>
    </row>
    <row r="60227" spans="10:10" x14ac:dyDescent="0.3">
      <c r="J60227"/>
    </row>
    <row r="60228" spans="10:10" x14ac:dyDescent="0.3">
      <c r="J60228"/>
    </row>
    <row r="60229" spans="10:10" x14ac:dyDescent="0.3">
      <c r="J60229"/>
    </row>
    <row r="60230" spans="10:10" x14ac:dyDescent="0.3">
      <c r="J60230"/>
    </row>
    <row r="60231" spans="10:10" x14ac:dyDescent="0.3">
      <c r="J60231"/>
    </row>
    <row r="60232" spans="10:10" x14ac:dyDescent="0.3">
      <c r="J60232"/>
    </row>
    <row r="60233" spans="10:10" x14ac:dyDescent="0.3">
      <c r="J60233"/>
    </row>
    <row r="60234" spans="10:10" x14ac:dyDescent="0.3">
      <c r="J60234"/>
    </row>
    <row r="60235" spans="10:10" x14ac:dyDescent="0.3">
      <c r="J60235"/>
    </row>
    <row r="60236" spans="10:10" x14ac:dyDescent="0.3">
      <c r="J60236"/>
    </row>
    <row r="60237" spans="10:10" x14ac:dyDescent="0.3">
      <c r="J60237"/>
    </row>
    <row r="60238" spans="10:10" x14ac:dyDescent="0.3">
      <c r="J60238"/>
    </row>
    <row r="60239" spans="10:10" x14ac:dyDescent="0.3">
      <c r="J60239"/>
    </row>
    <row r="60240" spans="10:10" x14ac:dyDescent="0.3">
      <c r="J60240"/>
    </row>
    <row r="60241" spans="10:10" x14ac:dyDescent="0.3">
      <c r="J60241"/>
    </row>
    <row r="60242" spans="10:10" x14ac:dyDescent="0.3">
      <c r="J60242"/>
    </row>
    <row r="60243" spans="10:10" x14ac:dyDescent="0.3">
      <c r="J60243"/>
    </row>
    <row r="60244" spans="10:10" x14ac:dyDescent="0.3">
      <c r="J60244"/>
    </row>
    <row r="60245" spans="10:10" x14ac:dyDescent="0.3">
      <c r="J60245"/>
    </row>
    <row r="60246" spans="10:10" x14ac:dyDescent="0.3">
      <c r="J60246"/>
    </row>
    <row r="60247" spans="10:10" x14ac:dyDescent="0.3">
      <c r="J60247"/>
    </row>
    <row r="60248" spans="10:10" x14ac:dyDescent="0.3">
      <c r="J60248"/>
    </row>
    <row r="60249" spans="10:10" x14ac:dyDescent="0.3">
      <c r="J60249"/>
    </row>
    <row r="60250" spans="10:10" x14ac:dyDescent="0.3">
      <c r="J60250"/>
    </row>
    <row r="60251" spans="10:10" x14ac:dyDescent="0.3">
      <c r="J60251"/>
    </row>
    <row r="60252" spans="10:10" x14ac:dyDescent="0.3">
      <c r="J60252"/>
    </row>
    <row r="60253" spans="10:10" x14ac:dyDescent="0.3">
      <c r="J60253"/>
    </row>
    <row r="60254" spans="10:10" x14ac:dyDescent="0.3">
      <c r="J60254"/>
    </row>
    <row r="60255" spans="10:10" x14ac:dyDescent="0.3">
      <c r="J60255"/>
    </row>
    <row r="60256" spans="10:10" x14ac:dyDescent="0.3">
      <c r="J60256"/>
    </row>
    <row r="60257" spans="10:10" x14ac:dyDescent="0.3">
      <c r="J60257"/>
    </row>
    <row r="60258" spans="10:10" x14ac:dyDescent="0.3">
      <c r="J60258"/>
    </row>
    <row r="60259" spans="10:10" x14ac:dyDescent="0.3">
      <c r="J60259"/>
    </row>
    <row r="60260" spans="10:10" x14ac:dyDescent="0.3">
      <c r="J60260"/>
    </row>
    <row r="60261" spans="10:10" x14ac:dyDescent="0.3">
      <c r="J60261"/>
    </row>
    <row r="60262" spans="10:10" x14ac:dyDescent="0.3">
      <c r="J60262"/>
    </row>
    <row r="60263" spans="10:10" x14ac:dyDescent="0.3">
      <c r="J60263"/>
    </row>
    <row r="60264" spans="10:10" x14ac:dyDescent="0.3">
      <c r="J60264"/>
    </row>
    <row r="60265" spans="10:10" x14ac:dyDescent="0.3">
      <c r="J60265"/>
    </row>
    <row r="60266" spans="10:10" x14ac:dyDescent="0.3">
      <c r="J60266"/>
    </row>
    <row r="60267" spans="10:10" x14ac:dyDescent="0.3">
      <c r="J60267"/>
    </row>
    <row r="60268" spans="10:10" x14ac:dyDescent="0.3">
      <c r="J60268"/>
    </row>
    <row r="60269" spans="10:10" x14ac:dyDescent="0.3">
      <c r="J60269"/>
    </row>
    <row r="60270" spans="10:10" x14ac:dyDescent="0.3">
      <c r="J60270"/>
    </row>
    <row r="60271" spans="10:10" x14ac:dyDescent="0.3">
      <c r="J60271"/>
    </row>
    <row r="60272" spans="10:10" x14ac:dyDescent="0.3">
      <c r="J60272"/>
    </row>
    <row r="60273" spans="10:10" x14ac:dyDescent="0.3">
      <c r="J60273"/>
    </row>
    <row r="60274" spans="10:10" x14ac:dyDescent="0.3">
      <c r="J60274"/>
    </row>
    <row r="60275" spans="10:10" x14ac:dyDescent="0.3">
      <c r="J60275"/>
    </row>
    <row r="60276" spans="10:10" x14ac:dyDescent="0.3">
      <c r="J60276"/>
    </row>
    <row r="60277" spans="10:10" x14ac:dyDescent="0.3">
      <c r="J60277"/>
    </row>
    <row r="60278" spans="10:10" x14ac:dyDescent="0.3">
      <c r="J60278"/>
    </row>
    <row r="60279" spans="10:10" x14ac:dyDescent="0.3">
      <c r="J60279"/>
    </row>
    <row r="60280" spans="10:10" x14ac:dyDescent="0.3">
      <c r="J60280"/>
    </row>
    <row r="60281" spans="10:10" x14ac:dyDescent="0.3">
      <c r="J60281"/>
    </row>
    <row r="60282" spans="10:10" x14ac:dyDescent="0.3">
      <c r="J60282"/>
    </row>
    <row r="60283" spans="10:10" x14ac:dyDescent="0.3">
      <c r="J60283"/>
    </row>
    <row r="60284" spans="10:10" x14ac:dyDescent="0.3">
      <c r="J60284"/>
    </row>
    <row r="60285" spans="10:10" x14ac:dyDescent="0.3">
      <c r="J60285"/>
    </row>
    <row r="60286" spans="10:10" x14ac:dyDescent="0.3">
      <c r="J60286"/>
    </row>
    <row r="60287" spans="10:10" x14ac:dyDescent="0.3">
      <c r="J60287"/>
    </row>
    <row r="60288" spans="10:10" x14ac:dyDescent="0.3">
      <c r="J60288"/>
    </row>
    <row r="60289" spans="10:10" x14ac:dyDescent="0.3">
      <c r="J60289"/>
    </row>
    <row r="60290" spans="10:10" x14ac:dyDescent="0.3">
      <c r="J60290"/>
    </row>
    <row r="60291" spans="10:10" x14ac:dyDescent="0.3">
      <c r="J60291"/>
    </row>
    <row r="60292" spans="10:10" x14ac:dyDescent="0.3">
      <c r="J60292"/>
    </row>
    <row r="60293" spans="10:10" x14ac:dyDescent="0.3">
      <c r="J60293"/>
    </row>
    <row r="60294" spans="10:10" x14ac:dyDescent="0.3">
      <c r="J60294"/>
    </row>
    <row r="60295" spans="10:10" x14ac:dyDescent="0.3">
      <c r="J60295"/>
    </row>
    <row r="60296" spans="10:10" x14ac:dyDescent="0.3">
      <c r="J60296"/>
    </row>
    <row r="60297" spans="10:10" x14ac:dyDescent="0.3">
      <c r="J60297"/>
    </row>
    <row r="60298" spans="10:10" x14ac:dyDescent="0.3">
      <c r="J60298"/>
    </row>
    <row r="60299" spans="10:10" x14ac:dyDescent="0.3">
      <c r="J60299"/>
    </row>
    <row r="60300" spans="10:10" x14ac:dyDescent="0.3">
      <c r="J60300"/>
    </row>
    <row r="60301" spans="10:10" x14ac:dyDescent="0.3">
      <c r="J60301"/>
    </row>
    <row r="60302" spans="10:10" x14ac:dyDescent="0.3">
      <c r="J60302"/>
    </row>
    <row r="60303" spans="10:10" x14ac:dyDescent="0.3">
      <c r="J60303"/>
    </row>
    <row r="60304" spans="10:10" x14ac:dyDescent="0.3">
      <c r="J60304"/>
    </row>
    <row r="60305" spans="10:10" x14ac:dyDescent="0.3">
      <c r="J60305"/>
    </row>
    <row r="60306" spans="10:10" x14ac:dyDescent="0.3">
      <c r="J60306"/>
    </row>
    <row r="60307" spans="10:10" x14ac:dyDescent="0.3">
      <c r="J60307"/>
    </row>
    <row r="60308" spans="10:10" x14ac:dyDescent="0.3">
      <c r="J60308"/>
    </row>
    <row r="60309" spans="10:10" x14ac:dyDescent="0.3">
      <c r="J60309"/>
    </row>
    <row r="60310" spans="10:10" x14ac:dyDescent="0.3">
      <c r="J60310"/>
    </row>
    <row r="60311" spans="10:10" x14ac:dyDescent="0.3">
      <c r="J60311"/>
    </row>
    <row r="60312" spans="10:10" x14ac:dyDescent="0.3">
      <c r="J60312"/>
    </row>
    <row r="60313" spans="10:10" x14ac:dyDescent="0.3">
      <c r="J60313"/>
    </row>
    <row r="60314" spans="10:10" x14ac:dyDescent="0.3">
      <c r="J60314"/>
    </row>
    <row r="60315" spans="10:10" x14ac:dyDescent="0.3">
      <c r="J60315"/>
    </row>
    <row r="60316" spans="10:10" x14ac:dyDescent="0.3">
      <c r="J60316"/>
    </row>
    <row r="60317" spans="10:10" x14ac:dyDescent="0.3">
      <c r="J60317"/>
    </row>
    <row r="60318" spans="10:10" x14ac:dyDescent="0.3">
      <c r="J60318"/>
    </row>
    <row r="60319" spans="10:10" x14ac:dyDescent="0.3">
      <c r="J60319"/>
    </row>
    <row r="60320" spans="10:10" x14ac:dyDescent="0.3">
      <c r="J60320"/>
    </row>
    <row r="60321" spans="10:10" x14ac:dyDescent="0.3">
      <c r="J60321"/>
    </row>
    <row r="60322" spans="10:10" x14ac:dyDescent="0.3">
      <c r="J60322"/>
    </row>
    <row r="60323" spans="10:10" x14ac:dyDescent="0.3">
      <c r="J60323"/>
    </row>
    <row r="60324" spans="10:10" x14ac:dyDescent="0.3">
      <c r="J60324"/>
    </row>
    <row r="60325" spans="10:10" x14ac:dyDescent="0.3">
      <c r="J60325"/>
    </row>
    <row r="60326" spans="10:10" x14ac:dyDescent="0.3">
      <c r="J60326"/>
    </row>
    <row r="60327" spans="10:10" x14ac:dyDescent="0.3">
      <c r="J60327"/>
    </row>
    <row r="60328" spans="10:10" x14ac:dyDescent="0.3">
      <c r="J60328"/>
    </row>
    <row r="60329" spans="10:10" x14ac:dyDescent="0.3">
      <c r="J60329"/>
    </row>
    <row r="60330" spans="10:10" x14ac:dyDescent="0.3">
      <c r="J60330"/>
    </row>
    <row r="60331" spans="10:10" x14ac:dyDescent="0.3">
      <c r="J60331"/>
    </row>
    <row r="60332" spans="10:10" x14ac:dyDescent="0.3">
      <c r="J60332"/>
    </row>
    <row r="60333" spans="10:10" x14ac:dyDescent="0.3">
      <c r="J60333"/>
    </row>
    <row r="60334" spans="10:10" x14ac:dyDescent="0.3">
      <c r="J60334"/>
    </row>
    <row r="60335" spans="10:10" x14ac:dyDescent="0.3">
      <c r="J60335"/>
    </row>
    <row r="60336" spans="10:10" x14ac:dyDescent="0.3">
      <c r="J60336"/>
    </row>
    <row r="60337" spans="10:10" x14ac:dyDescent="0.3">
      <c r="J60337"/>
    </row>
    <row r="60338" spans="10:10" x14ac:dyDescent="0.3">
      <c r="J60338"/>
    </row>
    <row r="60339" spans="10:10" x14ac:dyDescent="0.3">
      <c r="J60339"/>
    </row>
    <row r="60340" spans="10:10" x14ac:dyDescent="0.3">
      <c r="J60340"/>
    </row>
    <row r="60341" spans="10:10" x14ac:dyDescent="0.3">
      <c r="J60341"/>
    </row>
    <row r="60342" spans="10:10" x14ac:dyDescent="0.3">
      <c r="J60342"/>
    </row>
    <row r="60343" spans="10:10" x14ac:dyDescent="0.3">
      <c r="J60343"/>
    </row>
    <row r="60344" spans="10:10" x14ac:dyDescent="0.3">
      <c r="J60344"/>
    </row>
    <row r="60345" spans="10:10" x14ac:dyDescent="0.3">
      <c r="J60345"/>
    </row>
    <row r="60346" spans="10:10" x14ac:dyDescent="0.3">
      <c r="J60346"/>
    </row>
    <row r="60347" spans="10:10" x14ac:dyDescent="0.3">
      <c r="J60347"/>
    </row>
    <row r="60348" spans="10:10" x14ac:dyDescent="0.3">
      <c r="J60348"/>
    </row>
    <row r="60349" spans="10:10" x14ac:dyDescent="0.3">
      <c r="J60349"/>
    </row>
    <row r="60350" spans="10:10" x14ac:dyDescent="0.3">
      <c r="J60350"/>
    </row>
    <row r="60351" spans="10:10" x14ac:dyDescent="0.3">
      <c r="J60351"/>
    </row>
    <row r="60352" spans="10:10" x14ac:dyDescent="0.3">
      <c r="J60352"/>
    </row>
    <row r="60353" spans="10:10" x14ac:dyDescent="0.3">
      <c r="J60353"/>
    </row>
    <row r="60354" spans="10:10" x14ac:dyDescent="0.3">
      <c r="J60354"/>
    </row>
    <row r="60355" spans="10:10" x14ac:dyDescent="0.3">
      <c r="J60355"/>
    </row>
    <row r="60356" spans="10:10" x14ac:dyDescent="0.3">
      <c r="J60356"/>
    </row>
    <row r="60357" spans="10:10" x14ac:dyDescent="0.3">
      <c r="J60357"/>
    </row>
    <row r="60358" spans="10:10" x14ac:dyDescent="0.3">
      <c r="J60358"/>
    </row>
    <row r="60359" spans="10:10" x14ac:dyDescent="0.3">
      <c r="J60359"/>
    </row>
    <row r="60360" spans="10:10" x14ac:dyDescent="0.3">
      <c r="J60360"/>
    </row>
    <row r="60361" spans="10:10" x14ac:dyDescent="0.3">
      <c r="J60361"/>
    </row>
    <row r="60362" spans="10:10" x14ac:dyDescent="0.3">
      <c r="J60362"/>
    </row>
    <row r="60363" spans="10:10" x14ac:dyDescent="0.3">
      <c r="J60363"/>
    </row>
    <row r="60364" spans="10:10" x14ac:dyDescent="0.3">
      <c r="J60364"/>
    </row>
    <row r="60365" spans="10:10" x14ac:dyDescent="0.3">
      <c r="J60365"/>
    </row>
    <row r="60366" spans="10:10" x14ac:dyDescent="0.3">
      <c r="J60366"/>
    </row>
    <row r="60367" spans="10:10" x14ac:dyDescent="0.3">
      <c r="J60367"/>
    </row>
    <row r="60368" spans="10:10" x14ac:dyDescent="0.3">
      <c r="J60368"/>
    </row>
    <row r="60369" spans="10:10" x14ac:dyDescent="0.3">
      <c r="J60369"/>
    </row>
    <row r="60370" spans="10:10" x14ac:dyDescent="0.3">
      <c r="J60370"/>
    </row>
    <row r="60371" spans="10:10" x14ac:dyDescent="0.3">
      <c r="J60371"/>
    </row>
    <row r="60372" spans="10:10" x14ac:dyDescent="0.3">
      <c r="J60372"/>
    </row>
    <row r="60373" spans="10:10" x14ac:dyDescent="0.3">
      <c r="J60373"/>
    </row>
    <row r="60374" spans="10:10" x14ac:dyDescent="0.3">
      <c r="J60374"/>
    </row>
    <row r="60375" spans="10:10" x14ac:dyDescent="0.3">
      <c r="J60375"/>
    </row>
    <row r="60376" spans="10:10" x14ac:dyDescent="0.3">
      <c r="J60376"/>
    </row>
    <row r="60377" spans="10:10" x14ac:dyDescent="0.3">
      <c r="J60377"/>
    </row>
    <row r="60378" spans="10:10" x14ac:dyDescent="0.3">
      <c r="J60378"/>
    </row>
    <row r="60379" spans="10:10" x14ac:dyDescent="0.3">
      <c r="J60379"/>
    </row>
    <row r="60380" spans="10:10" x14ac:dyDescent="0.3">
      <c r="J60380"/>
    </row>
    <row r="60381" spans="10:10" x14ac:dyDescent="0.3">
      <c r="J60381"/>
    </row>
    <row r="60382" spans="10:10" x14ac:dyDescent="0.3">
      <c r="J60382"/>
    </row>
    <row r="60383" spans="10:10" x14ac:dyDescent="0.3">
      <c r="J60383"/>
    </row>
    <row r="60384" spans="10:10" x14ac:dyDescent="0.3">
      <c r="J60384"/>
    </row>
    <row r="60385" spans="10:10" x14ac:dyDescent="0.3">
      <c r="J60385"/>
    </row>
    <row r="60386" spans="10:10" x14ac:dyDescent="0.3">
      <c r="J60386"/>
    </row>
    <row r="60387" spans="10:10" x14ac:dyDescent="0.3">
      <c r="J60387"/>
    </row>
    <row r="60388" spans="10:10" x14ac:dyDescent="0.3">
      <c r="J60388"/>
    </row>
    <row r="60389" spans="10:10" x14ac:dyDescent="0.3">
      <c r="J60389"/>
    </row>
    <row r="60390" spans="10:10" x14ac:dyDescent="0.3">
      <c r="J60390"/>
    </row>
    <row r="60391" spans="10:10" x14ac:dyDescent="0.3">
      <c r="J60391"/>
    </row>
    <row r="60392" spans="10:10" x14ac:dyDescent="0.3">
      <c r="J60392"/>
    </row>
    <row r="60393" spans="10:10" x14ac:dyDescent="0.3">
      <c r="J60393"/>
    </row>
    <row r="60394" spans="10:10" x14ac:dyDescent="0.3">
      <c r="J60394"/>
    </row>
    <row r="60395" spans="10:10" x14ac:dyDescent="0.3">
      <c r="J60395"/>
    </row>
    <row r="60396" spans="10:10" x14ac:dyDescent="0.3">
      <c r="J60396"/>
    </row>
    <row r="60397" spans="10:10" x14ac:dyDescent="0.3">
      <c r="J60397"/>
    </row>
    <row r="60398" spans="10:10" x14ac:dyDescent="0.3">
      <c r="J60398"/>
    </row>
    <row r="60399" spans="10:10" x14ac:dyDescent="0.3">
      <c r="J60399"/>
    </row>
    <row r="60400" spans="10:10" x14ac:dyDescent="0.3">
      <c r="J60400"/>
    </row>
    <row r="60401" spans="10:10" x14ac:dyDescent="0.3">
      <c r="J60401"/>
    </row>
    <row r="60402" spans="10:10" x14ac:dyDescent="0.3">
      <c r="J60402"/>
    </row>
    <row r="60403" spans="10:10" x14ac:dyDescent="0.3">
      <c r="J60403"/>
    </row>
    <row r="60404" spans="10:10" x14ac:dyDescent="0.3">
      <c r="J60404"/>
    </row>
    <row r="60405" spans="10:10" x14ac:dyDescent="0.3">
      <c r="J60405"/>
    </row>
    <row r="60406" spans="10:10" x14ac:dyDescent="0.3">
      <c r="J60406"/>
    </row>
    <row r="60407" spans="10:10" x14ac:dyDescent="0.3">
      <c r="J60407"/>
    </row>
    <row r="60408" spans="10:10" x14ac:dyDescent="0.3">
      <c r="J60408"/>
    </row>
    <row r="60409" spans="10:10" x14ac:dyDescent="0.3">
      <c r="J60409"/>
    </row>
    <row r="60410" spans="10:10" x14ac:dyDescent="0.3">
      <c r="J60410"/>
    </row>
    <row r="60411" spans="10:10" x14ac:dyDescent="0.3">
      <c r="J60411"/>
    </row>
    <row r="60412" spans="10:10" x14ac:dyDescent="0.3">
      <c r="J60412"/>
    </row>
    <row r="60413" spans="10:10" x14ac:dyDescent="0.3">
      <c r="J60413"/>
    </row>
    <row r="60414" spans="10:10" x14ac:dyDescent="0.3">
      <c r="J60414"/>
    </row>
    <row r="60415" spans="10:10" x14ac:dyDescent="0.3">
      <c r="J60415"/>
    </row>
    <row r="60416" spans="10:10" x14ac:dyDescent="0.3">
      <c r="J60416"/>
    </row>
    <row r="60417" spans="10:10" x14ac:dyDescent="0.3">
      <c r="J60417"/>
    </row>
    <row r="60418" spans="10:10" x14ac:dyDescent="0.3">
      <c r="J60418"/>
    </row>
    <row r="60419" spans="10:10" x14ac:dyDescent="0.3">
      <c r="J60419"/>
    </row>
    <row r="60420" spans="10:10" x14ac:dyDescent="0.3">
      <c r="J60420"/>
    </row>
    <row r="60421" spans="10:10" x14ac:dyDescent="0.3">
      <c r="J60421"/>
    </row>
    <row r="60422" spans="10:10" x14ac:dyDescent="0.3">
      <c r="J60422"/>
    </row>
    <row r="60423" spans="10:10" x14ac:dyDescent="0.3">
      <c r="J60423"/>
    </row>
    <row r="60424" spans="10:10" x14ac:dyDescent="0.3">
      <c r="J60424"/>
    </row>
    <row r="60425" spans="10:10" x14ac:dyDescent="0.3">
      <c r="J60425"/>
    </row>
    <row r="60426" spans="10:10" x14ac:dyDescent="0.3">
      <c r="J60426"/>
    </row>
    <row r="60427" spans="10:10" x14ac:dyDescent="0.3">
      <c r="J60427"/>
    </row>
    <row r="60428" spans="10:10" x14ac:dyDescent="0.3">
      <c r="J60428"/>
    </row>
    <row r="60429" spans="10:10" x14ac:dyDescent="0.3">
      <c r="J60429"/>
    </row>
    <row r="60430" spans="10:10" x14ac:dyDescent="0.3">
      <c r="J60430"/>
    </row>
    <row r="60431" spans="10:10" x14ac:dyDescent="0.3">
      <c r="J60431"/>
    </row>
    <row r="60432" spans="10:10" x14ac:dyDescent="0.3">
      <c r="J60432"/>
    </row>
    <row r="60433" spans="10:10" x14ac:dyDescent="0.3">
      <c r="J60433"/>
    </row>
    <row r="60434" spans="10:10" x14ac:dyDescent="0.3">
      <c r="J60434"/>
    </row>
    <row r="60435" spans="10:10" x14ac:dyDescent="0.3">
      <c r="J60435"/>
    </row>
    <row r="60436" spans="10:10" x14ac:dyDescent="0.3">
      <c r="J60436"/>
    </row>
    <row r="60437" spans="10:10" x14ac:dyDescent="0.3">
      <c r="J60437"/>
    </row>
    <row r="60438" spans="10:10" x14ac:dyDescent="0.3">
      <c r="J60438"/>
    </row>
    <row r="60439" spans="10:10" x14ac:dyDescent="0.3">
      <c r="J60439"/>
    </row>
    <row r="60440" spans="10:10" x14ac:dyDescent="0.3">
      <c r="J60440"/>
    </row>
    <row r="60441" spans="10:10" x14ac:dyDescent="0.3">
      <c r="J60441"/>
    </row>
    <row r="60442" spans="10:10" x14ac:dyDescent="0.3">
      <c r="J60442"/>
    </row>
    <row r="60443" spans="10:10" x14ac:dyDescent="0.3">
      <c r="J60443"/>
    </row>
    <row r="60444" spans="10:10" x14ac:dyDescent="0.3">
      <c r="J60444"/>
    </row>
    <row r="60445" spans="10:10" x14ac:dyDescent="0.3">
      <c r="J60445"/>
    </row>
    <row r="60446" spans="10:10" x14ac:dyDescent="0.3">
      <c r="J60446"/>
    </row>
    <row r="60447" spans="10:10" x14ac:dyDescent="0.3">
      <c r="J60447"/>
    </row>
    <row r="60448" spans="10:10" x14ac:dyDescent="0.3">
      <c r="J60448"/>
    </row>
    <row r="60449" spans="10:10" x14ac:dyDescent="0.3">
      <c r="J60449"/>
    </row>
    <row r="60450" spans="10:10" x14ac:dyDescent="0.3">
      <c r="J60450"/>
    </row>
    <row r="60451" spans="10:10" x14ac:dyDescent="0.3">
      <c r="J60451"/>
    </row>
    <row r="60452" spans="10:10" x14ac:dyDescent="0.3">
      <c r="J60452"/>
    </row>
    <row r="60453" spans="10:10" x14ac:dyDescent="0.3">
      <c r="J60453"/>
    </row>
    <row r="60454" spans="10:10" x14ac:dyDescent="0.3">
      <c r="J60454"/>
    </row>
    <row r="60455" spans="10:10" x14ac:dyDescent="0.3">
      <c r="J60455"/>
    </row>
    <row r="60456" spans="10:10" x14ac:dyDescent="0.3">
      <c r="J60456"/>
    </row>
    <row r="60457" spans="10:10" x14ac:dyDescent="0.3">
      <c r="J60457"/>
    </row>
    <row r="60458" spans="10:10" x14ac:dyDescent="0.3">
      <c r="J60458"/>
    </row>
    <row r="60459" spans="10:10" x14ac:dyDescent="0.3">
      <c r="J60459"/>
    </row>
    <row r="60460" spans="10:10" x14ac:dyDescent="0.3">
      <c r="J60460"/>
    </row>
    <row r="60461" spans="10:10" x14ac:dyDescent="0.3">
      <c r="J60461"/>
    </row>
    <row r="60462" spans="10:10" x14ac:dyDescent="0.3">
      <c r="J60462"/>
    </row>
    <row r="60463" spans="10:10" x14ac:dyDescent="0.3">
      <c r="J60463"/>
    </row>
    <row r="60464" spans="10:10" x14ac:dyDescent="0.3">
      <c r="J60464"/>
    </row>
    <row r="60465" spans="10:10" x14ac:dyDescent="0.3">
      <c r="J60465"/>
    </row>
    <row r="60466" spans="10:10" x14ac:dyDescent="0.3">
      <c r="J60466"/>
    </row>
    <row r="60467" spans="10:10" x14ac:dyDescent="0.3">
      <c r="J60467"/>
    </row>
    <row r="60468" spans="10:10" x14ac:dyDescent="0.3">
      <c r="J60468"/>
    </row>
    <row r="60469" spans="10:10" x14ac:dyDescent="0.3">
      <c r="J60469"/>
    </row>
    <row r="60470" spans="10:10" x14ac:dyDescent="0.3">
      <c r="J60470"/>
    </row>
    <row r="60471" spans="10:10" x14ac:dyDescent="0.3">
      <c r="J60471"/>
    </row>
    <row r="60472" spans="10:10" x14ac:dyDescent="0.3">
      <c r="J60472"/>
    </row>
    <row r="60473" spans="10:10" x14ac:dyDescent="0.3">
      <c r="J60473"/>
    </row>
    <row r="60474" spans="10:10" x14ac:dyDescent="0.3">
      <c r="J60474"/>
    </row>
    <row r="60475" spans="10:10" x14ac:dyDescent="0.3">
      <c r="J60475"/>
    </row>
    <row r="60476" spans="10:10" x14ac:dyDescent="0.3">
      <c r="J60476"/>
    </row>
    <row r="60477" spans="10:10" x14ac:dyDescent="0.3">
      <c r="J60477"/>
    </row>
    <row r="60478" spans="10:10" x14ac:dyDescent="0.3">
      <c r="J60478"/>
    </row>
    <row r="60479" spans="10:10" x14ac:dyDescent="0.3">
      <c r="J60479"/>
    </row>
    <row r="60480" spans="10:10" x14ac:dyDescent="0.3">
      <c r="J60480"/>
    </row>
    <row r="60481" spans="10:10" x14ac:dyDescent="0.3">
      <c r="J60481"/>
    </row>
    <row r="60482" spans="10:10" x14ac:dyDescent="0.3">
      <c r="J60482"/>
    </row>
    <row r="60483" spans="10:10" x14ac:dyDescent="0.3">
      <c r="J60483"/>
    </row>
    <row r="60484" spans="10:10" x14ac:dyDescent="0.3">
      <c r="J60484"/>
    </row>
    <row r="60485" spans="10:10" x14ac:dyDescent="0.3">
      <c r="J60485"/>
    </row>
    <row r="60486" spans="10:10" x14ac:dyDescent="0.3">
      <c r="J60486"/>
    </row>
    <row r="60487" spans="10:10" x14ac:dyDescent="0.3">
      <c r="J60487"/>
    </row>
    <row r="60488" spans="10:10" x14ac:dyDescent="0.3">
      <c r="J60488"/>
    </row>
    <row r="60489" spans="10:10" x14ac:dyDescent="0.3">
      <c r="J60489"/>
    </row>
    <row r="60490" spans="10:10" x14ac:dyDescent="0.3">
      <c r="J60490"/>
    </row>
    <row r="60491" spans="10:10" x14ac:dyDescent="0.3">
      <c r="J60491"/>
    </row>
    <row r="60492" spans="10:10" x14ac:dyDescent="0.3">
      <c r="J60492"/>
    </row>
    <row r="60493" spans="10:10" x14ac:dyDescent="0.3">
      <c r="J60493"/>
    </row>
    <row r="60494" spans="10:10" x14ac:dyDescent="0.3">
      <c r="J60494"/>
    </row>
    <row r="60495" spans="10:10" x14ac:dyDescent="0.3">
      <c r="J60495"/>
    </row>
    <row r="60496" spans="10:10" x14ac:dyDescent="0.3">
      <c r="J60496"/>
    </row>
    <row r="60497" spans="10:10" x14ac:dyDescent="0.3">
      <c r="J60497"/>
    </row>
    <row r="60498" spans="10:10" x14ac:dyDescent="0.3">
      <c r="J60498"/>
    </row>
    <row r="60499" spans="10:10" x14ac:dyDescent="0.3">
      <c r="J60499"/>
    </row>
    <row r="60500" spans="10:10" x14ac:dyDescent="0.3">
      <c r="J60500"/>
    </row>
    <row r="60501" spans="10:10" x14ac:dyDescent="0.3">
      <c r="J60501"/>
    </row>
    <row r="60502" spans="10:10" x14ac:dyDescent="0.3">
      <c r="J60502"/>
    </row>
    <row r="60503" spans="10:10" x14ac:dyDescent="0.3">
      <c r="J60503"/>
    </row>
    <row r="60504" spans="10:10" x14ac:dyDescent="0.3">
      <c r="J60504"/>
    </row>
    <row r="60505" spans="10:10" x14ac:dyDescent="0.3">
      <c r="J60505"/>
    </row>
    <row r="60506" spans="10:10" x14ac:dyDescent="0.3">
      <c r="J60506"/>
    </row>
    <row r="60507" spans="10:10" x14ac:dyDescent="0.3">
      <c r="J60507"/>
    </row>
    <row r="60508" spans="10:10" x14ac:dyDescent="0.3">
      <c r="J60508"/>
    </row>
    <row r="60509" spans="10:10" x14ac:dyDescent="0.3">
      <c r="J60509"/>
    </row>
    <row r="60510" spans="10:10" x14ac:dyDescent="0.3">
      <c r="J60510"/>
    </row>
    <row r="60511" spans="10:10" x14ac:dyDescent="0.3">
      <c r="J60511"/>
    </row>
    <row r="60512" spans="10:10" x14ac:dyDescent="0.3">
      <c r="J60512"/>
    </row>
    <row r="60513" spans="10:10" x14ac:dyDescent="0.3">
      <c r="J60513"/>
    </row>
    <row r="60514" spans="10:10" x14ac:dyDescent="0.3">
      <c r="J60514"/>
    </row>
    <row r="60515" spans="10:10" x14ac:dyDescent="0.3">
      <c r="J60515"/>
    </row>
    <row r="60516" spans="10:10" x14ac:dyDescent="0.3">
      <c r="J60516"/>
    </row>
    <row r="60517" spans="10:10" x14ac:dyDescent="0.3">
      <c r="J60517"/>
    </row>
    <row r="60518" spans="10:10" x14ac:dyDescent="0.3">
      <c r="J60518"/>
    </row>
    <row r="60519" spans="10:10" x14ac:dyDescent="0.3">
      <c r="J60519"/>
    </row>
    <row r="60520" spans="10:10" x14ac:dyDescent="0.3">
      <c r="J60520"/>
    </row>
    <row r="60521" spans="10:10" x14ac:dyDescent="0.3">
      <c r="J60521"/>
    </row>
    <row r="60522" spans="10:10" x14ac:dyDescent="0.3">
      <c r="J60522"/>
    </row>
    <row r="60523" spans="10:10" x14ac:dyDescent="0.3">
      <c r="J60523"/>
    </row>
    <row r="60524" spans="10:10" x14ac:dyDescent="0.3">
      <c r="J60524"/>
    </row>
    <row r="60525" spans="10:10" x14ac:dyDescent="0.3">
      <c r="J60525"/>
    </row>
    <row r="60526" spans="10:10" x14ac:dyDescent="0.3">
      <c r="J60526"/>
    </row>
    <row r="60527" spans="10:10" x14ac:dyDescent="0.3">
      <c r="J60527"/>
    </row>
    <row r="60528" spans="10:10" x14ac:dyDescent="0.3">
      <c r="J60528"/>
    </row>
    <row r="60529" spans="10:10" x14ac:dyDescent="0.3">
      <c r="J60529"/>
    </row>
    <row r="60530" spans="10:10" x14ac:dyDescent="0.3">
      <c r="J60530"/>
    </row>
    <row r="60531" spans="10:10" x14ac:dyDescent="0.3">
      <c r="J60531"/>
    </row>
    <row r="60532" spans="10:10" x14ac:dyDescent="0.3">
      <c r="J60532"/>
    </row>
    <row r="60533" spans="10:10" x14ac:dyDescent="0.3">
      <c r="J60533"/>
    </row>
    <row r="60534" spans="10:10" x14ac:dyDescent="0.3">
      <c r="J60534"/>
    </row>
    <row r="60535" spans="10:10" x14ac:dyDescent="0.3">
      <c r="J60535"/>
    </row>
    <row r="60536" spans="10:10" x14ac:dyDescent="0.3">
      <c r="J60536"/>
    </row>
    <row r="60537" spans="10:10" x14ac:dyDescent="0.3">
      <c r="J60537"/>
    </row>
    <row r="60538" spans="10:10" x14ac:dyDescent="0.3">
      <c r="J60538"/>
    </row>
    <row r="60539" spans="10:10" x14ac:dyDescent="0.3">
      <c r="J60539"/>
    </row>
    <row r="60540" spans="10:10" x14ac:dyDescent="0.3">
      <c r="J60540"/>
    </row>
    <row r="60541" spans="10:10" x14ac:dyDescent="0.3">
      <c r="J60541"/>
    </row>
    <row r="60542" spans="10:10" x14ac:dyDescent="0.3">
      <c r="J60542"/>
    </row>
    <row r="60543" spans="10:10" x14ac:dyDescent="0.3">
      <c r="J60543"/>
    </row>
    <row r="60544" spans="10:10" x14ac:dyDescent="0.3">
      <c r="J60544"/>
    </row>
    <row r="60545" spans="10:10" x14ac:dyDescent="0.3">
      <c r="J60545"/>
    </row>
    <row r="60546" spans="10:10" x14ac:dyDescent="0.3">
      <c r="J60546"/>
    </row>
    <row r="60547" spans="10:10" x14ac:dyDescent="0.3">
      <c r="J60547"/>
    </row>
    <row r="60548" spans="10:10" x14ac:dyDescent="0.3">
      <c r="J60548"/>
    </row>
    <row r="60549" spans="10:10" x14ac:dyDescent="0.3">
      <c r="J60549"/>
    </row>
    <row r="60550" spans="10:10" x14ac:dyDescent="0.3">
      <c r="J60550"/>
    </row>
    <row r="60551" spans="10:10" x14ac:dyDescent="0.3">
      <c r="J60551"/>
    </row>
    <row r="60552" spans="10:10" x14ac:dyDescent="0.3">
      <c r="J60552"/>
    </row>
    <row r="60553" spans="10:10" x14ac:dyDescent="0.3">
      <c r="J60553"/>
    </row>
    <row r="60554" spans="10:10" x14ac:dyDescent="0.3">
      <c r="J60554"/>
    </row>
    <row r="60555" spans="10:10" x14ac:dyDescent="0.3">
      <c r="J60555"/>
    </row>
    <row r="60556" spans="10:10" x14ac:dyDescent="0.3">
      <c r="J60556"/>
    </row>
    <row r="60557" spans="10:10" x14ac:dyDescent="0.3">
      <c r="J60557"/>
    </row>
    <row r="60558" spans="10:10" x14ac:dyDescent="0.3">
      <c r="J60558"/>
    </row>
    <row r="60559" spans="10:10" x14ac:dyDescent="0.3">
      <c r="J60559"/>
    </row>
    <row r="60560" spans="10:10" x14ac:dyDescent="0.3">
      <c r="J60560"/>
    </row>
    <row r="60561" spans="10:10" x14ac:dyDescent="0.3">
      <c r="J60561"/>
    </row>
    <row r="60562" spans="10:10" x14ac:dyDescent="0.3">
      <c r="J60562"/>
    </row>
    <row r="60563" spans="10:10" x14ac:dyDescent="0.3">
      <c r="J60563"/>
    </row>
    <row r="60564" spans="10:10" x14ac:dyDescent="0.3">
      <c r="J60564"/>
    </row>
    <row r="60565" spans="10:10" x14ac:dyDescent="0.3">
      <c r="J60565"/>
    </row>
    <row r="60566" spans="10:10" x14ac:dyDescent="0.3">
      <c r="J60566"/>
    </row>
    <row r="60567" spans="10:10" x14ac:dyDescent="0.3">
      <c r="J60567"/>
    </row>
    <row r="60568" spans="10:10" x14ac:dyDescent="0.3">
      <c r="J60568"/>
    </row>
    <row r="60569" spans="10:10" x14ac:dyDescent="0.3">
      <c r="J60569"/>
    </row>
    <row r="60570" spans="10:10" x14ac:dyDescent="0.3">
      <c r="J60570"/>
    </row>
    <row r="60571" spans="10:10" x14ac:dyDescent="0.3">
      <c r="J60571"/>
    </row>
    <row r="60572" spans="10:10" x14ac:dyDescent="0.3">
      <c r="J60572"/>
    </row>
    <row r="60573" spans="10:10" x14ac:dyDescent="0.3">
      <c r="J60573"/>
    </row>
    <row r="60574" spans="10:10" x14ac:dyDescent="0.3">
      <c r="J60574"/>
    </row>
    <row r="60575" spans="10:10" x14ac:dyDescent="0.3">
      <c r="J60575"/>
    </row>
    <row r="60576" spans="10:10" x14ac:dyDescent="0.3">
      <c r="J60576"/>
    </row>
    <row r="60577" spans="10:10" x14ac:dyDescent="0.3">
      <c r="J60577"/>
    </row>
    <row r="60578" spans="10:10" x14ac:dyDescent="0.3">
      <c r="J60578"/>
    </row>
    <row r="60579" spans="10:10" x14ac:dyDescent="0.3">
      <c r="J60579"/>
    </row>
    <row r="60580" spans="10:10" x14ac:dyDescent="0.3">
      <c r="J60580"/>
    </row>
    <row r="60581" spans="10:10" x14ac:dyDescent="0.3">
      <c r="J60581"/>
    </row>
    <row r="60582" spans="10:10" x14ac:dyDescent="0.3">
      <c r="J60582"/>
    </row>
    <row r="60583" spans="10:10" x14ac:dyDescent="0.3">
      <c r="J60583"/>
    </row>
    <row r="60584" spans="10:10" x14ac:dyDescent="0.3">
      <c r="J60584"/>
    </row>
    <row r="60585" spans="10:10" x14ac:dyDescent="0.3">
      <c r="J60585"/>
    </row>
    <row r="60586" spans="10:10" x14ac:dyDescent="0.3">
      <c r="J60586"/>
    </row>
    <row r="60587" spans="10:10" x14ac:dyDescent="0.3">
      <c r="J60587"/>
    </row>
    <row r="60588" spans="10:10" x14ac:dyDescent="0.3">
      <c r="J60588"/>
    </row>
    <row r="60589" spans="10:10" x14ac:dyDescent="0.3">
      <c r="J60589"/>
    </row>
    <row r="60590" spans="10:10" x14ac:dyDescent="0.3">
      <c r="J60590"/>
    </row>
    <row r="60591" spans="10:10" x14ac:dyDescent="0.3">
      <c r="J60591"/>
    </row>
    <row r="60592" spans="10:10" x14ac:dyDescent="0.3">
      <c r="J60592"/>
    </row>
    <row r="60593" spans="10:10" x14ac:dyDescent="0.3">
      <c r="J60593"/>
    </row>
    <row r="60594" spans="10:10" x14ac:dyDescent="0.3">
      <c r="J60594"/>
    </row>
    <row r="60595" spans="10:10" x14ac:dyDescent="0.3">
      <c r="J60595"/>
    </row>
    <row r="60596" spans="10:10" x14ac:dyDescent="0.3">
      <c r="J60596"/>
    </row>
    <row r="60597" spans="10:10" x14ac:dyDescent="0.3">
      <c r="J60597"/>
    </row>
    <row r="60598" spans="10:10" x14ac:dyDescent="0.3">
      <c r="J60598"/>
    </row>
    <row r="60599" spans="10:10" x14ac:dyDescent="0.3">
      <c r="J60599"/>
    </row>
    <row r="60600" spans="10:10" x14ac:dyDescent="0.3">
      <c r="J60600"/>
    </row>
    <row r="60601" spans="10:10" x14ac:dyDescent="0.3">
      <c r="J60601"/>
    </row>
    <row r="60602" spans="10:10" x14ac:dyDescent="0.3">
      <c r="J60602"/>
    </row>
    <row r="60603" spans="10:10" x14ac:dyDescent="0.3">
      <c r="J60603"/>
    </row>
    <row r="60604" spans="10:10" x14ac:dyDescent="0.3">
      <c r="J60604"/>
    </row>
    <row r="60605" spans="10:10" x14ac:dyDescent="0.3">
      <c r="J60605"/>
    </row>
    <row r="60606" spans="10:10" x14ac:dyDescent="0.3">
      <c r="J60606"/>
    </row>
    <row r="60607" spans="10:10" x14ac:dyDescent="0.3">
      <c r="J60607"/>
    </row>
    <row r="60608" spans="10:10" x14ac:dyDescent="0.3">
      <c r="J60608"/>
    </row>
    <row r="60609" spans="10:10" x14ac:dyDescent="0.3">
      <c r="J60609"/>
    </row>
    <row r="60610" spans="10:10" x14ac:dyDescent="0.3">
      <c r="J60610"/>
    </row>
    <row r="60611" spans="10:10" x14ac:dyDescent="0.3">
      <c r="J60611"/>
    </row>
    <row r="60612" spans="10:10" x14ac:dyDescent="0.3">
      <c r="J60612"/>
    </row>
    <row r="60613" spans="10:10" x14ac:dyDescent="0.3">
      <c r="J60613"/>
    </row>
    <row r="60614" spans="10:10" x14ac:dyDescent="0.3">
      <c r="J60614"/>
    </row>
    <row r="60615" spans="10:10" x14ac:dyDescent="0.3">
      <c r="J60615"/>
    </row>
    <row r="60616" spans="10:10" x14ac:dyDescent="0.3">
      <c r="J60616"/>
    </row>
    <row r="60617" spans="10:10" x14ac:dyDescent="0.3">
      <c r="J60617"/>
    </row>
    <row r="60618" spans="10:10" x14ac:dyDescent="0.3">
      <c r="J60618"/>
    </row>
    <row r="60619" spans="10:10" x14ac:dyDescent="0.3">
      <c r="J60619"/>
    </row>
    <row r="60620" spans="10:10" x14ac:dyDescent="0.3">
      <c r="J60620"/>
    </row>
    <row r="60621" spans="10:10" x14ac:dyDescent="0.3">
      <c r="J60621"/>
    </row>
    <row r="60622" spans="10:10" x14ac:dyDescent="0.3">
      <c r="J60622"/>
    </row>
    <row r="60623" spans="10:10" x14ac:dyDescent="0.3">
      <c r="J60623"/>
    </row>
    <row r="60624" spans="10:10" x14ac:dyDescent="0.3">
      <c r="J60624"/>
    </row>
    <row r="60625" spans="10:10" x14ac:dyDescent="0.3">
      <c r="J60625"/>
    </row>
    <row r="60626" spans="10:10" x14ac:dyDescent="0.3">
      <c r="J60626"/>
    </row>
    <row r="60627" spans="10:10" x14ac:dyDescent="0.3">
      <c r="J60627"/>
    </row>
    <row r="60628" spans="10:10" x14ac:dyDescent="0.3">
      <c r="J60628"/>
    </row>
    <row r="60629" spans="10:10" x14ac:dyDescent="0.3">
      <c r="J60629"/>
    </row>
    <row r="60630" spans="10:10" x14ac:dyDescent="0.3">
      <c r="J60630"/>
    </row>
    <row r="60631" spans="10:10" x14ac:dyDescent="0.3">
      <c r="J60631"/>
    </row>
    <row r="60632" spans="10:10" x14ac:dyDescent="0.3">
      <c r="J60632"/>
    </row>
    <row r="60633" spans="10:10" x14ac:dyDescent="0.3">
      <c r="J60633"/>
    </row>
    <row r="60634" spans="10:10" x14ac:dyDescent="0.3">
      <c r="J60634"/>
    </row>
    <row r="60635" spans="10:10" x14ac:dyDescent="0.3">
      <c r="J60635"/>
    </row>
    <row r="60636" spans="10:10" x14ac:dyDescent="0.3">
      <c r="J60636"/>
    </row>
    <row r="60637" spans="10:10" x14ac:dyDescent="0.3">
      <c r="J60637"/>
    </row>
    <row r="60638" spans="10:10" x14ac:dyDescent="0.3">
      <c r="J60638"/>
    </row>
    <row r="60639" spans="10:10" x14ac:dyDescent="0.3">
      <c r="J60639"/>
    </row>
    <row r="60640" spans="10:10" x14ac:dyDescent="0.3">
      <c r="J60640"/>
    </row>
    <row r="60641" spans="10:10" x14ac:dyDescent="0.3">
      <c r="J60641"/>
    </row>
    <row r="60642" spans="10:10" x14ac:dyDescent="0.3">
      <c r="J60642"/>
    </row>
    <row r="60643" spans="10:10" x14ac:dyDescent="0.3">
      <c r="J60643"/>
    </row>
    <row r="60644" spans="10:10" x14ac:dyDescent="0.3">
      <c r="J60644"/>
    </row>
    <row r="60645" spans="10:10" x14ac:dyDescent="0.3">
      <c r="J60645"/>
    </row>
    <row r="60646" spans="10:10" x14ac:dyDescent="0.3">
      <c r="J60646"/>
    </row>
    <row r="60647" spans="10:10" x14ac:dyDescent="0.3">
      <c r="J60647"/>
    </row>
    <row r="60648" spans="10:10" x14ac:dyDescent="0.3">
      <c r="J60648"/>
    </row>
    <row r="60649" spans="10:10" x14ac:dyDescent="0.3">
      <c r="J60649"/>
    </row>
    <row r="60650" spans="10:10" x14ac:dyDescent="0.3">
      <c r="J60650"/>
    </row>
    <row r="60651" spans="10:10" x14ac:dyDescent="0.3">
      <c r="J60651"/>
    </row>
    <row r="60652" spans="10:10" x14ac:dyDescent="0.3">
      <c r="J60652"/>
    </row>
    <row r="60653" spans="10:10" x14ac:dyDescent="0.3">
      <c r="J60653"/>
    </row>
    <row r="60654" spans="10:10" x14ac:dyDescent="0.3">
      <c r="J60654"/>
    </row>
    <row r="60655" spans="10:10" x14ac:dyDescent="0.3">
      <c r="J60655"/>
    </row>
    <row r="60656" spans="10:10" x14ac:dyDescent="0.3">
      <c r="J60656"/>
    </row>
    <row r="60657" spans="10:10" x14ac:dyDescent="0.3">
      <c r="J60657"/>
    </row>
    <row r="60658" spans="10:10" x14ac:dyDescent="0.3">
      <c r="J60658"/>
    </row>
    <row r="60659" spans="10:10" x14ac:dyDescent="0.3">
      <c r="J60659"/>
    </row>
    <row r="60660" spans="10:10" x14ac:dyDescent="0.3">
      <c r="J60660"/>
    </row>
    <row r="60661" spans="10:10" x14ac:dyDescent="0.3">
      <c r="J60661"/>
    </row>
    <row r="60662" spans="10:10" x14ac:dyDescent="0.3">
      <c r="J60662"/>
    </row>
    <row r="60663" spans="10:10" x14ac:dyDescent="0.3">
      <c r="J60663"/>
    </row>
    <row r="60664" spans="10:10" x14ac:dyDescent="0.3">
      <c r="J60664"/>
    </row>
    <row r="60665" spans="10:10" x14ac:dyDescent="0.3">
      <c r="J60665"/>
    </row>
    <row r="60666" spans="10:10" x14ac:dyDescent="0.3">
      <c r="J60666"/>
    </row>
    <row r="60667" spans="10:10" x14ac:dyDescent="0.3">
      <c r="J60667"/>
    </row>
    <row r="60668" spans="10:10" x14ac:dyDescent="0.3">
      <c r="J60668"/>
    </row>
    <row r="60669" spans="10:10" x14ac:dyDescent="0.3">
      <c r="J60669"/>
    </row>
    <row r="60670" spans="10:10" x14ac:dyDescent="0.3">
      <c r="J60670"/>
    </row>
    <row r="60671" spans="10:10" x14ac:dyDescent="0.3">
      <c r="J60671"/>
    </row>
    <row r="60672" spans="10:10" x14ac:dyDescent="0.3">
      <c r="J60672"/>
    </row>
    <row r="60673" spans="10:10" x14ac:dyDescent="0.3">
      <c r="J60673"/>
    </row>
    <row r="60674" spans="10:10" x14ac:dyDescent="0.3">
      <c r="J60674"/>
    </row>
    <row r="60675" spans="10:10" x14ac:dyDescent="0.3">
      <c r="J60675"/>
    </row>
    <row r="60676" spans="10:10" x14ac:dyDescent="0.3">
      <c r="J60676"/>
    </row>
    <row r="60677" spans="10:10" x14ac:dyDescent="0.3">
      <c r="J60677"/>
    </row>
    <row r="60678" spans="10:10" x14ac:dyDescent="0.3">
      <c r="J60678"/>
    </row>
    <row r="60679" spans="10:10" x14ac:dyDescent="0.3">
      <c r="J60679"/>
    </row>
    <row r="60680" spans="10:10" x14ac:dyDescent="0.3">
      <c r="J60680"/>
    </row>
    <row r="60681" spans="10:10" x14ac:dyDescent="0.3">
      <c r="J60681"/>
    </row>
    <row r="60682" spans="10:10" x14ac:dyDescent="0.3">
      <c r="J60682"/>
    </row>
    <row r="60683" spans="10:10" x14ac:dyDescent="0.3">
      <c r="J60683"/>
    </row>
    <row r="60684" spans="10:10" x14ac:dyDescent="0.3">
      <c r="J60684"/>
    </row>
    <row r="60685" spans="10:10" x14ac:dyDescent="0.3">
      <c r="J60685"/>
    </row>
    <row r="60686" spans="10:10" x14ac:dyDescent="0.3">
      <c r="J60686"/>
    </row>
    <row r="60687" spans="10:10" x14ac:dyDescent="0.3">
      <c r="J60687"/>
    </row>
    <row r="60688" spans="10:10" x14ac:dyDescent="0.3">
      <c r="J60688"/>
    </row>
    <row r="60689" spans="10:10" x14ac:dyDescent="0.3">
      <c r="J60689"/>
    </row>
    <row r="60690" spans="10:10" x14ac:dyDescent="0.3">
      <c r="J60690"/>
    </row>
    <row r="60691" spans="10:10" x14ac:dyDescent="0.3">
      <c r="J60691"/>
    </row>
    <row r="60692" spans="10:10" x14ac:dyDescent="0.3">
      <c r="J60692"/>
    </row>
    <row r="60693" spans="10:10" x14ac:dyDescent="0.3">
      <c r="J60693"/>
    </row>
    <row r="60694" spans="10:10" x14ac:dyDescent="0.3">
      <c r="J60694"/>
    </row>
    <row r="60695" spans="10:10" x14ac:dyDescent="0.3">
      <c r="J60695"/>
    </row>
    <row r="60696" spans="10:10" x14ac:dyDescent="0.3">
      <c r="J60696"/>
    </row>
    <row r="60697" spans="10:10" x14ac:dyDescent="0.3">
      <c r="J60697"/>
    </row>
    <row r="60698" spans="10:10" x14ac:dyDescent="0.3">
      <c r="J60698"/>
    </row>
    <row r="60699" spans="10:10" x14ac:dyDescent="0.3">
      <c r="J60699"/>
    </row>
    <row r="60700" spans="10:10" x14ac:dyDescent="0.3">
      <c r="J60700"/>
    </row>
    <row r="60701" spans="10:10" x14ac:dyDescent="0.3">
      <c r="J60701"/>
    </row>
    <row r="60702" spans="10:10" x14ac:dyDescent="0.3">
      <c r="J60702"/>
    </row>
    <row r="60703" spans="10:10" x14ac:dyDescent="0.3">
      <c r="J60703"/>
    </row>
    <row r="60704" spans="10:10" x14ac:dyDescent="0.3">
      <c r="J60704"/>
    </row>
    <row r="60705" spans="10:10" x14ac:dyDescent="0.3">
      <c r="J60705"/>
    </row>
    <row r="60706" spans="10:10" x14ac:dyDescent="0.3">
      <c r="J60706"/>
    </row>
    <row r="60707" spans="10:10" x14ac:dyDescent="0.3">
      <c r="J60707"/>
    </row>
    <row r="60708" spans="10:10" x14ac:dyDescent="0.3">
      <c r="J60708"/>
    </row>
    <row r="60709" spans="10:10" x14ac:dyDescent="0.3">
      <c r="J60709"/>
    </row>
    <row r="60710" spans="10:10" x14ac:dyDescent="0.3">
      <c r="J60710"/>
    </row>
    <row r="60711" spans="10:10" x14ac:dyDescent="0.3">
      <c r="J60711"/>
    </row>
    <row r="60712" spans="10:10" x14ac:dyDescent="0.3">
      <c r="J60712"/>
    </row>
    <row r="60713" spans="10:10" x14ac:dyDescent="0.3">
      <c r="J60713"/>
    </row>
    <row r="60714" spans="10:10" x14ac:dyDescent="0.3">
      <c r="J60714"/>
    </row>
    <row r="60715" spans="10:10" x14ac:dyDescent="0.3">
      <c r="J60715"/>
    </row>
    <row r="60716" spans="10:10" x14ac:dyDescent="0.3">
      <c r="J60716"/>
    </row>
    <row r="60717" spans="10:10" x14ac:dyDescent="0.3">
      <c r="J60717"/>
    </row>
    <row r="60718" spans="10:10" x14ac:dyDescent="0.3">
      <c r="J60718"/>
    </row>
    <row r="60719" spans="10:10" x14ac:dyDescent="0.3">
      <c r="J60719"/>
    </row>
    <row r="60720" spans="10:10" x14ac:dyDescent="0.3">
      <c r="J60720"/>
    </row>
    <row r="60721" spans="10:10" x14ac:dyDescent="0.3">
      <c r="J60721"/>
    </row>
    <row r="60722" spans="10:10" x14ac:dyDescent="0.3">
      <c r="J60722"/>
    </row>
    <row r="60723" spans="10:10" x14ac:dyDescent="0.3">
      <c r="J60723"/>
    </row>
    <row r="60724" spans="10:10" x14ac:dyDescent="0.3">
      <c r="J60724"/>
    </row>
    <row r="60725" spans="10:10" x14ac:dyDescent="0.3">
      <c r="J60725"/>
    </row>
    <row r="60726" spans="10:10" x14ac:dyDescent="0.3">
      <c r="J60726"/>
    </row>
    <row r="60727" spans="10:10" x14ac:dyDescent="0.3">
      <c r="J60727"/>
    </row>
    <row r="60728" spans="10:10" x14ac:dyDescent="0.3">
      <c r="J60728"/>
    </row>
    <row r="60729" spans="10:10" x14ac:dyDescent="0.3">
      <c r="J60729"/>
    </row>
    <row r="60730" spans="10:10" x14ac:dyDescent="0.3">
      <c r="J60730"/>
    </row>
    <row r="60731" spans="10:10" x14ac:dyDescent="0.3">
      <c r="J60731"/>
    </row>
    <row r="60732" spans="10:10" x14ac:dyDescent="0.3">
      <c r="J60732"/>
    </row>
    <row r="60733" spans="10:10" x14ac:dyDescent="0.3">
      <c r="J60733"/>
    </row>
    <row r="60734" spans="10:10" x14ac:dyDescent="0.3">
      <c r="J60734"/>
    </row>
    <row r="60735" spans="10:10" x14ac:dyDescent="0.3">
      <c r="J60735"/>
    </row>
    <row r="60736" spans="10:10" x14ac:dyDescent="0.3">
      <c r="J60736"/>
    </row>
    <row r="60737" spans="10:10" x14ac:dyDescent="0.3">
      <c r="J60737"/>
    </row>
    <row r="60738" spans="10:10" x14ac:dyDescent="0.3">
      <c r="J60738"/>
    </row>
    <row r="60739" spans="10:10" x14ac:dyDescent="0.3">
      <c r="J60739"/>
    </row>
    <row r="60740" spans="10:10" x14ac:dyDescent="0.3">
      <c r="J60740"/>
    </row>
    <row r="60741" spans="10:10" x14ac:dyDescent="0.3">
      <c r="J60741"/>
    </row>
    <row r="60742" spans="10:10" x14ac:dyDescent="0.3">
      <c r="J60742"/>
    </row>
    <row r="60743" spans="10:10" x14ac:dyDescent="0.3">
      <c r="J60743"/>
    </row>
    <row r="60744" spans="10:10" x14ac:dyDescent="0.3">
      <c r="J60744"/>
    </row>
    <row r="60745" spans="10:10" x14ac:dyDescent="0.3">
      <c r="J60745"/>
    </row>
    <row r="60746" spans="10:10" x14ac:dyDescent="0.3">
      <c r="J60746"/>
    </row>
    <row r="60747" spans="10:10" x14ac:dyDescent="0.3">
      <c r="J60747"/>
    </row>
    <row r="60748" spans="10:10" x14ac:dyDescent="0.3">
      <c r="J60748"/>
    </row>
    <row r="60749" spans="10:10" x14ac:dyDescent="0.3">
      <c r="J60749"/>
    </row>
    <row r="60750" spans="10:10" x14ac:dyDescent="0.3">
      <c r="J60750"/>
    </row>
    <row r="60751" spans="10:10" x14ac:dyDescent="0.3">
      <c r="J60751"/>
    </row>
    <row r="60752" spans="10:10" x14ac:dyDescent="0.3">
      <c r="J60752"/>
    </row>
    <row r="60753" spans="10:10" x14ac:dyDescent="0.3">
      <c r="J60753"/>
    </row>
    <row r="60754" spans="10:10" x14ac:dyDescent="0.3">
      <c r="J60754"/>
    </row>
    <row r="60755" spans="10:10" x14ac:dyDescent="0.3">
      <c r="J60755"/>
    </row>
    <row r="60756" spans="10:10" x14ac:dyDescent="0.3">
      <c r="J60756"/>
    </row>
    <row r="60757" spans="10:10" x14ac:dyDescent="0.3">
      <c r="J60757"/>
    </row>
    <row r="60758" spans="10:10" x14ac:dyDescent="0.3">
      <c r="J60758"/>
    </row>
    <row r="60759" spans="10:10" x14ac:dyDescent="0.3">
      <c r="J60759"/>
    </row>
    <row r="60760" spans="10:10" x14ac:dyDescent="0.3">
      <c r="J60760"/>
    </row>
    <row r="60761" spans="10:10" x14ac:dyDescent="0.3">
      <c r="J60761"/>
    </row>
    <row r="60762" spans="10:10" x14ac:dyDescent="0.3">
      <c r="J60762"/>
    </row>
    <row r="60763" spans="10:10" x14ac:dyDescent="0.3">
      <c r="J60763"/>
    </row>
    <row r="60764" spans="10:10" x14ac:dyDescent="0.3">
      <c r="J60764"/>
    </row>
    <row r="60765" spans="10:10" x14ac:dyDescent="0.3">
      <c r="J60765"/>
    </row>
    <row r="60766" spans="10:10" x14ac:dyDescent="0.3">
      <c r="J60766"/>
    </row>
    <row r="60767" spans="10:10" x14ac:dyDescent="0.3">
      <c r="J60767"/>
    </row>
    <row r="60768" spans="10:10" x14ac:dyDescent="0.3">
      <c r="J60768"/>
    </row>
    <row r="60769" spans="10:10" x14ac:dyDescent="0.3">
      <c r="J60769"/>
    </row>
    <row r="60770" spans="10:10" x14ac:dyDescent="0.3">
      <c r="J60770"/>
    </row>
    <row r="60771" spans="10:10" x14ac:dyDescent="0.3">
      <c r="J60771"/>
    </row>
    <row r="60772" spans="10:10" x14ac:dyDescent="0.3">
      <c r="J60772"/>
    </row>
    <row r="60773" spans="10:10" x14ac:dyDescent="0.3">
      <c r="J60773"/>
    </row>
    <row r="60774" spans="10:10" x14ac:dyDescent="0.3">
      <c r="J60774"/>
    </row>
    <row r="60775" spans="10:10" x14ac:dyDescent="0.3">
      <c r="J60775"/>
    </row>
    <row r="60776" spans="10:10" x14ac:dyDescent="0.3">
      <c r="J60776"/>
    </row>
    <row r="60777" spans="10:10" x14ac:dyDescent="0.3">
      <c r="J60777"/>
    </row>
    <row r="60778" spans="10:10" x14ac:dyDescent="0.3">
      <c r="J60778"/>
    </row>
    <row r="60779" spans="10:10" x14ac:dyDescent="0.3">
      <c r="J60779"/>
    </row>
    <row r="60780" spans="10:10" x14ac:dyDescent="0.3">
      <c r="J60780"/>
    </row>
    <row r="60781" spans="10:10" x14ac:dyDescent="0.3">
      <c r="J60781"/>
    </row>
    <row r="60782" spans="10:10" x14ac:dyDescent="0.3">
      <c r="J60782"/>
    </row>
    <row r="60783" spans="10:10" x14ac:dyDescent="0.3">
      <c r="J60783"/>
    </row>
    <row r="60784" spans="10:10" x14ac:dyDescent="0.3">
      <c r="J60784"/>
    </row>
    <row r="60785" spans="10:10" x14ac:dyDescent="0.3">
      <c r="J60785"/>
    </row>
    <row r="60786" spans="10:10" x14ac:dyDescent="0.3">
      <c r="J60786"/>
    </row>
    <row r="60787" spans="10:10" x14ac:dyDescent="0.3">
      <c r="J60787"/>
    </row>
    <row r="60788" spans="10:10" x14ac:dyDescent="0.3">
      <c r="J60788"/>
    </row>
    <row r="60789" spans="10:10" x14ac:dyDescent="0.3">
      <c r="J60789"/>
    </row>
    <row r="60790" spans="10:10" x14ac:dyDescent="0.3">
      <c r="J60790"/>
    </row>
    <row r="60791" spans="10:10" x14ac:dyDescent="0.3">
      <c r="J60791"/>
    </row>
    <row r="60792" spans="10:10" x14ac:dyDescent="0.3">
      <c r="J60792"/>
    </row>
    <row r="60793" spans="10:10" x14ac:dyDescent="0.3">
      <c r="J60793"/>
    </row>
    <row r="60794" spans="10:10" x14ac:dyDescent="0.3">
      <c r="J60794"/>
    </row>
    <row r="60795" spans="10:10" x14ac:dyDescent="0.3">
      <c r="J60795"/>
    </row>
    <row r="60796" spans="10:10" x14ac:dyDescent="0.3">
      <c r="J60796"/>
    </row>
    <row r="60797" spans="10:10" x14ac:dyDescent="0.3">
      <c r="J60797"/>
    </row>
    <row r="60798" spans="10:10" x14ac:dyDescent="0.3">
      <c r="J60798"/>
    </row>
    <row r="60799" spans="10:10" x14ac:dyDescent="0.3">
      <c r="J60799"/>
    </row>
    <row r="60800" spans="10:10" x14ac:dyDescent="0.3">
      <c r="J60800"/>
    </row>
    <row r="60801" spans="10:10" x14ac:dyDescent="0.3">
      <c r="J60801"/>
    </row>
    <row r="60802" spans="10:10" x14ac:dyDescent="0.3">
      <c r="J60802"/>
    </row>
    <row r="60803" spans="10:10" x14ac:dyDescent="0.3">
      <c r="J60803"/>
    </row>
    <row r="60804" spans="10:10" x14ac:dyDescent="0.3">
      <c r="J60804"/>
    </row>
    <row r="60805" spans="10:10" x14ac:dyDescent="0.3">
      <c r="J60805"/>
    </row>
    <row r="60806" spans="10:10" x14ac:dyDescent="0.3">
      <c r="J60806"/>
    </row>
    <row r="60807" spans="10:10" x14ac:dyDescent="0.3">
      <c r="J60807"/>
    </row>
    <row r="60808" spans="10:10" x14ac:dyDescent="0.3">
      <c r="J60808"/>
    </row>
    <row r="60809" spans="10:10" x14ac:dyDescent="0.3">
      <c r="J60809"/>
    </row>
    <row r="60810" spans="10:10" x14ac:dyDescent="0.3">
      <c r="J60810"/>
    </row>
    <row r="60811" spans="10:10" x14ac:dyDescent="0.3">
      <c r="J60811"/>
    </row>
    <row r="60812" spans="10:10" x14ac:dyDescent="0.3">
      <c r="J60812"/>
    </row>
    <row r="60813" spans="10:10" x14ac:dyDescent="0.3">
      <c r="J60813"/>
    </row>
    <row r="60814" spans="10:10" x14ac:dyDescent="0.3">
      <c r="J60814"/>
    </row>
    <row r="60815" spans="10:10" x14ac:dyDescent="0.3">
      <c r="J60815"/>
    </row>
    <row r="60816" spans="10:10" x14ac:dyDescent="0.3">
      <c r="J60816"/>
    </row>
    <row r="60817" spans="10:10" x14ac:dyDescent="0.3">
      <c r="J60817"/>
    </row>
    <row r="60818" spans="10:10" x14ac:dyDescent="0.3">
      <c r="J60818"/>
    </row>
    <row r="60819" spans="10:10" x14ac:dyDescent="0.3">
      <c r="J60819"/>
    </row>
    <row r="60820" spans="10:10" x14ac:dyDescent="0.3">
      <c r="J60820"/>
    </row>
    <row r="60821" spans="10:10" x14ac:dyDescent="0.3">
      <c r="J60821"/>
    </row>
    <row r="60822" spans="10:10" x14ac:dyDescent="0.3">
      <c r="J60822"/>
    </row>
    <row r="60823" spans="10:10" x14ac:dyDescent="0.3">
      <c r="J60823"/>
    </row>
    <row r="60824" spans="10:10" x14ac:dyDescent="0.3">
      <c r="J60824"/>
    </row>
    <row r="60825" spans="10:10" x14ac:dyDescent="0.3">
      <c r="J60825"/>
    </row>
    <row r="60826" spans="10:10" x14ac:dyDescent="0.3">
      <c r="J60826"/>
    </row>
    <row r="60827" spans="10:10" x14ac:dyDescent="0.3">
      <c r="J60827"/>
    </row>
    <row r="60828" spans="10:10" x14ac:dyDescent="0.3">
      <c r="J60828"/>
    </row>
    <row r="60829" spans="10:10" x14ac:dyDescent="0.3">
      <c r="J60829"/>
    </row>
    <row r="60830" spans="10:10" x14ac:dyDescent="0.3">
      <c r="J60830"/>
    </row>
    <row r="60831" spans="10:10" x14ac:dyDescent="0.3">
      <c r="J60831"/>
    </row>
    <row r="60832" spans="10:10" x14ac:dyDescent="0.3">
      <c r="J60832"/>
    </row>
    <row r="60833" spans="10:10" x14ac:dyDescent="0.3">
      <c r="J60833"/>
    </row>
    <row r="60834" spans="10:10" x14ac:dyDescent="0.3">
      <c r="J60834"/>
    </row>
    <row r="60835" spans="10:10" x14ac:dyDescent="0.3">
      <c r="J60835"/>
    </row>
    <row r="60836" spans="10:10" x14ac:dyDescent="0.3">
      <c r="J60836"/>
    </row>
    <row r="60837" spans="10:10" x14ac:dyDescent="0.3">
      <c r="J60837"/>
    </row>
    <row r="60838" spans="10:10" x14ac:dyDescent="0.3">
      <c r="J60838"/>
    </row>
    <row r="60839" spans="10:10" x14ac:dyDescent="0.3">
      <c r="J60839"/>
    </row>
    <row r="60840" spans="10:10" x14ac:dyDescent="0.3">
      <c r="J60840"/>
    </row>
    <row r="60841" spans="10:10" x14ac:dyDescent="0.3">
      <c r="J60841"/>
    </row>
    <row r="60842" spans="10:10" x14ac:dyDescent="0.3">
      <c r="J60842"/>
    </row>
    <row r="60843" spans="10:10" x14ac:dyDescent="0.3">
      <c r="J60843"/>
    </row>
    <row r="60844" spans="10:10" x14ac:dyDescent="0.3">
      <c r="J60844"/>
    </row>
    <row r="60845" spans="10:10" x14ac:dyDescent="0.3">
      <c r="J60845"/>
    </row>
    <row r="60846" spans="10:10" x14ac:dyDescent="0.3">
      <c r="J60846"/>
    </row>
    <row r="60847" spans="10:10" x14ac:dyDescent="0.3">
      <c r="J60847"/>
    </row>
    <row r="60848" spans="10:10" x14ac:dyDescent="0.3">
      <c r="J60848"/>
    </row>
    <row r="60849" spans="10:10" x14ac:dyDescent="0.3">
      <c r="J60849"/>
    </row>
    <row r="60850" spans="10:10" x14ac:dyDescent="0.3">
      <c r="J60850"/>
    </row>
    <row r="60851" spans="10:10" x14ac:dyDescent="0.3">
      <c r="J60851"/>
    </row>
    <row r="60852" spans="10:10" x14ac:dyDescent="0.3">
      <c r="J60852"/>
    </row>
    <row r="60853" spans="10:10" x14ac:dyDescent="0.3">
      <c r="J60853"/>
    </row>
    <row r="60854" spans="10:10" x14ac:dyDescent="0.3">
      <c r="J60854"/>
    </row>
    <row r="60855" spans="10:10" x14ac:dyDescent="0.3">
      <c r="J60855"/>
    </row>
    <row r="60856" spans="10:10" x14ac:dyDescent="0.3">
      <c r="J60856"/>
    </row>
    <row r="60857" spans="10:10" x14ac:dyDescent="0.3">
      <c r="J60857"/>
    </row>
    <row r="60858" spans="10:10" x14ac:dyDescent="0.3">
      <c r="J60858"/>
    </row>
    <row r="60859" spans="10:10" x14ac:dyDescent="0.3">
      <c r="J60859"/>
    </row>
    <row r="60860" spans="10:10" x14ac:dyDescent="0.3">
      <c r="J60860"/>
    </row>
    <row r="60861" spans="10:10" x14ac:dyDescent="0.3">
      <c r="J60861"/>
    </row>
    <row r="60862" spans="10:10" x14ac:dyDescent="0.3">
      <c r="J60862"/>
    </row>
    <row r="60863" spans="10:10" x14ac:dyDescent="0.3">
      <c r="J60863"/>
    </row>
    <row r="60864" spans="10:10" x14ac:dyDescent="0.3">
      <c r="J60864"/>
    </row>
    <row r="60865" spans="10:10" x14ac:dyDescent="0.3">
      <c r="J60865"/>
    </row>
    <row r="60866" spans="10:10" x14ac:dyDescent="0.3">
      <c r="J60866"/>
    </row>
    <row r="60867" spans="10:10" x14ac:dyDescent="0.3">
      <c r="J60867"/>
    </row>
    <row r="60868" spans="10:10" x14ac:dyDescent="0.3">
      <c r="J60868"/>
    </row>
    <row r="60869" spans="10:10" x14ac:dyDescent="0.3">
      <c r="J60869"/>
    </row>
    <row r="60870" spans="10:10" x14ac:dyDescent="0.3">
      <c r="J60870"/>
    </row>
    <row r="60871" spans="10:10" x14ac:dyDescent="0.3">
      <c r="J60871"/>
    </row>
    <row r="60872" spans="10:10" x14ac:dyDescent="0.3">
      <c r="J60872"/>
    </row>
    <row r="60873" spans="10:10" x14ac:dyDescent="0.3">
      <c r="J60873"/>
    </row>
    <row r="60874" spans="10:10" x14ac:dyDescent="0.3">
      <c r="J60874"/>
    </row>
    <row r="60875" spans="10:10" x14ac:dyDescent="0.3">
      <c r="J60875"/>
    </row>
    <row r="60876" spans="10:10" x14ac:dyDescent="0.3">
      <c r="J60876"/>
    </row>
    <row r="60877" spans="10:10" x14ac:dyDescent="0.3">
      <c r="J60877"/>
    </row>
    <row r="60878" spans="10:10" x14ac:dyDescent="0.3">
      <c r="J60878"/>
    </row>
    <row r="60879" spans="10:10" x14ac:dyDescent="0.3">
      <c r="J60879"/>
    </row>
    <row r="60880" spans="10:10" x14ac:dyDescent="0.3">
      <c r="J60880"/>
    </row>
    <row r="60881" spans="10:10" x14ac:dyDescent="0.3">
      <c r="J60881"/>
    </row>
    <row r="60882" spans="10:10" x14ac:dyDescent="0.3">
      <c r="J60882"/>
    </row>
    <row r="60883" spans="10:10" x14ac:dyDescent="0.3">
      <c r="J60883"/>
    </row>
    <row r="60884" spans="10:10" x14ac:dyDescent="0.3">
      <c r="J60884"/>
    </row>
    <row r="60885" spans="10:10" x14ac:dyDescent="0.3">
      <c r="J60885"/>
    </row>
    <row r="60886" spans="10:10" x14ac:dyDescent="0.3">
      <c r="J60886"/>
    </row>
    <row r="60887" spans="10:10" x14ac:dyDescent="0.3">
      <c r="J60887"/>
    </row>
    <row r="60888" spans="10:10" x14ac:dyDescent="0.3">
      <c r="J60888"/>
    </row>
    <row r="60889" spans="10:10" x14ac:dyDescent="0.3">
      <c r="J60889"/>
    </row>
    <row r="60890" spans="10:10" x14ac:dyDescent="0.3">
      <c r="J60890"/>
    </row>
    <row r="60891" spans="10:10" x14ac:dyDescent="0.3">
      <c r="J60891"/>
    </row>
    <row r="60892" spans="10:10" x14ac:dyDescent="0.3">
      <c r="J60892"/>
    </row>
    <row r="60893" spans="10:10" x14ac:dyDescent="0.3">
      <c r="J60893"/>
    </row>
    <row r="60894" spans="10:10" x14ac:dyDescent="0.3">
      <c r="J60894"/>
    </row>
    <row r="60895" spans="10:10" x14ac:dyDescent="0.3">
      <c r="J60895"/>
    </row>
    <row r="60896" spans="10:10" x14ac:dyDescent="0.3">
      <c r="J60896"/>
    </row>
    <row r="60897" spans="10:10" x14ac:dyDescent="0.3">
      <c r="J60897"/>
    </row>
    <row r="60898" spans="10:10" x14ac:dyDescent="0.3">
      <c r="J60898"/>
    </row>
    <row r="60899" spans="10:10" x14ac:dyDescent="0.3">
      <c r="J60899"/>
    </row>
    <row r="60900" spans="10:10" x14ac:dyDescent="0.3">
      <c r="J60900"/>
    </row>
    <row r="60901" spans="10:10" x14ac:dyDescent="0.3">
      <c r="J60901"/>
    </row>
    <row r="60902" spans="10:10" x14ac:dyDescent="0.3">
      <c r="J60902"/>
    </row>
    <row r="60903" spans="10:10" x14ac:dyDescent="0.3">
      <c r="J60903"/>
    </row>
    <row r="60904" spans="10:10" x14ac:dyDescent="0.3">
      <c r="J60904"/>
    </row>
    <row r="60905" spans="10:10" x14ac:dyDescent="0.3">
      <c r="J60905"/>
    </row>
    <row r="60906" spans="10:10" x14ac:dyDescent="0.3">
      <c r="J60906"/>
    </row>
    <row r="60907" spans="10:10" x14ac:dyDescent="0.3">
      <c r="J60907"/>
    </row>
    <row r="60908" spans="10:10" x14ac:dyDescent="0.3">
      <c r="J60908"/>
    </row>
    <row r="60909" spans="10:10" x14ac:dyDescent="0.3">
      <c r="J60909"/>
    </row>
    <row r="60910" spans="10:10" x14ac:dyDescent="0.3">
      <c r="J60910"/>
    </row>
    <row r="60911" spans="10:10" x14ac:dyDescent="0.3">
      <c r="J60911"/>
    </row>
    <row r="60912" spans="10:10" x14ac:dyDescent="0.3">
      <c r="J60912"/>
    </row>
    <row r="60913" spans="10:10" x14ac:dyDescent="0.3">
      <c r="J60913"/>
    </row>
    <row r="60914" spans="10:10" x14ac:dyDescent="0.3">
      <c r="J60914"/>
    </row>
    <row r="60915" spans="10:10" x14ac:dyDescent="0.3">
      <c r="J60915"/>
    </row>
    <row r="60916" spans="10:10" x14ac:dyDescent="0.3">
      <c r="J60916"/>
    </row>
    <row r="60917" spans="10:10" x14ac:dyDescent="0.3">
      <c r="J60917"/>
    </row>
    <row r="60918" spans="10:10" x14ac:dyDescent="0.3">
      <c r="J60918"/>
    </row>
    <row r="60919" spans="10:10" x14ac:dyDescent="0.3">
      <c r="J60919"/>
    </row>
    <row r="60920" spans="10:10" x14ac:dyDescent="0.3">
      <c r="J60920"/>
    </row>
    <row r="60921" spans="10:10" x14ac:dyDescent="0.3">
      <c r="J60921"/>
    </row>
    <row r="60922" spans="10:10" x14ac:dyDescent="0.3">
      <c r="J60922"/>
    </row>
    <row r="60923" spans="10:10" x14ac:dyDescent="0.3">
      <c r="J60923"/>
    </row>
    <row r="60924" spans="10:10" x14ac:dyDescent="0.3">
      <c r="J60924"/>
    </row>
    <row r="60925" spans="10:10" x14ac:dyDescent="0.3">
      <c r="J60925"/>
    </row>
    <row r="60926" spans="10:10" x14ac:dyDescent="0.3">
      <c r="J60926"/>
    </row>
    <row r="60927" spans="10:10" x14ac:dyDescent="0.3">
      <c r="J60927"/>
    </row>
    <row r="60928" spans="10:10" x14ac:dyDescent="0.3">
      <c r="J60928"/>
    </row>
    <row r="60929" spans="10:10" x14ac:dyDescent="0.3">
      <c r="J60929"/>
    </row>
    <row r="60930" spans="10:10" x14ac:dyDescent="0.3">
      <c r="J60930"/>
    </row>
    <row r="60931" spans="10:10" x14ac:dyDescent="0.3">
      <c r="J60931"/>
    </row>
    <row r="60932" spans="10:10" x14ac:dyDescent="0.3">
      <c r="J60932"/>
    </row>
    <row r="60933" spans="10:10" x14ac:dyDescent="0.3">
      <c r="J60933"/>
    </row>
    <row r="60934" spans="10:10" x14ac:dyDescent="0.3">
      <c r="J60934"/>
    </row>
    <row r="60935" spans="10:10" x14ac:dyDescent="0.3">
      <c r="J60935"/>
    </row>
    <row r="60936" spans="10:10" x14ac:dyDescent="0.3">
      <c r="J60936"/>
    </row>
    <row r="60937" spans="10:10" x14ac:dyDescent="0.3">
      <c r="J60937"/>
    </row>
    <row r="60938" spans="10:10" x14ac:dyDescent="0.3">
      <c r="J60938"/>
    </row>
    <row r="60939" spans="10:10" x14ac:dyDescent="0.3">
      <c r="J60939"/>
    </row>
    <row r="60940" spans="10:10" x14ac:dyDescent="0.3">
      <c r="J60940"/>
    </row>
    <row r="60941" spans="10:10" x14ac:dyDescent="0.3">
      <c r="J60941"/>
    </row>
    <row r="60942" spans="10:10" x14ac:dyDescent="0.3">
      <c r="J60942"/>
    </row>
    <row r="60943" spans="10:10" x14ac:dyDescent="0.3">
      <c r="J60943"/>
    </row>
    <row r="60944" spans="10:10" x14ac:dyDescent="0.3">
      <c r="J60944"/>
    </row>
    <row r="60945" spans="10:10" x14ac:dyDescent="0.3">
      <c r="J60945"/>
    </row>
    <row r="60946" spans="10:10" x14ac:dyDescent="0.3">
      <c r="J60946"/>
    </row>
    <row r="60947" spans="10:10" x14ac:dyDescent="0.3">
      <c r="J60947"/>
    </row>
    <row r="60948" spans="10:10" x14ac:dyDescent="0.3">
      <c r="J60948"/>
    </row>
    <row r="60949" spans="10:10" x14ac:dyDescent="0.3">
      <c r="J60949"/>
    </row>
    <row r="60950" spans="10:10" x14ac:dyDescent="0.3">
      <c r="J60950"/>
    </row>
    <row r="60951" spans="10:10" x14ac:dyDescent="0.3">
      <c r="J60951"/>
    </row>
    <row r="60952" spans="10:10" x14ac:dyDescent="0.3">
      <c r="J60952"/>
    </row>
    <row r="60953" spans="10:10" x14ac:dyDescent="0.3">
      <c r="J60953"/>
    </row>
    <row r="60954" spans="10:10" x14ac:dyDescent="0.3">
      <c r="J60954"/>
    </row>
    <row r="60955" spans="10:10" x14ac:dyDescent="0.3">
      <c r="J60955"/>
    </row>
    <row r="60956" spans="10:10" x14ac:dyDescent="0.3">
      <c r="J60956"/>
    </row>
    <row r="60957" spans="10:10" x14ac:dyDescent="0.3">
      <c r="J60957"/>
    </row>
    <row r="60958" spans="10:10" x14ac:dyDescent="0.3">
      <c r="J60958"/>
    </row>
    <row r="60959" spans="10:10" x14ac:dyDescent="0.3">
      <c r="J60959"/>
    </row>
    <row r="60960" spans="10:10" x14ac:dyDescent="0.3">
      <c r="J60960"/>
    </row>
    <row r="60961" spans="10:10" x14ac:dyDescent="0.3">
      <c r="J60961"/>
    </row>
    <row r="60962" spans="10:10" x14ac:dyDescent="0.3">
      <c r="J60962"/>
    </row>
    <row r="60963" spans="10:10" x14ac:dyDescent="0.3">
      <c r="J60963"/>
    </row>
    <row r="60964" spans="10:10" x14ac:dyDescent="0.3">
      <c r="J60964"/>
    </row>
    <row r="60965" spans="10:10" x14ac:dyDescent="0.3">
      <c r="J60965"/>
    </row>
    <row r="60966" spans="10:10" x14ac:dyDescent="0.3">
      <c r="J60966"/>
    </row>
    <row r="60967" spans="10:10" x14ac:dyDescent="0.3">
      <c r="J60967"/>
    </row>
    <row r="60968" spans="10:10" x14ac:dyDescent="0.3">
      <c r="J60968"/>
    </row>
    <row r="60969" spans="10:10" x14ac:dyDescent="0.3">
      <c r="J60969"/>
    </row>
    <row r="60970" spans="10:10" x14ac:dyDescent="0.3">
      <c r="J60970"/>
    </row>
    <row r="60971" spans="10:10" x14ac:dyDescent="0.3">
      <c r="J60971"/>
    </row>
    <row r="60972" spans="10:10" x14ac:dyDescent="0.3">
      <c r="J60972"/>
    </row>
    <row r="60973" spans="10:10" x14ac:dyDescent="0.3">
      <c r="J60973"/>
    </row>
    <row r="60974" spans="10:10" x14ac:dyDescent="0.3">
      <c r="J60974"/>
    </row>
    <row r="60975" spans="10:10" x14ac:dyDescent="0.3">
      <c r="J60975"/>
    </row>
    <row r="60976" spans="10:10" x14ac:dyDescent="0.3">
      <c r="J60976"/>
    </row>
    <row r="60977" spans="10:10" x14ac:dyDescent="0.3">
      <c r="J60977"/>
    </row>
    <row r="60978" spans="10:10" x14ac:dyDescent="0.3">
      <c r="J60978"/>
    </row>
    <row r="60979" spans="10:10" x14ac:dyDescent="0.3">
      <c r="J60979"/>
    </row>
    <row r="60980" spans="10:10" x14ac:dyDescent="0.3">
      <c r="J60980"/>
    </row>
    <row r="60981" spans="10:10" x14ac:dyDescent="0.3">
      <c r="J60981"/>
    </row>
    <row r="60982" spans="10:10" x14ac:dyDescent="0.3">
      <c r="J60982"/>
    </row>
    <row r="60983" spans="10:10" x14ac:dyDescent="0.3">
      <c r="J60983"/>
    </row>
    <row r="60984" spans="10:10" x14ac:dyDescent="0.3">
      <c r="J60984"/>
    </row>
    <row r="60985" spans="10:10" x14ac:dyDescent="0.3">
      <c r="J60985"/>
    </row>
    <row r="60986" spans="10:10" x14ac:dyDescent="0.3">
      <c r="J60986"/>
    </row>
    <row r="60987" spans="10:10" x14ac:dyDescent="0.3">
      <c r="J60987"/>
    </row>
    <row r="60988" spans="10:10" x14ac:dyDescent="0.3">
      <c r="J60988"/>
    </row>
    <row r="60989" spans="10:10" x14ac:dyDescent="0.3">
      <c r="J60989"/>
    </row>
    <row r="60990" spans="10:10" x14ac:dyDescent="0.3">
      <c r="J60990"/>
    </row>
    <row r="60991" spans="10:10" x14ac:dyDescent="0.3">
      <c r="J60991"/>
    </row>
    <row r="60992" spans="10:10" x14ac:dyDescent="0.3">
      <c r="J60992"/>
    </row>
    <row r="60993" spans="10:10" x14ac:dyDescent="0.3">
      <c r="J60993"/>
    </row>
    <row r="60994" spans="10:10" x14ac:dyDescent="0.3">
      <c r="J60994"/>
    </row>
    <row r="60995" spans="10:10" x14ac:dyDescent="0.3">
      <c r="J60995"/>
    </row>
    <row r="60996" spans="10:10" x14ac:dyDescent="0.3">
      <c r="J60996"/>
    </row>
    <row r="60997" spans="10:10" x14ac:dyDescent="0.3">
      <c r="J60997"/>
    </row>
    <row r="60998" spans="10:10" x14ac:dyDescent="0.3">
      <c r="J60998"/>
    </row>
    <row r="60999" spans="10:10" x14ac:dyDescent="0.3">
      <c r="J60999"/>
    </row>
    <row r="61000" spans="10:10" x14ac:dyDescent="0.3">
      <c r="J61000"/>
    </row>
    <row r="61001" spans="10:10" x14ac:dyDescent="0.3">
      <c r="J61001"/>
    </row>
    <row r="61002" spans="10:10" x14ac:dyDescent="0.3">
      <c r="J61002"/>
    </row>
    <row r="61003" spans="10:10" x14ac:dyDescent="0.3">
      <c r="J61003"/>
    </row>
    <row r="61004" spans="10:10" x14ac:dyDescent="0.3">
      <c r="J61004"/>
    </row>
    <row r="61005" spans="10:10" x14ac:dyDescent="0.3">
      <c r="J61005"/>
    </row>
    <row r="61006" spans="10:10" x14ac:dyDescent="0.3">
      <c r="J61006"/>
    </row>
    <row r="61007" spans="10:10" x14ac:dyDescent="0.3">
      <c r="J61007"/>
    </row>
    <row r="61008" spans="10:10" x14ac:dyDescent="0.3">
      <c r="J61008"/>
    </row>
    <row r="61009" spans="10:10" x14ac:dyDescent="0.3">
      <c r="J61009"/>
    </row>
    <row r="61010" spans="10:10" x14ac:dyDescent="0.3">
      <c r="J61010"/>
    </row>
    <row r="61011" spans="10:10" x14ac:dyDescent="0.3">
      <c r="J61011"/>
    </row>
    <row r="61012" spans="10:10" x14ac:dyDescent="0.3">
      <c r="J61012"/>
    </row>
    <row r="61013" spans="10:10" x14ac:dyDescent="0.3">
      <c r="J61013"/>
    </row>
    <row r="61014" spans="10:10" x14ac:dyDescent="0.3">
      <c r="J61014"/>
    </row>
    <row r="61015" spans="10:10" x14ac:dyDescent="0.3">
      <c r="J61015"/>
    </row>
    <row r="61016" spans="10:10" x14ac:dyDescent="0.3">
      <c r="J61016"/>
    </row>
    <row r="61017" spans="10:10" x14ac:dyDescent="0.3">
      <c r="J61017"/>
    </row>
    <row r="61018" spans="10:10" x14ac:dyDescent="0.3">
      <c r="J61018"/>
    </row>
    <row r="61019" spans="10:10" x14ac:dyDescent="0.3">
      <c r="J61019"/>
    </row>
    <row r="61020" spans="10:10" x14ac:dyDescent="0.3">
      <c r="J61020"/>
    </row>
    <row r="61021" spans="10:10" x14ac:dyDescent="0.3">
      <c r="J61021"/>
    </row>
    <row r="61022" spans="10:10" x14ac:dyDescent="0.3">
      <c r="J61022"/>
    </row>
    <row r="61023" spans="10:10" x14ac:dyDescent="0.3">
      <c r="J61023"/>
    </row>
    <row r="61024" spans="10:10" x14ac:dyDescent="0.3">
      <c r="J61024"/>
    </row>
    <row r="61025" spans="10:10" x14ac:dyDescent="0.3">
      <c r="J61025"/>
    </row>
    <row r="61026" spans="10:10" x14ac:dyDescent="0.3">
      <c r="J61026"/>
    </row>
    <row r="61027" spans="10:10" x14ac:dyDescent="0.3">
      <c r="J61027"/>
    </row>
    <row r="61028" spans="10:10" x14ac:dyDescent="0.3">
      <c r="J61028"/>
    </row>
    <row r="61029" spans="10:10" x14ac:dyDescent="0.3">
      <c r="J61029"/>
    </row>
    <row r="61030" spans="10:10" x14ac:dyDescent="0.3">
      <c r="J61030"/>
    </row>
    <row r="61031" spans="10:10" x14ac:dyDescent="0.3">
      <c r="J61031"/>
    </row>
    <row r="61032" spans="10:10" x14ac:dyDescent="0.3">
      <c r="J61032"/>
    </row>
    <row r="61033" spans="10:10" x14ac:dyDescent="0.3">
      <c r="J61033"/>
    </row>
    <row r="61034" spans="10:10" x14ac:dyDescent="0.3">
      <c r="J61034"/>
    </row>
    <row r="61035" spans="10:10" x14ac:dyDescent="0.3">
      <c r="J61035"/>
    </row>
    <row r="61036" spans="10:10" x14ac:dyDescent="0.3">
      <c r="J61036"/>
    </row>
    <row r="61037" spans="10:10" x14ac:dyDescent="0.3">
      <c r="J61037"/>
    </row>
    <row r="61038" spans="10:10" x14ac:dyDescent="0.3">
      <c r="J61038"/>
    </row>
    <row r="61039" spans="10:10" x14ac:dyDescent="0.3">
      <c r="J61039"/>
    </row>
    <row r="61040" spans="10:10" x14ac:dyDescent="0.3">
      <c r="J61040"/>
    </row>
    <row r="61041" spans="10:10" x14ac:dyDescent="0.3">
      <c r="J61041"/>
    </row>
    <row r="61042" spans="10:10" x14ac:dyDescent="0.3">
      <c r="J61042"/>
    </row>
    <row r="61043" spans="10:10" x14ac:dyDescent="0.3">
      <c r="J61043"/>
    </row>
    <row r="61044" spans="10:10" x14ac:dyDescent="0.3">
      <c r="J61044"/>
    </row>
    <row r="61045" spans="10:10" x14ac:dyDescent="0.3">
      <c r="J61045"/>
    </row>
    <row r="61046" spans="10:10" x14ac:dyDescent="0.3">
      <c r="J61046"/>
    </row>
    <row r="61047" spans="10:10" x14ac:dyDescent="0.3">
      <c r="J61047"/>
    </row>
    <row r="61048" spans="10:10" x14ac:dyDescent="0.3">
      <c r="J61048"/>
    </row>
    <row r="61049" spans="10:10" x14ac:dyDescent="0.3">
      <c r="J61049"/>
    </row>
    <row r="61050" spans="10:10" x14ac:dyDescent="0.3">
      <c r="J61050"/>
    </row>
    <row r="61051" spans="10:10" x14ac:dyDescent="0.3">
      <c r="J61051"/>
    </row>
    <row r="61052" spans="10:10" x14ac:dyDescent="0.3">
      <c r="J61052"/>
    </row>
    <row r="61053" spans="10:10" x14ac:dyDescent="0.3">
      <c r="J61053"/>
    </row>
    <row r="61054" spans="10:10" x14ac:dyDescent="0.3">
      <c r="J61054"/>
    </row>
    <row r="61055" spans="10:10" x14ac:dyDescent="0.3">
      <c r="J61055"/>
    </row>
    <row r="61056" spans="10:10" x14ac:dyDescent="0.3">
      <c r="J61056"/>
    </row>
    <row r="61057" spans="10:10" x14ac:dyDescent="0.3">
      <c r="J61057"/>
    </row>
    <row r="61058" spans="10:10" x14ac:dyDescent="0.3">
      <c r="J61058"/>
    </row>
    <row r="61059" spans="10:10" x14ac:dyDescent="0.3">
      <c r="J61059"/>
    </row>
    <row r="61060" spans="10:10" x14ac:dyDescent="0.3">
      <c r="J61060"/>
    </row>
    <row r="61061" spans="10:10" x14ac:dyDescent="0.3">
      <c r="J61061"/>
    </row>
    <row r="61062" spans="10:10" x14ac:dyDescent="0.3">
      <c r="J61062"/>
    </row>
    <row r="61063" spans="10:10" x14ac:dyDescent="0.3">
      <c r="J61063"/>
    </row>
    <row r="61064" spans="10:10" x14ac:dyDescent="0.3">
      <c r="J61064"/>
    </row>
    <row r="61065" spans="10:10" x14ac:dyDescent="0.3">
      <c r="J61065"/>
    </row>
    <row r="61066" spans="10:10" x14ac:dyDescent="0.3">
      <c r="J61066"/>
    </row>
    <row r="61067" spans="10:10" x14ac:dyDescent="0.3">
      <c r="J61067"/>
    </row>
    <row r="61068" spans="10:10" x14ac:dyDescent="0.3">
      <c r="J61068"/>
    </row>
    <row r="61069" spans="10:10" x14ac:dyDescent="0.3">
      <c r="J61069"/>
    </row>
    <row r="61070" spans="10:10" x14ac:dyDescent="0.3">
      <c r="J61070"/>
    </row>
    <row r="61071" spans="10:10" x14ac:dyDescent="0.3">
      <c r="J61071"/>
    </row>
    <row r="61072" spans="10:10" x14ac:dyDescent="0.3">
      <c r="J61072"/>
    </row>
    <row r="61073" spans="10:10" x14ac:dyDescent="0.3">
      <c r="J61073"/>
    </row>
    <row r="61074" spans="10:10" x14ac:dyDescent="0.3">
      <c r="J61074"/>
    </row>
    <row r="61075" spans="10:10" x14ac:dyDescent="0.3">
      <c r="J61075"/>
    </row>
    <row r="61076" spans="10:10" x14ac:dyDescent="0.3">
      <c r="J61076"/>
    </row>
    <row r="61077" spans="10:10" x14ac:dyDescent="0.3">
      <c r="J61077"/>
    </row>
    <row r="61078" spans="10:10" x14ac:dyDescent="0.3">
      <c r="J61078"/>
    </row>
    <row r="61079" spans="10:10" x14ac:dyDescent="0.3">
      <c r="J61079"/>
    </row>
    <row r="61080" spans="10:10" x14ac:dyDescent="0.3">
      <c r="J61080"/>
    </row>
    <row r="61081" spans="10:10" x14ac:dyDescent="0.3">
      <c r="J61081"/>
    </row>
    <row r="61082" spans="10:10" x14ac:dyDescent="0.3">
      <c r="J61082"/>
    </row>
    <row r="61083" spans="10:10" x14ac:dyDescent="0.3">
      <c r="J61083"/>
    </row>
    <row r="61084" spans="10:10" x14ac:dyDescent="0.3">
      <c r="J61084"/>
    </row>
    <row r="61085" spans="10:10" x14ac:dyDescent="0.3">
      <c r="J61085"/>
    </row>
    <row r="61086" spans="10:10" x14ac:dyDescent="0.3">
      <c r="J61086"/>
    </row>
    <row r="61087" spans="10:10" x14ac:dyDescent="0.3">
      <c r="J61087"/>
    </row>
    <row r="61088" spans="10:10" x14ac:dyDescent="0.3">
      <c r="J61088"/>
    </row>
    <row r="61089" spans="10:10" x14ac:dyDescent="0.3">
      <c r="J61089"/>
    </row>
    <row r="61090" spans="10:10" x14ac:dyDescent="0.3">
      <c r="J61090"/>
    </row>
    <row r="61091" spans="10:10" x14ac:dyDescent="0.3">
      <c r="J61091"/>
    </row>
    <row r="61092" spans="10:10" x14ac:dyDescent="0.3">
      <c r="J61092"/>
    </row>
    <row r="61093" spans="10:10" x14ac:dyDescent="0.3">
      <c r="J61093"/>
    </row>
    <row r="61094" spans="10:10" x14ac:dyDescent="0.3">
      <c r="J61094"/>
    </row>
    <row r="61095" spans="10:10" x14ac:dyDescent="0.3">
      <c r="J61095"/>
    </row>
    <row r="61096" spans="10:10" x14ac:dyDescent="0.3">
      <c r="J61096"/>
    </row>
    <row r="61097" spans="10:10" x14ac:dyDescent="0.3">
      <c r="J61097"/>
    </row>
    <row r="61098" spans="10:10" x14ac:dyDescent="0.3">
      <c r="J61098"/>
    </row>
    <row r="61099" spans="10:10" x14ac:dyDescent="0.3">
      <c r="J61099"/>
    </row>
    <row r="61100" spans="10:10" x14ac:dyDescent="0.3">
      <c r="J61100"/>
    </row>
    <row r="61101" spans="10:10" x14ac:dyDescent="0.3">
      <c r="J61101"/>
    </row>
    <row r="61102" spans="10:10" x14ac:dyDescent="0.3">
      <c r="J61102"/>
    </row>
    <row r="61103" spans="10:10" x14ac:dyDescent="0.3">
      <c r="J61103"/>
    </row>
    <row r="61104" spans="10:10" x14ac:dyDescent="0.3">
      <c r="J61104"/>
    </row>
    <row r="61105" spans="10:10" x14ac:dyDescent="0.3">
      <c r="J61105"/>
    </row>
    <row r="61106" spans="10:10" x14ac:dyDescent="0.3">
      <c r="J61106"/>
    </row>
    <row r="61107" spans="10:10" x14ac:dyDescent="0.3">
      <c r="J61107"/>
    </row>
    <row r="61108" spans="10:10" x14ac:dyDescent="0.3">
      <c r="J61108"/>
    </row>
    <row r="61109" spans="10:10" x14ac:dyDescent="0.3">
      <c r="J61109"/>
    </row>
    <row r="61110" spans="10:10" x14ac:dyDescent="0.3">
      <c r="J61110"/>
    </row>
    <row r="61111" spans="10:10" x14ac:dyDescent="0.3">
      <c r="J61111"/>
    </row>
    <row r="61112" spans="10:10" x14ac:dyDescent="0.3">
      <c r="J61112"/>
    </row>
    <row r="61113" spans="10:10" x14ac:dyDescent="0.3">
      <c r="J61113"/>
    </row>
    <row r="61114" spans="10:10" x14ac:dyDescent="0.3">
      <c r="J61114"/>
    </row>
    <row r="61115" spans="10:10" x14ac:dyDescent="0.3">
      <c r="J61115"/>
    </row>
    <row r="61116" spans="10:10" x14ac:dyDescent="0.3">
      <c r="J61116"/>
    </row>
    <row r="61117" spans="10:10" x14ac:dyDescent="0.3">
      <c r="J61117"/>
    </row>
    <row r="61118" spans="10:10" x14ac:dyDescent="0.3">
      <c r="J61118"/>
    </row>
    <row r="61119" spans="10:10" x14ac:dyDescent="0.3">
      <c r="J61119"/>
    </row>
    <row r="61120" spans="10:10" x14ac:dyDescent="0.3">
      <c r="J61120"/>
    </row>
    <row r="61121" spans="10:10" x14ac:dyDescent="0.3">
      <c r="J61121"/>
    </row>
    <row r="61122" spans="10:10" x14ac:dyDescent="0.3">
      <c r="J61122"/>
    </row>
    <row r="61123" spans="10:10" x14ac:dyDescent="0.3">
      <c r="J61123"/>
    </row>
    <row r="61124" spans="10:10" x14ac:dyDescent="0.3">
      <c r="J61124"/>
    </row>
    <row r="61125" spans="10:10" x14ac:dyDescent="0.3">
      <c r="J61125"/>
    </row>
    <row r="61126" spans="10:10" x14ac:dyDescent="0.3">
      <c r="J61126"/>
    </row>
    <row r="61127" spans="10:10" x14ac:dyDescent="0.3">
      <c r="J61127"/>
    </row>
    <row r="61128" spans="10:10" x14ac:dyDescent="0.3">
      <c r="J61128"/>
    </row>
    <row r="61129" spans="10:10" x14ac:dyDescent="0.3">
      <c r="J61129"/>
    </row>
    <row r="61130" spans="10:10" x14ac:dyDescent="0.3">
      <c r="J61130"/>
    </row>
    <row r="61131" spans="10:10" x14ac:dyDescent="0.3">
      <c r="J61131"/>
    </row>
    <row r="61132" spans="10:10" x14ac:dyDescent="0.3">
      <c r="J61132"/>
    </row>
    <row r="61133" spans="10:10" x14ac:dyDescent="0.3">
      <c r="J61133"/>
    </row>
    <row r="61134" spans="10:10" x14ac:dyDescent="0.3">
      <c r="J61134"/>
    </row>
    <row r="61135" spans="10:10" x14ac:dyDescent="0.3">
      <c r="J61135"/>
    </row>
    <row r="61136" spans="10:10" x14ac:dyDescent="0.3">
      <c r="J61136"/>
    </row>
    <row r="61137" spans="10:10" x14ac:dyDescent="0.3">
      <c r="J61137"/>
    </row>
    <row r="61138" spans="10:10" x14ac:dyDescent="0.3">
      <c r="J61138"/>
    </row>
    <row r="61139" spans="10:10" x14ac:dyDescent="0.3">
      <c r="J61139"/>
    </row>
    <row r="61140" spans="10:10" x14ac:dyDescent="0.3">
      <c r="J61140"/>
    </row>
    <row r="61141" spans="10:10" x14ac:dyDescent="0.3">
      <c r="J61141"/>
    </row>
    <row r="61142" spans="10:10" x14ac:dyDescent="0.3">
      <c r="J61142"/>
    </row>
    <row r="61143" spans="10:10" x14ac:dyDescent="0.3">
      <c r="J61143"/>
    </row>
    <row r="61144" spans="10:10" x14ac:dyDescent="0.3">
      <c r="J61144"/>
    </row>
    <row r="61145" spans="10:10" x14ac:dyDescent="0.3">
      <c r="J61145"/>
    </row>
    <row r="61146" spans="10:10" x14ac:dyDescent="0.3">
      <c r="J61146"/>
    </row>
    <row r="61147" spans="10:10" x14ac:dyDescent="0.3">
      <c r="J61147"/>
    </row>
    <row r="61148" spans="10:10" x14ac:dyDescent="0.3">
      <c r="J61148"/>
    </row>
    <row r="61149" spans="10:10" x14ac:dyDescent="0.3">
      <c r="J61149"/>
    </row>
    <row r="61150" spans="10:10" x14ac:dyDescent="0.3">
      <c r="J61150"/>
    </row>
    <row r="61151" spans="10:10" x14ac:dyDescent="0.3">
      <c r="J61151"/>
    </row>
    <row r="61152" spans="10:10" x14ac:dyDescent="0.3">
      <c r="J61152"/>
    </row>
    <row r="61153" spans="10:10" x14ac:dyDescent="0.3">
      <c r="J61153"/>
    </row>
    <row r="61154" spans="10:10" x14ac:dyDescent="0.3">
      <c r="J61154"/>
    </row>
    <row r="61155" spans="10:10" x14ac:dyDescent="0.3">
      <c r="J61155"/>
    </row>
    <row r="61156" spans="10:10" x14ac:dyDescent="0.3">
      <c r="J61156"/>
    </row>
    <row r="61157" spans="10:10" x14ac:dyDescent="0.3">
      <c r="J61157"/>
    </row>
    <row r="61158" spans="10:10" x14ac:dyDescent="0.3">
      <c r="J61158"/>
    </row>
    <row r="61159" spans="10:10" x14ac:dyDescent="0.3">
      <c r="J61159"/>
    </row>
    <row r="61160" spans="10:10" x14ac:dyDescent="0.3">
      <c r="J61160"/>
    </row>
    <row r="61161" spans="10:10" x14ac:dyDescent="0.3">
      <c r="J61161"/>
    </row>
    <row r="61162" spans="10:10" x14ac:dyDescent="0.3">
      <c r="J61162"/>
    </row>
    <row r="61163" spans="10:10" x14ac:dyDescent="0.3">
      <c r="J61163"/>
    </row>
    <row r="61164" spans="10:10" x14ac:dyDescent="0.3">
      <c r="J61164"/>
    </row>
    <row r="61165" spans="10:10" x14ac:dyDescent="0.3">
      <c r="J61165"/>
    </row>
    <row r="61166" spans="10:10" x14ac:dyDescent="0.3">
      <c r="J61166"/>
    </row>
    <row r="61167" spans="10:10" x14ac:dyDescent="0.3">
      <c r="J61167"/>
    </row>
    <row r="61168" spans="10:10" x14ac:dyDescent="0.3">
      <c r="J61168"/>
    </row>
    <row r="61169" spans="10:10" x14ac:dyDescent="0.3">
      <c r="J61169"/>
    </row>
    <row r="61170" spans="10:10" x14ac:dyDescent="0.3">
      <c r="J61170"/>
    </row>
    <row r="61171" spans="10:10" x14ac:dyDescent="0.3">
      <c r="J61171"/>
    </row>
    <row r="61172" spans="10:10" x14ac:dyDescent="0.3">
      <c r="J61172"/>
    </row>
    <row r="61173" spans="10:10" x14ac:dyDescent="0.3">
      <c r="J61173"/>
    </row>
    <row r="61174" spans="10:10" x14ac:dyDescent="0.3">
      <c r="J61174"/>
    </row>
    <row r="61175" spans="10:10" x14ac:dyDescent="0.3">
      <c r="J61175"/>
    </row>
    <row r="61176" spans="10:10" x14ac:dyDescent="0.3">
      <c r="J61176"/>
    </row>
    <row r="61177" spans="10:10" x14ac:dyDescent="0.3">
      <c r="J61177"/>
    </row>
    <row r="61178" spans="10:10" x14ac:dyDescent="0.3">
      <c r="J61178"/>
    </row>
    <row r="61179" spans="10:10" x14ac:dyDescent="0.3">
      <c r="J61179"/>
    </row>
    <row r="61180" spans="10:10" x14ac:dyDescent="0.3">
      <c r="J61180"/>
    </row>
    <row r="61181" spans="10:10" x14ac:dyDescent="0.3">
      <c r="J61181"/>
    </row>
    <row r="61182" spans="10:10" x14ac:dyDescent="0.3">
      <c r="J61182"/>
    </row>
    <row r="61183" spans="10:10" x14ac:dyDescent="0.3">
      <c r="J61183"/>
    </row>
    <row r="61184" spans="10:10" x14ac:dyDescent="0.3">
      <c r="J61184"/>
    </row>
    <row r="61185" spans="10:10" x14ac:dyDescent="0.3">
      <c r="J61185"/>
    </row>
    <row r="61186" spans="10:10" x14ac:dyDescent="0.3">
      <c r="J61186"/>
    </row>
    <row r="61187" spans="10:10" x14ac:dyDescent="0.3">
      <c r="J61187"/>
    </row>
    <row r="61188" spans="10:10" x14ac:dyDescent="0.3">
      <c r="J61188"/>
    </row>
    <row r="61189" spans="10:10" x14ac:dyDescent="0.3">
      <c r="J61189"/>
    </row>
    <row r="61190" spans="10:10" x14ac:dyDescent="0.3">
      <c r="J61190"/>
    </row>
    <row r="61191" spans="10:10" x14ac:dyDescent="0.3">
      <c r="J61191"/>
    </row>
    <row r="61192" spans="10:10" x14ac:dyDescent="0.3">
      <c r="J61192"/>
    </row>
    <row r="61193" spans="10:10" x14ac:dyDescent="0.3">
      <c r="J61193"/>
    </row>
    <row r="61194" spans="10:10" x14ac:dyDescent="0.3">
      <c r="J61194"/>
    </row>
    <row r="61195" spans="10:10" x14ac:dyDescent="0.3">
      <c r="J61195"/>
    </row>
    <row r="61196" spans="10:10" x14ac:dyDescent="0.3">
      <c r="J61196"/>
    </row>
    <row r="61197" spans="10:10" x14ac:dyDescent="0.3">
      <c r="J61197"/>
    </row>
    <row r="61198" spans="10:10" x14ac:dyDescent="0.3">
      <c r="J61198"/>
    </row>
    <row r="61199" spans="10:10" x14ac:dyDescent="0.3">
      <c r="J61199"/>
    </row>
    <row r="61200" spans="10:10" x14ac:dyDescent="0.3">
      <c r="J61200"/>
    </row>
    <row r="61201" spans="10:10" x14ac:dyDescent="0.3">
      <c r="J61201"/>
    </row>
    <row r="61202" spans="10:10" x14ac:dyDescent="0.3">
      <c r="J61202"/>
    </row>
    <row r="61203" spans="10:10" x14ac:dyDescent="0.3">
      <c r="J61203"/>
    </row>
    <row r="61204" spans="10:10" x14ac:dyDescent="0.3">
      <c r="J61204"/>
    </row>
    <row r="61205" spans="10:10" x14ac:dyDescent="0.3">
      <c r="J61205"/>
    </row>
    <row r="61206" spans="10:10" x14ac:dyDescent="0.3">
      <c r="J61206"/>
    </row>
    <row r="61207" spans="10:10" x14ac:dyDescent="0.3">
      <c r="J61207"/>
    </row>
    <row r="61208" spans="10:10" x14ac:dyDescent="0.3">
      <c r="J61208"/>
    </row>
    <row r="61209" spans="10:10" x14ac:dyDescent="0.3">
      <c r="J61209"/>
    </row>
    <row r="61210" spans="10:10" x14ac:dyDescent="0.3">
      <c r="J61210"/>
    </row>
    <row r="61211" spans="10:10" x14ac:dyDescent="0.3">
      <c r="J61211"/>
    </row>
    <row r="61212" spans="10:10" x14ac:dyDescent="0.3">
      <c r="J61212"/>
    </row>
    <row r="61213" spans="10:10" x14ac:dyDescent="0.3">
      <c r="J61213"/>
    </row>
    <row r="61214" spans="10:10" x14ac:dyDescent="0.3">
      <c r="J61214"/>
    </row>
    <row r="61215" spans="10:10" x14ac:dyDescent="0.3">
      <c r="J61215"/>
    </row>
    <row r="61216" spans="10:10" x14ac:dyDescent="0.3">
      <c r="J61216"/>
    </row>
    <row r="61217" spans="10:10" x14ac:dyDescent="0.3">
      <c r="J61217"/>
    </row>
    <row r="61218" spans="10:10" x14ac:dyDescent="0.3">
      <c r="J61218"/>
    </row>
    <row r="61219" spans="10:10" x14ac:dyDescent="0.3">
      <c r="J61219"/>
    </row>
    <row r="61220" spans="10:10" x14ac:dyDescent="0.3">
      <c r="J61220"/>
    </row>
    <row r="61221" spans="10:10" x14ac:dyDescent="0.3">
      <c r="J61221"/>
    </row>
    <row r="61222" spans="10:10" x14ac:dyDescent="0.3">
      <c r="J61222"/>
    </row>
    <row r="61223" spans="10:10" x14ac:dyDescent="0.3">
      <c r="J61223"/>
    </row>
    <row r="61224" spans="10:10" x14ac:dyDescent="0.3">
      <c r="J61224"/>
    </row>
    <row r="61225" spans="10:10" x14ac:dyDescent="0.3">
      <c r="J61225"/>
    </row>
    <row r="61226" spans="10:10" x14ac:dyDescent="0.3">
      <c r="J61226"/>
    </row>
    <row r="61227" spans="10:10" x14ac:dyDescent="0.3">
      <c r="J61227"/>
    </row>
    <row r="61228" spans="10:10" x14ac:dyDescent="0.3">
      <c r="J61228"/>
    </row>
    <row r="61229" spans="10:10" x14ac:dyDescent="0.3">
      <c r="J61229"/>
    </row>
    <row r="61230" spans="10:10" x14ac:dyDescent="0.3">
      <c r="J61230"/>
    </row>
    <row r="61231" spans="10:10" x14ac:dyDescent="0.3">
      <c r="J61231"/>
    </row>
    <row r="61232" spans="10:10" x14ac:dyDescent="0.3">
      <c r="J61232"/>
    </row>
    <row r="61233" spans="10:10" x14ac:dyDescent="0.3">
      <c r="J61233"/>
    </row>
    <row r="61234" spans="10:10" x14ac:dyDescent="0.3">
      <c r="J61234"/>
    </row>
    <row r="61235" spans="10:10" x14ac:dyDescent="0.3">
      <c r="J61235"/>
    </row>
    <row r="61236" spans="10:10" x14ac:dyDescent="0.3">
      <c r="J61236"/>
    </row>
    <row r="61237" spans="10:10" x14ac:dyDescent="0.3">
      <c r="J61237"/>
    </row>
    <row r="61238" spans="10:10" x14ac:dyDescent="0.3">
      <c r="J61238"/>
    </row>
    <row r="61239" spans="10:10" x14ac:dyDescent="0.3">
      <c r="J61239"/>
    </row>
    <row r="61240" spans="10:10" x14ac:dyDescent="0.3">
      <c r="J61240"/>
    </row>
    <row r="61241" spans="10:10" x14ac:dyDescent="0.3">
      <c r="J61241"/>
    </row>
    <row r="61242" spans="10:10" x14ac:dyDescent="0.3">
      <c r="J61242"/>
    </row>
    <row r="61243" spans="10:10" x14ac:dyDescent="0.3">
      <c r="J61243"/>
    </row>
    <row r="61244" spans="10:10" x14ac:dyDescent="0.3">
      <c r="J61244"/>
    </row>
    <row r="61245" spans="10:10" x14ac:dyDescent="0.3">
      <c r="J61245"/>
    </row>
    <row r="61246" spans="10:10" x14ac:dyDescent="0.3">
      <c r="J61246"/>
    </row>
    <row r="61247" spans="10:10" x14ac:dyDescent="0.3">
      <c r="J61247"/>
    </row>
    <row r="61248" spans="10:10" x14ac:dyDescent="0.3">
      <c r="J61248"/>
    </row>
    <row r="61249" spans="10:10" x14ac:dyDescent="0.3">
      <c r="J61249"/>
    </row>
    <row r="61250" spans="10:10" x14ac:dyDescent="0.3">
      <c r="J61250"/>
    </row>
    <row r="61251" spans="10:10" x14ac:dyDescent="0.3">
      <c r="J61251"/>
    </row>
    <row r="61252" spans="10:10" x14ac:dyDescent="0.3">
      <c r="J61252"/>
    </row>
    <row r="61253" spans="10:10" x14ac:dyDescent="0.3">
      <c r="J61253"/>
    </row>
    <row r="61254" spans="10:10" x14ac:dyDescent="0.3">
      <c r="J61254"/>
    </row>
    <row r="61255" spans="10:10" x14ac:dyDescent="0.3">
      <c r="J61255"/>
    </row>
    <row r="61256" spans="10:10" x14ac:dyDescent="0.3">
      <c r="J61256"/>
    </row>
    <row r="61257" spans="10:10" x14ac:dyDescent="0.3">
      <c r="J61257"/>
    </row>
    <row r="61258" spans="10:10" x14ac:dyDescent="0.3">
      <c r="J61258"/>
    </row>
    <row r="61259" spans="10:10" x14ac:dyDescent="0.3">
      <c r="J61259"/>
    </row>
    <row r="61260" spans="10:10" x14ac:dyDescent="0.3">
      <c r="J61260"/>
    </row>
    <row r="61261" spans="10:10" x14ac:dyDescent="0.3">
      <c r="J61261"/>
    </row>
    <row r="61262" spans="10:10" x14ac:dyDescent="0.3">
      <c r="J61262"/>
    </row>
    <row r="61263" spans="10:10" x14ac:dyDescent="0.3">
      <c r="J61263"/>
    </row>
    <row r="61264" spans="10:10" x14ac:dyDescent="0.3">
      <c r="J61264"/>
    </row>
    <row r="61265" spans="10:10" x14ac:dyDescent="0.3">
      <c r="J61265"/>
    </row>
    <row r="61266" spans="10:10" x14ac:dyDescent="0.3">
      <c r="J61266"/>
    </row>
    <row r="61267" spans="10:10" x14ac:dyDescent="0.3">
      <c r="J61267"/>
    </row>
    <row r="61268" spans="10:10" x14ac:dyDescent="0.3">
      <c r="J61268"/>
    </row>
    <row r="61269" spans="10:10" x14ac:dyDescent="0.3">
      <c r="J61269"/>
    </row>
    <row r="61270" spans="10:10" x14ac:dyDescent="0.3">
      <c r="J61270"/>
    </row>
    <row r="61271" spans="10:10" x14ac:dyDescent="0.3">
      <c r="J61271"/>
    </row>
    <row r="61272" spans="10:10" x14ac:dyDescent="0.3">
      <c r="J61272"/>
    </row>
    <row r="61273" spans="10:10" x14ac:dyDescent="0.3">
      <c r="J61273"/>
    </row>
    <row r="61274" spans="10:10" x14ac:dyDescent="0.3">
      <c r="J61274"/>
    </row>
    <row r="61275" spans="10:10" x14ac:dyDescent="0.3">
      <c r="J61275"/>
    </row>
    <row r="61276" spans="10:10" x14ac:dyDescent="0.3">
      <c r="J61276"/>
    </row>
    <row r="61277" spans="10:10" x14ac:dyDescent="0.3">
      <c r="J61277"/>
    </row>
    <row r="61278" spans="10:10" x14ac:dyDescent="0.3">
      <c r="J61278"/>
    </row>
    <row r="61279" spans="10:10" x14ac:dyDescent="0.3">
      <c r="J61279"/>
    </row>
    <row r="61280" spans="10:10" x14ac:dyDescent="0.3">
      <c r="J61280"/>
    </row>
    <row r="61281" spans="10:10" x14ac:dyDescent="0.3">
      <c r="J61281"/>
    </row>
    <row r="61282" spans="10:10" x14ac:dyDescent="0.3">
      <c r="J61282"/>
    </row>
    <row r="61283" spans="10:10" x14ac:dyDescent="0.3">
      <c r="J61283"/>
    </row>
    <row r="61284" spans="10:10" x14ac:dyDescent="0.3">
      <c r="J61284"/>
    </row>
    <row r="61285" spans="10:10" x14ac:dyDescent="0.3">
      <c r="J61285"/>
    </row>
    <row r="61286" spans="10:10" x14ac:dyDescent="0.3">
      <c r="J61286"/>
    </row>
    <row r="61287" spans="10:10" x14ac:dyDescent="0.3">
      <c r="J61287"/>
    </row>
    <row r="61288" spans="10:10" x14ac:dyDescent="0.3">
      <c r="J61288"/>
    </row>
    <row r="61289" spans="10:10" x14ac:dyDescent="0.3">
      <c r="J61289"/>
    </row>
    <row r="61290" spans="10:10" x14ac:dyDescent="0.3">
      <c r="J61290"/>
    </row>
    <row r="61291" spans="10:10" x14ac:dyDescent="0.3">
      <c r="J61291"/>
    </row>
    <row r="61292" spans="10:10" x14ac:dyDescent="0.3">
      <c r="J61292"/>
    </row>
    <row r="61293" spans="10:10" x14ac:dyDescent="0.3">
      <c r="J61293"/>
    </row>
    <row r="61294" spans="10:10" x14ac:dyDescent="0.3">
      <c r="J61294"/>
    </row>
    <row r="61295" spans="10:10" x14ac:dyDescent="0.3">
      <c r="J61295"/>
    </row>
    <row r="61296" spans="10:10" x14ac:dyDescent="0.3">
      <c r="J61296"/>
    </row>
    <row r="61297" spans="10:10" x14ac:dyDescent="0.3">
      <c r="J61297"/>
    </row>
    <row r="61298" spans="10:10" x14ac:dyDescent="0.3">
      <c r="J61298"/>
    </row>
    <row r="61299" spans="10:10" x14ac:dyDescent="0.3">
      <c r="J61299"/>
    </row>
    <row r="61300" spans="10:10" x14ac:dyDescent="0.3">
      <c r="J61300"/>
    </row>
    <row r="61301" spans="10:10" x14ac:dyDescent="0.3">
      <c r="J61301"/>
    </row>
    <row r="61302" spans="10:10" x14ac:dyDescent="0.3">
      <c r="J61302"/>
    </row>
    <row r="61303" spans="10:10" x14ac:dyDescent="0.3">
      <c r="J61303"/>
    </row>
    <row r="61304" spans="10:10" x14ac:dyDescent="0.3">
      <c r="J61304"/>
    </row>
    <row r="61305" spans="10:10" x14ac:dyDescent="0.3">
      <c r="J61305"/>
    </row>
    <row r="61306" spans="10:10" x14ac:dyDescent="0.3">
      <c r="J61306"/>
    </row>
    <row r="61307" spans="10:10" x14ac:dyDescent="0.3">
      <c r="J61307"/>
    </row>
    <row r="61308" spans="10:10" x14ac:dyDescent="0.3">
      <c r="J61308"/>
    </row>
    <row r="61309" spans="10:10" x14ac:dyDescent="0.3">
      <c r="J61309"/>
    </row>
    <row r="61310" spans="10:10" x14ac:dyDescent="0.3">
      <c r="J61310"/>
    </row>
    <row r="61311" spans="10:10" x14ac:dyDescent="0.3">
      <c r="J61311"/>
    </row>
    <row r="61312" spans="10:10" x14ac:dyDescent="0.3">
      <c r="J61312"/>
    </row>
    <row r="61313" spans="10:10" x14ac:dyDescent="0.3">
      <c r="J61313"/>
    </row>
    <row r="61314" spans="10:10" x14ac:dyDescent="0.3">
      <c r="J61314"/>
    </row>
    <row r="61315" spans="10:10" x14ac:dyDescent="0.3">
      <c r="J61315"/>
    </row>
    <row r="61316" spans="10:10" x14ac:dyDescent="0.3">
      <c r="J61316"/>
    </row>
    <row r="61317" spans="10:10" x14ac:dyDescent="0.3">
      <c r="J61317"/>
    </row>
    <row r="61318" spans="10:10" x14ac:dyDescent="0.3">
      <c r="J61318"/>
    </row>
    <row r="61319" spans="10:10" x14ac:dyDescent="0.3">
      <c r="J61319"/>
    </row>
    <row r="61320" spans="10:10" x14ac:dyDescent="0.3">
      <c r="J61320"/>
    </row>
    <row r="61321" spans="10:10" x14ac:dyDescent="0.3">
      <c r="J61321"/>
    </row>
    <row r="61322" spans="10:10" x14ac:dyDescent="0.3">
      <c r="J61322"/>
    </row>
    <row r="61323" spans="10:10" x14ac:dyDescent="0.3">
      <c r="J61323"/>
    </row>
    <row r="61324" spans="10:10" x14ac:dyDescent="0.3">
      <c r="J61324"/>
    </row>
    <row r="61325" spans="10:10" x14ac:dyDescent="0.3">
      <c r="J61325"/>
    </row>
    <row r="61326" spans="10:10" x14ac:dyDescent="0.3">
      <c r="J61326"/>
    </row>
    <row r="61327" spans="10:10" x14ac:dyDescent="0.3">
      <c r="J61327"/>
    </row>
    <row r="61328" spans="10:10" x14ac:dyDescent="0.3">
      <c r="J61328"/>
    </row>
    <row r="61329" spans="10:10" x14ac:dyDescent="0.3">
      <c r="J61329"/>
    </row>
    <row r="61330" spans="10:10" x14ac:dyDescent="0.3">
      <c r="J61330"/>
    </row>
    <row r="61331" spans="10:10" x14ac:dyDescent="0.3">
      <c r="J61331"/>
    </row>
    <row r="61332" spans="10:10" x14ac:dyDescent="0.3">
      <c r="J61332"/>
    </row>
    <row r="61333" spans="10:10" x14ac:dyDescent="0.3">
      <c r="J61333"/>
    </row>
    <row r="61334" spans="10:10" x14ac:dyDescent="0.3">
      <c r="J61334"/>
    </row>
    <row r="61335" spans="10:10" x14ac:dyDescent="0.3">
      <c r="J61335"/>
    </row>
    <row r="61336" spans="10:10" x14ac:dyDescent="0.3">
      <c r="J61336"/>
    </row>
    <row r="61337" spans="10:10" x14ac:dyDescent="0.3">
      <c r="J61337"/>
    </row>
    <row r="61338" spans="10:10" x14ac:dyDescent="0.3">
      <c r="J61338"/>
    </row>
    <row r="61339" spans="10:10" x14ac:dyDescent="0.3">
      <c r="J61339"/>
    </row>
    <row r="61340" spans="10:10" x14ac:dyDescent="0.3">
      <c r="J61340"/>
    </row>
    <row r="61341" spans="10:10" x14ac:dyDescent="0.3">
      <c r="J61341"/>
    </row>
    <row r="61342" spans="10:10" x14ac:dyDescent="0.3">
      <c r="J61342"/>
    </row>
    <row r="61343" spans="10:10" x14ac:dyDescent="0.3">
      <c r="J61343"/>
    </row>
    <row r="61344" spans="10:10" x14ac:dyDescent="0.3">
      <c r="J61344"/>
    </row>
    <row r="61345" spans="10:10" x14ac:dyDescent="0.3">
      <c r="J61345"/>
    </row>
    <row r="61346" spans="10:10" x14ac:dyDescent="0.3">
      <c r="J61346"/>
    </row>
    <row r="61347" spans="10:10" x14ac:dyDescent="0.3">
      <c r="J61347"/>
    </row>
    <row r="61348" spans="10:10" x14ac:dyDescent="0.3">
      <c r="J61348"/>
    </row>
    <row r="61349" spans="10:10" x14ac:dyDescent="0.3">
      <c r="J61349"/>
    </row>
    <row r="61350" spans="10:10" x14ac:dyDescent="0.3">
      <c r="J61350"/>
    </row>
    <row r="61351" spans="10:10" x14ac:dyDescent="0.3">
      <c r="J61351"/>
    </row>
    <row r="61352" spans="10:10" x14ac:dyDescent="0.3">
      <c r="J61352"/>
    </row>
    <row r="61353" spans="10:10" x14ac:dyDescent="0.3">
      <c r="J61353"/>
    </row>
    <row r="61354" spans="10:10" x14ac:dyDescent="0.3">
      <c r="J61354"/>
    </row>
    <row r="61355" spans="10:10" x14ac:dyDescent="0.3">
      <c r="J61355"/>
    </row>
    <row r="61356" spans="10:10" x14ac:dyDescent="0.3">
      <c r="J61356"/>
    </row>
    <row r="61357" spans="10:10" x14ac:dyDescent="0.3">
      <c r="J61357"/>
    </row>
    <row r="61358" spans="10:10" x14ac:dyDescent="0.3">
      <c r="J61358"/>
    </row>
    <row r="61359" spans="10:10" x14ac:dyDescent="0.3">
      <c r="J61359"/>
    </row>
    <row r="61360" spans="10:10" x14ac:dyDescent="0.3">
      <c r="J61360"/>
    </row>
    <row r="61361" spans="10:10" x14ac:dyDescent="0.3">
      <c r="J61361"/>
    </row>
    <row r="61362" spans="10:10" x14ac:dyDescent="0.3">
      <c r="J61362"/>
    </row>
    <row r="61363" spans="10:10" x14ac:dyDescent="0.3">
      <c r="J61363"/>
    </row>
    <row r="61364" spans="10:10" x14ac:dyDescent="0.3">
      <c r="J61364"/>
    </row>
    <row r="61365" spans="10:10" x14ac:dyDescent="0.3">
      <c r="J61365"/>
    </row>
    <row r="61366" spans="10:10" x14ac:dyDescent="0.3">
      <c r="J61366"/>
    </row>
    <row r="61367" spans="10:10" x14ac:dyDescent="0.3">
      <c r="J61367"/>
    </row>
    <row r="61368" spans="10:10" x14ac:dyDescent="0.3">
      <c r="J61368"/>
    </row>
    <row r="61369" spans="10:10" x14ac:dyDescent="0.3">
      <c r="J61369"/>
    </row>
    <row r="61370" spans="10:10" x14ac:dyDescent="0.3">
      <c r="J61370"/>
    </row>
    <row r="61371" spans="10:10" x14ac:dyDescent="0.3">
      <c r="J61371"/>
    </row>
    <row r="61372" spans="10:10" x14ac:dyDescent="0.3">
      <c r="J61372"/>
    </row>
    <row r="61373" spans="10:10" x14ac:dyDescent="0.3">
      <c r="J61373"/>
    </row>
    <row r="61374" spans="10:10" x14ac:dyDescent="0.3">
      <c r="J61374"/>
    </row>
    <row r="61375" spans="10:10" x14ac:dyDescent="0.3">
      <c r="J61375"/>
    </row>
    <row r="61376" spans="10:10" x14ac:dyDescent="0.3">
      <c r="J61376"/>
    </row>
    <row r="61377" spans="10:10" x14ac:dyDescent="0.3">
      <c r="J61377"/>
    </row>
    <row r="61378" spans="10:10" x14ac:dyDescent="0.3">
      <c r="J61378"/>
    </row>
    <row r="61379" spans="10:10" x14ac:dyDescent="0.3">
      <c r="J61379"/>
    </row>
    <row r="61380" spans="10:10" x14ac:dyDescent="0.3">
      <c r="J61380"/>
    </row>
    <row r="61381" spans="10:10" x14ac:dyDescent="0.3">
      <c r="J61381"/>
    </row>
    <row r="61382" spans="10:10" x14ac:dyDescent="0.3">
      <c r="J61382"/>
    </row>
    <row r="61383" spans="10:10" x14ac:dyDescent="0.3">
      <c r="J61383"/>
    </row>
    <row r="61384" spans="10:10" x14ac:dyDescent="0.3">
      <c r="J61384"/>
    </row>
    <row r="61385" spans="10:10" x14ac:dyDescent="0.3">
      <c r="J61385"/>
    </row>
    <row r="61386" spans="10:10" x14ac:dyDescent="0.3">
      <c r="J61386"/>
    </row>
    <row r="61387" spans="10:10" x14ac:dyDescent="0.3">
      <c r="J61387"/>
    </row>
    <row r="61388" spans="10:10" x14ac:dyDescent="0.3">
      <c r="J61388"/>
    </row>
    <row r="61389" spans="10:10" x14ac:dyDescent="0.3">
      <c r="J61389"/>
    </row>
    <row r="61390" spans="10:10" x14ac:dyDescent="0.3">
      <c r="J61390"/>
    </row>
    <row r="61391" spans="10:10" x14ac:dyDescent="0.3">
      <c r="J61391"/>
    </row>
    <row r="61392" spans="10:10" x14ac:dyDescent="0.3">
      <c r="J61392"/>
    </row>
    <row r="61393" spans="10:10" x14ac:dyDescent="0.3">
      <c r="J61393"/>
    </row>
    <row r="61394" spans="10:10" x14ac:dyDescent="0.3">
      <c r="J61394"/>
    </row>
    <row r="61395" spans="10:10" x14ac:dyDescent="0.3">
      <c r="J61395"/>
    </row>
    <row r="61396" spans="10:10" x14ac:dyDescent="0.3">
      <c r="J61396"/>
    </row>
    <row r="61397" spans="10:10" x14ac:dyDescent="0.3">
      <c r="J61397"/>
    </row>
    <row r="61398" spans="10:10" x14ac:dyDescent="0.3">
      <c r="J61398"/>
    </row>
    <row r="61399" spans="10:10" x14ac:dyDescent="0.3">
      <c r="J61399"/>
    </row>
    <row r="61400" spans="10:10" x14ac:dyDescent="0.3">
      <c r="J61400"/>
    </row>
    <row r="61401" spans="10:10" x14ac:dyDescent="0.3">
      <c r="J61401"/>
    </row>
    <row r="61402" spans="10:10" x14ac:dyDescent="0.3">
      <c r="J61402"/>
    </row>
    <row r="61403" spans="10:10" x14ac:dyDescent="0.3">
      <c r="J61403"/>
    </row>
    <row r="61404" spans="10:10" x14ac:dyDescent="0.3">
      <c r="J61404"/>
    </row>
    <row r="61405" spans="10:10" x14ac:dyDescent="0.3">
      <c r="J61405"/>
    </row>
    <row r="61406" spans="10:10" x14ac:dyDescent="0.3">
      <c r="J61406"/>
    </row>
    <row r="61407" spans="10:10" x14ac:dyDescent="0.3">
      <c r="J61407"/>
    </row>
    <row r="61408" spans="10:10" x14ac:dyDescent="0.3">
      <c r="J61408"/>
    </row>
    <row r="61409" spans="10:10" x14ac:dyDescent="0.3">
      <c r="J61409"/>
    </row>
    <row r="61410" spans="10:10" x14ac:dyDescent="0.3">
      <c r="J61410"/>
    </row>
    <row r="61411" spans="10:10" x14ac:dyDescent="0.3">
      <c r="J61411"/>
    </row>
    <row r="61412" spans="10:10" x14ac:dyDescent="0.3">
      <c r="J61412"/>
    </row>
    <row r="61413" spans="10:10" x14ac:dyDescent="0.3">
      <c r="J61413"/>
    </row>
    <row r="61414" spans="10:10" x14ac:dyDescent="0.3">
      <c r="J61414"/>
    </row>
    <row r="61415" spans="10:10" x14ac:dyDescent="0.3">
      <c r="J61415"/>
    </row>
    <row r="61416" spans="10:10" x14ac:dyDescent="0.3">
      <c r="J61416"/>
    </row>
    <row r="61417" spans="10:10" x14ac:dyDescent="0.3">
      <c r="J61417"/>
    </row>
    <row r="61418" spans="10:10" x14ac:dyDescent="0.3">
      <c r="J61418"/>
    </row>
    <row r="61419" spans="10:10" x14ac:dyDescent="0.3">
      <c r="J61419"/>
    </row>
    <row r="61420" spans="10:10" x14ac:dyDescent="0.3">
      <c r="J61420"/>
    </row>
    <row r="61421" spans="10:10" x14ac:dyDescent="0.3">
      <c r="J61421"/>
    </row>
    <row r="61422" spans="10:10" x14ac:dyDescent="0.3">
      <c r="J61422"/>
    </row>
    <row r="61423" spans="10:10" x14ac:dyDescent="0.3">
      <c r="J61423"/>
    </row>
    <row r="61424" spans="10:10" x14ac:dyDescent="0.3">
      <c r="J61424"/>
    </row>
    <row r="61425" spans="10:10" x14ac:dyDescent="0.3">
      <c r="J61425"/>
    </row>
    <row r="61426" spans="10:10" x14ac:dyDescent="0.3">
      <c r="J61426"/>
    </row>
    <row r="61427" spans="10:10" x14ac:dyDescent="0.3">
      <c r="J61427"/>
    </row>
    <row r="61428" spans="10:10" x14ac:dyDescent="0.3">
      <c r="J61428"/>
    </row>
    <row r="61429" spans="10:10" x14ac:dyDescent="0.3">
      <c r="J61429"/>
    </row>
    <row r="61430" spans="10:10" x14ac:dyDescent="0.3">
      <c r="J61430"/>
    </row>
    <row r="61431" spans="10:10" x14ac:dyDescent="0.3">
      <c r="J61431"/>
    </row>
    <row r="61432" spans="10:10" x14ac:dyDescent="0.3">
      <c r="J61432"/>
    </row>
    <row r="61433" spans="10:10" x14ac:dyDescent="0.3">
      <c r="J61433"/>
    </row>
    <row r="61434" spans="10:10" x14ac:dyDescent="0.3">
      <c r="J61434"/>
    </row>
    <row r="61435" spans="10:10" x14ac:dyDescent="0.3">
      <c r="J61435"/>
    </row>
    <row r="61436" spans="10:10" x14ac:dyDescent="0.3">
      <c r="J61436"/>
    </row>
    <row r="61437" spans="10:10" x14ac:dyDescent="0.3">
      <c r="J61437"/>
    </row>
    <row r="61438" spans="10:10" x14ac:dyDescent="0.3">
      <c r="J61438"/>
    </row>
    <row r="61439" spans="10:10" x14ac:dyDescent="0.3">
      <c r="J61439"/>
    </row>
    <row r="61440" spans="10:10" x14ac:dyDescent="0.3">
      <c r="J61440"/>
    </row>
    <row r="61441" spans="10:10" x14ac:dyDescent="0.3">
      <c r="J61441"/>
    </row>
    <row r="61442" spans="10:10" x14ac:dyDescent="0.3">
      <c r="J61442"/>
    </row>
    <row r="61443" spans="10:10" x14ac:dyDescent="0.3">
      <c r="J61443"/>
    </row>
    <row r="61444" spans="10:10" x14ac:dyDescent="0.3">
      <c r="J61444"/>
    </row>
    <row r="61445" spans="10:10" x14ac:dyDescent="0.3">
      <c r="J61445"/>
    </row>
    <row r="61446" spans="10:10" x14ac:dyDescent="0.3">
      <c r="J61446"/>
    </row>
    <row r="61447" spans="10:10" x14ac:dyDescent="0.3">
      <c r="J61447"/>
    </row>
    <row r="61448" spans="10:10" x14ac:dyDescent="0.3">
      <c r="J61448"/>
    </row>
    <row r="61449" spans="10:10" x14ac:dyDescent="0.3">
      <c r="J61449"/>
    </row>
    <row r="61450" spans="10:10" x14ac:dyDescent="0.3">
      <c r="J61450"/>
    </row>
    <row r="61451" spans="10:10" x14ac:dyDescent="0.3">
      <c r="J61451"/>
    </row>
    <row r="61452" spans="10:10" x14ac:dyDescent="0.3">
      <c r="J61452"/>
    </row>
    <row r="61453" spans="10:10" x14ac:dyDescent="0.3">
      <c r="J61453"/>
    </row>
    <row r="61454" spans="10:10" x14ac:dyDescent="0.3">
      <c r="J61454"/>
    </row>
    <row r="61455" spans="10:10" x14ac:dyDescent="0.3">
      <c r="J61455"/>
    </row>
    <row r="61456" spans="10:10" x14ac:dyDescent="0.3">
      <c r="J61456"/>
    </row>
    <row r="61457" spans="10:10" x14ac:dyDescent="0.3">
      <c r="J61457"/>
    </row>
    <row r="61458" spans="10:10" x14ac:dyDescent="0.3">
      <c r="J61458"/>
    </row>
    <row r="61459" spans="10:10" x14ac:dyDescent="0.3">
      <c r="J61459"/>
    </row>
    <row r="61460" spans="10:10" x14ac:dyDescent="0.3">
      <c r="J61460"/>
    </row>
    <row r="61461" spans="10:10" x14ac:dyDescent="0.3">
      <c r="J61461"/>
    </row>
    <row r="61462" spans="10:10" x14ac:dyDescent="0.3">
      <c r="J61462"/>
    </row>
    <row r="61463" spans="10:10" x14ac:dyDescent="0.3">
      <c r="J61463"/>
    </row>
    <row r="61464" spans="10:10" x14ac:dyDescent="0.3">
      <c r="J61464"/>
    </row>
    <row r="61465" spans="10:10" x14ac:dyDescent="0.3">
      <c r="J61465"/>
    </row>
    <row r="61466" spans="10:10" x14ac:dyDescent="0.3">
      <c r="J61466"/>
    </row>
    <row r="61467" spans="10:10" x14ac:dyDescent="0.3">
      <c r="J61467"/>
    </row>
    <row r="61468" spans="10:10" x14ac:dyDescent="0.3">
      <c r="J61468"/>
    </row>
    <row r="61469" spans="10:10" x14ac:dyDescent="0.3">
      <c r="J61469"/>
    </row>
    <row r="61470" spans="10:10" x14ac:dyDescent="0.3">
      <c r="J61470"/>
    </row>
    <row r="61471" spans="10:10" x14ac:dyDescent="0.3">
      <c r="J61471"/>
    </row>
    <row r="61472" spans="10:10" x14ac:dyDescent="0.3">
      <c r="J61472"/>
    </row>
    <row r="61473" spans="10:10" x14ac:dyDescent="0.3">
      <c r="J61473"/>
    </row>
    <row r="61474" spans="10:10" x14ac:dyDescent="0.3">
      <c r="J61474"/>
    </row>
    <row r="61475" spans="10:10" x14ac:dyDescent="0.3">
      <c r="J61475"/>
    </row>
    <row r="61476" spans="10:10" x14ac:dyDescent="0.3">
      <c r="J61476"/>
    </row>
    <row r="61477" spans="10:10" x14ac:dyDescent="0.3">
      <c r="J61477"/>
    </row>
    <row r="61478" spans="10:10" x14ac:dyDescent="0.3">
      <c r="J61478"/>
    </row>
    <row r="61479" spans="10:10" x14ac:dyDescent="0.3">
      <c r="J61479"/>
    </row>
    <row r="61480" spans="10:10" x14ac:dyDescent="0.3">
      <c r="J61480"/>
    </row>
    <row r="61481" spans="10:10" x14ac:dyDescent="0.3">
      <c r="J61481"/>
    </row>
    <row r="61482" spans="10:10" x14ac:dyDescent="0.3">
      <c r="J61482"/>
    </row>
    <row r="61483" spans="10:10" x14ac:dyDescent="0.3">
      <c r="J61483"/>
    </row>
    <row r="61484" spans="10:10" x14ac:dyDescent="0.3">
      <c r="J61484"/>
    </row>
    <row r="61485" spans="10:10" x14ac:dyDescent="0.3">
      <c r="J61485"/>
    </row>
    <row r="61486" spans="10:10" x14ac:dyDescent="0.3">
      <c r="J61486"/>
    </row>
    <row r="61487" spans="10:10" x14ac:dyDescent="0.3">
      <c r="J61487"/>
    </row>
    <row r="61488" spans="10:10" x14ac:dyDescent="0.3">
      <c r="J61488"/>
    </row>
    <row r="61489" spans="10:10" x14ac:dyDescent="0.3">
      <c r="J61489"/>
    </row>
    <row r="61490" spans="10:10" x14ac:dyDescent="0.3">
      <c r="J61490"/>
    </row>
    <row r="61491" spans="10:10" x14ac:dyDescent="0.3">
      <c r="J61491"/>
    </row>
    <row r="61492" spans="10:10" x14ac:dyDescent="0.3">
      <c r="J61492"/>
    </row>
    <row r="61493" spans="10:10" x14ac:dyDescent="0.3">
      <c r="J61493"/>
    </row>
    <row r="61494" spans="10:10" x14ac:dyDescent="0.3">
      <c r="J61494"/>
    </row>
    <row r="61495" spans="10:10" x14ac:dyDescent="0.3">
      <c r="J61495"/>
    </row>
    <row r="61496" spans="10:10" x14ac:dyDescent="0.3">
      <c r="J61496"/>
    </row>
    <row r="61497" spans="10:10" x14ac:dyDescent="0.3">
      <c r="J61497"/>
    </row>
    <row r="61498" spans="10:10" x14ac:dyDescent="0.3">
      <c r="J61498"/>
    </row>
    <row r="61499" spans="10:10" x14ac:dyDescent="0.3">
      <c r="J61499"/>
    </row>
    <row r="61500" spans="10:10" x14ac:dyDescent="0.3">
      <c r="J61500"/>
    </row>
    <row r="61501" spans="10:10" x14ac:dyDescent="0.3">
      <c r="J61501"/>
    </row>
    <row r="61502" spans="10:10" x14ac:dyDescent="0.3">
      <c r="J61502"/>
    </row>
    <row r="61503" spans="10:10" x14ac:dyDescent="0.3">
      <c r="J61503"/>
    </row>
    <row r="61504" spans="10:10" x14ac:dyDescent="0.3">
      <c r="J61504"/>
    </row>
    <row r="61505" spans="10:10" x14ac:dyDescent="0.3">
      <c r="J61505"/>
    </row>
    <row r="61506" spans="10:10" x14ac:dyDescent="0.3">
      <c r="J61506"/>
    </row>
    <row r="61507" spans="10:10" x14ac:dyDescent="0.3">
      <c r="J61507"/>
    </row>
    <row r="61508" spans="10:10" x14ac:dyDescent="0.3">
      <c r="J61508"/>
    </row>
    <row r="61509" spans="10:10" x14ac:dyDescent="0.3">
      <c r="J61509"/>
    </row>
    <row r="61510" spans="10:10" x14ac:dyDescent="0.3">
      <c r="J61510"/>
    </row>
    <row r="61511" spans="10:10" x14ac:dyDescent="0.3">
      <c r="J61511"/>
    </row>
    <row r="61512" spans="10:10" x14ac:dyDescent="0.3">
      <c r="J61512"/>
    </row>
    <row r="61513" spans="10:10" x14ac:dyDescent="0.3">
      <c r="J61513"/>
    </row>
    <row r="61514" spans="10:10" x14ac:dyDescent="0.3">
      <c r="J61514"/>
    </row>
    <row r="61515" spans="10:10" x14ac:dyDescent="0.3">
      <c r="J61515"/>
    </row>
    <row r="61516" spans="10:10" x14ac:dyDescent="0.3">
      <c r="J61516"/>
    </row>
    <row r="61517" spans="10:10" x14ac:dyDescent="0.3">
      <c r="J61517"/>
    </row>
    <row r="61518" spans="10:10" x14ac:dyDescent="0.3">
      <c r="J61518"/>
    </row>
    <row r="61519" spans="10:10" x14ac:dyDescent="0.3">
      <c r="J61519"/>
    </row>
    <row r="61520" spans="10:10" x14ac:dyDescent="0.3">
      <c r="J61520"/>
    </row>
    <row r="61521" spans="10:10" x14ac:dyDescent="0.3">
      <c r="J61521"/>
    </row>
    <row r="61522" spans="10:10" x14ac:dyDescent="0.3">
      <c r="J61522"/>
    </row>
    <row r="61523" spans="10:10" x14ac:dyDescent="0.3">
      <c r="J61523"/>
    </row>
    <row r="61524" spans="10:10" x14ac:dyDescent="0.3">
      <c r="J61524"/>
    </row>
    <row r="61525" spans="10:10" x14ac:dyDescent="0.3">
      <c r="J61525"/>
    </row>
    <row r="61526" spans="10:10" x14ac:dyDescent="0.3">
      <c r="J61526"/>
    </row>
    <row r="61527" spans="10:10" x14ac:dyDescent="0.3">
      <c r="J61527"/>
    </row>
    <row r="61528" spans="10:10" x14ac:dyDescent="0.3">
      <c r="J61528"/>
    </row>
    <row r="61529" spans="10:10" x14ac:dyDescent="0.3">
      <c r="J61529"/>
    </row>
    <row r="61530" spans="10:10" x14ac:dyDescent="0.3">
      <c r="J61530"/>
    </row>
    <row r="61531" spans="10:10" x14ac:dyDescent="0.3">
      <c r="J61531"/>
    </row>
    <row r="61532" spans="10:10" x14ac:dyDescent="0.3">
      <c r="J61532"/>
    </row>
    <row r="61533" spans="10:10" x14ac:dyDescent="0.3">
      <c r="J61533"/>
    </row>
    <row r="61534" spans="10:10" x14ac:dyDescent="0.3">
      <c r="J61534"/>
    </row>
    <row r="61535" spans="10:10" x14ac:dyDescent="0.3">
      <c r="J61535"/>
    </row>
    <row r="61536" spans="10:10" x14ac:dyDescent="0.3">
      <c r="J61536"/>
    </row>
    <row r="61537" spans="10:10" x14ac:dyDescent="0.3">
      <c r="J61537"/>
    </row>
    <row r="61538" spans="10:10" x14ac:dyDescent="0.3">
      <c r="J61538"/>
    </row>
    <row r="61539" spans="10:10" x14ac:dyDescent="0.3">
      <c r="J61539"/>
    </row>
    <row r="61540" spans="10:10" x14ac:dyDescent="0.3">
      <c r="J61540"/>
    </row>
    <row r="61541" spans="10:10" x14ac:dyDescent="0.3">
      <c r="J61541"/>
    </row>
    <row r="61542" spans="10:10" x14ac:dyDescent="0.3">
      <c r="J61542"/>
    </row>
    <row r="61543" spans="10:10" x14ac:dyDescent="0.3">
      <c r="J61543"/>
    </row>
    <row r="61544" spans="10:10" x14ac:dyDescent="0.3">
      <c r="J61544"/>
    </row>
    <row r="61545" spans="10:10" x14ac:dyDescent="0.3">
      <c r="J61545"/>
    </row>
    <row r="61546" spans="10:10" x14ac:dyDescent="0.3">
      <c r="J61546"/>
    </row>
    <row r="61547" spans="10:10" x14ac:dyDescent="0.3">
      <c r="J61547"/>
    </row>
    <row r="61548" spans="10:10" x14ac:dyDescent="0.3">
      <c r="J61548"/>
    </row>
    <row r="61549" spans="10:10" x14ac:dyDescent="0.3">
      <c r="J61549"/>
    </row>
    <row r="61550" spans="10:10" x14ac:dyDescent="0.3">
      <c r="J61550"/>
    </row>
    <row r="61551" spans="10:10" x14ac:dyDescent="0.3">
      <c r="J61551"/>
    </row>
    <row r="61552" spans="10:10" x14ac:dyDescent="0.3">
      <c r="J61552"/>
    </row>
    <row r="61553" spans="10:10" x14ac:dyDescent="0.3">
      <c r="J61553"/>
    </row>
    <row r="61554" spans="10:10" x14ac:dyDescent="0.3">
      <c r="J61554"/>
    </row>
    <row r="61555" spans="10:10" x14ac:dyDescent="0.3">
      <c r="J61555"/>
    </row>
    <row r="61556" spans="10:10" x14ac:dyDescent="0.3">
      <c r="J61556"/>
    </row>
    <row r="61557" spans="10:10" x14ac:dyDescent="0.3">
      <c r="J61557"/>
    </row>
    <row r="61558" spans="10:10" x14ac:dyDescent="0.3">
      <c r="J61558"/>
    </row>
    <row r="61559" spans="10:10" x14ac:dyDescent="0.3">
      <c r="J61559"/>
    </row>
    <row r="61560" spans="10:10" x14ac:dyDescent="0.3">
      <c r="J61560"/>
    </row>
    <row r="61561" spans="10:10" x14ac:dyDescent="0.3">
      <c r="J61561"/>
    </row>
    <row r="61562" spans="10:10" x14ac:dyDescent="0.3">
      <c r="J61562"/>
    </row>
    <row r="61563" spans="10:10" x14ac:dyDescent="0.3">
      <c r="J61563"/>
    </row>
    <row r="61564" spans="10:10" x14ac:dyDescent="0.3">
      <c r="J61564"/>
    </row>
    <row r="61565" spans="10:10" x14ac:dyDescent="0.3">
      <c r="J61565"/>
    </row>
    <row r="61566" spans="10:10" x14ac:dyDescent="0.3">
      <c r="J61566"/>
    </row>
    <row r="61567" spans="10:10" x14ac:dyDescent="0.3">
      <c r="J61567"/>
    </row>
    <row r="61568" spans="10:10" x14ac:dyDescent="0.3">
      <c r="J61568"/>
    </row>
    <row r="61569" spans="10:10" x14ac:dyDescent="0.3">
      <c r="J61569"/>
    </row>
    <row r="61570" spans="10:10" x14ac:dyDescent="0.3">
      <c r="J61570"/>
    </row>
    <row r="61571" spans="10:10" x14ac:dyDescent="0.3">
      <c r="J61571"/>
    </row>
    <row r="61572" spans="10:10" x14ac:dyDescent="0.3">
      <c r="J61572"/>
    </row>
    <row r="61573" spans="10:10" x14ac:dyDescent="0.3">
      <c r="J61573"/>
    </row>
    <row r="61574" spans="10:10" x14ac:dyDescent="0.3">
      <c r="J61574"/>
    </row>
    <row r="61575" spans="10:10" x14ac:dyDescent="0.3">
      <c r="J61575"/>
    </row>
    <row r="61576" spans="10:10" x14ac:dyDescent="0.3">
      <c r="J61576"/>
    </row>
    <row r="61577" spans="10:10" x14ac:dyDescent="0.3">
      <c r="J61577"/>
    </row>
    <row r="61578" spans="10:10" x14ac:dyDescent="0.3">
      <c r="J61578"/>
    </row>
    <row r="61579" spans="10:10" x14ac:dyDescent="0.3">
      <c r="J61579"/>
    </row>
    <row r="61580" spans="10:10" x14ac:dyDescent="0.3">
      <c r="J61580"/>
    </row>
    <row r="61581" spans="10:10" x14ac:dyDescent="0.3">
      <c r="J61581"/>
    </row>
    <row r="61582" spans="10:10" x14ac:dyDescent="0.3">
      <c r="J61582"/>
    </row>
    <row r="61583" spans="10:10" x14ac:dyDescent="0.3">
      <c r="J61583"/>
    </row>
    <row r="61584" spans="10:10" x14ac:dyDescent="0.3">
      <c r="J61584"/>
    </row>
    <row r="61585" spans="10:10" x14ac:dyDescent="0.3">
      <c r="J61585"/>
    </row>
    <row r="61586" spans="10:10" x14ac:dyDescent="0.3">
      <c r="J61586"/>
    </row>
    <row r="61587" spans="10:10" x14ac:dyDescent="0.3">
      <c r="J61587"/>
    </row>
    <row r="61588" spans="10:10" x14ac:dyDescent="0.3">
      <c r="J61588"/>
    </row>
    <row r="61589" spans="10:10" x14ac:dyDescent="0.3">
      <c r="J61589"/>
    </row>
    <row r="61590" spans="10:10" x14ac:dyDescent="0.3">
      <c r="J61590"/>
    </row>
    <row r="61591" spans="10:10" x14ac:dyDescent="0.3">
      <c r="J61591"/>
    </row>
    <row r="61592" spans="10:10" x14ac:dyDescent="0.3">
      <c r="J61592"/>
    </row>
    <row r="61593" spans="10:10" x14ac:dyDescent="0.3">
      <c r="J61593"/>
    </row>
    <row r="61594" spans="10:10" x14ac:dyDescent="0.3">
      <c r="J61594"/>
    </row>
    <row r="61595" spans="10:10" x14ac:dyDescent="0.3">
      <c r="J61595"/>
    </row>
    <row r="61596" spans="10:10" x14ac:dyDescent="0.3">
      <c r="J61596"/>
    </row>
    <row r="61597" spans="10:10" x14ac:dyDescent="0.3">
      <c r="J61597"/>
    </row>
    <row r="61598" spans="10:10" x14ac:dyDescent="0.3">
      <c r="J61598"/>
    </row>
    <row r="61599" spans="10:10" x14ac:dyDescent="0.3">
      <c r="J61599"/>
    </row>
    <row r="61600" spans="10:10" x14ac:dyDescent="0.3">
      <c r="J61600"/>
    </row>
    <row r="61601" spans="10:10" x14ac:dyDescent="0.3">
      <c r="J61601"/>
    </row>
    <row r="61602" spans="10:10" x14ac:dyDescent="0.3">
      <c r="J61602"/>
    </row>
    <row r="61603" spans="10:10" x14ac:dyDescent="0.3">
      <c r="J61603"/>
    </row>
    <row r="61604" spans="10:10" x14ac:dyDescent="0.3">
      <c r="J61604"/>
    </row>
    <row r="61605" spans="10:10" x14ac:dyDescent="0.3">
      <c r="J61605"/>
    </row>
    <row r="61606" spans="10:10" x14ac:dyDescent="0.3">
      <c r="J61606"/>
    </row>
    <row r="61607" spans="10:10" x14ac:dyDescent="0.3">
      <c r="J61607"/>
    </row>
    <row r="61608" spans="10:10" x14ac:dyDescent="0.3">
      <c r="J61608"/>
    </row>
    <row r="61609" spans="10:10" x14ac:dyDescent="0.3">
      <c r="J61609"/>
    </row>
    <row r="61610" spans="10:10" x14ac:dyDescent="0.3">
      <c r="J61610"/>
    </row>
    <row r="61611" spans="10:10" x14ac:dyDescent="0.3">
      <c r="J61611"/>
    </row>
    <row r="61612" spans="10:10" x14ac:dyDescent="0.3">
      <c r="J61612"/>
    </row>
    <row r="61613" spans="10:10" x14ac:dyDescent="0.3">
      <c r="J61613"/>
    </row>
    <row r="61614" spans="10:10" x14ac:dyDescent="0.3">
      <c r="J61614"/>
    </row>
    <row r="61615" spans="10:10" x14ac:dyDescent="0.3">
      <c r="J61615"/>
    </row>
    <row r="61616" spans="10:10" x14ac:dyDescent="0.3">
      <c r="J61616"/>
    </row>
    <row r="61617" spans="10:10" x14ac:dyDescent="0.3">
      <c r="J61617"/>
    </row>
    <row r="61618" spans="10:10" x14ac:dyDescent="0.3">
      <c r="J61618"/>
    </row>
    <row r="61619" spans="10:10" x14ac:dyDescent="0.3">
      <c r="J61619"/>
    </row>
    <row r="61620" spans="10:10" x14ac:dyDescent="0.3">
      <c r="J61620"/>
    </row>
    <row r="61621" spans="10:10" x14ac:dyDescent="0.3">
      <c r="J61621"/>
    </row>
    <row r="61622" spans="10:10" x14ac:dyDescent="0.3">
      <c r="J61622"/>
    </row>
    <row r="61623" spans="10:10" x14ac:dyDescent="0.3">
      <c r="J61623"/>
    </row>
    <row r="61624" spans="10:10" x14ac:dyDescent="0.3">
      <c r="J61624"/>
    </row>
    <row r="61625" spans="10:10" x14ac:dyDescent="0.3">
      <c r="J61625"/>
    </row>
    <row r="61626" spans="10:10" x14ac:dyDescent="0.3">
      <c r="J61626"/>
    </row>
    <row r="61627" spans="10:10" x14ac:dyDescent="0.3">
      <c r="J61627"/>
    </row>
    <row r="61628" spans="10:10" x14ac:dyDescent="0.3">
      <c r="J61628"/>
    </row>
    <row r="61629" spans="10:10" x14ac:dyDescent="0.3">
      <c r="J61629"/>
    </row>
    <row r="61630" spans="10:10" x14ac:dyDescent="0.3">
      <c r="J61630"/>
    </row>
    <row r="61631" spans="10:10" x14ac:dyDescent="0.3">
      <c r="J61631"/>
    </row>
    <row r="61632" spans="10:10" x14ac:dyDescent="0.3">
      <c r="J61632"/>
    </row>
    <row r="61633" spans="10:10" x14ac:dyDescent="0.3">
      <c r="J61633"/>
    </row>
    <row r="61634" spans="10:10" x14ac:dyDescent="0.3">
      <c r="J61634"/>
    </row>
    <row r="61635" spans="10:10" x14ac:dyDescent="0.3">
      <c r="J61635"/>
    </row>
    <row r="61636" spans="10:10" x14ac:dyDescent="0.3">
      <c r="J61636"/>
    </row>
    <row r="61637" spans="10:10" x14ac:dyDescent="0.3">
      <c r="J61637"/>
    </row>
    <row r="61638" spans="10:10" x14ac:dyDescent="0.3">
      <c r="J61638"/>
    </row>
    <row r="61639" spans="10:10" x14ac:dyDescent="0.3">
      <c r="J61639"/>
    </row>
    <row r="61640" spans="10:10" x14ac:dyDescent="0.3">
      <c r="J61640"/>
    </row>
    <row r="61641" spans="10:10" x14ac:dyDescent="0.3">
      <c r="J61641"/>
    </row>
    <row r="61642" spans="10:10" x14ac:dyDescent="0.3">
      <c r="J61642"/>
    </row>
    <row r="61643" spans="10:10" x14ac:dyDescent="0.3">
      <c r="J61643"/>
    </row>
    <row r="61644" spans="10:10" x14ac:dyDescent="0.3">
      <c r="J61644"/>
    </row>
    <row r="61645" spans="10:10" x14ac:dyDescent="0.3">
      <c r="J61645"/>
    </row>
    <row r="61646" spans="10:10" x14ac:dyDescent="0.3">
      <c r="J61646"/>
    </row>
    <row r="61647" spans="10:10" x14ac:dyDescent="0.3">
      <c r="J61647"/>
    </row>
    <row r="61648" spans="10:10" x14ac:dyDescent="0.3">
      <c r="J61648"/>
    </row>
    <row r="61649" spans="10:10" x14ac:dyDescent="0.3">
      <c r="J61649"/>
    </row>
    <row r="61650" spans="10:10" x14ac:dyDescent="0.3">
      <c r="J61650"/>
    </row>
    <row r="61651" spans="10:10" x14ac:dyDescent="0.3">
      <c r="J61651"/>
    </row>
    <row r="61652" spans="10:10" x14ac:dyDescent="0.3">
      <c r="J61652"/>
    </row>
    <row r="61653" spans="10:10" x14ac:dyDescent="0.3">
      <c r="J61653"/>
    </row>
    <row r="61654" spans="10:10" x14ac:dyDescent="0.3">
      <c r="J61654"/>
    </row>
    <row r="61655" spans="10:10" x14ac:dyDescent="0.3">
      <c r="J61655"/>
    </row>
    <row r="61656" spans="10:10" x14ac:dyDescent="0.3">
      <c r="J61656"/>
    </row>
    <row r="61657" spans="10:10" x14ac:dyDescent="0.3">
      <c r="J61657"/>
    </row>
    <row r="61658" spans="10:10" x14ac:dyDescent="0.3">
      <c r="J61658"/>
    </row>
    <row r="61659" spans="10:10" x14ac:dyDescent="0.3">
      <c r="J61659"/>
    </row>
    <row r="61660" spans="10:10" x14ac:dyDescent="0.3">
      <c r="J61660"/>
    </row>
    <row r="61661" spans="10:10" x14ac:dyDescent="0.3">
      <c r="J61661"/>
    </row>
    <row r="61662" spans="10:10" x14ac:dyDescent="0.3">
      <c r="J61662"/>
    </row>
    <row r="61663" spans="10:10" x14ac:dyDescent="0.3">
      <c r="J61663"/>
    </row>
    <row r="61664" spans="10:10" x14ac:dyDescent="0.3">
      <c r="J61664"/>
    </row>
    <row r="61665" spans="10:10" x14ac:dyDescent="0.3">
      <c r="J61665"/>
    </row>
    <row r="61666" spans="10:10" x14ac:dyDescent="0.3">
      <c r="J61666"/>
    </row>
    <row r="61667" spans="10:10" x14ac:dyDescent="0.3">
      <c r="J61667"/>
    </row>
    <row r="61668" spans="10:10" x14ac:dyDescent="0.3">
      <c r="J61668"/>
    </row>
    <row r="61669" spans="10:10" x14ac:dyDescent="0.3">
      <c r="J61669"/>
    </row>
    <row r="61670" spans="10:10" x14ac:dyDescent="0.3">
      <c r="J61670"/>
    </row>
    <row r="61671" spans="10:10" x14ac:dyDescent="0.3">
      <c r="J61671"/>
    </row>
    <row r="61672" spans="10:10" x14ac:dyDescent="0.3">
      <c r="J61672"/>
    </row>
    <row r="61673" spans="10:10" x14ac:dyDescent="0.3">
      <c r="J61673"/>
    </row>
    <row r="61674" spans="10:10" x14ac:dyDescent="0.3">
      <c r="J61674"/>
    </row>
    <row r="61675" spans="10:10" x14ac:dyDescent="0.3">
      <c r="J61675"/>
    </row>
    <row r="61676" spans="10:10" x14ac:dyDescent="0.3">
      <c r="J61676"/>
    </row>
    <row r="61677" spans="10:10" x14ac:dyDescent="0.3">
      <c r="J61677"/>
    </row>
    <row r="61678" spans="10:10" x14ac:dyDescent="0.3">
      <c r="J61678"/>
    </row>
    <row r="61679" spans="10:10" x14ac:dyDescent="0.3">
      <c r="J61679"/>
    </row>
    <row r="61680" spans="10:10" x14ac:dyDescent="0.3">
      <c r="J61680"/>
    </row>
    <row r="61681" spans="10:10" x14ac:dyDescent="0.3">
      <c r="J61681"/>
    </row>
    <row r="61682" spans="10:10" x14ac:dyDescent="0.3">
      <c r="J61682"/>
    </row>
    <row r="61683" spans="10:10" x14ac:dyDescent="0.3">
      <c r="J61683"/>
    </row>
    <row r="61684" spans="10:10" x14ac:dyDescent="0.3">
      <c r="J61684"/>
    </row>
    <row r="61685" spans="10:10" x14ac:dyDescent="0.3">
      <c r="J61685"/>
    </row>
    <row r="61686" spans="10:10" x14ac:dyDescent="0.3">
      <c r="J61686"/>
    </row>
    <row r="61687" spans="10:10" x14ac:dyDescent="0.3">
      <c r="J61687"/>
    </row>
    <row r="61688" spans="10:10" x14ac:dyDescent="0.3">
      <c r="J61688"/>
    </row>
    <row r="61689" spans="10:10" x14ac:dyDescent="0.3">
      <c r="J61689"/>
    </row>
    <row r="61690" spans="10:10" x14ac:dyDescent="0.3">
      <c r="J61690"/>
    </row>
    <row r="61691" spans="10:10" x14ac:dyDescent="0.3">
      <c r="J61691"/>
    </row>
    <row r="61692" spans="10:10" x14ac:dyDescent="0.3">
      <c r="J61692"/>
    </row>
    <row r="61693" spans="10:10" x14ac:dyDescent="0.3">
      <c r="J61693"/>
    </row>
    <row r="61694" spans="10:10" x14ac:dyDescent="0.3">
      <c r="J61694"/>
    </row>
    <row r="61695" spans="10:10" x14ac:dyDescent="0.3">
      <c r="J61695"/>
    </row>
    <row r="61696" spans="10:10" x14ac:dyDescent="0.3">
      <c r="J61696"/>
    </row>
    <row r="61697" spans="10:10" x14ac:dyDescent="0.3">
      <c r="J61697"/>
    </row>
    <row r="61698" spans="10:10" x14ac:dyDescent="0.3">
      <c r="J61698"/>
    </row>
    <row r="61699" spans="10:10" x14ac:dyDescent="0.3">
      <c r="J61699"/>
    </row>
    <row r="61700" spans="10:10" x14ac:dyDescent="0.3">
      <c r="J61700"/>
    </row>
    <row r="61701" spans="10:10" x14ac:dyDescent="0.3">
      <c r="J61701"/>
    </row>
    <row r="61702" spans="10:10" x14ac:dyDescent="0.3">
      <c r="J61702"/>
    </row>
    <row r="61703" spans="10:10" x14ac:dyDescent="0.3">
      <c r="J61703"/>
    </row>
    <row r="61704" spans="10:10" x14ac:dyDescent="0.3">
      <c r="J61704"/>
    </row>
    <row r="61705" spans="10:10" x14ac:dyDescent="0.3">
      <c r="J61705"/>
    </row>
    <row r="61706" spans="10:10" x14ac:dyDescent="0.3">
      <c r="J61706"/>
    </row>
    <row r="61707" spans="10:10" x14ac:dyDescent="0.3">
      <c r="J61707"/>
    </row>
    <row r="61708" spans="10:10" x14ac:dyDescent="0.3">
      <c r="J61708"/>
    </row>
    <row r="61709" spans="10:10" x14ac:dyDescent="0.3">
      <c r="J61709"/>
    </row>
    <row r="61710" spans="10:10" x14ac:dyDescent="0.3">
      <c r="J61710"/>
    </row>
    <row r="61711" spans="10:10" x14ac:dyDescent="0.3">
      <c r="J61711"/>
    </row>
    <row r="61712" spans="10:10" x14ac:dyDescent="0.3">
      <c r="J61712"/>
    </row>
    <row r="61713" spans="10:10" x14ac:dyDescent="0.3">
      <c r="J61713"/>
    </row>
    <row r="61714" spans="10:10" x14ac:dyDescent="0.3">
      <c r="J61714"/>
    </row>
    <row r="61715" spans="10:10" x14ac:dyDescent="0.3">
      <c r="J61715"/>
    </row>
    <row r="61716" spans="10:10" x14ac:dyDescent="0.3">
      <c r="J61716"/>
    </row>
    <row r="61717" spans="10:10" x14ac:dyDescent="0.3">
      <c r="J61717"/>
    </row>
    <row r="61718" spans="10:10" x14ac:dyDescent="0.3">
      <c r="J61718"/>
    </row>
    <row r="61719" spans="10:10" x14ac:dyDescent="0.3">
      <c r="J61719"/>
    </row>
    <row r="61720" spans="10:10" x14ac:dyDescent="0.3">
      <c r="J61720"/>
    </row>
    <row r="61721" spans="10:10" x14ac:dyDescent="0.3">
      <c r="J61721"/>
    </row>
    <row r="61722" spans="10:10" x14ac:dyDescent="0.3">
      <c r="J61722"/>
    </row>
    <row r="61723" spans="10:10" x14ac:dyDescent="0.3">
      <c r="J61723"/>
    </row>
    <row r="61724" spans="10:10" x14ac:dyDescent="0.3">
      <c r="J61724"/>
    </row>
    <row r="61725" spans="10:10" x14ac:dyDescent="0.3">
      <c r="J61725"/>
    </row>
    <row r="61726" spans="10:10" x14ac:dyDescent="0.3">
      <c r="J61726"/>
    </row>
    <row r="61727" spans="10:10" x14ac:dyDescent="0.3">
      <c r="J61727"/>
    </row>
    <row r="61728" spans="10:10" x14ac:dyDescent="0.3">
      <c r="J61728"/>
    </row>
    <row r="61729" spans="10:10" x14ac:dyDescent="0.3">
      <c r="J61729"/>
    </row>
    <row r="61730" spans="10:10" x14ac:dyDescent="0.3">
      <c r="J61730"/>
    </row>
    <row r="61731" spans="10:10" x14ac:dyDescent="0.3">
      <c r="J61731"/>
    </row>
    <row r="61732" spans="10:10" x14ac:dyDescent="0.3">
      <c r="J61732"/>
    </row>
    <row r="61733" spans="10:10" x14ac:dyDescent="0.3">
      <c r="J61733"/>
    </row>
    <row r="61734" spans="10:10" x14ac:dyDescent="0.3">
      <c r="J61734"/>
    </row>
    <row r="61735" spans="10:10" x14ac:dyDescent="0.3">
      <c r="J61735"/>
    </row>
    <row r="61736" spans="10:10" x14ac:dyDescent="0.3">
      <c r="J61736"/>
    </row>
    <row r="61737" spans="10:10" x14ac:dyDescent="0.3">
      <c r="J61737"/>
    </row>
    <row r="61738" spans="10:10" x14ac:dyDescent="0.3">
      <c r="J61738"/>
    </row>
    <row r="61739" spans="10:10" x14ac:dyDescent="0.3">
      <c r="J61739"/>
    </row>
    <row r="61740" spans="10:10" x14ac:dyDescent="0.3">
      <c r="J61740"/>
    </row>
    <row r="61741" spans="10:10" x14ac:dyDescent="0.3">
      <c r="J61741"/>
    </row>
    <row r="61742" spans="10:10" x14ac:dyDescent="0.3">
      <c r="J61742"/>
    </row>
    <row r="61743" spans="10:10" x14ac:dyDescent="0.3">
      <c r="J61743"/>
    </row>
    <row r="61744" spans="10:10" x14ac:dyDescent="0.3">
      <c r="J61744"/>
    </row>
    <row r="61745" spans="10:10" x14ac:dyDescent="0.3">
      <c r="J61745"/>
    </row>
    <row r="61746" spans="10:10" x14ac:dyDescent="0.3">
      <c r="J61746"/>
    </row>
    <row r="61747" spans="10:10" x14ac:dyDescent="0.3">
      <c r="J61747"/>
    </row>
    <row r="61748" spans="10:10" x14ac:dyDescent="0.3">
      <c r="J61748"/>
    </row>
    <row r="61749" spans="10:10" x14ac:dyDescent="0.3">
      <c r="J61749"/>
    </row>
    <row r="61750" spans="10:10" x14ac:dyDescent="0.3">
      <c r="J61750"/>
    </row>
    <row r="61751" spans="10:10" x14ac:dyDescent="0.3">
      <c r="J61751"/>
    </row>
    <row r="61752" spans="10:10" x14ac:dyDescent="0.3">
      <c r="J61752"/>
    </row>
    <row r="61753" spans="10:10" x14ac:dyDescent="0.3">
      <c r="J61753"/>
    </row>
    <row r="61754" spans="10:10" x14ac:dyDescent="0.3">
      <c r="J61754"/>
    </row>
    <row r="61755" spans="10:10" x14ac:dyDescent="0.3">
      <c r="J61755"/>
    </row>
    <row r="61756" spans="10:10" x14ac:dyDescent="0.3">
      <c r="J61756"/>
    </row>
    <row r="61757" spans="10:10" x14ac:dyDescent="0.3">
      <c r="J61757"/>
    </row>
    <row r="61758" spans="10:10" x14ac:dyDescent="0.3">
      <c r="J61758"/>
    </row>
    <row r="61759" spans="10:10" x14ac:dyDescent="0.3">
      <c r="J61759"/>
    </row>
    <row r="61760" spans="10:10" x14ac:dyDescent="0.3">
      <c r="J61760"/>
    </row>
    <row r="61761" spans="10:10" x14ac:dyDescent="0.3">
      <c r="J61761"/>
    </row>
    <row r="61762" spans="10:10" x14ac:dyDescent="0.3">
      <c r="J61762"/>
    </row>
    <row r="61763" spans="10:10" x14ac:dyDescent="0.3">
      <c r="J61763"/>
    </row>
    <row r="61764" spans="10:10" x14ac:dyDescent="0.3">
      <c r="J61764"/>
    </row>
    <row r="61765" spans="10:10" x14ac:dyDescent="0.3">
      <c r="J61765"/>
    </row>
    <row r="61766" spans="10:10" x14ac:dyDescent="0.3">
      <c r="J61766"/>
    </row>
    <row r="61767" spans="10:10" x14ac:dyDescent="0.3">
      <c r="J61767"/>
    </row>
    <row r="61768" spans="10:10" x14ac:dyDescent="0.3">
      <c r="J61768"/>
    </row>
    <row r="61769" spans="10:10" x14ac:dyDescent="0.3">
      <c r="J61769"/>
    </row>
    <row r="61770" spans="10:10" x14ac:dyDescent="0.3">
      <c r="J61770"/>
    </row>
    <row r="61771" spans="10:10" x14ac:dyDescent="0.3">
      <c r="J61771"/>
    </row>
    <row r="61772" spans="10:10" x14ac:dyDescent="0.3">
      <c r="J61772"/>
    </row>
    <row r="61773" spans="10:10" x14ac:dyDescent="0.3">
      <c r="J61773"/>
    </row>
    <row r="61774" spans="10:10" x14ac:dyDescent="0.3">
      <c r="J61774"/>
    </row>
    <row r="61775" spans="10:10" x14ac:dyDescent="0.3">
      <c r="J61775"/>
    </row>
    <row r="61776" spans="10:10" x14ac:dyDescent="0.3">
      <c r="J61776"/>
    </row>
    <row r="61777" spans="10:10" x14ac:dyDescent="0.3">
      <c r="J61777"/>
    </row>
    <row r="61778" spans="10:10" x14ac:dyDescent="0.3">
      <c r="J61778"/>
    </row>
    <row r="61779" spans="10:10" x14ac:dyDescent="0.3">
      <c r="J61779"/>
    </row>
    <row r="61780" spans="10:10" x14ac:dyDescent="0.3">
      <c r="J61780"/>
    </row>
    <row r="61781" spans="10:10" x14ac:dyDescent="0.3">
      <c r="J61781"/>
    </row>
    <row r="61782" spans="10:10" x14ac:dyDescent="0.3">
      <c r="J61782"/>
    </row>
    <row r="61783" spans="10:10" x14ac:dyDescent="0.3">
      <c r="J61783"/>
    </row>
    <row r="61784" spans="10:10" x14ac:dyDescent="0.3">
      <c r="J61784"/>
    </row>
    <row r="61785" spans="10:10" x14ac:dyDescent="0.3">
      <c r="J61785"/>
    </row>
    <row r="61786" spans="10:10" x14ac:dyDescent="0.3">
      <c r="J61786"/>
    </row>
    <row r="61787" spans="10:10" x14ac:dyDescent="0.3">
      <c r="J61787"/>
    </row>
    <row r="61788" spans="10:10" x14ac:dyDescent="0.3">
      <c r="J61788"/>
    </row>
    <row r="61789" spans="10:10" x14ac:dyDescent="0.3">
      <c r="J61789"/>
    </row>
    <row r="61790" spans="10:10" x14ac:dyDescent="0.3">
      <c r="J61790"/>
    </row>
    <row r="61791" spans="10:10" x14ac:dyDescent="0.3">
      <c r="J61791"/>
    </row>
    <row r="61792" spans="10:10" x14ac:dyDescent="0.3">
      <c r="J61792"/>
    </row>
    <row r="61793" spans="10:10" x14ac:dyDescent="0.3">
      <c r="J61793"/>
    </row>
    <row r="61794" spans="10:10" x14ac:dyDescent="0.3">
      <c r="J61794"/>
    </row>
    <row r="61795" spans="10:10" x14ac:dyDescent="0.3">
      <c r="J61795"/>
    </row>
    <row r="61796" spans="10:10" x14ac:dyDescent="0.3">
      <c r="J61796"/>
    </row>
    <row r="61797" spans="10:10" x14ac:dyDescent="0.3">
      <c r="J61797"/>
    </row>
    <row r="61798" spans="10:10" x14ac:dyDescent="0.3">
      <c r="J61798"/>
    </row>
    <row r="61799" spans="10:10" x14ac:dyDescent="0.3">
      <c r="J61799"/>
    </row>
    <row r="61800" spans="10:10" x14ac:dyDescent="0.3">
      <c r="J61800"/>
    </row>
    <row r="61801" spans="10:10" x14ac:dyDescent="0.3">
      <c r="J61801"/>
    </row>
    <row r="61802" spans="10:10" x14ac:dyDescent="0.3">
      <c r="J61802"/>
    </row>
    <row r="61803" spans="10:10" x14ac:dyDescent="0.3">
      <c r="J61803"/>
    </row>
    <row r="61804" spans="10:10" x14ac:dyDescent="0.3">
      <c r="J61804"/>
    </row>
    <row r="61805" spans="10:10" x14ac:dyDescent="0.3">
      <c r="J61805"/>
    </row>
    <row r="61806" spans="10:10" x14ac:dyDescent="0.3">
      <c r="J61806"/>
    </row>
    <row r="61807" spans="10:10" x14ac:dyDescent="0.3">
      <c r="J61807"/>
    </row>
    <row r="61808" spans="10:10" x14ac:dyDescent="0.3">
      <c r="J61808"/>
    </row>
    <row r="61809" spans="10:10" x14ac:dyDescent="0.3">
      <c r="J61809"/>
    </row>
    <row r="61810" spans="10:10" x14ac:dyDescent="0.3">
      <c r="J61810"/>
    </row>
    <row r="61811" spans="10:10" x14ac:dyDescent="0.3">
      <c r="J61811"/>
    </row>
    <row r="61812" spans="10:10" x14ac:dyDescent="0.3">
      <c r="J61812"/>
    </row>
    <row r="61813" spans="10:10" x14ac:dyDescent="0.3">
      <c r="J61813"/>
    </row>
    <row r="61814" spans="10:10" x14ac:dyDescent="0.3">
      <c r="J61814"/>
    </row>
    <row r="61815" spans="10:10" x14ac:dyDescent="0.3">
      <c r="J61815"/>
    </row>
    <row r="61816" spans="10:10" x14ac:dyDescent="0.3">
      <c r="J61816"/>
    </row>
    <row r="61817" spans="10:10" x14ac:dyDescent="0.3">
      <c r="J61817"/>
    </row>
    <row r="61818" spans="10:10" x14ac:dyDescent="0.3">
      <c r="J61818"/>
    </row>
    <row r="61819" spans="10:10" x14ac:dyDescent="0.3">
      <c r="J61819"/>
    </row>
    <row r="61820" spans="10:10" x14ac:dyDescent="0.3">
      <c r="J61820"/>
    </row>
    <row r="61821" spans="10:10" x14ac:dyDescent="0.3">
      <c r="J61821"/>
    </row>
    <row r="61822" spans="10:10" x14ac:dyDescent="0.3">
      <c r="J61822"/>
    </row>
    <row r="61823" spans="10:10" x14ac:dyDescent="0.3">
      <c r="J61823"/>
    </row>
    <row r="61824" spans="10:10" x14ac:dyDescent="0.3">
      <c r="J61824"/>
    </row>
    <row r="61825" spans="10:10" x14ac:dyDescent="0.3">
      <c r="J61825"/>
    </row>
    <row r="61826" spans="10:10" x14ac:dyDescent="0.3">
      <c r="J61826"/>
    </row>
    <row r="61827" spans="10:10" x14ac:dyDescent="0.3">
      <c r="J61827"/>
    </row>
    <row r="61828" spans="10:10" x14ac:dyDescent="0.3">
      <c r="J61828"/>
    </row>
    <row r="61829" spans="10:10" x14ac:dyDescent="0.3">
      <c r="J61829"/>
    </row>
    <row r="61830" spans="10:10" x14ac:dyDescent="0.3">
      <c r="J61830"/>
    </row>
    <row r="61831" spans="10:10" x14ac:dyDescent="0.3">
      <c r="J61831"/>
    </row>
    <row r="61832" spans="10:10" x14ac:dyDescent="0.3">
      <c r="J61832"/>
    </row>
    <row r="61833" spans="10:10" x14ac:dyDescent="0.3">
      <c r="J61833"/>
    </row>
    <row r="61834" spans="10:10" x14ac:dyDescent="0.3">
      <c r="J61834"/>
    </row>
    <row r="61835" spans="10:10" x14ac:dyDescent="0.3">
      <c r="J61835"/>
    </row>
    <row r="61836" spans="10:10" x14ac:dyDescent="0.3">
      <c r="J61836"/>
    </row>
    <row r="61837" spans="10:10" x14ac:dyDescent="0.3">
      <c r="J61837"/>
    </row>
    <row r="61838" spans="10:10" x14ac:dyDescent="0.3">
      <c r="J61838"/>
    </row>
    <row r="61839" spans="10:10" x14ac:dyDescent="0.3">
      <c r="J61839"/>
    </row>
    <row r="61840" spans="10:10" x14ac:dyDescent="0.3">
      <c r="J61840"/>
    </row>
    <row r="61841" spans="10:10" x14ac:dyDescent="0.3">
      <c r="J61841"/>
    </row>
    <row r="61842" spans="10:10" x14ac:dyDescent="0.3">
      <c r="J61842"/>
    </row>
    <row r="61843" spans="10:10" x14ac:dyDescent="0.3">
      <c r="J61843"/>
    </row>
    <row r="61844" spans="10:10" x14ac:dyDescent="0.3">
      <c r="J61844"/>
    </row>
    <row r="61845" spans="10:10" x14ac:dyDescent="0.3">
      <c r="J61845"/>
    </row>
    <row r="61846" spans="10:10" x14ac:dyDescent="0.3">
      <c r="J61846"/>
    </row>
    <row r="61847" spans="10:10" x14ac:dyDescent="0.3">
      <c r="J61847"/>
    </row>
    <row r="61848" spans="10:10" x14ac:dyDescent="0.3">
      <c r="J61848"/>
    </row>
    <row r="61849" spans="10:10" x14ac:dyDescent="0.3">
      <c r="J61849"/>
    </row>
    <row r="61850" spans="10:10" x14ac:dyDescent="0.3">
      <c r="J61850"/>
    </row>
    <row r="61851" spans="10:10" x14ac:dyDescent="0.3">
      <c r="J61851"/>
    </row>
    <row r="61852" spans="10:10" x14ac:dyDescent="0.3">
      <c r="J61852"/>
    </row>
    <row r="61853" spans="10:10" x14ac:dyDescent="0.3">
      <c r="J61853"/>
    </row>
    <row r="61854" spans="10:10" x14ac:dyDescent="0.3">
      <c r="J61854"/>
    </row>
    <row r="61855" spans="10:10" x14ac:dyDescent="0.3">
      <c r="J61855"/>
    </row>
    <row r="61856" spans="10:10" x14ac:dyDescent="0.3">
      <c r="J61856"/>
    </row>
    <row r="61857" spans="10:10" x14ac:dyDescent="0.3">
      <c r="J61857"/>
    </row>
    <row r="61858" spans="10:10" x14ac:dyDescent="0.3">
      <c r="J61858"/>
    </row>
    <row r="61859" spans="10:10" x14ac:dyDescent="0.3">
      <c r="J61859"/>
    </row>
    <row r="61860" spans="10:10" x14ac:dyDescent="0.3">
      <c r="J61860"/>
    </row>
    <row r="61861" spans="10:10" x14ac:dyDescent="0.3">
      <c r="J61861"/>
    </row>
    <row r="61862" spans="10:10" x14ac:dyDescent="0.3">
      <c r="J61862"/>
    </row>
    <row r="61863" spans="10:10" x14ac:dyDescent="0.3">
      <c r="J61863"/>
    </row>
    <row r="61864" spans="10:10" x14ac:dyDescent="0.3">
      <c r="J61864"/>
    </row>
    <row r="61865" spans="10:10" x14ac:dyDescent="0.3">
      <c r="J61865"/>
    </row>
    <row r="61866" spans="10:10" x14ac:dyDescent="0.3">
      <c r="J61866"/>
    </row>
    <row r="61867" spans="10:10" x14ac:dyDescent="0.3">
      <c r="J61867"/>
    </row>
    <row r="61868" spans="10:10" x14ac:dyDescent="0.3">
      <c r="J61868"/>
    </row>
    <row r="61869" spans="10:10" x14ac:dyDescent="0.3">
      <c r="J61869"/>
    </row>
    <row r="61870" spans="10:10" x14ac:dyDescent="0.3">
      <c r="J61870"/>
    </row>
    <row r="61871" spans="10:10" x14ac:dyDescent="0.3">
      <c r="J61871"/>
    </row>
    <row r="61872" spans="10:10" x14ac:dyDescent="0.3">
      <c r="J61872"/>
    </row>
    <row r="61873" spans="10:10" x14ac:dyDescent="0.3">
      <c r="J61873"/>
    </row>
    <row r="61874" spans="10:10" x14ac:dyDescent="0.3">
      <c r="J61874"/>
    </row>
    <row r="61875" spans="10:10" x14ac:dyDescent="0.3">
      <c r="J61875"/>
    </row>
    <row r="61876" spans="10:10" x14ac:dyDescent="0.3">
      <c r="J61876"/>
    </row>
    <row r="61877" spans="10:10" x14ac:dyDescent="0.3">
      <c r="J61877"/>
    </row>
    <row r="61878" spans="10:10" x14ac:dyDescent="0.3">
      <c r="J61878"/>
    </row>
    <row r="61879" spans="10:10" x14ac:dyDescent="0.3">
      <c r="J61879"/>
    </row>
    <row r="61880" spans="10:10" x14ac:dyDescent="0.3">
      <c r="J61880"/>
    </row>
    <row r="61881" spans="10:10" x14ac:dyDescent="0.3">
      <c r="J61881"/>
    </row>
    <row r="61882" spans="10:10" x14ac:dyDescent="0.3">
      <c r="J61882"/>
    </row>
    <row r="61883" spans="10:10" x14ac:dyDescent="0.3">
      <c r="J61883"/>
    </row>
    <row r="61884" spans="10:10" x14ac:dyDescent="0.3">
      <c r="J61884"/>
    </row>
    <row r="61885" spans="10:10" x14ac:dyDescent="0.3">
      <c r="J61885"/>
    </row>
    <row r="61886" spans="10:10" x14ac:dyDescent="0.3">
      <c r="J61886"/>
    </row>
    <row r="61887" spans="10:10" x14ac:dyDescent="0.3">
      <c r="J61887"/>
    </row>
    <row r="61888" spans="10:10" x14ac:dyDescent="0.3">
      <c r="J61888"/>
    </row>
    <row r="61889" spans="10:10" x14ac:dyDescent="0.3">
      <c r="J61889"/>
    </row>
    <row r="61890" spans="10:10" x14ac:dyDescent="0.3">
      <c r="J61890"/>
    </row>
    <row r="61891" spans="10:10" x14ac:dyDescent="0.3">
      <c r="J61891"/>
    </row>
    <row r="61892" spans="10:10" x14ac:dyDescent="0.3">
      <c r="J61892"/>
    </row>
    <row r="61893" spans="10:10" x14ac:dyDescent="0.3">
      <c r="J61893"/>
    </row>
    <row r="61894" spans="10:10" x14ac:dyDescent="0.3">
      <c r="J61894"/>
    </row>
    <row r="61895" spans="10:10" x14ac:dyDescent="0.3">
      <c r="J61895"/>
    </row>
    <row r="61896" spans="10:10" x14ac:dyDescent="0.3">
      <c r="J61896"/>
    </row>
    <row r="61897" spans="10:10" x14ac:dyDescent="0.3">
      <c r="J61897"/>
    </row>
    <row r="61898" spans="10:10" x14ac:dyDescent="0.3">
      <c r="J61898"/>
    </row>
    <row r="61899" spans="10:10" x14ac:dyDescent="0.3">
      <c r="J61899"/>
    </row>
    <row r="61900" spans="10:10" x14ac:dyDescent="0.3">
      <c r="J61900"/>
    </row>
    <row r="61901" spans="10:10" x14ac:dyDescent="0.3">
      <c r="J61901"/>
    </row>
    <row r="61902" spans="10:10" x14ac:dyDescent="0.3">
      <c r="J61902"/>
    </row>
    <row r="61903" spans="10:10" x14ac:dyDescent="0.3">
      <c r="J61903"/>
    </row>
    <row r="61904" spans="10:10" x14ac:dyDescent="0.3">
      <c r="J61904"/>
    </row>
    <row r="61905" spans="10:10" x14ac:dyDescent="0.3">
      <c r="J61905"/>
    </row>
    <row r="61906" spans="10:10" x14ac:dyDescent="0.3">
      <c r="J61906"/>
    </row>
    <row r="61907" spans="10:10" x14ac:dyDescent="0.3">
      <c r="J61907"/>
    </row>
    <row r="61908" spans="10:10" x14ac:dyDescent="0.3">
      <c r="J61908"/>
    </row>
    <row r="61909" spans="10:10" x14ac:dyDescent="0.3">
      <c r="J61909"/>
    </row>
    <row r="61910" spans="10:10" x14ac:dyDescent="0.3">
      <c r="J61910"/>
    </row>
    <row r="61911" spans="10:10" x14ac:dyDescent="0.3">
      <c r="J61911"/>
    </row>
    <row r="61912" spans="10:10" x14ac:dyDescent="0.3">
      <c r="J61912"/>
    </row>
    <row r="61913" spans="10:10" x14ac:dyDescent="0.3">
      <c r="J61913"/>
    </row>
    <row r="61914" spans="10:10" x14ac:dyDescent="0.3">
      <c r="J61914"/>
    </row>
    <row r="61915" spans="10:10" x14ac:dyDescent="0.3">
      <c r="J61915"/>
    </row>
    <row r="61916" spans="10:10" x14ac:dyDescent="0.3">
      <c r="J61916"/>
    </row>
    <row r="61917" spans="10:10" x14ac:dyDescent="0.3">
      <c r="J61917"/>
    </row>
    <row r="61918" spans="10:10" x14ac:dyDescent="0.3">
      <c r="J61918"/>
    </row>
    <row r="61919" spans="10:10" x14ac:dyDescent="0.3">
      <c r="J61919"/>
    </row>
    <row r="61920" spans="10:10" x14ac:dyDescent="0.3">
      <c r="J61920"/>
    </row>
    <row r="61921" spans="10:10" x14ac:dyDescent="0.3">
      <c r="J61921"/>
    </row>
    <row r="61922" spans="10:10" x14ac:dyDescent="0.3">
      <c r="J61922"/>
    </row>
    <row r="61923" spans="10:10" x14ac:dyDescent="0.3">
      <c r="J61923"/>
    </row>
    <row r="61924" spans="10:10" x14ac:dyDescent="0.3">
      <c r="J61924"/>
    </row>
    <row r="61925" spans="10:10" x14ac:dyDescent="0.3">
      <c r="J61925"/>
    </row>
    <row r="61926" spans="10:10" x14ac:dyDescent="0.3">
      <c r="J61926"/>
    </row>
    <row r="61927" spans="10:10" x14ac:dyDescent="0.3">
      <c r="J61927"/>
    </row>
    <row r="61928" spans="10:10" x14ac:dyDescent="0.3">
      <c r="J61928"/>
    </row>
    <row r="61929" spans="10:10" x14ac:dyDescent="0.3">
      <c r="J61929"/>
    </row>
    <row r="61930" spans="10:10" x14ac:dyDescent="0.3">
      <c r="J61930"/>
    </row>
    <row r="61931" spans="10:10" x14ac:dyDescent="0.3">
      <c r="J61931"/>
    </row>
    <row r="61932" spans="10:10" x14ac:dyDescent="0.3">
      <c r="J61932"/>
    </row>
    <row r="61933" spans="10:10" x14ac:dyDescent="0.3">
      <c r="J61933"/>
    </row>
    <row r="61934" spans="10:10" x14ac:dyDescent="0.3">
      <c r="J61934"/>
    </row>
    <row r="61935" spans="10:10" x14ac:dyDescent="0.3">
      <c r="J61935"/>
    </row>
    <row r="61936" spans="10:10" x14ac:dyDescent="0.3">
      <c r="J61936"/>
    </row>
    <row r="61937" spans="10:10" x14ac:dyDescent="0.3">
      <c r="J61937"/>
    </row>
    <row r="61938" spans="10:10" x14ac:dyDescent="0.3">
      <c r="J61938"/>
    </row>
    <row r="61939" spans="10:10" x14ac:dyDescent="0.3">
      <c r="J61939"/>
    </row>
    <row r="61940" spans="10:10" x14ac:dyDescent="0.3">
      <c r="J61940"/>
    </row>
    <row r="61941" spans="10:10" x14ac:dyDescent="0.3">
      <c r="J61941"/>
    </row>
    <row r="61942" spans="10:10" x14ac:dyDescent="0.3">
      <c r="J61942"/>
    </row>
    <row r="61943" spans="10:10" x14ac:dyDescent="0.3">
      <c r="J61943"/>
    </row>
    <row r="61944" spans="10:10" x14ac:dyDescent="0.3">
      <c r="J61944"/>
    </row>
    <row r="61945" spans="10:10" x14ac:dyDescent="0.3">
      <c r="J61945"/>
    </row>
    <row r="61946" spans="10:10" x14ac:dyDescent="0.3">
      <c r="J61946"/>
    </row>
    <row r="61947" spans="10:10" x14ac:dyDescent="0.3">
      <c r="J61947"/>
    </row>
    <row r="61948" spans="10:10" x14ac:dyDescent="0.3">
      <c r="J61948"/>
    </row>
    <row r="61949" spans="10:10" x14ac:dyDescent="0.3">
      <c r="J61949"/>
    </row>
    <row r="61950" spans="10:10" x14ac:dyDescent="0.3">
      <c r="J61950"/>
    </row>
    <row r="61951" spans="10:10" x14ac:dyDescent="0.3">
      <c r="J61951"/>
    </row>
    <row r="61952" spans="10:10" x14ac:dyDescent="0.3">
      <c r="J61952"/>
    </row>
    <row r="61953" spans="10:10" x14ac:dyDescent="0.3">
      <c r="J61953"/>
    </row>
    <row r="61954" spans="10:10" x14ac:dyDescent="0.3">
      <c r="J61954"/>
    </row>
    <row r="61955" spans="10:10" x14ac:dyDescent="0.3">
      <c r="J61955"/>
    </row>
    <row r="61956" spans="10:10" x14ac:dyDescent="0.3">
      <c r="J61956"/>
    </row>
    <row r="61957" spans="10:10" x14ac:dyDescent="0.3">
      <c r="J61957"/>
    </row>
    <row r="61958" spans="10:10" x14ac:dyDescent="0.3">
      <c r="J61958"/>
    </row>
    <row r="61959" spans="10:10" x14ac:dyDescent="0.3">
      <c r="J61959"/>
    </row>
    <row r="61960" spans="10:10" x14ac:dyDescent="0.3">
      <c r="J61960"/>
    </row>
    <row r="61961" spans="10:10" x14ac:dyDescent="0.3">
      <c r="J61961"/>
    </row>
    <row r="61962" spans="10:10" x14ac:dyDescent="0.3">
      <c r="J61962"/>
    </row>
    <row r="61963" spans="10:10" x14ac:dyDescent="0.3">
      <c r="J61963"/>
    </row>
    <row r="61964" spans="10:10" x14ac:dyDescent="0.3">
      <c r="J61964"/>
    </row>
    <row r="61965" spans="10:10" x14ac:dyDescent="0.3">
      <c r="J61965"/>
    </row>
    <row r="61966" spans="10:10" x14ac:dyDescent="0.3">
      <c r="J61966"/>
    </row>
    <row r="61967" spans="10:10" x14ac:dyDescent="0.3">
      <c r="J61967"/>
    </row>
    <row r="61968" spans="10:10" x14ac:dyDescent="0.3">
      <c r="J61968"/>
    </row>
    <row r="61969" spans="10:10" x14ac:dyDescent="0.3">
      <c r="J61969"/>
    </row>
    <row r="61970" spans="10:10" x14ac:dyDescent="0.3">
      <c r="J61970"/>
    </row>
    <row r="61971" spans="10:10" x14ac:dyDescent="0.3">
      <c r="J61971"/>
    </row>
    <row r="61972" spans="10:10" x14ac:dyDescent="0.3">
      <c r="J61972"/>
    </row>
    <row r="61973" spans="10:10" x14ac:dyDescent="0.3">
      <c r="J61973"/>
    </row>
    <row r="61974" spans="10:10" x14ac:dyDescent="0.3">
      <c r="J61974"/>
    </row>
    <row r="61975" spans="10:10" x14ac:dyDescent="0.3">
      <c r="J61975"/>
    </row>
    <row r="61976" spans="10:10" x14ac:dyDescent="0.3">
      <c r="J61976"/>
    </row>
    <row r="61977" spans="10:10" x14ac:dyDescent="0.3">
      <c r="J61977"/>
    </row>
    <row r="61978" spans="10:10" x14ac:dyDescent="0.3">
      <c r="J61978"/>
    </row>
    <row r="61979" spans="10:10" x14ac:dyDescent="0.3">
      <c r="J61979"/>
    </row>
    <row r="61980" spans="10:10" x14ac:dyDescent="0.3">
      <c r="J61980"/>
    </row>
    <row r="61981" spans="10:10" x14ac:dyDescent="0.3">
      <c r="J61981"/>
    </row>
    <row r="61982" spans="10:10" x14ac:dyDescent="0.3">
      <c r="J61982"/>
    </row>
    <row r="61983" spans="10:10" x14ac:dyDescent="0.3">
      <c r="J61983"/>
    </row>
    <row r="61984" spans="10:10" x14ac:dyDescent="0.3">
      <c r="J61984"/>
    </row>
    <row r="61985" spans="10:10" x14ac:dyDescent="0.3">
      <c r="J61985"/>
    </row>
    <row r="61986" spans="10:10" x14ac:dyDescent="0.3">
      <c r="J61986"/>
    </row>
    <row r="61987" spans="10:10" x14ac:dyDescent="0.3">
      <c r="J61987"/>
    </row>
    <row r="61988" spans="10:10" x14ac:dyDescent="0.3">
      <c r="J61988"/>
    </row>
    <row r="61989" spans="10:10" x14ac:dyDescent="0.3">
      <c r="J61989"/>
    </row>
    <row r="61990" spans="10:10" x14ac:dyDescent="0.3">
      <c r="J61990"/>
    </row>
    <row r="61991" spans="10:10" x14ac:dyDescent="0.3">
      <c r="J61991"/>
    </row>
    <row r="61992" spans="10:10" x14ac:dyDescent="0.3">
      <c r="J61992"/>
    </row>
    <row r="61993" spans="10:10" x14ac:dyDescent="0.3">
      <c r="J61993"/>
    </row>
    <row r="61994" spans="10:10" x14ac:dyDescent="0.3">
      <c r="J61994"/>
    </row>
    <row r="61995" spans="10:10" x14ac:dyDescent="0.3">
      <c r="J61995"/>
    </row>
    <row r="61996" spans="10:10" x14ac:dyDescent="0.3">
      <c r="J61996"/>
    </row>
    <row r="61997" spans="10:10" x14ac:dyDescent="0.3">
      <c r="J61997"/>
    </row>
    <row r="61998" spans="10:10" x14ac:dyDescent="0.3">
      <c r="J61998"/>
    </row>
    <row r="61999" spans="10:10" x14ac:dyDescent="0.3">
      <c r="J61999"/>
    </row>
    <row r="62000" spans="10:10" x14ac:dyDescent="0.3">
      <c r="J62000"/>
    </row>
    <row r="62001" spans="10:10" x14ac:dyDescent="0.3">
      <c r="J62001"/>
    </row>
    <row r="62002" spans="10:10" x14ac:dyDescent="0.3">
      <c r="J62002"/>
    </row>
    <row r="62003" spans="10:10" x14ac:dyDescent="0.3">
      <c r="J62003"/>
    </row>
    <row r="62004" spans="10:10" x14ac:dyDescent="0.3">
      <c r="J62004"/>
    </row>
    <row r="62005" spans="10:10" x14ac:dyDescent="0.3">
      <c r="J62005"/>
    </row>
    <row r="62006" spans="10:10" x14ac:dyDescent="0.3">
      <c r="J62006"/>
    </row>
    <row r="62007" spans="10:10" x14ac:dyDescent="0.3">
      <c r="J62007"/>
    </row>
    <row r="62008" spans="10:10" x14ac:dyDescent="0.3">
      <c r="J62008"/>
    </row>
    <row r="62009" spans="10:10" x14ac:dyDescent="0.3">
      <c r="J62009"/>
    </row>
    <row r="62010" spans="10:10" x14ac:dyDescent="0.3">
      <c r="J62010"/>
    </row>
    <row r="62011" spans="10:10" x14ac:dyDescent="0.3">
      <c r="J62011"/>
    </row>
    <row r="62012" spans="10:10" x14ac:dyDescent="0.3">
      <c r="J62012"/>
    </row>
    <row r="62013" spans="10:10" x14ac:dyDescent="0.3">
      <c r="J62013"/>
    </row>
    <row r="62014" spans="10:10" x14ac:dyDescent="0.3">
      <c r="J62014"/>
    </row>
    <row r="62015" spans="10:10" x14ac:dyDescent="0.3">
      <c r="J62015"/>
    </row>
    <row r="62016" spans="10:10" x14ac:dyDescent="0.3">
      <c r="J62016"/>
    </row>
    <row r="62017" spans="10:10" x14ac:dyDescent="0.3">
      <c r="J62017"/>
    </row>
    <row r="62018" spans="10:10" x14ac:dyDescent="0.3">
      <c r="J62018"/>
    </row>
    <row r="62019" spans="10:10" x14ac:dyDescent="0.3">
      <c r="J62019"/>
    </row>
    <row r="62020" spans="10:10" x14ac:dyDescent="0.3">
      <c r="J62020"/>
    </row>
    <row r="62021" spans="10:10" x14ac:dyDescent="0.3">
      <c r="J62021"/>
    </row>
    <row r="62022" spans="10:10" x14ac:dyDescent="0.3">
      <c r="J62022"/>
    </row>
    <row r="62023" spans="10:10" x14ac:dyDescent="0.3">
      <c r="J62023"/>
    </row>
    <row r="62024" spans="10:10" x14ac:dyDescent="0.3">
      <c r="J62024"/>
    </row>
    <row r="62025" spans="10:10" x14ac:dyDescent="0.3">
      <c r="J62025"/>
    </row>
    <row r="62026" spans="10:10" x14ac:dyDescent="0.3">
      <c r="J62026"/>
    </row>
    <row r="62027" spans="10:10" x14ac:dyDescent="0.3">
      <c r="J62027"/>
    </row>
    <row r="62028" spans="10:10" x14ac:dyDescent="0.3">
      <c r="J62028"/>
    </row>
    <row r="62029" spans="10:10" x14ac:dyDescent="0.3">
      <c r="J62029"/>
    </row>
    <row r="62030" spans="10:10" x14ac:dyDescent="0.3">
      <c r="J62030"/>
    </row>
    <row r="62031" spans="10:10" x14ac:dyDescent="0.3">
      <c r="J62031"/>
    </row>
    <row r="62032" spans="10:10" x14ac:dyDescent="0.3">
      <c r="J62032"/>
    </row>
    <row r="62033" spans="10:10" x14ac:dyDescent="0.3">
      <c r="J62033"/>
    </row>
    <row r="62034" spans="10:10" x14ac:dyDescent="0.3">
      <c r="J62034"/>
    </row>
    <row r="62035" spans="10:10" x14ac:dyDescent="0.3">
      <c r="J62035"/>
    </row>
    <row r="62036" spans="10:10" x14ac:dyDescent="0.3">
      <c r="J62036"/>
    </row>
    <row r="62037" spans="10:10" x14ac:dyDescent="0.3">
      <c r="J62037"/>
    </row>
    <row r="62038" spans="10:10" x14ac:dyDescent="0.3">
      <c r="J62038"/>
    </row>
    <row r="62039" spans="10:10" x14ac:dyDescent="0.3">
      <c r="J62039"/>
    </row>
    <row r="62040" spans="10:10" x14ac:dyDescent="0.3">
      <c r="J62040"/>
    </row>
    <row r="62041" spans="10:10" x14ac:dyDescent="0.3">
      <c r="J62041"/>
    </row>
    <row r="62042" spans="10:10" x14ac:dyDescent="0.3">
      <c r="J62042"/>
    </row>
    <row r="62043" spans="10:10" x14ac:dyDescent="0.3">
      <c r="J62043"/>
    </row>
    <row r="62044" spans="10:10" x14ac:dyDescent="0.3">
      <c r="J62044"/>
    </row>
    <row r="62045" spans="10:10" x14ac:dyDescent="0.3">
      <c r="J62045"/>
    </row>
    <row r="62046" spans="10:10" x14ac:dyDescent="0.3">
      <c r="J62046"/>
    </row>
    <row r="62047" spans="10:10" x14ac:dyDescent="0.3">
      <c r="J62047"/>
    </row>
    <row r="62048" spans="10:10" x14ac:dyDescent="0.3">
      <c r="J62048"/>
    </row>
    <row r="62049" spans="10:10" x14ac:dyDescent="0.3">
      <c r="J62049"/>
    </row>
    <row r="62050" spans="10:10" x14ac:dyDescent="0.3">
      <c r="J62050"/>
    </row>
    <row r="62051" spans="10:10" x14ac:dyDescent="0.3">
      <c r="J62051"/>
    </row>
    <row r="62052" spans="10:10" x14ac:dyDescent="0.3">
      <c r="J62052"/>
    </row>
    <row r="62053" spans="10:10" x14ac:dyDescent="0.3">
      <c r="J62053"/>
    </row>
    <row r="62054" spans="10:10" x14ac:dyDescent="0.3">
      <c r="J62054"/>
    </row>
    <row r="62055" spans="10:10" x14ac:dyDescent="0.3">
      <c r="J62055"/>
    </row>
    <row r="62056" spans="10:10" x14ac:dyDescent="0.3">
      <c r="J62056"/>
    </row>
    <row r="62057" spans="10:10" x14ac:dyDescent="0.3">
      <c r="J62057"/>
    </row>
    <row r="62058" spans="10:10" x14ac:dyDescent="0.3">
      <c r="J62058"/>
    </row>
    <row r="62059" spans="10:10" x14ac:dyDescent="0.3">
      <c r="J62059"/>
    </row>
    <row r="62060" spans="10:10" x14ac:dyDescent="0.3">
      <c r="J62060"/>
    </row>
    <row r="62061" spans="10:10" x14ac:dyDescent="0.3">
      <c r="J62061"/>
    </row>
    <row r="62062" spans="10:10" x14ac:dyDescent="0.3">
      <c r="J62062"/>
    </row>
    <row r="62063" spans="10:10" x14ac:dyDescent="0.3">
      <c r="J62063"/>
    </row>
    <row r="62064" spans="10:10" x14ac:dyDescent="0.3">
      <c r="J62064"/>
    </row>
    <row r="62065" spans="10:10" x14ac:dyDescent="0.3">
      <c r="J62065"/>
    </row>
    <row r="62066" spans="10:10" x14ac:dyDescent="0.3">
      <c r="J62066"/>
    </row>
    <row r="62067" spans="10:10" x14ac:dyDescent="0.3">
      <c r="J62067"/>
    </row>
    <row r="62068" spans="10:10" x14ac:dyDescent="0.3">
      <c r="J62068"/>
    </row>
    <row r="62069" spans="10:10" x14ac:dyDescent="0.3">
      <c r="J62069"/>
    </row>
    <row r="62070" spans="10:10" x14ac:dyDescent="0.3">
      <c r="J62070"/>
    </row>
    <row r="62071" spans="10:10" x14ac:dyDescent="0.3">
      <c r="J62071"/>
    </row>
    <row r="62072" spans="10:10" x14ac:dyDescent="0.3">
      <c r="J62072"/>
    </row>
    <row r="62073" spans="10:10" x14ac:dyDescent="0.3">
      <c r="J62073"/>
    </row>
    <row r="62074" spans="10:10" x14ac:dyDescent="0.3">
      <c r="J62074"/>
    </row>
    <row r="62075" spans="10:10" x14ac:dyDescent="0.3">
      <c r="J62075"/>
    </row>
    <row r="62076" spans="10:10" x14ac:dyDescent="0.3">
      <c r="J62076"/>
    </row>
    <row r="62077" spans="10:10" x14ac:dyDescent="0.3">
      <c r="J62077"/>
    </row>
    <row r="62078" spans="10:10" x14ac:dyDescent="0.3">
      <c r="J62078"/>
    </row>
    <row r="62079" spans="10:10" x14ac:dyDescent="0.3">
      <c r="J62079"/>
    </row>
    <row r="62080" spans="10:10" x14ac:dyDescent="0.3">
      <c r="J62080"/>
    </row>
    <row r="62081" spans="10:10" x14ac:dyDescent="0.3">
      <c r="J62081"/>
    </row>
    <row r="62082" spans="10:10" x14ac:dyDescent="0.3">
      <c r="J62082"/>
    </row>
    <row r="62083" spans="10:10" x14ac:dyDescent="0.3">
      <c r="J62083"/>
    </row>
    <row r="62084" spans="10:10" x14ac:dyDescent="0.3">
      <c r="J62084"/>
    </row>
    <row r="62085" spans="10:10" x14ac:dyDescent="0.3">
      <c r="J62085"/>
    </row>
    <row r="62086" spans="10:10" x14ac:dyDescent="0.3">
      <c r="J62086"/>
    </row>
    <row r="62087" spans="10:10" x14ac:dyDescent="0.3">
      <c r="J62087"/>
    </row>
    <row r="62088" spans="10:10" x14ac:dyDescent="0.3">
      <c r="J62088"/>
    </row>
    <row r="62089" spans="10:10" x14ac:dyDescent="0.3">
      <c r="J62089"/>
    </row>
    <row r="62090" spans="10:10" x14ac:dyDescent="0.3">
      <c r="J62090"/>
    </row>
    <row r="62091" spans="10:10" x14ac:dyDescent="0.3">
      <c r="J62091"/>
    </row>
    <row r="62092" spans="10:10" x14ac:dyDescent="0.3">
      <c r="J62092"/>
    </row>
    <row r="62093" spans="10:10" x14ac:dyDescent="0.3">
      <c r="J62093"/>
    </row>
    <row r="62094" spans="10:10" x14ac:dyDescent="0.3">
      <c r="J62094"/>
    </row>
    <row r="62095" spans="10:10" x14ac:dyDescent="0.3">
      <c r="J62095"/>
    </row>
    <row r="62096" spans="10:10" x14ac:dyDescent="0.3">
      <c r="J62096"/>
    </row>
    <row r="62097" spans="10:10" x14ac:dyDescent="0.3">
      <c r="J62097"/>
    </row>
    <row r="62098" spans="10:10" x14ac:dyDescent="0.3">
      <c r="J62098"/>
    </row>
    <row r="62099" spans="10:10" x14ac:dyDescent="0.3">
      <c r="J62099"/>
    </row>
    <row r="62100" spans="10:10" x14ac:dyDescent="0.3">
      <c r="J62100"/>
    </row>
    <row r="62101" spans="10:10" x14ac:dyDescent="0.3">
      <c r="J62101"/>
    </row>
    <row r="62102" spans="10:10" x14ac:dyDescent="0.3">
      <c r="J62102"/>
    </row>
    <row r="62103" spans="10:10" x14ac:dyDescent="0.3">
      <c r="J62103"/>
    </row>
    <row r="62104" spans="10:10" x14ac:dyDescent="0.3">
      <c r="J62104"/>
    </row>
    <row r="62105" spans="10:10" x14ac:dyDescent="0.3">
      <c r="J62105"/>
    </row>
    <row r="62106" spans="10:10" x14ac:dyDescent="0.3">
      <c r="J62106"/>
    </row>
    <row r="62107" spans="10:10" x14ac:dyDescent="0.3">
      <c r="J62107"/>
    </row>
    <row r="62108" spans="10:10" x14ac:dyDescent="0.3">
      <c r="J62108"/>
    </row>
    <row r="62109" spans="10:10" x14ac:dyDescent="0.3">
      <c r="J62109"/>
    </row>
    <row r="62110" spans="10:10" x14ac:dyDescent="0.3">
      <c r="J62110"/>
    </row>
    <row r="62111" spans="10:10" x14ac:dyDescent="0.3">
      <c r="J62111"/>
    </row>
    <row r="62112" spans="10:10" x14ac:dyDescent="0.3">
      <c r="J62112"/>
    </row>
    <row r="62113" spans="10:10" x14ac:dyDescent="0.3">
      <c r="J62113"/>
    </row>
    <row r="62114" spans="10:10" x14ac:dyDescent="0.3">
      <c r="J62114"/>
    </row>
    <row r="62115" spans="10:10" x14ac:dyDescent="0.3">
      <c r="J62115"/>
    </row>
    <row r="62116" spans="10:10" x14ac:dyDescent="0.3">
      <c r="J62116"/>
    </row>
    <row r="62117" spans="10:10" x14ac:dyDescent="0.3">
      <c r="J62117"/>
    </row>
    <row r="62118" spans="10:10" x14ac:dyDescent="0.3">
      <c r="J62118"/>
    </row>
    <row r="62119" spans="10:10" x14ac:dyDescent="0.3">
      <c r="J62119"/>
    </row>
    <row r="62120" spans="10:10" x14ac:dyDescent="0.3">
      <c r="J62120"/>
    </row>
    <row r="62121" spans="10:10" x14ac:dyDescent="0.3">
      <c r="J62121"/>
    </row>
    <row r="62122" spans="10:10" x14ac:dyDescent="0.3">
      <c r="J62122"/>
    </row>
    <row r="62123" spans="10:10" x14ac:dyDescent="0.3">
      <c r="J62123"/>
    </row>
    <row r="62124" spans="10:10" x14ac:dyDescent="0.3">
      <c r="J62124"/>
    </row>
    <row r="62125" spans="10:10" x14ac:dyDescent="0.3">
      <c r="J62125"/>
    </row>
    <row r="62126" spans="10:10" x14ac:dyDescent="0.3">
      <c r="J62126"/>
    </row>
    <row r="62127" spans="10:10" x14ac:dyDescent="0.3">
      <c r="J62127"/>
    </row>
    <row r="62128" spans="10:10" x14ac:dyDescent="0.3">
      <c r="J62128"/>
    </row>
    <row r="62129" spans="10:10" x14ac:dyDescent="0.3">
      <c r="J62129"/>
    </row>
    <row r="62130" spans="10:10" x14ac:dyDescent="0.3">
      <c r="J62130"/>
    </row>
    <row r="62131" spans="10:10" x14ac:dyDescent="0.3">
      <c r="J62131"/>
    </row>
    <row r="62132" spans="10:10" x14ac:dyDescent="0.3">
      <c r="J62132"/>
    </row>
    <row r="62133" spans="10:10" x14ac:dyDescent="0.3">
      <c r="J62133"/>
    </row>
    <row r="62134" spans="10:10" x14ac:dyDescent="0.3">
      <c r="J62134"/>
    </row>
    <row r="62135" spans="10:10" x14ac:dyDescent="0.3">
      <c r="J62135"/>
    </row>
    <row r="62136" spans="10:10" x14ac:dyDescent="0.3">
      <c r="J62136"/>
    </row>
    <row r="62137" spans="10:10" x14ac:dyDescent="0.3">
      <c r="J62137"/>
    </row>
    <row r="62138" spans="10:10" x14ac:dyDescent="0.3">
      <c r="J62138"/>
    </row>
    <row r="62139" spans="10:10" x14ac:dyDescent="0.3">
      <c r="J62139"/>
    </row>
    <row r="62140" spans="10:10" x14ac:dyDescent="0.3">
      <c r="J62140"/>
    </row>
    <row r="62141" spans="10:10" x14ac:dyDescent="0.3">
      <c r="J62141"/>
    </row>
    <row r="62142" spans="10:10" x14ac:dyDescent="0.3">
      <c r="J62142"/>
    </row>
    <row r="62143" spans="10:10" x14ac:dyDescent="0.3">
      <c r="J62143"/>
    </row>
    <row r="62144" spans="10:10" x14ac:dyDescent="0.3">
      <c r="J62144"/>
    </row>
    <row r="62145" spans="10:10" x14ac:dyDescent="0.3">
      <c r="J62145"/>
    </row>
    <row r="62146" spans="10:10" x14ac:dyDescent="0.3">
      <c r="J62146"/>
    </row>
    <row r="62147" spans="10:10" x14ac:dyDescent="0.3">
      <c r="J62147"/>
    </row>
    <row r="62148" spans="10:10" x14ac:dyDescent="0.3">
      <c r="J62148"/>
    </row>
    <row r="62149" spans="10:10" x14ac:dyDescent="0.3">
      <c r="J62149"/>
    </row>
    <row r="62150" spans="10:10" x14ac:dyDescent="0.3">
      <c r="J62150"/>
    </row>
    <row r="62151" spans="10:10" x14ac:dyDescent="0.3">
      <c r="J62151"/>
    </row>
    <row r="62152" spans="10:10" x14ac:dyDescent="0.3">
      <c r="J62152"/>
    </row>
    <row r="62153" spans="10:10" x14ac:dyDescent="0.3">
      <c r="J62153"/>
    </row>
    <row r="62154" spans="10:10" x14ac:dyDescent="0.3">
      <c r="J62154"/>
    </row>
    <row r="62155" spans="10:10" x14ac:dyDescent="0.3">
      <c r="J62155"/>
    </row>
    <row r="62156" spans="10:10" x14ac:dyDescent="0.3">
      <c r="J62156"/>
    </row>
    <row r="62157" spans="10:10" x14ac:dyDescent="0.3">
      <c r="J62157"/>
    </row>
    <row r="62158" spans="10:10" x14ac:dyDescent="0.3">
      <c r="J62158"/>
    </row>
    <row r="62159" spans="10:10" x14ac:dyDescent="0.3">
      <c r="J62159"/>
    </row>
    <row r="62160" spans="10:10" x14ac:dyDescent="0.3">
      <c r="J62160"/>
    </row>
    <row r="62161" spans="10:10" x14ac:dyDescent="0.3">
      <c r="J62161"/>
    </row>
    <row r="62162" spans="10:10" x14ac:dyDescent="0.3">
      <c r="J62162"/>
    </row>
    <row r="62163" spans="10:10" x14ac:dyDescent="0.3">
      <c r="J62163"/>
    </row>
    <row r="62164" spans="10:10" x14ac:dyDescent="0.3">
      <c r="J62164"/>
    </row>
    <row r="62165" spans="10:10" x14ac:dyDescent="0.3">
      <c r="J62165"/>
    </row>
    <row r="62166" spans="10:10" x14ac:dyDescent="0.3">
      <c r="J62166"/>
    </row>
    <row r="62167" spans="10:10" x14ac:dyDescent="0.3">
      <c r="J62167"/>
    </row>
    <row r="62168" spans="10:10" x14ac:dyDescent="0.3">
      <c r="J62168"/>
    </row>
    <row r="62169" spans="10:10" x14ac:dyDescent="0.3">
      <c r="J62169"/>
    </row>
    <row r="62170" spans="10:10" x14ac:dyDescent="0.3">
      <c r="J62170"/>
    </row>
    <row r="62171" spans="10:10" x14ac:dyDescent="0.3">
      <c r="J62171"/>
    </row>
    <row r="62172" spans="10:10" x14ac:dyDescent="0.3">
      <c r="J62172"/>
    </row>
    <row r="62173" spans="10:10" x14ac:dyDescent="0.3">
      <c r="J62173"/>
    </row>
    <row r="62174" spans="10:10" x14ac:dyDescent="0.3">
      <c r="J62174"/>
    </row>
    <row r="62175" spans="10:10" x14ac:dyDescent="0.3">
      <c r="J62175"/>
    </row>
    <row r="62176" spans="10:10" x14ac:dyDescent="0.3">
      <c r="J62176"/>
    </row>
    <row r="62177" spans="10:10" x14ac:dyDescent="0.3">
      <c r="J62177"/>
    </row>
    <row r="62178" spans="10:10" x14ac:dyDescent="0.3">
      <c r="J62178"/>
    </row>
    <row r="62179" spans="10:10" x14ac:dyDescent="0.3">
      <c r="J62179"/>
    </row>
    <row r="62180" spans="10:10" x14ac:dyDescent="0.3">
      <c r="J62180"/>
    </row>
    <row r="62181" spans="10:10" x14ac:dyDescent="0.3">
      <c r="J62181"/>
    </row>
    <row r="62182" spans="10:10" x14ac:dyDescent="0.3">
      <c r="J62182"/>
    </row>
    <row r="62183" spans="10:10" x14ac:dyDescent="0.3">
      <c r="J62183"/>
    </row>
    <row r="62184" spans="10:10" x14ac:dyDescent="0.3">
      <c r="J62184"/>
    </row>
    <row r="62185" spans="10:10" x14ac:dyDescent="0.3">
      <c r="J62185"/>
    </row>
    <row r="62186" spans="10:10" x14ac:dyDescent="0.3">
      <c r="J62186"/>
    </row>
    <row r="62187" spans="10:10" x14ac:dyDescent="0.3">
      <c r="J62187"/>
    </row>
    <row r="62188" spans="10:10" x14ac:dyDescent="0.3">
      <c r="J62188"/>
    </row>
    <row r="62189" spans="10:10" x14ac:dyDescent="0.3">
      <c r="J62189"/>
    </row>
    <row r="62190" spans="10:10" x14ac:dyDescent="0.3">
      <c r="J62190"/>
    </row>
    <row r="62191" spans="10:10" x14ac:dyDescent="0.3">
      <c r="J62191"/>
    </row>
    <row r="62192" spans="10:10" x14ac:dyDescent="0.3">
      <c r="J62192"/>
    </row>
    <row r="62193" spans="10:10" x14ac:dyDescent="0.3">
      <c r="J62193"/>
    </row>
    <row r="62194" spans="10:10" x14ac:dyDescent="0.3">
      <c r="J62194"/>
    </row>
    <row r="62195" spans="10:10" x14ac:dyDescent="0.3">
      <c r="J62195"/>
    </row>
    <row r="62196" spans="10:10" x14ac:dyDescent="0.3">
      <c r="J62196"/>
    </row>
    <row r="62197" spans="10:10" x14ac:dyDescent="0.3">
      <c r="J62197"/>
    </row>
    <row r="62198" spans="10:10" x14ac:dyDescent="0.3">
      <c r="J62198"/>
    </row>
    <row r="62199" spans="10:10" x14ac:dyDescent="0.3">
      <c r="J62199"/>
    </row>
    <row r="62200" spans="10:10" x14ac:dyDescent="0.3">
      <c r="J62200"/>
    </row>
    <row r="62201" spans="10:10" x14ac:dyDescent="0.3">
      <c r="J62201"/>
    </row>
    <row r="62202" spans="10:10" x14ac:dyDescent="0.3">
      <c r="J62202"/>
    </row>
    <row r="62203" spans="10:10" x14ac:dyDescent="0.3">
      <c r="J62203"/>
    </row>
    <row r="62204" spans="10:10" x14ac:dyDescent="0.3">
      <c r="J62204"/>
    </row>
    <row r="62205" spans="10:10" x14ac:dyDescent="0.3">
      <c r="J62205"/>
    </row>
    <row r="62206" spans="10:10" x14ac:dyDescent="0.3">
      <c r="J62206"/>
    </row>
    <row r="62207" spans="10:10" x14ac:dyDescent="0.3">
      <c r="J62207"/>
    </row>
    <row r="62208" spans="10:10" x14ac:dyDescent="0.3">
      <c r="J62208"/>
    </row>
    <row r="62209" spans="10:10" x14ac:dyDescent="0.3">
      <c r="J62209"/>
    </row>
    <row r="62210" spans="10:10" x14ac:dyDescent="0.3">
      <c r="J62210"/>
    </row>
    <row r="62211" spans="10:10" x14ac:dyDescent="0.3">
      <c r="J62211"/>
    </row>
    <row r="62212" spans="10:10" x14ac:dyDescent="0.3">
      <c r="J62212"/>
    </row>
    <row r="62213" spans="10:10" x14ac:dyDescent="0.3">
      <c r="J62213"/>
    </row>
    <row r="62214" spans="10:10" x14ac:dyDescent="0.3">
      <c r="J62214"/>
    </row>
    <row r="62215" spans="10:10" x14ac:dyDescent="0.3">
      <c r="J62215"/>
    </row>
    <row r="62216" spans="10:10" x14ac:dyDescent="0.3">
      <c r="J62216"/>
    </row>
    <row r="62217" spans="10:10" x14ac:dyDescent="0.3">
      <c r="J62217"/>
    </row>
    <row r="62218" spans="10:10" x14ac:dyDescent="0.3">
      <c r="J62218"/>
    </row>
    <row r="62219" spans="10:10" x14ac:dyDescent="0.3">
      <c r="J62219"/>
    </row>
    <row r="62220" spans="10:10" x14ac:dyDescent="0.3">
      <c r="J62220"/>
    </row>
    <row r="62221" spans="10:10" x14ac:dyDescent="0.3">
      <c r="J62221"/>
    </row>
    <row r="62222" spans="10:10" x14ac:dyDescent="0.3">
      <c r="J62222"/>
    </row>
    <row r="62223" spans="10:10" x14ac:dyDescent="0.3">
      <c r="J62223"/>
    </row>
    <row r="62224" spans="10:10" x14ac:dyDescent="0.3">
      <c r="J62224"/>
    </row>
    <row r="62225" spans="10:10" x14ac:dyDescent="0.3">
      <c r="J62225"/>
    </row>
    <row r="62226" spans="10:10" x14ac:dyDescent="0.3">
      <c r="J62226"/>
    </row>
    <row r="62227" spans="10:10" x14ac:dyDescent="0.3">
      <c r="J62227"/>
    </row>
    <row r="62228" spans="10:10" x14ac:dyDescent="0.3">
      <c r="J62228"/>
    </row>
    <row r="62229" spans="10:10" x14ac:dyDescent="0.3">
      <c r="J62229"/>
    </row>
    <row r="62230" spans="10:10" x14ac:dyDescent="0.3">
      <c r="J62230"/>
    </row>
    <row r="62231" spans="10:10" x14ac:dyDescent="0.3">
      <c r="J62231"/>
    </row>
    <row r="62232" spans="10:10" x14ac:dyDescent="0.3">
      <c r="J62232"/>
    </row>
    <row r="62233" spans="10:10" x14ac:dyDescent="0.3">
      <c r="J62233"/>
    </row>
    <row r="62234" spans="10:10" x14ac:dyDescent="0.3">
      <c r="J62234"/>
    </row>
    <row r="62235" spans="10:10" x14ac:dyDescent="0.3">
      <c r="J62235"/>
    </row>
    <row r="62236" spans="10:10" x14ac:dyDescent="0.3">
      <c r="J62236"/>
    </row>
    <row r="62237" spans="10:10" x14ac:dyDescent="0.3">
      <c r="J62237"/>
    </row>
    <row r="62238" spans="10:10" x14ac:dyDescent="0.3">
      <c r="J62238"/>
    </row>
    <row r="62239" spans="10:10" x14ac:dyDescent="0.3">
      <c r="J62239"/>
    </row>
    <row r="62240" spans="10:10" x14ac:dyDescent="0.3">
      <c r="J62240"/>
    </row>
    <row r="62241" spans="10:10" x14ac:dyDescent="0.3">
      <c r="J62241"/>
    </row>
    <row r="62242" spans="10:10" x14ac:dyDescent="0.3">
      <c r="J62242"/>
    </row>
    <row r="62243" spans="10:10" x14ac:dyDescent="0.3">
      <c r="J62243"/>
    </row>
    <row r="62244" spans="10:10" x14ac:dyDescent="0.3">
      <c r="J62244"/>
    </row>
    <row r="62245" spans="10:10" x14ac:dyDescent="0.3">
      <c r="J62245"/>
    </row>
    <row r="62246" spans="10:10" x14ac:dyDescent="0.3">
      <c r="J62246"/>
    </row>
    <row r="62247" spans="10:10" x14ac:dyDescent="0.3">
      <c r="J62247"/>
    </row>
    <row r="62248" spans="10:10" x14ac:dyDescent="0.3">
      <c r="J62248"/>
    </row>
    <row r="62249" spans="10:10" x14ac:dyDescent="0.3">
      <c r="J62249"/>
    </row>
    <row r="62250" spans="10:10" x14ac:dyDescent="0.3">
      <c r="J62250"/>
    </row>
    <row r="62251" spans="10:10" x14ac:dyDescent="0.3">
      <c r="J62251"/>
    </row>
    <row r="62252" spans="10:10" x14ac:dyDescent="0.3">
      <c r="J62252"/>
    </row>
    <row r="62253" spans="10:10" x14ac:dyDescent="0.3">
      <c r="J62253"/>
    </row>
    <row r="62254" spans="10:10" x14ac:dyDescent="0.3">
      <c r="J62254"/>
    </row>
    <row r="62255" spans="10:10" x14ac:dyDescent="0.3">
      <c r="J62255"/>
    </row>
    <row r="62256" spans="10:10" x14ac:dyDescent="0.3">
      <c r="J62256"/>
    </row>
    <row r="62257" spans="10:10" x14ac:dyDescent="0.3">
      <c r="J62257"/>
    </row>
    <row r="62258" spans="10:10" x14ac:dyDescent="0.3">
      <c r="J62258"/>
    </row>
    <row r="62259" spans="10:10" x14ac:dyDescent="0.3">
      <c r="J62259"/>
    </row>
    <row r="62260" spans="10:10" x14ac:dyDescent="0.3">
      <c r="J62260"/>
    </row>
    <row r="62261" spans="10:10" x14ac:dyDescent="0.3">
      <c r="J62261"/>
    </row>
    <row r="62262" spans="10:10" x14ac:dyDescent="0.3">
      <c r="J62262"/>
    </row>
    <row r="62263" spans="10:10" x14ac:dyDescent="0.3">
      <c r="J62263"/>
    </row>
    <row r="62264" spans="10:10" x14ac:dyDescent="0.3">
      <c r="J62264"/>
    </row>
    <row r="62265" spans="10:10" x14ac:dyDescent="0.3">
      <c r="J62265"/>
    </row>
    <row r="62266" spans="10:10" x14ac:dyDescent="0.3">
      <c r="J62266"/>
    </row>
    <row r="62267" spans="10:10" x14ac:dyDescent="0.3">
      <c r="J62267"/>
    </row>
    <row r="62268" spans="10:10" x14ac:dyDescent="0.3">
      <c r="J62268"/>
    </row>
    <row r="62269" spans="10:10" x14ac:dyDescent="0.3">
      <c r="J62269"/>
    </row>
    <row r="62270" spans="10:10" x14ac:dyDescent="0.3">
      <c r="J62270"/>
    </row>
    <row r="62271" spans="10:10" x14ac:dyDescent="0.3">
      <c r="J62271"/>
    </row>
    <row r="62272" spans="10:10" x14ac:dyDescent="0.3">
      <c r="J62272"/>
    </row>
    <row r="62273" spans="10:10" x14ac:dyDescent="0.3">
      <c r="J62273"/>
    </row>
    <row r="62274" spans="10:10" x14ac:dyDescent="0.3">
      <c r="J62274"/>
    </row>
    <row r="62275" spans="10:10" x14ac:dyDescent="0.3">
      <c r="J62275"/>
    </row>
    <row r="62276" spans="10:10" x14ac:dyDescent="0.3">
      <c r="J62276"/>
    </row>
    <row r="62277" spans="10:10" x14ac:dyDescent="0.3">
      <c r="J62277"/>
    </row>
    <row r="62278" spans="10:10" x14ac:dyDescent="0.3">
      <c r="J62278"/>
    </row>
    <row r="62279" spans="10:10" x14ac:dyDescent="0.3">
      <c r="J62279"/>
    </row>
    <row r="62280" spans="10:10" x14ac:dyDescent="0.3">
      <c r="J62280"/>
    </row>
    <row r="62281" spans="10:10" x14ac:dyDescent="0.3">
      <c r="J62281"/>
    </row>
    <row r="62282" spans="10:10" x14ac:dyDescent="0.3">
      <c r="J62282"/>
    </row>
    <row r="62283" spans="10:10" x14ac:dyDescent="0.3">
      <c r="J62283"/>
    </row>
    <row r="62284" spans="10:10" x14ac:dyDescent="0.3">
      <c r="J62284"/>
    </row>
    <row r="62285" spans="10:10" x14ac:dyDescent="0.3">
      <c r="J62285"/>
    </row>
    <row r="62286" spans="10:10" x14ac:dyDescent="0.3">
      <c r="J62286"/>
    </row>
    <row r="62287" spans="10:10" x14ac:dyDescent="0.3">
      <c r="J62287"/>
    </row>
    <row r="62288" spans="10:10" x14ac:dyDescent="0.3">
      <c r="J62288"/>
    </row>
    <row r="62289" spans="10:10" x14ac:dyDescent="0.3">
      <c r="J62289"/>
    </row>
    <row r="62290" spans="10:10" x14ac:dyDescent="0.3">
      <c r="J62290"/>
    </row>
    <row r="62291" spans="10:10" x14ac:dyDescent="0.3">
      <c r="J62291"/>
    </row>
    <row r="62292" spans="10:10" x14ac:dyDescent="0.3">
      <c r="J62292"/>
    </row>
    <row r="62293" spans="10:10" x14ac:dyDescent="0.3">
      <c r="J62293"/>
    </row>
    <row r="62294" spans="10:10" x14ac:dyDescent="0.3">
      <c r="J62294"/>
    </row>
    <row r="62295" spans="10:10" x14ac:dyDescent="0.3">
      <c r="J62295"/>
    </row>
    <row r="62296" spans="10:10" x14ac:dyDescent="0.3">
      <c r="J62296"/>
    </row>
    <row r="62297" spans="10:10" x14ac:dyDescent="0.3">
      <c r="J62297"/>
    </row>
    <row r="62298" spans="10:10" x14ac:dyDescent="0.3">
      <c r="J62298"/>
    </row>
    <row r="62299" spans="10:10" x14ac:dyDescent="0.3">
      <c r="J62299"/>
    </row>
    <row r="62300" spans="10:10" x14ac:dyDescent="0.3">
      <c r="J62300"/>
    </row>
    <row r="62301" spans="10:10" x14ac:dyDescent="0.3">
      <c r="J62301"/>
    </row>
    <row r="62302" spans="10:10" x14ac:dyDescent="0.3">
      <c r="J62302"/>
    </row>
    <row r="62303" spans="10:10" x14ac:dyDescent="0.3">
      <c r="J62303"/>
    </row>
    <row r="62304" spans="10:10" x14ac:dyDescent="0.3">
      <c r="J62304"/>
    </row>
    <row r="62305" spans="10:10" x14ac:dyDescent="0.3">
      <c r="J62305"/>
    </row>
    <row r="62306" spans="10:10" x14ac:dyDescent="0.3">
      <c r="J62306"/>
    </row>
    <row r="62307" spans="10:10" x14ac:dyDescent="0.3">
      <c r="J62307"/>
    </row>
    <row r="62308" spans="10:10" x14ac:dyDescent="0.3">
      <c r="J62308"/>
    </row>
    <row r="62309" spans="10:10" x14ac:dyDescent="0.3">
      <c r="J62309"/>
    </row>
    <row r="62310" spans="10:10" x14ac:dyDescent="0.3">
      <c r="J62310"/>
    </row>
    <row r="62311" spans="10:10" x14ac:dyDescent="0.3">
      <c r="J62311"/>
    </row>
    <row r="62312" spans="10:10" x14ac:dyDescent="0.3">
      <c r="J62312"/>
    </row>
    <row r="62313" spans="10:10" x14ac:dyDescent="0.3">
      <c r="J62313"/>
    </row>
    <row r="62314" spans="10:10" x14ac:dyDescent="0.3">
      <c r="J62314"/>
    </row>
    <row r="62315" spans="10:10" x14ac:dyDescent="0.3">
      <c r="J62315"/>
    </row>
    <row r="62316" spans="10:10" x14ac:dyDescent="0.3">
      <c r="J62316"/>
    </row>
    <row r="62317" spans="10:10" x14ac:dyDescent="0.3">
      <c r="J62317"/>
    </row>
    <row r="62318" spans="10:10" x14ac:dyDescent="0.3">
      <c r="J62318"/>
    </row>
    <row r="62319" spans="10:10" x14ac:dyDescent="0.3">
      <c r="J62319"/>
    </row>
    <row r="62320" spans="10:10" x14ac:dyDescent="0.3">
      <c r="J62320"/>
    </row>
    <row r="62321" spans="10:10" x14ac:dyDescent="0.3">
      <c r="J62321"/>
    </row>
    <row r="62322" spans="10:10" x14ac:dyDescent="0.3">
      <c r="J62322"/>
    </row>
    <row r="62323" spans="10:10" x14ac:dyDescent="0.3">
      <c r="J62323"/>
    </row>
    <row r="62324" spans="10:10" x14ac:dyDescent="0.3">
      <c r="J62324"/>
    </row>
    <row r="62325" spans="10:10" x14ac:dyDescent="0.3">
      <c r="J62325"/>
    </row>
    <row r="62326" spans="10:10" x14ac:dyDescent="0.3">
      <c r="J62326"/>
    </row>
    <row r="62327" spans="10:10" x14ac:dyDescent="0.3">
      <c r="J62327"/>
    </row>
    <row r="62328" spans="10:10" x14ac:dyDescent="0.3">
      <c r="J62328"/>
    </row>
    <row r="62329" spans="10:10" x14ac:dyDescent="0.3">
      <c r="J62329"/>
    </row>
    <row r="62330" spans="10:10" x14ac:dyDescent="0.3">
      <c r="J62330"/>
    </row>
    <row r="62331" spans="10:10" x14ac:dyDescent="0.3">
      <c r="J62331"/>
    </row>
    <row r="62332" spans="10:10" x14ac:dyDescent="0.3">
      <c r="J62332"/>
    </row>
    <row r="62333" spans="10:10" x14ac:dyDescent="0.3">
      <c r="J62333"/>
    </row>
    <row r="62334" spans="10:10" x14ac:dyDescent="0.3">
      <c r="J62334"/>
    </row>
    <row r="62335" spans="10:10" x14ac:dyDescent="0.3">
      <c r="J62335"/>
    </row>
    <row r="62336" spans="10:10" x14ac:dyDescent="0.3">
      <c r="J62336"/>
    </row>
    <row r="62337" spans="10:10" x14ac:dyDescent="0.3">
      <c r="J62337"/>
    </row>
    <row r="62338" spans="10:10" x14ac:dyDescent="0.3">
      <c r="J62338"/>
    </row>
    <row r="62339" spans="10:10" x14ac:dyDescent="0.3">
      <c r="J62339"/>
    </row>
    <row r="62340" spans="10:10" x14ac:dyDescent="0.3">
      <c r="J62340"/>
    </row>
    <row r="62341" spans="10:10" x14ac:dyDescent="0.3">
      <c r="J62341"/>
    </row>
    <row r="62342" spans="10:10" x14ac:dyDescent="0.3">
      <c r="J62342"/>
    </row>
    <row r="62343" spans="10:10" x14ac:dyDescent="0.3">
      <c r="J62343"/>
    </row>
    <row r="62344" spans="10:10" x14ac:dyDescent="0.3">
      <c r="J62344"/>
    </row>
    <row r="62345" spans="10:10" x14ac:dyDescent="0.3">
      <c r="J62345"/>
    </row>
    <row r="62346" spans="10:10" x14ac:dyDescent="0.3">
      <c r="J62346"/>
    </row>
    <row r="62347" spans="10:10" x14ac:dyDescent="0.3">
      <c r="J62347"/>
    </row>
    <row r="62348" spans="10:10" x14ac:dyDescent="0.3">
      <c r="J62348"/>
    </row>
    <row r="62349" spans="10:10" x14ac:dyDescent="0.3">
      <c r="J62349"/>
    </row>
    <row r="62350" spans="10:10" x14ac:dyDescent="0.3">
      <c r="J62350"/>
    </row>
    <row r="62351" spans="10:10" x14ac:dyDescent="0.3">
      <c r="J62351"/>
    </row>
    <row r="62352" spans="10:10" x14ac:dyDescent="0.3">
      <c r="J62352"/>
    </row>
    <row r="62353" spans="10:10" x14ac:dyDescent="0.3">
      <c r="J62353"/>
    </row>
    <row r="62354" spans="10:10" x14ac:dyDescent="0.3">
      <c r="J62354"/>
    </row>
    <row r="62355" spans="10:10" x14ac:dyDescent="0.3">
      <c r="J62355"/>
    </row>
    <row r="62356" spans="10:10" x14ac:dyDescent="0.3">
      <c r="J62356"/>
    </row>
    <row r="62357" spans="10:10" x14ac:dyDescent="0.3">
      <c r="J62357"/>
    </row>
    <row r="62358" spans="10:10" x14ac:dyDescent="0.3">
      <c r="J62358"/>
    </row>
    <row r="62359" spans="10:10" x14ac:dyDescent="0.3">
      <c r="J62359"/>
    </row>
    <row r="62360" spans="10:10" x14ac:dyDescent="0.3">
      <c r="J62360"/>
    </row>
    <row r="62361" spans="10:10" x14ac:dyDescent="0.3">
      <c r="J62361"/>
    </row>
    <row r="62362" spans="10:10" x14ac:dyDescent="0.3">
      <c r="J62362"/>
    </row>
    <row r="62363" spans="10:10" x14ac:dyDescent="0.3">
      <c r="J62363"/>
    </row>
    <row r="62364" spans="10:10" x14ac:dyDescent="0.3">
      <c r="J62364"/>
    </row>
    <row r="62365" spans="10:10" x14ac:dyDescent="0.3">
      <c r="J62365"/>
    </row>
    <row r="62366" spans="10:10" x14ac:dyDescent="0.3">
      <c r="J62366"/>
    </row>
    <row r="62367" spans="10:10" x14ac:dyDescent="0.3">
      <c r="J62367"/>
    </row>
    <row r="62368" spans="10:10" x14ac:dyDescent="0.3">
      <c r="J62368"/>
    </row>
    <row r="62369" spans="10:10" x14ac:dyDescent="0.3">
      <c r="J62369"/>
    </row>
    <row r="62370" spans="10:10" x14ac:dyDescent="0.3">
      <c r="J62370"/>
    </row>
    <row r="62371" spans="10:10" x14ac:dyDescent="0.3">
      <c r="J62371"/>
    </row>
    <row r="62372" spans="10:10" x14ac:dyDescent="0.3">
      <c r="J62372"/>
    </row>
    <row r="62373" spans="10:10" x14ac:dyDescent="0.3">
      <c r="J62373"/>
    </row>
    <row r="62374" spans="10:10" x14ac:dyDescent="0.3">
      <c r="J62374"/>
    </row>
    <row r="62375" spans="10:10" x14ac:dyDescent="0.3">
      <c r="J62375"/>
    </row>
    <row r="62376" spans="10:10" x14ac:dyDescent="0.3">
      <c r="J62376"/>
    </row>
    <row r="62377" spans="10:10" x14ac:dyDescent="0.3">
      <c r="J62377"/>
    </row>
    <row r="62378" spans="10:10" x14ac:dyDescent="0.3">
      <c r="J62378"/>
    </row>
    <row r="62379" spans="10:10" x14ac:dyDescent="0.3">
      <c r="J62379"/>
    </row>
    <row r="62380" spans="10:10" x14ac:dyDescent="0.3">
      <c r="J62380"/>
    </row>
    <row r="62381" spans="10:10" x14ac:dyDescent="0.3">
      <c r="J62381"/>
    </row>
    <row r="62382" spans="10:10" x14ac:dyDescent="0.3">
      <c r="J62382"/>
    </row>
    <row r="62383" spans="10:10" x14ac:dyDescent="0.3">
      <c r="J62383"/>
    </row>
    <row r="62384" spans="10:10" x14ac:dyDescent="0.3">
      <c r="J62384"/>
    </row>
    <row r="62385" spans="10:10" x14ac:dyDescent="0.3">
      <c r="J62385"/>
    </row>
    <row r="62386" spans="10:10" x14ac:dyDescent="0.3">
      <c r="J62386"/>
    </row>
    <row r="62387" spans="10:10" x14ac:dyDescent="0.3">
      <c r="J62387"/>
    </row>
    <row r="62388" spans="10:10" x14ac:dyDescent="0.3">
      <c r="J62388"/>
    </row>
    <row r="62389" spans="10:10" x14ac:dyDescent="0.3">
      <c r="J62389"/>
    </row>
    <row r="62390" spans="10:10" x14ac:dyDescent="0.3">
      <c r="J62390"/>
    </row>
    <row r="62391" spans="10:10" x14ac:dyDescent="0.3">
      <c r="J62391"/>
    </row>
    <row r="62392" spans="10:10" x14ac:dyDescent="0.3">
      <c r="J62392"/>
    </row>
    <row r="62393" spans="10:10" x14ac:dyDescent="0.3">
      <c r="J62393"/>
    </row>
    <row r="62394" spans="10:10" x14ac:dyDescent="0.3">
      <c r="J62394"/>
    </row>
    <row r="62395" spans="10:10" x14ac:dyDescent="0.3">
      <c r="J62395"/>
    </row>
    <row r="62396" spans="10:10" x14ac:dyDescent="0.3">
      <c r="J62396"/>
    </row>
    <row r="62397" spans="10:10" x14ac:dyDescent="0.3">
      <c r="J62397"/>
    </row>
    <row r="62398" spans="10:10" x14ac:dyDescent="0.3">
      <c r="J62398"/>
    </row>
    <row r="62399" spans="10:10" x14ac:dyDescent="0.3">
      <c r="J62399"/>
    </row>
    <row r="62400" spans="10:10" x14ac:dyDescent="0.3">
      <c r="J62400"/>
    </row>
    <row r="62401" spans="10:10" x14ac:dyDescent="0.3">
      <c r="J62401"/>
    </row>
    <row r="62402" spans="10:10" x14ac:dyDescent="0.3">
      <c r="J62402"/>
    </row>
    <row r="62403" spans="10:10" x14ac:dyDescent="0.3">
      <c r="J62403"/>
    </row>
    <row r="62404" spans="10:10" x14ac:dyDescent="0.3">
      <c r="J62404"/>
    </row>
    <row r="62405" spans="10:10" x14ac:dyDescent="0.3">
      <c r="J62405"/>
    </row>
    <row r="62406" spans="10:10" x14ac:dyDescent="0.3">
      <c r="J62406"/>
    </row>
    <row r="62407" spans="10:10" x14ac:dyDescent="0.3">
      <c r="J62407"/>
    </row>
    <row r="62408" spans="10:10" x14ac:dyDescent="0.3">
      <c r="J62408"/>
    </row>
    <row r="62409" spans="10:10" x14ac:dyDescent="0.3">
      <c r="J62409"/>
    </row>
    <row r="62410" spans="10:10" x14ac:dyDescent="0.3">
      <c r="J62410"/>
    </row>
    <row r="62411" spans="10:10" x14ac:dyDescent="0.3">
      <c r="J62411"/>
    </row>
    <row r="62412" spans="10:10" x14ac:dyDescent="0.3">
      <c r="J62412"/>
    </row>
    <row r="62413" spans="10:10" x14ac:dyDescent="0.3">
      <c r="J62413"/>
    </row>
    <row r="62414" spans="10:10" x14ac:dyDescent="0.3">
      <c r="J62414"/>
    </row>
    <row r="62415" spans="10:10" x14ac:dyDescent="0.3">
      <c r="J62415"/>
    </row>
    <row r="62416" spans="10:10" x14ac:dyDescent="0.3">
      <c r="J62416"/>
    </row>
    <row r="62417" spans="10:10" x14ac:dyDescent="0.3">
      <c r="J62417"/>
    </row>
    <row r="62418" spans="10:10" x14ac:dyDescent="0.3">
      <c r="J62418"/>
    </row>
    <row r="62419" spans="10:10" x14ac:dyDescent="0.3">
      <c r="J62419"/>
    </row>
    <row r="62420" spans="10:10" x14ac:dyDescent="0.3">
      <c r="J62420"/>
    </row>
    <row r="62421" spans="10:10" x14ac:dyDescent="0.3">
      <c r="J62421"/>
    </row>
    <row r="62422" spans="10:10" x14ac:dyDescent="0.3">
      <c r="J62422"/>
    </row>
    <row r="62423" spans="10:10" x14ac:dyDescent="0.3">
      <c r="J62423"/>
    </row>
    <row r="62424" spans="10:10" x14ac:dyDescent="0.3">
      <c r="J62424"/>
    </row>
    <row r="62425" spans="10:10" x14ac:dyDescent="0.3">
      <c r="J62425"/>
    </row>
    <row r="62426" spans="10:10" x14ac:dyDescent="0.3">
      <c r="J62426"/>
    </row>
    <row r="62427" spans="10:10" x14ac:dyDescent="0.3">
      <c r="J62427"/>
    </row>
    <row r="62428" spans="10:10" x14ac:dyDescent="0.3">
      <c r="J62428"/>
    </row>
    <row r="62429" spans="10:10" x14ac:dyDescent="0.3">
      <c r="J62429"/>
    </row>
    <row r="62430" spans="10:10" x14ac:dyDescent="0.3">
      <c r="J62430"/>
    </row>
    <row r="62431" spans="10:10" x14ac:dyDescent="0.3">
      <c r="J62431"/>
    </row>
    <row r="62432" spans="10:10" x14ac:dyDescent="0.3">
      <c r="J62432"/>
    </row>
    <row r="62433" spans="10:10" x14ac:dyDescent="0.3">
      <c r="J62433"/>
    </row>
    <row r="62434" spans="10:10" x14ac:dyDescent="0.3">
      <c r="J62434"/>
    </row>
    <row r="62435" spans="10:10" x14ac:dyDescent="0.3">
      <c r="J62435"/>
    </row>
    <row r="62436" spans="10:10" x14ac:dyDescent="0.3">
      <c r="J62436"/>
    </row>
    <row r="62437" spans="10:10" x14ac:dyDescent="0.3">
      <c r="J62437"/>
    </row>
    <row r="62438" spans="10:10" x14ac:dyDescent="0.3">
      <c r="J62438"/>
    </row>
    <row r="62439" spans="10:10" x14ac:dyDescent="0.3">
      <c r="J62439"/>
    </row>
    <row r="62440" spans="10:10" x14ac:dyDescent="0.3">
      <c r="J62440"/>
    </row>
    <row r="62441" spans="10:10" x14ac:dyDescent="0.3">
      <c r="J62441"/>
    </row>
    <row r="62442" spans="10:10" x14ac:dyDescent="0.3">
      <c r="J62442"/>
    </row>
    <row r="62443" spans="10:10" x14ac:dyDescent="0.3">
      <c r="J62443"/>
    </row>
    <row r="62444" spans="10:10" x14ac:dyDescent="0.3">
      <c r="J62444"/>
    </row>
    <row r="62445" spans="10:10" x14ac:dyDescent="0.3">
      <c r="J62445"/>
    </row>
    <row r="62446" spans="10:10" x14ac:dyDescent="0.3">
      <c r="J62446"/>
    </row>
    <row r="62447" spans="10:10" x14ac:dyDescent="0.3">
      <c r="J62447"/>
    </row>
    <row r="62448" spans="10:10" x14ac:dyDescent="0.3">
      <c r="J62448"/>
    </row>
    <row r="62449" spans="10:10" x14ac:dyDescent="0.3">
      <c r="J62449"/>
    </row>
    <row r="62450" spans="10:10" x14ac:dyDescent="0.3">
      <c r="J62450"/>
    </row>
    <row r="62451" spans="10:10" x14ac:dyDescent="0.3">
      <c r="J62451"/>
    </row>
    <row r="62452" spans="10:10" x14ac:dyDescent="0.3">
      <c r="J62452"/>
    </row>
    <row r="62453" spans="10:10" x14ac:dyDescent="0.3">
      <c r="J62453"/>
    </row>
    <row r="62454" spans="10:10" x14ac:dyDescent="0.3">
      <c r="J62454"/>
    </row>
    <row r="62455" spans="10:10" x14ac:dyDescent="0.3">
      <c r="J62455"/>
    </row>
    <row r="62456" spans="10:10" x14ac:dyDescent="0.3">
      <c r="J62456"/>
    </row>
    <row r="62457" spans="10:10" x14ac:dyDescent="0.3">
      <c r="J62457"/>
    </row>
    <row r="62458" spans="10:10" x14ac:dyDescent="0.3">
      <c r="J62458"/>
    </row>
    <row r="62459" spans="10:10" x14ac:dyDescent="0.3">
      <c r="J62459"/>
    </row>
    <row r="62460" spans="10:10" x14ac:dyDescent="0.3">
      <c r="J62460"/>
    </row>
    <row r="62461" spans="10:10" x14ac:dyDescent="0.3">
      <c r="J62461"/>
    </row>
    <row r="62462" spans="10:10" x14ac:dyDescent="0.3">
      <c r="J62462"/>
    </row>
    <row r="62463" spans="10:10" x14ac:dyDescent="0.3">
      <c r="J62463"/>
    </row>
    <row r="62464" spans="10:10" x14ac:dyDescent="0.3">
      <c r="J62464"/>
    </row>
    <row r="62465" spans="10:10" x14ac:dyDescent="0.3">
      <c r="J62465"/>
    </row>
    <row r="62466" spans="10:10" x14ac:dyDescent="0.3">
      <c r="J62466"/>
    </row>
    <row r="62467" spans="10:10" x14ac:dyDescent="0.3">
      <c r="J62467"/>
    </row>
    <row r="62468" spans="10:10" x14ac:dyDescent="0.3">
      <c r="J62468"/>
    </row>
    <row r="62469" spans="10:10" x14ac:dyDescent="0.3">
      <c r="J62469"/>
    </row>
    <row r="62470" spans="10:10" x14ac:dyDescent="0.3">
      <c r="J62470"/>
    </row>
    <row r="62471" spans="10:10" x14ac:dyDescent="0.3">
      <c r="J62471"/>
    </row>
    <row r="62472" spans="10:10" x14ac:dyDescent="0.3">
      <c r="J62472"/>
    </row>
    <row r="62473" spans="10:10" x14ac:dyDescent="0.3">
      <c r="J62473"/>
    </row>
    <row r="62474" spans="10:10" x14ac:dyDescent="0.3">
      <c r="J62474"/>
    </row>
    <row r="62475" spans="10:10" x14ac:dyDescent="0.3">
      <c r="J62475"/>
    </row>
    <row r="62476" spans="10:10" x14ac:dyDescent="0.3">
      <c r="J62476"/>
    </row>
    <row r="62477" spans="10:10" x14ac:dyDescent="0.3">
      <c r="J62477"/>
    </row>
    <row r="62478" spans="10:10" x14ac:dyDescent="0.3">
      <c r="J62478"/>
    </row>
    <row r="62479" spans="10:10" x14ac:dyDescent="0.3">
      <c r="J62479"/>
    </row>
    <row r="62480" spans="10:10" x14ac:dyDescent="0.3">
      <c r="J62480"/>
    </row>
    <row r="62481" spans="10:10" x14ac:dyDescent="0.3">
      <c r="J62481"/>
    </row>
    <row r="62482" spans="10:10" x14ac:dyDescent="0.3">
      <c r="J62482"/>
    </row>
    <row r="62483" spans="10:10" x14ac:dyDescent="0.3">
      <c r="J62483"/>
    </row>
    <row r="62484" spans="10:10" x14ac:dyDescent="0.3">
      <c r="J62484"/>
    </row>
    <row r="62485" spans="10:10" x14ac:dyDescent="0.3">
      <c r="J62485"/>
    </row>
    <row r="62486" spans="10:10" x14ac:dyDescent="0.3">
      <c r="J62486"/>
    </row>
    <row r="62487" spans="10:10" x14ac:dyDescent="0.3">
      <c r="J62487"/>
    </row>
    <row r="62488" spans="10:10" x14ac:dyDescent="0.3">
      <c r="J62488"/>
    </row>
    <row r="62489" spans="10:10" x14ac:dyDescent="0.3">
      <c r="J62489"/>
    </row>
    <row r="62490" spans="10:10" x14ac:dyDescent="0.3">
      <c r="J62490"/>
    </row>
    <row r="62491" spans="10:10" x14ac:dyDescent="0.3">
      <c r="J62491"/>
    </row>
    <row r="62492" spans="10:10" x14ac:dyDescent="0.3">
      <c r="J62492"/>
    </row>
    <row r="62493" spans="10:10" x14ac:dyDescent="0.3">
      <c r="J62493"/>
    </row>
    <row r="62494" spans="10:10" x14ac:dyDescent="0.3">
      <c r="J62494"/>
    </row>
    <row r="62495" spans="10:10" x14ac:dyDescent="0.3">
      <c r="J62495"/>
    </row>
    <row r="62496" spans="10:10" x14ac:dyDescent="0.3">
      <c r="J62496"/>
    </row>
    <row r="62497" spans="10:10" x14ac:dyDescent="0.3">
      <c r="J62497"/>
    </row>
    <row r="62498" spans="10:10" x14ac:dyDescent="0.3">
      <c r="J62498"/>
    </row>
    <row r="62499" spans="10:10" x14ac:dyDescent="0.3">
      <c r="J62499"/>
    </row>
    <row r="62500" spans="10:10" x14ac:dyDescent="0.3">
      <c r="J62500"/>
    </row>
    <row r="62501" spans="10:10" x14ac:dyDescent="0.3">
      <c r="J62501"/>
    </row>
    <row r="62502" spans="10:10" x14ac:dyDescent="0.3">
      <c r="J62502"/>
    </row>
    <row r="62503" spans="10:10" x14ac:dyDescent="0.3">
      <c r="J62503"/>
    </row>
    <row r="62504" spans="10:10" x14ac:dyDescent="0.3">
      <c r="J62504"/>
    </row>
    <row r="62505" spans="10:10" x14ac:dyDescent="0.3">
      <c r="J62505"/>
    </row>
    <row r="62506" spans="10:10" x14ac:dyDescent="0.3">
      <c r="J62506"/>
    </row>
    <row r="62507" spans="10:10" x14ac:dyDescent="0.3">
      <c r="J62507"/>
    </row>
    <row r="62508" spans="10:10" x14ac:dyDescent="0.3">
      <c r="J62508"/>
    </row>
    <row r="62509" spans="10:10" x14ac:dyDescent="0.3">
      <c r="J62509"/>
    </row>
    <row r="62510" spans="10:10" x14ac:dyDescent="0.3">
      <c r="J62510"/>
    </row>
    <row r="62511" spans="10:10" x14ac:dyDescent="0.3">
      <c r="J62511"/>
    </row>
    <row r="62512" spans="10:10" x14ac:dyDescent="0.3">
      <c r="J62512"/>
    </row>
    <row r="62513" spans="10:10" x14ac:dyDescent="0.3">
      <c r="J62513"/>
    </row>
    <row r="62514" spans="10:10" x14ac:dyDescent="0.3">
      <c r="J62514"/>
    </row>
    <row r="62515" spans="10:10" x14ac:dyDescent="0.3">
      <c r="J62515"/>
    </row>
    <row r="62516" spans="10:10" x14ac:dyDescent="0.3">
      <c r="J62516"/>
    </row>
    <row r="62517" spans="10:10" x14ac:dyDescent="0.3">
      <c r="J62517"/>
    </row>
    <row r="62518" spans="10:10" x14ac:dyDescent="0.3">
      <c r="J62518"/>
    </row>
    <row r="62519" spans="10:10" x14ac:dyDescent="0.3">
      <c r="J62519"/>
    </row>
    <row r="62520" spans="10:10" x14ac:dyDescent="0.3">
      <c r="J62520"/>
    </row>
    <row r="62521" spans="10:10" x14ac:dyDescent="0.3">
      <c r="J62521"/>
    </row>
    <row r="62522" spans="10:10" x14ac:dyDescent="0.3">
      <c r="J62522"/>
    </row>
    <row r="62523" spans="10:10" x14ac:dyDescent="0.3">
      <c r="J62523"/>
    </row>
    <row r="62524" spans="10:10" x14ac:dyDescent="0.3">
      <c r="J62524"/>
    </row>
    <row r="62525" spans="10:10" x14ac:dyDescent="0.3">
      <c r="J62525"/>
    </row>
    <row r="62526" spans="10:10" x14ac:dyDescent="0.3">
      <c r="J62526"/>
    </row>
    <row r="62527" spans="10:10" x14ac:dyDescent="0.3">
      <c r="J62527"/>
    </row>
    <row r="62528" spans="10:10" x14ac:dyDescent="0.3">
      <c r="J62528"/>
    </row>
    <row r="62529" spans="10:10" x14ac:dyDescent="0.3">
      <c r="J62529"/>
    </row>
    <row r="62530" spans="10:10" x14ac:dyDescent="0.3">
      <c r="J62530"/>
    </row>
    <row r="62531" spans="10:10" x14ac:dyDescent="0.3">
      <c r="J62531"/>
    </row>
    <row r="62532" spans="10:10" x14ac:dyDescent="0.3">
      <c r="J62532"/>
    </row>
    <row r="62533" spans="10:10" x14ac:dyDescent="0.3">
      <c r="J62533"/>
    </row>
    <row r="62534" spans="10:10" x14ac:dyDescent="0.3">
      <c r="J62534"/>
    </row>
    <row r="62535" spans="10:10" x14ac:dyDescent="0.3">
      <c r="J62535"/>
    </row>
    <row r="62536" spans="10:10" x14ac:dyDescent="0.3">
      <c r="J62536"/>
    </row>
    <row r="62537" spans="10:10" x14ac:dyDescent="0.3">
      <c r="J62537"/>
    </row>
    <row r="62538" spans="10:10" x14ac:dyDescent="0.3">
      <c r="J62538"/>
    </row>
    <row r="62539" spans="10:10" x14ac:dyDescent="0.3">
      <c r="J62539"/>
    </row>
    <row r="62540" spans="10:10" x14ac:dyDescent="0.3">
      <c r="J62540"/>
    </row>
    <row r="62541" spans="10:10" x14ac:dyDescent="0.3">
      <c r="J62541"/>
    </row>
    <row r="62542" spans="10:10" x14ac:dyDescent="0.3">
      <c r="J62542"/>
    </row>
    <row r="62543" spans="10:10" x14ac:dyDescent="0.3">
      <c r="J62543"/>
    </row>
    <row r="62544" spans="10:10" x14ac:dyDescent="0.3">
      <c r="J62544"/>
    </row>
    <row r="62545" spans="10:10" x14ac:dyDescent="0.3">
      <c r="J62545"/>
    </row>
    <row r="62546" spans="10:10" x14ac:dyDescent="0.3">
      <c r="J62546"/>
    </row>
    <row r="62547" spans="10:10" x14ac:dyDescent="0.3">
      <c r="J62547"/>
    </row>
    <row r="62548" spans="10:10" x14ac:dyDescent="0.3">
      <c r="J62548"/>
    </row>
    <row r="62549" spans="10:10" x14ac:dyDescent="0.3">
      <c r="J62549"/>
    </row>
    <row r="62550" spans="10:10" x14ac:dyDescent="0.3">
      <c r="J62550"/>
    </row>
    <row r="62551" spans="10:10" x14ac:dyDescent="0.3">
      <c r="J62551"/>
    </row>
    <row r="62552" spans="10:10" x14ac:dyDescent="0.3">
      <c r="J62552"/>
    </row>
    <row r="62553" spans="10:10" x14ac:dyDescent="0.3">
      <c r="J62553"/>
    </row>
    <row r="62554" spans="10:10" x14ac:dyDescent="0.3">
      <c r="J62554"/>
    </row>
    <row r="62555" spans="10:10" x14ac:dyDescent="0.3">
      <c r="J62555"/>
    </row>
    <row r="62556" spans="10:10" x14ac:dyDescent="0.3">
      <c r="J62556"/>
    </row>
    <row r="62557" spans="10:10" x14ac:dyDescent="0.3">
      <c r="J62557"/>
    </row>
    <row r="62558" spans="10:10" x14ac:dyDescent="0.3">
      <c r="J62558"/>
    </row>
    <row r="62559" spans="10:10" x14ac:dyDescent="0.3">
      <c r="J62559"/>
    </row>
    <row r="62560" spans="10:10" x14ac:dyDescent="0.3">
      <c r="J62560"/>
    </row>
    <row r="62561" spans="10:10" x14ac:dyDescent="0.3">
      <c r="J62561"/>
    </row>
    <row r="62562" spans="10:10" x14ac:dyDescent="0.3">
      <c r="J62562"/>
    </row>
    <row r="62563" spans="10:10" x14ac:dyDescent="0.3">
      <c r="J62563"/>
    </row>
    <row r="62564" spans="10:10" x14ac:dyDescent="0.3">
      <c r="J62564"/>
    </row>
    <row r="62565" spans="10:10" x14ac:dyDescent="0.3">
      <c r="J62565"/>
    </row>
    <row r="62566" spans="10:10" x14ac:dyDescent="0.3">
      <c r="J62566"/>
    </row>
    <row r="62567" spans="10:10" x14ac:dyDescent="0.3">
      <c r="J62567"/>
    </row>
    <row r="62568" spans="10:10" x14ac:dyDescent="0.3">
      <c r="J62568"/>
    </row>
    <row r="62569" spans="10:10" x14ac:dyDescent="0.3">
      <c r="J62569"/>
    </row>
    <row r="62570" spans="10:10" x14ac:dyDescent="0.3">
      <c r="J62570"/>
    </row>
    <row r="62571" spans="10:10" x14ac:dyDescent="0.3">
      <c r="J62571"/>
    </row>
    <row r="62572" spans="10:10" x14ac:dyDescent="0.3">
      <c r="J62572"/>
    </row>
    <row r="62573" spans="10:10" x14ac:dyDescent="0.3">
      <c r="J62573"/>
    </row>
    <row r="62574" spans="10:10" x14ac:dyDescent="0.3">
      <c r="J62574"/>
    </row>
    <row r="62575" spans="10:10" x14ac:dyDescent="0.3">
      <c r="J62575"/>
    </row>
    <row r="62576" spans="10:10" x14ac:dyDescent="0.3">
      <c r="J62576"/>
    </row>
    <row r="62577" spans="10:10" x14ac:dyDescent="0.3">
      <c r="J62577"/>
    </row>
    <row r="62578" spans="10:10" x14ac:dyDescent="0.3">
      <c r="J62578"/>
    </row>
    <row r="62579" spans="10:10" x14ac:dyDescent="0.3">
      <c r="J62579"/>
    </row>
    <row r="62580" spans="10:10" x14ac:dyDescent="0.3">
      <c r="J62580"/>
    </row>
    <row r="62581" spans="10:10" x14ac:dyDescent="0.3">
      <c r="J62581"/>
    </row>
    <row r="62582" spans="10:10" x14ac:dyDescent="0.3">
      <c r="J62582"/>
    </row>
    <row r="62583" spans="10:10" x14ac:dyDescent="0.3">
      <c r="J62583"/>
    </row>
    <row r="62584" spans="10:10" x14ac:dyDescent="0.3">
      <c r="J62584"/>
    </row>
    <row r="62585" spans="10:10" x14ac:dyDescent="0.3">
      <c r="J62585"/>
    </row>
    <row r="62586" spans="10:10" x14ac:dyDescent="0.3">
      <c r="J62586"/>
    </row>
    <row r="62587" spans="10:10" x14ac:dyDescent="0.3">
      <c r="J62587"/>
    </row>
    <row r="62588" spans="10:10" x14ac:dyDescent="0.3">
      <c r="J62588"/>
    </row>
    <row r="62589" spans="10:10" x14ac:dyDescent="0.3">
      <c r="J62589"/>
    </row>
    <row r="62590" spans="10:10" x14ac:dyDescent="0.3">
      <c r="J62590"/>
    </row>
    <row r="62591" spans="10:10" x14ac:dyDescent="0.3">
      <c r="J62591"/>
    </row>
    <row r="62592" spans="10:10" x14ac:dyDescent="0.3">
      <c r="J62592"/>
    </row>
    <row r="62593" spans="10:10" x14ac:dyDescent="0.3">
      <c r="J62593"/>
    </row>
    <row r="62594" spans="10:10" x14ac:dyDescent="0.3">
      <c r="J62594"/>
    </row>
    <row r="62595" spans="10:10" x14ac:dyDescent="0.3">
      <c r="J62595"/>
    </row>
    <row r="62596" spans="10:10" x14ac:dyDescent="0.3">
      <c r="J62596"/>
    </row>
    <row r="62597" spans="10:10" x14ac:dyDescent="0.3">
      <c r="J62597"/>
    </row>
    <row r="62598" spans="10:10" x14ac:dyDescent="0.3">
      <c r="J62598"/>
    </row>
    <row r="62599" spans="10:10" x14ac:dyDescent="0.3">
      <c r="J62599"/>
    </row>
    <row r="62600" spans="10:10" x14ac:dyDescent="0.3">
      <c r="J62600"/>
    </row>
    <row r="62601" spans="10:10" x14ac:dyDescent="0.3">
      <c r="J62601"/>
    </row>
    <row r="62602" spans="10:10" x14ac:dyDescent="0.3">
      <c r="J62602"/>
    </row>
    <row r="62603" spans="10:10" x14ac:dyDescent="0.3">
      <c r="J62603"/>
    </row>
    <row r="62604" spans="10:10" x14ac:dyDescent="0.3">
      <c r="J62604"/>
    </row>
    <row r="62605" spans="10:10" x14ac:dyDescent="0.3">
      <c r="J62605"/>
    </row>
    <row r="62606" spans="10:10" x14ac:dyDescent="0.3">
      <c r="J62606"/>
    </row>
    <row r="62607" spans="10:10" x14ac:dyDescent="0.3">
      <c r="J62607"/>
    </row>
    <row r="62608" spans="10:10" x14ac:dyDescent="0.3">
      <c r="J62608"/>
    </row>
    <row r="62609" spans="10:10" x14ac:dyDescent="0.3">
      <c r="J62609"/>
    </row>
    <row r="62610" spans="10:10" x14ac:dyDescent="0.3">
      <c r="J62610"/>
    </row>
    <row r="62611" spans="10:10" x14ac:dyDescent="0.3">
      <c r="J62611"/>
    </row>
    <row r="62612" spans="10:10" x14ac:dyDescent="0.3">
      <c r="J62612"/>
    </row>
    <row r="62613" spans="10:10" x14ac:dyDescent="0.3">
      <c r="J62613"/>
    </row>
    <row r="62614" spans="10:10" x14ac:dyDescent="0.3">
      <c r="J62614"/>
    </row>
    <row r="62615" spans="10:10" x14ac:dyDescent="0.3">
      <c r="J62615"/>
    </row>
    <row r="62616" spans="10:10" x14ac:dyDescent="0.3">
      <c r="J62616"/>
    </row>
    <row r="62617" spans="10:10" x14ac:dyDescent="0.3">
      <c r="J62617"/>
    </row>
    <row r="62618" spans="10:10" x14ac:dyDescent="0.3">
      <c r="J62618"/>
    </row>
    <row r="62619" spans="10:10" x14ac:dyDescent="0.3">
      <c r="J62619"/>
    </row>
    <row r="62620" spans="10:10" x14ac:dyDescent="0.3">
      <c r="J62620"/>
    </row>
    <row r="62621" spans="10:10" x14ac:dyDescent="0.3">
      <c r="J62621"/>
    </row>
    <row r="62622" spans="10:10" x14ac:dyDescent="0.3">
      <c r="J62622"/>
    </row>
    <row r="62623" spans="10:10" x14ac:dyDescent="0.3">
      <c r="J62623"/>
    </row>
    <row r="62624" spans="10:10" x14ac:dyDescent="0.3">
      <c r="J62624"/>
    </row>
    <row r="62625" spans="10:10" x14ac:dyDescent="0.3">
      <c r="J62625"/>
    </row>
    <row r="62626" spans="10:10" x14ac:dyDescent="0.3">
      <c r="J62626"/>
    </row>
    <row r="62627" spans="10:10" x14ac:dyDescent="0.3">
      <c r="J62627"/>
    </row>
    <row r="62628" spans="10:10" x14ac:dyDescent="0.3">
      <c r="J62628"/>
    </row>
    <row r="62629" spans="10:10" x14ac:dyDescent="0.3">
      <c r="J62629"/>
    </row>
    <row r="62630" spans="10:10" x14ac:dyDescent="0.3">
      <c r="J62630"/>
    </row>
    <row r="62631" spans="10:10" x14ac:dyDescent="0.3">
      <c r="J62631"/>
    </row>
    <row r="62632" spans="10:10" x14ac:dyDescent="0.3">
      <c r="J62632"/>
    </row>
    <row r="62633" spans="10:10" x14ac:dyDescent="0.3">
      <c r="J62633"/>
    </row>
    <row r="62634" spans="10:10" x14ac:dyDescent="0.3">
      <c r="J62634"/>
    </row>
    <row r="62635" spans="10:10" x14ac:dyDescent="0.3">
      <c r="J62635"/>
    </row>
    <row r="62636" spans="10:10" x14ac:dyDescent="0.3">
      <c r="J62636"/>
    </row>
    <row r="62637" spans="10:10" x14ac:dyDescent="0.3">
      <c r="J62637"/>
    </row>
    <row r="62638" spans="10:10" x14ac:dyDescent="0.3">
      <c r="J62638"/>
    </row>
    <row r="62639" spans="10:10" x14ac:dyDescent="0.3">
      <c r="J62639"/>
    </row>
    <row r="62640" spans="10:10" x14ac:dyDescent="0.3">
      <c r="J62640"/>
    </row>
    <row r="62641" spans="10:10" x14ac:dyDescent="0.3">
      <c r="J62641"/>
    </row>
    <row r="62642" spans="10:10" x14ac:dyDescent="0.3">
      <c r="J62642"/>
    </row>
    <row r="62643" spans="10:10" x14ac:dyDescent="0.3">
      <c r="J62643"/>
    </row>
    <row r="62644" spans="10:10" x14ac:dyDescent="0.3">
      <c r="J62644"/>
    </row>
    <row r="62645" spans="10:10" x14ac:dyDescent="0.3">
      <c r="J62645"/>
    </row>
    <row r="62646" spans="10:10" x14ac:dyDescent="0.3">
      <c r="J62646"/>
    </row>
    <row r="62647" spans="10:10" x14ac:dyDescent="0.3">
      <c r="J62647"/>
    </row>
    <row r="62648" spans="10:10" x14ac:dyDescent="0.3">
      <c r="J62648"/>
    </row>
    <row r="62649" spans="10:10" x14ac:dyDescent="0.3">
      <c r="J62649"/>
    </row>
    <row r="62650" spans="10:10" x14ac:dyDescent="0.3">
      <c r="J62650"/>
    </row>
    <row r="62651" spans="10:10" x14ac:dyDescent="0.3">
      <c r="J62651"/>
    </row>
    <row r="62652" spans="10:10" x14ac:dyDescent="0.3">
      <c r="J62652"/>
    </row>
    <row r="62653" spans="10:10" x14ac:dyDescent="0.3">
      <c r="J62653"/>
    </row>
    <row r="62654" spans="10:10" x14ac:dyDescent="0.3">
      <c r="J62654"/>
    </row>
    <row r="62655" spans="10:10" x14ac:dyDescent="0.3">
      <c r="J62655"/>
    </row>
    <row r="62656" spans="10:10" x14ac:dyDescent="0.3">
      <c r="J62656"/>
    </row>
    <row r="62657" spans="10:10" x14ac:dyDescent="0.3">
      <c r="J62657"/>
    </row>
    <row r="62658" spans="10:10" x14ac:dyDescent="0.3">
      <c r="J62658"/>
    </row>
    <row r="62659" spans="10:10" x14ac:dyDescent="0.3">
      <c r="J62659"/>
    </row>
    <row r="62660" spans="10:10" x14ac:dyDescent="0.3">
      <c r="J62660"/>
    </row>
    <row r="62661" spans="10:10" x14ac:dyDescent="0.3">
      <c r="J62661"/>
    </row>
    <row r="62662" spans="10:10" x14ac:dyDescent="0.3">
      <c r="J62662"/>
    </row>
    <row r="62663" spans="10:10" x14ac:dyDescent="0.3">
      <c r="J62663"/>
    </row>
    <row r="62664" spans="10:10" x14ac:dyDescent="0.3">
      <c r="J62664"/>
    </row>
    <row r="62665" spans="10:10" x14ac:dyDescent="0.3">
      <c r="J62665"/>
    </row>
    <row r="62666" spans="10:10" x14ac:dyDescent="0.3">
      <c r="J62666"/>
    </row>
    <row r="62667" spans="10:10" x14ac:dyDescent="0.3">
      <c r="J62667"/>
    </row>
    <row r="62668" spans="10:10" x14ac:dyDescent="0.3">
      <c r="J62668"/>
    </row>
    <row r="62669" spans="10:10" x14ac:dyDescent="0.3">
      <c r="J62669"/>
    </row>
    <row r="62670" spans="10:10" x14ac:dyDescent="0.3">
      <c r="J62670"/>
    </row>
    <row r="62671" spans="10:10" x14ac:dyDescent="0.3">
      <c r="J62671"/>
    </row>
    <row r="62672" spans="10:10" x14ac:dyDescent="0.3">
      <c r="J62672"/>
    </row>
    <row r="62673" spans="10:10" x14ac:dyDescent="0.3">
      <c r="J62673"/>
    </row>
    <row r="62674" spans="10:10" x14ac:dyDescent="0.3">
      <c r="J62674"/>
    </row>
    <row r="62675" spans="10:10" x14ac:dyDescent="0.3">
      <c r="J62675"/>
    </row>
    <row r="62676" spans="10:10" x14ac:dyDescent="0.3">
      <c r="J62676"/>
    </row>
    <row r="62677" spans="10:10" x14ac:dyDescent="0.3">
      <c r="J62677"/>
    </row>
    <row r="62678" spans="10:10" x14ac:dyDescent="0.3">
      <c r="J62678"/>
    </row>
    <row r="62679" spans="10:10" x14ac:dyDescent="0.3">
      <c r="J62679"/>
    </row>
    <row r="62680" spans="10:10" x14ac:dyDescent="0.3">
      <c r="J62680"/>
    </row>
    <row r="62681" spans="10:10" x14ac:dyDescent="0.3">
      <c r="J62681"/>
    </row>
    <row r="62682" spans="10:10" x14ac:dyDescent="0.3">
      <c r="J62682"/>
    </row>
    <row r="62683" spans="10:10" x14ac:dyDescent="0.3">
      <c r="J62683"/>
    </row>
    <row r="62684" spans="10:10" x14ac:dyDescent="0.3">
      <c r="J62684"/>
    </row>
    <row r="62685" spans="10:10" x14ac:dyDescent="0.3">
      <c r="J62685"/>
    </row>
    <row r="62686" spans="10:10" x14ac:dyDescent="0.3">
      <c r="J62686"/>
    </row>
    <row r="62687" spans="10:10" x14ac:dyDescent="0.3">
      <c r="J62687"/>
    </row>
    <row r="62688" spans="10:10" x14ac:dyDescent="0.3">
      <c r="J62688"/>
    </row>
    <row r="62689" spans="10:10" x14ac:dyDescent="0.3">
      <c r="J62689"/>
    </row>
    <row r="62690" spans="10:10" x14ac:dyDescent="0.3">
      <c r="J62690"/>
    </row>
    <row r="62691" spans="10:10" x14ac:dyDescent="0.3">
      <c r="J62691"/>
    </row>
    <row r="62692" spans="10:10" x14ac:dyDescent="0.3">
      <c r="J62692"/>
    </row>
    <row r="62693" spans="10:10" x14ac:dyDescent="0.3">
      <c r="J62693"/>
    </row>
    <row r="62694" spans="10:10" x14ac:dyDescent="0.3">
      <c r="J62694"/>
    </row>
    <row r="62695" spans="10:10" x14ac:dyDescent="0.3">
      <c r="J62695"/>
    </row>
    <row r="62696" spans="10:10" x14ac:dyDescent="0.3">
      <c r="J62696"/>
    </row>
    <row r="62697" spans="10:10" x14ac:dyDescent="0.3">
      <c r="J62697"/>
    </row>
    <row r="62698" spans="10:10" x14ac:dyDescent="0.3">
      <c r="J62698"/>
    </row>
    <row r="62699" spans="10:10" x14ac:dyDescent="0.3">
      <c r="J62699"/>
    </row>
    <row r="62700" spans="10:10" x14ac:dyDescent="0.3">
      <c r="J62700"/>
    </row>
    <row r="62701" spans="10:10" x14ac:dyDescent="0.3">
      <c r="J62701"/>
    </row>
    <row r="62702" spans="10:10" x14ac:dyDescent="0.3">
      <c r="J62702"/>
    </row>
    <row r="62703" spans="10:10" x14ac:dyDescent="0.3">
      <c r="J62703"/>
    </row>
    <row r="62704" spans="10:10" x14ac:dyDescent="0.3">
      <c r="J62704"/>
    </row>
    <row r="62705" spans="10:10" x14ac:dyDescent="0.3">
      <c r="J62705"/>
    </row>
    <row r="62706" spans="10:10" x14ac:dyDescent="0.3">
      <c r="J62706"/>
    </row>
    <row r="62707" spans="10:10" x14ac:dyDescent="0.3">
      <c r="J62707"/>
    </row>
    <row r="62708" spans="10:10" x14ac:dyDescent="0.3">
      <c r="J62708"/>
    </row>
    <row r="62709" spans="10:10" x14ac:dyDescent="0.3">
      <c r="J62709"/>
    </row>
    <row r="62710" spans="10:10" x14ac:dyDescent="0.3">
      <c r="J62710"/>
    </row>
    <row r="62711" spans="10:10" x14ac:dyDescent="0.3">
      <c r="J62711"/>
    </row>
    <row r="62712" spans="10:10" x14ac:dyDescent="0.3">
      <c r="J62712"/>
    </row>
    <row r="62713" spans="10:10" x14ac:dyDescent="0.3">
      <c r="J62713"/>
    </row>
    <row r="62714" spans="10:10" x14ac:dyDescent="0.3">
      <c r="J62714"/>
    </row>
    <row r="62715" spans="10:10" x14ac:dyDescent="0.3">
      <c r="J62715"/>
    </row>
    <row r="62716" spans="10:10" x14ac:dyDescent="0.3">
      <c r="J62716"/>
    </row>
    <row r="62717" spans="10:10" x14ac:dyDescent="0.3">
      <c r="J62717"/>
    </row>
    <row r="62718" spans="10:10" x14ac:dyDescent="0.3">
      <c r="J62718"/>
    </row>
    <row r="62719" spans="10:10" x14ac:dyDescent="0.3">
      <c r="J62719"/>
    </row>
    <row r="62720" spans="10:10" x14ac:dyDescent="0.3">
      <c r="J62720"/>
    </row>
    <row r="62721" spans="10:10" x14ac:dyDescent="0.3">
      <c r="J62721"/>
    </row>
    <row r="62722" spans="10:10" x14ac:dyDescent="0.3">
      <c r="J62722"/>
    </row>
    <row r="62723" spans="10:10" x14ac:dyDescent="0.3">
      <c r="J62723"/>
    </row>
    <row r="62724" spans="10:10" x14ac:dyDescent="0.3">
      <c r="J62724"/>
    </row>
    <row r="62725" spans="10:10" x14ac:dyDescent="0.3">
      <c r="J62725"/>
    </row>
    <row r="62726" spans="10:10" x14ac:dyDescent="0.3">
      <c r="J62726"/>
    </row>
    <row r="62727" spans="10:10" x14ac:dyDescent="0.3">
      <c r="J62727"/>
    </row>
    <row r="62728" spans="10:10" x14ac:dyDescent="0.3">
      <c r="J62728"/>
    </row>
    <row r="62729" spans="10:10" x14ac:dyDescent="0.3">
      <c r="J62729"/>
    </row>
    <row r="62730" spans="10:10" x14ac:dyDescent="0.3">
      <c r="J62730"/>
    </row>
    <row r="62731" spans="10:10" x14ac:dyDescent="0.3">
      <c r="J62731"/>
    </row>
    <row r="62732" spans="10:10" x14ac:dyDescent="0.3">
      <c r="J62732"/>
    </row>
    <row r="62733" spans="10:10" x14ac:dyDescent="0.3">
      <c r="J62733"/>
    </row>
    <row r="62734" spans="10:10" x14ac:dyDescent="0.3">
      <c r="J62734"/>
    </row>
    <row r="62735" spans="10:10" x14ac:dyDescent="0.3">
      <c r="J62735"/>
    </row>
    <row r="62736" spans="10:10" x14ac:dyDescent="0.3">
      <c r="J62736"/>
    </row>
    <row r="62737" spans="10:10" x14ac:dyDescent="0.3">
      <c r="J62737"/>
    </row>
    <row r="62738" spans="10:10" x14ac:dyDescent="0.3">
      <c r="J62738"/>
    </row>
    <row r="62739" spans="10:10" x14ac:dyDescent="0.3">
      <c r="J62739"/>
    </row>
    <row r="62740" spans="10:10" x14ac:dyDescent="0.3">
      <c r="J62740"/>
    </row>
    <row r="62741" spans="10:10" x14ac:dyDescent="0.3">
      <c r="J62741"/>
    </row>
    <row r="62742" spans="10:10" x14ac:dyDescent="0.3">
      <c r="J62742"/>
    </row>
    <row r="62743" spans="10:10" x14ac:dyDescent="0.3">
      <c r="J62743"/>
    </row>
    <row r="62744" spans="10:10" x14ac:dyDescent="0.3">
      <c r="J62744"/>
    </row>
    <row r="62745" spans="10:10" x14ac:dyDescent="0.3">
      <c r="J62745"/>
    </row>
    <row r="62746" spans="10:10" x14ac:dyDescent="0.3">
      <c r="J62746"/>
    </row>
    <row r="62747" spans="10:10" x14ac:dyDescent="0.3">
      <c r="J62747"/>
    </row>
    <row r="62748" spans="10:10" x14ac:dyDescent="0.3">
      <c r="J62748"/>
    </row>
    <row r="62749" spans="10:10" x14ac:dyDescent="0.3">
      <c r="J62749"/>
    </row>
    <row r="62750" spans="10:10" x14ac:dyDescent="0.3">
      <c r="J62750"/>
    </row>
    <row r="62751" spans="10:10" x14ac:dyDescent="0.3">
      <c r="J62751"/>
    </row>
    <row r="62752" spans="10:10" x14ac:dyDescent="0.3">
      <c r="J62752"/>
    </row>
    <row r="62753" spans="10:10" x14ac:dyDescent="0.3">
      <c r="J62753"/>
    </row>
    <row r="62754" spans="10:10" x14ac:dyDescent="0.3">
      <c r="J62754"/>
    </row>
    <row r="62755" spans="10:10" x14ac:dyDescent="0.3">
      <c r="J62755"/>
    </row>
    <row r="62756" spans="10:10" x14ac:dyDescent="0.3">
      <c r="J62756"/>
    </row>
    <row r="62757" spans="10:10" x14ac:dyDescent="0.3">
      <c r="J62757"/>
    </row>
    <row r="62758" spans="10:10" x14ac:dyDescent="0.3">
      <c r="J62758"/>
    </row>
    <row r="62759" spans="10:10" x14ac:dyDescent="0.3">
      <c r="J62759"/>
    </row>
    <row r="62760" spans="10:10" x14ac:dyDescent="0.3">
      <c r="J62760"/>
    </row>
    <row r="62761" spans="10:10" x14ac:dyDescent="0.3">
      <c r="J62761"/>
    </row>
    <row r="62762" spans="10:10" x14ac:dyDescent="0.3">
      <c r="J62762"/>
    </row>
    <row r="62763" spans="10:10" x14ac:dyDescent="0.3">
      <c r="J62763"/>
    </row>
    <row r="62764" spans="10:10" x14ac:dyDescent="0.3">
      <c r="J62764"/>
    </row>
    <row r="62765" spans="10:10" x14ac:dyDescent="0.3">
      <c r="J62765"/>
    </row>
    <row r="62766" spans="10:10" x14ac:dyDescent="0.3">
      <c r="J62766"/>
    </row>
    <row r="62767" spans="10:10" x14ac:dyDescent="0.3">
      <c r="J62767"/>
    </row>
    <row r="62768" spans="10:10" x14ac:dyDescent="0.3">
      <c r="J62768"/>
    </row>
    <row r="62769" spans="10:10" x14ac:dyDescent="0.3">
      <c r="J62769"/>
    </row>
    <row r="62770" spans="10:10" x14ac:dyDescent="0.3">
      <c r="J62770"/>
    </row>
    <row r="62771" spans="10:10" x14ac:dyDescent="0.3">
      <c r="J62771"/>
    </row>
    <row r="62772" spans="10:10" x14ac:dyDescent="0.3">
      <c r="J62772"/>
    </row>
    <row r="62773" spans="10:10" x14ac:dyDescent="0.3">
      <c r="J62773"/>
    </row>
    <row r="62774" spans="10:10" x14ac:dyDescent="0.3">
      <c r="J62774"/>
    </row>
    <row r="62775" spans="10:10" x14ac:dyDescent="0.3">
      <c r="J62775"/>
    </row>
    <row r="62776" spans="10:10" x14ac:dyDescent="0.3">
      <c r="J62776"/>
    </row>
    <row r="62777" spans="10:10" x14ac:dyDescent="0.3">
      <c r="J62777"/>
    </row>
    <row r="62778" spans="10:10" x14ac:dyDescent="0.3">
      <c r="J62778"/>
    </row>
    <row r="62779" spans="10:10" x14ac:dyDescent="0.3">
      <c r="J62779"/>
    </row>
    <row r="62780" spans="10:10" x14ac:dyDescent="0.3">
      <c r="J62780"/>
    </row>
    <row r="62781" spans="10:10" x14ac:dyDescent="0.3">
      <c r="J62781"/>
    </row>
    <row r="62782" spans="10:10" x14ac:dyDescent="0.3">
      <c r="J62782"/>
    </row>
    <row r="62783" spans="10:10" x14ac:dyDescent="0.3">
      <c r="J62783"/>
    </row>
    <row r="62784" spans="10:10" x14ac:dyDescent="0.3">
      <c r="J62784"/>
    </row>
    <row r="62785" spans="10:10" x14ac:dyDescent="0.3">
      <c r="J62785"/>
    </row>
    <row r="62786" spans="10:10" x14ac:dyDescent="0.3">
      <c r="J62786"/>
    </row>
    <row r="62787" spans="10:10" x14ac:dyDescent="0.3">
      <c r="J62787"/>
    </row>
    <row r="62788" spans="10:10" x14ac:dyDescent="0.3">
      <c r="J62788"/>
    </row>
    <row r="62789" spans="10:10" x14ac:dyDescent="0.3">
      <c r="J62789"/>
    </row>
    <row r="62790" spans="10:10" x14ac:dyDescent="0.3">
      <c r="J62790"/>
    </row>
    <row r="62791" spans="10:10" x14ac:dyDescent="0.3">
      <c r="J62791"/>
    </row>
    <row r="62792" spans="10:10" x14ac:dyDescent="0.3">
      <c r="J62792"/>
    </row>
    <row r="62793" spans="10:10" x14ac:dyDescent="0.3">
      <c r="J62793"/>
    </row>
    <row r="62794" spans="10:10" x14ac:dyDescent="0.3">
      <c r="J62794"/>
    </row>
    <row r="62795" spans="10:10" x14ac:dyDescent="0.3">
      <c r="J62795"/>
    </row>
    <row r="62796" spans="10:10" x14ac:dyDescent="0.3">
      <c r="J62796"/>
    </row>
    <row r="62797" spans="10:10" x14ac:dyDescent="0.3">
      <c r="J62797"/>
    </row>
    <row r="62798" spans="10:10" x14ac:dyDescent="0.3">
      <c r="J62798"/>
    </row>
    <row r="62799" spans="10:10" x14ac:dyDescent="0.3">
      <c r="J62799"/>
    </row>
    <row r="62800" spans="10:10" x14ac:dyDescent="0.3">
      <c r="J62800"/>
    </row>
    <row r="62801" spans="10:10" x14ac:dyDescent="0.3">
      <c r="J62801"/>
    </row>
    <row r="62802" spans="10:10" x14ac:dyDescent="0.3">
      <c r="J62802"/>
    </row>
    <row r="62803" spans="10:10" x14ac:dyDescent="0.3">
      <c r="J62803"/>
    </row>
    <row r="62804" spans="10:10" x14ac:dyDescent="0.3">
      <c r="J62804"/>
    </row>
    <row r="62805" spans="10:10" x14ac:dyDescent="0.3">
      <c r="J62805"/>
    </row>
    <row r="62806" spans="10:10" x14ac:dyDescent="0.3">
      <c r="J62806"/>
    </row>
    <row r="62807" spans="10:10" x14ac:dyDescent="0.3">
      <c r="J62807"/>
    </row>
    <row r="62808" spans="10:10" x14ac:dyDescent="0.3">
      <c r="J62808"/>
    </row>
    <row r="62809" spans="10:10" x14ac:dyDescent="0.3">
      <c r="J62809"/>
    </row>
    <row r="62810" spans="10:10" x14ac:dyDescent="0.3">
      <c r="J62810"/>
    </row>
    <row r="62811" spans="10:10" x14ac:dyDescent="0.3">
      <c r="J62811"/>
    </row>
    <row r="62812" spans="10:10" x14ac:dyDescent="0.3">
      <c r="J62812"/>
    </row>
    <row r="62813" spans="10:10" x14ac:dyDescent="0.3">
      <c r="J62813"/>
    </row>
    <row r="62814" spans="10:10" x14ac:dyDescent="0.3">
      <c r="J62814"/>
    </row>
    <row r="62815" spans="10:10" x14ac:dyDescent="0.3">
      <c r="J62815"/>
    </row>
    <row r="62816" spans="10:10" x14ac:dyDescent="0.3">
      <c r="J62816"/>
    </row>
    <row r="62817" spans="10:10" x14ac:dyDescent="0.3">
      <c r="J62817"/>
    </row>
    <row r="62818" spans="10:10" x14ac:dyDescent="0.3">
      <c r="J62818"/>
    </row>
    <row r="62819" spans="10:10" x14ac:dyDescent="0.3">
      <c r="J62819"/>
    </row>
    <row r="62820" spans="10:10" x14ac:dyDescent="0.3">
      <c r="J62820"/>
    </row>
    <row r="62821" spans="10:10" x14ac:dyDescent="0.3">
      <c r="J62821"/>
    </row>
    <row r="62822" spans="10:10" x14ac:dyDescent="0.3">
      <c r="J62822"/>
    </row>
    <row r="62823" spans="10:10" x14ac:dyDescent="0.3">
      <c r="J62823"/>
    </row>
    <row r="62824" spans="10:10" x14ac:dyDescent="0.3">
      <c r="J62824"/>
    </row>
    <row r="62825" spans="10:10" x14ac:dyDescent="0.3">
      <c r="J62825"/>
    </row>
    <row r="62826" spans="10:10" x14ac:dyDescent="0.3">
      <c r="J62826"/>
    </row>
    <row r="62827" spans="10:10" x14ac:dyDescent="0.3">
      <c r="J62827"/>
    </row>
    <row r="62828" spans="10:10" x14ac:dyDescent="0.3">
      <c r="J62828"/>
    </row>
    <row r="62829" spans="10:10" x14ac:dyDescent="0.3">
      <c r="J62829"/>
    </row>
    <row r="62830" spans="10:10" x14ac:dyDescent="0.3">
      <c r="J62830"/>
    </row>
    <row r="62831" spans="10:10" x14ac:dyDescent="0.3">
      <c r="J62831"/>
    </row>
    <row r="62832" spans="10:10" x14ac:dyDescent="0.3">
      <c r="J62832"/>
    </row>
    <row r="62833" spans="10:10" x14ac:dyDescent="0.3">
      <c r="J62833"/>
    </row>
    <row r="62834" spans="10:10" x14ac:dyDescent="0.3">
      <c r="J62834"/>
    </row>
    <row r="62835" spans="10:10" x14ac:dyDescent="0.3">
      <c r="J62835"/>
    </row>
    <row r="62836" spans="10:10" x14ac:dyDescent="0.3">
      <c r="J62836"/>
    </row>
    <row r="62837" spans="10:10" x14ac:dyDescent="0.3">
      <c r="J62837"/>
    </row>
    <row r="62838" spans="10:10" x14ac:dyDescent="0.3">
      <c r="J62838"/>
    </row>
    <row r="62839" spans="10:10" x14ac:dyDescent="0.3">
      <c r="J62839"/>
    </row>
    <row r="62840" spans="10:10" x14ac:dyDescent="0.3">
      <c r="J62840"/>
    </row>
    <row r="62841" spans="10:10" x14ac:dyDescent="0.3">
      <c r="J62841"/>
    </row>
    <row r="62842" spans="10:10" x14ac:dyDescent="0.3">
      <c r="J62842"/>
    </row>
    <row r="62843" spans="10:10" x14ac:dyDescent="0.3">
      <c r="J62843"/>
    </row>
    <row r="62844" spans="10:10" x14ac:dyDescent="0.3">
      <c r="J62844"/>
    </row>
    <row r="62845" spans="10:10" x14ac:dyDescent="0.3">
      <c r="J62845"/>
    </row>
    <row r="62846" spans="10:10" x14ac:dyDescent="0.3">
      <c r="J62846"/>
    </row>
    <row r="62847" spans="10:10" x14ac:dyDescent="0.3">
      <c r="J62847"/>
    </row>
    <row r="62848" spans="10:10" x14ac:dyDescent="0.3">
      <c r="J62848"/>
    </row>
    <row r="62849" spans="10:10" x14ac:dyDescent="0.3">
      <c r="J62849"/>
    </row>
    <row r="62850" spans="10:10" x14ac:dyDescent="0.3">
      <c r="J62850"/>
    </row>
    <row r="62851" spans="10:10" x14ac:dyDescent="0.3">
      <c r="J62851"/>
    </row>
    <row r="62852" spans="10:10" x14ac:dyDescent="0.3">
      <c r="J62852"/>
    </row>
    <row r="62853" spans="10:10" x14ac:dyDescent="0.3">
      <c r="J62853"/>
    </row>
    <row r="62854" spans="10:10" x14ac:dyDescent="0.3">
      <c r="J62854"/>
    </row>
    <row r="62855" spans="10:10" x14ac:dyDescent="0.3">
      <c r="J62855"/>
    </row>
    <row r="62856" spans="10:10" x14ac:dyDescent="0.3">
      <c r="J62856"/>
    </row>
    <row r="62857" spans="10:10" x14ac:dyDescent="0.3">
      <c r="J62857"/>
    </row>
    <row r="62858" spans="10:10" x14ac:dyDescent="0.3">
      <c r="J62858"/>
    </row>
    <row r="62859" spans="10:10" x14ac:dyDescent="0.3">
      <c r="J62859"/>
    </row>
    <row r="62860" spans="10:10" x14ac:dyDescent="0.3">
      <c r="J62860"/>
    </row>
    <row r="62861" spans="10:10" x14ac:dyDescent="0.3">
      <c r="J62861"/>
    </row>
    <row r="62862" spans="10:10" x14ac:dyDescent="0.3">
      <c r="J62862"/>
    </row>
    <row r="62863" spans="10:10" x14ac:dyDescent="0.3">
      <c r="J62863"/>
    </row>
    <row r="62864" spans="10:10" x14ac:dyDescent="0.3">
      <c r="J62864"/>
    </row>
    <row r="62865" spans="10:10" x14ac:dyDescent="0.3">
      <c r="J62865"/>
    </row>
    <row r="62866" spans="10:10" x14ac:dyDescent="0.3">
      <c r="J62866"/>
    </row>
    <row r="62867" spans="10:10" x14ac:dyDescent="0.3">
      <c r="J62867"/>
    </row>
    <row r="62868" spans="10:10" x14ac:dyDescent="0.3">
      <c r="J62868"/>
    </row>
    <row r="62869" spans="10:10" x14ac:dyDescent="0.3">
      <c r="J62869"/>
    </row>
    <row r="62870" spans="10:10" x14ac:dyDescent="0.3">
      <c r="J62870"/>
    </row>
    <row r="62871" spans="10:10" x14ac:dyDescent="0.3">
      <c r="J62871"/>
    </row>
    <row r="62872" spans="10:10" x14ac:dyDescent="0.3">
      <c r="J62872"/>
    </row>
    <row r="62873" spans="10:10" x14ac:dyDescent="0.3">
      <c r="J62873"/>
    </row>
    <row r="62874" spans="10:10" x14ac:dyDescent="0.3">
      <c r="J62874"/>
    </row>
    <row r="62875" spans="10:10" x14ac:dyDescent="0.3">
      <c r="J62875"/>
    </row>
    <row r="62876" spans="10:10" x14ac:dyDescent="0.3">
      <c r="J62876"/>
    </row>
    <row r="62877" spans="10:10" x14ac:dyDescent="0.3">
      <c r="J62877"/>
    </row>
    <row r="62878" spans="10:10" x14ac:dyDescent="0.3">
      <c r="J62878"/>
    </row>
    <row r="62879" spans="10:10" x14ac:dyDescent="0.3">
      <c r="J62879"/>
    </row>
    <row r="62880" spans="10:10" x14ac:dyDescent="0.3">
      <c r="J62880"/>
    </row>
    <row r="62881" spans="10:10" x14ac:dyDescent="0.3">
      <c r="J62881"/>
    </row>
    <row r="62882" spans="10:10" x14ac:dyDescent="0.3">
      <c r="J62882"/>
    </row>
    <row r="62883" spans="10:10" x14ac:dyDescent="0.3">
      <c r="J62883"/>
    </row>
    <row r="62884" spans="10:10" x14ac:dyDescent="0.3">
      <c r="J62884"/>
    </row>
    <row r="62885" spans="10:10" x14ac:dyDescent="0.3">
      <c r="J62885"/>
    </row>
    <row r="62886" spans="10:10" x14ac:dyDescent="0.3">
      <c r="J62886"/>
    </row>
    <row r="62887" spans="10:10" x14ac:dyDescent="0.3">
      <c r="J62887"/>
    </row>
    <row r="62888" spans="10:10" x14ac:dyDescent="0.3">
      <c r="J62888"/>
    </row>
    <row r="62889" spans="10:10" x14ac:dyDescent="0.3">
      <c r="J62889"/>
    </row>
    <row r="62890" spans="10:10" x14ac:dyDescent="0.3">
      <c r="J62890"/>
    </row>
    <row r="62891" spans="10:10" x14ac:dyDescent="0.3">
      <c r="J62891"/>
    </row>
    <row r="62892" spans="10:10" x14ac:dyDescent="0.3">
      <c r="J62892"/>
    </row>
    <row r="62893" spans="10:10" x14ac:dyDescent="0.3">
      <c r="J62893"/>
    </row>
    <row r="62894" spans="10:10" x14ac:dyDescent="0.3">
      <c r="J62894"/>
    </row>
    <row r="62895" spans="10:10" x14ac:dyDescent="0.3">
      <c r="J62895"/>
    </row>
    <row r="62896" spans="10:10" x14ac:dyDescent="0.3">
      <c r="J62896"/>
    </row>
    <row r="62897" spans="10:10" x14ac:dyDescent="0.3">
      <c r="J62897"/>
    </row>
    <row r="62898" spans="10:10" x14ac:dyDescent="0.3">
      <c r="J62898"/>
    </row>
    <row r="62899" spans="10:10" x14ac:dyDescent="0.3">
      <c r="J62899"/>
    </row>
    <row r="62900" spans="10:10" x14ac:dyDescent="0.3">
      <c r="J62900"/>
    </row>
    <row r="62901" spans="10:10" x14ac:dyDescent="0.3">
      <c r="J62901"/>
    </row>
    <row r="62902" spans="10:10" x14ac:dyDescent="0.3">
      <c r="J62902"/>
    </row>
    <row r="62903" spans="10:10" x14ac:dyDescent="0.3">
      <c r="J62903"/>
    </row>
    <row r="62904" spans="10:10" x14ac:dyDescent="0.3">
      <c r="J62904"/>
    </row>
    <row r="62905" spans="10:10" x14ac:dyDescent="0.3">
      <c r="J62905"/>
    </row>
    <row r="62906" spans="10:10" x14ac:dyDescent="0.3">
      <c r="J62906"/>
    </row>
    <row r="62907" spans="10:10" x14ac:dyDescent="0.3">
      <c r="J62907"/>
    </row>
    <row r="62908" spans="10:10" x14ac:dyDescent="0.3">
      <c r="J62908"/>
    </row>
    <row r="62909" spans="10:10" x14ac:dyDescent="0.3">
      <c r="J62909"/>
    </row>
    <row r="62910" spans="10:10" x14ac:dyDescent="0.3">
      <c r="J62910"/>
    </row>
    <row r="62911" spans="10:10" x14ac:dyDescent="0.3">
      <c r="J62911"/>
    </row>
    <row r="62912" spans="10:10" x14ac:dyDescent="0.3">
      <c r="J62912"/>
    </row>
    <row r="62913" spans="10:10" x14ac:dyDescent="0.3">
      <c r="J62913"/>
    </row>
    <row r="62914" spans="10:10" x14ac:dyDescent="0.3">
      <c r="J62914"/>
    </row>
    <row r="62915" spans="10:10" x14ac:dyDescent="0.3">
      <c r="J62915"/>
    </row>
    <row r="62916" spans="10:10" x14ac:dyDescent="0.3">
      <c r="J62916"/>
    </row>
    <row r="62917" spans="10:10" x14ac:dyDescent="0.3">
      <c r="J62917"/>
    </row>
    <row r="62918" spans="10:10" x14ac:dyDescent="0.3">
      <c r="J62918"/>
    </row>
    <row r="62919" spans="10:10" x14ac:dyDescent="0.3">
      <c r="J62919"/>
    </row>
    <row r="62920" spans="10:10" x14ac:dyDescent="0.3">
      <c r="J62920"/>
    </row>
    <row r="62921" spans="10:10" x14ac:dyDescent="0.3">
      <c r="J62921"/>
    </row>
    <row r="62922" spans="10:10" x14ac:dyDescent="0.3">
      <c r="J62922"/>
    </row>
    <row r="62923" spans="10:10" x14ac:dyDescent="0.3">
      <c r="J62923"/>
    </row>
    <row r="62924" spans="10:10" x14ac:dyDescent="0.3">
      <c r="J62924"/>
    </row>
    <row r="62925" spans="10:10" x14ac:dyDescent="0.3">
      <c r="J62925"/>
    </row>
    <row r="62926" spans="10:10" x14ac:dyDescent="0.3">
      <c r="J62926"/>
    </row>
    <row r="62927" spans="10:10" x14ac:dyDescent="0.3">
      <c r="J62927"/>
    </row>
    <row r="62928" spans="10:10" x14ac:dyDescent="0.3">
      <c r="J62928"/>
    </row>
    <row r="62929" spans="10:10" x14ac:dyDescent="0.3">
      <c r="J62929"/>
    </row>
    <row r="62930" spans="10:10" x14ac:dyDescent="0.3">
      <c r="J62930"/>
    </row>
    <row r="62931" spans="10:10" x14ac:dyDescent="0.3">
      <c r="J62931"/>
    </row>
    <row r="62932" spans="10:10" x14ac:dyDescent="0.3">
      <c r="J62932"/>
    </row>
    <row r="62933" spans="10:10" x14ac:dyDescent="0.3">
      <c r="J62933"/>
    </row>
    <row r="62934" spans="10:10" x14ac:dyDescent="0.3">
      <c r="J62934"/>
    </row>
    <row r="62935" spans="10:10" x14ac:dyDescent="0.3">
      <c r="J62935"/>
    </row>
    <row r="62936" spans="10:10" x14ac:dyDescent="0.3">
      <c r="J62936"/>
    </row>
    <row r="62937" spans="10:10" x14ac:dyDescent="0.3">
      <c r="J62937"/>
    </row>
    <row r="62938" spans="10:10" x14ac:dyDescent="0.3">
      <c r="J62938"/>
    </row>
    <row r="62939" spans="10:10" x14ac:dyDescent="0.3">
      <c r="J62939"/>
    </row>
    <row r="62940" spans="10:10" x14ac:dyDescent="0.3">
      <c r="J62940"/>
    </row>
    <row r="62941" spans="10:10" x14ac:dyDescent="0.3">
      <c r="J62941"/>
    </row>
    <row r="62942" spans="10:10" x14ac:dyDescent="0.3">
      <c r="J62942"/>
    </row>
    <row r="62943" spans="10:10" x14ac:dyDescent="0.3">
      <c r="J62943"/>
    </row>
    <row r="62944" spans="10:10" x14ac:dyDescent="0.3">
      <c r="J62944"/>
    </row>
    <row r="62945" spans="10:10" x14ac:dyDescent="0.3">
      <c r="J62945"/>
    </row>
    <row r="62946" spans="10:10" x14ac:dyDescent="0.3">
      <c r="J62946"/>
    </row>
    <row r="62947" spans="10:10" x14ac:dyDescent="0.3">
      <c r="J62947"/>
    </row>
    <row r="62948" spans="10:10" x14ac:dyDescent="0.3">
      <c r="J62948"/>
    </row>
    <row r="62949" spans="10:10" x14ac:dyDescent="0.3">
      <c r="J62949"/>
    </row>
    <row r="62950" spans="10:10" x14ac:dyDescent="0.3">
      <c r="J62950"/>
    </row>
    <row r="62951" spans="10:10" x14ac:dyDescent="0.3">
      <c r="J62951"/>
    </row>
    <row r="62952" spans="10:10" x14ac:dyDescent="0.3">
      <c r="J62952"/>
    </row>
    <row r="62953" spans="10:10" x14ac:dyDescent="0.3">
      <c r="J62953"/>
    </row>
    <row r="62954" spans="10:10" x14ac:dyDescent="0.3">
      <c r="J62954"/>
    </row>
    <row r="62955" spans="10:10" x14ac:dyDescent="0.3">
      <c r="J62955"/>
    </row>
    <row r="62956" spans="10:10" x14ac:dyDescent="0.3">
      <c r="J62956"/>
    </row>
    <row r="62957" spans="10:10" x14ac:dyDescent="0.3">
      <c r="J62957"/>
    </row>
    <row r="62958" spans="10:10" x14ac:dyDescent="0.3">
      <c r="J62958"/>
    </row>
    <row r="62959" spans="10:10" x14ac:dyDescent="0.3">
      <c r="J62959"/>
    </row>
    <row r="62960" spans="10:10" x14ac:dyDescent="0.3">
      <c r="J62960"/>
    </row>
    <row r="62961" spans="10:10" x14ac:dyDescent="0.3">
      <c r="J62961"/>
    </row>
    <row r="62962" spans="10:10" x14ac:dyDescent="0.3">
      <c r="J62962"/>
    </row>
    <row r="62963" spans="10:10" x14ac:dyDescent="0.3">
      <c r="J62963"/>
    </row>
    <row r="62964" spans="10:10" x14ac:dyDescent="0.3">
      <c r="J62964"/>
    </row>
    <row r="62965" spans="10:10" x14ac:dyDescent="0.3">
      <c r="J62965"/>
    </row>
    <row r="62966" spans="10:10" x14ac:dyDescent="0.3">
      <c r="J62966"/>
    </row>
    <row r="62967" spans="10:10" x14ac:dyDescent="0.3">
      <c r="J62967"/>
    </row>
    <row r="62968" spans="10:10" x14ac:dyDescent="0.3">
      <c r="J62968"/>
    </row>
    <row r="62969" spans="10:10" x14ac:dyDescent="0.3">
      <c r="J62969"/>
    </row>
    <row r="62970" spans="10:10" x14ac:dyDescent="0.3">
      <c r="J62970"/>
    </row>
    <row r="62971" spans="10:10" x14ac:dyDescent="0.3">
      <c r="J62971"/>
    </row>
    <row r="62972" spans="10:10" x14ac:dyDescent="0.3">
      <c r="J62972"/>
    </row>
    <row r="62973" spans="10:10" x14ac:dyDescent="0.3">
      <c r="J62973"/>
    </row>
    <row r="62974" spans="10:10" x14ac:dyDescent="0.3">
      <c r="J62974"/>
    </row>
    <row r="62975" spans="10:10" x14ac:dyDescent="0.3">
      <c r="J62975"/>
    </row>
    <row r="62976" spans="10:10" x14ac:dyDescent="0.3">
      <c r="J62976"/>
    </row>
    <row r="62977" spans="10:10" x14ac:dyDescent="0.3">
      <c r="J62977"/>
    </row>
    <row r="62978" spans="10:10" x14ac:dyDescent="0.3">
      <c r="J62978"/>
    </row>
    <row r="62979" spans="10:10" x14ac:dyDescent="0.3">
      <c r="J62979"/>
    </row>
    <row r="62980" spans="10:10" x14ac:dyDescent="0.3">
      <c r="J62980"/>
    </row>
    <row r="62981" spans="10:10" x14ac:dyDescent="0.3">
      <c r="J62981"/>
    </row>
    <row r="62982" spans="10:10" x14ac:dyDescent="0.3">
      <c r="J62982"/>
    </row>
    <row r="62983" spans="10:10" x14ac:dyDescent="0.3">
      <c r="J62983"/>
    </row>
    <row r="62984" spans="10:10" x14ac:dyDescent="0.3">
      <c r="J62984"/>
    </row>
    <row r="62985" spans="10:10" x14ac:dyDescent="0.3">
      <c r="J62985"/>
    </row>
    <row r="62986" spans="10:10" x14ac:dyDescent="0.3">
      <c r="J62986"/>
    </row>
    <row r="62987" spans="10:10" x14ac:dyDescent="0.3">
      <c r="J62987"/>
    </row>
    <row r="62988" spans="10:10" x14ac:dyDescent="0.3">
      <c r="J62988"/>
    </row>
    <row r="62989" spans="10:10" x14ac:dyDescent="0.3">
      <c r="J62989"/>
    </row>
    <row r="62990" spans="10:10" x14ac:dyDescent="0.3">
      <c r="J62990"/>
    </row>
    <row r="62991" spans="10:10" x14ac:dyDescent="0.3">
      <c r="J62991"/>
    </row>
    <row r="62992" spans="10:10" x14ac:dyDescent="0.3">
      <c r="J62992"/>
    </row>
    <row r="62993" spans="10:10" x14ac:dyDescent="0.3">
      <c r="J62993"/>
    </row>
    <row r="62994" spans="10:10" x14ac:dyDescent="0.3">
      <c r="J62994"/>
    </row>
    <row r="62995" spans="10:10" x14ac:dyDescent="0.3">
      <c r="J62995"/>
    </row>
    <row r="62996" spans="10:10" x14ac:dyDescent="0.3">
      <c r="J62996"/>
    </row>
    <row r="62997" spans="10:10" x14ac:dyDescent="0.3">
      <c r="J62997"/>
    </row>
    <row r="62998" spans="10:10" x14ac:dyDescent="0.3">
      <c r="J62998"/>
    </row>
    <row r="62999" spans="10:10" x14ac:dyDescent="0.3">
      <c r="J62999"/>
    </row>
    <row r="63000" spans="10:10" x14ac:dyDescent="0.3">
      <c r="J63000"/>
    </row>
    <row r="63001" spans="10:10" x14ac:dyDescent="0.3">
      <c r="J63001"/>
    </row>
    <row r="63002" spans="10:10" x14ac:dyDescent="0.3">
      <c r="J63002"/>
    </row>
    <row r="63003" spans="10:10" x14ac:dyDescent="0.3">
      <c r="J63003"/>
    </row>
    <row r="63004" spans="10:10" x14ac:dyDescent="0.3">
      <c r="J63004"/>
    </row>
    <row r="63005" spans="10:10" x14ac:dyDescent="0.3">
      <c r="J63005"/>
    </row>
    <row r="63006" spans="10:10" x14ac:dyDescent="0.3">
      <c r="J63006"/>
    </row>
    <row r="63007" spans="10:10" x14ac:dyDescent="0.3">
      <c r="J63007"/>
    </row>
    <row r="63008" spans="10:10" x14ac:dyDescent="0.3">
      <c r="J63008"/>
    </row>
    <row r="63009" spans="10:10" x14ac:dyDescent="0.3">
      <c r="J63009"/>
    </row>
    <row r="63010" spans="10:10" x14ac:dyDescent="0.3">
      <c r="J63010"/>
    </row>
    <row r="63011" spans="10:10" x14ac:dyDescent="0.3">
      <c r="J63011"/>
    </row>
    <row r="63012" spans="10:10" x14ac:dyDescent="0.3">
      <c r="J63012"/>
    </row>
    <row r="63013" spans="10:10" x14ac:dyDescent="0.3">
      <c r="J63013"/>
    </row>
    <row r="63014" spans="10:10" x14ac:dyDescent="0.3">
      <c r="J63014"/>
    </row>
    <row r="63015" spans="10:10" x14ac:dyDescent="0.3">
      <c r="J63015"/>
    </row>
    <row r="63016" spans="10:10" x14ac:dyDescent="0.3">
      <c r="J63016"/>
    </row>
    <row r="63017" spans="10:10" x14ac:dyDescent="0.3">
      <c r="J63017"/>
    </row>
    <row r="63018" spans="10:10" x14ac:dyDescent="0.3">
      <c r="J63018"/>
    </row>
    <row r="63019" spans="10:10" x14ac:dyDescent="0.3">
      <c r="J63019"/>
    </row>
    <row r="63020" spans="10:10" x14ac:dyDescent="0.3">
      <c r="J63020"/>
    </row>
    <row r="63021" spans="10:10" x14ac:dyDescent="0.3">
      <c r="J63021"/>
    </row>
    <row r="63022" spans="10:10" x14ac:dyDescent="0.3">
      <c r="J63022"/>
    </row>
    <row r="63023" spans="10:10" x14ac:dyDescent="0.3">
      <c r="J63023"/>
    </row>
    <row r="63024" spans="10:10" x14ac:dyDescent="0.3">
      <c r="J63024"/>
    </row>
    <row r="63025" spans="10:10" x14ac:dyDescent="0.3">
      <c r="J63025"/>
    </row>
    <row r="63026" spans="10:10" x14ac:dyDescent="0.3">
      <c r="J63026"/>
    </row>
    <row r="63027" spans="10:10" x14ac:dyDescent="0.3">
      <c r="J63027"/>
    </row>
    <row r="63028" spans="10:10" x14ac:dyDescent="0.3">
      <c r="J63028"/>
    </row>
    <row r="63029" spans="10:10" x14ac:dyDescent="0.3">
      <c r="J63029"/>
    </row>
    <row r="63030" spans="10:10" x14ac:dyDescent="0.3">
      <c r="J63030"/>
    </row>
    <row r="63031" spans="10:10" x14ac:dyDescent="0.3">
      <c r="J63031"/>
    </row>
    <row r="63032" spans="10:10" x14ac:dyDescent="0.3">
      <c r="J63032"/>
    </row>
    <row r="63033" spans="10:10" x14ac:dyDescent="0.3">
      <c r="J63033"/>
    </row>
    <row r="63034" spans="10:10" x14ac:dyDescent="0.3">
      <c r="J63034"/>
    </row>
    <row r="63035" spans="10:10" x14ac:dyDescent="0.3">
      <c r="J63035"/>
    </row>
    <row r="63036" spans="10:10" x14ac:dyDescent="0.3">
      <c r="J63036"/>
    </row>
    <row r="63037" spans="10:10" x14ac:dyDescent="0.3">
      <c r="J63037"/>
    </row>
    <row r="63038" spans="10:10" x14ac:dyDescent="0.3">
      <c r="J63038"/>
    </row>
    <row r="63039" spans="10:10" x14ac:dyDescent="0.3">
      <c r="J63039"/>
    </row>
    <row r="63040" spans="10:10" x14ac:dyDescent="0.3">
      <c r="J63040"/>
    </row>
    <row r="63041" spans="10:10" x14ac:dyDescent="0.3">
      <c r="J63041"/>
    </row>
    <row r="63042" spans="10:10" x14ac:dyDescent="0.3">
      <c r="J63042"/>
    </row>
    <row r="63043" spans="10:10" x14ac:dyDescent="0.3">
      <c r="J63043"/>
    </row>
    <row r="63044" spans="10:10" x14ac:dyDescent="0.3">
      <c r="J63044"/>
    </row>
    <row r="63045" spans="10:10" x14ac:dyDescent="0.3">
      <c r="J63045"/>
    </row>
    <row r="63046" spans="10:10" x14ac:dyDescent="0.3">
      <c r="J63046"/>
    </row>
    <row r="63047" spans="10:10" x14ac:dyDescent="0.3">
      <c r="J63047"/>
    </row>
    <row r="63048" spans="10:10" x14ac:dyDescent="0.3">
      <c r="J63048"/>
    </row>
    <row r="63049" spans="10:10" x14ac:dyDescent="0.3">
      <c r="J63049"/>
    </row>
    <row r="63050" spans="10:10" x14ac:dyDescent="0.3">
      <c r="J63050"/>
    </row>
    <row r="63051" spans="10:10" x14ac:dyDescent="0.3">
      <c r="J63051"/>
    </row>
    <row r="63052" spans="10:10" x14ac:dyDescent="0.3">
      <c r="J63052"/>
    </row>
    <row r="63053" spans="10:10" x14ac:dyDescent="0.3">
      <c r="J63053"/>
    </row>
    <row r="63054" spans="10:10" x14ac:dyDescent="0.3">
      <c r="J63054"/>
    </row>
    <row r="63055" spans="10:10" x14ac:dyDescent="0.3">
      <c r="J63055"/>
    </row>
    <row r="63056" spans="10:10" x14ac:dyDescent="0.3">
      <c r="J63056"/>
    </row>
    <row r="63057" spans="10:10" x14ac:dyDescent="0.3">
      <c r="J63057"/>
    </row>
    <row r="63058" spans="10:10" x14ac:dyDescent="0.3">
      <c r="J63058"/>
    </row>
    <row r="63059" spans="10:10" x14ac:dyDescent="0.3">
      <c r="J63059"/>
    </row>
    <row r="63060" spans="10:10" x14ac:dyDescent="0.3">
      <c r="J63060"/>
    </row>
    <row r="63061" spans="10:10" x14ac:dyDescent="0.3">
      <c r="J63061"/>
    </row>
    <row r="63062" spans="10:10" x14ac:dyDescent="0.3">
      <c r="J63062"/>
    </row>
    <row r="63063" spans="10:10" x14ac:dyDescent="0.3">
      <c r="J63063"/>
    </row>
    <row r="63064" spans="10:10" x14ac:dyDescent="0.3">
      <c r="J63064"/>
    </row>
    <row r="63065" spans="10:10" x14ac:dyDescent="0.3">
      <c r="J63065"/>
    </row>
    <row r="63066" spans="10:10" x14ac:dyDescent="0.3">
      <c r="J63066"/>
    </row>
    <row r="63067" spans="10:10" x14ac:dyDescent="0.3">
      <c r="J63067"/>
    </row>
    <row r="63068" spans="10:10" x14ac:dyDescent="0.3">
      <c r="J63068"/>
    </row>
    <row r="63069" spans="10:10" x14ac:dyDescent="0.3">
      <c r="J63069"/>
    </row>
    <row r="63070" spans="10:10" x14ac:dyDescent="0.3">
      <c r="J63070"/>
    </row>
    <row r="63071" spans="10:10" x14ac:dyDescent="0.3">
      <c r="J63071"/>
    </row>
    <row r="63072" spans="10:10" x14ac:dyDescent="0.3">
      <c r="J63072"/>
    </row>
    <row r="63073" spans="10:10" x14ac:dyDescent="0.3">
      <c r="J63073"/>
    </row>
    <row r="63074" spans="10:10" x14ac:dyDescent="0.3">
      <c r="J63074"/>
    </row>
    <row r="63075" spans="10:10" x14ac:dyDescent="0.3">
      <c r="J63075"/>
    </row>
    <row r="63076" spans="10:10" x14ac:dyDescent="0.3">
      <c r="J63076"/>
    </row>
    <row r="63077" spans="10:10" x14ac:dyDescent="0.3">
      <c r="J63077"/>
    </row>
    <row r="63078" spans="10:10" x14ac:dyDescent="0.3">
      <c r="J63078"/>
    </row>
    <row r="63079" spans="10:10" x14ac:dyDescent="0.3">
      <c r="J63079"/>
    </row>
    <row r="63080" spans="10:10" x14ac:dyDescent="0.3">
      <c r="J63080"/>
    </row>
    <row r="63081" spans="10:10" x14ac:dyDescent="0.3">
      <c r="J63081"/>
    </row>
    <row r="63082" spans="10:10" x14ac:dyDescent="0.3">
      <c r="J63082"/>
    </row>
    <row r="63083" spans="10:10" x14ac:dyDescent="0.3">
      <c r="J63083"/>
    </row>
    <row r="63084" spans="10:10" x14ac:dyDescent="0.3">
      <c r="J63084"/>
    </row>
    <row r="63085" spans="10:10" x14ac:dyDescent="0.3">
      <c r="J63085"/>
    </row>
    <row r="63086" spans="10:10" x14ac:dyDescent="0.3">
      <c r="J63086"/>
    </row>
    <row r="63087" spans="10:10" x14ac:dyDescent="0.3">
      <c r="J63087"/>
    </row>
    <row r="63088" spans="10:10" x14ac:dyDescent="0.3">
      <c r="J63088"/>
    </row>
    <row r="63089" spans="10:10" x14ac:dyDescent="0.3">
      <c r="J63089"/>
    </row>
    <row r="63090" spans="10:10" x14ac:dyDescent="0.3">
      <c r="J63090"/>
    </row>
    <row r="63091" spans="10:10" x14ac:dyDescent="0.3">
      <c r="J63091"/>
    </row>
    <row r="63092" spans="10:10" x14ac:dyDescent="0.3">
      <c r="J63092"/>
    </row>
    <row r="63093" spans="10:10" x14ac:dyDescent="0.3">
      <c r="J63093"/>
    </row>
    <row r="63094" spans="10:10" x14ac:dyDescent="0.3">
      <c r="J63094"/>
    </row>
    <row r="63095" spans="10:10" x14ac:dyDescent="0.3">
      <c r="J63095"/>
    </row>
    <row r="63096" spans="10:10" x14ac:dyDescent="0.3">
      <c r="J63096"/>
    </row>
    <row r="63097" spans="10:10" x14ac:dyDescent="0.3">
      <c r="J63097"/>
    </row>
    <row r="63098" spans="10:10" x14ac:dyDescent="0.3">
      <c r="J63098"/>
    </row>
    <row r="63099" spans="10:10" x14ac:dyDescent="0.3">
      <c r="J63099"/>
    </row>
    <row r="63100" spans="10:10" x14ac:dyDescent="0.3">
      <c r="J63100"/>
    </row>
    <row r="63101" spans="10:10" x14ac:dyDescent="0.3">
      <c r="J63101"/>
    </row>
    <row r="63102" spans="10:10" x14ac:dyDescent="0.3">
      <c r="J63102"/>
    </row>
    <row r="63103" spans="10:10" x14ac:dyDescent="0.3">
      <c r="J63103"/>
    </row>
    <row r="63104" spans="10:10" x14ac:dyDescent="0.3">
      <c r="J63104"/>
    </row>
    <row r="63105" spans="10:10" x14ac:dyDescent="0.3">
      <c r="J63105"/>
    </row>
    <row r="63106" spans="10:10" x14ac:dyDescent="0.3">
      <c r="J63106"/>
    </row>
    <row r="63107" spans="10:10" x14ac:dyDescent="0.3">
      <c r="J63107"/>
    </row>
    <row r="63108" spans="10:10" x14ac:dyDescent="0.3">
      <c r="J63108"/>
    </row>
    <row r="63109" spans="10:10" x14ac:dyDescent="0.3">
      <c r="J63109"/>
    </row>
    <row r="63110" spans="10:10" x14ac:dyDescent="0.3">
      <c r="J63110"/>
    </row>
    <row r="63111" spans="10:10" x14ac:dyDescent="0.3">
      <c r="J63111"/>
    </row>
    <row r="63112" spans="10:10" x14ac:dyDescent="0.3">
      <c r="J63112"/>
    </row>
    <row r="63113" spans="10:10" x14ac:dyDescent="0.3">
      <c r="J63113"/>
    </row>
    <row r="63114" spans="10:10" x14ac:dyDescent="0.3">
      <c r="J63114"/>
    </row>
    <row r="63115" spans="10:10" x14ac:dyDescent="0.3">
      <c r="J63115"/>
    </row>
    <row r="63116" spans="10:10" x14ac:dyDescent="0.3">
      <c r="J63116"/>
    </row>
    <row r="63117" spans="10:10" x14ac:dyDescent="0.3">
      <c r="J63117"/>
    </row>
    <row r="63118" spans="10:10" x14ac:dyDescent="0.3">
      <c r="J63118"/>
    </row>
    <row r="63119" spans="10:10" x14ac:dyDescent="0.3">
      <c r="J63119"/>
    </row>
    <row r="63120" spans="10:10" x14ac:dyDescent="0.3">
      <c r="J63120"/>
    </row>
    <row r="63121" spans="10:10" x14ac:dyDescent="0.3">
      <c r="J63121"/>
    </row>
    <row r="63122" spans="10:10" x14ac:dyDescent="0.3">
      <c r="J63122"/>
    </row>
    <row r="63123" spans="10:10" x14ac:dyDescent="0.3">
      <c r="J63123"/>
    </row>
    <row r="63124" spans="10:10" x14ac:dyDescent="0.3">
      <c r="J63124"/>
    </row>
    <row r="63125" spans="10:10" x14ac:dyDescent="0.3">
      <c r="J63125"/>
    </row>
    <row r="63126" spans="10:10" x14ac:dyDescent="0.3">
      <c r="J63126"/>
    </row>
    <row r="63127" spans="10:10" x14ac:dyDescent="0.3">
      <c r="J63127"/>
    </row>
    <row r="63128" spans="10:10" x14ac:dyDescent="0.3">
      <c r="J63128"/>
    </row>
    <row r="63129" spans="10:10" x14ac:dyDescent="0.3">
      <c r="J63129"/>
    </row>
    <row r="63130" spans="10:10" x14ac:dyDescent="0.3">
      <c r="J63130"/>
    </row>
    <row r="63131" spans="10:10" x14ac:dyDescent="0.3">
      <c r="J63131"/>
    </row>
    <row r="63132" spans="10:10" x14ac:dyDescent="0.3">
      <c r="J63132"/>
    </row>
    <row r="63133" spans="10:10" x14ac:dyDescent="0.3">
      <c r="J63133"/>
    </row>
    <row r="63134" spans="10:10" x14ac:dyDescent="0.3">
      <c r="J63134"/>
    </row>
    <row r="63135" spans="10:10" x14ac:dyDescent="0.3">
      <c r="J63135"/>
    </row>
    <row r="63136" spans="10:10" x14ac:dyDescent="0.3">
      <c r="J63136"/>
    </row>
    <row r="63137" spans="10:10" x14ac:dyDescent="0.3">
      <c r="J63137"/>
    </row>
    <row r="63138" spans="10:10" x14ac:dyDescent="0.3">
      <c r="J63138"/>
    </row>
    <row r="63139" spans="10:10" x14ac:dyDescent="0.3">
      <c r="J63139"/>
    </row>
    <row r="63140" spans="10:10" x14ac:dyDescent="0.3">
      <c r="J63140"/>
    </row>
    <row r="63141" spans="10:10" x14ac:dyDescent="0.3">
      <c r="J63141"/>
    </row>
    <row r="63142" spans="10:10" x14ac:dyDescent="0.3">
      <c r="J63142"/>
    </row>
    <row r="63143" spans="10:10" x14ac:dyDescent="0.3">
      <c r="J63143"/>
    </row>
    <row r="63144" spans="10:10" x14ac:dyDescent="0.3">
      <c r="J63144"/>
    </row>
    <row r="63145" spans="10:10" x14ac:dyDescent="0.3">
      <c r="J63145"/>
    </row>
    <row r="63146" spans="10:10" x14ac:dyDescent="0.3">
      <c r="J63146"/>
    </row>
    <row r="63147" spans="10:10" x14ac:dyDescent="0.3">
      <c r="J63147"/>
    </row>
    <row r="63148" spans="10:10" x14ac:dyDescent="0.3">
      <c r="J63148"/>
    </row>
    <row r="63149" spans="10:10" x14ac:dyDescent="0.3">
      <c r="J63149"/>
    </row>
    <row r="63150" spans="10:10" x14ac:dyDescent="0.3">
      <c r="J63150"/>
    </row>
    <row r="63151" spans="10:10" x14ac:dyDescent="0.3">
      <c r="J63151"/>
    </row>
    <row r="63152" spans="10:10" x14ac:dyDescent="0.3">
      <c r="J63152"/>
    </row>
    <row r="63153" spans="10:10" x14ac:dyDescent="0.3">
      <c r="J63153"/>
    </row>
    <row r="63154" spans="10:10" x14ac:dyDescent="0.3">
      <c r="J63154"/>
    </row>
    <row r="63155" spans="10:10" x14ac:dyDescent="0.3">
      <c r="J63155"/>
    </row>
    <row r="63156" spans="10:10" x14ac:dyDescent="0.3">
      <c r="J63156"/>
    </row>
    <row r="63157" spans="10:10" x14ac:dyDescent="0.3">
      <c r="J63157"/>
    </row>
    <row r="63158" spans="10:10" x14ac:dyDescent="0.3">
      <c r="J63158"/>
    </row>
    <row r="63159" spans="10:10" x14ac:dyDescent="0.3">
      <c r="J63159"/>
    </row>
    <row r="63160" spans="10:10" x14ac:dyDescent="0.3">
      <c r="J63160"/>
    </row>
    <row r="63161" spans="10:10" x14ac:dyDescent="0.3">
      <c r="J63161"/>
    </row>
    <row r="63162" spans="10:10" x14ac:dyDescent="0.3">
      <c r="J63162"/>
    </row>
    <row r="63163" spans="10:10" x14ac:dyDescent="0.3">
      <c r="J63163"/>
    </row>
    <row r="63164" spans="10:10" x14ac:dyDescent="0.3">
      <c r="J63164"/>
    </row>
    <row r="63165" spans="10:10" x14ac:dyDescent="0.3">
      <c r="J63165"/>
    </row>
    <row r="63166" spans="10:10" x14ac:dyDescent="0.3">
      <c r="J63166"/>
    </row>
    <row r="63167" spans="10:10" x14ac:dyDescent="0.3">
      <c r="J63167"/>
    </row>
    <row r="63168" spans="10:10" x14ac:dyDescent="0.3">
      <c r="J63168"/>
    </row>
    <row r="63169" spans="10:10" x14ac:dyDescent="0.3">
      <c r="J63169"/>
    </row>
    <row r="63170" spans="10:10" x14ac:dyDescent="0.3">
      <c r="J63170"/>
    </row>
    <row r="63171" spans="10:10" x14ac:dyDescent="0.3">
      <c r="J63171"/>
    </row>
    <row r="63172" spans="10:10" x14ac:dyDescent="0.3">
      <c r="J63172"/>
    </row>
    <row r="63173" spans="10:10" x14ac:dyDescent="0.3">
      <c r="J63173"/>
    </row>
    <row r="63174" spans="10:10" x14ac:dyDescent="0.3">
      <c r="J63174"/>
    </row>
    <row r="63175" spans="10:10" x14ac:dyDescent="0.3">
      <c r="J63175"/>
    </row>
    <row r="63176" spans="10:10" x14ac:dyDescent="0.3">
      <c r="J63176"/>
    </row>
    <row r="63177" spans="10:10" x14ac:dyDescent="0.3">
      <c r="J63177"/>
    </row>
    <row r="63178" spans="10:10" x14ac:dyDescent="0.3">
      <c r="J63178"/>
    </row>
    <row r="63179" spans="10:10" x14ac:dyDescent="0.3">
      <c r="J63179"/>
    </row>
    <row r="63180" spans="10:10" x14ac:dyDescent="0.3">
      <c r="J63180"/>
    </row>
    <row r="63181" spans="10:10" x14ac:dyDescent="0.3">
      <c r="J63181"/>
    </row>
    <row r="63182" spans="10:10" x14ac:dyDescent="0.3">
      <c r="J63182"/>
    </row>
    <row r="63183" spans="10:10" x14ac:dyDescent="0.3">
      <c r="J63183"/>
    </row>
    <row r="63184" spans="10:10" x14ac:dyDescent="0.3">
      <c r="J63184"/>
    </row>
    <row r="63185" spans="10:10" x14ac:dyDescent="0.3">
      <c r="J63185"/>
    </row>
    <row r="63186" spans="10:10" x14ac:dyDescent="0.3">
      <c r="J63186"/>
    </row>
    <row r="63187" spans="10:10" x14ac:dyDescent="0.3">
      <c r="J63187"/>
    </row>
    <row r="63188" spans="10:10" x14ac:dyDescent="0.3">
      <c r="J63188"/>
    </row>
    <row r="63189" spans="10:10" x14ac:dyDescent="0.3">
      <c r="J63189"/>
    </row>
    <row r="63190" spans="10:10" x14ac:dyDescent="0.3">
      <c r="J63190"/>
    </row>
    <row r="63191" spans="10:10" x14ac:dyDescent="0.3">
      <c r="J63191"/>
    </row>
    <row r="63192" spans="10:10" x14ac:dyDescent="0.3">
      <c r="J63192"/>
    </row>
    <row r="63193" spans="10:10" x14ac:dyDescent="0.3">
      <c r="J63193"/>
    </row>
    <row r="63194" spans="10:10" x14ac:dyDescent="0.3">
      <c r="J63194"/>
    </row>
    <row r="63195" spans="10:10" x14ac:dyDescent="0.3">
      <c r="J63195"/>
    </row>
    <row r="63196" spans="10:10" x14ac:dyDescent="0.3">
      <c r="J63196"/>
    </row>
    <row r="63197" spans="10:10" x14ac:dyDescent="0.3">
      <c r="J63197"/>
    </row>
    <row r="63198" spans="10:10" x14ac:dyDescent="0.3">
      <c r="J63198"/>
    </row>
    <row r="63199" spans="10:10" x14ac:dyDescent="0.3">
      <c r="J63199"/>
    </row>
    <row r="63200" spans="10:10" x14ac:dyDescent="0.3">
      <c r="J63200"/>
    </row>
    <row r="63201" spans="10:10" x14ac:dyDescent="0.3">
      <c r="J63201"/>
    </row>
    <row r="63202" spans="10:10" x14ac:dyDescent="0.3">
      <c r="J63202"/>
    </row>
    <row r="63203" spans="10:10" x14ac:dyDescent="0.3">
      <c r="J63203"/>
    </row>
    <row r="63204" spans="10:10" x14ac:dyDescent="0.3">
      <c r="J63204"/>
    </row>
    <row r="63205" spans="10:10" x14ac:dyDescent="0.3">
      <c r="J63205"/>
    </row>
    <row r="63206" spans="10:10" x14ac:dyDescent="0.3">
      <c r="J63206"/>
    </row>
    <row r="63207" spans="10:10" x14ac:dyDescent="0.3">
      <c r="J63207"/>
    </row>
    <row r="63208" spans="10:10" x14ac:dyDescent="0.3">
      <c r="J63208"/>
    </row>
    <row r="63209" spans="10:10" x14ac:dyDescent="0.3">
      <c r="J63209"/>
    </row>
    <row r="63210" spans="10:10" x14ac:dyDescent="0.3">
      <c r="J63210"/>
    </row>
    <row r="63211" spans="10:10" x14ac:dyDescent="0.3">
      <c r="J63211"/>
    </row>
    <row r="63212" spans="10:10" x14ac:dyDescent="0.3">
      <c r="J63212"/>
    </row>
    <row r="63213" spans="10:10" x14ac:dyDescent="0.3">
      <c r="J63213"/>
    </row>
    <row r="63214" spans="10:10" x14ac:dyDescent="0.3">
      <c r="J63214"/>
    </row>
    <row r="63215" spans="10:10" x14ac:dyDescent="0.3">
      <c r="J63215"/>
    </row>
    <row r="63216" spans="10:10" x14ac:dyDescent="0.3">
      <c r="J63216"/>
    </row>
    <row r="63217" spans="10:10" x14ac:dyDescent="0.3">
      <c r="J63217"/>
    </row>
    <row r="63218" spans="10:10" x14ac:dyDescent="0.3">
      <c r="J63218"/>
    </row>
    <row r="63219" spans="10:10" x14ac:dyDescent="0.3">
      <c r="J63219"/>
    </row>
    <row r="63220" spans="10:10" x14ac:dyDescent="0.3">
      <c r="J63220"/>
    </row>
    <row r="63221" spans="10:10" x14ac:dyDescent="0.3">
      <c r="J63221"/>
    </row>
    <row r="63222" spans="10:10" x14ac:dyDescent="0.3">
      <c r="J63222"/>
    </row>
    <row r="63223" spans="10:10" x14ac:dyDescent="0.3">
      <c r="J63223"/>
    </row>
    <row r="63224" spans="10:10" x14ac:dyDescent="0.3">
      <c r="J63224"/>
    </row>
    <row r="63225" spans="10:10" x14ac:dyDescent="0.3">
      <c r="J63225"/>
    </row>
    <row r="63226" spans="10:10" x14ac:dyDescent="0.3">
      <c r="J63226"/>
    </row>
    <row r="63227" spans="10:10" x14ac:dyDescent="0.3">
      <c r="J63227"/>
    </row>
    <row r="63228" spans="10:10" x14ac:dyDescent="0.3">
      <c r="J63228"/>
    </row>
    <row r="63229" spans="10:10" x14ac:dyDescent="0.3">
      <c r="J63229"/>
    </row>
    <row r="63230" spans="10:10" x14ac:dyDescent="0.3">
      <c r="J63230"/>
    </row>
    <row r="63231" spans="10:10" x14ac:dyDescent="0.3">
      <c r="J63231"/>
    </row>
    <row r="63232" spans="10:10" x14ac:dyDescent="0.3">
      <c r="J63232"/>
    </row>
    <row r="63233" spans="10:10" x14ac:dyDescent="0.3">
      <c r="J63233"/>
    </row>
    <row r="63234" spans="10:10" x14ac:dyDescent="0.3">
      <c r="J63234"/>
    </row>
    <row r="63235" spans="10:10" x14ac:dyDescent="0.3">
      <c r="J63235"/>
    </row>
    <row r="63236" spans="10:10" x14ac:dyDescent="0.3">
      <c r="J63236"/>
    </row>
    <row r="63237" spans="10:10" x14ac:dyDescent="0.3">
      <c r="J63237"/>
    </row>
    <row r="63238" spans="10:10" x14ac:dyDescent="0.3">
      <c r="J63238"/>
    </row>
    <row r="63239" spans="10:10" x14ac:dyDescent="0.3">
      <c r="J63239"/>
    </row>
    <row r="63240" spans="10:10" x14ac:dyDescent="0.3">
      <c r="J63240"/>
    </row>
    <row r="63241" spans="10:10" x14ac:dyDescent="0.3">
      <c r="J63241"/>
    </row>
    <row r="63242" spans="10:10" x14ac:dyDescent="0.3">
      <c r="J63242"/>
    </row>
    <row r="63243" spans="10:10" x14ac:dyDescent="0.3">
      <c r="J63243"/>
    </row>
    <row r="63244" spans="10:10" x14ac:dyDescent="0.3">
      <c r="J63244"/>
    </row>
    <row r="63245" spans="10:10" x14ac:dyDescent="0.3">
      <c r="J63245"/>
    </row>
    <row r="63246" spans="10:10" x14ac:dyDescent="0.3">
      <c r="J63246"/>
    </row>
    <row r="63247" spans="10:10" x14ac:dyDescent="0.3">
      <c r="J63247"/>
    </row>
    <row r="63248" spans="10:10" x14ac:dyDescent="0.3">
      <c r="J63248"/>
    </row>
    <row r="63249" spans="10:10" x14ac:dyDescent="0.3">
      <c r="J63249"/>
    </row>
    <row r="63250" spans="10:10" x14ac:dyDescent="0.3">
      <c r="J63250"/>
    </row>
    <row r="63251" spans="10:10" x14ac:dyDescent="0.3">
      <c r="J63251"/>
    </row>
    <row r="63252" spans="10:10" x14ac:dyDescent="0.3">
      <c r="J63252"/>
    </row>
    <row r="63253" spans="10:10" x14ac:dyDescent="0.3">
      <c r="J63253"/>
    </row>
    <row r="63254" spans="10:10" x14ac:dyDescent="0.3">
      <c r="J63254"/>
    </row>
    <row r="63255" spans="10:10" x14ac:dyDescent="0.3">
      <c r="J63255"/>
    </row>
    <row r="63256" spans="10:10" x14ac:dyDescent="0.3">
      <c r="J63256"/>
    </row>
    <row r="63257" spans="10:10" x14ac:dyDescent="0.3">
      <c r="J63257"/>
    </row>
    <row r="63258" spans="10:10" x14ac:dyDescent="0.3">
      <c r="J63258"/>
    </row>
    <row r="63259" spans="10:10" x14ac:dyDescent="0.3">
      <c r="J63259"/>
    </row>
    <row r="63260" spans="10:10" x14ac:dyDescent="0.3">
      <c r="J63260"/>
    </row>
    <row r="63261" spans="10:10" x14ac:dyDescent="0.3">
      <c r="J63261"/>
    </row>
    <row r="63262" spans="10:10" x14ac:dyDescent="0.3">
      <c r="J63262"/>
    </row>
    <row r="63263" spans="10:10" x14ac:dyDescent="0.3">
      <c r="J63263"/>
    </row>
    <row r="63264" spans="10:10" x14ac:dyDescent="0.3">
      <c r="J63264"/>
    </row>
    <row r="63265" spans="10:10" x14ac:dyDescent="0.3">
      <c r="J63265"/>
    </row>
    <row r="63266" spans="10:10" x14ac:dyDescent="0.3">
      <c r="J63266"/>
    </row>
    <row r="63267" spans="10:10" x14ac:dyDescent="0.3">
      <c r="J63267"/>
    </row>
    <row r="63268" spans="10:10" x14ac:dyDescent="0.3">
      <c r="J63268"/>
    </row>
    <row r="63269" spans="10:10" x14ac:dyDescent="0.3">
      <c r="J63269"/>
    </row>
    <row r="63270" spans="10:10" x14ac:dyDescent="0.3">
      <c r="J63270"/>
    </row>
    <row r="63271" spans="10:10" x14ac:dyDescent="0.3">
      <c r="J63271"/>
    </row>
    <row r="63272" spans="10:10" x14ac:dyDescent="0.3">
      <c r="J63272"/>
    </row>
    <row r="63273" spans="10:10" x14ac:dyDescent="0.3">
      <c r="J63273"/>
    </row>
    <row r="63274" spans="10:10" x14ac:dyDescent="0.3">
      <c r="J63274"/>
    </row>
    <row r="63275" spans="10:10" x14ac:dyDescent="0.3">
      <c r="J63275"/>
    </row>
    <row r="63276" spans="10:10" x14ac:dyDescent="0.3">
      <c r="J63276"/>
    </row>
    <row r="63277" spans="10:10" x14ac:dyDescent="0.3">
      <c r="J63277"/>
    </row>
    <row r="63278" spans="10:10" x14ac:dyDescent="0.3">
      <c r="J63278"/>
    </row>
    <row r="63279" spans="10:10" x14ac:dyDescent="0.3">
      <c r="J63279"/>
    </row>
    <row r="63280" spans="10:10" x14ac:dyDescent="0.3">
      <c r="J63280"/>
    </row>
    <row r="63281" spans="10:10" x14ac:dyDescent="0.3">
      <c r="J63281"/>
    </row>
    <row r="63282" spans="10:10" x14ac:dyDescent="0.3">
      <c r="J63282"/>
    </row>
    <row r="63283" spans="10:10" x14ac:dyDescent="0.3">
      <c r="J63283"/>
    </row>
    <row r="63284" spans="10:10" x14ac:dyDescent="0.3">
      <c r="J63284"/>
    </row>
    <row r="63285" spans="10:10" x14ac:dyDescent="0.3">
      <c r="J63285"/>
    </row>
    <row r="63286" spans="10:10" x14ac:dyDescent="0.3">
      <c r="J63286"/>
    </row>
    <row r="63287" spans="10:10" x14ac:dyDescent="0.3">
      <c r="J63287"/>
    </row>
    <row r="63288" spans="10:10" x14ac:dyDescent="0.3">
      <c r="J63288"/>
    </row>
    <row r="63289" spans="10:10" x14ac:dyDescent="0.3">
      <c r="J63289"/>
    </row>
    <row r="63290" spans="10:10" x14ac:dyDescent="0.3">
      <c r="J63290"/>
    </row>
    <row r="63291" spans="10:10" x14ac:dyDescent="0.3">
      <c r="J63291"/>
    </row>
    <row r="63292" spans="10:10" x14ac:dyDescent="0.3">
      <c r="J63292"/>
    </row>
    <row r="63293" spans="10:10" x14ac:dyDescent="0.3">
      <c r="J63293"/>
    </row>
    <row r="63294" spans="10:10" x14ac:dyDescent="0.3">
      <c r="J63294"/>
    </row>
    <row r="63295" spans="10:10" x14ac:dyDescent="0.3">
      <c r="J63295"/>
    </row>
    <row r="63296" spans="10:10" x14ac:dyDescent="0.3">
      <c r="J63296"/>
    </row>
    <row r="63297" spans="10:10" x14ac:dyDescent="0.3">
      <c r="J63297"/>
    </row>
    <row r="63298" spans="10:10" x14ac:dyDescent="0.3">
      <c r="J63298"/>
    </row>
    <row r="63299" spans="10:10" x14ac:dyDescent="0.3">
      <c r="J63299"/>
    </row>
    <row r="63300" spans="10:10" x14ac:dyDescent="0.3">
      <c r="J63300"/>
    </row>
    <row r="63301" spans="10:10" x14ac:dyDescent="0.3">
      <c r="J63301"/>
    </row>
    <row r="63302" spans="10:10" x14ac:dyDescent="0.3">
      <c r="J63302"/>
    </row>
    <row r="63303" spans="10:10" x14ac:dyDescent="0.3">
      <c r="J63303"/>
    </row>
    <row r="63304" spans="10:10" x14ac:dyDescent="0.3">
      <c r="J63304"/>
    </row>
    <row r="63305" spans="10:10" x14ac:dyDescent="0.3">
      <c r="J63305"/>
    </row>
    <row r="63306" spans="10:10" x14ac:dyDescent="0.3">
      <c r="J63306"/>
    </row>
    <row r="63307" spans="10:10" x14ac:dyDescent="0.3">
      <c r="J63307"/>
    </row>
    <row r="63308" spans="10:10" x14ac:dyDescent="0.3">
      <c r="J63308"/>
    </row>
    <row r="63309" spans="10:10" x14ac:dyDescent="0.3">
      <c r="J63309"/>
    </row>
    <row r="63310" spans="10:10" x14ac:dyDescent="0.3">
      <c r="J63310"/>
    </row>
    <row r="63311" spans="10:10" x14ac:dyDescent="0.3">
      <c r="J63311"/>
    </row>
    <row r="63312" spans="10:10" x14ac:dyDescent="0.3">
      <c r="J63312"/>
    </row>
    <row r="63313" spans="10:10" x14ac:dyDescent="0.3">
      <c r="J63313"/>
    </row>
    <row r="63314" spans="10:10" x14ac:dyDescent="0.3">
      <c r="J63314"/>
    </row>
    <row r="63315" spans="10:10" x14ac:dyDescent="0.3">
      <c r="J63315"/>
    </row>
    <row r="63316" spans="10:10" x14ac:dyDescent="0.3">
      <c r="J63316"/>
    </row>
    <row r="63317" spans="10:10" x14ac:dyDescent="0.3">
      <c r="J63317"/>
    </row>
    <row r="63318" spans="10:10" x14ac:dyDescent="0.3">
      <c r="J63318"/>
    </row>
    <row r="63319" spans="10:10" x14ac:dyDescent="0.3">
      <c r="J63319"/>
    </row>
    <row r="63320" spans="10:10" x14ac:dyDescent="0.3">
      <c r="J63320"/>
    </row>
    <row r="63321" spans="10:10" x14ac:dyDescent="0.3">
      <c r="J63321"/>
    </row>
    <row r="63322" spans="10:10" x14ac:dyDescent="0.3">
      <c r="J63322"/>
    </row>
    <row r="63323" spans="10:10" x14ac:dyDescent="0.3">
      <c r="J63323"/>
    </row>
    <row r="63324" spans="10:10" x14ac:dyDescent="0.3">
      <c r="J63324"/>
    </row>
    <row r="63325" spans="10:10" x14ac:dyDescent="0.3">
      <c r="J63325"/>
    </row>
    <row r="63326" spans="10:10" x14ac:dyDescent="0.3">
      <c r="J63326"/>
    </row>
    <row r="63327" spans="10:10" x14ac:dyDescent="0.3">
      <c r="J63327"/>
    </row>
    <row r="63328" spans="10:10" x14ac:dyDescent="0.3">
      <c r="J63328"/>
    </row>
    <row r="63329" spans="10:10" x14ac:dyDescent="0.3">
      <c r="J63329"/>
    </row>
    <row r="63330" spans="10:10" x14ac:dyDescent="0.3">
      <c r="J63330"/>
    </row>
    <row r="63331" spans="10:10" x14ac:dyDescent="0.3">
      <c r="J63331"/>
    </row>
    <row r="63332" spans="10:10" x14ac:dyDescent="0.3">
      <c r="J63332"/>
    </row>
    <row r="63333" spans="10:10" x14ac:dyDescent="0.3">
      <c r="J63333"/>
    </row>
    <row r="63334" spans="10:10" x14ac:dyDescent="0.3">
      <c r="J63334"/>
    </row>
    <row r="63335" spans="10:10" x14ac:dyDescent="0.3">
      <c r="J63335"/>
    </row>
    <row r="63336" spans="10:10" x14ac:dyDescent="0.3">
      <c r="J63336"/>
    </row>
    <row r="63337" spans="10:10" x14ac:dyDescent="0.3">
      <c r="J63337"/>
    </row>
    <row r="63338" spans="10:10" x14ac:dyDescent="0.3">
      <c r="J63338"/>
    </row>
    <row r="63339" spans="10:10" x14ac:dyDescent="0.3">
      <c r="J63339"/>
    </row>
    <row r="63340" spans="10:10" x14ac:dyDescent="0.3">
      <c r="J63340"/>
    </row>
    <row r="63341" spans="10:10" x14ac:dyDescent="0.3">
      <c r="J63341"/>
    </row>
    <row r="63342" spans="10:10" x14ac:dyDescent="0.3">
      <c r="J63342"/>
    </row>
    <row r="63343" spans="10:10" x14ac:dyDescent="0.3">
      <c r="J63343"/>
    </row>
    <row r="63344" spans="10:10" x14ac:dyDescent="0.3">
      <c r="J63344"/>
    </row>
    <row r="63345" spans="10:10" x14ac:dyDescent="0.3">
      <c r="J63345"/>
    </row>
    <row r="63346" spans="10:10" x14ac:dyDescent="0.3">
      <c r="J63346"/>
    </row>
    <row r="63347" spans="10:10" x14ac:dyDescent="0.3">
      <c r="J63347"/>
    </row>
    <row r="63348" spans="10:10" x14ac:dyDescent="0.3">
      <c r="J63348"/>
    </row>
    <row r="63349" spans="10:10" x14ac:dyDescent="0.3">
      <c r="J63349"/>
    </row>
    <row r="63350" spans="10:10" x14ac:dyDescent="0.3">
      <c r="J63350"/>
    </row>
    <row r="63351" spans="10:10" x14ac:dyDescent="0.3">
      <c r="J63351"/>
    </row>
    <row r="63352" spans="10:10" x14ac:dyDescent="0.3">
      <c r="J63352"/>
    </row>
    <row r="63353" spans="10:10" x14ac:dyDescent="0.3">
      <c r="J63353"/>
    </row>
    <row r="63354" spans="10:10" x14ac:dyDescent="0.3">
      <c r="J63354"/>
    </row>
    <row r="63355" spans="10:10" x14ac:dyDescent="0.3">
      <c r="J63355"/>
    </row>
    <row r="63356" spans="10:10" x14ac:dyDescent="0.3">
      <c r="J63356"/>
    </row>
    <row r="63357" spans="10:10" x14ac:dyDescent="0.3">
      <c r="J63357"/>
    </row>
    <row r="63358" spans="10:10" x14ac:dyDescent="0.3">
      <c r="J63358"/>
    </row>
    <row r="63359" spans="10:10" x14ac:dyDescent="0.3">
      <c r="J63359"/>
    </row>
    <row r="63360" spans="10:10" x14ac:dyDescent="0.3">
      <c r="J63360"/>
    </row>
    <row r="63361" spans="10:10" x14ac:dyDescent="0.3">
      <c r="J63361"/>
    </row>
    <row r="63362" spans="10:10" x14ac:dyDescent="0.3">
      <c r="J63362"/>
    </row>
    <row r="63363" spans="10:10" x14ac:dyDescent="0.3">
      <c r="J63363"/>
    </row>
    <row r="63364" spans="10:10" x14ac:dyDescent="0.3">
      <c r="J63364"/>
    </row>
    <row r="63365" spans="10:10" x14ac:dyDescent="0.3">
      <c r="J63365"/>
    </row>
    <row r="63366" spans="10:10" x14ac:dyDescent="0.3">
      <c r="J63366"/>
    </row>
    <row r="63367" spans="10:10" x14ac:dyDescent="0.3">
      <c r="J63367"/>
    </row>
    <row r="63368" spans="10:10" x14ac:dyDescent="0.3">
      <c r="J63368"/>
    </row>
    <row r="63369" spans="10:10" x14ac:dyDescent="0.3">
      <c r="J63369"/>
    </row>
    <row r="63370" spans="10:10" x14ac:dyDescent="0.3">
      <c r="J63370"/>
    </row>
    <row r="63371" spans="10:10" x14ac:dyDescent="0.3">
      <c r="J63371"/>
    </row>
    <row r="63372" spans="10:10" x14ac:dyDescent="0.3">
      <c r="J63372"/>
    </row>
    <row r="63373" spans="10:10" x14ac:dyDescent="0.3">
      <c r="J63373"/>
    </row>
    <row r="63374" spans="10:10" x14ac:dyDescent="0.3">
      <c r="J63374"/>
    </row>
    <row r="63375" spans="10:10" x14ac:dyDescent="0.3">
      <c r="J63375"/>
    </row>
    <row r="63376" spans="10:10" x14ac:dyDescent="0.3">
      <c r="J63376"/>
    </row>
    <row r="63377" spans="10:10" x14ac:dyDescent="0.3">
      <c r="J63377"/>
    </row>
    <row r="63378" spans="10:10" x14ac:dyDescent="0.3">
      <c r="J63378"/>
    </row>
    <row r="63379" spans="10:10" x14ac:dyDescent="0.3">
      <c r="J63379"/>
    </row>
    <row r="63380" spans="10:10" x14ac:dyDescent="0.3">
      <c r="J63380"/>
    </row>
    <row r="63381" spans="10:10" x14ac:dyDescent="0.3">
      <c r="J63381"/>
    </row>
    <row r="63382" spans="10:10" x14ac:dyDescent="0.3">
      <c r="J63382"/>
    </row>
    <row r="63383" spans="10:10" x14ac:dyDescent="0.3">
      <c r="J63383"/>
    </row>
    <row r="63384" spans="10:10" x14ac:dyDescent="0.3">
      <c r="J63384"/>
    </row>
    <row r="63385" spans="10:10" x14ac:dyDescent="0.3">
      <c r="J63385"/>
    </row>
    <row r="63386" spans="10:10" x14ac:dyDescent="0.3">
      <c r="J63386"/>
    </row>
    <row r="63387" spans="10:10" x14ac:dyDescent="0.3">
      <c r="J63387"/>
    </row>
    <row r="63388" spans="10:10" x14ac:dyDescent="0.3">
      <c r="J63388"/>
    </row>
    <row r="63389" spans="10:10" x14ac:dyDescent="0.3">
      <c r="J63389"/>
    </row>
    <row r="63390" spans="10:10" x14ac:dyDescent="0.3">
      <c r="J63390"/>
    </row>
    <row r="63391" spans="10:10" x14ac:dyDescent="0.3">
      <c r="J63391"/>
    </row>
    <row r="63392" spans="10:10" x14ac:dyDescent="0.3">
      <c r="J63392"/>
    </row>
    <row r="63393" spans="10:10" x14ac:dyDescent="0.3">
      <c r="J63393"/>
    </row>
    <row r="63394" spans="10:10" x14ac:dyDescent="0.3">
      <c r="J63394"/>
    </row>
    <row r="63395" spans="10:10" x14ac:dyDescent="0.3">
      <c r="J63395"/>
    </row>
    <row r="63396" spans="10:10" x14ac:dyDescent="0.3">
      <c r="J63396"/>
    </row>
    <row r="63397" spans="10:10" x14ac:dyDescent="0.3">
      <c r="J63397"/>
    </row>
    <row r="63398" spans="10:10" x14ac:dyDescent="0.3">
      <c r="J63398"/>
    </row>
    <row r="63399" spans="10:10" x14ac:dyDescent="0.3">
      <c r="J63399"/>
    </row>
    <row r="63400" spans="10:10" x14ac:dyDescent="0.3">
      <c r="J63400"/>
    </row>
    <row r="63401" spans="10:10" x14ac:dyDescent="0.3">
      <c r="J63401"/>
    </row>
    <row r="63402" spans="10:10" x14ac:dyDescent="0.3">
      <c r="J63402"/>
    </row>
    <row r="63403" spans="10:10" x14ac:dyDescent="0.3">
      <c r="J63403"/>
    </row>
    <row r="63404" spans="10:10" x14ac:dyDescent="0.3">
      <c r="J63404"/>
    </row>
    <row r="63405" spans="10:10" x14ac:dyDescent="0.3">
      <c r="J63405"/>
    </row>
    <row r="63406" spans="10:10" x14ac:dyDescent="0.3">
      <c r="J63406"/>
    </row>
    <row r="63407" spans="10:10" x14ac:dyDescent="0.3">
      <c r="J63407"/>
    </row>
    <row r="63408" spans="10:10" x14ac:dyDescent="0.3">
      <c r="J63408"/>
    </row>
    <row r="63409" spans="10:10" x14ac:dyDescent="0.3">
      <c r="J63409"/>
    </row>
    <row r="63410" spans="10:10" x14ac:dyDescent="0.3">
      <c r="J63410"/>
    </row>
    <row r="63411" spans="10:10" x14ac:dyDescent="0.3">
      <c r="J63411"/>
    </row>
    <row r="63412" spans="10:10" x14ac:dyDescent="0.3">
      <c r="J63412"/>
    </row>
    <row r="63413" spans="10:10" x14ac:dyDescent="0.3">
      <c r="J63413"/>
    </row>
    <row r="63414" spans="10:10" x14ac:dyDescent="0.3">
      <c r="J63414"/>
    </row>
    <row r="63415" spans="10:10" x14ac:dyDescent="0.3">
      <c r="J63415"/>
    </row>
    <row r="63416" spans="10:10" x14ac:dyDescent="0.3">
      <c r="J63416"/>
    </row>
    <row r="63417" spans="10:10" x14ac:dyDescent="0.3">
      <c r="J63417"/>
    </row>
    <row r="63418" spans="10:10" x14ac:dyDescent="0.3">
      <c r="J63418"/>
    </row>
    <row r="63419" spans="10:10" x14ac:dyDescent="0.3">
      <c r="J63419"/>
    </row>
    <row r="63420" spans="10:10" x14ac:dyDescent="0.3">
      <c r="J63420"/>
    </row>
    <row r="63421" spans="10:10" x14ac:dyDescent="0.3">
      <c r="J63421"/>
    </row>
    <row r="63422" spans="10:10" x14ac:dyDescent="0.3">
      <c r="J63422"/>
    </row>
    <row r="63423" spans="10:10" x14ac:dyDescent="0.3">
      <c r="J63423"/>
    </row>
    <row r="63424" spans="10:10" x14ac:dyDescent="0.3">
      <c r="J63424"/>
    </row>
    <row r="63425" spans="10:10" x14ac:dyDescent="0.3">
      <c r="J63425"/>
    </row>
    <row r="63426" spans="10:10" x14ac:dyDescent="0.3">
      <c r="J63426"/>
    </row>
    <row r="63427" spans="10:10" x14ac:dyDescent="0.3">
      <c r="J63427"/>
    </row>
    <row r="63428" spans="10:10" x14ac:dyDescent="0.3">
      <c r="J63428"/>
    </row>
    <row r="63429" spans="10:10" x14ac:dyDescent="0.3">
      <c r="J63429"/>
    </row>
    <row r="63430" spans="10:10" x14ac:dyDescent="0.3">
      <c r="J63430"/>
    </row>
    <row r="63431" spans="10:10" x14ac:dyDescent="0.3">
      <c r="J63431"/>
    </row>
    <row r="63432" spans="10:10" x14ac:dyDescent="0.3">
      <c r="J63432"/>
    </row>
    <row r="63433" spans="10:10" x14ac:dyDescent="0.3">
      <c r="J63433"/>
    </row>
    <row r="63434" spans="10:10" x14ac:dyDescent="0.3">
      <c r="J63434"/>
    </row>
    <row r="63435" spans="10:10" x14ac:dyDescent="0.3">
      <c r="J63435"/>
    </row>
    <row r="63436" spans="10:10" x14ac:dyDescent="0.3">
      <c r="J63436"/>
    </row>
    <row r="63437" spans="10:10" x14ac:dyDescent="0.3">
      <c r="J63437"/>
    </row>
    <row r="63438" spans="10:10" x14ac:dyDescent="0.3">
      <c r="J63438"/>
    </row>
    <row r="63439" spans="10:10" x14ac:dyDescent="0.3">
      <c r="J63439"/>
    </row>
    <row r="63440" spans="10:10" x14ac:dyDescent="0.3">
      <c r="J63440"/>
    </row>
    <row r="63441" spans="10:10" x14ac:dyDescent="0.3">
      <c r="J63441"/>
    </row>
    <row r="63442" spans="10:10" x14ac:dyDescent="0.3">
      <c r="J63442"/>
    </row>
    <row r="63443" spans="10:10" x14ac:dyDescent="0.3">
      <c r="J63443"/>
    </row>
    <row r="63444" spans="10:10" x14ac:dyDescent="0.3">
      <c r="J63444"/>
    </row>
    <row r="63445" spans="10:10" x14ac:dyDescent="0.3">
      <c r="J63445"/>
    </row>
    <row r="63446" spans="10:10" x14ac:dyDescent="0.3">
      <c r="J63446"/>
    </row>
    <row r="63447" spans="10:10" x14ac:dyDescent="0.3">
      <c r="J63447"/>
    </row>
    <row r="63448" spans="10:10" x14ac:dyDescent="0.3">
      <c r="J63448"/>
    </row>
    <row r="63449" spans="10:10" x14ac:dyDescent="0.3">
      <c r="J63449"/>
    </row>
    <row r="63450" spans="10:10" x14ac:dyDescent="0.3">
      <c r="J63450"/>
    </row>
    <row r="63451" spans="10:10" x14ac:dyDescent="0.3">
      <c r="J63451"/>
    </row>
    <row r="63452" spans="10:10" x14ac:dyDescent="0.3">
      <c r="J63452"/>
    </row>
    <row r="63453" spans="10:10" x14ac:dyDescent="0.3">
      <c r="J63453"/>
    </row>
    <row r="63454" spans="10:10" x14ac:dyDescent="0.3">
      <c r="J63454"/>
    </row>
    <row r="63455" spans="10:10" x14ac:dyDescent="0.3">
      <c r="J63455"/>
    </row>
    <row r="63456" spans="10:10" x14ac:dyDescent="0.3">
      <c r="J63456"/>
    </row>
    <row r="63457" spans="10:10" x14ac:dyDescent="0.3">
      <c r="J63457"/>
    </row>
    <row r="63458" spans="10:10" x14ac:dyDescent="0.3">
      <c r="J63458"/>
    </row>
    <row r="63459" spans="10:10" x14ac:dyDescent="0.3">
      <c r="J63459"/>
    </row>
    <row r="63460" spans="10:10" x14ac:dyDescent="0.3">
      <c r="J63460"/>
    </row>
    <row r="63461" spans="10:10" x14ac:dyDescent="0.3">
      <c r="J63461"/>
    </row>
    <row r="63462" spans="10:10" x14ac:dyDescent="0.3">
      <c r="J63462"/>
    </row>
    <row r="63463" spans="10:10" x14ac:dyDescent="0.3">
      <c r="J63463"/>
    </row>
    <row r="63464" spans="10:10" x14ac:dyDescent="0.3">
      <c r="J63464"/>
    </row>
    <row r="63465" spans="10:10" x14ac:dyDescent="0.3">
      <c r="J63465"/>
    </row>
    <row r="63466" spans="10:10" x14ac:dyDescent="0.3">
      <c r="J63466"/>
    </row>
    <row r="63467" spans="10:10" x14ac:dyDescent="0.3">
      <c r="J63467"/>
    </row>
    <row r="63468" spans="10:10" x14ac:dyDescent="0.3">
      <c r="J63468"/>
    </row>
    <row r="63469" spans="10:10" x14ac:dyDescent="0.3">
      <c r="J63469"/>
    </row>
    <row r="63470" spans="10:10" x14ac:dyDescent="0.3">
      <c r="J63470"/>
    </row>
    <row r="63471" spans="10:10" x14ac:dyDescent="0.3">
      <c r="J63471"/>
    </row>
    <row r="63472" spans="10:10" x14ac:dyDescent="0.3">
      <c r="J63472"/>
    </row>
    <row r="63473" spans="10:10" x14ac:dyDescent="0.3">
      <c r="J63473"/>
    </row>
    <row r="63474" spans="10:10" x14ac:dyDescent="0.3">
      <c r="J63474"/>
    </row>
    <row r="63475" spans="10:10" x14ac:dyDescent="0.3">
      <c r="J63475"/>
    </row>
    <row r="63476" spans="10:10" x14ac:dyDescent="0.3">
      <c r="J63476"/>
    </row>
    <row r="63477" spans="10:10" x14ac:dyDescent="0.3">
      <c r="J63477"/>
    </row>
    <row r="63478" spans="10:10" x14ac:dyDescent="0.3">
      <c r="J63478"/>
    </row>
    <row r="63479" spans="10:10" x14ac:dyDescent="0.3">
      <c r="J63479"/>
    </row>
    <row r="63480" spans="10:10" x14ac:dyDescent="0.3">
      <c r="J63480"/>
    </row>
    <row r="63481" spans="10:10" x14ac:dyDescent="0.3">
      <c r="J63481"/>
    </row>
    <row r="63482" spans="10:10" x14ac:dyDescent="0.3">
      <c r="J63482"/>
    </row>
    <row r="63483" spans="10:10" x14ac:dyDescent="0.3">
      <c r="J63483"/>
    </row>
    <row r="63484" spans="10:10" x14ac:dyDescent="0.3">
      <c r="J63484"/>
    </row>
    <row r="63485" spans="10:10" x14ac:dyDescent="0.3">
      <c r="J63485"/>
    </row>
    <row r="63486" spans="10:10" x14ac:dyDescent="0.3">
      <c r="J63486"/>
    </row>
    <row r="63487" spans="10:10" x14ac:dyDescent="0.3">
      <c r="J63487"/>
    </row>
    <row r="63488" spans="10:10" x14ac:dyDescent="0.3">
      <c r="J63488"/>
    </row>
    <row r="63489" spans="10:10" x14ac:dyDescent="0.3">
      <c r="J63489"/>
    </row>
    <row r="63490" spans="10:10" x14ac:dyDescent="0.3">
      <c r="J63490"/>
    </row>
    <row r="63491" spans="10:10" x14ac:dyDescent="0.3">
      <c r="J63491"/>
    </row>
    <row r="63492" spans="10:10" x14ac:dyDescent="0.3">
      <c r="J63492"/>
    </row>
    <row r="63493" spans="10:10" x14ac:dyDescent="0.3">
      <c r="J63493"/>
    </row>
    <row r="63494" spans="10:10" x14ac:dyDescent="0.3">
      <c r="J63494"/>
    </row>
    <row r="63495" spans="10:10" x14ac:dyDescent="0.3">
      <c r="J63495"/>
    </row>
    <row r="63496" spans="10:10" x14ac:dyDescent="0.3">
      <c r="J63496"/>
    </row>
    <row r="63497" spans="10:10" x14ac:dyDescent="0.3">
      <c r="J63497"/>
    </row>
    <row r="63498" spans="10:10" x14ac:dyDescent="0.3">
      <c r="J63498"/>
    </row>
    <row r="63499" spans="10:10" x14ac:dyDescent="0.3">
      <c r="J63499"/>
    </row>
    <row r="63500" spans="10:10" x14ac:dyDescent="0.3">
      <c r="J63500"/>
    </row>
    <row r="63501" spans="10:10" x14ac:dyDescent="0.3">
      <c r="J63501"/>
    </row>
    <row r="63502" spans="10:10" x14ac:dyDescent="0.3">
      <c r="J63502"/>
    </row>
    <row r="63503" spans="10:10" x14ac:dyDescent="0.3">
      <c r="J63503"/>
    </row>
    <row r="63504" spans="10:10" x14ac:dyDescent="0.3">
      <c r="J63504"/>
    </row>
    <row r="63505" spans="10:10" x14ac:dyDescent="0.3">
      <c r="J63505"/>
    </row>
    <row r="63506" spans="10:10" x14ac:dyDescent="0.3">
      <c r="J63506"/>
    </row>
    <row r="63507" spans="10:10" x14ac:dyDescent="0.3">
      <c r="J63507"/>
    </row>
    <row r="63508" spans="10:10" x14ac:dyDescent="0.3">
      <c r="J63508"/>
    </row>
    <row r="63509" spans="10:10" x14ac:dyDescent="0.3">
      <c r="J63509"/>
    </row>
    <row r="63510" spans="10:10" x14ac:dyDescent="0.3">
      <c r="J63510"/>
    </row>
    <row r="63511" spans="10:10" x14ac:dyDescent="0.3">
      <c r="J63511"/>
    </row>
    <row r="63512" spans="10:10" x14ac:dyDescent="0.3">
      <c r="J63512"/>
    </row>
    <row r="63513" spans="10:10" x14ac:dyDescent="0.3">
      <c r="J63513"/>
    </row>
    <row r="63514" spans="10:10" x14ac:dyDescent="0.3">
      <c r="J63514"/>
    </row>
    <row r="63515" spans="10:10" x14ac:dyDescent="0.3">
      <c r="J63515"/>
    </row>
    <row r="63516" spans="10:10" x14ac:dyDescent="0.3">
      <c r="J63516"/>
    </row>
    <row r="63517" spans="10:10" x14ac:dyDescent="0.3">
      <c r="J63517"/>
    </row>
    <row r="63518" spans="10:10" x14ac:dyDescent="0.3">
      <c r="J63518"/>
    </row>
    <row r="63519" spans="10:10" x14ac:dyDescent="0.3">
      <c r="J63519"/>
    </row>
    <row r="63520" spans="10:10" x14ac:dyDescent="0.3">
      <c r="J63520"/>
    </row>
    <row r="63521" spans="10:10" x14ac:dyDescent="0.3">
      <c r="J63521"/>
    </row>
    <row r="63522" spans="10:10" x14ac:dyDescent="0.3">
      <c r="J63522"/>
    </row>
    <row r="63523" spans="10:10" x14ac:dyDescent="0.3">
      <c r="J63523"/>
    </row>
    <row r="63524" spans="10:10" x14ac:dyDescent="0.3">
      <c r="J63524"/>
    </row>
    <row r="63525" spans="10:10" x14ac:dyDescent="0.3">
      <c r="J63525"/>
    </row>
    <row r="63526" spans="10:10" x14ac:dyDescent="0.3">
      <c r="J63526"/>
    </row>
    <row r="63527" spans="10:10" x14ac:dyDescent="0.3">
      <c r="J63527"/>
    </row>
    <row r="63528" spans="10:10" x14ac:dyDescent="0.3">
      <c r="J63528"/>
    </row>
    <row r="63529" spans="10:10" x14ac:dyDescent="0.3">
      <c r="J63529"/>
    </row>
    <row r="63530" spans="10:10" x14ac:dyDescent="0.3">
      <c r="J63530"/>
    </row>
    <row r="63531" spans="10:10" x14ac:dyDescent="0.3">
      <c r="J63531"/>
    </row>
    <row r="63532" spans="10:10" x14ac:dyDescent="0.3">
      <c r="J63532"/>
    </row>
    <row r="63533" spans="10:10" x14ac:dyDescent="0.3">
      <c r="J63533"/>
    </row>
    <row r="63534" spans="10:10" x14ac:dyDescent="0.3">
      <c r="J63534"/>
    </row>
    <row r="63535" spans="10:10" x14ac:dyDescent="0.3">
      <c r="J63535"/>
    </row>
    <row r="63536" spans="10:10" x14ac:dyDescent="0.3">
      <c r="J63536"/>
    </row>
    <row r="63537" spans="10:10" x14ac:dyDescent="0.3">
      <c r="J63537"/>
    </row>
    <row r="63538" spans="10:10" x14ac:dyDescent="0.3">
      <c r="J63538"/>
    </row>
    <row r="63539" spans="10:10" x14ac:dyDescent="0.3">
      <c r="J63539"/>
    </row>
    <row r="63540" spans="10:10" x14ac:dyDescent="0.3">
      <c r="J63540"/>
    </row>
    <row r="63541" spans="10:10" x14ac:dyDescent="0.3">
      <c r="J63541"/>
    </row>
    <row r="63542" spans="10:10" x14ac:dyDescent="0.3">
      <c r="J63542"/>
    </row>
    <row r="63543" spans="10:10" x14ac:dyDescent="0.3">
      <c r="J63543"/>
    </row>
    <row r="63544" spans="10:10" x14ac:dyDescent="0.3">
      <c r="J63544"/>
    </row>
    <row r="63545" spans="10:10" x14ac:dyDescent="0.3">
      <c r="J63545"/>
    </row>
    <row r="63546" spans="10:10" x14ac:dyDescent="0.3">
      <c r="J63546"/>
    </row>
    <row r="63547" spans="10:10" x14ac:dyDescent="0.3">
      <c r="J63547"/>
    </row>
    <row r="63548" spans="10:10" x14ac:dyDescent="0.3">
      <c r="J63548"/>
    </row>
    <row r="63549" spans="10:10" x14ac:dyDescent="0.3">
      <c r="J63549"/>
    </row>
    <row r="63550" spans="10:10" x14ac:dyDescent="0.3">
      <c r="J63550"/>
    </row>
    <row r="63551" spans="10:10" x14ac:dyDescent="0.3">
      <c r="J63551"/>
    </row>
    <row r="63552" spans="10:10" x14ac:dyDescent="0.3">
      <c r="J63552"/>
    </row>
    <row r="63553" spans="10:10" x14ac:dyDescent="0.3">
      <c r="J63553"/>
    </row>
    <row r="63554" spans="10:10" x14ac:dyDescent="0.3">
      <c r="J63554"/>
    </row>
    <row r="63555" spans="10:10" x14ac:dyDescent="0.3">
      <c r="J63555"/>
    </row>
    <row r="63556" spans="10:10" x14ac:dyDescent="0.3">
      <c r="J63556"/>
    </row>
    <row r="63557" spans="10:10" x14ac:dyDescent="0.3">
      <c r="J63557"/>
    </row>
    <row r="63558" spans="10:10" x14ac:dyDescent="0.3">
      <c r="J63558"/>
    </row>
    <row r="63559" spans="10:10" x14ac:dyDescent="0.3">
      <c r="J63559"/>
    </row>
    <row r="63560" spans="10:10" x14ac:dyDescent="0.3">
      <c r="J63560"/>
    </row>
    <row r="63561" spans="10:10" x14ac:dyDescent="0.3">
      <c r="J63561"/>
    </row>
    <row r="63562" spans="10:10" x14ac:dyDescent="0.3">
      <c r="J63562"/>
    </row>
    <row r="63563" spans="10:10" x14ac:dyDescent="0.3">
      <c r="J63563"/>
    </row>
    <row r="63564" spans="10:10" x14ac:dyDescent="0.3">
      <c r="J63564"/>
    </row>
    <row r="63565" spans="10:10" x14ac:dyDescent="0.3">
      <c r="J63565"/>
    </row>
    <row r="63566" spans="10:10" x14ac:dyDescent="0.3">
      <c r="J63566"/>
    </row>
    <row r="63567" spans="10:10" x14ac:dyDescent="0.3">
      <c r="J63567"/>
    </row>
    <row r="63568" spans="10:10" x14ac:dyDescent="0.3">
      <c r="J63568"/>
    </row>
    <row r="63569" spans="10:10" x14ac:dyDescent="0.3">
      <c r="J63569"/>
    </row>
    <row r="63570" spans="10:10" x14ac:dyDescent="0.3">
      <c r="J63570"/>
    </row>
    <row r="63571" spans="10:10" x14ac:dyDescent="0.3">
      <c r="J63571"/>
    </row>
    <row r="63572" spans="10:10" x14ac:dyDescent="0.3">
      <c r="J63572"/>
    </row>
    <row r="63573" spans="10:10" x14ac:dyDescent="0.3">
      <c r="J63573"/>
    </row>
    <row r="63574" spans="10:10" x14ac:dyDescent="0.3">
      <c r="J63574"/>
    </row>
    <row r="63575" spans="10:10" x14ac:dyDescent="0.3">
      <c r="J63575"/>
    </row>
    <row r="63576" spans="10:10" x14ac:dyDescent="0.3">
      <c r="J63576"/>
    </row>
    <row r="63577" spans="10:10" x14ac:dyDescent="0.3">
      <c r="J63577"/>
    </row>
    <row r="63578" spans="10:10" x14ac:dyDescent="0.3">
      <c r="J63578"/>
    </row>
    <row r="63579" spans="10:10" x14ac:dyDescent="0.3">
      <c r="J63579"/>
    </row>
    <row r="63580" spans="10:10" x14ac:dyDescent="0.3">
      <c r="J63580"/>
    </row>
    <row r="63581" spans="10:10" x14ac:dyDescent="0.3">
      <c r="J63581"/>
    </row>
    <row r="63582" spans="10:10" x14ac:dyDescent="0.3">
      <c r="J63582"/>
    </row>
    <row r="63583" spans="10:10" x14ac:dyDescent="0.3">
      <c r="J63583"/>
    </row>
    <row r="63584" spans="10:10" x14ac:dyDescent="0.3">
      <c r="J63584"/>
    </row>
    <row r="63585" spans="10:10" x14ac:dyDescent="0.3">
      <c r="J63585"/>
    </row>
    <row r="63586" spans="10:10" x14ac:dyDescent="0.3">
      <c r="J63586"/>
    </row>
    <row r="63587" spans="10:10" x14ac:dyDescent="0.3">
      <c r="J63587"/>
    </row>
    <row r="63588" spans="10:10" x14ac:dyDescent="0.3">
      <c r="J63588"/>
    </row>
    <row r="63589" spans="10:10" x14ac:dyDescent="0.3">
      <c r="J63589"/>
    </row>
    <row r="63590" spans="10:10" x14ac:dyDescent="0.3">
      <c r="J63590"/>
    </row>
    <row r="63591" spans="10:10" x14ac:dyDescent="0.3">
      <c r="J63591"/>
    </row>
    <row r="63592" spans="10:10" x14ac:dyDescent="0.3">
      <c r="J63592"/>
    </row>
    <row r="63593" spans="10:10" x14ac:dyDescent="0.3">
      <c r="J63593"/>
    </row>
    <row r="63594" spans="10:10" x14ac:dyDescent="0.3">
      <c r="J63594"/>
    </row>
    <row r="63595" spans="10:10" x14ac:dyDescent="0.3">
      <c r="J63595"/>
    </row>
    <row r="63596" spans="10:10" x14ac:dyDescent="0.3">
      <c r="J63596"/>
    </row>
    <row r="63597" spans="10:10" x14ac:dyDescent="0.3">
      <c r="J63597"/>
    </row>
    <row r="63598" spans="10:10" x14ac:dyDescent="0.3">
      <c r="J63598"/>
    </row>
    <row r="63599" spans="10:10" x14ac:dyDescent="0.3">
      <c r="J63599"/>
    </row>
    <row r="63600" spans="10:10" x14ac:dyDescent="0.3">
      <c r="J63600"/>
    </row>
    <row r="63601" spans="10:10" x14ac:dyDescent="0.3">
      <c r="J63601"/>
    </row>
    <row r="63602" spans="10:10" x14ac:dyDescent="0.3">
      <c r="J63602"/>
    </row>
    <row r="63603" spans="10:10" x14ac:dyDescent="0.3">
      <c r="J63603"/>
    </row>
    <row r="63604" spans="10:10" x14ac:dyDescent="0.3">
      <c r="J63604"/>
    </row>
    <row r="63605" spans="10:10" x14ac:dyDescent="0.3">
      <c r="J63605"/>
    </row>
    <row r="63606" spans="10:10" x14ac:dyDescent="0.3">
      <c r="J63606"/>
    </row>
    <row r="63607" spans="10:10" x14ac:dyDescent="0.3">
      <c r="J63607"/>
    </row>
    <row r="63608" spans="10:10" x14ac:dyDescent="0.3">
      <c r="J63608"/>
    </row>
    <row r="63609" spans="10:10" x14ac:dyDescent="0.3">
      <c r="J63609"/>
    </row>
    <row r="63610" spans="10:10" x14ac:dyDescent="0.3">
      <c r="J63610"/>
    </row>
    <row r="63611" spans="10:10" x14ac:dyDescent="0.3">
      <c r="J63611"/>
    </row>
    <row r="63612" spans="10:10" x14ac:dyDescent="0.3">
      <c r="J63612"/>
    </row>
    <row r="63613" spans="10:10" x14ac:dyDescent="0.3">
      <c r="J63613"/>
    </row>
    <row r="63614" spans="10:10" x14ac:dyDescent="0.3">
      <c r="J63614"/>
    </row>
    <row r="63615" spans="10:10" x14ac:dyDescent="0.3">
      <c r="J63615"/>
    </row>
    <row r="63616" spans="10:10" x14ac:dyDescent="0.3">
      <c r="J63616"/>
    </row>
    <row r="63617" spans="10:10" x14ac:dyDescent="0.3">
      <c r="J63617"/>
    </row>
    <row r="63618" spans="10:10" x14ac:dyDescent="0.3">
      <c r="J63618"/>
    </row>
    <row r="63619" spans="10:10" x14ac:dyDescent="0.3">
      <c r="J63619"/>
    </row>
    <row r="63620" spans="10:10" x14ac:dyDescent="0.3">
      <c r="J63620"/>
    </row>
    <row r="63621" spans="10:10" x14ac:dyDescent="0.3">
      <c r="J63621"/>
    </row>
    <row r="63622" spans="10:10" x14ac:dyDescent="0.3">
      <c r="J63622"/>
    </row>
    <row r="63623" spans="10:10" x14ac:dyDescent="0.3">
      <c r="J63623"/>
    </row>
    <row r="63624" spans="10:10" x14ac:dyDescent="0.3">
      <c r="J63624"/>
    </row>
    <row r="63625" spans="10:10" x14ac:dyDescent="0.3">
      <c r="J63625"/>
    </row>
    <row r="63626" spans="10:10" x14ac:dyDescent="0.3">
      <c r="J63626"/>
    </row>
    <row r="63627" spans="10:10" x14ac:dyDescent="0.3">
      <c r="J63627"/>
    </row>
    <row r="63628" spans="10:10" x14ac:dyDescent="0.3">
      <c r="J63628"/>
    </row>
    <row r="63629" spans="10:10" x14ac:dyDescent="0.3">
      <c r="J63629"/>
    </row>
    <row r="63630" spans="10:10" x14ac:dyDescent="0.3">
      <c r="J63630"/>
    </row>
    <row r="63631" spans="10:10" x14ac:dyDescent="0.3">
      <c r="J63631"/>
    </row>
    <row r="63632" spans="10:10" x14ac:dyDescent="0.3">
      <c r="J63632"/>
    </row>
    <row r="63633" spans="10:10" x14ac:dyDescent="0.3">
      <c r="J63633"/>
    </row>
    <row r="63634" spans="10:10" x14ac:dyDescent="0.3">
      <c r="J63634"/>
    </row>
    <row r="63635" spans="10:10" x14ac:dyDescent="0.3">
      <c r="J63635"/>
    </row>
    <row r="63636" spans="10:10" x14ac:dyDescent="0.3">
      <c r="J63636"/>
    </row>
    <row r="63637" spans="10:10" x14ac:dyDescent="0.3">
      <c r="J63637"/>
    </row>
    <row r="63638" spans="10:10" x14ac:dyDescent="0.3">
      <c r="J63638"/>
    </row>
    <row r="63639" spans="10:10" x14ac:dyDescent="0.3">
      <c r="J63639"/>
    </row>
    <row r="63640" spans="10:10" x14ac:dyDescent="0.3">
      <c r="J63640"/>
    </row>
    <row r="63641" spans="10:10" x14ac:dyDescent="0.3">
      <c r="J63641"/>
    </row>
    <row r="63642" spans="10:10" x14ac:dyDescent="0.3">
      <c r="J63642"/>
    </row>
    <row r="63643" spans="10:10" x14ac:dyDescent="0.3">
      <c r="J63643"/>
    </row>
    <row r="63644" spans="10:10" x14ac:dyDescent="0.3">
      <c r="J63644"/>
    </row>
    <row r="63645" spans="10:10" x14ac:dyDescent="0.3">
      <c r="J63645"/>
    </row>
    <row r="63646" spans="10:10" x14ac:dyDescent="0.3">
      <c r="J63646"/>
    </row>
    <row r="63647" spans="10:10" x14ac:dyDescent="0.3">
      <c r="J63647"/>
    </row>
    <row r="63648" spans="10:10" x14ac:dyDescent="0.3">
      <c r="J63648"/>
    </row>
    <row r="63649" spans="10:10" x14ac:dyDescent="0.3">
      <c r="J63649"/>
    </row>
    <row r="63650" spans="10:10" x14ac:dyDescent="0.3">
      <c r="J63650"/>
    </row>
    <row r="63651" spans="10:10" x14ac:dyDescent="0.3">
      <c r="J63651"/>
    </row>
    <row r="63652" spans="10:10" x14ac:dyDescent="0.3">
      <c r="J63652"/>
    </row>
    <row r="63653" spans="10:10" x14ac:dyDescent="0.3">
      <c r="J63653"/>
    </row>
    <row r="63654" spans="10:10" x14ac:dyDescent="0.3">
      <c r="J63654"/>
    </row>
    <row r="63655" spans="10:10" x14ac:dyDescent="0.3">
      <c r="J63655"/>
    </row>
    <row r="63656" spans="10:10" x14ac:dyDescent="0.3">
      <c r="J63656"/>
    </row>
    <row r="63657" spans="10:10" x14ac:dyDescent="0.3">
      <c r="J63657"/>
    </row>
    <row r="63658" spans="10:10" x14ac:dyDescent="0.3">
      <c r="J63658"/>
    </row>
    <row r="63659" spans="10:10" x14ac:dyDescent="0.3">
      <c r="J63659"/>
    </row>
    <row r="63660" spans="10:10" x14ac:dyDescent="0.3">
      <c r="J63660"/>
    </row>
    <row r="63661" spans="10:10" x14ac:dyDescent="0.3">
      <c r="J63661"/>
    </row>
    <row r="63662" spans="10:10" x14ac:dyDescent="0.3">
      <c r="J63662"/>
    </row>
    <row r="63663" spans="10:10" x14ac:dyDescent="0.3">
      <c r="J63663"/>
    </row>
    <row r="63664" spans="10:10" x14ac:dyDescent="0.3">
      <c r="J63664"/>
    </row>
    <row r="63665" spans="10:10" x14ac:dyDescent="0.3">
      <c r="J63665"/>
    </row>
    <row r="63666" spans="10:10" x14ac:dyDescent="0.3">
      <c r="J63666"/>
    </row>
    <row r="63667" spans="10:10" x14ac:dyDescent="0.3">
      <c r="J63667"/>
    </row>
    <row r="63668" spans="10:10" x14ac:dyDescent="0.3">
      <c r="J63668"/>
    </row>
    <row r="63669" spans="10:10" x14ac:dyDescent="0.3">
      <c r="J63669"/>
    </row>
    <row r="63670" spans="10:10" x14ac:dyDescent="0.3">
      <c r="J63670"/>
    </row>
    <row r="63671" spans="10:10" x14ac:dyDescent="0.3">
      <c r="J63671"/>
    </row>
    <row r="63672" spans="10:10" x14ac:dyDescent="0.3">
      <c r="J63672"/>
    </row>
    <row r="63673" spans="10:10" x14ac:dyDescent="0.3">
      <c r="J63673"/>
    </row>
    <row r="63674" spans="10:10" x14ac:dyDescent="0.3">
      <c r="J63674"/>
    </row>
    <row r="63675" spans="10:10" x14ac:dyDescent="0.3">
      <c r="J63675"/>
    </row>
    <row r="63676" spans="10:10" x14ac:dyDescent="0.3">
      <c r="J63676"/>
    </row>
    <row r="63677" spans="10:10" x14ac:dyDescent="0.3">
      <c r="J63677"/>
    </row>
    <row r="63678" spans="10:10" x14ac:dyDescent="0.3">
      <c r="J63678"/>
    </row>
    <row r="63679" spans="10:10" x14ac:dyDescent="0.3">
      <c r="J63679"/>
    </row>
    <row r="63680" spans="10:10" x14ac:dyDescent="0.3">
      <c r="J63680"/>
    </row>
    <row r="63681" spans="10:10" x14ac:dyDescent="0.3">
      <c r="J63681"/>
    </row>
    <row r="63682" spans="10:10" x14ac:dyDescent="0.3">
      <c r="J63682"/>
    </row>
    <row r="63683" spans="10:10" x14ac:dyDescent="0.3">
      <c r="J63683"/>
    </row>
    <row r="63684" spans="10:10" x14ac:dyDescent="0.3">
      <c r="J63684"/>
    </row>
    <row r="63685" spans="10:10" x14ac:dyDescent="0.3">
      <c r="J63685"/>
    </row>
    <row r="63686" spans="10:10" x14ac:dyDescent="0.3">
      <c r="J63686"/>
    </row>
    <row r="63687" spans="10:10" x14ac:dyDescent="0.3">
      <c r="J63687"/>
    </row>
    <row r="63688" spans="10:10" x14ac:dyDescent="0.3">
      <c r="J63688"/>
    </row>
    <row r="63689" spans="10:10" x14ac:dyDescent="0.3">
      <c r="J63689"/>
    </row>
    <row r="63690" spans="10:10" x14ac:dyDescent="0.3">
      <c r="J63690"/>
    </row>
    <row r="63691" spans="10:10" x14ac:dyDescent="0.3">
      <c r="J63691"/>
    </row>
    <row r="63692" spans="10:10" x14ac:dyDescent="0.3">
      <c r="J63692"/>
    </row>
    <row r="63693" spans="10:10" x14ac:dyDescent="0.3">
      <c r="J63693"/>
    </row>
    <row r="63694" spans="10:10" x14ac:dyDescent="0.3">
      <c r="J63694"/>
    </row>
    <row r="63695" spans="10:10" x14ac:dyDescent="0.3">
      <c r="J63695"/>
    </row>
    <row r="63696" spans="10:10" x14ac:dyDescent="0.3">
      <c r="J63696"/>
    </row>
    <row r="63697" spans="10:10" x14ac:dyDescent="0.3">
      <c r="J63697"/>
    </row>
    <row r="63698" spans="10:10" x14ac:dyDescent="0.3">
      <c r="J63698"/>
    </row>
    <row r="63699" spans="10:10" x14ac:dyDescent="0.3">
      <c r="J63699"/>
    </row>
    <row r="63700" spans="10:10" x14ac:dyDescent="0.3">
      <c r="J63700"/>
    </row>
    <row r="63701" spans="10:10" x14ac:dyDescent="0.3">
      <c r="J63701"/>
    </row>
    <row r="63702" spans="10:10" x14ac:dyDescent="0.3">
      <c r="J63702"/>
    </row>
    <row r="63703" spans="10:10" x14ac:dyDescent="0.3">
      <c r="J63703"/>
    </row>
    <row r="63704" spans="10:10" x14ac:dyDescent="0.3">
      <c r="J63704"/>
    </row>
    <row r="63705" spans="10:10" x14ac:dyDescent="0.3">
      <c r="J63705"/>
    </row>
    <row r="63706" spans="10:10" x14ac:dyDescent="0.3">
      <c r="J63706"/>
    </row>
    <row r="63707" spans="10:10" x14ac:dyDescent="0.3">
      <c r="J63707"/>
    </row>
    <row r="63708" spans="10:10" x14ac:dyDescent="0.3">
      <c r="J63708"/>
    </row>
    <row r="63709" spans="10:10" x14ac:dyDescent="0.3">
      <c r="J63709"/>
    </row>
    <row r="63710" spans="10:10" x14ac:dyDescent="0.3">
      <c r="J63710"/>
    </row>
    <row r="63711" spans="10:10" x14ac:dyDescent="0.3">
      <c r="J63711"/>
    </row>
    <row r="63712" spans="10:10" x14ac:dyDescent="0.3">
      <c r="J63712"/>
    </row>
    <row r="63713" spans="10:10" x14ac:dyDescent="0.3">
      <c r="J63713"/>
    </row>
    <row r="63714" spans="10:10" x14ac:dyDescent="0.3">
      <c r="J63714"/>
    </row>
    <row r="63715" spans="10:10" x14ac:dyDescent="0.3">
      <c r="J63715"/>
    </row>
    <row r="63716" spans="10:10" x14ac:dyDescent="0.3">
      <c r="J63716"/>
    </row>
    <row r="63717" spans="10:10" x14ac:dyDescent="0.3">
      <c r="J63717"/>
    </row>
    <row r="63718" spans="10:10" x14ac:dyDescent="0.3">
      <c r="J63718"/>
    </row>
    <row r="63719" spans="10:10" x14ac:dyDescent="0.3">
      <c r="J63719"/>
    </row>
    <row r="63720" spans="10:10" x14ac:dyDescent="0.3">
      <c r="J63720"/>
    </row>
    <row r="63721" spans="10:10" x14ac:dyDescent="0.3">
      <c r="J63721"/>
    </row>
    <row r="63722" spans="10:10" x14ac:dyDescent="0.3">
      <c r="J63722"/>
    </row>
    <row r="63723" spans="10:10" x14ac:dyDescent="0.3">
      <c r="J63723"/>
    </row>
    <row r="63724" spans="10:10" x14ac:dyDescent="0.3">
      <c r="J63724"/>
    </row>
    <row r="63725" spans="10:10" x14ac:dyDescent="0.3">
      <c r="J63725"/>
    </row>
    <row r="63726" spans="10:10" x14ac:dyDescent="0.3">
      <c r="J63726"/>
    </row>
    <row r="63727" spans="10:10" x14ac:dyDescent="0.3">
      <c r="J63727"/>
    </row>
    <row r="63728" spans="10:10" x14ac:dyDescent="0.3">
      <c r="J63728"/>
    </row>
    <row r="63729" spans="10:10" x14ac:dyDescent="0.3">
      <c r="J63729"/>
    </row>
    <row r="63730" spans="10:10" x14ac:dyDescent="0.3">
      <c r="J63730"/>
    </row>
    <row r="63731" spans="10:10" x14ac:dyDescent="0.3">
      <c r="J63731"/>
    </row>
    <row r="63732" spans="10:10" x14ac:dyDescent="0.3">
      <c r="J63732"/>
    </row>
    <row r="63733" spans="10:10" x14ac:dyDescent="0.3">
      <c r="J63733"/>
    </row>
    <row r="63734" spans="10:10" x14ac:dyDescent="0.3">
      <c r="J63734"/>
    </row>
    <row r="63735" spans="10:10" x14ac:dyDescent="0.3">
      <c r="J63735"/>
    </row>
    <row r="63736" spans="10:10" x14ac:dyDescent="0.3">
      <c r="J63736"/>
    </row>
    <row r="63737" spans="10:10" x14ac:dyDescent="0.3">
      <c r="J63737"/>
    </row>
    <row r="63738" spans="10:10" x14ac:dyDescent="0.3">
      <c r="J63738"/>
    </row>
    <row r="63739" spans="10:10" x14ac:dyDescent="0.3">
      <c r="J63739"/>
    </row>
    <row r="63740" spans="10:10" x14ac:dyDescent="0.3">
      <c r="J63740"/>
    </row>
    <row r="63741" spans="10:10" x14ac:dyDescent="0.3">
      <c r="J63741"/>
    </row>
    <row r="63742" spans="10:10" x14ac:dyDescent="0.3">
      <c r="J63742"/>
    </row>
    <row r="63743" spans="10:10" x14ac:dyDescent="0.3">
      <c r="J63743"/>
    </row>
    <row r="63744" spans="10:10" x14ac:dyDescent="0.3">
      <c r="J63744"/>
    </row>
    <row r="63745" spans="10:10" x14ac:dyDescent="0.3">
      <c r="J63745"/>
    </row>
    <row r="63746" spans="10:10" x14ac:dyDescent="0.3">
      <c r="J63746"/>
    </row>
    <row r="63747" spans="10:10" x14ac:dyDescent="0.3">
      <c r="J63747"/>
    </row>
    <row r="63748" spans="10:10" x14ac:dyDescent="0.3">
      <c r="J63748"/>
    </row>
    <row r="63749" spans="10:10" x14ac:dyDescent="0.3">
      <c r="J63749"/>
    </row>
    <row r="63750" spans="10:10" x14ac:dyDescent="0.3">
      <c r="J63750"/>
    </row>
    <row r="63751" spans="10:10" x14ac:dyDescent="0.3">
      <c r="J63751"/>
    </row>
    <row r="63752" spans="10:10" x14ac:dyDescent="0.3">
      <c r="J63752"/>
    </row>
    <row r="63753" spans="10:10" x14ac:dyDescent="0.3">
      <c r="J63753"/>
    </row>
    <row r="63754" spans="10:10" x14ac:dyDescent="0.3">
      <c r="J63754"/>
    </row>
    <row r="63755" spans="10:10" x14ac:dyDescent="0.3">
      <c r="J63755"/>
    </row>
    <row r="63756" spans="10:10" x14ac:dyDescent="0.3">
      <c r="J63756"/>
    </row>
    <row r="63757" spans="10:10" x14ac:dyDescent="0.3">
      <c r="J63757"/>
    </row>
    <row r="63758" spans="10:10" x14ac:dyDescent="0.3">
      <c r="J63758"/>
    </row>
    <row r="63759" spans="10:10" x14ac:dyDescent="0.3">
      <c r="J63759"/>
    </row>
    <row r="63760" spans="10:10" x14ac:dyDescent="0.3">
      <c r="J63760"/>
    </row>
    <row r="63761" spans="10:10" x14ac:dyDescent="0.3">
      <c r="J63761"/>
    </row>
    <row r="63762" spans="10:10" x14ac:dyDescent="0.3">
      <c r="J63762"/>
    </row>
    <row r="63763" spans="10:10" x14ac:dyDescent="0.3">
      <c r="J63763"/>
    </row>
    <row r="63764" spans="10:10" x14ac:dyDescent="0.3">
      <c r="J63764"/>
    </row>
    <row r="63765" spans="10:10" x14ac:dyDescent="0.3">
      <c r="J63765"/>
    </row>
    <row r="63766" spans="10:10" x14ac:dyDescent="0.3">
      <c r="J63766"/>
    </row>
    <row r="63767" spans="10:10" x14ac:dyDescent="0.3">
      <c r="J63767"/>
    </row>
    <row r="63768" spans="10:10" x14ac:dyDescent="0.3">
      <c r="J63768"/>
    </row>
    <row r="63769" spans="10:10" x14ac:dyDescent="0.3">
      <c r="J63769"/>
    </row>
    <row r="63770" spans="10:10" x14ac:dyDescent="0.3">
      <c r="J63770"/>
    </row>
    <row r="63771" spans="10:10" x14ac:dyDescent="0.3">
      <c r="J63771"/>
    </row>
    <row r="63772" spans="10:10" x14ac:dyDescent="0.3">
      <c r="J63772"/>
    </row>
    <row r="63773" spans="10:10" x14ac:dyDescent="0.3">
      <c r="J63773"/>
    </row>
    <row r="63774" spans="10:10" x14ac:dyDescent="0.3">
      <c r="J63774"/>
    </row>
    <row r="63775" spans="10:10" x14ac:dyDescent="0.3">
      <c r="J63775"/>
    </row>
    <row r="63776" spans="10:10" x14ac:dyDescent="0.3">
      <c r="J63776"/>
    </row>
    <row r="63777" spans="10:10" x14ac:dyDescent="0.3">
      <c r="J63777"/>
    </row>
    <row r="63778" spans="10:10" x14ac:dyDescent="0.3">
      <c r="J63778"/>
    </row>
    <row r="63779" spans="10:10" x14ac:dyDescent="0.3">
      <c r="J63779"/>
    </row>
    <row r="63780" spans="10:10" x14ac:dyDescent="0.3">
      <c r="J63780"/>
    </row>
    <row r="63781" spans="10:10" x14ac:dyDescent="0.3">
      <c r="J63781"/>
    </row>
    <row r="63782" spans="10:10" x14ac:dyDescent="0.3">
      <c r="J63782"/>
    </row>
    <row r="63783" spans="10:10" x14ac:dyDescent="0.3">
      <c r="J63783"/>
    </row>
    <row r="63784" spans="10:10" x14ac:dyDescent="0.3">
      <c r="J63784"/>
    </row>
    <row r="63785" spans="10:10" x14ac:dyDescent="0.3">
      <c r="J63785"/>
    </row>
    <row r="63786" spans="10:10" x14ac:dyDescent="0.3">
      <c r="J63786"/>
    </row>
    <row r="63787" spans="10:10" x14ac:dyDescent="0.3">
      <c r="J63787"/>
    </row>
    <row r="63788" spans="10:10" x14ac:dyDescent="0.3">
      <c r="J63788"/>
    </row>
    <row r="63789" spans="10:10" x14ac:dyDescent="0.3">
      <c r="J63789"/>
    </row>
    <row r="63790" spans="10:10" x14ac:dyDescent="0.3">
      <c r="J63790"/>
    </row>
    <row r="63791" spans="10:10" x14ac:dyDescent="0.3">
      <c r="J63791"/>
    </row>
    <row r="63792" spans="10:10" x14ac:dyDescent="0.3">
      <c r="J63792"/>
    </row>
    <row r="63793" spans="10:10" x14ac:dyDescent="0.3">
      <c r="J63793"/>
    </row>
    <row r="63794" spans="10:10" x14ac:dyDescent="0.3">
      <c r="J63794"/>
    </row>
    <row r="63795" spans="10:10" x14ac:dyDescent="0.3">
      <c r="J63795"/>
    </row>
    <row r="63796" spans="10:10" x14ac:dyDescent="0.3">
      <c r="J63796"/>
    </row>
    <row r="63797" spans="10:10" x14ac:dyDescent="0.3">
      <c r="J63797"/>
    </row>
    <row r="63798" spans="10:10" x14ac:dyDescent="0.3">
      <c r="J63798"/>
    </row>
    <row r="63799" spans="10:10" x14ac:dyDescent="0.3">
      <c r="J63799"/>
    </row>
    <row r="63800" spans="10:10" x14ac:dyDescent="0.3">
      <c r="J63800"/>
    </row>
    <row r="63801" spans="10:10" x14ac:dyDescent="0.3">
      <c r="J63801"/>
    </row>
    <row r="63802" spans="10:10" x14ac:dyDescent="0.3">
      <c r="J63802"/>
    </row>
    <row r="63803" spans="10:10" x14ac:dyDescent="0.3">
      <c r="J63803"/>
    </row>
    <row r="63804" spans="10:10" x14ac:dyDescent="0.3">
      <c r="J63804"/>
    </row>
    <row r="63805" spans="10:10" x14ac:dyDescent="0.3">
      <c r="J63805"/>
    </row>
    <row r="63806" spans="10:10" x14ac:dyDescent="0.3">
      <c r="J63806"/>
    </row>
    <row r="63807" spans="10:10" x14ac:dyDescent="0.3">
      <c r="J63807"/>
    </row>
    <row r="63808" spans="10:10" x14ac:dyDescent="0.3">
      <c r="J63808"/>
    </row>
    <row r="63809" spans="10:10" x14ac:dyDescent="0.3">
      <c r="J63809"/>
    </row>
    <row r="63810" spans="10:10" x14ac:dyDescent="0.3">
      <c r="J63810"/>
    </row>
    <row r="63811" spans="10:10" x14ac:dyDescent="0.3">
      <c r="J63811"/>
    </row>
    <row r="63812" spans="10:10" x14ac:dyDescent="0.3">
      <c r="J63812"/>
    </row>
    <row r="63813" spans="10:10" x14ac:dyDescent="0.3">
      <c r="J63813"/>
    </row>
    <row r="63814" spans="10:10" x14ac:dyDescent="0.3">
      <c r="J63814"/>
    </row>
    <row r="63815" spans="10:10" x14ac:dyDescent="0.3">
      <c r="J63815"/>
    </row>
    <row r="63816" spans="10:10" x14ac:dyDescent="0.3">
      <c r="J63816"/>
    </row>
    <row r="63817" spans="10:10" x14ac:dyDescent="0.3">
      <c r="J63817"/>
    </row>
    <row r="63818" spans="10:10" x14ac:dyDescent="0.3">
      <c r="J63818"/>
    </row>
    <row r="63819" spans="10:10" x14ac:dyDescent="0.3">
      <c r="J63819"/>
    </row>
    <row r="63820" spans="10:10" x14ac:dyDescent="0.3">
      <c r="J63820"/>
    </row>
    <row r="63821" spans="10:10" x14ac:dyDescent="0.3">
      <c r="J63821"/>
    </row>
    <row r="63822" spans="10:10" x14ac:dyDescent="0.3">
      <c r="J63822"/>
    </row>
    <row r="63823" spans="10:10" x14ac:dyDescent="0.3">
      <c r="J63823"/>
    </row>
    <row r="63824" spans="10:10" x14ac:dyDescent="0.3">
      <c r="J63824"/>
    </row>
    <row r="63825" spans="10:10" x14ac:dyDescent="0.3">
      <c r="J63825"/>
    </row>
    <row r="63826" spans="10:10" x14ac:dyDescent="0.3">
      <c r="J63826"/>
    </row>
    <row r="63827" spans="10:10" x14ac:dyDescent="0.3">
      <c r="J63827"/>
    </row>
    <row r="63828" spans="10:10" x14ac:dyDescent="0.3">
      <c r="J63828"/>
    </row>
    <row r="63829" spans="10:10" x14ac:dyDescent="0.3">
      <c r="J63829"/>
    </row>
    <row r="63830" spans="10:10" x14ac:dyDescent="0.3">
      <c r="J63830"/>
    </row>
    <row r="63831" spans="10:10" x14ac:dyDescent="0.3">
      <c r="J63831"/>
    </row>
    <row r="63832" spans="10:10" x14ac:dyDescent="0.3">
      <c r="J63832"/>
    </row>
    <row r="63833" spans="10:10" x14ac:dyDescent="0.3">
      <c r="J63833"/>
    </row>
    <row r="63834" spans="10:10" x14ac:dyDescent="0.3">
      <c r="J63834"/>
    </row>
    <row r="63835" spans="10:10" x14ac:dyDescent="0.3">
      <c r="J63835"/>
    </row>
    <row r="63836" spans="10:10" x14ac:dyDescent="0.3">
      <c r="J63836"/>
    </row>
    <row r="63837" spans="10:10" x14ac:dyDescent="0.3">
      <c r="J63837"/>
    </row>
    <row r="63838" spans="10:10" x14ac:dyDescent="0.3">
      <c r="J63838"/>
    </row>
    <row r="63839" spans="10:10" x14ac:dyDescent="0.3">
      <c r="J63839"/>
    </row>
    <row r="63840" spans="10:10" x14ac:dyDescent="0.3">
      <c r="J63840"/>
    </row>
    <row r="63841" spans="10:10" x14ac:dyDescent="0.3">
      <c r="J63841"/>
    </row>
    <row r="63842" spans="10:10" x14ac:dyDescent="0.3">
      <c r="J63842"/>
    </row>
    <row r="63843" spans="10:10" x14ac:dyDescent="0.3">
      <c r="J63843"/>
    </row>
    <row r="63844" spans="10:10" x14ac:dyDescent="0.3">
      <c r="J63844"/>
    </row>
    <row r="63845" spans="10:10" x14ac:dyDescent="0.3">
      <c r="J63845"/>
    </row>
    <row r="63846" spans="10:10" x14ac:dyDescent="0.3">
      <c r="J63846"/>
    </row>
    <row r="63847" spans="10:10" x14ac:dyDescent="0.3">
      <c r="J63847"/>
    </row>
    <row r="63848" spans="10:10" x14ac:dyDescent="0.3">
      <c r="J63848"/>
    </row>
    <row r="63849" spans="10:10" x14ac:dyDescent="0.3">
      <c r="J63849"/>
    </row>
    <row r="63850" spans="10:10" x14ac:dyDescent="0.3">
      <c r="J63850"/>
    </row>
    <row r="63851" spans="10:10" x14ac:dyDescent="0.3">
      <c r="J63851"/>
    </row>
    <row r="63852" spans="10:10" x14ac:dyDescent="0.3">
      <c r="J63852"/>
    </row>
    <row r="63853" spans="10:10" x14ac:dyDescent="0.3">
      <c r="J63853"/>
    </row>
    <row r="63854" spans="10:10" x14ac:dyDescent="0.3">
      <c r="J63854"/>
    </row>
    <row r="63855" spans="10:10" x14ac:dyDescent="0.3">
      <c r="J63855"/>
    </row>
    <row r="63856" spans="10:10" x14ac:dyDescent="0.3">
      <c r="J63856"/>
    </row>
    <row r="63857" spans="10:10" x14ac:dyDescent="0.3">
      <c r="J63857"/>
    </row>
    <row r="63858" spans="10:10" x14ac:dyDescent="0.3">
      <c r="J63858"/>
    </row>
    <row r="63859" spans="10:10" x14ac:dyDescent="0.3">
      <c r="J63859"/>
    </row>
    <row r="63860" spans="10:10" x14ac:dyDescent="0.3">
      <c r="J63860"/>
    </row>
    <row r="63861" spans="10:10" x14ac:dyDescent="0.3">
      <c r="J63861"/>
    </row>
    <row r="63862" spans="10:10" x14ac:dyDescent="0.3">
      <c r="J63862"/>
    </row>
    <row r="63863" spans="10:10" x14ac:dyDescent="0.3">
      <c r="J63863"/>
    </row>
    <row r="63864" spans="10:10" x14ac:dyDescent="0.3">
      <c r="J63864"/>
    </row>
    <row r="63865" spans="10:10" x14ac:dyDescent="0.3">
      <c r="J63865"/>
    </row>
    <row r="63866" spans="10:10" x14ac:dyDescent="0.3">
      <c r="J63866"/>
    </row>
    <row r="63867" spans="10:10" x14ac:dyDescent="0.3">
      <c r="J63867"/>
    </row>
    <row r="63868" spans="10:10" x14ac:dyDescent="0.3">
      <c r="J63868"/>
    </row>
    <row r="63869" spans="10:10" x14ac:dyDescent="0.3">
      <c r="J63869"/>
    </row>
    <row r="63870" spans="10:10" x14ac:dyDescent="0.3">
      <c r="J63870"/>
    </row>
    <row r="63871" spans="10:10" x14ac:dyDescent="0.3">
      <c r="J63871"/>
    </row>
    <row r="63872" spans="10:10" x14ac:dyDescent="0.3">
      <c r="J63872"/>
    </row>
    <row r="63873" spans="10:10" x14ac:dyDescent="0.3">
      <c r="J63873"/>
    </row>
    <row r="63874" spans="10:10" x14ac:dyDescent="0.3">
      <c r="J63874"/>
    </row>
    <row r="63875" spans="10:10" x14ac:dyDescent="0.3">
      <c r="J63875"/>
    </row>
    <row r="63876" spans="10:10" x14ac:dyDescent="0.3">
      <c r="J63876"/>
    </row>
    <row r="63877" spans="10:10" x14ac:dyDescent="0.3">
      <c r="J63877"/>
    </row>
    <row r="63878" spans="10:10" x14ac:dyDescent="0.3">
      <c r="J63878"/>
    </row>
    <row r="63879" spans="10:10" x14ac:dyDescent="0.3">
      <c r="J63879"/>
    </row>
    <row r="63880" spans="10:10" x14ac:dyDescent="0.3">
      <c r="J63880"/>
    </row>
    <row r="63881" spans="10:10" x14ac:dyDescent="0.3">
      <c r="J63881"/>
    </row>
    <row r="63882" spans="10:10" x14ac:dyDescent="0.3">
      <c r="J63882"/>
    </row>
    <row r="63883" spans="10:10" x14ac:dyDescent="0.3">
      <c r="J63883"/>
    </row>
    <row r="63884" spans="10:10" x14ac:dyDescent="0.3">
      <c r="J63884"/>
    </row>
    <row r="63885" spans="10:10" x14ac:dyDescent="0.3">
      <c r="J63885"/>
    </row>
    <row r="63886" spans="10:10" x14ac:dyDescent="0.3">
      <c r="J63886"/>
    </row>
    <row r="63887" spans="10:10" x14ac:dyDescent="0.3">
      <c r="J63887"/>
    </row>
    <row r="63888" spans="10:10" x14ac:dyDescent="0.3">
      <c r="J63888"/>
    </row>
    <row r="63889" spans="10:10" x14ac:dyDescent="0.3">
      <c r="J63889"/>
    </row>
    <row r="63890" spans="10:10" x14ac:dyDescent="0.3">
      <c r="J63890"/>
    </row>
    <row r="63891" spans="10:10" x14ac:dyDescent="0.3">
      <c r="J63891"/>
    </row>
    <row r="63892" spans="10:10" x14ac:dyDescent="0.3">
      <c r="J63892"/>
    </row>
    <row r="63893" spans="10:10" x14ac:dyDescent="0.3">
      <c r="J63893"/>
    </row>
    <row r="63894" spans="10:10" x14ac:dyDescent="0.3">
      <c r="J63894"/>
    </row>
    <row r="63895" spans="10:10" x14ac:dyDescent="0.3">
      <c r="J63895"/>
    </row>
    <row r="63896" spans="10:10" x14ac:dyDescent="0.3">
      <c r="J63896"/>
    </row>
    <row r="63897" spans="10:10" x14ac:dyDescent="0.3">
      <c r="J63897"/>
    </row>
    <row r="63898" spans="10:10" x14ac:dyDescent="0.3">
      <c r="J63898"/>
    </row>
    <row r="63899" spans="10:10" x14ac:dyDescent="0.3">
      <c r="J63899"/>
    </row>
    <row r="63900" spans="10:10" x14ac:dyDescent="0.3">
      <c r="J63900"/>
    </row>
    <row r="63901" spans="10:10" x14ac:dyDescent="0.3">
      <c r="J63901"/>
    </row>
    <row r="63902" spans="10:10" x14ac:dyDescent="0.3">
      <c r="J63902"/>
    </row>
    <row r="63903" spans="10:10" x14ac:dyDescent="0.3">
      <c r="J63903"/>
    </row>
    <row r="63904" spans="10:10" x14ac:dyDescent="0.3">
      <c r="J63904"/>
    </row>
    <row r="63905" spans="10:10" x14ac:dyDescent="0.3">
      <c r="J63905"/>
    </row>
    <row r="63906" spans="10:10" x14ac:dyDescent="0.3">
      <c r="J63906"/>
    </row>
    <row r="63907" spans="10:10" x14ac:dyDescent="0.3">
      <c r="J63907"/>
    </row>
    <row r="63908" spans="10:10" x14ac:dyDescent="0.3">
      <c r="J63908"/>
    </row>
    <row r="63909" spans="10:10" x14ac:dyDescent="0.3">
      <c r="J63909"/>
    </row>
    <row r="63910" spans="10:10" x14ac:dyDescent="0.3">
      <c r="J63910"/>
    </row>
    <row r="63911" spans="10:10" x14ac:dyDescent="0.3">
      <c r="J63911"/>
    </row>
    <row r="63912" spans="10:10" x14ac:dyDescent="0.3">
      <c r="J63912"/>
    </row>
    <row r="63913" spans="10:10" x14ac:dyDescent="0.3">
      <c r="J63913"/>
    </row>
    <row r="63914" spans="10:10" x14ac:dyDescent="0.3">
      <c r="J63914"/>
    </row>
    <row r="63915" spans="10:10" x14ac:dyDescent="0.3">
      <c r="J63915"/>
    </row>
    <row r="63916" spans="10:10" x14ac:dyDescent="0.3">
      <c r="J63916"/>
    </row>
    <row r="63917" spans="10:10" x14ac:dyDescent="0.3">
      <c r="J63917"/>
    </row>
    <row r="63918" spans="10:10" x14ac:dyDescent="0.3">
      <c r="J63918"/>
    </row>
    <row r="63919" spans="10:10" x14ac:dyDescent="0.3">
      <c r="J63919"/>
    </row>
    <row r="63920" spans="10:10" x14ac:dyDescent="0.3">
      <c r="J63920"/>
    </row>
    <row r="63921" spans="10:10" x14ac:dyDescent="0.3">
      <c r="J63921"/>
    </row>
    <row r="63922" spans="10:10" x14ac:dyDescent="0.3">
      <c r="J63922"/>
    </row>
    <row r="63923" spans="10:10" x14ac:dyDescent="0.3">
      <c r="J63923"/>
    </row>
    <row r="63924" spans="10:10" x14ac:dyDescent="0.3">
      <c r="J63924"/>
    </row>
    <row r="63925" spans="10:10" x14ac:dyDescent="0.3">
      <c r="J63925"/>
    </row>
    <row r="63926" spans="10:10" x14ac:dyDescent="0.3">
      <c r="J63926"/>
    </row>
    <row r="63927" spans="10:10" x14ac:dyDescent="0.3">
      <c r="J63927"/>
    </row>
    <row r="63928" spans="10:10" x14ac:dyDescent="0.3">
      <c r="J63928"/>
    </row>
    <row r="63929" spans="10:10" x14ac:dyDescent="0.3">
      <c r="J63929"/>
    </row>
    <row r="63930" spans="10:10" x14ac:dyDescent="0.3">
      <c r="J63930"/>
    </row>
    <row r="63931" spans="10:10" x14ac:dyDescent="0.3">
      <c r="J63931"/>
    </row>
    <row r="63932" spans="10:10" x14ac:dyDescent="0.3">
      <c r="J63932"/>
    </row>
    <row r="63933" spans="10:10" x14ac:dyDescent="0.3">
      <c r="J63933"/>
    </row>
    <row r="63934" spans="10:10" x14ac:dyDescent="0.3">
      <c r="J63934"/>
    </row>
    <row r="63935" spans="10:10" x14ac:dyDescent="0.3">
      <c r="J63935"/>
    </row>
    <row r="63936" spans="10:10" x14ac:dyDescent="0.3">
      <c r="J63936"/>
    </row>
    <row r="63937" spans="10:10" x14ac:dyDescent="0.3">
      <c r="J63937"/>
    </row>
    <row r="63938" spans="10:10" x14ac:dyDescent="0.3">
      <c r="J63938"/>
    </row>
    <row r="63939" spans="10:10" x14ac:dyDescent="0.3">
      <c r="J63939"/>
    </row>
    <row r="63940" spans="10:10" x14ac:dyDescent="0.3">
      <c r="J63940"/>
    </row>
    <row r="63941" spans="10:10" x14ac:dyDescent="0.3">
      <c r="J63941"/>
    </row>
    <row r="63942" spans="10:10" x14ac:dyDescent="0.3">
      <c r="J63942"/>
    </row>
    <row r="63943" spans="10:10" x14ac:dyDescent="0.3">
      <c r="J63943"/>
    </row>
    <row r="63944" spans="10:10" x14ac:dyDescent="0.3">
      <c r="J63944"/>
    </row>
    <row r="63945" spans="10:10" x14ac:dyDescent="0.3">
      <c r="J63945"/>
    </row>
    <row r="63946" spans="10:10" x14ac:dyDescent="0.3">
      <c r="J63946"/>
    </row>
    <row r="63947" spans="10:10" x14ac:dyDescent="0.3">
      <c r="J63947"/>
    </row>
    <row r="63948" spans="10:10" x14ac:dyDescent="0.3">
      <c r="J63948"/>
    </row>
    <row r="63949" spans="10:10" x14ac:dyDescent="0.3">
      <c r="J63949"/>
    </row>
    <row r="63950" spans="10:10" x14ac:dyDescent="0.3">
      <c r="J63950"/>
    </row>
    <row r="63951" spans="10:10" x14ac:dyDescent="0.3">
      <c r="J63951"/>
    </row>
    <row r="63952" spans="10:10" x14ac:dyDescent="0.3">
      <c r="J63952"/>
    </row>
    <row r="63953" spans="10:10" x14ac:dyDescent="0.3">
      <c r="J63953"/>
    </row>
    <row r="63954" spans="10:10" x14ac:dyDescent="0.3">
      <c r="J63954"/>
    </row>
    <row r="63955" spans="10:10" x14ac:dyDescent="0.3">
      <c r="J63955"/>
    </row>
    <row r="63956" spans="10:10" x14ac:dyDescent="0.3">
      <c r="J63956"/>
    </row>
    <row r="63957" spans="10:10" x14ac:dyDescent="0.3">
      <c r="J63957"/>
    </row>
    <row r="63958" spans="10:10" x14ac:dyDescent="0.3">
      <c r="J63958"/>
    </row>
    <row r="63959" spans="10:10" x14ac:dyDescent="0.3">
      <c r="J63959"/>
    </row>
    <row r="63960" spans="10:10" x14ac:dyDescent="0.3">
      <c r="J63960"/>
    </row>
    <row r="63961" spans="10:10" x14ac:dyDescent="0.3">
      <c r="J63961"/>
    </row>
    <row r="63962" spans="10:10" x14ac:dyDescent="0.3">
      <c r="J63962"/>
    </row>
    <row r="63963" spans="10:10" x14ac:dyDescent="0.3">
      <c r="J63963"/>
    </row>
    <row r="63964" spans="10:10" x14ac:dyDescent="0.3">
      <c r="J63964"/>
    </row>
    <row r="63965" spans="10:10" x14ac:dyDescent="0.3">
      <c r="J63965"/>
    </row>
    <row r="63966" spans="10:10" x14ac:dyDescent="0.3">
      <c r="J63966"/>
    </row>
    <row r="63967" spans="10:10" x14ac:dyDescent="0.3">
      <c r="J63967"/>
    </row>
    <row r="63968" spans="10:10" x14ac:dyDescent="0.3">
      <c r="J63968"/>
    </row>
    <row r="63969" spans="10:10" x14ac:dyDescent="0.3">
      <c r="J63969"/>
    </row>
    <row r="63970" spans="10:10" x14ac:dyDescent="0.3">
      <c r="J63970"/>
    </row>
    <row r="63971" spans="10:10" x14ac:dyDescent="0.3">
      <c r="J63971"/>
    </row>
    <row r="63972" spans="10:10" x14ac:dyDescent="0.3">
      <c r="J63972"/>
    </row>
    <row r="63973" spans="10:10" x14ac:dyDescent="0.3">
      <c r="J63973"/>
    </row>
    <row r="63974" spans="10:10" x14ac:dyDescent="0.3">
      <c r="J63974"/>
    </row>
    <row r="63975" spans="10:10" x14ac:dyDescent="0.3">
      <c r="J63975"/>
    </row>
    <row r="63976" spans="10:10" x14ac:dyDescent="0.3">
      <c r="J63976"/>
    </row>
    <row r="63977" spans="10:10" x14ac:dyDescent="0.3">
      <c r="J63977"/>
    </row>
    <row r="63978" spans="10:10" x14ac:dyDescent="0.3">
      <c r="J63978"/>
    </row>
    <row r="63979" spans="10:10" x14ac:dyDescent="0.3">
      <c r="J63979"/>
    </row>
    <row r="63980" spans="10:10" x14ac:dyDescent="0.3">
      <c r="J63980"/>
    </row>
    <row r="63981" spans="10:10" x14ac:dyDescent="0.3">
      <c r="J63981"/>
    </row>
    <row r="63982" spans="10:10" x14ac:dyDescent="0.3">
      <c r="J63982"/>
    </row>
    <row r="63983" spans="10:10" x14ac:dyDescent="0.3">
      <c r="J63983"/>
    </row>
    <row r="63984" spans="10:10" x14ac:dyDescent="0.3">
      <c r="J63984"/>
    </row>
    <row r="63985" spans="10:10" x14ac:dyDescent="0.3">
      <c r="J63985"/>
    </row>
    <row r="63986" spans="10:10" x14ac:dyDescent="0.3">
      <c r="J63986"/>
    </row>
    <row r="63987" spans="10:10" x14ac:dyDescent="0.3">
      <c r="J63987"/>
    </row>
    <row r="63988" spans="10:10" x14ac:dyDescent="0.3">
      <c r="J63988"/>
    </row>
    <row r="63989" spans="10:10" x14ac:dyDescent="0.3">
      <c r="J63989"/>
    </row>
    <row r="63990" spans="10:10" x14ac:dyDescent="0.3">
      <c r="J63990"/>
    </row>
    <row r="63991" spans="10:10" x14ac:dyDescent="0.3">
      <c r="J63991"/>
    </row>
    <row r="63992" spans="10:10" x14ac:dyDescent="0.3">
      <c r="J63992"/>
    </row>
    <row r="63993" spans="10:10" x14ac:dyDescent="0.3">
      <c r="J63993"/>
    </row>
    <row r="63994" spans="10:10" x14ac:dyDescent="0.3">
      <c r="J63994"/>
    </row>
    <row r="63995" spans="10:10" x14ac:dyDescent="0.3">
      <c r="J63995"/>
    </row>
    <row r="63996" spans="10:10" x14ac:dyDescent="0.3">
      <c r="J63996"/>
    </row>
    <row r="63997" spans="10:10" x14ac:dyDescent="0.3">
      <c r="J63997"/>
    </row>
    <row r="63998" spans="10:10" x14ac:dyDescent="0.3">
      <c r="J63998"/>
    </row>
    <row r="63999" spans="10:10" x14ac:dyDescent="0.3">
      <c r="J63999"/>
    </row>
    <row r="64000" spans="10:10" x14ac:dyDescent="0.3">
      <c r="J64000"/>
    </row>
    <row r="64001" spans="10:10" x14ac:dyDescent="0.3">
      <c r="J64001"/>
    </row>
    <row r="64002" spans="10:10" x14ac:dyDescent="0.3">
      <c r="J64002"/>
    </row>
    <row r="64003" spans="10:10" x14ac:dyDescent="0.3">
      <c r="J64003"/>
    </row>
    <row r="64004" spans="10:10" x14ac:dyDescent="0.3">
      <c r="J64004"/>
    </row>
    <row r="64005" spans="10:10" x14ac:dyDescent="0.3">
      <c r="J64005"/>
    </row>
    <row r="64006" spans="10:10" x14ac:dyDescent="0.3">
      <c r="J64006"/>
    </row>
    <row r="64007" spans="10:10" x14ac:dyDescent="0.3">
      <c r="J64007"/>
    </row>
    <row r="64008" spans="10:10" x14ac:dyDescent="0.3">
      <c r="J64008"/>
    </row>
    <row r="64009" spans="10:10" x14ac:dyDescent="0.3">
      <c r="J64009"/>
    </row>
    <row r="64010" spans="10:10" x14ac:dyDescent="0.3">
      <c r="J64010"/>
    </row>
    <row r="64011" spans="10:10" x14ac:dyDescent="0.3">
      <c r="J64011"/>
    </row>
    <row r="64012" spans="10:10" x14ac:dyDescent="0.3">
      <c r="J64012"/>
    </row>
    <row r="64013" spans="10:10" x14ac:dyDescent="0.3">
      <c r="J64013"/>
    </row>
    <row r="64014" spans="10:10" x14ac:dyDescent="0.3">
      <c r="J64014"/>
    </row>
    <row r="64015" spans="10:10" x14ac:dyDescent="0.3">
      <c r="J64015"/>
    </row>
    <row r="64016" spans="10:10" x14ac:dyDescent="0.3">
      <c r="J64016"/>
    </row>
    <row r="64017" spans="10:10" x14ac:dyDescent="0.3">
      <c r="J64017"/>
    </row>
    <row r="64018" spans="10:10" x14ac:dyDescent="0.3">
      <c r="J64018"/>
    </row>
    <row r="64019" spans="10:10" x14ac:dyDescent="0.3">
      <c r="J64019"/>
    </row>
    <row r="64020" spans="10:10" x14ac:dyDescent="0.3">
      <c r="J64020"/>
    </row>
    <row r="64021" spans="10:10" x14ac:dyDescent="0.3">
      <c r="J64021"/>
    </row>
    <row r="64022" spans="10:10" x14ac:dyDescent="0.3">
      <c r="J64022"/>
    </row>
    <row r="64023" spans="10:10" x14ac:dyDescent="0.3">
      <c r="J64023"/>
    </row>
    <row r="64024" spans="10:10" x14ac:dyDescent="0.3">
      <c r="J64024"/>
    </row>
    <row r="64025" spans="10:10" x14ac:dyDescent="0.3">
      <c r="J64025"/>
    </row>
    <row r="64026" spans="10:10" x14ac:dyDescent="0.3">
      <c r="J64026"/>
    </row>
    <row r="64027" spans="10:10" x14ac:dyDescent="0.3">
      <c r="J64027"/>
    </row>
    <row r="64028" spans="10:10" x14ac:dyDescent="0.3">
      <c r="J64028"/>
    </row>
    <row r="64029" spans="10:10" x14ac:dyDescent="0.3">
      <c r="J64029"/>
    </row>
    <row r="64030" spans="10:10" x14ac:dyDescent="0.3">
      <c r="J64030"/>
    </row>
    <row r="64031" spans="10:10" x14ac:dyDescent="0.3">
      <c r="J64031"/>
    </row>
    <row r="64032" spans="10:10" x14ac:dyDescent="0.3">
      <c r="J64032"/>
    </row>
    <row r="64033" spans="10:10" x14ac:dyDescent="0.3">
      <c r="J64033"/>
    </row>
    <row r="64034" spans="10:10" x14ac:dyDescent="0.3">
      <c r="J64034"/>
    </row>
    <row r="64035" spans="10:10" x14ac:dyDescent="0.3">
      <c r="J64035"/>
    </row>
    <row r="64036" spans="10:10" x14ac:dyDescent="0.3">
      <c r="J64036"/>
    </row>
    <row r="64037" spans="10:10" x14ac:dyDescent="0.3">
      <c r="J64037"/>
    </row>
    <row r="64038" spans="10:10" x14ac:dyDescent="0.3">
      <c r="J64038"/>
    </row>
    <row r="64039" spans="10:10" x14ac:dyDescent="0.3">
      <c r="J64039"/>
    </row>
    <row r="64040" spans="10:10" x14ac:dyDescent="0.3">
      <c r="J64040"/>
    </row>
    <row r="64041" spans="10:10" x14ac:dyDescent="0.3">
      <c r="J64041"/>
    </row>
    <row r="64042" spans="10:10" x14ac:dyDescent="0.3">
      <c r="J64042"/>
    </row>
    <row r="64043" spans="10:10" x14ac:dyDescent="0.3">
      <c r="J64043"/>
    </row>
    <row r="64044" spans="10:10" x14ac:dyDescent="0.3">
      <c r="J64044"/>
    </row>
    <row r="64045" spans="10:10" x14ac:dyDescent="0.3">
      <c r="J64045"/>
    </row>
    <row r="64046" spans="10:10" x14ac:dyDescent="0.3">
      <c r="J64046"/>
    </row>
    <row r="64047" spans="10:10" x14ac:dyDescent="0.3">
      <c r="J64047"/>
    </row>
    <row r="64048" spans="10:10" x14ac:dyDescent="0.3">
      <c r="J64048"/>
    </row>
    <row r="64049" spans="10:10" x14ac:dyDescent="0.3">
      <c r="J64049"/>
    </row>
    <row r="64050" spans="10:10" x14ac:dyDescent="0.3">
      <c r="J64050"/>
    </row>
    <row r="64051" spans="10:10" x14ac:dyDescent="0.3">
      <c r="J64051"/>
    </row>
    <row r="64052" spans="10:10" x14ac:dyDescent="0.3">
      <c r="J64052"/>
    </row>
    <row r="64053" spans="10:10" x14ac:dyDescent="0.3">
      <c r="J64053"/>
    </row>
    <row r="64054" spans="10:10" x14ac:dyDescent="0.3">
      <c r="J64054"/>
    </row>
    <row r="64055" spans="10:10" x14ac:dyDescent="0.3">
      <c r="J64055"/>
    </row>
    <row r="64056" spans="10:10" x14ac:dyDescent="0.3">
      <c r="J64056"/>
    </row>
    <row r="64057" spans="10:10" x14ac:dyDescent="0.3">
      <c r="J64057"/>
    </row>
    <row r="64058" spans="10:10" x14ac:dyDescent="0.3">
      <c r="J64058"/>
    </row>
    <row r="64059" spans="10:10" x14ac:dyDescent="0.3">
      <c r="J64059"/>
    </row>
    <row r="64060" spans="10:10" x14ac:dyDescent="0.3">
      <c r="J64060"/>
    </row>
    <row r="64061" spans="10:10" x14ac:dyDescent="0.3">
      <c r="J64061"/>
    </row>
    <row r="64062" spans="10:10" x14ac:dyDescent="0.3">
      <c r="J64062"/>
    </row>
    <row r="64063" spans="10:10" x14ac:dyDescent="0.3">
      <c r="J64063"/>
    </row>
    <row r="64064" spans="10:10" x14ac:dyDescent="0.3">
      <c r="J64064"/>
    </row>
    <row r="64065" spans="10:10" x14ac:dyDescent="0.3">
      <c r="J64065"/>
    </row>
    <row r="64066" spans="10:10" x14ac:dyDescent="0.3">
      <c r="J64066"/>
    </row>
    <row r="64067" spans="10:10" x14ac:dyDescent="0.3">
      <c r="J64067"/>
    </row>
    <row r="64068" spans="10:10" x14ac:dyDescent="0.3">
      <c r="J64068"/>
    </row>
    <row r="64069" spans="10:10" x14ac:dyDescent="0.3">
      <c r="J64069"/>
    </row>
    <row r="64070" spans="10:10" x14ac:dyDescent="0.3">
      <c r="J64070"/>
    </row>
    <row r="64071" spans="10:10" x14ac:dyDescent="0.3">
      <c r="J64071"/>
    </row>
    <row r="64072" spans="10:10" x14ac:dyDescent="0.3">
      <c r="J64072"/>
    </row>
    <row r="64073" spans="10:10" x14ac:dyDescent="0.3">
      <c r="J64073"/>
    </row>
    <row r="64074" spans="10:10" x14ac:dyDescent="0.3">
      <c r="J64074"/>
    </row>
    <row r="64075" spans="10:10" x14ac:dyDescent="0.3">
      <c r="J64075"/>
    </row>
    <row r="64076" spans="10:10" x14ac:dyDescent="0.3">
      <c r="J64076"/>
    </row>
    <row r="64077" spans="10:10" x14ac:dyDescent="0.3">
      <c r="J64077"/>
    </row>
    <row r="64078" spans="10:10" x14ac:dyDescent="0.3">
      <c r="J64078"/>
    </row>
    <row r="64079" spans="10:10" x14ac:dyDescent="0.3">
      <c r="J64079"/>
    </row>
    <row r="64080" spans="10:10" x14ac:dyDescent="0.3">
      <c r="J64080"/>
    </row>
    <row r="64081" spans="10:10" x14ac:dyDescent="0.3">
      <c r="J64081"/>
    </row>
    <row r="64082" spans="10:10" x14ac:dyDescent="0.3">
      <c r="J64082"/>
    </row>
    <row r="64083" spans="10:10" x14ac:dyDescent="0.3">
      <c r="J64083"/>
    </row>
    <row r="64084" spans="10:10" x14ac:dyDescent="0.3">
      <c r="J64084"/>
    </row>
    <row r="64085" spans="10:10" x14ac:dyDescent="0.3">
      <c r="J64085"/>
    </row>
    <row r="64086" spans="10:10" x14ac:dyDescent="0.3">
      <c r="J64086"/>
    </row>
    <row r="64087" spans="10:10" x14ac:dyDescent="0.3">
      <c r="J64087"/>
    </row>
    <row r="64088" spans="10:10" x14ac:dyDescent="0.3">
      <c r="J64088"/>
    </row>
    <row r="64089" spans="10:10" x14ac:dyDescent="0.3">
      <c r="J64089"/>
    </row>
    <row r="64090" spans="10:10" x14ac:dyDescent="0.3">
      <c r="J64090"/>
    </row>
    <row r="64091" spans="10:10" x14ac:dyDescent="0.3">
      <c r="J64091"/>
    </row>
    <row r="64092" spans="10:10" x14ac:dyDescent="0.3">
      <c r="J64092"/>
    </row>
    <row r="64093" spans="10:10" x14ac:dyDescent="0.3">
      <c r="J64093"/>
    </row>
    <row r="64094" spans="10:10" x14ac:dyDescent="0.3">
      <c r="J64094"/>
    </row>
    <row r="64095" spans="10:10" x14ac:dyDescent="0.3">
      <c r="J64095"/>
    </row>
    <row r="64096" spans="10:10" x14ac:dyDescent="0.3">
      <c r="J64096"/>
    </row>
    <row r="64097" spans="10:10" x14ac:dyDescent="0.3">
      <c r="J64097"/>
    </row>
    <row r="64098" spans="10:10" x14ac:dyDescent="0.3">
      <c r="J64098"/>
    </row>
    <row r="64099" spans="10:10" x14ac:dyDescent="0.3">
      <c r="J64099"/>
    </row>
    <row r="64100" spans="10:10" x14ac:dyDescent="0.3">
      <c r="J64100"/>
    </row>
    <row r="64101" spans="10:10" x14ac:dyDescent="0.3">
      <c r="J64101"/>
    </row>
    <row r="64102" spans="10:10" x14ac:dyDescent="0.3">
      <c r="J64102"/>
    </row>
    <row r="64103" spans="10:10" x14ac:dyDescent="0.3">
      <c r="J64103"/>
    </row>
    <row r="64104" spans="10:10" x14ac:dyDescent="0.3">
      <c r="J64104"/>
    </row>
    <row r="64105" spans="10:10" x14ac:dyDescent="0.3">
      <c r="J64105"/>
    </row>
    <row r="64106" spans="10:10" x14ac:dyDescent="0.3">
      <c r="J64106"/>
    </row>
    <row r="64107" spans="10:10" x14ac:dyDescent="0.3">
      <c r="J64107"/>
    </row>
    <row r="64108" spans="10:10" x14ac:dyDescent="0.3">
      <c r="J64108"/>
    </row>
    <row r="64109" spans="10:10" x14ac:dyDescent="0.3">
      <c r="J64109"/>
    </row>
    <row r="64110" spans="10:10" x14ac:dyDescent="0.3">
      <c r="J64110"/>
    </row>
    <row r="64111" spans="10:10" x14ac:dyDescent="0.3">
      <c r="J64111"/>
    </row>
    <row r="64112" spans="10:10" x14ac:dyDescent="0.3">
      <c r="J64112"/>
    </row>
    <row r="64113" spans="10:10" x14ac:dyDescent="0.3">
      <c r="J64113"/>
    </row>
    <row r="64114" spans="10:10" x14ac:dyDescent="0.3">
      <c r="J64114"/>
    </row>
    <row r="64115" spans="10:10" x14ac:dyDescent="0.3">
      <c r="J64115"/>
    </row>
    <row r="64116" spans="10:10" x14ac:dyDescent="0.3">
      <c r="J64116"/>
    </row>
    <row r="64117" spans="10:10" x14ac:dyDescent="0.3">
      <c r="J64117"/>
    </row>
    <row r="64118" spans="10:10" x14ac:dyDescent="0.3">
      <c r="J64118"/>
    </row>
    <row r="64119" spans="10:10" x14ac:dyDescent="0.3">
      <c r="J64119"/>
    </row>
    <row r="64120" spans="10:10" x14ac:dyDescent="0.3">
      <c r="J64120"/>
    </row>
    <row r="64121" spans="10:10" x14ac:dyDescent="0.3">
      <c r="J64121"/>
    </row>
    <row r="64122" spans="10:10" x14ac:dyDescent="0.3">
      <c r="J64122"/>
    </row>
    <row r="64123" spans="10:10" x14ac:dyDescent="0.3">
      <c r="J64123"/>
    </row>
    <row r="64124" spans="10:10" x14ac:dyDescent="0.3">
      <c r="J64124"/>
    </row>
    <row r="64125" spans="10:10" x14ac:dyDescent="0.3">
      <c r="J64125"/>
    </row>
    <row r="64126" spans="10:10" x14ac:dyDescent="0.3">
      <c r="J64126"/>
    </row>
    <row r="64127" spans="10:10" x14ac:dyDescent="0.3">
      <c r="J64127"/>
    </row>
    <row r="64128" spans="10:10" x14ac:dyDescent="0.3">
      <c r="J64128"/>
    </row>
    <row r="64129" spans="10:10" x14ac:dyDescent="0.3">
      <c r="J64129"/>
    </row>
    <row r="64130" spans="10:10" x14ac:dyDescent="0.3">
      <c r="J64130"/>
    </row>
    <row r="64131" spans="10:10" x14ac:dyDescent="0.3">
      <c r="J64131"/>
    </row>
    <row r="64132" spans="10:10" x14ac:dyDescent="0.3">
      <c r="J64132"/>
    </row>
    <row r="64133" spans="10:10" x14ac:dyDescent="0.3">
      <c r="J64133"/>
    </row>
    <row r="64134" spans="10:10" x14ac:dyDescent="0.3">
      <c r="J64134"/>
    </row>
    <row r="64135" spans="10:10" x14ac:dyDescent="0.3">
      <c r="J64135"/>
    </row>
    <row r="64136" spans="10:10" x14ac:dyDescent="0.3">
      <c r="J64136"/>
    </row>
    <row r="64137" spans="10:10" x14ac:dyDescent="0.3">
      <c r="J64137"/>
    </row>
    <row r="64138" spans="10:10" x14ac:dyDescent="0.3">
      <c r="J64138"/>
    </row>
    <row r="64139" spans="10:10" x14ac:dyDescent="0.3">
      <c r="J64139"/>
    </row>
    <row r="64140" spans="10:10" x14ac:dyDescent="0.3">
      <c r="J64140"/>
    </row>
    <row r="64141" spans="10:10" x14ac:dyDescent="0.3">
      <c r="J64141"/>
    </row>
    <row r="64142" spans="10:10" x14ac:dyDescent="0.3">
      <c r="J64142"/>
    </row>
    <row r="64143" spans="10:10" x14ac:dyDescent="0.3">
      <c r="J64143"/>
    </row>
    <row r="64144" spans="10:10" x14ac:dyDescent="0.3">
      <c r="J64144"/>
    </row>
    <row r="64145" spans="10:10" x14ac:dyDescent="0.3">
      <c r="J64145"/>
    </row>
    <row r="64146" spans="10:10" x14ac:dyDescent="0.3">
      <c r="J64146"/>
    </row>
    <row r="64147" spans="10:10" x14ac:dyDescent="0.3">
      <c r="J64147"/>
    </row>
    <row r="64148" spans="10:10" x14ac:dyDescent="0.3">
      <c r="J64148"/>
    </row>
    <row r="64149" spans="10:10" x14ac:dyDescent="0.3">
      <c r="J64149"/>
    </row>
    <row r="64150" spans="10:10" x14ac:dyDescent="0.3">
      <c r="J64150"/>
    </row>
    <row r="64151" spans="10:10" x14ac:dyDescent="0.3">
      <c r="J64151"/>
    </row>
    <row r="64152" spans="10:10" x14ac:dyDescent="0.3">
      <c r="J64152"/>
    </row>
    <row r="64153" spans="10:10" x14ac:dyDescent="0.3">
      <c r="J64153"/>
    </row>
    <row r="64154" spans="10:10" x14ac:dyDescent="0.3">
      <c r="J64154"/>
    </row>
    <row r="64155" spans="10:10" x14ac:dyDescent="0.3">
      <c r="J64155"/>
    </row>
    <row r="64156" spans="10:10" x14ac:dyDescent="0.3">
      <c r="J64156"/>
    </row>
    <row r="64157" spans="10:10" x14ac:dyDescent="0.3">
      <c r="J64157"/>
    </row>
    <row r="64158" spans="10:10" x14ac:dyDescent="0.3">
      <c r="J64158"/>
    </row>
    <row r="64159" spans="10:10" x14ac:dyDescent="0.3">
      <c r="J64159"/>
    </row>
    <row r="64160" spans="10:10" x14ac:dyDescent="0.3">
      <c r="J64160"/>
    </row>
    <row r="64161" spans="10:10" x14ac:dyDescent="0.3">
      <c r="J64161"/>
    </row>
    <row r="64162" spans="10:10" x14ac:dyDescent="0.3">
      <c r="J64162"/>
    </row>
    <row r="64163" spans="10:10" x14ac:dyDescent="0.3">
      <c r="J64163"/>
    </row>
    <row r="64164" spans="10:10" x14ac:dyDescent="0.3">
      <c r="J64164"/>
    </row>
    <row r="64165" spans="10:10" x14ac:dyDescent="0.3">
      <c r="J64165"/>
    </row>
    <row r="64166" spans="10:10" x14ac:dyDescent="0.3">
      <c r="J64166"/>
    </row>
    <row r="64167" spans="10:10" x14ac:dyDescent="0.3">
      <c r="J64167"/>
    </row>
    <row r="64168" spans="10:10" x14ac:dyDescent="0.3">
      <c r="J64168"/>
    </row>
    <row r="64169" spans="10:10" x14ac:dyDescent="0.3">
      <c r="J64169"/>
    </row>
    <row r="64170" spans="10:10" x14ac:dyDescent="0.3">
      <c r="J64170"/>
    </row>
    <row r="64171" spans="10:10" x14ac:dyDescent="0.3">
      <c r="J64171"/>
    </row>
    <row r="64172" spans="10:10" x14ac:dyDescent="0.3">
      <c r="J64172"/>
    </row>
    <row r="64173" spans="10:10" x14ac:dyDescent="0.3">
      <c r="J64173"/>
    </row>
    <row r="64174" spans="10:10" x14ac:dyDescent="0.3">
      <c r="J64174"/>
    </row>
    <row r="64175" spans="10:10" x14ac:dyDescent="0.3">
      <c r="J64175"/>
    </row>
    <row r="64176" spans="10:10" x14ac:dyDescent="0.3">
      <c r="J64176"/>
    </row>
    <row r="64177" spans="10:10" x14ac:dyDescent="0.3">
      <c r="J64177"/>
    </row>
    <row r="64178" spans="10:10" x14ac:dyDescent="0.3">
      <c r="J64178"/>
    </row>
    <row r="64179" spans="10:10" x14ac:dyDescent="0.3">
      <c r="J64179"/>
    </row>
    <row r="64180" spans="10:10" x14ac:dyDescent="0.3">
      <c r="J64180"/>
    </row>
    <row r="64181" spans="10:10" x14ac:dyDescent="0.3">
      <c r="J64181"/>
    </row>
    <row r="64182" spans="10:10" x14ac:dyDescent="0.3">
      <c r="J64182"/>
    </row>
    <row r="64183" spans="10:10" x14ac:dyDescent="0.3">
      <c r="J64183"/>
    </row>
    <row r="64184" spans="10:10" x14ac:dyDescent="0.3">
      <c r="J64184"/>
    </row>
    <row r="64185" spans="10:10" x14ac:dyDescent="0.3">
      <c r="J64185"/>
    </row>
    <row r="64186" spans="10:10" x14ac:dyDescent="0.3">
      <c r="J64186"/>
    </row>
    <row r="64187" spans="10:10" x14ac:dyDescent="0.3">
      <c r="J64187"/>
    </row>
    <row r="64188" spans="10:10" x14ac:dyDescent="0.3">
      <c r="J64188"/>
    </row>
    <row r="64189" spans="10:10" x14ac:dyDescent="0.3">
      <c r="J64189"/>
    </row>
    <row r="64190" spans="10:10" x14ac:dyDescent="0.3">
      <c r="J64190"/>
    </row>
    <row r="64191" spans="10:10" x14ac:dyDescent="0.3">
      <c r="J64191"/>
    </row>
    <row r="64192" spans="10:10" x14ac:dyDescent="0.3">
      <c r="J64192"/>
    </row>
    <row r="64193" spans="10:10" x14ac:dyDescent="0.3">
      <c r="J64193"/>
    </row>
    <row r="64194" spans="10:10" x14ac:dyDescent="0.3">
      <c r="J64194"/>
    </row>
    <row r="64195" spans="10:10" x14ac:dyDescent="0.3">
      <c r="J64195"/>
    </row>
    <row r="64196" spans="10:10" x14ac:dyDescent="0.3">
      <c r="J64196"/>
    </row>
    <row r="64197" spans="10:10" x14ac:dyDescent="0.3">
      <c r="J64197"/>
    </row>
    <row r="64198" spans="10:10" x14ac:dyDescent="0.3">
      <c r="J64198"/>
    </row>
    <row r="64199" spans="10:10" x14ac:dyDescent="0.3">
      <c r="J64199"/>
    </row>
    <row r="64200" spans="10:10" x14ac:dyDescent="0.3">
      <c r="J64200"/>
    </row>
    <row r="64201" spans="10:10" x14ac:dyDescent="0.3">
      <c r="J64201"/>
    </row>
    <row r="64202" spans="10:10" x14ac:dyDescent="0.3">
      <c r="J64202"/>
    </row>
    <row r="64203" spans="10:10" x14ac:dyDescent="0.3">
      <c r="J64203"/>
    </row>
    <row r="64204" spans="10:10" x14ac:dyDescent="0.3">
      <c r="J64204"/>
    </row>
    <row r="64205" spans="10:10" x14ac:dyDescent="0.3">
      <c r="J64205"/>
    </row>
    <row r="64206" spans="10:10" x14ac:dyDescent="0.3">
      <c r="J64206"/>
    </row>
    <row r="64207" spans="10:10" x14ac:dyDescent="0.3">
      <c r="J64207"/>
    </row>
    <row r="64208" spans="10:10" x14ac:dyDescent="0.3">
      <c r="J64208"/>
    </row>
    <row r="64209" spans="10:10" x14ac:dyDescent="0.3">
      <c r="J64209"/>
    </row>
    <row r="64210" spans="10:10" x14ac:dyDescent="0.3">
      <c r="J64210"/>
    </row>
    <row r="64211" spans="10:10" x14ac:dyDescent="0.3">
      <c r="J64211"/>
    </row>
    <row r="64212" spans="10:10" x14ac:dyDescent="0.3">
      <c r="J64212"/>
    </row>
    <row r="64213" spans="10:10" x14ac:dyDescent="0.3">
      <c r="J64213"/>
    </row>
    <row r="64214" spans="10:10" x14ac:dyDescent="0.3">
      <c r="J64214"/>
    </row>
    <row r="64215" spans="10:10" x14ac:dyDescent="0.3">
      <c r="J64215"/>
    </row>
    <row r="64216" spans="10:10" x14ac:dyDescent="0.3">
      <c r="J64216"/>
    </row>
    <row r="64217" spans="10:10" x14ac:dyDescent="0.3">
      <c r="J64217"/>
    </row>
    <row r="64218" spans="10:10" x14ac:dyDescent="0.3">
      <c r="J64218"/>
    </row>
    <row r="64219" spans="10:10" x14ac:dyDescent="0.3">
      <c r="J64219"/>
    </row>
    <row r="64220" spans="10:10" x14ac:dyDescent="0.3">
      <c r="J64220"/>
    </row>
    <row r="64221" spans="10:10" x14ac:dyDescent="0.3">
      <c r="J64221"/>
    </row>
    <row r="64222" spans="10:10" x14ac:dyDescent="0.3">
      <c r="J64222"/>
    </row>
    <row r="64223" spans="10:10" x14ac:dyDescent="0.3">
      <c r="J64223"/>
    </row>
    <row r="64224" spans="10:10" x14ac:dyDescent="0.3">
      <c r="J64224"/>
    </row>
    <row r="64225" spans="10:10" x14ac:dyDescent="0.3">
      <c r="J64225"/>
    </row>
    <row r="64226" spans="10:10" x14ac:dyDescent="0.3">
      <c r="J64226"/>
    </row>
    <row r="64227" spans="10:10" x14ac:dyDescent="0.3">
      <c r="J64227"/>
    </row>
    <row r="64228" spans="10:10" x14ac:dyDescent="0.3">
      <c r="J64228"/>
    </row>
    <row r="64229" spans="10:10" x14ac:dyDescent="0.3">
      <c r="J64229"/>
    </row>
    <row r="64230" spans="10:10" x14ac:dyDescent="0.3">
      <c r="J64230"/>
    </row>
    <row r="64231" spans="10:10" x14ac:dyDescent="0.3">
      <c r="J64231"/>
    </row>
    <row r="64232" spans="10:10" x14ac:dyDescent="0.3">
      <c r="J64232"/>
    </row>
    <row r="64233" spans="10:10" x14ac:dyDescent="0.3">
      <c r="J64233"/>
    </row>
    <row r="64234" spans="10:10" x14ac:dyDescent="0.3">
      <c r="J64234"/>
    </row>
    <row r="64235" spans="10:10" x14ac:dyDescent="0.3">
      <c r="J64235"/>
    </row>
    <row r="64236" spans="10:10" x14ac:dyDescent="0.3">
      <c r="J64236"/>
    </row>
    <row r="64237" spans="10:10" x14ac:dyDescent="0.3">
      <c r="J64237"/>
    </row>
    <row r="64238" spans="10:10" x14ac:dyDescent="0.3">
      <c r="J64238"/>
    </row>
    <row r="64239" spans="10:10" x14ac:dyDescent="0.3">
      <c r="J64239"/>
    </row>
    <row r="64240" spans="10:10" x14ac:dyDescent="0.3">
      <c r="J64240"/>
    </row>
    <row r="64241" spans="10:10" x14ac:dyDescent="0.3">
      <c r="J64241"/>
    </row>
    <row r="64242" spans="10:10" x14ac:dyDescent="0.3">
      <c r="J64242"/>
    </row>
    <row r="64243" spans="10:10" x14ac:dyDescent="0.3">
      <c r="J64243"/>
    </row>
    <row r="64244" spans="10:10" x14ac:dyDescent="0.3">
      <c r="J64244"/>
    </row>
    <row r="64245" spans="10:10" x14ac:dyDescent="0.3">
      <c r="J64245"/>
    </row>
    <row r="64246" spans="10:10" x14ac:dyDescent="0.3">
      <c r="J64246"/>
    </row>
    <row r="64247" spans="10:10" x14ac:dyDescent="0.3">
      <c r="J64247"/>
    </row>
    <row r="64248" spans="10:10" x14ac:dyDescent="0.3">
      <c r="J64248"/>
    </row>
    <row r="64249" spans="10:10" x14ac:dyDescent="0.3">
      <c r="J64249"/>
    </row>
    <row r="64250" spans="10:10" x14ac:dyDescent="0.3">
      <c r="J64250"/>
    </row>
    <row r="64251" spans="10:10" x14ac:dyDescent="0.3">
      <c r="J64251"/>
    </row>
    <row r="64252" spans="10:10" x14ac:dyDescent="0.3">
      <c r="J64252"/>
    </row>
    <row r="64253" spans="10:10" x14ac:dyDescent="0.3">
      <c r="J64253"/>
    </row>
    <row r="64254" spans="10:10" x14ac:dyDescent="0.3">
      <c r="J64254"/>
    </row>
    <row r="64255" spans="10:10" x14ac:dyDescent="0.3">
      <c r="J64255"/>
    </row>
    <row r="64256" spans="10:10" x14ac:dyDescent="0.3">
      <c r="J64256"/>
    </row>
    <row r="64257" spans="10:10" x14ac:dyDescent="0.3">
      <c r="J64257"/>
    </row>
    <row r="64258" spans="10:10" x14ac:dyDescent="0.3">
      <c r="J64258"/>
    </row>
    <row r="64259" spans="10:10" x14ac:dyDescent="0.3">
      <c r="J64259"/>
    </row>
    <row r="64260" spans="10:10" x14ac:dyDescent="0.3">
      <c r="J64260"/>
    </row>
    <row r="64261" spans="10:10" x14ac:dyDescent="0.3">
      <c r="J64261"/>
    </row>
    <row r="64262" spans="10:10" x14ac:dyDescent="0.3">
      <c r="J64262"/>
    </row>
    <row r="64263" spans="10:10" x14ac:dyDescent="0.3">
      <c r="J64263"/>
    </row>
    <row r="64264" spans="10:10" x14ac:dyDescent="0.3">
      <c r="J64264"/>
    </row>
    <row r="64265" spans="10:10" x14ac:dyDescent="0.3">
      <c r="J64265"/>
    </row>
    <row r="64266" spans="10:10" x14ac:dyDescent="0.3">
      <c r="J64266"/>
    </row>
    <row r="64267" spans="10:10" x14ac:dyDescent="0.3">
      <c r="J64267"/>
    </row>
    <row r="64268" spans="10:10" x14ac:dyDescent="0.3">
      <c r="J64268"/>
    </row>
    <row r="64269" spans="10:10" x14ac:dyDescent="0.3">
      <c r="J64269"/>
    </row>
    <row r="64270" spans="10:10" x14ac:dyDescent="0.3">
      <c r="J64270"/>
    </row>
    <row r="64271" spans="10:10" x14ac:dyDescent="0.3">
      <c r="J64271"/>
    </row>
    <row r="64272" spans="10:10" x14ac:dyDescent="0.3">
      <c r="J64272"/>
    </row>
    <row r="64273" spans="10:10" x14ac:dyDescent="0.3">
      <c r="J64273"/>
    </row>
    <row r="64274" spans="10:10" x14ac:dyDescent="0.3">
      <c r="J64274"/>
    </row>
    <row r="64275" spans="10:10" x14ac:dyDescent="0.3">
      <c r="J64275"/>
    </row>
    <row r="64276" spans="10:10" x14ac:dyDescent="0.3">
      <c r="J64276"/>
    </row>
    <row r="64277" spans="10:10" x14ac:dyDescent="0.3">
      <c r="J64277"/>
    </row>
    <row r="64278" spans="10:10" x14ac:dyDescent="0.3">
      <c r="J64278"/>
    </row>
    <row r="64279" spans="10:10" x14ac:dyDescent="0.3">
      <c r="J64279"/>
    </row>
    <row r="64280" spans="10:10" x14ac:dyDescent="0.3">
      <c r="J64280"/>
    </row>
    <row r="64281" spans="10:10" x14ac:dyDescent="0.3">
      <c r="J64281"/>
    </row>
    <row r="64282" spans="10:10" x14ac:dyDescent="0.3">
      <c r="J64282"/>
    </row>
    <row r="64283" spans="10:10" x14ac:dyDescent="0.3">
      <c r="J64283"/>
    </row>
    <row r="64284" spans="10:10" x14ac:dyDescent="0.3">
      <c r="J64284"/>
    </row>
    <row r="64285" spans="10:10" x14ac:dyDescent="0.3">
      <c r="J64285"/>
    </row>
    <row r="64286" spans="10:10" x14ac:dyDescent="0.3">
      <c r="J64286"/>
    </row>
    <row r="64287" spans="10:10" x14ac:dyDescent="0.3">
      <c r="J64287"/>
    </row>
    <row r="64288" spans="10:10" x14ac:dyDescent="0.3">
      <c r="J64288"/>
    </row>
    <row r="64289" spans="10:10" x14ac:dyDescent="0.3">
      <c r="J64289"/>
    </row>
    <row r="64290" spans="10:10" x14ac:dyDescent="0.3">
      <c r="J64290"/>
    </row>
    <row r="64291" spans="10:10" x14ac:dyDescent="0.3">
      <c r="J64291"/>
    </row>
    <row r="64292" spans="10:10" x14ac:dyDescent="0.3">
      <c r="J64292"/>
    </row>
    <row r="64293" spans="10:10" x14ac:dyDescent="0.3">
      <c r="J64293"/>
    </row>
    <row r="64294" spans="10:10" x14ac:dyDescent="0.3">
      <c r="J64294"/>
    </row>
    <row r="64295" spans="10:10" x14ac:dyDescent="0.3">
      <c r="J64295"/>
    </row>
    <row r="64296" spans="10:10" x14ac:dyDescent="0.3">
      <c r="J64296"/>
    </row>
    <row r="64297" spans="10:10" x14ac:dyDescent="0.3">
      <c r="J64297"/>
    </row>
    <row r="64298" spans="10:10" x14ac:dyDescent="0.3">
      <c r="J64298"/>
    </row>
    <row r="64299" spans="10:10" x14ac:dyDescent="0.3">
      <c r="J64299"/>
    </row>
    <row r="64300" spans="10:10" x14ac:dyDescent="0.3">
      <c r="J64300"/>
    </row>
    <row r="64301" spans="10:10" x14ac:dyDescent="0.3">
      <c r="J64301"/>
    </row>
    <row r="64302" spans="10:10" x14ac:dyDescent="0.3">
      <c r="J64302"/>
    </row>
    <row r="64303" spans="10:10" x14ac:dyDescent="0.3">
      <c r="J64303"/>
    </row>
    <row r="64304" spans="10:10" x14ac:dyDescent="0.3">
      <c r="J64304"/>
    </row>
    <row r="64305" spans="10:10" x14ac:dyDescent="0.3">
      <c r="J64305"/>
    </row>
    <row r="64306" spans="10:10" x14ac:dyDescent="0.3">
      <c r="J64306"/>
    </row>
    <row r="64307" spans="10:10" x14ac:dyDescent="0.3">
      <c r="J64307"/>
    </row>
    <row r="64308" spans="10:10" x14ac:dyDescent="0.3">
      <c r="J64308"/>
    </row>
    <row r="64309" spans="10:10" x14ac:dyDescent="0.3">
      <c r="J64309"/>
    </row>
    <row r="64310" spans="10:10" x14ac:dyDescent="0.3">
      <c r="J64310"/>
    </row>
    <row r="64311" spans="10:10" x14ac:dyDescent="0.3">
      <c r="J64311"/>
    </row>
    <row r="64312" spans="10:10" x14ac:dyDescent="0.3">
      <c r="J64312"/>
    </row>
    <row r="64313" spans="10:10" x14ac:dyDescent="0.3">
      <c r="J64313"/>
    </row>
    <row r="64314" spans="10:10" x14ac:dyDescent="0.3">
      <c r="J64314"/>
    </row>
    <row r="64315" spans="10:10" x14ac:dyDescent="0.3">
      <c r="J64315"/>
    </row>
    <row r="64316" spans="10:10" x14ac:dyDescent="0.3">
      <c r="J64316"/>
    </row>
    <row r="64317" spans="10:10" x14ac:dyDescent="0.3">
      <c r="J64317"/>
    </row>
    <row r="64318" spans="10:10" x14ac:dyDescent="0.3">
      <c r="J64318"/>
    </row>
    <row r="64319" spans="10:10" x14ac:dyDescent="0.3">
      <c r="J64319"/>
    </row>
    <row r="64320" spans="10:10" x14ac:dyDescent="0.3">
      <c r="J64320"/>
    </row>
    <row r="64321" spans="10:10" x14ac:dyDescent="0.3">
      <c r="J64321"/>
    </row>
    <row r="64322" spans="10:10" x14ac:dyDescent="0.3">
      <c r="J64322"/>
    </row>
    <row r="64323" spans="10:10" x14ac:dyDescent="0.3">
      <c r="J64323"/>
    </row>
    <row r="64324" spans="10:10" x14ac:dyDescent="0.3">
      <c r="J64324"/>
    </row>
    <row r="64325" spans="10:10" x14ac:dyDescent="0.3">
      <c r="J64325"/>
    </row>
    <row r="64326" spans="10:10" x14ac:dyDescent="0.3">
      <c r="J64326"/>
    </row>
    <row r="64327" spans="10:10" x14ac:dyDescent="0.3">
      <c r="J64327"/>
    </row>
    <row r="64328" spans="10:10" x14ac:dyDescent="0.3">
      <c r="J64328"/>
    </row>
    <row r="64329" spans="10:10" x14ac:dyDescent="0.3">
      <c r="J64329"/>
    </row>
    <row r="64330" spans="10:10" x14ac:dyDescent="0.3">
      <c r="J64330"/>
    </row>
    <row r="64331" spans="10:10" x14ac:dyDescent="0.3">
      <c r="J64331"/>
    </row>
    <row r="64332" spans="10:10" x14ac:dyDescent="0.3">
      <c r="J64332"/>
    </row>
    <row r="64333" spans="10:10" x14ac:dyDescent="0.3">
      <c r="J64333"/>
    </row>
    <row r="64334" spans="10:10" x14ac:dyDescent="0.3">
      <c r="J64334"/>
    </row>
    <row r="64335" spans="10:10" x14ac:dyDescent="0.3">
      <c r="J64335"/>
    </row>
    <row r="64336" spans="10:10" x14ac:dyDescent="0.3">
      <c r="J64336"/>
    </row>
    <row r="64337" spans="10:10" x14ac:dyDescent="0.3">
      <c r="J64337"/>
    </row>
    <row r="64338" spans="10:10" x14ac:dyDescent="0.3">
      <c r="J64338"/>
    </row>
    <row r="64339" spans="10:10" x14ac:dyDescent="0.3">
      <c r="J64339"/>
    </row>
    <row r="64340" spans="10:10" x14ac:dyDescent="0.3">
      <c r="J64340"/>
    </row>
    <row r="64341" spans="10:10" x14ac:dyDescent="0.3">
      <c r="J64341"/>
    </row>
    <row r="64342" spans="10:10" x14ac:dyDescent="0.3">
      <c r="J64342"/>
    </row>
    <row r="64343" spans="10:10" x14ac:dyDescent="0.3">
      <c r="J64343"/>
    </row>
    <row r="64344" spans="10:10" x14ac:dyDescent="0.3">
      <c r="J64344"/>
    </row>
    <row r="64345" spans="10:10" x14ac:dyDescent="0.3">
      <c r="J64345"/>
    </row>
    <row r="64346" spans="10:10" x14ac:dyDescent="0.3">
      <c r="J64346"/>
    </row>
    <row r="64347" spans="10:10" x14ac:dyDescent="0.3">
      <c r="J64347"/>
    </row>
    <row r="64348" spans="10:10" x14ac:dyDescent="0.3">
      <c r="J64348"/>
    </row>
    <row r="64349" spans="10:10" x14ac:dyDescent="0.3">
      <c r="J64349"/>
    </row>
    <row r="64350" spans="10:10" x14ac:dyDescent="0.3">
      <c r="J64350"/>
    </row>
    <row r="64351" spans="10:10" x14ac:dyDescent="0.3">
      <c r="J64351"/>
    </row>
    <row r="64352" spans="10:10" x14ac:dyDescent="0.3">
      <c r="J64352"/>
    </row>
    <row r="64353" spans="10:10" x14ac:dyDescent="0.3">
      <c r="J64353"/>
    </row>
    <row r="64354" spans="10:10" x14ac:dyDescent="0.3">
      <c r="J64354"/>
    </row>
    <row r="64355" spans="10:10" x14ac:dyDescent="0.3">
      <c r="J64355"/>
    </row>
    <row r="64356" spans="10:10" x14ac:dyDescent="0.3">
      <c r="J64356"/>
    </row>
    <row r="64357" spans="10:10" x14ac:dyDescent="0.3">
      <c r="J64357"/>
    </row>
    <row r="64358" spans="10:10" x14ac:dyDescent="0.3">
      <c r="J64358"/>
    </row>
    <row r="64359" spans="10:10" x14ac:dyDescent="0.3">
      <c r="J64359"/>
    </row>
    <row r="64360" spans="10:10" x14ac:dyDescent="0.3">
      <c r="J64360"/>
    </row>
    <row r="64361" spans="10:10" x14ac:dyDescent="0.3">
      <c r="J64361"/>
    </row>
    <row r="64362" spans="10:10" x14ac:dyDescent="0.3">
      <c r="J64362"/>
    </row>
    <row r="64363" spans="10:10" x14ac:dyDescent="0.3">
      <c r="J64363"/>
    </row>
    <row r="64364" spans="10:10" x14ac:dyDescent="0.3">
      <c r="J64364"/>
    </row>
    <row r="64365" spans="10:10" x14ac:dyDescent="0.3">
      <c r="J64365"/>
    </row>
    <row r="64366" spans="10:10" x14ac:dyDescent="0.3">
      <c r="J64366"/>
    </row>
    <row r="64367" spans="10:10" x14ac:dyDescent="0.3">
      <c r="J64367"/>
    </row>
    <row r="64368" spans="10:10" x14ac:dyDescent="0.3">
      <c r="J64368"/>
    </row>
    <row r="64369" spans="10:10" x14ac:dyDescent="0.3">
      <c r="J64369"/>
    </row>
    <row r="64370" spans="10:10" x14ac:dyDescent="0.3">
      <c r="J64370"/>
    </row>
    <row r="64371" spans="10:10" x14ac:dyDescent="0.3">
      <c r="J64371"/>
    </row>
    <row r="64372" spans="10:10" x14ac:dyDescent="0.3">
      <c r="J64372"/>
    </row>
    <row r="64373" spans="10:10" x14ac:dyDescent="0.3">
      <c r="J64373"/>
    </row>
    <row r="64374" spans="10:10" x14ac:dyDescent="0.3">
      <c r="J64374"/>
    </row>
    <row r="64375" spans="10:10" x14ac:dyDescent="0.3">
      <c r="J64375"/>
    </row>
    <row r="64376" spans="10:10" x14ac:dyDescent="0.3">
      <c r="J64376"/>
    </row>
    <row r="64377" spans="10:10" x14ac:dyDescent="0.3">
      <c r="J64377"/>
    </row>
    <row r="64378" spans="10:10" x14ac:dyDescent="0.3">
      <c r="J64378"/>
    </row>
    <row r="64379" spans="10:10" x14ac:dyDescent="0.3">
      <c r="J64379"/>
    </row>
    <row r="64380" spans="10:10" x14ac:dyDescent="0.3">
      <c r="J64380"/>
    </row>
    <row r="64381" spans="10:10" x14ac:dyDescent="0.3">
      <c r="J64381"/>
    </row>
    <row r="64382" spans="10:10" x14ac:dyDescent="0.3">
      <c r="J64382"/>
    </row>
    <row r="64383" spans="10:10" x14ac:dyDescent="0.3">
      <c r="J64383"/>
    </row>
    <row r="64384" spans="10:10" x14ac:dyDescent="0.3">
      <c r="J64384"/>
    </row>
    <row r="64385" spans="10:10" x14ac:dyDescent="0.3">
      <c r="J64385"/>
    </row>
    <row r="64386" spans="10:10" x14ac:dyDescent="0.3">
      <c r="J64386"/>
    </row>
    <row r="64387" spans="10:10" x14ac:dyDescent="0.3">
      <c r="J64387"/>
    </row>
    <row r="64388" spans="10:10" x14ac:dyDescent="0.3">
      <c r="J64388"/>
    </row>
    <row r="64389" spans="10:10" x14ac:dyDescent="0.3">
      <c r="J64389"/>
    </row>
    <row r="64390" spans="10:10" x14ac:dyDescent="0.3">
      <c r="J64390"/>
    </row>
    <row r="64391" spans="10:10" x14ac:dyDescent="0.3">
      <c r="J64391"/>
    </row>
    <row r="64392" spans="10:10" x14ac:dyDescent="0.3">
      <c r="J64392"/>
    </row>
    <row r="64393" spans="10:10" x14ac:dyDescent="0.3">
      <c r="J64393"/>
    </row>
    <row r="64394" spans="10:10" x14ac:dyDescent="0.3">
      <c r="J64394"/>
    </row>
    <row r="64395" spans="10:10" x14ac:dyDescent="0.3">
      <c r="J64395"/>
    </row>
    <row r="64396" spans="10:10" x14ac:dyDescent="0.3">
      <c r="J64396"/>
    </row>
    <row r="64397" spans="10:10" x14ac:dyDescent="0.3">
      <c r="J64397"/>
    </row>
    <row r="64398" spans="10:10" x14ac:dyDescent="0.3">
      <c r="J64398"/>
    </row>
    <row r="64399" spans="10:10" x14ac:dyDescent="0.3">
      <c r="J64399"/>
    </row>
    <row r="64400" spans="10:10" x14ac:dyDescent="0.3">
      <c r="J64400"/>
    </row>
    <row r="64401" spans="10:10" x14ac:dyDescent="0.3">
      <c r="J64401"/>
    </row>
    <row r="64402" spans="10:10" x14ac:dyDescent="0.3">
      <c r="J64402"/>
    </row>
    <row r="64403" spans="10:10" x14ac:dyDescent="0.3">
      <c r="J64403"/>
    </row>
    <row r="64404" spans="10:10" x14ac:dyDescent="0.3">
      <c r="J64404"/>
    </row>
    <row r="64405" spans="10:10" x14ac:dyDescent="0.3">
      <c r="J64405"/>
    </row>
    <row r="64406" spans="10:10" x14ac:dyDescent="0.3">
      <c r="J64406"/>
    </row>
    <row r="64407" spans="10:10" x14ac:dyDescent="0.3">
      <c r="J64407"/>
    </row>
    <row r="64408" spans="10:10" x14ac:dyDescent="0.3">
      <c r="J64408"/>
    </row>
    <row r="64409" spans="10:10" x14ac:dyDescent="0.3">
      <c r="J64409"/>
    </row>
    <row r="64410" spans="10:10" x14ac:dyDescent="0.3">
      <c r="J64410"/>
    </row>
    <row r="64411" spans="10:10" x14ac:dyDescent="0.3">
      <c r="J64411"/>
    </row>
    <row r="64412" spans="10:10" x14ac:dyDescent="0.3">
      <c r="J64412"/>
    </row>
    <row r="64413" spans="10:10" x14ac:dyDescent="0.3">
      <c r="J64413"/>
    </row>
    <row r="64414" spans="10:10" x14ac:dyDescent="0.3">
      <c r="J64414"/>
    </row>
    <row r="64415" spans="10:10" x14ac:dyDescent="0.3">
      <c r="J64415"/>
    </row>
    <row r="64416" spans="10:10" x14ac:dyDescent="0.3">
      <c r="J64416"/>
    </row>
    <row r="64417" spans="10:10" x14ac:dyDescent="0.3">
      <c r="J64417"/>
    </row>
    <row r="64418" spans="10:10" x14ac:dyDescent="0.3">
      <c r="J64418"/>
    </row>
    <row r="64419" spans="10:10" x14ac:dyDescent="0.3">
      <c r="J64419"/>
    </row>
    <row r="64420" spans="10:10" x14ac:dyDescent="0.3">
      <c r="J64420"/>
    </row>
    <row r="64421" spans="10:10" x14ac:dyDescent="0.3">
      <c r="J64421"/>
    </row>
    <row r="64422" spans="10:10" x14ac:dyDescent="0.3">
      <c r="J64422"/>
    </row>
    <row r="64423" spans="10:10" x14ac:dyDescent="0.3">
      <c r="J64423"/>
    </row>
    <row r="64424" spans="10:10" x14ac:dyDescent="0.3">
      <c r="J64424"/>
    </row>
    <row r="64425" spans="10:10" x14ac:dyDescent="0.3">
      <c r="J64425"/>
    </row>
    <row r="64426" spans="10:10" x14ac:dyDescent="0.3">
      <c r="J64426"/>
    </row>
    <row r="64427" spans="10:10" x14ac:dyDescent="0.3">
      <c r="J64427"/>
    </row>
    <row r="64428" spans="10:10" x14ac:dyDescent="0.3">
      <c r="J64428"/>
    </row>
    <row r="64429" spans="10:10" x14ac:dyDescent="0.3">
      <c r="J64429"/>
    </row>
    <row r="64430" spans="10:10" x14ac:dyDescent="0.3">
      <c r="J64430"/>
    </row>
    <row r="64431" spans="10:10" x14ac:dyDescent="0.3">
      <c r="J64431"/>
    </row>
    <row r="64432" spans="10:10" x14ac:dyDescent="0.3">
      <c r="J64432"/>
    </row>
    <row r="64433" spans="10:10" x14ac:dyDescent="0.3">
      <c r="J64433"/>
    </row>
    <row r="64434" spans="10:10" x14ac:dyDescent="0.3">
      <c r="J64434"/>
    </row>
    <row r="64435" spans="10:10" x14ac:dyDescent="0.3">
      <c r="J64435"/>
    </row>
    <row r="64436" spans="10:10" x14ac:dyDescent="0.3">
      <c r="J64436"/>
    </row>
    <row r="64437" spans="10:10" x14ac:dyDescent="0.3">
      <c r="J64437"/>
    </row>
    <row r="64438" spans="10:10" x14ac:dyDescent="0.3">
      <c r="J64438"/>
    </row>
    <row r="64439" spans="10:10" x14ac:dyDescent="0.3">
      <c r="J64439"/>
    </row>
    <row r="64440" spans="10:10" x14ac:dyDescent="0.3">
      <c r="J64440"/>
    </row>
    <row r="64441" spans="10:10" x14ac:dyDescent="0.3">
      <c r="J64441"/>
    </row>
    <row r="64442" spans="10:10" x14ac:dyDescent="0.3">
      <c r="J64442"/>
    </row>
    <row r="64443" spans="10:10" x14ac:dyDescent="0.3">
      <c r="J64443"/>
    </row>
    <row r="64444" spans="10:10" x14ac:dyDescent="0.3">
      <c r="J64444"/>
    </row>
    <row r="64445" spans="10:10" x14ac:dyDescent="0.3">
      <c r="J64445"/>
    </row>
    <row r="64446" spans="10:10" x14ac:dyDescent="0.3">
      <c r="J64446"/>
    </row>
    <row r="64447" spans="10:10" x14ac:dyDescent="0.3">
      <c r="J64447"/>
    </row>
    <row r="64448" spans="10:10" x14ac:dyDescent="0.3">
      <c r="J64448"/>
    </row>
    <row r="64449" spans="10:10" x14ac:dyDescent="0.3">
      <c r="J64449"/>
    </row>
    <row r="64450" spans="10:10" x14ac:dyDescent="0.3">
      <c r="J64450"/>
    </row>
    <row r="64451" spans="10:10" x14ac:dyDescent="0.3">
      <c r="J64451"/>
    </row>
    <row r="64452" spans="10:10" x14ac:dyDescent="0.3">
      <c r="J64452"/>
    </row>
    <row r="64453" spans="10:10" x14ac:dyDescent="0.3">
      <c r="J64453"/>
    </row>
    <row r="64454" spans="10:10" x14ac:dyDescent="0.3">
      <c r="J64454"/>
    </row>
    <row r="64455" spans="10:10" x14ac:dyDescent="0.3">
      <c r="J64455"/>
    </row>
    <row r="64456" spans="10:10" x14ac:dyDescent="0.3">
      <c r="J64456"/>
    </row>
    <row r="64457" spans="10:10" x14ac:dyDescent="0.3">
      <c r="J64457"/>
    </row>
    <row r="64458" spans="10:10" x14ac:dyDescent="0.3">
      <c r="J64458"/>
    </row>
    <row r="64459" spans="10:10" x14ac:dyDescent="0.3">
      <c r="J64459"/>
    </row>
    <row r="64460" spans="10:10" x14ac:dyDescent="0.3">
      <c r="J64460"/>
    </row>
    <row r="64461" spans="10:10" x14ac:dyDescent="0.3">
      <c r="J64461"/>
    </row>
    <row r="64462" spans="10:10" x14ac:dyDescent="0.3">
      <c r="J64462"/>
    </row>
    <row r="64463" spans="10:10" x14ac:dyDescent="0.3">
      <c r="J64463"/>
    </row>
    <row r="64464" spans="10:10" x14ac:dyDescent="0.3">
      <c r="J64464"/>
    </row>
    <row r="64465" spans="10:10" x14ac:dyDescent="0.3">
      <c r="J64465"/>
    </row>
    <row r="64466" spans="10:10" x14ac:dyDescent="0.3">
      <c r="J64466"/>
    </row>
    <row r="64467" spans="10:10" x14ac:dyDescent="0.3">
      <c r="J64467"/>
    </row>
    <row r="64468" spans="10:10" x14ac:dyDescent="0.3">
      <c r="J64468"/>
    </row>
    <row r="64469" spans="10:10" x14ac:dyDescent="0.3">
      <c r="J64469"/>
    </row>
    <row r="64470" spans="10:10" x14ac:dyDescent="0.3">
      <c r="J64470"/>
    </row>
    <row r="64471" spans="10:10" x14ac:dyDescent="0.3">
      <c r="J64471"/>
    </row>
    <row r="64472" spans="10:10" x14ac:dyDescent="0.3">
      <c r="J64472"/>
    </row>
    <row r="64473" spans="10:10" x14ac:dyDescent="0.3">
      <c r="J64473"/>
    </row>
    <row r="64474" spans="10:10" x14ac:dyDescent="0.3">
      <c r="J64474"/>
    </row>
    <row r="64475" spans="10:10" x14ac:dyDescent="0.3">
      <c r="J64475"/>
    </row>
    <row r="64476" spans="10:10" x14ac:dyDescent="0.3">
      <c r="J64476"/>
    </row>
    <row r="64477" spans="10:10" x14ac:dyDescent="0.3">
      <c r="J64477"/>
    </row>
    <row r="64478" spans="10:10" x14ac:dyDescent="0.3">
      <c r="J64478"/>
    </row>
    <row r="64479" spans="10:10" x14ac:dyDescent="0.3">
      <c r="J64479"/>
    </row>
    <row r="64480" spans="10:10" x14ac:dyDescent="0.3">
      <c r="J64480"/>
    </row>
    <row r="64481" spans="10:10" x14ac:dyDescent="0.3">
      <c r="J64481"/>
    </row>
    <row r="64482" spans="10:10" x14ac:dyDescent="0.3">
      <c r="J64482"/>
    </row>
    <row r="64483" spans="10:10" x14ac:dyDescent="0.3">
      <c r="J64483"/>
    </row>
    <row r="64484" spans="10:10" x14ac:dyDescent="0.3">
      <c r="J64484"/>
    </row>
    <row r="64485" spans="10:10" x14ac:dyDescent="0.3">
      <c r="J64485"/>
    </row>
    <row r="64486" spans="10:10" x14ac:dyDescent="0.3">
      <c r="J64486"/>
    </row>
    <row r="64487" spans="10:10" x14ac:dyDescent="0.3">
      <c r="J64487"/>
    </row>
    <row r="64488" spans="10:10" x14ac:dyDescent="0.3">
      <c r="J64488"/>
    </row>
    <row r="64489" spans="10:10" x14ac:dyDescent="0.3">
      <c r="J64489"/>
    </row>
    <row r="64490" spans="10:10" x14ac:dyDescent="0.3">
      <c r="J64490"/>
    </row>
    <row r="64491" spans="10:10" x14ac:dyDescent="0.3">
      <c r="J64491"/>
    </row>
    <row r="64492" spans="10:10" x14ac:dyDescent="0.3">
      <c r="J64492"/>
    </row>
    <row r="64493" spans="10:10" x14ac:dyDescent="0.3">
      <c r="J64493"/>
    </row>
    <row r="64494" spans="10:10" x14ac:dyDescent="0.3">
      <c r="J64494"/>
    </row>
    <row r="64495" spans="10:10" x14ac:dyDescent="0.3">
      <c r="J64495"/>
    </row>
    <row r="64496" spans="10:10" x14ac:dyDescent="0.3">
      <c r="J64496"/>
    </row>
    <row r="64497" spans="10:10" x14ac:dyDescent="0.3">
      <c r="J64497"/>
    </row>
    <row r="64498" spans="10:10" x14ac:dyDescent="0.3">
      <c r="J64498"/>
    </row>
    <row r="64499" spans="10:10" x14ac:dyDescent="0.3">
      <c r="J64499"/>
    </row>
    <row r="64500" spans="10:10" x14ac:dyDescent="0.3">
      <c r="J64500"/>
    </row>
    <row r="64501" spans="10:10" x14ac:dyDescent="0.3">
      <c r="J64501"/>
    </row>
    <row r="64502" spans="10:10" x14ac:dyDescent="0.3">
      <c r="J64502"/>
    </row>
    <row r="64503" spans="10:10" x14ac:dyDescent="0.3">
      <c r="J64503"/>
    </row>
    <row r="64504" spans="10:10" x14ac:dyDescent="0.3">
      <c r="J64504"/>
    </row>
    <row r="64505" spans="10:10" x14ac:dyDescent="0.3">
      <c r="J64505"/>
    </row>
    <row r="64506" spans="10:10" x14ac:dyDescent="0.3">
      <c r="J64506"/>
    </row>
    <row r="64507" spans="10:10" x14ac:dyDescent="0.3">
      <c r="J64507"/>
    </row>
    <row r="64508" spans="10:10" x14ac:dyDescent="0.3">
      <c r="J64508"/>
    </row>
    <row r="64509" spans="10:10" x14ac:dyDescent="0.3">
      <c r="J64509"/>
    </row>
    <row r="64510" spans="10:10" x14ac:dyDescent="0.3">
      <c r="J64510"/>
    </row>
    <row r="64511" spans="10:10" x14ac:dyDescent="0.3">
      <c r="J64511"/>
    </row>
    <row r="64512" spans="10:10" x14ac:dyDescent="0.3">
      <c r="J64512"/>
    </row>
    <row r="64513" spans="10:10" x14ac:dyDescent="0.3">
      <c r="J64513"/>
    </row>
    <row r="64514" spans="10:10" x14ac:dyDescent="0.3">
      <c r="J64514"/>
    </row>
    <row r="64515" spans="10:10" x14ac:dyDescent="0.3">
      <c r="J64515"/>
    </row>
    <row r="64516" spans="10:10" x14ac:dyDescent="0.3">
      <c r="J64516"/>
    </row>
    <row r="64517" spans="10:10" x14ac:dyDescent="0.3">
      <c r="J64517"/>
    </row>
    <row r="64518" spans="10:10" x14ac:dyDescent="0.3">
      <c r="J64518"/>
    </row>
    <row r="64519" spans="10:10" x14ac:dyDescent="0.3">
      <c r="J64519"/>
    </row>
    <row r="64520" spans="10:10" x14ac:dyDescent="0.3">
      <c r="J64520"/>
    </row>
    <row r="64521" spans="10:10" x14ac:dyDescent="0.3">
      <c r="J64521"/>
    </row>
    <row r="64522" spans="10:10" x14ac:dyDescent="0.3">
      <c r="J64522"/>
    </row>
    <row r="64523" spans="10:10" x14ac:dyDescent="0.3">
      <c r="J64523"/>
    </row>
    <row r="64524" spans="10:10" x14ac:dyDescent="0.3">
      <c r="J64524"/>
    </row>
    <row r="64525" spans="10:10" x14ac:dyDescent="0.3">
      <c r="J64525"/>
    </row>
    <row r="64526" spans="10:10" x14ac:dyDescent="0.3">
      <c r="J64526"/>
    </row>
    <row r="64527" spans="10:10" x14ac:dyDescent="0.3">
      <c r="J64527"/>
    </row>
    <row r="64528" spans="10:10" x14ac:dyDescent="0.3">
      <c r="J64528"/>
    </row>
    <row r="64529" spans="10:10" x14ac:dyDescent="0.3">
      <c r="J64529"/>
    </row>
    <row r="64530" spans="10:10" x14ac:dyDescent="0.3">
      <c r="J64530"/>
    </row>
    <row r="64531" spans="10:10" x14ac:dyDescent="0.3">
      <c r="J64531"/>
    </row>
    <row r="64532" spans="10:10" x14ac:dyDescent="0.3">
      <c r="J64532"/>
    </row>
    <row r="64533" spans="10:10" x14ac:dyDescent="0.3">
      <c r="J64533"/>
    </row>
    <row r="64534" spans="10:10" x14ac:dyDescent="0.3">
      <c r="J64534"/>
    </row>
    <row r="64535" spans="10:10" x14ac:dyDescent="0.3">
      <c r="J64535"/>
    </row>
    <row r="64536" spans="10:10" x14ac:dyDescent="0.3">
      <c r="J64536"/>
    </row>
    <row r="64537" spans="10:10" x14ac:dyDescent="0.3">
      <c r="J64537"/>
    </row>
    <row r="64538" spans="10:10" x14ac:dyDescent="0.3">
      <c r="J64538"/>
    </row>
    <row r="64539" spans="10:10" x14ac:dyDescent="0.3">
      <c r="J64539"/>
    </row>
    <row r="64540" spans="10:10" x14ac:dyDescent="0.3">
      <c r="J64540"/>
    </row>
    <row r="64541" spans="10:10" x14ac:dyDescent="0.3">
      <c r="J64541"/>
    </row>
    <row r="64542" spans="10:10" x14ac:dyDescent="0.3">
      <c r="J64542"/>
    </row>
    <row r="64543" spans="10:10" x14ac:dyDescent="0.3">
      <c r="J64543"/>
    </row>
    <row r="64544" spans="10:10" x14ac:dyDescent="0.3">
      <c r="J64544"/>
    </row>
    <row r="64545" spans="10:10" x14ac:dyDescent="0.3">
      <c r="J64545"/>
    </row>
    <row r="64546" spans="10:10" x14ac:dyDescent="0.3">
      <c r="J64546"/>
    </row>
    <row r="64547" spans="10:10" x14ac:dyDescent="0.3">
      <c r="J64547"/>
    </row>
    <row r="64548" spans="10:10" x14ac:dyDescent="0.3">
      <c r="J64548"/>
    </row>
    <row r="64549" spans="10:10" x14ac:dyDescent="0.3">
      <c r="J64549"/>
    </row>
    <row r="64550" spans="10:10" x14ac:dyDescent="0.3">
      <c r="J64550"/>
    </row>
    <row r="64551" spans="10:10" x14ac:dyDescent="0.3">
      <c r="J64551"/>
    </row>
    <row r="64552" spans="10:10" x14ac:dyDescent="0.3">
      <c r="J64552"/>
    </row>
    <row r="64553" spans="10:10" x14ac:dyDescent="0.3">
      <c r="J64553"/>
    </row>
    <row r="64554" spans="10:10" x14ac:dyDescent="0.3">
      <c r="J64554"/>
    </row>
    <row r="64555" spans="10:10" x14ac:dyDescent="0.3">
      <c r="J64555"/>
    </row>
    <row r="64556" spans="10:10" x14ac:dyDescent="0.3">
      <c r="J64556"/>
    </row>
    <row r="64557" spans="10:10" x14ac:dyDescent="0.3">
      <c r="J64557"/>
    </row>
    <row r="64558" spans="10:10" x14ac:dyDescent="0.3">
      <c r="J64558"/>
    </row>
    <row r="64559" spans="10:10" x14ac:dyDescent="0.3">
      <c r="J64559"/>
    </row>
    <row r="64560" spans="10:10" x14ac:dyDescent="0.3">
      <c r="J64560"/>
    </row>
    <row r="64561" spans="10:10" x14ac:dyDescent="0.3">
      <c r="J64561"/>
    </row>
    <row r="64562" spans="10:10" x14ac:dyDescent="0.3">
      <c r="J64562"/>
    </row>
    <row r="64563" spans="10:10" x14ac:dyDescent="0.3">
      <c r="J64563"/>
    </row>
    <row r="64564" spans="10:10" x14ac:dyDescent="0.3">
      <c r="J64564"/>
    </row>
    <row r="64565" spans="10:10" x14ac:dyDescent="0.3">
      <c r="J64565"/>
    </row>
    <row r="64566" spans="10:10" x14ac:dyDescent="0.3">
      <c r="J64566"/>
    </row>
    <row r="64567" spans="10:10" x14ac:dyDescent="0.3">
      <c r="J64567"/>
    </row>
    <row r="64568" spans="10:10" x14ac:dyDescent="0.3">
      <c r="J64568"/>
    </row>
    <row r="64569" spans="10:10" x14ac:dyDescent="0.3">
      <c r="J64569"/>
    </row>
    <row r="64570" spans="10:10" x14ac:dyDescent="0.3">
      <c r="J64570"/>
    </row>
    <row r="64571" spans="10:10" x14ac:dyDescent="0.3">
      <c r="J64571"/>
    </row>
    <row r="64572" spans="10:10" x14ac:dyDescent="0.3">
      <c r="J64572"/>
    </row>
    <row r="64573" spans="10:10" x14ac:dyDescent="0.3">
      <c r="J64573"/>
    </row>
    <row r="64574" spans="10:10" x14ac:dyDescent="0.3">
      <c r="J64574"/>
    </row>
    <row r="64575" spans="10:10" x14ac:dyDescent="0.3">
      <c r="J64575"/>
    </row>
    <row r="64576" spans="10:10" x14ac:dyDescent="0.3">
      <c r="J64576"/>
    </row>
    <row r="64577" spans="10:10" x14ac:dyDescent="0.3">
      <c r="J64577"/>
    </row>
    <row r="64578" spans="10:10" x14ac:dyDescent="0.3">
      <c r="J64578"/>
    </row>
    <row r="64579" spans="10:10" x14ac:dyDescent="0.3">
      <c r="J64579"/>
    </row>
    <row r="64580" spans="10:10" x14ac:dyDescent="0.3">
      <c r="J64580"/>
    </row>
    <row r="64581" spans="10:10" x14ac:dyDescent="0.3">
      <c r="J64581"/>
    </row>
    <row r="64582" spans="10:10" x14ac:dyDescent="0.3">
      <c r="J64582"/>
    </row>
    <row r="64583" spans="10:10" x14ac:dyDescent="0.3">
      <c r="J64583"/>
    </row>
    <row r="64584" spans="10:10" x14ac:dyDescent="0.3">
      <c r="J64584"/>
    </row>
    <row r="64585" spans="10:10" x14ac:dyDescent="0.3">
      <c r="J64585"/>
    </row>
    <row r="64586" spans="10:10" x14ac:dyDescent="0.3">
      <c r="J64586"/>
    </row>
    <row r="64587" spans="10:10" x14ac:dyDescent="0.3">
      <c r="J64587"/>
    </row>
    <row r="64588" spans="10:10" x14ac:dyDescent="0.3">
      <c r="J64588"/>
    </row>
    <row r="64589" spans="10:10" x14ac:dyDescent="0.3">
      <c r="J64589"/>
    </row>
    <row r="64590" spans="10:10" x14ac:dyDescent="0.3">
      <c r="J64590"/>
    </row>
    <row r="64591" spans="10:10" x14ac:dyDescent="0.3">
      <c r="J64591"/>
    </row>
    <row r="64592" spans="10:10" x14ac:dyDescent="0.3">
      <c r="J64592"/>
    </row>
    <row r="64593" spans="10:10" x14ac:dyDescent="0.3">
      <c r="J64593"/>
    </row>
    <row r="64594" spans="10:10" x14ac:dyDescent="0.3">
      <c r="J64594"/>
    </row>
    <row r="64595" spans="10:10" x14ac:dyDescent="0.3">
      <c r="J64595"/>
    </row>
    <row r="64596" spans="10:10" x14ac:dyDescent="0.3">
      <c r="J64596"/>
    </row>
    <row r="64597" spans="10:10" x14ac:dyDescent="0.3">
      <c r="J64597"/>
    </row>
    <row r="64598" spans="10:10" x14ac:dyDescent="0.3">
      <c r="J64598"/>
    </row>
    <row r="64599" spans="10:10" x14ac:dyDescent="0.3">
      <c r="J64599"/>
    </row>
    <row r="64600" spans="10:10" x14ac:dyDescent="0.3">
      <c r="J64600"/>
    </row>
    <row r="64601" spans="10:10" x14ac:dyDescent="0.3">
      <c r="J64601"/>
    </row>
    <row r="64602" spans="10:10" x14ac:dyDescent="0.3">
      <c r="J64602"/>
    </row>
    <row r="64603" spans="10:10" x14ac:dyDescent="0.3">
      <c r="J64603"/>
    </row>
    <row r="64604" spans="10:10" x14ac:dyDescent="0.3">
      <c r="J64604"/>
    </row>
    <row r="64605" spans="10:10" x14ac:dyDescent="0.3">
      <c r="J64605"/>
    </row>
    <row r="64606" spans="10:10" x14ac:dyDescent="0.3">
      <c r="J64606"/>
    </row>
    <row r="64607" spans="10:10" x14ac:dyDescent="0.3">
      <c r="J64607"/>
    </row>
    <row r="64608" spans="10:10" x14ac:dyDescent="0.3">
      <c r="J64608"/>
    </row>
    <row r="64609" spans="10:10" x14ac:dyDescent="0.3">
      <c r="J64609"/>
    </row>
    <row r="64610" spans="10:10" x14ac:dyDescent="0.3">
      <c r="J64610"/>
    </row>
    <row r="64611" spans="10:10" x14ac:dyDescent="0.3">
      <c r="J64611"/>
    </row>
    <row r="64612" spans="10:10" x14ac:dyDescent="0.3">
      <c r="J64612"/>
    </row>
    <row r="64613" spans="10:10" x14ac:dyDescent="0.3">
      <c r="J64613"/>
    </row>
    <row r="64614" spans="10:10" x14ac:dyDescent="0.3">
      <c r="J64614"/>
    </row>
    <row r="64615" spans="10:10" x14ac:dyDescent="0.3">
      <c r="J64615"/>
    </row>
    <row r="64616" spans="10:10" x14ac:dyDescent="0.3">
      <c r="J64616"/>
    </row>
    <row r="64617" spans="10:10" x14ac:dyDescent="0.3">
      <c r="J64617"/>
    </row>
    <row r="64618" spans="10:10" x14ac:dyDescent="0.3">
      <c r="J64618"/>
    </row>
    <row r="64619" spans="10:10" x14ac:dyDescent="0.3">
      <c r="J64619"/>
    </row>
    <row r="64620" spans="10:10" x14ac:dyDescent="0.3">
      <c r="J64620"/>
    </row>
    <row r="64621" spans="10:10" x14ac:dyDescent="0.3">
      <c r="J64621"/>
    </row>
    <row r="64622" spans="10:10" x14ac:dyDescent="0.3">
      <c r="J64622"/>
    </row>
    <row r="64623" spans="10:10" x14ac:dyDescent="0.3">
      <c r="J64623"/>
    </row>
    <row r="64624" spans="10:10" x14ac:dyDescent="0.3">
      <c r="J64624"/>
    </row>
    <row r="64625" spans="10:10" x14ac:dyDescent="0.3">
      <c r="J64625"/>
    </row>
    <row r="64626" spans="10:10" x14ac:dyDescent="0.3">
      <c r="J64626"/>
    </row>
    <row r="64627" spans="10:10" x14ac:dyDescent="0.3">
      <c r="J64627"/>
    </row>
    <row r="64628" spans="10:10" x14ac:dyDescent="0.3">
      <c r="J64628"/>
    </row>
    <row r="64629" spans="10:10" x14ac:dyDescent="0.3">
      <c r="J64629"/>
    </row>
    <row r="64630" spans="10:10" x14ac:dyDescent="0.3">
      <c r="J64630"/>
    </row>
    <row r="64631" spans="10:10" x14ac:dyDescent="0.3">
      <c r="J64631"/>
    </row>
    <row r="64632" spans="10:10" x14ac:dyDescent="0.3">
      <c r="J64632"/>
    </row>
    <row r="64633" spans="10:10" x14ac:dyDescent="0.3">
      <c r="J64633"/>
    </row>
    <row r="64634" spans="10:10" x14ac:dyDescent="0.3">
      <c r="J64634"/>
    </row>
    <row r="64635" spans="10:10" x14ac:dyDescent="0.3">
      <c r="J64635"/>
    </row>
    <row r="64636" spans="10:10" x14ac:dyDescent="0.3">
      <c r="J64636"/>
    </row>
    <row r="64637" spans="10:10" x14ac:dyDescent="0.3">
      <c r="J64637"/>
    </row>
    <row r="64638" spans="10:10" x14ac:dyDescent="0.3">
      <c r="J64638"/>
    </row>
    <row r="64639" spans="10:10" x14ac:dyDescent="0.3">
      <c r="J64639"/>
    </row>
    <row r="64640" spans="10:10" x14ac:dyDescent="0.3">
      <c r="J64640"/>
    </row>
    <row r="64641" spans="10:10" x14ac:dyDescent="0.3">
      <c r="J64641"/>
    </row>
    <row r="64642" spans="10:10" x14ac:dyDescent="0.3">
      <c r="J64642"/>
    </row>
    <row r="64643" spans="10:10" x14ac:dyDescent="0.3">
      <c r="J64643"/>
    </row>
    <row r="64644" spans="10:10" x14ac:dyDescent="0.3">
      <c r="J64644"/>
    </row>
    <row r="64645" spans="10:10" x14ac:dyDescent="0.3">
      <c r="J64645"/>
    </row>
    <row r="64646" spans="10:10" x14ac:dyDescent="0.3">
      <c r="J64646"/>
    </row>
    <row r="64647" spans="10:10" x14ac:dyDescent="0.3">
      <c r="J64647"/>
    </row>
    <row r="64648" spans="10:10" x14ac:dyDescent="0.3">
      <c r="J64648"/>
    </row>
    <row r="64649" spans="10:10" x14ac:dyDescent="0.3">
      <c r="J64649"/>
    </row>
    <row r="64650" spans="10:10" x14ac:dyDescent="0.3">
      <c r="J64650"/>
    </row>
    <row r="64651" spans="10:10" x14ac:dyDescent="0.3">
      <c r="J64651"/>
    </row>
    <row r="64652" spans="10:10" x14ac:dyDescent="0.3">
      <c r="J64652"/>
    </row>
    <row r="64653" spans="10:10" x14ac:dyDescent="0.3">
      <c r="J64653"/>
    </row>
    <row r="64654" spans="10:10" x14ac:dyDescent="0.3">
      <c r="J64654"/>
    </row>
    <row r="64655" spans="10:10" x14ac:dyDescent="0.3">
      <c r="J64655"/>
    </row>
    <row r="64656" spans="10:10" x14ac:dyDescent="0.3">
      <c r="J64656"/>
    </row>
    <row r="64657" spans="10:10" x14ac:dyDescent="0.3">
      <c r="J64657"/>
    </row>
    <row r="64658" spans="10:10" x14ac:dyDescent="0.3">
      <c r="J64658"/>
    </row>
    <row r="64659" spans="10:10" x14ac:dyDescent="0.3">
      <c r="J64659"/>
    </row>
    <row r="64660" spans="10:10" x14ac:dyDescent="0.3">
      <c r="J64660"/>
    </row>
    <row r="64661" spans="10:10" x14ac:dyDescent="0.3">
      <c r="J64661"/>
    </row>
    <row r="64662" spans="10:10" x14ac:dyDescent="0.3">
      <c r="J64662"/>
    </row>
    <row r="64663" spans="10:10" x14ac:dyDescent="0.3">
      <c r="J64663"/>
    </row>
    <row r="64664" spans="10:10" x14ac:dyDescent="0.3">
      <c r="J64664"/>
    </row>
    <row r="64665" spans="10:10" x14ac:dyDescent="0.3">
      <c r="J64665"/>
    </row>
    <row r="64666" spans="10:10" x14ac:dyDescent="0.3">
      <c r="J64666"/>
    </row>
    <row r="64667" spans="10:10" x14ac:dyDescent="0.3">
      <c r="J64667"/>
    </row>
    <row r="64668" spans="10:10" x14ac:dyDescent="0.3">
      <c r="J64668"/>
    </row>
    <row r="64669" spans="10:10" x14ac:dyDescent="0.3">
      <c r="J64669"/>
    </row>
    <row r="64670" spans="10:10" x14ac:dyDescent="0.3">
      <c r="J64670"/>
    </row>
    <row r="64671" spans="10:10" x14ac:dyDescent="0.3">
      <c r="J64671"/>
    </row>
    <row r="64672" spans="10:10" x14ac:dyDescent="0.3">
      <c r="J64672"/>
    </row>
    <row r="64673" spans="10:10" x14ac:dyDescent="0.3">
      <c r="J64673"/>
    </row>
    <row r="64674" spans="10:10" x14ac:dyDescent="0.3">
      <c r="J64674"/>
    </row>
    <row r="64675" spans="10:10" x14ac:dyDescent="0.3">
      <c r="J64675"/>
    </row>
    <row r="64676" spans="10:10" x14ac:dyDescent="0.3">
      <c r="J64676"/>
    </row>
    <row r="64677" spans="10:10" x14ac:dyDescent="0.3">
      <c r="J64677"/>
    </row>
    <row r="64678" spans="10:10" x14ac:dyDescent="0.3">
      <c r="J64678"/>
    </row>
    <row r="64679" spans="10:10" x14ac:dyDescent="0.3">
      <c r="J64679"/>
    </row>
    <row r="64680" spans="10:10" x14ac:dyDescent="0.3">
      <c r="J64680"/>
    </row>
    <row r="64681" spans="10:10" x14ac:dyDescent="0.3">
      <c r="J64681"/>
    </row>
    <row r="64682" spans="10:10" x14ac:dyDescent="0.3">
      <c r="J64682"/>
    </row>
    <row r="64683" spans="10:10" x14ac:dyDescent="0.3">
      <c r="J64683"/>
    </row>
    <row r="64684" spans="10:10" x14ac:dyDescent="0.3">
      <c r="J64684"/>
    </row>
    <row r="64685" spans="10:10" x14ac:dyDescent="0.3">
      <c r="J64685"/>
    </row>
    <row r="64686" spans="10:10" x14ac:dyDescent="0.3">
      <c r="J64686"/>
    </row>
    <row r="64687" spans="10:10" x14ac:dyDescent="0.3">
      <c r="J64687"/>
    </row>
    <row r="64688" spans="10:10" x14ac:dyDescent="0.3">
      <c r="J64688"/>
    </row>
    <row r="64689" spans="10:10" x14ac:dyDescent="0.3">
      <c r="J64689"/>
    </row>
    <row r="64690" spans="10:10" x14ac:dyDescent="0.3">
      <c r="J64690"/>
    </row>
    <row r="64691" spans="10:10" x14ac:dyDescent="0.3">
      <c r="J64691"/>
    </row>
    <row r="64692" spans="10:10" x14ac:dyDescent="0.3">
      <c r="J64692"/>
    </row>
    <row r="64693" spans="10:10" x14ac:dyDescent="0.3">
      <c r="J64693"/>
    </row>
    <row r="64694" spans="10:10" x14ac:dyDescent="0.3">
      <c r="J64694"/>
    </row>
    <row r="64695" spans="10:10" x14ac:dyDescent="0.3">
      <c r="J64695"/>
    </row>
    <row r="64696" spans="10:10" x14ac:dyDescent="0.3">
      <c r="J64696"/>
    </row>
    <row r="64697" spans="10:10" x14ac:dyDescent="0.3">
      <c r="J64697"/>
    </row>
    <row r="64698" spans="10:10" x14ac:dyDescent="0.3">
      <c r="J64698"/>
    </row>
    <row r="64699" spans="10:10" x14ac:dyDescent="0.3">
      <c r="J64699"/>
    </row>
    <row r="64700" spans="10:10" x14ac:dyDescent="0.3">
      <c r="J64700"/>
    </row>
    <row r="64701" spans="10:10" x14ac:dyDescent="0.3">
      <c r="J64701"/>
    </row>
    <row r="64702" spans="10:10" x14ac:dyDescent="0.3">
      <c r="J64702"/>
    </row>
    <row r="64703" spans="10:10" x14ac:dyDescent="0.3">
      <c r="J64703"/>
    </row>
    <row r="64704" spans="10:10" x14ac:dyDescent="0.3">
      <c r="J64704"/>
    </row>
    <row r="64705" spans="10:10" x14ac:dyDescent="0.3">
      <c r="J64705"/>
    </row>
    <row r="64706" spans="10:10" x14ac:dyDescent="0.3">
      <c r="J64706"/>
    </row>
    <row r="64707" spans="10:10" x14ac:dyDescent="0.3">
      <c r="J64707"/>
    </row>
    <row r="64708" spans="10:10" x14ac:dyDescent="0.3">
      <c r="J64708"/>
    </row>
    <row r="64709" spans="10:10" x14ac:dyDescent="0.3">
      <c r="J64709"/>
    </row>
    <row r="64710" spans="10:10" x14ac:dyDescent="0.3">
      <c r="J64710"/>
    </row>
    <row r="64711" spans="10:10" x14ac:dyDescent="0.3">
      <c r="J64711"/>
    </row>
    <row r="64712" spans="10:10" x14ac:dyDescent="0.3">
      <c r="J64712"/>
    </row>
    <row r="64713" spans="10:10" x14ac:dyDescent="0.3">
      <c r="J64713"/>
    </row>
    <row r="64714" spans="10:10" x14ac:dyDescent="0.3">
      <c r="J64714"/>
    </row>
    <row r="64715" spans="10:10" x14ac:dyDescent="0.3">
      <c r="J64715"/>
    </row>
    <row r="64716" spans="10:10" x14ac:dyDescent="0.3">
      <c r="J64716"/>
    </row>
    <row r="64717" spans="10:10" x14ac:dyDescent="0.3">
      <c r="J64717"/>
    </row>
    <row r="64718" spans="10:10" x14ac:dyDescent="0.3">
      <c r="J64718"/>
    </row>
    <row r="64719" spans="10:10" x14ac:dyDescent="0.3">
      <c r="J64719"/>
    </row>
    <row r="64720" spans="10:10" x14ac:dyDescent="0.3">
      <c r="J64720"/>
    </row>
    <row r="64721" spans="10:10" x14ac:dyDescent="0.3">
      <c r="J64721"/>
    </row>
    <row r="64722" spans="10:10" x14ac:dyDescent="0.3">
      <c r="J64722"/>
    </row>
    <row r="64723" spans="10:10" x14ac:dyDescent="0.3">
      <c r="J64723"/>
    </row>
    <row r="64724" spans="10:10" x14ac:dyDescent="0.3">
      <c r="J64724"/>
    </row>
    <row r="64725" spans="10:10" x14ac:dyDescent="0.3">
      <c r="J64725"/>
    </row>
    <row r="64726" spans="10:10" x14ac:dyDescent="0.3">
      <c r="J64726"/>
    </row>
    <row r="64727" spans="10:10" x14ac:dyDescent="0.3">
      <c r="J64727"/>
    </row>
    <row r="64728" spans="10:10" x14ac:dyDescent="0.3">
      <c r="J64728"/>
    </row>
    <row r="64729" spans="10:10" x14ac:dyDescent="0.3">
      <c r="J64729"/>
    </row>
    <row r="64730" spans="10:10" x14ac:dyDescent="0.3">
      <c r="J64730"/>
    </row>
    <row r="64731" spans="10:10" x14ac:dyDescent="0.3">
      <c r="J64731"/>
    </row>
    <row r="64732" spans="10:10" x14ac:dyDescent="0.3">
      <c r="J64732"/>
    </row>
    <row r="64733" spans="10:10" x14ac:dyDescent="0.3">
      <c r="J64733"/>
    </row>
    <row r="64734" spans="10:10" x14ac:dyDescent="0.3">
      <c r="J64734"/>
    </row>
    <row r="64735" spans="10:10" x14ac:dyDescent="0.3">
      <c r="J64735"/>
    </row>
    <row r="64736" spans="10:10" x14ac:dyDescent="0.3">
      <c r="J64736"/>
    </row>
    <row r="64737" spans="10:10" x14ac:dyDescent="0.3">
      <c r="J64737"/>
    </row>
    <row r="64738" spans="10:10" x14ac:dyDescent="0.3">
      <c r="J64738"/>
    </row>
    <row r="64739" spans="10:10" x14ac:dyDescent="0.3">
      <c r="J64739"/>
    </row>
    <row r="64740" spans="10:10" x14ac:dyDescent="0.3">
      <c r="J64740"/>
    </row>
    <row r="64741" spans="10:10" x14ac:dyDescent="0.3">
      <c r="J64741"/>
    </row>
    <row r="64742" spans="10:10" x14ac:dyDescent="0.3">
      <c r="J64742"/>
    </row>
    <row r="64743" spans="10:10" x14ac:dyDescent="0.3">
      <c r="J64743"/>
    </row>
    <row r="64744" spans="10:10" x14ac:dyDescent="0.3">
      <c r="J64744"/>
    </row>
    <row r="64745" spans="10:10" x14ac:dyDescent="0.3">
      <c r="J64745"/>
    </row>
    <row r="64746" spans="10:10" x14ac:dyDescent="0.3">
      <c r="J64746"/>
    </row>
    <row r="64747" spans="10:10" x14ac:dyDescent="0.3">
      <c r="J64747"/>
    </row>
    <row r="64748" spans="10:10" x14ac:dyDescent="0.3">
      <c r="J64748"/>
    </row>
    <row r="64749" spans="10:10" x14ac:dyDescent="0.3">
      <c r="J64749"/>
    </row>
    <row r="64750" spans="10:10" x14ac:dyDescent="0.3">
      <c r="J64750"/>
    </row>
    <row r="64751" spans="10:10" x14ac:dyDescent="0.3">
      <c r="J64751"/>
    </row>
    <row r="64752" spans="10:10" x14ac:dyDescent="0.3">
      <c r="J64752"/>
    </row>
    <row r="64753" spans="10:10" x14ac:dyDescent="0.3">
      <c r="J64753"/>
    </row>
    <row r="64754" spans="10:10" x14ac:dyDescent="0.3">
      <c r="J64754"/>
    </row>
    <row r="64755" spans="10:10" x14ac:dyDescent="0.3">
      <c r="J64755"/>
    </row>
    <row r="64756" spans="10:10" x14ac:dyDescent="0.3">
      <c r="J64756"/>
    </row>
    <row r="64757" spans="10:10" x14ac:dyDescent="0.3">
      <c r="J64757"/>
    </row>
    <row r="64758" spans="10:10" x14ac:dyDescent="0.3">
      <c r="J64758"/>
    </row>
    <row r="64759" spans="10:10" x14ac:dyDescent="0.3">
      <c r="J64759"/>
    </row>
    <row r="64760" spans="10:10" x14ac:dyDescent="0.3">
      <c r="J64760"/>
    </row>
    <row r="64761" spans="10:10" x14ac:dyDescent="0.3">
      <c r="J64761"/>
    </row>
    <row r="64762" spans="10:10" x14ac:dyDescent="0.3">
      <c r="J64762"/>
    </row>
    <row r="64763" spans="10:10" x14ac:dyDescent="0.3">
      <c r="J64763"/>
    </row>
    <row r="64764" spans="10:10" x14ac:dyDescent="0.3">
      <c r="J64764"/>
    </row>
    <row r="64765" spans="10:10" x14ac:dyDescent="0.3">
      <c r="J64765"/>
    </row>
    <row r="64766" spans="10:10" x14ac:dyDescent="0.3">
      <c r="J64766"/>
    </row>
    <row r="64767" spans="10:10" x14ac:dyDescent="0.3">
      <c r="J64767"/>
    </row>
    <row r="64768" spans="10:10" x14ac:dyDescent="0.3">
      <c r="J64768"/>
    </row>
    <row r="64769" spans="10:10" x14ac:dyDescent="0.3">
      <c r="J64769"/>
    </row>
    <row r="64770" spans="10:10" x14ac:dyDescent="0.3">
      <c r="J64770"/>
    </row>
    <row r="64771" spans="10:10" x14ac:dyDescent="0.3">
      <c r="J64771"/>
    </row>
    <row r="64772" spans="10:10" x14ac:dyDescent="0.3">
      <c r="J64772"/>
    </row>
    <row r="64773" spans="10:10" x14ac:dyDescent="0.3">
      <c r="J64773"/>
    </row>
    <row r="64774" spans="10:10" x14ac:dyDescent="0.3">
      <c r="J64774"/>
    </row>
    <row r="64775" spans="10:10" x14ac:dyDescent="0.3">
      <c r="J64775"/>
    </row>
    <row r="64776" spans="10:10" x14ac:dyDescent="0.3">
      <c r="J64776"/>
    </row>
    <row r="64777" spans="10:10" x14ac:dyDescent="0.3">
      <c r="J64777"/>
    </row>
    <row r="64778" spans="10:10" x14ac:dyDescent="0.3">
      <c r="J64778"/>
    </row>
    <row r="64779" spans="10:10" x14ac:dyDescent="0.3">
      <c r="J64779"/>
    </row>
    <row r="64780" spans="10:10" x14ac:dyDescent="0.3">
      <c r="J64780"/>
    </row>
    <row r="64781" spans="10:10" x14ac:dyDescent="0.3">
      <c r="J64781"/>
    </row>
    <row r="64782" spans="10:10" x14ac:dyDescent="0.3">
      <c r="J64782"/>
    </row>
    <row r="64783" spans="10:10" x14ac:dyDescent="0.3">
      <c r="J64783"/>
    </row>
    <row r="64784" spans="10:10" x14ac:dyDescent="0.3">
      <c r="J64784"/>
    </row>
    <row r="64785" spans="10:10" x14ac:dyDescent="0.3">
      <c r="J64785"/>
    </row>
    <row r="64786" spans="10:10" x14ac:dyDescent="0.3">
      <c r="J64786"/>
    </row>
    <row r="64787" spans="10:10" x14ac:dyDescent="0.3">
      <c r="J64787"/>
    </row>
    <row r="64788" spans="10:10" x14ac:dyDescent="0.3">
      <c r="J64788"/>
    </row>
    <row r="64789" spans="10:10" x14ac:dyDescent="0.3">
      <c r="J64789"/>
    </row>
    <row r="64790" spans="10:10" x14ac:dyDescent="0.3">
      <c r="J64790"/>
    </row>
    <row r="64791" spans="10:10" x14ac:dyDescent="0.3">
      <c r="J64791"/>
    </row>
    <row r="64792" spans="10:10" x14ac:dyDescent="0.3">
      <c r="J64792"/>
    </row>
    <row r="64793" spans="10:10" x14ac:dyDescent="0.3">
      <c r="J64793"/>
    </row>
    <row r="64794" spans="10:10" x14ac:dyDescent="0.3">
      <c r="J64794"/>
    </row>
    <row r="64795" spans="10:10" x14ac:dyDescent="0.3">
      <c r="J64795"/>
    </row>
    <row r="64796" spans="10:10" x14ac:dyDescent="0.3">
      <c r="J64796"/>
    </row>
    <row r="64797" spans="10:10" x14ac:dyDescent="0.3">
      <c r="J64797"/>
    </row>
    <row r="64798" spans="10:10" x14ac:dyDescent="0.3">
      <c r="J64798"/>
    </row>
    <row r="64799" spans="10:10" x14ac:dyDescent="0.3">
      <c r="J64799"/>
    </row>
    <row r="64800" spans="10:10" x14ac:dyDescent="0.3">
      <c r="J64800"/>
    </row>
    <row r="64801" spans="10:10" x14ac:dyDescent="0.3">
      <c r="J64801"/>
    </row>
    <row r="64802" spans="10:10" x14ac:dyDescent="0.3">
      <c r="J64802"/>
    </row>
    <row r="64803" spans="10:10" x14ac:dyDescent="0.3">
      <c r="J64803"/>
    </row>
    <row r="64804" spans="10:10" x14ac:dyDescent="0.3">
      <c r="J64804"/>
    </row>
    <row r="64805" spans="10:10" x14ac:dyDescent="0.3">
      <c r="J64805"/>
    </row>
    <row r="64806" spans="10:10" x14ac:dyDescent="0.3">
      <c r="J64806"/>
    </row>
    <row r="64807" spans="10:10" x14ac:dyDescent="0.3">
      <c r="J64807"/>
    </row>
    <row r="64808" spans="10:10" x14ac:dyDescent="0.3">
      <c r="J64808"/>
    </row>
    <row r="64809" spans="10:10" x14ac:dyDescent="0.3">
      <c r="J64809"/>
    </row>
    <row r="64810" spans="10:10" x14ac:dyDescent="0.3">
      <c r="J64810"/>
    </row>
    <row r="64811" spans="10:10" x14ac:dyDescent="0.3">
      <c r="J64811"/>
    </row>
    <row r="64812" spans="10:10" x14ac:dyDescent="0.3">
      <c r="J64812"/>
    </row>
    <row r="64813" spans="10:10" x14ac:dyDescent="0.3">
      <c r="J64813"/>
    </row>
    <row r="64814" spans="10:10" x14ac:dyDescent="0.3">
      <c r="J64814"/>
    </row>
    <row r="64815" spans="10:10" x14ac:dyDescent="0.3">
      <c r="J64815"/>
    </row>
    <row r="64816" spans="10:10" x14ac:dyDescent="0.3">
      <c r="J64816"/>
    </row>
    <row r="64817" spans="10:10" x14ac:dyDescent="0.3">
      <c r="J64817"/>
    </row>
    <row r="64818" spans="10:10" x14ac:dyDescent="0.3">
      <c r="J64818"/>
    </row>
    <row r="64819" spans="10:10" x14ac:dyDescent="0.3">
      <c r="J64819"/>
    </row>
    <row r="64820" spans="10:10" x14ac:dyDescent="0.3">
      <c r="J64820"/>
    </row>
    <row r="64821" spans="10:10" x14ac:dyDescent="0.3">
      <c r="J64821"/>
    </row>
    <row r="64822" spans="10:10" x14ac:dyDescent="0.3">
      <c r="J64822"/>
    </row>
    <row r="64823" spans="10:10" x14ac:dyDescent="0.3">
      <c r="J64823"/>
    </row>
    <row r="64824" spans="10:10" x14ac:dyDescent="0.3">
      <c r="J64824"/>
    </row>
    <row r="64825" spans="10:10" x14ac:dyDescent="0.3">
      <c r="J64825"/>
    </row>
    <row r="64826" spans="10:10" x14ac:dyDescent="0.3">
      <c r="J64826"/>
    </row>
    <row r="64827" spans="10:10" x14ac:dyDescent="0.3">
      <c r="J64827"/>
    </row>
    <row r="64828" spans="10:10" x14ac:dyDescent="0.3">
      <c r="J64828"/>
    </row>
    <row r="64829" spans="10:10" x14ac:dyDescent="0.3">
      <c r="J64829"/>
    </row>
    <row r="64830" spans="10:10" x14ac:dyDescent="0.3">
      <c r="J64830"/>
    </row>
    <row r="64831" spans="10:10" x14ac:dyDescent="0.3">
      <c r="J64831"/>
    </row>
    <row r="64832" spans="10:10" x14ac:dyDescent="0.3">
      <c r="J64832"/>
    </row>
    <row r="64833" spans="10:10" x14ac:dyDescent="0.3">
      <c r="J64833"/>
    </row>
    <row r="64834" spans="10:10" x14ac:dyDescent="0.3">
      <c r="J64834"/>
    </row>
    <row r="64835" spans="10:10" x14ac:dyDescent="0.3">
      <c r="J64835"/>
    </row>
    <row r="64836" spans="10:10" x14ac:dyDescent="0.3">
      <c r="J64836"/>
    </row>
    <row r="64837" spans="10:10" x14ac:dyDescent="0.3">
      <c r="J64837"/>
    </row>
    <row r="64838" spans="10:10" x14ac:dyDescent="0.3">
      <c r="J64838"/>
    </row>
    <row r="64839" spans="10:10" x14ac:dyDescent="0.3">
      <c r="J64839"/>
    </row>
    <row r="64840" spans="10:10" x14ac:dyDescent="0.3">
      <c r="J64840"/>
    </row>
    <row r="64841" spans="10:10" x14ac:dyDescent="0.3">
      <c r="J64841"/>
    </row>
    <row r="64842" spans="10:10" x14ac:dyDescent="0.3">
      <c r="J64842"/>
    </row>
    <row r="64843" spans="10:10" x14ac:dyDescent="0.3">
      <c r="J64843"/>
    </row>
    <row r="64844" spans="10:10" x14ac:dyDescent="0.3">
      <c r="J64844"/>
    </row>
    <row r="64845" spans="10:10" x14ac:dyDescent="0.3">
      <c r="J64845"/>
    </row>
    <row r="64846" spans="10:10" x14ac:dyDescent="0.3">
      <c r="J64846"/>
    </row>
    <row r="64847" spans="10:10" x14ac:dyDescent="0.3">
      <c r="J64847"/>
    </row>
    <row r="64848" spans="10:10" x14ac:dyDescent="0.3">
      <c r="J64848"/>
    </row>
    <row r="64849" spans="10:10" x14ac:dyDescent="0.3">
      <c r="J64849"/>
    </row>
    <row r="64850" spans="10:10" x14ac:dyDescent="0.3">
      <c r="J64850"/>
    </row>
    <row r="64851" spans="10:10" x14ac:dyDescent="0.3">
      <c r="J64851"/>
    </row>
    <row r="64852" spans="10:10" x14ac:dyDescent="0.3">
      <c r="J64852"/>
    </row>
    <row r="64853" spans="10:10" x14ac:dyDescent="0.3">
      <c r="J64853"/>
    </row>
    <row r="64854" spans="10:10" x14ac:dyDescent="0.3">
      <c r="J64854"/>
    </row>
    <row r="64855" spans="10:10" x14ac:dyDescent="0.3">
      <c r="J64855"/>
    </row>
    <row r="64856" spans="10:10" x14ac:dyDescent="0.3">
      <c r="J64856"/>
    </row>
    <row r="64857" spans="10:10" x14ac:dyDescent="0.3">
      <c r="J64857"/>
    </row>
    <row r="64858" spans="10:10" x14ac:dyDescent="0.3">
      <c r="J64858"/>
    </row>
    <row r="64859" spans="10:10" x14ac:dyDescent="0.3">
      <c r="J64859"/>
    </row>
    <row r="64860" spans="10:10" x14ac:dyDescent="0.3">
      <c r="J64860"/>
    </row>
    <row r="64861" spans="10:10" x14ac:dyDescent="0.3">
      <c r="J64861"/>
    </row>
    <row r="64862" spans="10:10" x14ac:dyDescent="0.3">
      <c r="J64862"/>
    </row>
    <row r="64863" spans="10:10" x14ac:dyDescent="0.3">
      <c r="J64863"/>
    </row>
    <row r="64864" spans="10:10" x14ac:dyDescent="0.3">
      <c r="J64864"/>
    </row>
    <row r="64865" spans="10:10" x14ac:dyDescent="0.3">
      <c r="J64865"/>
    </row>
    <row r="64866" spans="10:10" x14ac:dyDescent="0.3">
      <c r="J64866"/>
    </row>
    <row r="64867" spans="10:10" x14ac:dyDescent="0.3">
      <c r="J64867"/>
    </row>
    <row r="64868" spans="10:10" x14ac:dyDescent="0.3">
      <c r="J64868"/>
    </row>
    <row r="64869" spans="10:10" x14ac:dyDescent="0.3">
      <c r="J64869"/>
    </row>
    <row r="64870" spans="10:10" x14ac:dyDescent="0.3">
      <c r="J64870"/>
    </row>
    <row r="64871" spans="10:10" x14ac:dyDescent="0.3">
      <c r="J64871"/>
    </row>
    <row r="64872" spans="10:10" x14ac:dyDescent="0.3">
      <c r="J64872"/>
    </row>
    <row r="64873" spans="10:10" x14ac:dyDescent="0.3">
      <c r="J64873"/>
    </row>
    <row r="64874" spans="10:10" x14ac:dyDescent="0.3">
      <c r="J64874"/>
    </row>
    <row r="64875" spans="10:10" x14ac:dyDescent="0.3">
      <c r="J64875"/>
    </row>
    <row r="64876" spans="10:10" x14ac:dyDescent="0.3">
      <c r="J64876"/>
    </row>
    <row r="64877" spans="10:10" x14ac:dyDescent="0.3">
      <c r="J64877"/>
    </row>
    <row r="64878" spans="10:10" x14ac:dyDescent="0.3">
      <c r="J64878"/>
    </row>
    <row r="64879" spans="10:10" x14ac:dyDescent="0.3">
      <c r="J64879"/>
    </row>
    <row r="64880" spans="10:10" x14ac:dyDescent="0.3">
      <c r="J64880"/>
    </row>
    <row r="64881" spans="10:10" x14ac:dyDescent="0.3">
      <c r="J64881"/>
    </row>
    <row r="64882" spans="10:10" x14ac:dyDescent="0.3">
      <c r="J64882"/>
    </row>
    <row r="64883" spans="10:10" x14ac:dyDescent="0.3">
      <c r="J64883"/>
    </row>
    <row r="64884" spans="10:10" x14ac:dyDescent="0.3">
      <c r="J64884"/>
    </row>
    <row r="64885" spans="10:10" x14ac:dyDescent="0.3">
      <c r="J64885"/>
    </row>
    <row r="64886" spans="10:10" x14ac:dyDescent="0.3">
      <c r="J64886"/>
    </row>
    <row r="64887" spans="10:10" x14ac:dyDescent="0.3">
      <c r="J64887"/>
    </row>
    <row r="64888" spans="10:10" x14ac:dyDescent="0.3">
      <c r="J64888"/>
    </row>
    <row r="64889" spans="10:10" x14ac:dyDescent="0.3">
      <c r="J64889"/>
    </row>
    <row r="64890" spans="10:10" x14ac:dyDescent="0.3">
      <c r="J64890"/>
    </row>
    <row r="64891" spans="10:10" x14ac:dyDescent="0.3">
      <c r="J64891"/>
    </row>
    <row r="64892" spans="10:10" x14ac:dyDescent="0.3">
      <c r="J64892"/>
    </row>
    <row r="64893" spans="10:10" x14ac:dyDescent="0.3">
      <c r="J64893"/>
    </row>
    <row r="64894" spans="10:10" x14ac:dyDescent="0.3">
      <c r="J64894"/>
    </row>
    <row r="64895" spans="10:10" x14ac:dyDescent="0.3">
      <c r="J64895"/>
    </row>
    <row r="64896" spans="10:10" x14ac:dyDescent="0.3">
      <c r="J64896"/>
    </row>
    <row r="64897" spans="10:10" x14ac:dyDescent="0.3">
      <c r="J64897"/>
    </row>
    <row r="64898" spans="10:10" x14ac:dyDescent="0.3">
      <c r="J64898"/>
    </row>
    <row r="64899" spans="10:10" x14ac:dyDescent="0.3">
      <c r="J64899"/>
    </row>
    <row r="64900" spans="10:10" x14ac:dyDescent="0.3">
      <c r="J64900"/>
    </row>
    <row r="64901" spans="10:10" x14ac:dyDescent="0.3">
      <c r="J64901"/>
    </row>
    <row r="64902" spans="10:10" x14ac:dyDescent="0.3">
      <c r="J64902"/>
    </row>
    <row r="64903" spans="10:10" x14ac:dyDescent="0.3">
      <c r="J64903"/>
    </row>
    <row r="64904" spans="10:10" x14ac:dyDescent="0.3">
      <c r="J64904"/>
    </row>
    <row r="64905" spans="10:10" x14ac:dyDescent="0.3">
      <c r="J64905"/>
    </row>
    <row r="64906" spans="10:10" x14ac:dyDescent="0.3">
      <c r="J64906"/>
    </row>
    <row r="64907" spans="10:10" x14ac:dyDescent="0.3">
      <c r="J64907"/>
    </row>
    <row r="64908" spans="10:10" x14ac:dyDescent="0.3">
      <c r="J64908"/>
    </row>
    <row r="64909" spans="10:10" x14ac:dyDescent="0.3">
      <c r="J64909"/>
    </row>
    <row r="64910" spans="10:10" x14ac:dyDescent="0.3">
      <c r="J64910"/>
    </row>
    <row r="64911" spans="10:10" x14ac:dyDescent="0.3">
      <c r="J64911"/>
    </row>
    <row r="64912" spans="10:10" x14ac:dyDescent="0.3">
      <c r="J64912"/>
    </row>
    <row r="64913" spans="10:10" x14ac:dyDescent="0.3">
      <c r="J64913"/>
    </row>
    <row r="64914" spans="10:10" x14ac:dyDescent="0.3">
      <c r="J64914"/>
    </row>
    <row r="64915" spans="10:10" x14ac:dyDescent="0.3">
      <c r="J64915"/>
    </row>
    <row r="64916" spans="10:10" x14ac:dyDescent="0.3">
      <c r="J64916"/>
    </row>
    <row r="64917" spans="10:10" x14ac:dyDescent="0.3">
      <c r="J64917"/>
    </row>
    <row r="64918" spans="10:10" x14ac:dyDescent="0.3">
      <c r="J64918"/>
    </row>
    <row r="64919" spans="10:10" x14ac:dyDescent="0.3">
      <c r="J64919"/>
    </row>
    <row r="64920" spans="10:10" x14ac:dyDescent="0.3">
      <c r="J64920"/>
    </row>
    <row r="64921" spans="10:10" x14ac:dyDescent="0.3">
      <c r="J64921"/>
    </row>
    <row r="64922" spans="10:10" x14ac:dyDescent="0.3">
      <c r="J64922"/>
    </row>
    <row r="64923" spans="10:10" x14ac:dyDescent="0.3">
      <c r="J64923"/>
    </row>
    <row r="64924" spans="10:10" x14ac:dyDescent="0.3">
      <c r="J64924"/>
    </row>
    <row r="64925" spans="10:10" x14ac:dyDescent="0.3">
      <c r="J64925"/>
    </row>
    <row r="64926" spans="10:10" x14ac:dyDescent="0.3">
      <c r="J64926"/>
    </row>
    <row r="64927" spans="10:10" x14ac:dyDescent="0.3">
      <c r="J64927"/>
    </row>
    <row r="64928" spans="10:10" x14ac:dyDescent="0.3">
      <c r="J64928"/>
    </row>
    <row r="64929" spans="10:10" x14ac:dyDescent="0.3">
      <c r="J64929"/>
    </row>
    <row r="64930" spans="10:10" x14ac:dyDescent="0.3">
      <c r="J64930"/>
    </row>
    <row r="64931" spans="10:10" x14ac:dyDescent="0.3">
      <c r="J64931"/>
    </row>
    <row r="64932" spans="10:10" x14ac:dyDescent="0.3">
      <c r="J64932"/>
    </row>
    <row r="64933" spans="10:10" x14ac:dyDescent="0.3">
      <c r="J64933"/>
    </row>
    <row r="64934" spans="10:10" x14ac:dyDescent="0.3">
      <c r="J64934"/>
    </row>
    <row r="64935" spans="10:10" x14ac:dyDescent="0.3">
      <c r="J64935"/>
    </row>
    <row r="64936" spans="10:10" x14ac:dyDescent="0.3">
      <c r="J64936"/>
    </row>
    <row r="64937" spans="10:10" x14ac:dyDescent="0.3">
      <c r="J64937"/>
    </row>
    <row r="64938" spans="10:10" x14ac:dyDescent="0.3">
      <c r="J64938"/>
    </row>
    <row r="64939" spans="10:10" x14ac:dyDescent="0.3">
      <c r="J64939"/>
    </row>
    <row r="64940" spans="10:10" x14ac:dyDescent="0.3">
      <c r="J64940"/>
    </row>
    <row r="64941" spans="10:10" x14ac:dyDescent="0.3">
      <c r="J64941"/>
    </row>
    <row r="64942" spans="10:10" x14ac:dyDescent="0.3">
      <c r="J64942"/>
    </row>
    <row r="64943" spans="10:10" x14ac:dyDescent="0.3">
      <c r="J64943"/>
    </row>
    <row r="64944" spans="10:10" x14ac:dyDescent="0.3">
      <c r="J64944"/>
    </row>
    <row r="64945" spans="10:10" x14ac:dyDescent="0.3">
      <c r="J64945"/>
    </row>
    <row r="64946" spans="10:10" x14ac:dyDescent="0.3">
      <c r="J64946"/>
    </row>
    <row r="64947" spans="10:10" x14ac:dyDescent="0.3">
      <c r="J64947"/>
    </row>
    <row r="64948" spans="10:10" x14ac:dyDescent="0.3">
      <c r="J64948"/>
    </row>
    <row r="64949" spans="10:10" x14ac:dyDescent="0.3">
      <c r="J64949"/>
    </row>
    <row r="64950" spans="10:10" x14ac:dyDescent="0.3">
      <c r="J64950"/>
    </row>
    <row r="64951" spans="10:10" x14ac:dyDescent="0.3">
      <c r="J64951"/>
    </row>
    <row r="64952" spans="10:10" x14ac:dyDescent="0.3">
      <c r="J64952"/>
    </row>
    <row r="64953" spans="10:10" x14ac:dyDescent="0.3">
      <c r="J64953"/>
    </row>
    <row r="64954" spans="10:10" x14ac:dyDescent="0.3">
      <c r="J64954"/>
    </row>
    <row r="64955" spans="10:10" x14ac:dyDescent="0.3">
      <c r="J64955"/>
    </row>
    <row r="64956" spans="10:10" x14ac:dyDescent="0.3">
      <c r="J64956"/>
    </row>
    <row r="64957" spans="10:10" x14ac:dyDescent="0.3">
      <c r="J64957"/>
    </row>
    <row r="64958" spans="10:10" x14ac:dyDescent="0.3">
      <c r="J64958"/>
    </row>
    <row r="64959" spans="10:10" x14ac:dyDescent="0.3">
      <c r="J64959"/>
    </row>
    <row r="64960" spans="10:10" x14ac:dyDescent="0.3">
      <c r="J64960"/>
    </row>
    <row r="64961" spans="10:10" x14ac:dyDescent="0.3">
      <c r="J64961"/>
    </row>
    <row r="64962" spans="10:10" x14ac:dyDescent="0.3">
      <c r="J64962"/>
    </row>
    <row r="64963" spans="10:10" x14ac:dyDescent="0.3">
      <c r="J64963"/>
    </row>
    <row r="64964" spans="10:10" x14ac:dyDescent="0.3">
      <c r="J64964"/>
    </row>
    <row r="64965" spans="10:10" x14ac:dyDescent="0.3">
      <c r="J64965"/>
    </row>
    <row r="64966" spans="10:10" x14ac:dyDescent="0.3">
      <c r="J64966"/>
    </row>
    <row r="64967" spans="10:10" x14ac:dyDescent="0.3">
      <c r="J64967"/>
    </row>
    <row r="64968" spans="10:10" x14ac:dyDescent="0.3">
      <c r="J64968"/>
    </row>
    <row r="64969" spans="10:10" x14ac:dyDescent="0.3">
      <c r="J64969"/>
    </row>
    <row r="64970" spans="10:10" x14ac:dyDescent="0.3">
      <c r="J64970"/>
    </row>
    <row r="64971" spans="10:10" x14ac:dyDescent="0.3">
      <c r="J64971"/>
    </row>
    <row r="64972" spans="10:10" x14ac:dyDescent="0.3">
      <c r="J64972"/>
    </row>
    <row r="64973" spans="10:10" x14ac:dyDescent="0.3">
      <c r="J64973"/>
    </row>
    <row r="64974" spans="10:10" x14ac:dyDescent="0.3">
      <c r="J64974"/>
    </row>
    <row r="64975" spans="10:10" x14ac:dyDescent="0.3">
      <c r="J64975"/>
    </row>
    <row r="64976" spans="10:10" x14ac:dyDescent="0.3">
      <c r="J64976"/>
    </row>
    <row r="64977" spans="10:10" x14ac:dyDescent="0.3">
      <c r="J64977"/>
    </row>
    <row r="64978" spans="10:10" x14ac:dyDescent="0.3">
      <c r="J64978"/>
    </row>
    <row r="64979" spans="10:10" x14ac:dyDescent="0.3">
      <c r="J64979"/>
    </row>
    <row r="64980" spans="10:10" x14ac:dyDescent="0.3">
      <c r="J64980"/>
    </row>
    <row r="64981" spans="10:10" x14ac:dyDescent="0.3">
      <c r="J64981"/>
    </row>
    <row r="64982" spans="10:10" x14ac:dyDescent="0.3">
      <c r="J64982"/>
    </row>
    <row r="64983" spans="10:10" x14ac:dyDescent="0.3">
      <c r="J64983"/>
    </row>
    <row r="64984" spans="10:10" x14ac:dyDescent="0.3">
      <c r="J64984"/>
    </row>
    <row r="64985" spans="10:10" x14ac:dyDescent="0.3">
      <c r="J64985"/>
    </row>
    <row r="64986" spans="10:10" x14ac:dyDescent="0.3">
      <c r="J64986"/>
    </row>
    <row r="64987" spans="10:10" x14ac:dyDescent="0.3">
      <c r="J64987"/>
    </row>
    <row r="64988" spans="10:10" x14ac:dyDescent="0.3">
      <c r="J64988"/>
    </row>
    <row r="64989" spans="10:10" x14ac:dyDescent="0.3">
      <c r="J64989"/>
    </row>
    <row r="64990" spans="10:10" x14ac:dyDescent="0.3">
      <c r="J64990"/>
    </row>
    <row r="64991" spans="10:10" x14ac:dyDescent="0.3">
      <c r="J64991"/>
    </row>
    <row r="64992" spans="10:10" x14ac:dyDescent="0.3">
      <c r="J64992"/>
    </row>
    <row r="64993" spans="10:10" x14ac:dyDescent="0.3">
      <c r="J64993"/>
    </row>
    <row r="64994" spans="10:10" x14ac:dyDescent="0.3">
      <c r="J64994"/>
    </row>
    <row r="64995" spans="10:10" x14ac:dyDescent="0.3">
      <c r="J64995"/>
    </row>
    <row r="64996" spans="10:10" x14ac:dyDescent="0.3">
      <c r="J64996"/>
    </row>
    <row r="64997" spans="10:10" x14ac:dyDescent="0.3">
      <c r="J64997"/>
    </row>
    <row r="64998" spans="10:10" x14ac:dyDescent="0.3">
      <c r="J64998"/>
    </row>
    <row r="64999" spans="10:10" x14ac:dyDescent="0.3">
      <c r="J64999"/>
    </row>
    <row r="65000" spans="10:10" x14ac:dyDescent="0.3">
      <c r="J65000"/>
    </row>
    <row r="65001" spans="10:10" x14ac:dyDescent="0.3">
      <c r="J65001"/>
    </row>
    <row r="65002" spans="10:10" x14ac:dyDescent="0.3">
      <c r="J65002"/>
    </row>
    <row r="65003" spans="10:10" x14ac:dyDescent="0.3">
      <c r="J65003"/>
    </row>
    <row r="65004" spans="10:10" x14ac:dyDescent="0.3">
      <c r="J65004"/>
    </row>
    <row r="65005" spans="10:10" x14ac:dyDescent="0.3">
      <c r="J65005"/>
    </row>
    <row r="65006" spans="10:10" x14ac:dyDescent="0.3">
      <c r="J65006"/>
    </row>
    <row r="65007" spans="10:10" x14ac:dyDescent="0.3">
      <c r="J65007"/>
    </row>
    <row r="65008" spans="10:10" x14ac:dyDescent="0.3">
      <c r="J65008"/>
    </row>
    <row r="65009" spans="10:10" x14ac:dyDescent="0.3">
      <c r="J65009"/>
    </row>
    <row r="65010" spans="10:10" x14ac:dyDescent="0.3">
      <c r="J65010"/>
    </row>
    <row r="65011" spans="10:10" x14ac:dyDescent="0.3">
      <c r="J65011"/>
    </row>
    <row r="65012" spans="10:10" x14ac:dyDescent="0.3">
      <c r="J65012"/>
    </row>
    <row r="65013" spans="10:10" x14ac:dyDescent="0.3">
      <c r="J65013"/>
    </row>
    <row r="65014" spans="10:10" x14ac:dyDescent="0.3">
      <c r="J65014"/>
    </row>
    <row r="65015" spans="10:10" x14ac:dyDescent="0.3">
      <c r="J65015"/>
    </row>
    <row r="65016" spans="10:10" x14ac:dyDescent="0.3">
      <c r="J65016"/>
    </row>
    <row r="65017" spans="10:10" x14ac:dyDescent="0.3">
      <c r="J65017"/>
    </row>
    <row r="65018" spans="10:10" x14ac:dyDescent="0.3">
      <c r="J65018"/>
    </row>
    <row r="65019" spans="10:10" x14ac:dyDescent="0.3">
      <c r="J65019"/>
    </row>
    <row r="65020" spans="10:10" x14ac:dyDescent="0.3">
      <c r="J65020"/>
    </row>
    <row r="65021" spans="10:10" x14ac:dyDescent="0.3">
      <c r="J65021"/>
    </row>
    <row r="65022" spans="10:10" x14ac:dyDescent="0.3">
      <c r="J65022"/>
    </row>
    <row r="65023" spans="10:10" x14ac:dyDescent="0.3">
      <c r="J65023"/>
    </row>
    <row r="65024" spans="10:10" x14ac:dyDescent="0.3">
      <c r="J65024"/>
    </row>
    <row r="65025" spans="10:10" x14ac:dyDescent="0.3">
      <c r="J65025"/>
    </row>
    <row r="65026" spans="10:10" x14ac:dyDescent="0.3">
      <c r="J65026"/>
    </row>
    <row r="65027" spans="10:10" x14ac:dyDescent="0.3">
      <c r="J65027"/>
    </row>
    <row r="65028" spans="10:10" x14ac:dyDescent="0.3">
      <c r="J65028"/>
    </row>
    <row r="65029" spans="10:10" x14ac:dyDescent="0.3">
      <c r="J65029"/>
    </row>
    <row r="65030" spans="10:10" x14ac:dyDescent="0.3">
      <c r="J65030"/>
    </row>
    <row r="65031" spans="10:10" x14ac:dyDescent="0.3">
      <c r="J65031"/>
    </row>
    <row r="65032" spans="10:10" x14ac:dyDescent="0.3">
      <c r="J65032"/>
    </row>
    <row r="65033" spans="10:10" x14ac:dyDescent="0.3">
      <c r="J65033"/>
    </row>
    <row r="65034" spans="10:10" x14ac:dyDescent="0.3">
      <c r="J65034"/>
    </row>
    <row r="65035" spans="10:10" x14ac:dyDescent="0.3">
      <c r="J65035"/>
    </row>
    <row r="65036" spans="10:10" x14ac:dyDescent="0.3">
      <c r="J65036"/>
    </row>
    <row r="65037" spans="10:10" x14ac:dyDescent="0.3">
      <c r="J65037"/>
    </row>
    <row r="65038" spans="10:10" x14ac:dyDescent="0.3">
      <c r="J65038"/>
    </row>
    <row r="65039" spans="10:10" x14ac:dyDescent="0.3">
      <c r="J65039"/>
    </row>
    <row r="65040" spans="10:10" x14ac:dyDescent="0.3">
      <c r="J65040"/>
    </row>
    <row r="65041" spans="10:10" x14ac:dyDescent="0.3">
      <c r="J65041"/>
    </row>
    <row r="65042" spans="10:10" x14ac:dyDescent="0.3">
      <c r="J65042"/>
    </row>
    <row r="65043" spans="10:10" x14ac:dyDescent="0.3">
      <c r="J65043"/>
    </row>
    <row r="65044" spans="10:10" x14ac:dyDescent="0.3">
      <c r="J65044"/>
    </row>
    <row r="65045" spans="10:10" x14ac:dyDescent="0.3">
      <c r="J65045"/>
    </row>
    <row r="65046" spans="10:10" x14ac:dyDescent="0.3">
      <c r="J65046"/>
    </row>
    <row r="65047" spans="10:10" x14ac:dyDescent="0.3">
      <c r="J65047"/>
    </row>
    <row r="65048" spans="10:10" x14ac:dyDescent="0.3">
      <c r="J65048"/>
    </row>
    <row r="65049" spans="10:10" x14ac:dyDescent="0.3">
      <c r="J65049"/>
    </row>
    <row r="65050" spans="10:10" x14ac:dyDescent="0.3">
      <c r="J65050"/>
    </row>
    <row r="65051" spans="10:10" x14ac:dyDescent="0.3">
      <c r="J65051"/>
    </row>
    <row r="65052" spans="10:10" x14ac:dyDescent="0.3">
      <c r="J65052"/>
    </row>
    <row r="65053" spans="10:10" x14ac:dyDescent="0.3">
      <c r="J65053"/>
    </row>
    <row r="65054" spans="10:10" x14ac:dyDescent="0.3">
      <c r="J65054"/>
    </row>
    <row r="65055" spans="10:10" x14ac:dyDescent="0.3">
      <c r="J65055"/>
    </row>
    <row r="65056" spans="10:10" x14ac:dyDescent="0.3">
      <c r="J65056"/>
    </row>
    <row r="65057" spans="10:10" x14ac:dyDescent="0.3">
      <c r="J65057"/>
    </row>
    <row r="65058" spans="10:10" x14ac:dyDescent="0.3">
      <c r="J65058"/>
    </row>
    <row r="65059" spans="10:10" x14ac:dyDescent="0.3">
      <c r="J65059"/>
    </row>
    <row r="65060" spans="10:10" x14ac:dyDescent="0.3">
      <c r="J65060"/>
    </row>
    <row r="65061" spans="10:10" x14ac:dyDescent="0.3">
      <c r="J65061"/>
    </row>
    <row r="65062" spans="10:10" x14ac:dyDescent="0.3">
      <c r="J65062"/>
    </row>
    <row r="65063" spans="10:10" x14ac:dyDescent="0.3">
      <c r="J65063"/>
    </row>
    <row r="65064" spans="10:10" x14ac:dyDescent="0.3">
      <c r="J65064"/>
    </row>
    <row r="65065" spans="10:10" x14ac:dyDescent="0.3">
      <c r="J65065"/>
    </row>
    <row r="65066" spans="10:10" x14ac:dyDescent="0.3">
      <c r="J65066"/>
    </row>
    <row r="65067" spans="10:10" x14ac:dyDescent="0.3">
      <c r="J65067"/>
    </row>
    <row r="65068" spans="10:10" x14ac:dyDescent="0.3">
      <c r="J65068"/>
    </row>
    <row r="65069" spans="10:10" x14ac:dyDescent="0.3">
      <c r="J65069"/>
    </row>
    <row r="65070" spans="10:10" x14ac:dyDescent="0.3">
      <c r="J65070"/>
    </row>
    <row r="65071" spans="10:10" x14ac:dyDescent="0.3">
      <c r="J65071"/>
    </row>
    <row r="65072" spans="10:10" x14ac:dyDescent="0.3">
      <c r="J65072"/>
    </row>
    <row r="65073" spans="10:10" x14ac:dyDescent="0.3">
      <c r="J65073"/>
    </row>
    <row r="65074" spans="10:10" x14ac:dyDescent="0.3">
      <c r="J65074"/>
    </row>
    <row r="65075" spans="10:10" x14ac:dyDescent="0.3">
      <c r="J65075"/>
    </row>
    <row r="65076" spans="10:10" x14ac:dyDescent="0.3">
      <c r="J65076"/>
    </row>
    <row r="65077" spans="10:10" x14ac:dyDescent="0.3">
      <c r="J65077"/>
    </row>
    <row r="65078" spans="10:10" x14ac:dyDescent="0.3">
      <c r="J65078"/>
    </row>
    <row r="65079" spans="10:10" x14ac:dyDescent="0.3">
      <c r="J65079"/>
    </row>
    <row r="65080" spans="10:10" x14ac:dyDescent="0.3">
      <c r="J65080"/>
    </row>
    <row r="65081" spans="10:10" x14ac:dyDescent="0.3">
      <c r="J65081"/>
    </row>
    <row r="65082" spans="10:10" x14ac:dyDescent="0.3">
      <c r="J65082"/>
    </row>
    <row r="65083" spans="10:10" x14ac:dyDescent="0.3">
      <c r="J65083"/>
    </row>
    <row r="65084" spans="10:10" x14ac:dyDescent="0.3">
      <c r="J65084"/>
    </row>
    <row r="65085" spans="10:10" x14ac:dyDescent="0.3">
      <c r="J65085"/>
    </row>
    <row r="65086" spans="10:10" x14ac:dyDescent="0.3">
      <c r="J65086"/>
    </row>
    <row r="65087" spans="10:10" x14ac:dyDescent="0.3">
      <c r="J65087"/>
    </row>
    <row r="65088" spans="10:10" x14ac:dyDescent="0.3">
      <c r="J65088"/>
    </row>
    <row r="65089" spans="10:10" x14ac:dyDescent="0.3">
      <c r="J65089"/>
    </row>
    <row r="65090" spans="10:10" x14ac:dyDescent="0.3">
      <c r="J65090"/>
    </row>
    <row r="65091" spans="10:10" x14ac:dyDescent="0.3">
      <c r="J65091"/>
    </row>
    <row r="65092" spans="10:10" x14ac:dyDescent="0.3">
      <c r="J65092"/>
    </row>
    <row r="65093" spans="10:10" x14ac:dyDescent="0.3">
      <c r="J65093"/>
    </row>
    <row r="65094" spans="10:10" x14ac:dyDescent="0.3">
      <c r="J65094"/>
    </row>
    <row r="65095" spans="10:10" x14ac:dyDescent="0.3">
      <c r="J65095"/>
    </row>
    <row r="65096" spans="10:10" x14ac:dyDescent="0.3">
      <c r="J65096"/>
    </row>
    <row r="65097" spans="10:10" x14ac:dyDescent="0.3">
      <c r="J65097"/>
    </row>
    <row r="65098" spans="10:10" x14ac:dyDescent="0.3">
      <c r="J65098"/>
    </row>
    <row r="65099" spans="10:10" x14ac:dyDescent="0.3">
      <c r="J65099"/>
    </row>
    <row r="65100" spans="10:10" x14ac:dyDescent="0.3">
      <c r="J65100"/>
    </row>
    <row r="65101" spans="10:10" x14ac:dyDescent="0.3">
      <c r="J65101"/>
    </row>
    <row r="65102" spans="10:10" x14ac:dyDescent="0.3">
      <c r="J65102"/>
    </row>
    <row r="65103" spans="10:10" x14ac:dyDescent="0.3">
      <c r="J65103"/>
    </row>
    <row r="65104" spans="10:10" x14ac:dyDescent="0.3">
      <c r="J65104"/>
    </row>
    <row r="65105" spans="10:10" x14ac:dyDescent="0.3">
      <c r="J65105"/>
    </row>
    <row r="65106" spans="10:10" x14ac:dyDescent="0.3">
      <c r="J65106"/>
    </row>
    <row r="65107" spans="10:10" x14ac:dyDescent="0.3">
      <c r="J65107"/>
    </row>
    <row r="65108" spans="10:10" x14ac:dyDescent="0.3">
      <c r="J65108"/>
    </row>
    <row r="65109" spans="10:10" x14ac:dyDescent="0.3">
      <c r="J65109"/>
    </row>
    <row r="65110" spans="10:10" x14ac:dyDescent="0.3">
      <c r="J65110"/>
    </row>
    <row r="65111" spans="10:10" x14ac:dyDescent="0.3">
      <c r="J65111"/>
    </row>
    <row r="65112" spans="10:10" x14ac:dyDescent="0.3">
      <c r="J65112"/>
    </row>
    <row r="65113" spans="10:10" x14ac:dyDescent="0.3">
      <c r="J65113"/>
    </row>
    <row r="65114" spans="10:10" x14ac:dyDescent="0.3">
      <c r="J65114"/>
    </row>
    <row r="65115" spans="10:10" x14ac:dyDescent="0.3">
      <c r="J65115"/>
    </row>
    <row r="65116" spans="10:10" x14ac:dyDescent="0.3">
      <c r="J65116"/>
    </row>
    <row r="65117" spans="10:10" x14ac:dyDescent="0.3">
      <c r="J65117"/>
    </row>
    <row r="65118" spans="10:10" x14ac:dyDescent="0.3">
      <c r="J65118"/>
    </row>
    <row r="65119" spans="10:10" x14ac:dyDescent="0.3">
      <c r="J65119"/>
    </row>
    <row r="65120" spans="10:10" x14ac:dyDescent="0.3">
      <c r="J65120"/>
    </row>
    <row r="65121" spans="10:10" x14ac:dyDescent="0.3">
      <c r="J65121"/>
    </row>
    <row r="65122" spans="10:10" x14ac:dyDescent="0.3">
      <c r="J65122"/>
    </row>
    <row r="65123" spans="10:10" x14ac:dyDescent="0.3">
      <c r="J65123"/>
    </row>
    <row r="65124" spans="10:10" x14ac:dyDescent="0.3">
      <c r="J65124"/>
    </row>
    <row r="65125" spans="10:10" x14ac:dyDescent="0.3">
      <c r="J65125"/>
    </row>
    <row r="65126" spans="10:10" x14ac:dyDescent="0.3">
      <c r="J65126"/>
    </row>
    <row r="65127" spans="10:10" x14ac:dyDescent="0.3">
      <c r="J65127"/>
    </row>
    <row r="65128" spans="10:10" x14ac:dyDescent="0.3">
      <c r="J65128"/>
    </row>
    <row r="65129" spans="10:10" x14ac:dyDescent="0.3">
      <c r="J65129"/>
    </row>
    <row r="65130" spans="10:10" x14ac:dyDescent="0.3">
      <c r="J65130"/>
    </row>
    <row r="65131" spans="10:10" x14ac:dyDescent="0.3">
      <c r="J65131"/>
    </row>
    <row r="65132" spans="10:10" x14ac:dyDescent="0.3">
      <c r="J65132"/>
    </row>
    <row r="65133" spans="10:10" x14ac:dyDescent="0.3">
      <c r="J65133"/>
    </row>
    <row r="65134" spans="10:10" x14ac:dyDescent="0.3">
      <c r="J65134"/>
    </row>
    <row r="65135" spans="10:10" x14ac:dyDescent="0.3">
      <c r="J65135"/>
    </row>
    <row r="65136" spans="10:10" x14ac:dyDescent="0.3">
      <c r="J65136"/>
    </row>
    <row r="65137" spans="10:10" x14ac:dyDescent="0.3">
      <c r="J65137"/>
    </row>
    <row r="65138" spans="10:10" x14ac:dyDescent="0.3">
      <c r="J65138"/>
    </row>
    <row r="65139" spans="10:10" x14ac:dyDescent="0.3">
      <c r="J65139"/>
    </row>
    <row r="65140" spans="10:10" x14ac:dyDescent="0.3">
      <c r="J65140"/>
    </row>
    <row r="65141" spans="10:10" x14ac:dyDescent="0.3">
      <c r="J65141"/>
    </row>
    <row r="65142" spans="10:10" x14ac:dyDescent="0.3">
      <c r="J65142"/>
    </row>
    <row r="65143" spans="10:10" x14ac:dyDescent="0.3">
      <c r="J65143"/>
    </row>
    <row r="65144" spans="10:10" x14ac:dyDescent="0.3">
      <c r="J65144"/>
    </row>
    <row r="65145" spans="10:10" x14ac:dyDescent="0.3">
      <c r="J65145"/>
    </row>
    <row r="65146" spans="10:10" x14ac:dyDescent="0.3">
      <c r="J65146"/>
    </row>
    <row r="65147" spans="10:10" x14ac:dyDescent="0.3">
      <c r="J65147"/>
    </row>
    <row r="65148" spans="10:10" x14ac:dyDescent="0.3">
      <c r="J65148"/>
    </row>
    <row r="65149" spans="10:10" x14ac:dyDescent="0.3">
      <c r="J65149"/>
    </row>
    <row r="65150" spans="10:10" x14ac:dyDescent="0.3">
      <c r="J65150"/>
    </row>
    <row r="65151" spans="10:10" x14ac:dyDescent="0.3">
      <c r="J65151"/>
    </row>
    <row r="65152" spans="10:10" x14ac:dyDescent="0.3">
      <c r="J65152"/>
    </row>
    <row r="65153" spans="10:10" x14ac:dyDescent="0.3">
      <c r="J65153"/>
    </row>
    <row r="65154" spans="10:10" x14ac:dyDescent="0.3">
      <c r="J65154"/>
    </row>
    <row r="65155" spans="10:10" x14ac:dyDescent="0.3">
      <c r="J65155"/>
    </row>
    <row r="65156" spans="10:10" x14ac:dyDescent="0.3">
      <c r="J65156"/>
    </row>
    <row r="65157" spans="10:10" x14ac:dyDescent="0.3">
      <c r="J65157"/>
    </row>
    <row r="65158" spans="10:10" x14ac:dyDescent="0.3">
      <c r="J65158"/>
    </row>
    <row r="65159" spans="10:10" x14ac:dyDescent="0.3">
      <c r="J65159"/>
    </row>
    <row r="65160" spans="10:10" x14ac:dyDescent="0.3">
      <c r="J65160"/>
    </row>
    <row r="65161" spans="10:10" x14ac:dyDescent="0.3">
      <c r="J65161"/>
    </row>
    <row r="65162" spans="10:10" x14ac:dyDescent="0.3">
      <c r="J65162"/>
    </row>
    <row r="65163" spans="10:10" x14ac:dyDescent="0.3">
      <c r="J65163"/>
    </row>
    <row r="65164" spans="10:10" x14ac:dyDescent="0.3">
      <c r="J65164"/>
    </row>
    <row r="65165" spans="10:10" x14ac:dyDescent="0.3">
      <c r="J65165"/>
    </row>
    <row r="65166" spans="10:10" x14ac:dyDescent="0.3">
      <c r="J65166"/>
    </row>
    <row r="65167" spans="10:10" x14ac:dyDescent="0.3">
      <c r="J65167"/>
    </row>
    <row r="65168" spans="10:10" x14ac:dyDescent="0.3">
      <c r="J65168"/>
    </row>
    <row r="65169" spans="10:10" x14ac:dyDescent="0.3">
      <c r="J65169"/>
    </row>
    <row r="65170" spans="10:10" x14ac:dyDescent="0.3">
      <c r="J65170"/>
    </row>
    <row r="65171" spans="10:10" x14ac:dyDescent="0.3">
      <c r="J65171"/>
    </row>
    <row r="65172" spans="10:10" x14ac:dyDescent="0.3">
      <c r="J65172"/>
    </row>
    <row r="65173" spans="10:10" x14ac:dyDescent="0.3">
      <c r="J65173"/>
    </row>
    <row r="65174" spans="10:10" x14ac:dyDescent="0.3">
      <c r="J65174"/>
    </row>
    <row r="65175" spans="10:10" x14ac:dyDescent="0.3">
      <c r="J65175"/>
    </row>
    <row r="65176" spans="10:10" x14ac:dyDescent="0.3">
      <c r="J65176"/>
    </row>
    <row r="65177" spans="10:10" x14ac:dyDescent="0.3">
      <c r="J65177"/>
    </row>
    <row r="65178" spans="10:10" x14ac:dyDescent="0.3">
      <c r="J65178"/>
    </row>
    <row r="65179" spans="10:10" x14ac:dyDescent="0.3">
      <c r="J65179"/>
    </row>
    <row r="65180" spans="10:10" x14ac:dyDescent="0.3">
      <c r="J65180"/>
    </row>
    <row r="65181" spans="10:10" x14ac:dyDescent="0.3">
      <c r="J65181"/>
    </row>
    <row r="65182" spans="10:10" x14ac:dyDescent="0.3">
      <c r="J65182"/>
    </row>
    <row r="65183" spans="10:10" x14ac:dyDescent="0.3">
      <c r="J65183"/>
    </row>
    <row r="65184" spans="10:10" x14ac:dyDescent="0.3">
      <c r="J65184"/>
    </row>
    <row r="65185" spans="10:10" x14ac:dyDescent="0.3">
      <c r="J65185"/>
    </row>
    <row r="65186" spans="10:10" x14ac:dyDescent="0.3">
      <c r="J65186"/>
    </row>
    <row r="65187" spans="10:10" x14ac:dyDescent="0.3">
      <c r="J65187"/>
    </row>
    <row r="65188" spans="10:10" x14ac:dyDescent="0.3">
      <c r="J65188"/>
    </row>
    <row r="65189" spans="10:10" x14ac:dyDescent="0.3">
      <c r="J65189"/>
    </row>
    <row r="65190" spans="10:10" x14ac:dyDescent="0.3">
      <c r="J65190"/>
    </row>
    <row r="65191" spans="10:10" x14ac:dyDescent="0.3">
      <c r="J65191"/>
    </row>
    <row r="65192" spans="10:10" x14ac:dyDescent="0.3">
      <c r="J65192"/>
    </row>
    <row r="65193" spans="10:10" x14ac:dyDescent="0.3">
      <c r="J65193"/>
    </row>
    <row r="65194" spans="10:10" x14ac:dyDescent="0.3">
      <c r="J65194"/>
    </row>
    <row r="65195" spans="10:10" x14ac:dyDescent="0.3">
      <c r="J65195"/>
    </row>
    <row r="65196" spans="10:10" x14ac:dyDescent="0.3">
      <c r="J65196"/>
    </row>
    <row r="65197" spans="10:10" x14ac:dyDescent="0.3">
      <c r="J65197"/>
    </row>
    <row r="65198" spans="10:10" x14ac:dyDescent="0.3">
      <c r="J65198"/>
    </row>
    <row r="65199" spans="10:10" x14ac:dyDescent="0.3">
      <c r="J65199"/>
    </row>
    <row r="65200" spans="10:10" x14ac:dyDescent="0.3">
      <c r="J65200"/>
    </row>
    <row r="65201" spans="10:10" x14ac:dyDescent="0.3">
      <c r="J65201"/>
    </row>
    <row r="65202" spans="10:10" x14ac:dyDescent="0.3">
      <c r="J65202"/>
    </row>
    <row r="65203" spans="10:10" x14ac:dyDescent="0.3">
      <c r="J65203"/>
    </row>
    <row r="65204" spans="10:10" x14ac:dyDescent="0.3">
      <c r="J65204"/>
    </row>
    <row r="65205" spans="10:10" x14ac:dyDescent="0.3">
      <c r="J65205"/>
    </row>
    <row r="65206" spans="10:10" x14ac:dyDescent="0.3">
      <c r="J65206"/>
    </row>
    <row r="65207" spans="10:10" x14ac:dyDescent="0.3">
      <c r="J65207"/>
    </row>
    <row r="65208" spans="10:10" x14ac:dyDescent="0.3">
      <c r="J65208"/>
    </row>
    <row r="65209" spans="10:10" x14ac:dyDescent="0.3">
      <c r="J65209"/>
    </row>
    <row r="65210" spans="10:10" x14ac:dyDescent="0.3">
      <c r="J65210"/>
    </row>
    <row r="65211" spans="10:10" x14ac:dyDescent="0.3">
      <c r="J65211"/>
    </row>
    <row r="65212" spans="10:10" x14ac:dyDescent="0.3">
      <c r="J65212"/>
    </row>
    <row r="65213" spans="10:10" x14ac:dyDescent="0.3">
      <c r="J65213"/>
    </row>
    <row r="65214" spans="10:10" x14ac:dyDescent="0.3">
      <c r="J65214"/>
    </row>
    <row r="65215" spans="10:10" x14ac:dyDescent="0.3">
      <c r="J65215"/>
    </row>
    <row r="65216" spans="10:10" x14ac:dyDescent="0.3">
      <c r="J65216"/>
    </row>
    <row r="65217" spans="10:10" x14ac:dyDescent="0.3">
      <c r="J65217"/>
    </row>
    <row r="65218" spans="10:10" x14ac:dyDescent="0.3">
      <c r="J65218"/>
    </row>
    <row r="65219" spans="10:10" x14ac:dyDescent="0.3">
      <c r="J65219"/>
    </row>
    <row r="65220" spans="10:10" x14ac:dyDescent="0.3">
      <c r="J65220"/>
    </row>
    <row r="65221" spans="10:10" x14ac:dyDescent="0.3">
      <c r="J65221"/>
    </row>
    <row r="65222" spans="10:10" x14ac:dyDescent="0.3">
      <c r="J65222"/>
    </row>
    <row r="65223" spans="10:10" x14ac:dyDescent="0.3">
      <c r="J65223"/>
    </row>
    <row r="65224" spans="10:10" x14ac:dyDescent="0.3">
      <c r="J65224"/>
    </row>
    <row r="65225" spans="10:10" x14ac:dyDescent="0.3">
      <c r="J65225"/>
    </row>
    <row r="65226" spans="10:10" x14ac:dyDescent="0.3">
      <c r="J65226"/>
    </row>
    <row r="65227" spans="10:10" x14ac:dyDescent="0.3">
      <c r="J65227"/>
    </row>
    <row r="65228" spans="10:10" x14ac:dyDescent="0.3">
      <c r="J65228"/>
    </row>
    <row r="65229" spans="10:10" x14ac:dyDescent="0.3">
      <c r="J65229"/>
    </row>
    <row r="65230" spans="10:10" x14ac:dyDescent="0.3">
      <c r="J65230"/>
    </row>
    <row r="65231" spans="10:10" x14ac:dyDescent="0.3">
      <c r="J65231"/>
    </row>
    <row r="65232" spans="10:10" x14ac:dyDescent="0.3">
      <c r="J65232"/>
    </row>
    <row r="65233" spans="10:10" x14ac:dyDescent="0.3">
      <c r="J65233"/>
    </row>
    <row r="65234" spans="10:10" x14ac:dyDescent="0.3">
      <c r="J65234"/>
    </row>
    <row r="65235" spans="10:10" x14ac:dyDescent="0.3">
      <c r="J65235"/>
    </row>
    <row r="65236" spans="10:10" x14ac:dyDescent="0.3">
      <c r="J65236"/>
    </row>
    <row r="65237" spans="10:10" x14ac:dyDescent="0.3">
      <c r="J65237"/>
    </row>
    <row r="65238" spans="10:10" x14ac:dyDescent="0.3">
      <c r="J65238"/>
    </row>
    <row r="65239" spans="10:10" x14ac:dyDescent="0.3">
      <c r="J65239"/>
    </row>
    <row r="65240" spans="10:10" x14ac:dyDescent="0.3">
      <c r="J65240"/>
    </row>
    <row r="65241" spans="10:10" x14ac:dyDescent="0.3">
      <c r="J65241"/>
    </row>
    <row r="65242" spans="10:10" x14ac:dyDescent="0.3">
      <c r="J65242"/>
    </row>
    <row r="65243" spans="10:10" x14ac:dyDescent="0.3">
      <c r="J65243"/>
    </row>
    <row r="65244" spans="10:10" x14ac:dyDescent="0.3">
      <c r="J65244"/>
    </row>
    <row r="65245" spans="10:10" x14ac:dyDescent="0.3">
      <c r="J65245"/>
    </row>
    <row r="65246" spans="10:10" x14ac:dyDescent="0.3">
      <c r="J65246"/>
    </row>
    <row r="65247" spans="10:10" x14ac:dyDescent="0.3">
      <c r="J65247"/>
    </row>
    <row r="65248" spans="10:10" x14ac:dyDescent="0.3">
      <c r="J65248"/>
    </row>
    <row r="65249" spans="10:10" x14ac:dyDescent="0.3">
      <c r="J65249"/>
    </row>
    <row r="65250" spans="10:10" x14ac:dyDescent="0.3">
      <c r="J65250"/>
    </row>
    <row r="65251" spans="10:10" x14ac:dyDescent="0.3">
      <c r="J65251"/>
    </row>
    <row r="65252" spans="10:10" x14ac:dyDescent="0.3">
      <c r="J65252"/>
    </row>
    <row r="65253" spans="10:10" x14ac:dyDescent="0.3">
      <c r="J65253"/>
    </row>
    <row r="65254" spans="10:10" x14ac:dyDescent="0.3">
      <c r="J65254"/>
    </row>
    <row r="65255" spans="10:10" x14ac:dyDescent="0.3">
      <c r="J65255"/>
    </row>
    <row r="65256" spans="10:10" x14ac:dyDescent="0.3">
      <c r="J65256"/>
    </row>
    <row r="65257" spans="10:10" x14ac:dyDescent="0.3">
      <c r="J65257"/>
    </row>
    <row r="65258" spans="10:10" x14ac:dyDescent="0.3">
      <c r="J65258"/>
    </row>
    <row r="65259" spans="10:10" x14ac:dyDescent="0.3">
      <c r="J65259"/>
    </row>
    <row r="65260" spans="10:10" x14ac:dyDescent="0.3">
      <c r="J65260"/>
    </row>
    <row r="65261" spans="10:10" x14ac:dyDescent="0.3">
      <c r="J65261"/>
    </row>
    <row r="65262" spans="10:10" x14ac:dyDescent="0.3">
      <c r="J65262"/>
    </row>
    <row r="65263" spans="10:10" x14ac:dyDescent="0.3">
      <c r="J65263"/>
    </row>
    <row r="65264" spans="10:10" x14ac:dyDescent="0.3">
      <c r="J65264"/>
    </row>
    <row r="65265" spans="10:10" x14ac:dyDescent="0.3">
      <c r="J65265"/>
    </row>
    <row r="65266" spans="10:10" x14ac:dyDescent="0.3">
      <c r="J65266"/>
    </row>
    <row r="65267" spans="10:10" x14ac:dyDescent="0.3">
      <c r="J65267"/>
    </row>
    <row r="65268" spans="10:10" x14ac:dyDescent="0.3">
      <c r="J65268"/>
    </row>
    <row r="65269" spans="10:10" x14ac:dyDescent="0.3">
      <c r="J65269"/>
    </row>
    <row r="65270" spans="10:10" x14ac:dyDescent="0.3">
      <c r="J65270"/>
    </row>
    <row r="65271" spans="10:10" x14ac:dyDescent="0.3">
      <c r="J65271"/>
    </row>
    <row r="65272" spans="10:10" x14ac:dyDescent="0.3">
      <c r="J65272"/>
    </row>
    <row r="65273" spans="10:10" x14ac:dyDescent="0.3">
      <c r="J65273"/>
    </row>
    <row r="65274" spans="10:10" x14ac:dyDescent="0.3">
      <c r="J65274"/>
    </row>
    <row r="65275" spans="10:10" x14ac:dyDescent="0.3">
      <c r="J65275"/>
    </row>
    <row r="65276" spans="10:10" x14ac:dyDescent="0.3">
      <c r="J65276"/>
    </row>
    <row r="65277" spans="10:10" x14ac:dyDescent="0.3">
      <c r="J65277"/>
    </row>
    <row r="65278" spans="10:10" x14ac:dyDescent="0.3">
      <c r="J65278"/>
    </row>
    <row r="65279" spans="10:10" x14ac:dyDescent="0.3">
      <c r="J65279"/>
    </row>
    <row r="65280" spans="10:10" x14ac:dyDescent="0.3">
      <c r="J65280"/>
    </row>
    <row r="65281" spans="10:10" x14ac:dyDescent="0.3">
      <c r="J65281"/>
    </row>
    <row r="65282" spans="10:10" x14ac:dyDescent="0.3">
      <c r="J65282"/>
    </row>
    <row r="65283" spans="10:10" x14ac:dyDescent="0.3">
      <c r="J65283"/>
    </row>
    <row r="65284" spans="10:10" x14ac:dyDescent="0.3">
      <c r="J65284"/>
    </row>
    <row r="65285" spans="10:10" x14ac:dyDescent="0.3">
      <c r="J65285"/>
    </row>
    <row r="65286" spans="10:10" x14ac:dyDescent="0.3">
      <c r="J65286"/>
    </row>
    <row r="65287" spans="10:10" x14ac:dyDescent="0.3">
      <c r="J65287"/>
    </row>
    <row r="65288" spans="10:10" x14ac:dyDescent="0.3">
      <c r="J65288"/>
    </row>
    <row r="65289" spans="10:10" x14ac:dyDescent="0.3">
      <c r="J65289"/>
    </row>
    <row r="65290" spans="10:10" x14ac:dyDescent="0.3">
      <c r="J65290"/>
    </row>
    <row r="65291" spans="10:10" x14ac:dyDescent="0.3">
      <c r="J65291"/>
    </row>
    <row r="65292" spans="10:10" x14ac:dyDescent="0.3">
      <c r="J65292"/>
    </row>
    <row r="65293" spans="10:10" x14ac:dyDescent="0.3">
      <c r="J65293"/>
    </row>
    <row r="65294" spans="10:10" x14ac:dyDescent="0.3">
      <c r="J65294"/>
    </row>
    <row r="65295" spans="10:10" x14ac:dyDescent="0.3">
      <c r="J65295"/>
    </row>
    <row r="65296" spans="10:10" x14ac:dyDescent="0.3">
      <c r="J65296"/>
    </row>
    <row r="65297" spans="10:10" x14ac:dyDescent="0.3">
      <c r="J65297"/>
    </row>
    <row r="65298" spans="10:10" x14ac:dyDescent="0.3">
      <c r="J65298"/>
    </row>
    <row r="65299" spans="10:10" x14ac:dyDescent="0.3">
      <c r="J65299"/>
    </row>
    <row r="65300" spans="10:10" x14ac:dyDescent="0.3">
      <c r="J65300"/>
    </row>
    <row r="65301" spans="10:10" x14ac:dyDescent="0.3">
      <c r="J65301"/>
    </row>
    <row r="65302" spans="10:10" x14ac:dyDescent="0.3">
      <c r="J65302"/>
    </row>
    <row r="65303" spans="10:10" x14ac:dyDescent="0.3">
      <c r="J65303"/>
    </row>
    <row r="65304" spans="10:10" x14ac:dyDescent="0.3">
      <c r="J65304"/>
    </row>
    <row r="65305" spans="10:10" x14ac:dyDescent="0.3">
      <c r="J65305"/>
    </row>
    <row r="65306" spans="10:10" x14ac:dyDescent="0.3">
      <c r="J65306"/>
    </row>
    <row r="65307" spans="10:10" x14ac:dyDescent="0.3">
      <c r="J65307"/>
    </row>
    <row r="65308" spans="10:10" x14ac:dyDescent="0.3">
      <c r="J65308"/>
    </row>
    <row r="65309" spans="10:10" x14ac:dyDescent="0.3">
      <c r="J65309"/>
    </row>
    <row r="65310" spans="10:10" x14ac:dyDescent="0.3">
      <c r="J65310"/>
    </row>
    <row r="65311" spans="10:10" x14ac:dyDescent="0.3">
      <c r="J65311"/>
    </row>
    <row r="65312" spans="10:10" x14ac:dyDescent="0.3">
      <c r="J65312"/>
    </row>
    <row r="65313" spans="10:10" x14ac:dyDescent="0.3">
      <c r="J65313"/>
    </row>
    <row r="65314" spans="10:10" x14ac:dyDescent="0.3">
      <c r="J65314"/>
    </row>
    <row r="65315" spans="10:10" x14ac:dyDescent="0.3">
      <c r="J65315"/>
    </row>
    <row r="65316" spans="10:10" x14ac:dyDescent="0.3">
      <c r="J65316"/>
    </row>
    <row r="65317" spans="10:10" x14ac:dyDescent="0.3">
      <c r="J65317"/>
    </row>
    <row r="65318" spans="10:10" x14ac:dyDescent="0.3">
      <c r="J65318"/>
    </row>
    <row r="65319" spans="10:10" x14ac:dyDescent="0.3">
      <c r="J65319"/>
    </row>
    <row r="65320" spans="10:10" x14ac:dyDescent="0.3">
      <c r="J65320"/>
    </row>
    <row r="65321" spans="10:10" x14ac:dyDescent="0.3">
      <c r="J65321"/>
    </row>
    <row r="65322" spans="10:10" x14ac:dyDescent="0.3">
      <c r="J65322"/>
    </row>
    <row r="65323" spans="10:10" x14ac:dyDescent="0.3">
      <c r="J65323"/>
    </row>
    <row r="65324" spans="10:10" x14ac:dyDescent="0.3">
      <c r="J65324"/>
    </row>
    <row r="65325" spans="10:10" x14ac:dyDescent="0.3">
      <c r="J65325"/>
    </row>
    <row r="65326" spans="10:10" x14ac:dyDescent="0.3">
      <c r="J65326"/>
    </row>
    <row r="65327" spans="10:10" x14ac:dyDescent="0.3">
      <c r="J65327"/>
    </row>
    <row r="65328" spans="10:10" x14ac:dyDescent="0.3">
      <c r="J65328"/>
    </row>
    <row r="65329" spans="10:10" x14ac:dyDescent="0.3">
      <c r="J65329"/>
    </row>
    <row r="65330" spans="10:10" x14ac:dyDescent="0.3">
      <c r="J65330"/>
    </row>
    <row r="65331" spans="10:10" x14ac:dyDescent="0.3">
      <c r="J65331"/>
    </row>
    <row r="65332" spans="10:10" x14ac:dyDescent="0.3">
      <c r="J65332"/>
    </row>
    <row r="65333" spans="10:10" x14ac:dyDescent="0.3">
      <c r="J65333"/>
    </row>
    <row r="65334" spans="10:10" x14ac:dyDescent="0.3">
      <c r="J65334"/>
    </row>
    <row r="65335" spans="10:10" x14ac:dyDescent="0.3">
      <c r="J65335"/>
    </row>
    <row r="65336" spans="10:10" x14ac:dyDescent="0.3">
      <c r="J65336"/>
    </row>
    <row r="65337" spans="10:10" x14ac:dyDescent="0.3">
      <c r="J65337"/>
    </row>
    <row r="65338" spans="10:10" x14ac:dyDescent="0.3">
      <c r="J65338"/>
    </row>
    <row r="65339" spans="10:10" x14ac:dyDescent="0.3">
      <c r="J65339"/>
    </row>
    <row r="65340" spans="10:10" x14ac:dyDescent="0.3">
      <c r="J65340"/>
    </row>
    <row r="65341" spans="10:10" x14ac:dyDescent="0.3">
      <c r="J65341"/>
    </row>
    <row r="65342" spans="10:10" x14ac:dyDescent="0.3">
      <c r="J65342"/>
    </row>
    <row r="65343" spans="10:10" x14ac:dyDescent="0.3">
      <c r="J65343"/>
    </row>
    <row r="65344" spans="10:10" x14ac:dyDescent="0.3">
      <c r="J65344"/>
    </row>
    <row r="65345" spans="10:10" x14ac:dyDescent="0.3">
      <c r="J65345"/>
    </row>
    <row r="65346" spans="10:10" x14ac:dyDescent="0.3">
      <c r="J65346"/>
    </row>
    <row r="65347" spans="10:10" x14ac:dyDescent="0.3">
      <c r="J65347"/>
    </row>
    <row r="65348" spans="10:10" x14ac:dyDescent="0.3">
      <c r="J65348"/>
    </row>
    <row r="65349" spans="10:10" x14ac:dyDescent="0.3">
      <c r="J65349"/>
    </row>
    <row r="65350" spans="10:10" x14ac:dyDescent="0.3">
      <c r="J65350"/>
    </row>
    <row r="65351" spans="10:10" x14ac:dyDescent="0.3">
      <c r="J65351"/>
    </row>
    <row r="65352" spans="10:10" x14ac:dyDescent="0.3">
      <c r="J65352"/>
    </row>
    <row r="65353" spans="10:10" x14ac:dyDescent="0.3">
      <c r="J65353"/>
    </row>
    <row r="65354" spans="10:10" x14ac:dyDescent="0.3">
      <c r="J65354"/>
    </row>
    <row r="65355" spans="10:10" x14ac:dyDescent="0.3">
      <c r="J65355"/>
    </row>
    <row r="65356" spans="10:10" x14ac:dyDescent="0.3">
      <c r="J65356"/>
    </row>
    <row r="65357" spans="10:10" x14ac:dyDescent="0.3">
      <c r="J65357"/>
    </row>
    <row r="65358" spans="10:10" x14ac:dyDescent="0.3">
      <c r="J65358"/>
    </row>
    <row r="65359" spans="10:10" x14ac:dyDescent="0.3">
      <c r="J65359"/>
    </row>
    <row r="65360" spans="10:10" x14ac:dyDescent="0.3">
      <c r="J65360"/>
    </row>
    <row r="65361" spans="10:10" x14ac:dyDescent="0.3">
      <c r="J65361"/>
    </row>
    <row r="65362" spans="10:10" x14ac:dyDescent="0.3">
      <c r="J65362"/>
    </row>
    <row r="65363" spans="10:10" x14ac:dyDescent="0.3">
      <c r="J65363"/>
    </row>
    <row r="65364" spans="10:10" x14ac:dyDescent="0.3">
      <c r="J65364"/>
    </row>
    <row r="65365" spans="10:10" x14ac:dyDescent="0.3">
      <c r="J65365"/>
    </row>
    <row r="65366" spans="10:10" x14ac:dyDescent="0.3">
      <c r="J65366"/>
    </row>
    <row r="65367" spans="10:10" x14ac:dyDescent="0.3">
      <c r="J65367"/>
    </row>
    <row r="65368" spans="10:10" x14ac:dyDescent="0.3">
      <c r="J65368"/>
    </row>
    <row r="65369" spans="10:10" x14ac:dyDescent="0.3">
      <c r="J65369"/>
    </row>
    <row r="65370" spans="10:10" x14ac:dyDescent="0.3">
      <c r="J65370"/>
    </row>
    <row r="65371" spans="10:10" x14ac:dyDescent="0.3">
      <c r="J65371"/>
    </row>
    <row r="65372" spans="10:10" x14ac:dyDescent="0.3">
      <c r="J65372"/>
    </row>
    <row r="65373" spans="10:10" x14ac:dyDescent="0.3">
      <c r="J65373"/>
    </row>
    <row r="65374" spans="10:10" x14ac:dyDescent="0.3">
      <c r="J65374"/>
    </row>
    <row r="65375" spans="10:10" x14ac:dyDescent="0.3">
      <c r="J65375"/>
    </row>
    <row r="65376" spans="10:10" x14ac:dyDescent="0.3">
      <c r="J65376"/>
    </row>
    <row r="65377" spans="10:10" x14ac:dyDescent="0.3">
      <c r="J65377"/>
    </row>
    <row r="65378" spans="10:10" x14ac:dyDescent="0.3">
      <c r="J65378"/>
    </row>
    <row r="65379" spans="10:10" x14ac:dyDescent="0.3">
      <c r="J65379"/>
    </row>
    <row r="65380" spans="10:10" x14ac:dyDescent="0.3">
      <c r="J65380"/>
    </row>
    <row r="65381" spans="10:10" x14ac:dyDescent="0.3">
      <c r="J65381"/>
    </row>
    <row r="65382" spans="10:10" x14ac:dyDescent="0.3">
      <c r="J65382"/>
    </row>
    <row r="65383" spans="10:10" x14ac:dyDescent="0.3">
      <c r="J65383"/>
    </row>
    <row r="65384" spans="10:10" x14ac:dyDescent="0.3">
      <c r="J65384"/>
    </row>
    <row r="65385" spans="10:10" x14ac:dyDescent="0.3">
      <c r="J65385"/>
    </row>
    <row r="65386" spans="10:10" x14ac:dyDescent="0.3">
      <c r="J65386"/>
    </row>
    <row r="65387" spans="10:10" x14ac:dyDescent="0.3">
      <c r="J65387"/>
    </row>
    <row r="65388" spans="10:10" x14ac:dyDescent="0.3">
      <c r="J65388"/>
    </row>
    <row r="65389" spans="10:10" x14ac:dyDescent="0.3">
      <c r="J65389"/>
    </row>
    <row r="65390" spans="10:10" x14ac:dyDescent="0.3">
      <c r="J65390"/>
    </row>
    <row r="65391" spans="10:10" x14ac:dyDescent="0.3">
      <c r="J65391"/>
    </row>
    <row r="65392" spans="10:10" x14ac:dyDescent="0.3">
      <c r="J65392"/>
    </row>
    <row r="65393" spans="10:10" x14ac:dyDescent="0.3">
      <c r="J65393"/>
    </row>
    <row r="65394" spans="10:10" x14ac:dyDescent="0.3">
      <c r="J65394"/>
    </row>
    <row r="65395" spans="10:10" x14ac:dyDescent="0.3">
      <c r="J65395"/>
    </row>
    <row r="65396" spans="10:10" x14ac:dyDescent="0.3">
      <c r="J65396"/>
    </row>
    <row r="65397" spans="10:10" x14ac:dyDescent="0.3">
      <c r="J65397"/>
    </row>
    <row r="65398" spans="10:10" x14ac:dyDescent="0.3">
      <c r="J65398"/>
    </row>
    <row r="65399" spans="10:10" x14ac:dyDescent="0.3">
      <c r="J65399"/>
    </row>
    <row r="65400" spans="10:10" x14ac:dyDescent="0.3">
      <c r="J65400"/>
    </row>
    <row r="65401" spans="10:10" x14ac:dyDescent="0.3">
      <c r="J65401"/>
    </row>
    <row r="65402" spans="10:10" x14ac:dyDescent="0.3">
      <c r="J65402"/>
    </row>
    <row r="65403" spans="10:10" x14ac:dyDescent="0.3">
      <c r="J65403"/>
    </row>
    <row r="65404" spans="10:10" x14ac:dyDescent="0.3">
      <c r="J65404"/>
    </row>
    <row r="65405" spans="10:10" x14ac:dyDescent="0.3">
      <c r="J65405"/>
    </row>
    <row r="65406" spans="10:10" x14ac:dyDescent="0.3">
      <c r="J65406"/>
    </row>
    <row r="65407" spans="10:10" x14ac:dyDescent="0.3">
      <c r="J65407"/>
    </row>
    <row r="65408" spans="10:10" x14ac:dyDescent="0.3">
      <c r="J65408"/>
    </row>
    <row r="65409" spans="10:10" x14ac:dyDescent="0.3">
      <c r="J65409"/>
    </row>
    <row r="65410" spans="10:10" x14ac:dyDescent="0.3">
      <c r="J65410"/>
    </row>
    <row r="65411" spans="10:10" x14ac:dyDescent="0.3">
      <c r="J65411"/>
    </row>
    <row r="65412" spans="10:10" x14ac:dyDescent="0.3">
      <c r="J65412"/>
    </row>
    <row r="65413" spans="10:10" x14ac:dyDescent="0.3">
      <c r="J65413"/>
    </row>
    <row r="65414" spans="10:10" x14ac:dyDescent="0.3">
      <c r="J65414"/>
    </row>
    <row r="65415" spans="10:10" x14ac:dyDescent="0.3">
      <c r="J65415"/>
    </row>
    <row r="65416" spans="10:10" x14ac:dyDescent="0.3">
      <c r="J65416"/>
    </row>
    <row r="65417" spans="10:10" x14ac:dyDescent="0.3">
      <c r="J65417"/>
    </row>
    <row r="65418" spans="10:10" x14ac:dyDescent="0.3">
      <c r="J65418"/>
    </row>
    <row r="65419" spans="10:10" x14ac:dyDescent="0.3">
      <c r="J65419"/>
    </row>
    <row r="65420" spans="10:10" x14ac:dyDescent="0.3">
      <c r="J65420"/>
    </row>
    <row r="65421" spans="10:10" x14ac:dyDescent="0.3">
      <c r="J65421"/>
    </row>
    <row r="65422" spans="10:10" x14ac:dyDescent="0.3">
      <c r="J65422"/>
    </row>
    <row r="65423" spans="10:10" x14ac:dyDescent="0.3">
      <c r="J65423"/>
    </row>
    <row r="65424" spans="10:10" x14ac:dyDescent="0.3">
      <c r="J65424"/>
    </row>
    <row r="65425" spans="10:10" x14ac:dyDescent="0.3">
      <c r="J65425"/>
    </row>
    <row r="65426" spans="10:10" x14ac:dyDescent="0.3">
      <c r="J65426"/>
    </row>
    <row r="65427" spans="10:10" x14ac:dyDescent="0.3">
      <c r="J65427"/>
    </row>
    <row r="65428" spans="10:10" x14ac:dyDescent="0.3">
      <c r="J65428"/>
    </row>
    <row r="65429" spans="10:10" x14ac:dyDescent="0.3">
      <c r="J65429"/>
    </row>
    <row r="65430" spans="10:10" x14ac:dyDescent="0.3">
      <c r="J65430"/>
    </row>
    <row r="65431" spans="10:10" x14ac:dyDescent="0.3">
      <c r="J65431"/>
    </row>
    <row r="65432" spans="10:10" x14ac:dyDescent="0.3">
      <c r="J65432"/>
    </row>
    <row r="65433" spans="10:10" x14ac:dyDescent="0.3">
      <c r="J65433"/>
    </row>
    <row r="65434" spans="10:10" x14ac:dyDescent="0.3">
      <c r="J65434"/>
    </row>
    <row r="65435" spans="10:10" x14ac:dyDescent="0.3">
      <c r="J65435"/>
    </row>
    <row r="65436" spans="10:10" x14ac:dyDescent="0.3">
      <c r="J65436"/>
    </row>
    <row r="65437" spans="10:10" x14ac:dyDescent="0.3">
      <c r="J65437"/>
    </row>
    <row r="65438" spans="10:10" x14ac:dyDescent="0.3">
      <c r="J65438"/>
    </row>
    <row r="65439" spans="10:10" x14ac:dyDescent="0.3">
      <c r="J65439"/>
    </row>
    <row r="65440" spans="10:10" x14ac:dyDescent="0.3">
      <c r="J65440"/>
    </row>
    <row r="65441" spans="10:10" x14ac:dyDescent="0.3">
      <c r="J65441"/>
    </row>
    <row r="65442" spans="10:10" x14ac:dyDescent="0.3">
      <c r="J65442"/>
    </row>
    <row r="65443" spans="10:10" x14ac:dyDescent="0.3">
      <c r="J65443"/>
    </row>
    <row r="65444" spans="10:10" x14ac:dyDescent="0.3">
      <c r="J65444"/>
    </row>
    <row r="65445" spans="10:10" x14ac:dyDescent="0.3">
      <c r="J65445"/>
    </row>
    <row r="65446" spans="10:10" x14ac:dyDescent="0.3">
      <c r="J65446"/>
    </row>
    <row r="65447" spans="10:10" x14ac:dyDescent="0.3">
      <c r="J65447"/>
    </row>
    <row r="65448" spans="10:10" x14ac:dyDescent="0.3">
      <c r="J65448"/>
    </row>
    <row r="65449" spans="10:10" x14ac:dyDescent="0.3">
      <c r="J65449"/>
    </row>
    <row r="65450" spans="10:10" x14ac:dyDescent="0.3">
      <c r="J65450"/>
    </row>
    <row r="65451" spans="10:10" x14ac:dyDescent="0.3">
      <c r="J65451"/>
    </row>
    <row r="65452" spans="10:10" x14ac:dyDescent="0.3">
      <c r="J65452"/>
    </row>
    <row r="65453" spans="10:10" x14ac:dyDescent="0.3">
      <c r="J65453"/>
    </row>
    <row r="65454" spans="10:10" x14ac:dyDescent="0.3">
      <c r="J65454"/>
    </row>
    <row r="65455" spans="10:10" x14ac:dyDescent="0.3">
      <c r="J65455"/>
    </row>
    <row r="65456" spans="10:10" x14ac:dyDescent="0.3">
      <c r="J65456"/>
    </row>
    <row r="65457" spans="10:10" x14ac:dyDescent="0.3">
      <c r="J65457"/>
    </row>
    <row r="65458" spans="10:10" x14ac:dyDescent="0.3">
      <c r="J65458"/>
    </row>
    <row r="65459" spans="10:10" x14ac:dyDescent="0.3">
      <c r="J65459"/>
    </row>
    <row r="65460" spans="10:10" x14ac:dyDescent="0.3">
      <c r="J65460"/>
    </row>
    <row r="65461" spans="10:10" x14ac:dyDescent="0.3">
      <c r="J65461"/>
    </row>
    <row r="65462" spans="10:10" x14ac:dyDescent="0.3">
      <c r="J65462"/>
    </row>
    <row r="65463" spans="10:10" x14ac:dyDescent="0.3">
      <c r="J65463"/>
    </row>
    <row r="65464" spans="10:10" x14ac:dyDescent="0.3">
      <c r="J65464"/>
    </row>
    <row r="65465" spans="10:10" x14ac:dyDescent="0.3">
      <c r="J65465"/>
    </row>
    <row r="65466" spans="10:10" x14ac:dyDescent="0.3">
      <c r="J65466"/>
    </row>
    <row r="65467" spans="10:10" x14ac:dyDescent="0.3">
      <c r="J65467"/>
    </row>
    <row r="65468" spans="10:10" x14ac:dyDescent="0.3">
      <c r="J65468"/>
    </row>
    <row r="65469" spans="10:10" x14ac:dyDescent="0.3">
      <c r="J65469"/>
    </row>
    <row r="65470" spans="10:10" x14ac:dyDescent="0.3">
      <c r="J65470"/>
    </row>
    <row r="65471" spans="10:10" x14ac:dyDescent="0.3">
      <c r="J65471"/>
    </row>
    <row r="65472" spans="10:10" x14ac:dyDescent="0.3">
      <c r="J65472"/>
    </row>
    <row r="65473" spans="10:10" x14ac:dyDescent="0.3">
      <c r="J65473"/>
    </row>
    <row r="65474" spans="10:10" x14ac:dyDescent="0.3">
      <c r="J65474"/>
    </row>
    <row r="65475" spans="10:10" x14ac:dyDescent="0.3">
      <c r="J65475"/>
    </row>
    <row r="65476" spans="10:10" x14ac:dyDescent="0.3">
      <c r="J65476"/>
    </row>
    <row r="65477" spans="10:10" x14ac:dyDescent="0.3">
      <c r="J65477"/>
    </row>
    <row r="65478" spans="10:10" x14ac:dyDescent="0.3">
      <c r="J65478"/>
    </row>
    <row r="65479" spans="10:10" x14ac:dyDescent="0.3">
      <c r="J65479"/>
    </row>
    <row r="65480" spans="10:10" x14ac:dyDescent="0.3">
      <c r="J65480"/>
    </row>
    <row r="65481" spans="10:10" x14ac:dyDescent="0.3">
      <c r="J65481"/>
    </row>
    <row r="65482" spans="10:10" x14ac:dyDescent="0.3">
      <c r="J65482"/>
    </row>
    <row r="65483" spans="10:10" x14ac:dyDescent="0.3">
      <c r="J65483"/>
    </row>
    <row r="65484" spans="10:10" x14ac:dyDescent="0.3">
      <c r="J65484"/>
    </row>
    <row r="65485" spans="10:10" x14ac:dyDescent="0.3">
      <c r="J65485"/>
    </row>
    <row r="65486" spans="10:10" x14ac:dyDescent="0.3">
      <c r="J65486"/>
    </row>
    <row r="65487" spans="10:10" x14ac:dyDescent="0.3">
      <c r="J65487"/>
    </row>
    <row r="65488" spans="10:10" x14ac:dyDescent="0.3">
      <c r="J65488"/>
    </row>
    <row r="65489" spans="10:10" x14ac:dyDescent="0.3">
      <c r="J65489"/>
    </row>
    <row r="65490" spans="10:10" x14ac:dyDescent="0.3">
      <c r="J65490"/>
    </row>
    <row r="65491" spans="10:10" x14ac:dyDescent="0.3">
      <c r="J65491"/>
    </row>
    <row r="65492" spans="10:10" x14ac:dyDescent="0.3">
      <c r="J65492"/>
    </row>
    <row r="65493" spans="10:10" x14ac:dyDescent="0.3">
      <c r="J65493"/>
    </row>
    <row r="65494" spans="10:10" x14ac:dyDescent="0.3">
      <c r="J65494"/>
    </row>
    <row r="65495" spans="10:10" x14ac:dyDescent="0.3">
      <c r="J65495"/>
    </row>
    <row r="65496" spans="10:10" x14ac:dyDescent="0.3">
      <c r="J65496"/>
    </row>
    <row r="65497" spans="10:10" x14ac:dyDescent="0.3">
      <c r="J65497"/>
    </row>
    <row r="65498" spans="10:10" x14ac:dyDescent="0.3">
      <c r="J65498"/>
    </row>
    <row r="65499" spans="10:10" x14ac:dyDescent="0.3">
      <c r="J65499"/>
    </row>
    <row r="65500" spans="10:10" x14ac:dyDescent="0.3">
      <c r="J65500"/>
    </row>
    <row r="65501" spans="10:10" x14ac:dyDescent="0.3">
      <c r="J65501"/>
    </row>
    <row r="65502" spans="10:10" x14ac:dyDescent="0.3">
      <c r="J65502"/>
    </row>
    <row r="65503" spans="10:10" x14ac:dyDescent="0.3">
      <c r="J65503"/>
    </row>
    <row r="65504" spans="10:10" x14ac:dyDescent="0.3">
      <c r="J65504"/>
    </row>
    <row r="65505" spans="10:10" x14ac:dyDescent="0.3">
      <c r="J65505"/>
    </row>
    <row r="65506" spans="10:10" x14ac:dyDescent="0.3">
      <c r="J65506"/>
    </row>
    <row r="65507" spans="10:10" x14ac:dyDescent="0.3">
      <c r="J65507"/>
    </row>
    <row r="65508" spans="10:10" x14ac:dyDescent="0.3">
      <c r="J65508"/>
    </row>
    <row r="65509" spans="10:10" x14ac:dyDescent="0.3">
      <c r="J65509"/>
    </row>
    <row r="65510" spans="10:10" x14ac:dyDescent="0.3">
      <c r="J65510"/>
    </row>
    <row r="65511" spans="10:10" x14ac:dyDescent="0.3">
      <c r="J65511"/>
    </row>
    <row r="65512" spans="10:10" x14ac:dyDescent="0.3">
      <c r="J65512"/>
    </row>
    <row r="65513" spans="10:10" x14ac:dyDescent="0.3">
      <c r="J65513"/>
    </row>
    <row r="65514" spans="10:10" x14ac:dyDescent="0.3">
      <c r="J65514"/>
    </row>
    <row r="65515" spans="10:10" x14ac:dyDescent="0.3">
      <c r="J65515"/>
    </row>
    <row r="65516" spans="10:10" x14ac:dyDescent="0.3">
      <c r="J65516"/>
    </row>
    <row r="65517" spans="10:10" x14ac:dyDescent="0.3">
      <c r="J65517"/>
    </row>
    <row r="65518" spans="10:10" x14ac:dyDescent="0.3">
      <c r="J65518"/>
    </row>
    <row r="65519" spans="10:10" x14ac:dyDescent="0.3">
      <c r="J65519"/>
    </row>
    <row r="65520" spans="10:10" x14ac:dyDescent="0.3">
      <c r="J65520"/>
    </row>
    <row r="65521" spans="10:10" x14ac:dyDescent="0.3">
      <c r="J65521"/>
    </row>
    <row r="65522" spans="10:10" x14ac:dyDescent="0.3">
      <c r="J65522"/>
    </row>
    <row r="65523" spans="10:10" x14ac:dyDescent="0.3">
      <c r="J65523"/>
    </row>
    <row r="65524" spans="10:10" x14ac:dyDescent="0.3">
      <c r="J65524"/>
    </row>
    <row r="65525" spans="10:10" x14ac:dyDescent="0.3">
      <c r="J65525"/>
    </row>
    <row r="65526" spans="10:10" x14ac:dyDescent="0.3">
      <c r="J65526"/>
    </row>
    <row r="65527" spans="10:10" x14ac:dyDescent="0.3">
      <c r="J65527"/>
    </row>
    <row r="65528" spans="10:10" x14ac:dyDescent="0.3">
      <c r="J65528"/>
    </row>
    <row r="65529" spans="10:10" x14ac:dyDescent="0.3">
      <c r="J65529"/>
    </row>
    <row r="65530" spans="10:10" x14ac:dyDescent="0.3">
      <c r="J65530"/>
    </row>
    <row r="65531" spans="10:10" x14ac:dyDescent="0.3">
      <c r="J65531"/>
    </row>
    <row r="65532" spans="10:10" x14ac:dyDescent="0.3">
      <c r="J65532"/>
    </row>
    <row r="65533" spans="10:10" x14ac:dyDescent="0.3">
      <c r="J65533"/>
    </row>
    <row r="65534" spans="10:10" x14ac:dyDescent="0.3">
      <c r="J65534"/>
    </row>
    <row r="65535" spans="10:10" x14ac:dyDescent="0.3">
      <c r="J65535"/>
    </row>
    <row r="65536" spans="10:10" x14ac:dyDescent="0.3">
      <c r="J65536"/>
    </row>
    <row r="65537" spans="10:10" x14ac:dyDescent="0.3">
      <c r="J65537"/>
    </row>
    <row r="65538" spans="10:10" x14ac:dyDescent="0.3">
      <c r="J65538"/>
    </row>
    <row r="65539" spans="10:10" x14ac:dyDescent="0.3">
      <c r="J65539"/>
    </row>
    <row r="65540" spans="10:10" x14ac:dyDescent="0.3">
      <c r="J65540"/>
    </row>
    <row r="65541" spans="10:10" x14ac:dyDescent="0.3">
      <c r="J65541"/>
    </row>
    <row r="65542" spans="10:10" x14ac:dyDescent="0.3">
      <c r="J65542"/>
    </row>
    <row r="65543" spans="10:10" x14ac:dyDescent="0.3">
      <c r="J65543"/>
    </row>
    <row r="65544" spans="10:10" x14ac:dyDescent="0.3">
      <c r="J65544"/>
    </row>
    <row r="65545" spans="10:10" x14ac:dyDescent="0.3">
      <c r="J65545"/>
    </row>
    <row r="65546" spans="10:10" x14ac:dyDescent="0.3">
      <c r="J65546"/>
    </row>
    <row r="65547" spans="10:10" x14ac:dyDescent="0.3">
      <c r="J65547"/>
    </row>
    <row r="65548" spans="10:10" x14ac:dyDescent="0.3">
      <c r="J65548"/>
    </row>
    <row r="65549" spans="10:10" x14ac:dyDescent="0.3">
      <c r="J65549"/>
    </row>
    <row r="65550" spans="10:10" x14ac:dyDescent="0.3">
      <c r="J65550"/>
    </row>
    <row r="65551" spans="10:10" x14ac:dyDescent="0.3">
      <c r="J65551"/>
    </row>
    <row r="65552" spans="10:10" x14ac:dyDescent="0.3">
      <c r="J65552"/>
    </row>
    <row r="65553" spans="10:10" x14ac:dyDescent="0.3">
      <c r="J65553"/>
    </row>
    <row r="65554" spans="10:10" x14ac:dyDescent="0.3">
      <c r="J65554"/>
    </row>
    <row r="65555" spans="10:10" x14ac:dyDescent="0.3">
      <c r="J65555"/>
    </row>
    <row r="65556" spans="10:10" x14ac:dyDescent="0.3">
      <c r="J65556"/>
    </row>
    <row r="65557" spans="10:10" x14ac:dyDescent="0.3">
      <c r="J65557"/>
    </row>
    <row r="65558" spans="10:10" x14ac:dyDescent="0.3">
      <c r="J65558"/>
    </row>
    <row r="65559" spans="10:10" x14ac:dyDescent="0.3">
      <c r="J65559"/>
    </row>
    <row r="65560" spans="10:10" x14ac:dyDescent="0.3">
      <c r="J65560"/>
    </row>
    <row r="65561" spans="10:10" x14ac:dyDescent="0.3">
      <c r="J65561"/>
    </row>
    <row r="65562" spans="10:10" x14ac:dyDescent="0.3">
      <c r="J65562"/>
    </row>
    <row r="65563" spans="10:10" x14ac:dyDescent="0.3">
      <c r="J65563"/>
    </row>
    <row r="65564" spans="10:10" x14ac:dyDescent="0.3">
      <c r="J65564"/>
    </row>
    <row r="65565" spans="10:10" x14ac:dyDescent="0.3">
      <c r="J65565"/>
    </row>
    <row r="65566" spans="10:10" x14ac:dyDescent="0.3">
      <c r="J65566"/>
    </row>
    <row r="65567" spans="10:10" x14ac:dyDescent="0.3">
      <c r="J65567"/>
    </row>
    <row r="65568" spans="10:10" x14ac:dyDescent="0.3">
      <c r="J65568"/>
    </row>
    <row r="65569" spans="10:10" x14ac:dyDescent="0.3">
      <c r="J65569"/>
    </row>
    <row r="65570" spans="10:10" x14ac:dyDescent="0.3">
      <c r="J65570"/>
    </row>
    <row r="65571" spans="10:10" x14ac:dyDescent="0.3">
      <c r="J65571"/>
    </row>
    <row r="65572" spans="10:10" x14ac:dyDescent="0.3">
      <c r="J65572"/>
    </row>
    <row r="65573" spans="10:10" x14ac:dyDescent="0.3">
      <c r="J65573"/>
    </row>
    <row r="65574" spans="10:10" x14ac:dyDescent="0.3">
      <c r="J65574"/>
    </row>
    <row r="65575" spans="10:10" x14ac:dyDescent="0.3">
      <c r="J65575"/>
    </row>
    <row r="65576" spans="10:10" x14ac:dyDescent="0.3">
      <c r="J65576"/>
    </row>
    <row r="65577" spans="10:10" x14ac:dyDescent="0.3">
      <c r="J65577"/>
    </row>
    <row r="65578" spans="10:10" x14ac:dyDescent="0.3">
      <c r="J65578"/>
    </row>
    <row r="65579" spans="10:10" x14ac:dyDescent="0.3">
      <c r="J65579"/>
    </row>
    <row r="65580" spans="10:10" x14ac:dyDescent="0.3">
      <c r="J65580"/>
    </row>
    <row r="65581" spans="10:10" x14ac:dyDescent="0.3">
      <c r="J65581"/>
    </row>
    <row r="65582" spans="10:10" x14ac:dyDescent="0.3">
      <c r="J65582"/>
    </row>
    <row r="65583" spans="10:10" x14ac:dyDescent="0.3">
      <c r="J65583"/>
    </row>
    <row r="65584" spans="10:10" x14ac:dyDescent="0.3">
      <c r="J65584"/>
    </row>
    <row r="65585" spans="10:10" x14ac:dyDescent="0.3">
      <c r="J65585"/>
    </row>
    <row r="65586" spans="10:10" x14ac:dyDescent="0.3">
      <c r="J65586"/>
    </row>
    <row r="65587" spans="10:10" x14ac:dyDescent="0.3">
      <c r="J65587"/>
    </row>
    <row r="65588" spans="10:10" x14ac:dyDescent="0.3">
      <c r="J65588"/>
    </row>
    <row r="65589" spans="10:10" x14ac:dyDescent="0.3">
      <c r="J65589"/>
    </row>
    <row r="65590" spans="10:10" x14ac:dyDescent="0.3">
      <c r="J65590"/>
    </row>
    <row r="65591" spans="10:10" x14ac:dyDescent="0.3">
      <c r="J65591"/>
    </row>
    <row r="65592" spans="10:10" x14ac:dyDescent="0.3">
      <c r="J65592"/>
    </row>
    <row r="65593" spans="10:10" x14ac:dyDescent="0.3">
      <c r="J65593"/>
    </row>
    <row r="65594" spans="10:10" x14ac:dyDescent="0.3">
      <c r="J65594"/>
    </row>
    <row r="65595" spans="10:10" x14ac:dyDescent="0.3">
      <c r="J65595"/>
    </row>
    <row r="65596" spans="10:10" x14ac:dyDescent="0.3">
      <c r="J65596"/>
    </row>
    <row r="65597" spans="10:10" x14ac:dyDescent="0.3">
      <c r="J65597"/>
    </row>
    <row r="65598" spans="10:10" x14ac:dyDescent="0.3">
      <c r="J65598"/>
    </row>
    <row r="65599" spans="10:10" x14ac:dyDescent="0.3">
      <c r="J65599"/>
    </row>
    <row r="65600" spans="10:10" x14ac:dyDescent="0.3">
      <c r="J65600"/>
    </row>
    <row r="65601" spans="10:10" x14ac:dyDescent="0.3">
      <c r="J65601"/>
    </row>
    <row r="65602" spans="10:10" x14ac:dyDescent="0.3">
      <c r="J65602"/>
    </row>
    <row r="65603" spans="10:10" x14ac:dyDescent="0.3">
      <c r="J65603"/>
    </row>
    <row r="65604" spans="10:10" x14ac:dyDescent="0.3">
      <c r="J65604"/>
    </row>
    <row r="65605" spans="10:10" x14ac:dyDescent="0.3">
      <c r="J65605"/>
    </row>
    <row r="65606" spans="10:10" x14ac:dyDescent="0.3">
      <c r="J65606"/>
    </row>
    <row r="65607" spans="10:10" x14ac:dyDescent="0.3">
      <c r="J65607"/>
    </row>
    <row r="65608" spans="10:10" x14ac:dyDescent="0.3">
      <c r="J65608"/>
    </row>
    <row r="65609" spans="10:10" x14ac:dyDescent="0.3">
      <c r="J65609"/>
    </row>
    <row r="65610" spans="10:10" x14ac:dyDescent="0.3">
      <c r="J65610"/>
    </row>
    <row r="65611" spans="10:10" x14ac:dyDescent="0.3">
      <c r="J65611"/>
    </row>
    <row r="65612" spans="10:10" x14ac:dyDescent="0.3">
      <c r="J65612"/>
    </row>
    <row r="65613" spans="10:10" x14ac:dyDescent="0.3">
      <c r="J65613"/>
    </row>
    <row r="65614" spans="10:10" x14ac:dyDescent="0.3">
      <c r="J65614"/>
    </row>
    <row r="65615" spans="10:10" x14ac:dyDescent="0.3">
      <c r="J65615"/>
    </row>
    <row r="65616" spans="10:10" x14ac:dyDescent="0.3">
      <c r="J65616"/>
    </row>
    <row r="65617" spans="10:10" x14ac:dyDescent="0.3">
      <c r="J65617"/>
    </row>
    <row r="65618" spans="10:10" x14ac:dyDescent="0.3">
      <c r="J65618"/>
    </row>
    <row r="65619" spans="10:10" x14ac:dyDescent="0.3">
      <c r="J65619"/>
    </row>
    <row r="65620" spans="10:10" x14ac:dyDescent="0.3">
      <c r="J65620"/>
    </row>
    <row r="65621" spans="10:10" x14ac:dyDescent="0.3">
      <c r="J65621"/>
    </row>
    <row r="65622" spans="10:10" x14ac:dyDescent="0.3">
      <c r="J65622"/>
    </row>
    <row r="65623" spans="10:10" x14ac:dyDescent="0.3">
      <c r="J65623"/>
    </row>
    <row r="65624" spans="10:10" x14ac:dyDescent="0.3">
      <c r="J65624"/>
    </row>
    <row r="65625" spans="10:10" x14ac:dyDescent="0.3">
      <c r="J65625"/>
    </row>
    <row r="65626" spans="10:10" x14ac:dyDescent="0.3">
      <c r="J65626"/>
    </row>
    <row r="65627" spans="10:10" x14ac:dyDescent="0.3">
      <c r="J65627"/>
    </row>
    <row r="65628" spans="10:10" x14ac:dyDescent="0.3">
      <c r="J65628"/>
    </row>
    <row r="65629" spans="10:10" x14ac:dyDescent="0.3">
      <c r="J65629"/>
    </row>
    <row r="65630" spans="10:10" x14ac:dyDescent="0.3">
      <c r="J65630"/>
    </row>
    <row r="65631" spans="10:10" x14ac:dyDescent="0.3">
      <c r="J65631"/>
    </row>
    <row r="65632" spans="10:10" x14ac:dyDescent="0.3">
      <c r="J65632"/>
    </row>
    <row r="65633" spans="10:10" x14ac:dyDescent="0.3">
      <c r="J65633"/>
    </row>
    <row r="65634" spans="10:10" x14ac:dyDescent="0.3">
      <c r="J65634"/>
    </row>
    <row r="65635" spans="10:10" x14ac:dyDescent="0.3">
      <c r="J65635"/>
    </row>
    <row r="65636" spans="10:10" x14ac:dyDescent="0.3">
      <c r="J65636"/>
    </row>
    <row r="65637" spans="10:10" x14ac:dyDescent="0.3">
      <c r="J65637"/>
    </row>
    <row r="65638" spans="10:10" x14ac:dyDescent="0.3">
      <c r="J65638"/>
    </row>
    <row r="65639" spans="10:10" x14ac:dyDescent="0.3">
      <c r="J65639"/>
    </row>
    <row r="65640" spans="10:10" x14ac:dyDescent="0.3">
      <c r="J65640"/>
    </row>
    <row r="65641" spans="10:10" x14ac:dyDescent="0.3">
      <c r="J65641"/>
    </row>
    <row r="65642" spans="10:10" x14ac:dyDescent="0.3">
      <c r="J65642"/>
    </row>
    <row r="65643" spans="10:10" x14ac:dyDescent="0.3">
      <c r="J65643"/>
    </row>
    <row r="65644" spans="10:10" x14ac:dyDescent="0.3">
      <c r="J65644"/>
    </row>
    <row r="65645" spans="10:10" x14ac:dyDescent="0.3">
      <c r="J65645"/>
    </row>
    <row r="65646" spans="10:10" x14ac:dyDescent="0.3">
      <c r="J65646"/>
    </row>
    <row r="65647" spans="10:10" x14ac:dyDescent="0.3">
      <c r="J65647"/>
    </row>
    <row r="65648" spans="10:10" x14ac:dyDescent="0.3">
      <c r="J65648"/>
    </row>
    <row r="65649" spans="10:10" x14ac:dyDescent="0.3">
      <c r="J65649"/>
    </row>
    <row r="65650" spans="10:10" x14ac:dyDescent="0.3">
      <c r="J65650"/>
    </row>
    <row r="65651" spans="10:10" x14ac:dyDescent="0.3">
      <c r="J65651"/>
    </row>
    <row r="65652" spans="10:10" x14ac:dyDescent="0.3">
      <c r="J65652"/>
    </row>
    <row r="65653" spans="10:10" x14ac:dyDescent="0.3">
      <c r="J65653"/>
    </row>
    <row r="65654" spans="10:10" x14ac:dyDescent="0.3">
      <c r="J65654"/>
    </row>
    <row r="65655" spans="10:10" x14ac:dyDescent="0.3">
      <c r="J65655"/>
    </row>
    <row r="65656" spans="10:10" x14ac:dyDescent="0.3">
      <c r="J65656"/>
    </row>
    <row r="65657" spans="10:10" x14ac:dyDescent="0.3">
      <c r="J65657"/>
    </row>
    <row r="65658" spans="10:10" x14ac:dyDescent="0.3">
      <c r="J65658"/>
    </row>
    <row r="65659" spans="10:10" x14ac:dyDescent="0.3">
      <c r="J65659"/>
    </row>
    <row r="65660" spans="10:10" x14ac:dyDescent="0.3">
      <c r="J65660"/>
    </row>
    <row r="65661" spans="10:10" x14ac:dyDescent="0.3">
      <c r="J65661"/>
    </row>
    <row r="65662" spans="10:10" x14ac:dyDescent="0.3">
      <c r="J65662"/>
    </row>
    <row r="65663" spans="10:10" x14ac:dyDescent="0.3">
      <c r="J65663"/>
    </row>
    <row r="65664" spans="10:10" x14ac:dyDescent="0.3">
      <c r="J65664"/>
    </row>
    <row r="65665" spans="10:10" x14ac:dyDescent="0.3">
      <c r="J65665"/>
    </row>
    <row r="65666" spans="10:10" x14ac:dyDescent="0.3">
      <c r="J65666"/>
    </row>
    <row r="65667" spans="10:10" x14ac:dyDescent="0.3">
      <c r="J65667"/>
    </row>
    <row r="65668" spans="10:10" x14ac:dyDescent="0.3">
      <c r="J65668"/>
    </row>
    <row r="65669" spans="10:10" x14ac:dyDescent="0.3">
      <c r="J65669"/>
    </row>
    <row r="65670" spans="10:10" x14ac:dyDescent="0.3">
      <c r="J65670"/>
    </row>
    <row r="65671" spans="10:10" x14ac:dyDescent="0.3">
      <c r="J65671"/>
    </row>
    <row r="65672" spans="10:10" x14ac:dyDescent="0.3">
      <c r="J65672"/>
    </row>
    <row r="65673" spans="10:10" x14ac:dyDescent="0.3">
      <c r="J65673"/>
    </row>
    <row r="65674" spans="10:10" x14ac:dyDescent="0.3">
      <c r="J65674"/>
    </row>
    <row r="65675" spans="10:10" x14ac:dyDescent="0.3">
      <c r="J65675"/>
    </row>
    <row r="65676" spans="10:10" x14ac:dyDescent="0.3">
      <c r="J65676"/>
    </row>
    <row r="65677" spans="10:10" x14ac:dyDescent="0.3">
      <c r="J65677"/>
    </row>
    <row r="65678" spans="10:10" x14ac:dyDescent="0.3">
      <c r="J65678"/>
    </row>
    <row r="65679" spans="10:10" x14ac:dyDescent="0.3">
      <c r="J65679"/>
    </row>
    <row r="65680" spans="10:10" x14ac:dyDescent="0.3">
      <c r="J65680"/>
    </row>
    <row r="65681" spans="10:10" x14ac:dyDescent="0.3">
      <c r="J65681"/>
    </row>
    <row r="65682" spans="10:10" x14ac:dyDescent="0.3">
      <c r="J65682"/>
    </row>
    <row r="65683" spans="10:10" x14ac:dyDescent="0.3">
      <c r="J65683"/>
    </row>
    <row r="65684" spans="10:10" x14ac:dyDescent="0.3">
      <c r="J65684"/>
    </row>
    <row r="65685" spans="10:10" x14ac:dyDescent="0.3">
      <c r="J65685"/>
    </row>
    <row r="65686" spans="10:10" x14ac:dyDescent="0.3">
      <c r="J65686"/>
    </row>
    <row r="65687" spans="10:10" x14ac:dyDescent="0.3">
      <c r="J65687"/>
    </row>
    <row r="65688" spans="10:10" x14ac:dyDescent="0.3">
      <c r="J65688"/>
    </row>
    <row r="65689" spans="10:10" x14ac:dyDescent="0.3">
      <c r="J65689"/>
    </row>
    <row r="65690" spans="10:10" x14ac:dyDescent="0.3">
      <c r="J65690"/>
    </row>
    <row r="65691" spans="10:10" x14ac:dyDescent="0.3">
      <c r="J65691"/>
    </row>
    <row r="65692" spans="10:10" x14ac:dyDescent="0.3">
      <c r="J65692"/>
    </row>
    <row r="65693" spans="10:10" x14ac:dyDescent="0.3">
      <c r="J65693"/>
    </row>
    <row r="65694" spans="10:10" x14ac:dyDescent="0.3">
      <c r="J65694"/>
    </row>
    <row r="65695" spans="10:10" x14ac:dyDescent="0.3">
      <c r="J65695"/>
    </row>
    <row r="65696" spans="10:10" x14ac:dyDescent="0.3">
      <c r="J65696"/>
    </row>
    <row r="65697" spans="10:10" x14ac:dyDescent="0.3">
      <c r="J65697"/>
    </row>
    <row r="65698" spans="10:10" x14ac:dyDescent="0.3">
      <c r="J65698"/>
    </row>
    <row r="65699" spans="10:10" x14ac:dyDescent="0.3">
      <c r="J65699"/>
    </row>
    <row r="65700" spans="10:10" x14ac:dyDescent="0.3">
      <c r="J65700"/>
    </row>
    <row r="65701" spans="10:10" x14ac:dyDescent="0.3">
      <c r="J65701"/>
    </row>
    <row r="65702" spans="10:10" x14ac:dyDescent="0.3">
      <c r="J65702"/>
    </row>
    <row r="65703" spans="10:10" x14ac:dyDescent="0.3">
      <c r="J65703"/>
    </row>
    <row r="65704" spans="10:10" x14ac:dyDescent="0.3">
      <c r="J65704"/>
    </row>
    <row r="65705" spans="10:10" x14ac:dyDescent="0.3">
      <c r="J65705"/>
    </row>
    <row r="65706" spans="10:10" x14ac:dyDescent="0.3">
      <c r="J65706"/>
    </row>
    <row r="65707" spans="10:10" x14ac:dyDescent="0.3">
      <c r="J65707"/>
    </row>
    <row r="65708" spans="10:10" x14ac:dyDescent="0.3">
      <c r="J65708"/>
    </row>
    <row r="65709" spans="10:10" x14ac:dyDescent="0.3">
      <c r="J65709"/>
    </row>
    <row r="65710" spans="10:10" x14ac:dyDescent="0.3">
      <c r="J65710"/>
    </row>
    <row r="65711" spans="10:10" x14ac:dyDescent="0.3">
      <c r="J65711"/>
    </row>
    <row r="65712" spans="10:10" x14ac:dyDescent="0.3">
      <c r="J65712"/>
    </row>
    <row r="65713" spans="10:10" x14ac:dyDescent="0.3">
      <c r="J65713"/>
    </row>
    <row r="65714" spans="10:10" x14ac:dyDescent="0.3">
      <c r="J65714"/>
    </row>
    <row r="65715" spans="10:10" x14ac:dyDescent="0.3">
      <c r="J65715"/>
    </row>
    <row r="65716" spans="10:10" x14ac:dyDescent="0.3">
      <c r="J65716"/>
    </row>
    <row r="65717" spans="10:10" x14ac:dyDescent="0.3">
      <c r="J65717"/>
    </row>
    <row r="65718" spans="10:10" x14ac:dyDescent="0.3">
      <c r="J65718"/>
    </row>
    <row r="65719" spans="10:10" x14ac:dyDescent="0.3">
      <c r="J65719"/>
    </row>
    <row r="65720" spans="10:10" x14ac:dyDescent="0.3">
      <c r="J65720"/>
    </row>
    <row r="65721" spans="10:10" x14ac:dyDescent="0.3">
      <c r="J65721"/>
    </row>
    <row r="65722" spans="10:10" x14ac:dyDescent="0.3">
      <c r="J65722"/>
    </row>
    <row r="65723" spans="10:10" x14ac:dyDescent="0.3">
      <c r="J65723"/>
    </row>
    <row r="65724" spans="10:10" x14ac:dyDescent="0.3">
      <c r="J65724"/>
    </row>
    <row r="65725" spans="10:10" x14ac:dyDescent="0.3">
      <c r="J65725"/>
    </row>
    <row r="65726" spans="10:10" x14ac:dyDescent="0.3">
      <c r="J65726"/>
    </row>
    <row r="65727" spans="10:10" x14ac:dyDescent="0.3">
      <c r="J65727"/>
    </row>
    <row r="65728" spans="10:10" x14ac:dyDescent="0.3">
      <c r="J65728"/>
    </row>
    <row r="65729" spans="10:10" x14ac:dyDescent="0.3">
      <c r="J65729"/>
    </row>
    <row r="65730" spans="10:10" x14ac:dyDescent="0.3">
      <c r="J65730"/>
    </row>
    <row r="65731" spans="10:10" x14ac:dyDescent="0.3">
      <c r="J65731"/>
    </row>
    <row r="65732" spans="10:10" x14ac:dyDescent="0.3">
      <c r="J65732"/>
    </row>
    <row r="65733" spans="10:10" x14ac:dyDescent="0.3">
      <c r="J65733"/>
    </row>
    <row r="65734" spans="10:10" x14ac:dyDescent="0.3">
      <c r="J65734"/>
    </row>
    <row r="65735" spans="10:10" x14ac:dyDescent="0.3">
      <c r="J65735"/>
    </row>
    <row r="65736" spans="10:10" x14ac:dyDescent="0.3">
      <c r="J65736"/>
    </row>
    <row r="65737" spans="10:10" x14ac:dyDescent="0.3">
      <c r="J65737"/>
    </row>
    <row r="65738" spans="10:10" x14ac:dyDescent="0.3">
      <c r="J65738"/>
    </row>
    <row r="65739" spans="10:10" x14ac:dyDescent="0.3">
      <c r="J65739"/>
    </row>
    <row r="65740" spans="10:10" x14ac:dyDescent="0.3">
      <c r="J65740"/>
    </row>
    <row r="65741" spans="10:10" x14ac:dyDescent="0.3">
      <c r="J65741"/>
    </row>
    <row r="65742" spans="10:10" x14ac:dyDescent="0.3">
      <c r="J65742"/>
    </row>
    <row r="65743" spans="10:10" x14ac:dyDescent="0.3">
      <c r="J65743"/>
    </row>
    <row r="65744" spans="10:10" x14ac:dyDescent="0.3">
      <c r="J65744"/>
    </row>
    <row r="65745" spans="10:10" x14ac:dyDescent="0.3">
      <c r="J65745"/>
    </row>
    <row r="65746" spans="10:10" x14ac:dyDescent="0.3">
      <c r="J65746"/>
    </row>
    <row r="65747" spans="10:10" x14ac:dyDescent="0.3">
      <c r="J65747"/>
    </row>
    <row r="65748" spans="10:10" x14ac:dyDescent="0.3">
      <c r="J65748"/>
    </row>
    <row r="65749" spans="10:10" x14ac:dyDescent="0.3">
      <c r="J65749"/>
    </row>
    <row r="65750" spans="10:10" x14ac:dyDescent="0.3">
      <c r="J65750"/>
    </row>
    <row r="65751" spans="10:10" x14ac:dyDescent="0.3">
      <c r="J65751"/>
    </row>
    <row r="65752" spans="10:10" x14ac:dyDescent="0.3">
      <c r="J65752"/>
    </row>
    <row r="65753" spans="10:10" x14ac:dyDescent="0.3">
      <c r="J65753"/>
    </row>
    <row r="65754" spans="10:10" x14ac:dyDescent="0.3">
      <c r="J65754"/>
    </row>
    <row r="65755" spans="10:10" x14ac:dyDescent="0.3">
      <c r="J65755"/>
    </row>
    <row r="65756" spans="10:10" x14ac:dyDescent="0.3">
      <c r="J65756"/>
    </row>
    <row r="65757" spans="10:10" x14ac:dyDescent="0.3">
      <c r="J65757"/>
    </row>
    <row r="65758" spans="10:10" x14ac:dyDescent="0.3">
      <c r="J65758"/>
    </row>
    <row r="65759" spans="10:10" x14ac:dyDescent="0.3">
      <c r="J65759"/>
    </row>
    <row r="65760" spans="10:10" x14ac:dyDescent="0.3">
      <c r="J65760"/>
    </row>
    <row r="65761" spans="10:10" x14ac:dyDescent="0.3">
      <c r="J65761"/>
    </row>
    <row r="65762" spans="10:10" x14ac:dyDescent="0.3">
      <c r="J65762"/>
    </row>
    <row r="65763" spans="10:10" x14ac:dyDescent="0.3">
      <c r="J65763"/>
    </row>
    <row r="65764" spans="10:10" x14ac:dyDescent="0.3">
      <c r="J65764"/>
    </row>
    <row r="65765" spans="10:10" x14ac:dyDescent="0.3">
      <c r="J65765"/>
    </row>
    <row r="65766" spans="10:10" x14ac:dyDescent="0.3">
      <c r="J65766"/>
    </row>
    <row r="65767" spans="10:10" x14ac:dyDescent="0.3">
      <c r="J65767"/>
    </row>
    <row r="65768" spans="10:10" x14ac:dyDescent="0.3">
      <c r="J65768"/>
    </row>
    <row r="65769" spans="10:10" x14ac:dyDescent="0.3">
      <c r="J65769"/>
    </row>
    <row r="65770" spans="10:10" x14ac:dyDescent="0.3">
      <c r="J65770"/>
    </row>
    <row r="65771" spans="10:10" x14ac:dyDescent="0.3">
      <c r="J65771"/>
    </row>
    <row r="65772" spans="10:10" x14ac:dyDescent="0.3">
      <c r="J65772"/>
    </row>
    <row r="65773" spans="10:10" x14ac:dyDescent="0.3">
      <c r="J65773"/>
    </row>
    <row r="65774" spans="10:10" x14ac:dyDescent="0.3">
      <c r="J65774"/>
    </row>
    <row r="65775" spans="10:10" x14ac:dyDescent="0.3">
      <c r="J65775"/>
    </row>
    <row r="65776" spans="10:10" x14ac:dyDescent="0.3">
      <c r="J65776"/>
    </row>
    <row r="65777" spans="10:10" x14ac:dyDescent="0.3">
      <c r="J65777"/>
    </row>
    <row r="65778" spans="10:10" x14ac:dyDescent="0.3">
      <c r="J65778"/>
    </row>
    <row r="65779" spans="10:10" x14ac:dyDescent="0.3">
      <c r="J65779"/>
    </row>
    <row r="65780" spans="10:10" x14ac:dyDescent="0.3">
      <c r="J65780"/>
    </row>
    <row r="65781" spans="10:10" x14ac:dyDescent="0.3">
      <c r="J65781"/>
    </row>
    <row r="65782" spans="10:10" x14ac:dyDescent="0.3">
      <c r="J65782"/>
    </row>
    <row r="65783" spans="10:10" x14ac:dyDescent="0.3">
      <c r="J65783"/>
    </row>
    <row r="65784" spans="10:10" x14ac:dyDescent="0.3">
      <c r="J65784"/>
    </row>
    <row r="65785" spans="10:10" x14ac:dyDescent="0.3">
      <c r="J65785"/>
    </row>
    <row r="65786" spans="10:10" x14ac:dyDescent="0.3">
      <c r="J65786"/>
    </row>
    <row r="65787" spans="10:10" x14ac:dyDescent="0.3">
      <c r="J65787"/>
    </row>
    <row r="65788" spans="10:10" x14ac:dyDescent="0.3">
      <c r="J65788"/>
    </row>
    <row r="65789" spans="10:10" x14ac:dyDescent="0.3">
      <c r="J65789"/>
    </row>
    <row r="65790" spans="10:10" x14ac:dyDescent="0.3">
      <c r="J65790"/>
    </row>
    <row r="65791" spans="10:10" x14ac:dyDescent="0.3">
      <c r="J65791"/>
    </row>
    <row r="65792" spans="10:10" x14ac:dyDescent="0.3">
      <c r="J65792"/>
    </row>
    <row r="65793" spans="10:10" x14ac:dyDescent="0.3">
      <c r="J65793"/>
    </row>
    <row r="65794" spans="10:10" x14ac:dyDescent="0.3">
      <c r="J65794"/>
    </row>
    <row r="65795" spans="10:10" x14ac:dyDescent="0.3">
      <c r="J65795"/>
    </row>
    <row r="65796" spans="10:10" x14ac:dyDescent="0.3">
      <c r="J65796"/>
    </row>
    <row r="65797" spans="10:10" x14ac:dyDescent="0.3">
      <c r="J65797"/>
    </row>
    <row r="65798" spans="10:10" x14ac:dyDescent="0.3">
      <c r="J65798"/>
    </row>
    <row r="65799" spans="10:10" x14ac:dyDescent="0.3">
      <c r="J65799"/>
    </row>
    <row r="65800" spans="10:10" x14ac:dyDescent="0.3">
      <c r="J65800"/>
    </row>
    <row r="65801" spans="10:10" x14ac:dyDescent="0.3">
      <c r="J65801"/>
    </row>
    <row r="65802" spans="10:10" x14ac:dyDescent="0.3">
      <c r="J65802"/>
    </row>
    <row r="65803" spans="10:10" x14ac:dyDescent="0.3">
      <c r="J65803"/>
    </row>
    <row r="65804" spans="10:10" x14ac:dyDescent="0.3">
      <c r="J65804"/>
    </row>
    <row r="65805" spans="10:10" x14ac:dyDescent="0.3">
      <c r="J65805"/>
    </row>
    <row r="65806" spans="10:10" x14ac:dyDescent="0.3">
      <c r="J65806"/>
    </row>
    <row r="65807" spans="10:10" x14ac:dyDescent="0.3">
      <c r="J65807"/>
    </row>
    <row r="65808" spans="10:10" x14ac:dyDescent="0.3">
      <c r="J65808"/>
    </row>
    <row r="65809" spans="10:10" x14ac:dyDescent="0.3">
      <c r="J65809"/>
    </row>
    <row r="65810" spans="10:10" x14ac:dyDescent="0.3">
      <c r="J65810"/>
    </row>
    <row r="65811" spans="10:10" x14ac:dyDescent="0.3">
      <c r="J65811"/>
    </row>
    <row r="65812" spans="10:10" x14ac:dyDescent="0.3">
      <c r="J65812"/>
    </row>
    <row r="65813" spans="10:10" x14ac:dyDescent="0.3">
      <c r="J65813"/>
    </row>
    <row r="65814" spans="10:10" x14ac:dyDescent="0.3">
      <c r="J65814"/>
    </row>
    <row r="65815" spans="10:10" x14ac:dyDescent="0.3">
      <c r="J65815"/>
    </row>
    <row r="65816" spans="10:10" x14ac:dyDescent="0.3">
      <c r="J65816"/>
    </row>
    <row r="65817" spans="10:10" x14ac:dyDescent="0.3">
      <c r="J65817"/>
    </row>
    <row r="65818" spans="10:10" x14ac:dyDescent="0.3">
      <c r="J65818"/>
    </row>
    <row r="65819" spans="10:10" x14ac:dyDescent="0.3">
      <c r="J65819"/>
    </row>
    <row r="65820" spans="10:10" x14ac:dyDescent="0.3">
      <c r="J65820"/>
    </row>
    <row r="65821" spans="10:10" x14ac:dyDescent="0.3">
      <c r="J65821"/>
    </row>
    <row r="65822" spans="10:10" x14ac:dyDescent="0.3">
      <c r="J65822"/>
    </row>
    <row r="65823" spans="10:10" x14ac:dyDescent="0.3">
      <c r="J65823"/>
    </row>
    <row r="65824" spans="10:10" x14ac:dyDescent="0.3">
      <c r="J65824"/>
    </row>
    <row r="65825" spans="10:10" x14ac:dyDescent="0.3">
      <c r="J65825"/>
    </row>
    <row r="65826" spans="10:10" x14ac:dyDescent="0.3">
      <c r="J65826"/>
    </row>
    <row r="65827" spans="10:10" x14ac:dyDescent="0.3">
      <c r="J65827"/>
    </row>
    <row r="65828" spans="10:10" x14ac:dyDescent="0.3">
      <c r="J65828"/>
    </row>
    <row r="65829" spans="10:10" x14ac:dyDescent="0.3">
      <c r="J65829"/>
    </row>
    <row r="65830" spans="10:10" x14ac:dyDescent="0.3">
      <c r="J65830"/>
    </row>
    <row r="65831" spans="10:10" x14ac:dyDescent="0.3">
      <c r="J65831"/>
    </row>
    <row r="65832" spans="10:10" x14ac:dyDescent="0.3">
      <c r="J65832"/>
    </row>
    <row r="65833" spans="10:10" x14ac:dyDescent="0.3">
      <c r="J65833"/>
    </row>
    <row r="65834" spans="10:10" x14ac:dyDescent="0.3">
      <c r="J65834"/>
    </row>
    <row r="65835" spans="10:10" x14ac:dyDescent="0.3">
      <c r="J65835"/>
    </row>
    <row r="65836" spans="10:10" x14ac:dyDescent="0.3">
      <c r="J65836"/>
    </row>
    <row r="65837" spans="10:10" x14ac:dyDescent="0.3">
      <c r="J65837"/>
    </row>
    <row r="65838" spans="10:10" x14ac:dyDescent="0.3">
      <c r="J65838"/>
    </row>
    <row r="65839" spans="10:10" x14ac:dyDescent="0.3">
      <c r="J65839"/>
    </row>
    <row r="65840" spans="10:10" x14ac:dyDescent="0.3">
      <c r="J65840"/>
    </row>
    <row r="65841" spans="10:10" x14ac:dyDescent="0.3">
      <c r="J65841"/>
    </row>
    <row r="65842" spans="10:10" x14ac:dyDescent="0.3">
      <c r="J65842"/>
    </row>
    <row r="65843" spans="10:10" x14ac:dyDescent="0.3">
      <c r="J65843"/>
    </row>
    <row r="65844" spans="10:10" x14ac:dyDescent="0.3">
      <c r="J65844"/>
    </row>
    <row r="65845" spans="10:10" x14ac:dyDescent="0.3">
      <c r="J65845"/>
    </row>
    <row r="65846" spans="10:10" x14ac:dyDescent="0.3">
      <c r="J65846"/>
    </row>
    <row r="65847" spans="10:10" x14ac:dyDescent="0.3">
      <c r="J65847"/>
    </row>
    <row r="65848" spans="10:10" x14ac:dyDescent="0.3">
      <c r="J65848"/>
    </row>
    <row r="65849" spans="10:10" x14ac:dyDescent="0.3">
      <c r="J65849"/>
    </row>
    <row r="65850" spans="10:10" x14ac:dyDescent="0.3">
      <c r="J65850"/>
    </row>
    <row r="65851" spans="10:10" x14ac:dyDescent="0.3">
      <c r="J65851"/>
    </row>
    <row r="65852" spans="10:10" x14ac:dyDescent="0.3">
      <c r="J65852"/>
    </row>
    <row r="65853" spans="10:10" x14ac:dyDescent="0.3">
      <c r="J65853"/>
    </row>
    <row r="65854" spans="10:10" x14ac:dyDescent="0.3">
      <c r="J65854"/>
    </row>
    <row r="65855" spans="10:10" x14ac:dyDescent="0.3">
      <c r="J65855"/>
    </row>
    <row r="65856" spans="10:10" x14ac:dyDescent="0.3">
      <c r="J65856"/>
    </row>
    <row r="65857" spans="10:10" x14ac:dyDescent="0.3">
      <c r="J65857"/>
    </row>
    <row r="65858" spans="10:10" x14ac:dyDescent="0.3">
      <c r="J65858"/>
    </row>
    <row r="65859" spans="10:10" x14ac:dyDescent="0.3">
      <c r="J65859"/>
    </row>
    <row r="65860" spans="10:10" x14ac:dyDescent="0.3">
      <c r="J65860"/>
    </row>
    <row r="65861" spans="10:10" x14ac:dyDescent="0.3">
      <c r="J65861"/>
    </row>
    <row r="65862" spans="10:10" x14ac:dyDescent="0.3">
      <c r="J65862"/>
    </row>
    <row r="65863" spans="10:10" x14ac:dyDescent="0.3">
      <c r="J65863"/>
    </row>
    <row r="65864" spans="10:10" x14ac:dyDescent="0.3">
      <c r="J65864"/>
    </row>
    <row r="65865" spans="10:10" x14ac:dyDescent="0.3">
      <c r="J65865"/>
    </row>
    <row r="65866" spans="10:10" x14ac:dyDescent="0.3">
      <c r="J65866"/>
    </row>
    <row r="65867" spans="10:10" x14ac:dyDescent="0.3">
      <c r="J65867"/>
    </row>
    <row r="65868" spans="10:10" x14ac:dyDescent="0.3">
      <c r="J65868"/>
    </row>
    <row r="65869" spans="10:10" x14ac:dyDescent="0.3">
      <c r="J65869"/>
    </row>
    <row r="65870" spans="10:10" x14ac:dyDescent="0.3">
      <c r="J65870"/>
    </row>
    <row r="65871" spans="10:10" x14ac:dyDescent="0.3">
      <c r="J65871"/>
    </row>
    <row r="65872" spans="10:10" x14ac:dyDescent="0.3">
      <c r="J65872"/>
    </row>
    <row r="65873" spans="10:10" x14ac:dyDescent="0.3">
      <c r="J65873"/>
    </row>
    <row r="65874" spans="10:10" x14ac:dyDescent="0.3">
      <c r="J65874"/>
    </row>
    <row r="65875" spans="10:10" x14ac:dyDescent="0.3">
      <c r="J65875"/>
    </row>
    <row r="65876" spans="10:10" x14ac:dyDescent="0.3">
      <c r="J65876"/>
    </row>
    <row r="65877" spans="10:10" x14ac:dyDescent="0.3">
      <c r="J65877"/>
    </row>
    <row r="65878" spans="10:10" x14ac:dyDescent="0.3">
      <c r="J65878"/>
    </row>
    <row r="65879" spans="10:10" x14ac:dyDescent="0.3">
      <c r="J65879"/>
    </row>
    <row r="65880" spans="10:10" x14ac:dyDescent="0.3">
      <c r="J65880"/>
    </row>
    <row r="65881" spans="10:10" x14ac:dyDescent="0.3">
      <c r="J65881"/>
    </row>
    <row r="65882" spans="10:10" x14ac:dyDescent="0.3">
      <c r="J65882"/>
    </row>
    <row r="65883" spans="10:10" x14ac:dyDescent="0.3">
      <c r="J65883"/>
    </row>
    <row r="65884" spans="10:10" x14ac:dyDescent="0.3">
      <c r="J65884"/>
    </row>
    <row r="65885" spans="10:10" x14ac:dyDescent="0.3">
      <c r="J65885"/>
    </row>
    <row r="65886" spans="10:10" x14ac:dyDescent="0.3">
      <c r="J65886"/>
    </row>
    <row r="65887" spans="10:10" x14ac:dyDescent="0.3">
      <c r="J65887"/>
    </row>
    <row r="65888" spans="10:10" x14ac:dyDescent="0.3">
      <c r="J65888"/>
    </row>
    <row r="65889" spans="10:10" x14ac:dyDescent="0.3">
      <c r="J65889"/>
    </row>
    <row r="65890" spans="10:10" x14ac:dyDescent="0.3">
      <c r="J65890"/>
    </row>
    <row r="65891" spans="10:10" x14ac:dyDescent="0.3">
      <c r="J65891"/>
    </row>
    <row r="65892" spans="10:10" x14ac:dyDescent="0.3">
      <c r="J65892"/>
    </row>
    <row r="65893" spans="10:10" x14ac:dyDescent="0.3">
      <c r="J65893"/>
    </row>
    <row r="65894" spans="10:10" x14ac:dyDescent="0.3">
      <c r="J65894"/>
    </row>
    <row r="65895" spans="10:10" x14ac:dyDescent="0.3">
      <c r="J65895"/>
    </row>
    <row r="65896" spans="10:10" x14ac:dyDescent="0.3">
      <c r="J65896"/>
    </row>
    <row r="65897" spans="10:10" x14ac:dyDescent="0.3">
      <c r="J65897"/>
    </row>
    <row r="65898" spans="10:10" x14ac:dyDescent="0.3">
      <c r="J65898"/>
    </row>
    <row r="65899" spans="10:10" x14ac:dyDescent="0.3">
      <c r="J65899"/>
    </row>
    <row r="65900" spans="10:10" x14ac:dyDescent="0.3">
      <c r="J65900"/>
    </row>
    <row r="65901" spans="10:10" x14ac:dyDescent="0.3">
      <c r="J65901"/>
    </row>
    <row r="65902" spans="10:10" x14ac:dyDescent="0.3">
      <c r="J65902"/>
    </row>
    <row r="65903" spans="10:10" x14ac:dyDescent="0.3">
      <c r="J65903"/>
    </row>
    <row r="65904" spans="10:10" x14ac:dyDescent="0.3">
      <c r="J65904"/>
    </row>
    <row r="65905" spans="10:10" x14ac:dyDescent="0.3">
      <c r="J65905"/>
    </row>
    <row r="65906" spans="10:10" x14ac:dyDescent="0.3">
      <c r="J65906"/>
    </row>
    <row r="65907" spans="10:10" x14ac:dyDescent="0.3">
      <c r="J65907"/>
    </row>
    <row r="65908" spans="10:10" x14ac:dyDescent="0.3">
      <c r="J65908"/>
    </row>
    <row r="65909" spans="10:10" x14ac:dyDescent="0.3">
      <c r="J65909"/>
    </row>
    <row r="65910" spans="10:10" x14ac:dyDescent="0.3">
      <c r="J65910"/>
    </row>
    <row r="65911" spans="10:10" x14ac:dyDescent="0.3">
      <c r="J65911"/>
    </row>
    <row r="65912" spans="10:10" x14ac:dyDescent="0.3">
      <c r="J65912"/>
    </row>
    <row r="65913" spans="10:10" x14ac:dyDescent="0.3">
      <c r="J65913"/>
    </row>
    <row r="65914" spans="10:10" x14ac:dyDescent="0.3">
      <c r="J65914"/>
    </row>
    <row r="65915" spans="10:10" x14ac:dyDescent="0.3">
      <c r="J65915"/>
    </row>
    <row r="65916" spans="10:10" x14ac:dyDescent="0.3">
      <c r="J65916"/>
    </row>
    <row r="65917" spans="10:10" x14ac:dyDescent="0.3">
      <c r="J65917"/>
    </row>
    <row r="65918" spans="10:10" x14ac:dyDescent="0.3">
      <c r="J65918"/>
    </row>
    <row r="65919" spans="10:10" x14ac:dyDescent="0.3">
      <c r="J65919"/>
    </row>
    <row r="65920" spans="10:10" x14ac:dyDescent="0.3">
      <c r="J65920"/>
    </row>
    <row r="65921" spans="10:10" x14ac:dyDescent="0.3">
      <c r="J65921"/>
    </row>
    <row r="65922" spans="10:10" x14ac:dyDescent="0.3">
      <c r="J65922"/>
    </row>
    <row r="65923" spans="10:10" x14ac:dyDescent="0.3">
      <c r="J65923"/>
    </row>
    <row r="65924" spans="10:10" x14ac:dyDescent="0.3">
      <c r="J65924"/>
    </row>
    <row r="65925" spans="10:10" x14ac:dyDescent="0.3">
      <c r="J65925"/>
    </row>
    <row r="65926" spans="10:10" x14ac:dyDescent="0.3">
      <c r="J65926"/>
    </row>
    <row r="65927" spans="10:10" x14ac:dyDescent="0.3">
      <c r="J65927"/>
    </row>
    <row r="65928" spans="10:10" x14ac:dyDescent="0.3">
      <c r="J65928"/>
    </row>
    <row r="65929" spans="10:10" x14ac:dyDescent="0.3">
      <c r="J65929"/>
    </row>
    <row r="65930" spans="10:10" x14ac:dyDescent="0.3">
      <c r="J65930"/>
    </row>
    <row r="65931" spans="10:10" x14ac:dyDescent="0.3">
      <c r="J65931"/>
    </row>
    <row r="65932" spans="10:10" x14ac:dyDescent="0.3">
      <c r="J65932"/>
    </row>
    <row r="65933" spans="10:10" x14ac:dyDescent="0.3">
      <c r="J65933"/>
    </row>
    <row r="65934" spans="10:10" x14ac:dyDescent="0.3">
      <c r="J65934"/>
    </row>
    <row r="65935" spans="10:10" x14ac:dyDescent="0.3">
      <c r="J65935"/>
    </row>
    <row r="65936" spans="10:10" x14ac:dyDescent="0.3">
      <c r="J65936"/>
    </row>
    <row r="65937" spans="10:10" x14ac:dyDescent="0.3">
      <c r="J65937"/>
    </row>
    <row r="65938" spans="10:10" x14ac:dyDescent="0.3">
      <c r="J65938"/>
    </row>
    <row r="65939" spans="10:10" x14ac:dyDescent="0.3">
      <c r="J65939"/>
    </row>
    <row r="65940" spans="10:10" x14ac:dyDescent="0.3">
      <c r="J65940"/>
    </row>
    <row r="65941" spans="10:10" x14ac:dyDescent="0.3">
      <c r="J65941"/>
    </row>
    <row r="65942" spans="10:10" x14ac:dyDescent="0.3">
      <c r="J65942"/>
    </row>
    <row r="65943" spans="10:10" x14ac:dyDescent="0.3">
      <c r="J65943"/>
    </row>
    <row r="65944" spans="10:10" x14ac:dyDescent="0.3">
      <c r="J65944"/>
    </row>
    <row r="65945" spans="10:10" x14ac:dyDescent="0.3">
      <c r="J65945"/>
    </row>
    <row r="65946" spans="10:10" x14ac:dyDescent="0.3">
      <c r="J65946"/>
    </row>
    <row r="65947" spans="10:10" x14ac:dyDescent="0.3">
      <c r="J65947"/>
    </row>
    <row r="65948" spans="10:10" x14ac:dyDescent="0.3">
      <c r="J65948"/>
    </row>
    <row r="65949" spans="10:10" x14ac:dyDescent="0.3">
      <c r="J65949"/>
    </row>
    <row r="65950" spans="10:10" x14ac:dyDescent="0.3">
      <c r="J65950"/>
    </row>
    <row r="65951" spans="10:10" x14ac:dyDescent="0.3">
      <c r="J65951"/>
    </row>
    <row r="65952" spans="10:10" x14ac:dyDescent="0.3">
      <c r="J65952"/>
    </row>
    <row r="65953" spans="10:10" x14ac:dyDescent="0.3">
      <c r="J65953"/>
    </row>
    <row r="65954" spans="10:10" x14ac:dyDescent="0.3">
      <c r="J65954"/>
    </row>
    <row r="65955" spans="10:10" x14ac:dyDescent="0.3">
      <c r="J65955"/>
    </row>
    <row r="65956" spans="10:10" x14ac:dyDescent="0.3">
      <c r="J65956"/>
    </row>
    <row r="65957" spans="10:10" x14ac:dyDescent="0.3">
      <c r="J65957"/>
    </row>
    <row r="65958" spans="10:10" x14ac:dyDescent="0.3">
      <c r="J65958"/>
    </row>
    <row r="65959" spans="10:10" x14ac:dyDescent="0.3">
      <c r="J65959"/>
    </row>
    <row r="65960" spans="10:10" x14ac:dyDescent="0.3">
      <c r="J65960"/>
    </row>
    <row r="65961" spans="10:10" x14ac:dyDescent="0.3">
      <c r="J65961"/>
    </row>
    <row r="65962" spans="10:10" x14ac:dyDescent="0.3">
      <c r="J65962"/>
    </row>
    <row r="65963" spans="10:10" x14ac:dyDescent="0.3">
      <c r="J65963"/>
    </row>
    <row r="65964" spans="10:10" x14ac:dyDescent="0.3">
      <c r="J65964"/>
    </row>
    <row r="65965" spans="10:10" x14ac:dyDescent="0.3">
      <c r="J65965"/>
    </row>
    <row r="65966" spans="10:10" x14ac:dyDescent="0.3">
      <c r="J65966"/>
    </row>
    <row r="65967" spans="10:10" x14ac:dyDescent="0.3">
      <c r="J65967"/>
    </row>
    <row r="65968" spans="10:10" x14ac:dyDescent="0.3">
      <c r="J65968"/>
    </row>
    <row r="65969" spans="10:10" x14ac:dyDescent="0.3">
      <c r="J65969"/>
    </row>
    <row r="65970" spans="10:10" x14ac:dyDescent="0.3">
      <c r="J65970"/>
    </row>
    <row r="65971" spans="10:10" x14ac:dyDescent="0.3">
      <c r="J65971"/>
    </row>
    <row r="65972" spans="10:10" x14ac:dyDescent="0.3">
      <c r="J65972"/>
    </row>
    <row r="65973" spans="10:10" x14ac:dyDescent="0.3">
      <c r="J65973"/>
    </row>
    <row r="65974" spans="10:10" x14ac:dyDescent="0.3">
      <c r="J65974"/>
    </row>
    <row r="65975" spans="10:10" x14ac:dyDescent="0.3">
      <c r="J65975"/>
    </row>
    <row r="65976" spans="10:10" x14ac:dyDescent="0.3">
      <c r="J65976"/>
    </row>
    <row r="65977" spans="10:10" x14ac:dyDescent="0.3">
      <c r="J65977"/>
    </row>
    <row r="65978" spans="10:10" x14ac:dyDescent="0.3">
      <c r="J65978"/>
    </row>
    <row r="65979" spans="10:10" x14ac:dyDescent="0.3">
      <c r="J65979"/>
    </row>
    <row r="65980" spans="10:10" x14ac:dyDescent="0.3">
      <c r="J65980"/>
    </row>
    <row r="65981" spans="10:10" x14ac:dyDescent="0.3">
      <c r="J65981"/>
    </row>
    <row r="65982" spans="10:10" x14ac:dyDescent="0.3">
      <c r="J65982"/>
    </row>
    <row r="65983" spans="10:10" x14ac:dyDescent="0.3">
      <c r="J65983"/>
    </row>
    <row r="65984" spans="10:10" x14ac:dyDescent="0.3">
      <c r="J65984"/>
    </row>
    <row r="65985" spans="10:10" x14ac:dyDescent="0.3">
      <c r="J65985"/>
    </row>
    <row r="65986" spans="10:10" x14ac:dyDescent="0.3">
      <c r="J65986"/>
    </row>
    <row r="65987" spans="10:10" x14ac:dyDescent="0.3">
      <c r="J65987"/>
    </row>
    <row r="65988" spans="10:10" x14ac:dyDescent="0.3">
      <c r="J65988"/>
    </row>
    <row r="65989" spans="10:10" x14ac:dyDescent="0.3">
      <c r="J65989"/>
    </row>
    <row r="65990" spans="10:10" x14ac:dyDescent="0.3">
      <c r="J65990"/>
    </row>
    <row r="65991" spans="10:10" x14ac:dyDescent="0.3">
      <c r="J65991"/>
    </row>
    <row r="65992" spans="10:10" x14ac:dyDescent="0.3">
      <c r="J65992"/>
    </row>
    <row r="65993" spans="10:10" x14ac:dyDescent="0.3">
      <c r="J65993"/>
    </row>
    <row r="65994" spans="10:10" x14ac:dyDescent="0.3">
      <c r="J65994"/>
    </row>
    <row r="65995" spans="10:10" x14ac:dyDescent="0.3">
      <c r="J65995"/>
    </row>
    <row r="65996" spans="10:10" x14ac:dyDescent="0.3">
      <c r="J65996"/>
    </row>
    <row r="65997" spans="10:10" x14ac:dyDescent="0.3">
      <c r="J65997"/>
    </row>
    <row r="65998" spans="10:10" x14ac:dyDescent="0.3">
      <c r="J65998"/>
    </row>
    <row r="65999" spans="10:10" x14ac:dyDescent="0.3">
      <c r="J65999"/>
    </row>
    <row r="66000" spans="10:10" x14ac:dyDescent="0.3">
      <c r="J66000"/>
    </row>
    <row r="66001" spans="10:10" x14ac:dyDescent="0.3">
      <c r="J66001"/>
    </row>
    <row r="66002" spans="10:10" x14ac:dyDescent="0.3">
      <c r="J66002"/>
    </row>
    <row r="66003" spans="10:10" x14ac:dyDescent="0.3">
      <c r="J66003"/>
    </row>
    <row r="66004" spans="10:10" x14ac:dyDescent="0.3">
      <c r="J66004"/>
    </row>
    <row r="66005" spans="10:10" x14ac:dyDescent="0.3">
      <c r="J66005"/>
    </row>
    <row r="66006" spans="10:10" x14ac:dyDescent="0.3">
      <c r="J66006"/>
    </row>
    <row r="66007" spans="10:10" x14ac:dyDescent="0.3">
      <c r="J66007"/>
    </row>
    <row r="66008" spans="10:10" x14ac:dyDescent="0.3">
      <c r="J66008"/>
    </row>
    <row r="66009" spans="10:10" x14ac:dyDescent="0.3">
      <c r="J66009"/>
    </row>
    <row r="66010" spans="10:10" x14ac:dyDescent="0.3">
      <c r="J66010"/>
    </row>
    <row r="66011" spans="10:10" x14ac:dyDescent="0.3">
      <c r="J66011"/>
    </row>
    <row r="66012" spans="10:10" x14ac:dyDescent="0.3">
      <c r="J66012"/>
    </row>
    <row r="66013" spans="10:10" x14ac:dyDescent="0.3">
      <c r="J66013"/>
    </row>
    <row r="66014" spans="10:10" x14ac:dyDescent="0.3">
      <c r="J66014"/>
    </row>
    <row r="66015" spans="10:10" x14ac:dyDescent="0.3">
      <c r="J66015"/>
    </row>
    <row r="66016" spans="10:10" x14ac:dyDescent="0.3">
      <c r="J66016"/>
    </row>
    <row r="66017" spans="10:10" x14ac:dyDescent="0.3">
      <c r="J66017"/>
    </row>
    <row r="66018" spans="10:10" x14ac:dyDescent="0.3">
      <c r="J66018"/>
    </row>
    <row r="66019" spans="10:10" x14ac:dyDescent="0.3">
      <c r="J66019"/>
    </row>
    <row r="66020" spans="10:10" x14ac:dyDescent="0.3">
      <c r="J66020"/>
    </row>
    <row r="66021" spans="10:10" x14ac:dyDescent="0.3">
      <c r="J66021"/>
    </row>
    <row r="66022" spans="10:10" x14ac:dyDescent="0.3">
      <c r="J66022"/>
    </row>
    <row r="66023" spans="10:10" x14ac:dyDescent="0.3">
      <c r="J66023"/>
    </row>
    <row r="66024" spans="10:10" x14ac:dyDescent="0.3">
      <c r="J66024"/>
    </row>
    <row r="66025" spans="10:10" x14ac:dyDescent="0.3">
      <c r="J66025"/>
    </row>
    <row r="66026" spans="10:10" x14ac:dyDescent="0.3">
      <c r="J66026"/>
    </row>
    <row r="66027" spans="10:10" x14ac:dyDescent="0.3">
      <c r="J66027"/>
    </row>
    <row r="66028" spans="10:10" x14ac:dyDescent="0.3">
      <c r="J66028"/>
    </row>
    <row r="66029" spans="10:10" x14ac:dyDescent="0.3">
      <c r="J66029"/>
    </row>
    <row r="66030" spans="10:10" x14ac:dyDescent="0.3">
      <c r="J66030"/>
    </row>
    <row r="66031" spans="10:10" x14ac:dyDescent="0.3">
      <c r="J66031"/>
    </row>
    <row r="66032" spans="10:10" x14ac:dyDescent="0.3">
      <c r="J66032"/>
    </row>
    <row r="66033" spans="10:10" x14ac:dyDescent="0.3">
      <c r="J66033"/>
    </row>
    <row r="66034" spans="10:10" x14ac:dyDescent="0.3">
      <c r="J66034"/>
    </row>
    <row r="66035" spans="10:10" x14ac:dyDescent="0.3">
      <c r="J66035"/>
    </row>
    <row r="66036" spans="10:10" x14ac:dyDescent="0.3">
      <c r="J66036"/>
    </row>
    <row r="66037" spans="10:10" x14ac:dyDescent="0.3">
      <c r="J66037"/>
    </row>
    <row r="66038" spans="10:10" x14ac:dyDescent="0.3">
      <c r="J66038"/>
    </row>
    <row r="66039" spans="10:10" x14ac:dyDescent="0.3">
      <c r="J66039"/>
    </row>
    <row r="66040" spans="10:10" x14ac:dyDescent="0.3">
      <c r="J66040"/>
    </row>
    <row r="66041" spans="10:10" x14ac:dyDescent="0.3">
      <c r="J66041"/>
    </row>
    <row r="66042" spans="10:10" x14ac:dyDescent="0.3">
      <c r="J66042"/>
    </row>
    <row r="66043" spans="10:10" x14ac:dyDescent="0.3">
      <c r="J66043"/>
    </row>
    <row r="66044" spans="10:10" x14ac:dyDescent="0.3">
      <c r="J66044"/>
    </row>
    <row r="66045" spans="10:10" x14ac:dyDescent="0.3">
      <c r="J66045"/>
    </row>
    <row r="66046" spans="10:10" x14ac:dyDescent="0.3">
      <c r="J66046"/>
    </row>
    <row r="66047" spans="10:10" x14ac:dyDescent="0.3">
      <c r="J66047"/>
    </row>
    <row r="66048" spans="10:10" x14ac:dyDescent="0.3">
      <c r="J66048"/>
    </row>
    <row r="66049" spans="10:10" x14ac:dyDescent="0.3">
      <c r="J66049"/>
    </row>
    <row r="66050" spans="10:10" x14ac:dyDescent="0.3">
      <c r="J66050"/>
    </row>
    <row r="66051" spans="10:10" x14ac:dyDescent="0.3">
      <c r="J66051"/>
    </row>
    <row r="66052" spans="10:10" x14ac:dyDescent="0.3">
      <c r="J66052"/>
    </row>
    <row r="66053" spans="10:10" x14ac:dyDescent="0.3">
      <c r="J66053"/>
    </row>
    <row r="66054" spans="10:10" x14ac:dyDescent="0.3">
      <c r="J66054"/>
    </row>
    <row r="66055" spans="10:10" x14ac:dyDescent="0.3">
      <c r="J66055"/>
    </row>
    <row r="66056" spans="10:10" x14ac:dyDescent="0.3">
      <c r="J66056"/>
    </row>
    <row r="66057" spans="10:10" x14ac:dyDescent="0.3">
      <c r="J66057"/>
    </row>
    <row r="66058" spans="10:10" x14ac:dyDescent="0.3">
      <c r="J66058"/>
    </row>
    <row r="66059" spans="10:10" x14ac:dyDescent="0.3">
      <c r="J66059"/>
    </row>
    <row r="66060" spans="10:10" x14ac:dyDescent="0.3">
      <c r="J66060"/>
    </row>
    <row r="66061" spans="10:10" x14ac:dyDescent="0.3">
      <c r="J66061"/>
    </row>
    <row r="66062" spans="10:10" x14ac:dyDescent="0.3">
      <c r="J66062"/>
    </row>
    <row r="66063" spans="10:10" x14ac:dyDescent="0.3">
      <c r="J66063"/>
    </row>
    <row r="66064" spans="10:10" x14ac:dyDescent="0.3">
      <c r="J66064"/>
    </row>
    <row r="66065" spans="10:10" x14ac:dyDescent="0.3">
      <c r="J66065"/>
    </row>
    <row r="66066" spans="10:10" x14ac:dyDescent="0.3">
      <c r="J66066"/>
    </row>
    <row r="66067" spans="10:10" x14ac:dyDescent="0.3">
      <c r="J66067"/>
    </row>
    <row r="66068" spans="10:10" x14ac:dyDescent="0.3">
      <c r="J66068"/>
    </row>
    <row r="66069" spans="10:10" x14ac:dyDescent="0.3">
      <c r="J66069"/>
    </row>
    <row r="66070" spans="10:10" x14ac:dyDescent="0.3">
      <c r="J66070"/>
    </row>
    <row r="66071" spans="10:10" x14ac:dyDescent="0.3">
      <c r="J66071"/>
    </row>
    <row r="66072" spans="10:10" x14ac:dyDescent="0.3">
      <c r="J66072"/>
    </row>
    <row r="66073" spans="10:10" x14ac:dyDescent="0.3">
      <c r="J66073"/>
    </row>
    <row r="66074" spans="10:10" x14ac:dyDescent="0.3">
      <c r="J66074"/>
    </row>
    <row r="66075" spans="10:10" x14ac:dyDescent="0.3">
      <c r="J66075"/>
    </row>
    <row r="66076" spans="10:10" x14ac:dyDescent="0.3">
      <c r="J66076"/>
    </row>
    <row r="66077" spans="10:10" x14ac:dyDescent="0.3">
      <c r="J66077"/>
    </row>
    <row r="66078" spans="10:10" x14ac:dyDescent="0.3">
      <c r="J66078"/>
    </row>
    <row r="66079" spans="10:10" x14ac:dyDescent="0.3">
      <c r="J66079"/>
    </row>
    <row r="66080" spans="10:10" x14ac:dyDescent="0.3">
      <c r="J66080"/>
    </row>
    <row r="66081" spans="10:10" x14ac:dyDescent="0.3">
      <c r="J66081"/>
    </row>
    <row r="66082" spans="10:10" x14ac:dyDescent="0.3">
      <c r="J66082"/>
    </row>
    <row r="66083" spans="10:10" x14ac:dyDescent="0.3">
      <c r="J66083"/>
    </row>
    <row r="66084" spans="10:10" x14ac:dyDescent="0.3">
      <c r="J66084"/>
    </row>
    <row r="66085" spans="10:10" x14ac:dyDescent="0.3">
      <c r="J66085"/>
    </row>
    <row r="66086" spans="10:10" x14ac:dyDescent="0.3">
      <c r="J66086"/>
    </row>
    <row r="66087" spans="10:10" x14ac:dyDescent="0.3">
      <c r="J66087"/>
    </row>
    <row r="66088" spans="10:10" x14ac:dyDescent="0.3">
      <c r="J66088"/>
    </row>
    <row r="66089" spans="10:10" x14ac:dyDescent="0.3">
      <c r="J66089"/>
    </row>
    <row r="66090" spans="10:10" x14ac:dyDescent="0.3">
      <c r="J66090"/>
    </row>
    <row r="66091" spans="10:10" x14ac:dyDescent="0.3">
      <c r="J66091"/>
    </row>
    <row r="66092" spans="10:10" x14ac:dyDescent="0.3">
      <c r="J66092"/>
    </row>
    <row r="66093" spans="10:10" x14ac:dyDescent="0.3">
      <c r="J66093"/>
    </row>
    <row r="66094" spans="10:10" x14ac:dyDescent="0.3">
      <c r="J66094"/>
    </row>
    <row r="66095" spans="10:10" x14ac:dyDescent="0.3">
      <c r="J66095"/>
    </row>
    <row r="66096" spans="10:10" x14ac:dyDescent="0.3">
      <c r="J66096"/>
    </row>
    <row r="66097" spans="10:10" x14ac:dyDescent="0.3">
      <c r="J66097"/>
    </row>
    <row r="66098" spans="10:10" x14ac:dyDescent="0.3">
      <c r="J66098"/>
    </row>
    <row r="66099" spans="10:10" x14ac:dyDescent="0.3">
      <c r="J66099"/>
    </row>
    <row r="66100" spans="10:10" x14ac:dyDescent="0.3">
      <c r="J66100"/>
    </row>
    <row r="66101" spans="10:10" x14ac:dyDescent="0.3">
      <c r="J66101"/>
    </row>
    <row r="66102" spans="10:10" x14ac:dyDescent="0.3">
      <c r="J66102"/>
    </row>
    <row r="66103" spans="10:10" x14ac:dyDescent="0.3">
      <c r="J66103"/>
    </row>
    <row r="66104" spans="10:10" x14ac:dyDescent="0.3">
      <c r="J66104"/>
    </row>
    <row r="66105" spans="10:10" x14ac:dyDescent="0.3">
      <c r="J66105"/>
    </row>
    <row r="66106" spans="10:10" x14ac:dyDescent="0.3">
      <c r="J66106"/>
    </row>
    <row r="66107" spans="10:10" x14ac:dyDescent="0.3">
      <c r="J66107"/>
    </row>
    <row r="66108" spans="10:10" x14ac:dyDescent="0.3">
      <c r="J66108"/>
    </row>
    <row r="66109" spans="10:10" x14ac:dyDescent="0.3">
      <c r="J66109"/>
    </row>
    <row r="66110" spans="10:10" x14ac:dyDescent="0.3">
      <c r="J66110"/>
    </row>
    <row r="66111" spans="10:10" x14ac:dyDescent="0.3">
      <c r="J66111"/>
    </row>
    <row r="66112" spans="10:10" x14ac:dyDescent="0.3">
      <c r="J66112"/>
    </row>
    <row r="66113" spans="10:10" x14ac:dyDescent="0.3">
      <c r="J66113"/>
    </row>
    <row r="66114" spans="10:10" x14ac:dyDescent="0.3">
      <c r="J66114"/>
    </row>
    <row r="66115" spans="10:10" x14ac:dyDescent="0.3">
      <c r="J66115"/>
    </row>
    <row r="66116" spans="10:10" x14ac:dyDescent="0.3">
      <c r="J66116"/>
    </row>
    <row r="66117" spans="10:10" x14ac:dyDescent="0.3">
      <c r="J66117"/>
    </row>
    <row r="66118" spans="10:10" x14ac:dyDescent="0.3">
      <c r="J66118"/>
    </row>
    <row r="66119" spans="10:10" x14ac:dyDescent="0.3">
      <c r="J66119"/>
    </row>
    <row r="66120" spans="10:10" x14ac:dyDescent="0.3">
      <c r="J66120"/>
    </row>
    <row r="66121" spans="10:10" x14ac:dyDescent="0.3">
      <c r="J66121"/>
    </row>
    <row r="66122" spans="10:10" x14ac:dyDescent="0.3">
      <c r="J66122"/>
    </row>
    <row r="66123" spans="10:10" x14ac:dyDescent="0.3">
      <c r="J66123"/>
    </row>
    <row r="66124" spans="10:10" x14ac:dyDescent="0.3">
      <c r="J66124"/>
    </row>
    <row r="66125" spans="10:10" x14ac:dyDescent="0.3">
      <c r="J66125"/>
    </row>
    <row r="66126" spans="10:10" x14ac:dyDescent="0.3">
      <c r="J66126"/>
    </row>
    <row r="66127" spans="10:10" x14ac:dyDescent="0.3">
      <c r="J66127"/>
    </row>
    <row r="66128" spans="10:10" x14ac:dyDescent="0.3">
      <c r="J66128"/>
    </row>
    <row r="66129" spans="10:10" x14ac:dyDescent="0.3">
      <c r="J66129"/>
    </row>
    <row r="66130" spans="10:10" x14ac:dyDescent="0.3">
      <c r="J66130"/>
    </row>
    <row r="66131" spans="10:10" x14ac:dyDescent="0.3">
      <c r="J66131"/>
    </row>
    <row r="66132" spans="10:10" x14ac:dyDescent="0.3">
      <c r="J66132"/>
    </row>
    <row r="66133" spans="10:10" x14ac:dyDescent="0.3">
      <c r="J66133"/>
    </row>
    <row r="66134" spans="10:10" x14ac:dyDescent="0.3">
      <c r="J66134"/>
    </row>
    <row r="66135" spans="10:10" x14ac:dyDescent="0.3">
      <c r="J66135"/>
    </row>
    <row r="66136" spans="10:10" x14ac:dyDescent="0.3">
      <c r="J66136"/>
    </row>
    <row r="66137" spans="10:10" x14ac:dyDescent="0.3">
      <c r="J66137"/>
    </row>
    <row r="66138" spans="10:10" x14ac:dyDescent="0.3">
      <c r="J66138"/>
    </row>
    <row r="66139" spans="10:10" x14ac:dyDescent="0.3">
      <c r="J66139"/>
    </row>
    <row r="66140" spans="10:10" x14ac:dyDescent="0.3">
      <c r="J66140"/>
    </row>
    <row r="66141" spans="10:10" x14ac:dyDescent="0.3">
      <c r="J66141"/>
    </row>
    <row r="66142" spans="10:10" x14ac:dyDescent="0.3">
      <c r="J66142"/>
    </row>
    <row r="66143" spans="10:10" x14ac:dyDescent="0.3">
      <c r="J66143"/>
    </row>
    <row r="66144" spans="10:10" x14ac:dyDescent="0.3">
      <c r="J66144"/>
    </row>
    <row r="66145" spans="10:10" x14ac:dyDescent="0.3">
      <c r="J66145"/>
    </row>
    <row r="66146" spans="10:10" x14ac:dyDescent="0.3">
      <c r="J66146"/>
    </row>
    <row r="66147" spans="10:10" x14ac:dyDescent="0.3">
      <c r="J66147"/>
    </row>
    <row r="66148" spans="10:10" x14ac:dyDescent="0.3">
      <c r="J66148"/>
    </row>
    <row r="66149" spans="10:10" x14ac:dyDescent="0.3">
      <c r="J66149"/>
    </row>
    <row r="66150" spans="10:10" x14ac:dyDescent="0.3">
      <c r="J66150"/>
    </row>
    <row r="66151" spans="10:10" x14ac:dyDescent="0.3">
      <c r="J66151"/>
    </row>
    <row r="66152" spans="10:10" x14ac:dyDescent="0.3">
      <c r="J66152"/>
    </row>
    <row r="66153" spans="10:10" x14ac:dyDescent="0.3">
      <c r="J66153"/>
    </row>
    <row r="66154" spans="10:10" x14ac:dyDescent="0.3">
      <c r="J66154"/>
    </row>
    <row r="66155" spans="10:10" x14ac:dyDescent="0.3">
      <c r="J66155"/>
    </row>
    <row r="66156" spans="10:10" x14ac:dyDescent="0.3">
      <c r="J66156"/>
    </row>
    <row r="66157" spans="10:10" x14ac:dyDescent="0.3">
      <c r="J66157"/>
    </row>
    <row r="66158" spans="10:10" x14ac:dyDescent="0.3">
      <c r="J66158"/>
    </row>
    <row r="66159" spans="10:10" x14ac:dyDescent="0.3">
      <c r="J66159"/>
    </row>
    <row r="66160" spans="10:10" x14ac:dyDescent="0.3">
      <c r="J66160"/>
    </row>
    <row r="66161" spans="10:10" x14ac:dyDescent="0.3">
      <c r="J66161"/>
    </row>
    <row r="66162" spans="10:10" x14ac:dyDescent="0.3">
      <c r="J66162"/>
    </row>
    <row r="66163" spans="10:10" x14ac:dyDescent="0.3">
      <c r="J66163"/>
    </row>
    <row r="66164" spans="10:10" x14ac:dyDescent="0.3">
      <c r="J66164"/>
    </row>
    <row r="66165" spans="10:10" x14ac:dyDescent="0.3">
      <c r="J66165"/>
    </row>
    <row r="66166" spans="10:10" x14ac:dyDescent="0.3">
      <c r="J66166"/>
    </row>
    <row r="66167" spans="10:10" x14ac:dyDescent="0.3">
      <c r="J66167"/>
    </row>
    <row r="66168" spans="10:10" x14ac:dyDescent="0.3">
      <c r="J66168"/>
    </row>
    <row r="66169" spans="10:10" x14ac:dyDescent="0.3">
      <c r="J66169"/>
    </row>
    <row r="66170" spans="10:10" x14ac:dyDescent="0.3">
      <c r="J66170"/>
    </row>
    <row r="66171" spans="10:10" x14ac:dyDescent="0.3">
      <c r="J66171"/>
    </row>
    <row r="66172" spans="10:10" x14ac:dyDescent="0.3">
      <c r="J66172"/>
    </row>
    <row r="66173" spans="10:10" x14ac:dyDescent="0.3">
      <c r="J66173"/>
    </row>
    <row r="66174" spans="10:10" x14ac:dyDescent="0.3">
      <c r="J66174"/>
    </row>
    <row r="66175" spans="10:10" x14ac:dyDescent="0.3">
      <c r="J66175"/>
    </row>
    <row r="66176" spans="10:10" x14ac:dyDescent="0.3">
      <c r="J66176"/>
    </row>
    <row r="66177" spans="10:10" x14ac:dyDescent="0.3">
      <c r="J66177"/>
    </row>
    <row r="66178" spans="10:10" x14ac:dyDescent="0.3">
      <c r="J66178"/>
    </row>
    <row r="66179" spans="10:10" x14ac:dyDescent="0.3">
      <c r="J66179"/>
    </row>
    <row r="66180" spans="10:10" x14ac:dyDescent="0.3">
      <c r="J66180"/>
    </row>
    <row r="66181" spans="10:10" x14ac:dyDescent="0.3">
      <c r="J66181"/>
    </row>
    <row r="66182" spans="10:10" x14ac:dyDescent="0.3">
      <c r="J66182"/>
    </row>
    <row r="66183" spans="10:10" x14ac:dyDescent="0.3">
      <c r="J66183"/>
    </row>
    <row r="66184" spans="10:10" x14ac:dyDescent="0.3">
      <c r="J66184"/>
    </row>
    <row r="66185" spans="10:10" x14ac:dyDescent="0.3">
      <c r="J66185"/>
    </row>
    <row r="66186" spans="10:10" x14ac:dyDescent="0.3">
      <c r="J66186"/>
    </row>
    <row r="66187" spans="10:10" x14ac:dyDescent="0.3">
      <c r="J66187"/>
    </row>
    <row r="66188" spans="10:10" x14ac:dyDescent="0.3">
      <c r="J66188"/>
    </row>
    <row r="66189" spans="10:10" x14ac:dyDescent="0.3">
      <c r="J66189"/>
    </row>
    <row r="66190" spans="10:10" x14ac:dyDescent="0.3">
      <c r="J66190"/>
    </row>
    <row r="66191" spans="10:10" x14ac:dyDescent="0.3">
      <c r="J66191"/>
    </row>
    <row r="66192" spans="10:10" x14ac:dyDescent="0.3">
      <c r="J66192"/>
    </row>
    <row r="66193" spans="10:10" x14ac:dyDescent="0.3">
      <c r="J66193"/>
    </row>
    <row r="66194" spans="10:10" x14ac:dyDescent="0.3">
      <c r="J66194"/>
    </row>
    <row r="66195" spans="10:10" x14ac:dyDescent="0.3">
      <c r="J66195"/>
    </row>
    <row r="66196" spans="10:10" x14ac:dyDescent="0.3">
      <c r="J66196"/>
    </row>
    <row r="66197" spans="10:10" x14ac:dyDescent="0.3">
      <c r="J66197"/>
    </row>
    <row r="66198" spans="10:10" x14ac:dyDescent="0.3">
      <c r="J66198"/>
    </row>
    <row r="66199" spans="10:10" x14ac:dyDescent="0.3">
      <c r="J66199"/>
    </row>
    <row r="66200" spans="10:10" x14ac:dyDescent="0.3">
      <c r="J66200"/>
    </row>
    <row r="66201" spans="10:10" x14ac:dyDescent="0.3">
      <c r="J66201"/>
    </row>
    <row r="66202" spans="10:10" x14ac:dyDescent="0.3">
      <c r="J66202"/>
    </row>
    <row r="66203" spans="10:10" x14ac:dyDescent="0.3">
      <c r="J66203"/>
    </row>
    <row r="66204" spans="10:10" x14ac:dyDescent="0.3">
      <c r="J66204"/>
    </row>
    <row r="66205" spans="10:10" x14ac:dyDescent="0.3">
      <c r="J66205"/>
    </row>
    <row r="66206" spans="10:10" x14ac:dyDescent="0.3">
      <c r="J66206"/>
    </row>
    <row r="66207" spans="10:10" x14ac:dyDescent="0.3">
      <c r="J66207"/>
    </row>
    <row r="66208" spans="10:10" x14ac:dyDescent="0.3">
      <c r="J66208"/>
    </row>
    <row r="66209" spans="10:10" x14ac:dyDescent="0.3">
      <c r="J66209"/>
    </row>
    <row r="66210" spans="10:10" x14ac:dyDescent="0.3">
      <c r="J66210"/>
    </row>
    <row r="66211" spans="10:10" x14ac:dyDescent="0.3">
      <c r="J66211"/>
    </row>
    <row r="66212" spans="10:10" x14ac:dyDescent="0.3">
      <c r="J66212"/>
    </row>
    <row r="66213" spans="10:10" x14ac:dyDescent="0.3">
      <c r="J66213"/>
    </row>
    <row r="66214" spans="10:10" x14ac:dyDescent="0.3">
      <c r="J66214"/>
    </row>
    <row r="66215" spans="10:10" x14ac:dyDescent="0.3">
      <c r="J66215"/>
    </row>
    <row r="66216" spans="10:10" x14ac:dyDescent="0.3">
      <c r="J66216"/>
    </row>
    <row r="66217" spans="10:10" x14ac:dyDescent="0.3">
      <c r="J66217"/>
    </row>
    <row r="66218" spans="10:10" x14ac:dyDescent="0.3">
      <c r="J66218"/>
    </row>
    <row r="66219" spans="10:10" x14ac:dyDescent="0.3">
      <c r="J66219"/>
    </row>
    <row r="66220" spans="10:10" x14ac:dyDescent="0.3">
      <c r="J66220"/>
    </row>
    <row r="66221" spans="10:10" x14ac:dyDescent="0.3">
      <c r="J66221"/>
    </row>
    <row r="66222" spans="10:10" x14ac:dyDescent="0.3">
      <c r="J66222"/>
    </row>
    <row r="66223" spans="10:10" x14ac:dyDescent="0.3">
      <c r="J66223"/>
    </row>
    <row r="66224" spans="10:10" x14ac:dyDescent="0.3">
      <c r="J66224"/>
    </row>
    <row r="66225" spans="10:10" x14ac:dyDescent="0.3">
      <c r="J66225"/>
    </row>
    <row r="66226" spans="10:10" x14ac:dyDescent="0.3">
      <c r="J66226"/>
    </row>
    <row r="66227" spans="10:10" x14ac:dyDescent="0.3">
      <c r="J66227"/>
    </row>
    <row r="66228" spans="10:10" x14ac:dyDescent="0.3">
      <c r="J66228"/>
    </row>
    <row r="66229" spans="10:10" x14ac:dyDescent="0.3">
      <c r="J66229"/>
    </row>
    <row r="66230" spans="10:10" x14ac:dyDescent="0.3">
      <c r="J66230"/>
    </row>
    <row r="66231" spans="10:10" x14ac:dyDescent="0.3">
      <c r="J66231"/>
    </row>
    <row r="66232" spans="10:10" x14ac:dyDescent="0.3">
      <c r="J66232"/>
    </row>
    <row r="66233" spans="10:10" x14ac:dyDescent="0.3">
      <c r="J66233"/>
    </row>
    <row r="66234" spans="10:10" x14ac:dyDescent="0.3">
      <c r="J66234"/>
    </row>
    <row r="66235" spans="10:10" x14ac:dyDescent="0.3">
      <c r="J66235"/>
    </row>
    <row r="66236" spans="10:10" x14ac:dyDescent="0.3">
      <c r="J66236"/>
    </row>
    <row r="66237" spans="10:10" x14ac:dyDescent="0.3">
      <c r="J66237"/>
    </row>
    <row r="66238" spans="10:10" x14ac:dyDescent="0.3">
      <c r="J66238"/>
    </row>
    <row r="66239" spans="10:10" x14ac:dyDescent="0.3">
      <c r="J66239"/>
    </row>
    <row r="66240" spans="10:10" x14ac:dyDescent="0.3">
      <c r="J66240"/>
    </row>
    <row r="66241" spans="10:10" x14ac:dyDescent="0.3">
      <c r="J66241"/>
    </row>
    <row r="66242" spans="10:10" x14ac:dyDescent="0.3">
      <c r="J66242"/>
    </row>
    <row r="66243" spans="10:10" x14ac:dyDescent="0.3">
      <c r="J66243"/>
    </row>
    <row r="66244" spans="10:10" x14ac:dyDescent="0.3">
      <c r="J66244"/>
    </row>
    <row r="66245" spans="10:10" x14ac:dyDescent="0.3">
      <c r="J66245"/>
    </row>
    <row r="66246" spans="10:10" x14ac:dyDescent="0.3">
      <c r="J66246"/>
    </row>
    <row r="66247" spans="10:10" x14ac:dyDescent="0.3">
      <c r="J66247"/>
    </row>
    <row r="66248" spans="10:10" x14ac:dyDescent="0.3">
      <c r="J66248"/>
    </row>
    <row r="66249" spans="10:10" x14ac:dyDescent="0.3">
      <c r="J66249"/>
    </row>
    <row r="66250" spans="10:10" x14ac:dyDescent="0.3">
      <c r="J66250"/>
    </row>
    <row r="66251" spans="10:10" x14ac:dyDescent="0.3">
      <c r="J66251"/>
    </row>
    <row r="66252" spans="10:10" x14ac:dyDescent="0.3">
      <c r="J66252"/>
    </row>
    <row r="66253" spans="10:10" x14ac:dyDescent="0.3">
      <c r="J66253"/>
    </row>
    <row r="66254" spans="10:10" x14ac:dyDescent="0.3">
      <c r="J66254"/>
    </row>
    <row r="66255" spans="10:10" x14ac:dyDescent="0.3">
      <c r="J66255"/>
    </row>
    <row r="66256" spans="10:10" x14ac:dyDescent="0.3">
      <c r="J66256"/>
    </row>
    <row r="66257" spans="10:10" x14ac:dyDescent="0.3">
      <c r="J66257"/>
    </row>
    <row r="66258" spans="10:10" x14ac:dyDescent="0.3">
      <c r="J66258"/>
    </row>
    <row r="66259" spans="10:10" x14ac:dyDescent="0.3">
      <c r="J66259"/>
    </row>
    <row r="66260" spans="10:10" x14ac:dyDescent="0.3">
      <c r="J66260"/>
    </row>
    <row r="66261" spans="10:10" x14ac:dyDescent="0.3">
      <c r="J66261"/>
    </row>
    <row r="66262" spans="10:10" x14ac:dyDescent="0.3">
      <c r="J66262"/>
    </row>
    <row r="66263" spans="10:10" x14ac:dyDescent="0.3">
      <c r="J66263"/>
    </row>
    <row r="66264" spans="10:10" x14ac:dyDescent="0.3">
      <c r="J66264"/>
    </row>
    <row r="66265" spans="10:10" x14ac:dyDescent="0.3">
      <c r="J66265"/>
    </row>
    <row r="66266" spans="10:10" x14ac:dyDescent="0.3">
      <c r="J66266"/>
    </row>
    <row r="66267" spans="10:10" x14ac:dyDescent="0.3">
      <c r="J66267"/>
    </row>
    <row r="66268" spans="10:10" x14ac:dyDescent="0.3">
      <c r="J66268"/>
    </row>
    <row r="66269" spans="10:10" x14ac:dyDescent="0.3">
      <c r="J66269"/>
    </row>
    <row r="66270" spans="10:10" x14ac:dyDescent="0.3">
      <c r="J66270"/>
    </row>
    <row r="66271" spans="10:10" x14ac:dyDescent="0.3">
      <c r="J66271"/>
    </row>
    <row r="66272" spans="10:10" x14ac:dyDescent="0.3">
      <c r="J66272"/>
    </row>
    <row r="66273" spans="10:10" x14ac:dyDescent="0.3">
      <c r="J66273"/>
    </row>
    <row r="66274" spans="10:10" x14ac:dyDescent="0.3">
      <c r="J66274"/>
    </row>
    <row r="66275" spans="10:10" x14ac:dyDescent="0.3">
      <c r="J66275"/>
    </row>
    <row r="66276" spans="10:10" x14ac:dyDescent="0.3">
      <c r="J66276"/>
    </row>
    <row r="66277" spans="10:10" x14ac:dyDescent="0.3">
      <c r="J66277"/>
    </row>
    <row r="66278" spans="10:10" x14ac:dyDescent="0.3">
      <c r="J66278"/>
    </row>
    <row r="66279" spans="10:10" x14ac:dyDescent="0.3">
      <c r="J66279"/>
    </row>
    <row r="66280" spans="10:10" x14ac:dyDescent="0.3">
      <c r="J66280"/>
    </row>
    <row r="66281" spans="10:10" x14ac:dyDescent="0.3">
      <c r="J66281"/>
    </row>
    <row r="66282" spans="10:10" x14ac:dyDescent="0.3">
      <c r="J66282"/>
    </row>
    <row r="66283" spans="10:10" x14ac:dyDescent="0.3">
      <c r="J66283"/>
    </row>
    <row r="66284" spans="10:10" x14ac:dyDescent="0.3">
      <c r="J66284"/>
    </row>
    <row r="66285" spans="10:10" x14ac:dyDescent="0.3">
      <c r="J66285"/>
    </row>
    <row r="66286" spans="10:10" x14ac:dyDescent="0.3">
      <c r="J66286"/>
    </row>
    <row r="66287" spans="10:10" x14ac:dyDescent="0.3">
      <c r="J66287"/>
    </row>
    <row r="66288" spans="10:10" x14ac:dyDescent="0.3">
      <c r="J66288"/>
    </row>
    <row r="66289" spans="10:10" x14ac:dyDescent="0.3">
      <c r="J66289"/>
    </row>
    <row r="66290" spans="10:10" x14ac:dyDescent="0.3">
      <c r="J66290"/>
    </row>
    <row r="66291" spans="10:10" x14ac:dyDescent="0.3">
      <c r="J66291"/>
    </row>
    <row r="66292" spans="10:10" x14ac:dyDescent="0.3">
      <c r="J66292"/>
    </row>
    <row r="66293" spans="10:10" x14ac:dyDescent="0.3">
      <c r="J66293"/>
    </row>
    <row r="66294" spans="10:10" x14ac:dyDescent="0.3">
      <c r="J66294"/>
    </row>
    <row r="66295" spans="10:10" x14ac:dyDescent="0.3">
      <c r="J66295"/>
    </row>
    <row r="66296" spans="10:10" x14ac:dyDescent="0.3">
      <c r="J66296"/>
    </row>
    <row r="66297" spans="10:10" x14ac:dyDescent="0.3">
      <c r="J66297"/>
    </row>
    <row r="66298" spans="10:10" x14ac:dyDescent="0.3">
      <c r="J66298"/>
    </row>
    <row r="66299" spans="10:10" x14ac:dyDescent="0.3">
      <c r="J66299"/>
    </row>
    <row r="66300" spans="10:10" x14ac:dyDescent="0.3">
      <c r="J66300"/>
    </row>
    <row r="66301" spans="10:10" x14ac:dyDescent="0.3">
      <c r="J66301"/>
    </row>
    <row r="66302" spans="10:10" x14ac:dyDescent="0.3">
      <c r="J66302"/>
    </row>
    <row r="66303" spans="10:10" x14ac:dyDescent="0.3">
      <c r="J66303"/>
    </row>
    <row r="66304" spans="10:10" x14ac:dyDescent="0.3">
      <c r="J66304"/>
    </row>
    <row r="66305" spans="10:10" x14ac:dyDescent="0.3">
      <c r="J66305"/>
    </row>
    <row r="66306" spans="10:10" x14ac:dyDescent="0.3">
      <c r="J66306"/>
    </row>
    <row r="66307" spans="10:10" x14ac:dyDescent="0.3">
      <c r="J66307"/>
    </row>
    <row r="66308" spans="10:10" x14ac:dyDescent="0.3">
      <c r="J66308"/>
    </row>
    <row r="66309" spans="10:10" x14ac:dyDescent="0.3">
      <c r="J66309"/>
    </row>
    <row r="66310" spans="10:10" x14ac:dyDescent="0.3">
      <c r="J66310"/>
    </row>
    <row r="66311" spans="10:10" x14ac:dyDescent="0.3">
      <c r="J66311"/>
    </row>
    <row r="66312" spans="10:10" x14ac:dyDescent="0.3">
      <c r="J66312"/>
    </row>
    <row r="66313" spans="10:10" x14ac:dyDescent="0.3">
      <c r="J66313"/>
    </row>
    <row r="66314" spans="10:10" x14ac:dyDescent="0.3">
      <c r="J66314"/>
    </row>
    <row r="66315" spans="10:10" x14ac:dyDescent="0.3">
      <c r="J66315"/>
    </row>
    <row r="66316" spans="10:10" x14ac:dyDescent="0.3">
      <c r="J66316"/>
    </row>
    <row r="66317" spans="10:10" x14ac:dyDescent="0.3">
      <c r="J66317"/>
    </row>
    <row r="66318" spans="10:10" x14ac:dyDescent="0.3">
      <c r="J66318"/>
    </row>
    <row r="66319" spans="10:10" x14ac:dyDescent="0.3">
      <c r="J66319"/>
    </row>
    <row r="66320" spans="10:10" x14ac:dyDescent="0.3">
      <c r="J66320"/>
    </row>
    <row r="66321" spans="10:10" x14ac:dyDescent="0.3">
      <c r="J66321"/>
    </row>
    <row r="66322" spans="10:10" x14ac:dyDescent="0.3">
      <c r="J66322"/>
    </row>
    <row r="66323" spans="10:10" x14ac:dyDescent="0.3">
      <c r="J66323"/>
    </row>
    <row r="66324" spans="10:10" x14ac:dyDescent="0.3">
      <c r="J66324"/>
    </row>
    <row r="66325" spans="10:10" x14ac:dyDescent="0.3">
      <c r="J66325"/>
    </row>
    <row r="66326" spans="10:10" x14ac:dyDescent="0.3">
      <c r="J66326"/>
    </row>
    <row r="66327" spans="10:10" x14ac:dyDescent="0.3">
      <c r="J66327"/>
    </row>
    <row r="66328" spans="10:10" x14ac:dyDescent="0.3">
      <c r="J66328"/>
    </row>
    <row r="66329" spans="10:10" x14ac:dyDescent="0.3">
      <c r="J66329"/>
    </row>
    <row r="66330" spans="10:10" x14ac:dyDescent="0.3">
      <c r="J66330"/>
    </row>
    <row r="66331" spans="10:10" x14ac:dyDescent="0.3">
      <c r="J66331"/>
    </row>
    <row r="66332" spans="10:10" x14ac:dyDescent="0.3">
      <c r="J66332"/>
    </row>
    <row r="66333" spans="10:10" x14ac:dyDescent="0.3">
      <c r="J66333"/>
    </row>
    <row r="66334" spans="10:10" x14ac:dyDescent="0.3">
      <c r="J66334"/>
    </row>
    <row r="66335" spans="10:10" x14ac:dyDescent="0.3">
      <c r="J66335"/>
    </row>
    <row r="66336" spans="10:10" x14ac:dyDescent="0.3">
      <c r="J66336"/>
    </row>
    <row r="66337" spans="10:10" x14ac:dyDescent="0.3">
      <c r="J66337"/>
    </row>
    <row r="66338" spans="10:10" x14ac:dyDescent="0.3">
      <c r="J66338"/>
    </row>
    <row r="66339" spans="10:10" x14ac:dyDescent="0.3">
      <c r="J66339"/>
    </row>
    <row r="66340" spans="10:10" x14ac:dyDescent="0.3">
      <c r="J66340"/>
    </row>
    <row r="66341" spans="10:10" x14ac:dyDescent="0.3">
      <c r="J66341"/>
    </row>
    <row r="66342" spans="10:10" x14ac:dyDescent="0.3">
      <c r="J66342"/>
    </row>
    <row r="66343" spans="10:10" x14ac:dyDescent="0.3">
      <c r="J66343"/>
    </row>
    <row r="66344" spans="10:10" x14ac:dyDescent="0.3">
      <c r="J66344"/>
    </row>
    <row r="66345" spans="10:10" x14ac:dyDescent="0.3">
      <c r="J66345"/>
    </row>
    <row r="66346" spans="10:10" x14ac:dyDescent="0.3">
      <c r="J66346"/>
    </row>
    <row r="66347" spans="10:10" x14ac:dyDescent="0.3">
      <c r="J66347"/>
    </row>
    <row r="66348" spans="10:10" x14ac:dyDescent="0.3">
      <c r="J66348"/>
    </row>
    <row r="66349" spans="10:10" x14ac:dyDescent="0.3">
      <c r="J66349"/>
    </row>
    <row r="66350" spans="10:10" x14ac:dyDescent="0.3">
      <c r="J66350"/>
    </row>
    <row r="66351" spans="10:10" x14ac:dyDescent="0.3">
      <c r="J66351"/>
    </row>
    <row r="66352" spans="10:10" x14ac:dyDescent="0.3">
      <c r="J66352"/>
    </row>
    <row r="66353" spans="10:10" x14ac:dyDescent="0.3">
      <c r="J66353"/>
    </row>
    <row r="66354" spans="10:10" x14ac:dyDescent="0.3">
      <c r="J66354"/>
    </row>
    <row r="66355" spans="10:10" x14ac:dyDescent="0.3">
      <c r="J66355"/>
    </row>
    <row r="66356" spans="10:10" x14ac:dyDescent="0.3">
      <c r="J66356"/>
    </row>
    <row r="66357" spans="10:10" x14ac:dyDescent="0.3">
      <c r="J66357"/>
    </row>
    <row r="66358" spans="10:10" x14ac:dyDescent="0.3">
      <c r="J66358"/>
    </row>
    <row r="66359" spans="10:10" x14ac:dyDescent="0.3">
      <c r="J66359"/>
    </row>
    <row r="66360" spans="10:10" x14ac:dyDescent="0.3">
      <c r="J66360"/>
    </row>
    <row r="66361" spans="10:10" x14ac:dyDescent="0.3">
      <c r="J66361"/>
    </row>
    <row r="66362" spans="10:10" x14ac:dyDescent="0.3">
      <c r="J66362"/>
    </row>
    <row r="66363" spans="10:10" x14ac:dyDescent="0.3">
      <c r="J66363"/>
    </row>
    <row r="66364" spans="10:10" x14ac:dyDescent="0.3">
      <c r="J66364"/>
    </row>
    <row r="66365" spans="10:10" x14ac:dyDescent="0.3">
      <c r="J66365"/>
    </row>
    <row r="66366" spans="10:10" x14ac:dyDescent="0.3">
      <c r="J66366"/>
    </row>
    <row r="66367" spans="10:10" x14ac:dyDescent="0.3">
      <c r="J66367"/>
    </row>
    <row r="66368" spans="10:10" x14ac:dyDescent="0.3">
      <c r="J66368"/>
    </row>
    <row r="66369" spans="10:10" x14ac:dyDescent="0.3">
      <c r="J66369"/>
    </row>
    <row r="66370" spans="10:10" x14ac:dyDescent="0.3">
      <c r="J66370"/>
    </row>
    <row r="66371" spans="10:10" x14ac:dyDescent="0.3">
      <c r="J66371"/>
    </row>
    <row r="66372" spans="10:10" x14ac:dyDescent="0.3">
      <c r="J66372"/>
    </row>
    <row r="66373" spans="10:10" x14ac:dyDescent="0.3">
      <c r="J66373"/>
    </row>
    <row r="66374" spans="10:10" x14ac:dyDescent="0.3">
      <c r="J66374"/>
    </row>
    <row r="66375" spans="10:10" x14ac:dyDescent="0.3">
      <c r="J66375"/>
    </row>
    <row r="66376" spans="10:10" x14ac:dyDescent="0.3">
      <c r="J66376"/>
    </row>
    <row r="66377" spans="10:10" x14ac:dyDescent="0.3">
      <c r="J66377"/>
    </row>
    <row r="66378" spans="10:10" x14ac:dyDescent="0.3">
      <c r="J66378"/>
    </row>
    <row r="66379" spans="10:10" x14ac:dyDescent="0.3">
      <c r="J66379"/>
    </row>
    <row r="66380" spans="10:10" x14ac:dyDescent="0.3">
      <c r="J66380"/>
    </row>
    <row r="66381" spans="10:10" x14ac:dyDescent="0.3">
      <c r="J66381"/>
    </row>
    <row r="66382" spans="10:10" x14ac:dyDescent="0.3">
      <c r="J66382"/>
    </row>
    <row r="66383" spans="10:10" x14ac:dyDescent="0.3">
      <c r="J66383"/>
    </row>
    <row r="66384" spans="10:10" x14ac:dyDescent="0.3">
      <c r="J66384"/>
    </row>
    <row r="66385" spans="10:10" x14ac:dyDescent="0.3">
      <c r="J66385"/>
    </row>
    <row r="66386" spans="10:10" x14ac:dyDescent="0.3">
      <c r="J66386"/>
    </row>
    <row r="66387" spans="10:10" x14ac:dyDescent="0.3">
      <c r="J66387"/>
    </row>
    <row r="66388" spans="10:10" x14ac:dyDescent="0.3">
      <c r="J66388"/>
    </row>
    <row r="66389" spans="10:10" x14ac:dyDescent="0.3">
      <c r="J66389"/>
    </row>
    <row r="66390" spans="10:10" x14ac:dyDescent="0.3">
      <c r="J66390"/>
    </row>
    <row r="66391" spans="10:10" x14ac:dyDescent="0.3">
      <c r="J66391"/>
    </row>
    <row r="66392" spans="10:10" x14ac:dyDescent="0.3">
      <c r="J66392"/>
    </row>
    <row r="66393" spans="10:10" x14ac:dyDescent="0.3">
      <c r="J66393"/>
    </row>
    <row r="66394" spans="10:10" x14ac:dyDescent="0.3">
      <c r="J66394"/>
    </row>
    <row r="66395" spans="10:10" x14ac:dyDescent="0.3">
      <c r="J66395"/>
    </row>
    <row r="66396" spans="10:10" x14ac:dyDescent="0.3">
      <c r="J66396"/>
    </row>
    <row r="66397" spans="10:10" x14ac:dyDescent="0.3">
      <c r="J66397"/>
    </row>
    <row r="66398" spans="10:10" x14ac:dyDescent="0.3">
      <c r="J66398"/>
    </row>
    <row r="66399" spans="10:10" x14ac:dyDescent="0.3">
      <c r="J66399"/>
    </row>
    <row r="66400" spans="10:10" x14ac:dyDescent="0.3">
      <c r="J66400"/>
    </row>
    <row r="66401" spans="10:10" x14ac:dyDescent="0.3">
      <c r="J66401"/>
    </row>
    <row r="66402" spans="10:10" x14ac:dyDescent="0.3">
      <c r="J66402"/>
    </row>
    <row r="66403" spans="10:10" x14ac:dyDescent="0.3">
      <c r="J66403"/>
    </row>
    <row r="66404" spans="10:10" x14ac:dyDescent="0.3">
      <c r="J66404"/>
    </row>
    <row r="66405" spans="10:10" x14ac:dyDescent="0.3">
      <c r="J66405"/>
    </row>
    <row r="66406" spans="10:10" x14ac:dyDescent="0.3">
      <c r="J66406"/>
    </row>
    <row r="66407" spans="10:10" x14ac:dyDescent="0.3">
      <c r="J66407"/>
    </row>
    <row r="66408" spans="10:10" x14ac:dyDescent="0.3">
      <c r="J66408"/>
    </row>
    <row r="66409" spans="10:10" x14ac:dyDescent="0.3">
      <c r="J66409"/>
    </row>
    <row r="66410" spans="10:10" x14ac:dyDescent="0.3">
      <c r="J66410"/>
    </row>
    <row r="66411" spans="10:10" x14ac:dyDescent="0.3">
      <c r="J66411"/>
    </row>
    <row r="66412" spans="10:10" x14ac:dyDescent="0.3">
      <c r="J66412"/>
    </row>
    <row r="66413" spans="10:10" x14ac:dyDescent="0.3">
      <c r="J66413"/>
    </row>
    <row r="66414" spans="10:10" x14ac:dyDescent="0.3">
      <c r="J66414"/>
    </row>
    <row r="66415" spans="10:10" x14ac:dyDescent="0.3">
      <c r="J66415"/>
    </row>
    <row r="66416" spans="10:10" x14ac:dyDescent="0.3">
      <c r="J66416"/>
    </row>
    <row r="66417" spans="10:10" x14ac:dyDescent="0.3">
      <c r="J66417"/>
    </row>
    <row r="66418" spans="10:10" x14ac:dyDescent="0.3">
      <c r="J66418"/>
    </row>
    <row r="66419" spans="10:10" x14ac:dyDescent="0.3">
      <c r="J66419"/>
    </row>
    <row r="66420" spans="10:10" x14ac:dyDescent="0.3">
      <c r="J66420"/>
    </row>
    <row r="66421" spans="10:10" x14ac:dyDescent="0.3">
      <c r="J66421"/>
    </row>
    <row r="66422" spans="10:10" x14ac:dyDescent="0.3">
      <c r="J66422"/>
    </row>
    <row r="66423" spans="10:10" x14ac:dyDescent="0.3">
      <c r="J66423"/>
    </row>
    <row r="66424" spans="10:10" x14ac:dyDescent="0.3">
      <c r="J66424"/>
    </row>
    <row r="66425" spans="10:10" x14ac:dyDescent="0.3">
      <c r="J66425"/>
    </row>
    <row r="66426" spans="10:10" x14ac:dyDescent="0.3">
      <c r="J66426"/>
    </row>
    <row r="66427" spans="10:10" x14ac:dyDescent="0.3">
      <c r="J66427"/>
    </row>
    <row r="66428" spans="10:10" x14ac:dyDescent="0.3">
      <c r="J66428"/>
    </row>
    <row r="66429" spans="10:10" x14ac:dyDescent="0.3">
      <c r="J66429"/>
    </row>
    <row r="66430" spans="10:10" x14ac:dyDescent="0.3">
      <c r="J66430"/>
    </row>
    <row r="66431" spans="10:10" x14ac:dyDescent="0.3">
      <c r="J66431"/>
    </row>
    <row r="66432" spans="10:10" x14ac:dyDescent="0.3">
      <c r="J66432"/>
    </row>
    <row r="66433" spans="10:10" x14ac:dyDescent="0.3">
      <c r="J66433"/>
    </row>
    <row r="66434" spans="10:10" x14ac:dyDescent="0.3">
      <c r="J66434"/>
    </row>
    <row r="66435" spans="10:10" x14ac:dyDescent="0.3">
      <c r="J66435"/>
    </row>
    <row r="66436" spans="10:10" x14ac:dyDescent="0.3">
      <c r="J66436"/>
    </row>
    <row r="66437" spans="10:10" x14ac:dyDescent="0.3">
      <c r="J66437"/>
    </row>
    <row r="66438" spans="10:10" x14ac:dyDescent="0.3">
      <c r="J66438"/>
    </row>
    <row r="66439" spans="10:10" x14ac:dyDescent="0.3">
      <c r="J66439"/>
    </row>
    <row r="66440" spans="10:10" x14ac:dyDescent="0.3">
      <c r="J66440"/>
    </row>
    <row r="66441" spans="10:10" x14ac:dyDescent="0.3">
      <c r="J66441"/>
    </row>
    <row r="66442" spans="10:10" x14ac:dyDescent="0.3">
      <c r="J66442"/>
    </row>
    <row r="66443" spans="10:10" x14ac:dyDescent="0.3">
      <c r="J66443"/>
    </row>
    <row r="66444" spans="10:10" x14ac:dyDescent="0.3">
      <c r="J66444"/>
    </row>
    <row r="66445" spans="10:10" x14ac:dyDescent="0.3">
      <c r="J66445"/>
    </row>
    <row r="66446" spans="10:10" x14ac:dyDescent="0.3">
      <c r="J66446"/>
    </row>
    <row r="66447" spans="10:10" x14ac:dyDescent="0.3">
      <c r="J66447"/>
    </row>
    <row r="66448" spans="10:10" x14ac:dyDescent="0.3">
      <c r="J66448"/>
    </row>
    <row r="66449" spans="10:10" x14ac:dyDescent="0.3">
      <c r="J66449"/>
    </row>
    <row r="66450" spans="10:10" x14ac:dyDescent="0.3">
      <c r="J66450"/>
    </row>
    <row r="66451" spans="10:10" x14ac:dyDescent="0.3">
      <c r="J66451"/>
    </row>
    <row r="66452" spans="10:10" x14ac:dyDescent="0.3">
      <c r="J66452"/>
    </row>
    <row r="66453" spans="10:10" x14ac:dyDescent="0.3">
      <c r="J66453"/>
    </row>
    <row r="66454" spans="10:10" x14ac:dyDescent="0.3">
      <c r="J66454"/>
    </row>
    <row r="66455" spans="10:10" x14ac:dyDescent="0.3">
      <c r="J66455"/>
    </row>
    <row r="66456" spans="10:10" x14ac:dyDescent="0.3">
      <c r="J66456"/>
    </row>
    <row r="66457" spans="10:10" x14ac:dyDescent="0.3">
      <c r="J66457"/>
    </row>
    <row r="66458" spans="10:10" x14ac:dyDescent="0.3">
      <c r="J66458"/>
    </row>
    <row r="66459" spans="10:10" x14ac:dyDescent="0.3">
      <c r="J66459"/>
    </row>
    <row r="66460" spans="10:10" x14ac:dyDescent="0.3">
      <c r="J66460"/>
    </row>
    <row r="66461" spans="10:10" x14ac:dyDescent="0.3">
      <c r="J66461"/>
    </row>
    <row r="66462" spans="10:10" x14ac:dyDescent="0.3">
      <c r="J66462"/>
    </row>
    <row r="66463" spans="10:10" x14ac:dyDescent="0.3">
      <c r="J66463"/>
    </row>
    <row r="66464" spans="10:10" x14ac:dyDescent="0.3">
      <c r="J66464"/>
    </row>
    <row r="66465" spans="10:10" x14ac:dyDescent="0.3">
      <c r="J66465"/>
    </row>
    <row r="66466" spans="10:10" x14ac:dyDescent="0.3">
      <c r="J66466"/>
    </row>
    <row r="66467" spans="10:10" x14ac:dyDescent="0.3">
      <c r="J66467"/>
    </row>
    <row r="66468" spans="10:10" x14ac:dyDescent="0.3">
      <c r="J66468"/>
    </row>
    <row r="66469" spans="10:10" x14ac:dyDescent="0.3">
      <c r="J66469"/>
    </row>
    <row r="66470" spans="10:10" x14ac:dyDescent="0.3">
      <c r="J66470"/>
    </row>
    <row r="66471" spans="10:10" x14ac:dyDescent="0.3">
      <c r="J66471"/>
    </row>
    <row r="66472" spans="10:10" x14ac:dyDescent="0.3">
      <c r="J66472"/>
    </row>
    <row r="66473" spans="10:10" x14ac:dyDescent="0.3">
      <c r="J66473"/>
    </row>
    <row r="66474" spans="10:10" x14ac:dyDescent="0.3">
      <c r="J66474"/>
    </row>
    <row r="66475" spans="10:10" x14ac:dyDescent="0.3">
      <c r="J66475"/>
    </row>
    <row r="66476" spans="10:10" x14ac:dyDescent="0.3">
      <c r="J66476"/>
    </row>
    <row r="66477" spans="10:10" x14ac:dyDescent="0.3">
      <c r="J66477"/>
    </row>
    <row r="66478" spans="10:10" x14ac:dyDescent="0.3">
      <c r="J66478"/>
    </row>
    <row r="66479" spans="10:10" x14ac:dyDescent="0.3">
      <c r="J66479"/>
    </row>
    <row r="66480" spans="10:10" x14ac:dyDescent="0.3">
      <c r="J66480"/>
    </row>
    <row r="66481" spans="10:10" x14ac:dyDescent="0.3">
      <c r="J66481"/>
    </row>
    <row r="66482" spans="10:10" x14ac:dyDescent="0.3">
      <c r="J66482"/>
    </row>
    <row r="66483" spans="10:10" x14ac:dyDescent="0.3">
      <c r="J66483"/>
    </row>
    <row r="66484" spans="10:10" x14ac:dyDescent="0.3">
      <c r="J66484"/>
    </row>
    <row r="66485" spans="10:10" x14ac:dyDescent="0.3">
      <c r="J66485"/>
    </row>
    <row r="66486" spans="10:10" x14ac:dyDescent="0.3">
      <c r="J66486"/>
    </row>
    <row r="66487" spans="10:10" x14ac:dyDescent="0.3">
      <c r="J66487"/>
    </row>
    <row r="66488" spans="10:10" x14ac:dyDescent="0.3">
      <c r="J66488"/>
    </row>
    <row r="66489" spans="10:10" x14ac:dyDescent="0.3">
      <c r="J66489"/>
    </row>
    <row r="66490" spans="10:10" x14ac:dyDescent="0.3">
      <c r="J66490"/>
    </row>
    <row r="66491" spans="10:10" x14ac:dyDescent="0.3">
      <c r="J66491"/>
    </row>
    <row r="66492" spans="10:10" x14ac:dyDescent="0.3">
      <c r="J66492"/>
    </row>
    <row r="66493" spans="10:10" x14ac:dyDescent="0.3">
      <c r="J66493"/>
    </row>
    <row r="66494" spans="10:10" x14ac:dyDescent="0.3">
      <c r="J66494"/>
    </row>
    <row r="66495" spans="10:10" x14ac:dyDescent="0.3">
      <c r="J66495"/>
    </row>
    <row r="66496" spans="10:10" x14ac:dyDescent="0.3">
      <c r="J66496"/>
    </row>
    <row r="66497" spans="10:10" x14ac:dyDescent="0.3">
      <c r="J66497"/>
    </row>
    <row r="66498" spans="10:10" x14ac:dyDescent="0.3">
      <c r="J66498"/>
    </row>
    <row r="66499" spans="10:10" x14ac:dyDescent="0.3">
      <c r="J66499"/>
    </row>
    <row r="66500" spans="10:10" x14ac:dyDescent="0.3">
      <c r="J66500"/>
    </row>
    <row r="66501" spans="10:10" x14ac:dyDescent="0.3">
      <c r="J66501"/>
    </row>
    <row r="66502" spans="10:10" x14ac:dyDescent="0.3">
      <c r="J66502"/>
    </row>
    <row r="66503" spans="10:10" x14ac:dyDescent="0.3">
      <c r="J66503"/>
    </row>
    <row r="66504" spans="10:10" x14ac:dyDescent="0.3">
      <c r="J66504"/>
    </row>
    <row r="66505" spans="10:10" x14ac:dyDescent="0.3">
      <c r="J66505"/>
    </row>
    <row r="66506" spans="10:10" x14ac:dyDescent="0.3">
      <c r="J66506"/>
    </row>
    <row r="66507" spans="10:10" x14ac:dyDescent="0.3">
      <c r="J66507"/>
    </row>
    <row r="66508" spans="10:10" x14ac:dyDescent="0.3">
      <c r="J66508"/>
    </row>
    <row r="66509" spans="10:10" x14ac:dyDescent="0.3">
      <c r="J66509"/>
    </row>
    <row r="66510" spans="10:10" x14ac:dyDescent="0.3">
      <c r="J66510"/>
    </row>
    <row r="66511" spans="10:10" x14ac:dyDescent="0.3">
      <c r="J66511"/>
    </row>
    <row r="66512" spans="10:10" x14ac:dyDescent="0.3">
      <c r="J66512"/>
    </row>
    <row r="66513" spans="10:10" x14ac:dyDescent="0.3">
      <c r="J66513"/>
    </row>
    <row r="66514" spans="10:10" x14ac:dyDescent="0.3">
      <c r="J66514"/>
    </row>
    <row r="66515" spans="10:10" x14ac:dyDescent="0.3">
      <c r="J66515"/>
    </row>
    <row r="66516" spans="10:10" x14ac:dyDescent="0.3">
      <c r="J66516"/>
    </row>
    <row r="66517" spans="10:10" x14ac:dyDescent="0.3">
      <c r="J66517"/>
    </row>
    <row r="66518" spans="10:10" x14ac:dyDescent="0.3">
      <c r="J66518"/>
    </row>
    <row r="66519" spans="10:10" x14ac:dyDescent="0.3">
      <c r="J66519"/>
    </row>
    <row r="66520" spans="10:10" x14ac:dyDescent="0.3">
      <c r="J66520"/>
    </row>
    <row r="66521" spans="10:10" x14ac:dyDescent="0.3">
      <c r="J66521"/>
    </row>
    <row r="66522" spans="10:10" x14ac:dyDescent="0.3">
      <c r="J66522"/>
    </row>
    <row r="66523" spans="10:10" x14ac:dyDescent="0.3">
      <c r="J66523"/>
    </row>
    <row r="66524" spans="10:10" x14ac:dyDescent="0.3">
      <c r="J66524"/>
    </row>
    <row r="66525" spans="10:10" x14ac:dyDescent="0.3">
      <c r="J66525"/>
    </row>
    <row r="66526" spans="10:10" x14ac:dyDescent="0.3">
      <c r="J66526"/>
    </row>
    <row r="66527" spans="10:10" x14ac:dyDescent="0.3">
      <c r="J66527"/>
    </row>
    <row r="66528" spans="10:10" x14ac:dyDescent="0.3">
      <c r="J66528"/>
    </row>
    <row r="66529" spans="10:10" x14ac:dyDescent="0.3">
      <c r="J66529"/>
    </row>
    <row r="66530" spans="10:10" x14ac:dyDescent="0.3">
      <c r="J66530"/>
    </row>
    <row r="66531" spans="10:10" x14ac:dyDescent="0.3">
      <c r="J66531"/>
    </row>
    <row r="66532" spans="10:10" x14ac:dyDescent="0.3">
      <c r="J66532"/>
    </row>
    <row r="66533" spans="10:10" x14ac:dyDescent="0.3">
      <c r="J66533"/>
    </row>
    <row r="66534" spans="10:10" x14ac:dyDescent="0.3">
      <c r="J66534"/>
    </row>
    <row r="66535" spans="10:10" x14ac:dyDescent="0.3">
      <c r="J66535"/>
    </row>
    <row r="66536" spans="10:10" x14ac:dyDescent="0.3">
      <c r="J66536"/>
    </row>
    <row r="66537" spans="10:10" x14ac:dyDescent="0.3">
      <c r="J66537"/>
    </row>
    <row r="66538" spans="10:10" x14ac:dyDescent="0.3">
      <c r="J66538"/>
    </row>
    <row r="66539" spans="10:10" x14ac:dyDescent="0.3">
      <c r="J66539"/>
    </row>
    <row r="66540" spans="10:10" x14ac:dyDescent="0.3">
      <c r="J66540"/>
    </row>
    <row r="66541" spans="10:10" x14ac:dyDescent="0.3">
      <c r="J66541"/>
    </row>
    <row r="66542" spans="10:10" x14ac:dyDescent="0.3">
      <c r="J66542"/>
    </row>
    <row r="66543" spans="10:10" x14ac:dyDescent="0.3">
      <c r="J66543"/>
    </row>
    <row r="66544" spans="10:10" x14ac:dyDescent="0.3">
      <c r="J66544"/>
    </row>
    <row r="66545" spans="10:10" x14ac:dyDescent="0.3">
      <c r="J66545"/>
    </row>
    <row r="66546" spans="10:10" x14ac:dyDescent="0.3">
      <c r="J66546"/>
    </row>
    <row r="66547" spans="10:10" x14ac:dyDescent="0.3">
      <c r="J66547"/>
    </row>
    <row r="66548" spans="10:10" x14ac:dyDescent="0.3">
      <c r="J66548"/>
    </row>
    <row r="66549" spans="10:10" x14ac:dyDescent="0.3">
      <c r="J66549"/>
    </row>
    <row r="66550" spans="10:10" x14ac:dyDescent="0.3">
      <c r="J66550"/>
    </row>
    <row r="66551" spans="10:10" x14ac:dyDescent="0.3">
      <c r="J66551"/>
    </row>
    <row r="66552" spans="10:10" x14ac:dyDescent="0.3">
      <c r="J66552"/>
    </row>
    <row r="66553" spans="10:10" x14ac:dyDescent="0.3">
      <c r="J66553"/>
    </row>
    <row r="66554" spans="10:10" x14ac:dyDescent="0.3">
      <c r="J66554"/>
    </row>
    <row r="66555" spans="10:10" x14ac:dyDescent="0.3">
      <c r="J66555"/>
    </row>
    <row r="66556" spans="10:10" x14ac:dyDescent="0.3">
      <c r="J66556"/>
    </row>
    <row r="66557" spans="10:10" x14ac:dyDescent="0.3">
      <c r="J66557"/>
    </row>
    <row r="66558" spans="10:10" x14ac:dyDescent="0.3">
      <c r="J66558"/>
    </row>
    <row r="66559" spans="10:10" x14ac:dyDescent="0.3">
      <c r="J66559"/>
    </row>
    <row r="66560" spans="10:10" x14ac:dyDescent="0.3">
      <c r="J66560"/>
    </row>
    <row r="66561" spans="10:10" x14ac:dyDescent="0.3">
      <c r="J66561"/>
    </row>
    <row r="66562" spans="10:10" x14ac:dyDescent="0.3">
      <c r="J66562"/>
    </row>
    <row r="66563" spans="10:10" x14ac:dyDescent="0.3">
      <c r="J66563"/>
    </row>
    <row r="66564" spans="10:10" x14ac:dyDescent="0.3">
      <c r="J66564"/>
    </row>
    <row r="66565" spans="10:10" x14ac:dyDescent="0.3">
      <c r="J66565"/>
    </row>
    <row r="66566" spans="10:10" x14ac:dyDescent="0.3">
      <c r="J66566"/>
    </row>
    <row r="66567" spans="10:10" x14ac:dyDescent="0.3">
      <c r="J66567"/>
    </row>
    <row r="66568" spans="10:10" x14ac:dyDescent="0.3">
      <c r="J66568"/>
    </row>
    <row r="66569" spans="10:10" x14ac:dyDescent="0.3">
      <c r="J66569"/>
    </row>
    <row r="66570" spans="10:10" x14ac:dyDescent="0.3">
      <c r="J66570"/>
    </row>
    <row r="66571" spans="10:10" x14ac:dyDescent="0.3">
      <c r="J66571"/>
    </row>
    <row r="66572" spans="10:10" x14ac:dyDescent="0.3">
      <c r="J66572"/>
    </row>
    <row r="66573" spans="10:10" x14ac:dyDescent="0.3">
      <c r="J66573"/>
    </row>
    <row r="66574" spans="10:10" x14ac:dyDescent="0.3">
      <c r="J66574"/>
    </row>
    <row r="66575" spans="10:10" x14ac:dyDescent="0.3">
      <c r="J66575"/>
    </row>
    <row r="66576" spans="10:10" x14ac:dyDescent="0.3">
      <c r="J66576"/>
    </row>
    <row r="66577" spans="10:10" x14ac:dyDescent="0.3">
      <c r="J66577"/>
    </row>
    <row r="66578" spans="10:10" x14ac:dyDescent="0.3">
      <c r="J66578"/>
    </row>
    <row r="66579" spans="10:10" x14ac:dyDescent="0.3">
      <c r="J66579"/>
    </row>
    <row r="66580" spans="10:10" x14ac:dyDescent="0.3">
      <c r="J66580"/>
    </row>
    <row r="66581" spans="10:10" x14ac:dyDescent="0.3">
      <c r="J66581"/>
    </row>
    <row r="66582" spans="10:10" x14ac:dyDescent="0.3">
      <c r="J66582"/>
    </row>
    <row r="66583" spans="10:10" x14ac:dyDescent="0.3">
      <c r="J66583"/>
    </row>
    <row r="66584" spans="10:10" x14ac:dyDescent="0.3">
      <c r="J66584"/>
    </row>
    <row r="66585" spans="10:10" x14ac:dyDescent="0.3">
      <c r="J66585"/>
    </row>
    <row r="66586" spans="10:10" x14ac:dyDescent="0.3">
      <c r="J66586"/>
    </row>
    <row r="66587" spans="10:10" x14ac:dyDescent="0.3">
      <c r="J66587"/>
    </row>
    <row r="66588" spans="10:10" x14ac:dyDescent="0.3">
      <c r="J66588"/>
    </row>
    <row r="66589" spans="10:10" x14ac:dyDescent="0.3">
      <c r="J66589"/>
    </row>
    <row r="66590" spans="10:10" x14ac:dyDescent="0.3">
      <c r="J66590"/>
    </row>
    <row r="66591" spans="10:10" x14ac:dyDescent="0.3">
      <c r="J66591"/>
    </row>
    <row r="66592" spans="10:10" x14ac:dyDescent="0.3">
      <c r="J66592"/>
    </row>
    <row r="66593" spans="10:10" x14ac:dyDescent="0.3">
      <c r="J66593"/>
    </row>
    <row r="66594" spans="10:10" x14ac:dyDescent="0.3">
      <c r="J66594"/>
    </row>
    <row r="66595" spans="10:10" x14ac:dyDescent="0.3">
      <c r="J66595"/>
    </row>
    <row r="66596" spans="10:10" x14ac:dyDescent="0.3">
      <c r="J66596"/>
    </row>
    <row r="66597" spans="10:10" x14ac:dyDescent="0.3">
      <c r="J66597"/>
    </row>
    <row r="66598" spans="10:10" x14ac:dyDescent="0.3">
      <c r="J66598"/>
    </row>
    <row r="66599" spans="10:10" x14ac:dyDescent="0.3">
      <c r="J66599"/>
    </row>
    <row r="66600" spans="10:10" x14ac:dyDescent="0.3">
      <c r="J66600"/>
    </row>
    <row r="66601" spans="10:10" x14ac:dyDescent="0.3">
      <c r="J66601"/>
    </row>
    <row r="66602" spans="10:10" x14ac:dyDescent="0.3">
      <c r="J66602"/>
    </row>
    <row r="66603" spans="10:10" x14ac:dyDescent="0.3">
      <c r="J66603"/>
    </row>
    <row r="66604" spans="10:10" x14ac:dyDescent="0.3">
      <c r="J66604"/>
    </row>
    <row r="66605" spans="10:10" x14ac:dyDescent="0.3">
      <c r="J66605"/>
    </row>
    <row r="66606" spans="10:10" x14ac:dyDescent="0.3">
      <c r="J66606"/>
    </row>
    <row r="66607" spans="10:10" x14ac:dyDescent="0.3">
      <c r="J66607"/>
    </row>
    <row r="66608" spans="10:10" x14ac:dyDescent="0.3">
      <c r="J66608"/>
    </row>
    <row r="66609" spans="10:10" x14ac:dyDescent="0.3">
      <c r="J66609"/>
    </row>
    <row r="66610" spans="10:10" x14ac:dyDescent="0.3">
      <c r="J66610"/>
    </row>
    <row r="66611" spans="10:10" x14ac:dyDescent="0.3">
      <c r="J66611"/>
    </row>
    <row r="66612" spans="10:10" x14ac:dyDescent="0.3">
      <c r="J66612"/>
    </row>
    <row r="66613" spans="10:10" x14ac:dyDescent="0.3">
      <c r="J66613"/>
    </row>
    <row r="66614" spans="10:10" x14ac:dyDescent="0.3">
      <c r="J66614"/>
    </row>
    <row r="66615" spans="10:10" x14ac:dyDescent="0.3">
      <c r="J66615"/>
    </row>
    <row r="66616" spans="10:10" x14ac:dyDescent="0.3">
      <c r="J66616"/>
    </row>
    <row r="66617" spans="10:10" x14ac:dyDescent="0.3">
      <c r="J66617"/>
    </row>
    <row r="66618" spans="10:10" x14ac:dyDescent="0.3">
      <c r="J66618"/>
    </row>
    <row r="66619" spans="10:10" x14ac:dyDescent="0.3">
      <c r="J66619"/>
    </row>
    <row r="66620" spans="10:10" x14ac:dyDescent="0.3">
      <c r="J66620"/>
    </row>
    <row r="66621" spans="10:10" x14ac:dyDescent="0.3">
      <c r="J66621"/>
    </row>
    <row r="66622" spans="10:10" x14ac:dyDescent="0.3">
      <c r="J66622"/>
    </row>
    <row r="66623" spans="10:10" x14ac:dyDescent="0.3">
      <c r="J66623"/>
    </row>
    <row r="66624" spans="10:10" x14ac:dyDescent="0.3">
      <c r="J66624"/>
    </row>
    <row r="66625" spans="10:10" x14ac:dyDescent="0.3">
      <c r="J66625"/>
    </row>
    <row r="66626" spans="10:10" x14ac:dyDescent="0.3">
      <c r="J66626"/>
    </row>
    <row r="66627" spans="10:10" x14ac:dyDescent="0.3">
      <c r="J66627"/>
    </row>
    <row r="66628" spans="10:10" x14ac:dyDescent="0.3">
      <c r="J66628"/>
    </row>
    <row r="66629" spans="10:10" x14ac:dyDescent="0.3">
      <c r="J66629"/>
    </row>
    <row r="66630" spans="10:10" x14ac:dyDescent="0.3">
      <c r="J66630"/>
    </row>
    <row r="66631" spans="10:10" x14ac:dyDescent="0.3">
      <c r="J66631"/>
    </row>
    <row r="66632" spans="10:10" x14ac:dyDescent="0.3">
      <c r="J66632"/>
    </row>
    <row r="66633" spans="10:10" x14ac:dyDescent="0.3">
      <c r="J66633"/>
    </row>
    <row r="66634" spans="10:10" x14ac:dyDescent="0.3">
      <c r="J66634"/>
    </row>
    <row r="66635" spans="10:10" x14ac:dyDescent="0.3">
      <c r="J66635"/>
    </row>
    <row r="66636" spans="10:10" x14ac:dyDescent="0.3">
      <c r="J66636"/>
    </row>
    <row r="66637" spans="10:10" x14ac:dyDescent="0.3">
      <c r="J66637"/>
    </row>
    <row r="66638" spans="10:10" x14ac:dyDescent="0.3">
      <c r="J66638"/>
    </row>
    <row r="66639" spans="10:10" x14ac:dyDescent="0.3">
      <c r="J66639"/>
    </row>
    <row r="66640" spans="10:10" x14ac:dyDescent="0.3">
      <c r="J66640"/>
    </row>
    <row r="66641" spans="10:10" x14ac:dyDescent="0.3">
      <c r="J66641"/>
    </row>
    <row r="66642" spans="10:10" x14ac:dyDescent="0.3">
      <c r="J66642"/>
    </row>
    <row r="66643" spans="10:10" x14ac:dyDescent="0.3">
      <c r="J66643"/>
    </row>
    <row r="66644" spans="10:10" x14ac:dyDescent="0.3">
      <c r="J66644"/>
    </row>
    <row r="66645" spans="10:10" x14ac:dyDescent="0.3">
      <c r="J66645"/>
    </row>
    <row r="66646" spans="10:10" x14ac:dyDescent="0.3">
      <c r="J66646"/>
    </row>
    <row r="66647" spans="10:10" x14ac:dyDescent="0.3">
      <c r="J66647"/>
    </row>
    <row r="66648" spans="10:10" x14ac:dyDescent="0.3">
      <c r="J66648"/>
    </row>
    <row r="66649" spans="10:10" x14ac:dyDescent="0.3">
      <c r="J66649"/>
    </row>
    <row r="66650" spans="10:10" x14ac:dyDescent="0.3">
      <c r="J66650"/>
    </row>
    <row r="66651" spans="10:10" x14ac:dyDescent="0.3">
      <c r="J66651"/>
    </row>
    <row r="66652" spans="10:10" x14ac:dyDescent="0.3">
      <c r="J66652"/>
    </row>
    <row r="66653" spans="10:10" x14ac:dyDescent="0.3">
      <c r="J66653"/>
    </row>
    <row r="66654" spans="10:10" x14ac:dyDescent="0.3">
      <c r="J66654"/>
    </row>
    <row r="66655" spans="10:10" x14ac:dyDescent="0.3">
      <c r="J66655"/>
    </row>
    <row r="66656" spans="10:10" x14ac:dyDescent="0.3">
      <c r="J66656"/>
    </row>
    <row r="66657" spans="10:10" x14ac:dyDescent="0.3">
      <c r="J66657"/>
    </row>
    <row r="66658" spans="10:10" x14ac:dyDescent="0.3">
      <c r="J66658"/>
    </row>
    <row r="66659" spans="10:10" x14ac:dyDescent="0.3">
      <c r="J66659"/>
    </row>
    <row r="66660" spans="10:10" x14ac:dyDescent="0.3">
      <c r="J66660"/>
    </row>
    <row r="66661" spans="10:10" x14ac:dyDescent="0.3">
      <c r="J66661"/>
    </row>
    <row r="66662" spans="10:10" x14ac:dyDescent="0.3">
      <c r="J66662"/>
    </row>
    <row r="66663" spans="10:10" x14ac:dyDescent="0.3">
      <c r="J66663"/>
    </row>
    <row r="66664" spans="10:10" x14ac:dyDescent="0.3">
      <c r="J66664"/>
    </row>
    <row r="66665" spans="10:10" x14ac:dyDescent="0.3">
      <c r="J66665"/>
    </row>
    <row r="66666" spans="10:10" x14ac:dyDescent="0.3">
      <c r="J66666"/>
    </row>
    <row r="66667" spans="10:10" x14ac:dyDescent="0.3">
      <c r="J66667"/>
    </row>
    <row r="66668" spans="10:10" x14ac:dyDescent="0.3">
      <c r="J66668"/>
    </row>
    <row r="66669" spans="10:10" x14ac:dyDescent="0.3">
      <c r="J66669"/>
    </row>
    <row r="66670" spans="10:10" x14ac:dyDescent="0.3">
      <c r="J66670"/>
    </row>
    <row r="66671" spans="10:10" x14ac:dyDescent="0.3">
      <c r="J66671"/>
    </row>
    <row r="66672" spans="10:10" x14ac:dyDescent="0.3">
      <c r="J66672"/>
    </row>
    <row r="66673" spans="10:10" x14ac:dyDescent="0.3">
      <c r="J66673"/>
    </row>
    <row r="66674" spans="10:10" x14ac:dyDescent="0.3">
      <c r="J66674"/>
    </row>
    <row r="66675" spans="10:10" x14ac:dyDescent="0.3">
      <c r="J66675"/>
    </row>
    <row r="66676" spans="10:10" x14ac:dyDescent="0.3">
      <c r="J66676"/>
    </row>
    <row r="66677" spans="10:10" x14ac:dyDescent="0.3">
      <c r="J66677"/>
    </row>
    <row r="66678" spans="10:10" x14ac:dyDescent="0.3">
      <c r="J66678"/>
    </row>
    <row r="66679" spans="10:10" x14ac:dyDescent="0.3">
      <c r="J66679"/>
    </row>
    <row r="66680" spans="10:10" x14ac:dyDescent="0.3">
      <c r="J66680"/>
    </row>
    <row r="66681" spans="10:10" x14ac:dyDescent="0.3">
      <c r="J66681"/>
    </row>
    <row r="66682" spans="10:10" x14ac:dyDescent="0.3">
      <c r="J66682"/>
    </row>
    <row r="66683" spans="10:10" x14ac:dyDescent="0.3">
      <c r="J66683"/>
    </row>
    <row r="66684" spans="10:10" x14ac:dyDescent="0.3">
      <c r="J66684"/>
    </row>
    <row r="66685" spans="10:10" x14ac:dyDescent="0.3">
      <c r="J66685"/>
    </row>
    <row r="66686" spans="10:10" x14ac:dyDescent="0.3">
      <c r="J66686"/>
    </row>
    <row r="66687" spans="10:10" x14ac:dyDescent="0.3">
      <c r="J66687"/>
    </row>
    <row r="66688" spans="10:10" x14ac:dyDescent="0.3">
      <c r="J66688"/>
    </row>
    <row r="66689" spans="10:10" x14ac:dyDescent="0.3">
      <c r="J66689"/>
    </row>
    <row r="66690" spans="10:10" x14ac:dyDescent="0.3">
      <c r="J66690"/>
    </row>
    <row r="66691" spans="10:10" x14ac:dyDescent="0.3">
      <c r="J66691"/>
    </row>
    <row r="66692" spans="10:10" x14ac:dyDescent="0.3">
      <c r="J66692"/>
    </row>
    <row r="66693" spans="10:10" x14ac:dyDescent="0.3">
      <c r="J66693"/>
    </row>
    <row r="66694" spans="10:10" x14ac:dyDescent="0.3">
      <c r="J66694"/>
    </row>
    <row r="66695" spans="10:10" x14ac:dyDescent="0.3">
      <c r="J66695"/>
    </row>
    <row r="66696" spans="10:10" x14ac:dyDescent="0.3">
      <c r="J66696"/>
    </row>
    <row r="66697" spans="10:10" x14ac:dyDescent="0.3">
      <c r="J66697"/>
    </row>
    <row r="66698" spans="10:10" x14ac:dyDescent="0.3">
      <c r="J66698"/>
    </row>
    <row r="66699" spans="10:10" x14ac:dyDescent="0.3">
      <c r="J66699"/>
    </row>
    <row r="66700" spans="10:10" x14ac:dyDescent="0.3">
      <c r="J66700"/>
    </row>
    <row r="66701" spans="10:10" x14ac:dyDescent="0.3">
      <c r="J66701"/>
    </row>
    <row r="66702" spans="10:10" x14ac:dyDescent="0.3">
      <c r="J66702"/>
    </row>
    <row r="66703" spans="10:10" x14ac:dyDescent="0.3">
      <c r="J66703"/>
    </row>
    <row r="66704" spans="10:10" x14ac:dyDescent="0.3">
      <c r="J66704"/>
    </row>
    <row r="66705" spans="10:10" x14ac:dyDescent="0.3">
      <c r="J66705"/>
    </row>
    <row r="66706" spans="10:10" x14ac:dyDescent="0.3">
      <c r="J66706"/>
    </row>
    <row r="66707" spans="10:10" x14ac:dyDescent="0.3">
      <c r="J66707"/>
    </row>
    <row r="66708" spans="10:10" x14ac:dyDescent="0.3">
      <c r="J66708"/>
    </row>
    <row r="66709" spans="10:10" x14ac:dyDescent="0.3">
      <c r="J66709"/>
    </row>
    <row r="66710" spans="10:10" x14ac:dyDescent="0.3">
      <c r="J66710"/>
    </row>
    <row r="66711" spans="10:10" x14ac:dyDescent="0.3">
      <c r="J66711"/>
    </row>
    <row r="66712" spans="10:10" x14ac:dyDescent="0.3">
      <c r="J66712"/>
    </row>
    <row r="66713" spans="10:10" x14ac:dyDescent="0.3">
      <c r="J66713"/>
    </row>
    <row r="66714" spans="10:10" x14ac:dyDescent="0.3">
      <c r="J66714"/>
    </row>
    <row r="66715" spans="10:10" x14ac:dyDescent="0.3">
      <c r="J66715"/>
    </row>
    <row r="66716" spans="10:10" x14ac:dyDescent="0.3">
      <c r="J66716"/>
    </row>
    <row r="66717" spans="10:10" x14ac:dyDescent="0.3">
      <c r="J66717"/>
    </row>
    <row r="66718" spans="10:10" x14ac:dyDescent="0.3">
      <c r="J66718"/>
    </row>
    <row r="66719" spans="10:10" x14ac:dyDescent="0.3">
      <c r="J66719"/>
    </row>
    <row r="66720" spans="10:10" x14ac:dyDescent="0.3">
      <c r="J66720"/>
    </row>
    <row r="66721" spans="10:10" x14ac:dyDescent="0.3">
      <c r="J66721"/>
    </row>
    <row r="66722" spans="10:10" x14ac:dyDescent="0.3">
      <c r="J66722"/>
    </row>
    <row r="66723" spans="10:10" x14ac:dyDescent="0.3">
      <c r="J66723"/>
    </row>
    <row r="66724" spans="10:10" x14ac:dyDescent="0.3">
      <c r="J66724"/>
    </row>
    <row r="66725" spans="10:10" x14ac:dyDescent="0.3">
      <c r="J66725"/>
    </row>
    <row r="66726" spans="10:10" x14ac:dyDescent="0.3">
      <c r="J66726"/>
    </row>
    <row r="66727" spans="10:10" x14ac:dyDescent="0.3">
      <c r="J66727"/>
    </row>
    <row r="66728" spans="10:10" x14ac:dyDescent="0.3">
      <c r="J66728"/>
    </row>
    <row r="66729" spans="10:10" x14ac:dyDescent="0.3">
      <c r="J66729"/>
    </row>
    <row r="66730" spans="10:10" x14ac:dyDescent="0.3">
      <c r="J66730"/>
    </row>
    <row r="66731" spans="10:10" x14ac:dyDescent="0.3">
      <c r="J66731"/>
    </row>
    <row r="66732" spans="10:10" x14ac:dyDescent="0.3">
      <c r="J66732"/>
    </row>
    <row r="66733" spans="10:10" x14ac:dyDescent="0.3">
      <c r="J66733"/>
    </row>
    <row r="66734" spans="10:10" x14ac:dyDescent="0.3">
      <c r="J66734"/>
    </row>
    <row r="66735" spans="10:10" x14ac:dyDescent="0.3">
      <c r="J66735"/>
    </row>
    <row r="66736" spans="10:10" x14ac:dyDescent="0.3">
      <c r="J66736"/>
    </row>
    <row r="66737" spans="10:10" x14ac:dyDescent="0.3">
      <c r="J66737"/>
    </row>
    <row r="66738" spans="10:10" x14ac:dyDescent="0.3">
      <c r="J66738"/>
    </row>
    <row r="66739" spans="10:10" x14ac:dyDescent="0.3">
      <c r="J66739"/>
    </row>
    <row r="66740" spans="10:10" x14ac:dyDescent="0.3">
      <c r="J66740"/>
    </row>
    <row r="66741" spans="10:10" x14ac:dyDescent="0.3">
      <c r="J66741"/>
    </row>
    <row r="66742" spans="10:10" x14ac:dyDescent="0.3">
      <c r="J66742"/>
    </row>
    <row r="66743" spans="10:10" x14ac:dyDescent="0.3">
      <c r="J66743"/>
    </row>
    <row r="66744" spans="10:10" x14ac:dyDescent="0.3">
      <c r="J66744"/>
    </row>
    <row r="66745" spans="10:10" x14ac:dyDescent="0.3">
      <c r="J66745"/>
    </row>
    <row r="66746" spans="10:10" x14ac:dyDescent="0.3">
      <c r="J66746"/>
    </row>
    <row r="66747" spans="10:10" x14ac:dyDescent="0.3">
      <c r="J66747"/>
    </row>
    <row r="66748" spans="10:10" x14ac:dyDescent="0.3">
      <c r="J66748"/>
    </row>
    <row r="66749" spans="10:10" x14ac:dyDescent="0.3">
      <c r="J66749"/>
    </row>
    <row r="66750" spans="10:10" x14ac:dyDescent="0.3">
      <c r="J66750"/>
    </row>
    <row r="66751" spans="10:10" x14ac:dyDescent="0.3">
      <c r="J66751"/>
    </row>
    <row r="66752" spans="10:10" x14ac:dyDescent="0.3">
      <c r="J66752"/>
    </row>
    <row r="66753" spans="10:10" x14ac:dyDescent="0.3">
      <c r="J66753"/>
    </row>
    <row r="66754" spans="10:10" x14ac:dyDescent="0.3">
      <c r="J66754"/>
    </row>
    <row r="66755" spans="10:10" x14ac:dyDescent="0.3">
      <c r="J66755"/>
    </row>
    <row r="66756" spans="10:10" x14ac:dyDescent="0.3">
      <c r="J66756"/>
    </row>
    <row r="66757" spans="10:10" x14ac:dyDescent="0.3">
      <c r="J66757"/>
    </row>
    <row r="66758" spans="10:10" x14ac:dyDescent="0.3">
      <c r="J66758"/>
    </row>
    <row r="66759" spans="10:10" x14ac:dyDescent="0.3">
      <c r="J66759"/>
    </row>
    <row r="66760" spans="10:10" x14ac:dyDescent="0.3">
      <c r="J66760"/>
    </row>
    <row r="66761" spans="10:10" x14ac:dyDescent="0.3">
      <c r="J66761"/>
    </row>
    <row r="66762" spans="10:10" x14ac:dyDescent="0.3">
      <c r="J66762"/>
    </row>
    <row r="66763" spans="10:10" x14ac:dyDescent="0.3">
      <c r="J66763"/>
    </row>
    <row r="66764" spans="10:10" x14ac:dyDescent="0.3">
      <c r="J66764"/>
    </row>
    <row r="66765" spans="10:10" x14ac:dyDescent="0.3">
      <c r="J66765"/>
    </row>
    <row r="66766" spans="10:10" x14ac:dyDescent="0.3">
      <c r="J66766"/>
    </row>
    <row r="66767" spans="10:10" x14ac:dyDescent="0.3">
      <c r="J66767"/>
    </row>
    <row r="66768" spans="10:10" x14ac:dyDescent="0.3">
      <c r="J66768"/>
    </row>
    <row r="66769" spans="10:10" x14ac:dyDescent="0.3">
      <c r="J66769"/>
    </row>
    <row r="66770" spans="10:10" x14ac:dyDescent="0.3">
      <c r="J66770"/>
    </row>
    <row r="66771" spans="10:10" x14ac:dyDescent="0.3">
      <c r="J66771"/>
    </row>
    <row r="66772" spans="10:10" x14ac:dyDescent="0.3">
      <c r="J66772"/>
    </row>
    <row r="66773" spans="10:10" x14ac:dyDescent="0.3">
      <c r="J66773"/>
    </row>
    <row r="66774" spans="10:10" x14ac:dyDescent="0.3">
      <c r="J66774"/>
    </row>
    <row r="66775" spans="10:10" x14ac:dyDescent="0.3">
      <c r="J66775"/>
    </row>
    <row r="66776" spans="10:10" x14ac:dyDescent="0.3">
      <c r="J66776"/>
    </row>
    <row r="66777" spans="10:10" x14ac:dyDescent="0.3">
      <c r="J66777"/>
    </row>
    <row r="66778" spans="10:10" x14ac:dyDescent="0.3">
      <c r="J66778"/>
    </row>
    <row r="66779" spans="10:10" x14ac:dyDescent="0.3">
      <c r="J66779"/>
    </row>
    <row r="66780" spans="10:10" x14ac:dyDescent="0.3">
      <c r="J66780"/>
    </row>
    <row r="66781" spans="10:10" x14ac:dyDescent="0.3">
      <c r="J66781"/>
    </row>
    <row r="66782" spans="10:10" x14ac:dyDescent="0.3">
      <c r="J66782"/>
    </row>
    <row r="66783" spans="10:10" x14ac:dyDescent="0.3">
      <c r="J66783"/>
    </row>
    <row r="66784" spans="10:10" x14ac:dyDescent="0.3">
      <c r="J66784"/>
    </row>
    <row r="66785" spans="10:10" x14ac:dyDescent="0.3">
      <c r="J66785"/>
    </row>
    <row r="66786" spans="10:10" x14ac:dyDescent="0.3">
      <c r="J66786"/>
    </row>
    <row r="66787" spans="10:10" x14ac:dyDescent="0.3">
      <c r="J66787"/>
    </row>
    <row r="66788" spans="10:10" x14ac:dyDescent="0.3">
      <c r="J66788"/>
    </row>
    <row r="66789" spans="10:10" x14ac:dyDescent="0.3">
      <c r="J66789"/>
    </row>
    <row r="66790" spans="10:10" x14ac:dyDescent="0.3">
      <c r="J66790"/>
    </row>
    <row r="66791" spans="10:10" x14ac:dyDescent="0.3">
      <c r="J66791"/>
    </row>
    <row r="66792" spans="10:10" x14ac:dyDescent="0.3">
      <c r="J66792"/>
    </row>
    <row r="66793" spans="10:10" x14ac:dyDescent="0.3">
      <c r="J66793"/>
    </row>
    <row r="66794" spans="10:10" x14ac:dyDescent="0.3">
      <c r="J66794"/>
    </row>
    <row r="66795" spans="10:10" x14ac:dyDescent="0.3">
      <c r="J66795"/>
    </row>
    <row r="66796" spans="10:10" x14ac:dyDescent="0.3">
      <c r="J66796"/>
    </row>
    <row r="66797" spans="10:10" x14ac:dyDescent="0.3">
      <c r="J66797"/>
    </row>
    <row r="66798" spans="10:10" x14ac:dyDescent="0.3">
      <c r="J66798"/>
    </row>
    <row r="66799" spans="10:10" x14ac:dyDescent="0.3">
      <c r="J66799"/>
    </row>
    <row r="66800" spans="10:10" x14ac:dyDescent="0.3">
      <c r="J66800"/>
    </row>
    <row r="66801" spans="10:10" x14ac:dyDescent="0.3">
      <c r="J66801"/>
    </row>
    <row r="66802" spans="10:10" x14ac:dyDescent="0.3">
      <c r="J66802"/>
    </row>
    <row r="66803" spans="10:10" x14ac:dyDescent="0.3">
      <c r="J66803"/>
    </row>
    <row r="66804" spans="10:10" x14ac:dyDescent="0.3">
      <c r="J66804"/>
    </row>
    <row r="66805" spans="10:10" x14ac:dyDescent="0.3">
      <c r="J66805"/>
    </row>
    <row r="66806" spans="10:10" x14ac:dyDescent="0.3">
      <c r="J66806"/>
    </row>
    <row r="66807" spans="10:10" x14ac:dyDescent="0.3">
      <c r="J66807"/>
    </row>
    <row r="66808" spans="10:10" x14ac:dyDescent="0.3">
      <c r="J66808"/>
    </row>
    <row r="66809" spans="10:10" x14ac:dyDescent="0.3">
      <c r="J66809"/>
    </row>
    <row r="66810" spans="10:10" x14ac:dyDescent="0.3">
      <c r="J66810"/>
    </row>
    <row r="66811" spans="10:10" x14ac:dyDescent="0.3">
      <c r="J66811"/>
    </row>
    <row r="66812" spans="10:10" x14ac:dyDescent="0.3">
      <c r="J66812"/>
    </row>
    <row r="66813" spans="10:10" x14ac:dyDescent="0.3">
      <c r="J66813"/>
    </row>
    <row r="66814" spans="10:10" x14ac:dyDescent="0.3">
      <c r="J66814"/>
    </row>
    <row r="66815" spans="10:10" x14ac:dyDescent="0.3">
      <c r="J66815"/>
    </row>
    <row r="66816" spans="10:10" x14ac:dyDescent="0.3">
      <c r="J66816"/>
    </row>
    <row r="66817" spans="10:10" x14ac:dyDescent="0.3">
      <c r="J66817"/>
    </row>
    <row r="66818" spans="10:10" x14ac:dyDescent="0.3">
      <c r="J66818"/>
    </row>
    <row r="66819" spans="10:10" x14ac:dyDescent="0.3">
      <c r="J66819"/>
    </row>
    <row r="66820" spans="10:10" x14ac:dyDescent="0.3">
      <c r="J66820"/>
    </row>
    <row r="66821" spans="10:10" x14ac:dyDescent="0.3">
      <c r="J66821"/>
    </row>
    <row r="66822" spans="10:10" x14ac:dyDescent="0.3">
      <c r="J66822"/>
    </row>
    <row r="66823" spans="10:10" x14ac:dyDescent="0.3">
      <c r="J66823"/>
    </row>
    <row r="66824" spans="10:10" x14ac:dyDescent="0.3">
      <c r="J66824"/>
    </row>
    <row r="66825" spans="10:10" x14ac:dyDescent="0.3">
      <c r="J66825"/>
    </row>
    <row r="66826" spans="10:10" x14ac:dyDescent="0.3">
      <c r="J66826"/>
    </row>
    <row r="66827" spans="10:10" x14ac:dyDescent="0.3">
      <c r="J66827"/>
    </row>
    <row r="66828" spans="10:10" x14ac:dyDescent="0.3">
      <c r="J66828"/>
    </row>
    <row r="66829" spans="10:10" x14ac:dyDescent="0.3">
      <c r="J66829"/>
    </row>
    <row r="66830" spans="10:10" x14ac:dyDescent="0.3">
      <c r="J66830"/>
    </row>
    <row r="66831" spans="10:10" x14ac:dyDescent="0.3">
      <c r="J66831"/>
    </row>
    <row r="66832" spans="10:10" x14ac:dyDescent="0.3">
      <c r="J66832"/>
    </row>
    <row r="66833" spans="10:10" x14ac:dyDescent="0.3">
      <c r="J66833"/>
    </row>
    <row r="66834" spans="10:10" x14ac:dyDescent="0.3">
      <c r="J66834"/>
    </row>
    <row r="66835" spans="10:10" x14ac:dyDescent="0.3">
      <c r="J66835"/>
    </row>
    <row r="66836" spans="10:10" x14ac:dyDescent="0.3">
      <c r="J66836"/>
    </row>
    <row r="66837" spans="10:10" x14ac:dyDescent="0.3">
      <c r="J66837"/>
    </row>
    <row r="66838" spans="10:10" x14ac:dyDescent="0.3">
      <c r="J66838"/>
    </row>
    <row r="66839" spans="10:10" x14ac:dyDescent="0.3">
      <c r="J66839"/>
    </row>
    <row r="66840" spans="10:10" x14ac:dyDescent="0.3">
      <c r="J66840"/>
    </row>
    <row r="66841" spans="10:10" x14ac:dyDescent="0.3">
      <c r="J66841"/>
    </row>
    <row r="66842" spans="10:10" x14ac:dyDescent="0.3">
      <c r="J66842"/>
    </row>
    <row r="66843" spans="10:10" x14ac:dyDescent="0.3">
      <c r="J66843"/>
    </row>
    <row r="66844" spans="10:10" x14ac:dyDescent="0.3">
      <c r="J66844"/>
    </row>
    <row r="66845" spans="10:10" x14ac:dyDescent="0.3">
      <c r="J66845"/>
    </row>
    <row r="66846" spans="10:10" x14ac:dyDescent="0.3">
      <c r="J66846"/>
    </row>
    <row r="66847" spans="10:10" x14ac:dyDescent="0.3">
      <c r="J66847"/>
    </row>
    <row r="66848" spans="10:10" x14ac:dyDescent="0.3">
      <c r="J66848"/>
    </row>
    <row r="66849" spans="10:10" x14ac:dyDescent="0.3">
      <c r="J66849"/>
    </row>
    <row r="66850" spans="10:10" x14ac:dyDescent="0.3">
      <c r="J66850"/>
    </row>
    <row r="66851" spans="10:10" x14ac:dyDescent="0.3">
      <c r="J66851"/>
    </row>
    <row r="66852" spans="10:10" x14ac:dyDescent="0.3">
      <c r="J66852"/>
    </row>
    <row r="66853" spans="10:10" x14ac:dyDescent="0.3">
      <c r="J66853"/>
    </row>
    <row r="66854" spans="10:10" x14ac:dyDescent="0.3">
      <c r="J66854"/>
    </row>
    <row r="66855" spans="10:10" x14ac:dyDescent="0.3">
      <c r="J66855"/>
    </row>
    <row r="66856" spans="10:10" x14ac:dyDescent="0.3">
      <c r="J66856"/>
    </row>
    <row r="66857" spans="10:10" x14ac:dyDescent="0.3">
      <c r="J66857"/>
    </row>
    <row r="66858" spans="10:10" x14ac:dyDescent="0.3">
      <c r="J66858"/>
    </row>
    <row r="66859" spans="10:10" x14ac:dyDescent="0.3">
      <c r="J66859"/>
    </row>
    <row r="66860" spans="10:10" x14ac:dyDescent="0.3">
      <c r="J66860"/>
    </row>
    <row r="66861" spans="10:10" x14ac:dyDescent="0.3">
      <c r="J66861"/>
    </row>
    <row r="66862" spans="10:10" x14ac:dyDescent="0.3">
      <c r="J66862"/>
    </row>
    <row r="66863" spans="10:10" x14ac:dyDescent="0.3">
      <c r="J66863"/>
    </row>
    <row r="66864" spans="10:10" x14ac:dyDescent="0.3">
      <c r="J66864"/>
    </row>
    <row r="66865" spans="10:10" x14ac:dyDescent="0.3">
      <c r="J66865"/>
    </row>
    <row r="66866" spans="10:10" x14ac:dyDescent="0.3">
      <c r="J66866"/>
    </row>
    <row r="66867" spans="10:10" x14ac:dyDescent="0.3">
      <c r="J66867"/>
    </row>
    <row r="66868" spans="10:10" x14ac:dyDescent="0.3">
      <c r="J66868"/>
    </row>
    <row r="66869" spans="10:10" x14ac:dyDescent="0.3">
      <c r="J66869"/>
    </row>
    <row r="66870" spans="10:10" x14ac:dyDescent="0.3">
      <c r="J66870"/>
    </row>
    <row r="66871" spans="10:10" x14ac:dyDescent="0.3">
      <c r="J66871"/>
    </row>
    <row r="66872" spans="10:10" x14ac:dyDescent="0.3">
      <c r="J66872"/>
    </row>
    <row r="66873" spans="10:10" x14ac:dyDescent="0.3">
      <c r="J66873"/>
    </row>
    <row r="66874" spans="10:10" x14ac:dyDescent="0.3">
      <c r="J66874"/>
    </row>
    <row r="66875" spans="10:10" x14ac:dyDescent="0.3">
      <c r="J66875"/>
    </row>
    <row r="66876" spans="10:10" x14ac:dyDescent="0.3">
      <c r="J66876"/>
    </row>
    <row r="66877" spans="10:10" x14ac:dyDescent="0.3">
      <c r="J66877"/>
    </row>
    <row r="66878" spans="10:10" x14ac:dyDescent="0.3">
      <c r="J66878"/>
    </row>
    <row r="66879" spans="10:10" x14ac:dyDescent="0.3">
      <c r="J66879"/>
    </row>
    <row r="66880" spans="10:10" x14ac:dyDescent="0.3">
      <c r="J66880"/>
    </row>
    <row r="66881" spans="10:10" x14ac:dyDescent="0.3">
      <c r="J66881"/>
    </row>
    <row r="66882" spans="10:10" x14ac:dyDescent="0.3">
      <c r="J66882"/>
    </row>
    <row r="66883" spans="10:10" x14ac:dyDescent="0.3">
      <c r="J66883"/>
    </row>
    <row r="66884" spans="10:10" x14ac:dyDescent="0.3">
      <c r="J66884"/>
    </row>
    <row r="66885" spans="10:10" x14ac:dyDescent="0.3">
      <c r="J66885"/>
    </row>
    <row r="66886" spans="10:10" x14ac:dyDescent="0.3">
      <c r="J66886"/>
    </row>
    <row r="66887" spans="10:10" x14ac:dyDescent="0.3">
      <c r="J66887"/>
    </row>
    <row r="66888" spans="10:10" x14ac:dyDescent="0.3">
      <c r="J66888"/>
    </row>
    <row r="66889" spans="10:10" x14ac:dyDescent="0.3">
      <c r="J66889"/>
    </row>
    <row r="66890" spans="10:10" x14ac:dyDescent="0.3">
      <c r="J66890"/>
    </row>
    <row r="66891" spans="10:10" x14ac:dyDescent="0.3">
      <c r="J66891"/>
    </row>
    <row r="66892" spans="10:10" x14ac:dyDescent="0.3">
      <c r="J66892"/>
    </row>
    <row r="66893" spans="10:10" x14ac:dyDescent="0.3">
      <c r="J66893"/>
    </row>
    <row r="66894" spans="10:10" x14ac:dyDescent="0.3">
      <c r="J66894"/>
    </row>
    <row r="66895" spans="10:10" x14ac:dyDescent="0.3">
      <c r="J66895"/>
    </row>
    <row r="66896" spans="10:10" x14ac:dyDescent="0.3">
      <c r="J66896"/>
    </row>
    <row r="66897" spans="10:10" x14ac:dyDescent="0.3">
      <c r="J66897"/>
    </row>
    <row r="66898" spans="10:10" x14ac:dyDescent="0.3">
      <c r="J66898"/>
    </row>
    <row r="66899" spans="10:10" x14ac:dyDescent="0.3">
      <c r="J66899"/>
    </row>
    <row r="66900" spans="10:10" x14ac:dyDescent="0.3">
      <c r="J66900"/>
    </row>
    <row r="66901" spans="10:10" x14ac:dyDescent="0.3">
      <c r="J66901"/>
    </row>
    <row r="66902" spans="10:10" x14ac:dyDescent="0.3">
      <c r="J66902"/>
    </row>
    <row r="66903" spans="10:10" x14ac:dyDescent="0.3">
      <c r="J66903"/>
    </row>
    <row r="66904" spans="10:10" x14ac:dyDescent="0.3">
      <c r="J66904"/>
    </row>
    <row r="66905" spans="10:10" x14ac:dyDescent="0.3">
      <c r="J66905"/>
    </row>
    <row r="66906" spans="10:10" x14ac:dyDescent="0.3">
      <c r="J66906"/>
    </row>
    <row r="66907" spans="10:10" x14ac:dyDescent="0.3">
      <c r="J66907"/>
    </row>
    <row r="66908" spans="10:10" x14ac:dyDescent="0.3">
      <c r="J66908"/>
    </row>
    <row r="66909" spans="10:10" x14ac:dyDescent="0.3">
      <c r="J66909"/>
    </row>
    <row r="66910" spans="10:10" x14ac:dyDescent="0.3">
      <c r="J66910"/>
    </row>
    <row r="66911" spans="10:10" x14ac:dyDescent="0.3">
      <c r="J66911"/>
    </row>
    <row r="66912" spans="10:10" x14ac:dyDescent="0.3">
      <c r="J66912"/>
    </row>
    <row r="66913" spans="10:10" x14ac:dyDescent="0.3">
      <c r="J66913"/>
    </row>
    <row r="66914" spans="10:10" x14ac:dyDescent="0.3">
      <c r="J66914"/>
    </row>
    <row r="66915" spans="10:10" x14ac:dyDescent="0.3">
      <c r="J66915"/>
    </row>
    <row r="66916" spans="10:10" x14ac:dyDescent="0.3">
      <c r="J66916"/>
    </row>
    <row r="66917" spans="10:10" x14ac:dyDescent="0.3">
      <c r="J66917"/>
    </row>
    <row r="66918" spans="10:10" x14ac:dyDescent="0.3">
      <c r="J66918"/>
    </row>
    <row r="66919" spans="10:10" x14ac:dyDescent="0.3">
      <c r="J66919"/>
    </row>
    <row r="66920" spans="10:10" x14ac:dyDescent="0.3">
      <c r="J66920"/>
    </row>
    <row r="66921" spans="10:10" x14ac:dyDescent="0.3">
      <c r="J66921"/>
    </row>
    <row r="66922" spans="10:10" x14ac:dyDescent="0.3">
      <c r="J66922"/>
    </row>
    <row r="66923" spans="10:10" x14ac:dyDescent="0.3">
      <c r="J66923"/>
    </row>
    <row r="66924" spans="10:10" x14ac:dyDescent="0.3">
      <c r="J66924"/>
    </row>
    <row r="66925" spans="10:10" x14ac:dyDescent="0.3">
      <c r="J66925"/>
    </row>
    <row r="66926" spans="10:10" x14ac:dyDescent="0.3">
      <c r="J66926"/>
    </row>
    <row r="66927" spans="10:10" x14ac:dyDescent="0.3">
      <c r="J66927"/>
    </row>
    <row r="66928" spans="10:10" x14ac:dyDescent="0.3">
      <c r="J66928"/>
    </row>
    <row r="66929" spans="10:10" x14ac:dyDescent="0.3">
      <c r="J66929"/>
    </row>
    <row r="66930" spans="10:10" x14ac:dyDescent="0.3">
      <c r="J66930"/>
    </row>
    <row r="66931" spans="10:10" x14ac:dyDescent="0.3">
      <c r="J66931"/>
    </row>
    <row r="66932" spans="10:10" x14ac:dyDescent="0.3">
      <c r="J66932"/>
    </row>
    <row r="66933" spans="10:10" x14ac:dyDescent="0.3">
      <c r="J66933"/>
    </row>
    <row r="66934" spans="10:10" x14ac:dyDescent="0.3">
      <c r="J66934"/>
    </row>
    <row r="66935" spans="10:10" x14ac:dyDescent="0.3">
      <c r="J66935"/>
    </row>
    <row r="66936" spans="10:10" x14ac:dyDescent="0.3">
      <c r="J66936"/>
    </row>
    <row r="66937" spans="10:10" x14ac:dyDescent="0.3">
      <c r="J66937"/>
    </row>
    <row r="66938" spans="10:10" x14ac:dyDescent="0.3">
      <c r="J66938"/>
    </row>
    <row r="66939" spans="10:10" x14ac:dyDescent="0.3">
      <c r="J66939"/>
    </row>
    <row r="66940" spans="10:10" x14ac:dyDescent="0.3">
      <c r="J66940"/>
    </row>
    <row r="66941" spans="10:10" x14ac:dyDescent="0.3">
      <c r="J66941"/>
    </row>
    <row r="66942" spans="10:10" x14ac:dyDescent="0.3">
      <c r="J66942"/>
    </row>
    <row r="66943" spans="10:10" x14ac:dyDescent="0.3">
      <c r="J66943"/>
    </row>
    <row r="66944" spans="10:10" x14ac:dyDescent="0.3">
      <c r="J66944"/>
    </row>
    <row r="66945" spans="10:10" x14ac:dyDescent="0.3">
      <c r="J66945"/>
    </row>
    <row r="66946" spans="10:10" x14ac:dyDescent="0.3">
      <c r="J66946"/>
    </row>
    <row r="66947" spans="10:10" x14ac:dyDescent="0.3">
      <c r="J66947"/>
    </row>
    <row r="66948" spans="10:10" x14ac:dyDescent="0.3">
      <c r="J66948"/>
    </row>
    <row r="66949" spans="10:10" x14ac:dyDescent="0.3">
      <c r="J66949"/>
    </row>
    <row r="66950" spans="10:10" x14ac:dyDescent="0.3">
      <c r="J66950"/>
    </row>
    <row r="66951" spans="10:10" x14ac:dyDescent="0.3">
      <c r="J66951"/>
    </row>
    <row r="66952" spans="10:10" x14ac:dyDescent="0.3">
      <c r="J66952"/>
    </row>
    <row r="66953" spans="10:10" x14ac:dyDescent="0.3">
      <c r="J66953"/>
    </row>
    <row r="66954" spans="10:10" x14ac:dyDescent="0.3">
      <c r="J66954"/>
    </row>
    <row r="66955" spans="10:10" x14ac:dyDescent="0.3">
      <c r="J66955"/>
    </row>
    <row r="66956" spans="10:10" x14ac:dyDescent="0.3">
      <c r="J66956"/>
    </row>
    <row r="66957" spans="10:10" x14ac:dyDescent="0.3">
      <c r="J66957"/>
    </row>
    <row r="66958" spans="10:10" x14ac:dyDescent="0.3">
      <c r="J66958"/>
    </row>
    <row r="66959" spans="10:10" x14ac:dyDescent="0.3">
      <c r="J66959"/>
    </row>
    <row r="66960" spans="10:10" x14ac:dyDescent="0.3">
      <c r="J66960"/>
    </row>
    <row r="66961" spans="10:10" x14ac:dyDescent="0.3">
      <c r="J66961"/>
    </row>
    <row r="66962" spans="10:10" x14ac:dyDescent="0.3">
      <c r="J66962"/>
    </row>
    <row r="66963" spans="10:10" x14ac:dyDescent="0.3">
      <c r="J66963"/>
    </row>
    <row r="66964" spans="10:10" x14ac:dyDescent="0.3">
      <c r="J66964"/>
    </row>
    <row r="66965" spans="10:10" x14ac:dyDescent="0.3">
      <c r="J66965"/>
    </row>
    <row r="66966" spans="10:10" x14ac:dyDescent="0.3">
      <c r="J66966"/>
    </row>
    <row r="66967" spans="10:10" x14ac:dyDescent="0.3">
      <c r="J66967"/>
    </row>
    <row r="66968" spans="10:10" x14ac:dyDescent="0.3">
      <c r="J66968"/>
    </row>
    <row r="66969" spans="10:10" x14ac:dyDescent="0.3">
      <c r="J66969"/>
    </row>
    <row r="66970" spans="10:10" x14ac:dyDescent="0.3">
      <c r="J66970"/>
    </row>
    <row r="66971" spans="10:10" x14ac:dyDescent="0.3">
      <c r="J66971"/>
    </row>
    <row r="66972" spans="10:10" x14ac:dyDescent="0.3">
      <c r="J66972"/>
    </row>
    <row r="66973" spans="10:10" x14ac:dyDescent="0.3">
      <c r="J66973"/>
    </row>
    <row r="66974" spans="10:10" x14ac:dyDescent="0.3">
      <c r="J66974"/>
    </row>
    <row r="66975" spans="10:10" x14ac:dyDescent="0.3">
      <c r="J66975"/>
    </row>
    <row r="66976" spans="10:10" x14ac:dyDescent="0.3">
      <c r="J66976"/>
    </row>
    <row r="66977" spans="10:10" x14ac:dyDescent="0.3">
      <c r="J66977"/>
    </row>
    <row r="66978" spans="10:10" x14ac:dyDescent="0.3">
      <c r="J66978"/>
    </row>
    <row r="66979" spans="10:10" x14ac:dyDescent="0.3">
      <c r="J66979"/>
    </row>
    <row r="66980" spans="10:10" x14ac:dyDescent="0.3">
      <c r="J66980"/>
    </row>
    <row r="66981" spans="10:10" x14ac:dyDescent="0.3">
      <c r="J66981"/>
    </row>
    <row r="66982" spans="10:10" x14ac:dyDescent="0.3">
      <c r="J66982"/>
    </row>
    <row r="66983" spans="10:10" x14ac:dyDescent="0.3">
      <c r="J66983"/>
    </row>
    <row r="66984" spans="10:10" x14ac:dyDescent="0.3">
      <c r="J66984"/>
    </row>
    <row r="66985" spans="10:10" x14ac:dyDescent="0.3">
      <c r="J66985"/>
    </row>
    <row r="66986" spans="10:10" x14ac:dyDescent="0.3">
      <c r="J66986"/>
    </row>
    <row r="66987" spans="10:10" x14ac:dyDescent="0.3">
      <c r="J66987"/>
    </row>
    <row r="66988" spans="10:10" x14ac:dyDescent="0.3">
      <c r="J66988"/>
    </row>
    <row r="66989" spans="10:10" x14ac:dyDescent="0.3">
      <c r="J66989"/>
    </row>
    <row r="66990" spans="10:10" x14ac:dyDescent="0.3">
      <c r="J66990"/>
    </row>
    <row r="66991" spans="10:10" x14ac:dyDescent="0.3">
      <c r="J66991"/>
    </row>
    <row r="66992" spans="10:10" x14ac:dyDescent="0.3">
      <c r="J66992"/>
    </row>
    <row r="66993" spans="10:10" x14ac:dyDescent="0.3">
      <c r="J66993"/>
    </row>
    <row r="66994" spans="10:10" x14ac:dyDescent="0.3">
      <c r="J66994"/>
    </row>
    <row r="66995" spans="10:10" x14ac:dyDescent="0.3">
      <c r="J66995"/>
    </row>
    <row r="66996" spans="10:10" x14ac:dyDescent="0.3">
      <c r="J66996"/>
    </row>
    <row r="66997" spans="10:10" x14ac:dyDescent="0.3">
      <c r="J66997"/>
    </row>
    <row r="66998" spans="10:10" x14ac:dyDescent="0.3">
      <c r="J66998"/>
    </row>
    <row r="66999" spans="10:10" x14ac:dyDescent="0.3">
      <c r="J66999"/>
    </row>
    <row r="67000" spans="10:10" x14ac:dyDescent="0.3">
      <c r="J67000"/>
    </row>
    <row r="67001" spans="10:10" x14ac:dyDescent="0.3">
      <c r="J67001"/>
    </row>
    <row r="67002" spans="10:10" x14ac:dyDescent="0.3">
      <c r="J67002"/>
    </row>
    <row r="67003" spans="10:10" x14ac:dyDescent="0.3">
      <c r="J67003"/>
    </row>
    <row r="67004" spans="10:10" x14ac:dyDescent="0.3">
      <c r="J67004"/>
    </row>
    <row r="67005" spans="10:10" x14ac:dyDescent="0.3">
      <c r="J67005"/>
    </row>
    <row r="67006" spans="10:10" x14ac:dyDescent="0.3">
      <c r="J67006"/>
    </row>
    <row r="67007" spans="10:10" x14ac:dyDescent="0.3">
      <c r="J67007"/>
    </row>
    <row r="67008" spans="10:10" x14ac:dyDescent="0.3">
      <c r="J67008"/>
    </row>
    <row r="67009" spans="10:10" x14ac:dyDescent="0.3">
      <c r="J67009"/>
    </row>
    <row r="67010" spans="10:10" x14ac:dyDescent="0.3">
      <c r="J67010"/>
    </row>
    <row r="67011" spans="10:10" x14ac:dyDescent="0.3">
      <c r="J67011"/>
    </row>
    <row r="67012" spans="10:10" x14ac:dyDescent="0.3">
      <c r="J67012"/>
    </row>
    <row r="67013" spans="10:10" x14ac:dyDescent="0.3">
      <c r="J67013"/>
    </row>
    <row r="67014" spans="10:10" x14ac:dyDescent="0.3">
      <c r="J67014"/>
    </row>
    <row r="67015" spans="10:10" x14ac:dyDescent="0.3">
      <c r="J67015"/>
    </row>
    <row r="67016" spans="10:10" x14ac:dyDescent="0.3">
      <c r="J67016"/>
    </row>
    <row r="67017" spans="10:10" x14ac:dyDescent="0.3">
      <c r="J67017"/>
    </row>
    <row r="67018" spans="10:10" x14ac:dyDescent="0.3">
      <c r="J67018"/>
    </row>
    <row r="67019" spans="10:10" x14ac:dyDescent="0.3">
      <c r="J67019"/>
    </row>
    <row r="67020" spans="10:10" x14ac:dyDescent="0.3">
      <c r="J67020"/>
    </row>
    <row r="67021" spans="10:10" x14ac:dyDescent="0.3">
      <c r="J67021"/>
    </row>
    <row r="67022" spans="10:10" x14ac:dyDescent="0.3">
      <c r="J67022"/>
    </row>
    <row r="67023" spans="10:10" x14ac:dyDescent="0.3">
      <c r="J67023"/>
    </row>
    <row r="67024" spans="10:10" x14ac:dyDescent="0.3">
      <c r="J67024"/>
    </row>
    <row r="67025" spans="10:10" x14ac:dyDescent="0.3">
      <c r="J67025"/>
    </row>
    <row r="67026" spans="10:10" x14ac:dyDescent="0.3">
      <c r="J67026"/>
    </row>
    <row r="67027" spans="10:10" x14ac:dyDescent="0.3">
      <c r="J67027"/>
    </row>
    <row r="67028" spans="10:10" x14ac:dyDescent="0.3">
      <c r="J67028"/>
    </row>
    <row r="67029" spans="10:10" x14ac:dyDescent="0.3">
      <c r="J67029"/>
    </row>
    <row r="67030" spans="10:10" x14ac:dyDescent="0.3">
      <c r="J67030"/>
    </row>
    <row r="67031" spans="10:10" x14ac:dyDescent="0.3">
      <c r="J67031"/>
    </row>
    <row r="67032" spans="10:10" x14ac:dyDescent="0.3">
      <c r="J67032"/>
    </row>
    <row r="67033" spans="10:10" x14ac:dyDescent="0.3">
      <c r="J67033"/>
    </row>
    <row r="67034" spans="10:10" x14ac:dyDescent="0.3">
      <c r="J67034"/>
    </row>
    <row r="67035" spans="10:10" x14ac:dyDescent="0.3">
      <c r="J67035"/>
    </row>
    <row r="67036" spans="10:10" x14ac:dyDescent="0.3">
      <c r="J67036"/>
    </row>
    <row r="67037" spans="10:10" x14ac:dyDescent="0.3">
      <c r="J67037"/>
    </row>
    <row r="67038" spans="10:10" x14ac:dyDescent="0.3">
      <c r="J67038"/>
    </row>
    <row r="67039" spans="10:10" x14ac:dyDescent="0.3">
      <c r="J67039"/>
    </row>
    <row r="67040" spans="10:10" x14ac:dyDescent="0.3">
      <c r="J67040"/>
    </row>
    <row r="67041" spans="10:10" x14ac:dyDescent="0.3">
      <c r="J67041"/>
    </row>
    <row r="67042" spans="10:10" x14ac:dyDescent="0.3">
      <c r="J67042"/>
    </row>
    <row r="67043" spans="10:10" x14ac:dyDescent="0.3">
      <c r="J67043"/>
    </row>
    <row r="67044" spans="10:10" x14ac:dyDescent="0.3">
      <c r="J67044"/>
    </row>
    <row r="67045" spans="10:10" x14ac:dyDescent="0.3">
      <c r="J67045"/>
    </row>
    <row r="67046" spans="10:10" x14ac:dyDescent="0.3">
      <c r="J67046"/>
    </row>
    <row r="67047" spans="10:10" x14ac:dyDescent="0.3">
      <c r="J67047"/>
    </row>
    <row r="67048" spans="10:10" x14ac:dyDescent="0.3">
      <c r="J67048"/>
    </row>
    <row r="67049" spans="10:10" x14ac:dyDescent="0.3">
      <c r="J67049"/>
    </row>
    <row r="67050" spans="10:10" x14ac:dyDescent="0.3">
      <c r="J67050"/>
    </row>
    <row r="67051" spans="10:10" x14ac:dyDescent="0.3">
      <c r="J67051"/>
    </row>
    <row r="67052" spans="10:10" x14ac:dyDescent="0.3">
      <c r="J67052"/>
    </row>
    <row r="67053" spans="10:10" x14ac:dyDescent="0.3">
      <c r="J67053"/>
    </row>
    <row r="67054" spans="10:10" x14ac:dyDescent="0.3">
      <c r="J67054"/>
    </row>
    <row r="67055" spans="10:10" x14ac:dyDescent="0.3">
      <c r="J67055"/>
    </row>
    <row r="67056" spans="10:10" x14ac:dyDescent="0.3">
      <c r="J67056"/>
    </row>
    <row r="67057" spans="10:10" x14ac:dyDescent="0.3">
      <c r="J67057"/>
    </row>
    <row r="67058" spans="10:10" x14ac:dyDescent="0.3">
      <c r="J67058"/>
    </row>
    <row r="67059" spans="10:10" x14ac:dyDescent="0.3">
      <c r="J67059"/>
    </row>
    <row r="67060" spans="10:10" x14ac:dyDescent="0.3">
      <c r="J67060"/>
    </row>
    <row r="67061" spans="10:10" x14ac:dyDescent="0.3">
      <c r="J67061"/>
    </row>
    <row r="67062" spans="10:10" x14ac:dyDescent="0.3">
      <c r="J67062"/>
    </row>
    <row r="67063" spans="10:10" x14ac:dyDescent="0.3">
      <c r="J67063"/>
    </row>
    <row r="67064" spans="10:10" x14ac:dyDescent="0.3">
      <c r="J67064"/>
    </row>
    <row r="67065" spans="10:10" x14ac:dyDescent="0.3">
      <c r="J67065"/>
    </row>
    <row r="67066" spans="10:10" x14ac:dyDescent="0.3">
      <c r="J67066"/>
    </row>
    <row r="67067" spans="10:10" x14ac:dyDescent="0.3">
      <c r="J67067"/>
    </row>
    <row r="67068" spans="10:10" x14ac:dyDescent="0.3">
      <c r="J67068"/>
    </row>
    <row r="67069" spans="10:10" x14ac:dyDescent="0.3">
      <c r="J67069"/>
    </row>
    <row r="67070" spans="10:10" x14ac:dyDescent="0.3">
      <c r="J67070"/>
    </row>
    <row r="67071" spans="10:10" x14ac:dyDescent="0.3">
      <c r="J67071"/>
    </row>
    <row r="67072" spans="10:10" x14ac:dyDescent="0.3">
      <c r="J67072"/>
    </row>
    <row r="67073" spans="10:10" x14ac:dyDescent="0.3">
      <c r="J67073"/>
    </row>
    <row r="67074" spans="10:10" x14ac:dyDescent="0.3">
      <c r="J67074"/>
    </row>
    <row r="67075" spans="10:10" x14ac:dyDescent="0.3">
      <c r="J67075"/>
    </row>
    <row r="67076" spans="10:10" x14ac:dyDescent="0.3">
      <c r="J67076"/>
    </row>
    <row r="67077" spans="10:10" x14ac:dyDescent="0.3">
      <c r="J67077"/>
    </row>
    <row r="67078" spans="10:10" x14ac:dyDescent="0.3">
      <c r="J67078"/>
    </row>
    <row r="67079" spans="10:10" x14ac:dyDescent="0.3">
      <c r="J67079"/>
    </row>
    <row r="67080" spans="10:10" x14ac:dyDescent="0.3">
      <c r="J67080"/>
    </row>
    <row r="67081" spans="10:10" x14ac:dyDescent="0.3">
      <c r="J67081"/>
    </row>
    <row r="67082" spans="10:10" x14ac:dyDescent="0.3">
      <c r="J67082"/>
    </row>
    <row r="67083" spans="10:10" x14ac:dyDescent="0.3">
      <c r="J67083"/>
    </row>
    <row r="67084" spans="10:10" x14ac:dyDescent="0.3">
      <c r="J67084"/>
    </row>
    <row r="67085" spans="10:10" x14ac:dyDescent="0.3">
      <c r="J67085"/>
    </row>
    <row r="67086" spans="10:10" x14ac:dyDescent="0.3">
      <c r="J67086"/>
    </row>
    <row r="67087" spans="10:10" x14ac:dyDescent="0.3">
      <c r="J67087"/>
    </row>
    <row r="67088" spans="10:10" x14ac:dyDescent="0.3">
      <c r="J67088"/>
    </row>
    <row r="67089" spans="10:10" x14ac:dyDescent="0.3">
      <c r="J67089"/>
    </row>
    <row r="67090" spans="10:10" x14ac:dyDescent="0.3">
      <c r="J67090"/>
    </row>
    <row r="67091" spans="10:10" x14ac:dyDescent="0.3">
      <c r="J67091"/>
    </row>
    <row r="67092" spans="10:10" x14ac:dyDescent="0.3">
      <c r="J67092"/>
    </row>
    <row r="67093" spans="10:10" x14ac:dyDescent="0.3">
      <c r="J67093"/>
    </row>
    <row r="67094" spans="10:10" x14ac:dyDescent="0.3">
      <c r="J67094"/>
    </row>
    <row r="67095" spans="10:10" x14ac:dyDescent="0.3">
      <c r="J67095"/>
    </row>
    <row r="67096" spans="10:10" x14ac:dyDescent="0.3">
      <c r="J67096"/>
    </row>
    <row r="67097" spans="10:10" x14ac:dyDescent="0.3">
      <c r="J67097"/>
    </row>
    <row r="67098" spans="10:10" x14ac:dyDescent="0.3">
      <c r="J67098"/>
    </row>
    <row r="67099" spans="10:10" x14ac:dyDescent="0.3">
      <c r="J67099"/>
    </row>
    <row r="67100" spans="10:10" x14ac:dyDescent="0.3">
      <c r="J67100"/>
    </row>
    <row r="67101" spans="10:10" x14ac:dyDescent="0.3">
      <c r="J67101"/>
    </row>
    <row r="67102" spans="10:10" x14ac:dyDescent="0.3">
      <c r="J67102"/>
    </row>
    <row r="67103" spans="10:10" x14ac:dyDescent="0.3">
      <c r="J67103"/>
    </row>
    <row r="67104" spans="10:10" x14ac:dyDescent="0.3">
      <c r="J67104"/>
    </row>
    <row r="67105" spans="10:10" x14ac:dyDescent="0.3">
      <c r="J67105"/>
    </row>
    <row r="67106" spans="10:10" x14ac:dyDescent="0.3">
      <c r="J67106"/>
    </row>
    <row r="67107" spans="10:10" x14ac:dyDescent="0.3">
      <c r="J67107"/>
    </row>
    <row r="67108" spans="10:10" x14ac:dyDescent="0.3">
      <c r="J67108"/>
    </row>
    <row r="67109" spans="10:10" x14ac:dyDescent="0.3">
      <c r="J67109"/>
    </row>
    <row r="67110" spans="10:10" x14ac:dyDescent="0.3">
      <c r="J67110"/>
    </row>
    <row r="67111" spans="10:10" x14ac:dyDescent="0.3">
      <c r="J67111"/>
    </row>
    <row r="67112" spans="10:10" x14ac:dyDescent="0.3">
      <c r="J67112"/>
    </row>
    <row r="67113" spans="10:10" x14ac:dyDescent="0.3">
      <c r="J67113"/>
    </row>
    <row r="67114" spans="10:10" x14ac:dyDescent="0.3">
      <c r="J67114"/>
    </row>
    <row r="67115" spans="10:10" x14ac:dyDescent="0.3">
      <c r="J67115"/>
    </row>
    <row r="67116" spans="10:10" x14ac:dyDescent="0.3">
      <c r="J67116"/>
    </row>
    <row r="67117" spans="10:10" x14ac:dyDescent="0.3">
      <c r="J67117"/>
    </row>
    <row r="67118" spans="10:10" x14ac:dyDescent="0.3">
      <c r="J67118"/>
    </row>
    <row r="67119" spans="10:10" x14ac:dyDescent="0.3">
      <c r="J67119"/>
    </row>
    <row r="67120" spans="10:10" x14ac:dyDescent="0.3">
      <c r="J67120"/>
    </row>
    <row r="67121" spans="10:10" x14ac:dyDescent="0.3">
      <c r="J67121"/>
    </row>
    <row r="67122" spans="10:10" x14ac:dyDescent="0.3">
      <c r="J67122"/>
    </row>
    <row r="67123" spans="10:10" x14ac:dyDescent="0.3">
      <c r="J67123"/>
    </row>
    <row r="67124" spans="10:10" x14ac:dyDescent="0.3">
      <c r="J67124"/>
    </row>
    <row r="67125" spans="10:10" x14ac:dyDescent="0.3">
      <c r="J67125"/>
    </row>
    <row r="67126" spans="10:10" x14ac:dyDescent="0.3">
      <c r="J67126"/>
    </row>
    <row r="67127" spans="10:10" x14ac:dyDescent="0.3">
      <c r="J67127"/>
    </row>
    <row r="67128" spans="10:10" x14ac:dyDescent="0.3">
      <c r="J67128"/>
    </row>
    <row r="67129" spans="10:10" x14ac:dyDescent="0.3">
      <c r="J67129"/>
    </row>
    <row r="67130" spans="10:10" x14ac:dyDescent="0.3">
      <c r="J67130"/>
    </row>
    <row r="67131" spans="10:10" x14ac:dyDescent="0.3">
      <c r="J67131"/>
    </row>
    <row r="67132" spans="10:10" x14ac:dyDescent="0.3">
      <c r="J67132"/>
    </row>
    <row r="67133" spans="10:10" x14ac:dyDescent="0.3">
      <c r="J67133"/>
    </row>
    <row r="67134" spans="10:10" x14ac:dyDescent="0.3">
      <c r="J67134"/>
    </row>
    <row r="67135" spans="10:10" x14ac:dyDescent="0.3">
      <c r="J67135"/>
    </row>
    <row r="67136" spans="10:10" x14ac:dyDescent="0.3">
      <c r="J67136"/>
    </row>
    <row r="67137" spans="10:10" x14ac:dyDescent="0.3">
      <c r="J67137"/>
    </row>
    <row r="67138" spans="10:10" x14ac:dyDescent="0.3">
      <c r="J67138"/>
    </row>
    <row r="67139" spans="10:10" x14ac:dyDescent="0.3">
      <c r="J67139"/>
    </row>
    <row r="67140" spans="10:10" x14ac:dyDescent="0.3">
      <c r="J67140"/>
    </row>
    <row r="67141" spans="10:10" x14ac:dyDescent="0.3">
      <c r="J67141"/>
    </row>
    <row r="67142" spans="10:10" x14ac:dyDescent="0.3">
      <c r="J67142"/>
    </row>
    <row r="67143" spans="10:10" x14ac:dyDescent="0.3">
      <c r="J67143"/>
    </row>
    <row r="67144" spans="10:10" x14ac:dyDescent="0.3">
      <c r="J67144"/>
    </row>
    <row r="67145" spans="10:10" x14ac:dyDescent="0.3">
      <c r="J67145"/>
    </row>
    <row r="67146" spans="10:10" x14ac:dyDescent="0.3">
      <c r="J67146"/>
    </row>
    <row r="67147" spans="10:10" x14ac:dyDescent="0.3">
      <c r="J67147"/>
    </row>
    <row r="67148" spans="10:10" x14ac:dyDescent="0.3">
      <c r="J67148"/>
    </row>
    <row r="67149" spans="10:10" x14ac:dyDescent="0.3">
      <c r="J67149"/>
    </row>
    <row r="67150" spans="10:10" x14ac:dyDescent="0.3">
      <c r="J67150"/>
    </row>
    <row r="67151" spans="10:10" x14ac:dyDescent="0.3">
      <c r="J67151"/>
    </row>
    <row r="67152" spans="10:10" x14ac:dyDescent="0.3">
      <c r="J67152"/>
    </row>
    <row r="67153" spans="10:10" x14ac:dyDescent="0.3">
      <c r="J67153"/>
    </row>
    <row r="67154" spans="10:10" x14ac:dyDescent="0.3">
      <c r="J67154"/>
    </row>
    <row r="67155" spans="10:10" x14ac:dyDescent="0.3">
      <c r="J67155"/>
    </row>
    <row r="67156" spans="10:10" x14ac:dyDescent="0.3">
      <c r="J67156"/>
    </row>
    <row r="67157" spans="10:10" x14ac:dyDescent="0.3">
      <c r="J67157"/>
    </row>
    <row r="67158" spans="10:10" x14ac:dyDescent="0.3">
      <c r="J67158"/>
    </row>
    <row r="67159" spans="10:10" x14ac:dyDescent="0.3">
      <c r="J67159"/>
    </row>
    <row r="67160" spans="10:10" x14ac:dyDescent="0.3">
      <c r="J67160"/>
    </row>
    <row r="67161" spans="10:10" x14ac:dyDescent="0.3">
      <c r="J67161"/>
    </row>
    <row r="67162" spans="10:10" x14ac:dyDescent="0.3">
      <c r="J67162"/>
    </row>
    <row r="67163" spans="10:10" x14ac:dyDescent="0.3">
      <c r="J67163"/>
    </row>
    <row r="67164" spans="10:10" x14ac:dyDescent="0.3">
      <c r="J67164"/>
    </row>
    <row r="67165" spans="10:10" x14ac:dyDescent="0.3">
      <c r="J67165"/>
    </row>
    <row r="67166" spans="10:10" x14ac:dyDescent="0.3">
      <c r="J67166"/>
    </row>
    <row r="67167" spans="10:10" x14ac:dyDescent="0.3">
      <c r="J67167"/>
    </row>
    <row r="67168" spans="10:10" x14ac:dyDescent="0.3">
      <c r="J67168"/>
    </row>
    <row r="67169" spans="10:10" x14ac:dyDescent="0.3">
      <c r="J67169"/>
    </row>
    <row r="67170" spans="10:10" x14ac:dyDescent="0.3">
      <c r="J67170"/>
    </row>
    <row r="67171" spans="10:10" x14ac:dyDescent="0.3">
      <c r="J67171"/>
    </row>
    <row r="67172" spans="10:10" x14ac:dyDescent="0.3">
      <c r="J67172"/>
    </row>
    <row r="67173" spans="10:10" x14ac:dyDescent="0.3">
      <c r="J67173"/>
    </row>
    <row r="67174" spans="10:10" x14ac:dyDescent="0.3">
      <c r="J67174"/>
    </row>
    <row r="67175" spans="10:10" x14ac:dyDescent="0.3">
      <c r="J67175"/>
    </row>
    <row r="67176" spans="10:10" x14ac:dyDescent="0.3">
      <c r="J67176"/>
    </row>
    <row r="67177" spans="10:10" x14ac:dyDescent="0.3">
      <c r="J67177"/>
    </row>
    <row r="67178" spans="10:10" x14ac:dyDescent="0.3">
      <c r="J67178"/>
    </row>
    <row r="67179" spans="10:10" x14ac:dyDescent="0.3">
      <c r="J67179"/>
    </row>
    <row r="67180" spans="10:10" x14ac:dyDescent="0.3">
      <c r="J67180"/>
    </row>
    <row r="67181" spans="10:10" x14ac:dyDescent="0.3">
      <c r="J67181"/>
    </row>
    <row r="67182" spans="10:10" x14ac:dyDescent="0.3">
      <c r="J67182"/>
    </row>
    <row r="67183" spans="10:10" x14ac:dyDescent="0.3">
      <c r="J67183"/>
    </row>
    <row r="67184" spans="10:10" x14ac:dyDescent="0.3">
      <c r="J67184"/>
    </row>
    <row r="67185" spans="10:10" x14ac:dyDescent="0.3">
      <c r="J67185"/>
    </row>
    <row r="67186" spans="10:10" x14ac:dyDescent="0.3">
      <c r="J67186"/>
    </row>
    <row r="67187" spans="10:10" x14ac:dyDescent="0.3">
      <c r="J67187"/>
    </row>
    <row r="67188" spans="10:10" x14ac:dyDescent="0.3">
      <c r="J67188"/>
    </row>
    <row r="67189" spans="10:10" x14ac:dyDescent="0.3">
      <c r="J67189"/>
    </row>
    <row r="67190" spans="10:10" x14ac:dyDescent="0.3">
      <c r="J67190"/>
    </row>
    <row r="67191" spans="10:10" x14ac:dyDescent="0.3">
      <c r="J67191"/>
    </row>
    <row r="67192" spans="10:10" x14ac:dyDescent="0.3">
      <c r="J67192"/>
    </row>
    <row r="67193" spans="10:10" x14ac:dyDescent="0.3">
      <c r="J67193"/>
    </row>
    <row r="67194" spans="10:10" x14ac:dyDescent="0.3">
      <c r="J67194"/>
    </row>
    <row r="67195" spans="10:10" x14ac:dyDescent="0.3">
      <c r="J67195"/>
    </row>
    <row r="67196" spans="10:10" x14ac:dyDescent="0.3">
      <c r="J67196"/>
    </row>
    <row r="67197" spans="10:10" x14ac:dyDescent="0.3">
      <c r="J67197"/>
    </row>
    <row r="67198" spans="10:10" x14ac:dyDescent="0.3">
      <c r="J67198"/>
    </row>
    <row r="67199" spans="10:10" x14ac:dyDescent="0.3">
      <c r="J67199"/>
    </row>
    <row r="67200" spans="10:10" x14ac:dyDescent="0.3">
      <c r="J67200"/>
    </row>
    <row r="67201" spans="10:10" x14ac:dyDescent="0.3">
      <c r="J67201"/>
    </row>
    <row r="67202" spans="10:10" x14ac:dyDescent="0.3">
      <c r="J67202"/>
    </row>
    <row r="67203" spans="10:10" x14ac:dyDescent="0.3">
      <c r="J67203"/>
    </row>
    <row r="67204" spans="10:10" x14ac:dyDescent="0.3">
      <c r="J67204"/>
    </row>
    <row r="67205" spans="10:10" x14ac:dyDescent="0.3">
      <c r="J67205"/>
    </row>
    <row r="67206" spans="10:10" x14ac:dyDescent="0.3">
      <c r="J67206"/>
    </row>
    <row r="67207" spans="10:10" x14ac:dyDescent="0.3">
      <c r="J67207"/>
    </row>
    <row r="67208" spans="10:10" x14ac:dyDescent="0.3">
      <c r="J67208"/>
    </row>
    <row r="67209" spans="10:10" x14ac:dyDescent="0.3">
      <c r="J67209"/>
    </row>
    <row r="67210" spans="10:10" x14ac:dyDescent="0.3">
      <c r="J67210"/>
    </row>
    <row r="67211" spans="10:10" x14ac:dyDescent="0.3">
      <c r="J67211"/>
    </row>
    <row r="67212" spans="10:10" x14ac:dyDescent="0.3">
      <c r="J67212"/>
    </row>
    <row r="67213" spans="10:10" x14ac:dyDescent="0.3">
      <c r="J67213"/>
    </row>
    <row r="67214" spans="10:10" x14ac:dyDescent="0.3">
      <c r="J67214"/>
    </row>
    <row r="67215" spans="10:10" x14ac:dyDescent="0.3">
      <c r="J67215"/>
    </row>
    <row r="67216" spans="10:10" x14ac:dyDescent="0.3">
      <c r="J67216"/>
    </row>
    <row r="67217" spans="10:10" x14ac:dyDescent="0.3">
      <c r="J67217"/>
    </row>
    <row r="67218" spans="10:10" x14ac:dyDescent="0.3">
      <c r="J67218"/>
    </row>
    <row r="67219" spans="10:10" x14ac:dyDescent="0.3">
      <c r="J67219"/>
    </row>
    <row r="67220" spans="10:10" x14ac:dyDescent="0.3">
      <c r="J67220"/>
    </row>
    <row r="67221" spans="10:10" x14ac:dyDescent="0.3">
      <c r="J67221"/>
    </row>
    <row r="67222" spans="10:10" x14ac:dyDescent="0.3">
      <c r="J67222"/>
    </row>
    <row r="67223" spans="10:10" x14ac:dyDescent="0.3">
      <c r="J67223"/>
    </row>
    <row r="67224" spans="10:10" x14ac:dyDescent="0.3">
      <c r="J67224"/>
    </row>
    <row r="67225" spans="10:10" x14ac:dyDescent="0.3">
      <c r="J67225"/>
    </row>
    <row r="67226" spans="10:10" x14ac:dyDescent="0.3">
      <c r="J67226"/>
    </row>
    <row r="67227" spans="10:10" x14ac:dyDescent="0.3">
      <c r="J67227"/>
    </row>
    <row r="67228" spans="10:10" x14ac:dyDescent="0.3">
      <c r="J67228"/>
    </row>
    <row r="67229" spans="10:10" x14ac:dyDescent="0.3">
      <c r="J67229"/>
    </row>
    <row r="67230" spans="10:10" x14ac:dyDescent="0.3">
      <c r="J67230"/>
    </row>
    <row r="67231" spans="10:10" x14ac:dyDescent="0.3">
      <c r="J67231"/>
    </row>
    <row r="67232" spans="10:10" x14ac:dyDescent="0.3">
      <c r="J67232"/>
    </row>
    <row r="67233" spans="10:10" x14ac:dyDescent="0.3">
      <c r="J67233"/>
    </row>
    <row r="67234" spans="10:10" x14ac:dyDescent="0.3">
      <c r="J67234"/>
    </row>
    <row r="67235" spans="10:10" x14ac:dyDescent="0.3">
      <c r="J67235"/>
    </row>
    <row r="67236" spans="10:10" x14ac:dyDescent="0.3">
      <c r="J67236"/>
    </row>
    <row r="67237" spans="10:10" x14ac:dyDescent="0.3">
      <c r="J67237"/>
    </row>
    <row r="67238" spans="10:10" x14ac:dyDescent="0.3">
      <c r="J67238"/>
    </row>
    <row r="67239" spans="10:10" x14ac:dyDescent="0.3">
      <c r="J67239"/>
    </row>
    <row r="67240" spans="10:10" x14ac:dyDescent="0.3">
      <c r="J67240"/>
    </row>
    <row r="67241" spans="10:10" x14ac:dyDescent="0.3">
      <c r="J67241"/>
    </row>
    <row r="67242" spans="10:10" x14ac:dyDescent="0.3">
      <c r="J67242"/>
    </row>
    <row r="67243" spans="10:10" x14ac:dyDescent="0.3">
      <c r="J67243"/>
    </row>
    <row r="67244" spans="10:10" x14ac:dyDescent="0.3">
      <c r="J67244"/>
    </row>
    <row r="67245" spans="10:10" x14ac:dyDescent="0.3">
      <c r="J67245"/>
    </row>
    <row r="67246" spans="10:10" x14ac:dyDescent="0.3">
      <c r="J67246"/>
    </row>
    <row r="67247" spans="10:10" x14ac:dyDescent="0.3">
      <c r="J67247"/>
    </row>
    <row r="67248" spans="10:10" x14ac:dyDescent="0.3">
      <c r="J67248"/>
    </row>
    <row r="67249" spans="10:10" x14ac:dyDescent="0.3">
      <c r="J67249"/>
    </row>
    <row r="67250" spans="10:10" x14ac:dyDescent="0.3">
      <c r="J67250"/>
    </row>
    <row r="67251" spans="10:10" x14ac:dyDescent="0.3">
      <c r="J67251"/>
    </row>
    <row r="67252" spans="10:10" x14ac:dyDescent="0.3">
      <c r="J67252"/>
    </row>
    <row r="67253" spans="10:10" x14ac:dyDescent="0.3">
      <c r="J67253"/>
    </row>
    <row r="67254" spans="10:10" x14ac:dyDescent="0.3">
      <c r="J67254"/>
    </row>
    <row r="67255" spans="10:10" x14ac:dyDescent="0.3">
      <c r="J67255"/>
    </row>
    <row r="67256" spans="10:10" x14ac:dyDescent="0.3">
      <c r="J67256"/>
    </row>
    <row r="67257" spans="10:10" x14ac:dyDescent="0.3">
      <c r="J67257"/>
    </row>
    <row r="67258" spans="10:10" x14ac:dyDescent="0.3">
      <c r="J67258"/>
    </row>
    <row r="67259" spans="10:10" x14ac:dyDescent="0.3">
      <c r="J67259"/>
    </row>
    <row r="67260" spans="10:10" x14ac:dyDescent="0.3">
      <c r="J67260"/>
    </row>
    <row r="67261" spans="10:10" x14ac:dyDescent="0.3">
      <c r="J67261"/>
    </row>
    <row r="67262" spans="10:10" x14ac:dyDescent="0.3">
      <c r="J67262"/>
    </row>
    <row r="67263" spans="10:10" x14ac:dyDescent="0.3">
      <c r="J67263"/>
    </row>
    <row r="67264" spans="10:10" x14ac:dyDescent="0.3">
      <c r="J67264"/>
    </row>
    <row r="67265" spans="10:10" x14ac:dyDescent="0.3">
      <c r="J67265"/>
    </row>
    <row r="67266" spans="10:10" x14ac:dyDescent="0.3">
      <c r="J67266"/>
    </row>
    <row r="67267" spans="10:10" x14ac:dyDescent="0.3">
      <c r="J67267"/>
    </row>
    <row r="67268" spans="10:10" x14ac:dyDescent="0.3">
      <c r="J67268"/>
    </row>
    <row r="67269" spans="10:10" x14ac:dyDescent="0.3">
      <c r="J67269"/>
    </row>
    <row r="67270" spans="10:10" x14ac:dyDescent="0.3">
      <c r="J67270"/>
    </row>
    <row r="67271" spans="10:10" x14ac:dyDescent="0.3">
      <c r="J67271"/>
    </row>
    <row r="67272" spans="10:10" x14ac:dyDescent="0.3">
      <c r="J67272"/>
    </row>
    <row r="67273" spans="10:10" x14ac:dyDescent="0.3">
      <c r="J67273"/>
    </row>
    <row r="67274" spans="10:10" x14ac:dyDescent="0.3">
      <c r="J67274"/>
    </row>
    <row r="67275" spans="10:10" x14ac:dyDescent="0.3">
      <c r="J67275"/>
    </row>
    <row r="67276" spans="10:10" x14ac:dyDescent="0.3">
      <c r="J67276"/>
    </row>
    <row r="67277" spans="10:10" x14ac:dyDescent="0.3">
      <c r="J67277"/>
    </row>
    <row r="67278" spans="10:10" x14ac:dyDescent="0.3">
      <c r="J67278"/>
    </row>
    <row r="67279" spans="10:10" x14ac:dyDescent="0.3">
      <c r="J67279"/>
    </row>
    <row r="67280" spans="10:10" x14ac:dyDescent="0.3">
      <c r="J67280"/>
    </row>
    <row r="67281" spans="10:10" x14ac:dyDescent="0.3">
      <c r="J67281"/>
    </row>
    <row r="67282" spans="10:10" x14ac:dyDescent="0.3">
      <c r="J67282"/>
    </row>
    <row r="67283" spans="10:10" x14ac:dyDescent="0.3">
      <c r="J67283"/>
    </row>
    <row r="67284" spans="10:10" x14ac:dyDescent="0.3">
      <c r="J67284"/>
    </row>
    <row r="67285" spans="10:10" x14ac:dyDescent="0.3">
      <c r="J67285"/>
    </row>
    <row r="67286" spans="10:10" x14ac:dyDescent="0.3">
      <c r="J67286"/>
    </row>
    <row r="67287" spans="10:10" x14ac:dyDescent="0.3">
      <c r="J67287"/>
    </row>
    <row r="67288" spans="10:10" x14ac:dyDescent="0.3">
      <c r="J67288"/>
    </row>
    <row r="67289" spans="10:10" x14ac:dyDescent="0.3">
      <c r="J67289"/>
    </row>
    <row r="67290" spans="10:10" x14ac:dyDescent="0.3">
      <c r="J67290"/>
    </row>
    <row r="67291" spans="10:10" x14ac:dyDescent="0.3">
      <c r="J67291"/>
    </row>
    <row r="67292" spans="10:10" x14ac:dyDescent="0.3">
      <c r="J67292"/>
    </row>
    <row r="67293" spans="10:10" x14ac:dyDescent="0.3">
      <c r="J67293"/>
    </row>
    <row r="67294" spans="10:10" x14ac:dyDescent="0.3">
      <c r="J67294"/>
    </row>
    <row r="67295" spans="10:10" x14ac:dyDescent="0.3">
      <c r="J67295"/>
    </row>
    <row r="67296" spans="10:10" x14ac:dyDescent="0.3">
      <c r="J67296"/>
    </row>
    <row r="67297" spans="10:10" x14ac:dyDescent="0.3">
      <c r="J67297"/>
    </row>
    <row r="67298" spans="10:10" x14ac:dyDescent="0.3">
      <c r="J67298"/>
    </row>
    <row r="67299" spans="10:10" x14ac:dyDescent="0.3">
      <c r="J67299"/>
    </row>
    <row r="67300" spans="10:10" x14ac:dyDescent="0.3">
      <c r="J67300"/>
    </row>
    <row r="67301" spans="10:10" x14ac:dyDescent="0.3">
      <c r="J67301"/>
    </row>
    <row r="67302" spans="10:10" x14ac:dyDescent="0.3">
      <c r="J67302"/>
    </row>
    <row r="67303" spans="10:10" x14ac:dyDescent="0.3">
      <c r="J67303"/>
    </row>
    <row r="67304" spans="10:10" x14ac:dyDescent="0.3">
      <c r="J67304"/>
    </row>
    <row r="67305" spans="10:10" x14ac:dyDescent="0.3">
      <c r="J67305"/>
    </row>
    <row r="67306" spans="10:10" x14ac:dyDescent="0.3">
      <c r="J67306"/>
    </row>
    <row r="67307" spans="10:10" x14ac:dyDescent="0.3">
      <c r="J67307"/>
    </row>
    <row r="67308" spans="10:10" x14ac:dyDescent="0.3">
      <c r="J67308"/>
    </row>
    <row r="67309" spans="10:10" x14ac:dyDescent="0.3">
      <c r="J67309"/>
    </row>
    <row r="67310" spans="10:10" x14ac:dyDescent="0.3">
      <c r="J67310"/>
    </row>
    <row r="67311" spans="10:10" x14ac:dyDescent="0.3">
      <c r="J67311"/>
    </row>
    <row r="67312" spans="10:10" x14ac:dyDescent="0.3">
      <c r="J67312"/>
    </row>
    <row r="67313" spans="10:10" x14ac:dyDescent="0.3">
      <c r="J67313"/>
    </row>
    <row r="67314" spans="10:10" x14ac:dyDescent="0.3">
      <c r="J67314"/>
    </row>
    <row r="67315" spans="10:10" x14ac:dyDescent="0.3">
      <c r="J67315"/>
    </row>
    <row r="67316" spans="10:10" x14ac:dyDescent="0.3">
      <c r="J67316"/>
    </row>
    <row r="67317" spans="10:10" x14ac:dyDescent="0.3">
      <c r="J67317"/>
    </row>
    <row r="67318" spans="10:10" x14ac:dyDescent="0.3">
      <c r="J67318"/>
    </row>
    <row r="67319" spans="10:10" x14ac:dyDescent="0.3">
      <c r="J67319"/>
    </row>
    <row r="67320" spans="10:10" x14ac:dyDescent="0.3">
      <c r="J67320"/>
    </row>
    <row r="67321" spans="10:10" x14ac:dyDescent="0.3">
      <c r="J67321"/>
    </row>
    <row r="67322" spans="10:10" x14ac:dyDescent="0.3">
      <c r="J67322"/>
    </row>
    <row r="67323" spans="10:10" x14ac:dyDescent="0.3">
      <c r="J67323"/>
    </row>
    <row r="67324" spans="10:10" x14ac:dyDescent="0.3">
      <c r="J67324"/>
    </row>
    <row r="67325" spans="10:10" x14ac:dyDescent="0.3">
      <c r="J67325"/>
    </row>
    <row r="67326" spans="10:10" x14ac:dyDescent="0.3">
      <c r="J67326"/>
    </row>
    <row r="67327" spans="10:10" x14ac:dyDescent="0.3">
      <c r="J67327"/>
    </row>
    <row r="67328" spans="10:10" x14ac:dyDescent="0.3">
      <c r="J67328"/>
    </row>
    <row r="67329" spans="10:10" x14ac:dyDescent="0.3">
      <c r="J67329"/>
    </row>
    <row r="67330" spans="10:10" x14ac:dyDescent="0.3">
      <c r="J67330"/>
    </row>
    <row r="67331" spans="10:10" x14ac:dyDescent="0.3">
      <c r="J67331"/>
    </row>
    <row r="67332" spans="10:10" x14ac:dyDescent="0.3">
      <c r="J67332"/>
    </row>
    <row r="67333" spans="10:10" x14ac:dyDescent="0.3">
      <c r="J67333"/>
    </row>
    <row r="67334" spans="10:10" x14ac:dyDescent="0.3">
      <c r="J67334"/>
    </row>
    <row r="67335" spans="10:10" x14ac:dyDescent="0.3">
      <c r="J67335"/>
    </row>
    <row r="67336" spans="10:10" x14ac:dyDescent="0.3">
      <c r="J67336"/>
    </row>
    <row r="67337" spans="10:10" x14ac:dyDescent="0.3">
      <c r="J67337"/>
    </row>
    <row r="67338" spans="10:10" x14ac:dyDescent="0.3">
      <c r="J67338"/>
    </row>
    <row r="67339" spans="10:10" x14ac:dyDescent="0.3">
      <c r="J67339"/>
    </row>
    <row r="67340" spans="10:10" x14ac:dyDescent="0.3">
      <c r="J67340"/>
    </row>
    <row r="67341" spans="10:10" x14ac:dyDescent="0.3">
      <c r="J67341"/>
    </row>
    <row r="67342" spans="10:10" x14ac:dyDescent="0.3">
      <c r="J67342"/>
    </row>
    <row r="67343" spans="10:10" x14ac:dyDescent="0.3">
      <c r="J67343"/>
    </row>
    <row r="67344" spans="10:10" x14ac:dyDescent="0.3">
      <c r="J67344"/>
    </row>
    <row r="67345" spans="10:10" x14ac:dyDescent="0.3">
      <c r="J67345"/>
    </row>
    <row r="67346" spans="10:10" x14ac:dyDescent="0.3">
      <c r="J67346"/>
    </row>
    <row r="67347" spans="10:10" x14ac:dyDescent="0.3">
      <c r="J67347"/>
    </row>
    <row r="67348" spans="10:10" x14ac:dyDescent="0.3">
      <c r="J67348"/>
    </row>
    <row r="67349" spans="10:10" x14ac:dyDescent="0.3">
      <c r="J67349"/>
    </row>
    <row r="67350" spans="10:10" x14ac:dyDescent="0.3">
      <c r="J67350"/>
    </row>
    <row r="67351" spans="10:10" x14ac:dyDescent="0.3">
      <c r="J67351"/>
    </row>
    <row r="67352" spans="10:10" x14ac:dyDescent="0.3">
      <c r="J67352"/>
    </row>
    <row r="67353" spans="10:10" x14ac:dyDescent="0.3">
      <c r="J67353"/>
    </row>
    <row r="67354" spans="10:10" x14ac:dyDescent="0.3">
      <c r="J67354"/>
    </row>
    <row r="67355" spans="10:10" x14ac:dyDescent="0.3">
      <c r="J67355"/>
    </row>
    <row r="67356" spans="10:10" x14ac:dyDescent="0.3">
      <c r="J67356"/>
    </row>
    <row r="67357" spans="10:10" x14ac:dyDescent="0.3">
      <c r="J67357"/>
    </row>
    <row r="67358" spans="10:10" x14ac:dyDescent="0.3">
      <c r="J67358"/>
    </row>
    <row r="67359" spans="10:10" x14ac:dyDescent="0.3">
      <c r="J67359"/>
    </row>
    <row r="67360" spans="10:10" x14ac:dyDescent="0.3">
      <c r="J67360"/>
    </row>
    <row r="67361" spans="10:10" x14ac:dyDescent="0.3">
      <c r="J67361"/>
    </row>
    <row r="67362" spans="10:10" x14ac:dyDescent="0.3">
      <c r="J67362"/>
    </row>
    <row r="67363" spans="10:10" x14ac:dyDescent="0.3">
      <c r="J67363"/>
    </row>
    <row r="67364" spans="10:10" x14ac:dyDescent="0.3">
      <c r="J67364"/>
    </row>
    <row r="67365" spans="10:10" x14ac:dyDescent="0.3">
      <c r="J67365"/>
    </row>
    <row r="67366" spans="10:10" x14ac:dyDescent="0.3">
      <c r="J67366"/>
    </row>
    <row r="67367" spans="10:10" x14ac:dyDescent="0.3">
      <c r="J67367"/>
    </row>
    <row r="67368" spans="10:10" x14ac:dyDescent="0.3">
      <c r="J67368"/>
    </row>
    <row r="67369" spans="10:10" x14ac:dyDescent="0.3">
      <c r="J67369"/>
    </row>
    <row r="67370" spans="10:10" x14ac:dyDescent="0.3">
      <c r="J67370"/>
    </row>
    <row r="67371" spans="10:10" x14ac:dyDescent="0.3">
      <c r="J67371"/>
    </row>
    <row r="67372" spans="10:10" x14ac:dyDescent="0.3">
      <c r="J67372"/>
    </row>
    <row r="67373" spans="10:10" x14ac:dyDescent="0.3">
      <c r="J67373"/>
    </row>
    <row r="67374" spans="10:10" x14ac:dyDescent="0.3">
      <c r="J67374"/>
    </row>
    <row r="67375" spans="10:10" x14ac:dyDescent="0.3">
      <c r="J67375"/>
    </row>
    <row r="67376" spans="10:10" x14ac:dyDescent="0.3">
      <c r="J67376"/>
    </row>
    <row r="67377" spans="10:10" x14ac:dyDescent="0.3">
      <c r="J67377"/>
    </row>
    <row r="67378" spans="10:10" x14ac:dyDescent="0.3">
      <c r="J67378"/>
    </row>
    <row r="67379" spans="10:10" x14ac:dyDescent="0.3">
      <c r="J67379"/>
    </row>
    <row r="67380" spans="10:10" x14ac:dyDescent="0.3">
      <c r="J67380"/>
    </row>
    <row r="67381" spans="10:10" x14ac:dyDescent="0.3">
      <c r="J67381"/>
    </row>
    <row r="67382" spans="10:10" x14ac:dyDescent="0.3">
      <c r="J67382"/>
    </row>
    <row r="67383" spans="10:10" x14ac:dyDescent="0.3">
      <c r="J67383"/>
    </row>
    <row r="67384" spans="10:10" x14ac:dyDescent="0.3">
      <c r="J67384"/>
    </row>
    <row r="67385" spans="10:10" x14ac:dyDescent="0.3">
      <c r="J67385"/>
    </row>
    <row r="67386" spans="10:10" x14ac:dyDescent="0.3">
      <c r="J67386"/>
    </row>
    <row r="67387" spans="10:10" x14ac:dyDescent="0.3">
      <c r="J67387"/>
    </row>
    <row r="67388" spans="10:10" x14ac:dyDescent="0.3">
      <c r="J67388"/>
    </row>
    <row r="67389" spans="10:10" x14ac:dyDescent="0.3">
      <c r="J67389"/>
    </row>
    <row r="67390" spans="10:10" x14ac:dyDescent="0.3">
      <c r="J67390"/>
    </row>
    <row r="67391" spans="10:10" x14ac:dyDescent="0.3">
      <c r="J67391"/>
    </row>
    <row r="67392" spans="10:10" x14ac:dyDescent="0.3">
      <c r="J67392"/>
    </row>
    <row r="67393" spans="10:10" x14ac:dyDescent="0.3">
      <c r="J67393"/>
    </row>
    <row r="67394" spans="10:10" x14ac:dyDescent="0.3">
      <c r="J67394"/>
    </row>
    <row r="67395" spans="10:10" x14ac:dyDescent="0.3">
      <c r="J67395"/>
    </row>
    <row r="67396" spans="10:10" x14ac:dyDescent="0.3">
      <c r="J67396"/>
    </row>
    <row r="67397" spans="10:10" x14ac:dyDescent="0.3">
      <c r="J67397"/>
    </row>
    <row r="67398" spans="10:10" x14ac:dyDescent="0.3">
      <c r="J67398"/>
    </row>
    <row r="67399" spans="10:10" x14ac:dyDescent="0.3">
      <c r="J67399"/>
    </row>
    <row r="67400" spans="10:10" x14ac:dyDescent="0.3">
      <c r="J67400"/>
    </row>
    <row r="67401" spans="10:10" x14ac:dyDescent="0.3">
      <c r="J67401"/>
    </row>
    <row r="67402" spans="10:10" x14ac:dyDescent="0.3">
      <c r="J67402"/>
    </row>
    <row r="67403" spans="10:10" x14ac:dyDescent="0.3">
      <c r="J67403"/>
    </row>
    <row r="67404" spans="10:10" x14ac:dyDescent="0.3">
      <c r="J67404"/>
    </row>
    <row r="67405" spans="10:10" x14ac:dyDescent="0.3">
      <c r="J67405"/>
    </row>
    <row r="67406" spans="10:10" x14ac:dyDescent="0.3">
      <c r="J67406"/>
    </row>
    <row r="67407" spans="10:10" x14ac:dyDescent="0.3">
      <c r="J67407"/>
    </row>
    <row r="67408" spans="10:10" x14ac:dyDescent="0.3">
      <c r="J67408"/>
    </row>
    <row r="67409" spans="10:10" x14ac:dyDescent="0.3">
      <c r="J67409"/>
    </row>
    <row r="67410" spans="10:10" x14ac:dyDescent="0.3">
      <c r="J67410"/>
    </row>
    <row r="67411" spans="10:10" x14ac:dyDescent="0.3">
      <c r="J67411"/>
    </row>
    <row r="67412" spans="10:10" x14ac:dyDescent="0.3">
      <c r="J67412"/>
    </row>
    <row r="67413" spans="10:10" x14ac:dyDescent="0.3">
      <c r="J67413"/>
    </row>
    <row r="67414" spans="10:10" x14ac:dyDescent="0.3">
      <c r="J67414"/>
    </row>
    <row r="67415" spans="10:10" x14ac:dyDescent="0.3">
      <c r="J67415"/>
    </row>
    <row r="67416" spans="10:10" x14ac:dyDescent="0.3">
      <c r="J67416"/>
    </row>
    <row r="67417" spans="10:10" x14ac:dyDescent="0.3">
      <c r="J67417"/>
    </row>
    <row r="67418" spans="10:10" x14ac:dyDescent="0.3">
      <c r="J67418"/>
    </row>
    <row r="67419" spans="10:10" x14ac:dyDescent="0.3">
      <c r="J67419"/>
    </row>
    <row r="67420" spans="10:10" x14ac:dyDescent="0.3">
      <c r="J67420"/>
    </row>
    <row r="67421" spans="10:10" x14ac:dyDescent="0.3">
      <c r="J67421"/>
    </row>
    <row r="67422" spans="10:10" x14ac:dyDescent="0.3">
      <c r="J67422"/>
    </row>
    <row r="67423" spans="10:10" x14ac:dyDescent="0.3">
      <c r="J67423"/>
    </row>
    <row r="67424" spans="10:10" x14ac:dyDescent="0.3">
      <c r="J67424"/>
    </row>
    <row r="67425" spans="10:10" x14ac:dyDescent="0.3">
      <c r="J67425"/>
    </row>
    <row r="67426" spans="10:10" x14ac:dyDescent="0.3">
      <c r="J67426"/>
    </row>
    <row r="67427" spans="10:10" x14ac:dyDescent="0.3">
      <c r="J67427"/>
    </row>
    <row r="67428" spans="10:10" x14ac:dyDescent="0.3">
      <c r="J67428"/>
    </row>
    <row r="67429" spans="10:10" x14ac:dyDescent="0.3">
      <c r="J67429"/>
    </row>
    <row r="67430" spans="10:10" x14ac:dyDescent="0.3">
      <c r="J67430"/>
    </row>
    <row r="67431" spans="10:10" x14ac:dyDescent="0.3">
      <c r="J67431"/>
    </row>
    <row r="67432" spans="10:10" x14ac:dyDescent="0.3">
      <c r="J67432"/>
    </row>
    <row r="67433" spans="10:10" x14ac:dyDescent="0.3">
      <c r="J67433"/>
    </row>
    <row r="67434" spans="10:10" x14ac:dyDescent="0.3">
      <c r="J67434"/>
    </row>
    <row r="67435" spans="10:10" x14ac:dyDescent="0.3">
      <c r="J67435"/>
    </row>
    <row r="67436" spans="10:10" x14ac:dyDescent="0.3">
      <c r="J67436"/>
    </row>
    <row r="67437" spans="10:10" x14ac:dyDescent="0.3">
      <c r="J67437"/>
    </row>
    <row r="67438" spans="10:10" x14ac:dyDescent="0.3">
      <c r="J67438"/>
    </row>
    <row r="67439" spans="10:10" x14ac:dyDescent="0.3">
      <c r="J67439"/>
    </row>
    <row r="67440" spans="10:10" x14ac:dyDescent="0.3">
      <c r="J67440"/>
    </row>
    <row r="67441" spans="10:10" x14ac:dyDescent="0.3">
      <c r="J67441"/>
    </row>
    <row r="67442" spans="10:10" x14ac:dyDescent="0.3">
      <c r="J67442"/>
    </row>
    <row r="67443" spans="10:10" x14ac:dyDescent="0.3">
      <c r="J67443"/>
    </row>
    <row r="67444" spans="10:10" x14ac:dyDescent="0.3">
      <c r="J67444"/>
    </row>
    <row r="67445" spans="10:10" x14ac:dyDescent="0.3">
      <c r="J67445"/>
    </row>
    <row r="67446" spans="10:10" x14ac:dyDescent="0.3">
      <c r="J67446"/>
    </row>
    <row r="67447" spans="10:10" x14ac:dyDescent="0.3">
      <c r="J67447"/>
    </row>
    <row r="67448" spans="10:10" x14ac:dyDescent="0.3">
      <c r="J67448"/>
    </row>
    <row r="67449" spans="10:10" x14ac:dyDescent="0.3">
      <c r="J67449"/>
    </row>
    <row r="67450" spans="10:10" x14ac:dyDescent="0.3">
      <c r="J67450"/>
    </row>
    <row r="67451" spans="10:10" x14ac:dyDescent="0.3">
      <c r="J67451"/>
    </row>
    <row r="67452" spans="10:10" x14ac:dyDescent="0.3">
      <c r="J67452"/>
    </row>
    <row r="67453" spans="10:10" x14ac:dyDescent="0.3">
      <c r="J67453"/>
    </row>
    <row r="67454" spans="10:10" x14ac:dyDescent="0.3">
      <c r="J67454"/>
    </row>
    <row r="67455" spans="10:10" x14ac:dyDescent="0.3">
      <c r="J67455"/>
    </row>
    <row r="67456" spans="10:10" x14ac:dyDescent="0.3">
      <c r="J67456"/>
    </row>
    <row r="67457" spans="10:10" x14ac:dyDescent="0.3">
      <c r="J67457"/>
    </row>
    <row r="67458" spans="10:10" x14ac:dyDescent="0.3">
      <c r="J67458"/>
    </row>
    <row r="67459" spans="10:10" x14ac:dyDescent="0.3">
      <c r="J67459"/>
    </row>
    <row r="67460" spans="10:10" x14ac:dyDescent="0.3">
      <c r="J67460"/>
    </row>
    <row r="67461" spans="10:10" x14ac:dyDescent="0.3">
      <c r="J67461"/>
    </row>
    <row r="67462" spans="10:10" x14ac:dyDescent="0.3">
      <c r="J67462"/>
    </row>
    <row r="67463" spans="10:10" x14ac:dyDescent="0.3">
      <c r="J67463"/>
    </row>
    <row r="67464" spans="10:10" x14ac:dyDescent="0.3">
      <c r="J67464"/>
    </row>
    <row r="67465" spans="10:10" x14ac:dyDescent="0.3">
      <c r="J67465"/>
    </row>
    <row r="67466" spans="10:10" x14ac:dyDescent="0.3">
      <c r="J67466"/>
    </row>
    <row r="67467" spans="10:10" x14ac:dyDescent="0.3">
      <c r="J67467"/>
    </row>
    <row r="67468" spans="10:10" x14ac:dyDescent="0.3">
      <c r="J67468"/>
    </row>
    <row r="67469" spans="10:10" x14ac:dyDescent="0.3">
      <c r="J67469"/>
    </row>
    <row r="67470" spans="10:10" x14ac:dyDescent="0.3">
      <c r="J67470"/>
    </row>
    <row r="67471" spans="10:10" x14ac:dyDescent="0.3">
      <c r="J67471"/>
    </row>
    <row r="67472" spans="10:10" x14ac:dyDescent="0.3">
      <c r="J67472"/>
    </row>
    <row r="67473" spans="10:10" x14ac:dyDescent="0.3">
      <c r="J67473"/>
    </row>
    <row r="67474" spans="10:10" x14ac:dyDescent="0.3">
      <c r="J67474"/>
    </row>
    <row r="67475" spans="10:10" x14ac:dyDescent="0.3">
      <c r="J67475"/>
    </row>
    <row r="67476" spans="10:10" x14ac:dyDescent="0.3">
      <c r="J67476"/>
    </row>
    <row r="67477" spans="10:10" x14ac:dyDescent="0.3">
      <c r="J67477"/>
    </row>
    <row r="67478" spans="10:10" x14ac:dyDescent="0.3">
      <c r="J67478"/>
    </row>
    <row r="67479" spans="10:10" x14ac:dyDescent="0.3">
      <c r="J67479"/>
    </row>
    <row r="67480" spans="10:10" x14ac:dyDescent="0.3">
      <c r="J67480"/>
    </row>
    <row r="67481" spans="10:10" x14ac:dyDescent="0.3">
      <c r="J67481"/>
    </row>
    <row r="67482" spans="10:10" x14ac:dyDescent="0.3">
      <c r="J67482"/>
    </row>
    <row r="67483" spans="10:10" x14ac:dyDescent="0.3">
      <c r="J67483"/>
    </row>
    <row r="67484" spans="10:10" x14ac:dyDescent="0.3">
      <c r="J67484"/>
    </row>
    <row r="67485" spans="10:10" x14ac:dyDescent="0.3">
      <c r="J67485"/>
    </row>
    <row r="67486" spans="10:10" x14ac:dyDescent="0.3">
      <c r="J67486"/>
    </row>
    <row r="67487" spans="10:10" x14ac:dyDescent="0.3">
      <c r="J67487"/>
    </row>
    <row r="67488" spans="10:10" x14ac:dyDescent="0.3">
      <c r="J67488"/>
    </row>
    <row r="67489" spans="10:10" x14ac:dyDescent="0.3">
      <c r="J67489"/>
    </row>
    <row r="67490" spans="10:10" x14ac:dyDescent="0.3">
      <c r="J67490"/>
    </row>
    <row r="67491" spans="10:10" x14ac:dyDescent="0.3">
      <c r="J67491"/>
    </row>
    <row r="67492" spans="10:10" x14ac:dyDescent="0.3">
      <c r="J67492"/>
    </row>
    <row r="67493" spans="10:10" x14ac:dyDescent="0.3">
      <c r="J67493"/>
    </row>
    <row r="67494" spans="10:10" x14ac:dyDescent="0.3">
      <c r="J67494"/>
    </row>
    <row r="67495" spans="10:10" x14ac:dyDescent="0.3">
      <c r="J67495"/>
    </row>
    <row r="67496" spans="10:10" x14ac:dyDescent="0.3">
      <c r="J67496"/>
    </row>
    <row r="67497" spans="10:10" x14ac:dyDescent="0.3">
      <c r="J67497"/>
    </row>
    <row r="67498" spans="10:10" x14ac:dyDescent="0.3">
      <c r="J67498"/>
    </row>
    <row r="67499" spans="10:10" x14ac:dyDescent="0.3">
      <c r="J67499"/>
    </row>
    <row r="67500" spans="10:10" x14ac:dyDescent="0.3">
      <c r="J67500"/>
    </row>
    <row r="67501" spans="10:10" x14ac:dyDescent="0.3">
      <c r="J67501"/>
    </row>
    <row r="67502" spans="10:10" x14ac:dyDescent="0.3">
      <c r="J67502"/>
    </row>
    <row r="67503" spans="10:10" x14ac:dyDescent="0.3">
      <c r="J67503"/>
    </row>
    <row r="67504" spans="10:10" x14ac:dyDescent="0.3">
      <c r="J67504"/>
    </row>
    <row r="67505" spans="10:10" x14ac:dyDescent="0.3">
      <c r="J67505"/>
    </row>
    <row r="67506" spans="10:10" x14ac:dyDescent="0.3">
      <c r="J67506"/>
    </row>
    <row r="67507" spans="10:10" x14ac:dyDescent="0.3">
      <c r="J67507"/>
    </row>
    <row r="67508" spans="10:10" x14ac:dyDescent="0.3">
      <c r="J67508"/>
    </row>
    <row r="67509" spans="10:10" x14ac:dyDescent="0.3">
      <c r="J67509"/>
    </row>
    <row r="67510" spans="10:10" x14ac:dyDescent="0.3">
      <c r="J67510"/>
    </row>
    <row r="67511" spans="10:10" x14ac:dyDescent="0.3">
      <c r="J67511"/>
    </row>
    <row r="67512" spans="10:10" x14ac:dyDescent="0.3">
      <c r="J67512"/>
    </row>
    <row r="67513" spans="10:10" x14ac:dyDescent="0.3">
      <c r="J67513"/>
    </row>
    <row r="67514" spans="10:10" x14ac:dyDescent="0.3">
      <c r="J67514"/>
    </row>
    <row r="67515" spans="10:10" x14ac:dyDescent="0.3">
      <c r="J67515"/>
    </row>
    <row r="67516" spans="10:10" x14ac:dyDescent="0.3">
      <c r="J67516"/>
    </row>
    <row r="67517" spans="10:10" x14ac:dyDescent="0.3">
      <c r="J67517"/>
    </row>
    <row r="67518" spans="10:10" x14ac:dyDescent="0.3">
      <c r="J67518"/>
    </row>
    <row r="67519" spans="10:10" x14ac:dyDescent="0.3">
      <c r="J67519"/>
    </row>
    <row r="67520" spans="10:10" x14ac:dyDescent="0.3">
      <c r="J67520"/>
    </row>
    <row r="67521" spans="10:10" x14ac:dyDescent="0.3">
      <c r="J67521"/>
    </row>
    <row r="67522" spans="10:10" x14ac:dyDescent="0.3">
      <c r="J67522"/>
    </row>
    <row r="67523" spans="10:10" x14ac:dyDescent="0.3">
      <c r="J67523"/>
    </row>
    <row r="67524" spans="10:10" x14ac:dyDescent="0.3">
      <c r="J67524"/>
    </row>
    <row r="67525" spans="10:10" x14ac:dyDescent="0.3">
      <c r="J67525"/>
    </row>
    <row r="67526" spans="10:10" x14ac:dyDescent="0.3">
      <c r="J67526"/>
    </row>
    <row r="67527" spans="10:10" x14ac:dyDescent="0.3">
      <c r="J67527"/>
    </row>
    <row r="67528" spans="10:10" x14ac:dyDescent="0.3">
      <c r="J67528"/>
    </row>
    <row r="67529" spans="10:10" x14ac:dyDescent="0.3">
      <c r="J67529"/>
    </row>
    <row r="67530" spans="10:10" x14ac:dyDescent="0.3">
      <c r="J67530"/>
    </row>
    <row r="67531" spans="10:10" x14ac:dyDescent="0.3">
      <c r="J67531"/>
    </row>
    <row r="67532" spans="10:10" x14ac:dyDescent="0.3">
      <c r="J67532"/>
    </row>
    <row r="67533" spans="10:10" x14ac:dyDescent="0.3">
      <c r="J67533"/>
    </row>
    <row r="67534" spans="10:10" x14ac:dyDescent="0.3">
      <c r="J67534"/>
    </row>
    <row r="67535" spans="10:10" x14ac:dyDescent="0.3">
      <c r="J67535"/>
    </row>
    <row r="67536" spans="10:10" x14ac:dyDescent="0.3">
      <c r="J67536"/>
    </row>
    <row r="67537" spans="10:10" x14ac:dyDescent="0.3">
      <c r="J67537"/>
    </row>
    <row r="67538" spans="10:10" x14ac:dyDescent="0.3">
      <c r="J67538"/>
    </row>
    <row r="67539" spans="10:10" x14ac:dyDescent="0.3">
      <c r="J67539"/>
    </row>
    <row r="67540" spans="10:10" x14ac:dyDescent="0.3">
      <c r="J67540"/>
    </row>
    <row r="67541" spans="10:10" x14ac:dyDescent="0.3">
      <c r="J67541"/>
    </row>
    <row r="67542" spans="10:10" x14ac:dyDescent="0.3">
      <c r="J67542"/>
    </row>
    <row r="67543" spans="10:10" x14ac:dyDescent="0.3">
      <c r="J67543"/>
    </row>
    <row r="67544" spans="10:10" x14ac:dyDescent="0.3">
      <c r="J67544"/>
    </row>
    <row r="67545" spans="10:10" x14ac:dyDescent="0.3">
      <c r="J67545"/>
    </row>
    <row r="67546" spans="10:10" x14ac:dyDescent="0.3">
      <c r="J67546"/>
    </row>
    <row r="67547" spans="10:10" x14ac:dyDescent="0.3">
      <c r="J67547"/>
    </row>
    <row r="67548" spans="10:10" x14ac:dyDescent="0.3">
      <c r="J67548"/>
    </row>
    <row r="67549" spans="10:10" x14ac:dyDescent="0.3">
      <c r="J67549"/>
    </row>
    <row r="67550" spans="10:10" x14ac:dyDescent="0.3">
      <c r="J67550"/>
    </row>
    <row r="67551" spans="10:10" x14ac:dyDescent="0.3">
      <c r="J67551"/>
    </row>
    <row r="67552" spans="10:10" x14ac:dyDescent="0.3">
      <c r="J67552"/>
    </row>
    <row r="67553" spans="10:10" x14ac:dyDescent="0.3">
      <c r="J67553"/>
    </row>
    <row r="67554" spans="10:10" x14ac:dyDescent="0.3">
      <c r="J67554"/>
    </row>
    <row r="67555" spans="10:10" x14ac:dyDescent="0.3">
      <c r="J67555"/>
    </row>
    <row r="67556" spans="10:10" x14ac:dyDescent="0.3">
      <c r="J67556"/>
    </row>
    <row r="67557" spans="10:10" x14ac:dyDescent="0.3">
      <c r="J67557"/>
    </row>
    <row r="67558" spans="10:10" x14ac:dyDescent="0.3">
      <c r="J67558"/>
    </row>
    <row r="67559" spans="10:10" x14ac:dyDescent="0.3">
      <c r="J67559"/>
    </row>
    <row r="67560" spans="10:10" x14ac:dyDescent="0.3">
      <c r="J67560"/>
    </row>
    <row r="67561" spans="10:10" x14ac:dyDescent="0.3">
      <c r="J67561"/>
    </row>
    <row r="67562" spans="10:10" x14ac:dyDescent="0.3">
      <c r="J67562"/>
    </row>
    <row r="67563" spans="10:10" x14ac:dyDescent="0.3">
      <c r="J67563"/>
    </row>
    <row r="67564" spans="10:10" x14ac:dyDescent="0.3">
      <c r="J67564"/>
    </row>
    <row r="67565" spans="10:10" x14ac:dyDescent="0.3">
      <c r="J67565"/>
    </row>
    <row r="67566" spans="10:10" x14ac:dyDescent="0.3">
      <c r="J67566"/>
    </row>
    <row r="67567" spans="10:10" x14ac:dyDescent="0.3">
      <c r="J67567"/>
    </row>
    <row r="67568" spans="10:10" x14ac:dyDescent="0.3">
      <c r="J67568"/>
    </row>
    <row r="67569" spans="10:10" x14ac:dyDescent="0.3">
      <c r="J67569"/>
    </row>
    <row r="67570" spans="10:10" x14ac:dyDescent="0.3">
      <c r="J67570"/>
    </row>
    <row r="67571" spans="10:10" x14ac:dyDescent="0.3">
      <c r="J67571"/>
    </row>
    <row r="67572" spans="10:10" x14ac:dyDescent="0.3">
      <c r="J67572"/>
    </row>
    <row r="67573" spans="10:10" x14ac:dyDescent="0.3">
      <c r="J67573"/>
    </row>
    <row r="67574" spans="10:10" x14ac:dyDescent="0.3">
      <c r="J67574"/>
    </row>
    <row r="67575" spans="10:10" x14ac:dyDescent="0.3">
      <c r="J67575"/>
    </row>
    <row r="67576" spans="10:10" x14ac:dyDescent="0.3">
      <c r="J67576"/>
    </row>
    <row r="67577" spans="10:10" x14ac:dyDescent="0.3">
      <c r="J67577"/>
    </row>
    <row r="67578" spans="10:10" x14ac:dyDescent="0.3">
      <c r="J67578"/>
    </row>
    <row r="67579" spans="10:10" x14ac:dyDescent="0.3">
      <c r="J67579"/>
    </row>
    <row r="67580" spans="10:10" x14ac:dyDescent="0.3">
      <c r="J67580"/>
    </row>
    <row r="67581" spans="10:10" x14ac:dyDescent="0.3">
      <c r="J67581"/>
    </row>
    <row r="67582" spans="10:10" x14ac:dyDescent="0.3">
      <c r="J67582"/>
    </row>
    <row r="67583" spans="10:10" x14ac:dyDescent="0.3">
      <c r="J67583"/>
    </row>
    <row r="67584" spans="10:10" x14ac:dyDescent="0.3">
      <c r="J67584"/>
    </row>
    <row r="67585" spans="10:10" x14ac:dyDescent="0.3">
      <c r="J67585"/>
    </row>
    <row r="67586" spans="10:10" x14ac:dyDescent="0.3">
      <c r="J67586"/>
    </row>
    <row r="67587" spans="10:10" x14ac:dyDescent="0.3">
      <c r="J67587"/>
    </row>
    <row r="67588" spans="10:10" x14ac:dyDescent="0.3">
      <c r="J67588"/>
    </row>
    <row r="67589" spans="10:10" x14ac:dyDescent="0.3">
      <c r="J67589"/>
    </row>
    <row r="67590" spans="10:10" x14ac:dyDescent="0.3">
      <c r="J67590"/>
    </row>
    <row r="67591" spans="10:10" x14ac:dyDescent="0.3">
      <c r="J67591"/>
    </row>
    <row r="67592" spans="10:10" x14ac:dyDescent="0.3">
      <c r="J67592"/>
    </row>
    <row r="67593" spans="10:10" x14ac:dyDescent="0.3">
      <c r="J67593"/>
    </row>
    <row r="67594" spans="10:10" x14ac:dyDescent="0.3">
      <c r="J67594"/>
    </row>
    <row r="67595" spans="10:10" x14ac:dyDescent="0.3">
      <c r="J67595"/>
    </row>
    <row r="67596" spans="10:10" x14ac:dyDescent="0.3">
      <c r="J67596"/>
    </row>
    <row r="67597" spans="10:10" x14ac:dyDescent="0.3">
      <c r="J67597"/>
    </row>
    <row r="67598" spans="10:10" x14ac:dyDescent="0.3">
      <c r="J67598"/>
    </row>
    <row r="67599" spans="10:10" x14ac:dyDescent="0.3">
      <c r="J67599"/>
    </row>
    <row r="67600" spans="10:10" x14ac:dyDescent="0.3">
      <c r="J67600"/>
    </row>
    <row r="67601" spans="10:10" x14ac:dyDescent="0.3">
      <c r="J67601"/>
    </row>
    <row r="67602" spans="10:10" x14ac:dyDescent="0.3">
      <c r="J67602"/>
    </row>
    <row r="67603" spans="10:10" x14ac:dyDescent="0.3">
      <c r="J67603"/>
    </row>
    <row r="67604" spans="10:10" x14ac:dyDescent="0.3">
      <c r="J67604"/>
    </row>
    <row r="67605" spans="10:10" x14ac:dyDescent="0.3">
      <c r="J67605"/>
    </row>
    <row r="67606" spans="10:10" x14ac:dyDescent="0.3">
      <c r="J67606"/>
    </row>
    <row r="67607" spans="10:10" x14ac:dyDescent="0.3">
      <c r="J67607"/>
    </row>
    <row r="67608" spans="10:10" x14ac:dyDescent="0.3">
      <c r="J67608"/>
    </row>
    <row r="67609" spans="10:10" x14ac:dyDescent="0.3">
      <c r="J67609"/>
    </row>
    <row r="67610" spans="10:10" x14ac:dyDescent="0.3">
      <c r="J67610"/>
    </row>
    <row r="67611" spans="10:10" x14ac:dyDescent="0.3">
      <c r="J67611"/>
    </row>
    <row r="67612" spans="10:10" x14ac:dyDescent="0.3">
      <c r="J67612"/>
    </row>
    <row r="67613" spans="10:10" x14ac:dyDescent="0.3">
      <c r="J67613"/>
    </row>
    <row r="67614" spans="10:10" x14ac:dyDescent="0.3">
      <c r="J67614"/>
    </row>
    <row r="67615" spans="10:10" x14ac:dyDescent="0.3">
      <c r="J67615"/>
    </row>
    <row r="67616" spans="10:10" x14ac:dyDescent="0.3">
      <c r="J67616"/>
    </row>
    <row r="67617" spans="10:10" x14ac:dyDescent="0.3">
      <c r="J67617"/>
    </row>
    <row r="67618" spans="10:10" x14ac:dyDescent="0.3">
      <c r="J67618"/>
    </row>
    <row r="67619" spans="10:10" x14ac:dyDescent="0.3">
      <c r="J67619"/>
    </row>
    <row r="67620" spans="10:10" x14ac:dyDescent="0.3">
      <c r="J67620"/>
    </row>
    <row r="67621" spans="10:10" x14ac:dyDescent="0.3">
      <c r="J67621"/>
    </row>
    <row r="67622" spans="10:10" x14ac:dyDescent="0.3">
      <c r="J67622"/>
    </row>
    <row r="67623" spans="10:10" x14ac:dyDescent="0.3">
      <c r="J67623"/>
    </row>
    <row r="67624" spans="10:10" x14ac:dyDescent="0.3">
      <c r="J67624"/>
    </row>
    <row r="67625" spans="10:10" x14ac:dyDescent="0.3">
      <c r="J67625"/>
    </row>
    <row r="67626" spans="10:10" x14ac:dyDescent="0.3">
      <c r="J67626"/>
    </row>
    <row r="67627" spans="10:10" x14ac:dyDescent="0.3">
      <c r="J67627"/>
    </row>
    <row r="67628" spans="10:10" x14ac:dyDescent="0.3">
      <c r="J67628"/>
    </row>
    <row r="67629" spans="10:10" x14ac:dyDescent="0.3">
      <c r="J67629"/>
    </row>
    <row r="67630" spans="10:10" x14ac:dyDescent="0.3">
      <c r="J67630"/>
    </row>
    <row r="67631" spans="10:10" x14ac:dyDescent="0.3">
      <c r="J67631"/>
    </row>
    <row r="67632" spans="10:10" x14ac:dyDescent="0.3">
      <c r="J67632"/>
    </row>
    <row r="67633" spans="10:10" x14ac:dyDescent="0.3">
      <c r="J67633"/>
    </row>
    <row r="67634" spans="10:10" x14ac:dyDescent="0.3">
      <c r="J67634"/>
    </row>
    <row r="67635" spans="10:10" x14ac:dyDescent="0.3">
      <c r="J67635"/>
    </row>
    <row r="67636" spans="10:10" x14ac:dyDescent="0.3">
      <c r="J67636"/>
    </row>
    <row r="67637" spans="10:10" x14ac:dyDescent="0.3">
      <c r="J67637"/>
    </row>
    <row r="67638" spans="10:10" x14ac:dyDescent="0.3">
      <c r="J67638"/>
    </row>
    <row r="67639" spans="10:10" x14ac:dyDescent="0.3">
      <c r="J67639"/>
    </row>
    <row r="67640" spans="10:10" x14ac:dyDescent="0.3">
      <c r="J67640"/>
    </row>
    <row r="67641" spans="10:10" x14ac:dyDescent="0.3">
      <c r="J67641"/>
    </row>
    <row r="67642" spans="10:10" x14ac:dyDescent="0.3">
      <c r="J67642"/>
    </row>
    <row r="67643" spans="10:10" x14ac:dyDescent="0.3">
      <c r="J67643"/>
    </row>
    <row r="67644" spans="10:10" x14ac:dyDescent="0.3">
      <c r="J67644"/>
    </row>
    <row r="67645" spans="10:10" x14ac:dyDescent="0.3">
      <c r="J67645"/>
    </row>
    <row r="67646" spans="10:10" x14ac:dyDescent="0.3">
      <c r="J67646"/>
    </row>
    <row r="67647" spans="10:10" x14ac:dyDescent="0.3">
      <c r="J67647"/>
    </row>
    <row r="67648" spans="10:10" x14ac:dyDescent="0.3">
      <c r="J67648"/>
    </row>
    <row r="67649" spans="10:10" x14ac:dyDescent="0.3">
      <c r="J67649"/>
    </row>
    <row r="67650" spans="10:10" x14ac:dyDescent="0.3">
      <c r="J67650"/>
    </row>
    <row r="67651" spans="10:10" x14ac:dyDescent="0.3">
      <c r="J67651"/>
    </row>
    <row r="67652" spans="10:10" x14ac:dyDescent="0.3">
      <c r="J67652"/>
    </row>
    <row r="67653" spans="10:10" x14ac:dyDescent="0.3">
      <c r="J67653"/>
    </row>
    <row r="67654" spans="10:10" x14ac:dyDescent="0.3">
      <c r="J67654"/>
    </row>
    <row r="67655" spans="10:10" x14ac:dyDescent="0.3">
      <c r="J67655"/>
    </row>
    <row r="67656" spans="10:10" x14ac:dyDescent="0.3">
      <c r="J67656"/>
    </row>
    <row r="67657" spans="10:10" x14ac:dyDescent="0.3">
      <c r="J67657"/>
    </row>
    <row r="67658" spans="10:10" x14ac:dyDescent="0.3">
      <c r="J67658"/>
    </row>
    <row r="67659" spans="10:10" x14ac:dyDescent="0.3">
      <c r="J67659"/>
    </row>
    <row r="67660" spans="10:10" x14ac:dyDescent="0.3">
      <c r="J67660"/>
    </row>
    <row r="67661" spans="10:10" x14ac:dyDescent="0.3">
      <c r="J67661"/>
    </row>
    <row r="67662" spans="10:10" x14ac:dyDescent="0.3">
      <c r="J67662"/>
    </row>
    <row r="67663" spans="10:10" x14ac:dyDescent="0.3">
      <c r="J67663"/>
    </row>
    <row r="67664" spans="10:10" x14ac:dyDescent="0.3">
      <c r="J67664"/>
    </row>
    <row r="67665" spans="10:10" x14ac:dyDescent="0.3">
      <c r="J67665"/>
    </row>
    <row r="67666" spans="10:10" x14ac:dyDescent="0.3">
      <c r="J67666"/>
    </row>
    <row r="67667" spans="10:10" x14ac:dyDescent="0.3">
      <c r="J67667"/>
    </row>
    <row r="67668" spans="10:10" x14ac:dyDescent="0.3">
      <c r="J67668"/>
    </row>
    <row r="67669" spans="10:10" x14ac:dyDescent="0.3">
      <c r="J67669"/>
    </row>
    <row r="67670" spans="10:10" x14ac:dyDescent="0.3">
      <c r="J67670"/>
    </row>
    <row r="67671" spans="10:10" x14ac:dyDescent="0.3">
      <c r="J67671"/>
    </row>
    <row r="67672" spans="10:10" x14ac:dyDescent="0.3">
      <c r="J67672"/>
    </row>
    <row r="67673" spans="10:10" x14ac:dyDescent="0.3">
      <c r="J67673"/>
    </row>
    <row r="67674" spans="10:10" x14ac:dyDescent="0.3">
      <c r="J67674"/>
    </row>
    <row r="67675" spans="10:10" x14ac:dyDescent="0.3">
      <c r="J67675"/>
    </row>
    <row r="67676" spans="10:10" x14ac:dyDescent="0.3">
      <c r="J67676"/>
    </row>
    <row r="67677" spans="10:10" x14ac:dyDescent="0.3">
      <c r="J67677"/>
    </row>
    <row r="67678" spans="10:10" x14ac:dyDescent="0.3">
      <c r="J67678"/>
    </row>
    <row r="67679" spans="10:10" x14ac:dyDescent="0.3">
      <c r="J67679"/>
    </row>
    <row r="67680" spans="10:10" x14ac:dyDescent="0.3">
      <c r="J67680"/>
    </row>
    <row r="67681" spans="10:10" x14ac:dyDescent="0.3">
      <c r="J67681"/>
    </row>
    <row r="67682" spans="10:10" x14ac:dyDescent="0.3">
      <c r="J67682"/>
    </row>
    <row r="67683" spans="10:10" x14ac:dyDescent="0.3">
      <c r="J67683"/>
    </row>
    <row r="67684" spans="10:10" x14ac:dyDescent="0.3">
      <c r="J67684"/>
    </row>
    <row r="67685" spans="10:10" x14ac:dyDescent="0.3">
      <c r="J67685"/>
    </row>
    <row r="67686" spans="10:10" x14ac:dyDescent="0.3">
      <c r="J67686"/>
    </row>
    <row r="67687" spans="10:10" x14ac:dyDescent="0.3">
      <c r="J67687"/>
    </row>
    <row r="67688" spans="10:10" x14ac:dyDescent="0.3">
      <c r="J67688"/>
    </row>
    <row r="67689" spans="10:10" x14ac:dyDescent="0.3">
      <c r="J67689"/>
    </row>
    <row r="67690" spans="10:10" x14ac:dyDescent="0.3">
      <c r="J67690"/>
    </row>
    <row r="67691" spans="10:10" x14ac:dyDescent="0.3">
      <c r="J67691"/>
    </row>
    <row r="67692" spans="10:10" x14ac:dyDescent="0.3">
      <c r="J67692"/>
    </row>
    <row r="67693" spans="10:10" x14ac:dyDescent="0.3">
      <c r="J67693"/>
    </row>
    <row r="67694" spans="10:10" x14ac:dyDescent="0.3">
      <c r="J67694"/>
    </row>
    <row r="67695" spans="10:10" x14ac:dyDescent="0.3">
      <c r="J67695"/>
    </row>
    <row r="67696" spans="10:10" x14ac:dyDescent="0.3">
      <c r="J67696"/>
    </row>
    <row r="67697" spans="10:10" x14ac:dyDescent="0.3">
      <c r="J67697"/>
    </row>
    <row r="67698" spans="10:10" x14ac:dyDescent="0.3">
      <c r="J67698"/>
    </row>
    <row r="67699" spans="10:10" x14ac:dyDescent="0.3">
      <c r="J67699"/>
    </row>
    <row r="67700" spans="10:10" x14ac:dyDescent="0.3">
      <c r="J67700"/>
    </row>
    <row r="67701" spans="10:10" x14ac:dyDescent="0.3">
      <c r="J67701"/>
    </row>
    <row r="67702" spans="10:10" x14ac:dyDescent="0.3">
      <c r="J67702"/>
    </row>
    <row r="67703" spans="10:10" x14ac:dyDescent="0.3">
      <c r="J67703"/>
    </row>
    <row r="67704" spans="10:10" x14ac:dyDescent="0.3">
      <c r="J67704"/>
    </row>
    <row r="67705" spans="10:10" x14ac:dyDescent="0.3">
      <c r="J67705"/>
    </row>
    <row r="67706" spans="10:10" x14ac:dyDescent="0.3">
      <c r="J67706"/>
    </row>
    <row r="67707" spans="10:10" x14ac:dyDescent="0.3">
      <c r="J67707"/>
    </row>
    <row r="67708" spans="10:10" x14ac:dyDescent="0.3">
      <c r="J67708"/>
    </row>
    <row r="67709" spans="10:10" x14ac:dyDescent="0.3">
      <c r="J67709"/>
    </row>
    <row r="67710" spans="10:10" x14ac:dyDescent="0.3">
      <c r="J67710"/>
    </row>
    <row r="67711" spans="10:10" x14ac:dyDescent="0.3">
      <c r="J67711"/>
    </row>
    <row r="67712" spans="10:10" x14ac:dyDescent="0.3">
      <c r="J67712"/>
    </row>
    <row r="67713" spans="10:10" x14ac:dyDescent="0.3">
      <c r="J67713"/>
    </row>
    <row r="67714" spans="10:10" x14ac:dyDescent="0.3">
      <c r="J67714"/>
    </row>
    <row r="67715" spans="10:10" x14ac:dyDescent="0.3">
      <c r="J67715"/>
    </row>
    <row r="67716" spans="10:10" x14ac:dyDescent="0.3">
      <c r="J67716"/>
    </row>
    <row r="67717" spans="10:10" x14ac:dyDescent="0.3">
      <c r="J67717"/>
    </row>
    <row r="67718" spans="10:10" x14ac:dyDescent="0.3">
      <c r="J67718"/>
    </row>
    <row r="67719" spans="10:10" x14ac:dyDescent="0.3">
      <c r="J67719"/>
    </row>
    <row r="67720" spans="10:10" x14ac:dyDescent="0.3">
      <c r="J67720"/>
    </row>
    <row r="67721" spans="10:10" x14ac:dyDescent="0.3">
      <c r="J67721"/>
    </row>
    <row r="67722" spans="10:10" x14ac:dyDescent="0.3">
      <c r="J67722"/>
    </row>
    <row r="67723" spans="10:10" x14ac:dyDescent="0.3">
      <c r="J67723"/>
    </row>
    <row r="67724" spans="10:10" x14ac:dyDescent="0.3">
      <c r="J67724"/>
    </row>
    <row r="67725" spans="10:10" x14ac:dyDescent="0.3">
      <c r="J67725"/>
    </row>
    <row r="67726" spans="10:10" x14ac:dyDescent="0.3">
      <c r="J67726"/>
    </row>
    <row r="67727" spans="10:10" x14ac:dyDescent="0.3">
      <c r="J67727"/>
    </row>
    <row r="67728" spans="10:10" x14ac:dyDescent="0.3">
      <c r="J67728"/>
    </row>
    <row r="67729" spans="10:10" x14ac:dyDescent="0.3">
      <c r="J67729"/>
    </row>
    <row r="67730" spans="10:10" x14ac:dyDescent="0.3">
      <c r="J67730"/>
    </row>
    <row r="67731" spans="10:10" x14ac:dyDescent="0.3">
      <c r="J67731"/>
    </row>
    <row r="67732" spans="10:10" x14ac:dyDescent="0.3">
      <c r="J67732"/>
    </row>
    <row r="67733" spans="10:10" x14ac:dyDescent="0.3">
      <c r="J67733"/>
    </row>
    <row r="67734" spans="10:10" x14ac:dyDescent="0.3">
      <c r="J67734"/>
    </row>
    <row r="67735" spans="10:10" x14ac:dyDescent="0.3">
      <c r="J67735"/>
    </row>
    <row r="67736" spans="10:10" x14ac:dyDescent="0.3">
      <c r="J67736"/>
    </row>
    <row r="67737" spans="10:10" x14ac:dyDescent="0.3">
      <c r="J67737"/>
    </row>
    <row r="67738" spans="10:10" x14ac:dyDescent="0.3">
      <c r="J67738"/>
    </row>
    <row r="67739" spans="10:10" x14ac:dyDescent="0.3">
      <c r="J67739"/>
    </row>
    <row r="67740" spans="10:10" x14ac:dyDescent="0.3">
      <c r="J67740"/>
    </row>
    <row r="67741" spans="10:10" x14ac:dyDescent="0.3">
      <c r="J67741"/>
    </row>
    <row r="67742" spans="10:10" x14ac:dyDescent="0.3">
      <c r="J67742"/>
    </row>
    <row r="67743" spans="10:10" x14ac:dyDescent="0.3">
      <c r="J67743"/>
    </row>
    <row r="67744" spans="10:10" x14ac:dyDescent="0.3">
      <c r="J67744"/>
    </row>
    <row r="67745" spans="10:10" x14ac:dyDescent="0.3">
      <c r="J67745"/>
    </row>
    <row r="67746" spans="10:10" x14ac:dyDescent="0.3">
      <c r="J67746"/>
    </row>
    <row r="67747" spans="10:10" x14ac:dyDescent="0.3">
      <c r="J67747"/>
    </row>
    <row r="67748" spans="10:10" x14ac:dyDescent="0.3">
      <c r="J67748"/>
    </row>
    <row r="67749" spans="10:10" x14ac:dyDescent="0.3">
      <c r="J67749"/>
    </row>
    <row r="67750" spans="10:10" x14ac:dyDescent="0.3">
      <c r="J67750"/>
    </row>
    <row r="67751" spans="10:10" x14ac:dyDescent="0.3">
      <c r="J67751"/>
    </row>
    <row r="67752" spans="10:10" x14ac:dyDescent="0.3">
      <c r="J67752"/>
    </row>
    <row r="67753" spans="10:10" x14ac:dyDescent="0.3">
      <c r="J67753"/>
    </row>
    <row r="67754" spans="10:10" x14ac:dyDescent="0.3">
      <c r="J67754"/>
    </row>
    <row r="67755" spans="10:10" x14ac:dyDescent="0.3">
      <c r="J67755"/>
    </row>
    <row r="67756" spans="10:10" x14ac:dyDescent="0.3">
      <c r="J67756"/>
    </row>
    <row r="67757" spans="10:10" x14ac:dyDescent="0.3">
      <c r="J67757"/>
    </row>
    <row r="67758" spans="10:10" x14ac:dyDescent="0.3">
      <c r="J67758"/>
    </row>
    <row r="67759" spans="10:10" x14ac:dyDescent="0.3">
      <c r="J67759"/>
    </row>
    <row r="67760" spans="10:10" x14ac:dyDescent="0.3">
      <c r="J67760"/>
    </row>
    <row r="67761" spans="10:10" x14ac:dyDescent="0.3">
      <c r="J67761"/>
    </row>
    <row r="67762" spans="10:10" x14ac:dyDescent="0.3">
      <c r="J67762"/>
    </row>
    <row r="67763" spans="10:10" x14ac:dyDescent="0.3">
      <c r="J67763"/>
    </row>
    <row r="67764" spans="10:10" x14ac:dyDescent="0.3">
      <c r="J67764"/>
    </row>
    <row r="67765" spans="10:10" x14ac:dyDescent="0.3">
      <c r="J67765"/>
    </row>
    <row r="67766" spans="10:10" x14ac:dyDescent="0.3">
      <c r="J67766"/>
    </row>
    <row r="67767" spans="10:10" x14ac:dyDescent="0.3">
      <c r="J67767"/>
    </row>
    <row r="67768" spans="10:10" x14ac:dyDescent="0.3">
      <c r="J67768"/>
    </row>
    <row r="67769" spans="10:10" x14ac:dyDescent="0.3">
      <c r="J67769"/>
    </row>
    <row r="67770" spans="10:10" x14ac:dyDescent="0.3">
      <c r="J67770"/>
    </row>
    <row r="67771" spans="10:10" x14ac:dyDescent="0.3">
      <c r="J67771"/>
    </row>
    <row r="67772" spans="10:10" x14ac:dyDescent="0.3">
      <c r="J67772"/>
    </row>
    <row r="67773" spans="10:10" x14ac:dyDescent="0.3">
      <c r="J67773"/>
    </row>
    <row r="67774" spans="10:10" x14ac:dyDescent="0.3">
      <c r="J67774"/>
    </row>
    <row r="67775" spans="10:10" x14ac:dyDescent="0.3">
      <c r="J67775"/>
    </row>
    <row r="67776" spans="10:10" x14ac:dyDescent="0.3">
      <c r="J67776"/>
    </row>
    <row r="67777" spans="10:10" x14ac:dyDescent="0.3">
      <c r="J67777"/>
    </row>
    <row r="67778" spans="10:10" x14ac:dyDescent="0.3">
      <c r="J67778"/>
    </row>
    <row r="67779" spans="10:10" x14ac:dyDescent="0.3">
      <c r="J67779"/>
    </row>
    <row r="67780" spans="10:10" x14ac:dyDescent="0.3">
      <c r="J67780"/>
    </row>
    <row r="67781" spans="10:10" x14ac:dyDescent="0.3">
      <c r="J67781"/>
    </row>
    <row r="67782" spans="10:10" x14ac:dyDescent="0.3">
      <c r="J67782"/>
    </row>
    <row r="67783" spans="10:10" x14ac:dyDescent="0.3">
      <c r="J67783"/>
    </row>
    <row r="67784" spans="10:10" x14ac:dyDescent="0.3">
      <c r="J67784"/>
    </row>
    <row r="67785" spans="10:10" x14ac:dyDescent="0.3">
      <c r="J67785"/>
    </row>
    <row r="67786" spans="10:10" x14ac:dyDescent="0.3">
      <c r="J67786"/>
    </row>
    <row r="67787" spans="10:10" x14ac:dyDescent="0.3">
      <c r="J67787"/>
    </row>
    <row r="67788" spans="10:10" x14ac:dyDescent="0.3">
      <c r="J67788"/>
    </row>
    <row r="67789" spans="10:10" x14ac:dyDescent="0.3">
      <c r="J67789"/>
    </row>
    <row r="67790" spans="10:10" x14ac:dyDescent="0.3">
      <c r="J67790"/>
    </row>
    <row r="67791" spans="10:10" x14ac:dyDescent="0.3">
      <c r="J67791"/>
    </row>
    <row r="67792" spans="10:10" x14ac:dyDescent="0.3">
      <c r="J67792"/>
    </row>
    <row r="67793" spans="10:10" x14ac:dyDescent="0.3">
      <c r="J67793"/>
    </row>
    <row r="67794" spans="10:10" x14ac:dyDescent="0.3">
      <c r="J67794"/>
    </row>
    <row r="67795" spans="10:10" x14ac:dyDescent="0.3">
      <c r="J67795"/>
    </row>
    <row r="67796" spans="10:10" x14ac:dyDescent="0.3">
      <c r="J67796"/>
    </row>
    <row r="67797" spans="10:10" x14ac:dyDescent="0.3">
      <c r="J67797"/>
    </row>
    <row r="67798" spans="10:10" x14ac:dyDescent="0.3">
      <c r="J67798"/>
    </row>
    <row r="67799" spans="10:10" x14ac:dyDescent="0.3">
      <c r="J67799"/>
    </row>
    <row r="67800" spans="10:10" x14ac:dyDescent="0.3">
      <c r="J67800"/>
    </row>
    <row r="67801" spans="10:10" x14ac:dyDescent="0.3">
      <c r="J67801"/>
    </row>
    <row r="67802" spans="10:10" x14ac:dyDescent="0.3">
      <c r="J67802"/>
    </row>
    <row r="67803" spans="10:10" x14ac:dyDescent="0.3">
      <c r="J67803"/>
    </row>
    <row r="67804" spans="10:10" x14ac:dyDescent="0.3">
      <c r="J67804"/>
    </row>
    <row r="67805" spans="10:10" x14ac:dyDescent="0.3">
      <c r="J67805"/>
    </row>
    <row r="67806" spans="10:10" x14ac:dyDescent="0.3">
      <c r="J67806"/>
    </row>
    <row r="67807" spans="10:10" x14ac:dyDescent="0.3">
      <c r="J67807"/>
    </row>
    <row r="67808" spans="10:10" x14ac:dyDescent="0.3">
      <c r="J67808"/>
    </row>
    <row r="67809" spans="10:10" x14ac:dyDescent="0.3">
      <c r="J67809"/>
    </row>
    <row r="67810" spans="10:10" x14ac:dyDescent="0.3">
      <c r="J67810"/>
    </row>
    <row r="67811" spans="10:10" x14ac:dyDescent="0.3">
      <c r="J67811"/>
    </row>
    <row r="67812" spans="10:10" x14ac:dyDescent="0.3">
      <c r="J67812"/>
    </row>
    <row r="67813" spans="10:10" x14ac:dyDescent="0.3">
      <c r="J67813"/>
    </row>
    <row r="67814" spans="10:10" x14ac:dyDescent="0.3">
      <c r="J67814"/>
    </row>
    <row r="67815" spans="10:10" x14ac:dyDescent="0.3">
      <c r="J67815"/>
    </row>
    <row r="67816" spans="10:10" x14ac:dyDescent="0.3">
      <c r="J67816"/>
    </row>
    <row r="67817" spans="10:10" x14ac:dyDescent="0.3">
      <c r="J67817"/>
    </row>
    <row r="67818" spans="10:10" x14ac:dyDescent="0.3">
      <c r="J67818"/>
    </row>
    <row r="67819" spans="10:10" x14ac:dyDescent="0.3">
      <c r="J67819"/>
    </row>
    <row r="67820" spans="10:10" x14ac:dyDescent="0.3">
      <c r="J67820"/>
    </row>
    <row r="67821" spans="10:10" x14ac:dyDescent="0.3">
      <c r="J67821"/>
    </row>
    <row r="67822" spans="10:10" x14ac:dyDescent="0.3">
      <c r="J67822"/>
    </row>
    <row r="67823" spans="10:10" x14ac:dyDescent="0.3">
      <c r="J67823"/>
    </row>
    <row r="67824" spans="10:10" x14ac:dyDescent="0.3">
      <c r="J67824"/>
    </row>
    <row r="67825" spans="10:10" x14ac:dyDescent="0.3">
      <c r="J67825"/>
    </row>
    <row r="67826" spans="10:10" x14ac:dyDescent="0.3">
      <c r="J67826"/>
    </row>
    <row r="67827" spans="10:10" x14ac:dyDescent="0.3">
      <c r="J67827"/>
    </row>
    <row r="67828" spans="10:10" x14ac:dyDescent="0.3">
      <c r="J67828"/>
    </row>
    <row r="67829" spans="10:10" x14ac:dyDescent="0.3">
      <c r="J67829"/>
    </row>
    <row r="67830" spans="10:10" x14ac:dyDescent="0.3">
      <c r="J67830"/>
    </row>
    <row r="67831" spans="10:10" x14ac:dyDescent="0.3">
      <c r="J67831"/>
    </row>
    <row r="67832" spans="10:10" x14ac:dyDescent="0.3">
      <c r="J67832"/>
    </row>
    <row r="67833" spans="10:10" x14ac:dyDescent="0.3">
      <c r="J67833"/>
    </row>
    <row r="67834" spans="10:10" x14ac:dyDescent="0.3">
      <c r="J67834"/>
    </row>
    <row r="67835" spans="10:10" x14ac:dyDescent="0.3">
      <c r="J67835"/>
    </row>
    <row r="67836" spans="10:10" x14ac:dyDescent="0.3">
      <c r="J67836"/>
    </row>
    <row r="67837" spans="10:10" x14ac:dyDescent="0.3">
      <c r="J67837"/>
    </row>
    <row r="67838" spans="10:10" x14ac:dyDescent="0.3">
      <c r="J67838"/>
    </row>
    <row r="67839" spans="10:10" x14ac:dyDescent="0.3">
      <c r="J67839"/>
    </row>
    <row r="67840" spans="10:10" x14ac:dyDescent="0.3">
      <c r="J67840"/>
    </row>
    <row r="67841" spans="10:10" x14ac:dyDescent="0.3">
      <c r="J67841"/>
    </row>
    <row r="67842" spans="10:10" x14ac:dyDescent="0.3">
      <c r="J67842"/>
    </row>
    <row r="67843" spans="10:10" x14ac:dyDescent="0.3">
      <c r="J67843"/>
    </row>
    <row r="67844" spans="10:10" x14ac:dyDescent="0.3">
      <c r="J67844"/>
    </row>
    <row r="67845" spans="10:10" x14ac:dyDescent="0.3">
      <c r="J67845"/>
    </row>
    <row r="67846" spans="10:10" x14ac:dyDescent="0.3">
      <c r="J67846"/>
    </row>
    <row r="67847" spans="10:10" x14ac:dyDescent="0.3">
      <c r="J67847"/>
    </row>
    <row r="67848" spans="10:10" x14ac:dyDescent="0.3">
      <c r="J67848"/>
    </row>
    <row r="67849" spans="10:10" x14ac:dyDescent="0.3">
      <c r="J67849"/>
    </row>
    <row r="67850" spans="10:10" x14ac:dyDescent="0.3">
      <c r="J67850"/>
    </row>
    <row r="67851" spans="10:10" x14ac:dyDescent="0.3">
      <c r="J67851"/>
    </row>
    <row r="67852" spans="10:10" x14ac:dyDescent="0.3">
      <c r="J67852"/>
    </row>
    <row r="67853" spans="10:10" x14ac:dyDescent="0.3">
      <c r="J67853"/>
    </row>
    <row r="67854" spans="10:10" x14ac:dyDescent="0.3">
      <c r="J67854"/>
    </row>
    <row r="67855" spans="10:10" x14ac:dyDescent="0.3">
      <c r="J67855"/>
    </row>
    <row r="67856" spans="10:10" x14ac:dyDescent="0.3">
      <c r="J67856"/>
    </row>
    <row r="67857" spans="10:10" x14ac:dyDescent="0.3">
      <c r="J67857"/>
    </row>
    <row r="67858" spans="10:10" x14ac:dyDescent="0.3">
      <c r="J67858"/>
    </row>
    <row r="67859" spans="10:10" x14ac:dyDescent="0.3">
      <c r="J67859"/>
    </row>
    <row r="67860" spans="10:10" x14ac:dyDescent="0.3">
      <c r="J67860"/>
    </row>
    <row r="67861" spans="10:10" x14ac:dyDescent="0.3">
      <c r="J67861"/>
    </row>
    <row r="67862" spans="10:10" x14ac:dyDescent="0.3">
      <c r="J67862"/>
    </row>
    <row r="67863" spans="10:10" x14ac:dyDescent="0.3">
      <c r="J67863"/>
    </row>
    <row r="67864" spans="10:10" x14ac:dyDescent="0.3">
      <c r="J67864"/>
    </row>
    <row r="67865" spans="10:10" x14ac:dyDescent="0.3">
      <c r="J67865"/>
    </row>
    <row r="67866" spans="10:10" x14ac:dyDescent="0.3">
      <c r="J67866"/>
    </row>
    <row r="67867" spans="10:10" x14ac:dyDescent="0.3">
      <c r="J67867"/>
    </row>
    <row r="67868" spans="10:10" x14ac:dyDescent="0.3">
      <c r="J67868"/>
    </row>
    <row r="67869" spans="10:10" x14ac:dyDescent="0.3">
      <c r="J67869"/>
    </row>
    <row r="67870" spans="10:10" x14ac:dyDescent="0.3">
      <c r="J67870"/>
    </row>
    <row r="67871" spans="10:10" x14ac:dyDescent="0.3">
      <c r="J67871"/>
    </row>
    <row r="67872" spans="10:10" x14ac:dyDescent="0.3">
      <c r="J67872"/>
    </row>
    <row r="67873" spans="10:10" x14ac:dyDescent="0.3">
      <c r="J67873"/>
    </row>
    <row r="67874" spans="10:10" x14ac:dyDescent="0.3">
      <c r="J67874"/>
    </row>
    <row r="67875" spans="10:10" x14ac:dyDescent="0.3">
      <c r="J67875"/>
    </row>
    <row r="67876" spans="10:10" x14ac:dyDescent="0.3">
      <c r="J67876"/>
    </row>
    <row r="67877" spans="10:10" x14ac:dyDescent="0.3">
      <c r="J67877"/>
    </row>
    <row r="67878" spans="10:10" x14ac:dyDescent="0.3">
      <c r="J67878"/>
    </row>
    <row r="67879" spans="10:10" x14ac:dyDescent="0.3">
      <c r="J67879"/>
    </row>
    <row r="67880" spans="10:10" x14ac:dyDescent="0.3">
      <c r="J67880"/>
    </row>
    <row r="67881" spans="10:10" x14ac:dyDescent="0.3">
      <c r="J67881"/>
    </row>
    <row r="67882" spans="10:10" x14ac:dyDescent="0.3">
      <c r="J67882"/>
    </row>
    <row r="67883" spans="10:10" x14ac:dyDescent="0.3">
      <c r="J67883"/>
    </row>
    <row r="67884" spans="10:10" x14ac:dyDescent="0.3">
      <c r="J67884"/>
    </row>
    <row r="67885" spans="10:10" x14ac:dyDescent="0.3">
      <c r="J67885"/>
    </row>
    <row r="67886" spans="10:10" x14ac:dyDescent="0.3">
      <c r="J67886"/>
    </row>
    <row r="67887" spans="10:10" x14ac:dyDescent="0.3">
      <c r="J67887"/>
    </row>
    <row r="67888" spans="10:10" x14ac:dyDescent="0.3">
      <c r="J67888"/>
    </row>
    <row r="67889" spans="10:10" x14ac:dyDescent="0.3">
      <c r="J67889"/>
    </row>
    <row r="67890" spans="10:10" x14ac:dyDescent="0.3">
      <c r="J67890"/>
    </row>
    <row r="67891" spans="10:10" x14ac:dyDescent="0.3">
      <c r="J67891"/>
    </row>
    <row r="67892" spans="10:10" x14ac:dyDescent="0.3">
      <c r="J67892"/>
    </row>
    <row r="67893" spans="10:10" x14ac:dyDescent="0.3">
      <c r="J67893"/>
    </row>
    <row r="67894" spans="10:10" x14ac:dyDescent="0.3">
      <c r="J67894"/>
    </row>
    <row r="67895" spans="10:10" x14ac:dyDescent="0.3">
      <c r="J67895"/>
    </row>
    <row r="67896" spans="10:10" x14ac:dyDescent="0.3">
      <c r="J67896"/>
    </row>
    <row r="67897" spans="10:10" x14ac:dyDescent="0.3">
      <c r="J67897"/>
    </row>
    <row r="67898" spans="10:10" x14ac:dyDescent="0.3">
      <c r="J67898"/>
    </row>
    <row r="67899" spans="10:10" x14ac:dyDescent="0.3">
      <c r="J67899"/>
    </row>
    <row r="67900" spans="10:10" x14ac:dyDescent="0.3">
      <c r="J67900"/>
    </row>
    <row r="67901" spans="10:10" x14ac:dyDescent="0.3">
      <c r="J67901"/>
    </row>
    <row r="67902" spans="10:10" x14ac:dyDescent="0.3">
      <c r="J67902"/>
    </row>
    <row r="67903" spans="10:10" x14ac:dyDescent="0.3">
      <c r="J67903"/>
    </row>
    <row r="67904" spans="10:10" x14ac:dyDescent="0.3">
      <c r="J67904"/>
    </row>
    <row r="67905" spans="10:10" x14ac:dyDescent="0.3">
      <c r="J67905"/>
    </row>
    <row r="67906" spans="10:10" x14ac:dyDescent="0.3">
      <c r="J67906"/>
    </row>
    <row r="67907" spans="10:10" x14ac:dyDescent="0.3">
      <c r="J67907"/>
    </row>
    <row r="67908" spans="10:10" x14ac:dyDescent="0.3">
      <c r="J67908"/>
    </row>
    <row r="67909" spans="10:10" x14ac:dyDescent="0.3">
      <c r="J67909"/>
    </row>
    <row r="67910" spans="10:10" x14ac:dyDescent="0.3">
      <c r="J67910"/>
    </row>
    <row r="67911" spans="10:10" x14ac:dyDescent="0.3">
      <c r="J67911"/>
    </row>
    <row r="67912" spans="10:10" x14ac:dyDescent="0.3">
      <c r="J67912"/>
    </row>
    <row r="67913" spans="10:10" x14ac:dyDescent="0.3">
      <c r="J67913"/>
    </row>
    <row r="67914" spans="10:10" x14ac:dyDescent="0.3">
      <c r="J67914"/>
    </row>
    <row r="67915" spans="10:10" x14ac:dyDescent="0.3">
      <c r="J67915"/>
    </row>
    <row r="67916" spans="10:10" x14ac:dyDescent="0.3">
      <c r="J67916"/>
    </row>
    <row r="67917" spans="10:10" x14ac:dyDescent="0.3">
      <c r="J67917"/>
    </row>
    <row r="67918" spans="10:10" x14ac:dyDescent="0.3">
      <c r="J67918"/>
    </row>
    <row r="67919" spans="10:10" x14ac:dyDescent="0.3">
      <c r="J67919"/>
    </row>
    <row r="67920" spans="10:10" x14ac:dyDescent="0.3">
      <c r="J67920"/>
    </row>
    <row r="67921" spans="10:10" x14ac:dyDescent="0.3">
      <c r="J67921"/>
    </row>
    <row r="67922" spans="10:10" x14ac:dyDescent="0.3">
      <c r="J67922"/>
    </row>
    <row r="67923" spans="10:10" x14ac:dyDescent="0.3">
      <c r="J67923"/>
    </row>
    <row r="67924" spans="10:10" x14ac:dyDescent="0.3">
      <c r="J67924"/>
    </row>
    <row r="67925" spans="10:10" x14ac:dyDescent="0.3">
      <c r="J67925"/>
    </row>
    <row r="67926" spans="10:10" x14ac:dyDescent="0.3">
      <c r="J67926"/>
    </row>
    <row r="67927" spans="10:10" x14ac:dyDescent="0.3">
      <c r="J67927"/>
    </row>
    <row r="67928" spans="10:10" x14ac:dyDescent="0.3">
      <c r="J67928"/>
    </row>
    <row r="67929" spans="10:10" x14ac:dyDescent="0.3">
      <c r="J67929"/>
    </row>
    <row r="67930" spans="10:10" x14ac:dyDescent="0.3">
      <c r="J67930"/>
    </row>
    <row r="67931" spans="10:10" x14ac:dyDescent="0.3">
      <c r="J67931"/>
    </row>
    <row r="67932" spans="10:10" x14ac:dyDescent="0.3">
      <c r="J67932"/>
    </row>
    <row r="67933" spans="10:10" x14ac:dyDescent="0.3">
      <c r="J67933"/>
    </row>
    <row r="67934" spans="10:10" x14ac:dyDescent="0.3">
      <c r="J67934"/>
    </row>
    <row r="67935" spans="10:10" x14ac:dyDescent="0.3">
      <c r="J67935"/>
    </row>
    <row r="67936" spans="10:10" x14ac:dyDescent="0.3">
      <c r="J67936"/>
    </row>
    <row r="67937" spans="10:10" x14ac:dyDescent="0.3">
      <c r="J67937"/>
    </row>
    <row r="67938" spans="10:10" x14ac:dyDescent="0.3">
      <c r="J67938"/>
    </row>
    <row r="67939" spans="10:10" x14ac:dyDescent="0.3">
      <c r="J67939"/>
    </row>
    <row r="67940" spans="10:10" x14ac:dyDescent="0.3">
      <c r="J67940"/>
    </row>
    <row r="67941" spans="10:10" x14ac:dyDescent="0.3">
      <c r="J67941"/>
    </row>
    <row r="67942" spans="10:10" x14ac:dyDescent="0.3">
      <c r="J67942"/>
    </row>
    <row r="67943" spans="10:10" x14ac:dyDescent="0.3">
      <c r="J67943"/>
    </row>
    <row r="67944" spans="10:10" x14ac:dyDescent="0.3">
      <c r="J67944"/>
    </row>
    <row r="67945" spans="10:10" x14ac:dyDescent="0.3">
      <c r="J67945"/>
    </row>
    <row r="67946" spans="10:10" x14ac:dyDescent="0.3">
      <c r="J67946"/>
    </row>
    <row r="67947" spans="10:10" x14ac:dyDescent="0.3">
      <c r="J67947"/>
    </row>
    <row r="67948" spans="10:10" x14ac:dyDescent="0.3">
      <c r="J67948"/>
    </row>
    <row r="67949" spans="10:10" x14ac:dyDescent="0.3">
      <c r="J67949"/>
    </row>
    <row r="67950" spans="10:10" x14ac:dyDescent="0.3">
      <c r="J67950"/>
    </row>
    <row r="67951" spans="10:10" x14ac:dyDescent="0.3">
      <c r="J67951"/>
    </row>
    <row r="67952" spans="10:10" x14ac:dyDescent="0.3">
      <c r="J67952"/>
    </row>
    <row r="67953" spans="10:10" x14ac:dyDescent="0.3">
      <c r="J67953"/>
    </row>
    <row r="67954" spans="10:10" x14ac:dyDescent="0.3">
      <c r="J67954"/>
    </row>
    <row r="67955" spans="10:10" x14ac:dyDescent="0.3">
      <c r="J67955"/>
    </row>
    <row r="67956" spans="10:10" x14ac:dyDescent="0.3">
      <c r="J67956"/>
    </row>
    <row r="67957" spans="10:10" x14ac:dyDescent="0.3">
      <c r="J67957"/>
    </row>
    <row r="67958" spans="10:10" x14ac:dyDescent="0.3">
      <c r="J67958"/>
    </row>
    <row r="67959" spans="10:10" x14ac:dyDescent="0.3">
      <c r="J67959"/>
    </row>
    <row r="67960" spans="10:10" x14ac:dyDescent="0.3">
      <c r="J67960"/>
    </row>
    <row r="67961" spans="10:10" x14ac:dyDescent="0.3">
      <c r="J67961"/>
    </row>
    <row r="67962" spans="10:10" x14ac:dyDescent="0.3">
      <c r="J67962"/>
    </row>
    <row r="67963" spans="10:10" x14ac:dyDescent="0.3">
      <c r="J67963"/>
    </row>
    <row r="67964" spans="10:10" x14ac:dyDescent="0.3">
      <c r="J67964"/>
    </row>
    <row r="67965" spans="10:10" x14ac:dyDescent="0.3">
      <c r="J67965"/>
    </row>
    <row r="67966" spans="10:10" x14ac:dyDescent="0.3">
      <c r="J67966"/>
    </row>
    <row r="67967" spans="10:10" x14ac:dyDescent="0.3">
      <c r="J67967"/>
    </row>
    <row r="67968" spans="10:10" x14ac:dyDescent="0.3">
      <c r="J67968"/>
    </row>
    <row r="67969" spans="10:10" x14ac:dyDescent="0.3">
      <c r="J67969"/>
    </row>
    <row r="67970" spans="10:10" x14ac:dyDescent="0.3">
      <c r="J67970"/>
    </row>
    <row r="67971" spans="10:10" x14ac:dyDescent="0.3">
      <c r="J67971"/>
    </row>
    <row r="67972" spans="10:10" x14ac:dyDescent="0.3">
      <c r="J67972"/>
    </row>
    <row r="67973" spans="10:10" x14ac:dyDescent="0.3">
      <c r="J67973"/>
    </row>
    <row r="67974" spans="10:10" x14ac:dyDescent="0.3">
      <c r="J67974"/>
    </row>
    <row r="67975" spans="10:10" x14ac:dyDescent="0.3">
      <c r="J67975"/>
    </row>
    <row r="67976" spans="10:10" x14ac:dyDescent="0.3">
      <c r="J67976"/>
    </row>
    <row r="67977" spans="10:10" x14ac:dyDescent="0.3">
      <c r="J67977"/>
    </row>
    <row r="67978" spans="10:10" x14ac:dyDescent="0.3">
      <c r="J67978"/>
    </row>
    <row r="67979" spans="10:10" x14ac:dyDescent="0.3">
      <c r="J67979"/>
    </row>
    <row r="67980" spans="10:10" x14ac:dyDescent="0.3">
      <c r="J67980"/>
    </row>
    <row r="67981" spans="10:10" x14ac:dyDescent="0.3">
      <c r="J67981"/>
    </row>
    <row r="67982" spans="10:10" x14ac:dyDescent="0.3">
      <c r="J67982"/>
    </row>
    <row r="67983" spans="10:10" x14ac:dyDescent="0.3">
      <c r="J67983"/>
    </row>
    <row r="67984" spans="10:10" x14ac:dyDescent="0.3">
      <c r="J67984"/>
    </row>
    <row r="67985" spans="10:10" x14ac:dyDescent="0.3">
      <c r="J67985"/>
    </row>
    <row r="67986" spans="10:10" x14ac:dyDescent="0.3">
      <c r="J67986"/>
    </row>
    <row r="67987" spans="10:10" x14ac:dyDescent="0.3">
      <c r="J67987"/>
    </row>
    <row r="67988" spans="10:10" x14ac:dyDescent="0.3">
      <c r="J67988"/>
    </row>
    <row r="67989" spans="10:10" x14ac:dyDescent="0.3">
      <c r="J67989"/>
    </row>
    <row r="67990" spans="10:10" x14ac:dyDescent="0.3">
      <c r="J67990"/>
    </row>
    <row r="67991" spans="10:10" x14ac:dyDescent="0.3">
      <c r="J67991"/>
    </row>
    <row r="67992" spans="10:10" x14ac:dyDescent="0.3">
      <c r="J67992"/>
    </row>
    <row r="67993" spans="10:10" x14ac:dyDescent="0.3">
      <c r="J67993"/>
    </row>
    <row r="67994" spans="10:10" x14ac:dyDescent="0.3">
      <c r="J67994"/>
    </row>
    <row r="67995" spans="10:10" x14ac:dyDescent="0.3">
      <c r="J67995"/>
    </row>
    <row r="67996" spans="10:10" x14ac:dyDescent="0.3">
      <c r="J67996"/>
    </row>
    <row r="67997" spans="10:10" x14ac:dyDescent="0.3">
      <c r="J67997"/>
    </row>
    <row r="67998" spans="10:10" x14ac:dyDescent="0.3">
      <c r="J67998"/>
    </row>
    <row r="67999" spans="10:10" x14ac:dyDescent="0.3">
      <c r="J67999"/>
    </row>
    <row r="68000" spans="10:10" x14ac:dyDescent="0.3">
      <c r="J68000"/>
    </row>
    <row r="68001" spans="10:10" x14ac:dyDescent="0.3">
      <c r="J68001"/>
    </row>
    <row r="68002" spans="10:10" x14ac:dyDescent="0.3">
      <c r="J68002"/>
    </row>
    <row r="68003" spans="10:10" x14ac:dyDescent="0.3">
      <c r="J68003"/>
    </row>
    <row r="68004" spans="10:10" x14ac:dyDescent="0.3">
      <c r="J68004"/>
    </row>
    <row r="68005" spans="10:10" x14ac:dyDescent="0.3">
      <c r="J68005"/>
    </row>
    <row r="68006" spans="10:10" x14ac:dyDescent="0.3">
      <c r="J68006"/>
    </row>
    <row r="68007" spans="10:10" x14ac:dyDescent="0.3">
      <c r="J68007"/>
    </row>
    <row r="68008" spans="10:10" x14ac:dyDescent="0.3">
      <c r="J68008"/>
    </row>
    <row r="68009" spans="10:10" x14ac:dyDescent="0.3">
      <c r="J68009"/>
    </row>
    <row r="68010" spans="10:10" x14ac:dyDescent="0.3">
      <c r="J68010"/>
    </row>
    <row r="68011" spans="10:10" x14ac:dyDescent="0.3">
      <c r="J68011"/>
    </row>
    <row r="68012" spans="10:10" x14ac:dyDescent="0.3">
      <c r="J68012"/>
    </row>
    <row r="68013" spans="10:10" x14ac:dyDescent="0.3">
      <c r="J68013"/>
    </row>
    <row r="68014" spans="10:10" x14ac:dyDescent="0.3">
      <c r="J68014"/>
    </row>
    <row r="68015" spans="10:10" x14ac:dyDescent="0.3">
      <c r="J68015"/>
    </row>
    <row r="68016" spans="10:10" x14ac:dyDescent="0.3">
      <c r="J68016"/>
    </row>
    <row r="68017" spans="10:10" x14ac:dyDescent="0.3">
      <c r="J68017"/>
    </row>
    <row r="68018" spans="10:10" x14ac:dyDescent="0.3">
      <c r="J68018"/>
    </row>
    <row r="68019" spans="10:10" x14ac:dyDescent="0.3">
      <c r="J68019"/>
    </row>
    <row r="68020" spans="10:10" x14ac:dyDescent="0.3">
      <c r="J68020"/>
    </row>
    <row r="68021" spans="10:10" x14ac:dyDescent="0.3">
      <c r="J68021"/>
    </row>
    <row r="68022" spans="10:10" x14ac:dyDescent="0.3">
      <c r="J68022"/>
    </row>
    <row r="68023" spans="10:10" x14ac:dyDescent="0.3">
      <c r="J68023"/>
    </row>
    <row r="68024" spans="10:10" x14ac:dyDescent="0.3">
      <c r="J68024"/>
    </row>
    <row r="68025" spans="10:10" x14ac:dyDescent="0.3">
      <c r="J68025"/>
    </row>
    <row r="68026" spans="10:10" x14ac:dyDescent="0.3">
      <c r="J68026"/>
    </row>
    <row r="68027" spans="10:10" x14ac:dyDescent="0.3">
      <c r="J68027"/>
    </row>
    <row r="68028" spans="10:10" x14ac:dyDescent="0.3">
      <c r="J68028"/>
    </row>
    <row r="68029" spans="10:10" x14ac:dyDescent="0.3">
      <c r="J68029"/>
    </row>
    <row r="68030" spans="10:10" x14ac:dyDescent="0.3">
      <c r="J68030"/>
    </row>
    <row r="68031" spans="10:10" x14ac:dyDescent="0.3">
      <c r="J68031"/>
    </row>
    <row r="68032" spans="10:10" x14ac:dyDescent="0.3">
      <c r="J68032"/>
    </row>
    <row r="68033" spans="10:10" x14ac:dyDescent="0.3">
      <c r="J68033"/>
    </row>
    <row r="68034" spans="10:10" x14ac:dyDescent="0.3">
      <c r="J68034"/>
    </row>
    <row r="68035" spans="10:10" x14ac:dyDescent="0.3">
      <c r="J68035"/>
    </row>
    <row r="68036" spans="10:10" x14ac:dyDescent="0.3">
      <c r="J68036"/>
    </row>
    <row r="68037" spans="10:10" x14ac:dyDescent="0.3">
      <c r="J68037"/>
    </row>
    <row r="68038" spans="10:10" x14ac:dyDescent="0.3">
      <c r="J68038"/>
    </row>
    <row r="68039" spans="10:10" x14ac:dyDescent="0.3">
      <c r="J68039"/>
    </row>
    <row r="68040" spans="10:10" x14ac:dyDescent="0.3">
      <c r="J68040"/>
    </row>
    <row r="68041" spans="10:10" x14ac:dyDescent="0.3">
      <c r="J68041"/>
    </row>
    <row r="68042" spans="10:10" x14ac:dyDescent="0.3">
      <c r="J68042"/>
    </row>
    <row r="68043" spans="10:10" x14ac:dyDescent="0.3">
      <c r="J68043"/>
    </row>
    <row r="68044" spans="10:10" x14ac:dyDescent="0.3">
      <c r="J68044"/>
    </row>
    <row r="68045" spans="10:10" x14ac:dyDescent="0.3">
      <c r="J68045"/>
    </row>
    <row r="68046" spans="10:10" x14ac:dyDescent="0.3">
      <c r="J68046"/>
    </row>
    <row r="68047" spans="10:10" x14ac:dyDescent="0.3">
      <c r="J68047"/>
    </row>
    <row r="68048" spans="10:10" x14ac:dyDescent="0.3">
      <c r="J68048"/>
    </row>
    <row r="68049" spans="10:10" x14ac:dyDescent="0.3">
      <c r="J68049"/>
    </row>
    <row r="68050" spans="10:10" x14ac:dyDescent="0.3">
      <c r="J68050"/>
    </row>
    <row r="68051" spans="10:10" x14ac:dyDescent="0.3">
      <c r="J68051"/>
    </row>
    <row r="68052" spans="10:10" x14ac:dyDescent="0.3">
      <c r="J68052"/>
    </row>
    <row r="68053" spans="10:10" x14ac:dyDescent="0.3">
      <c r="J68053"/>
    </row>
    <row r="68054" spans="10:10" x14ac:dyDescent="0.3">
      <c r="J68054"/>
    </row>
    <row r="68055" spans="10:10" x14ac:dyDescent="0.3">
      <c r="J68055"/>
    </row>
    <row r="68056" spans="10:10" x14ac:dyDescent="0.3">
      <c r="J68056"/>
    </row>
    <row r="68057" spans="10:10" x14ac:dyDescent="0.3">
      <c r="J68057"/>
    </row>
    <row r="68058" spans="10:10" x14ac:dyDescent="0.3">
      <c r="J68058"/>
    </row>
    <row r="68059" spans="10:10" x14ac:dyDescent="0.3">
      <c r="J68059"/>
    </row>
    <row r="68060" spans="10:10" x14ac:dyDescent="0.3">
      <c r="J68060"/>
    </row>
    <row r="68061" spans="10:10" x14ac:dyDescent="0.3">
      <c r="J68061"/>
    </row>
    <row r="68062" spans="10:10" x14ac:dyDescent="0.3">
      <c r="J68062"/>
    </row>
    <row r="68063" spans="10:10" x14ac:dyDescent="0.3">
      <c r="J68063"/>
    </row>
    <row r="68064" spans="10:10" x14ac:dyDescent="0.3">
      <c r="J68064"/>
    </row>
    <row r="68065" spans="10:10" x14ac:dyDescent="0.3">
      <c r="J68065"/>
    </row>
    <row r="68066" spans="10:10" x14ac:dyDescent="0.3">
      <c r="J68066"/>
    </row>
    <row r="68067" spans="10:10" x14ac:dyDescent="0.3">
      <c r="J68067"/>
    </row>
    <row r="68068" spans="10:10" x14ac:dyDescent="0.3">
      <c r="J68068"/>
    </row>
    <row r="68069" spans="10:10" x14ac:dyDescent="0.3">
      <c r="J68069"/>
    </row>
    <row r="68070" spans="10:10" x14ac:dyDescent="0.3">
      <c r="J68070"/>
    </row>
    <row r="68071" spans="10:10" x14ac:dyDescent="0.3">
      <c r="J68071"/>
    </row>
    <row r="68072" spans="10:10" x14ac:dyDescent="0.3">
      <c r="J68072"/>
    </row>
    <row r="68073" spans="10:10" x14ac:dyDescent="0.3">
      <c r="J68073"/>
    </row>
    <row r="68074" spans="10:10" x14ac:dyDescent="0.3">
      <c r="J68074"/>
    </row>
    <row r="68075" spans="10:10" x14ac:dyDescent="0.3">
      <c r="J68075"/>
    </row>
    <row r="68076" spans="10:10" x14ac:dyDescent="0.3">
      <c r="J68076"/>
    </row>
    <row r="68077" spans="10:10" x14ac:dyDescent="0.3">
      <c r="J68077"/>
    </row>
    <row r="68078" spans="10:10" x14ac:dyDescent="0.3">
      <c r="J68078"/>
    </row>
    <row r="68079" spans="10:10" x14ac:dyDescent="0.3">
      <c r="J68079"/>
    </row>
    <row r="68080" spans="10:10" x14ac:dyDescent="0.3">
      <c r="J68080"/>
    </row>
    <row r="68081" spans="10:10" x14ac:dyDescent="0.3">
      <c r="J68081"/>
    </row>
    <row r="68082" spans="10:10" x14ac:dyDescent="0.3">
      <c r="J68082"/>
    </row>
    <row r="68083" spans="10:10" x14ac:dyDescent="0.3">
      <c r="J68083"/>
    </row>
    <row r="68084" spans="10:10" x14ac:dyDescent="0.3">
      <c r="J68084"/>
    </row>
    <row r="68085" spans="10:10" x14ac:dyDescent="0.3">
      <c r="J68085"/>
    </row>
    <row r="68086" spans="10:10" x14ac:dyDescent="0.3">
      <c r="J68086"/>
    </row>
    <row r="68087" spans="10:10" x14ac:dyDescent="0.3">
      <c r="J68087"/>
    </row>
    <row r="68088" spans="10:10" x14ac:dyDescent="0.3">
      <c r="J68088"/>
    </row>
    <row r="68089" spans="10:10" x14ac:dyDescent="0.3">
      <c r="J68089"/>
    </row>
    <row r="68090" spans="10:10" x14ac:dyDescent="0.3">
      <c r="J68090"/>
    </row>
    <row r="68091" spans="10:10" x14ac:dyDescent="0.3">
      <c r="J68091"/>
    </row>
    <row r="68092" spans="10:10" x14ac:dyDescent="0.3">
      <c r="J68092"/>
    </row>
    <row r="68093" spans="10:10" x14ac:dyDescent="0.3">
      <c r="J68093"/>
    </row>
    <row r="68094" spans="10:10" x14ac:dyDescent="0.3">
      <c r="J68094"/>
    </row>
    <row r="68095" spans="10:10" x14ac:dyDescent="0.3">
      <c r="J68095"/>
    </row>
    <row r="68096" spans="10:10" x14ac:dyDescent="0.3">
      <c r="J68096"/>
    </row>
    <row r="68097" spans="10:10" x14ac:dyDescent="0.3">
      <c r="J68097"/>
    </row>
    <row r="68098" spans="10:10" x14ac:dyDescent="0.3">
      <c r="J68098"/>
    </row>
    <row r="68099" spans="10:10" x14ac:dyDescent="0.3">
      <c r="J68099"/>
    </row>
    <row r="68100" spans="10:10" x14ac:dyDescent="0.3">
      <c r="J68100"/>
    </row>
    <row r="68101" spans="10:10" x14ac:dyDescent="0.3">
      <c r="J68101"/>
    </row>
    <row r="68102" spans="10:10" x14ac:dyDescent="0.3">
      <c r="J68102"/>
    </row>
    <row r="68103" spans="10:10" x14ac:dyDescent="0.3">
      <c r="J68103"/>
    </row>
    <row r="68104" spans="10:10" x14ac:dyDescent="0.3">
      <c r="J68104"/>
    </row>
    <row r="68105" spans="10:10" x14ac:dyDescent="0.3">
      <c r="J68105"/>
    </row>
    <row r="68106" spans="10:10" x14ac:dyDescent="0.3">
      <c r="J68106"/>
    </row>
    <row r="68107" spans="10:10" x14ac:dyDescent="0.3">
      <c r="J68107"/>
    </row>
    <row r="68108" spans="10:10" x14ac:dyDescent="0.3">
      <c r="J68108"/>
    </row>
    <row r="68109" spans="10:10" x14ac:dyDescent="0.3">
      <c r="J68109"/>
    </row>
    <row r="68110" spans="10:10" x14ac:dyDescent="0.3">
      <c r="J68110"/>
    </row>
    <row r="68111" spans="10:10" x14ac:dyDescent="0.3">
      <c r="J68111"/>
    </row>
    <row r="68112" spans="10:10" x14ac:dyDescent="0.3">
      <c r="J68112"/>
    </row>
    <row r="68113" spans="10:10" x14ac:dyDescent="0.3">
      <c r="J68113"/>
    </row>
    <row r="68114" spans="10:10" x14ac:dyDescent="0.3">
      <c r="J68114"/>
    </row>
    <row r="68115" spans="10:10" x14ac:dyDescent="0.3">
      <c r="J68115"/>
    </row>
    <row r="68116" spans="10:10" x14ac:dyDescent="0.3">
      <c r="J68116"/>
    </row>
    <row r="68117" spans="10:10" x14ac:dyDescent="0.3">
      <c r="J68117"/>
    </row>
    <row r="68118" spans="10:10" x14ac:dyDescent="0.3">
      <c r="J68118"/>
    </row>
    <row r="68119" spans="10:10" x14ac:dyDescent="0.3">
      <c r="J68119"/>
    </row>
    <row r="68120" spans="10:10" x14ac:dyDescent="0.3">
      <c r="J68120"/>
    </row>
    <row r="68121" spans="10:10" x14ac:dyDescent="0.3">
      <c r="J68121"/>
    </row>
    <row r="68122" spans="10:10" x14ac:dyDescent="0.3">
      <c r="J68122"/>
    </row>
    <row r="68123" spans="10:10" x14ac:dyDescent="0.3">
      <c r="J68123"/>
    </row>
    <row r="68124" spans="10:10" x14ac:dyDescent="0.3">
      <c r="J68124"/>
    </row>
    <row r="68125" spans="10:10" x14ac:dyDescent="0.3">
      <c r="J68125"/>
    </row>
    <row r="68126" spans="10:10" x14ac:dyDescent="0.3">
      <c r="J68126"/>
    </row>
    <row r="68127" spans="10:10" x14ac:dyDescent="0.3">
      <c r="J68127"/>
    </row>
    <row r="68128" spans="10:10" x14ac:dyDescent="0.3">
      <c r="J68128"/>
    </row>
    <row r="68129" spans="10:10" x14ac:dyDescent="0.3">
      <c r="J68129"/>
    </row>
    <row r="68130" spans="10:10" x14ac:dyDescent="0.3">
      <c r="J68130"/>
    </row>
    <row r="68131" spans="10:10" x14ac:dyDescent="0.3">
      <c r="J68131"/>
    </row>
    <row r="68132" spans="10:10" x14ac:dyDescent="0.3">
      <c r="J68132"/>
    </row>
    <row r="68133" spans="10:10" x14ac:dyDescent="0.3">
      <c r="J68133"/>
    </row>
    <row r="68134" spans="10:10" x14ac:dyDescent="0.3">
      <c r="J68134"/>
    </row>
    <row r="68135" spans="10:10" x14ac:dyDescent="0.3">
      <c r="J68135"/>
    </row>
    <row r="68136" spans="10:10" x14ac:dyDescent="0.3">
      <c r="J68136"/>
    </row>
    <row r="68137" spans="10:10" x14ac:dyDescent="0.3">
      <c r="J68137"/>
    </row>
    <row r="68138" spans="10:10" x14ac:dyDescent="0.3">
      <c r="J68138"/>
    </row>
    <row r="68139" spans="10:10" x14ac:dyDescent="0.3">
      <c r="J68139"/>
    </row>
    <row r="68140" spans="10:10" x14ac:dyDescent="0.3">
      <c r="J68140"/>
    </row>
    <row r="68141" spans="10:10" x14ac:dyDescent="0.3">
      <c r="J68141"/>
    </row>
    <row r="68142" spans="10:10" x14ac:dyDescent="0.3">
      <c r="J68142"/>
    </row>
    <row r="68143" spans="10:10" x14ac:dyDescent="0.3">
      <c r="J68143"/>
    </row>
    <row r="68144" spans="10:10" x14ac:dyDescent="0.3">
      <c r="J68144"/>
    </row>
    <row r="68145" spans="10:10" x14ac:dyDescent="0.3">
      <c r="J68145"/>
    </row>
    <row r="68146" spans="10:10" x14ac:dyDescent="0.3">
      <c r="J68146"/>
    </row>
    <row r="68147" spans="10:10" x14ac:dyDescent="0.3">
      <c r="J68147"/>
    </row>
    <row r="68148" spans="10:10" x14ac:dyDescent="0.3">
      <c r="J68148"/>
    </row>
    <row r="68149" spans="10:10" x14ac:dyDescent="0.3">
      <c r="J68149"/>
    </row>
    <row r="68150" spans="10:10" x14ac:dyDescent="0.3">
      <c r="J68150"/>
    </row>
    <row r="68151" spans="10:10" x14ac:dyDescent="0.3">
      <c r="J68151"/>
    </row>
    <row r="68152" spans="10:10" x14ac:dyDescent="0.3">
      <c r="J68152"/>
    </row>
    <row r="68153" spans="10:10" x14ac:dyDescent="0.3">
      <c r="J68153"/>
    </row>
    <row r="68154" spans="10:10" x14ac:dyDescent="0.3">
      <c r="J68154"/>
    </row>
    <row r="68155" spans="10:10" x14ac:dyDescent="0.3">
      <c r="J68155"/>
    </row>
    <row r="68156" spans="10:10" x14ac:dyDescent="0.3">
      <c r="J68156"/>
    </row>
    <row r="68157" spans="10:10" x14ac:dyDescent="0.3">
      <c r="J68157"/>
    </row>
    <row r="68158" spans="10:10" x14ac:dyDescent="0.3">
      <c r="J68158"/>
    </row>
    <row r="68159" spans="10:10" x14ac:dyDescent="0.3">
      <c r="J68159"/>
    </row>
    <row r="68160" spans="10:10" x14ac:dyDescent="0.3">
      <c r="J68160"/>
    </row>
    <row r="68161" spans="10:10" x14ac:dyDescent="0.3">
      <c r="J68161"/>
    </row>
    <row r="68162" spans="10:10" x14ac:dyDescent="0.3">
      <c r="J68162"/>
    </row>
    <row r="68163" spans="10:10" x14ac:dyDescent="0.3">
      <c r="J68163"/>
    </row>
    <row r="68164" spans="10:10" x14ac:dyDescent="0.3">
      <c r="J68164"/>
    </row>
    <row r="68165" spans="10:10" x14ac:dyDescent="0.3">
      <c r="J68165"/>
    </row>
    <row r="68166" spans="10:10" x14ac:dyDescent="0.3">
      <c r="J68166"/>
    </row>
    <row r="68167" spans="10:10" x14ac:dyDescent="0.3">
      <c r="J68167"/>
    </row>
    <row r="68168" spans="10:10" x14ac:dyDescent="0.3">
      <c r="J68168"/>
    </row>
    <row r="68169" spans="10:10" x14ac:dyDescent="0.3">
      <c r="J68169"/>
    </row>
    <row r="68170" spans="10:10" x14ac:dyDescent="0.3">
      <c r="J68170"/>
    </row>
    <row r="68171" spans="10:10" x14ac:dyDescent="0.3">
      <c r="J68171"/>
    </row>
    <row r="68172" spans="10:10" x14ac:dyDescent="0.3">
      <c r="J68172"/>
    </row>
    <row r="68173" spans="10:10" x14ac:dyDescent="0.3">
      <c r="J68173"/>
    </row>
    <row r="68174" spans="10:10" x14ac:dyDescent="0.3">
      <c r="J68174"/>
    </row>
    <row r="68175" spans="10:10" x14ac:dyDescent="0.3">
      <c r="J68175"/>
    </row>
    <row r="68176" spans="10:10" x14ac:dyDescent="0.3">
      <c r="J68176"/>
    </row>
    <row r="68177" spans="10:10" x14ac:dyDescent="0.3">
      <c r="J68177"/>
    </row>
    <row r="68178" spans="10:10" x14ac:dyDescent="0.3">
      <c r="J68178"/>
    </row>
    <row r="68179" spans="10:10" x14ac:dyDescent="0.3">
      <c r="J68179"/>
    </row>
    <row r="68180" spans="10:10" x14ac:dyDescent="0.3">
      <c r="J68180"/>
    </row>
    <row r="68181" spans="10:10" x14ac:dyDescent="0.3">
      <c r="J68181"/>
    </row>
    <row r="68182" spans="10:10" x14ac:dyDescent="0.3">
      <c r="J68182"/>
    </row>
    <row r="68183" spans="10:10" x14ac:dyDescent="0.3">
      <c r="J68183"/>
    </row>
    <row r="68184" spans="10:10" x14ac:dyDescent="0.3">
      <c r="J68184"/>
    </row>
    <row r="68185" spans="10:10" x14ac:dyDescent="0.3">
      <c r="J68185"/>
    </row>
    <row r="68186" spans="10:10" x14ac:dyDescent="0.3">
      <c r="J68186"/>
    </row>
    <row r="68187" spans="10:10" x14ac:dyDescent="0.3">
      <c r="J68187"/>
    </row>
    <row r="68188" spans="10:10" x14ac:dyDescent="0.3">
      <c r="J68188"/>
    </row>
    <row r="68189" spans="10:10" x14ac:dyDescent="0.3">
      <c r="J68189"/>
    </row>
    <row r="68190" spans="10:10" x14ac:dyDescent="0.3">
      <c r="J68190"/>
    </row>
    <row r="68191" spans="10:10" x14ac:dyDescent="0.3">
      <c r="J68191"/>
    </row>
    <row r="68192" spans="10:10" x14ac:dyDescent="0.3">
      <c r="J68192"/>
    </row>
    <row r="68193" spans="10:10" x14ac:dyDescent="0.3">
      <c r="J68193"/>
    </row>
    <row r="68194" spans="10:10" x14ac:dyDescent="0.3">
      <c r="J68194"/>
    </row>
    <row r="68195" spans="10:10" x14ac:dyDescent="0.3">
      <c r="J68195"/>
    </row>
    <row r="68196" spans="10:10" x14ac:dyDescent="0.3">
      <c r="J68196"/>
    </row>
    <row r="68197" spans="10:10" x14ac:dyDescent="0.3">
      <c r="J68197"/>
    </row>
    <row r="68198" spans="10:10" x14ac:dyDescent="0.3">
      <c r="J68198"/>
    </row>
    <row r="68199" spans="10:10" x14ac:dyDescent="0.3">
      <c r="J68199"/>
    </row>
    <row r="68200" spans="10:10" x14ac:dyDescent="0.3">
      <c r="J68200"/>
    </row>
    <row r="68201" spans="10:10" x14ac:dyDescent="0.3">
      <c r="J68201"/>
    </row>
    <row r="68202" spans="10:10" x14ac:dyDescent="0.3">
      <c r="J68202"/>
    </row>
    <row r="68203" spans="10:10" x14ac:dyDescent="0.3">
      <c r="J68203"/>
    </row>
    <row r="68204" spans="10:10" x14ac:dyDescent="0.3">
      <c r="J68204"/>
    </row>
    <row r="68205" spans="10:10" x14ac:dyDescent="0.3">
      <c r="J68205"/>
    </row>
    <row r="68206" spans="10:10" x14ac:dyDescent="0.3">
      <c r="J68206"/>
    </row>
    <row r="68207" spans="10:10" x14ac:dyDescent="0.3">
      <c r="J68207"/>
    </row>
    <row r="68208" spans="10:10" x14ac:dyDescent="0.3">
      <c r="J68208"/>
    </row>
    <row r="68209" spans="10:10" x14ac:dyDescent="0.3">
      <c r="J68209"/>
    </row>
    <row r="68210" spans="10:10" x14ac:dyDescent="0.3">
      <c r="J68210"/>
    </row>
    <row r="68211" spans="10:10" x14ac:dyDescent="0.3">
      <c r="J68211"/>
    </row>
    <row r="68212" spans="10:10" x14ac:dyDescent="0.3">
      <c r="J68212"/>
    </row>
    <row r="68213" spans="10:10" x14ac:dyDescent="0.3">
      <c r="J68213"/>
    </row>
    <row r="68214" spans="10:10" x14ac:dyDescent="0.3">
      <c r="J68214"/>
    </row>
    <row r="68215" spans="10:10" x14ac:dyDescent="0.3">
      <c r="J68215"/>
    </row>
    <row r="68216" spans="10:10" x14ac:dyDescent="0.3">
      <c r="J68216"/>
    </row>
    <row r="68217" spans="10:10" x14ac:dyDescent="0.3">
      <c r="J68217"/>
    </row>
    <row r="68218" spans="10:10" x14ac:dyDescent="0.3">
      <c r="J68218"/>
    </row>
    <row r="68219" spans="10:10" x14ac:dyDescent="0.3">
      <c r="J68219"/>
    </row>
    <row r="68220" spans="10:10" x14ac:dyDescent="0.3">
      <c r="J68220"/>
    </row>
    <row r="68221" spans="10:10" x14ac:dyDescent="0.3">
      <c r="J68221"/>
    </row>
    <row r="68222" spans="10:10" x14ac:dyDescent="0.3">
      <c r="J68222"/>
    </row>
    <row r="68223" spans="10:10" x14ac:dyDescent="0.3">
      <c r="J68223"/>
    </row>
    <row r="68224" spans="10:10" x14ac:dyDescent="0.3">
      <c r="J68224"/>
    </row>
    <row r="68225" spans="10:10" x14ac:dyDescent="0.3">
      <c r="J68225"/>
    </row>
    <row r="68226" spans="10:10" x14ac:dyDescent="0.3">
      <c r="J68226"/>
    </row>
    <row r="68227" spans="10:10" x14ac:dyDescent="0.3">
      <c r="J68227"/>
    </row>
    <row r="68228" spans="10:10" x14ac:dyDescent="0.3">
      <c r="J68228"/>
    </row>
    <row r="68229" spans="10:10" x14ac:dyDescent="0.3">
      <c r="J68229"/>
    </row>
    <row r="68230" spans="10:10" x14ac:dyDescent="0.3">
      <c r="J68230"/>
    </row>
    <row r="68231" spans="10:10" x14ac:dyDescent="0.3">
      <c r="J68231"/>
    </row>
    <row r="68232" spans="10:10" x14ac:dyDescent="0.3">
      <c r="J68232"/>
    </row>
    <row r="68233" spans="10:10" x14ac:dyDescent="0.3">
      <c r="J68233"/>
    </row>
    <row r="68234" spans="10:10" x14ac:dyDescent="0.3">
      <c r="J68234"/>
    </row>
    <row r="68235" spans="10:10" x14ac:dyDescent="0.3">
      <c r="J68235"/>
    </row>
    <row r="68236" spans="10:10" x14ac:dyDescent="0.3">
      <c r="J68236"/>
    </row>
    <row r="68237" spans="10:10" x14ac:dyDescent="0.3">
      <c r="J68237"/>
    </row>
    <row r="68238" spans="10:10" x14ac:dyDescent="0.3">
      <c r="J68238"/>
    </row>
    <row r="68239" spans="10:10" x14ac:dyDescent="0.3">
      <c r="J68239"/>
    </row>
    <row r="68240" spans="10:10" x14ac:dyDescent="0.3">
      <c r="J68240"/>
    </row>
    <row r="68241" spans="10:10" x14ac:dyDescent="0.3">
      <c r="J68241"/>
    </row>
    <row r="68242" spans="10:10" x14ac:dyDescent="0.3">
      <c r="J68242"/>
    </row>
    <row r="68243" spans="10:10" x14ac:dyDescent="0.3">
      <c r="J68243"/>
    </row>
    <row r="68244" spans="10:10" x14ac:dyDescent="0.3">
      <c r="J68244"/>
    </row>
    <row r="68245" spans="10:10" x14ac:dyDescent="0.3">
      <c r="J68245"/>
    </row>
    <row r="68246" spans="10:10" x14ac:dyDescent="0.3">
      <c r="J68246"/>
    </row>
    <row r="68247" spans="10:10" x14ac:dyDescent="0.3">
      <c r="J68247"/>
    </row>
    <row r="68248" spans="10:10" x14ac:dyDescent="0.3">
      <c r="J68248"/>
    </row>
    <row r="68249" spans="10:10" x14ac:dyDescent="0.3">
      <c r="J68249"/>
    </row>
    <row r="68250" spans="10:10" x14ac:dyDescent="0.3">
      <c r="J68250"/>
    </row>
    <row r="68251" spans="10:10" x14ac:dyDescent="0.3">
      <c r="J68251"/>
    </row>
    <row r="68252" spans="10:10" x14ac:dyDescent="0.3">
      <c r="J68252"/>
    </row>
    <row r="68253" spans="10:10" x14ac:dyDescent="0.3">
      <c r="J68253"/>
    </row>
    <row r="68254" spans="10:10" x14ac:dyDescent="0.3">
      <c r="J68254"/>
    </row>
    <row r="68255" spans="10:10" x14ac:dyDescent="0.3">
      <c r="J68255"/>
    </row>
    <row r="68256" spans="10:10" x14ac:dyDescent="0.3">
      <c r="J68256"/>
    </row>
    <row r="68257" spans="10:10" x14ac:dyDescent="0.3">
      <c r="J68257"/>
    </row>
    <row r="68258" spans="10:10" x14ac:dyDescent="0.3">
      <c r="J68258"/>
    </row>
    <row r="68259" spans="10:10" x14ac:dyDescent="0.3">
      <c r="J68259"/>
    </row>
    <row r="68260" spans="10:10" x14ac:dyDescent="0.3">
      <c r="J68260"/>
    </row>
    <row r="68261" spans="10:10" x14ac:dyDescent="0.3">
      <c r="J68261"/>
    </row>
    <row r="68262" spans="10:10" x14ac:dyDescent="0.3">
      <c r="J68262"/>
    </row>
    <row r="68263" spans="10:10" x14ac:dyDescent="0.3">
      <c r="J68263"/>
    </row>
    <row r="68264" spans="10:10" x14ac:dyDescent="0.3">
      <c r="J68264"/>
    </row>
    <row r="68265" spans="10:10" x14ac:dyDescent="0.3">
      <c r="J68265"/>
    </row>
    <row r="68266" spans="10:10" x14ac:dyDescent="0.3">
      <c r="J68266"/>
    </row>
    <row r="68267" spans="10:10" x14ac:dyDescent="0.3">
      <c r="J68267"/>
    </row>
    <row r="68268" spans="10:10" x14ac:dyDescent="0.3">
      <c r="J68268"/>
    </row>
    <row r="68269" spans="10:10" x14ac:dyDescent="0.3">
      <c r="J68269"/>
    </row>
    <row r="68270" spans="10:10" x14ac:dyDescent="0.3">
      <c r="J68270"/>
    </row>
    <row r="68271" spans="10:10" x14ac:dyDescent="0.3">
      <c r="J68271"/>
    </row>
    <row r="68272" spans="10:10" x14ac:dyDescent="0.3">
      <c r="J68272"/>
    </row>
    <row r="68273" spans="10:10" x14ac:dyDescent="0.3">
      <c r="J68273"/>
    </row>
    <row r="68274" spans="10:10" x14ac:dyDescent="0.3">
      <c r="J68274"/>
    </row>
    <row r="68275" spans="10:10" x14ac:dyDescent="0.3">
      <c r="J68275"/>
    </row>
    <row r="68276" spans="10:10" x14ac:dyDescent="0.3">
      <c r="J68276"/>
    </row>
    <row r="68277" spans="10:10" x14ac:dyDescent="0.3">
      <c r="J68277"/>
    </row>
    <row r="68278" spans="10:10" x14ac:dyDescent="0.3">
      <c r="J68278"/>
    </row>
    <row r="68279" spans="10:10" x14ac:dyDescent="0.3">
      <c r="J68279"/>
    </row>
    <row r="68280" spans="10:10" x14ac:dyDescent="0.3">
      <c r="J68280"/>
    </row>
    <row r="68281" spans="10:10" x14ac:dyDescent="0.3">
      <c r="J68281"/>
    </row>
    <row r="68282" spans="10:10" x14ac:dyDescent="0.3">
      <c r="J68282"/>
    </row>
    <row r="68283" spans="10:10" x14ac:dyDescent="0.3">
      <c r="J68283"/>
    </row>
    <row r="68284" spans="10:10" x14ac:dyDescent="0.3">
      <c r="J68284"/>
    </row>
    <row r="68285" spans="10:10" x14ac:dyDescent="0.3">
      <c r="J68285"/>
    </row>
    <row r="68286" spans="10:10" x14ac:dyDescent="0.3">
      <c r="J68286"/>
    </row>
    <row r="68287" spans="10:10" x14ac:dyDescent="0.3">
      <c r="J68287"/>
    </row>
    <row r="68288" spans="10:10" x14ac:dyDescent="0.3">
      <c r="J68288"/>
    </row>
    <row r="68289" spans="10:10" x14ac:dyDescent="0.3">
      <c r="J68289"/>
    </row>
    <row r="68290" spans="10:10" x14ac:dyDescent="0.3">
      <c r="J68290"/>
    </row>
    <row r="68291" spans="10:10" x14ac:dyDescent="0.3">
      <c r="J68291"/>
    </row>
    <row r="68292" spans="10:10" x14ac:dyDescent="0.3">
      <c r="J68292"/>
    </row>
    <row r="68293" spans="10:10" x14ac:dyDescent="0.3">
      <c r="J68293"/>
    </row>
    <row r="68294" spans="10:10" x14ac:dyDescent="0.3">
      <c r="J68294"/>
    </row>
    <row r="68295" spans="10:10" x14ac:dyDescent="0.3">
      <c r="J68295"/>
    </row>
    <row r="68296" spans="10:10" x14ac:dyDescent="0.3">
      <c r="J68296"/>
    </row>
    <row r="68297" spans="10:10" x14ac:dyDescent="0.3">
      <c r="J68297"/>
    </row>
    <row r="68298" spans="10:10" x14ac:dyDescent="0.3">
      <c r="J68298"/>
    </row>
    <row r="68299" spans="10:10" x14ac:dyDescent="0.3">
      <c r="J68299"/>
    </row>
    <row r="68300" spans="10:10" x14ac:dyDescent="0.3">
      <c r="J68300"/>
    </row>
    <row r="68301" spans="10:10" x14ac:dyDescent="0.3">
      <c r="J68301"/>
    </row>
    <row r="68302" spans="10:10" x14ac:dyDescent="0.3">
      <c r="J68302"/>
    </row>
    <row r="68303" spans="10:10" x14ac:dyDescent="0.3">
      <c r="J68303"/>
    </row>
    <row r="68304" spans="10:10" x14ac:dyDescent="0.3">
      <c r="J68304"/>
    </row>
    <row r="68305" spans="10:10" x14ac:dyDescent="0.3">
      <c r="J68305"/>
    </row>
    <row r="68306" spans="10:10" x14ac:dyDescent="0.3">
      <c r="J68306"/>
    </row>
    <row r="68307" spans="10:10" x14ac:dyDescent="0.3">
      <c r="J68307"/>
    </row>
    <row r="68308" spans="10:10" x14ac:dyDescent="0.3">
      <c r="J68308"/>
    </row>
    <row r="68309" spans="10:10" x14ac:dyDescent="0.3">
      <c r="J68309"/>
    </row>
    <row r="68310" spans="10:10" x14ac:dyDescent="0.3">
      <c r="J68310"/>
    </row>
    <row r="68311" spans="10:10" x14ac:dyDescent="0.3">
      <c r="J68311"/>
    </row>
    <row r="68312" spans="10:10" x14ac:dyDescent="0.3">
      <c r="J68312"/>
    </row>
    <row r="68313" spans="10:10" x14ac:dyDescent="0.3">
      <c r="J68313"/>
    </row>
    <row r="68314" spans="10:10" x14ac:dyDescent="0.3">
      <c r="J68314"/>
    </row>
    <row r="68315" spans="10:10" x14ac:dyDescent="0.3">
      <c r="J68315"/>
    </row>
    <row r="68316" spans="10:10" x14ac:dyDescent="0.3">
      <c r="J68316"/>
    </row>
    <row r="68317" spans="10:10" x14ac:dyDescent="0.3">
      <c r="J68317"/>
    </row>
    <row r="68318" spans="10:10" x14ac:dyDescent="0.3">
      <c r="J68318"/>
    </row>
    <row r="68319" spans="10:10" x14ac:dyDescent="0.3">
      <c r="J68319"/>
    </row>
    <row r="68320" spans="10:10" x14ac:dyDescent="0.3">
      <c r="J68320"/>
    </row>
    <row r="68321" spans="10:10" x14ac:dyDescent="0.3">
      <c r="J68321"/>
    </row>
    <row r="68322" spans="10:10" x14ac:dyDescent="0.3">
      <c r="J68322"/>
    </row>
    <row r="68323" spans="10:10" x14ac:dyDescent="0.3">
      <c r="J68323"/>
    </row>
    <row r="68324" spans="10:10" x14ac:dyDescent="0.3">
      <c r="J68324"/>
    </row>
    <row r="68325" spans="10:10" x14ac:dyDescent="0.3">
      <c r="J68325"/>
    </row>
    <row r="68326" spans="10:10" x14ac:dyDescent="0.3">
      <c r="J68326"/>
    </row>
    <row r="68327" spans="10:10" x14ac:dyDescent="0.3">
      <c r="J68327"/>
    </row>
    <row r="68328" spans="10:10" x14ac:dyDescent="0.3">
      <c r="J68328"/>
    </row>
    <row r="68329" spans="10:10" x14ac:dyDescent="0.3">
      <c r="J68329"/>
    </row>
    <row r="68330" spans="10:10" x14ac:dyDescent="0.3">
      <c r="J68330"/>
    </row>
    <row r="68331" spans="10:10" x14ac:dyDescent="0.3">
      <c r="J68331"/>
    </row>
    <row r="68332" spans="10:10" x14ac:dyDescent="0.3">
      <c r="J68332"/>
    </row>
    <row r="68333" spans="10:10" x14ac:dyDescent="0.3">
      <c r="J68333"/>
    </row>
    <row r="68334" spans="10:10" x14ac:dyDescent="0.3">
      <c r="J68334"/>
    </row>
    <row r="68335" spans="10:10" x14ac:dyDescent="0.3">
      <c r="J68335"/>
    </row>
    <row r="68336" spans="10:10" x14ac:dyDescent="0.3">
      <c r="J68336"/>
    </row>
    <row r="68337" spans="10:10" x14ac:dyDescent="0.3">
      <c r="J68337"/>
    </row>
    <row r="68338" spans="10:10" x14ac:dyDescent="0.3">
      <c r="J68338"/>
    </row>
    <row r="68339" spans="10:10" x14ac:dyDescent="0.3">
      <c r="J68339"/>
    </row>
    <row r="68340" spans="10:10" x14ac:dyDescent="0.3">
      <c r="J68340"/>
    </row>
    <row r="68341" spans="10:10" x14ac:dyDescent="0.3">
      <c r="J68341"/>
    </row>
    <row r="68342" spans="10:10" x14ac:dyDescent="0.3">
      <c r="J68342"/>
    </row>
    <row r="68343" spans="10:10" x14ac:dyDescent="0.3">
      <c r="J68343"/>
    </row>
    <row r="68344" spans="10:10" x14ac:dyDescent="0.3">
      <c r="J68344"/>
    </row>
    <row r="68345" spans="10:10" x14ac:dyDescent="0.3">
      <c r="J68345"/>
    </row>
    <row r="68346" spans="10:10" x14ac:dyDescent="0.3">
      <c r="J68346"/>
    </row>
    <row r="68347" spans="10:10" x14ac:dyDescent="0.3">
      <c r="J68347"/>
    </row>
    <row r="68348" spans="10:10" x14ac:dyDescent="0.3">
      <c r="J68348"/>
    </row>
    <row r="68349" spans="10:10" x14ac:dyDescent="0.3">
      <c r="J68349"/>
    </row>
    <row r="68350" spans="10:10" x14ac:dyDescent="0.3">
      <c r="J68350"/>
    </row>
    <row r="68351" spans="10:10" x14ac:dyDescent="0.3">
      <c r="J68351"/>
    </row>
    <row r="68352" spans="10:10" x14ac:dyDescent="0.3">
      <c r="J68352"/>
    </row>
    <row r="68353" spans="10:10" x14ac:dyDescent="0.3">
      <c r="J68353"/>
    </row>
    <row r="68354" spans="10:10" x14ac:dyDescent="0.3">
      <c r="J68354"/>
    </row>
    <row r="68355" spans="10:10" x14ac:dyDescent="0.3">
      <c r="J68355"/>
    </row>
    <row r="68356" spans="10:10" x14ac:dyDescent="0.3">
      <c r="J68356"/>
    </row>
    <row r="68357" spans="10:10" x14ac:dyDescent="0.3">
      <c r="J68357"/>
    </row>
    <row r="68358" spans="10:10" x14ac:dyDescent="0.3">
      <c r="J68358"/>
    </row>
    <row r="68359" spans="10:10" x14ac:dyDescent="0.3">
      <c r="J68359"/>
    </row>
    <row r="68360" spans="10:10" x14ac:dyDescent="0.3">
      <c r="J68360"/>
    </row>
    <row r="68361" spans="10:10" x14ac:dyDescent="0.3">
      <c r="J68361"/>
    </row>
    <row r="68362" spans="10:10" x14ac:dyDescent="0.3">
      <c r="J68362"/>
    </row>
    <row r="68363" spans="10:10" x14ac:dyDescent="0.3">
      <c r="J68363"/>
    </row>
    <row r="68364" spans="10:10" x14ac:dyDescent="0.3">
      <c r="J68364"/>
    </row>
    <row r="68365" spans="10:10" x14ac:dyDescent="0.3">
      <c r="J68365"/>
    </row>
    <row r="68366" spans="10:10" x14ac:dyDescent="0.3">
      <c r="J68366"/>
    </row>
    <row r="68367" spans="10:10" x14ac:dyDescent="0.3">
      <c r="J68367"/>
    </row>
    <row r="68368" spans="10:10" x14ac:dyDescent="0.3">
      <c r="J68368"/>
    </row>
    <row r="68369" spans="10:10" x14ac:dyDescent="0.3">
      <c r="J68369"/>
    </row>
    <row r="68370" spans="10:10" x14ac:dyDescent="0.3">
      <c r="J68370"/>
    </row>
    <row r="68371" spans="10:10" x14ac:dyDescent="0.3">
      <c r="J68371"/>
    </row>
    <row r="68372" spans="10:10" x14ac:dyDescent="0.3">
      <c r="J68372"/>
    </row>
    <row r="68373" spans="10:10" x14ac:dyDescent="0.3">
      <c r="J68373"/>
    </row>
    <row r="68374" spans="10:10" x14ac:dyDescent="0.3">
      <c r="J68374"/>
    </row>
    <row r="68375" spans="10:10" x14ac:dyDescent="0.3">
      <c r="J68375"/>
    </row>
    <row r="68376" spans="10:10" x14ac:dyDescent="0.3">
      <c r="J68376"/>
    </row>
    <row r="68377" spans="10:10" x14ac:dyDescent="0.3">
      <c r="J68377"/>
    </row>
    <row r="68378" spans="10:10" x14ac:dyDescent="0.3">
      <c r="J68378"/>
    </row>
    <row r="68379" spans="10:10" x14ac:dyDescent="0.3">
      <c r="J68379"/>
    </row>
    <row r="68380" spans="10:10" x14ac:dyDescent="0.3">
      <c r="J68380"/>
    </row>
    <row r="68381" spans="10:10" x14ac:dyDescent="0.3">
      <c r="J68381"/>
    </row>
    <row r="68382" spans="10:10" x14ac:dyDescent="0.3">
      <c r="J68382"/>
    </row>
    <row r="68383" spans="10:10" x14ac:dyDescent="0.3">
      <c r="J68383"/>
    </row>
    <row r="68384" spans="10:10" x14ac:dyDescent="0.3">
      <c r="J68384"/>
    </row>
    <row r="68385" spans="10:10" x14ac:dyDescent="0.3">
      <c r="J68385"/>
    </row>
    <row r="68386" spans="10:10" x14ac:dyDescent="0.3">
      <c r="J68386"/>
    </row>
    <row r="68387" spans="10:10" x14ac:dyDescent="0.3">
      <c r="J68387"/>
    </row>
    <row r="68388" spans="10:10" x14ac:dyDescent="0.3">
      <c r="J68388"/>
    </row>
    <row r="68389" spans="10:10" x14ac:dyDescent="0.3">
      <c r="J68389"/>
    </row>
    <row r="68390" spans="10:10" x14ac:dyDescent="0.3">
      <c r="J68390"/>
    </row>
    <row r="68391" spans="10:10" x14ac:dyDescent="0.3">
      <c r="J68391"/>
    </row>
    <row r="68392" spans="10:10" x14ac:dyDescent="0.3">
      <c r="J68392"/>
    </row>
    <row r="68393" spans="10:10" x14ac:dyDescent="0.3">
      <c r="J68393"/>
    </row>
    <row r="68394" spans="10:10" x14ac:dyDescent="0.3">
      <c r="J68394"/>
    </row>
    <row r="68395" spans="10:10" x14ac:dyDescent="0.3">
      <c r="J68395"/>
    </row>
    <row r="68396" spans="10:10" x14ac:dyDescent="0.3">
      <c r="J68396"/>
    </row>
    <row r="68397" spans="10:10" x14ac:dyDescent="0.3">
      <c r="J68397"/>
    </row>
    <row r="68398" spans="10:10" x14ac:dyDescent="0.3">
      <c r="J68398"/>
    </row>
    <row r="68399" spans="10:10" x14ac:dyDescent="0.3">
      <c r="J68399"/>
    </row>
    <row r="68400" spans="10:10" x14ac:dyDescent="0.3">
      <c r="J68400"/>
    </row>
    <row r="68401" spans="10:10" x14ac:dyDescent="0.3">
      <c r="J68401"/>
    </row>
    <row r="68402" spans="10:10" x14ac:dyDescent="0.3">
      <c r="J68402"/>
    </row>
    <row r="68403" spans="10:10" x14ac:dyDescent="0.3">
      <c r="J68403"/>
    </row>
    <row r="68404" spans="10:10" x14ac:dyDescent="0.3">
      <c r="J68404"/>
    </row>
    <row r="68405" spans="10:10" x14ac:dyDescent="0.3">
      <c r="J68405"/>
    </row>
    <row r="68406" spans="10:10" x14ac:dyDescent="0.3">
      <c r="J68406"/>
    </row>
    <row r="68407" spans="10:10" x14ac:dyDescent="0.3">
      <c r="J68407"/>
    </row>
    <row r="68408" spans="10:10" x14ac:dyDescent="0.3">
      <c r="J68408"/>
    </row>
    <row r="68409" spans="10:10" x14ac:dyDescent="0.3">
      <c r="J68409"/>
    </row>
    <row r="68410" spans="10:10" x14ac:dyDescent="0.3">
      <c r="J68410"/>
    </row>
    <row r="68411" spans="10:10" x14ac:dyDescent="0.3">
      <c r="J68411"/>
    </row>
    <row r="68412" spans="10:10" x14ac:dyDescent="0.3">
      <c r="J68412"/>
    </row>
    <row r="68413" spans="10:10" x14ac:dyDescent="0.3">
      <c r="J68413"/>
    </row>
    <row r="68414" spans="10:10" x14ac:dyDescent="0.3">
      <c r="J68414"/>
    </row>
    <row r="68415" spans="10:10" x14ac:dyDescent="0.3">
      <c r="J68415"/>
    </row>
    <row r="68416" spans="10:10" x14ac:dyDescent="0.3">
      <c r="J68416"/>
    </row>
    <row r="68417" spans="10:10" x14ac:dyDescent="0.3">
      <c r="J68417"/>
    </row>
    <row r="68418" spans="10:10" x14ac:dyDescent="0.3">
      <c r="J68418"/>
    </row>
    <row r="68419" spans="10:10" x14ac:dyDescent="0.3">
      <c r="J68419"/>
    </row>
    <row r="68420" spans="10:10" x14ac:dyDescent="0.3">
      <c r="J68420"/>
    </row>
    <row r="68421" spans="10:10" x14ac:dyDescent="0.3">
      <c r="J68421"/>
    </row>
    <row r="68422" spans="10:10" x14ac:dyDescent="0.3">
      <c r="J68422"/>
    </row>
    <row r="68423" spans="10:10" x14ac:dyDescent="0.3">
      <c r="J68423"/>
    </row>
    <row r="68424" spans="10:10" x14ac:dyDescent="0.3">
      <c r="J68424"/>
    </row>
    <row r="68425" spans="10:10" x14ac:dyDescent="0.3">
      <c r="J68425"/>
    </row>
    <row r="68426" spans="10:10" x14ac:dyDescent="0.3">
      <c r="J68426"/>
    </row>
    <row r="68427" spans="10:10" x14ac:dyDescent="0.3">
      <c r="J68427"/>
    </row>
    <row r="68428" spans="10:10" x14ac:dyDescent="0.3">
      <c r="J68428"/>
    </row>
    <row r="68429" spans="10:10" x14ac:dyDescent="0.3">
      <c r="J68429"/>
    </row>
    <row r="68430" spans="10:10" x14ac:dyDescent="0.3">
      <c r="J68430"/>
    </row>
    <row r="68431" spans="10:10" x14ac:dyDescent="0.3">
      <c r="J68431"/>
    </row>
    <row r="68432" spans="10:10" x14ac:dyDescent="0.3">
      <c r="J68432"/>
    </row>
    <row r="68433" spans="10:10" x14ac:dyDescent="0.3">
      <c r="J68433"/>
    </row>
    <row r="68434" spans="10:10" x14ac:dyDescent="0.3">
      <c r="J68434"/>
    </row>
    <row r="68435" spans="10:10" x14ac:dyDescent="0.3">
      <c r="J68435"/>
    </row>
    <row r="68436" spans="10:10" x14ac:dyDescent="0.3">
      <c r="J68436"/>
    </row>
    <row r="68437" spans="10:10" x14ac:dyDescent="0.3">
      <c r="J68437"/>
    </row>
    <row r="68438" spans="10:10" x14ac:dyDescent="0.3">
      <c r="J68438"/>
    </row>
    <row r="68439" spans="10:10" x14ac:dyDescent="0.3">
      <c r="J68439"/>
    </row>
    <row r="68440" spans="10:10" x14ac:dyDescent="0.3">
      <c r="J68440"/>
    </row>
    <row r="68441" spans="10:10" x14ac:dyDescent="0.3">
      <c r="J68441"/>
    </row>
    <row r="68442" spans="10:10" x14ac:dyDescent="0.3">
      <c r="J68442"/>
    </row>
    <row r="68443" spans="10:10" x14ac:dyDescent="0.3">
      <c r="J68443"/>
    </row>
    <row r="68444" spans="10:10" x14ac:dyDescent="0.3">
      <c r="J68444"/>
    </row>
    <row r="68445" spans="10:10" x14ac:dyDescent="0.3">
      <c r="J68445"/>
    </row>
    <row r="68446" spans="10:10" x14ac:dyDescent="0.3">
      <c r="J68446"/>
    </row>
    <row r="68447" spans="10:10" x14ac:dyDescent="0.3">
      <c r="J68447"/>
    </row>
    <row r="68448" spans="10:10" x14ac:dyDescent="0.3">
      <c r="J68448"/>
    </row>
    <row r="68449" spans="10:10" x14ac:dyDescent="0.3">
      <c r="J68449"/>
    </row>
    <row r="68450" spans="10:10" x14ac:dyDescent="0.3">
      <c r="J68450"/>
    </row>
    <row r="68451" spans="10:10" x14ac:dyDescent="0.3">
      <c r="J68451"/>
    </row>
    <row r="68452" spans="10:10" x14ac:dyDescent="0.3">
      <c r="J68452"/>
    </row>
    <row r="68453" spans="10:10" x14ac:dyDescent="0.3">
      <c r="J68453"/>
    </row>
    <row r="68454" spans="10:10" x14ac:dyDescent="0.3">
      <c r="J68454"/>
    </row>
    <row r="68455" spans="10:10" x14ac:dyDescent="0.3">
      <c r="J68455"/>
    </row>
    <row r="68456" spans="10:10" x14ac:dyDescent="0.3">
      <c r="J68456"/>
    </row>
    <row r="68457" spans="10:10" x14ac:dyDescent="0.3">
      <c r="J68457"/>
    </row>
    <row r="68458" spans="10:10" x14ac:dyDescent="0.3">
      <c r="J68458"/>
    </row>
    <row r="68459" spans="10:10" x14ac:dyDescent="0.3">
      <c r="J68459"/>
    </row>
    <row r="68460" spans="10:10" x14ac:dyDescent="0.3">
      <c r="J68460"/>
    </row>
    <row r="68461" spans="10:10" x14ac:dyDescent="0.3">
      <c r="J68461"/>
    </row>
    <row r="68462" spans="10:10" x14ac:dyDescent="0.3">
      <c r="J68462"/>
    </row>
    <row r="68463" spans="10:10" x14ac:dyDescent="0.3">
      <c r="J68463"/>
    </row>
    <row r="68464" spans="10:10" x14ac:dyDescent="0.3">
      <c r="J68464"/>
    </row>
    <row r="68465" spans="10:10" x14ac:dyDescent="0.3">
      <c r="J68465"/>
    </row>
    <row r="68466" spans="10:10" x14ac:dyDescent="0.3">
      <c r="J68466"/>
    </row>
    <row r="68467" spans="10:10" x14ac:dyDescent="0.3">
      <c r="J68467"/>
    </row>
    <row r="68468" spans="10:10" x14ac:dyDescent="0.3">
      <c r="J68468"/>
    </row>
    <row r="68469" spans="10:10" x14ac:dyDescent="0.3">
      <c r="J68469"/>
    </row>
    <row r="68470" spans="10:10" x14ac:dyDescent="0.3">
      <c r="J68470"/>
    </row>
    <row r="68471" spans="10:10" x14ac:dyDescent="0.3">
      <c r="J68471"/>
    </row>
    <row r="68472" spans="10:10" x14ac:dyDescent="0.3">
      <c r="J68472"/>
    </row>
    <row r="68473" spans="10:10" x14ac:dyDescent="0.3">
      <c r="J68473"/>
    </row>
    <row r="68474" spans="10:10" x14ac:dyDescent="0.3">
      <c r="J68474"/>
    </row>
    <row r="68475" spans="10:10" x14ac:dyDescent="0.3">
      <c r="J68475"/>
    </row>
    <row r="68476" spans="10:10" x14ac:dyDescent="0.3">
      <c r="J68476"/>
    </row>
    <row r="68477" spans="10:10" x14ac:dyDescent="0.3">
      <c r="J68477"/>
    </row>
    <row r="68478" spans="10:10" x14ac:dyDescent="0.3">
      <c r="J68478"/>
    </row>
    <row r="68479" spans="10:10" x14ac:dyDescent="0.3">
      <c r="J68479"/>
    </row>
    <row r="68480" spans="10:10" x14ac:dyDescent="0.3">
      <c r="J68480"/>
    </row>
    <row r="68481" spans="10:10" x14ac:dyDescent="0.3">
      <c r="J68481"/>
    </row>
    <row r="68482" spans="10:10" x14ac:dyDescent="0.3">
      <c r="J68482"/>
    </row>
    <row r="68483" spans="10:10" x14ac:dyDescent="0.3">
      <c r="J68483"/>
    </row>
    <row r="68484" spans="10:10" x14ac:dyDescent="0.3">
      <c r="J68484"/>
    </row>
    <row r="68485" spans="10:10" x14ac:dyDescent="0.3">
      <c r="J68485"/>
    </row>
    <row r="68486" spans="10:10" x14ac:dyDescent="0.3">
      <c r="J68486"/>
    </row>
    <row r="68487" spans="10:10" x14ac:dyDescent="0.3">
      <c r="J68487"/>
    </row>
    <row r="68488" spans="10:10" x14ac:dyDescent="0.3">
      <c r="J68488"/>
    </row>
    <row r="68489" spans="10:10" x14ac:dyDescent="0.3">
      <c r="J68489"/>
    </row>
    <row r="68490" spans="10:10" x14ac:dyDescent="0.3">
      <c r="J68490"/>
    </row>
    <row r="68491" spans="10:10" x14ac:dyDescent="0.3">
      <c r="J68491"/>
    </row>
    <row r="68492" spans="10:10" x14ac:dyDescent="0.3">
      <c r="J68492"/>
    </row>
    <row r="68493" spans="10:10" x14ac:dyDescent="0.3">
      <c r="J68493"/>
    </row>
    <row r="68494" spans="10:10" x14ac:dyDescent="0.3">
      <c r="J68494"/>
    </row>
    <row r="68495" spans="10:10" x14ac:dyDescent="0.3">
      <c r="J68495"/>
    </row>
    <row r="68496" spans="10:10" x14ac:dyDescent="0.3">
      <c r="J68496"/>
    </row>
    <row r="68497" spans="10:10" x14ac:dyDescent="0.3">
      <c r="J68497"/>
    </row>
    <row r="68498" spans="10:10" x14ac:dyDescent="0.3">
      <c r="J68498"/>
    </row>
    <row r="68499" spans="10:10" x14ac:dyDescent="0.3">
      <c r="J68499"/>
    </row>
    <row r="68500" spans="10:10" x14ac:dyDescent="0.3">
      <c r="J68500"/>
    </row>
    <row r="68501" spans="10:10" x14ac:dyDescent="0.3">
      <c r="J68501"/>
    </row>
    <row r="68502" spans="10:10" x14ac:dyDescent="0.3">
      <c r="J68502"/>
    </row>
    <row r="68503" spans="10:10" x14ac:dyDescent="0.3">
      <c r="J68503"/>
    </row>
    <row r="68504" spans="10:10" x14ac:dyDescent="0.3">
      <c r="J68504"/>
    </row>
    <row r="68505" spans="10:10" x14ac:dyDescent="0.3">
      <c r="J68505"/>
    </row>
    <row r="68506" spans="10:10" x14ac:dyDescent="0.3">
      <c r="J68506"/>
    </row>
    <row r="68507" spans="10:10" x14ac:dyDescent="0.3">
      <c r="J68507"/>
    </row>
    <row r="68508" spans="10:10" x14ac:dyDescent="0.3">
      <c r="J68508"/>
    </row>
    <row r="68509" spans="10:10" x14ac:dyDescent="0.3">
      <c r="J68509"/>
    </row>
    <row r="68510" spans="10:10" x14ac:dyDescent="0.3">
      <c r="J68510"/>
    </row>
    <row r="68511" spans="10:10" x14ac:dyDescent="0.3">
      <c r="J68511"/>
    </row>
    <row r="68512" spans="10:10" x14ac:dyDescent="0.3">
      <c r="J68512"/>
    </row>
    <row r="68513" spans="10:10" x14ac:dyDescent="0.3">
      <c r="J68513"/>
    </row>
    <row r="68514" spans="10:10" x14ac:dyDescent="0.3">
      <c r="J68514"/>
    </row>
    <row r="68515" spans="10:10" x14ac:dyDescent="0.3">
      <c r="J68515"/>
    </row>
    <row r="68516" spans="10:10" x14ac:dyDescent="0.3">
      <c r="J68516"/>
    </row>
    <row r="68517" spans="10:10" x14ac:dyDescent="0.3">
      <c r="J68517"/>
    </row>
    <row r="68518" spans="10:10" x14ac:dyDescent="0.3">
      <c r="J68518"/>
    </row>
    <row r="68519" spans="10:10" x14ac:dyDescent="0.3">
      <c r="J68519"/>
    </row>
    <row r="68520" spans="10:10" x14ac:dyDescent="0.3">
      <c r="J68520"/>
    </row>
    <row r="68521" spans="10:10" x14ac:dyDescent="0.3">
      <c r="J68521"/>
    </row>
    <row r="68522" spans="10:10" x14ac:dyDescent="0.3">
      <c r="J68522"/>
    </row>
    <row r="68523" spans="10:10" x14ac:dyDescent="0.3">
      <c r="J68523"/>
    </row>
    <row r="68524" spans="10:10" x14ac:dyDescent="0.3">
      <c r="J68524"/>
    </row>
    <row r="68525" spans="10:10" x14ac:dyDescent="0.3">
      <c r="J68525"/>
    </row>
    <row r="68526" spans="10:10" x14ac:dyDescent="0.3">
      <c r="J68526"/>
    </row>
    <row r="68527" spans="10:10" x14ac:dyDescent="0.3">
      <c r="J68527"/>
    </row>
    <row r="68528" spans="10:10" x14ac:dyDescent="0.3">
      <c r="J68528"/>
    </row>
    <row r="68529" spans="10:10" x14ac:dyDescent="0.3">
      <c r="J68529"/>
    </row>
    <row r="68530" spans="10:10" x14ac:dyDescent="0.3">
      <c r="J68530"/>
    </row>
    <row r="68531" spans="10:10" x14ac:dyDescent="0.3">
      <c r="J68531"/>
    </row>
    <row r="68532" spans="10:10" x14ac:dyDescent="0.3">
      <c r="J68532"/>
    </row>
    <row r="68533" spans="10:10" x14ac:dyDescent="0.3">
      <c r="J68533"/>
    </row>
    <row r="68534" spans="10:10" x14ac:dyDescent="0.3">
      <c r="J68534"/>
    </row>
    <row r="68535" spans="10:10" x14ac:dyDescent="0.3">
      <c r="J68535"/>
    </row>
    <row r="68536" spans="10:10" x14ac:dyDescent="0.3">
      <c r="J68536"/>
    </row>
    <row r="68537" spans="10:10" x14ac:dyDescent="0.3">
      <c r="J68537"/>
    </row>
    <row r="68538" spans="10:10" x14ac:dyDescent="0.3">
      <c r="J68538"/>
    </row>
    <row r="68539" spans="10:10" x14ac:dyDescent="0.3">
      <c r="J68539"/>
    </row>
    <row r="68540" spans="10:10" x14ac:dyDescent="0.3">
      <c r="J68540"/>
    </row>
    <row r="68541" spans="10:10" x14ac:dyDescent="0.3">
      <c r="J68541"/>
    </row>
    <row r="68542" spans="10:10" x14ac:dyDescent="0.3">
      <c r="J68542"/>
    </row>
    <row r="68543" spans="10:10" x14ac:dyDescent="0.3">
      <c r="J68543"/>
    </row>
    <row r="68544" spans="10:10" x14ac:dyDescent="0.3">
      <c r="J68544"/>
    </row>
    <row r="68545" spans="10:10" x14ac:dyDescent="0.3">
      <c r="J68545"/>
    </row>
    <row r="68546" spans="10:10" x14ac:dyDescent="0.3">
      <c r="J68546"/>
    </row>
    <row r="68547" spans="10:10" x14ac:dyDescent="0.3">
      <c r="J68547"/>
    </row>
    <row r="68548" spans="10:10" x14ac:dyDescent="0.3">
      <c r="J68548"/>
    </row>
    <row r="68549" spans="10:10" x14ac:dyDescent="0.3">
      <c r="J68549"/>
    </row>
    <row r="68550" spans="10:10" x14ac:dyDescent="0.3">
      <c r="J68550"/>
    </row>
    <row r="68551" spans="10:10" x14ac:dyDescent="0.3">
      <c r="J68551"/>
    </row>
    <row r="68552" spans="10:10" x14ac:dyDescent="0.3">
      <c r="J68552"/>
    </row>
    <row r="68553" spans="10:10" x14ac:dyDescent="0.3">
      <c r="J68553"/>
    </row>
    <row r="68554" spans="10:10" x14ac:dyDescent="0.3">
      <c r="J68554"/>
    </row>
    <row r="68555" spans="10:10" x14ac:dyDescent="0.3">
      <c r="J68555"/>
    </row>
    <row r="68556" spans="10:10" x14ac:dyDescent="0.3">
      <c r="J68556"/>
    </row>
    <row r="68557" spans="10:10" x14ac:dyDescent="0.3">
      <c r="J68557"/>
    </row>
    <row r="68558" spans="10:10" x14ac:dyDescent="0.3">
      <c r="J68558"/>
    </row>
    <row r="68559" spans="10:10" x14ac:dyDescent="0.3">
      <c r="J68559"/>
    </row>
    <row r="68560" spans="10:10" x14ac:dyDescent="0.3">
      <c r="J68560"/>
    </row>
    <row r="68561" spans="10:10" x14ac:dyDescent="0.3">
      <c r="J68561"/>
    </row>
    <row r="68562" spans="10:10" x14ac:dyDescent="0.3">
      <c r="J68562"/>
    </row>
    <row r="68563" spans="10:10" x14ac:dyDescent="0.3">
      <c r="J68563"/>
    </row>
    <row r="68564" spans="10:10" x14ac:dyDescent="0.3">
      <c r="J68564"/>
    </row>
    <row r="68565" spans="10:10" x14ac:dyDescent="0.3">
      <c r="J68565"/>
    </row>
    <row r="68566" spans="10:10" x14ac:dyDescent="0.3">
      <c r="J68566"/>
    </row>
    <row r="68567" spans="10:10" x14ac:dyDescent="0.3">
      <c r="J68567"/>
    </row>
    <row r="68568" spans="10:10" x14ac:dyDescent="0.3">
      <c r="J68568"/>
    </row>
    <row r="68569" spans="10:10" x14ac:dyDescent="0.3">
      <c r="J68569"/>
    </row>
    <row r="68570" spans="10:10" x14ac:dyDescent="0.3">
      <c r="J68570"/>
    </row>
    <row r="68571" spans="10:10" x14ac:dyDescent="0.3">
      <c r="J68571"/>
    </row>
    <row r="68572" spans="10:10" x14ac:dyDescent="0.3">
      <c r="J68572"/>
    </row>
    <row r="68573" spans="10:10" x14ac:dyDescent="0.3">
      <c r="J68573"/>
    </row>
    <row r="68574" spans="10:10" x14ac:dyDescent="0.3">
      <c r="J68574"/>
    </row>
    <row r="68575" spans="10:10" x14ac:dyDescent="0.3">
      <c r="J68575"/>
    </row>
    <row r="68576" spans="10:10" x14ac:dyDescent="0.3">
      <c r="J68576"/>
    </row>
    <row r="68577" spans="10:10" x14ac:dyDescent="0.3">
      <c r="J68577"/>
    </row>
    <row r="68578" spans="10:10" x14ac:dyDescent="0.3">
      <c r="J68578"/>
    </row>
    <row r="68579" spans="10:10" x14ac:dyDescent="0.3">
      <c r="J68579"/>
    </row>
    <row r="68580" spans="10:10" x14ac:dyDescent="0.3">
      <c r="J68580"/>
    </row>
    <row r="68581" spans="10:10" x14ac:dyDescent="0.3">
      <c r="J68581"/>
    </row>
    <row r="68582" spans="10:10" x14ac:dyDescent="0.3">
      <c r="J68582"/>
    </row>
    <row r="68583" spans="10:10" x14ac:dyDescent="0.3">
      <c r="J68583"/>
    </row>
    <row r="68584" spans="10:10" x14ac:dyDescent="0.3">
      <c r="J68584"/>
    </row>
    <row r="68585" spans="10:10" x14ac:dyDescent="0.3">
      <c r="J68585"/>
    </row>
    <row r="68586" spans="10:10" x14ac:dyDescent="0.3">
      <c r="J68586"/>
    </row>
    <row r="68587" spans="10:10" x14ac:dyDescent="0.3">
      <c r="J68587"/>
    </row>
    <row r="68588" spans="10:10" x14ac:dyDescent="0.3">
      <c r="J68588"/>
    </row>
    <row r="68589" spans="10:10" x14ac:dyDescent="0.3">
      <c r="J68589"/>
    </row>
    <row r="68590" spans="10:10" x14ac:dyDescent="0.3">
      <c r="J68590"/>
    </row>
    <row r="68591" spans="10:10" x14ac:dyDescent="0.3">
      <c r="J68591"/>
    </row>
    <row r="68592" spans="10:10" x14ac:dyDescent="0.3">
      <c r="J68592"/>
    </row>
    <row r="68593" spans="10:10" x14ac:dyDescent="0.3">
      <c r="J68593"/>
    </row>
    <row r="68594" spans="10:10" x14ac:dyDescent="0.3">
      <c r="J68594"/>
    </row>
    <row r="68595" spans="10:10" x14ac:dyDescent="0.3">
      <c r="J68595"/>
    </row>
    <row r="68596" spans="10:10" x14ac:dyDescent="0.3">
      <c r="J68596"/>
    </row>
    <row r="68597" spans="10:10" x14ac:dyDescent="0.3">
      <c r="J68597"/>
    </row>
    <row r="68598" spans="10:10" x14ac:dyDescent="0.3">
      <c r="J68598"/>
    </row>
    <row r="68599" spans="10:10" x14ac:dyDescent="0.3">
      <c r="J68599"/>
    </row>
    <row r="68600" spans="10:10" x14ac:dyDescent="0.3">
      <c r="J68600"/>
    </row>
    <row r="68601" spans="10:10" x14ac:dyDescent="0.3">
      <c r="J68601"/>
    </row>
    <row r="68602" spans="10:10" x14ac:dyDescent="0.3">
      <c r="J68602"/>
    </row>
    <row r="68603" spans="10:10" x14ac:dyDescent="0.3">
      <c r="J68603"/>
    </row>
    <row r="68604" spans="10:10" x14ac:dyDescent="0.3">
      <c r="J68604"/>
    </row>
    <row r="68605" spans="10:10" x14ac:dyDescent="0.3">
      <c r="J68605"/>
    </row>
    <row r="68606" spans="10:10" x14ac:dyDescent="0.3">
      <c r="J68606"/>
    </row>
    <row r="68607" spans="10:10" x14ac:dyDescent="0.3">
      <c r="J68607"/>
    </row>
    <row r="68608" spans="10:10" x14ac:dyDescent="0.3">
      <c r="J68608"/>
    </row>
    <row r="68609" spans="10:10" x14ac:dyDescent="0.3">
      <c r="J68609"/>
    </row>
    <row r="68610" spans="10:10" x14ac:dyDescent="0.3">
      <c r="J68610"/>
    </row>
    <row r="68611" spans="10:10" x14ac:dyDescent="0.3">
      <c r="J68611"/>
    </row>
    <row r="68612" spans="10:10" x14ac:dyDescent="0.3">
      <c r="J68612"/>
    </row>
    <row r="68613" spans="10:10" x14ac:dyDescent="0.3">
      <c r="J68613"/>
    </row>
    <row r="68614" spans="10:10" x14ac:dyDescent="0.3">
      <c r="J68614"/>
    </row>
    <row r="68615" spans="10:10" x14ac:dyDescent="0.3">
      <c r="J68615"/>
    </row>
    <row r="68616" spans="10:10" x14ac:dyDescent="0.3">
      <c r="J68616"/>
    </row>
    <row r="68617" spans="10:10" x14ac:dyDescent="0.3">
      <c r="J68617"/>
    </row>
    <row r="68618" spans="10:10" x14ac:dyDescent="0.3">
      <c r="J68618"/>
    </row>
    <row r="68619" spans="10:10" x14ac:dyDescent="0.3">
      <c r="J68619"/>
    </row>
    <row r="68620" spans="10:10" x14ac:dyDescent="0.3">
      <c r="J68620"/>
    </row>
    <row r="68621" spans="10:10" x14ac:dyDescent="0.3">
      <c r="J68621"/>
    </row>
    <row r="68622" spans="10:10" x14ac:dyDescent="0.3">
      <c r="J68622"/>
    </row>
    <row r="68623" spans="10:10" x14ac:dyDescent="0.3">
      <c r="J68623"/>
    </row>
    <row r="68624" spans="10:10" x14ac:dyDescent="0.3">
      <c r="J68624"/>
    </row>
    <row r="68625" spans="10:10" x14ac:dyDescent="0.3">
      <c r="J68625"/>
    </row>
    <row r="68626" spans="10:10" x14ac:dyDescent="0.3">
      <c r="J68626"/>
    </row>
    <row r="68627" spans="10:10" x14ac:dyDescent="0.3">
      <c r="J68627"/>
    </row>
    <row r="68628" spans="10:10" x14ac:dyDescent="0.3">
      <c r="J68628"/>
    </row>
    <row r="68629" spans="10:10" x14ac:dyDescent="0.3">
      <c r="J68629"/>
    </row>
    <row r="68630" spans="10:10" x14ac:dyDescent="0.3">
      <c r="J68630"/>
    </row>
    <row r="68631" spans="10:10" x14ac:dyDescent="0.3">
      <c r="J68631"/>
    </row>
    <row r="68632" spans="10:10" x14ac:dyDescent="0.3">
      <c r="J68632"/>
    </row>
    <row r="68633" spans="10:10" x14ac:dyDescent="0.3">
      <c r="J68633"/>
    </row>
    <row r="68634" spans="10:10" x14ac:dyDescent="0.3">
      <c r="J68634"/>
    </row>
    <row r="68635" spans="10:10" x14ac:dyDescent="0.3">
      <c r="J68635"/>
    </row>
    <row r="68636" spans="10:10" x14ac:dyDescent="0.3">
      <c r="J68636"/>
    </row>
    <row r="68637" spans="10:10" x14ac:dyDescent="0.3">
      <c r="J68637"/>
    </row>
    <row r="68638" spans="10:10" x14ac:dyDescent="0.3">
      <c r="J68638"/>
    </row>
    <row r="68639" spans="10:10" x14ac:dyDescent="0.3">
      <c r="J68639"/>
    </row>
    <row r="68640" spans="10:10" x14ac:dyDescent="0.3">
      <c r="J68640"/>
    </row>
    <row r="68641" spans="10:10" x14ac:dyDescent="0.3">
      <c r="J68641"/>
    </row>
    <row r="68642" spans="10:10" x14ac:dyDescent="0.3">
      <c r="J68642"/>
    </row>
    <row r="68643" spans="10:10" x14ac:dyDescent="0.3">
      <c r="J68643"/>
    </row>
    <row r="68644" spans="10:10" x14ac:dyDescent="0.3">
      <c r="J68644"/>
    </row>
    <row r="68645" spans="10:10" x14ac:dyDescent="0.3">
      <c r="J68645"/>
    </row>
    <row r="68646" spans="10:10" x14ac:dyDescent="0.3">
      <c r="J68646"/>
    </row>
    <row r="68647" spans="10:10" x14ac:dyDescent="0.3">
      <c r="J68647"/>
    </row>
    <row r="68648" spans="10:10" x14ac:dyDescent="0.3">
      <c r="J68648"/>
    </row>
    <row r="68649" spans="10:10" x14ac:dyDescent="0.3">
      <c r="J68649"/>
    </row>
    <row r="68650" spans="10:10" x14ac:dyDescent="0.3">
      <c r="J68650"/>
    </row>
    <row r="68651" spans="10:10" x14ac:dyDescent="0.3">
      <c r="J68651"/>
    </row>
    <row r="68652" spans="10:10" x14ac:dyDescent="0.3">
      <c r="J68652"/>
    </row>
    <row r="68653" spans="10:10" x14ac:dyDescent="0.3">
      <c r="J68653"/>
    </row>
    <row r="68654" spans="10:10" x14ac:dyDescent="0.3">
      <c r="J68654"/>
    </row>
    <row r="68655" spans="10:10" x14ac:dyDescent="0.3">
      <c r="J68655"/>
    </row>
    <row r="68656" spans="10:10" x14ac:dyDescent="0.3">
      <c r="J68656"/>
    </row>
    <row r="68657" spans="10:10" x14ac:dyDescent="0.3">
      <c r="J68657"/>
    </row>
    <row r="68658" spans="10:10" x14ac:dyDescent="0.3">
      <c r="J68658"/>
    </row>
    <row r="68659" spans="10:10" x14ac:dyDescent="0.3">
      <c r="J68659"/>
    </row>
    <row r="68660" spans="10:10" x14ac:dyDescent="0.3">
      <c r="J68660"/>
    </row>
    <row r="68661" spans="10:10" x14ac:dyDescent="0.3">
      <c r="J68661"/>
    </row>
    <row r="68662" spans="10:10" x14ac:dyDescent="0.3">
      <c r="J68662"/>
    </row>
    <row r="68663" spans="10:10" x14ac:dyDescent="0.3">
      <c r="J68663"/>
    </row>
    <row r="68664" spans="10:10" x14ac:dyDescent="0.3">
      <c r="J68664"/>
    </row>
    <row r="68665" spans="10:10" x14ac:dyDescent="0.3">
      <c r="J68665"/>
    </row>
    <row r="68666" spans="10:10" x14ac:dyDescent="0.3">
      <c r="J68666"/>
    </row>
    <row r="68667" spans="10:10" x14ac:dyDescent="0.3">
      <c r="J68667"/>
    </row>
    <row r="68668" spans="10:10" x14ac:dyDescent="0.3">
      <c r="J68668"/>
    </row>
    <row r="68669" spans="10:10" x14ac:dyDescent="0.3">
      <c r="J68669"/>
    </row>
    <row r="68670" spans="10:10" x14ac:dyDescent="0.3">
      <c r="J68670"/>
    </row>
    <row r="68671" spans="10:10" x14ac:dyDescent="0.3">
      <c r="J68671"/>
    </row>
    <row r="68672" spans="10:10" x14ac:dyDescent="0.3">
      <c r="J68672"/>
    </row>
    <row r="68673" spans="10:10" x14ac:dyDescent="0.3">
      <c r="J68673"/>
    </row>
    <row r="68674" spans="10:10" x14ac:dyDescent="0.3">
      <c r="J68674"/>
    </row>
    <row r="68675" spans="10:10" x14ac:dyDescent="0.3">
      <c r="J68675"/>
    </row>
    <row r="68676" spans="10:10" x14ac:dyDescent="0.3">
      <c r="J68676"/>
    </row>
    <row r="68677" spans="10:10" x14ac:dyDescent="0.3">
      <c r="J68677"/>
    </row>
    <row r="68678" spans="10:10" x14ac:dyDescent="0.3">
      <c r="J68678"/>
    </row>
    <row r="68679" spans="10:10" x14ac:dyDescent="0.3">
      <c r="J68679"/>
    </row>
    <row r="68680" spans="10:10" x14ac:dyDescent="0.3">
      <c r="J68680"/>
    </row>
    <row r="68681" spans="10:10" x14ac:dyDescent="0.3">
      <c r="J68681"/>
    </row>
    <row r="68682" spans="10:10" x14ac:dyDescent="0.3">
      <c r="J68682"/>
    </row>
    <row r="68683" spans="10:10" x14ac:dyDescent="0.3">
      <c r="J68683"/>
    </row>
    <row r="68684" spans="10:10" x14ac:dyDescent="0.3">
      <c r="J68684"/>
    </row>
    <row r="68685" spans="10:10" x14ac:dyDescent="0.3">
      <c r="J68685"/>
    </row>
    <row r="68686" spans="10:10" x14ac:dyDescent="0.3">
      <c r="J68686"/>
    </row>
    <row r="68687" spans="10:10" x14ac:dyDescent="0.3">
      <c r="J68687"/>
    </row>
    <row r="68688" spans="10:10" x14ac:dyDescent="0.3">
      <c r="J68688"/>
    </row>
    <row r="68689" spans="10:10" x14ac:dyDescent="0.3">
      <c r="J68689"/>
    </row>
    <row r="68690" spans="10:10" x14ac:dyDescent="0.3">
      <c r="J68690"/>
    </row>
    <row r="68691" spans="10:10" x14ac:dyDescent="0.3">
      <c r="J68691"/>
    </row>
    <row r="68692" spans="10:10" x14ac:dyDescent="0.3">
      <c r="J68692"/>
    </row>
    <row r="68693" spans="10:10" x14ac:dyDescent="0.3">
      <c r="J68693"/>
    </row>
    <row r="68694" spans="10:10" x14ac:dyDescent="0.3">
      <c r="J68694"/>
    </row>
    <row r="68695" spans="10:10" x14ac:dyDescent="0.3">
      <c r="J68695"/>
    </row>
    <row r="68696" spans="10:10" x14ac:dyDescent="0.3">
      <c r="J68696"/>
    </row>
    <row r="68697" spans="10:10" x14ac:dyDescent="0.3">
      <c r="J68697"/>
    </row>
    <row r="68698" spans="10:10" x14ac:dyDescent="0.3">
      <c r="J68698"/>
    </row>
    <row r="68699" spans="10:10" x14ac:dyDescent="0.3">
      <c r="J68699"/>
    </row>
    <row r="68700" spans="10:10" x14ac:dyDescent="0.3">
      <c r="J68700"/>
    </row>
    <row r="68701" spans="10:10" x14ac:dyDescent="0.3">
      <c r="J68701"/>
    </row>
    <row r="68702" spans="10:10" x14ac:dyDescent="0.3">
      <c r="J68702"/>
    </row>
    <row r="68703" spans="10:10" x14ac:dyDescent="0.3">
      <c r="J68703"/>
    </row>
    <row r="68704" spans="10:10" x14ac:dyDescent="0.3">
      <c r="J68704"/>
    </row>
    <row r="68705" spans="10:10" x14ac:dyDescent="0.3">
      <c r="J68705"/>
    </row>
    <row r="68706" spans="10:10" x14ac:dyDescent="0.3">
      <c r="J68706"/>
    </row>
    <row r="68707" spans="10:10" x14ac:dyDescent="0.3">
      <c r="J68707"/>
    </row>
    <row r="68708" spans="10:10" x14ac:dyDescent="0.3">
      <c r="J68708"/>
    </row>
    <row r="68709" spans="10:10" x14ac:dyDescent="0.3">
      <c r="J68709"/>
    </row>
    <row r="68710" spans="10:10" x14ac:dyDescent="0.3">
      <c r="J68710"/>
    </row>
    <row r="68711" spans="10:10" x14ac:dyDescent="0.3">
      <c r="J68711"/>
    </row>
    <row r="68712" spans="10:10" x14ac:dyDescent="0.3">
      <c r="J68712"/>
    </row>
    <row r="68713" spans="10:10" x14ac:dyDescent="0.3">
      <c r="J68713"/>
    </row>
    <row r="68714" spans="10:10" x14ac:dyDescent="0.3">
      <c r="J68714"/>
    </row>
    <row r="68715" spans="10:10" x14ac:dyDescent="0.3">
      <c r="J68715"/>
    </row>
    <row r="68716" spans="10:10" x14ac:dyDescent="0.3">
      <c r="J68716"/>
    </row>
    <row r="68717" spans="10:10" x14ac:dyDescent="0.3">
      <c r="J68717"/>
    </row>
    <row r="68718" spans="10:10" x14ac:dyDescent="0.3">
      <c r="J68718"/>
    </row>
    <row r="68719" spans="10:10" x14ac:dyDescent="0.3">
      <c r="J68719"/>
    </row>
    <row r="68720" spans="10:10" x14ac:dyDescent="0.3">
      <c r="J68720"/>
    </row>
    <row r="68721" spans="10:10" x14ac:dyDescent="0.3">
      <c r="J68721"/>
    </row>
    <row r="68722" spans="10:10" x14ac:dyDescent="0.3">
      <c r="J68722"/>
    </row>
    <row r="68723" spans="10:10" x14ac:dyDescent="0.3">
      <c r="J68723"/>
    </row>
    <row r="68724" spans="10:10" x14ac:dyDescent="0.3">
      <c r="J68724"/>
    </row>
    <row r="68725" spans="10:10" x14ac:dyDescent="0.3">
      <c r="J68725"/>
    </row>
    <row r="68726" spans="10:10" x14ac:dyDescent="0.3">
      <c r="J68726"/>
    </row>
    <row r="68727" spans="10:10" x14ac:dyDescent="0.3">
      <c r="J68727"/>
    </row>
    <row r="68728" spans="10:10" x14ac:dyDescent="0.3">
      <c r="J68728"/>
    </row>
    <row r="68729" spans="10:10" x14ac:dyDescent="0.3">
      <c r="J68729"/>
    </row>
    <row r="68730" spans="10:10" x14ac:dyDescent="0.3">
      <c r="J68730"/>
    </row>
    <row r="68731" spans="10:10" x14ac:dyDescent="0.3">
      <c r="J68731"/>
    </row>
    <row r="68732" spans="10:10" x14ac:dyDescent="0.3">
      <c r="J68732"/>
    </row>
    <row r="68733" spans="10:10" x14ac:dyDescent="0.3">
      <c r="J68733"/>
    </row>
    <row r="68734" spans="10:10" x14ac:dyDescent="0.3">
      <c r="J68734"/>
    </row>
    <row r="68735" spans="10:10" x14ac:dyDescent="0.3">
      <c r="J68735"/>
    </row>
    <row r="68736" spans="10:10" x14ac:dyDescent="0.3">
      <c r="J68736"/>
    </row>
    <row r="68737" spans="10:10" x14ac:dyDescent="0.3">
      <c r="J68737"/>
    </row>
    <row r="68738" spans="10:10" x14ac:dyDescent="0.3">
      <c r="J68738"/>
    </row>
    <row r="68739" spans="10:10" x14ac:dyDescent="0.3">
      <c r="J68739"/>
    </row>
    <row r="68740" spans="10:10" x14ac:dyDescent="0.3">
      <c r="J68740"/>
    </row>
    <row r="68741" spans="10:10" x14ac:dyDescent="0.3">
      <c r="J68741"/>
    </row>
    <row r="68742" spans="10:10" x14ac:dyDescent="0.3">
      <c r="J68742"/>
    </row>
    <row r="68743" spans="10:10" x14ac:dyDescent="0.3">
      <c r="J68743"/>
    </row>
    <row r="68744" spans="10:10" x14ac:dyDescent="0.3">
      <c r="J68744"/>
    </row>
    <row r="68745" spans="10:10" x14ac:dyDescent="0.3">
      <c r="J68745"/>
    </row>
    <row r="68746" spans="10:10" x14ac:dyDescent="0.3">
      <c r="J68746"/>
    </row>
    <row r="68747" spans="10:10" x14ac:dyDescent="0.3">
      <c r="J68747"/>
    </row>
    <row r="68748" spans="10:10" x14ac:dyDescent="0.3">
      <c r="J68748"/>
    </row>
    <row r="68749" spans="10:10" x14ac:dyDescent="0.3">
      <c r="J68749"/>
    </row>
    <row r="68750" spans="10:10" x14ac:dyDescent="0.3">
      <c r="J68750"/>
    </row>
    <row r="68751" spans="10:10" x14ac:dyDescent="0.3">
      <c r="J68751"/>
    </row>
    <row r="68752" spans="10:10" x14ac:dyDescent="0.3">
      <c r="J68752"/>
    </row>
    <row r="68753" spans="10:10" x14ac:dyDescent="0.3">
      <c r="J68753"/>
    </row>
    <row r="68754" spans="10:10" x14ac:dyDescent="0.3">
      <c r="J68754"/>
    </row>
    <row r="68755" spans="10:10" x14ac:dyDescent="0.3">
      <c r="J68755"/>
    </row>
    <row r="68756" spans="10:10" x14ac:dyDescent="0.3">
      <c r="J68756"/>
    </row>
    <row r="68757" spans="10:10" x14ac:dyDescent="0.3">
      <c r="J68757"/>
    </row>
    <row r="68758" spans="10:10" x14ac:dyDescent="0.3">
      <c r="J68758"/>
    </row>
    <row r="68759" spans="10:10" x14ac:dyDescent="0.3">
      <c r="J68759"/>
    </row>
    <row r="68760" spans="10:10" x14ac:dyDescent="0.3">
      <c r="J68760"/>
    </row>
    <row r="68761" spans="10:10" x14ac:dyDescent="0.3">
      <c r="J68761"/>
    </row>
    <row r="68762" spans="10:10" x14ac:dyDescent="0.3">
      <c r="J68762"/>
    </row>
    <row r="68763" spans="10:10" x14ac:dyDescent="0.3">
      <c r="J68763"/>
    </row>
    <row r="68764" spans="10:10" x14ac:dyDescent="0.3">
      <c r="J68764"/>
    </row>
    <row r="68765" spans="10:10" x14ac:dyDescent="0.3">
      <c r="J68765"/>
    </row>
    <row r="68766" spans="10:10" x14ac:dyDescent="0.3">
      <c r="J68766"/>
    </row>
    <row r="68767" spans="10:10" x14ac:dyDescent="0.3">
      <c r="J68767"/>
    </row>
    <row r="68768" spans="10:10" x14ac:dyDescent="0.3">
      <c r="J68768"/>
    </row>
    <row r="68769" spans="10:10" x14ac:dyDescent="0.3">
      <c r="J68769"/>
    </row>
    <row r="68770" spans="10:10" x14ac:dyDescent="0.3">
      <c r="J68770"/>
    </row>
    <row r="68771" spans="10:10" x14ac:dyDescent="0.3">
      <c r="J68771"/>
    </row>
    <row r="68772" spans="10:10" x14ac:dyDescent="0.3">
      <c r="J68772"/>
    </row>
    <row r="68773" spans="10:10" x14ac:dyDescent="0.3">
      <c r="J68773"/>
    </row>
    <row r="68774" spans="10:10" x14ac:dyDescent="0.3">
      <c r="J68774"/>
    </row>
    <row r="68775" spans="10:10" x14ac:dyDescent="0.3">
      <c r="J68775"/>
    </row>
    <row r="68776" spans="10:10" x14ac:dyDescent="0.3">
      <c r="J68776"/>
    </row>
    <row r="68777" spans="10:10" x14ac:dyDescent="0.3">
      <c r="J68777"/>
    </row>
    <row r="68778" spans="10:10" x14ac:dyDescent="0.3">
      <c r="J68778"/>
    </row>
    <row r="68779" spans="10:10" x14ac:dyDescent="0.3">
      <c r="J68779"/>
    </row>
    <row r="68780" spans="10:10" x14ac:dyDescent="0.3">
      <c r="J68780"/>
    </row>
    <row r="68781" spans="10:10" x14ac:dyDescent="0.3">
      <c r="J68781"/>
    </row>
    <row r="68782" spans="10:10" x14ac:dyDescent="0.3">
      <c r="J68782"/>
    </row>
    <row r="68783" spans="10:10" x14ac:dyDescent="0.3">
      <c r="J68783"/>
    </row>
    <row r="68784" spans="10:10" x14ac:dyDescent="0.3">
      <c r="J68784"/>
    </row>
    <row r="68785" spans="10:10" x14ac:dyDescent="0.3">
      <c r="J68785"/>
    </row>
    <row r="68786" spans="10:10" x14ac:dyDescent="0.3">
      <c r="J68786"/>
    </row>
    <row r="68787" spans="10:10" x14ac:dyDescent="0.3">
      <c r="J68787"/>
    </row>
    <row r="68788" spans="10:10" x14ac:dyDescent="0.3">
      <c r="J68788"/>
    </row>
    <row r="68789" spans="10:10" x14ac:dyDescent="0.3">
      <c r="J68789"/>
    </row>
    <row r="68790" spans="10:10" x14ac:dyDescent="0.3">
      <c r="J68790"/>
    </row>
    <row r="68791" spans="10:10" x14ac:dyDescent="0.3">
      <c r="J68791"/>
    </row>
    <row r="68792" spans="10:10" x14ac:dyDescent="0.3">
      <c r="J68792"/>
    </row>
    <row r="68793" spans="10:10" x14ac:dyDescent="0.3">
      <c r="J68793"/>
    </row>
    <row r="68794" spans="10:10" x14ac:dyDescent="0.3">
      <c r="J68794"/>
    </row>
    <row r="68795" spans="10:10" x14ac:dyDescent="0.3">
      <c r="J68795"/>
    </row>
    <row r="68796" spans="10:10" x14ac:dyDescent="0.3">
      <c r="J68796"/>
    </row>
    <row r="68797" spans="10:10" x14ac:dyDescent="0.3">
      <c r="J68797"/>
    </row>
    <row r="68798" spans="10:10" x14ac:dyDescent="0.3">
      <c r="J68798"/>
    </row>
    <row r="68799" spans="10:10" x14ac:dyDescent="0.3">
      <c r="J68799"/>
    </row>
    <row r="68800" spans="10:10" x14ac:dyDescent="0.3">
      <c r="J68800"/>
    </row>
    <row r="68801" spans="10:10" x14ac:dyDescent="0.3">
      <c r="J68801"/>
    </row>
    <row r="68802" spans="10:10" x14ac:dyDescent="0.3">
      <c r="J68802"/>
    </row>
    <row r="68803" spans="10:10" x14ac:dyDescent="0.3">
      <c r="J68803"/>
    </row>
    <row r="68804" spans="10:10" x14ac:dyDescent="0.3">
      <c r="J68804"/>
    </row>
    <row r="68805" spans="10:10" x14ac:dyDescent="0.3">
      <c r="J68805"/>
    </row>
    <row r="68806" spans="10:10" x14ac:dyDescent="0.3">
      <c r="J68806"/>
    </row>
    <row r="68807" spans="10:10" x14ac:dyDescent="0.3">
      <c r="J68807"/>
    </row>
    <row r="68808" spans="10:10" x14ac:dyDescent="0.3">
      <c r="J68808"/>
    </row>
    <row r="68809" spans="10:10" x14ac:dyDescent="0.3">
      <c r="J68809"/>
    </row>
    <row r="68810" spans="10:10" x14ac:dyDescent="0.3">
      <c r="J68810"/>
    </row>
    <row r="68811" spans="10:10" x14ac:dyDescent="0.3">
      <c r="J68811"/>
    </row>
    <row r="68812" spans="10:10" x14ac:dyDescent="0.3">
      <c r="J68812"/>
    </row>
    <row r="68813" spans="10:10" x14ac:dyDescent="0.3">
      <c r="J68813"/>
    </row>
    <row r="68814" spans="10:10" x14ac:dyDescent="0.3">
      <c r="J68814"/>
    </row>
    <row r="68815" spans="10:10" x14ac:dyDescent="0.3">
      <c r="J68815"/>
    </row>
    <row r="68816" spans="10:10" x14ac:dyDescent="0.3">
      <c r="J68816"/>
    </row>
    <row r="68817" spans="10:10" x14ac:dyDescent="0.3">
      <c r="J68817"/>
    </row>
    <row r="68818" spans="10:10" x14ac:dyDescent="0.3">
      <c r="J68818"/>
    </row>
    <row r="68819" spans="10:10" x14ac:dyDescent="0.3">
      <c r="J68819"/>
    </row>
    <row r="68820" spans="10:10" x14ac:dyDescent="0.3">
      <c r="J68820"/>
    </row>
    <row r="68821" spans="10:10" x14ac:dyDescent="0.3">
      <c r="J68821"/>
    </row>
    <row r="68822" spans="10:10" x14ac:dyDescent="0.3">
      <c r="J68822"/>
    </row>
    <row r="68823" spans="10:10" x14ac:dyDescent="0.3">
      <c r="J68823"/>
    </row>
    <row r="68824" spans="10:10" x14ac:dyDescent="0.3">
      <c r="J68824"/>
    </row>
    <row r="68825" spans="10:10" x14ac:dyDescent="0.3">
      <c r="J68825"/>
    </row>
    <row r="68826" spans="10:10" x14ac:dyDescent="0.3">
      <c r="J68826"/>
    </row>
    <row r="68827" spans="10:10" x14ac:dyDescent="0.3">
      <c r="J68827"/>
    </row>
    <row r="68828" spans="10:10" x14ac:dyDescent="0.3">
      <c r="J68828"/>
    </row>
    <row r="68829" spans="10:10" x14ac:dyDescent="0.3">
      <c r="J68829"/>
    </row>
    <row r="68830" spans="10:10" x14ac:dyDescent="0.3">
      <c r="J68830"/>
    </row>
    <row r="68831" spans="10:10" x14ac:dyDescent="0.3">
      <c r="J68831"/>
    </row>
    <row r="68832" spans="10:10" x14ac:dyDescent="0.3">
      <c r="J68832"/>
    </row>
    <row r="68833" spans="10:10" x14ac:dyDescent="0.3">
      <c r="J68833"/>
    </row>
    <row r="68834" spans="10:10" x14ac:dyDescent="0.3">
      <c r="J68834"/>
    </row>
    <row r="68835" spans="10:10" x14ac:dyDescent="0.3">
      <c r="J68835"/>
    </row>
    <row r="68836" spans="10:10" x14ac:dyDescent="0.3">
      <c r="J68836"/>
    </row>
    <row r="68837" spans="10:10" x14ac:dyDescent="0.3">
      <c r="J68837"/>
    </row>
    <row r="68838" spans="10:10" x14ac:dyDescent="0.3">
      <c r="J68838"/>
    </row>
    <row r="68839" spans="10:10" x14ac:dyDescent="0.3">
      <c r="J68839"/>
    </row>
    <row r="68840" spans="10:10" x14ac:dyDescent="0.3">
      <c r="J68840"/>
    </row>
    <row r="68841" spans="10:10" x14ac:dyDescent="0.3">
      <c r="J68841"/>
    </row>
    <row r="68842" spans="10:10" x14ac:dyDescent="0.3">
      <c r="J68842"/>
    </row>
    <row r="68843" spans="10:10" x14ac:dyDescent="0.3">
      <c r="J68843"/>
    </row>
    <row r="68844" spans="10:10" x14ac:dyDescent="0.3">
      <c r="J68844"/>
    </row>
    <row r="68845" spans="10:10" x14ac:dyDescent="0.3">
      <c r="J68845"/>
    </row>
    <row r="68846" spans="10:10" x14ac:dyDescent="0.3">
      <c r="J68846"/>
    </row>
    <row r="68847" spans="10:10" x14ac:dyDescent="0.3">
      <c r="J68847"/>
    </row>
    <row r="68848" spans="10:10" x14ac:dyDescent="0.3">
      <c r="J68848"/>
    </row>
    <row r="68849" spans="10:10" x14ac:dyDescent="0.3">
      <c r="J68849"/>
    </row>
    <row r="68850" spans="10:10" x14ac:dyDescent="0.3">
      <c r="J68850"/>
    </row>
    <row r="68851" spans="10:10" x14ac:dyDescent="0.3">
      <c r="J68851"/>
    </row>
    <row r="68852" spans="10:10" x14ac:dyDescent="0.3">
      <c r="J68852"/>
    </row>
    <row r="68853" spans="10:10" x14ac:dyDescent="0.3">
      <c r="J68853"/>
    </row>
    <row r="68854" spans="10:10" x14ac:dyDescent="0.3">
      <c r="J68854"/>
    </row>
    <row r="68855" spans="10:10" x14ac:dyDescent="0.3">
      <c r="J68855"/>
    </row>
    <row r="68856" spans="10:10" x14ac:dyDescent="0.3">
      <c r="J68856"/>
    </row>
    <row r="68857" spans="10:10" x14ac:dyDescent="0.3">
      <c r="J68857"/>
    </row>
    <row r="68858" spans="10:10" x14ac:dyDescent="0.3">
      <c r="J68858"/>
    </row>
    <row r="68859" spans="10:10" x14ac:dyDescent="0.3">
      <c r="J68859"/>
    </row>
    <row r="68860" spans="10:10" x14ac:dyDescent="0.3">
      <c r="J68860"/>
    </row>
    <row r="68861" spans="10:10" x14ac:dyDescent="0.3">
      <c r="J68861"/>
    </row>
    <row r="68862" spans="10:10" x14ac:dyDescent="0.3">
      <c r="J68862"/>
    </row>
    <row r="68863" spans="10:10" x14ac:dyDescent="0.3">
      <c r="J68863"/>
    </row>
    <row r="68864" spans="10:10" x14ac:dyDescent="0.3">
      <c r="J68864"/>
    </row>
    <row r="68865" spans="10:10" x14ac:dyDescent="0.3">
      <c r="J68865"/>
    </row>
    <row r="68866" spans="10:10" x14ac:dyDescent="0.3">
      <c r="J68866"/>
    </row>
    <row r="68867" spans="10:10" x14ac:dyDescent="0.3">
      <c r="J68867"/>
    </row>
    <row r="68868" spans="10:10" x14ac:dyDescent="0.3">
      <c r="J68868"/>
    </row>
    <row r="68869" spans="10:10" x14ac:dyDescent="0.3">
      <c r="J68869"/>
    </row>
    <row r="68870" spans="10:10" x14ac:dyDescent="0.3">
      <c r="J68870"/>
    </row>
    <row r="68871" spans="10:10" x14ac:dyDescent="0.3">
      <c r="J68871"/>
    </row>
    <row r="68872" spans="10:10" x14ac:dyDescent="0.3">
      <c r="J68872"/>
    </row>
    <row r="68873" spans="10:10" x14ac:dyDescent="0.3">
      <c r="J68873"/>
    </row>
    <row r="68874" spans="10:10" x14ac:dyDescent="0.3">
      <c r="J68874"/>
    </row>
    <row r="68875" spans="10:10" x14ac:dyDescent="0.3">
      <c r="J68875"/>
    </row>
    <row r="68876" spans="10:10" x14ac:dyDescent="0.3">
      <c r="J68876"/>
    </row>
    <row r="68877" spans="10:10" x14ac:dyDescent="0.3">
      <c r="J68877"/>
    </row>
    <row r="68878" spans="10:10" x14ac:dyDescent="0.3">
      <c r="J68878"/>
    </row>
    <row r="68879" spans="10:10" x14ac:dyDescent="0.3">
      <c r="J68879"/>
    </row>
    <row r="68880" spans="10:10" x14ac:dyDescent="0.3">
      <c r="J68880"/>
    </row>
    <row r="68881" spans="10:10" x14ac:dyDescent="0.3">
      <c r="J68881"/>
    </row>
    <row r="68882" spans="10:10" x14ac:dyDescent="0.3">
      <c r="J68882"/>
    </row>
    <row r="68883" spans="10:10" x14ac:dyDescent="0.3">
      <c r="J68883"/>
    </row>
    <row r="68884" spans="10:10" x14ac:dyDescent="0.3">
      <c r="J68884"/>
    </row>
    <row r="68885" spans="10:10" x14ac:dyDescent="0.3">
      <c r="J68885"/>
    </row>
    <row r="68886" spans="10:10" x14ac:dyDescent="0.3">
      <c r="J68886"/>
    </row>
    <row r="68887" spans="10:10" x14ac:dyDescent="0.3">
      <c r="J68887"/>
    </row>
    <row r="68888" spans="10:10" x14ac:dyDescent="0.3">
      <c r="J68888"/>
    </row>
    <row r="68889" spans="10:10" x14ac:dyDescent="0.3">
      <c r="J68889"/>
    </row>
    <row r="68890" spans="10:10" x14ac:dyDescent="0.3">
      <c r="J68890"/>
    </row>
    <row r="68891" spans="10:10" x14ac:dyDescent="0.3">
      <c r="J68891"/>
    </row>
    <row r="68892" spans="10:10" x14ac:dyDescent="0.3">
      <c r="J68892"/>
    </row>
    <row r="68893" spans="10:10" x14ac:dyDescent="0.3">
      <c r="J68893"/>
    </row>
    <row r="68894" spans="10:10" x14ac:dyDescent="0.3">
      <c r="J68894"/>
    </row>
    <row r="68895" spans="10:10" x14ac:dyDescent="0.3">
      <c r="J68895"/>
    </row>
    <row r="68896" spans="10:10" x14ac:dyDescent="0.3">
      <c r="J68896"/>
    </row>
    <row r="68897" spans="10:10" x14ac:dyDescent="0.3">
      <c r="J68897"/>
    </row>
    <row r="68898" spans="10:10" x14ac:dyDescent="0.3">
      <c r="J68898"/>
    </row>
    <row r="68899" spans="10:10" x14ac:dyDescent="0.3">
      <c r="J68899"/>
    </row>
    <row r="68900" spans="10:10" x14ac:dyDescent="0.3">
      <c r="J68900"/>
    </row>
    <row r="68901" spans="10:10" x14ac:dyDescent="0.3">
      <c r="J68901"/>
    </row>
    <row r="68902" spans="10:10" x14ac:dyDescent="0.3">
      <c r="J68902"/>
    </row>
    <row r="68903" spans="10:10" x14ac:dyDescent="0.3">
      <c r="J68903"/>
    </row>
    <row r="68904" spans="10:10" x14ac:dyDescent="0.3">
      <c r="J68904"/>
    </row>
    <row r="68905" spans="10:10" x14ac:dyDescent="0.3">
      <c r="J68905"/>
    </row>
    <row r="68906" spans="10:10" x14ac:dyDescent="0.3">
      <c r="J68906"/>
    </row>
    <row r="68907" spans="10:10" x14ac:dyDescent="0.3">
      <c r="J68907"/>
    </row>
    <row r="68908" spans="10:10" x14ac:dyDescent="0.3">
      <c r="J68908"/>
    </row>
    <row r="68909" spans="10:10" x14ac:dyDescent="0.3">
      <c r="J68909"/>
    </row>
    <row r="68910" spans="10:10" x14ac:dyDescent="0.3">
      <c r="J68910"/>
    </row>
    <row r="68911" spans="10:10" x14ac:dyDescent="0.3">
      <c r="J68911"/>
    </row>
    <row r="68912" spans="10:10" x14ac:dyDescent="0.3">
      <c r="J68912"/>
    </row>
    <row r="68913" spans="10:10" x14ac:dyDescent="0.3">
      <c r="J68913"/>
    </row>
    <row r="68914" spans="10:10" x14ac:dyDescent="0.3">
      <c r="J68914"/>
    </row>
    <row r="68915" spans="10:10" x14ac:dyDescent="0.3">
      <c r="J68915"/>
    </row>
    <row r="68916" spans="10:10" x14ac:dyDescent="0.3">
      <c r="J68916"/>
    </row>
    <row r="68917" spans="10:10" x14ac:dyDescent="0.3">
      <c r="J68917"/>
    </row>
    <row r="68918" spans="10:10" x14ac:dyDescent="0.3">
      <c r="J68918"/>
    </row>
    <row r="68919" spans="10:10" x14ac:dyDescent="0.3">
      <c r="J68919"/>
    </row>
    <row r="68920" spans="10:10" x14ac:dyDescent="0.3">
      <c r="J68920"/>
    </row>
    <row r="68921" spans="10:10" x14ac:dyDescent="0.3">
      <c r="J68921"/>
    </row>
    <row r="68922" spans="10:10" x14ac:dyDescent="0.3">
      <c r="J68922"/>
    </row>
    <row r="68923" spans="10:10" x14ac:dyDescent="0.3">
      <c r="J68923"/>
    </row>
    <row r="68924" spans="10:10" x14ac:dyDescent="0.3">
      <c r="J68924"/>
    </row>
    <row r="68925" spans="10:10" x14ac:dyDescent="0.3">
      <c r="J68925"/>
    </row>
    <row r="68926" spans="10:10" x14ac:dyDescent="0.3">
      <c r="J68926"/>
    </row>
    <row r="68927" spans="10:10" x14ac:dyDescent="0.3">
      <c r="J68927"/>
    </row>
    <row r="68928" spans="10:10" x14ac:dyDescent="0.3">
      <c r="J68928"/>
    </row>
    <row r="68929" spans="10:10" x14ac:dyDescent="0.3">
      <c r="J68929"/>
    </row>
    <row r="68930" spans="10:10" x14ac:dyDescent="0.3">
      <c r="J68930"/>
    </row>
    <row r="68931" spans="10:10" x14ac:dyDescent="0.3">
      <c r="J68931"/>
    </row>
    <row r="68932" spans="10:10" x14ac:dyDescent="0.3">
      <c r="J68932"/>
    </row>
    <row r="68933" spans="10:10" x14ac:dyDescent="0.3">
      <c r="J68933"/>
    </row>
    <row r="68934" spans="10:10" x14ac:dyDescent="0.3">
      <c r="J68934"/>
    </row>
    <row r="68935" spans="10:10" x14ac:dyDescent="0.3">
      <c r="J68935"/>
    </row>
    <row r="68936" spans="10:10" x14ac:dyDescent="0.3">
      <c r="J68936"/>
    </row>
    <row r="68937" spans="10:10" x14ac:dyDescent="0.3">
      <c r="J68937"/>
    </row>
    <row r="68938" spans="10:10" x14ac:dyDescent="0.3">
      <c r="J68938"/>
    </row>
    <row r="68939" spans="10:10" x14ac:dyDescent="0.3">
      <c r="J68939"/>
    </row>
    <row r="68940" spans="10:10" x14ac:dyDescent="0.3">
      <c r="J68940"/>
    </row>
    <row r="68941" spans="10:10" x14ac:dyDescent="0.3">
      <c r="J68941"/>
    </row>
    <row r="68942" spans="10:10" x14ac:dyDescent="0.3">
      <c r="J68942"/>
    </row>
    <row r="68943" spans="10:10" x14ac:dyDescent="0.3">
      <c r="J68943"/>
    </row>
    <row r="68944" spans="10:10" x14ac:dyDescent="0.3">
      <c r="J68944"/>
    </row>
    <row r="68945" spans="10:10" x14ac:dyDescent="0.3">
      <c r="J68945"/>
    </row>
    <row r="68946" spans="10:10" x14ac:dyDescent="0.3">
      <c r="J68946"/>
    </row>
    <row r="68947" spans="10:10" x14ac:dyDescent="0.3">
      <c r="J68947"/>
    </row>
    <row r="68948" spans="10:10" x14ac:dyDescent="0.3">
      <c r="J68948"/>
    </row>
    <row r="68949" spans="10:10" x14ac:dyDescent="0.3">
      <c r="J68949"/>
    </row>
    <row r="68950" spans="10:10" x14ac:dyDescent="0.3">
      <c r="J68950"/>
    </row>
    <row r="68951" spans="10:10" x14ac:dyDescent="0.3">
      <c r="J68951"/>
    </row>
    <row r="68952" spans="10:10" x14ac:dyDescent="0.3">
      <c r="J68952"/>
    </row>
    <row r="68953" spans="10:10" x14ac:dyDescent="0.3">
      <c r="J68953"/>
    </row>
    <row r="68954" spans="10:10" x14ac:dyDescent="0.3">
      <c r="J68954"/>
    </row>
    <row r="68955" spans="10:10" x14ac:dyDescent="0.3">
      <c r="J68955"/>
    </row>
    <row r="68956" spans="10:10" x14ac:dyDescent="0.3">
      <c r="J68956"/>
    </row>
    <row r="68957" spans="10:10" x14ac:dyDescent="0.3">
      <c r="J68957"/>
    </row>
    <row r="68958" spans="10:10" x14ac:dyDescent="0.3">
      <c r="J68958"/>
    </row>
    <row r="68959" spans="10:10" x14ac:dyDescent="0.3">
      <c r="J68959"/>
    </row>
    <row r="68960" spans="10:10" x14ac:dyDescent="0.3">
      <c r="J68960"/>
    </row>
    <row r="68961" spans="10:10" x14ac:dyDescent="0.3">
      <c r="J68961"/>
    </row>
    <row r="68962" spans="10:10" x14ac:dyDescent="0.3">
      <c r="J68962"/>
    </row>
    <row r="68963" spans="10:10" x14ac:dyDescent="0.3">
      <c r="J68963"/>
    </row>
    <row r="68964" spans="10:10" x14ac:dyDescent="0.3">
      <c r="J68964"/>
    </row>
    <row r="68965" spans="10:10" x14ac:dyDescent="0.3">
      <c r="J68965"/>
    </row>
    <row r="68966" spans="10:10" x14ac:dyDescent="0.3">
      <c r="J68966"/>
    </row>
    <row r="68967" spans="10:10" x14ac:dyDescent="0.3">
      <c r="J68967"/>
    </row>
    <row r="68968" spans="10:10" x14ac:dyDescent="0.3">
      <c r="J68968"/>
    </row>
    <row r="68969" spans="10:10" x14ac:dyDescent="0.3">
      <c r="J68969"/>
    </row>
    <row r="68970" spans="10:10" x14ac:dyDescent="0.3">
      <c r="J68970"/>
    </row>
    <row r="68971" spans="10:10" x14ac:dyDescent="0.3">
      <c r="J68971"/>
    </row>
    <row r="68972" spans="10:10" x14ac:dyDescent="0.3">
      <c r="J68972"/>
    </row>
    <row r="68973" spans="10:10" x14ac:dyDescent="0.3">
      <c r="J68973"/>
    </row>
    <row r="68974" spans="10:10" x14ac:dyDescent="0.3">
      <c r="J68974"/>
    </row>
    <row r="68975" spans="10:10" x14ac:dyDescent="0.3">
      <c r="J68975"/>
    </row>
    <row r="68976" spans="10:10" x14ac:dyDescent="0.3">
      <c r="J68976"/>
    </row>
    <row r="68977" spans="10:10" x14ac:dyDescent="0.3">
      <c r="J68977"/>
    </row>
    <row r="68978" spans="10:10" x14ac:dyDescent="0.3">
      <c r="J68978"/>
    </row>
    <row r="68979" spans="10:10" x14ac:dyDescent="0.3">
      <c r="J68979"/>
    </row>
    <row r="68980" spans="10:10" x14ac:dyDescent="0.3">
      <c r="J68980"/>
    </row>
    <row r="68981" spans="10:10" x14ac:dyDescent="0.3">
      <c r="J68981"/>
    </row>
    <row r="68982" spans="10:10" x14ac:dyDescent="0.3">
      <c r="J68982"/>
    </row>
    <row r="68983" spans="10:10" x14ac:dyDescent="0.3">
      <c r="J68983"/>
    </row>
    <row r="68984" spans="10:10" x14ac:dyDescent="0.3">
      <c r="J68984"/>
    </row>
    <row r="68985" spans="10:10" x14ac:dyDescent="0.3">
      <c r="J68985"/>
    </row>
    <row r="68986" spans="10:10" x14ac:dyDescent="0.3">
      <c r="J68986"/>
    </row>
    <row r="68987" spans="10:10" x14ac:dyDescent="0.3">
      <c r="J68987"/>
    </row>
    <row r="68988" spans="10:10" x14ac:dyDescent="0.3">
      <c r="J68988"/>
    </row>
    <row r="68989" spans="10:10" x14ac:dyDescent="0.3">
      <c r="J68989"/>
    </row>
    <row r="68990" spans="10:10" x14ac:dyDescent="0.3">
      <c r="J68990"/>
    </row>
    <row r="68991" spans="10:10" x14ac:dyDescent="0.3">
      <c r="J68991"/>
    </row>
    <row r="68992" spans="10:10" x14ac:dyDescent="0.3">
      <c r="J68992"/>
    </row>
    <row r="68993" spans="10:10" x14ac:dyDescent="0.3">
      <c r="J68993"/>
    </row>
    <row r="68994" spans="10:10" x14ac:dyDescent="0.3">
      <c r="J68994"/>
    </row>
    <row r="68995" spans="10:10" x14ac:dyDescent="0.3">
      <c r="J68995"/>
    </row>
    <row r="68996" spans="10:10" x14ac:dyDescent="0.3">
      <c r="J68996"/>
    </row>
    <row r="68997" spans="10:10" x14ac:dyDescent="0.3">
      <c r="J68997"/>
    </row>
    <row r="68998" spans="10:10" x14ac:dyDescent="0.3">
      <c r="J68998"/>
    </row>
    <row r="68999" spans="10:10" x14ac:dyDescent="0.3">
      <c r="J68999"/>
    </row>
    <row r="69000" spans="10:10" x14ac:dyDescent="0.3">
      <c r="J69000"/>
    </row>
    <row r="69001" spans="10:10" x14ac:dyDescent="0.3">
      <c r="J69001"/>
    </row>
    <row r="69002" spans="10:10" x14ac:dyDescent="0.3">
      <c r="J69002"/>
    </row>
    <row r="69003" spans="10:10" x14ac:dyDescent="0.3">
      <c r="J69003"/>
    </row>
    <row r="69004" spans="10:10" x14ac:dyDescent="0.3">
      <c r="J69004"/>
    </row>
    <row r="69005" spans="10:10" x14ac:dyDescent="0.3">
      <c r="J69005"/>
    </row>
    <row r="69006" spans="10:10" x14ac:dyDescent="0.3">
      <c r="J69006"/>
    </row>
    <row r="69007" spans="10:10" x14ac:dyDescent="0.3">
      <c r="J69007"/>
    </row>
    <row r="69008" spans="10:10" x14ac:dyDescent="0.3">
      <c r="J69008"/>
    </row>
    <row r="69009" spans="10:10" x14ac:dyDescent="0.3">
      <c r="J69009"/>
    </row>
    <row r="69010" spans="10:10" x14ac:dyDescent="0.3">
      <c r="J69010"/>
    </row>
    <row r="69011" spans="10:10" x14ac:dyDescent="0.3">
      <c r="J69011"/>
    </row>
    <row r="69012" spans="10:10" x14ac:dyDescent="0.3">
      <c r="J69012"/>
    </row>
    <row r="69013" spans="10:10" x14ac:dyDescent="0.3">
      <c r="J69013"/>
    </row>
    <row r="69014" spans="10:10" x14ac:dyDescent="0.3">
      <c r="J69014"/>
    </row>
    <row r="69015" spans="10:10" x14ac:dyDescent="0.3">
      <c r="J69015"/>
    </row>
    <row r="69016" spans="10:10" x14ac:dyDescent="0.3">
      <c r="J69016"/>
    </row>
    <row r="69017" spans="10:10" x14ac:dyDescent="0.3">
      <c r="J69017"/>
    </row>
    <row r="69018" spans="10:10" x14ac:dyDescent="0.3">
      <c r="J69018"/>
    </row>
    <row r="69019" spans="10:10" x14ac:dyDescent="0.3">
      <c r="J69019"/>
    </row>
    <row r="69020" spans="10:10" x14ac:dyDescent="0.3">
      <c r="J69020"/>
    </row>
    <row r="69021" spans="10:10" x14ac:dyDescent="0.3">
      <c r="J69021"/>
    </row>
    <row r="69022" spans="10:10" x14ac:dyDescent="0.3">
      <c r="J69022"/>
    </row>
    <row r="69023" spans="10:10" x14ac:dyDescent="0.3">
      <c r="J69023"/>
    </row>
    <row r="69024" spans="10:10" x14ac:dyDescent="0.3">
      <c r="J69024"/>
    </row>
    <row r="69025" spans="10:10" x14ac:dyDescent="0.3">
      <c r="J69025"/>
    </row>
    <row r="69026" spans="10:10" x14ac:dyDescent="0.3">
      <c r="J69026"/>
    </row>
    <row r="69027" spans="10:10" x14ac:dyDescent="0.3">
      <c r="J69027"/>
    </row>
    <row r="69028" spans="10:10" x14ac:dyDescent="0.3">
      <c r="J69028"/>
    </row>
    <row r="69029" spans="10:10" x14ac:dyDescent="0.3">
      <c r="J69029"/>
    </row>
    <row r="69030" spans="10:10" x14ac:dyDescent="0.3">
      <c r="J69030"/>
    </row>
    <row r="69031" spans="10:10" x14ac:dyDescent="0.3">
      <c r="J69031"/>
    </row>
    <row r="69032" spans="10:10" x14ac:dyDescent="0.3">
      <c r="J69032"/>
    </row>
    <row r="69033" spans="10:10" x14ac:dyDescent="0.3">
      <c r="J69033"/>
    </row>
    <row r="69034" spans="10:10" x14ac:dyDescent="0.3">
      <c r="J69034"/>
    </row>
    <row r="69035" spans="10:10" x14ac:dyDescent="0.3">
      <c r="J69035"/>
    </row>
    <row r="69036" spans="10:10" x14ac:dyDescent="0.3">
      <c r="J69036"/>
    </row>
    <row r="69037" spans="10:10" x14ac:dyDescent="0.3">
      <c r="J69037"/>
    </row>
    <row r="69038" spans="10:10" x14ac:dyDescent="0.3">
      <c r="J69038"/>
    </row>
    <row r="69039" spans="10:10" x14ac:dyDescent="0.3">
      <c r="J69039"/>
    </row>
    <row r="69040" spans="10:10" x14ac:dyDescent="0.3">
      <c r="J69040"/>
    </row>
    <row r="69041" spans="10:10" x14ac:dyDescent="0.3">
      <c r="J69041"/>
    </row>
    <row r="69042" spans="10:10" x14ac:dyDescent="0.3">
      <c r="J69042"/>
    </row>
    <row r="69043" spans="10:10" x14ac:dyDescent="0.3">
      <c r="J69043"/>
    </row>
    <row r="69044" spans="10:10" x14ac:dyDescent="0.3">
      <c r="J69044"/>
    </row>
    <row r="69045" spans="10:10" x14ac:dyDescent="0.3">
      <c r="J69045"/>
    </row>
    <row r="69046" spans="10:10" x14ac:dyDescent="0.3">
      <c r="J69046"/>
    </row>
    <row r="69047" spans="10:10" x14ac:dyDescent="0.3">
      <c r="J69047"/>
    </row>
    <row r="69048" spans="10:10" x14ac:dyDescent="0.3">
      <c r="J69048"/>
    </row>
    <row r="69049" spans="10:10" x14ac:dyDescent="0.3">
      <c r="J69049"/>
    </row>
    <row r="69050" spans="10:10" x14ac:dyDescent="0.3">
      <c r="J69050"/>
    </row>
    <row r="69051" spans="10:10" x14ac:dyDescent="0.3">
      <c r="J69051"/>
    </row>
    <row r="69052" spans="10:10" x14ac:dyDescent="0.3">
      <c r="J69052"/>
    </row>
    <row r="69053" spans="10:10" x14ac:dyDescent="0.3">
      <c r="J69053"/>
    </row>
    <row r="69054" spans="10:10" x14ac:dyDescent="0.3">
      <c r="J69054"/>
    </row>
    <row r="69055" spans="10:10" x14ac:dyDescent="0.3">
      <c r="J69055"/>
    </row>
    <row r="69056" spans="10:10" x14ac:dyDescent="0.3">
      <c r="J69056"/>
    </row>
    <row r="69057" spans="10:10" x14ac:dyDescent="0.3">
      <c r="J69057"/>
    </row>
    <row r="69058" spans="10:10" x14ac:dyDescent="0.3">
      <c r="J69058"/>
    </row>
    <row r="69059" spans="10:10" x14ac:dyDescent="0.3">
      <c r="J69059"/>
    </row>
    <row r="69060" spans="10:10" x14ac:dyDescent="0.3">
      <c r="J69060"/>
    </row>
    <row r="69061" spans="10:10" x14ac:dyDescent="0.3">
      <c r="J69061"/>
    </row>
    <row r="69062" spans="10:10" x14ac:dyDescent="0.3">
      <c r="J69062"/>
    </row>
    <row r="69063" spans="10:10" x14ac:dyDescent="0.3">
      <c r="J69063"/>
    </row>
    <row r="69064" spans="10:10" x14ac:dyDescent="0.3">
      <c r="J69064"/>
    </row>
    <row r="69065" spans="10:10" x14ac:dyDescent="0.3">
      <c r="J69065"/>
    </row>
    <row r="69066" spans="10:10" x14ac:dyDescent="0.3">
      <c r="J69066"/>
    </row>
    <row r="69067" spans="10:10" x14ac:dyDescent="0.3">
      <c r="J69067"/>
    </row>
    <row r="69068" spans="10:10" x14ac:dyDescent="0.3">
      <c r="J69068"/>
    </row>
    <row r="69069" spans="10:10" x14ac:dyDescent="0.3">
      <c r="J69069"/>
    </row>
    <row r="69070" spans="10:10" x14ac:dyDescent="0.3">
      <c r="J69070"/>
    </row>
    <row r="69071" spans="10:10" x14ac:dyDescent="0.3">
      <c r="J69071"/>
    </row>
    <row r="69072" spans="10:10" x14ac:dyDescent="0.3">
      <c r="J69072"/>
    </row>
    <row r="69073" spans="10:10" x14ac:dyDescent="0.3">
      <c r="J69073"/>
    </row>
    <row r="69074" spans="10:10" x14ac:dyDescent="0.3">
      <c r="J69074"/>
    </row>
    <row r="69075" spans="10:10" x14ac:dyDescent="0.3">
      <c r="J69075"/>
    </row>
    <row r="69076" spans="10:10" x14ac:dyDescent="0.3">
      <c r="J69076"/>
    </row>
    <row r="69077" spans="10:10" x14ac:dyDescent="0.3">
      <c r="J69077"/>
    </row>
    <row r="69078" spans="10:10" x14ac:dyDescent="0.3">
      <c r="J69078"/>
    </row>
    <row r="69079" spans="10:10" x14ac:dyDescent="0.3">
      <c r="J69079"/>
    </row>
    <row r="69080" spans="10:10" x14ac:dyDescent="0.3">
      <c r="J69080"/>
    </row>
    <row r="69081" spans="10:10" x14ac:dyDescent="0.3">
      <c r="J69081"/>
    </row>
    <row r="69082" spans="10:10" x14ac:dyDescent="0.3">
      <c r="J69082"/>
    </row>
    <row r="69083" spans="10:10" x14ac:dyDescent="0.3">
      <c r="J69083"/>
    </row>
    <row r="69084" spans="10:10" x14ac:dyDescent="0.3">
      <c r="J69084"/>
    </row>
    <row r="69085" spans="10:10" x14ac:dyDescent="0.3">
      <c r="J69085"/>
    </row>
    <row r="69086" spans="10:10" x14ac:dyDescent="0.3">
      <c r="J69086"/>
    </row>
    <row r="69087" spans="10:10" x14ac:dyDescent="0.3">
      <c r="J69087"/>
    </row>
    <row r="69088" spans="10:10" x14ac:dyDescent="0.3">
      <c r="J69088"/>
    </row>
    <row r="69089" spans="10:10" x14ac:dyDescent="0.3">
      <c r="J69089"/>
    </row>
    <row r="69090" spans="10:10" x14ac:dyDescent="0.3">
      <c r="J69090"/>
    </row>
    <row r="69091" spans="10:10" x14ac:dyDescent="0.3">
      <c r="J69091"/>
    </row>
    <row r="69092" spans="10:10" x14ac:dyDescent="0.3">
      <c r="J69092"/>
    </row>
    <row r="69093" spans="10:10" x14ac:dyDescent="0.3">
      <c r="J69093"/>
    </row>
    <row r="69094" spans="10:10" x14ac:dyDescent="0.3">
      <c r="J69094"/>
    </row>
    <row r="69095" spans="10:10" x14ac:dyDescent="0.3">
      <c r="J69095"/>
    </row>
    <row r="69096" spans="10:10" x14ac:dyDescent="0.3">
      <c r="J69096"/>
    </row>
    <row r="69097" spans="10:10" x14ac:dyDescent="0.3">
      <c r="J69097"/>
    </row>
    <row r="69098" spans="10:10" x14ac:dyDescent="0.3">
      <c r="J69098"/>
    </row>
    <row r="69099" spans="10:10" x14ac:dyDescent="0.3">
      <c r="J69099"/>
    </row>
    <row r="69100" spans="10:10" x14ac:dyDescent="0.3">
      <c r="J69100"/>
    </row>
    <row r="69101" spans="10:10" x14ac:dyDescent="0.3">
      <c r="J69101"/>
    </row>
    <row r="69102" spans="10:10" x14ac:dyDescent="0.3">
      <c r="J69102"/>
    </row>
    <row r="69103" spans="10:10" x14ac:dyDescent="0.3">
      <c r="J69103"/>
    </row>
    <row r="69104" spans="10:10" x14ac:dyDescent="0.3">
      <c r="J69104"/>
    </row>
    <row r="69105" spans="10:10" x14ac:dyDescent="0.3">
      <c r="J69105"/>
    </row>
    <row r="69106" spans="10:10" x14ac:dyDescent="0.3">
      <c r="J69106"/>
    </row>
    <row r="69107" spans="10:10" x14ac:dyDescent="0.3">
      <c r="J69107"/>
    </row>
    <row r="69108" spans="10:10" x14ac:dyDescent="0.3">
      <c r="J69108"/>
    </row>
    <row r="69109" spans="10:10" x14ac:dyDescent="0.3">
      <c r="J69109"/>
    </row>
    <row r="69110" spans="10:10" x14ac:dyDescent="0.3">
      <c r="J69110"/>
    </row>
    <row r="69111" spans="10:10" x14ac:dyDescent="0.3">
      <c r="J69111"/>
    </row>
    <row r="69112" spans="10:10" x14ac:dyDescent="0.3">
      <c r="J69112"/>
    </row>
    <row r="69113" spans="10:10" x14ac:dyDescent="0.3">
      <c r="J69113"/>
    </row>
    <row r="69114" spans="10:10" x14ac:dyDescent="0.3">
      <c r="J69114"/>
    </row>
    <row r="69115" spans="10:10" x14ac:dyDescent="0.3">
      <c r="J69115"/>
    </row>
    <row r="69116" spans="10:10" x14ac:dyDescent="0.3">
      <c r="J69116"/>
    </row>
    <row r="69117" spans="10:10" x14ac:dyDescent="0.3">
      <c r="J69117"/>
    </row>
    <row r="69118" spans="10:10" x14ac:dyDescent="0.3">
      <c r="J69118"/>
    </row>
    <row r="69119" spans="10:10" x14ac:dyDescent="0.3">
      <c r="J69119"/>
    </row>
    <row r="69120" spans="10:10" x14ac:dyDescent="0.3">
      <c r="J69120"/>
    </row>
    <row r="69121" spans="10:10" x14ac:dyDescent="0.3">
      <c r="J69121"/>
    </row>
    <row r="69122" spans="10:10" x14ac:dyDescent="0.3">
      <c r="J69122"/>
    </row>
    <row r="69123" spans="10:10" x14ac:dyDescent="0.3">
      <c r="J69123"/>
    </row>
    <row r="69124" spans="10:10" x14ac:dyDescent="0.3">
      <c r="J69124"/>
    </row>
    <row r="69125" spans="10:10" x14ac:dyDescent="0.3">
      <c r="J69125"/>
    </row>
    <row r="69126" spans="10:10" x14ac:dyDescent="0.3">
      <c r="J69126"/>
    </row>
    <row r="69127" spans="10:10" x14ac:dyDescent="0.3">
      <c r="J69127"/>
    </row>
    <row r="69128" spans="10:10" x14ac:dyDescent="0.3">
      <c r="J69128"/>
    </row>
    <row r="69129" spans="10:10" x14ac:dyDescent="0.3">
      <c r="J69129"/>
    </row>
    <row r="69130" spans="10:10" x14ac:dyDescent="0.3">
      <c r="J69130"/>
    </row>
    <row r="69131" spans="10:10" x14ac:dyDescent="0.3">
      <c r="J69131"/>
    </row>
    <row r="69132" spans="10:10" x14ac:dyDescent="0.3">
      <c r="J69132"/>
    </row>
    <row r="69133" spans="10:10" x14ac:dyDescent="0.3">
      <c r="J69133"/>
    </row>
    <row r="69134" spans="10:10" x14ac:dyDescent="0.3">
      <c r="J69134"/>
    </row>
    <row r="69135" spans="10:10" x14ac:dyDescent="0.3">
      <c r="J69135"/>
    </row>
    <row r="69136" spans="10:10" x14ac:dyDescent="0.3">
      <c r="J69136"/>
    </row>
    <row r="69137" spans="10:10" x14ac:dyDescent="0.3">
      <c r="J69137"/>
    </row>
    <row r="69138" spans="10:10" x14ac:dyDescent="0.3">
      <c r="J69138"/>
    </row>
    <row r="69139" spans="10:10" x14ac:dyDescent="0.3">
      <c r="J69139"/>
    </row>
    <row r="69140" spans="10:10" x14ac:dyDescent="0.3">
      <c r="J69140"/>
    </row>
    <row r="69141" spans="10:10" x14ac:dyDescent="0.3">
      <c r="J69141"/>
    </row>
    <row r="69142" spans="10:10" x14ac:dyDescent="0.3">
      <c r="J69142"/>
    </row>
    <row r="69143" spans="10:10" x14ac:dyDescent="0.3">
      <c r="J69143"/>
    </row>
    <row r="69144" spans="10:10" x14ac:dyDescent="0.3">
      <c r="J69144"/>
    </row>
    <row r="69145" spans="10:10" x14ac:dyDescent="0.3">
      <c r="J69145"/>
    </row>
    <row r="69146" spans="10:10" x14ac:dyDescent="0.3">
      <c r="J69146"/>
    </row>
    <row r="69147" spans="10:10" x14ac:dyDescent="0.3">
      <c r="J69147"/>
    </row>
    <row r="69148" spans="10:10" x14ac:dyDescent="0.3">
      <c r="J69148"/>
    </row>
    <row r="69149" spans="10:10" x14ac:dyDescent="0.3">
      <c r="J69149"/>
    </row>
    <row r="69150" spans="10:10" x14ac:dyDescent="0.3">
      <c r="J69150"/>
    </row>
    <row r="69151" spans="10:10" x14ac:dyDescent="0.3">
      <c r="J69151"/>
    </row>
    <row r="69152" spans="10:10" x14ac:dyDescent="0.3">
      <c r="J69152"/>
    </row>
    <row r="69153" spans="10:10" x14ac:dyDescent="0.3">
      <c r="J69153"/>
    </row>
    <row r="69154" spans="10:10" x14ac:dyDescent="0.3">
      <c r="J69154"/>
    </row>
    <row r="69155" spans="10:10" x14ac:dyDescent="0.3">
      <c r="J69155"/>
    </row>
    <row r="69156" spans="10:10" x14ac:dyDescent="0.3">
      <c r="J69156"/>
    </row>
    <row r="69157" spans="10:10" x14ac:dyDescent="0.3">
      <c r="J69157"/>
    </row>
    <row r="69158" spans="10:10" x14ac:dyDescent="0.3">
      <c r="J69158"/>
    </row>
    <row r="69159" spans="10:10" x14ac:dyDescent="0.3">
      <c r="J69159"/>
    </row>
    <row r="69160" spans="10:10" x14ac:dyDescent="0.3">
      <c r="J69160"/>
    </row>
    <row r="69161" spans="10:10" x14ac:dyDescent="0.3">
      <c r="J69161"/>
    </row>
    <row r="69162" spans="10:10" x14ac:dyDescent="0.3">
      <c r="J69162"/>
    </row>
    <row r="69163" spans="10:10" x14ac:dyDescent="0.3">
      <c r="J69163"/>
    </row>
    <row r="69164" spans="10:10" x14ac:dyDescent="0.3">
      <c r="J69164"/>
    </row>
    <row r="69165" spans="10:10" x14ac:dyDescent="0.3">
      <c r="J69165"/>
    </row>
    <row r="69166" spans="10:10" x14ac:dyDescent="0.3">
      <c r="J69166"/>
    </row>
    <row r="69167" spans="10:10" x14ac:dyDescent="0.3">
      <c r="J69167"/>
    </row>
    <row r="69168" spans="10:10" x14ac:dyDescent="0.3">
      <c r="J69168"/>
    </row>
    <row r="69169" spans="10:10" x14ac:dyDescent="0.3">
      <c r="J69169"/>
    </row>
    <row r="69170" spans="10:10" x14ac:dyDescent="0.3">
      <c r="J69170"/>
    </row>
    <row r="69171" spans="10:10" x14ac:dyDescent="0.3">
      <c r="J69171"/>
    </row>
    <row r="69172" spans="10:10" x14ac:dyDescent="0.3">
      <c r="J69172"/>
    </row>
    <row r="69173" spans="10:10" x14ac:dyDescent="0.3">
      <c r="J69173"/>
    </row>
    <row r="69174" spans="10:10" x14ac:dyDescent="0.3">
      <c r="J69174"/>
    </row>
    <row r="69175" spans="10:10" x14ac:dyDescent="0.3">
      <c r="J69175"/>
    </row>
    <row r="69176" spans="10:10" x14ac:dyDescent="0.3">
      <c r="J69176"/>
    </row>
    <row r="69177" spans="10:10" x14ac:dyDescent="0.3">
      <c r="J69177"/>
    </row>
    <row r="69178" spans="10:10" x14ac:dyDescent="0.3">
      <c r="J69178"/>
    </row>
    <row r="69179" spans="10:10" x14ac:dyDescent="0.3">
      <c r="J69179"/>
    </row>
    <row r="69180" spans="10:10" x14ac:dyDescent="0.3">
      <c r="J69180"/>
    </row>
    <row r="69181" spans="10:10" x14ac:dyDescent="0.3">
      <c r="J69181"/>
    </row>
    <row r="69182" spans="10:10" x14ac:dyDescent="0.3">
      <c r="J69182"/>
    </row>
    <row r="69183" spans="10:10" x14ac:dyDescent="0.3">
      <c r="J69183"/>
    </row>
    <row r="69184" spans="10:10" x14ac:dyDescent="0.3">
      <c r="J69184"/>
    </row>
    <row r="69185" spans="10:10" x14ac:dyDescent="0.3">
      <c r="J69185"/>
    </row>
    <row r="69186" spans="10:10" x14ac:dyDescent="0.3">
      <c r="J69186"/>
    </row>
    <row r="69187" spans="10:10" x14ac:dyDescent="0.3">
      <c r="J69187"/>
    </row>
    <row r="69188" spans="10:10" x14ac:dyDescent="0.3">
      <c r="J69188"/>
    </row>
    <row r="69189" spans="10:10" x14ac:dyDescent="0.3">
      <c r="J69189"/>
    </row>
    <row r="69190" spans="10:10" x14ac:dyDescent="0.3">
      <c r="J69190"/>
    </row>
    <row r="69191" spans="10:10" x14ac:dyDescent="0.3">
      <c r="J69191"/>
    </row>
    <row r="69192" spans="10:10" x14ac:dyDescent="0.3">
      <c r="J69192"/>
    </row>
    <row r="69193" spans="10:10" x14ac:dyDescent="0.3">
      <c r="J69193"/>
    </row>
    <row r="69194" spans="10:10" x14ac:dyDescent="0.3">
      <c r="J69194"/>
    </row>
    <row r="69195" spans="10:10" x14ac:dyDescent="0.3">
      <c r="J69195"/>
    </row>
    <row r="69196" spans="10:10" x14ac:dyDescent="0.3">
      <c r="J69196"/>
    </row>
    <row r="69197" spans="10:10" x14ac:dyDescent="0.3">
      <c r="J69197"/>
    </row>
    <row r="69198" spans="10:10" x14ac:dyDescent="0.3">
      <c r="J69198"/>
    </row>
    <row r="69199" spans="10:10" x14ac:dyDescent="0.3">
      <c r="J69199"/>
    </row>
    <row r="69200" spans="10:10" x14ac:dyDescent="0.3">
      <c r="J69200"/>
    </row>
    <row r="69201" spans="10:10" x14ac:dyDescent="0.3">
      <c r="J69201"/>
    </row>
    <row r="69202" spans="10:10" x14ac:dyDescent="0.3">
      <c r="J69202"/>
    </row>
    <row r="69203" spans="10:10" x14ac:dyDescent="0.3">
      <c r="J69203"/>
    </row>
    <row r="69204" spans="10:10" x14ac:dyDescent="0.3">
      <c r="J69204"/>
    </row>
    <row r="69205" spans="10:10" x14ac:dyDescent="0.3">
      <c r="J69205"/>
    </row>
    <row r="69206" spans="10:10" x14ac:dyDescent="0.3">
      <c r="J69206"/>
    </row>
    <row r="69207" spans="10:10" x14ac:dyDescent="0.3">
      <c r="J69207"/>
    </row>
    <row r="69208" spans="10:10" x14ac:dyDescent="0.3">
      <c r="J69208"/>
    </row>
    <row r="69209" spans="10:10" x14ac:dyDescent="0.3">
      <c r="J69209"/>
    </row>
    <row r="69210" spans="10:10" x14ac:dyDescent="0.3">
      <c r="J69210"/>
    </row>
    <row r="69211" spans="10:10" x14ac:dyDescent="0.3">
      <c r="J69211"/>
    </row>
    <row r="69212" spans="10:10" x14ac:dyDescent="0.3">
      <c r="J69212"/>
    </row>
    <row r="69213" spans="10:10" x14ac:dyDescent="0.3">
      <c r="J69213"/>
    </row>
    <row r="69214" spans="10:10" x14ac:dyDescent="0.3">
      <c r="J69214"/>
    </row>
    <row r="69215" spans="10:10" x14ac:dyDescent="0.3">
      <c r="J69215"/>
    </row>
    <row r="69216" spans="10:10" x14ac:dyDescent="0.3">
      <c r="J69216"/>
    </row>
    <row r="69217" spans="10:10" x14ac:dyDescent="0.3">
      <c r="J69217"/>
    </row>
    <row r="69218" spans="10:10" x14ac:dyDescent="0.3">
      <c r="J69218"/>
    </row>
    <row r="69219" spans="10:10" x14ac:dyDescent="0.3">
      <c r="J69219"/>
    </row>
    <row r="69220" spans="10:10" x14ac:dyDescent="0.3">
      <c r="J69220"/>
    </row>
    <row r="69221" spans="10:10" x14ac:dyDescent="0.3">
      <c r="J69221"/>
    </row>
    <row r="69222" spans="10:10" x14ac:dyDescent="0.3">
      <c r="J69222"/>
    </row>
    <row r="69223" spans="10:10" x14ac:dyDescent="0.3">
      <c r="J69223"/>
    </row>
    <row r="69224" spans="10:10" x14ac:dyDescent="0.3">
      <c r="J69224"/>
    </row>
    <row r="69225" spans="10:10" x14ac:dyDescent="0.3">
      <c r="J69225"/>
    </row>
    <row r="69226" spans="10:10" x14ac:dyDescent="0.3">
      <c r="J69226"/>
    </row>
    <row r="69227" spans="10:10" x14ac:dyDescent="0.3">
      <c r="J69227"/>
    </row>
    <row r="69228" spans="10:10" x14ac:dyDescent="0.3">
      <c r="J69228"/>
    </row>
    <row r="69229" spans="10:10" x14ac:dyDescent="0.3">
      <c r="J69229"/>
    </row>
    <row r="69230" spans="10:10" x14ac:dyDescent="0.3">
      <c r="J69230"/>
    </row>
    <row r="69231" spans="10:10" x14ac:dyDescent="0.3">
      <c r="J69231"/>
    </row>
    <row r="69232" spans="10:10" x14ac:dyDescent="0.3">
      <c r="J69232"/>
    </row>
    <row r="69233" spans="10:10" x14ac:dyDescent="0.3">
      <c r="J69233"/>
    </row>
    <row r="69234" spans="10:10" x14ac:dyDescent="0.3">
      <c r="J69234"/>
    </row>
    <row r="69235" spans="10:10" x14ac:dyDescent="0.3">
      <c r="J69235"/>
    </row>
    <row r="69236" spans="10:10" x14ac:dyDescent="0.3">
      <c r="J69236"/>
    </row>
    <row r="69237" spans="10:10" x14ac:dyDescent="0.3">
      <c r="J69237"/>
    </row>
    <row r="69238" spans="10:10" x14ac:dyDescent="0.3">
      <c r="J69238"/>
    </row>
    <row r="69239" spans="10:10" x14ac:dyDescent="0.3">
      <c r="J69239"/>
    </row>
    <row r="69240" spans="10:10" x14ac:dyDescent="0.3">
      <c r="J69240"/>
    </row>
    <row r="69241" spans="10:10" x14ac:dyDescent="0.3">
      <c r="J69241"/>
    </row>
    <row r="69242" spans="10:10" x14ac:dyDescent="0.3">
      <c r="J69242"/>
    </row>
    <row r="69243" spans="10:10" x14ac:dyDescent="0.3">
      <c r="J69243"/>
    </row>
    <row r="69244" spans="10:10" x14ac:dyDescent="0.3">
      <c r="J69244"/>
    </row>
    <row r="69245" spans="10:10" x14ac:dyDescent="0.3">
      <c r="J69245"/>
    </row>
    <row r="69246" spans="10:10" x14ac:dyDescent="0.3">
      <c r="J69246"/>
    </row>
    <row r="69247" spans="10:10" x14ac:dyDescent="0.3">
      <c r="J69247"/>
    </row>
    <row r="69248" spans="10:10" x14ac:dyDescent="0.3">
      <c r="J69248"/>
    </row>
    <row r="69249" spans="10:10" x14ac:dyDescent="0.3">
      <c r="J69249"/>
    </row>
    <row r="69250" spans="10:10" x14ac:dyDescent="0.3">
      <c r="J69250"/>
    </row>
    <row r="69251" spans="10:10" x14ac:dyDescent="0.3">
      <c r="J69251"/>
    </row>
    <row r="69252" spans="10:10" x14ac:dyDescent="0.3">
      <c r="J69252"/>
    </row>
    <row r="69253" spans="10:10" x14ac:dyDescent="0.3">
      <c r="J69253"/>
    </row>
    <row r="69254" spans="10:10" x14ac:dyDescent="0.3">
      <c r="J69254"/>
    </row>
    <row r="69255" spans="10:10" x14ac:dyDescent="0.3">
      <c r="J69255"/>
    </row>
    <row r="69256" spans="10:10" x14ac:dyDescent="0.3">
      <c r="J69256"/>
    </row>
    <row r="69257" spans="10:10" x14ac:dyDescent="0.3">
      <c r="J69257"/>
    </row>
    <row r="69258" spans="10:10" x14ac:dyDescent="0.3">
      <c r="J69258"/>
    </row>
    <row r="69259" spans="10:10" x14ac:dyDescent="0.3">
      <c r="J69259"/>
    </row>
    <row r="69260" spans="10:10" x14ac:dyDescent="0.3">
      <c r="J69260"/>
    </row>
    <row r="69261" spans="10:10" x14ac:dyDescent="0.3">
      <c r="J69261"/>
    </row>
    <row r="69262" spans="10:10" x14ac:dyDescent="0.3">
      <c r="J69262"/>
    </row>
    <row r="69263" spans="10:10" x14ac:dyDescent="0.3">
      <c r="J69263"/>
    </row>
    <row r="69264" spans="10:10" x14ac:dyDescent="0.3">
      <c r="J69264"/>
    </row>
    <row r="69265" spans="10:10" x14ac:dyDescent="0.3">
      <c r="J69265"/>
    </row>
    <row r="69266" spans="10:10" x14ac:dyDescent="0.3">
      <c r="J69266"/>
    </row>
    <row r="69267" spans="10:10" x14ac:dyDescent="0.3">
      <c r="J69267"/>
    </row>
    <row r="69268" spans="10:10" x14ac:dyDescent="0.3">
      <c r="J69268"/>
    </row>
    <row r="69269" spans="10:10" x14ac:dyDescent="0.3">
      <c r="J69269"/>
    </row>
    <row r="69270" spans="10:10" x14ac:dyDescent="0.3">
      <c r="J69270"/>
    </row>
    <row r="69271" spans="10:10" x14ac:dyDescent="0.3">
      <c r="J69271"/>
    </row>
    <row r="69272" spans="10:10" x14ac:dyDescent="0.3">
      <c r="J69272"/>
    </row>
    <row r="69273" spans="10:10" x14ac:dyDescent="0.3">
      <c r="J69273"/>
    </row>
    <row r="69274" spans="10:10" x14ac:dyDescent="0.3">
      <c r="J69274"/>
    </row>
    <row r="69275" spans="10:10" x14ac:dyDescent="0.3">
      <c r="J69275"/>
    </row>
    <row r="69276" spans="10:10" x14ac:dyDescent="0.3">
      <c r="J69276"/>
    </row>
    <row r="69277" spans="10:10" x14ac:dyDescent="0.3">
      <c r="J69277"/>
    </row>
    <row r="69278" spans="10:10" x14ac:dyDescent="0.3">
      <c r="J69278"/>
    </row>
    <row r="69279" spans="10:10" x14ac:dyDescent="0.3">
      <c r="J69279"/>
    </row>
    <row r="69280" spans="10:10" x14ac:dyDescent="0.3">
      <c r="J69280"/>
    </row>
    <row r="69281" spans="10:10" x14ac:dyDescent="0.3">
      <c r="J69281"/>
    </row>
    <row r="69282" spans="10:10" x14ac:dyDescent="0.3">
      <c r="J69282"/>
    </row>
    <row r="69283" spans="10:10" x14ac:dyDescent="0.3">
      <c r="J69283"/>
    </row>
    <row r="69284" spans="10:10" x14ac:dyDescent="0.3">
      <c r="J69284"/>
    </row>
    <row r="69285" spans="10:10" x14ac:dyDescent="0.3">
      <c r="J69285"/>
    </row>
    <row r="69286" spans="10:10" x14ac:dyDescent="0.3">
      <c r="J69286"/>
    </row>
    <row r="69287" spans="10:10" x14ac:dyDescent="0.3">
      <c r="J69287"/>
    </row>
    <row r="69288" spans="10:10" x14ac:dyDescent="0.3">
      <c r="J69288"/>
    </row>
    <row r="69289" spans="10:10" x14ac:dyDescent="0.3">
      <c r="J69289"/>
    </row>
    <row r="69290" spans="10:10" x14ac:dyDescent="0.3">
      <c r="J69290"/>
    </row>
    <row r="69291" spans="10:10" x14ac:dyDescent="0.3">
      <c r="J69291"/>
    </row>
    <row r="69292" spans="10:10" x14ac:dyDescent="0.3">
      <c r="J69292"/>
    </row>
    <row r="69293" spans="10:10" x14ac:dyDescent="0.3">
      <c r="J69293"/>
    </row>
    <row r="69294" spans="10:10" x14ac:dyDescent="0.3">
      <c r="J69294"/>
    </row>
    <row r="69295" spans="10:10" x14ac:dyDescent="0.3">
      <c r="J69295"/>
    </row>
    <row r="69296" spans="10:10" x14ac:dyDescent="0.3">
      <c r="J69296"/>
    </row>
    <row r="69297" spans="10:10" x14ac:dyDescent="0.3">
      <c r="J69297"/>
    </row>
    <row r="69298" spans="10:10" x14ac:dyDescent="0.3">
      <c r="J69298"/>
    </row>
    <row r="69299" spans="10:10" x14ac:dyDescent="0.3">
      <c r="J69299"/>
    </row>
    <row r="69300" spans="10:10" x14ac:dyDescent="0.3">
      <c r="J69300"/>
    </row>
    <row r="69301" spans="10:10" x14ac:dyDescent="0.3">
      <c r="J69301"/>
    </row>
    <row r="69302" spans="10:10" x14ac:dyDescent="0.3">
      <c r="J69302"/>
    </row>
    <row r="69303" spans="10:10" x14ac:dyDescent="0.3">
      <c r="J69303"/>
    </row>
    <row r="69304" spans="10:10" x14ac:dyDescent="0.3">
      <c r="J69304"/>
    </row>
    <row r="69305" spans="10:10" x14ac:dyDescent="0.3">
      <c r="J69305"/>
    </row>
    <row r="69306" spans="10:10" x14ac:dyDescent="0.3">
      <c r="J69306"/>
    </row>
    <row r="69307" spans="10:10" x14ac:dyDescent="0.3">
      <c r="J69307"/>
    </row>
    <row r="69308" spans="10:10" x14ac:dyDescent="0.3">
      <c r="J69308"/>
    </row>
    <row r="69309" spans="10:10" x14ac:dyDescent="0.3">
      <c r="J69309"/>
    </row>
    <row r="69310" spans="10:10" x14ac:dyDescent="0.3">
      <c r="J69310"/>
    </row>
    <row r="69311" spans="10:10" x14ac:dyDescent="0.3">
      <c r="J69311"/>
    </row>
    <row r="69312" spans="10:10" x14ac:dyDescent="0.3">
      <c r="J69312"/>
    </row>
    <row r="69313" spans="10:10" x14ac:dyDescent="0.3">
      <c r="J69313"/>
    </row>
    <row r="69314" spans="10:10" x14ac:dyDescent="0.3">
      <c r="J69314"/>
    </row>
    <row r="69315" spans="10:10" x14ac:dyDescent="0.3">
      <c r="J69315"/>
    </row>
    <row r="69316" spans="10:10" x14ac:dyDescent="0.3">
      <c r="J69316"/>
    </row>
    <row r="69317" spans="10:10" x14ac:dyDescent="0.3">
      <c r="J69317"/>
    </row>
    <row r="69318" spans="10:10" x14ac:dyDescent="0.3">
      <c r="J69318"/>
    </row>
    <row r="69319" spans="10:10" x14ac:dyDescent="0.3">
      <c r="J69319"/>
    </row>
    <row r="69320" spans="10:10" x14ac:dyDescent="0.3">
      <c r="J69320"/>
    </row>
    <row r="69321" spans="10:10" x14ac:dyDescent="0.3">
      <c r="J69321"/>
    </row>
    <row r="69322" spans="10:10" x14ac:dyDescent="0.3">
      <c r="J69322"/>
    </row>
    <row r="69323" spans="10:10" x14ac:dyDescent="0.3">
      <c r="J69323"/>
    </row>
    <row r="69324" spans="10:10" x14ac:dyDescent="0.3">
      <c r="J69324"/>
    </row>
    <row r="69325" spans="10:10" x14ac:dyDescent="0.3">
      <c r="J69325"/>
    </row>
    <row r="69326" spans="10:10" x14ac:dyDescent="0.3">
      <c r="J69326"/>
    </row>
    <row r="69327" spans="10:10" x14ac:dyDescent="0.3">
      <c r="J69327"/>
    </row>
    <row r="69328" spans="10:10" x14ac:dyDescent="0.3">
      <c r="J69328"/>
    </row>
    <row r="69329" spans="10:10" x14ac:dyDescent="0.3">
      <c r="J69329"/>
    </row>
    <row r="69330" spans="10:10" x14ac:dyDescent="0.3">
      <c r="J69330"/>
    </row>
    <row r="69331" spans="10:10" x14ac:dyDescent="0.3">
      <c r="J69331"/>
    </row>
    <row r="69332" spans="10:10" x14ac:dyDescent="0.3">
      <c r="J69332"/>
    </row>
    <row r="69333" spans="10:10" x14ac:dyDescent="0.3">
      <c r="J69333"/>
    </row>
    <row r="69334" spans="10:10" x14ac:dyDescent="0.3">
      <c r="J69334"/>
    </row>
    <row r="69335" spans="10:10" x14ac:dyDescent="0.3">
      <c r="J69335"/>
    </row>
    <row r="69336" spans="10:10" x14ac:dyDescent="0.3">
      <c r="J69336"/>
    </row>
    <row r="69337" spans="10:10" x14ac:dyDescent="0.3">
      <c r="J69337"/>
    </row>
    <row r="69338" spans="10:10" x14ac:dyDescent="0.3">
      <c r="J69338"/>
    </row>
    <row r="69339" spans="10:10" x14ac:dyDescent="0.3">
      <c r="J69339"/>
    </row>
    <row r="69340" spans="10:10" x14ac:dyDescent="0.3">
      <c r="J69340"/>
    </row>
    <row r="69341" spans="10:10" x14ac:dyDescent="0.3">
      <c r="J69341"/>
    </row>
    <row r="69342" spans="10:10" x14ac:dyDescent="0.3">
      <c r="J69342"/>
    </row>
    <row r="69343" spans="10:10" x14ac:dyDescent="0.3">
      <c r="J69343"/>
    </row>
    <row r="69344" spans="10:10" x14ac:dyDescent="0.3">
      <c r="J69344"/>
    </row>
    <row r="69345" spans="10:10" x14ac:dyDescent="0.3">
      <c r="J69345"/>
    </row>
    <row r="69346" spans="10:10" x14ac:dyDescent="0.3">
      <c r="J69346"/>
    </row>
    <row r="69347" spans="10:10" x14ac:dyDescent="0.3">
      <c r="J69347"/>
    </row>
    <row r="69348" spans="10:10" x14ac:dyDescent="0.3">
      <c r="J69348"/>
    </row>
    <row r="69349" spans="10:10" x14ac:dyDescent="0.3">
      <c r="J69349"/>
    </row>
    <row r="69350" spans="10:10" x14ac:dyDescent="0.3">
      <c r="J69350"/>
    </row>
    <row r="69351" spans="10:10" x14ac:dyDescent="0.3">
      <c r="J69351"/>
    </row>
    <row r="69352" spans="10:10" x14ac:dyDescent="0.3">
      <c r="J69352"/>
    </row>
    <row r="69353" spans="10:10" x14ac:dyDescent="0.3">
      <c r="J69353"/>
    </row>
    <row r="69354" spans="10:10" x14ac:dyDescent="0.3">
      <c r="J69354"/>
    </row>
    <row r="69355" spans="10:10" x14ac:dyDescent="0.3">
      <c r="J69355"/>
    </row>
    <row r="69356" spans="10:10" x14ac:dyDescent="0.3">
      <c r="J69356"/>
    </row>
    <row r="69357" spans="10:10" x14ac:dyDescent="0.3">
      <c r="J69357"/>
    </row>
    <row r="69358" spans="10:10" x14ac:dyDescent="0.3">
      <c r="J69358"/>
    </row>
    <row r="69359" spans="10:10" x14ac:dyDescent="0.3">
      <c r="J69359"/>
    </row>
    <row r="69360" spans="10:10" x14ac:dyDescent="0.3">
      <c r="J69360"/>
    </row>
    <row r="69361" spans="10:10" x14ac:dyDescent="0.3">
      <c r="J69361"/>
    </row>
    <row r="69362" spans="10:10" x14ac:dyDescent="0.3">
      <c r="J69362"/>
    </row>
    <row r="69363" spans="10:10" x14ac:dyDescent="0.3">
      <c r="J69363"/>
    </row>
    <row r="69364" spans="10:10" x14ac:dyDescent="0.3">
      <c r="J69364"/>
    </row>
    <row r="69365" spans="10:10" x14ac:dyDescent="0.3">
      <c r="J69365"/>
    </row>
    <row r="69366" spans="10:10" x14ac:dyDescent="0.3">
      <c r="J69366"/>
    </row>
    <row r="69367" spans="10:10" x14ac:dyDescent="0.3">
      <c r="J69367"/>
    </row>
    <row r="69368" spans="10:10" x14ac:dyDescent="0.3">
      <c r="J69368"/>
    </row>
    <row r="69369" spans="10:10" x14ac:dyDescent="0.3">
      <c r="J69369"/>
    </row>
    <row r="69370" spans="10:10" x14ac:dyDescent="0.3">
      <c r="J69370"/>
    </row>
    <row r="69371" spans="10:10" x14ac:dyDescent="0.3">
      <c r="J69371"/>
    </row>
    <row r="69372" spans="10:10" x14ac:dyDescent="0.3">
      <c r="J69372"/>
    </row>
    <row r="69373" spans="10:10" x14ac:dyDescent="0.3">
      <c r="J69373"/>
    </row>
    <row r="69374" spans="10:10" x14ac:dyDescent="0.3">
      <c r="J69374"/>
    </row>
    <row r="69375" spans="10:10" x14ac:dyDescent="0.3">
      <c r="J69375"/>
    </row>
    <row r="69376" spans="10:10" x14ac:dyDescent="0.3">
      <c r="J69376"/>
    </row>
    <row r="69377" spans="10:10" x14ac:dyDescent="0.3">
      <c r="J69377"/>
    </row>
    <row r="69378" spans="10:10" x14ac:dyDescent="0.3">
      <c r="J69378"/>
    </row>
    <row r="69379" spans="10:10" x14ac:dyDescent="0.3">
      <c r="J69379"/>
    </row>
    <row r="69380" spans="10:10" x14ac:dyDescent="0.3">
      <c r="J69380"/>
    </row>
    <row r="69381" spans="10:10" x14ac:dyDescent="0.3">
      <c r="J69381"/>
    </row>
    <row r="69382" spans="10:10" x14ac:dyDescent="0.3">
      <c r="J69382"/>
    </row>
    <row r="69383" spans="10:10" x14ac:dyDescent="0.3">
      <c r="J69383"/>
    </row>
    <row r="69384" spans="10:10" x14ac:dyDescent="0.3">
      <c r="J69384"/>
    </row>
    <row r="69385" spans="10:10" x14ac:dyDescent="0.3">
      <c r="J69385"/>
    </row>
    <row r="69386" spans="10:10" x14ac:dyDescent="0.3">
      <c r="J69386"/>
    </row>
    <row r="69387" spans="10:10" x14ac:dyDescent="0.3">
      <c r="J69387"/>
    </row>
    <row r="69388" spans="10:10" x14ac:dyDescent="0.3">
      <c r="J69388"/>
    </row>
    <row r="69389" spans="10:10" x14ac:dyDescent="0.3">
      <c r="J69389"/>
    </row>
    <row r="69390" spans="10:10" x14ac:dyDescent="0.3">
      <c r="J69390"/>
    </row>
    <row r="69391" spans="10:10" x14ac:dyDescent="0.3">
      <c r="J69391"/>
    </row>
    <row r="69392" spans="10:10" x14ac:dyDescent="0.3">
      <c r="J69392"/>
    </row>
    <row r="69393" spans="10:10" x14ac:dyDescent="0.3">
      <c r="J69393"/>
    </row>
    <row r="69394" spans="10:10" x14ac:dyDescent="0.3">
      <c r="J69394"/>
    </row>
    <row r="69395" spans="10:10" x14ac:dyDescent="0.3">
      <c r="J69395"/>
    </row>
    <row r="69396" spans="10:10" x14ac:dyDescent="0.3">
      <c r="J69396"/>
    </row>
    <row r="69397" spans="10:10" x14ac:dyDescent="0.3">
      <c r="J69397"/>
    </row>
    <row r="69398" spans="10:10" x14ac:dyDescent="0.3">
      <c r="J69398"/>
    </row>
    <row r="69399" spans="10:10" x14ac:dyDescent="0.3">
      <c r="J69399"/>
    </row>
    <row r="69400" spans="10:10" x14ac:dyDescent="0.3">
      <c r="J69400"/>
    </row>
    <row r="69401" spans="10:10" x14ac:dyDescent="0.3">
      <c r="J69401"/>
    </row>
    <row r="69402" spans="10:10" x14ac:dyDescent="0.3">
      <c r="J69402"/>
    </row>
    <row r="69403" spans="10:10" x14ac:dyDescent="0.3">
      <c r="J69403"/>
    </row>
    <row r="69404" spans="10:10" x14ac:dyDescent="0.3">
      <c r="J69404"/>
    </row>
    <row r="69405" spans="10:10" x14ac:dyDescent="0.3">
      <c r="J69405"/>
    </row>
    <row r="69406" spans="10:10" x14ac:dyDescent="0.3">
      <c r="J69406"/>
    </row>
    <row r="69407" spans="10:10" x14ac:dyDescent="0.3">
      <c r="J69407"/>
    </row>
    <row r="69408" spans="10:10" x14ac:dyDescent="0.3">
      <c r="J69408"/>
    </row>
    <row r="69409" spans="10:10" x14ac:dyDescent="0.3">
      <c r="J69409"/>
    </row>
    <row r="69410" spans="10:10" x14ac:dyDescent="0.3">
      <c r="J69410"/>
    </row>
    <row r="69411" spans="10:10" x14ac:dyDescent="0.3">
      <c r="J69411"/>
    </row>
    <row r="69412" spans="10:10" x14ac:dyDescent="0.3">
      <c r="J69412"/>
    </row>
    <row r="69413" spans="10:10" x14ac:dyDescent="0.3">
      <c r="J69413"/>
    </row>
    <row r="69414" spans="10:10" x14ac:dyDescent="0.3">
      <c r="J69414"/>
    </row>
    <row r="69415" spans="10:10" x14ac:dyDescent="0.3">
      <c r="J69415"/>
    </row>
    <row r="69416" spans="10:10" x14ac:dyDescent="0.3">
      <c r="J69416"/>
    </row>
    <row r="69417" spans="10:10" x14ac:dyDescent="0.3">
      <c r="J69417"/>
    </row>
    <row r="69418" spans="10:10" x14ac:dyDescent="0.3">
      <c r="J69418"/>
    </row>
    <row r="69419" spans="10:10" x14ac:dyDescent="0.3">
      <c r="J69419"/>
    </row>
    <row r="69420" spans="10:10" x14ac:dyDescent="0.3">
      <c r="J69420"/>
    </row>
    <row r="69421" spans="10:10" x14ac:dyDescent="0.3">
      <c r="J69421"/>
    </row>
    <row r="69422" spans="10:10" x14ac:dyDescent="0.3">
      <c r="J69422"/>
    </row>
    <row r="69423" spans="10:10" x14ac:dyDescent="0.3">
      <c r="J69423"/>
    </row>
    <row r="69424" spans="10:10" x14ac:dyDescent="0.3">
      <c r="J69424"/>
    </row>
    <row r="69425" spans="10:10" x14ac:dyDescent="0.3">
      <c r="J69425"/>
    </row>
    <row r="69426" spans="10:10" x14ac:dyDescent="0.3">
      <c r="J69426"/>
    </row>
    <row r="69427" spans="10:10" x14ac:dyDescent="0.3">
      <c r="J69427"/>
    </row>
    <row r="69428" spans="10:10" x14ac:dyDescent="0.3">
      <c r="J69428"/>
    </row>
    <row r="69429" spans="10:10" x14ac:dyDescent="0.3">
      <c r="J69429"/>
    </row>
    <row r="69430" spans="10:10" x14ac:dyDescent="0.3">
      <c r="J69430"/>
    </row>
    <row r="69431" spans="10:10" x14ac:dyDescent="0.3">
      <c r="J69431"/>
    </row>
    <row r="69432" spans="10:10" x14ac:dyDescent="0.3">
      <c r="J69432"/>
    </row>
    <row r="69433" spans="10:10" x14ac:dyDescent="0.3">
      <c r="J69433"/>
    </row>
    <row r="69434" spans="10:10" x14ac:dyDescent="0.3">
      <c r="J69434"/>
    </row>
    <row r="69435" spans="10:10" x14ac:dyDescent="0.3">
      <c r="J69435"/>
    </row>
    <row r="69436" spans="10:10" x14ac:dyDescent="0.3">
      <c r="J69436"/>
    </row>
    <row r="69437" spans="10:10" x14ac:dyDescent="0.3">
      <c r="J69437"/>
    </row>
    <row r="69438" spans="10:10" x14ac:dyDescent="0.3">
      <c r="J69438"/>
    </row>
    <row r="69439" spans="10:10" x14ac:dyDescent="0.3">
      <c r="J69439"/>
    </row>
    <row r="69440" spans="10:10" x14ac:dyDescent="0.3">
      <c r="J69440"/>
    </row>
    <row r="69441" spans="10:10" x14ac:dyDescent="0.3">
      <c r="J69441"/>
    </row>
    <row r="69442" spans="10:10" x14ac:dyDescent="0.3">
      <c r="J69442"/>
    </row>
    <row r="69443" spans="10:10" x14ac:dyDescent="0.3">
      <c r="J69443"/>
    </row>
    <row r="69444" spans="10:10" x14ac:dyDescent="0.3">
      <c r="J69444"/>
    </row>
    <row r="69445" spans="10:10" x14ac:dyDescent="0.3">
      <c r="J69445"/>
    </row>
    <row r="69446" spans="10:10" x14ac:dyDescent="0.3">
      <c r="J69446"/>
    </row>
    <row r="69447" spans="10:10" x14ac:dyDescent="0.3">
      <c r="J69447"/>
    </row>
    <row r="69448" spans="10:10" x14ac:dyDescent="0.3">
      <c r="J69448"/>
    </row>
    <row r="69449" spans="10:10" x14ac:dyDescent="0.3">
      <c r="J69449"/>
    </row>
    <row r="69450" spans="10:10" x14ac:dyDescent="0.3">
      <c r="J69450"/>
    </row>
    <row r="69451" spans="10:10" x14ac:dyDescent="0.3">
      <c r="J69451"/>
    </row>
    <row r="69452" spans="10:10" x14ac:dyDescent="0.3">
      <c r="J69452"/>
    </row>
    <row r="69453" spans="10:10" x14ac:dyDescent="0.3">
      <c r="J69453"/>
    </row>
    <row r="69454" spans="10:10" x14ac:dyDescent="0.3">
      <c r="J69454"/>
    </row>
    <row r="69455" spans="10:10" x14ac:dyDescent="0.3">
      <c r="J69455"/>
    </row>
    <row r="69456" spans="10:10" x14ac:dyDescent="0.3">
      <c r="J69456"/>
    </row>
    <row r="69457" spans="10:10" x14ac:dyDescent="0.3">
      <c r="J69457"/>
    </row>
    <row r="69458" spans="10:10" x14ac:dyDescent="0.3">
      <c r="J69458"/>
    </row>
    <row r="69459" spans="10:10" x14ac:dyDescent="0.3">
      <c r="J69459"/>
    </row>
    <row r="69460" spans="10:10" x14ac:dyDescent="0.3">
      <c r="J69460"/>
    </row>
    <row r="69461" spans="10:10" x14ac:dyDescent="0.3">
      <c r="J69461"/>
    </row>
    <row r="69462" spans="10:10" x14ac:dyDescent="0.3">
      <c r="J69462"/>
    </row>
    <row r="69463" spans="10:10" x14ac:dyDescent="0.3">
      <c r="J69463"/>
    </row>
    <row r="69464" spans="10:10" x14ac:dyDescent="0.3">
      <c r="J69464"/>
    </row>
    <row r="69465" spans="10:10" x14ac:dyDescent="0.3">
      <c r="J69465"/>
    </row>
    <row r="69466" spans="10:10" x14ac:dyDescent="0.3">
      <c r="J69466"/>
    </row>
    <row r="69467" spans="10:10" x14ac:dyDescent="0.3">
      <c r="J69467"/>
    </row>
    <row r="69468" spans="10:10" x14ac:dyDescent="0.3">
      <c r="J69468"/>
    </row>
    <row r="69469" spans="10:10" x14ac:dyDescent="0.3">
      <c r="J69469"/>
    </row>
    <row r="69470" spans="10:10" x14ac:dyDescent="0.3">
      <c r="J69470"/>
    </row>
    <row r="69471" spans="10:10" x14ac:dyDescent="0.3">
      <c r="J69471"/>
    </row>
    <row r="69472" spans="10:10" x14ac:dyDescent="0.3">
      <c r="J69472"/>
    </row>
    <row r="69473" spans="10:10" x14ac:dyDescent="0.3">
      <c r="J69473"/>
    </row>
    <row r="69474" spans="10:10" x14ac:dyDescent="0.3">
      <c r="J69474"/>
    </row>
    <row r="69475" spans="10:10" x14ac:dyDescent="0.3">
      <c r="J69475"/>
    </row>
    <row r="69476" spans="10:10" x14ac:dyDescent="0.3">
      <c r="J69476"/>
    </row>
    <row r="69477" spans="10:10" x14ac:dyDescent="0.3">
      <c r="J69477"/>
    </row>
    <row r="69478" spans="10:10" x14ac:dyDescent="0.3">
      <c r="J69478"/>
    </row>
    <row r="69479" spans="10:10" x14ac:dyDescent="0.3">
      <c r="J69479"/>
    </row>
    <row r="69480" spans="10:10" x14ac:dyDescent="0.3">
      <c r="J69480"/>
    </row>
    <row r="69481" spans="10:10" x14ac:dyDescent="0.3">
      <c r="J69481"/>
    </row>
    <row r="69482" spans="10:10" x14ac:dyDescent="0.3">
      <c r="J69482"/>
    </row>
    <row r="69483" spans="10:10" x14ac:dyDescent="0.3">
      <c r="J69483"/>
    </row>
    <row r="69484" spans="10:10" x14ac:dyDescent="0.3">
      <c r="J69484"/>
    </row>
    <row r="69485" spans="10:10" x14ac:dyDescent="0.3">
      <c r="J69485"/>
    </row>
    <row r="69486" spans="10:10" x14ac:dyDescent="0.3">
      <c r="J69486"/>
    </row>
    <row r="69487" spans="10:10" x14ac:dyDescent="0.3">
      <c r="J69487"/>
    </row>
    <row r="69488" spans="10:10" x14ac:dyDescent="0.3">
      <c r="J69488"/>
    </row>
    <row r="69489" spans="10:10" x14ac:dyDescent="0.3">
      <c r="J69489"/>
    </row>
    <row r="69490" spans="10:10" x14ac:dyDescent="0.3">
      <c r="J69490"/>
    </row>
    <row r="69491" spans="10:10" x14ac:dyDescent="0.3">
      <c r="J69491"/>
    </row>
    <row r="69492" spans="10:10" x14ac:dyDescent="0.3">
      <c r="J69492"/>
    </row>
    <row r="69493" spans="10:10" x14ac:dyDescent="0.3">
      <c r="J69493"/>
    </row>
    <row r="69494" spans="10:10" x14ac:dyDescent="0.3">
      <c r="J69494"/>
    </row>
    <row r="69495" spans="10:10" x14ac:dyDescent="0.3">
      <c r="J69495"/>
    </row>
    <row r="69496" spans="10:10" x14ac:dyDescent="0.3">
      <c r="J69496"/>
    </row>
    <row r="69497" spans="10:10" x14ac:dyDescent="0.3">
      <c r="J69497"/>
    </row>
    <row r="69498" spans="10:10" x14ac:dyDescent="0.3">
      <c r="J69498"/>
    </row>
    <row r="69499" spans="10:10" x14ac:dyDescent="0.3">
      <c r="J69499"/>
    </row>
    <row r="69500" spans="10:10" x14ac:dyDescent="0.3">
      <c r="J69500"/>
    </row>
    <row r="69501" spans="10:10" x14ac:dyDescent="0.3">
      <c r="J69501"/>
    </row>
    <row r="69502" spans="10:10" x14ac:dyDescent="0.3">
      <c r="J69502"/>
    </row>
    <row r="69503" spans="10:10" x14ac:dyDescent="0.3">
      <c r="J69503"/>
    </row>
    <row r="69504" spans="10:10" x14ac:dyDescent="0.3">
      <c r="J69504"/>
    </row>
    <row r="69505" spans="10:10" x14ac:dyDescent="0.3">
      <c r="J69505"/>
    </row>
    <row r="69506" spans="10:10" x14ac:dyDescent="0.3">
      <c r="J69506"/>
    </row>
    <row r="69507" spans="10:10" x14ac:dyDescent="0.3">
      <c r="J69507"/>
    </row>
    <row r="69508" spans="10:10" x14ac:dyDescent="0.3">
      <c r="J69508"/>
    </row>
    <row r="69509" spans="10:10" x14ac:dyDescent="0.3">
      <c r="J69509"/>
    </row>
    <row r="69510" spans="10:10" x14ac:dyDescent="0.3">
      <c r="J69510"/>
    </row>
    <row r="69511" spans="10:10" x14ac:dyDescent="0.3">
      <c r="J69511"/>
    </row>
    <row r="69512" spans="10:10" x14ac:dyDescent="0.3">
      <c r="J69512"/>
    </row>
    <row r="69513" spans="10:10" x14ac:dyDescent="0.3">
      <c r="J69513"/>
    </row>
    <row r="69514" spans="10:10" x14ac:dyDescent="0.3">
      <c r="J69514"/>
    </row>
    <row r="69515" spans="10:10" x14ac:dyDescent="0.3">
      <c r="J69515"/>
    </row>
    <row r="69516" spans="10:10" x14ac:dyDescent="0.3">
      <c r="J69516"/>
    </row>
    <row r="69517" spans="10:10" x14ac:dyDescent="0.3">
      <c r="J69517"/>
    </row>
    <row r="69518" spans="10:10" x14ac:dyDescent="0.3">
      <c r="J69518"/>
    </row>
    <row r="69519" spans="10:10" x14ac:dyDescent="0.3">
      <c r="J69519"/>
    </row>
    <row r="69520" spans="10:10" x14ac:dyDescent="0.3">
      <c r="J69520"/>
    </row>
    <row r="69521" spans="10:10" x14ac:dyDescent="0.3">
      <c r="J69521"/>
    </row>
    <row r="69522" spans="10:10" x14ac:dyDescent="0.3">
      <c r="J69522"/>
    </row>
    <row r="69523" spans="10:10" x14ac:dyDescent="0.3">
      <c r="J69523"/>
    </row>
    <row r="69524" spans="10:10" x14ac:dyDescent="0.3">
      <c r="J69524"/>
    </row>
    <row r="69525" spans="10:10" x14ac:dyDescent="0.3">
      <c r="J69525"/>
    </row>
    <row r="69526" spans="10:10" x14ac:dyDescent="0.3">
      <c r="J69526"/>
    </row>
    <row r="69527" spans="10:10" x14ac:dyDescent="0.3">
      <c r="J69527"/>
    </row>
    <row r="69528" spans="10:10" x14ac:dyDescent="0.3">
      <c r="J69528"/>
    </row>
    <row r="69529" spans="10:10" x14ac:dyDescent="0.3">
      <c r="J69529"/>
    </row>
    <row r="69530" spans="10:10" x14ac:dyDescent="0.3">
      <c r="J69530"/>
    </row>
    <row r="69531" spans="10:10" x14ac:dyDescent="0.3">
      <c r="J69531"/>
    </row>
    <row r="69532" spans="10:10" x14ac:dyDescent="0.3">
      <c r="J69532"/>
    </row>
    <row r="69533" spans="10:10" x14ac:dyDescent="0.3">
      <c r="J69533"/>
    </row>
    <row r="69534" spans="10:10" x14ac:dyDescent="0.3">
      <c r="J69534"/>
    </row>
    <row r="69535" spans="10:10" x14ac:dyDescent="0.3">
      <c r="J69535"/>
    </row>
    <row r="69536" spans="10:10" x14ac:dyDescent="0.3">
      <c r="J69536"/>
    </row>
    <row r="69537" spans="10:10" x14ac:dyDescent="0.3">
      <c r="J69537"/>
    </row>
    <row r="69538" spans="10:10" x14ac:dyDescent="0.3">
      <c r="J69538"/>
    </row>
    <row r="69539" spans="10:10" x14ac:dyDescent="0.3">
      <c r="J69539"/>
    </row>
    <row r="69540" spans="10:10" x14ac:dyDescent="0.3">
      <c r="J69540"/>
    </row>
    <row r="69541" spans="10:10" x14ac:dyDescent="0.3">
      <c r="J69541"/>
    </row>
    <row r="69542" spans="10:10" x14ac:dyDescent="0.3">
      <c r="J69542"/>
    </row>
    <row r="69543" spans="10:10" x14ac:dyDescent="0.3">
      <c r="J69543"/>
    </row>
    <row r="69544" spans="10:10" x14ac:dyDescent="0.3">
      <c r="J69544"/>
    </row>
    <row r="69545" spans="10:10" x14ac:dyDescent="0.3">
      <c r="J69545"/>
    </row>
    <row r="69546" spans="10:10" x14ac:dyDescent="0.3">
      <c r="J69546"/>
    </row>
    <row r="69547" spans="10:10" x14ac:dyDescent="0.3">
      <c r="J69547"/>
    </row>
    <row r="69548" spans="10:10" x14ac:dyDescent="0.3">
      <c r="J69548"/>
    </row>
    <row r="69549" spans="10:10" x14ac:dyDescent="0.3">
      <c r="J69549"/>
    </row>
    <row r="69550" spans="10:10" x14ac:dyDescent="0.3">
      <c r="J69550"/>
    </row>
    <row r="69551" spans="10:10" x14ac:dyDescent="0.3">
      <c r="J69551"/>
    </row>
    <row r="69552" spans="10:10" x14ac:dyDescent="0.3">
      <c r="J69552"/>
    </row>
    <row r="69553" spans="10:10" x14ac:dyDescent="0.3">
      <c r="J69553"/>
    </row>
    <row r="69554" spans="10:10" x14ac:dyDescent="0.3">
      <c r="J69554"/>
    </row>
    <row r="69555" spans="10:10" x14ac:dyDescent="0.3">
      <c r="J69555"/>
    </row>
    <row r="69556" spans="10:10" x14ac:dyDescent="0.3">
      <c r="J69556"/>
    </row>
    <row r="69557" spans="10:10" x14ac:dyDescent="0.3">
      <c r="J69557"/>
    </row>
    <row r="69558" spans="10:10" x14ac:dyDescent="0.3">
      <c r="J69558"/>
    </row>
    <row r="69559" spans="10:10" x14ac:dyDescent="0.3">
      <c r="J69559"/>
    </row>
    <row r="69560" spans="10:10" x14ac:dyDescent="0.3">
      <c r="J69560"/>
    </row>
    <row r="69561" spans="10:10" x14ac:dyDescent="0.3">
      <c r="J69561"/>
    </row>
    <row r="69562" spans="10:10" x14ac:dyDescent="0.3">
      <c r="J69562"/>
    </row>
    <row r="69563" spans="10:10" x14ac:dyDescent="0.3">
      <c r="J69563"/>
    </row>
    <row r="69564" spans="10:10" x14ac:dyDescent="0.3">
      <c r="J69564"/>
    </row>
    <row r="69565" spans="10:10" x14ac:dyDescent="0.3">
      <c r="J69565"/>
    </row>
    <row r="69566" spans="10:10" x14ac:dyDescent="0.3">
      <c r="J69566"/>
    </row>
    <row r="69567" spans="10:10" x14ac:dyDescent="0.3">
      <c r="J69567"/>
    </row>
    <row r="69568" spans="10:10" x14ac:dyDescent="0.3">
      <c r="J69568"/>
    </row>
    <row r="69569" spans="10:10" x14ac:dyDescent="0.3">
      <c r="J69569"/>
    </row>
    <row r="69570" spans="10:10" x14ac:dyDescent="0.3">
      <c r="J69570"/>
    </row>
    <row r="69571" spans="10:10" x14ac:dyDescent="0.3">
      <c r="J69571"/>
    </row>
    <row r="69572" spans="10:10" x14ac:dyDescent="0.3">
      <c r="J69572"/>
    </row>
    <row r="69573" spans="10:10" x14ac:dyDescent="0.3">
      <c r="J69573"/>
    </row>
    <row r="69574" spans="10:10" x14ac:dyDescent="0.3">
      <c r="J69574"/>
    </row>
    <row r="69575" spans="10:10" x14ac:dyDescent="0.3">
      <c r="J69575"/>
    </row>
    <row r="69576" spans="10:10" x14ac:dyDescent="0.3">
      <c r="J69576"/>
    </row>
    <row r="69577" spans="10:10" x14ac:dyDescent="0.3">
      <c r="J69577"/>
    </row>
    <row r="69578" spans="10:10" x14ac:dyDescent="0.3">
      <c r="J69578"/>
    </row>
    <row r="69579" spans="10:10" x14ac:dyDescent="0.3">
      <c r="J69579"/>
    </row>
    <row r="69580" spans="10:10" x14ac:dyDescent="0.3">
      <c r="J69580"/>
    </row>
    <row r="69581" spans="10:10" x14ac:dyDescent="0.3">
      <c r="J69581"/>
    </row>
    <row r="69582" spans="10:10" x14ac:dyDescent="0.3">
      <c r="J69582"/>
    </row>
    <row r="69583" spans="10:10" x14ac:dyDescent="0.3">
      <c r="J69583"/>
    </row>
    <row r="69584" spans="10:10" x14ac:dyDescent="0.3">
      <c r="J69584"/>
    </row>
    <row r="69585" spans="10:10" x14ac:dyDescent="0.3">
      <c r="J69585"/>
    </row>
    <row r="69586" spans="10:10" x14ac:dyDescent="0.3">
      <c r="J69586"/>
    </row>
    <row r="69587" spans="10:10" x14ac:dyDescent="0.3">
      <c r="J69587"/>
    </row>
    <row r="69588" spans="10:10" x14ac:dyDescent="0.3">
      <c r="J69588"/>
    </row>
    <row r="69589" spans="10:10" x14ac:dyDescent="0.3">
      <c r="J69589"/>
    </row>
    <row r="69590" spans="10:10" x14ac:dyDescent="0.3">
      <c r="J69590"/>
    </row>
    <row r="69591" spans="10:10" x14ac:dyDescent="0.3">
      <c r="J69591"/>
    </row>
    <row r="69592" spans="10:10" x14ac:dyDescent="0.3">
      <c r="J69592"/>
    </row>
    <row r="69593" spans="10:10" x14ac:dyDescent="0.3">
      <c r="J69593"/>
    </row>
    <row r="69594" spans="10:10" x14ac:dyDescent="0.3">
      <c r="J69594"/>
    </row>
    <row r="69595" spans="10:10" x14ac:dyDescent="0.3">
      <c r="J69595"/>
    </row>
    <row r="69596" spans="10:10" x14ac:dyDescent="0.3">
      <c r="J69596"/>
    </row>
    <row r="69597" spans="10:10" x14ac:dyDescent="0.3">
      <c r="J69597"/>
    </row>
    <row r="69598" spans="10:10" x14ac:dyDescent="0.3">
      <c r="J69598"/>
    </row>
    <row r="69599" spans="10:10" x14ac:dyDescent="0.3">
      <c r="J69599"/>
    </row>
    <row r="69600" spans="10:10" x14ac:dyDescent="0.3">
      <c r="J69600"/>
    </row>
    <row r="69601" spans="10:10" x14ac:dyDescent="0.3">
      <c r="J69601"/>
    </row>
    <row r="69602" spans="10:10" x14ac:dyDescent="0.3">
      <c r="J69602"/>
    </row>
    <row r="69603" spans="10:10" x14ac:dyDescent="0.3">
      <c r="J69603"/>
    </row>
    <row r="69604" spans="10:10" x14ac:dyDescent="0.3">
      <c r="J69604"/>
    </row>
    <row r="69605" spans="10:10" x14ac:dyDescent="0.3">
      <c r="J69605"/>
    </row>
    <row r="69606" spans="10:10" x14ac:dyDescent="0.3">
      <c r="J69606"/>
    </row>
    <row r="69607" spans="10:10" x14ac:dyDescent="0.3">
      <c r="J69607"/>
    </row>
    <row r="69608" spans="10:10" x14ac:dyDescent="0.3">
      <c r="J69608"/>
    </row>
    <row r="69609" spans="10:10" x14ac:dyDescent="0.3">
      <c r="J69609"/>
    </row>
    <row r="69610" spans="10:10" x14ac:dyDescent="0.3">
      <c r="J69610"/>
    </row>
    <row r="69611" spans="10:10" x14ac:dyDescent="0.3">
      <c r="J69611"/>
    </row>
    <row r="69612" spans="10:10" x14ac:dyDescent="0.3">
      <c r="J69612"/>
    </row>
    <row r="69613" spans="10:10" x14ac:dyDescent="0.3">
      <c r="J69613"/>
    </row>
    <row r="69614" spans="10:10" x14ac:dyDescent="0.3">
      <c r="J69614"/>
    </row>
    <row r="69615" spans="10:10" x14ac:dyDescent="0.3">
      <c r="J69615"/>
    </row>
    <row r="69616" spans="10:10" x14ac:dyDescent="0.3">
      <c r="J69616"/>
    </row>
    <row r="69617" spans="10:10" x14ac:dyDescent="0.3">
      <c r="J69617"/>
    </row>
    <row r="69618" spans="10:10" x14ac:dyDescent="0.3">
      <c r="J69618"/>
    </row>
    <row r="69619" spans="10:10" x14ac:dyDescent="0.3">
      <c r="J69619"/>
    </row>
    <row r="69620" spans="10:10" x14ac:dyDescent="0.3">
      <c r="J69620"/>
    </row>
    <row r="69621" spans="10:10" x14ac:dyDescent="0.3">
      <c r="J69621"/>
    </row>
    <row r="69622" spans="10:10" x14ac:dyDescent="0.3">
      <c r="J69622"/>
    </row>
    <row r="69623" spans="10:10" x14ac:dyDescent="0.3">
      <c r="J69623"/>
    </row>
    <row r="69624" spans="10:10" x14ac:dyDescent="0.3">
      <c r="J69624"/>
    </row>
    <row r="69625" spans="10:10" x14ac:dyDescent="0.3">
      <c r="J69625"/>
    </row>
    <row r="69626" spans="10:10" x14ac:dyDescent="0.3">
      <c r="J69626"/>
    </row>
    <row r="69627" spans="10:10" x14ac:dyDescent="0.3">
      <c r="J69627"/>
    </row>
    <row r="69628" spans="10:10" x14ac:dyDescent="0.3">
      <c r="J69628"/>
    </row>
    <row r="69629" spans="10:10" x14ac:dyDescent="0.3">
      <c r="J69629"/>
    </row>
    <row r="69630" spans="10:10" x14ac:dyDescent="0.3">
      <c r="J69630"/>
    </row>
    <row r="69631" spans="10:10" x14ac:dyDescent="0.3">
      <c r="J69631"/>
    </row>
    <row r="69632" spans="10:10" x14ac:dyDescent="0.3">
      <c r="J69632"/>
    </row>
    <row r="69633" spans="10:10" x14ac:dyDescent="0.3">
      <c r="J69633"/>
    </row>
    <row r="69634" spans="10:10" x14ac:dyDescent="0.3">
      <c r="J69634"/>
    </row>
    <row r="69635" spans="10:10" x14ac:dyDescent="0.3">
      <c r="J69635"/>
    </row>
    <row r="69636" spans="10:10" x14ac:dyDescent="0.3">
      <c r="J69636"/>
    </row>
    <row r="69637" spans="10:10" x14ac:dyDescent="0.3">
      <c r="J69637"/>
    </row>
    <row r="69638" spans="10:10" x14ac:dyDescent="0.3">
      <c r="J69638"/>
    </row>
    <row r="69639" spans="10:10" x14ac:dyDescent="0.3">
      <c r="J69639"/>
    </row>
    <row r="69640" spans="10:10" x14ac:dyDescent="0.3">
      <c r="J69640"/>
    </row>
    <row r="69641" spans="10:10" x14ac:dyDescent="0.3">
      <c r="J69641"/>
    </row>
    <row r="69642" spans="10:10" x14ac:dyDescent="0.3">
      <c r="J69642"/>
    </row>
    <row r="69643" spans="10:10" x14ac:dyDescent="0.3">
      <c r="J69643"/>
    </row>
    <row r="69644" spans="10:10" x14ac:dyDescent="0.3">
      <c r="J69644"/>
    </row>
    <row r="69645" spans="10:10" x14ac:dyDescent="0.3">
      <c r="J69645"/>
    </row>
    <row r="69646" spans="10:10" x14ac:dyDescent="0.3">
      <c r="J69646"/>
    </row>
    <row r="69647" spans="10:10" x14ac:dyDescent="0.3">
      <c r="J69647"/>
    </row>
    <row r="69648" spans="10:10" x14ac:dyDescent="0.3">
      <c r="J69648"/>
    </row>
    <row r="69649" spans="10:10" x14ac:dyDescent="0.3">
      <c r="J69649"/>
    </row>
    <row r="69650" spans="10:10" x14ac:dyDescent="0.3">
      <c r="J69650"/>
    </row>
    <row r="69651" spans="10:10" x14ac:dyDescent="0.3">
      <c r="J69651"/>
    </row>
    <row r="69652" spans="10:10" x14ac:dyDescent="0.3">
      <c r="J69652"/>
    </row>
    <row r="69653" spans="10:10" x14ac:dyDescent="0.3">
      <c r="J69653"/>
    </row>
    <row r="69654" spans="10:10" x14ac:dyDescent="0.3">
      <c r="J69654"/>
    </row>
    <row r="69655" spans="10:10" x14ac:dyDescent="0.3">
      <c r="J69655"/>
    </row>
    <row r="69656" spans="10:10" x14ac:dyDescent="0.3">
      <c r="J69656"/>
    </row>
    <row r="69657" spans="10:10" x14ac:dyDescent="0.3">
      <c r="J69657"/>
    </row>
    <row r="69658" spans="10:10" x14ac:dyDescent="0.3">
      <c r="J69658"/>
    </row>
    <row r="69659" spans="10:10" x14ac:dyDescent="0.3">
      <c r="J69659"/>
    </row>
    <row r="69660" spans="10:10" x14ac:dyDescent="0.3">
      <c r="J69660"/>
    </row>
    <row r="69661" spans="10:10" x14ac:dyDescent="0.3">
      <c r="J69661"/>
    </row>
    <row r="69662" spans="10:10" x14ac:dyDescent="0.3">
      <c r="J69662"/>
    </row>
    <row r="69663" spans="10:10" x14ac:dyDescent="0.3">
      <c r="J69663"/>
    </row>
    <row r="69664" spans="10:10" x14ac:dyDescent="0.3">
      <c r="J69664"/>
    </row>
    <row r="69665" spans="10:10" x14ac:dyDescent="0.3">
      <c r="J69665"/>
    </row>
    <row r="69666" spans="10:10" x14ac:dyDescent="0.3">
      <c r="J69666"/>
    </row>
    <row r="69667" spans="10:10" x14ac:dyDescent="0.3">
      <c r="J69667"/>
    </row>
    <row r="69668" spans="10:10" x14ac:dyDescent="0.3">
      <c r="J69668"/>
    </row>
    <row r="69669" spans="10:10" x14ac:dyDescent="0.3">
      <c r="J69669"/>
    </row>
    <row r="69670" spans="10:10" x14ac:dyDescent="0.3">
      <c r="J69670"/>
    </row>
    <row r="69671" spans="10:10" x14ac:dyDescent="0.3">
      <c r="J69671"/>
    </row>
    <row r="69672" spans="10:10" x14ac:dyDescent="0.3">
      <c r="J69672"/>
    </row>
    <row r="69673" spans="10:10" x14ac:dyDescent="0.3">
      <c r="J69673"/>
    </row>
    <row r="69674" spans="10:10" x14ac:dyDescent="0.3">
      <c r="J69674"/>
    </row>
    <row r="69675" spans="10:10" x14ac:dyDescent="0.3">
      <c r="J69675"/>
    </row>
    <row r="69676" spans="10:10" x14ac:dyDescent="0.3">
      <c r="J69676"/>
    </row>
    <row r="69677" spans="10:10" x14ac:dyDescent="0.3">
      <c r="J69677"/>
    </row>
    <row r="69678" spans="10:10" x14ac:dyDescent="0.3">
      <c r="J69678"/>
    </row>
    <row r="69679" spans="10:10" x14ac:dyDescent="0.3">
      <c r="J69679"/>
    </row>
    <row r="69680" spans="10:10" x14ac:dyDescent="0.3">
      <c r="J69680"/>
    </row>
    <row r="69681" spans="10:10" x14ac:dyDescent="0.3">
      <c r="J69681"/>
    </row>
    <row r="69682" spans="10:10" x14ac:dyDescent="0.3">
      <c r="J69682"/>
    </row>
    <row r="69683" spans="10:10" x14ac:dyDescent="0.3">
      <c r="J69683"/>
    </row>
    <row r="69684" spans="10:10" x14ac:dyDescent="0.3">
      <c r="J69684"/>
    </row>
    <row r="69685" spans="10:10" x14ac:dyDescent="0.3">
      <c r="J69685"/>
    </row>
    <row r="69686" spans="10:10" x14ac:dyDescent="0.3">
      <c r="J69686"/>
    </row>
    <row r="69687" spans="10:10" x14ac:dyDescent="0.3">
      <c r="J69687"/>
    </row>
    <row r="69688" spans="10:10" x14ac:dyDescent="0.3">
      <c r="J69688"/>
    </row>
    <row r="69689" spans="10:10" x14ac:dyDescent="0.3">
      <c r="J69689"/>
    </row>
    <row r="69690" spans="10:10" x14ac:dyDescent="0.3">
      <c r="J69690"/>
    </row>
    <row r="69691" spans="10:10" x14ac:dyDescent="0.3">
      <c r="J69691"/>
    </row>
    <row r="69692" spans="10:10" x14ac:dyDescent="0.3">
      <c r="J69692"/>
    </row>
    <row r="69693" spans="10:10" x14ac:dyDescent="0.3">
      <c r="J69693"/>
    </row>
    <row r="69694" spans="10:10" x14ac:dyDescent="0.3">
      <c r="J69694"/>
    </row>
    <row r="69695" spans="10:10" x14ac:dyDescent="0.3">
      <c r="J69695"/>
    </row>
    <row r="69696" spans="10:10" x14ac:dyDescent="0.3">
      <c r="J69696"/>
    </row>
    <row r="69697" spans="10:10" x14ac:dyDescent="0.3">
      <c r="J69697"/>
    </row>
    <row r="69698" spans="10:10" x14ac:dyDescent="0.3">
      <c r="J69698"/>
    </row>
    <row r="69699" spans="10:10" x14ac:dyDescent="0.3">
      <c r="J69699"/>
    </row>
    <row r="69700" spans="10:10" x14ac:dyDescent="0.3">
      <c r="J69700"/>
    </row>
    <row r="69701" spans="10:10" x14ac:dyDescent="0.3">
      <c r="J69701"/>
    </row>
    <row r="69702" spans="10:10" x14ac:dyDescent="0.3">
      <c r="J69702"/>
    </row>
    <row r="69703" spans="10:10" x14ac:dyDescent="0.3">
      <c r="J69703"/>
    </row>
    <row r="69704" spans="10:10" x14ac:dyDescent="0.3">
      <c r="J69704"/>
    </row>
    <row r="69705" spans="10:10" x14ac:dyDescent="0.3">
      <c r="J69705"/>
    </row>
    <row r="69706" spans="10:10" x14ac:dyDescent="0.3">
      <c r="J69706"/>
    </row>
    <row r="69707" spans="10:10" x14ac:dyDescent="0.3">
      <c r="J69707"/>
    </row>
    <row r="69708" spans="10:10" x14ac:dyDescent="0.3">
      <c r="J69708"/>
    </row>
    <row r="69709" spans="10:10" x14ac:dyDescent="0.3">
      <c r="J69709"/>
    </row>
    <row r="69710" spans="10:10" x14ac:dyDescent="0.3">
      <c r="J69710"/>
    </row>
    <row r="69711" spans="10:10" x14ac:dyDescent="0.3">
      <c r="J69711"/>
    </row>
    <row r="69712" spans="10:10" x14ac:dyDescent="0.3">
      <c r="J69712"/>
    </row>
    <row r="69713" spans="10:10" x14ac:dyDescent="0.3">
      <c r="J69713"/>
    </row>
    <row r="69714" spans="10:10" x14ac:dyDescent="0.3">
      <c r="J69714"/>
    </row>
    <row r="69715" spans="10:10" x14ac:dyDescent="0.3">
      <c r="J69715"/>
    </row>
    <row r="69716" spans="10:10" x14ac:dyDescent="0.3">
      <c r="J69716"/>
    </row>
    <row r="69717" spans="10:10" x14ac:dyDescent="0.3">
      <c r="J69717"/>
    </row>
    <row r="69718" spans="10:10" x14ac:dyDescent="0.3">
      <c r="J69718"/>
    </row>
    <row r="69719" spans="10:10" x14ac:dyDescent="0.3">
      <c r="J69719"/>
    </row>
    <row r="69720" spans="10:10" x14ac:dyDescent="0.3">
      <c r="J69720"/>
    </row>
    <row r="69721" spans="10:10" x14ac:dyDescent="0.3">
      <c r="J69721"/>
    </row>
    <row r="69722" spans="10:10" x14ac:dyDescent="0.3">
      <c r="J69722"/>
    </row>
    <row r="69723" spans="10:10" x14ac:dyDescent="0.3">
      <c r="J69723"/>
    </row>
    <row r="69724" spans="10:10" x14ac:dyDescent="0.3">
      <c r="J69724"/>
    </row>
    <row r="69725" spans="10:10" x14ac:dyDescent="0.3">
      <c r="J69725"/>
    </row>
    <row r="69726" spans="10:10" x14ac:dyDescent="0.3">
      <c r="J69726"/>
    </row>
    <row r="69727" spans="10:10" x14ac:dyDescent="0.3">
      <c r="J69727"/>
    </row>
    <row r="69728" spans="10:10" x14ac:dyDescent="0.3">
      <c r="J69728"/>
    </row>
    <row r="69729" spans="10:10" x14ac:dyDescent="0.3">
      <c r="J69729"/>
    </row>
    <row r="69730" spans="10:10" x14ac:dyDescent="0.3">
      <c r="J69730"/>
    </row>
    <row r="69731" spans="10:10" x14ac:dyDescent="0.3">
      <c r="J69731"/>
    </row>
    <row r="69732" spans="10:10" x14ac:dyDescent="0.3">
      <c r="J69732"/>
    </row>
    <row r="69733" spans="10:10" x14ac:dyDescent="0.3">
      <c r="J69733"/>
    </row>
    <row r="69734" spans="10:10" x14ac:dyDescent="0.3">
      <c r="J69734"/>
    </row>
    <row r="69735" spans="10:10" x14ac:dyDescent="0.3">
      <c r="J69735"/>
    </row>
    <row r="69736" spans="10:10" x14ac:dyDescent="0.3">
      <c r="J69736"/>
    </row>
    <row r="69737" spans="10:10" x14ac:dyDescent="0.3">
      <c r="J69737"/>
    </row>
    <row r="69738" spans="10:10" x14ac:dyDescent="0.3">
      <c r="J69738"/>
    </row>
    <row r="69739" spans="10:10" x14ac:dyDescent="0.3">
      <c r="J69739"/>
    </row>
    <row r="69740" spans="10:10" x14ac:dyDescent="0.3">
      <c r="J69740"/>
    </row>
    <row r="69741" spans="10:10" x14ac:dyDescent="0.3">
      <c r="J69741"/>
    </row>
    <row r="69742" spans="10:10" x14ac:dyDescent="0.3">
      <c r="J69742"/>
    </row>
    <row r="69743" spans="10:10" x14ac:dyDescent="0.3">
      <c r="J69743"/>
    </row>
    <row r="69744" spans="10:10" x14ac:dyDescent="0.3">
      <c r="J69744"/>
    </row>
    <row r="69745" spans="10:10" x14ac:dyDescent="0.3">
      <c r="J69745"/>
    </row>
    <row r="69746" spans="10:10" x14ac:dyDescent="0.3">
      <c r="J69746"/>
    </row>
    <row r="69747" spans="10:10" x14ac:dyDescent="0.3">
      <c r="J69747"/>
    </row>
    <row r="69748" spans="10:10" x14ac:dyDescent="0.3">
      <c r="J69748"/>
    </row>
    <row r="69749" spans="10:10" x14ac:dyDescent="0.3">
      <c r="J69749"/>
    </row>
    <row r="69750" spans="10:10" x14ac:dyDescent="0.3">
      <c r="J69750"/>
    </row>
    <row r="69751" spans="10:10" x14ac:dyDescent="0.3">
      <c r="J69751"/>
    </row>
    <row r="69752" spans="10:10" x14ac:dyDescent="0.3">
      <c r="J69752"/>
    </row>
    <row r="69753" spans="10:10" x14ac:dyDescent="0.3">
      <c r="J69753"/>
    </row>
    <row r="69754" spans="10:10" x14ac:dyDescent="0.3">
      <c r="J69754"/>
    </row>
    <row r="69755" spans="10:10" x14ac:dyDescent="0.3">
      <c r="J69755"/>
    </row>
    <row r="69756" spans="10:10" x14ac:dyDescent="0.3">
      <c r="J69756"/>
    </row>
    <row r="69757" spans="10:10" x14ac:dyDescent="0.3">
      <c r="J69757"/>
    </row>
    <row r="69758" spans="10:10" x14ac:dyDescent="0.3">
      <c r="J69758"/>
    </row>
    <row r="69759" spans="10:10" x14ac:dyDescent="0.3">
      <c r="J69759"/>
    </row>
    <row r="69760" spans="10:10" x14ac:dyDescent="0.3">
      <c r="J69760"/>
    </row>
    <row r="69761" spans="10:10" x14ac:dyDescent="0.3">
      <c r="J69761"/>
    </row>
    <row r="69762" spans="10:10" x14ac:dyDescent="0.3">
      <c r="J69762"/>
    </row>
    <row r="69763" spans="10:10" x14ac:dyDescent="0.3">
      <c r="J69763"/>
    </row>
    <row r="69764" spans="10:10" x14ac:dyDescent="0.3">
      <c r="J69764"/>
    </row>
    <row r="69765" spans="10:10" x14ac:dyDescent="0.3">
      <c r="J69765"/>
    </row>
    <row r="69766" spans="10:10" x14ac:dyDescent="0.3">
      <c r="J69766"/>
    </row>
    <row r="69767" spans="10:10" x14ac:dyDescent="0.3">
      <c r="J69767"/>
    </row>
    <row r="69768" spans="10:10" x14ac:dyDescent="0.3">
      <c r="J69768"/>
    </row>
    <row r="69769" spans="10:10" x14ac:dyDescent="0.3">
      <c r="J69769"/>
    </row>
    <row r="69770" spans="10:10" x14ac:dyDescent="0.3">
      <c r="J69770"/>
    </row>
    <row r="69771" spans="10:10" x14ac:dyDescent="0.3">
      <c r="J69771"/>
    </row>
    <row r="69772" spans="10:10" x14ac:dyDescent="0.3">
      <c r="J69772"/>
    </row>
    <row r="69773" spans="10:10" x14ac:dyDescent="0.3">
      <c r="J69773"/>
    </row>
    <row r="69774" spans="10:10" x14ac:dyDescent="0.3">
      <c r="J69774"/>
    </row>
    <row r="69775" spans="10:10" x14ac:dyDescent="0.3">
      <c r="J69775"/>
    </row>
    <row r="69776" spans="10:10" x14ac:dyDescent="0.3">
      <c r="J69776"/>
    </row>
    <row r="69777" spans="10:10" x14ac:dyDescent="0.3">
      <c r="J69777"/>
    </row>
    <row r="69778" spans="10:10" x14ac:dyDescent="0.3">
      <c r="J69778"/>
    </row>
    <row r="69779" spans="10:10" x14ac:dyDescent="0.3">
      <c r="J69779"/>
    </row>
    <row r="69780" spans="10:10" x14ac:dyDescent="0.3">
      <c r="J69780"/>
    </row>
    <row r="69781" spans="10:10" x14ac:dyDescent="0.3">
      <c r="J69781"/>
    </row>
    <row r="69782" spans="10:10" x14ac:dyDescent="0.3">
      <c r="J69782"/>
    </row>
    <row r="69783" spans="10:10" x14ac:dyDescent="0.3">
      <c r="J69783"/>
    </row>
    <row r="69784" spans="10:10" x14ac:dyDescent="0.3">
      <c r="J69784"/>
    </row>
    <row r="69785" spans="10:10" x14ac:dyDescent="0.3">
      <c r="J69785"/>
    </row>
    <row r="69786" spans="10:10" x14ac:dyDescent="0.3">
      <c r="J69786"/>
    </row>
    <row r="69787" spans="10:10" x14ac:dyDescent="0.3">
      <c r="J69787"/>
    </row>
    <row r="69788" spans="10:10" x14ac:dyDescent="0.3">
      <c r="J69788"/>
    </row>
    <row r="69789" spans="10:10" x14ac:dyDescent="0.3">
      <c r="J69789"/>
    </row>
    <row r="69790" spans="10:10" x14ac:dyDescent="0.3">
      <c r="J69790"/>
    </row>
    <row r="69791" spans="10:10" x14ac:dyDescent="0.3">
      <c r="J69791"/>
    </row>
    <row r="69792" spans="10:10" x14ac:dyDescent="0.3">
      <c r="J69792"/>
    </row>
    <row r="69793" spans="10:10" x14ac:dyDescent="0.3">
      <c r="J69793"/>
    </row>
    <row r="69794" spans="10:10" x14ac:dyDescent="0.3">
      <c r="J69794"/>
    </row>
    <row r="69795" spans="10:10" x14ac:dyDescent="0.3">
      <c r="J69795"/>
    </row>
    <row r="69796" spans="10:10" x14ac:dyDescent="0.3">
      <c r="J69796"/>
    </row>
    <row r="69797" spans="10:10" x14ac:dyDescent="0.3">
      <c r="J69797"/>
    </row>
    <row r="69798" spans="10:10" x14ac:dyDescent="0.3">
      <c r="J69798"/>
    </row>
    <row r="69799" spans="10:10" x14ac:dyDescent="0.3">
      <c r="J69799"/>
    </row>
    <row r="69800" spans="10:10" x14ac:dyDescent="0.3">
      <c r="J69800"/>
    </row>
    <row r="69801" spans="10:10" x14ac:dyDescent="0.3">
      <c r="J69801"/>
    </row>
    <row r="69802" spans="10:10" x14ac:dyDescent="0.3">
      <c r="J69802"/>
    </row>
    <row r="69803" spans="10:10" x14ac:dyDescent="0.3">
      <c r="J69803"/>
    </row>
    <row r="69804" spans="10:10" x14ac:dyDescent="0.3">
      <c r="J69804"/>
    </row>
    <row r="69805" spans="10:10" x14ac:dyDescent="0.3">
      <c r="J69805"/>
    </row>
    <row r="69806" spans="10:10" x14ac:dyDescent="0.3">
      <c r="J69806"/>
    </row>
    <row r="69807" spans="10:10" x14ac:dyDescent="0.3">
      <c r="J69807"/>
    </row>
    <row r="69808" spans="10:10" x14ac:dyDescent="0.3">
      <c r="J69808"/>
    </row>
    <row r="69809" spans="10:10" x14ac:dyDescent="0.3">
      <c r="J69809"/>
    </row>
    <row r="69810" spans="10:10" x14ac:dyDescent="0.3">
      <c r="J69810"/>
    </row>
    <row r="69811" spans="10:10" x14ac:dyDescent="0.3">
      <c r="J69811"/>
    </row>
    <row r="69812" spans="10:10" x14ac:dyDescent="0.3">
      <c r="J69812"/>
    </row>
    <row r="69813" spans="10:10" x14ac:dyDescent="0.3">
      <c r="J69813"/>
    </row>
    <row r="69814" spans="10:10" x14ac:dyDescent="0.3">
      <c r="J69814"/>
    </row>
    <row r="69815" spans="10:10" x14ac:dyDescent="0.3">
      <c r="J69815"/>
    </row>
    <row r="69816" spans="10:10" x14ac:dyDescent="0.3">
      <c r="J69816"/>
    </row>
    <row r="69817" spans="10:10" x14ac:dyDescent="0.3">
      <c r="J69817"/>
    </row>
    <row r="69818" spans="10:10" x14ac:dyDescent="0.3">
      <c r="J69818"/>
    </row>
    <row r="69819" spans="10:10" x14ac:dyDescent="0.3">
      <c r="J69819"/>
    </row>
    <row r="69820" spans="10:10" x14ac:dyDescent="0.3">
      <c r="J69820"/>
    </row>
    <row r="69821" spans="10:10" x14ac:dyDescent="0.3">
      <c r="J69821"/>
    </row>
    <row r="69822" spans="10:10" x14ac:dyDescent="0.3">
      <c r="J69822"/>
    </row>
    <row r="69823" spans="10:10" x14ac:dyDescent="0.3">
      <c r="J69823"/>
    </row>
    <row r="69824" spans="10:10" x14ac:dyDescent="0.3">
      <c r="J69824"/>
    </row>
    <row r="69825" spans="10:10" x14ac:dyDescent="0.3">
      <c r="J69825"/>
    </row>
    <row r="69826" spans="10:10" x14ac:dyDescent="0.3">
      <c r="J69826"/>
    </row>
    <row r="69827" spans="10:10" x14ac:dyDescent="0.3">
      <c r="J69827"/>
    </row>
    <row r="69828" spans="10:10" x14ac:dyDescent="0.3">
      <c r="J69828"/>
    </row>
    <row r="69829" spans="10:10" x14ac:dyDescent="0.3">
      <c r="J69829"/>
    </row>
    <row r="69830" spans="10:10" x14ac:dyDescent="0.3">
      <c r="J69830"/>
    </row>
    <row r="69831" spans="10:10" x14ac:dyDescent="0.3">
      <c r="J69831"/>
    </row>
    <row r="69832" spans="10:10" x14ac:dyDescent="0.3">
      <c r="J69832"/>
    </row>
    <row r="69833" spans="10:10" x14ac:dyDescent="0.3">
      <c r="J69833"/>
    </row>
    <row r="69834" spans="10:10" x14ac:dyDescent="0.3">
      <c r="J69834"/>
    </row>
    <row r="69835" spans="10:10" x14ac:dyDescent="0.3">
      <c r="J69835"/>
    </row>
    <row r="69836" spans="10:10" x14ac:dyDescent="0.3">
      <c r="J69836"/>
    </row>
    <row r="69837" spans="10:10" x14ac:dyDescent="0.3">
      <c r="J69837"/>
    </row>
    <row r="69838" spans="10:10" x14ac:dyDescent="0.3">
      <c r="J69838"/>
    </row>
    <row r="69839" spans="10:10" x14ac:dyDescent="0.3">
      <c r="J69839"/>
    </row>
    <row r="69840" spans="10:10" x14ac:dyDescent="0.3">
      <c r="J69840"/>
    </row>
    <row r="69841" spans="10:10" x14ac:dyDescent="0.3">
      <c r="J69841"/>
    </row>
    <row r="69842" spans="10:10" x14ac:dyDescent="0.3">
      <c r="J69842"/>
    </row>
    <row r="69843" spans="10:10" x14ac:dyDescent="0.3">
      <c r="J69843"/>
    </row>
    <row r="69844" spans="10:10" x14ac:dyDescent="0.3">
      <c r="J69844"/>
    </row>
    <row r="69845" spans="10:10" x14ac:dyDescent="0.3">
      <c r="J69845"/>
    </row>
    <row r="69846" spans="10:10" x14ac:dyDescent="0.3">
      <c r="J69846"/>
    </row>
    <row r="69847" spans="10:10" x14ac:dyDescent="0.3">
      <c r="J69847"/>
    </row>
    <row r="69848" spans="10:10" x14ac:dyDescent="0.3">
      <c r="J69848"/>
    </row>
    <row r="69849" spans="10:10" x14ac:dyDescent="0.3">
      <c r="J69849"/>
    </row>
    <row r="69850" spans="10:10" x14ac:dyDescent="0.3">
      <c r="J69850"/>
    </row>
    <row r="69851" spans="10:10" x14ac:dyDescent="0.3">
      <c r="J69851"/>
    </row>
    <row r="69852" spans="10:10" x14ac:dyDescent="0.3">
      <c r="J69852"/>
    </row>
    <row r="69853" spans="10:10" x14ac:dyDescent="0.3">
      <c r="J69853"/>
    </row>
    <row r="69854" spans="10:10" x14ac:dyDescent="0.3">
      <c r="J69854"/>
    </row>
    <row r="69855" spans="10:10" x14ac:dyDescent="0.3">
      <c r="J69855"/>
    </row>
    <row r="69856" spans="10:10" x14ac:dyDescent="0.3">
      <c r="J69856"/>
    </row>
    <row r="69857" spans="10:10" x14ac:dyDescent="0.3">
      <c r="J69857"/>
    </row>
    <row r="69858" spans="10:10" x14ac:dyDescent="0.3">
      <c r="J69858"/>
    </row>
    <row r="69859" spans="10:10" x14ac:dyDescent="0.3">
      <c r="J69859"/>
    </row>
    <row r="69860" spans="10:10" x14ac:dyDescent="0.3">
      <c r="J69860"/>
    </row>
    <row r="69861" spans="10:10" x14ac:dyDescent="0.3">
      <c r="J69861"/>
    </row>
    <row r="69862" spans="10:10" x14ac:dyDescent="0.3">
      <c r="J69862"/>
    </row>
    <row r="69863" spans="10:10" x14ac:dyDescent="0.3">
      <c r="J69863"/>
    </row>
    <row r="69864" spans="10:10" x14ac:dyDescent="0.3">
      <c r="J69864"/>
    </row>
    <row r="69865" spans="10:10" x14ac:dyDescent="0.3">
      <c r="J69865"/>
    </row>
    <row r="69866" spans="10:10" x14ac:dyDescent="0.3">
      <c r="J69866"/>
    </row>
    <row r="69867" spans="10:10" x14ac:dyDescent="0.3">
      <c r="J69867"/>
    </row>
    <row r="69868" spans="10:10" x14ac:dyDescent="0.3">
      <c r="J69868"/>
    </row>
    <row r="69869" spans="10:10" x14ac:dyDescent="0.3">
      <c r="J69869"/>
    </row>
    <row r="69870" spans="10:10" x14ac:dyDescent="0.3">
      <c r="J69870"/>
    </row>
    <row r="69871" spans="10:10" x14ac:dyDescent="0.3">
      <c r="J69871"/>
    </row>
    <row r="69872" spans="10:10" x14ac:dyDescent="0.3">
      <c r="J69872"/>
    </row>
    <row r="69873" spans="10:10" x14ac:dyDescent="0.3">
      <c r="J69873"/>
    </row>
    <row r="69874" spans="10:10" x14ac:dyDescent="0.3">
      <c r="J69874"/>
    </row>
    <row r="69875" spans="10:10" x14ac:dyDescent="0.3">
      <c r="J69875"/>
    </row>
    <row r="69876" spans="10:10" x14ac:dyDescent="0.3">
      <c r="J69876"/>
    </row>
    <row r="69877" spans="10:10" x14ac:dyDescent="0.3">
      <c r="J69877"/>
    </row>
    <row r="69878" spans="10:10" x14ac:dyDescent="0.3">
      <c r="J69878"/>
    </row>
    <row r="69879" spans="10:10" x14ac:dyDescent="0.3">
      <c r="J69879"/>
    </row>
    <row r="69880" spans="10:10" x14ac:dyDescent="0.3">
      <c r="J69880"/>
    </row>
    <row r="69881" spans="10:10" x14ac:dyDescent="0.3">
      <c r="J69881"/>
    </row>
    <row r="69882" spans="10:10" x14ac:dyDescent="0.3">
      <c r="J69882"/>
    </row>
    <row r="69883" spans="10:10" x14ac:dyDescent="0.3">
      <c r="J69883"/>
    </row>
    <row r="69884" spans="10:10" x14ac:dyDescent="0.3">
      <c r="J69884"/>
    </row>
    <row r="69885" spans="10:10" x14ac:dyDescent="0.3">
      <c r="J69885"/>
    </row>
    <row r="69886" spans="10:10" x14ac:dyDescent="0.3">
      <c r="J69886"/>
    </row>
    <row r="69887" spans="10:10" x14ac:dyDescent="0.3">
      <c r="J69887"/>
    </row>
    <row r="69888" spans="10:10" x14ac:dyDescent="0.3">
      <c r="J69888"/>
    </row>
    <row r="69889" spans="10:10" x14ac:dyDescent="0.3">
      <c r="J69889"/>
    </row>
    <row r="69890" spans="10:10" x14ac:dyDescent="0.3">
      <c r="J69890"/>
    </row>
    <row r="69891" spans="10:10" x14ac:dyDescent="0.3">
      <c r="J69891"/>
    </row>
    <row r="69892" spans="10:10" x14ac:dyDescent="0.3">
      <c r="J69892"/>
    </row>
    <row r="69893" spans="10:10" x14ac:dyDescent="0.3">
      <c r="J69893"/>
    </row>
    <row r="69894" spans="10:10" x14ac:dyDescent="0.3">
      <c r="J69894"/>
    </row>
    <row r="69895" spans="10:10" x14ac:dyDescent="0.3">
      <c r="J69895"/>
    </row>
    <row r="69896" spans="10:10" x14ac:dyDescent="0.3">
      <c r="J69896"/>
    </row>
    <row r="69897" spans="10:10" x14ac:dyDescent="0.3">
      <c r="J69897"/>
    </row>
    <row r="69898" spans="10:10" x14ac:dyDescent="0.3">
      <c r="J69898"/>
    </row>
    <row r="69899" spans="10:10" x14ac:dyDescent="0.3">
      <c r="J69899"/>
    </row>
    <row r="69900" spans="10:10" x14ac:dyDescent="0.3">
      <c r="J69900"/>
    </row>
    <row r="69901" spans="10:10" x14ac:dyDescent="0.3">
      <c r="J69901"/>
    </row>
    <row r="69902" spans="10:10" x14ac:dyDescent="0.3">
      <c r="J69902"/>
    </row>
    <row r="69903" spans="10:10" x14ac:dyDescent="0.3">
      <c r="J69903"/>
    </row>
    <row r="69904" spans="10:10" x14ac:dyDescent="0.3">
      <c r="J69904"/>
    </row>
    <row r="69905" spans="10:10" x14ac:dyDescent="0.3">
      <c r="J69905"/>
    </row>
    <row r="69906" spans="10:10" x14ac:dyDescent="0.3">
      <c r="J69906"/>
    </row>
    <row r="69907" spans="10:10" x14ac:dyDescent="0.3">
      <c r="J69907"/>
    </row>
    <row r="69908" spans="10:10" x14ac:dyDescent="0.3">
      <c r="J69908"/>
    </row>
    <row r="69909" spans="10:10" x14ac:dyDescent="0.3">
      <c r="J69909"/>
    </row>
    <row r="69910" spans="10:10" x14ac:dyDescent="0.3">
      <c r="J69910"/>
    </row>
    <row r="69911" spans="10:10" x14ac:dyDescent="0.3">
      <c r="J69911"/>
    </row>
    <row r="69912" spans="10:10" x14ac:dyDescent="0.3">
      <c r="J69912"/>
    </row>
    <row r="69913" spans="10:10" x14ac:dyDescent="0.3">
      <c r="J69913"/>
    </row>
    <row r="69914" spans="10:10" x14ac:dyDescent="0.3">
      <c r="J69914"/>
    </row>
    <row r="69915" spans="10:10" x14ac:dyDescent="0.3">
      <c r="J69915"/>
    </row>
    <row r="69916" spans="10:10" x14ac:dyDescent="0.3">
      <c r="J69916"/>
    </row>
    <row r="69917" spans="10:10" x14ac:dyDescent="0.3">
      <c r="J69917"/>
    </row>
    <row r="69918" spans="10:10" x14ac:dyDescent="0.3">
      <c r="J69918"/>
    </row>
    <row r="69919" spans="10:10" x14ac:dyDescent="0.3">
      <c r="J69919"/>
    </row>
    <row r="69920" spans="10:10" x14ac:dyDescent="0.3">
      <c r="J69920"/>
    </row>
    <row r="69921" spans="10:10" x14ac:dyDescent="0.3">
      <c r="J69921"/>
    </row>
    <row r="69922" spans="10:10" x14ac:dyDescent="0.3">
      <c r="J69922"/>
    </row>
    <row r="69923" spans="10:10" x14ac:dyDescent="0.3">
      <c r="J69923"/>
    </row>
    <row r="69924" spans="10:10" x14ac:dyDescent="0.3">
      <c r="J69924"/>
    </row>
    <row r="69925" spans="10:10" x14ac:dyDescent="0.3">
      <c r="J69925"/>
    </row>
    <row r="69926" spans="10:10" x14ac:dyDescent="0.3">
      <c r="J69926"/>
    </row>
    <row r="69927" spans="10:10" x14ac:dyDescent="0.3">
      <c r="J69927"/>
    </row>
    <row r="69928" spans="10:10" x14ac:dyDescent="0.3">
      <c r="J69928"/>
    </row>
    <row r="69929" spans="10:10" x14ac:dyDescent="0.3">
      <c r="J69929"/>
    </row>
    <row r="69930" spans="10:10" x14ac:dyDescent="0.3">
      <c r="J69930"/>
    </row>
    <row r="69931" spans="10:10" x14ac:dyDescent="0.3">
      <c r="J69931"/>
    </row>
    <row r="69932" spans="10:10" x14ac:dyDescent="0.3">
      <c r="J69932"/>
    </row>
    <row r="69933" spans="10:10" x14ac:dyDescent="0.3">
      <c r="J69933"/>
    </row>
    <row r="69934" spans="10:10" x14ac:dyDescent="0.3">
      <c r="J69934"/>
    </row>
    <row r="69935" spans="10:10" x14ac:dyDescent="0.3">
      <c r="J69935"/>
    </row>
    <row r="69936" spans="10:10" x14ac:dyDescent="0.3">
      <c r="J69936"/>
    </row>
    <row r="69937" spans="10:10" x14ac:dyDescent="0.3">
      <c r="J69937"/>
    </row>
    <row r="69938" spans="10:10" x14ac:dyDescent="0.3">
      <c r="J69938"/>
    </row>
    <row r="69939" spans="10:10" x14ac:dyDescent="0.3">
      <c r="J69939"/>
    </row>
    <row r="69940" spans="10:10" x14ac:dyDescent="0.3">
      <c r="J69940"/>
    </row>
    <row r="69941" spans="10:10" x14ac:dyDescent="0.3">
      <c r="J69941"/>
    </row>
    <row r="69942" spans="10:10" x14ac:dyDescent="0.3">
      <c r="J69942"/>
    </row>
    <row r="69943" spans="10:10" x14ac:dyDescent="0.3">
      <c r="J69943"/>
    </row>
    <row r="69944" spans="10:10" x14ac:dyDescent="0.3">
      <c r="J69944"/>
    </row>
    <row r="69945" spans="10:10" x14ac:dyDescent="0.3">
      <c r="J69945"/>
    </row>
    <row r="69946" spans="10:10" x14ac:dyDescent="0.3">
      <c r="J69946"/>
    </row>
    <row r="69947" spans="10:10" x14ac:dyDescent="0.3">
      <c r="J69947"/>
    </row>
    <row r="69948" spans="10:10" x14ac:dyDescent="0.3">
      <c r="J69948"/>
    </row>
    <row r="69949" spans="10:10" x14ac:dyDescent="0.3">
      <c r="J69949"/>
    </row>
    <row r="69950" spans="10:10" x14ac:dyDescent="0.3">
      <c r="J69950"/>
    </row>
    <row r="69951" spans="10:10" x14ac:dyDescent="0.3">
      <c r="J69951"/>
    </row>
    <row r="69952" spans="10:10" x14ac:dyDescent="0.3">
      <c r="J69952"/>
    </row>
    <row r="69953" spans="10:10" x14ac:dyDescent="0.3">
      <c r="J69953"/>
    </row>
    <row r="69954" spans="10:10" x14ac:dyDescent="0.3">
      <c r="J69954"/>
    </row>
    <row r="69955" spans="10:10" x14ac:dyDescent="0.3">
      <c r="J69955"/>
    </row>
    <row r="69956" spans="10:10" x14ac:dyDescent="0.3">
      <c r="J69956"/>
    </row>
    <row r="69957" spans="10:10" x14ac:dyDescent="0.3">
      <c r="J69957"/>
    </row>
    <row r="69958" spans="10:10" x14ac:dyDescent="0.3">
      <c r="J69958"/>
    </row>
    <row r="69959" spans="10:10" x14ac:dyDescent="0.3">
      <c r="J69959"/>
    </row>
    <row r="69960" spans="10:10" x14ac:dyDescent="0.3">
      <c r="J69960"/>
    </row>
    <row r="69961" spans="10:10" x14ac:dyDescent="0.3">
      <c r="J69961"/>
    </row>
    <row r="69962" spans="10:10" x14ac:dyDescent="0.3">
      <c r="J69962"/>
    </row>
    <row r="69963" spans="10:10" x14ac:dyDescent="0.3">
      <c r="J69963"/>
    </row>
    <row r="69964" spans="10:10" x14ac:dyDescent="0.3">
      <c r="J69964"/>
    </row>
    <row r="69965" spans="10:10" x14ac:dyDescent="0.3">
      <c r="J69965"/>
    </row>
    <row r="69966" spans="10:10" x14ac:dyDescent="0.3">
      <c r="J69966"/>
    </row>
    <row r="69967" spans="10:10" x14ac:dyDescent="0.3">
      <c r="J69967"/>
    </row>
    <row r="69968" spans="10:10" x14ac:dyDescent="0.3">
      <c r="J69968"/>
    </row>
    <row r="69969" spans="10:10" x14ac:dyDescent="0.3">
      <c r="J69969"/>
    </row>
    <row r="69970" spans="10:10" x14ac:dyDescent="0.3">
      <c r="J69970"/>
    </row>
    <row r="69971" spans="10:10" x14ac:dyDescent="0.3">
      <c r="J69971"/>
    </row>
    <row r="69972" spans="10:10" x14ac:dyDescent="0.3">
      <c r="J69972"/>
    </row>
    <row r="69973" spans="10:10" x14ac:dyDescent="0.3">
      <c r="J69973"/>
    </row>
    <row r="69974" spans="10:10" x14ac:dyDescent="0.3">
      <c r="J69974"/>
    </row>
    <row r="69975" spans="10:10" x14ac:dyDescent="0.3">
      <c r="J69975"/>
    </row>
    <row r="69976" spans="10:10" x14ac:dyDescent="0.3">
      <c r="J69976"/>
    </row>
    <row r="69977" spans="10:10" x14ac:dyDescent="0.3">
      <c r="J69977"/>
    </row>
    <row r="69978" spans="10:10" x14ac:dyDescent="0.3">
      <c r="J69978"/>
    </row>
    <row r="69979" spans="10:10" x14ac:dyDescent="0.3">
      <c r="J69979"/>
    </row>
    <row r="69980" spans="10:10" x14ac:dyDescent="0.3">
      <c r="J69980"/>
    </row>
    <row r="69981" spans="10:10" x14ac:dyDescent="0.3">
      <c r="J69981"/>
    </row>
    <row r="69982" spans="10:10" x14ac:dyDescent="0.3">
      <c r="J69982"/>
    </row>
    <row r="69983" spans="10:10" x14ac:dyDescent="0.3">
      <c r="J69983"/>
    </row>
    <row r="69984" spans="10:10" x14ac:dyDescent="0.3">
      <c r="J69984"/>
    </row>
    <row r="69985" spans="10:10" x14ac:dyDescent="0.3">
      <c r="J69985"/>
    </row>
    <row r="69986" spans="10:10" x14ac:dyDescent="0.3">
      <c r="J69986"/>
    </row>
    <row r="69987" spans="10:10" x14ac:dyDescent="0.3">
      <c r="J69987"/>
    </row>
    <row r="69988" spans="10:10" x14ac:dyDescent="0.3">
      <c r="J69988"/>
    </row>
    <row r="69989" spans="10:10" x14ac:dyDescent="0.3">
      <c r="J69989"/>
    </row>
    <row r="69990" spans="10:10" x14ac:dyDescent="0.3">
      <c r="J69990"/>
    </row>
    <row r="69991" spans="10:10" x14ac:dyDescent="0.3">
      <c r="J69991"/>
    </row>
    <row r="69992" spans="10:10" x14ac:dyDescent="0.3">
      <c r="J69992"/>
    </row>
    <row r="69993" spans="10:10" x14ac:dyDescent="0.3">
      <c r="J69993"/>
    </row>
    <row r="69994" spans="10:10" x14ac:dyDescent="0.3">
      <c r="J69994"/>
    </row>
    <row r="69995" spans="10:10" x14ac:dyDescent="0.3">
      <c r="J69995"/>
    </row>
    <row r="69996" spans="10:10" x14ac:dyDescent="0.3">
      <c r="J69996"/>
    </row>
    <row r="69997" spans="10:10" x14ac:dyDescent="0.3">
      <c r="J69997"/>
    </row>
    <row r="69998" spans="10:10" x14ac:dyDescent="0.3">
      <c r="J69998"/>
    </row>
    <row r="69999" spans="10:10" x14ac:dyDescent="0.3">
      <c r="J69999"/>
    </row>
    <row r="70000" spans="10:10" x14ac:dyDescent="0.3">
      <c r="J70000"/>
    </row>
    <row r="70001" spans="10:10" x14ac:dyDescent="0.3">
      <c r="J70001"/>
    </row>
    <row r="70002" spans="10:10" x14ac:dyDescent="0.3">
      <c r="J70002"/>
    </row>
    <row r="70003" spans="10:10" x14ac:dyDescent="0.3">
      <c r="J70003"/>
    </row>
    <row r="70004" spans="10:10" x14ac:dyDescent="0.3">
      <c r="J70004"/>
    </row>
    <row r="70005" spans="10:10" x14ac:dyDescent="0.3">
      <c r="J70005"/>
    </row>
    <row r="70006" spans="10:10" x14ac:dyDescent="0.3">
      <c r="J70006"/>
    </row>
    <row r="70007" spans="10:10" x14ac:dyDescent="0.3">
      <c r="J70007"/>
    </row>
    <row r="70008" spans="10:10" x14ac:dyDescent="0.3">
      <c r="J70008"/>
    </row>
    <row r="70009" spans="10:10" x14ac:dyDescent="0.3">
      <c r="J70009"/>
    </row>
    <row r="70010" spans="10:10" x14ac:dyDescent="0.3">
      <c r="J70010"/>
    </row>
    <row r="70011" spans="10:10" x14ac:dyDescent="0.3">
      <c r="J70011"/>
    </row>
    <row r="70012" spans="10:10" x14ac:dyDescent="0.3">
      <c r="J70012"/>
    </row>
    <row r="70013" spans="10:10" x14ac:dyDescent="0.3">
      <c r="J70013"/>
    </row>
    <row r="70014" spans="10:10" x14ac:dyDescent="0.3">
      <c r="J70014"/>
    </row>
    <row r="70015" spans="10:10" x14ac:dyDescent="0.3">
      <c r="J70015"/>
    </row>
    <row r="70016" spans="10:10" x14ac:dyDescent="0.3">
      <c r="J70016"/>
    </row>
    <row r="70017" spans="10:10" x14ac:dyDescent="0.3">
      <c r="J70017"/>
    </row>
    <row r="70018" spans="10:10" x14ac:dyDescent="0.3">
      <c r="J70018"/>
    </row>
    <row r="70019" spans="10:10" x14ac:dyDescent="0.3">
      <c r="J70019"/>
    </row>
    <row r="70020" spans="10:10" x14ac:dyDescent="0.3">
      <c r="J70020"/>
    </row>
    <row r="70021" spans="10:10" x14ac:dyDescent="0.3">
      <c r="J70021"/>
    </row>
    <row r="70022" spans="10:10" x14ac:dyDescent="0.3">
      <c r="J70022"/>
    </row>
    <row r="70023" spans="10:10" x14ac:dyDescent="0.3">
      <c r="J70023"/>
    </row>
    <row r="70024" spans="10:10" x14ac:dyDescent="0.3">
      <c r="J70024"/>
    </row>
    <row r="70025" spans="10:10" x14ac:dyDescent="0.3">
      <c r="J70025"/>
    </row>
    <row r="70026" spans="10:10" x14ac:dyDescent="0.3">
      <c r="J70026"/>
    </row>
    <row r="70027" spans="10:10" x14ac:dyDescent="0.3">
      <c r="J70027"/>
    </row>
    <row r="70028" spans="10:10" x14ac:dyDescent="0.3">
      <c r="J70028"/>
    </row>
    <row r="70029" spans="10:10" x14ac:dyDescent="0.3">
      <c r="J70029"/>
    </row>
    <row r="70030" spans="10:10" x14ac:dyDescent="0.3">
      <c r="J70030"/>
    </row>
    <row r="70031" spans="10:10" x14ac:dyDescent="0.3">
      <c r="J70031"/>
    </row>
    <row r="70032" spans="10:10" x14ac:dyDescent="0.3">
      <c r="J70032"/>
    </row>
    <row r="70033" spans="10:10" x14ac:dyDescent="0.3">
      <c r="J70033"/>
    </row>
    <row r="70034" spans="10:10" x14ac:dyDescent="0.3">
      <c r="J70034"/>
    </row>
    <row r="70035" spans="10:10" x14ac:dyDescent="0.3">
      <c r="J70035"/>
    </row>
    <row r="70036" spans="10:10" x14ac:dyDescent="0.3">
      <c r="J70036"/>
    </row>
    <row r="70037" spans="10:10" x14ac:dyDescent="0.3">
      <c r="J70037"/>
    </row>
    <row r="70038" spans="10:10" x14ac:dyDescent="0.3">
      <c r="J70038"/>
    </row>
    <row r="70039" spans="10:10" x14ac:dyDescent="0.3">
      <c r="J70039"/>
    </row>
    <row r="70040" spans="10:10" x14ac:dyDescent="0.3">
      <c r="J70040"/>
    </row>
    <row r="70041" spans="10:10" x14ac:dyDescent="0.3">
      <c r="J70041"/>
    </row>
    <row r="70042" spans="10:10" x14ac:dyDescent="0.3">
      <c r="J70042"/>
    </row>
    <row r="70043" spans="10:10" x14ac:dyDescent="0.3">
      <c r="J70043"/>
    </row>
    <row r="70044" spans="10:10" x14ac:dyDescent="0.3">
      <c r="J70044"/>
    </row>
    <row r="70045" spans="10:10" x14ac:dyDescent="0.3">
      <c r="J70045"/>
    </row>
    <row r="70046" spans="10:10" x14ac:dyDescent="0.3">
      <c r="J70046"/>
    </row>
    <row r="70047" spans="10:10" x14ac:dyDescent="0.3">
      <c r="J70047"/>
    </row>
    <row r="70048" spans="10:10" x14ac:dyDescent="0.3">
      <c r="J70048"/>
    </row>
    <row r="70049" spans="10:10" x14ac:dyDescent="0.3">
      <c r="J70049"/>
    </row>
    <row r="70050" spans="10:10" x14ac:dyDescent="0.3">
      <c r="J70050"/>
    </row>
    <row r="70051" spans="10:10" x14ac:dyDescent="0.3">
      <c r="J70051"/>
    </row>
    <row r="70052" spans="10:10" x14ac:dyDescent="0.3">
      <c r="J70052"/>
    </row>
    <row r="70053" spans="10:10" x14ac:dyDescent="0.3">
      <c r="J70053"/>
    </row>
    <row r="70054" spans="10:10" x14ac:dyDescent="0.3">
      <c r="J70054"/>
    </row>
    <row r="70055" spans="10:10" x14ac:dyDescent="0.3">
      <c r="J70055"/>
    </row>
    <row r="70056" spans="10:10" x14ac:dyDescent="0.3">
      <c r="J70056"/>
    </row>
    <row r="70057" spans="10:10" x14ac:dyDescent="0.3">
      <c r="J70057"/>
    </row>
    <row r="70058" spans="10:10" x14ac:dyDescent="0.3">
      <c r="J70058"/>
    </row>
    <row r="70059" spans="10:10" x14ac:dyDescent="0.3">
      <c r="J70059"/>
    </row>
    <row r="70060" spans="10:10" x14ac:dyDescent="0.3">
      <c r="J70060"/>
    </row>
    <row r="70061" spans="10:10" x14ac:dyDescent="0.3">
      <c r="J70061"/>
    </row>
    <row r="70062" spans="10:10" x14ac:dyDescent="0.3">
      <c r="J70062"/>
    </row>
    <row r="70063" spans="10:10" x14ac:dyDescent="0.3">
      <c r="J70063"/>
    </row>
    <row r="70064" spans="10:10" x14ac:dyDescent="0.3">
      <c r="J70064"/>
    </row>
    <row r="70065" spans="10:10" x14ac:dyDescent="0.3">
      <c r="J70065"/>
    </row>
    <row r="70066" spans="10:10" x14ac:dyDescent="0.3">
      <c r="J70066"/>
    </row>
    <row r="70067" spans="10:10" x14ac:dyDescent="0.3">
      <c r="J70067"/>
    </row>
    <row r="70068" spans="10:10" x14ac:dyDescent="0.3">
      <c r="J70068"/>
    </row>
    <row r="70069" spans="10:10" x14ac:dyDescent="0.3">
      <c r="J70069"/>
    </row>
    <row r="70070" spans="10:10" x14ac:dyDescent="0.3">
      <c r="J70070"/>
    </row>
    <row r="70071" spans="10:10" x14ac:dyDescent="0.3">
      <c r="J70071"/>
    </row>
    <row r="70072" spans="10:10" x14ac:dyDescent="0.3">
      <c r="J70072"/>
    </row>
    <row r="70073" spans="10:10" x14ac:dyDescent="0.3">
      <c r="J70073"/>
    </row>
    <row r="70074" spans="10:10" x14ac:dyDescent="0.3">
      <c r="J70074"/>
    </row>
    <row r="70075" spans="10:10" x14ac:dyDescent="0.3">
      <c r="J70075"/>
    </row>
    <row r="70076" spans="10:10" x14ac:dyDescent="0.3">
      <c r="J70076"/>
    </row>
    <row r="70077" spans="10:10" x14ac:dyDescent="0.3">
      <c r="J70077"/>
    </row>
    <row r="70078" spans="10:10" x14ac:dyDescent="0.3">
      <c r="J70078"/>
    </row>
    <row r="70079" spans="10:10" x14ac:dyDescent="0.3">
      <c r="J70079"/>
    </row>
    <row r="70080" spans="10:10" x14ac:dyDescent="0.3">
      <c r="J70080"/>
    </row>
    <row r="70081" spans="10:10" x14ac:dyDescent="0.3">
      <c r="J70081"/>
    </row>
    <row r="70082" spans="10:10" x14ac:dyDescent="0.3">
      <c r="J70082"/>
    </row>
    <row r="70083" spans="10:10" x14ac:dyDescent="0.3">
      <c r="J70083"/>
    </row>
    <row r="70084" spans="10:10" x14ac:dyDescent="0.3">
      <c r="J70084"/>
    </row>
    <row r="70085" spans="10:10" x14ac:dyDescent="0.3">
      <c r="J70085"/>
    </row>
    <row r="70086" spans="10:10" x14ac:dyDescent="0.3">
      <c r="J70086"/>
    </row>
    <row r="70087" spans="10:10" x14ac:dyDescent="0.3">
      <c r="J70087"/>
    </row>
    <row r="70088" spans="10:10" x14ac:dyDescent="0.3">
      <c r="J70088"/>
    </row>
    <row r="70089" spans="10:10" x14ac:dyDescent="0.3">
      <c r="J70089"/>
    </row>
    <row r="70090" spans="10:10" x14ac:dyDescent="0.3">
      <c r="J70090"/>
    </row>
    <row r="70091" spans="10:10" x14ac:dyDescent="0.3">
      <c r="J70091"/>
    </row>
    <row r="70092" spans="10:10" x14ac:dyDescent="0.3">
      <c r="J70092"/>
    </row>
    <row r="70093" spans="10:10" x14ac:dyDescent="0.3">
      <c r="J70093"/>
    </row>
    <row r="70094" spans="10:10" x14ac:dyDescent="0.3">
      <c r="J70094"/>
    </row>
    <row r="70095" spans="10:10" x14ac:dyDescent="0.3">
      <c r="J70095"/>
    </row>
    <row r="70096" spans="10:10" x14ac:dyDescent="0.3">
      <c r="J70096"/>
    </row>
    <row r="70097" spans="10:10" x14ac:dyDescent="0.3">
      <c r="J70097"/>
    </row>
    <row r="70098" spans="10:10" x14ac:dyDescent="0.3">
      <c r="J70098"/>
    </row>
    <row r="70099" spans="10:10" x14ac:dyDescent="0.3">
      <c r="J70099"/>
    </row>
    <row r="70100" spans="10:10" x14ac:dyDescent="0.3">
      <c r="J70100"/>
    </row>
    <row r="70101" spans="10:10" x14ac:dyDescent="0.3">
      <c r="J70101"/>
    </row>
    <row r="70102" spans="10:10" x14ac:dyDescent="0.3">
      <c r="J70102"/>
    </row>
    <row r="70103" spans="10:10" x14ac:dyDescent="0.3">
      <c r="J70103"/>
    </row>
    <row r="70104" spans="10:10" x14ac:dyDescent="0.3">
      <c r="J70104"/>
    </row>
    <row r="70105" spans="10:10" x14ac:dyDescent="0.3">
      <c r="J70105"/>
    </row>
    <row r="70106" spans="10:10" x14ac:dyDescent="0.3">
      <c r="J70106"/>
    </row>
    <row r="70107" spans="10:10" x14ac:dyDescent="0.3">
      <c r="J70107"/>
    </row>
    <row r="70108" spans="10:10" x14ac:dyDescent="0.3">
      <c r="J70108"/>
    </row>
    <row r="70109" spans="10:10" x14ac:dyDescent="0.3">
      <c r="J70109"/>
    </row>
    <row r="70110" spans="10:10" x14ac:dyDescent="0.3">
      <c r="J70110"/>
    </row>
    <row r="70111" spans="10:10" x14ac:dyDescent="0.3">
      <c r="J70111"/>
    </row>
    <row r="70112" spans="10:10" x14ac:dyDescent="0.3">
      <c r="J70112"/>
    </row>
    <row r="70113" spans="10:10" x14ac:dyDescent="0.3">
      <c r="J70113"/>
    </row>
    <row r="70114" spans="10:10" x14ac:dyDescent="0.3">
      <c r="J70114"/>
    </row>
    <row r="70115" spans="10:10" x14ac:dyDescent="0.3">
      <c r="J70115"/>
    </row>
    <row r="70116" spans="10:10" x14ac:dyDescent="0.3">
      <c r="J70116"/>
    </row>
    <row r="70117" spans="10:10" x14ac:dyDescent="0.3">
      <c r="J70117"/>
    </row>
    <row r="70118" spans="10:10" x14ac:dyDescent="0.3">
      <c r="J70118"/>
    </row>
    <row r="70119" spans="10:10" x14ac:dyDescent="0.3">
      <c r="J70119"/>
    </row>
    <row r="70120" spans="10:10" x14ac:dyDescent="0.3">
      <c r="J70120"/>
    </row>
    <row r="70121" spans="10:10" x14ac:dyDescent="0.3">
      <c r="J70121"/>
    </row>
    <row r="70122" spans="10:10" x14ac:dyDescent="0.3">
      <c r="J70122"/>
    </row>
    <row r="70123" spans="10:10" x14ac:dyDescent="0.3">
      <c r="J70123"/>
    </row>
    <row r="70124" spans="10:10" x14ac:dyDescent="0.3">
      <c r="J70124"/>
    </row>
    <row r="70125" spans="10:10" x14ac:dyDescent="0.3">
      <c r="J70125"/>
    </row>
    <row r="70126" spans="10:10" x14ac:dyDescent="0.3">
      <c r="J70126"/>
    </row>
    <row r="70127" spans="10:10" x14ac:dyDescent="0.3">
      <c r="J70127"/>
    </row>
    <row r="70128" spans="10:10" x14ac:dyDescent="0.3">
      <c r="J70128"/>
    </row>
    <row r="70129" spans="10:10" x14ac:dyDescent="0.3">
      <c r="J70129"/>
    </row>
    <row r="70130" spans="10:10" x14ac:dyDescent="0.3">
      <c r="J70130"/>
    </row>
    <row r="70131" spans="10:10" x14ac:dyDescent="0.3">
      <c r="J70131"/>
    </row>
    <row r="70132" spans="10:10" x14ac:dyDescent="0.3">
      <c r="J70132"/>
    </row>
    <row r="70133" spans="10:10" x14ac:dyDescent="0.3">
      <c r="J70133"/>
    </row>
    <row r="70134" spans="10:10" x14ac:dyDescent="0.3">
      <c r="J70134"/>
    </row>
    <row r="70135" spans="10:10" x14ac:dyDescent="0.3">
      <c r="J70135"/>
    </row>
    <row r="70136" spans="10:10" x14ac:dyDescent="0.3">
      <c r="J70136"/>
    </row>
    <row r="70137" spans="10:10" x14ac:dyDescent="0.3">
      <c r="J70137"/>
    </row>
    <row r="70138" spans="10:10" x14ac:dyDescent="0.3">
      <c r="J70138"/>
    </row>
    <row r="70139" spans="10:10" x14ac:dyDescent="0.3">
      <c r="J70139"/>
    </row>
    <row r="70140" spans="10:10" x14ac:dyDescent="0.3">
      <c r="J70140"/>
    </row>
    <row r="70141" spans="10:10" x14ac:dyDescent="0.3">
      <c r="J70141"/>
    </row>
    <row r="70142" spans="10:10" x14ac:dyDescent="0.3">
      <c r="J70142"/>
    </row>
    <row r="70143" spans="10:10" x14ac:dyDescent="0.3">
      <c r="J70143"/>
    </row>
    <row r="70144" spans="10:10" x14ac:dyDescent="0.3">
      <c r="J70144"/>
    </row>
    <row r="70145" spans="10:10" x14ac:dyDescent="0.3">
      <c r="J70145"/>
    </row>
    <row r="70146" spans="10:10" x14ac:dyDescent="0.3">
      <c r="J70146"/>
    </row>
    <row r="70147" spans="10:10" x14ac:dyDescent="0.3">
      <c r="J70147"/>
    </row>
    <row r="70148" spans="10:10" x14ac:dyDescent="0.3">
      <c r="J70148"/>
    </row>
    <row r="70149" spans="10:10" x14ac:dyDescent="0.3">
      <c r="J70149"/>
    </row>
    <row r="70150" spans="10:10" x14ac:dyDescent="0.3">
      <c r="J70150"/>
    </row>
    <row r="70151" spans="10:10" x14ac:dyDescent="0.3">
      <c r="J70151"/>
    </row>
    <row r="70152" spans="10:10" x14ac:dyDescent="0.3">
      <c r="J70152"/>
    </row>
    <row r="70153" spans="10:10" x14ac:dyDescent="0.3">
      <c r="J70153"/>
    </row>
    <row r="70154" spans="10:10" x14ac:dyDescent="0.3">
      <c r="J70154"/>
    </row>
    <row r="70155" spans="10:10" x14ac:dyDescent="0.3">
      <c r="J70155"/>
    </row>
    <row r="70156" spans="10:10" x14ac:dyDescent="0.3">
      <c r="J70156"/>
    </row>
    <row r="70157" spans="10:10" x14ac:dyDescent="0.3">
      <c r="J70157"/>
    </row>
    <row r="70158" spans="10:10" x14ac:dyDescent="0.3">
      <c r="J70158"/>
    </row>
    <row r="70159" spans="10:10" x14ac:dyDescent="0.3">
      <c r="J70159"/>
    </row>
    <row r="70160" spans="10:10" x14ac:dyDescent="0.3">
      <c r="J70160"/>
    </row>
    <row r="70161" spans="10:10" x14ac:dyDescent="0.3">
      <c r="J70161"/>
    </row>
    <row r="70162" spans="10:10" x14ac:dyDescent="0.3">
      <c r="J70162"/>
    </row>
    <row r="70163" spans="10:10" x14ac:dyDescent="0.3">
      <c r="J70163"/>
    </row>
    <row r="70164" spans="10:10" x14ac:dyDescent="0.3">
      <c r="J70164"/>
    </row>
    <row r="70165" spans="10:10" x14ac:dyDescent="0.3">
      <c r="J70165"/>
    </row>
    <row r="70166" spans="10:10" x14ac:dyDescent="0.3">
      <c r="J70166"/>
    </row>
    <row r="70167" spans="10:10" x14ac:dyDescent="0.3">
      <c r="J70167"/>
    </row>
    <row r="70168" spans="10:10" x14ac:dyDescent="0.3">
      <c r="J70168"/>
    </row>
    <row r="70169" spans="10:10" x14ac:dyDescent="0.3">
      <c r="J70169"/>
    </row>
    <row r="70170" spans="10:10" x14ac:dyDescent="0.3">
      <c r="J70170"/>
    </row>
    <row r="70171" spans="10:10" x14ac:dyDescent="0.3">
      <c r="J70171"/>
    </row>
    <row r="70172" spans="10:10" x14ac:dyDescent="0.3">
      <c r="J70172"/>
    </row>
    <row r="70173" spans="10:10" x14ac:dyDescent="0.3">
      <c r="J70173"/>
    </row>
    <row r="70174" spans="10:10" x14ac:dyDescent="0.3">
      <c r="J70174"/>
    </row>
    <row r="70175" spans="10:10" x14ac:dyDescent="0.3">
      <c r="J70175"/>
    </row>
    <row r="70176" spans="10:10" x14ac:dyDescent="0.3">
      <c r="J70176"/>
    </row>
    <row r="70177" spans="10:10" x14ac:dyDescent="0.3">
      <c r="J70177"/>
    </row>
    <row r="70178" spans="10:10" x14ac:dyDescent="0.3">
      <c r="J70178"/>
    </row>
    <row r="70179" spans="10:10" x14ac:dyDescent="0.3">
      <c r="J70179"/>
    </row>
    <row r="70180" spans="10:10" x14ac:dyDescent="0.3">
      <c r="J70180"/>
    </row>
    <row r="70181" spans="10:10" x14ac:dyDescent="0.3">
      <c r="J70181"/>
    </row>
    <row r="70182" spans="10:10" x14ac:dyDescent="0.3">
      <c r="J70182"/>
    </row>
    <row r="70183" spans="10:10" x14ac:dyDescent="0.3">
      <c r="J70183"/>
    </row>
    <row r="70184" spans="10:10" x14ac:dyDescent="0.3">
      <c r="J70184"/>
    </row>
    <row r="70185" spans="10:10" x14ac:dyDescent="0.3">
      <c r="J70185"/>
    </row>
    <row r="70186" spans="10:10" x14ac:dyDescent="0.3">
      <c r="J70186"/>
    </row>
    <row r="70187" spans="10:10" x14ac:dyDescent="0.3">
      <c r="J70187"/>
    </row>
    <row r="70188" spans="10:10" x14ac:dyDescent="0.3">
      <c r="J70188"/>
    </row>
    <row r="70189" spans="10:10" x14ac:dyDescent="0.3">
      <c r="J70189"/>
    </row>
    <row r="70190" spans="10:10" x14ac:dyDescent="0.3">
      <c r="J70190"/>
    </row>
    <row r="70191" spans="10:10" x14ac:dyDescent="0.3">
      <c r="J70191"/>
    </row>
    <row r="70192" spans="10:10" x14ac:dyDescent="0.3">
      <c r="J70192"/>
    </row>
    <row r="70193" spans="10:10" x14ac:dyDescent="0.3">
      <c r="J70193"/>
    </row>
    <row r="70194" spans="10:10" x14ac:dyDescent="0.3">
      <c r="J70194"/>
    </row>
    <row r="70195" spans="10:10" x14ac:dyDescent="0.3">
      <c r="J70195"/>
    </row>
    <row r="70196" spans="10:10" x14ac:dyDescent="0.3">
      <c r="J70196"/>
    </row>
    <row r="70197" spans="10:10" x14ac:dyDescent="0.3">
      <c r="J70197"/>
    </row>
    <row r="70198" spans="10:10" x14ac:dyDescent="0.3">
      <c r="J70198"/>
    </row>
    <row r="70199" spans="10:10" x14ac:dyDescent="0.3">
      <c r="J70199"/>
    </row>
    <row r="70200" spans="10:10" x14ac:dyDescent="0.3">
      <c r="J70200"/>
    </row>
    <row r="70201" spans="10:10" x14ac:dyDescent="0.3">
      <c r="J70201"/>
    </row>
    <row r="70202" spans="10:10" x14ac:dyDescent="0.3">
      <c r="J70202"/>
    </row>
    <row r="70203" spans="10:10" x14ac:dyDescent="0.3">
      <c r="J70203"/>
    </row>
    <row r="70204" spans="10:10" x14ac:dyDescent="0.3">
      <c r="J70204"/>
    </row>
    <row r="70205" spans="10:10" x14ac:dyDescent="0.3">
      <c r="J70205"/>
    </row>
    <row r="70206" spans="10:10" x14ac:dyDescent="0.3">
      <c r="J70206"/>
    </row>
    <row r="70207" spans="10:10" x14ac:dyDescent="0.3">
      <c r="J70207"/>
    </row>
    <row r="70208" spans="10:10" x14ac:dyDescent="0.3">
      <c r="J70208"/>
    </row>
    <row r="70209" spans="10:10" x14ac:dyDescent="0.3">
      <c r="J70209"/>
    </row>
    <row r="70210" spans="10:10" x14ac:dyDescent="0.3">
      <c r="J70210"/>
    </row>
    <row r="70211" spans="10:10" x14ac:dyDescent="0.3">
      <c r="J70211"/>
    </row>
    <row r="70212" spans="10:10" x14ac:dyDescent="0.3">
      <c r="J70212"/>
    </row>
    <row r="70213" spans="10:10" x14ac:dyDescent="0.3">
      <c r="J70213"/>
    </row>
    <row r="70214" spans="10:10" x14ac:dyDescent="0.3">
      <c r="J70214"/>
    </row>
    <row r="70215" spans="10:10" x14ac:dyDescent="0.3">
      <c r="J70215"/>
    </row>
    <row r="70216" spans="10:10" x14ac:dyDescent="0.3">
      <c r="J70216"/>
    </row>
    <row r="70217" spans="10:10" x14ac:dyDescent="0.3">
      <c r="J70217"/>
    </row>
    <row r="70218" spans="10:10" x14ac:dyDescent="0.3">
      <c r="J70218"/>
    </row>
    <row r="70219" spans="10:10" x14ac:dyDescent="0.3">
      <c r="J70219"/>
    </row>
    <row r="70220" spans="10:10" x14ac:dyDescent="0.3">
      <c r="J70220"/>
    </row>
    <row r="70221" spans="10:10" x14ac:dyDescent="0.3">
      <c r="J70221"/>
    </row>
    <row r="70222" spans="10:10" x14ac:dyDescent="0.3">
      <c r="J70222"/>
    </row>
    <row r="70223" spans="10:10" x14ac:dyDescent="0.3">
      <c r="J70223"/>
    </row>
    <row r="70224" spans="10:10" x14ac:dyDescent="0.3">
      <c r="J70224"/>
    </row>
    <row r="70225" spans="10:10" x14ac:dyDescent="0.3">
      <c r="J70225"/>
    </row>
    <row r="70226" spans="10:10" x14ac:dyDescent="0.3">
      <c r="J70226"/>
    </row>
    <row r="70227" spans="10:10" x14ac:dyDescent="0.3">
      <c r="J70227"/>
    </row>
    <row r="70228" spans="10:10" x14ac:dyDescent="0.3">
      <c r="J70228"/>
    </row>
    <row r="70229" spans="10:10" x14ac:dyDescent="0.3">
      <c r="J70229"/>
    </row>
    <row r="70230" spans="10:10" x14ac:dyDescent="0.3">
      <c r="J70230"/>
    </row>
    <row r="70231" spans="10:10" x14ac:dyDescent="0.3">
      <c r="J70231"/>
    </row>
    <row r="70232" spans="10:10" x14ac:dyDescent="0.3">
      <c r="J70232"/>
    </row>
    <row r="70233" spans="10:10" x14ac:dyDescent="0.3">
      <c r="J70233"/>
    </row>
    <row r="70234" spans="10:10" x14ac:dyDescent="0.3">
      <c r="J70234"/>
    </row>
    <row r="70235" spans="10:10" x14ac:dyDescent="0.3">
      <c r="J70235"/>
    </row>
    <row r="70236" spans="10:10" x14ac:dyDescent="0.3">
      <c r="J70236"/>
    </row>
    <row r="70237" spans="10:10" x14ac:dyDescent="0.3">
      <c r="J70237"/>
    </row>
    <row r="70238" spans="10:10" x14ac:dyDescent="0.3">
      <c r="J70238"/>
    </row>
    <row r="70239" spans="10:10" x14ac:dyDescent="0.3">
      <c r="J70239"/>
    </row>
    <row r="70240" spans="10:10" x14ac:dyDescent="0.3">
      <c r="J70240"/>
    </row>
    <row r="70241" spans="10:10" x14ac:dyDescent="0.3">
      <c r="J70241"/>
    </row>
    <row r="70242" spans="10:10" x14ac:dyDescent="0.3">
      <c r="J70242"/>
    </row>
    <row r="70243" spans="10:10" x14ac:dyDescent="0.3">
      <c r="J70243"/>
    </row>
    <row r="70244" spans="10:10" x14ac:dyDescent="0.3">
      <c r="J70244"/>
    </row>
    <row r="70245" spans="10:10" x14ac:dyDescent="0.3">
      <c r="J70245"/>
    </row>
    <row r="70246" spans="10:10" x14ac:dyDescent="0.3">
      <c r="J70246"/>
    </row>
    <row r="70247" spans="10:10" x14ac:dyDescent="0.3">
      <c r="J70247"/>
    </row>
    <row r="70248" spans="10:10" x14ac:dyDescent="0.3">
      <c r="J70248"/>
    </row>
    <row r="70249" spans="10:10" x14ac:dyDescent="0.3">
      <c r="J70249"/>
    </row>
    <row r="70250" spans="10:10" x14ac:dyDescent="0.3">
      <c r="J70250"/>
    </row>
    <row r="70251" spans="10:10" x14ac:dyDescent="0.3">
      <c r="J70251"/>
    </row>
    <row r="70252" spans="10:10" x14ac:dyDescent="0.3">
      <c r="J70252"/>
    </row>
    <row r="70253" spans="10:10" x14ac:dyDescent="0.3">
      <c r="J70253"/>
    </row>
    <row r="70254" spans="10:10" x14ac:dyDescent="0.3">
      <c r="J70254"/>
    </row>
    <row r="70255" spans="10:10" x14ac:dyDescent="0.3">
      <c r="J70255"/>
    </row>
    <row r="70256" spans="10:10" x14ac:dyDescent="0.3">
      <c r="J70256"/>
    </row>
    <row r="70257" spans="10:10" x14ac:dyDescent="0.3">
      <c r="J70257"/>
    </row>
    <row r="70258" spans="10:10" x14ac:dyDescent="0.3">
      <c r="J70258"/>
    </row>
    <row r="70259" spans="10:10" x14ac:dyDescent="0.3">
      <c r="J70259"/>
    </row>
    <row r="70260" spans="10:10" x14ac:dyDescent="0.3">
      <c r="J70260"/>
    </row>
    <row r="70261" spans="10:10" x14ac:dyDescent="0.3">
      <c r="J70261"/>
    </row>
    <row r="70262" spans="10:10" x14ac:dyDescent="0.3">
      <c r="J70262"/>
    </row>
    <row r="70263" spans="10:10" x14ac:dyDescent="0.3">
      <c r="J70263"/>
    </row>
    <row r="70264" spans="10:10" x14ac:dyDescent="0.3">
      <c r="J70264"/>
    </row>
    <row r="70265" spans="10:10" x14ac:dyDescent="0.3">
      <c r="J70265"/>
    </row>
    <row r="70266" spans="10:10" x14ac:dyDescent="0.3">
      <c r="J70266"/>
    </row>
    <row r="70267" spans="10:10" x14ac:dyDescent="0.3">
      <c r="J70267"/>
    </row>
    <row r="70268" spans="10:10" x14ac:dyDescent="0.3">
      <c r="J70268"/>
    </row>
    <row r="70269" spans="10:10" x14ac:dyDescent="0.3">
      <c r="J70269"/>
    </row>
    <row r="70270" spans="10:10" x14ac:dyDescent="0.3">
      <c r="J70270"/>
    </row>
    <row r="70271" spans="10:10" x14ac:dyDescent="0.3">
      <c r="J70271"/>
    </row>
    <row r="70272" spans="10:10" x14ac:dyDescent="0.3">
      <c r="J70272"/>
    </row>
    <row r="70273" spans="10:10" x14ac:dyDescent="0.3">
      <c r="J70273"/>
    </row>
    <row r="70274" spans="10:10" x14ac:dyDescent="0.3">
      <c r="J70274"/>
    </row>
    <row r="70275" spans="10:10" x14ac:dyDescent="0.3">
      <c r="J70275"/>
    </row>
    <row r="70276" spans="10:10" x14ac:dyDescent="0.3">
      <c r="J70276"/>
    </row>
    <row r="70277" spans="10:10" x14ac:dyDescent="0.3">
      <c r="J70277"/>
    </row>
    <row r="70278" spans="10:10" x14ac:dyDescent="0.3">
      <c r="J70278"/>
    </row>
    <row r="70279" spans="10:10" x14ac:dyDescent="0.3">
      <c r="J70279"/>
    </row>
    <row r="70280" spans="10:10" x14ac:dyDescent="0.3">
      <c r="J70280"/>
    </row>
    <row r="70281" spans="10:10" x14ac:dyDescent="0.3">
      <c r="J70281"/>
    </row>
    <row r="70282" spans="10:10" x14ac:dyDescent="0.3">
      <c r="J70282"/>
    </row>
    <row r="70283" spans="10:10" x14ac:dyDescent="0.3">
      <c r="J70283"/>
    </row>
    <row r="70284" spans="10:10" x14ac:dyDescent="0.3">
      <c r="J70284"/>
    </row>
    <row r="70285" spans="10:10" x14ac:dyDescent="0.3">
      <c r="J70285"/>
    </row>
    <row r="70286" spans="10:10" x14ac:dyDescent="0.3">
      <c r="J70286"/>
    </row>
    <row r="70287" spans="10:10" x14ac:dyDescent="0.3">
      <c r="J70287"/>
    </row>
    <row r="70288" spans="10:10" x14ac:dyDescent="0.3">
      <c r="J70288"/>
    </row>
    <row r="70289" spans="10:10" x14ac:dyDescent="0.3">
      <c r="J70289"/>
    </row>
    <row r="70290" spans="10:10" x14ac:dyDescent="0.3">
      <c r="J70290"/>
    </row>
    <row r="70291" spans="10:10" x14ac:dyDescent="0.3">
      <c r="J70291"/>
    </row>
    <row r="70292" spans="10:10" x14ac:dyDescent="0.3">
      <c r="J70292"/>
    </row>
    <row r="70293" spans="10:10" x14ac:dyDescent="0.3">
      <c r="J70293"/>
    </row>
    <row r="70294" spans="10:10" x14ac:dyDescent="0.3">
      <c r="J70294"/>
    </row>
    <row r="70295" spans="10:10" x14ac:dyDescent="0.3">
      <c r="J70295"/>
    </row>
    <row r="70296" spans="10:10" x14ac:dyDescent="0.3">
      <c r="J70296"/>
    </row>
    <row r="70297" spans="10:10" x14ac:dyDescent="0.3">
      <c r="J70297"/>
    </row>
    <row r="70298" spans="10:10" x14ac:dyDescent="0.3">
      <c r="J70298"/>
    </row>
    <row r="70299" spans="10:10" x14ac:dyDescent="0.3">
      <c r="J70299"/>
    </row>
    <row r="70300" spans="10:10" x14ac:dyDescent="0.3">
      <c r="J70300"/>
    </row>
    <row r="70301" spans="10:10" x14ac:dyDescent="0.3">
      <c r="J70301"/>
    </row>
    <row r="70302" spans="10:10" x14ac:dyDescent="0.3">
      <c r="J70302"/>
    </row>
    <row r="70303" spans="10:10" x14ac:dyDescent="0.3">
      <c r="J70303"/>
    </row>
    <row r="70304" spans="10:10" x14ac:dyDescent="0.3">
      <c r="J70304"/>
    </row>
    <row r="70305" spans="10:10" x14ac:dyDescent="0.3">
      <c r="J70305"/>
    </row>
    <row r="70306" spans="10:10" x14ac:dyDescent="0.3">
      <c r="J70306"/>
    </row>
    <row r="70307" spans="10:10" x14ac:dyDescent="0.3">
      <c r="J70307"/>
    </row>
    <row r="70308" spans="10:10" x14ac:dyDescent="0.3">
      <c r="J70308"/>
    </row>
    <row r="70309" spans="10:10" x14ac:dyDescent="0.3">
      <c r="J70309"/>
    </row>
    <row r="70310" spans="10:10" x14ac:dyDescent="0.3">
      <c r="J70310"/>
    </row>
    <row r="70311" spans="10:10" x14ac:dyDescent="0.3">
      <c r="J70311"/>
    </row>
    <row r="70312" spans="10:10" x14ac:dyDescent="0.3">
      <c r="J70312"/>
    </row>
    <row r="70313" spans="10:10" x14ac:dyDescent="0.3">
      <c r="J70313"/>
    </row>
    <row r="70314" spans="10:10" x14ac:dyDescent="0.3">
      <c r="J70314"/>
    </row>
    <row r="70315" spans="10:10" x14ac:dyDescent="0.3">
      <c r="J70315"/>
    </row>
    <row r="70316" spans="10:10" x14ac:dyDescent="0.3">
      <c r="J70316"/>
    </row>
    <row r="70317" spans="10:10" x14ac:dyDescent="0.3">
      <c r="J70317"/>
    </row>
    <row r="70318" spans="10:10" x14ac:dyDescent="0.3">
      <c r="J70318"/>
    </row>
    <row r="70319" spans="10:10" x14ac:dyDescent="0.3">
      <c r="J70319"/>
    </row>
    <row r="70320" spans="10:10" x14ac:dyDescent="0.3">
      <c r="J70320"/>
    </row>
    <row r="70321" spans="10:10" x14ac:dyDescent="0.3">
      <c r="J70321"/>
    </row>
    <row r="70322" spans="10:10" x14ac:dyDescent="0.3">
      <c r="J70322"/>
    </row>
    <row r="70323" spans="10:10" x14ac:dyDescent="0.3">
      <c r="J70323"/>
    </row>
    <row r="70324" spans="10:10" x14ac:dyDescent="0.3">
      <c r="J70324"/>
    </row>
    <row r="70325" spans="10:10" x14ac:dyDescent="0.3">
      <c r="J70325"/>
    </row>
    <row r="70326" spans="10:10" x14ac:dyDescent="0.3">
      <c r="J70326"/>
    </row>
    <row r="70327" spans="10:10" x14ac:dyDescent="0.3">
      <c r="J70327"/>
    </row>
    <row r="70328" spans="10:10" x14ac:dyDescent="0.3">
      <c r="J70328"/>
    </row>
    <row r="70329" spans="10:10" x14ac:dyDescent="0.3">
      <c r="J70329"/>
    </row>
    <row r="70330" spans="10:10" x14ac:dyDescent="0.3">
      <c r="J70330"/>
    </row>
    <row r="70331" spans="10:10" x14ac:dyDescent="0.3">
      <c r="J70331"/>
    </row>
    <row r="70332" spans="10:10" x14ac:dyDescent="0.3">
      <c r="J70332"/>
    </row>
    <row r="70333" spans="10:10" x14ac:dyDescent="0.3">
      <c r="J70333"/>
    </row>
    <row r="70334" spans="10:10" x14ac:dyDescent="0.3">
      <c r="J70334"/>
    </row>
    <row r="70335" spans="10:10" x14ac:dyDescent="0.3">
      <c r="J70335"/>
    </row>
    <row r="70336" spans="10:10" x14ac:dyDescent="0.3">
      <c r="J70336"/>
    </row>
    <row r="70337" spans="10:10" x14ac:dyDescent="0.3">
      <c r="J70337"/>
    </row>
    <row r="70338" spans="10:10" x14ac:dyDescent="0.3">
      <c r="J70338"/>
    </row>
    <row r="70339" spans="10:10" x14ac:dyDescent="0.3">
      <c r="J70339"/>
    </row>
    <row r="70340" spans="10:10" x14ac:dyDescent="0.3">
      <c r="J70340"/>
    </row>
    <row r="70341" spans="10:10" x14ac:dyDescent="0.3">
      <c r="J70341"/>
    </row>
    <row r="70342" spans="10:10" x14ac:dyDescent="0.3">
      <c r="J70342"/>
    </row>
    <row r="70343" spans="10:10" x14ac:dyDescent="0.3">
      <c r="J70343"/>
    </row>
    <row r="70344" spans="10:10" x14ac:dyDescent="0.3">
      <c r="J70344"/>
    </row>
    <row r="70345" spans="10:10" x14ac:dyDescent="0.3">
      <c r="J70345"/>
    </row>
    <row r="70346" spans="10:10" x14ac:dyDescent="0.3">
      <c r="J70346"/>
    </row>
    <row r="70347" spans="10:10" x14ac:dyDescent="0.3">
      <c r="J70347"/>
    </row>
    <row r="70348" spans="10:10" x14ac:dyDescent="0.3">
      <c r="J70348"/>
    </row>
    <row r="70349" spans="10:10" x14ac:dyDescent="0.3">
      <c r="J70349"/>
    </row>
    <row r="70350" spans="10:10" x14ac:dyDescent="0.3">
      <c r="J70350"/>
    </row>
    <row r="70351" spans="10:10" x14ac:dyDescent="0.3">
      <c r="J70351"/>
    </row>
    <row r="70352" spans="10:10" x14ac:dyDescent="0.3">
      <c r="J70352"/>
    </row>
    <row r="70353" spans="10:10" x14ac:dyDescent="0.3">
      <c r="J70353"/>
    </row>
    <row r="70354" spans="10:10" x14ac:dyDescent="0.3">
      <c r="J70354"/>
    </row>
    <row r="70355" spans="10:10" x14ac:dyDescent="0.3">
      <c r="J70355"/>
    </row>
    <row r="70356" spans="10:10" x14ac:dyDescent="0.3">
      <c r="J70356"/>
    </row>
    <row r="70357" spans="10:10" x14ac:dyDescent="0.3">
      <c r="J70357"/>
    </row>
    <row r="70358" spans="10:10" x14ac:dyDescent="0.3">
      <c r="J70358"/>
    </row>
    <row r="70359" spans="10:10" x14ac:dyDescent="0.3">
      <c r="J70359"/>
    </row>
    <row r="70360" spans="10:10" x14ac:dyDescent="0.3">
      <c r="J70360"/>
    </row>
    <row r="70361" spans="10:10" x14ac:dyDescent="0.3">
      <c r="J70361"/>
    </row>
    <row r="70362" spans="10:10" x14ac:dyDescent="0.3">
      <c r="J70362"/>
    </row>
    <row r="70363" spans="10:10" x14ac:dyDescent="0.3">
      <c r="J70363"/>
    </row>
    <row r="70364" spans="10:10" x14ac:dyDescent="0.3">
      <c r="J70364"/>
    </row>
    <row r="70365" spans="10:10" x14ac:dyDescent="0.3">
      <c r="J70365"/>
    </row>
    <row r="70366" spans="10:10" x14ac:dyDescent="0.3">
      <c r="J70366"/>
    </row>
    <row r="70367" spans="10:10" x14ac:dyDescent="0.3">
      <c r="J70367"/>
    </row>
    <row r="70368" spans="10:10" x14ac:dyDescent="0.3">
      <c r="J70368"/>
    </row>
    <row r="70369" spans="10:10" x14ac:dyDescent="0.3">
      <c r="J70369"/>
    </row>
    <row r="70370" spans="10:10" x14ac:dyDescent="0.3">
      <c r="J70370"/>
    </row>
    <row r="70371" spans="10:10" x14ac:dyDescent="0.3">
      <c r="J70371"/>
    </row>
    <row r="70372" spans="10:10" x14ac:dyDescent="0.3">
      <c r="J70372"/>
    </row>
    <row r="70373" spans="10:10" x14ac:dyDescent="0.3">
      <c r="J70373"/>
    </row>
    <row r="70374" spans="10:10" x14ac:dyDescent="0.3">
      <c r="J70374"/>
    </row>
    <row r="70375" spans="10:10" x14ac:dyDescent="0.3">
      <c r="J70375"/>
    </row>
    <row r="70376" spans="10:10" x14ac:dyDescent="0.3">
      <c r="J70376"/>
    </row>
    <row r="70377" spans="10:10" x14ac:dyDescent="0.3">
      <c r="J70377"/>
    </row>
    <row r="70378" spans="10:10" x14ac:dyDescent="0.3">
      <c r="J70378"/>
    </row>
    <row r="70379" spans="10:10" x14ac:dyDescent="0.3">
      <c r="J70379"/>
    </row>
    <row r="70380" spans="10:10" x14ac:dyDescent="0.3">
      <c r="J70380"/>
    </row>
    <row r="70381" spans="10:10" x14ac:dyDescent="0.3">
      <c r="J70381"/>
    </row>
    <row r="70382" spans="10:10" x14ac:dyDescent="0.3">
      <c r="J70382"/>
    </row>
    <row r="70383" spans="10:10" x14ac:dyDescent="0.3">
      <c r="J70383"/>
    </row>
    <row r="70384" spans="10:10" x14ac:dyDescent="0.3">
      <c r="J70384"/>
    </row>
    <row r="70385" spans="10:10" x14ac:dyDescent="0.3">
      <c r="J70385"/>
    </row>
    <row r="70386" spans="10:10" x14ac:dyDescent="0.3">
      <c r="J70386"/>
    </row>
    <row r="70387" spans="10:10" x14ac:dyDescent="0.3">
      <c r="J70387"/>
    </row>
    <row r="70388" spans="10:10" x14ac:dyDescent="0.3">
      <c r="J70388"/>
    </row>
    <row r="70389" spans="10:10" x14ac:dyDescent="0.3">
      <c r="J70389"/>
    </row>
    <row r="70390" spans="10:10" x14ac:dyDescent="0.3">
      <c r="J70390"/>
    </row>
    <row r="70391" spans="10:10" x14ac:dyDescent="0.3">
      <c r="J70391"/>
    </row>
    <row r="70392" spans="10:10" x14ac:dyDescent="0.3">
      <c r="J70392"/>
    </row>
    <row r="70393" spans="10:10" x14ac:dyDescent="0.3">
      <c r="J70393"/>
    </row>
    <row r="70394" spans="10:10" x14ac:dyDescent="0.3">
      <c r="J70394"/>
    </row>
    <row r="70395" spans="10:10" x14ac:dyDescent="0.3">
      <c r="J70395"/>
    </row>
    <row r="70396" spans="10:10" x14ac:dyDescent="0.3">
      <c r="J70396"/>
    </row>
    <row r="70397" spans="10:10" x14ac:dyDescent="0.3">
      <c r="J70397"/>
    </row>
    <row r="70398" spans="10:10" x14ac:dyDescent="0.3">
      <c r="J70398"/>
    </row>
    <row r="70399" spans="10:10" x14ac:dyDescent="0.3">
      <c r="J70399"/>
    </row>
    <row r="70400" spans="10:10" x14ac:dyDescent="0.3">
      <c r="J70400"/>
    </row>
    <row r="70401" spans="10:10" x14ac:dyDescent="0.3">
      <c r="J70401"/>
    </row>
    <row r="70402" spans="10:10" x14ac:dyDescent="0.3">
      <c r="J70402"/>
    </row>
    <row r="70403" spans="10:10" x14ac:dyDescent="0.3">
      <c r="J70403"/>
    </row>
    <row r="70404" spans="10:10" x14ac:dyDescent="0.3">
      <c r="J70404"/>
    </row>
    <row r="70405" spans="10:10" x14ac:dyDescent="0.3">
      <c r="J70405"/>
    </row>
    <row r="70406" spans="10:10" x14ac:dyDescent="0.3">
      <c r="J70406"/>
    </row>
    <row r="70407" spans="10:10" x14ac:dyDescent="0.3">
      <c r="J70407"/>
    </row>
    <row r="70408" spans="10:10" x14ac:dyDescent="0.3">
      <c r="J70408"/>
    </row>
    <row r="70409" spans="10:10" x14ac:dyDescent="0.3">
      <c r="J70409"/>
    </row>
    <row r="70410" spans="10:10" x14ac:dyDescent="0.3">
      <c r="J70410"/>
    </row>
    <row r="70411" spans="10:10" x14ac:dyDescent="0.3">
      <c r="J70411"/>
    </row>
    <row r="70412" spans="10:10" x14ac:dyDescent="0.3">
      <c r="J70412"/>
    </row>
    <row r="70413" spans="10:10" x14ac:dyDescent="0.3">
      <c r="J70413"/>
    </row>
    <row r="70414" spans="10:10" x14ac:dyDescent="0.3">
      <c r="J70414"/>
    </row>
    <row r="70415" spans="10:10" x14ac:dyDescent="0.3">
      <c r="J70415"/>
    </row>
    <row r="70416" spans="10:10" x14ac:dyDescent="0.3">
      <c r="J70416"/>
    </row>
    <row r="70417" spans="10:10" x14ac:dyDescent="0.3">
      <c r="J70417"/>
    </row>
    <row r="70418" spans="10:10" x14ac:dyDescent="0.3">
      <c r="J70418"/>
    </row>
    <row r="70419" spans="10:10" x14ac:dyDescent="0.3">
      <c r="J70419"/>
    </row>
    <row r="70420" spans="10:10" x14ac:dyDescent="0.3">
      <c r="J70420"/>
    </row>
    <row r="70421" spans="10:10" x14ac:dyDescent="0.3">
      <c r="J70421"/>
    </row>
    <row r="70422" spans="10:10" x14ac:dyDescent="0.3">
      <c r="J70422"/>
    </row>
    <row r="70423" spans="10:10" x14ac:dyDescent="0.3">
      <c r="J70423"/>
    </row>
    <row r="70424" spans="10:10" x14ac:dyDescent="0.3">
      <c r="J70424"/>
    </row>
    <row r="70425" spans="10:10" x14ac:dyDescent="0.3">
      <c r="J70425"/>
    </row>
    <row r="70426" spans="10:10" x14ac:dyDescent="0.3">
      <c r="J70426"/>
    </row>
    <row r="70427" spans="10:10" x14ac:dyDescent="0.3">
      <c r="J70427"/>
    </row>
    <row r="70428" spans="10:10" x14ac:dyDescent="0.3">
      <c r="J70428"/>
    </row>
    <row r="70429" spans="10:10" x14ac:dyDescent="0.3">
      <c r="J70429"/>
    </row>
    <row r="70430" spans="10:10" x14ac:dyDescent="0.3">
      <c r="J70430"/>
    </row>
    <row r="70431" spans="10:10" x14ac:dyDescent="0.3">
      <c r="J70431"/>
    </row>
    <row r="70432" spans="10:10" x14ac:dyDescent="0.3">
      <c r="J70432"/>
    </row>
    <row r="70433" spans="10:10" x14ac:dyDescent="0.3">
      <c r="J70433"/>
    </row>
    <row r="70434" spans="10:10" x14ac:dyDescent="0.3">
      <c r="J70434"/>
    </row>
    <row r="70435" spans="10:10" x14ac:dyDescent="0.3">
      <c r="J70435"/>
    </row>
    <row r="70436" spans="10:10" x14ac:dyDescent="0.3">
      <c r="J70436"/>
    </row>
    <row r="70437" spans="10:10" x14ac:dyDescent="0.3">
      <c r="J70437"/>
    </row>
    <row r="70438" spans="10:10" x14ac:dyDescent="0.3">
      <c r="J70438"/>
    </row>
    <row r="70439" spans="10:10" x14ac:dyDescent="0.3">
      <c r="J70439"/>
    </row>
    <row r="70440" spans="10:10" x14ac:dyDescent="0.3">
      <c r="J70440"/>
    </row>
    <row r="70441" spans="10:10" x14ac:dyDescent="0.3">
      <c r="J70441"/>
    </row>
    <row r="70442" spans="10:10" x14ac:dyDescent="0.3">
      <c r="J70442"/>
    </row>
    <row r="70443" spans="10:10" x14ac:dyDescent="0.3">
      <c r="J70443"/>
    </row>
    <row r="70444" spans="10:10" x14ac:dyDescent="0.3">
      <c r="J70444"/>
    </row>
    <row r="70445" spans="10:10" x14ac:dyDescent="0.3">
      <c r="J70445"/>
    </row>
    <row r="70446" spans="10:10" x14ac:dyDescent="0.3">
      <c r="J70446"/>
    </row>
    <row r="70447" spans="10:10" x14ac:dyDescent="0.3">
      <c r="J70447"/>
    </row>
    <row r="70448" spans="10:10" x14ac:dyDescent="0.3">
      <c r="J70448"/>
    </row>
    <row r="70449" spans="10:10" x14ac:dyDescent="0.3">
      <c r="J70449"/>
    </row>
    <row r="70450" spans="10:10" x14ac:dyDescent="0.3">
      <c r="J70450"/>
    </row>
    <row r="70451" spans="10:10" x14ac:dyDescent="0.3">
      <c r="J70451"/>
    </row>
    <row r="70452" spans="10:10" x14ac:dyDescent="0.3">
      <c r="J70452"/>
    </row>
    <row r="70453" spans="10:10" x14ac:dyDescent="0.3">
      <c r="J70453"/>
    </row>
    <row r="70454" spans="10:10" x14ac:dyDescent="0.3">
      <c r="J70454"/>
    </row>
    <row r="70455" spans="10:10" x14ac:dyDescent="0.3">
      <c r="J70455"/>
    </row>
    <row r="70456" spans="10:10" x14ac:dyDescent="0.3">
      <c r="J70456"/>
    </row>
    <row r="70457" spans="10:10" x14ac:dyDescent="0.3">
      <c r="J70457"/>
    </row>
    <row r="70458" spans="10:10" x14ac:dyDescent="0.3">
      <c r="J70458"/>
    </row>
    <row r="70459" spans="10:10" x14ac:dyDescent="0.3">
      <c r="J70459"/>
    </row>
    <row r="70460" spans="10:10" x14ac:dyDescent="0.3">
      <c r="J70460"/>
    </row>
    <row r="70461" spans="10:10" x14ac:dyDescent="0.3">
      <c r="J70461"/>
    </row>
    <row r="70462" spans="10:10" x14ac:dyDescent="0.3">
      <c r="J70462"/>
    </row>
    <row r="70463" spans="10:10" x14ac:dyDescent="0.3">
      <c r="J70463"/>
    </row>
    <row r="70464" spans="10:10" x14ac:dyDescent="0.3">
      <c r="J70464"/>
    </row>
    <row r="70465" spans="10:10" x14ac:dyDescent="0.3">
      <c r="J70465"/>
    </row>
    <row r="70466" spans="10:10" x14ac:dyDescent="0.3">
      <c r="J70466"/>
    </row>
    <row r="70467" spans="10:10" x14ac:dyDescent="0.3">
      <c r="J70467"/>
    </row>
    <row r="70468" spans="10:10" x14ac:dyDescent="0.3">
      <c r="J70468"/>
    </row>
    <row r="70469" spans="10:10" x14ac:dyDescent="0.3">
      <c r="J70469"/>
    </row>
    <row r="70470" spans="10:10" x14ac:dyDescent="0.3">
      <c r="J70470"/>
    </row>
    <row r="70471" spans="10:10" x14ac:dyDescent="0.3">
      <c r="J70471"/>
    </row>
    <row r="70472" spans="10:10" x14ac:dyDescent="0.3">
      <c r="J70472"/>
    </row>
    <row r="70473" spans="10:10" x14ac:dyDescent="0.3">
      <c r="J70473"/>
    </row>
    <row r="70474" spans="10:10" x14ac:dyDescent="0.3">
      <c r="J70474"/>
    </row>
    <row r="70475" spans="10:10" x14ac:dyDescent="0.3">
      <c r="J70475"/>
    </row>
    <row r="70476" spans="10:10" x14ac:dyDescent="0.3">
      <c r="J70476"/>
    </row>
    <row r="70477" spans="10:10" x14ac:dyDescent="0.3">
      <c r="J70477"/>
    </row>
    <row r="70478" spans="10:10" x14ac:dyDescent="0.3">
      <c r="J70478"/>
    </row>
    <row r="70479" spans="10:10" x14ac:dyDescent="0.3">
      <c r="J70479"/>
    </row>
    <row r="70480" spans="10:10" x14ac:dyDescent="0.3">
      <c r="J70480"/>
    </row>
    <row r="70481" spans="10:10" x14ac:dyDescent="0.3">
      <c r="J70481"/>
    </row>
    <row r="70482" spans="10:10" x14ac:dyDescent="0.3">
      <c r="J70482"/>
    </row>
    <row r="70483" spans="10:10" x14ac:dyDescent="0.3">
      <c r="J70483"/>
    </row>
    <row r="70484" spans="10:10" x14ac:dyDescent="0.3">
      <c r="J70484"/>
    </row>
    <row r="70485" spans="10:10" x14ac:dyDescent="0.3">
      <c r="J70485"/>
    </row>
    <row r="70486" spans="10:10" x14ac:dyDescent="0.3">
      <c r="J70486"/>
    </row>
    <row r="70487" spans="10:10" x14ac:dyDescent="0.3">
      <c r="J70487"/>
    </row>
    <row r="70488" spans="10:10" x14ac:dyDescent="0.3">
      <c r="J70488"/>
    </row>
    <row r="70489" spans="10:10" x14ac:dyDescent="0.3">
      <c r="J70489"/>
    </row>
    <row r="70490" spans="10:10" x14ac:dyDescent="0.3">
      <c r="J70490"/>
    </row>
    <row r="70491" spans="10:10" x14ac:dyDescent="0.3">
      <c r="J70491"/>
    </row>
    <row r="70492" spans="10:10" x14ac:dyDescent="0.3">
      <c r="J70492"/>
    </row>
    <row r="70493" spans="10:10" x14ac:dyDescent="0.3">
      <c r="J70493"/>
    </row>
    <row r="70494" spans="10:10" x14ac:dyDescent="0.3">
      <c r="J70494"/>
    </row>
    <row r="70495" spans="10:10" x14ac:dyDescent="0.3">
      <c r="J70495"/>
    </row>
    <row r="70496" spans="10:10" x14ac:dyDescent="0.3">
      <c r="J70496"/>
    </row>
    <row r="70497" spans="10:10" x14ac:dyDescent="0.3">
      <c r="J70497"/>
    </row>
    <row r="70498" spans="10:10" x14ac:dyDescent="0.3">
      <c r="J70498"/>
    </row>
    <row r="70499" spans="10:10" x14ac:dyDescent="0.3">
      <c r="J70499"/>
    </row>
    <row r="70500" spans="10:10" x14ac:dyDescent="0.3">
      <c r="J70500"/>
    </row>
    <row r="70501" spans="10:10" x14ac:dyDescent="0.3">
      <c r="J70501"/>
    </row>
    <row r="70502" spans="10:10" x14ac:dyDescent="0.3">
      <c r="J70502"/>
    </row>
    <row r="70503" spans="10:10" x14ac:dyDescent="0.3">
      <c r="J70503"/>
    </row>
    <row r="70504" spans="10:10" x14ac:dyDescent="0.3">
      <c r="J70504"/>
    </row>
    <row r="70505" spans="10:10" x14ac:dyDescent="0.3">
      <c r="J70505"/>
    </row>
    <row r="70506" spans="10:10" x14ac:dyDescent="0.3">
      <c r="J70506"/>
    </row>
    <row r="70507" spans="10:10" x14ac:dyDescent="0.3">
      <c r="J70507"/>
    </row>
    <row r="70508" spans="10:10" x14ac:dyDescent="0.3">
      <c r="J70508"/>
    </row>
    <row r="70509" spans="10:10" x14ac:dyDescent="0.3">
      <c r="J70509"/>
    </row>
    <row r="70510" spans="10:10" x14ac:dyDescent="0.3">
      <c r="J70510"/>
    </row>
    <row r="70511" spans="10:10" x14ac:dyDescent="0.3">
      <c r="J70511"/>
    </row>
    <row r="70512" spans="10:10" x14ac:dyDescent="0.3">
      <c r="J70512"/>
    </row>
    <row r="70513" spans="10:10" x14ac:dyDescent="0.3">
      <c r="J70513"/>
    </row>
    <row r="70514" spans="10:10" x14ac:dyDescent="0.3">
      <c r="J70514"/>
    </row>
    <row r="70515" spans="10:10" x14ac:dyDescent="0.3">
      <c r="J70515"/>
    </row>
    <row r="70516" spans="10:10" x14ac:dyDescent="0.3">
      <c r="J70516"/>
    </row>
    <row r="70517" spans="10:10" x14ac:dyDescent="0.3">
      <c r="J70517"/>
    </row>
    <row r="70518" spans="10:10" x14ac:dyDescent="0.3">
      <c r="J70518"/>
    </row>
    <row r="70519" spans="10:10" x14ac:dyDescent="0.3">
      <c r="J70519"/>
    </row>
    <row r="70520" spans="10:10" x14ac:dyDescent="0.3">
      <c r="J70520"/>
    </row>
    <row r="70521" spans="10:10" x14ac:dyDescent="0.3">
      <c r="J70521"/>
    </row>
    <row r="70522" spans="10:10" x14ac:dyDescent="0.3">
      <c r="J70522"/>
    </row>
    <row r="70523" spans="10:10" x14ac:dyDescent="0.3">
      <c r="J70523"/>
    </row>
    <row r="70524" spans="10:10" x14ac:dyDescent="0.3">
      <c r="J70524"/>
    </row>
    <row r="70525" spans="10:10" x14ac:dyDescent="0.3">
      <c r="J70525"/>
    </row>
    <row r="70526" spans="10:10" x14ac:dyDescent="0.3">
      <c r="J70526"/>
    </row>
    <row r="70527" spans="10:10" x14ac:dyDescent="0.3">
      <c r="J70527"/>
    </row>
    <row r="70528" spans="10:10" x14ac:dyDescent="0.3">
      <c r="J70528"/>
    </row>
    <row r="70529" spans="10:10" x14ac:dyDescent="0.3">
      <c r="J70529"/>
    </row>
    <row r="70530" spans="10:10" x14ac:dyDescent="0.3">
      <c r="J70530"/>
    </row>
    <row r="70531" spans="10:10" x14ac:dyDescent="0.3">
      <c r="J70531"/>
    </row>
    <row r="70532" spans="10:10" x14ac:dyDescent="0.3">
      <c r="J70532"/>
    </row>
    <row r="70533" spans="10:10" x14ac:dyDescent="0.3">
      <c r="J70533"/>
    </row>
    <row r="70534" spans="10:10" x14ac:dyDescent="0.3">
      <c r="J70534"/>
    </row>
    <row r="70535" spans="10:10" x14ac:dyDescent="0.3">
      <c r="J70535"/>
    </row>
    <row r="70536" spans="10:10" x14ac:dyDescent="0.3">
      <c r="J70536"/>
    </row>
    <row r="70537" spans="10:10" x14ac:dyDescent="0.3">
      <c r="J70537"/>
    </row>
    <row r="70538" spans="10:10" x14ac:dyDescent="0.3">
      <c r="J70538"/>
    </row>
    <row r="70539" spans="10:10" x14ac:dyDescent="0.3">
      <c r="J70539"/>
    </row>
    <row r="70540" spans="10:10" x14ac:dyDescent="0.3">
      <c r="J70540"/>
    </row>
    <row r="70541" spans="10:10" x14ac:dyDescent="0.3">
      <c r="J70541"/>
    </row>
    <row r="70542" spans="10:10" x14ac:dyDescent="0.3">
      <c r="J70542"/>
    </row>
    <row r="70543" spans="10:10" x14ac:dyDescent="0.3">
      <c r="J70543"/>
    </row>
    <row r="70544" spans="10:10" x14ac:dyDescent="0.3">
      <c r="J70544"/>
    </row>
    <row r="70545" spans="10:10" x14ac:dyDescent="0.3">
      <c r="J70545"/>
    </row>
    <row r="70546" spans="10:10" x14ac:dyDescent="0.3">
      <c r="J70546"/>
    </row>
    <row r="70547" spans="10:10" x14ac:dyDescent="0.3">
      <c r="J70547"/>
    </row>
    <row r="70548" spans="10:10" x14ac:dyDescent="0.3">
      <c r="J70548"/>
    </row>
    <row r="70549" spans="10:10" x14ac:dyDescent="0.3">
      <c r="J70549"/>
    </row>
    <row r="70550" spans="10:10" x14ac:dyDescent="0.3">
      <c r="J70550"/>
    </row>
    <row r="70551" spans="10:10" x14ac:dyDescent="0.3">
      <c r="J70551"/>
    </row>
    <row r="70552" spans="10:10" x14ac:dyDescent="0.3">
      <c r="J70552"/>
    </row>
    <row r="70553" spans="10:10" x14ac:dyDescent="0.3">
      <c r="J70553"/>
    </row>
    <row r="70554" spans="10:10" x14ac:dyDescent="0.3">
      <c r="J70554"/>
    </row>
    <row r="70555" spans="10:10" x14ac:dyDescent="0.3">
      <c r="J70555"/>
    </row>
    <row r="70556" spans="10:10" x14ac:dyDescent="0.3">
      <c r="J70556"/>
    </row>
    <row r="70557" spans="10:10" x14ac:dyDescent="0.3">
      <c r="J70557"/>
    </row>
    <row r="70558" spans="10:10" x14ac:dyDescent="0.3">
      <c r="J70558"/>
    </row>
    <row r="70559" spans="10:10" x14ac:dyDescent="0.3">
      <c r="J70559"/>
    </row>
    <row r="70560" spans="10:10" x14ac:dyDescent="0.3">
      <c r="J70560"/>
    </row>
    <row r="70561" spans="10:10" x14ac:dyDescent="0.3">
      <c r="J70561"/>
    </row>
    <row r="70562" spans="10:10" x14ac:dyDescent="0.3">
      <c r="J70562"/>
    </row>
    <row r="70563" spans="10:10" x14ac:dyDescent="0.3">
      <c r="J70563"/>
    </row>
    <row r="70564" spans="10:10" x14ac:dyDescent="0.3">
      <c r="J70564"/>
    </row>
    <row r="70565" spans="10:10" x14ac:dyDescent="0.3">
      <c r="J70565"/>
    </row>
    <row r="70566" spans="10:10" x14ac:dyDescent="0.3">
      <c r="J70566"/>
    </row>
    <row r="70567" spans="10:10" x14ac:dyDescent="0.3">
      <c r="J70567"/>
    </row>
    <row r="70568" spans="10:10" x14ac:dyDescent="0.3">
      <c r="J70568"/>
    </row>
    <row r="70569" spans="10:10" x14ac:dyDescent="0.3">
      <c r="J70569"/>
    </row>
    <row r="70570" spans="10:10" x14ac:dyDescent="0.3">
      <c r="J70570"/>
    </row>
    <row r="70571" spans="10:10" x14ac:dyDescent="0.3">
      <c r="J70571"/>
    </row>
    <row r="70572" spans="10:10" x14ac:dyDescent="0.3">
      <c r="J70572"/>
    </row>
    <row r="70573" spans="10:10" x14ac:dyDescent="0.3">
      <c r="J70573"/>
    </row>
    <row r="70574" spans="10:10" x14ac:dyDescent="0.3">
      <c r="J70574"/>
    </row>
    <row r="70575" spans="10:10" x14ac:dyDescent="0.3">
      <c r="J70575"/>
    </row>
    <row r="70576" spans="10:10" x14ac:dyDescent="0.3">
      <c r="J70576"/>
    </row>
    <row r="70577" spans="10:10" x14ac:dyDescent="0.3">
      <c r="J70577"/>
    </row>
    <row r="70578" spans="10:10" x14ac:dyDescent="0.3">
      <c r="J70578"/>
    </row>
    <row r="70579" spans="10:10" x14ac:dyDescent="0.3">
      <c r="J70579"/>
    </row>
    <row r="70580" spans="10:10" x14ac:dyDescent="0.3">
      <c r="J70580"/>
    </row>
    <row r="70581" spans="10:10" x14ac:dyDescent="0.3">
      <c r="J70581"/>
    </row>
    <row r="70582" spans="10:10" x14ac:dyDescent="0.3">
      <c r="J70582"/>
    </row>
    <row r="70583" spans="10:10" x14ac:dyDescent="0.3">
      <c r="J70583"/>
    </row>
    <row r="70584" spans="10:10" x14ac:dyDescent="0.3">
      <c r="J70584"/>
    </row>
    <row r="70585" spans="10:10" x14ac:dyDescent="0.3">
      <c r="J70585"/>
    </row>
    <row r="70586" spans="10:10" x14ac:dyDescent="0.3">
      <c r="J70586"/>
    </row>
    <row r="70587" spans="10:10" x14ac:dyDescent="0.3">
      <c r="J70587"/>
    </row>
    <row r="70588" spans="10:10" x14ac:dyDescent="0.3">
      <c r="J70588"/>
    </row>
    <row r="70589" spans="10:10" x14ac:dyDescent="0.3">
      <c r="J70589"/>
    </row>
    <row r="70590" spans="10:10" x14ac:dyDescent="0.3">
      <c r="J70590"/>
    </row>
    <row r="70591" spans="10:10" x14ac:dyDescent="0.3">
      <c r="J70591"/>
    </row>
    <row r="70592" spans="10:10" x14ac:dyDescent="0.3">
      <c r="J70592"/>
    </row>
    <row r="70593" spans="10:10" x14ac:dyDescent="0.3">
      <c r="J70593"/>
    </row>
    <row r="70594" spans="10:10" x14ac:dyDescent="0.3">
      <c r="J70594"/>
    </row>
    <row r="70595" spans="10:10" x14ac:dyDescent="0.3">
      <c r="J70595"/>
    </row>
    <row r="70596" spans="10:10" x14ac:dyDescent="0.3">
      <c r="J70596"/>
    </row>
    <row r="70597" spans="10:10" x14ac:dyDescent="0.3">
      <c r="J70597"/>
    </row>
    <row r="70598" spans="10:10" x14ac:dyDescent="0.3">
      <c r="J70598"/>
    </row>
    <row r="70599" spans="10:10" x14ac:dyDescent="0.3">
      <c r="J70599"/>
    </row>
    <row r="70600" spans="10:10" x14ac:dyDescent="0.3">
      <c r="J70600"/>
    </row>
    <row r="70601" spans="10:10" x14ac:dyDescent="0.3">
      <c r="J70601"/>
    </row>
    <row r="70602" spans="10:10" x14ac:dyDescent="0.3">
      <c r="J70602"/>
    </row>
    <row r="70603" spans="10:10" x14ac:dyDescent="0.3">
      <c r="J70603"/>
    </row>
    <row r="70604" spans="10:10" x14ac:dyDescent="0.3">
      <c r="J70604"/>
    </row>
    <row r="70605" spans="10:10" x14ac:dyDescent="0.3">
      <c r="J70605"/>
    </row>
    <row r="70606" spans="10:10" x14ac:dyDescent="0.3">
      <c r="J70606"/>
    </row>
    <row r="70607" spans="10:10" x14ac:dyDescent="0.3">
      <c r="J70607"/>
    </row>
    <row r="70608" spans="10:10" x14ac:dyDescent="0.3">
      <c r="J70608"/>
    </row>
    <row r="70609" spans="10:10" x14ac:dyDescent="0.3">
      <c r="J70609"/>
    </row>
    <row r="70610" spans="10:10" x14ac:dyDescent="0.3">
      <c r="J70610"/>
    </row>
    <row r="70611" spans="10:10" x14ac:dyDescent="0.3">
      <c r="J70611"/>
    </row>
    <row r="70612" spans="10:10" x14ac:dyDescent="0.3">
      <c r="J70612"/>
    </row>
    <row r="70613" spans="10:10" x14ac:dyDescent="0.3">
      <c r="J70613"/>
    </row>
    <row r="70614" spans="10:10" x14ac:dyDescent="0.3">
      <c r="J70614"/>
    </row>
    <row r="70615" spans="10:10" x14ac:dyDescent="0.3">
      <c r="J70615"/>
    </row>
    <row r="70616" spans="10:10" x14ac:dyDescent="0.3">
      <c r="J70616"/>
    </row>
    <row r="70617" spans="10:10" x14ac:dyDescent="0.3">
      <c r="J70617"/>
    </row>
    <row r="70618" spans="10:10" x14ac:dyDescent="0.3">
      <c r="J70618"/>
    </row>
    <row r="70619" spans="10:10" x14ac:dyDescent="0.3">
      <c r="J70619"/>
    </row>
    <row r="70620" spans="10:10" x14ac:dyDescent="0.3">
      <c r="J70620"/>
    </row>
    <row r="70621" spans="10:10" x14ac:dyDescent="0.3">
      <c r="J70621"/>
    </row>
    <row r="70622" spans="10:10" x14ac:dyDescent="0.3">
      <c r="J70622"/>
    </row>
    <row r="70623" spans="10:10" x14ac:dyDescent="0.3">
      <c r="J70623"/>
    </row>
    <row r="70624" spans="10:10" x14ac:dyDescent="0.3">
      <c r="J70624"/>
    </row>
    <row r="70625" spans="10:10" x14ac:dyDescent="0.3">
      <c r="J70625"/>
    </row>
    <row r="70626" spans="10:10" x14ac:dyDescent="0.3">
      <c r="J70626"/>
    </row>
    <row r="70627" spans="10:10" x14ac:dyDescent="0.3">
      <c r="J70627"/>
    </row>
    <row r="70628" spans="10:10" x14ac:dyDescent="0.3">
      <c r="J70628"/>
    </row>
    <row r="70629" spans="10:10" x14ac:dyDescent="0.3">
      <c r="J70629"/>
    </row>
    <row r="70630" spans="10:10" x14ac:dyDescent="0.3">
      <c r="J70630"/>
    </row>
    <row r="70631" spans="10:10" x14ac:dyDescent="0.3">
      <c r="J70631"/>
    </row>
    <row r="70632" spans="10:10" x14ac:dyDescent="0.3">
      <c r="J70632"/>
    </row>
    <row r="70633" spans="10:10" x14ac:dyDescent="0.3">
      <c r="J70633"/>
    </row>
    <row r="70634" spans="10:10" x14ac:dyDescent="0.3">
      <c r="J70634"/>
    </row>
    <row r="70635" spans="10:10" x14ac:dyDescent="0.3">
      <c r="J70635"/>
    </row>
    <row r="70636" spans="10:10" x14ac:dyDescent="0.3">
      <c r="J70636"/>
    </row>
    <row r="70637" spans="10:10" x14ac:dyDescent="0.3">
      <c r="J70637"/>
    </row>
    <row r="70638" spans="10:10" x14ac:dyDescent="0.3">
      <c r="J70638"/>
    </row>
    <row r="70639" spans="10:10" x14ac:dyDescent="0.3">
      <c r="J70639"/>
    </row>
    <row r="70640" spans="10:10" x14ac:dyDescent="0.3">
      <c r="J70640"/>
    </row>
    <row r="70641" spans="10:10" x14ac:dyDescent="0.3">
      <c r="J70641"/>
    </row>
    <row r="70642" spans="10:10" x14ac:dyDescent="0.3">
      <c r="J70642"/>
    </row>
    <row r="70643" spans="10:10" x14ac:dyDescent="0.3">
      <c r="J70643"/>
    </row>
    <row r="70644" spans="10:10" x14ac:dyDescent="0.3">
      <c r="J70644"/>
    </row>
    <row r="70645" spans="10:10" x14ac:dyDescent="0.3">
      <c r="J70645"/>
    </row>
    <row r="70646" spans="10:10" x14ac:dyDescent="0.3">
      <c r="J70646"/>
    </row>
    <row r="70647" spans="10:10" x14ac:dyDescent="0.3">
      <c r="J70647"/>
    </row>
    <row r="70648" spans="10:10" x14ac:dyDescent="0.3">
      <c r="J70648"/>
    </row>
    <row r="70649" spans="10:10" x14ac:dyDescent="0.3">
      <c r="J70649"/>
    </row>
    <row r="70650" spans="10:10" x14ac:dyDescent="0.3">
      <c r="J70650"/>
    </row>
    <row r="70651" spans="10:10" x14ac:dyDescent="0.3">
      <c r="J70651"/>
    </row>
    <row r="70652" spans="10:10" x14ac:dyDescent="0.3">
      <c r="J70652"/>
    </row>
    <row r="70653" spans="10:10" x14ac:dyDescent="0.3">
      <c r="J70653"/>
    </row>
    <row r="70654" spans="10:10" x14ac:dyDescent="0.3">
      <c r="J70654"/>
    </row>
    <row r="70655" spans="10:10" x14ac:dyDescent="0.3">
      <c r="J70655"/>
    </row>
    <row r="70656" spans="10:10" x14ac:dyDescent="0.3">
      <c r="J70656"/>
    </row>
    <row r="70657" spans="10:10" x14ac:dyDescent="0.3">
      <c r="J70657"/>
    </row>
    <row r="70658" spans="10:10" x14ac:dyDescent="0.3">
      <c r="J70658"/>
    </row>
    <row r="70659" spans="10:10" x14ac:dyDescent="0.3">
      <c r="J70659"/>
    </row>
    <row r="70660" spans="10:10" x14ac:dyDescent="0.3">
      <c r="J70660"/>
    </row>
    <row r="70661" spans="10:10" x14ac:dyDescent="0.3">
      <c r="J70661"/>
    </row>
    <row r="70662" spans="10:10" x14ac:dyDescent="0.3">
      <c r="J70662"/>
    </row>
    <row r="70663" spans="10:10" x14ac:dyDescent="0.3">
      <c r="J70663"/>
    </row>
    <row r="70664" spans="10:10" x14ac:dyDescent="0.3">
      <c r="J70664"/>
    </row>
    <row r="70665" spans="10:10" x14ac:dyDescent="0.3">
      <c r="J70665"/>
    </row>
    <row r="70666" spans="10:10" x14ac:dyDescent="0.3">
      <c r="J70666"/>
    </row>
    <row r="70667" spans="10:10" x14ac:dyDescent="0.3">
      <c r="J70667"/>
    </row>
    <row r="70668" spans="10:10" x14ac:dyDescent="0.3">
      <c r="J70668"/>
    </row>
    <row r="70669" spans="10:10" x14ac:dyDescent="0.3">
      <c r="J70669"/>
    </row>
    <row r="70670" spans="10:10" x14ac:dyDescent="0.3">
      <c r="J70670"/>
    </row>
    <row r="70671" spans="10:10" x14ac:dyDescent="0.3">
      <c r="J70671"/>
    </row>
    <row r="70672" spans="10:10" x14ac:dyDescent="0.3">
      <c r="J70672"/>
    </row>
    <row r="70673" spans="10:10" x14ac:dyDescent="0.3">
      <c r="J70673"/>
    </row>
    <row r="70674" spans="10:10" x14ac:dyDescent="0.3">
      <c r="J70674"/>
    </row>
    <row r="70675" spans="10:10" x14ac:dyDescent="0.3">
      <c r="J70675"/>
    </row>
    <row r="70676" spans="10:10" x14ac:dyDescent="0.3">
      <c r="J70676"/>
    </row>
    <row r="70677" spans="10:10" x14ac:dyDescent="0.3">
      <c r="J70677"/>
    </row>
    <row r="70678" spans="10:10" x14ac:dyDescent="0.3">
      <c r="J70678"/>
    </row>
    <row r="70679" spans="10:10" x14ac:dyDescent="0.3">
      <c r="J70679"/>
    </row>
    <row r="70680" spans="10:10" x14ac:dyDescent="0.3">
      <c r="J70680"/>
    </row>
    <row r="70681" spans="10:10" x14ac:dyDescent="0.3">
      <c r="J70681"/>
    </row>
    <row r="70682" spans="10:10" x14ac:dyDescent="0.3">
      <c r="J70682"/>
    </row>
    <row r="70683" spans="10:10" x14ac:dyDescent="0.3">
      <c r="J70683"/>
    </row>
    <row r="70684" spans="10:10" x14ac:dyDescent="0.3">
      <c r="J70684"/>
    </row>
    <row r="70685" spans="10:10" x14ac:dyDescent="0.3">
      <c r="J70685"/>
    </row>
    <row r="70686" spans="10:10" x14ac:dyDescent="0.3">
      <c r="J70686"/>
    </row>
    <row r="70687" spans="10:10" x14ac:dyDescent="0.3">
      <c r="J70687"/>
    </row>
    <row r="70688" spans="10:10" x14ac:dyDescent="0.3">
      <c r="J70688"/>
    </row>
    <row r="70689" spans="10:10" x14ac:dyDescent="0.3">
      <c r="J70689"/>
    </row>
    <row r="70690" spans="10:10" x14ac:dyDescent="0.3">
      <c r="J70690"/>
    </row>
    <row r="70691" spans="10:10" x14ac:dyDescent="0.3">
      <c r="J70691"/>
    </row>
    <row r="70692" spans="10:10" x14ac:dyDescent="0.3">
      <c r="J70692"/>
    </row>
    <row r="70693" spans="10:10" x14ac:dyDescent="0.3">
      <c r="J70693"/>
    </row>
    <row r="70694" spans="10:10" x14ac:dyDescent="0.3">
      <c r="J70694"/>
    </row>
    <row r="70695" spans="10:10" x14ac:dyDescent="0.3">
      <c r="J70695"/>
    </row>
    <row r="70696" spans="10:10" x14ac:dyDescent="0.3">
      <c r="J70696"/>
    </row>
    <row r="70697" spans="10:10" x14ac:dyDescent="0.3">
      <c r="J70697"/>
    </row>
    <row r="70698" spans="10:10" x14ac:dyDescent="0.3">
      <c r="J70698"/>
    </row>
    <row r="70699" spans="10:10" x14ac:dyDescent="0.3">
      <c r="J70699"/>
    </row>
    <row r="70700" spans="10:10" x14ac:dyDescent="0.3">
      <c r="J70700"/>
    </row>
    <row r="70701" spans="10:10" x14ac:dyDescent="0.3">
      <c r="J70701"/>
    </row>
    <row r="70702" spans="10:10" x14ac:dyDescent="0.3">
      <c r="J70702"/>
    </row>
    <row r="70703" spans="10:10" x14ac:dyDescent="0.3">
      <c r="J70703"/>
    </row>
    <row r="70704" spans="10:10" x14ac:dyDescent="0.3">
      <c r="J70704"/>
    </row>
    <row r="70705" spans="10:10" x14ac:dyDescent="0.3">
      <c r="J70705"/>
    </row>
    <row r="70706" spans="10:10" x14ac:dyDescent="0.3">
      <c r="J70706"/>
    </row>
    <row r="70707" spans="10:10" x14ac:dyDescent="0.3">
      <c r="J70707"/>
    </row>
    <row r="70708" spans="10:10" x14ac:dyDescent="0.3">
      <c r="J70708"/>
    </row>
    <row r="70709" spans="10:10" x14ac:dyDescent="0.3">
      <c r="J70709"/>
    </row>
    <row r="70710" spans="10:10" x14ac:dyDescent="0.3">
      <c r="J70710"/>
    </row>
    <row r="70711" spans="10:10" x14ac:dyDescent="0.3">
      <c r="J70711"/>
    </row>
    <row r="70712" spans="10:10" x14ac:dyDescent="0.3">
      <c r="J70712"/>
    </row>
    <row r="70713" spans="10:10" x14ac:dyDescent="0.3">
      <c r="J70713"/>
    </row>
    <row r="70714" spans="10:10" x14ac:dyDescent="0.3">
      <c r="J70714"/>
    </row>
    <row r="70715" spans="10:10" x14ac:dyDescent="0.3">
      <c r="J70715"/>
    </row>
    <row r="70716" spans="10:10" x14ac:dyDescent="0.3">
      <c r="J70716"/>
    </row>
    <row r="70717" spans="10:10" x14ac:dyDescent="0.3">
      <c r="J70717"/>
    </row>
    <row r="70718" spans="10:10" x14ac:dyDescent="0.3">
      <c r="J70718"/>
    </row>
    <row r="70719" spans="10:10" x14ac:dyDescent="0.3">
      <c r="J70719"/>
    </row>
    <row r="70720" spans="10:10" x14ac:dyDescent="0.3">
      <c r="J70720"/>
    </row>
    <row r="70721" spans="10:10" x14ac:dyDescent="0.3">
      <c r="J70721"/>
    </row>
    <row r="70722" spans="10:10" x14ac:dyDescent="0.3">
      <c r="J70722"/>
    </row>
    <row r="70723" spans="10:10" x14ac:dyDescent="0.3">
      <c r="J70723"/>
    </row>
    <row r="70724" spans="10:10" x14ac:dyDescent="0.3">
      <c r="J70724"/>
    </row>
    <row r="70725" spans="10:10" x14ac:dyDescent="0.3">
      <c r="J70725"/>
    </row>
    <row r="70726" spans="10:10" x14ac:dyDescent="0.3">
      <c r="J70726"/>
    </row>
    <row r="70727" spans="10:10" x14ac:dyDescent="0.3">
      <c r="J70727"/>
    </row>
    <row r="70728" spans="10:10" x14ac:dyDescent="0.3">
      <c r="J70728"/>
    </row>
    <row r="70729" spans="10:10" x14ac:dyDescent="0.3">
      <c r="J70729"/>
    </row>
    <row r="70730" spans="10:10" x14ac:dyDescent="0.3">
      <c r="J70730"/>
    </row>
    <row r="70731" spans="10:10" x14ac:dyDescent="0.3">
      <c r="J70731"/>
    </row>
    <row r="70732" spans="10:10" x14ac:dyDescent="0.3">
      <c r="J70732"/>
    </row>
    <row r="70733" spans="10:10" x14ac:dyDescent="0.3">
      <c r="J70733"/>
    </row>
    <row r="70734" spans="10:10" x14ac:dyDescent="0.3">
      <c r="J70734"/>
    </row>
    <row r="70735" spans="10:10" x14ac:dyDescent="0.3">
      <c r="J70735"/>
    </row>
    <row r="70736" spans="10:10" x14ac:dyDescent="0.3">
      <c r="J70736"/>
    </row>
    <row r="70737" spans="10:10" x14ac:dyDescent="0.3">
      <c r="J70737"/>
    </row>
    <row r="70738" spans="10:10" x14ac:dyDescent="0.3">
      <c r="J70738"/>
    </row>
    <row r="70739" spans="10:10" x14ac:dyDescent="0.3">
      <c r="J70739"/>
    </row>
    <row r="70740" spans="10:10" x14ac:dyDescent="0.3">
      <c r="J70740"/>
    </row>
    <row r="70741" spans="10:10" x14ac:dyDescent="0.3">
      <c r="J70741"/>
    </row>
    <row r="70742" spans="10:10" x14ac:dyDescent="0.3">
      <c r="J70742"/>
    </row>
    <row r="70743" spans="10:10" x14ac:dyDescent="0.3">
      <c r="J70743"/>
    </row>
    <row r="70744" spans="10:10" x14ac:dyDescent="0.3">
      <c r="J70744"/>
    </row>
    <row r="70745" spans="10:10" x14ac:dyDescent="0.3">
      <c r="J70745"/>
    </row>
    <row r="70746" spans="10:10" x14ac:dyDescent="0.3">
      <c r="J70746"/>
    </row>
    <row r="70747" spans="10:10" x14ac:dyDescent="0.3">
      <c r="J70747"/>
    </row>
    <row r="70748" spans="10:10" x14ac:dyDescent="0.3">
      <c r="J70748"/>
    </row>
    <row r="70749" spans="10:10" x14ac:dyDescent="0.3">
      <c r="J70749"/>
    </row>
    <row r="70750" spans="10:10" x14ac:dyDescent="0.3">
      <c r="J70750"/>
    </row>
    <row r="70751" spans="10:10" x14ac:dyDescent="0.3">
      <c r="J70751"/>
    </row>
    <row r="70752" spans="10:10" x14ac:dyDescent="0.3">
      <c r="J70752"/>
    </row>
    <row r="70753" spans="10:10" x14ac:dyDescent="0.3">
      <c r="J70753"/>
    </row>
    <row r="70754" spans="10:10" x14ac:dyDescent="0.3">
      <c r="J70754"/>
    </row>
    <row r="70755" spans="10:10" x14ac:dyDescent="0.3">
      <c r="J70755"/>
    </row>
    <row r="70756" spans="10:10" x14ac:dyDescent="0.3">
      <c r="J70756"/>
    </row>
    <row r="70757" spans="10:10" x14ac:dyDescent="0.3">
      <c r="J70757"/>
    </row>
    <row r="70758" spans="10:10" x14ac:dyDescent="0.3">
      <c r="J70758"/>
    </row>
    <row r="70759" spans="10:10" x14ac:dyDescent="0.3">
      <c r="J70759"/>
    </row>
    <row r="70760" spans="10:10" x14ac:dyDescent="0.3">
      <c r="J70760"/>
    </row>
    <row r="70761" spans="10:10" x14ac:dyDescent="0.3">
      <c r="J70761"/>
    </row>
    <row r="70762" spans="10:10" x14ac:dyDescent="0.3">
      <c r="J70762"/>
    </row>
    <row r="70763" spans="10:10" x14ac:dyDescent="0.3">
      <c r="J70763"/>
    </row>
    <row r="70764" spans="10:10" x14ac:dyDescent="0.3">
      <c r="J70764"/>
    </row>
    <row r="70765" spans="10:10" x14ac:dyDescent="0.3">
      <c r="J70765"/>
    </row>
    <row r="70766" spans="10:10" x14ac:dyDescent="0.3">
      <c r="J70766"/>
    </row>
    <row r="70767" spans="10:10" x14ac:dyDescent="0.3">
      <c r="J70767"/>
    </row>
    <row r="70768" spans="10:10" x14ac:dyDescent="0.3">
      <c r="J70768"/>
    </row>
    <row r="70769" spans="10:10" x14ac:dyDescent="0.3">
      <c r="J70769"/>
    </row>
    <row r="70770" spans="10:10" x14ac:dyDescent="0.3">
      <c r="J70770"/>
    </row>
    <row r="70771" spans="10:10" x14ac:dyDescent="0.3">
      <c r="J70771"/>
    </row>
    <row r="70772" spans="10:10" x14ac:dyDescent="0.3">
      <c r="J70772"/>
    </row>
    <row r="70773" spans="10:10" x14ac:dyDescent="0.3">
      <c r="J70773"/>
    </row>
    <row r="70774" spans="10:10" x14ac:dyDescent="0.3">
      <c r="J70774"/>
    </row>
    <row r="70775" spans="10:10" x14ac:dyDescent="0.3">
      <c r="J70775"/>
    </row>
    <row r="70776" spans="10:10" x14ac:dyDescent="0.3">
      <c r="J70776"/>
    </row>
    <row r="70777" spans="10:10" x14ac:dyDescent="0.3">
      <c r="J70777"/>
    </row>
    <row r="70778" spans="10:10" x14ac:dyDescent="0.3">
      <c r="J70778"/>
    </row>
    <row r="70779" spans="10:10" x14ac:dyDescent="0.3">
      <c r="J70779"/>
    </row>
    <row r="70780" spans="10:10" x14ac:dyDescent="0.3">
      <c r="J70780"/>
    </row>
    <row r="70781" spans="10:10" x14ac:dyDescent="0.3">
      <c r="J70781"/>
    </row>
    <row r="70782" spans="10:10" x14ac:dyDescent="0.3">
      <c r="J70782"/>
    </row>
    <row r="70783" spans="10:10" x14ac:dyDescent="0.3">
      <c r="J70783"/>
    </row>
    <row r="70784" spans="10:10" x14ac:dyDescent="0.3">
      <c r="J70784"/>
    </row>
    <row r="70785" spans="10:10" x14ac:dyDescent="0.3">
      <c r="J70785"/>
    </row>
    <row r="70786" spans="10:10" x14ac:dyDescent="0.3">
      <c r="J70786"/>
    </row>
    <row r="70787" spans="10:10" x14ac:dyDescent="0.3">
      <c r="J70787"/>
    </row>
    <row r="70788" spans="10:10" x14ac:dyDescent="0.3">
      <c r="J70788"/>
    </row>
    <row r="70789" spans="10:10" x14ac:dyDescent="0.3">
      <c r="J70789"/>
    </row>
    <row r="70790" spans="10:10" x14ac:dyDescent="0.3">
      <c r="J70790"/>
    </row>
    <row r="70791" spans="10:10" x14ac:dyDescent="0.3">
      <c r="J70791"/>
    </row>
    <row r="70792" spans="10:10" x14ac:dyDescent="0.3">
      <c r="J70792"/>
    </row>
    <row r="70793" spans="10:10" x14ac:dyDescent="0.3">
      <c r="J70793"/>
    </row>
    <row r="70794" spans="10:10" x14ac:dyDescent="0.3">
      <c r="J70794"/>
    </row>
    <row r="70795" spans="10:10" x14ac:dyDescent="0.3">
      <c r="J70795"/>
    </row>
    <row r="70796" spans="10:10" x14ac:dyDescent="0.3">
      <c r="J70796"/>
    </row>
    <row r="70797" spans="10:10" x14ac:dyDescent="0.3">
      <c r="J70797"/>
    </row>
    <row r="70798" spans="10:10" x14ac:dyDescent="0.3">
      <c r="J70798"/>
    </row>
    <row r="70799" spans="10:10" x14ac:dyDescent="0.3">
      <c r="J70799"/>
    </row>
    <row r="70800" spans="10:10" x14ac:dyDescent="0.3">
      <c r="J70800"/>
    </row>
    <row r="70801" spans="10:10" x14ac:dyDescent="0.3">
      <c r="J70801"/>
    </row>
    <row r="70802" spans="10:10" x14ac:dyDescent="0.3">
      <c r="J70802"/>
    </row>
    <row r="70803" spans="10:10" x14ac:dyDescent="0.3">
      <c r="J70803"/>
    </row>
    <row r="70804" spans="10:10" x14ac:dyDescent="0.3">
      <c r="J70804"/>
    </row>
    <row r="70805" spans="10:10" x14ac:dyDescent="0.3">
      <c r="J70805"/>
    </row>
    <row r="70806" spans="10:10" x14ac:dyDescent="0.3">
      <c r="J70806"/>
    </row>
    <row r="70807" spans="10:10" x14ac:dyDescent="0.3">
      <c r="J70807"/>
    </row>
    <row r="70808" spans="10:10" x14ac:dyDescent="0.3">
      <c r="J70808"/>
    </row>
    <row r="70809" spans="10:10" x14ac:dyDescent="0.3">
      <c r="J70809"/>
    </row>
    <row r="70810" spans="10:10" x14ac:dyDescent="0.3">
      <c r="J70810"/>
    </row>
    <row r="70811" spans="10:10" x14ac:dyDescent="0.3">
      <c r="J70811"/>
    </row>
    <row r="70812" spans="10:10" x14ac:dyDescent="0.3">
      <c r="J70812"/>
    </row>
    <row r="70813" spans="10:10" x14ac:dyDescent="0.3">
      <c r="J70813"/>
    </row>
    <row r="70814" spans="10:10" x14ac:dyDescent="0.3">
      <c r="J70814"/>
    </row>
    <row r="70815" spans="10:10" x14ac:dyDescent="0.3">
      <c r="J70815"/>
    </row>
    <row r="70816" spans="10:10" x14ac:dyDescent="0.3">
      <c r="J70816"/>
    </row>
    <row r="70817" spans="10:10" x14ac:dyDescent="0.3">
      <c r="J70817"/>
    </row>
    <row r="70818" spans="10:10" x14ac:dyDescent="0.3">
      <c r="J70818"/>
    </row>
    <row r="70819" spans="10:10" x14ac:dyDescent="0.3">
      <c r="J70819"/>
    </row>
    <row r="70820" spans="10:10" x14ac:dyDescent="0.3">
      <c r="J70820"/>
    </row>
    <row r="70821" spans="10:10" x14ac:dyDescent="0.3">
      <c r="J70821"/>
    </row>
    <row r="70822" spans="10:10" x14ac:dyDescent="0.3">
      <c r="J70822"/>
    </row>
    <row r="70823" spans="10:10" x14ac:dyDescent="0.3">
      <c r="J70823"/>
    </row>
    <row r="70824" spans="10:10" x14ac:dyDescent="0.3">
      <c r="J70824"/>
    </row>
    <row r="70825" spans="10:10" x14ac:dyDescent="0.3">
      <c r="J70825"/>
    </row>
    <row r="70826" spans="10:10" x14ac:dyDescent="0.3">
      <c r="J70826"/>
    </row>
    <row r="70827" spans="10:10" x14ac:dyDescent="0.3">
      <c r="J70827"/>
    </row>
    <row r="70828" spans="10:10" x14ac:dyDescent="0.3">
      <c r="J70828"/>
    </row>
    <row r="70829" spans="10:10" x14ac:dyDescent="0.3">
      <c r="J70829"/>
    </row>
    <row r="70830" spans="10:10" x14ac:dyDescent="0.3">
      <c r="J70830"/>
    </row>
    <row r="70831" spans="10:10" x14ac:dyDescent="0.3">
      <c r="J70831"/>
    </row>
    <row r="70832" spans="10:10" x14ac:dyDescent="0.3">
      <c r="J70832"/>
    </row>
    <row r="70833" spans="10:10" x14ac:dyDescent="0.3">
      <c r="J70833"/>
    </row>
    <row r="70834" spans="10:10" x14ac:dyDescent="0.3">
      <c r="J70834"/>
    </row>
    <row r="70835" spans="10:10" x14ac:dyDescent="0.3">
      <c r="J70835"/>
    </row>
    <row r="70836" spans="10:10" x14ac:dyDescent="0.3">
      <c r="J70836"/>
    </row>
    <row r="70837" spans="10:10" x14ac:dyDescent="0.3">
      <c r="J70837"/>
    </row>
    <row r="70838" spans="10:10" x14ac:dyDescent="0.3">
      <c r="J70838"/>
    </row>
    <row r="70839" spans="10:10" x14ac:dyDescent="0.3">
      <c r="J70839"/>
    </row>
    <row r="70840" spans="10:10" x14ac:dyDescent="0.3">
      <c r="J70840"/>
    </row>
    <row r="70841" spans="10:10" x14ac:dyDescent="0.3">
      <c r="J70841"/>
    </row>
    <row r="70842" spans="10:10" x14ac:dyDescent="0.3">
      <c r="J70842"/>
    </row>
    <row r="70843" spans="10:10" x14ac:dyDescent="0.3">
      <c r="J70843"/>
    </row>
    <row r="70844" spans="10:10" x14ac:dyDescent="0.3">
      <c r="J70844"/>
    </row>
    <row r="70845" spans="10:10" x14ac:dyDescent="0.3">
      <c r="J70845"/>
    </row>
    <row r="70846" spans="10:10" x14ac:dyDescent="0.3">
      <c r="J70846"/>
    </row>
    <row r="70847" spans="10:10" x14ac:dyDescent="0.3">
      <c r="J70847"/>
    </row>
    <row r="70848" spans="10:10" x14ac:dyDescent="0.3">
      <c r="J70848"/>
    </row>
    <row r="70849" spans="10:10" x14ac:dyDescent="0.3">
      <c r="J70849"/>
    </row>
    <row r="70850" spans="10:10" x14ac:dyDescent="0.3">
      <c r="J70850"/>
    </row>
    <row r="70851" spans="10:10" x14ac:dyDescent="0.3">
      <c r="J70851"/>
    </row>
    <row r="70852" spans="10:10" x14ac:dyDescent="0.3">
      <c r="J70852"/>
    </row>
    <row r="70853" spans="10:10" x14ac:dyDescent="0.3">
      <c r="J70853"/>
    </row>
    <row r="70854" spans="10:10" x14ac:dyDescent="0.3">
      <c r="J70854"/>
    </row>
    <row r="70855" spans="10:10" x14ac:dyDescent="0.3">
      <c r="J70855"/>
    </row>
    <row r="70856" spans="10:10" x14ac:dyDescent="0.3">
      <c r="J70856"/>
    </row>
    <row r="70857" spans="10:10" x14ac:dyDescent="0.3">
      <c r="J70857"/>
    </row>
    <row r="70858" spans="10:10" x14ac:dyDescent="0.3">
      <c r="J70858"/>
    </row>
    <row r="70859" spans="10:10" x14ac:dyDescent="0.3">
      <c r="J70859"/>
    </row>
    <row r="70860" spans="10:10" x14ac:dyDescent="0.3">
      <c r="J70860"/>
    </row>
    <row r="70861" spans="10:10" x14ac:dyDescent="0.3">
      <c r="J70861"/>
    </row>
    <row r="70862" spans="10:10" x14ac:dyDescent="0.3">
      <c r="J70862"/>
    </row>
    <row r="70863" spans="10:10" x14ac:dyDescent="0.3">
      <c r="J70863"/>
    </row>
    <row r="70864" spans="10:10" x14ac:dyDescent="0.3">
      <c r="J70864"/>
    </row>
    <row r="70865" spans="10:10" x14ac:dyDescent="0.3">
      <c r="J70865"/>
    </row>
    <row r="70866" spans="10:10" x14ac:dyDescent="0.3">
      <c r="J70866"/>
    </row>
    <row r="70867" spans="10:10" x14ac:dyDescent="0.3">
      <c r="J70867"/>
    </row>
    <row r="70868" spans="10:10" x14ac:dyDescent="0.3">
      <c r="J70868"/>
    </row>
    <row r="70869" spans="10:10" x14ac:dyDescent="0.3">
      <c r="J70869"/>
    </row>
    <row r="70870" spans="10:10" x14ac:dyDescent="0.3">
      <c r="J70870"/>
    </row>
    <row r="70871" spans="10:10" x14ac:dyDescent="0.3">
      <c r="J70871"/>
    </row>
    <row r="70872" spans="10:10" x14ac:dyDescent="0.3">
      <c r="J70872"/>
    </row>
    <row r="70873" spans="10:10" x14ac:dyDescent="0.3">
      <c r="J70873"/>
    </row>
    <row r="70874" spans="10:10" x14ac:dyDescent="0.3">
      <c r="J70874"/>
    </row>
    <row r="70875" spans="10:10" x14ac:dyDescent="0.3">
      <c r="J70875"/>
    </row>
    <row r="70876" spans="10:10" x14ac:dyDescent="0.3">
      <c r="J70876"/>
    </row>
    <row r="70877" spans="10:10" x14ac:dyDescent="0.3">
      <c r="J70877"/>
    </row>
    <row r="70878" spans="10:10" x14ac:dyDescent="0.3">
      <c r="J70878"/>
    </row>
    <row r="70879" spans="10:10" x14ac:dyDescent="0.3">
      <c r="J70879"/>
    </row>
    <row r="70880" spans="10:10" x14ac:dyDescent="0.3">
      <c r="J70880"/>
    </row>
    <row r="70881" spans="10:10" x14ac:dyDescent="0.3">
      <c r="J70881"/>
    </row>
    <row r="70882" spans="10:10" x14ac:dyDescent="0.3">
      <c r="J70882"/>
    </row>
    <row r="70883" spans="10:10" x14ac:dyDescent="0.3">
      <c r="J70883"/>
    </row>
    <row r="70884" spans="10:10" x14ac:dyDescent="0.3">
      <c r="J70884"/>
    </row>
    <row r="70885" spans="10:10" x14ac:dyDescent="0.3">
      <c r="J70885"/>
    </row>
    <row r="70886" spans="10:10" x14ac:dyDescent="0.3">
      <c r="J70886"/>
    </row>
    <row r="70887" spans="10:10" x14ac:dyDescent="0.3">
      <c r="J70887"/>
    </row>
    <row r="70888" spans="10:10" x14ac:dyDescent="0.3">
      <c r="J70888"/>
    </row>
    <row r="70889" spans="10:10" x14ac:dyDescent="0.3">
      <c r="J70889"/>
    </row>
    <row r="70890" spans="10:10" x14ac:dyDescent="0.3">
      <c r="J70890"/>
    </row>
    <row r="70891" spans="10:10" x14ac:dyDescent="0.3">
      <c r="J70891"/>
    </row>
    <row r="70892" spans="10:10" x14ac:dyDescent="0.3">
      <c r="J70892"/>
    </row>
    <row r="70893" spans="10:10" x14ac:dyDescent="0.3">
      <c r="J70893"/>
    </row>
    <row r="70894" spans="10:10" x14ac:dyDescent="0.3">
      <c r="J70894"/>
    </row>
    <row r="70895" spans="10:10" x14ac:dyDescent="0.3">
      <c r="J70895"/>
    </row>
    <row r="70896" spans="10:10" x14ac:dyDescent="0.3">
      <c r="J70896"/>
    </row>
    <row r="70897" spans="10:10" x14ac:dyDescent="0.3">
      <c r="J70897"/>
    </row>
    <row r="70898" spans="10:10" x14ac:dyDescent="0.3">
      <c r="J70898"/>
    </row>
    <row r="70899" spans="10:10" x14ac:dyDescent="0.3">
      <c r="J70899"/>
    </row>
    <row r="70900" spans="10:10" x14ac:dyDescent="0.3">
      <c r="J70900"/>
    </row>
    <row r="70901" spans="10:10" x14ac:dyDescent="0.3">
      <c r="J70901"/>
    </row>
    <row r="70902" spans="10:10" x14ac:dyDescent="0.3">
      <c r="J70902"/>
    </row>
    <row r="70903" spans="10:10" x14ac:dyDescent="0.3">
      <c r="J70903"/>
    </row>
    <row r="70904" spans="10:10" x14ac:dyDescent="0.3">
      <c r="J70904"/>
    </row>
    <row r="70905" spans="10:10" x14ac:dyDescent="0.3">
      <c r="J70905"/>
    </row>
    <row r="70906" spans="10:10" x14ac:dyDescent="0.3">
      <c r="J70906"/>
    </row>
    <row r="70907" spans="10:10" x14ac:dyDescent="0.3">
      <c r="J70907"/>
    </row>
    <row r="70908" spans="10:10" x14ac:dyDescent="0.3">
      <c r="J70908"/>
    </row>
    <row r="70909" spans="10:10" x14ac:dyDescent="0.3">
      <c r="J70909"/>
    </row>
    <row r="70910" spans="10:10" x14ac:dyDescent="0.3">
      <c r="J70910"/>
    </row>
    <row r="70911" spans="10:10" x14ac:dyDescent="0.3">
      <c r="J70911"/>
    </row>
    <row r="70912" spans="10:10" x14ac:dyDescent="0.3">
      <c r="J70912"/>
    </row>
    <row r="70913" spans="10:10" x14ac:dyDescent="0.3">
      <c r="J70913"/>
    </row>
    <row r="70914" spans="10:10" x14ac:dyDescent="0.3">
      <c r="J70914"/>
    </row>
    <row r="70915" spans="10:10" x14ac:dyDescent="0.3">
      <c r="J70915"/>
    </row>
    <row r="70916" spans="10:10" x14ac:dyDescent="0.3">
      <c r="J70916"/>
    </row>
    <row r="70917" spans="10:10" x14ac:dyDescent="0.3">
      <c r="J70917"/>
    </row>
    <row r="70918" spans="10:10" x14ac:dyDescent="0.3">
      <c r="J70918"/>
    </row>
    <row r="70919" spans="10:10" x14ac:dyDescent="0.3">
      <c r="J70919"/>
    </row>
    <row r="70920" spans="10:10" x14ac:dyDescent="0.3">
      <c r="J70920"/>
    </row>
    <row r="70921" spans="10:10" x14ac:dyDescent="0.3">
      <c r="J70921"/>
    </row>
    <row r="70922" spans="10:10" x14ac:dyDescent="0.3">
      <c r="J70922"/>
    </row>
    <row r="70923" spans="10:10" x14ac:dyDescent="0.3">
      <c r="J70923"/>
    </row>
    <row r="70924" spans="10:10" x14ac:dyDescent="0.3">
      <c r="J70924"/>
    </row>
    <row r="70925" spans="10:10" x14ac:dyDescent="0.3">
      <c r="J70925"/>
    </row>
    <row r="70926" spans="10:10" x14ac:dyDescent="0.3">
      <c r="J70926"/>
    </row>
    <row r="70927" spans="10:10" x14ac:dyDescent="0.3">
      <c r="J70927"/>
    </row>
    <row r="70928" spans="10:10" x14ac:dyDescent="0.3">
      <c r="J70928"/>
    </row>
    <row r="70929" spans="10:10" x14ac:dyDescent="0.3">
      <c r="J70929"/>
    </row>
    <row r="70930" spans="10:10" x14ac:dyDescent="0.3">
      <c r="J70930"/>
    </row>
    <row r="70931" spans="10:10" x14ac:dyDescent="0.3">
      <c r="J70931"/>
    </row>
    <row r="70932" spans="10:10" x14ac:dyDescent="0.3">
      <c r="J70932"/>
    </row>
    <row r="70933" spans="10:10" x14ac:dyDescent="0.3">
      <c r="J70933"/>
    </row>
    <row r="70934" spans="10:10" x14ac:dyDescent="0.3">
      <c r="J70934"/>
    </row>
    <row r="70935" spans="10:10" x14ac:dyDescent="0.3">
      <c r="J70935"/>
    </row>
    <row r="70936" spans="10:10" x14ac:dyDescent="0.3">
      <c r="J70936"/>
    </row>
    <row r="70937" spans="10:10" x14ac:dyDescent="0.3">
      <c r="J70937"/>
    </row>
    <row r="70938" spans="10:10" x14ac:dyDescent="0.3">
      <c r="J70938"/>
    </row>
    <row r="70939" spans="10:10" x14ac:dyDescent="0.3">
      <c r="J70939"/>
    </row>
    <row r="70940" spans="10:10" x14ac:dyDescent="0.3">
      <c r="J70940"/>
    </row>
    <row r="70941" spans="10:10" x14ac:dyDescent="0.3">
      <c r="J70941"/>
    </row>
    <row r="70942" spans="10:10" x14ac:dyDescent="0.3">
      <c r="J70942"/>
    </row>
    <row r="70943" spans="10:10" x14ac:dyDescent="0.3">
      <c r="J70943"/>
    </row>
    <row r="70944" spans="10:10" x14ac:dyDescent="0.3">
      <c r="J70944"/>
    </row>
    <row r="70945" spans="10:10" x14ac:dyDescent="0.3">
      <c r="J70945"/>
    </row>
    <row r="70946" spans="10:10" x14ac:dyDescent="0.3">
      <c r="J70946"/>
    </row>
    <row r="70947" spans="10:10" x14ac:dyDescent="0.3">
      <c r="J70947"/>
    </row>
    <row r="70948" spans="10:10" x14ac:dyDescent="0.3">
      <c r="J70948"/>
    </row>
    <row r="70949" spans="10:10" x14ac:dyDescent="0.3">
      <c r="J70949"/>
    </row>
    <row r="70950" spans="10:10" x14ac:dyDescent="0.3">
      <c r="J70950"/>
    </row>
    <row r="70951" spans="10:10" x14ac:dyDescent="0.3">
      <c r="J70951"/>
    </row>
    <row r="70952" spans="10:10" x14ac:dyDescent="0.3">
      <c r="J70952"/>
    </row>
    <row r="70953" spans="10:10" x14ac:dyDescent="0.3">
      <c r="J70953"/>
    </row>
    <row r="70954" spans="10:10" x14ac:dyDescent="0.3">
      <c r="J70954"/>
    </row>
    <row r="70955" spans="10:10" x14ac:dyDescent="0.3">
      <c r="J70955"/>
    </row>
    <row r="70956" spans="10:10" x14ac:dyDescent="0.3">
      <c r="J70956"/>
    </row>
    <row r="70957" spans="10:10" x14ac:dyDescent="0.3">
      <c r="J70957"/>
    </row>
    <row r="70958" spans="10:10" x14ac:dyDescent="0.3">
      <c r="J70958"/>
    </row>
    <row r="70959" spans="10:10" x14ac:dyDescent="0.3">
      <c r="J70959"/>
    </row>
    <row r="70960" spans="10:10" x14ac:dyDescent="0.3">
      <c r="J70960"/>
    </row>
    <row r="70961" spans="10:10" x14ac:dyDescent="0.3">
      <c r="J70961"/>
    </row>
    <row r="70962" spans="10:10" x14ac:dyDescent="0.3">
      <c r="J70962"/>
    </row>
    <row r="70963" spans="10:10" x14ac:dyDescent="0.3">
      <c r="J70963"/>
    </row>
    <row r="70964" spans="10:10" x14ac:dyDescent="0.3">
      <c r="J70964"/>
    </row>
    <row r="70965" spans="10:10" x14ac:dyDescent="0.3">
      <c r="J70965"/>
    </row>
    <row r="70966" spans="10:10" x14ac:dyDescent="0.3">
      <c r="J70966"/>
    </row>
    <row r="70967" spans="10:10" x14ac:dyDescent="0.3">
      <c r="J70967"/>
    </row>
    <row r="70968" spans="10:10" x14ac:dyDescent="0.3">
      <c r="J70968"/>
    </row>
    <row r="70969" spans="10:10" x14ac:dyDescent="0.3">
      <c r="J70969"/>
    </row>
    <row r="70970" spans="10:10" x14ac:dyDescent="0.3">
      <c r="J70970"/>
    </row>
    <row r="70971" spans="10:10" x14ac:dyDescent="0.3">
      <c r="J70971"/>
    </row>
    <row r="70972" spans="10:10" x14ac:dyDescent="0.3">
      <c r="J70972"/>
    </row>
    <row r="70973" spans="10:10" x14ac:dyDescent="0.3">
      <c r="J70973"/>
    </row>
    <row r="70974" spans="10:10" x14ac:dyDescent="0.3">
      <c r="J70974"/>
    </row>
    <row r="70975" spans="10:10" x14ac:dyDescent="0.3">
      <c r="J70975"/>
    </row>
    <row r="70976" spans="10:10" x14ac:dyDescent="0.3">
      <c r="J70976"/>
    </row>
    <row r="70977" spans="10:10" x14ac:dyDescent="0.3">
      <c r="J70977"/>
    </row>
    <row r="70978" spans="10:10" x14ac:dyDescent="0.3">
      <c r="J70978"/>
    </row>
    <row r="70979" spans="10:10" x14ac:dyDescent="0.3">
      <c r="J70979"/>
    </row>
    <row r="70980" spans="10:10" x14ac:dyDescent="0.3">
      <c r="J70980"/>
    </row>
    <row r="70981" spans="10:10" x14ac:dyDescent="0.3">
      <c r="J70981"/>
    </row>
    <row r="70982" spans="10:10" x14ac:dyDescent="0.3">
      <c r="J70982"/>
    </row>
    <row r="70983" spans="10:10" x14ac:dyDescent="0.3">
      <c r="J70983"/>
    </row>
    <row r="70984" spans="10:10" x14ac:dyDescent="0.3">
      <c r="J70984"/>
    </row>
    <row r="70985" spans="10:10" x14ac:dyDescent="0.3">
      <c r="J70985"/>
    </row>
    <row r="70986" spans="10:10" x14ac:dyDescent="0.3">
      <c r="J70986"/>
    </row>
    <row r="70987" spans="10:10" x14ac:dyDescent="0.3">
      <c r="J70987"/>
    </row>
    <row r="70988" spans="10:10" x14ac:dyDescent="0.3">
      <c r="J70988"/>
    </row>
    <row r="70989" spans="10:10" x14ac:dyDescent="0.3">
      <c r="J70989"/>
    </row>
    <row r="70990" spans="10:10" x14ac:dyDescent="0.3">
      <c r="J70990"/>
    </row>
    <row r="70991" spans="10:10" x14ac:dyDescent="0.3">
      <c r="J70991"/>
    </row>
    <row r="70992" spans="10:10" x14ac:dyDescent="0.3">
      <c r="J70992"/>
    </row>
    <row r="70993" spans="10:10" x14ac:dyDescent="0.3">
      <c r="J70993"/>
    </row>
    <row r="70994" spans="10:10" x14ac:dyDescent="0.3">
      <c r="J70994"/>
    </row>
    <row r="70995" spans="10:10" x14ac:dyDescent="0.3">
      <c r="J70995"/>
    </row>
    <row r="70996" spans="10:10" x14ac:dyDescent="0.3">
      <c r="J70996"/>
    </row>
    <row r="70997" spans="10:10" x14ac:dyDescent="0.3">
      <c r="J70997"/>
    </row>
    <row r="70998" spans="10:10" x14ac:dyDescent="0.3">
      <c r="J70998"/>
    </row>
    <row r="70999" spans="10:10" x14ac:dyDescent="0.3">
      <c r="J70999"/>
    </row>
    <row r="71000" spans="10:10" x14ac:dyDescent="0.3">
      <c r="J71000"/>
    </row>
    <row r="71001" spans="10:10" x14ac:dyDescent="0.3">
      <c r="J71001"/>
    </row>
    <row r="71002" spans="10:10" x14ac:dyDescent="0.3">
      <c r="J71002"/>
    </row>
    <row r="71003" spans="10:10" x14ac:dyDescent="0.3">
      <c r="J71003"/>
    </row>
    <row r="71004" spans="10:10" x14ac:dyDescent="0.3">
      <c r="J71004"/>
    </row>
    <row r="71005" spans="10:10" x14ac:dyDescent="0.3">
      <c r="J71005"/>
    </row>
    <row r="71006" spans="10:10" x14ac:dyDescent="0.3">
      <c r="J71006"/>
    </row>
    <row r="71007" spans="10:10" x14ac:dyDescent="0.3">
      <c r="J71007"/>
    </row>
    <row r="71008" spans="10:10" x14ac:dyDescent="0.3">
      <c r="J71008"/>
    </row>
    <row r="71009" spans="10:10" x14ac:dyDescent="0.3">
      <c r="J71009"/>
    </row>
    <row r="71010" spans="10:10" x14ac:dyDescent="0.3">
      <c r="J71010"/>
    </row>
    <row r="71011" spans="10:10" x14ac:dyDescent="0.3">
      <c r="J71011"/>
    </row>
    <row r="71012" spans="10:10" x14ac:dyDescent="0.3">
      <c r="J71012"/>
    </row>
    <row r="71013" spans="10:10" x14ac:dyDescent="0.3">
      <c r="J71013"/>
    </row>
    <row r="71014" spans="10:10" x14ac:dyDescent="0.3">
      <c r="J71014"/>
    </row>
    <row r="71015" spans="10:10" x14ac:dyDescent="0.3">
      <c r="J71015"/>
    </row>
    <row r="71016" spans="10:10" x14ac:dyDescent="0.3">
      <c r="J71016"/>
    </row>
    <row r="71017" spans="10:10" x14ac:dyDescent="0.3">
      <c r="J71017"/>
    </row>
    <row r="71018" spans="10:10" x14ac:dyDescent="0.3">
      <c r="J71018"/>
    </row>
    <row r="71019" spans="10:10" x14ac:dyDescent="0.3">
      <c r="J71019"/>
    </row>
    <row r="71020" spans="10:10" x14ac:dyDescent="0.3">
      <c r="J71020"/>
    </row>
    <row r="71021" spans="10:10" x14ac:dyDescent="0.3">
      <c r="J71021"/>
    </row>
    <row r="71022" spans="10:10" x14ac:dyDescent="0.3">
      <c r="J71022"/>
    </row>
    <row r="71023" spans="10:10" x14ac:dyDescent="0.3">
      <c r="J71023"/>
    </row>
    <row r="71024" spans="10:10" x14ac:dyDescent="0.3">
      <c r="J71024"/>
    </row>
    <row r="71025" spans="10:10" x14ac:dyDescent="0.3">
      <c r="J71025"/>
    </row>
    <row r="71026" spans="10:10" x14ac:dyDescent="0.3">
      <c r="J71026"/>
    </row>
    <row r="71027" spans="10:10" x14ac:dyDescent="0.3">
      <c r="J71027"/>
    </row>
    <row r="71028" spans="10:10" x14ac:dyDescent="0.3">
      <c r="J71028"/>
    </row>
    <row r="71029" spans="10:10" x14ac:dyDescent="0.3">
      <c r="J71029"/>
    </row>
    <row r="71030" spans="10:10" x14ac:dyDescent="0.3">
      <c r="J71030"/>
    </row>
    <row r="71031" spans="10:10" x14ac:dyDescent="0.3">
      <c r="J71031"/>
    </row>
    <row r="71032" spans="10:10" x14ac:dyDescent="0.3">
      <c r="J71032"/>
    </row>
    <row r="71033" spans="10:10" x14ac:dyDescent="0.3">
      <c r="J71033"/>
    </row>
    <row r="71034" spans="10:10" x14ac:dyDescent="0.3">
      <c r="J71034"/>
    </row>
    <row r="71035" spans="10:10" x14ac:dyDescent="0.3">
      <c r="J71035"/>
    </row>
    <row r="71036" spans="10:10" x14ac:dyDescent="0.3">
      <c r="J71036"/>
    </row>
    <row r="71037" spans="10:10" x14ac:dyDescent="0.3">
      <c r="J71037"/>
    </row>
    <row r="71038" spans="10:10" x14ac:dyDescent="0.3">
      <c r="J71038"/>
    </row>
    <row r="71039" spans="10:10" x14ac:dyDescent="0.3">
      <c r="J71039"/>
    </row>
    <row r="71040" spans="10:10" x14ac:dyDescent="0.3">
      <c r="J71040"/>
    </row>
    <row r="71041" spans="10:10" x14ac:dyDescent="0.3">
      <c r="J71041"/>
    </row>
    <row r="71042" spans="10:10" x14ac:dyDescent="0.3">
      <c r="J71042"/>
    </row>
    <row r="71043" spans="10:10" x14ac:dyDescent="0.3">
      <c r="J71043"/>
    </row>
    <row r="71044" spans="10:10" x14ac:dyDescent="0.3">
      <c r="J71044"/>
    </row>
    <row r="71045" spans="10:10" x14ac:dyDescent="0.3">
      <c r="J71045"/>
    </row>
    <row r="71046" spans="10:10" x14ac:dyDescent="0.3">
      <c r="J71046"/>
    </row>
    <row r="71047" spans="10:10" x14ac:dyDescent="0.3">
      <c r="J71047"/>
    </row>
    <row r="71048" spans="10:10" x14ac:dyDescent="0.3">
      <c r="J71048"/>
    </row>
    <row r="71049" spans="10:10" x14ac:dyDescent="0.3">
      <c r="J71049"/>
    </row>
    <row r="71050" spans="10:10" x14ac:dyDescent="0.3">
      <c r="J71050"/>
    </row>
    <row r="71051" spans="10:10" x14ac:dyDescent="0.3">
      <c r="J71051"/>
    </row>
    <row r="71052" spans="10:10" x14ac:dyDescent="0.3">
      <c r="J71052"/>
    </row>
    <row r="71053" spans="10:10" x14ac:dyDescent="0.3">
      <c r="J71053"/>
    </row>
    <row r="71054" spans="10:10" x14ac:dyDescent="0.3">
      <c r="J71054"/>
    </row>
    <row r="71055" spans="10:10" x14ac:dyDescent="0.3">
      <c r="J71055"/>
    </row>
    <row r="71056" spans="10:10" x14ac:dyDescent="0.3">
      <c r="J71056"/>
    </row>
    <row r="71057" spans="10:10" x14ac:dyDescent="0.3">
      <c r="J71057"/>
    </row>
    <row r="71058" spans="10:10" x14ac:dyDescent="0.3">
      <c r="J71058"/>
    </row>
    <row r="71059" spans="10:10" x14ac:dyDescent="0.3">
      <c r="J71059"/>
    </row>
    <row r="71060" spans="10:10" x14ac:dyDescent="0.3">
      <c r="J71060"/>
    </row>
    <row r="71061" spans="10:10" x14ac:dyDescent="0.3">
      <c r="J71061"/>
    </row>
    <row r="71062" spans="10:10" x14ac:dyDescent="0.3">
      <c r="J71062"/>
    </row>
    <row r="71063" spans="10:10" x14ac:dyDescent="0.3">
      <c r="J71063"/>
    </row>
    <row r="71064" spans="10:10" x14ac:dyDescent="0.3">
      <c r="J71064"/>
    </row>
    <row r="71065" spans="10:10" x14ac:dyDescent="0.3">
      <c r="J71065"/>
    </row>
    <row r="71066" spans="10:10" x14ac:dyDescent="0.3">
      <c r="J71066"/>
    </row>
    <row r="71067" spans="10:10" x14ac:dyDescent="0.3">
      <c r="J71067"/>
    </row>
    <row r="71068" spans="10:10" x14ac:dyDescent="0.3">
      <c r="J71068"/>
    </row>
    <row r="71069" spans="10:10" x14ac:dyDescent="0.3">
      <c r="J71069"/>
    </row>
    <row r="71070" spans="10:10" x14ac:dyDescent="0.3">
      <c r="J71070"/>
    </row>
    <row r="71071" spans="10:10" x14ac:dyDescent="0.3">
      <c r="J71071"/>
    </row>
    <row r="71072" spans="10:10" x14ac:dyDescent="0.3">
      <c r="J71072"/>
    </row>
    <row r="71073" spans="10:10" x14ac:dyDescent="0.3">
      <c r="J71073"/>
    </row>
    <row r="71074" spans="10:10" x14ac:dyDescent="0.3">
      <c r="J71074"/>
    </row>
    <row r="71075" spans="10:10" x14ac:dyDescent="0.3">
      <c r="J71075"/>
    </row>
    <row r="71076" spans="10:10" x14ac:dyDescent="0.3">
      <c r="J71076"/>
    </row>
    <row r="71077" spans="10:10" x14ac:dyDescent="0.3">
      <c r="J71077"/>
    </row>
    <row r="71078" spans="10:10" x14ac:dyDescent="0.3">
      <c r="J71078"/>
    </row>
    <row r="71079" spans="10:10" x14ac:dyDescent="0.3">
      <c r="J71079"/>
    </row>
    <row r="71080" spans="10:10" x14ac:dyDescent="0.3">
      <c r="J71080"/>
    </row>
    <row r="71081" spans="10:10" x14ac:dyDescent="0.3">
      <c r="J71081"/>
    </row>
    <row r="71082" spans="10:10" x14ac:dyDescent="0.3">
      <c r="J71082"/>
    </row>
    <row r="71083" spans="10:10" x14ac:dyDescent="0.3">
      <c r="J71083"/>
    </row>
    <row r="71084" spans="10:10" x14ac:dyDescent="0.3">
      <c r="J71084"/>
    </row>
    <row r="71085" spans="10:10" x14ac:dyDescent="0.3">
      <c r="J71085"/>
    </row>
    <row r="71086" spans="10:10" x14ac:dyDescent="0.3">
      <c r="J71086"/>
    </row>
    <row r="71087" spans="10:10" x14ac:dyDescent="0.3">
      <c r="J71087"/>
    </row>
    <row r="71088" spans="10:10" x14ac:dyDescent="0.3">
      <c r="J71088"/>
    </row>
    <row r="71089" spans="10:10" x14ac:dyDescent="0.3">
      <c r="J71089"/>
    </row>
    <row r="71090" spans="10:10" x14ac:dyDescent="0.3">
      <c r="J71090"/>
    </row>
    <row r="71091" spans="10:10" x14ac:dyDescent="0.3">
      <c r="J71091"/>
    </row>
    <row r="71092" spans="10:10" x14ac:dyDescent="0.3">
      <c r="J71092"/>
    </row>
    <row r="71093" spans="10:10" x14ac:dyDescent="0.3">
      <c r="J71093"/>
    </row>
    <row r="71094" spans="10:10" x14ac:dyDescent="0.3">
      <c r="J71094"/>
    </row>
    <row r="71095" spans="10:10" x14ac:dyDescent="0.3">
      <c r="J71095"/>
    </row>
    <row r="71096" spans="10:10" x14ac:dyDescent="0.3">
      <c r="J71096"/>
    </row>
    <row r="71097" spans="10:10" x14ac:dyDescent="0.3">
      <c r="J71097"/>
    </row>
    <row r="71098" spans="10:10" x14ac:dyDescent="0.3">
      <c r="J71098"/>
    </row>
    <row r="71099" spans="10:10" x14ac:dyDescent="0.3">
      <c r="J71099"/>
    </row>
    <row r="71100" spans="10:10" x14ac:dyDescent="0.3">
      <c r="J71100"/>
    </row>
    <row r="71101" spans="10:10" x14ac:dyDescent="0.3">
      <c r="J71101"/>
    </row>
    <row r="71102" spans="10:10" x14ac:dyDescent="0.3">
      <c r="J71102"/>
    </row>
    <row r="71103" spans="10:10" x14ac:dyDescent="0.3">
      <c r="J71103"/>
    </row>
    <row r="71104" spans="10:10" x14ac:dyDescent="0.3">
      <c r="J71104"/>
    </row>
    <row r="71105" spans="10:10" x14ac:dyDescent="0.3">
      <c r="J71105"/>
    </row>
    <row r="71106" spans="10:10" x14ac:dyDescent="0.3">
      <c r="J71106"/>
    </row>
    <row r="71107" spans="10:10" x14ac:dyDescent="0.3">
      <c r="J71107"/>
    </row>
    <row r="71108" spans="10:10" x14ac:dyDescent="0.3">
      <c r="J71108"/>
    </row>
    <row r="71109" spans="10:10" x14ac:dyDescent="0.3">
      <c r="J71109"/>
    </row>
    <row r="71110" spans="10:10" x14ac:dyDescent="0.3">
      <c r="J71110"/>
    </row>
    <row r="71111" spans="10:10" x14ac:dyDescent="0.3">
      <c r="J71111"/>
    </row>
    <row r="71112" spans="10:10" x14ac:dyDescent="0.3">
      <c r="J71112"/>
    </row>
    <row r="71113" spans="10:10" x14ac:dyDescent="0.3">
      <c r="J71113"/>
    </row>
    <row r="71114" spans="10:10" x14ac:dyDescent="0.3">
      <c r="J71114"/>
    </row>
    <row r="71115" spans="10:10" x14ac:dyDescent="0.3">
      <c r="J71115"/>
    </row>
    <row r="71116" spans="10:10" x14ac:dyDescent="0.3">
      <c r="J71116"/>
    </row>
    <row r="71117" spans="10:10" x14ac:dyDescent="0.3">
      <c r="J71117"/>
    </row>
    <row r="71118" spans="10:10" x14ac:dyDescent="0.3">
      <c r="J71118"/>
    </row>
    <row r="71119" spans="10:10" x14ac:dyDescent="0.3">
      <c r="J71119"/>
    </row>
    <row r="71120" spans="10:10" x14ac:dyDescent="0.3">
      <c r="J71120"/>
    </row>
    <row r="71121" spans="10:10" x14ac:dyDescent="0.3">
      <c r="J71121"/>
    </row>
    <row r="71122" spans="10:10" x14ac:dyDescent="0.3">
      <c r="J71122"/>
    </row>
    <row r="71123" spans="10:10" x14ac:dyDescent="0.3">
      <c r="J71123"/>
    </row>
    <row r="71124" spans="10:10" x14ac:dyDescent="0.3">
      <c r="J71124"/>
    </row>
    <row r="71125" spans="10:10" x14ac:dyDescent="0.3">
      <c r="J71125"/>
    </row>
    <row r="71126" spans="10:10" x14ac:dyDescent="0.3">
      <c r="J71126"/>
    </row>
    <row r="71127" spans="10:10" x14ac:dyDescent="0.3">
      <c r="J71127"/>
    </row>
    <row r="71128" spans="10:10" x14ac:dyDescent="0.3">
      <c r="J71128"/>
    </row>
    <row r="71129" spans="10:10" x14ac:dyDescent="0.3">
      <c r="J71129"/>
    </row>
    <row r="71130" spans="10:10" x14ac:dyDescent="0.3">
      <c r="J71130"/>
    </row>
    <row r="71131" spans="10:10" x14ac:dyDescent="0.3">
      <c r="J71131"/>
    </row>
    <row r="71132" spans="10:10" x14ac:dyDescent="0.3">
      <c r="J71132"/>
    </row>
    <row r="71133" spans="10:10" x14ac:dyDescent="0.3">
      <c r="J71133"/>
    </row>
    <row r="71134" spans="10:10" x14ac:dyDescent="0.3">
      <c r="J71134"/>
    </row>
    <row r="71135" spans="10:10" x14ac:dyDescent="0.3">
      <c r="J71135"/>
    </row>
    <row r="71136" spans="10:10" x14ac:dyDescent="0.3">
      <c r="J71136"/>
    </row>
    <row r="71137" spans="10:10" x14ac:dyDescent="0.3">
      <c r="J71137"/>
    </row>
    <row r="71138" spans="10:10" x14ac:dyDescent="0.3">
      <c r="J71138"/>
    </row>
    <row r="71139" spans="10:10" x14ac:dyDescent="0.3">
      <c r="J71139"/>
    </row>
    <row r="71140" spans="10:10" x14ac:dyDescent="0.3">
      <c r="J71140"/>
    </row>
    <row r="71141" spans="10:10" x14ac:dyDescent="0.3">
      <c r="J71141"/>
    </row>
    <row r="71142" spans="10:10" x14ac:dyDescent="0.3">
      <c r="J71142"/>
    </row>
    <row r="71143" spans="10:10" x14ac:dyDescent="0.3">
      <c r="J71143"/>
    </row>
    <row r="71144" spans="10:10" x14ac:dyDescent="0.3">
      <c r="J71144"/>
    </row>
    <row r="71145" spans="10:10" x14ac:dyDescent="0.3">
      <c r="J71145"/>
    </row>
    <row r="71146" spans="10:10" x14ac:dyDescent="0.3">
      <c r="J71146"/>
    </row>
    <row r="71147" spans="10:10" x14ac:dyDescent="0.3">
      <c r="J71147"/>
    </row>
    <row r="71148" spans="10:10" x14ac:dyDescent="0.3">
      <c r="J71148"/>
    </row>
    <row r="71149" spans="10:10" x14ac:dyDescent="0.3">
      <c r="J71149"/>
    </row>
    <row r="71150" spans="10:10" x14ac:dyDescent="0.3">
      <c r="J71150"/>
    </row>
    <row r="71151" spans="10:10" x14ac:dyDescent="0.3">
      <c r="J71151"/>
    </row>
    <row r="71152" spans="10:10" x14ac:dyDescent="0.3">
      <c r="J71152"/>
    </row>
    <row r="71153" spans="10:10" x14ac:dyDescent="0.3">
      <c r="J71153"/>
    </row>
    <row r="71154" spans="10:10" x14ac:dyDescent="0.3">
      <c r="J71154"/>
    </row>
    <row r="71155" spans="10:10" x14ac:dyDescent="0.3">
      <c r="J71155"/>
    </row>
    <row r="71156" spans="10:10" x14ac:dyDescent="0.3">
      <c r="J71156"/>
    </row>
    <row r="71157" spans="10:10" x14ac:dyDescent="0.3">
      <c r="J71157"/>
    </row>
    <row r="71158" spans="10:10" x14ac:dyDescent="0.3">
      <c r="J71158"/>
    </row>
    <row r="71159" spans="10:10" x14ac:dyDescent="0.3">
      <c r="J71159"/>
    </row>
    <row r="71160" spans="10:10" x14ac:dyDescent="0.3">
      <c r="J71160"/>
    </row>
    <row r="71161" spans="10:10" x14ac:dyDescent="0.3">
      <c r="J71161"/>
    </row>
    <row r="71162" spans="10:10" x14ac:dyDescent="0.3">
      <c r="J71162"/>
    </row>
    <row r="71163" spans="10:10" x14ac:dyDescent="0.3">
      <c r="J71163"/>
    </row>
    <row r="71164" spans="10:10" x14ac:dyDescent="0.3">
      <c r="J71164"/>
    </row>
    <row r="71165" spans="10:10" x14ac:dyDescent="0.3">
      <c r="J71165"/>
    </row>
    <row r="71166" spans="10:10" x14ac:dyDescent="0.3">
      <c r="J71166"/>
    </row>
    <row r="71167" spans="10:10" x14ac:dyDescent="0.3">
      <c r="J71167"/>
    </row>
    <row r="71168" spans="10:10" x14ac:dyDescent="0.3">
      <c r="J71168"/>
    </row>
    <row r="71169" spans="10:10" x14ac:dyDescent="0.3">
      <c r="J71169"/>
    </row>
    <row r="71170" spans="10:10" x14ac:dyDescent="0.3">
      <c r="J71170"/>
    </row>
    <row r="71171" spans="10:10" x14ac:dyDescent="0.3">
      <c r="J71171"/>
    </row>
    <row r="71172" spans="10:10" x14ac:dyDescent="0.3">
      <c r="J71172"/>
    </row>
    <row r="71173" spans="10:10" x14ac:dyDescent="0.3">
      <c r="J71173"/>
    </row>
    <row r="71174" spans="10:10" x14ac:dyDescent="0.3">
      <c r="J71174"/>
    </row>
    <row r="71175" spans="10:10" x14ac:dyDescent="0.3">
      <c r="J71175"/>
    </row>
    <row r="71176" spans="10:10" x14ac:dyDescent="0.3">
      <c r="J71176"/>
    </row>
    <row r="71177" spans="10:10" x14ac:dyDescent="0.3">
      <c r="J71177"/>
    </row>
    <row r="71178" spans="10:10" x14ac:dyDescent="0.3">
      <c r="J71178"/>
    </row>
    <row r="71179" spans="10:10" x14ac:dyDescent="0.3">
      <c r="J71179"/>
    </row>
    <row r="71180" spans="10:10" x14ac:dyDescent="0.3">
      <c r="J71180"/>
    </row>
    <row r="71181" spans="10:10" x14ac:dyDescent="0.3">
      <c r="J71181"/>
    </row>
    <row r="71182" spans="10:10" x14ac:dyDescent="0.3">
      <c r="J71182"/>
    </row>
    <row r="71183" spans="10:10" x14ac:dyDescent="0.3">
      <c r="J71183"/>
    </row>
    <row r="71184" spans="10:10" x14ac:dyDescent="0.3">
      <c r="J71184"/>
    </row>
    <row r="71185" spans="10:10" x14ac:dyDescent="0.3">
      <c r="J71185"/>
    </row>
    <row r="71186" spans="10:10" x14ac:dyDescent="0.3">
      <c r="J71186"/>
    </row>
    <row r="71187" spans="10:10" x14ac:dyDescent="0.3">
      <c r="J71187"/>
    </row>
    <row r="71188" spans="10:10" x14ac:dyDescent="0.3">
      <c r="J71188"/>
    </row>
    <row r="71189" spans="10:10" x14ac:dyDescent="0.3">
      <c r="J71189"/>
    </row>
    <row r="71190" spans="10:10" x14ac:dyDescent="0.3">
      <c r="J71190"/>
    </row>
    <row r="71191" spans="10:10" x14ac:dyDescent="0.3">
      <c r="J71191"/>
    </row>
    <row r="71192" spans="10:10" x14ac:dyDescent="0.3">
      <c r="J71192"/>
    </row>
    <row r="71193" spans="10:10" x14ac:dyDescent="0.3">
      <c r="J71193"/>
    </row>
    <row r="71194" spans="10:10" x14ac:dyDescent="0.3">
      <c r="J71194"/>
    </row>
    <row r="71195" spans="10:10" x14ac:dyDescent="0.3">
      <c r="J71195"/>
    </row>
    <row r="71196" spans="10:10" x14ac:dyDescent="0.3">
      <c r="J71196"/>
    </row>
    <row r="71197" spans="10:10" x14ac:dyDescent="0.3">
      <c r="J71197"/>
    </row>
    <row r="71198" spans="10:10" x14ac:dyDescent="0.3">
      <c r="J71198"/>
    </row>
    <row r="71199" spans="10:10" x14ac:dyDescent="0.3">
      <c r="J71199"/>
    </row>
    <row r="71200" spans="10:10" x14ac:dyDescent="0.3">
      <c r="J71200"/>
    </row>
    <row r="71201" spans="10:10" x14ac:dyDescent="0.3">
      <c r="J71201"/>
    </row>
    <row r="71202" spans="10:10" x14ac:dyDescent="0.3">
      <c r="J71202"/>
    </row>
    <row r="71203" spans="10:10" x14ac:dyDescent="0.3">
      <c r="J71203"/>
    </row>
    <row r="71204" spans="10:10" x14ac:dyDescent="0.3">
      <c r="J71204"/>
    </row>
    <row r="71205" spans="10:10" x14ac:dyDescent="0.3">
      <c r="J71205"/>
    </row>
    <row r="71206" spans="10:10" x14ac:dyDescent="0.3">
      <c r="J71206"/>
    </row>
    <row r="71207" spans="10:10" x14ac:dyDescent="0.3">
      <c r="J71207"/>
    </row>
    <row r="71208" spans="10:10" x14ac:dyDescent="0.3">
      <c r="J71208"/>
    </row>
    <row r="71209" spans="10:10" x14ac:dyDescent="0.3">
      <c r="J71209"/>
    </row>
    <row r="71210" spans="10:10" x14ac:dyDescent="0.3">
      <c r="J71210"/>
    </row>
    <row r="71211" spans="10:10" x14ac:dyDescent="0.3">
      <c r="J71211"/>
    </row>
    <row r="71212" spans="10:10" x14ac:dyDescent="0.3">
      <c r="J71212"/>
    </row>
    <row r="71213" spans="10:10" x14ac:dyDescent="0.3">
      <c r="J71213"/>
    </row>
    <row r="71214" spans="10:10" x14ac:dyDescent="0.3">
      <c r="J71214"/>
    </row>
    <row r="71215" spans="10:10" x14ac:dyDescent="0.3">
      <c r="J71215"/>
    </row>
    <row r="71216" spans="10:10" x14ac:dyDescent="0.3">
      <c r="J71216"/>
    </row>
    <row r="71217" spans="10:10" x14ac:dyDescent="0.3">
      <c r="J71217"/>
    </row>
    <row r="71218" spans="10:10" x14ac:dyDescent="0.3">
      <c r="J71218"/>
    </row>
    <row r="71219" spans="10:10" x14ac:dyDescent="0.3">
      <c r="J71219"/>
    </row>
    <row r="71220" spans="10:10" x14ac:dyDescent="0.3">
      <c r="J71220"/>
    </row>
    <row r="71221" spans="10:10" x14ac:dyDescent="0.3">
      <c r="J71221"/>
    </row>
    <row r="71222" spans="10:10" x14ac:dyDescent="0.3">
      <c r="J71222"/>
    </row>
    <row r="71223" spans="10:10" x14ac:dyDescent="0.3">
      <c r="J71223"/>
    </row>
    <row r="71224" spans="10:10" x14ac:dyDescent="0.3">
      <c r="J71224"/>
    </row>
    <row r="71225" spans="10:10" x14ac:dyDescent="0.3">
      <c r="J71225"/>
    </row>
    <row r="71226" spans="10:10" x14ac:dyDescent="0.3">
      <c r="J71226"/>
    </row>
    <row r="71227" spans="10:10" x14ac:dyDescent="0.3">
      <c r="J71227"/>
    </row>
    <row r="71228" spans="10:10" x14ac:dyDescent="0.3">
      <c r="J71228"/>
    </row>
    <row r="71229" spans="10:10" x14ac:dyDescent="0.3">
      <c r="J71229"/>
    </row>
    <row r="71230" spans="10:10" x14ac:dyDescent="0.3">
      <c r="J71230"/>
    </row>
    <row r="71231" spans="10:10" x14ac:dyDescent="0.3">
      <c r="J71231"/>
    </row>
    <row r="71232" spans="10:10" x14ac:dyDescent="0.3">
      <c r="J71232"/>
    </row>
    <row r="71233" spans="10:10" x14ac:dyDescent="0.3">
      <c r="J71233"/>
    </row>
    <row r="71234" spans="10:10" x14ac:dyDescent="0.3">
      <c r="J71234"/>
    </row>
    <row r="71235" spans="10:10" x14ac:dyDescent="0.3">
      <c r="J71235"/>
    </row>
    <row r="71236" spans="10:10" x14ac:dyDescent="0.3">
      <c r="J71236"/>
    </row>
    <row r="71237" spans="10:10" x14ac:dyDescent="0.3">
      <c r="J71237"/>
    </row>
    <row r="71238" spans="10:10" x14ac:dyDescent="0.3">
      <c r="J71238"/>
    </row>
    <row r="71239" spans="10:10" x14ac:dyDescent="0.3">
      <c r="J71239"/>
    </row>
    <row r="71240" spans="10:10" x14ac:dyDescent="0.3">
      <c r="J71240"/>
    </row>
    <row r="71241" spans="10:10" x14ac:dyDescent="0.3">
      <c r="J71241"/>
    </row>
    <row r="71242" spans="10:10" x14ac:dyDescent="0.3">
      <c r="J71242"/>
    </row>
    <row r="71243" spans="10:10" x14ac:dyDescent="0.3">
      <c r="J71243"/>
    </row>
    <row r="71244" spans="10:10" x14ac:dyDescent="0.3">
      <c r="J71244"/>
    </row>
    <row r="71245" spans="10:10" x14ac:dyDescent="0.3">
      <c r="J71245"/>
    </row>
    <row r="71246" spans="10:10" x14ac:dyDescent="0.3">
      <c r="J71246"/>
    </row>
    <row r="71247" spans="10:10" x14ac:dyDescent="0.3">
      <c r="J71247"/>
    </row>
    <row r="71248" spans="10:10" x14ac:dyDescent="0.3">
      <c r="J71248"/>
    </row>
    <row r="71249" spans="10:10" x14ac:dyDescent="0.3">
      <c r="J71249"/>
    </row>
    <row r="71250" spans="10:10" x14ac:dyDescent="0.3">
      <c r="J71250"/>
    </row>
    <row r="71251" spans="10:10" x14ac:dyDescent="0.3">
      <c r="J71251"/>
    </row>
    <row r="71252" spans="10:10" x14ac:dyDescent="0.3">
      <c r="J71252"/>
    </row>
    <row r="71253" spans="10:10" x14ac:dyDescent="0.3">
      <c r="J71253"/>
    </row>
    <row r="71254" spans="10:10" x14ac:dyDescent="0.3">
      <c r="J71254"/>
    </row>
    <row r="71255" spans="10:10" x14ac:dyDescent="0.3">
      <c r="J71255"/>
    </row>
    <row r="71256" spans="10:10" x14ac:dyDescent="0.3">
      <c r="J71256"/>
    </row>
    <row r="71257" spans="10:10" x14ac:dyDescent="0.3">
      <c r="J71257"/>
    </row>
    <row r="71258" spans="10:10" x14ac:dyDescent="0.3">
      <c r="J71258"/>
    </row>
    <row r="71259" spans="10:10" x14ac:dyDescent="0.3">
      <c r="J71259"/>
    </row>
    <row r="71260" spans="10:10" x14ac:dyDescent="0.3">
      <c r="J71260"/>
    </row>
    <row r="71261" spans="10:10" x14ac:dyDescent="0.3">
      <c r="J71261"/>
    </row>
    <row r="71262" spans="10:10" x14ac:dyDescent="0.3">
      <c r="J71262"/>
    </row>
    <row r="71263" spans="10:10" x14ac:dyDescent="0.3">
      <c r="J71263"/>
    </row>
    <row r="71264" spans="10:10" x14ac:dyDescent="0.3">
      <c r="J71264"/>
    </row>
    <row r="71265" spans="10:10" x14ac:dyDescent="0.3">
      <c r="J71265"/>
    </row>
    <row r="71266" spans="10:10" x14ac:dyDescent="0.3">
      <c r="J71266"/>
    </row>
    <row r="71267" spans="10:10" x14ac:dyDescent="0.3">
      <c r="J71267"/>
    </row>
    <row r="71268" spans="10:10" x14ac:dyDescent="0.3">
      <c r="J71268"/>
    </row>
    <row r="71269" spans="10:10" x14ac:dyDescent="0.3">
      <c r="J71269"/>
    </row>
    <row r="71270" spans="10:10" x14ac:dyDescent="0.3">
      <c r="J71270"/>
    </row>
    <row r="71271" spans="10:10" x14ac:dyDescent="0.3">
      <c r="J71271"/>
    </row>
    <row r="71272" spans="10:10" x14ac:dyDescent="0.3">
      <c r="J71272"/>
    </row>
    <row r="71273" spans="10:10" x14ac:dyDescent="0.3">
      <c r="J71273"/>
    </row>
    <row r="71274" spans="10:10" x14ac:dyDescent="0.3">
      <c r="J71274"/>
    </row>
    <row r="71275" spans="10:10" x14ac:dyDescent="0.3">
      <c r="J71275"/>
    </row>
    <row r="71276" spans="10:10" x14ac:dyDescent="0.3">
      <c r="J71276"/>
    </row>
    <row r="71277" spans="10:10" x14ac:dyDescent="0.3">
      <c r="J71277"/>
    </row>
    <row r="71278" spans="10:10" x14ac:dyDescent="0.3">
      <c r="J71278"/>
    </row>
    <row r="71279" spans="10:10" x14ac:dyDescent="0.3">
      <c r="J71279"/>
    </row>
    <row r="71280" spans="10:10" x14ac:dyDescent="0.3">
      <c r="J71280"/>
    </row>
    <row r="71281" spans="10:10" x14ac:dyDescent="0.3">
      <c r="J71281"/>
    </row>
    <row r="71282" spans="10:10" x14ac:dyDescent="0.3">
      <c r="J71282"/>
    </row>
    <row r="71283" spans="10:10" x14ac:dyDescent="0.3">
      <c r="J71283"/>
    </row>
    <row r="71284" spans="10:10" x14ac:dyDescent="0.3">
      <c r="J71284"/>
    </row>
    <row r="71285" spans="10:10" x14ac:dyDescent="0.3">
      <c r="J71285"/>
    </row>
    <row r="71286" spans="10:10" x14ac:dyDescent="0.3">
      <c r="J71286"/>
    </row>
    <row r="71287" spans="10:10" x14ac:dyDescent="0.3">
      <c r="J71287"/>
    </row>
    <row r="71288" spans="10:10" x14ac:dyDescent="0.3">
      <c r="J71288"/>
    </row>
    <row r="71289" spans="10:10" x14ac:dyDescent="0.3">
      <c r="J71289"/>
    </row>
    <row r="71290" spans="10:10" x14ac:dyDescent="0.3">
      <c r="J71290"/>
    </row>
    <row r="71291" spans="10:10" x14ac:dyDescent="0.3">
      <c r="J71291"/>
    </row>
    <row r="71292" spans="10:10" x14ac:dyDescent="0.3">
      <c r="J71292"/>
    </row>
    <row r="71293" spans="10:10" x14ac:dyDescent="0.3">
      <c r="J71293"/>
    </row>
    <row r="71294" spans="10:10" x14ac:dyDescent="0.3">
      <c r="J71294"/>
    </row>
    <row r="71295" spans="10:10" x14ac:dyDescent="0.3">
      <c r="J71295"/>
    </row>
    <row r="71296" spans="10:10" x14ac:dyDescent="0.3">
      <c r="J71296"/>
    </row>
    <row r="71297" spans="10:10" x14ac:dyDescent="0.3">
      <c r="J71297"/>
    </row>
    <row r="71298" spans="10:10" x14ac:dyDescent="0.3">
      <c r="J71298"/>
    </row>
    <row r="71299" spans="10:10" x14ac:dyDescent="0.3">
      <c r="J71299"/>
    </row>
    <row r="71300" spans="10:10" x14ac:dyDescent="0.3">
      <c r="J71300"/>
    </row>
    <row r="71301" spans="10:10" x14ac:dyDescent="0.3">
      <c r="J71301"/>
    </row>
    <row r="71302" spans="10:10" x14ac:dyDescent="0.3">
      <c r="J71302"/>
    </row>
    <row r="71303" spans="10:10" x14ac:dyDescent="0.3">
      <c r="J71303"/>
    </row>
    <row r="71304" spans="10:10" x14ac:dyDescent="0.3">
      <c r="J71304"/>
    </row>
    <row r="71305" spans="10:10" x14ac:dyDescent="0.3">
      <c r="J71305"/>
    </row>
    <row r="71306" spans="10:10" x14ac:dyDescent="0.3">
      <c r="J71306"/>
    </row>
    <row r="71307" spans="10:10" x14ac:dyDescent="0.3">
      <c r="J71307"/>
    </row>
    <row r="71308" spans="10:10" x14ac:dyDescent="0.3">
      <c r="J71308"/>
    </row>
    <row r="71309" spans="10:10" x14ac:dyDescent="0.3">
      <c r="J71309"/>
    </row>
    <row r="71310" spans="10:10" x14ac:dyDescent="0.3">
      <c r="J71310"/>
    </row>
    <row r="71311" spans="10:10" x14ac:dyDescent="0.3">
      <c r="J71311"/>
    </row>
    <row r="71312" spans="10:10" x14ac:dyDescent="0.3">
      <c r="J71312"/>
    </row>
    <row r="71313" spans="10:10" x14ac:dyDescent="0.3">
      <c r="J71313"/>
    </row>
    <row r="71314" spans="10:10" x14ac:dyDescent="0.3">
      <c r="J71314"/>
    </row>
    <row r="71315" spans="10:10" x14ac:dyDescent="0.3">
      <c r="J71315"/>
    </row>
    <row r="71316" spans="10:10" x14ac:dyDescent="0.3">
      <c r="J71316"/>
    </row>
    <row r="71317" spans="10:10" x14ac:dyDescent="0.3">
      <c r="J71317"/>
    </row>
    <row r="71318" spans="10:10" x14ac:dyDescent="0.3">
      <c r="J71318"/>
    </row>
    <row r="71319" spans="10:10" x14ac:dyDescent="0.3">
      <c r="J71319"/>
    </row>
    <row r="71320" spans="10:10" x14ac:dyDescent="0.3">
      <c r="J71320"/>
    </row>
    <row r="71321" spans="10:10" x14ac:dyDescent="0.3">
      <c r="J71321"/>
    </row>
    <row r="71322" spans="10:10" x14ac:dyDescent="0.3">
      <c r="J71322"/>
    </row>
    <row r="71323" spans="10:10" x14ac:dyDescent="0.3">
      <c r="J71323"/>
    </row>
    <row r="71324" spans="10:10" x14ac:dyDescent="0.3">
      <c r="J71324"/>
    </row>
    <row r="71325" spans="10:10" x14ac:dyDescent="0.3">
      <c r="J71325"/>
    </row>
    <row r="71326" spans="10:10" x14ac:dyDescent="0.3">
      <c r="J71326"/>
    </row>
    <row r="71327" spans="10:10" x14ac:dyDescent="0.3">
      <c r="J71327"/>
    </row>
    <row r="71328" spans="10:10" x14ac:dyDescent="0.3">
      <c r="J71328"/>
    </row>
    <row r="71329" spans="10:10" x14ac:dyDescent="0.3">
      <c r="J71329"/>
    </row>
    <row r="71330" spans="10:10" x14ac:dyDescent="0.3">
      <c r="J71330"/>
    </row>
    <row r="71331" spans="10:10" x14ac:dyDescent="0.3">
      <c r="J71331"/>
    </row>
    <row r="71332" spans="10:10" x14ac:dyDescent="0.3">
      <c r="J71332"/>
    </row>
    <row r="71333" spans="10:10" x14ac:dyDescent="0.3">
      <c r="J71333"/>
    </row>
    <row r="71334" spans="10:10" x14ac:dyDescent="0.3">
      <c r="J71334"/>
    </row>
    <row r="71335" spans="10:10" x14ac:dyDescent="0.3">
      <c r="J71335"/>
    </row>
    <row r="71336" spans="10:10" x14ac:dyDescent="0.3">
      <c r="J71336"/>
    </row>
    <row r="71337" spans="10:10" x14ac:dyDescent="0.3">
      <c r="J71337"/>
    </row>
    <row r="71338" spans="10:10" x14ac:dyDescent="0.3">
      <c r="J71338"/>
    </row>
    <row r="71339" spans="10:10" x14ac:dyDescent="0.3">
      <c r="J71339"/>
    </row>
    <row r="71340" spans="10:10" x14ac:dyDescent="0.3">
      <c r="J71340"/>
    </row>
    <row r="71341" spans="10:10" x14ac:dyDescent="0.3">
      <c r="J71341"/>
    </row>
    <row r="71342" spans="10:10" x14ac:dyDescent="0.3">
      <c r="J71342"/>
    </row>
    <row r="71343" spans="10:10" x14ac:dyDescent="0.3">
      <c r="J71343"/>
    </row>
    <row r="71344" spans="10:10" x14ac:dyDescent="0.3">
      <c r="J71344"/>
    </row>
    <row r="71345" spans="10:10" x14ac:dyDescent="0.3">
      <c r="J71345"/>
    </row>
    <row r="71346" spans="10:10" x14ac:dyDescent="0.3">
      <c r="J71346"/>
    </row>
    <row r="71347" spans="10:10" x14ac:dyDescent="0.3">
      <c r="J71347"/>
    </row>
    <row r="71348" spans="10:10" x14ac:dyDescent="0.3">
      <c r="J71348"/>
    </row>
    <row r="71349" spans="10:10" x14ac:dyDescent="0.3">
      <c r="J71349"/>
    </row>
    <row r="71350" spans="10:10" x14ac:dyDescent="0.3">
      <c r="J71350"/>
    </row>
    <row r="71351" spans="10:10" x14ac:dyDescent="0.3">
      <c r="J71351"/>
    </row>
    <row r="71352" spans="10:10" x14ac:dyDescent="0.3">
      <c r="J71352"/>
    </row>
    <row r="71353" spans="10:10" x14ac:dyDescent="0.3">
      <c r="J71353"/>
    </row>
    <row r="71354" spans="10:10" x14ac:dyDescent="0.3">
      <c r="J71354"/>
    </row>
    <row r="71355" spans="10:10" x14ac:dyDescent="0.3">
      <c r="J71355"/>
    </row>
    <row r="71356" spans="10:10" x14ac:dyDescent="0.3">
      <c r="J71356"/>
    </row>
    <row r="71357" spans="10:10" x14ac:dyDescent="0.3">
      <c r="J71357"/>
    </row>
    <row r="71358" spans="10:10" x14ac:dyDescent="0.3">
      <c r="J71358"/>
    </row>
    <row r="71359" spans="10:10" x14ac:dyDescent="0.3">
      <c r="J71359"/>
    </row>
    <row r="71360" spans="10:10" x14ac:dyDescent="0.3">
      <c r="J71360"/>
    </row>
    <row r="71361" spans="10:10" x14ac:dyDescent="0.3">
      <c r="J71361"/>
    </row>
    <row r="71362" spans="10:10" x14ac:dyDescent="0.3">
      <c r="J71362"/>
    </row>
    <row r="71363" spans="10:10" x14ac:dyDescent="0.3">
      <c r="J71363"/>
    </row>
    <row r="71364" spans="10:10" x14ac:dyDescent="0.3">
      <c r="J71364"/>
    </row>
    <row r="71365" spans="10:10" x14ac:dyDescent="0.3">
      <c r="J71365"/>
    </row>
    <row r="71366" spans="10:10" x14ac:dyDescent="0.3">
      <c r="J71366"/>
    </row>
    <row r="71367" spans="10:10" x14ac:dyDescent="0.3">
      <c r="J71367"/>
    </row>
    <row r="71368" spans="10:10" x14ac:dyDescent="0.3">
      <c r="J71368"/>
    </row>
    <row r="71369" spans="10:10" x14ac:dyDescent="0.3">
      <c r="J71369"/>
    </row>
    <row r="71370" spans="10:10" x14ac:dyDescent="0.3">
      <c r="J71370"/>
    </row>
    <row r="71371" spans="10:10" x14ac:dyDescent="0.3">
      <c r="J71371"/>
    </row>
    <row r="71372" spans="10:10" x14ac:dyDescent="0.3">
      <c r="J71372"/>
    </row>
    <row r="71373" spans="10:10" x14ac:dyDescent="0.3">
      <c r="J71373"/>
    </row>
    <row r="71374" spans="10:10" x14ac:dyDescent="0.3">
      <c r="J71374"/>
    </row>
    <row r="71375" spans="10:10" x14ac:dyDescent="0.3">
      <c r="J71375"/>
    </row>
    <row r="71376" spans="10:10" x14ac:dyDescent="0.3">
      <c r="J71376"/>
    </row>
    <row r="71377" spans="10:10" x14ac:dyDescent="0.3">
      <c r="J71377"/>
    </row>
    <row r="71378" spans="10:10" x14ac:dyDescent="0.3">
      <c r="J71378"/>
    </row>
    <row r="71379" spans="10:10" x14ac:dyDescent="0.3">
      <c r="J71379"/>
    </row>
    <row r="71380" spans="10:10" x14ac:dyDescent="0.3">
      <c r="J71380"/>
    </row>
    <row r="71381" spans="10:10" x14ac:dyDescent="0.3">
      <c r="J71381"/>
    </row>
    <row r="71382" spans="10:10" x14ac:dyDescent="0.3">
      <c r="J71382"/>
    </row>
    <row r="71383" spans="10:10" x14ac:dyDescent="0.3">
      <c r="J71383"/>
    </row>
    <row r="71384" spans="10:10" x14ac:dyDescent="0.3">
      <c r="J71384"/>
    </row>
    <row r="71385" spans="10:10" x14ac:dyDescent="0.3">
      <c r="J71385"/>
    </row>
    <row r="71386" spans="10:10" x14ac:dyDescent="0.3">
      <c r="J71386"/>
    </row>
    <row r="71387" spans="10:10" x14ac:dyDescent="0.3">
      <c r="J71387"/>
    </row>
    <row r="71388" spans="10:10" x14ac:dyDescent="0.3">
      <c r="J71388"/>
    </row>
    <row r="71389" spans="10:10" x14ac:dyDescent="0.3">
      <c r="J71389"/>
    </row>
    <row r="71390" spans="10:10" x14ac:dyDescent="0.3">
      <c r="J71390"/>
    </row>
    <row r="71391" spans="10:10" x14ac:dyDescent="0.3">
      <c r="J71391"/>
    </row>
    <row r="71392" spans="10:10" x14ac:dyDescent="0.3">
      <c r="J71392"/>
    </row>
    <row r="71393" spans="10:10" x14ac:dyDescent="0.3">
      <c r="J71393"/>
    </row>
    <row r="71394" spans="10:10" x14ac:dyDescent="0.3">
      <c r="J71394"/>
    </row>
    <row r="71395" spans="10:10" x14ac:dyDescent="0.3">
      <c r="J71395"/>
    </row>
    <row r="71396" spans="10:10" x14ac:dyDescent="0.3">
      <c r="J71396"/>
    </row>
    <row r="71397" spans="10:10" x14ac:dyDescent="0.3">
      <c r="J71397"/>
    </row>
    <row r="71398" spans="10:10" x14ac:dyDescent="0.3">
      <c r="J71398"/>
    </row>
    <row r="71399" spans="10:10" x14ac:dyDescent="0.3">
      <c r="J71399"/>
    </row>
    <row r="71400" spans="10:10" x14ac:dyDescent="0.3">
      <c r="J71400"/>
    </row>
    <row r="71401" spans="10:10" x14ac:dyDescent="0.3">
      <c r="J71401"/>
    </row>
    <row r="71402" spans="10:10" x14ac:dyDescent="0.3">
      <c r="J71402"/>
    </row>
    <row r="71403" spans="10:10" x14ac:dyDescent="0.3">
      <c r="J71403"/>
    </row>
    <row r="71404" spans="10:10" x14ac:dyDescent="0.3">
      <c r="J71404"/>
    </row>
    <row r="71405" spans="10:10" x14ac:dyDescent="0.3">
      <c r="J71405"/>
    </row>
    <row r="71406" spans="10:10" x14ac:dyDescent="0.3">
      <c r="J71406"/>
    </row>
    <row r="71407" spans="10:10" x14ac:dyDescent="0.3">
      <c r="J71407"/>
    </row>
    <row r="71408" spans="10:10" x14ac:dyDescent="0.3">
      <c r="J71408"/>
    </row>
    <row r="71409" spans="10:10" x14ac:dyDescent="0.3">
      <c r="J71409"/>
    </row>
    <row r="71410" spans="10:10" x14ac:dyDescent="0.3">
      <c r="J71410"/>
    </row>
    <row r="71411" spans="10:10" x14ac:dyDescent="0.3">
      <c r="J71411"/>
    </row>
    <row r="71412" spans="10:10" x14ac:dyDescent="0.3">
      <c r="J71412"/>
    </row>
    <row r="71413" spans="10:10" x14ac:dyDescent="0.3">
      <c r="J71413"/>
    </row>
    <row r="71414" spans="10:10" x14ac:dyDescent="0.3">
      <c r="J71414"/>
    </row>
    <row r="71415" spans="10:10" x14ac:dyDescent="0.3">
      <c r="J71415"/>
    </row>
    <row r="71416" spans="10:10" x14ac:dyDescent="0.3">
      <c r="J71416"/>
    </row>
    <row r="71417" spans="10:10" x14ac:dyDescent="0.3">
      <c r="J71417"/>
    </row>
    <row r="71418" spans="10:10" x14ac:dyDescent="0.3">
      <c r="J71418"/>
    </row>
    <row r="71419" spans="10:10" x14ac:dyDescent="0.3">
      <c r="J71419"/>
    </row>
    <row r="71420" spans="10:10" x14ac:dyDescent="0.3">
      <c r="J71420"/>
    </row>
    <row r="71421" spans="10:10" x14ac:dyDescent="0.3">
      <c r="J71421"/>
    </row>
    <row r="71422" spans="10:10" x14ac:dyDescent="0.3">
      <c r="J71422"/>
    </row>
    <row r="71423" spans="10:10" x14ac:dyDescent="0.3">
      <c r="J71423"/>
    </row>
    <row r="71424" spans="10:10" x14ac:dyDescent="0.3">
      <c r="J71424"/>
    </row>
    <row r="71425" spans="10:10" x14ac:dyDescent="0.3">
      <c r="J71425"/>
    </row>
    <row r="71426" spans="10:10" x14ac:dyDescent="0.3">
      <c r="J71426"/>
    </row>
    <row r="71427" spans="10:10" x14ac:dyDescent="0.3">
      <c r="J71427"/>
    </row>
    <row r="71428" spans="10:10" x14ac:dyDescent="0.3">
      <c r="J71428"/>
    </row>
    <row r="71429" spans="10:10" x14ac:dyDescent="0.3">
      <c r="J71429"/>
    </row>
    <row r="71430" spans="10:10" x14ac:dyDescent="0.3">
      <c r="J71430"/>
    </row>
    <row r="71431" spans="10:10" x14ac:dyDescent="0.3">
      <c r="J71431"/>
    </row>
    <row r="71432" spans="10:10" x14ac:dyDescent="0.3">
      <c r="J71432"/>
    </row>
    <row r="71433" spans="10:10" x14ac:dyDescent="0.3">
      <c r="J71433"/>
    </row>
    <row r="71434" spans="10:10" x14ac:dyDescent="0.3">
      <c r="J71434"/>
    </row>
    <row r="71435" spans="10:10" x14ac:dyDescent="0.3">
      <c r="J71435"/>
    </row>
    <row r="71436" spans="10:10" x14ac:dyDescent="0.3">
      <c r="J71436"/>
    </row>
    <row r="71437" spans="10:10" x14ac:dyDescent="0.3">
      <c r="J71437"/>
    </row>
    <row r="71438" spans="10:10" x14ac:dyDescent="0.3">
      <c r="J71438"/>
    </row>
    <row r="71439" spans="10:10" x14ac:dyDescent="0.3">
      <c r="J71439"/>
    </row>
    <row r="71440" spans="10:10" x14ac:dyDescent="0.3">
      <c r="J71440"/>
    </row>
    <row r="71441" spans="10:10" x14ac:dyDescent="0.3">
      <c r="J71441"/>
    </row>
    <row r="71442" spans="10:10" x14ac:dyDescent="0.3">
      <c r="J71442"/>
    </row>
    <row r="71443" spans="10:10" x14ac:dyDescent="0.3">
      <c r="J71443"/>
    </row>
    <row r="71444" spans="10:10" x14ac:dyDescent="0.3">
      <c r="J71444"/>
    </row>
    <row r="71445" spans="10:10" x14ac:dyDescent="0.3">
      <c r="J71445"/>
    </row>
    <row r="71446" spans="10:10" x14ac:dyDescent="0.3">
      <c r="J71446"/>
    </row>
    <row r="71447" spans="10:10" x14ac:dyDescent="0.3">
      <c r="J71447"/>
    </row>
    <row r="71448" spans="10:10" x14ac:dyDescent="0.3">
      <c r="J71448"/>
    </row>
    <row r="71449" spans="10:10" x14ac:dyDescent="0.3">
      <c r="J71449"/>
    </row>
    <row r="71450" spans="10:10" x14ac:dyDescent="0.3">
      <c r="J71450"/>
    </row>
    <row r="71451" spans="10:10" x14ac:dyDescent="0.3">
      <c r="J71451"/>
    </row>
    <row r="71452" spans="10:10" x14ac:dyDescent="0.3">
      <c r="J71452"/>
    </row>
    <row r="71453" spans="10:10" x14ac:dyDescent="0.3">
      <c r="J71453"/>
    </row>
    <row r="71454" spans="10:10" x14ac:dyDescent="0.3">
      <c r="J71454"/>
    </row>
    <row r="71455" spans="10:10" x14ac:dyDescent="0.3">
      <c r="J71455"/>
    </row>
    <row r="71456" spans="10:10" x14ac:dyDescent="0.3">
      <c r="J71456"/>
    </row>
    <row r="71457" spans="10:10" x14ac:dyDescent="0.3">
      <c r="J71457"/>
    </row>
    <row r="71458" spans="10:10" x14ac:dyDescent="0.3">
      <c r="J71458"/>
    </row>
    <row r="71459" spans="10:10" x14ac:dyDescent="0.3">
      <c r="J71459"/>
    </row>
    <row r="71460" spans="10:10" x14ac:dyDescent="0.3">
      <c r="J71460"/>
    </row>
    <row r="71461" spans="10:10" x14ac:dyDescent="0.3">
      <c r="J71461"/>
    </row>
    <row r="71462" spans="10:10" x14ac:dyDescent="0.3">
      <c r="J71462"/>
    </row>
    <row r="71463" spans="10:10" x14ac:dyDescent="0.3">
      <c r="J71463"/>
    </row>
    <row r="71464" spans="10:10" x14ac:dyDescent="0.3">
      <c r="J71464"/>
    </row>
    <row r="71465" spans="10:10" x14ac:dyDescent="0.3">
      <c r="J71465"/>
    </row>
    <row r="71466" spans="10:10" x14ac:dyDescent="0.3">
      <c r="J71466"/>
    </row>
    <row r="71467" spans="10:10" x14ac:dyDescent="0.3">
      <c r="J71467"/>
    </row>
    <row r="71468" spans="10:10" x14ac:dyDescent="0.3">
      <c r="J71468"/>
    </row>
    <row r="71469" spans="10:10" x14ac:dyDescent="0.3">
      <c r="J71469"/>
    </row>
    <row r="71470" spans="10:10" x14ac:dyDescent="0.3">
      <c r="J71470"/>
    </row>
    <row r="71471" spans="10:10" x14ac:dyDescent="0.3">
      <c r="J71471"/>
    </row>
    <row r="71472" spans="10:10" x14ac:dyDescent="0.3">
      <c r="J71472"/>
    </row>
    <row r="71473" spans="10:10" x14ac:dyDescent="0.3">
      <c r="J71473"/>
    </row>
    <row r="71474" spans="10:10" x14ac:dyDescent="0.3">
      <c r="J71474"/>
    </row>
    <row r="71475" spans="10:10" x14ac:dyDescent="0.3">
      <c r="J71475"/>
    </row>
    <row r="71476" spans="10:10" x14ac:dyDescent="0.3">
      <c r="J71476"/>
    </row>
    <row r="71477" spans="10:10" x14ac:dyDescent="0.3">
      <c r="J71477"/>
    </row>
    <row r="71478" spans="10:10" x14ac:dyDescent="0.3">
      <c r="J71478"/>
    </row>
    <row r="71479" spans="10:10" x14ac:dyDescent="0.3">
      <c r="J71479"/>
    </row>
    <row r="71480" spans="10:10" x14ac:dyDescent="0.3">
      <c r="J71480"/>
    </row>
    <row r="71481" spans="10:10" x14ac:dyDescent="0.3">
      <c r="J71481"/>
    </row>
    <row r="71482" spans="10:10" x14ac:dyDescent="0.3">
      <c r="J71482"/>
    </row>
    <row r="71483" spans="10:10" x14ac:dyDescent="0.3">
      <c r="J71483"/>
    </row>
    <row r="71484" spans="10:10" x14ac:dyDescent="0.3">
      <c r="J71484"/>
    </row>
    <row r="71485" spans="10:10" x14ac:dyDescent="0.3">
      <c r="J71485"/>
    </row>
    <row r="71486" spans="10:10" x14ac:dyDescent="0.3">
      <c r="J71486"/>
    </row>
    <row r="71487" spans="10:10" x14ac:dyDescent="0.3">
      <c r="J71487"/>
    </row>
    <row r="71488" spans="10:10" x14ac:dyDescent="0.3">
      <c r="J71488"/>
    </row>
    <row r="71489" spans="10:10" x14ac:dyDescent="0.3">
      <c r="J71489"/>
    </row>
    <row r="71490" spans="10:10" x14ac:dyDescent="0.3">
      <c r="J71490"/>
    </row>
    <row r="71491" spans="10:10" x14ac:dyDescent="0.3">
      <c r="J71491"/>
    </row>
    <row r="71492" spans="10:10" x14ac:dyDescent="0.3">
      <c r="J71492"/>
    </row>
    <row r="71493" spans="10:10" x14ac:dyDescent="0.3">
      <c r="J71493"/>
    </row>
    <row r="71494" spans="10:10" x14ac:dyDescent="0.3">
      <c r="J71494"/>
    </row>
    <row r="71495" spans="10:10" x14ac:dyDescent="0.3">
      <c r="J71495"/>
    </row>
    <row r="71496" spans="10:10" x14ac:dyDescent="0.3">
      <c r="J71496"/>
    </row>
    <row r="71497" spans="10:10" x14ac:dyDescent="0.3">
      <c r="J71497"/>
    </row>
    <row r="71498" spans="10:10" x14ac:dyDescent="0.3">
      <c r="J71498"/>
    </row>
    <row r="71499" spans="10:10" x14ac:dyDescent="0.3">
      <c r="J71499"/>
    </row>
    <row r="71500" spans="10:10" x14ac:dyDescent="0.3">
      <c r="J71500"/>
    </row>
    <row r="71501" spans="10:10" x14ac:dyDescent="0.3">
      <c r="J71501"/>
    </row>
    <row r="71502" spans="10:10" x14ac:dyDescent="0.3">
      <c r="J71502"/>
    </row>
    <row r="71503" spans="10:10" x14ac:dyDescent="0.3">
      <c r="J71503"/>
    </row>
    <row r="71504" spans="10:10" x14ac:dyDescent="0.3">
      <c r="J71504"/>
    </row>
    <row r="71505" spans="10:10" x14ac:dyDescent="0.3">
      <c r="J71505"/>
    </row>
    <row r="71506" spans="10:10" x14ac:dyDescent="0.3">
      <c r="J71506"/>
    </row>
    <row r="71507" spans="10:10" x14ac:dyDescent="0.3">
      <c r="J71507"/>
    </row>
    <row r="71508" spans="10:10" x14ac:dyDescent="0.3">
      <c r="J71508"/>
    </row>
    <row r="71509" spans="10:10" x14ac:dyDescent="0.3">
      <c r="J71509"/>
    </row>
    <row r="71510" spans="10:10" x14ac:dyDescent="0.3">
      <c r="J71510"/>
    </row>
    <row r="71511" spans="10:10" x14ac:dyDescent="0.3">
      <c r="J71511"/>
    </row>
    <row r="71512" spans="10:10" x14ac:dyDescent="0.3">
      <c r="J71512"/>
    </row>
    <row r="71513" spans="10:10" x14ac:dyDescent="0.3">
      <c r="J71513"/>
    </row>
    <row r="71514" spans="10:10" x14ac:dyDescent="0.3">
      <c r="J71514"/>
    </row>
    <row r="71515" spans="10:10" x14ac:dyDescent="0.3">
      <c r="J71515"/>
    </row>
    <row r="71516" spans="10:10" x14ac:dyDescent="0.3">
      <c r="J71516"/>
    </row>
    <row r="71517" spans="10:10" x14ac:dyDescent="0.3">
      <c r="J71517"/>
    </row>
    <row r="71518" spans="10:10" x14ac:dyDescent="0.3">
      <c r="J71518"/>
    </row>
    <row r="71519" spans="10:10" x14ac:dyDescent="0.3">
      <c r="J71519"/>
    </row>
    <row r="71520" spans="10:10" x14ac:dyDescent="0.3">
      <c r="J71520"/>
    </row>
    <row r="71521" spans="10:10" x14ac:dyDescent="0.3">
      <c r="J71521"/>
    </row>
    <row r="71522" spans="10:10" x14ac:dyDescent="0.3">
      <c r="J71522"/>
    </row>
    <row r="71523" spans="10:10" x14ac:dyDescent="0.3">
      <c r="J71523"/>
    </row>
    <row r="71524" spans="10:10" x14ac:dyDescent="0.3">
      <c r="J71524"/>
    </row>
    <row r="71525" spans="10:10" x14ac:dyDescent="0.3">
      <c r="J71525"/>
    </row>
    <row r="71526" spans="10:10" x14ac:dyDescent="0.3">
      <c r="J71526"/>
    </row>
    <row r="71527" spans="10:10" x14ac:dyDescent="0.3">
      <c r="J71527"/>
    </row>
    <row r="71528" spans="10:10" x14ac:dyDescent="0.3">
      <c r="J71528"/>
    </row>
    <row r="71529" spans="10:10" x14ac:dyDescent="0.3">
      <c r="J71529"/>
    </row>
    <row r="71530" spans="10:10" x14ac:dyDescent="0.3">
      <c r="J71530"/>
    </row>
    <row r="71531" spans="10:10" x14ac:dyDescent="0.3">
      <c r="J71531"/>
    </row>
    <row r="71532" spans="10:10" x14ac:dyDescent="0.3">
      <c r="J71532"/>
    </row>
    <row r="71533" spans="10:10" x14ac:dyDescent="0.3">
      <c r="J71533"/>
    </row>
    <row r="71534" spans="10:10" x14ac:dyDescent="0.3">
      <c r="J71534"/>
    </row>
    <row r="71535" spans="10:10" x14ac:dyDescent="0.3">
      <c r="J71535"/>
    </row>
    <row r="71536" spans="10:10" x14ac:dyDescent="0.3">
      <c r="J71536"/>
    </row>
    <row r="71537" spans="10:10" x14ac:dyDescent="0.3">
      <c r="J71537"/>
    </row>
    <row r="71538" spans="10:10" x14ac:dyDescent="0.3">
      <c r="J71538"/>
    </row>
    <row r="71539" spans="10:10" x14ac:dyDescent="0.3">
      <c r="J71539"/>
    </row>
    <row r="71540" spans="10:10" x14ac:dyDescent="0.3">
      <c r="J71540"/>
    </row>
    <row r="71541" spans="10:10" x14ac:dyDescent="0.3">
      <c r="J71541"/>
    </row>
    <row r="71542" spans="10:10" x14ac:dyDescent="0.3">
      <c r="J71542"/>
    </row>
    <row r="71543" spans="10:10" x14ac:dyDescent="0.3">
      <c r="J71543"/>
    </row>
    <row r="71544" spans="10:10" x14ac:dyDescent="0.3">
      <c r="J71544"/>
    </row>
    <row r="71545" spans="10:10" x14ac:dyDescent="0.3">
      <c r="J71545"/>
    </row>
    <row r="71546" spans="10:10" x14ac:dyDescent="0.3">
      <c r="J71546"/>
    </row>
    <row r="71547" spans="10:10" x14ac:dyDescent="0.3">
      <c r="J71547"/>
    </row>
    <row r="71548" spans="10:10" x14ac:dyDescent="0.3">
      <c r="J71548"/>
    </row>
    <row r="71549" spans="10:10" x14ac:dyDescent="0.3">
      <c r="J71549"/>
    </row>
    <row r="71550" spans="10:10" x14ac:dyDescent="0.3">
      <c r="J71550"/>
    </row>
    <row r="71551" spans="10:10" x14ac:dyDescent="0.3">
      <c r="J71551"/>
    </row>
    <row r="71552" spans="10:10" x14ac:dyDescent="0.3">
      <c r="J71552"/>
    </row>
    <row r="71553" spans="10:10" x14ac:dyDescent="0.3">
      <c r="J71553"/>
    </row>
    <row r="71554" spans="10:10" x14ac:dyDescent="0.3">
      <c r="J71554"/>
    </row>
    <row r="71555" spans="10:10" x14ac:dyDescent="0.3">
      <c r="J71555"/>
    </row>
    <row r="71556" spans="10:10" x14ac:dyDescent="0.3">
      <c r="J71556"/>
    </row>
    <row r="71557" spans="10:10" x14ac:dyDescent="0.3">
      <c r="J71557"/>
    </row>
    <row r="71558" spans="10:10" x14ac:dyDescent="0.3">
      <c r="J71558"/>
    </row>
    <row r="71559" spans="10:10" x14ac:dyDescent="0.3">
      <c r="J71559"/>
    </row>
    <row r="71560" spans="10:10" x14ac:dyDescent="0.3">
      <c r="J71560"/>
    </row>
    <row r="71561" spans="10:10" x14ac:dyDescent="0.3">
      <c r="J71561"/>
    </row>
    <row r="71562" spans="10:10" x14ac:dyDescent="0.3">
      <c r="J71562"/>
    </row>
    <row r="71563" spans="10:10" x14ac:dyDescent="0.3">
      <c r="J71563"/>
    </row>
    <row r="71564" spans="10:10" x14ac:dyDescent="0.3">
      <c r="J71564"/>
    </row>
    <row r="71565" spans="10:10" x14ac:dyDescent="0.3">
      <c r="J71565"/>
    </row>
    <row r="71566" spans="10:10" x14ac:dyDescent="0.3">
      <c r="J71566"/>
    </row>
    <row r="71567" spans="10:10" x14ac:dyDescent="0.3">
      <c r="J71567"/>
    </row>
    <row r="71568" spans="10:10" x14ac:dyDescent="0.3">
      <c r="J71568"/>
    </row>
    <row r="71569" spans="10:10" x14ac:dyDescent="0.3">
      <c r="J71569"/>
    </row>
    <row r="71570" spans="10:10" x14ac:dyDescent="0.3">
      <c r="J71570"/>
    </row>
    <row r="71571" spans="10:10" x14ac:dyDescent="0.3">
      <c r="J71571"/>
    </row>
    <row r="71572" spans="10:10" x14ac:dyDescent="0.3">
      <c r="J71572"/>
    </row>
    <row r="71573" spans="10:10" x14ac:dyDescent="0.3">
      <c r="J71573"/>
    </row>
    <row r="71574" spans="10:10" x14ac:dyDescent="0.3">
      <c r="J71574"/>
    </row>
    <row r="71575" spans="10:10" x14ac:dyDescent="0.3">
      <c r="J71575"/>
    </row>
    <row r="71576" spans="10:10" x14ac:dyDescent="0.3">
      <c r="J71576"/>
    </row>
    <row r="71577" spans="10:10" x14ac:dyDescent="0.3">
      <c r="J71577"/>
    </row>
    <row r="71578" spans="10:10" x14ac:dyDescent="0.3">
      <c r="J71578"/>
    </row>
    <row r="71579" spans="10:10" x14ac:dyDescent="0.3">
      <c r="J71579"/>
    </row>
    <row r="71580" spans="10:10" x14ac:dyDescent="0.3">
      <c r="J71580"/>
    </row>
    <row r="71581" spans="10:10" x14ac:dyDescent="0.3">
      <c r="J71581"/>
    </row>
    <row r="71582" spans="10:10" x14ac:dyDescent="0.3">
      <c r="J71582"/>
    </row>
    <row r="71583" spans="10:10" x14ac:dyDescent="0.3">
      <c r="J71583"/>
    </row>
    <row r="71584" spans="10:10" x14ac:dyDescent="0.3">
      <c r="J71584"/>
    </row>
    <row r="71585" spans="10:10" x14ac:dyDescent="0.3">
      <c r="J71585"/>
    </row>
    <row r="71586" spans="10:10" x14ac:dyDescent="0.3">
      <c r="J71586"/>
    </row>
    <row r="71587" spans="10:10" x14ac:dyDescent="0.3">
      <c r="J71587"/>
    </row>
    <row r="71588" spans="10:10" x14ac:dyDescent="0.3">
      <c r="J71588"/>
    </row>
    <row r="71589" spans="10:10" x14ac:dyDescent="0.3">
      <c r="J71589"/>
    </row>
    <row r="71590" spans="10:10" x14ac:dyDescent="0.3">
      <c r="J71590"/>
    </row>
    <row r="71591" spans="10:10" x14ac:dyDescent="0.3">
      <c r="J71591"/>
    </row>
    <row r="71592" spans="10:10" x14ac:dyDescent="0.3">
      <c r="J71592"/>
    </row>
    <row r="71593" spans="10:10" x14ac:dyDescent="0.3">
      <c r="J71593"/>
    </row>
    <row r="71594" spans="10:10" x14ac:dyDescent="0.3">
      <c r="J71594"/>
    </row>
    <row r="71595" spans="10:10" x14ac:dyDescent="0.3">
      <c r="J71595"/>
    </row>
    <row r="71596" spans="10:10" x14ac:dyDescent="0.3">
      <c r="J71596"/>
    </row>
    <row r="71597" spans="10:10" x14ac:dyDescent="0.3">
      <c r="J71597"/>
    </row>
    <row r="71598" spans="10:10" x14ac:dyDescent="0.3">
      <c r="J71598"/>
    </row>
    <row r="71599" spans="10:10" x14ac:dyDescent="0.3">
      <c r="J71599"/>
    </row>
    <row r="71600" spans="10:10" x14ac:dyDescent="0.3">
      <c r="J71600"/>
    </row>
    <row r="71601" spans="10:10" x14ac:dyDescent="0.3">
      <c r="J71601"/>
    </row>
    <row r="71602" spans="10:10" x14ac:dyDescent="0.3">
      <c r="J71602"/>
    </row>
    <row r="71603" spans="10:10" x14ac:dyDescent="0.3">
      <c r="J71603"/>
    </row>
    <row r="71604" spans="10:10" x14ac:dyDescent="0.3">
      <c r="J71604"/>
    </row>
    <row r="71605" spans="10:10" x14ac:dyDescent="0.3">
      <c r="J71605"/>
    </row>
    <row r="71606" spans="10:10" x14ac:dyDescent="0.3">
      <c r="J71606"/>
    </row>
    <row r="71607" spans="10:10" x14ac:dyDescent="0.3">
      <c r="J71607"/>
    </row>
    <row r="71608" spans="10:10" x14ac:dyDescent="0.3">
      <c r="J71608"/>
    </row>
    <row r="71609" spans="10:10" x14ac:dyDescent="0.3">
      <c r="J71609"/>
    </row>
    <row r="71610" spans="10:10" x14ac:dyDescent="0.3">
      <c r="J71610"/>
    </row>
    <row r="71611" spans="10:10" x14ac:dyDescent="0.3">
      <c r="J71611"/>
    </row>
    <row r="71612" spans="10:10" x14ac:dyDescent="0.3">
      <c r="J71612"/>
    </row>
    <row r="71613" spans="10:10" x14ac:dyDescent="0.3">
      <c r="J71613"/>
    </row>
    <row r="71614" spans="10:10" x14ac:dyDescent="0.3">
      <c r="J71614"/>
    </row>
    <row r="71615" spans="10:10" x14ac:dyDescent="0.3">
      <c r="J71615"/>
    </row>
    <row r="71616" spans="10:10" x14ac:dyDescent="0.3">
      <c r="J71616"/>
    </row>
    <row r="71617" spans="10:10" x14ac:dyDescent="0.3">
      <c r="J71617"/>
    </row>
    <row r="71618" spans="10:10" x14ac:dyDescent="0.3">
      <c r="J71618"/>
    </row>
    <row r="71619" spans="10:10" x14ac:dyDescent="0.3">
      <c r="J71619"/>
    </row>
    <row r="71620" spans="10:10" x14ac:dyDescent="0.3">
      <c r="J71620"/>
    </row>
    <row r="71621" spans="10:10" x14ac:dyDescent="0.3">
      <c r="J71621"/>
    </row>
    <row r="71622" spans="10:10" x14ac:dyDescent="0.3">
      <c r="J71622"/>
    </row>
    <row r="71623" spans="10:10" x14ac:dyDescent="0.3">
      <c r="J71623"/>
    </row>
    <row r="71624" spans="10:10" x14ac:dyDescent="0.3">
      <c r="J71624"/>
    </row>
    <row r="71625" spans="10:10" x14ac:dyDescent="0.3">
      <c r="J71625"/>
    </row>
    <row r="71626" spans="10:10" x14ac:dyDescent="0.3">
      <c r="J71626"/>
    </row>
    <row r="71627" spans="10:10" x14ac:dyDescent="0.3">
      <c r="J71627"/>
    </row>
    <row r="71628" spans="10:10" x14ac:dyDescent="0.3">
      <c r="J71628"/>
    </row>
    <row r="71629" spans="10:10" x14ac:dyDescent="0.3">
      <c r="J71629"/>
    </row>
    <row r="71630" spans="10:10" x14ac:dyDescent="0.3">
      <c r="J71630"/>
    </row>
    <row r="71631" spans="10:10" x14ac:dyDescent="0.3">
      <c r="J71631"/>
    </row>
    <row r="71632" spans="10:10" x14ac:dyDescent="0.3">
      <c r="J71632"/>
    </row>
    <row r="71633" spans="10:10" x14ac:dyDescent="0.3">
      <c r="J71633"/>
    </row>
    <row r="71634" spans="10:10" x14ac:dyDescent="0.3">
      <c r="J71634"/>
    </row>
    <row r="71635" spans="10:10" x14ac:dyDescent="0.3">
      <c r="J71635"/>
    </row>
    <row r="71636" spans="10:10" x14ac:dyDescent="0.3">
      <c r="J71636"/>
    </row>
    <row r="71637" spans="10:10" x14ac:dyDescent="0.3">
      <c r="J71637"/>
    </row>
    <row r="71638" spans="10:10" x14ac:dyDescent="0.3">
      <c r="J71638"/>
    </row>
    <row r="71639" spans="10:10" x14ac:dyDescent="0.3">
      <c r="J71639"/>
    </row>
    <row r="71640" spans="10:10" x14ac:dyDescent="0.3">
      <c r="J71640"/>
    </row>
    <row r="71641" spans="10:10" x14ac:dyDescent="0.3">
      <c r="J71641"/>
    </row>
    <row r="71642" spans="10:10" x14ac:dyDescent="0.3">
      <c r="J71642"/>
    </row>
    <row r="71643" spans="10:10" x14ac:dyDescent="0.3">
      <c r="J71643"/>
    </row>
    <row r="71644" spans="10:10" x14ac:dyDescent="0.3">
      <c r="J71644"/>
    </row>
    <row r="71645" spans="10:10" x14ac:dyDescent="0.3">
      <c r="J71645"/>
    </row>
    <row r="71646" spans="10:10" x14ac:dyDescent="0.3">
      <c r="J71646"/>
    </row>
    <row r="71647" spans="10:10" x14ac:dyDescent="0.3">
      <c r="J71647"/>
    </row>
    <row r="71648" spans="10:10" x14ac:dyDescent="0.3">
      <c r="J71648"/>
    </row>
    <row r="71649" spans="10:10" x14ac:dyDescent="0.3">
      <c r="J71649"/>
    </row>
    <row r="71650" spans="10:10" x14ac:dyDescent="0.3">
      <c r="J71650"/>
    </row>
    <row r="71651" spans="10:10" x14ac:dyDescent="0.3">
      <c r="J71651"/>
    </row>
    <row r="71652" spans="10:10" x14ac:dyDescent="0.3">
      <c r="J71652"/>
    </row>
    <row r="71653" spans="10:10" x14ac:dyDescent="0.3">
      <c r="J71653"/>
    </row>
    <row r="71654" spans="10:10" x14ac:dyDescent="0.3">
      <c r="J71654"/>
    </row>
    <row r="71655" spans="10:10" x14ac:dyDescent="0.3">
      <c r="J71655"/>
    </row>
    <row r="71656" spans="10:10" x14ac:dyDescent="0.3">
      <c r="J71656"/>
    </row>
    <row r="71657" spans="10:10" x14ac:dyDescent="0.3">
      <c r="J71657"/>
    </row>
    <row r="71658" spans="10:10" x14ac:dyDescent="0.3">
      <c r="J71658"/>
    </row>
    <row r="71659" spans="10:10" x14ac:dyDescent="0.3">
      <c r="J71659"/>
    </row>
    <row r="71660" spans="10:10" x14ac:dyDescent="0.3">
      <c r="J71660"/>
    </row>
    <row r="71661" spans="10:10" x14ac:dyDescent="0.3">
      <c r="J71661"/>
    </row>
    <row r="71662" spans="10:10" x14ac:dyDescent="0.3">
      <c r="J71662"/>
    </row>
    <row r="71663" spans="10:10" x14ac:dyDescent="0.3">
      <c r="J71663"/>
    </row>
    <row r="71664" spans="10:10" x14ac:dyDescent="0.3">
      <c r="J71664"/>
    </row>
    <row r="71665" spans="10:10" x14ac:dyDescent="0.3">
      <c r="J71665"/>
    </row>
    <row r="71666" spans="10:10" x14ac:dyDescent="0.3">
      <c r="J71666"/>
    </row>
    <row r="71667" spans="10:10" x14ac:dyDescent="0.3">
      <c r="J71667"/>
    </row>
    <row r="71668" spans="10:10" x14ac:dyDescent="0.3">
      <c r="J71668"/>
    </row>
    <row r="71669" spans="10:10" x14ac:dyDescent="0.3">
      <c r="J71669"/>
    </row>
    <row r="71670" spans="10:10" x14ac:dyDescent="0.3">
      <c r="J71670"/>
    </row>
    <row r="71671" spans="10:10" x14ac:dyDescent="0.3">
      <c r="J71671"/>
    </row>
    <row r="71672" spans="10:10" x14ac:dyDescent="0.3">
      <c r="J71672"/>
    </row>
    <row r="71673" spans="10:10" x14ac:dyDescent="0.3">
      <c r="J71673"/>
    </row>
    <row r="71674" spans="10:10" x14ac:dyDescent="0.3">
      <c r="J71674"/>
    </row>
    <row r="71675" spans="10:10" x14ac:dyDescent="0.3">
      <c r="J71675"/>
    </row>
    <row r="71676" spans="10:10" x14ac:dyDescent="0.3">
      <c r="J71676"/>
    </row>
    <row r="71677" spans="10:10" x14ac:dyDescent="0.3">
      <c r="J71677"/>
    </row>
    <row r="71678" spans="10:10" x14ac:dyDescent="0.3">
      <c r="J71678"/>
    </row>
    <row r="71679" spans="10:10" x14ac:dyDescent="0.3">
      <c r="J71679"/>
    </row>
    <row r="71680" spans="10:10" x14ac:dyDescent="0.3">
      <c r="J71680"/>
    </row>
    <row r="71681" spans="10:10" x14ac:dyDescent="0.3">
      <c r="J71681"/>
    </row>
    <row r="71682" spans="10:10" x14ac:dyDescent="0.3">
      <c r="J71682"/>
    </row>
    <row r="71683" spans="10:10" x14ac:dyDescent="0.3">
      <c r="J71683"/>
    </row>
    <row r="71684" spans="10:10" x14ac:dyDescent="0.3">
      <c r="J71684"/>
    </row>
    <row r="71685" spans="10:10" x14ac:dyDescent="0.3">
      <c r="J71685"/>
    </row>
    <row r="71686" spans="10:10" x14ac:dyDescent="0.3">
      <c r="J71686"/>
    </row>
    <row r="71687" spans="10:10" x14ac:dyDescent="0.3">
      <c r="J71687"/>
    </row>
    <row r="71688" spans="10:10" x14ac:dyDescent="0.3">
      <c r="J71688"/>
    </row>
    <row r="71689" spans="10:10" x14ac:dyDescent="0.3">
      <c r="J71689"/>
    </row>
    <row r="71690" spans="10:10" x14ac:dyDescent="0.3">
      <c r="J71690"/>
    </row>
    <row r="71691" spans="10:10" x14ac:dyDescent="0.3">
      <c r="J71691"/>
    </row>
    <row r="71692" spans="10:10" x14ac:dyDescent="0.3">
      <c r="J71692"/>
    </row>
    <row r="71693" spans="10:10" x14ac:dyDescent="0.3">
      <c r="J71693"/>
    </row>
    <row r="71694" spans="10:10" x14ac:dyDescent="0.3">
      <c r="J71694"/>
    </row>
    <row r="71695" spans="10:10" x14ac:dyDescent="0.3">
      <c r="J71695"/>
    </row>
    <row r="71696" spans="10:10" x14ac:dyDescent="0.3">
      <c r="J71696"/>
    </row>
    <row r="71697" spans="10:10" x14ac:dyDescent="0.3">
      <c r="J71697"/>
    </row>
    <row r="71698" spans="10:10" x14ac:dyDescent="0.3">
      <c r="J71698"/>
    </row>
    <row r="71699" spans="10:10" x14ac:dyDescent="0.3">
      <c r="J71699"/>
    </row>
    <row r="71700" spans="10:10" x14ac:dyDescent="0.3">
      <c r="J71700"/>
    </row>
    <row r="71701" spans="10:10" x14ac:dyDescent="0.3">
      <c r="J71701"/>
    </row>
    <row r="71702" spans="10:10" x14ac:dyDescent="0.3">
      <c r="J71702"/>
    </row>
    <row r="71703" spans="10:10" x14ac:dyDescent="0.3">
      <c r="J71703"/>
    </row>
    <row r="71704" spans="10:10" x14ac:dyDescent="0.3">
      <c r="J71704"/>
    </row>
    <row r="71705" spans="10:10" x14ac:dyDescent="0.3">
      <c r="J71705"/>
    </row>
    <row r="71706" spans="10:10" x14ac:dyDescent="0.3">
      <c r="J71706"/>
    </row>
    <row r="71707" spans="10:10" x14ac:dyDescent="0.3">
      <c r="J71707"/>
    </row>
    <row r="71708" spans="10:10" x14ac:dyDescent="0.3">
      <c r="J71708"/>
    </row>
    <row r="71709" spans="10:10" x14ac:dyDescent="0.3">
      <c r="J71709"/>
    </row>
    <row r="71710" spans="10:10" x14ac:dyDescent="0.3">
      <c r="J71710"/>
    </row>
    <row r="71711" spans="10:10" x14ac:dyDescent="0.3">
      <c r="J71711"/>
    </row>
    <row r="71712" spans="10:10" x14ac:dyDescent="0.3">
      <c r="J71712"/>
    </row>
    <row r="71713" spans="10:10" x14ac:dyDescent="0.3">
      <c r="J71713"/>
    </row>
    <row r="71714" spans="10:10" x14ac:dyDescent="0.3">
      <c r="J71714"/>
    </row>
    <row r="71715" spans="10:10" x14ac:dyDescent="0.3">
      <c r="J71715"/>
    </row>
    <row r="71716" spans="10:10" x14ac:dyDescent="0.3">
      <c r="J71716"/>
    </row>
    <row r="71717" spans="10:10" x14ac:dyDescent="0.3">
      <c r="J71717"/>
    </row>
    <row r="71718" spans="10:10" x14ac:dyDescent="0.3">
      <c r="J71718"/>
    </row>
    <row r="71719" spans="10:10" x14ac:dyDescent="0.3">
      <c r="J71719"/>
    </row>
    <row r="71720" spans="10:10" x14ac:dyDescent="0.3">
      <c r="J71720"/>
    </row>
    <row r="71721" spans="10:10" x14ac:dyDescent="0.3">
      <c r="J71721"/>
    </row>
    <row r="71722" spans="10:10" x14ac:dyDescent="0.3">
      <c r="J71722"/>
    </row>
    <row r="71723" spans="10:10" x14ac:dyDescent="0.3">
      <c r="J71723"/>
    </row>
    <row r="71724" spans="10:10" x14ac:dyDescent="0.3">
      <c r="J71724"/>
    </row>
    <row r="71725" spans="10:10" x14ac:dyDescent="0.3">
      <c r="J71725"/>
    </row>
    <row r="71726" spans="10:10" x14ac:dyDescent="0.3">
      <c r="J71726"/>
    </row>
    <row r="71727" spans="10:10" x14ac:dyDescent="0.3">
      <c r="J71727"/>
    </row>
    <row r="71728" spans="10:10" x14ac:dyDescent="0.3">
      <c r="J71728"/>
    </row>
    <row r="71729" spans="10:10" x14ac:dyDescent="0.3">
      <c r="J71729"/>
    </row>
    <row r="71730" spans="10:10" x14ac:dyDescent="0.3">
      <c r="J71730"/>
    </row>
    <row r="71731" spans="10:10" x14ac:dyDescent="0.3">
      <c r="J71731"/>
    </row>
    <row r="71732" spans="10:10" x14ac:dyDescent="0.3">
      <c r="J71732"/>
    </row>
    <row r="71733" spans="10:10" x14ac:dyDescent="0.3">
      <c r="J71733"/>
    </row>
    <row r="71734" spans="10:10" x14ac:dyDescent="0.3">
      <c r="J71734"/>
    </row>
    <row r="71735" spans="10:10" x14ac:dyDescent="0.3">
      <c r="J71735"/>
    </row>
    <row r="71736" spans="10:10" x14ac:dyDescent="0.3">
      <c r="J71736"/>
    </row>
    <row r="71737" spans="10:10" x14ac:dyDescent="0.3">
      <c r="J71737"/>
    </row>
    <row r="71738" spans="10:10" x14ac:dyDescent="0.3">
      <c r="J71738"/>
    </row>
    <row r="71739" spans="10:10" x14ac:dyDescent="0.3">
      <c r="J71739"/>
    </row>
    <row r="71740" spans="10:10" x14ac:dyDescent="0.3">
      <c r="J71740"/>
    </row>
    <row r="71741" spans="10:10" x14ac:dyDescent="0.3">
      <c r="J71741"/>
    </row>
    <row r="71742" spans="10:10" x14ac:dyDescent="0.3">
      <c r="J71742"/>
    </row>
    <row r="71743" spans="10:10" x14ac:dyDescent="0.3">
      <c r="J71743"/>
    </row>
    <row r="71744" spans="10:10" x14ac:dyDescent="0.3">
      <c r="J71744"/>
    </row>
    <row r="71745" spans="10:10" x14ac:dyDescent="0.3">
      <c r="J71745"/>
    </row>
    <row r="71746" spans="10:10" x14ac:dyDescent="0.3">
      <c r="J71746"/>
    </row>
    <row r="71747" spans="10:10" x14ac:dyDescent="0.3">
      <c r="J71747"/>
    </row>
    <row r="71748" spans="10:10" x14ac:dyDescent="0.3">
      <c r="J71748"/>
    </row>
    <row r="71749" spans="10:10" x14ac:dyDescent="0.3">
      <c r="J71749"/>
    </row>
    <row r="71750" spans="10:10" x14ac:dyDescent="0.3">
      <c r="J71750"/>
    </row>
    <row r="71751" spans="10:10" x14ac:dyDescent="0.3">
      <c r="J71751"/>
    </row>
    <row r="71752" spans="10:10" x14ac:dyDescent="0.3">
      <c r="J71752"/>
    </row>
    <row r="71753" spans="10:10" x14ac:dyDescent="0.3">
      <c r="J71753"/>
    </row>
    <row r="71754" spans="10:10" x14ac:dyDescent="0.3">
      <c r="J71754"/>
    </row>
    <row r="71755" spans="10:10" x14ac:dyDescent="0.3">
      <c r="J71755"/>
    </row>
    <row r="71756" spans="10:10" x14ac:dyDescent="0.3">
      <c r="J71756"/>
    </row>
    <row r="71757" spans="10:10" x14ac:dyDescent="0.3">
      <c r="J71757"/>
    </row>
    <row r="71758" spans="10:10" x14ac:dyDescent="0.3">
      <c r="J71758"/>
    </row>
    <row r="71759" spans="10:10" x14ac:dyDescent="0.3">
      <c r="J71759"/>
    </row>
    <row r="71760" spans="10:10" x14ac:dyDescent="0.3">
      <c r="J71760"/>
    </row>
    <row r="71761" spans="10:10" x14ac:dyDescent="0.3">
      <c r="J71761"/>
    </row>
    <row r="71762" spans="10:10" x14ac:dyDescent="0.3">
      <c r="J71762"/>
    </row>
    <row r="71763" spans="10:10" x14ac:dyDescent="0.3">
      <c r="J71763"/>
    </row>
    <row r="71764" spans="10:10" x14ac:dyDescent="0.3">
      <c r="J71764"/>
    </row>
    <row r="71765" spans="10:10" x14ac:dyDescent="0.3">
      <c r="J71765"/>
    </row>
    <row r="71766" spans="10:10" x14ac:dyDescent="0.3">
      <c r="J71766"/>
    </row>
    <row r="71767" spans="10:10" x14ac:dyDescent="0.3">
      <c r="J71767"/>
    </row>
    <row r="71768" spans="10:10" x14ac:dyDescent="0.3">
      <c r="J71768"/>
    </row>
    <row r="71769" spans="10:10" x14ac:dyDescent="0.3">
      <c r="J71769"/>
    </row>
    <row r="71770" spans="10:10" x14ac:dyDescent="0.3">
      <c r="J71770"/>
    </row>
    <row r="71771" spans="10:10" x14ac:dyDescent="0.3">
      <c r="J71771"/>
    </row>
    <row r="71772" spans="10:10" x14ac:dyDescent="0.3">
      <c r="J71772"/>
    </row>
    <row r="71773" spans="10:10" x14ac:dyDescent="0.3">
      <c r="J71773"/>
    </row>
    <row r="71774" spans="10:10" x14ac:dyDescent="0.3">
      <c r="J71774"/>
    </row>
    <row r="71775" spans="10:10" x14ac:dyDescent="0.3">
      <c r="J71775"/>
    </row>
    <row r="71776" spans="10:10" x14ac:dyDescent="0.3">
      <c r="J71776"/>
    </row>
    <row r="71777" spans="10:10" x14ac:dyDescent="0.3">
      <c r="J71777"/>
    </row>
    <row r="71778" spans="10:10" x14ac:dyDescent="0.3">
      <c r="J71778"/>
    </row>
    <row r="71779" spans="10:10" x14ac:dyDescent="0.3">
      <c r="J71779"/>
    </row>
    <row r="71780" spans="10:10" x14ac:dyDescent="0.3">
      <c r="J71780"/>
    </row>
    <row r="71781" spans="10:10" x14ac:dyDescent="0.3">
      <c r="J71781"/>
    </row>
    <row r="71782" spans="10:10" x14ac:dyDescent="0.3">
      <c r="J71782"/>
    </row>
    <row r="71783" spans="10:10" x14ac:dyDescent="0.3">
      <c r="J71783"/>
    </row>
    <row r="71784" spans="10:10" x14ac:dyDescent="0.3">
      <c r="J71784"/>
    </row>
    <row r="71785" spans="10:10" x14ac:dyDescent="0.3">
      <c r="J71785"/>
    </row>
    <row r="71786" spans="10:10" x14ac:dyDescent="0.3">
      <c r="J71786"/>
    </row>
    <row r="71787" spans="10:10" x14ac:dyDescent="0.3">
      <c r="J71787"/>
    </row>
    <row r="71788" spans="10:10" x14ac:dyDescent="0.3">
      <c r="J71788"/>
    </row>
    <row r="71789" spans="10:10" x14ac:dyDescent="0.3">
      <c r="J71789"/>
    </row>
    <row r="71790" spans="10:10" x14ac:dyDescent="0.3">
      <c r="J71790"/>
    </row>
    <row r="71791" spans="10:10" x14ac:dyDescent="0.3">
      <c r="J71791"/>
    </row>
    <row r="71792" spans="10:10" x14ac:dyDescent="0.3">
      <c r="J71792"/>
    </row>
    <row r="71793" spans="10:10" x14ac:dyDescent="0.3">
      <c r="J71793"/>
    </row>
    <row r="71794" spans="10:10" x14ac:dyDescent="0.3">
      <c r="J71794"/>
    </row>
    <row r="71795" spans="10:10" x14ac:dyDescent="0.3">
      <c r="J71795"/>
    </row>
    <row r="71796" spans="10:10" x14ac:dyDescent="0.3">
      <c r="J71796"/>
    </row>
    <row r="71797" spans="10:10" x14ac:dyDescent="0.3">
      <c r="J71797"/>
    </row>
    <row r="71798" spans="10:10" x14ac:dyDescent="0.3">
      <c r="J71798"/>
    </row>
    <row r="71799" spans="10:10" x14ac:dyDescent="0.3">
      <c r="J71799"/>
    </row>
    <row r="71800" spans="10:10" x14ac:dyDescent="0.3">
      <c r="J71800"/>
    </row>
    <row r="71801" spans="10:10" x14ac:dyDescent="0.3">
      <c r="J71801"/>
    </row>
    <row r="71802" spans="10:10" x14ac:dyDescent="0.3">
      <c r="J71802"/>
    </row>
    <row r="71803" spans="10:10" x14ac:dyDescent="0.3">
      <c r="J71803"/>
    </row>
    <row r="71804" spans="10:10" x14ac:dyDescent="0.3">
      <c r="J71804"/>
    </row>
    <row r="71805" spans="10:10" x14ac:dyDescent="0.3">
      <c r="J71805"/>
    </row>
    <row r="71806" spans="10:10" x14ac:dyDescent="0.3">
      <c r="J71806"/>
    </row>
    <row r="71807" spans="10:10" x14ac:dyDescent="0.3">
      <c r="J71807"/>
    </row>
    <row r="71808" spans="10:10" x14ac:dyDescent="0.3">
      <c r="J71808"/>
    </row>
    <row r="71809" spans="10:10" x14ac:dyDescent="0.3">
      <c r="J71809"/>
    </row>
    <row r="71810" spans="10:10" x14ac:dyDescent="0.3">
      <c r="J71810"/>
    </row>
    <row r="71811" spans="10:10" x14ac:dyDescent="0.3">
      <c r="J71811"/>
    </row>
    <row r="71812" spans="10:10" x14ac:dyDescent="0.3">
      <c r="J71812"/>
    </row>
    <row r="71813" spans="10:10" x14ac:dyDescent="0.3">
      <c r="J71813"/>
    </row>
    <row r="71814" spans="10:10" x14ac:dyDescent="0.3">
      <c r="J71814"/>
    </row>
    <row r="71815" spans="10:10" x14ac:dyDescent="0.3">
      <c r="J71815"/>
    </row>
    <row r="71816" spans="10:10" x14ac:dyDescent="0.3">
      <c r="J71816"/>
    </row>
    <row r="71817" spans="10:10" x14ac:dyDescent="0.3">
      <c r="J71817"/>
    </row>
    <row r="71818" spans="10:10" x14ac:dyDescent="0.3">
      <c r="J71818"/>
    </row>
    <row r="71819" spans="10:10" x14ac:dyDescent="0.3">
      <c r="J71819"/>
    </row>
    <row r="71820" spans="10:10" x14ac:dyDescent="0.3">
      <c r="J71820"/>
    </row>
    <row r="71821" spans="10:10" x14ac:dyDescent="0.3">
      <c r="J71821"/>
    </row>
    <row r="71822" spans="10:10" x14ac:dyDescent="0.3">
      <c r="J71822"/>
    </row>
    <row r="71823" spans="10:10" x14ac:dyDescent="0.3">
      <c r="J71823"/>
    </row>
    <row r="71824" spans="10:10" x14ac:dyDescent="0.3">
      <c r="J71824"/>
    </row>
    <row r="71825" spans="10:10" x14ac:dyDescent="0.3">
      <c r="J71825"/>
    </row>
    <row r="71826" spans="10:10" x14ac:dyDescent="0.3">
      <c r="J71826"/>
    </row>
    <row r="71827" spans="10:10" x14ac:dyDescent="0.3">
      <c r="J71827"/>
    </row>
    <row r="71828" spans="10:10" x14ac:dyDescent="0.3">
      <c r="J71828"/>
    </row>
    <row r="71829" spans="10:10" x14ac:dyDescent="0.3">
      <c r="J71829"/>
    </row>
    <row r="71830" spans="10:10" x14ac:dyDescent="0.3">
      <c r="J71830"/>
    </row>
    <row r="71831" spans="10:10" x14ac:dyDescent="0.3">
      <c r="J71831"/>
    </row>
    <row r="71832" spans="10:10" x14ac:dyDescent="0.3">
      <c r="J71832"/>
    </row>
    <row r="71833" spans="10:10" x14ac:dyDescent="0.3">
      <c r="J71833"/>
    </row>
    <row r="71834" spans="10:10" x14ac:dyDescent="0.3">
      <c r="J71834"/>
    </row>
    <row r="71835" spans="10:10" x14ac:dyDescent="0.3">
      <c r="J71835"/>
    </row>
    <row r="71836" spans="10:10" x14ac:dyDescent="0.3">
      <c r="J71836"/>
    </row>
    <row r="71837" spans="10:10" x14ac:dyDescent="0.3">
      <c r="J71837"/>
    </row>
    <row r="71838" spans="10:10" x14ac:dyDescent="0.3">
      <c r="J71838"/>
    </row>
    <row r="71839" spans="10:10" x14ac:dyDescent="0.3">
      <c r="J71839"/>
    </row>
    <row r="71840" spans="10:10" x14ac:dyDescent="0.3">
      <c r="J71840"/>
    </row>
    <row r="71841" spans="10:10" x14ac:dyDescent="0.3">
      <c r="J71841"/>
    </row>
    <row r="71842" spans="10:10" x14ac:dyDescent="0.3">
      <c r="J71842"/>
    </row>
    <row r="71843" spans="10:10" x14ac:dyDescent="0.3">
      <c r="J71843"/>
    </row>
    <row r="71844" spans="10:10" x14ac:dyDescent="0.3">
      <c r="J71844"/>
    </row>
    <row r="71845" spans="10:10" x14ac:dyDescent="0.3">
      <c r="J71845"/>
    </row>
    <row r="71846" spans="10:10" x14ac:dyDescent="0.3">
      <c r="J71846"/>
    </row>
    <row r="71847" spans="10:10" x14ac:dyDescent="0.3">
      <c r="J71847"/>
    </row>
    <row r="71848" spans="10:10" x14ac:dyDescent="0.3">
      <c r="J71848"/>
    </row>
    <row r="71849" spans="10:10" x14ac:dyDescent="0.3">
      <c r="J71849"/>
    </row>
    <row r="71850" spans="10:10" x14ac:dyDescent="0.3">
      <c r="J71850"/>
    </row>
    <row r="71851" spans="10:10" x14ac:dyDescent="0.3">
      <c r="J71851"/>
    </row>
    <row r="71852" spans="10:10" x14ac:dyDescent="0.3">
      <c r="J71852"/>
    </row>
    <row r="71853" spans="10:10" x14ac:dyDescent="0.3">
      <c r="J71853"/>
    </row>
    <row r="71854" spans="10:10" x14ac:dyDescent="0.3">
      <c r="J71854"/>
    </row>
    <row r="71855" spans="10:10" x14ac:dyDescent="0.3">
      <c r="J71855"/>
    </row>
    <row r="71856" spans="10:10" x14ac:dyDescent="0.3">
      <c r="J71856"/>
    </row>
    <row r="71857" spans="10:10" x14ac:dyDescent="0.3">
      <c r="J71857"/>
    </row>
    <row r="71858" spans="10:10" x14ac:dyDescent="0.3">
      <c r="J71858"/>
    </row>
    <row r="71859" spans="10:10" x14ac:dyDescent="0.3">
      <c r="J71859"/>
    </row>
    <row r="71860" spans="10:10" x14ac:dyDescent="0.3">
      <c r="J71860"/>
    </row>
    <row r="71861" spans="10:10" x14ac:dyDescent="0.3">
      <c r="J71861"/>
    </row>
    <row r="71862" spans="10:10" x14ac:dyDescent="0.3">
      <c r="J71862"/>
    </row>
    <row r="71863" spans="10:10" x14ac:dyDescent="0.3">
      <c r="J71863"/>
    </row>
    <row r="71864" spans="10:10" x14ac:dyDescent="0.3">
      <c r="J71864"/>
    </row>
    <row r="71865" spans="10:10" x14ac:dyDescent="0.3">
      <c r="J71865"/>
    </row>
    <row r="71866" spans="10:10" x14ac:dyDescent="0.3">
      <c r="J71866"/>
    </row>
    <row r="71867" spans="10:10" x14ac:dyDescent="0.3">
      <c r="J71867"/>
    </row>
    <row r="71868" spans="10:10" x14ac:dyDescent="0.3">
      <c r="J71868"/>
    </row>
    <row r="71869" spans="10:10" x14ac:dyDescent="0.3">
      <c r="J71869"/>
    </row>
    <row r="71870" spans="10:10" x14ac:dyDescent="0.3">
      <c r="J71870"/>
    </row>
    <row r="71871" spans="10:10" x14ac:dyDescent="0.3">
      <c r="J71871"/>
    </row>
    <row r="71872" spans="10:10" x14ac:dyDescent="0.3">
      <c r="J71872"/>
    </row>
    <row r="71873" spans="10:10" x14ac:dyDescent="0.3">
      <c r="J71873"/>
    </row>
    <row r="71874" spans="10:10" x14ac:dyDescent="0.3">
      <c r="J71874"/>
    </row>
    <row r="71875" spans="10:10" x14ac:dyDescent="0.3">
      <c r="J71875"/>
    </row>
    <row r="71876" spans="10:10" x14ac:dyDescent="0.3">
      <c r="J71876"/>
    </row>
    <row r="71877" spans="10:10" x14ac:dyDescent="0.3">
      <c r="J71877"/>
    </row>
    <row r="71878" spans="10:10" x14ac:dyDescent="0.3">
      <c r="J71878"/>
    </row>
    <row r="71879" spans="10:10" x14ac:dyDescent="0.3">
      <c r="J71879"/>
    </row>
    <row r="71880" spans="10:10" x14ac:dyDescent="0.3">
      <c r="J71880"/>
    </row>
    <row r="71881" spans="10:10" x14ac:dyDescent="0.3">
      <c r="J71881"/>
    </row>
    <row r="71882" spans="10:10" x14ac:dyDescent="0.3">
      <c r="J71882"/>
    </row>
    <row r="71883" spans="10:10" x14ac:dyDescent="0.3">
      <c r="J71883"/>
    </row>
    <row r="71884" spans="10:10" x14ac:dyDescent="0.3">
      <c r="J71884"/>
    </row>
    <row r="71885" spans="10:10" x14ac:dyDescent="0.3">
      <c r="J71885"/>
    </row>
    <row r="71886" spans="10:10" x14ac:dyDescent="0.3">
      <c r="J71886"/>
    </row>
    <row r="71887" spans="10:10" x14ac:dyDescent="0.3">
      <c r="J71887"/>
    </row>
    <row r="71888" spans="10:10" x14ac:dyDescent="0.3">
      <c r="J71888"/>
    </row>
    <row r="71889" spans="10:10" x14ac:dyDescent="0.3">
      <c r="J71889"/>
    </row>
    <row r="71890" spans="10:10" x14ac:dyDescent="0.3">
      <c r="J71890"/>
    </row>
    <row r="71891" spans="10:10" x14ac:dyDescent="0.3">
      <c r="J71891"/>
    </row>
    <row r="71892" spans="10:10" x14ac:dyDescent="0.3">
      <c r="J71892"/>
    </row>
    <row r="71893" spans="10:10" x14ac:dyDescent="0.3">
      <c r="J71893"/>
    </row>
    <row r="71894" spans="10:10" x14ac:dyDescent="0.3">
      <c r="J71894"/>
    </row>
    <row r="71895" spans="10:10" x14ac:dyDescent="0.3">
      <c r="J71895"/>
    </row>
    <row r="71896" spans="10:10" x14ac:dyDescent="0.3">
      <c r="J71896"/>
    </row>
    <row r="71897" spans="10:10" x14ac:dyDescent="0.3">
      <c r="J71897"/>
    </row>
    <row r="71898" spans="10:10" x14ac:dyDescent="0.3">
      <c r="J71898"/>
    </row>
    <row r="71899" spans="10:10" x14ac:dyDescent="0.3">
      <c r="J71899"/>
    </row>
    <row r="71900" spans="10:10" x14ac:dyDescent="0.3">
      <c r="J71900"/>
    </row>
    <row r="71901" spans="10:10" x14ac:dyDescent="0.3">
      <c r="J71901"/>
    </row>
    <row r="71902" spans="10:10" x14ac:dyDescent="0.3">
      <c r="J71902"/>
    </row>
    <row r="71903" spans="10:10" x14ac:dyDescent="0.3">
      <c r="J71903"/>
    </row>
    <row r="71904" spans="10:10" x14ac:dyDescent="0.3">
      <c r="J71904"/>
    </row>
    <row r="71905" spans="10:10" x14ac:dyDescent="0.3">
      <c r="J71905"/>
    </row>
    <row r="71906" spans="10:10" x14ac:dyDescent="0.3">
      <c r="J71906"/>
    </row>
    <row r="71907" spans="10:10" x14ac:dyDescent="0.3">
      <c r="J71907"/>
    </row>
    <row r="71908" spans="10:10" x14ac:dyDescent="0.3">
      <c r="J71908"/>
    </row>
    <row r="71909" spans="10:10" x14ac:dyDescent="0.3">
      <c r="J71909"/>
    </row>
    <row r="71910" spans="10:10" x14ac:dyDescent="0.3">
      <c r="J71910"/>
    </row>
    <row r="71911" spans="10:10" x14ac:dyDescent="0.3">
      <c r="J71911"/>
    </row>
    <row r="71912" spans="10:10" x14ac:dyDescent="0.3">
      <c r="J71912"/>
    </row>
    <row r="71913" spans="10:10" x14ac:dyDescent="0.3">
      <c r="J71913"/>
    </row>
    <row r="71914" spans="10:10" x14ac:dyDescent="0.3">
      <c r="J71914"/>
    </row>
    <row r="71915" spans="10:10" x14ac:dyDescent="0.3">
      <c r="J71915"/>
    </row>
    <row r="71916" spans="10:10" x14ac:dyDescent="0.3">
      <c r="J71916"/>
    </row>
    <row r="71917" spans="10:10" x14ac:dyDescent="0.3">
      <c r="J71917"/>
    </row>
    <row r="71918" spans="10:10" x14ac:dyDescent="0.3">
      <c r="J71918"/>
    </row>
    <row r="71919" spans="10:10" x14ac:dyDescent="0.3">
      <c r="J71919"/>
    </row>
    <row r="71920" spans="10:10" x14ac:dyDescent="0.3">
      <c r="J71920"/>
    </row>
    <row r="71921" spans="10:10" x14ac:dyDescent="0.3">
      <c r="J71921"/>
    </row>
    <row r="71922" spans="10:10" x14ac:dyDescent="0.3">
      <c r="J71922"/>
    </row>
    <row r="71923" spans="10:10" x14ac:dyDescent="0.3">
      <c r="J71923"/>
    </row>
    <row r="71924" spans="10:10" x14ac:dyDescent="0.3">
      <c r="J71924"/>
    </row>
    <row r="71925" spans="10:10" x14ac:dyDescent="0.3">
      <c r="J71925"/>
    </row>
    <row r="71926" spans="10:10" x14ac:dyDescent="0.3">
      <c r="J71926"/>
    </row>
    <row r="71927" spans="10:10" x14ac:dyDescent="0.3">
      <c r="J71927"/>
    </row>
    <row r="71928" spans="10:10" x14ac:dyDescent="0.3">
      <c r="J71928"/>
    </row>
    <row r="71929" spans="10:10" x14ac:dyDescent="0.3">
      <c r="J71929"/>
    </row>
    <row r="71930" spans="10:10" x14ac:dyDescent="0.3">
      <c r="J71930"/>
    </row>
    <row r="71931" spans="10:10" x14ac:dyDescent="0.3">
      <c r="J71931"/>
    </row>
    <row r="71932" spans="10:10" x14ac:dyDescent="0.3">
      <c r="J71932"/>
    </row>
    <row r="71933" spans="10:10" x14ac:dyDescent="0.3">
      <c r="J71933"/>
    </row>
    <row r="71934" spans="10:10" x14ac:dyDescent="0.3">
      <c r="J71934"/>
    </row>
    <row r="71935" spans="10:10" x14ac:dyDescent="0.3">
      <c r="J71935"/>
    </row>
    <row r="71936" spans="10:10" x14ac:dyDescent="0.3">
      <c r="J71936"/>
    </row>
    <row r="71937" spans="10:10" x14ac:dyDescent="0.3">
      <c r="J71937"/>
    </row>
    <row r="71938" spans="10:10" x14ac:dyDescent="0.3">
      <c r="J71938"/>
    </row>
    <row r="71939" spans="10:10" x14ac:dyDescent="0.3">
      <c r="J71939"/>
    </row>
    <row r="71940" spans="10:10" x14ac:dyDescent="0.3">
      <c r="J71940"/>
    </row>
    <row r="71941" spans="10:10" x14ac:dyDescent="0.3">
      <c r="J71941"/>
    </row>
    <row r="71942" spans="10:10" x14ac:dyDescent="0.3">
      <c r="J71942"/>
    </row>
    <row r="71943" spans="10:10" x14ac:dyDescent="0.3">
      <c r="J71943"/>
    </row>
    <row r="71944" spans="10:10" x14ac:dyDescent="0.3">
      <c r="J71944"/>
    </row>
    <row r="71945" spans="10:10" x14ac:dyDescent="0.3">
      <c r="J71945"/>
    </row>
    <row r="71946" spans="10:10" x14ac:dyDescent="0.3">
      <c r="J71946"/>
    </row>
    <row r="71947" spans="10:10" x14ac:dyDescent="0.3">
      <c r="J71947"/>
    </row>
    <row r="71948" spans="10:10" x14ac:dyDescent="0.3">
      <c r="J71948"/>
    </row>
    <row r="71949" spans="10:10" x14ac:dyDescent="0.3">
      <c r="J71949"/>
    </row>
    <row r="71950" spans="10:10" x14ac:dyDescent="0.3">
      <c r="J71950"/>
    </row>
    <row r="71951" spans="10:10" x14ac:dyDescent="0.3">
      <c r="J71951"/>
    </row>
    <row r="71952" spans="10:10" x14ac:dyDescent="0.3">
      <c r="J71952"/>
    </row>
    <row r="71953" spans="10:10" x14ac:dyDescent="0.3">
      <c r="J71953"/>
    </row>
    <row r="71954" spans="10:10" x14ac:dyDescent="0.3">
      <c r="J71954"/>
    </row>
    <row r="71955" spans="10:10" x14ac:dyDescent="0.3">
      <c r="J71955"/>
    </row>
    <row r="71956" spans="10:10" x14ac:dyDescent="0.3">
      <c r="J71956"/>
    </row>
    <row r="71957" spans="10:10" x14ac:dyDescent="0.3">
      <c r="J71957"/>
    </row>
    <row r="71958" spans="10:10" x14ac:dyDescent="0.3">
      <c r="J71958"/>
    </row>
    <row r="71959" spans="10:10" x14ac:dyDescent="0.3">
      <c r="J71959"/>
    </row>
    <row r="71960" spans="10:10" x14ac:dyDescent="0.3">
      <c r="J71960"/>
    </row>
    <row r="71961" spans="10:10" x14ac:dyDescent="0.3">
      <c r="J71961"/>
    </row>
    <row r="71962" spans="10:10" x14ac:dyDescent="0.3">
      <c r="J71962"/>
    </row>
    <row r="71963" spans="10:10" x14ac:dyDescent="0.3">
      <c r="J71963"/>
    </row>
    <row r="71964" spans="10:10" x14ac:dyDescent="0.3">
      <c r="J71964"/>
    </row>
    <row r="71965" spans="10:10" x14ac:dyDescent="0.3">
      <c r="J71965"/>
    </row>
    <row r="71966" spans="10:10" x14ac:dyDescent="0.3">
      <c r="J71966"/>
    </row>
    <row r="71967" spans="10:10" x14ac:dyDescent="0.3">
      <c r="J71967"/>
    </row>
    <row r="71968" spans="10:10" x14ac:dyDescent="0.3">
      <c r="J71968"/>
    </row>
    <row r="71969" spans="10:10" x14ac:dyDescent="0.3">
      <c r="J71969"/>
    </row>
    <row r="71970" spans="10:10" x14ac:dyDescent="0.3">
      <c r="J71970"/>
    </row>
    <row r="71971" spans="10:10" x14ac:dyDescent="0.3">
      <c r="J71971"/>
    </row>
    <row r="71972" spans="10:10" x14ac:dyDescent="0.3">
      <c r="J71972"/>
    </row>
    <row r="71973" spans="10:10" x14ac:dyDescent="0.3">
      <c r="J71973"/>
    </row>
    <row r="71974" spans="10:10" x14ac:dyDescent="0.3">
      <c r="J71974"/>
    </row>
    <row r="71975" spans="10:10" x14ac:dyDescent="0.3">
      <c r="J71975"/>
    </row>
    <row r="71976" spans="10:10" x14ac:dyDescent="0.3">
      <c r="J71976"/>
    </row>
    <row r="71977" spans="10:10" x14ac:dyDescent="0.3">
      <c r="J71977"/>
    </row>
    <row r="71978" spans="10:10" x14ac:dyDescent="0.3">
      <c r="J71978"/>
    </row>
    <row r="71979" spans="10:10" x14ac:dyDescent="0.3">
      <c r="J71979"/>
    </row>
    <row r="71980" spans="10:10" x14ac:dyDescent="0.3">
      <c r="J71980"/>
    </row>
    <row r="71981" spans="10:10" x14ac:dyDescent="0.3">
      <c r="J71981"/>
    </row>
    <row r="71982" spans="10:10" x14ac:dyDescent="0.3">
      <c r="J71982"/>
    </row>
    <row r="71983" spans="10:10" x14ac:dyDescent="0.3">
      <c r="J71983"/>
    </row>
    <row r="71984" spans="10:10" x14ac:dyDescent="0.3">
      <c r="J71984"/>
    </row>
    <row r="71985" spans="10:10" x14ac:dyDescent="0.3">
      <c r="J71985"/>
    </row>
    <row r="71986" spans="10:10" x14ac:dyDescent="0.3">
      <c r="J71986"/>
    </row>
    <row r="71987" spans="10:10" x14ac:dyDescent="0.3">
      <c r="J71987"/>
    </row>
    <row r="71988" spans="10:10" x14ac:dyDescent="0.3">
      <c r="J71988"/>
    </row>
    <row r="71989" spans="10:10" x14ac:dyDescent="0.3">
      <c r="J71989"/>
    </row>
    <row r="71990" spans="10:10" x14ac:dyDescent="0.3">
      <c r="J71990"/>
    </row>
    <row r="71991" spans="10:10" x14ac:dyDescent="0.3">
      <c r="J71991"/>
    </row>
    <row r="71992" spans="10:10" x14ac:dyDescent="0.3">
      <c r="J71992"/>
    </row>
    <row r="71993" spans="10:10" x14ac:dyDescent="0.3">
      <c r="J71993"/>
    </row>
    <row r="71994" spans="10:10" x14ac:dyDescent="0.3">
      <c r="J71994"/>
    </row>
    <row r="71995" spans="10:10" x14ac:dyDescent="0.3">
      <c r="J71995"/>
    </row>
    <row r="71996" spans="10:10" x14ac:dyDescent="0.3">
      <c r="J71996"/>
    </row>
    <row r="71997" spans="10:10" x14ac:dyDescent="0.3">
      <c r="J71997"/>
    </row>
    <row r="71998" spans="10:10" x14ac:dyDescent="0.3">
      <c r="J71998"/>
    </row>
    <row r="71999" spans="10:10" x14ac:dyDescent="0.3">
      <c r="J71999"/>
    </row>
    <row r="72000" spans="10:10" x14ac:dyDescent="0.3">
      <c r="J72000"/>
    </row>
    <row r="72001" spans="10:10" x14ac:dyDescent="0.3">
      <c r="J72001"/>
    </row>
    <row r="72002" spans="10:10" x14ac:dyDescent="0.3">
      <c r="J72002"/>
    </row>
    <row r="72003" spans="10:10" x14ac:dyDescent="0.3">
      <c r="J72003"/>
    </row>
    <row r="72004" spans="10:10" x14ac:dyDescent="0.3">
      <c r="J72004"/>
    </row>
    <row r="72005" spans="10:10" x14ac:dyDescent="0.3">
      <c r="J72005"/>
    </row>
    <row r="72006" spans="10:10" x14ac:dyDescent="0.3">
      <c r="J72006"/>
    </row>
    <row r="72007" spans="10:10" x14ac:dyDescent="0.3">
      <c r="J72007"/>
    </row>
    <row r="72008" spans="10:10" x14ac:dyDescent="0.3">
      <c r="J72008"/>
    </row>
    <row r="72009" spans="10:10" x14ac:dyDescent="0.3">
      <c r="J72009"/>
    </row>
    <row r="72010" spans="10:10" x14ac:dyDescent="0.3">
      <c r="J72010"/>
    </row>
    <row r="72011" spans="10:10" x14ac:dyDescent="0.3">
      <c r="J72011"/>
    </row>
    <row r="72012" spans="10:10" x14ac:dyDescent="0.3">
      <c r="J72012"/>
    </row>
    <row r="72013" spans="10:10" x14ac:dyDescent="0.3">
      <c r="J72013"/>
    </row>
    <row r="72014" spans="10:10" x14ac:dyDescent="0.3">
      <c r="J72014"/>
    </row>
    <row r="72015" spans="10:10" x14ac:dyDescent="0.3">
      <c r="J72015"/>
    </row>
    <row r="72016" spans="10:10" x14ac:dyDescent="0.3">
      <c r="J72016"/>
    </row>
    <row r="72017" spans="10:10" x14ac:dyDescent="0.3">
      <c r="J72017"/>
    </row>
    <row r="72018" spans="10:10" x14ac:dyDescent="0.3">
      <c r="J72018"/>
    </row>
    <row r="72019" spans="10:10" x14ac:dyDescent="0.3">
      <c r="J72019"/>
    </row>
    <row r="72020" spans="10:10" x14ac:dyDescent="0.3">
      <c r="J72020"/>
    </row>
    <row r="72021" spans="10:10" x14ac:dyDescent="0.3">
      <c r="J72021"/>
    </row>
    <row r="72022" spans="10:10" x14ac:dyDescent="0.3">
      <c r="J72022"/>
    </row>
    <row r="72023" spans="10:10" x14ac:dyDescent="0.3">
      <c r="J72023"/>
    </row>
    <row r="72024" spans="10:10" x14ac:dyDescent="0.3">
      <c r="J72024"/>
    </row>
    <row r="72025" spans="10:10" x14ac:dyDescent="0.3">
      <c r="J72025"/>
    </row>
    <row r="72026" spans="10:10" x14ac:dyDescent="0.3">
      <c r="J72026"/>
    </row>
    <row r="72027" spans="10:10" x14ac:dyDescent="0.3">
      <c r="J72027"/>
    </row>
    <row r="72028" spans="10:10" x14ac:dyDescent="0.3">
      <c r="J72028"/>
    </row>
    <row r="72029" spans="10:10" x14ac:dyDescent="0.3">
      <c r="J72029"/>
    </row>
    <row r="72030" spans="10:10" x14ac:dyDescent="0.3">
      <c r="J72030"/>
    </row>
    <row r="72031" spans="10:10" x14ac:dyDescent="0.3">
      <c r="J72031"/>
    </row>
    <row r="72032" spans="10:10" x14ac:dyDescent="0.3">
      <c r="J72032"/>
    </row>
    <row r="72033" spans="10:10" x14ac:dyDescent="0.3">
      <c r="J72033"/>
    </row>
    <row r="72034" spans="10:10" x14ac:dyDescent="0.3">
      <c r="J72034"/>
    </row>
    <row r="72035" spans="10:10" x14ac:dyDescent="0.3">
      <c r="J72035"/>
    </row>
    <row r="72036" spans="10:10" x14ac:dyDescent="0.3">
      <c r="J72036"/>
    </row>
    <row r="72037" spans="10:10" x14ac:dyDescent="0.3">
      <c r="J72037"/>
    </row>
    <row r="72038" spans="10:10" x14ac:dyDescent="0.3">
      <c r="J72038"/>
    </row>
    <row r="72039" spans="10:10" x14ac:dyDescent="0.3">
      <c r="J72039"/>
    </row>
    <row r="72040" spans="10:10" x14ac:dyDescent="0.3">
      <c r="J72040"/>
    </row>
    <row r="72041" spans="10:10" x14ac:dyDescent="0.3">
      <c r="J72041"/>
    </row>
    <row r="72042" spans="10:10" x14ac:dyDescent="0.3">
      <c r="J72042"/>
    </row>
    <row r="72043" spans="10:10" x14ac:dyDescent="0.3">
      <c r="J72043"/>
    </row>
    <row r="72044" spans="10:10" x14ac:dyDescent="0.3">
      <c r="J72044"/>
    </row>
    <row r="72045" spans="10:10" x14ac:dyDescent="0.3">
      <c r="J72045"/>
    </row>
    <row r="72046" spans="10:10" x14ac:dyDescent="0.3">
      <c r="J72046"/>
    </row>
    <row r="72047" spans="10:10" x14ac:dyDescent="0.3">
      <c r="J72047"/>
    </row>
    <row r="72048" spans="10:10" x14ac:dyDescent="0.3">
      <c r="J72048"/>
    </row>
    <row r="72049" spans="10:10" x14ac:dyDescent="0.3">
      <c r="J72049"/>
    </row>
    <row r="72050" spans="10:10" x14ac:dyDescent="0.3">
      <c r="J72050"/>
    </row>
    <row r="72051" spans="10:10" x14ac:dyDescent="0.3">
      <c r="J72051"/>
    </row>
    <row r="72052" spans="10:10" x14ac:dyDescent="0.3">
      <c r="J72052"/>
    </row>
    <row r="72053" spans="10:10" x14ac:dyDescent="0.3">
      <c r="J72053"/>
    </row>
    <row r="72054" spans="10:10" x14ac:dyDescent="0.3">
      <c r="J72054"/>
    </row>
    <row r="72055" spans="10:10" x14ac:dyDescent="0.3">
      <c r="J72055"/>
    </row>
    <row r="72056" spans="10:10" x14ac:dyDescent="0.3">
      <c r="J72056"/>
    </row>
    <row r="72057" spans="10:10" x14ac:dyDescent="0.3">
      <c r="J72057"/>
    </row>
    <row r="72058" spans="10:10" x14ac:dyDescent="0.3">
      <c r="J72058"/>
    </row>
    <row r="72059" spans="10:10" x14ac:dyDescent="0.3">
      <c r="J72059"/>
    </row>
    <row r="72060" spans="10:10" x14ac:dyDescent="0.3">
      <c r="J72060"/>
    </row>
    <row r="72061" spans="10:10" x14ac:dyDescent="0.3">
      <c r="J72061"/>
    </row>
    <row r="72062" spans="10:10" x14ac:dyDescent="0.3">
      <c r="J72062"/>
    </row>
    <row r="72063" spans="10:10" x14ac:dyDescent="0.3">
      <c r="J72063"/>
    </row>
    <row r="72064" spans="10:10" x14ac:dyDescent="0.3">
      <c r="J72064"/>
    </row>
    <row r="72065" spans="10:10" x14ac:dyDescent="0.3">
      <c r="J72065"/>
    </row>
    <row r="72066" spans="10:10" x14ac:dyDescent="0.3">
      <c r="J72066"/>
    </row>
    <row r="72067" spans="10:10" x14ac:dyDescent="0.3">
      <c r="J72067"/>
    </row>
    <row r="72068" spans="10:10" x14ac:dyDescent="0.3">
      <c r="J72068"/>
    </row>
    <row r="72069" spans="10:10" x14ac:dyDescent="0.3">
      <c r="J72069"/>
    </row>
    <row r="72070" spans="10:10" x14ac:dyDescent="0.3">
      <c r="J72070"/>
    </row>
    <row r="72071" spans="10:10" x14ac:dyDescent="0.3">
      <c r="J72071"/>
    </row>
    <row r="72072" spans="10:10" x14ac:dyDescent="0.3">
      <c r="J72072"/>
    </row>
    <row r="72073" spans="10:10" x14ac:dyDescent="0.3">
      <c r="J72073"/>
    </row>
    <row r="72074" spans="10:10" x14ac:dyDescent="0.3">
      <c r="J72074"/>
    </row>
    <row r="72075" spans="10:10" x14ac:dyDescent="0.3">
      <c r="J72075"/>
    </row>
    <row r="72076" spans="10:10" x14ac:dyDescent="0.3">
      <c r="J72076"/>
    </row>
    <row r="72077" spans="10:10" x14ac:dyDescent="0.3">
      <c r="J72077"/>
    </row>
    <row r="72078" spans="10:10" x14ac:dyDescent="0.3">
      <c r="J72078"/>
    </row>
    <row r="72079" spans="10:10" x14ac:dyDescent="0.3">
      <c r="J72079"/>
    </row>
    <row r="72080" spans="10:10" x14ac:dyDescent="0.3">
      <c r="J72080"/>
    </row>
    <row r="72081" spans="10:10" x14ac:dyDescent="0.3">
      <c r="J72081"/>
    </row>
    <row r="72082" spans="10:10" x14ac:dyDescent="0.3">
      <c r="J72082"/>
    </row>
    <row r="72083" spans="10:10" x14ac:dyDescent="0.3">
      <c r="J72083"/>
    </row>
    <row r="72084" spans="10:10" x14ac:dyDescent="0.3">
      <c r="J72084"/>
    </row>
    <row r="72085" spans="10:10" x14ac:dyDescent="0.3">
      <c r="J72085"/>
    </row>
    <row r="72086" spans="10:10" x14ac:dyDescent="0.3">
      <c r="J72086"/>
    </row>
    <row r="72087" spans="10:10" x14ac:dyDescent="0.3">
      <c r="J72087"/>
    </row>
    <row r="72088" spans="10:10" x14ac:dyDescent="0.3">
      <c r="J72088"/>
    </row>
    <row r="72089" spans="10:10" x14ac:dyDescent="0.3">
      <c r="J72089"/>
    </row>
    <row r="72090" spans="10:10" x14ac:dyDescent="0.3">
      <c r="J72090"/>
    </row>
    <row r="72091" spans="10:10" x14ac:dyDescent="0.3">
      <c r="J72091"/>
    </row>
    <row r="72092" spans="10:10" x14ac:dyDescent="0.3">
      <c r="J72092"/>
    </row>
    <row r="72093" spans="10:10" x14ac:dyDescent="0.3">
      <c r="J72093"/>
    </row>
    <row r="72094" spans="10:10" x14ac:dyDescent="0.3">
      <c r="J72094"/>
    </row>
    <row r="72095" spans="10:10" x14ac:dyDescent="0.3">
      <c r="J72095"/>
    </row>
    <row r="72096" spans="10:10" x14ac:dyDescent="0.3">
      <c r="J72096"/>
    </row>
    <row r="72097" spans="10:10" x14ac:dyDescent="0.3">
      <c r="J72097"/>
    </row>
    <row r="72098" spans="10:10" x14ac:dyDescent="0.3">
      <c r="J72098"/>
    </row>
    <row r="72099" spans="10:10" x14ac:dyDescent="0.3">
      <c r="J72099"/>
    </row>
    <row r="72100" spans="10:10" x14ac:dyDescent="0.3">
      <c r="J72100"/>
    </row>
    <row r="72101" spans="10:10" x14ac:dyDescent="0.3">
      <c r="J72101"/>
    </row>
    <row r="72102" spans="10:10" x14ac:dyDescent="0.3">
      <c r="J72102"/>
    </row>
    <row r="72103" spans="10:10" x14ac:dyDescent="0.3">
      <c r="J72103"/>
    </row>
    <row r="72104" spans="10:10" x14ac:dyDescent="0.3">
      <c r="J72104"/>
    </row>
    <row r="72105" spans="10:10" x14ac:dyDescent="0.3">
      <c r="J72105"/>
    </row>
    <row r="72106" spans="10:10" x14ac:dyDescent="0.3">
      <c r="J72106"/>
    </row>
    <row r="72107" spans="10:10" x14ac:dyDescent="0.3">
      <c r="J72107"/>
    </row>
    <row r="72108" spans="10:10" x14ac:dyDescent="0.3">
      <c r="J72108"/>
    </row>
    <row r="72109" spans="10:10" x14ac:dyDescent="0.3">
      <c r="J72109"/>
    </row>
    <row r="72110" spans="10:10" x14ac:dyDescent="0.3">
      <c r="J72110"/>
    </row>
    <row r="72111" spans="10:10" x14ac:dyDescent="0.3">
      <c r="J72111"/>
    </row>
    <row r="72112" spans="10:10" x14ac:dyDescent="0.3">
      <c r="J72112"/>
    </row>
    <row r="72113" spans="10:10" x14ac:dyDescent="0.3">
      <c r="J72113"/>
    </row>
    <row r="72114" spans="10:10" x14ac:dyDescent="0.3">
      <c r="J72114"/>
    </row>
    <row r="72115" spans="10:10" x14ac:dyDescent="0.3">
      <c r="J72115"/>
    </row>
    <row r="72116" spans="10:10" x14ac:dyDescent="0.3">
      <c r="J72116"/>
    </row>
    <row r="72117" spans="10:10" x14ac:dyDescent="0.3">
      <c r="J72117"/>
    </row>
    <row r="72118" spans="10:10" x14ac:dyDescent="0.3">
      <c r="J72118"/>
    </row>
    <row r="72119" spans="10:10" x14ac:dyDescent="0.3">
      <c r="J72119"/>
    </row>
    <row r="72120" spans="10:10" x14ac:dyDescent="0.3">
      <c r="J72120"/>
    </row>
    <row r="72121" spans="10:10" x14ac:dyDescent="0.3">
      <c r="J72121"/>
    </row>
    <row r="72122" spans="10:10" x14ac:dyDescent="0.3">
      <c r="J72122"/>
    </row>
    <row r="72123" spans="10:10" x14ac:dyDescent="0.3">
      <c r="J72123"/>
    </row>
    <row r="72124" spans="10:10" x14ac:dyDescent="0.3">
      <c r="J72124"/>
    </row>
    <row r="72125" spans="10:10" x14ac:dyDescent="0.3">
      <c r="J72125"/>
    </row>
    <row r="72126" spans="10:10" x14ac:dyDescent="0.3">
      <c r="J72126"/>
    </row>
    <row r="72127" spans="10:10" x14ac:dyDescent="0.3">
      <c r="J72127"/>
    </row>
    <row r="72128" spans="10:10" x14ac:dyDescent="0.3">
      <c r="J72128"/>
    </row>
    <row r="72129" spans="10:10" x14ac:dyDescent="0.3">
      <c r="J72129"/>
    </row>
    <row r="72130" spans="10:10" x14ac:dyDescent="0.3">
      <c r="J72130"/>
    </row>
    <row r="72131" spans="10:10" x14ac:dyDescent="0.3">
      <c r="J72131"/>
    </row>
    <row r="72132" spans="10:10" x14ac:dyDescent="0.3">
      <c r="J72132"/>
    </row>
    <row r="72133" spans="10:10" x14ac:dyDescent="0.3">
      <c r="J72133"/>
    </row>
    <row r="72134" spans="10:10" x14ac:dyDescent="0.3">
      <c r="J72134"/>
    </row>
    <row r="72135" spans="10:10" x14ac:dyDescent="0.3">
      <c r="J72135"/>
    </row>
    <row r="72136" spans="10:10" x14ac:dyDescent="0.3">
      <c r="J72136"/>
    </row>
    <row r="72137" spans="10:10" x14ac:dyDescent="0.3">
      <c r="J72137"/>
    </row>
    <row r="72138" spans="10:10" x14ac:dyDescent="0.3">
      <c r="J72138"/>
    </row>
    <row r="72139" spans="10:10" x14ac:dyDescent="0.3">
      <c r="J72139"/>
    </row>
    <row r="72140" spans="10:10" x14ac:dyDescent="0.3">
      <c r="J72140"/>
    </row>
    <row r="72141" spans="10:10" x14ac:dyDescent="0.3">
      <c r="J72141"/>
    </row>
    <row r="72142" spans="10:10" x14ac:dyDescent="0.3">
      <c r="J72142"/>
    </row>
    <row r="72143" spans="10:10" x14ac:dyDescent="0.3">
      <c r="J72143"/>
    </row>
    <row r="72144" spans="10:10" x14ac:dyDescent="0.3">
      <c r="J72144"/>
    </row>
    <row r="72145" spans="10:10" x14ac:dyDescent="0.3">
      <c r="J72145"/>
    </row>
    <row r="72146" spans="10:10" x14ac:dyDescent="0.3">
      <c r="J72146"/>
    </row>
    <row r="72147" spans="10:10" x14ac:dyDescent="0.3">
      <c r="J72147"/>
    </row>
    <row r="72148" spans="10:10" x14ac:dyDescent="0.3">
      <c r="J72148"/>
    </row>
    <row r="72149" spans="10:10" x14ac:dyDescent="0.3">
      <c r="J72149"/>
    </row>
    <row r="72150" spans="10:10" x14ac:dyDescent="0.3">
      <c r="J72150"/>
    </row>
    <row r="72151" spans="10:10" x14ac:dyDescent="0.3">
      <c r="J72151"/>
    </row>
    <row r="72152" spans="10:10" x14ac:dyDescent="0.3">
      <c r="J72152"/>
    </row>
    <row r="72153" spans="10:10" x14ac:dyDescent="0.3">
      <c r="J72153"/>
    </row>
    <row r="72154" spans="10:10" x14ac:dyDescent="0.3">
      <c r="J72154"/>
    </row>
    <row r="72155" spans="10:10" x14ac:dyDescent="0.3">
      <c r="J72155"/>
    </row>
    <row r="72156" spans="10:10" x14ac:dyDescent="0.3">
      <c r="J72156"/>
    </row>
    <row r="72157" spans="10:10" x14ac:dyDescent="0.3">
      <c r="J72157"/>
    </row>
    <row r="72158" spans="10:10" x14ac:dyDescent="0.3">
      <c r="J72158"/>
    </row>
    <row r="72159" spans="10:10" x14ac:dyDescent="0.3">
      <c r="J72159"/>
    </row>
    <row r="72160" spans="10:10" x14ac:dyDescent="0.3">
      <c r="J72160"/>
    </row>
    <row r="72161" spans="10:10" x14ac:dyDescent="0.3">
      <c r="J72161"/>
    </row>
    <row r="72162" spans="10:10" x14ac:dyDescent="0.3">
      <c r="J72162"/>
    </row>
    <row r="72163" spans="10:10" x14ac:dyDescent="0.3">
      <c r="J72163"/>
    </row>
    <row r="72164" spans="10:10" x14ac:dyDescent="0.3">
      <c r="J72164"/>
    </row>
    <row r="72165" spans="10:10" x14ac:dyDescent="0.3">
      <c r="J72165"/>
    </row>
    <row r="72166" spans="10:10" x14ac:dyDescent="0.3">
      <c r="J72166"/>
    </row>
    <row r="72167" spans="10:10" x14ac:dyDescent="0.3">
      <c r="J72167"/>
    </row>
    <row r="72168" spans="10:10" x14ac:dyDescent="0.3">
      <c r="J72168"/>
    </row>
    <row r="72169" spans="10:10" x14ac:dyDescent="0.3">
      <c r="J72169"/>
    </row>
    <row r="72170" spans="10:10" x14ac:dyDescent="0.3">
      <c r="J72170"/>
    </row>
    <row r="72171" spans="10:10" x14ac:dyDescent="0.3">
      <c r="J72171"/>
    </row>
    <row r="72172" spans="10:10" x14ac:dyDescent="0.3">
      <c r="J72172"/>
    </row>
    <row r="72173" spans="10:10" x14ac:dyDescent="0.3">
      <c r="J72173"/>
    </row>
    <row r="72174" spans="10:10" x14ac:dyDescent="0.3">
      <c r="J72174"/>
    </row>
    <row r="72175" spans="10:10" x14ac:dyDescent="0.3">
      <c r="J72175"/>
    </row>
    <row r="72176" spans="10:10" x14ac:dyDescent="0.3">
      <c r="J72176"/>
    </row>
    <row r="72177" spans="10:10" x14ac:dyDescent="0.3">
      <c r="J72177"/>
    </row>
    <row r="72178" spans="10:10" x14ac:dyDescent="0.3">
      <c r="J72178"/>
    </row>
    <row r="72179" spans="10:10" x14ac:dyDescent="0.3">
      <c r="J72179"/>
    </row>
    <row r="72180" spans="10:10" x14ac:dyDescent="0.3">
      <c r="J72180"/>
    </row>
    <row r="72181" spans="10:10" x14ac:dyDescent="0.3">
      <c r="J72181"/>
    </row>
    <row r="72182" spans="10:10" x14ac:dyDescent="0.3">
      <c r="J72182"/>
    </row>
    <row r="72183" spans="10:10" x14ac:dyDescent="0.3">
      <c r="J72183"/>
    </row>
    <row r="72184" spans="10:10" x14ac:dyDescent="0.3">
      <c r="J72184"/>
    </row>
    <row r="72185" spans="10:10" x14ac:dyDescent="0.3">
      <c r="J72185"/>
    </row>
    <row r="72186" spans="10:10" x14ac:dyDescent="0.3">
      <c r="J72186"/>
    </row>
    <row r="72187" spans="10:10" x14ac:dyDescent="0.3">
      <c r="J72187"/>
    </row>
    <row r="72188" spans="10:10" x14ac:dyDescent="0.3">
      <c r="J72188"/>
    </row>
    <row r="72189" spans="10:10" x14ac:dyDescent="0.3">
      <c r="J72189"/>
    </row>
    <row r="72190" spans="10:10" x14ac:dyDescent="0.3">
      <c r="J72190"/>
    </row>
    <row r="72191" spans="10:10" x14ac:dyDescent="0.3">
      <c r="J72191"/>
    </row>
    <row r="72192" spans="10:10" x14ac:dyDescent="0.3">
      <c r="J72192"/>
    </row>
    <row r="72193" spans="10:10" x14ac:dyDescent="0.3">
      <c r="J72193"/>
    </row>
    <row r="72194" spans="10:10" x14ac:dyDescent="0.3">
      <c r="J72194"/>
    </row>
    <row r="72195" spans="10:10" x14ac:dyDescent="0.3">
      <c r="J72195"/>
    </row>
    <row r="72196" spans="10:10" x14ac:dyDescent="0.3">
      <c r="J72196"/>
    </row>
    <row r="72197" spans="10:10" x14ac:dyDescent="0.3">
      <c r="J72197"/>
    </row>
    <row r="72198" spans="10:10" x14ac:dyDescent="0.3">
      <c r="J72198"/>
    </row>
    <row r="72199" spans="10:10" x14ac:dyDescent="0.3">
      <c r="J72199"/>
    </row>
    <row r="72200" spans="10:10" x14ac:dyDescent="0.3">
      <c r="J72200"/>
    </row>
    <row r="72201" spans="10:10" x14ac:dyDescent="0.3">
      <c r="J72201"/>
    </row>
    <row r="72202" spans="10:10" x14ac:dyDescent="0.3">
      <c r="J72202"/>
    </row>
    <row r="72203" spans="10:10" x14ac:dyDescent="0.3">
      <c r="J72203"/>
    </row>
    <row r="72204" spans="10:10" x14ac:dyDescent="0.3">
      <c r="J72204"/>
    </row>
    <row r="72205" spans="10:10" x14ac:dyDescent="0.3">
      <c r="J72205"/>
    </row>
    <row r="72206" spans="10:10" x14ac:dyDescent="0.3">
      <c r="J72206"/>
    </row>
    <row r="72207" spans="10:10" x14ac:dyDescent="0.3">
      <c r="J72207"/>
    </row>
    <row r="72208" spans="10:10" x14ac:dyDescent="0.3">
      <c r="J72208"/>
    </row>
    <row r="72209" spans="10:10" x14ac:dyDescent="0.3">
      <c r="J72209"/>
    </row>
    <row r="72210" spans="10:10" x14ac:dyDescent="0.3">
      <c r="J72210"/>
    </row>
    <row r="72211" spans="10:10" x14ac:dyDescent="0.3">
      <c r="J72211"/>
    </row>
    <row r="72212" spans="10:10" x14ac:dyDescent="0.3">
      <c r="J72212"/>
    </row>
    <row r="72213" spans="10:10" x14ac:dyDescent="0.3">
      <c r="J72213"/>
    </row>
    <row r="72214" spans="10:10" x14ac:dyDescent="0.3">
      <c r="J72214"/>
    </row>
    <row r="72215" spans="10:10" x14ac:dyDescent="0.3">
      <c r="J72215"/>
    </row>
    <row r="72216" spans="10:10" x14ac:dyDescent="0.3">
      <c r="J72216"/>
    </row>
    <row r="72217" spans="10:10" x14ac:dyDescent="0.3">
      <c r="J72217"/>
    </row>
    <row r="72218" spans="10:10" x14ac:dyDescent="0.3">
      <c r="J72218"/>
    </row>
    <row r="72219" spans="10:10" x14ac:dyDescent="0.3">
      <c r="J72219"/>
    </row>
    <row r="72220" spans="10:10" x14ac:dyDescent="0.3">
      <c r="J72220"/>
    </row>
    <row r="72221" spans="10:10" x14ac:dyDescent="0.3">
      <c r="J72221"/>
    </row>
    <row r="72222" spans="10:10" x14ac:dyDescent="0.3">
      <c r="J72222"/>
    </row>
    <row r="72223" spans="10:10" x14ac:dyDescent="0.3">
      <c r="J72223"/>
    </row>
    <row r="72224" spans="10:10" x14ac:dyDescent="0.3">
      <c r="J72224"/>
    </row>
    <row r="72225" spans="10:10" x14ac:dyDescent="0.3">
      <c r="J72225"/>
    </row>
    <row r="72226" spans="10:10" x14ac:dyDescent="0.3">
      <c r="J72226"/>
    </row>
    <row r="72227" spans="10:10" x14ac:dyDescent="0.3">
      <c r="J72227"/>
    </row>
    <row r="72228" spans="10:10" x14ac:dyDescent="0.3">
      <c r="J72228"/>
    </row>
    <row r="72229" spans="10:10" x14ac:dyDescent="0.3">
      <c r="J72229"/>
    </row>
    <row r="72230" spans="10:10" x14ac:dyDescent="0.3">
      <c r="J72230"/>
    </row>
    <row r="72231" spans="10:10" x14ac:dyDescent="0.3">
      <c r="J72231"/>
    </row>
    <row r="72232" spans="10:10" x14ac:dyDescent="0.3">
      <c r="J72232"/>
    </row>
    <row r="72233" spans="10:10" x14ac:dyDescent="0.3">
      <c r="J72233"/>
    </row>
    <row r="72234" spans="10:10" x14ac:dyDescent="0.3">
      <c r="J72234"/>
    </row>
    <row r="72235" spans="10:10" x14ac:dyDescent="0.3">
      <c r="J72235"/>
    </row>
    <row r="72236" spans="10:10" x14ac:dyDescent="0.3">
      <c r="J72236"/>
    </row>
    <row r="72237" spans="10:10" x14ac:dyDescent="0.3">
      <c r="J72237"/>
    </row>
    <row r="72238" spans="10:10" x14ac:dyDescent="0.3">
      <c r="J72238"/>
    </row>
    <row r="72239" spans="10:10" x14ac:dyDescent="0.3">
      <c r="J72239"/>
    </row>
    <row r="72240" spans="10:10" x14ac:dyDescent="0.3">
      <c r="J72240"/>
    </row>
    <row r="72241" spans="10:10" x14ac:dyDescent="0.3">
      <c r="J72241"/>
    </row>
    <row r="72242" spans="10:10" x14ac:dyDescent="0.3">
      <c r="J72242"/>
    </row>
    <row r="72243" spans="10:10" x14ac:dyDescent="0.3">
      <c r="J72243"/>
    </row>
    <row r="72244" spans="10:10" x14ac:dyDescent="0.3">
      <c r="J72244"/>
    </row>
    <row r="72245" spans="10:10" x14ac:dyDescent="0.3">
      <c r="J72245"/>
    </row>
    <row r="72246" spans="10:10" x14ac:dyDescent="0.3">
      <c r="J72246"/>
    </row>
    <row r="72247" spans="10:10" x14ac:dyDescent="0.3">
      <c r="J72247"/>
    </row>
    <row r="72248" spans="10:10" x14ac:dyDescent="0.3">
      <c r="J72248"/>
    </row>
    <row r="72249" spans="10:10" x14ac:dyDescent="0.3">
      <c r="J72249"/>
    </row>
    <row r="72250" spans="10:10" x14ac:dyDescent="0.3">
      <c r="J72250"/>
    </row>
    <row r="72251" spans="10:10" x14ac:dyDescent="0.3">
      <c r="J72251"/>
    </row>
    <row r="72252" spans="10:10" x14ac:dyDescent="0.3">
      <c r="J72252"/>
    </row>
    <row r="72253" spans="10:10" x14ac:dyDescent="0.3">
      <c r="J72253"/>
    </row>
    <row r="72254" spans="10:10" x14ac:dyDescent="0.3">
      <c r="J72254"/>
    </row>
    <row r="72255" spans="10:10" x14ac:dyDescent="0.3">
      <c r="J72255"/>
    </row>
    <row r="72256" spans="10:10" x14ac:dyDescent="0.3">
      <c r="J72256"/>
    </row>
    <row r="72257" spans="10:10" x14ac:dyDescent="0.3">
      <c r="J72257"/>
    </row>
    <row r="72258" spans="10:10" x14ac:dyDescent="0.3">
      <c r="J72258"/>
    </row>
    <row r="72259" spans="10:10" x14ac:dyDescent="0.3">
      <c r="J72259"/>
    </row>
    <row r="72260" spans="10:10" x14ac:dyDescent="0.3">
      <c r="J72260"/>
    </row>
    <row r="72261" spans="10:10" x14ac:dyDescent="0.3">
      <c r="J72261"/>
    </row>
    <row r="72262" spans="10:10" x14ac:dyDescent="0.3">
      <c r="J72262"/>
    </row>
    <row r="72263" spans="10:10" x14ac:dyDescent="0.3">
      <c r="J72263"/>
    </row>
    <row r="72264" spans="10:10" x14ac:dyDescent="0.3">
      <c r="J72264"/>
    </row>
    <row r="72265" spans="10:10" x14ac:dyDescent="0.3">
      <c r="J72265"/>
    </row>
    <row r="72266" spans="10:10" x14ac:dyDescent="0.3">
      <c r="J72266"/>
    </row>
    <row r="72267" spans="10:10" x14ac:dyDescent="0.3">
      <c r="J72267"/>
    </row>
    <row r="72268" spans="10:10" x14ac:dyDescent="0.3">
      <c r="J72268"/>
    </row>
    <row r="72269" spans="10:10" x14ac:dyDescent="0.3">
      <c r="J72269"/>
    </row>
    <row r="72270" spans="10:10" x14ac:dyDescent="0.3">
      <c r="J72270"/>
    </row>
    <row r="72271" spans="10:10" x14ac:dyDescent="0.3">
      <c r="J72271"/>
    </row>
    <row r="72272" spans="10:10" x14ac:dyDescent="0.3">
      <c r="J72272"/>
    </row>
    <row r="72273" spans="10:10" x14ac:dyDescent="0.3">
      <c r="J72273"/>
    </row>
    <row r="72274" spans="10:10" x14ac:dyDescent="0.3">
      <c r="J72274"/>
    </row>
    <row r="72275" spans="10:10" x14ac:dyDescent="0.3">
      <c r="J72275"/>
    </row>
    <row r="72276" spans="10:10" x14ac:dyDescent="0.3">
      <c r="J72276"/>
    </row>
    <row r="72277" spans="10:10" x14ac:dyDescent="0.3">
      <c r="J72277"/>
    </row>
    <row r="72278" spans="10:10" x14ac:dyDescent="0.3">
      <c r="J72278"/>
    </row>
    <row r="72279" spans="10:10" x14ac:dyDescent="0.3">
      <c r="J72279"/>
    </row>
    <row r="72280" spans="10:10" x14ac:dyDescent="0.3">
      <c r="J72280"/>
    </row>
    <row r="72281" spans="10:10" x14ac:dyDescent="0.3">
      <c r="J72281"/>
    </row>
    <row r="72282" spans="10:10" x14ac:dyDescent="0.3">
      <c r="J72282"/>
    </row>
    <row r="72283" spans="10:10" x14ac:dyDescent="0.3">
      <c r="J72283"/>
    </row>
    <row r="72284" spans="10:10" x14ac:dyDescent="0.3">
      <c r="J72284"/>
    </row>
    <row r="72285" spans="10:10" x14ac:dyDescent="0.3">
      <c r="J72285"/>
    </row>
    <row r="72286" spans="10:10" x14ac:dyDescent="0.3">
      <c r="J72286"/>
    </row>
    <row r="72287" spans="10:10" x14ac:dyDescent="0.3">
      <c r="J72287"/>
    </row>
    <row r="72288" spans="10:10" x14ac:dyDescent="0.3">
      <c r="J72288"/>
    </row>
    <row r="72289" spans="10:10" x14ac:dyDescent="0.3">
      <c r="J72289"/>
    </row>
    <row r="72290" spans="10:10" x14ac:dyDescent="0.3">
      <c r="J72290"/>
    </row>
    <row r="72291" spans="10:10" x14ac:dyDescent="0.3">
      <c r="J72291"/>
    </row>
    <row r="72292" spans="10:10" x14ac:dyDescent="0.3">
      <c r="J72292"/>
    </row>
    <row r="72293" spans="10:10" x14ac:dyDescent="0.3">
      <c r="J72293"/>
    </row>
    <row r="72294" spans="10:10" x14ac:dyDescent="0.3">
      <c r="J72294"/>
    </row>
    <row r="72295" spans="10:10" x14ac:dyDescent="0.3">
      <c r="J72295"/>
    </row>
    <row r="72296" spans="10:10" x14ac:dyDescent="0.3">
      <c r="J72296"/>
    </row>
    <row r="72297" spans="10:10" x14ac:dyDescent="0.3">
      <c r="J72297"/>
    </row>
    <row r="72298" spans="10:10" x14ac:dyDescent="0.3">
      <c r="J72298"/>
    </row>
    <row r="72299" spans="10:10" x14ac:dyDescent="0.3">
      <c r="J72299"/>
    </row>
    <row r="72300" spans="10:10" x14ac:dyDescent="0.3">
      <c r="J72300"/>
    </row>
    <row r="72301" spans="10:10" x14ac:dyDescent="0.3">
      <c r="J72301"/>
    </row>
    <row r="72302" spans="10:10" x14ac:dyDescent="0.3">
      <c r="J72302"/>
    </row>
    <row r="72303" spans="10:10" x14ac:dyDescent="0.3">
      <c r="J72303"/>
    </row>
    <row r="72304" spans="10:10" x14ac:dyDescent="0.3">
      <c r="J72304"/>
    </row>
    <row r="72305" spans="10:10" x14ac:dyDescent="0.3">
      <c r="J72305"/>
    </row>
    <row r="72306" spans="10:10" x14ac:dyDescent="0.3">
      <c r="J72306"/>
    </row>
    <row r="72307" spans="10:10" x14ac:dyDescent="0.3">
      <c r="J72307"/>
    </row>
    <row r="72308" spans="10:10" x14ac:dyDescent="0.3">
      <c r="J72308"/>
    </row>
    <row r="72309" spans="10:10" x14ac:dyDescent="0.3">
      <c r="J72309"/>
    </row>
    <row r="72310" spans="10:10" x14ac:dyDescent="0.3">
      <c r="J72310"/>
    </row>
    <row r="72311" spans="10:10" x14ac:dyDescent="0.3">
      <c r="J72311"/>
    </row>
    <row r="72312" spans="10:10" x14ac:dyDescent="0.3">
      <c r="J72312"/>
    </row>
    <row r="72313" spans="10:10" x14ac:dyDescent="0.3">
      <c r="J72313"/>
    </row>
    <row r="72314" spans="10:10" x14ac:dyDescent="0.3">
      <c r="J72314"/>
    </row>
    <row r="72315" spans="10:10" x14ac:dyDescent="0.3">
      <c r="J72315"/>
    </row>
    <row r="72316" spans="10:10" x14ac:dyDescent="0.3">
      <c r="J72316"/>
    </row>
    <row r="72317" spans="10:10" x14ac:dyDescent="0.3">
      <c r="J72317"/>
    </row>
    <row r="72318" spans="10:10" x14ac:dyDescent="0.3">
      <c r="J72318"/>
    </row>
    <row r="72319" spans="10:10" x14ac:dyDescent="0.3">
      <c r="J72319"/>
    </row>
    <row r="72320" spans="10:10" x14ac:dyDescent="0.3">
      <c r="J72320"/>
    </row>
    <row r="72321" spans="10:10" x14ac:dyDescent="0.3">
      <c r="J72321"/>
    </row>
    <row r="72322" spans="10:10" x14ac:dyDescent="0.3">
      <c r="J72322"/>
    </row>
    <row r="72323" spans="10:10" x14ac:dyDescent="0.3">
      <c r="J72323"/>
    </row>
    <row r="72324" spans="10:10" x14ac:dyDescent="0.3">
      <c r="J72324"/>
    </row>
    <row r="72325" spans="10:10" x14ac:dyDescent="0.3">
      <c r="J72325"/>
    </row>
    <row r="72326" spans="10:10" x14ac:dyDescent="0.3">
      <c r="J72326"/>
    </row>
    <row r="72327" spans="10:10" x14ac:dyDescent="0.3">
      <c r="J72327"/>
    </row>
    <row r="72328" spans="10:10" x14ac:dyDescent="0.3">
      <c r="J72328"/>
    </row>
    <row r="72329" spans="10:10" x14ac:dyDescent="0.3">
      <c r="J72329"/>
    </row>
    <row r="72330" spans="10:10" x14ac:dyDescent="0.3">
      <c r="J72330"/>
    </row>
    <row r="72331" spans="10:10" x14ac:dyDescent="0.3">
      <c r="J72331"/>
    </row>
    <row r="72332" spans="10:10" x14ac:dyDescent="0.3">
      <c r="J72332"/>
    </row>
    <row r="72333" spans="10:10" x14ac:dyDescent="0.3">
      <c r="J72333"/>
    </row>
    <row r="72334" spans="10:10" x14ac:dyDescent="0.3">
      <c r="J72334"/>
    </row>
    <row r="72335" spans="10:10" x14ac:dyDescent="0.3">
      <c r="J72335"/>
    </row>
    <row r="72336" spans="10:10" x14ac:dyDescent="0.3">
      <c r="J72336"/>
    </row>
    <row r="72337" spans="10:10" x14ac:dyDescent="0.3">
      <c r="J72337"/>
    </row>
    <row r="72338" spans="10:10" x14ac:dyDescent="0.3">
      <c r="J72338"/>
    </row>
    <row r="72339" spans="10:10" x14ac:dyDescent="0.3">
      <c r="J72339"/>
    </row>
    <row r="72340" spans="10:10" x14ac:dyDescent="0.3">
      <c r="J72340"/>
    </row>
    <row r="72341" spans="10:10" x14ac:dyDescent="0.3">
      <c r="J72341"/>
    </row>
    <row r="72342" spans="10:10" x14ac:dyDescent="0.3">
      <c r="J72342"/>
    </row>
    <row r="72343" spans="10:10" x14ac:dyDescent="0.3">
      <c r="J72343"/>
    </row>
    <row r="72344" spans="10:10" x14ac:dyDescent="0.3">
      <c r="J72344"/>
    </row>
    <row r="72345" spans="10:10" x14ac:dyDescent="0.3">
      <c r="J72345"/>
    </row>
    <row r="72346" spans="10:10" x14ac:dyDescent="0.3">
      <c r="J72346"/>
    </row>
    <row r="72347" spans="10:10" x14ac:dyDescent="0.3">
      <c r="J72347"/>
    </row>
    <row r="72348" spans="10:10" x14ac:dyDescent="0.3">
      <c r="J72348"/>
    </row>
    <row r="72349" spans="10:10" x14ac:dyDescent="0.3">
      <c r="J72349"/>
    </row>
    <row r="72350" spans="10:10" x14ac:dyDescent="0.3">
      <c r="J72350"/>
    </row>
    <row r="72351" spans="10:10" x14ac:dyDescent="0.3">
      <c r="J72351"/>
    </row>
    <row r="72352" spans="10:10" x14ac:dyDescent="0.3">
      <c r="J72352"/>
    </row>
    <row r="72353" spans="10:10" x14ac:dyDescent="0.3">
      <c r="J72353"/>
    </row>
    <row r="72354" spans="10:10" x14ac:dyDescent="0.3">
      <c r="J72354"/>
    </row>
    <row r="72355" spans="10:10" x14ac:dyDescent="0.3">
      <c r="J72355"/>
    </row>
    <row r="72356" spans="10:10" x14ac:dyDescent="0.3">
      <c r="J72356"/>
    </row>
    <row r="72357" spans="10:10" x14ac:dyDescent="0.3">
      <c r="J72357"/>
    </row>
    <row r="72358" spans="10:10" x14ac:dyDescent="0.3">
      <c r="J72358"/>
    </row>
    <row r="72359" spans="10:10" x14ac:dyDescent="0.3">
      <c r="J72359"/>
    </row>
    <row r="72360" spans="10:10" x14ac:dyDescent="0.3">
      <c r="J72360"/>
    </row>
    <row r="72361" spans="10:10" x14ac:dyDescent="0.3">
      <c r="J72361"/>
    </row>
    <row r="72362" spans="10:10" x14ac:dyDescent="0.3">
      <c r="J72362"/>
    </row>
    <row r="72363" spans="10:10" x14ac:dyDescent="0.3">
      <c r="J72363"/>
    </row>
    <row r="72364" spans="10:10" x14ac:dyDescent="0.3">
      <c r="J72364"/>
    </row>
    <row r="72365" spans="10:10" x14ac:dyDescent="0.3">
      <c r="J72365"/>
    </row>
    <row r="72366" spans="10:10" x14ac:dyDescent="0.3">
      <c r="J72366"/>
    </row>
    <row r="72367" spans="10:10" x14ac:dyDescent="0.3">
      <c r="J72367"/>
    </row>
    <row r="72368" spans="10:10" x14ac:dyDescent="0.3">
      <c r="J72368"/>
    </row>
    <row r="72369" spans="10:10" x14ac:dyDescent="0.3">
      <c r="J72369"/>
    </row>
    <row r="72370" spans="10:10" x14ac:dyDescent="0.3">
      <c r="J72370"/>
    </row>
    <row r="72371" spans="10:10" x14ac:dyDescent="0.3">
      <c r="J72371"/>
    </row>
    <row r="72372" spans="10:10" x14ac:dyDescent="0.3">
      <c r="J72372"/>
    </row>
    <row r="72373" spans="10:10" x14ac:dyDescent="0.3">
      <c r="J72373"/>
    </row>
    <row r="72374" spans="10:10" x14ac:dyDescent="0.3">
      <c r="J72374"/>
    </row>
    <row r="72375" spans="10:10" x14ac:dyDescent="0.3">
      <c r="J72375"/>
    </row>
    <row r="72376" spans="10:10" x14ac:dyDescent="0.3">
      <c r="J72376"/>
    </row>
    <row r="72377" spans="10:10" x14ac:dyDescent="0.3">
      <c r="J72377"/>
    </row>
    <row r="72378" spans="10:10" x14ac:dyDescent="0.3">
      <c r="J72378"/>
    </row>
    <row r="72379" spans="10:10" x14ac:dyDescent="0.3">
      <c r="J72379"/>
    </row>
    <row r="72380" spans="10:10" x14ac:dyDescent="0.3">
      <c r="J72380"/>
    </row>
    <row r="72381" spans="10:10" x14ac:dyDescent="0.3">
      <c r="J72381"/>
    </row>
    <row r="72382" spans="10:10" x14ac:dyDescent="0.3">
      <c r="J72382"/>
    </row>
    <row r="72383" spans="10:10" x14ac:dyDescent="0.3">
      <c r="J72383"/>
    </row>
    <row r="72384" spans="10:10" x14ac:dyDescent="0.3">
      <c r="J72384"/>
    </row>
    <row r="72385" spans="10:10" x14ac:dyDescent="0.3">
      <c r="J72385"/>
    </row>
    <row r="72386" spans="10:10" x14ac:dyDescent="0.3">
      <c r="J72386"/>
    </row>
    <row r="72387" spans="10:10" x14ac:dyDescent="0.3">
      <c r="J72387"/>
    </row>
    <row r="72388" spans="10:10" x14ac:dyDescent="0.3">
      <c r="J72388"/>
    </row>
    <row r="72389" spans="10:10" x14ac:dyDescent="0.3">
      <c r="J72389"/>
    </row>
    <row r="72390" spans="10:10" x14ac:dyDescent="0.3">
      <c r="J72390"/>
    </row>
    <row r="72391" spans="10:10" x14ac:dyDescent="0.3">
      <c r="J72391"/>
    </row>
    <row r="72392" spans="10:10" x14ac:dyDescent="0.3">
      <c r="J72392"/>
    </row>
    <row r="72393" spans="10:10" x14ac:dyDescent="0.3">
      <c r="J72393"/>
    </row>
    <row r="72394" spans="10:10" x14ac:dyDescent="0.3">
      <c r="J72394"/>
    </row>
    <row r="72395" spans="10:10" x14ac:dyDescent="0.3">
      <c r="J72395"/>
    </row>
    <row r="72396" spans="10:10" x14ac:dyDescent="0.3">
      <c r="J72396"/>
    </row>
    <row r="72397" spans="10:10" x14ac:dyDescent="0.3">
      <c r="J72397"/>
    </row>
    <row r="72398" spans="10:10" x14ac:dyDescent="0.3">
      <c r="J72398"/>
    </row>
    <row r="72399" spans="10:10" x14ac:dyDescent="0.3">
      <c r="J72399"/>
    </row>
    <row r="72400" spans="10:10" x14ac:dyDescent="0.3">
      <c r="J72400"/>
    </row>
    <row r="72401" spans="10:10" x14ac:dyDescent="0.3">
      <c r="J72401"/>
    </row>
    <row r="72402" spans="10:10" x14ac:dyDescent="0.3">
      <c r="J72402"/>
    </row>
    <row r="72403" spans="10:10" x14ac:dyDescent="0.3">
      <c r="J72403"/>
    </row>
    <row r="72404" spans="10:10" x14ac:dyDescent="0.3">
      <c r="J72404"/>
    </row>
    <row r="72405" spans="10:10" x14ac:dyDescent="0.3">
      <c r="J72405"/>
    </row>
    <row r="72406" spans="10:10" x14ac:dyDescent="0.3">
      <c r="J72406"/>
    </row>
    <row r="72407" spans="10:10" x14ac:dyDescent="0.3">
      <c r="J72407"/>
    </row>
    <row r="72408" spans="10:10" x14ac:dyDescent="0.3">
      <c r="J72408"/>
    </row>
    <row r="72409" spans="10:10" x14ac:dyDescent="0.3">
      <c r="J72409"/>
    </row>
    <row r="72410" spans="10:10" x14ac:dyDescent="0.3">
      <c r="J72410"/>
    </row>
    <row r="72411" spans="10:10" x14ac:dyDescent="0.3">
      <c r="J72411"/>
    </row>
    <row r="72412" spans="10:10" x14ac:dyDescent="0.3">
      <c r="J72412"/>
    </row>
    <row r="72413" spans="10:10" x14ac:dyDescent="0.3">
      <c r="J72413"/>
    </row>
    <row r="72414" spans="10:10" x14ac:dyDescent="0.3">
      <c r="J72414"/>
    </row>
    <row r="72415" spans="10:10" x14ac:dyDescent="0.3">
      <c r="J72415"/>
    </row>
    <row r="72416" spans="10:10" x14ac:dyDescent="0.3">
      <c r="J72416"/>
    </row>
    <row r="72417" spans="10:10" x14ac:dyDescent="0.3">
      <c r="J72417"/>
    </row>
    <row r="72418" spans="10:10" x14ac:dyDescent="0.3">
      <c r="J72418"/>
    </row>
    <row r="72419" spans="10:10" x14ac:dyDescent="0.3">
      <c r="J72419"/>
    </row>
    <row r="72420" spans="10:10" x14ac:dyDescent="0.3">
      <c r="J72420"/>
    </row>
    <row r="72421" spans="10:10" x14ac:dyDescent="0.3">
      <c r="J72421"/>
    </row>
    <row r="72422" spans="10:10" x14ac:dyDescent="0.3">
      <c r="J72422"/>
    </row>
    <row r="72423" spans="10:10" x14ac:dyDescent="0.3">
      <c r="J72423"/>
    </row>
    <row r="72424" spans="10:10" x14ac:dyDescent="0.3">
      <c r="J72424"/>
    </row>
    <row r="72425" spans="10:10" x14ac:dyDescent="0.3">
      <c r="J72425"/>
    </row>
    <row r="72426" spans="10:10" x14ac:dyDescent="0.3">
      <c r="J72426"/>
    </row>
    <row r="72427" spans="10:10" x14ac:dyDescent="0.3">
      <c r="J72427"/>
    </row>
    <row r="72428" spans="10:10" x14ac:dyDescent="0.3">
      <c r="J72428"/>
    </row>
    <row r="72429" spans="10:10" x14ac:dyDescent="0.3">
      <c r="J72429"/>
    </row>
    <row r="72430" spans="10:10" x14ac:dyDescent="0.3">
      <c r="J72430"/>
    </row>
    <row r="72431" spans="10:10" x14ac:dyDescent="0.3">
      <c r="J72431"/>
    </row>
    <row r="72432" spans="10:10" x14ac:dyDescent="0.3">
      <c r="J72432"/>
    </row>
    <row r="72433" spans="10:10" x14ac:dyDescent="0.3">
      <c r="J72433"/>
    </row>
    <row r="72434" spans="10:10" x14ac:dyDescent="0.3">
      <c r="J72434"/>
    </row>
    <row r="72435" spans="10:10" x14ac:dyDescent="0.3">
      <c r="J72435"/>
    </row>
    <row r="72436" spans="10:10" x14ac:dyDescent="0.3">
      <c r="J72436"/>
    </row>
    <row r="72437" spans="10:10" x14ac:dyDescent="0.3">
      <c r="J72437"/>
    </row>
    <row r="72438" spans="10:10" x14ac:dyDescent="0.3">
      <c r="J72438"/>
    </row>
    <row r="72439" spans="10:10" x14ac:dyDescent="0.3">
      <c r="J72439"/>
    </row>
    <row r="72440" spans="10:10" x14ac:dyDescent="0.3">
      <c r="J72440"/>
    </row>
    <row r="72441" spans="10:10" x14ac:dyDescent="0.3">
      <c r="J72441"/>
    </row>
    <row r="72442" spans="10:10" x14ac:dyDescent="0.3">
      <c r="J72442"/>
    </row>
    <row r="72443" spans="10:10" x14ac:dyDescent="0.3">
      <c r="J72443"/>
    </row>
    <row r="72444" spans="10:10" x14ac:dyDescent="0.3">
      <c r="J72444"/>
    </row>
    <row r="72445" spans="10:10" x14ac:dyDescent="0.3">
      <c r="J72445"/>
    </row>
    <row r="72446" spans="10:10" x14ac:dyDescent="0.3">
      <c r="J72446"/>
    </row>
    <row r="72447" spans="10:10" x14ac:dyDescent="0.3">
      <c r="J72447"/>
    </row>
    <row r="72448" spans="10:10" x14ac:dyDescent="0.3">
      <c r="J72448"/>
    </row>
    <row r="72449" spans="10:10" x14ac:dyDescent="0.3">
      <c r="J72449"/>
    </row>
    <row r="72450" spans="10:10" x14ac:dyDescent="0.3">
      <c r="J72450"/>
    </row>
    <row r="72451" spans="10:10" x14ac:dyDescent="0.3">
      <c r="J72451"/>
    </row>
    <row r="72452" spans="10:10" x14ac:dyDescent="0.3">
      <c r="J72452"/>
    </row>
    <row r="72453" spans="10:10" x14ac:dyDescent="0.3">
      <c r="J72453"/>
    </row>
    <row r="72454" spans="10:10" x14ac:dyDescent="0.3">
      <c r="J72454"/>
    </row>
    <row r="72455" spans="10:10" x14ac:dyDescent="0.3">
      <c r="J72455"/>
    </row>
    <row r="72456" spans="10:10" x14ac:dyDescent="0.3">
      <c r="J72456"/>
    </row>
    <row r="72457" spans="10:10" x14ac:dyDescent="0.3">
      <c r="J72457"/>
    </row>
    <row r="72458" spans="10:10" x14ac:dyDescent="0.3">
      <c r="J72458"/>
    </row>
    <row r="72459" spans="10:10" x14ac:dyDescent="0.3">
      <c r="J72459"/>
    </row>
    <row r="72460" spans="10:10" x14ac:dyDescent="0.3">
      <c r="J72460"/>
    </row>
    <row r="72461" spans="10:10" x14ac:dyDescent="0.3">
      <c r="J72461"/>
    </row>
    <row r="72462" spans="10:10" x14ac:dyDescent="0.3">
      <c r="J72462"/>
    </row>
    <row r="72463" spans="10:10" x14ac:dyDescent="0.3">
      <c r="J72463"/>
    </row>
    <row r="72464" spans="10:10" x14ac:dyDescent="0.3">
      <c r="J72464"/>
    </row>
    <row r="72465" spans="10:10" x14ac:dyDescent="0.3">
      <c r="J72465"/>
    </row>
    <row r="72466" spans="10:10" x14ac:dyDescent="0.3">
      <c r="J72466"/>
    </row>
    <row r="72467" spans="10:10" x14ac:dyDescent="0.3">
      <c r="J72467"/>
    </row>
    <row r="72468" spans="10:10" x14ac:dyDescent="0.3">
      <c r="J72468"/>
    </row>
    <row r="72469" spans="10:10" x14ac:dyDescent="0.3">
      <c r="J72469"/>
    </row>
    <row r="72470" spans="10:10" x14ac:dyDescent="0.3">
      <c r="J72470"/>
    </row>
    <row r="72471" spans="10:10" x14ac:dyDescent="0.3">
      <c r="J72471"/>
    </row>
    <row r="72472" spans="10:10" x14ac:dyDescent="0.3">
      <c r="J72472"/>
    </row>
    <row r="72473" spans="10:10" x14ac:dyDescent="0.3">
      <c r="J72473"/>
    </row>
    <row r="72474" spans="10:10" x14ac:dyDescent="0.3">
      <c r="J72474"/>
    </row>
    <row r="72475" spans="10:10" x14ac:dyDescent="0.3">
      <c r="J72475"/>
    </row>
    <row r="72476" spans="10:10" x14ac:dyDescent="0.3">
      <c r="J72476"/>
    </row>
    <row r="72477" spans="10:10" x14ac:dyDescent="0.3">
      <c r="J72477"/>
    </row>
    <row r="72478" spans="10:10" x14ac:dyDescent="0.3">
      <c r="J72478"/>
    </row>
    <row r="72479" spans="10:10" x14ac:dyDescent="0.3">
      <c r="J72479"/>
    </row>
    <row r="72480" spans="10:10" x14ac:dyDescent="0.3">
      <c r="J72480"/>
    </row>
    <row r="72481" spans="10:10" x14ac:dyDescent="0.3">
      <c r="J72481"/>
    </row>
    <row r="72482" spans="10:10" x14ac:dyDescent="0.3">
      <c r="J72482"/>
    </row>
    <row r="72483" spans="10:10" x14ac:dyDescent="0.3">
      <c r="J72483"/>
    </row>
    <row r="72484" spans="10:10" x14ac:dyDescent="0.3">
      <c r="J72484"/>
    </row>
    <row r="72485" spans="10:10" x14ac:dyDescent="0.3">
      <c r="J72485"/>
    </row>
    <row r="72486" spans="10:10" x14ac:dyDescent="0.3">
      <c r="J72486"/>
    </row>
    <row r="72487" spans="10:10" x14ac:dyDescent="0.3">
      <c r="J72487"/>
    </row>
    <row r="72488" spans="10:10" x14ac:dyDescent="0.3">
      <c r="J72488"/>
    </row>
    <row r="72489" spans="10:10" x14ac:dyDescent="0.3">
      <c r="J72489"/>
    </row>
    <row r="72490" spans="10:10" x14ac:dyDescent="0.3">
      <c r="J72490"/>
    </row>
    <row r="72491" spans="10:10" x14ac:dyDescent="0.3">
      <c r="J72491"/>
    </row>
    <row r="72492" spans="10:10" x14ac:dyDescent="0.3">
      <c r="J72492"/>
    </row>
    <row r="72493" spans="10:10" x14ac:dyDescent="0.3">
      <c r="J72493"/>
    </row>
    <row r="72494" spans="10:10" x14ac:dyDescent="0.3">
      <c r="J72494"/>
    </row>
    <row r="72495" spans="10:10" x14ac:dyDescent="0.3">
      <c r="J72495"/>
    </row>
    <row r="72496" spans="10:10" x14ac:dyDescent="0.3">
      <c r="J72496"/>
    </row>
    <row r="72497" spans="10:10" x14ac:dyDescent="0.3">
      <c r="J72497"/>
    </row>
    <row r="72498" spans="10:10" x14ac:dyDescent="0.3">
      <c r="J72498"/>
    </row>
    <row r="72499" spans="10:10" x14ac:dyDescent="0.3">
      <c r="J72499"/>
    </row>
    <row r="72500" spans="10:10" x14ac:dyDescent="0.3">
      <c r="J72500"/>
    </row>
    <row r="72501" spans="10:10" x14ac:dyDescent="0.3">
      <c r="J72501"/>
    </row>
    <row r="72502" spans="10:10" x14ac:dyDescent="0.3">
      <c r="J72502"/>
    </row>
    <row r="72503" spans="10:10" x14ac:dyDescent="0.3">
      <c r="J72503"/>
    </row>
    <row r="72504" spans="10:10" x14ac:dyDescent="0.3">
      <c r="J72504"/>
    </row>
    <row r="72505" spans="10:10" x14ac:dyDescent="0.3">
      <c r="J72505"/>
    </row>
    <row r="72506" spans="10:10" x14ac:dyDescent="0.3">
      <c r="J72506"/>
    </row>
    <row r="72507" spans="10:10" x14ac:dyDescent="0.3">
      <c r="J72507"/>
    </row>
    <row r="72508" spans="10:10" x14ac:dyDescent="0.3">
      <c r="J72508"/>
    </row>
    <row r="72509" spans="10:10" x14ac:dyDescent="0.3">
      <c r="J72509"/>
    </row>
    <row r="72510" spans="10:10" x14ac:dyDescent="0.3">
      <c r="J72510"/>
    </row>
    <row r="72511" spans="10:10" x14ac:dyDescent="0.3">
      <c r="J72511"/>
    </row>
    <row r="72512" spans="10:10" x14ac:dyDescent="0.3">
      <c r="J72512"/>
    </row>
    <row r="72513" spans="10:10" x14ac:dyDescent="0.3">
      <c r="J72513"/>
    </row>
    <row r="72514" spans="10:10" x14ac:dyDescent="0.3">
      <c r="J72514"/>
    </row>
    <row r="72515" spans="10:10" x14ac:dyDescent="0.3">
      <c r="J72515"/>
    </row>
    <row r="72516" spans="10:10" x14ac:dyDescent="0.3">
      <c r="J72516"/>
    </row>
    <row r="72517" spans="10:10" x14ac:dyDescent="0.3">
      <c r="J72517"/>
    </row>
    <row r="72518" spans="10:10" x14ac:dyDescent="0.3">
      <c r="J72518"/>
    </row>
    <row r="72519" spans="10:10" x14ac:dyDescent="0.3">
      <c r="J72519"/>
    </row>
    <row r="72520" spans="10:10" x14ac:dyDescent="0.3">
      <c r="J72520"/>
    </row>
    <row r="72521" spans="10:10" x14ac:dyDescent="0.3">
      <c r="J72521"/>
    </row>
    <row r="72522" spans="10:10" x14ac:dyDescent="0.3">
      <c r="J72522"/>
    </row>
    <row r="72523" spans="10:10" x14ac:dyDescent="0.3">
      <c r="J72523"/>
    </row>
    <row r="72524" spans="10:10" x14ac:dyDescent="0.3">
      <c r="J72524"/>
    </row>
    <row r="72525" spans="10:10" x14ac:dyDescent="0.3">
      <c r="J72525"/>
    </row>
    <row r="72526" spans="10:10" x14ac:dyDescent="0.3">
      <c r="J72526"/>
    </row>
    <row r="72527" spans="10:10" x14ac:dyDescent="0.3">
      <c r="J72527"/>
    </row>
    <row r="72528" spans="10:10" x14ac:dyDescent="0.3">
      <c r="J72528"/>
    </row>
    <row r="72529" spans="10:10" x14ac:dyDescent="0.3">
      <c r="J72529"/>
    </row>
    <row r="72530" spans="10:10" x14ac:dyDescent="0.3">
      <c r="J72530"/>
    </row>
    <row r="72531" spans="10:10" x14ac:dyDescent="0.3">
      <c r="J72531"/>
    </row>
    <row r="72532" spans="10:10" x14ac:dyDescent="0.3">
      <c r="J72532"/>
    </row>
    <row r="72533" spans="10:10" x14ac:dyDescent="0.3">
      <c r="J72533"/>
    </row>
    <row r="72534" spans="10:10" x14ac:dyDescent="0.3">
      <c r="J72534"/>
    </row>
    <row r="72535" spans="10:10" x14ac:dyDescent="0.3">
      <c r="J72535"/>
    </row>
    <row r="72536" spans="10:10" x14ac:dyDescent="0.3">
      <c r="J72536"/>
    </row>
    <row r="72537" spans="10:10" x14ac:dyDescent="0.3">
      <c r="J72537"/>
    </row>
    <row r="72538" spans="10:10" x14ac:dyDescent="0.3">
      <c r="J72538"/>
    </row>
    <row r="72539" spans="10:10" x14ac:dyDescent="0.3">
      <c r="J72539"/>
    </row>
    <row r="72540" spans="10:10" x14ac:dyDescent="0.3">
      <c r="J72540"/>
    </row>
    <row r="72541" spans="10:10" x14ac:dyDescent="0.3">
      <c r="J72541"/>
    </row>
    <row r="72542" spans="10:10" x14ac:dyDescent="0.3">
      <c r="J72542"/>
    </row>
    <row r="72543" spans="10:10" x14ac:dyDescent="0.3">
      <c r="J72543"/>
    </row>
    <row r="72544" spans="10:10" x14ac:dyDescent="0.3">
      <c r="J72544"/>
    </row>
    <row r="72545" spans="10:10" x14ac:dyDescent="0.3">
      <c r="J72545"/>
    </row>
    <row r="72546" spans="10:10" x14ac:dyDescent="0.3">
      <c r="J72546"/>
    </row>
    <row r="72547" spans="10:10" x14ac:dyDescent="0.3">
      <c r="J72547"/>
    </row>
    <row r="72548" spans="10:10" x14ac:dyDescent="0.3">
      <c r="J72548"/>
    </row>
    <row r="72549" spans="10:10" x14ac:dyDescent="0.3">
      <c r="J72549"/>
    </row>
    <row r="72550" spans="10:10" x14ac:dyDescent="0.3">
      <c r="J72550"/>
    </row>
    <row r="72551" spans="10:10" x14ac:dyDescent="0.3">
      <c r="J72551"/>
    </row>
    <row r="72552" spans="10:10" x14ac:dyDescent="0.3">
      <c r="J72552"/>
    </row>
    <row r="72553" spans="10:10" x14ac:dyDescent="0.3">
      <c r="J72553"/>
    </row>
    <row r="72554" spans="10:10" x14ac:dyDescent="0.3">
      <c r="J72554"/>
    </row>
    <row r="72555" spans="10:10" x14ac:dyDescent="0.3">
      <c r="J72555"/>
    </row>
    <row r="72556" spans="10:10" x14ac:dyDescent="0.3">
      <c r="J72556"/>
    </row>
    <row r="72557" spans="10:10" x14ac:dyDescent="0.3">
      <c r="J72557"/>
    </row>
    <row r="72558" spans="10:10" x14ac:dyDescent="0.3">
      <c r="J72558"/>
    </row>
    <row r="72559" spans="10:10" x14ac:dyDescent="0.3">
      <c r="J72559"/>
    </row>
    <row r="72560" spans="10:10" x14ac:dyDescent="0.3">
      <c r="J72560"/>
    </row>
    <row r="72561" spans="10:10" x14ac:dyDescent="0.3">
      <c r="J72561"/>
    </row>
    <row r="72562" spans="10:10" x14ac:dyDescent="0.3">
      <c r="J72562"/>
    </row>
    <row r="72563" spans="10:10" x14ac:dyDescent="0.3">
      <c r="J72563"/>
    </row>
    <row r="72564" spans="10:10" x14ac:dyDescent="0.3">
      <c r="J72564"/>
    </row>
    <row r="72565" spans="10:10" x14ac:dyDescent="0.3">
      <c r="J72565"/>
    </row>
    <row r="72566" spans="10:10" x14ac:dyDescent="0.3">
      <c r="J72566"/>
    </row>
    <row r="72567" spans="10:10" x14ac:dyDescent="0.3">
      <c r="J72567"/>
    </row>
    <row r="72568" spans="10:10" x14ac:dyDescent="0.3">
      <c r="J72568"/>
    </row>
    <row r="72569" spans="10:10" x14ac:dyDescent="0.3">
      <c r="J72569"/>
    </row>
    <row r="72570" spans="10:10" x14ac:dyDescent="0.3">
      <c r="J72570"/>
    </row>
    <row r="72571" spans="10:10" x14ac:dyDescent="0.3">
      <c r="J72571"/>
    </row>
    <row r="72572" spans="10:10" x14ac:dyDescent="0.3">
      <c r="J72572"/>
    </row>
    <row r="72573" spans="10:10" x14ac:dyDescent="0.3">
      <c r="J72573"/>
    </row>
    <row r="72574" spans="10:10" x14ac:dyDescent="0.3">
      <c r="J72574"/>
    </row>
    <row r="72575" spans="10:10" x14ac:dyDescent="0.3">
      <c r="J72575"/>
    </row>
    <row r="72576" spans="10:10" x14ac:dyDescent="0.3">
      <c r="J72576"/>
    </row>
    <row r="72577" spans="10:10" x14ac:dyDescent="0.3">
      <c r="J72577"/>
    </row>
    <row r="72578" spans="10:10" x14ac:dyDescent="0.3">
      <c r="J72578"/>
    </row>
    <row r="72579" spans="10:10" x14ac:dyDescent="0.3">
      <c r="J72579"/>
    </row>
    <row r="72580" spans="10:10" x14ac:dyDescent="0.3">
      <c r="J72580"/>
    </row>
    <row r="72581" spans="10:10" x14ac:dyDescent="0.3">
      <c r="J72581"/>
    </row>
    <row r="72582" spans="10:10" x14ac:dyDescent="0.3">
      <c r="J72582"/>
    </row>
    <row r="72583" spans="10:10" x14ac:dyDescent="0.3">
      <c r="J72583"/>
    </row>
    <row r="72584" spans="10:10" x14ac:dyDescent="0.3">
      <c r="J72584"/>
    </row>
    <row r="72585" spans="10:10" x14ac:dyDescent="0.3">
      <c r="J72585"/>
    </row>
    <row r="72586" spans="10:10" x14ac:dyDescent="0.3">
      <c r="J72586"/>
    </row>
    <row r="72587" spans="10:10" x14ac:dyDescent="0.3">
      <c r="J72587"/>
    </row>
    <row r="72588" spans="10:10" x14ac:dyDescent="0.3">
      <c r="J72588"/>
    </row>
    <row r="72589" spans="10:10" x14ac:dyDescent="0.3">
      <c r="J72589"/>
    </row>
    <row r="72590" spans="10:10" x14ac:dyDescent="0.3">
      <c r="J72590"/>
    </row>
    <row r="72591" spans="10:10" x14ac:dyDescent="0.3">
      <c r="J72591"/>
    </row>
    <row r="72592" spans="10:10" x14ac:dyDescent="0.3">
      <c r="J72592"/>
    </row>
    <row r="72593" spans="10:10" x14ac:dyDescent="0.3">
      <c r="J72593"/>
    </row>
    <row r="72594" spans="10:10" x14ac:dyDescent="0.3">
      <c r="J72594"/>
    </row>
    <row r="72595" spans="10:10" x14ac:dyDescent="0.3">
      <c r="J72595"/>
    </row>
    <row r="72596" spans="10:10" x14ac:dyDescent="0.3">
      <c r="J72596"/>
    </row>
    <row r="72597" spans="10:10" x14ac:dyDescent="0.3">
      <c r="J72597"/>
    </row>
    <row r="72598" spans="10:10" x14ac:dyDescent="0.3">
      <c r="J72598"/>
    </row>
    <row r="72599" spans="10:10" x14ac:dyDescent="0.3">
      <c r="J72599"/>
    </row>
    <row r="72600" spans="10:10" x14ac:dyDescent="0.3">
      <c r="J72600"/>
    </row>
    <row r="72601" spans="10:10" x14ac:dyDescent="0.3">
      <c r="J72601"/>
    </row>
    <row r="72602" spans="10:10" x14ac:dyDescent="0.3">
      <c r="J72602"/>
    </row>
    <row r="72603" spans="10:10" x14ac:dyDescent="0.3">
      <c r="J72603"/>
    </row>
    <row r="72604" spans="10:10" x14ac:dyDescent="0.3">
      <c r="J72604"/>
    </row>
    <row r="72605" spans="10:10" x14ac:dyDescent="0.3">
      <c r="J72605"/>
    </row>
    <row r="72606" spans="10:10" x14ac:dyDescent="0.3">
      <c r="J72606"/>
    </row>
    <row r="72607" spans="10:10" x14ac:dyDescent="0.3">
      <c r="J72607"/>
    </row>
    <row r="72608" spans="10:10" x14ac:dyDescent="0.3">
      <c r="J72608"/>
    </row>
    <row r="72609" spans="10:10" x14ac:dyDescent="0.3">
      <c r="J72609"/>
    </row>
    <row r="72610" spans="10:10" x14ac:dyDescent="0.3">
      <c r="J72610"/>
    </row>
    <row r="72611" spans="10:10" x14ac:dyDescent="0.3">
      <c r="J72611"/>
    </row>
    <row r="72612" spans="10:10" x14ac:dyDescent="0.3">
      <c r="J72612"/>
    </row>
    <row r="72613" spans="10:10" x14ac:dyDescent="0.3">
      <c r="J72613"/>
    </row>
    <row r="72614" spans="10:10" x14ac:dyDescent="0.3">
      <c r="J72614"/>
    </row>
    <row r="72615" spans="10:10" x14ac:dyDescent="0.3">
      <c r="J72615"/>
    </row>
    <row r="72616" spans="10:10" x14ac:dyDescent="0.3">
      <c r="J72616"/>
    </row>
    <row r="72617" spans="10:10" x14ac:dyDescent="0.3">
      <c r="J72617"/>
    </row>
    <row r="72618" spans="10:10" x14ac:dyDescent="0.3">
      <c r="J72618"/>
    </row>
    <row r="72619" spans="10:10" x14ac:dyDescent="0.3">
      <c r="J72619"/>
    </row>
    <row r="72620" spans="10:10" x14ac:dyDescent="0.3">
      <c r="J72620"/>
    </row>
    <row r="72621" spans="10:10" x14ac:dyDescent="0.3">
      <c r="J72621"/>
    </row>
    <row r="72622" spans="10:10" x14ac:dyDescent="0.3">
      <c r="J72622"/>
    </row>
    <row r="72623" spans="10:10" x14ac:dyDescent="0.3">
      <c r="J72623"/>
    </row>
    <row r="72624" spans="10:10" x14ac:dyDescent="0.3">
      <c r="J72624"/>
    </row>
    <row r="72625" spans="10:10" x14ac:dyDescent="0.3">
      <c r="J72625"/>
    </row>
    <row r="72626" spans="10:10" x14ac:dyDescent="0.3">
      <c r="J72626"/>
    </row>
    <row r="72627" spans="10:10" x14ac:dyDescent="0.3">
      <c r="J72627"/>
    </row>
    <row r="72628" spans="10:10" x14ac:dyDescent="0.3">
      <c r="J72628"/>
    </row>
    <row r="72629" spans="10:10" x14ac:dyDescent="0.3">
      <c r="J72629"/>
    </row>
    <row r="72630" spans="10:10" x14ac:dyDescent="0.3">
      <c r="J72630"/>
    </row>
    <row r="72631" spans="10:10" x14ac:dyDescent="0.3">
      <c r="J72631"/>
    </row>
    <row r="72632" spans="10:10" x14ac:dyDescent="0.3">
      <c r="J72632"/>
    </row>
    <row r="72633" spans="10:10" x14ac:dyDescent="0.3">
      <c r="J72633"/>
    </row>
    <row r="72634" spans="10:10" x14ac:dyDescent="0.3">
      <c r="J72634"/>
    </row>
    <row r="72635" spans="10:10" x14ac:dyDescent="0.3">
      <c r="J72635"/>
    </row>
    <row r="72636" spans="10:10" x14ac:dyDescent="0.3">
      <c r="J72636"/>
    </row>
    <row r="72637" spans="10:10" x14ac:dyDescent="0.3">
      <c r="J72637"/>
    </row>
    <row r="72638" spans="10:10" x14ac:dyDescent="0.3">
      <c r="J72638"/>
    </row>
    <row r="72639" spans="10:10" x14ac:dyDescent="0.3">
      <c r="J72639"/>
    </row>
    <row r="72640" spans="10:10" x14ac:dyDescent="0.3">
      <c r="J72640"/>
    </row>
    <row r="72641" spans="10:10" x14ac:dyDescent="0.3">
      <c r="J72641"/>
    </row>
    <row r="72642" spans="10:10" x14ac:dyDescent="0.3">
      <c r="J72642"/>
    </row>
    <row r="72643" spans="10:10" x14ac:dyDescent="0.3">
      <c r="J72643"/>
    </row>
    <row r="72644" spans="10:10" x14ac:dyDescent="0.3">
      <c r="J72644"/>
    </row>
    <row r="72645" spans="10:10" x14ac:dyDescent="0.3">
      <c r="J72645"/>
    </row>
    <row r="72646" spans="10:10" x14ac:dyDescent="0.3">
      <c r="J72646"/>
    </row>
    <row r="72647" spans="10:10" x14ac:dyDescent="0.3">
      <c r="J72647"/>
    </row>
    <row r="72648" spans="10:10" x14ac:dyDescent="0.3">
      <c r="J72648"/>
    </row>
    <row r="72649" spans="10:10" x14ac:dyDescent="0.3">
      <c r="J72649"/>
    </row>
    <row r="72650" spans="10:10" x14ac:dyDescent="0.3">
      <c r="J72650"/>
    </row>
    <row r="72651" spans="10:10" x14ac:dyDescent="0.3">
      <c r="J72651"/>
    </row>
    <row r="72652" spans="10:10" x14ac:dyDescent="0.3">
      <c r="J72652"/>
    </row>
    <row r="72653" spans="10:10" x14ac:dyDescent="0.3">
      <c r="J72653"/>
    </row>
    <row r="72654" spans="10:10" x14ac:dyDescent="0.3">
      <c r="J72654"/>
    </row>
    <row r="72655" spans="10:10" x14ac:dyDescent="0.3">
      <c r="J72655"/>
    </row>
    <row r="72656" spans="10:10" x14ac:dyDescent="0.3">
      <c r="J72656"/>
    </row>
    <row r="72657" spans="10:10" x14ac:dyDescent="0.3">
      <c r="J72657"/>
    </row>
    <row r="72658" spans="10:10" x14ac:dyDescent="0.3">
      <c r="J72658"/>
    </row>
    <row r="72659" spans="10:10" x14ac:dyDescent="0.3">
      <c r="J72659"/>
    </row>
    <row r="72660" spans="10:10" x14ac:dyDescent="0.3">
      <c r="J72660"/>
    </row>
    <row r="72661" spans="10:10" x14ac:dyDescent="0.3">
      <c r="J72661"/>
    </row>
    <row r="72662" spans="10:10" x14ac:dyDescent="0.3">
      <c r="J72662"/>
    </row>
    <row r="72663" spans="10:10" x14ac:dyDescent="0.3">
      <c r="J72663"/>
    </row>
    <row r="72664" spans="10:10" x14ac:dyDescent="0.3">
      <c r="J72664"/>
    </row>
    <row r="72665" spans="10:10" x14ac:dyDescent="0.3">
      <c r="J72665"/>
    </row>
    <row r="72666" spans="10:10" x14ac:dyDescent="0.3">
      <c r="J72666"/>
    </row>
    <row r="72667" spans="10:10" x14ac:dyDescent="0.3">
      <c r="J72667"/>
    </row>
    <row r="72668" spans="10:10" x14ac:dyDescent="0.3">
      <c r="J72668"/>
    </row>
    <row r="72669" spans="10:10" x14ac:dyDescent="0.3">
      <c r="J72669"/>
    </row>
    <row r="72670" spans="10:10" x14ac:dyDescent="0.3">
      <c r="J72670"/>
    </row>
    <row r="72671" spans="10:10" x14ac:dyDescent="0.3">
      <c r="J72671"/>
    </row>
    <row r="72672" spans="10:10" x14ac:dyDescent="0.3">
      <c r="J72672"/>
    </row>
    <row r="72673" spans="10:10" x14ac:dyDescent="0.3">
      <c r="J72673"/>
    </row>
    <row r="72674" spans="10:10" x14ac:dyDescent="0.3">
      <c r="J72674"/>
    </row>
    <row r="72675" spans="10:10" x14ac:dyDescent="0.3">
      <c r="J72675"/>
    </row>
    <row r="72676" spans="10:10" x14ac:dyDescent="0.3">
      <c r="J72676"/>
    </row>
    <row r="72677" spans="10:10" x14ac:dyDescent="0.3">
      <c r="J72677"/>
    </row>
    <row r="72678" spans="10:10" x14ac:dyDescent="0.3">
      <c r="J72678"/>
    </row>
    <row r="72679" spans="10:10" x14ac:dyDescent="0.3">
      <c r="J72679"/>
    </row>
    <row r="72680" spans="10:10" x14ac:dyDescent="0.3">
      <c r="J72680"/>
    </row>
    <row r="72681" spans="10:10" x14ac:dyDescent="0.3">
      <c r="J72681"/>
    </row>
    <row r="72682" spans="10:10" x14ac:dyDescent="0.3">
      <c r="J72682"/>
    </row>
    <row r="72683" spans="10:10" x14ac:dyDescent="0.3">
      <c r="J72683"/>
    </row>
    <row r="72684" spans="10:10" x14ac:dyDescent="0.3">
      <c r="J72684"/>
    </row>
    <row r="72685" spans="10:10" x14ac:dyDescent="0.3">
      <c r="J72685"/>
    </row>
    <row r="72686" spans="10:10" x14ac:dyDescent="0.3">
      <c r="J72686"/>
    </row>
    <row r="72687" spans="10:10" x14ac:dyDescent="0.3">
      <c r="J72687"/>
    </row>
    <row r="72688" spans="10:10" x14ac:dyDescent="0.3">
      <c r="J72688"/>
    </row>
    <row r="72689" spans="10:10" x14ac:dyDescent="0.3">
      <c r="J72689"/>
    </row>
    <row r="72690" spans="10:10" x14ac:dyDescent="0.3">
      <c r="J72690"/>
    </row>
    <row r="72691" spans="10:10" x14ac:dyDescent="0.3">
      <c r="J72691"/>
    </row>
    <row r="72692" spans="10:10" x14ac:dyDescent="0.3">
      <c r="J72692"/>
    </row>
    <row r="72693" spans="10:10" x14ac:dyDescent="0.3">
      <c r="J72693"/>
    </row>
    <row r="72694" spans="10:10" x14ac:dyDescent="0.3">
      <c r="J72694"/>
    </row>
    <row r="72695" spans="10:10" x14ac:dyDescent="0.3">
      <c r="J72695"/>
    </row>
    <row r="72696" spans="10:10" x14ac:dyDescent="0.3">
      <c r="J72696"/>
    </row>
    <row r="72697" spans="10:10" x14ac:dyDescent="0.3">
      <c r="J72697"/>
    </row>
    <row r="72698" spans="10:10" x14ac:dyDescent="0.3">
      <c r="J72698"/>
    </row>
    <row r="72699" spans="10:10" x14ac:dyDescent="0.3">
      <c r="J72699"/>
    </row>
    <row r="72700" spans="10:10" x14ac:dyDescent="0.3">
      <c r="J72700"/>
    </row>
    <row r="72701" spans="10:10" x14ac:dyDescent="0.3">
      <c r="J72701"/>
    </row>
    <row r="72702" spans="10:10" x14ac:dyDescent="0.3">
      <c r="J72702"/>
    </row>
    <row r="72703" spans="10:10" x14ac:dyDescent="0.3">
      <c r="J72703"/>
    </row>
    <row r="72704" spans="10:10" x14ac:dyDescent="0.3">
      <c r="J72704"/>
    </row>
    <row r="72705" spans="10:10" x14ac:dyDescent="0.3">
      <c r="J72705"/>
    </row>
    <row r="72706" spans="10:10" x14ac:dyDescent="0.3">
      <c r="J72706"/>
    </row>
    <row r="72707" spans="10:10" x14ac:dyDescent="0.3">
      <c r="J72707"/>
    </row>
    <row r="72708" spans="10:10" x14ac:dyDescent="0.3">
      <c r="J72708"/>
    </row>
    <row r="72709" spans="10:10" x14ac:dyDescent="0.3">
      <c r="J72709"/>
    </row>
    <row r="72710" spans="10:10" x14ac:dyDescent="0.3">
      <c r="J72710"/>
    </row>
    <row r="72711" spans="10:10" x14ac:dyDescent="0.3">
      <c r="J72711"/>
    </row>
    <row r="72712" spans="10:10" x14ac:dyDescent="0.3">
      <c r="J72712"/>
    </row>
    <row r="72713" spans="10:10" x14ac:dyDescent="0.3">
      <c r="J72713"/>
    </row>
    <row r="72714" spans="10:10" x14ac:dyDescent="0.3">
      <c r="J72714"/>
    </row>
    <row r="72715" spans="10:10" x14ac:dyDescent="0.3">
      <c r="J72715"/>
    </row>
    <row r="72716" spans="10:10" x14ac:dyDescent="0.3">
      <c r="J72716"/>
    </row>
    <row r="72717" spans="10:10" x14ac:dyDescent="0.3">
      <c r="J72717"/>
    </row>
    <row r="72718" spans="10:10" x14ac:dyDescent="0.3">
      <c r="J72718"/>
    </row>
    <row r="72719" spans="10:10" x14ac:dyDescent="0.3">
      <c r="J72719"/>
    </row>
    <row r="72720" spans="10:10" x14ac:dyDescent="0.3">
      <c r="J72720"/>
    </row>
    <row r="72721" spans="10:10" x14ac:dyDescent="0.3">
      <c r="J72721"/>
    </row>
    <row r="72722" spans="10:10" x14ac:dyDescent="0.3">
      <c r="J72722"/>
    </row>
    <row r="72723" spans="10:10" x14ac:dyDescent="0.3">
      <c r="J72723"/>
    </row>
    <row r="72724" spans="10:10" x14ac:dyDescent="0.3">
      <c r="J72724"/>
    </row>
    <row r="72725" spans="10:10" x14ac:dyDescent="0.3">
      <c r="J72725"/>
    </row>
    <row r="72726" spans="10:10" x14ac:dyDescent="0.3">
      <c r="J72726"/>
    </row>
    <row r="72727" spans="10:10" x14ac:dyDescent="0.3">
      <c r="J72727"/>
    </row>
    <row r="72728" spans="10:10" x14ac:dyDescent="0.3">
      <c r="J72728"/>
    </row>
    <row r="72729" spans="10:10" x14ac:dyDescent="0.3">
      <c r="J72729"/>
    </row>
    <row r="72730" spans="10:10" x14ac:dyDescent="0.3">
      <c r="J72730"/>
    </row>
    <row r="72731" spans="10:10" x14ac:dyDescent="0.3">
      <c r="J72731"/>
    </row>
    <row r="72732" spans="10:10" x14ac:dyDescent="0.3">
      <c r="J72732"/>
    </row>
    <row r="72733" spans="10:10" x14ac:dyDescent="0.3">
      <c r="J72733"/>
    </row>
    <row r="72734" spans="10:10" x14ac:dyDescent="0.3">
      <c r="J72734"/>
    </row>
    <row r="72735" spans="10:10" x14ac:dyDescent="0.3">
      <c r="J72735"/>
    </row>
    <row r="72736" spans="10:10" x14ac:dyDescent="0.3">
      <c r="J72736"/>
    </row>
    <row r="72737" spans="10:10" x14ac:dyDescent="0.3">
      <c r="J72737"/>
    </row>
    <row r="72738" spans="10:10" x14ac:dyDescent="0.3">
      <c r="J72738"/>
    </row>
    <row r="72739" spans="10:10" x14ac:dyDescent="0.3">
      <c r="J72739"/>
    </row>
    <row r="72740" spans="10:10" x14ac:dyDescent="0.3">
      <c r="J72740"/>
    </row>
    <row r="72741" spans="10:10" x14ac:dyDescent="0.3">
      <c r="J72741"/>
    </row>
    <row r="72742" spans="10:10" x14ac:dyDescent="0.3">
      <c r="J72742"/>
    </row>
    <row r="72743" spans="10:10" x14ac:dyDescent="0.3">
      <c r="J72743"/>
    </row>
    <row r="72744" spans="10:10" x14ac:dyDescent="0.3">
      <c r="J72744"/>
    </row>
    <row r="72745" spans="10:10" x14ac:dyDescent="0.3">
      <c r="J72745"/>
    </row>
    <row r="72746" spans="10:10" x14ac:dyDescent="0.3">
      <c r="J72746"/>
    </row>
    <row r="72747" spans="10:10" x14ac:dyDescent="0.3">
      <c r="J72747"/>
    </row>
    <row r="72748" spans="10:10" x14ac:dyDescent="0.3">
      <c r="J72748"/>
    </row>
    <row r="72749" spans="10:10" x14ac:dyDescent="0.3">
      <c r="J72749"/>
    </row>
    <row r="72750" spans="10:10" x14ac:dyDescent="0.3">
      <c r="J72750"/>
    </row>
    <row r="72751" spans="10:10" x14ac:dyDescent="0.3">
      <c r="J72751"/>
    </row>
    <row r="72752" spans="10:10" x14ac:dyDescent="0.3">
      <c r="J72752"/>
    </row>
    <row r="72753" spans="10:10" x14ac:dyDescent="0.3">
      <c r="J72753"/>
    </row>
    <row r="72754" spans="10:10" x14ac:dyDescent="0.3">
      <c r="J72754"/>
    </row>
    <row r="72755" spans="10:10" x14ac:dyDescent="0.3">
      <c r="J72755"/>
    </row>
    <row r="72756" spans="10:10" x14ac:dyDescent="0.3">
      <c r="J72756"/>
    </row>
    <row r="72757" spans="10:10" x14ac:dyDescent="0.3">
      <c r="J72757"/>
    </row>
    <row r="72758" spans="10:10" x14ac:dyDescent="0.3">
      <c r="J72758"/>
    </row>
    <row r="72759" spans="10:10" x14ac:dyDescent="0.3">
      <c r="J72759"/>
    </row>
    <row r="72760" spans="10:10" x14ac:dyDescent="0.3">
      <c r="J72760"/>
    </row>
    <row r="72761" spans="10:10" x14ac:dyDescent="0.3">
      <c r="J72761"/>
    </row>
    <row r="72762" spans="10:10" x14ac:dyDescent="0.3">
      <c r="J72762"/>
    </row>
    <row r="72763" spans="10:10" x14ac:dyDescent="0.3">
      <c r="J72763"/>
    </row>
    <row r="72764" spans="10:10" x14ac:dyDescent="0.3">
      <c r="J72764"/>
    </row>
    <row r="72765" spans="10:10" x14ac:dyDescent="0.3">
      <c r="J72765"/>
    </row>
    <row r="72766" spans="10:10" x14ac:dyDescent="0.3">
      <c r="J72766"/>
    </row>
    <row r="72767" spans="10:10" x14ac:dyDescent="0.3">
      <c r="J72767"/>
    </row>
    <row r="72768" spans="10:10" x14ac:dyDescent="0.3">
      <c r="J72768"/>
    </row>
    <row r="72769" spans="10:10" x14ac:dyDescent="0.3">
      <c r="J72769"/>
    </row>
    <row r="72770" spans="10:10" x14ac:dyDescent="0.3">
      <c r="J72770"/>
    </row>
    <row r="72771" spans="10:10" x14ac:dyDescent="0.3">
      <c r="J72771"/>
    </row>
    <row r="72772" spans="10:10" x14ac:dyDescent="0.3">
      <c r="J72772"/>
    </row>
    <row r="72773" spans="10:10" x14ac:dyDescent="0.3">
      <c r="J72773"/>
    </row>
    <row r="72774" spans="10:10" x14ac:dyDescent="0.3">
      <c r="J72774"/>
    </row>
    <row r="72775" spans="10:10" x14ac:dyDescent="0.3">
      <c r="J72775"/>
    </row>
    <row r="72776" spans="10:10" x14ac:dyDescent="0.3">
      <c r="J72776"/>
    </row>
    <row r="72777" spans="10:10" x14ac:dyDescent="0.3">
      <c r="J72777"/>
    </row>
    <row r="72778" spans="10:10" x14ac:dyDescent="0.3">
      <c r="J72778"/>
    </row>
    <row r="72779" spans="10:10" x14ac:dyDescent="0.3">
      <c r="J72779"/>
    </row>
    <row r="72780" spans="10:10" x14ac:dyDescent="0.3">
      <c r="J72780"/>
    </row>
    <row r="72781" spans="10:10" x14ac:dyDescent="0.3">
      <c r="J72781"/>
    </row>
    <row r="72782" spans="10:10" x14ac:dyDescent="0.3">
      <c r="J72782"/>
    </row>
    <row r="72783" spans="10:10" x14ac:dyDescent="0.3">
      <c r="J72783"/>
    </row>
    <row r="72784" spans="10:10" x14ac:dyDescent="0.3">
      <c r="J72784"/>
    </row>
    <row r="72785" spans="10:10" x14ac:dyDescent="0.3">
      <c r="J72785"/>
    </row>
    <row r="72786" spans="10:10" x14ac:dyDescent="0.3">
      <c r="J72786"/>
    </row>
    <row r="72787" spans="10:10" x14ac:dyDescent="0.3">
      <c r="J72787"/>
    </row>
    <row r="72788" spans="10:10" x14ac:dyDescent="0.3">
      <c r="J72788"/>
    </row>
    <row r="72789" spans="10:10" x14ac:dyDescent="0.3">
      <c r="J72789"/>
    </row>
    <row r="72790" spans="10:10" x14ac:dyDescent="0.3">
      <c r="J72790"/>
    </row>
    <row r="72791" spans="10:10" x14ac:dyDescent="0.3">
      <c r="J72791"/>
    </row>
    <row r="72792" spans="10:10" x14ac:dyDescent="0.3">
      <c r="J72792"/>
    </row>
    <row r="72793" spans="10:10" x14ac:dyDescent="0.3">
      <c r="J72793"/>
    </row>
    <row r="72794" spans="10:10" x14ac:dyDescent="0.3">
      <c r="J72794"/>
    </row>
    <row r="72795" spans="10:10" x14ac:dyDescent="0.3">
      <c r="J72795"/>
    </row>
    <row r="72796" spans="10:10" x14ac:dyDescent="0.3">
      <c r="J72796"/>
    </row>
    <row r="72797" spans="10:10" x14ac:dyDescent="0.3">
      <c r="J72797"/>
    </row>
    <row r="72798" spans="10:10" x14ac:dyDescent="0.3">
      <c r="J72798"/>
    </row>
    <row r="72799" spans="10:10" x14ac:dyDescent="0.3">
      <c r="J72799"/>
    </row>
    <row r="72800" spans="10:10" x14ac:dyDescent="0.3">
      <c r="J72800"/>
    </row>
    <row r="72801" spans="10:10" x14ac:dyDescent="0.3">
      <c r="J72801"/>
    </row>
    <row r="72802" spans="10:10" x14ac:dyDescent="0.3">
      <c r="J72802"/>
    </row>
    <row r="72803" spans="10:10" x14ac:dyDescent="0.3">
      <c r="J72803"/>
    </row>
    <row r="72804" spans="10:10" x14ac:dyDescent="0.3">
      <c r="J72804"/>
    </row>
    <row r="72805" spans="10:10" x14ac:dyDescent="0.3">
      <c r="J72805"/>
    </row>
    <row r="72806" spans="10:10" x14ac:dyDescent="0.3">
      <c r="J72806"/>
    </row>
    <row r="72807" spans="10:10" x14ac:dyDescent="0.3">
      <c r="J72807"/>
    </row>
    <row r="72808" spans="10:10" x14ac:dyDescent="0.3">
      <c r="J72808"/>
    </row>
    <row r="72809" spans="10:10" x14ac:dyDescent="0.3">
      <c r="J72809"/>
    </row>
    <row r="72810" spans="10:10" x14ac:dyDescent="0.3">
      <c r="J72810"/>
    </row>
    <row r="72811" spans="10:10" x14ac:dyDescent="0.3">
      <c r="J72811"/>
    </row>
    <row r="72812" spans="10:10" x14ac:dyDescent="0.3">
      <c r="J72812"/>
    </row>
    <row r="72813" spans="10:10" x14ac:dyDescent="0.3">
      <c r="J72813"/>
    </row>
    <row r="72814" spans="10:10" x14ac:dyDescent="0.3">
      <c r="J72814"/>
    </row>
    <row r="72815" spans="10:10" x14ac:dyDescent="0.3">
      <c r="J72815"/>
    </row>
    <row r="72816" spans="10:10" x14ac:dyDescent="0.3">
      <c r="J72816"/>
    </row>
    <row r="72817" spans="10:10" x14ac:dyDescent="0.3">
      <c r="J72817"/>
    </row>
    <row r="72818" spans="10:10" x14ac:dyDescent="0.3">
      <c r="J72818"/>
    </row>
    <row r="72819" spans="10:10" x14ac:dyDescent="0.3">
      <c r="J72819"/>
    </row>
    <row r="72820" spans="10:10" x14ac:dyDescent="0.3">
      <c r="J72820"/>
    </row>
    <row r="72821" spans="10:10" x14ac:dyDescent="0.3">
      <c r="J72821"/>
    </row>
    <row r="72822" spans="10:10" x14ac:dyDescent="0.3">
      <c r="J72822"/>
    </row>
    <row r="72823" spans="10:10" x14ac:dyDescent="0.3">
      <c r="J72823"/>
    </row>
    <row r="72824" spans="10:10" x14ac:dyDescent="0.3">
      <c r="J72824"/>
    </row>
    <row r="72825" spans="10:10" x14ac:dyDescent="0.3">
      <c r="J72825"/>
    </row>
    <row r="72826" spans="10:10" x14ac:dyDescent="0.3">
      <c r="J72826"/>
    </row>
    <row r="72827" spans="10:10" x14ac:dyDescent="0.3">
      <c r="J72827"/>
    </row>
    <row r="72828" spans="10:10" x14ac:dyDescent="0.3">
      <c r="J72828"/>
    </row>
    <row r="72829" spans="10:10" x14ac:dyDescent="0.3">
      <c r="J72829"/>
    </row>
    <row r="72830" spans="10:10" x14ac:dyDescent="0.3">
      <c r="J72830"/>
    </row>
    <row r="72831" spans="10:10" x14ac:dyDescent="0.3">
      <c r="J72831"/>
    </row>
    <row r="72832" spans="10:10" x14ac:dyDescent="0.3">
      <c r="J72832"/>
    </row>
    <row r="72833" spans="10:10" x14ac:dyDescent="0.3">
      <c r="J72833"/>
    </row>
    <row r="72834" spans="10:10" x14ac:dyDescent="0.3">
      <c r="J72834"/>
    </row>
    <row r="72835" spans="10:10" x14ac:dyDescent="0.3">
      <c r="J72835"/>
    </row>
    <row r="72836" spans="10:10" x14ac:dyDescent="0.3">
      <c r="J72836"/>
    </row>
    <row r="72837" spans="10:10" x14ac:dyDescent="0.3">
      <c r="J72837"/>
    </row>
    <row r="72838" spans="10:10" x14ac:dyDescent="0.3">
      <c r="J72838"/>
    </row>
    <row r="72839" spans="10:10" x14ac:dyDescent="0.3">
      <c r="J72839"/>
    </row>
    <row r="72840" spans="10:10" x14ac:dyDescent="0.3">
      <c r="J72840"/>
    </row>
    <row r="72841" spans="10:10" x14ac:dyDescent="0.3">
      <c r="J72841"/>
    </row>
    <row r="72842" spans="10:10" x14ac:dyDescent="0.3">
      <c r="J72842"/>
    </row>
    <row r="72843" spans="10:10" x14ac:dyDescent="0.3">
      <c r="J72843"/>
    </row>
    <row r="72844" spans="10:10" x14ac:dyDescent="0.3">
      <c r="J72844"/>
    </row>
    <row r="72845" spans="10:10" x14ac:dyDescent="0.3">
      <c r="J72845"/>
    </row>
    <row r="72846" spans="10:10" x14ac:dyDescent="0.3">
      <c r="J72846"/>
    </row>
    <row r="72847" spans="10:10" x14ac:dyDescent="0.3">
      <c r="J72847"/>
    </row>
    <row r="72848" spans="10:10" x14ac:dyDescent="0.3">
      <c r="J72848"/>
    </row>
    <row r="72849" spans="10:10" x14ac:dyDescent="0.3">
      <c r="J72849"/>
    </row>
    <row r="72850" spans="10:10" x14ac:dyDescent="0.3">
      <c r="J72850"/>
    </row>
    <row r="72851" spans="10:10" x14ac:dyDescent="0.3">
      <c r="J72851"/>
    </row>
    <row r="72852" spans="10:10" x14ac:dyDescent="0.3">
      <c r="J72852"/>
    </row>
    <row r="72853" spans="10:10" x14ac:dyDescent="0.3">
      <c r="J72853"/>
    </row>
    <row r="72854" spans="10:10" x14ac:dyDescent="0.3">
      <c r="J72854"/>
    </row>
    <row r="72855" spans="10:10" x14ac:dyDescent="0.3">
      <c r="J72855"/>
    </row>
    <row r="72856" spans="10:10" x14ac:dyDescent="0.3">
      <c r="J72856"/>
    </row>
    <row r="72857" spans="10:10" x14ac:dyDescent="0.3">
      <c r="J72857"/>
    </row>
    <row r="72858" spans="10:10" x14ac:dyDescent="0.3">
      <c r="J72858"/>
    </row>
    <row r="72859" spans="10:10" x14ac:dyDescent="0.3">
      <c r="J72859"/>
    </row>
    <row r="72860" spans="10:10" x14ac:dyDescent="0.3">
      <c r="J72860"/>
    </row>
    <row r="72861" spans="10:10" x14ac:dyDescent="0.3">
      <c r="J72861"/>
    </row>
    <row r="72862" spans="10:10" x14ac:dyDescent="0.3">
      <c r="J72862"/>
    </row>
    <row r="72863" spans="10:10" x14ac:dyDescent="0.3">
      <c r="J72863"/>
    </row>
    <row r="72864" spans="10:10" x14ac:dyDescent="0.3">
      <c r="J72864"/>
    </row>
    <row r="72865" spans="10:10" x14ac:dyDescent="0.3">
      <c r="J72865"/>
    </row>
    <row r="72866" spans="10:10" x14ac:dyDescent="0.3">
      <c r="J72866"/>
    </row>
    <row r="72867" spans="10:10" x14ac:dyDescent="0.3">
      <c r="J72867"/>
    </row>
    <row r="72868" spans="10:10" x14ac:dyDescent="0.3">
      <c r="J72868"/>
    </row>
    <row r="72869" spans="10:10" x14ac:dyDescent="0.3">
      <c r="J72869"/>
    </row>
    <row r="72870" spans="10:10" x14ac:dyDescent="0.3">
      <c r="J72870"/>
    </row>
    <row r="72871" spans="10:10" x14ac:dyDescent="0.3">
      <c r="J72871"/>
    </row>
    <row r="72872" spans="10:10" x14ac:dyDescent="0.3">
      <c r="J72872"/>
    </row>
    <row r="72873" spans="10:10" x14ac:dyDescent="0.3">
      <c r="J72873"/>
    </row>
    <row r="72874" spans="10:10" x14ac:dyDescent="0.3">
      <c r="J72874"/>
    </row>
    <row r="72875" spans="10:10" x14ac:dyDescent="0.3">
      <c r="J72875"/>
    </row>
    <row r="72876" spans="10:10" x14ac:dyDescent="0.3">
      <c r="J72876"/>
    </row>
    <row r="72877" spans="10:10" x14ac:dyDescent="0.3">
      <c r="J72877"/>
    </row>
    <row r="72878" spans="10:10" x14ac:dyDescent="0.3">
      <c r="J72878"/>
    </row>
    <row r="72879" spans="10:10" x14ac:dyDescent="0.3">
      <c r="J72879"/>
    </row>
    <row r="72880" spans="10:10" x14ac:dyDescent="0.3">
      <c r="J72880"/>
    </row>
    <row r="72881" spans="10:10" x14ac:dyDescent="0.3">
      <c r="J72881"/>
    </row>
    <row r="72882" spans="10:10" x14ac:dyDescent="0.3">
      <c r="J72882"/>
    </row>
    <row r="72883" spans="10:10" x14ac:dyDescent="0.3">
      <c r="J72883"/>
    </row>
    <row r="72884" spans="10:10" x14ac:dyDescent="0.3">
      <c r="J72884"/>
    </row>
    <row r="72885" spans="10:10" x14ac:dyDescent="0.3">
      <c r="J72885"/>
    </row>
    <row r="72886" spans="10:10" x14ac:dyDescent="0.3">
      <c r="J72886"/>
    </row>
    <row r="72887" spans="10:10" x14ac:dyDescent="0.3">
      <c r="J72887"/>
    </row>
    <row r="72888" spans="10:10" x14ac:dyDescent="0.3">
      <c r="J72888"/>
    </row>
    <row r="72889" spans="10:10" x14ac:dyDescent="0.3">
      <c r="J72889"/>
    </row>
    <row r="72890" spans="10:10" x14ac:dyDescent="0.3">
      <c r="J72890"/>
    </row>
    <row r="72891" spans="10:10" x14ac:dyDescent="0.3">
      <c r="J72891"/>
    </row>
    <row r="72892" spans="10:10" x14ac:dyDescent="0.3">
      <c r="J72892"/>
    </row>
    <row r="72893" spans="10:10" x14ac:dyDescent="0.3">
      <c r="J72893"/>
    </row>
    <row r="72894" spans="10:10" x14ac:dyDescent="0.3">
      <c r="J72894"/>
    </row>
    <row r="72895" spans="10:10" x14ac:dyDescent="0.3">
      <c r="J72895"/>
    </row>
    <row r="72896" spans="10:10" x14ac:dyDescent="0.3">
      <c r="J72896"/>
    </row>
    <row r="72897" spans="10:10" x14ac:dyDescent="0.3">
      <c r="J72897"/>
    </row>
    <row r="72898" spans="10:10" x14ac:dyDescent="0.3">
      <c r="J72898"/>
    </row>
    <row r="72899" spans="10:10" x14ac:dyDescent="0.3">
      <c r="J72899"/>
    </row>
    <row r="72900" spans="10:10" x14ac:dyDescent="0.3">
      <c r="J72900"/>
    </row>
    <row r="72901" spans="10:10" x14ac:dyDescent="0.3">
      <c r="J72901"/>
    </row>
    <row r="72902" spans="10:10" x14ac:dyDescent="0.3">
      <c r="J72902"/>
    </row>
    <row r="72903" spans="10:10" x14ac:dyDescent="0.3">
      <c r="J72903"/>
    </row>
    <row r="72904" spans="10:10" x14ac:dyDescent="0.3">
      <c r="J72904"/>
    </row>
    <row r="72905" spans="10:10" x14ac:dyDescent="0.3">
      <c r="J72905"/>
    </row>
    <row r="72906" spans="10:10" x14ac:dyDescent="0.3">
      <c r="J72906"/>
    </row>
    <row r="72907" spans="10:10" x14ac:dyDescent="0.3">
      <c r="J72907"/>
    </row>
    <row r="72908" spans="10:10" x14ac:dyDescent="0.3">
      <c r="J72908"/>
    </row>
    <row r="72909" spans="10:10" x14ac:dyDescent="0.3">
      <c r="J72909"/>
    </row>
    <row r="72910" spans="10:10" x14ac:dyDescent="0.3">
      <c r="J72910"/>
    </row>
    <row r="72911" spans="10:10" x14ac:dyDescent="0.3">
      <c r="J72911"/>
    </row>
    <row r="72912" spans="10:10" x14ac:dyDescent="0.3">
      <c r="J72912"/>
    </row>
    <row r="72913" spans="10:10" x14ac:dyDescent="0.3">
      <c r="J72913"/>
    </row>
    <row r="72914" spans="10:10" x14ac:dyDescent="0.3">
      <c r="J72914"/>
    </row>
    <row r="72915" spans="10:10" x14ac:dyDescent="0.3">
      <c r="J72915"/>
    </row>
    <row r="72916" spans="10:10" x14ac:dyDescent="0.3">
      <c r="J72916"/>
    </row>
    <row r="72917" spans="10:10" x14ac:dyDescent="0.3">
      <c r="J72917"/>
    </row>
    <row r="72918" spans="10:10" x14ac:dyDescent="0.3">
      <c r="J72918"/>
    </row>
    <row r="72919" spans="10:10" x14ac:dyDescent="0.3">
      <c r="J72919"/>
    </row>
    <row r="72920" spans="10:10" x14ac:dyDescent="0.3">
      <c r="J72920"/>
    </row>
    <row r="72921" spans="10:10" x14ac:dyDescent="0.3">
      <c r="J72921"/>
    </row>
    <row r="72922" spans="10:10" x14ac:dyDescent="0.3">
      <c r="J72922"/>
    </row>
    <row r="72923" spans="10:10" x14ac:dyDescent="0.3">
      <c r="J72923"/>
    </row>
    <row r="72924" spans="10:10" x14ac:dyDescent="0.3">
      <c r="J72924"/>
    </row>
    <row r="72925" spans="10:10" x14ac:dyDescent="0.3">
      <c r="J72925"/>
    </row>
    <row r="72926" spans="10:10" x14ac:dyDescent="0.3">
      <c r="J72926"/>
    </row>
    <row r="72927" spans="10:10" x14ac:dyDescent="0.3">
      <c r="J72927"/>
    </row>
    <row r="72928" spans="10:10" x14ac:dyDescent="0.3">
      <c r="J72928"/>
    </row>
    <row r="72929" spans="10:10" x14ac:dyDescent="0.3">
      <c r="J72929"/>
    </row>
    <row r="72930" spans="10:10" x14ac:dyDescent="0.3">
      <c r="J72930"/>
    </row>
    <row r="72931" spans="10:10" x14ac:dyDescent="0.3">
      <c r="J72931"/>
    </row>
    <row r="72932" spans="10:10" x14ac:dyDescent="0.3">
      <c r="J72932"/>
    </row>
    <row r="72933" spans="10:10" x14ac:dyDescent="0.3">
      <c r="J72933"/>
    </row>
    <row r="72934" spans="10:10" x14ac:dyDescent="0.3">
      <c r="J72934"/>
    </row>
    <row r="72935" spans="10:10" x14ac:dyDescent="0.3">
      <c r="J72935"/>
    </row>
    <row r="72936" spans="10:10" x14ac:dyDescent="0.3">
      <c r="J72936"/>
    </row>
    <row r="72937" spans="10:10" x14ac:dyDescent="0.3">
      <c r="J72937"/>
    </row>
    <row r="72938" spans="10:10" x14ac:dyDescent="0.3">
      <c r="J72938"/>
    </row>
    <row r="72939" spans="10:10" x14ac:dyDescent="0.3">
      <c r="J72939"/>
    </row>
    <row r="72940" spans="10:10" x14ac:dyDescent="0.3">
      <c r="J72940"/>
    </row>
    <row r="72941" spans="10:10" x14ac:dyDescent="0.3">
      <c r="J72941"/>
    </row>
    <row r="72942" spans="10:10" x14ac:dyDescent="0.3">
      <c r="J72942"/>
    </row>
    <row r="72943" spans="10:10" x14ac:dyDescent="0.3">
      <c r="J72943"/>
    </row>
    <row r="72944" spans="10:10" x14ac:dyDescent="0.3">
      <c r="J72944"/>
    </row>
    <row r="72945" spans="10:10" x14ac:dyDescent="0.3">
      <c r="J72945"/>
    </row>
    <row r="72946" spans="10:10" x14ac:dyDescent="0.3">
      <c r="J72946"/>
    </row>
    <row r="72947" spans="10:10" x14ac:dyDescent="0.3">
      <c r="J72947"/>
    </row>
    <row r="72948" spans="10:10" x14ac:dyDescent="0.3">
      <c r="J72948"/>
    </row>
    <row r="72949" spans="10:10" x14ac:dyDescent="0.3">
      <c r="J72949"/>
    </row>
    <row r="72950" spans="10:10" x14ac:dyDescent="0.3">
      <c r="J72950"/>
    </row>
    <row r="72951" spans="10:10" x14ac:dyDescent="0.3">
      <c r="J72951"/>
    </row>
    <row r="72952" spans="10:10" x14ac:dyDescent="0.3">
      <c r="J72952"/>
    </row>
    <row r="72953" spans="10:10" x14ac:dyDescent="0.3">
      <c r="J72953"/>
    </row>
    <row r="72954" spans="10:10" x14ac:dyDescent="0.3">
      <c r="J72954"/>
    </row>
    <row r="72955" spans="10:10" x14ac:dyDescent="0.3">
      <c r="J72955"/>
    </row>
    <row r="72956" spans="10:10" x14ac:dyDescent="0.3">
      <c r="J72956"/>
    </row>
    <row r="72957" spans="10:10" x14ac:dyDescent="0.3">
      <c r="J72957"/>
    </row>
    <row r="72958" spans="10:10" x14ac:dyDescent="0.3">
      <c r="J72958"/>
    </row>
    <row r="72959" spans="10:10" x14ac:dyDescent="0.3">
      <c r="J72959"/>
    </row>
    <row r="72960" spans="10:10" x14ac:dyDescent="0.3">
      <c r="J72960"/>
    </row>
    <row r="72961" spans="10:10" x14ac:dyDescent="0.3">
      <c r="J72961"/>
    </row>
    <row r="72962" spans="10:10" x14ac:dyDescent="0.3">
      <c r="J72962"/>
    </row>
    <row r="72963" spans="10:10" x14ac:dyDescent="0.3">
      <c r="J72963"/>
    </row>
    <row r="72964" spans="10:10" x14ac:dyDescent="0.3">
      <c r="J72964"/>
    </row>
    <row r="72965" spans="10:10" x14ac:dyDescent="0.3">
      <c r="J72965"/>
    </row>
    <row r="72966" spans="10:10" x14ac:dyDescent="0.3">
      <c r="J72966"/>
    </row>
    <row r="72967" spans="10:10" x14ac:dyDescent="0.3">
      <c r="J72967"/>
    </row>
    <row r="72968" spans="10:10" x14ac:dyDescent="0.3">
      <c r="J72968"/>
    </row>
    <row r="72969" spans="10:10" x14ac:dyDescent="0.3">
      <c r="J72969"/>
    </row>
    <row r="72970" spans="10:10" x14ac:dyDescent="0.3">
      <c r="J72970"/>
    </row>
    <row r="72971" spans="10:10" x14ac:dyDescent="0.3">
      <c r="J72971"/>
    </row>
    <row r="72972" spans="10:10" x14ac:dyDescent="0.3">
      <c r="J72972"/>
    </row>
    <row r="72973" spans="10:10" x14ac:dyDescent="0.3">
      <c r="J72973"/>
    </row>
    <row r="72974" spans="10:10" x14ac:dyDescent="0.3">
      <c r="J72974"/>
    </row>
    <row r="72975" spans="10:10" x14ac:dyDescent="0.3">
      <c r="J72975"/>
    </row>
    <row r="72976" spans="10:10" x14ac:dyDescent="0.3">
      <c r="J72976"/>
    </row>
    <row r="72977" spans="10:10" x14ac:dyDescent="0.3">
      <c r="J72977"/>
    </row>
    <row r="72978" spans="10:10" x14ac:dyDescent="0.3">
      <c r="J72978"/>
    </row>
    <row r="72979" spans="10:10" x14ac:dyDescent="0.3">
      <c r="J72979"/>
    </row>
    <row r="72980" spans="10:10" x14ac:dyDescent="0.3">
      <c r="J72980"/>
    </row>
    <row r="72981" spans="10:10" x14ac:dyDescent="0.3">
      <c r="J72981"/>
    </row>
    <row r="72982" spans="10:10" x14ac:dyDescent="0.3">
      <c r="J72982"/>
    </row>
    <row r="72983" spans="10:10" x14ac:dyDescent="0.3">
      <c r="J72983"/>
    </row>
    <row r="72984" spans="10:10" x14ac:dyDescent="0.3">
      <c r="J72984"/>
    </row>
    <row r="72985" spans="10:10" x14ac:dyDescent="0.3">
      <c r="J72985"/>
    </row>
    <row r="72986" spans="10:10" x14ac:dyDescent="0.3">
      <c r="J72986"/>
    </row>
    <row r="72987" spans="10:10" x14ac:dyDescent="0.3">
      <c r="J72987"/>
    </row>
    <row r="72988" spans="10:10" x14ac:dyDescent="0.3">
      <c r="J72988"/>
    </row>
    <row r="72989" spans="10:10" x14ac:dyDescent="0.3">
      <c r="J72989"/>
    </row>
    <row r="72990" spans="10:10" x14ac:dyDescent="0.3">
      <c r="J72990"/>
    </row>
    <row r="72991" spans="10:10" x14ac:dyDescent="0.3">
      <c r="J72991"/>
    </row>
    <row r="72992" spans="10:10" x14ac:dyDescent="0.3">
      <c r="J72992"/>
    </row>
    <row r="72993" spans="10:10" x14ac:dyDescent="0.3">
      <c r="J72993"/>
    </row>
    <row r="72994" spans="10:10" x14ac:dyDescent="0.3">
      <c r="J72994"/>
    </row>
    <row r="72995" spans="10:10" x14ac:dyDescent="0.3">
      <c r="J72995"/>
    </row>
    <row r="72996" spans="10:10" x14ac:dyDescent="0.3">
      <c r="J72996"/>
    </row>
    <row r="72997" spans="10:10" x14ac:dyDescent="0.3">
      <c r="J72997"/>
    </row>
    <row r="72998" spans="10:10" x14ac:dyDescent="0.3">
      <c r="J72998"/>
    </row>
    <row r="72999" spans="10:10" x14ac:dyDescent="0.3">
      <c r="J72999"/>
    </row>
    <row r="73000" spans="10:10" x14ac:dyDescent="0.3">
      <c r="J73000"/>
    </row>
    <row r="73001" spans="10:10" x14ac:dyDescent="0.3">
      <c r="J73001"/>
    </row>
    <row r="73002" spans="10:10" x14ac:dyDescent="0.3">
      <c r="J73002"/>
    </row>
    <row r="73003" spans="10:10" x14ac:dyDescent="0.3">
      <c r="J73003"/>
    </row>
    <row r="73004" spans="10:10" x14ac:dyDescent="0.3">
      <c r="J73004"/>
    </row>
    <row r="73005" spans="10:10" x14ac:dyDescent="0.3">
      <c r="J73005"/>
    </row>
    <row r="73006" spans="10:10" x14ac:dyDescent="0.3">
      <c r="J73006"/>
    </row>
    <row r="73007" spans="10:10" x14ac:dyDescent="0.3">
      <c r="J73007"/>
    </row>
    <row r="73008" spans="10:10" x14ac:dyDescent="0.3">
      <c r="J73008"/>
    </row>
    <row r="73009" spans="10:10" x14ac:dyDescent="0.3">
      <c r="J73009"/>
    </row>
    <row r="73010" spans="10:10" x14ac:dyDescent="0.3">
      <c r="J73010"/>
    </row>
    <row r="73011" spans="10:10" x14ac:dyDescent="0.3">
      <c r="J73011"/>
    </row>
    <row r="73012" spans="10:10" x14ac:dyDescent="0.3">
      <c r="J73012"/>
    </row>
    <row r="73013" spans="10:10" x14ac:dyDescent="0.3">
      <c r="J73013"/>
    </row>
    <row r="73014" spans="10:10" x14ac:dyDescent="0.3">
      <c r="J73014"/>
    </row>
    <row r="73015" spans="10:10" x14ac:dyDescent="0.3">
      <c r="J73015"/>
    </row>
    <row r="73016" spans="10:10" x14ac:dyDescent="0.3">
      <c r="J73016"/>
    </row>
    <row r="73017" spans="10:10" x14ac:dyDescent="0.3">
      <c r="J73017"/>
    </row>
    <row r="73018" spans="10:10" x14ac:dyDescent="0.3">
      <c r="J73018"/>
    </row>
    <row r="73019" spans="10:10" x14ac:dyDescent="0.3">
      <c r="J73019"/>
    </row>
    <row r="73020" spans="10:10" x14ac:dyDescent="0.3">
      <c r="J73020"/>
    </row>
    <row r="73021" spans="10:10" x14ac:dyDescent="0.3">
      <c r="J73021"/>
    </row>
    <row r="73022" spans="10:10" x14ac:dyDescent="0.3">
      <c r="J73022"/>
    </row>
    <row r="73023" spans="10:10" x14ac:dyDescent="0.3">
      <c r="J73023"/>
    </row>
    <row r="73024" spans="10:10" x14ac:dyDescent="0.3">
      <c r="J73024"/>
    </row>
    <row r="73025" spans="10:10" x14ac:dyDescent="0.3">
      <c r="J73025"/>
    </row>
    <row r="73026" spans="10:10" x14ac:dyDescent="0.3">
      <c r="J73026"/>
    </row>
    <row r="73027" spans="10:10" x14ac:dyDescent="0.3">
      <c r="J73027"/>
    </row>
    <row r="73028" spans="10:10" x14ac:dyDescent="0.3">
      <c r="J73028"/>
    </row>
    <row r="73029" spans="10:10" x14ac:dyDescent="0.3">
      <c r="J73029"/>
    </row>
    <row r="73030" spans="10:10" x14ac:dyDescent="0.3">
      <c r="J73030"/>
    </row>
    <row r="73031" spans="10:10" x14ac:dyDescent="0.3">
      <c r="J73031"/>
    </row>
    <row r="73032" spans="10:10" x14ac:dyDescent="0.3">
      <c r="J73032"/>
    </row>
    <row r="73033" spans="10:10" x14ac:dyDescent="0.3">
      <c r="J73033"/>
    </row>
    <row r="73034" spans="10:10" x14ac:dyDescent="0.3">
      <c r="J73034"/>
    </row>
    <row r="73035" spans="10:10" x14ac:dyDescent="0.3">
      <c r="J73035"/>
    </row>
    <row r="73036" spans="10:10" x14ac:dyDescent="0.3">
      <c r="J73036"/>
    </row>
    <row r="73037" spans="10:10" x14ac:dyDescent="0.3">
      <c r="J73037"/>
    </row>
    <row r="73038" spans="10:10" x14ac:dyDescent="0.3">
      <c r="J73038"/>
    </row>
    <row r="73039" spans="10:10" x14ac:dyDescent="0.3">
      <c r="J73039"/>
    </row>
    <row r="73040" spans="10:10" x14ac:dyDescent="0.3">
      <c r="J73040"/>
    </row>
    <row r="73041" spans="10:10" x14ac:dyDescent="0.3">
      <c r="J73041"/>
    </row>
    <row r="73042" spans="10:10" x14ac:dyDescent="0.3">
      <c r="J73042"/>
    </row>
    <row r="73043" spans="10:10" x14ac:dyDescent="0.3">
      <c r="J73043"/>
    </row>
    <row r="73044" spans="10:10" x14ac:dyDescent="0.3">
      <c r="J73044"/>
    </row>
    <row r="73045" spans="10:10" x14ac:dyDescent="0.3">
      <c r="J73045"/>
    </row>
    <row r="73046" spans="10:10" x14ac:dyDescent="0.3">
      <c r="J73046"/>
    </row>
    <row r="73047" spans="10:10" x14ac:dyDescent="0.3">
      <c r="J73047"/>
    </row>
    <row r="73048" spans="10:10" x14ac:dyDescent="0.3">
      <c r="J73048"/>
    </row>
    <row r="73049" spans="10:10" x14ac:dyDescent="0.3">
      <c r="J73049"/>
    </row>
    <row r="73050" spans="10:10" x14ac:dyDescent="0.3">
      <c r="J73050"/>
    </row>
    <row r="73051" spans="10:10" x14ac:dyDescent="0.3">
      <c r="J73051"/>
    </row>
    <row r="73052" spans="10:10" x14ac:dyDescent="0.3">
      <c r="J73052"/>
    </row>
    <row r="73053" spans="10:10" x14ac:dyDescent="0.3">
      <c r="J73053"/>
    </row>
    <row r="73054" spans="10:10" x14ac:dyDescent="0.3">
      <c r="J73054"/>
    </row>
    <row r="73055" spans="10:10" x14ac:dyDescent="0.3">
      <c r="J73055"/>
    </row>
    <row r="73056" spans="10:10" x14ac:dyDescent="0.3">
      <c r="J73056"/>
    </row>
    <row r="73057" spans="10:10" x14ac:dyDescent="0.3">
      <c r="J73057"/>
    </row>
    <row r="73058" spans="10:10" x14ac:dyDescent="0.3">
      <c r="J73058"/>
    </row>
    <row r="73059" spans="10:10" x14ac:dyDescent="0.3">
      <c r="J73059"/>
    </row>
    <row r="73060" spans="10:10" x14ac:dyDescent="0.3">
      <c r="J73060"/>
    </row>
    <row r="73061" spans="10:10" x14ac:dyDescent="0.3">
      <c r="J73061"/>
    </row>
    <row r="73062" spans="10:10" x14ac:dyDescent="0.3">
      <c r="J73062"/>
    </row>
    <row r="73063" spans="10:10" x14ac:dyDescent="0.3">
      <c r="J73063"/>
    </row>
    <row r="73064" spans="10:10" x14ac:dyDescent="0.3">
      <c r="J73064"/>
    </row>
    <row r="73065" spans="10:10" x14ac:dyDescent="0.3">
      <c r="J73065"/>
    </row>
    <row r="73066" spans="10:10" x14ac:dyDescent="0.3">
      <c r="J73066"/>
    </row>
    <row r="73067" spans="10:10" x14ac:dyDescent="0.3">
      <c r="J73067"/>
    </row>
    <row r="73068" spans="10:10" x14ac:dyDescent="0.3">
      <c r="J73068"/>
    </row>
    <row r="73069" spans="10:10" x14ac:dyDescent="0.3">
      <c r="J73069"/>
    </row>
    <row r="73070" spans="10:10" x14ac:dyDescent="0.3">
      <c r="J73070"/>
    </row>
    <row r="73071" spans="10:10" x14ac:dyDescent="0.3">
      <c r="J73071"/>
    </row>
    <row r="73072" spans="10:10" x14ac:dyDescent="0.3">
      <c r="J73072"/>
    </row>
    <row r="73073" spans="10:10" x14ac:dyDescent="0.3">
      <c r="J73073"/>
    </row>
    <row r="73074" spans="10:10" x14ac:dyDescent="0.3">
      <c r="J73074"/>
    </row>
    <row r="73075" spans="10:10" x14ac:dyDescent="0.3">
      <c r="J73075"/>
    </row>
    <row r="73076" spans="10:10" x14ac:dyDescent="0.3">
      <c r="J73076"/>
    </row>
    <row r="73077" spans="10:10" x14ac:dyDescent="0.3">
      <c r="J73077"/>
    </row>
    <row r="73078" spans="10:10" x14ac:dyDescent="0.3">
      <c r="J73078"/>
    </row>
    <row r="73079" spans="10:10" x14ac:dyDescent="0.3">
      <c r="J73079"/>
    </row>
    <row r="73080" spans="10:10" x14ac:dyDescent="0.3">
      <c r="J73080"/>
    </row>
    <row r="73081" spans="10:10" x14ac:dyDescent="0.3">
      <c r="J73081"/>
    </row>
    <row r="73082" spans="10:10" x14ac:dyDescent="0.3">
      <c r="J73082"/>
    </row>
    <row r="73083" spans="10:10" x14ac:dyDescent="0.3">
      <c r="J73083"/>
    </row>
    <row r="73084" spans="10:10" x14ac:dyDescent="0.3">
      <c r="J73084"/>
    </row>
    <row r="73085" spans="10:10" x14ac:dyDescent="0.3">
      <c r="J73085"/>
    </row>
    <row r="73086" spans="10:10" x14ac:dyDescent="0.3">
      <c r="J73086"/>
    </row>
    <row r="73087" spans="10:10" x14ac:dyDescent="0.3">
      <c r="J73087"/>
    </row>
    <row r="73088" spans="10:10" x14ac:dyDescent="0.3">
      <c r="J73088"/>
    </row>
    <row r="73089" spans="10:10" x14ac:dyDescent="0.3">
      <c r="J73089"/>
    </row>
    <row r="73090" spans="10:10" x14ac:dyDescent="0.3">
      <c r="J73090"/>
    </row>
    <row r="73091" spans="10:10" x14ac:dyDescent="0.3">
      <c r="J73091"/>
    </row>
    <row r="73092" spans="10:10" x14ac:dyDescent="0.3">
      <c r="J73092"/>
    </row>
    <row r="73093" spans="10:10" x14ac:dyDescent="0.3">
      <c r="J73093"/>
    </row>
    <row r="73094" spans="10:10" x14ac:dyDescent="0.3">
      <c r="J73094"/>
    </row>
    <row r="73095" spans="10:10" x14ac:dyDescent="0.3">
      <c r="J73095"/>
    </row>
    <row r="73096" spans="10:10" x14ac:dyDescent="0.3">
      <c r="J73096"/>
    </row>
    <row r="73097" spans="10:10" x14ac:dyDescent="0.3">
      <c r="J73097"/>
    </row>
    <row r="73098" spans="10:10" x14ac:dyDescent="0.3">
      <c r="J73098"/>
    </row>
    <row r="73099" spans="10:10" x14ac:dyDescent="0.3">
      <c r="J73099"/>
    </row>
    <row r="73100" spans="10:10" x14ac:dyDescent="0.3">
      <c r="J73100"/>
    </row>
    <row r="73101" spans="10:10" x14ac:dyDescent="0.3">
      <c r="J73101"/>
    </row>
    <row r="73102" spans="10:10" x14ac:dyDescent="0.3">
      <c r="J73102"/>
    </row>
    <row r="73103" spans="10:10" x14ac:dyDescent="0.3">
      <c r="J73103"/>
    </row>
    <row r="73104" spans="10:10" x14ac:dyDescent="0.3">
      <c r="J73104"/>
    </row>
    <row r="73105" spans="10:10" x14ac:dyDescent="0.3">
      <c r="J73105"/>
    </row>
    <row r="73106" spans="10:10" x14ac:dyDescent="0.3">
      <c r="J73106"/>
    </row>
    <row r="73107" spans="10:10" x14ac:dyDescent="0.3">
      <c r="J73107"/>
    </row>
    <row r="73108" spans="10:10" x14ac:dyDescent="0.3">
      <c r="J73108"/>
    </row>
    <row r="73109" spans="10:10" x14ac:dyDescent="0.3">
      <c r="J73109"/>
    </row>
    <row r="73110" spans="10:10" x14ac:dyDescent="0.3">
      <c r="J73110"/>
    </row>
    <row r="73111" spans="10:10" x14ac:dyDescent="0.3">
      <c r="J73111"/>
    </row>
    <row r="73112" spans="10:10" x14ac:dyDescent="0.3">
      <c r="J73112"/>
    </row>
    <row r="73113" spans="10:10" x14ac:dyDescent="0.3">
      <c r="J73113"/>
    </row>
    <row r="73114" spans="10:10" x14ac:dyDescent="0.3">
      <c r="J73114"/>
    </row>
    <row r="73115" spans="10:10" x14ac:dyDescent="0.3">
      <c r="J73115"/>
    </row>
    <row r="73116" spans="10:10" x14ac:dyDescent="0.3">
      <c r="J73116"/>
    </row>
    <row r="73117" spans="10:10" x14ac:dyDescent="0.3">
      <c r="J73117"/>
    </row>
    <row r="73118" spans="10:10" x14ac:dyDescent="0.3">
      <c r="J73118"/>
    </row>
    <row r="73119" spans="10:10" x14ac:dyDescent="0.3">
      <c r="J73119"/>
    </row>
    <row r="73120" spans="10:10" x14ac:dyDescent="0.3">
      <c r="J73120"/>
    </row>
    <row r="73121" spans="10:10" x14ac:dyDescent="0.3">
      <c r="J73121"/>
    </row>
    <row r="73122" spans="10:10" x14ac:dyDescent="0.3">
      <c r="J73122"/>
    </row>
    <row r="73123" spans="10:10" x14ac:dyDescent="0.3">
      <c r="J73123"/>
    </row>
    <row r="73124" spans="10:10" x14ac:dyDescent="0.3">
      <c r="J73124"/>
    </row>
    <row r="73125" spans="10:10" x14ac:dyDescent="0.3">
      <c r="J73125"/>
    </row>
    <row r="73126" spans="10:10" x14ac:dyDescent="0.3">
      <c r="J73126"/>
    </row>
    <row r="73127" spans="10:10" x14ac:dyDescent="0.3">
      <c r="J73127"/>
    </row>
    <row r="73128" spans="10:10" x14ac:dyDescent="0.3">
      <c r="J73128"/>
    </row>
    <row r="73129" spans="10:10" x14ac:dyDescent="0.3">
      <c r="J73129"/>
    </row>
    <row r="73130" spans="10:10" x14ac:dyDescent="0.3">
      <c r="J73130"/>
    </row>
    <row r="73131" spans="10:10" x14ac:dyDescent="0.3">
      <c r="J73131"/>
    </row>
    <row r="73132" spans="10:10" x14ac:dyDescent="0.3">
      <c r="J73132"/>
    </row>
    <row r="73133" spans="10:10" x14ac:dyDescent="0.3">
      <c r="J73133"/>
    </row>
    <row r="73134" spans="10:10" x14ac:dyDescent="0.3">
      <c r="J73134"/>
    </row>
    <row r="73135" spans="10:10" x14ac:dyDescent="0.3">
      <c r="J73135"/>
    </row>
    <row r="73136" spans="10:10" x14ac:dyDescent="0.3">
      <c r="J73136"/>
    </row>
    <row r="73137" spans="10:10" x14ac:dyDescent="0.3">
      <c r="J73137"/>
    </row>
    <row r="73138" spans="10:10" x14ac:dyDescent="0.3">
      <c r="J73138"/>
    </row>
    <row r="73139" spans="10:10" x14ac:dyDescent="0.3">
      <c r="J73139"/>
    </row>
    <row r="73140" spans="10:10" x14ac:dyDescent="0.3">
      <c r="J73140"/>
    </row>
    <row r="73141" spans="10:10" x14ac:dyDescent="0.3">
      <c r="J73141"/>
    </row>
    <row r="73142" spans="10:10" x14ac:dyDescent="0.3">
      <c r="J73142"/>
    </row>
    <row r="73143" spans="10:10" x14ac:dyDescent="0.3">
      <c r="J73143"/>
    </row>
    <row r="73144" spans="10:10" x14ac:dyDescent="0.3">
      <c r="J73144"/>
    </row>
    <row r="73145" spans="10:10" x14ac:dyDescent="0.3">
      <c r="J73145"/>
    </row>
    <row r="73146" spans="10:10" x14ac:dyDescent="0.3">
      <c r="J73146"/>
    </row>
    <row r="73147" spans="10:10" x14ac:dyDescent="0.3">
      <c r="J73147"/>
    </row>
    <row r="73148" spans="10:10" x14ac:dyDescent="0.3">
      <c r="J73148"/>
    </row>
    <row r="73149" spans="10:10" x14ac:dyDescent="0.3">
      <c r="J73149"/>
    </row>
    <row r="73150" spans="10:10" x14ac:dyDescent="0.3">
      <c r="J73150"/>
    </row>
    <row r="73151" spans="10:10" x14ac:dyDescent="0.3">
      <c r="J73151"/>
    </row>
    <row r="73152" spans="10:10" x14ac:dyDescent="0.3">
      <c r="J73152"/>
    </row>
    <row r="73153" spans="10:10" x14ac:dyDescent="0.3">
      <c r="J73153"/>
    </row>
    <row r="73154" spans="10:10" x14ac:dyDescent="0.3">
      <c r="J73154"/>
    </row>
    <row r="73155" spans="10:10" x14ac:dyDescent="0.3">
      <c r="J73155"/>
    </row>
    <row r="73156" spans="10:10" x14ac:dyDescent="0.3">
      <c r="J73156"/>
    </row>
    <row r="73157" spans="10:10" x14ac:dyDescent="0.3">
      <c r="J73157"/>
    </row>
    <row r="73158" spans="10:10" x14ac:dyDescent="0.3">
      <c r="J73158"/>
    </row>
    <row r="73159" spans="10:10" x14ac:dyDescent="0.3">
      <c r="J73159"/>
    </row>
    <row r="73160" spans="10:10" x14ac:dyDescent="0.3">
      <c r="J73160"/>
    </row>
    <row r="73161" spans="10:10" x14ac:dyDescent="0.3">
      <c r="J73161"/>
    </row>
    <row r="73162" spans="10:10" x14ac:dyDescent="0.3">
      <c r="J73162"/>
    </row>
    <row r="73163" spans="10:10" x14ac:dyDescent="0.3">
      <c r="J73163"/>
    </row>
    <row r="73164" spans="10:10" x14ac:dyDescent="0.3">
      <c r="J73164"/>
    </row>
    <row r="73165" spans="10:10" x14ac:dyDescent="0.3">
      <c r="J73165"/>
    </row>
    <row r="73166" spans="10:10" x14ac:dyDescent="0.3">
      <c r="J73166"/>
    </row>
    <row r="73167" spans="10:10" x14ac:dyDescent="0.3">
      <c r="J73167"/>
    </row>
    <row r="73168" spans="10:10" x14ac:dyDescent="0.3">
      <c r="J73168"/>
    </row>
    <row r="73169" spans="10:10" x14ac:dyDescent="0.3">
      <c r="J73169"/>
    </row>
    <row r="73170" spans="10:10" x14ac:dyDescent="0.3">
      <c r="J73170"/>
    </row>
    <row r="73171" spans="10:10" x14ac:dyDescent="0.3">
      <c r="J73171"/>
    </row>
    <row r="73172" spans="10:10" x14ac:dyDescent="0.3">
      <c r="J73172"/>
    </row>
    <row r="73173" spans="10:10" x14ac:dyDescent="0.3">
      <c r="J73173"/>
    </row>
    <row r="73174" spans="10:10" x14ac:dyDescent="0.3">
      <c r="J73174"/>
    </row>
    <row r="73175" spans="10:10" x14ac:dyDescent="0.3">
      <c r="J73175"/>
    </row>
    <row r="73176" spans="10:10" x14ac:dyDescent="0.3">
      <c r="J73176"/>
    </row>
    <row r="73177" spans="10:10" x14ac:dyDescent="0.3">
      <c r="J73177"/>
    </row>
    <row r="73178" spans="10:10" x14ac:dyDescent="0.3">
      <c r="J73178"/>
    </row>
    <row r="73179" spans="10:10" x14ac:dyDescent="0.3">
      <c r="J73179"/>
    </row>
    <row r="73180" spans="10:10" x14ac:dyDescent="0.3">
      <c r="J73180"/>
    </row>
    <row r="73181" spans="10:10" x14ac:dyDescent="0.3">
      <c r="J73181"/>
    </row>
    <row r="73182" spans="10:10" x14ac:dyDescent="0.3">
      <c r="J73182"/>
    </row>
    <row r="73183" spans="10:10" x14ac:dyDescent="0.3">
      <c r="J73183"/>
    </row>
    <row r="73184" spans="10:10" x14ac:dyDescent="0.3">
      <c r="J73184"/>
    </row>
    <row r="73185" spans="10:10" x14ac:dyDescent="0.3">
      <c r="J73185"/>
    </row>
    <row r="73186" spans="10:10" x14ac:dyDescent="0.3">
      <c r="J73186"/>
    </row>
    <row r="73187" spans="10:10" x14ac:dyDescent="0.3">
      <c r="J73187"/>
    </row>
    <row r="73188" spans="10:10" x14ac:dyDescent="0.3">
      <c r="J73188"/>
    </row>
    <row r="73189" spans="10:10" x14ac:dyDescent="0.3">
      <c r="J73189"/>
    </row>
    <row r="73190" spans="10:10" x14ac:dyDescent="0.3">
      <c r="J73190"/>
    </row>
    <row r="73191" spans="10:10" x14ac:dyDescent="0.3">
      <c r="J73191"/>
    </row>
    <row r="73192" spans="10:10" x14ac:dyDescent="0.3">
      <c r="J73192"/>
    </row>
    <row r="73193" spans="10:10" x14ac:dyDescent="0.3">
      <c r="J73193"/>
    </row>
    <row r="73194" spans="10:10" x14ac:dyDescent="0.3">
      <c r="J73194"/>
    </row>
    <row r="73195" spans="10:10" x14ac:dyDescent="0.3">
      <c r="J73195"/>
    </row>
    <row r="73196" spans="10:10" x14ac:dyDescent="0.3">
      <c r="J73196"/>
    </row>
    <row r="73197" spans="10:10" x14ac:dyDescent="0.3">
      <c r="J73197"/>
    </row>
    <row r="73198" spans="10:10" x14ac:dyDescent="0.3">
      <c r="J73198"/>
    </row>
    <row r="73199" spans="10:10" x14ac:dyDescent="0.3">
      <c r="J73199"/>
    </row>
    <row r="73200" spans="10:10" x14ac:dyDescent="0.3">
      <c r="J73200"/>
    </row>
    <row r="73201" spans="10:10" x14ac:dyDescent="0.3">
      <c r="J73201"/>
    </row>
    <row r="73202" spans="10:10" x14ac:dyDescent="0.3">
      <c r="J73202"/>
    </row>
    <row r="73203" spans="10:10" x14ac:dyDescent="0.3">
      <c r="J73203"/>
    </row>
    <row r="73204" spans="10:10" x14ac:dyDescent="0.3">
      <c r="J73204"/>
    </row>
    <row r="73205" spans="10:10" x14ac:dyDescent="0.3">
      <c r="J73205"/>
    </row>
    <row r="73206" spans="10:10" x14ac:dyDescent="0.3">
      <c r="J73206"/>
    </row>
    <row r="73207" spans="10:10" x14ac:dyDescent="0.3">
      <c r="J73207"/>
    </row>
    <row r="73208" spans="10:10" x14ac:dyDescent="0.3">
      <c r="J73208"/>
    </row>
    <row r="73209" spans="10:10" x14ac:dyDescent="0.3">
      <c r="J73209"/>
    </row>
    <row r="73210" spans="10:10" x14ac:dyDescent="0.3">
      <c r="J73210"/>
    </row>
    <row r="73211" spans="10:10" x14ac:dyDescent="0.3">
      <c r="J73211"/>
    </row>
    <row r="73212" spans="10:10" x14ac:dyDescent="0.3">
      <c r="J73212"/>
    </row>
    <row r="73213" spans="10:10" x14ac:dyDescent="0.3">
      <c r="J73213"/>
    </row>
    <row r="73214" spans="10:10" x14ac:dyDescent="0.3">
      <c r="J73214"/>
    </row>
    <row r="73215" spans="10:10" x14ac:dyDescent="0.3">
      <c r="J73215"/>
    </row>
    <row r="73216" spans="10:10" x14ac:dyDescent="0.3">
      <c r="J73216"/>
    </row>
    <row r="73217" spans="10:10" x14ac:dyDescent="0.3">
      <c r="J73217"/>
    </row>
    <row r="73218" spans="10:10" x14ac:dyDescent="0.3">
      <c r="J73218"/>
    </row>
    <row r="73219" spans="10:10" x14ac:dyDescent="0.3">
      <c r="J73219"/>
    </row>
    <row r="73220" spans="10:10" x14ac:dyDescent="0.3">
      <c r="J73220"/>
    </row>
    <row r="73221" spans="10:10" x14ac:dyDescent="0.3">
      <c r="J73221"/>
    </row>
    <row r="73222" spans="10:10" x14ac:dyDescent="0.3">
      <c r="J73222"/>
    </row>
    <row r="73223" spans="10:10" x14ac:dyDescent="0.3">
      <c r="J73223"/>
    </row>
    <row r="73224" spans="10:10" x14ac:dyDescent="0.3">
      <c r="J73224"/>
    </row>
    <row r="73225" spans="10:10" x14ac:dyDescent="0.3">
      <c r="J73225"/>
    </row>
    <row r="73226" spans="10:10" x14ac:dyDescent="0.3">
      <c r="J73226"/>
    </row>
    <row r="73227" spans="10:10" x14ac:dyDescent="0.3">
      <c r="J73227"/>
    </row>
    <row r="73228" spans="10:10" x14ac:dyDescent="0.3">
      <c r="J73228"/>
    </row>
    <row r="73229" spans="10:10" x14ac:dyDescent="0.3">
      <c r="J73229"/>
    </row>
    <row r="73230" spans="10:10" x14ac:dyDescent="0.3">
      <c r="J73230"/>
    </row>
    <row r="73231" spans="10:10" x14ac:dyDescent="0.3">
      <c r="J73231"/>
    </row>
    <row r="73232" spans="10:10" x14ac:dyDescent="0.3">
      <c r="J73232"/>
    </row>
    <row r="73233" spans="10:10" x14ac:dyDescent="0.3">
      <c r="J73233"/>
    </row>
    <row r="73234" spans="10:10" x14ac:dyDescent="0.3">
      <c r="J73234"/>
    </row>
    <row r="73235" spans="10:10" x14ac:dyDescent="0.3">
      <c r="J73235"/>
    </row>
    <row r="73236" spans="10:10" x14ac:dyDescent="0.3">
      <c r="J73236"/>
    </row>
    <row r="73237" spans="10:10" x14ac:dyDescent="0.3">
      <c r="J73237"/>
    </row>
    <row r="73238" spans="10:10" x14ac:dyDescent="0.3">
      <c r="J73238"/>
    </row>
    <row r="73239" spans="10:10" x14ac:dyDescent="0.3">
      <c r="J73239"/>
    </row>
    <row r="73240" spans="10:10" x14ac:dyDescent="0.3">
      <c r="J73240"/>
    </row>
    <row r="73241" spans="10:10" x14ac:dyDescent="0.3">
      <c r="J73241"/>
    </row>
    <row r="73242" spans="10:10" x14ac:dyDescent="0.3">
      <c r="J73242"/>
    </row>
    <row r="73243" spans="10:10" x14ac:dyDescent="0.3">
      <c r="J73243"/>
    </row>
    <row r="73244" spans="10:10" x14ac:dyDescent="0.3">
      <c r="J73244"/>
    </row>
    <row r="73245" spans="10:10" x14ac:dyDescent="0.3">
      <c r="J73245"/>
    </row>
    <row r="73246" spans="10:10" x14ac:dyDescent="0.3">
      <c r="J73246"/>
    </row>
    <row r="73247" spans="10:10" x14ac:dyDescent="0.3">
      <c r="J73247"/>
    </row>
    <row r="73248" spans="10:10" x14ac:dyDescent="0.3">
      <c r="J73248"/>
    </row>
    <row r="73249" spans="10:10" x14ac:dyDescent="0.3">
      <c r="J73249"/>
    </row>
    <row r="73250" spans="10:10" x14ac:dyDescent="0.3">
      <c r="J73250"/>
    </row>
    <row r="73251" spans="10:10" x14ac:dyDescent="0.3">
      <c r="J73251"/>
    </row>
    <row r="73252" spans="10:10" x14ac:dyDescent="0.3">
      <c r="J73252"/>
    </row>
    <row r="73253" spans="10:10" x14ac:dyDescent="0.3">
      <c r="J73253"/>
    </row>
    <row r="73254" spans="10:10" x14ac:dyDescent="0.3">
      <c r="J73254"/>
    </row>
    <row r="73255" spans="10:10" x14ac:dyDescent="0.3">
      <c r="J73255"/>
    </row>
    <row r="73256" spans="10:10" x14ac:dyDescent="0.3">
      <c r="J73256"/>
    </row>
    <row r="73257" spans="10:10" x14ac:dyDescent="0.3">
      <c r="J73257"/>
    </row>
    <row r="73258" spans="10:10" x14ac:dyDescent="0.3">
      <c r="J73258"/>
    </row>
    <row r="73259" spans="10:10" x14ac:dyDescent="0.3">
      <c r="J73259"/>
    </row>
    <row r="73260" spans="10:10" x14ac:dyDescent="0.3">
      <c r="J73260"/>
    </row>
    <row r="73261" spans="10:10" x14ac:dyDescent="0.3">
      <c r="J73261"/>
    </row>
    <row r="73262" spans="10:10" x14ac:dyDescent="0.3">
      <c r="J73262"/>
    </row>
    <row r="73263" spans="10:10" x14ac:dyDescent="0.3">
      <c r="J73263"/>
    </row>
    <row r="73264" spans="10:10" x14ac:dyDescent="0.3">
      <c r="J73264"/>
    </row>
    <row r="73265" spans="10:10" x14ac:dyDescent="0.3">
      <c r="J73265"/>
    </row>
    <row r="73266" spans="10:10" x14ac:dyDescent="0.3">
      <c r="J73266"/>
    </row>
    <row r="73267" spans="10:10" x14ac:dyDescent="0.3">
      <c r="J73267"/>
    </row>
    <row r="73268" spans="10:10" x14ac:dyDescent="0.3">
      <c r="J73268"/>
    </row>
    <row r="73269" spans="10:10" x14ac:dyDescent="0.3">
      <c r="J73269"/>
    </row>
    <row r="73270" spans="10:10" x14ac:dyDescent="0.3">
      <c r="J73270"/>
    </row>
    <row r="73271" spans="10:10" x14ac:dyDescent="0.3">
      <c r="J73271"/>
    </row>
    <row r="73272" spans="10:10" x14ac:dyDescent="0.3">
      <c r="J73272"/>
    </row>
    <row r="73273" spans="10:10" x14ac:dyDescent="0.3">
      <c r="J73273"/>
    </row>
    <row r="73274" spans="10:10" x14ac:dyDescent="0.3">
      <c r="J73274"/>
    </row>
    <row r="73275" spans="10:10" x14ac:dyDescent="0.3">
      <c r="J73275"/>
    </row>
    <row r="73276" spans="10:10" x14ac:dyDescent="0.3">
      <c r="J73276"/>
    </row>
    <row r="73277" spans="10:10" x14ac:dyDescent="0.3">
      <c r="J73277"/>
    </row>
    <row r="73278" spans="10:10" x14ac:dyDescent="0.3">
      <c r="J73278"/>
    </row>
    <row r="73279" spans="10:10" x14ac:dyDescent="0.3">
      <c r="J73279"/>
    </row>
    <row r="73280" spans="10:10" x14ac:dyDescent="0.3">
      <c r="J73280"/>
    </row>
    <row r="73281" spans="10:10" x14ac:dyDescent="0.3">
      <c r="J73281"/>
    </row>
    <row r="73282" spans="10:10" x14ac:dyDescent="0.3">
      <c r="J73282"/>
    </row>
    <row r="73283" spans="10:10" x14ac:dyDescent="0.3">
      <c r="J73283"/>
    </row>
    <row r="73284" spans="10:10" x14ac:dyDescent="0.3">
      <c r="J73284"/>
    </row>
    <row r="73285" spans="10:10" x14ac:dyDescent="0.3">
      <c r="J73285"/>
    </row>
    <row r="73286" spans="10:10" x14ac:dyDescent="0.3">
      <c r="J73286"/>
    </row>
    <row r="73287" spans="10:10" x14ac:dyDescent="0.3">
      <c r="J73287"/>
    </row>
    <row r="73288" spans="10:10" x14ac:dyDescent="0.3">
      <c r="J73288"/>
    </row>
    <row r="73289" spans="10:10" x14ac:dyDescent="0.3">
      <c r="J73289"/>
    </row>
    <row r="73290" spans="10:10" x14ac:dyDescent="0.3">
      <c r="J73290"/>
    </row>
    <row r="73291" spans="10:10" x14ac:dyDescent="0.3">
      <c r="J73291"/>
    </row>
    <row r="73292" spans="10:10" x14ac:dyDescent="0.3">
      <c r="J73292"/>
    </row>
    <row r="73293" spans="10:10" x14ac:dyDescent="0.3">
      <c r="J73293"/>
    </row>
    <row r="73294" spans="10:10" x14ac:dyDescent="0.3">
      <c r="J73294"/>
    </row>
    <row r="73295" spans="10:10" x14ac:dyDescent="0.3">
      <c r="J73295"/>
    </row>
    <row r="73296" spans="10:10" x14ac:dyDescent="0.3">
      <c r="J73296"/>
    </row>
    <row r="73297" spans="10:10" x14ac:dyDescent="0.3">
      <c r="J73297"/>
    </row>
    <row r="73298" spans="10:10" x14ac:dyDescent="0.3">
      <c r="J73298"/>
    </row>
    <row r="73299" spans="10:10" x14ac:dyDescent="0.3">
      <c r="J73299"/>
    </row>
    <row r="73300" spans="10:10" x14ac:dyDescent="0.3">
      <c r="J73300"/>
    </row>
    <row r="73301" spans="10:10" x14ac:dyDescent="0.3">
      <c r="J73301"/>
    </row>
    <row r="73302" spans="10:10" x14ac:dyDescent="0.3">
      <c r="J73302"/>
    </row>
    <row r="73303" spans="10:10" x14ac:dyDescent="0.3">
      <c r="J73303"/>
    </row>
    <row r="73304" spans="10:10" x14ac:dyDescent="0.3">
      <c r="J73304"/>
    </row>
    <row r="73305" spans="10:10" x14ac:dyDescent="0.3">
      <c r="J73305"/>
    </row>
    <row r="73306" spans="10:10" x14ac:dyDescent="0.3">
      <c r="J73306"/>
    </row>
    <row r="73307" spans="10:10" x14ac:dyDescent="0.3">
      <c r="J73307"/>
    </row>
    <row r="73308" spans="10:10" x14ac:dyDescent="0.3">
      <c r="J73308"/>
    </row>
    <row r="73309" spans="10:10" x14ac:dyDescent="0.3">
      <c r="J73309"/>
    </row>
    <row r="73310" spans="10:10" x14ac:dyDescent="0.3">
      <c r="J73310"/>
    </row>
    <row r="73311" spans="10:10" x14ac:dyDescent="0.3">
      <c r="J73311"/>
    </row>
    <row r="73312" spans="10:10" x14ac:dyDescent="0.3">
      <c r="J73312"/>
    </row>
    <row r="73313" spans="10:10" x14ac:dyDescent="0.3">
      <c r="J73313"/>
    </row>
    <row r="73314" spans="10:10" x14ac:dyDescent="0.3">
      <c r="J73314"/>
    </row>
    <row r="73315" spans="10:10" x14ac:dyDescent="0.3">
      <c r="J73315"/>
    </row>
    <row r="73316" spans="10:10" x14ac:dyDescent="0.3">
      <c r="J73316"/>
    </row>
    <row r="73317" spans="10:10" x14ac:dyDescent="0.3">
      <c r="J73317"/>
    </row>
    <row r="73318" spans="10:10" x14ac:dyDescent="0.3">
      <c r="J73318"/>
    </row>
    <row r="73319" spans="10:10" x14ac:dyDescent="0.3">
      <c r="J73319"/>
    </row>
    <row r="73320" spans="10:10" x14ac:dyDescent="0.3">
      <c r="J73320"/>
    </row>
    <row r="73321" spans="10:10" x14ac:dyDescent="0.3">
      <c r="J73321"/>
    </row>
    <row r="73322" spans="10:10" x14ac:dyDescent="0.3">
      <c r="J73322"/>
    </row>
    <row r="73323" spans="10:10" x14ac:dyDescent="0.3">
      <c r="J73323"/>
    </row>
    <row r="73324" spans="10:10" x14ac:dyDescent="0.3">
      <c r="J73324"/>
    </row>
    <row r="73325" spans="10:10" x14ac:dyDescent="0.3">
      <c r="J73325"/>
    </row>
    <row r="73326" spans="10:10" x14ac:dyDescent="0.3">
      <c r="J73326"/>
    </row>
    <row r="73327" spans="10:10" x14ac:dyDescent="0.3">
      <c r="J73327"/>
    </row>
    <row r="73328" spans="10:10" x14ac:dyDescent="0.3">
      <c r="J73328"/>
    </row>
    <row r="73329" spans="10:10" x14ac:dyDescent="0.3">
      <c r="J73329"/>
    </row>
    <row r="73330" spans="10:10" x14ac:dyDescent="0.3">
      <c r="J73330"/>
    </row>
    <row r="73331" spans="10:10" x14ac:dyDescent="0.3">
      <c r="J73331"/>
    </row>
    <row r="73332" spans="10:10" x14ac:dyDescent="0.3">
      <c r="J73332"/>
    </row>
    <row r="73333" spans="10:10" x14ac:dyDescent="0.3">
      <c r="J73333"/>
    </row>
    <row r="73334" spans="10:10" x14ac:dyDescent="0.3">
      <c r="J73334"/>
    </row>
    <row r="73335" spans="10:10" x14ac:dyDescent="0.3">
      <c r="J73335"/>
    </row>
    <row r="73336" spans="10:10" x14ac:dyDescent="0.3">
      <c r="J73336"/>
    </row>
    <row r="73337" spans="10:10" x14ac:dyDescent="0.3">
      <c r="J73337"/>
    </row>
    <row r="73338" spans="10:10" x14ac:dyDescent="0.3">
      <c r="J73338"/>
    </row>
    <row r="73339" spans="10:10" x14ac:dyDescent="0.3">
      <c r="J73339"/>
    </row>
    <row r="73340" spans="10:10" x14ac:dyDescent="0.3">
      <c r="J73340"/>
    </row>
    <row r="73341" spans="10:10" x14ac:dyDescent="0.3">
      <c r="J73341"/>
    </row>
    <row r="73342" spans="10:10" x14ac:dyDescent="0.3">
      <c r="J73342"/>
    </row>
    <row r="73343" spans="10:10" x14ac:dyDescent="0.3">
      <c r="J73343"/>
    </row>
    <row r="73344" spans="10:10" x14ac:dyDescent="0.3">
      <c r="J73344"/>
    </row>
    <row r="73345" spans="10:10" x14ac:dyDescent="0.3">
      <c r="J73345"/>
    </row>
    <row r="73346" spans="10:10" x14ac:dyDescent="0.3">
      <c r="J73346"/>
    </row>
    <row r="73347" spans="10:10" x14ac:dyDescent="0.3">
      <c r="J73347"/>
    </row>
    <row r="73348" spans="10:10" x14ac:dyDescent="0.3">
      <c r="J73348"/>
    </row>
    <row r="73349" spans="10:10" x14ac:dyDescent="0.3">
      <c r="J73349"/>
    </row>
    <row r="73350" spans="10:10" x14ac:dyDescent="0.3">
      <c r="J73350"/>
    </row>
    <row r="73351" spans="10:10" x14ac:dyDescent="0.3">
      <c r="J73351"/>
    </row>
    <row r="73352" spans="10:10" x14ac:dyDescent="0.3">
      <c r="J73352"/>
    </row>
    <row r="73353" spans="10:10" x14ac:dyDescent="0.3">
      <c r="J73353"/>
    </row>
    <row r="73354" spans="10:10" x14ac:dyDescent="0.3">
      <c r="J73354"/>
    </row>
    <row r="73355" spans="10:10" x14ac:dyDescent="0.3">
      <c r="J73355"/>
    </row>
    <row r="73356" spans="10:10" x14ac:dyDescent="0.3">
      <c r="J73356"/>
    </row>
    <row r="73357" spans="10:10" x14ac:dyDescent="0.3">
      <c r="J73357"/>
    </row>
    <row r="73358" spans="10:10" x14ac:dyDescent="0.3">
      <c r="J73358"/>
    </row>
    <row r="73359" spans="10:10" x14ac:dyDescent="0.3">
      <c r="J73359"/>
    </row>
    <row r="73360" spans="10:10" x14ac:dyDescent="0.3">
      <c r="J73360"/>
    </row>
    <row r="73361" spans="10:10" x14ac:dyDescent="0.3">
      <c r="J73361"/>
    </row>
    <row r="73362" spans="10:10" x14ac:dyDescent="0.3">
      <c r="J73362"/>
    </row>
    <row r="73363" spans="10:10" x14ac:dyDescent="0.3">
      <c r="J73363"/>
    </row>
    <row r="73364" spans="10:10" x14ac:dyDescent="0.3">
      <c r="J73364"/>
    </row>
    <row r="73365" spans="10:10" x14ac:dyDescent="0.3">
      <c r="J73365"/>
    </row>
    <row r="73366" spans="10:10" x14ac:dyDescent="0.3">
      <c r="J73366"/>
    </row>
    <row r="73367" spans="10:10" x14ac:dyDescent="0.3">
      <c r="J73367"/>
    </row>
    <row r="73368" spans="10:10" x14ac:dyDescent="0.3">
      <c r="J73368"/>
    </row>
    <row r="73369" spans="10:10" x14ac:dyDescent="0.3">
      <c r="J73369"/>
    </row>
    <row r="73370" spans="10:10" x14ac:dyDescent="0.3">
      <c r="J73370"/>
    </row>
    <row r="73371" spans="10:10" x14ac:dyDescent="0.3">
      <c r="J73371"/>
    </row>
    <row r="73372" spans="10:10" x14ac:dyDescent="0.3">
      <c r="J73372"/>
    </row>
    <row r="73373" spans="10:10" x14ac:dyDescent="0.3">
      <c r="J73373"/>
    </row>
    <row r="73374" spans="10:10" x14ac:dyDescent="0.3">
      <c r="J73374"/>
    </row>
    <row r="73375" spans="10:10" x14ac:dyDescent="0.3">
      <c r="J73375"/>
    </row>
    <row r="73376" spans="10:10" x14ac:dyDescent="0.3">
      <c r="J73376"/>
    </row>
    <row r="73377" spans="10:10" x14ac:dyDescent="0.3">
      <c r="J73377"/>
    </row>
    <row r="73378" spans="10:10" x14ac:dyDescent="0.3">
      <c r="J73378"/>
    </row>
    <row r="73379" spans="10:10" x14ac:dyDescent="0.3">
      <c r="J73379"/>
    </row>
    <row r="73380" spans="10:10" x14ac:dyDescent="0.3">
      <c r="J73380"/>
    </row>
    <row r="73381" spans="10:10" x14ac:dyDescent="0.3">
      <c r="J73381"/>
    </row>
    <row r="73382" spans="10:10" x14ac:dyDescent="0.3">
      <c r="J73382"/>
    </row>
    <row r="73383" spans="10:10" x14ac:dyDescent="0.3">
      <c r="J73383"/>
    </row>
    <row r="73384" spans="10:10" x14ac:dyDescent="0.3">
      <c r="J73384"/>
    </row>
    <row r="73385" spans="10:10" x14ac:dyDescent="0.3">
      <c r="J73385"/>
    </row>
    <row r="73386" spans="10:10" x14ac:dyDescent="0.3">
      <c r="J73386"/>
    </row>
    <row r="73387" spans="10:10" x14ac:dyDescent="0.3">
      <c r="J73387"/>
    </row>
    <row r="73388" spans="10:10" x14ac:dyDescent="0.3">
      <c r="J73388"/>
    </row>
    <row r="73389" spans="10:10" x14ac:dyDescent="0.3">
      <c r="J73389"/>
    </row>
    <row r="73390" spans="10:10" x14ac:dyDescent="0.3">
      <c r="J73390"/>
    </row>
    <row r="73391" spans="10:10" x14ac:dyDescent="0.3">
      <c r="J73391"/>
    </row>
    <row r="73392" spans="10:10" x14ac:dyDescent="0.3">
      <c r="J73392"/>
    </row>
    <row r="73393" spans="10:10" x14ac:dyDescent="0.3">
      <c r="J73393"/>
    </row>
    <row r="73394" spans="10:10" x14ac:dyDescent="0.3">
      <c r="J73394"/>
    </row>
    <row r="73395" spans="10:10" x14ac:dyDescent="0.3">
      <c r="J73395"/>
    </row>
    <row r="73396" spans="10:10" x14ac:dyDescent="0.3">
      <c r="J73396"/>
    </row>
    <row r="73397" spans="10:10" x14ac:dyDescent="0.3">
      <c r="J73397"/>
    </row>
    <row r="73398" spans="10:10" x14ac:dyDescent="0.3">
      <c r="J73398"/>
    </row>
    <row r="73399" spans="10:10" x14ac:dyDescent="0.3">
      <c r="J73399"/>
    </row>
    <row r="73400" spans="10:10" x14ac:dyDescent="0.3">
      <c r="J73400"/>
    </row>
    <row r="73401" spans="10:10" x14ac:dyDescent="0.3">
      <c r="J73401"/>
    </row>
    <row r="73402" spans="10:10" x14ac:dyDescent="0.3">
      <c r="J73402"/>
    </row>
    <row r="73403" spans="10:10" x14ac:dyDescent="0.3">
      <c r="J73403"/>
    </row>
    <row r="73404" spans="10:10" x14ac:dyDescent="0.3">
      <c r="J73404"/>
    </row>
    <row r="73405" spans="10:10" x14ac:dyDescent="0.3">
      <c r="J73405"/>
    </row>
    <row r="73406" spans="10:10" x14ac:dyDescent="0.3">
      <c r="J73406"/>
    </row>
    <row r="73407" spans="10:10" x14ac:dyDescent="0.3">
      <c r="J73407"/>
    </row>
    <row r="73408" spans="10:10" x14ac:dyDescent="0.3">
      <c r="J73408"/>
    </row>
    <row r="73409" spans="10:10" x14ac:dyDescent="0.3">
      <c r="J73409"/>
    </row>
    <row r="73410" spans="10:10" x14ac:dyDescent="0.3">
      <c r="J73410"/>
    </row>
    <row r="73411" spans="10:10" x14ac:dyDescent="0.3">
      <c r="J73411"/>
    </row>
    <row r="73412" spans="10:10" x14ac:dyDescent="0.3">
      <c r="J73412"/>
    </row>
    <row r="73413" spans="10:10" x14ac:dyDescent="0.3">
      <c r="J73413"/>
    </row>
    <row r="73414" spans="10:10" x14ac:dyDescent="0.3">
      <c r="J73414"/>
    </row>
    <row r="73415" spans="10:10" x14ac:dyDescent="0.3">
      <c r="J73415"/>
    </row>
    <row r="73416" spans="10:10" x14ac:dyDescent="0.3">
      <c r="J73416"/>
    </row>
    <row r="73417" spans="10:10" x14ac:dyDescent="0.3">
      <c r="J73417"/>
    </row>
    <row r="73418" spans="10:10" x14ac:dyDescent="0.3">
      <c r="J73418"/>
    </row>
    <row r="73419" spans="10:10" x14ac:dyDescent="0.3">
      <c r="J73419"/>
    </row>
    <row r="73420" spans="10:10" x14ac:dyDescent="0.3">
      <c r="J73420"/>
    </row>
    <row r="73421" spans="10:10" x14ac:dyDescent="0.3">
      <c r="J73421"/>
    </row>
    <row r="73422" spans="10:10" x14ac:dyDescent="0.3">
      <c r="J73422"/>
    </row>
    <row r="73423" spans="10:10" x14ac:dyDescent="0.3">
      <c r="J73423"/>
    </row>
    <row r="73424" spans="10:10" x14ac:dyDescent="0.3">
      <c r="J73424"/>
    </row>
    <row r="73425" spans="10:10" x14ac:dyDescent="0.3">
      <c r="J73425"/>
    </row>
    <row r="73426" spans="10:10" x14ac:dyDescent="0.3">
      <c r="J73426"/>
    </row>
    <row r="73427" spans="10:10" x14ac:dyDescent="0.3">
      <c r="J73427"/>
    </row>
    <row r="73428" spans="10:10" x14ac:dyDescent="0.3">
      <c r="J73428"/>
    </row>
    <row r="73429" spans="10:10" x14ac:dyDescent="0.3">
      <c r="J73429"/>
    </row>
    <row r="73430" spans="10:10" x14ac:dyDescent="0.3">
      <c r="J73430"/>
    </row>
    <row r="73431" spans="10:10" x14ac:dyDescent="0.3">
      <c r="J73431"/>
    </row>
    <row r="73432" spans="10:10" x14ac:dyDescent="0.3">
      <c r="J73432"/>
    </row>
    <row r="73433" spans="10:10" x14ac:dyDescent="0.3">
      <c r="J73433"/>
    </row>
    <row r="73434" spans="10:10" x14ac:dyDescent="0.3">
      <c r="J73434"/>
    </row>
    <row r="73435" spans="10:10" x14ac:dyDescent="0.3">
      <c r="J73435"/>
    </row>
    <row r="73436" spans="10:10" x14ac:dyDescent="0.3">
      <c r="J73436"/>
    </row>
    <row r="73437" spans="10:10" x14ac:dyDescent="0.3">
      <c r="J73437"/>
    </row>
    <row r="73438" spans="10:10" x14ac:dyDescent="0.3">
      <c r="J73438"/>
    </row>
    <row r="73439" spans="10:10" x14ac:dyDescent="0.3">
      <c r="J73439"/>
    </row>
    <row r="73440" spans="10:10" x14ac:dyDescent="0.3">
      <c r="J73440"/>
    </row>
    <row r="73441" spans="10:10" x14ac:dyDescent="0.3">
      <c r="J73441"/>
    </row>
    <row r="73442" spans="10:10" x14ac:dyDescent="0.3">
      <c r="J73442"/>
    </row>
    <row r="73443" spans="10:10" x14ac:dyDescent="0.3">
      <c r="J73443"/>
    </row>
    <row r="73444" spans="10:10" x14ac:dyDescent="0.3">
      <c r="J73444"/>
    </row>
    <row r="73445" spans="10:10" x14ac:dyDescent="0.3">
      <c r="J73445"/>
    </row>
    <row r="73446" spans="10:10" x14ac:dyDescent="0.3">
      <c r="J73446"/>
    </row>
    <row r="73447" spans="10:10" x14ac:dyDescent="0.3">
      <c r="J73447"/>
    </row>
    <row r="73448" spans="10:10" x14ac:dyDescent="0.3">
      <c r="J73448"/>
    </row>
    <row r="73449" spans="10:10" x14ac:dyDescent="0.3">
      <c r="J73449"/>
    </row>
    <row r="73450" spans="10:10" x14ac:dyDescent="0.3">
      <c r="J73450"/>
    </row>
    <row r="73451" spans="10:10" x14ac:dyDescent="0.3">
      <c r="J73451"/>
    </row>
    <row r="73452" spans="10:10" x14ac:dyDescent="0.3">
      <c r="J73452"/>
    </row>
    <row r="73453" spans="10:10" x14ac:dyDescent="0.3">
      <c r="J73453"/>
    </row>
    <row r="73454" spans="10:10" x14ac:dyDescent="0.3">
      <c r="J73454"/>
    </row>
    <row r="73455" spans="10:10" x14ac:dyDescent="0.3">
      <c r="J73455"/>
    </row>
    <row r="73456" spans="10:10" x14ac:dyDescent="0.3">
      <c r="J73456"/>
    </row>
    <row r="73457" spans="10:10" x14ac:dyDescent="0.3">
      <c r="J73457"/>
    </row>
    <row r="73458" spans="10:10" x14ac:dyDescent="0.3">
      <c r="J73458"/>
    </row>
    <row r="73459" spans="10:10" x14ac:dyDescent="0.3">
      <c r="J73459"/>
    </row>
    <row r="73460" spans="10:10" x14ac:dyDescent="0.3">
      <c r="J73460"/>
    </row>
    <row r="73461" spans="10:10" x14ac:dyDescent="0.3">
      <c r="J73461"/>
    </row>
    <row r="73462" spans="10:10" x14ac:dyDescent="0.3">
      <c r="J73462"/>
    </row>
    <row r="73463" spans="10:10" x14ac:dyDescent="0.3">
      <c r="J73463"/>
    </row>
    <row r="73464" spans="10:10" x14ac:dyDescent="0.3">
      <c r="J73464"/>
    </row>
    <row r="73465" spans="10:10" x14ac:dyDescent="0.3">
      <c r="J73465"/>
    </row>
    <row r="73466" spans="10:10" x14ac:dyDescent="0.3">
      <c r="J73466"/>
    </row>
    <row r="73467" spans="10:10" x14ac:dyDescent="0.3">
      <c r="J73467"/>
    </row>
    <row r="73468" spans="10:10" x14ac:dyDescent="0.3">
      <c r="J73468"/>
    </row>
    <row r="73469" spans="10:10" x14ac:dyDescent="0.3">
      <c r="J73469"/>
    </row>
    <row r="73470" spans="10:10" x14ac:dyDescent="0.3">
      <c r="J73470"/>
    </row>
    <row r="73471" spans="10:10" x14ac:dyDescent="0.3">
      <c r="J73471"/>
    </row>
    <row r="73472" spans="10:10" x14ac:dyDescent="0.3">
      <c r="J73472"/>
    </row>
    <row r="73473" spans="10:10" x14ac:dyDescent="0.3">
      <c r="J73473"/>
    </row>
    <row r="73474" spans="10:10" x14ac:dyDescent="0.3">
      <c r="J73474"/>
    </row>
    <row r="73475" spans="10:10" x14ac:dyDescent="0.3">
      <c r="J73475"/>
    </row>
    <row r="73476" spans="10:10" x14ac:dyDescent="0.3">
      <c r="J73476"/>
    </row>
    <row r="73477" spans="10:10" x14ac:dyDescent="0.3">
      <c r="J73477"/>
    </row>
    <row r="73478" spans="10:10" x14ac:dyDescent="0.3">
      <c r="J73478"/>
    </row>
    <row r="73479" spans="10:10" x14ac:dyDescent="0.3">
      <c r="J73479"/>
    </row>
    <row r="73480" spans="10:10" x14ac:dyDescent="0.3">
      <c r="J73480"/>
    </row>
    <row r="73481" spans="10:10" x14ac:dyDescent="0.3">
      <c r="J73481"/>
    </row>
    <row r="73482" spans="10:10" x14ac:dyDescent="0.3">
      <c r="J73482"/>
    </row>
    <row r="73483" spans="10:10" x14ac:dyDescent="0.3">
      <c r="J73483"/>
    </row>
    <row r="73484" spans="10:10" x14ac:dyDescent="0.3">
      <c r="J73484"/>
    </row>
    <row r="73485" spans="10:10" x14ac:dyDescent="0.3">
      <c r="J73485"/>
    </row>
    <row r="73486" spans="10:10" x14ac:dyDescent="0.3">
      <c r="J73486"/>
    </row>
    <row r="73487" spans="10:10" x14ac:dyDescent="0.3">
      <c r="J73487"/>
    </row>
    <row r="73488" spans="10:10" x14ac:dyDescent="0.3">
      <c r="J73488"/>
    </row>
    <row r="73489" spans="10:10" x14ac:dyDescent="0.3">
      <c r="J73489"/>
    </row>
    <row r="73490" spans="10:10" x14ac:dyDescent="0.3">
      <c r="J73490"/>
    </row>
    <row r="73491" spans="10:10" x14ac:dyDescent="0.3">
      <c r="J73491"/>
    </row>
    <row r="73492" spans="10:10" x14ac:dyDescent="0.3">
      <c r="J73492"/>
    </row>
    <row r="73493" spans="10:10" x14ac:dyDescent="0.3">
      <c r="J73493"/>
    </row>
    <row r="73494" spans="10:10" x14ac:dyDescent="0.3">
      <c r="J73494"/>
    </row>
    <row r="73495" spans="10:10" x14ac:dyDescent="0.3">
      <c r="J73495"/>
    </row>
    <row r="73496" spans="10:10" x14ac:dyDescent="0.3">
      <c r="J73496"/>
    </row>
    <row r="73497" spans="10:10" x14ac:dyDescent="0.3">
      <c r="J73497"/>
    </row>
    <row r="73498" spans="10:10" x14ac:dyDescent="0.3">
      <c r="J73498"/>
    </row>
    <row r="73499" spans="10:10" x14ac:dyDescent="0.3">
      <c r="J73499"/>
    </row>
    <row r="73500" spans="10:10" x14ac:dyDescent="0.3">
      <c r="J73500"/>
    </row>
    <row r="73501" spans="10:10" x14ac:dyDescent="0.3">
      <c r="J73501"/>
    </row>
    <row r="73502" spans="10:10" x14ac:dyDescent="0.3">
      <c r="J73502"/>
    </row>
    <row r="73503" spans="10:10" x14ac:dyDescent="0.3">
      <c r="J73503"/>
    </row>
    <row r="73504" spans="10:10" x14ac:dyDescent="0.3">
      <c r="J73504"/>
    </row>
    <row r="73505" spans="10:10" x14ac:dyDescent="0.3">
      <c r="J73505"/>
    </row>
    <row r="73506" spans="10:10" x14ac:dyDescent="0.3">
      <c r="J73506"/>
    </row>
    <row r="73507" spans="10:10" x14ac:dyDescent="0.3">
      <c r="J73507"/>
    </row>
    <row r="73508" spans="10:10" x14ac:dyDescent="0.3">
      <c r="J73508"/>
    </row>
    <row r="73509" spans="10:10" x14ac:dyDescent="0.3">
      <c r="J73509"/>
    </row>
    <row r="73510" spans="10:10" x14ac:dyDescent="0.3">
      <c r="J73510"/>
    </row>
    <row r="73511" spans="10:10" x14ac:dyDescent="0.3">
      <c r="J73511"/>
    </row>
    <row r="73512" spans="10:10" x14ac:dyDescent="0.3">
      <c r="J73512"/>
    </row>
    <row r="73513" spans="10:10" x14ac:dyDescent="0.3">
      <c r="J73513"/>
    </row>
    <row r="73514" spans="10:10" x14ac:dyDescent="0.3">
      <c r="J73514"/>
    </row>
    <row r="73515" spans="10:10" x14ac:dyDescent="0.3">
      <c r="J73515"/>
    </row>
    <row r="73516" spans="10:10" x14ac:dyDescent="0.3">
      <c r="J73516"/>
    </row>
    <row r="73517" spans="10:10" x14ac:dyDescent="0.3">
      <c r="J73517"/>
    </row>
    <row r="73518" spans="10:10" x14ac:dyDescent="0.3">
      <c r="J73518"/>
    </row>
    <row r="73519" spans="10:10" x14ac:dyDescent="0.3">
      <c r="J73519"/>
    </row>
    <row r="73520" spans="10:10" x14ac:dyDescent="0.3">
      <c r="J73520"/>
    </row>
    <row r="73521" spans="10:10" x14ac:dyDescent="0.3">
      <c r="J73521"/>
    </row>
    <row r="73522" spans="10:10" x14ac:dyDescent="0.3">
      <c r="J73522"/>
    </row>
    <row r="73523" spans="10:10" x14ac:dyDescent="0.3">
      <c r="J73523"/>
    </row>
    <row r="73524" spans="10:10" x14ac:dyDescent="0.3">
      <c r="J73524"/>
    </row>
    <row r="73525" spans="10:10" x14ac:dyDescent="0.3">
      <c r="J73525"/>
    </row>
    <row r="73526" spans="10:10" x14ac:dyDescent="0.3">
      <c r="J73526"/>
    </row>
    <row r="73527" spans="10:10" x14ac:dyDescent="0.3">
      <c r="J73527"/>
    </row>
    <row r="73528" spans="10:10" x14ac:dyDescent="0.3">
      <c r="J73528"/>
    </row>
    <row r="73529" spans="10:10" x14ac:dyDescent="0.3">
      <c r="J73529"/>
    </row>
    <row r="73530" spans="10:10" x14ac:dyDescent="0.3">
      <c r="J73530"/>
    </row>
    <row r="73531" spans="10:10" x14ac:dyDescent="0.3">
      <c r="J73531"/>
    </row>
    <row r="73532" spans="10:10" x14ac:dyDescent="0.3">
      <c r="J73532"/>
    </row>
    <row r="73533" spans="10:10" x14ac:dyDescent="0.3">
      <c r="J73533"/>
    </row>
    <row r="73534" spans="10:10" x14ac:dyDescent="0.3">
      <c r="J73534"/>
    </row>
    <row r="73535" spans="10:10" x14ac:dyDescent="0.3">
      <c r="J73535"/>
    </row>
    <row r="73536" spans="10:10" x14ac:dyDescent="0.3">
      <c r="J73536"/>
    </row>
    <row r="73537" spans="10:10" x14ac:dyDescent="0.3">
      <c r="J73537"/>
    </row>
    <row r="73538" spans="10:10" x14ac:dyDescent="0.3">
      <c r="J73538"/>
    </row>
    <row r="73539" spans="10:10" x14ac:dyDescent="0.3">
      <c r="J73539"/>
    </row>
    <row r="73540" spans="10:10" x14ac:dyDescent="0.3">
      <c r="J73540"/>
    </row>
    <row r="73541" spans="10:10" x14ac:dyDescent="0.3">
      <c r="J73541"/>
    </row>
    <row r="73542" spans="10:10" x14ac:dyDescent="0.3">
      <c r="J73542"/>
    </row>
    <row r="73543" spans="10:10" x14ac:dyDescent="0.3">
      <c r="J73543"/>
    </row>
    <row r="73544" spans="10:10" x14ac:dyDescent="0.3">
      <c r="J73544"/>
    </row>
    <row r="73545" spans="10:10" x14ac:dyDescent="0.3">
      <c r="J73545"/>
    </row>
    <row r="73546" spans="10:10" x14ac:dyDescent="0.3">
      <c r="J73546"/>
    </row>
    <row r="73547" spans="10:10" x14ac:dyDescent="0.3">
      <c r="J73547"/>
    </row>
    <row r="73548" spans="10:10" x14ac:dyDescent="0.3">
      <c r="J73548"/>
    </row>
    <row r="73549" spans="10:10" x14ac:dyDescent="0.3">
      <c r="J73549"/>
    </row>
    <row r="73550" spans="10:10" x14ac:dyDescent="0.3">
      <c r="J73550"/>
    </row>
    <row r="73551" spans="10:10" x14ac:dyDescent="0.3">
      <c r="J73551"/>
    </row>
    <row r="73552" spans="10:10" x14ac:dyDescent="0.3">
      <c r="J73552"/>
    </row>
    <row r="73553" spans="10:10" x14ac:dyDescent="0.3">
      <c r="J73553"/>
    </row>
    <row r="73554" spans="10:10" x14ac:dyDescent="0.3">
      <c r="J73554"/>
    </row>
    <row r="73555" spans="10:10" x14ac:dyDescent="0.3">
      <c r="J73555"/>
    </row>
    <row r="73556" spans="10:10" x14ac:dyDescent="0.3">
      <c r="J73556"/>
    </row>
    <row r="73557" spans="10:10" x14ac:dyDescent="0.3">
      <c r="J73557"/>
    </row>
    <row r="73558" spans="10:10" x14ac:dyDescent="0.3">
      <c r="J73558"/>
    </row>
    <row r="73559" spans="10:10" x14ac:dyDescent="0.3">
      <c r="J73559"/>
    </row>
    <row r="73560" spans="10:10" x14ac:dyDescent="0.3">
      <c r="J73560"/>
    </row>
    <row r="73561" spans="10:10" x14ac:dyDescent="0.3">
      <c r="J73561"/>
    </row>
    <row r="73562" spans="10:10" x14ac:dyDescent="0.3">
      <c r="J73562"/>
    </row>
    <row r="73563" spans="10:10" x14ac:dyDescent="0.3">
      <c r="J73563"/>
    </row>
    <row r="73564" spans="10:10" x14ac:dyDescent="0.3">
      <c r="J73564"/>
    </row>
    <row r="73565" spans="10:10" x14ac:dyDescent="0.3">
      <c r="J73565"/>
    </row>
    <row r="73566" spans="10:10" x14ac:dyDescent="0.3">
      <c r="J73566"/>
    </row>
    <row r="73567" spans="10:10" x14ac:dyDescent="0.3">
      <c r="J73567"/>
    </row>
    <row r="73568" spans="10:10" x14ac:dyDescent="0.3">
      <c r="J73568"/>
    </row>
    <row r="73569" spans="10:10" x14ac:dyDescent="0.3">
      <c r="J73569"/>
    </row>
    <row r="73570" spans="10:10" x14ac:dyDescent="0.3">
      <c r="J73570"/>
    </row>
    <row r="73571" spans="10:10" x14ac:dyDescent="0.3">
      <c r="J73571"/>
    </row>
    <row r="73572" spans="10:10" x14ac:dyDescent="0.3">
      <c r="J73572"/>
    </row>
    <row r="73573" spans="10:10" x14ac:dyDescent="0.3">
      <c r="J73573"/>
    </row>
    <row r="73574" spans="10:10" x14ac:dyDescent="0.3">
      <c r="J73574"/>
    </row>
    <row r="73575" spans="10:10" x14ac:dyDescent="0.3">
      <c r="J73575"/>
    </row>
    <row r="73576" spans="10:10" x14ac:dyDescent="0.3">
      <c r="J73576"/>
    </row>
    <row r="73577" spans="10:10" x14ac:dyDescent="0.3">
      <c r="J73577"/>
    </row>
    <row r="73578" spans="10:10" x14ac:dyDescent="0.3">
      <c r="J73578"/>
    </row>
    <row r="73579" spans="10:10" x14ac:dyDescent="0.3">
      <c r="J73579"/>
    </row>
    <row r="73580" spans="10:10" x14ac:dyDescent="0.3">
      <c r="J73580"/>
    </row>
    <row r="73581" spans="10:10" x14ac:dyDescent="0.3">
      <c r="J73581"/>
    </row>
    <row r="73582" spans="10:10" x14ac:dyDescent="0.3">
      <c r="J73582"/>
    </row>
    <row r="73583" spans="10:10" x14ac:dyDescent="0.3">
      <c r="J73583"/>
    </row>
    <row r="73584" spans="10:10" x14ac:dyDescent="0.3">
      <c r="J73584"/>
    </row>
    <row r="73585" spans="10:10" x14ac:dyDescent="0.3">
      <c r="J73585"/>
    </row>
    <row r="73586" spans="10:10" x14ac:dyDescent="0.3">
      <c r="J73586"/>
    </row>
    <row r="73587" spans="10:10" x14ac:dyDescent="0.3">
      <c r="J73587"/>
    </row>
    <row r="73588" spans="10:10" x14ac:dyDescent="0.3">
      <c r="J73588"/>
    </row>
    <row r="73589" spans="10:10" x14ac:dyDescent="0.3">
      <c r="J73589"/>
    </row>
    <row r="73590" spans="10:10" x14ac:dyDescent="0.3">
      <c r="J73590"/>
    </row>
    <row r="73591" spans="10:10" x14ac:dyDescent="0.3">
      <c r="J73591"/>
    </row>
    <row r="73592" spans="10:10" x14ac:dyDescent="0.3">
      <c r="J73592"/>
    </row>
    <row r="73593" spans="10:10" x14ac:dyDescent="0.3">
      <c r="J73593"/>
    </row>
    <row r="73594" spans="10:10" x14ac:dyDescent="0.3">
      <c r="J73594"/>
    </row>
    <row r="73595" spans="10:10" x14ac:dyDescent="0.3">
      <c r="J73595"/>
    </row>
    <row r="73596" spans="10:10" x14ac:dyDescent="0.3">
      <c r="J73596"/>
    </row>
    <row r="73597" spans="10:10" x14ac:dyDescent="0.3">
      <c r="J73597"/>
    </row>
    <row r="73598" spans="10:10" x14ac:dyDescent="0.3">
      <c r="J73598"/>
    </row>
    <row r="73599" spans="10:10" x14ac:dyDescent="0.3">
      <c r="J73599"/>
    </row>
    <row r="73600" spans="10:10" x14ac:dyDescent="0.3">
      <c r="J73600"/>
    </row>
    <row r="73601" spans="10:10" x14ac:dyDescent="0.3">
      <c r="J73601"/>
    </row>
    <row r="73602" spans="10:10" x14ac:dyDescent="0.3">
      <c r="J73602"/>
    </row>
    <row r="73603" spans="10:10" x14ac:dyDescent="0.3">
      <c r="J73603"/>
    </row>
    <row r="73604" spans="10:10" x14ac:dyDescent="0.3">
      <c r="J73604"/>
    </row>
    <row r="73605" spans="10:10" x14ac:dyDescent="0.3">
      <c r="J73605"/>
    </row>
    <row r="73606" spans="10:10" x14ac:dyDescent="0.3">
      <c r="J73606"/>
    </row>
    <row r="73607" spans="10:10" x14ac:dyDescent="0.3">
      <c r="J73607"/>
    </row>
    <row r="73608" spans="10:10" x14ac:dyDescent="0.3">
      <c r="J73608"/>
    </row>
    <row r="73609" spans="10:10" x14ac:dyDescent="0.3">
      <c r="J73609"/>
    </row>
    <row r="73610" spans="10:10" x14ac:dyDescent="0.3">
      <c r="J73610"/>
    </row>
    <row r="73611" spans="10:10" x14ac:dyDescent="0.3">
      <c r="J73611"/>
    </row>
    <row r="73612" spans="10:10" x14ac:dyDescent="0.3">
      <c r="J73612"/>
    </row>
    <row r="73613" spans="10:10" x14ac:dyDescent="0.3">
      <c r="J73613"/>
    </row>
    <row r="73614" spans="10:10" x14ac:dyDescent="0.3">
      <c r="J73614"/>
    </row>
    <row r="73615" spans="10:10" x14ac:dyDescent="0.3">
      <c r="J73615"/>
    </row>
    <row r="73616" spans="10:10" x14ac:dyDescent="0.3">
      <c r="J73616"/>
    </row>
    <row r="73617" spans="10:10" x14ac:dyDescent="0.3">
      <c r="J73617"/>
    </row>
    <row r="73618" spans="10:10" x14ac:dyDescent="0.3">
      <c r="J73618"/>
    </row>
    <row r="73619" spans="10:10" x14ac:dyDescent="0.3">
      <c r="J73619"/>
    </row>
    <row r="73620" spans="10:10" x14ac:dyDescent="0.3">
      <c r="J73620"/>
    </row>
    <row r="73621" spans="10:10" x14ac:dyDescent="0.3">
      <c r="J73621"/>
    </row>
    <row r="73622" spans="10:10" x14ac:dyDescent="0.3">
      <c r="J73622"/>
    </row>
    <row r="73623" spans="10:10" x14ac:dyDescent="0.3">
      <c r="J73623"/>
    </row>
    <row r="73624" spans="10:10" x14ac:dyDescent="0.3">
      <c r="J73624"/>
    </row>
    <row r="73625" spans="10:10" x14ac:dyDescent="0.3">
      <c r="J73625"/>
    </row>
    <row r="73626" spans="10:10" x14ac:dyDescent="0.3">
      <c r="J73626"/>
    </row>
    <row r="73627" spans="10:10" x14ac:dyDescent="0.3">
      <c r="J73627"/>
    </row>
    <row r="73628" spans="10:10" x14ac:dyDescent="0.3">
      <c r="J73628"/>
    </row>
    <row r="73629" spans="10:10" x14ac:dyDescent="0.3">
      <c r="J73629"/>
    </row>
    <row r="73630" spans="10:10" x14ac:dyDescent="0.3">
      <c r="J73630"/>
    </row>
    <row r="73631" spans="10:10" x14ac:dyDescent="0.3">
      <c r="J73631"/>
    </row>
    <row r="73632" spans="10:10" x14ac:dyDescent="0.3">
      <c r="J73632"/>
    </row>
    <row r="73633" spans="10:10" x14ac:dyDescent="0.3">
      <c r="J73633"/>
    </row>
    <row r="73634" spans="10:10" x14ac:dyDescent="0.3">
      <c r="J73634"/>
    </row>
    <row r="73635" spans="10:10" x14ac:dyDescent="0.3">
      <c r="J73635"/>
    </row>
    <row r="73636" spans="10:10" x14ac:dyDescent="0.3">
      <c r="J73636"/>
    </row>
    <row r="73637" spans="10:10" x14ac:dyDescent="0.3">
      <c r="J73637"/>
    </row>
    <row r="73638" spans="10:10" x14ac:dyDescent="0.3">
      <c r="J73638"/>
    </row>
    <row r="73639" spans="10:10" x14ac:dyDescent="0.3">
      <c r="J73639"/>
    </row>
    <row r="73640" spans="10:10" x14ac:dyDescent="0.3">
      <c r="J73640"/>
    </row>
    <row r="73641" spans="10:10" x14ac:dyDescent="0.3">
      <c r="J73641"/>
    </row>
    <row r="73642" spans="10:10" x14ac:dyDescent="0.3">
      <c r="J73642"/>
    </row>
    <row r="73643" spans="10:10" x14ac:dyDescent="0.3">
      <c r="J73643"/>
    </row>
    <row r="73644" spans="10:10" x14ac:dyDescent="0.3">
      <c r="J73644"/>
    </row>
    <row r="73645" spans="10:10" x14ac:dyDescent="0.3">
      <c r="J73645"/>
    </row>
    <row r="73646" spans="10:10" x14ac:dyDescent="0.3">
      <c r="J73646"/>
    </row>
    <row r="73647" spans="10:10" x14ac:dyDescent="0.3">
      <c r="J73647"/>
    </row>
    <row r="73648" spans="10:10" x14ac:dyDescent="0.3">
      <c r="J73648"/>
    </row>
    <row r="73649" spans="10:10" x14ac:dyDescent="0.3">
      <c r="J73649"/>
    </row>
    <row r="73650" spans="10:10" x14ac:dyDescent="0.3">
      <c r="J73650"/>
    </row>
    <row r="73651" spans="10:10" x14ac:dyDescent="0.3">
      <c r="J73651"/>
    </row>
    <row r="73652" spans="10:10" x14ac:dyDescent="0.3">
      <c r="J73652"/>
    </row>
    <row r="73653" spans="10:10" x14ac:dyDescent="0.3">
      <c r="J73653"/>
    </row>
    <row r="73654" spans="10:10" x14ac:dyDescent="0.3">
      <c r="J73654"/>
    </row>
    <row r="73655" spans="10:10" x14ac:dyDescent="0.3">
      <c r="J73655"/>
    </row>
    <row r="73656" spans="10:10" x14ac:dyDescent="0.3">
      <c r="J73656"/>
    </row>
    <row r="73657" spans="10:10" x14ac:dyDescent="0.3">
      <c r="J73657"/>
    </row>
    <row r="73658" spans="10:10" x14ac:dyDescent="0.3">
      <c r="J73658"/>
    </row>
    <row r="73659" spans="10:10" x14ac:dyDescent="0.3">
      <c r="J73659"/>
    </row>
    <row r="73660" spans="10:10" x14ac:dyDescent="0.3">
      <c r="J73660"/>
    </row>
    <row r="73661" spans="10:10" x14ac:dyDescent="0.3">
      <c r="J73661"/>
    </row>
    <row r="73662" spans="10:10" x14ac:dyDescent="0.3">
      <c r="J73662"/>
    </row>
    <row r="73663" spans="10:10" x14ac:dyDescent="0.3">
      <c r="J73663"/>
    </row>
    <row r="73664" spans="10:10" x14ac:dyDescent="0.3">
      <c r="J73664"/>
    </row>
    <row r="73665" spans="10:10" x14ac:dyDescent="0.3">
      <c r="J73665"/>
    </row>
    <row r="73666" spans="10:10" x14ac:dyDescent="0.3">
      <c r="J73666"/>
    </row>
    <row r="73667" spans="10:10" x14ac:dyDescent="0.3">
      <c r="J73667"/>
    </row>
    <row r="73668" spans="10:10" x14ac:dyDescent="0.3">
      <c r="J73668"/>
    </row>
    <row r="73669" spans="10:10" x14ac:dyDescent="0.3">
      <c r="J73669"/>
    </row>
    <row r="73670" spans="10:10" x14ac:dyDescent="0.3">
      <c r="J73670"/>
    </row>
    <row r="73671" spans="10:10" x14ac:dyDescent="0.3">
      <c r="J73671"/>
    </row>
    <row r="73672" spans="10:10" x14ac:dyDescent="0.3">
      <c r="J73672"/>
    </row>
    <row r="73673" spans="10:10" x14ac:dyDescent="0.3">
      <c r="J73673"/>
    </row>
    <row r="73674" spans="10:10" x14ac:dyDescent="0.3">
      <c r="J73674"/>
    </row>
    <row r="73675" spans="10:10" x14ac:dyDescent="0.3">
      <c r="J73675"/>
    </row>
    <row r="73676" spans="10:10" x14ac:dyDescent="0.3">
      <c r="J73676"/>
    </row>
    <row r="73677" spans="10:10" x14ac:dyDescent="0.3">
      <c r="J73677"/>
    </row>
    <row r="73678" spans="10:10" x14ac:dyDescent="0.3">
      <c r="J73678"/>
    </row>
    <row r="73679" spans="10:10" x14ac:dyDescent="0.3">
      <c r="J73679"/>
    </row>
    <row r="73680" spans="10:10" x14ac:dyDescent="0.3">
      <c r="J73680"/>
    </row>
    <row r="73681" spans="10:10" x14ac:dyDescent="0.3">
      <c r="J73681"/>
    </row>
    <row r="73682" spans="10:10" x14ac:dyDescent="0.3">
      <c r="J73682"/>
    </row>
    <row r="73683" spans="10:10" x14ac:dyDescent="0.3">
      <c r="J73683"/>
    </row>
    <row r="73684" spans="10:10" x14ac:dyDescent="0.3">
      <c r="J73684"/>
    </row>
    <row r="73685" spans="10:10" x14ac:dyDescent="0.3">
      <c r="J73685"/>
    </row>
    <row r="73686" spans="10:10" x14ac:dyDescent="0.3">
      <c r="J73686"/>
    </row>
    <row r="73687" spans="10:10" x14ac:dyDescent="0.3">
      <c r="J73687"/>
    </row>
    <row r="73688" spans="10:10" x14ac:dyDescent="0.3">
      <c r="J73688"/>
    </row>
    <row r="73689" spans="10:10" x14ac:dyDescent="0.3">
      <c r="J73689"/>
    </row>
    <row r="73690" spans="10:10" x14ac:dyDescent="0.3">
      <c r="J73690"/>
    </row>
    <row r="73691" spans="10:10" x14ac:dyDescent="0.3">
      <c r="J73691"/>
    </row>
    <row r="73692" spans="10:10" x14ac:dyDescent="0.3">
      <c r="J73692"/>
    </row>
    <row r="73693" spans="10:10" x14ac:dyDescent="0.3">
      <c r="J73693"/>
    </row>
    <row r="73694" spans="10:10" x14ac:dyDescent="0.3">
      <c r="J73694"/>
    </row>
    <row r="73695" spans="10:10" x14ac:dyDescent="0.3">
      <c r="J73695"/>
    </row>
    <row r="73696" spans="10:10" x14ac:dyDescent="0.3">
      <c r="J73696"/>
    </row>
    <row r="73697" spans="10:10" x14ac:dyDescent="0.3">
      <c r="J73697"/>
    </row>
    <row r="73698" spans="10:10" x14ac:dyDescent="0.3">
      <c r="J73698"/>
    </row>
    <row r="73699" spans="10:10" x14ac:dyDescent="0.3">
      <c r="J73699"/>
    </row>
    <row r="73700" spans="10:10" x14ac:dyDescent="0.3">
      <c r="J73700"/>
    </row>
    <row r="73701" spans="10:10" x14ac:dyDescent="0.3">
      <c r="J73701"/>
    </row>
    <row r="73702" spans="10:10" x14ac:dyDescent="0.3">
      <c r="J73702"/>
    </row>
    <row r="73703" spans="10:10" x14ac:dyDescent="0.3">
      <c r="J73703"/>
    </row>
    <row r="73704" spans="10:10" x14ac:dyDescent="0.3">
      <c r="J73704"/>
    </row>
    <row r="73705" spans="10:10" x14ac:dyDescent="0.3">
      <c r="J73705"/>
    </row>
    <row r="73706" spans="10:10" x14ac:dyDescent="0.3">
      <c r="J73706"/>
    </row>
    <row r="73707" spans="10:10" x14ac:dyDescent="0.3">
      <c r="J73707"/>
    </row>
    <row r="73708" spans="10:10" x14ac:dyDescent="0.3">
      <c r="J73708"/>
    </row>
    <row r="73709" spans="10:10" x14ac:dyDescent="0.3">
      <c r="J73709"/>
    </row>
    <row r="73710" spans="10:10" x14ac:dyDescent="0.3">
      <c r="J73710"/>
    </row>
    <row r="73711" spans="10:10" x14ac:dyDescent="0.3">
      <c r="J73711"/>
    </row>
    <row r="73712" spans="10:10" x14ac:dyDescent="0.3">
      <c r="J73712"/>
    </row>
    <row r="73713" spans="10:10" x14ac:dyDescent="0.3">
      <c r="J73713"/>
    </row>
    <row r="73714" spans="10:10" x14ac:dyDescent="0.3">
      <c r="J73714"/>
    </row>
    <row r="73715" spans="10:10" x14ac:dyDescent="0.3">
      <c r="J73715"/>
    </row>
    <row r="73716" spans="10:10" x14ac:dyDescent="0.3">
      <c r="J73716"/>
    </row>
    <row r="73717" spans="10:10" x14ac:dyDescent="0.3">
      <c r="J73717"/>
    </row>
    <row r="73718" spans="10:10" x14ac:dyDescent="0.3">
      <c r="J73718"/>
    </row>
    <row r="73719" spans="10:10" x14ac:dyDescent="0.3">
      <c r="J73719"/>
    </row>
    <row r="73720" spans="10:10" x14ac:dyDescent="0.3">
      <c r="J73720"/>
    </row>
    <row r="73721" spans="10:10" x14ac:dyDescent="0.3">
      <c r="J73721"/>
    </row>
    <row r="73722" spans="10:10" x14ac:dyDescent="0.3">
      <c r="J73722"/>
    </row>
    <row r="73723" spans="10:10" x14ac:dyDescent="0.3">
      <c r="J73723"/>
    </row>
    <row r="73724" spans="10:10" x14ac:dyDescent="0.3">
      <c r="J73724"/>
    </row>
    <row r="73725" spans="10:10" x14ac:dyDescent="0.3">
      <c r="J73725"/>
    </row>
    <row r="73726" spans="10:10" x14ac:dyDescent="0.3">
      <c r="J73726"/>
    </row>
    <row r="73727" spans="10:10" x14ac:dyDescent="0.3">
      <c r="J73727"/>
    </row>
    <row r="73728" spans="10:10" x14ac:dyDescent="0.3">
      <c r="J73728"/>
    </row>
    <row r="73729" spans="10:10" x14ac:dyDescent="0.3">
      <c r="J73729"/>
    </row>
    <row r="73730" spans="10:10" x14ac:dyDescent="0.3">
      <c r="J73730"/>
    </row>
    <row r="73731" spans="10:10" x14ac:dyDescent="0.3">
      <c r="J73731"/>
    </row>
    <row r="73732" spans="10:10" x14ac:dyDescent="0.3">
      <c r="J73732"/>
    </row>
    <row r="73733" spans="10:10" x14ac:dyDescent="0.3">
      <c r="J73733"/>
    </row>
    <row r="73734" spans="10:10" x14ac:dyDescent="0.3">
      <c r="J73734"/>
    </row>
    <row r="73735" spans="10:10" x14ac:dyDescent="0.3">
      <c r="J73735"/>
    </row>
    <row r="73736" spans="10:10" x14ac:dyDescent="0.3">
      <c r="J73736"/>
    </row>
    <row r="73737" spans="10:10" x14ac:dyDescent="0.3">
      <c r="J73737"/>
    </row>
    <row r="73738" spans="10:10" x14ac:dyDescent="0.3">
      <c r="J73738"/>
    </row>
    <row r="73739" spans="10:10" x14ac:dyDescent="0.3">
      <c r="J73739"/>
    </row>
    <row r="73740" spans="10:10" x14ac:dyDescent="0.3">
      <c r="J73740"/>
    </row>
    <row r="73741" spans="10:10" x14ac:dyDescent="0.3">
      <c r="J73741"/>
    </row>
    <row r="73742" spans="10:10" x14ac:dyDescent="0.3">
      <c r="J73742"/>
    </row>
    <row r="73743" spans="10:10" x14ac:dyDescent="0.3">
      <c r="J73743"/>
    </row>
    <row r="73744" spans="10:10" x14ac:dyDescent="0.3">
      <c r="J73744"/>
    </row>
    <row r="73745" spans="10:10" x14ac:dyDescent="0.3">
      <c r="J73745"/>
    </row>
    <row r="73746" spans="10:10" x14ac:dyDescent="0.3">
      <c r="J73746"/>
    </row>
    <row r="73747" spans="10:10" x14ac:dyDescent="0.3">
      <c r="J73747"/>
    </row>
    <row r="73748" spans="10:10" x14ac:dyDescent="0.3">
      <c r="J73748"/>
    </row>
    <row r="73749" spans="10:10" x14ac:dyDescent="0.3">
      <c r="J73749"/>
    </row>
    <row r="73750" spans="10:10" x14ac:dyDescent="0.3">
      <c r="J73750"/>
    </row>
    <row r="73751" spans="10:10" x14ac:dyDescent="0.3">
      <c r="J73751"/>
    </row>
    <row r="73752" spans="10:10" x14ac:dyDescent="0.3">
      <c r="J73752"/>
    </row>
    <row r="73753" spans="10:10" x14ac:dyDescent="0.3">
      <c r="J73753"/>
    </row>
    <row r="73754" spans="10:10" x14ac:dyDescent="0.3">
      <c r="J73754"/>
    </row>
    <row r="73755" spans="10:10" x14ac:dyDescent="0.3">
      <c r="J73755"/>
    </row>
    <row r="73756" spans="10:10" x14ac:dyDescent="0.3">
      <c r="J73756"/>
    </row>
    <row r="73757" spans="10:10" x14ac:dyDescent="0.3">
      <c r="J73757"/>
    </row>
    <row r="73758" spans="10:10" x14ac:dyDescent="0.3">
      <c r="J73758"/>
    </row>
    <row r="73759" spans="10:10" x14ac:dyDescent="0.3">
      <c r="J73759"/>
    </row>
    <row r="73760" spans="10:10" x14ac:dyDescent="0.3">
      <c r="J73760"/>
    </row>
    <row r="73761" spans="10:10" x14ac:dyDescent="0.3">
      <c r="J73761"/>
    </row>
    <row r="73762" spans="10:10" x14ac:dyDescent="0.3">
      <c r="J73762"/>
    </row>
    <row r="73763" spans="10:10" x14ac:dyDescent="0.3">
      <c r="J73763"/>
    </row>
    <row r="73764" spans="10:10" x14ac:dyDescent="0.3">
      <c r="J73764"/>
    </row>
    <row r="73765" spans="10:10" x14ac:dyDescent="0.3">
      <c r="J73765"/>
    </row>
    <row r="73766" spans="10:10" x14ac:dyDescent="0.3">
      <c r="J73766"/>
    </row>
    <row r="73767" spans="10:10" x14ac:dyDescent="0.3">
      <c r="J73767"/>
    </row>
    <row r="73768" spans="10:10" x14ac:dyDescent="0.3">
      <c r="J73768"/>
    </row>
    <row r="73769" spans="10:10" x14ac:dyDescent="0.3">
      <c r="J73769"/>
    </row>
    <row r="73770" spans="10:10" x14ac:dyDescent="0.3">
      <c r="J73770"/>
    </row>
    <row r="73771" spans="10:10" x14ac:dyDescent="0.3">
      <c r="J73771"/>
    </row>
    <row r="73772" spans="10:10" x14ac:dyDescent="0.3">
      <c r="J73772"/>
    </row>
    <row r="73773" spans="10:10" x14ac:dyDescent="0.3">
      <c r="J73773"/>
    </row>
    <row r="73774" spans="10:10" x14ac:dyDescent="0.3">
      <c r="J73774"/>
    </row>
    <row r="73775" spans="10:10" x14ac:dyDescent="0.3">
      <c r="J73775"/>
    </row>
    <row r="73776" spans="10:10" x14ac:dyDescent="0.3">
      <c r="J73776"/>
    </row>
    <row r="73777" spans="10:10" x14ac:dyDescent="0.3">
      <c r="J73777"/>
    </row>
    <row r="73778" spans="10:10" x14ac:dyDescent="0.3">
      <c r="J73778"/>
    </row>
    <row r="73779" spans="10:10" x14ac:dyDescent="0.3">
      <c r="J73779"/>
    </row>
    <row r="73780" spans="10:10" x14ac:dyDescent="0.3">
      <c r="J73780"/>
    </row>
    <row r="73781" spans="10:10" x14ac:dyDescent="0.3">
      <c r="J73781"/>
    </row>
    <row r="73782" spans="10:10" x14ac:dyDescent="0.3">
      <c r="J73782"/>
    </row>
    <row r="73783" spans="10:10" x14ac:dyDescent="0.3">
      <c r="J73783"/>
    </row>
    <row r="73784" spans="10:10" x14ac:dyDescent="0.3">
      <c r="J73784"/>
    </row>
    <row r="73785" spans="10:10" x14ac:dyDescent="0.3">
      <c r="J73785"/>
    </row>
    <row r="73786" spans="10:10" x14ac:dyDescent="0.3">
      <c r="J73786"/>
    </row>
    <row r="73787" spans="10:10" x14ac:dyDescent="0.3">
      <c r="J73787"/>
    </row>
    <row r="73788" spans="10:10" x14ac:dyDescent="0.3">
      <c r="J73788"/>
    </row>
    <row r="73789" spans="10:10" x14ac:dyDescent="0.3">
      <c r="J73789"/>
    </row>
    <row r="73790" spans="10:10" x14ac:dyDescent="0.3">
      <c r="J73790"/>
    </row>
    <row r="73791" spans="10:10" x14ac:dyDescent="0.3">
      <c r="J73791"/>
    </row>
    <row r="73792" spans="10:10" x14ac:dyDescent="0.3">
      <c r="J73792"/>
    </row>
    <row r="73793" spans="10:10" x14ac:dyDescent="0.3">
      <c r="J73793"/>
    </row>
    <row r="73794" spans="10:10" x14ac:dyDescent="0.3">
      <c r="J73794"/>
    </row>
    <row r="73795" spans="10:10" x14ac:dyDescent="0.3">
      <c r="J73795"/>
    </row>
    <row r="73796" spans="10:10" x14ac:dyDescent="0.3">
      <c r="J73796"/>
    </row>
    <row r="73797" spans="10:10" x14ac:dyDescent="0.3">
      <c r="J73797"/>
    </row>
    <row r="73798" spans="10:10" x14ac:dyDescent="0.3">
      <c r="J73798"/>
    </row>
    <row r="73799" spans="10:10" x14ac:dyDescent="0.3">
      <c r="J73799"/>
    </row>
    <row r="73800" spans="10:10" x14ac:dyDescent="0.3">
      <c r="J73800"/>
    </row>
    <row r="73801" spans="10:10" x14ac:dyDescent="0.3">
      <c r="J73801"/>
    </row>
    <row r="73802" spans="10:10" x14ac:dyDescent="0.3">
      <c r="J73802"/>
    </row>
    <row r="73803" spans="10:10" x14ac:dyDescent="0.3">
      <c r="J73803"/>
    </row>
    <row r="73804" spans="10:10" x14ac:dyDescent="0.3">
      <c r="J73804"/>
    </row>
    <row r="73805" spans="10:10" x14ac:dyDescent="0.3">
      <c r="J73805"/>
    </row>
    <row r="73806" spans="10:10" x14ac:dyDescent="0.3">
      <c r="J73806"/>
    </row>
    <row r="73807" spans="10:10" x14ac:dyDescent="0.3">
      <c r="J73807"/>
    </row>
    <row r="73808" spans="10:10" x14ac:dyDescent="0.3">
      <c r="J73808"/>
    </row>
    <row r="73809" spans="10:10" x14ac:dyDescent="0.3">
      <c r="J73809"/>
    </row>
    <row r="73810" spans="10:10" x14ac:dyDescent="0.3">
      <c r="J73810"/>
    </row>
    <row r="73811" spans="10:10" x14ac:dyDescent="0.3">
      <c r="J73811"/>
    </row>
    <row r="73812" spans="10:10" x14ac:dyDescent="0.3">
      <c r="J73812"/>
    </row>
    <row r="73813" spans="10:10" x14ac:dyDescent="0.3">
      <c r="J73813"/>
    </row>
    <row r="73814" spans="10:10" x14ac:dyDescent="0.3">
      <c r="J73814"/>
    </row>
    <row r="73815" spans="10:10" x14ac:dyDescent="0.3">
      <c r="J73815"/>
    </row>
    <row r="73816" spans="10:10" x14ac:dyDescent="0.3">
      <c r="J73816"/>
    </row>
    <row r="73817" spans="10:10" x14ac:dyDescent="0.3">
      <c r="J73817"/>
    </row>
    <row r="73818" spans="10:10" x14ac:dyDescent="0.3">
      <c r="J73818"/>
    </row>
    <row r="73819" spans="10:10" x14ac:dyDescent="0.3">
      <c r="J73819"/>
    </row>
    <row r="73820" spans="10:10" x14ac:dyDescent="0.3">
      <c r="J73820"/>
    </row>
    <row r="73821" spans="10:10" x14ac:dyDescent="0.3">
      <c r="J73821"/>
    </row>
    <row r="73822" spans="10:10" x14ac:dyDescent="0.3">
      <c r="J73822"/>
    </row>
    <row r="73823" spans="10:10" x14ac:dyDescent="0.3">
      <c r="J73823"/>
    </row>
    <row r="73824" spans="10:10" x14ac:dyDescent="0.3">
      <c r="J73824"/>
    </row>
    <row r="73825" spans="10:10" x14ac:dyDescent="0.3">
      <c r="J73825"/>
    </row>
    <row r="73826" spans="10:10" x14ac:dyDescent="0.3">
      <c r="J73826"/>
    </row>
    <row r="73827" spans="10:10" x14ac:dyDescent="0.3">
      <c r="J73827"/>
    </row>
    <row r="73828" spans="10:10" x14ac:dyDescent="0.3">
      <c r="J73828"/>
    </row>
    <row r="73829" spans="10:10" x14ac:dyDescent="0.3">
      <c r="J73829"/>
    </row>
    <row r="73830" spans="10:10" x14ac:dyDescent="0.3">
      <c r="J73830"/>
    </row>
    <row r="73831" spans="10:10" x14ac:dyDescent="0.3">
      <c r="J73831"/>
    </row>
    <row r="73832" spans="10:10" x14ac:dyDescent="0.3">
      <c r="J73832"/>
    </row>
    <row r="73833" spans="10:10" x14ac:dyDescent="0.3">
      <c r="J73833"/>
    </row>
    <row r="73834" spans="10:10" x14ac:dyDescent="0.3">
      <c r="J73834"/>
    </row>
    <row r="73835" spans="10:10" x14ac:dyDescent="0.3">
      <c r="J73835"/>
    </row>
    <row r="73836" spans="10:10" x14ac:dyDescent="0.3">
      <c r="J73836"/>
    </row>
    <row r="73837" spans="10:10" x14ac:dyDescent="0.3">
      <c r="J73837"/>
    </row>
    <row r="73838" spans="10:10" x14ac:dyDescent="0.3">
      <c r="J73838"/>
    </row>
    <row r="73839" spans="10:10" x14ac:dyDescent="0.3">
      <c r="J73839"/>
    </row>
    <row r="73840" spans="10:10" x14ac:dyDescent="0.3">
      <c r="J73840"/>
    </row>
    <row r="73841" spans="10:10" x14ac:dyDescent="0.3">
      <c r="J73841"/>
    </row>
    <row r="73842" spans="10:10" x14ac:dyDescent="0.3">
      <c r="J73842"/>
    </row>
    <row r="73843" spans="10:10" x14ac:dyDescent="0.3">
      <c r="J73843"/>
    </row>
    <row r="73844" spans="10:10" x14ac:dyDescent="0.3">
      <c r="J73844"/>
    </row>
    <row r="73845" spans="10:10" x14ac:dyDescent="0.3">
      <c r="J73845"/>
    </row>
    <row r="73846" spans="10:10" x14ac:dyDescent="0.3">
      <c r="J73846"/>
    </row>
    <row r="73847" spans="10:10" x14ac:dyDescent="0.3">
      <c r="J73847"/>
    </row>
    <row r="73848" spans="10:10" x14ac:dyDescent="0.3">
      <c r="J73848"/>
    </row>
    <row r="73849" spans="10:10" x14ac:dyDescent="0.3">
      <c r="J73849"/>
    </row>
    <row r="73850" spans="10:10" x14ac:dyDescent="0.3">
      <c r="J73850"/>
    </row>
    <row r="73851" spans="10:10" x14ac:dyDescent="0.3">
      <c r="J73851"/>
    </row>
    <row r="73852" spans="10:10" x14ac:dyDescent="0.3">
      <c r="J73852"/>
    </row>
    <row r="73853" spans="10:10" x14ac:dyDescent="0.3">
      <c r="J73853"/>
    </row>
    <row r="73854" spans="10:10" x14ac:dyDescent="0.3">
      <c r="J73854"/>
    </row>
    <row r="73855" spans="10:10" x14ac:dyDescent="0.3">
      <c r="J73855"/>
    </row>
    <row r="73856" spans="10:10" x14ac:dyDescent="0.3">
      <c r="J73856"/>
    </row>
    <row r="73857" spans="10:10" x14ac:dyDescent="0.3">
      <c r="J73857"/>
    </row>
    <row r="73858" spans="10:10" x14ac:dyDescent="0.3">
      <c r="J73858"/>
    </row>
    <row r="73859" spans="10:10" x14ac:dyDescent="0.3">
      <c r="J73859"/>
    </row>
    <row r="73860" spans="10:10" x14ac:dyDescent="0.3">
      <c r="J73860"/>
    </row>
    <row r="73861" spans="10:10" x14ac:dyDescent="0.3">
      <c r="J73861"/>
    </row>
    <row r="73862" spans="10:10" x14ac:dyDescent="0.3">
      <c r="J73862"/>
    </row>
    <row r="73863" spans="10:10" x14ac:dyDescent="0.3">
      <c r="J73863"/>
    </row>
    <row r="73864" spans="10:10" x14ac:dyDescent="0.3">
      <c r="J73864"/>
    </row>
    <row r="73865" spans="10:10" x14ac:dyDescent="0.3">
      <c r="J73865"/>
    </row>
    <row r="73866" spans="10:10" x14ac:dyDescent="0.3">
      <c r="J73866"/>
    </row>
    <row r="73867" spans="10:10" x14ac:dyDescent="0.3">
      <c r="J73867"/>
    </row>
    <row r="73868" spans="10:10" x14ac:dyDescent="0.3">
      <c r="J73868"/>
    </row>
    <row r="73869" spans="10:10" x14ac:dyDescent="0.3">
      <c r="J73869"/>
    </row>
    <row r="73870" spans="10:10" x14ac:dyDescent="0.3">
      <c r="J73870"/>
    </row>
    <row r="73871" spans="10:10" x14ac:dyDescent="0.3">
      <c r="J73871"/>
    </row>
    <row r="73872" spans="10:10" x14ac:dyDescent="0.3">
      <c r="J73872"/>
    </row>
    <row r="73873" spans="10:10" x14ac:dyDescent="0.3">
      <c r="J73873"/>
    </row>
    <row r="73874" spans="10:10" x14ac:dyDescent="0.3">
      <c r="J73874"/>
    </row>
    <row r="73875" spans="10:10" x14ac:dyDescent="0.3">
      <c r="J73875"/>
    </row>
    <row r="73876" spans="10:10" x14ac:dyDescent="0.3">
      <c r="J73876"/>
    </row>
    <row r="73877" spans="10:10" x14ac:dyDescent="0.3">
      <c r="J73877"/>
    </row>
    <row r="73878" spans="10:10" x14ac:dyDescent="0.3">
      <c r="J73878"/>
    </row>
    <row r="73879" spans="10:10" x14ac:dyDescent="0.3">
      <c r="J73879"/>
    </row>
    <row r="73880" spans="10:10" x14ac:dyDescent="0.3">
      <c r="J73880"/>
    </row>
    <row r="73881" spans="10:10" x14ac:dyDescent="0.3">
      <c r="J73881"/>
    </row>
    <row r="73882" spans="10:10" x14ac:dyDescent="0.3">
      <c r="J73882"/>
    </row>
    <row r="73883" spans="10:10" x14ac:dyDescent="0.3">
      <c r="J73883"/>
    </row>
    <row r="73884" spans="10:10" x14ac:dyDescent="0.3">
      <c r="J73884"/>
    </row>
    <row r="73885" spans="10:10" x14ac:dyDescent="0.3">
      <c r="J73885"/>
    </row>
    <row r="73886" spans="10:10" x14ac:dyDescent="0.3">
      <c r="J73886"/>
    </row>
    <row r="73887" spans="10:10" x14ac:dyDescent="0.3">
      <c r="J73887"/>
    </row>
    <row r="73888" spans="10:10" x14ac:dyDescent="0.3">
      <c r="J73888"/>
    </row>
    <row r="73889" spans="10:10" x14ac:dyDescent="0.3">
      <c r="J73889"/>
    </row>
    <row r="73890" spans="10:10" x14ac:dyDescent="0.3">
      <c r="J73890"/>
    </row>
    <row r="73891" spans="10:10" x14ac:dyDescent="0.3">
      <c r="J73891"/>
    </row>
    <row r="73892" spans="10:10" x14ac:dyDescent="0.3">
      <c r="J73892"/>
    </row>
    <row r="73893" spans="10:10" x14ac:dyDescent="0.3">
      <c r="J73893"/>
    </row>
    <row r="73894" spans="10:10" x14ac:dyDescent="0.3">
      <c r="J73894"/>
    </row>
    <row r="73895" spans="10:10" x14ac:dyDescent="0.3">
      <c r="J73895"/>
    </row>
    <row r="73896" spans="10:10" x14ac:dyDescent="0.3">
      <c r="J73896"/>
    </row>
    <row r="73897" spans="10:10" x14ac:dyDescent="0.3">
      <c r="J73897"/>
    </row>
    <row r="73898" spans="10:10" x14ac:dyDescent="0.3">
      <c r="J73898"/>
    </row>
    <row r="73899" spans="10:10" x14ac:dyDescent="0.3">
      <c r="J73899"/>
    </row>
    <row r="73900" spans="10:10" x14ac:dyDescent="0.3">
      <c r="J73900"/>
    </row>
    <row r="73901" spans="10:10" x14ac:dyDescent="0.3">
      <c r="J73901"/>
    </row>
    <row r="73902" spans="10:10" x14ac:dyDescent="0.3">
      <c r="J73902"/>
    </row>
    <row r="73903" spans="10:10" x14ac:dyDescent="0.3">
      <c r="J73903"/>
    </row>
    <row r="73904" spans="10:10" x14ac:dyDescent="0.3">
      <c r="J73904"/>
    </row>
    <row r="73905" spans="10:10" x14ac:dyDescent="0.3">
      <c r="J73905"/>
    </row>
    <row r="73906" spans="10:10" x14ac:dyDescent="0.3">
      <c r="J73906"/>
    </row>
    <row r="73907" spans="10:10" x14ac:dyDescent="0.3">
      <c r="J73907"/>
    </row>
    <row r="73908" spans="10:10" x14ac:dyDescent="0.3">
      <c r="J73908"/>
    </row>
    <row r="73909" spans="10:10" x14ac:dyDescent="0.3">
      <c r="J73909"/>
    </row>
    <row r="73910" spans="10:10" x14ac:dyDescent="0.3">
      <c r="J73910"/>
    </row>
    <row r="73911" spans="10:10" x14ac:dyDescent="0.3">
      <c r="J73911"/>
    </row>
    <row r="73912" spans="10:10" x14ac:dyDescent="0.3">
      <c r="J73912"/>
    </row>
    <row r="73913" spans="10:10" x14ac:dyDescent="0.3">
      <c r="J73913"/>
    </row>
    <row r="73914" spans="10:10" x14ac:dyDescent="0.3">
      <c r="J73914"/>
    </row>
    <row r="73915" spans="10:10" x14ac:dyDescent="0.3">
      <c r="J73915"/>
    </row>
    <row r="73916" spans="10:10" x14ac:dyDescent="0.3">
      <c r="J73916"/>
    </row>
    <row r="73917" spans="10:10" x14ac:dyDescent="0.3">
      <c r="J73917"/>
    </row>
    <row r="73918" spans="10:10" x14ac:dyDescent="0.3">
      <c r="J73918"/>
    </row>
    <row r="73919" spans="10:10" x14ac:dyDescent="0.3">
      <c r="J73919"/>
    </row>
    <row r="73920" spans="10:10" x14ac:dyDescent="0.3">
      <c r="J73920"/>
    </row>
    <row r="73921" spans="10:10" x14ac:dyDescent="0.3">
      <c r="J73921"/>
    </row>
    <row r="73922" spans="10:10" x14ac:dyDescent="0.3">
      <c r="J73922"/>
    </row>
    <row r="73923" spans="10:10" x14ac:dyDescent="0.3">
      <c r="J73923"/>
    </row>
    <row r="73924" spans="10:10" x14ac:dyDescent="0.3">
      <c r="J73924"/>
    </row>
    <row r="73925" spans="10:10" x14ac:dyDescent="0.3">
      <c r="J73925"/>
    </row>
    <row r="73926" spans="10:10" x14ac:dyDescent="0.3">
      <c r="J73926"/>
    </row>
    <row r="73927" spans="10:10" x14ac:dyDescent="0.3">
      <c r="J73927"/>
    </row>
    <row r="73928" spans="10:10" x14ac:dyDescent="0.3">
      <c r="J73928"/>
    </row>
    <row r="73929" spans="10:10" x14ac:dyDescent="0.3">
      <c r="J73929"/>
    </row>
    <row r="73930" spans="10:10" x14ac:dyDescent="0.3">
      <c r="J73930"/>
    </row>
    <row r="73931" spans="10:10" x14ac:dyDescent="0.3">
      <c r="J73931"/>
    </row>
    <row r="73932" spans="10:10" x14ac:dyDescent="0.3">
      <c r="J73932"/>
    </row>
    <row r="73933" spans="10:10" x14ac:dyDescent="0.3">
      <c r="J73933"/>
    </row>
    <row r="73934" spans="10:10" x14ac:dyDescent="0.3">
      <c r="J73934"/>
    </row>
    <row r="73935" spans="10:10" x14ac:dyDescent="0.3">
      <c r="J73935"/>
    </row>
    <row r="73936" spans="10:10" x14ac:dyDescent="0.3">
      <c r="J73936"/>
    </row>
    <row r="73937" spans="10:10" x14ac:dyDescent="0.3">
      <c r="J73937"/>
    </row>
    <row r="73938" spans="10:10" x14ac:dyDescent="0.3">
      <c r="J73938"/>
    </row>
    <row r="73939" spans="10:10" x14ac:dyDescent="0.3">
      <c r="J73939"/>
    </row>
    <row r="73940" spans="10:10" x14ac:dyDescent="0.3">
      <c r="J73940"/>
    </row>
    <row r="73941" spans="10:10" x14ac:dyDescent="0.3">
      <c r="J73941"/>
    </row>
    <row r="73942" spans="10:10" x14ac:dyDescent="0.3">
      <c r="J73942"/>
    </row>
    <row r="73943" spans="10:10" x14ac:dyDescent="0.3">
      <c r="J73943"/>
    </row>
    <row r="73944" spans="10:10" x14ac:dyDescent="0.3">
      <c r="J73944"/>
    </row>
    <row r="73945" spans="10:10" x14ac:dyDescent="0.3">
      <c r="J73945"/>
    </row>
    <row r="73946" spans="10:10" x14ac:dyDescent="0.3">
      <c r="J73946"/>
    </row>
    <row r="73947" spans="10:10" x14ac:dyDescent="0.3">
      <c r="J73947"/>
    </row>
    <row r="73948" spans="10:10" x14ac:dyDescent="0.3">
      <c r="J73948"/>
    </row>
    <row r="73949" spans="10:10" x14ac:dyDescent="0.3">
      <c r="J73949"/>
    </row>
    <row r="73950" spans="10:10" x14ac:dyDescent="0.3">
      <c r="J73950"/>
    </row>
    <row r="73951" spans="10:10" x14ac:dyDescent="0.3">
      <c r="J73951"/>
    </row>
    <row r="73952" spans="10:10" x14ac:dyDescent="0.3">
      <c r="J73952"/>
    </row>
    <row r="73953" spans="10:10" x14ac:dyDescent="0.3">
      <c r="J73953"/>
    </row>
    <row r="73954" spans="10:10" x14ac:dyDescent="0.3">
      <c r="J73954"/>
    </row>
    <row r="73955" spans="10:10" x14ac:dyDescent="0.3">
      <c r="J73955"/>
    </row>
    <row r="73956" spans="10:10" x14ac:dyDescent="0.3">
      <c r="J73956"/>
    </row>
    <row r="73957" spans="10:10" x14ac:dyDescent="0.3">
      <c r="J73957"/>
    </row>
    <row r="73958" spans="10:10" x14ac:dyDescent="0.3">
      <c r="J73958"/>
    </row>
    <row r="73959" spans="10:10" x14ac:dyDescent="0.3">
      <c r="J73959"/>
    </row>
    <row r="73960" spans="10:10" x14ac:dyDescent="0.3">
      <c r="J73960"/>
    </row>
    <row r="73961" spans="10:10" x14ac:dyDescent="0.3">
      <c r="J73961"/>
    </row>
    <row r="73962" spans="10:10" x14ac:dyDescent="0.3">
      <c r="J73962"/>
    </row>
    <row r="73963" spans="10:10" x14ac:dyDescent="0.3">
      <c r="J73963"/>
    </row>
    <row r="73964" spans="10:10" x14ac:dyDescent="0.3">
      <c r="J73964"/>
    </row>
    <row r="73965" spans="10:10" x14ac:dyDescent="0.3">
      <c r="J73965"/>
    </row>
    <row r="73966" spans="10:10" x14ac:dyDescent="0.3">
      <c r="J73966"/>
    </row>
    <row r="73967" spans="10:10" x14ac:dyDescent="0.3">
      <c r="J73967"/>
    </row>
    <row r="73968" spans="10:10" x14ac:dyDescent="0.3">
      <c r="J73968"/>
    </row>
    <row r="73969" spans="10:10" x14ac:dyDescent="0.3">
      <c r="J73969"/>
    </row>
    <row r="73970" spans="10:10" x14ac:dyDescent="0.3">
      <c r="J73970"/>
    </row>
    <row r="73971" spans="10:10" x14ac:dyDescent="0.3">
      <c r="J73971"/>
    </row>
    <row r="73972" spans="10:10" x14ac:dyDescent="0.3">
      <c r="J73972"/>
    </row>
    <row r="73973" spans="10:10" x14ac:dyDescent="0.3">
      <c r="J73973"/>
    </row>
    <row r="73974" spans="10:10" x14ac:dyDescent="0.3">
      <c r="J73974"/>
    </row>
    <row r="73975" spans="10:10" x14ac:dyDescent="0.3">
      <c r="J73975"/>
    </row>
    <row r="73976" spans="10:10" x14ac:dyDescent="0.3">
      <c r="J73976"/>
    </row>
    <row r="73977" spans="10:10" x14ac:dyDescent="0.3">
      <c r="J73977"/>
    </row>
    <row r="73978" spans="10:10" x14ac:dyDescent="0.3">
      <c r="J73978"/>
    </row>
    <row r="73979" spans="10:10" x14ac:dyDescent="0.3">
      <c r="J73979"/>
    </row>
    <row r="73980" spans="10:10" x14ac:dyDescent="0.3">
      <c r="J73980"/>
    </row>
    <row r="73981" spans="10:10" x14ac:dyDescent="0.3">
      <c r="J73981"/>
    </row>
    <row r="73982" spans="10:10" x14ac:dyDescent="0.3">
      <c r="J73982"/>
    </row>
    <row r="73983" spans="10:10" x14ac:dyDescent="0.3">
      <c r="J73983"/>
    </row>
    <row r="73984" spans="10:10" x14ac:dyDescent="0.3">
      <c r="J73984"/>
    </row>
    <row r="73985" spans="10:10" x14ac:dyDescent="0.3">
      <c r="J73985"/>
    </row>
    <row r="73986" spans="10:10" x14ac:dyDescent="0.3">
      <c r="J73986"/>
    </row>
    <row r="73987" spans="10:10" x14ac:dyDescent="0.3">
      <c r="J73987"/>
    </row>
    <row r="73988" spans="10:10" x14ac:dyDescent="0.3">
      <c r="J73988"/>
    </row>
    <row r="73989" spans="10:10" x14ac:dyDescent="0.3">
      <c r="J73989"/>
    </row>
    <row r="73990" spans="10:10" x14ac:dyDescent="0.3">
      <c r="J73990"/>
    </row>
    <row r="73991" spans="10:10" x14ac:dyDescent="0.3">
      <c r="J73991"/>
    </row>
    <row r="73992" spans="10:10" x14ac:dyDescent="0.3">
      <c r="J73992"/>
    </row>
    <row r="73993" spans="10:10" x14ac:dyDescent="0.3">
      <c r="J73993"/>
    </row>
    <row r="73994" spans="10:10" x14ac:dyDescent="0.3">
      <c r="J73994"/>
    </row>
    <row r="73995" spans="10:10" x14ac:dyDescent="0.3">
      <c r="J73995"/>
    </row>
    <row r="73996" spans="10:10" x14ac:dyDescent="0.3">
      <c r="J73996"/>
    </row>
    <row r="73997" spans="10:10" x14ac:dyDescent="0.3">
      <c r="J73997"/>
    </row>
    <row r="73998" spans="10:10" x14ac:dyDescent="0.3">
      <c r="J73998"/>
    </row>
    <row r="73999" spans="10:10" x14ac:dyDescent="0.3">
      <c r="J73999"/>
    </row>
    <row r="74000" spans="10:10" x14ac:dyDescent="0.3">
      <c r="J74000"/>
    </row>
    <row r="74001" spans="10:10" x14ac:dyDescent="0.3">
      <c r="J74001"/>
    </row>
    <row r="74002" spans="10:10" x14ac:dyDescent="0.3">
      <c r="J74002"/>
    </row>
    <row r="74003" spans="10:10" x14ac:dyDescent="0.3">
      <c r="J74003"/>
    </row>
    <row r="74004" spans="10:10" x14ac:dyDescent="0.3">
      <c r="J74004"/>
    </row>
    <row r="74005" spans="10:10" x14ac:dyDescent="0.3">
      <c r="J74005"/>
    </row>
    <row r="74006" spans="10:10" x14ac:dyDescent="0.3">
      <c r="J74006"/>
    </row>
    <row r="74007" spans="10:10" x14ac:dyDescent="0.3">
      <c r="J74007"/>
    </row>
    <row r="74008" spans="10:10" x14ac:dyDescent="0.3">
      <c r="J74008"/>
    </row>
    <row r="74009" spans="10:10" x14ac:dyDescent="0.3">
      <c r="J74009"/>
    </row>
    <row r="74010" spans="10:10" x14ac:dyDescent="0.3">
      <c r="J74010"/>
    </row>
    <row r="74011" spans="10:10" x14ac:dyDescent="0.3">
      <c r="J74011"/>
    </row>
    <row r="74012" spans="10:10" x14ac:dyDescent="0.3">
      <c r="J74012"/>
    </row>
    <row r="74013" spans="10:10" x14ac:dyDescent="0.3">
      <c r="J74013"/>
    </row>
    <row r="74014" spans="10:10" x14ac:dyDescent="0.3">
      <c r="J74014"/>
    </row>
    <row r="74015" spans="10:10" x14ac:dyDescent="0.3">
      <c r="J74015"/>
    </row>
    <row r="74016" spans="10:10" x14ac:dyDescent="0.3">
      <c r="J74016"/>
    </row>
    <row r="74017" spans="10:10" x14ac:dyDescent="0.3">
      <c r="J74017"/>
    </row>
    <row r="74018" spans="10:10" x14ac:dyDescent="0.3">
      <c r="J74018"/>
    </row>
    <row r="74019" spans="10:10" x14ac:dyDescent="0.3">
      <c r="J74019"/>
    </row>
    <row r="74020" spans="10:10" x14ac:dyDescent="0.3">
      <c r="J74020"/>
    </row>
    <row r="74021" spans="10:10" x14ac:dyDescent="0.3">
      <c r="J74021"/>
    </row>
    <row r="74022" spans="10:10" x14ac:dyDescent="0.3">
      <c r="J74022"/>
    </row>
    <row r="74023" spans="10:10" x14ac:dyDescent="0.3">
      <c r="J74023"/>
    </row>
    <row r="74024" spans="10:10" x14ac:dyDescent="0.3">
      <c r="J74024"/>
    </row>
    <row r="74025" spans="10:10" x14ac:dyDescent="0.3">
      <c r="J74025"/>
    </row>
    <row r="74026" spans="10:10" x14ac:dyDescent="0.3">
      <c r="J74026"/>
    </row>
    <row r="74027" spans="10:10" x14ac:dyDescent="0.3">
      <c r="J74027"/>
    </row>
    <row r="74028" spans="10:10" x14ac:dyDescent="0.3">
      <c r="J74028"/>
    </row>
    <row r="74029" spans="10:10" x14ac:dyDescent="0.3">
      <c r="J74029"/>
    </row>
    <row r="74030" spans="10:10" x14ac:dyDescent="0.3">
      <c r="J74030"/>
    </row>
    <row r="74031" spans="10:10" x14ac:dyDescent="0.3">
      <c r="J74031"/>
    </row>
    <row r="74032" spans="10:10" x14ac:dyDescent="0.3">
      <c r="J74032"/>
    </row>
    <row r="74033" spans="10:10" x14ac:dyDescent="0.3">
      <c r="J74033"/>
    </row>
    <row r="74034" spans="10:10" x14ac:dyDescent="0.3">
      <c r="J74034"/>
    </row>
    <row r="74035" spans="10:10" x14ac:dyDescent="0.3">
      <c r="J74035"/>
    </row>
    <row r="74036" spans="10:10" x14ac:dyDescent="0.3">
      <c r="J74036"/>
    </row>
    <row r="74037" spans="10:10" x14ac:dyDescent="0.3">
      <c r="J74037"/>
    </row>
    <row r="74038" spans="10:10" x14ac:dyDescent="0.3">
      <c r="J74038"/>
    </row>
    <row r="74039" spans="10:10" x14ac:dyDescent="0.3">
      <c r="J74039"/>
    </row>
    <row r="74040" spans="10:10" x14ac:dyDescent="0.3">
      <c r="J74040"/>
    </row>
    <row r="74041" spans="10:10" x14ac:dyDescent="0.3">
      <c r="J74041"/>
    </row>
    <row r="74042" spans="10:10" x14ac:dyDescent="0.3">
      <c r="J74042"/>
    </row>
    <row r="74043" spans="10:10" x14ac:dyDescent="0.3">
      <c r="J74043"/>
    </row>
    <row r="74044" spans="10:10" x14ac:dyDescent="0.3">
      <c r="J74044"/>
    </row>
    <row r="74045" spans="10:10" x14ac:dyDescent="0.3">
      <c r="J74045"/>
    </row>
    <row r="74046" spans="10:10" x14ac:dyDescent="0.3">
      <c r="J74046"/>
    </row>
    <row r="74047" spans="10:10" x14ac:dyDescent="0.3">
      <c r="J74047"/>
    </row>
    <row r="74048" spans="10:10" x14ac:dyDescent="0.3">
      <c r="J74048"/>
    </row>
    <row r="74049" spans="10:10" x14ac:dyDescent="0.3">
      <c r="J74049"/>
    </row>
    <row r="74050" spans="10:10" x14ac:dyDescent="0.3">
      <c r="J74050"/>
    </row>
    <row r="74051" spans="10:10" x14ac:dyDescent="0.3">
      <c r="J74051"/>
    </row>
    <row r="74052" spans="10:10" x14ac:dyDescent="0.3">
      <c r="J74052"/>
    </row>
    <row r="74053" spans="10:10" x14ac:dyDescent="0.3">
      <c r="J74053"/>
    </row>
    <row r="74054" spans="10:10" x14ac:dyDescent="0.3">
      <c r="J74054"/>
    </row>
    <row r="74055" spans="10:10" x14ac:dyDescent="0.3">
      <c r="J74055"/>
    </row>
    <row r="74056" spans="10:10" x14ac:dyDescent="0.3">
      <c r="J74056"/>
    </row>
    <row r="74057" spans="10:10" x14ac:dyDescent="0.3">
      <c r="J74057"/>
    </row>
    <row r="74058" spans="10:10" x14ac:dyDescent="0.3">
      <c r="J74058"/>
    </row>
    <row r="74059" spans="10:10" x14ac:dyDescent="0.3">
      <c r="J74059"/>
    </row>
    <row r="74060" spans="10:10" x14ac:dyDescent="0.3">
      <c r="J74060"/>
    </row>
    <row r="74061" spans="10:10" x14ac:dyDescent="0.3">
      <c r="J74061"/>
    </row>
    <row r="74062" spans="10:10" x14ac:dyDescent="0.3">
      <c r="J74062"/>
    </row>
    <row r="74063" spans="10:10" x14ac:dyDescent="0.3">
      <c r="J74063"/>
    </row>
    <row r="74064" spans="10:10" x14ac:dyDescent="0.3">
      <c r="J74064"/>
    </row>
    <row r="74065" spans="10:10" x14ac:dyDescent="0.3">
      <c r="J74065"/>
    </row>
    <row r="74066" spans="10:10" x14ac:dyDescent="0.3">
      <c r="J74066"/>
    </row>
    <row r="74067" spans="10:10" x14ac:dyDescent="0.3">
      <c r="J74067"/>
    </row>
    <row r="74068" spans="10:10" x14ac:dyDescent="0.3">
      <c r="J74068"/>
    </row>
    <row r="74069" spans="10:10" x14ac:dyDescent="0.3">
      <c r="J74069"/>
    </row>
    <row r="74070" spans="10:10" x14ac:dyDescent="0.3">
      <c r="J74070"/>
    </row>
    <row r="74071" spans="10:10" x14ac:dyDescent="0.3">
      <c r="J74071"/>
    </row>
    <row r="74072" spans="10:10" x14ac:dyDescent="0.3">
      <c r="J74072"/>
    </row>
    <row r="74073" spans="10:10" x14ac:dyDescent="0.3">
      <c r="J74073"/>
    </row>
    <row r="74074" spans="10:10" x14ac:dyDescent="0.3">
      <c r="J74074"/>
    </row>
    <row r="74075" spans="10:10" x14ac:dyDescent="0.3">
      <c r="J74075"/>
    </row>
    <row r="74076" spans="10:10" x14ac:dyDescent="0.3">
      <c r="J74076"/>
    </row>
    <row r="74077" spans="10:10" x14ac:dyDescent="0.3">
      <c r="J74077"/>
    </row>
    <row r="74078" spans="10:10" x14ac:dyDescent="0.3">
      <c r="J74078"/>
    </row>
    <row r="74079" spans="10:10" x14ac:dyDescent="0.3">
      <c r="J74079"/>
    </row>
    <row r="74080" spans="10:10" x14ac:dyDescent="0.3">
      <c r="J74080"/>
    </row>
    <row r="74081" spans="10:10" x14ac:dyDescent="0.3">
      <c r="J74081"/>
    </row>
    <row r="74082" spans="10:10" x14ac:dyDescent="0.3">
      <c r="J74082"/>
    </row>
    <row r="74083" spans="10:10" x14ac:dyDescent="0.3">
      <c r="J74083"/>
    </row>
    <row r="74084" spans="10:10" x14ac:dyDescent="0.3">
      <c r="J74084"/>
    </row>
    <row r="74085" spans="10:10" x14ac:dyDescent="0.3">
      <c r="J74085"/>
    </row>
    <row r="74086" spans="10:10" x14ac:dyDescent="0.3">
      <c r="J74086"/>
    </row>
    <row r="74087" spans="10:10" x14ac:dyDescent="0.3">
      <c r="J74087"/>
    </row>
    <row r="74088" spans="10:10" x14ac:dyDescent="0.3">
      <c r="J74088"/>
    </row>
    <row r="74089" spans="10:10" x14ac:dyDescent="0.3">
      <c r="J74089"/>
    </row>
    <row r="74090" spans="10:10" x14ac:dyDescent="0.3">
      <c r="J74090"/>
    </row>
    <row r="74091" spans="10:10" x14ac:dyDescent="0.3">
      <c r="J74091"/>
    </row>
    <row r="74092" spans="10:10" x14ac:dyDescent="0.3">
      <c r="J74092"/>
    </row>
    <row r="74093" spans="10:10" x14ac:dyDescent="0.3">
      <c r="J74093"/>
    </row>
    <row r="74094" spans="10:10" x14ac:dyDescent="0.3">
      <c r="J74094"/>
    </row>
    <row r="74095" spans="10:10" x14ac:dyDescent="0.3">
      <c r="J74095"/>
    </row>
    <row r="74096" spans="10:10" x14ac:dyDescent="0.3">
      <c r="J74096"/>
    </row>
    <row r="74097" spans="10:10" x14ac:dyDescent="0.3">
      <c r="J74097"/>
    </row>
    <row r="74098" spans="10:10" x14ac:dyDescent="0.3">
      <c r="J74098"/>
    </row>
    <row r="74099" spans="10:10" x14ac:dyDescent="0.3">
      <c r="J74099"/>
    </row>
    <row r="74100" spans="10:10" x14ac:dyDescent="0.3">
      <c r="J74100"/>
    </row>
    <row r="74101" spans="10:10" x14ac:dyDescent="0.3">
      <c r="J74101"/>
    </row>
    <row r="74102" spans="10:10" x14ac:dyDescent="0.3">
      <c r="J74102"/>
    </row>
    <row r="74103" spans="10:10" x14ac:dyDescent="0.3">
      <c r="J74103"/>
    </row>
    <row r="74104" spans="10:10" x14ac:dyDescent="0.3">
      <c r="J74104"/>
    </row>
    <row r="74105" spans="10:10" x14ac:dyDescent="0.3">
      <c r="J74105"/>
    </row>
    <row r="74106" spans="10:10" x14ac:dyDescent="0.3">
      <c r="J74106"/>
    </row>
    <row r="74107" spans="10:10" x14ac:dyDescent="0.3">
      <c r="J74107"/>
    </row>
    <row r="74108" spans="10:10" x14ac:dyDescent="0.3">
      <c r="J74108"/>
    </row>
    <row r="74109" spans="10:10" x14ac:dyDescent="0.3">
      <c r="J74109"/>
    </row>
    <row r="74110" spans="10:10" x14ac:dyDescent="0.3">
      <c r="J74110"/>
    </row>
    <row r="74111" spans="10:10" x14ac:dyDescent="0.3">
      <c r="J74111"/>
    </row>
    <row r="74112" spans="10:10" x14ac:dyDescent="0.3">
      <c r="J74112"/>
    </row>
    <row r="74113" spans="10:10" x14ac:dyDescent="0.3">
      <c r="J74113"/>
    </row>
    <row r="74114" spans="10:10" x14ac:dyDescent="0.3">
      <c r="J74114"/>
    </row>
    <row r="74115" spans="10:10" x14ac:dyDescent="0.3">
      <c r="J74115"/>
    </row>
    <row r="74116" spans="10:10" x14ac:dyDescent="0.3">
      <c r="J74116"/>
    </row>
    <row r="74117" spans="10:10" x14ac:dyDescent="0.3">
      <c r="J74117"/>
    </row>
    <row r="74118" spans="10:10" x14ac:dyDescent="0.3">
      <c r="J74118"/>
    </row>
    <row r="74119" spans="10:10" x14ac:dyDescent="0.3">
      <c r="J74119"/>
    </row>
    <row r="74120" spans="10:10" x14ac:dyDescent="0.3">
      <c r="J74120"/>
    </row>
    <row r="74121" spans="10:10" x14ac:dyDescent="0.3">
      <c r="J74121"/>
    </row>
    <row r="74122" spans="10:10" x14ac:dyDescent="0.3">
      <c r="J74122"/>
    </row>
    <row r="74123" spans="10:10" x14ac:dyDescent="0.3">
      <c r="J74123"/>
    </row>
    <row r="74124" spans="10:10" x14ac:dyDescent="0.3">
      <c r="J74124"/>
    </row>
    <row r="74125" spans="10:10" x14ac:dyDescent="0.3">
      <c r="J74125"/>
    </row>
    <row r="74126" spans="10:10" x14ac:dyDescent="0.3">
      <c r="J74126"/>
    </row>
    <row r="74127" spans="10:10" x14ac:dyDescent="0.3">
      <c r="J74127"/>
    </row>
    <row r="74128" spans="10:10" x14ac:dyDescent="0.3">
      <c r="J74128"/>
    </row>
    <row r="74129" spans="10:10" x14ac:dyDescent="0.3">
      <c r="J74129"/>
    </row>
    <row r="74130" spans="10:10" x14ac:dyDescent="0.3">
      <c r="J74130"/>
    </row>
    <row r="74131" spans="10:10" x14ac:dyDescent="0.3">
      <c r="J74131"/>
    </row>
    <row r="74132" spans="10:10" x14ac:dyDescent="0.3">
      <c r="J74132"/>
    </row>
    <row r="74133" spans="10:10" x14ac:dyDescent="0.3">
      <c r="J74133"/>
    </row>
    <row r="74134" spans="10:10" x14ac:dyDescent="0.3">
      <c r="J74134"/>
    </row>
    <row r="74135" spans="10:10" x14ac:dyDescent="0.3">
      <c r="J74135"/>
    </row>
    <row r="74136" spans="10:10" x14ac:dyDescent="0.3">
      <c r="J74136"/>
    </row>
    <row r="74137" spans="10:10" x14ac:dyDescent="0.3">
      <c r="J74137"/>
    </row>
    <row r="74138" spans="10:10" x14ac:dyDescent="0.3">
      <c r="J74138"/>
    </row>
    <row r="74139" spans="10:10" x14ac:dyDescent="0.3">
      <c r="J74139"/>
    </row>
    <row r="74140" spans="10:10" x14ac:dyDescent="0.3">
      <c r="J74140"/>
    </row>
    <row r="74141" spans="10:10" x14ac:dyDescent="0.3">
      <c r="J74141"/>
    </row>
    <row r="74142" spans="10:10" x14ac:dyDescent="0.3">
      <c r="J74142"/>
    </row>
    <row r="74143" spans="10:10" x14ac:dyDescent="0.3">
      <c r="J74143"/>
    </row>
    <row r="74144" spans="10:10" x14ac:dyDescent="0.3">
      <c r="J74144"/>
    </row>
    <row r="74145" spans="10:10" x14ac:dyDescent="0.3">
      <c r="J74145"/>
    </row>
    <row r="74146" spans="10:10" x14ac:dyDescent="0.3">
      <c r="J74146"/>
    </row>
    <row r="74147" spans="10:10" x14ac:dyDescent="0.3">
      <c r="J74147"/>
    </row>
    <row r="74148" spans="10:10" x14ac:dyDescent="0.3">
      <c r="J74148"/>
    </row>
    <row r="74149" spans="10:10" x14ac:dyDescent="0.3">
      <c r="J74149"/>
    </row>
    <row r="74150" spans="10:10" x14ac:dyDescent="0.3">
      <c r="J74150"/>
    </row>
    <row r="74151" spans="10:10" x14ac:dyDescent="0.3">
      <c r="J74151"/>
    </row>
    <row r="74152" spans="10:10" x14ac:dyDescent="0.3">
      <c r="J74152"/>
    </row>
    <row r="74153" spans="10:10" x14ac:dyDescent="0.3">
      <c r="J74153"/>
    </row>
    <row r="74154" spans="10:10" x14ac:dyDescent="0.3">
      <c r="J74154"/>
    </row>
    <row r="74155" spans="10:10" x14ac:dyDescent="0.3">
      <c r="J74155"/>
    </row>
    <row r="74156" spans="10:10" x14ac:dyDescent="0.3">
      <c r="J74156"/>
    </row>
    <row r="74157" spans="10:10" x14ac:dyDescent="0.3">
      <c r="J74157"/>
    </row>
    <row r="74158" spans="10:10" x14ac:dyDescent="0.3">
      <c r="J74158"/>
    </row>
    <row r="74159" spans="10:10" x14ac:dyDescent="0.3">
      <c r="J74159"/>
    </row>
    <row r="74160" spans="10:10" x14ac:dyDescent="0.3">
      <c r="J74160"/>
    </row>
    <row r="74161" spans="10:10" x14ac:dyDescent="0.3">
      <c r="J74161"/>
    </row>
    <row r="74162" spans="10:10" x14ac:dyDescent="0.3">
      <c r="J74162"/>
    </row>
    <row r="74163" spans="10:10" x14ac:dyDescent="0.3">
      <c r="J74163"/>
    </row>
    <row r="74164" spans="10:10" x14ac:dyDescent="0.3">
      <c r="J74164"/>
    </row>
    <row r="74165" spans="10:10" x14ac:dyDescent="0.3">
      <c r="J74165"/>
    </row>
    <row r="74166" spans="10:10" x14ac:dyDescent="0.3">
      <c r="J74166"/>
    </row>
    <row r="74167" spans="10:10" x14ac:dyDescent="0.3">
      <c r="J74167"/>
    </row>
    <row r="74168" spans="10:10" x14ac:dyDescent="0.3">
      <c r="J74168"/>
    </row>
    <row r="74169" spans="10:10" x14ac:dyDescent="0.3">
      <c r="J74169"/>
    </row>
    <row r="74170" spans="10:10" x14ac:dyDescent="0.3">
      <c r="J74170"/>
    </row>
    <row r="74171" spans="10:10" x14ac:dyDescent="0.3">
      <c r="J74171"/>
    </row>
    <row r="74172" spans="10:10" x14ac:dyDescent="0.3">
      <c r="J74172"/>
    </row>
    <row r="74173" spans="10:10" x14ac:dyDescent="0.3">
      <c r="J74173"/>
    </row>
    <row r="74174" spans="10:10" x14ac:dyDescent="0.3">
      <c r="J74174"/>
    </row>
    <row r="74175" spans="10:10" x14ac:dyDescent="0.3">
      <c r="J74175"/>
    </row>
    <row r="74176" spans="10:10" x14ac:dyDescent="0.3">
      <c r="J74176"/>
    </row>
    <row r="74177" spans="10:10" x14ac:dyDescent="0.3">
      <c r="J74177"/>
    </row>
    <row r="74178" spans="10:10" x14ac:dyDescent="0.3">
      <c r="J74178"/>
    </row>
    <row r="74179" spans="10:10" x14ac:dyDescent="0.3">
      <c r="J74179"/>
    </row>
    <row r="74180" spans="10:10" x14ac:dyDescent="0.3">
      <c r="J74180"/>
    </row>
    <row r="74181" spans="10:10" x14ac:dyDescent="0.3">
      <c r="J74181"/>
    </row>
    <row r="74182" spans="10:10" x14ac:dyDescent="0.3">
      <c r="J74182"/>
    </row>
    <row r="74183" spans="10:10" x14ac:dyDescent="0.3">
      <c r="J74183"/>
    </row>
    <row r="74184" spans="10:10" x14ac:dyDescent="0.3">
      <c r="J74184"/>
    </row>
    <row r="74185" spans="10:10" x14ac:dyDescent="0.3">
      <c r="J74185"/>
    </row>
    <row r="74186" spans="10:10" x14ac:dyDescent="0.3">
      <c r="J74186"/>
    </row>
    <row r="74187" spans="10:10" x14ac:dyDescent="0.3">
      <c r="J74187"/>
    </row>
    <row r="74188" spans="10:10" x14ac:dyDescent="0.3">
      <c r="J74188"/>
    </row>
    <row r="74189" spans="10:10" x14ac:dyDescent="0.3">
      <c r="J74189"/>
    </row>
    <row r="74190" spans="10:10" x14ac:dyDescent="0.3">
      <c r="J74190"/>
    </row>
    <row r="74191" spans="10:10" x14ac:dyDescent="0.3">
      <c r="J74191"/>
    </row>
    <row r="74192" spans="10:10" x14ac:dyDescent="0.3">
      <c r="J74192"/>
    </row>
    <row r="74193" spans="10:10" x14ac:dyDescent="0.3">
      <c r="J74193"/>
    </row>
    <row r="74194" spans="10:10" x14ac:dyDescent="0.3">
      <c r="J74194"/>
    </row>
    <row r="74195" spans="10:10" x14ac:dyDescent="0.3">
      <c r="J74195"/>
    </row>
    <row r="74196" spans="10:10" x14ac:dyDescent="0.3">
      <c r="J74196"/>
    </row>
    <row r="74197" spans="10:10" x14ac:dyDescent="0.3">
      <c r="J74197"/>
    </row>
    <row r="74198" spans="10:10" x14ac:dyDescent="0.3">
      <c r="J74198"/>
    </row>
    <row r="74199" spans="10:10" x14ac:dyDescent="0.3">
      <c r="J74199"/>
    </row>
    <row r="74200" spans="10:10" x14ac:dyDescent="0.3">
      <c r="J74200"/>
    </row>
    <row r="74201" spans="10:10" x14ac:dyDescent="0.3">
      <c r="J74201"/>
    </row>
    <row r="74202" spans="10:10" x14ac:dyDescent="0.3">
      <c r="J74202"/>
    </row>
    <row r="74203" spans="10:10" x14ac:dyDescent="0.3">
      <c r="J74203"/>
    </row>
    <row r="74204" spans="10:10" x14ac:dyDescent="0.3">
      <c r="J74204"/>
    </row>
    <row r="74205" spans="10:10" x14ac:dyDescent="0.3">
      <c r="J74205"/>
    </row>
    <row r="74206" spans="10:10" x14ac:dyDescent="0.3">
      <c r="J74206"/>
    </row>
    <row r="74207" spans="10:10" x14ac:dyDescent="0.3">
      <c r="J74207"/>
    </row>
    <row r="74208" spans="10:10" x14ac:dyDescent="0.3">
      <c r="J74208"/>
    </row>
    <row r="74209" spans="10:10" x14ac:dyDescent="0.3">
      <c r="J74209"/>
    </row>
    <row r="74210" spans="10:10" x14ac:dyDescent="0.3">
      <c r="J74210"/>
    </row>
    <row r="74211" spans="10:10" x14ac:dyDescent="0.3">
      <c r="J74211"/>
    </row>
    <row r="74212" spans="10:10" x14ac:dyDescent="0.3">
      <c r="J74212"/>
    </row>
    <row r="74213" spans="10:10" x14ac:dyDescent="0.3">
      <c r="J74213"/>
    </row>
    <row r="74214" spans="10:10" x14ac:dyDescent="0.3">
      <c r="J74214"/>
    </row>
    <row r="74215" spans="10:10" x14ac:dyDescent="0.3">
      <c r="J74215"/>
    </row>
    <row r="74216" spans="10:10" x14ac:dyDescent="0.3">
      <c r="J74216"/>
    </row>
    <row r="74217" spans="10:10" x14ac:dyDescent="0.3">
      <c r="J74217"/>
    </row>
    <row r="74218" spans="10:10" x14ac:dyDescent="0.3">
      <c r="J74218"/>
    </row>
    <row r="74219" spans="10:10" x14ac:dyDescent="0.3">
      <c r="J74219"/>
    </row>
    <row r="74220" spans="10:10" x14ac:dyDescent="0.3">
      <c r="J74220"/>
    </row>
    <row r="74221" spans="10:10" x14ac:dyDescent="0.3">
      <c r="J74221"/>
    </row>
    <row r="74222" spans="10:10" x14ac:dyDescent="0.3">
      <c r="J74222"/>
    </row>
    <row r="74223" spans="10:10" x14ac:dyDescent="0.3">
      <c r="J74223"/>
    </row>
    <row r="74224" spans="10:10" x14ac:dyDescent="0.3">
      <c r="J74224"/>
    </row>
    <row r="74225" spans="10:10" x14ac:dyDescent="0.3">
      <c r="J74225"/>
    </row>
    <row r="74226" spans="10:10" x14ac:dyDescent="0.3">
      <c r="J74226"/>
    </row>
    <row r="74227" spans="10:10" x14ac:dyDescent="0.3">
      <c r="J74227"/>
    </row>
    <row r="74228" spans="10:10" x14ac:dyDescent="0.3">
      <c r="J74228"/>
    </row>
    <row r="74229" spans="10:10" x14ac:dyDescent="0.3">
      <c r="J74229"/>
    </row>
    <row r="74230" spans="10:10" x14ac:dyDescent="0.3">
      <c r="J74230"/>
    </row>
    <row r="74231" spans="10:10" x14ac:dyDescent="0.3">
      <c r="J74231"/>
    </row>
    <row r="74232" spans="10:10" x14ac:dyDescent="0.3">
      <c r="J74232"/>
    </row>
    <row r="74233" spans="10:10" x14ac:dyDescent="0.3">
      <c r="J74233"/>
    </row>
    <row r="74234" spans="10:10" x14ac:dyDescent="0.3">
      <c r="J74234"/>
    </row>
    <row r="74235" spans="10:10" x14ac:dyDescent="0.3">
      <c r="J74235"/>
    </row>
    <row r="74236" spans="10:10" x14ac:dyDescent="0.3">
      <c r="J74236"/>
    </row>
    <row r="74237" spans="10:10" x14ac:dyDescent="0.3">
      <c r="J74237"/>
    </row>
    <row r="74238" spans="10:10" x14ac:dyDescent="0.3">
      <c r="J74238"/>
    </row>
    <row r="74239" spans="10:10" x14ac:dyDescent="0.3">
      <c r="J74239"/>
    </row>
    <row r="74240" spans="10:10" x14ac:dyDescent="0.3">
      <c r="J74240"/>
    </row>
    <row r="74241" spans="10:10" x14ac:dyDescent="0.3">
      <c r="J74241"/>
    </row>
    <row r="74242" spans="10:10" x14ac:dyDescent="0.3">
      <c r="J74242"/>
    </row>
    <row r="74243" spans="10:10" x14ac:dyDescent="0.3">
      <c r="J74243"/>
    </row>
    <row r="74244" spans="10:10" x14ac:dyDescent="0.3">
      <c r="J74244"/>
    </row>
    <row r="74245" spans="10:10" x14ac:dyDescent="0.3">
      <c r="J74245"/>
    </row>
    <row r="74246" spans="10:10" x14ac:dyDescent="0.3">
      <c r="J74246"/>
    </row>
    <row r="74247" spans="10:10" x14ac:dyDescent="0.3">
      <c r="J74247"/>
    </row>
    <row r="74248" spans="10:10" x14ac:dyDescent="0.3">
      <c r="J74248"/>
    </row>
    <row r="74249" spans="10:10" x14ac:dyDescent="0.3">
      <c r="J74249"/>
    </row>
    <row r="74250" spans="10:10" x14ac:dyDescent="0.3">
      <c r="J74250"/>
    </row>
    <row r="74251" spans="10:10" x14ac:dyDescent="0.3">
      <c r="J74251"/>
    </row>
    <row r="74252" spans="10:10" x14ac:dyDescent="0.3">
      <c r="J74252"/>
    </row>
    <row r="74253" spans="10:10" x14ac:dyDescent="0.3">
      <c r="J74253"/>
    </row>
    <row r="74254" spans="10:10" x14ac:dyDescent="0.3">
      <c r="J74254"/>
    </row>
    <row r="74255" spans="10:10" x14ac:dyDescent="0.3">
      <c r="J74255"/>
    </row>
    <row r="74256" spans="10:10" x14ac:dyDescent="0.3">
      <c r="J74256"/>
    </row>
    <row r="74257" spans="10:10" x14ac:dyDescent="0.3">
      <c r="J74257"/>
    </row>
    <row r="74258" spans="10:10" x14ac:dyDescent="0.3">
      <c r="J74258"/>
    </row>
    <row r="74259" spans="10:10" x14ac:dyDescent="0.3">
      <c r="J74259"/>
    </row>
    <row r="74260" spans="10:10" x14ac:dyDescent="0.3">
      <c r="J74260"/>
    </row>
    <row r="74261" spans="10:10" x14ac:dyDescent="0.3">
      <c r="J74261"/>
    </row>
    <row r="74262" spans="10:10" x14ac:dyDescent="0.3">
      <c r="J74262"/>
    </row>
    <row r="74263" spans="10:10" x14ac:dyDescent="0.3">
      <c r="J74263"/>
    </row>
    <row r="74264" spans="10:10" x14ac:dyDescent="0.3">
      <c r="J74264"/>
    </row>
    <row r="74265" spans="10:10" x14ac:dyDescent="0.3">
      <c r="J74265"/>
    </row>
    <row r="74266" spans="10:10" x14ac:dyDescent="0.3">
      <c r="J74266"/>
    </row>
    <row r="74267" spans="10:10" x14ac:dyDescent="0.3">
      <c r="J74267"/>
    </row>
    <row r="74268" spans="10:10" x14ac:dyDescent="0.3">
      <c r="J74268"/>
    </row>
    <row r="74269" spans="10:10" x14ac:dyDescent="0.3">
      <c r="J74269"/>
    </row>
    <row r="74270" spans="10:10" x14ac:dyDescent="0.3">
      <c r="J74270"/>
    </row>
    <row r="74271" spans="10:10" x14ac:dyDescent="0.3">
      <c r="J74271"/>
    </row>
    <row r="74272" spans="10:10" x14ac:dyDescent="0.3">
      <c r="J74272"/>
    </row>
    <row r="74273" spans="10:10" x14ac:dyDescent="0.3">
      <c r="J74273"/>
    </row>
    <row r="74274" spans="10:10" x14ac:dyDescent="0.3">
      <c r="J74274"/>
    </row>
    <row r="74275" spans="10:10" x14ac:dyDescent="0.3">
      <c r="J74275"/>
    </row>
    <row r="74276" spans="10:10" x14ac:dyDescent="0.3">
      <c r="J74276"/>
    </row>
    <row r="74277" spans="10:10" x14ac:dyDescent="0.3">
      <c r="J74277"/>
    </row>
    <row r="74278" spans="10:10" x14ac:dyDescent="0.3">
      <c r="J74278"/>
    </row>
    <row r="74279" spans="10:10" x14ac:dyDescent="0.3">
      <c r="J74279"/>
    </row>
    <row r="74280" spans="10:10" x14ac:dyDescent="0.3">
      <c r="J74280"/>
    </row>
    <row r="74281" spans="10:10" x14ac:dyDescent="0.3">
      <c r="J74281"/>
    </row>
    <row r="74282" spans="10:10" x14ac:dyDescent="0.3">
      <c r="J74282"/>
    </row>
    <row r="74283" spans="10:10" x14ac:dyDescent="0.3">
      <c r="J74283"/>
    </row>
    <row r="74284" spans="10:10" x14ac:dyDescent="0.3">
      <c r="J74284"/>
    </row>
    <row r="74285" spans="10:10" x14ac:dyDescent="0.3">
      <c r="J74285"/>
    </row>
    <row r="74286" spans="10:10" x14ac:dyDescent="0.3">
      <c r="J74286"/>
    </row>
    <row r="74287" spans="10:10" x14ac:dyDescent="0.3">
      <c r="J74287"/>
    </row>
    <row r="74288" spans="10:10" x14ac:dyDescent="0.3">
      <c r="J74288"/>
    </row>
    <row r="74289" spans="10:10" x14ac:dyDescent="0.3">
      <c r="J74289"/>
    </row>
    <row r="74290" spans="10:10" x14ac:dyDescent="0.3">
      <c r="J74290"/>
    </row>
    <row r="74291" spans="10:10" x14ac:dyDescent="0.3">
      <c r="J74291"/>
    </row>
    <row r="74292" spans="10:10" x14ac:dyDescent="0.3">
      <c r="J74292"/>
    </row>
    <row r="74293" spans="10:10" x14ac:dyDescent="0.3">
      <c r="J74293"/>
    </row>
    <row r="74294" spans="10:10" x14ac:dyDescent="0.3">
      <c r="J74294"/>
    </row>
    <row r="74295" spans="10:10" x14ac:dyDescent="0.3">
      <c r="J74295"/>
    </row>
    <row r="74296" spans="10:10" x14ac:dyDescent="0.3">
      <c r="J74296"/>
    </row>
    <row r="74297" spans="10:10" x14ac:dyDescent="0.3">
      <c r="J74297"/>
    </row>
    <row r="74298" spans="10:10" x14ac:dyDescent="0.3">
      <c r="J74298"/>
    </row>
    <row r="74299" spans="10:10" x14ac:dyDescent="0.3">
      <c r="J74299"/>
    </row>
    <row r="74300" spans="10:10" x14ac:dyDescent="0.3">
      <c r="J74300"/>
    </row>
    <row r="74301" spans="10:10" x14ac:dyDescent="0.3">
      <c r="J74301"/>
    </row>
    <row r="74302" spans="10:10" x14ac:dyDescent="0.3">
      <c r="J74302"/>
    </row>
    <row r="74303" spans="10:10" x14ac:dyDescent="0.3">
      <c r="J74303"/>
    </row>
    <row r="74304" spans="10:10" x14ac:dyDescent="0.3">
      <c r="J74304"/>
    </row>
    <row r="74305" spans="10:10" x14ac:dyDescent="0.3">
      <c r="J74305"/>
    </row>
    <row r="74306" spans="10:10" x14ac:dyDescent="0.3">
      <c r="J74306"/>
    </row>
    <row r="74307" spans="10:10" x14ac:dyDescent="0.3">
      <c r="J74307"/>
    </row>
    <row r="74308" spans="10:10" x14ac:dyDescent="0.3">
      <c r="J74308"/>
    </row>
    <row r="74309" spans="10:10" x14ac:dyDescent="0.3">
      <c r="J74309"/>
    </row>
    <row r="74310" spans="10:10" x14ac:dyDescent="0.3">
      <c r="J74310"/>
    </row>
    <row r="74311" spans="10:10" x14ac:dyDescent="0.3">
      <c r="J74311"/>
    </row>
    <row r="74312" spans="10:10" x14ac:dyDescent="0.3">
      <c r="J74312"/>
    </row>
    <row r="74313" spans="10:10" x14ac:dyDescent="0.3">
      <c r="J74313"/>
    </row>
    <row r="74314" spans="10:10" x14ac:dyDescent="0.3">
      <c r="J74314"/>
    </row>
    <row r="74315" spans="10:10" x14ac:dyDescent="0.3">
      <c r="J74315"/>
    </row>
    <row r="74316" spans="10:10" x14ac:dyDescent="0.3">
      <c r="J74316"/>
    </row>
    <row r="74317" spans="10:10" x14ac:dyDescent="0.3">
      <c r="J74317"/>
    </row>
    <row r="74318" spans="10:10" x14ac:dyDescent="0.3">
      <c r="J74318"/>
    </row>
    <row r="74319" spans="10:10" x14ac:dyDescent="0.3">
      <c r="J74319"/>
    </row>
    <row r="74320" spans="10:10" x14ac:dyDescent="0.3">
      <c r="J74320"/>
    </row>
    <row r="74321" spans="10:10" x14ac:dyDescent="0.3">
      <c r="J74321"/>
    </row>
    <row r="74322" spans="10:10" x14ac:dyDescent="0.3">
      <c r="J74322"/>
    </row>
    <row r="74323" spans="10:10" x14ac:dyDescent="0.3">
      <c r="J74323"/>
    </row>
    <row r="74324" spans="10:10" x14ac:dyDescent="0.3">
      <c r="J74324"/>
    </row>
    <row r="74325" spans="10:10" x14ac:dyDescent="0.3">
      <c r="J74325"/>
    </row>
    <row r="74326" spans="10:10" x14ac:dyDescent="0.3">
      <c r="J74326"/>
    </row>
    <row r="74327" spans="10:10" x14ac:dyDescent="0.3">
      <c r="J74327"/>
    </row>
    <row r="74328" spans="10:10" x14ac:dyDescent="0.3">
      <c r="J74328"/>
    </row>
    <row r="74329" spans="10:10" x14ac:dyDescent="0.3">
      <c r="J74329"/>
    </row>
    <row r="74330" spans="10:10" x14ac:dyDescent="0.3">
      <c r="J74330"/>
    </row>
    <row r="74331" spans="10:10" x14ac:dyDescent="0.3">
      <c r="J74331"/>
    </row>
    <row r="74332" spans="10:10" x14ac:dyDescent="0.3">
      <c r="J74332"/>
    </row>
    <row r="74333" spans="10:10" x14ac:dyDescent="0.3">
      <c r="J74333"/>
    </row>
    <row r="74334" spans="10:10" x14ac:dyDescent="0.3">
      <c r="J74334"/>
    </row>
    <row r="74335" spans="10:10" x14ac:dyDescent="0.3">
      <c r="J74335"/>
    </row>
    <row r="74336" spans="10:10" x14ac:dyDescent="0.3">
      <c r="J74336"/>
    </row>
    <row r="74337" spans="10:10" x14ac:dyDescent="0.3">
      <c r="J74337"/>
    </row>
    <row r="74338" spans="10:10" x14ac:dyDescent="0.3">
      <c r="J74338"/>
    </row>
    <row r="74339" spans="10:10" x14ac:dyDescent="0.3">
      <c r="J74339"/>
    </row>
    <row r="74340" spans="10:10" x14ac:dyDescent="0.3">
      <c r="J74340"/>
    </row>
    <row r="74341" spans="10:10" x14ac:dyDescent="0.3">
      <c r="J74341"/>
    </row>
    <row r="74342" spans="10:10" x14ac:dyDescent="0.3">
      <c r="J74342"/>
    </row>
    <row r="74343" spans="10:10" x14ac:dyDescent="0.3">
      <c r="J74343"/>
    </row>
    <row r="74344" spans="10:10" x14ac:dyDescent="0.3">
      <c r="J74344"/>
    </row>
    <row r="74345" spans="10:10" x14ac:dyDescent="0.3">
      <c r="J74345"/>
    </row>
    <row r="74346" spans="10:10" x14ac:dyDescent="0.3">
      <c r="J74346"/>
    </row>
    <row r="74347" spans="10:10" x14ac:dyDescent="0.3">
      <c r="J74347"/>
    </row>
    <row r="74348" spans="10:10" x14ac:dyDescent="0.3">
      <c r="J74348"/>
    </row>
    <row r="74349" spans="10:10" x14ac:dyDescent="0.3">
      <c r="J74349"/>
    </row>
    <row r="74350" spans="10:10" x14ac:dyDescent="0.3">
      <c r="J74350"/>
    </row>
    <row r="74351" spans="10:10" x14ac:dyDescent="0.3">
      <c r="J74351"/>
    </row>
    <row r="74352" spans="10:10" x14ac:dyDescent="0.3">
      <c r="J74352"/>
    </row>
    <row r="74353" spans="10:10" x14ac:dyDescent="0.3">
      <c r="J74353"/>
    </row>
    <row r="74354" spans="10:10" x14ac:dyDescent="0.3">
      <c r="J74354"/>
    </row>
    <row r="74355" spans="10:10" x14ac:dyDescent="0.3">
      <c r="J74355"/>
    </row>
    <row r="74356" spans="10:10" x14ac:dyDescent="0.3">
      <c r="J74356"/>
    </row>
    <row r="74357" spans="10:10" x14ac:dyDescent="0.3">
      <c r="J74357"/>
    </row>
    <row r="74358" spans="10:10" x14ac:dyDescent="0.3">
      <c r="J74358"/>
    </row>
    <row r="74359" spans="10:10" x14ac:dyDescent="0.3">
      <c r="J74359"/>
    </row>
    <row r="74360" spans="10:10" x14ac:dyDescent="0.3">
      <c r="J74360"/>
    </row>
    <row r="74361" spans="10:10" x14ac:dyDescent="0.3">
      <c r="J74361"/>
    </row>
    <row r="74362" spans="10:10" x14ac:dyDescent="0.3">
      <c r="J74362"/>
    </row>
    <row r="74363" spans="10:10" x14ac:dyDescent="0.3">
      <c r="J74363"/>
    </row>
    <row r="74364" spans="10:10" x14ac:dyDescent="0.3">
      <c r="J74364"/>
    </row>
    <row r="74365" spans="10:10" x14ac:dyDescent="0.3">
      <c r="J74365"/>
    </row>
    <row r="74366" spans="10:10" x14ac:dyDescent="0.3">
      <c r="J74366"/>
    </row>
    <row r="74367" spans="10:10" x14ac:dyDescent="0.3">
      <c r="J74367"/>
    </row>
    <row r="74368" spans="10:10" x14ac:dyDescent="0.3">
      <c r="J74368"/>
    </row>
    <row r="74369" spans="10:10" x14ac:dyDescent="0.3">
      <c r="J74369"/>
    </row>
    <row r="74370" spans="10:10" x14ac:dyDescent="0.3">
      <c r="J74370"/>
    </row>
    <row r="74371" spans="10:10" x14ac:dyDescent="0.3">
      <c r="J74371"/>
    </row>
    <row r="74372" spans="10:10" x14ac:dyDescent="0.3">
      <c r="J74372"/>
    </row>
    <row r="74373" spans="10:10" x14ac:dyDescent="0.3">
      <c r="J74373"/>
    </row>
    <row r="74374" spans="10:10" x14ac:dyDescent="0.3">
      <c r="J74374"/>
    </row>
    <row r="74375" spans="10:10" x14ac:dyDescent="0.3">
      <c r="J74375"/>
    </row>
    <row r="74376" spans="10:10" x14ac:dyDescent="0.3">
      <c r="J74376"/>
    </row>
    <row r="74377" spans="10:10" x14ac:dyDescent="0.3">
      <c r="J74377"/>
    </row>
    <row r="74378" spans="10:10" x14ac:dyDescent="0.3">
      <c r="J74378"/>
    </row>
    <row r="74379" spans="10:10" x14ac:dyDescent="0.3">
      <c r="J74379"/>
    </row>
    <row r="74380" spans="10:10" x14ac:dyDescent="0.3">
      <c r="J74380"/>
    </row>
    <row r="74381" spans="10:10" x14ac:dyDescent="0.3">
      <c r="J74381"/>
    </row>
    <row r="74382" spans="10:10" x14ac:dyDescent="0.3">
      <c r="J74382"/>
    </row>
    <row r="74383" spans="10:10" x14ac:dyDescent="0.3">
      <c r="J74383"/>
    </row>
    <row r="74384" spans="10:10" x14ac:dyDescent="0.3">
      <c r="J74384"/>
    </row>
    <row r="74385" spans="10:10" x14ac:dyDescent="0.3">
      <c r="J74385"/>
    </row>
    <row r="74386" spans="10:10" x14ac:dyDescent="0.3">
      <c r="J74386"/>
    </row>
    <row r="74387" spans="10:10" x14ac:dyDescent="0.3">
      <c r="J74387"/>
    </row>
    <row r="74388" spans="10:10" x14ac:dyDescent="0.3">
      <c r="J74388"/>
    </row>
    <row r="74389" spans="10:10" x14ac:dyDescent="0.3">
      <c r="J74389"/>
    </row>
    <row r="74390" spans="10:10" x14ac:dyDescent="0.3">
      <c r="J74390"/>
    </row>
    <row r="74391" spans="10:10" x14ac:dyDescent="0.3">
      <c r="J74391"/>
    </row>
    <row r="74392" spans="10:10" x14ac:dyDescent="0.3">
      <c r="J74392"/>
    </row>
    <row r="74393" spans="10:10" x14ac:dyDescent="0.3">
      <c r="J74393"/>
    </row>
    <row r="74394" spans="10:10" x14ac:dyDescent="0.3">
      <c r="J74394"/>
    </row>
    <row r="74395" spans="10:10" x14ac:dyDescent="0.3">
      <c r="J74395"/>
    </row>
    <row r="74396" spans="10:10" x14ac:dyDescent="0.3">
      <c r="J74396"/>
    </row>
    <row r="74397" spans="10:10" x14ac:dyDescent="0.3">
      <c r="J74397"/>
    </row>
    <row r="74398" spans="10:10" x14ac:dyDescent="0.3">
      <c r="J74398"/>
    </row>
    <row r="74399" spans="10:10" x14ac:dyDescent="0.3">
      <c r="J74399"/>
    </row>
    <row r="74400" spans="10:10" x14ac:dyDescent="0.3">
      <c r="J74400"/>
    </row>
    <row r="74401" spans="10:10" x14ac:dyDescent="0.3">
      <c r="J74401"/>
    </row>
    <row r="74402" spans="10:10" x14ac:dyDescent="0.3">
      <c r="J74402"/>
    </row>
    <row r="74403" spans="10:10" x14ac:dyDescent="0.3">
      <c r="J74403"/>
    </row>
    <row r="74404" spans="10:10" x14ac:dyDescent="0.3">
      <c r="J74404"/>
    </row>
    <row r="74405" spans="10:10" x14ac:dyDescent="0.3">
      <c r="J74405"/>
    </row>
    <row r="74406" spans="10:10" x14ac:dyDescent="0.3">
      <c r="J74406"/>
    </row>
    <row r="74407" spans="10:10" x14ac:dyDescent="0.3">
      <c r="J74407"/>
    </row>
    <row r="74408" spans="10:10" x14ac:dyDescent="0.3">
      <c r="J74408"/>
    </row>
    <row r="74409" spans="10:10" x14ac:dyDescent="0.3">
      <c r="J74409"/>
    </row>
    <row r="74410" spans="10:10" x14ac:dyDescent="0.3">
      <c r="J74410"/>
    </row>
    <row r="74411" spans="10:10" x14ac:dyDescent="0.3">
      <c r="J74411"/>
    </row>
    <row r="74412" spans="10:10" x14ac:dyDescent="0.3">
      <c r="J74412"/>
    </row>
    <row r="74413" spans="10:10" x14ac:dyDescent="0.3">
      <c r="J74413"/>
    </row>
    <row r="74414" spans="10:10" x14ac:dyDescent="0.3">
      <c r="J74414"/>
    </row>
    <row r="74415" spans="10:10" x14ac:dyDescent="0.3">
      <c r="J74415"/>
    </row>
    <row r="74416" spans="10:10" x14ac:dyDescent="0.3">
      <c r="J74416"/>
    </row>
    <row r="74417" spans="10:10" x14ac:dyDescent="0.3">
      <c r="J74417"/>
    </row>
    <row r="74418" spans="10:10" x14ac:dyDescent="0.3">
      <c r="J74418"/>
    </row>
    <row r="74419" spans="10:10" x14ac:dyDescent="0.3">
      <c r="J74419"/>
    </row>
    <row r="74420" spans="10:10" x14ac:dyDescent="0.3">
      <c r="J74420"/>
    </row>
    <row r="74421" spans="10:10" x14ac:dyDescent="0.3">
      <c r="J74421"/>
    </row>
    <row r="74422" spans="10:10" x14ac:dyDescent="0.3">
      <c r="J74422"/>
    </row>
    <row r="74423" spans="10:10" x14ac:dyDescent="0.3">
      <c r="J74423"/>
    </row>
    <row r="74424" spans="10:10" x14ac:dyDescent="0.3">
      <c r="J74424"/>
    </row>
    <row r="74425" spans="10:10" x14ac:dyDescent="0.3">
      <c r="J74425"/>
    </row>
    <row r="74426" spans="10:10" x14ac:dyDescent="0.3">
      <c r="J74426"/>
    </row>
    <row r="74427" spans="10:10" x14ac:dyDescent="0.3">
      <c r="J74427"/>
    </row>
    <row r="74428" spans="10:10" x14ac:dyDescent="0.3">
      <c r="J74428"/>
    </row>
    <row r="74429" spans="10:10" x14ac:dyDescent="0.3">
      <c r="J74429"/>
    </row>
    <row r="74430" spans="10:10" x14ac:dyDescent="0.3">
      <c r="J74430"/>
    </row>
    <row r="74431" spans="10:10" x14ac:dyDescent="0.3">
      <c r="J74431"/>
    </row>
    <row r="74432" spans="10:10" x14ac:dyDescent="0.3">
      <c r="J74432"/>
    </row>
    <row r="74433" spans="10:10" x14ac:dyDescent="0.3">
      <c r="J74433"/>
    </row>
    <row r="74434" spans="10:10" x14ac:dyDescent="0.3">
      <c r="J74434"/>
    </row>
    <row r="74435" spans="10:10" x14ac:dyDescent="0.3">
      <c r="J74435"/>
    </row>
    <row r="74436" spans="10:10" x14ac:dyDescent="0.3">
      <c r="J74436"/>
    </row>
    <row r="74437" spans="10:10" x14ac:dyDescent="0.3">
      <c r="J74437"/>
    </row>
    <row r="74438" spans="10:10" x14ac:dyDescent="0.3">
      <c r="J74438"/>
    </row>
    <row r="74439" spans="10:10" x14ac:dyDescent="0.3">
      <c r="J74439"/>
    </row>
    <row r="74440" spans="10:10" x14ac:dyDescent="0.3">
      <c r="J74440"/>
    </row>
    <row r="74441" spans="10:10" x14ac:dyDescent="0.3">
      <c r="J74441"/>
    </row>
    <row r="74442" spans="10:10" x14ac:dyDescent="0.3">
      <c r="J74442"/>
    </row>
    <row r="74443" spans="10:10" x14ac:dyDescent="0.3">
      <c r="J74443"/>
    </row>
    <row r="74444" spans="10:10" x14ac:dyDescent="0.3">
      <c r="J74444"/>
    </row>
    <row r="74445" spans="10:10" x14ac:dyDescent="0.3">
      <c r="J74445"/>
    </row>
    <row r="74446" spans="10:10" x14ac:dyDescent="0.3">
      <c r="J74446"/>
    </row>
    <row r="74447" spans="10:10" x14ac:dyDescent="0.3">
      <c r="J74447"/>
    </row>
    <row r="74448" spans="10:10" x14ac:dyDescent="0.3">
      <c r="J74448"/>
    </row>
    <row r="74449" spans="10:10" x14ac:dyDescent="0.3">
      <c r="J74449"/>
    </row>
    <row r="74450" spans="10:10" x14ac:dyDescent="0.3">
      <c r="J74450"/>
    </row>
    <row r="74451" spans="10:10" x14ac:dyDescent="0.3">
      <c r="J74451"/>
    </row>
    <row r="74452" spans="10:10" x14ac:dyDescent="0.3">
      <c r="J74452"/>
    </row>
    <row r="74453" spans="10:10" x14ac:dyDescent="0.3">
      <c r="J74453"/>
    </row>
    <row r="74454" spans="10:10" x14ac:dyDescent="0.3">
      <c r="J74454"/>
    </row>
    <row r="74455" spans="10:10" x14ac:dyDescent="0.3">
      <c r="J74455"/>
    </row>
    <row r="74456" spans="10:10" x14ac:dyDescent="0.3">
      <c r="J74456"/>
    </row>
    <row r="74457" spans="10:10" x14ac:dyDescent="0.3">
      <c r="J74457"/>
    </row>
    <row r="74458" spans="10:10" x14ac:dyDescent="0.3">
      <c r="J74458"/>
    </row>
    <row r="74459" spans="10:10" x14ac:dyDescent="0.3">
      <c r="J74459"/>
    </row>
    <row r="74460" spans="10:10" x14ac:dyDescent="0.3">
      <c r="J74460"/>
    </row>
    <row r="74461" spans="10:10" x14ac:dyDescent="0.3">
      <c r="J74461"/>
    </row>
    <row r="74462" spans="10:10" x14ac:dyDescent="0.3">
      <c r="J74462"/>
    </row>
    <row r="74463" spans="10:10" x14ac:dyDescent="0.3">
      <c r="J74463"/>
    </row>
    <row r="74464" spans="10:10" x14ac:dyDescent="0.3">
      <c r="J74464"/>
    </row>
    <row r="74465" spans="10:10" x14ac:dyDescent="0.3">
      <c r="J74465"/>
    </row>
    <row r="74466" spans="10:10" x14ac:dyDescent="0.3">
      <c r="J74466"/>
    </row>
    <row r="74467" spans="10:10" x14ac:dyDescent="0.3">
      <c r="J74467"/>
    </row>
    <row r="74468" spans="10:10" x14ac:dyDescent="0.3">
      <c r="J74468"/>
    </row>
    <row r="74469" spans="10:10" x14ac:dyDescent="0.3">
      <c r="J74469"/>
    </row>
    <row r="74470" spans="10:10" x14ac:dyDescent="0.3">
      <c r="J74470"/>
    </row>
    <row r="74471" spans="10:10" x14ac:dyDescent="0.3">
      <c r="J74471"/>
    </row>
    <row r="74472" spans="10:10" x14ac:dyDescent="0.3">
      <c r="J74472"/>
    </row>
    <row r="74473" spans="10:10" x14ac:dyDescent="0.3">
      <c r="J74473"/>
    </row>
    <row r="74474" spans="10:10" x14ac:dyDescent="0.3">
      <c r="J74474"/>
    </row>
    <row r="74475" spans="10:10" x14ac:dyDescent="0.3">
      <c r="J74475"/>
    </row>
    <row r="74476" spans="10:10" x14ac:dyDescent="0.3">
      <c r="J74476"/>
    </row>
    <row r="74477" spans="10:10" x14ac:dyDescent="0.3">
      <c r="J74477"/>
    </row>
    <row r="74478" spans="10:10" x14ac:dyDescent="0.3">
      <c r="J74478"/>
    </row>
    <row r="74479" spans="10:10" x14ac:dyDescent="0.3">
      <c r="J74479"/>
    </row>
    <row r="74480" spans="10:10" x14ac:dyDescent="0.3">
      <c r="J74480"/>
    </row>
    <row r="74481" spans="10:10" x14ac:dyDescent="0.3">
      <c r="J74481"/>
    </row>
    <row r="74482" spans="10:10" x14ac:dyDescent="0.3">
      <c r="J74482"/>
    </row>
    <row r="74483" spans="10:10" x14ac:dyDescent="0.3">
      <c r="J74483"/>
    </row>
    <row r="74484" spans="10:10" x14ac:dyDescent="0.3">
      <c r="J74484"/>
    </row>
    <row r="74485" spans="10:10" x14ac:dyDescent="0.3">
      <c r="J74485"/>
    </row>
    <row r="74486" spans="10:10" x14ac:dyDescent="0.3">
      <c r="J74486"/>
    </row>
    <row r="74487" spans="10:10" x14ac:dyDescent="0.3">
      <c r="J74487"/>
    </row>
    <row r="74488" spans="10:10" x14ac:dyDescent="0.3">
      <c r="J74488"/>
    </row>
    <row r="74489" spans="10:10" x14ac:dyDescent="0.3">
      <c r="J74489"/>
    </row>
    <row r="74490" spans="10:10" x14ac:dyDescent="0.3">
      <c r="J74490"/>
    </row>
    <row r="74491" spans="10:10" x14ac:dyDescent="0.3">
      <c r="J74491"/>
    </row>
    <row r="74492" spans="10:10" x14ac:dyDescent="0.3">
      <c r="J74492"/>
    </row>
    <row r="74493" spans="10:10" x14ac:dyDescent="0.3">
      <c r="J74493"/>
    </row>
    <row r="74494" spans="10:10" x14ac:dyDescent="0.3">
      <c r="J74494"/>
    </row>
    <row r="74495" spans="10:10" x14ac:dyDescent="0.3">
      <c r="J74495"/>
    </row>
    <row r="74496" spans="10:10" x14ac:dyDescent="0.3">
      <c r="J74496"/>
    </row>
    <row r="74497" spans="10:10" x14ac:dyDescent="0.3">
      <c r="J74497"/>
    </row>
    <row r="74498" spans="10:10" x14ac:dyDescent="0.3">
      <c r="J74498"/>
    </row>
    <row r="74499" spans="10:10" x14ac:dyDescent="0.3">
      <c r="J74499"/>
    </row>
    <row r="74500" spans="10:10" x14ac:dyDescent="0.3">
      <c r="J74500"/>
    </row>
    <row r="74501" spans="10:10" x14ac:dyDescent="0.3">
      <c r="J74501"/>
    </row>
    <row r="74502" spans="10:10" x14ac:dyDescent="0.3">
      <c r="J74502"/>
    </row>
    <row r="74503" spans="10:10" x14ac:dyDescent="0.3">
      <c r="J74503"/>
    </row>
    <row r="74504" spans="10:10" x14ac:dyDescent="0.3">
      <c r="J74504"/>
    </row>
    <row r="74505" spans="10:10" x14ac:dyDescent="0.3">
      <c r="J74505"/>
    </row>
    <row r="74506" spans="10:10" x14ac:dyDescent="0.3">
      <c r="J74506"/>
    </row>
    <row r="74507" spans="10:10" x14ac:dyDescent="0.3">
      <c r="J74507"/>
    </row>
    <row r="74508" spans="10:10" x14ac:dyDescent="0.3">
      <c r="J74508"/>
    </row>
    <row r="74509" spans="10:10" x14ac:dyDescent="0.3">
      <c r="J74509"/>
    </row>
    <row r="74510" spans="10:10" x14ac:dyDescent="0.3">
      <c r="J74510"/>
    </row>
    <row r="74511" spans="10:10" x14ac:dyDescent="0.3">
      <c r="J74511"/>
    </row>
    <row r="74512" spans="10:10" x14ac:dyDescent="0.3">
      <c r="J74512"/>
    </row>
    <row r="74513" spans="10:10" x14ac:dyDescent="0.3">
      <c r="J74513"/>
    </row>
    <row r="74514" spans="10:10" x14ac:dyDescent="0.3">
      <c r="J74514"/>
    </row>
    <row r="74515" spans="10:10" x14ac:dyDescent="0.3">
      <c r="J74515"/>
    </row>
    <row r="74516" spans="10:10" x14ac:dyDescent="0.3">
      <c r="J74516"/>
    </row>
    <row r="74517" spans="10:10" x14ac:dyDescent="0.3">
      <c r="J74517"/>
    </row>
    <row r="74518" spans="10:10" x14ac:dyDescent="0.3">
      <c r="J74518"/>
    </row>
    <row r="74519" spans="10:10" x14ac:dyDescent="0.3">
      <c r="J74519"/>
    </row>
    <row r="74520" spans="10:10" x14ac:dyDescent="0.3">
      <c r="J74520"/>
    </row>
    <row r="74521" spans="10:10" x14ac:dyDescent="0.3">
      <c r="J74521"/>
    </row>
    <row r="74522" spans="10:10" x14ac:dyDescent="0.3">
      <c r="J74522"/>
    </row>
    <row r="74523" spans="10:10" x14ac:dyDescent="0.3">
      <c r="J74523"/>
    </row>
    <row r="74524" spans="10:10" x14ac:dyDescent="0.3">
      <c r="J74524"/>
    </row>
    <row r="74525" spans="10:10" x14ac:dyDescent="0.3">
      <c r="J74525"/>
    </row>
    <row r="74526" spans="10:10" x14ac:dyDescent="0.3">
      <c r="J74526"/>
    </row>
    <row r="74527" spans="10:10" x14ac:dyDescent="0.3">
      <c r="J74527"/>
    </row>
    <row r="74528" spans="10:10" x14ac:dyDescent="0.3">
      <c r="J74528"/>
    </row>
    <row r="74529" spans="10:10" x14ac:dyDescent="0.3">
      <c r="J74529"/>
    </row>
    <row r="74530" spans="10:10" x14ac:dyDescent="0.3">
      <c r="J74530"/>
    </row>
    <row r="74531" spans="10:10" x14ac:dyDescent="0.3">
      <c r="J74531"/>
    </row>
    <row r="74532" spans="10:10" x14ac:dyDescent="0.3">
      <c r="J74532"/>
    </row>
    <row r="74533" spans="10:10" x14ac:dyDescent="0.3">
      <c r="J74533"/>
    </row>
    <row r="74534" spans="10:10" x14ac:dyDescent="0.3">
      <c r="J74534"/>
    </row>
    <row r="74535" spans="10:10" x14ac:dyDescent="0.3">
      <c r="J74535"/>
    </row>
    <row r="74536" spans="10:10" x14ac:dyDescent="0.3">
      <c r="J74536"/>
    </row>
    <row r="74537" spans="10:10" x14ac:dyDescent="0.3">
      <c r="J74537"/>
    </row>
    <row r="74538" spans="10:10" x14ac:dyDescent="0.3">
      <c r="J74538"/>
    </row>
    <row r="74539" spans="10:10" x14ac:dyDescent="0.3">
      <c r="J74539"/>
    </row>
    <row r="74540" spans="10:10" x14ac:dyDescent="0.3">
      <c r="J74540"/>
    </row>
    <row r="74541" spans="10:10" x14ac:dyDescent="0.3">
      <c r="J74541"/>
    </row>
    <row r="74542" spans="10:10" x14ac:dyDescent="0.3">
      <c r="J74542"/>
    </row>
    <row r="74543" spans="10:10" x14ac:dyDescent="0.3">
      <c r="J74543"/>
    </row>
    <row r="74544" spans="10:10" x14ac:dyDescent="0.3">
      <c r="J74544"/>
    </row>
    <row r="74545" spans="10:10" x14ac:dyDescent="0.3">
      <c r="J74545"/>
    </row>
    <row r="74546" spans="10:10" x14ac:dyDescent="0.3">
      <c r="J74546"/>
    </row>
    <row r="74547" spans="10:10" x14ac:dyDescent="0.3">
      <c r="J74547"/>
    </row>
    <row r="74548" spans="10:10" x14ac:dyDescent="0.3">
      <c r="J74548"/>
    </row>
    <row r="74549" spans="10:10" x14ac:dyDescent="0.3">
      <c r="J74549"/>
    </row>
    <row r="74550" spans="10:10" x14ac:dyDescent="0.3">
      <c r="J74550"/>
    </row>
    <row r="74551" spans="10:10" x14ac:dyDescent="0.3">
      <c r="J74551"/>
    </row>
    <row r="74552" spans="10:10" x14ac:dyDescent="0.3">
      <c r="J74552"/>
    </row>
    <row r="74553" spans="10:10" x14ac:dyDescent="0.3">
      <c r="J74553"/>
    </row>
    <row r="74554" spans="10:10" x14ac:dyDescent="0.3">
      <c r="J74554"/>
    </row>
    <row r="74555" spans="10:10" x14ac:dyDescent="0.3">
      <c r="J74555"/>
    </row>
    <row r="74556" spans="10:10" x14ac:dyDescent="0.3">
      <c r="J74556"/>
    </row>
    <row r="74557" spans="10:10" x14ac:dyDescent="0.3">
      <c r="J74557"/>
    </row>
    <row r="74558" spans="10:10" x14ac:dyDescent="0.3">
      <c r="J74558"/>
    </row>
    <row r="74559" spans="10:10" x14ac:dyDescent="0.3">
      <c r="J74559"/>
    </row>
    <row r="74560" spans="10:10" x14ac:dyDescent="0.3">
      <c r="J74560"/>
    </row>
    <row r="74561" spans="10:10" x14ac:dyDescent="0.3">
      <c r="J74561"/>
    </row>
    <row r="74562" spans="10:10" x14ac:dyDescent="0.3">
      <c r="J74562"/>
    </row>
    <row r="74563" spans="10:10" x14ac:dyDescent="0.3">
      <c r="J74563"/>
    </row>
    <row r="74564" spans="10:10" x14ac:dyDescent="0.3">
      <c r="J74564"/>
    </row>
    <row r="74565" spans="10:10" x14ac:dyDescent="0.3">
      <c r="J74565"/>
    </row>
    <row r="74566" spans="10:10" x14ac:dyDescent="0.3">
      <c r="J74566"/>
    </row>
    <row r="74567" spans="10:10" x14ac:dyDescent="0.3">
      <c r="J74567"/>
    </row>
    <row r="74568" spans="10:10" x14ac:dyDescent="0.3">
      <c r="J74568"/>
    </row>
    <row r="74569" spans="10:10" x14ac:dyDescent="0.3">
      <c r="J74569"/>
    </row>
    <row r="74570" spans="10:10" x14ac:dyDescent="0.3">
      <c r="J74570"/>
    </row>
    <row r="74571" spans="10:10" x14ac:dyDescent="0.3">
      <c r="J74571"/>
    </row>
    <row r="74572" spans="10:10" x14ac:dyDescent="0.3">
      <c r="J74572"/>
    </row>
    <row r="74573" spans="10:10" x14ac:dyDescent="0.3">
      <c r="J74573"/>
    </row>
    <row r="74574" spans="10:10" x14ac:dyDescent="0.3">
      <c r="J74574"/>
    </row>
    <row r="74575" spans="10:10" x14ac:dyDescent="0.3">
      <c r="J74575"/>
    </row>
    <row r="74576" spans="10:10" x14ac:dyDescent="0.3">
      <c r="J74576"/>
    </row>
    <row r="74577" spans="10:10" x14ac:dyDescent="0.3">
      <c r="J74577"/>
    </row>
    <row r="74578" spans="10:10" x14ac:dyDescent="0.3">
      <c r="J74578"/>
    </row>
    <row r="74579" spans="10:10" x14ac:dyDescent="0.3">
      <c r="J74579"/>
    </row>
    <row r="74580" spans="10:10" x14ac:dyDescent="0.3">
      <c r="J74580"/>
    </row>
    <row r="74581" spans="10:10" x14ac:dyDescent="0.3">
      <c r="J74581"/>
    </row>
    <row r="74582" spans="10:10" x14ac:dyDescent="0.3">
      <c r="J74582"/>
    </row>
    <row r="74583" spans="10:10" x14ac:dyDescent="0.3">
      <c r="J74583"/>
    </row>
    <row r="74584" spans="10:10" x14ac:dyDescent="0.3">
      <c r="J74584"/>
    </row>
    <row r="74585" spans="10:10" x14ac:dyDescent="0.3">
      <c r="J74585"/>
    </row>
    <row r="74586" spans="10:10" x14ac:dyDescent="0.3">
      <c r="J74586"/>
    </row>
    <row r="74587" spans="10:10" x14ac:dyDescent="0.3">
      <c r="J74587"/>
    </row>
    <row r="74588" spans="10:10" x14ac:dyDescent="0.3">
      <c r="J74588"/>
    </row>
    <row r="74589" spans="10:10" x14ac:dyDescent="0.3">
      <c r="J74589"/>
    </row>
    <row r="74590" spans="10:10" x14ac:dyDescent="0.3">
      <c r="J74590"/>
    </row>
    <row r="74591" spans="10:10" x14ac:dyDescent="0.3">
      <c r="J74591"/>
    </row>
    <row r="74592" spans="10:10" x14ac:dyDescent="0.3">
      <c r="J74592"/>
    </row>
    <row r="74593" spans="10:10" x14ac:dyDescent="0.3">
      <c r="J74593"/>
    </row>
    <row r="74594" spans="10:10" x14ac:dyDescent="0.3">
      <c r="J74594"/>
    </row>
    <row r="74595" spans="10:10" x14ac:dyDescent="0.3">
      <c r="J74595"/>
    </row>
    <row r="74596" spans="10:10" x14ac:dyDescent="0.3">
      <c r="J74596"/>
    </row>
    <row r="74597" spans="10:10" x14ac:dyDescent="0.3">
      <c r="J74597"/>
    </row>
    <row r="74598" spans="10:10" x14ac:dyDescent="0.3">
      <c r="J74598"/>
    </row>
    <row r="74599" spans="10:10" x14ac:dyDescent="0.3">
      <c r="J74599"/>
    </row>
    <row r="74600" spans="10:10" x14ac:dyDescent="0.3">
      <c r="J74600"/>
    </row>
    <row r="74601" spans="10:10" x14ac:dyDescent="0.3">
      <c r="J74601"/>
    </row>
    <row r="74602" spans="10:10" x14ac:dyDescent="0.3">
      <c r="J74602"/>
    </row>
    <row r="74603" spans="10:10" x14ac:dyDescent="0.3">
      <c r="J74603"/>
    </row>
    <row r="74604" spans="10:10" x14ac:dyDescent="0.3">
      <c r="J74604"/>
    </row>
    <row r="74605" spans="10:10" x14ac:dyDescent="0.3">
      <c r="J74605"/>
    </row>
    <row r="74606" spans="10:10" x14ac:dyDescent="0.3">
      <c r="J74606"/>
    </row>
    <row r="74607" spans="10:10" x14ac:dyDescent="0.3">
      <c r="J74607"/>
    </row>
    <row r="74608" spans="10:10" x14ac:dyDescent="0.3">
      <c r="J74608"/>
    </row>
    <row r="74609" spans="10:10" x14ac:dyDescent="0.3">
      <c r="J74609"/>
    </row>
    <row r="74610" spans="10:10" x14ac:dyDescent="0.3">
      <c r="J74610"/>
    </row>
    <row r="74611" spans="10:10" x14ac:dyDescent="0.3">
      <c r="J74611"/>
    </row>
    <row r="74612" spans="10:10" x14ac:dyDescent="0.3">
      <c r="J74612"/>
    </row>
    <row r="74613" spans="10:10" x14ac:dyDescent="0.3">
      <c r="J74613"/>
    </row>
    <row r="74614" spans="10:10" x14ac:dyDescent="0.3">
      <c r="J74614"/>
    </row>
    <row r="74615" spans="10:10" x14ac:dyDescent="0.3">
      <c r="J74615"/>
    </row>
    <row r="74616" spans="10:10" x14ac:dyDescent="0.3">
      <c r="J74616"/>
    </row>
    <row r="74617" spans="10:10" x14ac:dyDescent="0.3">
      <c r="J74617"/>
    </row>
    <row r="74618" spans="10:10" x14ac:dyDescent="0.3">
      <c r="J74618"/>
    </row>
    <row r="74619" spans="10:10" x14ac:dyDescent="0.3">
      <c r="J74619"/>
    </row>
    <row r="74620" spans="10:10" x14ac:dyDescent="0.3">
      <c r="J74620"/>
    </row>
    <row r="74621" spans="10:10" x14ac:dyDescent="0.3">
      <c r="J74621"/>
    </row>
    <row r="74622" spans="10:10" x14ac:dyDescent="0.3">
      <c r="J74622"/>
    </row>
    <row r="74623" spans="10:10" x14ac:dyDescent="0.3">
      <c r="J74623"/>
    </row>
    <row r="74624" spans="10:10" x14ac:dyDescent="0.3">
      <c r="J74624"/>
    </row>
    <row r="74625" spans="10:10" x14ac:dyDescent="0.3">
      <c r="J74625"/>
    </row>
    <row r="74626" spans="10:10" x14ac:dyDescent="0.3">
      <c r="J74626"/>
    </row>
    <row r="74627" spans="10:10" x14ac:dyDescent="0.3">
      <c r="J74627"/>
    </row>
    <row r="74628" spans="10:10" x14ac:dyDescent="0.3">
      <c r="J74628"/>
    </row>
    <row r="74629" spans="10:10" x14ac:dyDescent="0.3">
      <c r="J74629"/>
    </row>
    <row r="74630" spans="10:10" x14ac:dyDescent="0.3">
      <c r="J74630"/>
    </row>
    <row r="74631" spans="10:10" x14ac:dyDescent="0.3">
      <c r="J74631"/>
    </row>
    <row r="74632" spans="10:10" x14ac:dyDescent="0.3">
      <c r="J74632"/>
    </row>
    <row r="74633" spans="10:10" x14ac:dyDescent="0.3">
      <c r="J74633"/>
    </row>
    <row r="74634" spans="10:10" x14ac:dyDescent="0.3">
      <c r="J74634"/>
    </row>
    <row r="74635" spans="10:10" x14ac:dyDescent="0.3">
      <c r="J74635"/>
    </row>
    <row r="74636" spans="10:10" x14ac:dyDescent="0.3">
      <c r="J74636"/>
    </row>
    <row r="74637" spans="10:10" x14ac:dyDescent="0.3">
      <c r="J74637"/>
    </row>
    <row r="74638" spans="10:10" x14ac:dyDescent="0.3">
      <c r="J74638"/>
    </row>
    <row r="74639" spans="10:10" x14ac:dyDescent="0.3">
      <c r="J74639"/>
    </row>
    <row r="74640" spans="10:10" x14ac:dyDescent="0.3">
      <c r="J74640"/>
    </row>
    <row r="74641" spans="10:10" x14ac:dyDescent="0.3">
      <c r="J74641"/>
    </row>
    <row r="74642" spans="10:10" x14ac:dyDescent="0.3">
      <c r="J74642"/>
    </row>
    <row r="74643" spans="10:10" x14ac:dyDescent="0.3">
      <c r="J74643"/>
    </row>
    <row r="74644" spans="10:10" x14ac:dyDescent="0.3">
      <c r="J74644"/>
    </row>
    <row r="74645" spans="10:10" x14ac:dyDescent="0.3">
      <c r="J74645"/>
    </row>
    <row r="74646" spans="10:10" x14ac:dyDescent="0.3">
      <c r="J74646"/>
    </row>
    <row r="74647" spans="10:10" x14ac:dyDescent="0.3">
      <c r="J74647"/>
    </row>
    <row r="74648" spans="10:10" x14ac:dyDescent="0.3">
      <c r="J74648"/>
    </row>
    <row r="74649" spans="10:10" x14ac:dyDescent="0.3">
      <c r="J74649"/>
    </row>
    <row r="74650" spans="10:10" x14ac:dyDescent="0.3">
      <c r="J74650"/>
    </row>
    <row r="74651" spans="10:10" x14ac:dyDescent="0.3">
      <c r="J74651"/>
    </row>
    <row r="74652" spans="10:10" x14ac:dyDescent="0.3">
      <c r="J74652"/>
    </row>
    <row r="74653" spans="10:10" x14ac:dyDescent="0.3">
      <c r="J74653"/>
    </row>
    <row r="74654" spans="10:10" x14ac:dyDescent="0.3">
      <c r="J74654"/>
    </row>
    <row r="74655" spans="10:10" x14ac:dyDescent="0.3">
      <c r="J74655"/>
    </row>
    <row r="74656" spans="10:10" x14ac:dyDescent="0.3">
      <c r="J74656"/>
    </row>
    <row r="74657" spans="10:10" x14ac:dyDescent="0.3">
      <c r="J74657"/>
    </row>
    <row r="74658" spans="10:10" x14ac:dyDescent="0.3">
      <c r="J74658"/>
    </row>
    <row r="74659" spans="10:10" x14ac:dyDescent="0.3">
      <c r="J74659"/>
    </row>
    <row r="74660" spans="10:10" x14ac:dyDescent="0.3">
      <c r="J74660"/>
    </row>
    <row r="74661" spans="10:10" x14ac:dyDescent="0.3">
      <c r="J74661"/>
    </row>
    <row r="74662" spans="10:10" x14ac:dyDescent="0.3">
      <c r="J74662"/>
    </row>
    <row r="74663" spans="10:10" x14ac:dyDescent="0.3">
      <c r="J74663"/>
    </row>
    <row r="74664" spans="10:10" x14ac:dyDescent="0.3">
      <c r="J74664"/>
    </row>
    <row r="74665" spans="10:10" x14ac:dyDescent="0.3">
      <c r="J74665"/>
    </row>
    <row r="74666" spans="10:10" x14ac:dyDescent="0.3">
      <c r="J74666"/>
    </row>
    <row r="74667" spans="10:10" x14ac:dyDescent="0.3">
      <c r="J74667"/>
    </row>
    <row r="74668" spans="10:10" x14ac:dyDescent="0.3">
      <c r="J74668"/>
    </row>
    <row r="74669" spans="10:10" x14ac:dyDescent="0.3">
      <c r="J74669"/>
    </row>
    <row r="74670" spans="10:10" x14ac:dyDescent="0.3">
      <c r="J74670"/>
    </row>
    <row r="74671" spans="10:10" x14ac:dyDescent="0.3">
      <c r="J74671"/>
    </row>
    <row r="74672" spans="10:10" x14ac:dyDescent="0.3">
      <c r="J74672"/>
    </row>
    <row r="74673" spans="10:10" x14ac:dyDescent="0.3">
      <c r="J74673"/>
    </row>
    <row r="74674" spans="10:10" x14ac:dyDescent="0.3">
      <c r="J74674"/>
    </row>
    <row r="74675" spans="10:10" x14ac:dyDescent="0.3">
      <c r="J74675"/>
    </row>
    <row r="74676" spans="10:10" x14ac:dyDescent="0.3">
      <c r="J74676"/>
    </row>
    <row r="74677" spans="10:10" x14ac:dyDescent="0.3">
      <c r="J74677"/>
    </row>
    <row r="74678" spans="10:10" x14ac:dyDescent="0.3">
      <c r="J74678"/>
    </row>
    <row r="74679" spans="10:10" x14ac:dyDescent="0.3">
      <c r="J74679"/>
    </row>
    <row r="74680" spans="10:10" x14ac:dyDescent="0.3">
      <c r="J74680"/>
    </row>
    <row r="74681" spans="10:10" x14ac:dyDescent="0.3">
      <c r="J74681"/>
    </row>
    <row r="74682" spans="10:10" x14ac:dyDescent="0.3">
      <c r="J74682"/>
    </row>
    <row r="74683" spans="10:10" x14ac:dyDescent="0.3">
      <c r="J74683"/>
    </row>
    <row r="74684" spans="10:10" x14ac:dyDescent="0.3">
      <c r="J74684"/>
    </row>
    <row r="74685" spans="10:10" x14ac:dyDescent="0.3">
      <c r="J74685"/>
    </row>
    <row r="74686" spans="10:10" x14ac:dyDescent="0.3">
      <c r="J74686"/>
    </row>
    <row r="74687" spans="10:10" x14ac:dyDescent="0.3">
      <c r="J74687"/>
    </row>
    <row r="74688" spans="10:10" x14ac:dyDescent="0.3">
      <c r="J74688"/>
    </row>
    <row r="74689" spans="10:10" x14ac:dyDescent="0.3">
      <c r="J74689"/>
    </row>
    <row r="74690" spans="10:10" x14ac:dyDescent="0.3">
      <c r="J74690"/>
    </row>
    <row r="74691" spans="10:10" x14ac:dyDescent="0.3">
      <c r="J74691"/>
    </row>
    <row r="74692" spans="10:10" x14ac:dyDescent="0.3">
      <c r="J74692"/>
    </row>
    <row r="74693" spans="10:10" x14ac:dyDescent="0.3">
      <c r="J74693"/>
    </row>
    <row r="74694" spans="10:10" x14ac:dyDescent="0.3">
      <c r="J74694"/>
    </row>
    <row r="74695" spans="10:10" x14ac:dyDescent="0.3">
      <c r="J74695"/>
    </row>
    <row r="74696" spans="10:10" x14ac:dyDescent="0.3">
      <c r="J74696"/>
    </row>
    <row r="74697" spans="10:10" x14ac:dyDescent="0.3">
      <c r="J74697"/>
    </row>
    <row r="74698" spans="10:10" x14ac:dyDescent="0.3">
      <c r="J74698"/>
    </row>
    <row r="74699" spans="10:10" x14ac:dyDescent="0.3">
      <c r="J74699"/>
    </row>
    <row r="74700" spans="10:10" x14ac:dyDescent="0.3">
      <c r="J74700"/>
    </row>
    <row r="74701" spans="10:10" x14ac:dyDescent="0.3">
      <c r="J74701"/>
    </row>
    <row r="74702" spans="10:10" x14ac:dyDescent="0.3">
      <c r="J74702"/>
    </row>
    <row r="74703" spans="10:10" x14ac:dyDescent="0.3">
      <c r="J74703"/>
    </row>
    <row r="74704" spans="10:10" x14ac:dyDescent="0.3">
      <c r="J74704"/>
    </row>
    <row r="74705" spans="10:10" x14ac:dyDescent="0.3">
      <c r="J74705"/>
    </row>
    <row r="74706" spans="10:10" x14ac:dyDescent="0.3">
      <c r="J74706"/>
    </row>
    <row r="74707" spans="10:10" x14ac:dyDescent="0.3">
      <c r="J74707"/>
    </row>
    <row r="74708" spans="10:10" x14ac:dyDescent="0.3">
      <c r="J74708"/>
    </row>
    <row r="74709" spans="10:10" x14ac:dyDescent="0.3">
      <c r="J74709"/>
    </row>
    <row r="74710" spans="10:10" x14ac:dyDescent="0.3">
      <c r="J74710"/>
    </row>
    <row r="74711" spans="10:10" x14ac:dyDescent="0.3">
      <c r="J74711"/>
    </row>
    <row r="74712" spans="10:10" x14ac:dyDescent="0.3">
      <c r="J74712"/>
    </row>
    <row r="74713" spans="10:10" x14ac:dyDescent="0.3">
      <c r="J74713"/>
    </row>
    <row r="74714" spans="10:10" x14ac:dyDescent="0.3">
      <c r="J74714"/>
    </row>
    <row r="74715" spans="10:10" x14ac:dyDescent="0.3">
      <c r="J74715"/>
    </row>
    <row r="74716" spans="10:10" x14ac:dyDescent="0.3">
      <c r="J74716"/>
    </row>
    <row r="74717" spans="10:10" x14ac:dyDescent="0.3">
      <c r="J74717"/>
    </row>
    <row r="74718" spans="10:10" x14ac:dyDescent="0.3">
      <c r="J74718"/>
    </row>
    <row r="74719" spans="10:10" x14ac:dyDescent="0.3">
      <c r="J74719"/>
    </row>
    <row r="74720" spans="10:10" x14ac:dyDescent="0.3">
      <c r="J74720"/>
    </row>
    <row r="74721" spans="10:10" x14ac:dyDescent="0.3">
      <c r="J74721"/>
    </row>
    <row r="74722" spans="10:10" x14ac:dyDescent="0.3">
      <c r="J74722"/>
    </row>
    <row r="74723" spans="10:10" x14ac:dyDescent="0.3">
      <c r="J74723"/>
    </row>
    <row r="74724" spans="10:10" x14ac:dyDescent="0.3">
      <c r="J74724"/>
    </row>
    <row r="74725" spans="10:10" x14ac:dyDescent="0.3">
      <c r="J74725"/>
    </row>
    <row r="74726" spans="10:10" x14ac:dyDescent="0.3">
      <c r="J74726"/>
    </row>
    <row r="74727" spans="10:10" x14ac:dyDescent="0.3">
      <c r="J74727"/>
    </row>
    <row r="74728" spans="10:10" x14ac:dyDescent="0.3">
      <c r="J74728"/>
    </row>
    <row r="74729" spans="10:10" x14ac:dyDescent="0.3">
      <c r="J74729"/>
    </row>
    <row r="74730" spans="10:10" x14ac:dyDescent="0.3">
      <c r="J74730"/>
    </row>
    <row r="74731" spans="10:10" x14ac:dyDescent="0.3">
      <c r="J74731"/>
    </row>
    <row r="74732" spans="10:10" x14ac:dyDescent="0.3">
      <c r="J74732"/>
    </row>
    <row r="74733" spans="10:10" x14ac:dyDescent="0.3">
      <c r="J74733"/>
    </row>
    <row r="74734" spans="10:10" x14ac:dyDescent="0.3">
      <c r="J74734"/>
    </row>
    <row r="74735" spans="10:10" x14ac:dyDescent="0.3">
      <c r="J74735"/>
    </row>
    <row r="74736" spans="10:10" x14ac:dyDescent="0.3">
      <c r="J74736"/>
    </row>
    <row r="74737" spans="10:10" x14ac:dyDescent="0.3">
      <c r="J74737"/>
    </row>
    <row r="74738" spans="10:10" x14ac:dyDescent="0.3">
      <c r="J74738"/>
    </row>
    <row r="74739" spans="10:10" x14ac:dyDescent="0.3">
      <c r="J74739"/>
    </row>
    <row r="74740" spans="10:10" x14ac:dyDescent="0.3">
      <c r="J74740"/>
    </row>
    <row r="74741" spans="10:10" x14ac:dyDescent="0.3">
      <c r="J74741"/>
    </row>
    <row r="74742" spans="10:10" x14ac:dyDescent="0.3">
      <c r="J74742"/>
    </row>
    <row r="74743" spans="10:10" x14ac:dyDescent="0.3">
      <c r="J74743"/>
    </row>
    <row r="74744" spans="10:10" x14ac:dyDescent="0.3">
      <c r="J74744"/>
    </row>
    <row r="74745" spans="10:10" x14ac:dyDescent="0.3">
      <c r="J74745"/>
    </row>
    <row r="74746" spans="10:10" x14ac:dyDescent="0.3">
      <c r="J74746"/>
    </row>
    <row r="74747" spans="10:10" x14ac:dyDescent="0.3">
      <c r="J74747"/>
    </row>
    <row r="74748" spans="10:10" x14ac:dyDescent="0.3">
      <c r="J74748"/>
    </row>
    <row r="74749" spans="10:10" x14ac:dyDescent="0.3">
      <c r="J74749"/>
    </row>
    <row r="74750" spans="10:10" x14ac:dyDescent="0.3">
      <c r="J74750"/>
    </row>
    <row r="74751" spans="10:10" x14ac:dyDescent="0.3">
      <c r="J74751"/>
    </row>
    <row r="74752" spans="10:10" x14ac:dyDescent="0.3">
      <c r="J74752"/>
    </row>
    <row r="74753" spans="10:10" x14ac:dyDescent="0.3">
      <c r="J74753"/>
    </row>
    <row r="74754" spans="10:10" x14ac:dyDescent="0.3">
      <c r="J74754"/>
    </row>
    <row r="74755" spans="10:10" x14ac:dyDescent="0.3">
      <c r="J74755"/>
    </row>
    <row r="74756" spans="10:10" x14ac:dyDescent="0.3">
      <c r="J74756"/>
    </row>
    <row r="74757" spans="10:10" x14ac:dyDescent="0.3">
      <c r="J74757"/>
    </row>
    <row r="74758" spans="10:10" x14ac:dyDescent="0.3">
      <c r="J74758"/>
    </row>
    <row r="74759" spans="10:10" x14ac:dyDescent="0.3">
      <c r="J74759"/>
    </row>
    <row r="74760" spans="10:10" x14ac:dyDescent="0.3">
      <c r="J74760"/>
    </row>
    <row r="74761" spans="10:10" x14ac:dyDescent="0.3">
      <c r="J74761"/>
    </row>
    <row r="74762" spans="10:10" x14ac:dyDescent="0.3">
      <c r="J74762"/>
    </row>
    <row r="74763" spans="10:10" x14ac:dyDescent="0.3">
      <c r="J74763"/>
    </row>
    <row r="74764" spans="10:10" x14ac:dyDescent="0.3">
      <c r="J74764"/>
    </row>
    <row r="74765" spans="10:10" x14ac:dyDescent="0.3">
      <c r="J74765"/>
    </row>
    <row r="74766" spans="10:10" x14ac:dyDescent="0.3">
      <c r="J74766"/>
    </row>
    <row r="74767" spans="10:10" x14ac:dyDescent="0.3">
      <c r="J74767"/>
    </row>
    <row r="74768" spans="10:10" x14ac:dyDescent="0.3">
      <c r="J74768"/>
    </row>
    <row r="74769" spans="10:10" x14ac:dyDescent="0.3">
      <c r="J74769"/>
    </row>
    <row r="74770" spans="10:10" x14ac:dyDescent="0.3">
      <c r="J74770"/>
    </row>
    <row r="74771" spans="10:10" x14ac:dyDescent="0.3">
      <c r="J74771"/>
    </row>
    <row r="74772" spans="10:10" x14ac:dyDescent="0.3">
      <c r="J74772"/>
    </row>
    <row r="74773" spans="10:10" x14ac:dyDescent="0.3">
      <c r="J74773"/>
    </row>
    <row r="74774" spans="10:10" x14ac:dyDescent="0.3">
      <c r="J74774"/>
    </row>
    <row r="74775" spans="10:10" x14ac:dyDescent="0.3">
      <c r="J74775"/>
    </row>
    <row r="74776" spans="10:10" x14ac:dyDescent="0.3">
      <c r="J74776"/>
    </row>
    <row r="74777" spans="10:10" x14ac:dyDescent="0.3">
      <c r="J74777"/>
    </row>
    <row r="74778" spans="10:10" x14ac:dyDescent="0.3">
      <c r="J74778"/>
    </row>
    <row r="74779" spans="10:10" x14ac:dyDescent="0.3">
      <c r="J74779"/>
    </row>
    <row r="74780" spans="10:10" x14ac:dyDescent="0.3">
      <c r="J74780"/>
    </row>
    <row r="74781" spans="10:10" x14ac:dyDescent="0.3">
      <c r="J74781"/>
    </row>
    <row r="74782" spans="10:10" x14ac:dyDescent="0.3">
      <c r="J74782"/>
    </row>
    <row r="74783" spans="10:10" x14ac:dyDescent="0.3">
      <c r="J74783"/>
    </row>
    <row r="74784" spans="10:10" x14ac:dyDescent="0.3">
      <c r="J74784"/>
    </row>
    <row r="74785" spans="10:10" x14ac:dyDescent="0.3">
      <c r="J74785"/>
    </row>
    <row r="74786" spans="10:10" x14ac:dyDescent="0.3">
      <c r="J74786"/>
    </row>
    <row r="74787" spans="10:10" x14ac:dyDescent="0.3">
      <c r="J74787"/>
    </row>
    <row r="74788" spans="10:10" x14ac:dyDescent="0.3">
      <c r="J74788"/>
    </row>
    <row r="74789" spans="10:10" x14ac:dyDescent="0.3">
      <c r="J74789"/>
    </row>
    <row r="74790" spans="10:10" x14ac:dyDescent="0.3">
      <c r="J74790"/>
    </row>
    <row r="74791" spans="10:10" x14ac:dyDescent="0.3">
      <c r="J74791"/>
    </row>
    <row r="74792" spans="10:10" x14ac:dyDescent="0.3">
      <c r="J74792"/>
    </row>
    <row r="74793" spans="10:10" x14ac:dyDescent="0.3">
      <c r="J74793"/>
    </row>
    <row r="74794" spans="10:10" x14ac:dyDescent="0.3">
      <c r="J74794"/>
    </row>
    <row r="74795" spans="10:10" x14ac:dyDescent="0.3">
      <c r="J74795"/>
    </row>
    <row r="74796" spans="10:10" x14ac:dyDescent="0.3">
      <c r="J74796"/>
    </row>
    <row r="74797" spans="10:10" x14ac:dyDescent="0.3">
      <c r="J74797"/>
    </row>
    <row r="74798" spans="10:10" x14ac:dyDescent="0.3">
      <c r="J74798"/>
    </row>
    <row r="74799" spans="10:10" x14ac:dyDescent="0.3">
      <c r="J74799"/>
    </row>
    <row r="74800" spans="10:10" x14ac:dyDescent="0.3">
      <c r="J74800"/>
    </row>
    <row r="74801" spans="10:10" x14ac:dyDescent="0.3">
      <c r="J74801"/>
    </row>
    <row r="74802" spans="10:10" x14ac:dyDescent="0.3">
      <c r="J74802"/>
    </row>
    <row r="74803" spans="10:10" x14ac:dyDescent="0.3">
      <c r="J74803"/>
    </row>
    <row r="74804" spans="10:10" x14ac:dyDescent="0.3">
      <c r="J74804"/>
    </row>
    <row r="74805" spans="10:10" x14ac:dyDescent="0.3">
      <c r="J74805"/>
    </row>
    <row r="74806" spans="10:10" x14ac:dyDescent="0.3">
      <c r="J74806"/>
    </row>
    <row r="74807" spans="10:10" x14ac:dyDescent="0.3">
      <c r="J74807"/>
    </row>
    <row r="74808" spans="10:10" x14ac:dyDescent="0.3">
      <c r="J74808"/>
    </row>
    <row r="74809" spans="10:10" x14ac:dyDescent="0.3">
      <c r="J74809"/>
    </row>
    <row r="74810" spans="10:10" x14ac:dyDescent="0.3">
      <c r="J74810"/>
    </row>
    <row r="74811" spans="10:10" x14ac:dyDescent="0.3">
      <c r="J74811"/>
    </row>
    <row r="74812" spans="10:10" x14ac:dyDescent="0.3">
      <c r="J74812"/>
    </row>
    <row r="74813" spans="10:10" x14ac:dyDescent="0.3">
      <c r="J74813"/>
    </row>
    <row r="74814" spans="10:10" x14ac:dyDescent="0.3">
      <c r="J74814"/>
    </row>
    <row r="74815" spans="10:10" x14ac:dyDescent="0.3">
      <c r="J74815"/>
    </row>
    <row r="74816" spans="10:10" x14ac:dyDescent="0.3">
      <c r="J74816"/>
    </row>
    <row r="74817" spans="10:10" x14ac:dyDescent="0.3">
      <c r="J74817"/>
    </row>
    <row r="74818" spans="10:10" x14ac:dyDescent="0.3">
      <c r="J74818"/>
    </row>
    <row r="74819" spans="10:10" x14ac:dyDescent="0.3">
      <c r="J74819"/>
    </row>
    <row r="74820" spans="10:10" x14ac:dyDescent="0.3">
      <c r="J74820"/>
    </row>
    <row r="74821" spans="10:10" x14ac:dyDescent="0.3">
      <c r="J74821"/>
    </row>
    <row r="74822" spans="10:10" x14ac:dyDescent="0.3">
      <c r="J74822"/>
    </row>
    <row r="74823" spans="10:10" x14ac:dyDescent="0.3">
      <c r="J74823"/>
    </row>
    <row r="74824" spans="10:10" x14ac:dyDescent="0.3">
      <c r="J74824"/>
    </row>
    <row r="74825" spans="10:10" x14ac:dyDescent="0.3">
      <c r="J74825"/>
    </row>
    <row r="74826" spans="10:10" x14ac:dyDescent="0.3">
      <c r="J74826"/>
    </row>
    <row r="74827" spans="10:10" x14ac:dyDescent="0.3">
      <c r="J74827"/>
    </row>
    <row r="74828" spans="10:10" x14ac:dyDescent="0.3">
      <c r="J74828"/>
    </row>
    <row r="74829" spans="10:10" x14ac:dyDescent="0.3">
      <c r="J74829"/>
    </row>
    <row r="74830" spans="10:10" x14ac:dyDescent="0.3">
      <c r="J74830"/>
    </row>
    <row r="74831" spans="10:10" x14ac:dyDescent="0.3">
      <c r="J74831"/>
    </row>
    <row r="74832" spans="10:10" x14ac:dyDescent="0.3">
      <c r="J74832"/>
    </row>
    <row r="74833" spans="10:10" x14ac:dyDescent="0.3">
      <c r="J74833"/>
    </row>
    <row r="74834" spans="10:10" x14ac:dyDescent="0.3">
      <c r="J74834"/>
    </row>
    <row r="74835" spans="10:10" x14ac:dyDescent="0.3">
      <c r="J74835"/>
    </row>
    <row r="74836" spans="10:10" x14ac:dyDescent="0.3">
      <c r="J74836"/>
    </row>
    <row r="74837" spans="10:10" x14ac:dyDescent="0.3">
      <c r="J74837"/>
    </row>
    <row r="74838" spans="10:10" x14ac:dyDescent="0.3">
      <c r="J74838"/>
    </row>
    <row r="74839" spans="10:10" x14ac:dyDescent="0.3">
      <c r="J74839"/>
    </row>
    <row r="74840" spans="10:10" x14ac:dyDescent="0.3">
      <c r="J74840"/>
    </row>
    <row r="74841" spans="10:10" x14ac:dyDescent="0.3">
      <c r="J74841"/>
    </row>
    <row r="74842" spans="10:10" x14ac:dyDescent="0.3">
      <c r="J74842"/>
    </row>
    <row r="74843" spans="10:10" x14ac:dyDescent="0.3">
      <c r="J74843"/>
    </row>
    <row r="74844" spans="10:10" x14ac:dyDescent="0.3">
      <c r="J74844"/>
    </row>
    <row r="74845" spans="10:10" x14ac:dyDescent="0.3">
      <c r="J74845"/>
    </row>
    <row r="74846" spans="10:10" x14ac:dyDescent="0.3">
      <c r="J74846"/>
    </row>
    <row r="74847" spans="10:10" x14ac:dyDescent="0.3">
      <c r="J74847"/>
    </row>
    <row r="74848" spans="10:10" x14ac:dyDescent="0.3">
      <c r="J74848"/>
    </row>
    <row r="74849" spans="10:10" x14ac:dyDescent="0.3">
      <c r="J74849"/>
    </row>
    <row r="74850" spans="10:10" x14ac:dyDescent="0.3">
      <c r="J74850"/>
    </row>
    <row r="74851" spans="10:10" x14ac:dyDescent="0.3">
      <c r="J74851"/>
    </row>
    <row r="74852" spans="10:10" x14ac:dyDescent="0.3">
      <c r="J74852"/>
    </row>
    <row r="74853" spans="10:10" x14ac:dyDescent="0.3">
      <c r="J74853"/>
    </row>
    <row r="74854" spans="10:10" x14ac:dyDescent="0.3">
      <c r="J74854"/>
    </row>
    <row r="74855" spans="10:10" x14ac:dyDescent="0.3">
      <c r="J74855"/>
    </row>
    <row r="74856" spans="10:10" x14ac:dyDescent="0.3">
      <c r="J74856"/>
    </row>
    <row r="74857" spans="10:10" x14ac:dyDescent="0.3">
      <c r="J74857"/>
    </row>
    <row r="74858" spans="10:10" x14ac:dyDescent="0.3">
      <c r="J74858"/>
    </row>
    <row r="74859" spans="10:10" x14ac:dyDescent="0.3">
      <c r="J74859"/>
    </row>
    <row r="74860" spans="10:10" x14ac:dyDescent="0.3">
      <c r="J74860"/>
    </row>
    <row r="74861" spans="10:10" x14ac:dyDescent="0.3">
      <c r="J74861"/>
    </row>
    <row r="74862" spans="10:10" x14ac:dyDescent="0.3">
      <c r="J74862"/>
    </row>
    <row r="74863" spans="10:10" x14ac:dyDescent="0.3">
      <c r="J74863"/>
    </row>
    <row r="74864" spans="10:10" x14ac:dyDescent="0.3">
      <c r="J74864"/>
    </row>
    <row r="74865" spans="10:10" x14ac:dyDescent="0.3">
      <c r="J74865"/>
    </row>
    <row r="74866" spans="10:10" x14ac:dyDescent="0.3">
      <c r="J74866"/>
    </row>
    <row r="74867" spans="10:10" x14ac:dyDescent="0.3">
      <c r="J74867"/>
    </row>
    <row r="74868" spans="10:10" x14ac:dyDescent="0.3">
      <c r="J74868"/>
    </row>
    <row r="74869" spans="10:10" x14ac:dyDescent="0.3">
      <c r="J74869"/>
    </row>
    <row r="74870" spans="10:10" x14ac:dyDescent="0.3">
      <c r="J74870"/>
    </row>
    <row r="74871" spans="10:10" x14ac:dyDescent="0.3">
      <c r="J74871"/>
    </row>
    <row r="74872" spans="10:10" x14ac:dyDescent="0.3">
      <c r="J74872"/>
    </row>
    <row r="74873" spans="10:10" x14ac:dyDescent="0.3">
      <c r="J74873"/>
    </row>
    <row r="74874" spans="10:10" x14ac:dyDescent="0.3">
      <c r="J74874"/>
    </row>
    <row r="74875" spans="10:10" x14ac:dyDescent="0.3">
      <c r="J74875"/>
    </row>
    <row r="74876" spans="10:10" x14ac:dyDescent="0.3">
      <c r="J74876"/>
    </row>
    <row r="74877" spans="10:10" x14ac:dyDescent="0.3">
      <c r="J74877"/>
    </row>
    <row r="74878" spans="10:10" x14ac:dyDescent="0.3">
      <c r="J74878"/>
    </row>
    <row r="74879" spans="10:10" x14ac:dyDescent="0.3">
      <c r="J74879"/>
    </row>
    <row r="74880" spans="10:10" x14ac:dyDescent="0.3">
      <c r="J74880"/>
    </row>
    <row r="74881" spans="10:10" x14ac:dyDescent="0.3">
      <c r="J74881"/>
    </row>
    <row r="74882" spans="10:10" x14ac:dyDescent="0.3">
      <c r="J74882"/>
    </row>
    <row r="74883" spans="10:10" x14ac:dyDescent="0.3">
      <c r="J74883"/>
    </row>
    <row r="74884" spans="10:10" x14ac:dyDescent="0.3">
      <c r="J74884"/>
    </row>
    <row r="74885" spans="10:10" x14ac:dyDescent="0.3">
      <c r="J74885"/>
    </row>
    <row r="74886" spans="10:10" x14ac:dyDescent="0.3">
      <c r="J74886"/>
    </row>
    <row r="74887" spans="10:10" x14ac:dyDescent="0.3">
      <c r="J74887"/>
    </row>
    <row r="74888" spans="10:10" x14ac:dyDescent="0.3">
      <c r="J74888"/>
    </row>
    <row r="74889" spans="10:10" x14ac:dyDescent="0.3">
      <c r="J74889"/>
    </row>
    <row r="74890" spans="10:10" x14ac:dyDescent="0.3">
      <c r="J74890"/>
    </row>
    <row r="74891" spans="10:10" x14ac:dyDescent="0.3">
      <c r="J74891"/>
    </row>
    <row r="74892" spans="10:10" x14ac:dyDescent="0.3">
      <c r="J74892"/>
    </row>
    <row r="74893" spans="10:10" x14ac:dyDescent="0.3">
      <c r="J74893"/>
    </row>
    <row r="74894" spans="10:10" x14ac:dyDescent="0.3">
      <c r="J74894"/>
    </row>
    <row r="74895" spans="10:10" x14ac:dyDescent="0.3">
      <c r="J74895"/>
    </row>
    <row r="74896" spans="10:10" x14ac:dyDescent="0.3">
      <c r="J74896"/>
    </row>
    <row r="74897" spans="10:10" x14ac:dyDescent="0.3">
      <c r="J74897"/>
    </row>
    <row r="74898" spans="10:10" x14ac:dyDescent="0.3">
      <c r="J74898"/>
    </row>
    <row r="74899" spans="10:10" x14ac:dyDescent="0.3">
      <c r="J74899"/>
    </row>
    <row r="74900" spans="10:10" x14ac:dyDescent="0.3">
      <c r="J74900"/>
    </row>
    <row r="74901" spans="10:10" x14ac:dyDescent="0.3">
      <c r="J74901"/>
    </row>
    <row r="74902" spans="10:10" x14ac:dyDescent="0.3">
      <c r="J74902"/>
    </row>
    <row r="74903" spans="10:10" x14ac:dyDescent="0.3">
      <c r="J74903"/>
    </row>
    <row r="74904" spans="10:10" x14ac:dyDescent="0.3">
      <c r="J74904"/>
    </row>
    <row r="74905" spans="10:10" x14ac:dyDescent="0.3">
      <c r="J74905"/>
    </row>
    <row r="74906" spans="10:10" x14ac:dyDescent="0.3">
      <c r="J74906"/>
    </row>
    <row r="74907" spans="10:10" x14ac:dyDescent="0.3">
      <c r="J74907"/>
    </row>
    <row r="74908" spans="10:10" x14ac:dyDescent="0.3">
      <c r="J74908"/>
    </row>
    <row r="74909" spans="10:10" x14ac:dyDescent="0.3">
      <c r="J74909"/>
    </row>
    <row r="74910" spans="10:10" x14ac:dyDescent="0.3">
      <c r="J74910"/>
    </row>
    <row r="74911" spans="10:10" x14ac:dyDescent="0.3">
      <c r="J74911"/>
    </row>
    <row r="74912" spans="10:10" x14ac:dyDescent="0.3">
      <c r="J74912"/>
    </row>
    <row r="74913" spans="10:10" x14ac:dyDescent="0.3">
      <c r="J74913"/>
    </row>
    <row r="74914" spans="10:10" x14ac:dyDescent="0.3">
      <c r="J74914"/>
    </row>
    <row r="74915" spans="10:10" x14ac:dyDescent="0.3">
      <c r="J74915"/>
    </row>
    <row r="74916" spans="10:10" x14ac:dyDescent="0.3">
      <c r="J74916"/>
    </row>
    <row r="74917" spans="10:10" x14ac:dyDescent="0.3">
      <c r="J74917"/>
    </row>
    <row r="74918" spans="10:10" x14ac:dyDescent="0.3">
      <c r="J74918"/>
    </row>
    <row r="74919" spans="10:10" x14ac:dyDescent="0.3">
      <c r="J74919"/>
    </row>
    <row r="74920" spans="10:10" x14ac:dyDescent="0.3">
      <c r="J74920"/>
    </row>
    <row r="74921" spans="10:10" x14ac:dyDescent="0.3">
      <c r="J74921"/>
    </row>
    <row r="74922" spans="10:10" x14ac:dyDescent="0.3">
      <c r="J74922"/>
    </row>
    <row r="74923" spans="10:10" x14ac:dyDescent="0.3">
      <c r="J74923"/>
    </row>
    <row r="74924" spans="10:10" x14ac:dyDescent="0.3">
      <c r="J74924"/>
    </row>
    <row r="74925" spans="10:10" x14ac:dyDescent="0.3">
      <c r="J74925"/>
    </row>
    <row r="74926" spans="10:10" x14ac:dyDescent="0.3">
      <c r="J74926"/>
    </row>
    <row r="74927" spans="10:10" x14ac:dyDescent="0.3">
      <c r="J74927"/>
    </row>
    <row r="74928" spans="10:10" x14ac:dyDescent="0.3">
      <c r="J74928"/>
    </row>
    <row r="74929" spans="10:10" x14ac:dyDescent="0.3">
      <c r="J74929"/>
    </row>
    <row r="74930" spans="10:10" x14ac:dyDescent="0.3">
      <c r="J74930"/>
    </row>
    <row r="74931" spans="10:10" x14ac:dyDescent="0.3">
      <c r="J74931"/>
    </row>
    <row r="74932" spans="10:10" x14ac:dyDescent="0.3">
      <c r="J74932"/>
    </row>
    <row r="74933" spans="10:10" x14ac:dyDescent="0.3">
      <c r="J74933"/>
    </row>
    <row r="74934" spans="10:10" x14ac:dyDescent="0.3">
      <c r="J74934"/>
    </row>
    <row r="74935" spans="10:10" x14ac:dyDescent="0.3">
      <c r="J74935"/>
    </row>
    <row r="74936" spans="10:10" x14ac:dyDescent="0.3">
      <c r="J74936"/>
    </row>
    <row r="74937" spans="10:10" x14ac:dyDescent="0.3">
      <c r="J74937"/>
    </row>
    <row r="74938" spans="10:10" x14ac:dyDescent="0.3">
      <c r="J74938"/>
    </row>
    <row r="74939" spans="10:10" x14ac:dyDescent="0.3">
      <c r="J74939"/>
    </row>
    <row r="74940" spans="10:10" x14ac:dyDescent="0.3">
      <c r="J74940"/>
    </row>
    <row r="74941" spans="10:10" x14ac:dyDescent="0.3">
      <c r="J74941"/>
    </row>
    <row r="74942" spans="10:10" x14ac:dyDescent="0.3">
      <c r="J74942"/>
    </row>
    <row r="74943" spans="10:10" x14ac:dyDescent="0.3">
      <c r="J74943"/>
    </row>
    <row r="74944" spans="10:10" x14ac:dyDescent="0.3">
      <c r="J74944"/>
    </row>
    <row r="74945" spans="10:10" x14ac:dyDescent="0.3">
      <c r="J74945"/>
    </row>
    <row r="74946" spans="10:10" x14ac:dyDescent="0.3">
      <c r="J74946"/>
    </row>
    <row r="74947" spans="10:10" x14ac:dyDescent="0.3">
      <c r="J74947"/>
    </row>
    <row r="74948" spans="10:10" x14ac:dyDescent="0.3">
      <c r="J74948"/>
    </row>
    <row r="74949" spans="10:10" x14ac:dyDescent="0.3">
      <c r="J74949"/>
    </row>
    <row r="74950" spans="10:10" x14ac:dyDescent="0.3">
      <c r="J74950"/>
    </row>
    <row r="74951" spans="10:10" x14ac:dyDescent="0.3">
      <c r="J74951"/>
    </row>
    <row r="74952" spans="10:10" x14ac:dyDescent="0.3">
      <c r="J74952"/>
    </row>
    <row r="74953" spans="10:10" x14ac:dyDescent="0.3">
      <c r="J74953"/>
    </row>
    <row r="74954" spans="10:10" x14ac:dyDescent="0.3">
      <c r="J74954"/>
    </row>
    <row r="74955" spans="10:10" x14ac:dyDescent="0.3">
      <c r="J74955"/>
    </row>
    <row r="74956" spans="10:10" x14ac:dyDescent="0.3">
      <c r="J74956"/>
    </row>
    <row r="74957" spans="10:10" x14ac:dyDescent="0.3">
      <c r="J74957"/>
    </row>
    <row r="74958" spans="10:10" x14ac:dyDescent="0.3">
      <c r="J74958"/>
    </row>
    <row r="74959" spans="10:10" x14ac:dyDescent="0.3">
      <c r="J74959"/>
    </row>
    <row r="74960" spans="10:10" x14ac:dyDescent="0.3">
      <c r="J74960"/>
    </row>
    <row r="74961" spans="10:10" x14ac:dyDescent="0.3">
      <c r="J74961"/>
    </row>
    <row r="74962" spans="10:10" x14ac:dyDescent="0.3">
      <c r="J74962"/>
    </row>
    <row r="74963" spans="10:10" x14ac:dyDescent="0.3">
      <c r="J74963"/>
    </row>
    <row r="74964" spans="10:10" x14ac:dyDescent="0.3">
      <c r="J74964"/>
    </row>
    <row r="74965" spans="10:10" x14ac:dyDescent="0.3">
      <c r="J74965"/>
    </row>
    <row r="74966" spans="10:10" x14ac:dyDescent="0.3">
      <c r="J74966"/>
    </row>
    <row r="74967" spans="10:10" x14ac:dyDescent="0.3">
      <c r="J74967"/>
    </row>
    <row r="74968" spans="10:10" x14ac:dyDescent="0.3">
      <c r="J74968"/>
    </row>
    <row r="74969" spans="10:10" x14ac:dyDescent="0.3">
      <c r="J74969"/>
    </row>
    <row r="74970" spans="10:10" x14ac:dyDescent="0.3">
      <c r="J74970"/>
    </row>
    <row r="74971" spans="10:10" x14ac:dyDescent="0.3">
      <c r="J74971"/>
    </row>
    <row r="74972" spans="10:10" x14ac:dyDescent="0.3">
      <c r="J74972"/>
    </row>
    <row r="74973" spans="10:10" x14ac:dyDescent="0.3">
      <c r="J74973"/>
    </row>
    <row r="74974" spans="10:10" x14ac:dyDescent="0.3">
      <c r="J74974"/>
    </row>
    <row r="74975" spans="10:10" x14ac:dyDescent="0.3">
      <c r="J74975"/>
    </row>
    <row r="74976" spans="10:10" x14ac:dyDescent="0.3">
      <c r="J74976"/>
    </row>
    <row r="74977" spans="10:10" x14ac:dyDescent="0.3">
      <c r="J74977"/>
    </row>
    <row r="74978" spans="10:10" x14ac:dyDescent="0.3">
      <c r="J74978"/>
    </row>
    <row r="74979" spans="10:10" x14ac:dyDescent="0.3">
      <c r="J74979"/>
    </row>
    <row r="74980" spans="10:10" x14ac:dyDescent="0.3">
      <c r="J74980"/>
    </row>
    <row r="74981" spans="10:10" x14ac:dyDescent="0.3">
      <c r="J74981"/>
    </row>
    <row r="74982" spans="10:10" x14ac:dyDescent="0.3">
      <c r="J74982"/>
    </row>
    <row r="74983" spans="10:10" x14ac:dyDescent="0.3">
      <c r="J74983"/>
    </row>
    <row r="74984" spans="10:10" x14ac:dyDescent="0.3">
      <c r="J74984"/>
    </row>
    <row r="74985" spans="10:10" x14ac:dyDescent="0.3">
      <c r="J74985"/>
    </row>
    <row r="74986" spans="10:10" x14ac:dyDescent="0.3">
      <c r="J74986"/>
    </row>
    <row r="74987" spans="10:10" x14ac:dyDescent="0.3">
      <c r="J74987"/>
    </row>
    <row r="74988" spans="10:10" x14ac:dyDescent="0.3">
      <c r="J74988"/>
    </row>
    <row r="74989" spans="10:10" x14ac:dyDescent="0.3">
      <c r="J74989"/>
    </row>
    <row r="74990" spans="10:10" x14ac:dyDescent="0.3">
      <c r="J74990"/>
    </row>
    <row r="74991" spans="10:10" x14ac:dyDescent="0.3">
      <c r="J74991"/>
    </row>
    <row r="74992" spans="10:10" x14ac:dyDescent="0.3">
      <c r="J74992"/>
    </row>
    <row r="74993" spans="10:10" x14ac:dyDescent="0.3">
      <c r="J74993"/>
    </row>
    <row r="74994" spans="10:10" x14ac:dyDescent="0.3">
      <c r="J74994"/>
    </row>
    <row r="74995" spans="10:10" x14ac:dyDescent="0.3">
      <c r="J74995"/>
    </row>
    <row r="74996" spans="10:10" x14ac:dyDescent="0.3">
      <c r="J74996"/>
    </row>
    <row r="74997" spans="10:10" x14ac:dyDescent="0.3">
      <c r="J74997"/>
    </row>
    <row r="74998" spans="10:10" x14ac:dyDescent="0.3">
      <c r="J74998"/>
    </row>
    <row r="74999" spans="10:10" x14ac:dyDescent="0.3">
      <c r="J74999"/>
    </row>
    <row r="75000" spans="10:10" x14ac:dyDescent="0.3">
      <c r="J75000"/>
    </row>
    <row r="75001" spans="10:10" x14ac:dyDescent="0.3">
      <c r="J75001"/>
    </row>
    <row r="75002" spans="10:10" x14ac:dyDescent="0.3">
      <c r="J75002"/>
    </row>
    <row r="75003" spans="10:10" x14ac:dyDescent="0.3">
      <c r="J75003"/>
    </row>
    <row r="75004" spans="10:10" x14ac:dyDescent="0.3">
      <c r="J75004"/>
    </row>
    <row r="75005" spans="10:10" x14ac:dyDescent="0.3">
      <c r="J75005"/>
    </row>
    <row r="75006" spans="10:10" x14ac:dyDescent="0.3">
      <c r="J75006"/>
    </row>
    <row r="75007" spans="10:10" x14ac:dyDescent="0.3">
      <c r="J75007"/>
    </row>
    <row r="75008" spans="10:10" x14ac:dyDescent="0.3">
      <c r="J75008"/>
    </row>
    <row r="75009" spans="10:10" x14ac:dyDescent="0.3">
      <c r="J75009"/>
    </row>
    <row r="75010" spans="10:10" x14ac:dyDescent="0.3">
      <c r="J75010"/>
    </row>
    <row r="75011" spans="10:10" x14ac:dyDescent="0.3">
      <c r="J75011"/>
    </row>
    <row r="75012" spans="10:10" x14ac:dyDescent="0.3">
      <c r="J75012"/>
    </row>
    <row r="75013" spans="10:10" x14ac:dyDescent="0.3">
      <c r="J75013"/>
    </row>
    <row r="75014" spans="10:10" x14ac:dyDescent="0.3">
      <c r="J75014"/>
    </row>
    <row r="75015" spans="10:10" x14ac:dyDescent="0.3">
      <c r="J75015"/>
    </row>
    <row r="75016" spans="10:10" x14ac:dyDescent="0.3">
      <c r="J75016"/>
    </row>
    <row r="75017" spans="10:10" x14ac:dyDescent="0.3">
      <c r="J75017"/>
    </row>
    <row r="75018" spans="10:10" x14ac:dyDescent="0.3">
      <c r="J75018"/>
    </row>
    <row r="75019" spans="10:10" x14ac:dyDescent="0.3">
      <c r="J75019"/>
    </row>
    <row r="75020" spans="10:10" x14ac:dyDescent="0.3">
      <c r="J75020"/>
    </row>
    <row r="75021" spans="10:10" x14ac:dyDescent="0.3">
      <c r="J75021"/>
    </row>
    <row r="75022" spans="10:10" x14ac:dyDescent="0.3">
      <c r="J75022"/>
    </row>
    <row r="75023" spans="10:10" x14ac:dyDescent="0.3">
      <c r="J75023"/>
    </row>
    <row r="75024" spans="10:10" x14ac:dyDescent="0.3">
      <c r="J75024"/>
    </row>
    <row r="75025" spans="10:10" x14ac:dyDescent="0.3">
      <c r="J75025"/>
    </row>
    <row r="75026" spans="10:10" x14ac:dyDescent="0.3">
      <c r="J75026"/>
    </row>
    <row r="75027" spans="10:10" x14ac:dyDescent="0.3">
      <c r="J75027"/>
    </row>
    <row r="75028" spans="10:10" x14ac:dyDescent="0.3">
      <c r="J75028"/>
    </row>
    <row r="75029" spans="10:10" x14ac:dyDescent="0.3">
      <c r="J75029"/>
    </row>
    <row r="75030" spans="10:10" x14ac:dyDescent="0.3">
      <c r="J75030"/>
    </row>
    <row r="75031" spans="10:10" x14ac:dyDescent="0.3">
      <c r="J75031"/>
    </row>
    <row r="75032" spans="10:10" x14ac:dyDescent="0.3">
      <c r="J75032"/>
    </row>
    <row r="75033" spans="10:10" x14ac:dyDescent="0.3">
      <c r="J75033"/>
    </row>
    <row r="75034" spans="10:10" x14ac:dyDescent="0.3">
      <c r="J75034"/>
    </row>
    <row r="75035" spans="10:10" x14ac:dyDescent="0.3">
      <c r="J75035"/>
    </row>
    <row r="75036" spans="10:10" x14ac:dyDescent="0.3">
      <c r="J75036"/>
    </row>
    <row r="75037" spans="10:10" x14ac:dyDescent="0.3">
      <c r="J75037"/>
    </row>
    <row r="75038" spans="10:10" x14ac:dyDescent="0.3">
      <c r="J75038"/>
    </row>
    <row r="75039" spans="10:10" x14ac:dyDescent="0.3">
      <c r="J75039"/>
    </row>
    <row r="75040" spans="10:10" x14ac:dyDescent="0.3">
      <c r="J75040"/>
    </row>
    <row r="75041" spans="10:10" x14ac:dyDescent="0.3">
      <c r="J75041"/>
    </row>
    <row r="75042" spans="10:10" x14ac:dyDescent="0.3">
      <c r="J75042"/>
    </row>
    <row r="75043" spans="10:10" x14ac:dyDescent="0.3">
      <c r="J75043"/>
    </row>
    <row r="75044" spans="10:10" x14ac:dyDescent="0.3">
      <c r="J75044"/>
    </row>
    <row r="75045" spans="10:10" x14ac:dyDescent="0.3">
      <c r="J75045"/>
    </row>
    <row r="75046" spans="10:10" x14ac:dyDescent="0.3">
      <c r="J75046"/>
    </row>
    <row r="75047" spans="10:10" x14ac:dyDescent="0.3">
      <c r="J75047"/>
    </row>
    <row r="75048" spans="10:10" x14ac:dyDescent="0.3">
      <c r="J75048"/>
    </row>
    <row r="75049" spans="10:10" x14ac:dyDescent="0.3">
      <c r="J75049"/>
    </row>
    <row r="75050" spans="10:10" x14ac:dyDescent="0.3">
      <c r="J75050"/>
    </row>
    <row r="75051" spans="10:10" x14ac:dyDescent="0.3">
      <c r="J75051"/>
    </row>
    <row r="75052" spans="10:10" x14ac:dyDescent="0.3">
      <c r="J75052"/>
    </row>
    <row r="75053" spans="10:10" x14ac:dyDescent="0.3">
      <c r="J75053"/>
    </row>
    <row r="75054" spans="10:10" x14ac:dyDescent="0.3">
      <c r="J75054"/>
    </row>
    <row r="75055" spans="10:10" x14ac:dyDescent="0.3">
      <c r="J75055"/>
    </row>
    <row r="75056" spans="10:10" x14ac:dyDescent="0.3">
      <c r="J75056"/>
    </row>
    <row r="75057" spans="10:10" x14ac:dyDescent="0.3">
      <c r="J75057"/>
    </row>
    <row r="75058" spans="10:10" x14ac:dyDescent="0.3">
      <c r="J75058"/>
    </row>
    <row r="75059" spans="10:10" x14ac:dyDescent="0.3">
      <c r="J75059"/>
    </row>
    <row r="75060" spans="10:10" x14ac:dyDescent="0.3">
      <c r="J75060"/>
    </row>
    <row r="75061" spans="10:10" x14ac:dyDescent="0.3">
      <c r="J75061"/>
    </row>
    <row r="75062" spans="10:10" x14ac:dyDescent="0.3">
      <c r="J75062"/>
    </row>
    <row r="75063" spans="10:10" x14ac:dyDescent="0.3">
      <c r="J75063"/>
    </row>
    <row r="75064" spans="10:10" x14ac:dyDescent="0.3">
      <c r="J75064"/>
    </row>
    <row r="75065" spans="10:10" x14ac:dyDescent="0.3">
      <c r="J75065"/>
    </row>
    <row r="75066" spans="10:10" x14ac:dyDescent="0.3">
      <c r="J75066"/>
    </row>
    <row r="75067" spans="10:10" x14ac:dyDescent="0.3">
      <c r="J75067"/>
    </row>
    <row r="75068" spans="10:10" x14ac:dyDescent="0.3">
      <c r="J75068"/>
    </row>
    <row r="75069" spans="10:10" x14ac:dyDescent="0.3">
      <c r="J75069"/>
    </row>
    <row r="75070" spans="10:10" x14ac:dyDescent="0.3">
      <c r="J75070"/>
    </row>
    <row r="75071" spans="10:10" x14ac:dyDescent="0.3">
      <c r="J75071"/>
    </row>
    <row r="75072" spans="10:10" x14ac:dyDescent="0.3">
      <c r="J75072"/>
    </row>
    <row r="75073" spans="10:10" x14ac:dyDescent="0.3">
      <c r="J75073"/>
    </row>
    <row r="75074" spans="10:10" x14ac:dyDescent="0.3">
      <c r="J75074"/>
    </row>
    <row r="75075" spans="10:10" x14ac:dyDescent="0.3">
      <c r="J75075"/>
    </row>
    <row r="75076" spans="10:10" x14ac:dyDescent="0.3">
      <c r="J75076"/>
    </row>
    <row r="75077" spans="10:10" x14ac:dyDescent="0.3">
      <c r="J75077"/>
    </row>
    <row r="75078" spans="10:10" x14ac:dyDescent="0.3">
      <c r="J75078"/>
    </row>
    <row r="75079" spans="10:10" x14ac:dyDescent="0.3">
      <c r="J75079"/>
    </row>
    <row r="75080" spans="10:10" x14ac:dyDescent="0.3">
      <c r="J75080"/>
    </row>
    <row r="75081" spans="10:10" x14ac:dyDescent="0.3">
      <c r="J75081"/>
    </row>
    <row r="75082" spans="10:10" x14ac:dyDescent="0.3">
      <c r="J75082"/>
    </row>
    <row r="75083" spans="10:10" x14ac:dyDescent="0.3">
      <c r="J75083"/>
    </row>
    <row r="75084" spans="10:10" x14ac:dyDescent="0.3">
      <c r="J75084"/>
    </row>
    <row r="75085" spans="10:10" x14ac:dyDescent="0.3">
      <c r="J75085"/>
    </row>
    <row r="75086" spans="10:10" x14ac:dyDescent="0.3">
      <c r="J75086"/>
    </row>
    <row r="75087" spans="10:10" x14ac:dyDescent="0.3">
      <c r="J75087"/>
    </row>
    <row r="75088" spans="10:10" x14ac:dyDescent="0.3">
      <c r="J75088"/>
    </row>
    <row r="75089" spans="10:10" x14ac:dyDescent="0.3">
      <c r="J75089"/>
    </row>
    <row r="75090" spans="10:10" x14ac:dyDescent="0.3">
      <c r="J75090"/>
    </row>
    <row r="75091" spans="10:10" x14ac:dyDescent="0.3">
      <c r="J75091"/>
    </row>
    <row r="75092" spans="10:10" x14ac:dyDescent="0.3">
      <c r="J75092"/>
    </row>
    <row r="75093" spans="10:10" x14ac:dyDescent="0.3">
      <c r="J75093"/>
    </row>
    <row r="75094" spans="10:10" x14ac:dyDescent="0.3">
      <c r="J75094"/>
    </row>
    <row r="75095" spans="10:10" x14ac:dyDescent="0.3">
      <c r="J75095"/>
    </row>
    <row r="75096" spans="10:10" x14ac:dyDescent="0.3">
      <c r="J75096"/>
    </row>
    <row r="75097" spans="10:10" x14ac:dyDescent="0.3">
      <c r="J75097"/>
    </row>
    <row r="75098" spans="10:10" x14ac:dyDescent="0.3">
      <c r="J75098"/>
    </row>
    <row r="75099" spans="10:10" x14ac:dyDescent="0.3">
      <c r="J75099"/>
    </row>
    <row r="75100" spans="10:10" x14ac:dyDescent="0.3">
      <c r="J75100"/>
    </row>
    <row r="75101" spans="10:10" x14ac:dyDescent="0.3">
      <c r="J75101"/>
    </row>
    <row r="75102" spans="10:10" x14ac:dyDescent="0.3">
      <c r="J75102"/>
    </row>
    <row r="75103" spans="10:10" x14ac:dyDescent="0.3">
      <c r="J75103"/>
    </row>
    <row r="75104" spans="10:10" x14ac:dyDescent="0.3">
      <c r="J75104"/>
    </row>
    <row r="75105" spans="10:10" x14ac:dyDescent="0.3">
      <c r="J75105"/>
    </row>
    <row r="75106" spans="10:10" x14ac:dyDescent="0.3">
      <c r="J75106"/>
    </row>
    <row r="75107" spans="10:10" x14ac:dyDescent="0.3">
      <c r="J75107"/>
    </row>
    <row r="75108" spans="10:10" x14ac:dyDescent="0.3">
      <c r="J75108"/>
    </row>
    <row r="75109" spans="10:10" x14ac:dyDescent="0.3">
      <c r="J75109"/>
    </row>
    <row r="75110" spans="10:10" x14ac:dyDescent="0.3">
      <c r="J75110"/>
    </row>
    <row r="75111" spans="10:10" x14ac:dyDescent="0.3">
      <c r="J75111"/>
    </row>
    <row r="75112" spans="10:10" x14ac:dyDescent="0.3">
      <c r="J75112"/>
    </row>
    <row r="75113" spans="10:10" x14ac:dyDescent="0.3">
      <c r="J75113"/>
    </row>
    <row r="75114" spans="10:10" x14ac:dyDescent="0.3">
      <c r="J75114"/>
    </row>
    <row r="75115" spans="10:10" x14ac:dyDescent="0.3">
      <c r="J75115"/>
    </row>
    <row r="75116" spans="10:10" x14ac:dyDescent="0.3">
      <c r="J75116"/>
    </row>
    <row r="75117" spans="10:10" x14ac:dyDescent="0.3">
      <c r="J75117"/>
    </row>
    <row r="75118" spans="10:10" x14ac:dyDescent="0.3">
      <c r="J75118"/>
    </row>
    <row r="75119" spans="10:10" x14ac:dyDescent="0.3">
      <c r="J75119"/>
    </row>
    <row r="75120" spans="10:10" x14ac:dyDescent="0.3">
      <c r="J75120"/>
    </row>
    <row r="75121" spans="10:10" x14ac:dyDescent="0.3">
      <c r="J75121"/>
    </row>
    <row r="75122" spans="10:10" x14ac:dyDescent="0.3">
      <c r="J75122"/>
    </row>
    <row r="75123" spans="10:10" x14ac:dyDescent="0.3">
      <c r="J75123"/>
    </row>
    <row r="75124" spans="10:10" x14ac:dyDescent="0.3">
      <c r="J75124"/>
    </row>
    <row r="75125" spans="10:10" x14ac:dyDescent="0.3">
      <c r="J75125"/>
    </row>
    <row r="75126" spans="10:10" x14ac:dyDescent="0.3">
      <c r="J75126"/>
    </row>
    <row r="75127" spans="10:10" x14ac:dyDescent="0.3">
      <c r="J75127"/>
    </row>
    <row r="75128" spans="10:10" x14ac:dyDescent="0.3">
      <c r="J75128"/>
    </row>
    <row r="75129" spans="10:10" x14ac:dyDescent="0.3">
      <c r="J75129"/>
    </row>
    <row r="75130" spans="10:10" x14ac:dyDescent="0.3">
      <c r="J75130"/>
    </row>
    <row r="75131" spans="10:10" x14ac:dyDescent="0.3">
      <c r="J75131"/>
    </row>
    <row r="75132" spans="10:10" x14ac:dyDescent="0.3">
      <c r="J75132"/>
    </row>
    <row r="75133" spans="10:10" x14ac:dyDescent="0.3">
      <c r="J75133"/>
    </row>
    <row r="75134" spans="10:10" x14ac:dyDescent="0.3">
      <c r="J75134"/>
    </row>
    <row r="75135" spans="10:10" x14ac:dyDescent="0.3">
      <c r="J75135"/>
    </row>
    <row r="75136" spans="10:10" x14ac:dyDescent="0.3">
      <c r="J75136"/>
    </row>
    <row r="75137" spans="10:10" x14ac:dyDescent="0.3">
      <c r="J75137"/>
    </row>
    <row r="75138" spans="10:10" x14ac:dyDescent="0.3">
      <c r="J75138"/>
    </row>
    <row r="75139" spans="10:10" x14ac:dyDescent="0.3">
      <c r="J75139"/>
    </row>
    <row r="75140" spans="10:10" x14ac:dyDescent="0.3">
      <c r="J75140"/>
    </row>
    <row r="75141" spans="10:10" x14ac:dyDescent="0.3">
      <c r="J75141"/>
    </row>
    <row r="75142" spans="10:10" x14ac:dyDescent="0.3">
      <c r="J75142"/>
    </row>
    <row r="75143" spans="10:10" x14ac:dyDescent="0.3">
      <c r="J75143"/>
    </row>
    <row r="75144" spans="10:10" x14ac:dyDescent="0.3">
      <c r="J75144"/>
    </row>
    <row r="75145" spans="10:10" x14ac:dyDescent="0.3">
      <c r="J75145"/>
    </row>
    <row r="75146" spans="10:10" x14ac:dyDescent="0.3">
      <c r="J75146"/>
    </row>
    <row r="75147" spans="10:10" x14ac:dyDescent="0.3">
      <c r="J75147"/>
    </row>
    <row r="75148" spans="10:10" x14ac:dyDescent="0.3">
      <c r="J75148"/>
    </row>
    <row r="75149" spans="10:10" x14ac:dyDescent="0.3">
      <c r="J75149"/>
    </row>
    <row r="75150" spans="10:10" x14ac:dyDescent="0.3">
      <c r="J75150"/>
    </row>
    <row r="75151" spans="10:10" x14ac:dyDescent="0.3">
      <c r="J75151"/>
    </row>
    <row r="75152" spans="10:10" x14ac:dyDescent="0.3">
      <c r="J75152"/>
    </row>
    <row r="75153" spans="10:10" x14ac:dyDescent="0.3">
      <c r="J75153"/>
    </row>
    <row r="75154" spans="10:10" x14ac:dyDescent="0.3">
      <c r="J75154"/>
    </row>
    <row r="75155" spans="10:10" x14ac:dyDescent="0.3">
      <c r="J75155"/>
    </row>
    <row r="75156" spans="10:10" x14ac:dyDescent="0.3">
      <c r="J75156"/>
    </row>
    <row r="75157" spans="10:10" x14ac:dyDescent="0.3">
      <c r="J75157"/>
    </row>
    <row r="75158" spans="10:10" x14ac:dyDescent="0.3">
      <c r="J75158"/>
    </row>
    <row r="75159" spans="10:10" x14ac:dyDescent="0.3">
      <c r="J75159"/>
    </row>
    <row r="75160" spans="10:10" x14ac:dyDescent="0.3">
      <c r="J75160"/>
    </row>
    <row r="75161" spans="10:10" x14ac:dyDescent="0.3">
      <c r="J75161"/>
    </row>
    <row r="75162" spans="10:10" x14ac:dyDescent="0.3">
      <c r="J75162"/>
    </row>
    <row r="75163" spans="10:10" x14ac:dyDescent="0.3">
      <c r="J75163"/>
    </row>
    <row r="75164" spans="10:10" x14ac:dyDescent="0.3">
      <c r="J75164"/>
    </row>
    <row r="75165" spans="10:10" x14ac:dyDescent="0.3">
      <c r="J75165"/>
    </row>
    <row r="75166" spans="10:10" x14ac:dyDescent="0.3">
      <c r="J75166"/>
    </row>
    <row r="75167" spans="10:10" x14ac:dyDescent="0.3">
      <c r="J75167"/>
    </row>
    <row r="75168" spans="10:10" x14ac:dyDescent="0.3">
      <c r="J75168"/>
    </row>
    <row r="75169" spans="10:10" x14ac:dyDescent="0.3">
      <c r="J75169"/>
    </row>
    <row r="75170" spans="10:10" x14ac:dyDescent="0.3">
      <c r="J75170"/>
    </row>
    <row r="75171" spans="10:10" x14ac:dyDescent="0.3">
      <c r="J75171"/>
    </row>
    <row r="75172" spans="10:10" x14ac:dyDescent="0.3">
      <c r="J75172"/>
    </row>
    <row r="75173" spans="10:10" x14ac:dyDescent="0.3">
      <c r="J75173"/>
    </row>
    <row r="75174" spans="10:10" x14ac:dyDescent="0.3">
      <c r="J75174"/>
    </row>
    <row r="75175" spans="10:10" x14ac:dyDescent="0.3">
      <c r="J75175"/>
    </row>
    <row r="75176" spans="10:10" x14ac:dyDescent="0.3">
      <c r="J75176"/>
    </row>
    <row r="75177" spans="10:10" x14ac:dyDescent="0.3">
      <c r="J75177"/>
    </row>
    <row r="75178" spans="10:10" x14ac:dyDescent="0.3">
      <c r="J75178"/>
    </row>
    <row r="75179" spans="10:10" x14ac:dyDescent="0.3">
      <c r="J75179"/>
    </row>
    <row r="75180" spans="10:10" x14ac:dyDescent="0.3">
      <c r="J75180"/>
    </row>
    <row r="75181" spans="10:10" x14ac:dyDescent="0.3">
      <c r="J75181"/>
    </row>
    <row r="75182" spans="10:10" x14ac:dyDescent="0.3">
      <c r="J75182"/>
    </row>
    <row r="75183" spans="10:10" x14ac:dyDescent="0.3">
      <c r="J75183"/>
    </row>
    <row r="75184" spans="10:10" x14ac:dyDescent="0.3">
      <c r="J75184"/>
    </row>
    <row r="75185" spans="10:10" x14ac:dyDescent="0.3">
      <c r="J75185"/>
    </row>
    <row r="75186" spans="10:10" x14ac:dyDescent="0.3">
      <c r="J75186"/>
    </row>
    <row r="75187" spans="10:10" x14ac:dyDescent="0.3">
      <c r="J75187"/>
    </row>
    <row r="75188" spans="10:10" x14ac:dyDescent="0.3">
      <c r="J75188"/>
    </row>
    <row r="75189" spans="10:10" x14ac:dyDescent="0.3">
      <c r="J75189"/>
    </row>
    <row r="75190" spans="10:10" x14ac:dyDescent="0.3">
      <c r="J75190"/>
    </row>
    <row r="75191" spans="10:10" x14ac:dyDescent="0.3">
      <c r="J75191"/>
    </row>
    <row r="75192" spans="10:10" x14ac:dyDescent="0.3">
      <c r="J75192"/>
    </row>
    <row r="75193" spans="10:10" x14ac:dyDescent="0.3">
      <c r="J75193"/>
    </row>
    <row r="75194" spans="10:10" x14ac:dyDescent="0.3">
      <c r="J75194"/>
    </row>
    <row r="75195" spans="10:10" x14ac:dyDescent="0.3">
      <c r="J75195"/>
    </row>
    <row r="75196" spans="10:10" x14ac:dyDescent="0.3">
      <c r="J75196"/>
    </row>
    <row r="75197" spans="10:10" x14ac:dyDescent="0.3">
      <c r="J75197"/>
    </row>
    <row r="75198" spans="10:10" x14ac:dyDescent="0.3">
      <c r="J75198"/>
    </row>
    <row r="75199" spans="10:10" x14ac:dyDescent="0.3">
      <c r="J75199"/>
    </row>
    <row r="75200" spans="10:10" x14ac:dyDescent="0.3">
      <c r="J75200"/>
    </row>
    <row r="75201" spans="10:10" x14ac:dyDescent="0.3">
      <c r="J75201"/>
    </row>
    <row r="75202" spans="10:10" x14ac:dyDescent="0.3">
      <c r="J75202"/>
    </row>
    <row r="75203" spans="10:10" x14ac:dyDescent="0.3">
      <c r="J75203"/>
    </row>
    <row r="75204" spans="10:10" x14ac:dyDescent="0.3">
      <c r="J75204"/>
    </row>
    <row r="75205" spans="10:10" x14ac:dyDescent="0.3">
      <c r="J75205"/>
    </row>
    <row r="75206" spans="10:10" x14ac:dyDescent="0.3">
      <c r="J75206"/>
    </row>
    <row r="75207" spans="10:10" x14ac:dyDescent="0.3">
      <c r="J75207"/>
    </row>
    <row r="75208" spans="10:10" x14ac:dyDescent="0.3">
      <c r="J75208"/>
    </row>
    <row r="75209" spans="10:10" x14ac:dyDescent="0.3">
      <c r="J75209"/>
    </row>
    <row r="75210" spans="10:10" x14ac:dyDescent="0.3">
      <c r="J75210"/>
    </row>
    <row r="75211" spans="10:10" x14ac:dyDescent="0.3">
      <c r="J75211"/>
    </row>
    <row r="75212" spans="10:10" x14ac:dyDescent="0.3">
      <c r="J75212"/>
    </row>
    <row r="75213" spans="10:10" x14ac:dyDescent="0.3">
      <c r="J75213"/>
    </row>
    <row r="75214" spans="10:10" x14ac:dyDescent="0.3">
      <c r="J75214"/>
    </row>
    <row r="75215" spans="10:10" x14ac:dyDescent="0.3">
      <c r="J75215"/>
    </row>
    <row r="75216" spans="10:10" x14ac:dyDescent="0.3">
      <c r="J75216"/>
    </row>
    <row r="75217" spans="10:10" x14ac:dyDescent="0.3">
      <c r="J75217"/>
    </row>
    <row r="75218" spans="10:10" x14ac:dyDescent="0.3">
      <c r="J75218"/>
    </row>
    <row r="75219" spans="10:10" x14ac:dyDescent="0.3">
      <c r="J75219"/>
    </row>
    <row r="75220" spans="10:10" x14ac:dyDescent="0.3">
      <c r="J75220"/>
    </row>
    <row r="75221" spans="10:10" x14ac:dyDescent="0.3">
      <c r="J75221"/>
    </row>
    <row r="75222" spans="10:10" x14ac:dyDescent="0.3">
      <c r="J75222"/>
    </row>
    <row r="75223" spans="10:10" x14ac:dyDescent="0.3">
      <c r="J75223"/>
    </row>
    <row r="75224" spans="10:10" x14ac:dyDescent="0.3">
      <c r="J75224"/>
    </row>
    <row r="75225" spans="10:10" x14ac:dyDescent="0.3">
      <c r="J75225"/>
    </row>
    <row r="75226" spans="10:10" x14ac:dyDescent="0.3">
      <c r="J75226"/>
    </row>
    <row r="75227" spans="10:10" x14ac:dyDescent="0.3">
      <c r="J75227"/>
    </row>
    <row r="75228" spans="10:10" x14ac:dyDescent="0.3">
      <c r="J75228"/>
    </row>
    <row r="75229" spans="10:10" x14ac:dyDescent="0.3">
      <c r="J75229"/>
    </row>
    <row r="75230" spans="10:10" x14ac:dyDescent="0.3">
      <c r="J75230"/>
    </row>
    <row r="75231" spans="10:10" x14ac:dyDescent="0.3">
      <c r="J75231"/>
    </row>
    <row r="75232" spans="10:10" x14ac:dyDescent="0.3">
      <c r="J75232"/>
    </row>
    <row r="75233" spans="10:10" x14ac:dyDescent="0.3">
      <c r="J75233"/>
    </row>
    <row r="75234" spans="10:10" x14ac:dyDescent="0.3">
      <c r="J75234"/>
    </row>
    <row r="75235" spans="10:10" x14ac:dyDescent="0.3">
      <c r="J75235"/>
    </row>
    <row r="75236" spans="10:10" x14ac:dyDescent="0.3">
      <c r="J75236"/>
    </row>
    <row r="75237" spans="10:10" x14ac:dyDescent="0.3">
      <c r="J75237"/>
    </row>
    <row r="75238" spans="10:10" x14ac:dyDescent="0.3">
      <c r="J75238"/>
    </row>
    <row r="75239" spans="10:10" x14ac:dyDescent="0.3">
      <c r="J75239"/>
    </row>
    <row r="75240" spans="10:10" x14ac:dyDescent="0.3">
      <c r="J75240"/>
    </row>
    <row r="75241" spans="10:10" x14ac:dyDescent="0.3">
      <c r="J75241"/>
    </row>
    <row r="75242" spans="10:10" x14ac:dyDescent="0.3">
      <c r="J75242"/>
    </row>
    <row r="75243" spans="10:10" x14ac:dyDescent="0.3">
      <c r="J75243"/>
    </row>
    <row r="75244" spans="10:10" x14ac:dyDescent="0.3">
      <c r="J75244"/>
    </row>
    <row r="75245" spans="10:10" x14ac:dyDescent="0.3">
      <c r="J75245"/>
    </row>
    <row r="75246" spans="10:10" x14ac:dyDescent="0.3">
      <c r="J75246"/>
    </row>
    <row r="75247" spans="10:10" x14ac:dyDescent="0.3">
      <c r="J75247"/>
    </row>
    <row r="75248" spans="10:10" x14ac:dyDescent="0.3">
      <c r="J75248"/>
    </row>
    <row r="75249" spans="10:10" x14ac:dyDescent="0.3">
      <c r="J75249"/>
    </row>
    <row r="75250" spans="10:10" x14ac:dyDescent="0.3">
      <c r="J75250"/>
    </row>
    <row r="75251" spans="10:10" x14ac:dyDescent="0.3">
      <c r="J75251"/>
    </row>
    <row r="75252" spans="10:10" x14ac:dyDescent="0.3">
      <c r="J75252"/>
    </row>
    <row r="75253" spans="10:10" x14ac:dyDescent="0.3">
      <c r="J75253"/>
    </row>
    <row r="75254" spans="10:10" x14ac:dyDescent="0.3">
      <c r="J75254"/>
    </row>
    <row r="75255" spans="10:10" x14ac:dyDescent="0.3">
      <c r="J75255"/>
    </row>
    <row r="75256" spans="10:10" x14ac:dyDescent="0.3">
      <c r="J75256"/>
    </row>
    <row r="75257" spans="10:10" x14ac:dyDescent="0.3">
      <c r="J75257"/>
    </row>
    <row r="75258" spans="10:10" x14ac:dyDescent="0.3">
      <c r="J75258"/>
    </row>
    <row r="75259" spans="10:10" x14ac:dyDescent="0.3">
      <c r="J75259"/>
    </row>
    <row r="75260" spans="10:10" x14ac:dyDescent="0.3">
      <c r="J75260"/>
    </row>
    <row r="75261" spans="10:10" x14ac:dyDescent="0.3">
      <c r="J75261"/>
    </row>
    <row r="75262" spans="10:10" x14ac:dyDescent="0.3">
      <c r="J75262"/>
    </row>
    <row r="75263" spans="10:10" x14ac:dyDescent="0.3">
      <c r="J75263"/>
    </row>
    <row r="75264" spans="10:10" x14ac:dyDescent="0.3">
      <c r="J75264"/>
    </row>
    <row r="75265" spans="10:10" x14ac:dyDescent="0.3">
      <c r="J75265"/>
    </row>
    <row r="75266" spans="10:10" x14ac:dyDescent="0.3">
      <c r="J75266"/>
    </row>
    <row r="75267" spans="10:10" x14ac:dyDescent="0.3">
      <c r="J75267"/>
    </row>
    <row r="75268" spans="10:10" x14ac:dyDescent="0.3">
      <c r="J75268"/>
    </row>
    <row r="75269" spans="10:10" x14ac:dyDescent="0.3">
      <c r="J75269"/>
    </row>
    <row r="75270" spans="10:10" x14ac:dyDescent="0.3">
      <c r="J75270"/>
    </row>
    <row r="75271" spans="10:10" x14ac:dyDescent="0.3">
      <c r="J75271"/>
    </row>
    <row r="75272" spans="10:10" x14ac:dyDescent="0.3">
      <c r="J75272"/>
    </row>
    <row r="75273" spans="10:10" x14ac:dyDescent="0.3">
      <c r="J75273"/>
    </row>
    <row r="75274" spans="10:10" x14ac:dyDescent="0.3">
      <c r="J75274"/>
    </row>
    <row r="75275" spans="10:10" x14ac:dyDescent="0.3">
      <c r="J75275"/>
    </row>
    <row r="75276" spans="10:10" x14ac:dyDescent="0.3">
      <c r="J75276"/>
    </row>
    <row r="75277" spans="10:10" x14ac:dyDescent="0.3">
      <c r="J75277"/>
    </row>
    <row r="75278" spans="10:10" x14ac:dyDescent="0.3">
      <c r="J75278"/>
    </row>
    <row r="75279" spans="10:10" x14ac:dyDescent="0.3">
      <c r="J75279"/>
    </row>
    <row r="75280" spans="10:10" x14ac:dyDescent="0.3">
      <c r="J75280"/>
    </row>
    <row r="75281" spans="10:10" x14ac:dyDescent="0.3">
      <c r="J75281"/>
    </row>
    <row r="75282" spans="10:10" x14ac:dyDescent="0.3">
      <c r="J75282"/>
    </row>
    <row r="75283" spans="10:10" x14ac:dyDescent="0.3">
      <c r="J75283"/>
    </row>
    <row r="75284" spans="10:10" x14ac:dyDescent="0.3">
      <c r="J75284"/>
    </row>
    <row r="75285" spans="10:10" x14ac:dyDescent="0.3">
      <c r="J75285"/>
    </row>
    <row r="75286" spans="10:10" x14ac:dyDescent="0.3">
      <c r="J75286"/>
    </row>
    <row r="75287" spans="10:10" x14ac:dyDescent="0.3">
      <c r="J75287"/>
    </row>
    <row r="75288" spans="10:10" x14ac:dyDescent="0.3">
      <c r="J75288"/>
    </row>
    <row r="75289" spans="10:10" x14ac:dyDescent="0.3">
      <c r="J75289"/>
    </row>
    <row r="75290" spans="10:10" x14ac:dyDescent="0.3">
      <c r="J75290"/>
    </row>
    <row r="75291" spans="10:10" x14ac:dyDescent="0.3">
      <c r="J75291"/>
    </row>
    <row r="75292" spans="10:10" x14ac:dyDescent="0.3">
      <c r="J75292"/>
    </row>
    <row r="75293" spans="10:10" x14ac:dyDescent="0.3">
      <c r="J75293"/>
    </row>
    <row r="75294" spans="10:10" x14ac:dyDescent="0.3">
      <c r="J75294"/>
    </row>
    <row r="75295" spans="10:10" x14ac:dyDescent="0.3">
      <c r="J75295"/>
    </row>
    <row r="75296" spans="10:10" x14ac:dyDescent="0.3">
      <c r="J75296"/>
    </row>
    <row r="75297" spans="10:10" x14ac:dyDescent="0.3">
      <c r="J75297"/>
    </row>
    <row r="75298" spans="10:10" x14ac:dyDescent="0.3">
      <c r="J75298"/>
    </row>
    <row r="75299" spans="10:10" x14ac:dyDescent="0.3">
      <c r="J75299"/>
    </row>
    <row r="75300" spans="10:10" x14ac:dyDescent="0.3">
      <c r="J75300"/>
    </row>
    <row r="75301" spans="10:10" x14ac:dyDescent="0.3">
      <c r="J75301"/>
    </row>
    <row r="75302" spans="10:10" x14ac:dyDescent="0.3">
      <c r="J75302"/>
    </row>
    <row r="75303" spans="10:10" x14ac:dyDescent="0.3">
      <c r="J75303"/>
    </row>
    <row r="75304" spans="10:10" x14ac:dyDescent="0.3">
      <c r="J75304"/>
    </row>
    <row r="75305" spans="10:10" x14ac:dyDescent="0.3">
      <c r="J75305"/>
    </row>
    <row r="75306" spans="10:10" x14ac:dyDescent="0.3">
      <c r="J75306"/>
    </row>
    <row r="75307" spans="10:10" x14ac:dyDescent="0.3">
      <c r="J75307"/>
    </row>
    <row r="75308" spans="10:10" x14ac:dyDescent="0.3">
      <c r="J75308"/>
    </row>
    <row r="75309" spans="10:10" x14ac:dyDescent="0.3">
      <c r="J75309"/>
    </row>
    <row r="75310" spans="10:10" x14ac:dyDescent="0.3">
      <c r="J75310"/>
    </row>
    <row r="75311" spans="10:10" x14ac:dyDescent="0.3">
      <c r="J75311"/>
    </row>
    <row r="75312" spans="10:10" x14ac:dyDescent="0.3">
      <c r="J75312"/>
    </row>
    <row r="75313" spans="10:10" x14ac:dyDescent="0.3">
      <c r="J75313"/>
    </row>
    <row r="75314" spans="10:10" x14ac:dyDescent="0.3">
      <c r="J75314"/>
    </row>
    <row r="75315" spans="10:10" x14ac:dyDescent="0.3">
      <c r="J75315"/>
    </row>
    <row r="75316" spans="10:10" x14ac:dyDescent="0.3">
      <c r="J75316"/>
    </row>
    <row r="75317" spans="10:10" x14ac:dyDescent="0.3">
      <c r="J75317"/>
    </row>
    <row r="75318" spans="10:10" x14ac:dyDescent="0.3">
      <c r="J75318"/>
    </row>
    <row r="75319" spans="10:10" x14ac:dyDescent="0.3">
      <c r="J75319"/>
    </row>
    <row r="75320" spans="10:10" x14ac:dyDescent="0.3">
      <c r="J75320"/>
    </row>
    <row r="75321" spans="10:10" x14ac:dyDescent="0.3">
      <c r="J75321"/>
    </row>
    <row r="75322" spans="10:10" x14ac:dyDescent="0.3">
      <c r="J75322"/>
    </row>
    <row r="75323" spans="10:10" x14ac:dyDescent="0.3">
      <c r="J75323"/>
    </row>
    <row r="75324" spans="10:10" x14ac:dyDescent="0.3">
      <c r="J75324"/>
    </row>
    <row r="75325" spans="10:10" x14ac:dyDescent="0.3">
      <c r="J75325"/>
    </row>
    <row r="75326" spans="10:10" x14ac:dyDescent="0.3">
      <c r="J75326"/>
    </row>
    <row r="75327" spans="10:10" x14ac:dyDescent="0.3">
      <c r="J75327"/>
    </row>
    <row r="75328" spans="10:10" x14ac:dyDescent="0.3">
      <c r="J75328"/>
    </row>
    <row r="75329" spans="10:10" x14ac:dyDescent="0.3">
      <c r="J75329"/>
    </row>
    <row r="75330" spans="10:10" x14ac:dyDescent="0.3">
      <c r="J75330"/>
    </row>
    <row r="75331" spans="10:10" x14ac:dyDescent="0.3">
      <c r="J75331"/>
    </row>
    <row r="75332" spans="10:10" x14ac:dyDescent="0.3">
      <c r="J75332"/>
    </row>
    <row r="75333" spans="10:10" x14ac:dyDescent="0.3">
      <c r="J75333"/>
    </row>
    <row r="75334" spans="10:10" x14ac:dyDescent="0.3">
      <c r="J75334"/>
    </row>
    <row r="75335" spans="10:10" x14ac:dyDescent="0.3">
      <c r="J75335"/>
    </row>
    <row r="75336" spans="10:10" x14ac:dyDescent="0.3">
      <c r="J75336"/>
    </row>
    <row r="75337" spans="10:10" x14ac:dyDescent="0.3">
      <c r="J75337"/>
    </row>
    <row r="75338" spans="10:10" x14ac:dyDescent="0.3">
      <c r="J75338"/>
    </row>
    <row r="75339" spans="10:10" x14ac:dyDescent="0.3">
      <c r="J75339"/>
    </row>
    <row r="75340" spans="10:10" x14ac:dyDescent="0.3">
      <c r="J75340"/>
    </row>
    <row r="75341" spans="10:10" x14ac:dyDescent="0.3">
      <c r="J75341"/>
    </row>
    <row r="75342" spans="10:10" x14ac:dyDescent="0.3">
      <c r="J75342"/>
    </row>
    <row r="75343" spans="10:10" x14ac:dyDescent="0.3">
      <c r="J75343"/>
    </row>
    <row r="75344" spans="10:10" x14ac:dyDescent="0.3">
      <c r="J75344"/>
    </row>
    <row r="75345" spans="10:10" x14ac:dyDescent="0.3">
      <c r="J75345"/>
    </row>
    <row r="75346" spans="10:10" x14ac:dyDescent="0.3">
      <c r="J75346"/>
    </row>
    <row r="75347" spans="10:10" x14ac:dyDescent="0.3">
      <c r="J75347"/>
    </row>
    <row r="75348" spans="10:10" x14ac:dyDescent="0.3">
      <c r="J75348"/>
    </row>
    <row r="75349" spans="10:10" x14ac:dyDescent="0.3">
      <c r="J75349"/>
    </row>
    <row r="75350" spans="10:10" x14ac:dyDescent="0.3">
      <c r="J75350"/>
    </row>
    <row r="75351" spans="10:10" x14ac:dyDescent="0.3">
      <c r="J75351"/>
    </row>
    <row r="75352" spans="10:10" x14ac:dyDescent="0.3">
      <c r="J75352"/>
    </row>
    <row r="75353" spans="10:10" x14ac:dyDescent="0.3">
      <c r="J75353"/>
    </row>
    <row r="75354" spans="10:10" x14ac:dyDescent="0.3">
      <c r="J75354"/>
    </row>
    <row r="75355" spans="10:10" x14ac:dyDescent="0.3">
      <c r="J75355"/>
    </row>
    <row r="75356" spans="10:10" x14ac:dyDescent="0.3">
      <c r="J75356"/>
    </row>
    <row r="75357" spans="10:10" x14ac:dyDescent="0.3">
      <c r="J75357"/>
    </row>
    <row r="75358" spans="10:10" x14ac:dyDescent="0.3">
      <c r="J75358"/>
    </row>
    <row r="75359" spans="10:10" x14ac:dyDescent="0.3">
      <c r="J75359"/>
    </row>
    <row r="75360" spans="10:10" x14ac:dyDescent="0.3">
      <c r="J75360"/>
    </row>
    <row r="75361" spans="10:10" x14ac:dyDescent="0.3">
      <c r="J75361"/>
    </row>
    <row r="75362" spans="10:10" x14ac:dyDescent="0.3">
      <c r="J75362"/>
    </row>
    <row r="75363" spans="10:10" x14ac:dyDescent="0.3">
      <c r="J75363"/>
    </row>
    <row r="75364" spans="10:10" x14ac:dyDescent="0.3">
      <c r="J75364"/>
    </row>
    <row r="75365" spans="10:10" x14ac:dyDescent="0.3">
      <c r="J75365"/>
    </row>
    <row r="75366" spans="10:10" x14ac:dyDescent="0.3">
      <c r="J75366"/>
    </row>
    <row r="75367" spans="10:10" x14ac:dyDescent="0.3">
      <c r="J75367"/>
    </row>
    <row r="75368" spans="10:10" x14ac:dyDescent="0.3">
      <c r="J75368"/>
    </row>
    <row r="75369" spans="10:10" x14ac:dyDescent="0.3">
      <c r="J75369"/>
    </row>
    <row r="75370" spans="10:10" x14ac:dyDescent="0.3">
      <c r="J75370"/>
    </row>
    <row r="75371" spans="10:10" x14ac:dyDescent="0.3">
      <c r="J75371"/>
    </row>
    <row r="75372" spans="10:10" x14ac:dyDescent="0.3">
      <c r="J75372"/>
    </row>
    <row r="75373" spans="10:10" x14ac:dyDescent="0.3">
      <c r="J75373"/>
    </row>
    <row r="75374" spans="10:10" x14ac:dyDescent="0.3">
      <c r="J75374"/>
    </row>
    <row r="75375" spans="10:10" x14ac:dyDescent="0.3">
      <c r="J75375"/>
    </row>
    <row r="75376" spans="10:10" x14ac:dyDescent="0.3">
      <c r="J75376"/>
    </row>
    <row r="75377" spans="10:10" x14ac:dyDescent="0.3">
      <c r="J75377"/>
    </row>
    <row r="75378" spans="10:10" x14ac:dyDescent="0.3">
      <c r="J75378"/>
    </row>
    <row r="75379" spans="10:10" x14ac:dyDescent="0.3">
      <c r="J75379"/>
    </row>
    <row r="75380" spans="10:10" x14ac:dyDescent="0.3">
      <c r="J75380"/>
    </row>
    <row r="75381" spans="10:10" x14ac:dyDescent="0.3">
      <c r="J75381"/>
    </row>
    <row r="75382" spans="10:10" x14ac:dyDescent="0.3">
      <c r="J75382"/>
    </row>
    <row r="75383" spans="10:10" x14ac:dyDescent="0.3">
      <c r="J75383"/>
    </row>
    <row r="75384" spans="10:10" x14ac:dyDescent="0.3">
      <c r="J75384"/>
    </row>
    <row r="75385" spans="10:10" x14ac:dyDescent="0.3">
      <c r="J75385"/>
    </row>
    <row r="75386" spans="10:10" x14ac:dyDescent="0.3">
      <c r="J75386"/>
    </row>
    <row r="75387" spans="10:10" x14ac:dyDescent="0.3">
      <c r="J75387"/>
    </row>
    <row r="75388" spans="10:10" x14ac:dyDescent="0.3">
      <c r="J75388"/>
    </row>
    <row r="75389" spans="10:10" x14ac:dyDescent="0.3">
      <c r="J75389"/>
    </row>
    <row r="75390" spans="10:10" x14ac:dyDescent="0.3">
      <c r="J75390"/>
    </row>
    <row r="75391" spans="10:10" x14ac:dyDescent="0.3">
      <c r="J75391"/>
    </row>
    <row r="75392" spans="10:10" x14ac:dyDescent="0.3">
      <c r="J75392"/>
    </row>
    <row r="75393" spans="10:10" x14ac:dyDescent="0.3">
      <c r="J75393"/>
    </row>
    <row r="75394" spans="10:10" x14ac:dyDescent="0.3">
      <c r="J75394"/>
    </row>
    <row r="75395" spans="10:10" x14ac:dyDescent="0.3">
      <c r="J75395"/>
    </row>
    <row r="75396" spans="10:10" x14ac:dyDescent="0.3">
      <c r="J75396"/>
    </row>
    <row r="75397" spans="10:10" x14ac:dyDescent="0.3">
      <c r="J75397"/>
    </row>
    <row r="75398" spans="10:10" x14ac:dyDescent="0.3">
      <c r="J75398"/>
    </row>
    <row r="75399" spans="10:10" x14ac:dyDescent="0.3">
      <c r="J75399"/>
    </row>
    <row r="75400" spans="10:10" x14ac:dyDescent="0.3">
      <c r="J75400"/>
    </row>
    <row r="75401" spans="10:10" x14ac:dyDescent="0.3">
      <c r="J75401"/>
    </row>
    <row r="75402" spans="10:10" x14ac:dyDescent="0.3">
      <c r="J75402"/>
    </row>
    <row r="75403" spans="10:10" x14ac:dyDescent="0.3">
      <c r="J75403"/>
    </row>
    <row r="75404" spans="10:10" x14ac:dyDescent="0.3">
      <c r="J75404"/>
    </row>
    <row r="75405" spans="10:10" x14ac:dyDescent="0.3">
      <c r="J75405"/>
    </row>
    <row r="75406" spans="10:10" x14ac:dyDescent="0.3">
      <c r="J75406"/>
    </row>
    <row r="75407" spans="10:10" x14ac:dyDescent="0.3">
      <c r="J75407"/>
    </row>
    <row r="75408" spans="10:10" x14ac:dyDescent="0.3">
      <c r="J75408"/>
    </row>
    <row r="75409" spans="10:10" x14ac:dyDescent="0.3">
      <c r="J75409"/>
    </row>
    <row r="75410" spans="10:10" x14ac:dyDescent="0.3">
      <c r="J75410"/>
    </row>
    <row r="75411" spans="10:10" x14ac:dyDescent="0.3">
      <c r="J75411"/>
    </row>
    <row r="75412" spans="10:10" x14ac:dyDescent="0.3">
      <c r="J75412"/>
    </row>
    <row r="75413" spans="10:10" x14ac:dyDescent="0.3">
      <c r="J75413"/>
    </row>
    <row r="75414" spans="10:10" x14ac:dyDescent="0.3">
      <c r="J75414"/>
    </row>
    <row r="75415" spans="10:10" x14ac:dyDescent="0.3">
      <c r="J75415"/>
    </row>
    <row r="75416" spans="10:10" x14ac:dyDescent="0.3">
      <c r="J75416"/>
    </row>
    <row r="75417" spans="10:10" x14ac:dyDescent="0.3">
      <c r="J75417"/>
    </row>
    <row r="75418" spans="10:10" x14ac:dyDescent="0.3">
      <c r="J75418"/>
    </row>
    <row r="75419" spans="10:10" x14ac:dyDescent="0.3">
      <c r="J75419"/>
    </row>
    <row r="75420" spans="10:10" x14ac:dyDescent="0.3">
      <c r="J75420"/>
    </row>
    <row r="75421" spans="10:10" x14ac:dyDescent="0.3">
      <c r="J75421"/>
    </row>
    <row r="75422" spans="10:10" x14ac:dyDescent="0.3">
      <c r="J75422"/>
    </row>
    <row r="75423" spans="10:10" x14ac:dyDescent="0.3">
      <c r="J75423"/>
    </row>
    <row r="75424" spans="10:10" x14ac:dyDescent="0.3">
      <c r="J75424"/>
    </row>
    <row r="75425" spans="10:10" x14ac:dyDescent="0.3">
      <c r="J75425"/>
    </row>
    <row r="75426" spans="10:10" x14ac:dyDescent="0.3">
      <c r="J75426"/>
    </row>
    <row r="75427" spans="10:10" x14ac:dyDescent="0.3">
      <c r="J75427"/>
    </row>
    <row r="75428" spans="10:10" x14ac:dyDescent="0.3">
      <c r="J75428"/>
    </row>
    <row r="75429" spans="10:10" x14ac:dyDescent="0.3">
      <c r="J75429"/>
    </row>
    <row r="75430" spans="10:10" x14ac:dyDescent="0.3">
      <c r="J75430"/>
    </row>
    <row r="75431" spans="10:10" x14ac:dyDescent="0.3">
      <c r="J75431"/>
    </row>
    <row r="75432" spans="10:10" x14ac:dyDescent="0.3">
      <c r="J75432"/>
    </row>
    <row r="75433" spans="10:10" x14ac:dyDescent="0.3">
      <c r="J75433"/>
    </row>
    <row r="75434" spans="10:10" x14ac:dyDescent="0.3">
      <c r="J75434"/>
    </row>
    <row r="75435" spans="10:10" x14ac:dyDescent="0.3">
      <c r="J75435"/>
    </row>
    <row r="75436" spans="10:10" x14ac:dyDescent="0.3">
      <c r="J75436"/>
    </row>
    <row r="75437" spans="10:10" x14ac:dyDescent="0.3">
      <c r="J75437"/>
    </row>
    <row r="75438" spans="10:10" x14ac:dyDescent="0.3">
      <c r="J75438"/>
    </row>
    <row r="75439" spans="10:10" x14ac:dyDescent="0.3">
      <c r="J75439"/>
    </row>
    <row r="75440" spans="10:10" x14ac:dyDescent="0.3">
      <c r="J75440"/>
    </row>
    <row r="75441" spans="10:10" x14ac:dyDescent="0.3">
      <c r="J75441"/>
    </row>
    <row r="75442" spans="10:10" x14ac:dyDescent="0.3">
      <c r="J75442"/>
    </row>
    <row r="75443" spans="10:10" x14ac:dyDescent="0.3">
      <c r="J75443"/>
    </row>
    <row r="75444" spans="10:10" x14ac:dyDescent="0.3">
      <c r="J75444"/>
    </row>
    <row r="75445" spans="10:10" x14ac:dyDescent="0.3">
      <c r="J75445"/>
    </row>
    <row r="75446" spans="10:10" x14ac:dyDescent="0.3">
      <c r="J75446"/>
    </row>
    <row r="75447" spans="10:10" x14ac:dyDescent="0.3">
      <c r="J75447"/>
    </row>
    <row r="75448" spans="10:10" x14ac:dyDescent="0.3">
      <c r="J75448"/>
    </row>
    <row r="75449" spans="10:10" x14ac:dyDescent="0.3">
      <c r="J75449"/>
    </row>
    <row r="75450" spans="10:10" x14ac:dyDescent="0.3">
      <c r="J75450"/>
    </row>
    <row r="75451" spans="10:10" x14ac:dyDescent="0.3">
      <c r="J75451"/>
    </row>
    <row r="75452" spans="10:10" x14ac:dyDescent="0.3">
      <c r="J75452"/>
    </row>
    <row r="75453" spans="10:10" x14ac:dyDescent="0.3">
      <c r="J75453"/>
    </row>
    <row r="75454" spans="10:10" x14ac:dyDescent="0.3">
      <c r="J75454"/>
    </row>
    <row r="75455" spans="10:10" x14ac:dyDescent="0.3">
      <c r="J75455"/>
    </row>
    <row r="75456" spans="10:10" x14ac:dyDescent="0.3">
      <c r="J75456"/>
    </row>
    <row r="75457" spans="10:10" x14ac:dyDescent="0.3">
      <c r="J75457"/>
    </row>
    <row r="75458" spans="10:10" x14ac:dyDescent="0.3">
      <c r="J75458"/>
    </row>
    <row r="75459" spans="10:10" x14ac:dyDescent="0.3">
      <c r="J75459"/>
    </row>
    <row r="75460" spans="10:10" x14ac:dyDescent="0.3">
      <c r="J75460"/>
    </row>
    <row r="75461" spans="10:10" x14ac:dyDescent="0.3">
      <c r="J75461"/>
    </row>
    <row r="75462" spans="10:10" x14ac:dyDescent="0.3">
      <c r="J75462"/>
    </row>
    <row r="75463" spans="10:10" x14ac:dyDescent="0.3">
      <c r="J75463"/>
    </row>
    <row r="75464" spans="10:10" x14ac:dyDescent="0.3">
      <c r="J75464"/>
    </row>
    <row r="75465" spans="10:10" x14ac:dyDescent="0.3">
      <c r="J75465"/>
    </row>
    <row r="75466" spans="10:10" x14ac:dyDescent="0.3">
      <c r="J75466"/>
    </row>
    <row r="75467" spans="10:10" x14ac:dyDescent="0.3">
      <c r="J75467"/>
    </row>
    <row r="75468" spans="10:10" x14ac:dyDescent="0.3">
      <c r="J75468"/>
    </row>
    <row r="75469" spans="10:10" x14ac:dyDescent="0.3">
      <c r="J75469"/>
    </row>
    <row r="75470" spans="10:10" x14ac:dyDescent="0.3">
      <c r="J75470"/>
    </row>
    <row r="75471" spans="10:10" x14ac:dyDescent="0.3">
      <c r="J75471"/>
    </row>
    <row r="75472" spans="10:10" x14ac:dyDescent="0.3">
      <c r="J75472"/>
    </row>
    <row r="75473" spans="10:10" x14ac:dyDescent="0.3">
      <c r="J75473"/>
    </row>
    <row r="75474" spans="10:10" x14ac:dyDescent="0.3">
      <c r="J75474"/>
    </row>
    <row r="75475" spans="10:10" x14ac:dyDescent="0.3">
      <c r="J75475"/>
    </row>
    <row r="75476" spans="10:10" x14ac:dyDescent="0.3">
      <c r="J75476"/>
    </row>
    <row r="75477" spans="10:10" x14ac:dyDescent="0.3">
      <c r="J75477"/>
    </row>
    <row r="75478" spans="10:10" x14ac:dyDescent="0.3">
      <c r="J75478"/>
    </row>
    <row r="75479" spans="10:10" x14ac:dyDescent="0.3">
      <c r="J75479"/>
    </row>
    <row r="75480" spans="10:10" x14ac:dyDescent="0.3">
      <c r="J75480"/>
    </row>
    <row r="75481" spans="10:10" x14ac:dyDescent="0.3">
      <c r="J75481"/>
    </row>
    <row r="75482" spans="10:10" x14ac:dyDescent="0.3">
      <c r="J75482"/>
    </row>
    <row r="75483" spans="10:10" x14ac:dyDescent="0.3">
      <c r="J75483"/>
    </row>
    <row r="75484" spans="10:10" x14ac:dyDescent="0.3">
      <c r="J75484"/>
    </row>
    <row r="75485" spans="10:10" x14ac:dyDescent="0.3">
      <c r="J75485"/>
    </row>
    <row r="75486" spans="10:10" x14ac:dyDescent="0.3">
      <c r="J75486"/>
    </row>
    <row r="75487" spans="10:10" x14ac:dyDescent="0.3">
      <c r="J75487"/>
    </row>
    <row r="75488" spans="10:10" x14ac:dyDescent="0.3">
      <c r="J75488"/>
    </row>
    <row r="75489" spans="10:10" x14ac:dyDescent="0.3">
      <c r="J75489"/>
    </row>
    <row r="75490" spans="10:10" x14ac:dyDescent="0.3">
      <c r="J75490"/>
    </row>
    <row r="75491" spans="10:10" x14ac:dyDescent="0.3">
      <c r="J75491"/>
    </row>
    <row r="75492" spans="10:10" x14ac:dyDescent="0.3">
      <c r="J75492"/>
    </row>
    <row r="75493" spans="10:10" x14ac:dyDescent="0.3">
      <c r="J75493"/>
    </row>
    <row r="75494" spans="10:10" x14ac:dyDescent="0.3">
      <c r="J75494"/>
    </row>
    <row r="75495" spans="10:10" x14ac:dyDescent="0.3">
      <c r="J75495"/>
    </row>
    <row r="75496" spans="10:10" x14ac:dyDescent="0.3">
      <c r="J75496"/>
    </row>
    <row r="75497" spans="10:10" x14ac:dyDescent="0.3">
      <c r="J75497"/>
    </row>
    <row r="75498" spans="10:10" x14ac:dyDescent="0.3">
      <c r="J75498"/>
    </row>
    <row r="75499" spans="10:10" x14ac:dyDescent="0.3">
      <c r="J75499"/>
    </row>
    <row r="75500" spans="10:10" x14ac:dyDescent="0.3">
      <c r="J75500"/>
    </row>
    <row r="75501" spans="10:10" x14ac:dyDescent="0.3">
      <c r="J75501"/>
    </row>
    <row r="75502" spans="10:10" x14ac:dyDescent="0.3">
      <c r="J75502"/>
    </row>
    <row r="75503" spans="10:10" x14ac:dyDescent="0.3">
      <c r="J75503"/>
    </row>
    <row r="75504" spans="10:10" x14ac:dyDescent="0.3">
      <c r="J75504"/>
    </row>
    <row r="75505" spans="10:10" x14ac:dyDescent="0.3">
      <c r="J75505"/>
    </row>
    <row r="75506" spans="10:10" x14ac:dyDescent="0.3">
      <c r="J75506"/>
    </row>
    <row r="75507" spans="10:10" x14ac:dyDescent="0.3">
      <c r="J75507"/>
    </row>
    <row r="75508" spans="10:10" x14ac:dyDescent="0.3">
      <c r="J75508"/>
    </row>
    <row r="75509" spans="10:10" x14ac:dyDescent="0.3">
      <c r="J75509"/>
    </row>
    <row r="75510" spans="10:10" x14ac:dyDescent="0.3">
      <c r="J75510"/>
    </row>
    <row r="75511" spans="10:10" x14ac:dyDescent="0.3">
      <c r="J75511"/>
    </row>
    <row r="75512" spans="10:10" x14ac:dyDescent="0.3">
      <c r="J75512"/>
    </row>
    <row r="75513" spans="10:10" x14ac:dyDescent="0.3">
      <c r="J75513"/>
    </row>
    <row r="75514" spans="10:10" x14ac:dyDescent="0.3">
      <c r="J75514"/>
    </row>
    <row r="75515" spans="10:10" x14ac:dyDescent="0.3">
      <c r="J75515"/>
    </row>
    <row r="75516" spans="10:10" x14ac:dyDescent="0.3">
      <c r="J75516"/>
    </row>
    <row r="75517" spans="10:10" x14ac:dyDescent="0.3">
      <c r="J75517"/>
    </row>
    <row r="75518" spans="10:10" x14ac:dyDescent="0.3">
      <c r="J75518"/>
    </row>
    <row r="75519" spans="10:10" x14ac:dyDescent="0.3">
      <c r="J75519"/>
    </row>
    <row r="75520" spans="10:10" x14ac:dyDescent="0.3">
      <c r="J75520"/>
    </row>
    <row r="75521" spans="10:10" x14ac:dyDescent="0.3">
      <c r="J75521"/>
    </row>
    <row r="75522" spans="10:10" x14ac:dyDescent="0.3">
      <c r="J75522"/>
    </row>
    <row r="75523" spans="10:10" x14ac:dyDescent="0.3">
      <c r="J75523"/>
    </row>
    <row r="75524" spans="10:10" x14ac:dyDescent="0.3">
      <c r="J75524"/>
    </row>
    <row r="75525" spans="10:10" x14ac:dyDescent="0.3">
      <c r="J75525"/>
    </row>
    <row r="75526" spans="10:10" x14ac:dyDescent="0.3">
      <c r="J75526"/>
    </row>
    <row r="75527" spans="10:10" x14ac:dyDescent="0.3">
      <c r="J75527"/>
    </row>
    <row r="75528" spans="10:10" x14ac:dyDescent="0.3">
      <c r="J75528"/>
    </row>
    <row r="75529" spans="10:10" x14ac:dyDescent="0.3">
      <c r="J75529"/>
    </row>
    <row r="75530" spans="10:10" x14ac:dyDescent="0.3">
      <c r="J75530"/>
    </row>
    <row r="75531" spans="10:10" x14ac:dyDescent="0.3">
      <c r="J75531"/>
    </row>
    <row r="75532" spans="10:10" x14ac:dyDescent="0.3">
      <c r="J75532"/>
    </row>
    <row r="75533" spans="10:10" x14ac:dyDescent="0.3">
      <c r="J75533"/>
    </row>
    <row r="75534" spans="10:10" x14ac:dyDescent="0.3">
      <c r="J75534"/>
    </row>
    <row r="75535" spans="10:10" x14ac:dyDescent="0.3">
      <c r="J75535"/>
    </row>
    <row r="75536" spans="10:10" x14ac:dyDescent="0.3">
      <c r="J75536"/>
    </row>
    <row r="75537" spans="10:10" x14ac:dyDescent="0.3">
      <c r="J75537"/>
    </row>
    <row r="75538" spans="10:10" x14ac:dyDescent="0.3">
      <c r="J75538"/>
    </row>
    <row r="75539" spans="10:10" x14ac:dyDescent="0.3">
      <c r="J75539"/>
    </row>
    <row r="75540" spans="10:10" x14ac:dyDescent="0.3">
      <c r="J75540"/>
    </row>
    <row r="75541" spans="10:10" x14ac:dyDescent="0.3">
      <c r="J75541"/>
    </row>
    <row r="75542" spans="10:10" x14ac:dyDescent="0.3">
      <c r="J75542"/>
    </row>
    <row r="75543" spans="10:10" x14ac:dyDescent="0.3">
      <c r="J75543"/>
    </row>
    <row r="75544" spans="10:10" x14ac:dyDescent="0.3">
      <c r="J75544"/>
    </row>
    <row r="75545" spans="10:10" x14ac:dyDescent="0.3">
      <c r="J75545"/>
    </row>
    <row r="75546" spans="10:10" x14ac:dyDescent="0.3">
      <c r="J75546"/>
    </row>
    <row r="75547" spans="10:10" x14ac:dyDescent="0.3">
      <c r="J75547"/>
    </row>
    <row r="75548" spans="10:10" x14ac:dyDescent="0.3">
      <c r="J75548"/>
    </row>
    <row r="75549" spans="10:10" x14ac:dyDescent="0.3">
      <c r="J75549"/>
    </row>
    <row r="75550" spans="10:10" x14ac:dyDescent="0.3">
      <c r="J75550"/>
    </row>
    <row r="75551" spans="10:10" x14ac:dyDescent="0.3">
      <c r="J75551"/>
    </row>
    <row r="75552" spans="10:10" x14ac:dyDescent="0.3">
      <c r="J75552"/>
    </row>
    <row r="75553" spans="10:10" x14ac:dyDescent="0.3">
      <c r="J75553"/>
    </row>
    <row r="75554" spans="10:10" x14ac:dyDescent="0.3">
      <c r="J75554"/>
    </row>
    <row r="75555" spans="10:10" x14ac:dyDescent="0.3">
      <c r="J75555"/>
    </row>
    <row r="75556" spans="10:10" x14ac:dyDescent="0.3">
      <c r="J75556"/>
    </row>
    <row r="75557" spans="10:10" x14ac:dyDescent="0.3">
      <c r="J75557"/>
    </row>
    <row r="75558" spans="10:10" x14ac:dyDescent="0.3">
      <c r="J75558"/>
    </row>
    <row r="75559" spans="10:10" x14ac:dyDescent="0.3">
      <c r="J75559"/>
    </row>
    <row r="75560" spans="10:10" x14ac:dyDescent="0.3">
      <c r="J75560"/>
    </row>
    <row r="75561" spans="10:10" x14ac:dyDescent="0.3">
      <c r="J75561"/>
    </row>
    <row r="75562" spans="10:10" x14ac:dyDescent="0.3">
      <c r="J75562"/>
    </row>
    <row r="75563" spans="10:10" x14ac:dyDescent="0.3">
      <c r="J75563"/>
    </row>
    <row r="75564" spans="10:10" x14ac:dyDescent="0.3">
      <c r="J75564"/>
    </row>
    <row r="75565" spans="10:10" x14ac:dyDescent="0.3">
      <c r="J75565"/>
    </row>
    <row r="75566" spans="10:10" x14ac:dyDescent="0.3">
      <c r="J75566"/>
    </row>
    <row r="75567" spans="10:10" x14ac:dyDescent="0.3">
      <c r="J75567"/>
    </row>
    <row r="75568" spans="10:10" x14ac:dyDescent="0.3">
      <c r="J75568"/>
    </row>
    <row r="75569" spans="10:10" x14ac:dyDescent="0.3">
      <c r="J75569"/>
    </row>
    <row r="75570" spans="10:10" x14ac:dyDescent="0.3">
      <c r="J75570"/>
    </row>
    <row r="75571" spans="10:10" x14ac:dyDescent="0.3">
      <c r="J75571"/>
    </row>
    <row r="75572" spans="10:10" x14ac:dyDescent="0.3">
      <c r="J75572"/>
    </row>
    <row r="75573" spans="10:10" x14ac:dyDescent="0.3">
      <c r="J75573"/>
    </row>
    <row r="75574" spans="10:10" x14ac:dyDescent="0.3">
      <c r="J75574"/>
    </row>
    <row r="75575" spans="10:10" x14ac:dyDescent="0.3">
      <c r="J75575"/>
    </row>
    <row r="75576" spans="10:10" x14ac:dyDescent="0.3">
      <c r="J75576"/>
    </row>
    <row r="75577" spans="10:10" x14ac:dyDescent="0.3">
      <c r="J75577"/>
    </row>
    <row r="75578" spans="10:10" x14ac:dyDescent="0.3">
      <c r="J75578"/>
    </row>
    <row r="75579" spans="10:10" x14ac:dyDescent="0.3">
      <c r="J75579"/>
    </row>
    <row r="75580" spans="10:10" x14ac:dyDescent="0.3">
      <c r="J75580"/>
    </row>
    <row r="75581" spans="10:10" x14ac:dyDescent="0.3">
      <c r="J75581"/>
    </row>
    <row r="75582" spans="10:10" x14ac:dyDescent="0.3">
      <c r="J75582"/>
    </row>
    <row r="75583" spans="10:10" x14ac:dyDescent="0.3">
      <c r="J75583"/>
    </row>
    <row r="75584" spans="10:10" x14ac:dyDescent="0.3">
      <c r="J75584"/>
    </row>
    <row r="75585" spans="10:10" x14ac:dyDescent="0.3">
      <c r="J75585"/>
    </row>
    <row r="75586" spans="10:10" x14ac:dyDescent="0.3">
      <c r="J75586"/>
    </row>
    <row r="75587" spans="10:10" x14ac:dyDescent="0.3">
      <c r="J75587"/>
    </row>
    <row r="75588" spans="10:10" x14ac:dyDescent="0.3">
      <c r="J75588"/>
    </row>
    <row r="75589" spans="10:10" x14ac:dyDescent="0.3">
      <c r="J75589"/>
    </row>
    <row r="75590" spans="10:10" x14ac:dyDescent="0.3">
      <c r="J75590"/>
    </row>
    <row r="75591" spans="10:10" x14ac:dyDescent="0.3">
      <c r="J75591"/>
    </row>
    <row r="75592" spans="10:10" x14ac:dyDescent="0.3">
      <c r="J75592"/>
    </row>
    <row r="75593" spans="10:10" x14ac:dyDescent="0.3">
      <c r="J75593"/>
    </row>
    <row r="75594" spans="10:10" x14ac:dyDescent="0.3">
      <c r="J75594"/>
    </row>
    <row r="75595" spans="10:10" x14ac:dyDescent="0.3">
      <c r="J75595"/>
    </row>
    <row r="75596" spans="10:10" x14ac:dyDescent="0.3">
      <c r="J75596"/>
    </row>
    <row r="75597" spans="10:10" x14ac:dyDescent="0.3">
      <c r="J75597"/>
    </row>
    <row r="75598" spans="10:10" x14ac:dyDescent="0.3">
      <c r="J75598"/>
    </row>
    <row r="75599" spans="10:10" x14ac:dyDescent="0.3">
      <c r="J75599"/>
    </row>
    <row r="75600" spans="10:10" x14ac:dyDescent="0.3">
      <c r="J75600"/>
    </row>
    <row r="75601" spans="10:10" x14ac:dyDescent="0.3">
      <c r="J75601"/>
    </row>
    <row r="75602" spans="10:10" x14ac:dyDescent="0.3">
      <c r="J75602"/>
    </row>
    <row r="75603" spans="10:10" x14ac:dyDescent="0.3">
      <c r="J75603"/>
    </row>
    <row r="75604" spans="10:10" x14ac:dyDescent="0.3">
      <c r="J75604"/>
    </row>
    <row r="75605" spans="10:10" x14ac:dyDescent="0.3">
      <c r="J75605"/>
    </row>
    <row r="75606" spans="10:10" x14ac:dyDescent="0.3">
      <c r="J75606"/>
    </row>
    <row r="75607" spans="10:10" x14ac:dyDescent="0.3">
      <c r="J75607"/>
    </row>
    <row r="75608" spans="10:10" x14ac:dyDescent="0.3">
      <c r="J75608"/>
    </row>
    <row r="75609" spans="10:10" x14ac:dyDescent="0.3">
      <c r="J75609"/>
    </row>
    <row r="75610" spans="10:10" x14ac:dyDescent="0.3">
      <c r="J75610"/>
    </row>
    <row r="75611" spans="10:10" x14ac:dyDescent="0.3">
      <c r="J75611"/>
    </row>
    <row r="75612" spans="10:10" x14ac:dyDescent="0.3">
      <c r="J75612"/>
    </row>
    <row r="75613" spans="10:10" x14ac:dyDescent="0.3">
      <c r="J75613"/>
    </row>
    <row r="75614" spans="10:10" x14ac:dyDescent="0.3">
      <c r="J75614"/>
    </row>
    <row r="75615" spans="10:10" x14ac:dyDescent="0.3">
      <c r="J75615"/>
    </row>
    <row r="75616" spans="10:10" x14ac:dyDescent="0.3">
      <c r="J75616"/>
    </row>
    <row r="75617" spans="10:10" x14ac:dyDescent="0.3">
      <c r="J75617"/>
    </row>
    <row r="75618" spans="10:10" x14ac:dyDescent="0.3">
      <c r="J75618"/>
    </row>
    <row r="75619" spans="10:10" x14ac:dyDescent="0.3">
      <c r="J75619"/>
    </row>
    <row r="75620" spans="10:10" x14ac:dyDescent="0.3">
      <c r="J75620"/>
    </row>
    <row r="75621" spans="10:10" x14ac:dyDescent="0.3">
      <c r="J75621"/>
    </row>
    <row r="75622" spans="10:10" x14ac:dyDescent="0.3">
      <c r="J75622"/>
    </row>
    <row r="75623" spans="10:10" x14ac:dyDescent="0.3">
      <c r="J75623"/>
    </row>
    <row r="75624" spans="10:10" x14ac:dyDescent="0.3">
      <c r="J75624"/>
    </row>
    <row r="75625" spans="10:10" x14ac:dyDescent="0.3">
      <c r="J75625"/>
    </row>
    <row r="75626" spans="10:10" x14ac:dyDescent="0.3">
      <c r="J75626"/>
    </row>
    <row r="75627" spans="10:10" x14ac:dyDescent="0.3">
      <c r="J75627"/>
    </row>
    <row r="75628" spans="10:10" x14ac:dyDescent="0.3">
      <c r="J75628"/>
    </row>
    <row r="75629" spans="10:10" x14ac:dyDescent="0.3">
      <c r="J75629"/>
    </row>
    <row r="75630" spans="10:10" x14ac:dyDescent="0.3">
      <c r="J75630"/>
    </row>
    <row r="75631" spans="10:10" x14ac:dyDescent="0.3">
      <c r="J75631"/>
    </row>
    <row r="75632" spans="10:10" x14ac:dyDescent="0.3">
      <c r="J75632"/>
    </row>
    <row r="75633" spans="10:10" x14ac:dyDescent="0.3">
      <c r="J75633"/>
    </row>
    <row r="75634" spans="10:10" x14ac:dyDescent="0.3">
      <c r="J75634"/>
    </row>
    <row r="75635" spans="10:10" x14ac:dyDescent="0.3">
      <c r="J75635"/>
    </row>
    <row r="75636" spans="10:10" x14ac:dyDescent="0.3">
      <c r="J75636"/>
    </row>
    <row r="75637" spans="10:10" x14ac:dyDescent="0.3">
      <c r="J75637"/>
    </row>
    <row r="75638" spans="10:10" x14ac:dyDescent="0.3">
      <c r="J75638"/>
    </row>
    <row r="75639" spans="10:10" x14ac:dyDescent="0.3">
      <c r="J75639"/>
    </row>
    <row r="75640" spans="10:10" x14ac:dyDescent="0.3">
      <c r="J75640"/>
    </row>
    <row r="75641" spans="10:10" x14ac:dyDescent="0.3">
      <c r="J75641"/>
    </row>
    <row r="75642" spans="10:10" x14ac:dyDescent="0.3">
      <c r="J75642"/>
    </row>
    <row r="75643" spans="10:10" x14ac:dyDescent="0.3">
      <c r="J75643"/>
    </row>
    <row r="75644" spans="10:10" x14ac:dyDescent="0.3">
      <c r="J75644"/>
    </row>
    <row r="75645" spans="10:10" x14ac:dyDescent="0.3">
      <c r="J75645"/>
    </row>
    <row r="75646" spans="10:10" x14ac:dyDescent="0.3">
      <c r="J75646"/>
    </row>
    <row r="75647" spans="10:10" x14ac:dyDescent="0.3">
      <c r="J75647"/>
    </row>
    <row r="75648" spans="10:10" x14ac:dyDescent="0.3">
      <c r="J75648"/>
    </row>
    <row r="75649" spans="10:10" x14ac:dyDescent="0.3">
      <c r="J75649"/>
    </row>
    <row r="75650" spans="10:10" x14ac:dyDescent="0.3">
      <c r="J75650"/>
    </row>
    <row r="75651" spans="10:10" x14ac:dyDescent="0.3">
      <c r="J75651"/>
    </row>
    <row r="75652" spans="10:10" x14ac:dyDescent="0.3">
      <c r="J75652"/>
    </row>
    <row r="75653" spans="10:10" x14ac:dyDescent="0.3">
      <c r="J75653"/>
    </row>
    <row r="75654" spans="10:10" x14ac:dyDescent="0.3">
      <c r="J75654"/>
    </row>
    <row r="75655" spans="10:10" x14ac:dyDescent="0.3">
      <c r="J75655"/>
    </row>
    <row r="75656" spans="10:10" x14ac:dyDescent="0.3">
      <c r="J75656"/>
    </row>
    <row r="75657" spans="10:10" x14ac:dyDescent="0.3">
      <c r="J75657"/>
    </row>
    <row r="75658" spans="10:10" x14ac:dyDescent="0.3">
      <c r="J75658"/>
    </row>
    <row r="75659" spans="10:10" x14ac:dyDescent="0.3">
      <c r="J75659"/>
    </row>
    <row r="75660" spans="10:10" x14ac:dyDescent="0.3">
      <c r="J75660"/>
    </row>
    <row r="75661" spans="10:10" x14ac:dyDescent="0.3">
      <c r="J75661"/>
    </row>
    <row r="75662" spans="10:10" x14ac:dyDescent="0.3">
      <c r="J75662"/>
    </row>
    <row r="75663" spans="10:10" x14ac:dyDescent="0.3">
      <c r="J75663"/>
    </row>
    <row r="75664" spans="10:10" x14ac:dyDescent="0.3">
      <c r="J75664"/>
    </row>
    <row r="75665" spans="10:10" x14ac:dyDescent="0.3">
      <c r="J75665"/>
    </row>
    <row r="75666" spans="10:10" x14ac:dyDescent="0.3">
      <c r="J75666"/>
    </row>
    <row r="75667" spans="10:10" x14ac:dyDescent="0.3">
      <c r="J75667"/>
    </row>
    <row r="75668" spans="10:10" x14ac:dyDescent="0.3">
      <c r="J75668"/>
    </row>
    <row r="75669" spans="10:10" x14ac:dyDescent="0.3">
      <c r="J75669"/>
    </row>
    <row r="75670" spans="10:10" x14ac:dyDescent="0.3">
      <c r="J75670"/>
    </row>
    <row r="75671" spans="10:10" x14ac:dyDescent="0.3">
      <c r="J75671"/>
    </row>
    <row r="75672" spans="10:10" x14ac:dyDescent="0.3">
      <c r="J75672"/>
    </row>
    <row r="75673" spans="10:10" x14ac:dyDescent="0.3">
      <c r="J75673"/>
    </row>
    <row r="75674" spans="10:10" x14ac:dyDescent="0.3">
      <c r="J75674"/>
    </row>
    <row r="75675" spans="10:10" x14ac:dyDescent="0.3">
      <c r="J75675"/>
    </row>
    <row r="75676" spans="10:10" x14ac:dyDescent="0.3">
      <c r="J75676"/>
    </row>
    <row r="75677" spans="10:10" x14ac:dyDescent="0.3">
      <c r="J75677"/>
    </row>
    <row r="75678" spans="10:10" x14ac:dyDescent="0.3">
      <c r="J75678"/>
    </row>
    <row r="75679" spans="10:10" x14ac:dyDescent="0.3">
      <c r="J75679"/>
    </row>
    <row r="75680" spans="10:10" x14ac:dyDescent="0.3">
      <c r="J75680"/>
    </row>
    <row r="75681" spans="10:10" x14ac:dyDescent="0.3">
      <c r="J75681"/>
    </row>
    <row r="75682" spans="10:10" x14ac:dyDescent="0.3">
      <c r="J75682"/>
    </row>
    <row r="75683" spans="10:10" x14ac:dyDescent="0.3">
      <c r="J75683"/>
    </row>
    <row r="75684" spans="10:10" x14ac:dyDescent="0.3">
      <c r="J75684"/>
    </row>
    <row r="75685" spans="10:10" x14ac:dyDescent="0.3">
      <c r="J75685"/>
    </row>
    <row r="75686" spans="10:10" x14ac:dyDescent="0.3">
      <c r="J75686"/>
    </row>
    <row r="75687" spans="10:10" x14ac:dyDescent="0.3">
      <c r="J75687"/>
    </row>
    <row r="75688" spans="10:10" x14ac:dyDescent="0.3">
      <c r="J75688"/>
    </row>
    <row r="75689" spans="10:10" x14ac:dyDescent="0.3">
      <c r="J75689"/>
    </row>
    <row r="75690" spans="10:10" x14ac:dyDescent="0.3">
      <c r="J75690"/>
    </row>
    <row r="75691" spans="10:10" x14ac:dyDescent="0.3">
      <c r="J75691"/>
    </row>
    <row r="75692" spans="10:10" x14ac:dyDescent="0.3">
      <c r="J75692"/>
    </row>
    <row r="75693" spans="10:10" x14ac:dyDescent="0.3">
      <c r="J75693"/>
    </row>
    <row r="75694" spans="10:10" x14ac:dyDescent="0.3">
      <c r="J75694"/>
    </row>
    <row r="75695" spans="10:10" x14ac:dyDescent="0.3">
      <c r="J75695"/>
    </row>
    <row r="75696" spans="10:10" x14ac:dyDescent="0.3">
      <c r="J75696"/>
    </row>
    <row r="75697" spans="10:10" x14ac:dyDescent="0.3">
      <c r="J75697"/>
    </row>
    <row r="75698" spans="10:10" x14ac:dyDescent="0.3">
      <c r="J75698"/>
    </row>
    <row r="75699" spans="10:10" x14ac:dyDescent="0.3">
      <c r="J75699"/>
    </row>
    <row r="75700" spans="10:10" x14ac:dyDescent="0.3">
      <c r="J75700"/>
    </row>
    <row r="75701" spans="10:10" x14ac:dyDescent="0.3">
      <c r="J75701"/>
    </row>
    <row r="75702" spans="10:10" x14ac:dyDescent="0.3">
      <c r="J75702"/>
    </row>
    <row r="75703" spans="10:10" x14ac:dyDescent="0.3">
      <c r="J75703"/>
    </row>
    <row r="75704" spans="10:10" x14ac:dyDescent="0.3">
      <c r="J75704"/>
    </row>
    <row r="75705" spans="10:10" x14ac:dyDescent="0.3">
      <c r="J75705"/>
    </row>
    <row r="75706" spans="10:10" x14ac:dyDescent="0.3">
      <c r="J75706"/>
    </row>
    <row r="75707" spans="10:10" x14ac:dyDescent="0.3">
      <c r="J75707"/>
    </row>
    <row r="75708" spans="10:10" x14ac:dyDescent="0.3">
      <c r="J75708"/>
    </row>
    <row r="75709" spans="10:10" x14ac:dyDescent="0.3">
      <c r="J75709"/>
    </row>
    <row r="75710" spans="10:10" x14ac:dyDescent="0.3">
      <c r="J75710"/>
    </row>
    <row r="75711" spans="10:10" x14ac:dyDescent="0.3">
      <c r="J75711"/>
    </row>
    <row r="75712" spans="10:10" x14ac:dyDescent="0.3">
      <c r="J75712"/>
    </row>
    <row r="75713" spans="10:10" x14ac:dyDescent="0.3">
      <c r="J75713"/>
    </row>
    <row r="75714" spans="10:10" x14ac:dyDescent="0.3">
      <c r="J75714"/>
    </row>
    <row r="75715" spans="10:10" x14ac:dyDescent="0.3">
      <c r="J75715"/>
    </row>
    <row r="75716" spans="10:10" x14ac:dyDescent="0.3">
      <c r="J75716"/>
    </row>
    <row r="75717" spans="10:10" x14ac:dyDescent="0.3">
      <c r="J75717"/>
    </row>
    <row r="75718" spans="10:10" x14ac:dyDescent="0.3">
      <c r="J75718"/>
    </row>
    <row r="75719" spans="10:10" x14ac:dyDescent="0.3">
      <c r="J75719"/>
    </row>
    <row r="75720" spans="10:10" x14ac:dyDescent="0.3">
      <c r="J75720"/>
    </row>
    <row r="75721" spans="10:10" x14ac:dyDescent="0.3">
      <c r="J75721"/>
    </row>
    <row r="75722" spans="10:10" x14ac:dyDescent="0.3">
      <c r="J75722"/>
    </row>
    <row r="75723" spans="10:10" x14ac:dyDescent="0.3">
      <c r="J75723"/>
    </row>
    <row r="75724" spans="10:10" x14ac:dyDescent="0.3">
      <c r="J75724"/>
    </row>
    <row r="75725" spans="10:10" x14ac:dyDescent="0.3">
      <c r="J75725"/>
    </row>
    <row r="75726" spans="10:10" x14ac:dyDescent="0.3">
      <c r="J75726"/>
    </row>
    <row r="75727" spans="10:10" x14ac:dyDescent="0.3">
      <c r="J75727"/>
    </row>
    <row r="75728" spans="10:10" x14ac:dyDescent="0.3">
      <c r="J75728"/>
    </row>
    <row r="75729" spans="10:10" x14ac:dyDescent="0.3">
      <c r="J75729"/>
    </row>
    <row r="75730" spans="10:10" x14ac:dyDescent="0.3">
      <c r="J75730"/>
    </row>
    <row r="75731" spans="10:10" x14ac:dyDescent="0.3">
      <c r="J75731"/>
    </row>
    <row r="75732" spans="10:10" x14ac:dyDescent="0.3">
      <c r="J75732"/>
    </row>
    <row r="75733" spans="10:10" x14ac:dyDescent="0.3">
      <c r="J75733"/>
    </row>
    <row r="75734" spans="10:10" x14ac:dyDescent="0.3">
      <c r="J75734"/>
    </row>
    <row r="75735" spans="10:10" x14ac:dyDescent="0.3">
      <c r="J75735"/>
    </row>
    <row r="75736" spans="10:10" x14ac:dyDescent="0.3">
      <c r="J75736"/>
    </row>
    <row r="75737" spans="10:10" x14ac:dyDescent="0.3">
      <c r="J75737"/>
    </row>
    <row r="75738" spans="10:10" x14ac:dyDescent="0.3">
      <c r="J75738"/>
    </row>
    <row r="75739" spans="10:10" x14ac:dyDescent="0.3">
      <c r="J75739"/>
    </row>
    <row r="75740" spans="10:10" x14ac:dyDescent="0.3">
      <c r="J75740"/>
    </row>
    <row r="75741" spans="10:10" x14ac:dyDescent="0.3">
      <c r="J75741"/>
    </row>
    <row r="75742" spans="10:10" x14ac:dyDescent="0.3">
      <c r="J75742"/>
    </row>
    <row r="75743" spans="10:10" x14ac:dyDescent="0.3">
      <c r="J75743"/>
    </row>
    <row r="75744" spans="10:10" x14ac:dyDescent="0.3">
      <c r="J75744"/>
    </row>
    <row r="75745" spans="10:10" x14ac:dyDescent="0.3">
      <c r="J75745"/>
    </row>
    <row r="75746" spans="10:10" x14ac:dyDescent="0.3">
      <c r="J75746"/>
    </row>
    <row r="75747" spans="10:10" x14ac:dyDescent="0.3">
      <c r="J75747"/>
    </row>
    <row r="75748" spans="10:10" x14ac:dyDescent="0.3">
      <c r="J75748"/>
    </row>
    <row r="75749" spans="10:10" x14ac:dyDescent="0.3">
      <c r="J75749"/>
    </row>
    <row r="75750" spans="10:10" x14ac:dyDescent="0.3">
      <c r="J75750"/>
    </row>
    <row r="75751" spans="10:10" x14ac:dyDescent="0.3">
      <c r="J75751"/>
    </row>
    <row r="75752" spans="10:10" x14ac:dyDescent="0.3">
      <c r="J75752"/>
    </row>
    <row r="75753" spans="10:10" x14ac:dyDescent="0.3">
      <c r="J75753"/>
    </row>
    <row r="75754" spans="10:10" x14ac:dyDescent="0.3">
      <c r="J75754"/>
    </row>
    <row r="75755" spans="10:10" x14ac:dyDescent="0.3">
      <c r="J75755"/>
    </row>
    <row r="75756" spans="10:10" x14ac:dyDescent="0.3">
      <c r="J75756"/>
    </row>
    <row r="75757" spans="10:10" x14ac:dyDescent="0.3">
      <c r="J75757"/>
    </row>
    <row r="75758" spans="10:10" x14ac:dyDescent="0.3">
      <c r="J75758"/>
    </row>
    <row r="75759" spans="10:10" x14ac:dyDescent="0.3">
      <c r="J75759"/>
    </row>
    <row r="75760" spans="10:10" x14ac:dyDescent="0.3">
      <c r="J75760"/>
    </row>
    <row r="75761" spans="10:10" x14ac:dyDescent="0.3">
      <c r="J75761"/>
    </row>
    <row r="75762" spans="10:10" x14ac:dyDescent="0.3">
      <c r="J75762"/>
    </row>
    <row r="75763" spans="10:10" x14ac:dyDescent="0.3">
      <c r="J75763"/>
    </row>
    <row r="75764" spans="10:10" x14ac:dyDescent="0.3">
      <c r="J75764"/>
    </row>
    <row r="75765" spans="10:10" x14ac:dyDescent="0.3">
      <c r="J75765"/>
    </row>
    <row r="75766" spans="10:10" x14ac:dyDescent="0.3">
      <c r="J75766"/>
    </row>
    <row r="75767" spans="10:10" x14ac:dyDescent="0.3">
      <c r="J75767"/>
    </row>
    <row r="75768" spans="10:10" x14ac:dyDescent="0.3">
      <c r="J75768"/>
    </row>
    <row r="75769" spans="10:10" x14ac:dyDescent="0.3">
      <c r="J75769"/>
    </row>
    <row r="75770" spans="10:10" x14ac:dyDescent="0.3">
      <c r="J75770"/>
    </row>
    <row r="75771" spans="10:10" x14ac:dyDescent="0.3">
      <c r="J75771"/>
    </row>
    <row r="75772" spans="10:10" x14ac:dyDescent="0.3">
      <c r="J75772"/>
    </row>
    <row r="75773" spans="10:10" x14ac:dyDescent="0.3">
      <c r="J75773"/>
    </row>
    <row r="75774" spans="10:10" x14ac:dyDescent="0.3">
      <c r="J75774"/>
    </row>
    <row r="75775" spans="10:10" x14ac:dyDescent="0.3">
      <c r="J75775"/>
    </row>
    <row r="75776" spans="10:10" x14ac:dyDescent="0.3">
      <c r="J75776"/>
    </row>
    <row r="75777" spans="10:10" x14ac:dyDescent="0.3">
      <c r="J75777"/>
    </row>
    <row r="75778" spans="10:10" x14ac:dyDescent="0.3">
      <c r="J75778"/>
    </row>
    <row r="75779" spans="10:10" x14ac:dyDescent="0.3">
      <c r="J75779"/>
    </row>
    <row r="75780" spans="10:10" x14ac:dyDescent="0.3">
      <c r="J75780"/>
    </row>
    <row r="75781" spans="10:10" x14ac:dyDescent="0.3">
      <c r="J75781"/>
    </row>
    <row r="75782" spans="10:10" x14ac:dyDescent="0.3">
      <c r="J75782"/>
    </row>
    <row r="75783" spans="10:10" x14ac:dyDescent="0.3">
      <c r="J75783"/>
    </row>
    <row r="75784" spans="10:10" x14ac:dyDescent="0.3">
      <c r="J75784"/>
    </row>
    <row r="75785" spans="10:10" x14ac:dyDescent="0.3">
      <c r="J75785"/>
    </row>
    <row r="75786" spans="10:10" x14ac:dyDescent="0.3">
      <c r="J75786"/>
    </row>
    <row r="75787" spans="10:10" x14ac:dyDescent="0.3">
      <c r="J75787"/>
    </row>
    <row r="75788" spans="10:10" x14ac:dyDescent="0.3">
      <c r="J75788"/>
    </row>
    <row r="75789" spans="10:10" x14ac:dyDescent="0.3">
      <c r="J75789"/>
    </row>
    <row r="75790" spans="10:10" x14ac:dyDescent="0.3">
      <c r="J75790"/>
    </row>
    <row r="75791" spans="10:10" x14ac:dyDescent="0.3">
      <c r="J75791"/>
    </row>
    <row r="75792" spans="10:10" x14ac:dyDescent="0.3">
      <c r="J75792"/>
    </row>
    <row r="75793" spans="10:10" x14ac:dyDescent="0.3">
      <c r="J75793"/>
    </row>
    <row r="75794" spans="10:10" x14ac:dyDescent="0.3">
      <c r="J75794"/>
    </row>
    <row r="75795" spans="10:10" x14ac:dyDescent="0.3">
      <c r="J75795"/>
    </row>
    <row r="75796" spans="10:10" x14ac:dyDescent="0.3">
      <c r="J75796"/>
    </row>
    <row r="75797" spans="10:10" x14ac:dyDescent="0.3">
      <c r="J75797"/>
    </row>
    <row r="75798" spans="10:10" x14ac:dyDescent="0.3">
      <c r="J75798"/>
    </row>
    <row r="75799" spans="10:10" x14ac:dyDescent="0.3">
      <c r="J75799"/>
    </row>
    <row r="75800" spans="10:10" x14ac:dyDescent="0.3">
      <c r="J75800"/>
    </row>
    <row r="75801" spans="10:10" x14ac:dyDescent="0.3">
      <c r="J75801"/>
    </row>
    <row r="75802" spans="10:10" x14ac:dyDescent="0.3">
      <c r="J75802"/>
    </row>
    <row r="75803" spans="10:10" x14ac:dyDescent="0.3">
      <c r="J75803"/>
    </row>
    <row r="75804" spans="10:10" x14ac:dyDescent="0.3">
      <c r="J75804"/>
    </row>
    <row r="75805" spans="10:10" x14ac:dyDescent="0.3">
      <c r="J75805"/>
    </row>
    <row r="75806" spans="10:10" x14ac:dyDescent="0.3">
      <c r="J75806"/>
    </row>
    <row r="75807" spans="10:10" x14ac:dyDescent="0.3">
      <c r="J75807"/>
    </row>
    <row r="75808" spans="10:10" x14ac:dyDescent="0.3">
      <c r="J75808"/>
    </row>
    <row r="75809" spans="10:10" x14ac:dyDescent="0.3">
      <c r="J75809"/>
    </row>
    <row r="75810" spans="10:10" x14ac:dyDescent="0.3">
      <c r="J75810"/>
    </row>
    <row r="75811" spans="10:10" x14ac:dyDescent="0.3">
      <c r="J75811"/>
    </row>
    <row r="75812" spans="10:10" x14ac:dyDescent="0.3">
      <c r="J75812"/>
    </row>
    <row r="75813" spans="10:10" x14ac:dyDescent="0.3">
      <c r="J75813"/>
    </row>
    <row r="75814" spans="10:10" x14ac:dyDescent="0.3">
      <c r="J75814"/>
    </row>
    <row r="75815" spans="10:10" x14ac:dyDescent="0.3">
      <c r="J75815"/>
    </row>
    <row r="75816" spans="10:10" x14ac:dyDescent="0.3">
      <c r="J75816"/>
    </row>
    <row r="75817" spans="10:10" x14ac:dyDescent="0.3">
      <c r="J75817"/>
    </row>
    <row r="75818" spans="10:10" x14ac:dyDescent="0.3">
      <c r="J75818"/>
    </row>
    <row r="75819" spans="10:10" x14ac:dyDescent="0.3">
      <c r="J75819"/>
    </row>
    <row r="75820" spans="10:10" x14ac:dyDescent="0.3">
      <c r="J75820"/>
    </row>
    <row r="75821" spans="10:10" x14ac:dyDescent="0.3">
      <c r="J75821"/>
    </row>
    <row r="75822" spans="10:10" x14ac:dyDescent="0.3">
      <c r="J75822"/>
    </row>
    <row r="75823" spans="10:10" x14ac:dyDescent="0.3">
      <c r="J75823"/>
    </row>
    <row r="75824" spans="10:10" x14ac:dyDescent="0.3">
      <c r="J75824"/>
    </row>
    <row r="75825" spans="10:10" x14ac:dyDescent="0.3">
      <c r="J75825"/>
    </row>
    <row r="75826" spans="10:10" x14ac:dyDescent="0.3">
      <c r="J75826"/>
    </row>
    <row r="75827" spans="10:10" x14ac:dyDescent="0.3">
      <c r="J75827"/>
    </row>
    <row r="75828" spans="10:10" x14ac:dyDescent="0.3">
      <c r="J75828"/>
    </row>
    <row r="75829" spans="10:10" x14ac:dyDescent="0.3">
      <c r="J75829"/>
    </row>
    <row r="75830" spans="10:10" x14ac:dyDescent="0.3">
      <c r="J75830"/>
    </row>
    <row r="75831" spans="10:10" x14ac:dyDescent="0.3">
      <c r="J75831"/>
    </row>
    <row r="75832" spans="10:10" x14ac:dyDescent="0.3">
      <c r="J75832"/>
    </row>
    <row r="75833" spans="10:10" x14ac:dyDescent="0.3">
      <c r="J75833"/>
    </row>
    <row r="75834" spans="10:10" x14ac:dyDescent="0.3">
      <c r="J75834"/>
    </row>
    <row r="75835" spans="10:10" x14ac:dyDescent="0.3">
      <c r="J75835"/>
    </row>
    <row r="75836" spans="10:10" x14ac:dyDescent="0.3">
      <c r="J75836"/>
    </row>
    <row r="75837" spans="10:10" x14ac:dyDescent="0.3">
      <c r="J75837"/>
    </row>
    <row r="75838" spans="10:10" x14ac:dyDescent="0.3">
      <c r="J75838"/>
    </row>
    <row r="75839" spans="10:10" x14ac:dyDescent="0.3">
      <c r="J75839"/>
    </row>
    <row r="75840" spans="10:10" x14ac:dyDescent="0.3">
      <c r="J75840"/>
    </row>
    <row r="75841" spans="10:10" x14ac:dyDescent="0.3">
      <c r="J75841"/>
    </row>
    <row r="75842" spans="10:10" x14ac:dyDescent="0.3">
      <c r="J75842"/>
    </row>
    <row r="75843" spans="10:10" x14ac:dyDescent="0.3">
      <c r="J75843"/>
    </row>
    <row r="75844" spans="10:10" x14ac:dyDescent="0.3">
      <c r="J75844"/>
    </row>
    <row r="75845" spans="10:10" x14ac:dyDescent="0.3">
      <c r="J75845"/>
    </row>
    <row r="75846" spans="10:10" x14ac:dyDescent="0.3">
      <c r="J75846"/>
    </row>
    <row r="75847" spans="10:10" x14ac:dyDescent="0.3">
      <c r="J75847"/>
    </row>
    <row r="75848" spans="10:10" x14ac:dyDescent="0.3">
      <c r="J75848"/>
    </row>
    <row r="75849" spans="10:10" x14ac:dyDescent="0.3">
      <c r="J75849"/>
    </row>
    <row r="75850" spans="10:10" x14ac:dyDescent="0.3">
      <c r="J75850"/>
    </row>
    <row r="75851" spans="10:10" x14ac:dyDescent="0.3">
      <c r="J75851"/>
    </row>
    <row r="75852" spans="10:10" x14ac:dyDescent="0.3">
      <c r="J75852"/>
    </row>
    <row r="75853" spans="10:10" x14ac:dyDescent="0.3">
      <c r="J75853"/>
    </row>
    <row r="75854" spans="10:10" x14ac:dyDescent="0.3">
      <c r="J75854"/>
    </row>
    <row r="75855" spans="10:10" x14ac:dyDescent="0.3">
      <c r="J75855"/>
    </row>
    <row r="75856" spans="10:10" x14ac:dyDescent="0.3">
      <c r="J75856"/>
    </row>
    <row r="75857" spans="10:10" x14ac:dyDescent="0.3">
      <c r="J75857"/>
    </row>
    <row r="75858" spans="10:10" x14ac:dyDescent="0.3">
      <c r="J75858"/>
    </row>
    <row r="75859" spans="10:10" x14ac:dyDescent="0.3">
      <c r="J75859"/>
    </row>
    <row r="75860" spans="10:10" x14ac:dyDescent="0.3">
      <c r="J75860"/>
    </row>
    <row r="75861" spans="10:10" x14ac:dyDescent="0.3">
      <c r="J75861"/>
    </row>
    <row r="75862" spans="10:10" x14ac:dyDescent="0.3">
      <c r="J75862"/>
    </row>
    <row r="75863" spans="10:10" x14ac:dyDescent="0.3">
      <c r="J75863"/>
    </row>
    <row r="75864" spans="10:10" x14ac:dyDescent="0.3">
      <c r="J75864"/>
    </row>
    <row r="75865" spans="10:10" x14ac:dyDescent="0.3">
      <c r="J75865"/>
    </row>
    <row r="75866" spans="10:10" x14ac:dyDescent="0.3">
      <c r="J75866"/>
    </row>
    <row r="75867" spans="10:10" x14ac:dyDescent="0.3">
      <c r="J75867"/>
    </row>
    <row r="75868" spans="10:10" x14ac:dyDescent="0.3">
      <c r="J75868"/>
    </row>
    <row r="75869" spans="10:10" x14ac:dyDescent="0.3">
      <c r="J75869"/>
    </row>
    <row r="75870" spans="10:10" x14ac:dyDescent="0.3">
      <c r="J75870"/>
    </row>
    <row r="75871" spans="10:10" x14ac:dyDescent="0.3">
      <c r="J75871"/>
    </row>
    <row r="75872" spans="10:10" x14ac:dyDescent="0.3">
      <c r="J75872"/>
    </row>
    <row r="75873" spans="10:10" x14ac:dyDescent="0.3">
      <c r="J75873"/>
    </row>
    <row r="75874" spans="10:10" x14ac:dyDescent="0.3">
      <c r="J75874"/>
    </row>
    <row r="75875" spans="10:10" x14ac:dyDescent="0.3">
      <c r="J75875"/>
    </row>
    <row r="75876" spans="10:10" x14ac:dyDescent="0.3">
      <c r="J75876"/>
    </row>
    <row r="75877" spans="10:10" x14ac:dyDescent="0.3">
      <c r="J75877"/>
    </row>
    <row r="75878" spans="10:10" x14ac:dyDescent="0.3">
      <c r="J75878"/>
    </row>
    <row r="75879" spans="10:10" x14ac:dyDescent="0.3">
      <c r="J75879"/>
    </row>
    <row r="75880" spans="10:10" x14ac:dyDescent="0.3">
      <c r="J75880"/>
    </row>
    <row r="75881" spans="10:10" x14ac:dyDescent="0.3">
      <c r="J75881"/>
    </row>
    <row r="75882" spans="10:10" x14ac:dyDescent="0.3">
      <c r="J75882"/>
    </row>
    <row r="75883" spans="10:10" x14ac:dyDescent="0.3">
      <c r="J75883"/>
    </row>
    <row r="75884" spans="10:10" x14ac:dyDescent="0.3">
      <c r="J75884"/>
    </row>
    <row r="75885" spans="10:10" x14ac:dyDescent="0.3">
      <c r="J75885"/>
    </row>
    <row r="75886" spans="10:10" x14ac:dyDescent="0.3">
      <c r="J75886"/>
    </row>
    <row r="75887" spans="10:10" x14ac:dyDescent="0.3">
      <c r="J75887"/>
    </row>
    <row r="75888" spans="10:10" x14ac:dyDescent="0.3">
      <c r="J75888"/>
    </row>
    <row r="75889" spans="10:10" x14ac:dyDescent="0.3">
      <c r="J75889"/>
    </row>
    <row r="75890" spans="10:10" x14ac:dyDescent="0.3">
      <c r="J75890"/>
    </row>
    <row r="75891" spans="10:10" x14ac:dyDescent="0.3">
      <c r="J75891"/>
    </row>
    <row r="75892" spans="10:10" x14ac:dyDescent="0.3">
      <c r="J75892"/>
    </row>
    <row r="75893" spans="10:10" x14ac:dyDescent="0.3">
      <c r="J75893"/>
    </row>
    <row r="75894" spans="10:10" x14ac:dyDescent="0.3">
      <c r="J75894"/>
    </row>
    <row r="75895" spans="10:10" x14ac:dyDescent="0.3">
      <c r="J75895"/>
    </row>
    <row r="75896" spans="10:10" x14ac:dyDescent="0.3">
      <c r="J75896"/>
    </row>
    <row r="75897" spans="10:10" x14ac:dyDescent="0.3">
      <c r="J75897"/>
    </row>
    <row r="75898" spans="10:10" x14ac:dyDescent="0.3">
      <c r="J75898"/>
    </row>
    <row r="75899" spans="10:10" x14ac:dyDescent="0.3">
      <c r="J75899"/>
    </row>
    <row r="75900" spans="10:10" x14ac:dyDescent="0.3">
      <c r="J75900"/>
    </row>
    <row r="75901" spans="10:10" x14ac:dyDescent="0.3">
      <c r="J75901"/>
    </row>
    <row r="75902" spans="10:10" x14ac:dyDescent="0.3">
      <c r="J75902"/>
    </row>
    <row r="75903" spans="10:10" x14ac:dyDescent="0.3">
      <c r="J75903"/>
    </row>
    <row r="75904" spans="10:10" x14ac:dyDescent="0.3">
      <c r="J75904"/>
    </row>
    <row r="75905" spans="10:10" x14ac:dyDescent="0.3">
      <c r="J75905"/>
    </row>
    <row r="75906" spans="10:10" x14ac:dyDescent="0.3">
      <c r="J75906"/>
    </row>
    <row r="75907" spans="10:10" x14ac:dyDescent="0.3">
      <c r="J75907"/>
    </row>
    <row r="75908" spans="10:10" x14ac:dyDescent="0.3">
      <c r="J75908"/>
    </row>
    <row r="75909" spans="10:10" x14ac:dyDescent="0.3">
      <c r="J75909"/>
    </row>
    <row r="75910" spans="10:10" x14ac:dyDescent="0.3">
      <c r="J75910"/>
    </row>
    <row r="75911" spans="10:10" x14ac:dyDescent="0.3">
      <c r="J75911"/>
    </row>
    <row r="75912" spans="10:10" x14ac:dyDescent="0.3">
      <c r="J75912"/>
    </row>
    <row r="75913" spans="10:10" x14ac:dyDescent="0.3">
      <c r="J75913"/>
    </row>
    <row r="75914" spans="10:10" x14ac:dyDescent="0.3">
      <c r="J75914"/>
    </row>
    <row r="75915" spans="10:10" x14ac:dyDescent="0.3">
      <c r="J75915"/>
    </row>
    <row r="75916" spans="10:10" x14ac:dyDescent="0.3">
      <c r="J75916"/>
    </row>
    <row r="75917" spans="10:10" x14ac:dyDescent="0.3">
      <c r="J75917"/>
    </row>
    <row r="75918" spans="10:10" x14ac:dyDescent="0.3">
      <c r="J75918"/>
    </row>
    <row r="75919" spans="10:10" x14ac:dyDescent="0.3">
      <c r="J75919"/>
    </row>
    <row r="75920" spans="10:10" x14ac:dyDescent="0.3">
      <c r="J75920"/>
    </row>
    <row r="75921" spans="10:10" x14ac:dyDescent="0.3">
      <c r="J75921"/>
    </row>
    <row r="75922" spans="10:10" x14ac:dyDescent="0.3">
      <c r="J75922"/>
    </row>
    <row r="75923" spans="10:10" x14ac:dyDescent="0.3">
      <c r="J75923"/>
    </row>
    <row r="75924" spans="10:10" x14ac:dyDescent="0.3">
      <c r="J75924"/>
    </row>
    <row r="75925" spans="10:10" x14ac:dyDescent="0.3">
      <c r="J75925"/>
    </row>
    <row r="75926" spans="10:10" x14ac:dyDescent="0.3">
      <c r="J75926"/>
    </row>
    <row r="75927" spans="10:10" x14ac:dyDescent="0.3">
      <c r="J75927"/>
    </row>
    <row r="75928" spans="10:10" x14ac:dyDescent="0.3">
      <c r="J75928"/>
    </row>
    <row r="75929" spans="10:10" x14ac:dyDescent="0.3">
      <c r="J75929"/>
    </row>
    <row r="75930" spans="10:10" x14ac:dyDescent="0.3">
      <c r="J75930"/>
    </row>
    <row r="75931" spans="10:10" x14ac:dyDescent="0.3">
      <c r="J75931"/>
    </row>
    <row r="75932" spans="10:10" x14ac:dyDescent="0.3">
      <c r="J75932"/>
    </row>
    <row r="75933" spans="10:10" x14ac:dyDescent="0.3">
      <c r="J75933"/>
    </row>
    <row r="75934" spans="10:10" x14ac:dyDescent="0.3">
      <c r="J75934"/>
    </row>
    <row r="75935" spans="10:10" x14ac:dyDescent="0.3">
      <c r="J75935"/>
    </row>
    <row r="75936" spans="10:10" x14ac:dyDescent="0.3">
      <c r="J75936"/>
    </row>
    <row r="75937" spans="10:10" x14ac:dyDescent="0.3">
      <c r="J75937"/>
    </row>
    <row r="75938" spans="10:10" x14ac:dyDescent="0.3">
      <c r="J75938"/>
    </row>
    <row r="75939" spans="10:10" x14ac:dyDescent="0.3">
      <c r="J75939"/>
    </row>
    <row r="75940" spans="10:10" x14ac:dyDescent="0.3">
      <c r="J75940"/>
    </row>
    <row r="75941" spans="10:10" x14ac:dyDescent="0.3">
      <c r="J75941"/>
    </row>
    <row r="75942" spans="10:10" x14ac:dyDescent="0.3">
      <c r="J75942"/>
    </row>
    <row r="75943" spans="10:10" x14ac:dyDescent="0.3">
      <c r="J75943"/>
    </row>
    <row r="75944" spans="10:10" x14ac:dyDescent="0.3">
      <c r="J75944"/>
    </row>
    <row r="75945" spans="10:10" x14ac:dyDescent="0.3">
      <c r="J75945"/>
    </row>
    <row r="75946" spans="10:10" x14ac:dyDescent="0.3">
      <c r="J75946"/>
    </row>
    <row r="75947" spans="10:10" x14ac:dyDescent="0.3">
      <c r="J75947"/>
    </row>
    <row r="75948" spans="10:10" x14ac:dyDescent="0.3">
      <c r="J75948"/>
    </row>
    <row r="75949" spans="10:10" x14ac:dyDescent="0.3">
      <c r="J75949"/>
    </row>
    <row r="75950" spans="10:10" x14ac:dyDescent="0.3">
      <c r="J75950"/>
    </row>
    <row r="75951" spans="10:10" x14ac:dyDescent="0.3">
      <c r="J75951"/>
    </row>
    <row r="75952" spans="10:10" x14ac:dyDescent="0.3">
      <c r="J75952"/>
    </row>
    <row r="75953" spans="10:10" x14ac:dyDescent="0.3">
      <c r="J75953"/>
    </row>
    <row r="75954" spans="10:10" x14ac:dyDescent="0.3">
      <c r="J75954"/>
    </row>
    <row r="75955" spans="10:10" x14ac:dyDescent="0.3">
      <c r="J75955"/>
    </row>
    <row r="75956" spans="10:10" x14ac:dyDescent="0.3">
      <c r="J75956"/>
    </row>
    <row r="75957" spans="10:10" x14ac:dyDescent="0.3">
      <c r="J75957"/>
    </row>
    <row r="75958" spans="10:10" x14ac:dyDescent="0.3">
      <c r="J75958"/>
    </row>
    <row r="75959" spans="10:10" x14ac:dyDescent="0.3">
      <c r="J75959"/>
    </row>
    <row r="75960" spans="10:10" x14ac:dyDescent="0.3">
      <c r="J75960"/>
    </row>
    <row r="75961" spans="10:10" x14ac:dyDescent="0.3">
      <c r="J75961"/>
    </row>
    <row r="75962" spans="10:10" x14ac:dyDescent="0.3">
      <c r="J75962"/>
    </row>
    <row r="75963" spans="10:10" x14ac:dyDescent="0.3">
      <c r="J75963"/>
    </row>
    <row r="75964" spans="10:10" x14ac:dyDescent="0.3">
      <c r="J75964"/>
    </row>
    <row r="75965" spans="10:10" x14ac:dyDescent="0.3">
      <c r="J75965"/>
    </row>
    <row r="75966" spans="10:10" x14ac:dyDescent="0.3">
      <c r="J75966"/>
    </row>
    <row r="75967" spans="10:10" x14ac:dyDescent="0.3">
      <c r="J75967"/>
    </row>
    <row r="75968" spans="10:10" x14ac:dyDescent="0.3">
      <c r="J75968"/>
    </row>
    <row r="75969" spans="10:10" x14ac:dyDescent="0.3">
      <c r="J75969"/>
    </row>
    <row r="75970" spans="10:10" x14ac:dyDescent="0.3">
      <c r="J75970"/>
    </row>
    <row r="75971" spans="10:10" x14ac:dyDescent="0.3">
      <c r="J75971"/>
    </row>
    <row r="75972" spans="10:10" x14ac:dyDescent="0.3">
      <c r="J75972"/>
    </row>
    <row r="75973" spans="10:10" x14ac:dyDescent="0.3">
      <c r="J75973"/>
    </row>
    <row r="75974" spans="10:10" x14ac:dyDescent="0.3">
      <c r="J75974"/>
    </row>
    <row r="75975" spans="10:10" x14ac:dyDescent="0.3">
      <c r="J75975"/>
    </row>
    <row r="75976" spans="10:10" x14ac:dyDescent="0.3">
      <c r="J75976"/>
    </row>
    <row r="75977" spans="10:10" x14ac:dyDescent="0.3">
      <c r="J75977"/>
    </row>
    <row r="75978" spans="10:10" x14ac:dyDescent="0.3">
      <c r="J75978"/>
    </row>
    <row r="75979" spans="10:10" x14ac:dyDescent="0.3">
      <c r="J75979"/>
    </row>
    <row r="75980" spans="10:10" x14ac:dyDescent="0.3">
      <c r="J75980"/>
    </row>
    <row r="75981" spans="10:10" x14ac:dyDescent="0.3">
      <c r="J75981"/>
    </row>
    <row r="75982" spans="10:10" x14ac:dyDescent="0.3">
      <c r="J75982"/>
    </row>
    <row r="75983" spans="10:10" x14ac:dyDescent="0.3">
      <c r="J75983"/>
    </row>
    <row r="75984" spans="10:10" x14ac:dyDescent="0.3">
      <c r="J75984"/>
    </row>
    <row r="75985" spans="10:10" x14ac:dyDescent="0.3">
      <c r="J75985"/>
    </row>
    <row r="75986" spans="10:10" x14ac:dyDescent="0.3">
      <c r="J75986"/>
    </row>
    <row r="75987" spans="10:10" x14ac:dyDescent="0.3">
      <c r="J75987"/>
    </row>
    <row r="75988" spans="10:10" x14ac:dyDescent="0.3">
      <c r="J75988"/>
    </row>
    <row r="75989" spans="10:10" x14ac:dyDescent="0.3">
      <c r="J75989"/>
    </row>
    <row r="75990" spans="10:10" x14ac:dyDescent="0.3">
      <c r="J75990"/>
    </row>
    <row r="75991" spans="10:10" x14ac:dyDescent="0.3">
      <c r="J75991"/>
    </row>
    <row r="75992" spans="10:10" x14ac:dyDescent="0.3">
      <c r="J75992"/>
    </row>
    <row r="75993" spans="10:10" x14ac:dyDescent="0.3">
      <c r="J75993"/>
    </row>
    <row r="75994" spans="10:10" x14ac:dyDescent="0.3">
      <c r="J75994"/>
    </row>
    <row r="75995" spans="10:10" x14ac:dyDescent="0.3">
      <c r="J75995"/>
    </row>
    <row r="75996" spans="10:10" x14ac:dyDescent="0.3">
      <c r="J75996"/>
    </row>
    <row r="75997" spans="10:10" x14ac:dyDescent="0.3">
      <c r="J75997"/>
    </row>
    <row r="75998" spans="10:10" x14ac:dyDescent="0.3">
      <c r="J75998"/>
    </row>
    <row r="75999" spans="10:10" x14ac:dyDescent="0.3">
      <c r="J75999"/>
    </row>
    <row r="76000" spans="10:10" x14ac:dyDescent="0.3">
      <c r="J76000"/>
    </row>
    <row r="76001" spans="10:10" x14ac:dyDescent="0.3">
      <c r="J76001"/>
    </row>
    <row r="76002" spans="10:10" x14ac:dyDescent="0.3">
      <c r="J76002"/>
    </row>
    <row r="76003" spans="10:10" x14ac:dyDescent="0.3">
      <c r="J76003"/>
    </row>
    <row r="76004" spans="10:10" x14ac:dyDescent="0.3">
      <c r="J76004"/>
    </row>
    <row r="76005" spans="10:10" x14ac:dyDescent="0.3">
      <c r="J76005"/>
    </row>
    <row r="76006" spans="10:10" x14ac:dyDescent="0.3">
      <c r="J76006"/>
    </row>
    <row r="76007" spans="10:10" x14ac:dyDescent="0.3">
      <c r="J76007"/>
    </row>
    <row r="76008" spans="10:10" x14ac:dyDescent="0.3">
      <c r="J76008"/>
    </row>
    <row r="76009" spans="10:10" x14ac:dyDescent="0.3">
      <c r="J76009"/>
    </row>
    <row r="76010" spans="10:10" x14ac:dyDescent="0.3">
      <c r="J76010"/>
    </row>
    <row r="76011" spans="10:10" x14ac:dyDescent="0.3">
      <c r="J76011"/>
    </row>
    <row r="76012" spans="10:10" x14ac:dyDescent="0.3">
      <c r="J76012"/>
    </row>
    <row r="76013" spans="10:10" x14ac:dyDescent="0.3">
      <c r="J76013"/>
    </row>
    <row r="76014" spans="10:10" x14ac:dyDescent="0.3">
      <c r="J76014"/>
    </row>
    <row r="76015" spans="10:10" x14ac:dyDescent="0.3">
      <c r="J76015"/>
    </row>
    <row r="76016" spans="10:10" x14ac:dyDescent="0.3">
      <c r="J76016"/>
    </row>
    <row r="76017" spans="10:10" x14ac:dyDescent="0.3">
      <c r="J76017"/>
    </row>
    <row r="76018" spans="10:10" x14ac:dyDescent="0.3">
      <c r="J76018"/>
    </row>
    <row r="76019" spans="10:10" x14ac:dyDescent="0.3">
      <c r="J76019"/>
    </row>
    <row r="76020" spans="10:10" x14ac:dyDescent="0.3">
      <c r="J76020"/>
    </row>
    <row r="76021" spans="10:10" x14ac:dyDescent="0.3">
      <c r="J76021"/>
    </row>
    <row r="76022" spans="10:10" x14ac:dyDescent="0.3">
      <c r="J76022"/>
    </row>
    <row r="76023" spans="10:10" x14ac:dyDescent="0.3">
      <c r="J76023"/>
    </row>
    <row r="76024" spans="10:10" x14ac:dyDescent="0.3">
      <c r="J76024"/>
    </row>
    <row r="76025" spans="10:10" x14ac:dyDescent="0.3">
      <c r="J76025"/>
    </row>
    <row r="76026" spans="10:10" x14ac:dyDescent="0.3">
      <c r="J76026"/>
    </row>
    <row r="76027" spans="10:10" x14ac:dyDescent="0.3">
      <c r="J76027"/>
    </row>
    <row r="76028" spans="10:10" x14ac:dyDescent="0.3">
      <c r="J76028"/>
    </row>
    <row r="76029" spans="10:10" x14ac:dyDescent="0.3">
      <c r="J76029"/>
    </row>
    <row r="76030" spans="10:10" x14ac:dyDescent="0.3">
      <c r="J76030"/>
    </row>
    <row r="76031" spans="10:10" x14ac:dyDescent="0.3">
      <c r="J76031"/>
    </row>
    <row r="76032" spans="10:10" x14ac:dyDescent="0.3">
      <c r="J76032"/>
    </row>
    <row r="76033" spans="10:10" x14ac:dyDescent="0.3">
      <c r="J76033"/>
    </row>
    <row r="76034" spans="10:10" x14ac:dyDescent="0.3">
      <c r="J76034"/>
    </row>
    <row r="76035" spans="10:10" x14ac:dyDescent="0.3">
      <c r="J76035"/>
    </row>
    <row r="76036" spans="10:10" x14ac:dyDescent="0.3">
      <c r="J76036"/>
    </row>
    <row r="76037" spans="10:10" x14ac:dyDescent="0.3">
      <c r="J76037"/>
    </row>
    <row r="76038" spans="10:10" x14ac:dyDescent="0.3">
      <c r="J76038"/>
    </row>
    <row r="76039" spans="10:10" x14ac:dyDescent="0.3">
      <c r="J76039"/>
    </row>
    <row r="76040" spans="10:10" x14ac:dyDescent="0.3">
      <c r="J76040"/>
    </row>
    <row r="76041" spans="10:10" x14ac:dyDescent="0.3">
      <c r="J76041"/>
    </row>
    <row r="76042" spans="10:10" x14ac:dyDescent="0.3">
      <c r="J76042"/>
    </row>
    <row r="76043" spans="10:10" x14ac:dyDescent="0.3">
      <c r="J76043"/>
    </row>
    <row r="76044" spans="10:10" x14ac:dyDescent="0.3">
      <c r="J76044"/>
    </row>
    <row r="76045" spans="10:10" x14ac:dyDescent="0.3">
      <c r="J76045"/>
    </row>
    <row r="76046" spans="10:10" x14ac:dyDescent="0.3">
      <c r="J76046"/>
    </row>
    <row r="76047" spans="10:10" x14ac:dyDescent="0.3">
      <c r="J76047"/>
    </row>
    <row r="76048" spans="10:10" x14ac:dyDescent="0.3">
      <c r="J76048"/>
    </row>
    <row r="76049" spans="10:10" x14ac:dyDescent="0.3">
      <c r="J76049"/>
    </row>
    <row r="76050" spans="10:10" x14ac:dyDescent="0.3">
      <c r="J76050"/>
    </row>
    <row r="76051" spans="10:10" x14ac:dyDescent="0.3">
      <c r="J76051"/>
    </row>
    <row r="76052" spans="10:10" x14ac:dyDescent="0.3">
      <c r="J76052"/>
    </row>
    <row r="76053" spans="10:10" x14ac:dyDescent="0.3">
      <c r="J76053"/>
    </row>
    <row r="76054" spans="10:10" x14ac:dyDescent="0.3">
      <c r="J76054"/>
    </row>
    <row r="76055" spans="10:10" x14ac:dyDescent="0.3">
      <c r="J76055"/>
    </row>
    <row r="76056" spans="10:10" x14ac:dyDescent="0.3">
      <c r="J76056"/>
    </row>
    <row r="76057" spans="10:10" x14ac:dyDescent="0.3">
      <c r="J76057"/>
    </row>
    <row r="76058" spans="10:10" x14ac:dyDescent="0.3">
      <c r="J76058"/>
    </row>
    <row r="76059" spans="10:10" x14ac:dyDescent="0.3">
      <c r="J76059"/>
    </row>
    <row r="76060" spans="10:10" x14ac:dyDescent="0.3">
      <c r="J76060"/>
    </row>
    <row r="76061" spans="10:10" x14ac:dyDescent="0.3">
      <c r="J76061"/>
    </row>
    <row r="76062" spans="10:10" x14ac:dyDescent="0.3">
      <c r="J76062"/>
    </row>
    <row r="76063" spans="10:10" x14ac:dyDescent="0.3">
      <c r="J76063"/>
    </row>
    <row r="76064" spans="10:10" x14ac:dyDescent="0.3">
      <c r="J76064"/>
    </row>
    <row r="76065" spans="10:10" x14ac:dyDescent="0.3">
      <c r="J76065"/>
    </row>
    <row r="76066" spans="10:10" x14ac:dyDescent="0.3">
      <c r="J76066"/>
    </row>
    <row r="76067" spans="10:10" x14ac:dyDescent="0.3">
      <c r="J76067"/>
    </row>
    <row r="76068" spans="10:10" x14ac:dyDescent="0.3">
      <c r="J76068"/>
    </row>
    <row r="76069" spans="10:10" x14ac:dyDescent="0.3">
      <c r="J76069"/>
    </row>
    <row r="76070" spans="10:10" x14ac:dyDescent="0.3">
      <c r="J76070"/>
    </row>
    <row r="76071" spans="10:10" x14ac:dyDescent="0.3">
      <c r="J76071"/>
    </row>
    <row r="76072" spans="10:10" x14ac:dyDescent="0.3">
      <c r="J76072"/>
    </row>
    <row r="76073" spans="10:10" x14ac:dyDescent="0.3">
      <c r="J76073"/>
    </row>
    <row r="76074" spans="10:10" x14ac:dyDescent="0.3">
      <c r="J76074"/>
    </row>
    <row r="76075" spans="10:10" x14ac:dyDescent="0.3">
      <c r="J76075"/>
    </row>
    <row r="76076" spans="10:10" x14ac:dyDescent="0.3">
      <c r="J76076"/>
    </row>
    <row r="76077" spans="10:10" x14ac:dyDescent="0.3">
      <c r="J76077"/>
    </row>
    <row r="76078" spans="10:10" x14ac:dyDescent="0.3">
      <c r="J76078"/>
    </row>
    <row r="76079" spans="10:10" x14ac:dyDescent="0.3">
      <c r="J76079"/>
    </row>
    <row r="76080" spans="10:10" x14ac:dyDescent="0.3">
      <c r="J76080"/>
    </row>
    <row r="76081" spans="10:10" x14ac:dyDescent="0.3">
      <c r="J76081"/>
    </row>
    <row r="76082" spans="10:10" x14ac:dyDescent="0.3">
      <c r="J76082"/>
    </row>
    <row r="76083" spans="10:10" x14ac:dyDescent="0.3">
      <c r="J76083"/>
    </row>
    <row r="76084" spans="10:10" x14ac:dyDescent="0.3">
      <c r="J76084"/>
    </row>
    <row r="76085" spans="10:10" x14ac:dyDescent="0.3">
      <c r="J76085"/>
    </row>
    <row r="76086" spans="10:10" x14ac:dyDescent="0.3">
      <c r="J76086"/>
    </row>
    <row r="76087" spans="10:10" x14ac:dyDescent="0.3">
      <c r="J76087"/>
    </row>
    <row r="76088" spans="10:10" x14ac:dyDescent="0.3">
      <c r="J76088"/>
    </row>
    <row r="76089" spans="10:10" x14ac:dyDescent="0.3">
      <c r="J76089"/>
    </row>
    <row r="76090" spans="10:10" x14ac:dyDescent="0.3">
      <c r="J76090"/>
    </row>
    <row r="76091" spans="10:10" x14ac:dyDescent="0.3">
      <c r="J76091"/>
    </row>
    <row r="76092" spans="10:10" x14ac:dyDescent="0.3">
      <c r="J76092"/>
    </row>
    <row r="76093" spans="10:10" x14ac:dyDescent="0.3">
      <c r="J76093"/>
    </row>
    <row r="76094" spans="10:10" x14ac:dyDescent="0.3">
      <c r="J76094"/>
    </row>
    <row r="76095" spans="10:10" x14ac:dyDescent="0.3">
      <c r="J76095"/>
    </row>
    <row r="76096" spans="10:10" x14ac:dyDescent="0.3">
      <c r="J76096"/>
    </row>
    <row r="76097" spans="10:10" x14ac:dyDescent="0.3">
      <c r="J76097"/>
    </row>
    <row r="76098" spans="10:10" x14ac:dyDescent="0.3">
      <c r="J76098"/>
    </row>
    <row r="76099" spans="10:10" x14ac:dyDescent="0.3">
      <c r="J76099"/>
    </row>
    <row r="76100" spans="10:10" x14ac:dyDescent="0.3">
      <c r="J76100"/>
    </row>
    <row r="76101" spans="10:10" x14ac:dyDescent="0.3">
      <c r="J76101"/>
    </row>
    <row r="76102" spans="10:10" x14ac:dyDescent="0.3">
      <c r="J76102"/>
    </row>
    <row r="76103" spans="10:10" x14ac:dyDescent="0.3">
      <c r="J76103"/>
    </row>
    <row r="76104" spans="10:10" x14ac:dyDescent="0.3">
      <c r="J76104"/>
    </row>
    <row r="76105" spans="10:10" x14ac:dyDescent="0.3">
      <c r="J76105"/>
    </row>
    <row r="76106" spans="10:10" x14ac:dyDescent="0.3">
      <c r="J76106"/>
    </row>
    <row r="76107" spans="10:10" x14ac:dyDescent="0.3">
      <c r="J76107"/>
    </row>
    <row r="76108" spans="10:10" x14ac:dyDescent="0.3">
      <c r="J76108"/>
    </row>
    <row r="76109" spans="10:10" x14ac:dyDescent="0.3">
      <c r="J76109"/>
    </row>
    <row r="76110" spans="10:10" x14ac:dyDescent="0.3">
      <c r="J76110"/>
    </row>
    <row r="76111" spans="10:10" x14ac:dyDescent="0.3">
      <c r="J76111"/>
    </row>
    <row r="76112" spans="10:10" x14ac:dyDescent="0.3">
      <c r="J76112"/>
    </row>
    <row r="76113" spans="10:10" x14ac:dyDescent="0.3">
      <c r="J76113"/>
    </row>
    <row r="76114" spans="10:10" x14ac:dyDescent="0.3">
      <c r="J76114"/>
    </row>
    <row r="76115" spans="10:10" x14ac:dyDescent="0.3">
      <c r="J76115"/>
    </row>
    <row r="76116" spans="10:10" x14ac:dyDescent="0.3">
      <c r="J76116"/>
    </row>
    <row r="76117" spans="10:10" x14ac:dyDescent="0.3">
      <c r="J76117"/>
    </row>
    <row r="76118" spans="10:10" x14ac:dyDescent="0.3">
      <c r="J76118"/>
    </row>
    <row r="76119" spans="10:10" x14ac:dyDescent="0.3">
      <c r="J76119"/>
    </row>
    <row r="76120" spans="10:10" x14ac:dyDescent="0.3">
      <c r="J76120"/>
    </row>
    <row r="76121" spans="10:10" x14ac:dyDescent="0.3">
      <c r="J76121"/>
    </row>
    <row r="76122" spans="10:10" x14ac:dyDescent="0.3">
      <c r="J76122"/>
    </row>
    <row r="76123" spans="10:10" x14ac:dyDescent="0.3">
      <c r="J76123"/>
    </row>
    <row r="76124" spans="10:10" x14ac:dyDescent="0.3">
      <c r="J76124"/>
    </row>
    <row r="76125" spans="10:10" x14ac:dyDescent="0.3">
      <c r="J76125"/>
    </row>
    <row r="76126" spans="10:10" x14ac:dyDescent="0.3">
      <c r="J76126"/>
    </row>
    <row r="76127" spans="10:10" x14ac:dyDescent="0.3">
      <c r="J76127"/>
    </row>
    <row r="76128" spans="10:10" x14ac:dyDescent="0.3">
      <c r="J76128"/>
    </row>
    <row r="76129" spans="10:10" x14ac:dyDescent="0.3">
      <c r="J76129"/>
    </row>
    <row r="76130" spans="10:10" x14ac:dyDescent="0.3">
      <c r="J76130"/>
    </row>
    <row r="76131" spans="10:10" x14ac:dyDescent="0.3">
      <c r="J76131"/>
    </row>
    <row r="76132" spans="10:10" x14ac:dyDescent="0.3">
      <c r="J76132"/>
    </row>
    <row r="76133" spans="10:10" x14ac:dyDescent="0.3">
      <c r="J76133"/>
    </row>
    <row r="76134" spans="10:10" x14ac:dyDescent="0.3">
      <c r="J76134"/>
    </row>
    <row r="76135" spans="10:10" x14ac:dyDescent="0.3">
      <c r="J76135"/>
    </row>
    <row r="76136" spans="10:10" x14ac:dyDescent="0.3">
      <c r="J76136"/>
    </row>
    <row r="76137" spans="10:10" x14ac:dyDescent="0.3">
      <c r="J76137"/>
    </row>
    <row r="76138" spans="10:10" x14ac:dyDescent="0.3">
      <c r="J76138"/>
    </row>
    <row r="76139" spans="10:10" x14ac:dyDescent="0.3">
      <c r="J76139"/>
    </row>
    <row r="76140" spans="10:10" x14ac:dyDescent="0.3">
      <c r="J76140"/>
    </row>
    <row r="76141" spans="10:10" x14ac:dyDescent="0.3">
      <c r="J76141"/>
    </row>
    <row r="76142" spans="10:10" x14ac:dyDescent="0.3">
      <c r="J76142"/>
    </row>
    <row r="76143" spans="10:10" x14ac:dyDescent="0.3">
      <c r="J76143"/>
    </row>
    <row r="76144" spans="10:10" x14ac:dyDescent="0.3">
      <c r="J76144"/>
    </row>
    <row r="76145" spans="10:10" x14ac:dyDescent="0.3">
      <c r="J76145"/>
    </row>
    <row r="76146" spans="10:10" x14ac:dyDescent="0.3">
      <c r="J76146"/>
    </row>
    <row r="76147" spans="10:10" x14ac:dyDescent="0.3">
      <c r="J76147"/>
    </row>
    <row r="76148" spans="10:10" x14ac:dyDescent="0.3">
      <c r="J76148"/>
    </row>
    <row r="76149" spans="10:10" x14ac:dyDescent="0.3">
      <c r="J76149"/>
    </row>
    <row r="76150" spans="10:10" x14ac:dyDescent="0.3">
      <c r="J76150"/>
    </row>
    <row r="76151" spans="10:10" x14ac:dyDescent="0.3">
      <c r="J76151"/>
    </row>
    <row r="76152" spans="10:10" x14ac:dyDescent="0.3">
      <c r="J76152"/>
    </row>
    <row r="76153" spans="10:10" x14ac:dyDescent="0.3">
      <c r="J76153"/>
    </row>
    <row r="76154" spans="10:10" x14ac:dyDescent="0.3">
      <c r="J76154"/>
    </row>
    <row r="76155" spans="10:10" x14ac:dyDescent="0.3">
      <c r="J76155"/>
    </row>
    <row r="76156" spans="10:10" x14ac:dyDescent="0.3">
      <c r="J76156"/>
    </row>
    <row r="76157" spans="10:10" x14ac:dyDescent="0.3">
      <c r="J76157"/>
    </row>
    <row r="76158" spans="10:10" x14ac:dyDescent="0.3">
      <c r="J76158"/>
    </row>
    <row r="76159" spans="10:10" x14ac:dyDescent="0.3">
      <c r="J76159"/>
    </row>
    <row r="76160" spans="10:10" x14ac:dyDescent="0.3">
      <c r="J76160"/>
    </row>
    <row r="76161" spans="10:10" x14ac:dyDescent="0.3">
      <c r="J76161"/>
    </row>
    <row r="76162" spans="10:10" x14ac:dyDescent="0.3">
      <c r="J76162"/>
    </row>
    <row r="76163" spans="10:10" x14ac:dyDescent="0.3">
      <c r="J76163"/>
    </row>
    <row r="76164" spans="10:10" x14ac:dyDescent="0.3">
      <c r="J76164"/>
    </row>
    <row r="76165" spans="10:10" x14ac:dyDescent="0.3">
      <c r="J76165"/>
    </row>
    <row r="76166" spans="10:10" x14ac:dyDescent="0.3">
      <c r="J76166"/>
    </row>
    <row r="76167" spans="10:10" x14ac:dyDescent="0.3">
      <c r="J76167"/>
    </row>
    <row r="76168" spans="10:10" x14ac:dyDescent="0.3">
      <c r="J76168"/>
    </row>
    <row r="76169" spans="10:10" x14ac:dyDescent="0.3">
      <c r="J76169"/>
    </row>
    <row r="76170" spans="10:10" x14ac:dyDescent="0.3">
      <c r="J76170"/>
    </row>
    <row r="76171" spans="10:10" x14ac:dyDescent="0.3">
      <c r="J76171"/>
    </row>
    <row r="76172" spans="10:10" x14ac:dyDescent="0.3">
      <c r="J76172"/>
    </row>
    <row r="76173" spans="10:10" x14ac:dyDescent="0.3">
      <c r="J76173"/>
    </row>
    <row r="76174" spans="10:10" x14ac:dyDescent="0.3">
      <c r="J76174"/>
    </row>
    <row r="76175" spans="10:10" x14ac:dyDescent="0.3">
      <c r="J76175"/>
    </row>
    <row r="76176" spans="10:10" x14ac:dyDescent="0.3">
      <c r="J76176"/>
    </row>
    <row r="76177" spans="10:10" x14ac:dyDescent="0.3">
      <c r="J76177"/>
    </row>
    <row r="76178" spans="10:10" x14ac:dyDescent="0.3">
      <c r="J76178"/>
    </row>
    <row r="76179" spans="10:10" x14ac:dyDescent="0.3">
      <c r="J76179"/>
    </row>
    <row r="76180" spans="10:10" x14ac:dyDescent="0.3">
      <c r="J76180"/>
    </row>
    <row r="76181" spans="10:10" x14ac:dyDescent="0.3">
      <c r="J76181"/>
    </row>
    <row r="76182" spans="10:10" x14ac:dyDescent="0.3">
      <c r="J76182"/>
    </row>
    <row r="76183" spans="10:10" x14ac:dyDescent="0.3">
      <c r="J76183"/>
    </row>
    <row r="76184" spans="10:10" x14ac:dyDescent="0.3">
      <c r="J76184"/>
    </row>
    <row r="76185" spans="10:10" x14ac:dyDescent="0.3">
      <c r="J76185"/>
    </row>
    <row r="76186" spans="10:10" x14ac:dyDescent="0.3">
      <c r="J76186"/>
    </row>
    <row r="76187" spans="10:10" x14ac:dyDescent="0.3">
      <c r="J76187"/>
    </row>
    <row r="76188" spans="10:10" x14ac:dyDescent="0.3">
      <c r="J76188"/>
    </row>
    <row r="76189" spans="10:10" x14ac:dyDescent="0.3">
      <c r="J76189"/>
    </row>
    <row r="76190" spans="10:10" x14ac:dyDescent="0.3">
      <c r="J76190"/>
    </row>
    <row r="76191" spans="10:10" x14ac:dyDescent="0.3">
      <c r="J76191"/>
    </row>
    <row r="76192" spans="10:10" x14ac:dyDescent="0.3">
      <c r="J76192"/>
    </row>
    <row r="76193" spans="10:10" x14ac:dyDescent="0.3">
      <c r="J76193"/>
    </row>
    <row r="76194" spans="10:10" x14ac:dyDescent="0.3">
      <c r="J76194"/>
    </row>
    <row r="76195" spans="10:10" x14ac:dyDescent="0.3">
      <c r="J76195"/>
    </row>
    <row r="76196" spans="10:10" x14ac:dyDescent="0.3">
      <c r="J76196"/>
    </row>
    <row r="76197" spans="10:10" x14ac:dyDescent="0.3">
      <c r="J76197"/>
    </row>
    <row r="76198" spans="10:10" x14ac:dyDescent="0.3">
      <c r="J76198"/>
    </row>
    <row r="76199" spans="10:10" x14ac:dyDescent="0.3">
      <c r="J76199"/>
    </row>
    <row r="76200" spans="10:10" x14ac:dyDescent="0.3">
      <c r="J76200"/>
    </row>
    <row r="76201" spans="10:10" x14ac:dyDescent="0.3">
      <c r="J76201"/>
    </row>
    <row r="76202" spans="10:10" x14ac:dyDescent="0.3">
      <c r="J76202"/>
    </row>
    <row r="76203" spans="10:10" x14ac:dyDescent="0.3">
      <c r="J76203"/>
    </row>
    <row r="76204" spans="10:10" x14ac:dyDescent="0.3">
      <c r="J76204"/>
    </row>
    <row r="76205" spans="10:10" x14ac:dyDescent="0.3">
      <c r="J76205"/>
    </row>
    <row r="76206" spans="10:10" x14ac:dyDescent="0.3">
      <c r="J76206"/>
    </row>
    <row r="76207" spans="10:10" x14ac:dyDescent="0.3">
      <c r="J76207"/>
    </row>
    <row r="76208" spans="10:10" x14ac:dyDescent="0.3">
      <c r="J76208"/>
    </row>
    <row r="76209" spans="10:10" x14ac:dyDescent="0.3">
      <c r="J76209"/>
    </row>
    <row r="76210" spans="10:10" x14ac:dyDescent="0.3">
      <c r="J76210"/>
    </row>
    <row r="76211" spans="10:10" x14ac:dyDescent="0.3">
      <c r="J76211"/>
    </row>
    <row r="76212" spans="10:10" x14ac:dyDescent="0.3">
      <c r="J76212"/>
    </row>
    <row r="76213" spans="10:10" x14ac:dyDescent="0.3">
      <c r="J76213"/>
    </row>
    <row r="76214" spans="10:10" x14ac:dyDescent="0.3">
      <c r="J76214"/>
    </row>
    <row r="76215" spans="10:10" x14ac:dyDescent="0.3">
      <c r="J76215"/>
    </row>
    <row r="76216" spans="10:10" x14ac:dyDescent="0.3">
      <c r="J76216"/>
    </row>
    <row r="76217" spans="10:10" x14ac:dyDescent="0.3">
      <c r="J76217"/>
    </row>
    <row r="76218" spans="10:10" x14ac:dyDescent="0.3">
      <c r="J76218"/>
    </row>
    <row r="76219" spans="10:10" x14ac:dyDescent="0.3">
      <c r="J76219"/>
    </row>
    <row r="76220" spans="10:10" x14ac:dyDescent="0.3">
      <c r="J76220"/>
    </row>
    <row r="76221" spans="10:10" x14ac:dyDescent="0.3">
      <c r="J76221"/>
    </row>
    <row r="76222" spans="10:10" x14ac:dyDescent="0.3">
      <c r="J76222"/>
    </row>
    <row r="76223" spans="10:10" x14ac:dyDescent="0.3">
      <c r="J76223"/>
    </row>
    <row r="76224" spans="10:10" x14ac:dyDescent="0.3">
      <c r="J76224"/>
    </row>
    <row r="76225" spans="10:10" x14ac:dyDescent="0.3">
      <c r="J76225"/>
    </row>
    <row r="76226" spans="10:10" x14ac:dyDescent="0.3">
      <c r="J76226"/>
    </row>
    <row r="76227" spans="10:10" x14ac:dyDescent="0.3">
      <c r="J76227"/>
    </row>
    <row r="76228" spans="10:10" x14ac:dyDescent="0.3">
      <c r="J76228"/>
    </row>
    <row r="76229" spans="10:10" x14ac:dyDescent="0.3">
      <c r="J76229"/>
    </row>
    <row r="76230" spans="10:10" x14ac:dyDescent="0.3">
      <c r="J76230"/>
    </row>
    <row r="76231" spans="10:10" x14ac:dyDescent="0.3">
      <c r="J76231"/>
    </row>
    <row r="76232" spans="10:10" x14ac:dyDescent="0.3">
      <c r="J76232"/>
    </row>
    <row r="76233" spans="10:10" x14ac:dyDescent="0.3">
      <c r="J76233"/>
    </row>
    <row r="76234" spans="10:10" x14ac:dyDescent="0.3">
      <c r="J76234"/>
    </row>
    <row r="76235" spans="10:10" x14ac:dyDescent="0.3">
      <c r="J76235"/>
    </row>
    <row r="76236" spans="10:10" x14ac:dyDescent="0.3">
      <c r="J76236"/>
    </row>
    <row r="76237" spans="10:10" x14ac:dyDescent="0.3">
      <c r="J76237"/>
    </row>
    <row r="76238" spans="10:10" x14ac:dyDescent="0.3">
      <c r="J76238"/>
    </row>
    <row r="76239" spans="10:10" x14ac:dyDescent="0.3">
      <c r="J76239"/>
    </row>
    <row r="76240" spans="10:10" x14ac:dyDescent="0.3">
      <c r="J76240"/>
    </row>
    <row r="76241" spans="10:10" x14ac:dyDescent="0.3">
      <c r="J76241"/>
    </row>
    <row r="76242" spans="10:10" x14ac:dyDescent="0.3">
      <c r="J76242"/>
    </row>
    <row r="76243" spans="10:10" x14ac:dyDescent="0.3">
      <c r="J76243"/>
    </row>
    <row r="76244" spans="10:10" x14ac:dyDescent="0.3">
      <c r="J76244"/>
    </row>
    <row r="76245" spans="10:10" x14ac:dyDescent="0.3">
      <c r="J76245"/>
    </row>
    <row r="76246" spans="10:10" x14ac:dyDescent="0.3">
      <c r="J76246"/>
    </row>
    <row r="76247" spans="10:10" x14ac:dyDescent="0.3">
      <c r="J76247"/>
    </row>
    <row r="76248" spans="10:10" x14ac:dyDescent="0.3">
      <c r="J76248"/>
    </row>
    <row r="76249" spans="10:10" x14ac:dyDescent="0.3">
      <c r="J76249"/>
    </row>
    <row r="76250" spans="10:10" x14ac:dyDescent="0.3">
      <c r="J76250"/>
    </row>
    <row r="76251" spans="10:10" x14ac:dyDescent="0.3">
      <c r="J76251"/>
    </row>
    <row r="76252" spans="10:10" x14ac:dyDescent="0.3">
      <c r="J76252"/>
    </row>
    <row r="76253" spans="10:10" x14ac:dyDescent="0.3">
      <c r="J76253"/>
    </row>
    <row r="76254" spans="10:10" x14ac:dyDescent="0.3">
      <c r="J76254"/>
    </row>
    <row r="76255" spans="10:10" x14ac:dyDescent="0.3">
      <c r="J76255"/>
    </row>
    <row r="76256" spans="10:10" x14ac:dyDescent="0.3">
      <c r="J76256"/>
    </row>
    <row r="76257" spans="10:10" x14ac:dyDescent="0.3">
      <c r="J76257"/>
    </row>
    <row r="76258" spans="10:10" x14ac:dyDescent="0.3">
      <c r="J76258"/>
    </row>
    <row r="76259" spans="10:10" x14ac:dyDescent="0.3">
      <c r="J76259"/>
    </row>
    <row r="76260" spans="10:10" x14ac:dyDescent="0.3">
      <c r="J76260"/>
    </row>
    <row r="76261" spans="10:10" x14ac:dyDescent="0.3">
      <c r="J76261"/>
    </row>
    <row r="76262" spans="10:10" x14ac:dyDescent="0.3">
      <c r="J76262"/>
    </row>
    <row r="76263" spans="10:10" x14ac:dyDescent="0.3">
      <c r="J76263"/>
    </row>
    <row r="76264" spans="10:10" x14ac:dyDescent="0.3">
      <c r="J76264"/>
    </row>
    <row r="76265" spans="10:10" x14ac:dyDescent="0.3">
      <c r="J76265"/>
    </row>
    <row r="76266" spans="10:10" x14ac:dyDescent="0.3">
      <c r="J76266"/>
    </row>
    <row r="76267" spans="10:10" x14ac:dyDescent="0.3">
      <c r="J76267"/>
    </row>
    <row r="76268" spans="10:10" x14ac:dyDescent="0.3">
      <c r="J76268"/>
    </row>
    <row r="76269" spans="10:10" x14ac:dyDescent="0.3">
      <c r="J76269"/>
    </row>
    <row r="76270" spans="10:10" x14ac:dyDescent="0.3">
      <c r="J76270"/>
    </row>
    <row r="76271" spans="10:10" x14ac:dyDescent="0.3">
      <c r="J76271"/>
    </row>
    <row r="76272" spans="10:10" x14ac:dyDescent="0.3">
      <c r="J76272"/>
    </row>
    <row r="76273" spans="10:10" x14ac:dyDescent="0.3">
      <c r="J76273"/>
    </row>
    <row r="76274" spans="10:10" x14ac:dyDescent="0.3">
      <c r="J76274"/>
    </row>
    <row r="76275" spans="10:10" x14ac:dyDescent="0.3">
      <c r="J76275"/>
    </row>
    <row r="76276" spans="10:10" x14ac:dyDescent="0.3">
      <c r="J76276"/>
    </row>
    <row r="76277" spans="10:10" x14ac:dyDescent="0.3">
      <c r="J76277"/>
    </row>
    <row r="76278" spans="10:10" x14ac:dyDescent="0.3">
      <c r="J76278"/>
    </row>
    <row r="76279" spans="10:10" x14ac:dyDescent="0.3">
      <c r="J76279"/>
    </row>
    <row r="76280" spans="10:10" x14ac:dyDescent="0.3">
      <c r="J76280"/>
    </row>
    <row r="76281" spans="10:10" x14ac:dyDescent="0.3">
      <c r="J76281"/>
    </row>
    <row r="76282" spans="10:10" x14ac:dyDescent="0.3">
      <c r="J76282"/>
    </row>
    <row r="76283" spans="10:10" x14ac:dyDescent="0.3">
      <c r="J76283"/>
    </row>
    <row r="76284" spans="10:10" x14ac:dyDescent="0.3">
      <c r="J76284"/>
    </row>
    <row r="76285" spans="10:10" x14ac:dyDescent="0.3">
      <c r="J76285"/>
    </row>
    <row r="76286" spans="10:10" x14ac:dyDescent="0.3">
      <c r="J76286"/>
    </row>
    <row r="76287" spans="10:10" x14ac:dyDescent="0.3">
      <c r="J76287"/>
    </row>
    <row r="76288" spans="10:10" x14ac:dyDescent="0.3">
      <c r="J76288"/>
    </row>
    <row r="76289" spans="10:10" x14ac:dyDescent="0.3">
      <c r="J76289"/>
    </row>
    <row r="76290" spans="10:10" x14ac:dyDescent="0.3">
      <c r="J76290"/>
    </row>
    <row r="76291" spans="10:10" x14ac:dyDescent="0.3">
      <c r="J76291"/>
    </row>
    <row r="76292" spans="10:10" x14ac:dyDescent="0.3">
      <c r="J76292"/>
    </row>
    <row r="76293" spans="10:10" x14ac:dyDescent="0.3">
      <c r="J76293"/>
    </row>
    <row r="76294" spans="10:10" x14ac:dyDescent="0.3">
      <c r="J76294"/>
    </row>
    <row r="76295" spans="10:10" x14ac:dyDescent="0.3">
      <c r="J76295"/>
    </row>
    <row r="76296" spans="10:10" x14ac:dyDescent="0.3">
      <c r="J76296"/>
    </row>
    <row r="76297" spans="10:10" x14ac:dyDescent="0.3">
      <c r="J76297"/>
    </row>
    <row r="76298" spans="10:10" x14ac:dyDescent="0.3">
      <c r="J76298"/>
    </row>
    <row r="76299" spans="10:10" x14ac:dyDescent="0.3">
      <c r="J76299"/>
    </row>
    <row r="76300" spans="10:10" x14ac:dyDescent="0.3">
      <c r="J76300"/>
    </row>
    <row r="76301" spans="10:10" x14ac:dyDescent="0.3">
      <c r="J76301"/>
    </row>
    <row r="76302" spans="10:10" x14ac:dyDescent="0.3">
      <c r="J76302"/>
    </row>
    <row r="76303" spans="10:10" x14ac:dyDescent="0.3">
      <c r="J76303"/>
    </row>
    <row r="76304" spans="10:10" x14ac:dyDescent="0.3">
      <c r="J76304"/>
    </row>
    <row r="76305" spans="10:10" x14ac:dyDescent="0.3">
      <c r="J76305"/>
    </row>
    <row r="76306" spans="10:10" x14ac:dyDescent="0.3">
      <c r="J76306"/>
    </row>
    <row r="76307" spans="10:10" x14ac:dyDescent="0.3">
      <c r="J76307"/>
    </row>
    <row r="76308" spans="10:10" x14ac:dyDescent="0.3">
      <c r="J76308"/>
    </row>
    <row r="76309" spans="10:10" x14ac:dyDescent="0.3">
      <c r="J76309"/>
    </row>
    <row r="76310" spans="10:10" x14ac:dyDescent="0.3">
      <c r="J76310"/>
    </row>
    <row r="76311" spans="10:10" x14ac:dyDescent="0.3">
      <c r="J76311"/>
    </row>
    <row r="76312" spans="10:10" x14ac:dyDescent="0.3">
      <c r="J76312"/>
    </row>
    <row r="76313" spans="10:10" x14ac:dyDescent="0.3">
      <c r="J76313"/>
    </row>
    <row r="76314" spans="10:10" x14ac:dyDescent="0.3">
      <c r="J76314"/>
    </row>
    <row r="76315" spans="10:10" x14ac:dyDescent="0.3">
      <c r="J76315"/>
    </row>
    <row r="76316" spans="10:10" x14ac:dyDescent="0.3">
      <c r="J76316"/>
    </row>
    <row r="76317" spans="10:10" x14ac:dyDescent="0.3">
      <c r="J76317"/>
    </row>
    <row r="76318" spans="10:10" x14ac:dyDescent="0.3">
      <c r="J76318"/>
    </row>
    <row r="76319" spans="10:10" x14ac:dyDescent="0.3">
      <c r="J76319"/>
    </row>
    <row r="76320" spans="10:10" x14ac:dyDescent="0.3">
      <c r="J76320"/>
    </row>
    <row r="76321" spans="10:10" x14ac:dyDescent="0.3">
      <c r="J76321"/>
    </row>
    <row r="76322" spans="10:10" x14ac:dyDescent="0.3">
      <c r="J76322"/>
    </row>
    <row r="76323" spans="10:10" x14ac:dyDescent="0.3">
      <c r="J76323"/>
    </row>
    <row r="76324" spans="10:10" x14ac:dyDescent="0.3">
      <c r="J76324"/>
    </row>
    <row r="76325" spans="10:10" x14ac:dyDescent="0.3">
      <c r="J76325"/>
    </row>
    <row r="76326" spans="10:10" x14ac:dyDescent="0.3">
      <c r="J76326"/>
    </row>
    <row r="76327" spans="10:10" x14ac:dyDescent="0.3">
      <c r="J76327"/>
    </row>
    <row r="76328" spans="10:10" x14ac:dyDescent="0.3">
      <c r="J76328"/>
    </row>
    <row r="76329" spans="10:10" x14ac:dyDescent="0.3">
      <c r="J76329"/>
    </row>
    <row r="76330" spans="10:10" x14ac:dyDescent="0.3">
      <c r="J76330"/>
    </row>
    <row r="76331" spans="10:10" x14ac:dyDescent="0.3">
      <c r="J76331"/>
    </row>
    <row r="76332" spans="10:10" x14ac:dyDescent="0.3">
      <c r="J76332"/>
    </row>
    <row r="76333" spans="10:10" x14ac:dyDescent="0.3">
      <c r="J76333"/>
    </row>
    <row r="76334" spans="10:10" x14ac:dyDescent="0.3">
      <c r="J76334"/>
    </row>
    <row r="76335" spans="10:10" x14ac:dyDescent="0.3">
      <c r="J76335"/>
    </row>
    <row r="76336" spans="10:10" x14ac:dyDescent="0.3">
      <c r="J76336"/>
    </row>
    <row r="76337" spans="10:10" x14ac:dyDescent="0.3">
      <c r="J76337"/>
    </row>
    <row r="76338" spans="10:10" x14ac:dyDescent="0.3">
      <c r="J76338"/>
    </row>
    <row r="76339" spans="10:10" x14ac:dyDescent="0.3">
      <c r="J76339"/>
    </row>
    <row r="76340" spans="10:10" x14ac:dyDescent="0.3">
      <c r="J76340"/>
    </row>
    <row r="76341" spans="10:10" x14ac:dyDescent="0.3">
      <c r="J76341"/>
    </row>
    <row r="76342" spans="10:10" x14ac:dyDescent="0.3">
      <c r="J76342"/>
    </row>
    <row r="76343" spans="10:10" x14ac:dyDescent="0.3">
      <c r="J76343"/>
    </row>
    <row r="76344" spans="10:10" x14ac:dyDescent="0.3">
      <c r="J76344"/>
    </row>
    <row r="76345" spans="10:10" x14ac:dyDescent="0.3">
      <c r="J76345"/>
    </row>
    <row r="76346" spans="10:10" x14ac:dyDescent="0.3">
      <c r="J76346"/>
    </row>
    <row r="76347" spans="10:10" x14ac:dyDescent="0.3">
      <c r="J76347"/>
    </row>
    <row r="76348" spans="10:10" x14ac:dyDescent="0.3">
      <c r="J76348"/>
    </row>
    <row r="76349" spans="10:10" x14ac:dyDescent="0.3">
      <c r="J76349"/>
    </row>
    <row r="76350" spans="10:10" x14ac:dyDescent="0.3">
      <c r="J76350"/>
    </row>
    <row r="76351" spans="10:10" x14ac:dyDescent="0.3">
      <c r="J76351"/>
    </row>
    <row r="76352" spans="10:10" x14ac:dyDescent="0.3">
      <c r="J76352"/>
    </row>
    <row r="76353" spans="10:10" x14ac:dyDescent="0.3">
      <c r="J76353"/>
    </row>
    <row r="76354" spans="10:10" x14ac:dyDescent="0.3">
      <c r="J76354"/>
    </row>
    <row r="76355" spans="10:10" x14ac:dyDescent="0.3">
      <c r="J76355"/>
    </row>
    <row r="76356" spans="10:10" x14ac:dyDescent="0.3">
      <c r="J76356"/>
    </row>
    <row r="76357" spans="10:10" x14ac:dyDescent="0.3">
      <c r="J76357"/>
    </row>
    <row r="76358" spans="10:10" x14ac:dyDescent="0.3">
      <c r="J76358"/>
    </row>
    <row r="76359" spans="10:10" x14ac:dyDescent="0.3">
      <c r="J76359"/>
    </row>
    <row r="76360" spans="10:10" x14ac:dyDescent="0.3">
      <c r="J76360"/>
    </row>
    <row r="76361" spans="10:10" x14ac:dyDescent="0.3">
      <c r="J76361"/>
    </row>
    <row r="76362" spans="10:10" x14ac:dyDescent="0.3">
      <c r="J76362"/>
    </row>
    <row r="76363" spans="10:10" x14ac:dyDescent="0.3">
      <c r="J76363"/>
    </row>
    <row r="76364" spans="10:10" x14ac:dyDescent="0.3">
      <c r="J76364"/>
    </row>
    <row r="76365" spans="10:10" x14ac:dyDescent="0.3">
      <c r="J76365"/>
    </row>
    <row r="76366" spans="10:10" x14ac:dyDescent="0.3">
      <c r="J76366"/>
    </row>
    <row r="76367" spans="10:10" x14ac:dyDescent="0.3">
      <c r="J76367"/>
    </row>
    <row r="76368" spans="10:10" x14ac:dyDescent="0.3">
      <c r="J76368"/>
    </row>
    <row r="76369" spans="10:10" x14ac:dyDescent="0.3">
      <c r="J76369"/>
    </row>
    <row r="76370" spans="10:10" x14ac:dyDescent="0.3">
      <c r="J76370"/>
    </row>
    <row r="76371" spans="10:10" x14ac:dyDescent="0.3">
      <c r="J76371"/>
    </row>
    <row r="76372" spans="10:10" x14ac:dyDescent="0.3">
      <c r="J76372"/>
    </row>
    <row r="76373" spans="10:10" x14ac:dyDescent="0.3">
      <c r="J76373"/>
    </row>
    <row r="76374" spans="10:10" x14ac:dyDescent="0.3">
      <c r="J76374"/>
    </row>
    <row r="76375" spans="10:10" x14ac:dyDescent="0.3">
      <c r="J76375"/>
    </row>
    <row r="76376" spans="10:10" x14ac:dyDescent="0.3">
      <c r="J76376"/>
    </row>
    <row r="76377" spans="10:10" x14ac:dyDescent="0.3">
      <c r="J76377"/>
    </row>
    <row r="76378" spans="10:10" x14ac:dyDescent="0.3">
      <c r="J76378"/>
    </row>
    <row r="76379" spans="10:10" x14ac:dyDescent="0.3">
      <c r="J76379"/>
    </row>
    <row r="76380" spans="10:10" x14ac:dyDescent="0.3">
      <c r="J76380"/>
    </row>
    <row r="76381" spans="10:10" x14ac:dyDescent="0.3">
      <c r="J76381"/>
    </row>
    <row r="76382" spans="10:10" x14ac:dyDescent="0.3">
      <c r="J76382"/>
    </row>
    <row r="76383" spans="10:10" x14ac:dyDescent="0.3">
      <c r="J76383"/>
    </row>
    <row r="76384" spans="10:10" x14ac:dyDescent="0.3">
      <c r="J76384"/>
    </row>
    <row r="76385" spans="10:10" x14ac:dyDescent="0.3">
      <c r="J76385"/>
    </row>
    <row r="76386" spans="10:10" x14ac:dyDescent="0.3">
      <c r="J76386"/>
    </row>
    <row r="76387" spans="10:10" x14ac:dyDescent="0.3">
      <c r="J76387"/>
    </row>
    <row r="76388" spans="10:10" x14ac:dyDescent="0.3">
      <c r="J76388"/>
    </row>
    <row r="76389" spans="10:10" x14ac:dyDescent="0.3">
      <c r="J76389"/>
    </row>
    <row r="76390" spans="10:10" x14ac:dyDescent="0.3">
      <c r="J76390"/>
    </row>
    <row r="76391" spans="10:10" x14ac:dyDescent="0.3">
      <c r="J76391"/>
    </row>
    <row r="76392" spans="10:10" x14ac:dyDescent="0.3">
      <c r="J76392"/>
    </row>
    <row r="76393" spans="10:10" x14ac:dyDescent="0.3">
      <c r="J76393"/>
    </row>
    <row r="76394" spans="10:10" x14ac:dyDescent="0.3">
      <c r="J76394"/>
    </row>
    <row r="76395" spans="10:10" x14ac:dyDescent="0.3">
      <c r="J76395"/>
    </row>
    <row r="76396" spans="10:10" x14ac:dyDescent="0.3">
      <c r="J76396"/>
    </row>
    <row r="76397" spans="10:10" x14ac:dyDescent="0.3">
      <c r="J76397"/>
    </row>
    <row r="76398" spans="10:10" x14ac:dyDescent="0.3">
      <c r="J76398"/>
    </row>
    <row r="76399" spans="10:10" x14ac:dyDescent="0.3">
      <c r="J76399"/>
    </row>
    <row r="76400" spans="10:10" x14ac:dyDescent="0.3">
      <c r="J76400"/>
    </row>
    <row r="76401" spans="10:10" x14ac:dyDescent="0.3">
      <c r="J76401"/>
    </row>
    <row r="76402" spans="10:10" x14ac:dyDescent="0.3">
      <c r="J76402"/>
    </row>
    <row r="76403" spans="10:10" x14ac:dyDescent="0.3">
      <c r="J76403"/>
    </row>
    <row r="76404" spans="10:10" x14ac:dyDescent="0.3">
      <c r="J76404"/>
    </row>
    <row r="76405" spans="10:10" x14ac:dyDescent="0.3">
      <c r="J76405"/>
    </row>
    <row r="76406" spans="10:10" x14ac:dyDescent="0.3">
      <c r="J76406"/>
    </row>
    <row r="76407" spans="10:10" x14ac:dyDescent="0.3">
      <c r="J76407"/>
    </row>
    <row r="76408" spans="10:10" x14ac:dyDescent="0.3">
      <c r="J76408"/>
    </row>
    <row r="76409" spans="10:10" x14ac:dyDescent="0.3">
      <c r="J76409"/>
    </row>
    <row r="76410" spans="10:10" x14ac:dyDescent="0.3">
      <c r="J76410"/>
    </row>
    <row r="76411" spans="10:10" x14ac:dyDescent="0.3">
      <c r="J76411"/>
    </row>
    <row r="76412" spans="10:10" x14ac:dyDescent="0.3">
      <c r="J76412"/>
    </row>
    <row r="76413" spans="10:10" x14ac:dyDescent="0.3">
      <c r="J76413"/>
    </row>
    <row r="76414" spans="10:10" x14ac:dyDescent="0.3">
      <c r="J76414"/>
    </row>
    <row r="76415" spans="10:10" x14ac:dyDescent="0.3">
      <c r="J76415"/>
    </row>
    <row r="76416" spans="10:10" x14ac:dyDescent="0.3">
      <c r="J76416"/>
    </row>
    <row r="76417" spans="10:10" x14ac:dyDescent="0.3">
      <c r="J76417"/>
    </row>
    <row r="76418" spans="10:10" x14ac:dyDescent="0.3">
      <c r="J76418"/>
    </row>
    <row r="76419" spans="10:10" x14ac:dyDescent="0.3">
      <c r="J76419"/>
    </row>
    <row r="76420" spans="10:10" x14ac:dyDescent="0.3">
      <c r="J76420"/>
    </row>
    <row r="76421" spans="10:10" x14ac:dyDescent="0.3">
      <c r="J76421"/>
    </row>
    <row r="76422" spans="10:10" x14ac:dyDescent="0.3">
      <c r="J76422"/>
    </row>
    <row r="76423" spans="10:10" x14ac:dyDescent="0.3">
      <c r="J76423"/>
    </row>
    <row r="76424" spans="10:10" x14ac:dyDescent="0.3">
      <c r="J76424"/>
    </row>
    <row r="76425" spans="10:10" x14ac:dyDescent="0.3">
      <c r="J76425"/>
    </row>
    <row r="76426" spans="10:10" x14ac:dyDescent="0.3">
      <c r="J76426"/>
    </row>
    <row r="76427" spans="10:10" x14ac:dyDescent="0.3">
      <c r="J76427"/>
    </row>
    <row r="76428" spans="10:10" x14ac:dyDescent="0.3">
      <c r="J76428"/>
    </row>
    <row r="76429" spans="10:10" x14ac:dyDescent="0.3">
      <c r="J76429"/>
    </row>
    <row r="76430" spans="10:10" x14ac:dyDescent="0.3">
      <c r="J76430"/>
    </row>
    <row r="76431" spans="10:10" x14ac:dyDescent="0.3">
      <c r="J76431"/>
    </row>
    <row r="76432" spans="10:10" x14ac:dyDescent="0.3">
      <c r="J76432"/>
    </row>
    <row r="76433" spans="10:10" x14ac:dyDescent="0.3">
      <c r="J76433"/>
    </row>
    <row r="76434" spans="10:10" x14ac:dyDescent="0.3">
      <c r="J76434"/>
    </row>
    <row r="76435" spans="10:10" x14ac:dyDescent="0.3">
      <c r="J76435"/>
    </row>
    <row r="76436" spans="10:10" x14ac:dyDescent="0.3">
      <c r="J76436"/>
    </row>
    <row r="76437" spans="10:10" x14ac:dyDescent="0.3">
      <c r="J76437"/>
    </row>
    <row r="76438" spans="10:10" x14ac:dyDescent="0.3">
      <c r="J76438"/>
    </row>
    <row r="76439" spans="10:10" x14ac:dyDescent="0.3">
      <c r="J76439"/>
    </row>
    <row r="76440" spans="10:10" x14ac:dyDescent="0.3">
      <c r="J76440"/>
    </row>
    <row r="76441" spans="10:10" x14ac:dyDescent="0.3">
      <c r="J76441"/>
    </row>
    <row r="76442" spans="10:10" x14ac:dyDescent="0.3">
      <c r="J76442"/>
    </row>
    <row r="76443" spans="10:10" x14ac:dyDescent="0.3">
      <c r="J76443"/>
    </row>
    <row r="76444" spans="10:10" x14ac:dyDescent="0.3">
      <c r="J76444"/>
    </row>
    <row r="76445" spans="10:10" x14ac:dyDescent="0.3">
      <c r="J76445"/>
    </row>
    <row r="76446" spans="10:10" x14ac:dyDescent="0.3">
      <c r="J76446"/>
    </row>
    <row r="76447" spans="10:10" x14ac:dyDescent="0.3">
      <c r="J76447"/>
    </row>
    <row r="76448" spans="10:10" x14ac:dyDescent="0.3">
      <c r="J76448"/>
    </row>
    <row r="76449" spans="10:10" x14ac:dyDescent="0.3">
      <c r="J76449"/>
    </row>
    <row r="76450" spans="10:10" x14ac:dyDescent="0.3">
      <c r="J76450"/>
    </row>
    <row r="76451" spans="10:10" x14ac:dyDescent="0.3">
      <c r="J76451"/>
    </row>
    <row r="76452" spans="10:10" x14ac:dyDescent="0.3">
      <c r="J76452"/>
    </row>
    <row r="76453" spans="10:10" x14ac:dyDescent="0.3">
      <c r="J76453"/>
    </row>
    <row r="76454" spans="10:10" x14ac:dyDescent="0.3">
      <c r="J76454"/>
    </row>
    <row r="76455" spans="10:10" x14ac:dyDescent="0.3">
      <c r="J76455"/>
    </row>
    <row r="76456" spans="10:10" x14ac:dyDescent="0.3">
      <c r="J76456"/>
    </row>
    <row r="76457" spans="10:10" x14ac:dyDescent="0.3">
      <c r="J76457"/>
    </row>
    <row r="76458" spans="10:10" x14ac:dyDescent="0.3">
      <c r="J76458"/>
    </row>
    <row r="76459" spans="10:10" x14ac:dyDescent="0.3">
      <c r="J76459"/>
    </row>
    <row r="76460" spans="10:10" x14ac:dyDescent="0.3">
      <c r="J76460"/>
    </row>
    <row r="76461" spans="10:10" x14ac:dyDescent="0.3">
      <c r="J76461"/>
    </row>
    <row r="76462" spans="10:10" x14ac:dyDescent="0.3">
      <c r="J76462"/>
    </row>
    <row r="76463" spans="10:10" x14ac:dyDescent="0.3">
      <c r="J76463"/>
    </row>
    <row r="76464" spans="10:10" x14ac:dyDescent="0.3">
      <c r="J76464"/>
    </row>
    <row r="76465" spans="10:10" x14ac:dyDescent="0.3">
      <c r="J76465"/>
    </row>
    <row r="76466" spans="10:10" x14ac:dyDescent="0.3">
      <c r="J76466"/>
    </row>
    <row r="76467" spans="10:10" x14ac:dyDescent="0.3">
      <c r="J76467"/>
    </row>
    <row r="76468" spans="10:10" x14ac:dyDescent="0.3">
      <c r="J76468"/>
    </row>
    <row r="76469" spans="10:10" x14ac:dyDescent="0.3">
      <c r="J76469"/>
    </row>
    <row r="76470" spans="10:10" x14ac:dyDescent="0.3">
      <c r="J76470"/>
    </row>
    <row r="76471" spans="10:10" x14ac:dyDescent="0.3">
      <c r="J76471"/>
    </row>
    <row r="76472" spans="10:10" x14ac:dyDescent="0.3">
      <c r="J76472"/>
    </row>
    <row r="76473" spans="10:10" x14ac:dyDescent="0.3">
      <c r="J76473"/>
    </row>
    <row r="76474" spans="10:10" x14ac:dyDescent="0.3">
      <c r="J76474"/>
    </row>
    <row r="76475" spans="10:10" x14ac:dyDescent="0.3">
      <c r="J76475"/>
    </row>
    <row r="76476" spans="10:10" x14ac:dyDescent="0.3">
      <c r="J76476"/>
    </row>
    <row r="76477" spans="10:10" x14ac:dyDescent="0.3">
      <c r="J76477"/>
    </row>
    <row r="76478" spans="10:10" x14ac:dyDescent="0.3">
      <c r="J76478"/>
    </row>
    <row r="76479" spans="10:10" x14ac:dyDescent="0.3">
      <c r="J76479"/>
    </row>
    <row r="76480" spans="10:10" x14ac:dyDescent="0.3">
      <c r="J76480"/>
    </row>
    <row r="76481" spans="10:10" x14ac:dyDescent="0.3">
      <c r="J76481"/>
    </row>
    <row r="76482" spans="10:10" x14ac:dyDescent="0.3">
      <c r="J76482"/>
    </row>
    <row r="76483" spans="10:10" x14ac:dyDescent="0.3">
      <c r="J76483"/>
    </row>
    <row r="76484" spans="10:10" x14ac:dyDescent="0.3">
      <c r="J76484"/>
    </row>
    <row r="76485" spans="10:10" x14ac:dyDescent="0.3">
      <c r="J76485"/>
    </row>
    <row r="76486" spans="10:10" x14ac:dyDescent="0.3">
      <c r="J76486"/>
    </row>
    <row r="76487" spans="10:10" x14ac:dyDescent="0.3">
      <c r="J76487"/>
    </row>
    <row r="76488" spans="10:10" x14ac:dyDescent="0.3">
      <c r="J76488"/>
    </row>
    <row r="76489" spans="10:10" x14ac:dyDescent="0.3">
      <c r="J76489"/>
    </row>
    <row r="76490" spans="10:10" x14ac:dyDescent="0.3">
      <c r="J76490"/>
    </row>
    <row r="76491" spans="10:10" x14ac:dyDescent="0.3">
      <c r="J76491"/>
    </row>
    <row r="76492" spans="10:10" x14ac:dyDescent="0.3">
      <c r="J76492"/>
    </row>
    <row r="76493" spans="10:10" x14ac:dyDescent="0.3">
      <c r="J76493"/>
    </row>
    <row r="76494" spans="10:10" x14ac:dyDescent="0.3">
      <c r="J76494"/>
    </row>
    <row r="76495" spans="10:10" x14ac:dyDescent="0.3">
      <c r="J76495"/>
    </row>
    <row r="76496" spans="10:10" x14ac:dyDescent="0.3">
      <c r="J76496"/>
    </row>
    <row r="76497" spans="10:10" x14ac:dyDescent="0.3">
      <c r="J76497"/>
    </row>
    <row r="76498" spans="10:10" x14ac:dyDescent="0.3">
      <c r="J76498"/>
    </row>
    <row r="76499" spans="10:10" x14ac:dyDescent="0.3">
      <c r="J76499"/>
    </row>
    <row r="76500" spans="10:10" x14ac:dyDescent="0.3">
      <c r="J76500"/>
    </row>
    <row r="76501" spans="10:10" x14ac:dyDescent="0.3">
      <c r="J76501"/>
    </row>
    <row r="76502" spans="10:10" x14ac:dyDescent="0.3">
      <c r="J76502"/>
    </row>
    <row r="76503" spans="10:10" x14ac:dyDescent="0.3">
      <c r="J76503"/>
    </row>
    <row r="76504" spans="10:10" x14ac:dyDescent="0.3">
      <c r="J76504"/>
    </row>
    <row r="76505" spans="10:10" x14ac:dyDescent="0.3">
      <c r="J76505"/>
    </row>
    <row r="76506" spans="10:10" x14ac:dyDescent="0.3">
      <c r="J76506"/>
    </row>
    <row r="76507" spans="10:10" x14ac:dyDescent="0.3">
      <c r="J76507"/>
    </row>
    <row r="76508" spans="10:10" x14ac:dyDescent="0.3">
      <c r="J76508"/>
    </row>
    <row r="76509" spans="10:10" x14ac:dyDescent="0.3">
      <c r="J76509"/>
    </row>
    <row r="76510" spans="10:10" x14ac:dyDescent="0.3">
      <c r="J76510"/>
    </row>
    <row r="76511" spans="10:10" x14ac:dyDescent="0.3">
      <c r="J76511"/>
    </row>
    <row r="76512" spans="10:10" x14ac:dyDescent="0.3">
      <c r="J76512"/>
    </row>
    <row r="76513" spans="10:10" x14ac:dyDescent="0.3">
      <c r="J76513"/>
    </row>
    <row r="76514" spans="10:10" x14ac:dyDescent="0.3">
      <c r="J76514"/>
    </row>
    <row r="76515" spans="10:10" x14ac:dyDescent="0.3">
      <c r="J76515"/>
    </row>
    <row r="76516" spans="10:10" x14ac:dyDescent="0.3">
      <c r="J76516"/>
    </row>
    <row r="76517" spans="10:10" x14ac:dyDescent="0.3">
      <c r="J76517"/>
    </row>
    <row r="76518" spans="10:10" x14ac:dyDescent="0.3">
      <c r="J76518"/>
    </row>
    <row r="76519" spans="10:10" x14ac:dyDescent="0.3">
      <c r="J76519"/>
    </row>
    <row r="76520" spans="10:10" x14ac:dyDescent="0.3">
      <c r="J76520"/>
    </row>
    <row r="76521" spans="10:10" x14ac:dyDescent="0.3">
      <c r="J76521"/>
    </row>
    <row r="76522" spans="10:10" x14ac:dyDescent="0.3">
      <c r="J76522"/>
    </row>
    <row r="76523" spans="10:10" x14ac:dyDescent="0.3">
      <c r="J76523"/>
    </row>
    <row r="76524" spans="10:10" x14ac:dyDescent="0.3">
      <c r="J76524"/>
    </row>
    <row r="76525" spans="10:10" x14ac:dyDescent="0.3">
      <c r="J76525"/>
    </row>
    <row r="76526" spans="10:10" x14ac:dyDescent="0.3">
      <c r="J76526"/>
    </row>
    <row r="76527" spans="10:10" x14ac:dyDescent="0.3">
      <c r="J76527"/>
    </row>
    <row r="76528" spans="10:10" x14ac:dyDescent="0.3">
      <c r="J76528"/>
    </row>
    <row r="76529" spans="10:10" x14ac:dyDescent="0.3">
      <c r="J76529"/>
    </row>
    <row r="76530" spans="10:10" x14ac:dyDescent="0.3">
      <c r="J76530"/>
    </row>
    <row r="76531" spans="10:10" x14ac:dyDescent="0.3">
      <c r="J76531"/>
    </row>
    <row r="76532" spans="10:10" x14ac:dyDescent="0.3">
      <c r="J76532"/>
    </row>
    <row r="76533" spans="10:10" x14ac:dyDescent="0.3">
      <c r="J76533"/>
    </row>
    <row r="76534" spans="10:10" x14ac:dyDescent="0.3">
      <c r="J76534"/>
    </row>
    <row r="76535" spans="10:10" x14ac:dyDescent="0.3">
      <c r="J76535"/>
    </row>
    <row r="76536" spans="10:10" x14ac:dyDescent="0.3">
      <c r="J76536"/>
    </row>
    <row r="76537" spans="10:10" x14ac:dyDescent="0.3">
      <c r="J76537"/>
    </row>
    <row r="76538" spans="10:10" x14ac:dyDescent="0.3">
      <c r="J76538"/>
    </row>
    <row r="76539" spans="10:10" x14ac:dyDescent="0.3">
      <c r="J76539"/>
    </row>
    <row r="76540" spans="10:10" x14ac:dyDescent="0.3">
      <c r="J76540"/>
    </row>
    <row r="76541" spans="10:10" x14ac:dyDescent="0.3">
      <c r="J76541"/>
    </row>
    <row r="76542" spans="10:10" x14ac:dyDescent="0.3">
      <c r="J76542"/>
    </row>
    <row r="76543" spans="10:10" x14ac:dyDescent="0.3">
      <c r="J76543"/>
    </row>
    <row r="76544" spans="10:10" x14ac:dyDescent="0.3">
      <c r="J76544"/>
    </row>
    <row r="76545" spans="10:10" x14ac:dyDescent="0.3">
      <c r="J76545"/>
    </row>
    <row r="76546" spans="10:10" x14ac:dyDescent="0.3">
      <c r="J76546"/>
    </row>
    <row r="76547" spans="10:10" x14ac:dyDescent="0.3">
      <c r="J76547"/>
    </row>
    <row r="76548" spans="10:10" x14ac:dyDescent="0.3">
      <c r="J76548"/>
    </row>
    <row r="76549" spans="10:10" x14ac:dyDescent="0.3">
      <c r="J76549"/>
    </row>
    <row r="76550" spans="10:10" x14ac:dyDescent="0.3">
      <c r="J76550"/>
    </row>
    <row r="76551" spans="10:10" x14ac:dyDescent="0.3">
      <c r="J76551"/>
    </row>
    <row r="76552" spans="10:10" x14ac:dyDescent="0.3">
      <c r="J76552"/>
    </row>
    <row r="76553" spans="10:10" x14ac:dyDescent="0.3">
      <c r="J76553"/>
    </row>
    <row r="76554" spans="10:10" x14ac:dyDescent="0.3">
      <c r="J76554"/>
    </row>
    <row r="76555" spans="10:10" x14ac:dyDescent="0.3">
      <c r="J76555"/>
    </row>
    <row r="76556" spans="10:10" x14ac:dyDescent="0.3">
      <c r="J76556"/>
    </row>
    <row r="76557" spans="10:10" x14ac:dyDescent="0.3">
      <c r="J76557"/>
    </row>
    <row r="76558" spans="10:10" x14ac:dyDescent="0.3">
      <c r="J76558"/>
    </row>
    <row r="76559" spans="10:10" x14ac:dyDescent="0.3">
      <c r="J76559"/>
    </row>
    <row r="76560" spans="10:10" x14ac:dyDescent="0.3">
      <c r="J76560"/>
    </row>
    <row r="76561" spans="10:10" x14ac:dyDescent="0.3">
      <c r="J76561"/>
    </row>
    <row r="76562" spans="10:10" x14ac:dyDescent="0.3">
      <c r="J76562"/>
    </row>
    <row r="76563" spans="10:10" x14ac:dyDescent="0.3">
      <c r="J76563"/>
    </row>
    <row r="76564" spans="10:10" x14ac:dyDescent="0.3">
      <c r="J76564"/>
    </row>
    <row r="76565" spans="10:10" x14ac:dyDescent="0.3">
      <c r="J76565"/>
    </row>
    <row r="76566" spans="10:10" x14ac:dyDescent="0.3">
      <c r="J76566"/>
    </row>
    <row r="76567" spans="10:10" x14ac:dyDescent="0.3">
      <c r="J76567"/>
    </row>
    <row r="76568" spans="10:10" x14ac:dyDescent="0.3">
      <c r="J76568"/>
    </row>
    <row r="76569" spans="10:10" x14ac:dyDescent="0.3">
      <c r="J76569"/>
    </row>
    <row r="76570" spans="10:10" x14ac:dyDescent="0.3">
      <c r="J76570"/>
    </row>
    <row r="76571" spans="10:10" x14ac:dyDescent="0.3">
      <c r="J76571"/>
    </row>
    <row r="76572" spans="10:10" x14ac:dyDescent="0.3">
      <c r="J76572"/>
    </row>
    <row r="76573" spans="10:10" x14ac:dyDescent="0.3">
      <c r="J76573"/>
    </row>
    <row r="76574" spans="10:10" x14ac:dyDescent="0.3">
      <c r="J76574"/>
    </row>
    <row r="76575" spans="10:10" x14ac:dyDescent="0.3">
      <c r="J76575"/>
    </row>
    <row r="76576" spans="10:10" x14ac:dyDescent="0.3">
      <c r="J76576"/>
    </row>
    <row r="76577" spans="10:10" x14ac:dyDescent="0.3">
      <c r="J76577"/>
    </row>
    <row r="76578" spans="10:10" x14ac:dyDescent="0.3">
      <c r="J76578"/>
    </row>
    <row r="76579" spans="10:10" x14ac:dyDescent="0.3">
      <c r="J76579"/>
    </row>
    <row r="76580" spans="10:10" x14ac:dyDescent="0.3">
      <c r="J76580"/>
    </row>
    <row r="76581" spans="10:10" x14ac:dyDescent="0.3">
      <c r="J76581"/>
    </row>
    <row r="76582" spans="10:10" x14ac:dyDescent="0.3">
      <c r="J76582"/>
    </row>
    <row r="76583" spans="10:10" x14ac:dyDescent="0.3">
      <c r="J76583"/>
    </row>
    <row r="76584" spans="10:10" x14ac:dyDescent="0.3">
      <c r="J76584"/>
    </row>
    <row r="76585" spans="10:10" x14ac:dyDescent="0.3">
      <c r="J76585"/>
    </row>
    <row r="76586" spans="10:10" x14ac:dyDescent="0.3">
      <c r="J76586"/>
    </row>
    <row r="76587" spans="10:10" x14ac:dyDescent="0.3">
      <c r="J76587"/>
    </row>
    <row r="76588" spans="10:10" x14ac:dyDescent="0.3">
      <c r="J76588"/>
    </row>
    <row r="76589" spans="10:10" x14ac:dyDescent="0.3">
      <c r="J76589"/>
    </row>
    <row r="76590" spans="10:10" x14ac:dyDescent="0.3">
      <c r="J76590"/>
    </row>
    <row r="76591" spans="10:10" x14ac:dyDescent="0.3">
      <c r="J76591"/>
    </row>
    <row r="76592" spans="10:10" x14ac:dyDescent="0.3">
      <c r="J76592"/>
    </row>
    <row r="76593" spans="10:10" x14ac:dyDescent="0.3">
      <c r="J76593"/>
    </row>
    <row r="76594" spans="10:10" x14ac:dyDescent="0.3">
      <c r="J76594"/>
    </row>
    <row r="76595" spans="10:10" x14ac:dyDescent="0.3">
      <c r="J76595"/>
    </row>
    <row r="76596" spans="10:10" x14ac:dyDescent="0.3">
      <c r="J76596"/>
    </row>
    <row r="76597" spans="10:10" x14ac:dyDescent="0.3">
      <c r="J76597"/>
    </row>
    <row r="76598" spans="10:10" x14ac:dyDescent="0.3">
      <c r="J76598"/>
    </row>
    <row r="76599" spans="10:10" x14ac:dyDescent="0.3">
      <c r="J76599"/>
    </row>
    <row r="76600" spans="10:10" x14ac:dyDescent="0.3">
      <c r="J76600"/>
    </row>
    <row r="76601" spans="10:10" x14ac:dyDescent="0.3">
      <c r="J76601"/>
    </row>
    <row r="76602" spans="10:10" x14ac:dyDescent="0.3">
      <c r="J76602"/>
    </row>
    <row r="76603" spans="10:10" x14ac:dyDescent="0.3">
      <c r="J76603"/>
    </row>
    <row r="76604" spans="10:10" x14ac:dyDescent="0.3">
      <c r="J76604"/>
    </row>
    <row r="76605" spans="10:10" x14ac:dyDescent="0.3">
      <c r="J76605"/>
    </row>
    <row r="76606" spans="10:10" x14ac:dyDescent="0.3">
      <c r="J76606"/>
    </row>
    <row r="76607" spans="10:10" x14ac:dyDescent="0.3">
      <c r="J76607"/>
    </row>
    <row r="76608" spans="10:10" x14ac:dyDescent="0.3">
      <c r="J76608"/>
    </row>
    <row r="76609" spans="10:10" x14ac:dyDescent="0.3">
      <c r="J76609"/>
    </row>
    <row r="76610" spans="10:10" x14ac:dyDescent="0.3">
      <c r="J76610"/>
    </row>
    <row r="76611" spans="10:10" x14ac:dyDescent="0.3">
      <c r="J76611"/>
    </row>
    <row r="76612" spans="10:10" x14ac:dyDescent="0.3">
      <c r="J76612"/>
    </row>
    <row r="76613" spans="10:10" x14ac:dyDescent="0.3">
      <c r="J76613"/>
    </row>
    <row r="76614" spans="10:10" x14ac:dyDescent="0.3">
      <c r="J76614"/>
    </row>
    <row r="76615" spans="10:10" x14ac:dyDescent="0.3">
      <c r="J76615"/>
    </row>
    <row r="76616" spans="10:10" x14ac:dyDescent="0.3">
      <c r="J76616"/>
    </row>
    <row r="76617" spans="10:10" x14ac:dyDescent="0.3">
      <c r="J76617"/>
    </row>
    <row r="76618" spans="10:10" x14ac:dyDescent="0.3">
      <c r="J76618"/>
    </row>
    <row r="76619" spans="10:10" x14ac:dyDescent="0.3">
      <c r="J76619"/>
    </row>
    <row r="76620" spans="10:10" x14ac:dyDescent="0.3">
      <c r="J76620"/>
    </row>
    <row r="76621" spans="10:10" x14ac:dyDescent="0.3">
      <c r="J76621"/>
    </row>
    <row r="76622" spans="10:10" x14ac:dyDescent="0.3">
      <c r="J76622"/>
    </row>
    <row r="76623" spans="10:10" x14ac:dyDescent="0.3">
      <c r="J76623"/>
    </row>
    <row r="76624" spans="10:10" x14ac:dyDescent="0.3">
      <c r="J76624"/>
    </row>
    <row r="76625" spans="10:10" x14ac:dyDescent="0.3">
      <c r="J76625"/>
    </row>
    <row r="76626" spans="10:10" x14ac:dyDescent="0.3">
      <c r="J76626"/>
    </row>
    <row r="76627" spans="10:10" x14ac:dyDescent="0.3">
      <c r="J76627"/>
    </row>
    <row r="76628" spans="10:10" x14ac:dyDescent="0.3">
      <c r="J76628"/>
    </row>
    <row r="76629" spans="10:10" x14ac:dyDescent="0.3">
      <c r="J76629"/>
    </row>
    <row r="76630" spans="10:10" x14ac:dyDescent="0.3">
      <c r="J76630"/>
    </row>
    <row r="76631" spans="10:10" x14ac:dyDescent="0.3">
      <c r="J76631"/>
    </row>
    <row r="76632" spans="10:10" x14ac:dyDescent="0.3">
      <c r="J76632"/>
    </row>
    <row r="76633" spans="10:10" x14ac:dyDescent="0.3">
      <c r="J76633"/>
    </row>
    <row r="76634" spans="10:10" x14ac:dyDescent="0.3">
      <c r="J76634"/>
    </row>
    <row r="76635" spans="10:10" x14ac:dyDescent="0.3">
      <c r="J76635"/>
    </row>
    <row r="76636" spans="10:10" x14ac:dyDescent="0.3">
      <c r="J76636"/>
    </row>
    <row r="76637" spans="10:10" x14ac:dyDescent="0.3">
      <c r="J76637"/>
    </row>
    <row r="76638" spans="10:10" x14ac:dyDescent="0.3">
      <c r="J76638"/>
    </row>
    <row r="76639" spans="10:10" x14ac:dyDescent="0.3">
      <c r="J76639"/>
    </row>
    <row r="76640" spans="10:10" x14ac:dyDescent="0.3">
      <c r="J76640"/>
    </row>
    <row r="76641" spans="10:10" x14ac:dyDescent="0.3">
      <c r="J76641"/>
    </row>
    <row r="76642" spans="10:10" x14ac:dyDescent="0.3">
      <c r="J76642"/>
    </row>
    <row r="76643" spans="10:10" x14ac:dyDescent="0.3">
      <c r="J76643"/>
    </row>
    <row r="76644" spans="10:10" x14ac:dyDescent="0.3">
      <c r="J76644"/>
    </row>
    <row r="76645" spans="10:10" x14ac:dyDescent="0.3">
      <c r="J76645"/>
    </row>
    <row r="76646" spans="10:10" x14ac:dyDescent="0.3">
      <c r="J76646"/>
    </row>
    <row r="76647" spans="10:10" x14ac:dyDescent="0.3">
      <c r="J76647"/>
    </row>
    <row r="76648" spans="10:10" x14ac:dyDescent="0.3">
      <c r="J76648"/>
    </row>
    <row r="76649" spans="10:10" x14ac:dyDescent="0.3">
      <c r="J76649"/>
    </row>
    <row r="76650" spans="10:10" x14ac:dyDescent="0.3">
      <c r="J76650"/>
    </row>
    <row r="76651" spans="10:10" x14ac:dyDescent="0.3">
      <c r="J76651"/>
    </row>
    <row r="76652" spans="10:10" x14ac:dyDescent="0.3">
      <c r="J76652"/>
    </row>
    <row r="76653" spans="10:10" x14ac:dyDescent="0.3">
      <c r="J76653"/>
    </row>
    <row r="76654" spans="10:10" x14ac:dyDescent="0.3">
      <c r="J76654"/>
    </row>
    <row r="76655" spans="10:10" x14ac:dyDescent="0.3">
      <c r="J76655"/>
    </row>
    <row r="76656" spans="10:10" x14ac:dyDescent="0.3">
      <c r="J76656"/>
    </row>
    <row r="76657" spans="10:10" x14ac:dyDescent="0.3">
      <c r="J76657"/>
    </row>
    <row r="76658" spans="10:10" x14ac:dyDescent="0.3">
      <c r="J76658"/>
    </row>
    <row r="76659" spans="10:10" x14ac:dyDescent="0.3">
      <c r="J76659"/>
    </row>
    <row r="76660" spans="10:10" x14ac:dyDescent="0.3">
      <c r="J76660"/>
    </row>
    <row r="76661" spans="10:10" x14ac:dyDescent="0.3">
      <c r="J76661"/>
    </row>
    <row r="76662" spans="10:10" x14ac:dyDescent="0.3">
      <c r="J76662"/>
    </row>
    <row r="76663" spans="10:10" x14ac:dyDescent="0.3">
      <c r="J76663"/>
    </row>
    <row r="76664" spans="10:10" x14ac:dyDescent="0.3">
      <c r="J76664"/>
    </row>
    <row r="76665" spans="10:10" x14ac:dyDescent="0.3">
      <c r="J76665"/>
    </row>
    <row r="76666" spans="10:10" x14ac:dyDescent="0.3">
      <c r="J76666"/>
    </row>
    <row r="76667" spans="10:10" x14ac:dyDescent="0.3">
      <c r="J76667"/>
    </row>
    <row r="76668" spans="10:10" x14ac:dyDescent="0.3">
      <c r="J76668"/>
    </row>
    <row r="76669" spans="10:10" x14ac:dyDescent="0.3">
      <c r="J76669"/>
    </row>
    <row r="76670" spans="10:10" x14ac:dyDescent="0.3">
      <c r="J76670"/>
    </row>
    <row r="76671" spans="10:10" x14ac:dyDescent="0.3">
      <c r="J76671"/>
    </row>
    <row r="76672" spans="10:10" x14ac:dyDescent="0.3">
      <c r="J76672"/>
    </row>
    <row r="76673" spans="10:10" x14ac:dyDescent="0.3">
      <c r="J76673"/>
    </row>
    <row r="76674" spans="10:10" x14ac:dyDescent="0.3">
      <c r="J76674"/>
    </row>
    <row r="76675" spans="10:10" x14ac:dyDescent="0.3">
      <c r="J76675"/>
    </row>
    <row r="76676" spans="10:10" x14ac:dyDescent="0.3">
      <c r="J76676"/>
    </row>
    <row r="76677" spans="10:10" x14ac:dyDescent="0.3">
      <c r="J76677"/>
    </row>
    <row r="76678" spans="10:10" x14ac:dyDescent="0.3">
      <c r="J76678"/>
    </row>
    <row r="76679" spans="10:10" x14ac:dyDescent="0.3">
      <c r="J76679"/>
    </row>
    <row r="76680" spans="10:10" x14ac:dyDescent="0.3">
      <c r="J76680"/>
    </row>
    <row r="76681" spans="10:10" x14ac:dyDescent="0.3">
      <c r="J76681"/>
    </row>
    <row r="76682" spans="10:10" x14ac:dyDescent="0.3">
      <c r="J76682"/>
    </row>
    <row r="76683" spans="10:10" x14ac:dyDescent="0.3">
      <c r="J76683"/>
    </row>
    <row r="76684" spans="10:10" x14ac:dyDescent="0.3">
      <c r="J76684"/>
    </row>
    <row r="76685" spans="10:10" x14ac:dyDescent="0.3">
      <c r="J76685"/>
    </row>
    <row r="76686" spans="10:10" x14ac:dyDescent="0.3">
      <c r="J76686"/>
    </row>
    <row r="76687" spans="10:10" x14ac:dyDescent="0.3">
      <c r="J76687"/>
    </row>
    <row r="76688" spans="10:10" x14ac:dyDescent="0.3">
      <c r="J76688"/>
    </row>
    <row r="76689" spans="10:10" x14ac:dyDescent="0.3">
      <c r="J76689"/>
    </row>
    <row r="76690" spans="10:10" x14ac:dyDescent="0.3">
      <c r="J76690"/>
    </row>
    <row r="76691" spans="10:10" x14ac:dyDescent="0.3">
      <c r="J76691"/>
    </row>
    <row r="76692" spans="10:10" x14ac:dyDescent="0.3">
      <c r="J76692"/>
    </row>
    <row r="76693" spans="10:10" x14ac:dyDescent="0.3">
      <c r="J76693"/>
    </row>
    <row r="76694" spans="10:10" x14ac:dyDescent="0.3">
      <c r="J76694"/>
    </row>
    <row r="76695" spans="10:10" x14ac:dyDescent="0.3">
      <c r="J76695"/>
    </row>
    <row r="76696" spans="10:10" x14ac:dyDescent="0.3">
      <c r="J76696"/>
    </row>
    <row r="76697" spans="10:10" x14ac:dyDescent="0.3">
      <c r="J76697"/>
    </row>
    <row r="76698" spans="10:10" x14ac:dyDescent="0.3">
      <c r="J76698"/>
    </row>
    <row r="76699" spans="10:10" x14ac:dyDescent="0.3">
      <c r="J76699"/>
    </row>
    <row r="76700" spans="10:10" x14ac:dyDescent="0.3">
      <c r="J76700"/>
    </row>
    <row r="76701" spans="10:10" x14ac:dyDescent="0.3">
      <c r="J76701"/>
    </row>
    <row r="76702" spans="10:10" x14ac:dyDescent="0.3">
      <c r="J76702"/>
    </row>
    <row r="76703" spans="10:10" x14ac:dyDescent="0.3">
      <c r="J76703"/>
    </row>
    <row r="76704" spans="10:10" x14ac:dyDescent="0.3">
      <c r="J76704"/>
    </row>
    <row r="76705" spans="10:10" x14ac:dyDescent="0.3">
      <c r="J76705"/>
    </row>
    <row r="76706" spans="10:10" x14ac:dyDescent="0.3">
      <c r="J76706"/>
    </row>
    <row r="76707" spans="10:10" x14ac:dyDescent="0.3">
      <c r="J76707"/>
    </row>
    <row r="76708" spans="10:10" x14ac:dyDescent="0.3">
      <c r="J76708"/>
    </row>
    <row r="76709" spans="10:10" x14ac:dyDescent="0.3">
      <c r="J76709"/>
    </row>
    <row r="76710" spans="10:10" x14ac:dyDescent="0.3">
      <c r="J76710"/>
    </row>
    <row r="76711" spans="10:10" x14ac:dyDescent="0.3">
      <c r="J76711"/>
    </row>
    <row r="76712" spans="10:10" x14ac:dyDescent="0.3">
      <c r="J76712"/>
    </row>
    <row r="76713" spans="10:10" x14ac:dyDescent="0.3">
      <c r="J76713"/>
    </row>
    <row r="76714" spans="10:10" x14ac:dyDescent="0.3">
      <c r="J76714"/>
    </row>
    <row r="76715" spans="10:10" x14ac:dyDescent="0.3">
      <c r="J76715"/>
    </row>
    <row r="76716" spans="10:10" x14ac:dyDescent="0.3">
      <c r="J76716"/>
    </row>
    <row r="76717" spans="10:10" x14ac:dyDescent="0.3">
      <c r="J76717"/>
    </row>
    <row r="76718" spans="10:10" x14ac:dyDescent="0.3">
      <c r="J76718"/>
    </row>
    <row r="76719" spans="10:10" x14ac:dyDescent="0.3">
      <c r="J76719"/>
    </row>
    <row r="76720" spans="10:10" x14ac:dyDescent="0.3">
      <c r="J76720"/>
    </row>
    <row r="76721" spans="10:10" x14ac:dyDescent="0.3">
      <c r="J76721"/>
    </row>
    <row r="76722" spans="10:10" x14ac:dyDescent="0.3">
      <c r="J76722"/>
    </row>
    <row r="76723" spans="10:10" x14ac:dyDescent="0.3">
      <c r="J76723"/>
    </row>
    <row r="76724" spans="10:10" x14ac:dyDescent="0.3">
      <c r="J76724"/>
    </row>
    <row r="76725" spans="10:10" x14ac:dyDescent="0.3">
      <c r="J76725"/>
    </row>
    <row r="76726" spans="10:10" x14ac:dyDescent="0.3">
      <c r="J76726"/>
    </row>
    <row r="76727" spans="10:10" x14ac:dyDescent="0.3">
      <c r="J76727"/>
    </row>
    <row r="76728" spans="10:10" x14ac:dyDescent="0.3">
      <c r="J76728"/>
    </row>
    <row r="76729" spans="10:10" x14ac:dyDescent="0.3">
      <c r="J76729"/>
    </row>
    <row r="76730" spans="10:10" x14ac:dyDescent="0.3">
      <c r="J76730"/>
    </row>
    <row r="76731" spans="10:10" x14ac:dyDescent="0.3">
      <c r="J76731"/>
    </row>
    <row r="76732" spans="10:10" x14ac:dyDescent="0.3">
      <c r="J76732"/>
    </row>
    <row r="76733" spans="10:10" x14ac:dyDescent="0.3">
      <c r="J76733"/>
    </row>
    <row r="76734" spans="10:10" x14ac:dyDescent="0.3">
      <c r="J76734"/>
    </row>
    <row r="76735" spans="10:10" x14ac:dyDescent="0.3">
      <c r="J76735"/>
    </row>
    <row r="76736" spans="10:10" x14ac:dyDescent="0.3">
      <c r="J76736"/>
    </row>
    <row r="76737" spans="10:10" x14ac:dyDescent="0.3">
      <c r="J76737"/>
    </row>
    <row r="76738" spans="10:10" x14ac:dyDescent="0.3">
      <c r="J76738"/>
    </row>
    <row r="76739" spans="10:10" x14ac:dyDescent="0.3">
      <c r="J76739"/>
    </row>
    <row r="76740" spans="10:10" x14ac:dyDescent="0.3">
      <c r="J76740"/>
    </row>
    <row r="76741" spans="10:10" x14ac:dyDescent="0.3">
      <c r="J76741"/>
    </row>
    <row r="76742" spans="10:10" x14ac:dyDescent="0.3">
      <c r="J76742"/>
    </row>
    <row r="76743" spans="10:10" x14ac:dyDescent="0.3">
      <c r="J76743"/>
    </row>
    <row r="76744" spans="10:10" x14ac:dyDescent="0.3">
      <c r="J76744"/>
    </row>
    <row r="76745" spans="10:10" x14ac:dyDescent="0.3">
      <c r="J76745"/>
    </row>
    <row r="76746" spans="10:10" x14ac:dyDescent="0.3">
      <c r="J76746"/>
    </row>
    <row r="76747" spans="10:10" x14ac:dyDescent="0.3">
      <c r="J76747"/>
    </row>
    <row r="76748" spans="10:10" x14ac:dyDescent="0.3">
      <c r="J76748"/>
    </row>
    <row r="76749" spans="10:10" x14ac:dyDescent="0.3">
      <c r="J76749"/>
    </row>
    <row r="76750" spans="10:10" x14ac:dyDescent="0.3">
      <c r="J76750"/>
    </row>
    <row r="76751" spans="10:10" x14ac:dyDescent="0.3">
      <c r="J76751"/>
    </row>
    <row r="76752" spans="10:10" x14ac:dyDescent="0.3">
      <c r="J76752"/>
    </row>
    <row r="76753" spans="10:10" x14ac:dyDescent="0.3">
      <c r="J76753"/>
    </row>
    <row r="76754" spans="10:10" x14ac:dyDescent="0.3">
      <c r="J76754"/>
    </row>
    <row r="76755" spans="10:10" x14ac:dyDescent="0.3">
      <c r="J76755"/>
    </row>
    <row r="76756" spans="10:10" x14ac:dyDescent="0.3">
      <c r="J76756"/>
    </row>
    <row r="76757" spans="10:10" x14ac:dyDescent="0.3">
      <c r="J76757"/>
    </row>
    <row r="76758" spans="10:10" x14ac:dyDescent="0.3">
      <c r="J76758"/>
    </row>
    <row r="76759" spans="10:10" x14ac:dyDescent="0.3">
      <c r="J76759"/>
    </row>
    <row r="76760" spans="10:10" x14ac:dyDescent="0.3">
      <c r="J76760"/>
    </row>
    <row r="76761" spans="10:10" x14ac:dyDescent="0.3">
      <c r="J76761"/>
    </row>
    <row r="76762" spans="10:10" x14ac:dyDescent="0.3">
      <c r="J76762"/>
    </row>
    <row r="76763" spans="10:10" x14ac:dyDescent="0.3">
      <c r="J76763"/>
    </row>
    <row r="76764" spans="10:10" x14ac:dyDescent="0.3">
      <c r="J76764"/>
    </row>
    <row r="76765" spans="10:10" x14ac:dyDescent="0.3">
      <c r="J76765"/>
    </row>
    <row r="76766" spans="10:10" x14ac:dyDescent="0.3">
      <c r="J76766"/>
    </row>
    <row r="76767" spans="10:10" x14ac:dyDescent="0.3">
      <c r="J76767"/>
    </row>
    <row r="76768" spans="10:10" x14ac:dyDescent="0.3">
      <c r="J76768"/>
    </row>
    <row r="76769" spans="10:10" x14ac:dyDescent="0.3">
      <c r="J76769"/>
    </row>
    <row r="76770" spans="10:10" x14ac:dyDescent="0.3">
      <c r="J76770"/>
    </row>
    <row r="76771" spans="10:10" x14ac:dyDescent="0.3">
      <c r="J76771"/>
    </row>
    <row r="76772" spans="10:10" x14ac:dyDescent="0.3">
      <c r="J76772"/>
    </row>
    <row r="76773" spans="10:10" x14ac:dyDescent="0.3">
      <c r="J76773"/>
    </row>
    <row r="76774" spans="10:10" x14ac:dyDescent="0.3">
      <c r="J76774"/>
    </row>
    <row r="76775" spans="10:10" x14ac:dyDescent="0.3">
      <c r="J76775"/>
    </row>
    <row r="76776" spans="10:10" x14ac:dyDescent="0.3">
      <c r="J76776"/>
    </row>
    <row r="76777" spans="10:10" x14ac:dyDescent="0.3">
      <c r="J76777"/>
    </row>
    <row r="76778" spans="10:10" x14ac:dyDescent="0.3">
      <c r="J76778"/>
    </row>
    <row r="76779" spans="10:10" x14ac:dyDescent="0.3">
      <c r="J76779"/>
    </row>
    <row r="76780" spans="10:10" x14ac:dyDescent="0.3">
      <c r="J76780"/>
    </row>
    <row r="76781" spans="10:10" x14ac:dyDescent="0.3">
      <c r="J76781"/>
    </row>
    <row r="76782" spans="10:10" x14ac:dyDescent="0.3">
      <c r="J76782"/>
    </row>
    <row r="76783" spans="10:10" x14ac:dyDescent="0.3">
      <c r="J76783"/>
    </row>
    <row r="76784" spans="10:10" x14ac:dyDescent="0.3">
      <c r="J76784"/>
    </row>
    <row r="76785" spans="10:10" x14ac:dyDescent="0.3">
      <c r="J76785"/>
    </row>
    <row r="76786" spans="10:10" x14ac:dyDescent="0.3">
      <c r="J76786"/>
    </row>
    <row r="76787" spans="10:10" x14ac:dyDescent="0.3">
      <c r="J76787"/>
    </row>
    <row r="76788" spans="10:10" x14ac:dyDescent="0.3">
      <c r="J76788"/>
    </row>
    <row r="76789" spans="10:10" x14ac:dyDescent="0.3">
      <c r="J76789"/>
    </row>
    <row r="76790" spans="10:10" x14ac:dyDescent="0.3">
      <c r="J76790"/>
    </row>
    <row r="76791" spans="10:10" x14ac:dyDescent="0.3">
      <c r="J76791"/>
    </row>
    <row r="76792" spans="10:10" x14ac:dyDescent="0.3">
      <c r="J76792"/>
    </row>
    <row r="76793" spans="10:10" x14ac:dyDescent="0.3">
      <c r="J76793"/>
    </row>
    <row r="76794" spans="10:10" x14ac:dyDescent="0.3">
      <c r="J76794"/>
    </row>
    <row r="76795" spans="10:10" x14ac:dyDescent="0.3">
      <c r="J76795"/>
    </row>
    <row r="76796" spans="10:10" x14ac:dyDescent="0.3">
      <c r="J76796"/>
    </row>
    <row r="76797" spans="10:10" x14ac:dyDescent="0.3">
      <c r="J76797"/>
    </row>
    <row r="76798" spans="10:10" x14ac:dyDescent="0.3">
      <c r="J76798"/>
    </row>
    <row r="76799" spans="10:10" x14ac:dyDescent="0.3">
      <c r="J76799"/>
    </row>
    <row r="76800" spans="10:10" x14ac:dyDescent="0.3">
      <c r="J76800"/>
    </row>
    <row r="76801" spans="10:10" x14ac:dyDescent="0.3">
      <c r="J76801"/>
    </row>
    <row r="76802" spans="10:10" x14ac:dyDescent="0.3">
      <c r="J76802"/>
    </row>
    <row r="76803" spans="10:10" x14ac:dyDescent="0.3">
      <c r="J76803"/>
    </row>
    <row r="76804" spans="10:10" x14ac:dyDescent="0.3">
      <c r="J76804"/>
    </row>
    <row r="76805" spans="10:10" x14ac:dyDescent="0.3">
      <c r="J76805"/>
    </row>
    <row r="76806" spans="10:10" x14ac:dyDescent="0.3">
      <c r="J76806"/>
    </row>
    <row r="76807" spans="10:10" x14ac:dyDescent="0.3">
      <c r="J76807"/>
    </row>
    <row r="76808" spans="10:10" x14ac:dyDescent="0.3">
      <c r="J76808"/>
    </row>
    <row r="76809" spans="10:10" x14ac:dyDescent="0.3">
      <c r="J76809"/>
    </row>
    <row r="76810" spans="10:10" x14ac:dyDescent="0.3">
      <c r="J76810"/>
    </row>
    <row r="76811" spans="10:10" x14ac:dyDescent="0.3">
      <c r="J76811"/>
    </row>
    <row r="76812" spans="10:10" x14ac:dyDescent="0.3">
      <c r="J76812"/>
    </row>
    <row r="76813" spans="10:10" x14ac:dyDescent="0.3">
      <c r="J76813"/>
    </row>
    <row r="76814" spans="10:10" x14ac:dyDescent="0.3">
      <c r="J76814"/>
    </row>
    <row r="76815" spans="10:10" x14ac:dyDescent="0.3">
      <c r="J76815"/>
    </row>
    <row r="76816" spans="10:10" x14ac:dyDescent="0.3">
      <c r="J76816"/>
    </row>
    <row r="76817" spans="10:10" x14ac:dyDescent="0.3">
      <c r="J76817"/>
    </row>
    <row r="76818" spans="10:10" x14ac:dyDescent="0.3">
      <c r="J76818"/>
    </row>
    <row r="76819" spans="10:10" x14ac:dyDescent="0.3">
      <c r="J76819"/>
    </row>
    <row r="76820" spans="10:10" x14ac:dyDescent="0.3">
      <c r="J76820"/>
    </row>
    <row r="76821" spans="10:10" x14ac:dyDescent="0.3">
      <c r="J76821"/>
    </row>
    <row r="76822" spans="10:10" x14ac:dyDescent="0.3">
      <c r="J76822"/>
    </row>
    <row r="76823" spans="10:10" x14ac:dyDescent="0.3">
      <c r="J76823"/>
    </row>
    <row r="76824" spans="10:10" x14ac:dyDescent="0.3">
      <c r="J76824"/>
    </row>
    <row r="76825" spans="10:10" x14ac:dyDescent="0.3">
      <c r="J76825"/>
    </row>
    <row r="76826" spans="10:10" x14ac:dyDescent="0.3">
      <c r="J76826"/>
    </row>
    <row r="76827" spans="10:10" x14ac:dyDescent="0.3">
      <c r="J76827"/>
    </row>
    <row r="76828" spans="10:10" x14ac:dyDescent="0.3">
      <c r="J76828"/>
    </row>
    <row r="76829" spans="10:10" x14ac:dyDescent="0.3">
      <c r="J76829"/>
    </row>
    <row r="76830" spans="10:10" x14ac:dyDescent="0.3">
      <c r="J76830"/>
    </row>
    <row r="76831" spans="10:10" x14ac:dyDescent="0.3">
      <c r="J76831"/>
    </row>
    <row r="76832" spans="10:10" x14ac:dyDescent="0.3">
      <c r="J76832"/>
    </row>
    <row r="76833" spans="10:10" x14ac:dyDescent="0.3">
      <c r="J76833"/>
    </row>
    <row r="76834" spans="10:10" x14ac:dyDescent="0.3">
      <c r="J76834"/>
    </row>
    <row r="76835" spans="10:10" x14ac:dyDescent="0.3">
      <c r="J76835"/>
    </row>
    <row r="76836" spans="10:10" x14ac:dyDescent="0.3">
      <c r="J76836"/>
    </row>
    <row r="76837" spans="10:10" x14ac:dyDescent="0.3">
      <c r="J76837"/>
    </row>
    <row r="76838" spans="10:10" x14ac:dyDescent="0.3">
      <c r="J76838"/>
    </row>
    <row r="76839" spans="10:10" x14ac:dyDescent="0.3">
      <c r="J76839"/>
    </row>
    <row r="76840" spans="10:10" x14ac:dyDescent="0.3">
      <c r="J76840"/>
    </row>
    <row r="76841" spans="10:10" x14ac:dyDescent="0.3">
      <c r="J76841"/>
    </row>
    <row r="76842" spans="10:10" x14ac:dyDescent="0.3">
      <c r="J76842"/>
    </row>
    <row r="76843" spans="10:10" x14ac:dyDescent="0.3">
      <c r="J76843"/>
    </row>
    <row r="76844" spans="10:10" x14ac:dyDescent="0.3">
      <c r="J76844"/>
    </row>
    <row r="76845" spans="10:10" x14ac:dyDescent="0.3">
      <c r="J76845"/>
    </row>
    <row r="76846" spans="10:10" x14ac:dyDescent="0.3">
      <c r="J76846"/>
    </row>
    <row r="76847" spans="10:10" x14ac:dyDescent="0.3">
      <c r="J76847"/>
    </row>
    <row r="76848" spans="10:10" x14ac:dyDescent="0.3">
      <c r="J76848"/>
    </row>
    <row r="76849" spans="10:10" x14ac:dyDescent="0.3">
      <c r="J76849"/>
    </row>
    <row r="76850" spans="10:10" x14ac:dyDescent="0.3">
      <c r="J76850"/>
    </row>
    <row r="76851" spans="10:10" x14ac:dyDescent="0.3">
      <c r="J76851"/>
    </row>
    <row r="76852" spans="10:10" x14ac:dyDescent="0.3">
      <c r="J76852"/>
    </row>
    <row r="76853" spans="10:10" x14ac:dyDescent="0.3">
      <c r="J76853"/>
    </row>
    <row r="76854" spans="10:10" x14ac:dyDescent="0.3">
      <c r="J76854"/>
    </row>
    <row r="76855" spans="10:10" x14ac:dyDescent="0.3">
      <c r="J76855"/>
    </row>
    <row r="76856" spans="10:10" x14ac:dyDescent="0.3">
      <c r="J76856"/>
    </row>
    <row r="76857" spans="10:10" x14ac:dyDescent="0.3">
      <c r="J76857"/>
    </row>
    <row r="76858" spans="10:10" x14ac:dyDescent="0.3">
      <c r="J76858"/>
    </row>
    <row r="76859" spans="10:10" x14ac:dyDescent="0.3">
      <c r="J76859"/>
    </row>
    <row r="76860" spans="10:10" x14ac:dyDescent="0.3">
      <c r="J76860"/>
    </row>
    <row r="76861" spans="10:10" x14ac:dyDescent="0.3">
      <c r="J76861"/>
    </row>
    <row r="76862" spans="10:10" x14ac:dyDescent="0.3">
      <c r="J76862"/>
    </row>
    <row r="76863" spans="10:10" x14ac:dyDescent="0.3">
      <c r="J76863"/>
    </row>
    <row r="76864" spans="10:10" x14ac:dyDescent="0.3">
      <c r="J76864"/>
    </row>
    <row r="76865" spans="10:10" x14ac:dyDescent="0.3">
      <c r="J76865"/>
    </row>
    <row r="76866" spans="10:10" x14ac:dyDescent="0.3">
      <c r="J76866"/>
    </row>
    <row r="76867" spans="10:10" x14ac:dyDescent="0.3">
      <c r="J76867"/>
    </row>
    <row r="76868" spans="10:10" x14ac:dyDescent="0.3">
      <c r="J76868"/>
    </row>
    <row r="76869" spans="10:10" x14ac:dyDescent="0.3">
      <c r="J76869"/>
    </row>
    <row r="76870" spans="10:10" x14ac:dyDescent="0.3">
      <c r="J76870"/>
    </row>
    <row r="76871" spans="10:10" x14ac:dyDescent="0.3">
      <c r="J76871"/>
    </row>
    <row r="76872" spans="10:10" x14ac:dyDescent="0.3">
      <c r="J76872"/>
    </row>
    <row r="76873" spans="10:10" x14ac:dyDescent="0.3">
      <c r="J76873"/>
    </row>
    <row r="76874" spans="10:10" x14ac:dyDescent="0.3">
      <c r="J76874"/>
    </row>
    <row r="76875" spans="10:10" x14ac:dyDescent="0.3">
      <c r="J76875"/>
    </row>
    <row r="76876" spans="10:10" x14ac:dyDescent="0.3">
      <c r="J76876"/>
    </row>
    <row r="76877" spans="10:10" x14ac:dyDescent="0.3">
      <c r="J76877"/>
    </row>
    <row r="76878" spans="10:10" x14ac:dyDescent="0.3">
      <c r="J76878"/>
    </row>
    <row r="76879" spans="10:10" x14ac:dyDescent="0.3">
      <c r="J76879"/>
    </row>
    <row r="76880" spans="10:10" x14ac:dyDescent="0.3">
      <c r="J76880"/>
    </row>
    <row r="76881" spans="10:10" x14ac:dyDescent="0.3">
      <c r="J76881"/>
    </row>
    <row r="76882" spans="10:10" x14ac:dyDescent="0.3">
      <c r="J76882"/>
    </row>
    <row r="76883" spans="10:10" x14ac:dyDescent="0.3">
      <c r="J76883"/>
    </row>
    <row r="76884" spans="10:10" x14ac:dyDescent="0.3">
      <c r="J76884"/>
    </row>
    <row r="76885" spans="10:10" x14ac:dyDescent="0.3">
      <c r="J76885"/>
    </row>
    <row r="76886" spans="10:10" x14ac:dyDescent="0.3">
      <c r="J76886"/>
    </row>
    <row r="76887" spans="10:10" x14ac:dyDescent="0.3">
      <c r="J76887"/>
    </row>
    <row r="76888" spans="10:10" x14ac:dyDescent="0.3">
      <c r="J76888"/>
    </row>
    <row r="76889" spans="10:10" x14ac:dyDescent="0.3">
      <c r="J76889"/>
    </row>
    <row r="76890" spans="10:10" x14ac:dyDescent="0.3">
      <c r="J76890"/>
    </row>
    <row r="76891" spans="10:10" x14ac:dyDescent="0.3">
      <c r="J76891"/>
    </row>
    <row r="76892" spans="10:10" x14ac:dyDescent="0.3">
      <c r="J76892"/>
    </row>
    <row r="76893" spans="10:10" x14ac:dyDescent="0.3">
      <c r="J76893"/>
    </row>
    <row r="76894" spans="10:10" x14ac:dyDescent="0.3">
      <c r="J76894"/>
    </row>
    <row r="76895" spans="10:10" x14ac:dyDescent="0.3">
      <c r="J76895"/>
    </row>
    <row r="76896" spans="10:10" x14ac:dyDescent="0.3">
      <c r="J76896"/>
    </row>
    <row r="76897" spans="10:10" x14ac:dyDescent="0.3">
      <c r="J76897"/>
    </row>
    <row r="76898" spans="10:10" x14ac:dyDescent="0.3">
      <c r="J76898"/>
    </row>
    <row r="76899" spans="10:10" x14ac:dyDescent="0.3">
      <c r="J76899"/>
    </row>
    <row r="76900" spans="10:10" x14ac:dyDescent="0.3">
      <c r="J76900"/>
    </row>
    <row r="76901" spans="10:10" x14ac:dyDescent="0.3">
      <c r="J76901"/>
    </row>
    <row r="76902" spans="10:10" x14ac:dyDescent="0.3">
      <c r="J76902"/>
    </row>
    <row r="76903" spans="10:10" x14ac:dyDescent="0.3">
      <c r="J76903"/>
    </row>
    <row r="76904" spans="10:10" x14ac:dyDescent="0.3">
      <c r="J76904"/>
    </row>
    <row r="76905" spans="10:10" x14ac:dyDescent="0.3">
      <c r="J76905"/>
    </row>
    <row r="76906" spans="10:10" x14ac:dyDescent="0.3">
      <c r="J76906"/>
    </row>
    <row r="76907" spans="10:10" x14ac:dyDescent="0.3">
      <c r="J76907"/>
    </row>
    <row r="76908" spans="10:10" x14ac:dyDescent="0.3">
      <c r="J76908"/>
    </row>
    <row r="76909" spans="10:10" x14ac:dyDescent="0.3">
      <c r="J76909"/>
    </row>
    <row r="76910" spans="10:10" x14ac:dyDescent="0.3">
      <c r="J76910"/>
    </row>
    <row r="76911" spans="10:10" x14ac:dyDescent="0.3">
      <c r="J76911"/>
    </row>
    <row r="76912" spans="10:10" x14ac:dyDescent="0.3">
      <c r="J76912"/>
    </row>
    <row r="76913" spans="10:10" x14ac:dyDescent="0.3">
      <c r="J76913"/>
    </row>
    <row r="76914" spans="10:10" x14ac:dyDescent="0.3">
      <c r="J76914"/>
    </row>
    <row r="76915" spans="10:10" x14ac:dyDescent="0.3">
      <c r="J76915"/>
    </row>
    <row r="76916" spans="10:10" x14ac:dyDescent="0.3">
      <c r="J76916"/>
    </row>
    <row r="76917" spans="10:10" x14ac:dyDescent="0.3">
      <c r="J76917"/>
    </row>
    <row r="76918" spans="10:10" x14ac:dyDescent="0.3">
      <c r="J76918"/>
    </row>
    <row r="76919" spans="10:10" x14ac:dyDescent="0.3">
      <c r="J76919"/>
    </row>
    <row r="76920" spans="10:10" x14ac:dyDescent="0.3">
      <c r="J76920"/>
    </row>
    <row r="76921" spans="10:10" x14ac:dyDescent="0.3">
      <c r="J76921"/>
    </row>
    <row r="76922" spans="10:10" x14ac:dyDescent="0.3">
      <c r="J76922"/>
    </row>
    <row r="76923" spans="10:10" x14ac:dyDescent="0.3">
      <c r="J76923"/>
    </row>
    <row r="76924" spans="10:10" x14ac:dyDescent="0.3">
      <c r="J76924"/>
    </row>
    <row r="76925" spans="10:10" x14ac:dyDescent="0.3">
      <c r="J76925"/>
    </row>
    <row r="76926" spans="10:10" x14ac:dyDescent="0.3">
      <c r="J76926"/>
    </row>
    <row r="76927" spans="10:10" x14ac:dyDescent="0.3">
      <c r="J76927"/>
    </row>
    <row r="76928" spans="10:10" x14ac:dyDescent="0.3">
      <c r="J76928"/>
    </row>
    <row r="76929" spans="10:10" x14ac:dyDescent="0.3">
      <c r="J76929"/>
    </row>
    <row r="76930" spans="10:10" x14ac:dyDescent="0.3">
      <c r="J76930"/>
    </row>
    <row r="76931" spans="10:10" x14ac:dyDescent="0.3">
      <c r="J76931"/>
    </row>
    <row r="76932" spans="10:10" x14ac:dyDescent="0.3">
      <c r="J76932"/>
    </row>
    <row r="76933" spans="10:10" x14ac:dyDescent="0.3">
      <c r="J76933"/>
    </row>
    <row r="76934" spans="10:10" x14ac:dyDescent="0.3">
      <c r="J76934"/>
    </row>
    <row r="76935" spans="10:10" x14ac:dyDescent="0.3">
      <c r="J76935"/>
    </row>
    <row r="76936" spans="10:10" x14ac:dyDescent="0.3">
      <c r="J76936"/>
    </row>
    <row r="76937" spans="10:10" x14ac:dyDescent="0.3">
      <c r="J76937"/>
    </row>
    <row r="76938" spans="10:10" x14ac:dyDescent="0.3">
      <c r="J76938"/>
    </row>
    <row r="76939" spans="10:10" x14ac:dyDescent="0.3">
      <c r="J76939"/>
    </row>
    <row r="76940" spans="10:10" x14ac:dyDescent="0.3">
      <c r="J76940"/>
    </row>
    <row r="76941" spans="10:10" x14ac:dyDescent="0.3">
      <c r="J76941"/>
    </row>
    <row r="76942" spans="10:10" x14ac:dyDescent="0.3">
      <c r="J76942"/>
    </row>
    <row r="76943" spans="10:10" x14ac:dyDescent="0.3">
      <c r="J76943"/>
    </row>
    <row r="76944" spans="10:10" x14ac:dyDescent="0.3">
      <c r="J76944"/>
    </row>
    <row r="76945" spans="10:10" x14ac:dyDescent="0.3">
      <c r="J76945"/>
    </row>
    <row r="76946" spans="10:10" x14ac:dyDescent="0.3">
      <c r="J76946"/>
    </row>
    <row r="76947" spans="10:10" x14ac:dyDescent="0.3">
      <c r="J76947"/>
    </row>
    <row r="76948" spans="10:10" x14ac:dyDescent="0.3">
      <c r="J76948"/>
    </row>
    <row r="76949" spans="10:10" x14ac:dyDescent="0.3">
      <c r="J76949"/>
    </row>
    <row r="76950" spans="10:10" x14ac:dyDescent="0.3">
      <c r="J76950"/>
    </row>
    <row r="76951" spans="10:10" x14ac:dyDescent="0.3">
      <c r="J76951"/>
    </row>
    <row r="76952" spans="10:10" x14ac:dyDescent="0.3">
      <c r="J76952"/>
    </row>
    <row r="76953" spans="10:10" x14ac:dyDescent="0.3">
      <c r="J76953"/>
    </row>
    <row r="76954" spans="10:10" x14ac:dyDescent="0.3">
      <c r="J76954"/>
    </row>
    <row r="76955" spans="10:10" x14ac:dyDescent="0.3">
      <c r="J76955"/>
    </row>
    <row r="76956" spans="10:10" x14ac:dyDescent="0.3">
      <c r="J76956"/>
    </row>
    <row r="76957" spans="10:10" x14ac:dyDescent="0.3">
      <c r="J76957"/>
    </row>
    <row r="76958" spans="10:10" x14ac:dyDescent="0.3">
      <c r="J76958"/>
    </row>
    <row r="76959" spans="10:10" x14ac:dyDescent="0.3">
      <c r="J76959"/>
    </row>
    <row r="76960" spans="10:10" x14ac:dyDescent="0.3">
      <c r="J76960"/>
    </row>
    <row r="76961" spans="10:10" x14ac:dyDescent="0.3">
      <c r="J76961"/>
    </row>
    <row r="76962" spans="10:10" x14ac:dyDescent="0.3">
      <c r="J76962"/>
    </row>
    <row r="76963" spans="10:10" x14ac:dyDescent="0.3">
      <c r="J76963"/>
    </row>
    <row r="76964" spans="10:10" x14ac:dyDescent="0.3">
      <c r="J76964"/>
    </row>
    <row r="76965" spans="10:10" x14ac:dyDescent="0.3">
      <c r="J76965"/>
    </row>
    <row r="76966" spans="10:10" x14ac:dyDescent="0.3">
      <c r="J76966"/>
    </row>
    <row r="76967" spans="10:10" x14ac:dyDescent="0.3">
      <c r="J76967"/>
    </row>
    <row r="76968" spans="10:10" x14ac:dyDescent="0.3">
      <c r="J76968"/>
    </row>
    <row r="76969" spans="10:10" x14ac:dyDescent="0.3">
      <c r="J76969"/>
    </row>
    <row r="76970" spans="10:10" x14ac:dyDescent="0.3">
      <c r="J76970"/>
    </row>
    <row r="76971" spans="10:10" x14ac:dyDescent="0.3">
      <c r="J76971"/>
    </row>
    <row r="76972" spans="10:10" x14ac:dyDescent="0.3">
      <c r="J76972"/>
    </row>
    <row r="76973" spans="10:10" x14ac:dyDescent="0.3">
      <c r="J76973"/>
    </row>
    <row r="76974" spans="10:10" x14ac:dyDescent="0.3">
      <c r="J76974"/>
    </row>
    <row r="76975" spans="10:10" x14ac:dyDescent="0.3">
      <c r="J76975"/>
    </row>
    <row r="76976" spans="10:10" x14ac:dyDescent="0.3">
      <c r="J76976"/>
    </row>
    <row r="76977" spans="10:10" x14ac:dyDescent="0.3">
      <c r="J76977"/>
    </row>
    <row r="76978" spans="10:10" x14ac:dyDescent="0.3">
      <c r="J76978"/>
    </row>
    <row r="76979" spans="10:10" x14ac:dyDescent="0.3">
      <c r="J76979"/>
    </row>
    <row r="76980" spans="10:10" x14ac:dyDescent="0.3">
      <c r="J76980"/>
    </row>
    <row r="76981" spans="10:10" x14ac:dyDescent="0.3">
      <c r="J76981"/>
    </row>
    <row r="76982" spans="10:10" x14ac:dyDescent="0.3">
      <c r="J76982"/>
    </row>
    <row r="76983" spans="10:10" x14ac:dyDescent="0.3">
      <c r="J76983"/>
    </row>
    <row r="76984" spans="10:10" x14ac:dyDescent="0.3">
      <c r="J76984"/>
    </row>
    <row r="76985" spans="10:10" x14ac:dyDescent="0.3">
      <c r="J76985"/>
    </row>
    <row r="76986" spans="10:10" x14ac:dyDescent="0.3">
      <c r="J76986"/>
    </row>
    <row r="76987" spans="10:10" x14ac:dyDescent="0.3">
      <c r="J76987"/>
    </row>
    <row r="76988" spans="10:10" x14ac:dyDescent="0.3">
      <c r="J76988"/>
    </row>
    <row r="76989" spans="10:10" x14ac:dyDescent="0.3">
      <c r="J76989"/>
    </row>
    <row r="76990" spans="10:10" x14ac:dyDescent="0.3">
      <c r="J76990"/>
    </row>
    <row r="76991" spans="10:10" x14ac:dyDescent="0.3">
      <c r="J76991"/>
    </row>
    <row r="76992" spans="10:10" x14ac:dyDescent="0.3">
      <c r="J76992"/>
    </row>
    <row r="76993" spans="10:10" x14ac:dyDescent="0.3">
      <c r="J76993"/>
    </row>
    <row r="76994" spans="10:10" x14ac:dyDescent="0.3">
      <c r="J76994"/>
    </row>
    <row r="76995" spans="10:10" x14ac:dyDescent="0.3">
      <c r="J76995"/>
    </row>
    <row r="76996" spans="10:10" x14ac:dyDescent="0.3">
      <c r="J76996"/>
    </row>
    <row r="76997" spans="10:10" x14ac:dyDescent="0.3">
      <c r="J76997"/>
    </row>
    <row r="76998" spans="10:10" x14ac:dyDescent="0.3">
      <c r="J76998"/>
    </row>
    <row r="76999" spans="10:10" x14ac:dyDescent="0.3">
      <c r="J76999"/>
    </row>
    <row r="77000" spans="10:10" x14ac:dyDescent="0.3">
      <c r="J77000"/>
    </row>
    <row r="77001" spans="10:10" x14ac:dyDescent="0.3">
      <c r="J77001"/>
    </row>
    <row r="77002" spans="10:10" x14ac:dyDescent="0.3">
      <c r="J77002"/>
    </row>
    <row r="77003" spans="10:10" x14ac:dyDescent="0.3">
      <c r="J77003"/>
    </row>
    <row r="77004" spans="10:10" x14ac:dyDescent="0.3">
      <c r="J77004"/>
    </row>
    <row r="77005" spans="10:10" x14ac:dyDescent="0.3">
      <c r="J77005"/>
    </row>
    <row r="77006" spans="10:10" x14ac:dyDescent="0.3">
      <c r="J77006"/>
    </row>
    <row r="77007" spans="10:10" x14ac:dyDescent="0.3">
      <c r="J77007"/>
    </row>
    <row r="77008" spans="10:10" x14ac:dyDescent="0.3">
      <c r="J77008"/>
    </row>
    <row r="77009" spans="10:10" x14ac:dyDescent="0.3">
      <c r="J77009"/>
    </row>
    <row r="77010" spans="10:10" x14ac:dyDescent="0.3">
      <c r="J77010"/>
    </row>
    <row r="77011" spans="10:10" x14ac:dyDescent="0.3">
      <c r="J77011"/>
    </row>
    <row r="77012" spans="10:10" x14ac:dyDescent="0.3">
      <c r="J77012"/>
    </row>
    <row r="77013" spans="10:10" x14ac:dyDescent="0.3">
      <c r="J77013"/>
    </row>
    <row r="77014" spans="10:10" x14ac:dyDescent="0.3">
      <c r="J77014"/>
    </row>
    <row r="77015" spans="10:10" x14ac:dyDescent="0.3">
      <c r="J77015"/>
    </row>
    <row r="77016" spans="10:10" x14ac:dyDescent="0.3">
      <c r="J77016"/>
    </row>
    <row r="77017" spans="10:10" x14ac:dyDescent="0.3">
      <c r="J77017"/>
    </row>
    <row r="77018" spans="10:10" x14ac:dyDescent="0.3">
      <c r="J77018"/>
    </row>
    <row r="77019" spans="10:10" x14ac:dyDescent="0.3">
      <c r="J77019"/>
    </row>
    <row r="77020" spans="10:10" x14ac:dyDescent="0.3">
      <c r="J77020"/>
    </row>
    <row r="77021" spans="10:10" x14ac:dyDescent="0.3">
      <c r="J77021"/>
    </row>
    <row r="77022" spans="10:10" x14ac:dyDescent="0.3">
      <c r="J77022"/>
    </row>
    <row r="77023" spans="10:10" x14ac:dyDescent="0.3">
      <c r="J77023"/>
    </row>
    <row r="77024" spans="10:10" x14ac:dyDescent="0.3">
      <c r="J77024"/>
    </row>
    <row r="77025" spans="10:10" x14ac:dyDescent="0.3">
      <c r="J77025"/>
    </row>
    <row r="77026" spans="10:10" x14ac:dyDescent="0.3">
      <c r="J77026"/>
    </row>
    <row r="77027" spans="10:10" x14ac:dyDescent="0.3">
      <c r="J77027"/>
    </row>
    <row r="77028" spans="10:10" x14ac:dyDescent="0.3">
      <c r="J77028"/>
    </row>
    <row r="77029" spans="10:10" x14ac:dyDescent="0.3">
      <c r="J77029"/>
    </row>
    <row r="77030" spans="10:10" x14ac:dyDescent="0.3">
      <c r="J77030"/>
    </row>
    <row r="77031" spans="10:10" x14ac:dyDescent="0.3">
      <c r="J77031"/>
    </row>
    <row r="77032" spans="10:10" x14ac:dyDescent="0.3">
      <c r="J77032"/>
    </row>
    <row r="77033" spans="10:10" x14ac:dyDescent="0.3">
      <c r="J77033"/>
    </row>
    <row r="77034" spans="10:10" x14ac:dyDescent="0.3">
      <c r="J77034"/>
    </row>
    <row r="77035" spans="10:10" x14ac:dyDescent="0.3">
      <c r="J77035"/>
    </row>
    <row r="77036" spans="10:10" x14ac:dyDescent="0.3">
      <c r="J77036"/>
    </row>
    <row r="77037" spans="10:10" x14ac:dyDescent="0.3">
      <c r="J77037"/>
    </row>
    <row r="77038" spans="10:10" x14ac:dyDescent="0.3">
      <c r="J77038"/>
    </row>
    <row r="77039" spans="10:10" x14ac:dyDescent="0.3">
      <c r="J77039"/>
    </row>
    <row r="77040" spans="10:10" x14ac:dyDescent="0.3">
      <c r="J77040"/>
    </row>
    <row r="77041" spans="10:10" x14ac:dyDescent="0.3">
      <c r="J77041"/>
    </row>
    <row r="77042" spans="10:10" x14ac:dyDescent="0.3">
      <c r="J77042"/>
    </row>
    <row r="77043" spans="10:10" x14ac:dyDescent="0.3">
      <c r="J77043"/>
    </row>
    <row r="77044" spans="10:10" x14ac:dyDescent="0.3">
      <c r="J77044"/>
    </row>
    <row r="77045" spans="10:10" x14ac:dyDescent="0.3">
      <c r="J77045"/>
    </row>
    <row r="77046" spans="10:10" x14ac:dyDescent="0.3">
      <c r="J77046"/>
    </row>
    <row r="77047" spans="10:10" x14ac:dyDescent="0.3">
      <c r="J77047"/>
    </row>
    <row r="77048" spans="10:10" x14ac:dyDescent="0.3">
      <c r="J77048"/>
    </row>
    <row r="77049" spans="10:10" x14ac:dyDescent="0.3">
      <c r="J77049"/>
    </row>
    <row r="77050" spans="10:10" x14ac:dyDescent="0.3">
      <c r="J77050"/>
    </row>
    <row r="77051" spans="10:10" x14ac:dyDescent="0.3">
      <c r="J77051"/>
    </row>
    <row r="77052" spans="10:10" x14ac:dyDescent="0.3">
      <c r="J77052"/>
    </row>
    <row r="77053" spans="10:10" x14ac:dyDescent="0.3">
      <c r="J77053"/>
    </row>
    <row r="77054" spans="10:10" x14ac:dyDescent="0.3">
      <c r="J77054"/>
    </row>
    <row r="77055" spans="10:10" x14ac:dyDescent="0.3">
      <c r="J77055"/>
    </row>
    <row r="77056" spans="10:10" x14ac:dyDescent="0.3">
      <c r="J77056"/>
    </row>
    <row r="77057" spans="10:10" x14ac:dyDescent="0.3">
      <c r="J77057"/>
    </row>
    <row r="77058" spans="10:10" x14ac:dyDescent="0.3">
      <c r="J77058"/>
    </row>
    <row r="77059" spans="10:10" x14ac:dyDescent="0.3">
      <c r="J77059"/>
    </row>
    <row r="77060" spans="10:10" x14ac:dyDescent="0.3">
      <c r="J77060"/>
    </row>
    <row r="77061" spans="10:10" x14ac:dyDescent="0.3">
      <c r="J77061"/>
    </row>
    <row r="77062" spans="10:10" x14ac:dyDescent="0.3">
      <c r="J77062"/>
    </row>
    <row r="77063" spans="10:10" x14ac:dyDescent="0.3">
      <c r="J77063"/>
    </row>
    <row r="77064" spans="10:10" x14ac:dyDescent="0.3">
      <c r="J77064"/>
    </row>
    <row r="77065" spans="10:10" x14ac:dyDescent="0.3">
      <c r="J77065"/>
    </row>
    <row r="77066" spans="10:10" x14ac:dyDescent="0.3">
      <c r="J77066"/>
    </row>
    <row r="77067" spans="10:10" x14ac:dyDescent="0.3">
      <c r="J77067"/>
    </row>
    <row r="77068" spans="10:10" x14ac:dyDescent="0.3">
      <c r="J77068"/>
    </row>
    <row r="77069" spans="10:10" x14ac:dyDescent="0.3">
      <c r="J77069"/>
    </row>
    <row r="77070" spans="10:10" x14ac:dyDescent="0.3">
      <c r="J77070"/>
    </row>
    <row r="77071" spans="10:10" x14ac:dyDescent="0.3">
      <c r="J77071"/>
    </row>
    <row r="77072" spans="10:10" x14ac:dyDescent="0.3">
      <c r="J77072"/>
    </row>
    <row r="77073" spans="10:10" x14ac:dyDescent="0.3">
      <c r="J77073"/>
    </row>
    <row r="77074" spans="10:10" x14ac:dyDescent="0.3">
      <c r="J77074"/>
    </row>
    <row r="77075" spans="10:10" x14ac:dyDescent="0.3">
      <c r="J77075"/>
    </row>
    <row r="77076" spans="10:10" x14ac:dyDescent="0.3">
      <c r="J77076"/>
    </row>
    <row r="77077" spans="10:10" x14ac:dyDescent="0.3">
      <c r="J77077"/>
    </row>
    <row r="77078" spans="10:10" x14ac:dyDescent="0.3">
      <c r="J77078"/>
    </row>
    <row r="77079" spans="10:10" x14ac:dyDescent="0.3">
      <c r="J77079"/>
    </row>
    <row r="77080" spans="10:10" x14ac:dyDescent="0.3">
      <c r="J77080"/>
    </row>
    <row r="77081" spans="10:10" x14ac:dyDescent="0.3">
      <c r="J77081"/>
    </row>
    <row r="77082" spans="10:10" x14ac:dyDescent="0.3">
      <c r="J77082"/>
    </row>
    <row r="77083" spans="10:10" x14ac:dyDescent="0.3">
      <c r="J77083"/>
    </row>
    <row r="77084" spans="10:10" x14ac:dyDescent="0.3">
      <c r="J77084"/>
    </row>
    <row r="77085" spans="10:10" x14ac:dyDescent="0.3">
      <c r="J77085"/>
    </row>
    <row r="77086" spans="10:10" x14ac:dyDescent="0.3">
      <c r="J77086"/>
    </row>
    <row r="77087" spans="10:10" x14ac:dyDescent="0.3">
      <c r="J77087"/>
    </row>
    <row r="77088" spans="10:10" x14ac:dyDescent="0.3">
      <c r="J77088"/>
    </row>
    <row r="77089" spans="10:10" x14ac:dyDescent="0.3">
      <c r="J77089"/>
    </row>
    <row r="77090" spans="10:10" x14ac:dyDescent="0.3">
      <c r="J77090"/>
    </row>
    <row r="77091" spans="10:10" x14ac:dyDescent="0.3">
      <c r="J77091"/>
    </row>
    <row r="77092" spans="10:10" x14ac:dyDescent="0.3">
      <c r="J77092"/>
    </row>
    <row r="77093" spans="10:10" x14ac:dyDescent="0.3">
      <c r="J77093"/>
    </row>
    <row r="77094" spans="10:10" x14ac:dyDescent="0.3">
      <c r="J77094"/>
    </row>
    <row r="77095" spans="10:10" x14ac:dyDescent="0.3">
      <c r="J77095"/>
    </row>
    <row r="77096" spans="10:10" x14ac:dyDescent="0.3">
      <c r="J77096"/>
    </row>
    <row r="77097" spans="10:10" x14ac:dyDescent="0.3">
      <c r="J77097"/>
    </row>
    <row r="77098" spans="10:10" x14ac:dyDescent="0.3">
      <c r="J77098"/>
    </row>
    <row r="77099" spans="10:10" x14ac:dyDescent="0.3">
      <c r="J77099"/>
    </row>
    <row r="77100" spans="10:10" x14ac:dyDescent="0.3">
      <c r="J77100"/>
    </row>
    <row r="77101" spans="10:10" x14ac:dyDescent="0.3">
      <c r="J77101"/>
    </row>
    <row r="77102" spans="10:10" x14ac:dyDescent="0.3">
      <c r="J77102"/>
    </row>
    <row r="77103" spans="10:10" x14ac:dyDescent="0.3">
      <c r="J77103"/>
    </row>
    <row r="77104" spans="10:10" x14ac:dyDescent="0.3">
      <c r="J77104"/>
    </row>
    <row r="77105" spans="10:10" x14ac:dyDescent="0.3">
      <c r="J77105"/>
    </row>
    <row r="77106" spans="10:10" x14ac:dyDescent="0.3">
      <c r="J77106"/>
    </row>
    <row r="77107" spans="10:10" x14ac:dyDescent="0.3">
      <c r="J77107"/>
    </row>
    <row r="77108" spans="10:10" x14ac:dyDescent="0.3">
      <c r="J77108"/>
    </row>
    <row r="77109" spans="10:10" x14ac:dyDescent="0.3">
      <c r="J77109"/>
    </row>
    <row r="77110" spans="10:10" x14ac:dyDescent="0.3">
      <c r="J77110"/>
    </row>
    <row r="77111" spans="10:10" x14ac:dyDescent="0.3">
      <c r="J77111"/>
    </row>
    <row r="77112" spans="10:10" x14ac:dyDescent="0.3">
      <c r="J77112"/>
    </row>
    <row r="77113" spans="10:10" x14ac:dyDescent="0.3">
      <c r="J77113"/>
    </row>
    <row r="77114" spans="10:10" x14ac:dyDescent="0.3">
      <c r="J77114"/>
    </row>
    <row r="77115" spans="10:10" x14ac:dyDescent="0.3">
      <c r="J77115"/>
    </row>
    <row r="77116" spans="10:10" x14ac:dyDescent="0.3">
      <c r="J77116"/>
    </row>
    <row r="77117" spans="10:10" x14ac:dyDescent="0.3">
      <c r="J77117"/>
    </row>
    <row r="77118" spans="10:10" x14ac:dyDescent="0.3">
      <c r="J77118"/>
    </row>
    <row r="77119" spans="10:10" x14ac:dyDescent="0.3">
      <c r="J77119"/>
    </row>
    <row r="77120" spans="10:10" x14ac:dyDescent="0.3">
      <c r="J77120"/>
    </row>
    <row r="77121" spans="10:10" x14ac:dyDescent="0.3">
      <c r="J77121"/>
    </row>
    <row r="77122" spans="10:10" x14ac:dyDescent="0.3">
      <c r="J77122"/>
    </row>
    <row r="77123" spans="10:10" x14ac:dyDescent="0.3">
      <c r="J77123"/>
    </row>
    <row r="77124" spans="10:10" x14ac:dyDescent="0.3">
      <c r="J77124"/>
    </row>
    <row r="77125" spans="10:10" x14ac:dyDescent="0.3">
      <c r="J77125"/>
    </row>
    <row r="77126" spans="10:10" x14ac:dyDescent="0.3">
      <c r="J77126"/>
    </row>
    <row r="77127" spans="10:10" x14ac:dyDescent="0.3">
      <c r="J77127"/>
    </row>
    <row r="77128" spans="10:10" x14ac:dyDescent="0.3">
      <c r="J77128"/>
    </row>
    <row r="77129" spans="10:10" x14ac:dyDescent="0.3">
      <c r="J77129"/>
    </row>
    <row r="77130" spans="10:10" x14ac:dyDescent="0.3">
      <c r="J77130"/>
    </row>
    <row r="77131" spans="10:10" x14ac:dyDescent="0.3">
      <c r="J77131"/>
    </row>
    <row r="77132" spans="10:10" x14ac:dyDescent="0.3">
      <c r="J77132"/>
    </row>
    <row r="77133" spans="10:10" x14ac:dyDescent="0.3">
      <c r="J77133"/>
    </row>
    <row r="77134" spans="10:10" x14ac:dyDescent="0.3">
      <c r="J77134"/>
    </row>
    <row r="77135" spans="10:10" x14ac:dyDescent="0.3">
      <c r="J77135"/>
    </row>
    <row r="77136" spans="10:10" x14ac:dyDescent="0.3">
      <c r="J77136"/>
    </row>
    <row r="77137" spans="10:10" x14ac:dyDescent="0.3">
      <c r="J77137"/>
    </row>
    <row r="77138" spans="10:10" x14ac:dyDescent="0.3">
      <c r="J77138"/>
    </row>
    <row r="77139" spans="10:10" x14ac:dyDescent="0.3">
      <c r="J77139"/>
    </row>
    <row r="77140" spans="10:10" x14ac:dyDescent="0.3">
      <c r="J77140"/>
    </row>
    <row r="77141" spans="10:10" x14ac:dyDescent="0.3">
      <c r="J77141"/>
    </row>
    <row r="77142" spans="10:10" x14ac:dyDescent="0.3">
      <c r="J77142"/>
    </row>
    <row r="77143" spans="10:10" x14ac:dyDescent="0.3">
      <c r="J77143"/>
    </row>
    <row r="77144" spans="10:10" x14ac:dyDescent="0.3">
      <c r="J77144"/>
    </row>
    <row r="77145" spans="10:10" x14ac:dyDescent="0.3">
      <c r="J77145"/>
    </row>
    <row r="77146" spans="10:10" x14ac:dyDescent="0.3">
      <c r="J77146"/>
    </row>
    <row r="77147" spans="10:10" x14ac:dyDescent="0.3">
      <c r="J77147"/>
    </row>
    <row r="77148" spans="10:10" x14ac:dyDescent="0.3">
      <c r="J77148"/>
    </row>
    <row r="77149" spans="10:10" x14ac:dyDescent="0.3">
      <c r="J77149"/>
    </row>
    <row r="77150" spans="10:10" x14ac:dyDescent="0.3">
      <c r="J77150"/>
    </row>
    <row r="77151" spans="10:10" x14ac:dyDescent="0.3">
      <c r="J77151"/>
    </row>
    <row r="77152" spans="10:10" x14ac:dyDescent="0.3">
      <c r="J77152"/>
    </row>
    <row r="77153" spans="10:10" x14ac:dyDescent="0.3">
      <c r="J77153"/>
    </row>
    <row r="77154" spans="10:10" x14ac:dyDescent="0.3">
      <c r="J77154"/>
    </row>
    <row r="77155" spans="10:10" x14ac:dyDescent="0.3">
      <c r="J77155"/>
    </row>
    <row r="77156" spans="10:10" x14ac:dyDescent="0.3">
      <c r="J77156"/>
    </row>
    <row r="77157" spans="10:10" x14ac:dyDescent="0.3">
      <c r="J77157"/>
    </row>
    <row r="77158" spans="10:10" x14ac:dyDescent="0.3">
      <c r="J77158"/>
    </row>
    <row r="77159" spans="10:10" x14ac:dyDescent="0.3">
      <c r="J77159"/>
    </row>
    <row r="77160" spans="10:10" x14ac:dyDescent="0.3">
      <c r="J77160"/>
    </row>
    <row r="77161" spans="10:10" x14ac:dyDescent="0.3">
      <c r="J77161"/>
    </row>
    <row r="77162" spans="10:10" x14ac:dyDescent="0.3">
      <c r="J77162"/>
    </row>
    <row r="77163" spans="10:10" x14ac:dyDescent="0.3">
      <c r="J77163"/>
    </row>
    <row r="77164" spans="10:10" x14ac:dyDescent="0.3">
      <c r="J77164"/>
    </row>
    <row r="77165" spans="10:10" x14ac:dyDescent="0.3">
      <c r="J77165"/>
    </row>
    <row r="77166" spans="10:10" x14ac:dyDescent="0.3">
      <c r="J77166"/>
    </row>
    <row r="77167" spans="10:10" x14ac:dyDescent="0.3">
      <c r="J77167"/>
    </row>
    <row r="77168" spans="10:10" x14ac:dyDescent="0.3">
      <c r="J77168"/>
    </row>
    <row r="77169" spans="10:10" x14ac:dyDescent="0.3">
      <c r="J77169"/>
    </row>
    <row r="77170" spans="10:10" x14ac:dyDescent="0.3">
      <c r="J77170"/>
    </row>
    <row r="77171" spans="10:10" x14ac:dyDescent="0.3">
      <c r="J77171"/>
    </row>
    <row r="77172" spans="10:10" x14ac:dyDescent="0.3">
      <c r="J77172"/>
    </row>
    <row r="77173" spans="10:10" x14ac:dyDescent="0.3">
      <c r="J77173"/>
    </row>
    <row r="77174" spans="10:10" x14ac:dyDescent="0.3">
      <c r="J77174"/>
    </row>
    <row r="77175" spans="10:10" x14ac:dyDescent="0.3">
      <c r="J77175"/>
    </row>
    <row r="77176" spans="10:10" x14ac:dyDescent="0.3">
      <c r="J77176"/>
    </row>
    <row r="77177" spans="10:10" x14ac:dyDescent="0.3">
      <c r="J77177"/>
    </row>
    <row r="77178" spans="10:10" x14ac:dyDescent="0.3">
      <c r="J77178"/>
    </row>
    <row r="77179" spans="10:10" x14ac:dyDescent="0.3">
      <c r="J77179"/>
    </row>
    <row r="77180" spans="10:10" x14ac:dyDescent="0.3">
      <c r="J77180"/>
    </row>
    <row r="77181" spans="10:10" x14ac:dyDescent="0.3">
      <c r="J77181"/>
    </row>
    <row r="77182" spans="10:10" x14ac:dyDescent="0.3">
      <c r="J77182"/>
    </row>
    <row r="77183" spans="10:10" x14ac:dyDescent="0.3">
      <c r="J77183"/>
    </row>
    <row r="77184" spans="10:10" x14ac:dyDescent="0.3">
      <c r="J77184"/>
    </row>
    <row r="77185" spans="10:10" x14ac:dyDescent="0.3">
      <c r="J77185"/>
    </row>
    <row r="77186" spans="10:10" x14ac:dyDescent="0.3">
      <c r="J77186"/>
    </row>
    <row r="77187" spans="10:10" x14ac:dyDescent="0.3">
      <c r="J77187"/>
    </row>
    <row r="77188" spans="10:10" x14ac:dyDescent="0.3">
      <c r="J77188"/>
    </row>
    <row r="77189" spans="10:10" x14ac:dyDescent="0.3">
      <c r="J77189"/>
    </row>
    <row r="77190" spans="10:10" x14ac:dyDescent="0.3">
      <c r="J77190"/>
    </row>
    <row r="77191" spans="10:10" x14ac:dyDescent="0.3">
      <c r="J77191"/>
    </row>
    <row r="77192" spans="10:10" x14ac:dyDescent="0.3">
      <c r="J77192"/>
    </row>
    <row r="77193" spans="10:10" x14ac:dyDescent="0.3">
      <c r="J77193"/>
    </row>
    <row r="77194" spans="10:10" x14ac:dyDescent="0.3">
      <c r="J77194"/>
    </row>
    <row r="77195" spans="10:10" x14ac:dyDescent="0.3">
      <c r="J77195"/>
    </row>
    <row r="77196" spans="10:10" x14ac:dyDescent="0.3">
      <c r="J77196"/>
    </row>
    <row r="77197" spans="10:10" x14ac:dyDescent="0.3">
      <c r="J77197"/>
    </row>
    <row r="77198" spans="10:10" x14ac:dyDescent="0.3">
      <c r="J77198"/>
    </row>
    <row r="77199" spans="10:10" x14ac:dyDescent="0.3">
      <c r="J77199"/>
    </row>
    <row r="77200" spans="10:10" x14ac:dyDescent="0.3">
      <c r="J77200"/>
    </row>
    <row r="77201" spans="10:10" x14ac:dyDescent="0.3">
      <c r="J77201"/>
    </row>
    <row r="77202" spans="10:10" x14ac:dyDescent="0.3">
      <c r="J77202"/>
    </row>
    <row r="77203" spans="10:10" x14ac:dyDescent="0.3">
      <c r="J77203"/>
    </row>
    <row r="77204" spans="10:10" x14ac:dyDescent="0.3">
      <c r="J77204"/>
    </row>
    <row r="77205" spans="10:10" x14ac:dyDescent="0.3">
      <c r="J77205"/>
    </row>
    <row r="77206" spans="10:10" x14ac:dyDescent="0.3">
      <c r="J77206"/>
    </row>
    <row r="77207" spans="10:10" x14ac:dyDescent="0.3">
      <c r="J77207"/>
    </row>
    <row r="77208" spans="10:10" x14ac:dyDescent="0.3">
      <c r="J77208"/>
    </row>
    <row r="77209" spans="10:10" x14ac:dyDescent="0.3">
      <c r="J77209"/>
    </row>
    <row r="77210" spans="10:10" x14ac:dyDescent="0.3">
      <c r="J77210"/>
    </row>
    <row r="77211" spans="10:10" x14ac:dyDescent="0.3">
      <c r="J77211"/>
    </row>
    <row r="77212" spans="10:10" x14ac:dyDescent="0.3">
      <c r="J77212"/>
    </row>
    <row r="77213" spans="10:10" x14ac:dyDescent="0.3">
      <c r="J77213"/>
    </row>
    <row r="77214" spans="10:10" x14ac:dyDescent="0.3">
      <c r="J77214"/>
    </row>
    <row r="77215" spans="10:10" x14ac:dyDescent="0.3">
      <c r="J77215"/>
    </row>
    <row r="77216" spans="10:10" x14ac:dyDescent="0.3">
      <c r="J77216"/>
    </row>
    <row r="77217" spans="10:10" x14ac:dyDescent="0.3">
      <c r="J77217"/>
    </row>
    <row r="77218" spans="10:10" x14ac:dyDescent="0.3">
      <c r="J77218"/>
    </row>
    <row r="77219" spans="10:10" x14ac:dyDescent="0.3">
      <c r="J77219"/>
    </row>
    <row r="77220" spans="10:10" x14ac:dyDescent="0.3">
      <c r="J77220"/>
    </row>
    <row r="77221" spans="10:10" x14ac:dyDescent="0.3">
      <c r="J77221"/>
    </row>
    <row r="77222" spans="10:10" x14ac:dyDescent="0.3">
      <c r="J77222"/>
    </row>
    <row r="77223" spans="10:10" x14ac:dyDescent="0.3">
      <c r="J77223"/>
    </row>
    <row r="77224" spans="10:10" x14ac:dyDescent="0.3">
      <c r="J77224"/>
    </row>
    <row r="77225" spans="10:10" x14ac:dyDescent="0.3">
      <c r="J77225"/>
    </row>
    <row r="77226" spans="10:10" x14ac:dyDescent="0.3">
      <c r="J77226"/>
    </row>
    <row r="77227" spans="10:10" x14ac:dyDescent="0.3">
      <c r="J77227"/>
    </row>
    <row r="77228" spans="10:10" x14ac:dyDescent="0.3">
      <c r="J77228"/>
    </row>
    <row r="77229" spans="10:10" x14ac:dyDescent="0.3">
      <c r="J77229"/>
    </row>
    <row r="77230" spans="10:10" x14ac:dyDescent="0.3">
      <c r="J77230"/>
    </row>
    <row r="77231" spans="10:10" x14ac:dyDescent="0.3">
      <c r="J77231"/>
    </row>
    <row r="77232" spans="10:10" x14ac:dyDescent="0.3">
      <c r="J77232"/>
    </row>
    <row r="77233" spans="10:10" x14ac:dyDescent="0.3">
      <c r="J77233"/>
    </row>
    <row r="77234" spans="10:10" x14ac:dyDescent="0.3">
      <c r="J77234"/>
    </row>
    <row r="77235" spans="10:10" x14ac:dyDescent="0.3">
      <c r="J77235"/>
    </row>
    <row r="77236" spans="10:10" x14ac:dyDescent="0.3">
      <c r="J77236"/>
    </row>
    <row r="77237" spans="10:10" x14ac:dyDescent="0.3">
      <c r="J77237"/>
    </row>
    <row r="77238" spans="10:10" x14ac:dyDescent="0.3">
      <c r="J77238"/>
    </row>
    <row r="77239" spans="10:10" x14ac:dyDescent="0.3">
      <c r="J77239"/>
    </row>
    <row r="77240" spans="10:10" x14ac:dyDescent="0.3">
      <c r="J77240"/>
    </row>
    <row r="77241" spans="10:10" x14ac:dyDescent="0.3">
      <c r="J77241"/>
    </row>
    <row r="77242" spans="10:10" x14ac:dyDescent="0.3">
      <c r="J77242"/>
    </row>
    <row r="77243" spans="10:10" x14ac:dyDescent="0.3">
      <c r="J77243"/>
    </row>
    <row r="77244" spans="10:10" x14ac:dyDescent="0.3">
      <c r="J77244"/>
    </row>
    <row r="77245" spans="10:10" x14ac:dyDescent="0.3">
      <c r="J77245"/>
    </row>
    <row r="77246" spans="10:10" x14ac:dyDescent="0.3">
      <c r="J77246"/>
    </row>
    <row r="77247" spans="10:10" x14ac:dyDescent="0.3">
      <c r="J77247"/>
    </row>
    <row r="77248" spans="10:10" x14ac:dyDescent="0.3">
      <c r="J77248"/>
    </row>
    <row r="77249" spans="10:10" x14ac:dyDescent="0.3">
      <c r="J77249"/>
    </row>
    <row r="77250" spans="10:10" x14ac:dyDescent="0.3">
      <c r="J77250"/>
    </row>
    <row r="77251" spans="10:10" x14ac:dyDescent="0.3">
      <c r="J77251"/>
    </row>
    <row r="77252" spans="10:10" x14ac:dyDescent="0.3">
      <c r="J77252"/>
    </row>
    <row r="77253" spans="10:10" x14ac:dyDescent="0.3">
      <c r="J77253"/>
    </row>
    <row r="77254" spans="10:10" x14ac:dyDescent="0.3">
      <c r="J77254"/>
    </row>
    <row r="77255" spans="10:10" x14ac:dyDescent="0.3">
      <c r="J77255"/>
    </row>
    <row r="77256" spans="10:10" x14ac:dyDescent="0.3">
      <c r="J77256"/>
    </row>
    <row r="77257" spans="10:10" x14ac:dyDescent="0.3">
      <c r="J77257"/>
    </row>
    <row r="77258" spans="10:10" x14ac:dyDescent="0.3">
      <c r="J77258"/>
    </row>
    <row r="77259" spans="10:10" x14ac:dyDescent="0.3">
      <c r="J77259"/>
    </row>
    <row r="77260" spans="10:10" x14ac:dyDescent="0.3">
      <c r="J77260"/>
    </row>
    <row r="77261" spans="10:10" x14ac:dyDescent="0.3">
      <c r="J77261"/>
    </row>
    <row r="77262" spans="10:10" x14ac:dyDescent="0.3">
      <c r="J77262"/>
    </row>
    <row r="77263" spans="10:10" x14ac:dyDescent="0.3">
      <c r="J77263"/>
    </row>
    <row r="77264" spans="10:10" x14ac:dyDescent="0.3">
      <c r="J77264"/>
    </row>
    <row r="77265" spans="10:10" x14ac:dyDescent="0.3">
      <c r="J77265"/>
    </row>
    <row r="77266" spans="10:10" x14ac:dyDescent="0.3">
      <c r="J77266"/>
    </row>
    <row r="77267" spans="10:10" x14ac:dyDescent="0.3">
      <c r="J77267"/>
    </row>
    <row r="77268" spans="10:10" x14ac:dyDescent="0.3">
      <c r="J77268"/>
    </row>
    <row r="77269" spans="10:10" x14ac:dyDescent="0.3">
      <c r="J77269"/>
    </row>
    <row r="77270" spans="10:10" x14ac:dyDescent="0.3">
      <c r="J77270"/>
    </row>
    <row r="77271" spans="10:10" x14ac:dyDescent="0.3">
      <c r="J77271"/>
    </row>
    <row r="77272" spans="10:10" x14ac:dyDescent="0.3">
      <c r="J77272"/>
    </row>
    <row r="77273" spans="10:10" x14ac:dyDescent="0.3">
      <c r="J77273"/>
    </row>
    <row r="77274" spans="10:10" x14ac:dyDescent="0.3">
      <c r="J77274"/>
    </row>
    <row r="77275" spans="10:10" x14ac:dyDescent="0.3">
      <c r="J77275"/>
    </row>
    <row r="77276" spans="10:10" x14ac:dyDescent="0.3">
      <c r="J77276"/>
    </row>
    <row r="77277" spans="10:10" x14ac:dyDescent="0.3">
      <c r="J77277"/>
    </row>
    <row r="77278" spans="10:10" x14ac:dyDescent="0.3">
      <c r="J77278"/>
    </row>
    <row r="77279" spans="10:10" x14ac:dyDescent="0.3">
      <c r="J77279"/>
    </row>
    <row r="77280" spans="10:10" x14ac:dyDescent="0.3">
      <c r="J77280"/>
    </row>
    <row r="77281" spans="10:10" x14ac:dyDescent="0.3">
      <c r="J77281"/>
    </row>
    <row r="77282" spans="10:10" x14ac:dyDescent="0.3">
      <c r="J77282"/>
    </row>
    <row r="77283" spans="10:10" x14ac:dyDescent="0.3">
      <c r="J77283"/>
    </row>
    <row r="77284" spans="10:10" x14ac:dyDescent="0.3">
      <c r="J77284"/>
    </row>
    <row r="77285" spans="10:10" x14ac:dyDescent="0.3">
      <c r="J77285"/>
    </row>
    <row r="77286" spans="10:10" x14ac:dyDescent="0.3">
      <c r="J77286"/>
    </row>
    <row r="77287" spans="10:10" x14ac:dyDescent="0.3">
      <c r="J77287"/>
    </row>
    <row r="77288" spans="10:10" x14ac:dyDescent="0.3">
      <c r="J77288"/>
    </row>
    <row r="77289" spans="10:10" x14ac:dyDescent="0.3">
      <c r="J77289"/>
    </row>
    <row r="77290" spans="10:10" x14ac:dyDescent="0.3">
      <c r="J77290"/>
    </row>
    <row r="77291" spans="10:10" x14ac:dyDescent="0.3">
      <c r="J77291"/>
    </row>
    <row r="77292" spans="10:10" x14ac:dyDescent="0.3">
      <c r="J77292"/>
    </row>
    <row r="77293" spans="10:10" x14ac:dyDescent="0.3">
      <c r="J77293"/>
    </row>
    <row r="77294" spans="10:10" x14ac:dyDescent="0.3">
      <c r="J77294"/>
    </row>
    <row r="77295" spans="10:10" x14ac:dyDescent="0.3">
      <c r="J77295"/>
    </row>
    <row r="77296" spans="10:10" x14ac:dyDescent="0.3">
      <c r="J77296"/>
    </row>
    <row r="77297" spans="10:10" x14ac:dyDescent="0.3">
      <c r="J77297"/>
    </row>
    <row r="77298" spans="10:10" x14ac:dyDescent="0.3">
      <c r="J77298"/>
    </row>
    <row r="77299" spans="10:10" x14ac:dyDescent="0.3">
      <c r="J77299"/>
    </row>
    <row r="77300" spans="10:10" x14ac:dyDescent="0.3">
      <c r="J77300"/>
    </row>
    <row r="77301" spans="10:10" x14ac:dyDescent="0.3">
      <c r="J77301"/>
    </row>
    <row r="77302" spans="10:10" x14ac:dyDescent="0.3">
      <c r="J77302"/>
    </row>
    <row r="77303" spans="10:10" x14ac:dyDescent="0.3">
      <c r="J77303"/>
    </row>
    <row r="77304" spans="10:10" x14ac:dyDescent="0.3">
      <c r="J77304"/>
    </row>
    <row r="77305" spans="10:10" x14ac:dyDescent="0.3">
      <c r="J77305"/>
    </row>
    <row r="77306" spans="10:10" x14ac:dyDescent="0.3">
      <c r="J77306"/>
    </row>
    <row r="77307" spans="10:10" x14ac:dyDescent="0.3">
      <c r="J77307"/>
    </row>
    <row r="77308" spans="10:10" x14ac:dyDescent="0.3">
      <c r="J77308"/>
    </row>
    <row r="77309" spans="10:10" x14ac:dyDescent="0.3">
      <c r="J77309"/>
    </row>
    <row r="77310" spans="10:10" x14ac:dyDescent="0.3">
      <c r="J77310"/>
    </row>
    <row r="77311" spans="10:10" x14ac:dyDescent="0.3">
      <c r="J77311"/>
    </row>
    <row r="77312" spans="10:10" x14ac:dyDescent="0.3">
      <c r="J77312"/>
    </row>
    <row r="77313" spans="10:10" x14ac:dyDescent="0.3">
      <c r="J77313"/>
    </row>
    <row r="77314" spans="10:10" x14ac:dyDescent="0.3">
      <c r="J77314"/>
    </row>
    <row r="77315" spans="10:10" x14ac:dyDescent="0.3">
      <c r="J77315"/>
    </row>
    <row r="77316" spans="10:10" x14ac:dyDescent="0.3">
      <c r="J77316"/>
    </row>
    <row r="77317" spans="10:10" x14ac:dyDescent="0.3">
      <c r="J77317"/>
    </row>
    <row r="77318" spans="10:10" x14ac:dyDescent="0.3">
      <c r="J77318"/>
    </row>
    <row r="77319" spans="10:10" x14ac:dyDescent="0.3">
      <c r="J77319"/>
    </row>
    <row r="77320" spans="10:10" x14ac:dyDescent="0.3">
      <c r="J77320"/>
    </row>
    <row r="77321" spans="10:10" x14ac:dyDescent="0.3">
      <c r="J77321"/>
    </row>
    <row r="77322" spans="10:10" x14ac:dyDescent="0.3">
      <c r="J77322"/>
    </row>
    <row r="77323" spans="10:10" x14ac:dyDescent="0.3">
      <c r="J77323"/>
    </row>
    <row r="77324" spans="10:10" x14ac:dyDescent="0.3">
      <c r="J77324"/>
    </row>
    <row r="77325" spans="10:10" x14ac:dyDescent="0.3">
      <c r="J77325"/>
    </row>
    <row r="77326" spans="10:10" x14ac:dyDescent="0.3">
      <c r="J77326"/>
    </row>
    <row r="77327" spans="10:10" x14ac:dyDescent="0.3">
      <c r="J77327"/>
    </row>
    <row r="77328" spans="10:10" x14ac:dyDescent="0.3">
      <c r="J77328"/>
    </row>
    <row r="77329" spans="10:10" x14ac:dyDescent="0.3">
      <c r="J77329"/>
    </row>
    <row r="77330" spans="10:10" x14ac:dyDescent="0.3">
      <c r="J77330"/>
    </row>
    <row r="77331" spans="10:10" x14ac:dyDescent="0.3">
      <c r="J77331"/>
    </row>
    <row r="77332" spans="10:10" x14ac:dyDescent="0.3">
      <c r="J77332"/>
    </row>
    <row r="77333" spans="10:10" x14ac:dyDescent="0.3">
      <c r="J77333"/>
    </row>
    <row r="77334" spans="10:10" x14ac:dyDescent="0.3">
      <c r="J77334"/>
    </row>
    <row r="77335" spans="10:10" x14ac:dyDescent="0.3">
      <c r="J77335"/>
    </row>
    <row r="77336" spans="10:10" x14ac:dyDescent="0.3">
      <c r="J77336"/>
    </row>
    <row r="77337" spans="10:10" x14ac:dyDescent="0.3">
      <c r="J77337"/>
    </row>
    <row r="77338" spans="10:10" x14ac:dyDescent="0.3">
      <c r="J77338"/>
    </row>
    <row r="77339" spans="10:10" x14ac:dyDescent="0.3">
      <c r="J77339"/>
    </row>
    <row r="77340" spans="10:10" x14ac:dyDescent="0.3">
      <c r="J77340"/>
    </row>
    <row r="77341" spans="10:10" x14ac:dyDescent="0.3">
      <c r="J77341"/>
    </row>
    <row r="77342" spans="10:10" x14ac:dyDescent="0.3">
      <c r="J77342"/>
    </row>
    <row r="77343" spans="10:10" x14ac:dyDescent="0.3">
      <c r="J77343"/>
    </row>
    <row r="77344" spans="10:10" x14ac:dyDescent="0.3">
      <c r="J77344"/>
    </row>
    <row r="77345" spans="10:10" x14ac:dyDescent="0.3">
      <c r="J77345"/>
    </row>
    <row r="77346" spans="10:10" x14ac:dyDescent="0.3">
      <c r="J77346"/>
    </row>
    <row r="77347" spans="10:10" x14ac:dyDescent="0.3">
      <c r="J77347"/>
    </row>
    <row r="77348" spans="10:10" x14ac:dyDescent="0.3">
      <c r="J77348"/>
    </row>
    <row r="77349" spans="10:10" x14ac:dyDescent="0.3">
      <c r="J77349"/>
    </row>
    <row r="77350" spans="10:10" x14ac:dyDescent="0.3">
      <c r="J77350"/>
    </row>
    <row r="77351" spans="10:10" x14ac:dyDescent="0.3">
      <c r="J77351"/>
    </row>
    <row r="77352" spans="10:10" x14ac:dyDescent="0.3">
      <c r="J77352"/>
    </row>
    <row r="77353" spans="10:10" x14ac:dyDescent="0.3">
      <c r="J77353"/>
    </row>
    <row r="77354" spans="10:10" x14ac:dyDescent="0.3">
      <c r="J77354"/>
    </row>
    <row r="77355" spans="10:10" x14ac:dyDescent="0.3">
      <c r="J77355"/>
    </row>
    <row r="77356" spans="10:10" x14ac:dyDescent="0.3">
      <c r="J77356"/>
    </row>
    <row r="77357" spans="10:10" x14ac:dyDescent="0.3">
      <c r="J77357"/>
    </row>
    <row r="77358" spans="10:10" x14ac:dyDescent="0.3">
      <c r="J77358"/>
    </row>
    <row r="77359" spans="10:10" x14ac:dyDescent="0.3">
      <c r="J77359"/>
    </row>
    <row r="77360" spans="10:10" x14ac:dyDescent="0.3">
      <c r="J77360"/>
    </row>
    <row r="77361" spans="10:10" x14ac:dyDescent="0.3">
      <c r="J77361"/>
    </row>
    <row r="77362" spans="10:10" x14ac:dyDescent="0.3">
      <c r="J77362"/>
    </row>
    <row r="77363" spans="10:10" x14ac:dyDescent="0.3">
      <c r="J77363"/>
    </row>
    <row r="77364" spans="10:10" x14ac:dyDescent="0.3">
      <c r="J77364"/>
    </row>
    <row r="77365" spans="10:10" x14ac:dyDescent="0.3">
      <c r="J77365"/>
    </row>
    <row r="77366" spans="10:10" x14ac:dyDescent="0.3">
      <c r="J77366"/>
    </row>
    <row r="77367" spans="10:10" x14ac:dyDescent="0.3">
      <c r="J77367"/>
    </row>
    <row r="77368" spans="10:10" x14ac:dyDescent="0.3">
      <c r="J77368"/>
    </row>
    <row r="77369" spans="10:10" x14ac:dyDescent="0.3">
      <c r="J77369"/>
    </row>
    <row r="77370" spans="10:10" x14ac:dyDescent="0.3">
      <c r="J77370"/>
    </row>
    <row r="77371" spans="10:10" x14ac:dyDescent="0.3">
      <c r="J77371"/>
    </row>
    <row r="77372" spans="10:10" x14ac:dyDescent="0.3">
      <c r="J77372"/>
    </row>
    <row r="77373" spans="10:10" x14ac:dyDescent="0.3">
      <c r="J77373"/>
    </row>
    <row r="77374" spans="10:10" x14ac:dyDescent="0.3">
      <c r="J77374"/>
    </row>
    <row r="77375" spans="10:10" x14ac:dyDescent="0.3">
      <c r="J77375"/>
    </row>
    <row r="77376" spans="10:10" x14ac:dyDescent="0.3">
      <c r="J77376"/>
    </row>
    <row r="77377" spans="10:10" x14ac:dyDescent="0.3">
      <c r="J77377"/>
    </row>
    <row r="77378" spans="10:10" x14ac:dyDescent="0.3">
      <c r="J77378"/>
    </row>
    <row r="77379" spans="10:10" x14ac:dyDescent="0.3">
      <c r="J77379"/>
    </row>
    <row r="77380" spans="10:10" x14ac:dyDescent="0.3">
      <c r="J77380"/>
    </row>
    <row r="77381" spans="10:10" x14ac:dyDescent="0.3">
      <c r="J77381"/>
    </row>
    <row r="77382" spans="10:10" x14ac:dyDescent="0.3">
      <c r="J77382"/>
    </row>
    <row r="77383" spans="10:10" x14ac:dyDescent="0.3">
      <c r="J77383"/>
    </row>
    <row r="77384" spans="10:10" x14ac:dyDescent="0.3">
      <c r="J77384"/>
    </row>
    <row r="77385" spans="10:10" x14ac:dyDescent="0.3">
      <c r="J77385"/>
    </row>
    <row r="77386" spans="10:10" x14ac:dyDescent="0.3">
      <c r="J77386"/>
    </row>
    <row r="77387" spans="10:10" x14ac:dyDescent="0.3">
      <c r="J77387"/>
    </row>
    <row r="77388" spans="10:10" x14ac:dyDescent="0.3">
      <c r="J77388"/>
    </row>
    <row r="77389" spans="10:10" x14ac:dyDescent="0.3">
      <c r="J77389"/>
    </row>
    <row r="77390" spans="10:10" x14ac:dyDescent="0.3">
      <c r="J77390"/>
    </row>
    <row r="77391" spans="10:10" x14ac:dyDescent="0.3">
      <c r="J77391"/>
    </row>
    <row r="77392" spans="10:10" x14ac:dyDescent="0.3">
      <c r="J77392"/>
    </row>
    <row r="77393" spans="10:10" x14ac:dyDescent="0.3">
      <c r="J77393"/>
    </row>
    <row r="77394" spans="10:10" x14ac:dyDescent="0.3">
      <c r="J77394"/>
    </row>
    <row r="77395" spans="10:10" x14ac:dyDescent="0.3">
      <c r="J77395"/>
    </row>
    <row r="77396" spans="10:10" x14ac:dyDescent="0.3">
      <c r="J77396"/>
    </row>
    <row r="77397" spans="10:10" x14ac:dyDescent="0.3">
      <c r="J77397"/>
    </row>
    <row r="77398" spans="10:10" x14ac:dyDescent="0.3">
      <c r="J77398"/>
    </row>
    <row r="77399" spans="10:10" x14ac:dyDescent="0.3">
      <c r="J77399"/>
    </row>
    <row r="77400" spans="10:10" x14ac:dyDescent="0.3">
      <c r="J77400"/>
    </row>
    <row r="77401" spans="10:10" x14ac:dyDescent="0.3">
      <c r="J77401"/>
    </row>
    <row r="77402" spans="10:10" x14ac:dyDescent="0.3">
      <c r="J77402"/>
    </row>
    <row r="77403" spans="10:10" x14ac:dyDescent="0.3">
      <c r="J77403"/>
    </row>
    <row r="77404" spans="10:10" x14ac:dyDescent="0.3">
      <c r="J77404"/>
    </row>
    <row r="77405" spans="10:10" x14ac:dyDescent="0.3">
      <c r="J77405"/>
    </row>
    <row r="77406" spans="10:10" x14ac:dyDescent="0.3">
      <c r="J77406"/>
    </row>
    <row r="77407" spans="10:10" x14ac:dyDescent="0.3">
      <c r="J77407"/>
    </row>
    <row r="77408" spans="10:10" x14ac:dyDescent="0.3">
      <c r="J77408"/>
    </row>
    <row r="77409" spans="10:10" x14ac:dyDescent="0.3">
      <c r="J77409"/>
    </row>
    <row r="77410" spans="10:10" x14ac:dyDescent="0.3">
      <c r="J77410"/>
    </row>
    <row r="77411" spans="10:10" x14ac:dyDescent="0.3">
      <c r="J77411"/>
    </row>
    <row r="77412" spans="10:10" x14ac:dyDescent="0.3">
      <c r="J77412"/>
    </row>
    <row r="77413" spans="10:10" x14ac:dyDescent="0.3">
      <c r="J77413"/>
    </row>
    <row r="77414" spans="10:10" x14ac:dyDescent="0.3">
      <c r="J77414"/>
    </row>
    <row r="77415" spans="10:10" x14ac:dyDescent="0.3">
      <c r="J77415"/>
    </row>
    <row r="77416" spans="10:10" x14ac:dyDescent="0.3">
      <c r="J77416"/>
    </row>
    <row r="77417" spans="10:10" x14ac:dyDescent="0.3">
      <c r="J77417"/>
    </row>
    <row r="77418" spans="10:10" x14ac:dyDescent="0.3">
      <c r="J77418"/>
    </row>
    <row r="77419" spans="10:10" x14ac:dyDescent="0.3">
      <c r="J77419"/>
    </row>
    <row r="77420" spans="10:10" x14ac:dyDescent="0.3">
      <c r="J77420"/>
    </row>
    <row r="77421" spans="10:10" x14ac:dyDescent="0.3">
      <c r="J77421"/>
    </row>
    <row r="77422" spans="10:10" x14ac:dyDescent="0.3">
      <c r="J77422"/>
    </row>
    <row r="77423" spans="10:10" x14ac:dyDescent="0.3">
      <c r="J77423"/>
    </row>
    <row r="77424" spans="10:10" x14ac:dyDescent="0.3">
      <c r="J77424"/>
    </row>
    <row r="77425" spans="10:10" x14ac:dyDescent="0.3">
      <c r="J77425"/>
    </row>
    <row r="77426" spans="10:10" x14ac:dyDescent="0.3">
      <c r="J77426"/>
    </row>
    <row r="77427" spans="10:10" x14ac:dyDescent="0.3">
      <c r="J77427"/>
    </row>
    <row r="77428" spans="10:10" x14ac:dyDescent="0.3">
      <c r="J77428"/>
    </row>
    <row r="77429" spans="10:10" x14ac:dyDescent="0.3">
      <c r="J77429"/>
    </row>
    <row r="77430" spans="10:10" x14ac:dyDescent="0.3">
      <c r="J77430"/>
    </row>
    <row r="77431" spans="10:10" x14ac:dyDescent="0.3">
      <c r="J77431"/>
    </row>
    <row r="77432" spans="10:10" x14ac:dyDescent="0.3">
      <c r="J77432"/>
    </row>
    <row r="77433" spans="10:10" x14ac:dyDescent="0.3">
      <c r="J77433"/>
    </row>
    <row r="77434" spans="10:10" x14ac:dyDescent="0.3">
      <c r="J77434"/>
    </row>
    <row r="77435" spans="10:10" x14ac:dyDescent="0.3">
      <c r="J77435"/>
    </row>
    <row r="77436" spans="10:10" x14ac:dyDescent="0.3">
      <c r="J77436"/>
    </row>
    <row r="77437" spans="10:10" x14ac:dyDescent="0.3">
      <c r="J77437"/>
    </row>
    <row r="77438" spans="10:10" x14ac:dyDescent="0.3">
      <c r="J77438"/>
    </row>
    <row r="77439" spans="10:10" x14ac:dyDescent="0.3">
      <c r="J77439"/>
    </row>
    <row r="77440" spans="10:10" x14ac:dyDescent="0.3">
      <c r="J77440"/>
    </row>
    <row r="77441" spans="10:10" x14ac:dyDescent="0.3">
      <c r="J77441"/>
    </row>
    <row r="77442" spans="10:10" x14ac:dyDescent="0.3">
      <c r="J77442"/>
    </row>
    <row r="77443" spans="10:10" x14ac:dyDescent="0.3">
      <c r="J77443"/>
    </row>
    <row r="77444" spans="10:10" x14ac:dyDescent="0.3">
      <c r="J77444"/>
    </row>
    <row r="77445" spans="10:10" x14ac:dyDescent="0.3">
      <c r="J77445"/>
    </row>
    <row r="77446" spans="10:10" x14ac:dyDescent="0.3">
      <c r="J77446"/>
    </row>
    <row r="77447" spans="10:10" x14ac:dyDescent="0.3">
      <c r="J77447"/>
    </row>
    <row r="77448" spans="10:10" x14ac:dyDescent="0.3">
      <c r="J77448"/>
    </row>
    <row r="77449" spans="10:10" x14ac:dyDescent="0.3">
      <c r="J77449"/>
    </row>
    <row r="77450" spans="10:10" x14ac:dyDescent="0.3">
      <c r="J77450"/>
    </row>
    <row r="77451" spans="10:10" x14ac:dyDescent="0.3">
      <c r="J77451"/>
    </row>
    <row r="77452" spans="10:10" x14ac:dyDescent="0.3">
      <c r="J77452"/>
    </row>
    <row r="77453" spans="10:10" x14ac:dyDescent="0.3">
      <c r="J77453"/>
    </row>
    <row r="77454" spans="10:10" x14ac:dyDescent="0.3">
      <c r="J77454"/>
    </row>
    <row r="77455" spans="10:10" x14ac:dyDescent="0.3">
      <c r="J77455"/>
    </row>
    <row r="77456" spans="10:10" x14ac:dyDescent="0.3">
      <c r="J77456"/>
    </row>
    <row r="77457" spans="10:10" x14ac:dyDescent="0.3">
      <c r="J77457"/>
    </row>
    <row r="77458" spans="10:10" x14ac:dyDescent="0.3">
      <c r="J77458"/>
    </row>
    <row r="77459" spans="10:10" x14ac:dyDescent="0.3">
      <c r="J77459"/>
    </row>
    <row r="77460" spans="10:10" x14ac:dyDescent="0.3">
      <c r="J77460"/>
    </row>
    <row r="77461" spans="10:10" x14ac:dyDescent="0.3">
      <c r="J77461"/>
    </row>
    <row r="77462" spans="10:10" x14ac:dyDescent="0.3">
      <c r="J77462"/>
    </row>
    <row r="77463" spans="10:10" x14ac:dyDescent="0.3">
      <c r="J77463"/>
    </row>
    <row r="77464" spans="10:10" x14ac:dyDescent="0.3">
      <c r="J77464"/>
    </row>
    <row r="77465" spans="10:10" x14ac:dyDescent="0.3">
      <c r="J77465"/>
    </row>
    <row r="77466" spans="10:10" x14ac:dyDescent="0.3">
      <c r="J77466"/>
    </row>
    <row r="77467" spans="10:10" x14ac:dyDescent="0.3">
      <c r="J77467"/>
    </row>
    <row r="77468" spans="10:10" x14ac:dyDescent="0.3">
      <c r="J77468"/>
    </row>
    <row r="77469" spans="10:10" x14ac:dyDescent="0.3">
      <c r="J77469"/>
    </row>
    <row r="77470" spans="10:10" x14ac:dyDescent="0.3">
      <c r="J77470"/>
    </row>
    <row r="77471" spans="10:10" x14ac:dyDescent="0.3">
      <c r="J77471"/>
    </row>
    <row r="77472" spans="10:10" x14ac:dyDescent="0.3">
      <c r="J77472"/>
    </row>
    <row r="77473" spans="10:10" x14ac:dyDescent="0.3">
      <c r="J77473"/>
    </row>
    <row r="77474" spans="10:10" x14ac:dyDescent="0.3">
      <c r="J77474"/>
    </row>
    <row r="77475" spans="10:10" x14ac:dyDescent="0.3">
      <c r="J77475"/>
    </row>
    <row r="77476" spans="10:10" x14ac:dyDescent="0.3">
      <c r="J77476"/>
    </row>
    <row r="77477" spans="10:10" x14ac:dyDescent="0.3">
      <c r="J77477"/>
    </row>
    <row r="77478" spans="10:10" x14ac:dyDescent="0.3">
      <c r="J77478"/>
    </row>
    <row r="77479" spans="10:10" x14ac:dyDescent="0.3">
      <c r="J77479"/>
    </row>
    <row r="77480" spans="10:10" x14ac:dyDescent="0.3">
      <c r="J77480"/>
    </row>
    <row r="77481" spans="10:10" x14ac:dyDescent="0.3">
      <c r="J77481"/>
    </row>
    <row r="77482" spans="10:10" x14ac:dyDescent="0.3">
      <c r="J77482"/>
    </row>
    <row r="77483" spans="10:10" x14ac:dyDescent="0.3">
      <c r="J77483"/>
    </row>
    <row r="77484" spans="10:10" x14ac:dyDescent="0.3">
      <c r="J77484"/>
    </row>
    <row r="77485" spans="10:10" x14ac:dyDescent="0.3">
      <c r="J77485"/>
    </row>
    <row r="77486" spans="10:10" x14ac:dyDescent="0.3">
      <c r="J77486"/>
    </row>
    <row r="77487" spans="10:10" x14ac:dyDescent="0.3">
      <c r="J77487"/>
    </row>
    <row r="77488" spans="10:10" x14ac:dyDescent="0.3">
      <c r="J77488"/>
    </row>
    <row r="77489" spans="10:10" x14ac:dyDescent="0.3">
      <c r="J77489"/>
    </row>
    <row r="77490" spans="10:10" x14ac:dyDescent="0.3">
      <c r="J77490"/>
    </row>
    <row r="77491" spans="10:10" x14ac:dyDescent="0.3">
      <c r="J77491"/>
    </row>
    <row r="77492" spans="10:10" x14ac:dyDescent="0.3">
      <c r="J77492"/>
    </row>
    <row r="77493" spans="10:10" x14ac:dyDescent="0.3">
      <c r="J77493"/>
    </row>
    <row r="77494" spans="10:10" x14ac:dyDescent="0.3">
      <c r="J77494"/>
    </row>
    <row r="77495" spans="10:10" x14ac:dyDescent="0.3">
      <c r="J77495"/>
    </row>
    <row r="77496" spans="10:10" x14ac:dyDescent="0.3">
      <c r="J77496"/>
    </row>
    <row r="77497" spans="10:10" x14ac:dyDescent="0.3">
      <c r="J77497"/>
    </row>
    <row r="77498" spans="10:10" x14ac:dyDescent="0.3">
      <c r="J77498"/>
    </row>
    <row r="77499" spans="10:10" x14ac:dyDescent="0.3">
      <c r="J77499"/>
    </row>
    <row r="77500" spans="10:10" x14ac:dyDescent="0.3">
      <c r="J77500"/>
    </row>
    <row r="77501" spans="10:10" x14ac:dyDescent="0.3">
      <c r="J77501"/>
    </row>
    <row r="77502" spans="10:10" x14ac:dyDescent="0.3">
      <c r="J77502"/>
    </row>
    <row r="77503" spans="10:10" x14ac:dyDescent="0.3">
      <c r="J77503"/>
    </row>
    <row r="77504" spans="10:10" x14ac:dyDescent="0.3">
      <c r="J77504"/>
    </row>
    <row r="77505" spans="10:10" x14ac:dyDescent="0.3">
      <c r="J77505"/>
    </row>
    <row r="77506" spans="10:10" x14ac:dyDescent="0.3">
      <c r="J77506"/>
    </row>
    <row r="77507" spans="10:10" x14ac:dyDescent="0.3">
      <c r="J77507"/>
    </row>
    <row r="77508" spans="10:10" x14ac:dyDescent="0.3">
      <c r="J77508"/>
    </row>
    <row r="77509" spans="10:10" x14ac:dyDescent="0.3">
      <c r="J77509"/>
    </row>
    <row r="77510" spans="10:10" x14ac:dyDescent="0.3">
      <c r="J77510"/>
    </row>
    <row r="77511" spans="10:10" x14ac:dyDescent="0.3">
      <c r="J77511"/>
    </row>
    <row r="77512" spans="10:10" x14ac:dyDescent="0.3">
      <c r="J77512"/>
    </row>
    <row r="77513" spans="10:10" x14ac:dyDescent="0.3">
      <c r="J77513"/>
    </row>
    <row r="77514" spans="10:10" x14ac:dyDescent="0.3">
      <c r="J77514"/>
    </row>
    <row r="77515" spans="10:10" x14ac:dyDescent="0.3">
      <c r="J77515"/>
    </row>
    <row r="77516" spans="10:10" x14ac:dyDescent="0.3">
      <c r="J77516"/>
    </row>
    <row r="77517" spans="10:10" x14ac:dyDescent="0.3">
      <c r="J77517"/>
    </row>
    <row r="77518" spans="10:10" x14ac:dyDescent="0.3">
      <c r="J77518"/>
    </row>
    <row r="77519" spans="10:10" x14ac:dyDescent="0.3">
      <c r="J77519"/>
    </row>
    <row r="77520" spans="10:10" x14ac:dyDescent="0.3">
      <c r="J77520"/>
    </row>
    <row r="77521" spans="10:10" x14ac:dyDescent="0.3">
      <c r="J77521"/>
    </row>
    <row r="77522" spans="10:10" x14ac:dyDescent="0.3">
      <c r="J77522"/>
    </row>
    <row r="77523" spans="10:10" x14ac:dyDescent="0.3">
      <c r="J77523"/>
    </row>
    <row r="77524" spans="10:10" x14ac:dyDescent="0.3">
      <c r="J77524"/>
    </row>
    <row r="77525" spans="10:10" x14ac:dyDescent="0.3">
      <c r="J77525"/>
    </row>
    <row r="77526" spans="10:10" x14ac:dyDescent="0.3">
      <c r="J77526"/>
    </row>
    <row r="77527" spans="10:10" x14ac:dyDescent="0.3">
      <c r="J77527"/>
    </row>
    <row r="77528" spans="10:10" x14ac:dyDescent="0.3">
      <c r="J77528"/>
    </row>
    <row r="77529" spans="10:10" x14ac:dyDescent="0.3">
      <c r="J77529"/>
    </row>
    <row r="77530" spans="10:10" x14ac:dyDescent="0.3">
      <c r="J77530"/>
    </row>
    <row r="77531" spans="10:10" x14ac:dyDescent="0.3">
      <c r="J77531"/>
    </row>
    <row r="77532" spans="10:10" x14ac:dyDescent="0.3">
      <c r="J77532"/>
    </row>
    <row r="77533" spans="10:10" x14ac:dyDescent="0.3">
      <c r="J77533"/>
    </row>
    <row r="77534" spans="10:10" x14ac:dyDescent="0.3">
      <c r="J77534"/>
    </row>
    <row r="77535" spans="10:10" x14ac:dyDescent="0.3">
      <c r="J77535"/>
    </row>
    <row r="77536" spans="10:10" x14ac:dyDescent="0.3">
      <c r="J77536"/>
    </row>
    <row r="77537" spans="10:10" x14ac:dyDescent="0.3">
      <c r="J77537"/>
    </row>
    <row r="77538" spans="10:10" x14ac:dyDescent="0.3">
      <c r="J77538"/>
    </row>
    <row r="77539" spans="10:10" x14ac:dyDescent="0.3">
      <c r="J77539"/>
    </row>
    <row r="77540" spans="10:10" x14ac:dyDescent="0.3">
      <c r="J77540"/>
    </row>
    <row r="77541" spans="10:10" x14ac:dyDescent="0.3">
      <c r="J77541"/>
    </row>
    <row r="77542" spans="10:10" x14ac:dyDescent="0.3">
      <c r="J77542"/>
    </row>
    <row r="77543" spans="10:10" x14ac:dyDescent="0.3">
      <c r="J77543"/>
    </row>
    <row r="77544" spans="10:10" x14ac:dyDescent="0.3">
      <c r="J77544"/>
    </row>
    <row r="77545" spans="10:10" x14ac:dyDescent="0.3">
      <c r="J77545"/>
    </row>
    <row r="77546" spans="10:10" x14ac:dyDescent="0.3">
      <c r="J77546"/>
    </row>
    <row r="77547" spans="10:10" x14ac:dyDescent="0.3">
      <c r="J77547"/>
    </row>
    <row r="77548" spans="10:10" x14ac:dyDescent="0.3">
      <c r="J77548"/>
    </row>
    <row r="77549" spans="10:10" x14ac:dyDescent="0.3">
      <c r="J77549"/>
    </row>
    <row r="77550" spans="10:10" x14ac:dyDescent="0.3">
      <c r="J77550"/>
    </row>
    <row r="77551" spans="10:10" x14ac:dyDescent="0.3">
      <c r="J77551"/>
    </row>
    <row r="77552" spans="10:10" x14ac:dyDescent="0.3">
      <c r="J77552"/>
    </row>
    <row r="77553" spans="10:10" x14ac:dyDescent="0.3">
      <c r="J77553"/>
    </row>
    <row r="77554" spans="10:10" x14ac:dyDescent="0.3">
      <c r="J77554"/>
    </row>
    <row r="77555" spans="10:10" x14ac:dyDescent="0.3">
      <c r="J77555"/>
    </row>
    <row r="77556" spans="10:10" x14ac:dyDescent="0.3">
      <c r="J77556"/>
    </row>
    <row r="77557" spans="10:10" x14ac:dyDescent="0.3">
      <c r="J77557"/>
    </row>
    <row r="77558" spans="10:10" x14ac:dyDescent="0.3">
      <c r="J77558"/>
    </row>
    <row r="77559" spans="10:10" x14ac:dyDescent="0.3">
      <c r="J77559"/>
    </row>
    <row r="77560" spans="10:10" x14ac:dyDescent="0.3">
      <c r="J77560"/>
    </row>
    <row r="77561" spans="10:10" x14ac:dyDescent="0.3">
      <c r="J77561"/>
    </row>
    <row r="77562" spans="10:10" x14ac:dyDescent="0.3">
      <c r="J77562"/>
    </row>
    <row r="77563" spans="10:10" x14ac:dyDescent="0.3">
      <c r="J77563"/>
    </row>
    <row r="77564" spans="10:10" x14ac:dyDescent="0.3">
      <c r="J77564"/>
    </row>
    <row r="77565" spans="10:10" x14ac:dyDescent="0.3">
      <c r="J77565"/>
    </row>
    <row r="77566" spans="10:10" x14ac:dyDescent="0.3">
      <c r="J77566"/>
    </row>
    <row r="77567" spans="10:10" x14ac:dyDescent="0.3">
      <c r="J77567"/>
    </row>
    <row r="77568" spans="10:10" x14ac:dyDescent="0.3">
      <c r="J77568"/>
    </row>
    <row r="77569" spans="10:10" x14ac:dyDescent="0.3">
      <c r="J77569"/>
    </row>
    <row r="77570" spans="10:10" x14ac:dyDescent="0.3">
      <c r="J77570"/>
    </row>
    <row r="77571" spans="10:10" x14ac:dyDescent="0.3">
      <c r="J77571"/>
    </row>
    <row r="77572" spans="10:10" x14ac:dyDescent="0.3">
      <c r="J77572"/>
    </row>
    <row r="77573" spans="10:10" x14ac:dyDescent="0.3">
      <c r="J77573"/>
    </row>
    <row r="77574" spans="10:10" x14ac:dyDescent="0.3">
      <c r="J77574"/>
    </row>
    <row r="77575" spans="10:10" x14ac:dyDescent="0.3">
      <c r="J77575"/>
    </row>
    <row r="77576" spans="10:10" x14ac:dyDescent="0.3">
      <c r="J77576"/>
    </row>
    <row r="77577" spans="10:10" x14ac:dyDescent="0.3">
      <c r="J77577"/>
    </row>
    <row r="77578" spans="10:10" x14ac:dyDescent="0.3">
      <c r="J77578"/>
    </row>
    <row r="77579" spans="10:10" x14ac:dyDescent="0.3">
      <c r="J77579"/>
    </row>
    <row r="77580" spans="10:10" x14ac:dyDescent="0.3">
      <c r="J77580"/>
    </row>
    <row r="77581" spans="10:10" x14ac:dyDescent="0.3">
      <c r="J77581"/>
    </row>
    <row r="77582" spans="10:10" x14ac:dyDescent="0.3">
      <c r="J77582"/>
    </row>
    <row r="77583" spans="10:10" x14ac:dyDescent="0.3">
      <c r="J77583"/>
    </row>
    <row r="77584" spans="10:10" x14ac:dyDescent="0.3">
      <c r="J77584"/>
    </row>
    <row r="77585" spans="10:10" x14ac:dyDescent="0.3">
      <c r="J77585"/>
    </row>
    <row r="77586" spans="10:10" x14ac:dyDescent="0.3">
      <c r="J77586"/>
    </row>
    <row r="77587" spans="10:10" x14ac:dyDescent="0.3">
      <c r="J77587"/>
    </row>
    <row r="77588" spans="10:10" x14ac:dyDescent="0.3">
      <c r="J77588"/>
    </row>
    <row r="77589" spans="10:10" x14ac:dyDescent="0.3">
      <c r="J77589"/>
    </row>
    <row r="77590" spans="10:10" x14ac:dyDescent="0.3">
      <c r="J77590"/>
    </row>
    <row r="77591" spans="10:10" x14ac:dyDescent="0.3">
      <c r="J77591"/>
    </row>
    <row r="77592" spans="10:10" x14ac:dyDescent="0.3">
      <c r="J77592"/>
    </row>
    <row r="77593" spans="10:10" x14ac:dyDescent="0.3">
      <c r="J77593"/>
    </row>
    <row r="77594" spans="10:10" x14ac:dyDescent="0.3">
      <c r="J77594"/>
    </row>
    <row r="77595" spans="10:10" x14ac:dyDescent="0.3">
      <c r="J77595"/>
    </row>
    <row r="77596" spans="10:10" x14ac:dyDescent="0.3">
      <c r="J77596"/>
    </row>
    <row r="77597" spans="10:10" x14ac:dyDescent="0.3">
      <c r="J77597"/>
    </row>
    <row r="77598" spans="10:10" x14ac:dyDescent="0.3">
      <c r="J77598"/>
    </row>
    <row r="77599" spans="10:10" x14ac:dyDescent="0.3">
      <c r="J77599"/>
    </row>
    <row r="77600" spans="10:10" x14ac:dyDescent="0.3">
      <c r="J77600"/>
    </row>
    <row r="77601" spans="10:10" x14ac:dyDescent="0.3">
      <c r="J77601"/>
    </row>
    <row r="77602" spans="10:10" x14ac:dyDescent="0.3">
      <c r="J77602"/>
    </row>
    <row r="77603" spans="10:10" x14ac:dyDescent="0.3">
      <c r="J77603"/>
    </row>
    <row r="77604" spans="10:10" x14ac:dyDescent="0.3">
      <c r="J77604"/>
    </row>
    <row r="77605" spans="10:10" x14ac:dyDescent="0.3">
      <c r="J77605"/>
    </row>
    <row r="77606" spans="10:10" x14ac:dyDescent="0.3">
      <c r="J77606"/>
    </row>
    <row r="77607" spans="10:10" x14ac:dyDescent="0.3">
      <c r="J77607"/>
    </row>
    <row r="77608" spans="10:10" x14ac:dyDescent="0.3">
      <c r="J77608"/>
    </row>
    <row r="77609" spans="10:10" x14ac:dyDescent="0.3">
      <c r="J77609"/>
    </row>
    <row r="77610" spans="10:10" x14ac:dyDescent="0.3">
      <c r="J77610"/>
    </row>
    <row r="77611" spans="10:10" x14ac:dyDescent="0.3">
      <c r="J77611"/>
    </row>
    <row r="77612" spans="10:10" x14ac:dyDescent="0.3">
      <c r="J77612"/>
    </row>
    <row r="77613" spans="10:10" x14ac:dyDescent="0.3">
      <c r="J77613"/>
    </row>
    <row r="77614" spans="10:10" x14ac:dyDescent="0.3">
      <c r="J77614"/>
    </row>
    <row r="77615" spans="10:10" x14ac:dyDescent="0.3">
      <c r="J77615"/>
    </row>
    <row r="77616" spans="10:10" x14ac:dyDescent="0.3">
      <c r="J77616"/>
    </row>
    <row r="77617" spans="10:10" x14ac:dyDescent="0.3">
      <c r="J77617"/>
    </row>
    <row r="77618" spans="10:10" x14ac:dyDescent="0.3">
      <c r="J77618"/>
    </row>
    <row r="77619" spans="10:10" x14ac:dyDescent="0.3">
      <c r="J77619"/>
    </row>
    <row r="77620" spans="10:10" x14ac:dyDescent="0.3">
      <c r="J77620"/>
    </row>
    <row r="77621" spans="10:10" x14ac:dyDescent="0.3">
      <c r="J77621"/>
    </row>
    <row r="77622" spans="10:10" x14ac:dyDescent="0.3">
      <c r="J77622"/>
    </row>
    <row r="77623" spans="10:10" x14ac:dyDescent="0.3">
      <c r="J77623"/>
    </row>
    <row r="77624" spans="10:10" x14ac:dyDescent="0.3">
      <c r="J77624"/>
    </row>
    <row r="77625" spans="10:10" x14ac:dyDescent="0.3">
      <c r="J77625"/>
    </row>
    <row r="77626" spans="10:10" x14ac:dyDescent="0.3">
      <c r="J77626"/>
    </row>
    <row r="77627" spans="10:10" x14ac:dyDescent="0.3">
      <c r="J77627"/>
    </row>
    <row r="77628" spans="10:10" x14ac:dyDescent="0.3">
      <c r="J77628"/>
    </row>
    <row r="77629" spans="10:10" x14ac:dyDescent="0.3">
      <c r="J77629"/>
    </row>
    <row r="77630" spans="10:10" x14ac:dyDescent="0.3">
      <c r="J77630"/>
    </row>
    <row r="77631" spans="10:10" x14ac:dyDescent="0.3">
      <c r="J77631"/>
    </row>
    <row r="77632" spans="10:10" x14ac:dyDescent="0.3">
      <c r="J77632"/>
    </row>
    <row r="77633" spans="10:10" x14ac:dyDescent="0.3">
      <c r="J77633"/>
    </row>
    <row r="77634" spans="10:10" x14ac:dyDescent="0.3">
      <c r="J77634"/>
    </row>
    <row r="77635" spans="10:10" x14ac:dyDescent="0.3">
      <c r="J77635"/>
    </row>
    <row r="77636" spans="10:10" x14ac:dyDescent="0.3">
      <c r="J77636"/>
    </row>
    <row r="77637" spans="10:10" x14ac:dyDescent="0.3">
      <c r="J77637"/>
    </row>
    <row r="77638" spans="10:10" x14ac:dyDescent="0.3">
      <c r="J77638"/>
    </row>
    <row r="77639" spans="10:10" x14ac:dyDescent="0.3">
      <c r="J77639"/>
    </row>
    <row r="77640" spans="10:10" x14ac:dyDescent="0.3">
      <c r="J77640"/>
    </row>
    <row r="77641" spans="10:10" x14ac:dyDescent="0.3">
      <c r="J77641"/>
    </row>
    <row r="77642" spans="10:10" x14ac:dyDescent="0.3">
      <c r="J77642"/>
    </row>
    <row r="77643" spans="10:10" x14ac:dyDescent="0.3">
      <c r="J77643"/>
    </row>
    <row r="77644" spans="10:10" x14ac:dyDescent="0.3">
      <c r="J77644"/>
    </row>
    <row r="77645" spans="10:10" x14ac:dyDescent="0.3">
      <c r="J77645"/>
    </row>
    <row r="77646" spans="10:10" x14ac:dyDescent="0.3">
      <c r="J77646"/>
    </row>
    <row r="77647" spans="10:10" x14ac:dyDescent="0.3">
      <c r="J77647"/>
    </row>
    <row r="77648" spans="10:10" x14ac:dyDescent="0.3">
      <c r="J77648"/>
    </row>
    <row r="77649" spans="10:10" x14ac:dyDescent="0.3">
      <c r="J77649"/>
    </row>
    <row r="77650" spans="10:10" x14ac:dyDescent="0.3">
      <c r="J77650"/>
    </row>
    <row r="77651" spans="10:10" x14ac:dyDescent="0.3">
      <c r="J77651"/>
    </row>
    <row r="77652" spans="10:10" x14ac:dyDescent="0.3">
      <c r="J77652"/>
    </row>
    <row r="77653" spans="10:10" x14ac:dyDescent="0.3">
      <c r="J77653"/>
    </row>
    <row r="77654" spans="10:10" x14ac:dyDescent="0.3">
      <c r="J77654"/>
    </row>
    <row r="77655" spans="10:10" x14ac:dyDescent="0.3">
      <c r="J77655"/>
    </row>
    <row r="77656" spans="10:10" x14ac:dyDescent="0.3">
      <c r="J77656"/>
    </row>
    <row r="77657" spans="10:10" x14ac:dyDescent="0.3">
      <c r="J77657"/>
    </row>
    <row r="77658" spans="10:10" x14ac:dyDescent="0.3">
      <c r="J77658"/>
    </row>
    <row r="77659" spans="10:10" x14ac:dyDescent="0.3">
      <c r="J77659"/>
    </row>
    <row r="77660" spans="10:10" x14ac:dyDescent="0.3">
      <c r="J77660"/>
    </row>
    <row r="77661" spans="10:10" x14ac:dyDescent="0.3">
      <c r="J77661"/>
    </row>
    <row r="77662" spans="10:10" x14ac:dyDescent="0.3">
      <c r="J77662"/>
    </row>
    <row r="77663" spans="10:10" x14ac:dyDescent="0.3">
      <c r="J77663"/>
    </row>
    <row r="77664" spans="10:10" x14ac:dyDescent="0.3">
      <c r="J77664"/>
    </row>
    <row r="77665" spans="10:10" x14ac:dyDescent="0.3">
      <c r="J77665"/>
    </row>
    <row r="77666" spans="10:10" x14ac:dyDescent="0.3">
      <c r="J77666"/>
    </row>
    <row r="77667" spans="10:10" x14ac:dyDescent="0.3">
      <c r="J77667"/>
    </row>
    <row r="77668" spans="10:10" x14ac:dyDescent="0.3">
      <c r="J77668"/>
    </row>
    <row r="77669" spans="10:10" x14ac:dyDescent="0.3">
      <c r="J77669"/>
    </row>
    <row r="77670" spans="10:10" x14ac:dyDescent="0.3">
      <c r="J77670"/>
    </row>
    <row r="77671" spans="10:10" x14ac:dyDescent="0.3">
      <c r="J77671"/>
    </row>
    <row r="77672" spans="10:10" x14ac:dyDescent="0.3">
      <c r="J77672"/>
    </row>
    <row r="77673" spans="10:10" x14ac:dyDescent="0.3">
      <c r="J77673"/>
    </row>
    <row r="77674" spans="10:10" x14ac:dyDescent="0.3">
      <c r="J77674"/>
    </row>
    <row r="77675" spans="10:10" x14ac:dyDescent="0.3">
      <c r="J77675"/>
    </row>
    <row r="77676" spans="10:10" x14ac:dyDescent="0.3">
      <c r="J77676"/>
    </row>
    <row r="77677" spans="10:10" x14ac:dyDescent="0.3">
      <c r="J77677"/>
    </row>
    <row r="77678" spans="10:10" x14ac:dyDescent="0.3">
      <c r="J77678"/>
    </row>
    <row r="77679" spans="10:10" x14ac:dyDescent="0.3">
      <c r="J77679"/>
    </row>
    <row r="77680" spans="10:10" x14ac:dyDescent="0.3">
      <c r="J77680"/>
    </row>
    <row r="77681" spans="10:10" x14ac:dyDescent="0.3">
      <c r="J77681"/>
    </row>
    <row r="77682" spans="10:10" x14ac:dyDescent="0.3">
      <c r="J77682"/>
    </row>
    <row r="77683" spans="10:10" x14ac:dyDescent="0.3">
      <c r="J77683"/>
    </row>
    <row r="77684" spans="10:10" x14ac:dyDescent="0.3">
      <c r="J77684"/>
    </row>
    <row r="77685" spans="10:10" x14ac:dyDescent="0.3">
      <c r="J77685"/>
    </row>
    <row r="77686" spans="10:10" x14ac:dyDescent="0.3">
      <c r="J77686"/>
    </row>
    <row r="77687" spans="10:10" x14ac:dyDescent="0.3">
      <c r="J77687"/>
    </row>
    <row r="77688" spans="10:10" x14ac:dyDescent="0.3">
      <c r="J77688"/>
    </row>
    <row r="77689" spans="10:10" x14ac:dyDescent="0.3">
      <c r="J77689"/>
    </row>
    <row r="77690" spans="10:10" x14ac:dyDescent="0.3">
      <c r="J77690"/>
    </row>
    <row r="77691" spans="10:10" x14ac:dyDescent="0.3">
      <c r="J77691"/>
    </row>
    <row r="77692" spans="10:10" x14ac:dyDescent="0.3">
      <c r="J77692"/>
    </row>
    <row r="77693" spans="10:10" x14ac:dyDescent="0.3">
      <c r="J77693"/>
    </row>
    <row r="77694" spans="10:10" x14ac:dyDescent="0.3">
      <c r="J77694"/>
    </row>
    <row r="77695" spans="10:10" x14ac:dyDescent="0.3">
      <c r="J77695"/>
    </row>
    <row r="77696" spans="10:10" x14ac:dyDescent="0.3">
      <c r="J77696"/>
    </row>
    <row r="77697" spans="10:10" x14ac:dyDescent="0.3">
      <c r="J77697"/>
    </row>
    <row r="77698" spans="10:10" x14ac:dyDescent="0.3">
      <c r="J77698"/>
    </row>
    <row r="77699" spans="10:10" x14ac:dyDescent="0.3">
      <c r="J77699"/>
    </row>
    <row r="77700" spans="10:10" x14ac:dyDescent="0.3">
      <c r="J77700"/>
    </row>
    <row r="77701" spans="10:10" x14ac:dyDescent="0.3">
      <c r="J77701"/>
    </row>
    <row r="77702" spans="10:10" x14ac:dyDescent="0.3">
      <c r="J77702"/>
    </row>
    <row r="77703" spans="10:10" x14ac:dyDescent="0.3">
      <c r="J77703"/>
    </row>
    <row r="77704" spans="10:10" x14ac:dyDescent="0.3">
      <c r="J77704"/>
    </row>
    <row r="77705" spans="10:10" x14ac:dyDescent="0.3">
      <c r="J77705"/>
    </row>
    <row r="77706" spans="10:10" x14ac:dyDescent="0.3">
      <c r="J77706"/>
    </row>
    <row r="77707" spans="10:10" x14ac:dyDescent="0.3">
      <c r="J77707"/>
    </row>
    <row r="77708" spans="10:10" x14ac:dyDescent="0.3">
      <c r="J77708"/>
    </row>
    <row r="77709" spans="10:10" x14ac:dyDescent="0.3">
      <c r="J77709"/>
    </row>
    <row r="77710" spans="10:10" x14ac:dyDescent="0.3">
      <c r="J77710"/>
    </row>
    <row r="77711" spans="10:10" x14ac:dyDescent="0.3">
      <c r="J77711"/>
    </row>
    <row r="77712" spans="10:10" x14ac:dyDescent="0.3">
      <c r="J77712"/>
    </row>
    <row r="77713" spans="10:10" x14ac:dyDescent="0.3">
      <c r="J77713"/>
    </row>
    <row r="77714" spans="10:10" x14ac:dyDescent="0.3">
      <c r="J77714"/>
    </row>
    <row r="77715" spans="10:10" x14ac:dyDescent="0.3">
      <c r="J77715"/>
    </row>
    <row r="77716" spans="10:10" x14ac:dyDescent="0.3">
      <c r="J77716"/>
    </row>
    <row r="77717" spans="10:10" x14ac:dyDescent="0.3">
      <c r="J77717"/>
    </row>
    <row r="77718" spans="10:10" x14ac:dyDescent="0.3">
      <c r="J77718"/>
    </row>
    <row r="77719" spans="10:10" x14ac:dyDescent="0.3">
      <c r="J77719"/>
    </row>
    <row r="77720" spans="10:10" x14ac:dyDescent="0.3">
      <c r="J77720"/>
    </row>
    <row r="77721" spans="10:10" x14ac:dyDescent="0.3">
      <c r="J77721"/>
    </row>
    <row r="77722" spans="10:10" x14ac:dyDescent="0.3">
      <c r="J77722"/>
    </row>
    <row r="77723" spans="10:10" x14ac:dyDescent="0.3">
      <c r="J77723"/>
    </row>
    <row r="77724" spans="10:10" x14ac:dyDescent="0.3">
      <c r="J77724"/>
    </row>
    <row r="77725" spans="10:10" x14ac:dyDescent="0.3">
      <c r="J77725"/>
    </row>
    <row r="77726" spans="10:10" x14ac:dyDescent="0.3">
      <c r="J77726"/>
    </row>
    <row r="77727" spans="10:10" x14ac:dyDescent="0.3">
      <c r="J77727"/>
    </row>
    <row r="77728" spans="10:10" x14ac:dyDescent="0.3">
      <c r="J77728"/>
    </row>
    <row r="77729" spans="10:10" x14ac:dyDescent="0.3">
      <c r="J77729"/>
    </row>
    <row r="77730" spans="10:10" x14ac:dyDescent="0.3">
      <c r="J77730"/>
    </row>
    <row r="77731" spans="10:10" x14ac:dyDescent="0.3">
      <c r="J77731"/>
    </row>
    <row r="77732" spans="10:10" x14ac:dyDescent="0.3">
      <c r="J77732"/>
    </row>
    <row r="77733" spans="10:10" x14ac:dyDescent="0.3">
      <c r="J77733"/>
    </row>
    <row r="77734" spans="10:10" x14ac:dyDescent="0.3">
      <c r="J77734"/>
    </row>
    <row r="77735" spans="10:10" x14ac:dyDescent="0.3">
      <c r="J77735"/>
    </row>
    <row r="77736" spans="10:10" x14ac:dyDescent="0.3">
      <c r="J77736"/>
    </row>
    <row r="77737" spans="10:10" x14ac:dyDescent="0.3">
      <c r="J77737"/>
    </row>
    <row r="77738" spans="10:10" x14ac:dyDescent="0.3">
      <c r="J77738"/>
    </row>
    <row r="77739" spans="10:10" x14ac:dyDescent="0.3">
      <c r="J77739"/>
    </row>
    <row r="77740" spans="10:10" x14ac:dyDescent="0.3">
      <c r="J77740"/>
    </row>
    <row r="77741" spans="10:10" x14ac:dyDescent="0.3">
      <c r="J77741"/>
    </row>
    <row r="77742" spans="10:10" x14ac:dyDescent="0.3">
      <c r="J77742"/>
    </row>
    <row r="77743" spans="10:10" x14ac:dyDescent="0.3">
      <c r="J77743"/>
    </row>
    <row r="77744" spans="10:10" x14ac:dyDescent="0.3">
      <c r="J77744"/>
    </row>
    <row r="77745" spans="10:10" x14ac:dyDescent="0.3">
      <c r="J77745"/>
    </row>
    <row r="77746" spans="10:10" x14ac:dyDescent="0.3">
      <c r="J77746"/>
    </row>
    <row r="77747" spans="10:10" x14ac:dyDescent="0.3">
      <c r="J77747"/>
    </row>
    <row r="77748" spans="10:10" x14ac:dyDescent="0.3">
      <c r="J77748"/>
    </row>
    <row r="77749" spans="10:10" x14ac:dyDescent="0.3">
      <c r="J77749"/>
    </row>
    <row r="77750" spans="10:10" x14ac:dyDescent="0.3">
      <c r="J77750"/>
    </row>
    <row r="77751" spans="10:10" x14ac:dyDescent="0.3">
      <c r="J77751"/>
    </row>
    <row r="77752" spans="10:10" x14ac:dyDescent="0.3">
      <c r="J77752"/>
    </row>
    <row r="77753" spans="10:10" x14ac:dyDescent="0.3">
      <c r="J77753"/>
    </row>
    <row r="77754" spans="10:10" x14ac:dyDescent="0.3">
      <c r="J77754"/>
    </row>
    <row r="77755" spans="10:10" x14ac:dyDescent="0.3">
      <c r="J77755"/>
    </row>
    <row r="77756" spans="10:10" x14ac:dyDescent="0.3">
      <c r="J77756"/>
    </row>
    <row r="77757" spans="10:10" x14ac:dyDescent="0.3">
      <c r="J77757"/>
    </row>
    <row r="77758" spans="10:10" x14ac:dyDescent="0.3">
      <c r="J77758"/>
    </row>
    <row r="77759" spans="10:10" x14ac:dyDescent="0.3">
      <c r="J77759"/>
    </row>
    <row r="77760" spans="10:10" x14ac:dyDescent="0.3">
      <c r="J77760"/>
    </row>
    <row r="77761" spans="10:10" x14ac:dyDescent="0.3">
      <c r="J77761"/>
    </row>
    <row r="77762" spans="10:10" x14ac:dyDescent="0.3">
      <c r="J77762"/>
    </row>
    <row r="77763" spans="10:10" x14ac:dyDescent="0.3">
      <c r="J77763"/>
    </row>
    <row r="77764" spans="10:10" x14ac:dyDescent="0.3">
      <c r="J77764"/>
    </row>
    <row r="77765" spans="10:10" x14ac:dyDescent="0.3">
      <c r="J77765"/>
    </row>
    <row r="77766" spans="10:10" x14ac:dyDescent="0.3">
      <c r="J77766"/>
    </row>
    <row r="77767" spans="10:10" x14ac:dyDescent="0.3">
      <c r="J77767"/>
    </row>
    <row r="77768" spans="10:10" x14ac:dyDescent="0.3">
      <c r="J77768"/>
    </row>
    <row r="77769" spans="10:10" x14ac:dyDescent="0.3">
      <c r="J77769"/>
    </row>
    <row r="77770" spans="10:10" x14ac:dyDescent="0.3">
      <c r="J77770"/>
    </row>
    <row r="77771" spans="10:10" x14ac:dyDescent="0.3">
      <c r="J77771"/>
    </row>
    <row r="77772" spans="10:10" x14ac:dyDescent="0.3">
      <c r="J77772"/>
    </row>
    <row r="77773" spans="10:10" x14ac:dyDescent="0.3">
      <c r="J77773"/>
    </row>
    <row r="77774" spans="10:10" x14ac:dyDescent="0.3">
      <c r="J77774"/>
    </row>
    <row r="77775" spans="10:10" x14ac:dyDescent="0.3">
      <c r="J77775"/>
    </row>
    <row r="77776" spans="10:10" x14ac:dyDescent="0.3">
      <c r="J77776"/>
    </row>
    <row r="77777" spans="10:10" x14ac:dyDescent="0.3">
      <c r="J77777"/>
    </row>
    <row r="77778" spans="10:10" x14ac:dyDescent="0.3">
      <c r="J77778"/>
    </row>
    <row r="77779" spans="10:10" x14ac:dyDescent="0.3">
      <c r="J77779"/>
    </row>
    <row r="77780" spans="10:10" x14ac:dyDescent="0.3">
      <c r="J77780"/>
    </row>
    <row r="77781" spans="10:10" x14ac:dyDescent="0.3">
      <c r="J77781"/>
    </row>
    <row r="77782" spans="10:10" x14ac:dyDescent="0.3">
      <c r="J77782"/>
    </row>
    <row r="77783" spans="10:10" x14ac:dyDescent="0.3">
      <c r="J77783"/>
    </row>
    <row r="77784" spans="10:10" x14ac:dyDescent="0.3">
      <c r="J77784"/>
    </row>
    <row r="77785" spans="10:10" x14ac:dyDescent="0.3">
      <c r="J77785"/>
    </row>
    <row r="77786" spans="10:10" x14ac:dyDescent="0.3">
      <c r="J77786"/>
    </row>
    <row r="77787" spans="10:10" x14ac:dyDescent="0.3">
      <c r="J77787"/>
    </row>
    <row r="77788" spans="10:10" x14ac:dyDescent="0.3">
      <c r="J77788"/>
    </row>
    <row r="77789" spans="10:10" x14ac:dyDescent="0.3">
      <c r="J77789"/>
    </row>
    <row r="77790" spans="10:10" x14ac:dyDescent="0.3">
      <c r="J77790"/>
    </row>
    <row r="77791" spans="10:10" x14ac:dyDescent="0.3">
      <c r="J77791"/>
    </row>
    <row r="77792" spans="10:10" x14ac:dyDescent="0.3">
      <c r="J77792"/>
    </row>
    <row r="77793" spans="10:10" x14ac:dyDescent="0.3">
      <c r="J77793"/>
    </row>
    <row r="77794" spans="10:10" x14ac:dyDescent="0.3">
      <c r="J77794"/>
    </row>
    <row r="77795" spans="10:10" x14ac:dyDescent="0.3">
      <c r="J77795"/>
    </row>
    <row r="77796" spans="10:10" x14ac:dyDescent="0.3">
      <c r="J77796"/>
    </row>
    <row r="77797" spans="10:10" x14ac:dyDescent="0.3">
      <c r="J77797"/>
    </row>
    <row r="77798" spans="10:10" x14ac:dyDescent="0.3">
      <c r="J77798"/>
    </row>
    <row r="77799" spans="10:10" x14ac:dyDescent="0.3">
      <c r="J77799"/>
    </row>
    <row r="77800" spans="10:10" x14ac:dyDescent="0.3">
      <c r="J77800"/>
    </row>
    <row r="77801" spans="10:10" x14ac:dyDescent="0.3">
      <c r="J77801"/>
    </row>
    <row r="77802" spans="10:10" x14ac:dyDescent="0.3">
      <c r="J77802"/>
    </row>
    <row r="77803" spans="10:10" x14ac:dyDescent="0.3">
      <c r="J77803"/>
    </row>
    <row r="77804" spans="10:10" x14ac:dyDescent="0.3">
      <c r="J77804"/>
    </row>
    <row r="77805" spans="10:10" x14ac:dyDescent="0.3">
      <c r="J77805"/>
    </row>
    <row r="77806" spans="10:10" x14ac:dyDescent="0.3">
      <c r="J77806"/>
    </row>
    <row r="77807" spans="10:10" x14ac:dyDescent="0.3">
      <c r="J77807"/>
    </row>
    <row r="77808" spans="10:10" x14ac:dyDescent="0.3">
      <c r="J77808"/>
    </row>
    <row r="77809" spans="10:10" x14ac:dyDescent="0.3">
      <c r="J77809"/>
    </row>
    <row r="77810" spans="10:10" x14ac:dyDescent="0.3">
      <c r="J77810"/>
    </row>
    <row r="77811" spans="10:10" x14ac:dyDescent="0.3">
      <c r="J77811"/>
    </row>
    <row r="77812" spans="10:10" x14ac:dyDescent="0.3">
      <c r="J77812"/>
    </row>
    <row r="77813" spans="10:10" x14ac:dyDescent="0.3">
      <c r="J77813"/>
    </row>
    <row r="77814" spans="10:10" x14ac:dyDescent="0.3">
      <c r="J77814"/>
    </row>
    <row r="77815" spans="10:10" x14ac:dyDescent="0.3">
      <c r="J77815"/>
    </row>
    <row r="77816" spans="10:10" x14ac:dyDescent="0.3">
      <c r="J77816"/>
    </row>
    <row r="77817" spans="10:10" x14ac:dyDescent="0.3">
      <c r="J77817"/>
    </row>
    <row r="77818" spans="10:10" x14ac:dyDescent="0.3">
      <c r="J77818"/>
    </row>
    <row r="77819" spans="10:10" x14ac:dyDescent="0.3">
      <c r="J77819"/>
    </row>
    <row r="77820" spans="10:10" x14ac:dyDescent="0.3">
      <c r="J77820"/>
    </row>
    <row r="77821" spans="10:10" x14ac:dyDescent="0.3">
      <c r="J77821"/>
    </row>
    <row r="77822" spans="10:10" x14ac:dyDescent="0.3">
      <c r="J77822"/>
    </row>
    <row r="77823" spans="10:10" x14ac:dyDescent="0.3">
      <c r="J77823"/>
    </row>
    <row r="77824" spans="10:10" x14ac:dyDescent="0.3">
      <c r="J77824"/>
    </row>
    <row r="77825" spans="10:10" x14ac:dyDescent="0.3">
      <c r="J77825"/>
    </row>
    <row r="77826" spans="10:10" x14ac:dyDescent="0.3">
      <c r="J77826"/>
    </row>
    <row r="77827" spans="10:10" x14ac:dyDescent="0.3">
      <c r="J77827"/>
    </row>
    <row r="77828" spans="10:10" x14ac:dyDescent="0.3">
      <c r="J77828"/>
    </row>
    <row r="77829" spans="10:10" x14ac:dyDescent="0.3">
      <c r="J77829"/>
    </row>
    <row r="77830" spans="10:10" x14ac:dyDescent="0.3">
      <c r="J77830"/>
    </row>
    <row r="77831" spans="10:10" x14ac:dyDescent="0.3">
      <c r="J77831"/>
    </row>
    <row r="77832" spans="10:10" x14ac:dyDescent="0.3">
      <c r="J77832"/>
    </row>
    <row r="77833" spans="10:10" x14ac:dyDescent="0.3">
      <c r="J77833"/>
    </row>
    <row r="77834" spans="10:10" x14ac:dyDescent="0.3">
      <c r="J77834"/>
    </row>
    <row r="77835" spans="10:10" x14ac:dyDescent="0.3">
      <c r="J77835"/>
    </row>
    <row r="77836" spans="10:10" x14ac:dyDescent="0.3">
      <c r="J77836"/>
    </row>
    <row r="77837" spans="10:10" x14ac:dyDescent="0.3">
      <c r="J77837"/>
    </row>
    <row r="77838" spans="10:10" x14ac:dyDescent="0.3">
      <c r="J77838"/>
    </row>
    <row r="77839" spans="10:10" x14ac:dyDescent="0.3">
      <c r="J77839"/>
    </row>
    <row r="77840" spans="10:10" x14ac:dyDescent="0.3">
      <c r="J77840"/>
    </row>
    <row r="77841" spans="10:10" x14ac:dyDescent="0.3">
      <c r="J77841"/>
    </row>
    <row r="77842" spans="10:10" x14ac:dyDescent="0.3">
      <c r="J77842"/>
    </row>
    <row r="77843" spans="10:10" x14ac:dyDescent="0.3">
      <c r="J77843"/>
    </row>
    <row r="77844" spans="10:10" x14ac:dyDescent="0.3">
      <c r="J77844"/>
    </row>
    <row r="77845" spans="10:10" x14ac:dyDescent="0.3">
      <c r="J77845"/>
    </row>
    <row r="77846" spans="10:10" x14ac:dyDescent="0.3">
      <c r="J77846"/>
    </row>
    <row r="77847" spans="10:10" x14ac:dyDescent="0.3">
      <c r="J77847"/>
    </row>
    <row r="77848" spans="10:10" x14ac:dyDescent="0.3">
      <c r="J77848"/>
    </row>
    <row r="77849" spans="10:10" x14ac:dyDescent="0.3">
      <c r="J77849"/>
    </row>
    <row r="77850" spans="10:10" x14ac:dyDescent="0.3">
      <c r="J77850"/>
    </row>
    <row r="77851" spans="10:10" x14ac:dyDescent="0.3">
      <c r="J77851"/>
    </row>
    <row r="77852" spans="10:10" x14ac:dyDescent="0.3">
      <c r="J77852"/>
    </row>
    <row r="77853" spans="10:10" x14ac:dyDescent="0.3">
      <c r="J77853"/>
    </row>
    <row r="77854" spans="10:10" x14ac:dyDescent="0.3">
      <c r="J77854"/>
    </row>
    <row r="77855" spans="10:10" x14ac:dyDescent="0.3">
      <c r="J77855"/>
    </row>
    <row r="77856" spans="10:10" x14ac:dyDescent="0.3">
      <c r="J77856"/>
    </row>
    <row r="77857" spans="10:10" x14ac:dyDescent="0.3">
      <c r="J77857"/>
    </row>
    <row r="77858" spans="10:10" x14ac:dyDescent="0.3">
      <c r="J77858"/>
    </row>
    <row r="77859" spans="10:10" x14ac:dyDescent="0.3">
      <c r="J77859"/>
    </row>
    <row r="77860" spans="10:10" x14ac:dyDescent="0.3">
      <c r="J77860"/>
    </row>
    <row r="77861" spans="10:10" x14ac:dyDescent="0.3">
      <c r="J77861"/>
    </row>
    <row r="77862" spans="10:10" x14ac:dyDescent="0.3">
      <c r="J77862"/>
    </row>
    <row r="77863" spans="10:10" x14ac:dyDescent="0.3">
      <c r="J77863"/>
    </row>
    <row r="77864" spans="10:10" x14ac:dyDescent="0.3">
      <c r="J77864"/>
    </row>
    <row r="77865" spans="10:10" x14ac:dyDescent="0.3">
      <c r="J77865"/>
    </row>
    <row r="77866" spans="10:10" x14ac:dyDescent="0.3">
      <c r="J77866"/>
    </row>
    <row r="77867" spans="10:10" x14ac:dyDescent="0.3">
      <c r="J77867"/>
    </row>
    <row r="77868" spans="10:10" x14ac:dyDescent="0.3">
      <c r="J77868"/>
    </row>
    <row r="77869" spans="10:10" x14ac:dyDescent="0.3">
      <c r="J77869"/>
    </row>
    <row r="77870" spans="10:10" x14ac:dyDescent="0.3">
      <c r="J77870"/>
    </row>
    <row r="77871" spans="10:10" x14ac:dyDescent="0.3">
      <c r="J77871"/>
    </row>
    <row r="77872" spans="10:10" x14ac:dyDescent="0.3">
      <c r="J77872"/>
    </row>
    <row r="77873" spans="10:10" x14ac:dyDescent="0.3">
      <c r="J77873"/>
    </row>
    <row r="77874" spans="10:10" x14ac:dyDescent="0.3">
      <c r="J77874"/>
    </row>
    <row r="77875" spans="10:10" x14ac:dyDescent="0.3">
      <c r="J77875"/>
    </row>
    <row r="77876" spans="10:10" x14ac:dyDescent="0.3">
      <c r="J77876"/>
    </row>
    <row r="77877" spans="10:10" x14ac:dyDescent="0.3">
      <c r="J77877"/>
    </row>
    <row r="77878" spans="10:10" x14ac:dyDescent="0.3">
      <c r="J77878"/>
    </row>
    <row r="77879" spans="10:10" x14ac:dyDescent="0.3">
      <c r="J77879"/>
    </row>
    <row r="77880" spans="10:10" x14ac:dyDescent="0.3">
      <c r="J77880"/>
    </row>
    <row r="77881" spans="10:10" x14ac:dyDescent="0.3">
      <c r="J77881"/>
    </row>
    <row r="77882" spans="10:10" x14ac:dyDescent="0.3">
      <c r="J77882"/>
    </row>
    <row r="77883" spans="10:10" x14ac:dyDescent="0.3">
      <c r="J77883"/>
    </row>
    <row r="77884" spans="10:10" x14ac:dyDescent="0.3">
      <c r="J77884"/>
    </row>
    <row r="77885" spans="10:10" x14ac:dyDescent="0.3">
      <c r="J77885"/>
    </row>
    <row r="77886" spans="10:10" x14ac:dyDescent="0.3">
      <c r="J77886"/>
    </row>
    <row r="77887" spans="10:10" x14ac:dyDescent="0.3">
      <c r="J77887"/>
    </row>
    <row r="77888" spans="10:10" x14ac:dyDescent="0.3">
      <c r="J77888"/>
    </row>
    <row r="77889" spans="10:10" x14ac:dyDescent="0.3">
      <c r="J77889"/>
    </row>
    <row r="77890" spans="10:10" x14ac:dyDescent="0.3">
      <c r="J77890"/>
    </row>
    <row r="77891" spans="10:10" x14ac:dyDescent="0.3">
      <c r="J77891"/>
    </row>
    <row r="77892" spans="10:10" x14ac:dyDescent="0.3">
      <c r="J77892"/>
    </row>
    <row r="77893" spans="10:10" x14ac:dyDescent="0.3">
      <c r="J77893"/>
    </row>
    <row r="77894" spans="10:10" x14ac:dyDescent="0.3">
      <c r="J77894"/>
    </row>
    <row r="77895" spans="10:10" x14ac:dyDescent="0.3">
      <c r="J77895"/>
    </row>
    <row r="77896" spans="10:10" x14ac:dyDescent="0.3">
      <c r="J77896"/>
    </row>
    <row r="77897" spans="10:10" x14ac:dyDescent="0.3">
      <c r="J77897"/>
    </row>
    <row r="77898" spans="10:10" x14ac:dyDescent="0.3">
      <c r="J77898"/>
    </row>
    <row r="77899" spans="10:10" x14ac:dyDescent="0.3">
      <c r="J77899"/>
    </row>
    <row r="77900" spans="10:10" x14ac:dyDescent="0.3">
      <c r="J77900"/>
    </row>
    <row r="77901" spans="10:10" x14ac:dyDescent="0.3">
      <c r="J77901"/>
    </row>
    <row r="77902" spans="10:10" x14ac:dyDescent="0.3">
      <c r="J77902"/>
    </row>
    <row r="77903" spans="10:10" x14ac:dyDescent="0.3">
      <c r="J77903"/>
    </row>
    <row r="77904" spans="10:10" x14ac:dyDescent="0.3">
      <c r="J77904"/>
    </row>
    <row r="77905" spans="10:10" x14ac:dyDescent="0.3">
      <c r="J77905"/>
    </row>
    <row r="77906" spans="10:10" x14ac:dyDescent="0.3">
      <c r="J77906"/>
    </row>
    <row r="77907" spans="10:10" x14ac:dyDescent="0.3">
      <c r="J77907"/>
    </row>
    <row r="77908" spans="10:10" x14ac:dyDescent="0.3">
      <c r="J77908"/>
    </row>
    <row r="77909" spans="10:10" x14ac:dyDescent="0.3">
      <c r="J77909"/>
    </row>
    <row r="77910" spans="10:10" x14ac:dyDescent="0.3">
      <c r="J77910"/>
    </row>
    <row r="77911" spans="10:10" x14ac:dyDescent="0.3">
      <c r="J77911"/>
    </row>
    <row r="77912" spans="10:10" x14ac:dyDescent="0.3">
      <c r="J77912"/>
    </row>
    <row r="77913" spans="10:10" x14ac:dyDescent="0.3">
      <c r="J77913"/>
    </row>
    <row r="77914" spans="10:10" x14ac:dyDescent="0.3">
      <c r="J77914"/>
    </row>
    <row r="77915" spans="10:10" x14ac:dyDescent="0.3">
      <c r="J77915"/>
    </row>
    <row r="77916" spans="10:10" x14ac:dyDescent="0.3">
      <c r="J77916"/>
    </row>
    <row r="77917" spans="10:10" x14ac:dyDescent="0.3">
      <c r="J77917"/>
    </row>
    <row r="77918" spans="10:10" x14ac:dyDescent="0.3">
      <c r="J77918"/>
    </row>
    <row r="77919" spans="10:10" x14ac:dyDescent="0.3">
      <c r="J77919"/>
    </row>
    <row r="77920" spans="10:10" x14ac:dyDescent="0.3">
      <c r="J77920"/>
    </row>
    <row r="77921" spans="10:10" x14ac:dyDescent="0.3">
      <c r="J77921"/>
    </row>
    <row r="77922" spans="10:10" x14ac:dyDescent="0.3">
      <c r="J77922"/>
    </row>
    <row r="77923" spans="10:10" x14ac:dyDescent="0.3">
      <c r="J77923"/>
    </row>
    <row r="77924" spans="10:10" x14ac:dyDescent="0.3">
      <c r="J77924"/>
    </row>
    <row r="77925" spans="10:10" x14ac:dyDescent="0.3">
      <c r="J77925"/>
    </row>
    <row r="77926" spans="10:10" x14ac:dyDescent="0.3">
      <c r="J77926"/>
    </row>
    <row r="77927" spans="10:10" x14ac:dyDescent="0.3">
      <c r="J77927"/>
    </row>
    <row r="77928" spans="10:10" x14ac:dyDescent="0.3">
      <c r="J77928"/>
    </row>
    <row r="77929" spans="10:10" x14ac:dyDescent="0.3">
      <c r="J77929"/>
    </row>
    <row r="77930" spans="10:10" x14ac:dyDescent="0.3">
      <c r="J77930"/>
    </row>
    <row r="77931" spans="10:10" x14ac:dyDescent="0.3">
      <c r="J77931"/>
    </row>
    <row r="77932" spans="10:10" x14ac:dyDescent="0.3">
      <c r="J77932"/>
    </row>
    <row r="77933" spans="10:10" x14ac:dyDescent="0.3">
      <c r="J77933"/>
    </row>
    <row r="77934" spans="10:10" x14ac:dyDescent="0.3">
      <c r="J77934"/>
    </row>
    <row r="77935" spans="10:10" x14ac:dyDescent="0.3">
      <c r="J77935"/>
    </row>
    <row r="77936" spans="10:10" x14ac:dyDescent="0.3">
      <c r="J77936"/>
    </row>
    <row r="77937" spans="10:10" x14ac:dyDescent="0.3">
      <c r="J77937"/>
    </row>
    <row r="77938" spans="10:10" x14ac:dyDescent="0.3">
      <c r="J77938"/>
    </row>
    <row r="77939" spans="10:10" x14ac:dyDescent="0.3">
      <c r="J77939"/>
    </row>
    <row r="77940" spans="10:10" x14ac:dyDescent="0.3">
      <c r="J77940"/>
    </row>
    <row r="77941" spans="10:10" x14ac:dyDescent="0.3">
      <c r="J77941"/>
    </row>
    <row r="77942" spans="10:10" x14ac:dyDescent="0.3">
      <c r="J77942"/>
    </row>
    <row r="77943" spans="10:10" x14ac:dyDescent="0.3">
      <c r="J77943"/>
    </row>
    <row r="77944" spans="10:10" x14ac:dyDescent="0.3">
      <c r="J77944"/>
    </row>
    <row r="77945" spans="10:10" x14ac:dyDescent="0.3">
      <c r="J77945"/>
    </row>
    <row r="77946" spans="10:10" x14ac:dyDescent="0.3">
      <c r="J77946"/>
    </row>
    <row r="77947" spans="10:10" x14ac:dyDescent="0.3">
      <c r="J77947"/>
    </row>
    <row r="77948" spans="10:10" x14ac:dyDescent="0.3">
      <c r="J77948"/>
    </row>
    <row r="77949" spans="10:10" x14ac:dyDescent="0.3">
      <c r="J77949"/>
    </row>
    <row r="77950" spans="10:10" x14ac:dyDescent="0.3">
      <c r="J77950"/>
    </row>
    <row r="77951" spans="10:10" x14ac:dyDescent="0.3">
      <c r="J77951"/>
    </row>
    <row r="77952" spans="10:10" x14ac:dyDescent="0.3">
      <c r="J77952"/>
    </row>
    <row r="77953" spans="10:10" x14ac:dyDescent="0.3">
      <c r="J77953"/>
    </row>
    <row r="77954" spans="10:10" x14ac:dyDescent="0.3">
      <c r="J77954"/>
    </row>
    <row r="77955" spans="10:10" x14ac:dyDescent="0.3">
      <c r="J77955"/>
    </row>
    <row r="77956" spans="10:10" x14ac:dyDescent="0.3">
      <c r="J77956"/>
    </row>
    <row r="77957" spans="10:10" x14ac:dyDescent="0.3">
      <c r="J77957"/>
    </row>
    <row r="77958" spans="10:10" x14ac:dyDescent="0.3">
      <c r="J77958"/>
    </row>
    <row r="77959" spans="10:10" x14ac:dyDescent="0.3">
      <c r="J77959"/>
    </row>
    <row r="77960" spans="10:10" x14ac:dyDescent="0.3">
      <c r="J77960"/>
    </row>
    <row r="77961" spans="10:10" x14ac:dyDescent="0.3">
      <c r="J77961"/>
    </row>
    <row r="77962" spans="10:10" x14ac:dyDescent="0.3">
      <c r="J77962"/>
    </row>
    <row r="77963" spans="10:10" x14ac:dyDescent="0.3">
      <c r="J77963"/>
    </row>
    <row r="77964" spans="10:10" x14ac:dyDescent="0.3">
      <c r="J77964"/>
    </row>
    <row r="77965" spans="10:10" x14ac:dyDescent="0.3">
      <c r="J77965"/>
    </row>
    <row r="77966" spans="10:10" x14ac:dyDescent="0.3">
      <c r="J77966"/>
    </row>
    <row r="77967" spans="10:10" x14ac:dyDescent="0.3">
      <c r="J77967"/>
    </row>
    <row r="77968" spans="10:10" x14ac:dyDescent="0.3">
      <c r="J77968"/>
    </row>
    <row r="77969" spans="10:10" x14ac:dyDescent="0.3">
      <c r="J77969"/>
    </row>
    <row r="77970" spans="10:10" x14ac:dyDescent="0.3">
      <c r="J77970"/>
    </row>
    <row r="77971" spans="10:10" x14ac:dyDescent="0.3">
      <c r="J77971"/>
    </row>
    <row r="77972" spans="10:10" x14ac:dyDescent="0.3">
      <c r="J77972"/>
    </row>
    <row r="77973" spans="10:10" x14ac:dyDescent="0.3">
      <c r="J77973"/>
    </row>
    <row r="77974" spans="10:10" x14ac:dyDescent="0.3">
      <c r="J77974"/>
    </row>
    <row r="77975" spans="10:10" x14ac:dyDescent="0.3">
      <c r="J77975"/>
    </row>
    <row r="77976" spans="10:10" x14ac:dyDescent="0.3">
      <c r="J77976"/>
    </row>
    <row r="77977" spans="10:10" x14ac:dyDescent="0.3">
      <c r="J77977"/>
    </row>
    <row r="77978" spans="10:10" x14ac:dyDescent="0.3">
      <c r="J77978"/>
    </row>
    <row r="77979" spans="10:10" x14ac:dyDescent="0.3">
      <c r="J77979"/>
    </row>
    <row r="77980" spans="10:10" x14ac:dyDescent="0.3">
      <c r="J77980"/>
    </row>
    <row r="77981" spans="10:10" x14ac:dyDescent="0.3">
      <c r="J77981"/>
    </row>
    <row r="77982" spans="10:10" x14ac:dyDescent="0.3">
      <c r="J77982"/>
    </row>
    <row r="77983" spans="10:10" x14ac:dyDescent="0.3">
      <c r="J77983"/>
    </row>
    <row r="77984" spans="10:10" x14ac:dyDescent="0.3">
      <c r="J77984"/>
    </row>
    <row r="77985" spans="10:10" x14ac:dyDescent="0.3">
      <c r="J77985"/>
    </row>
    <row r="77986" spans="10:10" x14ac:dyDescent="0.3">
      <c r="J77986"/>
    </row>
    <row r="77987" spans="10:10" x14ac:dyDescent="0.3">
      <c r="J77987"/>
    </row>
    <row r="77988" spans="10:10" x14ac:dyDescent="0.3">
      <c r="J77988"/>
    </row>
    <row r="77989" spans="10:10" x14ac:dyDescent="0.3">
      <c r="J77989"/>
    </row>
    <row r="77990" spans="10:10" x14ac:dyDescent="0.3">
      <c r="J77990"/>
    </row>
    <row r="77991" spans="10:10" x14ac:dyDescent="0.3">
      <c r="J77991"/>
    </row>
    <row r="77992" spans="10:10" x14ac:dyDescent="0.3">
      <c r="J77992"/>
    </row>
    <row r="77993" spans="10:10" x14ac:dyDescent="0.3">
      <c r="J77993"/>
    </row>
    <row r="77994" spans="10:10" x14ac:dyDescent="0.3">
      <c r="J77994"/>
    </row>
    <row r="77995" spans="10:10" x14ac:dyDescent="0.3">
      <c r="J77995"/>
    </row>
    <row r="77996" spans="10:10" x14ac:dyDescent="0.3">
      <c r="J77996"/>
    </row>
    <row r="77997" spans="10:10" x14ac:dyDescent="0.3">
      <c r="J77997"/>
    </row>
    <row r="77998" spans="10:10" x14ac:dyDescent="0.3">
      <c r="J77998"/>
    </row>
    <row r="77999" spans="10:10" x14ac:dyDescent="0.3">
      <c r="J77999"/>
    </row>
    <row r="78000" spans="10:10" x14ac:dyDescent="0.3">
      <c r="J78000"/>
    </row>
    <row r="78001" spans="10:10" x14ac:dyDescent="0.3">
      <c r="J78001"/>
    </row>
    <row r="78002" spans="10:10" x14ac:dyDescent="0.3">
      <c r="J78002"/>
    </row>
    <row r="78003" spans="10:10" x14ac:dyDescent="0.3">
      <c r="J78003"/>
    </row>
    <row r="78004" spans="10:10" x14ac:dyDescent="0.3">
      <c r="J78004"/>
    </row>
    <row r="78005" spans="10:10" x14ac:dyDescent="0.3">
      <c r="J78005"/>
    </row>
    <row r="78006" spans="10:10" x14ac:dyDescent="0.3">
      <c r="J78006"/>
    </row>
    <row r="78007" spans="10:10" x14ac:dyDescent="0.3">
      <c r="J78007"/>
    </row>
    <row r="78008" spans="10:10" x14ac:dyDescent="0.3">
      <c r="J78008"/>
    </row>
    <row r="78009" spans="10:10" x14ac:dyDescent="0.3">
      <c r="J78009"/>
    </row>
    <row r="78010" spans="10:10" x14ac:dyDescent="0.3">
      <c r="J78010"/>
    </row>
    <row r="78011" spans="10:10" x14ac:dyDescent="0.3">
      <c r="J78011"/>
    </row>
    <row r="78012" spans="10:10" x14ac:dyDescent="0.3">
      <c r="J78012"/>
    </row>
    <row r="78013" spans="10:10" x14ac:dyDescent="0.3">
      <c r="J78013"/>
    </row>
    <row r="78014" spans="10:10" x14ac:dyDescent="0.3">
      <c r="J78014"/>
    </row>
    <row r="78015" spans="10:10" x14ac:dyDescent="0.3">
      <c r="J78015"/>
    </row>
    <row r="78016" spans="10:10" x14ac:dyDescent="0.3">
      <c r="J78016"/>
    </row>
    <row r="78017" spans="10:10" x14ac:dyDescent="0.3">
      <c r="J78017"/>
    </row>
    <row r="78018" spans="10:10" x14ac:dyDescent="0.3">
      <c r="J78018"/>
    </row>
    <row r="78019" spans="10:10" x14ac:dyDescent="0.3">
      <c r="J78019"/>
    </row>
    <row r="78020" spans="10:10" x14ac:dyDescent="0.3">
      <c r="J78020"/>
    </row>
    <row r="78021" spans="10:10" x14ac:dyDescent="0.3">
      <c r="J78021"/>
    </row>
    <row r="78022" spans="10:10" x14ac:dyDescent="0.3">
      <c r="J78022"/>
    </row>
    <row r="78023" spans="10:10" x14ac:dyDescent="0.3">
      <c r="J78023"/>
    </row>
    <row r="78024" spans="10:10" x14ac:dyDescent="0.3">
      <c r="J78024"/>
    </row>
    <row r="78025" spans="10:10" x14ac:dyDescent="0.3">
      <c r="J78025"/>
    </row>
    <row r="78026" spans="10:10" x14ac:dyDescent="0.3">
      <c r="J78026"/>
    </row>
    <row r="78027" spans="10:10" x14ac:dyDescent="0.3">
      <c r="J78027"/>
    </row>
    <row r="78028" spans="10:10" x14ac:dyDescent="0.3">
      <c r="J78028"/>
    </row>
    <row r="78029" spans="10:10" x14ac:dyDescent="0.3">
      <c r="J78029"/>
    </row>
    <row r="78030" spans="10:10" x14ac:dyDescent="0.3">
      <c r="J78030"/>
    </row>
    <row r="78031" spans="10:10" x14ac:dyDescent="0.3">
      <c r="J78031"/>
    </row>
    <row r="78032" spans="10:10" x14ac:dyDescent="0.3">
      <c r="J78032"/>
    </row>
    <row r="78033" spans="10:10" x14ac:dyDescent="0.3">
      <c r="J78033"/>
    </row>
    <row r="78034" spans="10:10" x14ac:dyDescent="0.3">
      <c r="J78034"/>
    </row>
    <row r="78035" spans="10:10" x14ac:dyDescent="0.3">
      <c r="J78035"/>
    </row>
    <row r="78036" spans="10:10" x14ac:dyDescent="0.3">
      <c r="J78036"/>
    </row>
    <row r="78037" spans="10:10" x14ac:dyDescent="0.3">
      <c r="J78037"/>
    </row>
    <row r="78038" spans="10:10" x14ac:dyDescent="0.3">
      <c r="J78038"/>
    </row>
    <row r="78039" spans="10:10" x14ac:dyDescent="0.3">
      <c r="J78039"/>
    </row>
    <row r="78040" spans="10:10" x14ac:dyDescent="0.3">
      <c r="J78040"/>
    </row>
    <row r="78041" spans="10:10" x14ac:dyDescent="0.3">
      <c r="J78041"/>
    </row>
    <row r="78042" spans="10:10" x14ac:dyDescent="0.3">
      <c r="J78042"/>
    </row>
    <row r="78043" spans="10:10" x14ac:dyDescent="0.3">
      <c r="J78043"/>
    </row>
    <row r="78044" spans="10:10" x14ac:dyDescent="0.3">
      <c r="J78044"/>
    </row>
    <row r="78045" spans="10:10" x14ac:dyDescent="0.3">
      <c r="J78045"/>
    </row>
    <row r="78046" spans="10:10" x14ac:dyDescent="0.3">
      <c r="J78046"/>
    </row>
    <row r="78047" spans="10:10" x14ac:dyDescent="0.3">
      <c r="J78047"/>
    </row>
    <row r="78048" spans="10:10" x14ac:dyDescent="0.3">
      <c r="J78048"/>
    </row>
    <row r="78049" spans="10:10" x14ac:dyDescent="0.3">
      <c r="J78049"/>
    </row>
    <row r="78050" spans="10:10" x14ac:dyDescent="0.3">
      <c r="J78050"/>
    </row>
    <row r="78051" spans="10:10" x14ac:dyDescent="0.3">
      <c r="J78051"/>
    </row>
    <row r="78052" spans="10:10" x14ac:dyDescent="0.3">
      <c r="J78052"/>
    </row>
    <row r="78053" spans="10:10" x14ac:dyDescent="0.3">
      <c r="J78053"/>
    </row>
    <row r="78054" spans="10:10" x14ac:dyDescent="0.3">
      <c r="J78054"/>
    </row>
    <row r="78055" spans="10:10" x14ac:dyDescent="0.3">
      <c r="J78055"/>
    </row>
    <row r="78056" spans="10:10" x14ac:dyDescent="0.3">
      <c r="J78056"/>
    </row>
    <row r="78057" spans="10:10" x14ac:dyDescent="0.3">
      <c r="J78057"/>
    </row>
    <row r="78058" spans="10:10" x14ac:dyDescent="0.3">
      <c r="J78058"/>
    </row>
    <row r="78059" spans="10:10" x14ac:dyDescent="0.3">
      <c r="J78059"/>
    </row>
    <row r="78060" spans="10:10" x14ac:dyDescent="0.3">
      <c r="J78060"/>
    </row>
    <row r="78061" spans="10:10" x14ac:dyDescent="0.3">
      <c r="J78061"/>
    </row>
    <row r="78062" spans="10:10" x14ac:dyDescent="0.3">
      <c r="J78062"/>
    </row>
    <row r="78063" spans="10:10" x14ac:dyDescent="0.3">
      <c r="J78063"/>
    </row>
    <row r="78064" spans="10:10" x14ac:dyDescent="0.3">
      <c r="J78064"/>
    </row>
    <row r="78065" spans="10:10" x14ac:dyDescent="0.3">
      <c r="J78065"/>
    </row>
    <row r="78066" spans="10:10" x14ac:dyDescent="0.3">
      <c r="J78066"/>
    </row>
    <row r="78067" spans="10:10" x14ac:dyDescent="0.3">
      <c r="J78067"/>
    </row>
    <row r="78068" spans="10:10" x14ac:dyDescent="0.3">
      <c r="J78068"/>
    </row>
    <row r="78069" spans="10:10" x14ac:dyDescent="0.3">
      <c r="J78069"/>
    </row>
    <row r="78070" spans="10:10" x14ac:dyDescent="0.3">
      <c r="J78070"/>
    </row>
    <row r="78071" spans="10:10" x14ac:dyDescent="0.3">
      <c r="J78071"/>
    </row>
    <row r="78072" spans="10:10" x14ac:dyDescent="0.3">
      <c r="J78072"/>
    </row>
    <row r="78073" spans="10:10" x14ac:dyDescent="0.3">
      <c r="J78073"/>
    </row>
    <row r="78074" spans="10:10" x14ac:dyDescent="0.3">
      <c r="J78074"/>
    </row>
    <row r="78075" spans="10:10" x14ac:dyDescent="0.3">
      <c r="J78075"/>
    </row>
    <row r="78076" spans="10:10" x14ac:dyDescent="0.3">
      <c r="J78076"/>
    </row>
    <row r="78077" spans="10:10" x14ac:dyDescent="0.3">
      <c r="J78077"/>
    </row>
    <row r="78078" spans="10:10" x14ac:dyDescent="0.3">
      <c r="J78078"/>
    </row>
    <row r="78079" spans="10:10" x14ac:dyDescent="0.3">
      <c r="J78079"/>
    </row>
    <row r="78080" spans="10:10" x14ac:dyDescent="0.3">
      <c r="J78080"/>
    </row>
    <row r="78081" spans="10:10" x14ac:dyDescent="0.3">
      <c r="J78081"/>
    </row>
    <row r="78082" spans="10:10" x14ac:dyDescent="0.3">
      <c r="J78082"/>
    </row>
    <row r="78083" spans="10:10" x14ac:dyDescent="0.3">
      <c r="J78083"/>
    </row>
    <row r="78084" spans="10:10" x14ac:dyDescent="0.3">
      <c r="J78084"/>
    </row>
    <row r="78085" spans="10:10" x14ac:dyDescent="0.3">
      <c r="J78085"/>
    </row>
    <row r="78086" spans="10:10" x14ac:dyDescent="0.3">
      <c r="J78086"/>
    </row>
    <row r="78087" spans="10:10" x14ac:dyDescent="0.3">
      <c r="J78087"/>
    </row>
    <row r="78088" spans="10:10" x14ac:dyDescent="0.3">
      <c r="J78088"/>
    </row>
    <row r="78089" spans="10:10" x14ac:dyDescent="0.3">
      <c r="J78089"/>
    </row>
    <row r="78090" spans="10:10" x14ac:dyDescent="0.3">
      <c r="J78090"/>
    </row>
    <row r="78091" spans="10:10" x14ac:dyDescent="0.3">
      <c r="J78091"/>
    </row>
    <row r="78092" spans="10:10" x14ac:dyDescent="0.3">
      <c r="J78092"/>
    </row>
    <row r="78093" spans="10:10" x14ac:dyDescent="0.3">
      <c r="J78093"/>
    </row>
    <row r="78094" spans="10:10" x14ac:dyDescent="0.3">
      <c r="J78094"/>
    </row>
    <row r="78095" spans="10:10" x14ac:dyDescent="0.3">
      <c r="J78095"/>
    </row>
    <row r="78096" spans="10:10" x14ac:dyDescent="0.3">
      <c r="J78096"/>
    </row>
    <row r="78097" spans="10:10" x14ac:dyDescent="0.3">
      <c r="J78097"/>
    </row>
    <row r="78098" spans="10:10" x14ac:dyDescent="0.3">
      <c r="J78098"/>
    </row>
    <row r="78099" spans="10:10" x14ac:dyDescent="0.3">
      <c r="J78099"/>
    </row>
    <row r="78100" spans="10:10" x14ac:dyDescent="0.3">
      <c r="J78100"/>
    </row>
    <row r="78101" spans="10:10" x14ac:dyDescent="0.3">
      <c r="J78101"/>
    </row>
    <row r="78102" spans="10:10" x14ac:dyDescent="0.3">
      <c r="J78102"/>
    </row>
    <row r="78103" spans="10:10" x14ac:dyDescent="0.3">
      <c r="J78103"/>
    </row>
    <row r="78104" spans="10:10" x14ac:dyDescent="0.3">
      <c r="J78104"/>
    </row>
    <row r="78105" spans="10:10" x14ac:dyDescent="0.3">
      <c r="J78105"/>
    </row>
    <row r="78106" spans="10:10" x14ac:dyDescent="0.3">
      <c r="J78106"/>
    </row>
    <row r="78107" spans="10:10" x14ac:dyDescent="0.3">
      <c r="J78107"/>
    </row>
    <row r="78108" spans="10:10" x14ac:dyDescent="0.3">
      <c r="J78108"/>
    </row>
    <row r="78109" spans="10:10" x14ac:dyDescent="0.3">
      <c r="J78109"/>
    </row>
    <row r="78110" spans="10:10" x14ac:dyDescent="0.3">
      <c r="J78110"/>
    </row>
    <row r="78111" spans="10:10" x14ac:dyDescent="0.3">
      <c r="J78111"/>
    </row>
    <row r="78112" spans="10:10" x14ac:dyDescent="0.3">
      <c r="J78112"/>
    </row>
    <row r="78113" spans="10:10" x14ac:dyDescent="0.3">
      <c r="J78113"/>
    </row>
    <row r="78114" spans="10:10" x14ac:dyDescent="0.3">
      <c r="J78114"/>
    </row>
    <row r="78115" spans="10:10" x14ac:dyDescent="0.3">
      <c r="J78115"/>
    </row>
    <row r="78116" spans="10:10" x14ac:dyDescent="0.3">
      <c r="J78116"/>
    </row>
    <row r="78117" spans="10:10" x14ac:dyDescent="0.3">
      <c r="J78117"/>
    </row>
    <row r="78118" spans="10:10" x14ac:dyDescent="0.3">
      <c r="J78118"/>
    </row>
    <row r="78119" spans="10:10" x14ac:dyDescent="0.3">
      <c r="J78119"/>
    </row>
    <row r="78120" spans="10:10" x14ac:dyDescent="0.3">
      <c r="J78120"/>
    </row>
    <row r="78121" spans="10:10" x14ac:dyDescent="0.3">
      <c r="J78121"/>
    </row>
    <row r="78122" spans="10:10" x14ac:dyDescent="0.3">
      <c r="J78122"/>
    </row>
    <row r="78123" spans="10:10" x14ac:dyDescent="0.3">
      <c r="J78123"/>
    </row>
    <row r="78124" spans="10:10" x14ac:dyDescent="0.3">
      <c r="J78124"/>
    </row>
    <row r="78125" spans="10:10" x14ac:dyDescent="0.3">
      <c r="J78125"/>
    </row>
    <row r="78126" spans="10:10" x14ac:dyDescent="0.3">
      <c r="J78126"/>
    </row>
    <row r="78127" spans="10:10" x14ac:dyDescent="0.3">
      <c r="J78127"/>
    </row>
    <row r="78128" spans="10:10" x14ac:dyDescent="0.3">
      <c r="J78128"/>
    </row>
    <row r="78129" spans="10:10" x14ac:dyDescent="0.3">
      <c r="J78129"/>
    </row>
    <row r="78130" spans="10:10" x14ac:dyDescent="0.3">
      <c r="J78130"/>
    </row>
    <row r="78131" spans="10:10" x14ac:dyDescent="0.3">
      <c r="J78131"/>
    </row>
    <row r="78132" spans="10:10" x14ac:dyDescent="0.3">
      <c r="J78132"/>
    </row>
    <row r="78133" spans="10:10" x14ac:dyDescent="0.3">
      <c r="J78133"/>
    </row>
    <row r="78134" spans="10:10" x14ac:dyDescent="0.3">
      <c r="J78134"/>
    </row>
    <row r="78135" spans="10:10" x14ac:dyDescent="0.3">
      <c r="J78135"/>
    </row>
    <row r="78136" spans="10:10" x14ac:dyDescent="0.3">
      <c r="J78136"/>
    </row>
    <row r="78137" spans="10:10" x14ac:dyDescent="0.3">
      <c r="J78137"/>
    </row>
    <row r="78138" spans="10:10" x14ac:dyDescent="0.3">
      <c r="J78138"/>
    </row>
    <row r="78139" spans="10:10" x14ac:dyDescent="0.3">
      <c r="J78139"/>
    </row>
    <row r="78140" spans="10:10" x14ac:dyDescent="0.3">
      <c r="J78140"/>
    </row>
    <row r="78141" spans="10:10" x14ac:dyDescent="0.3">
      <c r="J78141"/>
    </row>
    <row r="78142" spans="10:10" x14ac:dyDescent="0.3">
      <c r="J78142"/>
    </row>
    <row r="78143" spans="10:10" x14ac:dyDescent="0.3">
      <c r="J78143"/>
    </row>
    <row r="78144" spans="10:10" x14ac:dyDescent="0.3">
      <c r="J78144"/>
    </row>
    <row r="78145" spans="10:10" x14ac:dyDescent="0.3">
      <c r="J78145"/>
    </row>
    <row r="78146" spans="10:10" x14ac:dyDescent="0.3">
      <c r="J78146"/>
    </row>
    <row r="78147" spans="10:10" x14ac:dyDescent="0.3">
      <c r="J78147"/>
    </row>
    <row r="78148" spans="10:10" x14ac:dyDescent="0.3">
      <c r="J78148"/>
    </row>
    <row r="78149" spans="10:10" x14ac:dyDescent="0.3">
      <c r="J78149"/>
    </row>
    <row r="78150" spans="10:10" x14ac:dyDescent="0.3">
      <c r="J78150"/>
    </row>
    <row r="78151" spans="10:10" x14ac:dyDescent="0.3">
      <c r="J78151"/>
    </row>
    <row r="78152" spans="10:10" x14ac:dyDescent="0.3">
      <c r="J78152"/>
    </row>
    <row r="78153" spans="10:10" x14ac:dyDescent="0.3">
      <c r="J78153"/>
    </row>
    <row r="78154" spans="10:10" x14ac:dyDescent="0.3">
      <c r="J78154"/>
    </row>
    <row r="78155" spans="10:10" x14ac:dyDescent="0.3">
      <c r="J78155"/>
    </row>
    <row r="78156" spans="10:10" x14ac:dyDescent="0.3">
      <c r="J78156"/>
    </row>
    <row r="78157" spans="10:10" x14ac:dyDescent="0.3">
      <c r="J78157"/>
    </row>
    <row r="78158" spans="10:10" x14ac:dyDescent="0.3">
      <c r="J78158"/>
    </row>
    <row r="78159" spans="10:10" x14ac:dyDescent="0.3">
      <c r="J78159"/>
    </row>
    <row r="78160" spans="10:10" x14ac:dyDescent="0.3">
      <c r="J78160"/>
    </row>
    <row r="78161" spans="10:10" x14ac:dyDescent="0.3">
      <c r="J78161"/>
    </row>
    <row r="78162" spans="10:10" x14ac:dyDescent="0.3">
      <c r="J78162"/>
    </row>
    <row r="78163" spans="10:10" x14ac:dyDescent="0.3">
      <c r="J78163"/>
    </row>
    <row r="78164" spans="10:10" x14ac:dyDescent="0.3">
      <c r="J78164"/>
    </row>
    <row r="78165" spans="10:10" x14ac:dyDescent="0.3">
      <c r="J78165"/>
    </row>
    <row r="78166" spans="10:10" x14ac:dyDescent="0.3">
      <c r="J78166"/>
    </row>
    <row r="78167" spans="10:10" x14ac:dyDescent="0.3">
      <c r="J78167"/>
    </row>
    <row r="78168" spans="10:10" x14ac:dyDescent="0.3">
      <c r="J78168"/>
    </row>
    <row r="78169" spans="10:10" x14ac:dyDescent="0.3">
      <c r="J78169"/>
    </row>
    <row r="78170" spans="10:10" x14ac:dyDescent="0.3">
      <c r="J78170"/>
    </row>
    <row r="78171" spans="10:10" x14ac:dyDescent="0.3">
      <c r="J78171"/>
    </row>
    <row r="78172" spans="10:10" x14ac:dyDescent="0.3">
      <c r="J78172"/>
    </row>
    <row r="78173" spans="10:10" x14ac:dyDescent="0.3">
      <c r="J78173"/>
    </row>
    <row r="78174" spans="10:10" x14ac:dyDescent="0.3">
      <c r="J78174"/>
    </row>
    <row r="78175" spans="10:10" x14ac:dyDescent="0.3">
      <c r="J78175"/>
    </row>
    <row r="78176" spans="10:10" x14ac:dyDescent="0.3">
      <c r="J78176"/>
    </row>
    <row r="78177" spans="10:10" x14ac:dyDescent="0.3">
      <c r="J78177"/>
    </row>
    <row r="78178" spans="10:10" x14ac:dyDescent="0.3">
      <c r="J78178"/>
    </row>
    <row r="78179" spans="10:10" x14ac:dyDescent="0.3">
      <c r="J78179"/>
    </row>
    <row r="78180" spans="10:10" x14ac:dyDescent="0.3">
      <c r="J78180"/>
    </row>
    <row r="78181" spans="10:10" x14ac:dyDescent="0.3">
      <c r="J78181"/>
    </row>
    <row r="78182" spans="10:10" x14ac:dyDescent="0.3">
      <c r="J78182"/>
    </row>
    <row r="78183" spans="10:10" x14ac:dyDescent="0.3">
      <c r="J78183"/>
    </row>
    <row r="78184" spans="10:10" x14ac:dyDescent="0.3">
      <c r="J78184"/>
    </row>
    <row r="78185" spans="10:10" x14ac:dyDescent="0.3">
      <c r="J78185"/>
    </row>
    <row r="78186" spans="10:10" x14ac:dyDescent="0.3">
      <c r="J78186"/>
    </row>
    <row r="78187" spans="10:10" x14ac:dyDescent="0.3">
      <c r="J78187"/>
    </row>
    <row r="78188" spans="10:10" x14ac:dyDescent="0.3">
      <c r="J78188"/>
    </row>
    <row r="78189" spans="10:10" x14ac:dyDescent="0.3">
      <c r="J78189"/>
    </row>
    <row r="78190" spans="10:10" x14ac:dyDescent="0.3">
      <c r="J78190"/>
    </row>
    <row r="78191" spans="10:10" x14ac:dyDescent="0.3">
      <c r="J78191"/>
    </row>
    <row r="78192" spans="10:10" x14ac:dyDescent="0.3">
      <c r="J78192"/>
    </row>
    <row r="78193" spans="10:10" x14ac:dyDescent="0.3">
      <c r="J78193"/>
    </row>
    <row r="78194" spans="10:10" x14ac:dyDescent="0.3">
      <c r="J78194"/>
    </row>
    <row r="78195" spans="10:10" x14ac:dyDescent="0.3">
      <c r="J78195"/>
    </row>
    <row r="78196" spans="10:10" x14ac:dyDescent="0.3">
      <c r="J78196"/>
    </row>
    <row r="78197" spans="10:10" x14ac:dyDescent="0.3">
      <c r="J78197"/>
    </row>
    <row r="78198" spans="10:10" x14ac:dyDescent="0.3">
      <c r="J78198"/>
    </row>
    <row r="78199" spans="10:10" x14ac:dyDescent="0.3">
      <c r="J78199"/>
    </row>
    <row r="78200" spans="10:10" x14ac:dyDescent="0.3">
      <c r="J78200"/>
    </row>
    <row r="78201" spans="10:10" x14ac:dyDescent="0.3">
      <c r="J78201"/>
    </row>
    <row r="78202" spans="10:10" x14ac:dyDescent="0.3">
      <c r="J78202"/>
    </row>
    <row r="78203" spans="10:10" x14ac:dyDescent="0.3">
      <c r="J78203"/>
    </row>
    <row r="78204" spans="10:10" x14ac:dyDescent="0.3">
      <c r="J78204"/>
    </row>
    <row r="78205" spans="10:10" x14ac:dyDescent="0.3">
      <c r="J78205"/>
    </row>
    <row r="78206" spans="10:10" x14ac:dyDescent="0.3">
      <c r="J78206"/>
    </row>
    <row r="78207" spans="10:10" x14ac:dyDescent="0.3">
      <c r="J78207"/>
    </row>
    <row r="78208" spans="10:10" x14ac:dyDescent="0.3">
      <c r="J78208"/>
    </row>
    <row r="78209" spans="10:10" x14ac:dyDescent="0.3">
      <c r="J78209"/>
    </row>
    <row r="78210" spans="10:10" x14ac:dyDescent="0.3">
      <c r="J78210"/>
    </row>
    <row r="78211" spans="10:10" x14ac:dyDescent="0.3">
      <c r="J78211"/>
    </row>
    <row r="78212" spans="10:10" x14ac:dyDescent="0.3">
      <c r="J78212"/>
    </row>
    <row r="78213" spans="10:10" x14ac:dyDescent="0.3">
      <c r="J78213"/>
    </row>
    <row r="78214" spans="10:10" x14ac:dyDescent="0.3">
      <c r="J78214"/>
    </row>
    <row r="78215" spans="10:10" x14ac:dyDescent="0.3">
      <c r="J78215"/>
    </row>
    <row r="78216" spans="10:10" x14ac:dyDescent="0.3">
      <c r="J78216"/>
    </row>
    <row r="78217" spans="10:10" x14ac:dyDescent="0.3">
      <c r="J78217"/>
    </row>
    <row r="78218" spans="10:10" x14ac:dyDescent="0.3">
      <c r="J78218"/>
    </row>
    <row r="78219" spans="10:10" x14ac:dyDescent="0.3">
      <c r="J78219"/>
    </row>
    <row r="78220" spans="10:10" x14ac:dyDescent="0.3">
      <c r="J78220"/>
    </row>
    <row r="78221" spans="10:10" x14ac:dyDescent="0.3">
      <c r="J78221"/>
    </row>
    <row r="78222" spans="10:10" x14ac:dyDescent="0.3">
      <c r="J78222"/>
    </row>
    <row r="78223" spans="10:10" x14ac:dyDescent="0.3">
      <c r="J78223"/>
    </row>
    <row r="78224" spans="10:10" x14ac:dyDescent="0.3">
      <c r="J78224"/>
    </row>
    <row r="78225" spans="10:10" x14ac:dyDescent="0.3">
      <c r="J78225"/>
    </row>
    <row r="78226" spans="10:10" x14ac:dyDescent="0.3">
      <c r="J78226"/>
    </row>
    <row r="78227" spans="10:10" x14ac:dyDescent="0.3">
      <c r="J78227"/>
    </row>
    <row r="78228" spans="10:10" x14ac:dyDescent="0.3">
      <c r="J78228"/>
    </row>
    <row r="78229" spans="10:10" x14ac:dyDescent="0.3">
      <c r="J78229"/>
    </row>
    <row r="78230" spans="10:10" x14ac:dyDescent="0.3">
      <c r="J78230"/>
    </row>
    <row r="78231" spans="10:10" x14ac:dyDescent="0.3">
      <c r="J78231"/>
    </row>
    <row r="78232" spans="10:10" x14ac:dyDescent="0.3">
      <c r="J78232"/>
    </row>
    <row r="78233" spans="10:10" x14ac:dyDescent="0.3">
      <c r="J78233"/>
    </row>
    <row r="78234" spans="10:10" x14ac:dyDescent="0.3">
      <c r="J78234"/>
    </row>
    <row r="78235" spans="10:10" x14ac:dyDescent="0.3">
      <c r="J78235"/>
    </row>
    <row r="78236" spans="10:10" x14ac:dyDescent="0.3">
      <c r="J78236"/>
    </row>
    <row r="78237" spans="10:10" x14ac:dyDescent="0.3">
      <c r="J78237"/>
    </row>
    <row r="78238" spans="10:10" x14ac:dyDescent="0.3">
      <c r="J78238"/>
    </row>
    <row r="78239" spans="10:10" x14ac:dyDescent="0.3">
      <c r="J78239"/>
    </row>
    <row r="78240" spans="10:10" x14ac:dyDescent="0.3">
      <c r="J78240"/>
    </row>
    <row r="78241" spans="10:10" x14ac:dyDescent="0.3">
      <c r="J78241"/>
    </row>
    <row r="78242" spans="10:10" x14ac:dyDescent="0.3">
      <c r="J78242"/>
    </row>
    <row r="78243" spans="10:10" x14ac:dyDescent="0.3">
      <c r="J78243"/>
    </row>
    <row r="78244" spans="10:10" x14ac:dyDescent="0.3">
      <c r="J78244"/>
    </row>
    <row r="78245" spans="10:10" x14ac:dyDescent="0.3">
      <c r="J78245"/>
    </row>
    <row r="78246" spans="10:10" x14ac:dyDescent="0.3">
      <c r="J78246"/>
    </row>
    <row r="78247" spans="10:10" x14ac:dyDescent="0.3">
      <c r="J78247"/>
    </row>
    <row r="78248" spans="10:10" x14ac:dyDescent="0.3">
      <c r="J78248"/>
    </row>
    <row r="78249" spans="10:10" x14ac:dyDescent="0.3">
      <c r="J78249"/>
    </row>
    <row r="78250" spans="10:10" x14ac:dyDescent="0.3">
      <c r="J78250"/>
    </row>
    <row r="78251" spans="10:10" x14ac:dyDescent="0.3">
      <c r="J78251"/>
    </row>
    <row r="78252" spans="10:10" x14ac:dyDescent="0.3">
      <c r="J78252"/>
    </row>
    <row r="78253" spans="10:10" x14ac:dyDescent="0.3">
      <c r="J78253"/>
    </row>
    <row r="78254" spans="10:10" x14ac:dyDescent="0.3">
      <c r="J78254"/>
    </row>
    <row r="78255" spans="10:10" x14ac:dyDescent="0.3">
      <c r="J78255"/>
    </row>
    <row r="78256" spans="10:10" x14ac:dyDescent="0.3">
      <c r="J78256"/>
    </row>
    <row r="78257" spans="10:10" x14ac:dyDescent="0.3">
      <c r="J78257"/>
    </row>
    <row r="78258" spans="10:10" x14ac:dyDescent="0.3">
      <c r="J78258"/>
    </row>
    <row r="78259" spans="10:10" x14ac:dyDescent="0.3">
      <c r="J78259"/>
    </row>
    <row r="78260" spans="10:10" x14ac:dyDescent="0.3">
      <c r="J78260"/>
    </row>
    <row r="78261" spans="10:10" x14ac:dyDescent="0.3">
      <c r="J78261"/>
    </row>
    <row r="78262" spans="10:10" x14ac:dyDescent="0.3">
      <c r="J78262"/>
    </row>
    <row r="78263" spans="10:10" x14ac:dyDescent="0.3">
      <c r="J78263"/>
    </row>
    <row r="78264" spans="10:10" x14ac:dyDescent="0.3">
      <c r="J78264"/>
    </row>
    <row r="78265" spans="10:10" x14ac:dyDescent="0.3">
      <c r="J78265"/>
    </row>
    <row r="78266" spans="10:10" x14ac:dyDescent="0.3">
      <c r="J78266"/>
    </row>
    <row r="78267" spans="10:10" x14ac:dyDescent="0.3">
      <c r="J78267"/>
    </row>
    <row r="78268" spans="10:10" x14ac:dyDescent="0.3">
      <c r="J78268"/>
    </row>
    <row r="78269" spans="10:10" x14ac:dyDescent="0.3">
      <c r="J78269"/>
    </row>
    <row r="78270" spans="10:10" x14ac:dyDescent="0.3">
      <c r="J78270"/>
    </row>
    <row r="78271" spans="10:10" x14ac:dyDescent="0.3">
      <c r="J78271"/>
    </row>
    <row r="78272" spans="10:10" x14ac:dyDescent="0.3">
      <c r="J78272"/>
    </row>
    <row r="78273" spans="10:10" x14ac:dyDescent="0.3">
      <c r="J78273"/>
    </row>
    <row r="78274" spans="10:10" x14ac:dyDescent="0.3">
      <c r="J78274"/>
    </row>
    <row r="78275" spans="10:10" x14ac:dyDescent="0.3">
      <c r="J78275"/>
    </row>
    <row r="78276" spans="10:10" x14ac:dyDescent="0.3">
      <c r="J78276"/>
    </row>
    <row r="78277" spans="10:10" x14ac:dyDescent="0.3">
      <c r="J78277"/>
    </row>
    <row r="78278" spans="10:10" x14ac:dyDescent="0.3">
      <c r="J78278"/>
    </row>
    <row r="78279" spans="10:10" x14ac:dyDescent="0.3">
      <c r="J78279"/>
    </row>
    <row r="78280" spans="10:10" x14ac:dyDescent="0.3">
      <c r="J78280"/>
    </row>
    <row r="78281" spans="10:10" x14ac:dyDescent="0.3">
      <c r="J78281"/>
    </row>
    <row r="78282" spans="10:10" x14ac:dyDescent="0.3">
      <c r="J78282"/>
    </row>
    <row r="78283" spans="10:10" x14ac:dyDescent="0.3">
      <c r="J78283"/>
    </row>
    <row r="78284" spans="10:10" x14ac:dyDescent="0.3">
      <c r="J78284"/>
    </row>
    <row r="78285" spans="10:10" x14ac:dyDescent="0.3">
      <c r="J78285"/>
    </row>
    <row r="78286" spans="10:10" x14ac:dyDescent="0.3">
      <c r="J78286"/>
    </row>
    <row r="78287" spans="10:10" x14ac:dyDescent="0.3">
      <c r="J78287"/>
    </row>
    <row r="78288" spans="10:10" x14ac:dyDescent="0.3">
      <c r="J78288"/>
    </row>
    <row r="78289" spans="10:10" x14ac:dyDescent="0.3">
      <c r="J78289"/>
    </row>
    <row r="78290" spans="10:10" x14ac:dyDescent="0.3">
      <c r="J78290"/>
    </row>
    <row r="78291" spans="10:10" x14ac:dyDescent="0.3">
      <c r="J78291"/>
    </row>
    <row r="78292" spans="10:10" x14ac:dyDescent="0.3">
      <c r="J78292"/>
    </row>
    <row r="78293" spans="10:10" x14ac:dyDescent="0.3">
      <c r="J78293"/>
    </row>
    <row r="78294" spans="10:10" x14ac:dyDescent="0.3">
      <c r="J78294"/>
    </row>
    <row r="78295" spans="10:10" x14ac:dyDescent="0.3">
      <c r="J78295"/>
    </row>
    <row r="78296" spans="10:10" x14ac:dyDescent="0.3">
      <c r="J78296"/>
    </row>
    <row r="78297" spans="10:10" x14ac:dyDescent="0.3">
      <c r="J78297"/>
    </row>
    <row r="78298" spans="10:10" x14ac:dyDescent="0.3">
      <c r="J78298"/>
    </row>
    <row r="78299" spans="10:10" x14ac:dyDescent="0.3">
      <c r="J78299"/>
    </row>
    <row r="78300" spans="10:10" x14ac:dyDescent="0.3">
      <c r="J78300"/>
    </row>
    <row r="78301" spans="10:10" x14ac:dyDescent="0.3">
      <c r="J78301"/>
    </row>
    <row r="78302" spans="10:10" x14ac:dyDescent="0.3">
      <c r="J78302"/>
    </row>
    <row r="78303" spans="10:10" x14ac:dyDescent="0.3">
      <c r="J78303"/>
    </row>
    <row r="78304" spans="10:10" x14ac:dyDescent="0.3">
      <c r="J78304"/>
    </row>
    <row r="78305" spans="10:10" x14ac:dyDescent="0.3">
      <c r="J78305"/>
    </row>
    <row r="78306" spans="10:10" x14ac:dyDescent="0.3">
      <c r="J78306"/>
    </row>
    <row r="78307" spans="10:10" x14ac:dyDescent="0.3">
      <c r="J78307"/>
    </row>
    <row r="78308" spans="10:10" x14ac:dyDescent="0.3">
      <c r="J78308"/>
    </row>
    <row r="78309" spans="10:10" x14ac:dyDescent="0.3">
      <c r="J78309"/>
    </row>
    <row r="78310" spans="10:10" x14ac:dyDescent="0.3">
      <c r="J78310"/>
    </row>
    <row r="78311" spans="10:10" x14ac:dyDescent="0.3">
      <c r="J78311"/>
    </row>
    <row r="78312" spans="10:10" x14ac:dyDescent="0.3">
      <c r="J78312"/>
    </row>
    <row r="78313" spans="10:10" x14ac:dyDescent="0.3">
      <c r="J78313"/>
    </row>
    <row r="78314" spans="10:10" x14ac:dyDescent="0.3">
      <c r="J78314"/>
    </row>
    <row r="78315" spans="10:10" x14ac:dyDescent="0.3">
      <c r="J78315"/>
    </row>
    <row r="78316" spans="10:10" x14ac:dyDescent="0.3">
      <c r="J78316"/>
    </row>
    <row r="78317" spans="10:10" x14ac:dyDescent="0.3">
      <c r="J78317"/>
    </row>
    <row r="78318" spans="10:10" x14ac:dyDescent="0.3">
      <c r="J78318"/>
    </row>
    <row r="78319" spans="10:10" x14ac:dyDescent="0.3">
      <c r="J78319"/>
    </row>
    <row r="78320" spans="10:10" x14ac:dyDescent="0.3">
      <c r="J78320"/>
    </row>
    <row r="78321" spans="10:10" x14ac:dyDescent="0.3">
      <c r="J78321"/>
    </row>
    <row r="78322" spans="10:10" x14ac:dyDescent="0.3">
      <c r="J78322"/>
    </row>
    <row r="78323" spans="10:10" x14ac:dyDescent="0.3">
      <c r="J78323"/>
    </row>
    <row r="78324" spans="10:10" x14ac:dyDescent="0.3">
      <c r="J78324"/>
    </row>
    <row r="78325" spans="10:10" x14ac:dyDescent="0.3">
      <c r="J78325"/>
    </row>
    <row r="78326" spans="10:10" x14ac:dyDescent="0.3">
      <c r="J78326"/>
    </row>
    <row r="78327" spans="10:10" x14ac:dyDescent="0.3">
      <c r="J78327"/>
    </row>
    <row r="78328" spans="10:10" x14ac:dyDescent="0.3">
      <c r="J78328"/>
    </row>
    <row r="78329" spans="10:10" x14ac:dyDescent="0.3">
      <c r="J78329"/>
    </row>
    <row r="78330" spans="10:10" x14ac:dyDescent="0.3">
      <c r="J78330"/>
    </row>
    <row r="78331" spans="10:10" x14ac:dyDescent="0.3">
      <c r="J78331"/>
    </row>
    <row r="78332" spans="10:10" x14ac:dyDescent="0.3">
      <c r="J78332"/>
    </row>
    <row r="78333" spans="10:10" x14ac:dyDescent="0.3">
      <c r="J78333"/>
    </row>
    <row r="78334" spans="10:10" x14ac:dyDescent="0.3">
      <c r="J78334"/>
    </row>
    <row r="78335" spans="10:10" x14ac:dyDescent="0.3">
      <c r="J78335"/>
    </row>
    <row r="78336" spans="10:10" x14ac:dyDescent="0.3">
      <c r="J78336"/>
    </row>
    <row r="78337" spans="10:10" x14ac:dyDescent="0.3">
      <c r="J78337"/>
    </row>
    <row r="78338" spans="10:10" x14ac:dyDescent="0.3">
      <c r="J78338"/>
    </row>
    <row r="78339" spans="10:10" x14ac:dyDescent="0.3">
      <c r="J78339"/>
    </row>
    <row r="78340" spans="10:10" x14ac:dyDescent="0.3">
      <c r="J78340"/>
    </row>
    <row r="78341" spans="10:10" x14ac:dyDescent="0.3">
      <c r="J78341"/>
    </row>
    <row r="78342" spans="10:10" x14ac:dyDescent="0.3">
      <c r="J78342"/>
    </row>
    <row r="78343" spans="10:10" x14ac:dyDescent="0.3">
      <c r="J78343"/>
    </row>
    <row r="78344" spans="10:10" x14ac:dyDescent="0.3">
      <c r="J78344"/>
    </row>
    <row r="78345" spans="10:10" x14ac:dyDescent="0.3">
      <c r="J78345"/>
    </row>
    <row r="78346" spans="10:10" x14ac:dyDescent="0.3">
      <c r="J78346"/>
    </row>
    <row r="78347" spans="10:10" x14ac:dyDescent="0.3">
      <c r="J78347"/>
    </row>
    <row r="78348" spans="10:10" x14ac:dyDescent="0.3">
      <c r="J78348"/>
    </row>
    <row r="78349" spans="10:10" x14ac:dyDescent="0.3">
      <c r="J78349"/>
    </row>
    <row r="78350" spans="10:10" x14ac:dyDescent="0.3">
      <c r="J78350"/>
    </row>
    <row r="78351" spans="10:10" x14ac:dyDescent="0.3">
      <c r="J78351"/>
    </row>
    <row r="78352" spans="10:10" x14ac:dyDescent="0.3">
      <c r="J78352"/>
    </row>
    <row r="78353" spans="10:10" x14ac:dyDescent="0.3">
      <c r="J78353"/>
    </row>
    <row r="78354" spans="10:10" x14ac:dyDescent="0.3">
      <c r="J78354"/>
    </row>
    <row r="78355" spans="10:10" x14ac:dyDescent="0.3">
      <c r="J78355"/>
    </row>
    <row r="78356" spans="10:10" x14ac:dyDescent="0.3">
      <c r="J78356"/>
    </row>
    <row r="78357" spans="10:10" x14ac:dyDescent="0.3">
      <c r="J78357"/>
    </row>
    <row r="78358" spans="10:10" x14ac:dyDescent="0.3">
      <c r="J78358"/>
    </row>
    <row r="78359" spans="10:10" x14ac:dyDescent="0.3">
      <c r="J78359"/>
    </row>
    <row r="78360" spans="10:10" x14ac:dyDescent="0.3">
      <c r="J78360"/>
    </row>
    <row r="78361" spans="10:10" x14ac:dyDescent="0.3">
      <c r="J78361"/>
    </row>
    <row r="78362" spans="10:10" x14ac:dyDescent="0.3">
      <c r="J78362"/>
    </row>
    <row r="78363" spans="10:10" x14ac:dyDescent="0.3">
      <c r="J78363"/>
    </row>
    <row r="78364" spans="10:10" x14ac:dyDescent="0.3">
      <c r="J78364"/>
    </row>
    <row r="78365" spans="10:10" x14ac:dyDescent="0.3">
      <c r="J78365"/>
    </row>
    <row r="78366" spans="10:10" x14ac:dyDescent="0.3">
      <c r="J78366"/>
    </row>
    <row r="78367" spans="10:10" x14ac:dyDescent="0.3">
      <c r="J78367"/>
    </row>
    <row r="78368" spans="10:10" x14ac:dyDescent="0.3">
      <c r="J78368"/>
    </row>
    <row r="78369" spans="10:10" x14ac:dyDescent="0.3">
      <c r="J78369"/>
    </row>
    <row r="78370" spans="10:10" x14ac:dyDescent="0.3">
      <c r="J78370"/>
    </row>
    <row r="78371" spans="10:10" x14ac:dyDescent="0.3">
      <c r="J78371"/>
    </row>
    <row r="78372" spans="10:10" x14ac:dyDescent="0.3">
      <c r="J78372"/>
    </row>
    <row r="78373" spans="10:10" x14ac:dyDescent="0.3">
      <c r="J78373"/>
    </row>
    <row r="78374" spans="10:10" x14ac:dyDescent="0.3">
      <c r="J78374"/>
    </row>
    <row r="78375" spans="10:10" x14ac:dyDescent="0.3">
      <c r="J78375"/>
    </row>
    <row r="78376" spans="10:10" x14ac:dyDescent="0.3">
      <c r="J78376"/>
    </row>
    <row r="78377" spans="10:10" x14ac:dyDescent="0.3">
      <c r="J78377"/>
    </row>
    <row r="78378" spans="10:10" x14ac:dyDescent="0.3">
      <c r="J78378"/>
    </row>
    <row r="78379" spans="10:10" x14ac:dyDescent="0.3">
      <c r="J78379"/>
    </row>
    <row r="78380" spans="10:10" x14ac:dyDescent="0.3">
      <c r="J78380"/>
    </row>
    <row r="78381" spans="10:10" x14ac:dyDescent="0.3">
      <c r="J78381"/>
    </row>
    <row r="78382" spans="10:10" x14ac:dyDescent="0.3">
      <c r="J78382"/>
    </row>
    <row r="78383" spans="10:10" x14ac:dyDescent="0.3">
      <c r="J78383"/>
    </row>
    <row r="78384" spans="10:10" x14ac:dyDescent="0.3">
      <c r="J78384"/>
    </row>
    <row r="78385" spans="10:10" x14ac:dyDescent="0.3">
      <c r="J78385"/>
    </row>
    <row r="78386" spans="10:10" x14ac:dyDescent="0.3">
      <c r="J78386"/>
    </row>
    <row r="78387" spans="10:10" x14ac:dyDescent="0.3">
      <c r="J78387"/>
    </row>
    <row r="78388" spans="10:10" x14ac:dyDescent="0.3">
      <c r="J78388"/>
    </row>
    <row r="78389" spans="10:10" x14ac:dyDescent="0.3">
      <c r="J78389"/>
    </row>
    <row r="78390" spans="10:10" x14ac:dyDescent="0.3">
      <c r="J78390"/>
    </row>
    <row r="78391" spans="10:10" x14ac:dyDescent="0.3">
      <c r="J78391"/>
    </row>
    <row r="78392" spans="10:10" x14ac:dyDescent="0.3">
      <c r="J78392"/>
    </row>
    <row r="78393" spans="10:10" x14ac:dyDescent="0.3">
      <c r="J78393"/>
    </row>
    <row r="78394" spans="10:10" x14ac:dyDescent="0.3">
      <c r="J78394"/>
    </row>
    <row r="78395" spans="10:10" x14ac:dyDescent="0.3">
      <c r="J78395"/>
    </row>
    <row r="78396" spans="10:10" x14ac:dyDescent="0.3">
      <c r="J78396"/>
    </row>
    <row r="78397" spans="10:10" x14ac:dyDescent="0.3">
      <c r="J78397"/>
    </row>
    <row r="78398" spans="10:10" x14ac:dyDescent="0.3">
      <c r="J78398"/>
    </row>
    <row r="78399" spans="10:10" x14ac:dyDescent="0.3">
      <c r="J78399"/>
    </row>
    <row r="78400" spans="10:10" x14ac:dyDescent="0.3">
      <c r="J78400"/>
    </row>
    <row r="78401" spans="10:10" x14ac:dyDescent="0.3">
      <c r="J78401"/>
    </row>
    <row r="78402" spans="10:10" x14ac:dyDescent="0.3">
      <c r="J78402"/>
    </row>
    <row r="78403" spans="10:10" x14ac:dyDescent="0.3">
      <c r="J78403"/>
    </row>
    <row r="78404" spans="10:10" x14ac:dyDescent="0.3">
      <c r="J78404"/>
    </row>
    <row r="78405" spans="10:10" x14ac:dyDescent="0.3">
      <c r="J78405"/>
    </row>
    <row r="78406" spans="10:10" x14ac:dyDescent="0.3">
      <c r="J78406"/>
    </row>
    <row r="78407" spans="10:10" x14ac:dyDescent="0.3">
      <c r="J78407"/>
    </row>
    <row r="78408" spans="10:10" x14ac:dyDescent="0.3">
      <c r="J78408"/>
    </row>
    <row r="78409" spans="10:10" x14ac:dyDescent="0.3">
      <c r="J78409"/>
    </row>
    <row r="78410" spans="10:10" x14ac:dyDescent="0.3">
      <c r="J78410"/>
    </row>
    <row r="78411" spans="10:10" x14ac:dyDescent="0.3">
      <c r="J78411"/>
    </row>
    <row r="78412" spans="10:10" x14ac:dyDescent="0.3">
      <c r="J78412"/>
    </row>
    <row r="78413" spans="10:10" x14ac:dyDescent="0.3">
      <c r="J78413"/>
    </row>
    <row r="78414" spans="10:10" x14ac:dyDescent="0.3">
      <c r="J78414"/>
    </row>
    <row r="78415" spans="10:10" x14ac:dyDescent="0.3">
      <c r="J78415"/>
    </row>
    <row r="78416" spans="10:10" x14ac:dyDescent="0.3">
      <c r="J78416"/>
    </row>
    <row r="78417" spans="10:10" x14ac:dyDescent="0.3">
      <c r="J78417"/>
    </row>
    <row r="78418" spans="10:10" x14ac:dyDescent="0.3">
      <c r="J78418"/>
    </row>
    <row r="78419" spans="10:10" x14ac:dyDescent="0.3">
      <c r="J78419"/>
    </row>
    <row r="78420" spans="10:10" x14ac:dyDescent="0.3">
      <c r="J78420"/>
    </row>
    <row r="78421" spans="10:10" x14ac:dyDescent="0.3">
      <c r="J78421"/>
    </row>
    <row r="78422" spans="10:10" x14ac:dyDescent="0.3">
      <c r="J78422"/>
    </row>
    <row r="78423" spans="10:10" x14ac:dyDescent="0.3">
      <c r="J78423"/>
    </row>
    <row r="78424" spans="10:10" x14ac:dyDescent="0.3">
      <c r="J78424"/>
    </row>
    <row r="78425" spans="10:10" x14ac:dyDescent="0.3">
      <c r="J78425"/>
    </row>
    <row r="78426" spans="10:10" x14ac:dyDescent="0.3">
      <c r="J78426"/>
    </row>
    <row r="78427" spans="10:10" x14ac:dyDescent="0.3">
      <c r="J78427"/>
    </row>
    <row r="78428" spans="10:10" x14ac:dyDescent="0.3">
      <c r="J78428"/>
    </row>
    <row r="78429" spans="10:10" x14ac:dyDescent="0.3">
      <c r="J78429"/>
    </row>
    <row r="78430" spans="10:10" x14ac:dyDescent="0.3">
      <c r="J78430"/>
    </row>
    <row r="78431" spans="10:10" x14ac:dyDescent="0.3">
      <c r="J78431"/>
    </row>
    <row r="78432" spans="10:10" x14ac:dyDescent="0.3">
      <c r="J78432"/>
    </row>
    <row r="78433" spans="10:10" x14ac:dyDescent="0.3">
      <c r="J78433"/>
    </row>
    <row r="78434" spans="10:10" x14ac:dyDescent="0.3">
      <c r="J78434"/>
    </row>
    <row r="78435" spans="10:10" x14ac:dyDescent="0.3">
      <c r="J78435"/>
    </row>
    <row r="78436" spans="10:10" x14ac:dyDescent="0.3">
      <c r="J78436"/>
    </row>
    <row r="78437" spans="10:10" x14ac:dyDescent="0.3">
      <c r="J78437"/>
    </row>
    <row r="78438" spans="10:10" x14ac:dyDescent="0.3">
      <c r="J78438"/>
    </row>
    <row r="78439" spans="10:10" x14ac:dyDescent="0.3">
      <c r="J78439"/>
    </row>
    <row r="78440" spans="10:10" x14ac:dyDescent="0.3">
      <c r="J78440"/>
    </row>
    <row r="78441" spans="10:10" x14ac:dyDescent="0.3">
      <c r="J78441"/>
    </row>
    <row r="78442" spans="10:10" x14ac:dyDescent="0.3">
      <c r="J78442"/>
    </row>
    <row r="78443" spans="10:10" x14ac:dyDescent="0.3">
      <c r="J78443"/>
    </row>
    <row r="78444" spans="10:10" x14ac:dyDescent="0.3">
      <c r="J78444"/>
    </row>
    <row r="78445" spans="10:10" x14ac:dyDescent="0.3">
      <c r="J78445"/>
    </row>
    <row r="78446" spans="10:10" x14ac:dyDescent="0.3">
      <c r="J78446"/>
    </row>
    <row r="78447" spans="10:10" x14ac:dyDescent="0.3">
      <c r="J78447"/>
    </row>
    <row r="78448" spans="10:10" x14ac:dyDescent="0.3">
      <c r="J78448"/>
    </row>
    <row r="78449" spans="10:10" x14ac:dyDescent="0.3">
      <c r="J78449"/>
    </row>
    <row r="78450" spans="10:10" x14ac:dyDescent="0.3">
      <c r="J78450"/>
    </row>
    <row r="78451" spans="10:10" x14ac:dyDescent="0.3">
      <c r="J78451"/>
    </row>
    <row r="78452" spans="10:10" x14ac:dyDescent="0.3">
      <c r="J78452"/>
    </row>
    <row r="78453" spans="10:10" x14ac:dyDescent="0.3">
      <c r="J78453"/>
    </row>
    <row r="78454" spans="10:10" x14ac:dyDescent="0.3">
      <c r="J78454"/>
    </row>
    <row r="78455" spans="10:10" x14ac:dyDescent="0.3">
      <c r="J78455"/>
    </row>
    <row r="78456" spans="10:10" x14ac:dyDescent="0.3">
      <c r="J78456"/>
    </row>
    <row r="78457" spans="10:10" x14ac:dyDescent="0.3">
      <c r="J78457"/>
    </row>
    <row r="78458" spans="10:10" x14ac:dyDescent="0.3">
      <c r="J78458"/>
    </row>
    <row r="78459" spans="10:10" x14ac:dyDescent="0.3">
      <c r="J78459"/>
    </row>
    <row r="78460" spans="10:10" x14ac:dyDescent="0.3">
      <c r="J78460"/>
    </row>
    <row r="78461" spans="10:10" x14ac:dyDescent="0.3">
      <c r="J78461"/>
    </row>
    <row r="78462" spans="10:10" x14ac:dyDescent="0.3">
      <c r="J78462"/>
    </row>
    <row r="78463" spans="10:10" x14ac:dyDescent="0.3">
      <c r="J78463"/>
    </row>
    <row r="78464" spans="10:10" x14ac:dyDescent="0.3">
      <c r="J78464"/>
    </row>
    <row r="78465" spans="10:10" x14ac:dyDescent="0.3">
      <c r="J78465"/>
    </row>
    <row r="78466" spans="10:10" x14ac:dyDescent="0.3">
      <c r="J78466"/>
    </row>
    <row r="78467" spans="10:10" x14ac:dyDescent="0.3">
      <c r="J78467"/>
    </row>
    <row r="78468" spans="10:10" x14ac:dyDescent="0.3">
      <c r="J78468"/>
    </row>
    <row r="78469" spans="10:10" x14ac:dyDescent="0.3">
      <c r="J78469"/>
    </row>
    <row r="78470" spans="10:10" x14ac:dyDescent="0.3">
      <c r="J78470"/>
    </row>
    <row r="78471" spans="10:10" x14ac:dyDescent="0.3">
      <c r="J78471"/>
    </row>
    <row r="78472" spans="10:10" x14ac:dyDescent="0.3">
      <c r="J78472"/>
    </row>
    <row r="78473" spans="10:10" x14ac:dyDescent="0.3">
      <c r="J78473"/>
    </row>
    <row r="78474" spans="10:10" x14ac:dyDescent="0.3">
      <c r="J78474"/>
    </row>
    <row r="78475" spans="10:10" x14ac:dyDescent="0.3">
      <c r="J78475"/>
    </row>
    <row r="78476" spans="10:10" x14ac:dyDescent="0.3">
      <c r="J78476"/>
    </row>
    <row r="78477" spans="10:10" x14ac:dyDescent="0.3">
      <c r="J78477"/>
    </row>
    <row r="78478" spans="10:10" x14ac:dyDescent="0.3">
      <c r="J78478"/>
    </row>
    <row r="78479" spans="10:10" x14ac:dyDescent="0.3">
      <c r="J78479"/>
    </row>
    <row r="78480" spans="10:10" x14ac:dyDescent="0.3">
      <c r="J78480"/>
    </row>
    <row r="78481" spans="10:10" x14ac:dyDescent="0.3">
      <c r="J78481"/>
    </row>
    <row r="78482" spans="10:10" x14ac:dyDescent="0.3">
      <c r="J78482"/>
    </row>
    <row r="78483" spans="10:10" x14ac:dyDescent="0.3">
      <c r="J78483"/>
    </row>
    <row r="78484" spans="10:10" x14ac:dyDescent="0.3">
      <c r="J78484"/>
    </row>
    <row r="78485" spans="10:10" x14ac:dyDescent="0.3">
      <c r="J78485"/>
    </row>
    <row r="78486" spans="10:10" x14ac:dyDescent="0.3">
      <c r="J78486"/>
    </row>
    <row r="78487" spans="10:10" x14ac:dyDescent="0.3">
      <c r="J78487"/>
    </row>
    <row r="78488" spans="10:10" x14ac:dyDescent="0.3">
      <c r="J78488"/>
    </row>
    <row r="78489" spans="10:10" x14ac:dyDescent="0.3">
      <c r="J78489"/>
    </row>
    <row r="78490" spans="10:10" x14ac:dyDescent="0.3">
      <c r="J78490"/>
    </row>
    <row r="78491" spans="10:10" x14ac:dyDescent="0.3">
      <c r="J78491"/>
    </row>
    <row r="78492" spans="10:10" x14ac:dyDescent="0.3">
      <c r="J78492"/>
    </row>
    <row r="78493" spans="10:10" x14ac:dyDescent="0.3">
      <c r="J78493"/>
    </row>
    <row r="78494" spans="10:10" x14ac:dyDescent="0.3">
      <c r="J78494"/>
    </row>
    <row r="78495" spans="10:10" x14ac:dyDescent="0.3">
      <c r="J78495"/>
    </row>
    <row r="78496" spans="10:10" x14ac:dyDescent="0.3">
      <c r="J78496"/>
    </row>
    <row r="78497" spans="10:10" x14ac:dyDescent="0.3">
      <c r="J78497"/>
    </row>
    <row r="78498" spans="10:10" x14ac:dyDescent="0.3">
      <c r="J78498"/>
    </row>
    <row r="78499" spans="10:10" x14ac:dyDescent="0.3">
      <c r="J78499"/>
    </row>
    <row r="78500" spans="10:10" x14ac:dyDescent="0.3">
      <c r="J78500"/>
    </row>
    <row r="78501" spans="10:10" x14ac:dyDescent="0.3">
      <c r="J78501"/>
    </row>
    <row r="78502" spans="10:10" x14ac:dyDescent="0.3">
      <c r="J78502"/>
    </row>
    <row r="78503" spans="10:10" x14ac:dyDescent="0.3">
      <c r="J78503"/>
    </row>
    <row r="78504" spans="10:10" x14ac:dyDescent="0.3">
      <c r="J78504"/>
    </row>
    <row r="78505" spans="10:10" x14ac:dyDescent="0.3">
      <c r="J78505"/>
    </row>
    <row r="78506" spans="10:10" x14ac:dyDescent="0.3">
      <c r="J78506"/>
    </row>
    <row r="78507" spans="10:10" x14ac:dyDescent="0.3">
      <c r="J78507"/>
    </row>
    <row r="78508" spans="10:10" x14ac:dyDescent="0.3">
      <c r="J78508"/>
    </row>
    <row r="78509" spans="10:10" x14ac:dyDescent="0.3">
      <c r="J78509"/>
    </row>
    <row r="78510" spans="10:10" x14ac:dyDescent="0.3">
      <c r="J78510"/>
    </row>
    <row r="78511" spans="10:10" x14ac:dyDescent="0.3">
      <c r="J78511"/>
    </row>
    <row r="78512" spans="10:10" x14ac:dyDescent="0.3">
      <c r="J78512"/>
    </row>
    <row r="78513" spans="10:10" x14ac:dyDescent="0.3">
      <c r="J78513"/>
    </row>
    <row r="78514" spans="10:10" x14ac:dyDescent="0.3">
      <c r="J78514"/>
    </row>
    <row r="78515" spans="10:10" x14ac:dyDescent="0.3">
      <c r="J78515"/>
    </row>
    <row r="78516" spans="10:10" x14ac:dyDescent="0.3">
      <c r="J78516"/>
    </row>
    <row r="78517" spans="10:10" x14ac:dyDescent="0.3">
      <c r="J78517"/>
    </row>
    <row r="78518" spans="10:10" x14ac:dyDescent="0.3">
      <c r="J78518"/>
    </row>
    <row r="78519" spans="10:10" x14ac:dyDescent="0.3">
      <c r="J78519"/>
    </row>
    <row r="78520" spans="10:10" x14ac:dyDescent="0.3">
      <c r="J78520"/>
    </row>
    <row r="78521" spans="10:10" x14ac:dyDescent="0.3">
      <c r="J78521"/>
    </row>
    <row r="78522" spans="10:10" x14ac:dyDescent="0.3">
      <c r="J78522"/>
    </row>
    <row r="78523" spans="10:10" x14ac:dyDescent="0.3">
      <c r="J78523"/>
    </row>
    <row r="78524" spans="10:10" x14ac:dyDescent="0.3">
      <c r="J78524"/>
    </row>
    <row r="78525" spans="10:10" x14ac:dyDescent="0.3">
      <c r="J78525"/>
    </row>
    <row r="78526" spans="10:10" x14ac:dyDescent="0.3">
      <c r="J78526"/>
    </row>
    <row r="78527" spans="10:10" x14ac:dyDescent="0.3">
      <c r="J78527"/>
    </row>
    <row r="78528" spans="10:10" x14ac:dyDescent="0.3">
      <c r="J78528"/>
    </row>
    <row r="78529" spans="10:10" x14ac:dyDescent="0.3">
      <c r="J78529"/>
    </row>
    <row r="78530" spans="10:10" x14ac:dyDescent="0.3">
      <c r="J78530"/>
    </row>
    <row r="78531" spans="10:10" x14ac:dyDescent="0.3">
      <c r="J78531"/>
    </row>
    <row r="78532" spans="10:10" x14ac:dyDescent="0.3">
      <c r="J78532"/>
    </row>
    <row r="78533" spans="10:10" x14ac:dyDescent="0.3">
      <c r="J78533"/>
    </row>
    <row r="78534" spans="10:10" x14ac:dyDescent="0.3">
      <c r="J78534"/>
    </row>
    <row r="78535" spans="10:10" x14ac:dyDescent="0.3">
      <c r="J78535"/>
    </row>
    <row r="78536" spans="10:10" x14ac:dyDescent="0.3">
      <c r="J78536"/>
    </row>
    <row r="78537" spans="10:10" x14ac:dyDescent="0.3">
      <c r="J78537"/>
    </row>
    <row r="78538" spans="10:10" x14ac:dyDescent="0.3">
      <c r="J78538"/>
    </row>
    <row r="78539" spans="10:10" x14ac:dyDescent="0.3">
      <c r="J78539"/>
    </row>
    <row r="78540" spans="10:10" x14ac:dyDescent="0.3">
      <c r="J78540"/>
    </row>
    <row r="78541" spans="10:10" x14ac:dyDescent="0.3">
      <c r="J78541"/>
    </row>
    <row r="78542" spans="10:10" x14ac:dyDescent="0.3">
      <c r="J78542"/>
    </row>
    <row r="78543" spans="10:10" x14ac:dyDescent="0.3">
      <c r="J78543"/>
    </row>
    <row r="78544" spans="10:10" x14ac:dyDescent="0.3">
      <c r="J78544"/>
    </row>
    <row r="78545" spans="10:10" x14ac:dyDescent="0.3">
      <c r="J78545"/>
    </row>
    <row r="78546" spans="10:10" x14ac:dyDescent="0.3">
      <c r="J78546"/>
    </row>
    <row r="78547" spans="10:10" x14ac:dyDescent="0.3">
      <c r="J78547"/>
    </row>
    <row r="78548" spans="10:10" x14ac:dyDescent="0.3">
      <c r="J78548"/>
    </row>
    <row r="78549" spans="10:10" x14ac:dyDescent="0.3">
      <c r="J78549"/>
    </row>
    <row r="78550" spans="10:10" x14ac:dyDescent="0.3">
      <c r="J78550"/>
    </row>
    <row r="78551" spans="10:10" x14ac:dyDescent="0.3">
      <c r="J78551"/>
    </row>
    <row r="78552" spans="10:10" x14ac:dyDescent="0.3">
      <c r="J78552"/>
    </row>
    <row r="78553" spans="10:10" x14ac:dyDescent="0.3">
      <c r="J78553"/>
    </row>
    <row r="78554" spans="10:10" x14ac:dyDescent="0.3">
      <c r="J78554"/>
    </row>
    <row r="78555" spans="10:10" x14ac:dyDescent="0.3">
      <c r="J78555"/>
    </row>
    <row r="78556" spans="10:10" x14ac:dyDescent="0.3">
      <c r="J78556"/>
    </row>
    <row r="78557" spans="10:10" x14ac:dyDescent="0.3">
      <c r="J78557"/>
    </row>
    <row r="78558" spans="10:10" x14ac:dyDescent="0.3">
      <c r="J78558"/>
    </row>
    <row r="78559" spans="10:10" x14ac:dyDescent="0.3">
      <c r="J78559"/>
    </row>
    <row r="78560" spans="10:10" x14ac:dyDescent="0.3">
      <c r="J78560"/>
    </row>
    <row r="78561" spans="10:10" x14ac:dyDescent="0.3">
      <c r="J78561"/>
    </row>
    <row r="78562" spans="10:10" x14ac:dyDescent="0.3">
      <c r="J78562"/>
    </row>
    <row r="78563" spans="10:10" x14ac:dyDescent="0.3">
      <c r="J78563"/>
    </row>
    <row r="78564" spans="10:10" x14ac:dyDescent="0.3">
      <c r="J78564"/>
    </row>
    <row r="78565" spans="10:10" x14ac:dyDescent="0.3">
      <c r="J78565"/>
    </row>
    <row r="78566" spans="10:10" x14ac:dyDescent="0.3">
      <c r="J78566"/>
    </row>
    <row r="78567" spans="10:10" x14ac:dyDescent="0.3">
      <c r="J78567"/>
    </row>
    <row r="78568" spans="10:10" x14ac:dyDescent="0.3">
      <c r="J78568"/>
    </row>
    <row r="78569" spans="10:10" x14ac:dyDescent="0.3">
      <c r="J78569"/>
    </row>
    <row r="78570" spans="10:10" x14ac:dyDescent="0.3">
      <c r="J78570"/>
    </row>
    <row r="78571" spans="10:10" x14ac:dyDescent="0.3">
      <c r="J78571"/>
    </row>
    <row r="78572" spans="10:10" x14ac:dyDescent="0.3">
      <c r="J78572"/>
    </row>
    <row r="78573" spans="10:10" x14ac:dyDescent="0.3">
      <c r="J78573"/>
    </row>
    <row r="78574" spans="10:10" x14ac:dyDescent="0.3">
      <c r="J78574"/>
    </row>
    <row r="78575" spans="10:10" x14ac:dyDescent="0.3">
      <c r="J78575"/>
    </row>
    <row r="78576" spans="10:10" x14ac:dyDescent="0.3">
      <c r="J78576"/>
    </row>
    <row r="78577" spans="10:10" x14ac:dyDescent="0.3">
      <c r="J78577"/>
    </row>
    <row r="78578" spans="10:10" x14ac:dyDescent="0.3">
      <c r="J78578"/>
    </row>
    <row r="78579" spans="10:10" x14ac:dyDescent="0.3">
      <c r="J78579"/>
    </row>
    <row r="78580" spans="10:10" x14ac:dyDescent="0.3">
      <c r="J78580"/>
    </row>
    <row r="78581" spans="10:10" x14ac:dyDescent="0.3">
      <c r="J78581"/>
    </row>
    <row r="78582" spans="10:10" x14ac:dyDescent="0.3">
      <c r="J78582"/>
    </row>
    <row r="78583" spans="10:10" x14ac:dyDescent="0.3">
      <c r="J78583"/>
    </row>
    <row r="78584" spans="10:10" x14ac:dyDescent="0.3">
      <c r="J78584"/>
    </row>
    <row r="78585" spans="10:10" x14ac:dyDescent="0.3">
      <c r="J78585"/>
    </row>
    <row r="78586" spans="10:10" x14ac:dyDescent="0.3">
      <c r="J78586"/>
    </row>
    <row r="78587" spans="10:10" x14ac:dyDescent="0.3">
      <c r="J78587"/>
    </row>
    <row r="78588" spans="10:10" x14ac:dyDescent="0.3">
      <c r="J78588"/>
    </row>
    <row r="78589" spans="10:10" x14ac:dyDescent="0.3">
      <c r="J78589"/>
    </row>
    <row r="78590" spans="10:10" x14ac:dyDescent="0.3">
      <c r="J78590"/>
    </row>
    <row r="78591" spans="10:10" x14ac:dyDescent="0.3">
      <c r="J78591"/>
    </row>
    <row r="78592" spans="10:10" x14ac:dyDescent="0.3">
      <c r="J78592"/>
    </row>
    <row r="78593" spans="10:10" x14ac:dyDescent="0.3">
      <c r="J78593"/>
    </row>
    <row r="78594" spans="10:10" x14ac:dyDescent="0.3">
      <c r="J78594"/>
    </row>
    <row r="78595" spans="10:10" x14ac:dyDescent="0.3">
      <c r="J78595"/>
    </row>
    <row r="78596" spans="10:10" x14ac:dyDescent="0.3">
      <c r="J78596"/>
    </row>
    <row r="78597" spans="10:10" x14ac:dyDescent="0.3">
      <c r="J78597"/>
    </row>
    <row r="78598" spans="10:10" x14ac:dyDescent="0.3">
      <c r="J78598"/>
    </row>
    <row r="78599" spans="10:10" x14ac:dyDescent="0.3">
      <c r="J78599"/>
    </row>
    <row r="78600" spans="10:10" x14ac:dyDescent="0.3">
      <c r="J78600"/>
    </row>
    <row r="78601" spans="10:10" x14ac:dyDescent="0.3">
      <c r="J78601"/>
    </row>
    <row r="78602" spans="10:10" x14ac:dyDescent="0.3">
      <c r="J78602"/>
    </row>
    <row r="78603" spans="10:10" x14ac:dyDescent="0.3">
      <c r="J78603"/>
    </row>
    <row r="78604" spans="10:10" x14ac:dyDescent="0.3">
      <c r="J78604"/>
    </row>
    <row r="78605" spans="10:10" x14ac:dyDescent="0.3">
      <c r="J78605"/>
    </row>
    <row r="78606" spans="10:10" x14ac:dyDescent="0.3">
      <c r="J78606"/>
    </row>
    <row r="78607" spans="10:10" x14ac:dyDescent="0.3">
      <c r="J78607"/>
    </row>
    <row r="78608" spans="10:10" x14ac:dyDescent="0.3">
      <c r="J78608"/>
    </row>
    <row r="78609" spans="10:10" x14ac:dyDescent="0.3">
      <c r="J78609"/>
    </row>
    <row r="78610" spans="10:10" x14ac:dyDescent="0.3">
      <c r="J78610"/>
    </row>
    <row r="78611" spans="10:10" x14ac:dyDescent="0.3">
      <c r="J78611"/>
    </row>
    <row r="78612" spans="10:10" x14ac:dyDescent="0.3">
      <c r="J78612"/>
    </row>
    <row r="78613" spans="10:10" x14ac:dyDescent="0.3">
      <c r="J78613"/>
    </row>
    <row r="78614" spans="10:10" x14ac:dyDescent="0.3">
      <c r="J78614"/>
    </row>
    <row r="78615" spans="10:10" x14ac:dyDescent="0.3">
      <c r="J78615"/>
    </row>
    <row r="78616" spans="10:10" x14ac:dyDescent="0.3">
      <c r="J78616"/>
    </row>
    <row r="78617" spans="10:10" x14ac:dyDescent="0.3">
      <c r="J78617"/>
    </row>
    <row r="78618" spans="10:10" x14ac:dyDescent="0.3">
      <c r="J78618"/>
    </row>
    <row r="78619" spans="10:10" x14ac:dyDescent="0.3">
      <c r="J78619"/>
    </row>
    <row r="78620" spans="10:10" x14ac:dyDescent="0.3">
      <c r="J78620"/>
    </row>
    <row r="78621" spans="10:10" x14ac:dyDescent="0.3">
      <c r="J78621"/>
    </row>
    <row r="78622" spans="10:10" x14ac:dyDescent="0.3">
      <c r="J78622"/>
    </row>
    <row r="78623" spans="10:10" x14ac:dyDescent="0.3">
      <c r="J78623"/>
    </row>
    <row r="78624" spans="10:10" x14ac:dyDescent="0.3">
      <c r="J78624"/>
    </row>
    <row r="78625" spans="10:10" x14ac:dyDescent="0.3">
      <c r="J78625"/>
    </row>
    <row r="78626" spans="10:10" x14ac:dyDescent="0.3">
      <c r="J78626"/>
    </row>
    <row r="78627" spans="10:10" x14ac:dyDescent="0.3">
      <c r="J78627"/>
    </row>
    <row r="78628" spans="10:10" x14ac:dyDescent="0.3">
      <c r="J78628"/>
    </row>
    <row r="78629" spans="10:10" x14ac:dyDescent="0.3">
      <c r="J78629"/>
    </row>
    <row r="78630" spans="10:10" x14ac:dyDescent="0.3">
      <c r="J78630"/>
    </row>
    <row r="78631" spans="10:10" x14ac:dyDescent="0.3">
      <c r="J78631"/>
    </row>
    <row r="78632" spans="10:10" x14ac:dyDescent="0.3">
      <c r="J78632"/>
    </row>
    <row r="78633" spans="10:10" x14ac:dyDescent="0.3">
      <c r="J78633"/>
    </row>
    <row r="78634" spans="10:10" x14ac:dyDescent="0.3">
      <c r="J78634"/>
    </row>
    <row r="78635" spans="10:10" x14ac:dyDescent="0.3">
      <c r="J78635"/>
    </row>
    <row r="78636" spans="10:10" x14ac:dyDescent="0.3">
      <c r="J78636"/>
    </row>
    <row r="78637" spans="10:10" x14ac:dyDescent="0.3">
      <c r="J78637"/>
    </row>
    <row r="78638" spans="10:10" x14ac:dyDescent="0.3">
      <c r="J78638"/>
    </row>
    <row r="78639" spans="10:10" x14ac:dyDescent="0.3">
      <c r="J78639"/>
    </row>
    <row r="78640" spans="10:10" x14ac:dyDescent="0.3">
      <c r="J78640"/>
    </row>
    <row r="78641" spans="10:10" x14ac:dyDescent="0.3">
      <c r="J78641"/>
    </row>
    <row r="78642" spans="10:10" x14ac:dyDescent="0.3">
      <c r="J78642"/>
    </row>
    <row r="78643" spans="10:10" x14ac:dyDescent="0.3">
      <c r="J78643"/>
    </row>
    <row r="78644" spans="10:10" x14ac:dyDescent="0.3">
      <c r="J78644"/>
    </row>
    <row r="78645" spans="10:10" x14ac:dyDescent="0.3">
      <c r="J78645"/>
    </row>
    <row r="78646" spans="10:10" x14ac:dyDescent="0.3">
      <c r="J78646"/>
    </row>
    <row r="78647" spans="10:10" x14ac:dyDescent="0.3">
      <c r="J78647"/>
    </row>
    <row r="78648" spans="10:10" x14ac:dyDescent="0.3">
      <c r="J78648"/>
    </row>
    <row r="78649" spans="10:10" x14ac:dyDescent="0.3">
      <c r="J78649"/>
    </row>
    <row r="78650" spans="10:10" x14ac:dyDescent="0.3">
      <c r="J78650"/>
    </row>
    <row r="78651" spans="10:10" x14ac:dyDescent="0.3">
      <c r="J78651"/>
    </row>
    <row r="78652" spans="10:10" x14ac:dyDescent="0.3">
      <c r="J78652"/>
    </row>
    <row r="78653" spans="10:10" x14ac:dyDescent="0.3">
      <c r="J78653"/>
    </row>
    <row r="78654" spans="10:10" x14ac:dyDescent="0.3">
      <c r="J78654"/>
    </row>
    <row r="78655" spans="10:10" x14ac:dyDescent="0.3">
      <c r="J78655"/>
    </row>
    <row r="78656" spans="10:10" x14ac:dyDescent="0.3">
      <c r="J78656"/>
    </row>
    <row r="78657" spans="10:10" x14ac:dyDescent="0.3">
      <c r="J78657"/>
    </row>
    <row r="78658" spans="10:10" x14ac:dyDescent="0.3">
      <c r="J78658"/>
    </row>
    <row r="78659" spans="10:10" x14ac:dyDescent="0.3">
      <c r="J78659"/>
    </row>
    <row r="78660" spans="10:10" x14ac:dyDescent="0.3">
      <c r="J78660"/>
    </row>
    <row r="78661" spans="10:10" x14ac:dyDescent="0.3">
      <c r="J78661"/>
    </row>
    <row r="78662" spans="10:10" x14ac:dyDescent="0.3">
      <c r="J78662"/>
    </row>
    <row r="78663" spans="10:10" x14ac:dyDescent="0.3">
      <c r="J78663"/>
    </row>
    <row r="78664" spans="10:10" x14ac:dyDescent="0.3">
      <c r="J78664"/>
    </row>
    <row r="78665" spans="10:10" x14ac:dyDescent="0.3">
      <c r="J78665"/>
    </row>
    <row r="78666" spans="10:10" x14ac:dyDescent="0.3">
      <c r="J78666"/>
    </row>
    <row r="78667" spans="10:10" x14ac:dyDescent="0.3">
      <c r="J78667"/>
    </row>
    <row r="78668" spans="10:10" x14ac:dyDescent="0.3">
      <c r="J78668"/>
    </row>
    <row r="78669" spans="10:10" x14ac:dyDescent="0.3">
      <c r="J78669"/>
    </row>
    <row r="78670" spans="10:10" x14ac:dyDescent="0.3">
      <c r="J78670"/>
    </row>
    <row r="78671" spans="10:10" x14ac:dyDescent="0.3">
      <c r="J78671"/>
    </row>
    <row r="78672" spans="10:10" x14ac:dyDescent="0.3">
      <c r="J78672"/>
    </row>
    <row r="78673" spans="10:10" x14ac:dyDescent="0.3">
      <c r="J78673"/>
    </row>
    <row r="78674" spans="10:10" x14ac:dyDescent="0.3">
      <c r="J78674"/>
    </row>
    <row r="78675" spans="10:10" x14ac:dyDescent="0.3">
      <c r="J78675"/>
    </row>
    <row r="78676" spans="10:10" x14ac:dyDescent="0.3">
      <c r="J78676"/>
    </row>
    <row r="78677" spans="10:10" x14ac:dyDescent="0.3">
      <c r="J78677"/>
    </row>
    <row r="78678" spans="10:10" x14ac:dyDescent="0.3">
      <c r="J78678"/>
    </row>
    <row r="78679" spans="10:10" x14ac:dyDescent="0.3">
      <c r="J78679"/>
    </row>
    <row r="78680" spans="10:10" x14ac:dyDescent="0.3">
      <c r="J78680"/>
    </row>
    <row r="78681" spans="10:10" x14ac:dyDescent="0.3">
      <c r="J78681"/>
    </row>
    <row r="78682" spans="10:10" x14ac:dyDescent="0.3">
      <c r="J78682"/>
    </row>
    <row r="78683" spans="10:10" x14ac:dyDescent="0.3">
      <c r="J78683"/>
    </row>
    <row r="78684" spans="10:10" x14ac:dyDescent="0.3">
      <c r="J78684"/>
    </row>
    <row r="78685" spans="10:10" x14ac:dyDescent="0.3">
      <c r="J78685"/>
    </row>
    <row r="78686" spans="10:10" x14ac:dyDescent="0.3">
      <c r="J78686"/>
    </row>
    <row r="78687" spans="10:10" x14ac:dyDescent="0.3">
      <c r="J78687"/>
    </row>
    <row r="78688" spans="10:10" x14ac:dyDescent="0.3">
      <c r="J78688"/>
    </row>
    <row r="78689" spans="10:10" x14ac:dyDescent="0.3">
      <c r="J78689"/>
    </row>
    <row r="78690" spans="10:10" x14ac:dyDescent="0.3">
      <c r="J78690"/>
    </row>
    <row r="78691" spans="10:10" x14ac:dyDescent="0.3">
      <c r="J78691"/>
    </row>
    <row r="78692" spans="10:10" x14ac:dyDescent="0.3">
      <c r="J78692"/>
    </row>
    <row r="78693" spans="10:10" x14ac:dyDescent="0.3">
      <c r="J78693"/>
    </row>
    <row r="78694" spans="10:10" x14ac:dyDescent="0.3">
      <c r="J78694"/>
    </row>
    <row r="78695" spans="10:10" x14ac:dyDescent="0.3">
      <c r="J78695"/>
    </row>
    <row r="78696" spans="10:10" x14ac:dyDescent="0.3">
      <c r="J78696"/>
    </row>
    <row r="78697" spans="10:10" x14ac:dyDescent="0.3">
      <c r="J78697"/>
    </row>
    <row r="78698" spans="10:10" x14ac:dyDescent="0.3">
      <c r="J78698"/>
    </row>
    <row r="78699" spans="10:10" x14ac:dyDescent="0.3">
      <c r="J78699"/>
    </row>
    <row r="78700" spans="10:10" x14ac:dyDescent="0.3">
      <c r="J78700"/>
    </row>
    <row r="78701" spans="10:10" x14ac:dyDescent="0.3">
      <c r="J78701"/>
    </row>
    <row r="78702" spans="10:10" x14ac:dyDescent="0.3">
      <c r="J78702"/>
    </row>
    <row r="78703" spans="10:10" x14ac:dyDescent="0.3">
      <c r="J78703"/>
    </row>
    <row r="78704" spans="10:10" x14ac:dyDescent="0.3">
      <c r="J78704"/>
    </row>
    <row r="78705" spans="10:10" x14ac:dyDescent="0.3">
      <c r="J78705"/>
    </row>
    <row r="78706" spans="10:10" x14ac:dyDescent="0.3">
      <c r="J78706"/>
    </row>
    <row r="78707" spans="10:10" x14ac:dyDescent="0.3">
      <c r="J78707"/>
    </row>
    <row r="78708" spans="10:10" x14ac:dyDescent="0.3">
      <c r="J78708"/>
    </row>
    <row r="78709" spans="10:10" x14ac:dyDescent="0.3">
      <c r="J78709"/>
    </row>
    <row r="78710" spans="10:10" x14ac:dyDescent="0.3">
      <c r="J78710"/>
    </row>
    <row r="78711" spans="10:10" x14ac:dyDescent="0.3">
      <c r="J78711"/>
    </row>
    <row r="78712" spans="10:10" x14ac:dyDescent="0.3">
      <c r="J78712"/>
    </row>
    <row r="78713" spans="10:10" x14ac:dyDescent="0.3">
      <c r="J78713"/>
    </row>
    <row r="78714" spans="10:10" x14ac:dyDescent="0.3">
      <c r="J78714"/>
    </row>
    <row r="78715" spans="10:10" x14ac:dyDescent="0.3">
      <c r="J78715"/>
    </row>
    <row r="78716" spans="10:10" x14ac:dyDescent="0.3">
      <c r="J78716"/>
    </row>
    <row r="78717" spans="10:10" x14ac:dyDescent="0.3">
      <c r="J78717"/>
    </row>
    <row r="78718" spans="10:10" x14ac:dyDescent="0.3">
      <c r="J78718"/>
    </row>
    <row r="78719" spans="10:10" x14ac:dyDescent="0.3">
      <c r="J78719"/>
    </row>
    <row r="78720" spans="10:10" x14ac:dyDescent="0.3">
      <c r="J78720"/>
    </row>
    <row r="78721" spans="10:10" x14ac:dyDescent="0.3">
      <c r="J78721"/>
    </row>
    <row r="78722" spans="10:10" x14ac:dyDescent="0.3">
      <c r="J78722"/>
    </row>
    <row r="78723" spans="10:10" x14ac:dyDescent="0.3">
      <c r="J78723"/>
    </row>
    <row r="78724" spans="10:10" x14ac:dyDescent="0.3">
      <c r="J78724"/>
    </row>
    <row r="78725" spans="10:10" x14ac:dyDescent="0.3">
      <c r="J78725"/>
    </row>
    <row r="78726" spans="10:10" x14ac:dyDescent="0.3">
      <c r="J78726"/>
    </row>
    <row r="78727" spans="10:10" x14ac:dyDescent="0.3">
      <c r="J78727"/>
    </row>
    <row r="78728" spans="10:10" x14ac:dyDescent="0.3">
      <c r="J78728"/>
    </row>
    <row r="78729" spans="10:10" x14ac:dyDescent="0.3">
      <c r="J78729"/>
    </row>
    <row r="78730" spans="10:10" x14ac:dyDescent="0.3">
      <c r="J78730"/>
    </row>
    <row r="78731" spans="10:10" x14ac:dyDescent="0.3">
      <c r="J78731"/>
    </row>
    <row r="78732" spans="10:10" x14ac:dyDescent="0.3">
      <c r="J78732"/>
    </row>
    <row r="78733" spans="10:10" x14ac:dyDescent="0.3">
      <c r="J78733"/>
    </row>
    <row r="78734" spans="10:10" x14ac:dyDescent="0.3">
      <c r="J78734"/>
    </row>
    <row r="78735" spans="10:10" x14ac:dyDescent="0.3">
      <c r="J78735"/>
    </row>
    <row r="78736" spans="10:10" x14ac:dyDescent="0.3">
      <c r="J78736"/>
    </row>
    <row r="78737" spans="10:10" x14ac:dyDescent="0.3">
      <c r="J78737"/>
    </row>
    <row r="78738" spans="10:10" x14ac:dyDescent="0.3">
      <c r="J78738"/>
    </row>
    <row r="78739" spans="10:10" x14ac:dyDescent="0.3">
      <c r="J78739"/>
    </row>
    <row r="78740" spans="10:10" x14ac:dyDescent="0.3">
      <c r="J78740"/>
    </row>
    <row r="78741" spans="10:10" x14ac:dyDescent="0.3">
      <c r="J78741"/>
    </row>
    <row r="78742" spans="10:10" x14ac:dyDescent="0.3">
      <c r="J78742"/>
    </row>
    <row r="78743" spans="10:10" x14ac:dyDescent="0.3">
      <c r="J78743"/>
    </row>
    <row r="78744" spans="10:10" x14ac:dyDescent="0.3">
      <c r="J78744"/>
    </row>
    <row r="78745" spans="10:10" x14ac:dyDescent="0.3">
      <c r="J78745"/>
    </row>
    <row r="78746" spans="10:10" x14ac:dyDescent="0.3">
      <c r="J78746"/>
    </row>
    <row r="78747" spans="10:10" x14ac:dyDescent="0.3">
      <c r="J78747"/>
    </row>
    <row r="78748" spans="10:10" x14ac:dyDescent="0.3">
      <c r="J78748"/>
    </row>
    <row r="78749" spans="10:10" x14ac:dyDescent="0.3">
      <c r="J78749"/>
    </row>
    <row r="78750" spans="10:10" x14ac:dyDescent="0.3">
      <c r="J78750"/>
    </row>
    <row r="78751" spans="10:10" x14ac:dyDescent="0.3">
      <c r="J78751"/>
    </row>
    <row r="78752" spans="10:10" x14ac:dyDescent="0.3">
      <c r="J78752"/>
    </row>
    <row r="78753" spans="10:10" x14ac:dyDescent="0.3">
      <c r="J78753"/>
    </row>
    <row r="78754" spans="10:10" x14ac:dyDescent="0.3">
      <c r="J78754"/>
    </row>
    <row r="78755" spans="10:10" x14ac:dyDescent="0.3">
      <c r="J78755"/>
    </row>
    <row r="78756" spans="10:10" x14ac:dyDescent="0.3">
      <c r="J78756"/>
    </row>
    <row r="78757" spans="10:10" x14ac:dyDescent="0.3">
      <c r="J78757"/>
    </row>
    <row r="78758" spans="10:10" x14ac:dyDescent="0.3">
      <c r="J78758"/>
    </row>
    <row r="78759" spans="10:10" x14ac:dyDescent="0.3">
      <c r="J78759"/>
    </row>
    <row r="78760" spans="10:10" x14ac:dyDescent="0.3">
      <c r="J78760"/>
    </row>
    <row r="78761" spans="10:10" x14ac:dyDescent="0.3">
      <c r="J78761"/>
    </row>
    <row r="78762" spans="10:10" x14ac:dyDescent="0.3">
      <c r="J78762"/>
    </row>
    <row r="78763" spans="10:10" x14ac:dyDescent="0.3">
      <c r="J78763"/>
    </row>
    <row r="78764" spans="10:10" x14ac:dyDescent="0.3">
      <c r="J78764"/>
    </row>
    <row r="78765" spans="10:10" x14ac:dyDescent="0.3">
      <c r="J78765"/>
    </row>
    <row r="78766" spans="10:10" x14ac:dyDescent="0.3">
      <c r="J78766"/>
    </row>
    <row r="78767" spans="10:10" x14ac:dyDescent="0.3">
      <c r="J78767"/>
    </row>
    <row r="78768" spans="10:10" x14ac:dyDescent="0.3">
      <c r="J78768"/>
    </row>
    <row r="78769" spans="10:10" x14ac:dyDescent="0.3">
      <c r="J78769"/>
    </row>
    <row r="78770" spans="10:10" x14ac:dyDescent="0.3">
      <c r="J78770"/>
    </row>
    <row r="78771" spans="10:10" x14ac:dyDescent="0.3">
      <c r="J78771"/>
    </row>
    <row r="78772" spans="10:10" x14ac:dyDescent="0.3">
      <c r="J78772"/>
    </row>
    <row r="78773" spans="10:10" x14ac:dyDescent="0.3">
      <c r="J78773"/>
    </row>
    <row r="78774" spans="10:10" x14ac:dyDescent="0.3">
      <c r="J78774"/>
    </row>
    <row r="78775" spans="10:10" x14ac:dyDescent="0.3">
      <c r="J78775"/>
    </row>
    <row r="78776" spans="10:10" x14ac:dyDescent="0.3">
      <c r="J78776"/>
    </row>
    <row r="78777" spans="10:10" x14ac:dyDescent="0.3">
      <c r="J78777"/>
    </row>
    <row r="78778" spans="10:10" x14ac:dyDescent="0.3">
      <c r="J78778"/>
    </row>
    <row r="78779" spans="10:10" x14ac:dyDescent="0.3">
      <c r="J78779"/>
    </row>
    <row r="78780" spans="10:10" x14ac:dyDescent="0.3">
      <c r="J78780"/>
    </row>
    <row r="78781" spans="10:10" x14ac:dyDescent="0.3">
      <c r="J78781"/>
    </row>
    <row r="78782" spans="10:10" x14ac:dyDescent="0.3">
      <c r="J78782"/>
    </row>
    <row r="78783" spans="10:10" x14ac:dyDescent="0.3">
      <c r="J78783"/>
    </row>
    <row r="78784" spans="10:10" x14ac:dyDescent="0.3">
      <c r="J78784"/>
    </row>
    <row r="78785" spans="10:10" x14ac:dyDescent="0.3">
      <c r="J78785"/>
    </row>
    <row r="78786" spans="10:10" x14ac:dyDescent="0.3">
      <c r="J78786"/>
    </row>
    <row r="78787" spans="10:10" x14ac:dyDescent="0.3">
      <c r="J78787"/>
    </row>
    <row r="78788" spans="10:10" x14ac:dyDescent="0.3">
      <c r="J78788"/>
    </row>
    <row r="78789" spans="10:10" x14ac:dyDescent="0.3">
      <c r="J78789"/>
    </row>
    <row r="78790" spans="10:10" x14ac:dyDescent="0.3">
      <c r="J78790"/>
    </row>
    <row r="78791" spans="10:10" x14ac:dyDescent="0.3">
      <c r="J78791"/>
    </row>
    <row r="78792" spans="10:10" x14ac:dyDescent="0.3">
      <c r="J78792"/>
    </row>
    <row r="78793" spans="10:10" x14ac:dyDescent="0.3">
      <c r="J78793"/>
    </row>
    <row r="78794" spans="10:10" x14ac:dyDescent="0.3">
      <c r="J78794"/>
    </row>
    <row r="78795" spans="10:10" x14ac:dyDescent="0.3">
      <c r="J78795"/>
    </row>
    <row r="78796" spans="10:10" x14ac:dyDescent="0.3">
      <c r="J78796"/>
    </row>
    <row r="78797" spans="10:10" x14ac:dyDescent="0.3">
      <c r="J78797"/>
    </row>
    <row r="78798" spans="10:10" x14ac:dyDescent="0.3">
      <c r="J78798"/>
    </row>
    <row r="78799" spans="10:10" x14ac:dyDescent="0.3">
      <c r="J78799"/>
    </row>
    <row r="78800" spans="10:10" x14ac:dyDescent="0.3">
      <c r="J78800"/>
    </row>
    <row r="78801" spans="10:10" x14ac:dyDescent="0.3">
      <c r="J78801"/>
    </row>
    <row r="78802" spans="10:10" x14ac:dyDescent="0.3">
      <c r="J78802"/>
    </row>
    <row r="78803" spans="10:10" x14ac:dyDescent="0.3">
      <c r="J78803"/>
    </row>
    <row r="78804" spans="10:10" x14ac:dyDescent="0.3">
      <c r="J78804"/>
    </row>
    <row r="78805" spans="10:10" x14ac:dyDescent="0.3">
      <c r="J78805"/>
    </row>
    <row r="78806" spans="10:10" x14ac:dyDescent="0.3">
      <c r="J78806"/>
    </row>
    <row r="78807" spans="10:10" x14ac:dyDescent="0.3">
      <c r="J78807"/>
    </row>
    <row r="78808" spans="10:10" x14ac:dyDescent="0.3">
      <c r="J78808"/>
    </row>
    <row r="78809" spans="10:10" x14ac:dyDescent="0.3">
      <c r="J78809"/>
    </row>
    <row r="78810" spans="10:10" x14ac:dyDescent="0.3">
      <c r="J78810"/>
    </row>
    <row r="78811" spans="10:10" x14ac:dyDescent="0.3">
      <c r="J78811"/>
    </row>
    <row r="78812" spans="10:10" x14ac:dyDescent="0.3">
      <c r="J78812"/>
    </row>
    <row r="78813" spans="10:10" x14ac:dyDescent="0.3">
      <c r="J78813"/>
    </row>
    <row r="78814" spans="10:10" x14ac:dyDescent="0.3">
      <c r="J78814"/>
    </row>
    <row r="78815" spans="10:10" x14ac:dyDescent="0.3">
      <c r="J78815"/>
    </row>
    <row r="78816" spans="10:10" x14ac:dyDescent="0.3">
      <c r="J78816"/>
    </row>
    <row r="78817" spans="10:10" x14ac:dyDescent="0.3">
      <c r="J78817"/>
    </row>
    <row r="78818" spans="10:10" x14ac:dyDescent="0.3">
      <c r="J78818"/>
    </row>
    <row r="78819" spans="10:10" x14ac:dyDescent="0.3">
      <c r="J78819"/>
    </row>
    <row r="78820" spans="10:10" x14ac:dyDescent="0.3">
      <c r="J78820"/>
    </row>
    <row r="78821" spans="10:10" x14ac:dyDescent="0.3">
      <c r="J78821"/>
    </row>
    <row r="78822" spans="10:10" x14ac:dyDescent="0.3">
      <c r="J78822"/>
    </row>
    <row r="78823" spans="10:10" x14ac:dyDescent="0.3">
      <c r="J78823"/>
    </row>
    <row r="78824" spans="10:10" x14ac:dyDescent="0.3">
      <c r="J78824"/>
    </row>
    <row r="78825" spans="10:10" x14ac:dyDescent="0.3">
      <c r="J78825"/>
    </row>
    <row r="78826" spans="10:10" x14ac:dyDescent="0.3">
      <c r="J78826"/>
    </row>
    <row r="78827" spans="10:10" x14ac:dyDescent="0.3">
      <c r="J78827"/>
    </row>
    <row r="78828" spans="10:10" x14ac:dyDescent="0.3">
      <c r="J78828"/>
    </row>
    <row r="78829" spans="10:10" x14ac:dyDescent="0.3">
      <c r="J78829"/>
    </row>
    <row r="78830" spans="10:10" x14ac:dyDescent="0.3">
      <c r="J78830"/>
    </row>
    <row r="78831" spans="10:10" x14ac:dyDescent="0.3">
      <c r="J78831"/>
    </row>
    <row r="78832" spans="10:10" x14ac:dyDescent="0.3">
      <c r="J78832"/>
    </row>
    <row r="78833" spans="10:10" x14ac:dyDescent="0.3">
      <c r="J78833"/>
    </row>
    <row r="78834" spans="10:10" x14ac:dyDescent="0.3">
      <c r="J78834"/>
    </row>
    <row r="78835" spans="10:10" x14ac:dyDescent="0.3">
      <c r="J78835"/>
    </row>
    <row r="78836" spans="10:10" x14ac:dyDescent="0.3">
      <c r="J78836"/>
    </row>
    <row r="78837" spans="10:10" x14ac:dyDescent="0.3">
      <c r="J78837"/>
    </row>
    <row r="78838" spans="10:10" x14ac:dyDescent="0.3">
      <c r="J78838"/>
    </row>
    <row r="78839" spans="10:10" x14ac:dyDescent="0.3">
      <c r="J78839"/>
    </row>
    <row r="78840" spans="10:10" x14ac:dyDescent="0.3">
      <c r="J78840"/>
    </row>
    <row r="78841" spans="10:10" x14ac:dyDescent="0.3">
      <c r="J78841"/>
    </row>
    <row r="78842" spans="10:10" x14ac:dyDescent="0.3">
      <c r="J78842"/>
    </row>
    <row r="78843" spans="10:10" x14ac:dyDescent="0.3">
      <c r="J78843"/>
    </row>
    <row r="78844" spans="10:10" x14ac:dyDescent="0.3">
      <c r="J78844"/>
    </row>
    <row r="78845" spans="10:10" x14ac:dyDescent="0.3">
      <c r="J78845"/>
    </row>
    <row r="78846" spans="10:10" x14ac:dyDescent="0.3">
      <c r="J78846"/>
    </row>
    <row r="78847" spans="10:10" x14ac:dyDescent="0.3">
      <c r="J78847"/>
    </row>
    <row r="78848" spans="10:10" x14ac:dyDescent="0.3">
      <c r="J78848"/>
    </row>
    <row r="78849" spans="10:10" x14ac:dyDescent="0.3">
      <c r="J78849"/>
    </row>
    <row r="78850" spans="10:10" x14ac:dyDescent="0.3">
      <c r="J78850"/>
    </row>
    <row r="78851" spans="10:10" x14ac:dyDescent="0.3">
      <c r="J78851"/>
    </row>
    <row r="78852" spans="10:10" x14ac:dyDescent="0.3">
      <c r="J78852"/>
    </row>
    <row r="78853" spans="10:10" x14ac:dyDescent="0.3">
      <c r="J78853"/>
    </row>
    <row r="78854" spans="10:10" x14ac:dyDescent="0.3">
      <c r="J78854"/>
    </row>
    <row r="78855" spans="10:10" x14ac:dyDescent="0.3">
      <c r="J78855"/>
    </row>
    <row r="78856" spans="10:10" x14ac:dyDescent="0.3">
      <c r="J78856"/>
    </row>
    <row r="78857" spans="10:10" x14ac:dyDescent="0.3">
      <c r="J78857"/>
    </row>
    <row r="78858" spans="10:10" x14ac:dyDescent="0.3">
      <c r="J78858"/>
    </row>
    <row r="78859" spans="10:10" x14ac:dyDescent="0.3">
      <c r="J78859"/>
    </row>
    <row r="78860" spans="10:10" x14ac:dyDescent="0.3">
      <c r="J78860"/>
    </row>
    <row r="78861" spans="10:10" x14ac:dyDescent="0.3">
      <c r="J78861"/>
    </row>
    <row r="78862" spans="10:10" x14ac:dyDescent="0.3">
      <c r="J78862"/>
    </row>
    <row r="78863" spans="10:10" x14ac:dyDescent="0.3">
      <c r="J78863"/>
    </row>
    <row r="78864" spans="10:10" x14ac:dyDescent="0.3">
      <c r="J78864"/>
    </row>
    <row r="78865" spans="10:10" x14ac:dyDescent="0.3">
      <c r="J78865"/>
    </row>
    <row r="78866" spans="10:10" x14ac:dyDescent="0.3">
      <c r="J78866"/>
    </row>
    <row r="78867" spans="10:10" x14ac:dyDescent="0.3">
      <c r="J78867"/>
    </row>
    <row r="78868" spans="10:10" x14ac:dyDescent="0.3">
      <c r="J78868"/>
    </row>
    <row r="78869" spans="10:10" x14ac:dyDescent="0.3">
      <c r="J78869"/>
    </row>
    <row r="78870" spans="10:10" x14ac:dyDescent="0.3">
      <c r="J78870"/>
    </row>
    <row r="78871" spans="10:10" x14ac:dyDescent="0.3">
      <c r="J78871"/>
    </row>
    <row r="78872" spans="10:10" x14ac:dyDescent="0.3">
      <c r="J78872"/>
    </row>
    <row r="78873" spans="10:10" x14ac:dyDescent="0.3">
      <c r="J78873"/>
    </row>
    <row r="78874" spans="10:10" x14ac:dyDescent="0.3">
      <c r="J78874"/>
    </row>
    <row r="78875" spans="10:10" x14ac:dyDescent="0.3">
      <c r="J78875"/>
    </row>
    <row r="78876" spans="10:10" x14ac:dyDescent="0.3">
      <c r="J78876"/>
    </row>
    <row r="78877" spans="10:10" x14ac:dyDescent="0.3">
      <c r="J78877"/>
    </row>
    <row r="78878" spans="10:10" x14ac:dyDescent="0.3">
      <c r="J78878"/>
    </row>
    <row r="78879" spans="10:10" x14ac:dyDescent="0.3">
      <c r="J78879"/>
    </row>
    <row r="78880" spans="10:10" x14ac:dyDescent="0.3">
      <c r="J78880"/>
    </row>
    <row r="78881" spans="10:10" x14ac:dyDescent="0.3">
      <c r="J78881"/>
    </row>
    <row r="78882" spans="10:10" x14ac:dyDescent="0.3">
      <c r="J78882"/>
    </row>
    <row r="78883" spans="10:10" x14ac:dyDescent="0.3">
      <c r="J78883"/>
    </row>
    <row r="78884" spans="10:10" x14ac:dyDescent="0.3">
      <c r="J78884"/>
    </row>
    <row r="78885" spans="10:10" x14ac:dyDescent="0.3">
      <c r="J78885"/>
    </row>
    <row r="78886" spans="10:10" x14ac:dyDescent="0.3">
      <c r="J78886"/>
    </row>
    <row r="78887" spans="10:10" x14ac:dyDescent="0.3">
      <c r="J78887"/>
    </row>
    <row r="78888" spans="10:10" x14ac:dyDescent="0.3">
      <c r="J78888"/>
    </row>
    <row r="78889" spans="10:10" x14ac:dyDescent="0.3">
      <c r="J78889"/>
    </row>
    <row r="78890" spans="10:10" x14ac:dyDescent="0.3">
      <c r="J78890"/>
    </row>
    <row r="78891" spans="10:10" x14ac:dyDescent="0.3">
      <c r="J78891"/>
    </row>
    <row r="78892" spans="10:10" x14ac:dyDescent="0.3">
      <c r="J78892"/>
    </row>
    <row r="78893" spans="10:10" x14ac:dyDescent="0.3">
      <c r="J78893"/>
    </row>
    <row r="78894" spans="10:10" x14ac:dyDescent="0.3">
      <c r="J78894"/>
    </row>
    <row r="78895" spans="10:10" x14ac:dyDescent="0.3">
      <c r="J78895"/>
    </row>
    <row r="78896" spans="10:10" x14ac:dyDescent="0.3">
      <c r="J78896"/>
    </row>
    <row r="78897" spans="10:10" x14ac:dyDescent="0.3">
      <c r="J78897"/>
    </row>
    <row r="78898" spans="10:10" x14ac:dyDescent="0.3">
      <c r="J78898"/>
    </row>
    <row r="78899" spans="10:10" x14ac:dyDescent="0.3">
      <c r="J78899"/>
    </row>
    <row r="78900" spans="10:10" x14ac:dyDescent="0.3">
      <c r="J78900"/>
    </row>
    <row r="78901" spans="10:10" x14ac:dyDescent="0.3">
      <c r="J78901"/>
    </row>
    <row r="78902" spans="10:10" x14ac:dyDescent="0.3">
      <c r="J78902"/>
    </row>
    <row r="78903" spans="10:10" x14ac:dyDescent="0.3">
      <c r="J78903"/>
    </row>
    <row r="78904" spans="10:10" x14ac:dyDescent="0.3">
      <c r="J78904"/>
    </row>
    <row r="78905" spans="10:10" x14ac:dyDescent="0.3">
      <c r="J78905"/>
    </row>
    <row r="78906" spans="10:10" x14ac:dyDescent="0.3">
      <c r="J78906"/>
    </row>
    <row r="78907" spans="10:10" x14ac:dyDescent="0.3">
      <c r="J78907"/>
    </row>
    <row r="78908" spans="10:10" x14ac:dyDescent="0.3">
      <c r="J78908"/>
    </row>
    <row r="78909" spans="10:10" x14ac:dyDescent="0.3">
      <c r="J78909"/>
    </row>
    <row r="78910" spans="10:10" x14ac:dyDescent="0.3">
      <c r="J78910"/>
    </row>
    <row r="78911" spans="10:10" x14ac:dyDescent="0.3">
      <c r="J78911"/>
    </row>
    <row r="78912" spans="10:10" x14ac:dyDescent="0.3">
      <c r="J78912"/>
    </row>
    <row r="78913" spans="10:10" x14ac:dyDescent="0.3">
      <c r="J78913"/>
    </row>
    <row r="78914" spans="10:10" x14ac:dyDescent="0.3">
      <c r="J78914"/>
    </row>
    <row r="78915" spans="10:10" x14ac:dyDescent="0.3">
      <c r="J78915"/>
    </row>
    <row r="78916" spans="10:10" x14ac:dyDescent="0.3">
      <c r="J78916"/>
    </row>
    <row r="78917" spans="10:10" x14ac:dyDescent="0.3">
      <c r="J78917"/>
    </row>
    <row r="78918" spans="10:10" x14ac:dyDescent="0.3">
      <c r="J78918"/>
    </row>
    <row r="78919" spans="10:10" x14ac:dyDescent="0.3">
      <c r="J78919"/>
    </row>
    <row r="78920" spans="10:10" x14ac:dyDescent="0.3">
      <c r="J78920"/>
    </row>
    <row r="78921" spans="10:10" x14ac:dyDescent="0.3">
      <c r="J78921"/>
    </row>
    <row r="78922" spans="10:10" x14ac:dyDescent="0.3">
      <c r="J78922"/>
    </row>
    <row r="78923" spans="10:10" x14ac:dyDescent="0.3">
      <c r="J78923"/>
    </row>
    <row r="78924" spans="10:10" x14ac:dyDescent="0.3">
      <c r="J78924"/>
    </row>
    <row r="78925" spans="10:10" x14ac:dyDescent="0.3">
      <c r="J78925"/>
    </row>
    <row r="78926" spans="10:10" x14ac:dyDescent="0.3">
      <c r="J78926"/>
    </row>
    <row r="78927" spans="10:10" x14ac:dyDescent="0.3">
      <c r="J78927"/>
    </row>
    <row r="78928" spans="10:10" x14ac:dyDescent="0.3">
      <c r="J78928"/>
    </row>
    <row r="78929" spans="10:10" x14ac:dyDescent="0.3">
      <c r="J78929"/>
    </row>
    <row r="78930" spans="10:10" x14ac:dyDescent="0.3">
      <c r="J78930"/>
    </row>
    <row r="78931" spans="10:10" x14ac:dyDescent="0.3">
      <c r="J78931"/>
    </row>
    <row r="78932" spans="10:10" x14ac:dyDescent="0.3">
      <c r="J78932"/>
    </row>
    <row r="78933" spans="10:10" x14ac:dyDescent="0.3">
      <c r="J78933"/>
    </row>
    <row r="78934" spans="10:10" x14ac:dyDescent="0.3">
      <c r="J78934"/>
    </row>
    <row r="78935" spans="10:10" x14ac:dyDescent="0.3">
      <c r="J78935"/>
    </row>
    <row r="78936" spans="10:10" x14ac:dyDescent="0.3">
      <c r="J78936"/>
    </row>
    <row r="78937" spans="10:10" x14ac:dyDescent="0.3">
      <c r="J78937"/>
    </row>
    <row r="78938" spans="10:10" x14ac:dyDescent="0.3">
      <c r="J78938"/>
    </row>
    <row r="78939" spans="10:10" x14ac:dyDescent="0.3">
      <c r="J78939"/>
    </row>
    <row r="78940" spans="10:10" x14ac:dyDescent="0.3">
      <c r="J78940"/>
    </row>
    <row r="78941" spans="10:10" x14ac:dyDescent="0.3">
      <c r="J78941"/>
    </row>
    <row r="78942" spans="10:10" x14ac:dyDescent="0.3">
      <c r="J78942"/>
    </row>
    <row r="78943" spans="10:10" x14ac:dyDescent="0.3">
      <c r="J78943"/>
    </row>
    <row r="78944" spans="10:10" x14ac:dyDescent="0.3">
      <c r="J78944"/>
    </row>
    <row r="78945" spans="10:10" x14ac:dyDescent="0.3">
      <c r="J78945"/>
    </row>
    <row r="78946" spans="10:10" x14ac:dyDescent="0.3">
      <c r="J78946"/>
    </row>
    <row r="78947" spans="10:10" x14ac:dyDescent="0.3">
      <c r="J78947"/>
    </row>
    <row r="78948" spans="10:10" x14ac:dyDescent="0.3">
      <c r="J78948"/>
    </row>
    <row r="78949" spans="10:10" x14ac:dyDescent="0.3">
      <c r="J78949"/>
    </row>
    <row r="78950" spans="10:10" x14ac:dyDescent="0.3">
      <c r="J78950"/>
    </row>
    <row r="78951" spans="10:10" x14ac:dyDescent="0.3">
      <c r="J78951"/>
    </row>
    <row r="78952" spans="10:10" x14ac:dyDescent="0.3">
      <c r="J78952"/>
    </row>
    <row r="78953" spans="10:10" x14ac:dyDescent="0.3">
      <c r="J78953"/>
    </row>
    <row r="78954" spans="10:10" x14ac:dyDescent="0.3">
      <c r="J78954"/>
    </row>
    <row r="78955" spans="10:10" x14ac:dyDescent="0.3">
      <c r="J78955"/>
    </row>
    <row r="78956" spans="10:10" x14ac:dyDescent="0.3">
      <c r="J78956"/>
    </row>
    <row r="78957" spans="10:10" x14ac:dyDescent="0.3">
      <c r="J78957"/>
    </row>
    <row r="78958" spans="10:10" x14ac:dyDescent="0.3">
      <c r="J78958"/>
    </row>
    <row r="78959" spans="10:10" x14ac:dyDescent="0.3">
      <c r="J78959"/>
    </row>
    <row r="78960" spans="10:10" x14ac:dyDescent="0.3">
      <c r="J78960"/>
    </row>
    <row r="78961" spans="10:10" x14ac:dyDescent="0.3">
      <c r="J78961"/>
    </row>
    <row r="78962" spans="10:10" x14ac:dyDescent="0.3">
      <c r="J78962"/>
    </row>
    <row r="78963" spans="10:10" x14ac:dyDescent="0.3">
      <c r="J78963"/>
    </row>
    <row r="78964" spans="10:10" x14ac:dyDescent="0.3">
      <c r="J78964"/>
    </row>
    <row r="78965" spans="10:10" x14ac:dyDescent="0.3">
      <c r="J78965"/>
    </row>
    <row r="78966" spans="10:10" x14ac:dyDescent="0.3">
      <c r="J78966"/>
    </row>
    <row r="78967" spans="10:10" x14ac:dyDescent="0.3">
      <c r="J78967"/>
    </row>
    <row r="78968" spans="10:10" x14ac:dyDescent="0.3">
      <c r="J78968"/>
    </row>
    <row r="78969" spans="10:10" x14ac:dyDescent="0.3">
      <c r="J78969"/>
    </row>
    <row r="78970" spans="10:10" x14ac:dyDescent="0.3">
      <c r="J78970"/>
    </row>
    <row r="78971" spans="10:10" x14ac:dyDescent="0.3">
      <c r="J78971"/>
    </row>
    <row r="78972" spans="10:10" x14ac:dyDescent="0.3">
      <c r="J78972"/>
    </row>
    <row r="78973" spans="10:10" x14ac:dyDescent="0.3">
      <c r="J78973"/>
    </row>
    <row r="78974" spans="10:10" x14ac:dyDescent="0.3">
      <c r="J78974"/>
    </row>
    <row r="78975" spans="10:10" x14ac:dyDescent="0.3">
      <c r="J78975"/>
    </row>
    <row r="78976" spans="10:10" x14ac:dyDescent="0.3">
      <c r="J78976"/>
    </row>
    <row r="78977" spans="10:10" x14ac:dyDescent="0.3">
      <c r="J78977"/>
    </row>
    <row r="78978" spans="10:10" x14ac:dyDescent="0.3">
      <c r="J78978"/>
    </row>
    <row r="78979" spans="10:10" x14ac:dyDescent="0.3">
      <c r="J78979"/>
    </row>
    <row r="78980" spans="10:10" x14ac:dyDescent="0.3">
      <c r="J78980"/>
    </row>
    <row r="78981" spans="10:10" x14ac:dyDescent="0.3">
      <c r="J78981"/>
    </row>
    <row r="78982" spans="10:10" x14ac:dyDescent="0.3">
      <c r="J78982"/>
    </row>
    <row r="78983" spans="10:10" x14ac:dyDescent="0.3">
      <c r="J78983"/>
    </row>
    <row r="78984" spans="10:10" x14ac:dyDescent="0.3">
      <c r="J78984"/>
    </row>
    <row r="78985" spans="10:10" x14ac:dyDescent="0.3">
      <c r="J78985"/>
    </row>
    <row r="78986" spans="10:10" x14ac:dyDescent="0.3">
      <c r="J78986"/>
    </row>
    <row r="78987" spans="10:10" x14ac:dyDescent="0.3">
      <c r="J78987"/>
    </row>
    <row r="78988" spans="10:10" x14ac:dyDescent="0.3">
      <c r="J78988"/>
    </row>
    <row r="78989" spans="10:10" x14ac:dyDescent="0.3">
      <c r="J78989"/>
    </row>
    <row r="78990" spans="10:10" x14ac:dyDescent="0.3">
      <c r="J78990"/>
    </row>
    <row r="78991" spans="10:10" x14ac:dyDescent="0.3">
      <c r="J78991"/>
    </row>
    <row r="78992" spans="10:10" x14ac:dyDescent="0.3">
      <c r="J78992"/>
    </row>
    <row r="78993" spans="10:10" x14ac:dyDescent="0.3">
      <c r="J78993"/>
    </row>
    <row r="78994" spans="10:10" x14ac:dyDescent="0.3">
      <c r="J78994"/>
    </row>
    <row r="78995" spans="10:10" x14ac:dyDescent="0.3">
      <c r="J78995"/>
    </row>
    <row r="78996" spans="10:10" x14ac:dyDescent="0.3">
      <c r="J78996"/>
    </row>
    <row r="78997" spans="10:10" x14ac:dyDescent="0.3">
      <c r="J78997"/>
    </row>
    <row r="78998" spans="10:10" x14ac:dyDescent="0.3">
      <c r="J78998"/>
    </row>
    <row r="78999" spans="10:10" x14ac:dyDescent="0.3">
      <c r="J78999"/>
    </row>
    <row r="79000" spans="10:10" x14ac:dyDescent="0.3">
      <c r="J79000"/>
    </row>
    <row r="79001" spans="10:10" x14ac:dyDescent="0.3">
      <c r="J79001"/>
    </row>
    <row r="79002" spans="10:10" x14ac:dyDescent="0.3">
      <c r="J79002"/>
    </row>
    <row r="79003" spans="10:10" x14ac:dyDescent="0.3">
      <c r="J79003"/>
    </row>
    <row r="79004" spans="10:10" x14ac:dyDescent="0.3">
      <c r="J79004"/>
    </row>
    <row r="79005" spans="10:10" x14ac:dyDescent="0.3">
      <c r="J79005"/>
    </row>
    <row r="79006" spans="10:10" x14ac:dyDescent="0.3">
      <c r="J79006"/>
    </row>
    <row r="79007" spans="10:10" x14ac:dyDescent="0.3">
      <c r="J79007"/>
    </row>
    <row r="79008" spans="10:10" x14ac:dyDescent="0.3">
      <c r="J79008"/>
    </row>
    <row r="79009" spans="10:10" x14ac:dyDescent="0.3">
      <c r="J79009"/>
    </row>
    <row r="79010" spans="10:10" x14ac:dyDescent="0.3">
      <c r="J79010"/>
    </row>
    <row r="79011" spans="10:10" x14ac:dyDescent="0.3">
      <c r="J79011"/>
    </row>
    <row r="79012" spans="10:10" x14ac:dyDescent="0.3">
      <c r="J79012"/>
    </row>
    <row r="79013" spans="10:10" x14ac:dyDescent="0.3">
      <c r="J79013"/>
    </row>
    <row r="79014" spans="10:10" x14ac:dyDescent="0.3">
      <c r="J79014"/>
    </row>
    <row r="79015" spans="10:10" x14ac:dyDescent="0.3">
      <c r="J79015"/>
    </row>
    <row r="79016" spans="10:10" x14ac:dyDescent="0.3">
      <c r="J79016"/>
    </row>
    <row r="79017" spans="10:10" x14ac:dyDescent="0.3">
      <c r="J79017"/>
    </row>
    <row r="79018" spans="10:10" x14ac:dyDescent="0.3">
      <c r="J79018"/>
    </row>
    <row r="79019" spans="10:10" x14ac:dyDescent="0.3">
      <c r="J79019"/>
    </row>
    <row r="79020" spans="10:10" x14ac:dyDescent="0.3">
      <c r="J79020"/>
    </row>
    <row r="79021" spans="10:10" x14ac:dyDescent="0.3">
      <c r="J79021"/>
    </row>
    <row r="79022" spans="10:10" x14ac:dyDescent="0.3">
      <c r="J79022"/>
    </row>
    <row r="79023" spans="10:10" x14ac:dyDescent="0.3">
      <c r="J79023"/>
    </row>
    <row r="79024" spans="10:10" x14ac:dyDescent="0.3">
      <c r="J79024"/>
    </row>
    <row r="79025" spans="10:10" x14ac:dyDescent="0.3">
      <c r="J79025"/>
    </row>
    <row r="79026" spans="10:10" x14ac:dyDescent="0.3">
      <c r="J79026"/>
    </row>
    <row r="79027" spans="10:10" x14ac:dyDescent="0.3">
      <c r="J79027"/>
    </row>
    <row r="79028" spans="10:10" x14ac:dyDescent="0.3">
      <c r="J79028"/>
    </row>
    <row r="79029" spans="10:10" x14ac:dyDescent="0.3">
      <c r="J79029"/>
    </row>
    <row r="79030" spans="10:10" x14ac:dyDescent="0.3">
      <c r="J79030"/>
    </row>
    <row r="79031" spans="10:10" x14ac:dyDescent="0.3">
      <c r="J79031"/>
    </row>
    <row r="79032" spans="10:10" x14ac:dyDescent="0.3">
      <c r="J79032"/>
    </row>
    <row r="79033" spans="10:10" x14ac:dyDescent="0.3">
      <c r="J79033"/>
    </row>
    <row r="79034" spans="10:10" x14ac:dyDescent="0.3">
      <c r="J79034"/>
    </row>
    <row r="79035" spans="10:10" x14ac:dyDescent="0.3">
      <c r="J79035"/>
    </row>
    <row r="79036" spans="10:10" x14ac:dyDescent="0.3">
      <c r="J79036"/>
    </row>
    <row r="79037" spans="10:10" x14ac:dyDescent="0.3">
      <c r="J79037"/>
    </row>
    <row r="79038" spans="10:10" x14ac:dyDescent="0.3">
      <c r="J79038"/>
    </row>
    <row r="79039" spans="10:10" x14ac:dyDescent="0.3">
      <c r="J79039"/>
    </row>
    <row r="79040" spans="10:10" x14ac:dyDescent="0.3">
      <c r="J79040"/>
    </row>
    <row r="79041" spans="10:10" x14ac:dyDescent="0.3">
      <c r="J79041"/>
    </row>
    <row r="79042" spans="10:10" x14ac:dyDescent="0.3">
      <c r="J79042"/>
    </row>
    <row r="79043" spans="10:10" x14ac:dyDescent="0.3">
      <c r="J79043"/>
    </row>
    <row r="79044" spans="10:10" x14ac:dyDescent="0.3">
      <c r="J79044"/>
    </row>
    <row r="79045" spans="10:10" x14ac:dyDescent="0.3">
      <c r="J79045"/>
    </row>
    <row r="79046" spans="10:10" x14ac:dyDescent="0.3">
      <c r="J79046"/>
    </row>
    <row r="79047" spans="10:10" x14ac:dyDescent="0.3">
      <c r="J79047"/>
    </row>
    <row r="79048" spans="10:10" x14ac:dyDescent="0.3">
      <c r="J79048"/>
    </row>
    <row r="79049" spans="10:10" x14ac:dyDescent="0.3">
      <c r="J79049"/>
    </row>
    <row r="79050" spans="10:10" x14ac:dyDescent="0.3">
      <c r="J79050"/>
    </row>
    <row r="79051" spans="10:10" x14ac:dyDescent="0.3">
      <c r="J79051"/>
    </row>
    <row r="79052" spans="10:10" x14ac:dyDescent="0.3">
      <c r="J79052"/>
    </row>
    <row r="79053" spans="10:10" x14ac:dyDescent="0.3">
      <c r="J79053"/>
    </row>
    <row r="79054" spans="10:10" x14ac:dyDescent="0.3">
      <c r="J79054"/>
    </row>
    <row r="79055" spans="10:10" x14ac:dyDescent="0.3">
      <c r="J79055"/>
    </row>
    <row r="79056" spans="10:10" x14ac:dyDescent="0.3">
      <c r="J79056"/>
    </row>
    <row r="79057" spans="10:10" x14ac:dyDescent="0.3">
      <c r="J79057"/>
    </row>
    <row r="79058" spans="10:10" x14ac:dyDescent="0.3">
      <c r="J79058"/>
    </row>
    <row r="79059" spans="10:10" x14ac:dyDescent="0.3">
      <c r="J79059"/>
    </row>
    <row r="79060" spans="10:10" x14ac:dyDescent="0.3">
      <c r="J79060"/>
    </row>
    <row r="79061" spans="10:10" x14ac:dyDescent="0.3">
      <c r="J79061"/>
    </row>
    <row r="79062" spans="10:10" x14ac:dyDescent="0.3">
      <c r="J79062"/>
    </row>
    <row r="79063" spans="10:10" x14ac:dyDescent="0.3">
      <c r="J79063"/>
    </row>
    <row r="79064" spans="10:10" x14ac:dyDescent="0.3">
      <c r="J79064"/>
    </row>
    <row r="79065" spans="10:10" x14ac:dyDescent="0.3">
      <c r="J79065"/>
    </row>
    <row r="79066" spans="10:10" x14ac:dyDescent="0.3">
      <c r="J79066"/>
    </row>
    <row r="79067" spans="10:10" x14ac:dyDescent="0.3">
      <c r="J79067"/>
    </row>
    <row r="79068" spans="10:10" x14ac:dyDescent="0.3">
      <c r="J79068"/>
    </row>
    <row r="79069" spans="10:10" x14ac:dyDescent="0.3">
      <c r="J79069"/>
    </row>
    <row r="79070" spans="10:10" x14ac:dyDescent="0.3">
      <c r="J79070"/>
    </row>
    <row r="79071" spans="10:10" x14ac:dyDescent="0.3">
      <c r="J79071"/>
    </row>
    <row r="79072" spans="10:10" x14ac:dyDescent="0.3">
      <c r="J79072"/>
    </row>
    <row r="79073" spans="10:10" x14ac:dyDescent="0.3">
      <c r="J79073"/>
    </row>
    <row r="79074" spans="10:10" x14ac:dyDescent="0.3">
      <c r="J79074"/>
    </row>
    <row r="79075" spans="10:10" x14ac:dyDescent="0.3">
      <c r="J79075"/>
    </row>
    <row r="79076" spans="10:10" x14ac:dyDescent="0.3">
      <c r="J79076"/>
    </row>
    <row r="79077" spans="10:10" x14ac:dyDescent="0.3">
      <c r="J79077"/>
    </row>
    <row r="79078" spans="10:10" x14ac:dyDescent="0.3">
      <c r="J79078"/>
    </row>
    <row r="79079" spans="10:10" x14ac:dyDescent="0.3">
      <c r="J79079"/>
    </row>
    <row r="79080" spans="10:10" x14ac:dyDescent="0.3">
      <c r="J79080"/>
    </row>
    <row r="79081" spans="10:10" x14ac:dyDescent="0.3">
      <c r="J79081"/>
    </row>
    <row r="79082" spans="10:10" x14ac:dyDescent="0.3">
      <c r="J79082"/>
    </row>
    <row r="79083" spans="10:10" x14ac:dyDescent="0.3">
      <c r="J79083"/>
    </row>
    <row r="79084" spans="10:10" x14ac:dyDescent="0.3">
      <c r="J79084"/>
    </row>
    <row r="79085" spans="10:10" x14ac:dyDescent="0.3">
      <c r="J79085"/>
    </row>
    <row r="79086" spans="10:10" x14ac:dyDescent="0.3">
      <c r="J79086"/>
    </row>
    <row r="79087" spans="10:10" x14ac:dyDescent="0.3">
      <c r="J79087"/>
    </row>
    <row r="79088" spans="10:10" x14ac:dyDescent="0.3">
      <c r="J79088"/>
    </row>
    <row r="79089" spans="10:10" x14ac:dyDescent="0.3">
      <c r="J79089"/>
    </row>
    <row r="79090" spans="10:10" x14ac:dyDescent="0.3">
      <c r="J79090"/>
    </row>
    <row r="79091" spans="10:10" x14ac:dyDescent="0.3">
      <c r="J79091"/>
    </row>
    <row r="79092" spans="10:10" x14ac:dyDescent="0.3">
      <c r="J79092"/>
    </row>
    <row r="79093" spans="10:10" x14ac:dyDescent="0.3">
      <c r="J79093"/>
    </row>
    <row r="79094" spans="10:10" x14ac:dyDescent="0.3">
      <c r="J79094"/>
    </row>
    <row r="79095" spans="10:10" x14ac:dyDescent="0.3">
      <c r="J79095"/>
    </row>
    <row r="79096" spans="10:10" x14ac:dyDescent="0.3">
      <c r="J79096"/>
    </row>
    <row r="79097" spans="10:10" x14ac:dyDescent="0.3">
      <c r="J79097"/>
    </row>
    <row r="79098" spans="10:10" x14ac:dyDescent="0.3">
      <c r="J79098"/>
    </row>
    <row r="79099" spans="10:10" x14ac:dyDescent="0.3">
      <c r="J79099"/>
    </row>
    <row r="79100" spans="10:10" x14ac:dyDescent="0.3">
      <c r="J79100"/>
    </row>
    <row r="79101" spans="10:10" x14ac:dyDescent="0.3">
      <c r="J79101"/>
    </row>
    <row r="79102" spans="10:10" x14ac:dyDescent="0.3">
      <c r="J79102"/>
    </row>
    <row r="79103" spans="10:10" x14ac:dyDescent="0.3">
      <c r="J79103"/>
    </row>
    <row r="79104" spans="10:10" x14ac:dyDescent="0.3">
      <c r="J79104"/>
    </row>
    <row r="79105" spans="10:10" x14ac:dyDescent="0.3">
      <c r="J79105"/>
    </row>
    <row r="79106" spans="10:10" x14ac:dyDescent="0.3">
      <c r="J79106"/>
    </row>
    <row r="79107" spans="10:10" x14ac:dyDescent="0.3">
      <c r="J79107"/>
    </row>
    <row r="79108" spans="10:10" x14ac:dyDescent="0.3">
      <c r="J79108"/>
    </row>
    <row r="79109" spans="10:10" x14ac:dyDescent="0.3">
      <c r="J79109"/>
    </row>
    <row r="79110" spans="10:10" x14ac:dyDescent="0.3">
      <c r="J79110"/>
    </row>
    <row r="79111" spans="10:10" x14ac:dyDescent="0.3">
      <c r="J79111"/>
    </row>
    <row r="79112" spans="10:10" x14ac:dyDescent="0.3">
      <c r="J79112"/>
    </row>
    <row r="79113" spans="10:10" x14ac:dyDescent="0.3">
      <c r="J79113"/>
    </row>
    <row r="79114" spans="10:10" x14ac:dyDescent="0.3">
      <c r="J79114"/>
    </row>
    <row r="79115" spans="10:10" x14ac:dyDescent="0.3">
      <c r="J79115"/>
    </row>
    <row r="79116" spans="10:10" x14ac:dyDescent="0.3">
      <c r="J79116"/>
    </row>
    <row r="79117" spans="10:10" x14ac:dyDescent="0.3">
      <c r="J79117"/>
    </row>
    <row r="79118" spans="10:10" x14ac:dyDescent="0.3">
      <c r="J79118"/>
    </row>
    <row r="79119" spans="10:10" x14ac:dyDescent="0.3">
      <c r="J79119"/>
    </row>
    <row r="79120" spans="10:10" x14ac:dyDescent="0.3">
      <c r="J79120"/>
    </row>
    <row r="79121" spans="10:10" x14ac:dyDescent="0.3">
      <c r="J79121"/>
    </row>
    <row r="79122" spans="10:10" x14ac:dyDescent="0.3">
      <c r="J79122"/>
    </row>
    <row r="79123" spans="10:10" x14ac:dyDescent="0.3">
      <c r="J79123"/>
    </row>
    <row r="79124" spans="10:10" x14ac:dyDescent="0.3">
      <c r="J79124"/>
    </row>
    <row r="79125" spans="10:10" x14ac:dyDescent="0.3">
      <c r="J79125"/>
    </row>
    <row r="79126" spans="10:10" x14ac:dyDescent="0.3">
      <c r="J79126"/>
    </row>
    <row r="79127" spans="10:10" x14ac:dyDescent="0.3">
      <c r="J79127"/>
    </row>
    <row r="79128" spans="10:10" x14ac:dyDescent="0.3">
      <c r="J79128"/>
    </row>
    <row r="79129" spans="10:10" x14ac:dyDescent="0.3">
      <c r="J79129"/>
    </row>
    <row r="79130" spans="10:10" x14ac:dyDescent="0.3">
      <c r="J79130"/>
    </row>
    <row r="79131" spans="10:10" x14ac:dyDescent="0.3">
      <c r="J79131"/>
    </row>
    <row r="79132" spans="10:10" x14ac:dyDescent="0.3">
      <c r="J79132"/>
    </row>
    <row r="79133" spans="10:10" x14ac:dyDescent="0.3">
      <c r="J79133"/>
    </row>
    <row r="79134" spans="10:10" x14ac:dyDescent="0.3">
      <c r="J79134"/>
    </row>
    <row r="79135" spans="10:10" x14ac:dyDescent="0.3">
      <c r="J79135"/>
    </row>
    <row r="79136" spans="10:10" x14ac:dyDescent="0.3">
      <c r="J79136"/>
    </row>
    <row r="79137" spans="10:10" x14ac:dyDescent="0.3">
      <c r="J79137"/>
    </row>
    <row r="79138" spans="10:10" x14ac:dyDescent="0.3">
      <c r="J79138"/>
    </row>
    <row r="79139" spans="10:10" x14ac:dyDescent="0.3">
      <c r="J79139"/>
    </row>
    <row r="79140" spans="10:10" x14ac:dyDescent="0.3">
      <c r="J79140"/>
    </row>
    <row r="79141" spans="10:10" x14ac:dyDescent="0.3">
      <c r="J79141"/>
    </row>
    <row r="79142" spans="10:10" x14ac:dyDescent="0.3">
      <c r="J79142"/>
    </row>
    <row r="79143" spans="10:10" x14ac:dyDescent="0.3">
      <c r="J79143"/>
    </row>
    <row r="79144" spans="10:10" x14ac:dyDescent="0.3">
      <c r="J79144"/>
    </row>
    <row r="79145" spans="10:10" x14ac:dyDescent="0.3">
      <c r="J79145"/>
    </row>
    <row r="79146" spans="10:10" x14ac:dyDescent="0.3">
      <c r="J79146"/>
    </row>
    <row r="79147" spans="10:10" x14ac:dyDescent="0.3">
      <c r="J79147"/>
    </row>
    <row r="79148" spans="10:10" x14ac:dyDescent="0.3">
      <c r="J79148"/>
    </row>
    <row r="79149" spans="10:10" x14ac:dyDescent="0.3">
      <c r="J79149"/>
    </row>
    <row r="79150" spans="10:10" x14ac:dyDescent="0.3">
      <c r="J79150"/>
    </row>
    <row r="79151" spans="10:10" x14ac:dyDescent="0.3">
      <c r="J79151"/>
    </row>
    <row r="79152" spans="10:10" x14ac:dyDescent="0.3">
      <c r="J79152"/>
    </row>
    <row r="79153" spans="10:10" x14ac:dyDescent="0.3">
      <c r="J79153"/>
    </row>
    <row r="79154" spans="10:10" x14ac:dyDescent="0.3">
      <c r="J79154"/>
    </row>
    <row r="79155" spans="10:10" x14ac:dyDescent="0.3">
      <c r="J79155"/>
    </row>
    <row r="79156" spans="10:10" x14ac:dyDescent="0.3">
      <c r="J79156"/>
    </row>
    <row r="79157" spans="10:10" x14ac:dyDescent="0.3">
      <c r="J79157"/>
    </row>
    <row r="79158" spans="10:10" x14ac:dyDescent="0.3">
      <c r="J79158"/>
    </row>
    <row r="79159" spans="10:10" x14ac:dyDescent="0.3">
      <c r="J79159"/>
    </row>
    <row r="79160" spans="10:10" x14ac:dyDescent="0.3">
      <c r="J79160"/>
    </row>
    <row r="79161" spans="10:10" x14ac:dyDescent="0.3">
      <c r="J79161"/>
    </row>
    <row r="79162" spans="10:10" x14ac:dyDescent="0.3">
      <c r="J79162"/>
    </row>
    <row r="79163" spans="10:10" x14ac:dyDescent="0.3">
      <c r="J79163"/>
    </row>
    <row r="79164" spans="10:10" x14ac:dyDescent="0.3">
      <c r="J79164"/>
    </row>
    <row r="79165" spans="10:10" x14ac:dyDescent="0.3">
      <c r="J79165"/>
    </row>
    <row r="79166" spans="10:10" x14ac:dyDescent="0.3">
      <c r="J79166"/>
    </row>
    <row r="79167" spans="10:10" x14ac:dyDescent="0.3">
      <c r="J79167"/>
    </row>
    <row r="79168" spans="10:10" x14ac:dyDescent="0.3">
      <c r="J79168"/>
    </row>
    <row r="79169" spans="10:10" x14ac:dyDescent="0.3">
      <c r="J79169"/>
    </row>
    <row r="79170" spans="10:10" x14ac:dyDescent="0.3">
      <c r="J79170"/>
    </row>
    <row r="79171" spans="10:10" x14ac:dyDescent="0.3">
      <c r="J79171"/>
    </row>
    <row r="79172" spans="10:10" x14ac:dyDescent="0.3">
      <c r="J79172"/>
    </row>
    <row r="79173" spans="10:10" x14ac:dyDescent="0.3">
      <c r="J79173"/>
    </row>
    <row r="79174" spans="10:10" x14ac:dyDescent="0.3">
      <c r="J79174"/>
    </row>
    <row r="79175" spans="10:10" x14ac:dyDescent="0.3">
      <c r="J79175"/>
    </row>
    <row r="79176" spans="10:10" x14ac:dyDescent="0.3">
      <c r="J79176"/>
    </row>
    <row r="79177" spans="10:10" x14ac:dyDescent="0.3">
      <c r="J79177"/>
    </row>
    <row r="79178" spans="10:10" x14ac:dyDescent="0.3">
      <c r="J79178"/>
    </row>
    <row r="79179" spans="10:10" x14ac:dyDescent="0.3">
      <c r="J79179"/>
    </row>
    <row r="79180" spans="10:10" x14ac:dyDescent="0.3">
      <c r="J79180"/>
    </row>
    <row r="79181" spans="10:10" x14ac:dyDescent="0.3">
      <c r="J79181"/>
    </row>
    <row r="79182" spans="10:10" x14ac:dyDescent="0.3">
      <c r="J79182"/>
    </row>
    <row r="79183" spans="10:10" x14ac:dyDescent="0.3">
      <c r="J79183"/>
    </row>
    <row r="79184" spans="10:10" x14ac:dyDescent="0.3">
      <c r="J79184"/>
    </row>
    <row r="79185" spans="10:10" x14ac:dyDescent="0.3">
      <c r="J79185"/>
    </row>
    <row r="79186" spans="10:10" x14ac:dyDescent="0.3">
      <c r="J79186"/>
    </row>
    <row r="79187" spans="10:10" x14ac:dyDescent="0.3">
      <c r="J79187"/>
    </row>
    <row r="79188" spans="10:10" x14ac:dyDescent="0.3">
      <c r="J79188"/>
    </row>
    <row r="79189" spans="10:10" x14ac:dyDescent="0.3">
      <c r="J79189"/>
    </row>
    <row r="79190" spans="10:10" x14ac:dyDescent="0.3">
      <c r="J79190"/>
    </row>
    <row r="79191" spans="10:10" x14ac:dyDescent="0.3">
      <c r="J79191"/>
    </row>
    <row r="79192" spans="10:10" x14ac:dyDescent="0.3">
      <c r="J79192"/>
    </row>
    <row r="79193" spans="10:10" x14ac:dyDescent="0.3">
      <c r="J79193"/>
    </row>
    <row r="79194" spans="10:10" x14ac:dyDescent="0.3">
      <c r="J79194"/>
    </row>
    <row r="79195" spans="10:10" x14ac:dyDescent="0.3">
      <c r="J79195"/>
    </row>
    <row r="79196" spans="10:10" x14ac:dyDescent="0.3">
      <c r="J79196"/>
    </row>
    <row r="79197" spans="10:10" x14ac:dyDescent="0.3">
      <c r="J79197"/>
    </row>
    <row r="79198" spans="10:10" x14ac:dyDescent="0.3">
      <c r="J79198"/>
    </row>
    <row r="79199" spans="10:10" x14ac:dyDescent="0.3">
      <c r="J79199"/>
    </row>
    <row r="79200" spans="10:10" x14ac:dyDescent="0.3">
      <c r="J79200"/>
    </row>
    <row r="79201" spans="10:10" x14ac:dyDescent="0.3">
      <c r="J79201"/>
    </row>
    <row r="79202" spans="10:10" x14ac:dyDescent="0.3">
      <c r="J79202"/>
    </row>
    <row r="79203" spans="10:10" x14ac:dyDescent="0.3">
      <c r="J79203"/>
    </row>
    <row r="79204" spans="10:10" x14ac:dyDescent="0.3">
      <c r="J79204"/>
    </row>
    <row r="79205" spans="10:10" x14ac:dyDescent="0.3">
      <c r="J79205"/>
    </row>
    <row r="79206" spans="10:10" x14ac:dyDescent="0.3">
      <c r="J79206"/>
    </row>
    <row r="79207" spans="10:10" x14ac:dyDescent="0.3">
      <c r="J79207"/>
    </row>
    <row r="79208" spans="10:10" x14ac:dyDescent="0.3">
      <c r="J79208"/>
    </row>
    <row r="79209" spans="10:10" x14ac:dyDescent="0.3">
      <c r="J79209"/>
    </row>
    <row r="79210" spans="10:10" x14ac:dyDescent="0.3">
      <c r="J79210"/>
    </row>
    <row r="79211" spans="10:10" x14ac:dyDescent="0.3">
      <c r="J79211"/>
    </row>
    <row r="79212" spans="10:10" x14ac:dyDescent="0.3">
      <c r="J79212"/>
    </row>
    <row r="79213" spans="10:10" x14ac:dyDescent="0.3">
      <c r="J79213"/>
    </row>
    <row r="79214" spans="10:10" x14ac:dyDescent="0.3">
      <c r="J79214"/>
    </row>
    <row r="79215" spans="10:10" x14ac:dyDescent="0.3">
      <c r="J79215"/>
    </row>
    <row r="79216" spans="10:10" x14ac:dyDescent="0.3">
      <c r="J79216"/>
    </row>
    <row r="79217" spans="10:10" x14ac:dyDescent="0.3">
      <c r="J79217"/>
    </row>
    <row r="79218" spans="10:10" x14ac:dyDescent="0.3">
      <c r="J79218"/>
    </row>
    <row r="79219" spans="10:10" x14ac:dyDescent="0.3">
      <c r="J79219"/>
    </row>
    <row r="79220" spans="10:10" x14ac:dyDescent="0.3">
      <c r="J79220"/>
    </row>
    <row r="79221" spans="10:10" x14ac:dyDescent="0.3">
      <c r="J79221"/>
    </row>
    <row r="79222" spans="10:10" x14ac:dyDescent="0.3">
      <c r="J79222"/>
    </row>
    <row r="79223" spans="10:10" x14ac:dyDescent="0.3">
      <c r="J79223"/>
    </row>
    <row r="79224" spans="10:10" x14ac:dyDescent="0.3">
      <c r="J79224"/>
    </row>
    <row r="79225" spans="10:10" x14ac:dyDescent="0.3">
      <c r="J79225"/>
    </row>
    <row r="79226" spans="10:10" x14ac:dyDescent="0.3">
      <c r="J79226"/>
    </row>
    <row r="79227" spans="10:10" x14ac:dyDescent="0.3">
      <c r="J79227"/>
    </row>
    <row r="79228" spans="10:10" x14ac:dyDescent="0.3">
      <c r="J79228"/>
    </row>
    <row r="79229" spans="10:10" x14ac:dyDescent="0.3">
      <c r="J79229"/>
    </row>
    <row r="79230" spans="10:10" x14ac:dyDescent="0.3">
      <c r="J79230"/>
    </row>
    <row r="79231" spans="10:10" x14ac:dyDescent="0.3">
      <c r="J79231"/>
    </row>
    <row r="79232" spans="10:10" x14ac:dyDescent="0.3">
      <c r="J79232"/>
    </row>
    <row r="79233" spans="10:10" x14ac:dyDescent="0.3">
      <c r="J79233"/>
    </row>
    <row r="79234" spans="10:10" x14ac:dyDescent="0.3">
      <c r="J79234"/>
    </row>
    <row r="79235" spans="10:10" x14ac:dyDescent="0.3">
      <c r="J79235"/>
    </row>
    <row r="79236" spans="10:10" x14ac:dyDescent="0.3">
      <c r="J79236"/>
    </row>
    <row r="79237" spans="10:10" x14ac:dyDescent="0.3">
      <c r="J79237"/>
    </row>
    <row r="79238" spans="10:10" x14ac:dyDescent="0.3">
      <c r="J79238"/>
    </row>
    <row r="79239" spans="10:10" x14ac:dyDescent="0.3">
      <c r="J79239"/>
    </row>
    <row r="79240" spans="10:10" x14ac:dyDescent="0.3">
      <c r="J79240"/>
    </row>
    <row r="79241" spans="10:10" x14ac:dyDescent="0.3">
      <c r="J79241"/>
    </row>
    <row r="79242" spans="10:10" x14ac:dyDescent="0.3">
      <c r="J79242"/>
    </row>
    <row r="79243" spans="10:10" x14ac:dyDescent="0.3">
      <c r="J79243"/>
    </row>
    <row r="79244" spans="10:10" x14ac:dyDescent="0.3">
      <c r="J79244"/>
    </row>
    <row r="79245" spans="10:10" x14ac:dyDescent="0.3">
      <c r="J79245"/>
    </row>
    <row r="79246" spans="10:10" x14ac:dyDescent="0.3">
      <c r="J79246"/>
    </row>
    <row r="79247" spans="10:10" x14ac:dyDescent="0.3">
      <c r="J79247"/>
    </row>
    <row r="79248" spans="10:10" x14ac:dyDescent="0.3">
      <c r="J79248"/>
    </row>
    <row r="79249" spans="10:10" x14ac:dyDescent="0.3">
      <c r="J79249"/>
    </row>
    <row r="79250" spans="10:10" x14ac:dyDescent="0.3">
      <c r="J79250"/>
    </row>
    <row r="79251" spans="10:10" x14ac:dyDescent="0.3">
      <c r="J79251"/>
    </row>
    <row r="79252" spans="10:10" x14ac:dyDescent="0.3">
      <c r="J79252"/>
    </row>
    <row r="79253" spans="10:10" x14ac:dyDescent="0.3">
      <c r="J79253"/>
    </row>
    <row r="79254" spans="10:10" x14ac:dyDescent="0.3">
      <c r="J79254"/>
    </row>
    <row r="79255" spans="10:10" x14ac:dyDescent="0.3">
      <c r="J79255"/>
    </row>
    <row r="79256" spans="10:10" x14ac:dyDescent="0.3">
      <c r="J79256"/>
    </row>
    <row r="79257" spans="10:10" x14ac:dyDescent="0.3">
      <c r="J79257"/>
    </row>
    <row r="79258" spans="10:10" x14ac:dyDescent="0.3">
      <c r="J79258"/>
    </row>
    <row r="79259" spans="10:10" x14ac:dyDescent="0.3">
      <c r="J79259"/>
    </row>
    <row r="79260" spans="10:10" x14ac:dyDescent="0.3">
      <c r="J79260"/>
    </row>
    <row r="79261" spans="10:10" x14ac:dyDescent="0.3">
      <c r="J79261"/>
    </row>
    <row r="79262" spans="10:10" x14ac:dyDescent="0.3">
      <c r="J79262"/>
    </row>
    <row r="79263" spans="10:10" x14ac:dyDescent="0.3">
      <c r="J79263"/>
    </row>
    <row r="79264" spans="10:10" x14ac:dyDescent="0.3">
      <c r="J79264"/>
    </row>
    <row r="79265" spans="10:10" x14ac:dyDescent="0.3">
      <c r="J79265"/>
    </row>
    <row r="79266" spans="10:10" x14ac:dyDescent="0.3">
      <c r="J79266"/>
    </row>
    <row r="79267" spans="10:10" x14ac:dyDescent="0.3">
      <c r="J79267"/>
    </row>
    <row r="79268" spans="10:10" x14ac:dyDescent="0.3">
      <c r="J79268"/>
    </row>
    <row r="79269" spans="10:10" x14ac:dyDescent="0.3">
      <c r="J79269"/>
    </row>
    <row r="79270" spans="10:10" x14ac:dyDescent="0.3">
      <c r="J79270"/>
    </row>
    <row r="79271" spans="10:10" x14ac:dyDescent="0.3">
      <c r="J79271"/>
    </row>
    <row r="79272" spans="10:10" x14ac:dyDescent="0.3">
      <c r="J79272"/>
    </row>
    <row r="79273" spans="10:10" x14ac:dyDescent="0.3">
      <c r="J79273"/>
    </row>
    <row r="79274" spans="10:10" x14ac:dyDescent="0.3">
      <c r="J79274"/>
    </row>
    <row r="79275" spans="10:10" x14ac:dyDescent="0.3">
      <c r="J79275"/>
    </row>
    <row r="79276" spans="10:10" x14ac:dyDescent="0.3">
      <c r="J79276"/>
    </row>
    <row r="79277" spans="10:10" x14ac:dyDescent="0.3">
      <c r="J79277"/>
    </row>
    <row r="79278" spans="10:10" x14ac:dyDescent="0.3">
      <c r="J79278"/>
    </row>
    <row r="79279" spans="10:10" x14ac:dyDescent="0.3">
      <c r="J79279"/>
    </row>
    <row r="79280" spans="10:10" x14ac:dyDescent="0.3">
      <c r="J79280"/>
    </row>
    <row r="79281" spans="10:10" x14ac:dyDescent="0.3">
      <c r="J79281"/>
    </row>
    <row r="79282" spans="10:10" x14ac:dyDescent="0.3">
      <c r="J79282"/>
    </row>
    <row r="79283" spans="10:10" x14ac:dyDescent="0.3">
      <c r="J79283"/>
    </row>
    <row r="79284" spans="10:10" x14ac:dyDescent="0.3">
      <c r="J79284"/>
    </row>
    <row r="79285" spans="10:10" x14ac:dyDescent="0.3">
      <c r="J79285"/>
    </row>
    <row r="79286" spans="10:10" x14ac:dyDescent="0.3">
      <c r="J79286"/>
    </row>
    <row r="79287" spans="10:10" x14ac:dyDescent="0.3">
      <c r="J79287"/>
    </row>
    <row r="79288" spans="10:10" x14ac:dyDescent="0.3">
      <c r="J79288"/>
    </row>
    <row r="79289" spans="10:10" x14ac:dyDescent="0.3">
      <c r="J79289"/>
    </row>
    <row r="79290" spans="10:10" x14ac:dyDescent="0.3">
      <c r="J79290"/>
    </row>
    <row r="79291" spans="10:10" x14ac:dyDescent="0.3">
      <c r="J79291"/>
    </row>
    <row r="79292" spans="10:10" x14ac:dyDescent="0.3">
      <c r="J79292"/>
    </row>
    <row r="79293" spans="10:10" x14ac:dyDescent="0.3">
      <c r="J79293"/>
    </row>
    <row r="79294" spans="10:10" x14ac:dyDescent="0.3">
      <c r="J79294"/>
    </row>
    <row r="79295" spans="10:10" x14ac:dyDescent="0.3">
      <c r="J79295"/>
    </row>
    <row r="79296" spans="10:10" x14ac:dyDescent="0.3">
      <c r="J79296"/>
    </row>
    <row r="79297" spans="10:10" x14ac:dyDescent="0.3">
      <c r="J79297"/>
    </row>
    <row r="79298" spans="10:10" x14ac:dyDescent="0.3">
      <c r="J79298"/>
    </row>
    <row r="79299" spans="10:10" x14ac:dyDescent="0.3">
      <c r="J79299"/>
    </row>
    <row r="79300" spans="10:10" x14ac:dyDescent="0.3">
      <c r="J79300"/>
    </row>
    <row r="79301" spans="10:10" x14ac:dyDescent="0.3">
      <c r="J79301"/>
    </row>
    <row r="79302" spans="10:10" x14ac:dyDescent="0.3">
      <c r="J79302"/>
    </row>
    <row r="79303" spans="10:10" x14ac:dyDescent="0.3">
      <c r="J79303"/>
    </row>
    <row r="79304" spans="10:10" x14ac:dyDescent="0.3">
      <c r="J79304"/>
    </row>
    <row r="79305" spans="10:10" x14ac:dyDescent="0.3">
      <c r="J79305"/>
    </row>
    <row r="79306" spans="10:10" x14ac:dyDescent="0.3">
      <c r="J79306"/>
    </row>
    <row r="79307" spans="10:10" x14ac:dyDescent="0.3">
      <c r="J79307"/>
    </row>
    <row r="79308" spans="10:10" x14ac:dyDescent="0.3">
      <c r="J79308"/>
    </row>
    <row r="79309" spans="10:10" x14ac:dyDescent="0.3">
      <c r="J79309"/>
    </row>
    <row r="79310" spans="10:10" x14ac:dyDescent="0.3">
      <c r="J79310"/>
    </row>
    <row r="79311" spans="10:10" x14ac:dyDescent="0.3">
      <c r="J79311"/>
    </row>
    <row r="79312" spans="10:10" x14ac:dyDescent="0.3">
      <c r="J79312"/>
    </row>
    <row r="79313" spans="10:10" x14ac:dyDescent="0.3">
      <c r="J79313"/>
    </row>
    <row r="79314" spans="10:10" x14ac:dyDescent="0.3">
      <c r="J79314"/>
    </row>
    <row r="79315" spans="10:10" x14ac:dyDescent="0.3">
      <c r="J79315"/>
    </row>
    <row r="79316" spans="10:10" x14ac:dyDescent="0.3">
      <c r="J79316"/>
    </row>
    <row r="79317" spans="10:10" x14ac:dyDescent="0.3">
      <c r="J79317"/>
    </row>
    <row r="79318" spans="10:10" x14ac:dyDescent="0.3">
      <c r="J79318"/>
    </row>
    <row r="79319" spans="10:10" x14ac:dyDescent="0.3">
      <c r="J79319"/>
    </row>
    <row r="79320" spans="10:10" x14ac:dyDescent="0.3">
      <c r="J79320"/>
    </row>
    <row r="79321" spans="10:10" x14ac:dyDescent="0.3">
      <c r="J79321"/>
    </row>
    <row r="79322" spans="10:10" x14ac:dyDescent="0.3">
      <c r="J79322"/>
    </row>
    <row r="79323" spans="10:10" x14ac:dyDescent="0.3">
      <c r="J79323"/>
    </row>
    <row r="79324" spans="10:10" x14ac:dyDescent="0.3">
      <c r="J79324"/>
    </row>
    <row r="79325" spans="10:10" x14ac:dyDescent="0.3">
      <c r="J79325"/>
    </row>
    <row r="79326" spans="10:10" x14ac:dyDescent="0.3">
      <c r="J79326"/>
    </row>
    <row r="79327" spans="10:10" x14ac:dyDescent="0.3">
      <c r="J79327"/>
    </row>
    <row r="79328" spans="10:10" x14ac:dyDescent="0.3">
      <c r="J79328"/>
    </row>
    <row r="79329" spans="10:10" x14ac:dyDescent="0.3">
      <c r="J79329"/>
    </row>
    <row r="79330" spans="10:10" x14ac:dyDescent="0.3">
      <c r="J79330"/>
    </row>
    <row r="79331" spans="10:10" x14ac:dyDescent="0.3">
      <c r="J79331"/>
    </row>
    <row r="79332" spans="10:10" x14ac:dyDescent="0.3">
      <c r="J79332"/>
    </row>
    <row r="79333" spans="10:10" x14ac:dyDescent="0.3">
      <c r="J79333"/>
    </row>
    <row r="79334" spans="10:10" x14ac:dyDescent="0.3">
      <c r="J79334"/>
    </row>
    <row r="79335" spans="10:10" x14ac:dyDescent="0.3">
      <c r="J79335"/>
    </row>
    <row r="79336" spans="10:10" x14ac:dyDescent="0.3">
      <c r="J79336"/>
    </row>
    <row r="79337" spans="10:10" x14ac:dyDescent="0.3">
      <c r="J79337"/>
    </row>
    <row r="79338" spans="10:10" x14ac:dyDescent="0.3">
      <c r="J79338"/>
    </row>
    <row r="79339" spans="10:10" x14ac:dyDescent="0.3">
      <c r="J79339"/>
    </row>
    <row r="79340" spans="10:10" x14ac:dyDescent="0.3">
      <c r="J79340"/>
    </row>
    <row r="79341" spans="10:10" x14ac:dyDescent="0.3">
      <c r="J79341"/>
    </row>
    <row r="79342" spans="10:10" x14ac:dyDescent="0.3">
      <c r="J79342"/>
    </row>
    <row r="79343" spans="10:10" x14ac:dyDescent="0.3">
      <c r="J79343"/>
    </row>
    <row r="79344" spans="10:10" x14ac:dyDescent="0.3">
      <c r="J79344"/>
    </row>
    <row r="79345" spans="10:10" x14ac:dyDescent="0.3">
      <c r="J79345"/>
    </row>
    <row r="79346" spans="10:10" x14ac:dyDescent="0.3">
      <c r="J79346"/>
    </row>
    <row r="79347" spans="10:10" x14ac:dyDescent="0.3">
      <c r="J79347"/>
    </row>
    <row r="79348" spans="10:10" x14ac:dyDescent="0.3">
      <c r="J79348"/>
    </row>
    <row r="79349" spans="10:10" x14ac:dyDescent="0.3">
      <c r="J79349"/>
    </row>
    <row r="79350" spans="10:10" x14ac:dyDescent="0.3">
      <c r="J79350"/>
    </row>
    <row r="79351" spans="10:10" x14ac:dyDescent="0.3">
      <c r="J79351"/>
    </row>
    <row r="79352" spans="10:10" x14ac:dyDescent="0.3">
      <c r="J79352"/>
    </row>
    <row r="79353" spans="10:10" x14ac:dyDescent="0.3">
      <c r="J79353"/>
    </row>
    <row r="79354" spans="10:10" x14ac:dyDescent="0.3">
      <c r="J79354"/>
    </row>
    <row r="79355" spans="10:10" x14ac:dyDescent="0.3">
      <c r="J79355"/>
    </row>
    <row r="79356" spans="10:10" x14ac:dyDescent="0.3">
      <c r="J79356"/>
    </row>
    <row r="79357" spans="10:10" x14ac:dyDescent="0.3">
      <c r="J79357"/>
    </row>
    <row r="79358" spans="10:10" x14ac:dyDescent="0.3">
      <c r="J79358"/>
    </row>
    <row r="79359" spans="10:10" x14ac:dyDescent="0.3">
      <c r="J79359"/>
    </row>
    <row r="79360" spans="10:10" x14ac:dyDescent="0.3">
      <c r="J79360"/>
    </row>
    <row r="79361" spans="10:10" x14ac:dyDescent="0.3">
      <c r="J79361"/>
    </row>
    <row r="79362" spans="10:10" x14ac:dyDescent="0.3">
      <c r="J79362"/>
    </row>
    <row r="79363" spans="10:10" x14ac:dyDescent="0.3">
      <c r="J79363"/>
    </row>
    <row r="79364" spans="10:10" x14ac:dyDescent="0.3">
      <c r="J79364"/>
    </row>
    <row r="79365" spans="10:10" x14ac:dyDescent="0.3">
      <c r="J79365"/>
    </row>
    <row r="79366" spans="10:10" x14ac:dyDescent="0.3">
      <c r="J79366"/>
    </row>
    <row r="79367" spans="10:10" x14ac:dyDescent="0.3">
      <c r="J79367"/>
    </row>
    <row r="79368" spans="10:10" x14ac:dyDescent="0.3">
      <c r="J79368"/>
    </row>
    <row r="79369" spans="10:10" x14ac:dyDescent="0.3">
      <c r="J79369"/>
    </row>
    <row r="79370" spans="10:10" x14ac:dyDescent="0.3">
      <c r="J79370"/>
    </row>
    <row r="79371" spans="10:10" x14ac:dyDescent="0.3">
      <c r="J79371"/>
    </row>
    <row r="79372" spans="10:10" x14ac:dyDescent="0.3">
      <c r="J79372"/>
    </row>
    <row r="79373" spans="10:10" x14ac:dyDescent="0.3">
      <c r="J79373"/>
    </row>
    <row r="79374" spans="10:10" x14ac:dyDescent="0.3">
      <c r="J79374"/>
    </row>
    <row r="79375" spans="10:10" x14ac:dyDescent="0.3">
      <c r="J79375"/>
    </row>
    <row r="79376" spans="10:10" x14ac:dyDescent="0.3">
      <c r="J79376"/>
    </row>
    <row r="79377" spans="10:10" x14ac:dyDescent="0.3">
      <c r="J79377"/>
    </row>
    <row r="79378" spans="10:10" x14ac:dyDescent="0.3">
      <c r="J79378"/>
    </row>
    <row r="79379" spans="10:10" x14ac:dyDescent="0.3">
      <c r="J79379"/>
    </row>
    <row r="79380" spans="10:10" x14ac:dyDescent="0.3">
      <c r="J79380"/>
    </row>
    <row r="79381" spans="10:10" x14ac:dyDescent="0.3">
      <c r="J79381"/>
    </row>
    <row r="79382" spans="10:10" x14ac:dyDescent="0.3">
      <c r="J79382"/>
    </row>
    <row r="79383" spans="10:10" x14ac:dyDescent="0.3">
      <c r="J79383"/>
    </row>
    <row r="79384" spans="10:10" x14ac:dyDescent="0.3">
      <c r="J79384"/>
    </row>
    <row r="79385" spans="10:10" x14ac:dyDescent="0.3">
      <c r="J79385"/>
    </row>
    <row r="79386" spans="10:10" x14ac:dyDescent="0.3">
      <c r="J79386"/>
    </row>
    <row r="79387" spans="10:10" x14ac:dyDescent="0.3">
      <c r="J79387"/>
    </row>
    <row r="79388" spans="10:10" x14ac:dyDescent="0.3">
      <c r="J79388"/>
    </row>
    <row r="79389" spans="10:10" x14ac:dyDescent="0.3">
      <c r="J79389"/>
    </row>
    <row r="79390" spans="10:10" x14ac:dyDescent="0.3">
      <c r="J79390"/>
    </row>
    <row r="79391" spans="10:10" x14ac:dyDescent="0.3">
      <c r="J79391"/>
    </row>
    <row r="79392" spans="10:10" x14ac:dyDescent="0.3">
      <c r="J79392"/>
    </row>
    <row r="79393" spans="10:10" x14ac:dyDescent="0.3">
      <c r="J79393"/>
    </row>
    <row r="79394" spans="10:10" x14ac:dyDescent="0.3">
      <c r="J79394"/>
    </row>
    <row r="79395" spans="10:10" x14ac:dyDescent="0.3">
      <c r="J79395"/>
    </row>
    <row r="79396" spans="10:10" x14ac:dyDescent="0.3">
      <c r="J79396"/>
    </row>
    <row r="79397" spans="10:10" x14ac:dyDescent="0.3">
      <c r="J79397"/>
    </row>
    <row r="79398" spans="10:10" x14ac:dyDescent="0.3">
      <c r="J79398"/>
    </row>
    <row r="79399" spans="10:10" x14ac:dyDescent="0.3">
      <c r="J79399"/>
    </row>
    <row r="79400" spans="10:10" x14ac:dyDescent="0.3">
      <c r="J79400"/>
    </row>
    <row r="79401" spans="10:10" x14ac:dyDescent="0.3">
      <c r="J79401"/>
    </row>
    <row r="79402" spans="10:10" x14ac:dyDescent="0.3">
      <c r="J79402"/>
    </row>
    <row r="79403" spans="10:10" x14ac:dyDescent="0.3">
      <c r="J79403"/>
    </row>
    <row r="79404" spans="10:10" x14ac:dyDescent="0.3">
      <c r="J79404"/>
    </row>
    <row r="79405" spans="10:10" x14ac:dyDescent="0.3">
      <c r="J79405"/>
    </row>
    <row r="79406" spans="10:10" x14ac:dyDescent="0.3">
      <c r="J79406"/>
    </row>
    <row r="79407" spans="10:10" x14ac:dyDescent="0.3">
      <c r="J79407"/>
    </row>
    <row r="79408" spans="10:10" x14ac:dyDescent="0.3">
      <c r="J79408"/>
    </row>
    <row r="79409" spans="10:10" x14ac:dyDescent="0.3">
      <c r="J79409"/>
    </row>
    <row r="79410" spans="10:10" x14ac:dyDescent="0.3">
      <c r="J79410"/>
    </row>
    <row r="79411" spans="10:10" x14ac:dyDescent="0.3">
      <c r="J79411"/>
    </row>
    <row r="79412" spans="10:10" x14ac:dyDescent="0.3">
      <c r="J79412"/>
    </row>
    <row r="79413" spans="10:10" x14ac:dyDescent="0.3">
      <c r="J79413"/>
    </row>
    <row r="79414" spans="10:10" x14ac:dyDescent="0.3">
      <c r="J79414"/>
    </row>
    <row r="79415" spans="10:10" x14ac:dyDescent="0.3">
      <c r="J79415"/>
    </row>
    <row r="79416" spans="10:10" x14ac:dyDescent="0.3">
      <c r="J79416"/>
    </row>
    <row r="79417" spans="10:10" x14ac:dyDescent="0.3">
      <c r="J79417"/>
    </row>
    <row r="79418" spans="10:10" x14ac:dyDescent="0.3">
      <c r="J79418"/>
    </row>
    <row r="79419" spans="10:10" x14ac:dyDescent="0.3">
      <c r="J79419"/>
    </row>
    <row r="79420" spans="10:10" x14ac:dyDescent="0.3">
      <c r="J79420"/>
    </row>
    <row r="79421" spans="10:10" x14ac:dyDescent="0.3">
      <c r="J79421"/>
    </row>
    <row r="79422" spans="10:10" x14ac:dyDescent="0.3">
      <c r="J79422"/>
    </row>
    <row r="79423" spans="10:10" x14ac:dyDescent="0.3">
      <c r="J79423"/>
    </row>
    <row r="79424" spans="10:10" x14ac:dyDescent="0.3">
      <c r="J79424"/>
    </row>
    <row r="79425" spans="10:10" x14ac:dyDescent="0.3">
      <c r="J79425"/>
    </row>
    <row r="79426" spans="10:10" x14ac:dyDescent="0.3">
      <c r="J79426"/>
    </row>
    <row r="79427" spans="10:10" x14ac:dyDescent="0.3">
      <c r="J79427"/>
    </row>
    <row r="79428" spans="10:10" x14ac:dyDescent="0.3">
      <c r="J79428"/>
    </row>
    <row r="79429" spans="10:10" x14ac:dyDescent="0.3">
      <c r="J79429"/>
    </row>
    <row r="79430" spans="10:10" x14ac:dyDescent="0.3">
      <c r="J79430"/>
    </row>
    <row r="79431" spans="10:10" x14ac:dyDescent="0.3">
      <c r="J79431"/>
    </row>
    <row r="79432" spans="10:10" x14ac:dyDescent="0.3">
      <c r="J79432"/>
    </row>
    <row r="79433" spans="10:10" x14ac:dyDescent="0.3">
      <c r="J79433"/>
    </row>
    <row r="79434" spans="10:10" x14ac:dyDescent="0.3">
      <c r="J79434"/>
    </row>
    <row r="79435" spans="10:10" x14ac:dyDescent="0.3">
      <c r="J79435"/>
    </row>
    <row r="79436" spans="10:10" x14ac:dyDescent="0.3">
      <c r="J79436"/>
    </row>
    <row r="79437" spans="10:10" x14ac:dyDescent="0.3">
      <c r="J79437"/>
    </row>
    <row r="79438" spans="10:10" x14ac:dyDescent="0.3">
      <c r="J79438"/>
    </row>
    <row r="79439" spans="10:10" x14ac:dyDescent="0.3">
      <c r="J79439"/>
    </row>
    <row r="79440" spans="10:10" x14ac:dyDescent="0.3">
      <c r="J79440"/>
    </row>
    <row r="79441" spans="10:10" x14ac:dyDescent="0.3">
      <c r="J79441"/>
    </row>
    <row r="79442" spans="10:10" x14ac:dyDescent="0.3">
      <c r="J79442"/>
    </row>
    <row r="79443" spans="10:10" x14ac:dyDescent="0.3">
      <c r="J79443"/>
    </row>
    <row r="79444" spans="10:10" x14ac:dyDescent="0.3">
      <c r="J79444"/>
    </row>
    <row r="79445" spans="10:10" x14ac:dyDescent="0.3">
      <c r="J79445"/>
    </row>
    <row r="79446" spans="10:10" x14ac:dyDescent="0.3">
      <c r="J79446"/>
    </row>
    <row r="79447" spans="10:10" x14ac:dyDescent="0.3">
      <c r="J79447"/>
    </row>
    <row r="79448" spans="10:10" x14ac:dyDescent="0.3">
      <c r="J79448"/>
    </row>
    <row r="79449" spans="10:10" x14ac:dyDescent="0.3">
      <c r="J79449"/>
    </row>
    <row r="79450" spans="10:10" x14ac:dyDescent="0.3">
      <c r="J79450"/>
    </row>
    <row r="79451" spans="10:10" x14ac:dyDescent="0.3">
      <c r="J79451"/>
    </row>
    <row r="79452" spans="10:10" x14ac:dyDescent="0.3">
      <c r="J79452"/>
    </row>
    <row r="79453" spans="10:10" x14ac:dyDescent="0.3">
      <c r="J79453"/>
    </row>
    <row r="79454" spans="10:10" x14ac:dyDescent="0.3">
      <c r="J79454"/>
    </row>
    <row r="79455" spans="10:10" x14ac:dyDescent="0.3">
      <c r="J79455"/>
    </row>
    <row r="79456" spans="10:10" x14ac:dyDescent="0.3">
      <c r="J79456"/>
    </row>
    <row r="79457" spans="10:10" x14ac:dyDescent="0.3">
      <c r="J79457"/>
    </row>
    <row r="79458" spans="10:10" x14ac:dyDescent="0.3">
      <c r="J79458"/>
    </row>
    <row r="79459" spans="10:10" x14ac:dyDescent="0.3">
      <c r="J79459"/>
    </row>
    <row r="79460" spans="10:10" x14ac:dyDescent="0.3">
      <c r="J79460"/>
    </row>
    <row r="79461" spans="10:10" x14ac:dyDescent="0.3">
      <c r="J79461"/>
    </row>
    <row r="79462" spans="10:10" x14ac:dyDescent="0.3">
      <c r="J79462"/>
    </row>
    <row r="79463" spans="10:10" x14ac:dyDescent="0.3">
      <c r="J79463"/>
    </row>
    <row r="79464" spans="10:10" x14ac:dyDescent="0.3">
      <c r="J79464"/>
    </row>
    <row r="79465" spans="10:10" x14ac:dyDescent="0.3">
      <c r="J79465"/>
    </row>
    <row r="79466" spans="10:10" x14ac:dyDescent="0.3">
      <c r="J79466"/>
    </row>
    <row r="79467" spans="10:10" x14ac:dyDescent="0.3">
      <c r="J79467"/>
    </row>
    <row r="79468" spans="10:10" x14ac:dyDescent="0.3">
      <c r="J79468"/>
    </row>
    <row r="79469" spans="10:10" x14ac:dyDescent="0.3">
      <c r="J79469"/>
    </row>
    <row r="79470" spans="10:10" x14ac:dyDescent="0.3">
      <c r="J79470"/>
    </row>
    <row r="79471" spans="10:10" x14ac:dyDescent="0.3">
      <c r="J79471"/>
    </row>
    <row r="79472" spans="10:10" x14ac:dyDescent="0.3">
      <c r="J79472"/>
    </row>
    <row r="79473" spans="10:10" x14ac:dyDescent="0.3">
      <c r="J79473"/>
    </row>
    <row r="79474" spans="10:10" x14ac:dyDescent="0.3">
      <c r="J79474"/>
    </row>
    <row r="79475" spans="10:10" x14ac:dyDescent="0.3">
      <c r="J79475"/>
    </row>
    <row r="79476" spans="10:10" x14ac:dyDescent="0.3">
      <c r="J79476"/>
    </row>
    <row r="79477" spans="10:10" x14ac:dyDescent="0.3">
      <c r="J79477"/>
    </row>
    <row r="79478" spans="10:10" x14ac:dyDescent="0.3">
      <c r="J79478"/>
    </row>
    <row r="79479" spans="10:10" x14ac:dyDescent="0.3">
      <c r="J79479"/>
    </row>
    <row r="79480" spans="10:10" x14ac:dyDescent="0.3">
      <c r="J79480"/>
    </row>
    <row r="79481" spans="10:10" x14ac:dyDescent="0.3">
      <c r="J79481"/>
    </row>
    <row r="79482" spans="10:10" x14ac:dyDescent="0.3">
      <c r="J79482"/>
    </row>
    <row r="79483" spans="10:10" x14ac:dyDescent="0.3">
      <c r="J79483"/>
    </row>
    <row r="79484" spans="10:10" x14ac:dyDescent="0.3">
      <c r="J79484"/>
    </row>
    <row r="79485" spans="10:10" x14ac:dyDescent="0.3">
      <c r="J79485"/>
    </row>
    <row r="79486" spans="10:10" x14ac:dyDescent="0.3">
      <c r="J79486"/>
    </row>
    <row r="79487" spans="10:10" x14ac:dyDescent="0.3">
      <c r="J79487"/>
    </row>
    <row r="79488" spans="10:10" x14ac:dyDescent="0.3">
      <c r="J79488"/>
    </row>
    <row r="79489" spans="10:10" x14ac:dyDescent="0.3">
      <c r="J79489"/>
    </row>
    <row r="79490" spans="10:10" x14ac:dyDescent="0.3">
      <c r="J79490"/>
    </row>
    <row r="79491" spans="10:10" x14ac:dyDescent="0.3">
      <c r="J79491"/>
    </row>
    <row r="79492" spans="10:10" x14ac:dyDescent="0.3">
      <c r="J79492"/>
    </row>
    <row r="79493" spans="10:10" x14ac:dyDescent="0.3">
      <c r="J79493"/>
    </row>
    <row r="79494" spans="10:10" x14ac:dyDescent="0.3">
      <c r="J79494"/>
    </row>
    <row r="79495" spans="10:10" x14ac:dyDescent="0.3">
      <c r="J79495"/>
    </row>
    <row r="79496" spans="10:10" x14ac:dyDescent="0.3">
      <c r="J79496"/>
    </row>
    <row r="79497" spans="10:10" x14ac:dyDescent="0.3">
      <c r="J79497"/>
    </row>
    <row r="79498" spans="10:10" x14ac:dyDescent="0.3">
      <c r="J79498"/>
    </row>
    <row r="79499" spans="10:10" x14ac:dyDescent="0.3">
      <c r="J79499"/>
    </row>
    <row r="79500" spans="10:10" x14ac:dyDescent="0.3">
      <c r="J79500"/>
    </row>
    <row r="79501" spans="10:10" x14ac:dyDescent="0.3">
      <c r="J79501"/>
    </row>
    <row r="79502" spans="10:10" x14ac:dyDescent="0.3">
      <c r="J79502"/>
    </row>
    <row r="79503" spans="10:10" x14ac:dyDescent="0.3">
      <c r="J79503"/>
    </row>
    <row r="79504" spans="10:10" x14ac:dyDescent="0.3">
      <c r="J79504"/>
    </row>
    <row r="79505" spans="10:10" x14ac:dyDescent="0.3">
      <c r="J79505"/>
    </row>
    <row r="79506" spans="10:10" x14ac:dyDescent="0.3">
      <c r="J79506"/>
    </row>
    <row r="79507" spans="10:10" x14ac:dyDescent="0.3">
      <c r="J79507"/>
    </row>
    <row r="79508" spans="10:10" x14ac:dyDescent="0.3">
      <c r="J79508"/>
    </row>
    <row r="79509" spans="10:10" x14ac:dyDescent="0.3">
      <c r="J79509"/>
    </row>
    <row r="79510" spans="10:10" x14ac:dyDescent="0.3">
      <c r="J79510"/>
    </row>
    <row r="79511" spans="10:10" x14ac:dyDescent="0.3">
      <c r="J79511"/>
    </row>
    <row r="79512" spans="10:10" x14ac:dyDescent="0.3">
      <c r="J79512"/>
    </row>
    <row r="79513" spans="10:10" x14ac:dyDescent="0.3">
      <c r="J79513"/>
    </row>
    <row r="79514" spans="10:10" x14ac:dyDescent="0.3">
      <c r="J79514"/>
    </row>
    <row r="79515" spans="10:10" x14ac:dyDescent="0.3">
      <c r="J79515"/>
    </row>
    <row r="79516" spans="10:10" x14ac:dyDescent="0.3">
      <c r="J79516"/>
    </row>
    <row r="79517" spans="10:10" x14ac:dyDescent="0.3">
      <c r="J79517"/>
    </row>
    <row r="79518" spans="10:10" x14ac:dyDescent="0.3">
      <c r="J79518"/>
    </row>
    <row r="79519" spans="10:10" x14ac:dyDescent="0.3">
      <c r="J79519"/>
    </row>
    <row r="79520" spans="10:10" x14ac:dyDescent="0.3">
      <c r="J79520"/>
    </row>
    <row r="79521" spans="10:10" x14ac:dyDescent="0.3">
      <c r="J79521"/>
    </row>
    <row r="79522" spans="10:10" x14ac:dyDescent="0.3">
      <c r="J79522"/>
    </row>
    <row r="79523" spans="10:10" x14ac:dyDescent="0.3">
      <c r="J79523"/>
    </row>
    <row r="79524" spans="10:10" x14ac:dyDescent="0.3">
      <c r="J79524"/>
    </row>
    <row r="79525" spans="10:10" x14ac:dyDescent="0.3">
      <c r="J79525"/>
    </row>
    <row r="79526" spans="10:10" x14ac:dyDescent="0.3">
      <c r="J79526"/>
    </row>
    <row r="79527" spans="10:10" x14ac:dyDescent="0.3">
      <c r="J79527"/>
    </row>
    <row r="79528" spans="10:10" x14ac:dyDescent="0.3">
      <c r="J79528"/>
    </row>
    <row r="79529" spans="10:10" x14ac:dyDescent="0.3">
      <c r="J79529"/>
    </row>
    <row r="79530" spans="10:10" x14ac:dyDescent="0.3">
      <c r="J79530"/>
    </row>
    <row r="79531" spans="10:10" x14ac:dyDescent="0.3">
      <c r="J79531"/>
    </row>
    <row r="79532" spans="10:10" x14ac:dyDescent="0.3">
      <c r="J79532"/>
    </row>
    <row r="79533" spans="10:10" x14ac:dyDescent="0.3">
      <c r="J79533"/>
    </row>
    <row r="79534" spans="10:10" x14ac:dyDescent="0.3">
      <c r="J79534"/>
    </row>
    <row r="79535" spans="10:10" x14ac:dyDescent="0.3">
      <c r="J79535"/>
    </row>
    <row r="79536" spans="10:10" x14ac:dyDescent="0.3">
      <c r="J79536"/>
    </row>
    <row r="79537" spans="10:10" x14ac:dyDescent="0.3">
      <c r="J79537"/>
    </row>
    <row r="79538" spans="10:10" x14ac:dyDescent="0.3">
      <c r="J79538"/>
    </row>
    <row r="79539" spans="10:10" x14ac:dyDescent="0.3">
      <c r="J79539"/>
    </row>
    <row r="79540" spans="10:10" x14ac:dyDescent="0.3">
      <c r="J79540"/>
    </row>
    <row r="79541" spans="10:10" x14ac:dyDescent="0.3">
      <c r="J79541"/>
    </row>
    <row r="79542" spans="10:10" x14ac:dyDescent="0.3">
      <c r="J79542"/>
    </row>
    <row r="79543" spans="10:10" x14ac:dyDescent="0.3">
      <c r="J79543"/>
    </row>
    <row r="79544" spans="10:10" x14ac:dyDescent="0.3">
      <c r="J79544"/>
    </row>
    <row r="79545" spans="10:10" x14ac:dyDescent="0.3">
      <c r="J79545"/>
    </row>
    <row r="79546" spans="10:10" x14ac:dyDescent="0.3">
      <c r="J79546"/>
    </row>
    <row r="79547" spans="10:10" x14ac:dyDescent="0.3">
      <c r="J79547"/>
    </row>
    <row r="79548" spans="10:10" x14ac:dyDescent="0.3">
      <c r="J79548"/>
    </row>
    <row r="79549" spans="10:10" x14ac:dyDescent="0.3">
      <c r="J79549"/>
    </row>
    <row r="79550" spans="10:10" x14ac:dyDescent="0.3">
      <c r="J79550"/>
    </row>
    <row r="79551" spans="10:10" x14ac:dyDescent="0.3">
      <c r="J79551"/>
    </row>
    <row r="79552" spans="10:10" x14ac:dyDescent="0.3">
      <c r="J79552"/>
    </row>
    <row r="79553" spans="10:10" x14ac:dyDescent="0.3">
      <c r="J79553"/>
    </row>
    <row r="79554" spans="10:10" x14ac:dyDescent="0.3">
      <c r="J79554"/>
    </row>
    <row r="79555" spans="10:10" x14ac:dyDescent="0.3">
      <c r="J79555"/>
    </row>
    <row r="79556" spans="10:10" x14ac:dyDescent="0.3">
      <c r="J79556"/>
    </row>
    <row r="79557" spans="10:10" x14ac:dyDescent="0.3">
      <c r="J79557"/>
    </row>
    <row r="79558" spans="10:10" x14ac:dyDescent="0.3">
      <c r="J79558"/>
    </row>
    <row r="79559" spans="10:10" x14ac:dyDescent="0.3">
      <c r="J79559"/>
    </row>
    <row r="79560" spans="10:10" x14ac:dyDescent="0.3">
      <c r="J79560"/>
    </row>
    <row r="79561" spans="10:10" x14ac:dyDescent="0.3">
      <c r="J79561"/>
    </row>
    <row r="79562" spans="10:10" x14ac:dyDescent="0.3">
      <c r="J79562"/>
    </row>
    <row r="79563" spans="10:10" x14ac:dyDescent="0.3">
      <c r="J79563"/>
    </row>
    <row r="79564" spans="10:10" x14ac:dyDescent="0.3">
      <c r="J79564"/>
    </row>
    <row r="79565" spans="10:10" x14ac:dyDescent="0.3">
      <c r="J79565"/>
    </row>
    <row r="79566" spans="10:10" x14ac:dyDescent="0.3">
      <c r="J79566"/>
    </row>
    <row r="79567" spans="10:10" x14ac:dyDescent="0.3">
      <c r="J79567"/>
    </row>
    <row r="79568" spans="10:10" x14ac:dyDescent="0.3">
      <c r="J79568"/>
    </row>
    <row r="79569" spans="10:10" x14ac:dyDescent="0.3">
      <c r="J79569"/>
    </row>
    <row r="79570" spans="10:10" x14ac:dyDescent="0.3">
      <c r="J79570"/>
    </row>
    <row r="79571" spans="10:10" x14ac:dyDescent="0.3">
      <c r="J79571"/>
    </row>
    <row r="79572" spans="10:10" x14ac:dyDescent="0.3">
      <c r="J79572"/>
    </row>
    <row r="79573" spans="10:10" x14ac:dyDescent="0.3">
      <c r="J79573"/>
    </row>
    <row r="79574" spans="10:10" x14ac:dyDescent="0.3">
      <c r="J79574"/>
    </row>
    <row r="79575" spans="10:10" x14ac:dyDescent="0.3">
      <c r="J79575"/>
    </row>
    <row r="79576" spans="10:10" x14ac:dyDescent="0.3">
      <c r="J79576"/>
    </row>
    <row r="79577" spans="10:10" x14ac:dyDescent="0.3">
      <c r="J79577"/>
    </row>
    <row r="79578" spans="10:10" x14ac:dyDescent="0.3">
      <c r="J79578"/>
    </row>
    <row r="79579" spans="10:10" x14ac:dyDescent="0.3">
      <c r="J79579"/>
    </row>
    <row r="79580" spans="10:10" x14ac:dyDescent="0.3">
      <c r="J79580"/>
    </row>
    <row r="79581" spans="10:10" x14ac:dyDescent="0.3">
      <c r="J79581"/>
    </row>
    <row r="79582" spans="10:10" x14ac:dyDescent="0.3">
      <c r="J79582"/>
    </row>
    <row r="79583" spans="10:10" x14ac:dyDescent="0.3">
      <c r="J79583"/>
    </row>
    <row r="79584" spans="10:10" x14ac:dyDescent="0.3">
      <c r="J79584"/>
    </row>
    <row r="79585" spans="10:10" x14ac:dyDescent="0.3">
      <c r="J79585"/>
    </row>
    <row r="79586" spans="10:10" x14ac:dyDescent="0.3">
      <c r="J79586"/>
    </row>
    <row r="79587" spans="10:10" x14ac:dyDescent="0.3">
      <c r="J79587"/>
    </row>
    <row r="79588" spans="10:10" x14ac:dyDescent="0.3">
      <c r="J79588"/>
    </row>
    <row r="79589" spans="10:10" x14ac:dyDescent="0.3">
      <c r="J79589"/>
    </row>
    <row r="79590" spans="10:10" x14ac:dyDescent="0.3">
      <c r="J79590"/>
    </row>
    <row r="79591" spans="10:10" x14ac:dyDescent="0.3">
      <c r="J79591"/>
    </row>
    <row r="79592" spans="10:10" x14ac:dyDescent="0.3">
      <c r="J79592"/>
    </row>
    <row r="79593" spans="10:10" x14ac:dyDescent="0.3">
      <c r="J79593"/>
    </row>
    <row r="79594" spans="10:10" x14ac:dyDescent="0.3">
      <c r="J79594"/>
    </row>
    <row r="79595" spans="10:10" x14ac:dyDescent="0.3">
      <c r="J79595"/>
    </row>
    <row r="79596" spans="10:10" x14ac:dyDescent="0.3">
      <c r="J79596"/>
    </row>
    <row r="79597" spans="10:10" x14ac:dyDescent="0.3">
      <c r="J79597"/>
    </row>
    <row r="79598" spans="10:10" x14ac:dyDescent="0.3">
      <c r="J79598"/>
    </row>
    <row r="79599" spans="10:10" x14ac:dyDescent="0.3">
      <c r="J79599"/>
    </row>
    <row r="79600" spans="10:10" x14ac:dyDescent="0.3">
      <c r="J79600"/>
    </row>
    <row r="79601" spans="10:10" x14ac:dyDescent="0.3">
      <c r="J79601"/>
    </row>
    <row r="79602" spans="10:10" x14ac:dyDescent="0.3">
      <c r="J79602"/>
    </row>
    <row r="79603" spans="10:10" x14ac:dyDescent="0.3">
      <c r="J79603"/>
    </row>
    <row r="79604" spans="10:10" x14ac:dyDescent="0.3">
      <c r="J79604"/>
    </row>
    <row r="79605" spans="10:10" x14ac:dyDescent="0.3">
      <c r="J79605"/>
    </row>
    <row r="79606" spans="10:10" x14ac:dyDescent="0.3">
      <c r="J79606"/>
    </row>
    <row r="79607" spans="10:10" x14ac:dyDescent="0.3">
      <c r="J79607"/>
    </row>
    <row r="79608" spans="10:10" x14ac:dyDescent="0.3">
      <c r="J79608"/>
    </row>
    <row r="79609" spans="10:10" x14ac:dyDescent="0.3">
      <c r="J79609"/>
    </row>
    <row r="79610" spans="10:10" x14ac:dyDescent="0.3">
      <c r="J79610"/>
    </row>
    <row r="79611" spans="10:10" x14ac:dyDescent="0.3">
      <c r="J79611"/>
    </row>
    <row r="79612" spans="10:10" x14ac:dyDescent="0.3">
      <c r="J79612"/>
    </row>
    <row r="79613" spans="10:10" x14ac:dyDescent="0.3">
      <c r="J79613"/>
    </row>
    <row r="79614" spans="10:10" x14ac:dyDescent="0.3">
      <c r="J79614"/>
    </row>
    <row r="79615" spans="10:10" x14ac:dyDescent="0.3">
      <c r="J79615"/>
    </row>
    <row r="79616" spans="10:10" x14ac:dyDescent="0.3">
      <c r="J79616"/>
    </row>
    <row r="79617" spans="10:10" x14ac:dyDescent="0.3">
      <c r="J79617"/>
    </row>
    <row r="79618" spans="10:10" x14ac:dyDescent="0.3">
      <c r="J79618"/>
    </row>
    <row r="79619" spans="10:10" x14ac:dyDescent="0.3">
      <c r="J79619"/>
    </row>
    <row r="79620" spans="10:10" x14ac:dyDescent="0.3">
      <c r="J79620"/>
    </row>
    <row r="79621" spans="10:10" x14ac:dyDescent="0.3">
      <c r="J79621"/>
    </row>
    <row r="79622" spans="10:10" x14ac:dyDescent="0.3">
      <c r="J79622"/>
    </row>
    <row r="79623" spans="10:10" x14ac:dyDescent="0.3">
      <c r="J79623"/>
    </row>
    <row r="79624" spans="10:10" x14ac:dyDescent="0.3">
      <c r="J79624"/>
    </row>
    <row r="79625" spans="10:10" x14ac:dyDescent="0.3">
      <c r="J79625"/>
    </row>
    <row r="79626" spans="10:10" x14ac:dyDescent="0.3">
      <c r="J79626"/>
    </row>
    <row r="79627" spans="10:10" x14ac:dyDescent="0.3">
      <c r="J79627"/>
    </row>
    <row r="79628" spans="10:10" x14ac:dyDescent="0.3">
      <c r="J79628"/>
    </row>
    <row r="79629" spans="10:10" x14ac:dyDescent="0.3">
      <c r="J79629"/>
    </row>
    <row r="79630" spans="10:10" x14ac:dyDescent="0.3">
      <c r="J79630"/>
    </row>
    <row r="79631" spans="10:10" x14ac:dyDescent="0.3">
      <c r="J79631"/>
    </row>
    <row r="79632" spans="10:10" x14ac:dyDescent="0.3">
      <c r="J79632"/>
    </row>
    <row r="79633" spans="10:10" x14ac:dyDescent="0.3">
      <c r="J79633"/>
    </row>
    <row r="79634" spans="10:10" x14ac:dyDescent="0.3">
      <c r="J79634"/>
    </row>
    <row r="79635" spans="10:10" x14ac:dyDescent="0.3">
      <c r="J79635"/>
    </row>
    <row r="79636" spans="10:10" x14ac:dyDescent="0.3">
      <c r="J79636"/>
    </row>
    <row r="79637" spans="10:10" x14ac:dyDescent="0.3">
      <c r="J79637"/>
    </row>
    <row r="79638" spans="10:10" x14ac:dyDescent="0.3">
      <c r="J79638"/>
    </row>
    <row r="79639" spans="10:10" x14ac:dyDescent="0.3">
      <c r="J79639"/>
    </row>
    <row r="79640" spans="10:10" x14ac:dyDescent="0.3">
      <c r="J79640"/>
    </row>
    <row r="79641" spans="10:10" x14ac:dyDescent="0.3">
      <c r="J79641"/>
    </row>
    <row r="79642" spans="10:10" x14ac:dyDescent="0.3">
      <c r="J79642"/>
    </row>
    <row r="79643" spans="10:10" x14ac:dyDescent="0.3">
      <c r="J79643"/>
    </row>
    <row r="79644" spans="10:10" x14ac:dyDescent="0.3">
      <c r="J79644"/>
    </row>
    <row r="79645" spans="10:10" x14ac:dyDescent="0.3">
      <c r="J79645"/>
    </row>
    <row r="79646" spans="10:10" x14ac:dyDescent="0.3">
      <c r="J79646"/>
    </row>
    <row r="79647" spans="10:10" x14ac:dyDescent="0.3">
      <c r="J79647"/>
    </row>
    <row r="79648" spans="10:10" x14ac:dyDescent="0.3">
      <c r="J79648"/>
    </row>
    <row r="79649" spans="10:10" x14ac:dyDescent="0.3">
      <c r="J79649"/>
    </row>
    <row r="79650" spans="10:10" x14ac:dyDescent="0.3">
      <c r="J79650"/>
    </row>
    <row r="79651" spans="10:10" x14ac:dyDescent="0.3">
      <c r="J79651"/>
    </row>
    <row r="79652" spans="10:10" x14ac:dyDescent="0.3">
      <c r="J79652"/>
    </row>
    <row r="79653" spans="10:10" x14ac:dyDescent="0.3">
      <c r="J79653"/>
    </row>
    <row r="79654" spans="10:10" x14ac:dyDescent="0.3">
      <c r="J79654"/>
    </row>
    <row r="79655" spans="10:10" x14ac:dyDescent="0.3">
      <c r="J79655"/>
    </row>
    <row r="79656" spans="10:10" x14ac:dyDescent="0.3">
      <c r="J79656"/>
    </row>
    <row r="79657" spans="10:10" x14ac:dyDescent="0.3">
      <c r="J79657"/>
    </row>
    <row r="79658" spans="10:10" x14ac:dyDescent="0.3">
      <c r="J79658"/>
    </row>
    <row r="79659" spans="10:10" x14ac:dyDescent="0.3">
      <c r="J79659"/>
    </row>
    <row r="79660" spans="10:10" x14ac:dyDescent="0.3">
      <c r="J79660"/>
    </row>
    <row r="79661" spans="10:10" x14ac:dyDescent="0.3">
      <c r="J79661"/>
    </row>
    <row r="79662" spans="10:10" x14ac:dyDescent="0.3">
      <c r="J79662"/>
    </row>
    <row r="79663" spans="10:10" x14ac:dyDescent="0.3">
      <c r="J79663"/>
    </row>
    <row r="79664" spans="10:10" x14ac:dyDescent="0.3">
      <c r="J79664"/>
    </row>
    <row r="79665" spans="10:10" x14ac:dyDescent="0.3">
      <c r="J79665"/>
    </row>
    <row r="79666" spans="10:10" x14ac:dyDescent="0.3">
      <c r="J79666"/>
    </row>
    <row r="79667" spans="10:10" x14ac:dyDescent="0.3">
      <c r="J79667"/>
    </row>
    <row r="79668" spans="10:10" x14ac:dyDescent="0.3">
      <c r="J79668"/>
    </row>
    <row r="79669" spans="10:10" x14ac:dyDescent="0.3">
      <c r="J79669"/>
    </row>
    <row r="79670" spans="10:10" x14ac:dyDescent="0.3">
      <c r="J79670"/>
    </row>
    <row r="79671" spans="10:10" x14ac:dyDescent="0.3">
      <c r="J79671"/>
    </row>
    <row r="79672" spans="10:10" x14ac:dyDescent="0.3">
      <c r="J79672"/>
    </row>
    <row r="79673" spans="10:10" x14ac:dyDescent="0.3">
      <c r="J79673"/>
    </row>
    <row r="79674" spans="10:10" x14ac:dyDescent="0.3">
      <c r="J79674"/>
    </row>
    <row r="79675" spans="10:10" x14ac:dyDescent="0.3">
      <c r="J79675"/>
    </row>
    <row r="79676" spans="10:10" x14ac:dyDescent="0.3">
      <c r="J79676"/>
    </row>
    <row r="79677" spans="10:10" x14ac:dyDescent="0.3">
      <c r="J79677"/>
    </row>
    <row r="79678" spans="10:10" x14ac:dyDescent="0.3">
      <c r="J79678"/>
    </row>
    <row r="79679" spans="10:10" x14ac:dyDescent="0.3">
      <c r="J79679"/>
    </row>
    <row r="79680" spans="10:10" x14ac:dyDescent="0.3">
      <c r="J79680"/>
    </row>
    <row r="79681" spans="10:10" x14ac:dyDescent="0.3">
      <c r="J79681"/>
    </row>
    <row r="79682" spans="10:10" x14ac:dyDescent="0.3">
      <c r="J79682"/>
    </row>
    <row r="79683" spans="10:10" x14ac:dyDescent="0.3">
      <c r="J79683"/>
    </row>
    <row r="79684" spans="10:10" x14ac:dyDescent="0.3">
      <c r="J79684"/>
    </row>
    <row r="79685" spans="10:10" x14ac:dyDescent="0.3">
      <c r="J79685"/>
    </row>
    <row r="79686" spans="10:10" x14ac:dyDescent="0.3">
      <c r="J79686"/>
    </row>
    <row r="79687" spans="10:10" x14ac:dyDescent="0.3">
      <c r="J79687"/>
    </row>
    <row r="79688" spans="10:10" x14ac:dyDescent="0.3">
      <c r="J79688"/>
    </row>
    <row r="79689" spans="10:10" x14ac:dyDescent="0.3">
      <c r="J79689"/>
    </row>
    <row r="79690" spans="10:10" x14ac:dyDescent="0.3">
      <c r="J79690"/>
    </row>
    <row r="79691" spans="10:10" x14ac:dyDescent="0.3">
      <c r="J79691"/>
    </row>
    <row r="79692" spans="10:10" x14ac:dyDescent="0.3">
      <c r="J79692"/>
    </row>
    <row r="79693" spans="10:10" x14ac:dyDescent="0.3">
      <c r="J79693"/>
    </row>
    <row r="79694" spans="10:10" x14ac:dyDescent="0.3">
      <c r="J79694"/>
    </row>
    <row r="79695" spans="10:10" x14ac:dyDescent="0.3">
      <c r="J79695"/>
    </row>
    <row r="79696" spans="10:10" x14ac:dyDescent="0.3">
      <c r="J79696"/>
    </row>
    <row r="79697" spans="10:10" x14ac:dyDescent="0.3">
      <c r="J79697"/>
    </row>
    <row r="79698" spans="10:10" x14ac:dyDescent="0.3">
      <c r="J79698"/>
    </row>
    <row r="79699" spans="10:10" x14ac:dyDescent="0.3">
      <c r="J79699"/>
    </row>
    <row r="79700" spans="10:10" x14ac:dyDescent="0.3">
      <c r="J79700"/>
    </row>
    <row r="79701" spans="10:10" x14ac:dyDescent="0.3">
      <c r="J79701"/>
    </row>
    <row r="79702" spans="10:10" x14ac:dyDescent="0.3">
      <c r="J79702"/>
    </row>
    <row r="79703" spans="10:10" x14ac:dyDescent="0.3">
      <c r="J79703"/>
    </row>
    <row r="79704" spans="10:10" x14ac:dyDescent="0.3">
      <c r="J79704"/>
    </row>
    <row r="79705" spans="10:10" x14ac:dyDescent="0.3">
      <c r="J79705"/>
    </row>
    <row r="79706" spans="10:10" x14ac:dyDescent="0.3">
      <c r="J79706"/>
    </row>
    <row r="79707" spans="10:10" x14ac:dyDescent="0.3">
      <c r="J79707"/>
    </row>
    <row r="79708" spans="10:10" x14ac:dyDescent="0.3">
      <c r="J79708"/>
    </row>
    <row r="79709" spans="10:10" x14ac:dyDescent="0.3">
      <c r="J79709"/>
    </row>
    <row r="79710" spans="10:10" x14ac:dyDescent="0.3">
      <c r="J79710"/>
    </row>
    <row r="79711" spans="10:10" x14ac:dyDescent="0.3">
      <c r="J79711"/>
    </row>
    <row r="79712" spans="10:10" x14ac:dyDescent="0.3">
      <c r="J79712"/>
    </row>
    <row r="79713" spans="10:10" x14ac:dyDescent="0.3">
      <c r="J79713"/>
    </row>
    <row r="79714" spans="10:10" x14ac:dyDescent="0.3">
      <c r="J79714"/>
    </row>
    <row r="79715" spans="10:10" x14ac:dyDescent="0.3">
      <c r="J79715"/>
    </row>
    <row r="79716" spans="10:10" x14ac:dyDescent="0.3">
      <c r="J79716"/>
    </row>
    <row r="79717" spans="10:10" x14ac:dyDescent="0.3">
      <c r="J79717"/>
    </row>
    <row r="79718" spans="10:10" x14ac:dyDescent="0.3">
      <c r="J79718"/>
    </row>
    <row r="79719" spans="10:10" x14ac:dyDescent="0.3">
      <c r="J79719"/>
    </row>
    <row r="79720" spans="10:10" x14ac:dyDescent="0.3">
      <c r="J79720"/>
    </row>
    <row r="79721" spans="10:10" x14ac:dyDescent="0.3">
      <c r="J79721"/>
    </row>
    <row r="79722" spans="10:10" x14ac:dyDescent="0.3">
      <c r="J79722"/>
    </row>
    <row r="79723" spans="10:10" x14ac:dyDescent="0.3">
      <c r="J79723"/>
    </row>
    <row r="79724" spans="10:10" x14ac:dyDescent="0.3">
      <c r="J79724"/>
    </row>
    <row r="79725" spans="10:10" x14ac:dyDescent="0.3">
      <c r="J79725"/>
    </row>
    <row r="79726" spans="10:10" x14ac:dyDescent="0.3">
      <c r="J79726"/>
    </row>
    <row r="79727" spans="10:10" x14ac:dyDescent="0.3">
      <c r="J79727"/>
    </row>
    <row r="79728" spans="10:10" x14ac:dyDescent="0.3">
      <c r="J79728"/>
    </row>
    <row r="79729" spans="10:10" x14ac:dyDescent="0.3">
      <c r="J79729"/>
    </row>
    <row r="79730" spans="10:10" x14ac:dyDescent="0.3">
      <c r="J79730"/>
    </row>
    <row r="79731" spans="10:10" x14ac:dyDescent="0.3">
      <c r="J79731"/>
    </row>
    <row r="79732" spans="10:10" x14ac:dyDescent="0.3">
      <c r="J79732"/>
    </row>
    <row r="79733" spans="10:10" x14ac:dyDescent="0.3">
      <c r="J79733"/>
    </row>
    <row r="79734" spans="10:10" x14ac:dyDescent="0.3">
      <c r="J79734"/>
    </row>
    <row r="79735" spans="10:10" x14ac:dyDescent="0.3">
      <c r="J79735"/>
    </row>
    <row r="79736" spans="10:10" x14ac:dyDescent="0.3">
      <c r="J79736"/>
    </row>
    <row r="79737" spans="10:10" x14ac:dyDescent="0.3">
      <c r="J79737"/>
    </row>
    <row r="79738" spans="10:10" x14ac:dyDescent="0.3">
      <c r="J79738"/>
    </row>
    <row r="79739" spans="10:10" x14ac:dyDescent="0.3">
      <c r="J79739"/>
    </row>
    <row r="79740" spans="10:10" x14ac:dyDescent="0.3">
      <c r="J79740"/>
    </row>
    <row r="79741" spans="10:10" x14ac:dyDescent="0.3">
      <c r="J79741"/>
    </row>
    <row r="79742" spans="10:10" x14ac:dyDescent="0.3">
      <c r="J79742"/>
    </row>
    <row r="79743" spans="10:10" x14ac:dyDescent="0.3">
      <c r="J79743"/>
    </row>
    <row r="79744" spans="10:10" x14ac:dyDescent="0.3">
      <c r="J79744"/>
    </row>
    <row r="79745" spans="10:10" x14ac:dyDescent="0.3">
      <c r="J79745"/>
    </row>
    <row r="79746" spans="10:10" x14ac:dyDescent="0.3">
      <c r="J79746"/>
    </row>
    <row r="79747" spans="10:10" x14ac:dyDescent="0.3">
      <c r="J79747"/>
    </row>
    <row r="79748" spans="10:10" x14ac:dyDescent="0.3">
      <c r="J79748"/>
    </row>
    <row r="79749" spans="10:10" x14ac:dyDescent="0.3">
      <c r="J79749"/>
    </row>
    <row r="79750" spans="10:10" x14ac:dyDescent="0.3">
      <c r="J79750"/>
    </row>
    <row r="79751" spans="10:10" x14ac:dyDescent="0.3">
      <c r="J79751"/>
    </row>
    <row r="79752" spans="10:10" x14ac:dyDescent="0.3">
      <c r="J79752"/>
    </row>
    <row r="79753" spans="10:10" x14ac:dyDescent="0.3">
      <c r="J79753"/>
    </row>
    <row r="79754" spans="10:10" x14ac:dyDescent="0.3">
      <c r="J79754"/>
    </row>
    <row r="79755" spans="10:10" x14ac:dyDescent="0.3">
      <c r="J79755"/>
    </row>
    <row r="79756" spans="10:10" x14ac:dyDescent="0.3">
      <c r="J79756"/>
    </row>
    <row r="79757" spans="10:10" x14ac:dyDescent="0.3">
      <c r="J79757"/>
    </row>
    <row r="79758" spans="10:10" x14ac:dyDescent="0.3">
      <c r="J79758"/>
    </row>
    <row r="79759" spans="10:10" x14ac:dyDescent="0.3">
      <c r="J79759"/>
    </row>
    <row r="79760" spans="10:10" x14ac:dyDescent="0.3">
      <c r="J79760"/>
    </row>
    <row r="79761" spans="10:10" x14ac:dyDescent="0.3">
      <c r="J79761"/>
    </row>
    <row r="79762" spans="10:10" x14ac:dyDescent="0.3">
      <c r="J79762"/>
    </row>
    <row r="79763" spans="10:10" x14ac:dyDescent="0.3">
      <c r="J79763"/>
    </row>
    <row r="79764" spans="10:10" x14ac:dyDescent="0.3">
      <c r="J79764"/>
    </row>
    <row r="79765" spans="10:10" x14ac:dyDescent="0.3">
      <c r="J79765"/>
    </row>
    <row r="79766" spans="10:10" x14ac:dyDescent="0.3">
      <c r="J79766"/>
    </row>
    <row r="79767" spans="10:10" x14ac:dyDescent="0.3">
      <c r="J79767"/>
    </row>
    <row r="79768" spans="10:10" x14ac:dyDescent="0.3">
      <c r="J79768"/>
    </row>
    <row r="79769" spans="10:10" x14ac:dyDescent="0.3">
      <c r="J79769"/>
    </row>
    <row r="79770" spans="10:10" x14ac:dyDescent="0.3">
      <c r="J79770"/>
    </row>
    <row r="79771" spans="10:10" x14ac:dyDescent="0.3">
      <c r="J79771"/>
    </row>
    <row r="79772" spans="10:10" x14ac:dyDescent="0.3">
      <c r="J79772"/>
    </row>
    <row r="79773" spans="10:10" x14ac:dyDescent="0.3">
      <c r="J79773"/>
    </row>
    <row r="79774" spans="10:10" x14ac:dyDescent="0.3">
      <c r="J79774"/>
    </row>
    <row r="79775" spans="10:10" x14ac:dyDescent="0.3">
      <c r="J79775"/>
    </row>
    <row r="79776" spans="10:10" x14ac:dyDescent="0.3">
      <c r="J79776"/>
    </row>
    <row r="79777" spans="10:10" x14ac:dyDescent="0.3">
      <c r="J79777"/>
    </row>
    <row r="79778" spans="10:10" x14ac:dyDescent="0.3">
      <c r="J79778"/>
    </row>
    <row r="79779" spans="10:10" x14ac:dyDescent="0.3">
      <c r="J79779"/>
    </row>
    <row r="79780" spans="10:10" x14ac:dyDescent="0.3">
      <c r="J79780"/>
    </row>
    <row r="79781" spans="10:10" x14ac:dyDescent="0.3">
      <c r="J79781"/>
    </row>
    <row r="79782" spans="10:10" x14ac:dyDescent="0.3">
      <c r="J79782"/>
    </row>
    <row r="79783" spans="10:10" x14ac:dyDescent="0.3">
      <c r="J79783"/>
    </row>
    <row r="79784" spans="10:10" x14ac:dyDescent="0.3">
      <c r="J79784"/>
    </row>
    <row r="79785" spans="10:10" x14ac:dyDescent="0.3">
      <c r="J79785"/>
    </row>
    <row r="79786" spans="10:10" x14ac:dyDescent="0.3">
      <c r="J79786"/>
    </row>
    <row r="79787" spans="10:10" x14ac:dyDescent="0.3">
      <c r="J79787"/>
    </row>
    <row r="79788" spans="10:10" x14ac:dyDescent="0.3">
      <c r="J79788"/>
    </row>
    <row r="79789" spans="10:10" x14ac:dyDescent="0.3">
      <c r="J79789"/>
    </row>
    <row r="79790" spans="10:10" x14ac:dyDescent="0.3">
      <c r="J79790"/>
    </row>
    <row r="79791" spans="10:10" x14ac:dyDescent="0.3">
      <c r="J79791"/>
    </row>
    <row r="79792" spans="10:10" x14ac:dyDescent="0.3">
      <c r="J79792"/>
    </row>
    <row r="79793" spans="10:10" x14ac:dyDescent="0.3">
      <c r="J79793"/>
    </row>
    <row r="79794" spans="10:10" x14ac:dyDescent="0.3">
      <c r="J79794"/>
    </row>
    <row r="79795" spans="10:10" x14ac:dyDescent="0.3">
      <c r="J79795"/>
    </row>
    <row r="79796" spans="10:10" x14ac:dyDescent="0.3">
      <c r="J79796"/>
    </row>
    <row r="79797" spans="10:10" x14ac:dyDescent="0.3">
      <c r="J79797"/>
    </row>
    <row r="79798" spans="10:10" x14ac:dyDescent="0.3">
      <c r="J79798"/>
    </row>
    <row r="79799" spans="10:10" x14ac:dyDescent="0.3">
      <c r="J79799"/>
    </row>
    <row r="79800" spans="10:10" x14ac:dyDescent="0.3">
      <c r="J79800"/>
    </row>
    <row r="79801" spans="10:10" x14ac:dyDescent="0.3">
      <c r="J79801"/>
    </row>
    <row r="79802" spans="10:10" x14ac:dyDescent="0.3">
      <c r="J79802"/>
    </row>
    <row r="79803" spans="10:10" x14ac:dyDescent="0.3">
      <c r="J79803"/>
    </row>
    <row r="79804" spans="10:10" x14ac:dyDescent="0.3">
      <c r="J79804"/>
    </row>
    <row r="79805" spans="10:10" x14ac:dyDescent="0.3">
      <c r="J79805"/>
    </row>
    <row r="79806" spans="10:10" x14ac:dyDescent="0.3">
      <c r="J79806"/>
    </row>
    <row r="79807" spans="10:10" x14ac:dyDescent="0.3">
      <c r="J79807"/>
    </row>
    <row r="79808" spans="10:10" x14ac:dyDescent="0.3">
      <c r="J79808"/>
    </row>
    <row r="79809" spans="10:10" x14ac:dyDescent="0.3">
      <c r="J79809"/>
    </row>
    <row r="79810" spans="10:10" x14ac:dyDescent="0.3">
      <c r="J79810"/>
    </row>
    <row r="79811" spans="10:10" x14ac:dyDescent="0.3">
      <c r="J79811"/>
    </row>
    <row r="79812" spans="10:10" x14ac:dyDescent="0.3">
      <c r="J79812"/>
    </row>
    <row r="79813" spans="10:10" x14ac:dyDescent="0.3">
      <c r="J79813"/>
    </row>
    <row r="79814" spans="10:10" x14ac:dyDescent="0.3">
      <c r="J79814"/>
    </row>
    <row r="79815" spans="10:10" x14ac:dyDescent="0.3">
      <c r="J79815"/>
    </row>
    <row r="79816" spans="10:10" x14ac:dyDescent="0.3">
      <c r="J79816"/>
    </row>
    <row r="79817" spans="10:10" x14ac:dyDescent="0.3">
      <c r="J79817"/>
    </row>
    <row r="79818" spans="10:10" x14ac:dyDescent="0.3">
      <c r="J79818"/>
    </row>
    <row r="79819" spans="10:10" x14ac:dyDescent="0.3">
      <c r="J79819"/>
    </row>
    <row r="79820" spans="10:10" x14ac:dyDescent="0.3">
      <c r="J79820"/>
    </row>
    <row r="79821" spans="10:10" x14ac:dyDescent="0.3">
      <c r="J79821"/>
    </row>
    <row r="79822" spans="10:10" x14ac:dyDescent="0.3">
      <c r="J79822"/>
    </row>
    <row r="79823" spans="10:10" x14ac:dyDescent="0.3">
      <c r="J79823"/>
    </row>
    <row r="79824" spans="10:10" x14ac:dyDescent="0.3">
      <c r="J79824"/>
    </row>
    <row r="79825" spans="10:10" x14ac:dyDescent="0.3">
      <c r="J79825"/>
    </row>
    <row r="79826" spans="10:10" x14ac:dyDescent="0.3">
      <c r="J79826"/>
    </row>
    <row r="79827" spans="10:10" x14ac:dyDescent="0.3">
      <c r="J79827"/>
    </row>
    <row r="79828" spans="10:10" x14ac:dyDescent="0.3">
      <c r="J79828"/>
    </row>
    <row r="79829" spans="10:10" x14ac:dyDescent="0.3">
      <c r="J79829"/>
    </row>
    <row r="79830" spans="10:10" x14ac:dyDescent="0.3">
      <c r="J79830"/>
    </row>
    <row r="79831" spans="10:10" x14ac:dyDescent="0.3">
      <c r="J79831"/>
    </row>
    <row r="79832" spans="10:10" x14ac:dyDescent="0.3">
      <c r="J79832"/>
    </row>
    <row r="79833" spans="10:10" x14ac:dyDescent="0.3">
      <c r="J79833"/>
    </row>
    <row r="79834" spans="10:10" x14ac:dyDescent="0.3">
      <c r="J79834"/>
    </row>
    <row r="79835" spans="10:10" x14ac:dyDescent="0.3">
      <c r="J79835"/>
    </row>
    <row r="79836" spans="10:10" x14ac:dyDescent="0.3">
      <c r="J79836"/>
    </row>
    <row r="79837" spans="10:10" x14ac:dyDescent="0.3">
      <c r="J79837"/>
    </row>
    <row r="79838" spans="10:10" x14ac:dyDescent="0.3">
      <c r="J79838"/>
    </row>
    <row r="79839" spans="10:10" x14ac:dyDescent="0.3">
      <c r="J79839"/>
    </row>
    <row r="79840" spans="10:10" x14ac:dyDescent="0.3">
      <c r="J79840"/>
    </row>
    <row r="79841" spans="10:10" x14ac:dyDescent="0.3">
      <c r="J79841"/>
    </row>
    <row r="79842" spans="10:10" x14ac:dyDescent="0.3">
      <c r="J79842"/>
    </row>
    <row r="79843" spans="10:10" x14ac:dyDescent="0.3">
      <c r="J79843"/>
    </row>
    <row r="79844" spans="10:10" x14ac:dyDescent="0.3">
      <c r="J79844"/>
    </row>
    <row r="79845" spans="10:10" x14ac:dyDescent="0.3">
      <c r="J79845"/>
    </row>
    <row r="79846" spans="10:10" x14ac:dyDescent="0.3">
      <c r="J79846"/>
    </row>
    <row r="79847" spans="10:10" x14ac:dyDescent="0.3">
      <c r="J79847"/>
    </row>
    <row r="79848" spans="10:10" x14ac:dyDescent="0.3">
      <c r="J79848"/>
    </row>
    <row r="79849" spans="10:10" x14ac:dyDescent="0.3">
      <c r="J79849"/>
    </row>
    <row r="79850" spans="10:10" x14ac:dyDescent="0.3">
      <c r="J79850"/>
    </row>
    <row r="79851" spans="10:10" x14ac:dyDescent="0.3">
      <c r="J79851"/>
    </row>
    <row r="79852" spans="10:10" x14ac:dyDescent="0.3">
      <c r="J79852"/>
    </row>
    <row r="79853" spans="10:10" x14ac:dyDescent="0.3">
      <c r="J79853"/>
    </row>
    <row r="79854" spans="10:10" x14ac:dyDescent="0.3">
      <c r="J79854"/>
    </row>
    <row r="79855" spans="10:10" x14ac:dyDescent="0.3">
      <c r="J79855"/>
    </row>
    <row r="79856" spans="10:10" x14ac:dyDescent="0.3">
      <c r="J79856"/>
    </row>
    <row r="79857" spans="10:10" x14ac:dyDescent="0.3">
      <c r="J79857"/>
    </row>
    <row r="79858" spans="10:10" x14ac:dyDescent="0.3">
      <c r="J79858"/>
    </row>
    <row r="79859" spans="10:10" x14ac:dyDescent="0.3">
      <c r="J79859"/>
    </row>
    <row r="79860" spans="10:10" x14ac:dyDescent="0.3">
      <c r="J79860"/>
    </row>
    <row r="79861" spans="10:10" x14ac:dyDescent="0.3">
      <c r="J79861"/>
    </row>
    <row r="79862" spans="10:10" x14ac:dyDescent="0.3">
      <c r="J79862"/>
    </row>
    <row r="79863" spans="10:10" x14ac:dyDescent="0.3">
      <c r="J79863"/>
    </row>
    <row r="79864" spans="10:10" x14ac:dyDescent="0.3">
      <c r="J79864"/>
    </row>
    <row r="79865" spans="10:10" x14ac:dyDescent="0.3">
      <c r="J79865"/>
    </row>
    <row r="79866" spans="10:10" x14ac:dyDescent="0.3">
      <c r="J79866"/>
    </row>
    <row r="79867" spans="10:10" x14ac:dyDescent="0.3">
      <c r="J79867"/>
    </row>
    <row r="79868" spans="10:10" x14ac:dyDescent="0.3">
      <c r="J79868"/>
    </row>
    <row r="79869" spans="10:10" x14ac:dyDescent="0.3">
      <c r="J79869"/>
    </row>
    <row r="79870" spans="10:10" x14ac:dyDescent="0.3">
      <c r="J79870"/>
    </row>
    <row r="79871" spans="10:10" x14ac:dyDescent="0.3">
      <c r="J79871"/>
    </row>
    <row r="79872" spans="10:10" x14ac:dyDescent="0.3">
      <c r="J79872"/>
    </row>
    <row r="79873" spans="10:10" x14ac:dyDescent="0.3">
      <c r="J79873"/>
    </row>
    <row r="79874" spans="10:10" x14ac:dyDescent="0.3">
      <c r="J79874"/>
    </row>
    <row r="79875" spans="10:10" x14ac:dyDescent="0.3">
      <c r="J79875"/>
    </row>
    <row r="79876" spans="10:10" x14ac:dyDescent="0.3">
      <c r="J79876"/>
    </row>
    <row r="79877" spans="10:10" x14ac:dyDescent="0.3">
      <c r="J79877"/>
    </row>
    <row r="79878" spans="10:10" x14ac:dyDescent="0.3">
      <c r="J79878"/>
    </row>
    <row r="79879" spans="10:10" x14ac:dyDescent="0.3">
      <c r="J79879"/>
    </row>
    <row r="79880" spans="10:10" x14ac:dyDescent="0.3">
      <c r="J79880"/>
    </row>
    <row r="79881" spans="10:10" x14ac:dyDescent="0.3">
      <c r="J79881"/>
    </row>
    <row r="79882" spans="10:10" x14ac:dyDescent="0.3">
      <c r="J79882"/>
    </row>
    <row r="79883" spans="10:10" x14ac:dyDescent="0.3">
      <c r="J79883"/>
    </row>
    <row r="79884" spans="10:10" x14ac:dyDescent="0.3">
      <c r="J79884"/>
    </row>
    <row r="79885" spans="10:10" x14ac:dyDescent="0.3">
      <c r="J79885"/>
    </row>
    <row r="79886" spans="10:10" x14ac:dyDescent="0.3">
      <c r="J79886"/>
    </row>
    <row r="79887" spans="10:10" x14ac:dyDescent="0.3">
      <c r="J79887"/>
    </row>
    <row r="79888" spans="10:10" x14ac:dyDescent="0.3">
      <c r="J79888"/>
    </row>
    <row r="79889" spans="10:10" x14ac:dyDescent="0.3">
      <c r="J79889"/>
    </row>
    <row r="79890" spans="10:10" x14ac:dyDescent="0.3">
      <c r="J79890"/>
    </row>
    <row r="79891" spans="10:10" x14ac:dyDescent="0.3">
      <c r="J79891"/>
    </row>
    <row r="79892" spans="10:10" x14ac:dyDescent="0.3">
      <c r="J79892"/>
    </row>
    <row r="79893" spans="10:10" x14ac:dyDescent="0.3">
      <c r="J79893"/>
    </row>
    <row r="79894" spans="10:10" x14ac:dyDescent="0.3">
      <c r="J79894"/>
    </row>
    <row r="79895" spans="10:10" x14ac:dyDescent="0.3">
      <c r="J79895"/>
    </row>
    <row r="79896" spans="10:10" x14ac:dyDescent="0.3">
      <c r="J79896"/>
    </row>
    <row r="79897" spans="10:10" x14ac:dyDescent="0.3">
      <c r="J79897"/>
    </row>
    <row r="79898" spans="10:10" x14ac:dyDescent="0.3">
      <c r="J79898"/>
    </row>
    <row r="79899" spans="10:10" x14ac:dyDescent="0.3">
      <c r="J79899"/>
    </row>
    <row r="79900" spans="10:10" x14ac:dyDescent="0.3">
      <c r="J79900"/>
    </row>
    <row r="79901" spans="10:10" x14ac:dyDescent="0.3">
      <c r="J79901"/>
    </row>
    <row r="79902" spans="10:10" x14ac:dyDescent="0.3">
      <c r="J79902"/>
    </row>
    <row r="79903" spans="10:10" x14ac:dyDescent="0.3">
      <c r="J79903"/>
    </row>
    <row r="79904" spans="10:10" x14ac:dyDescent="0.3">
      <c r="J79904"/>
    </row>
    <row r="79905" spans="10:10" x14ac:dyDescent="0.3">
      <c r="J79905"/>
    </row>
    <row r="79906" spans="10:10" x14ac:dyDescent="0.3">
      <c r="J79906"/>
    </row>
    <row r="79907" spans="10:10" x14ac:dyDescent="0.3">
      <c r="J79907"/>
    </row>
    <row r="79908" spans="10:10" x14ac:dyDescent="0.3">
      <c r="J79908"/>
    </row>
    <row r="79909" spans="10:10" x14ac:dyDescent="0.3">
      <c r="J79909"/>
    </row>
    <row r="79910" spans="10:10" x14ac:dyDescent="0.3">
      <c r="J79910"/>
    </row>
    <row r="79911" spans="10:10" x14ac:dyDescent="0.3">
      <c r="J79911"/>
    </row>
    <row r="79912" spans="10:10" x14ac:dyDescent="0.3">
      <c r="J79912"/>
    </row>
    <row r="79913" spans="10:10" x14ac:dyDescent="0.3">
      <c r="J79913"/>
    </row>
    <row r="79914" spans="10:10" x14ac:dyDescent="0.3">
      <c r="J79914"/>
    </row>
    <row r="79915" spans="10:10" x14ac:dyDescent="0.3">
      <c r="J79915"/>
    </row>
    <row r="79916" spans="10:10" x14ac:dyDescent="0.3">
      <c r="J79916"/>
    </row>
    <row r="79917" spans="10:10" x14ac:dyDescent="0.3">
      <c r="J79917"/>
    </row>
    <row r="79918" spans="10:10" x14ac:dyDescent="0.3">
      <c r="J79918"/>
    </row>
    <row r="79919" spans="10:10" x14ac:dyDescent="0.3">
      <c r="J79919"/>
    </row>
    <row r="79920" spans="10:10" x14ac:dyDescent="0.3">
      <c r="J79920"/>
    </row>
    <row r="79921" spans="10:10" x14ac:dyDescent="0.3">
      <c r="J79921"/>
    </row>
    <row r="79922" spans="10:10" x14ac:dyDescent="0.3">
      <c r="J79922"/>
    </row>
    <row r="79923" spans="10:10" x14ac:dyDescent="0.3">
      <c r="J79923"/>
    </row>
    <row r="79924" spans="10:10" x14ac:dyDescent="0.3">
      <c r="J79924"/>
    </row>
    <row r="79925" spans="10:10" x14ac:dyDescent="0.3">
      <c r="J79925"/>
    </row>
    <row r="79926" spans="10:10" x14ac:dyDescent="0.3">
      <c r="J79926"/>
    </row>
    <row r="79927" spans="10:10" x14ac:dyDescent="0.3">
      <c r="J79927"/>
    </row>
    <row r="79928" spans="10:10" x14ac:dyDescent="0.3">
      <c r="J79928"/>
    </row>
    <row r="79929" spans="10:10" x14ac:dyDescent="0.3">
      <c r="J79929"/>
    </row>
    <row r="79930" spans="10:10" x14ac:dyDescent="0.3">
      <c r="J79930"/>
    </row>
    <row r="79931" spans="10:10" x14ac:dyDescent="0.3">
      <c r="J79931"/>
    </row>
    <row r="79932" spans="10:10" x14ac:dyDescent="0.3">
      <c r="J79932"/>
    </row>
    <row r="79933" spans="10:10" x14ac:dyDescent="0.3">
      <c r="J79933"/>
    </row>
    <row r="79934" spans="10:10" x14ac:dyDescent="0.3">
      <c r="J79934"/>
    </row>
    <row r="79935" spans="10:10" x14ac:dyDescent="0.3">
      <c r="J79935"/>
    </row>
    <row r="79936" spans="10:10" x14ac:dyDescent="0.3">
      <c r="J79936"/>
    </row>
    <row r="79937" spans="10:10" x14ac:dyDescent="0.3">
      <c r="J79937"/>
    </row>
    <row r="79938" spans="10:10" x14ac:dyDescent="0.3">
      <c r="J79938"/>
    </row>
    <row r="79939" spans="10:10" x14ac:dyDescent="0.3">
      <c r="J79939"/>
    </row>
    <row r="79940" spans="10:10" x14ac:dyDescent="0.3">
      <c r="J79940"/>
    </row>
    <row r="79941" spans="10:10" x14ac:dyDescent="0.3">
      <c r="J79941"/>
    </row>
    <row r="79942" spans="10:10" x14ac:dyDescent="0.3">
      <c r="J79942"/>
    </row>
    <row r="79943" spans="10:10" x14ac:dyDescent="0.3">
      <c r="J79943"/>
    </row>
    <row r="79944" spans="10:10" x14ac:dyDescent="0.3">
      <c r="J79944"/>
    </row>
    <row r="79945" spans="10:10" x14ac:dyDescent="0.3">
      <c r="J79945"/>
    </row>
    <row r="79946" spans="10:10" x14ac:dyDescent="0.3">
      <c r="J79946"/>
    </row>
    <row r="79947" spans="10:10" x14ac:dyDescent="0.3">
      <c r="J79947"/>
    </row>
    <row r="79948" spans="10:10" x14ac:dyDescent="0.3">
      <c r="J79948"/>
    </row>
    <row r="79949" spans="10:10" x14ac:dyDescent="0.3">
      <c r="J79949"/>
    </row>
    <row r="79950" spans="10:10" x14ac:dyDescent="0.3">
      <c r="J79950"/>
    </row>
    <row r="79951" spans="10:10" x14ac:dyDescent="0.3">
      <c r="J79951"/>
    </row>
    <row r="79952" spans="10:10" x14ac:dyDescent="0.3">
      <c r="J79952"/>
    </row>
    <row r="79953" spans="10:10" x14ac:dyDescent="0.3">
      <c r="J79953"/>
    </row>
    <row r="79954" spans="10:10" x14ac:dyDescent="0.3">
      <c r="J79954"/>
    </row>
    <row r="79955" spans="10:10" x14ac:dyDescent="0.3">
      <c r="J79955"/>
    </row>
    <row r="79956" spans="10:10" x14ac:dyDescent="0.3">
      <c r="J79956"/>
    </row>
    <row r="79957" spans="10:10" x14ac:dyDescent="0.3">
      <c r="J79957"/>
    </row>
    <row r="79958" spans="10:10" x14ac:dyDescent="0.3">
      <c r="J79958"/>
    </row>
    <row r="79959" spans="10:10" x14ac:dyDescent="0.3">
      <c r="J79959"/>
    </row>
    <row r="79960" spans="10:10" x14ac:dyDescent="0.3">
      <c r="J79960"/>
    </row>
    <row r="79961" spans="10:10" x14ac:dyDescent="0.3">
      <c r="J79961"/>
    </row>
    <row r="79962" spans="10:10" x14ac:dyDescent="0.3">
      <c r="J79962"/>
    </row>
    <row r="79963" spans="10:10" x14ac:dyDescent="0.3">
      <c r="J79963"/>
    </row>
    <row r="79964" spans="10:10" x14ac:dyDescent="0.3">
      <c r="J79964"/>
    </row>
    <row r="79965" spans="10:10" x14ac:dyDescent="0.3">
      <c r="J79965"/>
    </row>
    <row r="79966" spans="10:10" x14ac:dyDescent="0.3">
      <c r="J79966"/>
    </row>
    <row r="79967" spans="10:10" x14ac:dyDescent="0.3">
      <c r="J79967"/>
    </row>
    <row r="79968" spans="10:10" x14ac:dyDescent="0.3">
      <c r="J79968"/>
    </row>
    <row r="79969" spans="10:10" x14ac:dyDescent="0.3">
      <c r="J79969"/>
    </row>
    <row r="79970" spans="10:10" x14ac:dyDescent="0.3">
      <c r="J79970"/>
    </row>
    <row r="79971" spans="10:10" x14ac:dyDescent="0.3">
      <c r="J79971"/>
    </row>
    <row r="79972" spans="10:10" x14ac:dyDescent="0.3">
      <c r="J79972"/>
    </row>
    <row r="79973" spans="10:10" x14ac:dyDescent="0.3">
      <c r="J79973"/>
    </row>
    <row r="79974" spans="10:10" x14ac:dyDescent="0.3">
      <c r="J79974"/>
    </row>
    <row r="79975" spans="10:10" x14ac:dyDescent="0.3">
      <c r="J79975"/>
    </row>
    <row r="79976" spans="10:10" x14ac:dyDescent="0.3">
      <c r="J79976"/>
    </row>
    <row r="79977" spans="10:10" x14ac:dyDescent="0.3">
      <c r="J79977"/>
    </row>
    <row r="79978" spans="10:10" x14ac:dyDescent="0.3">
      <c r="J79978"/>
    </row>
    <row r="79979" spans="10:10" x14ac:dyDescent="0.3">
      <c r="J79979"/>
    </row>
    <row r="79980" spans="10:10" x14ac:dyDescent="0.3">
      <c r="J79980"/>
    </row>
    <row r="79981" spans="10:10" x14ac:dyDescent="0.3">
      <c r="J79981"/>
    </row>
    <row r="79982" spans="10:10" x14ac:dyDescent="0.3">
      <c r="J79982"/>
    </row>
    <row r="79983" spans="10:10" x14ac:dyDescent="0.3">
      <c r="J79983"/>
    </row>
    <row r="79984" spans="10:10" x14ac:dyDescent="0.3">
      <c r="J79984"/>
    </row>
    <row r="79985" spans="10:10" x14ac:dyDescent="0.3">
      <c r="J79985"/>
    </row>
    <row r="79986" spans="10:10" x14ac:dyDescent="0.3">
      <c r="J79986"/>
    </row>
    <row r="79987" spans="10:10" x14ac:dyDescent="0.3">
      <c r="J79987"/>
    </row>
    <row r="79988" spans="10:10" x14ac:dyDescent="0.3">
      <c r="J79988"/>
    </row>
    <row r="79989" spans="10:10" x14ac:dyDescent="0.3">
      <c r="J79989"/>
    </row>
    <row r="79990" spans="10:10" x14ac:dyDescent="0.3">
      <c r="J79990"/>
    </row>
    <row r="79991" spans="10:10" x14ac:dyDescent="0.3">
      <c r="J79991"/>
    </row>
    <row r="79992" spans="10:10" x14ac:dyDescent="0.3">
      <c r="J79992"/>
    </row>
    <row r="79993" spans="10:10" x14ac:dyDescent="0.3">
      <c r="J79993"/>
    </row>
    <row r="79994" spans="10:10" x14ac:dyDescent="0.3">
      <c r="J79994"/>
    </row>
    <row r="79995" spans="10:10" x14ac:dyDescent="0.3">
      <c r="J79995"/>
    </row>
    <row r="79996" spans="10:10" x14ac:dyDescent="0.3">
      <c r="J79996"/>
    </row>
    <row r="79997" spans="10:10" x14ac:dyDescent="0.3">
      <c r="J79997"/>
    </row>
    <row r="79998" spans="10:10" x14ac:dyDescent="0.3">
      <c r="J79998"/>
    </row>
    <row r="79999" spans="10:10" x14ac:dyDescent="0.3">
      <c r="J79999"/>
    </row>
    <row r="80000" spans="10:10" x14ac:dyDescent="0.3">
      <c r="J80000"/>
    </row>
    <row r="80001" spans="10:10" x14ac:dyDescent="0.3">
      <c r="J80001"/>
    </row>
    <row r="80002" spans="10:10" x14ac:dyDescent="0.3">
      <c r="J80002"/>
    </row>
    <row r="80003" spans="10:10" x14ac:dyDescent="0.3">
      <c r="J80003"/>
    </row>
    <row r="80004" spans="10:10" x14ac:dyDescent="0.3">
      <c r="J80004"/>
    </row>
    <row r="80005" spans="10:10" x14ac:dyDescent="0.3">
      <c r="J80005"/>
    </row>
    <row r="80006" spans="10:10" x14ac:dyDescent="0.3">
      <c r="J80006"/>
    </row>
    <row r="80007" spans="10:10" x14ac:dyDescent="0.3">
      <c r="J80007"/>
    </row>
    <row r="80008" spans="10:10" x14ac:dyDescent="0.3">
      <c r="J80008"/>
    </row>
    <row r="80009" spans="10:10" x14ac:dyDescent="0.3">
      <c r="J80009"/>
    </row>
    <row r="80010" spans="10:10" x14ac:dyDescent="0.3">
      <c r="J80010"/>
    </row>
    <row r="80011" spans="10:10" x14ac:dyDescent="0.3">
      <c r="J80011"/>
    </row>
    <row r="80012" spans="10:10" x14ac:dyDescent="0.3">
      <c r="J80012"/>
    </row>
    <row r="80013" spans="10:10" x14ac:dyDescent="0.3">
      <c r="J80013"/>
    </row>
    <row r="80014" spans="10:10" x14ac:dyDescent="0.3">
      <c r="J80014"/>
    </row>
    <row r="80015" spans="10:10" x14ac:dyDescent="0.3">
      <c r="J80015"/>
    </row>
    <row r="80016" spans="10:10" x14ac:dyDescent="0.3">
      <c r="J80016"/>
    </row>
    <row r="80017" spans="10:10" x14ac:dyDescent="0.3">
      <c r="J80017"/>
    </row>
    <row r="80018" spans="10:10" x14ac:dyDescent="0.3">
      <c r="J80018"/>
    </row>
    <row r="80019" spans="10:10" x14ac:dyDescent="0.3">
      <c r="J80019"/>
    </row>
    <row r="80020" spans="10:10" x14ac:dyDescent="0.3">
      <c r="J80020"/>
    </row>
    <row r="80021" spans="10:10" x14ac:dyDescent="0.3">
      <c r="J80021"/>
    </row>
    <row r="80022" spans="10:10" x14ac:dyDescent="0.3">
      <c r="J80022"/>
    </row>
    <row r="80023" spans="10:10" x14ac:dyDescent="0.3">
      <c r="J80023"/>
    </row>
    <row r="80024" spans="10:10" x14ac:dyDescent="0.3">
      <c r="J80024"/>
    </row>
    <row r="80025" spans="10:10" x14ac:dyDescent="0.3">
      <c r="J80025"/>
    </row>
    <row r="80026" spans="10:10" x14ac:dyDescent="0.3">
      <c r="J80026"/>
    </row>
    <row r="80027" spans="10:10" x14ac:dyDescent="0.3">
      <c r="J80027"/>
    </row>
    <row r="80028" spans="10:10" x14ac:dyDescent="0.3">
      <c r="J80028"/>
    </row>
    <row r="80029" spans="10:10" x14ac:dyDescent="0.3">
      <c r="J80029"/>
    </row>
    <row r="80030" spans="10:10" x14ac:dyDescent="0.3">
      <c r="J80030"/>
    </row>
    <row r="80031" spans="10:10" x14ac:dyDescent="0.3">
      <c r="J80031"/>
    </row>
    <row r="80032" spans="10:10" x14ac:dyDescent="0.3">
      <c r="J80032"/>
    </row>
    <row r="80033" spans="10:10" x14ac:dyDescent="0.3">
      <c r="J80033"/>
    </row>
    <row r="80034" spans="10:10" x14ac:dyDescent="0.3">
      <c r="J80034"/>
    </row>
    <row r="80035" spans="10:10" x14ac:dyDescent="0.3">
      <c r="J80035"/>
    </row>
    <row r="80036" spans="10:10" x14ac:dyDescent="0.3">
      <c r="J80036"/>
    </row>
    <row r="80037" spans="10:10" x14ac:dyDescent="0.3">
      <c r="J80037"/>
    </row>
    <row r="80038" spans="10:10" x14ac:dyDescent="0.3">
      <c r="J80038"/>
    </row>
    <row r="80039" spans="10:10" x14ac:dyDescent="0.3">
      <c r="J80039"/>
    </row>
    <row r="80040" spans="10:10" x14ac:dyDescent="0.3">
      <c r="J80040"/>
    </row>
    <row r="80041" spans="10:10" x14ac:dyDescent="0.3">
      <c r="J80041"/>
    </row>
    <row r="80042" spans="10:10" x14ac:dyDescent="0.3">
      <c r="J80042"/>
    </row>
    <row r="80043" spans="10:10" x14ac:dyDescent="0.3">
      <c r="J80043"/>
    </row>
    <row r="80044" spans="10:10" x14ac:dyDescent="0.3">
      <c r="J80044"/>
    </row>
    <row r="80045" spans="10:10" x14ac:dyDescent="0.3">
      <c r="J80045"/>
    </row>
    <row r="80046" spans="10:10" x14ac:dyDescent="0.3">
      <c r="J80046"/>
    </row>
    <row r="80047" spans="10:10" x14ac:dyDescent="0.3">
      <c r="J80047"/>
    </row>
    <row r="80048" spans="10:10" x14ac:dyDescent="0.3">
      <c r="J80048"/>
    </row>
    <row r="80049" spans="10:10" x14ac:dyDescent="0.3">
      <c r="J80049"/>
    </row>
    <row r="80050" spans="10:10" x14ac:dyDescent="0.3">
      <c r="J80050"/>
    </row>
    <row r="80051" spans="10:10" x14ac:dyDescent="0.3">
      <c r="J80051"/>
    </row>
    <row r="80052" spans="10:10" x14ac:dyDescent="0.3">
      <c r="J80052"/>
    </row>
    <row r="80053" spans="10:10" x14ac:dyDescent="0.3">
      <c r="J80053"/>
    </row>
    <row r="80054" spans="10:10" x14ac:dyDescent="0.3">
      <c r="J80054"/>
    </row>
    <row r="80055" spans="10:10" x14ac:dyDescent="0.3">
      <c r="J80055"/>
    </row>
    <row r="80056" spans="10:10" x14ac:dyDescent="0.3">
      <c r="J80056"/>
    </row>
    <row r="80057" spans="10:10" x14ac:dyDescent="0.3">
      <c r="J80057"/>
    </row>
    <row r="80058" spans="10:10" x14ac:dyDescent="0.3">
      <c r="J80058"/>
    </row>
    <row r="80059" spans="10:10" x14ac:dyDescent="0.3">
      <c r="J80059"/>
    </row>
    <row r="80060" spans="10:10" x14ac:dyDescent="0.3">
      <c r="J80060"/>
    </row>
    <row r="80061" spans="10:10" x14ac:dyDescent="0.3">
      <c r="J80061"/>
    </row>
    <row r="80062" spans="10:10" x14ac:dyDescent="0.3">
      <c r="J80062"/>
    </row>
    <row r="80063" spans="10:10" x14ac:dyDescent="0.3">
      <c r="J80063"/>
    </row>
    <row r="80064" spans="10:10" x14ac:dyDescent="0.3">
      <c r="J80064"/>
    </row>
    <row r="80065" spans="10:10" x14ac:dyDescent="0.3">
      <c r="J80065"/>
    </row>
    <row r="80066" spans="10:10" x14ac:dyDescent="0.3">
      <c r="J80066"/>
    </row>
    <row r="80067" spans="10:10" x14ac:dyDescent="0.3">
      <c r="J80067"/>
    </row>
    <row r="80068" spans="10:10" x14ac:dyDescent="0.3">
      <c r="J80068"/>
    </row>
    <row r="80069" spans="10:10" x14ac:dyDescent="0.3">
      <c r="J80069"/>
    </row>
    <row r="80070" spans="10:10" x14ac:dyDescent="0.3">
      <c r="J80070"/>
    </row>
    <row r="80071" spans="10:10" x14ac:dyDescent="0.3">
      <c r="J80071"/>
    </row>
    <row r="80072" spans="10:10" x14ac:dyDescent="0.3">
      <c r="J80072"/>
    </row>
    <row r="80073" spans="10:10" x14ac:dyDescent="0.3">
      <c r="J80073"/>
    </row>
    <row r="80074" spans="10:10" x14ac:dyDescent="0.3">
      <c r="J80074"/>
    </row>
    <row r="80075" spans="10:10" x14ac:dyDescent="0.3">
      <c r="J80075"/>
    </row>
    <row r="80076" spans="10:10" x14ac:dyDescent="0.3">
      <c r="J80076"/>
    </row>
    <row r="80077" spans="10:10" x14ac:dyDescent="0.3">
      <c r="J80077"/>
    </row>
    <row r="80078" spans="10:10" x14ac:dyDescent="0.3">
      <c r="J80078"/>
    </row>
    <row r="80079" spans="10:10" x14ac:dyDescent="0.3">
      <c r="J80079"/>
    </row>
    <row r="80080" spans="10:10" x14ac:dyDescent="0.3">
      <c r="J80080"/>
    </row>
    <row r="80081" spans="10:10" x14ac:dyDescent="0.3">
      <c r="J80081"/>
    </row>
    <row r="80082" spans="10:10" x14ac:dyDescent="0.3">
      <c r="J80082"/>
    </row>
    <row r="80083" spans="10:10" x14ac:dyDescent="0.3">
      <c r="J80083"/>
    </row>
    <row r="80084" spans="10:10" x14ac:dyDescent="0.3">
      <c r="J80084"/>
    </row>
    <row r="80085" spans="10:10" x14ac:dyDescent="0.3">
      <c r="J80085"/>
    </row>
    <row r="80086" spans="10:10" x14ac:dyDescent="0.3">
      <c r="J80086"/>
    </row>
    <row r="80087" spans="10:10" x14ac:dyDescent="0.3">
      <c r="J80087"/>
    </row>
    <row r="80088" spans="10:10" x14ac:dyDescent="0.3">
      <c r="J80088"/>
    </row>
    <row r="80089" spans="10:10" x14ac:dyDescent="0.3">
      <c r="J80089"/>
    </row>
    <row r="80090" spans="10:10" x14ac:dyDescent="0.3">
      <c r="J80090"/>
    </row>
    <row r="80091" spans="10:10" x14ac:dyDescent="0.3">
      <c r="J80091"/>
    </row>
    <row r="80092" spans="10:10" x14ac:dyDescent="0.3">
      <c r="J80092"/>
    </row>
    <row r="80093" spans="10:10" x14ac:dyDescent="0.3">
      <c r="J80093"/>
    </row>
    <row r="80094" spans="10:10" x14ac:dyDescent="0.3">
      <c r="J80094"/>
    </row>
    <row r="80095" spans="10:10" x14ac:dyDescent="0.3">
      <c r="J80095"/>
    </row>
    <row r="80096" spans="10:10" x14ac:dyDescent="0.3">
      <c r="J80096"/>
    </row>
    <row r="80097" spans="10:10" x14ac:dyDescent="0.3">
      <c r="J80097"/>
    </row>
    <row r="80098" spans="10:10" x14ac:dyDescent="0.3">
      <c r="J80098"/>
    </row>
    <row r="80099" spans="10:10" x14ac:dyDescent="0.3">
      <c r="J80099"/>
    </row>
    <row r="80100" spans="10:10" x14ac:dyDescent="0.3">
      <c r="J80100"/>
    </row>
    <row r="80101" spans="10:10" x14ac:dyDescent="0.3">
      <c r="J80101"/>
    </row>
    <row r="80102" spans="10:10" x14ac:dyDescent="0.3">
      <c r="J80102"/>
    </row>
    <row r="80103" spans="10:10" x14ac:dyDescent="0.3">
      <c r="J80103"/>
    </row>
    <row r="80104" spans="10:10" x14ac:dyDescent="0.3">
      <c r="J80104"/>
    </row>
    <row r="80105" spans="10:10" x14ac:dyDescent="0.3">
      <c r="J80105"/>
    </row>
    <row r="80106" spans="10:10" x14ac:dyDescent="0.3">
      <c r="J80106"/>
    </row>
    <row r="80107" spans="10:10" x14ac:dyDescent="0.3">
      <c r="J80107"/>
    </row>
    <row r="80108" spans="10:10" x14ac:dyDescent="0.3">
      <c r="J80108"/>
    </row>
    <row r="80109" spans="10:10" x14ac:dyDescent="0.3">
      <c r="J80109"/>
    </row>
    <row r="80110" spans="10:10" x14ac:dyDescent="0.3">
      <c r="J80110"/>
    </row>
    <row r="80111" spans="10:10" x14ac:dyDescent="0.3">
      <c r="J80111"/>
    </row>
    <row r="80112" spans="10:10" x14ac:dyDescent="0.3">
      <c r="J80112"/>
    </row>
    <row r="80113" spans="10:10" x14ac:dyDescent="0.3">
      <c r="J80113"/>
    </row>
    <row r="80114" spans="10:10" x14ac:dyDescent="0.3">
      <c r="J80114"/>
    </row>
    <row r="80115" spans="10:10" x14ac:dyDescent="0.3">
      <c r="J80115"/>
    </row>
    <row r="80116" spans="10:10" x14ac:dyDescent="0.3">
      <c r="J80116"/>
    </row>
    <row r="80117" spans="10:10" x14ac:dyDescent="0.3">
      <c r="J80117"/>
    </row>
    <row r="80118" spans="10:10" x14ac:dyDescent="0.3">
      <c r="J80118"/>
    </row>
    <row r="80119" spans="10:10" x14ac:dyDescent="0.3">
      <c r="J80119"/>
    </row>
    <row r="80120" spans="10:10" x14ac:dyDescent="0.3">
      <c r="J80120"/>
    </row>
    <row r="80121" spans="10:10" x14ac:dyDescent="0.3">
      <c r="J80121"/>
    </row>
    <row r="80122" spans="10:10" x14ac:dyDescent="0.3">
      <c r="J80122"/>
    </row>
    <row r="80123" spans="10:10" x14ac:dyDescent="0.3">
      <c r="J80123"/>
    </row>
    <row r="80124" spans="10:10" x14ac:dyDescent="0.3">
      <c r="J80124"/>
    </row>
    <row r="80125" spans="10:10" x14ac:dyDescent="0.3">
      <c r="J80125"/>
    </row>
    <row r="80126" spans="10:10" x14ac:dyDescent="0.3">
      <c r="J80126"/>
    </row>
    <row r="80127" spans="10:10" x14ac:dyDescent="0.3">
      <c r="J80127"/>
    </row>
    <row r="80128" spans="10:10" x14ac:dyDescent="0.3">
      <c r="J80128"/>
    </row>
    <row r="80129" spans="10:10" x14ac:dyDescent="0.3">
      <c r="J80129"/>
    </row>
    <row r="80130" spans="10:10" x14ac:dyDescent="0.3">
      <c r="J80130"/>
    </row>
    <row r="80131" spans="10:10" x14ac:dyDescent="0.3">
      <c r="J80131"/>
    </row>
    <row r="80132" spans="10:10" x14ac:dyDescent="0.3">
      <c r="J80132"/>
    </row>
    <row r="80133" spans="10:10" x14ac:dyDescent="0.3">
      <c r="J80133"/>
    </row>
    <row r="80134" spans="10:10" x14ac:dyDescent="0.3">
      <c r="J80134"/>
    </row>
    <row r="80135" spans="10:10" x14ac:dyDescent="0.3">
      <c r="J80135"/>
    </row>
    <row r="80136" spans="10:10" x14ac:dyDescent="0.3">
      <c r="J80136"/>
    </row>
    <row r="80137" spans="10:10" x14ac:dyDescent="0.3">
      <c r="J80137"/>
    </row>
    <row r="80138" spans="10:10" x14ac:dyDescent="0.3">
      <c r="J80138"/>
    </row>
    <row r="80139" spans="10:10" x14ac:dyDescent="0.3">
      <c r="J80139"/>
    </row>
    <row r="80140" spans="10:10" x14ac:dyDescent="0.3">
      <c r="J80140"/>
    </row>
    <row r="80141" spans="10:10" x14ac:dyDescent="0.3">
      <c r="J80141"/>
    </row>
    <row r="80142" spans="10:10" x14ac:dyDescent="0.3">
      <c r="J80142"/>
    </row>
    <row r="80143" spans="10:10" x14ac:dyDescent="0.3">
      <c r="J80143"/>
    </row>
    <row r="80144" spans="10:10" x14ac:dyDescent="0.3">
      <c r="J80144"/>
    </row>
    <row r="80145" spans="10:10" x14ac:dyDescent="0.3">
      <c r="J80145"/>
    </row>
    <row r="80146" spans="10:10" x14ac:dyDescent="0.3">
      <c r="J80146"/>
    </row>
    <row r="80147" spans="10:10" x14ac:dyDescent="0.3">
      <c r="J80147"/>
    </row>
    <row r="80148" spans="10:10" x14ac:dyDescent="0.3">
      <c r="J80148"/>
    </row>
    <row r="80149" spans="10:10" x14ac:dyDescent="0.3">
      <c r="J80149"/>
    </row>
    <row r="80150" spans="10:10" x14ac:dyDescent="0.3">
      <c r="J80150"/>
    </row>
    <row r="80151" spans="10:10" x14ac:dyDescent="0.3">
      <c r="J80151"/>
    </row>
    <row r="80152" spans="10:10" x14ac:dyDescent="0.3">
      <c r="J80152"/>
    </row>
    <row r="80153" spans="10:10" x14ac:dyDescent="0.3">
      <c r="J80153"/>
    </row>
    <row r="80154" spans="10:10" x14ac:dyDescent="0.3">
      <c r="J80154"/>
    </row>
    <row r="80155" spans="10:10" x14ac:dyDescent="0.3">
      <c r="J80155"/>
    </row>
    <row r="80156" spans="10:10" x14ac:dyDescent="0.3">
      <c r="J80156"/>
    </row>
    <row r="80157" spans="10:10" x14ac:dyDescent="0.3">
      <c r="J80157"/>
    </row>
    <row r="80158" spans="10:10" x14ac:dyDescent="0.3">
      <c r="J80158"/>
    </row>
    <row r="80159" spans="10:10" x14ac:dyDescent="0.3">
      <c r="J80159"/>
    </row>
    <row r="80160" spans="10:10" x14ac:dyDescent="0.3">
      <c r="J80160"/>
    </row>
    <row r="80161" spans="10:10" x14ac:dyDescent="0.3">
      <c r="J80161"/>
    </row>
    <row r="80162" spans="10:10" x14ac:dyDescent="0.3">
      <c r="J80162"/>
    </row>
    <row r="80163" spans="10:10" x14ac:dyDescent="0.3">
      <c r="J80163"/>
    </row>
    <row r="80164" spans="10:10" x14ac:dyDescent="0.3">
      <c r="J80164"/>
    </row>
    <row r="80165" spans="10:10" x14ac:dyDescent="0.3">
      <c r="J80165"/>
    </row>
    <row r="80166" spans="10:10" x14ac:dyDescent="0.3">
      <c r="J80166"/>
    </row>
    <row r="80167" spans="10:10" x14ac:dyDescent="0.3">
      <c r="J80167"/>
    </row>
    <row r="80168" spans="10:10" x14ac:dyDescent="0.3">
      <c r="J80168"/>
    </row>
    <row r="80169" spans="10:10" x14ac:dyDescent="0.3">
      <c r="J80169"/>
    </row>
    <row r="80170" spans="10:10" x14ac:dyDescent="0.3">
      <c r="J80170"/>
    </row>
    <row r="80171" spans="10:10" x14ac:dyDescent="0.3">
      <c r="J80171"/>
    </row>
    <row r="80172" spans="10:10" x14ac:dyDescent="0.3">
      <c r="J80172"/>
    </row>
    <row r="80173" spans="10:10" x14ac:dyDescent="0.3">
      <c r="J80173"/>
    </row>
    <row r="80174" spans="10:10" x14ac:dyDescent="0.3">
      <c r="J80174"/>
    </row>
    <row r="80175" spans="10:10" x14ac:dyDescent="0.3">
      <c r="J80175"/>
    </row>
    <row r="80176" spans="10:10" x14ac:dyDescent="0.3">
      <c r="J80176"/>
    </row>
    <row r="80177" spans="10:10" x14ac:dyDescent="0.3">
      <c r="J80177"/>
    </row>
    <row r="80178" spans="10:10" x14ac:dyDescent="0.3">
      <c r="J80178"/>
    </row>
    <row r="80179" spans="10:10" x14ac:dyDescent="0.3">
      <c r="J80179"/>
    </row>
    <row r="80180" spans="10:10" x14ac:dyDescent="0.3">
      <c r="J80180"/>
    </row>
    <row r="80181" spans="10:10" x14ac:dyDescent="0.3">
      <c r="J80181"/>
    </row>
    <row r="80182" spans="10:10" x14ac:dyDescent="0.3">
      <c r="J80182"/>
    </row>
    <row r="80183" spans="10:10" x14ac:dyDescent="0.3">
      <c r="J80183"/>
    </row>
    <row r="80184" spans="10:10" x14ac:dyDescent="0.3">
      <c r="J80184"/>
    </row>
    <row r="80185" spans="10:10" x14ac:dyDescent="0.3">
      <c r="J80185"/>
    </row>
    <row r="80186" spans="10:10" x14ac:dyDescent="0.3">
      <c r="J80186"/>
    </row>
    <row r="80187" spans="10:10" x14ac:dyDescent="0.3">
      <c r="J80187"/>
    </row>
    <row r="80188" spans="10:10" x14ac:dyDescent="0.3">
      <c r="J80188"/>
    </row>
    <row r="80189" spans="10:10" x14ac:dyDescent="0.3">
      <c r="J80189"/>
    </row>
    <row r="80190" spans="10:10" x14ac:dyDescent="0.3">
      <c r="J80190"/>
    </row>
    <row r="80191" spans="10:10" x14ac:dyDescent="0.3">
      <c r="J80191"/>
    </row>
    <row r="80192" spans="10:10" x14ac:dyDescent="0.3">
      <c r="J80192"/>
    </row>
    <row r="80193" spans="10:10" x14ac:dyDescent="0.3">
      <c r="J80193"/>
    </row>
    <row r="80194" spans="10:10" x14ac:dyDescent="0.3">
      <c r="J80194"/>
    </row>
    <row r="80195" spans="10:10" x14ac:dyDescent="0.3">
      <c r="J80195"/>
    </row>
    <row r="80196" spans="10:10" x14ac:dyDescent="0.3">
      <c r="J80196"/>
    </row>
    <row r="80197" spans="10:10" x14ac:dyDescent="0.3">
      <c r="J80197"/>
    </row>
    <row r="80198" spans="10:10" x14ac:dyDescent="0.3">
      <c r="J80198"/>
    </row>
    <row r="80199" spans="10:10" x14ac:dyDescent="0.3">
      <c r="J80199"/>
    </row>
    <row r="80200" spans="10:10" x14ac:dyDescent="0.3">
      <c r="J80200"/>
    </row>
    <row r="80201" spans="10:10" x14ac:dyDescent="0.3">
      <c r="J80201"/>
    </row>
    <row r="80202" spans="10:10" x14ac:dyDescent="0.3">
      <c r="J80202"/>
    </row>
    <row r="80203" spans="10:10" x14ac:dyDescent="0.3">
      <c r="J80203"/>
    </row>
    <row r="80204" spans="10:10" x14ac:dyDescent="0.3">
      <c r="J80204"/>
    </row>
    <row r="80205" spans="10:10" x14ac:dyDescent="0.3">
      <c r="J80205"/>
    </row>
    <row r="80206" spans="10:10" x14ac:dyDescent="0.3">
      <c r="J80206"/>
    </row>
    <row r="80207" spans="10:10" x14ac:dyDescent="0.3">
      <c r="J80207"/>
    </row>
    <row r="80208" spans="10:10" x14ac:dyDescent="0.3">
      <c r="J80208"/>
    </row>
    <row r="80209" spans="10:10" x14ac:dyDescent="0.3">
      <c r="J80209"/>
    </row>
    <row r="80210" spans="10:10" x14ac:dyDescent="0.3">
      <c r="J80210"/>
    </row>
    <row r="80211" spans="10:10" x14ac:dyDescent="0.3">
      <c r="J80211"/>
    </row>
    <row r="80212" spans="10:10" x14ac:dyDescent="0.3">
      <c r="J80212"/>
    </row>
    <row r="80213" spans="10:10" x14ac:dyDescent="0.3">
      <c r="J80213"/>
    </row>
    <row r="80214" spans="10:10" x14ac:dyDescent="0.3">
      <c r="J80214"/>
    </row>
    <row r="80215" spans="10:10" x14ac:dyDescent="0.3">
      <c r="J80215"/>
    </row>
    <row r="80216" spans="10:10" x14ac:dyDescent="0.3">
      <c r="J80216"/>
    </row>
    <row r="80217" spans="10:10" x14ac:dyDescent="0.3">
      <c r="J80217"/>
    </row>
    <row r="80218" spans="10:10" x14ac:dyDescent="0.3">
      <c r="J80218"/>
    </row>
    <row r="80219" spans="10:10" x14ac:dyDescent="0.3">
      <c r="J80219"/>
    </row>
    <row r="80220" spans="10:10" x14ac:dyDescent="0.3">
      <c r="J80220"/>
    </row>
    <row r="80221" spans="10:10" x14ac:dyDescent="0.3">
      <c r="J80221"/>
    </row>
    <row r="80222" spans="10:10" x14ac:dyDescent="0.3">
      <c r="J80222"/>
    </row>
    <row r="80223" spans="10:10" x14ac:dyDescent="0.3">
      <c r="J80223"/>
    </row>
    <row r="80224" spans="10:10" x14ac:dyDescent="0.3">
      <c r="J80224"/>
    </row>
    <row r="80225" spans="10:10" x14ac:dyDescent="0.3">
      <c r="J80225"/>
    </row>
    <row r="80226" spans="10:10" x14ac:dyDescent="0.3">
      <c r="J80226"/>
    </row>
    <row r="80227" spans="10:10" x14ac:dyDescent="0.3">
      <c r="J80227"/>
    </row>
    <row r="80228" spans="10:10" x14ac:dyDescent="0.3">
      <c r="J80228"/>
    </row>
    <row r="80229" spans="10:10" x14ac:dyDescent="0.3">
      <c r="J80229"/>
    </row>
    <row r="80230" spans="10:10" x14ac:dyDescent="0.3">
      <c r="J80230"/>
    </row>
    <row r="80231" spans="10:10" x14ac:dyDescent="0.3">
      <c r="J80231"/>
    </row>
    <row r="80232" spans="10:10" x14ac:dyDescent="0.3">
      <c r="J80232"/>
    </row>
    <row r="80233" spans="10:10" x14ac:dyDescent="0.3">
      <c r="J80233"/>
    </row>
    <row r="80234" spans="10:10" x14ac:dyDescent="0.3">
      <c r="J80234"/>
    </row>
    <row r="80235" spans="10:10" x14ac:dyDescent="0.3">
      <c r="J80235"/>
    </row>
    <row r="80236" spans="10:10" x14ac:dyDescent="0.3">
      <c r="J80236"/>
    </row>
    <row r="80237" spans="10:10" x14ac:dyDescent="0.3">
      <c r="J80237"/>
    </row>
    <row r="80238" spans="10:10" x14ac:dyDescent="0.3">
      <c r="J80238"/>
    </row>
    <row r="80239" spans="10:10" x14ac:dyDescent="0.3">
      <c r="J80239"/>
    </row>
    <row r="80240" spans="10:10" x14ac:dyDescent="0.3">
      <c r="J80240"/>
    </row>
    <row r="80241" spans="10:10" x14ac:dyDescent="0.3">
      <c r="J80241"/>
    </row>
    <row r="80242" spans="10:10" x14ac:dyDescent="0.3">
      <c r="J80242"/>
    </row>
    <row r="80243" spans="10:10" x14ac:dyDescent="0.3">
      <c r="J80243"/>
    </row>
    <row r="80244" spans="10:10" x14ac:dyDescent="0.3">
      <c r="J80244"/>
    </row>
    <row r="80245" spans="10:10" x14ac:dyDescent="0.3">
      <c r="J80245"/>
    </row>
    <row r="80246" spans="10:10" x14ac:dyDescent="0.3">
      <c r="J80246"/>
    </row>
    <row r="80247" spans="10:10" x14ac:dyDescent="0.3">
      <c r="J80247"/>
    </row>
    <row r="80248" spans="10:10" x14ac:dyDescent="0.3">
      <c r="J80248"/>
    </row>
    <row r="80249" spans="10:10" x14ac:dyDescent="0.3">
      <c r="J80249"/>
    </row>
    <row r="80250" spans="10:10" x14ac:dyDescent="0.3">
      <c r="J80250"/>
    </row>
    <row r="80251" spans="10:10" x14ac:dyDescent="0.3">
      <c r="J80251"/>
    </row>
    <row r="80252" spans="10:10" x14ac:dyDescent="0.3">
      <c r="J80252"/>
    </row>
    <row r="80253" spans="10:10" x14ac:dyDescent="0.3">
      <c r="J80253"/>
    </row>
    <row r="80254" spans="10:10" x14ac:dyDescent="0.3">
      <c r="J80254"/>
    </row>
    <row r="80255" spans="10:10" x14ac:dyDescent="0.3">
      <c r="J80255"/>
    </row>
    <row r="80256" spans="10:10" x14ac:dyDescent="0.3">
      <c r="J80256"/>
    </row>
    <row r="80257" spans="10:10" x14ac:dyDescent="0.3">
      <c r="J80257"/>
    </row>
    <row r="80258" spans="10:10" x14ac:dyDescent="0.3">
      <c r="J80258"/>
    </row>
    <row r="80259" spans="10:10" x14ac:dyDescent="0.3">
      <c r="J80259"/>
    </row>
    <row r="80260" spans="10:10" x14ac:dyDescent="0.3">
      <c r="J80260"/>
    </row>
    <row r="80261" spans="10:10" x14ac:dyDescent="0.3">
      <c r="J80261"/>
    </row>
    <row r="80262" spans="10:10" x14ac:dyDescent="0.3">
      <c r="J80262"/>
    </row>
    <row r="80263" spans="10:10" x14ac:dyDescent="0.3">
      <c r="J80263"/>
    </row>
    <row r="80264" spans="10:10" x14ac:dyDescent="0.3">
      <c r="J80264"/>
    </row>
    <row r="80265" spans="10:10" x14ac:dyDescent="0.3">
      <c r="J80265"/>
    </row>
    <row r="80266" spans="10:10" x14ac:dyDescent="0.3">
      <c r="J80266"/>
    </row>
    <row r="80267" spans="10:10" x14ac:dyDescent="0.3">
      <c r="J80267"/>
    </row>
    <row r="80268" spans="10:10" x14ac:dyDescent="0.3">
      <c r="J80268"/>
    </row>
    <row r="80269" spans="10:10" x14ac:dyDescent="0.3">
      <c r="J80269"/>
    </row>
    <row r="80270" spans="10:10" x14ac:dyDescent="0.3">
      <c r="J80270"/>
    </row>
    <row r="80271" spans="10:10" x14ac:dyDescent="0.3">
      <c r="J80271"/>
    </row>
    <row r="80272" spans="10:10" x14ac:dyDescent="0.3">
      <c r="J80272"/>
    </row>
    <row r="80273" spans="10:10" x14ac:dyDescent="0.3">
      <c r="J80273"/>
    </row>
    <row r="80274" spans="10:10" x14ac:dyDescent="0.3">
      <c r="J80274"/>
    </row>
    <row r="80275" spans="10:10" x14ac:dyDescent="0.3">
      <c r="J80275"/>
    </row>
    <row r="80276" spans="10:10" x14ac:dyDescent="0.3">
      <c r="J80276"/>
    </row>
    <row r="80277" spans="10:10" x14ac:dyDescent="0.3">
      <c r="J80277"/>
    </row>
    <row r="80278" spans="10:10" x14ac:dyDescent="0.3">
      <c r="J80278"/>
    </row>
    <row r="80279" spans="10:10" x14ac:dyDescent="0.3">
      <c r="J80279"/>
    </row>
    <row r="80280" spans="10:10" x14ac:dyDescent="0.3">
      <c r="J80280"/>
    </row>
    <row r="80281" spans="10:10" x14ac:dyDescent="0.3">
      <c r="J80281"/>
    </row>
    <row r="80282" spans="10:10" x14ac:dyDescent="0.3">
      <c r="J80282"/>
    </row>
    <row r="80283" spans="10:10" x14ac:dyDescent="0.3">
      <c r="J80283"/>
    </row>
    <row r="80284" spans="10:10" x14ac:dyDescent="0.3">
      <c r="J80284"/>
    </row>
    <row r="80285" spans="10:10" x14ac:dyDescent="0.3">
      <c r="J80285"/>
    </row>
    <row r="80286" spans="10:10" x14ac:dyDescent="0.3">
      <c r="J80286"/>
    </row>
    <row r="80287" spans="10:10" x14ac:dyDescent="0.3">
      <c r="J80287"/>
    </row>
    <row r="80288" spans="10:10" x14ac:dyDescent="0.3">
      <c r="J80288"/>
    </row>
    <row r="80289" spans="10:10" x14ac:dyDescent="0.3">
      <c r="J80289"/>
    </row>
    <row r="80290" spans="10:10" x14ac:dyDescent="0.3">
      <c r="J80290"/>
    </row>
    <row r="80291" spans="10:10" x14ac:dyDescent="0.3">
      <c r="J80291"/>
    </row>
    <row r="80292" spans="10:10" x14ac:dyDescent="0.3">
      <c r="J80292"/>
    </row>
    <row r="80293" spans="10:10" x14ac:dyDescent="0.3">
      <c r="J80293"/>
    </row>
    <row r="80294" spans="10:10" x14ac:dyDescent="0.3">
      <c r="J80294"/>
    </row>
    <row r="80295" spans="10:10" x14ac:dyDescent="0.3">
      <c r="J80295"/>
    </row>
    <row r="80296" spans="10:10" x14ac:dyDescent="0.3">
      <c r="J80296"/>
    </row>
    <row r="80297" spans="10:10" x14ac:dyDescent="0.3">
      <c r="J80297"/>
    </row>
    <row r="80298" spans="10:10" x14ac:dyDescent="0.3">
      <c r="J80298"/>
    </row>
    <row r="80299" spans="10:10" x14ac:dyDescent="0.3">
      <c r="J80299"/>
    </row>
    <row r="80300" spans="10:10" x14ac:dyDescent="0.3">
      <c r="J80300"/>
    </row>
    <row r="80301" spans="10:10" x14ac:dyDescent="0.3">
      <c r="J80301"/>
    </row>
    <row r="80302" spans="10:10" x14ac:dyDescent="0.3">
      <c r="J80302"/>
    </row>
    <row r="80303" spans="10:10" x14ac:dyDescent="0.3">
      <c r="J80303"/>
    </row>
    <row r="80304" spans="10:10" x14ac:dyDescent="0.3">
      <c r="J80304"/>
    </row>
    <row r="80305" spans="10:10" x14ac:dyDescent="0.3">
      <c r="J80305"/>
    </row>
    <row r="80306" spans="10:10" x14ac:dyDescent="0.3">
      <c r="J80306"/>
    </row>
    <row r="80307" spans="10:10" x14ac:dyDescent="0.3">
      <c r="J80307"/>
    </row>
    <row r="80308" spans="10:10" x14ac:dyDescent="0.3">
      <c r="J80308"/>
    </row>
    <row r="80309" spans="10:10" x14ac:dyDescent="0.3">
      <c r="J80309"/>
    </row>
    <row r="80310" spans="10:10" x14ac:dyDescent="0.3">
      <c r="J80310"/>
    </row>
    <row r="80311" spans="10:10" x14ac:dyDescent="0.3">
      <c r="J80311"/>
    </row>
    <row r="80312" spans="10:10" x14ac:dyDescent="0.3">
      <c r="J80312"/>
    </row>
    <row r="80313" spans="10:10" x14ac:dyDescent="0.3">
      <c r="J80313"/>
    </row>
    <row r="80314" spans="10:10" x14ac:dyDescent="0.3">
      <c r="J80314"/>
    </row>
    <row r="80315" spans="10:10" x14ac:dyDescent="0.3">
      <c r="J80315"/>
    </row>
    <row r="80316" spans="10:10" x14ac:dyDescent="0.3">
      <c r="J80316"/>
    </row>
    <row r="80317" spans="10:10" x14ac:dyDescent="0.3">
      <c r="J80317"/>
    </row>
    <row r="80318" spans="10:10" x14ac:dyDescent="0.3">
      <c r="J80318"/>
    </row>
    <row r="80319" spans="10:10" x14ac:dyDescent="0.3">
      <c r="J80319"/>
    </row>
    <row r="80320" spans="10:10" x14ac:dyDescent="0.3">
      <c r="J80320"/>
    </row>
    <row r="80321" spans="10:10" x14ac:dyDescent="0.3">
      <c r="J80321"/>
    </row>
    <row r="80322" spans="10:10" x14ac:dyDescent="0.3">
      <c r="J80322"/>
    </row>
    <row r="80323" spans="10:10" x14ac:dyDescent="0.3">
      <c r="J80323"/>
    </row>
    <row r="80324" spans="10:10" x14ac:dyDescent="0.3">
      <c r="J80324"/>
    </row>
    <row r="80325" spans="10:10" x14ac:dyDescent="0.3">
      <c r="J80325"/>
    </row>
    <row r="80326" spans="10:10" x14ac:dyDescent="0.3">
      <c r="J80326"/>
    </row>
    <row r="80327" spans="10:10" x14ac:dyDescent="0.3">
      <c r="J80327"/>
    </row>
    <row r="80328" spans="10:10" x14ac:dyDescent="0.3">
      <c r="J80328"/>
    </row>
    <row r="80329" spans="10:10" x14ac:dyDescent="0.3">
      <c r="J80329"/>
    </row>
    <row r="80330" spans="10:10" x14ac:dyDescent="0.3">
      <c r="J80330"/>
    </row>
    <row r="80331" spans="10:10" x14ac:dyDescent="0.3">
      <c r="J80331"/>
    </row>
    <row r="80332" spans="10:10" x14ac:dyDescent="0.3">
      <c r="J80332"/>
    </row>
    <row r="80333" spans="10:10" x14ac:dyDescent="0.3">
      <c r="J80333"/>
    </row>
    <row r="80334" spans="10:10" x14ac:dyDescent="0.3">
      <c r="J80334"/>
    </row>
    <row r="80335" spans="10:10" x14ac:dyDescent="0.3">
      <c r="J80335"/>
    </row>
    <row r="80336" spans="10:10" x14ac:dyDescent="0.3">
      <c r="J80336"/>
    </row>
    <row r="80337" spans="10:10" x14ac:dyDescent="0.3">
      <c r="J80337"/>
    </row>
    <row r="80338" spans="10:10" x14ac:dyDescent="0.3">
      <c r="J80338"/>
    </row>
    <row r="80339" spans="10:10" x14ac:dyDescent="0.3">
      <c r="J80339"/>
    </row>
    <row r="80340" spans="10:10" x14ac:dyDescent="0.3">
      <c r="J80340"/>
    </row>
    <row r="80341" spans="10:10" x14ac:dyDescent="0.3">
      <c r="J80341"/>
    </row>
    <row r="80342" spans="10:10" x14ac:dyDescent="0.3">
      <c r="J80342"/>
    </row>
    <row r="80343" spans="10:10" x14ac:dyDescent="0.3">
      <c r="J80343"/>
    </row>
    <row r="80344" spans="10:10" x14ac:dyDescent="0.3">
      <c r="J80344"/>
    </row>
    <row r="80345" spans="10:10" x14ac:dyDescent="0.3">
      <c r="J80345"/>
    </row>
    <row r="80346" spans="10:10" x14ac:dyDescent="0.3">
      <c r="J80346"/>
    </row>
    <row r="80347" spans="10:10" x14ac:dyDescent="0.3">
      <c r="J80347"/>
    </row>
    <row r="80348" spans="10:10" x14ac:dyDescent="0.3">
      <c r="J80348"/>
    </row>
    <row r="80349" spans="10:10" x14ac:dyDescent="0.3">
      <c r="J80349"/>
    </row>
    <row r="80350" spans="10:10" x14ac:dyDescent="0.3">
      <c r="J80350"/>
    </row>
    <row r="80351" spans="10:10" x14ac:dyDescent="0.3">
      <c r="J80351"/>
    </row>
    <row r="80352" spans="10:10" x14ac:dyDescent="0.3">
      <c r="J80352"/>
    </row>
    <row r="80353" spans="10:10" x14ac:dyDescent="0.3">
      <c r="J80353"/>
    </row>
    <row r="80354" spans="10:10" x14ac:dyDescent="0.3">
      <c r="J80354"/>
    </row>
    <row r="80355" spans="10:10" x14ac:dyDescent="0.3">
      <c r="J80355"/>
    </row>
    <row r="80356" spans="10:10" x14ac:dyDescent="0.3">
      <c r="J80356"/>
    </row>
    <row r="80357" spans="10:10" x14ac:dyDescent="0.3">
      <c r="J80357"/>
    </row>
    <row r="80358" spans="10:10" x14ac:dyDescent="0.3">
      <c r="J80358"/>
    </row>
    <row r="80359" spans="10:10" x14ac:dyDescent="0.3">
      <c r="J80359"/>
    </row>
    <row r="80360" spans="10:10" x14ac:dyDescent="0.3">
      <c r="J80360"/>
    </row>
    <row r="80361" spans="10:10" x14ac:dyDescent="0.3">
      <c r="J80361"/>
    </row>
    <row r="80362" spans="10:10" x14ac:dyDescent="0.3">
      <c r="J80362"/>
    </row>
    <row r="80363" spans="10:10" x14ac:dyDescent="0.3">
      <c r="J80363"/>
    </row>
    <row r="80364" spans="10:10" x14ac:dyDescent="0.3">
      <c r="J80364"/>
    </row>
    <row r="80365" spans="10:10" x14ac:dyDescent="0.3">
      <c r="J80365"/>
    </row>
    <row r="80366" spans="10:10" x14ac:dyDescent="0.3">
      <c r="J80366"/>
    </row>
    <row r="80367" spans="10:10" x14ac:dyDescent="0.3">
      <c r="J80367"/>
    </row>
    <row r="80368" spans="10:10" x14ac:dyDescent="0.3">
      <c r="J80368"/>
    </row>
    <row r="80369" spans="10:10" x14ac:dyDescent="0.3">
      <c r="J80369"/>
    </row>
    <row r="80370" spans="10:10" x14ac:dyDescent="0.3">
      <c r="J80370"/>
    </row>
    <row r="80371" spans="10:10" x14ac:dyDescent="0.3">
      <c r="J80371"/>
    </row>
    <row r="80372" spans="10:10" x14ac:dyDescent="0.3">
      <c r="J80372"/>
    </row>
    <row r="80373" spans="10:10" x14ac:dyDescent="0.3">
      <c r="J80373"/>
    </row>
    <row r="80374" spans="10:10" x14ac:dyDescent="0.3">
      <c r="J80374"/>
    </row>
    <row r="80375" spans="10:10" x14ac:dyDescent="0.3">
      <c r="J80375"/>
    </row>
    <row r="80376" spans="10:10" x14ac:dyDescent="0.3">
      <c r="J80376"/>
    </row>
    <row r="80377" spans="10:10" x14ac:dyDescent="0.3">
      <c r="J80377"/>
    </row>
    <row r="80378" spans="10:10" x14ac:dyDescent="0.3">
      <c r="J80378"/>
    </row>
    <row r="80379" spans="10:10" x14ac:dyDescent="0.3">
      <c r="J80379"/>
    </row>
    <row r="80380" spans="10:10" x14ac:dyDescent="0.3">
      <c r="J80380"/>
    </row>
    <row r="80381" spans="10:10" x14ac:dyDescent="0.3">
      <c r="J80381"/>
    </row>
    <row r="80382" spans="10:10" x14ac:dyDescent="0.3">
      <c r="J80382"/>
    </row>
    <row r="80383" spans="10:10" x14ac:dyDescent="0.3">
      <c r="J80383"/>
    </row>
    <row r="80384" spans="10:10" x14ac:dyDescent="0.3">
      <c r="J80384"/>
    </row>
    <row r="80385" spans="10:10" x14ac:dyDescent="0.3">
      <c r="J80385"/>
    </row>
    <row r="80386" spans="10:10" x14ac:dyDescent="0.3">
      <c r="J80386"/>
    </row>
    <row r="80387" spans="10:10" x14ac:dyDescent="0.3">
      <c r="J80387"/>
    </row>
    <row r="80388" spans="10:10" x14ac:dyDescent="0.3">
      <c r="J80388"/>
    </row>
    <row r="80389" spans="10:10" x14ac:dyDescent="0.3">
      <c r="J80389"/>
    </row>
    <row r="80390" spans="10:10" x14ac:dyDescent="0.3">
      <c r="J80390"/>
    </row>
    <row r="80391" spans="10:10" x14ac:dyDescent="0.3">
      <c r="J80391"/>
    </row>
    <row r="80392" spans="10:10" x14ac:dyDescent="0.3">
      <c r="J80392"/>
    </row>
    <row r="80393" spans="10:10" x14ac:dyDescent="0.3">
      <c r="J80393"/>
    </row>
    <row r="80394" spans="10:10" x14ac:dyDescent="0.3">
      <c r="J80394"/>
    </row>
    <row r="80395" spans="10:10" x14ac:dyDescent="0.3">
      <c r="J80395"/>
    </row>
    <row r="80396" spans="10:10" x14ac:dyDescent="0.3">
      <c r="J80396"/>
    </row>
    <row r="80397" spans="10:10" x14ac:dyDescent="0.3">
      <c r="J80397"/>
    </row>
    <row r="80398" spans="10:10" x14ac:dyDescent="0.3">
      <c r="J80398"/>
    </row>
    <row r="80399" spans="10:10" x14ac:dyDescent="0.3">
      <c r="J80399"/>
    </row>
    <row r="80400" spans="10:10" x14ac:dyDescent="0.3">
      <c r="J80400"/>
    </row>
    <row r="80401" spans="10:10" x14ac:dyDescent="0.3">
      <c r="J80401"/>
    </row>
    <row r="80402" spans="10:10" x14ac:dyDescent="0.3">
      <c r="J80402"/>
    </row>
    <row r="80403" spans="10:10" x14ac:dyDescent="0.3">
      <c r="J80403"/>
    </row>
    <row r="80404" spans="10:10" x14ac:dyDescent="0.3">
      <c r="J80404"/>
    </row>
    <row r="80405" spans="10:10" x14ac:dyDescent="0.3">
      <c r="J80405"/>
    </row>
    <row r="80406" spans="10:10" x14ac:dyDescent="0.3">
      <c r="J80406"/>
    </row>
    <row r="80407" spans="10:10" x14ac:dyDescent="0.3">
      <c r="J80407"/>
    </row>
    <row r="80408" spans="10:10" x14ac:dyDescent="0.3">
      <c r="J80408"/>
    </row>
    <row r="80409" spans="10:10" x14ac:dyDescent="0.3">
      <c r="J80409"/>
    </row>
    <row r="80410" spans="10:10" x14ac:dyDescent="0.3">
      <c r="J80410"/>
    </row>
    <row r="80411" spans="10:10" x14ac:dyDescent="0.3">
      <c r="J80411"/>
    </row>
    <row r="80412" spans="10:10" x14ac:dyDescent="0.3">
      <c r="J80412"/>
    </row>
    <row r="80413" spans="10:10" x14ac:dyDescent="0.3">
      <c r="J80413"/>
    </row>
    <row r="80414" spans="10:10" x14ac:dyDescent="0.3">
      <c r="J80414"/>
    </row>
    <row r="80415" spans="10:10" x14ac:dyDescent="0.3">
      <c r="J80415"/>
    </row>
    <row r="80416" spans="10:10" x14ac:dyDescent="0.3">
      <c r="J80416"/>
    </row>
    <row r="80417" spans="10:10" x14ac:dyDescent="0.3">
      <c r="J80417"/>
    </row>
    <row r="80418" spans="10:10" x14ac:dyDescent="0.3">
      <c r="J80418"/>
    </row>
    <row r="80419" spans="10:10" x14ac:dyDescent="0.3">
      <c r="J80419"/>
    </row>
    <row r="80420" spans="10:10" x14ac:dyDescent="0.3">
      <c r="J80420"/>
    </row>
    <row r="80421" spans="10:10" x14ac:dyDescent="0.3">
      <c r="J80421"/>
    </row>
    <row r="80422" spans="10:10" x14ac:dyDescent="0.3">
      <c r="J80422"/>
    </row>
    <row r="80423" spans="10:10" x14ac:dyDescent="0.3">
      <c r="J80423"/>
    </row>
    <row r="80424" spans="10:10" x14ac:dyDescent="0.3">
      <c r="J80424"/>
    </row>
    <row r="80425" spans="10:10" x14ac:dyDescent="0.3">
      <c r="J80425"/>
    </row>
    <row r="80426" spans="10:10" x14ac:dyDescent="0.3">
      <c r="J80426"/>
    </row>
    <row r="80427" spans="10:10" x14ac:dyDescent="0.3">
      <c r="J80427"/>
    </row>
    <row r="80428" spans="10:10" x14ac:dyDescent="0.3">
      <c r="J80428"/>
    </row>
    <row r="80429" spans="10:10" x14ac:dyDescent="0.3">
      <c r="J80429"/>
    </row>
    <row r="80430" spans="10:10" x14ac:dyDescent="0.3">
      <c r="J80430"/>
    </row>
    <row r="80431" spans="10:10" x14ac:dyDescent="0.3">
      <c r="J80431"/>
    </row>
    <row r="80432" spans="10:10" x14ac:dyDescent="0.3">
      <c r="J80432"/>
    </row>
    <row r="80433" spans="10:10" x14ac:dyDescent="0.3">
      <c r="J80433"/>
    </row>
    <row r="80434" spans="10:10" x14ac:dyDescent="0.3">
      <c r="J80434"/>
    </row>
    <row r="80435" spans="10:10" x14ac:dyDescent="0.3">
      <c r="J80435"/>
    </row>
    <row r="80436" spans="10:10" x14ac:dyDescent="0.3">
      <c r="J80436"/>
    </row>
    <row r="80437" spans="10:10" x14ac:dyDescent="0.3">
      <c r="J80437"/>
    </row>
    <row r="80438" spans="10:10" x14ac:dyDescent="0.3">
      <c r="J80438"/>
    </row>
    <row r="80439" spans="10:10" x14ac:dyDescent="0.3">
      <c r="J80439"/>
    </row>
    <row r="80440" spans="10:10" x14ac:dyDescent="0.3">
      <c r="J80440"/>
    </row>
    <row r="80441" spans="10:10" x14ac:dyDescent="0.3">
      <c r="J80441"/>
    </row>
    <row r="80442" spans="10:10" x14ac:dyDescent="0.3">
      <c r="J80442"/>
    </row>
    <row r="80443" spans="10:10" x14ac:dyDescent="0.3">
      <c r="J80443"/>
    </row>
    <row r="80444" spans="10:10" x14ac:dyDescent="0.3">
      <c r="J80444"/>
    </row>
    <row r="80445" spans="10:10" x14ac:dyDescent="0.3">
      <c r="J80445"/>
    </row>
    <row r="80446" spans="10:10" x14ac:dyDescent="0.3">
      <c r="J80446"/>
    </row>
    <row r="80447" spans="10:10" x14ac:dyDescent="0.3">
      <c r="J80447"/>
    </row>
    <row r="80448" spans="10:10" x14ac:dyDescent="0.3">
      <c r="J80448"/>
    </row>
    <row r="80449" spans="10:10" x14ac:dyDescent="0.3">
      <c r="J80449"/>
    </row>
    <row r="80450" spans="10:10" x14ac:dyDescent="0.3">
      <c r="J80450"/>
    </row>
    <row r="80451" spans="10:10" x14ac:dyDescent="0.3">
      <c r="J80451"/>
    </row>
    <row r="80452" spans="10:10" x14ac:dyDescent="0.3">
      <c r="J80452"/>
    </row>
    <row r="80453" spans="10:10" x14ac:dyDescent="0.3">
      <c r="J80453"/>
    </row>
    <row r="80454" spans="10:10" x14ac:dyDescent="0.3">
      <c r="J80454"/>
    </row>
    <row r="80455" spans="10:10" x14ac:dyDescent="0.3">
      <c r="J80455"/>
    </row>
    <row r="80456" spans="10:10" x14ac:dyDescent="0.3">
      <c r="J80456"/>
    </row>
    <row r="80457" spans="10:10" x14ac:dyDescent="0.3">
      <c r="J80457"/>
    </row>
    <row r="80458" spans="10:10" x14ac:dyDescent="0.3">
      <c r="J80458"/>
    </row>
    <row r="80459" spans="10:10" x14ac:dyDescent="0.3">
      <c r="J80459"/>
    </row>
    <row r="80460" spans="10:10" x14ac:dyDescent="0.3">
      <c r="J80460"/>
    </row>
    <row r="80461" spans="10:10" x14ac:dyDescent="0.3">
      <c r="J80461"/>
    </row>
    <row r="80462" spans="10:10" x14ac:dyDescent="0.3">
      <c r="J80462"/>
    </row>
    <row r="80463" spans="10:10" x14ac:dyDescent="0.3">
      <c r="J80463"/>
    </row>
    <row r="80464" spans="10:10" x14ac:dyDescent="0.3">
      <c r="J80464"/>
    </row>
    <row r="80465" spans="10:10" x14ac:dyDescent="0.3">
      <c r="J80465"/>
    </row>
    <row r="80466" spans="10:10" x14ac:dyDescent="0.3">
      <c r="J80466"/>
    </row>
    <row r="80467" spans="10:10" x14ac:dyDescent="0.3">
      <c r="J80467"/>
    </row>
    <row r="80468" spans="10:10" x14ac:dyDescent="0.3">
      <c r="J80468"/>
    </row>
    <row r="80469" spans="10:10" x14ac:dyDescent="0.3">
      <c r="J80469"/>
    </row>
    <row r="80470" spans="10:10" x14ac:dyDescent="0.3">
      <c r="J80470"/>
    </row>
    <row r="80471" spans="10:10" x14ac:dyDescent="0.3">
      <c r="J80471"/>
    </row>
    <row r="80472" spans="10:10" x14ac:dyDescent="0.3">
      <c r="J80472"/>
    </row>
    <row r="80473" spans="10:10" x14ac:dyDescent="0.3">
      <c r="J80473"/>
    </row>
    <row r="80474" spans="10:10" x14ac:dyDescent="0.3">
      <c r="J80474"/>
    </row>
    <row r="80475" spans="10:10" x14ac:dyDescent="0.3">
      <c r="J80475"/>
    </row>
    <row r="80476" spans="10:10" x14ac:dyDescent="0.3">
      <c r="J80476"/>
    </row>
    <row r="80477" spans="10:10" x14ac:dyDescent="0.3">
      <c r="J80477"/>
    </row>
    <row r="80478" spans="10:10" x14ac:dyDescent="0.3">
      <c r="J80478"/>
    </row>
    <row r="80479" spans="10:10" x14ac:dyDescent="0.3">
      <c r="J80479"/>
    </row>
    <row r="80480" spans="10:10" x14ac:dyDescent="0.3">
      <c r="J80480"/>
    </row>
    <row r="80481" spans="10:10" x14ac:dyDescent="0.3">
      <c r="J80481"/>
    </row>
    <row r="80482" spans="10:10" x14ac:dyDescent="0.3">
      <c r="J80482"/>
    </row>
    <row r="80483" spans="10:10" x14ac:dyDescent="0.3">
      <c r="J80483"/>
    </row>
    <row r="80484" spans="10:10" x14ac:dyDescent="0.3">
      <c r="J80484"/>
    </row>
    <row r="80485" spans="10:10" x14ac:dyDescent="0.3">
      <c r="J80485"/>
    </row>
    <row r="80486" spans="10:10" x14ac:dyDescent="0.3">
      <c r="J80486"/>
    </row>
    <row r="80487" spans="10:10" x14ac:dyDescent="0.3">
      <c r="J80487"/>
    </row>
    <row r="80488" spans="10:10" x14ac:dyDescent="0.3">
      <c r="J80488"/>
    </row>
    <row r="80489" spans="10:10" x14ac:dyDescent="0.3">
      <c r="J80489"/>
    </row>
    <row r="80490" spans="10:10" x14ac:dyDescent="0.3">
      <c r="J80490"/>
    </row>
    <row r="80491" spans="10:10" x14ac:dyDescent="0.3">
      <c r="J80491"/>
    </row>
    <row r="80492" spans="10:10" x14ac:dyDescent="0.3">
      <c r="J80492"/>
    </row>
    <row r="80493" spans="10:10" x14ac:dyDescent="0.3">
      <c r="J80493"/>
    </row>
    <row r="80494" spans="10:10" x14ac:dyDescent="0.3">
      <c r="J80494"/>
    </row>
    <row r="80495" spans="10:10" x14ac:dyDescent="0.3">
      <c r="J80495"/>
    </row>
    <row r="80496" spans="10:10" x14ac:dyDescent="0.3">
      <c r="J80496"/>
    </row>
    <row r="80497" spans="10:10" x14ac:dyDescent="0.3">
      <c r="J80497"/>
    </row>
    <row r="80498" spans="10:10" x14ac:dyDescent="0.3">
      <c r="J80498"/>
    </row>
    <row r="80499" spans="10:10" x14ac:dyDescent="0.3">
      <c r="J80499"/>
    </row>
    <row r="80500" spans="10:10" x14ac:dyDescent="0.3">
      <c r="J80500"/>
    </row>
    <row r="80501" spans="10:10" x14ac:dyDescent="0.3">
      <c r="J80501"/>
    </row>
    <row r="80502" spans="10:10" x14ac:dyDescent="0.3">
      <c r="J80502"/>
    </row>
    <row r="80503" spans="10:10" x14ac:dyDescent="0.3">
      <c r="J80503"/>
    </row>
    <row r="80504" spans="10:10" x14ac:dyDescent="0.3">
      <c r="J80504"/>
    </row>
    <row r="80505" spans="10:10" x14ac:dyDescent="0.3">
      <c r="J80505"/>
    </row>
    <row r="80506" spans="10:10" x14ac:dyDescent="0.3">
      <c r="J80506"/>
    </row>
    <row r="80507" spans="10:10" x14ac:dyDescent="0.3">
      <c r="J80507"/>
    </row>
    <row r="80508" spans="10:10" x14ac:dyDescent="0.3">
      <c r="J80508"/>
    </row>
    <row r="80509" spans="10:10" x14ac:dyDescent="0.3">
      <c r="J80509"/>
    </row>
    <row r="80510" spans="10:10" x14ac:dyDescent="0.3">
      <c r="J80510"/>
    </row>
    <row r="80511" spans="10:10" x14ac:dyDescent="0.3">
      <c r="J80511"/>
    </row>
    <row r="80512" spans="10:10" x14ac:dyDescent="0.3">
      <c r="J80512"/>
    </row>
    <row r="80513" spans="10:10" x14ac:dyDescent="0.3">
      <c r="J80513"/>
    </row>
    <row r="80514" spans="10:10" x14ac:dyDescent="0.3">
      <c r="J80514"/>
    </row>
    <row r="80515" spans="10:10" x14ac:dyDescent="0.3">
      <c r="J80515"/>
    </row>
    <row r="80516" spans="10:10" x14ac:dyDescent="0.3">
      <c r="J80516"/>
    </row>
    <row r="80517" spans="10:10" x14ac:dyDescent="0.3">
      <c r="J80517"/>
    </row>
    <row r="80518" spans="10:10" x14ac:dyDescent="0.3">
      <c r="J80518"/>
    </row>
    <row r="80519" spans="10:10" x14ac:dyDescent="0.3">
      <c r="J80519"/>
    </row>
    <row r="80520" spans="10:10" x14ac:dyDescent="0.3">
      <c r="J80520"/>
    </row>
    <row r="80521" spans="10:10" x14ac:dyDescent="0.3">
      <c r="J80521"/>
    </row>
    <row r="80522" spans="10:10" x14ac:dyDescent="0.3">
      <c r="J80522"/>
    </row>
    <row r="80523" spans="10:10" x14ac:dyDescent="0.3">
      <c r="J80523"/>
    </row>
    <row r="80524" spans="10:10" x14ac:dyDescent="0.3">
      <c r="J80524"/>
    </row>
    <row r="80525" spans="10:10" x14ac:dyDescent="0.3">
      <c r="J80525"/>
    </row>
    <row r="80526" spans="10:10" x14ac:dyDescent="0.3">
      <c r="J80526"/>
    </row>
    <row r="80527" spans="10:10" x14ac:dyDescent="0.3">
      <c r="J80527"/>
    </row>
    <row r="80528" spans="10:10" x14ac:dyDescent="0.3">
      <c r="J80528"/>
    </row>
    <row r="80529" spans="10:10" x14ac:dyDescent="0.3">
      <c r="J80529"/>
    </row>
    <row r="80530" spans="10:10" x14ac:dyDescent="0.3">
      <c r="J80530"/>
    </row>
    <row r="80531" spans="10:10" x14ac:dyDescent="0.3">
      <c r="J80531"/>
    </row>
    <row r="80532" spans="10:10" x14ac:dyDescent="0.3">
      <c r="J80532"/>
    </row>
    <row r="80533" spans="10:10" x14ac:dyDescent="0.3">
      <c r="J80533"/>
    </row>
    <row r="80534" spans="10:10" x14ac:dyDescent="0.3">
      <c r="J80534"/>
    </row>
    <row r="80535" spans="10:10" x14ac:dyDescent="0.3">
      <c r="J80535"/>
    </row>
    <row r="80536" spans="10:10" x14ac:dyDescent="0.3">
      <c r="J80536"/>
    </row>
    <row r="80537" spans="10:10" x14ac:dyDescent="0.3">
      <c r="J80537"/>
    </row>
    <row r="80538" spans="10:10" x14ac:dyDescent="0.3">
      <c r="J80538"/>
    </row>
    <row r="80539" spans="10:10" x14ac:dyDescent="0.3">
      <c r="J80539"/>
    </row>
    <row r="80540" spans="10:10" x14ac:dyDescent="0.3">
      <c r="J80540"/>
    </row>
    <row r="80541" spans="10:10" x14ac:dyDescent="0.3">
      <c r="J80541"/>
    </row>
    <row r="80542" spans="10:10" x14ac:dyDescent="0.3">
      <c r="J80542"/>
    </row>
    <row r="80543" spans="10:10" x14ac:dyDescent="0.3">
      <c r="J80543"/>
    </row>
    <row r="80544" spans="10:10" x14ac:dyDescent="0.3">
      <c r="J80544"/>
    </row>
    <row r="80545" spans="10:10" x14ac:dyDescent="0.3">
      <c r="J80545"/>
    </row>
    <row r="80546" spans="10:10" x14ac:dyDescent="0.3">
      <c r="J80546"/>
    </row>
    <row r="80547" spans="10:10" x14ac:dyDescent="0.3">
      <c r="J80547"/>
    </row>
    <row r="80548" spans="10:10" x14ac:dyDescent="0.3">
      <c r="J80548"/>
    </row>
    <row r="80549" spans="10:10" x14ac:dyDescent="0.3">
      <c r="J80549"/>
    </row>
    <row r="80550" spans="10:10" x14ac:dyDescent="0.3">
      <c r="J80550"/>
    </row>
    <row r="80551" spans="10:10" x14ac:dyDescent="0.3">
      <c r="J80551"/>
    </row>
    <row r="80552" spans="10:10" x14ac:dyDescent="0.3">
      <c r="J80552"/>
    </row>
    <row r="80553" spans="10:10" x14ac:dyDescent="0.3">
      <c r="J80553"/>
    </row>
    <row r="80554" spans="10:10" x14ac:dyDescent="0.3">
      <c r="J80554"/>
    </row>
    <row r="80555" spans="10:10" x14ac:dyDescent="0.3">
      <c r="J80555"/>
    </row>
    <row r="80556" spans="10:10" x14ac:dyDescent="0.3">
      <c r="J80556"/>
    </row>
    <row r="80557" spans="10:10" x14ac:dyDescent="0.3">
      <c r="J80557"/>
    </row>
    <row r="80558" spans="10:10" x14ac:dyDescent="0.3">
      <c r="J80558"/>
    </row>
    <row r="80559" spans="10:10" x14ac:dyDescent="0.3">
      <c r="J80559"/>
    </row>
    <row r="80560" spans="10:10" x14ac:dyDescent="0.3">
      <c r="J80560"/>
    </row>
    <row r="80561" spans="10:10" x14ac:dyDescent="0.3">
      <c r="J80561"/>
    </row>
    <row r="80562" spans="10:10" x14ac:dyDescent="0.3">
      <c r="J80562"/>
    </row>
    <row r="80563" spans="10:10" x14ac:dyDescent="0.3">
      <c r="J80563"/>
    </row>
    <row r="80564" spans="10:10" x14ac:dyDescent="0.3">
      <c r="J80564"/>
    </row>
    <row r="80565" spans="10:10" x14ac:dyDescent="0.3">
      <c r="J80565"/>
    </row>
    <row r="80566" spans="10:10" x14ac:dyDescent="0.3">
      <c r="J80566"/>
    </row>
    <row r="80567" spans="10:10" x14ac:dyDescent="0.3">
      <c r="J80567"/>
    </row>
    <row r="80568" spans="10:10" x14ac:dyDescent="0.3">
      <c r="J80568"/>
    </row>
    <row r="80569" spans="10:10" x14ac:dyDescent="0.3">
      <c r="J80569"/>
    </row>
    <row r="80570" spans="10:10" x14ac:dyDescent="0.3">
      <c r="J80570"/>
    </row>
    <row r="80571" spans="10:10" x14ac:dyDescent="0.3">
      <c r="J80571"/>
    </row>
    <row r="80572" spans="10:10" x14ac:dyDescent="0.3">
      <c r="J80572"/>
    </row>
    <row r="80573" spans="10:10" x14ac:dyDescent="0.3">
      <c r="J80573"/>
    </row>
    <row r="80574" spans="10:10" x14ac:dyDescent="0.3">
      <c r="J80574"/>
    </row>
    <row r="80575" spans="10:10" x14ac:dyDescent="0.3">
      <c r="J80575"/>
    </row>
    <row r="80576" spans="10:10" x14ac:dyDescent="0.3">
      <c r="J80576"/>
    </row>
    <row r="80577" spans="10:10" x14ac:dyDescent="0.3">
      <c r="J80577"/>
    </row>
    <row r="80578" spans="10:10" x14ac:dyDescent="0.3">
      <c r="J80578"/>
    </row>
    <row r="80579" spans="10:10" x14ac:dyDescent="0.3">
      <c r="J80579"/>
    </row>
    <row r="80580" spans="10:10" x14ac:dyDescent="0.3">
      <c r="J80580"/>
    </row>
    <row r="80581" spans="10:10" x14ac:dyDescent="0.3">
      <c r="J80581"/>
    </row>
    <row r="80582" spans="10:10" x14ac:dyDescent="0.3">
      <c r="J80582"/>
    </row>
    <row r="80583" spans="10:10" x14ac:dyDescent="0.3">
      <c r="J80583"/>
    </row>
    <row r="80584" spans="10:10" x14ac:dyDescent="0.3">
      <c r="J80584"/>
    </row>
    <row r="80585" spans="10:10" x14ac:dyDescent="0.3">
      <c r="J80585"/>
    </row>
    <row r="80586" spans="10:10" x14ac:dyDescent="0.3">
      <c r="J80586"/>
    </row>
    <row r="80587" spans="10:10" x14ac:dyDescent="0.3">
      <c r="J80587"/>
    </row>
    <row r="80588" spans="10:10" x14ac:dyDescent="0.3">
      <c r="J80588"/>
    </row>
    <row r="80589" spans="10:10" x14ac:dyDescent="0.3">
      <c r="J80589"/>
    </row>
    <row r="80590" spans="10:10" x14ac:dyDescent="0.3">
      <c r="J80590"/>
    </row>
    <row r="80591" spans="10:10" x14ac:dyDescent="0.3">
      <c r="J80591"/>
    </row>
    <row r="80592" spans="10:10" x14ac:dyDescent="0.3">
      <c r="J80592"/>
    </row>
    <row r="80593" spans="10:10" x14ac:dyDescent="0.3">
      <c r="J80593"/>
    </row>
    <row r="80594" spans="10:10" x14ac:dyDescent="0.3">
      <c r="J80594"/>
    </row>
    <row r="80595" spans="10:10" x14ac:dyDescent="0.3">
      <c r="J80595"/>
    </row>
    <row r="80596" spans="10:10" x14ac:dyDescent="0.3">
      <c r="J80596"/>
    </row>
    <row r="80597" spans="10:10" x14ac:dyDescent="0.3">
      <c r="J80597"/>
    </row>
    <row r="80598" spans="10:10" x14ac:dyDescent="0.3">
      <c r="J80598"/>
    </row>
    <row r="80599" spans="10:10" x14ac:dyDescent="0.3">
      <c r="J80599"/>
    </row>
    <row r="80600" spans="10:10" x14ac:dyDescent="0.3">
      <c r="J80600"/>
    </row>
    <row r="80601" spans="10:10" x14ac:dyDescent="0.3">
      <c r="J80601"/>
    </row>
    <row r="80602" spans="10:10" x14ac:dyDescent="0.3">
      <c r="J80602"/>
    </row>
    <row r="80603" spans="10:10" x14ac:dyDescent="0.3">
      <c r="J80603"/>
    </row>
    <row r="80604" spans="10:10" x14ac:dyDescent="0.3">
      <c r="J80604"/>
    </row>
    <row r="80605" spans="10:10" x14ac:dyDescent="0.3">
      <c r="J80605"/>
    </row>
    <row r="80606" spans="10:10" x14ac:dyDescent="0.3">
      <c r="J80606"/>
    </row>
    <row r="80607" spans="10:10" x14ac:dyDescent="0.3">
      <c r="J80607"/>
    </row>
    <row r="80608" spans="10:10" x14ac:dyDescent="0.3">
      <c r="J80608"/>
    </row>
    <row r="80609" spans="10:10" x14ac:dyDescent="0.3">
      <c r="J80609"/>
    </row>
    <row r="80610" spans="10:10" x14ac:dyDescent="0.3">
      <c r="J80610"/>
    </row>
    <row r="80611" spans="10:10" x14ac:dyDescent="0.3">
      <c r="J80611"/>
    </row>
    <row r="80612" spans="10:10" x14ac:dyDescent="0.3">
      <c r="J80612"/>
    </row>
    <row r="80613" spans="10:10" x14ac:dyDescent="0.3">
      <c r="J80613"/>
    </row>
    <row r="80614" spans="10:10" x14ac:dyDescent="0.3">
      <c r="J80614"/>
    </row>
    <row r="80615" spans="10:10" x14ac:dyDescent="0.3">
      <c r="J80615"/>
    </row>
    <row r="80616" spans="10:10" x14ac:dyDescent="0.3">
      <c r="J80616"/>
    </row>
    <row r="80617" spans="10:10" x14ac:dyDescent="0.3">
      <c r="J80617"/>
    </row>
    <row r="80618" spans="10:10" x14ac:dyDescent="0.3">
      <c r="J80618"/>
    </row>
    <row r="80619" spans="10:10" x14ac:dyDescent="0.3">
      <c r="J80619"/>
    </row>
    <row r="80620" spans="10:10" x14ac:dyDescent="0.3">
      <c r="J80620"/>
    </row>
    <row r="80621" spans="10:10" x14ac:dyDescent="0.3">
      <c r="J80621"/>
    </row>
    <row r="80622" spans="10:10" x14ac:dyDescent="0.3">
      <c r="J80622"/>
    </row>
    <row r="80623" spans="10:10" x14ac:dyDescent="0.3">
      <c r="J80623"/>
    </row>
    <row r="80624" spans="10:10" x14ac:dyDescent="0.3">
      <c r="J80624"/>
    </row>
    <row r="80625" spans="10:10" x14ac:dyDescent="0.3">
      <c r="J80625"/>
    </row>
    <row r="80626" spans="10:10" x14ac:dyDescent="0.3">
      <c r="J80626"/>
    </row>
    <row r="80627" spans="10:10" x14ac:dyDescent="0.3">
      <c r="J80627"/>
    </row>
    <row r="80628" spans="10:10" x14ac:dyDescent="0.3">
      <c r="J80628"/>
    </row>
    <row r="80629" spans="10:10" x14ac:dyDescent="0.3">
      <c r="J80629"/>
    </row>
    <row r="80630" spans="10:10" x14ac:dyDescent="0.3">
      <c r="J80630"/>
    </row>
    <row r="80631" spans="10:10" x14ac:dyDescent="0.3">
      <c r="J80631"/>
    </row>
    <row r="80632" spans="10:10" x14ac:dyDescent="0.3">
      <c r="J80632"/>
    </row>
    <row r="80633" spans="10:10" x14ac:dyDescent="0.3">
      <c r="J80633"/>
    </row>
    <row r="80634" spans="10:10" x14ac:dyDescent="0.3">
      <c r="J80634"/>
    </row>
    <row r="80635" spans="10:10" x14ac:dyDescent="0.3">
      <c r="J80635"/>
    </row>
    <row r="80636" spans="10:10" x14ac:dyDescent="0.3">
      <c r="J80636"/>
    </row>
    <row r="80637" spans="10:10" x14ac:dyDescent="0.3">
      <c r="J80637"/>
    </row>
    <row r="80638" spans="10:10" x14ac:dyDescent="0.3">
      <c r="J80638"/>
    </row>
    <row r="80639" spans="10:10" x14ac:dyDescent="0.3">
      <c r="J80639"/>
    </row>
    <row r="80640" spans="10:10" x14ac:dyDescent="0.3">
      <c r="J80640"/>
    </row>
    <row r="80641" spans="10:10" x14ac:dyDescent="0.3">
      <c r="J80641"/>
    </row>
    <row r="80642" spans="10:10" x14ac:dyDescent="0.3">
      <c r="J80642"/>
    </row>
    <row r="80643" spans="10:10" x14ac:dyDescent="0.3">
      <c r="J80643"/>
    </row>
    <row r="80644" spans="10:10" x14ac:dyDescent="0.3">
      <c r="J80644"/>
    </row>
    <row r="80645" spans="10:10" x14ac:dyDescent="0.3">
      <c r="J80645"/>
    </row>
    <row r="80646" spans="10:10" x14ac:dyDescent="0.3">
      <c r="J80646"/>
    </row>
    <row r="80647" spans="10:10" x14ac:dyDescent="0.3">
      <c r="J80647"/>
    </row>
    <row r="80648" spans="10:10" x14ac:dyDescent="0.3">
      <c r="J80648"/>
    </row>
    <row r="80649" spans="10:10" x14ac:dyDescent="0.3">
      <c r="J80649"/>
    </row>
    <row r="80650" spans="10:10" x14ac:dyDescent="0.3">
      <c r="J80650"/>
    </row>
    <row r="80651" spans="10:10" x14ac:dyDescent="0.3">
      <c r="J80651"/>
    </row>
    <row r="80652" spans="10:10" x14ac:dyDescent="0.3">
      <c r="J80652"/>
    </row>
    <row r="80653" spans="10:10" x14ac:dyDescent="0.3">
      <c r="J80653"/>
    </row>
    <row r="80654" spans="10:10" x14ac:dyDescent="0.3">
      <c r="J80654"/>
    </row>
    <row r="80655" spans="10:10" x14ac:dyDescent="0.3">
      <c r="J80655"/>
    </row>
    <row r="80656" spans="10:10" x14ac:dyDescent="0.3">
      <c r="J80656"/>
    </row>
    <row r="80657" spans="10:10" x14ac:dyDescent="0.3">
      <c r="J80657"/>
    </row>
    <row r="80658" spans="10:10" x14ac:dyDescent="0.3">
      <c r="J80658"/>
    </row>
    <row r="80659" spans="10:10" x14ac:dyDescent="0.3">
      <c r="J80659"/>
    </row>
    <row r="80660" spans="10:10" x14ac:dyDescent="0.3">
      <c r="J80660"/>
    </row>
    <row r="80661" spans="10:10" x14ac:dyDescent="0.3">
      <c r="J80661"/>
    </row>
    <row r="80662" spans="10:10" x14ac:dyDescent="0.3">
      <c r="J80662"/>
    </row>
    <row r="80663" spans="10:10" x14ac:dyDescent="0.3">
      <c r="J80663"/>
    </row>
    <row r="80664" spans="10:10" x14ac:dyDescent="0.3">
      <c r="J80664"/>
    </row>
    <row r="80665" spans="10:10" x14ac:dyDescent="0.3">
      <c r="J80665"/>
    </row>
    <row r="80666" spans="10:10" x14ac:dyDescent="0.3">
      <c r="J80666"/>
    </row>
    <row r="80667" spans="10:10" x14ac:dyDescent="0.3">
      <c r="J80667"/>
    </row>
    <row r="80668" spans="10:10" x14ac:dyDescent="0.3">
      <c r="J80668"/>
    </row>
    <row r="80669" spans="10:10" x14ac:dyDescent="0.3">
      <c r="J80669"/>
    </row>
    <row r="80670" spans="10:10" x14ac:dyDescent="0.3">
      <c r="J80670"/>
    </row>
    <row r="80671" spans="10:10" x14ac:dyDescent="0.3">
      <c r="J80671"/>
    </row>
    <row r="80672" spans="10:10" x14ac:dyDescent="0.3">
      <c r="J80672"/>
    </row>
    <row r="80673" spans="10:10" x14ac:dyDescent="0.3">
      <c r="J80673"/>
    </row>
    <row r="80674" spans="10:10" x14ac:dyDescent="0.3">
      <c r="J80674"/>
    </row>
    <row r="80675" spans="10:10" x14ac:dyDescent="0.3">
      <c r="J80675"/>
    </row>
    <row r="80676" spans="10:10" x14ac:dyDescent="0.3">
      <c r="J80676"/>
    </row>
    <row r="80677" spans="10:10" x14ac:dyDescent="0.3">
      <c r="J80677"/>
    </row>
    <row r="80678" spans="10:10" x14ac:dyDescent="0.3">
      <c r="J80678"/>
    </row>
    <row r="80679" spans="10:10" x14ac:dyDescent="0.3">
      <c r="J80679"/>
    </row>
    <row r="80680" spans="10:10" x14ac:dyDescent="0.3">
      <c r="J80680"/>
    </row>
    <row r="80681" spans="10:10" x14ac:dyDescent="0.3">
      <c r="J80681"/>
    </row>
    <row r="80682" spans="10:10" x14ac:dyDescent="0.3">
      <c r="J80682"/>
    </row>
    <row r="80683" spans="10:10" x14ac:dyDescent="0.3">
      <c r="J80683"/>
    </row>
    <row r="80684" spans="10:10" x14ac:dyDescent="0.3">
      <c r="J80684"/>
    </row>
    <row r="80685" spans="10:10" x14ac:dyDescent="0.3">
      <c r="J80685"/>
    </row>
    <row r="80686" spans="10:10" x14ac:dyDescent="0.3">
      <c r="J80686"/>
    </row>
    <row r="80687" spans="10:10" x14ac:dyDescent="0.3">
      <c r="J80687"/>
    </row>
    <row r="80688" spans="10:10" x14ac:dyDescent="0.3">
      <c r="J80688"/>
    </row>
    <row r="80689" spans="10:10" x14ac:dyDescent="0.3">
      <c r="J80689"/>
    </row>
    <row r="80690" spans="10:10" x14ac:dyDescent="0.3">
      <c r="J80690"/>
    </row>
    <row r="80691" spans="10:10" x14ac:dyDescent="0.3">
      <c r="J80691"/>
    </row>
    <row r="80692" spans="10:10" x14ac:dyDescent="0.3">
      <c r="J80692"/>
    </row>
    <row r="80693" spans="10:10" x14ac:dyDescent="0.3">
      <c r="J80693"/>
    </row>
    <row r="80694" spans="10:10" x14ac:dyDescent="0.3">
      <c r="J80694"/>
    </row>
    <row r="80695" spans="10:10" x14ac:dyDescent="0.3">
      <c r="J80695"/>
    </row>
    <row r="80696" spans="10:10" x14ac:dyDescent="0.3">
      <c r="J80696"/>
    </row>
    <row r="80697" spans="10:10" x14ac:dyDescent="0.3">
      <c r="J80697"/>
    </row>
    <row r="80698" spans="10:10" x14ac:dyDescent="0.3">
      <c r="J80698"/>
    </row>
    <row r="80699" spans="10:10" x14ac:dyDescent="0.3">
      <c r="J80699"/>
    </row>
    <row r="80700" spans="10:10" x14ac:dyDescent="0.3">
      <c r="J80700"/>
    </row>
    <row r="80701" spans="10:10" x14ac:dyDescent="0.3">
      <c r="J80701"/>
    </row>
    <row r="80702" spans="10:10" x14ac:dyDescent="0.3">
      <c r="J80702"/>
    </row>
    <row r="80703" spans="10:10" x14ac:dyDescent="0.3">
      <c r="J80703"/>
    </row>
    <row r="80704" spans="10:10" x14ac:dyDescent="0.3">
      <c r="J80704"/>
    </row>
    <row r="80705" spans="10:10" x14ac:dyDescent="0.3">
      <c r="J80705"/>
    </row>
    <row r="80706" spans="10:10" x14ac:dyDescent="0.3">
      <c r="J80706"/>
    </row>
    <row r="80707" spans="10:10" x14ac:dyDescent="0.3">
      <c r="J80707"/>
    </row>
    <row r="80708" spans="10:10" x14ac:dyDescent="0.3">
      <c r="J80708"/>
    </row>
    <row r="80709" spans="10:10" x14ac:dyDescent="0.3">
      <c r="J80709"/>
    </row>
    <row r="80710" spans="10:10" x14ac:dyDescent="0.3">
      <c r="J80710"/>
    </row>
    <row r="80711" spans="10:10" x14ac:dyDescent="0.3">
      <c r="J80711"/>
    </row>
    <row r="80712" spans="10:10" x14ac:dyDescent="0.3">
      <c r="J80712"/>
    </row>
    <row r="80713" spans="10:10" x14ac:dyDescent="0.3">
      <c r="J80713"/>
    </row>
    <row r="80714" spans="10:10" x14ac:dyDescent="0.3">
      <c r="J80714"/>
    </row>
    <row r="80715" spans="10:10" x14ac:dyDescent="0.3">
      <c r="J80715"/>
    </row>
    <row r="80716" spans="10:10" x14ac:dyDescent="0.3">
      <c r="J80716"/>
    </row>
    <row r="80717" spans="10:10" x14ac:dyDescent="0.3">
      <c r="J80717"/>
    </row>
    <row r="80718" spans="10:10" x14ac:dyDescent="0.3">
      <c r="J80718"/>
    </row>
    <row r="80719" spans="10:10" x14ac:dyDescent="0.3">
      <c r="J80719"/>
    </row>
    <row r="80720" spans="10:10" x14ac:dyDescent="0.3">
      <c r="J80720"/>
    </row>
    <row r="80721" spans="10:10" x14ac:dyDescent="0.3">
      <c r="J80721"/>
    </row>
    <row r="80722" spans="10:10" x14ac:dyDescent="0.3">
      <c r="J80722"/>
    </row>
    <row r="80723" spans="10:10" x14ac:dyDescent="0.3">
      <c r="J80723"/>
    </row>
    <row r="80724" spans="10:10" x14ac:dyDescent="0.3">
      <c r="J80724"/>
    </row>
    <row r="80725" spans="10:10" x14ac:dyDescent="0.3">
      <c r="J80725"/>
    </row>
    <row r="80726" spans="10:10" x14ac:dyDescent="0.3">
      <c r="J80726"/>
    </row>
    <row r="80727" spans="10:10" x14ac:dyDescent="0.3">
      <c r="J80727"/>
    </row>
    <row r="80728" spans="10:10" x14ac:dyDescent="0.3">
      <c r="J80728"/>
    </row>
    <row r="80729" spans="10:10" x14ac:dyDescent="0.3">
      <c r="J80729"/>
    </row>
    <row r="80730" spans="10:10" x14ac:dyDescent="0.3">
      <c r="J80730"/>
    </row>
    <row r="80731" spans="10:10" x14ac:dyDescent="0.3">
      <c r="J80731"/>
    </row>
    <row r="80732" spans="10:10" x14ac:dyDescent="0.3">
      <c r="J80732"/>
    </row>
    <row r="80733" spans="10:10" x14ac:dyDescent="0.3">
      <c r="J80733"/>
    </row>
    <row r="80734" spans="10:10" x14ac:dyDescent="0.3">
      <c r="J80734"/>
    </row>
    <row r="80735" spans="10:10" x14ac:dyDescent="0.3">
      <c r="J80735"/>
    </row>
    <row r="80736" spans="10:10" x14ac:dyDescent="0.3">
      <c r="J80736"/>
    </row>
    <row r="80737" spans="10:10" x14ac:dyDescent="0.3">
      <c r="J80737"/>
    </row>
    <row r="80738" spans="10:10" x14ac:dyDescent="0.3">
      <c r="J80738"/>
    </row>
    <row r="80739" spans="10:10" x14ac:dyDescent="0.3">
      <c r="J80739"/>
    </row>
    <row r="80740" spans="10:10" x14ac:dyDescent="0.3">
      <c r="J80740"/>
    </row>
    <row r="80741" spans="10:10" x14ac:dyDescent="0.3">
      <c r="J80741"/>
    </row>
    <row r="80742" spans="10:10" x14ac:dyDescent="0.3">
      <c r="J80742"/>
    </row>
    <row r="80743" spans="10:10" x14ac:dyDescent="0.3">
      <c r="J80743"/>
    </row>
    <row r="80744" spans="10:10" x14ac:dyDescent="0.3">
      <c r="J80744"/>
    </row>
    <row r="80745" spans="10:10" x14ac:dyDescent="0.3">
      <c r="J80745"/>
    </row>
    <row r="80746" spans="10:10" x14ac:dyDescent="0.3">
      <c r="J80746"/>
    </row>
    <row r="80747" spans="10:10" x14ac:dyDescent="0.3">
      <c r="J80747"/>
    </row>
    <row r="80748" spans="10:10" x14ac:dyDescent="0.3">
      <c r="J80748"/>
    </row>
    <row r="80749" spans="10:10" x14ac:dyDescent="0.3">
      <c r="J80749"/>
    </row>
    <row r="80750" spans="10:10" x14ac:dyDescent="0.3">
      <c r="J80750"/>
    </row>
    <row r="80751" spans="10:10" x14ac:dyDescent="0.3">
      <c r="J80751"/>
    </row>
    <row r="80752" spans="10:10" x14ac:dyDescent="0.3">
      <c r="J80752"/>
    </row>
    <row r="80753" spans="10:10" x14ac:dyDescent="0.3">
      <c r="J80753"/>
    </row>
    <row r="80754" spans="10:10" x14ac:dyDescent="0.3">
      <c r="J80754"/>
    </row>
    <row r="80755" spans="10:10" x14ac:dyDescent="0.3">
      <c r="J80755"/>
    </row>
    <row r="80756" spans="10:10" x14ac:dyDescent="0.3">
      <c r="J80756"/>
    </row>
    <row r="80757" spans="10:10" x14ac:dyDescent="0.3">
      <c r="J80757"/>
    </row>
    <row r="80758" spans="10:10" x14ac:dyDescent="0.3">
      <c r="J80758"/>
    </row>
    <row r="80759" spans="10:10" x14ac:dyDescent="0.3">
      <c r="J80759"/>
    </row>
    <row r="80760" spans="10:10" x14ac:dyDescent="0.3">
      <c r="J80760"/>
    </row>
    <row r="80761" spans="10:10" x14ac:dyDescent="0.3">
      <c r="J80761"/>
    </row>
    <row r="80762" spans="10:10" x14ac:dyDescent="0.3">
      <c r="J80762"/>
    </row>
    <row r="80763" spans="10:10" x14ac:dyDescent="0.3">
      <c r="J80763"/>
    </row>
    <row r="80764" spans="10:10" x14ac:dyDescent="0.3">
      <c r="J80764"/>
    </row>
    <row r="80765" spans="10:10" x14ac:dyDescent="0.3">
      <c r="J80765"/>
    </row>
    <row r="80766" spans="10:10" x14ac:dyDescent="0.3">
      <c r="J80766"/>
    </row>
    <row r="80767" spans="10:10" x14ac:dyDescent="0.3">
      <c r="J80767"/>
    </row>
    <row r="80768" spans="10:10" x14ac:dyDescent="0.3">
      <c r="J80768"/>
    </row>
    <row r="80769" spans="10:10" x14ac:dyDescent="0.3">
      <c r="J80769"/>
    </row>
    <row r="80770" spans="10:10" x14ac:dyDescent="0.3">
      <c r="J80770"/>
    </row>
    <row r="80771" spans="10:10" x14ac:dyDescent="0.3">
      <c r="J80771"/>
    </row>
    <row r="80772" spans="10:10" x14ac:dyDescent="0.3">
      <c r="J80772"/>
    </row>
    <row r="80773" spans="10:10" x14ac:dyDescent="0.3">
      <c r="J80773"/>
    </row>
    <row r="80774" spans="10:10" x14ac:dyDescent="0.3">
      <c r="J80774"/>
    </row>
    <row r="80775" spans="10:10" x14ac:dyDescent="0.3">
      <c r="J80775"/>
    </row>
    <row r="80776" spans="10:10" x14ac:dyDescent="0.3">
      <c r="J80776"/>
    </row>
    <row r="80777" spans="10:10" x14ac:dyDescent="0.3">
      <c r="J80777"/>
    </row>
    <row r="80778" spans="10:10" x14ac:dyDescent="0.3">
      <c r="J80778"/>
    </row>
    <row r="80779" spans="10:10" x14ac:dyDescent="0.3">
      <c r="J80779"/>
    </row>
    <row r="80780" spans="10:10" x14ac:dyDescent="0.3">
      <c r="J80780"/>
    </row>
    <row r="80781" spans="10:10" x14ac:dyDescent="0.3">
      <c r="J80781"/>
    </row>
    <row r="80782" spans="10:10" x14ac:dyDescent="0.3">
      <c r="J80782"/>
    </row>
    <row r="80783" spans="10:10" x14ac:dyDescent="0.3">
      <c r="J80783"/>
    </row>
    <row r="80784" spans="10:10" x14ac:dyDescent="0.3">
      <c r="J80784"/>
    </row>
    <row r="80785" spans="10:10" x14ac:dyDescent="0.3">
      <c r="J80785"/>
    </row>
    <row r="80786" spans="10:10" x14ac:dyDescent="0.3">
      <c r="J80786"/>
    </row>
    <row r="80787" spans="10:10" x14ac:dyDescent="0.3">
      <c r="J80787"/>
    </row>
    <row r="80788" spans="10:10" x14ac:dyDescent="0.3">
      <c r="J80788"/>
    </row>
    <row r="80789" spans="10:10" x14ac:dyDescent="0.3">
      <c r="J80789"/>
    </row>
    <row r="80790" spans="10:10" x14ac:dyDescent="0.3">
      <c r="J80790"/>
    </row>
    <row r="80791" spans="10:10" x14ac:dyDescent="0.3">
      <c r="J80791"/>
    </row>
    <row r="80792" spans="10:10" x14ac:dyDescent="0.3">
      <c r="J80792"/>
    </row>
    <row r="80793" spans="10:10" x14ac:dyDescent="0.3">
      <c r="J80793"/>
    </row>
    <row r="80794" spans="10:10" x14ac:dyDescent="0.3">
      <c r="J80794"/>
    </row>
    <row r="80795" spans="10:10" x14ac:dyDescent="0.3">
      <c r="J80795"/>
    </row>
    <row r="80796" spans="10:10" x14ac:dyDescent="0.3">
      <c r="J80796"/>
    </row>
    <row r="80797" spans="10:10" x14ac:dyDescent="0.3">
      <c r="J80797"/>
    </row>
    <row r="80798" spans="10:10" x14ac:dyDescent="0.3">
      <c r="J80798"/>
    </row>
    <row r="80799" spans="10:10" x14ac:dyDescent="0.3">
      <c r="J80799"/>
    </row>
    <row r="80800" spans="10:10" x14ac:dyDescent="0.3">
      <c r="J80800"/>
    </row>
    <row r="80801" spans="10:10" x14ac:dyDescent="0.3">
      <c r="J80801"/>
    </row>
    <row r="80802" spans="10:10" x14ac:dyDescent="0.3">
      <c r="J80802"/>
    </row>
    <row r="80803" spans="10:10" x14ac:dyDescent="0.3">
      <c r="J80803"/>
    </row>
    <row r="80804" spans="10:10" x14ac:dyDescent="0.3">
      <c r="J80804"/>
    </row>
    <row r="80805" spans="10:10" x14ac:dyDescent="0.3">
      <c r="J80805"/>
    </row>
    <row r="80806" spans="10:10" x14ac:dyDescent="0.3">
      <c r="J80806"/>
    </row>
    <row r="80807" spans="10:10" x14ac:dyDescent="0.3">
      <c r="J80807"/>
    </row>
    <row r="80808" spans="10:10" x14ac:dyDescent="0.3">
      <c r="J80808"/>
    </row>
    <row r="80809" spans="10:10" x14ac:dyDescent="0.3">
      <c r="J80809"/>
    </row>
    <row r="80810" spans="10:10" x14ac:dyDescent="0.3">
      <c r="J80810"/>
    </row>
    <row r="80811" spans="10:10" x14ac:dyDescent="0.3">
      <c r="J80811"/>
    </row>
    <row r="80812" spans="10:10" x14ac:dyDescent="0.3">
      <c r="J80812"/>
    </row>
    <row r="80813" spans="10:10" x14ac:dyDescent="0.3">
      <c r="J80813"/>
    </row>
    <row r="80814" spans="10:10" x14ac:dyDescent="0.3">
      <c r="J80814"/>
    </row>
    <row r="80815" spans="10:10" x14ac:dyDescent="0.3">
      <c r="J80815"/>
    </row>
    <row r="80816" spans="10:10" x14ac:dyDescent="0.3">
      <c r="J80816"/>
    </row>
    <row r="80817" spans="10:10" x14ac:dyDescent="0.3">
      <c r="J80817"/>
    </row>
    <row r="80818" spans="10:10" x14ac:dyDescent="0.3">
      <c r="J80818"/>
    </row>
    <row r="80819" spans="10:10" x14ac:dyDescent="0.3">
      <c r="J80819"/>
    </row>
    <row r="80820" spans="10:10" x14ac:dyDescent="0.3">
      <c r="J80820"/>
    </row>
    <row r="80821" spans="10:10" x14ac:dyDescent="0.3">
      <c r="J80821"/>
    </row>
    <row r="80822" spans="10:10" x14ac:dyDescent="0.3">
      <c r="J80822"/>
    </row>
    <row r="80823" spans="10:10" x14ac:dyDescent="0.3">
      <c r="J80823"/>
    </row>
    <row r="80824" spans="10:10" x14ac:dyDescent="0.3">
      <c r="J80824"/>
    </row>
    <row r="80825" spans="10:10" x14ac:dyDescent="0.3">
      <c r="J80825"/>
    </row>
    <row r="80826" spans="10:10" x14ac:dyDescent="0.3">
      <c r="J80826"/>
    </row>
    <row r="80827" spans="10:10" x14ac:dyDescent="0.3">
      <c r="J80827"/>
    </row>
    <row r="80828" spans="10:10" x14ac:dyDescent="0.3">
      <c r="J80828"/>
    </row>
    <row r="80829" spans="10:10" x14ac:dyDescent="0.3">
      <c r="J80829"/>
    </row>
    <row r="80830" spans="10:10" x14ac:dyDescent="0.3">
      <c r="J80830"/>
    </row>
    <row r="80831" spans="10:10" x14ac:dyDescent="0.3">
      <c r="J80831"/>
    </row>
    <row r="80832" spans="10:10" x14ac:dyDescent="0.3">
      <c r="J80832"/>
    </row>
    <row r="80833" spans="10:10" x14ac:dyDescent="0.3">
      <c r="J80833"/>
    </row>
    <row r="80834" spans="10:10" x14ac:dyDescent="0.3">
      <c r="J80834"/>
    </row>
    <row r="80835" spans="10:10" x14ac:dyDescent="0.3">
      <c r="J80835"/>
    </row>
    <row r="80836" spans="10:10" x14ac:dyDescent="0.3">
      <c r="J80836"/>
    </row>
    <row r="80837" spans="10:10" x14ac:dyDescent="0.3">
      <c r="J80837"/>
    </row>
    <row r="80838" spans="10:10" x14ac:dyDescent="0.3">
      <c r="J80838"/>
    </row>
    <row r="80839" spans="10:10" x14ac:dyDescent="0.3">
      <c r="J80839"/>
    </row>
    <row r="80840" spans="10:10" x14ac:dyDescent="0.3">
      <c r="J80840"/>
    </row>
    <row r="80841" spans="10:10" x14ac:dyDescent="0.3">
      <c r="J80841"/>
    </row>
    <row r="80842" spans="10:10" x14ac:dyDescent="0.3">
      <c r="J80842"/>
    </row>
    <row r="80843" spans="10:10" x14ac:dyDescent="0.3">
      <c r="J80843"/>
    </row>
    <row r="80844" spans="10:10" x14ac:dyDescent="0.3">
      <c r="J80844"/>
    </row>
    <row r="80845" spans="10:10" x14ac:dyDescent="0.3">
      <c r="J80845"/>
    </row>
    <row r="80846" spans="10:10" x14ac:dyDescent="0.3">
      <c r="J80846"/>
    </row>
    <row r="80847" spans="10:10" x14ac:dyDescent="0.3">
      <c r="J80847"/>
    </row>
    <row r="80848" spans="10:10" x14ac:dyDescent="0.3">
      <c r="J80848"/>
    </row>
    <row r="80849" spans="10:10" x14ac:dyDescent="0.3">
      <c r="J80849"/>
    </row>
    <row r="80850" spans="10:10" x14ac:dyDescent="0.3">
      <c r="J80850"/>
    </row>
    <row r="80851" spans="10:10" x14ac:dyDescent="0.3">
      <c r="J80851"/>
    </row>
    <row r="80852" spans="10:10" x14ac:dyDescent="0.3">
      <c r="J80852"/>
    </row>
    <row r="80853" spans="10:10" x14ac:dyDescent="0.3">
      <c r="J80853"/>
    </row>
    <row r="80854" spans="10:10" x14ac:dyDescent="0.3">
      <c r="J80854"/>
    </row>
    <row r="80855" spans="10:10" x14ac:dyDescent="0.3">
      <c r="J80855"/>
    </row>
    <row r="80856" spans="10:10" x14ac:dyDescent="0.3">
      <c r="J80856"/>
    </row>
    <row r="80857" spans="10:10" x14ac:dyDescent="0.3">
      <c r="J80857"/>
    </row>
    <row r="80858" spans="10:10" x14ac:dyDescent="0.3">
      <c r="J80858"/>
    </row>
    <row r="80859" spans="10:10" x14ac:dyDescent="0.3">
      <c r="J80859"/>
    </row>
    <row r="80860" spans="10:10" x14ac:dyDescent="0.3">
      <c r="J80860"/>
    </row>
    <row r="80861" spans="10:10" x14ac:dyDescent="0.3">
      <c r="J80861"/>
    </row>
    <row r="80862" spans="10:10" x14ac:dyDescent="0.3">
      <c r="J80862"/>
    </row>
    <row r="80863" spans="10:10" x14ac:dyDescent="0.3">
      <c r="J80863"/>
    </row>
    <row r="80864" spans="10:10" x14ac:dyDescent="0.3">
      <c r="J80864"/>
    </row>
    <row r="80865" spans="10:10" x14ac:dyDescent="0.3">
      <c r="J80865"/>
    </row>
    <row r="80866" spans="10:10" x14ac:dyDescent="0.3">
      <c r="J80866"/>
    </row>
    <row r="80867" spans="10:10" x14ac:dyDescent="0.3">
      <c r="J80867"/>
    </row>
    <row r="80868" spans="10:10" x14ac:dyDescent="0.3">
      <c r="J80868"/>
    </row>
    <row r="80869" spans="10:10" x14ac:dyDescent="0.3">
      <c r="J80869"/>
    </row>
    <row r="80870" spans="10:10" x14ac:dyDescent="0.3">
      <c r="J80870"/>
    </row>
    <row r="80871" spans="10:10" x14ac:dyDescent="0.3">
      <c r="J80871"/>
    </row>
    <row r="80872" spans="10:10" x14ac:dyDescent="0.3">
      <c r="J80872"/>
    </row>
    <row r="80873" spans="10:10" x14ac:dyDescent="0.3">
      <c r="J80873"/>
    </row>
    <row r="80874" spans="10:10" x14ac:dyDescent="0.3">
      <c r="J80874"/>
    </row>
    <row r="80875" spans="10:10" x14ac:dyDescent="0.3">
      <c r="J80875"/>
    </row>
    <row r="80876" spans="10:10" x14ac:dyDescent="0.3">
      <c r="J80876"/>
    </row>
    <row r="80877" spans="10:10" x14ac:dyDescent="0.3">
      <c r="J80877"/>
    </row>
    <row r="80878" spans="10:10" x14ac:dyDescent="0.3">
      <c r="J80878"/>
    </row>
    <row r="80879" spans="10:10" x14ac:dyDescent="0.3">
      <c r="J80879"/>
    </row>
    <row r="80880" spans="10:10" x14ac:dyDescent="0.3">
      <c r="J80880"/>
    </row>
    <row r="80881" spans="10:10" x14ac:dyDescent="0.3">
      <c r="J80881"/>
    </row>
    <row r="80882" spans="10:10" x14ac:dyDescent="0.3">
      <c r="J80882"/>
    </row>
    <row r="80883" spans="10:10" x14ac:dyDescent="0.3">
      <c r="J80883"/>
    </row>
    <row r="80884" spans="10:10" x14ac:dyDescent="0.3">
      <c r="J80884"/>
    </row>
    <row r="80885" spans="10:10" x14ac:dyDescent="0.3">
      <c r="J80885"/>
    </row>
    <row r="80886" spans="10:10" x14ac:dyDescent="0.3">
      <c r="J80886"/>
    </row>
    <row r="80887" spans="10:10" x14ac:dyDescent="0.3">
      <c r="J80887"/>
    </row>
    <row r="80888" spans="10:10" x14ac:dyDescent="0.3">
      <c r="J80888"/>
    </row>
    <row r="80889" spans="10:10" x14ac:dyDescent="0.3">
      <c r="J80889"/>
    </row>
    <row r="80890" spans="10:10" x14ac:dyDescent="0.3">
      <c r="J80890"/>
    </row>
    <row r="80891" spans="10:10" x14ac:dyDescent="0.3">
      <c r="J80891"/>
    </row>
    <row r="80892" spans="10:10" x14ac:dyDescent="0.3">
      <c r="J80892"/>
    </row>
    <row r="80893" spans="10:10" x14ac:dyDescent="0.3">
      <c r="J80893"/>
    </row>
    <row r="80894" spans="10:10" x14ac:dyDescent="0.3">
      <c r="J80894"/>
    </row>
    <row r="80895" spans="10:10" x14ac:dyDescent="0.3">
      <c r="J80895"/>
    </row>
    <row r="80896" spans="10:10" x14ac:dyDescent="0.3">
      <c r="J80896"/>
    </row>
    <row r="80897" spans="10:10" x14ac:dyDescent="0.3">
      <c r="J80897"/>
    </row>
    <row r="80898" spans="10:10" x14ac:dyDescent="0.3">
      <c r="J80898"/>
    </row>
    <row r="80899" spans="10:10" x14ac:dyDescent="0.3">
      <c r="J80899"/>
    </row>
    <row r="80900" spans="10:10" x14ac:dyDescent="0.3">
      <c r="J80900"/>
    </row>
    <row r="80901" spans="10:10" x14ac:dyDescent="0.3">
      <c r="J80901"/>
    </row>
    <row r="80902" spans="10:10" x14ac:dyDescent="0.3">
      <c r="J80902"/>
    </row>
    <row r="80903" spans="10:10" x14ac:dyDescent="0.3">
      <c r="J80903"/>
    </row>
    <row r="80904" spans="10:10" x14ac:dyDescent="0.3">
      <c r="J80904"/>
    </row>
    <row r="80905" spans="10:10" x14ac:dyDescent="0.3">
      <c r="J80905"/>
    </row>
    <row r="80906" spans="10:10" x14ac:dyDescent="0.3">
      <c r="J80906"/>
    </row>
    <row r="80907" spans="10:10" x14ac:dyDescent="0.3">
      <c r="J80907"/>
    </row>
    <row r="80908" spans="10:10" x14ac:dyDescent="0.3">
      <c r="J80908"/>
    </row>
    <row r="80909" spans="10:10" x14ac:dyDescent="0.3">
      <c r="J80909"/>
    </row>
    <row r="80910" spans="10:10" x14ac:dyDescent="0.3">
      <c r="J80910"/>
    </row>
    <row r="80911" spans="10:10" x14ac:dyDescent="0.3">
      <c r="J80911"/>
    </row>
    <row r="80912" spans="10:10" x14ac:dyDescent="0.3">
      <c r="J80912"/>
    </row>
    <row r="80913" spans="10:10" x14ac:dyDescent="0.3">
      <c r="J80913"/>
    </row>
    <row r="80914" spans="10:10" x14ac:dyDescent="0.3">
      <c r="J80914"/>
    </row>
    <row r="80915" spans="10:10" x14ac:dyDescent="0.3">
      <c r="J80915"/>
    </row>
    <row r="80916" spans="10:10" x14ac:dyDescent="0.3">
      <c r="J80916"/>
    </row>
    <row r="80917" spans="10:10" x14ac:dyDescent="0.3">
      <c r="J80917"/>
    </row>
    <row r="80918" spans="10:10" x14ac:dyDescent="0.3">
      <c r="J80918"/>
    </row>
    <row r="80919" spans="10:10" x14ac:dyDescent="0.3">
      <c r="J80919"/>
    </row>
    <row r="80920" spans="10:10" x14ac:dyDescent="0.3">
      <c r="J80920"/>
    </row>
    <row r="80921" spans="10:10" x14ac:dyDescent="0.3">
      <c r="J80921"/>
    </row>
    <row r="80922" spans="10:10" x14ac:dyDescent="0.3">
      <c r="J80922"/>
    </row>
    <row r="80923" spans="10:10" x14ac:dyDescent="0.3">
      <c r="J80923"/>
    </row>
    <row r="80924" spans="10:10" x14ac:dyDescent="0.3">
      <c r="J80924"/>
    </row>
    <row r="80925" spans="10:10" x14ac:dyDescent="0.3">
      <c r="J80925"/>
    </row>
    <row r="80926" spans="10:10" x14ac:dyDescent="0.3">
      <c r="J80926"/>
    </row>
    <row r="80927" spans="10:10" x14ac:dyDescent="0.3">
      <c r="J80927"/>
    </row>
    <row r="80928" spans="10:10" x14ac:dyDescent="0.3">
      <c r="J80928"/>
    </row>
    <row r="80929" spans="10:10" x14ac:dyDescent="0.3">
      <c r="J80929"/>
    </row>
    <row r="80930" spans="10:10" x14ac:dyDescent="0.3">
      <c r="J80930"/>
    </row>
    <row r="80931" spans="10:10" x14ac:dyDescent="0.3">
      <c r="J80931"/>
    </row>
    <row r="80932" spans="10:10" x14ac:dyDescent="0.3">
      <c r="J80932"/>
    </row>
    <row r="80933" spans="10:10" x14ac:dyDescent="0.3">
      <c r="J80933"/>
    </row>
    <row r="80934" spans="10:10" x14ac:dyDescent="0.3">
      <c r="J80934"/>
    </row>
    <row r="80935" spans="10:10" x14ac:dyDescent="0.3">
      <c r="J80935"/>
    </row>
    <row r="80936" spans="10:10" x14ac:dyDescent="0.3">
      <c r="J80936"/>
    </row>
    <row r="80937" spans="10:10" x14ac:dyDescent="0.3">
      <c r="J80937"/>
    </row>
    <row r="80938" spans="10:10" x14ac:dyDescent="0.3">
      <c r="J80938"/>
    </row>
    <row r="80939" spans="10:10" x14ac:dyDescent="0.3">
      <c r="J80939"/>
    </row>
    <row r="80940" spans="10:10" x14ac:dyDescent="0.3">
      <c r="J80940"/>
    </row>
    <row r="80941" spans="10:10" x14ac:dyDescent="0.3">
      <c r="J80941"/>
    </row>
    <row r="80942" spans="10:10" x14ac:dyDescent="0.3">
      <c r="J80942"/>
    </row>
    <row r="80943" spans="10:10" x14ac:dyDescent="0.3">
      <c r="J80943"/>
    </row>
    <row r="80944" spans="10:10" x14ac:dyDescent="0.3">
      <c r="J80944"/>
    </row>
    <row r="80945" spans="10:10" x14ac:dyDescent="0.3">
      <c r="J80945"/>
    </row>
    <row r="80946" spans="10:10" x14ac:dyDescent="0.3">
      <c r="J80946"/>
    </row>
    <row r="80947" spans="10:10" x14ac:dyDescent="0.3">
      <c r="J80947"/>
    </row>
    <row r="80948" spans="10:10" x14ac:dyDescent="0.3">
      <c r="J80948"/>
    </row>
    <row r="80949" spans="10:10" x14ac:dyDescent="0.3">
      <c r="J80949"/>
    </row>
    <row r="80950" spans="10:10" x14ac:dyDescent="0.3">
      <c r="J80950"/>
    </row>
    <row r="80951" spans="10:10" x14ac:dyDescent="0.3">
      <c r="J80951"/>
    </row>
    <row r="80952" spans="10:10" x14ac:dyDescent="0.3">
      <c r="J80952"/>
    </row>
    <row r="80953" spans="10:10" x14ac:dyDescent="0.3">
      <c r="J80953"/>
    </row>
    <row r="80954" spans="10:10" x14ac:dyDescent="0.3">
      <c r="J80954"/>
    </row>
    <row r="80955" spans="10:10" x14ac:dyDescent="0.3">
      <c r="J80955"/>
    </row>
    <row r="80956" spans="10:10" x14ac:dyDescent="0.3">
      <c r="J80956"/>
    </row>
    <row r="80957" spans="10:10" x14ac:dyDescent="0.3">
      <c r="J80957"/>
    </row>
    <row r="80958" spans="10:10" x14ac:dyDescent="0.3">
      <c r="J80958"/>
    </row>
    <row r="80959" spans="10:10" x14ac:dyDescent="0.3">
      <c r="J80959"/>
    </row>
    <row r="80960" spans="10:10" x14ac:dyDescent="0.3">
      <c r="J80960"/>
    </row>
    <row r="80961" spans="10:10" x14ac:dyDescent="0.3">
      <c r="J80961"/>
    </row>
    <row r="80962" spans="10:10" x14ac:dyDescent="0.3">
      <c r="J80962"/>
    </row>
    <row r="80963" spans="10:10" x14ac:dyDescent="0.3">
      <c r="J80963"/>
    </row>
    <row r="80964" spans="10:10" x14ac:dyDescent="0.3">
      <c r="J80964"/>
    </row>
    <row r="80965" spans="10:10" x14ac:dyDescent="0.3">
      <c r="J80965"/>
    </row>
    <row r="80966" spans="10:10" x14ac:dyDescent="0.3">
      <c r="J80966"/>
    </row>
    <row r="80967" spans="10:10" x14ac:dyDescent="0.3">
      <c r="J80967"/>
    </row>
    <row r="80968" spans="10:10" x14ac:dyDescent="0.3">
      <c r="J80968"/>
    </row>
    <row r="80969" spans="10:10" x14ac:dyDescent="0.3">
      <c r="J80969"/>
    </row>
    <row r="80970" spans="10:10" x14ac:dyDescent="0.3">
      <c r="J80970"/>
    </row>
    <row r="80971" spans="10:10" x14ac:dyDescent="0.3">
      <c r="J80971"/>
    </row>
    <row r="80972" spans="10:10" x14ac:dyDescent="0.3">
      <c r="J80972"/>
    </row>
    <row r="80973" spans="10:10" x14ac:dyDescent="0.3">
      <c r="J80973"/>
    </row>
    <row r="80974" spans="10:10" x14ac:dyDescent="0.3">
      <c r="J80974"/>
    </row>
    <row r="80975" spans="10:10" x14ac:dyDescent="0.3">
      <c r="J80975"/>
    </row>
    <row r="80976" spans="10:10" x14ac:dyDescent="0.3">
      <c r="J80976"/>
    </row>
    <row r="80977" spans="10:10" x14ac:dyDescent="0.3">
      <c r="J80977"/>
    </row>
    <row r="80978" spans="10:10" x14ac:dyDescent="0.3">
      <c r="J80978"/>
    </row>
    <row r="80979" spans="10:10" x14ac:dyDescent="0.3">
      <c r="J80979"/>
    </row>
    <row r="80980" spans="10:10" x14ac:dyDescent="0.3">
      <c r="J80980"/>
    </row>
    <row r="80981" spans="10:10" x14ac:dyDescent="0.3">
      <c r="J80981"/>
    </row>
    <row r="80982" spans="10:10" x14ac:dyDescent="0.3">
      <c r="J80982"/>
    </row>
    <row r="80983" spans="10:10" x14ac:dyDescent="0.3">
      <c r="J80983"/>
    </row>
    <row r="80984" spans="10:10" x14ac:dyDescent="0.3">
      <c r="J80984"/>
    </row>
    <row r="80985" spans="10:10" x14ac:dyDescent="0.3">
      <c r="J80985"/>
    </row>
    <row r="80986" spans="10:10" x14ac:dyDescent="0.3">
      <c r="J80986"/>
    </row>
    <row r="80987" spans="10:10" x14ac:dyDescent="0.3">
      <c r="J80987"/>
    </row>
    <row r="80988" spans="10:10" x14ac:dyDescent="0.3">
      <c r="J80988"/>
    </row>
    <row r="80989" spans="10:10" x14ac:dyDescent="0.3">
      <c r="J80989"/>
    </row>
    <row r="80990" spans="10:10" x14ac:dyDescent="0.3">
      <c r="J80990"/>
    </row>
    <row r="80991" spans="10:10" x14ac:dyDescent="0.3">
      <c r="J80991"/>
    </row>
    <row r="80992" spans="10:10" x14ac:dyDescent="0.3">
      <c r="J80992"/>
    </row>
    <row r="80993" spans="10:10" x14ac:dyDescent="0.3">
      <c r="J80993"/>
    </row>
    <row r="80994" spans="10:10" x14ac:dyDescent="0.3">
      <c r="J80994"/>
    </row>
    <row r="80995" spans="10:10" x14ac:dyDescent="0.3">
      <c r="J80995"/>
    </row>
    <row r="80996" spans="10:10" x14ac:dyDescent="0.3">
      <c r="J80996"/>
    </row>
    <row r="80997" spans="10:10" x14ac:dyDescent="0.3">
      <c r="J80997"/>
    </row>
    <row r="80998" spans="10:10" x14ac:dyDescent="0.3">
      <c r="J80998"/>
    </row>
    <row r="80999" spans="10:10" x14ac:dyDescent="0.3">
      <c r="J80999"/>
    </row>
    <row r="81000" spans="10:10" x14ac:dyDescent="0.3">
      <c r="J81000"/>
    </row>
    <row r="81001" spans="10:10" x14ac:dyDescent="0.3">
      <c r="J81001"/>
    </row>
    <row r="81002" spans="10:10" x14ac:dyDescent="0.3">
      <c r="J81002"/>
    </row>
    <row r="81003" spans="10:10" x14ac:dyDescent="0.3">
      <c r="J81003"/>
    </row>
    <row r="81004" spans="10:10" x14ac:dyDescent="0.3">
      <c r="J81004"/>
    </row>
    <row r="81005" spans="10:10" x14ac:dyDescent="0.3">
      <c r="J81005"/>
    </row>
    <row r="81006" spans="10:10" x14ac:dyDescent="0.3">
      <c r="J81006"/>
    </row>
    <row r="81007" spans="10:10" x14ac:dyDescent="0.3">
      <c r="J81007"/>
    </row>
    <row r="81008" spans="10:10" x14ac:dyDescent="0.3">
      <c r="J81008"/>
    </row>
    <row r="81009" spans="10:10" x14ac:dyDescent="0.3">
      <c r="J81009"/>
    </row>
    <row r="81010" spans="10:10" x14ac:dyDescent="0.3">
      <c r="J81010"/>
    </row>
    <row r="81011" spans="10:10" x14ac:dyDescent="0.3">
      <c r="J81011"/>
    </row>
    <row r="81012" spans="10:10" x14ac:dyDescent="0.3">
      <c r="J81012"/>
    </row>
    <row r="81013" spans="10:10" x14ac:dyDescent="0.3">
      <c r="J81013"/>
    </row>
    <row r="81014" spans="10:10" x14ac:dyDescent="0.3">
      <c r="J81014"/>
    </row>
    <row r="81015" spans="10:10" x14ac:dyDescent="0.3">
      <c r="J81015"/>
    </row>
    <row r="81016" spans="10:10" x14ac:dyDescent="0.3">
      <c r="J81016"/>
    </row>
    <row r="81017" spans="10:10" x14ac:dyDescent="0.3">
      <c r="J81017"/>
    </row>
    <row r="81018" spans="10:10" x14ac:dyDescent="0.3">
      <c r="J81018"/>
    </row>
    <row r="81019" spans="10:10" x14ac:dyDescent="0.3">
      <c r="J81019"/>
    </row>
    <row r="81020" spans="10:10" x14ac:dyDescent="0.3">
      <c r="J81020"/>
    </row>
    <row r="81021" spans="10:10" x14ac:dyDescent="0.3">
      <c r="J81021"/>
    </row>
    <row r="81022" spans="10:10" x14ac:dyDescent="0.3">
      <c r="J81022"/>
    </row>
    <row r="81023" spans="10:10" x14ac:dyDescent="0.3">
      <c r="J81023"/>
    </row>
    <row r="81024" spans="10:10" x14ac:dyDescent="0.3">
      <c r="J81024"/>
    </row>
    <row r="81025" spans="10:10" x14ac:dyDescent="0.3">
      <c r="J81025"/>
    </row>
    <row r="81026" spans="10:10" x14ac:dyDescent="0.3">
      <c r="J81026"/>
    </row>
    <row r="81027" spans="10:10" x14ac:dyDescent="0.3">
      <c r="J81027"/>
    </row>
    <row r="81028" spans="10:10" x14ac:dyDescent="0.3">
      <c r="J81028"/>
    </row>
    <row r="81029" spans="10:10" x14ac:dyDescent="0.3">
      <c r="J81029"/>
    </row>
    <row r="81030" spans="10:10" x14ac:dyDescent="0.3">
      <c r="J81030"/>
    </row>
    <row r="81031" spans="10:10" x14ac:dyDescent="0.3">
      <c r="J81031"/>
    </row>
    <row r="81032" spans="10:10" x14ac:dyDescent="0.3">
      <c r="J81032"/>
    </row>
    <row r="81033" spans="10:10" x14ac:dyDescent="0.3">
      <c r="J81033"/>
    </row>
    <row r="81034" spans="10:10" x14ac:dyDescent="0.3">
      <c r="J81034"/>
    </row>
    <row r="81035" spans="10:10" x14ac:dyDescent="0.3">
      <c r="J81035"/>
    </row>
    <row r="81036" spans="10:10" x14ac:dyDescent="0.3">
      <c r="J81036"/>
    </row>
    <row r="81037" spans="10:10" x14ac:dyDescent="0.3">
      <c r="J81037"/>
    </row>
    <row r="81038" spans="10:10" x14ac:dyDescent="0.3">
      <c r="J81038"/>
    </row>
    <row r="81039" spans="10:10" x14ac:dyDescent="0.3">
      <c r="J81039"/>
    </row>
    <row r="81040" spans="10:10" x14ac:dyDescent="0.3">
      <c r="J81040"/>
    </row>
    <row r="81041" spans="10:10" x14ac:dyDescent="0.3">
      <c r="J81041"/>
    </row>
    <row r="81042" spans="10:10" x14ac:dyDescent="0.3">
      <c r="J81042"/>
    </row>
    <row r="81043" spans="10:10" x14ac:dyDescent="0.3">
      <c r="J81043"/>
    </row>
    <row r="81044" spans="10:10" x14ac:dyDescent="0.3">
      <c r="J81044"/>
    </row>
    <row r="81045" spans="10:10" x14ac:dyDescent="0.3">
      <c r="J81045"/>
    </row>
    <row r="81046" spans="10:10" x14ac:dyDescent="0.3">
      <c r="J81046"/>
    </row>
    <row r="81047" spans="10:10" x14ac:dyDescent="0.3">
      <c r="J81047"/>
    </row>
    <row r="81048" spans="10:10" x14ac:dyDescent="0.3">
      <c r="J81048"/>
    </row>
    <row r="81049" spans="10:10" x14ac:dyDescent="0.3">
      <c r="J81049"/>
    </row>
    <row r="81050" spans="10:10" x14ac:dyDescent="0.3">
      <c r="J81050"/>
    </row>
    <row r="81051" spans="10:10" x14ac:dyDescent="0.3">
      <c r="J81051"/>
    </row>
    <row r="81052" spans="10:10" x14ac:dyDescent="0.3">
      <c r="J81052"/>
    </row>
    <row r="81053" spans="10:10" x14ac:dyDescent="0.3">
      <c r="J81053"/>
    </row>
    <row r="81054" spans="10:10" x14ac:dyDescent="0.3">
      <c r="J81054"/>
    </row>
    <row r="81055" spans="10:10" x14ac:dyDescent="0.3">
      <c r="J81055"/>
    </row>
    <row r="81056" spans="10:10" x14ac:dyDescent="0.3">
      <c r="J81056"/>
    </row>
    <row r="81057" spans="10:10" x14ac:dyDescent="0.3">
      <c r="J81057"/>
    </row>
    <row r="81058" spans="10:10" x14ac:dyDescent="0.3">
      <c r="J81058"/>
    </row>
    <row r="81059" spans="10:10" x14ac:dyDescent="0.3">
      <c r="J81059"/>
    </row>
    <row r="81060" spans="10:10" x14ac:dyDescent="0.3">
      <c r="J81060"/>
    </row>
    <row r="81061" spans="10:10" x14ac:dyDescent="0.3">
      <c r="J81061"/>
    </row>
    <row r="81062" spans="10:10" x14ac:dyDescent="0.3">
      <c r="J81062"/>
    </row>
    <row r="81063" spans="10:10" x14ac:dyDescent="0.3">
      <c r="J81063"/>
    </row>
    <row r="81064" spans="10:10" x14ac:dyDescent="0.3">
      <c r="J81064"/>
    </row>
    <row r="81065" spans="10:10" x14ac:dyDescent="0.3">
      <c r="J81065"/>
    </row>
    <row r="81066" spans="10:10" x14ac:dyDescent="0.3">
      <c r="J81066"/>
    </row>
    <row r="81067" spans="10:10" x14ac:dyDescent="0.3">
      <c r="J81067"/>
    </row>
    <row r="81068" spans="10:10" x14ac:dyDescent="0.3">
      <c r="J81068"/>
    </row>
    <row r="81069" spans="10:10" x14ac:dyDescent="0.3">
      <c r="J81069"/>
    </row>
    <row r="81070" spans="10:10" x14ac:dyDescent="0.3">
      <c r="J81070"/>
    </row>
    <row r="81071" spans="10:10" x14ac:dyDescent="0.3">
      <c r="J81071"/>
    </row>
    <row r="81072" spans="10:10" x14ac:dyDescent="0.3">
      <c r="J81072"/>
    </row>
    <row r="81073" spans="10:10" x14ac:dyDescent="0.3">
      <c r="J81073"/>
    </row>
    <row r="81074" spans="10:10" x14ac:dyDescent="0.3">
      <c r="J81074"/>
    </row>
    <row r="81075" spans="10:10" x14ac:dyDescent="0.3">
      <c r="J81075"/>
    </row>
    <row r="81076" spans="10:10" x14ac:dyDescent="0.3">
      <c r="J81076"/>
    </row>
    <row r="81077" spans="10:10" x14ac:dyDescent="0.3">
      <c r="J81077"/>
    </row>
    <row r="81078" spans="10:10" x14ac:dyDescent="0.3">
      <c r="J81078"/>
    </row>
    <row r="81079" spans="10:10" x14ac:dyDescent="0.3">
      <c r="J81079"/>
    </row>
    <row r="81080" spans="10:10" x14ac:dyDescent="0.3">
      <c r="J81080"/>
    </row>
    <row r="81081" spans="10:10" x14ac:dyDescent="0.3">
      <c r="J81081"/>
    </row>
    <row r="81082" spans="10:10" x14ac:dyDescent="0.3">
      <c r="J81082"/>
    </row>
    <row r="81083" spans="10:10" x14ac:dyDescent="0.3">
      <c r="J81083"/>
    </row>
    <row r="81084" spans="10:10" x14ac:dyDescent="0.3">
      <c r="J81084"/>
    </row>
    <row r="81085" spans="10:10" x14ac:dyDescent="0.3">
      <c r="J81085"/>
    </row>
    <row r="81086" spans="10:10" x14ac:dyDescent="0.3">
      <c r="J81086"/>
    </row>
    <row r="81087" spans="10:10" x14ac:dyDescent="0.3">
      <c r="J81087"/>
    </row>
    <row r="81088" spans="10:10" x14ac:dyDescent="0.3">
      <c r="J81088"/>
    </row>
    <row r="81089" spans="10:10" x14ac:dyDescent="0.3">
      <c r="J81089"/>
    </row>
    <row r="81090" spans="10:10" x14ac:dyDescent="0.3">
      <c r="J81090"/>
    </row>
    <row r="81091" spans="10:10" x14ac:dyDescent="0.3">
      <c r="J81091"/>
    </row>
    <row r="81092" spans="10:10" x14ac:dyDescent="0.3">
      <c r="J81092"/>
    </row>
    <row r="81093" spans="10:10" x14ac:dyDescent="0.3">
      <c r="J81093"/>
    </row>
    <row r="81094" spans="10:10" x14ac:dyDescent="0.3">
      <c r="J81094"/>
    </row>
    <row r="81095" spans="10:10" x14ac:dyDescent="0.3">
      <c r="J81095"/>
    </row>
    <row r="81096" spans="10:10" x14ac:dyDescent="0.3">
      <c r="J81096"/>
    </row>
    <row r="81097" spans="10:10" x14ac:dyDescent="0.3">
      <c r="J81097"/>
    </row>
    <row r="81098" spans="10:10" x14ac:dyDescent="0.3">
      <c r="J81098"/>
    </row>
    <row r="81099" spans="10:10" x14ac:dyDescent="0.3">
      <c r="J81099"/>
    </row>
    <row r="81100" spans="10:10" x14ac:dyDescent="0.3">
      <c r="J81100"/>
    </row>
    <row r="81101" spans="10:10" x14ac:dyDescent="0.3">
      <c r="J81101"/>
    </row>
    <row r="81102" spans="10:10" x14ac:dyDescent="0.3">
      <c r="J81102"/>
    </row>
    <row r="81103" spans="10:10" x14ac:dyDescent="0.3">
      <c r="J81103"/>
    </row>
    <row r="81104" spans="10:10" x14ac:dyDescent="0.3">
      <c r="J81104"/>
    </row>
    <row r="81105" spans="10:10" x14ac:dyDescent="0.3">
      <c r="J81105"/>
    </row>
    <row r="81106" spans="10:10" x14ac:dyDescent="0.3">
      <c r="J81106"/>
    </row>
    <row r="81107" spans="10:10" x14ac:dyDescent="0.3">
      <c r="J81107"/>
    </row>
    <row r="81108" spans="10:10" x14ac:dyDescent="0.3">
      <c r="J81108"/>
    </row>
    <row r="81109" spans="10:10" x14ac:dyDescent="0.3">
      <c r="J81109"/>
    </row>
    <row r="81110" spans="10:10" x14ac:dyDescent="0.3">
      <c r="J81110"/>
    </row>
    <row r="81111" spans="10:10" x14ac:dyDescent="0.3">
      <c r="J81111"/>
    </row>
    <row r="81112" spans="10:10" x14ac:dyDescent="0.3">
      <c r="J81112"/>
    </row>
    <row r="81113" spans="10:10" x14ac:dyDescent="0.3">
      <c r="J81113"/>
    </row>
    <row r="81114" spans="10:10" x14ac:dyDescent="0.3">
      <c r="J81114"/>
    </row>
    <row r="81115" spans="10:10" x14ac:dyDescent="0.3">
      <c r="J81115"/>
    </row>
    <row r="81116" spans="10:10" x14ac:dyDescent="0.3">
      <c r="J81116"/>
    </row>
    <row r="81117" spans="10:10" x14ac:dyDescent="0.3">
      <c r="J81117"/>
    </row>
    <row r="81118" spans="10:10" x14ac:dyDescent="0.3">
      <c r="J81118"/>
    </row>
    <row r="81119" spans="10:10" x14ac:dyDescent="0.3">
      <c r="J81119"/>
    </row>
    <row r="81120" spans="10:10" x14ac:dyDescent="0.3">
      <c r="J81120"/>
    </row>
    <row r="81121" spans="10:10" x14ac:dyDescent="0.3">
      <c r="J81121"/>
    </row>
    <row r="81122" spans="10:10" x14ac:dyDescent="0.3">
      <c r="J81122"/>
    </row>
    <row r="81123" spans="10:10" x14ac:dyDescent="0.3">
      <c r="J81123"/>
    </row>
    <row r="81124" spans="10:10" x14ac:dyDescent="0.3">
      <c r="J81124"/>
    </row>
    <row r="81125" spans="10:10" x14ac:dyDescent="0.3">
      <c r="J81125"/>
    </row>
    <row r="81126" spans="10:10" x14ac:dyDescent="0.3">
      <c r="J81126"/>
    </row>
    <row r="81127" spans="10:10" x14ac:dyDescent="0.3">
      <c r="J81127"/>
    </row>
    <row r="81128" spans="10:10" x14ac:dyDescent="0.3">
      <c r="J81128"/>
    </row>
    <row r="81129" spans="10:10" x14ac:dyDescent="0.3">
      <c r="J81129"/>
    </row>
    <row r="81130" spans="10:10" x14ac:dyDescent="0.3">
      <c r="J81130"/>
    </row>
    <row r="81131" spans="10:10" x14ac:dyDescent="0.3">
      <c r="J81131"/>
    </row>
    <row r="81132" spans="10:10" x14ac:dyDescent="0.3">
      <c r="J81132"/>
    </row>
    <row r="81133" spans="10:10" x14ac:dyDescent="0.3">
      <c r="J81133"/>
    </row>
    <row r="81134" spans="10:10" x14ac:dyDescent="0.3">
      <c r="J81134"/>
    </row>
    <row r="81135" spans="10:10" x14ac:dyDescent="0.3">
      <c r="J81135"/>
    </row>
    <row r="81136" spans="10:10" x14ac:dyDescent="0.3">
      <c r="J81136"/>
    </row>
    <row r="81137" spans="10:10" x14ac:dyDescent="0.3">
      <c r="J81137"/>
    </row>
    <row r="81138" spans="10:10" x14ac:dyDescent="0.3">
      <c r="J81138"/>
    </row>
    <row r="81139" spans="10:10" x14ac:dyDescent="0.3">
      <c r="J81139"/>
    </row>
    <row r="81140" spans="10:10" x14ac:dyDescent="0.3">
      <c r="J81140"/>
    </row>
    <row r="81141" spans="10:10" x14ac:dyDescent="0.3">
      <c r="J81141"/>
    </row>
    <row r="81142" spans="10:10" x14ac:dyDescent="0.3">
      <c r="J81142"/>
    </row>
    <row r="81143" spans="10:10" x14ac:dyDescent="0.3">
      <c r="J81143"/>
    </row>
    <row r="81144" spans="10:10" x14ac:dyDescent="0.3">
      <c r="J81144"/>
    </row>
    <row r="81145" spans="10:10" x14ac:dyDescent="0.3">
      <c r="J81145"/>
    </row>
    <row r="81146" spans="10:10" x14ac:dyDescent="0.3">
      <c r="J81146"/>
    </row>
    <row r="81147" spans="10:10" x14ac:dyDescent="0.3">
      <c r="J81147"/>
    </row>
    <row r="81148" spans="10:10" x14ac:dyDescent="0.3">
      <c r="J81148"/>
    </row>
    <row r="81149" spans="10:10" x14ac:dyDescent="0.3">
      <c r="J81149"/>
    </row>
    <row r="81150" spans="10:10" x14ac:dyDescent="0.3">
      <c r="J81150"/>
    </row>
    <row r="81151" spans="10:10" x14ac:dyDescent="0.3">
      <c r="J81151"/>
    </row>
    <row r="81152" spans="10:10" x14ac:dyDescent="0.3">
      <c r="J81152"/>
    </row>
    <row r="81153" spans="10:10" x14ac:dyDescent="0.3">
      <c r="J81153"/>
    </row>
    <row r="81154" spans="10:10" x14ac:dyDescent="0.3">
      <c r="J81154"/>
    </row>
    <row r="81155" spans="10:10" x14ac:dyDescent="0.3">
      <c r="J81155"/>
    </row>
    <row r="81156" spans="10:10" x14ac:dyDescent="0.3">
      <c r="J81156"/>
    </row>
    <row r="81157" spans="10:10" x14ac:dyDescent="0.3">
      <c r="J81157"/>
    </row>
    <row r="81158" spans="10:10" x14ac:dyDescent="0.3">
      <c r="J81158"/>
    </row>
    <row r="81159" spans="10:10" x14ac:dyDescent="0.3">
      <c r="J81159"/>
    </row>
    <row r="81160" spans="10:10" x14ac:dyDescent="0.3">
      <c r="J81160"/>
    </row>
    <row r="81161" spans="10:10" x14ac:dyDescent="0.3">
      <c r="J81161"/>
    </row>
    <row r="81162" spans="10:10" x14ac:dyDescent="0.3">
      <c r="J81162"/>
    </row>
    <row r="81163" spans="10:10" x14ac:dyDescent="0.3">
      <c r="J81163"/>
    </row>
    <row r="81164" spans="10:10" x14ac:dyDescent="0.3">
      <c r="J81164"/>
    </row>
    <row r="81165" spans="10:10" x14ac:dyDescent="0.3">
      <c r="J81165"/>
    </row>
    <row r="81166" spans="10:10" x14ac:dyDescent="0.3">
      <c r="J81166"/>
    </row>
    <row r="81167" spans="10:10" x14ac:dyDescent="0.3">
      <c r="J81167"/>
    </row>
    <row r="81168" spans="10:10" x14ac:dyDescent="0.3">
      <c r="J81168"/>
    </row>
    <row r="81169" spans="10:10" x14ac:dyDescent="0.3">
      <c r="J81169"/>
    </row>
    <row r="81170" spans="10:10" x14ac:dyDescent="0.3">
      <c r="J81170"/>
    </row>
    <row r="81171" spans="10:10" x14ac:dyDescent="0.3">
      <c r="J81171"/>
    </row>
    <row r="81172" spans="10:10" x14ac:dyDescent="0.3">
      <c r="J81172"/>
    </row>
    <row r="81173" spans="10:10" x14ac:dyDescent="0.3">
      <c r="J81173"/>
    </row>
    <row r="81174" spans="10:10" x14ac:dyDescent="0.3">
      <c r="J81174"/>
    </row>
    <row r="81175" spans="10:10" x14ac:dyDescent="0.3">
      <c r="J81175"/>
    </row>
    <row r="81176" spans="10:10" x14ac:dyDescent="0.3">
      <c r="J81176"/>
    </row>
    <row r="81177" spans="10:10" x14ac:dyDescent="0.3">
      <c r="J81177"/>
    </row>
    <row r="81178" spans="10:10" x14ac:dyDescent="0.3">
      <c r="J81178"/>
    </row>
    <row r="81179" spans="10:10" x14ac:dyDescent="0.3">
      <c r="J81179"/>
    </row>
    <row r="81180" spans="10:10" x14ac:dyDescent="0.3">
      <c r="J81180"/>
    </row>
    <row r="81181" spans="10:10" x14ac:dyDescent="0.3">
      <c r="J81181"/>
    </row>
    <row r="81182" spans="10:10" x14ac:dyDescent="0.3">
      <c r="J81182"/>
    </row>
    <row r="81183" spans="10:10" x14ac:dyDescent="0.3">
      <c r="J81183"/>
    </row>
    <row r="81184" spans="10:10" x14ac:dyDescent="0.3">
      <c r="J81184"/>
    </row>
    <row r="81185" spans="10:10" x14ac:dyDescent="0.3">
      <c r="J81185"/>
    </row>
    <row r="81186" spans="10:10" x14ac:dyDescent="0.3">
      <c r="J81186"/>
    </row>
    <row r="81187" spans="10:10" x14ac:dyDescent="0.3">
      <c r="J81187"/>
    </row>
    <row r="81188" spans="10:10" x14ac:dyDescent="0.3">
      <c r="J81188"/>
    </row>
    <row r="81189" spans="10:10" x14ac:dyDescent="0.3">
      <c r="J81189"/>
    </row>
    <row r="81190" spans="10:10" x14ac:dyDescent="0.3">
      <c r="J81190"/>
    </row>
    <row r="81191" spans="10:10" x14ac:dyDescent="0.3">
      <c r="J81191"/>
    </row>
    <row r="81192" spans="10:10" x14ac:dyDescent="0.3">
      <c r="J81192"/>
    </row>
    <row r="81193" spans="10:10" x14ac:dyDescent="0.3">
      <c r="J81193"/>
    </row>
    <row r="81194" spans="10:10" x14ac:dyDescent="0.3">
      <c r="J81194"/>
    </row>
    <row r="81195" spans="10:10" x14ac:dyDescent="0.3">
      <c r="J81195"/>
    </row>
    <row r="81196" spans="10:10" x14ac:dyDescent="0.3">
      <c r="J81196"/>
    </row>
    <row r="81197" spans="10:10" x14ac:dyDescent="0.3">
      <c r="J81197"/>
    </row>
    <row r="81198" spans="10:10" x14ac:dyDescent="0.3">
      <c r="J81198"/>
    </row>
    <row r="81199" spans="10:10" x14ac:dyDescent="0.3">
      <c r="J81199"/>
    </row>
    <row r="81200" spans="10:10" x14ac:dyDescent="0.3">
      <c r="J81200"/>
    </row>
    <row r="81201" spans="10:10" x14ac:dyDescent="0.3">
      <c r="J81201"/>
    </row>
    <row r="81202" spans="10:10" x14ac:dyDescent="0.3">
      <c r="J81202"/>
    </row>
    <row r="81203" spans="10:10" x14ac:dyDescent="0.3">
      <c r="J81203"/>
    </row>
    <row r="81204" spans="10:10" x14ac:dyDescent="0.3">
      <c r="J81204"/>
    </row>
    <row r="81205" spans="10:10" x14ac:dyDescent="0.3">
      <c r="J81205"/>
    </row>
    <row r="81206" spans="10:10" x14ac:dyDescent="0.3">
      <c r="J81206"/>
    </row>
    <row r="81207" spans="10:10" x14ac:dyDescent="0.3">
      <c r="J81207"/>
    </row>
    <row r="81208" spans="10:10" x14ac:dyDescent="0.3">
      <c r="J81208"/>
    </row>
    <row r="81209" spans="10:10" x14ac:dyDescent="0.3">
      <c r="J81209"/>
    </row>
    <row r="81210" spans="10:10" x14ac:dyDescent="0.3">
      <c r="J81210"/>
    </row>
    <row r="81211" spans="10:10" x14ac:dyDescent="0.3">
      <c r="J81211"/>
    </row>
    <row r="81212" spans="10:10" x14ac:dyDescent="0.3">
      <c r="J81212"/>
    </row>
    <row r="81213" spans="10:10" x14ac:dyDescent="0.3">
      <c r="J81213"/>
    </row>
    <row r="81214" spans="10:10" x14ac:dyDescent="0.3">
      <c r="J81214"/>
    </row>
    <row r="81215" spans="10:10" x14ac:dyDescent="0.3">
      <c r="J81215"/>
    </row>
    <row r="81216" spans="10:10" x14ac:dyDescent="0.3">
      <c r="J81216"/>
    </row>
    <row r="81217" spans="10:10" x14ac:dyDescent="0.3">
      <c r="J81217"/>
    </row>
    <row r="81218" spans="10:10" x14ac:dyDescent="0.3">
      <c r="J81218"/>
    </row>
    <row r="81219" spans="10:10" x14ac:dyDescent="0.3">
      <c r="J81219"/>
    </row>
    <row r="81220" spans="10:10" x14ac:dyDescent="0.3">
      <c r="J81220"/>
    </row>
    <row r="81221" spans="10:10" x14ac:dyDescent="0.3">
      <c r="J81221"/>
    </row>
    <row r="81222" spans="10:10" x14ac:dyDescent="0.3">
      <c r="J81222"/>
    </row>
    <row r="81223" spans="10:10" x14ac:dyDescent="0.3">
      <c r="J81223"/>
    </row>
    <row r="81224" spans="10:10" x14ac:dyDescent="0.3">
      <c r="J81224"/>
    </row>
    <row r="81225" spans="10:10" x14ac:dyDescent="0.3">
      <c r="J81225"/>
    </row>
    <row r="81226" spans="10:10" x14ac:dyDescent="0.3">
      <c r="J81226"/>
    </row>
    <row r="81227" spans="10:10" x14ac:dyDescent="0.3">
      <c r="J81227"/>
    </row>
    <row r="81228" spans="10:10" x14ac:dyDescent="0.3">
      <c r="J81228"/>
    </row>
    <row r="81229" spans="10:10" x14ac:dyDescent="0.3">
      <c r="J81229"/>
    </row>
    <row r="81230" spans="10:10" x14ac:dyDescent="0.3">
      <c r="J81230"/>
    </row>
    <row r="81231" spans="10:10" x14ac:dyDescent="0.3">
      <c r="J81231"/>
    </row>
    <row r="81232" spans="10:10" x14ac:dyDescent="0.3">
      <c r="J81232"/>
    </row>
    <row r="81233" spans="10:10" x14ac:dyDescent="0.3">
      <c r="J81233"/>
    </row>
    <row r="81234" spans="10:10" x14ac:dyDescent="0.3">
      <c r="J81234"/>
    </row>
    <row r="81235" spans="10:10" x14ac:dyDescent="0.3">
      <c r="J81235"/>
    </row>
    <row r="81236" spans="10:10" x14ac:dyDescent="0.3">
      <c r="J81236"/>
    </row>
    <row r="81237" spans="10:10" x14ac:dyDescent="0.3">
      <c r="J81237"/>
    </row>
    <row r="81238" spans="10:10" x14ac:dyDescent="0.3">
      <c r="J81238"/>
    </row>
    <row r="81239" spans="10:10" x14ac:dyDescent="0.3">
      <c r="J81239"/>
    </row>
    <row r="81240" spans="10:10" x14ac:dyDescent="0.3">
      <c r="J81240"/>
    </row>
    <row r="81241" spans="10:10" x14ac:dyDescent="0.3">
      <c r="J81241"/>
    </row>
    <row r="81242" spans="10:10" x14ac:dyDescent="0.3">
      <c r="J81242"/>
    </row>
    <row r="81243" spans="10:10" x14ac:dyDescent="0.3">
      <c r="J81243"/>
    </row>
    <row r="81244" spans="10:10" x14ac:dyDescent="0.3">
      <c r="J81244"/>
    </row>
    <row r="81245" spans="10:10" x14ac:dyDescent="0.3">
      <c r="J81245"/>
    </row>
    <row r="81246" spans="10:10" x14ac:dyDescent="0.3">
      <c r="J81246"/>
    </row>
    <row r="81247" spans="10:10" x14ac:dyDescent="0.3">
      <c r="J81247"/>
    </row>
    <row r="81248" spans="10:10" x14ac:dyDescent="0.3">
      <c r="J81248"/>
    </row>
    <row r="81249" spans="10:10" x14ac:dyDescent="0.3">
      <c r="J81249"/>
    </row>
    <row r="81250" spans="10:10" x14ac:dyDescent="0.3">
      <c r="J81250"/>
    </row>
    <row r="81251" spans="10:10" x14ac:dyDescent="0.3">
      <c r="J81251"/>
    </row>
    <row r="81252" spans="10:10" x14ac:dyDescent="0.3">
      <c r="J81252"/>
    </row>
    <row r="81253" spans="10:10" x14ac:dyDescent="0.3">
      <c r="J81253"/>
    </row>
    <row r="81254" spans="10:10" x14ac:dyDescent="0.3">
      <c r="J81254"/>
    </row>
    <row r="81255" spans="10:10" x14ac:dyDescent="0.3">
      <c r="J81255"/>
    </row>
    <row r="81256" spans="10:10" x14ac:dyDescent="0.3">
      <c r="J81256"/>
    </row>
    <row r="81257" spans="10:10" x14ac:dyDescent="0.3">
      <c r="J81257"/>
    </row>
    <row r="81258" spans="10:10" x14ac:dyDescent="0.3">
      <c r="J81258"/>
    </row>
    <row r="81259" spans="10:10" x14ac:dyDescent="0.3">
      <c r="J81259"/>
    </row>
    <row r="81260" spans="10:10" x14ac:dyDescent="0.3">
      <c r="J81260"/>
    </row>
    <row r="81261" spans="10:10" x14ac:dyDescent="0.3">
      <c r="J81261"/>
    </row>
    <row r="81262" spans="10:10" x14ac:dyDescent="0.3">
      <c r="J81262"/>
    </row>
    <row r="81263" spans="10:10" x14ac:dyDescent="0.3">
      <c r="J81263"/>
    </row>
    <row r="81264" spans="10:10" x14ac:dyDescent="0.3">
      <c r="J81264"/>
    </row>
    <row r="81265" spans="10:10" x14ac:dyDescent="0.3">
      <c r="J81265"/>
    </row>
    <row r="81266" spans="10:10" x14ac:dyDescent="0.3">
      <c r="J81266"/>
    </row>
    <row r="81267" spans="10:10" x14ac:dyDescent="0.3">
      <c r="J81267"/>
    </row>
    <row r="81268" spans="10:10" x14ac:dyDescent="0.3">
      <c r="J81268"/>
    </row>
    <row r="81269" spans="10:10" x14ac:dyDescent="0.3">
      <c r="J81269"/>
    </row>
    <row r="81270" spans="10:10" x14ac:dyDescent="0.3">
      <c r="J81270"/>
    </row>
    <row r="81271" spans="10:10" x14ac:dyDescent="0.3">
      <c r="J81271"/>
    </row>
    <row r="81272" spans="10:10" x14ac:dyDescent="0.3">
      <c r="J81272"/>
    </row>
    <row r="81273" spans="10:10" x14ac:dyDescent="0.3">
      <c r="J81273"/>
    </row>
    <row r="81274" spans="10:10" x14ac:dyDescent="0.3">
      <c r="J81274"/>
    </row>
    <row r="81275" spans="10:10" x14ac:dyDescent="0.3">
      <c r="J81275"/>
    </row>
    <row r="81276" spans="10:10" x14ac:dyDescent="0.3">
      <c r="J81276"/>
    </row>
    <row r="81277" spans="10:10" x14ac:dyDescent="0.3">
      <c r="J81277"/>
    </row>
    <row r="81278" spans="10:10" x14ac:dyDescent="0.3">
      <c r="J81278"/>
    </row>
    <row r="81279" spans="10:10" x14ac:dyDescent="0.3">
      <c r="J81279"/>
    </row>
    <row r="81280" spans="10:10" x14ac:dyDescent="0.3">
      <c r="J81280"/>
    </row>
    <row r="81281" spans="10:10" x14ac:dyDescent="0.3">
      <c r="J81281"/>
    </row>
    <row r="81282" spans="10:10" x14ac:dyDescent="0.3">
      <c r="J81282"/>
    </row>
    <row r="81283" spans="10:10" x14ac:dyDescent="0.3">
      <c r="J81283"/>
    </row>
    <row r="81284" spans="10:10" x14ac:dyDescent="0.3">
      <c r="J81284"/>
    </row>
    <row r="81285" spans="10:10" x14ac:dyDescent="0.3">
      <c r="J81285"/>
    </row>
    <row r="81286" spans="10:10" x14ac:dyDescent="0.3">
      <c r="J81286"/>
    </row>
    <row r="81287" spans="10:10" x14ac:dyDescent="0.3">
      <c r="J81287"/>
    </row>
    <row r="81288" spans="10:10" x14ac:dyDescent="0.3">
      <c r="J81288"/>
    </row>
    <row r="81289" spans="10:10" x14ac:dyDescent="0.3">
      <c r="J81289"/>
    </row>
    <row r="81290" spans="10:10" x14ac:dyDescent="0.3">
      <c r="J81290"/>
    </row>
    <row r="81291" spans="10:10" x14ac:dyDescent="0.3">
      <c r="J81291"/>
    </row>
    <row r="81292" spans="10:10" x14ac:dyDescent="0.3">
      <c r="J81292"/>
    </row>
    <row r="81293" spans="10:10" x14ac:dyDescent="0.3">
      <c r="J81293"/>
    </row>
    <row r="81294" spans="10:10" x14ac:dyDescent="0.3">
      <c r="J81294"/>
    </row>
    <row r="81295" spans="10:10" x14ac:dyDescent="0.3">
      <c r="J81295"/>
    </row>
    <row r="81296" spans="10:10" x14ac:dyDescent="0.3">
      <c r="J81296"/>
    </row>
    <row r="81297" spans="10:10" x14ac:dyDescent="0.3">
      <c r="J81297"/>
    </row>
    <row r="81298" spans="10:10" x14ac:dyDescent="0.3">
      <c r="J81298"/>
    </row>
    <row r="81299" spans="10:10" x14ac:dyDescent="0.3">
      <c r="J81299"/>
    </row>
    <row r="81300" spans="10:10" x14ac:dyDescent="0.3">
      <c r="J81300"/>
    </row>
    <row r="81301" spans="10:10" x14ac:dyDescent="0.3">
      <c r="J81301"/>
    </row>
    <row r="81302" spans="10:10" x14ac:dyDescent="0.3">
      <c r="J81302"/>
    </row>
    <row r="81303" spans="10:10" x14ac:dyDescent="0.3">
      <c r="J81303"/>
    </row>
    <row r="81304" spans="10:10" x14ac:dyDescent="0.3">
      <c r="J81304"/>
    </row>
    <row r="81305" spans="10:10" x14ac:dyDescent="0.3">
      <c r="J81305"/>
    </row>
    <row r="81306" spans="10:10" x14ac:dyDescent="0.3">
      <c r="J81306"/>
    </row>
    <row r="81307" spans="10:10" x14ac:dyDescent="0.3">
      <c r="J81307"/>
    </row>
    <row r="81308" spans="10:10" x14ac:dyDescent="0.3">
      <c r="J81308"/>
    </row>
    <row r="81309" spans="10:10" x14ac:dyDescent="0.3">
      <c r="J81309"/>
    </row>
    <row r="81310" spans="10:10" x14ac:dyDescent="0.3">
      <c r="J81310"/>
    </row>
    <row r="81311" spans="10:10" x14ac:dyDescent="0.3">
      <c r="J81311"/>
    </row>
    <row r="81312" spans="10:10" x14ac:dyDescent="0.3">
      <c r="J81312"/>
    </row>
    <row r="81313" spans="10:10" x14ac:dyDescent="0.3">
      <c r="J81313"/>
    </row>
    <row r="81314" spans="10:10" x14ac:dyDescent="0.3">
      <c r="J81314"/>
    </row>
    <row r="81315" spans="10:10" x14ac:dyDescent="0.3">
      <c r="J81315"/>
    </row>
    <row r="81316" spans="10:10" x14ac:dyDescent="0.3">
      <c r="J81316"/>
    </row>
    <row r="81317" spans="10:10" x14ac:dyDescent="0.3">
      <c r="J81317"/>
    </row>
    <row r="81318" spans="10:10" x14ac:dyDescent="0.3">
      <c r="J81318"/>
    </row>
    <row r="81319" spans="10:10" x14ac:dyDescent="0.3">
      <c r="J81319"/>
    </row>
    <row r="81320" spans="10:10" x14ac:dyDescent="0.3">
      <c r="J81320"/>
    </row>
    <row r="81321" spans="10:10" x14ac:dyDescent="0.3">
      <c r="J81321"/>
    </row>
    <row r="81322" spans="10:10" x14ac:dyDescent="0.3">
      <c r="J81322"/>
    </row>
    <row r="81323" spans="10:10" x14ac:dyDescent="0.3">
      <c r="J81323"/>
    </row>
    <row r="81324" spans="10:10" x14ac:dyDescent="0.3">
      <c r="J81324"/>
    </row>
    <row r="81325" spans="10:10" x14ac:dyDescent="0.3">
      <c r="J81325"/>
    </row>
    <row r="81326" spans="10:10" x14ac:dyDescent="0.3">
      <c r="J81326"/>
    </row>
    <row r="81327" spans="10:10" x14ac:dyDescent="0.3">
      <c r="J81327"/>
    </row>
    <row r="81328" spans="10:10" x14ac:dyDescent="0.3">
      <c r="J81328"/>
    </row>
    <row r="81329" spans="10:10" x14ac:dyDescent="0.3">
      <c r="J81329"/>
    </row>
    <row r="81330" spans="10:10" x14ac:dyDescent="0.3">
      <c r="J81330"/>
    </row>
    <row r="81331" spans="10:10" x14ac:dyDescent="0.3">
      <c r="J81331"/>
    </row>
    <row r="81332" spans="10:10" x14ac:dyDescent="0.3">
      <c r="J81332"/>
    </row>
    <row r="81333" spans="10:10" x14ac:dyDescent="0.3">
      <c r="J81333"/>
    </row>
    <row r="81334" spans="10:10" x14ac:dyDescent="0.3">
      <c r="J81334"/>
    </row>
    <row r="81335" spans="10:10" x14ac:dyDescent="0.3">
      <c r="J81335"/>
    </row>
    <row r="81336" spans="10:10" x14ac:dyDescent="0.3">
      <c r="J81336"/>
    </row>
    <row r="81337" spans="10:10" x14ac:dyDescent="0.3">
      <c r="J81337"/>
    </row>
    <row r="81338" spans="10:10" x14ac:dyDescent="0.3">
      <c r="J81338"/>
    </row>
    <row r="81339" spans="10:10" x14ac:dyDescent="0.3">
      <c r="J81339"/>
    </row>
    <row r="81340" spans="10:10" x14ac:dyDescent="0.3">
      <c r="J81340"/>
    </row>
    <row r="81341" spans="10:10" x14ac:dyDescent="0.3">
      <c r="J81341"/>
    </row>
    <row r="81342" spans="10:10" x14ac:dyDescent="0.3">
      <c r="J81342"/>
    </row>
    <row r="81343" spans="10:10" x14ac:dyDescent="0.3">
      <c r="J81343"/>
    </row>
    <row r="81344" spans="10:10" x14ac:dyDescent="0.3">
      <c r="J81344"/>
    </row>
    <row r="81345" spans="10:10" x14ac:dyDescent="0.3">
      <c r="J81345"/>
    </row>
    <row r="81346" spans="10:10" x14ac:dyDescent="0.3">
      <c r="J81346"/>
    </row>
    <row r="81347" spans="10:10" x14ac:dyDescent="0.3">
      <c r="J81347"/>
    </row>
    <row r="81348" spans="10:10" x14ac:dyDescent="0.3">
      <c r="J81348"/>
    </row>
    <row r="81349" spans="10:10" x14ac:dyDescent="0.3">
      <c r="J81349"/>
    </row>
    <row r="81350" spans="10:10" x14ac:dyDescent="0.3">
      <c r="J81350"/>
    </row>
    <row r="81351" spans="10:10" x14ac:dyDescent="0.3">
      <c r="J81351"/>
    </row>
    <row r="81352" spans="10:10" x14ac:dyDescent="0.3">
      <c r="J81352"/>
    </row>
    <row r="81353" spans="10:10" x14ac:dyDescent="0.3">
      <c r="J81353"/>
    </row>
    <row r="81354" spans="10:10" x14ac:dyDescent="0.3">
      <c r="J81354"/>
    </row>
    <row r="81355" spans="10:10" x14ac:dyDescent="0.3">
      <c r="J81355"/>
    </row>
    <row r="81356" spans="10:10" x14ac:dyDescent="0.3">
      <c r="J81356"/>
    </row>
    <row r="81357" spans="10:10" x14ac:dyDescent="0.3">
      <c r="J81357"/>
    </row>
    <row r="81358" spans="10:10" x14ac:dyDescent="0.3">
      <c r="J81358"/>
    </row>
    <row r="81359" spans="10:10" x14ac:dyDescent="0.3">
      <c r="J81359"/>
    </row>
    <row r="81360" spans="10:10" x14ac:dyDescent="0.3">
      <c r="J81360"/>
    </row>
    <row r="81361" spans="10:10" x14ac:dyDescent="0.3">
      <c r="J81361"/>
    </row>
    <row r="81362" spans="10:10" x14ac:dyDescent="0.3">
      <c r="J81362"/>
    </row>
    <row r="81363" spans="10:10" x14ac:dyDescent="0.3">
      <c r="J81363"/>
    </row>
    <row r="81364" spans="10:10" x14ac:dyDescent="0.3">
      <c r="J81364"/>
    </row>
    <row r="81365" spans="10:10" x14ac:dyDescent="0.3">
      <c r="J81365"/>
    </row>
    <row r="81366" spans="10:10" x14ac:dyDescent="0.3">
      <c r="J81366"/>
    </row>
    <row r="81367" spans="10:10" x14ac:dyDescent="0.3">
      <c r="J81367"/>
    </row>
    <row r="81368" spans="10:10" x14ac:dyDescent="0.3">
      <c r="J81368"/>
    </row>
    <row r="81369" spans="10:10" x14ac:dyDescent="0.3">
      <c r="J81369"/>
    </row>
    <row r="81370" spans="10:10" x14ac:dyDescent="0.3">
      <c r="J81370"/>
    </row>
    <row r="81371" spans="10:10" x14ac:dyDescent="0.3">
      <c r="J81371"/>
    </row>
    <row r="81372" spans="10:10" x14ac:dyDescent="0.3">
      <c r="J81372"/>
    </row>
    <row r="81373" spans="10:10" x14ac:dyDescent="0.3">
      <c r="J81373"/>
    </row>
    <row r="81374" spans="10:10" x14ac:dyDescent="0.3">
      <c r="J81374"/>
    </row>
    <row r="81375" spans="10:10" x14ac:dyDescent="0.3">
      <c r="J81375"/>
    </row>
    <row r="81376" spans="10:10" x14ac:dyDescent="0.3">
      <c r="J81376"/>
    </row>
    <row r="81377" spans="10:10" x14ac:dyDescent="0.3">
      <c r="J81377"/>
    </row>
    <row r="81378" spans="10:10" x14ac:dyDescent="0.3">
      <c r="J81378"/>
    </row>
    <row r="81379" spans="10:10" x14ac:dyDescent="0.3">
      <c r="J81379"/>
    </row>
    <row r="81380" spans="10:10" x14ac:dyDescent="0.3">
      <c r="J81380"/>
    </row>
    <row r="81381" spans="10:10" x14ac:dyDescent="0.3">
      <c r="J81381"/>
    </row>
    <row r="81382" spans="10:10" x14ac:dyDescent="0.3">
      <c r="J81382"/>
    </row>
    <row r="81383" spans="10:10" x14ac:dyDescent="0.3">
      <c r="J81383"/>
    </row>
    <row r="81384" spans="10:10" x14ac:dyDescent="0.3">
      <c r="J81384"/>
    </row>
    <row r="81385" spans="10:10" x14ac:dyDescent="0.3">
      <c r="J81385"/>
    </row>
    <row r="81386" spans="10:10" x14ac:dyDescent="0.3">
      <c r="J81386"/>
    </row>
    <row r="81387" spans="10:10" x14ac:dyDescent="0.3">
      <c r="J81387"/>
    </row>
    <row r="81388" spans="10:10" x14ac:dyDescent="0.3">
      <c r="J81388"/>
    </row>
    <row r="81389" spans="10:10" x14ac:dyDescent="0.3">
      <c r="J81389"/>
    </row>
    <row r="81390" spans="10:10" x14ac:dyDescent="0.3">
      <c r="J81390"/>
    </row>
    <row r="81391" spans="10:10" x14ac:dyDescent="0.3">
      <c r="J81391"/>
    </row>
    <row r="81392" spans="10:10" x14ac:dyDescent="0.3">
      <c r="J81392"/>
    </row>
    <row r="81393" spans="10:10" x14ac:dyDescent="0.3">
      <c r="J81393"/>
    </row>
    <row r="81394" spans="10:10" x14ac:dyDescent="0.3">
      <c r="J81394"/>
    </row>
    <row r="81395" spans="10:10" x14ac:dyDescent="0.3">
      <c r="J81395"/>
    </row>
    <row r="81396" spans="10:10" x14ac:dyDescent="0.3">
      <c r="J81396"/>
    </row>
    <row r="81397" spans="10:10" x14ac:dyDescent="0.3">
      <c r="J81397"/>
    </row>
    <row r="81398" spans="10:10" x14ac:dyDescent="0.3">
      <c r="J81398"/>
    </row>
    <row r="81399" spans="10:10" x14ac:dyDescent="0.3">
      <c r="J81399"/>
    </row>
    <row r="81400" spans="10:10" x14ac:dyDescent="0.3">
      <c r="J81400"/>
    </row>
    <row r="81401" spans="10:10" x14ac:dyDescent="0.3">
      <c r="J81401"/>
    </row>
    <row r="81402" spans="10:10" x14ac:dyDescent="0.3">
      <c r="J81402"/>
    </row>
    <row r="81403" spans="10:10" x14ac:dyDescent="0.3">
      <c r="J81403"/>
    </row>
    <row r="81404" spans="10:10" x14ac:dyDescent="0.3">
      <c r="J81404"/>
    </row>
    <row r="81405" spans="10:10" x14ac:dyDescent="0.3">
      <c r="J81405"/>
    </row>
    <row r="81406" spans="10:10" x14ac:dyDescent="0.3">
      <c r="J81406"/>
    </row>
    <row r="81407" spans="10:10" x14ac:dyDescent="0.3">
      <c r="J81407"/>
    </row>
    <row r="81408" spans="10:10" x14ac:dyDescent="0.3">
      <c r="J81408"/>
    </row>
    <row r="81409" spans="10:10" x14ac:dyDescent="0.3">
      <c r="J81409"/>
    </row>
    <row r="81410" spans="10:10" x14ac:dyDescent="0.3">
      <c r="J81410"/>
    </row>
    <row r="81411" spans="10:10" x14ac:dyDescent="0.3">
      <c r="J81411"/>
    </row>
    <row r="81412" spans="10:10" x14ac:dyDescent="0.3">
      <c r="J81412"/>
    </row>
    <row r="81413" spans="10:10" x14ac:dyDescent="0.3">
      <c r="J81413"/>
    </row>
    <row r="81414" spans="10:10" x14ac:dyDescent="0.3">
      <c r="J81414"/>
    </row>
    <row r="81415" spans="10:10" x14ac:dyDescent="0.3">
      <c r="J81415"/>
    </row>
    <row r="81416" spans="10:10" x14ac:dyDescent="0.3">
      <c r="J81416"/>
    </row>
    <row r="81417" spans="10:10" x14ac:dyDescent="0.3">
      <c r="J81417"/>
    </row>
    <row r="81418" spans="10:10" x14ac:dyDescent="0.3">
      <c r="J81418"/>
    </row>
    <row r="81419" spans="10:10" x14ac:dyDescent="0.3">
      <c r="J81419"/>
    </row>
    <row r="81420" spans="10:10" x14ac:dyDescent="0.3">
      <c r="J81420"/>
    </row>
    <row r="81421" spans="10:10" x14ac:dyDescent="0.3">
      <c r="J81421"/>
    </row>
    <row r="81422" spans="10:10" x14ac:dyDescent="0.3">
      <c r="J81422"/>
    </row>
    <row r="81423" spans="10:10" x14ac:dyDescent="0.3">
      <c r="J81423"/>
    </row>
    <row r="81424" spans="10:10" x14ac:dyDescent="0.3">
      <c r="J81424"/>
    </row>
    <row r="81425" spans="10:10" x14ac:dyDescent="0.3">
      <c r="J81425"/>
    </row>
    <row r="81426" spans="10:10" x14ac:dyDescent="0.3">
      <c r="J81426"/>
    </row>
    <row r="81427" spans="10:10" x14ac:dyDescent="0.3">
      <c r="J81427"/>
    </row>
    <row r="81428" spans="10:10" x14ac:dyDescent="0.3">
      <c r="J81428"/>
    </row>
    <row r="81429" spans="10:10" x14ac:dyDescent="0.3">
      <c r="J81429"/>
    </row>
    <row r="81430" spans="10:10" x14ac:dyDescent="0.3">
      <c r="J81430"/>
    </row>
    <row r="81431" spans="10:10" x14ac:dyDescent="0.3">
      <c r="J81431"/>
    </row>
    <row r="81432" spans="10:10" x14ac:dyDescent="0.3">
      <c r="J81432"/>
    </row>
    <row r="81433" spans="10:10" x14ac:dyDescent="0.3">
      <c r="J81433"/>
    </row>
    <row r="81434" spans="10:10" x14ac:dyDescent="0.3">
      <c r="J81434"/>
    </row>
    <row r="81435" spans="10:10" x14ac:dyDescent="0.3">
      <c r="J81435"/>
    </row>
    <row r="81436" spans="10:10" x14ac:dyDescent="0.3">
      <c r="J81436"/>
    </row>
    <row r="81437" spans="10:10" x14ac:dyDescent="0.3">
      <c r="J81437"/>
    </row>
    <row r="81438" spans="10:10" x14ac:dyDescent="0.3">
      <c r="J81438"/>
    </row>
    <row r="81439" spans="10:10" x14ac:dyDescent="0.3">
      <c r="J81439"/>
    </row>
    <row r="81440" spans="10:10" x14ac:dyDescent="0.3">
      <c r="J81440"/>
    </row>
    <row r="81441" spans="10:10" x14ac:dyDescent="0.3">
      <c r="J81441"/>
    </row>
    <row r="81442" spans="10:10" x14ac:dyDescent="0.3">
      <c r="J81442"/>
    </row>
    <row r="81443" spans="10:10" x14ac:dyDescent="0.3">
      <c r="J81443"/>
    </row>
    <row r="81444" spans="10:10" x14ac:dyDescent="0.3">
      <c r="J81444"/>
    </row>
    <row r="81445" spans="10:10" x14ac:dyDescent="0.3">
      <c r="J81445"/>
    </row>
    <row r="81446" spans="10:10" x14ac:dyDescent="0.3">
      <c r="J81446"/>
    </row>
    <row r="81447" spans="10:10" x14ac:dyDescent="0.3">
      <c r="J81447"/>
    </row>
    <row r="81448" spans="10:10" x14ac:dyDescent="0.3">
      <c r="J81448"/>
    </row>
    <row r="81449" spans="10:10" x14ac:dyDescent="0.3">
      <c r="J81449"/>
    </row>
    <row r="81450" spans="10:10" x14ac:dyDescent="0.3">
      <c r="J81450"/>
    </row>
    <row r="81451" spans="10:10" x14ac:dyDescent="0.3">
      <c r="J81451"/>
    </row>
    <row r="81452" spans="10:10" x14ac:dyDescent="0.3">
      <c r="J81452"/>
    </row>
    <row r="81453" spans="10:10" x14ac:dyDescent="0.3">
      <c r="J81453"/>
    </row>
    <row r="81454" spans="10:10" x14ac:dyDescent="0.3">
      <c r="J81454"/>
    </row>
    <row r="81455" spans="10:10" x14ac:dyDescent="0.3">
      <c r="J81455"/>
    </row>
    <row r="81456" spans="10:10" x14ac:dyDescent="0.3">
      <c r="J81456"/>
    </row>
    <row r="81457" spans="10:10" x14ac:dyDescent="0.3">
      <c r="J81457"/>
    </row>
    <row r="81458" spans="10:10" x14ac:dyDescent="0.3">
      <c r="J81458"/>
    </row>
    <row r="81459" spans="10:10" x14ac:dyDescent="0.3">
      <c r="J81459"/>
    </row>
    <row r="81460" spans="10:10" x14ac:dyDescent="0.3">
      <c r="J81460"/>
    </row>
    <row r="81461" spans="10:10" x14ac:dyDescent="0.3">
      <c r="J81461"/>
    </row>
    <row r="81462" spans="10:10" x14ac:dyDescent="0.3">
      <c r="J81462"/>
    </row>
    <row r="81463" spans="10:10" x14ac:dyDescent="0.3">
      <c r="J81463"/>
    </row>
    <row r="81464" spans="10:10" x14ac:dyDescent="0.3">
      <c r="J81464"/>
    </row>
    <row r="81465" spans="10:10" x14ac:dyDescent="0.3">
      <c r="J81465"/>
    </row>
    <row r="81466" spans="10:10" x14ac:dyDescent="0.3">
      <c r="J81466"/>
    </row>
    <row r="81467" spans="10:10" x14ac:dyDescent="0.3">
      <c r="J81467"/>
    </row>
    <row r="81468" spans="10:10" x14ac:dyDescent="0.3">
      <c r="J81468"/>
    </row>
    <row r="81469" spans="10:10" x14ac:dyDescent="0.3">
      <c r="J81469"/>
    </row>
    <row r="81470" spans="10:10" x14ac:dyDescent="0.3">
      <c r="J81470"/>
    </row>
    <row r="81471" spans="10:10" x14ac:dyDescent="0.3">
      <c r="J81471"/>
    </row>
    <row r="81472" spans="10:10" x14ac:dyDescent="0.3">
      <c r="J81472"/>
    </row>
    <row r="81473" spans="10:10" x14ac:dyDescent="0.3">
      <c r="J81473"/>
    </row>
    <row r="81474" spans="10:10" x14ac:dyDescent="0.3">
      <c r="J81474"/>
    </row>
    <row r="81475" spans="10:10" x14ac:dyDescent="0.3">
      <c r="J81475"/>
    </row>
    <row r="81476" spans="10:10" x14ac:dyDescent="0.3">
      <c r="J81476"/>
    </row>
    <row r="81477" spans="10:10" x14ac:dyDescent="0.3">
      <c r="J81477"/>
    </row>
    <row r="81478" spans="10:10" x14ac:dyDescent="0.3">
      <c r="J81478"/>
    </row>
    <row r="81479" spans="10:10" x14ac:dyDescent="0.3">
      <c r="J81479"/>
    </row>
    <row r="81480" spans="10:10" x14ac:dyDescent="0.3">
      <c r="J81480"/>
    </row>
    <row r="81481" spans="10:10" x14ac:dyDescent="0.3">
      <c r="J81481"/>
    </row>
    <row r="81482" spans="10:10" x14ac:dyDescent="0.3">
      <c r="J81482"/>
    </row>
    <row r="81483" spans="10:10" x14ac:dyDescent="0.3">
      <c r="J81483"/>
    </row>
    <row r="81484" spans="10:10" x14ac:dyDescent="0.3">
      <c r="J81484"/>
    </row>
    <row r="81485" spans="10:10" x14ac:dyDescent="0.3">
      <c r="J81485"/>
    </row>
    <row r="81486" spans="10:10" x14ac:dyDescent="0.3">
      <c r="J81486"/>
    </row>
    <row r="81487" spans="10:10" x14ac:dyDescent="0.3">
      <c r="J81487"/>
    </row>
    <row r="81488" spans="10:10" x14ac:dyDescent="0.3">
      <c r="J81488"/>
    </row>
    <row r="81489" spans="10:10" x14ac:dyDescent="0.3">
      <c r="J81489"/>
    </row>
    <row r="81490" spans="10:10" x14ac:dyDescent="0.3">
      <c r="J81490"/>
    </row>
    <row r="81491" spans="10:10" x14ac:dyDescent="0.3">
      <c r="J81491"/>
    </row>
    <row r="81492" spans="10:10" x14ac:dyDescent="0.3">
      <c r="J81492"/>
    </row>
    <row r="81493" spans="10:10" x14ac:dyDescent="0.3">
      <c r="J81493"/>
    </row>
    <row r="81494" spans="10:10" x14ac:dyDescent="0.3">
      <c r="J81494"/>
    </row>
    <row r="81495" spans="10:10" x14ac:dyDescent="0.3">
      <c r="J81495"/>
    </row>
    <row r="81496" spans="10:10" x14ac:dyDescent="0.3">
      <c r="J81496"/>
    </row>
    <row r="81497" spans="10:10" x14ac:dyDescent="0.3">
      <c r="J81497"/>
    </row>
    <row r="81498" spans="10:10" x14ac:dyDescent="0.3">
      <c r="J81498"/>
    </row>
    <row r="81499" spans="10:10" x14ac:dyDescent="0.3">
      <c r="J81499"/>
    </row>
    <row r="81500" spans="10:10" x14ac:dyDescent="0.3">
      <c r="J81500"/>
    </row>
    <row r="81501" spans="10:10" x14ac:dyDescent="0.3">
      <c r="J81501"/>
    </row>
    <row r="81502" spans="10:10" x14ac:dyDescent="0.3">
      <c r="J81502"/>
    </row>
    <row r="81503" spans="10:10" x14ac:dyDescent="0.3">
      <c r="J81503"/>
    </row>
    <row r="81504" spans="10:10" x14ac:dyDescent="0.3">
      <c r="J81504"/>
    </row>
    <row r="81505" spans="10:10" x14ac:dyDescent="0.3">
      <c r="J81505"/>
    </row>
    <row r="81506" spans="10:10" x14ac:dyDescent="0.3">
      <c r="J81506"/>
    </row>
    <row r="81507" spans="10:10" x14ac:dyDescent="0.3">
      <c r="J81507"/>
    </row>
    <row r="81508" spans="10:10" x14ac:dyDescent="0.3">
      <c r="J81508"/>
    </row>
    <row r="81509" spans="10:10" x14ac:dyDescent="0.3">
      <c r="J81509"/>
    </row>
    <row r="81510" spans="10:10" x14ac:dyDescent="0.3">
      <c r="J81510"/>
    </row>
    <row r="81511" spans="10:10" x14ac:dyDescent="0.3">
      <c r="J81511"/>
    </row>
    <row r="81512" spans="10:10" x14ac:dyDescent="0.3">
      <c r="J81512"/>
    </row>
    <row r="81513" spans="10:10" x14ac:dyDescent="0.3">
      <c r="J81513"/>
    </row>
    <row r="81514" spans="10:10" x14ac:dyDescent="0.3">
      <c r="J81514"/>
    </row>
    <row r="81515" spans="10:10" x14ac:dyDescent="0.3">
      <c r="J81515"/>
    </row>
    <row r="81516" spans="10:10" x14ac:dyDescent="0.3">
      <c r="J81516"/>
    </row>
    <row r="81517" spans="10:10" x14ac:dyDescent="0.3">
      <c r="J81517"/>
    </row>
    <row r="81518" spans="10:10" x14ac:dyDescent="0.3">
      <c r="J81518"/>
    </row>
    <row r="81519" spans="10:10" x14ac:dyDescent="0.3">
      <c r="J81519"/>
    </row>
    <row r="81520" spans="10:10" x14ac:dyDescent="0.3">
      <c r="J81520"/>
    </row>
    <row r="81521" spans="10:10" x14ac:dyDescent="0.3">
      <c r="J81521"/>
    </row>
    <row r="81522" spans="10:10" x14ac:dyDescent="0.3">
      <c r="J81522"/>
    </row>
    <row r="81523" spans="10:10" x14ac:dyDescent="0.3">
      <c r="J81523"/>
    </row>
    <row r="81524" spans="10:10" x14ac:dyDescent="0.3">
      <c r="J81524"/>
    </row>
    <row r="81525" spans="10:10" x14ac:dyDescent="0.3">
      <c r="J81525"/>
    </row>
    <row r="81526" spans="10:10" x14ac:dyDescent="0.3">
      <c r="J81526"/>
    </row>
    <row r="81527" spans="10:10" x14ac:dyDescent="0.3">
      <c r="J81527"/>
    </row>
    <row r="81528" spans="10:10" x14ac:dyDescent="0.3">
      <c r="J81528"/>
    </row>
    <row r="81529" spans="10:10" x14ac:dyDescent="0.3">
      <c r="J81529"/>
    </row>
    <row r="81530" spans="10:10" x14ac:dyDescent="0.3">
      <c r="J81530"/>
    </row>
    <row r="81531" spans="10:10" x14ac:dyDescent="0.3">
      <c r="J81531"/>
    </row>
    <row r="81532" spans="10:10" x14ac:dyDescent="0.3">
      <c r="J81532"/>
    </row>
    <row r="81533" spans="10:10" x14ac:dyDescent="0.3">
      <c r="J81533"/>
    </row>
    <row r="81534" spans="10:10" x14ac:dyDescent="0.3">
      <c r="J81534"/>
    </row>
    <row r="81535" spans="10:10" x14ac:dyDescent="0.3">
      <c r="J81535"/>
    </row>
    <row r="81536" spans="10:10" x14ac:dyDescent="0.3">
      <c r="J81536"/>
    </row>
    <row r="81537" spans="10:10" x14ac:dyDescent="0.3">
      <c r="J81537"/>
    </row>
    <row r="81538" spans="10:10" x14ac:dyDescent="0.3">
      <c r="J81538"/>
    </row>
    <row r="81539" spans="10:10" x14ac:dyDescent="0.3">
      <c r="J81539"/>
    </row>
    <row r="81540" spans="10:10" x14ac:dyDescent="0.3">
      <c r="J81540"/>
    </row>
    <row r="81541" spans="10:10" x14ac:dyDescent="0.3">
      <c r="J81541"/>
    </row>
    <row r="81542" spans="10:10" x14ac:dyDescent="0.3">
      <c r="J81542"/>
    </row>
    <row r="81543" spans="10:10" x14ac:dyDescent="0.3">
      <c r="J81543"/>
    </row>
    <row r="81544" spans="10:10" x14ac:dyDescent="0.3">
      <c r="J81544"/>
    </row>
    <row r="81545" spans="10:10" x14ac:dyDescent="0.3">
      <c r="J81545"/>
    </row>
    <row r="81546" spans="10:10" x14ac:dyDescent="0.3">
      <c r="J81546"/>
    </row>
    <row r="81547" spans="10:10" x14ac:dyDescent="0.3">
      <c r="J81547"/>
    </row>
    <row r="81548" spans="10:10" x14ac:dyDescent="0.3">
      <c r="J81548"/>
    </row>
    <row r="81549" spans="10:10" x14ac:dyDescent="0.3">
      <c r="J81549"/>
    </row>
    <row r="81550" spans="10:10" x14ac:dyDescent="0.3">
      <c r="J81550"/>
    </row>
    <row r="81551" spans="10:10" x14ac:dyDescent="0.3">
      <c r="J81551"/>
    </row>
    <row r="81552" spans="10:10" x14ac:dyDescent="0.3">
      <c r="J81552"/>
    </row>
    <row r="81553" spans="10:10" x14ac:dyDescent="0.3">
      <c r="J81553"/>
    </row>
    <row r="81554" spans="10:10" x14ac:dyDescent="0.3">
      <c r="J81554"/>
    </row>
    <row r="81555" spans="10:10" x14ac:dyDescent="0.3">
      <c r="J81555"/>
    </row>
    <row r="81556" spans="10:10" x14ac:dyDescent="0.3">
      <c r="J81556"/>
    </row>
    <row r="81557" spans="10:10" x14ac:dyDescent="0.3">
      <c r="J81557"/>
    </row>
    <row r="81558" spans="10:10" x14ac:dyDescent="0.3">
      <c r="J81558"/>
    </row>
    <row r="81559" spans="10:10" x14ac:dyDescent="0.3">
      <c r="J81559"/>
    </row>
    <row r="81560" spans="10:10" x14ac:dyDescent="0.3">
      <c r="J81560"/>
    </row>
    <row r="81561" spans="10:10" x14ac:dyDescent="0.3">
      <c r="J81561"/>
    </row>
    <row r="81562" spans="10:10" x14ac:dyDescent="0.3">
      <c r="J81562"/>
    </row>
    <row r="81563" spans="10:10" x14ac:dyDescent="0.3">
      <c r="J81563"/>
    </row>
    <row r="81564" spans="10:10" x14ac:dyDescent="0.3">
      <c r="J81564"/>
    </row>
    <row r="81565" spans="10:10" x14ac:dyDescent="0.3">
      <c r="J81565"/>
    </row>
    <row r="81566" spans="10:10" x14ac:dyDescent="0.3">
      <c r="J81566"/>
    </row>
    <row r="81567" spans="10:10" x14ac:dyDescent="0.3">
      <c r="J81567"/>
    </row>
    <row r="81568" spans="10:10" x14ac:dyDescent="0.3">
      <c r="J81568"/>
    </row>
    <row r="81569" spans="10:10" x14ac:dyDescent="0.3">
      <c r="J81569"/>
    </row>
    <row r="81570" spans="10:10" x14ac:dyDescent="0.3">
      <c r="J81570"/>
    </row>
    <row r="81571" spans="10:10" x14ac:dyDescent="0.3">
      <c r="J81571"/>
    </row>
    <row r="81572" spans="10:10" x14ac:dyDescent="0.3">
      <c r="J81572"/>
    </row>
    <row r="81573" spans="10:10" x14ac:dyDescent="0.3">
      <c r="J81573"/>
    </row>
    <row r="81574" spans="10:10" x14ac:dyDescent="0.3">
      <c r="J81574"/>
    </row>
    <row r="81575" spans="10:10" x14ac:dyDescent="0.3">
      <c r="J81575"/>
    </row>
    <row r="81576" spans="10:10" x14ac:dyDescent="0.3">
      <c r="J81576"/>
    </row>
    <row r="81577" spans="10:10" x14ac:dyDescent="0.3">
      <c r="J81577"/>
    </row>
    <row r="81578" spans="10:10" x14ac:dyDescent="0.3">
      <c r="J81578"/>
    </row>
    <row r="81579" spans="10:10" x14ac:dyDescent="0.3">
      <c r="J81579"/>
    </row>
    <row r="81580" spans="10:10" x14ac:dyDescent="0.3">
      <c r="J81580"/>
    </row>
    <row r="81581" spans="10:10" x14ac:dyDescent="0.3">
      <c r="J81581"/>
    </row>
    <row r="81582" spans="10:10" x14ac:dyDescent="0.3">
      <c r="J81582"/>
    </row>
    <row r="81583" spans="10:10" x14ac:dyDescent="0.3">
      <c r="J81583"/>
    </row>
    <row r="81584" spans="10:10" x14ac:dyDescent="0.3">
      <c r="J81584"/>
    </row>
    <row r="81585" spans="10:10" x14ac:dyDescent="0.3">
      <c r="J81585"/>
    </row>
    <row r="81586" spans="10:10" x14ac:dyDescent="0.3">
      <c r="J81586"/>
    </row>
    <row r="81587" spans="10:10" x14ac:dyDescent="0.3">
      <c r="J81587"/>
    </row>
    <row r="81588" spans="10:10" x14ac:dyDescent="0.3">
      <c r="J81588"/>
    </row>
    <row r="81589" spans="10:10" x14ac:dyDescent="0.3">
      <c r="J81589"/>
    </row>
    <row r="81590" spans="10:10" x14ac:dyDescent="0.3">
      <c r="J81590"/>
    </row>
    <row r="81591" spans="10:10" x14ac:dyDescent="0.3">
      <c r="J81591"/>
    </row>
    <row r="81592" spans="10:10" x14ac:dyDescent="0.3">
      <c r="J81592"/>
    </row>
    <row r="81593" spans="10:10" x14ac:dyDescent="0.3">
      <c r="J81593"/>
    </row>
    <row r="81594" spans="10:10" x14ac:dyDescent="0.3">
      <c r="J81594"/>
    </row>
    <row r="81595" spans="10:10" x14ac:dyDescent="0.3">
      <c r="J81595"/>
    </row>
    <row r="81596" spans="10:10" x14ac:dyDescent="0.3">
      <c r="J81596"/>
    </row>
    <row r="81597" spans="10:10" x14ac:dyDescent="0.3">
      <c r="J81597"/>
    </row>
    <row r="81598" spans="10:10" x14ac:dyDescent="0.3">
      <c r="J81598"/>
    </row>
    <row r="81599" spans="10:10" x14ac:dyDescent="0.3">
      <c r="J81599"/>
    </row>
    <row r="81600" spans="10:10" x14ac:dyDescent="0.3">
      <c r="J81600"/>
    </row>
    <row r="81601" spans="10:10" x14ac:dyDescent="0.3">
      <c r="J81601"/>
    </row>
    <row r="81602" spans="10:10" x14ac:dyDescent="0.3">
      <c r="J81602"/>
    </row>
    <row r="81603" spans="10:10" x14ac:dyDescent="0.3">
      <c r="J81603"/>
    </row>
    <row r="81604" spans="10:10" x14ac:dyDescent="0.3">
      <c r="J81604"/>
    </row>
    <row r="81605" spans="10:10" x14ac:dyDescent="0.3">
      <c r="J81605"/>
    </row>
    <row r="81606" spans="10:10" x14ac:dyDescent="0.3">
      <c r="J81606"/>
    </row>
    <row r="81607" spans="10:10" x14ac:dyDescent="0.3">
      <c r="J81607"/>
    </row>
    <row r="81608" spans="10:10" x14ac:dyDescent="0.3">
      <c r="J81608"/>
    </row>
    <row r="81609" spans="10:10" x14ac:dyDescent="0.3">
      <c r="J81609"/>
    </row>
    <row r="81610" spans="10:10" x14ac:dyDescent="0.3">
      <c r="J81610"/>
    </row>
    <row r="81611" spans="10:10" x14ac:dyDescent="0.3">
      <c r="J81611"/>
    </row>
    <row r="81612" spans="10:10" x14ac:dyDescent="0.3">
      <c r="J81612"/>
    </row>
    <row r="81613" spans="10:10" x14ac:dyDescent="0.3">
      <c r="J81613"/>
    </row>
    <row r="81614" spans="10:10" x14ac:dyDescent="0.3">
      <c r="J81614"/>
    </row>
    <row r="81615" spans="10:10" x14ac:dyDescent="0.3">
      <c r="J81615"/>
    </row>
    <row r="81616" spans="10:10" x14ac:dyDescent="0.3">
      <c r="J81616"/>
    </row>
    <row r="81617" spans="10:10" x14ac:dyDescent="0.3">
      <c r="J81617"/>
    </row>
    <row r="81618" spans="10:10" x14ac:dyDescent="0.3">
      <c r="J81618"/>
    </row>
    <row r="81619" spans="10:10" x14ac:dyDescent="0.3">
      <c r="J81619"/>
    </row>
    <row r="81620" spans="10:10" x14ac:dyDescent="0.3">
      <c r="J81620"/>
    </row>
    <row r="81621" spans="10:10" x14ac:dyDescent="0.3">
      <c r="J81621"/>
    </row>
    <row r="81622" spans="10:10" x14ac:dyDescent="0.3">
      <c r="J81622"/>
    </row>
    <row r="81623" spans="10:10" x14ac:dyDescent="0.3">
      <c r="J81623"/>
    </row>
    <row r="81624" spans="10:10" x14ac:dyDescent="0.3">
      <c r="J81624"/>
    </row>
    <row r="81625" spans="10:10" x14ac:dyDescent="0.3">
      <c r="J81625"/>
    </row>
    <row r="81626" spans="10:10" x14ac:dyDescent="0.3">
      <c r="J81626"/>
    </row>
    <row r="81627" spans="10:10" x14ac:dyDescent="0.3">
      <c r="J81627"/>
    </row>
    <row r="81628" spans="10:10" x14ac:dyDescent="0.3">
      <c r="J81628"/>
    </row>
    <row r="81629" spans="10:10" x14ac:dyDescent="0.3">
      <c r="J81629"/>
    </row>
    <row r="81630" spans="10:10" x14ac:dyDescent="0.3">
      <c r="J81630"/>
    </row>
    <row r="81631" spans="10:10" x14ac:dyDescent="0.3">
      <c r="J81631"/>
    </row>
    <row r="81632" spans="10:10" x14ac:dyDescent="0.3">
      <c r="J81632"/>
    </row>
    <row r="81633" spans="10:10" x14ac:dyDescent="0.3">
      <c r="J81633"/>
    </row>
    <row r="81634" spans="10:10" x14ac:dyDescent="0.3">
      <c r="J81634"/>
    </row>
    <row r="81635" spans="10:10" x14ac:dyDescent="0.3">
      <c r="J81635"/>
    </row>
    <row r="81636" spans="10:10" x14ac:dyDescent="0.3">
      <c r="J81636"/>
    </row>
    <row r="81637" spans="10:10" x14ac:dyDescent="0.3">
      <c r="J81637"/>
    </row>
    <row r="81638" spans="10:10" x14ac:dyDescent="0.3">
      <c r="J81638"/>
    </row>
    <row r="81639" spans="10:10" x14ac:dyDescent="0.3">
      <c r="J81639"/>
    </row>
    <row r="81640" spans="10:10" x14ac:dyDescent="0.3">
      <c r="J81640"/>
    </row>
    <row r="81641" spans="10:10" x14ac:dyDescent="0.3">
      <c r="J81641"/>
    </row>
    <row r="81642" spans="10:10" x14ac:dyDescent="0.3">
      <c r="J81642"/>
    </row>
    <row r="81643" spans="10:10" x14ac:dyDescent="0.3">
      <c r="J81643"/>
    </row>
    <row r="81644" spans="10:10" x14ac:dyDescent="0.3">
      <c r="J81644"/>
    </row>
    <row r="81645" spans="10:10" x14ac:dyDescent="0.3">
      <c r="J81645"/>
    </row>
    <row r="81646" spans="10:10" x14ac:dyDescent="0.3">
      <c r="J81646"/>
    </row>
    <row r="81647" spans="10:10" x14ac:dyDescent="0.3">
      <c r="J81647"/>
    </row>
    <row r="81648" spans="10:10" x14ac:dyDescent="0.3">
      <c r="J81648"/>
    </row>
    <row r="81649" spans="10:10" x14ac:dyDescent="0.3">
      <c r="J81649"/>
    </row>
    <row r="81650" spans="10:10" x14ac:dyDescent="0.3">
      <c r="J81650"/>
    </row>
    <row r="81651" spans="10:10" x14ac:dyDescent="0.3">
      <c r="J81651"/>
    </row>
    <row r="81652" spans="10:10" x14ac:dyDescent="0.3">
      <c r="J81652"/>
    </row>
    <row r="81653" spans="10:10" x14ac:dyDescent="0.3">
      <c r="J81653"/>
    </row>
    <row r="81654" spans="10:10" x14ac:dyDescent="0.3">
      <c r="J81654"/>
    </row>
    <row r="81655" spans="10:10" x14ac:dyDescent="0.3">
      <c r="J81655"/>
    </row>
    <row r="81656" spans="10:10" x14ac:dyDescent="0.3">
      <c r="J81656"/>
    </row>
    <row r="81657" spans="10:10" x14ac:dyDescent="0.3">
      <c r="J81657"/>
    </row>
    <row r="81658" spans="10:10" x14ac:dyDescent="0.3">
      <c r="J81658"/>
    </row>
    <row r="81659" spans="10:10" x14ac:dyDescent="0.3">
      <c r="J81659"/>
    </row>
    <row r="81660" spans="10:10" x14ac:dyDescent="0.3">
      <c r="J81660"/>
    </row>
    <row r="81661" spans="10:10" x14ac:dyDescent="0.3">
      <c r="J81661"/>
    </row>
    <row r="81662" spans="10:10" x14ac:dyDescent="0.3">
      <c r="J81662"/>
    </row>
    <row r="81663" spans="10:10" x14ac:dyDescent="0.3">
      <c r="J81663"/>
    </row>
    <row r="81664" spans="10:10" x14ac:dyDescent="0.3">
      <c r="J81664"/>
    </row>
    <row r="81665" spans="10:10" x14ac:dyDescent="0.3">
      <c r="J81665"/>
    </row>
    <row r="81666" spans="10:10" x14ac:dyDescent="0.3">
      <c r="J81666"/>
    </row>
    <row r="81667" spans="10:10" x14ac:dyDescent="0.3">
      <c r="J81667"/>
    </row>
    <row r="81668" spans="10:10" x14ac:dyDescent="0.3">
      <c r="J81668"/>
    </row>
    <row r="81669" spans="10:10" x14ac:dyDescent="0.3">
      <c r="J81669"/>
    </row>
    <row r="81670" spans="10:10" x14ac:dyDescent="0.3">
      <c r="J81670"/>
    </row>
    <row r="81671" spans="10:10" x14ac:dyDescent="0.3">
      <c r="J81671"/>
    </row>
    <row r="81672" spans="10:10" x14ac:dyDescent="0.3">
      <c r="J81672"/>
    </row>
    <row r="81673" spans="10:10" x14ac:dyDescent="0.3">
      <c r="J81673"/>
    </row>
    <row r="81674" spans="10:10" x14ac:dyDescent="0.3">
      <c r="J81674"/>
    </row>
    <row r="81675" spans="10:10" x14ac:dyDescent="0.3">
      <c r="J81675"/>
    </row>
    <row r="81676" spans="10:10" x14ac:dyDescent="0.3">
      <c r="J81676"/>
    </row>
    <row r="81677" spans="10:10" x14ac:dyDescent="0.3">
      <c r="J81677"/>
    </row>
    <row r="81678" spans="10:10" x14ac:dyDescent="0.3">
      <c r="J81678"/>
    </row>
    <row r="81679" spans="10:10" x14ac:dyDescent="0.3">
      <c r="J81679"/>
    </row>
    <row r="81680" spans="10:10" x14ac:dyDescent="0.3">
      <c r="J81680"/>
    </row>
    <row r="81681" spans="10:10" x14ac:dyDescent="0.3">
      <c r="J81681"/>
    </row>
    <row r="81682" spans="10:10" x14ac:dyDescent="0.3">
      <c r="J81682"/>
    </row>
    <row r="81683" spans="10:10" x14ac:dyDescent="0.3">
      <c r="J81683"/>
    </row>
    <row r="81684" spans="10:10" x14ac:dyDescent="0.3">
      <c r="J81684"/>
    </row>
    <row r="81685" spans="10:10" x14ac:dyDescent="0.3">
      <c r="J81685"/>
    </row>
    <row r="81686" spans="10:10" x14ac:dyDescent="0.3">
      <c r="J81686"/>
    </row>
    <row r="81687" spans="10:10" x14ac:dyDescent="0.3">
      <c r="J81687"/>
    </row>
    <row r="81688" spans="10:10" x14ac:dyDescent="0.3">
      <c r="J81688"/>
    </row>
    <row r="81689" spans="10:10" x14ac:dyDescent="0.3">
      <c r="J81689"/>
    </row>
    <row r="81690" spans="10:10" x14ac:dyDescent="0.3">
      <c r="J81690"/>
    </row>
    <row r="81691" spans="10:10" x14ac:dyDescent="0.3">
      <c r="J81691"/>
    </row>
    <row r="81692" spans="10:10" x14ac:dyDescent="0.3">
      <c r="J81692"/>
    </row>
    <row r="81693" spans="10:10" x14ac:dyDescent="0.3">
      <c r="J81693"/>
    </row>
    <row r="81694" spans="10:10" x14ac:dyDescent="0.3">
      <c r="J81694"/>
    </row>
    <row r="81695" spans="10:10" x14ac:dyDescent="0.3">
      <c r="J81695"/>
    </row>
    <row r="81696" spans="10:10" x14ac:dyDescent="0.3">
      <c r="J81696"/>
    </row>
    <row r="81697" spans="10:10" x14ac:dyDescent="0.3">
      <c r="J81697"/>
    </row>
    <row r="81698" spans="10:10" x14ac:dyDescent="0.3">
      <c r="J81698"/>
    </row>
    <row r="81699" spans="10:10" x14ac:dyDescent="0.3">
      <c r="J81699"/>
    </row>
    <row r="81700" spans="10:10" x14ac:dyDescent="0.3">
      <c r="J81700"/>
    </row>
    <row r="81701" spans="10:10" x14ac:dyDescent="0.3">
      <c r="J81701"/>
    </row>
    <row r="81702" spans="10:10" x14ac:dyDescent="0.3">
      <c r="J81702"/>
    </row>
    <row r="81703" spans="10:10" x14ac:dyDescent="0.3">
      <c r="J81703"/>
    </row>
    <row r="81704" spans="10:10" x14ac:dyDescent="0.3">
      <c r="J81704"/>
    </row>
    <row r="81705" spans="10:10" x14ac:dyDescent="0.3">
      <c r="J81705"/>
    </row>
    <row r="81706" spans="10:10" x14ac:dyDescent="0.3">
      <c r="J81706"/>
    </row>
    <row r="81707" spans="10:10" x14ac:dyDescent="0.3">
      <c r="J81707"/>
    </row>
    <row r="81708" spans="10:10" x14ac:dyDescent="0.3">
      <c r="J81708"/>
    </row>
    <row r="81709" spans="10:10" x14ac:dyDescent="0.3">
      <c r="J81709"/>
    </row>
    <row r="81710" spans="10:10" x14ac:dyDescent="0.3">
      <c r="J81710"/>
    </row>
    <row r="81711" spans="10:10" x14ac:dyDescent="0.3">
      <c r="J81711"/>
    </row>
    <row r="81712" spans="10:10" x14ac:dyDescent="0.3">
      <c r="J81712"/>
    </row>
    <row r="81713" spans="10:10" x14ac:dyDescent="0.3">
      <c r="J81713"/>
    </row>
    <row r="81714" spans="10:10" x14ac:dyDescent="0.3">
      <c r="J81714"/>
    </row>
    <row r="81715" spans="10:10" x14ac:dyDescent="0.3">
      <c r="J81715"/>
    </row>
    <row r="81716" spans="10:10" x14ac:dyDescent="0.3">
      <c r="J81716"/>
    </row>
    <row r="81717" spans="10:10" x14ac:dyDescent="0.3">
      <c r="J81717"/>
    </row>
    <row r="81718" spans="10:10" x14ac:dyDescent="0.3">
      <c r="J81718"/>
    </row>
    <row r="81719" spans="10:10" x14ac:dyDescent="0.3">
      <c r="J81719"/>
    </row>
    <row r="81720" spans="10:10" x14ac:dyDescent="0.3">
      <c r="J81720"/>
    </row>
    <row r="81721" spans="10:10" x14ac:dyDescent="0.3">
      <c r="J81721"/>
    </row>
    <row r="81722" spans="10:10" x14ac:dyDescent="0.3">
      <c r="J81722"/>
    </row>
    <row r="81723" spans="10:10" x14ac:dyDescent="0.3">
      <c r="J81723"/>
    </row>
    <row r="81724" spans="10:10" x14ac:dyDescent="0.3">
      <c r="J81724"/>
    </row>
    <row r="81725" spans="10:10" x14ac:dyDescent="0.3">
      <c r="J81725"/>
    </row>
    <row r="81726" spans="10:10" x14ac:dyDescent="0.3">
      <c r="J81726"/>
    </row>
    <row r="81727" spans="10:10" x14ac:dyDescent="0.3">
      <c r="J81727"/>
    </row>
    <row r="81728" spans="10:10" x14ac:dyDescent="0.3">
      <c r="J81728"/>
    </row>
    <row r="81729" spans="10:10" x14ac:dyDescent="0.3">
      <c r="J81729"/>
    </row>
    <row r="81730" spans="10:10" x14ac:dyDescent="0.3">
      <c r="J81730"/>
    </row>
    <row r="81731" spans="10:10" x14ac:dyDescent="0.3">
      <c r="J81731"/>
    </row>
    <row r="81732" spans="10:10" x14ac:dyDescent="0.3">
      <c r="J81732"/>
    </row>
    <row r="81733" spans="10:10" x14ac:dyDescent="0.3">
      <c r="J81733"/>
    </row>
    <row r="81734" spans="10:10" x14ac:dyDescent="0.3">
      <c r="J81734"/>
    </row>
    <row r="81735" spans="10:10" x14ac:dyDescent="0.3">
      <c r="J81735"/>
    </row>
    <row r="81736" spans="10:10" x14ac:dyDescent="0.3">
      <c r="J81736"/>
    </row>
    <row r="81737" spans="10:10" x14ac:dyDescent="0.3">
      <c r="J81737"/>
    </row>
    <row r="81738" spans="10:10" x14ac:dyDescent="0.3">
      <c r="J81738"/>
    </row>
    <row r="81739" spans="10:10" x14ac:dyDescent="0.3">
      <c r="J81739"/>
    </row>
    <row r="81740" spans="10:10" x14ac:dyDescent="0.3">
      <c r="J81740"/>
    </row>
    <row r="81741" spans="10:10" x14ac:dyDescent="0.3">
      <c r="J81741"/>
    </row>
    <row r="81742" spans="10:10" x14ac:dyDescent="0.3">
      <c r="J81742"/>
    </row>
    <row r="81743" spans="10:10" x14ac:dyDescent="0.3">
      <c r="J81743"/>
    </row>
    <row r="81744" spans="10:10" x14ac:dyDescent="0.3">
      <c r="J81744"/>
    </row>
    <row r="81745" spans="10:10" x14ac:dyDescent="0.3">
      <c r="J81745"/>
    </row>
    <row r="81746" spans="10:10" x14ac:dyDescent="0.3">
      <c r="J81746"/>
    </row>
    <row r="81747" spans="10:10" x14ac:dyDescent="0.3">
      <c r="J81747"/>
    </row>
    <row r="81748" spans="10:10" x14ac:dyDescent="0.3">
      <c r="J81748"/>
    </row>
    <row r="81749" spans="10:10" x14ac:dyDescent="0.3">
      <c r="J81749"/>
    </row>
    <row r="81750" spans="10:10" x14ac:dyDescent="0.3">
      <c r="J81750"/>
    </row>
    <row r="81751" spans="10:10" x14ac:dyDescent="0.3">
      <c r="J81751"/>
    </row>
    <row r="81752" spans="10:10" x14ac:dyDescent="0.3">
      <c r="J81752"/>
    </row>
    <row r="81753" spans="10:10" x14ac:dyDescent="0.3">
      <c r="J81753"/>
    </row>
    <row r="81754" spans="10:10" x14ac:dyDescent="0.3">
      <c r="J81754"/>
    </row>
    <row r="81755" spans="10:10" x14ac:dyDescent="0.3">
      <c r="J81755"/>
    </row>
    <row r="81756" spans="10:10" x14ac:dyDescent="0.3">
      <c r="J81756"/>
    </row>
    <row r="81757" spans="10:10" x14ac:dyDescent="0.3">
      <c r="J81757"/>
    </row>
    <row r="81758" spans="10:10" x14ac:dyDescent="0.3">
      <c r="J81758"/>
    </row>
    <row r="81759" spans="10:10" x14ac:dyDescent="0.3">
      <c r="J81759"/>
    </row>
    <row r="81760" spans="10:10" x14ac:dyDescent="0.3">
      <c r="J81760"/>
    </row>
    <row r="81761" spans="10:10" x14ac:dyDescent="0.3">
      <c r="J81761"/>
    </row>
    <row r="81762" spans="10:10" x14ac:dyDescent="0.3">
      <c r="J81762"/>
    </row>
    <row r="81763" spans="10:10" x14ac:dyDescent="0.3">
      <c r="J81763"/>
    </row>
    <row r="81764" spans="10:10" x14ac:dyDescent="0.3">
      <c r="J81764"/>
    </row>
    <row r="81765" spans="10:10" x14ac:dyDescent="0.3">
      <c r="J81765"/>
    </row>
    <row r="81766" spans="10:10" x14ac:dyDescent="0.3">
      <c r="J81766"/>
    </row>
    <row r="81767" spans="10:10" x14ac:dyDescent="0.3">
      <c r="J81767"/>
    </row>
    <row r="81768" spans="10:10" x14ac:dyDescent="0.3">
      <c r="J81768"/>
    </row>
    <row r="81769" spans="10:10" x14ac:dyDescent="0.3">
      <c r="J81769"/>
    </row>
    <row r="81770" spans="10:10" x14ac:dyDescent="0.3">
      <c r="J81770"/>
    </row>
    <row r="81771" spans="10:10" x14ac:dyDescent="0.3">
      <c r="J81771"/>
    </row>
    <row r="81772" spans="10:10" x14ac:dyDescent="0.3">
      <c r="J81772"/>
    </row>
    <row r="81773" spans="10:10" x14ac:dyDescent="0.3">
      <c r="J81773"/>
    </row>
    <row r="81774" spans="10:10" x14ac:dyDescent="0.3">
      <c r="J81774"/>
    </row>
    <row r="81775" spans="10:10" x14ac:dyDescent="0.3">
      <c r="J81775"/>
    </row>
    <row r="81776" spans="10:10" x14ac:dyDescent="0.3">
      <c r="J81776"/>
    </row>
    <row r="81777" spans="10:10" x14ac:dyDescent="0.3">
      <c r="J81777"/>
    </row>
    <row r="81778" spans="10:10" x14ac:dyDescent="0.3">
      <c r="J81778"/>
    </row>
    <row r="81779" spans="10:10" x14ac:dyDescent="0.3">
      <c r="J81779"/>
    </row>
    <row r="81780" spans="10:10" x14ac:dyDescent="0.3">
      <c r="J81780"/>
    </row>
    <row r="81781" spans="10:10" x14ac:dyDescent="0.3">
      <c r="J81781"/>
    </row>
    <row r="81782" spans="10:10" x14ac:dyDescent="0.3">
      <c r="J81782"/>
    </row>
    <row r="81783" spans="10:10" x14ac:dyDescent="0.3">
      <c r="J81783"/>
    </row>
    <row r="81784" spans="10:10" x14ac:dyDescent="0.3">
      <c r="J81784"/>
    </row>
    <row r="81785" spans="10:10" x14ac:dyDescent="0.3">
      <c r="J81785"/>
    </row>
    <row r="81786" spans="10:10" x14ac:dyDescent="0.3">
      <c r="J81786"/>
    </row>
    <row r="81787" spans="10:10" x14ac:dyDescent="0.3">
      <c r="J81787"/>
    </row>
    <row r="81788" spans="10:10" x14ac:dyDescent="0.3">
      <c r="J81788"/>
    </row>
    <row r="81789" spans="10:10" x14ac:dyDescent="0.3">
      <c r="J81789"/>
    </row>
    <row r="81790" spans="10:10" x14ac:dyDescent="0.3">
      <c r="J81790"/>
    </row>
    <row r="81791" spans="10:10" x14ac:dyDescent="0.3">
      <c r="J81791"/>
    </row>
    <row r="81792" spans="10:10" x14ac:dyDescent="0.3">
      <c r="J81792"/>
    </row>
    <row r="81793" spans="10:10" x14ac:dyDescent="0.3">
      <c r="J81793"/>
    </row>
    <row r="81794" spans="10:10" x14ac:dyDescent="0.3">
      <c r="J81794"/>
    </row>
    <row r="81795" spans="10:10" x14ac:dyDescent="0.3">
      <c r="J81795"/>
    </row>
    <row r="81796" spans="10:10" x14ac:dyDescent="0.3">
      <c r="J81796"/>
    </row>
    <row r="81797" spans="10:10" x14ac:dyDescent="0.3">
      <c r="J81797"/>
    </row>
    <row r="81798" spans="10:10" x14ac:dyDescent="0.3">
      <c r="J81798"/>
    </row>
    <row r="81799" spans="10:10" x14ac:dyDescent="0.3">
      <c r="J81799"/>
    </row>
    <row r="81800" spans="10:10" x14ac:dyDescent="0.3">
      <c r="J81800"/>
    </row>
    <row r="81801" spans="10:10" x14ac:dyDescent="0.3">
      <c r="J81801"/>
    </row>
    <row r="81802" spans="10:10" x14ac:dyDescent="0.3">
      <c r="J81802"/>
    </row>
    <row r="81803" spans="10:10" x14ac:dyDescent="0.3">
      <c r="J81803"/>
    </row>
    <row r="81804" spans="10:10" x14ac:dyDescent="0.3">
      <c r="J81804"/>
    </row>
    <row r="81805" spans="10:10" x14ac:dyDescent="0.3">
      <c r="J81805"/>
    </row>
    <row r="81806" spans="10:10" x14ac:dyDescent="0.3">
      <c r="J81806"/>
    </row>
    <row r="81807" spans="10:10" x14ac:dyDescent="0.3">
      <c r="J81807"/>
    </row>
    <row r="81808" spans="10:10" x14ac:dyDescent="0.3">
      <c r="J81808"/>
    </row>
    <row r="81809" spans="10:10" x14ac:dyDescent="0.3">
      <c r="J81809"/>
    </row>
    <row r="81810" spans="10:10" x14ac:dyDescent="0.3">
      <c r="J81810"/>
    </row>
    <row r="81811" spans="10:10" x14ac:dyDescent="0.3">
      <c r="J81811"/>
    </row>
    <row r="81812" spans="10:10" x14ac:dyDescent="0.3">
      <c r="J81812"/>
    </row>
    <row r="81813" spans="10:10" x14ac:dyDescent="0.3">
      <c r="J81813"/>
    </row>
    <row r="81814" spans="10:10" x14ac:dyDescent="0.3">
      <c r="J81814"/>
    </row>
    <row r="81815" spans="10:10" x14ac:dyDescent="0.3">
      <c r="J81815"/>
    </row>
    <row r="81816" spans="10:10" x14ac:dyDescent="0.3">
      <c r="J81816"/>
    </row>
    <row r="81817" spans="10:10" x14ac:dyDescent="0.3">
      <c r="J81817"/>
    </row>
    <row r="81818" spans="10:10" x14ac:dyDescent="0.3">
      <c r="J81818"/>
    </row>
    <row r="81819" spans="10:10" x14ac:dyDescent="0.3">
      <c r="J81819"/>
    </row>
    <row r="81820" spans="10:10" x14ac:dyDescent="0.3">
      <c r="J81820"/>
    </row>
    <row r="81821" spans="10:10" x14ac:dyDescent="0.3">
      <c r="J81821"/>
    </row>
    <row r="81822" spans="10:10" x14ac:dyDescent="0.3">
      <c r="J81822"/>
    </row>
    <row r="81823" spans="10:10" x14ac:dyDescent="0.3">
      <c r="J81823"/>
    </row>
    <row r="81824" spans="10:10" x14ac:dyDescent="0.3">
      <c r="J81824"/>
    </row>
    <row r="81825" spans="10:10" x14ac:dyDescent="0.3">
      <c r="J81825"/>
    </row>
    <row r="81826" spans="10:10" x14ac:dyDescent="0.3">
      <c r="J81826"/>
    </row>
    <row r="81827" spans="10:10" x14ac:dyDescent="0.3">
      <c r="J81827"/>
    </row>
    <row r="81828" spans="10:10" x14ac:dyDescent="0.3">
      <c r="J81828"/>
    </row>
    <row r="81829" spans="10:10" x14ac:dyDescent="0.3">
      <c r="J81829"/>
    </row>
    <row r="81830" spans="10:10" x14ac:dyDescent="0.3">
      <c r="J81830"/>
    </row>
    <row r="81831" spans="10:10" x14ac:dyDescent="0.3">
      <c r="J81831"/>
    </row>
    <row r="81832" spans="10:10" x14ac:dyDescent="0.3">
      <c r="J81832"/>
    </row>
    <row r="81833" spans="10:10" x14ac:dyDescent="0.3">
      <c r="J81833"/>
    </row>
    <row r="81834" spans="10:10" x14ac:dyDescent="0.3">
      <c r="J81834"/>
    </row>
    <row r="81835" spans="10:10" x14ac:dyDescent="0.3">
      <c r="J81835"/>
    </row>
    <row r="81836" spans="10:10" x14ac:dyDescent="0.3">
      <c r="J81836"/>
    </row>
    <row r="81837" spans="10:10" x14ac:dyDescent="0.3">
      <c r="J81837"/>
    </row>
    <row r="81838" spans="10:10" x14ac:dyDescent="0.3">
      <c r="J81838"/>
    </row>
    <row r="81839" spans="10:10" x14ac:dyDescent="0.3">
      <c r="J81839"/>
    </row>
    <row r="81840" spans="10:10" x14ac:dyDescent="0.3">
      <c r="J81840"/>
    </row>
    <row r="81841" spans="10:10" x14ac:dyDescent="0.3">
      <c r="J81841"/>
    </row>
    <row r="81842" spans="10:10" x14ac:dyDescent="0.3">
      <c r="J81842"/>
    </row>
    <row r="81843" spans="10:10" x14ac:dyDescent="0.3">
      <c r="J81843"/>
    </row>
    <row r="81844" spans="10:10" x14ac:dyDescent="0.3">
      <c r="J81844"/>
    </row>
    <row r="81845" spans="10:10" x14ac:dyDescent="0.3">
      <c r="J81845"/>
    </row>
    <row r="81846" spans="10:10" x14ac:dyDescent="0.3">
      <c r="J81846"/>
    </row>
    <row r="81847" spans="10:10" x14ac:dyDescent="0.3">
      <c r="J81847"/>
    </row>
    <row r="81848" spans="10:10" x14ac:dyDescent="0.3">
      <c r="J81848"/>
    </row>
    <row r="81849" spans="10:10" x14ac:dyDescent="0.3">
      <c r="J81849"/>
    </row>
    <row r="81850" spans="10:10" x14ac:dyDescent="0.3">
      <c r="J81850"/>
    </row>
    <row r="81851" spans="10:10" x14ac:dyDescent="0.3">
      <c r="J81851"/>
    </row>
    <row r="81852" spans="10:10" x14ac:dyDescent="0.3">
      <c r="J81852"/>
    </row>
    <row r="81853" spans="10:10" x14ac:dyDescent="0.3">
      <c r="J81853"/>
    </row>
    <row r="81854" spans="10:10" x14ac:dyDescent="0.3">
      <c r="J81854"/>
    </row>
    <row r="81855" spans="10:10" x14ac:dyDescent="0.3">
      <c r="J81855"/>
    </row>
    <row r="81856" spans="10:10" x14ac:dyDescent="0.3">
      <c r="J81856"/>
    </row>
    <row r="81857" spans="10:10" x14ac:dyDescent="0.3">
      <c r="J81857"/>
    </row>
    <row r="81858" spans="10:10" x14ac:dyDescent="0.3">
      <c r="J81858"/>
    </row>
    <row r="81859" spans="10:10" x14ac:dyDescent="0.3">
      <c r="J81859"/>
    </row>
    <row r="81860" spans="10:10" x14ac:dyDescent="0.3">
      <c r="J81860"/>
    </row>
    <row r="81861" spans="10:10" x14ac:dyDescent="0.3">
      <c r="J81861"/>
    </row>
    <row r="81862" spans="10:10" x14ac:dyDescent="0.3">
      <c r="J81862"/>
    </row>
    <row r="81863" spans="10:10" x14ac:dyDescent="0.3">
      <c r="J81863"/>
    </row>
    <row r="81864" spans="10:10" x14ac:dyDescent="0.3">
      <c r="J81864"/>
    </row>
    <row r="81865" spans="10:10" x14ac:dyDescent="0.3">
      <c r="J81865"/>
    </row>
    <row r="81866" spans="10:10" x14ac:dyDescent="0.3">
      <c r="J81866"/>
    </row>
    <row r="81867" spans="10:10" x14ac:dyDescent="0.3">
      <c r="J81867"/>
    </row>
    <row r="81868" spans="10:10" x14ac:dyDescent="0.3">
      <c r="J81868"/>
    </row>
    <row r="81869" spans="10:10" x14ac:dyDescent="0.3">
      <c r="J81869"/>
    </row>
    <row r="81870" spans="10:10" x14ac:dyDescent="0.3">
      <c r="J81870"/>
    </row>
    <row r="81871" spans="10:10" x14ac:dyDescent="0.3">
      <c r="J81871"/>
    </row>
    <row r="81872" spans="10:10" x14ac:dyDescent="0.3">
      <c r="J81872"/>
    </row>
    <row r="81873" spans="10:10" x14ac:dyDescent="0.3">
      <c r="J81873"/>
    </row>
    <row r="81874" spans="10:10" x14ac:dyDescent="0.3">
      <c r="J81874"/>
    </row>
    <row r="81875" spans="10:10" x14ac:dyDescent="0.3">
      <c r="J81875"/>
    </row>
    <row r="81876" spans="10:10" x14ac:dyDescent="0.3">
      <c r="J81876"/>
    </row>
    <row r="81877" spans="10:10" x14ac:dyDescent="0.3">
      <c r="J81877"/>
    </row>
    <row r="81878" spans="10:10" x14ac:dyDescent="0.3">
      <c r="J81878"/>
    </row>
    <row r="81879" spans="10:10" x14ac:dyDescent="0.3">
      <c r="J81879"/>
    </row>
    <row r="81880" spans="10:10" x14ac:dyDescent="0.3">
      <c r="J81880"/>
    </row>
    <row r="81881" spans="10:10" x14ac:dyDescent="0.3">
      <c r="J81881"/>
    </row>
    <row r="81882" spans="10:10" x14ac:dyDescent="0.3">
      <c r="J81882"/>
    </row>
    <row r="81883" spans="10:10" x14ac:dyDescent="0.3">
      <c r="J81883"/>
    </row>
    <row r="81884" spans="10:10" x14ac:dyDescent="0.3">
      <c r="J81884"/>
    </row>
    <row r="81885" spans="10:10" x14ac:dyDescent="0.3">
      <c r="J81885"/>
    </row>
    <row r="81886" spans="10:10" x14ac:dyDescent="0.3">
      <c r="J81886"/>
    </row>
    <row r="81887" spans="10:10" x14ac:dyDescent="0.3">
      <c r="J81887"/>
    </row>
    <row r="81888" spans="10:10" x14ac:dyDescent="0.3">
      <c r="J81888"/>
    </row>
    <row r="81889" spans="10:10" x14ac:dyDescent="0.3">
      <c r="J81889"/>
    </row>
    <row r="81890" spans="10:10" x14ac:dyDescent="0.3">
      <c r="J81890"/>
    </row>
    <row r="81891" spans="10:10" x14ac:dyDescent="0.3">
      <c r="J81891"/>
    </row>
    <row r="81892" spans="10:10" x14ac:dyDescent="0.3">
      <c r="J81892"/>
    </row>
    <row r="81893" spans="10:10" x14ac:dyDescent="0.3">
      <c r="J81893"/>
    </row>
    <row r="81894" spans="10:10" x14ac:dyDescent="0.3">
      <c r="J81894"/>
    </row>
    <row r="81895" spans="10:10" x14ac:dyDescent="0.3">
      <c r="J81895"/>
    </row>
    <row r="81896" spans="10:10" x14ac:dyDescent="0.3">
      <c r="J81896"/>
    </row>
    <row r="81897" spans="10:10" x14ac:dyDescent="0.3">
      <c r="J81897"/>
    </row>
    <row r="81898" spans="10:10" x14ac:dyDescent="0.3">
      <c r="J81898"/>
    </row>
    <row r="81899" spans="10:10" x14ac:dyDescent="0.3">
      <c r="J81899"/>
    </row>
    <row r="81900" spans="10:10" x14ac:dyDescent="0.3">
      <c r="J81900"/>
    </row>
    <row r="81901" spans="10:10" x14ac:dyDescent="0.3">
      <c r="J81901"/>
    </row>
    <row r="81902" spans="10:10" x14ac:dyDescent="0.3">
      <c r="J81902"/>
    </row>
    <row r="81903" spans="10:10" x14ac:dyDescent="0.3">
      <c r="J81903"/>
    </row>
    <row r="81904" spans="10:10" x14ac:dyDescent="0.3">
      <c r="J81904"/>
    </row>
    <row r="81905" spans="10:10" x14ac:dyDescent="0.3">
      <c r="J81905"/>
    </row>
    <row r="81906" spans="10:10" x14ac:dyDescent="0.3">
      <c r="J81906"/>
    </row>
    <row r="81907" spans="10:10" x14ac:dyDescent="0.3">
      <c r="J81907"/>
    </row>
    <row r="81908" spans="10:10" x14ac:dyDescent="0.3">
      <c r="J81908"/>
    </row>
    <row r="81909" spans="10:10" x14ac:dyDescent="0.3">
      <c r="J81909"/>
    </row>
    <row r="81910" spans="10:10" x14ac:dyDescent="0.3">
      <c r="J81910"/>
    </row>
    <row r="81911" spans="10:10" x14ac:dyDescent="0.3">
      <c r="J81911"/>
    </row>
    <row r="81912" spans="10:10" x14ac:dyDescent="0.3">
      <c r="J81912"/>
    </row>
    <row r="81913" spans="10:10" x14ac:dyDescent="0.3">
      <c r="J81913"/>
    </row>
    <row r="81914" spans="10:10" x14ac:dyDescent="0.3">
      <c r="J81914"/>
    </row>
    <row r="81915" spans="10:10" x14ac:dyDescent="0.3">
      <c r="J81915"/>
    </row>
    <row r="81916" spans="10:10" x14ac:dyDescent="0.3">
      <c r="J81916"/>
    </row>
    <row r="81917" spans="10:10" x14ac:dyDescent="0.3">
      <c r="J81917"/>
    </row>
    <row r="81918" spans="10:10" x14ac:dyDescent="0.3">
      <c r="J81918"/>
    </row>
    <row r="81919" spans="10:10" x14ac:dyDescent="0.3">
      <c r="J81919"/>
    </row>
    <row r="81920" spans="10:10" x14ac:dyDescent="0.3">
      <c r="J81920"/>
    </row>
    <row r="81921" spans="10:10" x14ac:dyDescent="0.3">
      <c r="J81921"/>
    </row>
    <row r="81922" spans="10:10" x14ac:dyDescent="0.3">
      <c r="J81922"/>
    </row>
    <row r="81923" spans="10:10" x14ac:dyDescent="0.3">
      <c r="J81923"/>
    </row>
    <row r="81924" spans="10:10" x14ac:dyDescent="0.3">
      <c r="J81924"/>
    </row>
    <row r="81925" spans="10:10" x14ac:dyDescent="0.3">
      <c r="J81925"/>
    </row>
    <row r="81926" spans="10:10" x14ac:dyDescent="0.3">
      <c r="J81926"/>
    </row>
    <row r="81927" spans="10:10" x14ac:dyDescent="0.3">
      <c r="J81927"/>
    </row>
    <row r="81928" spans="10:10" x14ac:dyDescent="0.3">
      <c r="J81928"/>
    </row>
    <row r="81929" spans="10:10" x14ac:dyDescent="0.3">
      <c r="J81929"/>
    </row>
    <row r="81930" spans="10:10" x14ac:dyDescent="0.3">
      <c r="J81930"/>
    </row>
    <row r="81931" spans="10:10" x14ac:dyDescent="0.3">
      <c r="J81931"/>
    </row>
    <row r="81932" spans="10:10" x14ac:dyDescent="0.3">
      <c r="J81932"/>
    </row>
    <row r="81933" spans="10:10" x14ac:dyDescent="0.3">
      <c r="J81933"/>
    </row>
    <row r="81934" spans="10:10" x14ac:dyDescent="0.3">
      <c r="J81934"/>
    </row>
    <row r="81935" spans="10:10" x14ac:dyDescent="0.3">
      <c r="J81935"/>
    </row>
    <row r="81936" spans="10:10" x14ac:dyDescent="0.3">
      <c r="J81936"/>
    </row>
    <row r="81937" spans="10:10" x14ac:dyDescent="0.3">
      <c r="J81937"/>
    </row>
    <row r="81938" spans="10:10" x14ac:dyDescent="0.3">
      <c r="J81938"/>
    </row>
    <row r="81939" spans="10:10" x14ac:dyDescent="0.3">
      <c r="J81939"/>
    </row>
    <row r="81940" spans="10:10" x14ac:dyDescent="0.3">
      <c r="J81940"/>
    </row>
    <row r="81941" spans="10:10" x14ac:dyDescent="0.3">
      <c r="J81941"/>
    </row>
    <row r="81942" spans="10:10" x14ac:dyDescent="0.3">
      <c r="J81942"/>
    </row>
    <row r="81943" spans="10:10" x14ac:dyDescent="0.3">
      <c r="J81943"/>
    </row>
    <row r="81944" spans="10:10" x14ac:dyDescent="0.3">
      <c r="J81944"/>
    </row>
    <row r="81945" spans="10:10" x14ac:dyDescent="0.3">
      <c r="J81945"/>
    </row>
    <row r="81946" spans="10:10" x14ac:dyDescent="0.3">
      <c r="J81946"/>
    </row>
    <row r="81947" spans="10:10" x14ac:dyDescent="0.3">
      <c r="J81947"/>
    </row>
    <row r="81948" spans="10:10" x14ac:dyDescent="0.3">
      <c r="J81948"/>
    </row>
    <row r="81949" spans="10:10" x14ac:dyDescent="0.3">
      <c r="J81949"/>
    </row>
    <row r="81950" spans="10:10" x14ac:dyDescent="0.3">
      <c r="J81950"/>
    </row>
    <row r="81951" spans="10:10" x14ac:dyDescent="0.3">
      <c r="J81951"/>
    </row>
    <row r="81952" spans="10:10" x14ac:dyDescent="0.3">
      <c r="J81952"/>
    </row>
    <row r="81953" spans="10:10" x14ac:dyDescent="0.3">
      <c r="J81953"/>
    </row>
    <row r="81954" spans="10:10" x14ac:dyDescent="0.3">
      <c r="J81954"/>
    </row>
    <row r="81955" spans="10:10" x14ac:dyDescent="0.3">
      <c r="J81955"/>
    </row>
    <row r="81956" spans="10:10" x14ac:dyDescent="0.3">
      <c r="J81956"/>
    </row>
    <row r="81957" spans="10:10" x14ac:dyDescent="0.3">
      <c r="J81957"/>
    </row>
    <row r="81958" spans="10:10" x14ac:dyDescent="0.3">
      <c r="J81958"/>
    </row>
    <row r="81959" spans="10:10" x14ac:dyDescent="0.3">
      <c r="J81959"/>
    </row>
    <row r="81960" spans="10:10" x14ac:dyDescent="0.3">
      <c r="J81960"/>
    </row>
    <row r="81961" spans="10:10" x14ac:dyDescent="0.3">
      <c r="J81961"/>
    </row>
    <row r="81962" spans="10:10" x14ac:dyDescent="0.3">
      <c r="J81962"/>
    </row>
    <row r="81963" spans="10:10" x14ac:dyDescent="0.3">
      <c r="J81963"/>
    </row>
    <row r="81964" spans="10:10" x14ac:dyDescent="0.3">
      <c r="J81964"/>
    </row>
    <row r="81965" spans="10:10" x14ac:dyDescent="0.3">
      <c r="J81965"/>
    </row>
    <row r="81966" spans="10:10" x14ac:dyDescent="0.3">
      <c r="J81966"/>
    </row>
    <row r="81967" spans="10:10" x14ac:dyDescent="0.3">
      <c r="J81967"/>
    </row>
    <row r="81968" spans="10:10" x14ac:dyDescent="0.3">
      <c r="J81968"/>
    </row>
    <row r="81969" spans="10:10" x14ac:dyDescent="0.3">
      <c r="J81969"/>
    </row>
    <row r="81970" spans="10:10" x14ac:dyDescent="0.3">
      <c r="J81970"/>
    </row>
    <row r="81971" spans="10:10" x14ac:dyDescent="0.3">
      <c r="J81971"/>
    </row>
    <row r="81972" spans="10:10" x14ac:dyDescent="0.3">
      <c r="J81972"/>
    </row>
    <row r="81973" spans="10:10" x14ac:dyDescent="0.3">
      <c r="J81973"/>
    </row>
    <row r="81974" spans="10:10" x14ac:dyDescent="0.3">
      <c r="J81974"/>
    </row>
    <row r="81975" spans="10:10" x14ac:dyDescent="0.3">
      <c r="J81975"/>
    </row>
    <row r="81976" spans="10:10" x14ac:dyDescent="0.3">
      <c r="J81976"/>
    </row>
    <row r="81977" spans="10:10" x14ac:dyDescent="0.3">
      <c r="J81977"/>
    </row>
    <row r="81978" spans="10:10" x14ac:dyDescent="0.3">
      <c r="J81978"/>
    </row>
    <row r="81979" spans="10:10" x14ac:dyDescent="0.3">
      <c r="J81979"/>
    </row>
    <row r="81980" spans="10:10" x14ac:dyDescent="0.3">
      <c r="J81980"/>
    </row>
    <row r="81981" spans="10:10" x14ac:dyDescent="0.3">
      <c r="J81981"/>
    </row>
    <row r="81982" spans="10:10" x14ac:dyDescent="0.3">
      <c r="J81982"/>
    </row>
    <row r="81983" spans="10:10" x14ac:dyDescent="0.3">
      <c r="J81983"/>
    </row>
    <row r="81984" spans="10:10" x14ac:dyDescent="0.3">
      <c r="J81984"/>
    </row>
    <row r="81985" spans="10:10" x14ac:dyDescent="0.3">
      <c r="J81985"/>
    </row>
    <row r="81986" spans="10:10" x14ac:dyDescent="0.3">
      <c r="J81986"/>
    </row>
    <row r="81987" spans="10:10" x14ac:dyDescent="0.3">
      <c r="J81987"/>
    </row>
    <row r="81988" spans="10:10" x14ac:dyDescent="0.3">
      <c r="J81988"/>
    </row>
    <row r="81989" spans="10:10" x14ac:dyDescent="0.3">
      <c r="J81989"/>
    </row>
    <row r="81990" spans="10:10" x14ac:dyDescent="0.3">
      <c r="J81990"/>
    </row>
    <row r="81991" spans="10:10" x14ac:dyDescent="0.3">
      <c r="J81991"/>
    </row>
    <row r="81992" spans="10:10" x14ac:dyDescent="0.3">
      <c r="J81992"/>
    </row>
    <row r="81993" spans="10:10" x14ac:dyDescent="0.3">
      <c r="J81993"/>
    </row>
    <row r="81994" spans="10:10" x14ac:dyDescent="0.3">
      <c r="J81994"/>
    </row>
    <row r="81995" spans="10:10" x14ac:dyDescent="0.3">
      <c r="J81995"/>
    </row>
    <row r="81996" spans="10:10" x14ac:dyDescent="0.3">
      <c r="J81996"/>
    </row>
    <row r="81997" spans="10:10" x14ac:dyDescent="0.3">
      <c r="J81997"/>
    </row>
    <row r="81998" spans="10:10" x14ac:dyDescent="0.3">
      <c r="J81998"/>
    </row>
    <row r="81999" spans="10:10" x14ac:dyDescent="0.3">
      <c r="J81999"/>
    </row>
    <row r="82000" spans="10:10" x14ac:dyDescent="0.3">
      <c r="J82000"/>
    </row>
    <row r="82001" spans="10:10" x14ac:dyDescent="0.3">
      <c r="J82001"/>
    </row>
    <row r="82002" spans="10:10" x14ac:dyDescent="0.3">
      <c r="J82002"/>
    </row>
    <row r="82003" spans="10:10" x14ac:dyDescent="0.3">
      <c r="J82003"/>
    </row>
    <row r="82004" spans="10:10" x14ac:dyDescent="0.3">
      <c r="J82004"/>
    </row>
    <row r="82005" spans="10:10" x14ac:dyDescent="0.3">
      <c r="J82005"/>
    </row>
    <row r="82006" spans="10:10" x14ac:dyDescent="0.3">
      <c r="J82006"/>
    </row>
    <row r="82007" spans="10:10" x14ac:dyDescent="0.3">
      <c r="J82007"/>
    </row>
    <row r="82008" spans="10:10" x14ac:dyDescent="0.3">
      <c r="J82008"/>
    </row>
    <row r="82009" spans="10:10" x14ac:dyDescent="0.3">
      <c r="J82009"/>
    </row>
    <row r="82010" spans="10:10" x14ac:dyDescent="0.3">
      <c r="J82010"/>
    </row>
    <row r="82011" spans="10:10" x14ac:dyDescent="0.3">
      <c r="J82011"/>
    </row>
    <row r="82012" spans="10:10" x14ac:dyDescent="0.3">
      <c r="J82012"/>
    </row>
    <row r="82013" spans="10:10" x14ac:dyDescent="0.3">
      <c r="J82013"/>
    </row>
    <row r="82014" spans="10:10" x14ac:dyDescent="0.3">
      <c r="J82014"/>
    </row>
    <row r="82015" spans="10:10" x14ac:dyDescent="0.3">
      <c r="J82015"/>
    </row>
    <row r="82016" spans="10:10" x14ac:dyDescent="0.3">
      <c r="J82016"/>
    </row>
    <row r="82017" spans="10:10" x14ac:dyDescent="0.3">
      <c r="J82017"/>
    </row>
    <row r="82018" spans="10:10" x14ac:dyDescent="0.3">
      <c r="J82018"/>
    </row>
    <row r="82019" spans="10:10" x14ac:dyDescent="0.3">
      <c r="J82019"/>
    </row>
    <row r="82020" spans="10:10" x14ac:dyDescent="0.3">
      <c r="J82020"/>
    </row>
    <row r="82021" spans="10:10" x14ac:dyDescent="0.3">
      <c r="J82021"/>
    </row>
    <row r="82022" spans="10:10" x14ac:dyDescent="0.3">
      <c r="J82022"/>
    </row>
    <row r="82023" spans="10:10" x14ac:dyDescent="0.3">
      <c r="J82023"/>
    </row>
    <row r="82024" spans="10:10" x14ac:dyDescent="0.3">
      <c r="J82024"/>
    </row>
    <row r="82025" spans="10:10" x14ac:dyDescent="0.3">
      <c r="J82025"/>
    </row>
    <row r="82026" spans="10:10" x14ac:dyDescent="0.3">
      <c r="J82026"/>
    </row>
    <row r="82027" spans="10:10" x14ac:dyDescent="0.3">
      <c r="J82027"/>
    </row>
    <row r="82028" spans="10:10" x14ac:dyDescent="0.3">
      <c r="J82028"/>
    </row>
    <row r="82029" spans="10:10" x14ac:dyDescent="0.3">
      <c r="J82029"/>
    </row>
    <row r="82030" spans="10:10" x14ac:dyDescent="0.3">
      <c r="J82030"/>
    </row>
    <row r="82031" spans="10:10" x14ac:dyDescent="0.3">
      <c r="J82031"/>
    </row>
    <row r="82032" spans="10:10" x14ac:dyDescent="0.3">
      <c r="J82032"/>
    </row>
    <row r="82033" spans="10:10" x14ac:dyDescent="0.3">
      <c r="J82033"/>
    </row>
    <row r="82034" spans="10:10" x14ac:dyDescent="0.3">
      <c r="J82034"/>
    </row>
    <row r="82035" spans="10:10" x14ac:dyDescent="0.3">
      <c r="J82035"/>
    </row>
    <row r="82036" spans="10:10" x14ac:dyDescent="0.3">
      <c r="J82036"/>
    </row>
    <row r="82037" spans="10:10" x14ac:dyDescent="0.3">
      <c r="J82037"/>
    </row>
    <row r="82038" spans="10:10" x14ac:dyDescent="0.3">
      <c r="J82038"/>
    </row>
    <row r="82039" spans="10:10" x14ac:dyDescent="0.3">
      <c r="J82039"/>
    </row>
    <row r="82040" spans="10:10" x14ac:dyDescent="0.3">
      <c r="J82040"/>
    </row>
    <row r="82041" spans="10:10" x14ac:dyDescent="0.3">
      <c r="J82041"/>
    </row>
    <row r="82042" spans="10:10" x14ac:dyDescent="0.3">
      <c r="J82042"/>
    </row>
    <row r="82043" spans="10:10" x14ac:dyDescent="0.3">
      <c r="J82043"/>
    </row>
    <row r="82044" spans="10:10" x14ac:dyDescent="0.3">
      <c r="J82044"/>
    </row>
    <row r="82045" spans="10:10" x14ac:dyDescent="0.3">
      <c r="J82045"/>
    </row>
    <row r="82046" spans="10:10" x14ac:dyDescent="0.3">
      <c r="J82046"/>
    </row>
    <row r="82047" spans="10:10" x14ac:dyDescent="0.3">
      <c r="J82047"/>
    </row>
    <row r="82048" spans="10:10" x14ac:dyDescent="0.3">
      <c r="J82048"/>
    </row>
    <row r="82049" spans="10:10" x14ac:dyDescent="0.3">
      <c r="J82049"/>
    </row>
    <row r="82050" spans="10:10" x14ac:dyDescent="0.3">
      <c r="J82050"/>
    </row>
    <row r="82051" spans="10:10" x14ac:dyDescent="0.3">
      <c r="J82051"/>
    </row>
    <row r="82052" spans="10:10" x14ac:dyDescent="0.3">
      <c r="J82052"/>
    </row>
    <row r="82053" spans="10:10" x14ac:dyDescent="0.3">
      <c r="J82053"/>
    </row>
    <row r="82054" spans="10:10" x14ac:dyDescent="0.3">
      <c r="J82054"/>
    </row>
    <row r="82055" spans="10:10" x14ac:dyDescent="0.3">
      <c r="J82055"/>
    </row>
    <row r="82056" spans="10:10" x14ac:dyDescent="0.3">
      <c r="J82056"/>
    </row>
    <row r="82057" spans="10:10" x14ac:dyDescent="0.3">
      <c r="J82057"/>
    </row>
    <row r="82058" spans="10:10" x14ac:dyDescent="0.3">
      <c r="J82058"/>
    </row>
    <row r="82059" spans="10:10" x14ac:dyDescent="0.3">
      <c r="J82059"/>
    </row>
    <row r="82060" spans="10:10" x14ac:dyDescent="0.3">
      <c r="J82060"/>
    </row>
    <row r="82061" spans="10:10" x14ac:dyDescent="0.3">
      <c r="J82061"/>
    </row>
    <row r="82062" spans="10:10" x14ac:dyDescent="0.3">
      <c r="J82062"/>
    </row>
    <row r="82063" spans="10:10" x14ac:dyDescent="0.3">
      <c r="J82063"/>
    </row>
    <row r="82064" spans="10:10" x14ac:dyDescent="0.3">
      <c r="J82064"/>
    </row>
    <row r="82065" spans="10:10" x14ac:dyDescent="0.3">
      <c r="J82065"/>
    </row>
    <row r="82066" spans="10:10" x14ac:dyDescent="0.3">
      <c r="J82066"/>
    </row>
    <row r="82067" spans="10:10" x14ac:dyDescent="0.3">
      <c r="J82067"/>
    </row>
    <row r="82068" spans="10:10" x14ac:dyDescent="0.3">
      <c r="J82068"/>
    </row>
    <row r="82069" spans="10:10" x14ac:dyDescent="0.3">
      <c r="J82069"/>
    </row>
    <row r="82070" spans="10:10" x14ac:dyDescent="0.3">
      <c r="J82070"/>
    </row>
    <row r="82071" spans="10:10" x14ac:dyDescent="0.3">
      <c r="J82071"/>
    </row>
    <row r="82072" spans="10:10" x14ac:dyDescent="0.3">
      <c r="J82072"/>
    </row>
    <row r="82073" spans="10:10" x14ac:dyDescent="0.3">
      <c r="J82073"/>
    </row>
    <row r="82074" spans="10:10" x14ac:dyDescent="0.3">
      <c r="J82074"/>
    </row>
    <row r="82075" spans="10:10" x14ac:dyDescent="0.3">
      <c r="J82075"/>
    </row>
    <row r="82076" spans="10:10" x14ac:dyDescent="0.3">
      <c r="J82076"/>
    </row>
    <row r="82077" spans="10:10" x14ac:dyDescent="0.3">
      <c r="J82077"/>
    </row>
    <row r="82078" spans="10:10" x14ac:dyDescent="0.3">
      <c r="J82078"/>
    </row>
    <row r="82079" spans="10:10" x14ac:dyDescent="0.3">
      <c r="J82079"/>
    </row>
    <row r="82080" spans="10:10" x14ac:dyDescent="0.3">
      <c r="J82080"/>
    </row>
    <row r="82081" spans="10:10" x14ac:dyDescent="0.3">
      <c r="J82081"/>
    </row>
    <row r="82082" spans="10:10" x14ac:dyDescent="0.3">
      <c r="J82082"/>
    </row>
    <row r="82083" spans="10:10" x14ac:dyDescent="0.3">
      <c r="J82083"/>
    </row>
    <row r="82084" spans="10:10" x14ac:dyDescent="0.3">
      <c r="J82084"/>
    </row>
    <row r="82085" spans="10:10" x14ac:dyDescent="0.3">
      <c r="J82085"/>
    </row>
    <row r="82086" spans="10:10" x14ac:dyDescent="0.3">
      <c r="J82086"/>
    </row>
    <row r="82087" spans="10:10" x14ac:dyDescent="0.3">
      <c r="J82087"/>
    </row>
    <row r="82088" spans="10:10" x14ac:dyDescent="0.3">
      <c r="J82088"/>
    </row>
    <row r="82089" spans="10:10" x14ac:dyDescent="0.3">
      <c r="J82089"/>
    </row>
    <row r="82090" spans="10:10" x14ac:dyDescent="0.3">
      <c r="J82090"/>
    </row>
    <row r="82091" spans="10:10" x14ac:dyDescent="0.3">
      <c r="J82091"/>
    </row>
    <row r="82092" spans="10:10" x14ac:dyDescent="0.3">
      <c r="J82092"/>
    </row>
    <row r="82093" spans="10:10" x14ac:dyDescent="0.3">
      <c r="J82093"/>
    </row>
    <row r="82094" spans="10:10" x14ac:dyDescent="0.3">
      <c r="J82094"/>
    </row>
    <row r="82095" spans="10:10" x14ac:dyDescent="0.3">
      <c r="J82095"/>
    </row>
    <row r="82096" spans="10:10" x14ac:dyDescent="0.3">
      <c r="J82096"/>
    </row>
    <row r="82097" spans="10:10" x14ac:dyDescent="0.3">
      <c r="J82097"/>
    </row>
    <row r="82098" spans="10:10" x14ac:dyDescent="0.3">
      <c r="J82098"/>
    </row>
    <row r="82099" spans="10:10" x14ac:dyDescent="0.3">
      <c r="J82099"/>
    </row>
    <row r="82100" spans="10:10" x14ac:dyDescent="0.3">
      <c r="J82100"/>
    </row>
    <row r="82101" spans="10:10" x14ac:dyDescent="0.3">
      <c r="J82101"/>
    </row>
    <row r="82102" spans="10:10" x14ac:dyDescent="0.3">
      <c r="J82102"/>
    </row>
    <row r="82103" spans="10:10" x14ac:dyDescent="0.3">
      <c r="J82103"/>
    </row>
    <row r="82104" spans="10:10" x14ac:dyDescent="0.3">
      <c r="J82104"/>
    </row>
    <row r="82105" spans="10:10" x14ac:dyDescent="0.3">
      <c r="J82105"/>
    </row>
    <row r="82106" spans="10:10" x14ac:dyDescent="0.3">
      <c r="J82106"/>
    </row>
    <row r="82107" spans="10:10" x14ac:dyDescent="0.3">
      <c r="J82107"/>
    </row>
    <row r="82108" spans="10:10" x14ac:dyDescent="0.3">
      <c r="J82108"/>
    </row>
    <row r="82109" spans="10:10" x14ac:dyDescent="0.3">
      <c r="J82109"/>
    </row>
    <row r="82110" spans="10:10" x14ac:dyDescent="0.3">
      <c r="J82110"/>
    </row>
    <row r="82111" spans="10:10" x14ac:dyDescent="0.3">
      <c r="J82111"/>
    </row>
    <row r="82112" spans="10:10" x14ac:dyDescent="0.3">
      <c r="J82112"/>
    </row>
    <row r="82113" spans="10:10" x14ac:dyDescent="0.3">
      <c r="J82113"/>
    </row>
    <row r="82114" spans="10:10" x14ac:dyDescent="0.3">
      <c r="J82114"/>
    </row>
    <row r="82115" spans="10:10" x14ac:dyDescent="0.3">
      <c r="J82115"/>
    </row>
    <row r="82116" spans="10:10" x14ac:dyDescent="0.3">
      <c r="J82116"/>
    </row>
    <row r="82117" spans="10:10" x14ac:dyDescent="0.3">
      <c r="J82117"/>
    </row>
    <row r="82118" spans="10:10" x14ac:dyDescent="0.3">
      <c r="J82118"/>
    </row>
    <row r="82119" spans="10:10" x14ac:dyDescent="0.3">
      <c r="J82119"/>
    </row>
    <row r="82120" spans="10:10" x14ac:dyDescent="0.3">
      <c r="J82120"/>
    </row>
    <row r="82121" spans="10:10" x14ac:dyDescent="0.3">
      <c r="J82121"/>
    </row>
    <row r="82122" spans="10:10" x14ac:dyDescent="0.3">
      <c r="J82122"/>
    </row>
    <row r="82123" spans="10:10" x14ac:dyDescent="0.3">
      <c r="J82123"/>
    </row>
    <row r="82124" spans="10:10" x14ac:dyDescent="0.3">
      <c r="J82124"/>
    </row>
    <row r="82125" spans="10:10" x14ac:dyDescent="0.3">
      <c r="J82125"/>
    </row>
    <row r="82126" spans="10:10" x14ac:dyDescent="0.3">
      <c r="J82126"/>
    </row>
    <row r="82127" spans="10:10" x14ac:dyDescent="0.3">
      <c r="J82127"/>
    </row>
    <row r="82128" spans="10:10" x14ac:dyDescent="0.3">
      <c r="J82128"/>
    </row>
    <row r="82129" spans="10:10" x14ac:dyDescent="0.3">
      <c r="J82129"/>
    </row>
    <row r="82130" spans="10:10" x14ac:dyDescent="0.3">
      <c r="J82130"/>
    </row>
    <row r="82131" spans="10:10" x14ac:dyDescent="0.3">
      <c r="J82131"/>
    </row>
    <row r="82132" spans="10:10" x14ac:dyDescent="0.3">
      <c r="J82132"/>
    </row>
    <row r="82133" spans="10:10" x14ac:dyDescent="0.3">
      <c r="J82133"/>
    </row>
    <row r="82134" spans="10:10" x14ac:dyDescent="0.3">
      <c r="J82134"/>
    </row>
    <row r="82135" spans="10:10" x14ac:dyDescent="0.3">
      <c r="J82135"/>
    </row>
    <row r="82136" spans="10:10" x14ac:dyDescent="0.3">
      <c r="J82136"/>
    </row>
    <row r="82137" spans="10:10" x14ac:dyDescent="0.3">
      <c r="J82137"/>
    </row>
    <row r="82138" spans="10:10" x14ac:dyDescent="0.3">
      <c r="J82138"/>
    </row>
    <row r="82139" spans="10:10" x14ac:dyDescent="0.3">
      <c r="J82139"/>
    </row>
    <row r="82140" spans="10:10" x14ac:dyDescent="0.3">
      <c r="J82140"/>
    </row>
    <row r="82141" spans="10:10" x14ac:dyDescent="0.3">
      <c r="J82141"/>
    </row>
    <row r="82142" spans="10:10" x14ac:dyDescent="0.3">
      <c r="J82142"/>
    </row>
    <row r="82143" spans="10:10" x14ac:dyDescent="0.3">
      <c r="J82143"/>
    </row>
    <row r="82144" spans="10:10" x14ac:dyDescent="0.3">
      <c r="J82144"/>
    </row>
    <row r="82145" spans="10:10" x14ac:dyDescent="0.3">
      <c r="J82145"/>
    </row>
    <row r="82146" spans="10:10" x14ac:dyDescent="0.3">
      <c r="J82146"/>
    </row>
    <row r="82147" spans="10:10" x14ac:dyDescent="0.3">
      <c r="J82147"/>
    </row>
    <row r="82148" spans="10:10" x14ac:dyDescent="0.3">
      <c r="J82148"/>
    </row>
    <row r="82149" spans="10:10" x14ac:dyDescent="0.3">
      <c r="J82149"/>
    </row>
    <row r="82150" spans="10:10" x14ac:dyDescent="0.3">
      <c r="J82150"/>
    </row>
    <row r="82151" spans="10:10" x14ac:dyDescent="0.3">
      <c r="J82151"/>
    </row>
    <row r="82152" spans="10:10" x14ac:dyDescent="0.3">
      <c r="J82152"/>
    </row>
    <row r="82153" spans="10:10" x14ac:dyDescent="0.3">
      <c r="J82153"/>
    </row>
    <row r="82154" spans="10:10" x14ac:dyDescent="0.3">
      <c r="J82154"/>
    </row>
    <row r="82155" spans="10:10" x14ac:dyDescent="0.3">
      <c r="J82155"/>
    </row>
    <row r="82156" spans="10:10" x14ac:dyDescent="0.3">
      <c r="J82156"/>
    </row>
    <row r="82157" spans="10:10" x14ac:dyDescent="0.3">
      <c r="J82157"/>
    </row>
    <row r="82158" spans="10:10" x14ac:dyDescent="0.3">
      <c r="J82158"/>
    </row>
    <row r="82159" spans="10:10" x14ac:dyDescent="0.3">
      <c r="J82159"/>
    </row>
    <row r="82160" spans="10:10" x14ac:dyDescent="0.3">
      <c r="J82160"/>
    </row>
    <row r="82161" spans="10:10" x14ac:dyDescent="0.3">
      <c r="J82161"/>
    </row>
    <row r="82162" spans="10:10" x14ac:dyDescent="0.3">
      <c r="J82162"/>
    </row>
    <row r="82163" spans="10:10" x14ac:dyDescent="0.3">
      <c r="J82163"/>
    </row>
    <row r="82164" spans="10:10" x14ac:dyDescent="0.3">
      <c r="J82164"/>
    </row>
    <row r="82165" spans="10:10" x14ac:dyDescent="0.3">
      <c r="J82165"/>
    </row>
    <row r="82166" spans="10:10" x14ac:dyDescent="0.3">
      <c r="J82166"/>
    </row>
    <row r="82167" spans="10:10" x14ac:dyDescent="0.3">
      <c r="J82167"/>
    </row>
    <row r="82168" spans="10:10" x14ac:dyDescent="0.3">
      <c r="J82168"/>
    </row>
    <row r="82169" spans="10:10" x14ac:dyDescent="0.3">
      <c r="J82169"/>
    </row>
    <row r="82170" spans="10:10" x14ac:dyDescent="0.3">
      <c r="J82170"/>
    </row>
    <row r="82171" spans="10:10" x14ac:dyDescent="0.3">
      <c r="J82171"/>
    </row>
    <row r="82172" spans="10:10" x14ac:dyDescent="0.3">
      <c r="J82172"/>
    </row>
    <row r="82173" spans="10:10" x14ac:dyDescent="0.3">
      <c r="J82173"/>
    </row>
    <row r="82174" spans="10:10" x14ac:dyDescent="0.3">
      <c r="J82174"/>
    </row>
    <row r="82175" spans="10:10" x14ac:dyDescent="0.3">
      <c r="J82175"/>
    </row>
    <row r="82176" spans="10:10" x14ac:dyDescent="0.3">
      <c r="J82176"/>
    </row>
    <row r="82177" spans="10:10" x14ac:dyDescent="0.3">
      <c r="J82177"/>
    </row>
    <row r="82178" spans="10:10" x14ac:dyDescent="0.3">
      <c r="J82178"/>
    </row>
    <row r="82179" spans="10:10" x14ac:dyDescent="0.3">
      <c r="J82179"/>
    </row>
    <row r="82180" spans="10:10" x14ac:dyDescent="0.3">
      <c r="J82180"/>
    </row>
    <row r="82181" spans="10:10" x14ac:dyDescent="0.3">
      <c r="J82181"/>
    </row>
    <row r="82182" spans="10:10" x14ac:dyDescent="0.3">
      <c r="J82182"/>
    </row>
    <row r="82183" spans="10:10" x14ac:dyDescent="0.3">
      <c r="J82183"/>
    </row>
    <row r="82184" spans="10:10" x14ac:dyDescent="0.3">
      <c r="J82184"/>
    </row>
    <row r="82185" spans="10:10" x14ac:dyDescent="0.3">
      <c r="J82185"/>
    </row>
    <row r="82186" spans="10:10" x14ac:dyDescent="0.3">
      <c r="J82186"/>
    </row>
    <row r="82187" spans="10:10" x14ac:dyDescent="0.3">
      <c r="J82187"/>
    </row>
    <row r="82188" spans="10:10" x14ac:dyDescent="0.3">
      <c r="J82188"/>
    </row>
    <row r="82189" spans="10:10" x14ac:dyDescent="0.3">
      <c r="J82189"/>
    </row>
    <row r="82190" spans="10:10" x14ac:dyDescent="0.3">
      <c r="J82190"/>
    </row>
    <row r="82191" spans="10:10" x14ac:dyDescent="0.3">
      <c r="J82191"/>
    </row>
    <row r="82192" spans="10:10" x14ac:dyDescent="0.3">
      <c r="J82192"/>
    </row>
    <row r="82193" spans="10:10" x14ac:dyDescent="0.3">
      <c r="J82193"/>
    </row>
    <row r="82194" spans="10:10" x14ac:dyDescent="0.3">
      <c r="J82194"/>
    </row>
    <row r="82195" spans="10:10" x14ac:dyDescent="0.3">
      <c r="J82195"/>
    </row>
    <row r="82196" spans="10:10" x14ac:dyDescent="0.3">
      <c r="J82196"/>
    </row>
    <row r="82197" spans="10:10" x14ac:dyDescent="0.3">
      <c r="J82197"/>
    </row>
    <row r="82198" spans="10:10" x14ac:dyDescent="0.3">
      <c r="J82198"/>
    </row>
    <row r="82199" spans="10:10" x14ac:dyDescent="0.3">
      <c r="J82199"/>
    </row>
    <row r="82200" spans="10:10" x14ac:dyDescent="0.3">
      <c r="J82200"/>
    </row>
    <row r="82201" spans="10:10" x14ac:dyDescent="0.3">
      <c r="J82201"/>
    </row>
    <row r="82202" spans="10:10" x14ac:dyDescent="0.3">
      <c r="J82202"/>
    </row>
    <row r="82203" spans="10:10" x14ac:dyDescent="0.3">
      <c r="J82203"/>
    </row>
    <row r="82204" spans="10:10" x14ac:dyDescent="0.3">
      <c r="J82204"/>
    </row>
    <row r="82205" spans="10:10" x14ac:dyDescent="0.3">
      <c r="J82205"/>
    </row>
    <row r="82206" spans="10:10" x14ac:dyDescent="0.3">
      <c r="J82206"/>
    </row>
    <row r="82207" spans="10:10" x14ac:dyDescent="0.3">
      <c r="J82207"/>
    </row>
    <row r="82208" spans="10:10" x14ac:dyDescent="0.3">
      <c r="J82208"/>
    </row>
    <row r="82209" spans="10:10" x14ac:dyDescent="0.3">
      <c r="J82209"/>
    </row>
    <row r="82210" spans="10:10" x14ac:dyDescent="0.3">
      <c r="J82210"/>
    </row>
    <row r="82211" spans="10:10" x14ac:dyDescent="0.3">
      <c r="J82211"/>
    </row>
    <row r="82212" spans="10:10" x14ac:dyDescent="0.3">
      <c r="J82212"/>
    </row>
    <row r="82213" spans="10:10" x14ac:dyDescent="0.3">
      <c r="J82213"/>
    </row>
    <row r="82214" spans="10:10" x14ac:dyDescent="0.3">
      <c r="J82214"/>
    </row>
    <row r="82215" spans="10:10" x14ac:dyDescent="0.3">
      <c r="J82215"/>
    </row>
    <row r="82216" spans="10:10" x14ac:dyDescent="0.3">
      <c r="J82216"/>
    </row>
    <row r="82217" spans="10:10" x14ac:dyDescent="0.3">
      <c r="J82217"/>
    </row>
    <row r="82218" spans="10:10" x14ac:dyDescent="0.3">
      <c r="J82218"/>
    </row>
    <row r="82219" spans="10:10" x14ac:dyDescent="0.3">
      <c r="J82219"/>
    </row>
    <row r="82220" spans="10:10" x14ac:dyDescent="0.3">
      <c r="J82220"/>
    </row>
    <row r="82221" spans="10:10" x14ac:dyDescent="0.3">
      <c r="J82221"/>
    </row>
    <row r="82222" spans="10:10" x14ac:dyDescent="0.3">
      <c r="J82222"/>
    </row>
    <row r="82223" spans="10:10" x14ac:dyDescent="0.3">
      <c r="J82223"/>
    </row>
    <row r="82224" spans="10:10" x14ac:dyDescent="0.3">
      <c r="J82224"/>
    </row>
    <row r="82225" spans="10:10" x14ac:dyDescent="0.3">
      <c r="J82225"/>
    </row>
    <row r="82226" spans="10:10" x14ac:dyDescent="0.3">
      <c r="J82226"/>
    </row>
    <row r="82227" spans="10:10" x14ac:dyDescent="0.3">
      <c r="J82227"/>
    </row>
    <row r="82228" spans="10:10" x14ac:dyDescent="0.3">
      <c r="J82228"/>
    </row>
    <row r="82229" spans="10:10" x14ac:dyDescent="0.3">
      <c r="J82229"/>
    </row>
    <row r="82230" spans="10:10" x14ac:dyDescent="0.3">
      <c r="J82230"/>
    </row>
    <row r="82231" spans="10:10" x14ac:dyDescent="0.3">
      <c r="J82231"/>
    </row>
    <row r="82232" spans="10:10" x14ac:dyDescent="0.3">
      <c r="J82232"/>
    </row>
    <row r="82233" spans="10:10" x14ac:dyDescent="0.3">
      <c r="J82233"/>
    </row>
    <row r="82234" spans="10:10" x14ac:dyDescent="0.3">
      <c r="J82234"/>
    </row>
    <row r="82235" spans="10:10" x14ac:dyDescent="0.3">
      <c r="J82235"/>
    </row>
    <row r="82236" spans="10:10" x14ac:dyDescent="0.3">
      <c r="J82236"/>
    </row>
    <row r="82237" spans="10:10" x14ac:dyDescent="0.3">
      <c r="J82237"/>
    </row>
    <row r="82238" spans="10:10" x14ac:dyDescent="0.3">
      <c r="J82238"/>
    </row>
    <row r="82239" spans="10:10" x14ac:dyDescent="0.3">
      <c r="J82239"/>
    </row>
    <row r="82240" spans="10:10" x14ac:dyDescent="0.3">
      <c r="J82240"/>
    </row>
    <row r="82241" spans="10:10" x14ac:dyDescent="0.3">
      <c r="J82241"/>
    </row>
    <row r="82242" spans="10:10" x14ac:dyDescent="0.3">
      <c r="J82242"/>
    </row>
    <row r="82243" spans="10:10" x14ac:dyDescent="0.3">
      <c r="J82243"/>
    </row>
    <row r="82244" spans="10:10" x14ac:dyDescent="0.3">
      <c r="J82244"/>
    </row>
    <row r="82245" spans="10:10" x14ac:dyDescent="0.3">
      <c r="J82245"/>
    </row>
    <row r="82246" spans="10:10" x14ac:dyDescent="0.3">
      <c r="J82246"/>
    </row>
    <row r="82247" spans="10:10" x14ac:dyDescent="0.3">
      <c r="J82247"/>
    </row>
    <row r="82248" spans="10:10" x14ac:dyDescent="0.3">
      <c r="J82248"/>
    </row>
    <row r="82249" spans="10:10" x14ac:dyDescent="0.3">
      <c r="J82249"/>
    </row>
    <row r="82250" spans="10:10" x14ac:dyDescent="0.3">
      <c r="J82250"/>
    </row>
    <row r="82251" spans="10:10" x14ac:dyDescent="0.3">
      <c r="J82251"/>
    </row>
    <row r="82252" spans="10:10" x14ac:dyDescent="0.3">
      <c r="J82252"/>
    </row>
    <row r="82253" spans="10:10" x14ac:dyDescent="0.3">
      <c r="J82253"/>
    </row>
    <row r="82254" spans="10:10" x14ac:dyDescent="0.3">
      <c r="J82254"/>
    </row>
    <row r="82255" spans="10:10" x14ac:dyDescent="0.3">
      <c r="J82255"/>
    </row>
    <row r="82256" spans="10:10" x14ac:dyDescent="0.3">
      <c r="J82256"/>
    </row>
    <row r="82257" spans="10:10" x14ac:dyDescent="0.3">
      <c r="J82257"/>
    </row>
    <row r="82258" spans="10:10" x14ac:dyDescent="0.3">
      <c r="J82258"/>
    </row>
    <row r="82259" spans="10:10" x14ac:dyDescent="0.3">
      <c r="J82259"/>
    </row>
    <row r="82260" spans="10:10" x14ac:dyDescent="0.3">
      <c r="J82260"/>
    </row>
    <row r="82261" spans="10:10" x14ac:dyDescent="0.3">
      <c r="J82261"/>
    </row>
    <row r="82262" spans="10:10" x14ac:dyDescent="0.3">
      <c r="J82262"/>
    </row>
    <row r="82263" spans="10:10" x14ac:dyDescent="0.3">
      <c r="J82263"/>
    </row>
    <row r="82264" spans="10:10" x14ac:dyDescent="0.3">
      <c r="J82264"/>
    </row>
    <row r="82265" spans="10:10" x14ac:dyDescent="0.3">
      <c r="J82265"/>
    </row>
    <row r="82266" spans="10:10" x14ac:dyDescent="0.3">
      <c r="J82266"/>
    </row>
    <row r="82267" spans="10:10" x14ac:dyDescent="0.3">
      <c r="J82267"/>
    </row>
    <row r="82268" spans="10:10" x14ac:dyDescent="0.3">
      <c r="J82268"/>
    </row>
    <row r="82269" spans="10:10" x14ac:dyDescent="0.3">
      <c r="J82269"/>
    </row>
    <row r="82270" spans="10:10" x14ac:dyDescent="0.3">
      <c r="J82270"/>
    </row>
    <row r="82271" spans="10:10" x14ac:dyDescent="0.3">
      <c r="J82271"/>
    </row>
    <row r="82272" spans="10:10" x14ac:dyDescent="0.3">
      <c r="J82272"/>
    </row>
    <row r="82273" spans="10:10" x14ac:dyDescent="0.3">
      <c r="J82273"/>
    </row>
    <row r="82274" spans="10:10" x14ac:dyDescent="0.3">
      <c r="J82274"/>
    </row>
    <row r="82275" spans="10:10" x14ac:dyDescent="0.3">
      <c r="J82275"/>
    </row>
    <row r="82276" spans="10:10" x14ac:dyDescent="0.3">
      <c r="J82276"/>
    </row>
    <row r="82277" spans="10:10" x14ac:dyDescent="0.3">
      <c r="J82277"/>
    </row>
    <row r="82278" spans="10:10" x14ac:dyDescent="0.3">
      <c r="J82278"/>
    </row>
    <row r="82279" spans="10:10" x14ac:dyDescent="0.3">
      <c r="J82279"/>
    </row>
    <row r="82280" spans="10:10" x14ac:dyDescent="0.3">
      <c r="J82280"/>
    </row>
    <row r="82281" spans="10:10" x14ac:dyDescent="0.3">
      <c r="J82281"/>
    </row>
    <row r="82282" spans="10:10" x14ac:dyDescent="0.3">
      <c r="J82282"/>
    </row>
    <row r="82283" spans="10:10" x14ac:dyDescent="0.3">
      <c r="J82283"/>
    </row>
    <row r="82284" spans="10:10" x14ac:dyDescent="0.3">
      <c r="J82284"/>
    </row>
    <row r="82285" spans="10:10" x14ac:dyDescent="0.3">
      <c r="J82285"/>
    </row>
    <row r="82286" spans="10:10" x14ac:dyDescent="0.3">
      <c r="J82286"/>
    </row>
    <row r="82287" spans="10:10" x14ac:dyDescent="0.3">
      <c r="J82287"/>
    </row>
    <row r="82288" spans="10:10" x14ac:dyDescent="0.3">
      <c r="J82288"/>
    </row>
    <row r="82289" spans="10:10" x14ac:dyDescent="0.3">
      <c r="J82289"/>
    </row>
    <row r="82290" spans="10:10" x14ac:dyDescent="0.3">
      <c r="J82290"/>
    </row>
    <row r="82291" spans="10:10" x14ac:dyDescent="0.3">
      <c r="J82291"/>
    </row>
    <row r="82292" spans="10:10" x14ac:dyDescent="0.3">
      <c r="J82292"/>
    </row>
    <row r="82293" spans="10:10" x14ac:dyDescent="0.3">
      <c r="J82293"/>
    </row>
    <row r="82294" spans="10:10" x14ac:dyDescent="0.3">
      <c r="J82294"/>
    </row>
    <row r="82295" spans="10:10" x14ac:dyDescent="0.3">
      <c r="J82295"/>
    </row>
    <row r="82296" spans="10:10" x14ac:dyDescent="0.3">
      <c r="J82296"/>
    </row>
    <row r="82297" spans="10:10" x14ac:dyDescent="0.3">
      <c r="J82297"/>
    </row>
    <row r="82298" spans="10:10" x14ac:dyDescent="0.3">
      <c r="J82298"/>
    </row>
    <row r="82299" spans="10:10" x14ac:dyDescent="0.3">
      <c r="J82299"/>
    </row>
    <row r="82300" spans="10:10" x14ac:dyDescent="0.3">
      <c r="J82300"/>
    </row>
    <row r="82301" spans="10:10" x14ac:dyDescent="0.3">
      <c r="J82301"/>
    </row>
    <row r="82302" spans="10:10" x14ac:dyDescent="0.3">
      <c r="J82302"/>
    </row>
    <row r="82303" spans="10:10" x14ac:dyDescent="0.3">
      <c r="J82303"/>
    </row>
    <row r="82304" spans="10:10" x14ac:dyDescent="0.3">
      <c r="J82304"/>
    </row>
    <row r="82305" spans="10:10" x14ac:dyDescent="0.3">
      <c r="J82305"/>
    </row>
    <row r="82306" spans="10:10" x14ac:dyDescent="0.3">
      <c r="J82306"/>
    </row>
    <row r="82307" spans="10:10" x14ac:dyDescent="0.3">
      <c r="J82307"/>
    </row>
    <row r="82308" spans="10:10" x14ac:dyDescent="0.3">
      <c r="J82308"/>
    </row>
    <row r="82309" spans="10:10" x14ac:dyDescent="0.3">
      <c r="J82309"/>
    </row>
    <row r="82310" spans="10:10" x14ac:dyDescent="0.3">
      <c r="J82310"/>
    </row>
    <row r="82311" spans="10:10" x14ac:dyDescent="0.3">
      <c r="J82311"/>
    </row>
    <row r="82312" spans="10:10" x14ac:dyDescent="0.3">
      <c r="J82312"/>
    </row>
    <row r="82313" spans="10:10" x14ac:dyDescent="0.3">
      <c r="J82313"/>
    </row>
    <row r="82314" spans="10:10" x14ac:dyDescent="0.3">
      <c r="J82314"/>
    </row>
    <row r="82315" spans="10:10" x14ac:dyDescent="0.3">
      <c r="J82315"/>
    </row>
    <row r="82316" spans="10:10" x14ac:dyDescent="0.3">
      <c r="J82316"/>
    </row>
    <row r="82317" spans="10:10" x14ac:dyDescent="0.3">
      <c r="J82317"/>
    </row>
    <row r="82318" spans="10:10" x14ac:dyDescent="0.3">
      <c r="J82318"/>
    </row>
    <row r="82319" spans="10:10" x14ac:dyDescent="0.3">
      <c r="J82319"/>
    </row>
    <row r="82320" spans="10:10" x14ac:dyDescent="0.3">
      <c r="J82320"/>
    </row>
    <row r="82321" spans="10:10" x14ac:dyDescent="0.3">
      <c r="J82321"/>
    </row>
    <row r="82322" spans="10:10" x14ac:dyDescent="0.3">
      <c r="J82322"/>
    </row>
    <row r="82323" spans="10:10" x14ac:dyDescent="0.3">
      <c r="J82323"/>
    </row>
    <row r="82324" spans="10:10" x14ac:dyDescent="0.3">
      <c r="J82324"/>
    </row>
    <row r="82325" spans="10:10" x14ac:dyDescent="0.3">
      <c r="J82325"/>
    </row>
    <row r="82326" spans="10:10" x14ac:dyDescent="0.3">
      <c r="J82326"/>
    </row>
    <row r="82327" spans="10:10" x14ac:dyDescent="0.3">
      <c r="J82327"/>
    </row>
    <row r="82328" spans="10:10" x14ac:dyDescent="0.3">
      <c r="J82328"/>
    </row>
    <row r="82329" spans="10:10" x14ac:dyDescent="0.3">
      <c r="J82329"/>
    </row>
    <row r="82330" spans="10:10" x14ac:dyDescent="0.3">
      <c r="J82330"/>
    </row>
    <row r="82331" spans="10:10" x14ac:dyDescent="0.3">
      <c r="J82331"/>
    </row>
    <row r="82332" spans="10:10" x14ac:dyDescent="0.3">
      <c r="J82332"/>
    </row>
    <row r="82333" spans="10:10" x14ac:dyDescent="0.3">
      <c r="J82333"/>
    </row>
    <row r="82334" spans="10:10" x14ac:dyDescent="0.3">
      <c r="J82334"/>
    </row>
    <row r="82335" spans="10:10" x14ac:dyDescent="0.3">
      <c r="J82335"/>
    </row>
    <row r="82336" spans="10:10" x14ac:dyDescent="0.3">
      <c r="J82336"/>
    </row>
    <row r="82337" spans="10:10" x14ac:dyDescent="0.3">
      <c r="J82337"/>
    </row>
    <row r="82338" spans="10:10" x14ac:dyDescent="0.3">
      <c r="J82338"/>
    </row>
    <row r="82339" spans="10:10" x14ac:dyDescent="0.3">
      <c r="J82339"/>
    </row>
    <row r="82340" spans="10:10" x14ac:dyDescent="0.3">
      <c r="J82340"/>
    </row>
    <row r="82341" spans="10:10" x14ac:dyDescent="0.3">
      <c r="J82341"/>
    </row>
    <row r="82342" spans="10:10" x14ac:dyDescent="0.3">
      <c r="J82342"/>
    </row>
    <row r="82343" spans="10:10" x14ac:dyDescent="0.3">
      <c r="J82343"/>
    </row>
    <row r="82344" spans="10:10" x14ac:dyDescent="0.3">
      <c r="J82344"/>
    </row>
    <row r="82345" spans="10:10" x14ac:dyDescent="0.3">
      <c r="J82345"/>
    </row>
    <row r="82346" spans="10:10" x14ac:dyDescent="0.3">
      <c r="J82346"/>
    </row>
    <row r="82347" spans="10:10" x14ac:dyDescent="0.3">
      <c r="J82347"/>
    </row>
    <row r="82348" spans="10:10" x14ac:dyDescent="0.3">
      <c r="J82348"/>
    </row>
    <row r="82349" spans="10:10" x14ac:dyDescent="0.3">
      <c r="J82349"/>
    </row>
    <row r="82350" spans="10:10" x14ac:dyDescent="0.3">
      <c r="J82350"/>
    </row>
    <row r="82351" spans="10:10" x14ac:dyDescent="0.3">
      <c r="J82351"/>
    </row>
    <row r="82352" spans="10:10" x14ac:dyDescent="0.3">
      <c r="J82352"/>
    </row>
    <row r="82353" spans="10:10" x14ac:dyDescent="0.3">
      <c r="J82353"/>
    </row>
    <row r="82354" spans="10:10" x14ac:dyDescent="0.3">
      <c r="J82354"/>
    </row>
    <row r="82355" spans="10:10" x14ac:dyDescent="0.3">
      <c r="J82355"/>
    </row>
    <row r="82356" spans="10:10" x14ac:dyDescent="0.3">
      <c r="J82356"/>
    </row>
    <row r="82357" spans="10:10" x14ac:dyDescent="0.3">
      <c r="J82357"/>
    </row>
    <row r="82358" spans="10:10" x14ac:dyDescent="0.3">
      <c r="J82358"/>
    </row>
    <row r="82359" spans="10:10" x14ac:dyDescent="0.3">
      <c r="J82359"/>
    </row>
    <row r="82360" spans="10:10" x14ac:dyDescent="0.3">
      <c r="J82360"/>
    </row>
    <row r="82361" spans="10:10" x14ac:dyDescent="0.3">
      <c r="J82361"/>
    </row>
    <row r="82362" spans="10:10" x14ac:dyDescent="0.3">
      <c r="J82362"/>
    </row>
    <row r="82363" spans="10:10" x14ac:dyDescent="0.3">
      <c r="J82363"/>
    </row>
    <row r="82364" spans="10:10" x14ac:dyDescent="0.3">
      <c r="J82364"/>
    </row>
    <row r="82365" spans="10:10" x14ac:dyDescent="0.3">
      <c r="J82365"/>
    </row>
    <row r="82366" spans="10:10" x14ac:dyDescent="0.3">
      <c r="J82366"/>
    </row>
    <row r="82367" spans="10:10" x14ac:dyDescent="0.3">
      <c r="J82367"/>
    </row>
    <row r="82368" spans="10:10" x14ac:dyDescent="0.3">
      <c r="J82368"/>
    </row>
    <row r="82369" spans="10:10" x14ac:dyDescent="0.3">
      <c r="J82369"/>
    </row>
    <row r="82370" spans="10:10" x14ac:dyDescent="0.3">
      <c r="J82370"/>
    </row>
    <row r="82371" spans="10:10" x14ac:dyDescent="0.3">
      <c r="J82371"/>
    </row>
    <row r="82372" spans="10:10" x14ac:dyDescent="0.3">
      <c r="J82372"/>
    </row>
    <row r="82373" spans="10:10" x14ac:dyDescent="0.3">
      <c r="J82373"/>
    </row>
    <row r="82374" spans="10:10" x14ac:dyDescent="0.3">
      <c r="J82374"/>
    </row>
    <row r="82375" spans="10:10" x14ac:dyDescent="0.3">
      <c r="J82375"/>
    </row>
    <row r="82376" spans="10:10" x14ac:dyDescent="0.3">
      <c r="J82376"/>
    </row>
    <row r="82377" spans="10:10" x14ac:dyDescent="0.3">
      <c r="J82377"/>
    </row>
    <row r="82378" spans="10:10" x14ac:dyDescent="0.3">
      <c r="J82378"/>
    </row>
    <row r="82379" spans="10:10" x14ac:dyDescent="0.3">
      <c r="J82379"/>
    </row>
    <row r="82380" spans="10:10" x14ac:dyDescent="0.3">
      <c r="J82380"/>
    </row>
    <row r="82381" spans="10:10" x14ac:dyDescent="0.3">
      <c r="J82381"/>
    </row>
    <row r="82382" spans="10:10" x14ac:dyDescent="0.3">
      <c r="J82382"/>
    </row>
    <row r="82383" spans="10:10" x14ac:dyDescent="0.3">
      <c r="J82383"/>
    </row>
    <row r="82384" spans="10:10" x14ac:dyDescent="0.3">
      <c r="J82384"/>
    </row>
    <row r="82385" spans="10:10" x14ac:dyDescent="0.3">
      <c r="J82385"/>
    </row>
    <row r="82386" spans="10:10" x14ac:dyDescent="0.3">
      <c r="J82386"/>
    </row>
    <row r="82387" spans="10:10" x14ac:dyDescent="0.3">
      <c r="J82387"/>
    </row>
    <row r="82388" spans="10:10" x14ac:dyDescent="0.3">
      <c r="J82388"/>
    </row>
    <row r="82389" spans="10:10" x14ac:dyDescent="0.3">
      <c r="J82389"/>
    </row>
    <row r="82390" spans="10:10" x14ac:dyDescent="0.3">
      <c r="J82390"/>
    </row>
    <row r="82391" spans="10:10" x14ac:dyDescent="0.3">
      <c r="J82391"/>
    </row>
    <row r="82392" spans="10:10" x14ac:dyDescent="0.3">
      <c r="J82392"/>
    </row>
    <row r="82393" spans="10:10" x14ac:dyDescent="0.3">
      <c r="J82393"/>
    </row>
    <row r="82394" spans="10:10" x14ac:dyDescent="0.3">
      <c r="J82394"/>
    </row>
    <row r="82395" spans="10:10" x14ac:dyDescent="0.3">
      <c r="J82395"/>
    </row>
    <row r="82396" spans="10:10" x14ac:dyDescent="0.3">
      <c r="J82396"/>
    </row>
    <row r="82397" spans="10:10" x14ac:dyDescent="0.3">
      <c r="J82397"/>
    </row>
    <row r="82398" spans="10:10" x14ac:dyDescent="0.3">
      <c r="J82398"/>
    </row>
    <row r="82399" spans="10:10" x14ac:dyDescent="0.3">
      <c r="J82399"/>
    </row>
    <row r="82400" spans="10:10" x14ac:dyDescent="0.3">
      <c r="J82400"/>
    </row>
    <row r="82401" spans="10:10" x14ac:dyDescent="0.3">
      <c r="J82401"/>
    </row>
    <row r="82402" spans="10:10" x14ac:dyDescent="0.3">
      <c r="J82402"/>
    </row>
    <row r="82403" spans="10:10" x14ac:dyDescent="0.3">
      <c r="J82403"/>
    </row>
    <row r="82404" spans="10:10" x14ac:dyDescent="0.3">
      <c r="J82404"/>
    </row>
    <row r="82405" spans="10:10" x14ac:dyDescent="0.3">
      <c r="J82405"/>
    </row>
    <row r="82406" spans="10:10" x14ac:dyDescent="0.3">
      <c r="J82406"/>
    </row>
    <row r="82407" spans="10:10" x14ac:dyDescent="0.3">
      <c r="J82407"/>
    </row>
    <row r="82408" spans="10:10" x14ac:dyDescent="0.3">
      <c r="J82408"/>
    </row>
    <row r="82409" spans="10:10" x14ac:dyDescent="0.3">
      <c r="J82409"/>
    </row>
    <row r="82410" spans="10:10" x14ac:dyDescent="0.3">
      <c r="J82410"/>
    </row>
    <row r="82411" spans="10:10" x14ac:dyDescent="0.3">
      <c r="J82411"/>
    </row>
    <row r="82412" spans="10:10" x14ac:dyDescent="0.3">
      <c r="J82412"/>
    </row>
    <row r="82413" spans="10:10" x14ac:dyDescent="0.3">
      <c r="J82413"/>
    </row>
    <row r="82414" spans="10:10" x14ac:dyDescent="0.3">
      <c r="J82414"/>
    </row>
    <row r="82415" spans="10:10" x14ac:dyDescent="0.3">
      <c r="J82415"/>
    </row>
    <row r="82416" spans="10:10" x14ac:dyDescent="0.3">
      <c r="J82416"/>
    </row>
    <row r="82417" spans="10:10" x14ac:dyDescent="0.3">
      <c r="J82417"/>
    </row>
    <row r="82418" spans="10:10" x14ac:dyDescent="0.3">
      <c r="J82418"/>
    </row>
    <row r="82419" spans="10:10" x14ac:dyDescent="0.3">
      <c r="J82419"/>
    </row>
    <row r="82420" spans="10:10" x14ac:dyDescent="0.3">
      <c r="J82420"/>
    </row>
    <row r="82421" spans="10:10" x14ac:dyDescent="0.3">
      <c r="J82421"/>
    </row>
    <row r="82422" spans="10:10" x14ac:dyDescent="0.3">
      <c r="J82422"/>
    </row>
    <row r="82423" spans="10:10" x14ac:dyDescent="0.3">
      <c r="J82423"/>
    </row>
    <row r="82424" spans="10:10" x14ac:dyDescent="0.3">
      <c r="J82424"/>
    </row>
    <row r="82425" spans="10:10" x14ac:dyDescent="0.3">
      <c r="J82425"/>
    </row>
    <row r="82426" spans="10:10" x14ac:dyDescent="0.3">
      <c r="J82426"/>
    </row>
    <row r="82427" spans="10:10" x14ac:dyDescent="0.3">
      <c r="J82427"/>
    </row>
    <row r="82428" spans="10:10" x14ac:dyDescent="0.3">
      <c r="J82428"/>
    </row>
    <row r="82429" spans="10:10" x14ac:dyDescent="0.3">
      <c r="J82429"/>
    </row>
    <row r="82430" spans="10:10" x14ac:dyDescent="0.3">
      <c r="J82430"/>
    </row>
    <row r="82431" spans="10:10" x14ac:dyDescent="0.3">
      <c r="J82431"/>
    </row>
    <row r="82432" spans="10:10" x14ac:dyDescent="0.3">
      <c r="J82432"/>
    </row>
    <row r="82433" spans="10:10" x14ac:dyDescent="0.3">
      <c r="J82433"/>
    </row>
    <row r="82434" spans="10:10" x14ac:dyDescent="0.3">
      <c r="J82434"/>
    </row>
    <row r="82435" spans="10:10" x14ac:dyDescent="0.3">
      <c r="J82435"/>
    </row>
    <row r="82436" spans="10:10" x14ac:dyDescent="0.3">
      <c r="J82436"/>
    </row>
    <row r="82437" spans="10:10" x14ac:dyDescent="0.3">
      <c r="J82437"/>
    </row>
    <row r="82438" spans="10:10" x14ac:dyDescent="0.3">
      <c r="J82438"/>
    </row>
    <row r="82439" spans="10:10" x14ac:dyDescent="0.3">
      <c r="J82439"/>
    </row>
    <row r="82440" spans="10:10" x14ac:dyDescent="0.3">
      <c r="J82440"/>
    </row>
    <row r="82441" spans="10:10" x14ac:dyDescent="0.3">
      <c r="J82441"/>
    </row>
    <row r="82442" spans="10:10" x14ac:dyDescent="0.3">
      <c r="J82442"/>
    </row>
    <row r="82443" spans="10:10" x14ac:dyDescent="0.3">
      <c r="J82443"/>
    </row>
    <row r="82444" spans="10:10" x14ac:dyDescent="0.3">
      <c r="J82444"/>
    </row>
    <row r="82445" spans="10:10" x14ac:dyDescent="0.3">
      <c r="J82445"/>
    </row>
    <row r="82446" spans="10:10" x14ac:dyDescent="0.3">
      <c r="J82446"/>
    </row>
    <row r="82447" spans="10:10" x14ac:dyDescent="0.3">
      <c r="J82447"/>
    </row>
    <row r="82448" spans="10:10" x14ac:dyDescent="0.3">
      <c r="J82448"/>
    </row>
    <row r="82449" spans="10:10" x14ac:dyDescent="0.3">
      <c r="J82449"/>
    </row>
    <row r="82450" spans="10:10" x14ac:dyDescent="0.3">
      <c r="J82450"/>
    </row>
    <row r="82451" spans="10:10" x14ac:dyDescent="0.3">
      <c r="J82451"/>
    </row>
    <row r="82452" spans="10:10" x14ac:dyDescent="0.3">
      <c r="J82452"/>
    </row>
    <row r="82453" spans="10:10" x14ac:dyDescent="0.3">
      <c r="J82453"/>
    </row>
    <row r="82454" spans="10:10" x14ac:dyDescent="0.3">
      <c r="J82454"/>
    </row>
    <row r="82455" spans="10:10" x14ac:dyDescent="0.3">
      <c r="J82455"/>
    </row>
    <row r="82456" spans="10:10" x14ac:dyDescent="0.3">
      <c r="J82456"/>
    </row>
    <row r="82457" spans="10:10" x14ac:dyDescent="0.3">
      <c r="J82457"/>
    </row>
    <row r="82458" spans="10:10" x14ac:dyDescent="0.3">
      <c r="J82458"/>
    </row>
    <row r="82459" spans="10:10" x14ac:dyDescent="0.3">
      <c r="J82459"/>
    </row>
    <row r="82460" spans="10:10" x14ac:dyDescent="0.3">
      <c r="J82460"/>
    </row>
    <row r="82461" spans="10:10" x14ac:dyDescent="0.3">
      <c r="J82461"/>
    </row>
    <row r="82462" spans="10:10" x14ac:dyDescent="0.3">
      <c r="J82462"/>
    </row>
    <row r="82463" spans="10:10" x14ac:dyDescent="0.3">
      <c r="J82463"/>
    </row>
    <row r="82464" spans="10:10" x14ac:dyDescent="0.3">
      <c r="J82464"/>
    </row>
    <row r="82465" spans="10:10" x14ac:dyDescent="0.3">
      <c r="J82465"/>
    </row>
    <row r="82466" spans="10:10" x14ac:dyDescent="0.3">
      <c r="J82466"/>
    </row>
    <row r="82467" spans="10:10" x14ac:dyDescent="0.3">
      <c r="J82467"/>
    </row>
    <row r="82468" spans="10:10" x14ac:dyDescent="0.3">
      <c r="J82468"/>
    </row>
    <row r="82469" spans="10:10" x14ac:dyDescent="0.3">
      <c r="J82469"/>
    </row>
    <row r="82470" spans="10:10" x14ac:dyDescent="0.3">
      <c r="J82470"/>
    </row>
    <row r="82471" spans="10:10" x14ac:dyDescent="0.3">
      <c r="J82471"/>
    </row>
    <row r="82472" spans="10:10" x14ac:dyDescent="0.3">
      <c r="J82472"/>
    </row>
    <row r="82473" spans="10:10" x14ac:dyDescent="0.3">
      <c r="J82473"/>
    </row>
    <row r="82474" spans="10:10" x14ac:dyDescent="0.3">
      <c r="J82474"/>
    </row>
    <row r="82475" spans="10:10" x14ac:dyDescent="0.3">
      <c r="J82475"/>
    </row>
    <row r="82476" spans="10:10" x14ac:dyDescent="0.3">
      <c r="J82476"/>
    </row>
    <row r="82477" spans="10:10" x14ac:dyDescent="0.3">
      <c r="J82477"/>
    </row>
    <row r="82478" spans="10:10" x14ac:dyDescent="0.3">
      <c r="J82478"/>
    </row>
    <row r="82479" spans="10:10" x14ac:dyDescent="0.3">
      <c r="J82479"/>
    </row>
    <row r="82480" spans="10:10" x14ac:dyDescent="0.3">
      <c r="J82480"/>
    </row>
    <row r="82481" spans="10:10" x14ac:dyDescent="0.3">
      <c r="J82481"/>
    </row>
    <row r="82482" spans="10:10" x14ac:dyDescent="0.3">
      <c r="J82482"/>
    </row>
    <row r="82483" spans="10:10" x14ac:dyDescent="0.3">
      <c r="J82483"/>
    </row>
    <row r="82484" spans="10:10" x14ac:dyDescent="0.3">
      <c r="J82484"/>
    </row>
    <row r="82485" spans="10:10" x14ac:dyDescent="0.3">
      <c r="J82485"/>
    </row>
    <row r="82486" spans="10:10" x14ac:dyDescent="0.3">
      <c r="J82486"/>
    </row>
    <row r="82487" spans="10:10" x14ac:dyDescent="0.3">
      <c r="J82487"/>
    </row>
    <row r="82488" spans="10:10" x14ac:dyDescent="0.3">
      <c r="J82488"/>
    </row>
    <row r="82489" spans="10:10" x14ac:dyDescent="0.3">
      <c r="J82489"/>
    </row>
    <row r="82490" spans="10:10" x14ac:dyDescent="0.3">
      <c r="J82490"/>
    </row>
    <row r="82491" spans="10:10" x14ac:dyDescent="0.3">
      <c r="J82491"/>
    </row>
    <row r="82492" spans="10:10" x14ac:dyDescent="0.3">
      <c r="J82492"/>
    </row>
    <row r="82493" spans="10:10" x14ac:dyDescent="0.3">
      <c r="J82493"/>
    </row>
    <row r="82494" spans="10:10" x14ac:dyDescent="0.3">
      <c r="J82494"/>
    </row>
    <row r="82495" spans="10:10" x14ac:dyDescent="0.3">
      <c r="J82495"/>
    </row>
    <row r="82496" spans="10:10" x14ac:dyDescent="0.3">
      <c r="J82496"/>
    </row>
    <row r="82497" spans="10:10" x14ac:dyDescent="0.3">
      <c r="J82497"/>
    </row>
    <row r="82498" spans="10:10" x14ac:dyDescent="0.3">
      <c r="J82498"/>
    </row>
    <row r="82499" spans="10:10" x14ac:dyDescent="0.3">
      <c r="J82499"/>
    </row>
    <row r="82500" spans="10:10" x14ac:dyDescent="0.3">
      <c r="J82500"/>
    </row>
    <row r="82501" spans="10:10" x14ac:dyDescent="0.3">
      <c r="J82501"/>
    </row>
    <row r="82502" spans="10:10" x14ac:dyDescent="0.3">
      <c r="J82502"/>
    </row>
    <row r="82503" spans="10:10" x14ac:dyDescent="0.3">
      <c r="J82503"/>
    </row>
    <row r="82504" spans="10:10" x14ac:dyDescent="0.3">
      <c r="J82504"/>
    </row>
    <row r="82505" spans="10:10" x14ac:dyDescent="0.3">
      <c r="J82505"/>
    </row>
    <row r="82506" spans="10:10" x14ac:dyDescent="0.3">
      <c r="J82506"/>
    </row>
    <row r="82507" spans="10:10" x14ac:dyDescent="0.3">
      <c r="J82507"/>
    </row>
    <row r="82508" spans="10:10" x14ac:dyDescent="0.3">
      <c r="J82508"/>
    </row>
    <row r="82509" spans="10:10" x14ac:dyDescent="0.3">
      <c r="J82509"/>
    </row>
    <row r="82510" spans="10:10" x14ac:dyDescent="0.3">
      <c r="J82510"/>
    </row>
    <row r="82511" spans="10:10" x14ac:dyDescent="0.3">
      <c r="J82511"/>
    </row>
    <row r="82512" spans="10:10" x14ac:dyDescent="0.3">
      <c r="J82512"/>
    </row>
    <row r="82513" spans="10:10" x14ac:dyDescent="0.3">
      <c r="J82513"/>
    </row>
    <row r="82514" spans="10:10" x14ac:dyDescent="0.3">
      <c r="J82514"/>
    </row>
    <row r="82515" spans="10:10" x14ac:dyDescent="0.3">
      <c r="J82515"/>
    </row>
    <row r="82516" spans="10:10" x14ac:dyDescent="0.3">
      <c r="J82516"/>
    </row>
    <row r="82517" spans="10:10" x14ac:dyDescent="0.3">
      <c r="J82517"/>
    </row>
    <row r="82518" spans="10:10" x14ac:dyDescent="0.3">
      <c r="J82518"/>
    </row>
    <row r="82519" spans="10:10" x14ac:dyDescent="0.3">
      <c r="J82519"/>
    </row>
    <row r="82520" spans="10:10" x14ac:dyDescent="0.3">
      <c r="J82520"/>
    </row>
    <row r="82521" spans="10:10" x14ac:dyDescent="0.3">
      <c r="J82521"/>
    </row>
    <row r="82522" spans="10:10" x14ac:dyDescent="0.3">
      <c r="J82522"/>
    </row>
    <row r="82523" spans="10:10" x14ac:dyDescent="0.3">
      <c r="J82523"/>
    </row>
    <row r="82524" spans="10:10" x14ac:dyDescent="0.3">
      <c r="J82524"/>
    </row>
    <row r="82525" spans="10:10" x14ac:dyDescent="0.3">
      <c r="J82525"/>
    </row>
    <row r="82526" spans="10:10" x14ac:dyDescent="0.3">
      <c r="J82526"/>
    </row>
    <row r="82527" spans="10:10" x14ac:dyDescent="0.3">
      <c r="J82527"/>
    </row>
    <row r="82528" spans="10:10" x14ac:dyDescent="0.3">
      <c r="J82528"/>
    </row>
    <row r="82529" spans="10:10" x14ac:dyDescent="0.3">
      <c r="J82529"/>
    </row>
    <row r="82530" spans="10:10" x14ac:dyDescent="0.3">
      <c r="J82530"/>
    </row>
    <row r="82531" spans="10:10" x14ac:dyDescent="0.3">
      <c r="J82531"/>
    </row>
    <row r="82532" spans="10:10" x14ac:dyDescent="0.3">
      <c r="J82532"/>
    </row>
    <row r="82533" spans="10:10" x14ac:dyDescent="0.3">
      <c r="J82533"/>
    </row>
    <row r="82534" spans="10:10" x14ac:dyDescent="0.3">
      <c r="J82534"/>
    </row>
    <row r="82535" spans="10:10" x14ac:dyDescent="0.3">
      <c r="J82535"/>
    </row>
    <row r="82536" spans="10:10" x14ac:dyDescent="0.3">
      <c r="J82536"/>
    </row>
    <row r="82537" spans="10:10" x14ac:dyDescent="0.3">
      <c r="J82537"/>
    </row>
    <row r="82538" spans="10:10" x14ac:dyDescent="0.3">
      <c r="J82538"/>
    </row>
    <row r="82539" spans="10:10" x14ac:dyDescent="0.3">
      <c r="J82539"/>
    </row>
    <row r="82540" spans="10:10" x14ac:dyDescent="0.3">
      <c r="J82540"/>
    </row>
    <row r="82541" spans="10:10" x14ac:dyDescent="0.3">
      <c r="J82541"/>
    </row>
    <row r="82542" spans="10:10" x14ac:dyDescent="0.3">
      <c r="J82542"/>
    </row>
    <row r="82543" spans="10:10" x14ac:dyDescent="0.3">
      <c r="J82543"/>
    </row>
    <row r="82544" spans="10:10" x14ac:dyDescent="0.3">
      <c r="J82544"/>
    </row>
    <row r="82545" spans="10:10" x14ac:dyDescent="0.3">
      <c r="J82545"/>
    </row>
    <row r="82546" spans="10:10" x14ac:dyDescent="0.3">
      <c r="J82546"/>
    </row>
    <row r="82547" spans="10:10" x14ac:dyDescent="0.3">
      <c r="J82547"/>
    </row>
    <row r="82548" spans="10:10" x14ac:dyDescent="0.3">
      <c r="J82548"/>
    </row>
    <row r="82549" spans="10:10" x14ac:dyDescent="0.3">
      <c r="J82549"/>
    </row>
    <row r="82550" spans="10:10" x14ac:dyDescent="0.3">
      <c r="J82550"/>
    </row>
    <row r="82551" spans="10:10" x14ac:dyDescent="0.3">
      <c r="J82551"/>
    </row>
    <row r="82552" spans="10:10" x14ac:dyDescent="0.3">
      <c r="J82552"/>
    </row>
    <row r="82553" spans="10:10" x14ac:dyDescent="0.3">
      <c r="J82553"/>
    </row>
    <row r="82554" spans="10:10" x14ac:dyDescent="0.3">
      <c r="J82554"/>
    </row>
    <row r="82555" spans="10:10" x14ac:dyDescent="0.3">
      <c r="J82555"/>
    </row>
    <row r="82556" spans="10:10" x14ac:dyDescent="0.3">
      <c r="J82556"/>
    </row>
    <row r="82557" spans="10:10" x14ac:dyDescent="0.3">
      <c r="J82557"/>
    </row>
    <row r="82558" spans="10:10" x14ac:dyDescent="0.3">
      <c r="J82558"/>
    </row>
    <row r="82559" spans="10:10" x14ac:dyDescent="0.3">
      <c r="J82559"/>
    </row>
    <row r="82560" spans="10:10" x14ac:dyDescent="0.3">
      <c r="J82560"/>
    </row>
    <row r="82561" spans="10:10" x14ac:dyDescent="0.3">
      <c r="J82561"/>
    </row>
    <row r="82562" spans="10:10" x14ac:dyDescent="0.3">
      <c r="J82562"/>
    </row>
    <row r="82563" spans="10:10" x14ac:dyDescent="0.3">
      <c r="J82563"/>
    </row>
    <row r="82564" spans="10:10" x14ac:dyDescent="0.3">
      <c r="J82564"/>
    </row>
    <row r="82565" spans="10:10" x14ac:dyDescent="0.3">
      <c r="J82565"/>
    </row>
    <row r="82566" spans="10:10" x14ac:dyDescent="0.3">
      <c r="J82566"/>
    </row>
    <row r="82567" spans="10:10" x14ac:dyDescent="0.3">
      <c r="J82567"/>
    </row>
    <row r="82568" spans="10:10" x14ac:dyDescent="0.3">
      <c r="J82568"/>
    </row>
    <row r="82569" spans="10:10" x14ac:dyDescent="0.3">
      <c r="J82569"/>
    </row>
    <row r="82570" spans="10:10" x14ac:dyDescent="0.3">
      <c r="J82570"/>
    </row>
    <row r="82571" spans="10:10" x14ac:dyDescent="0.3">
      <c r="J82571"/>
    </row>
    <row r="82572" spans="10:10" x14ac:dyDescent="0.3">
      <c r="J82572"/>
    </row>
    <row r="82573" spans="10:10" x14ac:dyDescent="0.3">
      <c r="J82573"/>
    </row>
    <row r="82574" spans="10:10" x14ac:dyDescent="0.3">
      <c r="J82574"/>
    </row>
    <row r="82575" spans="10:10" x14ac:dyDescent="0.3">
      <c r="J82575"/>
    </row>
    <row r="82576" spans="10:10" x14ac:dyDescent="0.3">
      <c r="J82576"/>
    </row>
    <row r="82577" spans="10:10" x14ac:dyDescent="0.3">
      <c r="J82577"/>
    </row>
    <row r="82578" spans="10:10" x14ac:dyDescent="0.3">
      <c r="J82578"/>
    </row>
    <row r="82579" spans="10:10" x14ac:dyDescent="0.3">
      <c r="J82579"/>
    </row>
    <row r="82580" spans="10:10" x14ac:dyDescent="0.3">
      <c r="J82580"/>
    </row>
    <row r="82581" spans="10:10" x14ac:dyDescent="0.3">
      <c r="J82581"/>
    </row>
    <row r="82582" spans="10:10" x14ac:dyDescent="0.3">
      <c r="J82582"/>
    </row>
    <row r="82583" spans="10:10" x14ac:dyDescent="0.3">
      <c r="J82583"/>
    </row>
    <row r="82584" spans="10:10" x14ac:dyDescent="0.3">
      <c r="J82584"/>
    </row>
    <row r="82585" spans="10:10" x14ac:dyDescent="0.3">
      <c r="J82585"/>
    </row>
    <row r="82586" spans="10:10" x14ac:dyDescent="0.3">
      <c r="J82586"/>
    </row>
    <row r="82587" spans="10:10" x14ac:dyDescent="0.3">
      <c r="J82587"/>
    </row>
    <row r="82588" spans="10:10" x14ac:dyDescent="0.3">
      <c r="J82588"/>
    </row>
    <row r="82589" spans="10:10" x14ac:dyDescent="0.3">
      <c r="J82589"/>
    </row>
    <row r="82590" spans="10:10" x14ac:dyDescent="0.3">
      <c r="J82590"/>
    </row>
    <row r="82591" spans="10:10" x14ac:dyDescent="0.3">
      <c r="J82591"/>
    </row>
    <row r="82592" spans="10:10" x14ac:dyDescent="0.3">
      <c r="J82592"/>
    </row>
    <row r="82593" spans="10:10" x14ac:dyDescent="0.3">
      <c r="J82593"/>
    </row>
    <row r="82594" spans="10:10" x14ac:dyDescent="0.3">
      <c r="J82594"/>
    </row>
    <row r="82595" spans="10:10" x14ac:dyDescent="0.3">
      <c r="J82595"/>
    </row>
    <row r="82596" spans="10:10" x14ac:dyDescent="0.3">
      <c r="J82596"/>
    </row>
    <row r="82597" spans="10:10" x14ac:dyDescent="0.3">
      <c r="J82597"/>
    </row>
    <row r="82598" spans="10:10" x14ac:dyDescent="0.3">
      <c r="J82598"/>
    </row>
    <row r="82599" spans="10:10" x14ac:dyDescent="0.3">
      <c r="J82599"/>
    </row>
    <row r="82600" spans="10:10" x14ac:dyDescent="0.3">
      <c r="J82600"/>
    </row>
    <row r="82601" spans="10:10" x14ac:dyDescent="0.3">
      <c r="J82601"/>
    </row>
    <row r="82602" spans="10:10" x14ac:dyDescent="0.3">
      <c r="J82602"/>
    </row>
    <row r="82603" spans="10:10" x14ac:dyDescent="0.3">
      <c r="J82603"/>
    </row>
    <row r="82604" spans="10:10" x14ac:dyDescent="0.3">
      <c r="J82604"/>
    </row>
    <row r="82605" spans="10:10" x14ac:dyDescent="0.3">
      <c r="J82605"/>
    </row>
    <row r="82606" spans="10:10" x14ac:dyDescent="0.3">
      <c r="J82606"/>
    </row>
    <row r="82607" spans="10:10" x14ac:dyDescent="0.3">
      <c r="J82607"/>
    </row>
    <row r="82608" spans="10:10" x14ac:dyDescent="0.3">
      <c r="J82608"/>
    </row>
    <row r="82609" spans="10:10" x14ac:dyDescent="0.3">
      <c r="J82609"/>
    </row>
    <row r="82610" spans="10:10" x14ac:dyDescent="0.3">
      <c r="J82610"/>
    </row>
    <row r="82611" spans="10:10" x14ac:dyDescent="0.3">
      <c r="J82611"/>
    </row>
    <row r="82612" spans="10:10" x14ac:dyDescent="0.3">
      <c r="J82612"/>
    </row>
    <row r="82613" spans="10:10" x14ac:dyDescent="0.3">
      <c r="J82613"/>
    </row>
    <row r="82614" spans="10:10" x14ac:dyDescent="0.3">
      <c r="J82614"/>
    </row>
    <row r="82615" spans="10:10" x14ac:dyDescent="0.3">
      <c r="J82615"/>
    </row>
    <row r="82616" spans="10:10" x14ac:dyDescent="0.3">
      <c r="J82616"/>
    </row>
    <row r="82617" spans="10:10" x14ac:dyDescent="0.3">
      <c r="J82617"/>
    </row>
    <row r="82618" spans="10:10" x14ac:dyDescent="0.3">
      <c r="J82618"/>
    </row>
    <row r="82619" spans="10:10" x14ac:dyDescent="0.3">
      <c r="J82619"/>
    </row>
    <row r="82620" spans="10:10" x14ac:dyDescent="0.3">
      <c r="J82620"/>
    </row>
    <row r="82621" spans="10:10" x14ac:dyDescent="0.3">
      <c r="J82621"/>
    </row>
    <row r="82622" spans="10:10" x14ac:dyDescent="0.3">
      <c r="J82622"/>
    </row>
    <row r="82623" spans="10:10" x14ac:dyDescent="0.3">
      <c r="J82623"/>
    </row>
    <row r="82624" spans="10:10" x14ac:dyDescent="0.3">
      <c r="J82624"/>
    </row>
    <row r="82625" spans="10:10" x14ac:dyDescent="0.3">
      <c r="J82625"/>
    </row>
    <row r="82626" spans="10:10" x14ac:dyDescent="0.3">
      <c r="J82626"/>
    </row>
    <row r="82627" spans="10:10" x14ac:dyDescent="0.3">
      <c r="J82627"/>
    </row>
    <row r="82628" spans="10:10" x14ac:dyDescent="0.3">
      <c r="J82628"/>
    </row>
    <row r="82629" spans="10:10" x14ac:dyDescent="0.3">
      <c r="J82629"/>
    </row>
    <row r="82630" spans="10:10" x14ac:dyDescent="0.3">
      <c r="J82630"/>
    </row>
    <row r="82631" spans="10:10" x14ac:dyDescent="0.3">
      <c r="J82631"/>
    </row>
    <row r="82632" spans="10:10" x14ac:dyDescent="0.3">
      <c r="J82632"/>
    </row>
    <row r="82633" spans="10:10" x14ac:dyDescent="0.3">
      <c r="J82633"/>
    </row>
    <row r="82634" spans="10:10" x14ac:dyDescent="0.3">
      <c r="J82634"/>
    </row>
    <row r="82635" spans="10:10" x14ac:dyDescent="0.3">
      <c r="J82635"/>
    </row>
    <row r="82636" spans="10:10" x14ac:dyDescent="0.3">
      <c r="J82636"/>
    </row>
    <row r="82637" spans="10:10" x14ac:dyDescent="0.3">
      <c r="J82637"/>
    </row>
    <row r="82638" spans="10:10" x14ac:dyDescent="0.3">
      <c r="J82638"/>
    </row>
    <row r="82639" spans="10:10" x14ac:dyDescent="0.3">
      <c r="J82639"/>
    </row>
    <row r="82640" spans="10:10" x14ac:dyDescent="0.3">
      <c r="J82640"/>
    </row>
    <row r="82641" spans="10:10" x14ac:dyDescent="0.3">
      <c r="J82641"/>
    </row>
    <row r="82642" spans="10:10" x14ac:dyDescent="0.3">
      <c r="J82642"/>
    </row>
    <row r="82643" spans="10:10" x14ac:dyDescent="0.3">
      <c r="J82643"/>
    </row>
    <row r="82644" spans="10:10" x14ac:dyDescent="0.3">
      <c r="J82644"/>
    </row>
    <row r="82645" spans="10:10" x14ac:dyDescent="0.3">
      <c r="J82645"/>
    </row>
    <row r="82646" spans="10:10" x14ac:dyDescent="0.3">
      <c r="J82646"/>
    </row>
    <row r="82647" spans="10:10" x14ac:dyDescent="0.3">
      <c r="J82647"/>
    </row>
    <row r="82648" spans="10:10" x14ac:dyDescent="0.3">
      <c r="J82648"/>
    </row>
    <row r="82649" spans="10:10" x14ac:dyDescent="0.3">
      <c r="J82649"/>
    </row>
    <row r="82650" spans="10:10" x14ac:dyDescent="0.3">
      <c r="J82650"/>
    </row>
    <row r="82651" spans="10:10" x14ac:dyDescent="0.3">
      <c r="J82651"/>
    </row>
    <row r="82652" spans="10:10" x14ac:dyDescent="0.3">
      <c r="J82652"/>
    </row>
    <row r="82653" spans="10:10" x14ac:dyDescent="0.3">
      <c r="J82653"/>
    </row>
    <row r="82654" spans="10:10" x14ac:dyDescent="0.3">
      <c r="J82654"/>
    </row>
    <row r="82655" spans="10:10" x14ac:dyDescent="0.3">
      <c r="J82655"/>
    </row>
    <row r="82656" spans="10:10" x14ac:dyDescent="0.3">
      <c r="J82656"/>
    </row>
    <row r="82657" spans="10:10" x14ac:dyDescent="0.3">
      <c r="J82657"/>
    </row>
    <row r="82658" spans="10:10" x14ac:dyDescent="0.3">
      <c r="J82658"/>
    </row>
    <row r="82659" spans="10:10" x14ac:dyDescent="0.3">
      <c r="J82659"/>
    </row>
    <row r="82660" spans="10:10" x14ac:dyDescent="0.3">
      <c r="J82660"/>
    </row>
    <row r="82661" spans="10:10" x14ac:dyDescent="0.3">
      <c r="J82661"/>
    </row>
    <row r="82662" spans="10:10" x14ac:dyDescent="0.3">
      <c r="J82662"/>
    </row>
    <row r="82663" spans="10:10" x14ac:dyDescent="0.3">
      <c r="J82663"/>
    </row>
    <row r="82664" spans="10:10" x14ac:dyDescent="0.3">
      <c r="J82664"/>
    </row>
    <row r="82665" spans="10:10" x14ac:dyDescent="0.3">
      <c r="J82665"/>
    </row>
    <row r="82666" spans="10:10" x14ac:dyDescent="0.3">
      <c r="J82666"/>
    </row>
    <row r="82667" spans="10:10" x14ac:dyDescent="0.3">
      <c r="J82667"/>
    </row>
    <row r="82668" spans="10:10" x14ac:dyDescent="0.3">
      <c r="J82668"/>
    </row>
    <row r="82669" spans="10:10" x14ac:dyDescent="0.3">
      <c r="J82669"/>
    </row>
    <row r="82670" spans="10:10" x14ac:dyDescent="0.3">
      <c r="J82670"/>
    </row>
    <row r="82671" spans="10:10" x14ac:dyDescent="0.3">
      <c r="J82671"/>
    </row>
    <row r="82672" spans="10:10" x14ac:dyDescent="0.3">
      <c r="J82672"/>
    </row>
    <row r="82673" spans="10:10" x14ac:dyDescent="0.3">
      <c r="J82673"/>
    </row>
    <row r="82674" spans="10:10" x14ac:dyDescent="0.3">
      <c r="J82674"/>
    </row>
    <row r="82675" spans="10:10" x14ac:dyDescent="0.3">
      <c r="J82675"/>
    </row>
    <row r="82676" spans="10:10" x14ac:dyDescent="0.3">
      <c r="J82676"/>
    </row>
    <row r="82677" spans="10:10" x14ac:dyDescent="0.3">
      <c r="J82677"/>
    </row>
    <row r="82678" spans="10:10" x14ac:dyDescent="0.3">
      <c r="J82678"/>
    </row>
    <row r="82679" spans="10:10" x14ac:dyDescent="0.3">
      <c r="J82679"/>
    </row>
    <row r="82680" spans="10:10" x14ac:dyDescent="0.3">
      <c r="J82680"/>
    </row>
    <row r="82681" spans="10:10" x14ac:dyDescent="0.3">
      <c r="J82681"/>
    </row>
    <row r="82682" spans="10:10" x14ac:dyDescent="0.3">
      <c r="J82682"/>
    </row>
    <row r="82683" spans="10:10" x14ac:dyDescent="0.3">
      <c r="J82683"/>
    </row>
    <row r="82684" spans="10:10" x14ac:dyDescent="0.3">
      <c r="J82684"/>
    </row>
    <row r="82685" spans="10:10" x14ac:dyDescent="0.3">
      <c r="J82685"/>
    </row>
    <row r="82686" spans="10:10" x14ac:dyDescent="0.3">
      <c r="J82686"/>
    </row>
    <row r="82687" spans="10:10" x14ac:dyDescent="0.3">
      <c r="J82687"/>
    </row>
    <row r="82688" spans="10:10" x14ac:dyDescent="0.3">
      <c r="J82688"/>
    </row>
    <row r="82689" spans="10:10" x14ac:dyDescent="0.3">
      <c r="J82689"/>
    </row>
    <row r="82690" spans="10:10" x14ac:dyDescent="0.3">
      <c r="J82690"/>
    </row>
    <row r="82691" spans="10:10" x14ac:dyDescent="0.3">
      <c r="J82691"/>
    </row>
    <row r="82692" spans="10:10" x14ac:dyDescent="0.3">
      <c r="J82692"/>
    </row>
    <row r="82693" spans="10:10" x14ac:dyDescent="0.3">
      <c r="J82693"/>
    </row>
    <row r="82694" spans="10:10" x14ac:dyDescent="0.3">
      <c r="J82694"/>
    </row>
    <row r="82695" spans="10:10" x14ac:dyDescent="0.3">
      <c r="J82695"/>
    </row>
    <row r="82696" spans="10:10" x14ac:dyDescent="0.3">
      <c r="J82696"/>
    </row>
    <row r="82697" spans="10:10" x14ac:dyDescent="0.3">
      <c r="J82697"/>
    </row>
    <row r="82698" spans="10:10" x14ac:dyDescent="0.3">
      <c r="J82698"/>
    </row>
    <row r="82699" spans="10:10" x14ac:dyDescent="0.3">
      <c r="J82699"/>
    </row>
    <row r="82700" spans="10:10" x14ac:dyDescent="0.3">
      <c r="J82700"/>
    </row>
    <row r="82701" spans="10:10" x14ac:dyDescent="0.3">
      <c r="J82701"/>
    </row>
    <row r="82702" spans="10:10" x14ac:dyDescent="0.3">
      <c r="J82702"/>
    </row>
    <row r="82703" spans="10:10" x14ac:dyDescent="0.3">
      <c r="J82703"/>
    </row>
    <row r="82704" spans="10:10" x14ac:dyDescent="0.3">
      <c r="J82704"/>
    </row>
    <row r="82705" spans="10:10" x14ac:dyDescent="0.3">
      <c r="J82705"/>
    </row>
    <row r="82706" spans="10:10" x14ac:dyDescent="0.3">
      <c r="J82706"/>
    </row>
    <row r="82707" spans="10:10" x14ac:dyDescent="0.3">
      <c r="J82707"/>
    </row>
    <row r="82708" spans="10:10" x14ac:dyDescent="0.3">
      <c r="J82708"/>
    </row>
    <row r="82709" spans="10:10" x14ac:dyDescent="0.3">
      <c r="J82709"/>
    </row>
    <row r="82710" spans="10:10" x14ac:dyDescent="0.3">
      <c r="J82710"/>
    </row>
    <row r="82711" spans="10:10" x14ac:dyDescent="0.3">
      <c r="J82711"/>
    </row>
    <row r="82712" spans="10:10" x14ac:dyDescent="0.3">
      <c r="J82712"/>
    </row>
    <row r="82713" spans="10:10" x14ac:dyDescent="0.3">
      <c r="J82713"/>
    </row>
    <row r="82714" spans="10:10" x14ac:dyDescent="0.3">
      <c r="J82714"/>
    </row>
    <row r="82715" spans="10:10" x14ac:dyDescent="0.3">
      <c r="J82715"/>
    </row>
    <row r="82716" spans="10:10" x14ac:dyDescent="0.3">
      <c r="J82716"/>
    </row>
    <row r="82717" spans="10:10" x14ac:dyDescent="0.3">
      <c r="J82717"/>
    </row>
    <row r="82718" spans="10:10" x14ac:dyDescent="0.3">
      <c r="J82718"/>
    </row>
    <row r="82719" spans="10:10" x14ac:dyDescent="0.3">
      <c r="J82719"/>
    </row>
    <row r="82720" spans="10:10" x14ac:dyDescent="0.3">
      <c r="J82720"/>
    </row>
    <row r="82721" spans="10:10" x14ac:dyDescent="0.3">
      <c r="J82721"/>
    </row>
    <row r="82722" spans="10:10" x14ac:dyDescent="0.3">
      <c r="J82722"/>
    </row>
    <row r="82723" spans="10:10" x14ac:dyDescent="0.3">
      <c r="J82723"/>
    </row>
    <row r="82724" spans="10:10" x14ac:dyDescent="0.3">
      <c r="J82724"/>
    </row>
    <row r="82725" spans="10:10" x14ac:dyDescent="0.3">
      <c r="J82725"/>
    </row>
    <row r="82726" spans="10:10" x14ac:dyDescent="0.3">
      <c r="J82726"/>
    </row>
    <row r="82727" spans="10:10" x14ac:dyDescent="0.3">
      <c r="J82727"/>
    </row>
    <row r="82728" spans="10:10" x14ac:dyDescent="0.3">
      <c r="J82728"/>
    </row>
    <row r="82729" spans="10:10" x14ac:dyDescent="0.3">
      <c r="J82729"/>
    </row>
    <row r="82730" spans="10:10" x14ac:dyDescent="0.3">
      <c r="J82730"/>
    </row>
    <row r="82731" spans="10:10" x14ac:dyDescent="0.3">
      <c r="J82731"/>
    </row>
    <row r="82732" spans="10:10" x14ac:dyDescent="0.3">
      <c r="J82732"/>
    </row>
    <row r="82733" spans="10:10" x14ac:dyDescent="0.3">
      <c r="J82733"/>
    </row>
    <row r="82734" spans="10:10" x14ac:dyDescent="0.3">
      <c r="J82734"/>
    </row>
    <row r="82735" spans="10:10" x14ac:dyDescent="0.3">
      <c r="J82735"/>
    </row>
    <row r="82736" spans="10:10" x14ac:dyDescent="0.3">
      <c r="J82736"/>
    </row>
    <row r="82737" spans="10:10" x14ac:dyDescent="0.3">
      <c r="J82737"/>
    </row>
    <row r="82738" spans="10:10" x14ac:dyDescent="0.3">
      <c r="J82738"/>
    </row>
    <row r="82739" spans="10:10" x14ac:dyDescent="0.3">
      <c r="J82739"/>
    </row>
    <row r="82740" spans="10:10" x14ac:dyDescent="0.3">
      <c r="J82740"/>
    </row>
    <row r="82741" spans="10:10" x14ac:dyDescent="0.3">
      <c r="J82741"/>
    </row>
    <row r="82742" spans="10:10" x14ac:dyDescent="0.3">
      <c r="J82742"/>
    </row>
    <row r="82743" spans="10:10" x14ac:dyDescent="0.3">
      <c r="J82743"/>
    </row>
    <row r="82744" spans="10:10" x14ac:dyDescent="0.3">
      <c r="J82744"/>
    </row>
    <row r="82745" spans="10:10" x14ac:dyDescent="0.3">
      <c r="J82745"/>
    </row>
    <row r="82746" spans="10:10" x14ac:dyDescent="0.3">
      <c r="J82746"/>
    </row>
    <row r="82747" spans="10:10" x14ac:dyDescent="0.3">
      <c r="J82747"/>
    </row>
    <row r="82748" spans="10:10" x14ac:dyDescent="0.3">
      <c r="J82748"/>
    </row>
    <row r="82749" spans="10:10" x14ac:dyDescent="0.3">
      <c r="J82749"/>
    </row>
    <row r="82750" spans="10:10" x14ac:dyDescent="0.3">
      <c r="J82750"/>
    </row>
    <row r="82751" spans="10:10" x14ac:dyDescent="0.3">
      <c r="J82751"/>
    </row>
    <row r="82752" spans="10:10" x14ac:dyDescent="0.3">
      <c r="J82752"/>
    </row>
    <row r="82753" spans="10:10" x14ac:dyDescent="0.3">
      <c r="J82753"/>
    </row>
    <row r="82754" spans="10:10" x14ac:dyDescent="0.3">
      <c r="J82754"/>
    </row>
    <row r="82755" spans="10:10" x14ac:dyDescent="0.3">
      <c r="J82755"/>
    </row>
    <row r="82756" spans="10:10" x14ac:dyDescent="0.3">
      <c r="J82756"/>
    </row>
    <row r="82757" spans="10:10" x14ac:dyDescent="0.3">
      <c r="J82757"/>
    </row>
    <row r="82758" spans="10:10" x14ac:dyDescent="0.3">
      <c r="J82758"/>
    </row>
    <row r="82759" spans="10:10" x14ac:dyDescent="0.3">
      <c r="J82759"/>
    </row>
    <row r="82760" spans="10:10" x14ac:dyDescent="0.3">
      <c r="J82760"/>
    </row>
    <row r="82761" spans="10:10" x14ac:dyDescent="0.3">
      <c r="J82761"/>
    </row>
    <row r="82762" spans="10:10" x14ac:dyDescent="0.3">
      <c r="J82762"/>
    </row>
    <row r="82763" spans="10:10" x14ac:dyDescent="0.3">
      <c r="J82763"/>
    </row>
    <row r="82764" spans="10:10" x14ac:dyDescent="0.3">
      <c r="J82764"/>
    </row>
    <row r="82765" spans="10:10" x14ac:dyDescent="0.3">
      <c r="J82765"/>
    </row>
    <row r="82766" spans="10:10" x14ac:dyDescent="0.3">
      <c r="J82766"/>
    </row>
    <row r="82767" spans="10:10" x14ac:dyDescent="0.3">
      <c r="J82767"/>
    </row>
    <row r="82768" spans="10:10" x14ac:dyDescent="0.3">
      <c r="J82768"/>
    </row>
    <row r="82769" spans="10:10" x14ac:dyDescent="0.3">
      <c r="J82769"/>
    </row>
    <row r="82770" spans="10:10" x14ac:dyDescent="0.3">
      <c r="J82770"/>
    </row>
    <row r="82771" spans="10:10" x14ac:dyDescent="0.3">
      <c r="J82771"/>
    </row>
    <row r="82772" spans="10:10" x14ac:dyDescent="0.3">
      <c r="J82772"/>
    </row>
    <row r="82773" spans="10:10" x14ac:dyDescent="0.3">
      <c r="J82773"/>
    </row>
    <row r="82774" spans="10:10" x14ac:dyDescent="0.3">
      <c r="J82774"/>
    </row>
    <row r="82775" spans="10:10" x14ac:dyDescent="0.3">
      <c r="J82775"/>
    </row>
    <row r="82776" spans="10:10" x14ac:dyDescent="0.3">
      <c r="J82776"/>
    </row>
    <row r="82777" spans="10:10" x14ac:dyDescent="0.3">
      <c r="J82777"/>
    </row>
    <row r="82778" spans="10:10" x14ac:dyDescent="0.3">
      <c r="J82778"/>
    </row>
    <row r="82779" spans="10:10" x14ac:dyDescent="0.3">
      <c r="J82779"/>
    </row>
    <row r="82780" spans="10:10" x14ac:dyDescent="0.3">
      <c r="J82780"/>
    </row>
    <row r="82781" spans="10:10" x14ac:dyDescent="0.3">
      <c r="J82781"/>
    </row>
    <row r="82782" spans="10:10" x14ac:dyDescent="0.3">
      <c r="J82782"/>
    </row>
    <row r="82783" spans="10:10" x14ac:dyDescent="0.3">
      <c r="J82783"/>
    </row>
    <row r="82784" spans="10:10" x14ac:dyDescent="0.3">
      <c r="J82784"/>
    </row>
    <row r="82785" spans="10:10" x14ac:dyDescent="0.3">
      <c r="J82785"/>
    </row>
    <row r="82786" spans="10:10" x14ac:dyDescent="0.3">
      <c r="J82786"/>
    </row>
    <row r="82787" spans="10:10" x14ac:dyDescent="0.3">
      <c r="J82787"/>
    </row>
    <row r="82788" spans="10:10" x14ac:dyDescent="0.3">
      <c r="J82788"/>
    </row>
    <row r="82789" spans="10:10" x14ac:dyDescent="0.3">
      <c r="J82789"/>
    </row>
    <row r="82790" spans="10:10" x14ac:dyDescent="0.3">
      <c r="J82790"/>
    </row>
    <row r="82791" spans="10:10" x14ac:dyDescent="0.3">
      <c r="J82791"/>
    </row>
    <row r="82792" spans="10:10" x14ac:dyDescent="0.3">
      <c r="J82792"/>
    </row>
    <row r="82793" spans="10:10" x14ac:dyDescent="0.3">
      <c r="J82793"/>
    </row>
    <row r="82794" spans="10:10" x14ac:dyDescent="0.3">
      <c r="J82794"/>
    </row>
    <row r="82795" spans="10:10" x14ac:dyDescent="0.3">
      <c r="J82795"/>
    </row>
    <row r="82796" spans="10:10" x14ac:dyDescent="0.3">
      <c r="J82796"/>
    </row>
    <row r="82797" spans="10:10" x14ac:dyDescent="0.3">
      <c r="J82797"/>
    </row>
    <row r="82798" spans="10:10" x14ac:dyDescent="0.3">
      <c r="J82798"/>
    </row>
    <row r="82799" spans="10:10" x14ac:dyDescent="0.3">
      <c r="J82799"/>
    </row>
    <row r="82800" spans="10:10" x14ac:dyDescent="0.3">
      <c r="J82800"/>
    </row>
    <row r="82801" spans="10:10" x14ac:dyDescent="0.3">
      <c r="J82801"/>
    </row>
    <row r="82802" spans="10:10" x14ac:dyDescent="0.3">
      <c r="J82802"/>
    </row>
    <row r="82803" spans="10:10" x14ac:dyDescent="0.3">
      <c r="J82803"/>
    </row>
    <row r="82804" spans="10:10" x14ac:dyDescent="0.3">
      <c r="J82804"/>
    </row>
    <row r="82805" spans="10:10" x14ac:dyDescent="0.3">
      <c r="J82805"/>
    </row>
    <row r="82806" spans="10:10" x14ac:dyDescent="0.3">
      <c r="J82806"/>
    </row>
    <row r="82807" spans="10:10" x14ac:dyDescent="0.3">
      <c r="J82807"/>
    </row>
    <row r="82808" spans="10:10" x14ac:dyDescent="0.3">
      <c r="J82808"/>
    </row>
    <row r="82809" spans="10:10" x14ac:dyDescent="0.3">
      <c r="J82809"/>
    </row>
    <row r="82810" spans="10:10" x14ac:dyDescent="0.3">
      <c r="J82810"/>
    </row>
    <row r="82811" spans="10:10" x14ac:dyDescent="0.3">
      <c r="J82811"/>
    </row>
    <row r="82812" spans="10:10" x14ac:dyDescent="0.3">
      <c r="J82812"/>
    </row>
    <row r="82813" spans="10:10" x14ac:dyDescent="0.3">
      <c r="J82813"/>
    </row>
    <row r="82814" spans="10:10" x14ac:dyDescent="0.3">
      <c r="J82814"/>
    </row>
    <row r="82815" spans="10:10" x14ac:dyDescent="0.3">
      <c r="J82815"/>
    </row>
    <row r="82816" spans="10:10" x14ac:dyDescent="0.3">
      <c r="J82816"/>
    </row>
    <row r="82817" spans="10:10" x14ac:dyDescent="0.3">
      <c r="J82817"/>
    </row>
    <row r="82818" spans="10:10" x14ac:dyDescent="0.3">
      <c r="J82818"/>
    </row>
    <row r="82819" spans="10:10" x14ac:dyDescent="0.3">
      <c r="J82819"/>
    </row>
    <row r="82820" spans="10:10" x14ac:dyDescent="0.3">
      <c r="J82820"/>
    </row>
    <row r="82821" spans="10:10" x14ac:dyDescent="0.3">
      <c r="J82821"/>
    </row>
    <row r="82822" spans="10:10" x14ac:dyDescent="0.3">
      <c r="J82822"/>
    </row>
    <row r="82823" spans="10:10" x14ac:dyDescent="0.3">
      <c r="J82823"/>
    </row>
    <row r="82824" spans="10:10" x14ac:dyDescent="0.3">
      <c r="J82824"/>
    </row>
    <row r="82825" spans="10:10" x14ac:dyDescent="0.3">
      <c r="J82825"/>
    </row>
    <row r="82826" spans="10:10" x14ac:dyDescent="0.3">
      <c r="J82826"/>
    </row>
    <row r="82827" spans="10:10" x14ac:dyDescent="0.3">
      <c r="J82827"/>
    </row>
    <row r="82828" spans="10:10" x14ac:dyDescent="0.3">
      <c r="J82828"/>
    </row>
    <row r="82829" spans="10:10" x14ac:dyDescent="0.3">
      <c r="J82829"/>
    </row>
    <row r="82830" spans="10:10" x14ac:dyDescent="0.3">
      <c r="J82830"/>
    </row>
    <row r="82831" spans="10:10" x14ac:dyDescent="0.3">
      <c r="J82831"/>
    </row>
    <row r="82832" spans="10:10" x14ac:dyDescent="0.3">
      <c r="J82832"/>
    </row>
    <row r="82833" spans="10:10" x14ac:dyDescent="0.3">
      <c r="J82833"/>
    </row>
    <row r="82834" spans="10:10" x14ac:dyDescent="0.3">
      <c r="J82834"/>
    </row>
    <row r="82835" spans="10:10" x14ac:dyDescent="0.3">
      <c r="J82835"/>
    </row>
    <row r="82836" spans="10:10" x14ac:dyDescent="0.3">
      <c r="J82836"/>
    </row>
    <row r="82837" spans="10:10" x14ac:dyDescent="0.3">
      <c r="J82837"/>
    </row>
    <row r="82838" spans="10:10" x14ac:dyDescent="0.3">
      <c r="J82838"/>
    </row>
    <row r="82839" spans="10:10" x14ac:dyDescent="0.3">
      <c r="J82839"/>
    </row>
    <row r="82840" spans="10:10" x14ac:dyDescent="0.3">
      <c r="J82840"/>
    </row>
    <row r="82841" spans="10:10" x14ac:dyDescent="0.3">
      <c r="J82841"/>
    </row>
    <row r="82842" spans="10:10" x14ac:dyDescent="0.3">
      <c r="J82842"/>
    </row>
    <row r="82843" spans="10:10" x14ac:dyDescent="0.3">
      <c r="J82843"/>
    </row>
    <row r="82844" spans="10:10" x14ac:dyDescent="0.3">
      <c r="J82844"/>
    </row>
    <row r="82845" spans="10:10" x14ac:dyDescent="0.3">
      <c r="J82845"/>
    </row>
    <row r="82846" spans="10:10" x14ac:dyDescent="0.3">
      <c r="J82846"/>
    </row>
    <row r="82847" spans="10:10" x14ac:dyDescent="0.3">
      <c r="J82847"/>
    </row>
    <row r="82848" spans="10:10" x14ac:dyDescent="0.3">
      <c r="J82848"/>
    </row>
    <row r="82849" spans="10:10" x14ac:dyDescent="0.3">
      <c r="J82849"/>
    </row>
    <row r="82850" spans="10:10" x14ac:dyDescent="0.3">
      <c r="J82850"/>
    </row>
    <row r="82851" spans="10:10" x14ac:dyDescent="0.3">
      <c r="J82851"/>
    </row>
    <row r="82852" spans="10:10" x14ac:dyDescent="0.3">
      <c r="J82852"/>
    </row>
    <row r="82853" spans="10:10" x14ac:dyDescent="0.3">
      <c r="J82853"/>
    </row>
    <row r="82854" spans="10:10" x14ac:dyDescent="0.3">
      <c r="J82854"/>
    </row>
    <row r="82855" spans="10:10" x14ac:dyDescent="0.3">
      <c r="J82855"/>
    </row>
    <row r="82856" spans="10:10" x14ac:dyDescent="0.3">
      <c r="J82856"/>
    </row>
    <row r="82857" spans="10:10" x14ac:dyDescent="0.3">
      <c r="J82857"/>
    </row>
    <row r="82858" spans="10:10" x14ac:dyDescent="0.3">
      <c r="J82858"/>
    </row>
    <row r="82859" spans="10:10" x14ac:dyDescent="0.3">
      <c r="J82859"/>
    </row>
    <row r="82860" spans="10:10" x14ac:dyDescent="0.3">
      <c r="J82860"/>
    </row>
    <row r="82861" spans="10:10" x14ac:dyDescent="0.3">
      <c r="J82861"/>
    </row>
    <row r="82862" spans="10:10" x14ac:dyDescent="0.3">
      <c r="J82862"/>
    </row>
    <row r="82863" spans="10:10" x14ac:dyDescent="0.3">
      <c r="J82863"/>
    </row>
    <row r="82864" spans="10:10" x14ac:dyDescent="0.3">
      <c r="J82864"/>
    </row>
    <row r="82865" spans="10:10" x14ac:dyDescent="0.3">
      <c r="J82865"/>
    </row>
    <row r="82866" spans="10:10" x14ac:dyDescent="0.3">
      <c r="J82866"/>
    </row>
    <row r="82867" spans="10:10" x14ac:dyDescent="0.3">
      <c r="J82867"/>
    </row>
    <row r="82868" spans="10:10" x14ac:dyDescent="0.3">
      <c r="J82868"/>
    </row>
    <row r="82869" spans="10:10" x14ac:dyDescent="0.3">
      <c r="J82869"/>
    </row>
    <row r="82870" spans="10:10" x14ac:dyDescent="0.3">
      <c r="J82870"/>
    </row>
    <row r="82871" spans="10:10" x14ac:dyDescent="0.3">
      <c r="J82871"/>
    </row>
    <row r="82872" spans="10:10" x14ac:dyDescent="0.3">
      <c r="J82872"/>
    </row>
    <row r="82873" spans="10:10" x14ac:dyDescent="0.3">
      <c r="J82873"/>
    </row>
    <row r="82874" spans="10:10" x14ac:dyDescent="0.3">
      <c r="J82874"/>
    </row>
    <row r="82875" spans="10:10" x14ac:dyDescent="0.3">
      <c r="J82875"/>
    </row>
    <row r="82876" spans="10:10" x14ac:dyDescent="0.3">
      <c r="J82876"/>
    </row>
    <row r="82877" spans="10:10" x14ac:dyDescent="0.3">
      <c r="J82877"/>
    </row>
    <row r="82878" spans="10:10" x14ac:dyDescent="0.3">
      <c r="J82878"/>
    </row>
    <row r="82879" spans="10:10" x14ac:dyDescent="0.3">
      <c r="J82879"/>
    </row>
    <row r="82880" spans="10:10" x14ac:dyDescent="0.3">
      <c r="J82880"/>
    </row>
    <row r="82881" spans="10:10" x14ac:dyDescent="0.3">
      <c r="J82881"/>
    </row>
    <row r="82882" spans="10:10" x14ac:dyDescent="0.3">
      <c r="J82882"/>
    </row>
    <row r="82883" spans="10:10" x14ac:dyDescent="0.3">
      <c r="J82883"/>
    </row>
    <row r="82884" spans="10:10" x14ac:dyDescent="0.3">
      <c r="J82884"/>
    </row>
    <row r="82885" spans="10:10" x14ac:dyDescent="0.3">
      <c r="J82885"/>
    </row>
    <row r="82886" spans="10:10" x14ac:dyDescent="0.3">
      <c r="J82886"/>
    </row>
    <row r="82887" spans="10:10" x14ac:dyDescent="0.3">
      <c r="J82887"/>
    </row>
    <row r="82888" spans="10:10" x14ac:dyDescent="0.3">
      <c r="J82888"/>
    </row>
    <row r="82889" spans="10:10" x14ac:dyDescent="0.3">
      <c r="J82889"/>
    </row>
    <row r="82890" spans="10:10" x14ac:dyDescent="0.3">
      <c r="J82890"/>
    </row>
    <row r="82891" spans="10:10" x14ac:dyDescent="0.3">
      <c r="J82891"/>
    </row>
    <row r="82892" spans="10:10" x14ac:dyDescent="0.3">
      <c r="J82892"/>
    </row>
    <row r="82893" spans="10:10" x14ac:dyDescent="0.3">
      <c r="J82893"/>
    </row>
    <row r="82894" spans="10:10" x14ac:dyDescent="0.3">
      <c r="J82894"/>
    </row>
    <row r="82895" spans="10:10" x14ac:dyDescent="0.3">
      <c r="J82895"/>
    </row>
    <row r="82896" spans="10:10" x14ac:dyDescent="0.3">
      <c r="J82896"/>
    </row>
    <row r="82897" spans="10:10" x14ac:dyDescent="0.3">
      <c r="J82897"/>
    </row>
    <row r="82898" spans="10:10" x14ac:dyDescent="0.3">
      <c r="J82898"/>
    </row>
    <row r="82899" spans="10:10" x14ac:dyDescent="0.3">
      <c r="J82899"/>
    </row>
    <row r="82900" spans="10:10" x14ac:dyDescent="0.3">
      <c r="J82900"/>
    </row>
    <row r="82901" spans="10:10" x14ac:dyDescent="0.3">
      <c r="J82901"/>
    </row>
    <row r="82902" spans="10:10" x14ac:dyDescent="0.3">
      <c r="J82902"/>
    </row>
    <row r="82903" spans="10:10" x14ac:dyDescent="0.3">
      <c r="J82903"/>
    </row>
    <row r="82904" spans="10:10" x14ac:dyDescent="0.3">
      <c r="J82904"/>
    </row>
    <row r="82905" spans="10:10" x14ac:dyDescent="0.3">
      <c r="J82905"/>
    </row>
    <row r="82906" spans="10:10" x14ac:dyDescent="0.3">
      <c r="J82906"/>
    </row>
    <row r="82907" spans="10:10" x14ac:dyDescent="0.3">
      <c r="J82907"/>
    </row>
    <row r="82908" spans="10:10" x14ac:dyDescent="0.3">
      <c r="J82908"/>
    </row>
    <row r="82909" spans="10:10" x14ac:dyDescent="0.3">
      <c r="J82909"/>
    </row>
    <row r="82910" spans="10:10" x14ac:dyDescent="0.3">
      <c r="J82910"/>
    </row>
    <row r="82911" spans="10:10" x14ac:dyDescent="0.3">
      <c r="J82911"/>
    </row>
    <row r="82912" spans="10:10" x14ac:dyDescent="0.3">
      <c r="J82912"/>
    </row>
    <row r="82913" spans="10:10" x14ac:dyDescent="0.3">
      <c r="J82913"/>
    </row>
    <row r="82914" spans="10:10" x14ac:dyDescent="0.3">
      <c r="J82914"/>
    </row>
    <row r="82915" spans="10:10" x14ac:dyDescent="0.3">
      <c r="J82915"/>
    </row>
    <row r="82916" spans="10:10" x14ac:dyDescent="0.3">
      <c r="J82916"/>
    </row>
    <row r="82917" spans="10:10" x14ac:dyDescent="0.3">
      <c r="J82917"/>
    </row>
    <row r="82918" spans="10:10" x14ac:dyDescent="0.3">
      <c r="J82918"/>
    </row>
    <row r="82919" spans="10:10" x14ac:dyDescent="0.3">
      <c r="J82919"/>
    </row>
    <row r="82920" spans="10:10" x14ac:dyDescent="0.3">
      <c r="J82920"/>
    </row>
    <row r="82921" spans="10:10" x14ac:dyDescent="0.3">
      <c r="J82921"/>
    </row>
    <row r="82922" spans="10:10" x14ac:dyDescent="0.3">
      <c r="J82922"/>
    </row>
    <row r="82923" spans="10:10" x14ac:dyDescent="0.3">
      <c r="J82923"/>
    </row>
    <row r="82924" spans="10:10" x14ac:dyDescent="0.3">
      <c r="J82924"/>
    </row>
    <row r="82925" spans="10:10" x14ac:dyDescent="0.3">
      <c r="J82925"/>
    </row>
    <row r="82926" spans="10:10" x14ac:dyDescent="0.3">
      <c r="J82926"/>
    </row>
    <row r="82927" spans="10:10" x14ac:dyDescent="0.3">
      <c r="J82927"/>
    </row>
    <row r="82928" spans="10:10" x14ac:dyDescent="0.3">
      <c r="J82928"/>
    </row>
    <row r="82929" spans="10:10" x14ac:dyDescent="0.3">
      <c r="J82929"/>
    </row>
    <row r="82930" spans="10:10" x14ac:dyDescent="0.3">
      <c r="J82930"/>
    </row>
    <row r="82931" spans="10:10" x14ac:dyDescent="0.3">
      <c r="J82931"/>
    </row>
    <row r="82932" spans="10:10" x14ac:dyDescent="0.3">
      <c r="J82932"/>
    </row>
    <row r="82933" spans="10:10" x14ac:dyDescent="0.3">
      <c r="J82933"/>
    </row>
    <row r="82934" spans="10:10" x14ac:dyDescent="0.3">
      <c r="J82934"/>
    </row>
    <row r="82935" spans="10:10" x14ac:dyDescent="0.3">
      <c r="J82935"/>
    </row>
    <row r="82936" spans="10:10" x14ac:dyDescent="0.3">
      <c r="J82936"/>
    </row>
    <row r="82937" spans="10:10" x14ac:dyDescent="0.3">
      <c r="J82937"/>
    </row>
    <row r="82938" spans="10:10" x14ac:dyDescent="0.3">
      <c r="J82938"/>
    </row>
    <row r="82939" spans="10:10" x14ac:dyDescent="0.3">
      <c r="J82939"/>
    </row>
    <row r="82940" spans="10:10" x14ac:dyDescent="0.3">
      <c r="J82940"/>
    </row>
    <row r="82941" spans="10:10" x14ac:dyDescent="0.3">
      <c r="J82941"/>
    </row>
    <row r="82942" spans="10:10" x14ac:dyDescent="0.3">
      <c r="J82942"/>
    </row>
    <row r="82943" spans="10:10" x14ac:dyDescent="0.3">
      <c r="J82943"/>
    </row>
    <row r="82944" spans="10:10" x14ac:dyDescent="0.3">
      <c r="J82944"/>
    </row>
    <row r="82945" spans="10:10" x14ac:dyDescent="0.3">
      <c r="J82945"/>
    </row>
    <row r="82946" spans="10:10" x14ac:dyDescent="0.3">
      <c r="J82946"/>
    </row>
    <row r="82947" spans="10:10" x14ac:dyDescent="0.3">
      <c r="J82947"/>
    </row>
    <row r="82948" spans="10:10" x14ac:dyDescent="0.3">
      <c r="J82948"/>
    </row>
    <row r="82949" spans="10:10" x14ac:dyDescent="0.3">
      <c r="J82949"/>
    </row>
    <row r="82950" spans="10:10" x14ac:dyDescent="0.3">
      <c r="J82950"/>
    </row>
    <row r="82951" spans="10:10" x14ac:dyDescent="0.3">
      <c r="J82951"/>
    </row>
    <row r="82952" spans="10:10" x14ac:dyDescent="0.3">
      <c r="J82952"/>
    </row>
    <row r="82953" spans="10:10" x14ac:dyDescent="0.3">
      <c r="J82953"/>
    </row>
    <row r="82954" spans="10:10" x14ac:dyDescent="0.3">
      <c r="J82954"/>
    </row>
    <row r="82955" spans="10:10" x14ac:dyDescent="0.3">
      <c r="J82955"/>
    </row>
    <row r="82956" spans="10:10" x14ac:dyDescent="0.3">
      <c r="J82956"/>
    </row>
    <row r="82957" spans="10:10" x14ac:dyDescent="0.3">
      <c r="J82957"/>
    </row>
    <row r="82958" spans="10:10" x14ac:dyDescent="0.3">
      <c r="J82958"/>
    </row>
    <row r="82959" spans="10:10" x14ac:dyDescent="0.3">
      <c r="J82959"/>
    </row>
    <row r="82960" spans="10:10" x14ac:dyDescent="0.3">
      <c r="J82960"/>
    </row>
    <row r="82961" spans="10:10" x14ac:dyDescent="0.3">
      <c r="J82961"/>
    </row>
    <row r="82962" spans="10:10" x14ac:dyDescent="0.3">
      <c r="J82962"/>
    </row>
    <row r="82963" spans="10:10" x14ac:dyDescent="0.3">
      <c r="J82963"/>
    </row>
    <row r="82964" spans="10:10" x14ac:dyDescent="0.3">
      <c r="J82964"/>
    </row>
    <row r="82965" spans="10:10" x14ac:dyDescent="0.3">
      <c r="J82965"/>
    </row>
    <row r="82966" spans="10:10" x14ac:dyDescent="0.3">
      <c r="J82966"/>
    </row>
    <row r="82967" spans="10:10" x14ac:dyDescent="0.3">
      <c r="J82967"/>
    </row>
    <row r="82968" spans="10:10" x14ac:dyDescent="0.3">
      <c r="J82968"/>
    </row>
    <row r="82969" spans="10:10" x14ac:dyDescent="0.3">
      <c r="J82969"/>
    </row>
    <row r="82970" spans="10:10" x14ac:dyDescent="0.3">
      <c r="J82970"/>
    </row>
    <row r="82971" spans="10:10" x14ac:dyDescent="0.3">
      <c r="J82971"/>
    </row>
    <row r="82972" spans="10:10" x14ac:dyDescent="0.3">
      <c r="J82972"/>
    </row>
    <row r="82973" spans="10:10" x14ac:dyDescent="0.3">
      <c r="J82973"/>
    </row>
    <row r="82974" spans="10:10" x14ac:dyDescent="0.3">
      <c r="J82974"/>
    </row>
    <row r="82975" spans="10:10" x14ac:dyDescent="0.3">
      <c r="J82975"/>
    </row>
    <row r="82976" spans="10:10" x14ac:dyDescent="0.3">
      <c r="J82976"/>
    </row>
    <row r="82977" spans="10:10" x14ac:dyDescent="0.3">
      <c r="J82977"/>
    </row>
    <row r="82978" spans="10:10" x14ac:dyDescent="0.3">
      <c r="J82978"/>
    </row>
    <row r="82979" spans="10:10" x14ac:dyDescent="0.3">
      <c r="J82979"/>
    </row>
    <row r="82980" spans="10:10" x14ac:dyDescent="0.3">
      <c r="J82980"/>
    </row>
    <row r="82981" spans="10:10" x14ac:dyDescent="0.3">
      <c r="J82981"/>
    </row>
    <row r="82982" spans="10:10" x14ac:dyDescent="0.3">
      <c r="J82982"/>
    </row>
    <row r="82983" spans="10:10" x14ac:dyDescent="0.3">
      <c r="J82983"/>
    </row>
    <row r="82984" spans="10:10" x14ac:dyDescent="0.3">
      <c r="J82984"/>
    </row>
    <row r="82985" spans="10:10" x14ac:dyDescent="0.3">
      <c r="J82985"/>
    </row>
    <row r="82986" spans="10:10" x14ac:dyDescent="0.3">
      <c r="J82986"/>
    </row>
    <row r="82987" spans="10:10" x14ac:dyDescent="0.3">
      <c r="J82987"/>
    </row>
    <row r="82988" spans="10:10" x14ac:dyDescent="0.3">
      <c r="J82988"/>
    </row>
    <row r="82989" spans="10:10" x14ac:dyDescent="0.3">
      <c r="J82989"/>
    </row>
    <row r="82990" spans="10:10" x14ac:dyDescent="0.3">
      <c r="J82990"/>
    </row>
    <row r="82991" spans="10:10" x14ac:dyDescent="0.3">
      <c r="J82991"/>
    </row>
    <row r="82992" spans="10:10" x14ac:dyDescent="0.3">
      <c r="J82992"/>
    </row>
    <row r="82993" spans="10:10" x14ac:dyDescent="0.3">
      <c r="J82993"/>
    </row>
    <row r="82994" spans="10:10" x14ac:dyDescent="0.3">
      <c r="J82994"/>
    </row>
    <row r="82995" spans="10:10" x14ac:dyDescent="0.3">
      <c r="J82995"/>
    </row>
    <row r="82996" spans="10:10" x14ac:dyDescent="0.3">
      <c r="J82996"/>
    </row>
    <row r="82997" spans="10:10" x14ac:dyDescent="0.3">
      <c r="J82997"/>
    </row>
    <row r="82998" spans="10:10" x14ac:dyDescent="0.3">
      <c r="J82998"/>
    </row>
    <row r="82999" spans="10:10" x14ac:dyDescent="0.3">
      <c r="J82999"/>
    </row>
    <row r="83000" spans="10:10" x14ac:dyDescent="0.3">
      <c r="J83000"/>
    </row>
    <row r="83001" spans="10:10" x14ac:dyDescent="0.3">
      <c r="J83001"/>
    </row>
    <row r="83002" spans="10:10" x14ac:dyDescent="0.3">
      <c r="J83002"/>
    </row>
    <row r="83003" spans="10:10" x14ac:dyDescent="0.3">
      <c r="J83003"/>
    </row>
    <row r="83004" spans="10:10" x14ac:dyDescent="0.3">
      <c r="J83004"/>
    </row>
    <row r="83005" spans="10:10" x14ac:dyDescent="0.3">
      <c r="J83005"/>
    </row>
    <row r="83006" spans="10:10" x14ac:dyDescent="0.3">
      <c r="J83006"/>
    </row>
    <row r="83007" spans="10:10" x14ac:dyDescent="0.3">
      <c r="J83007"/>
    </row>
    <row r="83008" spans="10:10" x14ac:dyDescent="0.3">
      <c r="J83008"/>
    </row>
    <row r="83009" spans="10:10" x14ac:dyDescent="0.3">
      <c r="J83009"/>
    </row>
    <row r="83010" spans="10:10" x14ac:dyDescent="0.3">
      <c r="J83010"/>
    </row>
    <row r="83011" spans="10:10" x14ac:dyDescent="0.3">
      <c r="J83011"/>
    </row>
    <row r="83012" spans="10:10" x14ac:dyDescent="0.3">
      <c r="J83012"/>
    </row>
    <row r="83013" spans="10:10" x14ac:dyDescent="0.3">
      <c r="J83013"/>
    </row>
    <row r="83014" spans="10:10" x14ac:dyDescent="0.3">
      <c r="J83014"/>
    </row>
    <row r="83015" spans="10:10" x14ac:dyDescent="0.3">
      <c r="J83015"/>
    </row>
    <row r="83016" spans="10:10" x14ac:dyDescent="0.3">
      <c r="J83016"/>
    </row>
    <row r="83017" spans="10:10" x14ac:dyDescent="0.3">
      <c r="J83017"/>
    </row>
    <row r="83018" spans="10:10" x14ac:dyDescent="0.3">
      <c r="J83018"/>
    </row>
    <row r="83019" spans="10:10" x14ac:dyDescent="0.3">
      <c r="J83019"/>
    </row>
    <row r="83020" spans="10:10" x14ac:dyDescent="0.3">
      <c r="J83020"/>
    </row>
    <row r="83021" spans="10:10" x14ac:dyDescent="0.3">
      <c r="J83021"/>
    </row>
    <row r="83022" spans="10:10" x14ac:dyDescent="0.3">
      <c r="J83022"/>
    </row>
    <row r="83023" spans="10:10" x14ac:dyDescent="0.3">
      <c r="J83023"/>
    </row>
    <row r="83024" spans="10:10" x14ac:dyDescent="0.3">
      <c r="J83024"/>
    </row>
    <row r="83025" spans="10:10" x14ac:dyDescent="0.3">
      <c r="J83025"/>
    </row>
    <row r="83026" spans="10:10" x14ac:dyDescent="0.3">
      <c r="J83026"/>
    </row>
    <row r="83027" spans="10:10" x14ac:dyDescent="0.3">
      <c r="J83027"/>
    </row>
    <row r="83028" spans="10:10" x14ac:dyDescent="0.3">
      <c r="J83028"/>
    </row>
    <row r="83029" spans="10:10" x14ac:dyDescent="0.3">
      <c r="J83029"/>
    </row>
    <row r="83030" spans="10:10" x14ac:dyDescent="0.3">
      <c r="J83030"/>
    </row>
    <row r="83031" spans="10:10" x14ac:dyDescent="0.3">
      <c r="J83031"/>
    </row>
    <row r="83032" spans="10:10" x14ac:dyDescent="0.3">
      <c r="J83032"/>
    </row>
    <row r="83033" spans="10:10" x14ac:dyDescent="0.3">
      <c r="J83033"/>
    </row>
    <row r="83034" spans="10:10" x14ac:dyDescent="0.3">
      <c r="J83034"/>
    </row>
    <row r="83035" spans="10:10" x14ac:dyDescent="0.3">
      <c r="J83035"/>
    </row>
    <row r="83036" spans="10:10" x14ac:dyDescent="0.3">
      <c r="J83036"/>
    </row>
    <row r="83037" spans="10:10" x14ac:dyDescent="0.3">
      <c r="J83037"/>
    </row>
    <row r="83038" spans="10:10" x14ac:dyDescent="0.3">
      <c r="J83038"/>
    </row>
    <row r="83039" spans="10:10" x14ac:dyDescent="0.3">
      <c r="J83039"/>
    </row>
    <row r="83040" spans="10:10" x14ac:dyDescent="0.3">
      <c r="J83040"/>
    </row>
    <row r="83041" spans="10:10" x14ac:dyDescent="0.3">
      <c r="J83041"/>
    </row>
    <row r="83042" spans="10:10" x14ac:dyDescent="0.3">
      <c r="J83042"/>
    </row>
    <row r="83043" spans="10:10" x14ac:dyDescent="0.3">
      <c r="J83043"/>
    </row>
    <row r="83044" spans="10:10" x14ac:dyDescent="0.3">
      <c r="J83044"/>
    </row>
    <row r="83045" spans="10:10" x14ac:dyDescent="0.3">
      <c r="J83045"/>
    </row>
    <row r="83046" spans="10:10" x14ac:dyDescent="0.3">
      <c r="J83046"/>
    </row>
    <row r="83047" spans="10:10" x14ac:dyDescent="0.3">
      <c r="J83047"/>
    </row>
    <row r="83048" spans="10:10" x14ac:dyDescent="0.3">
      <c r="J83048"/>
    </row>
    <row r="83049" spans="10:10" x14ac:dyDescent="0.3">
      <c r="J83049"/>
    </row>
    <row r="83050" spans="10:10" x14ac:dyDescent="0.3">
      <c r="J83050"/>
    </row>
    <row r="83051" spans="10:10" x14ac:dyDescent="0.3">
      <c r="J83051"/>
    </row>
    <row r="83052" spans="10:10" x14ac:dyDescent="0.3">
      <c r="J83052"/>
    </row>
    <row r="83053" spans="10:10" x14ac:dyDescent="0.3">
      <c r="J83053"/>
    </row>
    <row r="83054" spans="10:10" x14ac:dyDescent="0.3">
      <c r="J83054"/>
    </row>
    <row r="83055" spans="10:10" x14ac:dyDescent="0.3">
      <c r="J83055"/>
    </row>
    <row r="83056" spans="10:10" x14ac:dyDescent="0.3">
      <c r="J83056"/>
    </row>
    <row r="83057" spans="10:10" x14ac:dyDescent="0.3">
      <c r="J83057"/>
    </row>
    <row r="83058" spans="10:10" x14ac:dyDescent="0.3">
      <c r="J83058"/>
    </row>
    <row r="83059" spans="10:10" x14ac:dyDescent="0.3">
      <c r="J83059"/>
    </row>
    <row r="83060" spans="10:10" x14ac:dyDescent="0.3">
      <c r="J83060"/>
    </row>
    <row r="83061" spans="10:10" x14ac:dyDescent="0.3">
      <c r="J83061"/>
    </row>
    <row r="83062" spans="10:10" x14ac:dyDescent="0.3">
      <c r="J83062"/>
    </row>
    <row r="83063" spans="10:10" x14ac:dyDescent="0.3">
      <c r="J83063"/>
    </row>
    <row r="83064" spans="10:10" x14ac:dyDescent="0.3">
      <c r="J83064"/>
    </row>
    <row r="83065" spans="10:10" x14ac:dyDescent="0.3">
      <c r="J83065"/>
    </row>
    <row r="83066" spans="10:10" x14ac:dyDescent="0.3">
      <c r="J83066"/>
    </row>
    <row r="83067" spans="10:10" x14ac:dyDescent="0.3">
      <c r="J83067"/>
    </row>
    <row r="83068" spans="10:10" x14ac:dyDescent="0.3">
      <c r="J83068"/>
    </row>
    <row r="83069" spans="10:10" x14ac:dyDescent="0.3">
      <c r="J83069"/>
    </row>
    <row r="83070" spans="10:10" x14ac:dyDescent="0.3">
      <c r="J83070"/>
    </row>
    <row r="83071" spans="10:10" x14ac:dyDescent="0.3">
      <c r="J83071"/>
    </row>
    <row r="83072" spans="10:10" x14ac:dyDescent="0.3">
      <c r="J83072"/>
    </row>
    <row r="83073" spans="10:10" x14ac:dyDescent="0.3">
      <c r="J83073"/>
    </row>
    <row r="83074" spans="10:10" x14ac:dyDescent="0.3">
      <c r="J83074"/>
    </row>
    <row r="83075" spans="10:10" x14ac:dyDescent="0.3">
      <c r="J83075"/>
    </row>
    <row r="83076" spans="10:10" x14ac:dyDescent="0.3">
      <c r="J83076"/>
    </row>
    <row r="83077" spans="10:10" x14ac:dyDescent="0.3">
      <c r="J83077"/>
    </row>
    <row r="83078" spans="10:10" x14ac:dyDescent="0.3">
      <c r="J83078"/>
    </row>
    <row r="83079" spans="10:10" x14ac:dyDescent="0.3">
      <c r="J83079"/>
    </row>
    <row r="83080" spans="10:10" x14ac:dyDescent="0.3">
      <c r="J83080"/>
    </row>
    <row r="83081" spans="10:10" x14ac:dyDescent="0.3">
      <c r="J83081"/>
    </row>
    <row r="83082" spans="10:10" x14ac:dyDescent="0.3">
      <c r="J83082"/>
    </row>
    <row r="83083" spans="10:10" x14ac:dyDescent="0.3">
      <c r="J83083"/>
    </row>
    <row r="83084" spans="10:10" x14ac:dyDescent="0.3">
      <c r="J83084"/>
    </row>
    <row r="83085" spans="10:10" x14ac:dyDescent="0.3">
      <c r="J83085"/>
    </row>
    <row r="83086" spans="10:10" x14ac:dyDescent="0.3">
      <c r="J83086"/>
    </row>
    <row r="83087" spans="10:10" x14ac:dyDescent="0.3">
      <c r="J83087"/>
    </row>
    <row r="83088" spans="10:10" x14ac:dyDescent="0.3">
      <c r="J83088"/>
    </row>
    <row r="83089" spans="10:10" x14ac:dyDescent="0.3">
      <c r="J83089"/>
    </row>
    <row r="83090" spans="10:10" x14ac:dyDescent="0.3">
      <c r="J83090"/>
    </row>
    <row r="83091" spans="10:10" x14ac:dyDescent="0.3">
      <c r="J83091"/>
    </row>
    <row r="83092" spans="10:10" x14ac:dyDescent="0.3">
      <c r="J83092"/>
    </row>
    <row r="83093" spans="10:10" x14ac:dyDescent="0.3">
      <c r="J83093"/>
    </row>
    <row r="83094" spans="10:10" x14ac:dyDescent="0.3">
      <c r="J83094"/>
    </row>
    <row r="83095" spans="10:10" x14ac:dyDescent="0.3">
      <c r="J83095"/>
    </row>
    <row r="83096" spans="10:10" x14ac:dyDescent="0.3">
      <c r="J83096"/>
    </row>
    <row r="83097" spans="10:10" x14ac:dyDescent="0.3">
      <c r="J83097"/>
    </row>
    <row r="83098" spans="10:10" x14ac:dyDescent="0.3">
      <c r="J83098"/>
    </row>
    <row r="83099" spans="10:10" x14ac:dyDescent="0.3">
      <c r="J83099"/>
    </row>
    <row r="83100" spans="10:10" x14ac:dyDescent="0.3">
      <c r="J83100"/>
    </row>
    <row r="83101" spans="10:10" x14ac:dyDescent="0.3">
      <c r="J83101"/>
    </row>
    <row r="83102" spans="10:10" x14ac:dyDescent="0.3">
      <c r="J83102"/>
    </row>
    <row r="83103" spans="10:10" x14ac:dyDescent="0.3">
      <c r="J83103"/>
    </row>
    <row r="83104" spans="10:10" x14ac:dyDescent="0.3">
      <c r="J83104"/>
    </row>
    <row r="83105" spans="10:10" x14ac:dyDescent="0.3">
      <c r="J83105"/>
    </row>
    <row r="83106" spans="10:10" x14ac:dyDescent="0.3">
      <c r="J83106"/>
    </row>
    <row r="83107" spans="10:10" x14ac:dyDescent="0.3">
      <c r="J83107"/>
    </row>
    <row r="83108" spans="10:10" x14ac:dyDescent="0.3">
      <c r="J83108"/>
    </row>
    <row r="83109" spans="10:10" x14ac:dyDescent="0.3">
      <c r="J83109"/>
    </row>
    <row r="83110" spans="10:10" x14ac:dyDescent="0.3">
      <c r="J83110"/>
    </row>
    <row r="83111" spans="10:10" x14ac:dyDescent="0.3">
      <c r="J83111"/>
    </row>
    <row r="83112" spans="10:10" x14ac:dyDescent="0.3">
      <c r="J83112"/>
    </row>
    <row r="83113" spans="10:10" x14ac:dyDescent="0.3">
      <c r="J83113"/>
    </row>
    <row r="83114" spans="10:10" x14ac:dyDescent="0.3">
      <c r="J83114"/>
    </row>
    <row r="83115" spans="10:10" x14ac:dyDescent="0.3">
      <c r="J83115"/>
    </row>
    <row r="83116" spans="10:10" x14ac:dyDescent="0.3">
      <c r="J83116"/>
    </row>
    <row r="83117" spans="10:10" x14ac:dyDescent="0.3">
      <c r="J83117"/>
    </row>
    <row r="83118" spans="10:10" x14ac:dyDescent="0.3">
      <c r="J83118"/>
    </row>
    <row r="83119" spans="10:10" x14ac:dyDescent="0.3">
      <c r="J83119"/>
    </row>
    <row r="83120" spans="10:10" x14ac:dyDescent="0.3">
      <c r="J83120"/>
    </row>
    <row r="83121" spans="10:10" x14ac:dyDescent="0.3">
      <c r="J83121"/>
    </row>
    <row r="83122" spans="10:10" x14ac:dyDescent="0.3">
      <c r="J83122"/>
    </row>
    <row r="83123" spans="10:10" x14ac:dyDescent="0.3">
      <c r="J83123"/>
    </row>
    <row r="83124" spans="10:10" x14ac:dyDescent="0.3">
      <c r="J83124"/>
    </row>
    <row r="83125" spans="10:10" x14ac:dyDescent="0.3">
      <c r="J83125"/>
    </row>
    <row r="83126" spans="10:10" x14ac:dyDescent="0.3">
      <c r="J83126"/>
    </row>
    <row r="83127" spans="10:10" x14ac:dyDescent="0.3">
      <c r="J83127"/>
    </row>
    <row r="83128" spans="10:10" x14ac:dyDescent="0.3">
      <c r="J83128"/>
    </row>
    <row r="83129" spans="10:10" x14ac:dyDescent="0.3">
      <c r="J83129"/>
    </row>
    <row r="83130" spans="10:10" x14ac:dyDescent="0.3">
      <c r="J83130"/>
    </row>
    <row r="83131" spans="10:10" x14ac:dyDescent="0.3">
      <c r="J83131"/>
    </row>
    <row r="83132" spans="10:10" x14ac:dyDescent="0.3">
      <c r="J83132"/>
    </row>
    <row r="83133" spans="10:10" x14ac:dyDescent="0.3">
      <c r="J83133"/>
    </row>
    <row r="83134" spans="10:10" x14ac:dyDescent="0.3">
      <c r="J83134"/>
    </row>
    <row r="83135" spans="10:10" x14ac:dyDescent="0.3">
      <c r="J83135"/>
    </row>
    <row r="83136" spans="10:10" x14ac:dyDescent="0.3">
      <c r="J83136"/>
    </row>
    <row r="83137" spans="10:10" x14ac:dyDescent="0.3">
      <c r="J83137"/>
    </row>
    <row r="83138" spans="10:10" x14ac:dyDescent="0.3">
      <c r="J83138"/>
    </row>
    <row r="83139" spans="10:10" x14ac:dyDescent="0.3">
      <c r="J83139"/>
    </row>
    <row r="83140" spans="10:10" x14ac:dyDescent="0.3">
      <c r="J83140"/>
    </row>
    <row r="83141" spans="10:10" x14ac:dyDescent="0.3">
      <c r="J83141"/>
    </row>
    <row r="83142" spans="10:10" x14ac:dyDescent="0.3">
      <c r="J83142"/>
    </row>
    <row r="83143" spans="10:10" x14ac:dyDescent="0.3">
      <c r="J83143"/>
    </row>
    <row r="83144" spans="10:10" x14ac:dyDescent="0.3">
      <c r="J83144"/>
    </row>
    <row r="83145" spans="10:10" x14ac:dyDescent="0.3">
      <c r="J83145"/>
    </row>
    <row r="83146" spans="10:10" x14ac:dyDescent="0.3">
      <c r="J83146"/>
    </row>
    <row r="83147" spans="10:10" x14ac:dyDescent="0.3">
      <c r="J83147"/>
    </row>
    <row r="83148" spans="10:10" x14ac:dyDescent="0.3">
      <c r="J83148"/>
    </row>
    <row r="83149" spans="10:10" x14ac:dyDescent="0.3">
      <c r="J83149"/>
    </row>
    <row r="83150" spans="10:10" x14ac:dyDescent="0.3">
      <c r="J83150"/>
    </row>
    <row r="83151" spans="10:10" x14ac:dyDescent="0.3">
      <c r="J83151"/>
    </row>
    <row r="83152" spans="10:10" x14ac:dyDescent="0.3">
      <c r="J83152"/>
    </row>
    <row r="83153" spans="10:10" x14ac:dyDescent="0.3">
      <c r="J83153"/>
    </row>
    <row r="83154" spans="10:10" x14ac:dyDescent="0.3">
      <c r="J83154"/>
    </row>
    <row r="83155" spans="10:10" x14ac:dyDescent="0.3">
      <c r="J83155"/>
    </row>
    <row r="83156" spans="10:10" x14ac:dyDescent="0.3">
      <c r="J83156"/>
    </row>
    <row r="83157" spans="10:10" x14ac:dyDescent="0.3">
      <c r="J83157"/>
    </row>
    <row r="83158" spans="10:10" x14ac:dyDescent="0.3">
      <c r="J83158"/>
    </row>
    <row r="83159" spans="10:10" x14ac:dyDescent="0.3">
      <c r="J83159"/>
    </row>
    <row r="83160" spans="10:10" x14ac:dyDescent="0.3">
      <c r="J83160"/>
    </row>
    <row r="83161" spans="10:10" x14ac:dyDescent="0.3">
      <c r="J83161"/>
    </row>
    <row r="83162" spans="10:10" x14ac:dyDescent="0.3">
      <c r="J83162"/>
    </row>
    <row r="83163" spans="10:10" x14ac:dyDescent="0.3">
      <c r="J83163"/>
    </row>
    <row r="83164" spans="10:10" x14ac:dyDescent="0.3">
      <c r="J83164"/>
    </row>
    <row r="83165" spans="10:10" x14ac:dyDescent="0.3">
      <c r="J83165"/>
    </row>
    <row r="83166" spans="10:10" x14ac:dyDescent="0.3">
      <c r="J83166"/>
    </row>
    <row r="83167" spans="10:10" x14ac:dyDescent="0.3">
      <c r="J83167"/>
    </row>
    <row r="83168" spans="10:10" x14ac:dyDescent="0.3">
      <c r="J83168"/>
    </row>
    <row r="83169" spans="10:10" x14ac:dyDescent="0.3">
      <c r="J83169"/>
    </row>
    <row r="83170" spans="10:10" x14ac:dyDescent="0.3">
      <c r="J83170"/>
    </row>
    <row r="83171" spans="10:10" x14ac:dyDescent="0.3">
      <c r="J83171"/>
    </row>
    <row r="83172" spans="10:10" x14ac:dyDescent="0.3">
      <c r="J83172"/>
    </row>
    <row r="83173" spans="10:10" x14ac:dyDescent="0.3">
      <c r="J83173"/>
    </row>
    <row r="83174" spans="10:10" x14ac:dyDescent="0.3">
      <c r="J83174"/>
    </row>
    <row r="83175" spans="10:10" x14ac:dyDescent="0.3">
      <c r="J83175"/>
    </row>
    <row r="83176" spans="10:10" x14ac:dyDescent="0.3">
      <c r="J83176"/>
    </row>
    <row r="83177" spans="10:10" x14ac:dyDescent="0.3">
      <c r="J83177"/>
    </row>
    <row r="83178" spans="10:10" x14ac:dyDescent="0.3">
      <c r="J83178"/>
    </row>
    <row r="83179" spans="10:10" x14ac:dyDescent="0.3">
      <c r="J83179"/>
    </row>
    <row r="83180" spans="10:10" x14ac:dyDescent="0.3">
      <c r="J83180"/>
    </row>
    <row r="83181" spans="10:10" x14ac:dyDescent="0.3">
      <c r="J83181"/>
    </row>
    <row r="83182" spans="10:10" x14ac:dyDescent="0.3">
      <c r="J83182"/>
    </row>
    <row r="83183" spans="10:10" x14ac:dyDescent="0.3">
      <c r="J83183"/>
    </row>
    <row r="83184" spans="10:10" x14ac:dyDescent="0.3">
      <c r="J83184"/>
    </row>
    <row r="83185" spans="10:10" x14ac:dyDescent="0.3">
      <c r="J83185"/>
    </row>
    <row r="83186" spans="10:10" x14ac:dyDescent="0.3">
      <c r="J83186"/>
    </row>
    <row r="83187" spans="10:10" x14ac:dyDescent="0.3">
      <c r="J83187"/>
    </row>
    <row r="83188" spans="10:10" x14ac:dyDescent="0.3">
      <c r="J83188"/>
    </row>
    <row r="83189" spans="10:10" x14ac:dyDescent="0.3">
      <c r="J83189"/>
    </row>
    <row r="83190" spans="10:10" x14ac:dyDescent="0.3">
      <c r="J83190"/>
    </row>
    <row r="83191" spans="10:10" x14ac:dyDescent="0.3">
      <c r="J83191"/>
    </row>
    <row r="83192" spans="10:10" x14ac:dyDescent="0.3">
      <c r="J83192"/>
    </row>
    <row r="83193" spans="10:10" x14ac:dyDescent="0.3">
      <c r="J83193"/>
    </row>
    <row r="83194" spans="10:10" x14ac:dyDescent="0.3">
      <c r="J83194"/>
    </row>
    <row r="83195" spans="10:10" x14ac:dyDescent="0.3">
      <c r="J83195"/>
    </row>
    <row r="83196" spans="10:10" x14ac:dyDescent="0.3">
      <c r="J83196"/>
    </row>
    <row r="83197" spans="10:10" x14ac:dyDescent="0.3">
      <c r="J83197"/>
    </row>
    <row r="83198" spans="10:10" x14ac:dyDescent="0.3">
      <c r="J83198"/>
    </row>
    <row r="83199" spans="10:10" x14ac:dyDescent="0.3">
      <c r="J83199"/>
    </row>
    <row r="83200" spans="10:10" x14ac:dyDescent="0.3">
      <c r="J83200"/>
    </row>
    <row r="83201" spans="10:10" x14ac:dyDescent="0.3">
      <c r="J83201"/>
    </row>
    <row r="83202" spans="10:10" x14ac:dyDescent="0.3">
      <c r="J83202"/>
    </row>
    <row r="83203" spans="10:10" x14ac:dyDescent="0.3">
      <c r="J83203"/>
    </row>
    <row r="83204" spans="10:10" x14ac:dyDescent="0.3">
      <c r="J83204"/>
    </row>
    <row r="83205" spans="10:10" x14ac:dyDescent="0.3">
      <c r="J83205"/>
    </row>
    <row r="83206" spans="10:10" x14ac:dyDescent="0.3">
      <c r="J83206"/>
    </row>
    <row r="83207" spans="10:10" x14ac:dyDescent="0.3">
      <c r="J83207"/>
    </row>
    <row r="83208" spans="10:10" x14ac:dyDescent="0.3">
      <c r="J83208"/>
    </row>
    <row r="83209" spans="10:10" x14ac:dyDescent="0.3">
      <c r="J83209"/>
    </row>
    <row r="83210" spans="10:10" x14ac:dyDescent="0.3">
      <c r="J83210"/>
    </row>
    <row r="83211" spans="10:10" x14ac:dyDescent="0.3">
      <c r="J83211"/>
    </row>
    <row r="83212" spans="10:10" x14ac:dyDescent="0.3">
      <c r="J83212"/>
    </row>
    <row r="83213" spans="10:10" x14ac:dyDescent="0.3">
      <c r="J83213"/>
    </row>
    <row r="83214" spans="10:10" x14ac:dyDescent="0.3">
      <c r="J83214"/>
    </row>
    <row r="83215" spans="10:10" x14ac:dyDescent="0.3">
      <c r="J83215"/>
    </row>
    <row r="83216" spans="10:10" x14ac:dyDescent="0.3">
      <c r="J83216"/>
    </row>
    <row r="83217" spans="10:10" x14ac:dyDescent="0.3">
      <c r="J83217"/>
    </row>
    <row r="83218" spans="10:10" x14ac:dyDescent="0.3">
      <c r="J83218"/>
    </row>
    <row r="83219" spans="10:10" x14ac:dyDescent="0.3">
      <c r="J83219"/>
    </row>
    <row r="83220" spans="10:10" x14ac:dyDescent="0.3">
      <c r="J83220"/>
    </row>
    <row r="83221" spans="10:10" x14ac:dyDescent="0.3">
      <c r="J83221"/>
    </row>
    <row r="83222" spans="10:10" x14ac:dyDescent="0.3">
      <c r="J83222"/>
    </row>
    <row r="83223" spans="10:10" x14ac:dyDescent="0.3">
      <c r="J83223"/>
    </row>
    <row r="83224" spans="10:10" x14ac:dyDescent="0.3">
      <c r="J83224"/>
    </row>
    <row r="83225" spans="10:10" x14ac:dyDescent="0.3">
      <c r="J83225"/>
    </row>
    <row r="83226" spans="10:10" x14ac:dyDescent="0.3">
      <c r="J83226"/>
    </row>
    <row r="83227" spans="10:10" x14ac:dyDescent="0.3">
      <c r="J83227"/>
    </row>
    <row r="83228" spans="10:10" x14ac:dyDescent="0.3">
      <c r="J83228"/>
    </row>
    <row r="83229" spans="10:10" x14ac:dyDescent="0.3">
      <c r="J83229"/>
    </row>
    <row r="83230" spans="10:10" x14ac:dyDescent="0.3">
      <c r="J83230"/>
    </row>
    <row r="83231" spans="10:10" x14ac:dyDescent="0.3">
      <c r="J83231"/>
    </row>
    <row r="83232" spans="10:10" x14ac:dyDescent="0.3">
      <c r="J83232"/>
    </row>
    <row r="83233" spans="10:10" x14ac:dyDescent="0.3">
      <c r="J83233"/>
    </row>
    <row r="83234" spans="10:10" x14ac:dyDescent="0.3">
      <c r="J83234"/>
    </row>
    <row r="83235" spans="10:10" x14ac:dyDescent="0.3">
      <c r="J83235"/>
    </row>
    <row r="83236" spans="10:10" x14ac:dyDescent="0.3">
      <c r="J83236"/>
    </row>
    <row r="83237" spans="10:10" x14ac:dyDescent="0.3">
      <c r="J83237"/>
    </row>
    <row r="83238" spans="10:10" x14ac:dyDescent="0.3">
      <c r="J83238"/>
    </row>
    <row r="83239" spans="10:10" x14ac:dyDescent="0.3">
      <c r="J83239"/>
    </row>
    <row r="83240" spans="10:10" x14ac:dyDescent="0.3">
      <c r="J83240"/>
    </row>
    <row r="83241" spans="10:10" x14ac:dyDescent="0.3">
      <c r="J83241"/>
    </row>
    <row r="83242" spans="10:10" x14ac:dyDescent="0.3">
      <c r="J83242"/>
    </row>
    <row r="83243" spans="10:10" x14ac:dyDescent="0.3">
      <c r="J83243"/>
    </row>
    <row r="83244" spans="10:10" x14ac:dyDescent="0.3">
      <c r="J83244"/>
    </row>
    <row r="83245" spans="10:10" x14ac:dyDescent="0.3">
      <c r="J83245"/>
    </row>
    <row r="83246" spans="10:10" x14ac:dyDescent="0.3">
      <c r="J83246"/>
    </row>
    <row r="83247" spans="10:10" x14ac:dyDescent="0.3">
      <c r="J83247"/>
    </row>
    <row r="83248" spans="10:10" x14ac:dyDescent="0.3">
      <c r="J83248"/>
    </row>
    <row r="83249" spans="10:10" x14ac:dyDescent="0.3">
      <c r="J83249"/>
    </row>
    <row r="83250" spans="10:10" x14ac:dyDescent="0.3">
      <c r="J83250"/>
    </row>
    <row r="83251" spans="10:10" x14ac:dyDescent="0.3">
      <c r="J83251"/>
    </row>
    <row r="83252" spans="10:10" x14ac:dyDescent="0.3">
      <c r="J83252"/>
    </row>
    <row r="83253" spans="10:10" x14ac:dyDescent="0.3">
      <c r="J83253"/>
    </row>
    <row r="83254" spans="10:10" x14ac:dyDescent="0.3">
      <c r="J83254"/>
    </row>
    <row r="83255" spans="10:10" x14ac:dyDescent="0.3">
      <c r="J83255"/>
    </row>
    <row r="83256" spans="10:10" x14ac:dyDescent="0.3">
      <c r="J83256"/>
    </row>
    <row r="83257" spans="10:10" x14ac:dyDescent="0.3">
      <c r="J83257"/>
    </row>
    <row r="83258" spans="10:10" x14ac:dyDescent="0.3">
      <c r="J83258"/>
    </row>
    <row r="83259" spans="10:10" x14ac:dyDescent="0.3">
      <c r="J83259"/>
    </row>
    <row r="83260" spans="10:10" x14ac:dyDescent="0.3">
      <c r="J83260"/>
    </row>
    <row r="83261" spans="10:10" x14ac:dyDescent="0.3">
      <c r="J83261"/>
    </row>
    <row r="83262" spans="10:10" x14ac:dyDescent="0.3">
      <c r="J83262"/>
    </row>
    <row r="83263" spans="10:10" x14ac:dyDescent="0.3">
      <c r="J83263"/>
    </row>
    <row r="83264" spans="10:10" x14ac:dyDescent="0.3">
      <c r="J83264"/>
    </row>
    <row r="83265" spans="10:10" x14ac:dyDescent="0.3">
      <c r="J83265"/>
    </row>
    <row r="83266" spans="10:10" x14ac:dyDescent="0.3">
      <c r="J83266"/>
    </row>
    <row r="83267" spans="10:10" x14ac:dyDescent="0.3">
      <c r="J83267"/>
    </row>
    <row r="83268" spans="10:10" x14ac:dyDescent="0.3">
      <c r="J83268"/>
    </row>
    <row r="83269" spans="10:10" x14ac:dyDescent="0.3">
      <c r="J83269"/>
    </row>
    <row r="83270" spans="10:10" x14ac:dyDescent="0.3">
      <c r="J83270"/>
    </row>
    <row r="83271" spans="10:10" x14ac:dyDescent="0.3">
      <c r="J83271"/>
    </row>
    <row r="83272" spans="10:10" x14ac:dyDescent="0.3">
      <c r="J83272"/>
    </row>
    <row r="83273" spans="10:10" x14ac:dyDescent="0.3">
      <c r="J83273"/>
    </row>
    <row r="83274" spans="10:10" x14ac:dyDescent="0.3">
      <c r="J83274"/>
    </row>
    <row r="83275" spans="10:10" x14ac:dyDescent="0.3">
      <c r="J83275"/>
    </row>
    <row r="83276" spans="10:10" x14ac:dyDescent="0.3">
      <c r="J83276"/>
    </row>
    <row r="83277" spans="10:10" x14ac:dyDescent="0.3">
      <c r="J83277"/>
    </row>
    <row r="83278" spans="10:10" x14ac:dyDescent="0.3">
      <c r="J83278"/>
    </row>
    <row r="83279" spans="10:10" x14ac:dyDescent="0.3">
      <c r="J83279"/>
    </row>
    <row r="83280" spans="10:10" x14ac:dyDescent="0.3">
      <c r="J83280"/>
    </row>
    <row r="83281" spans="10:10" x14ac:dyDescent="0.3">
      <c r="J83281"/>
    </row>
    <row r="83282" spans="10:10" x14ac:dyDescent="0.3">
      <c r="J83282"/>
    </row>
    <row r="83283" spans="10:10" x14ac:dyDescent="0.3">
      <c r="J83283"/>
    </row>
    <row r="83284" spans="10:10" x14ac:dyDescent="0.3">
      <c r="J83284"/>
    </row>
    <row r="83285" spans="10:10" x14ac:dyDescent="0.3">
      <c r="J83285"/>
    </row>
    <row r="83286" spans="10:10" x14ac:dyDescent="0.3">
      <c r="J83286"/>
    </row>
    <row r="83287" spans="10:10" x14ac:dyDescent="0.3">
      <c r="J83287"/>
    </row>
    <row r="83288" spans="10:10" x14ac:dyDescent="0.3">
      <c r="J83288"/>
    </row>
    <row r="83289" spans="10:10" x14ac:dyDescent="0.3">
      <c r="J83289"/>
    </row>
    <row r="83290" spans="10:10" x14ac:dyDescent="0.3">
      <c r="J83290"/>
    </row>
    <row r="83291" spans="10:10" x14ac:dyDescent="0.3">
      <c r="J83291"/>
    </row>
    <row r="83292" spans="10:10" x14ac:dyDescent="0.3">
      <c r="J83292"/>
    </row>
    <row r="83293" spans="10:10" x14ac:dyDescent="0.3">
      <c r="J83293"/>
    </row>
    <row r="83294" spans="10:10" x14ac:dyDescent="0.3">
      <c r="J83294"/>
    </row>
    <row r="83295" spans="10:10" x14ac:dyDescent="0.3">
      <c r="J83295"/>
    </row>
    <row r="83296" spans="10:10" x14ac:dyDescent="0.3">
      <c r="J83296"/>
    </row>
    <row r="83297" spans="10:10" x14ac:dyDescent="0.3">
      <c r="J83297"/>
    </row>
    <row r="83298" spans="10:10" x14ac:dyDescent="0.3">
      <c r="J83298"/>
    </row>
    <row r="83299" spans="10:10" x14ac:dyDescent="0.3">
      <c r="J83299"/>
    </row>
    <row r="83300" spans="10:10" x14ac:dyDescent="0.3">
      <c r="J83300"/>
    </row>
    <row r="83301" spans="10:10" x14ac:dyDescent="0.3">
      <c r="J83301"/>
    </row>
    <row r="83302" spans="10:10" x14ac:dyDescent="0.3">
      <c r="J83302"/>
    </row>
    <row r="83303" spans="10:10" x14ac:dyDescent="0.3">
      <c r="J83303"/>
    </row>
    <row r="83304" spans="10:10" x14ac:dyDescent="0.3">
      <c r="J83304"/>
    </row>
    <row r="83305" spans="10:10" x14ac:dyDescent="0.3">
      <c r="J83305"/>
    </row>
    <row r="83306" spans="10:10" x14ac:dyDescent="0.3">
      <c r="J83306"/>
    </row>
    <row r="83307" spans="10:10" x14ac:dyDescent="0.3">
      <c r="J83307"/>
    </row>
    <row r="83308" spans="10:10" x14ac:dyDescent="0.3">
      <c r="J83308"/>
    </row>
    <row r="83309" spans="10:10" x14ac:dyDescent="0.3">
      <c r="J83309"/>
    </row>
    <row r="83310" spans="10:10" x14ac:dyDescent="0.3">
      <c r="J83310"/>
    </row>
    <row r="83311" spans="10:10" x14ac:dyDescent="0.3">
      <c r="J83311"/>
    </row>
    <row r="83312" spans="10:10" x14ac:dyDescent="0.3">
      <c r="J83312"/>
    </row>
    <row r="83313" spans="10:10" x14ac:dyDescent="0.3">
      <c r="J83313"/>
    </row>
    <row r="83314" spans="10:10" x14ac:dyDescent="0.3">
      <c r="J83314"/>
    </row>
    <row r="83315" spans="10:10" x14ac:dyDescent="0.3">
      <c r="J83315"/>
    </row>
    <row r="83316" spans="10:10" x14ac:dyDescent="0.3">
      <c r="J83316"/>
    </row>
    <row r="83317" spans="10:10" x14ac:dyDescent="0.3">
      <c r="J83317"/>
    </row>
    <row r="83318" spans="10:10" x14ac:dyDescent="0.3">
      <c r="J83318"/>
    </row>
    <row r="83319" spans="10:10" x14ac:dyDescent="0.3">
      <c r="J83319"/>
    </row>
    <row r="83320" spans="10:10" x14ac:dyDescent="0.3">
      <c r="J83320"/>
    </row>
    <row r="83321" spans="10:10" x14ac:dyDescent="0.3">
      <c r="J83321"/>
    </row>
    <row r="83322" spans="10:10" x14ac:dyDescent="0.3">
      <c r="J83322"/>
    </row>
    <row r="83323" spans="10:10" x14ac:dyDescent="0.3">
      <c r="J83323"/>
    </row>
    <row r="83324" spans="10:10" x14ac:dyDescent="0.3">
      <c r="J83324"/>
    </row>
    <row r="83325" spans="10:10" x14ac:dyDescent="0.3">
      <c r="J83325"/>
    </row>
    <row r="83326" spans="10:10" x14ac:dyDescent="0.3">
      <c r="J83326"/>
    </row>
    <row r="83327" spans="10:10" x14ac:dyDescent="0.3">
      <c r="J83327"/>
    </row>
    <row r="83328" spans="10:10" x14ac:dyDescent="0.3">
      <c r="J83328"/>
    </row>
    <row r="83329" spans="10:10" x14ac:dyDescent="0.3">
      <c r="J83329"/>
    </row>
    <row r="83330" spans="10:10" x14ac:dyDescent="0.3">
      <c r="J83330"/>
    </row>
    <row r="83331" spans="10:10" x14ac:dyDescent="0.3">
      <c r="J83331"/>
    </row>
    <row r="83332" spans="10:10" x14ac:dyDescent="0.3">
      <c r="J83332"/>
    </row>
    <row r="83333" spans="10:10" x14ac:dyDescent="0.3">
      <c r="J83333"/>
    </row>
    <row r="83334" spans="10:10" x14ac:dyDescent="0.3">
      <c r="J83334"/>
    </row>
    <row r="83335" spans="10:10" x14ac:dyDescent="0.3">
      <c r="J83335"/>
    </row>
    <row r="83336" spans="10:10" x14ac:dyDescent="0.3">
      <c r="J83336"/>
    </row>
    <row r="83337" spans="10:10" x14ac:dyDescent="0.3">
      <c r="J83337"/>
    </row>
    <row r="83338" spans="10:10" x14ac:dyDescent="0.3">
      <c r="J83338"/>
    </row>
    <row r="83339" spans="10:10" x14ac:dyDescent="0.3">
      <c r="J83339"/>
    </row>
    <row r="83340" spans="10:10" x14ac:dyDescent="0.3">
      <c r="J83340"/>
    </row>
    <row r="83341" spans="10:10" x14ac:dyDescent="0.3">
      <c r="J83341"/>
    </row>
    <row r="83342" spans="10:10" x14ac:dyDescent="0.3">
      <c r="J83342"/>
    </row>
    <row r="83343" spans="10:10" x14ac:dyDescent="0.3">
      <c r="J83343"/>
    </row>
    <row r="83344" spans="10:10" x14ac:dyDescent="0.3">
      <c r="J83344"/>
    </row>
    <row r="83345" spans="10:10" x14ac:dyDescent="0.3">
      <c r="J83345"/>
    </row>
    <row r="83346" spans="10:10" x14ac:dyDescent="0.3">
      <c r="J83346"/>
    </row>
    <row r="83347" spans="10:10" x14ac:dyDescent="0.3">
      <c r="J83347"/>
    </row>
    <row r="83348" spans="10:10" x14ac:dyDescent="0.3">
      <c r="J83348"/>
    </row>
    <row r="83349" spans="10:10" x14ac:dyDescent="0.3">
      <c r="J83349"/>
    </row>
    <row r="83350" spans="10:10" x14ac:dyDescent="0.3">
      <c r="J83350"/>
    </row>
    <row r="83351" spans="10:10" x14ac:dyDescent="0.3">
      <c r="J83351"/>
    </row>
    <row r="83352" spans="10:10" x14ac:dyDescent="0.3">
      <c r="J83352"/>
    </row>
    <row r="83353" spans="10:10" x14ac:dyDescent="0.3">
      <c r="J83353"/>
    </row>
    <row r="83354" spans="10:10" x14ac:dyDescent="0.3">
      <c r="J83354"/>
    </row>
    <row r="83355" spans="10:10" x14ac:dyDescent="0.3">
      <c r="J83355"/>
    </row>
    <row r="83356" spans="10:10" x14ac:dyDescent="0.3">
      <c r="J83356"/>
    </row>
    <row r="83357" spans="10:10" x14ac:dyDescent="0.3">
      <c r="J83357"/>
    </row>
    <row r="83358" spans="10:10" x14ac:dyDescent="0.3">
      <c r="J83358"/>
    </row>
    <row r="83359" spans="10:10" x14ac:dyDescent="0.3">
      <c r="J83359"/>
    </row>
    <row r="83360" spans="10:10" x14ac:dyDescent="0.3">
      <c r="J83360"/>
    </row>
    <row r="83361" spans="10:10" x14ac:dyDescent="0.3">
      <c r="J83361"/>
    </row>
    <row r="83362" spans="10:10" x14ac:dyDescent="0.3">
      <c r="J83362"/>
    </row>
    <row r="83363" spans="10:10" x14ac:dyDescent="0.3">
      <c r="J83363"/>
    </row>
    <row r="83364" spans="10:10" x14ac:dyDescent="0.3">
      <c r="J83364"/>
    </row>
    <row r="83365" spans="10:10" x14ac:dyDescent="0.3">
      <c r="J83365"/>
    </row>
    <row r="83366" spans="10:10" x14ac:dyDescent="0.3">
      <c r="J83366"/>
    </row>
    <row r="83367" spans="10:10" x14ac:dyDescent="0.3">
      <c r="J83367"/>
    </row>
    <row r="83368" spans="10:10" x14ac:dyDescent="0.3">
      <c r="J83368"/>
    </row>
    <row r="83369" spans="10:10" x14ac:dyDescent="0.3">
      <c r="J83369"/>
    </row>
    <row r="83370" spans="10:10" x14ac:dyDescent="0.3">
      <c r="J83370"/>
    </row>
    <row r="83371" spans="10:10" x14ac:dyDescent="0.3">
      <c r="J83371"/>
    </row>
    <row r="83372" spans="10:10" x14ac:dyDescent="0.3">
      <c r="J83372"/>
    </row>
    <row r="83373" spans="10:10" x14ac:dyDescent="0.3">
      <c r="J83373"/>
    </row>
    <row r="83374" spans="10:10" x14ac:dyDescent="0.3">
      <c r="J83374"/>
    </row>
    <row r="83375" spans="10:10" x14ac:dyDescent="0.3">
      <c r="J83375"/>
    </row>
    <row r="83376" spans="10:10" x14ac:dyDescent="0.3">
      <c r="J83376"/>
    </row>
    <row r="83377" spans="10:10" x14ac:dyDescent="0.3">
      <c r="J83377"/>
    </row>
    <row r="83378" spans="10:10" x14ac:dyDescent="0.3">
      <c r="J83378"/>
    </row>
    <row r="83379" spans="10:10" x14ac:dyDescent="0.3">
      <c r="J83379"/>
    </row>
    <row r="83380" spans="10:10" x14ac:dyDescent="0.3">
      <c r="J83380"/>
    </row>
    <row r="83381" spans="10:10" x14ac:dyDescent="0.3">
      <c r="J83381"/>
    </row>
    <row r="83382" spans="10:10" x14ac:dyDescent="0.3">
      <c r="J83382"/>
    </row>
    <row r="83383" spans="10:10" x14ac:dyDescent="0.3">
      <c r="J83383"/>
    </row>
    <row r="83384" spans="10:10" x14ac:dyDescent="0.3">
      <c r="J83384"/>
    </row>
    <row r="83385" spans="10:10" x14ac:dyDescent="0.3">
      <c r="J83385"/>
    </row>
    <row r="83386" spans="10:10" x14ac:dyDescent="0.3">
      <c r="J83386"/>
    </row>
    <row r="83387" spans="10:10" x14ac:dyDescent="0.3">
      <c r="J83387"/>
    </row>
    <row r="83388" spans="10:10" x14ac:dyDescent="0.3">
      <c r="J83388"/>
    </row>
    <row r="83389" spans="10:10" x14ac:dyDescent="0.3">
      <c r="J83389"/>
    </row>
    <row r="83390" spans="10:10" x14ac:dyDescent="0.3">
      <c r="J83390"/>
    </row>
    <row r="83391" spans="10:10" x14ac:dyDescent="0.3">
      <c r="J83391"/>
    </row>
    <row r="83392" spans="10:10" x14ac:dyDescent="0.3">
      <c r="J83392"/>
    </row>
    <row r="83393" spans="10:10" x14ac:dyDescent="0.3">
      <c r="J83393"/>
    </row>
    <row r="83394" spans="10:10" x14ac:dyDescent="0.3">
      <c r="J83394"/>
    </row>
    <row r="83395" spans="10:10" x14ac:dyDescent="0.3">
      <c r="J83395"/>
    </row>
    <row r="83396" spans="10:10" x14ac:dyDescent="0.3">
      <c r="J83396"/>
    </row>
    <row r="83397" spans="10:10" x14ac:dyDescent="0.3">
      <c r="J83397"/>
    </row>
    <row r="83398" spans="10:10" x14ac:dyDescent="0.3">
      <c r="J83398"/>
    </row>
    <row r="83399" spans="10:10" x14ac:dyDescent="0.3">
      <c r="J83399"/>
    </row>
    <row r="83400" spans="10:10" x14ac:dyDescent="0.3">
      <c r="J83400"/>
    </row>
    <row r="83401" spans="10:10" x14ac:dyDescent="0.3">
      <c r="J83401"/>
    </row>
    <row r="83402" spans="10:10" x14ac:dyDescent="0.3">
      <c r="J83402"/>
    </row>
    <row r="83403" spans="10:10" x14ac:dyDescent="0.3">
      <c r="J83403"/>
    </row>
    <row r="83404" spans="10:10" x14ac:dyDescent="0.3">
      <c r="J83404"/>
    </row>
    <row r="83405" spans="10:10" x14ac:dyDescent="0.3">
      <c r="J83405"/>
    </row>
    <row r="83406" spans="10:10" x14ac:dyDescent="0.3">
      <c r="J83406"/>
    </row>
    <row r="83407" spans="10:10" x14ac:dyDescent="0.3">
      <c r="J83407"/>
    </row>
    <row r="83408" spans="10:10" x14ac:dyDescent="0.3">
      <c r="J83408"/>
    </row>
    <row r="83409" spans="10:10" x14ac:dyDescent="0.3">
      <c r="J83409"/>
    </row>
    <row r="83410" spans="10:10" x14ac:dyDescent="0.3">
      <c r="J83410"/>
    </row>
    <row r="83411" spans="10:10" x14ac:dyDescent="0.3">
      <c r="J83411"/>
    </row>
    <row r="83412" spans="10:10" x14ac:dyDescent="0.3">
      <c r="J83412"/>
    </row>
    <row r="83413" spans="10:10" x14ac:dyDescent="0.3">
      <c r="J83413"/>
    </row>
    <row r="83414" spans="10:10" x14ac:dyDescent="0.3">
      <c r="J83414"/>
    </row>
    <row r="83415" spans="10:10" x14ac:dyDescent="0.3">
      <c r="J83415"/>
    </row>
    <row r="83416" spans="10:10" x14ac:dyDescent="0.3">
      <c r="J83416"/>
    </row>
    <row r="83417" spans="10:10" x14ac:dyDescent="0.3">
      <c r="J83417"/>
    </row>
    <row r="83418" spans="10:10" x14ac:dyDescent="0.3">
      <c r="J83418"/>
    </row>
    <row r="83419" spans="10:10" x14ac:dyDescent="0.3">
      <c r="J83419"/>
    </row>
    <row r="83420" spans="10:10" x14ac:dyDescent="0.3">
      <c r="J83420"/>
    </row>
    <row r="83421" spans="10:10" x14ac:dyDescent="0.3">
      <c r="J83421"/>
    </row>
    <row r="83422" spans="10:10" x14ac:dyDescent="0.3">
      <c r="J83422"/>
    </row>
    <row r="83423" spans="10:10" x14ac:dyDescent="0.3">
      <c r="J83423"/>
    </row>
    <row r="83424" spans="10:10" x14ac:dyDescent="0.3">
      <c r="J83424"/>
    </row>
    <row r="83425" spans="10:10" x14ac:dyDescent="0.3">
      <c r="J83425"/>
    </row>
    <row r="83426" spans="10:10" x14ac:dyDescent="0.3">
      <c r="J83426"/>
    </row>
    <row r="83427" spans="10:10" x14ac:dyDescent="0.3">
      <c r="J83427"/>
    </row>
    <row r="83428" spans="10:10" x14ac:dyDescent="0.3">
      <c r="J83428"/>
    </row>
    <row r="83429" spans="10:10" x14ac:dyDescent="0.3">
      <c r="J83429"/>
    </row>
    <row r="83430" spans="10:10" x14ac:dyDescent="0.3">
      <c r="J83430"/>
    </row>
    <row r="83431" spans="10:10" x14ac:dyDescent="0.3">
      <c r="J83431"/>
    </row>
    <row r="83432" spans="10:10" x14ac:dyDescent="0.3">
      <c r="J83432"/>
    </row>
    <row r="83433" spans="10:10" x14ac:dyDescent="0.3">
      <c r="J83433"/>
    </row>
    <row r="83434" spans="10:10" x14ac:dyDescent="0.3">
      <c r="J83434"/>
    </row>
    <row r="83435" spans="10:10" x14ac:dyDescent="0.3">
      <c r="J83435"/>
    </row>
    <row r="83436" spans="10:10" x14ac:dyDescent="0.3">
      <c r="J83436"/>
    </row>
    <row r="83437" spans="10:10" x14ac:dyDescent="0.3">
      <c r="J83437"/>
    </row>
    <row r="83438" spans="10:10" x14ac:dyDescent="0.3">
      <c r="J83438"/>
    </row>
    <row r="83439" spans="10:10" x14ac:dyDescent="0.3">
      <c r="J83439"/>
    </row>
    <row r="83440" spans="10:10" x14ac:dyDescent="0.3">
      <c r="J83440"/>
    </row>
    <row r="83441" spans="10:10" x14ac:dyDescent="0.3">
      <c r="J83441"/>
    </row>
    <row r="83442" spans="10:10" x14ac:dyDescent="0.3">
      <c r="J83442"/>
    </row>
    <row r="83443" spans="10:10" x14ac:dyDescent="0.3">
      <c r="J83443"/>
    </row>
    <row r="83444" spans="10:10" x14ac:dyDescent="0.3">
      <c r="J83444"/>
    </row>
    <row r="83445" spans="10:10" x14ac:dyDescent="0.3">
      <c r="J83445"/>
    </row>
    <row r="83446" spans="10:10" x14ac:dyDescent="0.3">
      <c r="J83446"/>
    </row>
    <row r="83447" spans="10:10" x14ac:dyDescent="0.3">
      <c r="J83447"/>
    </row>
    <row r="83448" spans="10:10" x14ac:dyDescent="0.3">
      <c r="J83448"/>
    </row>
    <row r="83449" spans="10:10" x14ac:dyDescent="0.3">
      <c r="J83449"/>
    </row>
    <row r="83450" spans="10:10" x14ac:dyDescent="0.3">
      <c r="J83450"/>
    </row>
    <row r="83451" spans="10:10" x14ac:dyDescent="0.3">
      <c r="J83451"/>
    </row>
    <row r="83452" spans="10:10" x14ac:dyDescent="0.3">
      <c r="J83452"/>
    </row>
    <row r="83453" spans="10:10" x14ac:dyDescent="0.3">
      <c r="J83453"/>
    </row>
    <row r="83454" spans="10:10" x14ac:dyDescent="0.3">
      <c r="J83454"/>
    </row>
    <row r="83455" spans="10:10" x14ac:dyDescent="0.3">
      <c r="J83455"/>
    </row>
    <row r="83456" spans="10:10" x14ac:dyDescent="0.3">
      <c r="J83456"/>
    </row>
    <row r="83457" spans="10:10" x14ac:dyDescent="0.3">
      <c r="J83457"/>
    </row>
    <row r="83458" spans="10:10" x14ac:dyDescent="0.3">
      <c r="J83458"/>
    </row>
    <row r="83459" spans="10:10" x14ac:dyDescent="0.3">
      <c r="J83459"/>
    </row>
    <row r="83460" spans="10:10" x14ac:dyDescent="0.3">
      <c r="J83460"/>
    </row>
    <row r="83461" spans="10:10" x14ac:dyDescent="0.3">
      <c r="J83461"/>
    </row>
    <row r="83462" spans="10:10" x14ac:dyDescent="0.3">
      <c r="J83462"/>
    </row>
    <row r="83463" spans="10:10" x14ac:dyDescent="0.3">
      <c r="J83463"/>
    </row>
    <row r="83464" spans="10:10" x14ac:dyDescent="0.3">
      <c r="J83464"/>
    </row>
    <row r="83465" spans="10:10" x14ac:dyDescent="0.3">
      <c r="J83465"/>
    </row>
    <row r="83466" spans="10:10" x14ac:dyDescent="0.3">
      <c r="J83466"/>
    </row>
    <row r="83467" spans="10:10" x14ac:dyDescent="0.3">
      <c r="J83467"/>
    </row>
    <row r="83468" spans="10:10" x14ac:dyDescent="0.3">
      <c r="J83468"/>
    </row>
    <row r="83469" spans="10:10" x14ac:dyDescent="0.3">
      <c r="J83469"/>
    </row>
    <row r="83470" spans="10:10" x14ac:dyDescent="0.3">
      <c r="J83470"/>
    </row>
    <row r="83471" spans="10:10" x14ac:dyDescent="0.3">
      <c r="J83471"/>
    </row>
    <row r="83472" spans="10:10" x14ac:dyDescent="0.3">
      <c r="J83472"/>
    </row>
    <row r="83473" spans="10:10" x14ac:dyDescent="0.3">
      <c r="J83473"/>
    </row>
    <row r="83474" spans="10:10" x14ac:dyDescent="0.3">
      <c r="J83474"/>
    </row>
    <row r="83475" spans="10:10" x14ac:dyDescent="0.3">
      <c r="J83475"/>
    </row>
    <row r="83476" spans="10:10" x14ac:dyDescent="0.3">
      <c r="J83476"/>
    </row>
    <row r="83477" spans="10:10" x14ac:dyDescent="0.3">
      <c r="J83477"/>
    </row>
    <row r="83478" spans="10:10" x14ac:dyDescent="0.3">
      <c r="J83478"/>
    </row>
    <row r="83479" spans="10:10" x14ac:dyDescent="0.3">
      <c r="J83479"/>
    </row>
    <row r="83480" spans="10:10" x14ac:dyDescent="0.3">
      <c r="J83480"/>
    </row>
    <row r="83481" spans="10:10" x14ac:dyDescent="0.3">
      <c r="J83481"/>
    </row>
    <row r="83482" spans="10:10" x14ac:dyDescent="0.3">
      <c r="J83482"/>
    </row>
    <row r="83483" spans="10:10" x14ac:dyDescent="0.3">
      <c r="J83483"/>
    </row>
    <row r="83484" spans="10:10" x14ac:dyDescent="0.3">
      <c r="J83484"/>
    </row>
    <row r="83485" spans="10:10" x14ac:dyDescent="0.3">
      <c r="J83485"/>
    </row>
    <row r="83486" spans="10:10" x14ac:dyDescent="0.3">
      <c r="J83486"/>
    </row>
    <row r="83487" spans="10:10" x14ac:dyDescent="0.3">
      <c r="J83487"/>
    </row>
    <row r="83488" spans="10:10" x14ac:dyDescent="0.3">
      <c r="J83488"/>
    </row>
    <row r="83489" spans="10:10" x14ac:dyDescent="0.3">
      <c r="J83489"/>
    </row>
    <row r="83490" spans="10:10" x14ac:dyDescent="0.3">
      <c r="J83490"/>
    </row>
    <row r="83491" spans="10:10" x14ac:dyDescent="0.3">
      <c r="J83491"/>
    </row>
    <row r="83492" spans="10:10" x14ac:dyDescent="0.3">
      <c r="J83492"/>
    </row>
    <row r="83493" spans="10:10" x14ac:dyDescent="0.3">
      <c r="J83493"/>
    </row>
    <row r="83494" spans="10:10" x14ac:dyDescent="0.3">
      <c r="J83494"/>
    </row>
    <row r="83495" spans="10:10" x14ac:dyDescent="0.3">
      <c r="J83495"/>
    </row>
    <row r="83496" spans="10:10" x14ac:dyDescent="0.3">
      <c r="J83496"/>
    </row>
    <row r="83497" spans="10:10" x14ac:dyDescent="0.3">
      <c r="J83497"/>
    </row>
    <row r="83498" spans="10:10" x14ac:dyDescent="0.3">
      <c r="J83498"/>
    </row>
    <row r="83499" spans="10:10" x14ac:dyDescent="0.3">
      <c r="J83499"/>
    </row>
    <row r="83500" spans="10:10" x14ac:dyDescent="0.3">
      <c r="J83500"/>
    </row>
    <row r="83501" spans="10:10" x14ac:dyDescent="0.3">
      <c r="J83501"/>
    </row>
    <row r="83502" spans="10:10" x14ac:dyDescent="0.3">
      <c r="J83502"/>
    </row>
    <row r="83503" spans="10:10" x14ac:dyDescent="0.3">
      <c r="J83503"/>
    </row>
    <row r="83504" spans="10:10" x14ac:dyDescent="0.3">
      <c r="J83504"/>
    </row>
    <row r="83505" spans="10:10" x14ac:dyDescent="0.3">
      <c r="J83505"/>
    </row>
    <row r="83506" spans="10:10" x14ac:dyDescent="0.3">
      <c r="J83506"/>
    </row>
    <row r="83507" spans="10:10" x14ac:dyDescent="0.3">
      <c r="J83507"/>
    </row>
    <row r="83508" spans="10:10" x14ac:dyDescent="0.3">
      <c r="J83508"/>
    </row>
    <row r="83509" spans="10:10" x14ac:dyDescent="0.3">
      <c r="J83509"/>
    </row>
    <row r="83510" spans="10:10" x14ac:dyDescent="0.3">
      <c r="J83510"/>
    </row>
    <row r="83511" spans="10:10" x14ac:dyDescent="0.3">
      <c r="J83511"/>
    </row>
    <row r="83512" spans="10:10" x14ac:dyDescent="0.3">
      <c r="J83512"/>
    </row>
    <row r="83513" spans="10:10" x14ac:dyDescent="0.3">
      <c r="J83513"/>
    </row>
    <row r="83514" spans="10:10" x14ac:dyDescent="0.3">
      <c r="J83514"/>
    </row>
    <row r="83515" spans="10:10" x14ac:dyDescent="0.3">
      <c r="J83515"/>
    </row>
    <row r="83516" spans="10:10" x14ac:dyDescent="0.3">
      <c r="J83516"/>
    </row>
    <row r="83517" spans="10:10" x14ac:dyDescent="0.3">
      <c r="J83517"/>
    </row>
    <row r="83518" spans="10:10" x14ac:dyDescent="0.3">
      <c r="J83518"/>
    </row>
    <row r="83519" spans="10:10" x14ac:dyDescent="0.3">
      <c r="J83519"/>
    </row>
    <row r="83520" spans="10:10" x14ac:dyDescent="0.3">
      <c r="J83520"/>
    </row>
    <row r="83521" spans="10:10" x14ac:dyDescent="0.3">
      <c r="J83521"/>
    </row>
    <row r="83522" spans="10:10" x14ac:dyDescent="0.3">
      <c r="J83522"/>
    </row>
    <row r="83523" spans="10:10" x14ac:dyDescent="0.3">
      <c r="J83523"/>
    </row>
    <row r="83524" spans="10:10" x14ac:dyDescent="0.3">
      <c r="J83524"/>
    </row>
    <row r="83525" spans="10:10" x14ac:dyDescent="0.3">
      <c r="J83525"/>
    </row>
    <row r="83526" spans="10:10" x14ac:dyDescent="0.3">
      <c r="J83526"/>
    </row>
    <row r="83527" spans="10:10" x14ac:dyDescent="0.3">
      <c r="J83527"/>
    </row>
    <row r="83528" spans="10:10" x14ac:dyDescent="0.3">
      <c r="J83528"/>
    </row>
    <row r="83529" spans="10:10" x14ac:dyDescent="0.3">
      <c r="J83529"/>
    </row>
    <row r="83530" spans="10:10" x14ac:dyDescent="0.3">
      <c r="J83530"/>
    </row>
    <row r="83531" spans="10:10" x14ac:dyDescent="0.3">
      <c r="J83531"/>
    </row>
    <row r="83532" spans="10:10" x14ac:dyDescent="0.3">
      <c r="J83532"/>
    </row>
    <row r="83533" spans="10:10" x14ac:dyDescent="0.3">
      <c r="J83533"/>
    </row>
    <row r="83534" spans="10:10" x14ac:dyDescent="0.3">
      <c r="J83534"/>
    </row>
    <row r="83535" spans="10:10" x14ac:dyDescent="0.3">
      <c r="J83535"/>
    </row>
    <row r="83536" spans="10:10" x14ac:dyDescent="0.3">
      <c r="J83536"/>
    </row>
    <row r="83537" spans="10:10" x14ac:dyDescent="0.3">
      <c r="J83537"/>
    </row>
    <row r="83538" spans="10:10" x14ac:dyDescent="0.3">
      <c r="J83538"/>
    </row>
    <row r="83539" spans="10:10" x14ac:dyDescent="0.3">
      <c r="J83539"/>
    </row>
    <row r="83540" spans="10:10" x14ac:dyDescent="0.3">
      <c r="J83540"/>
    </row>
    <row r="83541" spans="10:10" x14ac:dyDescent="0.3">
      <c r="J83541"/>
    </row>
    <row r="83542" spans="10:10" x14ac:dyDescent="0.3">
      <c r="J83542"/>
    </row>
    <row r="83543" spans="10:10" x14ac:dyDescent="0.3">
      <c r="J83543"/>
    </row>
    <row r="83544" spans="10:10" x14ac:dyDescent="0.3">
      <c r="J83544"/>
    </row>
    <row r="83545" spans="10:10" x14ac:dyDescent="0.3">
      <c r="J83545"/>
    </row>
    <row r="83546" spans="10:10" x14ac:dyDescent="0.3">
      <c r="J83546"/>
    </row>
    <row r="83547" spans="10:10" x14ac:dyDescent="0.3">
      <c r="J83547"/>
    </row>
    <row r="83548" spans="10:10" x14ac:dyDescent="0.3">
      <c r="J83548"/>
    </row>
    <row r="83549" spans="10:10" x14ac:dyDescent="0.3">
      <c r="J83549"/>
    </row>
    <row r="83550" spans="10:10" x14ac:dyDescent="0.3">
      <c r="J83550"/>
    </row>
    <row r="83551" spans="10:10" x14ac:dyDescent="0.3">
      <c r="J83551"/>
    </row>
    <row r="83552" spans="10:10" x14ac:dyDescent="0.3">
      <c r="J83552"/>
    </row>
    <row r="83553" spans="10:10" x14ac:dyDescent="0.3">
      <c r="J83553"/>
    </row>
    <row r="83554" spans="10:10" x14ac:dyDescent="0.3">
      <c r="J83554"/>
    </row>
    <row r="83555" spans="10:10" x14ac:dyDescent="0.3">
      <c r="J83555"/>
    </row>
    <row r="83556" spans="10:10" x14ac:dyDescent="0.3">
      <c r="J83556"/>
    </row>
    <row r="83557" spans="10:10" x14ac:dyDescent="0.3">
      <c r="J83557"/>
    </row>
    <row r="83558" spans="10:10" x14ac:dyDescent="0.3">
      <c r="J83558"/>
    </row>
    <row r="83559" spans="10:10" x14ac:dyDescent="0.3">
      <c r="J83559"/>
    </row>
    <row r="83560" spans="10:10" x14ac:dyDescent="0.3">
      <c r="J83560"/>
    </row>
    <row r="83561" spans="10:10" x14ac:dyDescent="0.3">
      <c r="J83561"/>
    </row>
    <row r="83562" spans="10:10" x14ac:dyDescent="0.3">
      <c r="J83562"/>
    </row>
    <row r="83563" spans="10:10" x14ac:dyDescent="0.3">
      <c r="J83563"/>
    </row>
    <row r="83564" spans="10:10" x14ac:dyDescent="0.3">
      <c r="J83564"/>
    </row>
    <row r="83565" spans="10:10" x14ac:dyDescent="0.3">
      <c r="J83565"/>
    </row>
    <row r="83566" spans="10:10" x14ac:dyDescent="0.3">
      <c r="J83566"/>
    </row>
    <row r="83567" spans="10:10" x14ac:dyDescent="0.3">
      <c r="J83567"/>
    </row>
    <row r="83568" spans="10:10" x14ac:dyDescent="0.3">
      <c r="J83568"/>
    </row>
    <row r="83569" spans="10:10" x14ac:dyDescent="0.3">
      <c r="J83569"/>
    </row>
    <row r="83570" spans="10:10" x14ac:dyDescent="0.3">
      <c r="J83570"/>
    </row>
    <row r="83571" spans="10:10" x14ac:dyDescent="0.3">
      <c r="J83571"/>
    </row>
    <row r="83572" spans="10:10" x14ac:dyDescent="0.3">
      <c r="J83572"/>
    </row>
    <row r="83573" spans="10:10" x14ac:dyDescent="0.3">
      <c r="J83573"/>
    </row>
    <row r="83574" spans="10:10" x14ac:dyDescent="0.3">
      <c r="J83574"/>
    </row>
    <row r="83575" spans="10:10" x14ac:dyDescent="0.3">
      <c r="J83575"/>
    </row>
    <row r="83576" spans="10:10" x14ac:dyDescent="0.3">
      <c r="J83576"/>
    </row>
    <row r="83577" spans="10:10" x14ac:dyDescent="0.3">
      <c r="J83577"/>
    </row>
    <row r="83578" spans="10:10" x14ac:dyDescent="0.3">
      <c r="J83578"/>
    </row>
    <row r="83579" spans="10:10" x14ac:dyDescent="0.3">
      <c r="J83579"/>
    </row>
    <row r="83580" spans="10:10" x14ac:dyDescent="0.3">
      <c r="J83580"/>
    </row>
    <row r="83581" spans="10:10" x14ac:dyDescent="0.3">
      <c r="J83581"/>
    </row>
    <row r="83582" spans="10:10" x14ac:dyDescent="0.3">
      <c r="J83582"/>
    </row>
    <row r="83583" spans="10:10" x14ac:dyDescent="0.3">
      <c r="J83583"/>
    </row>
    <row r="83584" spans="10:10" x14ac:dyDescent="0.3">
      <c r="J83584"/>
    </row>
    <row r="83585" spans="10:10" x14ac:dyDescent="0.3">
      <c r="J83585"/>
    </row>
    <row r="83586" spans="10:10" x14ac:dyDescent="0.3">
      <c r="J83586"/>
    </row>
    <row r="83587" spans="10:10" x14ac:dyDescent="0.3">
      <c r="J83587"/>
    </row>
    <row r="83588" spans="10:10" x14ac:dyDescent="0.3">
      <c r="J83588"/>
    </row>
    <row r="83589" spans="10:10" x14ac:dyDescent="0.3">
      <c r="J83589"/>
    </row>
    <row r="83590" spans="10:10" x14ac:dyDescent="0.3">
      <c r="J83590"/>
    </row>
    <row r="83591" spans="10:10" x14ac:dyDescent="0.3">
      <c r="J83591"/>
    </row>
    <row r="83592" spans="10:10" x14ac:dyDescent="0.3">
      <c r="J83592"/>
    </row>
    <row r="83593" spans="10:10" x14ac:dyDescent="0.3">
      <c r="J83593"/>
    </row>
    <row r="83594" spans="10:10" x14ac:dyDescent="0.3">
      <c r="J83594"/>
    </row>
    <row r="83595" spans="10:10" x14ac:dyDescent="0.3">
      <c r="J83595"/>
    </row>
    <row r="83596" spans="10:10" x14ac:dyDescent="0.3">
      <c r="J83596"/>
    </row>
    <row r="83597" spans="10:10" x14ac:dyDescent="0.3">
      <c r="J83597"/>
    </row>
    <row r="83598" spans="10:10" x14ac:dyDescent="0.3">
      <c r="J83598"/>
    </row>
    <row r="83599" spans="10:10" x14ac:dyDescent="0.3">
      <c r="J83599"/>
    </row>
    <row r="83600" spans="10:10" x14ac:dyDescent="0.3">
      <c r="J83600"/>
    </row>
    <row r="83601" spans="10:10" x14ac:dyDescent="0.3">
      <c r="J83601"/>
    </row>
    <row r="83602" spans="10:10" x14ac:dyDescent="0.3">
      <c r="J83602"/>
    </row>
    <row r="83603" spans="10:10" x14ac:dyDescent="0.3">
      <c r="J83603"/>
    </row>
    <row r="83604" spans="10:10" x14ac:dyDescent="0.3">
      <c r="J83604"/>
    </row>
    <row r="83605" spans="10:10" x14ac:dyDescent="0.3">
      <c r="J83605"/>
    </row>
    <row r="83606" spans="10:10" x14ac:dyDescent="0.3">
      <c r="J83606"/>
    </row>
    <row r="83607" spans="10:10" x14ac:dyDescent="0.3">
      <c r="J83607"/>
    </row>
    <row r="83608" spans="10:10" x14ac:dyDescent="0.3">
      <c r="J83608"/>
    </row>
    <row r="83609" spans="10:10" x14ac:dyDescent="0.3">
      <c r="J83609"/>
    </row>
    <row r="83610" spans="10:10" x14ac:dyDescent="0.3">
      <c r="J83610"/>
    </row>
    <row r="83611" spans="10:10" x14ac:dyDescent="0.3">
      <c r="J83611"/>
    </row>
    <row r="83612" spans="10:10" x14ac:dyDescent="0.3">
      <c r="J83612"/>
    </row>
    <row r="83613" spans="10:10" x14ac:dyDescent="0.3">
      <c r="J83613"/>
    </row>
    <row r="83614" spans="10:10" x14ac:dyDescent="0.3">
      <c r="J83614"/>
    </row>
    <row r="83615" spans="10:10" x14ac:dyDescent="0.3">
      <c r="J83615"/>
    </row>
    <row r="83616" spans="10:10" x14ac:dyDescent="0.3">
      <c r="J83616"/>
    </row>
    <row r="83617" spans="10:10" x14ac:dyDescent="0.3">
      <c r="J83617"/>
    </row>
    <row r="83618" spans="10:10" x14ac:dyDescent="0.3">
      <c r="J83618"/>
    </row>
    <row r="83619" spans="10:10" x14ac:dyDescent="0.3">
      <c r="J83619"/>
    </row>
    <row r="83620" spans="10:10" x14ac:dyDescent="0.3">
      <c r="J83620"/>
    </row>
    <row r="83621" spans="10:10" x14ac:dyDescent="0.3">
      <c r="J83621"/>
    </row>
    <row r="83622" spans="10:10" x14ac:dyDescent="0.3">
      <c r="J83622"/>
    </row>
    <row r="83623" spans="10:10" x14ac:dyDescent="0.3">
      <c r="J83623"/>
    </row>
    <row r="83624" spans="10:10" x14ac:dyDescent="0.3">
      <c r="J83624"/>
    </row>
    <row r="83625" spans="10:10" x14ac:dyDescent="0.3">
      <c r="J83625"/>
    </row>
    <row r="83626" spans="10:10" x14ac:dyDescent="0.3">
      <c r="J83626"/>
    </row>
    <row r="83627" spans="10:10" x14ac:dyDescent="0.3">
      <c r="J83627"/>
    </row>
    <row r="83628" spans="10:10" x14ac:dyDescent="0.3">
      <c r="J83628"/>
    </row>
    <row r="83629" spans="10:10" x14ac:dyDescent="0.3">
      <c r="J83629"/>
    </row>
    <row r="83630" spans="10:10" x14ac:dyDescent="0.3">
      <c r="J83630"/>
    </row>
    <row r="83631" spans="10:10" x14ac:dyDescent="0.3">
      <c r="J83631"/>
    </row>
    <row r="83632" spans="10:10" x14ac:dyDescent="0.3">
      <c r="J83632"/>
    </row>
    <row r="83633" spans="10:10" x14ac:dyDescent="0.3">
      <c r="J83633"/>
    </row>
    <row r="83634" spans="10:10" x14ac:dyDescent="0.3">
      <c r="J83634"/>
    </row>
    <row r="83635" spans="10:10" x14ac:dyDescent="0.3">
      <c r="J83635"/>
    </row>
    <row r="83636" spans="10:10" x14ac:dyDescent="0.3">
      <c r="J83636"/>
    </row>
    <row r="83637" spans="10:10" x14ac:dyDescent="0.3">
      <c r="J83637"/>
    </row>
    <row r="83638" spans="10:10" x14ac:dyDescent="0.3">
      <c r="J83638"/>
    </row>
    <row r="83639" spans="10:10" x14ac:dyDescent="0.3">
      <c r="J83639"/>
    </row>
    <row r="83640" spans="10:10" x14ac:dyDescent="0.3">
      <c r="J83640"/>
    </row>
    <row r="83641" spans="10:10" x14ac:dyDescent="0.3">
      <c r="J83641"/>
    </row>
    <row r="83642" spans="10:10" x14ac:dyDescent="0.3">
      <c r="J83642"/>
    </row>
    <row r="83643" spans="10:10" x14ac:dyDescent="0.3">
      <c r="J83643"/>
    </row>
    <row r="83644" spans="10:10" x14ac:dyDescent="0.3">
      <c r="J83644"/>
    </row>
    <row r="83645" spans="10:10" x14ac:dyDescent="0.3">
      <c r="J83645"/>
    </row>
    <row r="83646" spans="10:10" x14ac:dyDescent="0.3">
      <c r="J83646"/>
    </row>
    <row r="83647" spans="10:10" x14ac:dyDescent="0.3">
      <c r="J83647"/>
    </row>
    <row r="83648" spans="10:10" x14ac:dyDescent="0.3">
      <c r="J83648"/>
    </row>
    <row r="83649" spans="10:10" x14ac:dyDescent="0.3">
      <c r="J83649"/>
    </row>
    <row r="83650" spans="10:10" x14ac:dyDescent="0.3">
      <c r="J83650"/>
    </row>
    <row r="83651" spans="10:10" x14ac:dyDescent="0.3">
      <c r="J83651"/>
    </row>
    <row r="83652" spans="10:10" x14ac:dyDescent="0.3">
      <c r="J83652"/>
    </row>
    <row r="83653" spans="10:10" x14ac:dyDescent="0.3">
      <c r="J83653"/>
    </row>
    <row r="83654" spans="10:10" x14ac:dyDescent="0.3">
      <c r="J83654"/>
    </row>
    <row r="83655" spans="10:10" x14ac:dyDescent="0.3">
      <c r="J83655"/>
    </row>
    <row r="83656" spans="10:10" x14ac:dyDescent="0.3">
      <c r="J83656"/>
    </row>
    <row r="83657" spans="10:10" x14ac:dyDescent="0.3">
      <c r="J83657"/>
    </row>
    <row r="83658" spans="10:10" x14ac:dyDescent="0.3">
      <c r="J83658"/>
    </row>
    <row r="83659" spans="10:10" x14ac:dyDescent="0.3">
      <c r="J83659"/>
    </row>
    <row r="83660" spans="10:10" x14ac:dyDescent="0.3">
      <c r="J83660"/>
    </row>
    <row r="83661" spans="10:10" x14ac:dyDescent="0.3">
      <c r="J83661"/>
    </row>
    <row r="83662" spans="10:10" x14ac:dyDescent="0.3">
      <c r="J83662"/>
    </row>
    <row r="83663" spans="10:10" x14ac:dyDescent="0.3">
      <c r="J83663"/>
    </row>
    <row r="83664" spans="10:10" x14ac:dyDescent="0.3">
      <c r="J83664"/>
    </row>
    <row r="83665" spans="10:10" x14ac:dyDescent="0.3">
      <c r="J83665"/>
    </row>
    <row r="83666" spans="10:10" x14ac:dyDescent="0.3">
      <c r="J83666"/>
    </row>
    <row r="83667" spans="10:10" x14ac:dyDescent="0.3">
      <c r="J83667"/>
    </row>
    <row r="83668" spans="10:10" x14ac:dyDescent="0.3">
      <c r="J83668"/>
    </row>
    <row r="83669" spans="10:10" x14ac:dyDescent="0.3">
      <c r="J83669"/>
    </row>
    <row r="83670" spans="10:10" x14ac:dyDescent="0.3">
      <c r="J83670"/>
    </row>
    <row r="83671" spans="10:10" x14ac:dyDescent="0.3">
      <c r="J83671"/>
    </row>
    <row r="83672" spans="10:10" x14ac:dyDescent="0.3">
      <c r="J83672"/>
    </row>
    <row r="83673" spans="10:10" x14ac:dyDescent="0.3">
      <c r="J83673"/>
    </row>
    <row r="83674" spans="10:10" x14ac:dyDescent="0.3">
      <c r="J83674"/>
    </row>
    <row r="83675" spans="10:10" x14ac:dyDescent="0.3">
      <c r="J83675"/>
    </row>
    <row r="83676" spans="10:10" x14ac:dyDescent="0.3">
      <c r="J83676"/>
    </row>
    <row r="83677" spans="10:10" x14ac:dyDescent="0.3">
      <c r="J83677"/>
    </row>
    <row r="83678" spans="10:10" x14ac:dyDescent="0.3">
      <c r="J83678"/>
    </row>
    <row r="83679" spans="10:10" x14ac:dyDescent="0.3">
      <c r="J83679"/>
    </row>
    <row r="83680" spans="10:10" x14ac:dyDescent="0.3">
      <c r="J83680"/>
    </row>
    <row r="83681" spans="10:10" x14ac:dyDescent="0.3">
      <c r="J83681"/>
    </row>
    <row r="83682" spans="10:10" x14ac:dyDescent="0.3">
      <c r="J83682"/>
    </row>
    <row r="83683" spans="10:10" x14ac:dyDescent="0.3">
      <c r="J83683"/>
    </row>
    <row r="83684" spans="10:10" x14ac:dyDescent="0.3">
      <c r="J83684"/>
    </row>
    <row r="83685" spans="10:10" x14ac:dyDescent="0.3">
      <c r="J83685"/>
    </row>
    <row r="83686" spans="10:10" x14ac:dyDescent="0.3">
      <c r="J83686"/>
    </row>
    <row r="83687" spans="10:10" x14ac:dyDescent="0.3">
      <c r="J83687"/>
    </row>
    <row r="83688" spans="10:10" x14ac:dyDescent="0.3">
      <c r="J83688"/>
    </row>
    <row r="83689" spans="10:10" x14ac:dyDescent="0.3">
      <c r="J83689"/>
    </row>
    <row r="83690" spans="10:10" x14ac:dyDescent="0.3">
      <c r="J83690"/>
    </row>
    <row r="83691" spans="10:10" x14ac:dyDescent="0.3">
      <c r="J83691"/>
    </row>
    <row r="83692" spans="10:10" x14ac:dyDescent="0.3">
      <c r="J83692"/>
    </row>
    <row r="83693" spans="10:10" x14ac:dyDescent="0.3">
      <c r="J83693"/>
    </row>
    <row r="83694" spans="10:10" x14ac:dyDescent="0.3">
      <c r="J83694"/>
    </row>
    <row r="83695" spans="10:10" x14ac:dyDescent="0.3">
      <c r="J83695"/>
    </row>
    <row r="83696" spans="10:10" x14ac:dyDescent="0.3">
      <c r="J83696"/>
    </row>
    <row r="83697" spans="10:10" x14ac:dyDescent="0.3">
      <c r="J83697"/>
    </row>
    <row r="83698" spans="10:10" x14ac:dyDescent="0.3">
      <c r="J83698"/>
    </row>
    <row r="83699" spans="10:10" x14ac:dyDescent="0.3">
      <c r="J83699"/>
    </row>
    <row r="83700" spans="10:10" x14ac:dyDescent="0.3">
      <c r="J83700"/>
    </row>
    <row r="83701" spans="10:10" x14ac:dyDescent="0.3">
      <c r="J83701"/>
    </row>
    <row r="83702" spans="10:10" x14ac:dyDescent="0.3">
      <c r="J83702"/>
    </row>
    <row r="83703" spans="10:10" x14ac:dyDescent="0.3">
      <c r="J83703"/>
    </row>
    <row r="83704" spans="10:10" x14ac:dyDescent="0.3">
      <c r="J83704"/>
    </row>
    <row r="83705" spans="10:10" x14ac:dyDescent="0.3">
      <c r="J83705"/>
    </row>
    <row r="83706" spans="10:10" x14ac:dyDescent="0.3">
      <c r="J83706"/>
    </row>
    <row r="83707" spans="10:10" x14ac:dyDescent="0.3">
      <c r="J83707"/>
    </row>
    <row r="83708" spans="10:10" x14ac:dyDescent="0.3">
      <c r="J83708"/>
    </row>
    <row r="83709" spans="10:10" x14ac:dyDescent="0.3">
      <c r="J83709"/>
    </row>
    <row r="83710" spans="10:10" x14ac:dyDescent="0.3">
      <c r="J83710"/>
    </row>
    <row r="83711" spans="10:10" x14ac:dyDescent="0.3">
      <c r="J83711"/>
    </row>
    <row r="83712" spans="10:10" x14ac:dyDescent="0.3">
      <c r="J83712"/>
    </row>
    <row r="83713" spans="10:10" x14ac:dyDescent="0.3">
      <c r="J83713"/>
    </row>
    <row r="83714" spans="10:10" x14ac:dyDescent="0.3">
      <c r="J83714"/>
    </row>
    <row r="83715" spans="10:10" x14ac:dyDescent="0.3">
      <c r="J83715"/>
    </row>
    <row r="83716" spans="10:10" x14ac:dyDescent="0.3">
      <c r="J83716"/>
    </row>
    <row r="83717" spans="10:10" x14ac:dyDescent="0.3">
      <c r="J83717"/>
    </row>
    <row r="83718" spans="10:10" x14ac:dyDescent="0.3">
      <c r="J83718"/>
    </row>
    <row r="83719" spans="10:10" x14ac:dyDescent="0.3">
      <c r="J83719"/>
    </row>
    <row r="83720" spans="10:10" x14ac:dyDescent="0.3">
      <c r="J83720"/>
    </row>
    <row r="83721" spans="10:10" x14ac:dyDescent="0.3">
      <c r="J83721"/>
    </row>
    <row r="83722" spans="10:10" x14ac:dyDescent="0.3">
      <c r="J83722"/>
    </row>
    <row r="83723" spans="10:10" x14ac:dyDescent="0.3">
      <c r="J83723"/>
    </row>
    <row r="83724" spans="10:10" x14ac:dyDescent="0.3">
      <c r="J83724"/>
    </row>
    <row r="83725" spans="10:10" x14ac:dyDescent="0.3">
      <c r="J83725"/>
    </row>
    <row r="83726" spans="10:10" x14ac:dyDescent="0.3">
      <c r="J83726"/>
    </row>
    <row r="83727" spans="10:10" x14ac:dyDescent="0.3">
      <c r="J83727"/>
    </row>
    <row r="83728" spans="10:10" x14ac:dyDescent="0.3">
      <c r="J83728"/>
    </row>
    <row r="83729" spans="10:10" x14ac:dyDescent="0.3">
      <c r="J83729"/>
    </row>
    <row r="83730" spans="10:10" x14ac:dyDescent="0.3">
      <c r="J83730"/>
    </row>
    <row r="83731" spans="10:10" x14ac:dyDescent="0.3">
      <c r="J83731"/>
    </row>
    <row r="83732" spans="10:10" x14ac:dyDescent="0.3">
      <c r="J83732"/>
    </row>
    <row r="83733" spans="10:10" x14ac:dyDescent="0.3">
      <c r="J83733"/>
    </row>
    <row r="83734" spans="10:10" x14ac:dyDescent="0.3">
      <c r="J83734"/>
    </row>
    <row r="83735" spans="10:10" x14ac:dyDescent="0.3">
      <c r="J83735"/>
    </row>
    <row r="83736" spans="10:10" x14ac:dyDescent="0.3">
      <c r="J83736"/>
    </row>
    <row r="83737" spans="10:10" x14ac:dyDescent="0.3">
      <c r="J83737"/>
    </row>
    <row r="83738" spans="10:10" x14ac:dyDescent="0.3">
      <c r="J83738"/>
    </row>
    <row r="83739" spans="10:10" x14ac:dyDescent="0.3">
      <c r="J83739"/>
    </row>
    <row r="83740" spans="10:10" x14ac:dyDescent="0.3">
      <c r="J83740"/>
    </row>
    <row r="83741" spans="10:10" x14ac:dyDescent="0.3">
      <c r="J83741"/>
    </row>
    <row r="83742" spans="10:10" x14ac:dyDescent="0.3">
      <c r="J83742"/>
    </row>
    <row r="83743" spans="10:10" x14ac:dyDescent="0.3">
      <c r="J83743"/>
    </row>
    <row r="83744" spans="10:10" x14ac:dyDescent="0.3">
      <c r="J83744"/>
    </row>
    <row r="83745" spans="10:10" x14ac:dyDescent="0.3">
      <c r="J83745"/>
    </row>
    <row r="83746" spans="10:10" x14ac:dyDescent="0.3">
      <c r="J83746"/>
    </row>
    <row r="83747" spans="10:10" x14ac:dyDescent="0.3">
      <c r="J83747"/>
    </row>
    <row r="83748" spans="10:10" x14ac:dyDescent="0.3">
      <c r="J83748"/>
    </row>
    <row r="83749" spans="10:10" x14ac:dyDescent="0.3">
      <c r="J83749"/>
    </row>
    <row r="83750" spans="10:10" x14ac:dyDescent="0.3">
      <c r="J83750"/>
    </row>
    <row r="83751" spans="10:10" x14ac:dyDescent="0.3">
      <c r="J83751"/>
    </row>
    <row r="83752" spans="10:10" x14ac:dyDescent="0.3">
      <c r="J83752"/>
    </row>
    <row r="83753" spans="10:10" x14ac:dyDescent="0.3">
      <c r="J83753"/>
    </row>
    <row r="83754" spans="10:10" x14ac:dyDescent="0.3">
      <c r="J83754"/>
    </row>
    <row r="83755" spans="10:10" x14ac:dyDescent="0.3">
      <c r="J83755"/>
    </row>
    <row r="83756" spans="10:10" x14ac:dyDescent="0.3">
      <c r="J83756"/>
    </row>
    <row r="83757" spans="10:10" x14ac:dyDescent="0.3">
      <c r="J83757"/>
    </row>
    <row r="83758" spans="10:10" x14ac:dyDescent="0.3">
      <c r="J83758"/>
    </row>
    <row r="83759" spans="10:10" x14ac:dyDescent="0.3">
      <c r="J83759"/>
    </row>
    <row r="83760" spans="10:10" x14ac:dyDescent="0.3">
      <c r="J83760"/>
    </row>
    <row r="83761" spans="10:10" x14ac:dyDescent="0.3">
      <c r="J83761"/>
    </row>
    <row r="83762" spans="10:10" x14ac:dyDescent="0.3">
      <c r="J83762"/>
    </row>
    <row r="83763" spans="10:10" x14ac:dyDescent="0.3">
      <c r="J83763"/>
    </row>
    <row r="83764" spans="10:10" x14ac:dyDescent="0.3">
      <c r="J83764"/>
    </row>
    <row r="83765" spans="10:10" x14ac:dyDescent="0.3">
      <c r="J83765"/>
    </row>
    <row r="83766" spans="10:10" x14ac:dyDescent="0.3">
      <c r="J83766"/>
    </row>
    <row r="83767" spans="10:10" x14ac:dyDescent="0.3">
      <c r="J83767"/>
    </row>
    <row r="83768" spans="10:10" x14ac:dyDescent="0.3">
      <c r="J83768"/>
    </row>
    <row r="83769" spans="10:10" x14ac:dyDescent="0.3">
      <c r="J83769"/>
    </row>
    <row r="83770" spans="10:10" x14ac:dyDescent="0.3">
      <c r="J83770"/>
    </row>
    <row r="83771" spans="10:10" x14ac:dyDescent="0.3">
      <c r="J83771"/>
    </row>
    <row r="83772" spans="10:10" x14ac:dyDescent="0.3">
      <c r="J83772"/>
    </row>
    <row r="83773" spans="10:10" x14ac:dyDescent="0.3">
      <c r="J83773"/>
    </row>
    <row r="83774" spans="10:10" x14ac:dyDescent="0.3">
      <c r="J83774"/>
    </row>
    <row r="83775" spans="10:10" x14ac:dyDescent="0.3">
      <c r="J83775"/>
    </row>
    <row r="83776" spans="10:10" x14ac:dyDescent="0.3">
      <c r="J83776"/>
    </row>
    <row r="83777" spans="10:10" x14ac:dyDescent="0.3">
      <c r="J83777"/>
    </row>
    <row r="83778" spans="10:10" x14ac:dyDescent="0.3">
      <c r="J83778"/>
    </row>
    <row r="83779" spans="10:10" x14ac:dyDescent="0.3">
      <c r="J83779"/>
    </row>
    <row r="83780" spans="10:10" x14ac:dyDescent="0.3">
      <c r="J83780"/>
    </row>
    <row r="83781" spans="10:10" x14ac:dyDescent="0.3">
      <c r="J83781"/>
    </row>
    <row r="83782" spans="10:10" x14ac:dyDescent="0.3">
      <c r="J83782"/>
    </row>
    <row r="83783" spans="10:10" x14ac:dyDescent="0.3">
      <c r="J83783"/>
    </row>
    <row r="83784" spans="10:10" x14ac:dyDescent="0.3">
      <c r="J83784"/>
    </row>
    <row r="83785" spans="10:10" x14ac:dyDescent="0.3">
      <c r="J83785"/>
    </row>
    <row r="83786" spans="10:10" x14ac:dyDescent="0.3">
      <c r="J83786"/>
    </row>
    <row r="83787" spans="10:10" x14ac:dyDescent="0.3">
      <c r="J83787"/>
    </row>
    <row r="83788" spans="10:10" x14ac:dyDescent="0.3">
      <c r="J83788"/>
    </row>
    <row r="83789" spans="10:10" x14ac:dyDescent="0.3">
      <c r="J83789"/>
    </row>
    <row r="83790" spans="10:10" x14ac:dyDescent="0.3">
      <c r="J83790"/>
    </row>
    <row r="83791" spans="10:10" x14ac:dyDescent="0.3">
      <c r="J83791"/>
    </row>
    <row r="83792" spans="10:10" x14ac:dyDescent="0.3">
      <c r="J83792"/>
    </row>
    <row r="83793" spans="10:10" x14ac:dyDescent="0.3">
      <c r="J83793"/>
    </row>
    <row r="83794" spans="10:10" x14ac:dyDescent="0.3">
      <c r="J83794"/>
    </row>
    <row r="83795" spans="10:10" x14ac:dyDescent="0.3">
      <c r="J83795"/>
    </row>
    <row r="83796" spans="10:10" x14ac:dyDescent="0.3">
      <c r="J83796"/>
    </row>
    <row r="83797" spans="10:10" x14ac:dyDescent="0.3">
      <c r="J83797"/>
    </row>
    <row r="83798" spans="10:10" x14ac:dyDescent="0.3">
      <c r="J83798"/>
    </row>
    <row r="83799" spans="10:10" x14ac:dyDescent="0.3">
      <c r="J83799"/>
    </row>
    <row r="83800" spans="10:10" x14ac:dyDescent="0.3">
      <c r="J83800"/>
    </row>
    <row r="83801" spans="10:10" x14ac:dyDescent="0.3">
      <c r="J83801"/>
    </row>
    <row r="83802" spans="10:10" x14ac:dyDescent="0.3">
      <c r="J83802"/>
    </row>
    <row r="83803" spans="10:10" x14ac:dyDescent="0.3">
      <c r="J83803"/>
    </row>
    <row r="83804" spans="10:10" x14ac:dyDescent="0.3">
      <c r="J83804"/>
    </row>
    <row r="83805" spans="10:10" x14ac:dyDescent="0.3">
      <c r="J83805"/>
    </row>
    <row r="83806" spans="10:10" x14ac:dyDescent="0.3">
      <c r="J83806"/>
    </row>
    <row r="83807" spans="10:10" x14ac:dyDescent="0.3">
      <c r="J83807"/>
    </row>
    <row r="83808" spans="10:10" x14ac:dyDescent="0.3">
      <c r="J83808"/>
    </row>
    <row r="83809" spans="10:10" x14ac:dyDescent="0.3">
      <c r="J83809"/>
    </row>
    <row r="83810" spans="10:10" x14ac:dyDescent="0.3">
      <c r="J83810"/>
    </row>
    <row r="83811" spans="10:10" x14ac:dyDescent="0.3">
      <c r="J83811"/>
    </row>
    <row r="83812" spans="10:10" x14ac:dyDescent="0.3">
      <c r="J83812"/>
    </row>
    <row r="83813" spans="10:10" x14ac:dyDescent="0.3">
      <c r="J83813"/>
    </row>
    <row r="83814" spans="10:10" x14ac:dyDescent="0.3">
      <c r="J83814"/>
    </row>
    <row r="83815" spans="10:10" x14ac:dyDescent="0.3">
      <c r="J83815"/>
    </row>
    <row r="83816" spans="10:10" x14ac:dyDescent="0.3">
      <c r="J83816"/>
    </row>
    <row r="83817" spans="10:10" x14ac:dyDescent="0.3">
      <c r="J83817"/>
    </row>
    <row r="83818" spans="10:10" x14ac:dyDescent="0.3">
      <c r="J83818"/>
    </row>
    <row r="83819" spans="10:10" x14ac:dyDescent="0.3">
      <c r="J83819"/>
    </row>
    <row r="83820" spans="10:10" x14ac:dyDescent="0.3">
      <c r="J83820"/>
    </row>
    <row r="83821" spans="10:10" x14ac:dyDescent="0.3">
      <c r="J83821"/>
    </row>
    <row r="83822" spans="10:10" x14ac:dyDescent="0.3">
      <c r="J83822"/>
    </row>
    <row r="83823" spans="10:10" x14ac:dyDescent="0.3">
      <c r="J83823"/>
    </row>
    <row r="83824" spans="10:10" x14ac:dyDescent="0.3">
      <c r="J83824"/>
    </row>
    <row r="83825" spans="10:10" x14ac:dyDescent="0.3">
      <c r="J83825"/>
    </row>
    <row r="83826" spans="10:10" x14ac:dyDescent="0.3">
      <c r="J83826"/>
    </row>
    <row r="83827" spans="10:10" x14ac:dyDescent="0.3">
      <c r="J83827"/>
    </row>
    <row r="83828" spans="10:10" x14ac:dyDescent="0.3">
      <c r="J83828"/>
    </row>
    <row r="83829" spans="10:10" x14ac:dyDescent="0.3">
      <c r="J83829"/>
    </row>
    <row r="83830" spans="10:10" x14ac:dyDescent="0.3">
      <c r="J83830"/>
    </row>
    <row r="83831" spans="10:10" x14ac:dyDescent="0.3">
      <c r="J83831"/>
    </row>
    <row r="83832" spans="10:10" x14ac:dyDescent="0.3">
      <c r="J83832"/>
    </row>
    <row r="83833" spans="10:10" x14ac:dyDescent="0.3">
      <c r="J83833"/>
    </row>
    <row r="83834" spans="10:10" x14ac:dyDescent="0.3">
      <c r="J83834"/>
    </row>
    <row r="83835" spans="10:10" x14ac:dyDescent="0.3">
      <c r="J83835"/>
    </row>
    <row r="83836" spans="10:10" x14ac:dyDescent="0.3">
      <c r="J83836"/>
    </row>
    <row r="83837" spans="10:10" x14ac:dyDescent="0.3">
      <c r="J83837"/>
    </row>
    <row r="83838" spans="10:10" x14ac:dyDescent="0.3">
      <c r="J83838"/>
    </row>
    <row r="83839" spans="10:10" x14ac:dyDescent="0.3">
      <c r="J83839"/>
    </row>
    <row r="83840" spans="10:10" x14ac:dyDescent="0.3">
      <c r="J83840"/>
    </row>
    <row r="83841" spans="10:10" x14ac:dyDescent="0.3">
      <c r="J83841"/>
    </row>
    <row r="83842" spans="10:10" x14ac:dyDescent="0.3">
      <c r="J83842"/>
    </row>
    <row r="83843" spans="10:10" x14ac:dyDescent="0.3">
      <c r="J83843"/>
    </row>
    <row r="83844" spans="10:10" x14ac:dyDescent="0.3">
      <c r="J83844"/>
    </row>
    <row r="83845" spans="10:10" x14ac:dyDescent="0.3">
      <c r="J83845"/>
    </row>
    <row r="83846" spans="10:10" x14ac:dyDescent="0.3">
      <c r="J83846"/>
    </row>
    <row r="83847" spans="10:10" x14ac:dyDescent="0.3">
      <c r="J83847"/>
    </row>
    <row r="83848" spans="10:10" x14ac:dyDescent="0.3">
      <c r="J83848"/>
    </row>
    <row r="83849" spans="10:10" x14ac:dyDescent="0.3">
      <c r="J83849"/>
    </row>
    <row r="83850" spans="10:10" x14ac:dyDescent="0.3">
      <c r="J83850"/>
    </row>
    <row r="83851" spans="10:10" x14ac:dyDescent="0.3">
      <c r="J83851"/>
    </row>
    <row r="83852" spans="10:10" x14ac:dyDescent="0.3">
      <c r="J83852"/>
    </row>
    <row r="83853" spans="10:10" x14ac:dyDescent="0.3">
      <c r="J83853"/>
    </row>
    <row r="83854" spans="10:10" x14ac:dyDescent="0.3">
      <c r="J83854"/>
    </row>
    <row r="83855" spans="10:10" x14ac:dyDescent="0.3">
      <c r="J83855"/>
    </row>
    <row r="83856" spans="10:10" x14ac:dyDescent="0.3">
      <c r="J83856"/>
    </row>
    <row r="83857" spans="10:10" x14ac:dyDescent="0.3">
      <c r="J83857"/>
    </row>
    <row r="83858" spans="10:10" x14ac:dyDescent="0.3">
      <c r="J83858"/>
    </row>
    <row r="83859" spans="10:10" x14ac:dyDescent="0.3">
      <c r="J83859"/>
    </row>
    <row r="83860" spans="10:10" x14ac:dyDescent="0.3">
      <c r="J83860"/>
    </row>
    <row r="83861" spans="10:10" x14ac:dyDescent="0.3">
      <c r="J83861"/>
    </row>
    <row r="83862" spans="10:10" x14ac:dyDescent="0.3">
      <c r="J83862"/>
    </row>
    <row r="83863" spans="10:10" x14ac:dyDescent="0.3">
      <c r="J83863"/>
    </row>
    <row r="83864" spans="10:10" x14ac:dyDescent="0.3">
      <c r="J83864"/>
    </row>
    <row r="83865" spans="10:10" x14ac:dyDescent="0.3">
      <c r="J83865"/>
    </row>
    <row r="83866" spans="10:10" x14ac:dyDescent="0.3">
      <c r="J83866"/>
    </row>
    <row r="83867" spans="10:10" x14ac:dyDescent="0.3">
      <c r="J83867"/>
    </row>
    <row r="83868" spans="10:10" x14ac:dyDescent="0.3">
      <c r="J83868"/>
    </row>
    <row r="83869" spans="10:10" x14ac:dyDescent="0.3">
      <c r="J83869"/>
    </row>
    <row r="83870" spans="10:10" x14ac:dyDescent="0.3">
      <c r="J83870"/>
    </row>
    <row r="83871" spans="10:10" x14ac:dyDescent="0.3">
      <c r="J83871"/>
    </row>
    <row r="83872" spans="10:10" x14ac:dyDescent="0.3">
      <c r="J83872"/>
    </row>
    <row r="83873" spans="10:10" x14ac:dyDescent="0.3">
      <c r="J83873"/>
    </row>
    <row r="83874" spans="10:10" x14ac:dyDescent="0.3">
      <c r="J83874"/>
    </row>
    <row r="83875" spans="10:10" x14ac:dyDescent="0.3">
      <c r="J83875"/>
    </row>
    <row r="83876" spans="10:10" x14ac:dyDescent="0.3">
      <c r="J83876"/>
    </row>
    <row r="83877" spans="10:10" x14ac:dyDescent="0.3">
      <c r="J83877"/>
    </row>
    <row r="83878" spans="10:10" x14ac:dyDescent="0.3">
      <c r="J83878"/>
    </row>
    <row r="83879" spans="10:10" x14ac:dyDescent="0.3">
      <c r="J83879"/>
    </row>
    <row r="83880" spans="10:10" x14ac:dyDescent="0.3">
      <c r="J83880"/>
    </row>
    <row r="83881" spans="10:10" x14ac:dyDescent="0.3">
      <c r="J83881"/>
    </row>
    <row r="83882" spans="10:10" x14ac:dyDescent="0.3">
      <c r="J83882"/>
    </row>
    <row r="83883" spans="10:10" x14ac:dyDescent="0.3">
      <c r="J83883"/>
    </row>
    <row r="83884" spans="10:10" x14ac:dyDescent="0.3">
      <c r="J83884"/>
    </row>
    <row r="83885" spans="10:10" x14ac:dyDescent="0.3">
      <c r="J83885"/>
    </row>
    <row r="83886" spans="10:10" x14ac:dyDescent="0.3">
      <c r="J83886"/>
    </row>
    <row r="83887" spans="10:10" x14ac:dyDescent="0.3">
      <c r="J83887"/>
    </row>
    <row r="83888" spans="10:10" x14ac:dyDescent="0.3">
      <c r="J83888"/>
    </row>
    <row r="83889" spans="10:10" x14ac:dyDescent="0.3">
      <c r="J83889"/>
    </row>
    <row r="83890" spans="10:10" x14ac:dyDescent="0.3">
      <c r="J83890"/>
    </row>
    <row r="83891" spans="10:10" x14ac:dyDescent="0.3">
      <c r="J83891"/>
    </row>
    <row r="83892" spans="10:10" x14ac:dyDescent="0.3">
      <c r="J83892"/>
    </row>
    <row r="83893" spans="10:10" x14ac:dyDescent="0.3">
      <c r="J83893"/>
    </row>
    <row r="83894" spans="10:10" x14ac:dyDescent="0.3">
      <c r="J83894"/>
    </row>
    <row r="83895" spans="10:10" x14ac:dyDescent="0.3">
      <c r="J83895"/>
    </row>
    <row r="83896" spans="10:10" x14ac:dyDescent="0.3">
      <c r="J83896"/>
    </row>
    <row r="83897" spans="10:10" x14ac:dyDescent="0.3">
      <c r="J83897"/>
    </row>
    <row r="83898" spans="10:10" x14ac:dyDescent="0.3">
      <c r="J83898"/>
    </row>
    <row r="83899" spans="10:10" x14ac:dyDescent="0.3">
      <c r="J83899"/>
    </row>
    <row r="83900" spans="10:10" x14ac:dyDescent="0.3">
      <c r="J83900"/>
    </row>
    <row r="83901" spans="10:10" x14ac:dyDescent="0.3">
      <c r="J83901"/>
    </row>
    <row r="83902" spans="10:10" x14ac:dyDescent="0.3">
      <c r="J83902"/>
    </row>
    <row r="83903" spans="10:10" x14ac:dyDescent="0.3">
      <c r="J83903"/>
    </row>
    <row r="83904" spans="10:10" x14ac:dyDescent="0.3">
      <c r="J83904"/>
    </row>
    <row r="83905" spans="10:10" x14ac:dyDescent="0.3">
      <c r="J83905"/>
    </row>
    <row r="83906" spans="10:10" x14ac:dyDescent="0.3">
      <c r="J83906"/>
    </row>
    <row r="83907" spans="10:10" x14ac:dyDescent="0.3">
      <c r="J83907"/>
    </row>
    <row r="83908" spans="10:10" x14ac:dyDescent="0.3">
      <c r="J83908"/>
    </row>
    <row r="83909" spans="10:10" x14ac:dyDescent="0.3">
      <c r="J83909"/>
    </row>
    <row r="83910" spans="10:10" x14ac:dyDescent="0.3">
      <c r="J83910"/>
    </row>
    <row r="83911" spans="10:10" x14ac:dyDescent="0.3">
      <c r="J83911"/>
    </row>
    <row r="83912" spans="10:10" x14ac:dyDescent="0.3">
      <c r="J83912"/>
    </row>
    <row r="83913" spans="10:10" x14ac:dyDescent="0.3">
      <c r="J83913"/>
    </row>
    <row r="83914" spans="10:10" x14ac:dyDescent="0.3">
      <c r="J83914"/>
    </row>
    <row r="83915" spans="10:10" x14ac:dyDescent="0.3">
      <c r="J83915"/>
    </row>
    <row r="83916" spans="10:10" x14ac:dyDescent="0.3">
      <c r="J83916"/>
    </row>
    <row r="83917" spans="10:10" x14ac:dyDescent="0.3">
      <c r="J83917"/>
    </row>
    <row r="83918" spans="10:10" x14ac:dyDescent="0.3">
      <c r="J83918"/>
    </row>
    <row r="83919" spans="10:10" x14ac:dyDescent="0.3">
      <c r="J83919"/>
    </row>
    <row r="83920" spans="10:10" x14ac:dyDescent="0.3">
      <c r="J83920"/>
    </row>
    <row r="83921" spans="10:10" x14ac:dyDescent="0.3">
      <c r="J83921"/>
    </row>
    <row r="83922" spans="10:10" x14ac:dyDescent="0.3">
      <c r="J83922"/>
    </row>
    <row r="83923" spans="10:10" x14ac:dyDescent="0.3">
      <c r="J83923"/>
    </row>
    <row r="83924" spans="10:10" x14ac:dyDescent="0.3">
      <c r="J83924"/>
    </row>
    <row r="83925" spans="10:10" x14ac:dyDescent="0.3">
      <c r="J83925"/>
    </row>
    <row r="83926" spans="10:10" x14ac:dyDescent="0.3">
      <c r="J83926"/>
    </row>
    <row r="83927" spans="10:10" x14ac:dyDescent="0.3">
      <c r="J83927"/>
    </row>
    <row r="83928" spans="10:10" x14ac:dyDescent="0.3">
      <c r="J83928"/>
    </row>
    <row r="83929" spans="10:10" x14ac:dyDescent="0.3">
      <c r="J83929"/>
    </row>
    <row r="83930" spans="10:10" x14ac:dyDescent="0.3">
      <c r="J83930"/>
    </row>
    <row r="83931" spans="10:10" x14ac:dyDescent="0.3">
      <c r="J83931"/>
    </row>
    <row r="83932" spans="10:10" x14ac:dyDescent="0.3">
      <c r="J83932"/>
    </row>
    <row r="83933" spans="10:10" x14ac:dyDescent="0.3">
      <c r="J83933"/>
    </row>
    <row r="83934" spans="10:10" x14ac:dyDescent="0.3">
      <c r="J83934"/>
    </row>
    <row r="83935" spans="10:10" x14ac:dyDescent="0.3">
      <c r="J83935"/>
    </row>
    <row r="83936" spans="10:10" x14ac:dyDescent="0.3">
      <c r="J83936"/>
    </row>
    <row r="83937" spans="10:10" x14ac:dyDescent="0.3">
      <c r="J83937"/>
    </row>
    <row r="83938" spans="10:10" x14ac:dyDescent="0.3">
      <c r="J83938"/>
    </row>
    <row r="83939" spans="10:10" x14ac:dyDescent="0.3">
      <c r="J83939"/>
    </row>
    <row r="83940" spans="10:10" x14ac:dyDescent="0.3">
      <c r="J83940"/>
    </row>
    <row r="83941" spans="10:10" x14ac:dyDescent="0.3">
      <c r="J83941"/>
    </row>
    <row r="83942" spans="10:10" x14ac:dyDescent="0.3">
      <c r="J83942"/>
    </row>
    <row r="83943" spans="10:10" x14ac:dyDescent="0.3">
      <c r="J83943"/>
    </row>
    <row r="83944" spans="10:10" x14ac:dyDescent="0.3">
      <c r="J83944"/>
    </row>
    <row r="83945" spans="10:10" x14ac:dyDescent="0.3">
      <c r="J83945"/>
    </row>
    <row r="83946" spans="10:10" x14ac:dyDescent="0.3">
      <c r="J83946"/>
    </row>
    <row r="83947" spans="10:10" x14ac:dyDescent="0.3">
      <c r="J83947"/>
    </row>
    <row r="83948" spans="10:10" x14ac:dyDescent="0.3">
      <c r="J83948"/>
    </row>
    <row r="83949" spans="10:10" x14ac:dyDescent="0.3">
      <c r="J83949"/>
    </row>
    <row r="83950" spans="10:10" x14ac:dyDescent="0.3">
      <c r="J83950"/>
    </row>
    <row r="83951" spans="10:10" x14ac:dyDescent="0.3">
      <c r="J83951"/>
    </row>
    <row r="83952" spans="10:10" x14ac:dyDescent="0.3">
      <c r="J83952"/>
    </row>
    <row r="83953" spans="10:10" x14ac:dyDescent="0.3">
      <c r="J83953"/>
    </row>
    <row r="83954" spans="10:10" x14ac:dyDescent="0.3">
      <c r="J83954"/>
    </row>
    <row r="83955" spans="10:10" x14ac:dyDescent="0.3">
      <c r="J83955"/>
    </row>
    <row r="83956" spans="10:10" x14ac:dyDescent="0.3">
      <c r="J83956"/>
    </row>
    <row r="83957" spans="10:10" x14ac:dyDescent="0.3">
      <c r="J83957"/>
    </row>
    <row r="83958" spans="10:10" x14ac:dyDescent="0.3">
      <c r="J83958"/>
    </row>
    <row r="83959" spans="10:10" x14ac:dyDescent="0.3">
      <c r="J83959"/>
    </row>
    <row r="83960" spans="10:10" x14ac:dyDescent="0.3">
      <c r="J83960"/>
    </row>
    <row r="83961" spans="10:10" x14ac:dyDescent="0.3">
      <c r="J83961"/>
    </row>
    <row r="83962" spans="10:10" x14ac:dyDescent="0.3">
      <c r="J83962"/>
    </row>
    <row r="83963" spans="10:10" x14ac:dyDescent="0.3">
      <c r="J83963"/>
    </row>
    <row r="83964" spans="10:10" x14ac:dyDescent="0.3">
      <c r="J83964"/>
    </row>
    <row r="83965" spans="10:10" x14ac:dyDescent="0.3">
      <c r="J83965"/>
    </row>
    <row r="83966" spans="10:10" x14ac:dyDescent="0.3">
      <c r="J83966"/>
    </row>
    <row r="83967" spans="10:10" x14ac:dyDescent="0.3">
      <c r="J83967"/>
    </row>
    <row r="83968" spans="10:10" x14ac:dyDescent="0.3">
      <c r="J83968"/>
    </row>
    <row r="83969" spans="10:10" x14ac:dyDescent="0.3">
      <c r="J83969"/>
    </row>
    <row r="83970" spans="10:10" x14ac:dyDescent="0.3">
      <c r="J83970"/>
    </row>
    <row r="83971" spans="10:10" x14ac:dyDescent="0.3">
      <c r="J83971"/>
    </row>
    <row r="83972" spans="10:10" x14ac:dyDescent="0.3">
      <c r="J83972"/>
    </row>
    <row r="83973" spans="10:10" x14ac:dyDescent="0.3">
      <c r="J83973"/>
    </row>
    <row r="83974" spans="10:10" x14ac:dyDescent="0.3">
      <c r="J83974"/>
    </row>
    <row r="83975" spans="10:10" x14ac:dyDescent="0.3">
      <c r="J83975"/>
    </row>
    <row r="83976" spans="10:10" x14ac:dyDescent="0.3">
      <c r="J83976"/>
    </row>
    <row r="83977" spans="10:10" x14ac:dyDescent="0.3">
      <c r="J83977"/>
    </row>
    <row r="83978" spans="10:10" x14ac:dyDescent="0.3">
      <c r="J83978"/>
    </row>
    <row r="83979" spans="10:10" x14ac:dyDescent="0.3">
      <c r="J83979"/>
    </row>
    <row r="83980" spans="10:10" x14ac:dyDescent="0.3">
      <c r="J83980"/>
    </row>
    <row r="83981" spans="10:10" x14ac:dyDescent="0.3">
      <c r="J83981"/>
    </row>
    <row r="83982" spans="10:10" x14ac:dyDescent="0.3">
      <c r="J83982"/>
    </row>
    <row r="83983" spans="10:10" x14ac:dyDescent="0.3">
      <c r="J83983"/>
    </row>
    <row r="83984" spans="10:10" x14ac:dyDescent="0.3">
      <c r="J83984"/>
    </row>
    <row r="83985" spans="10:10" x14ac:dyDescent="0.3">
      <c r="J83985"/>
    </row>
    <row r="83986" spans="10:10" x14ac:dyDescent="0.3">
      <c r="J83986"/>
    </row>
    <row r="83987" spans="10:10" x14ac:dyDescent="0.3">
      <c r="J83987"/>
    </row>
    <row r="83988" spans="10:10" x14ac:dyDescent="0.3">
      <c r="J83988"/>
    </row>
    <row r="83989" spans="10:10" x14ac:dyDescent="0.3">
      <c r="J83989"/>
    </row>
    <row r="83990" spans="10:10" x14ac:dyDescent="0.3">
      <c r="J83990"/>
    </row>
    <row r="83991" spans="10:10" x14ac:dyDescent="0.3">
      <c r="J83991"/>
    </row>
    <row r="83992" spans="10:10" x14ac:dyDescent="0.3">
      <c r="J83992"/>
    </row>
    <row r="83993" spans="10:10" x14ac:dyDescent="0.3">
      <c r="J83993"/>
    </row>
    <row r="83994" spans="10:10" x14ac:dyDescent="0.3">
      <c r="J83994"/>
    </row>
    <row r="83995" spans="10:10" x14ac:dyDescent="0.3">
      <c r="J83995"/>
    </row>
    <row r="83996" spans="10:10" x14ac:dyDescent="0.3">
      <c r="J83996"/>
    </row>
    <row r="83997" spans="10:10" x14ac:dyDescent="0.3">
      <c r="J83997"/>
    </row>
    <row r="83998" spans="10:10" x14ac:dyDescent="0.3">
      <c r="J83998"/>
    </row>
    <row r="83999" spans="10:10" x14ac:dyDescent="0.3">
      <c r="J83999"/>
    </row>
    <row r="84000" spans="10:10" x14ac:dyDescent="0.3">
      <c r="J84000"/>
    </row>
    <row r="84001" spans="10:10" x14ac:dyDescent="0.3">
      <c r="J84001"/>
    </row>
    <row r="84002" spans="10:10" x14ac:dyDescent="0.3">
      <c r="J84002"/>
    </row>
    <row r="84003" spans="10:10" x14ac:dyDescent="0.3">
      <c r="J84003"/>
    </row>
    <row r="84004" spans="10:10" x14ac:dyDescent="0.3">
      <c r="J84004"/>
    </row>
    <row r="84005" spans="10:10" x14ac:dyDescent="0.3">
      <c r="J84005"/>
    </row>
    <row r="84006" spans="10:10" x14ac:dyDescent="0.3">
      <c r="J84006"/>
    </row>
    <row r="84007" spans="10:10" x14ac:dyDescent="0.3">
      <c r="J84007"/>
    </row>
    <row r="84008" spans="10:10" x14ac:dyDescent="0.3">
      <c r="J84008"/>
    </row>
    <row r="84009" spans="10:10" x14ac:dyDescent="0.3">
      <c r="J84009"/>
    </row>
    <row r="84010" spans="10:10" x14ac:dyDescent="0.3">
      <c r="J84010"/>
    </row>
    <row r="84011" spans="10:10" x14ac:dyDescent="0.3">
      <c r="J84011"/>
    </row>
    <row r="84012" spans="10:10" x14ac:dyDescent="0.3">
      <c r="J84012"/>
    </row>
    <row r="84013" spans="10:10" x14ac:dyDescent="0.3">
      <c r="J84013"/>
    </row>
    <row r="84014" spans="10:10" x14ac:dyDescent="0.3">
      <c r="J84014"/>
    </row>
    <row r="84015" spans="10:10" x14ac:dyDescent="0.3">
      <c r="J84015"/>
    </row>
    <row r="84016" spans="10:10" x14ac:dyDescent="0.3">
      <c r="J84016"/>
    </row>
    <row r="84017" spans="10:10" x14ac:dyDescent="0.3">
      <c r="J84017"/>
    </row>
    <row r="84018" spans="10:10" x14ac:dyDescent="0.3">
      <c r="J84018"/>
    </row>
    <row r="84019" spans="10:10" x14ac:dyDescent="0.3">
      <c r="J84019"/>
    </row>
    <row r="84020" spans="10:10" x14ac:dyDescent="0.3">
      <c r="J84020"/>
    </row>
    <row r="84021" spans="10:10" x14ac:dyDescent="0.3">
      <c r="J84021"/>
    </row>
    <row r="84022" spans="10:10" x14ac:dyDescent="0.3">
      <c r="J84022"/>
    </row>
    <row r="84023" spans="10:10" x14ac:dyDescent="0.3">
      <c r="J84023"/>
    </row>
    <row r="84024" spans="10:10" x14ac:dyDescent="0.3">
      <c r="J84024"/>
    </row>
    <row r="84025" spans="10:10" x14ac:dyDescent="0.3">
      <c r="J84025"/>
    </row>
    <row r="84026" spans="10:10" x14ac:dyDescent="0.3">
      <c r="J84026"/>
    </row>
    <row r="84027" spans="10:10" x14ac:dyDescent="0.3">
      <c r="J84027"/>
    </row>
    <row r="84028" spans="10:10" x14ac:dyDescent="0.3">
      <c r="J84028"/>
    </row>
    <row r="84029" spans="10:10" x14ac:dyDescent="0.3">
      <c r="J84029"/>
    </row>
    <row r="84030" spans="10:10" x14ac:dyDescent="0.3">
      <c r="J84030"/>
    </row>
    <row r="84031" spans="10:10" x14ac:dyDescent="0.3">
      <c r="J84031"/>
    </row>
    <row r="84032" spans="10:10" x14ac:dyDescent="0.3">
      <c r="J84032"/>
    </row>
    <row r="84033" spans="10:10" x14ac:dyDescent="0.3">
      <c r="J84033"/>
    </row>
    <row r="84034" spans="10:10" x14ac:dyDescent="0.3">
      <c r="J84034"/>
    </row>
    <row r="84035" spans="10:10" x14ac:dyDescent="0.3">
      <c r="J84035"/>
    </row>
    <row r="84036" spans="10:10" x14ac:dyDescent="0.3">
      <c r="J84036"/>
    </row>
    <row r="84037" spans="10:10" x14ac:dyDescent="0.3">
      <c r="J84037"/>
    </row>
    <row r="84038" spans="10:10" x14ac:dyDescent="0.3">
      <c r="J84038"/>
    </row>
    <row r="84039" spans="10:10" x14ac:dyDescent="0.3">
      <c r="J84039"/>
    </row>
    <row r="84040" spans="10:10" x14ac:dyDescent="0.3">
      <c r="J84040"/>
    </row>
    <row r="84041" spans="10:10" x14ac:dyDescent="0.3">
      <c r="J84041"/>
    </row>
    <row r="84042" spans="10:10" x14ac:dyDescent="0.3">
      <c r="J84042"/>
    </row>
    <row r="84043" spans="10:10" x14ac:dyDescent="0.3">
      <c r="J84043"/>
    </row>
    <row r="84044" spans="10:10" x14ac:dyDescent="0.3">
      <c r="J84044"/>
    </row>
    <row r="84045" spans="10:10" x14ac:dyDescent="0.3">
      <c r="J84045"/>
    </row>
    <row r="84046" spans="10:10" x14ac:dyDescent="0.3">
      <c r="J84046"/>
    </row>
    <row r="84047" spans="10:10" x14ac:dyDescent="0.3">
      <c r="J84047"/>
    </row>
    <row r="84048" spans="10:10" x14ac:dyDescent="0.3">
      <c r="J84048"/>
    </row>
    <row r="84049" spans="10:10" x14ac:dyDescent="0.3">
      <c r="J84049"/>
    </row>
    <row r="84050" spans="10:10" x14ac:dyDescent="0.3">
      <c r="J84050"/>
    </row>
    <row r="84051" spans="10:10" x14ac:dyDescent="0.3">
      <c r="J84051"/>
    </row>
    <row r="84052" spans="10:10" x14ac:dyDescent="0.3">
      <c r="J84052"/>
    </row>
    <row r="84053" spans="10:10" x14ac:dyDescent="0.3">
      <c r="J84053"/>
    </row>
    <row r="84054" spans="10:10" x14ac:dyDescent="0.3">
      <c r="J84054"/>
    </row>
    <row r="84055" spans="10:10" x14ac:dyDescent="0.3">
      <c r="J84055"/>
    </row>
    <row r="84056" spans="10:10" x14ac:dyDescent="0.3">
      <c r="J84056"/>
    </row>
    <row r="84057" spans="10:10" x14ac:dyDescent="0.3">
      <c r="J84057"/>
    </row>
    <row r="84058" spans="10:10" x14ac:dyDescent="0.3">
      <c r="J84058"/>
    </row>
    <row r="84059" spans="10:10" x14ac:dyDescent="0.3">
      <c r="J84059"/>
    </row>
    <row r="84060" spans="10:10" x14ac:dyDescent="0.3">
      <c r="J84060"/>
    </row>
    <row r="84061" spans="10:10" x14ac:dyDescent="0.3">
      <c r="J84061"/>
    </row>
    <row r="84062" spans="10:10" x14ac:dyDescent="0.3">
      <c r="J84062"/>
    </row>
    <row r="84063" spans="10:10" x14ac:dyDescent="0.3">
      <c r="J84063"/>
    </row>
    <row r="84064" spans="10:10" x14ac:dyDescent="0.3">
      <c r="J84064"/>
    </row>
    <row r="84065" spans="10:10" x14ac:dyDescent="0.3">
      <c r="J84065"/>
    </row>
    <row r="84066" spans="10:10" x14ac:dyDescent="0.3">
      <c r="J84066"/>
    </row>
    <row r="84067" spans="10:10" x14ac:dyDescent="0.3">
      <c r="J84067"/>
    </row>
    <row r="84068" spans="10:10" x14ac:dyDescent="0.3">
      <c r="J84068"/>
    </row>
    <row r="84069" spans="10:10" x14ac:dyDescent="0.3">
      <c r="J84069"/>
    </row>
    <row r="84070" spans="10:10" x14ac:dyDescent="0.3">
      <c r="J84070"/>
    </row>
    <row r="84071" spans="10:10" x14ac:dyDescent="0.3">
      <c r="J84071"/>
    </row>
    <row r="84072" spans="10:10" x14ac:dyDescent="0.3">
      <c r="J84072"/>
    </row>
    <row r="84073" spans="10:10" x14ac:dyDescent="0.3">
      <c r="J84073"/>
    </row>
    <row r="84074" spans="10:10" x14ac:dyDescent="0.3">
      <c r="J84074"/>
    </row>
    <row r="84075" spans="10:10" x14ac:dyDescent="0.3">
      <c r="J84075"/>
    </row>
    <row r="84076" spans="10:10" x14ac:dyDescent="0.3">
      <c r="J84076"/>
    </row>
    <row r="84077" spans="10:10" x14ac:dyDescent="0.3">
      <c r="J84077"/>
    </row>
    <row r="84078" spans="10:10" x14ac:dyDescent="0.3">
      <c r="J84078"/>
    </row>
    <row r="84079" spans="10:10" x14ac:dyDescent="0.3">
      <c r="J84079"/>
    </row>
    <row r="84080" spans="10:10" x14ac:dyDescent="0.3">
      <c r="J84080"/>
    </row>
    <row r="84081" spans="10:10" x14ac:dyDescent="0.3">
      <c r="J84081"/>
    </row>
    <row r="84082" spans="10:10" x14ac:dyDescent="0.3">
      <c r="J84082"/>
    </row>
    <row r="84083" spans="10:10" x14ac:dyDescent="0.3">
      <c r="J84083"/>
    </row>
    <row r="84084" spans="10:10" x14ac:dyDescent="0.3">
      <c r="J84084"/>
    </row>
    <row r="84085" spans="10:10" x14ac:dyDescent="0.3">
      <c r="J84085"/>
    </row>
    <row r="84086" spans="10:10" x14ac:dyDescent="0.3">
      <c r="J84086"/>
    </row>
    <row r="84087" spans="10:10" x14ac:dyDescent="0.3">
      <c r="J84087"/>
    </row>
    <row r="84088" spans="10:10" x14ac:dyDescent="0.3">
      <c r="J84088"/>
    </row>
    <row r="84089" spans="10:10" x14ac:dyDescent="0.3">
      <c r="J84089"/>
    </row>
    <row r="84090" spans="10:10" x14ac:dyDescent="0.3">
      <c r="J84090"/>
    </row>
    <row r="84091" spans="10:10" x14ac:dyDescent="0.3">
      <c r="J84091"/>
    </row>
    <row r="84092" spans="10:10" x14ac:dyDescent="0.3">
      <c r="J84092"/>
    </row>
    <row r="84093" spans="10:10" x14ac:dyDescent="0.3">
      <c r="J84093"/>
    </row>
    <row r="84094" spans="10:10" x14ac:dyDescent="0.3">
      <c r="J84094"/>
    </row>
    <row r="84095" spans="10:10" x14ac:dyDescent="0.3">
      <c r="J84095"/>
    </row>
    <row r="84096" spans="10:10" x14ac:dyDescent="0.3">
      <c r="J84096"/>
    </row>
    <row r="84097" spans="10:10" x14ac:dyDescent="0.3">
      <c r="J84097"/>
    </row>
    <row r="84098" spans="10:10" x14ac:dyDescent="0.3">
      <c r="J84098"/>
    </row>
    <row r="84099" spans="10:10" x14ac:dyDescent="0.3">
      <c r="J84099"/>
    </row>
    <row r="84100" spans="10:10" x14ac:dyDescent="0.3">
      <c r="J84100"/>
    </row>
    <row r="84101" spans="10:10" x14ac:dyDescent="0.3">
      <c r="J84101"/>
    </row>
    <row r="84102" spans="10:10" x14ac:dyDescent="0.3">
      <c r="J84102"/>
    </row>
    <row r="84103" spans="10:10" x14ac:dyDescent="0.3">
      <c r="J84103"/>
    </row>
    <row r="84104" spans="10:10" x14ac:dyDescent="0.3">
      <c r="J84104"/>
    </row>
    <row r="84105" spans="10:10" x14ac:dyDescent="0.3">
      <c r="J84105"/>
    </row>
    <row r="84106" spans="10:10" x14ac:dyDescent="0.3">
      <c r="J84106"/>
    </row>
    <row r="84107" spans="10:10" x14ac:dyDescent="0.3">
      <c r="J84107"/>
    </row>
    <row r="84108" spans="10:10" x14ac:dyDescent="0.3">
      <c r="J84108"/>
    </row>
    <row r="84109" spans="10:10" x14ac:dyDescent="0.3">
      <c r="J84109"/>
    </row>
    <row r="84110" spans="10:10" x14ac:dyDescent="0.3">
      <c r="J84110"/>
    </row>
    <row r="84111" spans="10:10" x14ac:dyDescent="0.3">
      <c r="J84111"/>
    </row>
    <row r="84112" spans="10:10" x14ac:dyDescent="0.3">
      <c r="J84112"/>
    </row>
    <row r="84113" spans="10:10" x14ac:dyDescent="0.3">
      <c r="J84113"/>
    </row>
    <row r="84114" spans="10:10" x14ac:dyDescent="0.3">
      <c r="J84114"/>
    </row>
    <row r="84115" spans="10:10" x14ac:dyDescent="0.3">
      <c r="J84115"/>
    </row>
    <row r="84116" spans="10:10" x14ac:dyDescent="0.3">
      <c r="J84116"/>
    </row>
    <row r="84117" spans="10:10" x14ac:dyDescent="0.3">
      <c r="J84117"/>
    </row>
    <row r="84118" spans="10:10" x14ac:dyDescent="0.3">
      <c r="J84118"/>
    </row>
    <row r="84119" spans="10:10" x14ac:dyDescent="0.3">
      <c r="J84119"/>
    </row>
    <row r="84120" spans="10:10" x14ac:dyDescent="0.3">
      <c r="J84120"/>
    </row>
    <row r="84121" spans="10:10" x14ac:dyDescent="0.3">
      <c r="J84121"/>
    </row>
    <row r="84122" spans="10:10" x14ac:dyDescent="0.3">
      <c r="J84122"/>
    </row>
    <row r="84123" spans="10:10" x14ac:dyDescent="0.3">
      <c r="J84123"/>
    </row>
    <row r="84124" spans="10:10" x14ac:dyDescent="0.3">
      <c r="J84124"/>
    </row>
    <row r="84125" spans="10:10" x14ac:dyDescent="0.3">
      <c r="J84125"/>
    </row>
    <row r="84126" spans="10:10" x14ac:dyDescent="0.3">
      <c r="J84126"/>
    </row>
    <row r="84127" spans="10:10" x14ac:dyDescent="0.3">
      <c r="J84127"/>
    </row>
    <row r="84128" spans="10:10" x14ac:dyDescent="0.3">
      <c r="J84128"/>
    </row>
    <row r="84129" spans="10:10" x14ac:dyDescent="0.3">
      <c r="J84129"/>
    </row>
    <row r="84130" spans="10:10" x14ac:dyDescent="0.3">
      <c r="J84130"/>
    </row>
    <row r="84131" spans="10:10" x14ac:dyDescent="0.3">
      <c r="J84131"/>
    </row>
    <row r="84132" spans="10:10" x14ac:dyDescent="0.3">
      <c r="J84132"/>
    </row>
    <row r="84133" spans="10:10" x14ac:dyDescent="0.3">
      <c r="J84133"/>
    </row>
    <row r="84134" spans="10:10" x14ac:dyDescent="0.3">
      <c r="J84134"/>
    </row>
    <row r="84135" spans="10:10" x14ac:dyDescent="0.3">
      <c r="J84135"/>
    </row>
    <row r="84136" spans="10:10" x14ac:dyDescent="0.3">
      <c r="J84136"/>
    </row>
    <row r="84137" spans="10:10" x14ac:dyDescent="0.3">
      <c r="J84137"/>
    </row>
    <row r="84138" spans="10:10" x14ac:dyDescent="0.3">
      <c r="J84138"/>
    </row>
    <row r="84139" spans="10:10" x14ac:dyDescent="0.3">
      <c r="J84139"/>
    </row>
    <row r="84140" spans="10:10" x14ac:dyDescent="0.3">
      <c r="J84140"/>
    </row>
    <row r="84141" spans="10:10" x14ac:dyDescent="0.3">
      <c r="J84141"/>
    </row>
    <row r="84142" spans="10:10" x14ac:dyDescent="0.3">
      <c r="J84142"/>
    </row>
    <row r="84143" spans="10:10" x14ac:dyDescent="0.3">
      <c r="J84143"/>
    </row>
    <row r="84144" spans="10:10" x14ac:dyDescent="0.3">
      <c r="J84144"/>
    </row>
    <row r="84145" spans="10:10" x14ac:dyDescent="0.3">
      <c r="J84145"/>
    </row>
    <row r="84146" spans="10:10" x14ac:dyDescent="0.3">
      <c r="J84146"/>
    </row>
    <row r="84147" spans="10:10" x14ac:dyDescent="0.3">
      <c r="J84147"/>
    </row>
    <row r="84148" spans="10:10" x14ac:dyDescent="0.3">
      <c r="J84148"/>
    </row>
    <row r="84149" spans="10:10" x14ac:dyDescent="0.3">
      <c r="J84149"/>
    </row>
    <row r="84150" spans="10:10" x14ac:dyDescent="0.3">
      <c r="J84150"/>
    </row>
    <row r="84151" spans="10:10" x14ac:dyDescent="0.3">
      <c r="J84151"/>
    </row>
    <row r="84152" spans="10:10" x14ac:dyDescent="0.3">
      <c r="J84152"/>
    </row>
    <row r="84153" spans="10:10" x14ac:dyDescent="0.3">
      <c r="J84153"/>
    </row>
    <row r="84154" spans="10:10" x14ac:dyDescent="0.3">
      <c r="J84154"/>
    </row>
    <row r="84155" spans="10:10" x14ac:dyDescent="0.3">
      <c r="J84155"/>
    </row>
    <row r="84156" spans="10:10" x14ac:dyDescent="0.3">
      <c r="J84156"/>
    </row>
    <row r="84157" spans="10:10" x14ac:dyDescent="0.3">
      <c r="J84157"/>
    </row>
    <row r="84158" spans="10:10" x14ac:dyDescent="0.3">
      <c r="J84158"/>
    </row>
    <row r="84159" spans="10:10" x14ac:dyDescent="0.3">
      <c r="J84159"/>
    </row>
    <row r="84160" spans="10:10" x14ac:dyDescent="0.3">
      <c r="J84160"/>
    </row>
    <row r="84161" spans="10:10" x14ac:dyDescent="0.3">
      <c r="J84161"/>
    </row>
    <row r="84162" spans="10:10" x14ac:dyDescent="0.3">
      <c r="J84162"/>
    </row>
    <row r="84163" spans="10:10" x14ac:dyDescent="0.3">
      <c r="J84163"/>
    </row>
    <row r="84164" spans="10:10" x14ac:dyDescent="0.3">
      <c r="J84164"/>
    </row>
    <row r="84165" spans="10:10" x14ac:dyDescent="0.3">
      <c r="J84165"/>
    </row>
    <row r="84166" spans="10:10" x14ac:dyDescent="0.3">
      <c r="J84166"/>
    </row>
    <row r="84167" spans="10:10" x14ac:dyDescent="0.3">
      <c r="J84167"/>
    </row>
    <row r="84168" spans="10:10" x14ac:dyDescent="0.3">
      <c r="J84168"/>
    </row>
    <row r="84169" spans="10:10" x14ac:dyDescent="0.3">
      <c r="J84169"/>
    </row>
    <row r="84170" spans="10:10" x14ac:dyDescent="0.3">
      <c r="J84170"/>
    </row>
    <row r="84171" spans="10:10" x14ac:dyDescent="0.3">
      <c r="J84171"/>
    </row>
    <row r="84172" spans="10:10" x14ac:dyDescent="0.3">
      <c r="J84172"/>
    </row>
    <row r="84173" spans="10:10" x14ac:dyDescent="0.3">
      <c r="J84173"/>
    </row>
    <row r="84174" spans="10:10" x14ac:dyDescent="0.3">
      <c r="J84174"/>
    </row>
    <row r="84175" spans="10:10" x14ac:dyDescent="0.3">
      <c r="J84175"/>
    </row>
    <row r="84176" spans="10:10" x14ac:dyDescent="0.3">
      <c r="J84176"/>
    </row>
    <row r="84177" spans="10:10" x14ac:dyDescent="0.3">
      <c r="J84177"/>
    </row>
    <row r="84178" spans="10:10" x14ac:dyDescent="0.3">
      <c r="J84178"/>
    </row>
    <row r="84179" spans="10:10" x14ac:dyDescent="0.3">
      <c r="J84179"/>
    </row>
    <row r="84180" spans="10:10" x14ac:dyDescent="0.3">
      <c r="J84180"/>
    </row>
    <row r="84181" spans="10:10" x14ac:dyDescent="0.3">
      <c r="J84181"/>
    </row>
    <row r="84182" spans="10:10" x14ac:dyDescent="0.3">
      <c r="J84182"/>
    </row>
    <row r="84183" spans="10:10" x14ac:dyDescent="0.3">
      <c r="J84183"/>
    </row>
    <row r="84184" spans="10:10" x14ac:dyDescent="0.3">
      <c r="J84184"/>
    </row>
    <row r="84185" spans="10:10" x14ac:dyDescent="0.3">
      <c r="J84185"/>
    </row>
    <row r="84186" spans="10:10" x14ac:dyDescent="0.3">
      <c r="J84186"/>
    </row>
    <row r="84187" spans="10:10" x14ac:dyDescent="0.3">
      <c r="J84187"/>
    </row>
    <row r="84188" spans="10:10" x14ac:dyDescent="0.3">
      <c r="J84188"/>
    </row>
    <row r="84189" spans="10:10" x14ac:dyDescent="0.3">
      <c r="J84189"/>
    </row>
    <row r="84190" spans="10:10" x14ac:dyDescent="0.3">
      <c r="J84190"/>
    </row>
    <row r="84191" spans="10:10" x14ac:dyDescent="0.3">
      <c r="J84191"/>
    </row>
    <row r="84192" spans="10:10" x14ac:dyDescent="0.3">
      <c r="J84192"/>
    </row>
    <row r="84193" spans="10:10" x14ac:dyDescent="0.3">
      <c r="J84193"/>
    </row>
    <row r="84194" spans="10:10" x14ac:dyDescent="0.3">
      <c r="J84194"/>
    </row>
    <row r="84195" spans="10:10" x14ac:dyDescent="0.3">
      <c r="J84195"/>
    </row>
    <row r="84196" spans="10:10" x14ac:dyDescent="0.3">
      <c r="J84196"/>
    </row>
    <row r="84197" spans="10:10" x14ac:dyDescent="0.3">
      <c r="J84197"/>
    </row>
    <row r="84198" spans="10:10" x14ac:dyDescent="0.3">
      <c r="J84198"/>
    </row>
    <row r="84199" spans="10:10" x14ac:dyDescent="0.3">
      <c r="J84199"/>
    </row>
    <row r="84200" spans="10:10" x14ac:dyDescent="0.3">
      <c r="J84200"/>
    </row>
    <row r="84201" spans="10:10" x14ac:dyDescent="0.3">
      <c r="J84201"/>
    </row>
    <row r="84202" spans="10:10" x14ac:dyDescent="0.3">
      <c r="J84202"/>
    </row>
    <row r="84203" spans="10:10" x14ac:dyDescent="0.3">
      <c r="J84203"/>
    </row>
    <row r="84204" spans="10:10" x14ac:dyDescent="0.3">
      <c r="J84204"/>
    </row>
    <row r="84205" spans="10:10" x14ac:dyDescent="0.3">
      <c r="J84205"/>
    </row>
    <row r="84206" spans="10:10" x14ac:dyDescent="0.3">
      <c r="J84206"/>
    </row>
    <row r="84207" spans="10:10" x14ac:dyDescent="0.3">
      <c r="J84207"/>
    </row>
    <row r="84208" spans="10:10" x14ac:dyDescent="0.3">
      <c r="J84208"/>
    </row>
    <row r="84209" spans="10:10" x14ac:dyDescent="0.3">
      <c r="J84209"/>
    </row>
    <row r="84210" spans="10:10" x14ac:dyDescent="0.3">
      <c r="J84210"/>
    </row>
    <row r="84211" spans="10:10" x14ac:dyDescent="0.3">
      <c r="J84211"/>
    </row>
    <row r="84212" spans="10:10" x14ac:dyDescent="0.3">
      <c r="J84212"/>
    </row>
    <row r="84213" spans="10:10" x14ac:dyDescent="0.3">
      <c r="J84213"/>
    </row>
    <row r="84214" spans="10:10" x14ac:dyDescent="0.3">
      <c r="J84214"/>
    </row>
    <row r="84215" spans="10:10" x14ac:dyDescent="0.3">
      <c r="J84215"/>
    </row>
    <row r="84216" spans="10:10" x14ac:dyDescent="0.3">
      <c r="J84216"/>
    </row>
    <row r="84217" spans="10:10" x14ac:dyDescent="0.3">
      <c r="J84217"/>
    </row>
    <row r="84218" spans="10:10" x14ac:dyDescent="0.3">
      <c r="J84218"/>
    </row>
    <row r="84219" spans="10:10" x14ac:dyDescent="0.3">
      <c r="J84219"/>
    </row>
    <row r="84220" spans="10:10" x14ac:dyDescent="0.3">
      <c r="J84220"/>
    </row>
    <row r="84221" spans="10:10" x14ac:dyDescent="0.3">
      <c r="J84221"/>
    </row>
    <row r="84222" spans="10:10" x14ac:dyDescent="0.3">
      <c r="J84222"/>
    </row>
    <row r="84223" spans="10:10" x14ac:dyDescent="0.3">
      <c r="J84223"/>
    </row>
    <row r="84224" spans="10:10" x14ac:dyDescent="0.3">
      <c r="J84224"/>
    </row>
    <row r="84225" spans="10:10" x14ac:dyDescent="0.3">
      <c r="J84225"/>
    </row>
    <row r="84226" spans="10:10" x14ac:dyDescent="0.3">
      <c r="J84226"/>
    </row>
    <row r="84227" spans="10:10" x14ac:dyDescent="0.3">
      <c r="J84227"/>
    </row>
    <row r="84228" spans="10:10" x14ac:dyDescent="0.3">
      <c r="J84228"/>
    </row>
    <row r="84229" spans="10:10" x14ac:dyDescent="0.3">
      <c r="J84229"/>
    </row>
    <row r="84230" spans="10:10" x14ac:dyDescent="0.3">
      <c r="J84230"/>
    </row>
    <row r="84231" spans="10:10" x14ac:dyDescent="0.3">
      <c r="J84231"/>
    </row>
    <row r="84232" spans="10:10" x14ac:dyDescent="0.3">
      <c r="J84232"/>
    </row>
    <row r="84233" spans="10:10" x14ac:dyDescent="0.3">
      <c r="J84233"/>
    </row>
    <row r="84234" spans="10:10" x14ac:dyDescent="0.3">
      <c r="J84234"/>
    </row>
    <row r="84235" spans="10:10" x14ac:dyDescent="0.3">
      <c r="J84235"/>
    </row>
    <row r="84236" spans="10:10" x14ac:dyDescent="0.3">
      <c r="J84236"/>
    </row>
    <row r="84237" spans="10:10" x14ac:dyDescent="0.3">
      <c r="J84237"/>
    </row>
    <row r="84238" spans="10:10" x14ac:dyDescent="0.3">
      <c r="J84238"/>
    </row>
    <row r="84239" spans="10:10" x14ac:dyDescent="0.3">
      <c r="J84239"/>
    </row>
    <row r="84240" spans="10:10" x14ac:dyDescent="0.3">
      <c r="J84240"/>
    </row>
    <row r="84241" spans="10:10" x14ac:dyDescent="0.3">
      <c r="J84241"/>
    </row>
    <row r="84242" spans="10:10" x14ac:dyDescent="0.3">
      <c r="J84242"/>
    </row>
    <row r="84243" spans="10:10" x14ac:dyDescent="0.3">
      <c r="J84243"/>
    </row>
    <row r="84244" spans="10:10" x14ac:dyDescent="0.3">
      <c r="J84244"/>
    </row>
    <row r="84245" spans="10:10" x14ac:dyDescent="0.3">
      <c r="J84245"/>
    </row>
    <row r="84246" spans="10:10" x14ac:dyDescent="0.3">
      <c r="J84246"/>
    </row>
    <row r="84247" spans="10:10" x14ac:dyDescent="0.3">
      <c r="J84247"/>
    </row>
    <row r="84248" spans="10:10" x14ac:dyDescent="0.3">
      <c r="J84248"/>
    </row>
    <row r="84249" spans="10:10" x14ac:dyDescent="0.3">
      <c r="J84249"/>
    </row>
    <row r="84250" spans="10:10" x14ac:dyDescent="0.3">
      <c r="J84250"/>
    </row>
    <row r="84251" spans="10:10" x14ac:dyDescent="0.3">
      <c r="J84251"/>
    </row>
    <row r="84252" spans="10:10" x14ac:dyDescent="0.3">
      <c r="J84252"/>
    </row>
    <row r="84253" spans="10:10" x14ac:dyDescent="0.3">
      <c r="J84253"/>
    </row>
    <row r="84254" spans="10:10" x14ac:dyDescent="0.3">
      <c r="J84254"/>
    </row>
    <row r="84255" spans="10:10" x14ac:dyDescent="0.3">
      <c r="J84255"/>
    </row>
    <row r="84256" spans="10:10" x14ac:dyDescent="0.3">
      <c r="J84256"/>
    </row>
    <row r="84257" spans="10:10" x14ac:dyDescent="0.3">
      <c r="J84257"/>
    </row>
    <row r="84258" spans="10:10" x14ac:dyDescent="0.3">
      <c r="J84258"/>
    </row>
    <row r="84259" spans="10:10" x14ac:dyDescent="0.3">
      <c r="J84259"/>
    </row>
    <row r="84260" spans="10:10" x14ac:dyDescent="0.3">
      <c r="J84260"/>
    </row>
    <row r="84261" spans="10:10" x14ac:dyDescent="0.3">
      <c r="J84261"/>
    </row>
    <row r="84262" spans="10:10" x14ac:dyDescent="0.3">
      <c r="J84262"/>
    </row>
    <row r="84263" spans="10:10" x14ac:dyDescent="0.3">
      <c r="J84263"/>
    </row>
    <row r="84264" spans="10:10" x14ac:dyDescent="0.3">
      <c r="J84264"/>
    </row>
    <row r="84265" spans="10:10" x14ac:dyDescent="0.3">
      <c r="J84265"/>
    </row>
    <row r="84266" spans="10:10" x14ac:dyDescent="0.3">
      <c r="J84266"/>
    </row>
    <row r="84267" spans="10:10" x14ac:dyDescent="0.3">
      <c r="J84267"/>
    </row>
    <row r="84268" spans="10:10" x14ac:dyDescent="0.3">
      <c r="J84268"/>
    </row>
    <row r="84269" spans="10:10" x14ac:dyDescent="0.3">
      <c r="J84269"/>
    </row>
    <row r="84270" spans="10:10" x14ac:dyDescent="0.3">
      <c r="J84270"/>
    </row>
    <row r="84271" spans="10:10" x14ac:dyDescent="0.3">
      <c r="J84271"/>
    </row>
    <row r="84272" spans="10:10" x14ac:dyDescent="0.3">
      <c r="J84272"/>
    </row>
    <row r="84273" spans="10:10" x14ac:dyDescent="0.3">
      <c r="J84273"/>
    </row>
    <row r="84274" spans="10:10" x14ac:dyDescent="0.3">
      <c r="J84274"/>
    </row>
    <row r="84275" spans="10:10" x14ac:dyDescent="0.3">
      <c r="J84275"/>
    </row>
    <row r="84276" spans="10:10" x14ac:dyDescent="0.3">
      <c r="J84276"/>
    </row>
    <row r="84277" spans="10:10" x14ac:dyDescent="0.3">
      <c r="J84277"/>
    </row>
    <row r="84278" spans="10:10" x14ac:dyDescent="0.3">
      <c r="J84278"/>
    </row>
    <row r="84279" spans="10:10" x14ac:dyDescent="0.3">
      <c r="J84279"/>
    </row>
    <row r="84280" spans="10:10" x14ac:dyDescent="0.3">
      <c r="J84280"/>
    </row>
    <row r="84281" spans="10:10" x14ac:dyDescent="0.3">
      <c r="J84281"/>
    </row>
    <row r="84282" spans="10:10" x14ac:dyDescent="0.3">
      <c r="J84282"/>
    </row>
    <row r="84283" spans="10:10" x14ac:dyDescent="0.3">
      <c r="J84283"/>
    </row>
    <row r="84284" spans="10:10" x14ac:dyDescent="0.3">
      <c r="J84284"/>
    </row>
    <row r="84285" spans="10:10" x14ac:dyDescent="0.3">
      <c r="J84285"/>
    </row>
    <row r="84286" spans="10:10" x14ac:dyDescent="0.3">
      <c r="J84286"/>
    </row>
    <row r="84287" spans="10:10" x14ac:dyDescent="0.3">
      <c r="J84287"/>
    </row>
    <row r="84288" spans="10:10" x14ac:dyDescent="0.3">
      <c r="J84288"/>
    </row>
    <row r="84289" spans="10:10" x14ac:dyDescent="0.3">
      <c r="J84289"/>
    </row>
    <row r="84290" spans="10:10" x14ac:dyDescent="0.3">
      <c r="J84290"/>
    </row>
    <row r="84291" spans="10:10" x14ac:dyDescent="0.3">
      <c r="J84291"/>
    </row>
    <row r="84292" spans="10:10" x14ac:dyDescent="0.3">
      <c r="J84292"/>
    </row>
    <row r="84293" spans="10:10" x14ac:dyDescent="0.3">
      <c r="J84293"/>
    </row>
    <row r="84294" spans="10:10" x14ac:dyDescent="0.3">
      <c r="J84294"/>
    </row>
    <row r="84295" spans="10:10" x14ac:dyDescent="0.3">
      <c r="J84295"/>
    </row>
    <row r="84296" spans="10:10" x14ac:dyDescent="0.3">
      <c r="J84296"/>
    </row>
    <row r="84297" spans="10:10" x14ac:dyDescent="0.3">
      <c r="J84297"/>
    </row>
    <row r="84298" spans="10:10" x14ac:dyDescent="0.3">
      <c r="J84298"/>
    </row>
    <row r="84299" spans="10:10" x14ac:dyDescent="0.3">
      <c r="J84299"/>
    </row>
    <row r="84300" spans="10:10" x14ac:dyDescent="0.3">
      <c r="J84300"/>
    </row>
    <row r="84301" spans="10:10" x14ac:dyDescent="0.3">
      <c r="J84301"/>
    </row>
    <row r="84302" spans="10:10" x14ac:dyDescent="0.3">
      <c r="J84302"/>
    </row>
    <row r="84303" spans="10:10" x14ac:dyDescent="0.3">
      <c r="J84303"/>
    </row>
    <row r="84304" spans="10:10" x14ac:dyDescent="0.3">
      <c r="J84304"/>
    </row>
    <row r="84305" spans="10:10" x14ac:dyDescent="0.3">
      <c r="J84305"/>
    </row>
    <row r="84306" spans="10:10" x14ac:dyDescent="0.3">
      <c r="J84306"/>
    </row>
    <row r="84307" spans="10:10" x14ac:dyDescent="0.3">
      <c r="J84307"/>
    </row>
    <row r="84308" spans="10:10" x14ac:dyDescent="0.3">
      <c r="J84308"/>
    </row>
    <row r="84309" spans="10:10" x14ac:dyDescent="0.3">
      <c r="J84309"/>
    </row>
    <row r="84310" spans="10:10" x14ac:dyDescent="0.3">
      <c r="J84310"/>
    </row>
    <row r="84311" spans="10:10" x14ac:dyDescent="0.3">
      <c r="J84311"/>
    </row>
    <row r="84312" spans="10:10" x14ac:dyDescent="0.3">
      <c r="J84312"/>
    </row>
    <row r="84313" spans="10:10" x14ac:dyDescent="0.3">
      <c r="J84313"/>
    </row>
    <row r="84314" spans="10:10" x14ac:dyDescent="0.3">
      <c r="J84314"/>
    </row>
    <row r="84315" spans="10:10" x14ac:dyDescent="0.3">
      <c r="J84315"/>
    </row>
    <row r="84316" spans="10:10" x14ac:dyDescent="0.3">
      <c r="J84316"/>
    </row>
    <row r="84317" spans="10:10" x14ac:dyDescent="0.3">
      <c r="J84317"/>
    </row>
    <row r="84318" spans="10:10" x14ac:dyDescent="0.3">
      <c r="J84318"/>
    </row>
    <row r="84319" spans="10:10" x14ac:dyDescent="0.3">
      <c r="J84319"/>
    </row>
    <row r="84320" spans="10:10" x14ac:dyDescent="0.3">
      <c r="J84320"/>
    </row>
    <row r="84321" spans="10:10" x14ac:dyDescent="0.3">
      <c r="J84321"/>
    </row>
    <row r="84322" spans="10:10" x14ac:dyDescent="0.3">
      <c r="J84322"/>
    </row>
    <row r="84323" spans="10:10" x14ac:dyDescent="0.3">
      <c r="J84323"/>
    </row>
    <row r="84324" spans="10:10" x14ac:dyDescent="0.3">
      <c r="J84324"/>
    </row>
    <row r="84325" spans="10:10" x14ac:dyDescent="0.3">
      <c r="J84325"/>
    </row>
    <row r="84326" spans="10:10" x14ac:dyDescent="0.3">
      <c r="J84326"/>
    </row>
    <row r="84327" spans="10:10" x14ac:dyDescent="0.3">
      <c r="J84327"/>
    </row>
    <row r="84328" spans="10:10" x14ac:dyDescent="0.3">
      <c r="J84328"/>
    </row>
    <row r="84329" spans="10:10" x14ac:dyDescent="0.3">
      <c r="J84329"/>
    </row>
    <row r="84330" spans="10:10" x14ac:dyDescent="0.3">
      <c r="J84330"/>
    </row>
    <row r="84331" spans="10:10" x14ac:dyDescent="0.3">
      <c r="J84331"/>
    </row>
    <row r="84332" spans="10:10" x14ac:dyDescent="0.3">
      <c r="J84332"/>
    </row>
    <row r="84333" spans="10:10" x14ac:dyDescent="0.3">
      <c r="J84333"/>
    </row>
    <row r="84334" spans="10:10" x14ac:dyDescent="0.3">
      <c r="J84334"/>
    </row>
    <row r="84335" spans="10:10" x14ac:dyDescent="0.3">
      <c r="J84335"/>
    </row>
    <row r="84336" spans="10:10" x14ac:dyDescent="0.3">
      <c r="J84336"/>
    </row>
    <row r="84337" spans="10:10" x14ac:dyDescent="0.3">
      <c r="J84337"/>
    </row>
    <row r="84338" spans="10:10" x14ac:dyDescent="0.3">
      <c r="J84338"/>
    </row>
    <row r="84339" spans="10:10" x14ac:dyDescent="0.3">
      <c r="J84339"/>
    </row>
    <row r="84340" spans="10:10" x14ac:dyDescent="0.3">
      <c r="J84340"/>
    </row>
    <row r="84341" spans="10:10" x14ac:dyDescent="0.3">
      <c r="J84341"/>
    </row>
    <row r="84342" spans="10:10" x14ac:dyDescent="0.3">
      <c r="J84342"/>
    </row>
    <row r="84343" spans="10:10" x14ac:dyDescent="0.3">
      <c r="J84343"/>
    </row>
    <row r="84344" spans="10:10" x14ac:dyDescent="0.3">
      <c r="J84344"/>
    </row>
    <row r="84345" spans="10:10" x14ac:dyDescent="0.3">
      <c r="J84345"/>
    </row>
    <row r="84346" spans="10:10" x14ac:dyDescent="0.3">
      <c r="J84346"/>
    </row>
    <row r="84347" spans="10:10" x14ac:dyDescent="0.3">
      <c r="J84347"/>
    </row>
    <row r="84348" spans="10:10" x14ac:dyDescent="0.3">
      <c r="J84348"/>
    </row>
    <row r="84349" spans="10:10" x14ac:dyDescent="0.3">
      <c r="J84349"/>
    </row>
    <row r="84350" spans="10:10" x14ac:dyDescent="0.3">
      <c r="J84350"/>
    </row>
    <row r="84351" spans="10:10" x14ac:dyDescent="0.3">
      <c r="J84351"/>
    </row>
    <row r="84352" spans="10:10" x14ac:dyDescent="0.3">
      <c r="J84352"/>
    </row>
    <row r="84353" spans="10:10" x14ac:dyDescent="0.3">
      <c r="J84353"/>
    </row>
    <row r="84354" spans="10:10" x14ac:dyDescent="0.3">
      <c r="J84354"/>
    </row>
    <row r="84355" spans="10:10" x14ac:dyDescent="0.3">
      <c r="J84355"/>
    </row>
    <row r="84356" spans="10:10" x14ac:dyDescent="0.3">
      <c r="J84356"/>
    </row>
    <row r="84357" spans="10:10" x14ac:dyDescent="0.3">
      <c r="J84357"/>
    </row>
    <row r="84358" spans="10:10" x14ac:dyDescent="0.3">
      <c r="J84358"/>
    </row>
    <row r="84359" spans="10:10" x14ac:dyDescent="0.3">
      <c r="J84359"/>
    </row>
    <row r="84360" spans="10:10" x14ac:dyDescent="0.3">
      <c r="J84360"/>
    </row>
    <row r="84361" spans="10:10" x14ac:dyDescent="0.3">
      <c r="J84361"/>
    </row>
    <row r="84362" spans="10:10" x14ac:dyDescent="0.3">
      <c r="J84362"/>
    </row>
    <row r="84363" spans="10:10" x14ac:dyDescent="0.3">
      <c r="J84363"/>
    </row>
    <row r="84364" spans="10:10" x14ac:dyDescent="0.3">
      <c r="J84364"/>
    </row>
    <row r="84365" spans="10:10" x14ac:dyDescent="0.3">
      <c r="J84365"/>
    </row>
    <row r="84366" spans="10:10" x14ac:dyDescent="0.3">
      <c r="J84366"/>
    </row>
    <row r="84367" spans="10:10" x14ac:dyDescent="0.3">
      <c r="J84367"/>
    </row>
    <row r="84368" spans="10:10" x14ac:dyDescent="0.3">
      <c r="J84368"/>
    </row>
    <row r="84369" spans="10:10" x14ac:dyDescent="0.3">
      <c r="J84369"/>
    </row>
    <row r="84370" spans="10:10" x14ac:dyDescent="0.3">
      <c r="J84370"/>
    </row>
    <row r="84371" spans="10:10" x14ac:dyDescent="0.3">
      <c r="J84371"/>
    </row>
    <row r="84372" spans="10:10" x14ac:dyDescent="0.3">
      <c r="J84372"/>
    </row>
    <row r="84373" spans="10:10" x14ac:dyDescent="0.3">
      <c r="J84373"/>
    </row>
    <row r="84374" spans="10:10" x14ac:dyDescent="0.3">
      <c r="J84374"/>
    </row>
    <row r="84375" spans="10:10" x14ac:dyDescent="0.3">
      <c r="J84375"/>
    </row>
    <row r="84376" spans="10:10" x14ac:dyDescent="0.3">
      <c r="J84376"/>
    </row>
    <row r="84377" spans="10:10" x14ac:dyDescent="0.3">
      <c r="J84377"/>
    </row>
    <row r="84378" spans="10:10" x14ac:dyDescent="0.3">
      <c r="J84378"/>
    </row>
    <row r="84379" spans="10:10" x14ac:dyDescent="0.3">
      <c r="J84379"/>
    </row>
    <row r="84380" spans="10:10" x14ac:dyDescent="0.3">
      <c r="J84380"/>
    </row>
    <row r="84381" spans="10:10" x14ac:dyDescent="0.3">
      <c r="J84381"/>
    </row>
    <row r="84382" spans="10:10" x14ac:dyDescent="0.3">
      <c r="J84382"/>
    </row>
    <row r="84383" spans="10:10" x14ac:dyDescent="0.3">
      <c r="J84383"/>
    </row>
    <row r="84384" spans="10:10" x14ac:dyDescent="0.3">
      <c r="J84384"/>
    </row>
    <row r="84385" spans="10:10" x14ac:dyDescent="0.3">
      <c r="J84385"/>
    </row>
    <row r="84386" spans="10:10" x14ac:dyDescent="0.3">
      <c r="J84386"/>
    </row>
    <row r="84387" spans="10:10" x14ac:dyDescent="0.3">
      <c r="J84387"/>
    </row>
    <row r="84388" spans="10:10" x14ac:dyDescent="0.3">
      <c r="J84388"/>
    </row>
    <row r="84389" spans="10:10" x14ac:dyDescent="0.3">
      <c r="J84389"/>
    </row>
    <row r="84390" spans="10:10" x14ac:dyDescent="0.3">
      <c r="J84390"/>
    </row>
    <row r="84391" spans="10:10" x14ac:dyDescent="0.3">
      <c r="J84391"/>
    </row>
    <row r="84392" spans="10:10" x14ac:dyDescent="0.3">
      <c r="J84392"/>
    </row>
    <row r="84393" spans="10:10" x14ac:dyDescent="0.3">
      <c r="J84393"/>
    </row>
    <row r="84394" spans="10:10" x14ac:dyDescent="0.3">
      <c r="J84394"/>
    </row>
    <row r="84395" spans="10:10" x14ac:dyDescent="0.3">
      <c r="J84395"/>
    </row>
    <row r="84396" spans="10:10" x14ac:dyDescent="0.3">
      <c r="J84396"/>
    </row>
    <row r="84397" spans="10:10" x14ac:dyDescent="0.3">
      <c r="J84397"/>
    </row>
    <row r="84398" spans="10:10" x14ac:dyDescent="0.3">
      <c r="J84398"/>
    </row>
    <row r="84399" spans="10:10" x14ac:dyDescent="0.3">
      <c r="J84399"/>
    </row>
    <row r="84400" spans="10:10" x14ac:dyDescent="0.3">
      <c r="J84400"/>
    </row>
    <row r="84401" spans="10:10" x14ac:dyDescent="0.3">
      <c r="J84401"/>
    </row>
    <row r="84402" spans="10:10" x14ac:dyDescent="0.3">
      <c r="J84402"/>
    </row>
    <row r="84403" spans="10:10" x14ac:dyDescent="0.3">
      <c r="J84403"/>
    </row>
    <row r="84404" spans="10:10" x14ac:dyDescent="0.3">
      <c r="J84404"/>
    </row>
    <row r="84405" spans="10:10" x14ac:dyDescent="0.3">
      <c r="J84405"/>
    </row>
    <row r="84406" spans="10:10" x14ac:dyDescent="0.3">
      <c r="J84406"/>
    </row>
    <row r="84407" spans="10:10" x14ac:dyDescent="0.3">
      <c r="J84407"/>
    </row>
    <row r="84408" spans="10:10" x14ac:dyDescent="0.3">
      <c r="J84408"/>
    </row>
    <row r="84409" spans="10:10" x14ac:dyDescent="0.3">
      <c r="J84409"/>
    </row>
    <row r="84410" spans="10:10" x14ac:dyDescent="0.3">
      <c r="J84410"/>
    </row>
    <row r="84411" spans="10:10" x14ac:dyDescent="0.3">
      <c r="J84411"/>
    </row>
    <row r="84412" spans="10:10" x14ac:dyDescent="0.3">
      <c r="J84412"/>
    </row>
    <row r="84413" spans="10:10" x14ac:dyDescent="0.3">
      <c r="J84413"/>
    </row>
    <row r="84414" spans="10:10" x14ac:dyDescent="0.3">
      <c r="J84414"/>
    </row>
    <row r="84415" spans="10:10" x14ac:dyDescent="0.3">
      <c r="J84415"/>
    </row>
    <row r="84416" spans="10:10" x14ac:dyDescent="0.3">
      <c r="J84416"/>
    </row>
    <row r="84417" spans="10:10" x14ac:dyDescent="0.3">
      <c r="J84417"/>
    </row>
    <row r="84418" spans="10:10" x14ac:dyDescent="0.3">
      <c r="J84418"/>
    </row>
    <row r="84419" spans="10:10" x14ac:dyDescent="0.3">
      <c r="J84419"/>
    </row>
    <row r="84420" spans="10:10" x14ac:dyDescent="0.3">
      <c r="J84420"/>
    </row>
    <row r="84421" spans="10:10" x14ac:dyDescent="0.3">
      <c r="J84421"/>
    </row>
    <row r="84422" spans="10:10" x14ac:dyDescent="0.3">
      <c r="J84422"/>
    </row>
    <row r="84423" spans="10:10" x14ac:dyDescent="0.3">
      <c r="J84423"/>
    </row>
    <row r="84424" spans="10:10" x14ac:dyDescent="0.3">
      <c r="J84424"/>
    </row>
    <row r="84425" spans="10:10" x14ac:dyDescent="0.3">
      <c r="J84425"/>
    </row>
    <row r="84426" spans="10:10" x14ac:dyDescent="0.3">
      <c r="J84426"/>
    </row>
    <row r="84427" spans="10:10" x14ac:dyDescent="0.3">
      <c r="J84427"/>
    </row>
    <row r="84428" spans="10:10" x14ac:dyDescent="0.3">
      <c r="J84428"/>
    </row>
    <row r="84429" spans="10:10" x14ac:dyDescent="0.3">
      <c r="J84429"/>
    </row>
    <row r="84430" spans="10:10" x14ac:dyDescent="0.3">
      <c r="J84430"/>
    </row>
    <row r="84431" spans="10:10" x14ac:dyDescent="0.3">
      <c r="J84431"/>
    </row>
    <row r="84432" spans="10:10" x14ac:dyDescent="0.3">
      <c r="J84432"/>
    </row>
    <row r="84433" spans="10:10" x14ac:dyDescent="0.3">
      <c r="J84433"/>
    </row>
    <row r="84434" spans="10:10" x14ac:dyDescent="0.3">
      <c r="J84434"/>
    </row>
    <row r="84435" spans="10:10" x14ac:dyDescent="0.3">
      <c r="J84435"/>
    </row>
    <row r="84436" spans="10:10" x14ac:dyDescent="0.3">
      <c r="J84436"/>
    </row>
    <row r="84437" spans="10:10" x14ac:dyDescent="0.3">
      <c r="J84437"/>
    </row>
    <row r="84438" spans="10:10" x14ac:dyDescent="0.3">
      <c r="J84438"/>
    </row>
    <row r="84439" spans="10:10" x14ac:dyDescent="0.3">
      <c r="J84439"/>
    </row>
    <row r="84440" spans="10:10" x14ac:dyDescent="0.3">
      <c r="J84440"/>
    </row>
    <row r="84441" spans="10:10" x14ac:dyDescent="0.3">
      <c r="J84441"/>
    </row>
    <row r="84442" spans="10:10" x14ac:dyDescent="0.3">
      <c r="J84442"/>
    </row>
    <row r="84443" spans="10:10" x14ac:dyDescent="0.3">
      <c r="J84443"/>
    </row>
    <row r="84444" spans="10:10" x14ac:dyDescent="0.3">
      <c r="J84444"/>
    </row>
    <row r="84445" spans="10:10" x14ac:dyDescent="0.3">
      <c r="J84445"/>
    </row>
    <row r="84446" spans="10:10" x14ac:dyDescent="0.3">
      <c r="J84446"/>
    </row>
    <row r="84447" spans="10:10" x14ac:dyDescent="0.3">
      <c r="J84447"/>
    </row>
    <row r="84448" spans="10:10" x14ac:dyDescent="0.3">
      <c r="J84448"/>
    </row>
    <row r="84449" spans="10:10" x14ac:dyDescent="0.3">
      <c r="J84449"/>
    </row>
    <row r="84450" spans="10:10" x14ac:dyDescent="0.3">
      <c r="J84450"/>
    </row>
    <row r="84451" spans="10:10" x14ac:dyDescent="0.3">
      <c r="J84451"/>
    </row>
    <row r="84452" spans="10:10" x14ac:dyDescent="0.3">
      <c r="J84452"/>
    </row>
    <row r="84453" spans="10:10" x14ac:dyDescent="0.3">
      <c r="J84453"/>
    </row>
    <row r="84454" spans="10:10" x14ac:dyDescent="0.3">
      <c r="J84454"/>
    </row>
    <row r="84455" spans="10:10" x14ac:dyDescent="0.3">
      <c r="J84455"/>
    </row>
    <row r="84456" spans="10:10" x14ac:dyDescent="0.3">
      <c r="J84456"/>
    </row>
    <row r="84457" spans="10:10" x14ac:dyDescent="0.3">
      <c r="J84457"/>
    </row>
    <row r="84458" spans="10:10" x14ac:dyDescent="0.3">
      <c r="J84458"/>
    </row>
    <row r="84459" spans="10:10" x14ac:dyDescent="0.3">
      <c r="J84459"/>
    </row>
    <row r="84460" spans="10:10" x14ac:dyDescent="0.3">
      <c r="J84460"/>
    </row>
    <row r="84461" spans="10:10" x14ac:dyDescent="0.3">
      <c r="J84461"/>
    </row>
    <row r="84462" spans="10:10" x14ac:dyDescent="0.3">
      <c r="J84462"/>
    </row>
    <row r="84463" spans="10:10" x14ac:dyDescent="0.3">
      <c r="J84463"/>
    </row>
    <row r="84464" spans="10:10" x14ac:dyDescent="0.3">
      <c r="J84464"/>
    </row>
    <row r="84465" spans="10:10" x14ac:dyDescent="0.3">
      <c r="J84465"/>
    </row>
    <row r="84466" spans="10:10" x14ac:dyDescent="0.3">
      <c r="J84466"/>
    </row>
    <row r="84467" spans="10:10" x14ac:dyDescent="0.3">
      <c r="J84467"/>
    </row>
    <row r="84468" spans="10:10" x14ac:dyDescent="0.3">
      <c r="J84468"/>
    </row>
    <row r="84469" spans="10:10" x14ac:dyDescent="0.3">
      <c r="J84469"/>
    </row>
    <row r="84470" spans="10:10" x14ac:dyDescent="0.3">
      <c r="J84470"/>
    </row>
    <row r="84471" spans="10:10" x14ac:dyDescent="0.3">
      <c r="J84471"/>
    </row>
    <row r="84472" spans="10:10" x14ac:dyDescent="0.3">
      <c r="J84472"/>
    </row>
    <row r="84473" spans="10:10" x14ac:dyDescent="0.3">
      <c r="J84473"/>
    </row>
    <row r="84474" spans="10:10" x14ac:dyDescent="0.3">
      <c r="J84474"/>
    </row>
    <row r="84475" spans="10:10" x14ac:dyDescent="0.3">
      <c r="J84475"/>
    </row>
    <row r="84476" spans="10:10" x14ac:dyDescent="0.3">
      <c r="J84476"/>
    </row>
    <row r="84477" spans="10:10" x14ac:dyDescent="0.3">
      <c r="J84477"/>
    </row>
    <row r="84478" spans="10:10" x14ac:dyDescent="0.3">
      <c r="J84478"/>
    </row>
    <row r="84479" spans="10:10" x14ac:dyDescent="0.3">
      <c r="J84479"/>
    </row>
    <row r="84480" spans="10:10" x14ac:dyDescent="0.3">
      <c r="J84480"/>
    </row>
    <row r="84481" spans="10:10" x14ac:dyDescent="0.3">
      <c r="J84481"/>
    </row>
    <row r="84482" spans="10:10" x14ac:dyDescent="0.3">
      <c r="J84482"/>
    </row>
    <row r="84483" spans="10:10" x14ac:dyDescent="0.3">
      <c r="J84483"/>
    </row>
    <row r="84484" spans="10:10" x14ac:dyDescent="0.3">
      <c r="J84484"/>
    </row>
    <row r="84485" spans="10:10" x14ac:dyDescent="0.3">
      <c r="J84485"/>
    </row>
    <row r="84486" spans="10:10" x14ac:dyDescent="0.3">
      <c r="J84486"/>
    </row>
    <row r="84487" spans="10:10" x14ac:dyDescent="0.3">
      <c r="J84487"/>
    </row>
    <row r="84488" spans="10:10" x14ac:dyDescent="0.3">
      <c r="J84488"/>
    </row>
    <row r="84489" spans="10:10" x14ac:dyDescent="0.3">
      <c r="J84489"/>
    </row>
    <row r="84490" spans="10:10" x14ac:dyDescent="0.3">
      <c r="J84490"/>
    </row>
    <row r="84491" spans="10:10" x14ac:dyDescent="0.3">
      <c r="J84491"/>
    </row>
    <row r="84492" spans="10:10" x14ac:dyDescent="0.3">
      <c r="J84492"/>
    </row>
    <row r="84493" spans="10:10" x14ac:dyDescent="0.3">
      <c r="J84493"/>
    </row>
    <row r="84494" spans="10:10" x14ac:dyDescent="0.3">
      <c r="J84494"/>
    </row>
    <row r="84495" spans="10:10" x14ac:dyDescent="0.3">
      <c r="J84495"/>
    </row>
    <row r="84496" spans="10:10" x14ac:dyDescent="0.3">
      <c r="J84496"/>
    </row>
    <row r="84497" spans="10:10" x14ac:dyDescent="0.3">
      <c r="J84497"/>
    </row>
    <row r="84498" spans="10:10" x14ac:dyDescent="0.3">
      <c r="J84498"/>
    </row>
    <row r="84499" spans="10:10" x14ac:dyDescent="0.3">
      <c r="J84499"/>
    </row>
    <row r="84500" spans="10:10" x14ac:dyDescent="0.3">
      <c r="J84500"/>
    </row>
    <row r="84501" spans="10:10" x14ac:dyDescent="0.3">
      <c r="J84501"/>
    </row>
    <row r="84502" spans="10:10" x14ac:dyDescent="0.3">
      <c r="J84502"/>
    </row>
    <row r="84503" spans="10:10" x14ac:dyDescent="0.3">
      <c r="J84503"/>
    </row>
    <row r="84504" spans="10:10" x14ac:dyDescent="0.3">
      <c r="J84504"/>
    </row>
    <row r="84505" spans="10:10" x14ac:dyDescent="0.3">
      <c r="J84505"/>
    </row>
    <row r="84506" spans="10:10" x14ac:dyDescent="0.3">
      <c r="J84506"/>
    </row>
    <row r="84507" spans="10:10" x14ac:dyDescent="0.3">
      <c r="J84507"/>
    </row>
    <row r="84508" spans="10:10" x14ac:dyDescent="0.3">
      <c r="J84508"/>
    </row>
    <row r="84509" spans="10:10" x14ac:dyDescent="0.3">
      <c r="J84509"/>
    </row>
    <row r="84510" spans="10:10" x14ac:dyDescent="0.3">
      <c r="J84510"/>
    </row>
    <row r="84511" spans="10:10" x14ac:dyDescent="0.3">
      <c r="J84511"/>
    </row>
    <row r="84512" spans="10:10" x14ac:dyDescent="0.3">
      <c r="J84512"/>
    </row>
    <row r="84513" spans="10:10" x14ac:dyDescent="0.3">
      <c r="J84513"/>
    </row>
    <row r="84514" spans="10:10" x14ac:dyDescent="0.3">
      <c r="J84514"/>
    </row>
    <row r="84515" spans="10:10" x14ac:dyDescent="0.3">
      <c r="J84515"/>
    </row>
    <row r="84516" spans="10:10" x14ac:dyDescent="0.3">
      <c r="J84516"/>
    </row>
    <row r="84517" spans="10:10" x14ac:dyDescent="0.3">
      <c r="J84517"/>
    </row>
    <row r="84518" spans="10:10" x14ac:dyDescent="0.3">
      <c r="J84518"/>
    </row>
    <row r="84519" spans="10:10" x14ac:dyDescent="0.3">
      <c r="J84519"/>
    </row>
    <row r="84520" spans="10:10" x14ac:dyDescent="0.3">
      <c r="J84520"/>
    </row>
    <row r="84521" spans="10:10" x14ac:dyDescent="0.3">
      <c r="J84521"/>
    </row>
    <row r="84522" spans="10:10" x14ac:dyDescent="0.3">
      <c r="J84522"/>
    </row>
    <row r="84523" spans="10:10" x14ac:dyDescent="0.3">
      <c r="J84523"/>
    </row>
    <row r="84524" spans="10:10" x14ac:dyDescent="0.3">
      <c r="J84524"/>
    </row>
    <row r="84525" spans="10:10" x14ac:dyDescent="0.3">
      <c r="J84525"/>
    </row>
    <row r="84526" spans="10:10" x14ac:dyDescent="0.3">
      <c r="J84526"/>
    </row>
    <row r="84527" spans="10:10" x14ac:dyDescent="0.3">
      <c r="J84527"/>
    </row>
    <row r="84528" spans="10:10" x14ac:dyDescent="0.3">
      <c r="J84528"/>
    </row>
    <row r="84529" spans="10:10" x14ac:dyDescent="0.3">
      <c r="J84529"/>
    </row>
    <row r="84530" spans="10:10" x14ac:dyDescent="0.3">
      <c r="J84530"/>
    </row>
    <row r="84531" spans="10:10" x14ac:dyDescent="0.3">
      <c r="J84531"/>
    </row>
    <row r="84532" spans="10:10" x14ac:dyDescent="0.3">
      <c r="J84532"/>
    </row>
    <row r="84533" spans="10:10" x14ac:dyDescent="0.3">
      <c r="J84533"/>
    </row>
    <row r="84534" spans="10:10" x14ac:dyDescent="0.3">
      <c r="J84534"/>
    </row>
    <row r="84535" spans="10:10" x14ac:dyDescent="0.3">
      <c r="J84535"/>
    </row>
    <row r="84536" spans="10:10" x14ac:dyDescent="0.3">
      <c r="J84536"/>
    </row>
    <row r="84537" spans="10:10" x14ac:dyDescent="0.3">
      <c r="J84537"/>
    </row>
    <row r="84538" spans="10:10" x14ac:dyDescent="0.3">
      <c r="J84538"/>
    </row>
    <row r="84539" spans="10:10" x14ac:dyDescent="0.3">
      <c r="J84539"/>
    </row>
    <row r="84540" spans="10:10" x14ac:dyDescent="0.3">
      <c r="J84540"/>
    </row>
    <row r="84541" spans="10:10" x14ac:dyDescent="0.3">
      <c r="J84541"/>
    </row>
    <row r="84542" spans="10:10" x14ac:dyDescent="0.3">
      <c r="J84542"/>
    </row>
    <row r="84543" spans="10:10" x14ac:dyDescent="0.3">
      <c r="J84543"/>
    </row>
    <row r="84544" spans="10:10" x14ac:dyDescent="0.3">
      <c r="J84544"/>
    </row>
    <row r="84545" spans="10:10" x14ac:dyDescent="0.3">
      <c r="J84545"/>
    </row>
    <row r="84546" spans="10:10" x14ac:dyDescent="0.3">
      <c r="J84546"/>
    </row>
    <row r="84547" spans="10:10" x14ac:dyDescent="0.3">
      <c r="J84547"/>
    </row>
    <row r="84548" spans="10:10" x14ac:dyDescent="0.3">
      <c r="J84548"/>
    </row>
    <row r="84549" spans="10:10" x14ac:dyDescent="0.3">
      <c r="J84549"/>
    </row>
    <row r="84550" spans="10:10" x14ac:dyDescent="0.3">
      <c r="J84550"/>
    </row>
    <row r="84551" spans="10:10" x14ac:dyDescent="0.3">
      <c r="J84551"/>
    </row>
    <row r="84552" spans="10:10" x14ac:dyDescent="0.3">
      <c r="J84552"/>
    </row>
    <row r="84553" spans="10:10" x14ac:dyDescent="0.3">
      <c r="J84553"/>
    </row>
    <row r="84554" spans="10:10" x14ac:dyDescent="0.3">
      <c r="J84554"/>
    </row>
    <row r="84555" spans="10:10" x14ac:dyDescent="0.3">
      <c r="J84555"/>
    </row>
    <row r="84556" spans="10:10" x14ac:dyDescent="0.3">
      <c r="J84556"/>
    </row>
    <row r="84557" spans="10:10" x14ac:dyDescent="0.3">
      <c r="J84557"/>
    </row>
    <row r="84558" spans="10:10" x14ac:dyDescent="0.3">
      <c r="J84558"/>
    </row>
    <row r="84559" spans="10:10" x14ac:dyDescent="0.3">
      <c r="J84559"/>
    </row>
    <row r="84560" spans="10:10" x14ac:dyDescent="0.3">
      <c r="J84560"/>
    </row>
    <row r="84561" spans="10:10" x14ac:dyDescent="0.3">
      <c r="J84561"/>
    </row>
    <row r="84562" spans="10:10" x14ac:dyDescent="0.3">
      <c r="J84562"/>
    </row>
    <row r="84563" spans="10:10" x14ac:dyDescent="0.3">
      <c r="J84563"/>
    </row>
    <row r="84564" spans="10:10" x14ac:dyDescent="0.3">
      <c r="J84564"/>
    </row>
    <row r="84565" spans="10:10" x14ac:dyDescent="0.3">
      <c r="J84565"/>
    </row>
    <row r="84566" spans="10:10" x14ac:dyDescent="0.3">
      <c r="J84566"/>
    </row>
    <row r="84567" spans="10:10" x14ac:dyDescent="0.3">
      <c r="J84567"/>
    </row>
    <row r="84568" spans="10:10" x14ac:dyDescent="0.3">
      <c r="J84568"/>
    </row>
    <row r="84569" spans="10:10" x14ac:dyDescent="0.3">
      <c r="J84569"/>
    </row>
    <row r="84570" spans="10:10" x14ac:dyDescent="0.3">
      <c r="J84570"/>
    </row>
    <row r="84571" spans="10:10" x14ac:dyDescent="0.3">
      <c r="J84571"/>
    </row>
    <row r="84572" spans="10:10" x14ac:dyDescent="0.3">
      <c r="J84572"/>
    </row>
    <row r="84573" spans="10:10" x14ac:dyDescent="0.3">
      <c r="J84573"/>
    </row>
    <row r="84574" spans="10:10" x14ac:dyDescent="0.3">
      <c r="J84574"/>
    </row>
    <row r="84575" spans="10:10" x14ac:dyDescent="0.3">
      <c r="J84575"/>
    </row>
    <row r="84576" spans="10:10" x14ac:dyDescent="0.3">
      <c r="J84576"/>
    </row>
    <row r="84577" spans="10:10" x14ac:dyDescent="0.3">
      <c r="J84577"/>
    </row>
    <row r="84578" spans="10:10" x14ac:dyDescent="0.3">
      <c r="J84578"/>
    </row>
    <row r="84579" spans="10:10" x14ac:dyDescent="0.3">
      <c r="J84579"/>
    </row>
    <row r="84580" spans="10:10" x14ac:dyDescent="0.3">
      <c r="J84580"/>
    </row>
    <row r="84581" spans="10:10" x14ac:dyDescent="0.3">
      <c r="J84581"/>
    </row>
    <row r="84582" spans="10:10" x14ac:dyDescent="0.3">
      <c r="J84582"/>
    </row>
    <row r="84583" spans="10:10" x14ac:dyDescent="0.3">
      <c r="J84583"/>
    </row>
    <row r="84584" spans="10:10" x14ac:dyDescent="0.3">
      <c r="J84584"/>
    </row>
    <row r="84585" spans="10:10" x14ac:dyDescent="0.3">
      <c r="J84585"/>
    </row>
    <row r="84586" spans="10:10" x14ac:dyDescent="0.3">
      <c r="J84586"/>
    </row>
    <row r="84587" spans="10:10" x14ac:dyDescent="0.3">
      <c r="J84587"/>
    </row>
    <row r="84588" spans="10:10" x14ac:dyDescent="0.3">
      <c r="J84588"/>
    </row>
    <row r="84589" spans="10:10" x14ac:dyDescent="0.3">
      <c r="J84589"/>
    </row>
    <row r="84590" spans="10:10" x14ac:dyDescent="0.3">
      <c r="J84590"/>
    </row>
    <row r="84591" spans="10:10" x14ac:dyDescent="0.3">
      <c r="J84591"/>
    </row>
    <row r="84592" spans="10:10" x14ac:dyDescent="0.3">
      <c r="J84592"/>
    </row>
    <row r="84593" spans="10:10" x14ac:dyDescent="0.3">
      <c r="J84593"/>
    </row>
    <row r="84594" spans="10:10" x14ac:dyDescent="0.3">
      <c r="J84594"/>
    </row>
    <row r="84595" spans="10:10" x14ac:dyDescent="0.3">
      <c r="J84595"/>
    </row>
    <row r="84596" spans="10:10" x14ac:dyDescent="0.3">
      <c r="J84596"/>
    </row>
    <row r="84597" spans="10:10" x14ac:dyDescent="0.3">
      <c r="J84597"/>
    </row>
    <row r="84598" spans="10:10" x14ac:dyDescent="0.3">
      <c r="J84598"/>
    </row>
    <row r="84599" spans="10:10" x14ac:dyDescent="0.3">
      <c r="J84599"/>
    </row>
    <row r="84600" spans="10:10" x14ac:dyDescent="0.3">
      <c r="J84600"/>
    </row>
    <row r="84601" spans="10:10" x14ac:dyDescent="0.3">
      <c r="J84601"/>
    </row>
    <row r="84602" spans="10:10" x14ac:dyDescent="0.3">
      <c r="J84602"/>
    </row>
    <row r="84603" spans="10:10" x14ac:dyDescent="0.3">
      <c r="J84603"/>
    </row>
    <row r="84604" spans="10:10" x14ac:dyDescent="0.3">
      <c r="J84604"/>
    </row>
    <row r="84605" spans="10:10" x14ac:dyDescent="0.3">
      <c r="J84605"/>
    </row>
    <row r="84606" spans="10:10" x14ac:dyDescent="0.3">
      <c r="J84606"/>
    </row>
    <row r="84607" spans="10:10" x14ac:dyDescent="0.3">
      <c r="J84607"/>
    </row>
    <row r="84608" spans="10:10" x14ac:dyDescent="0.3">
      <c r="J84608"/>
    </row>
    <row r="84609" spans="10:10" x14ac:dyDescent="0.3">
      <c r="J84609"/>
    </row>
    <row r="84610" spans="10:10" x14ac:dyDescent="0.3">
      <c r="J84610"/>
    </row>
    <row r="84611" spans="10:10" x14ac:dyDescent="0.3">
      <c r="J84611"/>
    </row>
    <row r="84612" spans="10:10" x14ac:dyDescent="0.3">
      <c r="J84612"/>
    </row>
    <row r="84613" spans="10:10" x14ac:dyDescent="0.3">
      <c r="J84613"/>
    </row>
    <row r="84614" spans="10:10" x14ac:dyDescent="0.3">
      <c r="J84614"/>
    </row>
    <row r="84615" spans="10:10" x14ac:dyDescent="0.3">
      <c r="J84615"/>
    </row>
    <row r="84616" spans="10:10" x14ac:dyDescent="0.3">
      <c r="J84616"/>
    </row>
    <row r="84617" spans="10:10" x14ac:dyDescent="0.3">
      <c r="J84617"/>
    </row>
    <row r="84618" spans="10:10" x14ac:dyDescent="0.3">
      <c r="J84618"/>
    </row>
    <row r="84619" spans="10:10" x14ac:dyDescent="0.3">
      <c r="J84619"/>
    </row>
    <row r="84620" spans="10:10" x14ac:dyDescent="0.3">
      <c r="J84620"/>
    </row>
    <row r="84621" spans="10:10" x14ac:dyDescent="0.3">
      <c r="J84621"/>
    </row>
    <row r="84622" spans="10:10" x14ac:dyDescent="0.3">
      <c r="J84622"/>
    </row>
    <row r="84623" spans="10:10" x14ac:dyDescent="0.3">
      <c r="J84623"/>
    </row>
    <row r="84624" spans="10:10" x14ac:dyDescent="0.3">
      <c r="J84624"/>
    </row>
    <row r="84625" spans="10:10" x14ac:dyDescent="0.3">
      <c r="J84625"/>
    </row>
    <row r="84626" spans="10:10" x14ac:dyDescent="0.3">
      <c r="J84626"/>
    </row>
    <row r="84627" spans="10:10" x14ac:dyDescent="0.3">
      <c r="J84627"/>
    </row>
    <row r="84628" spans="10:10" x14ac:dyDescent="0.3">
      <c r="J84628"/>
    </row>
    <row r="84629" spans="10:10" x14ac:dyDescent="0.3">
      <c r="J84629"/>
    </row>
    <row r="84630" spans="10:10" x14ac:dyDescent="0.3">
      <c r="J84630"/>
    </row>
    <row r="84631" spans="10:10" x14ac:dyDescent="0.3">
      <c r="J84631"/>
    </row>
    <row r="84632" spans="10:10" x14ac:dyDescent="0.3">
      <c r="J84632"/>
    </row>
    <row r="84633" spans="10:10" x14ac:dyDescent="0.3">
      <c r="J84633"/>
    </row>
    <row r="84634" spans="10:10" x14ac:dyDescent="0.3">
      <c r="J84634"/>
    </row>
    <row r="84635" spans="10:10" x14ac:dyDescent="0.3">
      <c r="J84635"/>
    </row>
    <row r="84636" spans="10:10" x14ac:dyDescent="0.3">
      <c r="J84636"/>
    </row>
    <row r="84637" spans="10:10" x14ac:dyDescent="0.3">
      <c r="J84637"/>
    </row>
    <row r="84638" spans="10:10" x14ac:dyDescent="0.3">
      <c r="J84638"/>
    </row>
    <row r="84639" spans="10:10" x14ac:dyDescent="0.3">
      <c r="J84639"/>
    </row>
    <row r="84640" spans="10:10" x14ac:dyDescent="0.3">
      <c r="J84640"/>
    </row>
    <row r="84641" spans="10:10" x14ac:dyDescent="0.3">
      <c r="J84641"/>
    </row>
    <row r="84642" spans="10:10" x14ac:dyDescent="0.3">
      <c r="J84642"/>
    </row>
    <row r="84643" spans="10:10" x14ac:dyDescent="0.3">
      <c r="J84643"/>
    </row>
    <row r="84644" spans="10:10" x14ac:dyDescent="0.3">
      <c r="J84644"/>
    </row>
    <row r="84645" spans="10:10" x14ac:dyDescent="0.3">
      <c r="J84645"/>
    </row>
    <row r="84646" spans="10:10" x14ac:dyDescent="0.3">
      <c r="J84646"/>
    </row>
    <row r="84647" spans="10:10" x14ac:dyDescent="0.3">
      <c r="J84647"/>
    </row>
    <row r="84648" spans="10:10" x14ac:dyDescent="0.3">
      <c r="J84648"/>
    </row>
    <row r="84649" spans="10:10" x14ac:dyDescent="0.3">
      <c r="J84649"/>
    </row>
    <row r="84650" spans="10:10" x14ac:dyDescent="0.3">
      <c r="J84650"/>
    </row>
    <row r="84651" spans="10:10" x14ac:dyDescent="0.3">
      <c r="J84651"/>
    </row>
    <row r="84652" spans="10:10" x14ac:dyDescent="0.3">
      <c r="J84652"/>
    </row>
    <row r="84653" spans="10:10" x14ac:dyDescent="0.3">
      <c r="J84653"/>
    </row>
    <row r="84654" spans="10:10" x14ac:dyDescent="0.3">
      <c r="J84654"/>
    </row>
    <row r="84655" spans="10:10" x14ac:dyDescent="0.3">
      <c r="J84655"/>
    </row>
    <row r="84656" spans="10:10" x14ac:dyDescent="0.3">
      <c r="J84656"/>
    </row>
    <row r="84657" spans="10:10" x14ac:dyDescent="0.3">
      <c r="J84657"/>
    </row>
    <row r="84658" spans="10:10" x14ac:dyDescent="0.3">
      <c r="J84658"/>
    </row>
    <row r="84659" spans="10:10" x14ac:dyDescent="0.3">
      <c r="J84659"/>
    </row>
    <row r="84660" spans="10:10" x14ac:dyDescent="0.3">
      <c r="J84660"/>
    </row>
    <row r="84661" spans="10:10" x14ac:dyDescent="0.3">
      <c r="J84661"/>
    </row>
    <row r="84662" spans="10:10" x14ac:dyDescent="0.3">
      <c r="J84662"/>
    </row>
    <row r="84663" spans="10:10" x14ac:dyDescent="0.3">
      <c r="J84663"/>
    </row>
    <row r="84664" spans="10:10" x14ac:dyDescent="0.3">
      <c r="J84664"/>
    </row>
    <row r="84665" spans="10:10" x14ac:dyDescent="0.3">
      <c r="J84665"/>
    </row>
    <row r="84666" spans="10:10" x14ac:dyDescent="0.3">
      <c r="J84666"/>
    </row>
    <row r="84667" spans="10:10" x14ac:dyDescent="0.3">
      <c r="J84667"/>
    </row>
    <row r="84668" spans="10:10" x14ac:dyDescent="0.3">
      <c r="J84668"/>
    </row>
    <row r="84669" spans="10:10" x14ac:dyDescent="0.3">
      <c r="J84669"/>
    </row>
    <row r="84670" spans="10:10" x14ac:dyDescent="0.3">
      <c r="J84670"/>
    </row>
    <row r="84671" spans="10:10" x14ac:dyDescent="0.3">
      <c r="J84671"/>
    </row>
    <row r="84672" spans="10:10" x14ac:dyDescent="0.3">
      <c r="J84672"/>
    </row>
    <row r="84673" spans="10:10" x14ac:dyDescent="0.3">
      <c r="J84673"/>
    </row>
    <row r="84674" spans="10:10" x14ac:dyDescent="0.3">
      <c r="J84674"/>
    </row>
    <row r="84675" spans="10:10" x14ac:dyDescent="0.3">
      <c r="J84675"/>
    </row>
    <row r="84676" spans="10:10" x14ac:dyDescent="0.3">
      <c r="J84676"/>
    </row>
    <row r="84677" spans="10:10" x14ac:dyDescent="0.3">
      <c r="J84677"/>
    </row>
    <row r="84678" spans="10:10" x14ac:dyDescent="0.3">
      <c r="J84678"/>
    </row>
    <row r="84679" spans="10:10" x14ac:dyDescent="0.3">
      <c r="J84679"/>
    </row>
    <row r="84680" spans="10:10" x14ac:dyDescent="0.3">
      <c r="J84680"/>
    </row>
    <row r="84681" spans="10:10" x14ac:dyDescent="0.3">
      <c r="J84681"/>
    </row>
    <row r="84682" spans="10:10" x14ac:dyDescent="0.3">
      <c r="J84682"/>
    </row>
    <row r="84683" spans="10:10" x14ac:dyDescent="0.3">
      <c r="J84683"/>
    </row>
    <row r="84684" spans="10:10" x14ac:dyDescent="0.3">
      <c r="J84684"/>
    </row>
    <row r="84685" spans="10:10" x14ac:dyDescent="0.3">
      <c r="J84685"/>
    </row>
    <row r="84686" spans="10:10" x14ac:dyDescent="0.3">
      <c r="J84686"/>
    </row>
    <row r="84687" spans="10:10" x14ac:dyDescent="0.3">
      <c r="J84687"/>
    </row>
    <row r="84688" spans="10:10" x14ac:dyDescent="0.3">
      <c r="J84688"/>
    </row>
    <row r="84689" spans="10:10" x14ac:dyDescent="0.3">
      <c r="J84689"/>
    </row>
    <row r="84690" spans="10:10" x14ac:dyDescent="0.3">
      <c r="J84690"/>
    </row>
    <row r="84691" spans="10:10" x14ac:dyDescent="0.3">
      <c r="J84691"/>
    </row>
    <row r="84692" spans="10:10" x14ac:dyDescent="0.3">
      <c r="J84692"/>
    </row>
    <row r="84693" spans="10:10" x14ac:dyDescent="0.3">
      <c r="J84693"/>
    </row>
    <row r="84694" spans="10:10" x14ac:dyDescent="0.3">
      <c r="J84694"/>
    </row>
    <row r="84695" spans="10:10" x14ac:dyDescent="0.3">
      <c r="J84695"/>
    </row>
    <row r="84696" spans="10:10" x14ac:dyDescent="0.3">
      <c r="J84696"/>
    </row>
    <row r="84697" spans="10:10" x14ac:dyDescent="0.3">
      <c r="J84697"/>
    </row>
    <row r="84698" spans="10:10" x14ac:dyDescent="0.3">
      <c r="J84698"/>
    </row>
    <row r="84699" spans="10:10" x14ac:dyDescent="0.3">
      <c r="J84699"/>
    </row>
    <row r="84700" spans="10:10" x14ac:dyDescent="0.3">
      <c r="J84700"/>
    </row>
    <row r="84701" spans="10:10" x14ac:dyDescent="0.3">
      <c r="J84701"/>
    </row>
    <row r="84702" spans="10:10" x14ac:dyDescent="0.3">
      <c r="J84702"/>
    </row>
    <row r="84703" spans="10:10" x14ac:dyDescent="0.3">
      <c r="J84703"/>
    </row>
    <row r="84704" spans="10:10" x14ac:dyDescent="0.3">
      <c r="J84704"/>
    </row>
    <row r="84705" spans="10:10" x14ac:dyDescent="0.3">
      <c r="J84705"/>
    </row>
    <row r="84706" spans="10:10" x14ac:dyDescent="0.3">
      <c r="J84706"/>
    </row>
    <row r="84707" spans="10:10" x14ac:dyDescent="0.3">
      <c r="J84707"/>
    </row>
    <row r="84708" spans="10:10" x14ac:dyDescent="0.3">
      <c r="J84708"/>
    </row>
    <row r="84709" spans="10:10" x14ac:dyDescent="0.3">
      <c r="J84709"/>
    </row>
    <row r="84710" spans="10:10" x14ac:dyDescent="0.3">
      <c r="J84710"/>
    </row>
    <row r="84711" spans="10:10" x14ac:dyDescent="0.3">
      <c r="J84711"/>
    </row>
    <row r="84712" spans="10:10" x14ac:dyDescent="0.3">
      <c r="J84712"/>
    </row>
    <row r="84713" spans="10:10" x14ac:dyDescent="0.3">
      <c r="J84713"/>
    </row>
    <row r="84714" spans="10:10" x14ac:dyDescent="0.3">
      <c r="J84714"/>
    </row>
    <row r="84715" spans="10:10" x14ac:dyDescent="0.3">
      <c r="J84715"/>
    </row>
    <row r="84716" spans="10:10" x14ac:dyDescent="0.3">
      <c r="J84716"/>
    </row>
    <row r="84717" spans="10:10" x14ac:dyDescent="0.3">
      <c r="J84717"/>
    </row>
    <row r="84718" spans="10:10" x14ac:dyDescent="0.3">
      <c r="J84718"/>
    </row>
    <row r="84719" spans="10:10" x14ac:dyDescent="0.3">
      <c r="J84719"/>
    </row>
    <row r="84720" spans="10:10" x14ac:dyDescent="0.3">
      <c r="J84720"/>
    </row>
    <row r="84721" spans="10:10" x14ac:dyDescent="0.3">
      <c r="J84721"/>
    </row>
    <row r="84722" spans="10:10" x14ac:dyDescent="0.3">
      <c r="J84722"/>
    </row>
    <row r="84723" spans="10:10" x14ac:dyDescent="0.3">
      <c r="J84723"/>
    </row>
    <row r="84724" spans="10:10" x14ac:dyDescent="0.3">
      <c r="J84724"/>
    </row>
    <row r="84725" spans="10:10" x14ac:dyDescent="0.3">
      <c r="J84725"/>
    </row>
    <row r="84726" spans="10:10" x14ac:dyDescent="0.3">
      <c r="J84726"/>
    </row>
    <row r="84727" spans="10:10" x14ac:dyDescent="0.3">
      <c r="J84727"/>
    </row>
    <row r="84728" spans="10:10" x14ac:dyDescent="0.3">
      <c r="J84728"/>
    </row>
    <row r="84729" spans="10:10" x14ac:dyDescent="0.3">
      <c r="J84729"/>
    </row>
    <row r="84730" spans="10:10" x14ac:dyDescent="0.3">
      <c r="J84730"/>
    </row>
    <row r="84731" spans="10:10" x14ac:dyDescent="0.3">
      <c r="J84731"/>
    </row>
    <row r="84732" spans="10:10" x14ac:dyDescent="0.3">
      <c r="J84732"/>
    </row>
    <row r="84733" spans="10:10" x14ac:dyDescent="0.3">
      <c r="J84733"/>
    </row>
    <row r="84734" spans="10:10" x14ac:dyDescent="0.3">
      <c r="J84734"/>
    </row>
    <row r="84735" spans="10:10" x14ac:dyDescent="0.3">
      <c r="J84735"/>
    </row>
    <row r="84736" spans="10:10" x14ac:dyDescent="0.3">
      <c r="J84736"/>
    </row>
    <row r="84737" spans="10:10" x14ac:dyDescent="0.3">
      <c r="J84737"/>
    </row>
    <row r="84738" spans="10:10" x14ac:dyDescent="0.3">
      <c r="J84738"/>
    </row>
    <row r="84739" spans="10:10" x14ac:dyDescent="0.3">
      <c r="J84739"/>
    </row>
    <row r="84740" spans="10:10" x14ac:dyDescent="0.3">
      <c r="J84740"/>
    </row>
    <row r="84741" spans="10:10" x14ac:dyDescent="0.3">
      <c r="J84741"/>
    </row>
    <row r="84742" spans="10:10" x14ac:dyDescent="0.3">
      <c r="J84742"/>
    </row>
    <row r="84743" spans="10:10" x14ac:dyDescent="0.3">
      <c r="J84743"/>
    </row>
    <row r="84744" spans="10:10" x14ac:dyDescent="0.3">
      <c r="J84744"/>
    </row>
    <row r="84745" spans="10:10" x14ac:dyDescent="0.3">
      <c r="J84745"/>
    </row>
    <row r="84746" spans="10:10" x14ac:dyDescent="0.3">
      <c r="J84746"/>
    </row>
    <row r="84747" spans="10:10" x14ac:dyDescent="0.3">
      <c r="J84747"/>
    </row>
    <row r="84748" spans="10:10" x14ac:dyDescent="0.3">
      <c r="J84748"/>
    </row>
    <row r="84749" spans="10:10" x14ac:dyDescent="0.3">
      <c r="J84749"/>
    </row>
    <row r="84750" spans="10:10" x14ac:dyDescent="0.3">
      <c r="J84750"/>
    </row>
    <row r="84751" spans="10:10" x14ac:dyDescent="0.3">
      <c r="J84751"/>
    </row>
    <row r="84752" spans="10:10" x14ac:dyDescent="0.3">
      <c r="J84752"/>
    </row>
    <row r="84753" spans="10:10" x14ac:dyDescent="0.3">
      <c r="J84753"/>
    </row>
    <row r="84754" spans="10:10" x14ac:dyDescent="0.3">
      <c r="J84754"/>
    </row>
    <row r="84755" spans="10:10" x14ac:dyDescent="0.3">
      <c r="J84755"/>
    </row>
    <row r="84756" spans="10:10" x14ac:dyDescent="0.3">
      <c r="J84756"/>
    </row>
    <row r="84757" spans="10:10" x14ac:dyDescent="0.3">
      <c r="J84757"/>
    </row>
    <row r="84758" spans="10:10" x14ac:dyDescent="0.3">
      <c r="J84758"/>
    </row>
    <row r="84759" spans="10:10" x14ac:dyDescent="0.3">
      <c r="J84759"/>
    </row>
    <row r="84760" spans="10:10" x14ac:dyDescent="0.3">
      <c r="J84760"/>
    </row>
    <row r="84761" spans="10:10" x14ac:dyDescent="0.3">
      <c r="J84761"/>
    </row>
    <row r="84762" spans="10:10" x14ac:dyDescent="0.3">
      <c r="J84762"/>
    </row>
    <row r="84763" spans="10:10" x14ac:dyDescent="0.3">
      <c r="J84763"/>
    </row>
    <row r="84764" spans="10:10" x14ac:dyDescent="0.3">
      <c r="J84764"/>
    </row>
    <row r="84765" spans="10:10" x14ac:dyDescent="0.3">
      <c r="J84765"/>
    </row>
    <row r="84766" spans="10:10" x14ac:dyDescent="0.3">
      <c r="J84766"/>
    </row>
    <row r="84767" spans="10:10" x14ac:dyDescent="0.3">
      <c r="J84767"/>
    </row>
    <row r="84768" spans="10:10" x14ac:dyDescent="0.3">
      <c r="J84768"/>
    </row>
    <row r="84769" spans="10:10" x14ac:dyDescent="0.3">
      <c r="J84769"/>
    </row>
    <row r="84770" spans="10:10" x14ac:dyDescent="0.3">
      <c r="J84770"/>
    </row>
    <row r="84771" spans="10:10" x14ac:dyDescent="0.3">
      <c r="J84771"/>
    </row>
    <row r="84772" spans="10:10" x14ac:dyDescent="0.3">
      <c r="J84772"/>
    </row>
    <row r="84773" spans="10:10" x14ac:dyDescent="0.3">
      <c r="J84773"/>
    </row>
    <row r="84774" spans="10:10" x14ac:dyDescent="0.3">
      <c r="J84774"/>
    </row>
    <row r="84775" spans="10:10" x14ac:dyDescent="0.3">
      <c r="J84775"/>
    </row>
    <row r="84776" spans="10:10" x14ac:dyDescent="0.3">
      <c r="J84776"/>
    </row>
    <row r="84777" spans="10:10" x14ac:dyDescent="0.3">
      <c r="J84777"/>
    </row>
    <row r="84778" spans="10:10" x14ac:dyDescent="0.3">
      <c r="J84778"/>
    </row>
    <row r="84779" spans="10:10" x14ac:dyDescent="0.3">
      <c r="J84779"/>
    </row>
    <row r="84780" spans="10:10" x14ac:dyDescent="0.3">
      <c r="J84780"/>
    </row>
    <row r="84781" spans="10:10" x14ac:dyDescent="0.3">
      <c r="J84781"/>
    </row>
    <row r="84782" spans="10:10" x14ac:dyDescent="0.3">
      <c r="J84782"/>
    </row>
    <row r="84783" spans="10:10" x14ac:dyDescent="0.3">
      <c r="J84783"/>
    </row>
    <row r="84784" spans="10:10" x14ac:dyDescent="0.3">
      <c r="J84784"/>
    </row>
    <row r="84785" spans="10:10" x14ac:dyDescent="0.3">
      <c r="J84785"/>
    </row>
    <row r="84786" spans="10:10" x14ac:dyDescent="0.3">
      <c r="J84786"/>
    </row>
    <row r="84787" spans="10:10" x14ac:dyDescent="0.3">
      <c r="J84787"/>
    </row>
    <row r="84788" spans="10:10" x14ac:dyDescent="0.3">
      <c r="J84788"/>
    </row>
    <row r="84789" spans="10:10" x14ac:dyDescent="0.3">
      <c r="J84789"/>
    </row>
    <row r="84790" spans="10:10" x14ac:dyDescent="0.3">
      <c r="J84790"/>
    </row>
    <row r="84791" spans="10:10" x14ac:dyDescent="0.3">
      <c r="J84791"/>
    </row>
    <row r="84792" spans="10:10" x14ac:dyDescent="0.3">
      <c r="J84792"/>
    </row>
    <row r="84793" spans="10:10" x14ac:dyDescent="0.3">
      <c r="J84793"/>
    </row>
    <row r="84794" spans="10:10" x14ac:dyDescent="0.3">
      <c r="J84794"/>
    </row>
    <row r="84795" spans="10:10" x14ac:dyDescent="0.3">
      <c r="J84795"/>
    </row>
    <row r="84796" spans="10:10" x14ac:dyDescent="0.3">
      <c r="J84796"/>
    </row>
    <row r="84797" spans="10:10" x14ac:dyDescent="0.3">
      <c r="J84797"/>
    </row>
    <row r="84798" spans="10:10" x14ac:dyDescent="0.3">
      <c r="J84798"/>
    </row>
    <row r="84799" spans="10:10" x14ac:dyDescent="0.3">
      <c r="J84799"/>
    </row>
    <row r="84800" spans="10:10" x14ac:dyDescent="0.3">
      <c r="J84800"/>
    </row>
    <row r="84801" spans="10:10" x14ac:dyDescent="0.3">
      <c r="J84801"/>
    </row>
    <row r="84802" spans="10:10" x14ac:dyDescent="0.3">
      <c r="J84802"/>
    </row>
    <row r="84803" spans="10:10" x14ac:dyDescent="0.3">
      <c r="J84803"/>
    </row>
    <row r="84804" spans="10:10" x14ac:dyDescent="0.3">
      <c r="J84804"/>
    </row>
    <row r="84805" spans="10:10" x14ac:dyDescent="0.3">
      <c r="J84805"/>
    </row>
    <row r="84806" spans="10:10" x14ac:dyDescent="0.3">
      <c r="J84806"/>
    </row>
    <row r="84807" spans="10:10" x14ac:dyDescent="0.3">
      <c r="J84807"/>
    </row>
    <row r="84808" spans="10:10" x14ac:dyDescent="0.3">
      <c r="J84808"/>
    </row>
    <row r="84809" spans="10:10" x14ac:dyDescent="0.3">
      <c r="J84809"/>
    </row>
    <row r="84810" spans="10:10" x14ac:dyDescent="0.3">
      <c r="J84810"/>
    </row>
    <row r="84811" spans="10:10" x14ac:dyDescent="0.3">
      <c r="J84811"/>
    </row>
    <row r="84812" spans="10:10" x14ac:dyDescent="0.3">
      <c r="J84812"/>
    </row>
    <row r="84813" spans="10:10" x14ac:dyDescent="0.3">
      <c r="J84813"/>
    </row>
    <row r="84814" spans="10:10" x14ac:dyDescent="0.3">
      <c r="J84814"/>
    </row>
    <row r="84815" spans="10:10" x14ac:dyDescent="0.3">
      <c r="J84815"/>
    </row>
    <row r="84816" spans="10:10" x14ac:dyDescent="0.3">
      <c r="J84816"/>
    </row>
    <row r="84817" spans="10:10" x14ac:dyDescent="0.3">
      <c r="J84817"/>
    </row>
    <row r="84818" spans="10:10" x14ac:dyDescent="0.3">
      <c r="J84818"/>
    </row>
    <row r="84819" spans="10:10" x14ac:dyDescent="0.3">
      <c r="J84819"/>
    </row>
    <row r="84820" spans="10:10" x14ac:dyDescent="0.3">
      <c r="J84820"/>
    </row>
    <row r="84821" spans="10:10" x14ac:dyDescent="0.3">
      <c r="J84821"/>
    </row>
    <row r="84822" spans="10:10" x14ac:dyDescent="0.3">
      <c r="J84822"/>
    </row>
    <row r="84823" spans="10:10" x14ac:dyDescent="0.3">
      <c r="J84823"/>
    </row>
    <row r="84824" spans="10:10" x14ac:dyDescent="0.3">
      <c r="J84824"/>
    </row>
    <row r="84825" spans="10:10" x14ac:dyDescent="0.3">
      <c r="J84825"/>
    </row>
    <row r="84826" spans="10:10" x14ac:dyDescent="0.3">
      <c r="J84826"/>
    </row>
    <row r="84827" spans="10:10" x14ac:dyDescent="0.3">
      <c r="J84827"/>
    </row>
    <row r="84828" spans="10:10" x14ac:dyDescent="0.3">
      <c r="J84828"/>
    </row>
    <row r="84829" spans="10:10" x14ac:dyDescent="0.3">
      <c r="J84829"/>
    </row>
    <row r="84830" spans="10:10" x14ac:dyDescent="0.3">
      <c r="J84830"/>
    </row>
    <row r="84831" spans="10:10" x14ac:dyDescent="0.3">
      <c r="J84831"/>
    </row>
    <row r="84832" spans="10:10" x14ac:dyDescent="0.3">
      <c r="J84832"/>
    </row>
    <row r="84833" spans="10:10" x14ac:dyDescent="0.3">
      <c r="J84833"/>
    </row>
    <row r="84834" spans="10:10" x14ac:dyDescent="0.3">
      <c r="J84834"/>
    </row>
    <row r="84835" spans="10:10" x14ac:dyDescent="0.3">
      <c r="J84835"/>
    </row>
    <row r="84836" spans="10:10" x14ac:dyDescent="0.3">
      <c r="J84836"/>
    </row>
    <row r="84837" spans="10:10" x14ac:dyDescent="0.3">
      <c r="J84837"/>
    </row>
    <row r="84838" spans="10:10" x14ac:dyDescent="0.3">
      <c r="J84838"/>
    </row>
    <row r="84839" spans="10:10" x14ac:dyDescent="0.3">
      <c r="J84839"/>
    </row>
    <row r="84840" spans="10:10" x14ac:dyDescent="0.3">
      <c r="J84840"/>
    </row>
    <row r="84841" spans="10:10" x14ac:dyDescent="0.3">
      <c r="J84841"/>
    </row>
    <row r="84842" spans="10:10" x14ac:dyDescent="0.3">
      <c r="J84842"/>
    </row>
    <row r="84843" spans="10:10" x14ac:dyDescent="0.3">
      <c r="J84843"/>
    </row>
    <row r="84844" spans="10:10" x14ac:dyDescent="0.3">
      <c r="J84844"/>
    </row>
    <row r="84845" spans="10:10" x14ac:dyDescent="0.3">
      <c r="J84845"/>
    </row>
    <row r="84846" spans="10:10" x14ac:dyDescent="0.3">
      <c r="J84846"/>
    </row>
    <row r="84847" spans="10:10" x14ac:dyDescent="0.3">
      <c r="J84847"/>
    </row>
    <row r="84848" spans="10:10" x14ac:dyDescent="0.3">
      <c r="J84848"/>
    </row>
    <row r="84849" spans="10:10" x14ac:dyDescent="0.3">
      <c r="J84849"/>
    </row>
    <row r="84850" spans="10:10" x14ac:dyDescent="0.3">
      <c r="J84850"/>
    </row>
    <row r="84851" spans="10:10" x14ac:dyDescent="0.3">
      <c r="J84851"/>
    </row>
    <row r="84852" spans="10:10" x14ac:dyDescent="0.3">
      <c r="J84852"/>
    </row>
    <row r="84853" spans="10:10" x14ac:dyDescent="0.3">
      <c r="J84853"/>
    </row>
    <row r="84854" spans="10:10" x14ac:dyDescent="0.3">
      <c r="J84854"/>
    </row>
    <row r="84855" spans="10:10" x14ac:dyDescent="0.3">
      <c r="J84855"/>
    </row>
    <row r="84856" spans="10:10" x14ac:dyDescent="0.3">
      <c r="J84856"/>
    </row>
    <row r="84857" spans="10:10" x14ac:dyDescent="0.3">
      <c r="J84857"/>
    </row>
    <row r="84858" spans="10:10" x14ac:dyDescent="0.3">
      <c r="J84858"/>
    </row>
    <row r="84859" spans="10:10" x14ac:dyDescent="0.3">
      <c r="J84859"/>
    </row>
    <row r="84860" spans="10:10" x14ac:dyDescent="0.3">
      <c r="J84860"/>
    </row>
    <row r="84861" spans="10:10" x14ac:dyDescent="0.3">
      <c r="J84861"/>
    </row>
    <row r="84862" spans="10:10" x14ac:dyDescent="0.3">
      <c r="J84862"/>
    </row>
    <row r="84863" spans="10:10" x14ac:dyDescent="0.3">
      <c r="J84863"/>
    </row>
    <row r="84864" spans="10:10" x14ac:dyDescent="0.3">
      <c r="J84864"/>
    </row>
    <row r="84865" spans="10:10" x14ac:dyDescent="0.3">
      <c r="J84865"/>
    </row>
    <row r="84866" spans="10:10" x14ac:dyDescent="0.3">
      <c r="J84866"/>
    </row>
    <row r="84867" spans="10:10" x14ac:dyDescent="0.3">
      <c r="J84867"/>
    </row>
    <row r="84868" spans="10:10" x14ac:dyDescent="0.3">
      <c r="J84868"/>
    </row>
    <row r="84869" spans="10:10" x14ac:dyDescent="0.3">
      <c r="J84869"/>
    </row>
    <row r="84870" spans="10:10" x14ac:dyDescent="0.3">
      <c r="J84870"/>
    </row>
    <row r="84871" spans="10:10" x14ac:dyDescent="0.3">
      <c r="J84871"/>
    </row>
    <row r="84872" spans="10:10" x14ac:dyDescent="0.3">
      <c r="J84872"/>
    </row>
    <row r="84873" spans="10:10" x14ac:dyDescent="0.3">
      <c r="J84873"/>
    </row>
    <row r="84874" spans="10:10" x14ac:dyDescent="0.3">
      <c r="J84874"/>
    </row>
    <row r="84875" spans="10:10" x14ac:dyDescent="0.3">
      <c r="J84875"/>
    </row>
    <row r="84876" spans="10:10" x14ac:dyDescent="0.3">
      <c r="J84876"/>
    </row>
    <row r="84877" spans="10:10" x14ac:dyDescent="0.3">
      <c r="J84877"/>
    </row>
    <row r="84878" spans="10:10" x14ac:dyDescent="0.3">
      <c r="J84878"/>
    </row>
    <row r="84879" spans="10:10" x14ac:dyDescent="0.3">
      <c r="J84879"/>
    </row>
    <row r="84880" spans="10:10" x14ac:dyDescent="0.3">
      <c r="J84880"/>
    </row>
    <row r="84881" spans="10:10" x14ac:dyDescent="0.3">
      <c r="J84881"/>
    </row>
    <row r="84882" spans="10:10" x14ac:dyDescent="0.3">
      <c r="J84882"/>
    </row>
    <row r="84883" spans="10:10" x14ac:dyDescent="0.3">
      <c r="J84883"/>
    </row>
    <row r="84884" spans="10:10" x14ac:dyDescent="0.3">
      <c r="J84884"/>
    </row>
    <row r="84885" spans="10:10" x14ac:dyDescent="0.3">
      <c r="J84885"/>
    </row>
    <row r="84886" spans="10:10" x14ac:dyDescent="0.3">
      <c r="J84886"/>
    </row>
    <row r="84887" spans="10:10" x14ac:dyDescent="0.3">
      <c r="J84887"/>
    </row>
    <row r="84888" spans="10:10" x14ac:dyDescent="0.3">
      <c r="J84888"/>
    </row>
    <row r="84889" spans="10:10" x14ac:dyDescent="0.3">
      <c r="J84889"/>
    </row>
    <row r="84890" spans="10:10" x14ac:dyDescent="0.3">
      <c r="J84890"/>
    </row>
    <row r="84891" spans="10:10" x14ac:dyDescent="0.3">
      <c r="J84891"/>
    </row>
    <row r="84892" spans="10:10" x14ac:dyDescent="0.3">
      <c r="J84892"/>
    </row>
    <row r="84893" spans="10:10" x14ac:dyDescent="0.3">
      <c r="J84893"/>
    </row>
    <row r="84894" spans="10:10" x14ac:dyDescent="0.3">
      <c r="J84894"/>
    </row>
    <row r="84895" spans="10:10" x14ac:dyDescent="0.3">
      <c r="J84895"/>
    </row>
    <row r="84896" spans="10:10" x14ac:dyDescent="0.3">
      <c r="J84896"/>
    </row>
    <row r="84897" spans="10:10" x14ac:dyDescent="0.3">
      <c r="J84897"/>
    </row>
    <row r="84898" spans="10:10" x14ac:dyDescent="0.3">
      <c r="J84898"/>
    </row>
    <row r="84899" spans="10:10" x14ac:dyDescent="0.3">
      <c r="J84899"/>
    </row>
    <row r="84900" spans="10:10" x14ac:dyDescent="0.3">
      <c r="J84900"/>
    </row>
    <row r="84901" spans="10:10" x14ac:dyDescent="0.3">
      <c r="J84901"/>
    </row>
    <row r="84902" spans="10:10" x14ac:dyDescent="0.3">
      <c r="J84902"/>
    </row>
    <row r="84903" spans="10:10" x14ac:dyDescent="0.3">
      <c r="J84903"/>
    </row>
    <row r="84904" spans="10:10" x14ac:dyDescent="0.3">
      <c r="J84904"/>
    </row>
    <row r="84905" spans="10:10" x14ac:dyDescent="0.3">
      <c r="J84905"/>
    </row>
    <row r="84906" spans="10:10" x14ac:dyDescent="0.3">
      <c r="J84906"/>
    </row>
    <row r="84907" spans="10:10" x14ac:dyDescent="0.3">
      <c r="J84907"/>
    </row>
    <row r="84908" spans="10:10" x14ac:dyDescent="0.3">
      <c r="J84908"/>
    </row>
    <row r="84909" spans="10:10" x14ac:dyDescent="0.3">
      <c r="J84909"/>
    </row>
    <row r="84910" spans="10:10" x14ac:dyDescent="0.3">
      <c r="J84910"/>
    </row>
    <row r="84911" spans="10:10" x14ac:dyDescent="0.3">
      <c r="J84911"/>
    </row>
    <row r="84912" spans="10:10" x14ac:dyDescent="0.3">
      <c r="J84912"/>
    </row>
    <row r="84913" spans="10:10" x14ac:dyDescent="0.3">
      <c r="J84913"/>
    </row>
    <row r="84914" spans="10:10" x14ac:dyDescent="0.3">
      <c r="J84914"/>
    </row>
    <row r="84915" spans="10:10" x14ac:dyDescent="0.3">
      <c r="J84915"/>
    </row>
    <row r="84916" spans="10:10" x14ac:dyDescent="0.3">
      <c r="J84916"/>
    </row>
    <row r="84917" spans="10:10" x14ac:dyDescent="0.3">
      <c r="J84917"/>
    </row>
    <row r="84918" spans="10:10" x14ac:dyDescent="0.3">
      <c r="J84918"/>
    </row>
    <row r="84919" spans="10:10" x14ac:dyDescent="0.3">
      <c r="J84919"/>
    </row>
    <row r="84920" spans="10:10" x14ac:dyDescent="0.3">
      <c r="J84920"/>
    </row>
    <row r="84921" spans="10:10" x14ac:dyDescent="0.3">
      <c r="J84921"/>
    </row>
    <row r="84922" spans="10:10" x14ac:dyDescent="0.3">
      <c r="J84922"/>
    </row>
    <row r="84923" spans="10:10" x14ac:dyDescent="0.3">
      <c r="J84923"/>
    </row>
    <row r="84924" spans="10:10" x14ac:dyDescent="0.3">
      <c r="J84924"/>
    </row>
    <row r="84925" spans="10:10" x14ac:dyDescent="0.3">
      <c r="J84925"/>
    </row>
    <row r="84926" spans="10:10" x14ac:dyDescent="0.3">
      <c r="J84926"/>
    </row>
    <row r="84927" spans="10:10" x14ac:dyDescent="0.3">
      <c r="J84927"/>
    </row>
    <row r="84928" spans="10:10" x14ac:dyDescent="0.3">
      <c r="J84928"/>
    </row>
    <row r="84929" spans="10:10" x14ac:dyDescent="0.3">
      <c r="J84929"/>
    </row>
    <row r="84930" spans="10:10" x14ac:dyDescent="0.3">
      <c r="J84930"/>
    </row>
    <row r="84931" spans="10:10" x14ac:dyDescent="0.3">
      <c r="J84931"/>
    </row>
    <row r="84932" spans="10:10" x14ac:dyDescent="0.3">
      <c r="J84932"/>
    </row>
    <row r="84933" spans="10:10" x14ac:dyDescent="0.3">
      <c r="J84933"/>
    </row>
    <row r="84934" spans="10:10" x14ac:dyDescent="0.3">
      <c r="J84934"/>
    </row>
    <row r="84935" spans="10:10" x14ac:dyDescent="0.3">
      <c r="J84935"/>
    </row>
    <row r="84936" spans="10:10" x14ac:dyDescent="0.3">
      <c r="J84936"/>
    </row>
    <row r="84937" spans="10:10" x14ac:dyDescent="0.3">
      <c r="J84937"/>
    </row>
    <row r="84938" spans="10:10" x14ac:dyDescent="0.3">
      <c r="J84938"/>
    </row>
    <row r="84939" spans="10:10" x14ac:dyDescent="0.3">
      <c r="J84939"/>
    </row>
    <row r="84940" spans="10:10" x14ac:dyDescent="0.3">
      <c r="J84940"/>
    </row>
    <row r="84941" spans="10:10" x14ac:dyDescent="0.3">
      <c r="J84941"/>
    </row>
    <row r="84942" spans="10:10" x14ac:dyDescent="0.3">
      <c r="J84942"/>
    </row>
    <row r="84943" spans="10:10" x14ac:dyDescent="0.3">
      <c r="J84943"/>
    </row>
    <row r="84944" spans="10:10" x14ac:dyDescent="0.3">
      <c r="J84944"/>
    </row>
    <row r="84945" spans="10:10" x14ac:dyDescent="0.3">
      <c r="J84945"/>
    </row>
    <row r="84946" spans="10:10" x14ac:dyDescent="0.3">
      <c r="J84946"/>
    </row>
    <row r="84947" spans="10:10" x14ac:dyDescent="0.3">
      <c r="J84947"/>
    </row>
    <row r="84948" spans="10:10" x14ac:dyDescent="0.3">
      <c r="J84948"/>
    </row>
    <row r="84949" spans="10:10" x14ac:dyDescent="0.3">
      <c r="J84949"/>
    </row>
    <row r="84950" spans="10:10" x14ac:dyDescent="0.3">
      <c r="J84950"/>
    </row>
    <row r="84951" spans="10:10" x14ac:dyDescent="0.3">
      <c r="J84951"/>
    </row>
    <row r="84952" spans="10:10" x14ac:dyDescent="0.3">
      <c r="J84952"/>
    </row>
    <row r="84953" spans="10:10" x14ac:dyDescent="0.3">
      <c r="J84953"/>
    </row>
    <row r="84954" spans="10:10" x14ac:dyDescent="0.3">
      <c r="J84954"/>
    </row>
    <row r="84955" spans="10:10" x14ac:dyDescent="0.3">
      <c r="J84955"/>
    </row>
    <row r="84956" spans="10:10" x14ac:dyDescent="0.3">
      <c r="J84956"/>
    </row>
    <row r="84957" spans="10:10" x14ac:dyDescent="0.3">
      <c r="J84957"/>
    </row>
    <row r="84958" spans="10:10" x14ac:dyDescent="0.3">
      <c r="J84958"/>
    </row>
    <row r="84959" spans="10:10" x14ac:dyDescent="0.3">
      <c r="J84959"/>
    </row>
    <row r="84960" spans="10:10" x14ac:dyDescent="0.3">
      <c r="J84960"/>
    </row>
    <row r="84961" spans="10:10" x14ac:dyDescent="0.3">
      <c r="J84961"/>
    </row>
    <row r="84962" spans="10:10" x14ac:dyDescent="0.3">
      <c r="J84962"/>
    </row>
    <row r="84963" spans="10:10" x14ac:dyDescent="0.3">
      <c r="J84963"/>
    </row>
    <row r="84964" spans="10:10" x14ac:dyDescent="0.3">
      <c r="J84964"/>
    </row>
    <row r="84965" spans="10:10" x14ac:dyDescent="0.3">
      <c r="J84965"/>
    </row>
    <row r="84966" spans="10:10" x14ac:dyDescent="0.3">
      <c r="J84966"/>
    </row>
    <row r="84967" spans="10:10" x14ac:dyDescent="0.3">
      <c r="J84967"/>
    </row>
    <row r="84968" spans="10:10" x14ac:dyDescent="0.3">
      <c r="J84968"/>
    </row>
    <row r="84969" spans="10:10" x14ac:dyDescent="0.3">
      <c r="J84969"/>
    </row>
    <row r="84970" spans="10:10" x14ac:dyDescent="0.3">
      <c r="J84970"/>
    </row>
    <row r="84971" spans="10:10" x14ac:dyDescent="0.3">
      <c r="J84971"/>
    </row>
    <row r="84972" spans="10:10" x14ac:dyDescent="0.3">
      <c r="J84972"/>
    </row>
    <row r="84973" spans="10:10" x14ac:dyDescent="0.3">
      <c r="J84973"/>
    </row>
    <row r="84974" spans="10:10" x14ac:dyDescent="0.3">
      <c r="J84974"/>
    </row>
    <row r="84975" spans="10:10" x14ac:dyDescent="0.3">
      <c r="J84975"/>
    </row>
    <row r="84976" spans="10:10" x14ac:dyDescent="0.3">
      <c r="J84976"/>
    </row>
    <row r="84977" spans="10:10" x14ac:dyDescent="0.3">
      <c r="J84977"/>
    </row>
    <row r="84978" spans="10:10" x14ac:dyDescent="0.3">
      <c r="J84978"/>
    </row>
    <row r="84979" spans="10:10" x14ac:dyDescent="0.3">
      <c r="J84979"/>
    </row>
    <row r="84980" spans="10:10" x14ac:dyDescent="0.3">
      <c r="J84980"/>
    </row>
    <row r="84981" spans="10:10" x14ac:dyDescent="0.3">
      <c r="J84981"/>
    </row>
    <row r="84982" spans="10:10" x14ac:dyDescent="0.3">
      <c r="J84982"/>
    </row>
    <row r="84983" spans="10:10" x14ac:dyDescent="0.3">
      <c r="J84983"/>
    </row>
    <row r="84984" spans="10:10" x14ac:dyDescent="0.3">
      <c r="J84984"/>
    </row>
    <row r="84985" spans="10:10" x14ac:dyDescent="0.3">
      <c r="J84985"/>
    </row>
    <row r="84986" spans="10:10" x14ac:dyDescent="0.3">
      <c r="J84986"/>
    </row>
    <row r="84987" spans="10:10" x14ac:dyDescent="0.3">
      <c r="J84987"/>
    </row>
    <row r="84988" spans="10:10" x14ac:dyDescent="0.3">
      <c r="J84988"/>
    </row>
    <row r="84989" spans="10:10" x14ac:dyDescent="0.3">
      <c r="J84989"/>
    </row>
    <row r="84990" spans="10:10" x14ac:dyDescent="0.3">
      <c r="J84990"/>
    </row>
    <row r="84991" spans="10:10" x14ac:dyDescent="0.3">
      <c r="J84991"/>
    </row>
    <row r="84992" spans="10:10" x14ac:dyDescent="0.3">
      <c r="J84992"/>
    </row>
    <row r="84993" spans="10:10" x14ac:dyDescent="0.3">
      <c r="J84993"/>
    </row>
    <row r="84994" spans="10:10" x14ac:dyDescent="0.3">
      <c r="J84994"/>
    </row>
    <row r="84995" spans="10:10" x14ac:dyDescent="0.3">
      <c r="J84995"/>
    </row>
    <row r="84996" spans="10:10" x14ac:dyDescent="0.3">
      <c r="J84996"/>
    </row>
    <row r="84997" spans="10:10" x14ac:dyDescent="0.3">
      <c r="J84997"/>
    </row>
    <row r="84998" spans="10:10" x14ac:dyDescent="0.3">
      <c r="J84998"/>
    </row>
    <row r="84999" spans="10:10" x14ac:dyDescent="0.3">
      <c r="J84999"/>
    </row>
    <row r="85000" spans="10:10" x14ac:dyDescent="0.3">
      <c r="J85000"/>
    </row>
    <row r="85001" spans="10:10" x14ac:dyDescent="0.3">
      <c r="J85001"/>
    </row>
    <row r="85002" spans="10:10" x14ac:dyDescent="0.3">
      <c r="J85002"/>
    </row>
    <row r="85003" spans="10:10" x14ac:dyDescent="0.3">
      <c r="J85003"/>
    </row>
    <row r="85004" spans="10:10" x14ac:dyDescent="0.3">
      <c r="J85004"/>
    </row>
    <row r="85005" spans="10:10" x14ac:dyDescent="0.3">
      <c r="J85005"/>
    </row>
    <row r="85006" spans="10:10" x14ac:dyDescent="0.3">
      <c r="J85006"/>
    </row>
    <row r="85007" spans="10:10" x14ac:dyDescent="0.3">
      <c r="J85007"/>
    </row>
    <row r="85008" spans="10:10" x14ac:dyDescent="0.3">
      <c r="J85008"/>
    </row>
    <row r="85009" spans="10:10" x14ac:dyDescent="0.3">
      <c r="J85009"/>
    </row>
    <row r="85010" spans="10:10" x14ac:dyDescent="0.3">
      <c r="J85010"/>
    </row>
    <row r="85011" spans="10:10" x14ac:dyDescent="0.3">
      <c r="J85011"/>
    </row>
    <row r="85012" spans="10:10" x14ac:dyDescent="0.3">
      <c r="J85012"/>
    </row>
    <row r="85013" spans="10:10" x14ac:dyDescent="0.3">
      <c r="J85013"/>
    </row>
    <row r="85014" spans="10:10" x14ac:dyDescent="0.3">
      <c r="J85014"/>
    </row>
    <row r="85015" spans="10:10" x14ac:dyDescent="0.3">
      <c r="J85015"/>
    </row>
    <row r="85016" spans="10:10" x14ac:dyDescent="0.3">
      <c r="J85016"/>
    </row>
    <row r="85017" spans="10:10" x14ac:dyDescent="0.3">
      <c r="J85017"/>
    </row>
    <row r="85018" spans="10:10" x14ac:dyDescent="0.3">
      <c r="J85018"/>
    </row>
    <row r="85019" spans="10:10" x14ac:dyDescent="0.3">
      <c r="J85019"/>
    </row>
    <row r="85020" spans="10:10" x14ac:dyDescent="0.3">
      <c r="J85020"/>
    </row>
    <row r="85021" spans="10:10" x14ac:dyDescent="0.3">
      <c r="J85021"/>
    </row>
    <row r="85022" spans="10:10" x14ac:dyDescent="0.3">
      <c r="J85022"/>
    </row>
    <row r="85023" spans="10:10" x14ac:dyDescent="0.3">
      <c r="J85023"/>
    </row>
    <row r="85024" spans="10:10" x14ac:dyDescent="0.3">
      <c r="J85024"/>
    </row>
    <row r="85025" spans="10:10" x14ac:dyDescent="0.3">
      <c r="J85025"/>
    </row>
    <row r="85026" spans="10:10" x14ac:dyDescent="0.3">
      <c r="J85026"/>
    </row>
    <row r="85027" spans="10:10" x14ac:dyDescent="0.3">
      <c r="J85027"/>
    </row>
    <row r="85028" spans="10:10" x14ac:dyDescent="0.3">
      <c r="J85028"/>
    </row>
    <row r="85029" spans="10:10" x14ac:dyDescent="0.3">
      <c r="J85029"/>
    </row>
    <row r="85030" spans="10:10" x14ac:dyDescent="0.3">
      <c r="J85030"/>
    </row>
    <row r="85031" spans="10:10" x14ac:dyDescent="0.3">
      <c r="J85031"/>
    </row>
    <row r="85032" spans="10:10" x14ac:dyDescent="0.3">
      <c r="J85032"/>
    </row>
    <row r="85033" spans="10:10" x14ac:dyDescent="0.3">
      <c r="J85033"/>
    </row>
    <row r="85034" spans="10:10" x14ac:dyDescent="0.3">
      <c r="J85034"/>
    </row>
    <row r="85035" spans="10:10" x14ac:dyDescent="0.3">
      <c r="J85035"/>
    </row>
    <row r="85036" spans="10:10" x14ac:dyDescent="0.3">
      <c r="J85036"/>
    </row>
    <row r="85037" spans="10:10" x14ac:dyDescent="0.3">
      <c r="J85037"/>
    </row>
    <row r="85038" spans="10:10" x14ac:dyDescent="0.3">
      <c r="J85038"/>
    </row>
    <row r="85039" spans="10:10" x14ac:dyDescent="0.3">
      <c r="J85039"/>
    </row>
    <row r="85040" spans="10:10" x14ac:dyDescent="0.3">
      <c r="J85040"/>
    </row>
    <row r="85041" spans="10:10" x14ac:dyDescent="0.3">
      <c r="J85041"/>
    </row>
    <row r="85042" spans="10:10" x14ac:dyDescent="0.3">
      <c r="J85042"/>
    </row>
    <row r="85043" spans="10:10" x14ac:dyDescent="0.3">
      <c r="J85043"/>
    </row>
    <row r="85044" spans="10:10" x14ac:dyDescent="0.3">
      <c r="J85044"/>
    </row>
    <row r="85045" spans="10:10" x14ac:dyDescent="0.3">
      <c r="J85045"/>
    </row>
    <row r="85046" spans="10:10" x14ac:dyDescent="0.3">
      <c r="J85046"/>
    </row>
    <row r="85047" spans="10:10" x14ac:dyDescent="0.3">
      <c r="J85047"/>
    </row>
    <row r="85048" spans="10:10" x14ac:dyDescent="0.3">
      <c r="J85048"/>
    </row>
    <row r="85049" spans="10:10" x14ac:dyDescent="0.3">
      <c r="J85049"/>
    </row>
    <row r="85050" spans="10:10" x14ac:dyDescent="0.3">
      <c r="J85050"/>
    </row>
    <row r="85051" spans="10:10" x14ac:dyDescent="0.3">
      <c r="J85051"/>
    </row>
    <row r="85052" spans="10:10" x14ac:dyDescent="0.3">
      <c r="J85052"/>
    </row>
    <row r="85053" spans="10:10" x14ac:dyDescent="0.3">
      <c r="J85053"/>
    </row>
    <row r="85054" spans="10:10" x14ac:dyDescent="0.3">
      <c r="J85054"/>
    </row>
    <row r="85055" spans="10:10" x14ac:dyDescent="0.3">
      <c r="J85055"/>
    </row>
    <row r="85056" spans="10:10" x14ac:dyDescent="0.3">
      <c r="J85056"/>
    </row>
    <row r="85057" spans="10:10" x14ac:dyDescent="0.3">
      <c r="J85057"/>
    </row>
    <row r="85058" spans="10:10" x14ac:dyDescent="0.3">
      <c r="J85058"/>
    </row>
    <row r="85059" spans="10:10" x14ac:dyDescent="0.3">
      <c r="J85059"/>
    </row>
    <row r="85060" spans="10:10" x14ac:dyDescent="0.3">
      <c r="J85060"/>
    </row>
    <row r="85061" spans="10:10" x14ac:dyDescent="0.3">
      <c r="J85061"/>
    </row>
    <row r="85062" spans="10:10" x14ac:dyDescent="0.3">
      <c r="J85062"/>
    </row>
    <row r="85063" spans="10:10" x14ac:dyDescent="0.3">
      <c r="J85063"/>
    </row>
    <row r="85064" spans="10:10" x14ac:dyDescent="0.3">
      <c r="J85064"/>
    </row>
    <row r="85065" spans="10:10" x14ac:dyDescent="0.3">
      <c r="J85065"/>
    </row>
    <row r="85066" spans="10:10" x14ac:dyDescent="0.3">
      <c r="J85066"/>
    </row>
    <row r="85067" spans="10:10" x14ac:dyDescent="0.3">
      <c r="J85067"/>
    </row>
    <row r="85068" spans="10:10" x14ac:dyDescent="0.3">
      <c r="J85068"/>
    </row>
    <row r="85069" spans="10:10" x14ac:dyDescent="0.3">
      <c r="J85069"/>
    </row>
    <row r="85070" spans="10:10" x14ac:dyDescent="0.3">
      <c r="J85070"/>
    </row>
    <row r="85071" spans="10:10" x14ac:dyDescent="0.3">
      <c r="J85071"/>
    </row>
    <row r="85072" spans="10:10" x14ac:dyDescent="0.3">
      <c r="J85072"/>
    </row>
    <row r="85073" spans="10:10" x14ac:dyDescent="0.3">
      <c r="J85073"/>
    </row>
    <row r="85074" spans="10:10" x14ac:dyDescent="0.3">
      <c r="J85074"/>
    </row>
    <row r="85075" spans="10:10" x14ac:dyDescent="0.3">
      <c r="J85075"/>
    </row>
    <row r="85076" spans="10:10" x14ac:dyDescent="0.3">
      <c r="J85076"/>
    </row>
    <row r="85077" spans="10:10" x14ac:dyDescent="0.3">
      <c r="J85077"/>
    </row>
    <row r="85078" spans="10:10" x14ac:dyDescent="0.3">
      <c r="J85078"/>
    </row>
    <row r="85079" spans="10:10" x14ac:dyDescent="0.3">
      <c r="J85079"/>
    </row>
    <row r="85080" spans="10:10" x14ac:dyDescent="0.3">
      <c r="J85080"/>
    </row>
    <row r="85081" spans="10:10" x14ac:dyDescent="0.3">
      <c r="J85081"/>
    </row>
    <row r="85082" spans="10:10" x14ac:dyDescent="0.3">
      <c r="J85082"/>
    </row>
    <row r="85083" spans="10:10" x14ac:dyDescent="0.3">
      <c r="J85083"/>
    </row>
    <row r="85084" spans="10:10" x14ac:dyDescent="0.3">
      <c r="J85084"/>
    </row>
    <row r="85085" spans="10:10" x14ac:dyDescent="0.3">
      <c r="J85085"/>
    </row>
    <row r="85086" spans="10:10" x14ac:dyDescent="0.3">
      <c r="J85086"/>
    </row>
    <row r="85087" spans="10:10" x14ac:dyDescent="0.3">
      <c r="J85087"/>
    </row>
    <row r="85088" spans="10:10" x14ac:dyDescent="0.3">
      <c r="J85088"/>
    </row>
    <row r="85089" spans="10:10" x14ac:dyDescent="0.3">
      <c r="J85089"/>
    </row>
    <row r="85090" spans="10:10" x14ac:dyDescent="0.3">
      <c r="J85090"/>
    </row>
    <row r="85091" spans="10:10" x14ac:dyDescent="0.3">
      <c r="J85091"/>
    </row>
    <row r="85092" spans="10:10" x14ac:dyDescent="0.3">
      <c r="J85092"/>
    </row>
    <row r="85093" spans="10:10" x14ac:dyDescent="0.3">
      <c r="J85093"/>
    </row>
    <row r="85094" spans="10:10" x14ac:dyDescent="0.3">
      <c r="J85094"/>
    </row>
    <row r="85095" spans="10:10" x14ac:dyDescent="0.3">
      <c r="J85095"/>
    </row>
    <row r="85096" spans="10:10" x14ac:dyDescent="0.3">
      <c r="J85096"/>
    </row>
    <row r="85097" spans="10:10" x14ac:dyDescent="0.3">
      <c r="J85097"/>
    </row>
    <row r="85098" spans="10:10" x14ac:dyDescent="0.3">
      <c r="J85098"/>
    </row>
    <row r="85099" spans="10:10" x14ac:dyDescent="0.3">
      <c r="J85099"/>
    </row>
    <row r="85100" spans="10:10" x14ac:dyDescent="0.3">
      <c r="J85100"/>
    </row>
    <row r="85101" spans="10:10" x14ac:dyDescent="0.3">
      <c r="J85101"/>
    </row>
    <row r="85102" spans="10:10" x14ac:dyDescent="0.3">
      <c r="J85102"/>
    </row>
    <row r="85103" spans="10:10" x14ac:dyDescent="0.3">
      <c r="J85103"/>
    </row>
    <row r="85104" spans="10:10" x14ac:dyDescent="0.3">
      <c r="J85104"/>
    </row>
    <row r="85105" spans="10:10" x14ac:dyDescent="0.3">
      <c r="J85105"/>
    </row>
    <row r="85106" spans="10:10" x14ac:dyDescent="0.3">
      <c r="J85106"/>
    </row>
    <row r="85107" spans="10:10" x14ac:dyDescent="0.3">
      <c r="J85107"/>
    </row>
    <row r="85108" spans="10:10" x14ac:dyDescent="0.3">
      <c r="J85108"/>
    </row>
    <row r="85109" spans="10:10" x14ac:dyDescent="0.3">
      <c r="J85109"/>
    </row>
    <row r="85110" spans="10:10" x14ac:dyDescent="0.3">
      <c r="J85110"/>
    </row>
    <row r="85111" spans="10:10" x14ac:dyDescent="0.3">
      <c r="J85111"/>
    </row>
    <row r="85112" spans="10:10" x14ac:dyDescent="0.3">
      <c r="J85112"/>
    </row>
    <row r="85113" spans="10:10" x14ac:dyDescent="0.3">
      <c r="J85113"/>
    </row>
    <row r="85114" spans="10:10" x14ac:dyDescent="0.3">
      <c r="J85114"/>
    </row>
    <row r="85115" spans="10:10" x14ac:dyDescent="0.3">
      <c r="J85115"/>
    </row>
    <row r="85116" spans="10:10" x14ac:dyDescent="0.3">
      <c r="J85116"/>
    </row>
    <row r="85117" spans="10:10" x14ac:dyDescent="0.3">
      <c r="J85117"/>
    </row>
    <row r="85118" spans="10:10" x14ac:dyDescent="0.3">
      <c r="J85118"/>
    </row>
    <row r="85119" spans="10:10" x14ac:dyDescent="0.3">
      <c r="J85119"/>
    </row>
    <row r="85120" spans="10:10" x14ac:dyDescent="0.3">
      <c r="J85120"/>
    </row>
    <row r="85121" spans="10:10" x14ac:dyDescent="0.3">
      <c r="J85121"/>
    </row>
    <row r="85122" spans="10:10" x14ac:dyDescent="0.3">
      <c r="J85122"/>
    </row>
    <row r="85123" spans="10:10" x14ac:dyDescent="0.3">
      <c r="J85123"/>
    </row>
    <row r="85124" spans="10:10" x14ac:dyDescent="0.3">
      <c r="J85124"/>
    </row>
    <row r="85125" spans="10:10" x14ac:dyDescent="0.3">
      <c r="J85125"/>
    </row>
    <row r="85126" spans="10:10" x14ac:dyDescent="0.3">
      <c r="J85126"/>
    </row>
    <row r="85127" spans="10:10" x14ac:dyDescent="0.3">
      <c r="J85127"/>
    </row>
    <row r="85128" spans="10:10" x14ac:dyDescent="0.3">
      <c r="J85128"/>
    </row>
    <row r="85129" spans="10:10" x14ac:dyDescent="0.3">
      <c r="J85129"/>
    </row>
    <row r="85130" spans="10:10" x14ac:dyDescent="0.3">
      <c r="J85130"/>
    </row>
    <row r="85131" spans="10:10" x14ac:dyDescent="0.3">
      <c r="J85131"/>
    </row>
    <row r="85132" spans="10:10" x14ac:dyDescent="0.3">
      <c r="J85132"/>
    </row>
    <row r="85133" spans="10:10" x14ac:dyDescent="0.3">
      <c r="J85133"/>
    </row>
    <row r="85134" spans="10:10" x14ac:dyDescent="0.3">
      <c r="J85134"/>
    </row>
    <row r="85135" spans="10:10" x14ac:dyDescent="0.3">
      <c r="J85135"/>
    </row>
    <row r="85136" spans="10:10" x14ac:dyDescent="0.3">
      <c r="J85136"/>
    </row>
    <row r="85137" spans="10:10" x14ac:dyDescent="0.3">
      <c r="J85137"/>
    </row>
    <row r="85138" spans="10:10" x14ac:dyDescent="0.3">
      <c r="J85138"/>
    </row>
    <row r="85139" spans="10:10" x14ac:dyDescent="0.3">
      <c r="J85139"/>
    </row>
    <row r="85140" spans="10:10" x14ac:dyDescent="0.3">
      <c r="J85140"/>
    </row>
    <row r="85141" spans="10:10" x14ac:dyDescent="0.3">
      <c r="J85141"/>
    </row>
    <row r="85142" spans="10:10" x14ac:dyDescent="0.3">
      <c r="J85142"/>
    </row>
    <row r="85143" spans="10:10" x14ac:dyDescent="0.3">
      <c r="J85143"/>
    </row>
    <row r="85144" spans="10:10" x14ac:dyDescent="0.3">
      <c r="J85144"/>
    </row>
    <row r="85145" spans="10:10" x14ac:dyDescent="0.3">
      <c r="J85145"/>
    </row>
    <row r="85146" spans="10:10" x14ac:dyDescent="0.3">
      <c r="J85146"/>
    </row>
    <row r="85147" spans="10:10" x14ac:dyDescent="0.3">
      <c r="J85147"/>
    </row>
    <row r="85148" spans="10:10" x14ac:dyDescent="0.3">
      <c r="J85148"/>
    </row>
    <row r="85149" spans="10:10" x14ac:dyDescent="0.3">
      <c r="J85149"/>
    </row>
    <row r="85150" spans="10:10" x14ac:dyDescent="0.3">
      <c r="J85150"/>
    </row>
    <row r="85151" spans="10:10" x14ac:dyDescent="0.3">
      <c r="J85151"/>
    </row>
    <row r="85152" spans="10:10" x14ac:dyDescent="0.3">
      <c r="J85152"/>
    </row>
    <row r="85153" spans="10:10" x14ac:dyDescent="0.3">
      <c r="J85153"/>
    </row>
    <row r="85154" spans="10:10" x14ac:dyDescent="0.3">
      <c r="J85154"/>
    </row>
    <row r="85155" spans="10:10" x14ac:dyDescent="0.3">
      <c r="J85155"/>
    </row>
    <row r="85156" spans="10:10" x14ac:dyDescent="0.3">
      <c r="J85156"/>
    </row>
    <row r="85157" spans="10:10" x14ac:dyDescent="0.3">
      <c r="J85157"/>
    </row>
    <row r="85158" spans="10:10" x14ac:dyDescent="0.3">
      <c r="J85158"/>
    </row>
    <row r="85159" spans="10:10" x14ac:dyDescent="0.3">
      <c r="J85159"/>
    </row>
    <row r="85160" spans="10:10" x14ac:dyDescent="0.3">
      <c r="J85160"/>
    </row>
    <row r="85161" spans="10:10" x14ac:dyDescent="0.3">
      <c r="J85161"/>
    </row>
    <row r="85162" spans="10:10" x14ac:dyDescent="0.3">
      <c r="J85162"/>
    </row>
    <row r="85163" spans="10:10" x14ac:dyDescent="0.3">
      <c r="J85163"/>
    </row>
    <row r="85164" spans="10:10" x14ac:dyDescent="0.3">
      <c r="J85164"/>
    </row>
    <row r="85165" spans="10:10" x14ac:dyDescent="0.3">
      <c r="J85165"/>
    </row>
    <row r="85166" spans="10:10" x14ac:dyDescent="0.3">
      <c r="J85166"/>
    </row>
    <row r="85167" spans="10:10" x14ac:dyDescent="0.3">
      <c r="J85167"/>
    </row>
    <row r="85168" spans="10:10" x14ac:dyDescent="0.3">
      <c r="J85168"/>
    </row>
    <row r="85169" spans="10:10" x14ac:dyDescent="0.3">
      <c r="J85169"/>
    </row>
    <row r="85170" spans="10:10" x14ac:dyDescent="0.3">
      <c r="J85170"/>
    </row>
    <row r="85171" spans="10:10" x14ac:dyDescent="0.3">
      <c r="J85171"/>
    </row>
    <row r="85172" spans="10:10" x14ac:dyDescent="0.3">
      <c r="J85172"/>
    </row>
    <row r="85173" spans="10:10" x14ac:dyDescent="0.3">
      <c r="J85173"/>
    </row>
    <row r="85174" spans="10:10" x14ac:dyDescent="0.3">
      <c r="J85174"/>
    </row>
    <row r="85175" spans="10:10" x14ac:dyDescent="0.3">
      <c r="J85175"/>
    </row>
    <row r="85176" spans="10:10" x14ac:dyDescent="0.3">
      <c r="J85176"/>
    </row>
    <row r="85177" spans="10:10" x14ac:dyDescent="0.3">
      <c r="J85177"/>
    </row>
    <row r="85178" spans="10:10" x14ac:dyDescent="0.3">
      <c r="J85178"/>
    </row>
    <row r="85179" spans="10:10" x14ac:dyDescent="0.3">
      <c r="J85179"/>
    </row>
    <row r="85180" spans="10:10" x14ac:dyDescent="0.3">
      <c r="J85180"/>
    </row>
    <row r="85181" spans="10:10" x14ac:dyDescent="0.3">
      <c r="J85181"/>
    </row>
    <row r="85182" spans="10:10" x14ac:dyDescent="0.3">
      <c r="J85182"/>
    </row>
    <row r="85183" spans="10:10" x14ac:dyDescent="0.3">
      <c r="J85183"/>
    </row>
    <row r="85184" spans="10:10" x14ac:dyDescent="0.3">
      <c r="J85184"/>
    </row>
    <row r="85185" spans="10:10" x14ac:dyDescent="0.3">
      <c r="J85185"/>
    </row>
    <row r="85186" spans="10:10" x14ac:dyDescent="0.3">
      <c r="J85186"/>
    </row>
    <row r="85187" spans="10:10" x14ac:dyDescent="0.3">
      <c r="J85187"/>
    </row>
    <row r="85188" spans="10:10" x14ac:dyDescent="0.3">
      <c r="J85188"/>
    </row>
    <row r="85189" spans="10:10" x14ac:dyDescent="0.3">
      <c r="J85189"/>
    </row>
    <row r="85190" spans="10:10" x14ac:dyDescent="0.3">
      <c r="J85190"/>
    </row>
    <row r="85191" spans="10:10" x14ac:dyDescent="0.3">
      <c r="J85191"/>
    </row>
    <row r="85192" spans="10:10" x14ac:dyDescent="0.3">
      <c r="J85192"/>
    </row>
    <row r="85193" spans="10:10" x14ac:dyDescent="0.3">
      <c r="J85193"/>
    </row>
    <row r="85194" spans="10:10" x14ac:dyDescent="0.3">
      <c r="J85194"/>
    </row>
    <row r="85195" spans="10:10" x14ac:dyDescent="0.3">
      <c r="J85195"/>
    </row>
    <row r="85196" spans="10:10" x14ac:dyDescent="0.3">
      <c r="J85196"/>
    </row>
    <row r="85197" spans="10:10" x14ac:dyDescent="0.3">
      <c r="J85197"/>
    </row>
    <row r="85198" spans="10:10" x14ac:dyDescent="0.3">
      <c r="J85198"/>
    </row>
    <row r="85199" spans="10:10" x14ac:dyDescent="0.3">
      <c r="J85199"/>
    </row>
    <row r="85200" spans="10:10" x14ac:dyDescent="0.3">
      <c r="J85200"/>
    </row>
    <row r="85201" spans="10:10" x14ac:dyDescent="0.3">
      <c r="J85201"/>
    </row>
    <row r="85202" spans="10:10" x14ac:dyDescent="0.3">
      <c r="J85202"/>
    </row>
    <row r="85203" spans="10:10" x14ac:dyDescent="0.3">
      <c r="J85203"/>
    </row>
    <row r="85204" spans="10:10" x14ac:dyDescent="0.3">
      <c r="J85204"/>
    </row>
    <row r="85205" spans="10:10" x14ac:dyDescent="0.3">
      <c r="J85205"/>
    </row>
    <row r="85206" spans="10:10" x14ac:dyDescent="0.3">
      <c r="J85206"/>
    </row>
    <row r="85207" spans="10:10" x14ac:dyDescent="0.3">
      <c r="J85207"/>
    </row>
    <row r="85208" spans="10:10" x14ac:dyDescent="0.3">
      <c r="J85208"/>
    </row>
    <row r="85209" spans="10:10" x14ac:dyDescent="0.3">
      <c r="J85209"/>
    </row>
    <row r="85210" spans="10:10" x14ac:dyDescent="0.3">
      <c r="J85210"/>
    </row>
    <row r="85211" spans="10:10" x14ac:dyDescent="0.3">
      <c r="J85211"/>
    </row>
    <row r="85212" spans="10:10" x14ac:dyDescent="0.3">
      <c r="J85212"/>
    </row>
    <row r="85213" spans="10:10" x14ac:dyDescent="0.3">
      <c r="J85213"/>
    </row>
    <row r="85214" spans="10:10" x14ac:dyDescent="0.3">
      <c r="J85214"/>
    </row>
    <row r="85215" spans="10:10" x14ac:dyDescent="0.3">
      <c r="J85215"/>
    </row>
    <row r="85216" spans="10:10" x14ac:dyDescent="0.3">
      <c r="J85216"/>
    </row>
    <row r="85217" spans="10:10" x14ac:dyDescent="0.3">
      <c r="J85217"/>
    </row>
    <row r="85218" spans="10:10" x14ac:dyDescent="0.3">
      <c r="J85218"/>
    </row>
    <row r="85219" spans="10:10" x14ac:dyDescent="0.3">
      <c r="J85219"/>
    </row>
    <row r="85220" spans="10:10" x14ac:dyDescent="0.3">
      <c r="J85220"/>
    </row>
    <row r="85221" spans="10:10" x14ac:dyDescent="0.3">
      <c r="J85221"/>
    </row>
    <row r="85222" spans="10:10" x14ac:dyDescent="0.3">
      <c r="J85222"/>
    </row>
    <row r="85223" spans="10:10" x14ac:dyDescent="0.3">
      <c r="J85223"/>
    </row>
    <row r="85224" spans="10:10" x14ac:dyDescent="0.3">
      <c r="J85224"/>
    </row>
    <row r="85225" spans="10:10" x14ac:dyDescent="0.3">
      <c r="J85225"/>
    </row>
    <row r="85226" spans="10:10" x14ac:dyDescent="0.3">
      <c r="J85226"/>
    </row>
    <row r="85227" spans="10:10" x14ac:dyDescent="0.3">
      <c r="J85227"/>
    </row>
    <row r="85228" spans="10:10" x14ac:dyDescent="0.3">
      <c r="J85228"/>
    </row>
    <row r="85229" spans="10:10" x14ac:dyDescent="0.3">
      <c r="J85229"/>
    </row>
    <row r="85230" spans="10:10" x14ac:dyDescent="0.3">
      <c r="J85230"/>
    </row>
    <row r="85231" spans="10:10" x14ac:dyDescent="0.3">
      <c r="J85231"/>
    </row>
    <row r="85232" spans="10:10" x14ac:dyDescent="0.3">
      <c r="J85232"/>
    </row>
    <row r="85233" spans="10:10" x14ac:dyDescent="0.3">
      <c r="J85233"/>
    </row>
    <row r="85234" spans="10:10" x14ac:dyDescent="0.3">
      <c r="J85234"/>
    </row>
    <row r="85235" spans="10:10" x14ac:dyDescent="0.3">
      <c r="J85235"/>
    </row>
    <row r="85236" spans="10:10" x14ac:dyDescent="0.3">
      <c r="J85236"/>
    </row>
    <row r="85237" spans="10:10" x14ac:dyDescent="0.3">
      <c r="J85237"/>
    </row>
    <row r="85238" spans="10:10" x14ac:dyDescent="0.3">
      <c r="J85238"/>
    </row>
    <row r="85239" spans="10:10" x14ac:dyDescent="0.3">
      <c r="J85239"/>
    </row>
    <row r="85240" spans="10:10" x14ac:dyDescent="0.3">
      <c r="J85240"/>
    </row>
    <row r="85241" spans="10:10" x14ac:dyDescent="0.3">
      <c r="J85241"/>
    </row>
    <row r="85242" spans="10:10" x14ac:dyDescent="0.3">
      <c r="J85242"/>
    </row>
    <row r="85243" spans="10:10" x14ac:dyDescent="0.3">
      <c r="J85243"/>
    </row>
    <row r="85244" spans="10:10" x14ac:dyDescent="0.3">
      <c r="J85244"/>
    </row>
    <row r="85245" spans="10:10" x14ac:dyDescent="0.3">
      <c r="J85245"/>
    </row>
    <row r="85246" spans="10:10" x14ac:dyDescent="0.3">
      <c r="J85246"/>
    </row>
    <row r="85247" spans="10:10" x14ac:dyDescent="0.3">
      <c r="J85247"/>
    </row>
    <row r="85248" spans="10:10" x14ac:dyDescent="0.3">
      <c r="J85248"/>
    </row>
    <row r="85249" spans="10:10" x14ac:dyDescent="0.3">
      <c r="J85249"/>
    </row>
    <row r="85250" spans="10:10" x14ac:dyDescent="0.3">
      <c r="J85250"/>
    </row>
    <row r="85251" spans="10:10" x14ac:dyDescent="0.3">
      <c r="J85251"/>
    </row>
    <row r="85252" spans="10:10" x14ac:dyDescent="0.3">
      <c r="J85252"/>
    </row>
    <row r="85253" spans="10:10" x14ac:dyDescent="0.3">
      <c r="J85253"/>
    </row>
    <row r="85254" spans="10:10" x14ac:dyDescent="0.3">
      <c r="J85254"/>
    </row>
    <row r="85255" spans="10:10" x14ac:dyDescent="0.3">
      <c r="J85255"/>
    </row>
    <row r="85256" spans="10:10" x14ac:dyDescent="0.3">
      <c r="J85256"/>
    </row>
    <row r="85257" spans="10:10" x14ac:dyDescent="0.3">
      <c r="J85257"/>
    </row>
    <row r="85258" spans="10:10" x14ac:dyDescent="0.3">
      <c r="J85258"/>
    </row>
    <row r="85259" spans="10:10" x14ac:dyDescent="0.3">
      <c r="J85259"/>
    </row>
    <row r="85260" spans="10:10" x14ac:dyDescent="0.3">
      <c r="J85260"/>
    </row>
    <row r="85261" spans="10:10" x14ac:dyDescent="0.3">
      <c r="J85261"/>
    </row>
    <row r="85262" spans="10:10" x14ac:dyDescent="0.3">
      <c r="J85262"/>
    </row>
    <row r="85263" spans="10:10" x14ac:dyDescent="0.3">
      <c r="J85263"/>
    </row>
    <row r="85264" spans="10:10" x14ac:dyDescent="0.3">
      <c r="J85264"/>
    </row>
    <row r="85265" spans="10:10" x14ac:dyDescent="0.3">
      <c r="J85265"/>
    </row>
    <row r="85266" spans="10:10" x14ac:dyDescent="0.3">
      <c r="J85266"/>
    </row>
    <row r="85267" spans="10:10" x14ac:dyDescent="0.3">
      <c r="J85267"/>
    </row>
    <row r="85268" spans="10:10" x14ac:dyDescent="0.3">
      <c r="J85268"/>
    </row>
    <row r="85269" spans="10:10" x14ac:dyDescent="0.3">
      <c r="J85269"/>
    </row>
    <row r="85270" spans="10:10" x14ac:dyDescent="0.3">
      <c r="J85270"/>
    </row>
    <row r="85271" spans="10:10" x14ac:dyDescent="0.3">
      <c r="J85271"/>
    </row>
    <row r="85272" spans="10:10" x14ac:dyDescent="0.3">
      <c r="J85272"/>
    </row>
    <row r="85273" spans="10:10" x14ac:dyDescent="0.3">
      <c r="J85273"/>
    </row>
    <row r="85274" spans="10:10" x14ac:dyDescent="0.3">
      <c r="J85274"/>
    </row>
    <row r="85275" spans="10:10" x14ac:dyDescent="0.3">
      <c r="J85275"/>
    </row>
    <row r="85276" spans="10:10" x14ac:dyDescent="0.3">
      <c r="J85276"/>
    </row>
    <row r="85277" spans="10:10" x14ac:dyDescent="0.3">
      <c r="J85277"/>
    </row>
    <row r="85278" spans="10:10" x14ac:dyDescent="0.3">
      <c r="J85278"/>
    </row>
    <row r="85279" spans="10:10" x14ac:dyDescent="0.3">
      <c r="J85279"/>
    </row>
    <row r="85280" spans="10:10" x14ac:dyDescent="0.3">
      <c r="J85280"/>
    </row>
    <row r="85281" spans="10:10" x14ac:dyDescent="0.3">
      <c r="J85281"/>
    </row>
    <row r="85282" spans="10:10" x14ac:dyDescent="0.3">
      <c r="J85282"/>
    </row>
    <row r="85283" spans="10:10" x14ac:dyDescent="0.3">
      <c r="J85283"/>
    </row>
    <row r="85284" spans="10:10" x14ac:dyDescent="0.3">
      <c r="J85284"/>
    </row>
    <row r="85285" spans="10:10" x14ac:dyDescent="0.3">
      <c r="J85285"/>
    </row>
    <row r="85286" spans="10:10" x14ac:dyDescent="0.3">
      <c r="J85286"/>
    </row>
    <row r="85287" spans="10:10" x14ac:dyDescent="0.3">
      <c r="J85287"/>
    </row>
    <row r="85288" spans="10:10" x14ac:dyDescent="0.3">
      <c r="J85288"/>
    </row>
    <row r="85289" spans="10:10" x14ac:dyDescent="0.3">
      <c r="J85289"/>
    </row>
    <row r="85290" spans="10:10" x14ac:dyDescent="0.3">
      <c r="J85290"/>
    </row>
    <row r="85291" spans="10:10" x14ac:dyDescent="0.3">
      <c r="J85291"/>
    </row>
    <row r="85292" spans="10:10" x14ac:dyDescent="0.3">
      <c r="J85292"/>
    </row>
    <row r="85293" spans="10:10" x14ac:dyDescent="0.3">
      <c r="J85293"/>
    </row>
    <row r="85294" spans="10:10" x14ac:dyDescent="0.3">
      <c r="J85294"/>
    </row>
    <row r="85295" spans="10:10" x14ac:dyDescent="0.3">
      <c r="J85295"/>
    </row>
    <row r="85296" spans="10:10" x14ac:dyDescent="0.3">
      <c r="J85296"/>
    </row>
    <row r="85297" spans="10:10" x14ac:dyDescent="0.3">
      <c r="J85297"/>
    </row>
    <row r="85298" spans="10:10" x14ac:dyDescent="0.3">
      <c r="J85298"/>
    </row>
    <row r="85299" spans="10:10" x14ac:dyDescent="0.3">
      <c r="J85299"/>
    </row>
    <row r="85300" spans="10:10" x14ac:dyDescent="0.3">
      <c r="J85300"/>
    </row>
    <row r="85301" spans="10:10" x14ac:dyDescent="0.3">
      <c r="J85301"/>
    </row>
    <row r="85302" spans="10:10" x14ac:dyDescent="0.3">
      <c r="J85302"/>
    </row>
    <row r="85303" spans="10:10" x14ac:dyDescent="0.3">
      <c r="J85303"/>
    </row>
    <row r="85304" spans="10:10" x14ac:dyDescent="0.3">
      <c r="J85304"/>
    </row>
    <row r="85305" spans="10:10" x14ac:dyDescent="0.3">
      <c r="J85305"/>
    </row>
    <row r="85306" spans="10:10" x14ac:dyDescent="0.3">
      <c r="J85306"/>
    </row>
    <row r="85307" spans="10:10" x14ac:dyDescent="0.3">
      <c r="J85307"/>
    </row>
    <row r="85308" spans="10:10" x14ac:dyDescent="0.3">
      <c r="J85308"/>
    </row>
    <row r="85309" spans="10:10" x14ac:dyDescent="0.3">
      <c r="J85309"/>
    </row>
    <row r="85310" spans="10:10" x14ac:dyDescent="0.3">
      <c r="J85310"/>
    </row>
    <row r="85311" spans="10:10" x14ac:dyDescent="0.3">
      <c r="J85311"/>
    </row>
    <row r="85312" spans="10:10" x14ac:dyDescent="0.3">
      <c r="J85312"/>
    </row>
    <row r="85313" spans="10:10" x14ac:dyDescent="0.3">
      <c r="J85313"/>
    </row>
    <row r="85314" spans="10:10" x14ac:dyDescent="0.3">
      <c r="J85314"/>
    </row>
    <row r="85315" spans="10:10" x14ac:dyDescent="0.3">
      <c r="J85315"/>
    </row>
    <row r="85316" spans="10:10" x14ac:dyDescent="0.3">
      <c r="J85316"/>
    </row>
    <row r="85317" spans="10:10" x14ac:dyDescent="0.3">
      <c r="J85317"/>
    </row>
    <row r="85318" spans="10:10" x14ac:dyDescent="0.3">
      <c r="J85318"/>
    </row>
    <row r="85319" spans="10:10" x14ac:dyDescent="0.3">
      <c r="J85319"/>
    </row>
    <row r="85320" spans="10:10" x14ac:dyDescent="0.3">
      <c r="J85320"/>
    </row>
    <row r="85321" spans="10:10" x14ac:dyDescent="0.3">
      <c r="J85321"/>
    </row>
    <row r="85322" spans="10:10" x14ac:dyDescent="0.3">
      <c r="J85322"/>
    </row>
    <row r="85323" spans="10:10" x14ac:dyDescent="0.3">
      <c r="J85323"/>
    </row>
    <row r="85324" spans="10:10" x14ac:dyDescent="0.3">
      <c r="J85324"/>
    </row>
    <row r="85325" spans="10:10" x14ac:dyDescent="0.3">
      <c r="J85325"/>
    </row>
    <row r="85326" spans="10:10" x14ac:dyDescent="0.3">
      <c r="J85326"/>
    </row>
    <row r="85327" spans="10:10" x14ac:dyDescent="0.3">
      <c r="J85327"/>
    </row>
    <row r="85328" spans="10:10" x14ac:dyDescent="0.3">
      <c r="J85328"/>
    </row>
    <row r="85329" spans="10:10" x14ac:dyDescent="0.3">
      <c r="J85329"/>
    </row>
    <row r="85330" spans="10:10" x14ac:dyDescent="0.3">
      <c r="J85330"/>
    </row>
    <row r="85331" spans="10:10" x14ac:dyDescent="0.3">
      <c r="J85331"/>
    </row>
    <row r="85332" spans="10:10" x14ac:dyDescent="0.3">
      <c r="J85332"/>
    </row>
    <row r="85333" spans="10:10" x14ac:dyDescent="0.3">
      <c r="J85333"/>
    </row>
    <row r="85334" spans="10:10" x14ac:dyDescent="0.3">
      <c r="J85334"/>
    </row>
    <row r="85335" spans="10:10" x14ac:dyDescent="0.3">
      <c r="J85335"/>
    </row>
    <row r="85336" spans="10:10" x14ac:dyDescent="0.3">
      <c r="J85336"/>
    </row>
    <row r="85337" spans="10:10" x14ac:dyDescent="0.3">
      <c r="J85337"/>
    </row>
    <row r="85338" spans="10:10" x14ac:dyDescent="0.3">
      <c r="J85338"/>
    </row>
    <row r="85339" spans="10:10" x14ac:dyDescent="0.3">
      <c r="J85339"/>
    </row>
    <row r="85340" spans="10:10" x14ac:dyDescent="0.3">
      <c r="J85340"/>
    </row>
    <row r="85341" spans="10:10" x14ac:dyDescent="0.3">
      <c r="J85341"/>
    </row>
    <row r="85342" spans="10:10" x14ac:dyDescent="0.3">
      <c r="J85342"/>
    </row>
    <row r="85343" spans="10:10" x14ac:dyDescent="0.3">
      <c r="J85343"/>
    </row>
    <row r="85344" spans="10:10" x14ac:dyDescent="0.3">
      <c r="J85344"/>
    </row>
    <row r="85345" spans="10:10" x14ac:dyDescent="0.3">
      <c r="J85345"/>
    </row>
    <row r="85346" spans="10:10" x14ac:dyDescent="0.3">
      <c r="J85346"/>
    </row>
    <row r="85347" spans="10:10" x14ac:dyDescent="0.3">
      <c r="J85347"/>
    </row>
    <row r="85348" spans="10:10" x14ac:dyDescent="0.3">
      <c r="J85348"/>
    </row>
    <row r="85349" spans="10:10" x14ac:dyDescent="0.3">
      <c r="J85349"/>
    </row>
    <row r="85350" spans="10:10" x14ac:dyDescent="0.3">
      <c r="J85350"/>
    </row>
    <row r="85351" spans="10:10" x14ac:dyDescent="0.3">
      <c r="J85351"/>
    </row>
    <row r="85352" spans="10:10" x14ac:dyDescent="0.3">
      <c r="J85352"/>
    </row>
    <row r="85353" spans="10:10" x14ac:dyDescent="0.3">
      <c r="J85353"/>
    </row>
    <row r="85354" spans="10:10" x14ac:dyDescent="0.3">
      <c r="J85354"/>
    </row>
    <row r="85355" spans="10:10" x14ac:dyDescent="0.3">
      <c r="J85355"/>
    </row>
    <row r="85356" spans="10:10" x14ac:dyDescent="0.3">
      <c r="J85356"/>
    </row>
    <row r="85357" spans="10:10" x14ac:dyDescent="0.3">
      <c r="J85357"/>
    </row>
    <row r="85358" spans="10:10" x14ac:dyDescent="0.3">
      <c r="J85358"/>
    </row>
    <row r="85359" spans="10:10" x14ac:dyDescent="0.3">
      <c r="J85359"/>
    </row>
    <row r="85360" spans="10:10" x14ac:dyDescent="0.3">
      <c r="J85360"/>
    </row>
    <row r="85361" spans="10:10" x14ac:dyDescent="0.3">
      <c r="J85361"/>
    </row>
    <row r="85362" spans="10:10" x14ac:dyDescent="0.3">
      <c r="J85362"/>
    </row>
    <row r="85363" spans="10:10" x14ac:dyDescent="0.3">
      <c r="J85363"/>
    </row>
    <row r="85364" spans="10:10" x14ac:dyDescent="0.3">
      <c r="J85364"/>
    </row>
    <row r="85365" spans="10:10" x14ac:dyDescent="0.3">
      <c r="J85365"/>
    </row>
    <row r="85366" spans="10:10" x14ac:dyDescent="0.3">
      <c r="J85366"/>
    </row>
    <row r="85367" spans="10:10" x14ac:dyDescent="0.3">
      <c r="J85367"/>
    </row>
    <row r="85368" spans="10:10" x14ac:dyDescent="0.3">
      <c r="J85368"/>
    </row>
    <row r="85369" spans="10:10" x14ac:dyDescent="0.3">
      <c r="J85369"/>
    </row>
    <row r="85370" spans="10:10" x14ac:dyDescent="0.3">
      <c r="J85370"/>
    </row>
    <row r="85371" spans="10:10" x14ac:dyDescent="0.3">
      <c r="J85371"/>
    </row>
    <row r="85372" spans="10:10" x14ac:dyDescent="0.3">
      <c r="J85372"/>
    </row>
    <row r="85373" spans="10:10" x14ac:dyDescent="0.3">
      <c r="J85373"/>
    </row>
    <row r="85374" spans="10:10" x14ac:dyDescent="0.3">
      <c r="J85374"/>
    </row>
    <row r="85375" spans="10:10" x14ac:dyDescent="0.3">
      <c r="J85375"/>
    </row>
    <row r="85376" spans="10:10" x14ac:dyDescent="0.3">
      <c r="J85376"/>
    </row>
    <row r="85377" spans="10:10" x14ac:dyDescent="0.3">
      <c r="J85377"/>
    </row>
    <row r="85378" spans="10:10" x14ac:dyDescent="0.3">
      <c r="J85378"/>
    </row>
    <row r="85379" spans="10:10" x14ac:dyDescent="0.3">
      <c r="J85379"/>
    </row>
    <row r="85380" spans="10:10" x14ac:dyDescent="0.3">
      <c r="J85380"/>
    </row>
    <row r="85381" spans="10:10" x14ac:dyDescent="0.3">
      <c r="J85381"/>
    </row>
    <row r="85382" spans="10:10" x14ac:dyDescent="0.3">
      <c r="J85382"/>
    </row>
    <row r="85383" spans="10:10" x14ac:dyDescent="0.3">
      <c r="J85383"/>
    </row>
    <row r="85384" spans="10:10" x14ac:dyDescent="0.3">
      <c r="J85384"/>
    </row>
    <row r="85385" spans="10:10" x14ac:dyDescent="0.3">
      <c r="J85385"/>
    </row>
    <row r="85386" spans="10:10" x14ac:dyDescent="0.3">
      <c r="J85386"/>
    </row>
    <row r="85387" spans="10:10" x14ac:dyDescent="0.3">
      <c r="J85387"/>
    </row>
    <row r="85388" spans="10:10" x14ac:dyDescent="0.3">
      <c r="J85388"/>
    </row>
    <row r="85389" spans="10:10" x14ac:dyDescent="0.3">
      <c r="J85389"/>
    </row>
    <row r="85390" spans="10:10" x14ac:dyDescent="0.3">
      <c r="J85390"/>
    </row>
    <row r="85391" spans="10:10" x14ac:dyDescent="0.3">
      <c r="J85391"/>
    </row>
    <row r="85392" spans="10:10" x14ac:dyDescent="0.3">
      <c r="J85392"/>
    </row>
    <row r="85393" spans="10:10" x14ac:dyDescent="0.3">
      <c r="J85393"/>
    </row>
    <row r="85394" spans="10:10" x14ac:dyDescent="0.3">
      <c r="J85394"/>
    </row>
    <row r="85395" spans="10:10" x14ac:dyDescent="0.3">
      <c r="J85395"/>
    </row>
    <row r="85396" spans="10:10" x14ac:dyDescent="0.3">
      <c r="J85396"/>
    </row>
    <row r="85397" spans="10:10" x14ac:dyDescent="0.3">
      <c r="J85397"/>
    </row>
    <row r="85398" spans="10:10" x14ac:dyDescent="0.3">
      <c r="J85398"/>
    </row>
    <row r="85399" spans="10:10" x14ac:dyDescent="0.3">
      <c r="J85399"/>
    </row>
    <row r="85400" spans="10:10" x14ac:dyDescent="0.3">
      <c r="J85400"/>
    </row>
    <row r="85401" spans="10:10" x14ac:dyDescent="0.3">
      <c r="J85401"/>
    </row>
    <row r="85402" spans="10:10" x14ac:dyDescent="0.3">
      <c r="J85402"/>
    </row>
    <row r="85403" spans="10:10" x14ac:dyDescent="0.3">
      <c r="J85403"/>
    </row>
    <row r="85404" spans="10:10" x14ac:dyDescent="0.3">
      <c r="J85404"/>
    </row>
    <row r="85405" spans="10:10" x14ac:dyDescent="0.3">
      <c r="J85405"/>
    </row>
    <row r="85406" spans="10:10" x14ac:dyDescent="0.3">
      <c r="J85406"/>
    </row>
    <row r="85407" spans="10:10" x14ac:dyDescent="0.3">
      <c r="J85407"/>
    </row>
    <row r="85408" spans="10:10" x14ac:dyDescent="0.3">
      <c r="J85408"/>
    </row>
    <row r="85409" spans="10:10" x14ac:dyDescent="0.3">
      <c r="J85409"/>
    </row>
    <row r="85410" spans="10:10" x14ac:dyDescent="0.3">
      <c r="J85410"/>
    </row>
    <row r="85411" spans="10:10" x14ac:dyDescent="0.3">
      <c r="J85411"/>
    </row>
    <row r="85412" spans="10:10" x14ac:dyDescent="0.3">
      <c r="J85412"/>
    </row>
    <row r="85413" spans="10:10" x14ac:dyDescent="0.3">
      <c r="J85413"/>
    </row>
    <row r="85414" spans="10:10" x14ac:dyDescent="0.3">
      <c r="J85414"/>
    </row>
    <row r="85415" spans="10:10" x14ac:dyDescent="0.3">
      <c r="J85415"/>
    </row>
    <row r="85416" spans="10:10" x14ac:dyDescent="0.3">
      <c r="J85416"/>
    </row>
    <row r="85417" spans="10:10" x14ac:dyDescent="0.3">
      <c r="J85417"/>
    </row>
    <row r="85418" spans="10:10" x14ac:dyDescent="0.3">
      <c r="J85418"/>
    </row>
    <row r="85419" spans="10:10" x14ac:dyDescent="0.3">
      <c r="J85419"/>
    </row>
    <row r="85420" spans="10:10" x14ac:dyDescent="0.3">
      <c r="J85420"/>
    </row>
    <row r="85421" spans="10:10" x14ac:dyDescent="0.3">
      <c r="J85421"/>
    </row>
    <row r="85422" spans="10:10" x14ac:dyDescent="0.3">
      <c r="J85422"/>
    </row>
    <row r="85423" spans="10:10" x14ac:dyDescent="0.3">
      <c r="J85423"/>
    </row>
    <row r="85424" spans="10:10" x14ac:dyDescent="0.3">
      <c r="J85424"/>
    </row>
    <row r="85425" spans="10:10" x14ac:dyDescent="0.3">
      <c r="J85425"/>
    </row>
    <row r="85426" spans="10:10" x14ac:dyDescent="0.3">
      <c r="J85426"/>
    </row>
    <row r="85427" spans="10:10" x14ac:dyDescent="0.3">
      <c r="J85427"/>
    </row>
    <row r="85428" spans="10:10" x14ac:dyDescent="0.3">
      <c r="J85428"/>
    </row>
    <row r="85429" spans="10:10" x14ac:dyDescent="0.3">
      <c r="J85429"/>
    </row>
    <row r="85430" spans="10:10" x14ac:dyDescent="0.3">
      <c r="J85430"/>
    </row>
    <row r="85431" spans="10:10" x14ac:dyDescent="0.3">
      <c r="J85431"/>
    </row>
    <row r="85432" spans="10:10" x14ac:dyDescent="0.3">
      <c r="J85432"/>
    </row>
    <row r="85433" spans="10:10" x14ac:dyDescent="0.3">
      <c r="J85433"/>
    </row>
    <row r="85434" spans="10:10" x14ac:dyDescent="0.3">
      <c r="J85434"/>
    </row>
    <row r="85435" spans="10:10" x14ac:dyDescent="0.3">
      <c r="J85435"/>
    </row>
    <row r="85436" spans="10:10" x14ac:dyDescent="0.3">
      <c r="J85436"/>
    </row>
    <row r="85437" spans="10:10" x14ac:dyDescent="0.3">
      <c r="J85437"/>
    </row>
    <row r="85438" spans="10:10" x14ac:dyDescent="0.3">
      <c r="J85438"/>
    </row>
    <row r="85439" spans="10:10" x14ac:dyDescent="0.3">
      <c r="J85439"/>
    </row>
    <row r="85440" spans="10:10" x14ac:dyDescent="0.3">
      <c r="J85440"/>
    </row>
    <row r="85441" spans="10:10" x14ac:dyDescent="0.3">
      <c r="J85441"/>
    </row>
    <row r="85442" spans="10:10" x14ac:dyDescent="0.3">
      <c r="J85442"/>
    </row>
    <row r="85443" spans="10:10" x14ac:dyDescent="0.3">
      <c r="J85443"/>
    </row>
    <row r="85444" spans="10:10" x14ac:dyDescent="0.3">
      <c r="J85444"/>
    </row>
    <row r="85445" spans="10:10" x14ac:dyDescent="0.3">
      <c r="J85445"/>
    </row>
    <row r="85446" spans="10:10" x14ac:dyDescent="0.3">
      <c r="J85446"/>
    </row>
    <row r="85447" spans="10:10" x14ac:dyDescent="0.3">
      <c r="J85447"/>
    </row>
    <row r="85448" spans="10:10" x14ac:dyDescent="0.3">
      <c r="J85448"/>
    </row>
    <row r="85449" spans="10:10" x14ac:dyDescent="0.3">
      <c r="J85449"/>
    </row>
    <row r="85450" spans="10:10" x14ac:dyDescent="0.3">
      <c r="J85450"/>
    </row>
    <row r="85451" spans="10:10" x14ac:dyDescent="0.3">
      <c r="J85451"/>
    </row>
    <row r="85452" spans="10:10" x14ac:dyDescent="0.3">
      <c r="J85452"/>
    </row>
    <row r="85453" spans="10:10" x14ac:dyDescent="0.3">
      <c r="J85453"/>
    </row>
    <row r="85454" spans="10:10" x14ac:dyDescent="0.3">
      <c r="J85454"/>
    </row>
    <row r="85455" spans="10:10" x14ac:dyDescent="0.3">
      <c r="J85455"/>
    </row>
    <row r="85456" spans="10:10" x14ac:dyDescent="0.3">
      <c r="J85456"/>
    </row>
    <row r="85457" spans="10:10" x14ac:dyDescent="0.3">
      <c r="J85457"/>
    </row>
    <row r="85458" spans="10:10" x14ac:dyDescent="0.3">
      <c r="J85458"/>
    </row>
    <row r="85459" spans="10:10" x14ac:dyDescent="0.3">
      <c r="J85459"/>
    </row>
    <row r="85460" spans="10:10" x14ac:dyDescent="0.3">
      <c r="J85460"/>
    </row>
    <row r="85461" spans="10:10" x14ac:dyDescent="0.3">
      <c r="J85461"/>
    </row>
    <row r="85462" spans="10:10" x14ac:dyDescent="0.3">
      <c r="J85462"/>
    </row>
    <row r="85463" spans="10:10" x14ac:dyDescent="0.3">
      <c r="J85463"/>
    </row>
    <row r="85464" spans="10:10" x14ac:dyDescent="0.3">
      <c r="J85464"/>
    </row>
    <row r="85465" spans="10:10" x14ac:dyDescent="0.3">
      <c r="J85465"/>
    </row>
    <row r="85466" spans="10:10" x14ac:dyDescent="0.3">
      <c r="J85466"/>
    </row>
    <row r="85467" spans="10:10" x14ac:dyDescent="0.3">
      <c r="J85467"/>
    </row>
    <row r="85468" spans="10:10" x14ac:dyDescent="0.3">
      <c r="J85468"/>
    </row>
    <row r="85469" spans="10:10" x14ac:dyDescent="0.3">
      <c r="J85469"/>
    </row>
    <row r="85470" spans="10:10" x14ac:dyDescent="0.3">
      <c r="J85470"/>
    </row>
    <row r="85471" spans="10:10" x14ac:dyDescent="0.3">
      <c r="J85471"/>
    </row>
    <row r="85472" spans="10:10" x14ac:dyDescent="0.3">
      <c r="J85472"/>
    </row>
    <row r="85473" spans="10:10" x14ac:dyDescent="0.3">
      <c r="J85473"/>
    </row>
    <row r="85474" spans="10:10" x14ac:dyDescent="0.3">
      <c r="J85474"/>
    </row>
    <row r="85475" spans="10:10" x14ac:dyDescent="0.3">
      <c r="J85475"/>
    </row>
    <row r="85476" spans="10:10" x14ac:dyDescent="0.3">
      <c r="J85476"/>
    </row>
    <row r="85477" spans="10:10" x14ac:dyDescent="0.3">
      <c r="J85477"/>
    </row>
    <row r="85478" spans="10:10" x14ac:dyDescent="0.3">
      <c r="J85478"/>
    </row>
    <row r="85479" spans="10:10" x14ac:dyDescent="0.3">
      <c r="J85479"/>
    </row>
    <row r="85480" spans="10:10" x14ac:dyDescent="0.3">
      <c r="J85480"/>
    </row>
    <row r="85481" spans="10:10" x14ac:dyDescent="0.3">
      <c r="J85481"/>
    </row>
    <row r="85482" spans="10:10" x14ac:dyDescent="0.3">
      <c r="J85482"/>
    </row>
    <row r="85483" spans="10:10" x14ac:dyDescent="0.3">
      <c r="J85483"/>
    </row>
    <row r="85484" spans="10:10" x14ac:dyDescent="0.3">
      <c r="J85484"/>
    </row>
    <row r="85485" spans="10:10" x14ac:dyDescent="0.3">
      <c r="J85485"/>
    </row>
    <row r="85486" spans="10:10" x14ac:dyDescent="0.3">
      <c r="J85486"/>
    </row>
    <row r="85487" spans="10:10" x14ac:dyDescent="0.3">
      <c r="J85487"/>
    </row>
    <row r="85488" spans="10:10" x14ac:dyDescent="0.3">
      <c r="J85488"/>
    </row>
    <row r="85489" spans="10:10" x14ac:dyDescent="0.3">
      <c r="J85489"/>
    </row>
    <row r="85490" spans="10:10" x14ac:dyDescent="0.3">
      <c r="J85490"/>
    </row>
    <row r="85491" spans="10:10" x14ac:dyDescent="0.3">
      <c r="J85491"/>
    </row>
    <row r="85492" spans="10:10" x14ac:dyDescent="0.3">
      <c r="J85492"/>
    </row>
    <row r="85493" spans="10:10" x14ac:dyDescent="0.3">
      <c r="J85493"/>
    </row>
    <row r="85494" spans="10:10" x14ac:dyDescent="0.3">
      <c r="J85494"/>
    </row>
    <row r="85495" spans="10:10" x14ac:dyDescent="0.3">
      <c r="J85495"/>
    </row>
    <row r="85496" spans="10:10" x14ac:dyDescent="0.3">
      <c r="J85496"/>
    </row>
    <row r="85497" spans="10:10" x14ac:dyDescent="0.3">
      <c r="J85497"/>
    </row>
    <row r="85498" spans="10:10" x14ac:dyDescent="0.3">
      <c r="J85498"/>
    </row>
    <row r="85499" spans="10:10" x14ac:dyDescent="0.3">
      <c r="J85499"/>
    </row>
    <row r="85500" spans="10:10" x14ac:dyDescent="0.3">
      <c r="J85500"/>
    </row>
    <row r="85501" spans="10:10" x14ac:dyDescent="0.3">
      <c r="J85501"/>
    </row>
    <row r="85502" spans="10:10" x14ac:dyDescent="0.3">
      <c r="J85502"/>
    </row>
    <row r="85503" spans="10:10" x14ac:dyDescent="0.3">
      <c r="J85503"/>
    </row>
    <row r="85504" spans="10:10" x14ac:dyDescent="0.3">
      <c r="J85504"/>
    </row>
    <row r="85505" spans="10:10" x14ac:dyDescent="0.3">
      <c r="J85505"/>
    </row>
    <row r="85506" spans="10:10" x14ac:dyDescent="0.3">
      <c r="J85506"/>
    </row>
    <row r="85507" spans="10:10" x14ac:dyDescent="0.3">
      <c r="J85507"/>
    </row>
    <row r="85508" spans="10:10" x14ac:dyDescent="0.3">
      <c r="J85508"/>
    </row>
    <row r="85509" spans="10:10" x14ac:dyDescent="0.3">
      <c r="J85509"/>
    </row>
    <row r="85510" spans="10:10" x14ac:dyDescent="0.3">
      <c r="J85510"/>
    </row>
    <row r="85511" spans="10:10" x14ac:dyDescent="0.3">
      <c r="J85511"/>
    </row>
    <row r="85512" spans="10:10" x14ac:dyDescent="0.3">
      <c r="J85512"/>
    </row>
    <row r="85513" spans="10:10" x14ac:dyDescent="0.3">
      <c r="J85513"/>
    </row>
    <row r="85514" spans="10:10" x14ac:dyDescent="0.3">
      <c r="J85514"/>
    </row>
    <row r="85515" spans="10:10" x14ac:dyDescent="0.3">
      <c r="J85515"/>
    </row>
    <row r="85516" spans="10:10" x14ac:dyDescent="0.3">
      <c r="J85516"/>
    </row>
    <row r="85517" spans="10:10" x14ac:dyDescent="0.3">
      <c r="J85517"/>
    </row>
    <row r="85518" spans="10:10" x14ac:dyDescent="0.3">
      <c r="J85518"/>
    </row>
    <row r="85519" spans="10:10" x14ac:dyDescent="0.3">
      <c r="J85519"/>
    </row>
    <row r="85520" spans="10:10" x14ac:dyDescent="0.3">
      <c r="J85520"/>
    </row>
    <row r="85521" spans="10:10" x14ac:dyDescent="0.3">
      <c r="J85521"/>
    </row>
    <row r="85522" spans="10:10" x14ac:dyDescent="0.3">
      <c r="J85522"/>
    </row>
    <row r="85523" spans="10:10" x14ac:dyDescent="0.3">
      <c r="J85523"/>
    </row>
    <row r="85524" spans="10:10" x14ac:dyDescent="0.3">
      <c r="J85524"/>
    </row>
    <row r="85525" spans="10:10" x14ac:dyDescent="0.3">
      <c r="J85525"/>
    </row>
    <row r="85526" spans="10:10" x14ac:dyDescent="0.3">
      <c r="J85526"/>
    </row>
    <row r="85527" spans="10:10" x14ac:dyDescent="0.3">
      <c r="J85527"/>
    </row>
    <row r="85528" spans="10:10" x14ac:dyDescent="0.3">
      <c r="J85528"/>
    </row>
    <row r="85529" spans="10:10" x14ac:dyDescent="0.3">
      <c r="J85529"/>
    </row>
    <row r="85530" spans="10:10" x14ac:dyDescent="0.3">
      <c r="J85530"/>
    </row>
    <row r="85531" spans="10:10" x14ac:dyDescent="0.3">
      <c r="J85531"/>
    </row>
    <row r="85532" spans="10:10" x14ac:dyDescent="0.3">
      <c r="J85532"/>
    </row>
    <row r="85533" spans="10:10" x14ac:dyDescent="0.3">
      <c r="J85533"/>
    </row>
    <row r="85534" spans="10:10" x14ac:dyDescent="0.3">
      <c r="J85534"/>
    </row>
    <row r="85535" spans="10:10" x14ac:dyDescent="0.3">
      <c r="J85535"/>
    </row>
    <row r="85536" spans="10:10" x14ac:dyDescent="0.3">
      <c r="J85536"/>
    </row>
    <row r="85537" spans="10:10" x14ac:dyDescent="0.3">
      <c r="J85537"/>
    </row>
    <row r="85538" spans="10:10" x14ac:dyDescent="0.3">
      <c r="J85538"/>
    </row>
    <row r="85539" spans="10:10" x14ac:dyDescent="0.3">
      <c r="J85539"/>
    </row>
    <row r="85540" spans="10:10" x14ac:dyDescent="0.3">
      <c r="J85540"/>
    </row>
    <row r="85541" spans="10:10" x14ac:dyDescent="0.3">
      <c r="J85541"/>
    </row>
    <row r="85542" spans="10:10" x14ac:dyDescent="0.3">
      <c r="J85542"/>
    </row>
    <row r="85543" spans="10:10" x14ac:dyDescent="0.3">
      <c r="J85543"/>
    </row>
    <row r="85544" spans="10:10" x14ac:dyDescent="0.3">
      <c r="J85544"/>
    </row>
    <row r="85545" spans="10:10" x14ac:dyDescent="0.3">
      <c r="J85545"/>
    </row>
    <row r="85546" spans="10:10" x14ac:dyDescent="0.3">
      <c r="J85546"/>
    </row>
    <row r="85547" spans="10:10" x14ac:dyDescent="0.3">
      <c r="J85547"/>
    </row>
    <row r="85548" spans="10:10" x14ac:dyDescent="0.3">
      <c r="J85548"/>
    </row>
    <row r="85549" spans="10:10" x14ac:dyDescent="0.3">
      <c r="J85549"/>
    </row>
    <row r="85550" spans="10:10" x14ac:dyDescent="0.3">
      <c r="J85550"/>
    </row>
    <row r="85551" spans="10:10" x14ac:dyDescent="0.3">
      <c r="J85551"/>
    </row>
    <row r="85552" spans="10:10" x14ac:dyDescent="0.3">
      <c r="J85552"/>
    </row>
    <row r="85553" spans="10:10" x14ac:dyDescent="0.3">
      <c r="J85553"/>
    </row>
    <row r="85554" spans="10:10" x14ac:dyDescent="0.3">
      <c r="J85554"/>
    </row>
    <row r="85555" spans="10:10" x14ac:dyDescent="0.3">
      <c r="J85555"/>
    </row>
    <row r="85556" spans="10:10" x14ac:dyDescent="0.3">
      <c r="J85556"/>
    </row>
    <row r="85557" spans="10:10" x14ac:dyDescent="0.3">
      <c r="J85557"/>
    </row>
    <row r="85558" spans="10:10" x14ac:dyDescent="0.3">
      <c r="J85558"/>
    </row>
    <row r="85559" spans="10:10" x14ac:dyDescent="0.3">
      <c r="J85559"/>
    </row>
    <row r="85560" spans="10:10" x14ac:dyDescent="0.3">
      <c r="J85560"/>
    </row>
    <row r="85561" spans="10:10" x14ac:dyDescent="0.3">
      <c r="J85561"/>
    </row>
    <row r="85562" spans="10:10" x14ac:dyDescent="0.3">
      <c r="J85562"/>
    </row>
    <row r="85563" spans="10:10" x14ac:dyDescent="0.3">
      <c r="J85563"/>
    </row>
    <row r="85564" spans="10:10" x14ac:dyDescent="0.3">
      <c r="J85564"/>
    </row>
    <row r="85565" spans="10:10" x14ac:dyDescent="0.3">
      <c r="J85565"/>
    </row>
    <row r="85566" spans="10:10" x14ac:dyDescent="0.3">
      <c r="J85566"/>
    </row>
    <row r="85567" spans="10:10" x14ac:dyDescent="0.3">
      <c r="J85567"/>
    </row>
    <row r="85568" spans="10:10" x14ac:dyDescent="0.3">
      <c r="J85568"/>
    </row>
    <row r="85569" spans="10:10" x14ac:dyDescent="0.3">
      <c r="J85569"/>
    </row>
    <row r="85570" spans="10:10" x14ac:dyDescent="0.3">
      <c r="J85570"/>
    </row>
    <row r="85571" spans="10:10" x14ac:dyDescent="0.3">
      <c r="J85571"/>
    </row>
    <row r="85572" spans="10:10" x14ac:dyDescent="0.3">
      <c r="J85572"/>
    </row>
    <row r="85573" spans="10:10" x14ac:dyDescent="0.3">
      <c r="J85573"/>
    </row>
    <row r="85574" spans="10:10" x14ac:dyDescent="0.3">
      <c r="J85574"/>
    </row>
    <row r="85575" spans="10:10" x14ac:dyDescent="0.3">
      <c r="J85575"/>
    </row>
    <row r="85576" spans="10:10" x14ac:dyDescent="0.3">
      <c r="J85576"/>
    </row>
    <row r="85577" spans="10:10" x14ac:dyDescent="0.3">
      <c r="J85577"/>
    </row>
    <row r="85578" spans="10:10" x14ac:dyDescent="0.3">
      <c r="J85578"/>
    </row>
    <row r="85579" spans="10:10" x14ac:dyDescent="0.3">
      <c r="J85579"/>
    </row>
    <row r="85580" spans="10:10" x14ac:dyDescent="0.3">
      <c r="J85580"/>
    </row>
    <row r="85581" spans="10:10" x14ac:dyDescent="0.3">
      <c r="J85581"/>
    </row>
    <row r="85582" spans="10:10" x14ac:dyDescent="0.3">
      <c r="J85582"/>
    </row>
    <row r="85583" spans="10:10" x14ac:dyDescent="0.3">
      <c r="J85583"/>
    </row>
    <row r="85584" spans="10:10" x14ac:dyDescent="0.3">
      <c r="J85584"/>
    </row>
    <row r="85585" spans="10:10" x14ac:dyDescent="0.3">
      <c r="J85585"/>
    </row>
    <row r="85586" spans="10:10" x14ac:dyDescent="0.3">
      <c r="J85586"/>
    </row>
    <row r="85587" spans="10:10" x14ac:dyDescent="0.3">
      <c r="J85587"/>
    </row>
    <row r="85588" spans="10:10" x14ac:dyDescent="0.3">
      <c r="J85588"/>
    </row>
    <row r="85589" spans="10:10" x14ac:dyDescent="0.3">
      <c r="J85589"/>
    </row>
    <row r="85590" spans="10:10" x14ac:dyDescent="0.3">
      <c r="J85590"/>
    </row>
    <row r="85591" spans="10:10" x14ac:dyDescent="0.3">
      <c r="J85591"/>
    </row>
    <row r="85592" spans="10:10" x14ac:dyDescent="0.3">
      <c r="J85592"/>
    </row>
    <row r="85593" spans="10:10" x14ac:dyDescent="0.3">
      <c r="J85593"/>
    </row>
    <row r="85594" spans="10:10" x14ac:dyDescent="0.3">
      <c r="J85594"/>
    </row>
    <row r="85595" spans="10:10" x14ac:dyDescent="0.3">
      <c r="J85595"/>
    </row>
    <row r="85596" spans="10:10" x14ac:dyDescent="0.3">
      <c r="J85596"/>
    </row>
    <row r="85597" spans="10:10" x14ac:dyDescent="0.3">
      <c r="J85597"/>
    </row>
    <row r="85598" spans="10:10" x14ac:dyDescent="0.3">
      <c r="J85598"/>
    </row>
    <row r="85599" spans="10:10" x14ac:dyDescent="0.3">
      <c r="J85599"/>
    </row>
    <row r="85600" spans="10:10" x14ac:dyDescent="0.3">
      <c r="J85600"/>
    </row>
    <row r="85601" spans="10:10" x14ac:dyDescent="0.3">
      <c r="J85601"/>
    </row>
    <row r="85602" spans="10:10" x14ac:dyDescent="0.3">
      <c r="J85602"/>
    </row>
    <row r="85603" spans="10:10" x14ac:dyDescent="0.3">
      <c r="J85603"/>
    </row>
    <row r="85604" spans="10:10" x14ac:dyDescent="0.3">
      <c r="J85604"/>
    </row>
    <row r="85605" spans="10:10" x14ac:dyDescent="0.3">
      <c r="J85605"/>
    </row>
    <row r="85606" spans="10:10" x14ac:dyDescent="0.3">
      <c r="J85606"/>
    </row>
    <row r="85607" spans="10:10" x14ac:dyDescent="0.3">
      <c r="J85607"/>
    </row>
    <row r="85608" spans="10:10" x14ac:dyDescent="0.3">
      <c r="J85608"/>
    </row>
    <row r="85609" spans="10:10" x14ac:dyDescent="0.3">
      <c r="J85609"/>
    </row>
    <row r="85610" spans="10:10" x14ac:dyDescent="0.3">
      <c r="J85610"/>
    </row>
    <row r="85611" spans="10:10" x14ac:dyDescent="0.3">
      <c r="J85611"/>
    </row>
    <row r="85612" spans="10:10" x14ac:dyDescent="0.3">
      <c r="J85612"/>
    </row>
    <row r="85613" spans="10:10" x14ac:dyDescent="0.3">
      <c r="J85613"/>
    </row>
    <row r="85614" spans="10:10" x14ac:dyDescent="0.3">
      <c r="J85614"/>
    </row>
    <row r="85615" spans="10:10" x14ac:dyDescent="0.3">
      <c r="J85615"/>
    </row>
    <row r="85616" spans="10:10" x14ac:dyDescent="0.3">
      <c r="J85616"/>
    </row>
    <row r="85617" spans="10:10" x14ac:dyDescent="0.3">
      <c r="J85617"/>
    </row>
    <row r="85618" spans="10:10" x14ac:dyDescent="0.3">
      <c r="J85618"/>
    </row>
    <row r="85619" spans="10:10" x14ac:dyDescent="0.3">
      <c r="J85619"/>
    </row>
    <row r="85620" spans="10:10" x14ac:dyDescent="0.3">
      <c r="J85620"/>
    </row>
    <row r="85621" spans="10:10" x14ac:dyDescent="0.3">
      <c r="J85621"/>
    </row>
    <row r="85622" spans="10:10" x14ac:dyDescent="0.3">
      <c r="J85622"/>
    </row>
    <row r="85623" spans="10:10" x14ac:dyDescent="0.3">
      <c r="J85623"/>
    </row>
    <row r="85624" spans="10:10" x14ac:dyDescent="0.3">
      <c r="J85624"/>
    </row>
    <row r="85625" spans="10:10" x14ac:dyDescent="0.3">
      <c r="J85625"/>
    </row>
    <row r="85626" spans="10:10" x14ac:dyDescent="0.3">
      <c r="J85626"/>
    </row>
    <row r="85627" spans="10:10" x14ac:dyDescent="0.3">
      <c r="J85627"/>
    </row>
    <row r="85628" spans="10:10" x14ac:dyDescent="0.3">
      <c r="J85628"/>
    </row>
    <row r="85629" spans="10:10" x14ac:dyDescent="0.3">
      <c r="J85629"/>
    </row>
    <row r="85630" spans="10:10" x14ac:dyDescent="0.3">
      <c r="J85630"/>
    </row>
    <row r="85631" spans="10:10" x14ac:dyDescent="0.3">
      <c r="J85631"/>
    </row>
    <row r="85632" spans="10:10" x14ac:dyDescent="0.3">
      <c r="J85632"/>
    </row>
    <row r="85633" spans="10:10" x14ac:dyDescent="0.3">
      <c r="J85633"/>
    </row>
    <row r="85634" spans="10:10" x14ac:dyDescent="0.3">
      <c r="J85634"/>
    </row>
    <row r="85635" spans="10:10" x14ac:dyDescent="0.3">
      <c r="J85635"/>
    </row>
    <row r="85636" spans="10:10" x14ac:dyDescent="0.3">
      <c r="J85636"/>
    </row>
    <row r="85637" spans="10:10" x14ac:dyDescent="0.3">
      <c r="J85637"/>
    </row>
    <row r="85638" spans="10:10" x14ac:dyDescent="0.3">
      <c r="J85638"/>
    </row>
    <row r="85639" spans="10:10" x14ac:dyDescent="0.3">
      <c r="J85639"/>
    </row>
    <row r="85640" spans="10:10" x14ac:dyDescent="0.3">
      <c r="J85640"/>
    </row>
    <row r="85641" spans="10:10" x14ac:dyDescent="0.3">
      <c r="J85641"/>
    </row>
    <row r="85642" spans="10:10" x14ac:dyDescent="0.3">
      <c r="J85642"/>
    </row>
    <row r="85643" spans="10:10" x14ac:dyDescent="0.3">
      <c r="J85643"/>
    </row>
    <row r="85644" spans="10:10" x14ac:dyDescent="0.3">
      <c r="J85644"/>
    </row>
    <row r="85645" spans="10:10" x14ac:dyDescent="0.3">
      <c r="J85645"/>
    </row>
    <row r="85646" spans="10:10" x14ac:dyDescent="0.3">
      <c r="J85646"/>
    </row>
    <row r="85647" spans="10:10" x14ac:dyDescent="0.3">
      <c r="J85647"/>
    </row>
    <row r="85648" spans="10:10" x14ac:dyDescent="0.3">
      <c r="J85648"/>
    </row>
    <row r="85649" spans="10:10" x14ac:dyDescent="0.3">
      <c r="J85649"/>
    </row>
    <row r="85650" spans="10:10" x14ac:dyDescent="0.3">
      <c r="J85650"/>
    </row>
    <row r="85651" spans="10:10" x14ac:dyDescent="0.3">
      <c r="J85651"/>
    </row>
    <row r="85652" spans="10:10" x14ac:dyDescent="0.3">
      <c r="J85652"/>
    </row>
    <row r="85653" spans="10:10" x14ac:dyDescent="0.3">
      <c r="J85653"/>
    </row>
    <row r="85654" spans="10:10" x14ac:dyDescent="0.3">
      <c r="J85654"/>
    </row>
    <row r="85655" spans="10:10" x14ac:dyDescent="0.3">
      <c r="J85655"/>
    </row>
    <row r="85656" spans="10:10" x14ac:dyDescent="0.3">
      <c r="J85656"/>
    </row>
    <row r="85657" spans="10:10" x14ac:dyDescent="0.3">
      <c r="J85657"/>
    </row>
    <row r="85658" spans="10:10" x14ac:dyDescent="0.3">
      <c r="J85658"/>
    </row>
    <row r="85659" spans="10:10" x14ac:dyDescent="0.3">
      <c r="J85659"/>
    </row>
    <row r="85660" spans="10:10" x14ac:dyDescent="0.3">
      <c r="J85660"/>
    </row>
    <row r="85661" spans="10:10" x14ac:dyDescent="0.3">
      <c r="J85661"/>
    </row>
    <row r="85662" spans="10:10" x14ac:dyDescent="0.3">
      <c r="J85662"/>
    </row>
    <row r="85663" spans="10:10" x14ac:dyDescent="0.3">
      <c r="J85663"/>
    </row>
    <row r="85664" spans="10:10" x14ac:dyDescent="0.3">
      <c r="J85664"/>
    </row>
    <row r="85665" spans="10:10" x14ac:dyDescent="0.3">
      <c r="J85665"/>
    </row>
    <row r="85666" spans="10:10" x14ac:dyDescent="0.3">
      <c r="J85666"/>
    </row>
    <row r="85667" spans="10:10" x14ac:dyDescent="0.3">
      <c r="J85667"/>
    </row>
    <row r="85668" spans="10:10" x14ac:dyDescent="0.3">
      <c r="J85668"/>
    </row>
    <row r="85669" spans="10:10" x14ac:dyDescent="0.3">
      <c r="J85669"/>
    </row>
    <row r="85670" spans="10:10" x14ac:dyDescent="0.3">
      <c r="J85670"/>
    </row>
    <row r="85671" spans="10:10" x14ac:dyDescent="0.3">
      <c r="J85671"/>
    </row>
    <row r="85672" spans="10:10" x14ac:dyDescent="0.3">
      <c r="J85672"/>
    </row>
    <row r="85673" spans="10:10" x14ac:dyDescent="0.3">
      <c r="J85673"/>
    </row>
    <row r="85674" spans="10:10" x14ac:dyDescent="0.3">
      <c r="J85674"/>
    </row>
    <row r="85675" spans="10:10" x14ac:dyDescent="0.3">
      <c r="J85675"/>
    </row>
    <row r="85676" spans="10:10" x14ac:dyDescent="0.3">
      <c r="J85676"/>
    </row>
    <row r="85677" spans="10:10" x14ac:dyDescent="0.3">
      <c r="J85677"/>
    </row>
    <row r="85678" spans="10:10" x14ac:dyDescent="0.3">
      <c r="J85678"/>
    </row>
    <row r="85679" spans="10:10" x14ac:dyDescent="0.3">
      <c r="J85679"/>
    </row>
    <row r="85680" spans="10:10" x14ac:dyDescent="0.3">
      <c r="J85680"/>
    </row>
    <row r="85681" spans="10:10" x14ac:dyDescent="0.3">
      <c r="J85681"/>
    </row>
    <row r="85682" spans="10:10" x14ac:dyDescent="0.3">
      <c r="J85682"/>
    </row>
    <row r="85683" spans="10:10" x14ac:dyDescent="0.3">
      <c r="J85683"/>
    </row>
    <row r="85684" spans="10:10" x14ac:dyDescent="0.3">
      <c r="J85684"/>
    </row>
    <row r="85685" spans="10:10" x14ac:dyDescent="0.3">
      <c r="J85685"/>
    </row>
    <row r="85686" spans="10:10" x14ac:dyDescent="0.3">
      <c r="J85686"/>
    </row>
    <row r="85687" spans="10:10" x14ac:dyDescent="0.3">
      <c r="J85687"/>
    </row>
    <row r="85688" spans="10:10" x14ac:dyDescent="0.3">
      <c r="J85688"/>
    </row>
    <row r="85689" spans="10:10" x14ac:dyDescent="0.3">
      <c r="J85689"/>
    </row>
    <row r="85690" spans="10:10" x14ac:dyDescent="0.3">
      <c r="J85690"/>
    </row>
    <row r="85691" spans="10:10" x14ac:dyDescent="0.3">
      <c r="J85691"/>
    </row>
    <row r="85692" spans="10:10" x14ac:dyDescent="0.3">
      <c r="J85692"/>
    </row>
    <row r="85693" spans="10:10" x14ac:dyDescent="0.3">
      <c r="J85693"/>
    </row>
    <row r="85694" spans="10:10" x14ac:dyDescent="0.3">
      <c r="J85694"/>
    </row>
    <row r="85695" spans="10:10" x14ac:dyDescent="0.3">
      <c r="J85695"/>
    </row>
    <row r="85696" spans="10:10" x14ac:dyDescent="0.3">
      <c r="J85696"/>
    </row>
    <row r="85697" spans="10:10" x14ac:dyDescent="0.3">
      <c r="J85697"/>
    </row>
    <row r="85698" spans="10:10" x14ac:dyDescent="0.3">
      <c r="J85698"/>
    </row>
    <row r="85699" spans="10:10" x14ac:dyDescent="0.3">
      <c r="J85699"/>
    </row>
    <row r="85700" spans="10:10" x14ac:dyDescent="0.3">
      <c r="J85700"/>
    </row>
    <row r="85701" spans="10:10" x14ac:dyDescent="0.3">
      <c r="J85701"/>
    </row>
    <row r="85702" spans="10:10" x14ac:dyDescent="0.3">
      <c r="J85702"/>
    </row>
    <row r="85703" spans="10:10" x14ac:dyDescent="0.3">
      <c r="J85703"/>
    </row>
    <row r="85704" spans="10:10" x14ac:dyDescent="0.3">
      <c r="J85704"/>
    </row>
    <row r="85705" spans="10:10" x14ac:dyDescent="0.3">
      <c r="J85705"/>
    </row>
    <row r="85706" spans="10:10" x14ac:dyDescent="0.3">
      <c r="J85706"/>
    </row>
    <row r="85707" spans="10:10" x14ac:dyDescent="0.3">
      <c r="J85707"/>
    </row>
    <row r="85708" spans="10:10" x14ac:dyDescent="0.3">
      <c r="J85708"/>
    </row>
    <row r="85709" spans="10:10" x14ac:dyDescent="0.3">
      <c r="J85709"/>
    </row>
    <row r="85710" spans="10:10" x14ac:dyDescent="0.3">
      <c r="J85710"/>
    </row>
    <row r="85711" spans="10:10" x14ac:dyDescent="0.3">
      <c r="J85711"/>
    </row>
    <row r="85712" spans="10:10" x14ac:dyDescent="0.3">
      <c r="J85712"/>
    </row>
    <row r="85713" spans="10:10" x14ac:dyDescent="0.3">
      <c r="J85713"/>
    </row>
    <row r="85714" spans="10:10" x14ac:dyDescent="0.3">
      <c r="J85714"/>
    </row>
    <row r="85715" spans="10:10" x14ac:dyDescent="0.3">
      <c r="J85715"/>
    </row>
    <row r="85716" spans="10:10" x14ac:dyDescent="0.3">
      <c r="J85716"/>
    </row>
    <row r="85717" spans="10:10" x14ac:dyDescent="0.3">
      <c r="J85717"/>
    </row>
    <row r="85718" spans="10:10" x14ac:dyDescent="0.3">
      <c r="J85718"/>
    </row>
    <row r="85719" spans="10:10" x14ac:dyDescent="0.3">
      <c r="J85719"/>
    </row>
    <row r="85720" spans="10:10" x14ac:dyDescent="0.3">
      <c r="J85720"/>
    </row>
    <row r="85721" spans="10:10" x14ac:dyDescent="0.3">
      <c r="J85721"/>
    </row>
    <row r="85722" spans="10:10" x14ac:dyDescent="0.3">
      <c r="J85722"/>
    </row>
    <row r="85723" spans="10:10" x14ac:dyDescent="0.3">
      <c r="J85723"/>
    </row>
    <row r="85724" spans="10:10" x14ac:dyDescent="0.3">
      <c r="J85724"/>
    </row>
    <row r="85725" spans="10:10" x14ac:dyDescent="0.3">
      <c r="J85725"/>
    </row>
    <row r="85726" spans="10:10" x14ac:dyDescent="0.3">
      <c r="J85726"/>
    </row>
    <row r="85727" spans="10:10" x14ac:dyDescent="0.3">
      <c r="J85727"/>
    </row>
    <row r="85728" spans="10:10" x14ac:dyDescent="0.3">
      <c r="J85728"/>
    </row>
    <row r="85729" spans="10:10" x14ac:dyDescent="0.3">
      <c r="J85729"/>
    </row>
    <row r="85730" spans="10:10" x14ac:dyDescent="0.3">
      <c r="J85730"/>
    </row>
    <row r="85731" spans="10:10" x14ac:dyDescent="0.3">
      <c r="J85731"/>
    </row>
    <row r="85732" spans="10:10" x14ac:dyDescent="0.3">
      <c r="J85732"/>
    </row>
    <row r="85733" spans="10:10" x14ac:dyDescent="0.3">
      <c r="J85733"/>
    </row>
    <row r="85734" spans="10:10" x14ac:dyDescent="0.3">
      <c r="J85734"/>
    </row>
    <row r="85735" spans="10:10" x14ac:dyDescent="0.3">
      <c r="J85735"/>
    </row>
    <row r="85736" spans="10:10" x14ac:dyDescent="0.3">
      <c r="J85736"/>
    </row>
    <row r="85737" spans="10:10" x14ac:dyDescent="0.3">
      <c r="J85737"/>
    </row>
    <row r="85738" spans="10:10" x14ac:dyDescent="0.3">
      <c r="J85738"/>
    </row>
    <row r="85739" spans="10:10" x14ac:dyDescent="0.3">
      <c r="J85739"/>
    </row>
    <row r="85740" spans="10:10" x14ac:dyDescent="0.3">
      <c r="J85740"/>
    </row>
    <row r="85741" spans="10:10" x14ac:dyDescent="0.3">
      <c r="J85741"/>
    </row>
    <row r="85742" spans="10:10" x14ac:dyDescent="0.3">
      <c r="J85742"/>
    </row>
    <row r="85743" spans="10:10" x14ac:dyDescent="0.3">
      <c r="J85743"/>
    </row>
    <row r="85744" spans="10:10" x14ac:dyDescent="0.3">
      <c r="J85744"/>
    </row>
    <row r="85745" spans="10:10" x14ac:dyDescent="0.3">
      <c r="J85745"/>
    </row>
    <row r="85746" spans="10:10" x14ac:dyDescent="0.3">
      <c r="J85746"/>
    </row>
    <row r="85747" spans="10:10" x14ac:dyDescent="0.3">
      <c r="J85747"/>
    </row>
    <row r="85748" spans="10:10" x14ac:dyDescent="0.3">
      <c r="J85748"/>
    </row>
    <row r="85749" spans="10:10" x14ac:dyDescent="0.3">
      <c r="J85749"/>
    </row>
    <row r="85750" spans="10:10" x14ac:dyDescent="0.3">
      <c r="J85750"/>
    </row>
    <row r="85751" spans="10:10" x14ac:dyDescent="0.3">
      <c r="J85751"/>
    </row>
    <row r="85752" spans="10:10" x14ac:dyDescent="0.3">
      <c r="J85752"/>
    </row>
    <row r="85753" spans="10:10" x14ac:dyDescent="0.3">
      <c r="J85753"/>
    </row>
    <row r="85754" spans="10:10" x14ac:dyDescent="0.3">
      <c r="J85754"/>
    </row>
    <row r="85755" spans="10:10" x14ac:dyDescent="0.3">
      <c r="J85755"/>
    </row>
    <row r="85756" spans="10:10" x14ac:dyDescent="0.3">
      <c r="J85756"/>
    </row>
    <row r="85757" spans="10:10" x14ac:dyDescent="0.3">
      <c r="J85757"/>
    </row>
    <row r="85758" spans="10:10" x14ac:dyDescent="0.3">
      <c r="J85758"/>
    </row>
    <row r="85759" spans="10:10" x14ac:dyDescent="0.3">
      <c r="J85759"/>
    </row>
    <row r="85760" spans="10:10" x14ac:dyDescent="0.3">
      <c r="J85760"/>
    </row>
    <row r="85761" spans="10:10" x14ac:dyDescent="0.3">
      <c r="J85761"/>
    </row>
    <row r="85762" spans="10:10" x14ac:dyDescent="0.3">
      <c r="J85762"/>
    </row>
    <row r="85763" spans="10:10" x14ac:dyDescent="0.3">
      <c r="J85763"/>
    </row>
    <row r="85764" spans="10:10" x14ac:dyDescent="0.3">
      <c r="J85764"/>
    </row>
    <row r="85765" spans="10:10" x14ac:dyDescent="0.3">
      <c r="J85765"/>
    </row>
    <row r="85766" spans="10:10" x14ac:dyDescent="0.3">
      <c r="J85766"/>
    </row>
    <row r="85767" spans="10:10" x14ac:dyDescent="0.3">
      <c r="J85767"/>
    </row>
    <row r="85768" spans="10:10" x14ac:dyDescent="0.3">
      <c r="J85768"/>
    </row>
    <row r="85769" spans="10:10" x14ac:dyDescent="0.3">
      <c r="J85769"/>
    </row>
    <row r="85770" spans="10:10" x14ac:dyDescent="0.3">
      <c r="J85770"/>
    </row>
    <row r="85771" spans="10:10" x14ac:dyDescent="0.3">
      <c r="J85771"/>
    </row>
    <row r="85772" spans="10:10" x14ac:dyDescent="0.3">
      <c r="J85772"/>
    </row>
    <row r="85773" spans="10:10" x14ac:dyDescent="0.3">
      <c r="J85773"/>
    </row>
    <row r="85774" spans="10:10" x14ac:dyDescent="0.3">
      <c r="J85774"/>
    </row>
    <row r="85775" spans="10:10" x14ac:dyDescent="0.3">
      <c r="J85775"/>
    </row>
    <row r="85776" spans="10:10" x14ac:dyDescent="0.3">
      <c r="J85776"/>
    </row>
    <row r="85777" spans="10:10" x14ac:dyDescent="0.3">
      <c r="J85777"/>
    </row>
    <row r="85778" spans="10:10" x14ac:dyDescent="0.3">
      <c r="J85778"/>
    </row>
    <row r="85779" spans="10:10" x14ac:dyDescent="0.3">
      <c r="J85779"/>
    </row>
    <row r="85780" spans="10:10" x14ac:dyDescent="0.3">
      <c r="J85780"/>
    </row>
    <row r="85781" spans="10:10" x14ac:dyDescent="0.3">
      <c r="J85781"/>
    </row>
    <row r="85782" spans="10:10" x14ac:dyDescent="0.3">
      <c r="J85782"/>
    </row>
    <row r="85783" spans="10:10" x14ac:dyDescent="0.3">
      <c r="J85783"/>
    </row>
    <row r="85784" spans="10:10" x14ac:dyDescent="0.3">
      <c r="J85784"/>
    </row>
    <row r="85785" spans="10:10" x14ac:dyDescent="0.3">
      <c r="J85785"/>
    </row>
    <row r="85786" spans="10:10" x14ac:dyDescent="0.3">
      <c r="J85786"/>
    </row>
    <row r="85787" spans="10:10" x14ac:dyDescent="0.3">
      <c r="J85787"/>
    </row>
    <row r="85788" spans="10:10" x14ac:dyDescent="0.3">
      <c r="J85788"/>
    </row>
    <row r="85789" spans="10:10" x14ac:dyDescent="0.3">
      <c r="J85789"/>
    </row>
    <row r="85790" spans="10:10" x14ac:dyDescent="0.3">
      <c r="J85790"/>
    </row>
    <row r="85791" spans="10:10" x14ac:dyDescent="0.3">
      <c r="J85791"/>
    </row>
    <row r="85792" spans="10:10" x14ac:dyDescent="0.3">
      <c r="J85792"/>
    </row>
    <row r="85793" spans="10:10" x14ac:dyDescent="0.3">
      <c r="J85793"/>
    </row>
    <row r="85794" spans="10:10" x14ac:dyDescent="0.3">
      <c r="J85794"/>
    </row>
    <row r="85795" spans="10:10" x14ac:dyDescent="0.3">
      <c r="J85795"/>
    </row>
    <row r="85796" spans="10:10" x14ac:dyDescent="0.3">
      <c r="J85796"/>
    </row>
    <row r="85797" spans="10:10" x14ac:dyDescent="0.3">
      <c r="J85797"/>
    </row>
    <row r="85798" spans="10:10" x14ac:dyDescent="0.3">
      <c r="J85798"/>
    </row>
    <row r="85799" spans="10:10" x14ac:dyDescent="0.3">
      <c r="J85799"/>
    </row>
    <row r="85800" spans="10:10" x14ac:dyDescent="0.3">
      <c r="J85800"/>
    </row>
    <row r="85801" spans="10:10" x14ac:dyDescent="0.3">
      <c r="J85801"/>
    </row>
    <row r="85802" spans="10:10" x14ac:dyDescent="0.3">
      <c r="J85802"/>
    </row>
    <row r="85803" spans="10:10" x14ac:dyDescent="0.3">
      <c r="J85803"/>
    </row>
    <row r="85804" spans="10:10" x14ac:dyDescent="0.3">
      <c r="J85804"/>
    </row>
    <row r="85805" spans="10:10" x14ac:dyDescent="0.3">
      <c r="J85805"/>
    </row>
    <row r="85806" spans="10:10" x14ac:dyDescent="0.3">
      <c r="J85806"/>
    </row>
    <row r="85807" spans="10:10" x14ac:dyDescent="0.3">
      <c r="J85807"/>
    </row>
    <row r="85808" spans="10:10" x14ac:dyDescent="0.3">
      <c r="J85808"/>
    </row>
    <row r="85809" spans="10:10" x14ac:dyDescent="0.3">
      <c r="J85809"/>
    </row>
    <row r="85810" spans="10:10" x14ac:dyDescent="0.3">
      <c r="J85810"/>
    </row>
    <row r="85811" spans="10:10" x14ac:dyDescent="0.3">
      <c r="J85811"/>
    </row>
    <row r="85812" spans="10:10" x14ac:dyDescent="0.3">
      <c r="J85812"/>
    </row>
    <row r="85813" spans="10:10" x14ac:dyDescent="0.3">
      <c r="J85813"/>
    </row>
    <row r="85814" spans="10:10" x14ac:dyDescent="0.3">
      <c r="J85814"/>
    </row>
    <row r="85815" spans="10:10" x14ac:dyDescent="0.3">
      <c r="J85815"/>
    </row>
    <row r="85816" spans="10:10" x14ac:dyDescent="0.3">
      <c r="J85816"/>
    </row>
    <row r="85817" spans="10:10" x14ac:dyDescent="0.3">
      <c r="J85817"/>
    </row>
    <row r="85818" spans="10:10" x14ac:dyDescent="0.3">
      <c r="J85818"/>
    </row>
    <row r="85819" spans="10:10" x14ac:dyDescent="0.3">
      <c r="J85819"/>
    </row>
    <row r="85820" spans="10:10" x14ac:dyDescent="0.3">
      <c r="J85820"/>
    </row>
    <row r="85821" spans="10:10" x14ac:dyDescent="0.3">
      <c r="J85821"/>
    </row>
    <row r="85822" spans="10:10" x14ac:dyDescent="0.3">
      <c r="J85822"/>
    </row>
    <row r="85823" spans="10:10" x14ac:dyDescent="0.3">
      <c r="J85823"/>
    </row>
    <row r="85824" spans="10:10" x14ac:dyDescent="0.3">
      <c r="J85824"/>
    </row>
    <row r="85825" spans="10:10" x14ac:dyDescent="0.3">
      <c r="J85825"/>
    </row>
    <row r="85826" spans="10:10" x14ac:dyDescent="0.3">
      <c r="J85826"/>
    </row>
    <row r="85827" spans="10:10" x14ac:dyDescent="0.3">
      <c r="J85827"/>
    </row>
    <row r="85828" spans="10:10" x14ac:dyDescent="0.3">
      <c r="J85828"/>
    </row>
    <row r="85829" spans="10:10" x14ac:dyDescent="0.3">
      <c r="J85829"/>
    </row>
    <row r="85830" spans="10:10" x14ac:dyDescent="0.3">
      <c r="J85830"/>
    </row>
    <row r="85831" spans="10:10" x14ac:dyDescent="0.3">
      <c r="J85831"/>
    </row>
    <row r="85832" spans="10:10" x14ac:dyDescent="0.3">
      <c r="J85832"/>
    </row>
    <row r="85833" spans="10:10" x14ac:dyDescent="0.3">
      <c r="J85833"/>
    </row>
    <row r="85834" spans="10:10" x14ac:dyDescent="0.3">
      <c r="J85834"/>
    </row>
    <row r="85835" spans="10:10" x14ac:dyDescent="0.3">
      <c r="J85835"/>
    </row>
    <row r="85836" spans="10:10" x14ac:dyDescent="0.3">
      <c r="J85836"/>
    </row>
    <row r="85837" spans="10:10" x14ac:dyDescent="0.3">
      <c r="J85837"/>
    </row>
    <row r="85838" spans="10:10" x14ac:dyDescent="0.3">
      <c r="J85838"/>
    </row>
    <row r="85839" spans="10:10" x14ac:dyDescent="0.3">
      <c r="J85839"/>
    </row>
    <row r="85840" spans="10:10" x14ac:dyDescent="0.3">
      <c r="J85840"/>
    </row>
    <row r="85841" spans="10:10" x14ac:dyDescent="0.3">
      <c r="J85841"/>
    </row>
    <row r="85842" spans="10:10" x14ac:dyDescent="0.3">
      <c r="J85842"/>
    </row>
    <row r="85843" spans="10:10" x14ac:dyDescent="0.3">
      <c r="J85843"/>
    </row>
    <row r="85844" spans="10:10" x14ac:dyDescent="0.3">
      <c r="J85844"/>
    </row>
    <row r="85845" spans="10:10" x14ac:dyDescent="0.3">
      <c r="J85845"/>
    </row>
    <row r="85846" spans="10:10" x14ac:dyDescent="0.3">
      <c r="J85846"/>
    </row>
    <row r="85847" spans="10:10" x14ac:dyDescent="0.3">
      <c r="J85847"/>
    </row>
    <row r="85848" spans="10:10" x14ac:dyDescent="0.3">
      <c r="J85848"/>
    </row>
    <row r="85849" spans="10:10" x14ac:dyDescent="0.3">
      <c r="J85849"/>
    </row>
    <row r="85850" spans="10:10" x14ac:dyDescent="0.3">
      <c r="J85850"/>
    </row>
    <row r="85851" spans="10:10" x14ac:dyDescent="0.3">
      <c r="J85851"/>
    </row>
    <row r="85852" spans="10:10" x14ac:dyDescent="0.3">
      <c r="J85852"/>
    </row>
    <row r="85853" spans="10:10" x14ac:dyDescent="0.3">
      <c r="J85853"/>
    </row>
    <row r="85854" spans="10:10" x14ac:dyDescent="0.3">
      <c r="J85854"/>
    </row>
    <row r="85855" spans="10:10" x14ac:dyDescent="0.3">
      <c r="J85855"/>
    </row>
    <row r="85856" spans="10:10" x14ac:dyDescent="0.3">
      <c r="J85856"/>
    </row>
    <row r="85857" spans="10:10" x14ac:dyDescent="0.3">
      <c r="J85857"/>
    </row>
    <row r="85858" spans="10:10" x14ac:dyDescent="0.3">
      <c r="J85858"/>
    </row>
    <row r="85859" spans="10:10" x14ac:dyDescent="0.3">
      <c r="J85859"/>
    </row>
    <row r="85860" spans="10:10" x14ac:dyDescent="0.3">
      <c r="J85860"/>
    </row>
    <row r="85861" spans="10:10" x14ac:dyDescent="0.3">
      <c r="J85861"/>
    </row>
    <row r="85862" spans="10:10" x14ac:dyDescent="0.3">
      <c r="J85862"/>
    </row>
    <row r="85863" spans="10:10" x14ac:dyDescent="0.3">
      <c r="J85863"/>
    </row>
    <row r="85864" spans="10:10" x14ac:dyDescent="0.3">
      <c r="J85864"/>
    </row>
    <row r="85865" spans="10:10" x14ac:dyDescent="0.3">
      <c r="J85865"/>
    </row>
    <row r="85866" spans="10:10" x14ac:dyDescent="0.3">
      <c r="J85866"/>
    </row>
    <row r="85867" spans="10:10" x14ac:dyDescent="0.3">
      <c r="J85867"/>
    </row>
    <row r="85868" spans="10:10" x14ac:dyDescent="0.3">
      <c r="J85868"/>
    </row>
    <row r="85869" spans="10:10" x14ac:dyDescent="0.3">
      <c r="J85869"/>
    </row>
    <row r="85870" spans="10:10" x14ac:dyDescent="0.3">
      <c r="J85870"/>
    </row>
    <row r="85871" spans="10:10" x14ac:dyDescent="0.3">
      <c r="J85871"/>
    </row>
    <row r="85872" spans="10:10" x14ac:dyDescent="0.3">
      <c r="J85872"/>
    </row>
    <row r="85873" spans="10:10" x14ac:dyDescent="0.3">
      <c r="J85873"/>
    </row>
    <row r="85874" spans="10:10" x14ac:dyDescent="0.3">
      <c r="J85874"/>
    </row>
    <row r="85875" spans="10:10" x14ac:dyDescent="0.3">
      <c r="J85875"/>
    </row>
    <row r="85876" spans="10:10" x14ac:dyDescent="0.3">
      <c r="J85876"/>
    </row>
    <row r="85877" spans="10:10" x14ac:dyDescent="0.3">
      <c r="J85877"/>
    </row>
    <row r="85878" spans="10:10" x14ac:dyDescent="0.3">
      <c r="J85878"/>
    </row>
    <row r="85879" spans="10:10" x14ac:dyDescent="0.3">
      <c r="J85879"/>
    </row>
    <row r="85880" spans="10:10" x14ac:dyDescent="0.3">
      <c r="J85880"/>
    </row>
    <row r="85881" spans="10:10" x14ac:dyDescent="0.3">
      <c r="J85881"/>
    </row>
    <row r="85882" spans="10:10" x14ac:dyDescent="0.3">
      <c r="J85882"/>
    </row>
    <row r="85883" spans="10:10" x14ac:dyDescent="0.3">
      <c r="J85883"/>
    </row>
    <row r="85884" spans="10:10" x14ac:dyDescent="0.3">
      <c r="J85884"/>
    </row>
    <row r="85885" spans="10:10" x14ac:dyDescent="0.3">
      <c r="J85885"/>
    </row>
    <row r="85886" spans="10:10" x14ac:dyDescent="0.3">
      <c r="J85886"/>
    </row>
    <row r="85887" spans="10:10" x14ac:dyDescent="0.3">
      <c r="J85887"/>
    </row>
    <row r="85888" spans="10:10" x14ac:dyDescent="0.3">
      <c r="J85888"/>
    </row>
    <row r="85889" spans="10:10" x14ac:dyDescent="0.3">
      <c r="J85889"/>
    </row>
    <row r="85890" spans="10:10" x14ac:dyDescent="0.3">
      <c r="J85890"/>
    </row>
    <row r="85891" spans="10:10" x14ac:dyDescent="0.3">
      <c r="J85891"/>
    </row>
    <row r="85892" spans="10:10" x14ac:dyDescent="0.3">
      <c r="J85892"/>
    </row>
    <row r="85893" spans="10:10" x14ac:dyDescent="0.3">
      <c r="J85893"/>
    </row>
    <row r="85894" spans="10:10" x14ac:dyDescent="0.3">
      <c r="J85894"/>
    </row>
    <row r="85895" spans="10:10" x14ac:dyDescent="0.3">
      <c r="J85895"/>
    </row>
    <row r="85896" spans="10:10" x14ac:dyDescent="0.3">
      <c r="J85896"/>
    </row>
    <row r="85897" spans="10:10" x14ac:dyDescent="0.3">
      <c r="J85897"/>
    </row>
    <row r="85898" spans="10:10" x14ac:dyDescent="0.3">
      <c r="J85898"/>
    </row>
    <row r="85899" spans="10:10" x14ac:dyDescent="0.3">
      <c r="J85899"/>
    </row>
    <row r="85900" spans="10:10" x14ac:dyDescent="0.3">
      <c r="J85900"/>
    </row>
    <row r="85901" spans="10:10" x14ac:dyDescent="0.3">
      <c r="J85901"/>
    </row>
    <row r="85902" spans="10:10" x14ac:dyDescent="0.3">
      <c r="J85902"/>
    </row>
    <row r="85903" spans="10:10" x14ac:dyDescent="0.3">
      <c r="J85903"/>
    </row>
    <row r="85904" spans="10:10" x14ac:dyDescent="0.3">
      <c r="J85904"/>
    </row>
    <row r="85905" spans="10:10" x14ac:dyDescent="0.3">
      <c r="J85905"/>
    </row>
    <row r="85906" spans="10:10" x14ac:dyDescent="0.3">
      <c r="J85906"/>
    </row>
    <row r="85907" spans="10:10" x14ac:dyDescent="0.3">
      <c r="J85907"/>
    </row>
    <row r="85908" spans="10:10" x14ac:dyDescent="0.3">
      <c r="J85908"/>
    </row>
    <row r="85909" spans="10:10" x14ac:dyDescent="0.3">
      <c r="J85909"/>
    </row>
    <row r="85910" spans="10:10" x14ac:dyDescent="0.3">
      <c r="J85910"/>
    </row>
    <row r="85911" spans="10:10" x14ac:dyDescent="0.3">
      <c r="J85911"/>
    </row>
    <row r="85912" spans="10:10" x14ac:dyDescent="0.3">
      <c r="J85912"/>
    </row>
    <row r="85913" spans="10:10" x14ac:dyDescent="0.3">
      <c r="J85913"/>
    </row>
    <row r="85914" spans="10:10" x14ac:dyDescent="0.3">
      <c r="J85914"/>
    </row>
    <row r="85915" spans="10:10" x14ac:dyDescent="0.3">
      <c r="J85915"/>
    </row>
    <row r="85916" spans="10:10" x14ac:dyDescent="0.3">
      <c r="J85916"/>
    </row>
    <row r="85917" spans="10:10" x14ac:dyDescent="0.3">
      <c r="J85917"/>
    </row>
    <row r="85918" spans="10:10" x14ac:dyDescent="0.3">
      <c r="J85918"/>
    </row>
    <row r="85919" spans="10:10" x14ac:dyDescent="0.3">
      <c r="J85919"/>
    </row>
    <row r="85920" spans="10:10" x14ac:dyDescent="0.3">
      <c r="J85920"/>
    </row>
    <row r="85921" spans="10:10" x14ac:dyDescent="0.3">
      <c r="J85921"/>
    </row>
    <row r="85922" spans="10:10" x14ac:dyDescent="0.3">
      <c r="J85922"/>
    </row>
    <row r="85923" spans="10:10" x14ac:dyDescent="0.3">
      <c r="J85923"/>
    </row>
    <row r="85924" spans="10:10" x14ac:dyDescent="0.3">
      <c r="J85924"/>
    </row>
    <row r="85925" spans="10:10" x14ac:dyDescent="0.3">
      <c r="J85925"/>
    </row>
    <row r="85926" spans="10:10" x14ac:dyDescent="0.3">
      <c r="J85926"/>
    </row>
    <row r="85927" spans="10:10" x14ac:dyDescent="0.3">
      <c r="J85927"/>
    </row>
    <row r="85928" spans="10:10" x14ac:dyDescent="0.3">
      <c r="J85928"/>
    </row>
    <row r="85929" spans="10:10" x14ac:dyDescent="0.3">
      <c r="J85929"/>
    </row>
    <row r="85930" spans="10:10" x14ac:dyDescent="0.3">
      <c r="J85930"/>
    </row>
    <row r="85931" spans="10:10" x14ac:dyDescent="0.3">
      <c r="J85931"/>
    </row>
    <row r="85932" spans="10:10" x14ac:dyDescent="0.3">
      <c r="J85932"/>
    </row>
    <row r="85933" spans="10:10" x14ac:dyDescent="0.3">
      <c r="J85933"/>
    </row>
    <row r="85934" spans="10:10" x14ac:dyDescent="0.3">
      <c r="J85934"/>
    </row>
    <row r="85935" spans="10:10" x14ac:dyDescent="0.3">
      <c r="J85935"/>
    </row>
    <row r="85936" spans="10:10" x14ac:dyDescent="0.3">
      <c r="J85936"/>
    </row>
    <row r="85937" spans="10:10" x14ac:dyDescent="0.3">
      <c r="J85937"/>
    </row>
    <row r="85938" spans="10:10" x14ac:dyDescent="0.3">
      <c r="J85938"/>
    </row>
    <row r="85939" spans="10:10" x14ac:dyDescent="0.3">
      <c r="J85939"/>
    </row>
    <row r="85940" spans="10:10" x14ac:dyDescent="0.3">
      <c r="J85940"/>
    </row>
    <row r="85941" spans="10:10" x14ac:dyDescent="0.3">
      <c r="J85941"/>
    </row>
    <row r="85942" spans="10:10" x14ac:dyDescent="0.3">
      <c r="J85942"/>
    </row>
    <row r="85943" spans="10:10" x14ac:dyDescent="0.3">
      <c r="J85943"/>
    </row>
    <row r="85944" spans="10:10" x14ac:dyDescent="0.3">
      <c r="J85944"/>
    </row>
    <row r="85945" spans="10:10" x14ac:dyDescent="0.3">
      <c r="J85945"/>
    </row>
    <row r="85946" spans="10:10" x14ac:dyDescent="0.3">
      <c r="J85946"/>
    </row>
    <row r="85947" spans="10:10" x14ac:dyDescent="0.3">
      <c r="J85947"/>
    </row>
    <row r="85948" spans="10:10" x14ac:dyDescent="0.3">
      <c r="J85948"/>
    </row>
    <row r="85949" spans="10:10" x14ac:dyDescent="0.3">
      <c r="J85949"/>
    </row>
    <row r="85950" spans="10:10" x14ac:dyDescent="0.3">
      <c r="J85950"/>
    </row>
    <row r="85951" spans="10:10" x14ac:dyDescent="0.3">
      <c r="J85951"/>
    </row>
    <row r="85952" spans="10:10" x14ac:dyDescent="0.3">
      <c r="J85952"/>
    </row>
    <row r="85953" spans="10:10" x14ac:dyDescent="0.3">
      <c r="J85953"/>
    </row>
    <row r="85954" spans="10:10" x14ac:dyDescent="0.3">
      <c r="J85954"/>
    </row>
    <row r="85955" spans="10:10" x14ac:dyDescent="0.3">
      <c r="J85955"/>
    </row>
    <row r="85956" spans="10:10" x14ac:dyDescent="0.3">
      <c r="J85956"/>
    </row>
    <row r="85957" spans="10:10" x14ac:dyDescent="0.3">
      <c r="J85957"/>
    </row>
    <row r="85958" spans="10:10" x14ac:dyDescent="0.3">
      <c r="J85958"/>
    </row>
    <row r="85959" spans="10:10" x14ac:dyDescent="0.3">
      <c r="J85959"/>
    </row>
    <row r="85960" spans="10:10" x14ac:dyDescent="0.3">
      <c r="J85960"/>
    </row>
    <row r="85961" spans="10:10" x14ac:dyDescent="0.3">
      <c r="J85961"/>
    </row>
    <row r="85962" spans="10:10" x14ac:dyDescent="0.3">
      <c r="J85962"/>
    </row>
    <row r="85963" spans="10:10" x14ac:dyDescent="0.3">
      <c r="J85963"/>
    </row>
    <row r="85964" spans="10:10" x14ac:dyDescent="0.3">
      <c r="J85964"/>
    </row>
    <row r="85965" spans="10:10" x14ac:dyDescent="0.3">
      <c r="J85965"/>
    </row>
    <row r="85966" spans="10:10" x14ac:dyDescent="0.3">
      <c r="J85966"/>
    </row>
    <row r="85967" spans="10:10" x14ac:dyDescent="0.3">
      <c r="J85967"/>
    </row>
    <row r="85968" spans="10:10" x14ac:dyDescent="0.3">
      <c r="J85968"/>
    </row>
    <row r="85969" spans="10:10" x14ac:dyDescent="0.3">
      <c r="J85969"/>
    </row>
    <row r="85970" spans="10:10" x14ac:dyDescent="0.3">
      <c r="J85970"/>
    </row>
    <row r="85971" spans="10:10" x14ac:dyDescent="0.3">
      <c r="J85971"/>
    </row>
    <row r="85972" spans="10:10" x14ac:dyDescent="0.3">
      <c r="J85972"/>
    </row>
    <row r="85973" spans="10:10" x14ac:dyDescent="0.3">
      <c r="J85973"/>
    </row>
    <row r="85974" spans="10:10" x14ac:dyDescent="0.3">
      <c r="J85974"/>
    </row>
    <row r="85975" spans="10:10" x14ac:dyDescent="0.3">
      <c r="J85975"/>
    </row>
    <row r="85976" spans="10:10" x14ac:dyDescent="0.3">
      <c r="J85976"/>
    </row>
    <row r="85977" spans="10:10" x14ac:dyDescent="0.3">
      <c r="J85977"/>
    </row>
    <row r="85978" spans="10:10" x14ac:dyDescent="0.3">
      <c r="J85978"/>
    </row>
    <row r="85979" spans="10:10" x14ac:dyDescent="0.3">
      <c r="J85979"/>
    </row>
    <row r="85980" spans="10:10" x14ac:dyDescent="0.3">
      <c r="J85980"/>
    </row>
    <row r="85981" spans="10:10" x14ac:dyDescent="0.3">
      <c r="J85981"/>
    </row>
    <row r="85982" spans="10:10" x14ac:dyDescent="0.3">
      <c r="J85982"/>
    </row>
    <row r="85983" spans="10:10" x14ac:dyDescent="0.3">
      <c r="J85983"/>
    </row>
    <row r="85984" spans="10:10" x14ac:dyDescent="0.3">
      <c r="J85984"/>
    </row>
    <row r="85985" spans="10:10" x14ac:dyDescent="0.3">
      <c r="J85985"/>
    </row>
    <row r="85986" spans="10:10" x14ac:dyDescent="0.3">
      <c r="J85986"/>
    </row>
    <row r="85987" spans="10:10" x14ac:dyDescent="0.3">
      <c r="J85987"/>
    </row>
    <row r="85988" spans="10:10" x14ac:dyDescent="0.3">
      <c r="J85988"/>
    </row>
    <row r="85989" spans="10:10" x14ac:dyDescent="0.3">
      <c r="J85989"/>
    </row>
    <row r="85990" spans="10:10" x14ac:dyDescent="0.3">
      <c r="J85990"/>
    </row>
    <row r="85991" spans="10:10" x14ac:dyDescent="0.3">
      <c r="J85991"/>
    </row>
    <row r="85992" spans="10:10" x14ac:dyDescent="0.3">
      <c r="J85992"/>
    </row>
    <row r="85993" spans="10:10" x14ac:dyDescent="0.3">
      <c r="J85993"/>
    </row>
    <row r="85994" spans="10:10" x14ac:dyDescent="0.3">
      <c r="J85994"/>
    </row>
    <row r="85995" spans="10:10" x14ac:dyDescent="0.3">
      <c r="J85995"/>
    </row>
    <row r="85996" spans="10:10" x14ac:dyDescent="0.3">
      <c r="J85996"/>
    </row>
    <row r="85997" spans="10:10" x14ac:dyDescent="0.3">
      <c r="J85997"/>
    </row>
    <row r="85998" spans="10:10" x14ac:dyDescent="0.3">
      <c r="J85998"/>
    </row>
    <row r="85999" spans="10:10" x14ac:dyDescent="0.3">
      <c r="J85999"/>
    </row>
    <row r="86000" spans="10:10" x14ac:dyDescent="0.3">
      <c r="J86000"/>
    </row>
    <row r="86001" spans="10:10" x14ac:dyDescent="0.3">
      <c r="J86001"/>
    </row>
    <row r="86002" spans="10:10" x14ac:dyDescent="0.3">
      <c r="J86002"/>
    </row>
    <row r="86003" spans="10:10" x14ac:dyDescent="0.3">
      <c r="J86003"/>
    </row>
    <row r="86004" spans="10:10" x14ac:dyDescent="0.3">
      <c r="J86004"/>
    </row>
    <row r="86005" spans="10:10" x14ac:dyDescent="0.3">
      <c r="J86005"/>
    </row>
    <row r="86006" spans="10:10" x14ac:dyDescent="0.3">
      <c r="J86006"/>
    </row>
    <row r="86007" spans="10:10" x14ac:dyDescent="0.3">
      <c r="J86007"/>
    </row>
    <row r="86008" spans="10:10" x14ac:dyDescent="0.3">
      <c r="J86008"/>
    </row>
    <row r="86009" spans="10:10" x14ac:dyDescent="0.3">
      <c r="J86009"/>
    </row>
    <row r="86010" spans="10:10" x14ac:dyDescent="0.3">
      <c r="J86010"/>
    </row>
    <row r="86011" spans="10:10" x14ac:dyDescent="0.3">
      <c r="J86011"/>
    </row>
    <row r="86012" spans="10:10" x14ac:dyDescent="0.3">
      <c r="J86012"/>
    </row>
    <row r="86013" spans="10:10" x14ac:dyDescent="0.3">
      <c r="J86013"/>
    </row>
    <row r="86014" spans="10:10" x14ac:dyDescent="0.3">
      <c r="J86014"/>
    </row>
    <row r="86015" spans="10:10" x14ac:dyDescent="0.3">
      <c r="J86015"/>
    </row>
    <row r="86016" spans="10:10" x14ac:dyDescent="0.3">
      <c r="J86016"/>
    </row>
    <row r="86017" spans="10:10" x14ac:dyDescent="0.3">
      <c r="J86017"/>
    </row>
    <row r="86018" spans="10:10" x14ac:dyDescent="0.3">
      <c r="J86018"/>
    </row>
    <row r="86019" spans="10:10" x14ac:dyDescent="0.3">
      <c r="J86019"/>
    </row>
    <row r="86020" spans="10:10" x14ac:dyDescent="0.3">
      <c r="J86020"/>
    </row>
    <row r="86021" spans="10:10" x14ac:dyDescent="0.3">
      <c r="J86021"/>
    </row>
    <row r="86022" spans="10:10" x14ac:dyDescent="0.3">
      <c r="J86022"/>
    </row>
    <row r="86023" spans="10:10" x14ac:dyDescent="0.3">
      <c r="J86023"/>
    </row>
    <row r="86024" spans="10:10" x14ac:dyDescent="0.3">
      <c r="J86024"/>
    </row>
    <row r="86025" spans="10:10" x14ac:dyDescent="0.3">
      <c r="J86025"/>
    </row>
    <row r="86026" spans="10:10" x14ac:dyDescent="0.3">
      <c r="J86026"/>
    </row>
    <row r="86027" spans="10:10" x14ac:dyDescent="0.3">
      <c r="J86027"/>
    </row>
    <row r="86028" spans="10:10" x14ac:dyDescent="0.3">
      <c r="J86028"/>
    </row>
    <row r="86029" spans="10:10" x14ac:dyDescent="0.3">
      <c r="J86029"/>
    </row>
    <row r="86030" spans="10:10" x14ac:dyDescent="0.3">
      <c r="J86030"/>
    </row>
    <row r="86031" spans="10:10" x14ac:dyDescent="0.3">
      <c r="J86031"/>
    </row>
    <row r="86032" spans="10:10" x14ac:dyDescent="0.3">
      <c r="J86032"/>
    </row>
    <row r="86033" spans="10:10" x14ac:dyDescent="0.3">
      <c r="J86033"/>
    </row>
    <row r="86034" spans="10:10" x14ac:dyDescent="0.3">
      <c r="J86034"/>
    </row>
    <row r="86035" spans="10:10" x14ac:dyDescent="0.3">
      <c r="J86035"/>
    </row>
    <row r="86036" spans="10:10" x14ac:dyDescent="0.3">
      <c r="J86036"/>
    </row>
    <row r="86037" spans="10:10" x14ac:dyDescent="0.3">
      <c r="J86037"/>
    </row>
    <row r="86038" spans="10:10" x14ac:dyDescent="0.3">
      <c r="J86038"/>
    </row>
    <row r="86039" spans="10:10" x14ac:dyDescent="0.3">
      <c r="J86039"/>
    </row>
    <row r="86040" spans="10:10" x14ac:dyDescent="0.3">
      <c r="J86040"/>
    </row>
    <row r="86041" spans="10:10" x14ac:dyDescent="0.3">
      <c r="J86041"/>
    </row>
    <row r="86042" spans="10:10" x14ac:dyDescent="0.3">
      <c r="J86042"/>
    </row>
    <row r="86043" spans="10:10" x14ac:dyDescent="0.3">
      <c r="J86043"/>
    </row>
    <row r="86044" spans="10:10" x14ac:dyDescent="0.3">
      <c r="J86044"/>
    </row>
    <row r="86045" spans="10:10" x14ac:dyDescent="0.3">
      <c r="J86045"/>
    </row>
    <row r="86046" spans="10:10" x14ac:dyDescent="0.3">
      <c r="J86046"/>
    </row>
    <row r="86047" spans="10:10" x14ac:dyDescent="0.3">
      <c r="J86047"/>
    </row>
    <row r="86048" spans="10:10" x14ac:dyDescent="0.3">
      <c r="J86048"/>
    </row>
    <row r="86049" spans="10:10" x14ac:dyDescent="0.3">
      <c r="J86049"/>
    </row>
    <row r="86050" spans="10:10" x14ac:dyDescent="0.3">
      <c r="J86050"/>
    </row>
    <row r="86051" spans="10:10" x14ac:dyDescent="0.3">
      <c r="J86051"/>
    </row>
    <row r="86052" spans="10:10" x14ac:dyDescent="0.3">
      <c r="J86052"/>
    </row>
    <row r="86053" spans="10:10" x14ac:dyDescent="0.3">
      <c r="J86053"/>
    </row>
    <row r="86054" spans="10:10" x14ac:dyDescent="0.3">
      <c r="J86054"/>
    </row>
    <row r="86055" spans="10:10" x14ac:dyDescent="0.3">
      <c r="J86055"/>
    </row>
    <row r="86056" spans="10:10" x14ac:dyDescent="0.3">
      <c r="J86056"/>
    </row>
    <row r="86057" spans="10:10" x14ac:dyDescent="0.3">
      <c r="J86057"/>
    </row>
    <row r="86058" spans="10:10" x14ac:dyDescent="0.3">
      <c r="J86058"/>
    </row>
    <row r="86059" spans="10:10" x14ac:dyDescent="0.3">
      <c r="J86059"/>
    </row>
    <row r="86060" spans="10:10" x14ac:dyDescent="0.3">
      <c r="J86060"/>
    </row>
    <row r="86061" spans="10:10" x14ac:dyDescent="0.3">
      <c r="J86061"/>
    </row>
    <row r="86062" spans="10:10" x14ac:dyDescent="0.3">
      <c r="J86062"/>
    </row>
    <row r="86063" spans="10:10" x14ac:dyDescent="0.3">
      <c r="J86063"/>
    </row>
    <row r="86064" spans="10:10" x14ac:dyDescent="0.3">
      <c r="J86064"/>
    </row>
    <row r="86065" spans="10:10" x14ac:dyDescent="0.3">
      <c r="J86065"/>
    </row>
    <row r="86066" spans="10:10" x14ac:dyDescent="0.3">
      <c r="J86066"/>
    </row>
    <row r="86067" spans="10:10" x14ac:dyDescent="0.3">
      <c r="J86067"/>
    </row>
    <row r="86068" spans="10:10" x14ac:dyDescent="0.3">
      <c r="J86068"/>
    </row>
    <row r="86069" spans="10:10" x14ac:dyDescent="0.3">
      <c r="J86069"/>
    </row>
    <row r="86070" spans="10:10" x14ac:dyDescent="0.3">
      <c r="J86070"/>
    </row>
    <row r="86071" spans="10:10" x14ac:dyDescent="0.3">
      <c r="J86071"/>
    </row>
    <row r="86072" spans="10:10" x14ac:dyDescent="0.3">
      <c r="J86072"/>
    </row>
    <row r="86073" spans="10:10" x14ac:dyDescent="0.3">
      <c r="J86073"/>
    </row>
    <row r="86074" spans="10:10" x14ac:dyDescent="0.3">
      <c r="J86074"/>
    </row>
    <row r="86075" spans="10:10" x14ac:dyDescent="0.3">
      <c r="J86075"/>
    </row>
    <row r="86076" spans="10:10" x14ac:dyDescent="0.3">
      <c r="J86076"/>
    </row>
    <row r="86077" spans="10:10" x14ac:dyDescent="0.3">
      <c r="J86077"/>
    </row>
    <row r="86078" spans="10:10" x14ac:dyDescent="0.3">
      <c r="J86078"/>
    </row>
    <row r="86079" spans="10:10" x14ac:dyDescent="0.3">
      <c r="J86079"/>
    </row>
    <row r="86080" spans="10:10" x14ac:dyDescent="0.3">
      <c r="J86080"/>
    </row>
    <row r="86081" spans="10:10" x14ac:dyDescent="0.3">
      <c r="J86081"/>
    </row>
    <row r="86082" spans="10:10" x14ac:dyDescent="0.3">
      <c r="J86082"/>
    </row>
    <row r="86083" spans="10:10" x14ac:dyDescent="0.3">
      <c r="J86083"/>
    </row>
    <row r="86084" spans="10:10" x14ac:dyDescent="0.3">
      <c r="J86084"/>
    </row>
    <row r="86085" spans="10:10" x14ac:dyDescent="0.3">
      <c r="J86085"/>
    </row>
    <row r="86086" spans="10:10" x14ac:dyDescent="0.3">
      <c r="J86086"/>
    </row>
    <row r="86087" spans="10:10" x14ac:dyDescent="0.3">
      <c r="J86087"/>
    </row>
    <row r="86088" spans="10:10" x14ac:dyDescent="0.3">
      <c r="J86088"/>
    </row>
    <row r="86089" spans="10:10" x14ac:dyDescent="0.3">
      <c r="J86089"/>
    </row>
    <row r="86090" spans="10:10" x14ac:dyDescent="0.3">
      <c r="J86090"/>
    </row>
    <row r="86091" spans="10:10" x14ac:dyDescent="0.3">
      <c r="J86091"/>
    </row>
    <row r="86092" spans="10:10" x14ac:dyDescent="0.3">
      <c r="J86092"/>
    </row>
    <row r="86093" spans="10:10" x14ac:dyDescent="0.3">
      <c r="J86093"/>
    </row>
    <row r="86094" spans="10:10" x14ac:dyDescent="0.3">
      <c r="J86094"/>
    </row>
    <row r="86095" spans="10:10" x14ac:dyDescent="0.3">
      <c r="J86095"/>
    </row>
    <row r="86096" spans="10:10" x14ac:dyDescent="0.3">
      <c r="J86096"/>
    </row>
    <row r="86097" spans="10:10" x14ac:dyDescent="0.3">
      <c r="J86097"/>
    </row>
    <row r="86098" spans="10:10" x14ac:dyDescent="0.3">
      <c r="J86098"/>
    </row>
    <row r="86099" spans="10:10" x14ac:dyDescent="0.3">
      <c r="J86099"/>
    </row>
    <row r="86100" spans="10:10" x14ac:dyDescent="0.3">
      <c r="J86100"/>
    </row>
    <row r="86101" spans="10:10" x14ac:dyDescent="0.3">
      <c r="J86101"/>
    </row>
    <row r="86102" spans="10:10" x14ac:dyDescent="0.3">
      <c r="J86102"/>
    </row>
    <row r="86103" spans="10:10" x14ac:dyDescent="0.3">
      <c r="J86103"/>
    </row>
    <row r="86104" spans="10:10" x14ac:dyDescent="0.3">
      <c r="J86104"/>
    </row>
    <row r="86105" spans="10:10" x14ac:dyDescent="0.3">
      <c r="J86105"/>
    </row>
    <row r="86106" spans="10:10" x14ac:dyDescent="0.3">
      <c r="J86106"/>
    </row>
    <row r="86107" spans="10:10" x14ac:dyDescent="0.3">
      <c r="J86107"/>
    </row>
    <row r="86108" spans="10:10" x14ac:dyDescent="0.3">
      <c r="J86108"/>
    </row>
    <row r="86109" spans="10:10" x14ac:dyDescent="0.3">
      <c r="J86109"/>
    </row>
    <row r="86110" spans="10:10" x14ac:dyDescent="0.3">
      <c r="J86110"/>
    </row>
    <row r="86111" spans="10:10" x14ac:dyDescent="0.3">
      <c r="J86111"/>
    </row>
    <row r="86112" spans="10:10" x14ac:dyDescent="0.3">
      <c r="J86112"/>
    </row>
    <row r="86113" spans="10:10" x14ac:dyDescent="0.3">
      <c r="J86113"/>
    </row>
    <row r="86114" spans="10:10" x14ac:dyDescent="0.3">
      <c r="J86114"/>
    </row>
    <row r="86115" spans="10:10" x14ac:dyDescent="0.3">
      <c r="J86115"/>
    </row>
    <row r="86116" spans="10:10" x14ac:dyDescent="0.3">
      <c r="J86116"/>
    </row>
    <row r="86117" spans="10:10" x14ac:dyDescent="0.3">
      <c r="J86117"/>
    </row>
    <row r="86118" spans="10:10" x14ac:dyDescent="0.3">
      <c r="J86118"/>
    </row>
    <row r="86119" spans="10:10" x14ac:dyDescent="0.3">
      <c r="J86119"/>
    </row>
    <row r="86120" spans="10:10" x14ac:dyDescent="0.3">
      <c r="J86120"/>
    </row>
    <row r="86121" spans="10:10" x14ac:dyDescent="0.3">
      <c r="J86121"/>
    </row>
    <row r="86122" spans="10:10" x14ac:dyDescent="0.3">
      <c r="J86122"/>
    </row>
    <row r="86123" spans="10:10" x14ac:dyDescent="0.3">
      <c r="J86123"/>
    </row>
    <row r="86124" spans="10:10" x14ac:dyDescent="0.3">
      <c r="J86124"/>
    </row>
    <row r="86125" spans="10:10" x14ac:dyDescent="0.3">
      <c r="J86125"/>
    </row>
    <row r="86126" spans="10:10" x14ac:dyDescent="0.3">
      <c r="J86126"/>
    </row>
    <row r="86127" spans="10:10" x14ac:dyDescent="0.3">
      <c r="J86127"/>
    </row>
    <row r="86128" spans="10:10" x14ac:dyDescent="0.3">
      <c r="J86128"/>
    </row>
    <row r="86129" spans="10:10" x14ac:dyDescent="0.3">
      <c r="J86129"/>
    </row>
    <row r="86130" spans="10:10" x14ac:dyDescent="0.3">
      <c r="J86130"/>
    </row>
    <row r="86131" spans="10:10" x14ac:dyDescent="0.3">
      <c r="J86131"/>
    </row>
    <row r="86132" spans="10:10" x14ac:dyDescent="0.3">
      <c r="J86132"/>
    </row>
    <row r="86133" spans="10:10" x14ac:dyDescent="0.3">
      <c r="J86133"/>
    </row>
    <row r="86134" spans="10:10" x14ac:dyDescent="0.3">
      <c r="J86134"/>
    </row>
    <row r="86135" spans="10:10" x14ac:dyDescent="0.3">
      <c r="J86135"/>
    </row>
    <row r="86136" spans="10:10" x14ac:dyDescent="0.3">
      <c r="J86136"/>
    </row>
    <row r="86137" spans="10:10" x14ac:dyDescent="0.3">
      <c r="J86137"/>
    </row>
    <row r="86138" spans="10:10" x14ac:dyDescent="0.3">
      <c r="J86138"/>
    </row>
    <row r="86139" spans="10:10" x14ac:dyDescent="0.3">
      <c r="J86139"/>
    </row>
    <row r="86140" spans="10:10" x14ac:dyDescent="0.3">
      <c r="J86140"/>
    </row>
    <row r="86141" spans="10:10" x14ac:dyDescent="0.3">
      <c r="J86141"/>
    </row>
    <row r="86142" spans="10:10" x14ac:dyDescent="0.3">
      <c r="J86142"/>
    </row>
    <row r="86143" spans="10:10" x14ac:dyDescent="0.3">
      <c r="J86143"/>
    </row>
    <row r="86144" spans="10:10" x14ac:dyDescent="0.3">
      <c r="J86144"/>
    </row>
    <row r="86145" spans="10:10" x14ac:dyDescent="0.3">
      <c r="J86145"/>
    </row>
    <row r="86146" spans="10:10" x14ac:dyDescent="0.3">
      <c r="J86146"/>
    </row>
    <row r="86147" spans="10:10" x14ac:dyDescent="0.3">
      <c r="J86147"/>
    </row>
    <row r="86148" spans="10:10" x14ac:dyDescent="0.3">
      <c r="J86148"/>
    </row>
    <row r="86149" spans="10:10" x14ac:dyDescent="0.3">
      <c r="J86149"/>
    </row>
    <row r="86150" spans="10:10" x14ac:dyDescent="0.3">
      <c r="J86150"/>
    </row>
    <row r="86151" spans="10:10" x14ac:dyDescent="0.3">
      <c r="J86151"/>
    </row>
    <row r="86152" spans="10:10" x14ac:dyDescent="0.3">
      <c r="J86152"/>
    </row>
    <row r="86153" spans="10:10" x14ac:dyDescent="0.3">
      <c r="J86153"/>
    </row>
    <row r="86154" spans="10:10" x14ac:dyDescent="0.3">
      <c r="J86154"/>
    </row>
    <row r="86155" spans="10:10" x14ac:dyDescent="0.3">
      <c r="J86155"/>
    </row>
    <row r="86156" spans="10:10" x14ac:dyDescent="0.3">
      <c r="J86156"/>
    </row>
    <row r="86157" spans="10:10" x14ac:dyDescent="0.3">
      <c r="J86157"/>
    </row>
    <row r="86158" spans="10:10" x14ac:dyDescent="0.3">
      <c r="J86158"/>
    </row>
    <row r="86159" spans="10:10" x14ac:dyDescent="0.3">
      <c r="J86159"/>
    </row>
    <row r="86160" spans="10:10" x14ac:dyDescent="0.3">
      <c r="J86160"/>
    </row>
    <row r="86161" spans="10:10" x14ac:dyDescent="0.3">
      <c r="J86161"/>
    </row>
    <row r="86162" spans="10:10" x14ac:dyDescent="0.3">
      <c r="J86162"/>
    </row>
    <row r="86163" spans="10:10" x14ac:dyDescent="0.3">
      <c r="J86163"/>
    </row>
    <row r="86164" spans="10:10" x14ac:dyDescent="0.3">
      <c r="J86164"/>
    </row>
    <row r="86165" spans="10:10" x14ac:dyDescent="0.3">
      <c r="J86165"/>
    </row>
    <row r="86166" spans="10:10" x14ac:dyDescent="0.3">
      <c r="J86166"/>
    </row>
    <row r="86167" spans="10:10" x14ac:dyDescent="0.3">
      <c r="J86167"/>
    </row>
    <row r="86168" spans="10:10" x14ac:dyDescent="0.3">
      <c r="J86168"/>
    </row>
    <row r="86169" spans="10:10" x14ac:dyDescent="0.3">
      <c r="J86169"/>
    </row>
    <row r="86170" spans="10:10" x14ac:dyDescent="0.3">
      <c r="J86170"/>
    </row>
    <row r="86171" spans="10:10" x14ac:dyDescent="0.3">
      <c r="J86171"/>
    </row>
    <row r="86172" spans="10:10" x14ac:dyDescent="0.3">
      <c r="J86172"/>
    </row>
    <row r="86173" spans="10:10" x14ac:dyDescent="0.3">
      <c r="J86173"/>
    </row>
    <row r="86174" spans="10:10" x14ac:dyDescent="0.3">
      <c r="J86174"/>
    </row>
    <row r="86175" spans="10:10" x14ac:dyDescent="0.3">
      <c r="J86175"/>
    </row>
    <row r="86176" spans="10:10" x14ac:dyDescent="0.3">
      <c r="J86176"/>
    </row>
    <row r="86177" spans="10:10" x14ac:dyDescent="0.3">
      <c r="J86177"/>
    </row>
    <row r="86178" spans="10:10" x14ac:dyDescent="0.3">
      <c r="J86178"/>
    </row>
    <row r="86179" spans="10:10" x14ac:dyDescent="0.3">
      <c r="J86179"/>
    </row>
    <row r="86180" spans="10:10" x14ac:dyDescent="0.3">
      <c r="J86180"/>
    </row>
    <row r="86181" spans="10:10" x14ac:dyDescent="0.3">
      <c r="J86181"/>
    </row>
    <row r="86182" spans="10:10" x14ac:dyDescent="0.3">
      <c r="J86182"/>
    </row>
    <row r="86183" spans="10:10" x14ac:dyDescent="0.3">
      <c r="J86183"/>
    </row>
    <row r="86184" spans="10:10" x14ac:dyDescent="0.3">
      <c r="J86184"/>
    </row>
    <row r="86185" spans="10:10" x14ac:dyDescent="0.3">
      <c r="J86185"/>
    </row>
    <row r="86186" spans="10:10" x14ac:dyDescent="0.3">
      <c r="J86186"/>
    </row>
    <row r="86187" spans="10:10" x14ac:dyDescent="0.3">
      <c r="J86187"/>
    </row>
    <row r="86188" spans="10:10" x14ac:dyDescent="0.3">
      <c r="J86188"/>
    </row>
    <row r="86189" spans="10:10" x14ac:dyDescent="0.3">
      <c r="J86189"/>
    </row>
    <row r="86190" spans="10:10" x14ac:dyDescent="0.3">
      <c r="J86190"/>
    </row>
    <row r="86191" spans="10:10" x14ac:dyDescent="0.3">
      <c r="J86191"/>
    </row>
    <row r="86192" spans="10:10" x14ac:dyDescent="0.3">
      <c r="J86192"/>
    </row>
    <row r="86193" spans="10:10" x14ac:dyDescent="0.3">
      <c r="J86193"/>
    </row>
    <row r="86194" spans="10:10" x14ac:dyDescent="0.3">
      <c r="J86194"/>
    </row>
    <row r="86195" spans="10:10" x14ac:dyDescent="0.3">
      <c r="J86195"/>
    </row>
    <row r="86196" spans="10:10" x14ac:dyDescent="0.3">
      <c r="J86196"/>
    </row>
    <row r="86197" spans="10:10" x14ac:dyDescent="0.3">
      <c r="J86197"/>
    </row>
    <row r="86198" spans="10:10" x14ac:dyDescent="0.3">
      <c r="J86198"/>
    </row>
    <row r="86199" spans="10:10" x14ac:dyDescent="0.3">
      <c r="J86199"/>
    </row>
    <row r="86200" spans="10:10" x14ac:dyDescent="0.3">
      <c r="J86200"/>
    </row>
    <row r="86201" spans="10:10" x14ac:dyDescent="0.3">
      <c r="J86201"/>
    </row>
    <row r="86202" spans="10:10" x14ac:dyDescent="0.3">
      <c r="J86202"/>
    </row>
    <row r="86203" spans="10:10" x14ac:dyDescent="0.3">
      <c r="J86203"/>
    </row>
    <row r="86204" spans="10:10" x14ac:dyDescent="0.3">
      <c r="J86204"/>
    </row>
    <row r="86205" spans="10:10" x14ac:dyDescent="0.3">
      <c r="J86205"/>
    </row>
    <row r="86206" spans="10:10" x14ac:dyDescent="0.3">
      <c r="J86206"/>
    </row>
    <row r="86207" spans="10:10" x14ac:dyDescent="0.3">
      <c r="J86207"/>
    </row>
    <row r="86208" spans="10:10" x14ac:dyDescent="0.3">
      <c r="J86208"/>
    </row>
    <row r="86209" spans="10:10" x14ac:dyDescent="0.3">
      <c r="J86209"/>
    </row>
    <row r="86210" spans="10:10" x14ac:dyDescent="0.3">
      <c r="J86210"/>
    </row>
    <row r="86211" spans="10:10" x14ac:dyDescent="0.3">
      <c r="J86211"/>
    </row>
    <row r="86212" spans="10:10" x14ac:dyDescent="0.3">
      <c r="J86212"/>
    </row>
    <row r="86213" spans="10:10" x14ac:dyDescent="0.3">
      <c r="J86213"/>
    </row>
    <row r="86214" spans="10:10" x14ac:dyDescent="0.3">
      <c r="J86214"/>
    </row>
    <row r="86215" spans="10:10" x14ac:dyDescent="0.3">
      <c r="J86215"/>
    </row>
    <row r="86216" spans="10:10" x14ac:dyDescent="0.3">
      <c r="J86216"/>
    </row>
    <row r="86217" spans="10:10" x14ac:dyDescent="0.3">
      <c r="J86217"/>
    </row>
    <row r="86218" spans="10:10" x14ac:dyDescent="0.3">
      <c r="J86218"/>
    </row>
    <row r="86219" spans="10:10" x14ac:dyDescent="0.3">
      <c r="J86219"/>
    </row>
    <row r="86220" spans="10:10" x14ac:dyDescent="0.3">
      <c r="J86220"/>
    </row>
    <row r="86221" spans="10:10" x14ac:dyDescent="0.3">
      <c r="J86221"/>
    </row>
    <row r="86222" spans="10:10" x14ac:dyDescent="0.3">
      <c r="J86222"/>
    </row>
    <row r="86223" spans="10:10" x14ac:dyDescent="0.3">
      <c r="J86223"/>
    </row>
    <row r="86224" spans="10:10" x14ac:dyDescent="0.3">
      <c r="J86224"/>
    </row>
    <row r="86225" spans="10:10" x14ac:dyDescent="0.3">
      <c r="J86225"/>
    </row>
    <row r="86226" spans="10:10" x14ac:dyDescent="0.3">
      <c r="J86226"/>
    </row>
    <row r="86227" spans="10:10" x14ac:dyDescent="0.3">
      <c r="J86227"/>
    </row>
    <row r="86228" spans="10:10" x14ac:dyDescent="0.3">
      <c r="J86228"/>
    </row>
    <row r="86229" spans="10:10" x14ac:dyDescent="0.3">
      <c r="J86229"/>
    </row>
    <row r="86230" spans="10:10" x14ac:dyDescent="0.3">
      <c r="J86230"/>
    </row>
    <row r="86231" spans="10:10" x14ac:dyDescent="0.3">
      <c r="J86231"/>
    </row>
    <row r="86232" spans="10:10" x14ac:dyDescent="0.3">
      <c r="J86232"/>
    </row>
    <row r="86233" spans="10:10" x14ac:dyDescent="0.3">
      <c r="J86233"/>
    </row>
    <row r="86234" spans="10:10" x14ac:dyDescent="0.3">
      <c r="J86234"/>
    </row>
    <row r="86235" spans="10:10" x14ac:dyDescent="0.3">
      <c r="J86235"/>
    </row>
    <row r="86236" spans="10:10" x14ac:dyDescent="0.3">
      <c r="J86236"/>
    </row>
    <row r="86237" spans="10:10" x14ac:dyDescent="0.3">
      <c r="J86237"/>
    </row>
    <row r="86238" spans="10:10" x14ac:dyDescent="0.3">
      <c r="J86238"/>
    </row>
    <row r="86239" spans="10:10" x14ac:dyDescent="0.3">
      <c r="J86239"/>
    </row>
    <row r="86240" spans="10:10" x14ac:dyDescent="0.3">
      <c r="J86240"/>
    </row>
    <row r="86241" spans="10:10" x14ac:dyDescent="0.3">
      <c r="J86241"/>
    </row>
    <row r="86242" spans="10:10" x14ac:dyDescent="0.3">
      <c r="J86242"/>
    </row>
    <row r="86243" spans="10:10" x14ac:dyDescent="0.3">
      <c r="J86243"/>
    </row>
    <row r="86244" spans="10:10" x14ac:dyDescent="0.3">
      <c r="J86244"/>
    </row>
    <row r="86245" spans="10:10" x14ac:dyDescent="0.3">
      <c r="J86245"/>
    </row>
    <row r="86246" spans="10:10" x14ac:dyDescent="0.3">
      <c r="J86246"/>
    </row>
    <row r="86247" spans="10:10" x14ac:dyDescent="0.3">
      <c r="J86247"/>
    </row>
    <row r="86248" spans="10:10" x14ac:dyDescent="0.3">
      <c r="J86248"/>
    </row>
    <row r="86249" spans="10:10" x14ac:dyDescent="0.3">
      <c r="J86249"/>
    </row>
    <row r="86250" spans="10:10" x14ac:dyDescent="0.3">
      <c r="J86250"/>
    </row>
    <row r="86251" spans="10:10" x14ac:dyDescent="0.3">
      <c r="J86251"/>
    </row>
    <row r="86252" spans="10:10" x14ac:dyDescent="0.3">
      <c r="J86252"/>
    </row>
    <row r="86253" spans="10:10" x14ac:dyDescent="0.3">
      <c r="J86253"/>
    </row>
    <row r="86254" spans="10:10" x14ac:dyDescent="0.3">
      <c r="J86254"/>
    </row>
    <row r="86255" spans="10:10" x14ac:dyDescent="0.3">
      <c r="J86255"/>
    </row>
    <row r="86256" spans="10:10" x14ac:dyDescent="0.3">
      <c r="J86256"/>
    </row>
    <row r="86257" spans="10:10" x14ac:dyDescent="0.3">
      <c r="J86257"/>
    </row>
    <row r="86258" spans="10:10" x14ac:dyDescent="0.3">
      <c r="J86258"/>
    </row>
    <row r="86259" spans="10:10" x14ac:dyDescent="0.3">
      <c r="J86259"/>
    </row>
    <row r="86260" spans="10:10" x14ac:dyDescent="0.3">
      <c r="J86260"/>
    </row>
    <row r="86261" spans="10:10" x14ac:dyDescent="0.3">
      <c r="J86261"/>
    </row>
    <row r="86262" spans="10:10" x14ac:dyDescent="0.3">
      <c r="J86262"/>
    </row>
    <row r="86263" spans="10:10" x14ac:dyDescent="0.3">
      <c r="J86263"/>
    </row>
    <row r="86264" spans="10:10" x14ac:dyDescent="0.3">
      <c r="J86264"/>
    </row>
    <row r="86265" spans="10:10" x14ac:dyDescent="0.3">
      <c r="J86265"/>
    </row>
    <row r="86266" spans="10:10" x14ac:dyDescent="0.3">
      <c r="J86266"/>
    </row>
    <row r="86267" spans="10:10" x14ac:dyDescent="0.3">
      <c r="J86267"/>
    </row>
    <row r="86268" spans="10:10" x14ac:dyDescent="0.3">
      <c r="J86268"/>
    </row>
    <row r="86269" spans="10:10" x14ac:dyDescent="0.3">
      <c r="J86269"/>
    </row>
    <row r="86270" spans="10:10" x14ac:dyDescent="0.3">
      <c r="J86270"/>
    </row>
    <row r="86271" spans="10:10" x14ac:dyDescent="0.3">
      <c r="J86271"/>
    </row>
    <row r="86272" spans="10:10" x14ac:dyDescent="0.3">
      <c r="J86272"/>
    </row>
    <row r="86273" spans="10:10" x14ac:dyDescent="0.3">
      <c r="J86273"/>
    </row>
    <row r="86274" spans="10:10" x14ac:dyDescent="0.3">
      <c r="J86274"/>
    </row>
    <row r="86275" spans="10:10" x14ac:dyDescent="0.3">
      <c r="J86275"/>
    </row>
    <row r="86276" spans="10:10" x14ac:dyDescent="0.3">
      <c r="J86276"/>
    </row>
    <row r="86277" spans="10:10" x14ac:dyDescent="0.3">
      <c r="J86277"/>
    </row>
    <row r="86278" spans="10:10" x14ac:dyDescent="0.3">
      <c r="J86278"/>
    </row>
    <row r="86279" spans="10:10" x14ac:dyDescent="0.3">
      <c r="J86279"/>
    </row>
    <row r="86280" spans="10:10" x14ac:dyDescent="0.3">
      <c r="J86280"/>
    </row>
    <row r="86281" spans="10:10" x14ac:dyDescent="0.3">
      <c r="J86281"/>
    </row>
    <row r="86282" spans="10:10" x14ac:dyDescent="0.3">
      <c r="J86282"/>
    </row>
    <row r="86283" spans="10:10" x14ac:dyDescent="0.3">
      <c r="J86283"/>
    </row>
    <row r="86284" spans="10:10" x14ac:dyDescent="0.3">
      <c r="J86284"/>
    </row>
    <row r="86285" spans="10:10" x14ac:dyDescent="0.3">
      <c r="J86285"/>
    </row>
    <row r="86286" spans="10:10" x14ac:dyDescent="0.3">
      <c r="J86286"/>
    </row>
    <row r="86287" spans="10:10" x14ac:dyDescent="0.3">
      <c r="J86287"/>
    </row>
    <row r="86288" spans="10:10" x14ac:dyDescent="0.3">
      <c r="J86288"/>
    </row>
    <row r="86289" spans="10:10" x14ac:dyDescent="0.3">
      <c r="J86289"/>
    </row>
    <row r="86290" spans="10:10" x14ac:dyDescent="0.3">
      <c r="J86290"/>
    </row>
    <row r="86291" spans="10:10" x14ac:dyDescent="0.3">
      <c r="J86291"/>
    </row>
    <row r="86292" spans="10:10" x14ac:dyDescent="0.3">
      <c r="J86292"/>
    </row>
    <row r="86293" spans="10:10" x14ac:dyDescent="0.3">
      <c r="J86293"/>
    </row>
    <row r="86294" spans="10:10" x14ac:dyDescent="0.3">
      <c r="J86294"/>
    </row>
    <row r="86295" spans="10:10" x14ac:dyDescent="0.3">
      <c r="J86295"/>
    </row>
    <row r="86296" spans="10:10" x14ac:dyDescent="0.3">
      <c r="J86296"/>
    </row>
    <row r="86297" spans="10:10" x14ac:dyDescent="0.3">
      <c r="J86297"/>
    </row>
    <row r="86298" spans="10:10" x14ac:dyDescent="0.3">
      <c r="J86298"/>
    </row>
    <row r="86299" spans="10:10" x14ac:dyDescent="0.3">
      <c r="J86299"/>
    </row>
    <row r="86300" spans="10:10" x14ac:dyDescent="0.3">
      <c r="J86300"/>
    </row>
    <row r="86301" spans="10:10" x14ac:dyDescent="0.3">
      <c r="J86301"/>
    </row>
    <row r="86302" spans="10:10" x14ac:dyDescent="0.3">
      <c r="J86302"/>
    </row>
    <row r="86303" spans="10:10" x14ac:dyDescent="0.3">
      <c r="J86303"/>
    </row>
    <row r="86304" spans="10:10" x14ac:dyDescent="0.3">
      <c r="J86304"/>
    </row>
    <row r="86305" spans="10:10" x14ac:dyDescent="0.3">
      <c r="J86305"/>
    </row>
    <row r="86306" spans="10:10" x14ac:dyDescent="0.3">
      <c r="J86306"/>
    </row>
    <row r="86307" spans="10:10" x14ac:dyDescent="0.3">
      <c r="J86307"/>
    </row>
    <row r="86308" spans="10:10" x14ac:dyDescent="0.3">
      <c r="J86308"/>
    </row>
    <row r="86309" spans="10:10" x14ac:dyDescent="0.3">
      <c r="J86309"/>
    </row>
    <row r="86310" spans="10:10" x14ac:dyDescent="0.3">
      <c r="J86310"/>
    </row>
    <row r="86311" spans="10:10" x14ac:dyDescent="0.3">
      <c r="J86311"/>
    </row>
    <row r="86312" spans="10:10" x14ac:dyDescent="0.3">
      <c r="J86312"/>
    </row>
    <row r="86313" spans="10:10" x14ac:dyDescent="0.3">
      <c r="J86313"/>
    </row>
    <row r="86314" spans="10:10" x14ac:dyDescent="0.3">
      <c r="J86314"/>
    </row>
    <row r="86315" spans="10:10" x14ac:dyDescent="0.3">
      <c r="J86315"/>
    </row>
    <row r="86316" spans="10:10" x14ac:dyDescent="0.3">
      <c r="J86316"/>
    </row>
    <row r="86317" spans="10:10" x14ac:dyDescent="0.3">
      <c r="J86317"/>
    </row>
    <row r="86318" spans="10:10" x14ac:dyDescent="0.3">
      <c r="J86318"/>
    </row>
    <row r="86319" spans="10:10" x14ac:dyDescent="0.3">
      <c r="J86319"/>
    </row>
    <row r="86320" spans="10:10" x14ac:dyDescent="0.3">
      <c r="J86320"/>
    </row>
    <row r="86321" spans="10:10" x14ac:dyDescent="0.3">
      <c r="J86321"/>
    </row>
    <row r="86322" spans="10:10" x14ac:dyDescent="0.3">
      <c r="J86322"/>
    </row>
    <row r="86323" spans="10:10" x14ac:dyDescent="0.3">
      <c r="J86323"/>
    </row>
    <row r="86324" spans="10:10" x14ac:dyDescent="0.3">
      <c r="J86324"/>
    </row>
    <row r="86325" spans="10:10" x14ac:dyDescent="0.3">
      <c r="J86325"/>
    </row>
    <row r="86326" spans="10:10" x14ac:dyDescent="0.3">
      <c r="J86326"/>
    </row>
    <row r="86327" spans="10:10" x14ac:dyDescent="0.3">
      <c r="J86327"/>
    </row>
    <row r="86328" spans="10:10" x14ac:dyDescent="0.3">
      <c r="J86328"/>
    </row>
    <row r="86329" spans="10:10" x14ac:dyDescent="0.3">
      <c r="J86329"/>
    </row>
    <row r="86330" spans="10:10" x14ac:dyDescent="0.3">
      <c r="J86330"/>
    </row>
    <row r="86331" spans="10:10" x14ac:dyDescent="0.3">
      <c r="J86331"/>
    </row>
    <row r="86332" spans="10:10" x14ac:dyDescent="0.3">
      <c r="J86332"/>
    </row>
    <row r="86333" spans="10:10" x14ac:dyDescent="0.3">
      <c r="J86333"/>
    </row>
    <row r="86334" spans="10:10" x14ac:dyDescent="0.3">
      <c r="J86334"/>
    </row>
    <row r="86335" spans="10:10" x14ac:dyDescent="0.3">
      <c r="J86335"/>
    </row>
    <row r="86336" spans="10:10" x14ac:dyDescent="0.3">
      <c r="J86336"/>
    </row>
    <row r="86337" spans="10:10" x14ac:dyDescent="0.3">
      <c r="J86337"/>
    </row>
    <row r="86338" spans="10:10" x14ac:dyDescent="0.3">
      <c r="J86338"/>
    </row>
    <row r="86339" spans="10:10" x14ac:dyDescent="0.3">
      <c r="J86339"/>
    </row>
    <row r="86340" spans="10:10" x14ac:dyDescent="0.3">
      <c r="J86340"/>
    </row>
    <row r="86341" spans="10:10" x14ac:dyDescent="0.3">
      <c r="J86341"/>
    </row>
    <row r="86342" spans="10:10" x14ac:dyDescent="0.3">
      <c r="J86342"/>
    </row>
    <row r="86343" spans="10:10" x14ac:dyDescent="0.3">
      <c r="J86343"/>
    </row>
    <row r="86344" spans="10:10" x14ac:dyDescent="0.3">
      <c r="J86344"/>
    </row>
    <row r="86345" spans="10:10" x14ac:dyDescent="0.3">
      <c r="J86345"/>
    </row>
    <row r="86346" spans="10:10" x14ac:dyDescent="0.3">
      <c r="J86346"/>
    </row>
    <row r="86347" spans="10:10" x14ac:dyDescent="0.3">
      <c r="J86347"/>
    </row>
    <row r="86348" spans="10:10" x14ac:dyDescent="0.3">
      <c r="J86348"/>
    </row>
    <row r="86349" spans="10:10" x14ac:dyDescent="0.3">
      <c r="J86349"/>
    </row>
    <row r="86350" spans="10:10" x14ac:dyDescent="0.3">
      <c r="J86350"/>
    </row>
    <row r="86351" spans="10:10" x14ac:dyDescent="0.3">
      <c r="J86351"/>
    </row>
    <row r="86352" spans="10:10" x14ac:dyDescent="0.3">
      <c r="J86352"/>
    </row>
    <row r="86353" spans="10:10" x14ac:dyDescent="0.3">
      <c r="J86353"/>
    </row>
    <row r="86354" spans="10:10" x14ac:dyDescent="0.3">
      <c r="J86354"/>
    </row>
    <row r="86355" spans="10:10" x14ac:dyDescent="0.3">
      <c r="J86355"/>
    </row>
    <row r="86356" spans="10:10" x14ac:dyDescent="0.3">
      <c r="J86356"/>
    </row>
    <row r="86357" spans="10:10" x14ac:dyDescent="0.3">
      <c r="J86357"/>
    </row>
    <row r="86358" spans="10:10" x14ac:dyDescent="0.3">
      <c r="J86358"/>
    </row>
    <row r="86359" spans="10:10" x14ac:dyDescent="0.3">
      <c r="J86359"/>
    </row>
    <row r="86360" spans="10:10" x14ac:dyDescent="0.3">
      <c r="J86360"/>
    </row>
    <row r="86361" spans="10:10" x14ac:dyDescent="0.3">
      <c r="J86361"/>
    </row>
    <row r="86362" spans="10:10" x14ac:dyDescent="0.3">
      <c r="J86362"/>
    </row>
    <row r="86363" spans="10:10" x14ac:dyDescent="0.3">
      <c r="J86363"/>
    </row>
    <row r="86364" spans="10:10" x14ac:dyDescent="0.3">
      <c r="J86364"/>
    </row>
    <row r="86365" spans="10:10" x14ac:dyDescent="0.3">
      <c r="J86365"/>
    </row>
    <row r="86366" spans="10:10" x14ac:dyDescent="0.3">
      <c r="J86366"/>
    </row>
    <row r="86367" spans="10:10" x14ac:dyDescent="0.3">
      <c r="J86367"/>
    </row>
    <row r="86368" spans="10:10" x14ac:dyDescent="0.3">
      <c r="J86368"/>
    </row>
    <row r="86369" spans="10:10" x14ac:dyDescent="0.3">
      <c r="J86369"/>
    </row>
    <row r="86370" spans="10:10" x14ac:dyDescent="0.3">
      <c r="J86370"/>
    </row>
    <row r="86371" spans="10:10" x14ac:dyDescent="0.3">
      <c r="J86371"/>
    </row>
    <row r="86372" spans="10:10" x14ac:dyDescent="0.3">
      <c r="J86372"/>
    </row>
    <row r="86373" spans="10:10" x14ac:dyDescent="0.3">
      <c r="J86373"/>
    </row>
    <row r="86374" spans="10:10" x14ac:dyDescent="0.3">
      <c r="J86374"/>
    </row>
    <row r="86375" spans="10:10" x14ac:dyDescent="0.3">
      <c r="J86375"/>
    </row>
    <row r="86376" spans="10:10" x14ac:dyDescent="0.3">
      <c r="J86376"/>
    </row>
    <row r="86377" spans="10:10" x14ac:dyDescent="0.3">
      <c r="J86377"/>
    </row>
    <row r="86378" spans="10:10" x14ac:dyDescent="0.3">
      <c r="J86378"/>
    </row>
    <row r="86379" spans="10:10" x14ac:dyDescent="0.3">
      <c r="J86379"/>
    </row>
    <row r="86380" spans="10:10" x14ac:dyDescent="0.3">
      <c r="J86380"/>
    </row>
    <row r="86381" spans="10:10" x14ac:dyDescent="0.3">
      <c r="J86381"/>
    </row>
    <row r="86382" spans="10:10" x14ac:dyDescent="0.3">
      <c r="J86382"/>
    </row>
    <row r="86383" spans="10:10" x14ac:dyDescent="0.3">
      <c r="J86383"/>
    </row>
    <row r="86384" spans="10:10" x14ac:dyDescent="0.3">
      <c r="J86384"/>
    </row>
    <row r="86385" spans="10:10" x14ac:dyDescent="0.3">
      <c r="J86385"/>
    </row>
    <row r="86386" spans="10:10" x14ac:dyDescent="0.3">
      <c r="J86386"/>
    </row>
    <row r="86387" spans="10:10" x14ac:dyDescent="0.3">
      <c r="J86387"/>
    </row>
    <row r="86388" spans="10:10" x14ac:dyDescent="0.3">
      <c r="J86388"/>
    </row>
    <row r="86389" spans="10:10" x14ac:dyDescent="0.3">
      <c r="J86389"/>
    </row>
    <row r="86390" spans="10:10" x14ac:dyDescent="0.3">
      <c r="J86390"/>
    </row>
    <row r="86391" spans="10:10" x14ac:dyDescent="0.3">
      <c r="J86391"/>
    </row>
    <row r="86392" spans="10:10" x14ac:dyDescent="0.3">
      <c r="J86392"/>
    </row>
    <row r="86393" spans="10:10" x14ac:dyDescent="0.3">
      <c r="J86393"/>
    </row>
    <row r="86394" spans="10:10" x14ac:dyDescent="0.3">
      <c r="J86394"/>
    </row>
    <row r="86395" spans="10:10" x14ac:dyDescent="0.3">
      <c r="J86395"/>
    </row>
    <row r="86396" spans="10:10" x14ac:dyDescent="0.3">
      <c r="J86396"/>
    </row>
    <row r="86397" spans="10:10" x14ac:dyDescent="0.3">
      <c r="J86397"/>
    </row>
    <row r="86398" spans="10:10" x14ac:dyDescent="0.3">
      <c r="J86398"/>
    </row>
    <row r="86399" spans="10:10" x14ac:dyDescent="0.3">
      <c r="J86399"/>
    </row>
    <row r="86400" spans="10:10" x14ac:dyDescent="0.3">
      <c r="J86400"/>
    </row>
    <row r="86401" spans="10:10" x14ac:dyDescent="0.3">
      <c r="J86401"/>
    </row>
    <row r="86402" spans="10:10" x14ac:dyDescent="0.3">
      <c r="J86402"/>
    </row>
    <row r="86403" spans="10:10" x14ac:dyDescent="0.3">
      <c r="J86403"/>
    </row>
    <row r="86404" spans="10:10" x14ac:dyDescent="0.3">
      <c r="J86404"/>
    </row>
    <row r="86405" spans="10:10" x14ac:dyDescent="0.3">
      <c r="J86405"/>
    </row>
    <row r="86406" spans="10:10" x14ac:dyDescent="0.3">
      <c r="J86406"/>
    </row>
    <row r="86407" spans="10:10" x14ac:dyDescent="0.3">
      <c r="J86407"/>
    </row>
    <row r="86408" spans="10:10" x14ac:dyDescent="0.3">
      <c r="J86408"/>
    </row>
    <row r="86409" spans="10:10" x14ac:dyDescent="0.3">
      <c r="J86409"/>
    </row>
    <row r="86410" spans="10:10" x14ac:dyDescent="0.3">
      <c r="J86410"/>
    </row>
    <row r="86411" spans="10:10" x14ac:dyDescent="0.3">
      <c r="J86411"/>
    </row>
    <row r="86412" spans="10:10" x14ac:dyDescent="0.3">
      <c r="J86412"/>
    </row>
    <row r="86413" spans="10:10" x14ac:dyDescent="0.3">
      <c r="J86413"/>
    </row>
    <row r="86414" spans="10:10" x14ac:dyDescent="0.3">
      <c r="J86414"/>
    </row>
    <row r="86415" spans="10:10" x14ac:dyDescent="0.3">
      <c r="J86415"/>
    </row>
    <row r="86416" spans="10:10" x14ac:dyDescent="0.3">
      <c r="J86416"/>
    </row>
    <row r="86417" spans="10:10" x14ac:dyDescent="0.3">
      <c r="J86417"/>
    </row>
    <row r="86418" spans="10:10" x14ac:dyDescent="0.3">
      <c r="J86418"/>
    </row>
    <row r="86419" spans="10:10" x14ac:dyDescent="0.3">
      <c r="J86419"/>
    </row>
    <row r="86420" spans="10:10" x14ac:dyDescent="0.3">
      <c r="J86420"/>
    </row>
    <row r="86421" spans="10:10" x14ac:dyDescent="0.3">
      <c r="J86421"/>
    </row>
    <row r="86422" spans="10:10" x14ac:dyDescent="0.3">
      <c r="J86422"/>
    </row>
    <row r="86423" spans="10:10" x14ac:dyDescent="0.3">
      <c r="J86423"/>
    </row>
    <row r="86424" spans="10:10" x14ac:dyDescent="0.3">
      <c r="J86424"/>
    </row>
    <row r="86425" spans="10:10" x14ac:dyDescent="0.3">
      <c r="J86425"/>
    </row>
    <row r="86426" spans="10:10" x14ac:dyDescent="0.3">
      <c r="J86426"/>
    </row>
    <row r="86427" spans="10:10" x14ac:dyDescent="0.3">
      <c r="J86427"/>
    </row>
    <row r="86428" spans="10:10" x14ac:dyDescent="0.3">
      <c r="J86428"/>
    </row>
    <row r="86429" spans="10:10" x14ac:dyDescent="0.3">
      <c r="J86429"/>
    </row>
    <row r="86430" spans="10:10" x14ac:dyDescent="0.3">
      <c r="J86430"/>
    </row>
    <row r="86431" spans="10:10" x14ac:dyDescent="0.3">
      <c r="J86431"/>
    </row>
    <row r="86432" spans="10:10" x14ac:dyDescent="0.3">
      <c r="J86432"/>
    </row>
    <row r="86433" spans="10:10" x14ac:dyDescent="0.3">
      <c r="J86433"/>
    </row>
    <row r="86434" spans="10:10" x14ac:dyDescent="0.3">
      <c r="J86434"/>
    </row>
    <row r="86435" spans="10:10" x14ac:dyDescent="0.3">
      <c r="J86435"/>
    </row>
    <row r="86436" spans="10:10" x14ac:dyDescent="0.3">
      <c r="J86436"/>
    </row>
    <row r="86437" spans="10:10" x14ac:dyDescent="0.3">
      <c r="J86437"/>
    </row>
    <row r="86438" spans="10:10" x14ac:dyDescent="0.3">
      <c r="J86438"/>
    </row>
    <row r="86439" spans="10:10" x14ac:dyDescent="0.3">
      <c r="J86439"/>
    </row>
    <row r="86440" spans="10:10" x14ac:dyDescent="0.3">
      <c r="J86440"/>
    </row>
    <row r="86441" spans="10:10" x14ac:dyDescent="0.3">
      <c r="J86441"/>
    </row>
    <row r="86442" spans="10:10" x14ac:dyDescent="0.3">
      <c r="J86442"/>
    </row>
    <row r="86443" spans="10:10" x14ac:dyDescent="0.3">
      <c r="J86443"/>
    </row>
    <row r="86444" spans="10:10" x14ac:dyDescent="0.3">
      <c r="J86444"/>
    </row>
    <row r="86445" spans="10:10" x14ac:dyDescent="0.3">
      <c r="J86445"/>
    </row>
    <row r="86446" spans="10:10" x14ac:dyDescent="0.3">
      <c r="J86446"/>
    </row>
    <row r="86447" spans="10:10" x14ac:dyDescent="0.3">
      <c r="J86447"/>
    </row>
    <row r="86448" spans="10:10" x14ac:dyDescent="0.3">
      <c r="J86448"/>
    </row>
    <row r="86449" spans="10:10" x14ac:dyDescent="0.3">
      <c r="J86449"/>
    </row>
    <row r="86450" spans="10:10" x14ac:dyDescent="0.3">
      <c r="J86450"/>
    </row>
    <row r="86451" spans="10:10" x14ac:dyDescent="0.3">
      <c r="J86451"/>
    </row>
    <row r="86452" spans="10:10" x14ac:dyDescent="0.3">
      <c r="J86452"/>
    </row>
    <row r="86453" spans="10:10" x14ac:dyDescent="0.3">
      <c r="J86453"/>
    </row>
    <row r="86454" spans="10:10" x14ac:dyDescent="0.3">
      <c r="J86454"/>
    </row>
    <row r="86455" spans="10:10" x14ac:dyDescent="0.3">
      <c r="J86455"/>
    </row>
    <row r="86456" spans="10:10" x14ac:dyDescent="0.3">
      <c r="J86456"/>
    </row>
    <row r="86457" spans="10:10" x14ac:dyDescent="0.3">
      <c r="J86457"/>
    </row>
    <row r="86458" spans="10:10" x14ac:dyDescent="0.3">
      <c r="J86458"/>
    </row>
    <row r="86459" spans="10:10" x14ac:dyDescent="0.3">
      <c r="J86459"/>
    </row>
    <row r="86460" spans="10:10" x14ac:dyDescent="0.3">
      <c r="J86460"/>
    </row>
    <row r="86461" spans="10:10" x14ac:dyDescent="0.3">
      <c r="J86461"/>
    </row>
    <row r="86462" spans="10:10" x14ac:dyDescent="0.3">
      <c r="J86462"/>
    </row>
    <row r="86463" spans="10:10" x14ac:dyDescent="0.3">
      <c r="J86463"/>
    </row>
    <row r="86464" spans="10:10" x14ac:dyDescent="0.3">
      <c r="J86464"/>
    </row>
    <row r="86465" spans="10:10" x14ac:dyDescent="0.3">
      <c r="J86465"/>
    </row>
    <row r="86466" spans="10:10" x14ac:dyDescent="0.3">
      <c r="J86466"/>
    </row>
    <row r="86467" spans="10:10" x14ac:dyDescent="0.3">
      <c r="J86467"/>
    </row>
    <row r="86468" spans="10:10" x14ac:dyDescent="0.3">
      <c r="J86468"/>
    </row>
    <row r="86469" spans="10:10" x14ac:dyDescent="0.3">
      <c r="J86469"/>
    </row>
    <row r="86470" spans="10:10" x14ac:dyDescent="0.3">
      <c r="J86470"/>
    </row>
    <row r="86471" spans="10:10" x14ac:dyDescent="0.3">
      <c r="J86471"/>
    </row>
    <row r="86472" spans="10:10" x14ac:dyDescent="0.3">
      <c r="J86472"/>
    </row>
    <row r="86473" spans="10:10" x14ac:dyDescent="0.3">
      <c r="J86473"/>
    </row>
    <row r="86474" spans="10:10" x14ac:dyDescent="0.3">
      <c r="J86474"/>
    </row>
    <row r="86475" spans="10:10" x14ac:dyDescent="0.3">
      <c r="J86475"/>
    </row>
    <row r="86476" spans="10:10" x14ac:dyDescent="0.3">
      <c r="J86476"/>
    </row>
    <row r="86477" spans="10:10" x14ac:dyDescent="0.3">
      <c r="J86477"/>
    </row>
    <row r="86478" spans="10:10" x14ac:dyDescent="0.3">
      <c r="J86478"/>
    </row>
    <row r="86479" spans="10:10" x14ac:dyDescent="0.3">
      <c r="J86479"/>
    </row>
    <row r="86480" spans="10:10" x14ac:dyDescent="0.3">
      <c r="J86480"/>
    </row>
    <row r="86481" spans="10:10" x14ac:dyDescent="0.3">
      <c r="J86481"/>
    </row>
    <row r="86482" spans="10:10" x14ac:dyDescent="0.3">
      <c r="J86482"/>
    </row>
    <row r="86483" spans="10:10" x14ac:dyDescent="0.3">
      <c r="J86483"/>
    </row>
    <row r="86484" spans="10:10" x14ac:dyDescent="0.3">
      <c r="J86484"/>
    </row>
    <row r="86485" spans="10:10" x14ac:dyDescent="0.3">
      <c r="J86485"/>
    </row>
    <row r="86486" spans="10:10" x14ac:dyDescent="0.3">
      <c r="J86486"/>
    </row>
    <row r="86487" spans="10:10" x14ac:dyDescent="0.3">
      <c r="J86487"/>
    </row>
    <row r="86488" spans="10:10" x14ac:dyDescent="0.3">
      <c r="J86488"/>
    </row>
    <row r="86489" spans="10:10" x14ac:dyDescent="0.3">
      <c r="J86489"/>
    </row>
    <row r="86490" spans="10:10" x14ac:dyDescent="0.3">
      <c r="J86490"/>
    </row>
    <row r="86491" spans="10:10" x14ac:dyDescent="0.3">
      <c r="J86491"/>
    </row>
    <row r="86492" spans="10:10" x14ac:dyDescent="0.3">
      <c r="J86492"/>
    </row>
    <row r="86493" spans="10:10" x14ac:dyDescent="0.3">
      <c r="J86493"/>
    </row>
    <row r="86494" spans="10:10" x14ac:dyDescent="0.3">
      <c r="J86494"/>
    </row>
    <row r="86495" spans="10:10" x14ac:dyDescent="0.3">
      <c r="J86495"/>
    </row>
    <row r="86496" spans="10:10" x14ac:dyDescent="0.3">
      <c r="J86496"/>
    </row>
    <row r="86497" spans="10:10" x14ac:dyDescent="0.3">
      <c r="J86497"/>
    </row>
    <row r="86498" spans="10:10" x14ac:dyDescent="0.3">
      <c r="J86498"/>
    </row>
    <row r="86499" spans="10:10" x14ac:dyDescent="0.3">
      <c r="J86499"/>
    </row>
    <row r="86500" spans="10:10" x14ac:dyDescent="0.3">
      <c r="J86500"/>
    </row>
    <row r="86501" spans="10:10" x14ac:dyDescent="0.3">
      <c r="J86501"/>
    </row>
    <row r="86502" spans="10:10" x14ac:dyDescent="0.3">
      <c r="J86502"/>
    </row>
    <row r="86503" spans="10:10" x14ac:dyDescent="0.3">
      <c r="J86503"/>
    </row>
    <row r="86504" spans="10:10" x14ac:dyDescent="0.3">
      <c r="J86504"/>
    </row>
    <row r="86505" spans="10:10" x14ac:dyDescent="0.3">
      <c r="J86505"/>
    </row>
    <row r="86506" spans="10:10" x14ac:dyDescent="0.3">
      <c r="J86506"/>
    </row>
    <row r="86507" spans="10:10" x14ac:dyDescent="0.3">
      <c r="J86507"/>
    </row>
    <row r="86508" spans="10:10" x14ac:dyDescent="0.3">
      <c r="J86508"/>
    </row>
    <row r="86509" spans="10:10" x14ac:dyDescent="0.3">
      <c r="J86509"/>
    </row>
    <row r="86510" spans="10:10" x14ac:dyDescent="0.3">
      <c r="J86510"/>
    </row>
    <row r="86511" spans="10:10" x14ac:dyDescent="0.3">
      <c r="J86511"/>
    </row>
    <row r="86512" spans="10:10" x14ac:dyDescent="0.3">
      <c r="J86512"/>
    </row>
    <row r="86513" spans="10:10" x14ac:dyDescent="0.3">
      <c r="J86513"/>
    </row>
    <row r="86514" spans="10:10" x14ac:dyDescent="0.3">
      <c r="J86514"/>
    </row>
    <row r="86515" spans="10:10" x14ac:dyDescent="0.3">
      <c r="J86515"/>
    </row>
    <row r="86516" spans="10:10" x14ac:dyDescent="0.3">
      <c r="J86516"/>
    </row>
    <row r="86517" spans="10:10" x14ac:dyDescent="0.3">
      <c r="J86517"/>
    </row>
    <row r="86518" spans="10:10" x14ac:dyDescent="0.3">
      <c r="J86518"/>
    </row>
    <row r="86519" spans="10:10" x14ac:dyDescent="0.3">
      <c r="J86519"/>
    </row>
    <row r="86520" spans="10:10" x14ac:dyDescent="0.3">
      <c r="J86520"/>
    </row>
    <row r="86521" spans="10:10" x14ac:dyDescent="0.3">
      <c r="J86521"/>
    </row>
    <row r="86522" spans="10:10" x14ac:dyDescent="0.3">
      <c r="J86522"/>
    </row>
    <row r="86523" spans="10:10" x14ac:dyDescent="0.3">
      <c r="J86523"/>
    </row>
    <row r="86524" spans="10:10" x14ac:dyDescent="0.3">
      <c r="J86524"/>
    </row>
    <row r="86525" spans="10:10" x14ac:dyDescent="0.3">
      <c r="J86525"/>
    </row>
    <row r="86526" spans="10:10" x14ac:dyDescent="0.3">
      <c r="J86526"/>
    </row>
    <row r="86527" spans="10:10" x14ac:dyDescent="0.3">
      <c r="J86527"/>
    </row>
    <row r="86528" spans="10:10" x14ac:dyDescent="0.3">
      <c r="J86528"/>
    </row>
    <row r="86529" spans="10:10" x14ac:dyDescent="0.3">
      <c r="J86529"/>
    </row>
    <row r="86530" spans="10:10" x14ac:dyDescent="0.3">
      <c r="J86530"/>
    </row>
    <row r="86531" spans="10:10" x14ac:dyDescent="0.3">
      <c r="J86531"/>
    </row>
    <row r="86532" spans="10:10" x14ac:dyDescent="0.3">
      <c r="J86532"/>
    </row>
    <row r="86533" spans="10:10" x14ac:dyDescent="0.3">
      <c r="J86533"/>
    </row>
    <row r="86534" spans="10:10" x14ac:dyDescent="0.3">
      <c r="J86534"/>
    </row>
    <row r="86535" spans="10:10" x14ac:dyDescent="0.3">
      <c r="J86535"/>
    </row>
    <row r="86536" spans="10:10" x14ac:dyDescent="0.3">
      <c r="J86536"/>
    </row>
    <row r="86537" spans="10:10" x14ac:dyDescent="0.3">
      <c r="J86537"/>
    </row>
    <row r="86538" spans="10:10" x14ac:dyDescent="0.3">
      <c r="J86538"/>
    </row>
    <row r="86539" spans="10:10" x14ac:dyDescent="0.3">
      <c r="J86539"/>
    </row>
    <row r="86540" spans="10:10" x14ac:dyDescent="0.3">
      <c r="J86540"/>
    </row>
    <row r="86541" spans="10:10" x14ac:dyDescent="0.3">
      <c r="J86541"/>
    </row>
    <row r="86542" spans="10:10" x14ac:dyDescent="0.3">
      <c r="J86542"/>
    </row>
    <row r="86543" spans="10:10" x14ac:dyDescent="0.3">
      <c r="J86543"/>
    </row>
    <row r="86544" spans="10:10" x14ac:dyDescent="0.3">
      <c r="J86544"/>
    </row>
    <row r="86545" spans="10:10" x14ac:dyDescent="0.3">
      <c r="J86545"/>
    </row>
    <row r="86546" spans="10:10" x14ac:dyDescent="0.3">
      <c r="J86546"/>
    </row>
    <row r="86547" spans="10:10" x14ac:dyDescent="0.3">
      <c r="J86547"/>
    </row>
    <row r="86548" spans="10:10" x14ac:dyDescent="0.3">
      <c r="J86548"/>
    </row>
    <row r="86549" spans="10:10" x14ac:dyDescent="0.3">
      <c r="J86549"/>
    </row>
    <row r="86550" spans="10:10" x14ac:dyDescent="0.3">
      <c r="J86550"/>
    </row>
    <row r="86551" spans="10:10" x14ac:dyDescent="0.3">
      <c r="J86551"/>
    </row>
    <row r="86552" spans="10:10" x14ac:dyDescent="0.3">
      <c r="J86552"/>
    </row>
    <row r="86553" spans="10:10" x14ac:dyDescent="0.3">
      <c r="J86553"/>
    </row>
    <row r="86554" spans="10:10" x14ac:dyDescent="0.3">
      <c r="J86554"/>
    </row>
    <row r="86555" spans="10:10" x14ac:dyDescent="0.3">
      <c r="J86555"/>
    </row>
    <row r="86556" spans="10:10" x14ac:dyDescent="0.3">
      <c r="J86556"/>
    </row>
    <row r="86557" spans="10:10" x14ac:dyDescent="0.3">
      <c r="J86557"/>
    </row>
    <row r="86558" spans="10:10" x14ac:dyDescent="0.3">
      <c r="J86558"/>
    </row>
    <row r="86559" spans="10:10" x14ac:dyDescent="0.3">
      <c r="J86559"/>
    </row>
    <row r="86560" spans="10:10" x14ac:dyDescent="0.3">
      <c r="J86560"/>
    </row>
    <row r="86561" spans="10:10" x14ac:dyDescent="0.3">
      <c r="J86561"/>
    </row>
    <row r="86562" spans="10:10" x14ac:dyDescent="0.3">
      <c r="J86562"/>
    </row>
    <row r="86563" spans="10:10" x14ac:dyDescent="0.3">
      <c r="J86563"/>
    </row>
    <row r="86564" spans="10:10" x14ac:dyDescent="0.3">
      <c r="J86564"/>
    </row>
    <row r="86565" spans="10:10" x14ac:dyDescent="0.3">
      <c r="J86565"/>
    </row>
    <row r="86566" spans="10:10" x14ac:dyDescent="0.3">
      <c r="J86566"/>
    </row>
    <row r="86567" spans="10:10" x14ac:dyDescent="0.3">
      <c r="J86567"/>
    </row>
    <row r="86568" spans="10:10" x14ac:dyDescent="0.3">
      <c r="J86568"/>
    </row>
    <row r="86569" spans="10:10" x14ac:dyDescent="0.3">
      <c r="J86569"/>
    </row>
    <row r="86570" spans="10:10" x14ac:dyDescent="0.3">
      <c r="J86570"/>
    </row>
    <row r="86571" spans="10:10" x14ac:dyDescent="0.3">
      <c r="J86571"/>
    </row>
    <row r="86572" spans="10:10" x14ac:dyDescent="0.3">
      <c r="J86572"/>
    </row>
    <row r="86573" spans="10:10" x14ac:dyDescent="0.3">
      <c r="J86573"/>
    </row>
    <row r="86574" spans="10:10" x14ac:dyDescent="0.3">
      <c r="J86574"/>
    </row>
    <row r="86575" spans="10:10" x14ac:dyDescent="0.3">
      <c r="J86575"/>
    </row>
    <row r="86576" spans="10:10" x14ac:dyDescent="0.3">
      <c r="J86576"/>
    </row>
    <row r="86577" spans="10:10" x14ac:dyDescent="0.3">
      <c r="J86577"/>
    </row>
    <row r="86578" spans="10:10" x14ac:dyDescent="0.3">
      <c r="J86578"/>
    </row>
    <row r="86579" spans="10:10" x14ac:dyDescent="0.3">
      <c r="J86579"/>
    </row>
    <row r="86580" spans="10:10" x14ac:dyDescent="0.3">
      <c r="J86580"/>
    </row>
    <row r="86581" spans="10:10" x14ac:dyDescent="0.3">
      <c r="J86581"/>
    </row>
    <row r="86582" spans="10:10" x14ac:dyDescent="0.3">
      <c r="J86582"/>
    </row>
    <row r="86583" spans="10:10" x14ac:dyDescent="0.3">
      <c r="J86583"/>
    </row>
    <row r="86584" spans="10:10" x14ac:dyDescent="0.3">
      <c r="J86584"/>
    </row>
    <row r="86585" spans="10:10" x14ac:dyDescent="0.3">
      <c r="J86585"/>
    </row>
    <row r="86586" spans="10:10" x14ac:dyDescent="0.3">
      <c r="J86586"/>
    </row>
    <row r="86587" spans="10:10" x14ac:dyDescent="0.3">
      <c r="J86587"/>
    </row>
    <row r="86588" spans="10:10" x14ac:dyDescent="0.3">
      <c r="J86588"/>
    </row>
    <row r="86589" spans="10:10" x14ac:dyDescent="0.3">
      <c r="J86589"/>
    </row>
    <row r="86590" spans="10:10" x14ac:dyDescent="0.3">
      <c r="J86590"/>
    </row>
    <row r="86591" spans="10:10" x14ac:dyDescent="0.3">
      <c r="J86591"/>
    </row>
    <row r="86592" spans="10:10" x14ac:dyDescent="0.3">
      <c r="J86592"/>
    </row>
    <row r="86593" spans="10:10" x14ac:dyDescent="0.3">
      <c r="J86593"/>
    </row>
    <row r="86594" spans="10:10" x14ac:dyDescent="0.3">
      <c r="J86594"/>
    </row>
    <row r="86595" spans="10:10" x14ac:dyDescent="0.3">
      <c r="J86595"/>
    </row>
    <row r="86596" spans="10:10" x14ac:dyDescent="0.3">
      <c r="J86596"/>
    </row>
    <row r="86597" spans="10:10" x14ac:dyDescent="0.3">
      <c r="J86597"/>
    </row>
    <row r="86598" spans="10:10" x14ac:dyDescent="0.3">
      <c r="J86598"/>
    </row>
    <row r="86599" spans="10:10" x14ac:dyDescent="0.3">
      <c r="J86599"/>
    </row>
    <row r="86600" spans="10:10" x14ac:dyDescent="0.3">
      <c r="J86600"/>
    </row>
    <row r="86601" spans="10:10" x14ac:dyDescent="0.3">
      <c r="J86601"/>
    </row>
    <row r="86602" spans="10:10" x14ac:dyDescent="0.3">
      <c r="J86602"/>
    </row>
    <row r="86603" spans="10:10" x14ac:dyDescent="0.3">
      <c r="J86603"/>
    </row>
    <row r="86604" spans="10:10" x14ac:dyDescent="0.3">
      <c r="J86604"/>
    </row>
    <row r="86605" spans="10:10" x14ac:dyDescent="0.3">
      <c r="J86605"/>
    </row>
    <row r="86606" spans="10:10" x14ac:dyDescent="0.3">
      <c r="J86606"/>
    </row>
    <row r="86607" spans="10:10" x14ac:dyDescent="0.3">
      <c r="J86607"/>
    </row>
    <row r="86608" spans="10:10" x14ac:dyDescent="0.3">
      <c r="J86608"/>
    </row>
    <row r="86609" spans="10:10" x14ac:dyDescent="0.3">
      <c r="J86609"/>
    </row>
    <row r="86610" spans="10:10" x14ac:dyDescent="0.3">
      <c r="J86610"/>
    </row>
    <row r="86611" spans="10:10" x14ac:dyDescent="0.3">
      <c r="J86611"/>
    </row>
    <row r="86612" spans="10:10" x14ac:dyDescent="0.3">
      <c r="J86612"/>
    </row>
    <row r="86613" spans="10:10" x14ac:dyDescent="0.3">
      <c r="J86613"/>
    </row>
    <row r="86614" spans="10:10" x14ac:dyDescent="0.3">
      <c r="J86614"/>
    </row>
    <row r="86615" spans="10:10" x14ac:dyDescent="0.3">
      <c r="J86615"/>
    </row>
    <row r="86616" spans="10:10" x14ac:dyDescent="0.3">
      <c r="J86616"/>
    </row>
    <row r="86617" spans="10:10" x14ac:dyDescent="0.3">
      <c r="J86617"/>
    </row>
    <row r="86618" spans="10:10" x14ac:dyDescent="0.3">
      <c r="J86618"/>
    </row>
    <row r="86619" spans="10:10" x14ac:dyDescent="0.3">
      <c r="J86619"/>
    </row>
    <row r="86620" spans="10:10" x14ac:dyDescent="0.3">
      <c r="J86620"/>
    </row>
    <row r="86621" spans="10:10" x14ac:dyDescent="0.3">
      <c r="J86621"/>
    </row>
    <row r="86622" spans="10:10" x14ac:dyDescent="0.3">
      <c r="J86622"/>
    </row>
    <row r="86623" spans="10:10" x14ac:dyDescent="0.3">
      <c r="J86623"/>
    </row>
    <row r="86624" spans="10:10" x14ac:dyDescent="0.3">
      <c r="J86624"/>
    </row>
    <row r="86625" spans="10:10" x14ac:dyDescent="0.3">
      <c r="J86625"/>
    </row>
    <row r="86626" spans="10:10" x14ac:dyDescent="0.3">
      <c r="J86626"/>
    </row>
    <row r="86627" spans="10:10" x14ac:dyDescent="0.3">
      <c r="J86627"/>
    </row>
    <row r="86628" spans="10:10" x14ac:dyDescent="0.3">
      <c r="J86628"/>
    </row>
    <row r="86629" spans="10:10" x14ac:dyDescent="0.3">
      <c r="J86629"/>
    </row>
    <row r="86630" spans="10:10" x14ac:dyDescent="0.3">
      <c r="J86630"/>
    </row>
    <row r="86631" spans="10:10" x14ac:dyDescent="0.3">
      <c r="J86631"/>
    </row>
    <row r="86632" spans="10:10" x14ac:dyDescent="0.3">
      <c r="J86632"/>
    </row>
    <row r="86633" spans="10:10" x14ac:dyDescent="0.3">
      <c r="J86633"/>
    </row>
    <row r="86634" spans="10:10" x14ac:dyDescent="0.3">
      <c r="J86634"/>
    </row>
    <row r="86635" spans="10:10" x14ac:dyDescent="0.3">
      <c r="J86635"/>
    </row>
    <row r="86636" spans="10:10" x14ac:dyDescent="0.3">
      <c r="J86636"/>
    </row>
    <row r="86637" spans="10:10" x14ac:dyDescent="0.3">
      <c r="J86637"/>
    </row>
    <row r="86638" spans="10:10" x14ac:dyDescent="0.3">
      <c r="J86638"/>
    </row>
    <row r="86639" spans="10:10" x14ac:dyDescent="0.3">
      <c r="J86639"/>
    </row>
    <row r="86640" spans="10:10" x14ac:dyDescent="0.3">
      <c r="J86640"/>
    </row>
    <row r="86641" spans="10:10" x14ac:dyDescent="0.3">
      <c r="J86641"/>
    </row>
    <row r="86642" spans="10:10" x14ac:dyDescent="0.3">
      <c r="J86642"/>
    </row>
    <row r="86643" spans="10:10" x14ac:dyDescent="0.3">
      <c r="J86643"/>
    </row>
    <row r="86644" spans="10:10" x14ac:dyDescent="0.3">
      <c r="J86644"/>
    </row>
    <row r="86645" spans="10:10" x14ac:dyDescent="0.3">
      <c r="J86645"/>
    </row>
    <row r="86646" spans="10:10" x14ac:dyDescent="0.3">
      <c r="J86646"/>
    </row>
    <row r="86647" spans="10:10" x14ac:dyDescent="0.3">
      <c r="J86647"/>
    </row>
    <row r="86648" spans="10:10" x14ac:dyDescent="0.3">
      <c r="J86648"/>
    </row>
    <row r="86649" spans="10:10" x14ac:dyDescent="0.3">
      <c r="J86649"/>
    </row>
    <row r="86650" spans="10:10" x14ac:dyDescent="0.3">
      <c r="J86650"/>
    </row>
    <row r="86651" spans="10:10" x14ac:dyDescent="0.3">
      <c r="J86651"/>
    </row>
    <row r="86652" spans="10:10" x14ac:dyDescent="0.3">
      <c r="J86652"/>
    </row>
    <row r="86653" spans="10:10" x14ac:dyDescent="0.3">
      <c r="J86653"/>
    </row>
    <row r="86654" spans="10:10" x14ac:dyDescent="0.3">
      <c r="J86654"/>
    </row>
    <row r="86655" spans="10:10" x14ac:dyDescent="0.3">
      <c r="J86655"/>
    </row>
    <row r="86656" spans="10:10" x14ac:dyDescent="0.3">
      <c r="J86656"/>
    </row>
    <row r="86657" spans="10:10" x14ac:dyDescent="0.3">
      <c r="J86657"/>
    </row>
    <row r="86658" spans="10:10" x14ac:dyDescent="0.3">
      <c r="J86658"/>
    </row>
    <row r="86659" spans="10:10" x14ac:dyDescent="0.3">
      <c r="J86659"/>
    </row>
    <row r="86660" spans="10:10" x14ac:dyDescent="0.3">
      <c r="J86660"/>
    </row>
    <row r="86661" spans="10:10" x14ac:dyDescent="0.3">
      <c r="J86661"/>
    </row>
    <row r="86662" spans="10:10" x14ac:dyDescent="0.3">
      <c r="J86662"/>
    </row>
    <row r="86663" spans="10:10" x14ac:dyDescent="0.3">
      <c r="J86663"/>
    </row>
    <row r="86664" spans="10:10" x14ac:dyDescent="0.3">
      <c r="J86664"/>
    </row>
    <row r="86665" spans="10:10" x14ac:dyDescent="0.3">
      <c r="J86665"/>
    </row>
    <row r="86666" spans="10:10" x14ac:dyDescent="0.3">
      <c r="J86666"/>
    </row>
    <row r="86667" spans="10:10" x14ac:dyDescent="0.3">
      <c r="J86667"/>
    </row>
    <row r="86668" spans="10:10" x14ac:dyDescent="0.3">
      <c r="J86668"/>
    </row>
    <row r="86669" spans="10:10" x14ac:dyDescent="0.3">
      <c r="J86669"/>
    </row>
    <row r="86670" spans="10:10" x14ac:dyDescent="0.3">
      <c r="J86670"/>
    </row>
    <row r="86671" spans="10:10" x14ac:dyDescent="0.3">
      <c r="J86671"/>
    </row>
    <row r="86672" spans="10:10" x14ac:dyDescent="0.3">
      <c r="J86672"/>
    </row>
    <row r="86673" spans="10:10" x14ac:dyDescent="0.3">
      <c r="J86673"/>
    </row>
    <row r="86674" spans="10:10" x14ac:dyDescent="0.3">
      <c r="J86674"/>
    </row>
    <row r="86675" spans="10:10" x14ac:dyDescent="0.3">
      <c r="J86675"/>
    </row>
    <row r="86676" spans="10:10" x14ac:dyDescent="0.3">
      <c r="J86676"/>
    </row>
    <row r="86677" spans="10:10" x14ac:dyDescent="0.3">
      <c r="J86677"/>
    </row>
    <row r="86678" spans="10:10" x14ac:dyDescent="0.3">
      <c r="J86678"/>
    </row>
    <row r="86679" spans="10:10" x14ac:dyDescent="0.3">
      <c r="J86679"/>
    </row>
    <row r="86680" spans="10:10" x14ac:dyDescent="0.3">
      <c r="J86680"/>
    </row>
    <row r="86681" spans="10:10" x14ac:dyDescent="0.3">
      <c r="J86681"/>
    </row>
    <row r="86682" spans="10:10" x14ac:dyDescent="0.3">
      <c r="J86682"/>
    </row>
    <row r="86683" spans="10:10" x14ac:dyDescent="0.3">
      <c r="J86683"/>
    </row>
    <row r="86684" spans="10:10" x14ac:dyDescent="0.3">
      <c r="J86684"/>
    </row>
    <row r="86685" spans="10:10" x14ac:dyDescent="0.3">
      <c r="J86685"/>
    </row>
    <row r="86686" spans="10:10" x14ac:dyDescent="0.3">
      <c r="J86686"/>
    </row>
    <row r="86687" spans="10:10" x14ac:dyDescent="0.3">
      <c r="J86687"/>
    </row>
    <row r="86688" spans="10:10" x14ac:dyDescent="0.3">
      <c r="J86688"/>
    </row>
    <row r="86689" spans="10:10" x14ac:dyDescent="0.3">
      <c r="J86689"/>
    </row>
    <row r="86690" spans="10:10" x14ac:dyDescent="0.3">
      <c r="J86690"/>
    </row>
    <row r="86691" spans="10:10" x14ac:dyDescent="0.3">
      <c r="J86691"/>
    </row>
    <row r="86692" spans="10:10" x14ac:dyDescent="0.3">
      <c r="J86692"/>
    </row>
    <row r="86693" spans="10:10" x14ac:dyDescent="0.3">
      <c r="J86693"/>
    </row>
    <row r="86694" spans="10:10" x14ac:dyDescent="0.3">
      <c r="J86694"/>
    </row>
    <row r="86695" spans="10:10" x14ac:dyDescent="0.3">
      <c r="J86695"/>
    </row>
    <row r="86696" spans="10:10" x14ac:dyDescent="0.3">
      <c r="J86696"/>
    </row>
    <row r="86697" spans="10:10" x14ac:dyDescent="0.3">
      <c r="J86697"/>
    </row>
    <row r="86698" spans="10:10" x14ac:dyDescent="0.3">
      <c r="J86698"/>
    </row>
    <row r="86699" spans="10:10" x14ac:dyDescent="0.3">
      <c r="J86699"/>
    </row>
    <row r="86700" spans="10:10" x14ac:dyDescent="0.3">
      <c r="J86700"/>
    </row>
    <row r="86701" spans="10:10" x14ac:dyDescent="0.3">
      <c r="J86701"/>
    </row>
    <row r="86702" spans="10:10" x14ac:dyDescent="0.3">
      <c r="J86702"/>
    </row>
    <row r="86703" spans="10:10" x14ac:dyDescent="0.3">
      <c r="J86703"/>
    </row>
    <row r="86704" spans="10:10" x14ac:dyDescent="0.3">
      <c r="J86704"/>
    </row>
    <row r="86705" spans="10:10" x14ac:dyDescent="0.3">
      <c r="J86705"/>
    </row>
    <row r="86706" spans="10:10" x14ac:dyDescent="0.3">
      <c r="J86706"/>
    </row>
    <row r="86707" spans="10:10" x14ac:dyDescent="0.3">
      <c r="J86707"/>
    </row>
    <row r="86708" spans="10:10" x14ac:dyDescent="0.3">
      <c r="J86708"/>
    </row>
    <row r="86709" spans="10:10" x14ac:dyDescent="0.3">
      <c r="J86709"/>
    </row>
    <row r="86710" spans="10:10" x14ac:dyDescent="0.3">
      <c r="J86710"/>
    </row>
    <row r="86711" spans="10:10" x14ac:dyDescent="0.3">
      <c r="J86711"/>
    </row>
    <row r="86712" spans="10:10" x14ac:dyDescent="0.3">
      <c r="J86712"/>
    </row>
    <row r="86713" spans="10:10" x14ac:dyDescent="0.3">
      <c r="J86713"/>
    </row>
    <row r="86714" spans="10:10" x14ac:dyDescent="0.3">
      <c r="J86714"/>
    </row>
    <row r="86715" spans="10:10" x14ac:dyDescent="0.3">
      <c r="J86715"/>
    </row>
    <row r="86716" spans="10:10" x14ac:dyDescent="0.3">
      <c r="J86716"/>
    </row>
    <row r="86717" spans="10:10" x14ac:dyDescent="0.3">
      <c r="J86717"/>
    </row>
    <row r="86718" spans="10:10" x14ac:dyDescent="0.3">
      <c r="J86718"/>
    </row>
    <row r="86719" spans="10:10" x14ac:dyDescent="0.3">
      <c r="J86719"/>
    </row>
    <row r="86720" spans="10:10" x14ac:dyDescent="0.3">
      <c r="J86720"/>
    </row>
    <row r="86721" spans="10:10" x14ac:dyDescent="0.3">
      <c r="J86721"/>
    </row>
    <row r="86722" spans="10:10" x14ac:dyDescent="0.3">
      <c r="J86722"/>
    </row>
    <row r="86723" spans="10:10" x14ac:dyDescent="0.3">
      <c r="J86723"/>
    </row>
    <row r="86724" spans="10:10" x14ac:dyDescent="0.3">
      <c r="J86724"/>
    </row>
    <row r="86725" spans="10:10" x14ac:dyDescent="0.3">
      <c r="J86725"/>
    </row>
    <row r="86726" spans="10:10" x14ac:dyDescent="0.3">
      <c r="J86726"/>
    </row>
    <row r="86727" spans="10:10" x14ac:dyDescent="0.3">
      <c r="J86727"/>
    </row>
    <row r="86728" spans="10:10" x14ac:dyDescent="0.3">
      <c r="J86728"/>
    </row>
    <row r="86729" spans="10:10" x14ac:dyDescent="0.3">
      <c r="J86729"/>
    </row>
    <row r="86730" spans="10:10" x14ac:dyDescent="0.3">
      <c r="J86730"/>
    </row>
    <row r="86731" spans="10:10" x14ac:dyDescent="0.3">
      <c r="J86731"/>
    </row>
    <row r="86732" spans="10:10" x14ac:dyDescent="0.3">
      <c r="J86732"/>
    </row>
    <row r="86733" spans="10:10" x14ac:dyDescent="0.3">
      <c r="J86733"/>
    </row>
    <row r="86734" spans="10:10" x14ac:dyDescent="0.3">
      <c r="J86734"/>
    </row>
    <row r="86735" spans="10:10" x14ac:dyDescent="0.3">
      <c r="J86735"/>
    </row>
    <row r="86736" spans="10:10" x14ac:dyDescent="0.3">
      <c r="J86736"/>
    </row>
    <row r="86737" spans="10:10" x14ac:dyDescent="0.3">
      <c r="J86737"/>
    </row>
    <row r="86738" spans="10:10" x14ac:dyDescent="0.3">
      <c r="J86738"/>
    </row>
    <row r="86739" spans="10:10" x14ac:dyDescent="0.3">
      <c r="J86739"/>
    </row>
    <row r="86740" spans="10:10" x14ac:dyDescent="0.3">
      <c r="J86740"/>
    </row>
    <row r="86741" spans="10:10" x14ac:dyDescent="0.3">
      <c r="J86741"/>
    </row>
    <row r="86742" spans="10:10" x14ac:dyDescent="0.3">
      <c r="J86742"/>
    </row>
    <row r="86743" spans="10:10" x14ac:dyDescent="0.3">
      <c r="J86743"/>
    </row>
    <row r="86744" spans="10:10" x14ac:dyDescent="0.3">
      <c r="J86744"/>
    </row>
    <row r="86745" spans="10:10" x14ac:dyDescent="0.3">
      <c r="J86745"/>
    </row>
    <row r="86746" spans="10:10" x14ac:dyDescent="0.3">
      <c r="J86746"/>
    </row>
    <row r="86747" spans="10:10" x14ac:dyDescent="0.3">
      <c r="J86747"/>
    </row>
    <row r="86748" spans="10:10" x14ac:dyDescent="0.3">
      <c r="J86748"/>
    </row>
    <row r="86749" spans="10:10" x14ac:dyDescent="0.3">
      <c r="J86749"/>
    </row>
    <row r="86750" spans="10:10" x14ac:dyDescent="0.3">
      <c r="J86750"/>
    </row>
    <row r="86751" spans="10:10" x14ac:dyDescent="0.3">
      <c r="J86751"/>
    </row>
    <row r="86752" spans="10:10" x14ac:dyDescent="0.3">
      <c r="J86752"/>
    </row>
    <row r="86753" spans="10:10" x14ac:dyDescent="0.3">
      <c r="J86753"/>
    </row>
    <row r="86754" spans="10:10" x14ac:dyDescent="0.3">
      <c r="J86754"/>
    </row>
    <row r="86755" spans="10:10" x14ac:dyDescent="0.3">
      <c r="J86755"/>
    </row>
    <row r="86756" spans="10:10" x14ac:dyDescent="0.3">
      <c r="J86756"/>
    </row>
    <row r="86757" spans="10:10" x14ac:dyDescent="0.3">
      <c r="J86757"/>
    </row>
    <row r="86758" spans="10:10" x14ac:dyDescent="0.3">
      <c r="J86758"/>
    </row>
    <row r="86759" spans="10:10" x14ac:dyDescent="0.3">
      <c r="J86759"/>
    </row>
    <row r="86760" spans="10:10" x14ac:dyDescent="0.3">
      <c r="J86760"/>
    </row>
    <row r="86761" spans="10:10" x14ac:dyDescent="0.3">
      <c r="J86761"/>
    </row>
    <row r="86762" spans="10:10" x14ac:dyDescent="0.3">
      <c r="J86762"/>
    </row>
    <row r="86763" spans="10:10" x14ac:dyDescent="0.3">
      <c r="J86763"/>
    </row>
    <row r="86764" spans="10:10" x14ac:dyDescent="0.3">
      <c r="J86764"/>
    </row>
    <row r="86765" spans="10:10" x14ac:dyDescent="0.3">
      <c r="J86765"/>
    </row>
    <row r="86766" spans="10:10" x14ac:dyDescent="0.3">
      <c r="J86766"/>
    </row>
    <row r="86767" spans="10:10" x14ac:dyDescent="0.3">
      <c r="J86767"/>
    </row>
    <row r="86768" spans="10:10" x14ac:dyDescent="0.3">
      <c r="J86768"/>
    </row>
    <row r="86769" spans="10:10" x14ac:dyDescent="0.3">
      <c r="J86769"/>
    </row>
    <row r="86770" spans="10:10" x14ac:dyDescent="0.3">
      <c r="J86770"/>
    </row>
    <row r="86771" spans="10:10" x14ac:dyDescent="0.3">
      <c r="J86771"/>
    </row>
    <row r="86772" spans="10:10" x14ac:dyDescent="0.3">
      <c r="J86772"/>
    </row>
    <row r="86773" spans="10:10" x14ac:dyDescent="0.3">
      <c r="J86773"/>
    </row>
    <row r="86774" spans="10:10" x14ac:dyDescent="0.3">
      <c r="J86774"/>
    </row>
    <row r="86775" spans="10:10" x14ac:dyDescent="0.3">
      <c r="J86775"/>
    </row>
    <row r="86776" spans="10:10" x14ac:dyDescent="0.3">
      <c r="J86776"/>
    </row>
    <row r="86777" spans="10:10" x14ac:dyDescent="0.3">
      <c r="J86777"/>
    </row>
    <row r="86778" spans="10:10" x14ac:dyDescent="0.3">
      <c r="J86778"/>
    </row>
    <row r="86779" spans="10:10" x14ac:dyDescent="0.3">
      <c r="J86779"/>
    </row>
    <row r="86780" spans="10:10" x14ac:dyDescent="0.3">
      <c r="J86780"/>
    </row>
    <row r="86781" spans="10:10" x14ac:dyDescent="0.3">
      <c r="J86781"/>
    </row>
    <row r="86782" spans="10:10" x14ac:dyDescent="0.3">
      <c r="J86782"/>
    </row>
    <row r="86783" spans="10:10" x14ac:dyDescent="0.3">
      <c r="J86783"/>
    </row>
    <row r="86784" spans="10:10" x14ac:dyDescent="0.3">
      <c r="J86784"/>
    </row>
    <row r="86785" spans="10:10" x14ac:dyDescent="0.3">
      <c r="J86785"/>
    </row>
    <row r="86786" spans="10:10" x14ac:dyDescent="0.3">
      <c r="J86786"/>
    </row>
    <row r="86787" spans="10:10" x14ac:dyDescent="0.3">
      <c r="J86787"/>
    </row>
    <row r="86788" spans="10:10" x14ac:dyDescent="0.3">
      <c r="J86788"/>
    </row>
    <row r="86789" spans="10:10" x14ac:dyDescent="0.3">
      <c r="J86789"/>
    </row>
    <row r="86790" spans="10:10" x14ac:dyDescent="0.3">
      <c r="J86790"/>
    </row>
    <row r="86791" spans="10:10" x14ac:dyDescent="0.3">
      <c r="J86791"/>
    </row>
    <row r="86792" spans="10:10" x14ac:dyDescent="0.3">
      <c r="J86792"/>
    </row>
    <row r="86793" spans="10:10" x14ac:dyDescent="0.3">
      <c r="J86793"/>
    </row>
    <row r="86794" spans="10:10" x14ac:dyDescent="0.3">
      <c r="J86794"/>
    </row>
    <row r="86795" spans="10:10" x14ac:dyDescent="0.3">
      <c r="J86795"/>
    </row>
    <row r="86796" spans="10:10" x14ac:dyDescent="0.3">
      <c r="J86796"/>
    </row>
    <row r="86797" spans="10:10" x14ac:dyDescent="0.3">
      <c r="J86797"/>
    </row>
    <row r="86798" spans="10:10" x14ac:dyDescent="0.3">
      <c r="J86798"/>
    </row>
    <row r="86799" spans="10:10" x14ac:dyDescent="0.3">
      <c r="J86799"/>
    </row>
    <row r="86800" spans="10:10" x14ac:dyDescent="0.3">
      <c r="J86800"/>
    </row>
    <row r="86801" spans="10:10" x14ac:dyDescent="0.3">
      <c r="J86801"/>
    </row>
    <row r="86802" spans="10:10" x14ac:dyDescent="0.3">
      <c r="J86802"/>
    </row>
    <row r="86803" spans="10:10" x14ac:dyDescent="0.3">
      <c r="J86803"/>
    </row>
    <row r="86804" spans="10:10" x14ac:dyDescent="0.3">
      <c r="J86804"/>
    </row>
    <row r="86805" spans="10:10" x14ac:dyDescent="0.3">
      <c r="J86805"/>
    </row>
    <row r="86806" spans="10:10" x14ac:dyDescent="0.3">
      <c r="J86806"/>
    </row>
    <row r="86807" spans="10:10" x14ac:dyDescent="0.3">
      <c r="J86807"/>
    </row>
    <row r="86808" spans="10:10" x14ac:dyDescent="0.3">
      <c r="J86808"/>
    </row>
    <row r="86809" spans="10:10" x14ac:dyDescent="0.3">
      <c r="J86809"/>
    </row>
    <row r="86810" spans="10:10" x14ac:dyDescent="0.3">
      <c r="J86810"/>
    </row>
    <row r="86811" spans="10:10" x14ac:dyDescent="0.3">
      <c r="J86811"/>
    </row>
    <row r="86812" spans="10:10" x14ac:dyDescent="0.3">
      <c r="J86812"/>
    </row>
    <row r="86813" spans="10:10" x14ac:dyDescent="0.3">
      <c r="J86813"/>
    </row>
    <row r="86814" spans="10:10" x14ac:dyDescent="0.3">
      <c r="J86814"/>
    </row>
    <row r="86815" spans="10:10" x14ac:dyDescent="0.3">
      <c r="J86815"/>
    </row>
    <row r="86816" spans="10:10" x14ac:dyDescent="0.3">
      <c r="J86816"/>
    </row>
    <row r="86817" spans="10:10" x14ac:dyDescent="0.3">
      <c r="J86817"/>
    </row>
    <row r="86818" spans="10:10" x14ac:dyDescent="0.3">
      <c r="J86818"/>
    </row>
    <row r="86819" spans="10:10" x14ac:dyDescent="0.3">
      <c r="J86819"/>
    </row>
    <row r="86820" spans="10:10" x14ac:dyDescent="0.3">
      <c r="J86820"/>
    </row>
    <row r="86821" spans="10:10" x14ac:dyDescent="0.3">
      <c r="J86821"/>
    </row>
    <row r="86822" spans="10:10" x14ac:dyDescent="0.3">
      <c r="J86822"/>
    </row>
    <row r="86823" spans="10:10" x14ac:dyDescent="0.3">
      <c r="J86823"/>
    </row>
    <row r="86824" spans="10:10" x14ac:dyDescent="0.3">
      <c r="J86824"/>
    </row>
    <row r="86825" spans="10:10" x14ac:dyDescent="0.3">
      <c r="J86825"/>
    </row>
    <row r="86826" spans="10:10" x14ac:dyDescent="0.3">
      <c r="J86826"/>
    </row>
    <row r="86827" spans="10:10" x14ac:dyDescent="0.3">
      <c r="J86827"/>
    </row>
    <row r="86828" spans="10:10" x14ac:dyDescent="0.3">
      <c r="J86828"/>
    </row>
    <row r="86829" spans="10:10" x14ac:dyDescent="0.3">
      <c r="J86829"/>
    </row>
    <row r="86830" spans="10:10" x14ac:dyDescent="0.3">
      <c r="J86830"/>
    </row>
    <row r="86831" spans="10:10" x14ac:dyDescent="0.3">
      <c r="J86831"/>
    </row>
    <row r="86832" spans="10:10" x14ac:dyDescent="0.3">
      <c r="J86832"/>
    </row>
    <row r="86833" spans="10:10" x14ac:dyDescent="0.3">
      <c r="J86833"/>
    </row>
    <row r="86834" spans="10:10" x14ac:dyDescent="0.3">
      <c r="J86834"/>
    </row>
    <row r="86835" spans="10:10" x14ac:dyDescent="0.3">
      <c r="J86835"/>
    </row>
    <row r="86836" spans="10:10" x14ac:dyDescent="0.3">
      <c r="J86836"/>
    </row>
    <row r="86837" spans="10:10" x14ac:dyDescent="0.3">
      <c r="J86837"/>
    </row>
    <row r="86838" spans="10:10" x14ac:dyDescent="0.3">
      <c r="J86838"/>
    </row>
    <row r="86839" spans="10:10" x14ac:dyDescent="0.3">
      <c r="J86839"/>
    </row>
    <row r="86840" spans="10:10" x14ac:dyDescent="0.3">
      <c r="J86840"/>
    </row>
    <row r="86841" spans="10:10" x14ac:dyDescent="0.3">
      <c r="J86841"/>
    </row>
    <row r="86842" spans="10:10" x14ac:dyDescent="0.3">
      <c r="J86842"/>
    </row>
    <row r="86843" spans="10:10" x14ac:dyDescent="0.3">
      <c r="J86843"/>
    </row>
    <row r="86844" spans="10:10" x14ac:dyDescent="0.3">
      <c r="J86844"/>
    </row>
    <row r="86845" spans="10:10" x14ac:dyDescent="0.3">
      <c r="J86845"/>
    </row>
    <row r="86846" spans="10:10" x14ac:dyDescent="0.3">
      <c r="J86846"/>
    </row>
    <row r="86847" spans="10:10" x14ac:dyDescent="0.3">
      <c r="J86847"/>
    </row>
    <row r="86848" spans="10:10" x14ac:dyDescent="0.3">
      <c r="J86848"/>
    </row>
    <row r="86849" spans="10:10" x14ac:dyDescent="0.3">
      <c r="J86849"/>
    </row>
    <row r="86850" spans="10:10" x14ac:dyDescent="0.3">
      <c r="J86850"/>
    </row>
    <row r="86851" spans="10:10" x14ac:dyDescent="0.3">
      <c r="J86851"/>
    </row>
    <row r="86852" spans="10:10" x14ac:dyDescent="0.3">
      <c r="J86852"/>
    </row>
    <row r="86853" spans="10:10" x14ac:dyDescent="0.3">
      <c r="J86853"/>
    </row>
    <row r="86854" spans="10:10" x14ac:dyDescent="0.3">
      <c r="J86854"/>
    </row>
    <row r="86855" spans="10:10" x14ac:dyDescent="0.3">
      <c r="J86855"/>
    </row>
    <row r="86856" spans="10:10" x14ac:dyDescent="0.3">
      <c r="J86856"/>
    </row>
    <row r="86857" spans="10:10" x14ac:dyDescent="0.3">
      <c r="J86857"/>
    </row>
    <row r="86858" spans="10:10" x14ac:dyDescent="0.3">
      <c r="J86858"/>
    </row>
    <row r="86859" spans="10:10" x14ac:dyDescent="0.3">
      <c r="J86859"/>
    </row>
    <row r="86860" spans="10:10" x14ac:dyDescent="0.3">
      <c r="J86860"/>
    </row>
    <row r="86861" spans="10:10" x14ac:dyDescent="0.3">
      <c r="J86861"/>
    </row>
    <row r="86862" spans="10:10" x14ac:dyDescent="0.3">
      <c r="J86862"/>
    </row>
    <row r="86863" spans="10:10" x14ac:dyDescent="0.3">
      <c r="J86863"/>
    </row>
    <row r="86864" spans="10:10" x14ac:dyDescent="0.3">
      <c r="J86864"/>
    </row>
    <row r="86865" spans="10:10" x14ac:dyDescent="0.3">
      <c r="J86865"/>
    </row>
    <row r="86866" spans="10:10" x14ac:dyDescent="0.3">
      <c r="J86866"/>
    </row>
    <row r="86867" spans="10:10" x14ac:dyDescent="0.3">
      <c r="J86867"/>
    </row>
    <row r="86868" spans="10:10" x14ac:dyDescent="0.3">
      <c r="J86868"/>
    </row>
    <row r="86869" spans="10:10" x14ac:dyDescent="0.3">
      <c r="J86869"/>
    </row>
    <row r="86870" spans="10:10" x14ac:dyDescent="0.3">
      <c r="J86870"/>
    </row>
    <row r="86871" spans="10:10" x14ac:dyDescent="0.3">
      <c r="J86871"/>
    </row>
    <row r="86872" spans="10:10" x14ac:dyDescent="0.3">
      <c r="J86872"/>
    </row>
    <row r="86873" spans="10:10" x14ac:dyDescent="0.3">
      <c r="J86873"/>
    </row>
    <row r="86874" spans="10:10" x14ac:dyDescent="0.3">
      <c r="J86874"/>
    </row>
    <row r="86875" spans="10:10" x14ac:dyDescent="0.3">
      <c r="J86875"/>
    </row>
    <row r="86876" spans="10:10" x14ac:dyDescent="0.3">
      <c r="J86876"/>
    </row>
    <row r="86877" spans="10:10" x14ac:dyDescent="0.3">
      <c r="J86877"/>
    </row>
    <row r="86878" spans="10:10" x14ac:dyDescent="0.3">
      <c r="J86878"/>
    </row>
    <row r="86879" spans="10:10" x14ac:dyDescent="0.3">
      <c r="J86879"/>
    </row>
    <row r="86880" spans="10:10" x14ac:dyDescent="0.3">
      <c r="J86880"/>
    </row>
    <row r="86881" spans="10:10" x14ac:dyDescent="0.3">
      <c r="J86881"/>
    </row>
    <row r="86882" spans="10:10" x14ac:dyDescent="0.3">
      <c r="J86882"/>
    </row>
    <row r="86883" spans="10:10" x14ac:dyDescent="0.3">
      <c r="J86883"/>
    </row>
    <row r="86884" spans="10:10" x14ac:dyDescent="0.3">
      <c r="J86884"/>
    </row>
    <row r="86885" spans="10:10" x14ac:dyDescent="0.3">
      <c r="J86885"/>
    </row>
    <row r="86886" spans="10:10" x14ac:dyDescent="0.3">
      <c r="J86886"/>
    </row>
    <row r="86887" spans="10:10" x14ac:dyDescent="0.3">
      <c r="J86887"/>
    </row>
    <row r="86888" spans="10:10" x14ac:dyDescent="0.3">
      <c r="J86888"/>
    </row>
    <row r="86889" spans="10:10" x14ac:dyDescent="0.3">
      <c r="J86889"/>
    </row>
    <row r="86890" spans="10:10" x14ac:dyDescent="0.3">
      <c r="J86890"/>
    </row>
    <row r="86891" spans="10:10" x14ac:dyDescent="0.3">
      <c r="J86891"/>
    </row>
    <row r="86892" spans="10:10" x14ac:dyDescent="0.3">
      <c r="J86892"/>
    </row>
    <row r="86893" spans="10:10" x14ac:dyDescent="0.3">
      <c r="J86893"/>
    </row>
    <row r="86894" spans="10:10" x14ac:dyDescent="0.3">
      <c r="J86894"/>
    </row>
    <row r="86895" spans="10:10" x14ac:dyDescent="0.3">
      <c r="J86895"/>
    </row>
    <row r="86896" spans="10:10" x14ac:dyDescent="0.3">
      <c r="J86896"/>
    </row>
    <row r="86897" spans="10:10" x14ac:dyDescent="0.3">
      <c r="J86897"/>
    </row>
    <row r="86898" spans="10:10" x14ac:dyDescent="0.3">
      <c r="J86898"/>
    </row>
    <row r="86899" spans="10:10" x14ac:dyDescent="0.3">
      <c r="J86899"/>
    </row>
    <row r="86900" spans="10:10" x14ac:dyDescent="0.3">
      <c r="J86900"/>
    </row>
    <row r="86901" spans="10:10" x14ac:dyDescent="0.3">
      <c r="J86901"/>
    </row>
    <row r="86902" spans="10:10" x14ac:dyDescent="0.3">
      <c r="J86902"/>
    </row>
    <row r="86903" spans="10:10" x14ac:dyDescent="0.3">
      <c r="J86903"/>
    </row>
    <row r="86904" spans="10:10" x14ac:dyDescent="0.3">
      <c r="J86904"/>
    </row>
    <row r="86905" spans="10:10" x14ac:dyDescent="0.3">
      <c r="J86905"/>
    </row>
    <row r="86906" spans="10:10" x14ac:dyDescent="0.3">
      <c r="J86906"/>
    </row>
    <row r="86907" spans="10:10" x14ac:dyDescent="0.3">
      <c r="J86907"/>
    </row>
    <row r="86908" spans="10:10" x14ac:dyDescent="0.3">
      <c r="J86908"/>
    </row>
    <row r="86909" spans="10:10" x14ac:dyDescent="0.3">
      <c r="J86909"/>
    </row>
    <row r="86910" spans="10:10" x14ac:dyDescent="0.3">
      <c r="J86910"/>
    </row>
    <row r="86911" spans="10:10" x14ac:dyDescent="0.3">
      <c r="J86911"/>
    </row>
    <row r="86912" spans="10:10" x14ac:dyDescent="0.3">
      <c r="J86912"/>
    </row>
    <row r="86913" spans="10:10" x14ac:dyDescent="0.3">
      <c r="J86913"/>
    </row>
    <row r="86914" spans="10:10" x14ac:dyDescent="0.3">
      <c r="J86914"/>
    </row>
    <row r="86915" spans="10:10" x14ac:dyDescent="0.3">
      <c r="J86915"/>
    </row>
    <row r="86916" spans="10:10" x14ac:dyDescent="0.3">
      <c r="J86916"/>
    </row>
    <row r="86917" spans="10:10" x14ac:dyDescent="0.3">
      <c r="J86917"/>
    </row>
    <row r="86918" spans="10:10" x14ac:dyDescent="0.3">
      <c r="J86918"/>
    </row>
    <row r="86919" spans="10:10" x14ac:dyDescent="0.3">
      <c r="J86919"/>
    </row>
    <row r="86920" spans="10:10" x14ac:dyDescent="0.3">
      <c r="J86920"/>
    </row>
    <row r="86921" spans="10:10" x14ac:dyDescent="0.3">
      <c r="J86921"/>
    </row>
    <row r="86922" spans="10:10" x14ac:dyDescent="0.3">
      <c r="J86922"/>
    </row>
    <row r="86923" spans="10:10" x14ac:dyDescent="0.3">
      <c r="J86923"/>
    </row>
    <row r="86924" spans="10:10" x14ac:dyDescent="0.3">
      <c r="J86924"/>
    </row>
    <row r="86925" spans="10:10" x14ac:dyDescent="0.3">
      <c r="J86925"/>
    </row>
    <row r="86926" spans="10:10" x14ac:dyDescent="0.3">
      <c r="J86926"/>
    </row>
    <row r="86927" spans="10:10" x14ac:dyDescent="0.3">
      <c r="J86927"/>
    </row>
    <row r="86928" spans="10:10" x14ac:dyDescent="0.3">
      <c r="J86928"/>
    </row>
    <row r="86929" spans="10:10" x14ac:dyDescent="0.3">
      <c r="J86929"/>
    </row>
    <row r="86930" spans="10:10" x14ac:dyDescent="0.3">
      <c r="J86930"/>
    </row>
    <row r="86931" spans="10:10" x14ac:dyDescent="0.3">
      <c r="J86931"/>
    </row>
    <row r="86932" spans="10:10" x14ac:dyDescent="0.3">
      <c r="J86932"/>
    </row>
    <row r="86933" spans="10:10" x14ac:dyDescent="0.3">
      <c r="J86933"/>
    </row>
    <row r="86934" spans="10:10" x14ac:dyDescent="0.3">
      <c r="J86934"/>
    </row>
    <row r="86935" spans="10:10" x14ac:dyDescent="0.3">
      <c r="J86935"/>
    </row>
    <row r="86936" spans="10:10" x14ac:dyDescent="0.3">
      <c r="J86936"/>
    </row>
    <row r="86937" spans="10:10" x14ac:dyDescent="0.3">
      <c r="J86937"/>
    </row>
    <row r="86938" spans="10:10" x14ac:dyDescent="0.3">
      <c r="J86938"/>
    </row>
    <row r="86939" spans="10:10" x14ac:dyDescent="0.3">
      <c r="J86939"/>
    </row>
    <row r="86940" spans="10:10" x14ac:dyDescent="0.3">
      <c r="J86940"/>
    </row>
    <row r="86941" spans="10:10" x14ac:dyDescent="0.3">
      <c r="J86941"/>
    </row>
    <row r="86942" spans="10:10" x14ac:dyDescent="0.3">
      <c r="J86942"/>
    </row>
    <row r="86943" spans="10:10" x14ac:dyDescent="0.3">
      <c r="J86943"/>
    </row>
    <row r="86944" spans="10:10" x14ac:dyDescent="0.3">
      <c r="J86944"/>
    </row>
    <row r="86945" spans="10:10" x14ac:dyDescent="0.3">
      <c r="J86945"/>
    </row>
    <row r="86946" spans="10:10" x14ac:dyDescent="0.3">
      <c r="J86946"/>
    </row>
    <row r="86947" spans="10:10" x14ac:dyDescent="0.3">
      <c r="J86947"/>
    </row>
    <row r="86948" spans="10:10" x14ac:dyDescent="0.3">
      <c r="J86948"/>
    </row>
    <row r="86949" spans="10:10" x14ac:dyDescent="0.3">
      <c r="J86949"/>
    </row>
    <row r="86950" spans="10:10" x14ac:dyDescent="0.3">
      <c r="J86950"/>
    </row>
    <row r="86951" spans="10:10" x14ac:dyDescent="0.3">
      <c r="J86951"/>
    </row>
    <row r="86952" spans="10:10" x14ac:dyDescent="0.3">
      <c r="J86952"/>
    </row>
    <row r="86953" spans="10:10" x14ac:dyDescent="0.3">
      <c r="J86953"/>
    </row>
    <row r="86954" spans="10:10" x14ac:dyDescent="0.3">
      <c r="J86954"/>
    </row>
    <row r="86955" spans="10:10" x14ac:dyDescent="0.3">
      <c r="J86955"/>
    </row>
    <row r="86956" spans="10:10" x14ac:dyDescent="0.3">
      <c r="J86956"/>
    </row>
    <row r="86957" spans="10:10" x14ac:dyDescent="0.3">
      <c r="J86957"/>
    </row>
    <row r="86958" spans="10:10" x14ac:dyDescent="0.3">
      <c r="J86958"/>
    </row>
    <row r="86959" spans="10:10" x14ac:dyDescent="0.3">
      <c r="J86959"/>
    </row>
    <row r="86960" spans="10:10" x14ac:dyDescent="0.3">
      <c r="J86960"/>
    </row>
    <row r="86961" spans="10:10" x14ac:dyDescent="0.3">
      <c r="J86961"/>
    </row>
    <row r="86962" spans="10:10" x14ac:dyDescent="0.3">
      <c r="J86962"/>
    </row>
    <row r="86963" spans="10:10" x14ac:dyDescent="0.3">
      <c r="J86963"/>
    </row>
    <row r="86964" spans="10:10" x14ac:dyDescent="0.3">
      <c r="J86964"/>
    </row>
    <row r="86965" spans="10:10" x14ac:dyDescent="0.3">
      <c r="J86965"/>
    </row>
    <row r="86966" spans="10:10" x14ac:dyDescent="0.3">
      <c r="J86966"/>
    </row>
    <row r="86967" spans="10:10" x14ac:dyDescent="0.3">
      <c r="J86967"/>
    </row>
    <row r="86968" spans="10:10" x14ac:dyDescent="0.3">
      <c r="J86968"/>
    </row>
    <row r="86969" spans="10:10" x14ac:dyDescent="0.3">
      <c r="J86969"/>
    </row>
    <row r="86970" spans="10:10" x14ac:dyDescent="0.3">
      <c r="J86970"/>
    </row>
    <row r="86971" spans="10:10" x14ac:dyDescent="0.3">
      <c r="J86971"/>
    </row>
    <row r="86972" spans="10:10" x14ac:dyDescent="0.3">
      <c r="J86972"/>
    </row>
    <row r="86973" spans="10:10" x14ac:dyDescent="0.3">
      <c r="J86973"/>
    </row>
    <row r="86974" spans="10:10" x14ac:dyDescent="0.3">
      <c r="J86974"/>
    </row>
    <row r="86975" spans="10:10" x14ac:dyDescent="0.3">
      <c r="J86975"/>
    </row>
    <row r="86976" spans="10:10" x14ac:dyDescent="0.3">
      <c r="J86976"/>
    </row>
    <row r="86977" spans="10:10" x14ac:dyDescent="0.3">
      <c r="J86977"/>
    </row>
    <row r="86978" spans="10:10" x14ac:dyDescent="0.3">
      <c r="J86978"/>
    </row>
    <row r="86979" spans="10:10" x14ac:dyDescent="0.3">
      <c r="J86979"/>
    </row>
    <row r="86980" spans="10:10" x14ac:dyDescent="0.3">
      <c r="J86980"/>
    </row>
    <row r="86981" spans="10:10" x14ac:dyDescent="0.3">
      <c r="J86981"/>
    </row>
    <row r="86982" spans="10:10" x14ac:dyDescent="0.3">
      <c r="J86982"/>
    </row>
    <row r="86983" spans="10:10" x14ac:dyDescent="0.3">
      <c r="J86983"/>
    </row>
    <row r="86984" spans="10:10" x14ac:dyDescent="0.3">
      <c r="J86984"/>
    </row>
    <row r="86985" spans="10:10" x14ac:dyDescent="0.3">
      <c r="J86985"/>
    </row>
    <row r="86986" spans="10:10" x14ac:dyDescent="0.3">
      <c r="J86986"/>
    </row>
    <row r="86987" spans="10:10" x14ac:dyDescent="0.3">
      <c r="J86987"/>
    </row>
    <row r="86988" spans="10:10" x14ac:dyDescent="0.3">
      <c r="J86988"/>
    </row>
    <row r="86989" spans="10:10" x14ac:dyDescent="0.3">
      <c r="J86989"/>
    </row>
    <row r="86990" spans="10:10" x14ac:dyDescent="0.3">
      <c r="J86990"/>
    </row>
    <row r="86991" spans="10:10" x14ac:dyDescent="0.3">
      <c r="J86991"/>
    </row>
    <row r="86992" spans="10:10" x14ac:dyDescent="0.3">
      <c r="J86992"/>
    </row>
    <row r="86993" spans="10:10" x14ac:dyDescent="0.3">
      <c r="J86993"/>
    </row>
    <row r="86994" spans="10:10" x14ac:dyDescent="0.3">
      <c r="J86994"/>
    </row>
    <row r="86995" spans="10:10" x14ac:dyDescent="0.3">
      <c r="J86995"/>
    </row>
    <row r="86996" spans="10:10" x14ac:dyDescent="0.3">
      <c r="J86996"/>
    </row>
    <row r="86997" spans="10:10" x14ac:dyDescent="0.3">
      <c r="J86997"/>
    </row>
    <row r="86998" spans="10:10" x14ac:dyDescent="0.3">
      <c r="J86998"/>
    </row>
    <row r="86999" spans="10:10" x14ac:dyDescent="0.3">
      <c r="J86999"/>
    </row>
    <row r="87000" spans="10:10" x14ac:dyDescent="0.3">
      <c r="J87000"/>
    </row>
    <row r="87001" spans="10:10" x14ac:dyDescent="0.3">
      <c r="J87001"/>
    </row>
    <row r="87002" spans="10:10" x14ac:dyDescent="0.3">
      <c r="J87002"/>
    </row>
    <row r="87003" spans="10:10" x14ac:dyDescent="0.3">
      <c r="J87003"/>
    </row>
    <row r="87004" spans="10:10" x14ac:dyDescent="0.3">
      <c r="J87004"/>
    </row>
    <row r="87005" spans="10:10" x14ac:dyDescent="0.3">
      <c r="J87005"/>
    </row>
    <row r="87006" spans="10:10" x14ac:dyDescent="0.3">
      <c r="J87006"/>
    </row>
    <row r="87007" spans="10:10" x14ac:dyDescent="0.3">
      <c r="J87007"/>
    </row>
    <row r="87008" spans="10:10" x14ac:dyDescent="0.3">
      <c r="J87008"/>
    </row>
    <row r="87009" spans="10:10" x14ac:dyDescent="0.3">
      <c r="J87009"/>
    </row>
    <row r="87010" spans="10:10" x14ac:dyDescent="0.3">
      <c r="J87010"/>
    </row>
    <row r="87011" spans="10:10" x14ac:dyDescent="0.3">
      <c r="J87011"/>
    </row>
    <row r="87012" spans="10:10" x14ac:dyDescent="0.3">
      <c r="J87012"/>
    </row>
    <row r="87013" spans="10:10" x14ac:dyDescent="0.3">
      <c r="J87013"/>
    </row>
    <row r="87014" spans="10:10" x14ac:dyDescent="0.3">
      <c r="J87014"/>
    </row>
    <row r="87015" spans="10:10" x14ac:dyDescent="0.3">
      <c r="J87015"/>
    </row>
    <row r="87016" spans="10:10" x14ac:dyDescent="0.3">
      <c r="J87016"/>
    </row>
    <row r="87017" spans="10:10" x14ac:dyDescent="0.3">
      <c r="J87017"/>
    </row>
    <row r="87018" spans="10:10" x14ac:dyDescent="0.3">
      <c r="J87018"/>
    </row>
    <row r="87019" spans="10:10" x14ac:dyDescent="0.3">
      <c r="J87019"/>
    </row>
    <row r="87020" spans="10:10" x14ac:dyDescent="0.3">
      <c r="J87020"/>
    </row>
    <row r="87021" spans="10:10" x14ac:dyDescent="0.3">
      <c r="J87021"/>
    </row>
    <row r="87022" spans="10:10" x14ac:dyDescent="0.3">
      <c r="J87022"/>
    </row>
    <row r="87023" spans="10:10" x14ac:dyDescent="0.3">
      <c r="J87023"/>
    </row>
    <row r="87024" spans="10:10" x14ac:dyDescent="0.3">
      <c r="J87024"/>
    </row>
    <row r="87025" spans="10:10" x14ac:dyDescent="0.3">
      <c r="J87025"/>
    </row>
    <row r="87026" spans="10:10" x14ac:dyDescent="0.3">
      <c r="J87026"/>
    </row>
    <row r="87027" spans="10:10" x14ac:dyDescent="0.3">
      <c r="J87027"/>
    </row>
    <row r="87028" spans="10:10" x14ac:dyDescent="0.3">
      <c r="J87028"/>
    </row>
    <row r="87029" spans="10:10" x14ac:dyDescent="0.3">
      <c r="J87029"/>
    </row>
    <row r="87030" spans="10:10" x14ac:dyDescent="0.3">
      <c r="J87030"/>
    </row>
    <row r="87031" spans="10:10" x14ac:dyDescent="0.3">
      <c r="J87031"/>
    </row>
    <row r="87032" spans="10:10" x14ac:dyDescent="0.3">
      <c r="J87032"/>
    </row>
    <row r="87033" spans="10:10" x14ac:dyDescent="0.3">
      <c r="J87033"/>
    </row>
    <row r="87034" spans="10:10" x14ac:dyDescent="0.3">
      <c r="J87034"/>
    </row>
    <row r="87035" spans="10:10" x14ac:dyDescent="0.3">
      <c r="J87035"/>
    </row>
    <row r="87036" spans="10:10" x14ac:dyDescent="0.3">
      <c r="J87036"/>
    </row>
    <row r="87037" spans="10:10" x14ac:dyDescent="0.3">
      <c r="J87037"/>
    </row>
    <row r="87038" spans="10:10" x14ac:dyDescent="0.3">
      <c r="J87038"/>
    </row>
    <row r="87039" spans="10:10" x14ac:dyDescent="0.3">
      <c r="J87039"/>
    </row>
    <row r="87040" spans="10:10" x14ac:dyDescent="0.3">
      <c r="J87040"/>
    </row>
    <row r="87041" spans="10:10" x14ac:dyDescent="0.3">
      <c r="J87041"/>
    </row>
    <row r="87042" spans="10:10" x14ac:dyDescent="0.3">
      <c r="J87042"/>
    </row>
    <row r="87043" spans="10:10" x14ac:dyDescent="0.3">
      <c r="J87043"/>
    </row>
    <row r="87044" spans="10:10" x14ac:dyDescent="0.3">
      <c r="J87044"/>
    </row>
    <row r="87045" spans="10:10" x14ac:dyDescent="0.3">
      <c r="J87045"/>
    </row>
    <row r="87046" spans="10:10" x14ac:dyDescent="0.3">
      <c r="J87046"/>
    </row>
    <row r="87047" spans="10:10" x14ac:dyDescent="0.3">
      <c r="J87047"/>
    </row>
    <row r="87048" spans="10:10" x14ac:dyDescent="0.3">
      <c r="J87048"/>
    </row>
    <row r="87049" spans="10:10" x14ac:dyDescent="0.3">
      <c r="J87049"/>
    </row>
    <row r="87050" spans="10:10" x14ac:dyDescent="0.3">
      <c r="J87050"/>
    </row>
    <row r="87051" spans="10:10" x14ac:dyDescent="0.3">
      <c r="J87051"/>
    </row>
    <row r="87052" spans="10:10" x14ac:dyDescent="0.3">
      <c r="J87052"/>
    </row>
    <row r="87053" spans="10:10" x14ac:dyDescent="0.3">
      <c r="J87053"/>
    </row>
    <row r="87054" spans="10:10" x14ac:dyDescent="0.3">
      <c r="J87054"/>
    </row>
    <row r="87055" spans="10:10" x14ac:dyDescent="0.3">
      <c r="J87055"/>
    </row>
    <row r="87056" spans="10:10" x14ac:dyDescent="0.3">
      <c r="J87056"/>
    </row>
    <row r="87057" spans="10:10" x14ac:dyDescent="0.3">
      <c r="J87057"/>
    </row>
    <row r="87058" spans="10:10" x14ac:dyDescent="0.3">
      <c r="J87058"/>
    </row>
    <row r="87059" spans="10:10" x14ac:dyDescent="0.3">
      <c r="J87059"/>
    </row>
    <row r="87060" spans="10:10" x14ac:dyDescent="0.3">
      <c r="J87060"/>
    </row>
    <row r="87061" spans="10:10" x14ac:dyDescent="0.3">
      <c r="J87061"/>
    </row>
    <row r="87062" spans="10:10" x14ac:dyDescent="0.3">
      <c r="J87062"/>
    </row>
    <row r="87063" spans="10:10" x14ac:dyDescent="0.3">
      <c r="J87063"/>
    </row>
    <row r="87064" spans="10:10" x14ac:dyDescent="0.3">
      <c r="J87064"/>
    </row>
    <row r="87065" spans="10:10" x14ac:dyDescent="0.3">
      <c r="J87065"/>
    </row>
    <row r="87066" spans="10:10" x14ac:dyDescent="0.3">
      <c r="J87066"/>
    </row>
    <row r="87067" spans="10:10" x14ac:dyDescent="0.3">
      <c r="J87067"/>
    </row>
    <row r="87068" spans="10:10" x14ac:dyDescent="0.3">
      <c r="J87068"/>
    </row>
    <row r="87069" spans="10:10" x14ac:dyDescent="0.3">
      <c r="J87069"/>
    </row>
    <row r="87070" spans="10:10" x14ac:dyDescent="0.3">
      <c r="J87070"/>
    </row>
    <row r="87071" spans="10:10" x14ac:dyDescent="0.3">
      <c r="J87071"/>
    </row>
    <row r="87072" spans="10:10" x14ac:dyDescent="0.3">
      <c r="J87072"/>
    </row>
    <row r="87073" spans="10:10" x14ac:dyDescent="0.3">
      <c r="J87073"/>
    </row>
    <row r="87074" spans="10:10" x14ac:dyDescent="0.3">
      <c r="J87074"/>
    </row>
    <row r="87075" spans="10:10" x14ac:dyDescent="0.3">
      <c r="J87075"/>
    </row>
    <row r="87076" spans="10:10" x14ac:dyDescent="0.3">
      <c r="J87076"/>
    </row>
    <row r="87077" spans="10:10" x14ac:dyDescent="0.3">
      <c r="J87077"/>
    </row>
    <row r="87078" spans="10:10" x14ac:dyDescent="0.3">
      <c r="J87078"/>
    </row>
    <row r="87079" spans="10:10" x14ac:dyDescent="0.3">
      <c r="J87079"/>
    </row>
    <row r="87080" spans="10:10" x14ac:dyDescent="0.3">
      <c r="J87080"/>
    </row>
    <row r="87081" spans="10:10" x14ac:dyDescent="0.3">
      <c r="J87081"/>
    </row>
    <row r="87082" spans="10:10" x14ac:dyDescent="0.3">
      <c r="J87082"/>
    </row>
    <row r="87083" spans="10:10" x14ac:dyDescent="0.3">
      <c r="J87083"/>
    </row>
    <row r="87084" spans="10:10" x14ac:dyDescent="0.3">
      <c r="J87084"/>
    </row>
    <row r="87085" spans="10:10" x14ac:dyDescent="0.3">
      <c r="J87085"/>
    </row>
    <row r="87086" spans="10:10" x14ac:dyDescent="0.3">
      <c r="J87086"/>
    </row>
    <row r="87087" spans="10:10" x14ac:dyDescent="0.3">
      <c r="J87087"/>
    </row>
    <row r="87088" spans="10:10" x14ac:dyDescent="0.3">
      <c r="J87088"/>
    </row>
    <row r="87089" spans="10:10" x14ac:dyDescent="0.3">
      <c r="J87089"/>
    </row>
    <row r="87090" spans="10:10" x14ac:dyDescent="0.3">
      <c r="J87090"/>
    </row>
    <row r="87091" spans="10:10" x14ac:dyDescent="0.3">
      <c r="J87091"/>
    </row>
    <row r="87092" spans="10:10" x14ac:dyDescent="0.3">
      <c r="J87092"/>
    </row>
    <row r="87093" spans="10:10" x14ac:dyDescent="0.3">
      <c r="J87093"/>
    </row>
    <row r="87094" spans="10:10" x14ac:dyDescent="0.3">
      <c r="J87094"/>
    </row>
    <row r="87095" spans="10:10" x14ac:dyDescent="0.3">
      <c r="J87095"/>
    </row>
    <row r="87096" spans="10:10" x14ac:dyDescent="0.3">
      <c r="J87096"/>
    </row>
    <row r="87097" spans="10:10" x14ac:dyDescent="0.3">
      <c r="J87097"/>
    </row>
    <row r="87098" spans="10:10" x14ac:dyDescent="0.3">
      <c r="J87098"/>
    </row>
    <row r="87099" spans="10:10" x14ac:dyDescent="0.3">
      <c r="J87099"/>
    </row>
    <row r="87100" spans="10:10" x14ac:dyDescent="0.3">
      <c r="J87100"/>
    </row>
    <row r="87101" spans="10:10" x14ac:dyDescent="0.3">
      <c r="J87101"/>
    </row>
    <row r="87102" spans="10:10" x14ac:dyDescent="0.3">
      <c r="J87102"/>
    </row>
    <row r="87103" spans="10:10" x14ac:dyDescent="0.3">
      <c r="J87103"/>
    </row>
    <row r="87104" spans="10:10" x14ac:dyDescent="0.3">
      <c r="J87104"/>
    </row>
    <row r="87105" spans="10:10" x14ac:dyDescent="0.3">
      <c r="J87105"/>
    </row>
    <row r="87106" spans="10:10" x14ac:dyDescent="0.3">
      <c r="J87106"/>
    </row>
    <row r="87107" spans="10:10" x14ac:dyDescent="0.3">
      <c r="J87107"/>
    </row>
    <row r="87108" spans="10:10" x14ac:dyDescent="0.3">
      <c r="J87108"/>
    </row>
    <row r="87109" spans="10:10" x14ac:dyDescent="0.3">
      <c r="J87109"/>
    </row>
    <row r="87110" spans="10:10" x14ac:dyDescent="0.3">
      <c r="J87110"/>
    </row>
    <row r="87111" spans="10:10" x14ac:dyDescent="0.3">
      <c r="J87111"/>
    </row>
    <row r="87112" spans="10:10" x14ac:dyDescent="0.3">
      <c r="J87112"/>
    </row>
    <row r="87113" spans="10:10" x14ac:dyDescent="0.3">
      <c r="J87113"/>
    </row>
    <row r="87114" spans="10:10" x14ac:dyDescent="0.3">
      <c r="J87114"/>
    </row>
    <row r="87115" spans="10:10" x14ac:dyDescent="0.3">
      <c r="J87115"/>
    </row>
    <row r="87116" spans="10:10" x14ac:dyDescent="0.3">
      <c r="J87116"/>
    </row>
    <row r="87117" spans="10:10" x14ac:dyDescent="0.3">
      <c r="J87117"/>
    </row>
    <row r="87118" spans="10:10" x14ac:dyDescent="0.3">
      <c r="J87118"/>
    </row>
    <row r="87119" spans="10:10" x14ac:dyDescent="0.3">
      <c r="J87119"/>
    </row>
    <row r="87120" spans="10:10" x14ac:dyDescent="0.3">
      <c r="J87120"/>
    </row>
    <row r="87121" spans="10:10" x14ac:dyDescent="0.3">
      <c r="J87121"/>
    </row>
    <row r="87122" spans="10:10" x14ac:dyDescent="0.3">
      <c r="J87122"/>
    </row>
    <row r="87123" spans="10:10" x14ac:dyDescent="0.3">
      <c r="J87123"/>
    </row>
    <row r="87124" spans="10:10" x14ac:dyDescent="0.3">
      <c r="J87124"/>
    </row>
    <row r="87125" spans="10:10" x14ac:dyDescent="0.3">
      <c r="J87125"/>
    </row>
    <row r="87126" spans="10:10" x14ac:dyDescent="0.3">
      <c r="J87126"/>
    </row>
    <row r="87127" spans="10:10" x14ac:dyDescent="0.3">
      <c r="J87127"/>
    </row>
    <row r="87128" spans="10:10" x14ac:dyDescent="0.3">
      <c r="J87128"/>
    </row>
    <row r="87129" spans="10:10" x14ac:dyDescent="0.3">
      <c r="J87129"/>
    </row>
    <row r="87130" spans="10:10" x14ac:dyDescent="0.3">
      <c r="J87130"/>
    </row>
    <row r="87131" spans="10:10" x14ac:dyDescent="0.3">
      <c r="J87131"/>
    </row>
    <row r="87132" spans="10:10" x14ac:dyDescent="0.3">
      <c r="J87132"/>
    </row>
    <row r="87133" spans="10:10" x14ac:dyDescent="0.3">
      <c r="J87133"/>
    </row>
    <row r="87134" spans="10:10" x14ac:dyDescent="0.3">
      <c r="J87134"/>
    </row>
    <row r="87135" spans="10:10" x14ac:dyDescent="0.3">
      <c r="J87135"/>
    </row>
    <row r="87136" spans="10:10" x14ac:dyDescent="0.3">
      <c r="J87136"/>
    </row>
    <row r="87137" spans="10:10" x14ac:dyDescent="0.3">
      <c r="J87137"/>
    </row>
    <row r="87138" spans="10:10" x14ac:dyDescent="0.3">
      <c r="J87138"/>
    </row>
    <row r="87139" spans="10:10" x14ac:dyDescent="0.3">
      <c r="J87139"/>
    </row>
    <row r="87140" spans="10:10" x14ac:dyDescent="0.3">
      <c r="J87140"/>
    </row>
    <row r="87141" spans="10:10" x14ac:dyDescent="0.3">
      <c r="J87141"/>
    </row>
    <row r="87142" spans="10:10" x14ac:dyDescent="0.3">
      <c r="J87142"/>
    </row>
    <row r="87143" spans="10:10" x14ac:dyDescent="0.3">
      <c r="J87143"/>
    </row>
    <row r="87144" spans="10:10" x14ac:dyDescent="0.3">
      <c r="J87144"/>
    </row>
    <row r="87145" spans="10:10" x14ac:dyDescent="0.3">
      <c r="J87145"/>
    </row>
    <row r="87146" spans="10:10" x14ac:dyDescent="0.3">
      <c r="J87146"/>
    </row>
    <row r="87147" spans="10:10" x14ac:dyDescent="0.3">
      <c r="J87147"/>
    </row>
    <row r="87148" spans="10:10" x14ac:dyDescent="0.3">
      <c r="J87148"/>
    </row>
    <row r="87149" spans="10:10" x14ac:dyDescent="0.3">
      <c r="J87149"/>
    </row>
    <row r="87150" spans="10:10" x14ac:dyDescent="0.3">
      <c r="J87150"/>
    </row>
    <row r="87151" spans="10:10" x14ac:dyDescent="0.3">
      <c r="J87151"/>
    </row>
    <row r="87152" spans="10:10" x14ac:dyDescent="0.3">
      <c r="J87152"/>
    </row>
    <row r="87153" spans="10:10" x14ac:dyDescent="0.3">
      <c r="J87153"/>
    </row>
    <row r="87154" spans="10:10" x14ac:dyDescent="0.3">
      <c r="J87154"/>
    </row>
    <row r="87155" spans="10:10" x14ac:dyDescent="0.3">
      <c r="J87155"/>
    </row>
    <row r="87156" spans="10:10" x14ac:dyDescent="0.3">
      <c r="J87156"/>
    </row>
    <row r="87157" spans="10:10" x14ac:dyDescent="0.3">
      <c r="J87157"/>
    </row>
    <row r="87158" spans="10:10" x14ac:dyDescent="0.3">
      <c r="J87158"/>
    </row>
    <row r="87159" spans="10:10" x14ac:dyDescent="0.3">
      <c r="J87159"/>
    </row>
    <row r="87160" spans="10:10" x14ac:dyDescent="0.3">
      <c r="J87160"/>
    </row>
    <row r="87161" spans="10:10" x14ac:dyDescent="0.3">
      <c r="J87161"/>
    </row>
    <row r="87162" spans="10:10" x14ac:dyDescent="0.3">
      <c r="J87162"/>
    </row>
    <row r="87163" spans="10:10" x14ac:dyDescent="0.3">
      <c r="J87163"/>
    </row>
    <row r="87164" spans="10:10" x14ac:dyDescent="0.3">
      <c r="J87164"/>
    </row>
    <row r="87165" spans="10:10" x14ac:dyDescent="0.3">
      <c r="J87165"/>
    </row>
    <row r="87166" spans="10:10" x14ac:dyDescent="0.3">
      <c r="J87166"/>
    </row>
    <row r="87167" spans="10:10" x14ac:dyDescent="0.3">
      <c r="J87167"/>
    </row>
    <row r="87168" spans="10:10" x14ac:dyDescent="0.3">
      <c r="J87168"/>
    </row>
    <row r="87169" spans="10:10" x14ac:dyDescent="0.3">
      <c r="J87169"/>
    </row>
    <row r="87170" spans="10:10" x14ac:dyDescent="0.3">
      <c r="J87170"/>
    </row>
    <row r="87171" spans="10:10" x14ac:dyDescent="0.3">
      <c r="J87171"/>
    </row>
    <row r="87172" spans="10:10" x14ac:dyDescent="0.3">
      <c r="J87172"/>
    </row>
    <row r="87173" spans="10:10" x14ac:dyDescent="0.3">
      <c r="J87173"/>
    </row>
    <row r="87174" spans="10:10" x14ac:dyDescent="0.3">
      <c r="J87174"/>
    </row>
    <row r="87175" spans="10:10" x14ac:dyDescent="0.3">
      <c r="J87175"/>
    </row>
    <row r="87176" spans="10:10" x14ac:dyDescent="0.3">
      <c r="J87176"/>
    </row>
    <row r="87177" spans="10:10" x14ac:dyDescent="0.3">
      <c r="J87177"/>
    </row>
    <row r="87178" spans="10:10" x14ac:dyDescent="0.3">
      <c r="J87178"/>
    </row>
    <row r="87179" spans="10:10" x14ac:dyDescent="0.3">
      <c r="J87179"/>
    </row>
    <row r="87180" spans="10:10" x14ac:dyDescent="0.3">
      <c r="J87180"/>
    </row>
    <row r="87181" spans="10:10" x14ac:dyDescent="0.3">
      <c r="J87181"/>
    </row>
    <row r="87182" spans="10:10" x14ac:dyDescent="0.3">
      <c r="J87182"/>
    </row>
    <row r="87183" spans="10:10" x14ac:dyDescent="0.3">
      <c r="J87183"/>
    </row>
    <row r="87184" spans="10:10" x14ac:dyDescent="0.3">
      <c r="J87184"/>
    </row>
    <row r="87185" spans="10:10" x14ac:dyDescent="0.3">
      <c r="J87185"/>
    </row>
    <row r="87186" spans="10:10" x14ac:dyDescent="0.3">
      <c r="J87186"/>
    </row>
    <row r="87187" spans="10:10" x14ac:dyDescent="0.3">
      <c r="J87187"/>
    </row>
    <row r="87188" spans="10:10" x14ac:dyDescent="0.3">
      <c r="J87188"/>
    </row>
    <row r="87189" spans="10:10" x14ac:dyDescent="0.3">
      <c r="J87189"/>
    </row>
    <row r="87190" spans="10:10" x14ac:dyDescent="0.3">
      <c r="J87190"/>
    </row>
    <row r="87191" spans="10:10" x14ac:dyDescent="0.3">
      <c r="J87191"/>
    </row>
    <row r="87192" spans="10:10" x14ac:dyDescent="0.3">
      <c r="J87192"/>
    </row>
    <row r="87193" spans="10:10" x14ac:dyDescent="0.3">
      <c r="J87193"/>
    </row>
    <row r="87194" spans="10:10" x14ac:dyDescent="0.3">
      <c r="J87194"/>
    </row>
    <row r="87195" spans="10:10" x14ac:dyDescent="0.3">
      <c r="J87195"/>
    </row>
    <row r="87196" spans="10:10" x14ac:dyDescent="0.3">
      <c r="J87196"/>
    </row>
    <row r="87197" spans="10:10" x14ac:dyDescent="0.3">
      <c r="J87197"/>
    </row>
    <row r="87198" spans="10:10" x14ac:dyDescent="0.3">
      <c r="J87198"/>
    </row>
    <row r="87199" spans="10:10" x14ac:dyDescent="0.3">
      <c r="J87199"/>
    </row>
    <row r="87200" spans="10:10" x14ac:dyDescent="0.3">
      <c r="J87200"/>
    </row>
    <row r="87201" spans="10:10" x14ac:dyDescent="0.3">
      <c r="J87201"/>
    </row>
    <row r="87202" spans="10:10" x14ac:dyDescent="0.3">
      <c r="J87202"/>
    </row>
    <row r="87203" spans="10:10" x14ac:dyDescent="0.3">
      <c r="J87203"/>
    </row>
    <row r="87204" spans="10:10" x14ac:dyDescent="0.3">
      <c r="J87204"/>
    </row>
    <row r="87205" spans="10:10" x14ac:dyDescent="0.3">
      <c r="J87205"/>
    </row>
    <row r="87206" spans="10:10" x14ac:dyDescent="0.3">
      <c r="J87206"/>
    </row>
    <row r="87207" spans="10:10" x14ac:dyDescent="0.3">
      <c r="J87207"/>
    </row>
    <row r="87208" spans="10:10" x14ac:dyDescent="0.3">
      <c r="J87208"/>
    </row>
    <row r="87209" spans="10:10" x14ac:dyDescent="0.3">
      <c r="J87209"/>
    </row>
    <row r="87210" spans="10:10" x14ac:dyDescent="0.3">
      <c r="J87210"/>
    </row>
    <row r="87211" spans="10:10" x14ac:dyDescent="0.3">
      <c r="J87211"/>
    </row>
    <row r="87212" spans="10:10" x14ac:dyDescent="0.3">
      <c r="J87212"/>
    </row>
    <row r="87213" spans="10:10" x14ac:dyDescent="0.3">
      <c r="J87213"/>
    </row>
    <row r="87214" spans="10:10" x14ac:dyDescent="0.3">
      <c r="J87214"/>
    </row>
    <row r="87215" spans="10:10" x14ac:dyDescent="0.3">
      <c r="J87215"/>
    </row>
    <row r="87216" spans="10:10" x14ac:dyDescent="0.3">
      <c r="J87216"/>
    </row>
    <row r="87217" spans="10:10" x14ac:dyDescent="0.3">
      <c r="J87217"/>
    </row>
    <row r="87218" spans="10:10" x14ac:dyDescent="0.3">
      <c r="J87218"/>
    </row>
    <row r="87219" spans="10:10" x14ac:dyDescent="0.3">
      <c r="J87219"/>
    </row>
    <row r="87220" spans="10:10" x14ac:dyDescent="0.3">
      <c r="J87220"/>
    </row>
    <row r="87221" spans="10:10" x14ac:dyDescent="0.3">
      <c r="J87221"/>
    </row>
    <row r="87222" spans="10:10" x14ac:dyDescent="0.3">
      <c r="J87222"/>
    </row>
    <row r="87223" spans="10:10" x14ac:dyDescent="0.3">
      <c r="J87223"/>
    </row>
    <row r="87224" spans="10:10" x14ac:dyDescent="0.3">
      <c r="J87224"/>
    </row>
    <row r="87225" spans="10:10" x14ac:dyDescent="0.3">
      <c r="J87225"/>
    </row>
    <row r="87226" spans="10:10" x14ac:dyDescent="0.3">
      <c r="J87226"/>
    </row>
    <row r="87227" spans="10:10" x14ac:dyDescent="0.3">
      <c r="J87227"/>
    </row>
    <row r="87228" spans="10:10" x14ac:dyDescent="0.3">
      <c r="J87228"/>
    </row>
    <row r="87229" spans="10:10" x14ac:dyDescent="0.3">
      <c r="J87229"/>
    </row>
    <row r="87230" spans="10:10" x14ac:dyDescent="0.3">
      <c r="J87230"/>
    </row>
    <row r="87231" spans="10:10" x14ac:dyDescent="0.3">
      <c r="J87231"/>
    </row>
    <row r="87232" spans="10:10" x14ac:dyDescent="0.3">
      <c r="J87232"/>
    </row>
    <row r="87233" spans="10:10" x14ac:dyDescent="0.3">
      <c r="J87233"/>
    </row>
    <row r="87234" spans="10:10" x14ac:dyDescent="0.3">
      <c r="J87234"/>
    </row>
    <row r="87235" spans="10:10" x14ac:dyDescent="0.3">
      <c r="J87235"/>
    </row>
    <row r="87236" spans="10:10" x14ac:dyDescent="0.3">
      <c r="J87236"/>
    </row>
    <row r="87237" spans="10:10" x14ac:dyDescent="0.3">
      <c r="J87237"/>
    </row>
    <row r="87238" spans="10:10" x14ac:dyDescent="0.3">
      <c r="J87238"/>
    </row>
    <row r="87239" spans="10:10" x14ac:dyDescent="0.3">
      <c r="J87239"/>
    </row>
    <row r="87240" spans="10:10" x14ac:dyDescent="0.3">
      <c r="J87240"/>
    </row>
    <row r="87241" spans="10:10" x14ac:dyDescent="0.3">
      <c r="J87241"/>
    </row>
    <row r="87242" spans="10:10" x14ac:dyDescent="0.3">
      <c r="J87242"/>
    </row>
    <row r="87243" spans="10:10" x14ac:dyDescent="0.3">
      <c r="J87243"/>
    </row>
    <row r="87244" spans="10:10" x14ac:dyDescent="0.3">
      <c r="J87244"/>
    </row>
    <row r="87245" spans="10:10" x14ac:dyDescent="0.3">
      <c r="J87245"/>
    </row>
    <row r="87246" spans="10:10" x14ac:dyDescent="0.3">
      <c r="J87246"/>
    </row>
    <row r="87247" spans="10:10" x14ac:dyDescent="0.3">
      <c r="J87247"/>
    </row>
    <row r="87248" spans="10:10" x14ac:dyDescent="0.3">
      <c r="J87248"/>
    </row>
    <row r="87249" spans="10:10" x14ac:dyDescent="0.3">
      <c r="J87249"/>
    </row>
    <row r="87250" spans="10:10" x14ac:dyDescent="0.3">
      <c r="J87250"/>
    </row>
    <row r="87251" spans="10:10" x14ac:dyDescent="0.3">
      <c r="J87251"/>
    </row>
    <row r="87252" spans="10:10" x14ac:dyDescent="0.3">
      <c r="J87252"/>
    </row>
    <row r="87253" spans="10:10" x14ac:dyDescent="0.3">
      <c r="J87253"/>
    </row>
    <row r="87254" spans="10:10" x14ac:dyDescent="0.3">
      <c r="J87254"/>
    </row>
    <row r="87255" spans="10:10" x14ac:dyDescent="0.3">
      <c r="J87255"/>
    </row>
    <row r="87256" spans="10:10" x14ac:dyDescent="0.3">
      <c r="J87256"/>
    </row>
    <row r="87257" spans="10:10" x14ac:dyDescent="0.3">
      <c r="J87257"/>
    </row>
    <row r="87258" spans="10:10" x14ac:dyDescent="0.3">
      <c r="J87258"/>
    </row>
    <row r="87259" spans="10:10" x14ac:dyDescent="0.3">
      <c r="J87259"/>
    </row>
    <row r="87260" spans="10:10" x14ac:dyDescent="0.3">
      <c r="J87260"/>
    </row>
    <row r="87261" spans="10:10" x14ac:dyDescent="0.3">
      <c r="J87261"/>
    </row>
    <row r="87262" spans="10:10" x14ac:dyDescent="0.3">
      <c r="J87262"/>
    </row>
    <row r="87263" spans="10:10" x14ac:dyDescent="0.3">
      <c r="J87263"/>
    </row>
    <row r="87264" spans="10:10" x14ac:dyDescent="0.3">
      <c r="J87264"/>
    </row>
    <row r="87265" spans="10:10" x14ac:dyDescent="0.3">
      <c r="J87265"/>
    </row>
    <row r="87266" spans="10:10" x14ac:dyDescent="0.3">
      <c r="J87266"/>
    </row>
    <row r="87267" spans="10:10" x14ac:dyDescent="0.3">
      <c r="J87267"/>
    </row>
    <row r="87268" spans="10:10" x14ac:dyDescent="0.3">
      <c r="J87268"/>
    </row>
    <row r="87269" spans="10:10" x14ac:dyDescent="0.3">
      <c r="J87269"/>
    </row>
    <row r="87270" spans="10:10" x14ac:dyDescent="0.3">
      <c r="J87270"/>
    </row>
    <row r="87271" spans="10:10" x14ac:dyDescent="0.3">
      <c r="J87271"/>
    </row>
    <row r="87272" spans="10:10" x14ac:dyDescent="0.3">
      <c r="J87272"/>
    </row>
    <row r="87273" spans="10:10" x14ac:dyDescent="0.3">
      <c r="J87273"/>
    </row>
    <row r="87274" spans="10:10" x14ac:dyDescent="0.3">
      <c r="J87274"/>
    </row>
    <row r="87275" spans="10:10" x14ac:dyDescent="0.3">
      <c r="J87275"/>
    </row>
    <row r="87276" spans="10:10" x14ac:dyDescent="0.3">
      <c r="J87276"/>
    </row>
    <row r="87277" spans="10:10" x14ac:dyDescent="0.3">
      <c r="J87277"/>
    </row>
    <row r="87278" spans="10:10" x14ac:dyDescent="0.3">
      <c r="J87278"/>
    </row>
    <row r="87279" spans="10:10" x14ac:dyDescent="0.3">
      <c r="J87279"/>
    </row>
    <row r="87280" spans="10:10" x14ac:dyDescent="0.3">
      <c r="J87280"/>
    </row>
    <row r="87281" spans="10:10" x14ac:dyDescent="0.3">
      <c r="J87281"/>
    </row>
    <row r="87282" spans="10:10" x14ac:dyDescent="0.3">
      <c r="J87282"/>
    </row>
    <row r="87283" spans="10:10" x14ac:dyDescent="0.3">
      <c r="J87283"/>
    </row>
    <row r="87284" spans="10:10" x14ac:dyDescent="0.3">
      <c r="J87284"/>
    </row>
    <row r="87285" spans="10:10" x14ac:dyDescent="0.3">
      <c r="J87285"/>
    </row>
    <row r="87286" spans="10:10" x14ac:dyDescent="0.3">
      <c r="J87286"/>
    </row>
    <row r="87287" spans="10:10" x14ac:dyDescent="0.3">
      <c r="J87287"/>
    </row>
    <row r="87288" spans="10:10" x14ac:dyDescent="0.3">
      <c r="J87288"/>
    </row>
    <row r="87289" spans="10:10" x14ac:dyDescent="0.3">
      <c r="J87289"/>
    </row>
    <row r="87290" spans="10:10" x14ac:dyDescent="0.3">
      <c r="J87290"/>
    </row>
    <row r="87291" spans="10:10" x14ac:dyDescent="0.3">
      <c r="J87291"/>
    </row>
    <row r="87292" spans="10:10" x14ac:dyDescent="0.3">
      <c r="J87292"/>
    </row>
    <row r="87293" spans="10:10" x14ac:dyDescent="0.3">
      <c r="J87293"/>
    </row>
    <row r="87294" spans="10:10" x14ac:dyDescent="0.3">
      <c r="J87294"/>
    </row>
    <row r="87295" spans="10:10" x14ac:dyDescent="0.3">
      <c r="J87295"/>
    </row>
    <row r="87296" spans="10:10" x14ac:dyDescent="0.3">
      <c r="J87296"/>
    </row>
    <row r="87297" spans="10:10" x14ac:dyDescent="0.3">
      <c r="J87297"/>
    </row>
    <row r="87298" spans="10:10" x14ac:dyDescent="0.3">
      <c r="J87298"/>
    </row>
    <row r="87299" spans="10:10" x14ac:dyDescent="0.3">
      <c r="J87299"/>
    </row>
    <row r="87300" spans="10:10" x14ac:dyDescent="0.3">
      <c r="J87300"/>
    </row>
    <row r="87301" spans="10:10" x14ac:dyDescent="0.3">
      <c r="J87301"/>
    </row>
    <row r="87302" spans="10:10" x14ac:dyDescent="0.3">
      <c r="J87302"/>
    </row>
    <row r="87303" spans="10:10" x14ac:dyDescent="0.3">
      <c r="J87303"/>
    </row>
    <row r="87304" spans="10:10" x14ac:dyDescent="0.3">
      <c r="J87304"/>
    </row>
    <row r="87305" spans="10:10" x14ac:dyDescent="0.3">
      <c r="J87305"/>
    </row>
    <row r="87306" spans="10:10" x14ac:dyDescent="0.3">
      <c r="J87306"/>
    </row>
    <row r="87307" spans="10:10" x14ac:dyDescent="0.3">
      <c r="J87307"/>
    </row>
    <row r="87308" spans="10:10" x14ac:dyDescent="0.3">
      <c r="J87308"/>
    </row>
    <row r="87309" spans="10:10" x14ac:dyDescent="0.3">
      <c r="J87309"/>
    </row>
    <row r="87310" spans="10:10" x14ac:dyDescent="0.3">
      <c r="J87310"/>
    </row>
    <row r="87311" spans="10:10" x14ac:dyDescent="0.3">
      <c r="J87311"/>
    </row>
    <row r="87312" spans="10:10" x14ac:dyDescent="0.3">
      <c r="J87312"/>
    </row>
    <row r="87313" spans="10:10" x14ac:dyDescent="0.3">
      <c r="J87313"/>
    </row>
    <row r="87314" spans="10:10" x14ac:dyDescent="0.3">
      <c r="J87314"/>
    </row>
    <row r="87315" spans="10:10" x14ac:dyDescent="0.3">
      <c r="J87315"/>
    </row>
    <row r="87316" spans="10:10" x14ac:dyDescent="0.3">
      <c r="J87316"/>
    </row>
    <row r="87317" spans="10:10" x14ac:dyDescent="0.3">
      <c r="J87317"/>
    </row>
    <row r="87318" spans="10:10" x14ac:dyDescent="0.3">
      <c r="J87318"/>
    </row>
    <row r="87319" spans="10:10" x14ac:dyDescent="0.3">
      <c r="J87319"/>
    </row>
    <row r="87320" spans="10:10" x14ac:dyDescent="0.3">
      <c r="J87320"/>
    </row>
    <row r="87321" spans="10:10" x14ac:dyDescent="0.3">
      <c r="J87321"/>
    </row>
    <row r="87322" spans="10:10" x14ac:dyDescent="0.3">
      <c r="J87322"/>
    </row>
    <row r="87323" spans="10:10" x14ac:dyDescent="0.3">
      <c r="J87323"/>
    </row>
    <row r="87324" spans="10:10" x14ac:dyDescent="0.3">
      <c r="J87324"/>
    </row>
    <row r="87325" spans="10:10" x14ac:dyDescent="0.3">
      <c r="J87325"/>
    </row>
    <row r="87326" spans="10:10" x14ac:dyDescent="0.3">
      <c r="J87326"/>
    </row>
    <row r="87327" spans="10:10" x14ac:dyDescent="0.3">
      <c r="J87327"/>
    </row>
    <row r="87328" spans="10:10" x14ac:dyDescent="0.3">
      <c r="J87328"/>
    </row>
    <row r="87329" spans="10:10" x14ac:dyDescent="0.3">
      <c r="J87329"/>
    </row>
    <row r="87330" spans="10:10" x14ac:dyDescent="0.3">
      <c r="J87330"/>
    </row>
    <row r="87331" spans="10:10" x14ac:dyDescent="0.3">
      <c r="J87331"/>
    </row>
    <row r="87332" spans="10:10" x14ac:dyDescent="0.3">
      <c r="J87332"/>
    </row>
    <row r="87333" spans="10:10" x14ac:dyDescent="0.3">
      <c r="J87333"/>
    </row>
    <row r="87334" spans="10:10" x14ac:dyDescent="0.3">
      <c r="J87334"/>
    </row>
    <row r="87335" spans="10:10" x14ac:dyDescent="0.3">
      <c r="J87335"/>
    </row>
    <row r="87336" spans="10:10" x14ac:dyDescent="0.3">
      <c r="J87336"/>
    </row>
    <row r="87337" spans="10:10" x14ac:dyDescent="0.3">
      <c r="J87337"/>
    </row>
    <row r="87338" spans="10:10" x14ac:dyDescent="0.3">
      <c r="J87338"/>
    </row>
    <row r="87339" spans="10:10" x14ac:dyDescent="0.3">
      <c r="J87339"/>
    </row>
    <row r="87340" spans="10:10" x14ac:dyDescent="0.3">
      <c r="J87340"/>
    </row>
    <row r="87341" spans="10:10" x14ac:dyDescent="0.3">
      <c r="J87341"/>
    </row>
    <row r="87342" spans="10:10" x14ac:dyDescent="0.3">
      <c r="J87342"/>
    </row>
    <row r="87343" spans="10:10" x14ac:dyDescent="0.3">
      <c r="J87343"/>
    </row>
    <row r="87344" spans="10:10" x14ac:dyDescent="0.3">
      <c r="J87344"/>
    </row>
    <row r="87345" spans="10:10" x14ac:dyDescent="0.3">
      <c r="J87345"/>
    </row>
    <row r="87346" spans="10:10" x14ac:dyDescent="0.3">
      <c r="J87346"/>
    </row>
    <row r="87347" spans="10:10" x14ac:dyDescent="0.3">
      <c r="J87347"/>
    </row>
    <row r="87348" spans="10:10" x14ac:dyDescent="0.3">
      <c r="J87348"/>
    </row>
    <row r="87349" spans="10:10" x14ac:dyDescent="0.3">
      <c r="J87349"/>
    </row>
    <row r="87350" spans="10:10" x14ac:dyDescent="0.3">
      <c r="J87350"/>
    </row>
    <row r="87351" spans="10:10" x14ac:dyDescent="0.3">
      <c r="J87351"/>
    </row>
    <row r="87352" spans="10:10" x14ac:dyDescent="0.3">
      <c r="J87352"/>
    </row>
    <row r="87353" spans="10:10" x14ac:dyDescent="0.3">
      <c r="J87353"/>
    </row>
    <row r="87354" spans="10:10" x14ac:dyDescent="0.3">
      <c r="J87354"/>
    </row>
    <row r="87355" spans="10:10" x14ac:dyDescent="0.3">
      <c r="J87355"/>
    </row>
    <row r="87356" spans="10:10" x14ac:dyDescent="0.3">
      <c r="J87356"/>
    </row>
    <row r="87357" spans="10:10" x14ac:dyDescent="0.3">
      <c r="J87357"/>
    </row>
    <row r="87358" spans="10:10" x14ac:dyDescent="0.3">
      <c r="J87358"/>
    </row>
    <row r="87359" spans="10:10" x14ac:dyDescent="0.3">
      <c r="J87359"/>
    </row>
    <row r="87360" spans="10:10" x14ac:dyDescent="0.3">
      <c r="J87360"/>
    </row>
    <row r="87361" spans="10:10" x14ac:dyDescent="0.3">
      <c r="J87361"/>
    </row>
    <row r="87362" spans="10:10" x14ac:dyDescent="0.3">
      <c r="J87362"/>
    </row>
    <row r="87363" spans="10:10" x14ac:dyDescent="0.3">
      <c r="J87363"/>
    </row>
    <row r="87364" spans="10:10" x14ac:dyDescent="0.3">
      <c r="J87364"/>
    </row>
    <row r="87365" spans="10:10" x14ac:dyDescent="0.3">
      <c r="J87365"/>
    </row>
    <row r="87366" spans="10:10" x14ac:dyDescent="0.3">
      <c r="J87366"/>
    </row>
    <row r="87367" spans="10:10" x14ac:dyDescent="0.3">
      <c r="J87367"/>
    </row>
    <row r="87368" spans="10:10" x14ac:dyDescent="0.3">
      <c r="J87368"/>
    </row>
    <row r="87369" spans="10:10" x14ac:dyDescent="0.3">
      <c r="J87369"/>
    </row>
    <row r="87370" spans="10:10" x14ac:dyDescent="0.3">
      <c r="J87370"/>
    </row>
    <row r="87371" spans="10:10" x14ac:dyDescent="0.3">
      <c r="J87371"/>
    </row>
    <row r="87372" spans="10:10" x14ac:dyDescent="0.3">
      <c r="J87372"/>
    </row>
    <row r="87373" spans="10:10" x14ac:dyDescent="0.3">
      <c r="J87373"/>
    </row>
    <row r="87374" spans="10:10" x14ac:dyDescent="0.3">
      <c r="J87374"/>
    </row>
    <row r="87375" spans="10:10" x14ac:dyDescent="0.3">
      <c r="J87375"/>
    </row>
    <row r="87376" spans="10:10" x14ac:dyDescent="0.3">
      <c r="J87376"/>
    </row>
    <row r="87377" spans="10:10" x14ac:dyDescent="0.3">
      <c r="J87377"/>
    </row>
    <row r="87378" spans="10:10" x14ac:dyDescent="0.3">
      <c r="J87378"/>
    </row>
    <row r="87379" spans="10:10" x14ac:dyDescent="0.3">
      <c r="J87379"/>
    </row>
    <row r="87380" spans="10:10" x14ac:dyDescent="0.3">
      <c r="J87380"/>
    </row>
    <row r="87381" spans="10:10" x14ac:dyDescent="0.3">
      <c r="J87381"/>
    </row>
    <row r="87382" spans="10:10" x14ac:dyDescent="0.3">
      <c r="J87382"/>
    </row>
    <row r="87383" spans="10:10" x14ac:dyDescent="0.3">
      <c r="J87383"/>
    </row>
    <row r="87384" spans="10:10" x14ac:dyDescent="0.3">
      <c r="J87384"/>
    </row>
    <row r="87385" spans="10:10" x14ac:dyDescent="0.3">
      <c r="J87385"/>
    </row>
    <row r="87386" spans="10:10" x14ac:dyDescent="0.3">
      <c r="J87386"/>
    </row>
    <row r="87387" spans="10:10" x14ac:dyDescent="0.3">
      <c r="J87387"/>
    </row>
    <row r="87388" spans="10:10" x14ac:dyDescent="0.3">
      <c r="J87388"/>
    </row>
    <row r="87389" spans="10:10" x14ac:dyDescent="0.3">
      <c r="J87389"/>
    </row>
    <row r="87390" spans="10:10" x14ac:dyDescent="0.3">
      <c r="J87390"/>
    </row>
    <row r="87391" spans="10:10" x14ac:dyDescent="0.3">
      <c r="J87391"/>
    </row>
    <row r="87392" spans="10:10" x14ac:dyDescent="0.3">
      <c r="J87392"/>
    </row>
    <row r="87393" spans="10:10" x14ac:dyDescent="0.3">
      <c r="J87393"/>
    </row>
    <row r="87394" spans="10:10" x14ac:dyDescent="0.3">
      <c r="J87394"/>
    </row>
    <row r="87395" spans="10:10" x14ac:dyDescent="0.3">
      <c r="J87395"/>
    </row>
    <row r="87396" spans="10:10" x14ac:dyDescent="0.3">
      <c r="J87396"/>
    </row>
    <row r="87397" spans="10:10" x14ac:dyDescent="0.3">
      <c r="J87397"/>
    </row>
    <row r="87398" spans="10:10" x14ac:dyDescent="0.3">
      <c r="J87398"/>
    </row>
    <row r="87399" spans="10:10" x14ac:dyDescent="0.3">
      <c r="J87399"/>
    </row>
    <row r="87400" spans="10:10" x14ac:dyDescent="0.3">
      <c r="J87400"/>
    </row>
    <row r="87401" spans="10:10" x14ac:dyDescent="0.3">
      <c r="J87401"/>
    </row>
    <row r="87402" spans="10:10" x14ac:dyDescent="0.3">
      <c r="J87402"/>
    </row>
    <row r="87403" spans="10:10" x14ac:dyDescent="0.3">
      <c r="J87403"/>
    </row>
    <row r="87404" spans="10:10" x14ac:dyDescent="0.3">
      <c r="J87404"/>
    </row>
    <row r="87405" spans="10:10" x14ac:dyDescent="0.3">
      <c r="J87405"/>
    </row>
    <row r="87406" spans="10:10" x14ac:dyDescent="0.3">
      <c r="J87406"/>
    </row>
    <row r="87407" spans="10:10" x14ac:dyDescent="0.3">
      <c r="J87407"/>
    </row>
    <row r="87408" spans="10:10" x14ac:dyDescent="0.3">
      <c r="J87408"/>
    </row>
    <row r="87409" spans="10:10" x14ac:dyDescent="0.3">
      <c r="J87409"/>
    </row>
    <row r="87410" spans="10:10" x14ac:dyDescent="0.3">
      <c r="J87410"/>
    </row>
    <row r="87411" spans="10:10" x14ac:dyDescent="0.3">
      <c r="J87411"/>
    </row>
    <row r="87412" spans="10:10" x14ac:dyDescent="0.3">
      <c r="J87412"/>
    </row>
    <row r="87413" spans="10:10" x14ac:dyDescent="0.3">
      <c r="J87413"/>
    </row>
    <row r="87414" spans="10:10" x14ac:dyDescent="0.3">
      <c r="J87414"/>
    </row>
    <row r="87415" spans="10:10" x14ac:dyDescent="0.3">
      <c r="J87415"/>
    </row>
    <row r="87416" spans="10:10" x14ac:dyDescent="0.3">
      <c r="J87416"/>
    </row>
    <row r="87417" spans="10:10" x14ac:dyDescent="0.3">
      <c r="J87417"/>
    </row>
    <row r="87418" spans="10:10" x14ac:dyDescent="0.3">
      <c r="J87418"/>
    </row>
    <row r="87419" spans="10:10" x14ac:dyDescent="0.3">
      <c r="J87419"/>
    </row>
    <row r="87420" spans="10:10" x14ac:dyDescent="0.3">
      <c r="J87420"/>
    </row>
    <row r="87421" spans="10:10" x14ac:dyDescent="0.3">
      <c r="J87421"/>
    </row>
    <row r="87422" spans="10:10" x14ac:dyDescent="0.3">
      <c r="J87422"/>
    </row>
    <row r="87423" spans="10:10" x14ac:dyDescent="0.3">
      <c r="J87423"/>
    </row>
    <row r="87424" spans="10:10" x14ac:dyDescent="0.3">
      <c r="J87424"/>
    </row>
    <row r="87425" spans="10:10" x14ac:dyDescent="0.3">
      <c r="J87425"/>
    </row>
    <row r="87426" spans="10:10" x14ac:dyDescent="0.3">
      <c r="J87426"/>
    </row>
    <row r="87427" spans="10:10" x14ac:dyDescent="0.3">
      <c r="J87427"/>
    </row>
    <row r="87428" spans="10:10" x14ac:dyDescent="0.3">
      <c r="J87428"/>
    </row>
    <row r="87429" spans="10:10" x14ac:dyDescent="0.3">
      <c r="J87429"/>
    </row>
    <row r="87430" spans="10:10" x14ac:dyDescent="0.3">
      <c r="J87430"/>
    </row>
    <row r="87431" spans="10:10" x14ac:dyDescent="0.3">
      <c r="J87431"/>
    </row>
    <row r="87432" spans="10:10" x14ac:dyDescent="0.3">
      <c r="J87432"/>
    </row>
    <row r="87433" spans="10:10" x14ac:dyDescent="0.3">
      <c r="J87433"/>
    </row>
    <row r="87434" spans="10:10" x14ac:dyDescent="0.3">
      <c r="J87434"/>
    </row>
    <row r="87435" spans="10:10" x14ac:dyDescent="0.3">
      <c r="J87435"/>
    </row>
    <row r="87436" spans="10:10" x14ac:dyDescent="0.3">
      <c r="J87436"/>
    </row>
    <row r="87437" spans="10:10" x14ac:dyDescent="0.3">
      <c r="J87437"/>
    </row>
    <row r="87438" spans="10:10" x14ac:dyDescent="0.3">
      <c r="J87438"/>
    </row>
    <row r="87439" spans="10:10" x14ac:dyDescent="0.3">
      <c r="J87439"/>
    </row>
    <row r="87440" spans="10:10" x14ac:dyDescent="0.3">
      <c r="J87440"/>
    </row>
    <row r="87441" spans="10:10" x14ac:dyDescent="0.3">
      <c r="J87441"/>
    </row>
    <row r="87442" spans="10:10" x14ac:dyDescent="0.3">
      <c r="J87442"/>
    </row>
    <row r="87443" spans="10:10" x14ac:dyDescent="0.3">
      <c r="J87443"/>
    </row>
    <row r="87444" spans="10:10" x14ac:dyDescent="0.3">
      <c r="J87444"/>
    </row>
    <row r="87445" spans="10:10" x14ac:dyDescent="0.3">
      <c r="J87445"/>
    </row>
    <row r="87446" spans="10:10" x14ac:dyDescent="0.3">
      <c r="J87446"/>
    </row>
    <row r="87447" spans="10:10" x14ac:dyDescent="0.3">
      <c r="J87447"/>
    </row>
    <row r="87448" spans="10:10" x14ac:dyDescent="0.3">
      <c r="J87448"/>
    </row>
    <row r="87449" spans="10:10" x14ac:dyDescent="0.3">
      <c r="J87449"/>
    </row>
    <row r="87450" spans="10:10" x14ac:dyDescent="0.3">
      <c r="J87450"/>
    </row>
    <row r="87451" spans="10:10" x14ac:dyDescent="0.3">
      <c r="J87451"/>
    </row>
    <row r="87452" spans="10:10" x14ac:dyDescent="0.3">
      <c r="J87452"/>
    </row>
    <row r="87453" spans="10:10" x14ac:dyDescent="0.3">
      <c r="J87453"/>
    </row>
    <row r="87454" spans="10:10" x14ac:dyDescent="0.3">
      <c r="J87454"/>
    </row>
    <row r="87455" spans="10:10" x14ac:dyDescent="0.3">
      <c r="J87455"/>
    </row>
    <row r="87456" spans="10:10" x14ac:dyDescent="0.3">
      <c r="J87456"/>
    </row>
    <row r="87457" spans="10:10" x14ac:dyDescent="0.3">
      <c r="J87457"/>
    </row>
    <row r="87458" spans="10:10" x14ac:dyDescent="0.3">
      <c r="J87458"/>
    </row>
    <row r="87459" spans="10:10" x14ac:dyDescent="0.3">
      <c r="J87459"/>
    </row>
    <row r="87460" spans="10:10" x14ac:dyDescent="0.3">
      <c r="J87460"/>
    </row>
    <row r="87461" spans="10:10" x14ac:dyDescent="0.3">
      <c r="J87461"/>
    </row>
    <row r="87462" spans="10:10" x14ac:dyDescent="0.3">
      <c r="J87462"/>
    </row>
    <row r="87463" spans="10:10" x14ac:dyDescent="0.3">
      <c r="J87463"/>
    </row>
    <row r="87464" spans="10:10" x14ac:dyDescent="0.3">
      <c r="J87464"/>
    </row>
    <row r="87465" spans="10:10" x14ac:dyDescent="0.3">
      <c r="J87465"/>
    </row>
    <row r="87466" spans="10:10" x14ac:dyDescent="0.3">
      <c r="J87466"/>
    </row>
    <row r="87467" spans="10:10" x14ac:dyDescent="0.3">
      <c r="J87467"/>
    </row>
    <row r="87468" spans="10:10" x14ac:dyDescent="0.3">
      <c r="J87468"/>
    </row>
    <row r="87469" spans="10:10" x14ac:dyDescent="0.3">
      <c r="J87469"/>
    </row>
    <row r="87470" spans="10:10" x14ac:dyDescent="0.3">
      <c r="J87470"/>
    </row>
    <row r="87471" spans="10:10" x14ac:dyDescent="0.3">
      <c r="J87471"/>
    </row>
    <row r="87472" spans="10:10" x14ac:dyDescent="0.3">
      <c r="J87472"/>
    </row>
    <row r="87473" spans="10:10" x14ac:dyDescent="0.3">
      <c r="J87473"/>
    </row>
    <row r="87474" spans="10:10" x14ac:dyDescent="0.3">
      <c r="J87474"/>
    </row>
    <row r="87475" spans="10:10" x14ac:dyDescent="0.3">
      <c r="J87475"/>
    </row>
    <row r="87476" spans="10:10" x14ac:dyDescent="0.3">
      <c r="J87476"/>
    </row>
    <row r="87477" spans="10:10" x14ac:dyDescent="0.3">
      <c r="J87477"/>
    </row>
    <row r="87478" spans="10:10" x14ac:dyDescent="0.3">
      <c r="J87478"/>
    </row>
    <row r="87479" spans="10:10" x14ac:dyDescent="0.3">
      <c r="J87479"/>
    </row>
    <row r="87480" spans="10:10" x14ac:dyDescent="0.3">
      <c r="J87480"/>
    </row>
    <row r="87481" spans="10:10" x14ac:dyDescent="0.3">
      <c r="J87481"/>
    </row>
    <row r="87482" spans="10:10" x14ac:dyDescent="0.3">
      <c r="J87482"/>
    </row>
    <row r="87483" spans="10:10" x14ac:dyDescent="0.3">
      <c r="J87483"/>
    </row>
    <row r="87484" spans="10:10" x14ac:dyDescent="0.3">
      <c r="J87484"/>
    </row>
    <row r="87485" spans="10:10" x14ac:dyDescent="0.3">
      <c r="J87485"/>
    </row>
    <row r="87486" spans="10:10" x14ac:dyDescent="0.3">
      <c r="J87486"/>
    </row>
    <row r="87487" spans="10:10" x14ac:dyDescent="0.3">
      <c r="J87487"/>
    </row>
    <row r="87488" spans="10:10" x14ac:dyDescent="0.3">
      <c r="J87488"/>
    </row>
    <row r="87489" spans="10:10" x14ac:dyDescent="0.3">
      <c r="J87489"/>
    </row>
    <row r="87490" spans="10:10" x14ac:dyDescent="0.3">
      <c r="J87490"/>
    </row>
    <row r="87491" spans="10:10" x14ac:dyDescent="0.3">
      <c r="J87491"/>
    </row>
    <row r="87492" spans="10:10" x14ac:dyDescent="0.3">
      <c r="J87492"/>
    </row>
    <row r="87493" spans="10:10" x14ac:dyDescent="0.3">
      <c r="J87493"/>
    </row>
    <row r="87494" spans="10:10" x14ac:dyDescent="0.3">
      <c r="J87494"/>
    </row>
    <row r="87495" spans="10:10" x14ac:dyDescent="0.3">
      <c r="J87495"/>
    </row>
    <row r="87496" spans="10:10" x14ac:dyDescent="0.3">
      <c r="J87496"/>
    </row>
    <row r="87497" spans="10:10" x14ac:dyDescent="0.3">
      <c r="J87497"/>
    </row>
    <row r="87498" spans="10:10" x14ac:dyDescent="0.3">
      <c r="J87498"/>
    </row>
    <row r="87499" spans="10:10" x14ac:dyDescent="0.3">
      <c r="J87499"/>
    </row>
    <row r="87500" spans="10:10" x14ac:dyDescent="0.3">
      <c r="J87500"/>
    </row>
    <row r="87501" spans="10:10" x14ac:dyDescent="0.3">
      <c r="J87501"/>
    </row>
    <row r="87502" spans="10:10" x14ac:dyDescent="0.3">
      <c r="J87502"/>
    </row>
    <row r="87503" spans="10:10" x14ac:dyDescent="0.3">
      <c r="J87503"/>
    </row>
    <row r="87504" spans="10:10" x14ac:dyDescent="0.3">
      <c r="J87504"/>
    </row>
    <row r="87505" spans="10:10" x14ac:dyDescent="0.3">
      <c r="J87505"/>
    </row>
    <row r="87506" spans="10:10" x14ac:dyDescent="0.3">
      <c r="J87506"/>
    </row>
    <row r="87507" spans="10:10" x14ac:dyDescent="0.3">
      <c r="J87507"/>
    </row>
    <row r="87508" spans="10:10" x14ac:dyDescent="0.3">
      <c r="J87508"/>
    </row>
    <row r="87509" spans="10:10" x14ac:dyDescent="0.3">
      <c r="J87509"/>
    </row>
    <row r="87510" spans="10:10" x14ac:dyDescent="0.3">
      <c r="J87510"/>
    </row>
    <row r="87511" spans="10:10" x14ac:dyDescent="0.3">
      <c r="J87511"/>
    </row>
    <row r="87512" spans="10:10" x14ac:dyDescent="0.3">
      <c r="J87512"/>
    </row>
    <row r="87513" spans="10:10" x14ac:dyDescent="0.3">
      <c r="J87513"/>
    </row>
    <row r="87514" spans="10:10" x14ac:dyDescent="0.3">
      <c r="J87514"/>
    </row>
    <row r="87515" spans="10:10" x14ac:dyDescent="0.3">
      <c r="J87515"/>
    </row>
    <row r="87516" spans="10:10" x14ac:dyDescent="0.3">
      <c r="J87516"/>
    </row>
    <row r="87517" spans="10:10" x14ac:dyDescent="0.3">
      <c r="J87517"/>
    </row>
    <row r="87518" spans="10:10" x14ac:dyDescent="0.3">
      <c r="J87518"/>
    </row>
    <row r="87519" spans="10:10" x14ac:dyDescent="0.3">
      <c r="J87519"/>
    </row>
    <row r="87520" spans="10:10" x14ac:dyDescent="0.3">
      <c r="J87520"/>
    </row>
    <row r="87521" spans="10:10" x14ac:dyDescent="0.3">
      <c r="J87521"/>
    </row>
    <row r="87522" spans="10:10" x14ac:dyDescent="0.3">
      <c r="J87522"/>
    </row>
    <row r="87523" spans="10:10" x14ac:dyDescent="0.3">
      <c r="J87523"/>
    </row>
    <row r="87524" spans="10:10" x14ac:dyDescent="0.3">
      <c r="J87524"/>
    </row>
    <row r="87525" spans="10:10" x14ac:dyDescent="0.3">
      <c r="J87525"/>
    </row>
    <row r="87526" spans="10:10" x14ac:dyDescent="0.3">
      <c r="J87526"/>
    </row>
    <row r="87527" spans="10:10" x14ac:dyDescent="0.3">
      <c r="J87527"/>
    </row>
    <row r="87528" spans="10:10" x14ac:dyDescent="0.3">
      <c r="J87528"/>
    </row>
    <row r="87529" spans="10:10" x14ac:dyDescent="0.3">
      <c r="J87529"/>
    </row>
    <row r="87530" spans="10:10" x14ac:dyDescent="0.3">
      <c r="J87530"/>
    </row>
    <row r="87531" spans="10:10" x14ac:dyDescent="0.3">
      <c r="J87531"/>
    </row>
    <row r="87532" spans="10:10" x14ac:dyDescent="0.3">
      <c r="J87532"/>
    </row>
    <row r="87533" spans="10:10" x14ac:dyDescent="0.3">
      <c r="J87533"/>
    </row>
    <row r="87534" spans="10:10" x14ac:dyDescent="0.3">
      <c r="J87534"/>
    </row>
    <row r="87535" spans="10:10" x14ac:dyDescent="0.3">
      <c r="J87535"/>
    </row>
    <row r="87536" spans="10:10" x14ac:dyDescent="0.3">
      <c r="J87536"/>
    </row>
    <row r="87537" spans="10:10" x14ac:dyDescent="0.3">
      <c r="J87537"/>
    </row>
    <row r="87538" spans="10:10" x14ac:dyDescent="0.3">
      <c r="J87538"/>
    </row>
    <row r="87539" spans="10:10" x14ac:dyDescent="0.3">
      <c r="J87539"/>
    </row>
    <row r="87540" spans="10:10" x14ac:dyDescent="0.3">
      <c r="J87540"/>
    </row>
    <row r="87541" spans="10:10" x14ac:dyDescent="0.3">
      <c r="J87541"/>
    </row>
    <row r="87542" spans="10:10" x14ac:dyDescent="0.3">
      <c r="J87542"/>
    </row>
    <row r="87543" spans="10:10" x14ac:dyDescent="0.3">
      <c r="J87543"/>
    </row>
    <row r="87544" spans="10:10" x14ac:dyDescent="0.3">
      <c r="J87544"/>
    </row>
    <row r="87545" spans="10:10" x14ac:dyDescent="0.3">
      <c r="J87545"/>
    </row>
    <row r="87546" spans="10:10" x14ac:dyDescent="0.3">
      <c r="J87546"/>
    </row>
    <row r="87547" spans="10:10" x14ac:dyDescent="0.3">
      <c r="J87547"/>
    </row>
    <row r="87548" spans="10:10" x14ac:dyDescent="0.3">
      <c r="J87548"/>
    </row>
    <row r="87549" spans="10:10" x14ac:dyDescent="0.3">
      <c r="J87549"/>
    </row>
    <row r="87550" spans="10:10" x14ac:dyDescent="0.3">
      <c r="J87550"/>
    </row>
    <row r="87551" spans="10:10" x14ac:dyDescent="0.3">
      <c r="J87551"/>
    </row>
    <row r="87552" spans="10:10" x14ac:dyDescent="0.3">
      <c r="J87552"/>
    </row>
    <row r="87553" spans="10:10" x14ac:dyDescent="0.3">
      <c r="J87553"/>
    </row>
    <row r="87554" spans="10:10" x14ac:dyDescent="0.3">
      <c r="J87554"/>
    </row>
    <row r="87555" spans="10:10" x14ac:dyDescent="0.3">
      <c r="J87555"/>
    </row>
    <row r="87556" spans="10:10" x14ac:dyDescent="0.3">
      <c r="J87556"/>
    </row>
    <row r="87557" spans="10:10" x14ac:dyDescent="0.3">
      <c r="J87557"/>
    </row>
    <row r="87558" spans="10:10" x14ac:dyDescent="0.3">
      <c r="J87558"/>
    </row>
    <row r="87559" spans="10:10" x14ac:dyDescent="0.3">
      <c r="J87559"/>
    </row>
    <row r="87560" spans="10:10" x14ac:dyDescent="0.3">
      <c r="J87560"/>
    </row>
    <row r="87561" spans="10:10" x14ac:dyDescent="0.3">
      <c r="J87561"/>
    </row>
    <row r="87562" spans="10:10" x14ac:dyDescent="0.3">
      <c r="J87562"/>
    </row>
    <row r="87563" spans="10:10" x14ac:dyDescent="0.3">
      <c r="J87563"/>
    </row>
    <row r="87564" spans="10:10" x14ac:dyDescent="0.3">
      <c r="J87564"/>
    </row>
    <row r="87565" spans="10:10" x14ac:dyDescent="0.3">
      <c r="J87565"/>
    </row>
    <row r="87566" spans="10:10" x14ac:dyDescent="0.3">
      <c r="J87566"/>
    </row>
    <row r="87567" spans="10:10" x14ac:dyDescent="0.3">
      <c r="J87567"/>
    </row>
    <row r="87568" spans="10:10" x14ac:dyDescent="0.3">
      <c r="J87568"/>
    </row>
    <row r="87569" spans="10:10" x14ac:dyDescent="0.3">
      <c r="J87569"/>
    </row>
    <row r="87570" spans="10:10" x14ac:dyDescent="0.3">
      <c r="J87570"/>
    </row>
    <row r="87571" spans="10:10" x14ac:dyDescent="0.3">
      <c r="J87571"/>
    </row>
    <row r="87572" spans="10:10" x14ac:dyDescent="0.3">
      <c r="J87572"/>
    </row>
    <row r="87573" spans="10:10" x14ac:dyDescent="0.3">
      <c r="J87573"/>
    </row>
    <row r="87574" spans="10:10" x14ac:dyDescent="0.3">
      <c r="J87574"/>
    </row>
    <row r="87575" spans="10:10" x14ac:dyDescent="0.3">
      <c r="J87575"/>
    </row>
    <row r="87576" spans="10:10" x14ac:dyDescent="0.3">
      <c r="J87576"/>
    </row>
    <row r="87577" spans="10:10" x14ac:dyDescent="0.3">
      <c r="J87577"/>
    </row>
    <row r="87578" spans="10:10" x14ac:dyDescent="0.3">
      <c r="J87578"/>
    </row>
    <row r="87579" spans="10:10" x14ac:dyDescent="0.3">
      <c r="J87579"/>
    </row>
    <row r="87580" spans="10:10" x14ac:dyDescent="0.3">
      <c r="J87580"/>
    </row>
    <row r="87581" spans="10:10" x14ac:dyDescent="0.3">
      <c r="J87581"/>
    </row>
    <row r="87582" spans="10:10" x14ac:dyDescent="0.3">
      <c r="J87582"/>
    </row>
    <row r="87583" spans="10:10" x14ac:dyDescent="0.3">
      <c r="J87583"/>
    </row>
    <row r="87584" spans="10:10" x14ac:dyDescent="0.3">
      <c r="J87584"/>
    </row>
    <row r="87585" spans="10:10" x14ac:dyDescent="0.3">
      <c r="J87585"/>
    </row>
    <row r="87586" spans="10:10" x14ac:dyDescent="0.3">
      <c r="J87586"/>
    </row>
    <row r="87587" spans="10:10" x14ac:dyDescent="0.3">
      <c r="J87587"/>
    </row>
    <row r="87588" spans="10:10" x14ac:dyDescent="0.3">
      <c r="J87588"/>
    </row>
    <row r="87589" spans="10:10" x14ac:dyDescent="0.3">
      <c r="J87589"/>
    </row>
    <row r="87590" spans="10:10" x14ac:dyDescent="0.3">
      <c r="J87590"/>
    </row>
    <row r="87591" spans="10:10" x14ac:dyDescent="0.3">
      <c r="J87591"/>
    </row>
    <row r="87592" spans="10:10" x14ac:dyDescent="0.3">
      <c r="J87592"/>
    </row>
    <row r="87593" spans="10:10" x14ac:dyDescent="0.3">
      <c r="J87593"/>
    </row>
    <row r="87594" spans="10:10" x14ac:dyDescent="0.3">
      <c r="J87594"/>
    </row>
    <row r="87595" spans="10:10" x14ac:dyDescent="0.3">
      <c r="J87595"/>
    </row>
    <row r="87596" spans="10:10" x14ac:dyDescent="0.3">
      <c r="J87596"/>
    </row>
    <row r="87597" spans="10:10" x14ac:dyDescent="0.3">
      <c r="J87597"/>
    </row>
    <row r="87598" spans="10:10" x14ac:dyDescent="0.3">
      <c r="J87598"/>
    </row>
    <row r="87599" spans="10:10" x14ac:dyDescent="0.3">
      <c r="J87599"/>
    </row>
    <row r="87600" spans="10:10" x14ac:dyDescent="0.3">
      <c r="J87600"/>
    </row>
    <row r="87601" spans="10:10" x14ac:dyDescent="0.3">
      <c r="J87601"/>
    </row>
    <row r="87602" spans="10:10" x14ac:dyDescent="0.3">
      <c r="J87602"/>
    </row>
    <row r="87603" spans="10:10" x14ac:dyDescent="0.3">
      <c r="J87603"/>
    </row>
    <row r="87604" spans="10:10" x14ac:dyDescent="0.3">
      <c r="J87604"/>
    </row>
    <row r="87605" spans="10:10" x14ac:dyDescent="0.3">
      <c r="J87605"/>
    </row>
    <row r="87606" spans="10:10" x14ac:dyDescent="0.3">
      <c r="J87606"/>
    </row>
    <row r="87607" spans="10:10" x14ac:dyDescent="0.3">
      <c r="J87607"/>
    </row>
    <row r="87608" spans="10:10" x14ac:dyDescent="0.3">
      <c r="J87608"/>
    </row>
    <row r="87609" spans="10:10" x14ac:dyDescent="0.3">
      <c r="J87609"/>
    </row>
    <row r="87610" spans="10:10" x14ac:dyDescent="0.3">
      <c r="J87610"/>
    </row>
    <row r="87611" spans="10:10" x14ac:dyDescent="0.3">
      <c r="J87611"/>
    </row>
    <row r="87612" spans="10:10" x14ac:dyDescent="0.3">
      <c r="J87612"/>
    </row>
    <row r="87613" spans="10:10" x14ac:dyDescent="0.3">
      <c r="J87613"/>
    </row>
    <row r="87614" spans="10:10" x14ac:dyDescent="0.3">
      <c r="J87614"/>
    </row>
    <row r="87615" spans="10:10" x14ac:dyDescent="0.3">
      <c r="J87615"/>
    </row>
    <row r="87616" spans="10:10" x14ac:dyDescent="0.3">
      <c r="J87616"/>
    </row>
    <row r="87617" spans="10:10" x14ac:dyDescent="0.3">
      <c r="J87617"/>
    </row>
    <row r="87618" spans="10:10" x14ac:dyDescent="0.3">
      <c r="J87618"/>
    </row>
    <row r="87619" spans="10:10" x14ac:dyDescent="0.3">
      <c r="J87619"/>
    </row>
    <row r="87620" spans="10:10" x14ac:dyDescent="0.3">
      <c r="J87620"/>
    </row>
    <row r="87621" spans="10:10" x14ac:dyDescent="0.3">
      <c r="J87621"/>
    </row>
    <row r="87622" spans="10:10" x14ac:dyDescent="0.3">
      <c r="J87622"/>
    </row>
    <row r="87623" spans="10:10" x14ac:dyDescent="0.3">
      <c r="J87623"/>
    </row>
    <row r="87624" spans="10:10" x14ac:dyDescent="0.3">
      <c r="J87624"/>
    </row>
    <row r="87625" spans="10:10" x14ac:dyDescent="0.3">
      <c r="J87625"/>
    </row>
    <row r="87626" spans="10:10" x14ac:dyDescent="0.3">
      <c r="J87626"/>
    </row>
    <row r="87627" spans="10:10" x14ac:dyDescent="0.3">
      <c r="J87627"/>
    </row>
    <row r="87628" spans="10:10" x14ac:dyDescent="0.3">
      <c r="J87628"/>
    </row>
    <row r="87629" spans="10:10" x14ac:dyDescent="0.3">
      <c r="J87629"/>
    </row>
    <row r="87630" spans="10:10" x14ac:dyDescent="0.3">
      <c r="J87630"/>
    </row>
    <row r="87631" spans="10:10" x14ac:dyDescent="0.3">
      <c r="J87631"/>
    </row>
    <row r="87632" spans="10:10" x14ac:dyDescent="0.3">
      <c r="J87632"/>
    </row>
    <row r="87633" spans="10:10" x14ac:dyDescent="0.3">
      <c r="J87633"/>
    </row>
    <row r="87634" spans="10:10" x14ac:dyDescent="0.3">
      <c r="J87634"/>
    </row>
    <row r="87635" spans="10:10" x14ac:dyDescent="0.3">
      <c r="J87635"/>
    </row>
    <row r="87636" spans="10:10" x14ac:dyDescent="0.3">
      <c r="J87636"/>
    </row>
    <row r="87637" spans="10:10" x14ac:dyDescent="0.3">
      <c r="J87637"/>
    </row>
    <row r="87638" spans="10:10" x14ac:dyDescent="0.3">
      <c r="J87638"/>
    </row>
    <row r="87639" spans="10:10" x14ac:dyDescent="0.3">
      <c r="J87639"/>
    </row>
    <row r="87640" spans="10:10" x14ac:dyDescent="0.3">
      <c r="J87640"/>
    </row>
    <row r="87641" spans="10:10" x14ac:dyDescent="0.3">
      <c r="J87641"/>
    </row>
    <row r="87642" spans="10:10" x14ac:dyDescent="0.3">
      <c r="J87642"/>
    </row>
    <row r="87643" spans="10:10" x14ac:dyDescent="0.3">
      <c r="J87643"/>
    </row>
    <row r="87644" spans="10:10" x14ac:dyDescent="0.3">
      <c r="J87644"/>
    </row>
    <row r="87645" spans="10:10" x14ac:dyDescent="0.3">
      <c r="J87645"/>
    </row>
    <row r="87646" spans="10:10" x14ac:dyDescent="0.3">
      <c r="J87646"/>
    </row>
    <row r="87647" spans="10:10" x14ac:dyDescent="0.3">
      <c r="J87647"/>
    </row>
    <row r="87648" spans="10:10" x14ac:dyDescent="0.3">
      <c r="J87648"/>
    </row>
    <row r="87649" spans="10:10" x14ac:dyDescent="0.3">
      <c r="J87649"/>
    </row>
    <row r="87650" spans="10:10" x14ac:dyDescent="0.3">
      <c r="J87650"/>
    </row>
    <row r="87651" spans="10:10" x14ac:dyDescent="0.3">
      <c r="J87651"/>
    </row>
    <row r="87652" spans="10:10" x14ac:dyDescent="0.3">
      <c r="J87652"/>
    </row>
    <row r="87653" spans="10:10" x14ac:dyDescent="0.3">
      <c r="J87653"/>
    </row>
    <row r="87654" spans="10:10" x14ac:dyDescent="0.3">
      <c r="J87654"/>
    </row>
    <row r="87655" spans="10:10" x14ac:dyDescent="0.3">
      <c r="J87655"/>
    </row>
    <row r="87656" spans="10:10" x14ac:dyDescent="0.3">
      <c r="J87656"/>
    </row>
    <row r="87657" spans="10:10" x14ac:dyDescent="0.3">
      <c r="J87657"/>
    </row>
    <row r="87658" spans="10:10" x14ac:dyDescent="0.3">
      <c r="J87658"/>
    </row>
    <row r="87659" spans="10:10" x14ac:dyDescent="0.3">
      <c r="J87659"/>
    </row>
    <row r="87660" spans="10:10" x14ac:dyDescent="0.3">
      <c r="J87660"/>
    </row>
    <row r="87661" spans="10:10" x14ac:dyDescent="0.3">
      <c r="J87661"/>
    </row>
    <row r="87662" spans="10:10" x14ac:dyDescent="0.3">
      <c r="J87662"/>
    </row>
    <row r="87663" spans="10:10" x14ac:dyDescent="0.3">
      <c r="J87663"/>
    </row>
    <row r="87664" spans="10:10" x14ac:dyDescent="0.3">
      <c r="J87664"/>
    </row>
    <row r="87665" spans="10:10" x14ac:dyDescent="0.3">
      <c r="J87665"/>
    </row>
    <row r="87666" spans="10:10" x14ac:dyDescent="0.3">
      <c r="J87666"/>
    </row>
    <row r="87667" spans="10:10" x14ac:dyDescent="0.3">
      <c r="J87667"/>
    </row>
    <row r="87668" spans="10:10" x14ac:dyDescent="0.3">
      <c r="J87668"/>
    </row>
    <row r="87669" spans="10:10" x14ac:dyDescent="0.3">
      <c r="J87669"/>
    </row>
    <row r="87670" spans="10:10" x14ac:dyDescent="0.3">
      <c r="J87670"/>
    </row>
    <row r="87671" spans="10:10" x14ac:dyDescent="0.3">
      <c r="J87671"/>
    </row>
    <row r="87672" spans="10:10" x14ac:dyDescent="0.3">
      <c r="J87672"/>
    </row>
    <row r="87673" spans="10:10" x14ac:dyDescent="0.3">
      <c r="J87673"/>
    </row>
    <row r="87674" spans="10:10" x14ac:dyDescent="0.3">
      <c r="J87674"/>
    </row>
    <row r="87675" spans="10:10" x14ac:dyDescent="0.3">
      <c r="J87675"/>
    </row>
    <row r="87676" spans="10:10" x14ac:dyDescent="0.3">
      <c r="J87676"/>
    </row>
    <row r="87677" spans="10:10" x14ac:dyDescent="0.3">
      <c r="J87677"/>
    </row>
    <row r="87678" spans="10:10" x14ac:dyDescent="0.3">
      <c r="J87678"/>
    </row>
    <row r="87679" spans="10:10" x14ac:dyDescent="0.3">
      <c r="J87679"/>
    </row>
    <row r="87680" spans="10:10" x14ac:dyDescent="0.3">
      <c r="J87680"/>
    </row>
    <row r="87681" spans="10:10" x14ac:dyDescent="0.3">
      <c r="J87681"/>
    </row>
    <row r="87682" spans="10:10" x14ac:dyDescent="0.3">
      <c r="J87682"/>
    </row>
    <row r="87683" spans="10:10" x14ac:dyDescent="0.3">
      <c r="J87683"/>
    </row>
    <row r="87684" spans="10:10" x14ac:dyDescent="0.3">
      <c r="J87684"/>
    </row>
    <row r="87685" spans="10:10" x14ac:dyDescent="0.3">
      <c r="J87685"/>
    </row>
    <row r="87686" spans="10:10" x14ac:dyDescent="0.3">
      <c r="J87686"/>
    </row>
    <row r="87687" spans="10:10" x14ac:dyDescent="0.3">
      <c r="J87687"/>
    </row>
    <row r="87688" spans="10:10" x14ac:dyDescent="0.3">
      <c r="J87688"/>
    </row>
    <row r="87689" spans="10:10" x14ac:dyDescent="0.3">
      <c r="J87689"/>
    </row>
    <row r="87690" spans="10:10" x14ac:dyDescent="0.3">
      <c r="J87690"/>
    </row>
    <row r="87691" spans="10:10" x14ac:dyDescent="0.3">
      <c r="J87691"/>
    </row>
    <row r="87692" spans="10:10" x14ac:dyDescent="0.3">
      <c r="J87692"/>
    </row>
    <row r="87693" spans="10:10" x14ac:dyDescent="0.3">
      <c r="J87693"/>
    </row>
    <row r="87694" spans="10:10" x14ac:dyDescent="0.3">
      <c r="J87694"/>
    </row>
    <row r="87695" spans="10:10" x14ac:dyDescent="0.3">
      <c r="J87695"/>
    </row>
    <row r="87696" spans="10:10" x14ac:dyDescent="0.3">
      <c r="J87696"/>
    </row>
    <row r="87697" spans="10:10" x14ac:dyDescent="0.3">
      <c r="J87697"/>
    </row>
    <row r="87698" spans="10:10" x14ac:dyDescent="0.3">
      <c r="J87698"/>
    </row>
    <row r="87699" spans="10:10" x14ac:dyDescent="0.3">
      <c r="J87699"/>
    </row>
    <row r="87700" spans="10:10" x14ac:dyDescent="0.3">
      <c r="J87700"/>
    </row>
    <row r="87701" spans="10:10" x14ac:dyDescent="0.3">
      <c r="J87701"/>
    </row>
    <row r="87702" spans="10:10" x14ac:dyDescent="0.3">
      <c r="J87702"/>
    </row>
    <row r="87703" spans="10:10" x14ac:dyDescent="0.3">
      <c r="J87703"/>
    </row>
    <row r="87704" spans="10:10" x14ac:dyDescent="0.3">
      <c r="J87704"/>
    </row>
    <row r="87705" spans="10:10" x14ac:dyDescent="0.3">
      <c r="J87705"/>
    </row>
    <row r="87706" spans="10:10" x14ac:dyDescent="0.3">
      <c r="J87706"/>
    </row>
    <row r="87707" spans="10:10" x14ac:dyDescent="0.3">
      <c r="J87707"/>
    </row>
    <row r="87708" spans="10:10" x14ac:dyDescent="0.3">
      <c r="J87708"/>
    </row>
    <row r="87709" spans="10:10" x14ac:dyDescent="0.3">
      <c r="J87709"/>
    </row>
    <row r="87710" spans="10:10" x14ac:dyDescent="0.3">
      <c r="J87710"/>
    </row>
    <row r="87711" spans="10:10" x14ac:dyDescent="0.3">
      <c r="J87711"/>
    </row>
    <row r="87712" spans="10:10" x14ac:dyDescent="0.3">
      <c r="J87712"/>
    </row>
    <row r="87713" spans="10:10" x14ac:dyDescent="0.3">
      <c r="J87713"/>
    </row>
    <row r="87714" spans="10:10" x14ac:dyDescent="0.3">
      <c r="J87714"/>
    </row>
    <row r="87715" spans="10:10" x14ac:dyDescent="0.3">
      <c r="J87715"/>
    </row>
    <row r="87716" spans="10:10" x14ac:dyDescent="0.3">
      <c r="J87716"/>
    </row>
    <row r="87717" spans="10:10" x14ac:dyDescent="0.3">
      <c r="J87717"/>
    </row>
    <row r="87718" spans="10:10" x14ac:dyDescent="0.3">
      <c r="J87718"/>
    </row>
    <row r="87719" spans="10:10" x14ac:dyDescent="0.3">
      <c r="J87719"/>
    </row>
    <row r="87720" spans="10:10" x14ac:dyDescent="0.3">
      <c r="J87720"/>
    </row>
    <row r="87721" spans="10:10" x14ac:dyDescent="0.3">
      <c r="J87721"/>
    </row>
    <row r="87722" spans="10:10" x14ac:dyDescent="0.3">
      <c r="J87722"/>
    </row>
    <row r="87723" spans="10:10" x14ac:dyDescent="0.3">
      <c r="J87723"/>
    </row>
    <row r="87724" spans="10:10" x14ac:dyDescent="0.3">
      <c r="J87724"/>
    </row>
    <row r="87725" spans="10:10" x14ac:dyDescent="0.3">
      <c r="J87725"/>
    </row>
    <row r="87726" spans="10:10" x14ac:dyDescent="0.3">
      <c r="J87726"/>
    </row>
    <row r="87727" spans="10:10" x14ac:dyDescent="0.3">
      <c r="J87727"/>
    </row>
    <row r="87728" spans="10:10" x14ac:dyDescent="0.3">
      <c r="J87728"/>
    </row>
    <row r="87729" spans="10:10" x14ac:dyDescent="0.3">
      <c r="J87729"/>
    </row>
    <row r="87730" spans="10:10" x14ac:dyDescent="0.3">
      <c r="J87730"/>
    </row>
    <row r="87731" spans="10:10" x14ac:dyDescent="0.3">
      <c r="J87731"/>
    </row>
    <row r="87732" spans="10:10" x14ac:dyDescent="0.3">
      <c r="J87732"/>
    </row>
    <row r="87733" spans="10:10" x14ac:dyDescent="0.3">
      <c r="J87733"/>
    </row>
    <row r="87734" spans="10:10" x14ac:dyDescent="0.3">
      <c r="J87734"/>
    </row>
    <row r="87735" spans="10:10" x14ac:dyDescent="0.3">
      <c r="J87735"/>
    </row>
    <row r="87736" spans="10:10" x14ac:dyDescent="0.3">
      <c r="J87736"/>
    </row>
    <row r="87737" spans="10:10" x14ac:dyDescent="0.3">
      <c r="J87737"/>
    </row>
    <row r="87738" spans="10:10" x14ac:dyDescent="0.3">
      <c r="J87738"/>
    </row>
    <row r="87739" spans="10:10" x14ac:dyDescent="0.3">
      <c r="J87739"/>
    </row>
    <row r="87740" spans="10:10" x14ac:dyDescent="0.3">
      <c r="J87740"/>
    </row>
    <row r="87741" spans="10:10" x14ac:dyDescent="0.3">
      <c r="J87741"/>
    </row>
    <row r="87742" spans="10:10" x14ac:dyDescent="0.3">
      <c r="J87742"/>
    </row>
    <row r="87743" spans="10:10" x14ac:dyDescent="0.3">
      <c r="J87743"/>
    </row>
    <row r="87744" spans="10:10" x14ac:dyDescent="0.3">
      <c r="J87744"/>
    </row>
    <row r="87745" spans="10:10" x14ac:dyDescent="0.3">
      <c r="J87745"/>
    </row>
    <row r="87746" spans="10:10" x14ac:dyDescent="0.3">
      <c r="J87746"/>
    </row>
    <row r="87747" spans="10:10" x14ac:dyDescent="0.3">
      <c r="J87747"/>
    </row>
    <row r="87748" spans="10:10" x14ac:dyDescent="0.3">
      <c r="J87748"/>
    </row>
    <row r="87749" spans="10:10" x14ac:dyDescent="0.3">
      <c r="J87749"/>
    </row>
    <row r="87750" spans="10:10" x14ac:dyDescent="0.3">
      <c r="J87750"/>
    </row>
    <row r="87751" spans="10:10" x14ac:dyDescent="0.3">
      <c r="J87751"/>
    </row>
    <row r="87752" spans="10:10" x14ac:dyDescent="0.3">
      <c r="J87752"/>
    </row>
    <row r="87753" spans="10:10" x14ac:dyDescent="0.3">
      <c r="J87753"/>
    </row>
    <row r="87754" spans="10:10" x14ac:dyDescent="0.3">
      <c r="J87754"/>
    </row>
    <row r="87755" spans="10:10" x14ac:dyDescent="0.3">
      <c r="J87755"/>
    </row>
    <row r="87756" spans="10:10" x14ac:dyDescent="0.3">
      <c r="J87756"/>
    </row>
    <row r="87757" spans="10:10" x14ac:dyDescent="0.3">
      <c r="J87757"/>
    </row>
    <row r="87758" spans="10:10" x14ac:dyDescent="0.3">
      <c r="J87758"/>
    </row>
    <row r="87759" spans="10:10" x14ac:dyDescent="0.3">
      <c r="J87759"/>
    </row>
    <row r="87760" spans="10:10" x14ac:dyDescent="0.3">
      <c r="J87760"/>
    </row>
    <row r="87761" spans="10:10" x14ac:dyDescent="0.3">
      <c r="J87761"/>
    </row>
    <row r="87762" spans="10:10" x14ac:dyDescent="0.3">
      <c r="J87762"/>
    </row>
    <row r="87763" spans="10:10" x14ac:dyDescent="0.3">
      <c r="J87763"/>
    </row>
    <row r="87764" spans="10:10" x14ac:dyDescent="0.3">
      <c r="J87764"/>
    </row>
    <row r="87765" spans="10:10" x14ac:dyDescent="0.3">
      <c r="J87765"/>
    </row>
    <row r="87766" spans="10:10" x14ac:dyDescent="0.3">
      <c r="J87766"/>
    </row>
    <row r="87767" spans="10:10" x14ac:dyDescent="0.3">
      <c r="J87767"/>
    </row>
    <row r="87768" spans="10:10" x14ac:dyDescent="0.3">
      <c r="J87768"/>
    </row>
    <row r="87769" spans="10:10" x14ac:dyDescent="0.3">
      <c r="J87769"/>
    </row>
    <row r="87770" spans="10:10" x14ac:dyDescent="0.3">
      <c r="J87770"/>
    </row>
    <row r="87771" spans="10:10" x14ac:dyDescent="0.3">
      <c r="J87771"/>
    </row>
    <row r="87772" spans="10:10" x14ac:dyDescent="0.3">
      <c r="J87772"/>
    </row>
    <row r="87773" spans="10:10" x14ac:dyDescent="0.3">
      <c r="J87773"/>
    </row>
    <row r="87774" spans="10:10" x14ac:dyDescent="0.3">
      <c r="J87774"/>
    </row>
    <row r="87775" spans="10:10" x14ac:dyDescent="0.3">
      <c r="J87775"/>
    </row>
    <row r="87776" spans="10:10" x14ac:dyDescent="0.3">
      <c r="J87776"/>
    </row>
    <row r="87777" spans="10:10" x14ac:dyDescent="0.3">
      <c r="J87777"/>
    </row>
    <row r="87778" spans="10:10" x14ac:dyDescent="0.3">
      <c r="J87778"/>
    </row>
    <row r="87779" spans="10:10" x14ac:dyDescent="0.3">
      <c r="J87779"/>
    </row>
    <row r="87780" spans="10:10" x14ac:dyDescent="0.3">
      <c r="J87780"/>
    </row>
    <row r="87781" spans="10:10" x14ac:dyDescent="0.3">
      <c r="J87781"/>
    </row>
    <row r="87782" spans="10:10" x14ac:dyDescent="0.3">
      <c r="J87782"/>
    </row>
    <row r="87783" spans="10:10" x14ac:dyDescent="0.3">
      <c r="J87783"/>
    </row>
    <row r="87784" spans="10:10" x14ac:dyDescent="0.3">
      <c r="J87784"/>
    </row>
    <row r="87785" spans="10:10" x14ac:dyDescent="0.3">
      <c r="J87785"/>
    </row>
    <row r="87786" spans="10:10" x14ac:dyDescent="0.3">
      <c r="J87786"/>
    </row>
    <row r="87787" spans="10:10" x14ac:dyDescent="0.3">
      <c r="J87787"/>
    </row>
    <row r="87788" spans="10:10" x14ac:dyDescent="0.3">
      <c r="J87788"/>
    </row>
    <row r="87789" spans="10:10" x14ac:dyDescent="0.3">
      <c r="J87789"/>
    </row>
    <row r="87790" spans="10:10" x14ac:dyDescent="0.3">
      <c r="J87790"/>
    </row>
    <row r="87791" spans="10:10" x14ac:dyDescent="0.3">
      <c r="J87791"/>
    </row>
    <row r="87792" spans="10:10" x14ac:dyDescent="0.3">
      <c r="J87792"/>
    </row>
    <row r="87793" spans="10:10" x14ac:dyDescent="0.3">
      <c r="J87793"/>
    </row>
    <row r="87794" spans="10:10" x14ac:dyDescent="0.3">
      <c r="J87794"/>
    </row>
    <row r="87795" spans="10:10" x14ac:dyDescent="0.3">
      <c r="J87795"/>
    </row>
    <row r="87796" spans="10:10" x14ac:dyDescent="0.3">
      <c r="J87796"/>
    </row>
    <row r="87797" spans="10:10" x14ac:dyDescent="0.3">
      <c r="J87797"/>
    </row>
    <row r="87798" spans="10:10" x14ac:dyDescent="0.3">
      <c r="J87798"/>
    </row>
    <row r="87799" spans="10:10" x14ac:dyDescent="0.3">
      <c r="J87799"/>
    </row>
    <row r="87800" spans="10:10" x14ac:dyDescent="0.3">
      <c r="J87800"/>
    </row>
    <row r="87801" spans="10:10" x14ac:dyDescent="0.3">
      <c r="J87801"/>
    </row>
    <row r="87802" spans="10:10" x14ac:dyDescent="0.3">
      <c r="J87802"/>
    </row>
    <row r="87803" spans="10:10" x14ac:dyDescent="0.3">
      <c r="J87803"/>
    </row>
    <row r="87804" spans="10:10" x14ac:dyDescent="0.3">
      <c r="J87804"/>
    </row>
    <row r="87805" spans="10:10" x14ac:dyDescent="0.3">
      <c r="J87805"/>
    </row>
    <row r="87806" spans="10:10" x14ac:dyDescent="0.3">
      <c r="J87806"/>
    </row>
    <row r="87807" spans="10:10" x14ac:dyDescent="0.3">
      <c r="J87807"/>
    </row>
    <row r="87808" spans="10:10" x14ac:dyDescent="0.3">
      <c r="J87808"/>
    </row>
    <row r="87809" spans="10:10" x14ac:dyDescent="0.3">
      <c r="J87809"/>
    </row>
    <row r="87810" spans="10:10" x14ac:dyDescent="0.3">
      <c r="J87810"/>
    </row>
    <row r="87811" spans="10:10" x14ac:dyDescent="0.3">
      <c r="J87811"/>
    </row>
    <row r="87812" spans="10:10" x14ac:dyDescent="0.3">
      <c r="J87812"/>
    </row>
    <row r="87813" spans="10:10" x14ac:dyDescent="0.3">
      <c r="J87813"/>
    </row>
    <row r="87814" spans="10:10" x14ac:dyDescent="0.3">
      <c r="J87814"/>
    </row>
    <row r="87815" spans="10:10" x14ac:dyDescent="0.3">
      <c r="J87815"/>
    </row>
    <row r="87816" spans="10:10" x14ac:dyDescent="0.3">
      <c r="J87816"/>
    </row>
    <row r="87817" spans="10:10" x14ac:dyDescent="0.3">
      <c r="J87817"/>
    </row>
    <row r="87818" spans="10:10" x14ac:dyDescent="0.3">
      <c r="J87818"/>
    </row>
    <row r="87819" spans="10:10" x14ac:dyDescent="0.3">
      <c r="J87819"/>
    </row>
    <row r="87820" spans="10:10" x14ac:dyDescent="0.3">
      <c r="J87820"/>
    </row>
    <row r="87821" spans="10:10" x14ac:dyDescent="0.3">
      <c r="J87821"/>
    </row>
    <row r="87822" spans="10:10" x14ac:dyDescent="0.3">
      <c r="J87822"/>
    </row>
    <row r="87823" spans="10:10" x14ac:dyDescent="0.3">
      <c r="J87823"/>
    </row>
    <row r="87824" spans="10:10" x14ac:dyDescent="0.3">
      <c r="J87824"/>
    </row>
    <row r="87825" spans="10:10" x14ac:dyDescent="0.3">
      <c r="J87825"/>
    </row>
    <row r="87826" spans="10:10" x14ac:dyDescent="0.3">
      <c r="J87826"/>
    </row>
    <row r="87827" spans="10:10" x14ac:dyDescent="0.3">
      <c r="J87827"/>
    </row>
    <row r="87828" spans="10:10" x14ac:dyDescent="0.3">
      <c r="J87828"/>
    </row>
    <row r="87829" spans="10:10" x14ac:dyDescent="0.3">
      <c r="J87829"/>
    </row>
    <row r="87830" spans="10:10" x14ac:dyDescent="0.3">
      <c r="J87830"/>
    </row>
    <row r="87831" spans="10:10" x14ac:dyDescent="0.3">
      <c r="J87831"/>
    </row>
    <row r="87832" spans="10:10" x14ac:dyDescent="0.3">
      <c r="J87832"/>
    </row>
    <row r="87833" spans="10:10" x14ac:dyDescent="0.3">
      <c r="J87833"/>
    </row>
    <row r="87834" spans="10:10" x14ac:dyDescent="0.3">
      <c r="J87834"/>
    </row>
    <row r="87835" spans="10:10" x14ac:dyDescent="0.3">
      <c r="J87835"/>
    </row>
    <row r="87836" spans="10:10" x14ac:dyDescent="0.3">
      <c r="J87836"/>
    </row>
    <row r="87837" spans="10:10" x14ac:dyDescent="0.3">
      <c r="J87837"/>
    </row>
    <row r="87838" spans="10:10" x14ac:dyDescent="0.3">
      <c r="J87838"/>
    </row>
    <row r="87839" spans="10:10" x14ac:dyDescent="0.3">
      <c r="J87839"/>
    </row>
    <row r="87840" spans="10:10" x14ac:dyDescent="0.3">
      <c r="J87840"/>
    </row>
    <row r="87841" spans="10:10" x14ac:dyDescent="0.3">
      <c r="J87841"/>
    </row>
    <row r="87842" spans="10:10" x14ac:dyDescent="0.3">
      <c r="J87842"/>
    </row>
    <row r="87843" spans="10:10" x14ac:dyDescent="0.3">
      <c r="J87843"/>
    </row>
    <row r="87844" spans="10:10" x14ac:dyDescent="0.3">
      <c r="J87844"/>
    </row>
    <row r="87845" spans="10:10" x14ac:dyDescent="0.3">
      <c r="J87845"/>
    </row>
    <row r="87846" spans="10:10" x14ac:dyDescent="0.3">
      <c r="J87846"/>
    </row>
    <row r="87847" spans="10:10" x14ac:dyDescent="0.3">
      <c r="J87847"/>
    </row>
    <row r="87848" spans="10:10" x14ac:dyDescent="0.3">
      <c r="J87848"/>
    </row>
    <row r="87849" spans="10:10" x14ac:dyDescent="0.3">
      <c r="J87849"/>
    </row>
    <row r="87850" spans="10:10" x14ac:dyDescent="0.3">
      <c r="J87850"/>
    </row>
    <row r="87851" spans="10:10" x14ac:dyDescent="0.3">
      <c r="J87851"/>
    </row>
    <row r="87852" spans="10:10" x14ac:dyDescent="0.3">
      <c r="J87852"/>
    </row>
    <row r="87853" spans="10:10" x14ac:dyDescent="0.3">
      <c r="J87853"/>
    </row>
    <row r="87854" spans="10:10" x14ac:dyDescent="0.3">
      <c r="J87854"/>
    </row>
    <row r="87855" spans="10:10" x14ac:dyDescent="0.3">
      <c r="J87855"/>
    </row>
    <row r="87856" spans="10:10" x14ac:dyDescent="0.3">
      <c r="J87856"/>
    </row>
    <row r="87857" spans="10:10" x14ac:dyDescent="0.3">
      <c r="J87857"/>
    </row>
    <row r="87858" spans="10:10" x14ac:dyDescent="0.3">
      <c r="J87858"/>
    </row>
    <row r="87859" spans="10:10" x14ac:dyDescent="0.3">
      <c r="J87859"/>
    </row>
    <row r="87860" spans="10:10" x14ac:dyDescent="0.3">
      <c r="J87860"/>
    </row>
    <row r="87861" spans="10:10" x14ac:dyDescent="0.3">
      <c r="J87861"/>
    </row>
    <row r="87862" spans="10:10" x14ac:dyDescent="0.3">
      <c r="J87862"/>
    </row>
    <row r="87863" spans="10:10" x14ac:dyDescent="0.3">
      <c r="J87863"/>
    </row>
    <row r="87864" spans="10:10" x14ac:dyDescent="0.3">
      <c r="J87864"/>
    </row>
    <row r="87865" spans="10:10" x14ac:dyDescent="0.3">
      <c r="J87865"/>
    </row>
    <row r="87866" spans="10:10" x14ac:dyDescent="0.3">
      <c r="J87866"/>
    </row>
    <row r="87867" spans="10:10" x14ac:dyDescent="0.3">
      <c r="J87867"/>
    </row>
    <row r="87868" spans="10:10" x14ac:dyDescent="0.3">
      <c r="J87868"/>
    </row>
    <row r="87869" spans="10:10" x14ac:dyDescent="0.3">
      <c r="J87869"/>
    </row>
    <row r="87870" spans="10:10" x14ac:dyDescent="0.3">
      <c r="J87870"/>
    </row>
    <row r="87871" spans="10:10" x14ac:dyDescent="0.3">
      <c r="J87871"/>
    </row>
    <row r="87872" spans="10:10" x14ac:dyDescent="0.3">
      <c r="J87872"/>
    </row>
    <row r="87873" spans="10:10" x14ac:dyDescent="0.3">
      <c r="J87873"/>
    </row>
    <row r="87874" spans="10:10" x14ac:dyDescent="0.3">
      <c r="J87874"/>
    </row>
    <row r="87875" spans="10:10" x14ac:dyDescent="0.3">
      <c r="J87875"/>
    </row>
    <row r="87876" spans="10:10" x14ac:dyDescent="0.3">
      <c r="J87876"/>
    </row>
    <row r="87877" spans="10:10" x14ac:dyDescent="0.3">
      <c r="J87877"/>
    </row>
    <row r="87878" spans="10:10" x14ac:dyDescent="0.3">
      <c r="J87878"/>
    </row>
    <row r="87879" spans="10:10" x14ac:dyDescent="0.3">
      <c r="J87879"/>
    </row>
    <row r="87880" spans="10:10" x14ac:dyDescent="0.3">
      <c r="J87880"/>
    </row>
    <row r="87881" spans="10:10" x14ac:dyDescent="0.3">
      <c r="J87881"/>
    </row>
    <row r="87882" spans="10:10" x14ac:dyDescent="0.3">
      <c r="J87882"/>
    </row>
    <row r="87883" spans="10:10" x14ac:dyDescent="0.3">
      <c r="J87883"/>
    </row>
    <row r="87884" spans="10:10" x14ac:dyDescent="0.3">
      <c r="J87884"/>
    </row>
    <row r="87885" spans="10:10" x14ac:dyDescent="0.3">
      <c r="J87885"/>
    </row>
    <row r="87886" spans="10:10" x14ac:dyDescent="0.3">
      <c r="J87886"/>
    </row>
    <row r="87887" spans="10:10" x14ac:dyDescent="0.3">
      <c r="J87887"/>
    </row>
    <row r="87888" spans="10:10" x14ac:dyDescent="0.3">
      <c r="J87888"/>
    </row>
    <row r="87889" spans="10:10" x14ac:dyDescent="0.3">
      <c r="J87889"/>
    </row>
    <row r="87890" spans="10:10" x14ac:dyDescent="0.3">
      <c r="J87890"/>
    </row>
    <row r="87891" spans="10:10" x14ac:dyDescent="0.3">
      <c r="J87891"/>
    </row>
    <row r="87892" spans="10:10" x14ac:dyDescent="0.3">
      <c r="J87892"/>
    </row>
    <row r="87893" spans="10:10" x14ac:dyDescent="0.3">
      <c r="J87893"/>
    </row>
    <row r="87894" spans="10:10" x14ac:dyDescent="0.3">
      <c r="J87894"/>
    </row>
    <row r="87895" spans="10:10" x14ac:dyDescent="0.3">
      <c r="J87895"/>
    </row>
    <row r="87896" spans="10:10" x14ac:dyDescent="0.3">
      <c r="J87896"/>
    </row>
    <row r="87897" spans="10:10" x14ac:dyDescent="0.3">
      <c r="J87897"/>
    </row>
    <row r="87898" spans="10:10" x14ac:dyDescent="0.3">
      <c r="J87898"/>
    </row>
    <row r="87899" spans="10:10" x14ac:dyDescent="0.3">
      <c r="J87899"/>
    </row>
    <row r="87900" spans="10:10" x14ac:dyDescent="0.3">
      <c r="J87900"/>
    </row>
    <row r="87901" spans="10:10" x14ac:dyDescent="0.3">
      <c r="J87901"/>
    </row>
    <row r="87902" spans="10:10" x14ac:dyDescent="0.3">
      <c r="J87902"/>
    </row>
    <row r="87903" spans="10:10" x14ac:dyDescent="0.3">
      <c r="J87903"/>
    </row>
    <row r="87904" spans="10:10" x14ac:dyDescent="0.3">
      <c r="J87904"/>
    </row>
    <row r="87905" spans="10:10" x14ac:dyDescent="0.3">
      <c r="J87905"/>
    </row>
    <row r="87906" spans="10:10" x14ac:dyDescent="0.3">
      <c r="J87906"/>
    </row>
    <row r="87907" spans="10:10" x14ac:dyDescent="0.3">
      <c r="J87907"/>
    </row>
    <row r="87908" spans="10:10" x14ac:dyDescent="0.3">
      <c r="J87908"/>
    </row>
    <row r="87909" spans="10:10" x14ac:dyDescent="0.3">
      <c r="J87909"/>
    </row>
    <row r="87910" spans="10:10" x14ac:dyDescent="0.3">
      <c r="J87910"/>
    </row>
    <row r="87911" spans="10:10" x14ac:dyDescent="0.3">
      <c r="J87911"/>
    </row>
    <row r="87912" spans="10:10" x14ac:dyDescent="0.3">
      <c r="J87912"/>
    </row>
    <row r="87913" spans="10:10" x14ac:dyDescent="0.3">
      <c r="J87913"/>
    </row>
    <row r="87914" spans="10:10" x14ac:dyDescent="0.3">
      <c r="J87914"/>
    </row>
    <row r="87915" spans="10:10" x14ac:dyDescent="0.3">
      <c r="J87915"/>
    </row>
    <row r="87916" spans="10:10" x14ac:dyDescent="0.3">
      <c r="J87916"/>
    </row>
    <row r="87917" spans="10:10" x14ac:dyDescent="0.3">
      <c r="J87917"/>
    </row>
    <row r="87918" spans="10:10" x14ac:dyDescent="0.3">
      <c r="J87918"/>
    </row>
    <row r="87919" spans="10:10" x14ac:dyDescent="0.3">
      <c r="J87919"/>
    </row>
    <row r="87920" spans="10:10" x14ac:dyDescent="0.3">
      <c r="J87920"/>
    </row>
    <row r="87921" spans="10:10" x14ac:dyDescent="0.3">
      <c r="J87921"/>
    </row>
    <row r="87922" spans="10:10" x14ac:dyDescent="0.3">
      <c r="J87922"/>
    </row>
    <row r="87923" spans="10:10" x14ac:dyDescent="0.3">
      <c r="J87923"/>
    </row>
    <row r="87924" spans="10:10" x14ac:dyDescent="0.3">
      <c r="J87924"/>
    </row>
    <row r="87925" spans="10:10" x14ac:dyDescent="0.3">
      <c r="J87925"/>
    </row>
    <row r="87926" spans="10:10" x14ac:dyDescent="0.3">
      <c r="J87926"/>
    </row>
    <row r="87927" spans="10:10" x14ac:dyDescent="0.3">
      <c r="J87927"/>
    </row>
    <row r="87928" spans="10:10" x14ac:dyDescent="0.3">
      <c r="J87928"/>
    </row>
    <row r="87929" spans="10:10" x14ac:dyDescent="0.3">
      <c r="J87929"/>
    </row>
    <row r="87930" spans="10:10" x14ac:dyDescent="0.3">
      <c r="J87930"/>
    </row>
    <row r="87931" spans="10:10" x14ac:dyDescent="0.3">
      <c r="J87931"/>
    </row>
    <row r="87932" spans="10:10" x14ac:dyDescent="0.3">
      <c r="J87932"/>
    </row>
    <row r="87933" spans="10:10" x14ac:dyDescent="0.3">
      <c r="J87933"/>
    </row>
    <row r="87934" spans="10:10" x14ac:dyDescent="0.3">
      <c r="J87934"/>
    </row>
    <row r="87935" spans="10:10" x14ac:dyDescent="0.3">
      <c r="J87935"/>
    </row>
    <row r="87936" spans="10:10" x14ac:dyDescent="0.3">
      <c r="J87936"/>
    </row>
    <row r="87937" spans="10:10" x14ac:dyDescent="0.3">
      <c r="J87937"/>
    </row>
    <row r="87938" spans="10:10" x14ac:dyDescent="0.3">
      <c r="J87938"/>
    </row>
    <row r="87939" spans="10:10" x14ac:dyDescent="0.3">
      <c r="J87939"/>
    </row>
    <row r="87940" spans="10:10" x14ac:dyDescent="0.3">
      <c r="J87940"/>
    </row>
    <row r="87941" spans="10:10" x14ac:dyDescent="0.3">
      <c r="J87941"/>
    </row>
    <row r="87942" spans="10:10" x14ac:dyDescent="0.3">
      <c r="J87942"/>
    </row>
    <row r="87943" spans="10:10" x14ac:dyDescent="0.3">
      <c r="J87943"/>
    </row>
    <row r="87944" spans="10:10" x14ac:dyDescent="0.3">
      <c r="J87944"/>
    </row>
    <row r="87945" spans="10:10" x14ac:dyDescent="0.3">
      <c r="J87945"/>
    </row>
    <row r="87946" spans="10:10" x14ac:dyDescent="0.3">
      <c r="J87946"/>
    </row>
    <row r="87947" spans="10:10" x14ac:dyDescent="0.3">
      <c r="J87947"/>
    </row>
    <row r="87948" spans="10:10" x14ac:dyDescent="0.3">
      <c r="J87948"/>
    </row>
    <row r="87949" spans="10:10" x14ac:dyDescent="0.3">
      <c r="J87949"/>
    </row>
    <row r="87950" spans="10:10" x14ac:dyDescent="0.3">
      <c r="J87950"/>
    </row>
    <row r="87951" spans="10:10" x14ac:dyDescent="0.3">
      <c r="J87951"/>
    </row>
    <row r="87952" spans="10:10" x14ac:dyDescent="0.3">
      <c r="J87952"/>
    </row>
    <row r="87953" spans="10:10" x14ac:dyDescent="0.3">
      <c r="J87953"/>
    </row>
    <row r="87954" spans="10:10" x14ac:dyDescent="0.3">
      <c r="J87954"/>
    </row>
    <row r="87955" spans="10:10" x14ac:dyDescent="0.3">
      <c r="J87955"/>
    </row>
    <row r="87956" spans="10:10" x14ac:dyDescent="0.3">
      <c r="J87956"/>
    </row>
    <row r="87957" spans="10:10" x14ac:dyDescent="0.3">
      <c r="J87957"/>
    </row>
    <row r="87958" spans="10:10" x14ac:dyDescent="0.3">
      <c r="J87958"/>
    </row>
    <row r="87959" spans="10:10" x14ac:dyDescent="0.3">
      <c r="J87959"/>
    </row>
    <row r="87960" spans="10:10" x14ac:dyDescent="0.3">
      <c r="J87960"/>
    </row>
    <row r="87961" spans="10:10" x14ac:dyDescent="0.3">
      <c r="J87961"/>
    </row>
    <row r="87962" spans="10:10" x14ac:dyDescent="0.3">
      <c r="J87962"/>
    </row>
    <row r="87963" spans="10:10" x14ac:dyDescent="0.3">
      <c r="J87963"/>
    </row>
    <row r="87964" spans="10:10" x14ac:dyDescent="0.3">
      <c r="J87964"/>
    </row>
    <row r="87965" spans="10:10" x14ac:dyDescent="0.3">
      <c r="J87965"/>
    </row>
    <row r="87966" spans="10:10" x14ac:dyDescent="0.3">
      <c r="J87966"/>
    </row>
    <row r="87967" spans="10:10" x14ac:dyDescent="0.3">
      <c r="J87967"/>
    </row>
    <row r="87968" spans="10:10" x14ac:dyDescent="0.3">
      <c r="J87968"/>
    </row>
    <row r="87969" spans="10:10" x14ac:dyDescent="0.3">
      <c r="J87969"/>
    </row>
    <row r="87970" spans="10:10" x14ac:dyDescent="0.3">
      <c r="J87970"/>
    </row>
    <row r="87971" spans="10:10" x14ac:dyDescent="0.3">
      <c r="J87971"/>
    </row>
    <row r="87972" spans="10:10" x14ac:dyDescent="0.3">
      <c r="J87972"/>
    </row>
    <row r="87973" spans="10:10" x14ac:dyDescent="0.3">
      <c r="J87973"/>
    </row>
    <row r="87974" spans="10:10" x14ac:dyDescent="0.3">
      <c r="J87974"/>
    </row>
    <row r="87975" spans="10:10" x14ac:dyDescent="0.3">
      <c r="J87975"/>
    </row>
    <row r="87976" spans="10:10" x14ac:dyDescent="0.3">
      <c r="J87976"/>
    </row>
    <row r="87977" spans="10:10" x14ac:dyDescent="0.3">
      <c r="J87977"/>
    </row>
    <row r="87978" spans="10:10" x14ac:dyDescent="0.3">
      <c r="J87978"/>
    </row>
    <row r="87979" spans="10:10" x14ac:dyDescent="0.3">
      <c r="J87979"/>
    </row>
    <row r="87980" spans="10:10" x14ac:dyDescent="0.3">
      <c r="J87980"/>
    </row>
    <row r="87981" spans="10:10" x14ac:dyDescent="0.3">
      <c r="J87981"/>
    </row>
    <row r="87982" spans="10:10" x14ac:dyDescent="0.3">
      <c r="J87982"/>
    </row>
    <row r="87983" spans="10:10" x14ac:dyDescent="0.3">
      <c r="J87983"/>
    </row>
    <row r="87984" spans="10:10" x14ac:dyDescent="0.3">
      <c r="J87984"/>
    </row>
    <row r="87985" spans="10:10" x14ac:dyDescent="0.3">
      <c r="J87985"/>
    </row>
    <row r="87986" spans="10:10" x14ac:dyDescent="0.3">
      <c r="J87986"/>
    </row>
    <row r="87987" spans="10:10" x14ac:dyDescent="0.3">
      <c r="J87987"/>
    </row>
    <row r="87988" spans="10:10" x14ac:dyDescent="0.3">
      <c r="J87988"/>
    </row>
    <row r="87989" spans="10:10" x14ac:dyDescent="0.3">
      <c r="J87989"/>
    </row>
    <row r="87990" spans="10:10" x14ac:dyDescent="0.3">
      <c r="J87990"/>
    </row>
    <row r="87991" spans="10:10" x14ac:dyDescent="0.3">
      <c r="J87991"/>
    </row>
    <row r="87992" spans="10:10" x14ac:dyDescent="0.3">
      <c r="J87992"/>
    </row>
    <row r="87993" spans="10:10" x14ac:dyDescent="0.3">
      <c r="J87993"/>
    </row>
    <row r="87994" spans="10:10" x14ac:dyDescent="0.3">
      <c r="J87994"/>
    </row>
    <row r="87995" spans="10:10" x14ac:dyDescent="0.3">
      <c r="J87995"/>
    </row>
    <row r="87996" spans="10:10" x14ac:dyDescent="0.3">
      <c r="J87996"/>
    </row>
    <row r="87997" spans="10:10" x14ac:dyDescent="0.3">
      <c r="J87997"/>
    </row>
    <row r="87998" spans="10:10" x14ac:dyDescent="0.3">
      <c r="J87998"/>
    </row>
    <row r="87999" spans="10:10" x14ac:dyDescent="0.3">
      <c r="J87999"/>
    </row>
    <row r="88000" spans="10:10" x14ac:dyDescent="0.3">
      <c r="J88000"/>
    </row>
    <row r="88001" spans="10:10" x14ac:dyDescent="0.3">
      <c r="J88001"/>
    </row>
    <row r="88002" spans="10:10" x14ac:dyDescent="0.3">
      <c r="J88002"/>
    </row>
    <row r="88003" spans="10:10" x14ac:dyDescent="0.3">
      <c r="J88003"/>
    </row>
    <row r="88004" spans="10:10" x14ac:dyDescent="0.3">
      <c r="J88004"/>
    </row>
    <row r="88005" spans="10:10" x14ac:dyDescent="0.3">
      <c r="J88005"/>
    </row>
    <row r="88006" spans="10:10" x14ac:dyDescent="0.3">
      <c r="J88006"/>
    </row>
    <row r="88007" spans="10:10" x14ac:dyDescent="0.3">
      <c r="J88007"/>
    </row>
    <row r="88008" spans="10:10" x14ac:dyDescent="0.3">
      <c r="J88008"/>
    </row>
    <row r="88009" spans="10:10" x14ac:dyDescent="0.3">
      <c r="J88009"/>
    </row>
    <row r="88010" spans="10:10" x14ac:dyDescent="0.3">
      <c r="J88010"/>
    </row>
    <row r="88011" spans="10:10" x14ac:dyDescent="0.3">
      <c r="J88011"/>
    </row>
    <row r="88012" spans="10:10" x14ac:dyDescent="0.3">
      <c r="J88012"/>
    </row>
    <row r="88013" spans="10:10" x14ac:dyDescent="0.3">
      <c r="J88013"/>
    </row>
    <row r="88014" spans="10:10" x14ac:dyDescent="0.3">
      <c r="J88014"/>
    </row>
    <row r="88015" spans="10:10" x14ac:dyDescent="0.3">
      <c r="J88015"/>
    </row>
    <row r="88016" spans="10:10" x14ac:dyDescent="0.3">
      <c r="J88016"/>
    </row>
    <row r="88017" spans="10:10" x14ac:dyDescent="0.3">
      <c r="J88017"/>
    </row>
    <row r="88018" spans="10:10" x14ac:dyDescent="0.3">
      <c r="J88018"/>
    </row>
    <row r="88019" spans="10:10" x14ac:dyDescent="0.3">
      <c r="J88019"/>
    </row>
    <row r="88020" spans="10:10" x14ac:dyDescent="0.3">
      <c r="J88020"/>
    </row>
    <row r="88021" spans="10:10" x14ac:dyDescent="0.3">
      <c r="J88021"/>
    </row>
    <row r="88022" spans="10:10" x14ac:dyDescent="0.3">
      <c r="J88022"/>
    </row>
    <row r="88023" spans="10:10" x14ac:dyDescent="0.3">
      <c r="J88023"/>
    </row>
    <row r="88024" spans="10:10" x14ac:dyDescent="0.3">
      <c r="J88024"/>
    </row>
    <row r="88025" spans="10:10" x14ac:dyDescent="0.3">
      <c r="J88025"/>
    </row>
    <row r="88026" spans="10:10" x14ac:dyDescent="0.3">
      <c r="J88026"/>
    </row>
    <row r="88027" spans="10:10" x14ac:dyDescent="0.3">
      <c r="J88027"/>
    </row>
    <row r="88028" spans="10:10" x14ac:dyDescent="0.3">
      <c r="J88028"/>
    </row>
    <row r="88029" spans="10:10" x14ac:dyDescent="0.3">
      <c r="J88029"/>
    </row>
    <row r="88030" spans="10:10" x14ac:dyDescent="0.3">
      <c r="J88030"/>
    </row>
    <row r="88031" spans="10:10" x14ac:dyDescent="0.3">
      <c r="J88031"/>
    </row>
    <row r="88032" spans="10:10" x14ac:dyDescent="0.3">
      <c r="J88032"/>
    </row>
    <row r="88033" spans="10:10" x14ac:dyDescent="0.3">
      <c r="J88033"/>
    </row>
    <row r="88034" spans="10:10" x14ac:dyDescent="0.3">
      <c r="J88034"/>
    </row>
    <row r="88035" spans="10:10" x14ac:dyDescent="0.3">
      <c r="J88035"/>
    </row>
    <row r="88036" spans="10:10" x14ac:dyDescent="0.3">
      <c r="J88036"/>
    </row>
    <row r="88037" spans="10:10" x14ac:dyDescent="0.3">
      <c r="J88037"/>
    </row>
    <row r="88038" spans="10:10" x14ac:dyDescent="0.3">
      <c r="J88038"/>
    </row>
    <row r="88039" spans="10:10" x14ac:dyDescent="0.3">
      <c r="J88039"/>
    </row>
    <row r="88040" spans="10:10" x14ac:dyDescent="0.3">
      <c r="J88040"/>
    </row>
    <row r="88041" spans="10:10" x14ac:dyDescent="0.3">
      <c r="J88041"/>
    </row>
    <row r="88042" spans="10:10" x14ac:dyDescent="0.3">
      <c r="J88042"/>
    </row>
    <row r="88043" spans="10:10" x14ac:dyDescent="0.3">
      <c r="J88043"/>
    </row>
    <row r="88044" spans="10:10" x14ac:dyDescent="0.3">
      <c r="J88044"/>
    </row>
    <row r="88045" spans="10:10" x14ac:dyDescent="0.3">
      <c r="J88045"/>
    </row>
    <row r="88046" spans="10:10" x14ac:dyDescent="0.3">
      <c r="J88046"/>
    </row>
    <row r="88047" spans="10:10" x14ac:dyDescent="0.3">
      <c r="J88047"/>
    </row>
    <row r="88048" spans="10:10" x14ac:dyDescent="0.3">
      <c r="J88048"/>
    </row>
    <row r="88049" spans="10:10" x14ac:dyDescent="0.3">
      <c r="J88049"/>
    </row>
    <row r="88050" spans="10:10" x14ac:dyDescent="0.3">
      <c r="J88050"/>
    </row>
    <row r="88051" spans="10:10" x14ac:dyDescent="0.3">
      <c r="J88051"/>
    </row>
    <row r="88052" spans="10:10" x14ac:dyDescent="0.3">
      <c r="J88052"/>
    </row>
    <row r="88053" spans="10:10" x14ac:dyDescent="0.3">
      <c r="J88053"/>
    </row>
    <row r="88054" spans="10:10" x14ac:dyDescent="0.3">
      <c r="J88054"/>
    </row>
    <row r="88055" spans="10:10" x14ac:dyDescent="0.3">
      <c r="J88055"/>
    </row>
    <row r="88056" spans="10:10" x14ac:dyDescent="0.3">
      <c r="J88056"/>
    </row>
    <row r="88057" spans="10:10" x14ac:dyDescent="0.3">
      <c r="J88057"/>
    </row>
    <row r="88058" spans="10:10" x14ac:dyDescent="0.3">
      <c r="J88058"/>
    </row>
    <row r="88059" spans="10:10" x14ac:dyDescent="0.3">
      <c r="J88059"/>
    </row>
    <row r="88060" spans="10:10" x14ac:dyDescent="0.3">
      <c r="J88060"/>
    </row>
    <row r="88061" spans="10:10" x14ac:dyDescent="0.3">
      <c r="J88061"/>
    </row>
    <row r="88062" spans="10:10" x14ac:dyDescent="0.3">
      <c r="J88062"/>
    </row>
    <row r="88063" spans="10:10" x14ac:dyDescent="0.3">
      <c r="J88063"/>
    </row>
    <row r="88064" spans="10:10" x14ac:dyDescent="0.3">
      <c r="J88064"/>
    </row>
    <row r="88065" spans="10:10" x14ac:dyDescent="0.3">
      <c r="J88065"/>
    </row>
    <row r="88066" spans="10:10" x14ac:dyDescent="0.3">
      <c r="J88066"/>
    </row>
    <row r="88067" spans="10:10" x14ac:dyDescent="0.3">
      <c r="J88067"/>
    </row>
    <row r="88068" spans="10:10" x14ac:dyDescent="0.3">
      <c r="J88068"/>
    </row>
    <row r="88069" spans="10:10" x14ac:dyDescent="0.3">
      <c r="J88069"/>
    </row>
    <row r="88070" spans="10:10" x14ac:dyDescent="0.3">
      <c r="J88070"/>
    </row>
    <row r="88071" spans="10:10" x14ac:dyDescent="0.3">
      <c r="J88071"/>
    </row>
    <row r="88072" spans="10:10" x14ac:dyDescent="0.3">
      <c r="J88072"/>
    </row>
    <row r="88073" spans="10:10" x14ac:dyDescent="0.3">
      <c r="J88073"/>
    </row>
    <row r="88074" spans="10:10" x14ac:dyDescent="0.3">
      <c r="J88074"/>
    </row>
    <row r="88075" spans="10:10" x14ac:dyDescent="0.3">
      <c r="J88075"/>
    </row>
    <row r="88076" spans="10:10" x14ac:dyDescent="0.3">
      <c r="J88076"/>
    </row>
    <row r="88077" spans="10:10" x14ac:dyDescent="0.3">
      <c r="J88077"/>
    </row>
    <row r="88078" spans="10:10" x14ac:dyDescent="0.3">
      <c r="J88078"/>
    </row>
    <row r="88079" spans="10:10" x14ac:dyDescent="0.3">
      <c r="J88079"/>
    </row>
    <row r="88080" spans="10:10" x14ac:dyDescent="0.3">
      <c r="J88080"/>
    </row>
    <row r="88081" spans="10:10" x14ac:dyDescent="0.3">
      <c r="J88081"/>
    </row>
    <row r="88082" spans="10:10" x14ac:dyDescent="0.3">
      <c r="J88082"/>
    </row>
    <row r="88083" spans="10:10" x14ac:dyDescent="0.3">
      <c r="J88083"/>
    </row>
    <row r="88084" spans="10:10" x14ac:dyDescent="0.3">
      <c r="J88084"/>
    </row>
    <row r="88085" spans="10:10" x14ac:dyDescent="0.3">
      <c r="J88085"/>
    </row>
    <row r="88086" spans="10:10" x14ac:dyDescent="0.3">
      <c r="J88086"/>
    </row>
    <row r="88087" spans="10:10" x14ac:dyDescent="0.3">
      <c r="J88087"/>
    </row>
    <row r="88088" spans="10:10" x14ac:dyDescent="0.3">
      <c r="J88088"/>
    </row>
    <row r="88089" spans="10:10" x14ac:dyDescent="0.3">
      <c r="J88089"/>
    </row>
    <row r="88090" spans="10:10" x14ac:dyDescent="0.3">
      <c r="J88090"/>
    </row>
    <row r="88091" spans="10:10" x14ac:dyDescent="0.3">
      <c r="J88091"/>
    </row>
    <row r="88092" spans="10:10" x14ac:dyDescent="0.3">
      <c r="J88092"/>
    </row>
    <row r="88093" spans="10:10" x14ac:dyDescent="0.3">
      <c r="J88093"/>
    </row>
    <row r="88094" spans="10:10" x14ac:dyDescent="0.3">
      <c r="J88094"/>
    </row>
    <row r="88095" spans="10:10" x14ac:dyDescent="0.3">
      <c r="J88095"/>
    </row>
    <row r="88096" spans="10:10" x14ac:dyDescent="0.3">
      <c r="J88096"/>
    </row>
    <row r="88097" spans="10:10" x14ac:dyDescent="0.3">
      <c r="J88097"/>
    </row>
    <row r="88098" spans="10:10" x14ac:dyDescent="0.3">
      <c r="J88098"/>
    </row>
    <row r="88099" spans="10:10" x14ac:dyDescent="0.3">
      <c r="J88099"/>
    </row>
    <row r="88100" spans="10:10" x14ac:dyDescent="0.3">
      <c r="J88100"/>
    </row>
    <row r="88101" spans="10:10" x14ac:dyDescent="0.3">
      <c r="J88101"/>
    </row>
    <row r="88102" spans="10:10" x14ac:dyDescent="0.3">
      <c r="J88102"/>
    </row>
    <row r="88103" spans="10:10" x14ac:dyDescent="0.3">
      <c r="J88103"/>
    </row>
    <row r="88104" spans="10:10" x14ac:dyDescent="0.3">
      <c r="J88104"/>
    </row>
    <row r="88105" spans="10:10" x14ac:dyDescent="0.3">
      <c r="J88105"/>
    </row>
    <row r="88106" spans="10:10" x14ac:dyDescent="0.3">
      <c r="J88106"/>
    </row>
    <row r="88107" spans="10:10" x14ac:dyDescent="0.3">
      <c r="J88107"/>
    </row>
    <row r="88108" spans="10:10" x14ac:dyDescent="0.3">
      <c r="J88108"/>
    </row>
    <row r="88109" spans="10:10" x14ac:dyDescent="0.3">
      <c r="J88109"/>
    </row>
    <row r="88110" spans="10:10" x14ac:dyDescent="0.3">
      <c r="J88110"/>
    </row>
    <row r="88111" spans="10:10" x14ac:dyDescent="0.3">
      <c r="J88111"/>
    </row>
    <row r="88112" spans="10:10" x14ac:dyDescent="0.3">
      <c r="J88112"/>
    </row>
    <row r="88113" spans="10:10" x14ac:dyDescent="0.3">
      <c r="J88113"/>
    </row>
    <row r="88114" spans="10:10" x14ac:dyDescent="0.3">
      <c r="J88114"/>
    </row>
    <row r="88115" spans="10:10" x14ac:dyDescent="0.3">
      <c r="J88115"/>
    </row>
    <row r="88116" spans="10:10" x14ac:dyDescent="0.3">
      <c r="J88116"/>
    </row>
    <row r="88117" spans="10:10" x14ac:dyDescent="0.3">
      <c r="J88117"/>
    </row>
    <row r="88118" spans="10:10" x14ac:dyDescent="0.3">
      <c r="J88118"/>
    </row>
    <row r="88119" spans="10:10" x14ac:dyDescent="0.3">
      <c r="J88119"/>
    </row>
    <row r="88120" spans="10:10" x14ac:dyDescent="0.3">
      <c r="J88120"/>
    </row>
    <row r="88121" spans="10:10" x14ac:dyDescent="0.3">
      <c r="J88121"/>
    </row>
    <row r="88122" spans="10:10" x14ac:dyDescent="0.3">
      <c r="J88122"/>
    </row>
    <row r="88123" spans="10:10" x14ac:dyDescent="0.3">
      <c r="J88123"/>
    </row>
    <row r="88124" spans="10:10" x14ac:dyDescent="0.3">
      <c r="J88124"/>
    </row>
    <row r="88125" spans="10:10" x14ac:dyDescent="0.3">
      <c r="J88125"/>
    </row>
    <row r="88126" spans="10:10" x14ac:dyDescent="0.3">
      <c r="J88126"/>
    </row>
    <row r="88127" spans="10:10" x14ac:dyDescent="0.3">
      <c r="J88127"/>
    </row>
    <row r="88128" spans="10:10" x14ac:dyDescent="0.3">
      <c r="J88128"/>
    </row>
    <row r="88129" spans="10:10" x14ac:dyDescent="0.3">
      <c r="J88129"/>
    </row>
    <row r="88130" spans="10:10" x14ac:dyDescent="0.3">
      <c r="J88130"/>
    </row>
    <row r="88131" spans="10:10" x14ac:dyDescent="0.3">
      <c r="J88131"/>
    </row>
    <row r="88132" spans="10:10" x14ac:dyDescent="0.3">
      <c r="J88132"/>
    </row>
    <row r="88133" spans="10:10" x14ac:dyDescent="0.3">
      <c r="J88133"/>
    </row>
    <row r="88134" spans="10:10" x14ac:dyDescent="0.3">
      <c r="J88134"/>
    </row>
    <row r="88135" spans="10:10" x14ac:dyDescent="0.3">
      <c r="J88135"/>
    </row>
    <row r="88136" spans="10:10" x14ac:dyDescent="0.3">
      <c r="J88136"/>
    </row>
    <row r="88137" spans="10:10" x14ac:dyDescent="0.3">
      <c r="J88137"/>
    </row>
    <row r="88138" spans="10:10" x14ac:dyDescent="0.3">
      <c r="J88138"/>
    </row>
    <row r="88139" spans="10:10" x14ac:dyDescent="0.3">
      <c r="J88139"/>
    </row>
    <row r="88140" spans="10:10" x14ac:dyDescent="0.3">
      <c r="J88140"/>
    </row>
    <row r="88141" spans="10:10" x14ac:dyDescent="0.3">
      <c r="J88141"/>
    </row>
    <row r="88142" spans="10:10" x14ac:dyDescent="0.3">
      <c r="J88142"/>
    </row>
    <row r="88143" spans="10:10" x14ac:dyDescent="0.3">
      <c r="J88143"/>
    </row>
    <row r="88144" spans="10:10" x14ac:dyDescent="0.3">
      <c r="J88144"/>
    </row>
    <row r="88145" spans="10:10" x14ac:dyDescent="0.3">
      <c r="J88145"/>
    </row>
    <row r="88146" spans="10:10" x14ac:dyDescent="0.3">
      <c r="J88146"/>
    </row>
    <row r="88147" spans="10:10" x14ac:dyDescent="0.3">
      <c r="J88147"/>
    </row>
    <row r="88148" spans="10:10" x14ac:dyDescent="0.3">
      <c r="J88148"/>
    </row>
    <row r="88149" spans="10:10" x14ac:dyDescent="0.3">
      <c r="J88149"/>
    </row>
    <row r="88150" spans="10:10" x14ac:dyDescent="0.3">
      <c r="J88150"/>
    </row>
    <row r="88151" spans="10:10" x14ac:dyDescent="0.3">
      <c r="J88151"/>
    </row>
    <row r="88152" spans="10:10" x14ac:dyDescent="0.3">
      <c r="J88152"/>
    </row>
    <row r="88153" spans="10:10" x14ac:dyDescent="0.3">
      <c r="J88153"/>
    </row>
    <row r="88154" spans="10:10" x14ac:dyDescent="0.3">
      <c r="J88154"/>
    </row>
    <row r="88155" spans="10:10" x14ac:dyDescent="0.3">
      <c r="J88155"/>
    </row>
    <row r="88156" spans="10:10" x14ac:dyDescent="0.3">
      <c r="J88156"/>
    </row>
    <row r="88157" spans="10:10" x14ac:dyDescent="0.3">
      <c r="J88157"/>
    </row>
    <row r="88158" spans="10:10" x14ac:dyDescent="0.3">
      <c r="J88158"/>
    </row>
    <row r="88159" spans="10:10" x14ac:dyDescent="0.3">
      <c r="J88159"/>
    </row>
    <row r="88160" spans="10:10" x14ac:dyDescent="0.3">
      <c r="J88160"/>
    </row>
    <row r="88161" spans="10:10" x14ac:dyDescent="0.3">
      <c r="J88161"/>
    </row>
    <row r="88162" spans="10:10" x14ac:dyDescent="0.3">
      <c r="J88162"/>
    </row>
    <row r="88163" spans="10:10" x14ac:dyDescent="0.3">
      <c r="J88163"/>
    </row>
    <row r="88164" spans="10:10" x14ac:dyDescent="0.3">
      <c r="J88164"/>
    </row>
    <row r="88165" spans="10:10" x14ac:dyDescent="0.3">
      <c r="J88165"/>
    </row>
    <row r="88166" spans="10:10" x14ac:dyDescent="0.3">
      <c r="J88166"/>
    </row>
    <row r="88167" spans="10:10" x14ac:dyDescent="0.3">
      <c r="J88167"/>
    </row>
    <row r="88168" spans="10:10" x14ac:dyDescent="0.3">
      <c r="J88168"/>
    </row>
    <row r="88169" spans="10:10" x14ac:dyDescent="0.3">
      <c r="J88169"/>
    </row>
    <row r="88170" spans="10:10" x14ac:dyDescent="0.3">
      <c r="J88170"/>
    </row>
    <row r="88171" spans="10:10" x14ac:dyDescent="0.3">
      <c r="J88171"/>
    </row>
    <row r="88172" spans="10:10" x14ac:dyDescent="0.3">
      <c r="J88172"/>
    </row>
    <row r="88173" spans="10:10" x14ac:dyDescent="0.3">
      <c r="J88173"/>
    </row>
    <row r="88174" spans="10:10" x14ac:dyDescent="0.3">
      <c r="J88174"/>
    </row>
    <row r="88175" spans="10:10" x14ac:dyDescent="0.3">
      <c r="J88175"/>
    </row>
    <row r="88176" spans="10:10" x14ac:dyDescent="0.3">
      <c r="J88176"/>
    </row>
    <row r="88177" spans="10:10" x14ac:dyDescent="0.3">
      <c r="J88177"/>
    </row>
    <row r="88178" spans="10:10" x14ac:dyDescent="0.3">
      <c r="J88178"/>
    </row>
    <row r="88179" spans="10:10" x14ac:dyDescent="0.3">
      <c r="J88179"/>
    </row>
    <row r="88180" spans="10:10" x14ac:dyDescent="0.3">
      <c r="J88180"/>
    </row>
    <row r="88181" spans="10:10" x14ac:dyDescent="0.3">
      <c r="J88181"/>
    </row>
    <row r="88182" spans="10:10" x14ac:dyDescent="0.3">
      <c r="J88182"/>
    </row>
    <row r="88183" spans="10:10" x14ac:dyDescent="0.3">
      <c r="J88183"/>
    </row>
    <row r="88184" spans="10:10" x14ac:dyDescent="0.3">
      <c r="J88184"/>
    </row>
    <row r="88185" spans="10:10" x14ac:dyDescent="0.3">
      <c r="J88185"/>
    </row>
    <row r="88186" spans="10:10" x14ac:dyDescent="0.3">
      <c r="J88186"/>
    </row>
    <row r="88187" spans="10:10" x14ac:dyDescent="0.3">
      <c r="J88187"/>
    </row>
    <row r="88188" spans="10:10" x14ac:dyDescent="0.3">
      <c r="J88188"/>
    </row>
    <row r="88189" spans="10:10" x14ac:dyDescent="0.3">
      <c r="J88189"/>
    </row>
    <row r="88190" spans="10:10" x14ac:dyDescent="0.3">
      <c r="J88190"/>
    </row>
    <row r="88191" spans="10:10" x14ac:dyDescent="0.3">
      <c r="J88191"/>
    </row>
    <row r="88192" spans="10:10" x14ac:dyDescent="0.3">
      <c r="J88192"/>
    </row>
    <row r="88193" spans="10:10" x14ac:dyDescent="0.3">
      <c r="J88193"/>
    </row>
    <row r="88194" spans="10:10" x14ac:dyDescent="0.3">
      <c r="J88194"/>
    </row>
    <row r="88195" spans="10:10" x14ac:dyDescent="0.3">
      <c r="J88195"/>
    </row>
    <row r="88196" spans="10:10" x14ac:dyDescent="0.3">
      <c r="J88196"/>
    </row>
    <row r="88197" spans="10:10" x14ac:dyDescent="0.3">
      <c r="J88197"/>
    </row>
    <row r="88198" spans="10:10" x14ac:dyDescent="0.3">
      <c r="J88198"/>
    </row>
    <row r="88199" spans="10:10" x14ac:dyDescent="0.3">
      <c r="J88199"/>
    </row>
    <row r="88200" spans="10:10" x14ac:dyDescent="0.3">
      <c r="J88200"/>
    </row>
    <row r="88201" spans="10:10" x14ac:dyDescent="0.3">
      <c r="J88201"/>
    </row>
    <row r="88202" spans="10:10" x14ac:dyDescent="0.3">
      <c r="J88202"/>
    </row>
    <row r="88203" spans="10:10" x14ac:dyDescent="0.3">
      <c r="J88203"/>
    </row>
    <row r="88204" spans="10:10" x14ac:dyDescent="0.3">
      <c r="J88204"/>
    </row>
    <row r="88205" spans="10:10" x14ac:dyDescent="0.3">
      <c r="J88205"/>
    </row>
    <row r="88206" spans="10:10" x14ac:dyDescent="0.3">
      <c r="J88206"/>
    </row>
    <row r="88207" spans="10:10" x14ac:dyDescent="0.3">
      <c r="J88207"/>
    </row>
    <row r="88208" spans="10:10" x14ac:dyDescent="0.3">
      <c r="J88208"/>
    </row>
    <row r="88209" spans="10:10" x14ac:dyDescent="0.3">
      <c r="J88209"/>
    </row>
    <row r="88210" spans="10:10" x14ac:dyDescent="0.3">
      <c r="J88210"/>
    </row>
    <row r="88211" spans="10:10" x14ac:dyDescent="0.3">
      <c r="J88211"/>
    </row>
    <row r="88212" spans="10:10" x14ac:dyDescent="0.3">
      <c r="J88212"/>
    </row>
    <row r="88213" spans="10:10" x14ac:dyDescent="0.3">
      <c r="J88213"/>
    </row>
    <row r="88214" spans="10:10" x14ac:dyDescent="0.3">
      <c r="J88214"/>
    </row>
    <row r="88215" spans="10:10" x14ac:dyDescent="0.3">
      <c r="J88215"/>
    </row>
    <row r="88216" spans="10:10" x14ac:dyDescent="0.3">
      <c r="J88216"/>
    </row>
    <row r="88217" spans="10:10" x14ac:dyDescent="0.3">
      <c r="J88217"/>
    </row>
    <row r="88218" spans="10:10" x14ac:dyDescent="0.3">
      <c r="J88218"/>
    </row>
    <row r="88219" spans="10:10" x14ac:dyDescent="0.3">
      <c r="J88219"/>
    </row>
    <row r="88220" spans="10:10" x14ac:dyDescent="0.3">
      <c r="J88220"/>
    </row>
    <row r="88221" spans="10:10" x14ac:dyDescent="0.3">
      <c r="J88221"/>
    </row>
    <row r="88222" spans="10:10" x14ac:dyDescent="0.3">
      <c r="J88222"/>
    </row>
    <row r="88223" spans="10:10" x14ac:dyDescent="0.3">
      <c r="J88223"/>
    </row>
    <row r="88224" spans="10:10" x14ac:dyDescent="0.3">
      <c r="J88224"/>
    </row>
    <row r="88225" spans="10:10" x14ac:dyDescent="0.3">
      <c r="J88225"/>
    </row>
    <row r="88226" spans="10:10" x14ac:dyDescent="0.3">
      <c r="J88226"/>
    </row>
    <row r="88227" spans="10:10" x14ac:dyDescent="0.3">
      <c r="J88227"/>
    </row>
    <row r="88228" spans="10:10" x14ac:dyDescent="0.3">
      <c r="J88228"/>
    </row>
    <row r="88229" spans="10:10" x14ac:dyDescent="0.3">
      <c r="J88229"/>
    </row>
    <row r="88230" spans="10:10" x14ac:dyDescent="0.3">
      <c r="J88230"/>
    </row>
    <row r="88231" spans="10:10" x14ac:dyDescent="0.3">
      <c r="J88231"/>
    </row>
    <row r="88232" spans="10:10" x14ac:dyDescent="0.3">
      <c r="J88232"/>
    </row>
    <row r="88233" spans="10:10" x14ac:dyDescent="0.3">
      <c r="J88233"/>
    </row>
    <row r="88234" spans="10:10" x14ac:dyDescent="0.3">
      <c r="J88234"/>
    </row>
    <row r="88235" spans="10:10" x14ac:dyDescent="0.3">
      <c r="J88235"/>
    </row>
    <row r="88236" spans="10:10" x14ac:dyDescent="0.3">
      <c r="J88236"/>
    </row>
    <row r="88237" spans="10:10" x14ac:dyDescent="0.3">
      <c r="J88237"/>
    </row>
    <row r="88238" spans="10:10" x14ac:dyDescent="0.3">
      <c r="J88238"/>
    </row>
    <row r="88239" spans="10:10" x14ac:dyDescent="0.3">
      <c r="J88239"/>
    </row>
    <row r="88240" spans="10:10" x14ac:dyDescent="0.3">
      <c r="J88240"/>
    </row>
    <row r="88241" spans="10:10" x14ac:dyDescent="0.3">
      <c r="J88241"/>
    </row>
    <row r="88242" spans="10:10" x14ac:dyDescent="0.3">
      <c r="J88242"/>
    </row>
    <row r="88243" spans="10:10" x14ac:dyDescent="0.3">
      <c r="J88243"/>
    </row>
    <row r="88244" spans="10:10" x14ac:dyDescent="0.3">
      <c r="J88244"/>
    </row>
    <row r="88245" spans="10:10" x14ac:dyDescent="0.3">
      <c r="J88245"/>
    </row>
    <row r="88246" spans="10:10" x14ac:dyDescent="0.3">
      <c r="J88246"/>
    </row>
    <row r="88247" spans="10:10" x14ac:dyDescent="0.3">
      <c r="J88247"/>
    </row>
    <row r="88248" spans="10:10" x14ac:dyDescent="0.3">
      <c r="J88248"/>
    </row>
    <row r="88249" spans="10:10" x14ac:dyDescent="0.3">
      <c r="J88249"/>
    </row>
    <row r="88250" spans="10:10" x14ac:dyDescent="0.3">
      <c r="J88250"/>
    </row>
    <row r="88251" spans="10:10" x14ac:dyDescent="0.3">
      <c r="J88251"/>
    </row>
    <row r="88252" spans="10:10" x14ac:dyDescent="0.3">
      <c r="J88252"/>
    </row>
    <row r="88253" spans="10:10" x14ac:dyDescent="0.3">
      <c r="J88253"/>
    </row>
    <row r="88254" spans="10:10" x14ac:dyDescent="0.3">
      <c r="J88254"/>
    </row>
    <row r="88255" spans="10:10" x14ac:dyDescent="0.3">
      <c r="J88255"/>
    </row>
    <row r="88256" spans="10:10" x14ac:dyDescent="0.3">
      <c r="J88256"/>
    </row>
    <row r="88257" spans="10:10" x14ac:dyDescent="0.3">
      <c r="J88257"/>
    </row>
    <row r="88258" spans="10:10" x14ac:dyDescent="0.3">
      <c r="J88258"/>
    </row>
    <row r="88259" spans="10:10" x14ac:dyDescent="0.3">
      <c r="J88259"/>
    </row>
    <row r="88260" spans="10:10" x14ac:dyDescent="0.3">
      <c r="J88260"/>
    </row>
    <row r="88261" spans="10:10" x14ac:dyDescent="0.3">
      <c r="J88261"/>
    </row>
    <row r="88262" spans="10:10" x14ac:dyDescent="0.3">
      <c r="J88262"/>
    </row>
    <row r="88263" spans="10:10" x14ac:dyDescent="0.3">
      <c r="J88263"/>
    </row>
    <row r="88264" spans="10:10" x14ac:dyDescent="0.3">
      <c r="J88264"/>
    </row>
    <row r="88265" spans="10:10" x14ac:dyDescent="0.3">
      <c r="J88265"/>
    </row>
    <row r="88266" spans="10:10" x14ac:dyDescent="0.3">
      <c r="J88266"/>
    </row>
    <row r="88267" spans="10:10" x14ac:dyDescent="0.3">
      <c r="J88267"/>
    </row>
    <row r="88268" spans="10:10" x14ac:dyDescent="0.3">
      <c r="J88268"/>
    </row>
    <row r="88269" spans="10:10" x14ac:dyDescent="0.3">
      <c r="J88269"/>
    </row>
    <row r="88270" spans="10:10" x14ac:dyDescent="0.3">
      <c r="J88270"/>
    </row>
    <row r="88271" spans="10:10" x14ac:dyDescent="0.3">
      <c r="J88271"/>
    </row>
    <row r="88272" spans="10:10" x14ac:dyDescent="0.3">
      <c r="J88272"/>
    </row>
    <row r="88273" spans="10:10" x14ac:dyDescent="0.3">
      <c r="J88273"/>
    </row>
    <row r="88274" spans="10:10" x14ac:dyDescent="0.3">
      <c r="J88274"/>
    </row>
    <row r="88275" spans="10:10" x14ac:dyDescent="0.3">
      <c r="J88275"/>
    </row>
    <row r="88276" spans="10:10" x14ac:dyDescent="0.3">
      <c r="J88276"/>
    </row>
    <row r="88277" spans="10:10" x14ac:dyDescent="0.3">
      <c r="J88277"/>
    </row>
    <row r="88278" spans="10:10" x14ac:dyDescent="0.3">
      <c r="J88278"/>
    </row>
    <row r="88279" spans="10:10" x14ac:dyDescent="0.3">
      <c r="J88279"/>
    </row>
    <row r="88280" spans="10:10" x14ac:dyDescent="0.3">
      <c r="J88280"/>
    </row>
    <row r="88281" spans="10:10" x14ac:dyDescent="0.3">
      <c r="J88281"/>
    </row>
    <row r="88282" spans="10:10" x14ac:dyDescent="0.3">
      <c r="J88282"/>
    </row>
    <row r="88283" spans="10:10" x14ac:dyDescent="0.3">
      <c r="J88283"/>
    </row>
    <row r="88284" spans="10:10" x14ac:dyDescent="0.3">
      <c r="J88284"/>
    </row>
    <row r="88285" spans="10:10" x14ac:dyDescent="0.3">
      <c r="J88285"/>
    </row>
    <row r="88286" spans="10:10" x14ac:dyDescent="0.3">
      <c r="J88286"/>
    </row>
    <row r="88287" spans="10:10" x14ac:dyDescent="0.3">
      <c r="J88287"/>
    </row>
    <row r="88288" spans="10:10" x14ac:dyDescent="0.3">
      <c r="J88288"/>
    </row>
    <row r="88289" spans="10:10" x14ac:dyDescent="0.3">
      <c r="J88289"/>
    </row>
    <row r="88290" spans="10:10" x14ac:dyDescent="0.3">
      <c r="J88290"/>
    </row>
    <row r="88291" spans="10:10" x14ac:dyDescent="0.3">
      <c r="J88291"/>
    </row>
    <row r="88292" spans="10:10" x14ac:dyDescent="0.3">
      <c r="J88292"/>
    </row>
    <row r="88293" spans="10:10" x14ac:dyDescent="0.3">
      <c r="J88293"/>
    </row>
    <row r="88294" spans="10:10" x14ac:dyDescent="0.3">
      <c r="J88294"/>
    </row>
    <row r="88295" spans="10:10" x14ac:dyDescent="0.3">
      <c r="J88295"/>
    </row>
    <row r="88296" spans="10:10" x14ac:dyDescent="0.3">
      <c r="J88296"/>
    </row>
    <row r="88297" spans="10:10" x14ac:dyDescent="0.3">
      <c r="J88297"/>
    </row>
    <row r="88298" spans="10:10" x14ac:dyDescent="0.3">
      <c r="J88298"/>
    </row>
    <row r="88299" spans="10:10" x14ac:dyDescent="0.3">
      <c r="J88299"/>
    </row>
    <row r="88300" spans="10:10" x14ac:dyDescent="0.3">
      <c r="J88300"/>
    </row>
    <row r="88301" spans="10:10" x14ac:dyDescent="0.3">
      <c r="J88301"/>
    </row>
    <row r="88302" spans="10:10" x14ac:dyDescent="0.3">
      <c r="J88302"/>
    </row>
    <row r="88303" spans="10:10" x14ac:dyDescent="0.3">
      <c r="J88303"/>
    </row>
    <row r="88304" spans="10:10" x14ac:dyDescent="0.3">
      <c r="J88304"/>
    </row>
    <row r="88305" spans="10:10" x14ac:dyDescent="0.3">
      <c r="J88305"/>
    </row>
    <row r="88306" spans="10:10" x14ac:dyDescent="0.3">
      <c r="J88306"/>
    </row>
    <row r="88307" spans="10:10" x14ac:dyDescent="0.3">
      <c r="J88307"/>
    </row>
    <row r="88308" spans="10:10" x14ac:dyDescent="0.3">
      <c r="J88308"/>
    </row>
    <row r="88309" spans="10:10" x14ac:dyDescent="0.3">
      <c r="J88309"/>
    </row>
    <row r="88310" spans="10:10" x14ac:dyDescent="0.3">
      <c r="J88310"/>
    </row>
    <row r="88311" spans="10:10" x14ac:dyDescent="0.3">
      <c r="J88311"/>
    </row>
    <row r="88312" spans="10:10" x14ac:dyDescent="0.3">
      <c r="J88312"/>
    </row>
    <row r="88313" spans="10:10" x14ac:dyDescent="0.3">
      <c r="J88313"/>
    </row>
    <row r="88314" spans="10:10" x14ac:dyDescent="0.3">
      <c r="J88314"/>
    </row>
    <row r="88315" spans="10:10" x14ac:dyDescent="0.3">
      <c r="J88315"/>
    </row>
    <row r="88316" spans="10:10" x14ac:dyDescent="0.3">
      <c r="J88316"/>
    </row>
    <row r="88317" spans="10:10" x14ac:dyDescent="0.3">
      <c r="J88317"/>
    </row>
    <row r="88318" spans="10:10" x14ac:dyDescent="0.3">
      <c r="J88318"/>
    </row>
    <row r="88319" spans="10:10" x14ac:dyDescent="0.3">
      <c r="J88319"/>
    </row>
    <row r="88320" spans="10:10" x14ac:dyDescent="0.3">
      <c r="J88320"/>
    </row>
    <row r="88321" spans="10:10" x14ac:dyDescent="0.3">
      <c r="J88321"/>
    </row>
    <row r="88322" spans="10:10" x14ac:dyDescent="0.3">
      <c r="J88322"/>
    </row>
    <row r="88323" spans="10:10" x14ac:dyDescent="0.3">
      <c r="J88323"/>
    </row>
    <row r="88324" spans="10:10" x14ac:dyDescent="0.3">
      <c r="J88324"/>
    </row>
    <row r="88325" spans="10:10" x14ac:dyDescent="0.3">
      <c r="J88325"/>
    </row>
    <row r="88326" spans="10:10" x14ac:dyDescent="0.3">
      <c r="J88326"/>
    </row>
    <row r="88327" spans="10:10" x14ac:dyDescent="0.3">
      <c r="J88327"/>
    </row>
    <row r="88328" spans="10:10" x14ac:dyDescent="0.3">
      <c r="J88328"/>
    </row>
    <row r="88329" spans="10:10" x14ac:dyDescent="0.3">
      <c r="J88329"/>
    </row>
    <row r="88330" spans="10:10" x14ac:dyDescent="0.3">
      <c r="J88330"/>
    </row>
    <row r="88331" spans="10:10" x14ac:dyDescent="0.3">
      <c r="J88331"/>
    </row>
    <row r="88332" spans="10:10" x14ac:dyDescent="0.3">
      <c r="J88332"/>
    </row>
    <row r="88333" spans="10:10" x14ac:dyDescent="0.3">
      <c r="J88333"/>
    </row>
    <row r="88334" spans="10:10" x14ac:dyDescent="0.3">
      <c r="J88334"/>
    </row>
    <row r="88335" spans="10:10" x14ac:dyDescent="0.3">
      <c r="J88335"/>
    </row>
    <row r="88336" spans="10:10" x14ac:dyDescent="0.3">
      <c r="J88336"/>
    </row>
    <row r="88337" spans="10:10" x14ac:dyDescent="0.3">
      <c r="J88337"/>
    </row>
    <row r="88338" spans="10:10" x14ac:dyDescent="0.3">
      <c r="J88338"/>
    </row>
    <row r="88339" spans="10:10" x14ac:dyDescent="0.3">
      <c r="J88339"/>
    </row>
    <row r="88340" spans="10:10" x14ac:dyDescent="0.3">
      <c r="J88340"/>
    </row>
    <row r="88341" spans="10:10" x14ac:dyDescent="0.3">
      <c r="J88341"/>
    </row>
    <row r="88342" spans="10:10" x14ac:dyDescent="0.3">
      <c r="J88342"/>
    </row>
    <row r="88343" spans="10:10" x14ac:dyDescent="0.3">
      <c r="J88343"/>
    </row>
    <row r="88344" spans="10:10" x14ac:dyDescent="0.3">
      <c r="J88344"/>
    </row>
    <row r="88345" spans="10:10" x14ac:dyDescent="0.3">
      <c r="J88345"/>
    </row>
    <row r="88346" spans="10:10" x14ac:dyDescent="0.3">
      <c r="J88346"/>
    </row>
    <row r="88347" spans="10:10" x14ac:dyDescent="0.3">
      <c r="J88347"/>
    </row>
    <row r="88348" spans="10:10" x14ac:dyDescent="0.3">
      <c r="J88348"/>
    </row>
    <row r="88349" spans="10:10" x14ac:dyDescent="0.3">
      <c r="J88349"/>
    </row>
    <row r="88350" spans="10:10" x14ac:dyDescent="0.3">
      <c r="J88350"/>
    </row>
    <row r="88351" spans="10:10" x14ac:dyDescent="0.3">
      <c r="J88351"/>
    </row>
    <row r="88352" spans="10:10" x14ac:dyDescent="0.3">
      <c r="J88352"/>
    </row>
    <row r="88353" spans="10:10" x14ac:dyDescent="0.3">
      <c r="J88353"/>
    </row>
    <row r="88354" spans="10:10" x14ac:dyDescent="0.3">
      <c r="J88354"/>
    </row>
    <row r="88355" spans="10:10" x14ac:dyDescent="0.3">
      <c r="J88355"/>
    </row>
    <row r="88356" spans="10:10" x14ac:dyDescent="0.3">
      <c r="J88356"/>
    </row>
    <row r="88357" spans="10:10" x14ac:dyDescent="0.3">
      <c r="J88357"/>
    </row>
    <row r="88358" spans="10:10" x14ac:dyDescent="0.3">
      <c r="J88358"/>
    </row>
    <row r="88359" spans="10:10" x14ac:dyDescent="0.3">
      <c r="J88359"/>
    </row>
    <row r="88360" spans="10:10" x14ac:dyDescent="0.3">
      <c r="J88360"/>
    </row>
    <row r="88361" spans="10:10" x14ac:dyDescent="0.3">
      <c r="J88361"/>
    </row>
    <row r="88362" spans="10:10" x14ac:dyDescent="0.3">
      <c r="J88362"/>
    </row>
    <row r="88363" spans="10:10" x14ac:dyDescent="0.3">
      <c r="J88363"/>
    </row>
    <row r="88364" spans="10:10" x14ac:dyDescent="0.3">
      <c r="J88364"/>
    </row>
    <row r="88365" spans="10:10" x14ac:dyDescent="0.3">
      <c r="J88365"/>
    </row>
    <row r="88366" spans="10:10" x14ac:dyDescent="0.3">
      <c r="J88366"/>
    </row>
    <row r="88367" spans="10:10" x14ac:dyDescent="0.3">
      <c r="J88367"/>
    </row>
    <row r="88368" spans="10:10" x14ac:dyDescent="0.3">
      <c r="J88368"/>
    </row>
    <row r="88369" spans="10:10" x14ac:dyDescent="0.3">
      <c r="J88369"/>
    </row>
    <row r="88370" spans="10:10" x14ac:dyDescent="0.3">
      <c r="J88370"/>
    </row>
    <row r="88371" spans="10:10" x14ac:dyDescent="0.3">
      <c r="J88371"/>
    </row>
    <row r="88372" spans="10:10" x14ac:dyDescent="0.3">
      <c r="J88372"/>
    </row>
    <row r="88373" spans="10:10" x14ac:dyDescent="0.3">
      <c r="J88373"/>
    </row>
    <row r="88374" spans="10:10" x14ac:dyDescent="0.3">
      <c r="J88374"/>
    </row>
    <row r="88375" spans="10:10" x14ac:dyDescent="0.3">
      <c r="J88375"/>
    </row>
    <row r="88376" spans="10:10" x14ac:dyDescent="0.3">
      <c r="J88376"/>
    </row>
    <row r="88377" spans="10:10" x14ac:dyDescent="0.3">
      <c r="J88377"/>
    </row>
    <row r="88378" spans="10:10" x14ac:dyDescent="0.3">
      <c r="J88378"/>
    </row>
    <row r="88379" spans="10:10" x14ac:dyDescent="0.3">
      <c r="J88379"/>
    </row>
    <row r="88380" spans="10:10" x14ac:dyDescent="0.3">
      <c r="J88380"/>
    </row>
    <row r="88381" spans="10:10" x14ac:dyDescent="0.3">
      <c r="J88381"/>
    </row>
    <row r="88382" spans="10:10" x14ac:dyDescent="0.3">
      <c r="J88382"/>
    </row>
    <row r="88383" spans="10:10" x14ac:dyDescent="0.3">
      <c r="J88383"/>
    </row>
    <row r="88384" spans="10:10" x14ac:dyDescent="0.3">
      <c r="J88384"/>
    </row>
    <row r="88385" spans="10:10" x14ac:dyDescent="0.3">
      <c r="J88385"/>
    </row>
    <row r="88386" spans="10:10" x14ac:dyDescent="0.3">
      <c r="J88386"/>
    </row>
    <row r="88387" spans="10:10" x14ac:dyDescent="0.3">
      <c r="J88387"/>
    </row>
    <row r="88388" spans="10:10" x14ac:dyDescent="0.3">
      <c r="J88388"/>
    </row>
    <row r="88389" spans="10:10" x14ac:dyDescent="0.3">
      <c r="J88389"/>
    </row>
    <row r="88390" spans="10:10" x14ac:dyDescent="0.3">
      <c r="J88390"/>
    </row>
    <row r="88391" spans="10:10" x14ac:dyDescent="0.3">
      <c r="J88391"/>
    </row>
    <row r="88392" spans="10:10" x14ac:dyDescent="0.3">
      <c r="J88392"/>
    </row>
    <row r="88393" spans="10:10" x14ac:dyDescent="0.3">
      <c r="J88393"/>
    </row>
    <row r="88394" spans="10:10" x14ac:dyDescent="0.3">
      <c r="J88394"/>
    </row>
    <row r="88395" spans="10:10" x14ac:dyDescent="0.3">
      <c r="J88395"/>
    </row>
    <row r="88396" spans="10:10" x14ac:dyDescent="0.3">
      <c r="J88396"/>
    </row>
    <row r="88397" spans="10:10" x14ac:dyDescent="0.3">
      <c r="J88397"/>
    </row>
    <row r="88398" spans="10:10" x14ac:dyDescent="0.3">
      <c r="J88398"/>
    </row>
    <row r="88399" spans="10:10" x14ac:dyDescent="0.3">
      <c r="J88399"/>
    </row>
    <row r="88400" spans="10:10" x14ac:dyDescent="0.3">
      <c r="J88400"/>
    </row>
    <row r="88401" spans="10:10" x14ac:dyDescent="0.3">
      <c r="J88401"/>
    </row>
    <row r="88402" spans="10:10" x14ac:dyDescent="0.3">
      <c r="J88402"/>
    </row>
    <row r="88403" spans="10:10" x14ac:dyDescent="0.3">
      <c r="J88403"/>
    </row>
    <row r="88404" spans="10:10" x14ac:dyDescent="0.3">
      <c r="J88404"/>
    </row>
    <row r="88405" spans="10:10" x14ac:dyDescent="0.3">
      <c r="J88405"/>
    </row>
    <row r="88406" spans="10:10" x14ac:dyDescent="0.3">
      <c r="J88406"/>
    </row>
    <row r="88407" spans="10:10" x14ac:dyDescent="0.3">
      <c r="J88407"/>
    </row>
    <row r="88408" spans="10:10" x14ac:dyDescent="0.3">
      <c r="J88408"/>
    </row>
    <row r="88409" spans="10:10" x14ac:dyDescent="0.3">
      <c r="J88409"/>
    </row>
    <row r="88410" spans="10:10" x14ac:dyDescent="0.3">
      <c r="J88410"/>
    </row>
    <row r="88411" spans="10:10" x14ac:dyDescent="0.3">
      <c r="J88411"/>
    </row>
    <row r="88412" spans="10:10" x14ac:dyDescent="0.3">
      <c r="J88412"/>
    </row>
    <row r="88413" spans="10:10" x14ac:dyDescent="0.3">
      <c r="J88413"/>
    </row>
    <row r="88414" spans="10:10" x14ac:dyDescent="0.3">
      <c r="J88414"/>
    </row>
    <row r="88415" spans="10:10" x14ac:dyDescent="0.3">
      <c r="J88415"/>
    </row>
    <row r="88416" spans="10:10" x14ac:dyDescent="0.3">
      <c r="J88416"/>
    </row>
    <row r="88417" spans="10:10" x14ac:dyDescent="0.3">
      <c r="J88417"/>
    </row>
    <row r="88418" spans="10:10" x14ac:dyDescent="0.3">
      <c r="J88418"/>
    </row>
    <row r="88419" spans="10:10" x14ac:dyDescent="0.3">
      <c r="J88419"/>
    </row>
    <row r="88420" spans="10:10" x14ac:dyDescent="0.3">
      <c r="J88420"/>
    </row>
    <row r="88421" spans="10:10" x14ac:dyDescent="0.3">
      <c r="J88421"/>
    </row>
    <row r="88422" spans="10:10" x14ac:dyDescent="0.3">
      <c r="J88422"/>
    </row>
    <row r="88423" spans="10:10" x14ac:dyDescent="0.3">
      <c r="J88423"/>
    </row>
    <row r="88424" spans="10:10" x14ac:dyDescent="0.3">
      <c r="J88424"/>
    </row>
    <row r="88425" spans="10:10" x14ac:dyDescent="0.3">
      <c r="J88425"/>
    </row>
    <row r="88426" spans="10:10" x14ac:dyDescent="0.3">
      <c r="J88426"/>
    </row>
    <row r="88427" spans="10:10" x14ac:dyDescent="0.3">
      <c r="J88427"/>
    </row>
    <row r="88428" spans="10:10" x14ac:dyDescent="0.3">
      <c r="J88428"/>
    </row>
    <row r="88429" spans="10:10" x14ac:dyDescent="0.3">
      <c r="J88429"/>
    </row>
    <row r="88430" spans="10:10" x14ac:dyDescent="0.3">
      <c r="J88430"/>
    </row>
    <row r="88431" spans="10:10" x14ac:dyDescent="0.3">
      <c r="J88431"/>
    </row>
    <row r="88432" spans="10:10" x14ac:dyDescent="0.3">
      <c r="J88432"/>
    </row>
    <row r="88433" spans="10:10" x14ac:dyDescent="0.3">
      <c r="J88433"/>
    </row>
    <row r="88434" spans="10:10" x14ac:dyDescent="0.3">
      <c r="J88434"/>
    </row>
    <row r="88435" spans="10:10" x14ac:dyDescent="0.3">
      <c r="J88435"/>
    </row>
    <row r="88436" spans="10:10" x14ac:dyDescent="0.3">
      <c r="J88436"/>
    </row>
    <row r="88437" spans="10:10" x14ac:dyDescent="0.3">
      <c r="J88437"/>
    </row>
    <row r="88438" spans="10:10" x14ac:dyDescent="0.3">
      <c r="J88438"/>
    </row>
    <row r="88439" spans="10:10" x14ac:dyDescent="0.3">
      <c r="J88439"/>
    </row>
    <row r="88440" spans="10:10" x14ac:dyDescent="0.3">
      <c r="J88440"/>
    </row>
    <row r="88441" spans="10:10" x14ac:dyDescent="0.3">
      <c r="J88441"/>
    </row>
    <row r="88442" spans="10:10" x14ac:dyDescent="0.3">
      <c r="J88442"/>
    </row>
    <row r="88443" spans="10:10" x14ac:dyDescent="0.3">
      <c r="J88443"/>
    </row>
    <row r="88444" spans="10:10" x14ac:dyDescent="0.3">
      <c r="J88444"/>
    </row>
    <row r="88445" spans="10:10" x14ac:dyDescent="0.3">
      <c r="J88445"/>
    </row>
    <row r="88446" spans="10:10" x14ac:dyDescent="0.3">
      <c r="J88446"/>
    </row>
    <row r="88447" spans="10:10" x14ac:dyDescent="0.3">
      <c r="J88447"/>
    </row>
    <row r="88448" spans="10:10" x14ac:dyDescent="0.3">
      <c r="J88448"/>
    </row>
    <row r="88449" spans="10:10" x14ac:dyDescent="0.3">
      <c r="J88449"/>
    </row>
    <row r="88450" spans="10:10" x14ac:dyDescent="0.3">
      <c r="J88450"/>
    </row>
    <row r="88451" spans="10:10" x14ac:dyDescent="0.3">
      <c r="J88451"/>
    </row>
    <row r="88452" spans="10:10" x14ac:dyDescent="0.3">
      <c r="J88452"/>
    </row>
    <row r="88453" spans="10:10" x14ac:dyDescent="0.3">
      <c r="J88453"/>
    </row>
    <row r="88454" spans="10:10" x14ac:dyDescent="0.3">
      <c r="J88454"/>
    </row>
    <row r="88455" spans="10:10" x14ac:dyDescent="0.3">
      <c r="J88455"/>
    </row>
    <row r="88456" spans="10:10" x14ac:dyDescent="0.3">
      <c r="J88456"/>
    </row>
    <row r="88457" spans="10:10" x14ac:dyDescent="0.3">
      <c r="J88457"/>
    </row>
    <row r="88458" spans="10:10" x14ac:dyDescent="0.3">
      <c r="J88458"/>
    </row>
    <row r="88459" spans="10:10" x14ac:dyDescent="0.3">
      <c r="J88459"/>
    </row>
    <row r="88460" spans="10:10" x14ac:dyDescent="0.3">
      <c r="J88460"/>
    </row>
    <row r="88461" spans="10:10" x14ac:dyDescent="0.3">
      <c r="J88461"/>
    </row>
    <row r="88462" spans="10:10" x14ac:dyDescent="0.3">
      <c r="J88462"/>
    </row>
    <row r="88463" spans="10:10" x14ac:dyDescent="0.3">
      <c r="J88463"/>
    </row>
    <row r="88464" spans="10:10" x14ac:dyDescent="0.3">
      <c r="J88464"/>
    </row>
    <row r="88465" spans="10:10" x14ac:dyDescent="0.3">
      <c r="J88465"/>
    </row>
    <row r="88466" spans="10:10" x14ac:dyDescent="0.3">
      <c r="J88466"/>
    </row>
    <row r="88467" spans="10:10" x14ac:dyDescent="0.3">
      <c r="J88467"/>
    </row>
    <row r="88468" spans="10:10" x14ac:dyDescent="0.3">
      <c r="J88468"/>
    </row>
    <row r="88469" spans="10:10" x14ac:dyDescent="0.3">
      <c r="J88469"/>
    </row>
    <row r="88470" spans="10:10" x14ac:dyDescent="0.3">
      <c r="J88470"/>
    </row>
    <row r="88471" spans="10:10" x14ac:dyDescent="0.3">
      <c r="J88471"/>
    </row>
    <row r="88472" spans="10:10" x14ac:dyDescent="0.3">
      <c r="J88472"/>
    </row>
    <row r="88473" spans="10:10" x14ac:dyDescent="0.3">
      <c r="J88473"/>
    </row>
    <row r="88474" spans="10:10" x14ac:dyDescent="0.3">
      <c r="J88474"/>
    </row>
    <row r="88475" spans="10:10" x14ac:dyDescent="0.3">
      <c r="J88475"/>
    </row>
    <row r="88476" spans="10:10" x14ac:dyDescent="0.3">
      <c r="J88476"/>
    </row>
    <row r="88477" spans="10:10" x14ac:dyDescent="0.3">
      <c r="J88477"/>
    </row>
    <row r="88478" spans="10:10" x14ac:dyDescent="0.3">
      <c r="J88478"/>
    </row>
    <row r="88479" spans="10:10" x14ac:dyDescent="0.3">
      <c r="J88479"/>
    </row>
    <row r="88480" spans="10:10" x14ac:dyDescent="0.3">
      <c r="J88480"/>
    </row>
    <row r="88481" spans="10:10" x14ac:dyDescent="0.3">
      <c r="J88481"/>
    </row>
    <row r="88482" spans="10:10" x14ac:dyDescent="0.3">
      <c r="J88482"/>
    </row>
    <row r="88483" spans="10:10" x14ac:dyDescent="0.3">
      <c r="J88483"/>
    </row>
    <row r="88484" spans="10:10" x14ac:dyDescent="0.3">
      <c r="J88484"/>
    </row>
    <row r="88485" spans="10:10" x14ac:dyDescent="0.3">
      <c r="J88485"/>
    </row>
    <row r="88486" spans="10:10" x14ac:dyDescent="0.3">
      <c r="J88486"/>
    </row>
    <row r="88487" spans="10:10" x14ac:dyDescent="0.3">
      <c r="J88487"/>
    </row>
    <row r="88488" spans="10:10" x14ac:dyDescent="0.3">
      <c r="J88488"/>
    </row>
    <row r="88489" spans="10:10" x14ac:dyDescent="0.3">
      <c r="J88489"/>
    </row>
    <row r="88490" spans="10:10" x14ac:dyDescent="0.3">
      <c r="J88490"/>
    </row>
    <row r="88491" spans="10:10" x14ac:dyDescent="0.3">
      <c r="J88491"/>
    </row>
    <row r="88492" spans="10:10" x14ac:dyDescent="0.3">
      <c r="J88492"/>
    </row>
    <row r="88493" spans="10:10" x14ac:dyDescent="0.3">
      <c r="J88493"/>
    </row>
    <row r="88494" spans="10:10" x14ac:dyDescent="0.3">
      <c r="J88494"/>
    </row>
    <row r="88495" spans="10:10" x14ac:dyDescent="0.3">
      <c r="J88495"/>
    </row>
    <row r="88496" spans="10:10" x14ac:dyDescent="0.3">
      <c r="J88496"/>
    </row>
    <row r="88497" spans="10:10" x14ac:dyDescent="0.3">
      <c r="J88497"/>
    </row>
    <row r="88498" spans="10:10" x14ac:dyDescent="0.3">
      <c r="J88498"/>
    </row>
    <row r="88499" spans="10:10" x14ac:dyDescent="0.3">
      <c r="J88499"/>
    </row>
    <row r="88500" spans="10:10" x14ac:dyDescent="0.3">
      <c r="J88500"/>
    </row>
    <row r="88501" spans="10:10" x14ac:dyDescent="0.3">
      <c r="J88501"/>
    </row>
    <row r="88502" spans="10:10" x14ac:dyDescent="0.3">
      <c r="J88502"/>
    </row>
    <row r="88503" spans="10:10" x14ac:dyDescent="0.3">
      <c r="J88503"/>
    </row>
    <row r="88504" spans="10:10" x14ac:dyDescent="0.3">
      <c r="J88504"/>
    </row>
    <row r="88505" spans="10:10" x14ac:dyDescent="0.3">
      <c r="J88505"/>
    </row>
    <row r="88506" spans="10:10" x14ac:dyDescent="0.3">
      <c r="J88506"/>
    </row>
    <row r="88507" spans="10:10" x14ac:dyDescent="0.3">
      <c r="J88507"/>
    </row>
    <row r="88508" spans="10:10" x14ac:dyDescent="0.3">
      <c r="J88508"/>
    </row>
    <row r="88509" spans="10:10" x14ac:dyDescent="0.3">
      <c r="J88509"/>
    </row>
    <row r="88510" spans="10:10" x14ac:dyDescent="0.3">
      <c r="J88510"/>
    </row>
    <row r="88511" spans="10:10" x14ac:dyDescent="0.3">
      <c r="J88511"/>
    </row>
    <row r="88512" spans="10:10" x14ac:dyDescent="0.3">
      <c r="J88512"/>
    </row>
    <row r="88513" spans="10:10" x14ac:dyDescent="0.3">
      <c r="J88513"/>
    </row>
    <row r="88514" spans="10:10" x14ac:dyDescent="0.3">
      <c r="J88514"/>
    </row>
    <row r="88515" spans="10:10" x14ac:dyDescent="0.3">
      <c r="J88515"/>
    </row>
    <row r="88516" spans="10:10" x14ac:dyDescent="0.3">
      <c r="J88516"/>
    </row>
    <row r="88517" spans="10:10" x14ac:dyDescent="0.3">
      <c r="J88517"/>
    </row>
    <row r="88518" spans="10:10" x14ac:dyDescent="0.3">
      <c r="J88518"/>
    </row>
    <row r="88519" spans="10:10" x14ac:dyDescent="0.3">
      <c r="J88519"/>
    </row>
    <row r="88520" spans="10:10" x14ac:dyDescent="0.3">
      <c r="J88520"/>
    </row>
    <row r="88521" spans="10:10" x14ac:dyDescent="0.3">
      <c r="J88521"/>
    </row>
    <row r="88522" spans="10:10" x14ac:dyDescent="0.3">
      <c r="J88522"/>
    </row>
    <row r="88523" spans="10:10" x14ac:dyDescent="0.3">
      <c r="J88523"/>
    </row>
    <row r="88524" spans="10:10" x14ac:dyDescent="0.3">
      <c r="J88524"/>
    </row>
    <row r="88525" spans="10:10" x14ac:dyDescent="0.3">
      <c r="J88525"/>
    </row>
    <row r="88526" spans="10:10" x14ac:dyDescent="0.3">
      <c r="J88526"/>
    </row>
    <row r="88527" spans="10:10" x14ac:dyDescent="0.3">
      <c r="J88527"/>
    </row>
    <row r="88528" spans="10:10" x14ac:dyDescent="0.3">
      <c r="J88528"/>
    </row>
    <row r="88529" spans="10:10" x14ac:dyDescent="0.3">
      <c r="J88529"/>
    </row>
    <row r="88530" spans="10:10" x14ac:dyDescent="0.3">
      <c r="J88530"/>
    </row>
    <row r="88531" spans="10:10" x14ac:dyDescent="0.3">
      <c r="J88531"/>
    </row>
    <row r="88532" spans="10:10" x14ac:dyDescent="0.3">
      <c r="J88532"/>
    </row>
    <row r="88533" spans="10:10" x14ac:dyDescent="0.3">
      <c r="J88533"/>
    </row>
    <row r="88534" spans="10:10" x14ac:dyDescent="0.3">
      <c r="J88534"/>
    </row>
    <row r="88535" spans="10:10" x14ac:dyDescent="0.3">
      <c r="J88535"/>
    </row>
    <row r="88536" spans="10:10" x14ac:dyDescent="0.3">
      <c r="J88536"/>
    </row>
    <row r="88537" spans="10:10" x14ac:dyDescent="0.3">
      <c r="J88537"/>
    </row>
    <row r="88538" spans="10:10" x14ac:dyDescent="0.3">
      <c r="J88538"/>
    </row>
    <row r="88539" spans="10:10" x14ac:dyDescent="0.3">
      <c r="J88539"/>
    </row>
    <row r="88540" spans="10:10" x14ac:dyDescent="0.3">
      <c r="J88540"/>
    </row>
    <row r="88541" spans="10:10" x14ac:dyDescent="0.3">
      <c r="J88541"/>
    </row>
    <row r="88542" spans="10:10" x14ac:dyDescent="0.3">
      <c r="J88542"/>
    </row>
    <row r="88543" spans="10:10" x14ac:dyDescent="0.3">
      <c r="J88543"/>
    </row>
    <row r="88544" spans="10:10" x14ac:dyDescent="0.3">
      <c r="J88544"/>
    </row>
    <row r="88545" spans="10:10" x14ac:dyDescent="0.3">
      <c r="J88545"/>
    </row>
    <row r="88546" spans="10:10" x14ac:dyDescent="0.3">
      <c r="J88546"/>
    </row>
    <row r="88547" spans="10:10" x14ac:dyDescent="0.3">
      <c r="J88547"/>
    </row>
    <row r="88548" spans="10:10" x14ac:dyDescent="0.3">
      <c r="J88548"/>
    </row>
    <row r="88549" spans="10:10" x14ac:dyDescent="0.3">
      <c r="J88549"/>
    </row>
    <row r="88550" spans="10:10" x14ac:dyDescent="0.3">
      <c r="J88550"/>
    </row>
    <row r="88551" spans="10:10" x14ac:dyDescent="0.3">
      <c r="J88551"/>
    </row>
    <row r="88552" spans="10:10" x14ac:dyDescent="0.3">
      <c r="J88552"/>
    </row>
    <row r="88553" spans="10:10" x14ac:dyDescent="0.3">
      <c r="J88553"/>
    </row>
    <row r="88554" spans="10:10" x14ac:dyDescent="0.3">
      <c r="J88554"/>
    </row>
    <row r="88555" spans="10:10" x14ac:dyDescent="0.3">
      <c r="J88555"/>
    </row>
    <row r="88556" spans="10:10" x14ac:dyDescent="0.3">
      <c r="J88556"/>
    </row>
    <row r="88557" spans="10:10" x14ac:dyDescent="0.3">
      <c r="J88557"/>
    </row>
    <row r="88558" spans="10:10" x14ac:dyDescent="0.3">
      <c r="J88558"/>
    </row>
    <row r="88559" spans="10:10" x14ac:dyDescent="0.3">
      <c r="J88559"/>
    </row>
    <row r="88560" spans="10:10" x14ac:dyDescent="0.3">
      <c r="J88560"/>
    </row>
    <row r="88561" spans="10:10" x14ac:dyDescent="0.3">
      <c r="J88561"/>
    </row>
    <row r="88562" spans="10:10" x14ac:dyDescent="0.3">
      <c r="J88562"/>
    </row>
    <row r="88563" spans="10:10" x14ac:dyDescent="0.3">
      <c r="J88563"/>
    </row>
    <row r="88564" spans="10:10" x14ac:dyDescent="0.3">
      <c r="J88564"/>
    </row>
    <row r="88565" spans="10:10" x14ac:dyDescent="0.3">
      <c r="J88565"/>
    </row>
    <row r="88566" spans="10:10" x14ac:dyDescent="0.3">
      <c r="J88566"/>
    </row>
    <row r="88567" spans="10:10" x14ac:dyDescent="0.3">
      <c r="J88567"/>
    </row>
    <row r="88568" spans="10:10" x14ac:dyDescent="0.3">
      <c r="J88568"/>
    </row>
    <row r="88569" spans="10:10" x14ac:dyDescent="0.3">
      <c r="J88569"/>
    </row>
    <row r="88570" spans="10:10" x14ac:dyDescent="0.3">
      <c r="J88570"/>
    </row>
    <row r="88571" spans="10:10" x14ac:dyDescent="0.3">
      <c r="J88571"/>
    </row>
    <row r="88572" spans="10:10" x14ac:dyDescent="0.3">
      <c r="J88572"/>
    </row>
    <row r="88573" spans="10:10" x14ac:dyDescent="0.3">
      <c r="J88573"/>
    </row>
    <row r="88574" spans="10:10" x14ac:dyDescent="0.3">
      <c r="J88574"/>
    </row>
    <row r="88575" spans="10:10" x14ac:dyDescent="0.3">
      <c r="J88575"/>
    </row>
    <row r="88576" spans="10:10" x14ac:dyDescent="0.3">
      <c r="J88576"/>
    </row>
    <row r="88577" spans="10:10" x14ac:dyDescent="0.3">
      <c r="J88577"/>
    </row>
    <row r="88578" spans="10:10" x14ac:dyDescent="0.3">
      <c r="J88578"/>
    </row>
    <row r="88579" spans="10:10" x14ac:dyDescent="0.3">
      <c r="J88579"/>
    </row>
    <row r="88580" spans="10:10" x14ac:dyDescent="0.3">
      <c r="J88580"/>
    </row>
    <row r="88581" spans="10:10" x14ac:dyDescent="0.3">
      <c r="J88581"/>
    </row>
    <row r="88582" spans="10:10" x14ac:dyDescent="0.3">
      <c r="J88582"/>
    </row>
    <row r="88583" spans="10:10" x14ac:dyDescent="0.3">
      <c r="J88583"/>
    </row>
    <row r="88584" spans="10:10" x14ac:dyDescent="0.3">
      <c r="J88584"/>
    </row>
    <row r="88585" spans="10:10" x14ac:dyDescent="0.3">
      <c r="J88585"/>
    </row>
    <row r="88586" spans="10:10" x14ac:dyDescent="0.3">
      <c r="J88586"/>
    </row>
    <row r="88587" spans="10:10" x14ac:dyDescent="0.3">
      <c r="J88587"/>
    </row>
    <row r="88588" spans="10:10" x14ac:dyDescent="0.3">
      <c r="J88588"/>
    </row>
    <row r="88589" spans="10:10" x14ac:dyDescent="0.3">
      <c r="J88589"/>
    </row>
    <row r="88590" spans="10:10" x14ac:dyDescent="0.3">
      <c r="J88590"/>
    </row>
    <row r="88591" spans="10:10" x14ac:dyDescent="0.3">
      <c r="J88591"/>
    </row>
    <row r="88592" spans="10:10" x14ac:dyDescent="0.3">
      <c r="J88592"/>
    </row>
    <row r="88593" spans="10:10" x14ac:dyDescent="0.3">
      <c r="J88593"/>
    </row>
    <row r="88594" spans="10:10" x14ac:dyDescent="0.3">
      <c r="J88594"/>
    </row>
    <row r="88595" spans="10:10" x14ac:dyDescent="0.3">
      <c r="J88595"/>
    </row>
    <row r="88596" spans="10:10" x14ac:dyDescent="0.3">
      <c r="J88596"/>
    </row>
    <row r="88597" spans="10:10" x14ac:dyDescent="0.3">
      <c r="J88597"/>
    </row>
    <row r="88598" spans="10:10" x14ac:dyDescent="0.3">
      <c r="J88598"/>
    </row>
    <row r="88599" spans="10:10" x14ac:dyDescent="0.3">
      <c r="J88599"/>
    </row>
    <row r="88600" spans="10:10" x14ac:dyDescent="0.3">
      <c r="J88600"/>
    </row>
    <row r="88601" spans="10:10" x14ac:dyDescent="0.3">
      <c r="J88601"/>
    </row>
    <row r="88602" spans="10:10" x14ac:dyDescent="0.3">
      <c r="J88602"/>
    </row>
    <row r="88603" spans="10:10" x14ac:dyDescent="0.3">
      <c r="J88603"/>
    </row>
    <row r="88604" spans="10:10" x14ac:dyDescent="0.3">
      <c r="J88604"/>
    </row>
    <row r="88605" spans="10:10" x14ac:dyDescent="0.3">
      <c r="J88605"/>
    </row>
    <row r="88606" spans="10:10" x14ac:dyDescent="0.3">
      <c r="J88606"/>
    </row>
    <row r="88607" spans="10:10" x14ac:dyDescent="0.3">
      <c r="J88607"/>
    </row>
    <row r="88608" spans="10:10" x14ac:dyDescent="0.3">
      <c r="J88608"/>
    </row>
    <row r="88609" spans="10:10" x14ac:dyDescent="0.3">
      <c r="J88609"/>
    </row>
    <row r="88610" spans="10:10" x14ac:dyDescent="0.3">
      <c r="J88610"/>
    </row>
    <row r="88611" spans="10:10" x14ac:dyDescent="0.3">
      <c r="J88611"/>
    </row>
    <row r="88612" spans="10:10" x14ac:dyDescent="0.3">
      <c r="J88612"/>
    </row>
    <row r="88613" spans="10:10" x14ac:dyDescent="0.3">
      <c r="J88613"/>
    </row>
    <row r="88614" spans="10:10" x14ac:dyDescent="0.3">
      <c r="J88614"/>
    </row>
    <row r="88615" spans="10:10" x14ac:dyDescent="0.3">
      <c r="J88615"/>
    </row>
    <row r="88616" spans="10:10" x14ac:dyDescent="0.3">
      <c r="J88616"/>
    </row>
    <row r="88617" spans="10:10" x14ac:dyDescent="0.3">
      <c r="J88617"/>
    </row>
    <row r="88618" spans="10:10" x14ac:dyDescent="0.3">
      <c r="J88618"/>
    </row>
    <row r="88619" spans="10:10" x14ac:dyDescent="0.3">
      <c r="J88619"/>
    </row>
    <row r="88620" spans="10:10" x14ac:dyDescent="0.3">
      <c r="J88620"/>
    </row>
    <row r="88621" spans="10:10" x14ac:dyDescent="0.3">
      <c r="J88621"/>
    </row>
    <row r="88622" spans="10:10" x14ac:dyDescent="0.3">
      <c r="J88622"/>
    </row>
    <row r="88623" spans="10:10" x14ac:dyDescent="0.3">
      <c r="J88623"/>
    </row>
    <row r="88624" spans="10:10" x14ac:dyDescent="0.3">
      <c r="J88624"/>
    </row>
    <row r="88625" spans="10:10" x14ac:dyDescent="0.3">
      <c r="J88625"/>
    </row>
    <row r="88626" spans="10:10" x14ac:dyDescent="0.3">
      <c r="J88626"/>
    </row>
    <row r="88627" spans="10:10" x14ac:dyDescent="0.3">
      <c r="J88627"/>
    </row>
    <row r="88628" spans="10:10" x14ac:dyDescent="0.3">
      <c r="J88628"/>
    </row>
    <row r="88629" spans="10:10" x14ac:dyDescent="0.3">
      <c r="J88629"/>
    </row>
    <row r="88630" spans="10:10" x14ac:dyDescent="0.3">
      <c r="J88630"/>
    </row>
    <row r="88631" spans="10:10" x14ac:dyDescent="0.3">
      <c r="J88631"/>
    </row>
    <row r="88632" spans="10:10" x14ac:dyDescent="0.3">
      <c r="J88632"/>
    </row>
    <row r="88633" spans="10:10" x14ac:dyDescent="0.3">
      <c r="J88633"/>
    </row>
    <row r="88634" spans="10:10" x14ac:dyDescent="0.3">
      <c r="J88634"/>
    </row>
    <row r="88635" spans="10:10" x14ac:dyDescent="0.3">
      <c r="J88635"/>
    </row>
    <row r="88636" spans="10:10" x14ac:dyDescent="0.3">
      <c r="J88636"/>
    </row>
    <row r="88637" spans="10:10" x14ac:dyDescent="0.3">
      <c r="J88637"/>
    </row>
    <row r="88638" spans="10:10" x14ac:dyDescent="0.3">
      <c r="J88638"/>
    </row>
    <row r="88639" spans="10:10" x14ac:dyDescent="0.3">
      <c r="J88639"/>
    </row>
    <row r="88640" spans="10:10" x14ac:dyDescent="0.3">
      <c r="J88640"/>
    </row>
    <row r="88641" spans="10:10" x14ac:dyDescent="0.3">
      <c r="J88641"/>
    </row>
    <row r="88642" spans="10:10" x14ac:dyDescent="0.3">
      <c r="J88642"/>
    </row>
    <row r="88643" spans="10:10" x14ac:dyDescent="0.3">
      <c r="J88643"/>
    </row>
    <row r="88644" spans="10:10" x14ac:dyDescent="0.3">
      <c r="J88644"/>
    </row>
    <row r="88645" spans="10:10" x14ac:dyDescent="0.3">
      <c r="J88645"/>
    </row>
    <row r="88646" spans="10:10" x14ac:dyDescent="0.3">
      <c r="J88646"/>
    </row>
    <row r="88647" spans="10:10" x14ac:dyDescent="0.3">
      <c r="J88647"/>
    </row>
    <row r="88648" spans="10:10" x14ac:dyDescent="0.3">
      <c r="J88648"/>
    </row>
    <row r="88649" spans="10:10" x14ac:dyDescent="0.3">
      <c r="J88649"/>
    </row>
    <row r="88650" spans="10:10" x14ac:dyDescent="0.3">
      <c r="J88650"/>
    </row>
    <row r="88651" spans="10:10" x14ac:dyDescent="0.3">
      <c r="J88651"/>
    </row>
    <row r="88652" spans="10:10" x14ac:dyDescent="0.3">
      <c r="J88652"/>
    </row>
    <row r="88653" spans="10:10" x14ac:dyDescent="0.3">
      <c r="J88653"/>
    </row>
    <row r="88654" spans="10:10" x14ac:dyDescent="0.3">
      <c r="J88654"/>
    </row>
    <row r="88655" spans="10:10" x14ac:dyDescent="0.3">
      <c r="J88655"/>
    </row>
    <row r="88656" spans="10:10" x14ac:dyDescent="0.3">
      <c r="J88656"/>
    </row>
    <row r="88657" spans="10:10" x14ac:dyDescent="0.3">
      <c r="J88657"/>
    </row>
    <row r="88658" spans="10:10" x14ac:dyDescent="0.3">
      <c r="J88658"/>
    </row>
    <row r="88659" spans="10:10" x14ac:dyDescent="0.3">
      <c r="J88659"/>
    </row>
    <row r="88660" spans="10:10" x14ac:dyDescent="0.3">
      <c r="J88660"/>
    </row>
    <row r="88661" spans="10:10" x14ac:dyDescent="0.3">
      <c r="J88661"/>
    </row>
    <row r="88662" spans="10:10" x14ac:dyDescent="0.3">
      <c r="J88662"/>
    </row>
    <row r="88663" spans="10:10" x14ac:dyDescent="0.3">
      <c r="J88663"/>
    </row>
    <row r="88664" spans="10:10" x14ac:dyDescent="0.3">
      <c r="J88664"/>
    </row>
    <row r="88665" spans="10:10" x14ac:dyDescent="0.3">
      <c r="J88665"/>
    </row>
    <row r="88666" spans="10:10" x14ac:dyDescent="0.3">
      <c r="J88666"/>
    </row>
    <row r="88667" spans="10:10" x14ac:dyDescent="0.3">
      <c r="J88667"/>
    </row>
    <row r="88668" spans="10:10" x14ac:dyDescent="0.3">
      <c r="J88668"/>
    </row>
    <row r="88669" spans="10:10" x14ac:dyDescent="0.3">
      <c r="J88669"/>
    </row>
    <row r="88670" spans="10:10" x14ac:dyDescent="0.3">
      <c r="J88670"/>
    </row>
    <row r="88671" spans="10:10" x14ac:dyDescent="0.3">
      <c r="J88671"/>
    </row>
    <row r="88672" spans="10:10" x14ac:dyDescent="0.3">
      <c r="J88672"/>
    </row>
    <row r="88673" spans="10:10" x14ac:dyDescent="0.3">
      <c r="J88673"/>
    </row>
    <row r="88674" spans="10:10" x14ac:dyDescent="0.3">
      <c r="J88674"/>
    </row>
    <row r="88675" spans="10:10" x14ac:dyDescent="0.3">
      <c r="J88675"/>
    </row>
    <row r="88676" spans="10:10" x14ac:dyDescent="0.3">
      <c r="J88676"/>
    </row>
    <row r="88677" spans="10:10" x14ac:dyDescent="0.3">
      <c r="J88677"/>
    </row>
    <row r="88678" spans="10:10" x14ac:dyDescent="0.3">
      <c r="J88678"/>
    </row>
    <row r="88679" spans="10:10" x14ac:dyDescent="0.3">
      <c r="J88679"/>
    </row>
    <row r="88680" spans="10:10" x14ac:dyDescent="0.3">
      <c r="J88680"/>
    </row>
    <row r="88681" spans="10:10" x14ac:dyDescent="0.3">
      <c r="J88681"/>
    </row>
    <row r="88682" spans="10:10" x14ac:dyDescent="0.3">
      <c r="J88682"/>
    </row>
    <row r="88683" spans="10:10" x14ac:dyDescent="0.3">
      <c r="J88683"/>
    </row>
    <row r="88684" spans="10:10" x14ac:dyDescent="0.3">
      <c r="J88684"/>
    </row>
    <row r="88685" spans="10:10" x14ac:dyDescent="0.3">
      <c r="J88685"/>
    </row>
    <row r="88686" spans="10:10" x14ac:dyDescent="0.3">
      <c r="J88686"/>
    </row>
    <row r="88687" spans="10:10" x14ac:dyDescent="0.3">
      <c r="J88687"/>
    </row>
    <row r="88688" spans="10:10" x14ac:dyDescent="0.3">
      <c r="J88688"/>
    </row>
    <row r="88689" spans="10:10" x14ac:dyDescent="0.3">
      <c r="J88689"/>
    </row>
    <row r="88690" spans="10:10" x14ac:dyDescent="0.3">
      <c r="J88690"/>
    </row>
    <row r="88691" spans="10:10" x14ac:dyDescent="0.3">
      <c r="J88691"/>
    </row>
    <row r="88692" spans="10:10" x14ac:dyDescent="0.3">
      <c r="J88692"/>
    </row>
    <row r="88693" spans="10:10" x14ac:dyDescent="0.3">
      <c r="J88693"/>
    </row>
    <row r="88694" spans="10:10" x14ac:dyDescent="0.3">
      <c r="J88694"/>
    </row>
    <row r="88695" spans="10:10" x14ac:dyDescent="0.3">
      <c r="J88695"/>
    </row>
    <row r="88696" spans="10:10" x14ac:dyDescent="0.3">
      <c r="J88696"/>
    </row>
    <row r="88697" spans="10:10" x14ac:dyDescent="0.3">
      <c r="J88697"/>
    </row>
    <row r="88698" spans="10:10" x14ac:dyDescent="0.3">
      <c r="J88698"/>
    </row>
    <row r="88699" spans="10:10" x14ac:dyDescent="0.3">
      <c r="J88699"/>
    </row>
    <row r="88700" spans="10:10" x14ac:dyDescent="0.3">
      <c r="J88700"/>
    </row>
    <row r="88701" spans="10:10" x14ac:dyDescent="0.3">
      <c r="J88701"/>
    </row>
    <row r="88702" spans="10:10" x14ac:dyDescent="0.3">
      <c r="J88702"/>
    </row>
    <row r="88703" spans="10:10" x14ac:dyDescent="0.3">
      <c r="J88703"/>
    </row>
    <row r="88704" spans="10:10" x14ac:dyDescent="0.3">
      <c r="J88704"/>
    </row>
    <row r="88705" spans="10:10" x14ac:dyDescent="0.3">
      <c r="J88705"/>
    </row>
    <row r="88706" spans="10:10" x14ac:dyDescent="0.3">
      <c r="J88706"/>
    </row>
    <row r="88707" spans="10:10" x14ac:dyDescent="0.3">
      <c r="J88707"/>
    </row>
    <row r="88708" spans="10:10" x14ac:dyDescent="0.3">
      <c r="J88708"/>
    </row>
    <row r="88709" spans="10:10" x14ac:dyDescent="0.3">
      <c r="J88709"/>
    </row>
    <row r="88710" spans="10:10" x14ac:dyDescent="0.3">
      <c r="J88710"/>
    </row>
    <row r="88711" spans="10:10" x14ac:dyDescent="0.3">
      <c r="J88711"/>
    </row>
    <row r="88712" spans="10:10" x14ac:dyDescent="0.3">
      <c r="J88712"/>
    </row>
    <row r="88713" spans="10:10" x14ac:dyDescent="0.3">
      <c r="J88713"/>
    </row>
    <row r="88714" spans="10:10" x14ac:dyDescent="0.3">
      <c r="J88714"/>
    </row>
    <row r="88715" spans="10:10" x14ac:dyDescent="0.3">
      <c r="J88715"/>
    </row>
    <row r="88716" spans="10:10" x14ac:dyDescent="0.3">
      <c r="J88716"/>
    </row>
    <row r="88717" spans="10:10" x14ac:dyDescent="0.3">
      <c r="J88717"/>
    </row>
    <row r="88718" spans="10:10" x14ac:dyDescent="0.3">
      <c r="J88718"/>
    </row>
    <row r="88719" spans="10:10" x14ac:dyDescent="0.3">
      <c r="J88719"/>
    </row>
    <row r="88720" spans="10:10" x14ac:dyDescent="0.3">
      <c r="J88720"/>
    </row>
    <row r="88721" spans="10:10" x14ac:dyDescent="0.3">
      <c r="J88721"/>
    </row>
    <row r="88722" spans="10:10" x14ac:dyDescent="0.3">
      <c r="J88722"/>
    </row>
    <row r="88723" spans="10:10" x14ac:dyDescent="0.3">
      <c r="J88723"/>
    </row>
    <row r="88724" spans="10:10" x14ac:dyDescent="0.3">
      <c r="J88724"/>
    </row>
    <row r="88725" spans="10:10" x14ac:dyDescent="0.3">
      <c r="J88725"/>
    </row>
    <row r="88726" spans="10:10" x14ac:dyDescent="0.3">
      <c r="J88726"/>
    </row>
    <row r="88727" spans="10:10" x14ac:dyDescent="0.3">
      <c r="J88727"/>
    </row>
    <row r="88728" spans="10:10" x14ac:dyDescent="0.3">
      <c r="J88728"/>
    </row>
    <row r="88729" spans="10:10" x14ac:dyDescent="0.3">
      <c r="J88729"/>
    </row>
    <row r="88730" spans="10:10" x14ac:dyDescent="0.3">
      <c r="J88730"/>
    </row>
    <row r="88731" spans="10:10" x14ac:dyDescent="0.3">
      <c r="J88731"/>
    </row>
    <row r="88732" spans="10:10" x14ac:dyDescent="0.3">
      <c r="J88732"/>
    </row>
    <row r="88733" spans="10:10" x14ac:dyDescent="0.3">
      <c r="J88733"/>
    </row>
    <row r="88734" spans="10:10" x14ac:dyDescent="0.3">
      <c r="J88734"/>
    </row>
    <row r="88735" spans="10:10" x14ac:dyDescent="0.3">
      <c r="J88735"/>
    </row>
    <row r="88736" spans="10:10" x14ac:dyDescent="0.3">
      <c r="J88736"/>
    </row>
    <row r="88737" spans="10:10" x14ac:dyDescent="0.3">
      <c r="J88737"/>
    </row>
    <row r="88738" spans="10:10" x14ac:dyDescent="0.3">
      <c r="J88738"/>
    </row>
    <row r="88739" spans="10:10" x14ac:dyDescent="0.3">
      <c r="J88739"/>
    </row>
    <row r="88740" spans="10:10" x14ac:dyDescent="0.3">
      <c r="J88740"/>
    </row>
    <row r="88741" spans="10:10" x14ac:dyDescent="0.3">
      <c r="J88741"/>
    </row>
    <row r="88742" spans="10:10" x14ac:dyDescent="0.3">
      <c r="J88742"/>
    </row>
    <row r="88743" spans="10:10" x14ac:dyDescent="0.3">
      <c r="J88743"/>
    </row>
    <row r="88744" spans="10:10" x14ac:dyDescent="0.3">
      <c r="J88744"/>
    </row>
    <row r="88745" spans="10:10" x14ac:dyDescent="0.3">
      <c r="J88745"/>
    </row>
    <row r="88746" spans="10:10" x14ac:dyDescent="0.3">
      <c r="J88746"/>
    </row>
    <row r="88747" spans="10:10" x14ac:dyDescent="0.3">
      <c r="J88747"/>
    </row>
    <row r="88748" spans="10:10" x14ac:dyDescent="0.3">
      <c r="J88748"/>
    </row>
    <row r="88749" spans="10:10" x14ac:dyDescent="0.3">
      <c r="J88749"/>
    </row>
    <row r="88750" spans="10:10" x14ac:dyDescent="0.3">
      <c r="J88750"/>
    </row>
    <row r="88751" spans="10:10" x14ac:dyDescent="0.3">
      <c r="J88751"/>
    </row>
    <row r="88752" spans="10:10" x14ac:dyDescent="0.3">
      <c r="J88752"/>
    </row>
    <row r="88753" spans="10:10" x14ac:dyDescent="0.3">
      <c r="J88753"/>
    </row>
    <row r="88754" spans="10:10" x14ac:dyDescent="0.3">
      <c r="J88754"/>
    </row>
    <row r="88755" spans="10:10" x14ac:dyDescent="0.3">
      <c r="J88755"/>
    </row>
    <row r="88756" spans="10:10" x14ac:dyDescent="0.3">
      <c r="J88756"/>
    </row>
    <row r="88757" spans="10:10" x14ac:dyDescent="0.3">
      <c r="J88757"/>
    </row>
    <row r="88758" spans="10:10" x14ac:dyDescent="0.3">
      <c r="J88758"/>
    </row>
    <row r="88759" spans="10:10" x14ac:dyDescent="0.3">
      <c r="J88759"/>
    </row>
    <row r="88760" spans="10:10" x14ac:dyDescent="0.3">
      <c r="J88760"/>
    </row>
    <row r="88761" spans="10:10" x14ac:dyDescent="0.3">
      <c r="J88761"/>
    </row>
    <row r="88762" spans="10:10" x14ac:dyDescent="0.3">
      <c r="J88762"/>
    </row>
    <row r="88763" spans="10:10" x14ac:dyDescent="0.3">
      <c r="J88763"/>
    </row>
    <row r="88764" spans="10:10" x14ac:dyDescent="0.3">
      <c r="J88764"/>
    </row>
    <row r="88765" spans="10:10" x14ac:dyDescent="0.3">
      <c r="J88765"/>
    </row>
    <row r="88766" spans="10:10" x14ac:dyDescent="0.3">
      <c r="J88766"/>
    </row>
    <row r="88767" spans="10:10" x14ac:dyDescent="0.3">
      <c r="J88767"/>
    </row>
    <row r="88768" spans="10:10" x14ac:dyDescent="0.3">
      <c r="J88768"/>
    </row>
    <row r="88769" spans="10:10" x14ac:dyDescent="0.3">
      <c r="J88769"/>
    </row>
    <row r="88770" spans="10:10" x14ac:dyDescent="0.3">
      <c r="J88770"/>
    </row>
    <row r="88771" spans="10:10" x14ac:dyDescent="0.3">
      <c r="J88771"/>
    </row>
    <row r="88772" spans="10:10" x14ac:dyDescent="0.3">
      <c r="J88772"/>
    </row>
    <row r="88773" spans="10:10" x14ac:dyDescent="0.3">
      <c r="J88773"/>
    </row>
    <row r="88774" spans="10:10" x14ac:dyDescent="0.3">
      <c r="J88774"/>
    </row>
    <row r="88775" spans="10:10" x14ac:dyDescent="0.3">
      <c r="J88775"/>
    </row>
    <row r="88776" spans="10:10" x14ac:dyDescent="0.3">
      <c r="J88776"/>
    </row>
    <row r="88777" spans="10:10" x14ac:dyDescent="0.3">
      <c r="J88777"/>
    </row>
    <row r="88778" spans="10:10" x14ac:dyDescent="0.3">
      <c r="J88778"/>
    </row>
    <row r="88779" spans="10:10" x14ac:dyDescent="0.3">
      <c r="J88779"/>
    </row>
    <row r="88780" spans="10:10" x14ac:dyDescent="0.3">
      <c r="J88780"/>
    </row>
    <row r="88781" spans="10:10" x14ac:dyDescent="0.3">
      <c r="J88781"/>
    </row>
    <row r="88782" spans="10:10" x14ac:dyDescent="0.3">
      <c r="J88782"/>
    </row>
    <row r="88783" spans="10:10" x14ac:dyDescent="0.3">
      <c r="J88783"/>
    </row>
    <row r="88784" spans="10:10" x14ac:dyDescent="0.3">
      <c r="J88784"/>
    </row>
    <row r="88785" spans="10:10" x14ac:dyDescent="0.3">
      <c r="J88785"/>
    </row>
    <row r="88786" spans="10:10" x14ac:dyDescent="0.3">
      <c r="J88786"/>
    </row>
    <row r="88787" spans="10:10" x14ac:dyDescent="0.3">
      <c r="J88787"/>
    </row>
    <row r="88788" spans="10:10" x14ac:dyDescent="0.3">
      <c r="J88788"/>
    </row>
    <row r="88789" spans="10:10" x14ac:dyDescent="0.3">
      <c r="J88789"/>
    </row>
    <row r="88790" spans="10:10" x14ac:dyDescent="0.3">
      <c r="J88790"/>
    </row>
    <row r="88791" spans="10:10" x14ac:dyDescent="0.3">
      <c r="J88791"/>
    </row>
    <row r="88792" spans="10:10" x14ac:dyDescent="0.3">
      <c r="J88792"/>
    </row>
    <row r="88793" spans="10:10" x14ac:dyDescent="0.3">
      <c r="J88793"/>
    </row>
    <row r="88794" spans="10:10" x14ac:dyDescent="0.3">
      <c r="J88794"/>
    </row>
    <row r="88795" spans="10:10" x14ac:dyDescent="0.3">
      <c r="J88795"/>
    </row>
    <row r="88796" spans="10:10" x14ac:dyDescent="0.3">
      <c r="J88796"/>
    </row>
    <row r="88797" spans="10:10" x14ac:dyDescent="0.3">
      <c r="J88797"/>
    </row>
    <row r="88798" spans="10:10" x14ac:dyDescent="0.3">
      <c r="J88798"/>
    </row>
    <row r="88799" spans="10:10" x14ac:dyDescent="0.3">
      <c r="J88799"/>
    </row>
    <row r="88800" spans="10:10" x14ac:dyDescent="0.3">
      <c r="J88800"/>
    </row>
    <row r="88801" spans="10:10" x14ac:dyDescent="0.3">
      <c r="J88801"/>
    </row>
    <row r="88802" spans="10:10" x14ac:dyDescent="0.3">
      <c r="J88802"/>
    </row>
    <row r="88803" spans="10:10" x14ac:dyDescent="0.3">
      <c r="J88803"/>
    </row>
    <row r="88804" spans="10:10" x14ac:dyDescent="0.3">
      <c r="J88804"/>
    </row>
    <row r="88805" spans="10:10" x14ac:dyDescent="0.3">
      <c r="J88805"/>
    </row>
    <row r="88806" spans="10:10" x14ac:dyDescent="0.3">
      <c r="J88806"/>
    </row>
    <row r="88807" spans="10:10" x14ac:dyDescent="0.3">
      <c r="J88807"/>
    </row>
    <row r="88808" spans="10:10" x14ac:dyDescent="0.3">
      <c r="J88808"/>
    </row>
    <row r="88809" spans="10:10" x14ac:dyDescent="0.3">
      <c r="J88809"/>
    </row>
    <row r="88810" spans="10:10" x14ac:dyDescent="0.3">
      <c r="J88810"/>
    </row>
    <row r="88811" spans="10:10" x14ac:dyDescent="0.3">
      <c r="J88811"/>
    </row>
    <row r="88812" spans="10:10" x14ac:dyDescent="0.3">
      <c r="J88812"/>
    </row>
    <row r="88813" spans="10:10" x14ac:dyDescent="0.3">
      <c r="J88813"/>
    </row>
    <row r="88814" spans="10:10" x14ac:dyDescent="0.3">
      <c r="J88814"/>
    </row>
    <row r="88815" spans="10:10" x14ac:dyDescent="0.3">
      <c r="J88815"/>
    </row>
    <row r="88816" spans="10:10" x14ac:dyDescent="0.3">
      <c r="J88816"/>
    </row>
    <row r="88817" spans="10:10" x14ac:dyDescent="0.3">
      <c r="J88817"/>
    </row>
    <row r="88818" spans="10:10" x14ac:dyDescent="0.3">
      <c r="J88818"/>
    </row>
    <row r="88819" spans="10:10" x14ac:dyDescent="0.3">
      <c r="J88819"/>
    </row>
    <row r="88820" spans="10:10" x14ac:dyDescent="0.3">
      <c r="J88820"/>
    </row>
    <row r="88821" spans="10:10" x14ac:dyDescent="0.3">
      <c r="J88821"/>
    </row>
    <row r="88822" spans="10:10" x14ac:dyDescent="0.3">
      <c r="J88822"/>
    </row>
    <row r="88823" spans="10:10" x14ac:dyDescent="0.3">
      <c r="J88823"/>
    </row>
    <row r="88824" spans="10:10" x14ac:dyDescent="0.3">
      <c r="J88824"/>
    </row>
    <row r="88825" spans="10:10" x14ac:dyDescent="0.3">
      <c r="J88825"/>
    </row>
    <row r="88826" spans="10:10" x14ac:dyDescent="0.3">
      <c r="J88826"/>
    </row>
    <row r="88827" spans="10:10" x14ac:dyDescent="0.3">
      <c r="J88827"/>
    </row>
    <row r="88828" spans="10:10" x14ac:dyDescent="0.3">
      <c r="J88828"/>
    </row>
    <row r="88829" spans="10:10" x14ac:dyDescent="0.3">
      <c r="J88829"/>
    </row>
    <row r="88830" spans="10:10" x14ac:dyDescent="0.3">
      <c r="J88830"/>
    </row>
    <row r="88831" spans="10:10" x14ac:dyDescent="0.3">
      <c r="J88831"/>
    </row>
    <row r="88832" spans="10:10" x14ac:dyDescent="0.3">
      <c r="J88832"/>
    </row>
    <row r="88833" spans="10:10" x14ac:dyDescent="0.3">
      <c r="J88833"/>
    </row>
    <row r="88834" spans="10:10" x14ac:dyDescent="0.3">
      <c r="J88834"/>
    </row>
    <row r="88835" spans="10:10" x14ac:dyDescent="0.3">
      <c r="J88835"/>
    </row>
    <row r="88836" spans="10:10" x14ac:dyDescent="0.3">
      <c r="J88836"/>
    </row>
    <row r="88837" spans="10:10" x14ac:dyDescent="0.3">
      <c r="J88837"/>
    </row>
    <row r="88838" spans="10:10" x14ac:dyDescent="0.3">
      <c r="J88838"/>
    </row>
    <row r="88839" spans="10:10" x14ac:dyDescent="0.3">
      <c r="J88839"/>
    </row>
    <row r="88840" spans="10:10" x14ac:dyDescent="0.3">
      <c r="J88840"/>
    </row>
    <row r="88841" spans="10:10" x14ac:dyDescent="0.3">
      <c r="J88841"/>
    </row>
    <row r="88842" spans="10:10" x14ac:dyDescent="0.3">
      <c r="J88842"/>
    </row>
    <row r="88843" spans="10:10" x14ac:dyDescent="0.3">
      <c r="J88843"/>
    </row>
    <row r="88844" spans="10:10" x14ac:dyDescent="0.3">
      <c r="J88844"/>
    </row>
    <row r="88845" spans="10:10" x14ac:dyDescent="0.3">
      <c r="J88845"/>
    </row>
    <row r="88846" spans="10:10" x14ac:dyDescent="0.3">
      <c r="J88846"/>
    </row>
    <row r="88847" spans="10:10" x14ac:dyDescent="0.3">
      <c r="J88847"/>
    </row>
    <row r="88848" spans="10:10" x14ac:dyDescent="0.3">
      <c r="J88848"/>
    </row>
    <row r="88849" spans="10:10" x14ac:dyDescent="0.3">
      <c r="J88849"/>
    </row>
    <row r="88850" spans="10:10" x14ac:dyDescent="0.3">
      <c r="J88850"/>
    </row>
    <row r="88851" spans="10:10" x14ac:dyDescent="0.3">
      <c r="J88851"/>
    </row>
    <row r="88852" spans="10:10" x14ac:dyDescent="0.3">
      <c r="J88852"/>
    </row>
    <row r="88853" spans="10:10" x14ac:dyDescent="0.3">
      <c r="J88853"/>
    </row>
    <row r="88854" spans="10:10" x14ac:dyDescent="0.3">
      <c r="J88854"/>
    </row>
    <row r="88855" spans="10:10" x14ac:dyDescent="0.3">
      <c r="J88855"/>
    </row>
    <row r="88856" spans="10:10" x14ac:dyDescent="0.3">
      <c r="J88856"/>
    </row>
    <row r="88857" spans="10:10" x14ac:dyDescent="0.3">
      <c r="J88857"/>
    </row>
    <row r="88858" spans="10:10" x14ac:dyDescent="0.3">
      <c r="J88858"/>
    </row>
    <row r="88859" spans="10:10" x14ac:dyDescent="0.3">
      <c r="J88859"/>
    </row>
    <row r="88860" spans="10:10" x14ac:dyDescent="0.3">
      <c r="J88860"/>
    </row>
    <row r="88861" spans="10:10" x14ac:dyDescent="0.3">
      <c r="J88861"/>
    </row>
    <row r="88862" spans="10:10" x14ac:dyDescent="0.3">
      <c r="J88862"/>
    </row>
    <row r="88863" spans="10:10" x14ac:dyDescent="0.3">
      <c r="J88863"/>
    </row>
    <row r="88864" spans="10:10" x14ac:dyDescent="0.3">
      <c r="J88864"/>
    </row>
    <row r="88865" spans="10:10" x14ac:dyDescent="0.3">
      <c r="J88865"/>
    </row>
    <row r="88866" spans="10:10" x14ac:dyDescent="0.3">
      <c r="J88866"/>
    </row>
    <row r="88867" spans="10:10" x14ac:dyDescent="0.3">
      <c r="J88867"/>
    </row>
    <row r="88868" spans="10:10" x14ac:dyDescent="0.3">
      <c r="J88868"/>
    </row>
    <row r="88869" spans="10:10" x14ac:dyDescent="0.3">
      <c r="J88869"/>
    </row>
    <row r="88870" spans="10:10" x14ac:dyDescent="0.3">
      <c r="J88870"/>
    </row>
    <row r="88871" spans="10:10" x14ac:dyDescent="0.3">
      <c r="J88871"/>
    </row>
    <row r="88872" spans="10:10" x14ac:dyDescent="0.3">
      <c r="J88872"/>
    </row>
    <row r="88873" spans="10:10" x14ac:dyDescent="0.3">
      <c r="J88873"/>
    </row>
    <row r="88874" spans="10:10" x14ac:dyDescent="0.3">
      <c r="J88874"/>
    </row>
    <row r="88875" spans="10:10" x14ac:dyDescent="0.3">
      <c r="J88875"/>
    </row>
    <row r="88876" spans="10:10" x14ac:dyDescent="0.3">
      <c r="J88876"/>
    </row>
    <row r="88877" spans="10:10" x14ac:dyDescent="0.3">
      <c r="J88877"/>
    </row>
    <row r="88878" spans="10:10" x14ac:dyDescent="0.3">
      <c r="J88878"/>
    </row>
    <row r="88879" spans="10:10" x14ac:dyDescent="0.3">
      <c r="J88879"/>
    </row>
    <row r="88880" spans="10:10" x14ac:dyDescent="0.3">
      <c r="J88880"/>
    </row>
    <row r="88881" spans="10:10" x14ac:dyDescent="0.3">
      <c r="J88881"/>
    </row>
    <row r="88882" spans="10:10" x14ac:dyDescent="0.3">
      <c r="J88882"/>
    </row>
    <row r="88883" spans="10:10" x14ac:dyDescent="0.3">
      <c r="J88883"/>
    </row>
    <row r="88884" spans="10:10" x14ac:dyDescent="0.3">
      <c r="J88884"/>
    </row>
    <row r="88885" spans="10:10" x14ac:dyDescent="0.3">
      <c r="J88885"/>
    </row>
    <row r="88886" spans="10:10" x14ac:dyDescent="0.3">
      <c r="J88886"/>
    </row>
    <row r="88887" spans="10:10" x14ac:dyDescent="0.3">
      <c r="J88887"/>
    </row>
    <row r="88888" spans="10:10" x14ac:dyDescent="0.3">
      <c r="J88888"/>
    </row>
    <row r="88889" spans="10:10" x14ac:dyDescent="0.3">
      <c r="J88889"/>
    </row>
    <row r="88890" spans="10:10" x14ac:dyDescent="0.3">
      <c r="J88890"/>
    </row>
    <row r="88891" spans="10:10" x14ac:dyDescent="0.3">
      <c r="J88891"/>
    </row>
    <row r="88892" spans="10:10" x14ac:dyDescent="0.3">
      <c r="J88892"/>
    </row>
    <row r="88893" spans="10:10" x14ac:dyDescent="0.3">
      <c r="J88893"/>
    </row>
    <row r="88894" spans="10:10" x14ac:dyDescent="0.3">
      <c r="J88894"/>
    </row>
    <row r="88895" spans="10:10" x14ac:dyDescent="0.3">
      <c r="J88895"/>
    </row>
    <row r="88896" spans="10:10" x14ac:dyDescent="0.3">
      <c r="J88896"/>
    </row>
    <row r="88897" spans="10:10" x14ac:dyDescent="0.3">
      <c r="J88897"/>
    </row>
    <row r="88898" spans="10:10" x14ac:dyDescent="0.3">
      <c r="J88898"/>
    </row>
    <row r="88899" spans="10:10" x14ac:dyDescent="0.3">
      <c r="J88899"/>
    </row>
    <row r="88900" spans="10:10" x14ac:dyDescent="0.3">
      <c r="J88900"/>
    </row>
    <row r="88901" spans="10:10" x14ac:dyDescent="0.3">
      <c r="J88901"/>
    </row>
    <row r="88902" spans="10:10" x14ac:dyDescent="0.3">
      <c r="J88902"/>
    </row>
    <row r="88903" spans="10:10" x14ac:dyDescent="0.3">
      <c r="J88903"/>
    </row>
    <row r="88904" spans="10:10" x14ac:dyDescent="0.3">
      <c r="J88904"/>
    </row>
    <row r="88905" spans="10:10" x14ac:dyDescent="0.3">
      <c r="J88905"/>
    </row>
    <row r="88906" spans="10:10" x14ac:dyDescent="0.3">
      <c r="J88906"/>
    </row>
    <row r="88907" spans="10:10" x14ac:dyDescent="0.3">
      <c r="J88907"/>
    </row>
    <row r="88908" spans="10:10" x14ac:dyDescent="0.3">
      <c r="J88908"/>
    </row>
    <row r="88909" spans="10:10" x14ac:dyDescent="0.3">
      <c r="J88909"/>
    </row>
    <row r="88910" spans="10:10" x14ac:dyDescent="0.3">
      <c r="J88910"/>
    </row>
    <row r="88911" spans="10:10" x14ac:dyDescent="0.3">
      <c r="J88911"/>
    </row>
    <row r="88912" spans="10:10" x14ac:dyDescent="0.3">
      <c r="J88912"/>
    </row>
    <row r="88913" spans="10:10" x14ac:dyDescent="0.3">
      <c r="J88913"/>
    </row>
    <row r="88914" spans="10:10" x14ac:dyDescent="0.3">
      <c r="J88914"/>
    </row>
    <row r="88915" spans="10:10" x14ac:dyDescent="0.3">
      <c r="J88915"/>
    </row>
    <row r="88916" spans="10:10" x14ac:dyDescent="0.3">
      <c r="J88916"/>
    </row>
    <row r="88917" spans="10:10" x14ac:dyDescent="0.3">
      <c r="J88917"/>
    </row>
    <row r="88918" spans="10:10" x14ac:dyDescent="0.3">
      <c r="J88918"/>
    </row>
    <row r="88919" spans="10:10" x14ac:dyDescent="0.3">
      <c r="J88919"/>
    </row>
    <row r="88920" spans="10:10" x14ac:dyDescent="0.3">
      <c r="J88920"/>
    </row>
    <row r="88921" spans="10:10" x14ac:dyDescent="0.3">
      <c r="J88921"/>
    </row>
    <row r="88922" spans="10:10" x14ac:dyDescent="0.3">
      <c r="J88922"/>
    </row>
    <row r="88923" spans="10:10" x14ac:dyDescent="0.3">
      <c r="J88923"/>
    </row>
    <row r="88924" spans="10:10" x14ac:dyDescent="0.3">
      <c r="J88924"/>
    </row>
    <row r="88925" spans="10:10" x14ac:dyDescent="0.3">
      <c r="J88925"/>
    </row>
    <row r="88926" spans="10:10" x14ac:dyDescent="0.3">
      <c r="J88926"/>
    </row>
    <row r="88927" spans="10:10" x14ac:dyDescent="0.3">
      <c r="J88927"/>
    </row>
    <row r="88928" spans="10:10" x14ac:dyDescent="0.3">
      <c r="J88928"/>
    </row>
    <row r="88929" spans="10:10" x14ac:dyDescent="0.3">
      <c r="J88929"/>
    </row>
    <row r="88930" spans="10:10" x14ac:dyDescent="0.3">
      <c r="J88930"/>
    </row>
    <row r="88931" spans="10:10" x14ac:dyDescent="0.3">
      <c r="J88931"/>
    </row>
    <row r="88932" spans="10:10" x14ac:dyDescent="0.3">
      <c r="J88932"/>
    </row>
    <row r="88933" spans="10:10" x14ac:dyDescent="0.3">
      <c r="J88933"/>
    </row>
    <row r="88934" spans="10:10" x14ac:dyDescent="0.3">
      <c r="J88934"/>
    </row>
    <row r="88935" spans="10:10" x14ac:dyDescent="0.3">
      <c r="J88935"/>
    </row>
    <row r="88936" spans="10:10" x14ac:dyDescent="0.3">
      <c r="J88936"/>
    </row>
    <row r="88937" spans="10:10" x14ac:dyDescent="0.3">
      <c r="J88937"/>
    </row>
    <row r="88938" spans="10:10" x14ac:dyDescent="0.3">
      <c r="J88938"/>
    </row>
    <row r="88939" spans="10:10" x14ac:dyDescent="0.3">
      <c r="J88939"/>
    </row>
    <row r="88940" spans="10:10" x14ac:dyDescent="0.3">
      <c r="J88940"/>
    </row>
    <row r="88941" spans="10:10" x14ac:dyDescent="0.3">
      <c r="J88941"/>
    </row>
    <row r="88942" spans="10:10" x14ac:dyDescent="0.3">
      <c r="J88942"/>
    </row>
    <row r="88943" spans="10:10" x14ac:dyDescent="0.3">
      <c r="J88943"/>
    </row>
    <row r="88944" spans="10:10" x14ac:dyDescent="0.3">
      <c r="J88944"/>
    </row>
    <row r="88945" spans="10:10" x14ac:dyDescent="0.3">
      <c r="J88945"/>
    </row>
    <row r="88946" spans="10:10" x14ac:dyDescent="0.3">
      <c r="J88946"/>
    </row>
    <row r="88947" spans="10:10" x14ac:dyDescent="0.3">
      <c r="J88947"/>
    </row>
    <row r="88948" spans="10:10" x14ac:dyDescent="0.3">
      <c r="J88948"/>
    </row>
    <row r="88949" spans="10:10" x14ac:dyDescent="0.3">
      <c r="J88949"/>
    </row>
    <row r="88950" spans="10:10" x14ac:dyDescent="0.3">
      <c r="J88950"/>
    </row>
    <row r="88951" spans="10:10" x14ac:dyDescent="0.3">
      <c r="J88951"/>
    </row>
    <row r="88952" spans="10:10" x14ac:dyDescent="0.3">
      <c r="J88952"/>
    </row>
    <row r="88953" spans="10:10" x14ac:dyDescent="0.3">
      <c r="J88953"/>
    </row>
    <row r="88954" spans="10:10" x14ac:dyDescent="0.3">
      <c r="J88954"/>
    </row>
    <row r="88955" spans="10:10" x14ac:dyDescent="0.3">
      <c r="J88955"/>
    </row>
    <row r="88956" spans="10:10" x14ac:dyDescent="0.3">
      <c r="J88956"/>
    </row>
    <row r="88957" spans="10:10" x14ac:dyDescent="0.3">
      <c r="J88957"/>
    </row>
    <row r="88958" spans="10:10" x14ac:dyDescent="0.3">
      <c r="J88958"/>
    </row>
    <row r="88959" spans="10:10" x14ac:dyDescent="0.3">
      <c r="J88959"/>
    </row>
    <row r="88960" spans="10:10" x14ac:dyDescent="0.3">
      <c r="J88960"/>
    </row>
    <row r="88961" spans="10:10" x14ac:dyDescent="0.3">
      <c r="J88961"/>
    </row>
    <row r="88962" spans="10:10" x14ac:dyDescent="0.3">
      <c r="J88962"/>
    </row>
    <row r="88963" spans="10:10" x14ac:dyDescent="0.3">
      <c r="J88963"/>
    </row>
    <row r="88964" spans="10:10" x14ac:dyDescent="0.3">
      <c r="J88964"/>
    </row>
    <row r="88965" spans="10:10" x14ac:dyDescent="0.3">
      <c r="J88965"/>
    </row>
    <row r="88966" spans="10:10" x14ac:dyDescent="0.3">
      <c r="J88966"/>
    </row>
    <row r="88967" spans="10:10" x14ac:dyDescent="0.3">
      <c r="J88967"/>
    </row>
    <row r="88968" spans="10:10" x14ac:dyDescent="0.3">
      <c r="J88968"/>
    </row>
    <row r="88969" spans="10:10" x14ac:dyDescent="0.3">
      <c r="J88969"/>
    </row>
    <row r="88970" spans="10:10" x14ac:dyDescent="0.3">
      <c r="J88970"/>
    </row>
    <row r="88971" spans="10:10" x14ac:dyDescent="0.3">
      <c r="J88971"/>
    </row>
    <row r="88972" spans="10:10" x14ac:dyDescent="0.3">
      <c r="J88972"/>
    </row>
    <row r="88973" spans="10:10" x14ac:dyDescent="0.3">
      <c r="J88973"/>
    </row>
    <row r="88974" spans="10:10" x14ac:dyDescent="0.3">
      <c r="J88974"/>
    </row>
    <row r="88975" spans="10:10" x14ac:dyDescent="0.3">
      <c r="J88975"/>
    </row>
    <row r="88976" spans="10:10" x14ac:dyDescent="0.3">
      <c r="J88976"/>
    </row>
    <row r="88977" spans="10:10" x14ac:dyDescent="0.3">
      <c r="J88977"/>
    </row>
    <row r="88978" spans="10:10" x14ac:dyDescent="0.3">
      <c r="J88978"/>
    </row>
    <row r="88979" spans="10:10" x14ac:dyDescent="0.3">
      <c r="J88979"/>
    </row>
    <row r="88980" spans="10:10" x14ac:dyDescent="0.3">
      <c r="J88980"/>
    </row>
    <row r="88981" spans="10:10" x14ac:dyDescent="0.3">
      <c r="J88981"/>
    </row>
    <row r="88982" spans="10:10" x14ac:dyDescent="0.3">
      <c r="J88982"/>
    </row>
    <row r="88983" spans="10:10" x14ac:dyDescent="0.3">
      <c r="J88983"/>
    </row>
    <row r="88984" spans="10:10" x14ac:dyDescent="0.3">
      <c r="J88984"/>
    </row>
    <row r="88985" spans="10:10" x14ac:dyDescent="0.3">
      <c r="J88985"/>
    </row>
    <row r="88986" spans="10:10" x14ac:dyDescent="0.3">
      <c r="J88986"/>
    </row>
    <row r="88987" spans="10:10" x14ac:dyDescent="0.3">
      <c r="J88987"/>
    </row>
    <row r="88988" spans="10:10" x14ac:dyDescent="0.3">
      <c r="J88988"/>
    </row>
    <row r="88989" spans="10:10" x14ac:dyDescent="0.3">
      <c r="J88989"/>
    </row>
    <row r="88990" spans="10:10" x14ac:dyDescent="0.3">
      <c r="J88990"/>
    </row>
    <row r="88991" spans="10:10" x14ac:dyDescent="0.3">
      <c r="J88991"/>
    </row>
    <row r="88992" spans="10:10" x14ac:dyDescent="0.3">
      <c r="J88992"/>
    </row>
    <row r="88993" spans="10:10" x14ac:dyDescent="0.3">
      <c r="J88993"/>
    </row>
    <row r="88994" spans="10:10" x14ac:dyDescent="0.3">
      <c r="J88994"/>
    </row>
    <row r="88995" spans="10:10" x14ac:dyDescent="0.3">
      <c r="J88995"/>
    </row>
    <row r="88996" spans="10:10" x14ac:dyDescent="0.3">
      <c r="J88996"/>
    </row>
    <row r="88997" spans="10:10" x14ac:dyDescent="0.3">
      <c r="J88997"/>
    </row>
    <row r="88998" spans="10:10" x14ac:dyDescent="0.3">
      <c r="J88998"/>
    </row>
    <row r="88999" spans="10:10" x14ac:dyDescent="0.3">
      <c r="J88999"/>
    </row>
    <row r="89000" spans="10:10" x14ac:dyDescent="0.3">
      <c r="J89000"/>
    </row>
    <row r="89001" spans="10:10" x14ac:dyDescent="0.3">
      <c r="J89001"/>
    </row>
    <row r="89002" spans="10:10" x14ac:dyDescent="0.3">
      <c r="J89002"/>
    </row>
    <row r="89003" spans="10:10" x14ac:dyDescent="0.3">
      <c r="J89003"/>
    </row>
    <row r="89004" spans="10:10" x14ac:dyDescent="0.3">
      <c r="J89004"/>
    </row>
    <row r="89005" spans="10:10" x14ac:dyDescent="0.3">
      <c r="J89005"/>
    </row>
    <row r="89006" spans="10:10" x14ac:dyDescent="0.3">
      <c r="J89006"/>
    </row>
    <row r="89007" spans="10:10" x14ac:dyDescent="0.3">
      <c r="J89007"/>
    </row>
    <row r="89008" spans="10:10" x14ac:dyDescent="0.3">
      <c r="J89008"/>
    </row>
    <row r="89009" spans="10:10" x14ac:dyDescent="0.3">
      <c r="J89009"/>
    </row>
    <row r="89010" spans="10:10" x14ac:dyDescent="0.3">
      <c r="J89010"/>
    </row>
    <row r="89011" spans="10:10" x14ac:dyDescent="0.3">
      <c r="J89011"/>
    </row>
    <row r="89012" spans="10:10" x14ac:dyDescent="0.3">
      <c r="J89012"/>
    </row>
    <row r="89013" spans="10:10" x14ac:dyDescent="0.3">
      <c r="J89013"/>
    </row>
    <row r="89014" spans="10:10" x14ac:dyDescent="0.3">
      <c r="J89014"/>
    </row>
    <row r="89015" spans="10:10" x14ac:dyDescent="0.3">
      <c r="J89015"/>
    </row>
    <row r="89016" spans="10:10" x14ac:dyDescent="0.3">
      <c r="J89016"/>
    </row>
    <row r="89017" spans="10:10" x14ac:dyDescent="0.3">
      <c r="J89017"/>
    </row>
    <row r="89018" spans="10:10" x14ac:dyDescent="0.3">
      <c r="J89018"/>
    </row>
    <row r="89019" spans="10:10" x14ac:dyDescent="0.3">
      <c r="J89019"/>
    </row>
    <row r="89020" spans="10:10" x14ac:dyDescent="0.3">
      <c r="J89020"/>
    </row>
    <row r="89021" spans="10:10" x14ac:dyDescent="0.3">
      <c r="J89021"/>
    </row>
    <row r="89022" spans="10:10" x14ac:dyDescent="0.3">
      <c r="J89022"/>
    </row>
    <row r="89023" spans="10:10" x14ac:dyDescent="0.3">
      <c r="J89023"/>
    </row>
    <row r="89024" spans="10:10" x14ac:dyDescent="0.3">
      <c r="J89024"/>
    </row>
    <row r="89025" spans="10:10" x14ac:dyDescent="0.3">
      <c r="J89025"/>
    </row>
    <row r="89026" spans="10:10" x14ac:dyDescent="0.3">
      <c r="J89026"/>
    </row>
    <row r="89027" spans="10:10" x14ac:dyDescent="0.3">
      <c r="J89027"/>
    </row>
    <row r="89028" spans="10:10" x14ac:dyDescent="0.3">
      <c r="J89028"/>
    </row>
    <row r="89029" spans="10:10" x14ac:dyDescent="0.3">
      <c r="J89029"/>
    </row>
    <row r="89030" spans="10:10" x14ac:dyDescent="0.3">
      <c r="J89030"/>
    </row>
    <row r="89031" spans="10:10" x14ac:dyDescent="0.3">
      <c r="J89031"/>
    </row>
    <row r="89032" spans="10:10" x14ac:dyDescent="0.3">
      <c r="J89032"/>
    </row>
    <row r="89033" spans="10:10" x14ac:dyDescent="0.3">
      <c r="J89033"/>
    </row>
    <row r="89034" spans="10:10" x14ac:dyDescent="0.3">
      <c r="J89034"/>
    </row>
    <row r="89035" spans="10:10" x14ac:dyDescent="0.3">
      <c r="J89035"/>
    </row>
    <row r="89036" spans="10:10" x14ac:dyDescent="0.3">
      <c r="J89036"/>
    </row>
    <row r="89037" spans="10:10" x14ac:dyDescent="0.3">
      <c r="J89037"/>
    </row>
    <row r="89038" spans="10:10" x14ac:dyDescent="0.3">
      <c r="J89038"/>
    </row>
    <row r="89039" spans="10:10" x14ac:dyDescent="0.3">
      <c r="J89039"/>
    </row>
    <row r="89040" spans="10:10" x14ac:dyDescent="0.3">
      <c r="J89040"/>
    </row>
    <row r="89041" spans="10:10" x14ac:dyDescent="0.3">
      <c r="J89041"/>
    </row>
    <row r="89042" spans="10:10" x14ac:dyDescent="0.3">
      <c r="J89042"/>
    </row>
    <row r="89043" spans="10:10" x14ac:dyDescent="0.3">
      <c r="J89043"/>
    </row>
    <row r="89044" spans="10:10" x14ac:dyDescent="0.3">
      <c r="J89044"/>
    </row>
    <row r="89045" spans="10:10" x14ac:dyDescent="0.3">
      <c r="J89045"/>
    </row>
    <row r="89046" spans="10:10" x14ac:dyDescent="0.3">
      <c r="J89046"/>
    </row>
    <row r="89047" spans="10:10" x14ac:dyDescent="0.3">
      <c r="J89047"/>
    </row>
    <row r="89048" spans="10:10" x14ac:dyDescent="0.3">
      <c r="J89048"/>
    </row>
    <row r="89049" spans="10:10" x14ac:dyDescent="0.3">
      <c r="J89049"/>
    </row>
    <row r="89050" spans="10:10" x14ac:dyDescent="0.3">
      <c r="J89050"/>
    </row>
    <row r="89051" spans="10:10" x14ac:dyDescent="0.3">
      <c r="J89051"/>
    </row>
    <row r="89052" spans="10:10" x14ac:dyDescent="0.3">
      <c r="J89052"/>
    </row>
    <row r="89053" spans="10:10" x14ac:dyDescent="0.3">
      <c r="J89053"/>
    </row>
    <row r="89054" spans="10:10" x14ac:dyDescent="0.3">
      <c r="J89054"/>
    </row>
    <row r="89055" spans="10:10" x14ac:dyDescent="0.3">
      <c r="J89055"/>
    </row>
    <row r="89056" spans="10:10" x14ac:dyDescent="0.3">
      <c r="J89056"/>
    </row>
    <row r="89057" spans="10:10" x14ac:dyDescent="0.3">
      <c r="J89057"/>
    </row>
    <row r="89058" spans="10:10" x14ac:dyDescent="0.3">
      <c r="J89058"/>
    </row>
    <row r="89059" spans="10:10" x14ac:dyDescent="0.3">
      <c r="J89059"/>
    </row>
    <row r="89060" spans="10:10" x14ac:dyDescent="0.3">
      <c r="J89060"/>
    </row>
    <row r="89061" spans="10:10" x14ac:dyDescent="0.3">
      <c r="J89061"/>
    </row>
    <row r="89062" spans="10:10" x14ac:dyDescent="0.3">
      <c r="J89062"/>
    </row>
    <row r="89063" spans="10:10" x14ac:dyDescent="0.3">
      <c r="J89063"/>
    </row>
    <row r="89064" spans="10:10" x14ac:dyDescent="0.3">
      <c r="J89064"/>
    </row>
    <row r="89065" spans="10:10" x14ac:dyDescent="0.3">
      <c r="J89065"/>
    </row>
    <row r="89066" spans="10:10" x14ac:dyDescent="0.3">
      <c r="J89066"/>
    </row>
    <row r="89067" spans="10:10" x14ac:dyDescent="0.3">
      <c r="J89067"/>
    </row>
    <row r="89068" spans="10:10" x14ac:dyDescent="0.3">
      <c r="J89068"/>
    </row>
    <row r="89069" spans="10:10" x14ac:dyDescent="0.3">
      <c r="J89069"/>
    </row>
    <row r="89070" spans="10:10" x14ac:dyDescent="0.3">
      <c r="J89070"/>
    </row>
    <row r="89071" spans="10:10" x14ac:dyDescent="0.3">
      <c r="J89071"/>
    </row>
    <row r="89072" spans="10:10" x14ac:dyDescent="0.3">
      <c r="J89072"/>
    </row>
    <row r="89073" spans="10:10" x14ac:dyDescent="0.3">
      <c r="J89073"/>
    </row>
    <row r="89074" spans="10:10" x14ac:dyDescent="0.3">
      <c r="J89074"/>
    </row>
    <row r="89075" spans="10:10" x14ac:dyDescent="0.3">
      <c r="J89075"/>
    </row>
    <row r="89076" spans="10:10" x14ac:dyDescent="0.3">
      <c r="J89076"/>
    </row>
    <row r="89077" spans="10:10" x14ac:dyDescent="0.3">
      <c r="J89077"/>
    </row>
    <row r="89078" spans="10:10" x14ac:dyDescent="0.3">
      <c r="J89078"/>
    </row>
    <row r="89079" spans="10:10" x14ac:dyDescent="0.3">
      <c r="J89079"/>
    </row>
    <row r="89080" spans="10:10" x14ac:dyDescent="0.3">
      <c r="J89080"/>
    </row>
    <row r="89081" spans="10:10" x14ac:dyDescent="0.3">
      <c r="J89081"/>
    </row>
    <row r="89082" spans="10:10" x14ac:dyDescent="0.3">
      <c r="J89082"/>
    </row>
    <row r="89083" spans="10:10" x14ac:dyDescent="0.3">
      <c r="J89083"/>
    </row>
    <row r="89084" spans="10:10" x14ac:dyDescent="0.3">
      <c r="J89084"/>
    </row>
    <row r="89085" spans="10:10" x14ac:dyDescent="0.3">
      <c r="J89085"/>
    </row>
    <row r="89086" spans="10:10" x14ac:dyDescent="0.3">
      <c r="J89086"/>
    </row>
    <row r="89087" spans="10:10" x14ac:dyDescent="0.3">
      <c r="J89087"/>
    </row>
    <row r="89088" spans="10:10" x14ac:dyDescent="0.3">
      <c r="J89088"/>
    </row>
    <row r="89089" spans="10:10" x14ac:dyDescent="0.3">
      <c r="J89089"/>
    </row>
    <row r="89090" spans="10:10" x14ac:dyDescent="0.3">
      <c r="J89090"/>
    </row>
    <row r="89091" spans="10:10" x14ac:dyDescent="0.3">
      <c r="J89091"/>
    </row>
    <row r="89092" spans="10:10" x14ac:dyDescent="0.3">
      <c r="J89092"/>
    </row>
    <row r="89093" spans="10:10" x14ac:dyDescent="0.3">
      <c r="J89093"/>
    </row>
    <row r="89094" spans="10:10" x14ac:dyDescent="0.3">
      <c r="J89094"/>
    </row>
    <row r="89095" spans="10:10" x14ac:dyDescent="0.3">
      <c r="J89095"/>
    </row>
    <row r="89096" spans="10:10" x14ac:dyDescent="0.3">
      <c r="J89096"/>
    </row>
    <row r="89097" spans="10:10" x14ac:dyDescent="0.3">
      <c r="J89097"/>
    </row>
    <row r="89098" spans="10:10" x14ac:dyDescent="0.3">
      <c r="J89098"/>
    </row>
    <row r="89099" spans="10:10" x14ac:dyDescent="0.3">
      <c r="J89099"/>
    </row>
    <row r="89100" spans="10:10" x14ac:dyDescent="0.3">
      <c r="J89100"/>
    </row>
    <row r="89101" spans="10:10" x14ac:dyDescent="0.3">
      <c r="J89101"/>
    </row>
    <row r="89102" spans="10:10" x14ac:dyDescent="0.3">
      <c r="J89102"/>
    </row>
    <row r="89103" spans="10:10" x14ac:dyDescent="0.3">
      <c r="J89103"/>
    </row>
    <row r="89104" spans="10:10" x14ac:dyDescent="0.3">
      <c r="J89104"/>
    </row>
    <row r="89105" spans="10:10" x14ac:dyDescent="0.3">
      <c r="J89105"/>
    </row>
    <row r="89106" spans="10:10" x14ac:dyDescent="0.3">
      <c r="J89106"/>
    </row>
    <row r="89107" spans="10:10" x14ac:dyDescent="0.3">
      <c r="J89107"/>
    </row>
    <row r="89108" spans="10:10" x14ac:dyDescent="0.3">
      <c r="J89108"/>
    </row>
    <row r="89109" spans="10:10" x14ac:dyDescent="0.3">
      <c r="J89109"/>
    </row>
    <row r="89110" spans="10:10" x14ac:dyDescent="0.3">
      <c r="J89110"/>
    </row>
    <row r="89111" spans="10:10" x14ac:dyDescent="0.3">
      <c r="J89111"/>
    </row>
    <row r="89112" spans="10:10" x14ac:dyDescent="0.3">
      <c r="J89112"/>
    </row>
    <row r="89113" spans="10:10" x14ac:dyDescent="0.3">
      <c r="J89113"/>
    </row>
    <row r="89114" spans="10:10" x14ac:dyDescent="0.3">
      <c r="J89114"/>
    </row>
    <row r="89115" spans="10:10" x14ac:dyDescent="0.3">
      <c r="J89115"/>
    </row>
    <row r="89116" spans="10:10" x14ac:dyDescent="0.3">
      <c r="J89116"/>
    </row>
    <row r="89117" spans="10:10" x14ac:dyDescent="0.3">
      <c r="J89117"/>
    </row>
    <row r="89118" spans="10:10" x14ac:dyDescent="0.3">
      <c r="J89118"/>
    </row>
    <row r="89119" spans="10:10" x14ac:dyDescent="0.3">
      <c r="J89119"/>
    </row>
    <row r="89120" spans="10:10" x14ac:dyDescent="0.3">
      <c r="J89120"/>
    </row>
    <row r="89121" spans="10:10" x14ac:dyDescent="0.3">
      <c r="J89121"/>
    </row>
    <row r="89122" spans="10:10" x14ac:dyDescent="0.3">
      <c r="J89122"/>
    </row>
    <row r="89123" spans="10:10" x14ac:dyDescent="0.3">
      <c r="J89123"/>
    </row>
    <row r="89124" spans="10:10" x14ac:dyDescent="0.3">
      <c r="J89124"/>
    </row>
    <row r="89125" spans="10:10" x14ac:dyDescent="0.3">
      <c r="J89125"/>
    </row>
    <row r="89126" spans="10:10" x14ac:dyDescent="0.3">
      <c r="J89126"/>
    </row>
    <row r="89127" spans="10:10" x14ac:dyDescent="0.3">
      <c r="J89127"/>
    </row>
    <row r="89128" spans="10:10" x14ac:dyDescent="0.3">
      <c r="J89128"/>
    </row>
    <row r="89129" spans="10:10" x14ac:dyDescent="0.3">
      <c r="J89129"/>
    </row>
    <row r="89130" spans="10:10" x14ac:dyDescent="0.3">
      <c r="J89130"/>
    </row>
    <row r="89131" spans="10:10" x14ac:dyDescent="0.3">
      <c r="J89131"/>
    </row>
    <row r="89132" spans="10:10" x14ac:dyDescent="0.3">
      <c r="J89132"/>
    </row>
    <row r="89133" spans="10:10" x14ac:dyDescent="0.3">
      <c r="J89133"/>
    </row>
    <row r="89134" spans="10:10" x14ac:dyDescent="0.3">
      <c r="J89134"/>
    </row>
    <row r="89135" spans="10:10" x14ac:dyDescent="0.3">
      <c r="J89135"/>
    </row>
    <row r="89136" spans="10:10" x14ac:dyDescent="0.3">
      <c r="J89136"/>
    </row>
    <row r="89137" spans="10:10" x14ac:dyDescent="0.3">
      <c r="J89137"/>
    </row>
    <row r="89138" spans="10:10" x14ac:dyDescent="0.3">
      <c r="J89138"/>
    </row>
    <row r="89139" spans="10:10" x14ac:dyDescent="0.3">
      <c r="J89139"/>
    </row>
    <row r="89140" spans="10:10" x14ac:dyDescent="0.3">
      <c r="J89140"/>
    </row>
    <row r="89141" spans="10:10" x14ac:dyDescent="0.3">
      <c r="J89141"/>
    </row>
    <row r="89142" spans="10:10" x14ac:dyDescent="0.3">
      <c r="J89142"/>
    </row>
    <row r="89143" spans="10:10" x14ac:dyDescent="0.3">
      <c r="J89143"/>
    </row>
    <row r="89144" spans="10:10" x14ac:dyDescent="0.3">
      <c r="J89144"/>
    </row>
    <row r="89145" spans="10:10" x14ac:dyDescent="0.3">
      <c r="J89145"/>
    </row>
    <row r="89146" spans="10:10" x14ac:dyDescent="0.3">
      <c r="J89146"/>
    </row>
    <row r="89147" spans="10:10" x14ac:dyDescent="0.3">
      <c r="J89147"/>
    </row>
    <row r="89148" spans="10:10" x14ac:dyDescent="0.3">
      <c r="J89148"/>
    </row>
    <row r="89149" spans="10:10" x14ac:dyDescent="0.3">
      <c r="J89149"/>
    </row>
    <row r="89150" spans="10:10" x14ac:dyDescent="0.3">
      <c r="J89150"/>
    </row>
    <row r="89151" spans="10:10" x14ac:dyDescent="0.3">
      <c r="J89151"/>
    </row>
    <row r="89152" spans="10:10" x14ac:dyDescent="0.3">
      <c r="J89152"/>
    </row>
    <row r="89153" spans="10:10" x14ac:dyDescent="0.3">
      <c r="J89153"/>
    </row>
    <row r="89154" spans="10:10" x14ac:dyDescent="0.3">
      <c r="J89154"/>
    </row>
    <row r="89155" spans="10:10" x14ac:dyDescent="0.3">
      <c r="J89155"/>
    </row>
    <row r="89156" spans="10:10" x14ac:dyDescent="0.3">
      <c r="J89156"/>
    </row>
    <row r="89157" spans="10:10" x14ac:dyDescent="0.3">
      <c r="J89157"/>
    </row>
    <row r="89158" spans="10:10" x14ac:dyDescent="0.3">
      <c r="J89158"/>
    </row>
    <row r="89159" spans="10:10" x14ac:dyDescent="0.3">
      <c r="J89159"/>
    </row>
    <row r="89160" spans="10:10" x14ac:dyDescent="0.3">
      <c r="J89160"/>
    </row>
    <row r="89161" spans="10:10" x14ac:dyDescent="0.3">
      <c r="J89161"/>
    </row>
    <row r="89162" spans="10:10" x14ac:dyDescent="0.3">
      <c r="J89162"/>
    </row>
    <row r="89163" spans="10:10" x14ac:dyDescent="0.3">
      <c r="J89163"/>
    </row>
    <row r="89164" spans="10:10" x14ac:dyDescent="0.3">
      <c r="J89164"/>
    </row>
    <row r="89165" spans="10:10" x14ac:dyDescent="0.3">
      <c r="J89165"/>
    </row>
    <row r="89166" spans="10:10" x14ac:dyDescent="0.3">
      <c r="J89166"/>
    </row>
    <row r="89167" spans="10:10" x14ac:dyDescent="0.3">
      <c r="J89167"/>
    </row>
    <row r="89168" spans="10:10" x14ac:dyDescent="0.3">
      <c r="J89168"/>
    </row>
    <row r="89169" spans="10:10" x14ac:dyDescent="0.3">
      <c r="J89169"/>
    </row>
    <row r="89170" spans="10:10" x14ac:dyDescent="0.3">
      <c r="J89170"/>
    </row>
    <row r="89171" spans="10:10" x14ac:dyDescent="0.3">
      <c r="J89171"/>
    </row>
    <row r="89172" spans="10:10" x14ac:dyDescent="0.3">
      <c r="J89172"/>
    </row>
    <row r="89173" spans="10:10" x14ac:dyDescent="0.3">
      <c r="J89173"/>
    </row>
    <row r="89174" spans="10:10" x14ac:dyDescent="0.3">
      <c r="J89174"/>
    </row>
    <row r="89175" spans="10:10" x14ac:dyDescent="0.3">
      <c r="J89175"/>
    </row>
    <row r="89176" spans="10:10" x14ac:dyDescent="0.3">
      <c r="J89176"/>
    </row>
    <row r="89177" spans="10:10" x14ac:dyDescent="0.3">
      <c r="J89177"/>
    </row>
    <row r="89178" spans="10:10" x14ac:dyDescent="0.3">
      <c r="J89178"/>
    </row>
    <row r="89179" spans="10:10" x14ac:dyDescent="0.3">
      <c r="J89179"/>
    </row>
    <row r="89180" spans="10:10" x14ac:dyDescent="0.3">
      <c r="J89180"/>
    </row>
    <row r="89181" spans="10:10" x14ac:dyDescent="0.3">
      <c r="J89181"/>
    </row>
    <row r="89182" spans="10:10" x14ac:dyDescent="0.3">
      <c r="J89182"/>
    </row>
    <row r="89183" spans="10:10" x14ac:dyDescent="0.3">
      <c r="J89183"/>
    </row>
    <row r="89184" spans="10:10" x14ac:dyDescent="0.3">
      <c r="J89184"/>
    </row>
    <row r="89185" spans="10:10" x14ac:dyDescent="0.3">
      <c r="J89185"/>
    </row>
    <row r="89186" spans="10:10" x14ac:dyDescent="0.3">
      <c r="J89186"/>
    </row>
    <row r="89187" spans="10:10" x14ac:dyDescent="0.3">
      <c r="J89187"/>
    </row>
    <row r="89188" spans="10:10" x14ac:dyDescent="0.3">
      <c r="J89188"/>
    </row>
    <row r="89189" spans="10:10" x14ac:dyDescent="0.3">
      <c r="J89189"/>
    </row>
    <row r="89190" spans="10:10" x14ac:dyDescent="0.3">
      <c r="J89190"/>
    </row>
    <row r="89191" spans="10:10" x14ac:dyDescent="0.3">
      <c r="J89191"/>
    </row>
    <row r="89192" spans="10:10" x14ac:dyDescent="0.3">
      <c r="J89192"/>
    </row>
    <row r="89193" spans="10:10" x14ac:dyDescent="0.3">
      <c r="J89193"/>
    </row>
    <row r="89194" spans="10:10" x14ac:dyDescent="0.3">
      <c r="J89194"/>
    </row>
    <row r="89195" spans="10:10" x14ac:dyDescent="0.3">
      <c r="J89195"/>
    </row>
    <row r="89196" spans="10:10" x14ac:dyDescent="0.3">
      <c r="J89196"/>
    </row>
    <row r="89197" spans="10:10" x14ac:dyDescent="0.3">
      <c r="J89197"/>
    </row>
    <row r="89198" spans="10:10" x14ac:dyDescent="0.3">
      <c r="J89198"/>
    </row>
    <row r="89199" spans="10:10" x14ac:dyDescent="0.3">
      <c r="J89199"/>
    </row>
    <row r="89200" spans="10:10" x14ac:dyDescent="0.3">
      <c r="J89200"/>
    </row>
    <row r="89201" spans="10:10" x14ac:dyDescent="0.3">
      <c r="J89201"/>
    </row>
    <row r="89202" spans="10:10" x14ac:dyDescent="0.3">
      <c r="J89202"/>
    </row>
    <row r="89203" spans="10:10" x14ac:dyDescent="0.3">
      <c r="J89203"/>
    </row>
    <row r="89204" spans="10:10" x14ac:dyDescent="0.3">
      <c r="J89204"/>
    </row>
    <row r="89205" spans="10:10" x14ac:dyDescent="0.3">
      <c r="J89205"/>
    </row>
    <row r="89206" spans="10:10" x14ac:dyDescent="0.3">
      <c r="J89206"/>
    </row>
    <row r="89207" spans="10:10" x14ac:dyDescent="0.3">
      <c r="J89207"/>
    </row>
    <row r="89208" spans="10:10" x14ac:dyDescent="0.3">
      <c r="J89208"/>
    </row>
    <row r="89209" spans="10:10" x14ac:dyDescent="0.3">
      <c r="J89209"/>
    </row>
    <row r="89210" spans="10:10" x14ac:dyDescent="0.3">
      <c r="J89210"/>
    </row>
    <row r="89211" spans="10:10" x14ac:dyDescent="0.3">
      <c r="J89211"/>
    </row>
    <row r="89212" spans="10:10" x14ac:dyDescent="0.3">
      <c r="J89212"/>
    </row>
    <row r="89213" spans="10:10" x14ac:dyDescent="0.3">
      <c r="J89213"/>
    </row>
    <row r="89214" spans="10:10" x14ac:dyDescent="0.3">
      <c r="J89214"/>
    </row>
    <row r="89215" spans="10:10" x14ac:dyDescent="0.3">
      <c r="J89215"/>
    </row>
    <row r="89216" spans="10:10" x14ac:dyDescent="0.3">
      <c r="J89216"/>
    </row>
    <row r="89217" spans="10:10" x14ac:dyDescent="0.3">
      <c r="J89217"/>
    </row>
    <row r="89218" spans="10:10" x14ac:dyDescent="0.3">
      <c r="J89218"/>
    </row>
    <row r="89219" spans="10:10" x14ac:dyDescent="0.3">
      <c r="J89219"/>
    </row>
    <row r="89220" spans="10:10" x14ac:dyDescent="0.3">
      <c r="J89220"/>
    </row>
    <row r="89221" spans="10:10" x14ac:dyDescent="0.3">
      <c r="J89221"/>
    </row>
    <row r="89222" spans="10:10" x14ac:dyDescent="0.3">
      <c r="J89222"/>
    </row>
    <row r="89223" spans="10:10" x14ac:dyDescent="0.3">
      <c r="J89223"/>
    </row>
    <row r="89224" spans="10:10" x14ac:dyDescent="0.3">
      <c r="J89224"/>
    </row>
    <row r="89225" spans="10:10" x14ac:dyDescent="0.3">
      <c r="J89225"/>
    </row>
    <row r="89226" spans="10:10" x14ac:dyDescent="0.3">
      <c r="J89226"/>
    </row>
    <row r="89227" spans="10:10" x14ac:dyDescent="0.3">
      <c r="J89227"/>
    </row>
    <row r="89228" spans="10:10" x14ac:dyDescent="0.3">
      <c r="J89228"/>
    </row>
    <row r="89229" spans="10:10" x14ac:dyDescent="0.3">
      <c r="J89229"/>
    </row>
    <row r="89230" spans="10:10" x14ac:dyDescent="0.3">
      <c r="J89230"/>
    </row>
    <row r="89231" spans="10:10" x14ac:dyDescent="0.3">
      <c r="J89231"/>
    </row>
    <row r="89232" spans="10:10" x14ac:dyDescent="0.3">
      <c r="J89232"/>
    </row>
    <row r="89233" spans="10:10" x14ac:dyDescent="0.3">
      <c r="J89233"/>
    </row>
    <row r="89234" spans="10:10" x14ac:dyDescent="0.3">
      <c r="J89234"/>
    </row>
    <row r="89235" spans="10:10" x14ac:dyDescent="0.3">
      <c r="J89235"/>
    </row>
    <row r="89236" spans="10:10" x14ac:dyDescent="0.3">
      <c r="J89236"/>
    </row>
    <row r="89237" spans="10:10" x14ac:dyDescent="0.3">
      <c r="J89237"/>
    </row>
    <row r="89238" spans="10:10" x14ac:dyDescent="0.3">
      <c r="J89238"/>
    </row>
    <row r="89239" spans="10:10" x14ac:dyDescent="0.3">
      <c r="J89239"/>
    </row>
    <row r="89240" spans="10:10" x14ac:dyDescent="0.3">
      <c r="J89240"/>
    </row>
    <row r="89241" spans="10:10" x14ac:dyDescent="0.3">
      <c r="J89241"/>
    </row>
    <row r="89242" spans="10:10" x14ac:dyDescent="0.3">
      <c r="J89242"/>
    </row>
    <row r="89243" spans="10:10" x14ac:dyDescent="0.3">
      <c r="J89243"/>
    </row>
    <row r="89244" spans="10:10" x14ac:dyDescent="0.3">
      <c r="J89244"/>
    </row>
    <row r="89245" spans="10:10" x14ac:dyDescent="0.3">
      <c r="J89245"/>
    </row>
    <row r="89246" spans="10:10" x14ac:dyDescent="0.3">
      <c r="J89246"/>
    </row>
    <row r="89247" spans="10:10" x14ac:dyDescent="0.3">
      <c r="J89247"/>
    </row>
    <row r="89248" spans="10:10" x14ac:dyDescent="0.3">
      <c r="J89248"/>
    </row>
    <row r="89249" spans="10:10" x14ac:dyDescent="0.3">
      <c r="J89249"/>
    </row>
    <row r="89250" spans="10:10" x14ac:dyDescent="0.3">
      <c r="J89250"/>
    </row>
    <row r="89251" spans="10:10" x14ac:dyDescent="0.3">
      <c r="J89251"/>
    </row>
    <row r="89252" spans="10:10" x14ac:dyDescent="0.3">
      <c r="J89252"/>
    </row>
    <row r="89253" spans="10:10" x14ac:dyDescent="0.3">
      <c r="J89253"/>
    </row>
    <row r="89254" spans="10:10" x14ac:dyDescent="0.3">
      <c r="J89254"/>
    </row>
    <row r="89255" spans="10:10" x14ac:dyDescent="0.3">
      <c r="J89255"/>
    </row>
    <row r="89256" spans="10:10" x14ac:dyDescent="0.3">
      <c r="J89256"/>
    </row>
    <row r="89257" spans="10:10" x14ac:dyDescent="0.3">
      <c r="J89257"/>
    </row>
    <row r="89258" spans="10:10" x14ac:dyDescent="0.3">
      <c r="J89258"/>
    </row>
    <row r="89259" spans="10:10" x14ac:dyDescent="0.3">
      <c r="J89259"/>
    </row>
    <row r="89260" spans="10:10" x14ac:dyDescent="0.3">
      <c r="J89260"/>
    </row>
    <row r="89261" spans="10:10" x14ac:dyDescent="0.3">
      <c r="J89261"/>
    </row>
    <row r="89262" spans="10:10" x14ac:dyDescent="0.3">
      <c r="J89262"/>
    </row>
    <row r="89263" spans="10:10" x14ac:dyDescent="0.3">
      <c r="J89263"/>
    </row>
    <row r="89264" spans="10:10" x14ac:dyDescent="0.3">
      <c r="J89264"/>
    </row>
    <row r="89265" spans="10:10" x14ac:dyDescent="0.3">
      <c r="J89265"/>
    </row>
    <row r="89266" spans="10:10" x14ac:dyDescent="0.3">
      <c r="J89266"/>
    </row>
    <row r="89267" spans="10:10" x14ac:dyDescent="0.3">
      <c r="J89267"/>
    </row>
    <row r="89268" spans="10:10" x14ac:dyDescent="0.3">
      <c r="J89268"/>
    </row>
    <row r="89269" spans="10:10" x14ac:dyDescent="0.3">
      <c r="J89269"/>
    </row>
    <row r="89270" spans="10:10" x14ac:dyDescent="0.3">
      <c r="J89270"/>
    </row>
    <row r="89271" spans="10:10" x14ac:dyDescent="0.3">
      <c r="J89271"/>
    </row>
    <row r="89272" spans="10:10" x14ac:dyDescent="0.3">
      <c r="J89272"/>
    </row>
    <row r="89273" spans="10:10" x14ac:dyDescent="0.3">
      <c r="J89273"/>
    </row>
    <row r="89274" spans="10:10" x14ac:dyDescent="0.3">
      <c r="J89274"/>
    </row>
    <row r="89275" spans="10:10" x14ac:dyDescent="0.3">
      <c r="J89275"/>
    </row>
    <row r="89276" spans="10:10" x14ac:dyDescent="0.3">
      <c r="J89276"/>
    </row>
    <row r="89277" spans="10:10" x14ac:dyDescent="0.3">
      <c r="J89277"/>
    </row>
    <row r="89278" spans="10:10" x14ac:dyDescent="0.3">
      <c r="J89278"/>
    </row>
    <row r="89279" spans="10:10" x14ac:dyDescent="0.3">
      <c r="J89279"/>
    </row>
    <row r="89280" spans="10:10" x14ac:dyDescent="0.3">
      <c r="J89280"/>
    </row>
    <row r="89281" spans="10:10" x14ac:dyDescent="0.3">
      <c r="J89281"/>
    </row>
    <row r="89282" spans="10:10" x14ac:dyDescent="0.3">
      <c r="J89282"/>
    </row>
    <row r="89283" spans="10:10" x14ac:dyDescent="0.3">
      <c r="J89283"/>
    </row>
    <row r="89284" spans="10:10" x14ac:dyDescent="0.3">
      <c r="J89284"/>
    </row>
    <row r="89285" spans="10:10" x14ac:dyDescent="0.3">
      <c r="J89285"/>
    </row>
    <row r="89286" spans="10:10" x14ac:dyDescent="0.3">
      <c r="J89286"/>
    </row>
    <row r="89287" spans="10:10" x14ac:dyDescent="0.3">
      <c r="J89287"/>
    </row>
    <row r="89288" spans="10:10" x14ac:dyDescent="0.3">
      <c r="J89288"/>
    </row>
    <row r="89289" spans="10:10" x14ac:dyDescent="0.3">
      <c r="J89289"/>
    </row>
    <row r="89290" spans="10:10" x14ac:dyDescent="0.3">
      <c r="J89290"/>
    </row>
    <row r="89291" spans="10:10" x14ac:dyDescent="0.3">
      <c r="J89291"/>
    </row>
    <row r="89292" spans="10:10" x14ac:dyDescent="0.3">
      <c r="J89292"/>
    </row>
    <row r="89293" spans="10:10" x14ac:dyDescent="0.3">
      <c r="J89293"/>
    </row>
    <row r="89294" spans="10:10" x14ac:dyDescent="0.3">
      <c r="J89294"/>
    </row>
    <row r="89295" spans="10:10" x14ac:dyDescent="0.3">
      <c r="J89295"/>
    </row>
    <row r="89296" spans="10:10" x14ac:dyDescent="0.3">
      <c r="J89296"/>
    </row>
    <row r="89297" spans="10:10" x14ac:dyDescent="0.3">
      <c r="J89297"/>
    </row>
    <row r="89298" spans="10:10" x14ac:dyDescent="0.3">
      <c r="J89298"/>
    </row>
    <row r="89299" spans="10:10" x14ac:dyDescent="0.3">
      <c r="J89299"/>
    </row>
    <row r="89300" spans="10:10" x14ac:dyDescent="0.3">
      <c r="J89300"/>
    </row>
    <row r="89301" spans="10:10" x14ac:dyDescent="0.3">
      <c r="J89301"/>
    </row>
    <row r="89302" spans="10:10" x14ac:dyDescent="0.3">
      <c r="J89302"/>
    </row>
    <row r="89303" spans="10:10" x14ac:dyDescent="0.3">
      <c r="J89303"/>
    </row>
    <row r="89304" spans="10:10" x14ac:dyDescent="0.3">
      <c r="J89304"/>
    </row>
    <row r="89305" spans="10:10" x14ac:dyDescent="0.3">
      <c r="J89305"/>
    </row>
    <row r="89306" spans="10:10" x14ac:dyDescent="0.3">
      <c r="J89306"/>
    </row>
    <row r="89307" spans="10:10" x14ac:dyDescent="0.3">
      <c r="J89307"/>
    </row>
    <row r="89308" spans="10:10" x14ac:dyDescent="0.3">
      <c r="J89308"/>
    </row>
    <row r="89309" spans="10:10" x14ac:dyDescent="0.3">
      <c r="J89309"/>
    </row>
    <row r="89310" spans="10:10" x14ac:dyDescent="0.3">
      <c r="J89310"/>
    </row>
    <row r="89311" spans="10:10" x14ac:dyDescent="0.3">
      <c r="J89311"/>
    </row>
    <row r="89312" spans="10:10" x14ac:dyDescent="0.3">
      <c r="J89312"/>
    </row>
    <row r="89313" spans="10:10" x14ac:dyDescent="0.3">
      <c r="J89313"/>
    </row>
    <row r="89314" spans="10:10" x14ac:dyDescent="0.3">
      <c r="J89314"/>
    </row>
    <row r="89315" spans="10:10" x14ac:dyDescent="0.3">
      <c r="J89315"/>
    </row>
    <row r="89316" spans="10:10" x14ac:dyDescent="0.3">
      <c r="J89316"/>
    </row>
    <row r="89317" spans="10:10" x14ac:dyDescent="0.3">
      <c r="J89317"/>
    </row>
    <row r="89318" spans="10:10" x14ac:dyDescent="0.3">
      <c r="J89318"/>
    </row>
    <row r="89319" spans="10:10" x14ac:dyDescent="0.3">
      <c r="J89319"/>
    </row>
    <row r="89320" spans="10:10" x14ac:dyDescent="0.3">
      <c r="J89320"/>
    </row>
    <row r="89321" spans="10:10" x14ac:dyDescent="0.3">
      <c r="J89321"/>
    </row>
    <row r="89322" spans="10:10" x14ac:dyDescent="0.3">
      <c r="J89322"/>
    </row>
    <row r="89323" spans="10:10" x14ac:dyDescent="0.3">
      <c r="J89323"/>
    </row>
    <row r="89324" spans="10:10" x14ac:dyDescent="0.3">
      <c r="J89324"/>
    </row>
    <row r="89325" spans="10:10" x14ac:dyDescent="0.3">
      <c r="J89325"/>
    </row>
    <row r="89326" spans="10:10" x14ac:dyDescent="0.3">
      <c r="J89326"/>
    </row>
    <row r="89327" spans="10:10" x14ac:dyDescent="0.3">
      <c r="J89327"/>
    </row>
    <row r="89328" spans="10:10" x14ac:dyDescent="0.3">
      <c r="J89328"/>
    </row>
    <row r="89329" spans="10:10" x14ac:dyDescent="0.3">
      <c r="J89329"/>
    </row>
    <row r="89330" spans="10:10" x14ac:dyDescent="0.3">
      <c r="J89330"/>
    </row>
    <row r="89331" spans="10:10" x14ac:dyDescent="0.3">
      <c r="J89331"/>
    </row>
    <row r="89332" spans="10:10" x14ac:dyDescent="0.3">
      <c r="J89332"/>
    </row>
    <row r="89333" spans="10:10" x14ac:dyDescent="0.3">
      <c r="J89333"/>
    </row>
    <row r="89334" spans="10:10" x14ac:dyDescent="0.3">
      <c r="J89334"/>
    </row>
    <row r="89335" spans="10:10" x14ac:dyDescent="0.3">
      <c r="J89335"/>
    </row>
    <row r="89336" spans="10:10" x14ac:dyDescent="0.3">
      <c r="J89336"/>
    </row>
    <row r="89337" spans="10:10" x14ac:dyDescent="0.3">
      <c r="J89337"/>
    </row>
    <row r="89338" spans="10:10" x14ac:dyDescent="0.3">
      <c r="J89338"/>
    </row>
    <row r="89339" spans="10:10" x14ac:dyDescent="0.3">
      <c r="J89339"/>
    </row>
    <row r="89340" spans="10:10" x14ac:dyDescent="0.3">
      <c r="J89340"/>
    </row>
    <row r="89341" spans="10:10" x14ac:dyDescent="0.3">
      <c r="J89341"/>
    </row>
    <row r="89342" spans="10:10" x14ac:dyDescent="0.3">
      <c r="J89342"/>
    </row>
    <row r="89343" spans="10:10" x14ac:dyDescent="0.3">
      <c r="J89343"/>
    </row>
    <row r="89344" spans="10:10" x14ac:dyDescent="0.3">
      <c r="J89344"/>
    </row>
    <row r="89345" spans="10:10" x14ac:dyDescent="0.3">
      <c r="J89345"/>
    </row>
    <row r="89346" spans="10:10" x14ac:dyDescent="0.3">
      <c r="J89346"/>
    </row>
    <row r="89347" spans="10:10" x14ac:dyDescent="0.3">
      <c r="J89347"/>
    </row>
    <row r="89348" spans="10:10" x14ac:dyDescent="0.3">
      <c r="J89348"/>
    </row>
    <row r="89349" spans="10:10" x14ac:dyDescent="0.3">
      <c r="J89349"/>
    </row>
    <row r="89350" spans="10:10" x14ac:dyDescent="0.3">
      <c r="J89350"/>
    </row>
    <row r="89351" spans="10:10" x14ac:dyDescent="0.3">
      <c r="J89351"/>
    </row>
    <row r="89352" spans="10:10" x14ac:dyDescent="0.3">
      <c r="J89352"/>
    </row>
    <row r="89353" spans="10:10" x14ac:dyDescent="0.3">
      <c r="J89353"/>
    </row>
    <row r="89354" spans="10:10" x14ac:dyDescent="0.3">
      <c r="J89354"/>
    </row>
    <row r="89355" spans="10:10" x14ac:dyDescent="0.3">
      <c r="J89355"/>
    </row>
    <row r="89356" spans="10:10" x14ac:dyDescent="0.3">
      <c r="J89356"/>
    </row>
    <row r="89357" spans="10:10" x14ac:dyDescent="0.3">
      <c r="J89357"/>
    </row>
    <row r="89358" spans="10:10" x14ac:dyDescent="0.3">
      <c r="J89358"/>
    </row>
    <row r="89359" spans="10:10" x14ac:dyDescent="0.3">
      <c r="J89359"/>
    </row>
    <row r="89360" spans="10:10" x14ac:dyDescent="0.3">
      <c r="J89360"/>
    </row>
    <row r="89361" spans="10:10" x14ac:dyDescent="0.3">
      <c r="J89361"/>
    </row>
    <row r="89362" spans="10:10" x14ac:dyDescent="0.3">
      <c r="J89362"/>
    </row>
    <row r="89363" spans="10:10" x14ac:dyDescent="0.3">
      <c r="J89363"/>
    </row>
    <row r="89364" spans="10:10" x14ac:dyDescent="0.3">
      <c r="J89364"/>
    </row>
    <row r="89365" spans="10:10" x14ac:dyDescent="0.3">
      <c r="J89365"/>
    </row>
    <row r="89366" spans="10:10" x14ac:dyDescent="0.3">
      <c r="J89366"/>
    </row>
    <row r="89367" spans="10:10" x14ac:dyDescent="0.3">
      <c r="J89367"/>
    </row>
    <row r="89368" spans="10:10" x14ac:dyDescent="0.3">
      <c r="J89368"/>
    </row>
    <row r="89369" spans="10:10" x14ac:dyDescent="0.3">
      <c r="J89369"/>
    </row>
    <row r="89370" spans="10:10" x14ac:dyDescent="0.3">
      <c r="J89370"/>
    </row>
    <row r="89371" spans="10:10" x14ac:dyDescent="0.3">
      <c r="J89371"/>
    </row>
    <row r="89372" spans="10:10" x14ac:dyDescent="0.3">
      <c r="J89372"/>
    </row>
    <row r="89373" spans="10:10" x14ac:dyDescent="0.3">
      <c r="J89373"/>
    </row>
    <row r="89374" spans="10:10" x14ac:dyDescent="0.3">
      <c r="J89374"/>
    </row>
    <row r="89375" spans="10:10" x14ac:dyDescent="0.3">
      <c r="J89375"/>
    </row>
    <row r="89376" spans="10:10" x14ac:dyDescent="0.3">
      <c r="J89376"/>
    </row>
    <row r="89377" spans="10:10" x14ac:dyDescent="0.3">
      <c r="J89377"/>
    </row>
    <row r="89378" spans="10:10" x14ac:dyDescent="0.3">
      <c r="J89378"/>
    </row>
    <row r="89379" spans="10:10" x14ac:dyDescent="0.3">
      <c r="J89379"/>
    </row>
    <row r="89380" spans="10:10" x14ac:dyDescent="0.3">
      <c r="J89380"/>
    </row>
    <row r="89381" spans="10:10" x14ac:dyDescent="0.3">
      <c r="J89381"/>
    </row>
    <row r="89382" spans="10:10" x14ac:dyDescent="0.3">
      <c r="J89382"/>
    </row>
    <row r="89383" spans="10:10" x14ac:dyDescent="0.3">
      <c r="J89383"/>
    </row>
    <row r="89384" spans="10:10" x14ac:dyDescent="0.3">
      <c r="J89384"/>
    </row>
    <row r="89385" spans="10:10" x14ac:dyDescent="0.3">
      <c r="J89385"/>
    </row>
    <row r="89386" spans="10:10" x14ac:dyDescent="0.3">
      <c r="J89386"/>
    </row>
    <row r="89387" spans="10:10" x14ac:dyDescent="0.3">
      <c r="J89387"/>
    </row>
    <row r="89388" spans="10:10" x14ac:dyDescent="0.3">
      <c r="J89388"/>
    </row>
    <row r="89389" spans="10:10" x14ac:dyDescent="0.3">
      <c r="J89389"/>
    </row>
    <row r="89390" spans="10:10" x14ac:dyDescent="0.3">
      <c r="J89390"/>
    </row>
    <row r="89391" spans="10:10" x14ac:dyDescent="0.3">
      <c r="J89391"/>
    </row>
    <row r="89392" spans="10:10" x14ac:dyDescent="0.3">
      <c r="J89392"/>
    </row>
    <row r="89393" spans="10:10" x14ac:dyDescent="0.3">
      <c r="J89393"/>
    </row>
    <row r="89394" spans="10:10" x14ac:dyDescent="0.3">
      <c r="J89394"/>
    </row>
    <row r="89395" spans="10:10" x14ac:dyDescent="0.3">
      <c r="J89395"/>
    </row>
    <row r="89396" spans="10:10" x14ac:dyDescent="0.3">
      <c r="J89396"/>
    </row>
    <row r="89397" spans="10:10" x14ac:dyDescent="0.3">
      <c r="J89397"/>
    </row>
    <row r="89398" spans="10:10" x14ac:dyDescent="0.3">
      <c r="J89398"/>
    </row>
    <row r="89399" spans="10:10" x14ac:dyDescent="0.3">
      <c r="J89399"/>
    </row>
    <row r="89400" spans="10:10" x14ac:dyDescent="0.3">
      <c r="J89400"/>
    </row>
    <row r="89401" spans="10:10" x14ac:dyDescent="0.3">
      <c r="J89401"/>
    </row>
    <row r="89402" spans="10:10" x14ac:dyDescent="0.3">
      <c r="J89402"/>
    </row>
    <row r="89403" spans="10:10" x14ac:dyDescent="0.3">
      <c r="J89403"/>
    </row>
    <row r="89404" spans="10:10" x14ac:dyDescent="0.3">
      <c r="J89404"/>
    </row>
    <row r="89405" spans="10:10" x14ac:dyDescent="0.3">
      <c r="J89405"/>
    </row>
    <row r="89406" spans="10:10" x14ac:dyDescent="0.3">
      <c r="J89406"/>
    </row>
    <row r="89407" spans="10:10" x14ac:dyDescent="0.3">
      <c r="J89407"/>
    </row>
    <row r="89408" spans="10:10" x14ac:dyDescent="0.3">
      <c r="J89408"/>
    </row>
    <row r="89409" spans="10:10" x14ac:dyDescent="0.3">
      <c r="J89409"/>
    </row>
    <row r="89410" spans="10:10" x14ac:dyDescent="0.3">
      <c r="J89410"/>
    </row>
    <row r="89411" spans="10:10" x14ac:dyDescent="0.3">
      <c r="J89411"/>
    </row>
    <row r="89412" spans="10:10" x14ac:dyDescent="0.3">
      <c r="J89412"/>
    </row>
    <row r="89413" spans="10:10" x14ac:dyDescent="0.3">
      <c r="J89413"/>
    </row>
    <row r="89414" spans="10:10" x14ac:dyDescent="0.3">
      <c r="J89414"/>
    </row>
    <row r="89415" spans="10:10" x14ac:dyDescent="0.3">
      <c r="J89415"/>
    </row>
    <row r="89416" spans="10:10" x14ac:dyDescent="0.3">
      <c r="J89416"/>
    </row>
    <row r="89417" spans="10:10" x14ac:dyDescent="0.3">
      <c r="J89417"/>
    </row>
    <row r="89418" spans="10:10" x14ac:dyDescent="0.3">
      <c r="J89418"/>
    </row>
    <row r="89419" spans="10:10" x14ac:dyDescent="0.3">
      <c r="J89419"/>
    </row>
    <row r="89420" spans="10:10" x14ac:dyDescent="0.3">
      <c r="J89420"/>
    </row>
    <row r="89421" spans="10:10" x14ac:dyDescent="0.3">
      <c r="J89421"/>
    </row>
    <row r="89422" spans="10:10" x14ac:dyDescent="0.3">
      <c r="J89422"/>
    </row>
    <row r="89423" spans="10:10" x14ac:dyDescent="0.3">
      <c r="J89423"/>
    </row>
    <row r="89424" spans="10:10" x14ac:dyDescent="0.3">
      <c r="J89424"/>
    </row>
    <row r="89425" spans="10:10" x14ac:dyDescent="0.3">
      <c r="J89425"/>
    </row>
    <row r="89426" spans="10:10" x14ac:dyDescent="0.3">
      <c r="J89426"/>
    </row>
    <row r="89427" spans="10:10" x14ac:dyDescent="0.3">
      <c r="J89427"/>
    </row>
    <row r="89428" spans="10:10" x14ac:dyDescent="0.3">
      <c r="J89428"/>
    </row>
    <row r="89429" spans="10:10" x14ac:dyDescent="0.3">
      <c r="J89429"/>
    </row>
    <row r="89430" spans="10:10" x14ac:dyDescent="0.3">
      <c r="J89430"/>
    </row>
    <row r="89431" spans="10:10" x14ac:dyDescent="0.3">
      <c r="J89431"/>
    </row>
    <row r="89432" spans="10:10" x14ac:dyDescent="0.3">
      <c r="J89432"/>
    </row>
    <row r="89433" spans="10:10" x14ac:dyDescent="0.3">
      <c r="J89433"/>
    </row>
    <row r="89434" spans="10:10" x14ac:dyDescent="0.3">
      <c r="J89434"/>
    </row>
    <row r="89435" spans="10:10" x14ac:dyDescent="0.3">
      <c r="J89435"/>
    </row>
    <row r="89436" spans="10:10" x14ac:dyDescent="0.3">
      <c r="J89436"/>
    </row>
    <row r="89437" spans="10:10" x14ac:dyDescent="0.3">
      <c r="J89437"/>
    </row>
    <row r="89438" spans="10:10" x14ac:dyDescent="0.3">
      <c r="J89438"/>
    </row>
    <row r="89439" spans="10:10" x14ac:dyDescent="0.3">
      <c r="J89439"/>
    </row>
    <row r="89440" spans="10:10" x14ac:dyDescent="0.3">
      <c r="J89440"/>
    </row>
    <row r="89441" spans="10:10" x14ac:dyDescent="0.3">
      <c r="J89441"/>
    </row>
    <row r="89442" spans="10:10" x14ac:dyDescent="0.3">
      <c r="J89442"/>
    </row>
    <row r="89443" spans="10:10" x14ac:dyDescent="0.3">
      <c r="J89443"/>
    </row>
    <row r="89444" spans="10:10" x14ac:dyDescent="0.3">
      <c r="J89444"/>
    </row>
    <row r="89445" spans="10:10" x14ac:dyDescent="0.3">
      <c r="J89445"/>
    </row>
    <row r="89446" spans="10:10" x14ac:dyDescent="0.3">
      <c r="J89446"/>
    </row>
    <row r="89447" spans="10:10" x14ac:dyDescent="0.3">
      <c r="J89447"/>
    </row>
    <row r="89448" spans="10:10" x14ac:dyDescent="0.3">
      <c r="J89448"/>
    </row>
    <row r="89449" spans="10:10" x14ac:dyDescent="0.3">
      <c r="J89449"/>
    </row>
    <row r="89450" spans="10:10" x14ac:dyDescent="0.3">
      <c r="J89450"/>
    </row>
    <row r="89451" spans="10:10" x14ac:dyDescent="0.3">
      <c r="J89451"/>
    </row>
    <row r="89452" spans="10:10" x14ac:dyDescent="0.3">
      <c r="J89452"/>
    </row>
    <row r="89453" spans="10:10" x14ac:dyDescent="0.3">
      <c r="J89453"/>
    </row>
    <row r="89454" spans="10:10" x14ac:dyDescent="0.3">
      <c r="J89454"/>
    </row>
    <row r="89455" spans="10:10" x14ac:dyDescent="0.3">
      <c r="J89455"/>
    </row>
    <row r="89456" spans="10:10" x14ac:dyDescent="0.3">
      <c r="J89456"/>
    </row>
    <row r="89457" spans="10:10" x14ac:dyDescent="0.3">
      <c r="J89457"/>
    </row>
    <row r="89458" spans="10:10" x14ac:dyDescent="0.3">
      <c r="J89458"/>
    </row>
    <row r="89459" spans="10:10" x14ac:dyDescent="0.3">
      <c r="J89459"/>
    </row>
    <row r="89460" spans="10:10" x14ac:dyDescent="0.3">
      <c r="J89460"/>
    </row>
    <row r="89461" spans="10:10" x14ac:dyDescent="0.3">
      <c r="J89461"/>
    </row>
    <row r="89462" spans="10:10" x14ac:dyDescent="0.3">
      <c r="J89462"/>
    </row>
    <row r="89463" spans="10:10" x14ac:dyDescent="0.3">
      <c r="J89463"/>
    </row>
    <row r="89464" spans="10:10" x14ac:dyDescent="0.3">
      <c r="J89464"/>
    </row>
    <row r="89465" spans="10:10" x14ac:dyDescent="0.3">
      <c r="J89465"/>
    </row>
    <row r="89466" spans="10:10" x14ac:dyDescent="0.3">
      <c r="J89466"/>
    </row>
    <row r="89467" spans="10:10" x14ac:dyDescent="0.3">
      <c r="J89467"/>
    </row>
    <row r="89468" spans="10:10" x14ac:dyDescent="0.3">
      <c r="J89468"/>
    </row>
    <row r="89469" spans="10:10" x14ac:dyDescent="0.3">
      <c r="J89469"/>
    </row>
    <row r="89470" spans="10:10" x14ac:dyDescent="0.3">
      <c r="J89470"/>
    </row>
    <row r="89471" spans="10:10" x14ac:dyDescent="0.3">
      <c r="J89471"/>
    </row>
    <row r="89472" spans="10:10" x14ac:dyDescent="0.3">
      <c r="J89472"/>
    </row>
    <row r="89473" spans="10:10" x14ac:dyDescent="0.3">
      <c r="J89473"/>
    </row>
    <row r="89474" spans="10:10" x14ac:dyDescent="0.3">
      <c r="J89474"/>
    </row>
    <row r="89475" spans="10:10" x14ac:dyDescent="0.3">
      <c r="J89475"/>
    </row>
    <row r="89476" spans="10:10" x14ac:dyDescent="0.3">
      <c r="J89476"/>
    </row>
    <row r="89477" spans="10:10" x14ac:dyDescent="0.3">
      <c r="J89477"/>
    </row>
    <row r="89478" spans="10:10" x14ac:dyDescent="0.3">
      <c r="J89478"/>
    </row>
    <row r="89479" spans="10:10" x14ac:dyDescent="0.3">
      <c r="J89479"/>
    </row>
    <row r="89480" spans="10:10" x14ac:dyDescent="0.3">
      <c r="J89480"/>
    </row>
    <row r="89481" spans="10:10" x14ac:dyDescent="0.3">
      <c r="J89481"/>
    </row>
    <row r="89482" spans="10:10" x14ac:dyDescent="0.3">
      <c r="J89482"/>
    </row>
    <row r="89483" spans="10:10" x14ac:dyDescent="0.3">
      <c r="J89483"/>
    </row>
    <row r="89484" spans="10:10" x14ac:dyDescent="0.3">
      <c r="J89484"/>
    </row>
    <row r="89485" spans="10:10" x14ac:dyDescent="0.3">
      <c r="J89485"/>
    </row>
    <row r="89486" spans="10:10" x14ac:dyDescent="0.3">
      <c r="J89486"/>
    </row>
    <row r="89487" spans="10:10" x14ac:dyDescent="0.3">
      <c r="J89487"/>
    </row>
    <row r="89488" spans="10:10" x14ac:dyDescent="0.3">
      <c r="J89488"/>
    </row>
    <row r="89489" spans="10:10" x14ac:dyDescent="0.3">
      <c r="J89489"/>
    </row>
    <row r="89490" spans="10:10" x14ac:dyDescent="0.3">
      <c r="J89490"/>
    </row>
    <row r="89491" spans="10:10" x14ac:dyDescent="0.3">
      <c r="J89491"/>
    </row>
    <row r="89492" spans="10:10" x14ac:dyDescent="0.3">
      <c r="J89492"/>
    </row>
    <row r="89493" spans="10:10" x14ac:dyDescent="0.3">
      <c r="J89493"/>
    </row>
    <row r="89494" spans="10:10" x14ac:dyDescent="0.3">
      <c r="J89494"/>
    </row>
    <row r="89495" spans="10:10" x14ac:dyDescent="0.3">
      <c r="J89495"/>
    </row>
    <row r="89496" spans="10:10" x14ac:dyDescent="0.3">
      <c r="J89496"/>
    </row>
    <row r="89497" spans="10:10" x14ac:dyDescent="0.3">
      <c r="J89497"/>
    </row>
    <row r="89498" spans="10:10" x14ac:dyDescent="0.3">
      <c r="J89498"/>
    </row>
    <row r="89499" spans="10:10" x14ac:dyDescent="0.3">
      <c r="J89499"/>
    </row>
    <row r="89500" spans="10:10" x14ac:dyDescent="0.3">
      <c r="J89500"/>
    </row>
    <row r="89501" spans="10:10" x14ac:dyDescent="0.3">
      <c r="J89501"/>
    </row>
    <row r="89502" spans="10:10" x14ac:dyDescent="0.3">
      <c r="J89502"/>
    </row>
    <row r="89503" spans="10:10" x14ac:dyDescent="0.3">
      <c r="J89503"/>
    </row>
    <row r="89504" spans="10:10" x14ac:dyDescent="0.3">
      <c r="J89504"/>
    </row>
    <row r="89505" spans="10:10" x14ac:dyDescent="0.3">
      <c r="J89505"/>
    </row>
    <row r="89506" spans="10:10" x14ac:dyDescent="0.3">
      <c r="J89506"/>
    </row>
    <row r="89507" spans="10:10" x14ac:dyDescent="0.3">
      <c r="J89507"/>
    </row>
    <row r="89508" spans="10:10" x14ac:dyDescent="0.3">
      <c r="J89508"/>
    </row>
    <row r="89509" spans="10:10" x14ac:dyDescent="0.3">
      <c r="J89509"/>
    </row>
    <row r="89510" spans="10:10" x14ac:dyDescent="0.3">
      <c r="J89510"/>
    </row>
    <row r="89511" spans="10:10" x14ac:dyDescent="0.3">
      <c r="J89511"/>
    </row>
    <row r="89512" spans="10:10" x14ac:dyDescent="0.3">
      <c r="J89512"/>
    </row>
    <row r="89513" spans="10:10" x14ac:dyDescent="0.3">
      <c r="J89513"/>
    </row>
    <row r="89514" spans="10:10" x14ac:dyDescent="0.3">
      <c r="J89514"/>
    </row>
    <row r="89515" spans="10:10" x14ac:dyDescent="0.3">
      <c r="J89515"/>
    </row>
    <row r="89516" spans="10:10" x14ac:dyDescent="0.3">
      <c r="J89516"/>
    </row>
    <row r="89517" spans="10:10" x14ac:dyDescent="0.3">
      <c r="J89517"/>
    </row>
    <row r="89518" spans="10:10" x14ac:dyDescent="0.3">
      <c r="J89518"/>
    </row>
    <row r="89519" spans="10:10" x14ac:dyDescent="0.3">
      <c r="J89519"/>
    </row>
    <row r="89520" spans="10:10" x14ac:dyDescent="0.3">
      <c r="J89520"/>
    </row>
    <row r="89521" spans="10:10" x14ac:dyDescent="0.3">
      <c r="J89521"/>
    </row>
    <row r="89522" spans="10:10" x14ac:dyDescent="0.3">
      <c r="J89522"/>
    </row>
    <row r="89523" spans="10:10" x14ac:dyDescent="0.3">
      <c r="J89523"/>
    </row>
    <row r="89524" spans="10:10" x14ac:dyDescent="0.3">
      <c r="J89524"/>
    </row>
    <row r="89525" spans="10:10" x14ac:dyDescent="0.3">
      <c r="J89525"/>
    </row>
    <row r="89526" spans="10:10" x14ac:dyDescent="0.3">
      <c r="J89526"/>
    </row>
    <row r="89527" spans="10:10" x14ac:dyDescent="0.3">
      <c r="J89527"/>
    </row>
    <row r="89528" spans="10:10" x14ac:dyDescent="0.3">
      <c r="J89528"/>
    </row>
    <row r="89529" spans="10:10" x14ac:dyDescent="0.3">
      <c r="J89529"/>
    </row>
    <row r="89530" spans="10:10" x14ac:dyDescent="0.3">
      <c r="J89530"/>
    </row>
    <row r="89531" spans="10:10" x14ac:dyDescent="0.3">
      <c r="J89531"/>
    </row>
    <row r="89532" spans="10:10" x14ac:dyDescent="0.3">
      <c r="J89532"/>
    </row>
    <row r="89533" spans="10:10" x14ac:dyDescent="0.3">
      <c r="J89533"/>
    </row>
    <row r="89534" spans="10:10" x14ac:dyDescent="0.3">
      <c r="J89534"/>
    </row>
    <row r="89535" spans="10:10" x14ac:dyDescent="0.3">
      <c r="J89535"/>
    </row>
    <row r="89536" spans="10:10" x14ac:dyDescent="0.3">
      <c r="J89536"/>
    </row>
    <row r="89537" spans="10:10" x14ac:dyDescent="0.3">
      <c r="J89537"/>
    </row>
    <row r="89538" spans="10:10" x14ac:dyDescent="0.3">
      <c r="J89538"/>
    </row>
    <row r="89539" spans="10:10" x14ac:dyDescent="0.3">
      <c r="J89539"/>
    </row>
    <row r="89540" spans="10:10" x14ac:dyDescent="0.3">
      <c r="J89540"/>
    </row>
    <row r="89541" spans="10:10" x14ac:dyDescent="0.3">
      <c r="J89541"/>
    </row>
    <row r="89542" spans="10:10" x14ac:dyDescent="0.3">
      <c r="J89542"/>
    </row>
    <row r="89543" spans="10:10" x14ac:dyDescent="0.3">
      <c r="J89543"/>
    </row>
    <row r="89544" spans="10:10" x14ac:dyDescent="0.3">
      <c r="J89544"/>
    </row>
    <row r="89545" spans="10:10" x14ac:dyDescent="0.3">
      <c r="J89545"/>
    </row>
    <row r="89546" spans="10:10" x14ac:dyDescent="0.3">
      <c r="J89546"/>
    </row>
    <row r="89547" spans="10:10" x14ac:dyDescent="0.3">
      <c r="J89547"/>
    </row>
    <row r="89548" spans="10:10" x14ac:dyDescent="0.3">
      <c r="J89548"/>
    </row>
    <row r="89549" spans="10:10" x14ac:dyDescent="0.3">
      <c r="J89549"/>
    </row>
    <row r="89550" spans="10:10" x14ac:dyDescent="0.3">
      <c r="J89550"/>
    </row>
    <row r="89551" spans="10:10" x14ac:dyDescent="0.3">
      <c r="J89551"/>
    </row>
    <row r="89552" spans="10:10" x14ac:dyDescent="0.3">
      <c r="J89552"/>
    </row>
    <row r="89553" spans="10:10" x14ac:dyDescent="0.3">
      <c r="J89553"/>
    </row>
    <row r="89554" spans="10:10" x14ac:dyDescent="0.3">
      <c r="J89554"/>
    </row>
    <row r="89555" spans="10:10" x14ac:dyDescent="0.3">
      <c r="J89555"/>
    </row>
    <row r="89556" spans="10:10" x14ac:dyDescent="0.3">
      <c r="J89556"/>
    </row>
    <row r="89557" spans="10:10" x14ac:dyDescent="0.3">
      <c r="J89557"/>
    </row>
    <row r="89558" spans="10:10" x14ac:dyDescent="0.3">
      <c r="J89558"/>
    </row>
    <row r="89559" spans="10:10" x14ac:dyDescent="0.3">
      <c r="J89559"/>
    </row>
    <row r="89560" spans="10:10" x14ac:dyDescent="0.3">
      <c r="J89560"/>
    </row>
    <row r="89561" spans="10:10" x14ac:dyDescent="0.3">
      <c r="J89561"/>
    </row>
    <row r="89562" spans="10:10" x14ac:dyDescent="0.3">
      <c r="J89562"/>
    </row>
    <row r="89563" spans="10:10" x14ac:dyDescent="0.3">
      <c r="J89563"/>
    </row>
    <row r="89564" spans="10:10" x14ac:dyDescent="0.3">
      <c r="J89564"/>
    </row>
    <row r="89565" spans="10:10" x14ac:dyDescent="0.3">
      <c r="J89565"/>
    </row>
    <row r="89566" spans="10:10" x14ac:dyDescent="0.3">
      <c r="J89566"/>
    </row>
    <row r="89567" spans="10:10" x14ac:dyDescent="0.3">
      <c r="J89567"/>
    </row>
    <row r="89568" spans="10:10" x14ac:dyDescent="0.3">
      <c r="J89568"/>
    </row>
    <row r="89569" spans="10:10" x14ac:dyDescent="0.3">
      <c r="J89569"/>
    </row>
    <row r="89570" spans="10:10" x14ac:dyDescent="0.3">
      <c r="J89570"/>
    </row>
    <row r="89571" spans="10:10" x14ac:dyDescent="0.3">
      <c r="J89571"/>
    </row>
    <row r="89572" spans="10:10" x14ac:dyDescent="0.3">
      <c r="J89572"/>
    </row>
    <row r="89573" spans="10:10" x14ac:dyDescent="0.3">
      <c r="J89573"/>
    </row>
    <row r="89574" spans="10:10" x14ac:dyDescent="0.3">
      <c r="J89574"/>
    </row>
    <row r="89575" spans="10:10" x14ac:dyDescent="0.3">
      <c r="J89575"/>
    </row>
    <row r="89576" spans="10:10" x14ac:dyDescent="0.3">
      <c r="J89576"/>
    </row>
    <row r="89577" spans="10:10" x14ac:dyDescent="0.3">
      <c r="J89577"/>
    </row>
    <row r="89578" spans="10:10" x14ac:dyDescent="0.3">
      <c r="J89578"/>
    </row>
    <row r="89579" spans="10:10" x14ac:dyDescent="0.3">
      <c r="J89579"/>
    </row>
    <row r="89580" spans="10:10" x14ac:dyDescent="0.3">
      <c r="J89580"/>
    </row>
    <row r="89581" spans="10:10" x14ac:dyDescent="0.3">
      <c r="J89581"/>
    </row>
    <row r="89582" spans="10:10" x14ac:dyDescent="0.3">
      <c r="J89582"/>
    </row>
    <row r="89583" spans="10:10" x14ac:dyDescent="0.3">
      <c r="J89583"/>
    </row>
    <row r="89584" spans="10:10" x14ac:dyDescent="0.3">
      <c r="J89584"/>
    </row>
    <row r="89585" spans="10:10" x14ac:dyDescent="0.3">
      <c r="J89585"/>
    </row>
    <row r="89586" spans="10:10" x14ac:dyDescent="0.3">
      <c r="J89586"/>
    </row>
    <row r="89587" spans="10:10" x14ac:dyDescent="0.3">
      <c r="J89587"/>
    </row>
    <row r="89588" spans="10:10" x14ac:dyDescent="0.3">
      <c r="J89588"/>
    </row>
    <row r="89589" spans="10:10" x14ac:dyDescent="0.3">
      <c r="J89589"/>
    </row>
    <row r="89590" spans="10:10" x14ac:dyDescent="0.3">
      <c r="J89590"/>
    </row>
    <row r="89591" spans="10:10" x14ac:dyDescent="0.3">
      <c r="J89591"/>
    </row>
    <row r="89592" spans="10:10" x14ac:dyDescent="0.3">
      <c r="J89592"/>
    </row>
    <row r="89593" spans="10:10" x14ac:dyDescent="0.3">
      <c r="J89593"/>
    </row>
    <row r="89594" spans="10:10" x14ac:dyDescent="0.3">
      <c r="J89594"/>
    </row>
    <row r="89595" spans="10:10" x14ac:dyDescent="0.3">
      <c r="J89595"/>
    </row>
    <row r="89596" spans="10:10" x14ac:dyDescent="0.3">
      <c r="J89596"/>
    </row>
    <row r="89597" spans="10:10" x14ac:dyDescent="0.3">
      <c r="J89597"/>
    </row>
    <row r="89598" spans="10:10" x14ac:dyDescent="0.3">
      <c r="J89598"/>
    </row>
    <row r="89599" spans="10:10" x14ac:dyDescent="0.3">
      <c r="J89599"/>
    </row>
    <row r="89600" spans="10:10" x14ac:dyDescent="0.3">
      <c r="J89600"/>
    </row>
    <row r="89601" spans="10:10" x14ac:dyDescent="0.3">
      <c r="J89601"/>
    </row>
    <row r="89602" spans="10:10" x14ac:dyDescent="0.3">
      <c r="J89602"/>
    </row>
    <row r="89603" spans="10:10" x14ac:dyDescent="0.3">
      <c r="J89603"/>
    </row>
    <row r="89604" spans="10:10" x14ac:dyDescent="0.3">
      <c r="J89604"/>
    </row>
    <row r="89605" spans="10:10" x14ac:dyDescent="0.3">
      <c r="J89605"/>
    </row>
    <row r="89606" spans="10:10" x14ac:dyDescent="0.3">
      <c r="J89606"/>
    </row>
    <row r="89607" spans="10:10" x14ac:dyDescent="0.3">
      <c r="J89607"/>
    </row>
    <row r="89608" spans="10:10" x14ac:dyDescent="0.3">
      <c r="J89608"/>
    </row>
    <row r="89609" spans="10:10" x14ac:dyDescent="0.3">
      <c r="J89609"/>
    </row>
    <row r="89610" spans="10:10" x14ac:dyDescent="0.3">
      <c r="J89610"/>
    </row>
    <row r="89611" spans="10:10" x14ac:dyDescent="0.3">
      <c r="J89611"/>
    </row>
    <row r="89612" spans="10:10" x14ac:dyDescent="0.3">
      <c r="J89612"/>
    </row>
    <row r="89613" spans="10:10" x14ac:dyDescent="0.3">
      <c r="J89613"/>
    </row>
    <row r="89614" spans="10:10" x14ac:dyDescent="0.3">
      <c r="J89614"/>
    </row>
    <row r="89615" spans="10:10" x14ac:dyDescent="0.3">
      <c r="J89615"/>
    </row>
    <row r="89616" spans="10:10" x14ac:dyDescent="0.3">
      <c r="J89616"/>
    </row>
    <row r="89617" spans="10:10" x14ac:dyDescent="0.3">
      <c r="J89617"/>
    </row>
    <row r="89618" spans="10:10" x14ac:dyDescent="0.3">
      <c r="J89618"/>
    </row>
    <row r="89619" spans="10:10" x14ac:dyDescent="0.3">
      <c r="J89619"/>
    </row>
    <row r="89620" spans="10:10" x14ac:dyDescent="0.3">
      <c r="J89620"/>
    </row>
    <row r="89621" spans="10:10" x14ac:dyDescent="0.3">
      <c r="J89621"/>
    </row>
    <row r="89622" spans="10:10" x14ac:dyDescent="0.3">
      <c r="J89622"/>
    </row>
    <row r="89623" spans="10:10" x14ac:dyDescent="0.3">
      <c r="J89623"/>
    </row>
    <row r="89624" spans="10:10" x14ac:dyDescent="0.3">
      <c r="J89624"/>
    </row>
    <row r="89625" spans="10:10" x14ac:dyDescent="0.3">
      <c r="J89625"/>
    </row>
    <row r="89626" spans="10:10" x14ac:dyDescent="0.3">
      <c r="J89626"/>
    </row>
    <row r="89627" spans="10:10" x14ac:dyDescent="0.3">
      <c r="J89627"/>
    </row>
    <row r="89628" spans="10:10" x14ac:dyDescent="0.3">
      <c r="J89628"/>
    </row>
    <row r="89629" spans="10:10" x14ac:dyDescent="0.3">
      <c r="J89629"/>
    </row>
    <row r="89630" spans="10:10" x14ac:dyDescent="0.3">
      <c r="J89630"/>
    </row>
    <row r="89631" spans="10:10" x14ac:dyDescent="0.3">
      <c r="J89631"/>
    </row>
    <row r="89632" spans="10:10" x14ac:dyDescent="0.3">
      <c r="J89632"/>
    </row>
    <row r="89633" spans="10:10" x14ac:dyDescent="0.3">
      <c r="J89633"/>
    </row>
    <row r="89634" spans="10:10" x14ac:dyDescent="0.3">
      <c r="J89634"/>
    </row>
    <row r="89635" spans="10:10" x14ac:dyDescent="0.3">
      <c r="J89635"/>
    </row>
    <row r="89636" spans="10:10" x14ac:dyDescent="0.3">
      <c r="J89636"/>
    </row>
    <row r="89637" spans="10:10" x14ac:dyDescent="0.3">
      <c r="J89637"/>
    </row>
    <row r="89638" spans="10:10" x14ac:dyDescent="0.3">
      <c r="J89638"/>
    </row>
    <row r="89639" spans="10:10" x14ac:dyDescent="0.3">
      <c r="J89639"/>
    </row>
    <row r="89640" spans="10:10" x14ac:dyDescent="0.3">
      <c r="J89640"/>
    </row>
    <row r="89641" spans="10:10" x14ac:dyDescent="0.3">
      <c r="J89641"/>
    </row>
    <row r="89642" spans="10:10" x14ac:dyDescent="0.3">
      <c r="J89642"/>
    </row>
    <row r="89643" spans="10:10" x14ac:dyDescent="0.3">
      <c r="J89643"/>
    </row>
    <row r="89644" spans="10:10" x14ac:dyDescent="0.3">
      <c r="J89644"/>
    </row>
    <row r="89645" spans="10:10" x14ac:dyDescent="0.3">
      <c r="J89645"/>
    </row>
    <row r="89646" spans="10:10" x14ac:dyDescent="0.3">
      <c r="J89646"/>
    </row>
    <row r="89647" spans="10:10" x14ac:dyDescent="0.3">
      <c r="J89647"/>
    </row>
    <row r="89648" spans="10:10" x14ac:dyDescent="0.3">
      <c r="J89648"/>
    </row>
    <row r="89649" spans="10:10" x14ac:dyDescent="0.3">
      <c r="J89649"/>
    </row>
    <row r="89650" spans="10:10" x14ac:dyDescent="0.3">
      <c r="J89650"/>
    </row>
    <row r="89651" spans="10:10" x14ac:dyDescent="0.3">
      <c r="J89651"/>
    </row>
    <row r="89652" spans="10:10" x14ac:dyDescent="0.3">
      <c r="J89652"/>
    </row>
    <row r="89653" spans="10:10" x14ac:dyDescent="0.3">
      <c r="J89653"/>
    </row>
    <row r="89654" spans="10:10" x14ac:dyDescent="0.3">
      <c r="J89654"/>
    </row>
    <row r="89655" spans="10:10" x14ac:dyDescent="0.3">
      <c r="J89655"/>
    </row>
    <row r="89656" spans="10:10" x14ac:dyDescent="0.3">
      <c r="J89656"/>
    </row>
    <row r="89657" spans="10:10" x14ac:dyDescent="0.3">
      <c r="J89657"/>
    </row>
    <row r="89658" spans="10:10" x14ac:dyDescent="0.3">
      <c r="J89658"/>
    </row>
    <row r="89659" spans="10:10" x14ac:dyDescent="0.3">
      <c r="J89659"/>
    </row>
    <row r="89660" spans="10:10" x14ac:dyDescent="0.3">
      <c r="J89660"/>
    </row>
    <row r="89661" spans="10:10" x14ac:dyDescent="0.3">
      <c r="J89661"/>
    </row>
    <row r="89662" spans="10:10" x14ac:dyDescent="0.3">
      <c r="J89662"/>
    </row>
    <row r="89663" spans="10:10" x14ac:dyDescent="0.3">
      <c r="J89663"/>
    </row>
    <row r="89664" spans="10:10" x14ac:dyDescent="0.3">
      <c r="J89664"/>
    </row>
    <row r="89665" spans="10:10" x14ac:dyDescent="0.3">
      <c r="J89665"/>
    </row>
    <row r="89666" spans="10:10" x14ac:dyDescent="0.3">
      <c r="J89666"/>
    </row>
    <row r="89667" spans="10:10" x14ac:dyDescent="0.3">
      <c r="J89667"/>
    </row>
    <row r="89668" spans="10:10" x14ac:dyDescent="0.3">
      <c r="J89668"/>
    </row>
    <row r="89669" spans="10:10" x14ac:dyDescent="0.3">
      <c r="J89669"/>
    </row>
    <row r="89670" spans="10:10" x14ac:dyDescent="0.3">
      <c r="J89670"/>
    </row>
    <row r="89671" spans="10:10" x14ac:dyDescent="0.3">
      <c r="J89671"/>
    </row>
    <row r="89672" spans="10:10" x14ac:dyDescent="0.3">
      <c r="J89672"/>
    </row>
    <row r="89673" spans="10:10" x14ac:dyDescent="0.3">
      <c r="J89673"/>
    </row>
    <row r="89674" spans="10:10" x14ac:dyDescent="0.3">
      <c r="J89674"/>
    </row>
    <row r="89675" spans="10:10" x14ac:dyDescent="0.3">
      <c r="J89675"/>
    </row>
    <row r="89676" spans="10:10" x14ac:dyDescent="0.3">
      <c r="J89676"/>
    </row>
    <row r="89677" spans="10:10" x14ac:dyDescent="0.3">
      <c r="J89677"/>
    </row>
    <row r="89678" spans="10:10" x14ac:dyDescent="0.3">
      <c r="J89678"/>
    </row>
    <row r="89679" spans="10:10" x14ac:dyDescent="0.3">
      <c r="J89679"/>
    </row>
    <row r="89680" spans="10:10" x14ac:dyDescent="0.3">
      <c r="J89680"/>
    </row>
    <row r="89681" spans="10:10" x14ac:dyDescent="0.3">
      <c r="J89681"/>
    </row>
    <row r="89682" spans="10:10" x14ac:dyDescent="0.3">
      <c r="J89682"/>
    </row>
    <row r="89683" spans="10:10" x14ac:dyDescent="0.3">
      <c r="J89683"/>
    </row>
    <row r="89684" spans="10:10" x14ac:dyDescent="0.3">
      <c r="J89684"/>
    </row>
    <row r="89685" spans="10:10" x14ac:dyDescent="0.3">
      <c r="J89685"/>
    </row>
    <row r="89686" spans="10:10" x14ac:dyDescent="0.3">
      <c r="J89686"/>
    </row>
    <row r="89687" spans="10:10" x14ac:dyDescent="0.3">
      <c r="J89687"/>
    </row>
    <row r="89688" spans="10:10" x14ac:dyDescent="0.3">
      <c r="J89688"/>
    </row>
    <row r="89689" spans="10:10" x14ac:dyDescent="0.3">
      <c r="J89689"/>
    </row>
    <row r="89690" spans="10:10" x14ac:dyDescent="0.3">
      <c r="J89690"/>
    </row>
    <row r="89691" spans="10:10" x14ac:dyDescent="0.3">
      <c r="J89691"/>
    </row>
    <row r="89692" spans="10:10" x14ac:dyDescent="0.3">
      <c r="J89692"/>
    </row>
    <row r="89693" spans="10:10" x14ac:dyDescent="0.3">
      <c r="J89693"/>
    </row>
    <row r="89694" spans="10:10" x14ac:dyDescent="0.3">
      <c r="J89694"/>
    </row>
    <row r="89695" spans="10:10" x14ac:dyDescent="0.3">
      <c r="J89695"/>
    </row>
    <row r="89696" spans="10:10" x14ac:dyDescent="0.3">
      <c r="J89696"/>
    </row>
    <row r="89697" spans="10:10" x14ac:dyDescent="0.3">
      <c r="J89697"/>
    </row>
    <row r="89698" spans="10:10" x14ac:dyDescent="0.3">
      <c r="J89698"/>
    </row>
    <row r="89699" spans="10:10" x14ac:dyDescent="0.3">
      <c r="J89699"/>
    </row>
    <row r="89700" spans="10:10" x14ac:dyDescent="0.3">
      <c r="J89700"/>
    </row>
    <row r="89701" spans="10:10" x14ac:dyDescent="0.3">
      <c r="J89701"/>
    </row>
    <row r="89702" spans="10:10" x14ac:dyDescent="0.3">
      <c r="J89702"/>
    </row>
    <row r="89703" spans="10:10" x14ac:dyDescent="0.3">
      <c r="J89703"/>
    </row>
    <row r="89704" spans="10:10" x14ac:dyDescent="0.3">
      <c r="J89704"/>
    </row>
    <row r="89705" spans="10:10" x14ac:dyDescent="0.3">
      <c r="J89705"/>
    </row>
    <row r="89706" spans="10:10" x14ac:dyDescent="0.3">
      <c r="J89706"/>
    </row>
    <row r="89707" spans="10:10" x14ac:dyDescent="0.3">
      <c r="J89707"/>
    </row>
    <row r="89708" spans="10:10" x14ac:dyDescent="0.3">
      <c r="J89708"/>
    </row>
    <row r="89709" spans="10:10" x14ac:dyDescent="0.3">
      <c r="J89709"/>
    </row>
    <row r="89710" spans="10:10" x14ac:dyDescent="0.3">
      <c r="J89710"/>
    </row>
    <row r="89711" spans="10:10" x14ac:dyDescent="0.3">
      <c r="J89711"/>
    </row>
    <row r="89712" spans="10:10" x14ac:dyDescent="0.3">
      <c r="J89712"/>
    </row>
    <row r="89713" spans="10:10" x14ac:dyDescent="0.3">
      <c r="J89713"/>
    </row>
    <row r="89714" spans="10:10" x14ac:dyDescent="0.3">
      <c r="J89714"/>
    </row>
    <row r="89715" spans="10:10" x14ac:dyDescent="0.3">
      <c r="J89715"/>
    </row>
    <row r="89716" spans="10:10" x14ac:dyDescent="0.3">
      <c r="J89716"/>
    </row>
    <row r="89717" spans="10:10" x14ac:dyDescent="0.3">
      <c r="J89717"/>
    </row>
    <row r="89718" spans="10:10" x14ac:dyDescent="0.3">
      <c r="J89718"/>
    </row>
    <row r="89719" spans="10:10" x14ac:dyDescent="0.3">
      <c r="J89719"/>
    </row>
    <row r="89720" spans="10:10" x14ac:dyDescent="0.3">
      <c r="J89720"/>
    </row>
    <row r="89721" spans="10:10" x14ac:dyDescent="0.3">
      <c r="J89721"/>
    </row>
    <row r="89722" spans="10:10" x14ac:dyDescent="0.3">
      <c r="J89722"/>
    </row>
    <row r="89723" spans="10:10" x14ac:dyDescent="0.3">
      <c r="J89723"/>
    </row>
    <row r="89724" spans="10:10" x14ac:dyDescent="0.3">
      <c r="J89724"/>
    </row>
    <row r="89725" spans="10:10" x14ac:dyDescent="0.3">
      <c r="J89725"/>
    </row>
    <row r="89726" spans="10:10" x14ac:dyDescent="0.3">
      <c r="J89726"/>
    </row>
    <row r="89727" spans="10:10" x14ac:dyDescent="0.3">
      <c r="J89727"/>
    </row>
    <row r="89728" spans="10:10" x14ac:dyDescent="0.3">
      <c r="J89728"/>
    </row>
    <row r="89729" spans="10:10" x14ac:dyDescent="0.3">
      <c r="J89729"/>
    </row>
    <row r="89730" spans="10:10" x14ac:dyDescent="0.3">
      <c r="J89730"/>
    </row>
    <row r="89731" spans="10:10" x14ac:dyDescent="0.3">
      <c r="J89731"/>
    </row>
    <row r="89732" spans="10:10" x14ac:dyDescent="0.3">
      <c r="J89732"/>
    </row>
    <row r="89733" spans="10:10" x14ac:dyDescent="0.3">
      <c r="J89733"/>
    </row>
    <row r="89734" spans="10:10" x14ac:dyDescent="0.3">
      <c r="J89734"/>
    </row>
    <row r="89735" spans="10:10" x14ac:dyDescent="0.3">
      <c r="J89735"/>
    </row>
    <row r="89736" spans="10:10" x14ac:dyDescent="0.3">
      <c r="J89736"/>
    </row>
    <row r="89737" spans="10:10" x14ac:dyDescent="0.3">
      <c r="J89737"/>
    </row>
    <row r="89738" spans="10:10" x14ac:dyDescent="0.3">
      <c r="J89738"/>
    </row>
    <row r="89739" spans="10:10" x14ac:dyDescent="0.3">
      <c r="J89739"/>
    </row>
    <row r="89740" spans="10:10" x14ac:dyDescent="0.3">
      <c r="J89740"/>
    </row>
    <row r="89741" spans="10:10" x14ac:dyDescent="0.3">
      <c r="J89741"/>
    </row>
    <row r="89742" spans="10:10" x14ac:dyDescent="0.3">
      <c r="J89742"/>
    </row>
    <row r="89743" spans="10:10" x14ac:dyDescent="0.3">
      <c r="J89743"/>
    </row>
    <row r="89744" spans="10:10" x14ac:dyDescent="0.3">
      <c r="J89744"/>
    </row>
    <row r="89745" spans="10:10" x14ac:dyDescent="0.3">
      <c r="J89745"/>
    </row>
    <row r="89746" spans="10:10" x14ac:dyDescent="0.3">
      <c r="J89746"/>
    </row>
    <row r="89747" spans="10:10" x14ac:dyDescent="0.3">
      <c r="J89747"/>
    </row>
    <row r="89748" spans="10:10" x14ac:dyDescent="0.3">
      <c r="J89748"/>
    </row>
    <row r="89749" spans="10:10" x14ac:dyDescent="0.3">
      <c r="J89749"/>
    </row>
    <row r="89750" spans="10:10" x14ac:dyDescent="0.3">
      <c r="J89750"/>
    </row>
    <row r="89751" spans="10:10" x14ac:dyDescent="0.3">
      <c r="J89751"/>
    </row>
    <row r="89752" spans="10:10" x14ac:dyDescent="0.3">
      <c r="J89752"/>
    </row>
    <row r="89753" spans="10:10" x14ac:dyDescent="0.3">
      <c r="J89753"/>
    </row>
    <row r="89754" spans="10:10" x14ac:dyDescent="0.3">
      <c r="J89754"/>
    </row>
    <row r="89755" spans="10:10" x14ac:dyDescent="0.3">
      <c r="J89755"/>
    </row>
    <row r="89756" spans="10:10" x14ac:dyDescent="0.3">
      <c r="J89756"/>
    </row>
    <row r="89757" spans="10:10" x14ac:dyDescent="0.3">
      <c r="J89757"/>
    </row>
    <row r="89758" spans="10:10" x14ac:dyDescent="0.3">
      <c r="J89758"/>
    </row>
    <row r="89759" spans="10:10" x14ac:dyDescent="0.3">
      <c r="J89759"/>
    </row>
    <row r="89760" spans="10:10" x14ac:dyDescent="0.3">
      <c r="J89760"/>
    </row>
    <row r="89761" spans="10:10" x14ac:dyDescent="0.3">
      <c r="J89761"/>
    </row>
    <row r="89762" spans="10:10" x14ac:dyDescent="0.3">
      <c r="J89762"/>
    </row>
    <row r="89763" spans="10:10" x14ac:dyDescent="0.3">
      <c r="J89763"/>
    </row>
    <row r="89764" spans="10:10" x14ac:dyDescent="0.3">
      <c r="J89764"/>
    </row>
    <row r="89765" spans="10:10" x14ac:dyDescent="0.3">
      <c r="J89765"/>
    </row>
    <row r="89766" spans="10:10" x14ac:dyDescent="0.3">
      <c r="J89766"/>
    </row>
    <row r="89767" spans="10:10" x14ac:dyDescent="0.3">
      <c r="J89767"/>
    </row>
    <row r="89768" spans="10:10" x14ac:dyDescent="0.3">
      <c r="J89768"/>
    </row>
    <row r="89769" spans="10:10" x14ac:dyDescent="0.3">
      <c r="J89769"/>
    </row>
    <row r="89770" spans="10:10" x14ac:dyDescent="0.3">
      <c r="J89770"/>
    </row>
    <row r="89771" spans="10:10" x14ac:dyDescent="0.3">
      <c r="J89771"/>
    </row>
    <row r="89772" spans="10:10" x14ac:dyDescent="0.3">
      <c r="J89772"/>
    </row>
    <row r="89773" spans="10:10" x14ac:dyDescent="0.3">
      <c r="J89773"/>
    </row>
    <row r="89774" spans="10:10" x14ac:dyDescent="0.3">
      <c r="J89774"/>
    </row>
    <row r="89775" spans="10:10" x14ac:dyDescent="0.3">
      <c r="J89775"/>
    </row>
    <row r="89776" spans="10:10" x14ac:dyDescent="0.3">
      <c r="J89776"/>
    </row>
    <row r="89777" spans="10:10" x14ac:dyDescent="0.3">
      <c r="J89777"/>
    </row>
    <row r="89778" spans="10:10" x14ac:dyDescent="0.3">
      <c r="J89778"/>
    </row>
    <row r="89779" spans="10:10" x14ac:dyDescent="0.3">
      <c r="J89779"/>
    </row>
    <row r="89780" spans="10:10" x14ac:dyDescent="0.3">
      <c r="J89780"/>
    </row>
    <row r="89781" spans="10:10" x14ac:dyDescent="0.3">
      <c r="J89781"/>
    </row>
    <row r="89782" spans="10:10" x14ac:dyDescent="0.3">
      <c r="J89782"/>
    </row>
    <row r="89783" spans="10:10" x14ac:dyDescent="0.3">
      <c r="J89783"/>
    </row>
    <row r="89784" spans="10:10" x14ac:dyDescent="0.3">
      <c r="J89784"/>
    </row>
    <row r="89785" spans="10:10" x14ac:dyDescent="0.3">
      <c r="J89785"/>
    </row>
    <row r="89786" spans="10:10" x14ac:dyDescent="0.3">
      <c r="J89786"/>
    </row>
    <row r="89787" spans="10:10" x14ac:dyDescent="0.3">
      <c r="J89787"/>
    </row>
    <row r="89788" spans="10:10" x14ac:dyDescent="0.3">
      <c r="J89788"/>
    </row>
    <row r="89789" spans="10:10" x14ac:dyDescent="0.3">
      <c r="J89789"/>
    </row>
    <row r="89790" spans="10:10" x14ac:dyDescent="0.3">
      <c r="J89790"/>
    </row>
    <row r="89791" spans="10:10" x14ac:dyDescent="0.3">
      <c r="J89791"/>
    </row>
    <row r="89792" spans="10:10" x14ac:dyDescent="0.3">
      <c r="J89792"/>
    </row>
    <row r="89793" spans="10:10" x14ac:dyDescent="0.3">
      <c r="J89793"/>
    </row>
    <row r="89794" spans="10:10" x14ac:dyDescent="0.3">
      <c r="J89794"/>
    </row>
    <row r="89795" spans="10:10" x14ac:dyDescent="0.3">
      <c r="J89795"/>
    </row>
    <row r="89796" spans="10:10" x14ac:dyDescent="0.3">
      <c r="J89796"/>
    </row>
    <row r="89797" spans="10:10" x14ac:dyDescent="0.3">
      <c r="J89797"/>
    </row>
    <row r="89798" spans="10:10" x14ac:dyDescent="0.3">
      <c r="J89798"/>
    </row>
    <row r="89799" spans="10:10" x14ac:dyDescent="0.3">
      <c r="J89799"/>
    </row>
    <row r="89800" spans="10:10" x14ac:dyDescent="0.3">
      <c r="J89800"/>
    </row>
    <row r="89801" spans="10:10" x14ac:dyDescent="0.3">
      <c r="J89801"/>
    </row>
    <row r="89802" spans="10:10" x14ac:dyDescent="0.3">
      <c r="J89802"/>
    </row>
    <row r="89803" spans="10:10" x14ac:dyDescent="0.3">
      <c r="J89803"/>
    </row>
    <row r="89804" spans="10:10" x14ac:dyDescent="0.3">
      <c r="J89804"/>
    </row>
    <row r="89805" spans="10:10" x14ac:dyDescent="0.3">
      <c r="J89805"/>
    </row>
    <row r="89806" spans="10:10" x14ac:dyDescent="0.3">
      <c r="J89806"/>
    </row>
    <row r="89807" spans="10:10" x14ac:dyDescent="0.3">
      <c r="J89807"/>
    </row>
    <row r="89808" spans="10:10" x14ac:dyDescent="0.3">
      <c r="J89808"/>
    </row>
    <row r="89809" spans="10:10" x14ac:dyDescent="0.3">
      <c r="J89809"/>
    </row>
    <row r="89810" spans="10:10" x14ac:dyDescent="0.3">
      <c r="J89810"/>
    </row>
    <row r="89811" spans="10:10" x14ac:dyDescent="0.3">
      <c r="J89811"/>
    </row>
    <row r="89812" spans="10:10" x14ac:dyDescent="0.3">
      <c r="J89812"/>
    </row>
    <row r="89813" spans="10:10" x14ac:dyDescent="0.3">
      <c r="J89813"/>
    </row>
    <row r="89814" spans="10:10" x14ac:dyDescent="0.3">
      <c r="J89814"/>
    </row>
    <row r="89815" spans="10:10" x14ac:dyDescent="0.3">
      <c r="J89815"/>
    </row>
    <row r="89816" spans="10:10" x14ac:dyDescent="0.3">
      <c r="J89816"/>
    </row>
    <row r="89817" spans="10:10" x14ac:dyDescent="0.3">
      <c r="J89817"/>
    </row>
    <row r="89818" spans="10:10" x14ac:dyDescent="0.3">
      <c r="J89818"/>
    </row>
    <row r="89819" spans="10:10" x14ac:dyDescent="0.3">
      <c r="J89819"/>
    </row>
    <row r="89820" spans="10:10" x14ac:dyDescent="0.3">
      <c r="J89820"/>
    </row>
    <row r="89821" spans="10:10" x14ac:dyDescent="0.3">
      <c r="J89821"/>
    </row>
    <row r="89822" spans="10:10" x14ac:dyDescent="0.3">
      <c r="J89822"/>
    </row>
    <row r="89823" spans="10:10" x14ac:dyDescent="0.3">
      <c r="J89823"/>
    </row>
    <row r="89824" spans="10:10" x14ac:dyDescent="0.3">
      <c r="J89824"/>
    </row>
    <row r="89825" spans="10:10" x14ac:dyDescent="0.3">
      <c r="J89825"/>
    </row>
    <row r="89826" spans="10:10" x14ac:dyDescent="0.3">
      <c r="J89826"/>
    </row>
    <row r="89827" spans="10:10" x14ac:dyDescent="0.3">
      <c r="J89827"/>
    </row>
    <row r="89828" spans="10:10" x14ac:dyDescent="0.3">
      <c r="J89828"/>
    </row>
    <row r="89829" spans="10:10" x14ac:dyDescent="0.3">
      <c r="J89829"/>
    </row>
    <row r="89830" spans="10:10" x14ac:dyDescent="0.3">
      <c r="J89830"/>
    </row>
    <row r="89831" spans="10:10" x14ac:dyDescent="0.3">
      <c r="J89831"/>
    </row>
    <row r="89832" spans="10:10" x14ac:dyDescent="0.3">
      <c r="J89832"/>
    </row>
    <row r="89833" spans="10:10" x14ac:dyDescent="0.3">
      <c r="J89833"/>
    </row>
    <row r="89834" spans="10:10" x14ac:dyDescent="0.3">
      <c r="J89834"/>
    </row>
    <row r="89835" spans="10:10" x14ac:dyDescent="0.3">
      <c r="J89835"/>
    </row>
    <row r="89836" spans="10:10" x14ac:dyDescent="0.3">
      <c r="J89836"/>
    </row>
    <row r="89837" spans="10:10" x14ac:dyDescent="0.3">
      <c r="J89837"/>
    </row>
    <row r="89838" spans="10:10" x14ac:dyDescent="0.3">
      <c r="J89838"/>
    </row>
    <row r="89839" spans="10:10" x14ac:dyDescent="0.3">
      <c r="J89839"/>
    </row>
    <row r="89840" spans="10:10" x14ac:dyDescent="0.3">
      <c r="J89840"/>
    </row>
    <row r="89841" spans="10:10" x14ac:dyDescent="0.3">
      <c r="J89841"/>
    </row>
    <row r="89842" spans="10:10" x14ac:dyDescent="0.3">
      <c r="J89842"/>
    </row>
    <row r="89843" spans="10:10" x14ac:dyDescent="0.3">
      <c r="J89843"/>
    </row>
    <row r="89844" spans="10:10" x14ac:dyDescent="0.3">
      <c r="J89844"/>
    </row>
    <row r="89845" spans="10:10" x14ac:dyDescent="0.3">
      <c r="J89845"/>
    </row>
    <row r="89846" spans="10:10" x14ac:dyDescent="0.3">
      <c r="J89846"/>
    </row>
    <row r="89847" spans="10:10" x14ac:dyDescent="0.3">
      <c r="J89847"/>
    </row>
    <row r="89848" spans="10:10" x14ac:dyDescent="0.3">
      <c r="J89848"/>
    </row>
    <row r="89849" spans="10:10" x14ac:dyDescent="0.3">
      <c r="J89849"/>
    </row>
    <row r="89850" spans="10:10" x14ac:dyDescent="0.3">
      <c r="J89850"/>
    </row>
    <row r="89851" spans="10:10" x14ac:dyDescent="0.3">
      <c r="J89851"/>
    </row>
    <row r="89852" spans="10:10" x14ac:dyDescent="0.3">
      <c r="J89852"/>
    </row>
    <row r="89853" spans="10:10" x14ac:dyDescent="0.3">
      <c r="J89853"/>
    </row>
    <row r="89854" spans="10:10" x14ac:dyDescent="0.3">
      <c r="J89854"/>
    </row>
    <row r="89855" spans="10:10" x14ac:dyDescent="0.3">
      <c r="J89855"/>
    </row>
    <row r="89856" spans="10:10" x14ac:dyDescent="0.3">
      <c r="J89856"/>
    </row>
    <row r="89857" spans="10:10" x14ac:dyDescent="0.3">
      <c r="J89857"/>
    </row>
    <row r="89858" spans="10:10" x14ac:dyDescent="0.3">
      <c r="J89858"/>
    </row>
    <row r="89859" spans="10:10" x14ac:dyDescent="0.3">
      <c r="J89859"/>
    </row>
    <row r="89860" spans="10:10" x14ac:dyDescent="0.3">
      <c r="J89860"/>
    </row>
    <row r="89861" spans="10:10" x14ac:dyDescent="0.3">
      <c r="J89861"/>
    </row>
    <row r="89862" spans="10:10" x14ac:dyDescent="0.3">
      <c r="J89862"/>
    </row>
    <row r="89863" spans="10:10" x14ac:dyDescent="0.3">
      <c r="J89863"/>
    </row>
    <row r="89864" spans="10:10" x14ac:dyDescent="0.3">
      <c r="J89864"/>
    </row>
    <row r="89865" spans="10:10" x14ac:dyDescent="0.3">
      <c r="J89865"/>
    </row>
    <row r="89866" spans="10:10" x14ac:dyDescent="0.3">
      <c r="J89866"/>
    </row>
    <row r="89867" spans="10:10" x14ac:dyDescent="0.3">
      <c r="J89867"/>
    </row>
    <row r="89868" spans="10:10" x14ac:dyDescent="0.3">
      <c r="J89868"/>
    </row>
    <row r="89869" spans="10:10" x14ac:dyDescent="0.3">
      <c r="J89869"/>
    </row>
    <row r="89870" spans="10:10" x14ac:dyDescent="0.3">
      <c r="J89870"/>
    </row>
    <row r="89871" spans="10:10" x14ac:dyDescent="0.3">
      <c r="J89871"/>
    </row>
    <row r="89872" spans="10:10" x14ac:dyDescent="0.3">
      <c r="J89872"/>
    </row>
    <row r="89873" spans="10:10" x14ac:dyDescent="0.3">
      <c r="J89873"/>
    </row>
    <row r="89874" spans="10:10" x14ac:dyDescent="0.3">
      <c r="J89874"/>
    </row>
    <row r="89875" spans="10:10" x14ac:dyDescent="0.3">
      <c r="J89875"/>
    </row>
    <row r="89876" spans="10:10" x14ac:dyDescent="0.3">
      <c r="J89876"/>
    </row>
    <row r="89877" spans="10:10" x14ac:dyDescent="0.3">
      <c r="J89877"/>
    </row>
    <row r="89878" spans="10:10" x14ac:dyDescent="0.3">
      <c r="J89878"/>
    </row>
    <row r="89879" spans="10:10" x14ac:dyDescent="0.3">
      <c r="J89879"/>
    </row>
    <row r="89880" spans="10:10" x14ac:dyDescent="0.3">
      <c r="J89880"/>
    </row>
    <row r="89881" spans="10:10" x14ac:dyDescent="0.3">
      <c r="J89881"/>
    </row>
    <row r="89882" spans="10:10" x14ac:dyDescent="0.3">
      <c r="J89882"/>
    </row>
    <row r="89883" spans="10:10" x14ac:dyDescent="0.3">
      <c r="J89883"/>
    </row>
    <row r="89884" spans="10:10" x14ac:dyDescent="0.3">
      <c r="J89884"/>
    </row>
    <row r="89885" spans="10:10" x14ac:dyDescent="0.3">
      <c r="J89885"/>
    </row>
    <row r="89886" spans="10:10" x14ac:dyDescent="0.3">
      <c r="J89886"/>
    </row>
    <row r="89887" spans="10:10" x14ac:dyDescent="0.3">
      <c r="J89887"/>
    </row>
    <row r="89888" spans="10:10" x14ac:dyDescent="0.3">
      <c r="J89888"/>
    </row>
    <row r="89889" spans="10:10" x14ac:dyDescent="0.3">
      <c r="J89889"/>
    </row>
    <row r="89890" spans="10:10" x14ac:dyDescent="0.3">
      <c r="J89890"/>
    </row>
    <row r="89891" spans="10:10" x14ac:dyDescent="0.3">
      <c r="J89891"/>
    </row>
    <row r="89892" spans="10:10" x14ac:dyDescent="0.3">
      <c r="J89892"/>
    </row>
    <row r="89893" spans="10:10" x14ac:dyDescent="0.3">
      <c r="J89893"/>
    </row>
    <row r="89894" spans="10:10" x14ac:dyDescent="0.3">
      <c r="J89894"/>
    </row>
    <row r="89895" spans="10:10" x14ac:dyDescent="0.3">
      <c r="J89895"/>
    </row>
    <row r="89896" spans="10:10" x14ac:dyDescent="0.3">
      <c r="J89896"/>
    </row>
    <row r="89897" spans="10:10" x14ac:dyDescent="0.3">
      <c r="J89897"/>
    </row>
    <row r="89898" spans="10:10" x14ac:dyDescent="0.3">
      <c r="J89898"/>
    </row>
    <row r="89899" spans="10:10" x14ac:dyDescent="0.3">
      <c r="J89899"/>
    </row>
    <row r="89900" spans="10:10" x14ac:dyDescent="0.3">
      <c r="J89900"/>
    </row>
    <row r="89901" spans="10:10" x14ac:dyDescent="0.3">
      <c r="J89901"/>
    </row>
    <row r="89902" spans="10:10" x14ac:dyDescent="0.3">
      <c r="J89902"/>
    </row>
    <row r="89903" spans="10:10" x14ac:dyDescent="0.3">
      <c r="J89903"/>
    </row>
    <row r="89904" spans="10:10" x14ac:dyDescent="0.3">
      <c r="J89904"/>
    </row>
    <row r="89905" spans="10:10" x14ac:dyDescent="0.3">
      <c r="J89905"/>
    </row>
    <row r="89906" spans="10:10" x14ac:dyDescent="0.3">
      <c r="J89906"/>
    </row>
    <row r="89907" spans="10:10" x14ac:dyDescent="0.3">
      <c r="J89907"/>
    </row>
    <row r="89908" spans="10:10" x14ac:dyDescent="0.3">
      <c r="J89908"/>
    </row>
    <row r="89909" spans="10:10" x14ac:dyDescent="0.3">
      <c r="J89909"/>
    </row>
    <row r="89910" spans="10:10" x14ac:dyDescent="0.3">
      <c r="J89910"/>
    </row>
    <row r="89911" spans="10:10" x14ac:dyDescent="0.3">
      <c r="J89911"/>
    </row>
    <row r="89912" spans="10:10" x14ac:dyDescent="0.3">
      <c r="J89912"/>
    </row>
    <row r="89913" spans="10:10" x14ac:dyDescent="0.3">
      <c r="J89913"/>
    </row>
    <row r="89914" spans="10:10" x14ac:dyDescent="0.3">
      <c r="J89914"/>
    </row>
    <row r="89915" spans="10:10" x14ac:dyDescent="0.3">
      <c r="J89915"/>
    </row>
    <row r="89916" spans="10:10" x14ac:dyDescent="0.3">
      <c r="J89916"/>
    </row>
    <row r="89917" spans="10:10" x14ac:dyDescent="0.3">
      <c r="J89917"/>
    </row>
    <row r="89918" spans="10:10" x14ac:dyDescent="0.3">
      <c r="J89918"/>
    </row>
    <row r="89919" spans="10:10" x14ac:dyDescent="0.3">
      <c r="J89919"/>
    </row>
    <row r="89920" spans="10:10" x14ac:dyDescent="0.3">
      <c r="J89920"/>
    </row>
    <row r="89921" spans="10:10" x14ac:dyDescent="0.3">
      <c r="J89921"/>
    </row>
    <row r="89922" spans="10:10" x14ac:dyDescent="0.3">
      <c r="J89922"/>
    </row>
    <row r="89923" spans="10:10" x14ac:dyDescent="0.3">
      <c r="J89923"/>
    </row>
    <row r="89924" spans="10:10" x14ac:dyDescent="0.3">
      <c r="J89924"/>
    </row>
    <row r="89925" spans="10:10" x14ac:dyDescent="0.3">
      <c r="J89925"/>
    </row>
    <row r="89926" spans="10:10" x14ac:dyDescent="0.3">
      <c r="J89926"/>
    </row>
    <row r="89927" spans="10:10" x14ac:dyDescent="0.3">
      <c r="J89927"/>
    </row>
    <row r="89928" spans="10:10" x14ac:dyDescent="0.3">
      <c r="J89928"/>
    </row>
    <row r="89929" spans="10:10" x14ac:dyDescent="0.3">
      <c r="J89929"/>
    </row>
    <row r="89930" spans="10:10" x14ac:dyDescent="0.3">
      <c r="J89930"/>
    </row>
    <row r="89931" spans="10:10" x14ac:dyDescent="0.3">
      <c r="J89931"/>
    </row>
    <row r="89932" spans="10:10" x14ac:dyDescent="0.3">
      <c r="J89932"/>
    </row>
    <row r="89933" spans="10:10" x14ac:dyDescent="0.3">
      <c r="J89933"/>
    </row>
    <row r="89934" spans="10:10" x14ac:dyDescent="0.3">
      <c r="J89934"/>
    </row>
    <row r="89935" spans="10:10" x14ac:dyDescent="0.3">
      <c r="J89935"/>
    </row>
    <row r="89936" spans="10:10" x14ac:dyDescent="0.3">
      <c r="J89936"/>
    </row>
    <row r="89937" spans="10:10" x14ac:dyDescent="0.3">
      <c r="J89937"/>
    </row>
    <row r="89938" spans="10:10" x14ac:dyDescent="0.3">
      <c r="J89938"/>
    </row>
    <row r="89939" spans="10:10" x14ac:dyDescent="0.3">
      <c r="J89939"/>
    </row>
    <row r="89940" spans="10:10" x14ac:dyDescent="0.3">
      <c r="J89940"/>
    </row>
    <row r="89941" spans="10:10" x14ac:dyDescent="0.3">
      <c r="J89941"/>
    </row>
    <row r="89942" spans="10:10" x14ac:dyDescent="0.3">
      <c r="J89942"/>
    </row>
    <row r="89943" spans="10:10" x14ac:dyDescent="0.3">
      <c r="J89943"/>
    </row>
    <row r="89944" spans="10:10" x14ac:dyDescent="0.3">
      <c r="J89944"/>
    </row>
    <row r="89945" spans="10:10" x14ac:dyDescent="0.3">
      <c r="J89945"/>
    </row>
    <row r="89946" spans="10:10" x14ac:dyDescent="0.3">
      <c r="J89946"/>
    </row>
    <row r="89947" spans="10:10" x14ac:dyDescent="0.3">
      <c r="J89947"/>
    </row>
    <row r="89948" spans="10:10" x14ac:dyDescent="0.3">
      <c r="J89948"/>
    </row>
    <row r="89949" spans="10:10" x14ac:dyDescent="0.3">
      <c r="J89949"/>
    </row>
    <row r="89950" spans="10:10" x14ac:dyDescent="0.3">
      <c r="J89950"/>
    </row>
    <row r="89951" spans="10:10" x14ac:dyDescent="0.3">
      <c r="J89951"/>
    </row>
    <row r="89952" spans="10:10" x14ac:dyDescent="0.3">
      <c r="J89952"/>
    </row>
    <row r="89953" spans="10:10" x14ac:dyDescent="0.3">
      <c r="J89953"/>
    </row>
    <row r="89954" spans="10:10" x14ac:dyDescent="0.3">
      <c r="J89954"/>
    </row>
    <row r="89955" spans="10:10" x14ac:dyDescent="0.3">
      <c r="J89955"/>
    </row>
    <row r="89956" spans="10:10" x14ac:dyDescent="0.3">
      <c r="J89956"/>
    </row>
    <row r="89957" spans="10:10" x14ac:dyDescent="0.3">
      <c r="J89957"/>
    </row>
    <row r="89958" spans="10:10" x14ac:dyDescent="0.3">
      <c r="J89958"/>
    </row>
    <row r="89959" spans="10:10" x14ac:dyDescent="0.3">
      <c r="J89959"/>
    </row>
    <row r="89960" spans="10:10" x14ac:dyDescent="0.3">
      <c r="J89960"/>
    </row>
    <row r="89961" spans="10:10" x14ac:dyDescent="0.3">
      <c r="J89961"/>
    </row>
    <row r="89962" spans="10:10" x14ac:dyDescent="0.3">
      <c r="J89962"/>
    </row>
    <row r="89963" spans="10:10" x14ac:dyDescent="0.3">
      <c r="J89963"/>
    </row>
    <row r="89964" spans="10:10" x14ac:dyDescent="0.3">
      <c r="J89964"/>
    </row>
    <row r="89965" spans="10:10" x14ac:dyDescent="0.3">
      <c r="J89965"/>
    </row>
    <row r="89966" spans="10:10" x14ac:dyDescent="0.3">
      <c r="J89966"/>
    </row>
    <row r="89967" spans="10:10" x14ac:dyDescent="0.3">
      <c r="J89967"/>
    </row>
    <row r="89968" spans="10:10" x14ac:dyDescent="0.3">
      <c r="J89968"/>
    </row>
    <row r="89969" spans="10:10" x14ac:dyDescent="0.3">
      <c r="J89969"/>
    </row>
    <row r="89970" spans="10:10" x14ac:dyDescent="0.3">
      <c r="J89970"/>
    </row>
    <row r="89971" spans="10:10" x14ac:dyDescent="0.3">
      <c r="J89971"/>
    </row>
    <row r="89972" spans="10:10" x14ac:dyDescent="0.3">
      <c r="J89972"/>
    </row>
    <row r="89973" spans="10:10" x14ac:dyDescent="0.3">
      <c r="J89973"/>
    </row>
    <row r="89974" spans="10:10" x14ac:dyDescent="0.3">
      <c r="J89974"/>
    </row>
    <row r="89975" spans="10:10" x14ac:dyDescent="0.3">
      <c r="J89975"/>
    </row>
    <row r="89976" spans="10:10" x14ac:dyDescent="0.3">
      <c r="J89976"/>
    </row>
    <row r="89977" spans="10:10" x14ac:dyDescent="0.3">
      <c r="J89977"/>
    </row>
    <row r="89978" spans="10:10" x14ac:dyDescent="0.3">
      <c r="J89978"/>
    </row>
    <row r="89979" spans="10:10" x14ac:dyDescent="0.3">
      <c r="J89979"/>
    </row>
    <row r="89980" spans="10:10" x14ac:dyDescent="0.3">
      <c r="J89980"/>
    </row>
    <row r="89981" spans="10:10" x14ac:dyDescent="0.3">
      <c r="J89981"/>
    </row>
    <row r="89982" spans="10:10" x14ac:dyDescent="0.3">
      <c r="J89982"/>
    </row>
    <row r="89983" spans="10:10" x14ac:dyDescent="0.3">
      <c r="J89983"/>
    </row>
    <row r="89984" spans="10:10" x14ac:dyDescent="0.3">
      <c r="J89984"/>
    </row>
    <row r="89985" spans="10:10" x14ac:dyDescent="0.3">
      <c r="J89985"/>
    </row>
    <row r="89986" spans="10:10" x14ac:dyDescent="0.3">
      <c r="J89986"/>
    </row>
    <row r="89987" spans="10:10" x14ac:dyDescent="0.3">
      <c r="J89987"/>
    </row>
    <row r="89988" spans="10:10" x14ac:dyDescent="0.3">
      <c r="J89988"/>
    </row>
    <row r="89989" spans="10:10" x14ac:dyDescent="0.3">
      <c r="J89989"/>
    </row>
    <row r="89990" spans="10:10" x14ac:dyDescent="0.3">
      <c r="J89990"/>
    </row>
    <row r="89991" spans="10:10" x14ac:dyDescent="0.3">
      <c r="J89991"/>
    </row>
    <row r="89992" spans="10:10" x14ac:dyDescent="0.3">
      <c r="J89992"/>
    </row>
    <row r="89993" spans="10:10" x14ac:dyDescent="0.3">
      <c r="J89993"/>
    </row>
    <row r="89994" spans="10:10" x14ac:dyDescent="0.3">
      <c r="J89994"/>
    </row>
    <row r="89995" spans="10:10" x14ac:dyDescent="0.3">
      <c r="J89995"/>
    </row>
    <row r="89996" spans="10:10" x14ac:dyDescent="0.3">
      <c r="J89996"/>
    </row>
    <row r="89997" spans="10:10" x14ac:dyDescent="0.3">
      <c r="J89997"/>
    </row>
    <row r="89998" spans="10:10" x14ac:dyDescent="0.3">
      <c r="J89998"/>
    </row>
    <row r="89999" spans="10:10" x14ac:dyDescent="0.3">
      <c r="J89999"/>
    </row>
    <row r="90000" spans="10:10" x14ac:dyDescent="0.3">
      <c r="J90000"/>
    </row>
    <row r="90001" spans="10:10" x14ac:dyDescent="0.3">
      <c r="J90001"/>
    </row>
    <row r="90002" spans="10:10" x14ac:dyDescent="0.3">
      <c r="J90002"/>
    </row>
    <row r="90003" spans="10:10" x14ac:dyDescent="0.3">
      <c r="J90003"/>
    </row>
    <row r="90004" spans="10:10" x14ac:dyDescent="0.3">
      <c r="J90004"/>
    </row>
    <row r="90005" spans="10:10" x14ac:dyDescent="0.3">
      <c r="J90005"/>
    </row>
    <row r="90006" spans="10:10" x14ac:dyDescent="0.3">
      <c r="J90006"/>
    </row>
    <row r="90007" spans="10:10" x14ac:dyDescent="0.3">
      <c r="J90007"/>
    </row>
    <row r="90008" spans="10:10" x14ac:dyDescent="0.3">
      <c r="J90008"/>
    </row>
    <row r="90009" spans="10:10" x14ac:dyDescent="0.3">
      <c r="J90009"/>
    </row>
    <row r="90010" spans="10:10" x14ac:dyDescent="0.3">
      <c r="J90010"/>
    </row>
    <row r="90011" spans="10:10" x14ac:dyDescent="0.3">
      <c r="J90011"/>
    </row>
    <row r="90012" spans="10:10" x14ac:dyDescent="0.3">
      <c r="J90012"/>
    </row>
    <row r="90013" spans="10:10" x14ac:dyDescent="0.3">
      <c r="J90013"/>
    </row>
    <row r="90014" spans="10:10" x14ac:dyDescent="0.3">
      <c r="J90014"/>
    </row>
    <row r="90015" spans="10:10" x14ac:dyDescent="0.3">
      <c r="J90015"/>
    </row>
    <row r="90016" spans="10:10" x14ac:dyDescent="0.3">
      <c r="J90016"/>
    </row>
    <row r="90017" spans="10:10" x14ac:dyDescent="0.3">
      <c r="J90017"/>
    </row>
    <row r="90018" spans="10:10" x14ac:dyDescent="0.3">
      <c r="J90018"/>
    </row>
    <row r="90019" spans="10:10" x14ac:dyDescent="0.3">
      <c r="J90019"/>
    </row>
    <row r="90020" spans="10:10" x14ac:dyDescent="0.3">
      <c r="J90020"/>
    </row>
    <row r="90021" spans="10:10" x14ac:dyDescent="0.3">
      <c r="J90021"/>
    </row>
    <row r="90022" spans="10:10" x14ac:dyDescent="0.3">
      <c r="J90022"/>
    </row>
    <row r="90023" spans="10:10" x14ac:dyDescent="0.3">
      <c r="J90023"/>
    </row>
    <row r="90024" spans="10:10" x14ac:dyDescent="0.3">
      <c r="J90024"/>
    </row>
    <row r="90025" spans="10:10" x14ac:dyDescent="0.3">
      <c r="J90025"/>
    </row>
    <row r="90026" spans="10:10" x14ac:dyDescent="0.3">
      <c r="J90026"/>
    </row>
    <row r="90027" spans="10:10" x14ac:dyDescent="0.3">
      <c r="J90027"/>
    </row>
    <row r="90028" spans="10:10" x14ac:dyDescent="0.3">
      <c r="J90028"/>
    </row>
    <row r="90029" spans="10:10" x14ac:dyDescent="0.3">
      <c r="J90029"/>
    </row>
    <row r="90030" spans="10:10" x14ac:dyDescent="0.3">
      <c r="J90030"/>
    </row>
    <row r="90031" spans="10:10" x14ac:dyDescent="0.3">
      <c r="J90031"/>
    </row>
    <row r="90032" spans="10:10" x14ac:dyDescent="0.3">
      <c r="J90032"/>
    </row>
    <row r="90033" spans="10:10" x14ac:dyDescent="0.3">
      <c r="J90033"/>
    </row>
    <row r="90034" spans="10:10" x14ac:dyDescent="0.3">
      <c r="J90034"/>
    </row>
    <row r="90035" spans="10:10" x14ac:dyDescent="0.3">
      <c r="J90035"/>
    </row>
    <row r="90036" spans="10:10" x14ac:dyDescent="0.3">
      <c r="J90036"/>
    </row>
    <row r="90037" spans="10:10" x14ac:dyDescent="0.3">
      <c r="J90037"/>
    </row>
    <row r="90038" spans="10:10" x14ac:dyDescent="0.3">
      <c r="J90038"/>
    </row>
    <row r="90039" spans="10:10" x14ac:dyDescent="0.3">
      <c r="J90039"/>
    </row>
    <row r="90040" spans="10:10" x14ac:dyDescent="0.3">
      <c r="J90040"/>
    </row>
    <row r="90041" spans="10:10" x14ac:dyDescent="0.3">
      <c r="J90041"/>
    </row>
    <row r="90042" spans="10:10" x14ac:dyDescent="0.3">
      <c r="J90042"/>
    </row>
    <row r="90043" spans="10:10" x14ac:dyDescent="0.3">
      <c r="J90043"/>
    </row>
    <row r="90044" spans="10:10" x14ac:dyDescent="0.3">
      <c r="J90044"/>
    </row>
    <row r="90045" spans="10:10" x14ac:dyDescent="0.3">
      <c r="J90045"/>
    </row>
    <row r="90046" spans="10:10" x14ac:dyDescent="0.3">
      <c r="J90046"/>
    </row>
    <row r="90047" spans="10:10" x14ac:dyDescent="0.3">
      <c r="J90047"/>
    </row>
    <row r="90048" spans="10:10" x14ac:dyDescent="0.3">
      <c r="J90048"/>
    </row>
    <row r="90049" spans="10:10" x14ac:dyDescent="0.3">
      <c r="J90049"/>
    </row>
    <row r="90050" spans="10:10" x14ac:dyDescent="0.3">
      <c r="J90050"/>
    </row>
    <row r="90051" spans="10:10" x14ac:dyDescent="0.3">
      <c r="J90051"/>
    </row>
    <row r="90052" spans="10:10" x14ac:dyDescent="0.3">
      <c r="J90052"/>
    </row>
    <row r="90053" spans="10:10" x14ac:dyDescent="0.3">
      <c r="J90053"/>
    </row>
    <row r="90054" spans="10:10" x14ac:dyDescent="0.3">
      <c r="J90054"/>
    </row>
    <row r="90055" spans="10:10" x14ac:dyDescent="0.3">
      <c r="J90055"/>
    </row>
    <row r="90056" spans="10:10" x14ac:dyDescent="0.3">
      <c r="J90056"/>
    </row>
    <row r="90057" spans="10:10" x14ac:dyDescent="0.3">
      <c r="J90057"/>
    </row>
    <row r="90058" spans="10:10" x14ac:dyDescent="0.3">
      <c r="J90058"/>
    </row>
    <row r="90059" spans="10:10" x14ac:dyDescent="0.3">
      <c r="J90059"/>
    </row>
    <row r="90060" spans="10:10" x14ac:dyDescent="0.3">
      <c r="J90060"/>
    </row>
    <row r="90061" spans="10:10" x14ac:dyDescent="0.3">
      <c r="J90061"/>
    </row>
    <row r="90062" spans="10:10" x14ac:dyDescent="0.3">
      <c r="J90062"/>
    </row>
    <row r="90063" spans="10:10" x14ac:dyDescent="0.3">
      <c r="J90063"/>
    </row>
    <row r="90064" spans="10:10" x14ac:dyDescent="0.3">
      <c r="J90064"/>
    </row>
    <row r="90065" spans="10:10" x14ac:dyDescent="0.3">
      <c r="J90065"/>
    </row>
    <row r="90066" spans="10:10" x14ac:dyDescent="0.3">
      <c r="J90066"/>
    </row>
    <row r="90067" spans="10:10" x14ac:dyDescent="0.3">
      <c r="J90067"/>
    </row>
    <row r="90068" spans="10:10" x14ac:dyDescent="0.3">
      <c r="J90068"/>
    </row>
    <row r="90069" spans="10:10" x14ac:dyDescent="0.3">
      <c r="J90069"/>
    </row>
    <row r="90070" spans="10:10" x14ac:dyDescent="0.3">
      <c r="J90070"/>
    </row>
    <row r="90071" spans="10:10" x14ac:dyDescent="0.3">
      <c r="J90071"/>
    </row>
    <row r="90072" spans="10:10" x14ac:dyDescent="0.3">
      <c r="J90072"/>
    </row>
    <row r="90073" spans="10:10" x14ac:dyDescent="0.3">
      <c r="J90073"/>
    </row>
    <row r="90074" spans="10:10" x14ac:dyDescent="0.3">
      <c r="J90074"/>
    </row>
    <row r="90075" spans="10:10" x14ac:dyDescent="0.3">
      <c r="J90075"/>
    </row>
    <row r="90076" spans="10:10" x14ac:dyDescent="0.3">
      <c r="J90076"/>
    </row>
    <row r="90077" spans="10:10" x14ac:dyDescent="0.3">
      <c r="J90077"/>
    </row>
    <row r="90078" spans="10:10" x14ac:dyDescent="0.3">
      <c r="J90078"/>
    </row>
    <row r="90079" spans="10:10" x14ac:dyDescent="0.3">
      <c r="J90079"/>
    </row>
    <row r="90080" spans="10:10" x14ac:dyDescent="0.3">
      <c r="J90080"/>
    </row>
    <row r="90081" spans="10:10" x14ac:dyDescent="0.3">
      <c r="J90081"/>
    </row>
    <row r="90082" spans="10:10" x14ac:dyDescent="0.3">
      <c r="J90082"/>
    </row>
    <row r="90083" spans="10:10" x14ac:dyDescent="0.3">
      <c r="J90083"/>
    </row>
    <row r="90084" spans="10:10" x14ac:dyDescent="0.3">
      <c r="J90084"/>
    </row>
    <row r="90085" spans="10:10" x14ac:dyDescent="0.3">
      <c r="J90085"/>
    </row>
    <row r="90086" spans="10:10" x14ac:dyDescent="0.3">
      <c r="J90086"/>
    </row>
    <row r="90087" spans="10:10" x14ac:dyDescent="0.3">
      <c r="J90087"/>
    </row>
    <row r="90088" spans="10:10" x14ac:dyDescent="0.3">
      <c r="J90088"/>
    </row>
    <row r="90089" spans="10:10" x14ac:dyDescent="0.3">
      <c r="J90089"/>
    </row>
    <row r="90090" spans="10:10" x14ac:dyDescent="0.3">
      <c r="J90090"/>
    </row>
    <row r="90091" spans="10:10" x14ac:dyDescent="0.3">
      <c r="J90091"/>
    </row>
    <row r="90092" spans="10:10" x14ac:dyDescent="0.3">
      <c r="J90092"/>
    </row>
    <row r="90093" spans="10:10" x14ac:dyDescent="0.3">
      <c r="J90093"/>
    </row>
    <row r="90094" spans="10:10" x14ac:dyDescent="0.3">
      <c r="J90094"/>
    </row>
    <row r="90095" spans="10:10" x14ac:dyDescent="0.3">
      <c r="J90095"/>
    </row>
    <row r="90096" spans="10:10" x14ac:dyDescent="0.3">
      <c r="J90096"/>
    </row>
    <row r="90097" spans="10:10" x14ac:dyDescent="0.3">
      <c r="J90097"/>
    </row>
    <row r="90098" spans="10:10" x14ac:dyDescent="0.3">
      <c r="J90098"/>
    </row>
    <row r="90099" spans="10:10" x14ac:dyDescent="0.3">
      <c r="J90099"/>
    </row>
    <row r="90100" spans="10:10" x14ac:dyDescent="0.3">
      <c r="J90100"/>
    </row>
    <row r="90101" spans="10:10" x14ac:dyDescent="0.3">
      <c r="J90101"/>
    </row>
    <row r="90102" spans="10:10" x14ac:dyDescent="0.3">
      <c r="J90102"/>
    </row>
    <row r="90103" spans="10:10" x14ac:dyDescent="0.3">
      <c r="J90103"/>
    </row>
    <row r="90104" spans="10:10" x14ac:dyDescent="0.3">
      <c r="J90104"/>
    </row>
    <row r="90105" spans="10:10" x14ac:dyDescent="0.3">
      <c r="J90105"/>
    </row>
    <row r="90106" spans="10:10" x14ac:dyDescent="0.3">
      <c r="J90106"/>
    </row>
    <row r="90107" spans="10:10" x14ac:dyDescent="0.3">
      <c r="J90107"/>
    </row>
    <row r="90108" spans="10:10" x14ac:dyDescent="0.3">
      <c r="J90108"/>
    </row>
    <row r="90109" spans="10:10" x14ac:dyDescent="0.3">
      <c r="J90109"/>
    </row>
    <row r="90110" spans="10:10" x14ac:dyDescent="0.3">
      <c r="J90110"/>
    </row>
    <row r="90111" spans="10:10" x14ac:dyDescent="0.3">
      <c r="J90111"/>
    </row>
    <row r="90112" spans="10:10" x14ac:dyDescent="0.3">
      <c r="J90112"/>
    </row>
    <row r="90113" spans="10:10" x14ac:dyDescent="0.3">
      <c r="J90113"/>
    </row>
    <row r="90114" spans="10:10" x14ac:dyDescent="0.3">
      <c r="J90114"/>
    </row>
    <row r="90115" spans="10:10" x14ac:dyDescent="0.3">
      <c r="J90115"/>
    </row>
    <row r="90116" spans="10:10" x14ac:dyDescent="0.3">
      <c r="J90116"/>
    </row>
    <row r="90117" spans="10:10" x14ac:dyDescent="0.3">
      <c r="J90117"/>
    </row>
    <row r="90118" spans="10:10" x14ac:dyDescent="0.3">
      <c r="J90118"/>
    </row>
    <row r="90119" spans="10:10" x14ac:dyDescent="0.3">
      <c r="J90119"/>
    </row>
    <row r="90120" spans="10:10" x14ac:dyDescent="0.3">
      <c r="J90120"/>
    </row>
    <row r="90121" spans="10:10" x14ac:dyDescent="0.3">
      <c r="J90121"/>
    </row>
    <row r="90122" spans="10:10" x14ac:dyDescent="0.3">
      <c r="J90122"/>
    </row>
    <row r="90123" spans="10:10" x14ac:dyDescent="0.3">
      <c r="J90123"/>
    </row>
    <row r="90124" spans="10:10" x14ac:dyDescent="0.3">
      <c r="J90124"/>
    </row>
    <row r="90125" spans="10:10" x14ac:dyDescent="0.3">
      <c r="J90125"/>
    </row>
    <row r="90126" spans="10:10" x14ac:dyDescent="0.3">
      <c r="J90126"/>
    </row>
    <row r="90127" spans="10:10" x14ac:dyDescent="0.3">
      <c r="J90127"/>
    </row>
    <row r="90128" spans="10:10" x14ac:dyDescent="0.3">
      <c r="J90128"/>
    </row>
    <row r="90129" spans="10:10" x14ac:dyDescent="0.3">
      <c r="J90129"/>
    </row>
    <row r="90130" spans="10:10" x14ac:dyDescent="0.3">
      <c r="J90130"/>
    </row>
    <row r="90131" spans="10:10" x14ac:dyDescent="0.3">
      <c r="J90131"/>
    </row>
    <row r="90132" spans="10:10" x14ac:dyDescent="0.3">
      <c r="J90132"/>
    </row>
    <row r="90133" spans="10:10" x14ac:dyDescent="0.3">
      <c r="J90133"/>
    </row>
    <row r="90134" spans="10:10" x14ac:dyDescent="0.3">
      <c r="J90134"/>
    </row>
    <row r="90135" spans="10:10" x14ac:dyDescent="0.3">
      <c r="J90135"/>
    </row>
    <row r="90136" spans="10:10" x14ac:dyDescent="0.3">
      <c r="J90136"/>
    </row>
    <row r="90137" spans="10:10" x14ac:dyDescent="0.3">
      <c r="J90137"/>
    </row>
    <row r="90138" spans="10:10" x14ac:dyDescent="0.3">
      <c r="J90138"/>
    </row>
    <row r="90139" spans="10:10" x14ac:dyDescent="0.3">
      <c r="J90139"/>
    </row>
    <row r="90140" spans="10:10" x14ac:dyDescent="0.3">
      <c r="J90140"/>
    </row>
    <row r="90141" spans="10:10" x14ac:dyDescent="0.3">
      <c r="J90141"/>
    </row>
    <row r="90142" spans="10:10" x14ac:dyDescent="0.3">
      <c r="J90142"/>
    </row>
    <row r="90143" spans="10:10" x14ac:dyDescent="0.3">
      <c r="J90143"/>
    </row>
    <row r="90144" spans="10:10" x14ac:dyDescent="0.3">
      <c r="J90144"/>
    </row>
    <row r="90145" spans="10:10" x14ac:dyDescent="0.3">
      <c r="J90145"/>
    </row>
    <row r="90146" spans="10:10" x14ac:dyDescent="0.3">
      <c r="J90146"/>
    </row>
    <row r="90147" spans="10:10" x14ac:dyDescent="0.3">
      <c r="J90147"/>
    </row>
    <row r="90148" spans="10:10" x14ac:dyDescent="0.3">
      <c r="J90148"/>
    </row>
    <row r="90149" spans="10:10" x14ac:dyDescent="0.3">
      <c r="J90149"/>
    </row>
    <row r="90150" spans="10:10" x14ac:dyDescent="0.3">
      <c r="J90150"/>
    </row>
    <row r="90151" spans="10:10" x14ac:dyDescent="0.3">
      <c r="J90151"/>
    </row>
    <row r="90152" spans="10:10" x14ac:dyDescent="0.3">
      <c r="J90152"/>
    </row>
    <row r="90153" spans="10:10" x14ac:dyDescent="0.3">
      <c r="J90153"/>
    </row>
    <row r="90154" spans="10:10" x14ac:dyDescent="0.3">
      <c r="J90154"/>
    </row>
    <row r="90155" spans="10:10" x14ac:dyDescent="0.3">
      <c r="J90155"/>
    </row>
    <row r="90156" spans="10:10" x14ac:dyDescent="0.3">
      <c r="J90156"/>
    </row>
    <row r="90157" spans="10:10" x14ac:dyDescent="0.3">
      <c r="J90157"/>
    </row>
    <row r="90158" spans="10:10" x14ac:dyDescent="0.3">
      <c r="J90158"/>
    </row>
    <row r="90159" spans="10:10" x14ac:dyDescent="0.3">
      <c r="J90159"/>
    </row>
    <row r="90160" spans="10:10" x14ac:dyDescent="0.3">
      <c r="J90160"/>
    </row>
    <row r="90161" spans="10:10" x14ac:dyDescent="0.3">
      <c r="J90161"/>
    </row>
    <row r="90162" spans="10:10" x14ac:dyDescent="0.3">
      <c r="J90162"/>
    </row>
    <row r="90163" spans="10:10" x14ac:dyDescent="0.3">
      <c r="J90163"/>
    </row>
    <row r="90164" spans="10:10" x14ac:dyDescent="0.3">
      <c r="J90164"/>
    </row>
    <row r="90165" spans="10:10" x14ac:dyDescent="0.3">
      <c r="J90165"/>
    </row>
    <row r="90166" spans="10:10" x14ac:dyDescent="0.3">
      <c r="J90166"/>
    </row>
    <row r="90167" spans="10:10" x14ac:dyDescent="0.3">
      <c r="J90167"/>
    </row>
    <row r="90168" spans="10:10" x14ac:dyDescent="0.3">
      <c r="J90168"/>
    </row>
    <row r="90169" spans="10:10" x14ac:dyDescent="0.3">
      <c r="J90169"/>
    </row>
    <row r="90170" spans="10:10" x14ac:dyDescent="0.3">
      <c r="J90170"/>
    </row>
    <row r="90171" spans="10:10" x14ac:dyDescent="0.3">
      <c r="J90171"/>
    </row>
    <row r="90172" spans="10:10" x14ac:dyDescent="0.3">
      <c r="J90172"/>
    </row>
    <row r="90173" spans="10:10" x14ac:dyDescent="0.3">
      <c r="J90173"/>
    </row>
    <row r="90174" spans="10:10" x14ac:dyDescent="0.3">
      <c r="J90174"/>
    </row>
    <row r="90175" spans="10:10" x14ac:dyDescent="0.3">
      <c r="J90175"/>
    </row>
    <row r="90176" spans="10:10" x14ac:dyDescent="0.3">
      <c r="J90176"/>
    </row>
    <row r="90177" spans="10:10" x14ac:dyDescent="0.3">
      <c r="J90177"/>
    </row>
    <row r="90178" spans="10:10" x14ac:dyDescent="0.3">
      <c r="J90178"/>
    </row>
    <row r="90179" spans="10:10" x14ac:dyDescent="0.3">
      <c r="J90179"/>
    </row>
    <row r="90180" spans="10:10" x14ac:dyDescent="0.3">
      <c r="J90180"/>
    </row>
    <row r="90181" spans="10:10" x14ac:dyDescent="0.3">
      <c r="J90181"/>
    </row>
    <row r="90182" spans="10:10" x14ac:dyDescent="0.3">
      <c r="J90182"/>
    </row>
    <row r="90183" spans="10:10" x14ac:dyDescent="0.3">
      <c r="J90183"/>
    </row>
    <row r="90184" spans="10:10" x14ac:dyDescent="0.3">
      <c r="J90184"/>
    </row>
    <row r="90185" spans="10:10" x14ac:dyDescent="0.3">
      <c r="J90185"/>
    </row>
    <row r="90186" spans="10:10" x14ac:dyDescent="0.3">
      <c r="J90186"/>
    </row>
    <row r="90187" spans="10:10" x14ac:dyDescent="0.3">
      <c r="J90187"/>
    </row>
    <row r="90188" spans="10:10" x14ac:dyDescent="0.3">
      <c r="J90188"/>
    </row>
    <row r="90189" spans="10:10" x14ac:dyDescent="0.3">
      <c r="J90189"/>
    </row>
    <row r="90190" spans="10:10" x14ac:dyDescent="0.3">
      <c r="J90190"/>
    </row>
    <row r="90191" spans="10:10" x14ac:dyDescent="0.3">
      <c r="J90191"/>
    </row>
    <row r="90192" spans="10:10" x14ac:dyDescent="0.3">
      <c r="J90192"/>
    </row>
    <row r="90193" spans="10:10" x14ac:dyDescent="0.3">
      <c r="J90193"/>
    </row>
    <row r="90194" spans="10:10" x14ac:dyDescent="0.3">
      <c r="J90194"/>
    </row>
    <row r="90195" spans="10:10" x14ac:dyDescent="0.3">
      <c r="J90195"/>
    </row>
    <row r="90196" spans="10:10" x14ac:dyDescent="0.3">
      <c r="J90196"/>
    </row>
    <row r="90197" spans="10:10" x14ac:dyDescent="0.3">
      <c r="J90197"/>
    </row>
    <row r="90198" spans="10:10" x14ac:dyDescent="0.3">
      <c r="J90198"/>
    </row>
    <row r="90199" spans="10:10" x14ac:dyDescent="0.3">
      <c r="J90199"/>
    </row>
    <row r="90200" spans="10:10" x14ac:dyDescent="0.3">
      <c r="J90200"/>
    </row>
    <row r="90201" spans="10:10" x14ac:dyDescent="0.3">
      <c r="J90201"/>
    </row>
    <row r="90202" spans="10:10" x14ac:dyDescent="0.3">
      <c r="J90202"/>
    </row>
    <row r="90203" spans="10:10" x14ac:dyDescent="0.3">
      <c r="J90203"/>
    </row>
    <row r="90204" spans="10:10" x14ac:dyDescent="0.3">
      <c r="J90204"/>
    </row>
    <row r="90205" spans="10:10" x14ac:dyDescent="0.3">
      <c r="J90205"/>
    </row>
    <row r="90206" spans="10:10" x14ac:dyDescent="0.3">
      <c r="J90206"/>
    </row>
    <row r="90207" spans="10:10" x14ac:dyDescent="0.3">
      <c r="J90207"/>
    </row>
    <row r="90208" spans="10:10" x14ac:dyDescent="0.3">
      <c r="J90208"/>
    </row>
    <row r="90209" spans="10:10" x14ac:dyDescent="0.3">
      <c r="J90209"/>
    </row>
    <row r="90210" spans="10:10" x14ac:dyDescent="0.3">
      <c r="J90210"/>
    </row>
    <row r="90211" spans="10:10" x14ac:dyDescent="0.3">
      <c r="J90211"/>
    </row>
    <row r="90212" spans="10:10" x14ac:dyDescent="0.3">
      <c r="J90212"/>
    </row>
    <row r="90213" spans="10:10" x14ac:dyDescent="0.3">
      <c r="J90213"/>
    </row>
    <row r="90214" spans="10:10" x14ac:dyDescent="0.3">
      <c r="J90214"/>
    </row>
    <row r="90215" spans="10:10" x14ac:dyDescent="0.3">
      <c r="J90215"/>
    </row>
    <row r="90216" spans="10:10" x14ac:dyDescent="0.3">
      <c r="J90216"/>
    </row>
    <row r="90217" spans="10:10" x14ac:dyDescent="0.3">
      <c r="J90217"/>
    </row>
    <row r="90218" spans="10:10" x14ac:dyDescent="0.3">
      <c r="J90218"/>
    </row>
    <row r="90219" spans="10:10" x14ac:dyDescent="0.3">
      <c r="J90219"/>
    </row>
    <row r="90220" spans="10:10" x14ac:dyDescent="0.3">
      <c r="J90220"/>
    </row>
    <row r="90221" spans="10:10" x14ac:dyDescent="0.3">
      <c r="J90221"/>
    </row>
    <row r="90222" spans="10:10" x14ac:dyDescent="0.3">
      <c r="J90222"/>
    </row>
    <row r="90223" spans="10:10" x14ac:dyDescent="0.3">
      <c r="J90223"/>
    </row>
    <row r="90224" spans="10:10" x14ac:dyDescent="0.3">
      <c r="J90224"/>
    </row>
    <row r="90225" spans="10:10" x14ac:dyDescent="0.3">
      <c r="J90225"/>
    </row>
    <row r="90226" spans="10:10" x14ac:dyDescent="0.3">
      <c r="J90226"/>
    </row>
    <row r="90227" spans="10:10" x14ac:dyDescent="0.3">
      <c r="J90227"/>
    </row>
    <row r="90228" spans="10:10" x14ac:dyDescent="0.3">
      <c r="J90228"/>
    </row>
    <row r="90229" spans="10:10" x14ac:dyDescent="0.3">
      <c r="J90229"/>
    </row>
    <row r="90230" spans="10:10" x14ac:dyDescent="0.3">
      <c r="J90230"/>
    </row>
    <row r="90231" spans="10:10" x14ac:dyDescent="0.3">
      <c r="J90231"/>
    </row>
    <row r="90232" spans="10:10" x14ac:dyDescent="0.3">
      <c r="J90232"/>
    </row>
    <row r="90233" spans="10:10" x14ac:dyDescent="0.3">
      <c r="J90233"/>
    </row>
    <row r="90234" spans="10:10" x14ac:dyDescent="0.3">
      <c r="J90234"/>
    </row>
    <row r="90235" spans="10:10" x14ac:dyDescent="0.3">
      <c r="J90235"/>
    </row>
    <row r="90236" spans="10:10" x14ac:dyDescent="0.3">
      <c r="J90236"/>
    </row>
    <row r="90237" spans="10:10" x14ac:dyDescent="0.3">
      <c r="J90237"/>
    </row>
    <row r="90238" spans="10:10" x14ac:dyDescent="0.3">
      <c r="J90238"/>
    </row>
    <row r="90239" spans="10:10" x14ac:dyDescent="0.3">
      <c r="J90239"/>
    </row>
    <row r="90240" spans="10:10" x14ac:dyDescent="0.3">
      <c r="J90240"/>
    </row>
    <row r="90241" spans="10:10" x14ac:dyDescent="0.3">
      <c r="J90241"/>
    </row>
    <row r="90242" spans="10:10" x14ac:dyDescent="0.3">
      <c r="J90242"/>
    </row>
    <row r="90243" spans="10:10" x14ac:dyDescent="0.3">
      <c r="J90243"/>
    </row>
    <row r="90244" spans="10:10" x14ac:dyDescent="0.3">
      <c r="J90244"/>
    </row>
    <row r="90245" spans="10:10" x14ac:dyDescent="0.3">
      <c r="J90245"/>
    </row>
    <row r="90246" spans="10:10" x14ac:dyDescent="0.3">
      <c r="J90246"/>
    </row>
    <row r="90247" spans="10:10" x14ac:dyDescent="0.3">
      <c r="J90247"/>
    </row>
    <row r="90248" spans="10:10" x14ac:dyDescent="0.3">
      <c r="J90248"/>
    </row>
    <row r="90249" spans="10:10" x14ac:dyDescent="0.3">
      <c r="J90249"/>
    </row>
    <row r="90250" spans="10:10" x14ac:dyDescent="0.3">
      <c r="J90250"/>
    </row>
    <row r="90251" spans="10:10" x14ac:dyDescent="0.3">
      <c r="J90251"/>
    </row>
    <row r="90252" spans="10:10" x14ac:dyDescent="0.3">
      <c r="J90252"/>
    </row>
    <row r="90253" spans="10:10" x14ac:dyDescent="0.3">
      <c r="J90253"/>
    </row>
    <row r="90254" spans="10:10" x14ac:dyDescent="0.3">
      <c r="J90254"/>
    </row>
    <row r="90255" spans="10:10" x14ac:dyDescent="0.3">
      <c r="J90255"/>
    </row>
    <row r="90256" spans="10:10" x14ac:dyDescent="0.3">
      <c r="J90256"/>
    </row>
    <row r="90257" spans="10:10" x14ac:dyDescent="0.3">
      <c r="J90257"/>
    </row>
    <row r="90258" spans="10:10" x14ac:dyDescent="0.3">
      <c r="J90258"/>
    </row>
    <row r="90259" spans="10:10" x14ac:dyDescent="0.3">
      <c r="J90259"/>
    </row>
    <row r="90260" spans="10:10" x14ac:dyDescent="0.3">
      <c r="J90260"/>
    </row>
    <row r="90261" spans="10:10" x14ac:dyDescent="0.3">
      <c r="J90261"/>
    </row>
    <row r="90262" spans="10:10" x14ac:dyDescent="0.3">
      <c r="J90262"/>
    </row>
    <row r="90263" spans="10:10" x14ac:dyDescent="0.3">
      <c r="J90263"/>
    </row>
    <row r="90264" spans="10:10" x14ac:dyDescent="0.3">
      <c r="J90264"/>
    </row>
    <row r="90265" spans="10:10" x14ac:dyDescent="0.3">
      <c r="J90265"/>
    </row>
    <row r="90266" spans="10:10" x14ac:dyDescent="0.3">
      <c r="J90266"/>
    </row>
    <row r="90267" spans="10:10" x14ac:dyDescent="0.3">
      <c r="J90267"/>
    </row>
    <row r="90268" spans="10:10" x14ac:dyDescent="0.3">
      <c r="J90268"/>
    </row>
    <row r="90269" spans="10:10" x14ac:dyDescent="0.3">
      <c r="J90269"/>
    </row>
    <row r="90270" spans="10:10" x14ac:dyDescent="0.3">
      <c r="J90270"/>
    </row>
    <row r="90271" spans="10:10" x14ac:dyDescent="0.3">
      <c r="J90271"/>
    </row>
    <row r="90272" spans="10:10" x14ac:dyDescent="0.3">
      <c r="J90272"/>
    </row>
    <row r="90273" spans="10:10" x14ac:dyDescent="0.3">
      <c r="J90273"/>
    </row>
    <row r="90274" spans="10:10" x14ac:dyDescent="0.3">
      <c r="J90274"/>
    </row>
    <row r="90275" spans="10:10" x14ac:dyDescent="0.3">
      <c r="J90275"/>
    </row>
    <row r="90276" spans="10:10" x14ac:dyDescent="0.3">
      <c r="J90276"/>
    </row>
    <row r="90277" spans="10:10" x14ac:dyDescent="0.3">
      <c r="J90277"/>
    </row>
    <row r="90278" spans="10:10" x14ac:dyDescent="0.3">
      <c r="J90278"/>
    </row>
    <row r="90279" spans="10:10" x14ac:dyDescent="0.3">
      <c r="J90279"/>
    </row>
    <row r="90280" spans="10:10" x14ac:dyDescent="0.3">
      <c r="J90280"/>
    </row>
    <row r="90281" spans="10:10" x14ac:dyDescent="0.3">
      <c r="J90281"/>
    </row>
    <row r="90282" spans="10:10" x14ac:dyDescent="0.3">
      <c r="J90282"/>
    </row>
    <row r="90283" spans="10:10" x14ac:dyDescent="0.3">
      <c r="J90283"/>
    </row>
    <row r="90284" spans="10:10" x14ac:dyDescent="0.3">
      <c r="J90284"/>
    </row>
    <row r="90285" spans="10:10" x14ac:dyDescent="0.3">
      <c r="J90285"/>
    </row>
    <row r="90286" spans="10:10" x14ac:dyDescent="0.3">
      <c r="J90286"/>
    </row>
    <row r="90287" spans="10:10" x14ac:dyDescent="0.3">
      <c r="J90287"/>
    </row>
    <row r="90288" spans="10:10" x14ac:dyDescent="0.3">
      <c r="J90288"/>
    </row>
    <row r="90289" spans="10:10" x14ac:dyDescent="0.3">
      <c r="J90289"/>
    </row>
    <row r="90290" spans="10:10" x14ac:dyDescent="0.3">
      <c r="J90290"/>
    </row>
    <row r="90291" spans="10:10" x14ac:dyDescent="0.3">
      <c r="J90291"/>
    </row>
    <row r="90292" spans="10:10" x14ac:dyDescent="0.3">
      <c r="J90292"/>
    </row>
    <row r="90293" spans="10:10" x14ac:dyDescent="0.3">
      <c r="J90293"/>
    </row>
    <row r="90294" spans="10:10" x14ac:dyDescent="0.3">
      <c r="J90294"/>
    </row>
    <row r="90295" spans="10:10" x14ac:dyDescent="0.3">
      <c r="J90295"/>
    </row>
    <row r="90296" spans="10:10" x14ac:dyDescent="0.3">
      <c r="J90296"/>
    </row>
    <row r="90297" spans="10:10" x14ac:dyDescent="0.3">
      <c r="J90297"/>
    </row>
    <row r="90298" spans="10:10" x14ac:dyDescent="0.3">
      <c r="J90298"/>
    </row>
    <row r="90299" spans="10:10" x14ac:dyDescent="0.3">
      <c r="J90299"/>
    </row>
    <row r="90300" spans="10:10" x14ac:dyDescent="0.3">
      <c r="J90300"/>
    </row>
    <row r="90301" spans="10:10" x14ac:dyDescent="0.3">
      <c r="J90301"/>
    </row>
    <row r="90302" spans="10:10" x14ac:dyDescent="0.3">
      <c r="J90302"/>
    </row>
    <row r="90303" spans="10:10" x14ac:dyDescent="0.3">
      <c r="J90303"/>
    </row>
    <row r="90304" spans="10:10" x14ac:dyDescent="0.3">
      <c r="J90304"/>
    </row>
    <row r="90305" spans="10:10" x14ac:dyDescent="0.3">
      <c r="J90305"/>
    </row>
    <row r="90306" spans="10:10" x14ac:dyDescent="0.3">
      <c r="J90306"/>
    </row>
    <row r="90307" spans="10:10" x14ac:dyDescent="0.3">
      <c r="J90307"/>
    </row>
    <row r="90308" spans="10:10" x14ac:dyDescent="0.3">
      <c r="J90308"/>
    </row>
    <row r="90309" spans="10:10" x14ac:dyDescent="0.3">
      <c r="J90309"/>
    </row>
    <row r="90310" spans="10:10" x14ac:dyDescent="0.3">
      <c r="J90310"/>
    </row>
    <row r="90311" spans="10:10" x14ac:dyDescent="0.3">
      <c r="J90311"/>
    </row>
    <row r="90312" spans="10:10" x14ac:dyDescent="0.3">
      <c r="J90312"/>
    </row>
    <row r="90313" spans="10:10" x14ac:dyDescent="0.3">
      <c r="J90313"/>
    </row>
    <row r="90314" spans="10:10" x14ac:dyDescent="0.3">
      <c r="J90314"/>
    </row>
    <row r="90315" spans="10:10" x14ac:dyDescent="0.3">
      <c r="J90315"/>
    </row>
    <row r="90316" spans="10:10" x14ac:dyDescent="0.3">
      <c r="J90316"/>
    </row>
    <row r="90317" spans="10:10" x14ac:dyDescent="0.3">
      <c r="J90317"/>
    </row>
    <row r="90318" spans="10:10" x14ac:dyDescent="0.3">
      <c r="J90318"/>
    </row>
    <row r="90319" spans="10:10" x14ac:dyDescent="0.3">
      <c r="J90319"/>
    </row>
    <row r="90320" spans="10:10" x14ac:dyDescent="0.3">
      <c r="J90320"/>
    </row>
    <row r="90321" spans="10:10" x14ac:dyDescent="0.3">
      <c r="J90321"/>
    </row>
    <row r="90322" spans="10:10" x14ac:dyDescent="0.3">
      <c r="J90322"/>
    </row>
    <row r="90323" spans="10:10" x14ac:dyDescent="0.3">
      <c r="J90323"/>
    </row>
    <row r="90324" spans="10:10" x14ac:dyDescent="0.3">
      <c r="J90324"/>
    </row>
    <row r="90325" spans="10:10" x14ac:dyDescent="0.3">
      <c r="J90325"/>
    </row>
    <row r="90326" spans="10:10" x14ac:dyDescent="0.3">
      <c r="J90326"/>
    </row>
    <row r="90327" spans="10:10" x14ac:dyDescent="0.3">
      <c r="J90327"/>
    </row>
    <row r="90328" spans="10:10" x14ac:dyDescent="0.3">
      <c r="J90328"/>
    </row>
    <row r="90329" spans="10:10" x14ac:dyDescent="0.3">
      <c r="J90329"/>
    </row>
    <row r="90330" spans="10:10" x14ac:dyDescent="0.3">
      <c r="J90330"/>
    </row>
    <row r="90331" spans="10:10" x14ac:dyDescent="0.3">
      <c r="J90331"/>
    </row>
    <row r="90332" spans="10:10" x14ac:dyDescent="0.3">
      <c r="J90332"/>
    </row>
    <row r="90333" spans="10:10" x14ac:dyDescent="0.3">
      <c r="J90333"/>
    </row>
    <row r="90334" spans="10:10" x14ac:dyDescent="0.3">
      <c r="J90334"/>
    </row>
    <row r="90335" spans="10:10" x14ac:dyDescent="0.3">
      <c r="J90335"/>
    </row>
    <row r="90336" spans="10:10" x14ac:dyDescent="0.3">
      <c r="J90336"/>
    </row>
    <row r="90337" spans="10:10" x14ac:dyDescent="0.3">
      <c r="J90337"/>
    </row>
    <row r="90338" spans="10:10" x14ac:dyDescent="0.3">
      <c r="J90338"/>
    </row>
    <row r="90339" spans="10:10" x14ac:dyDescent="0.3">
      <c r="J90339"/>
    </row>
    <row r="90340" spans="10:10" x14ac:dyDescent="0.3">
      <c r="J90340"/>
    </row>
    <row r="90341" spans="10:10" x14ac:dyDescent="0.3">
      <c r="J90341"/>
    </row>
    <row r="90342" spans="10:10" x14ac:dyDescent="0.3">
      <c r="J90342"/>
    </row>
    <row r="90343" spans="10:10" x14ac:dyDescent="0.3">
      <c r="J90343"/>
    </row>
    <row r="90344" spans="10:10" x14ac:dyDescent="0.3">
      <c r="J90344"/>
    </row>
    <row r="90345" spans="10:10" x14ac:dyDescent="0.3">
      <c r="J90345"/>
    </row>
    <row r="90346" spans="10:10" x14ac:dyDescent="0.3">
      <c r="J90346"/>
    </row>
    <row r="90347" spans="10:10" x14ac:dyDescent="0.3">
      <c r="J90347"/>
    </row>
    <row r="90348" spans="10:10" x14ac:dyDescent="0.3">
      <c r="J90348"/>
    </row>
    <row r="90349" spans="10:10" x14ac:dyDescent="0.3">
      <c r="J90349"/>
    </row>
    <row r="90350" spans="10:10" x14ac:dyDescent="0.3">
      <c r="J90350"/>
    </row>
    <row r="90351" spans="10:10" x14ac:dyDescent="0.3">
      <c r="J90351"/>
    </row>
    <row r="90352" spans="10:10" x14ac:dyDescent="0.3">
      <c r="J90352"/>
    </row>
    <row r="90353" spans="10:10" x14ac:dyDescent="0.3">
      <c r="J90353"/>
    </row>
    <row r="90354" spans="10:10" x14ac:dyDescent="0.3">
      <c r="J90354"/>
    </row>
    <row r="90355" spans="10:10" x14ac:dyDescent="0.3">
      <c r="J90355"/>
    </row>
    <row r="90356" spans="10:10" x14ac:dyDescent="0.3">
      <c r="J90356"/>
    </row>
    <row r="90357" spans="10:10" x14ac:dyDescent="0.3">
      <c r="J90357"/>
    </row>
    <row r="90358" spans="10:10" x14ac:dyDescent="0.3">
      <c r="J90358"/>
    </row>
    <row r="90359" spans="10:10" x14ac:dyDescent="0.3">
      <c r="J90359"/>
    </row>
    <row r="90360" spans="10:10" x14ac:dyDescent="0.3">
      <c r="J90360"/>
    </row>
    <row r="90361" spans="10:10" x14ac:dyDescent="0.3">
      <c r="J90361"/>
    </row>
    <row r="90362" spans="10:10" x14ac:dyDescent="0.3">
      <c r="J90362"/>
    </row>
    <row r="90363" spans="10:10" x14ac:dyDescent="0.3">
      <c r="J90363"/>
    </row>
    <row r="90364" spans="10:10" x14ac:dyDescent="0.3">
      <c r="J90364"/>
    </row>
    <row r="90365" spans="10:10" x14ac:dyDescent="0.3">
      <c r="J90365"/>
    </row>
    <row r="90366" spans="10:10" x14ac:dyDescent="0.3">
      <c r="J90366"/>
    </row>
    <row r="90367" spans="10:10" x14ac:dyDescent="0.3">
      <c r="J90367"/>
    </row>
    <row r="90368" spans="10:10" x14ac:dyDescent="0.3">
      <c r="J90368"/>
    </row>
    <row r="90369" spans="10:10" x14ac:dyDescent="0.3">
      <c r="J90369"/>
    </row>
    <row r="90370" spans="10:10" x14ac:dyDescent="0.3">
      <c r="J90370"/>
    </row>
    <row r="90371" spans="10:10" x14ac:dyDescent="0.3">
      <c r="J90371"/>
    </row>
    <row r="90372" spans="10:10" x14ac:dyDescent="0.3">
      <c r="J90372"/>
    </row>
    <row r="90373" spans="10:10" x14ac:dyDescent="0.3">
      <c r="J90373"/>
    </row>
    <row r="90374" spans="10:10" x14ac:dyDescent="0.3">
      <c r="J90374"/>
    </row>
    <row r="90375" spans="10:10" x14ac:dyDescent="0.3">
      <c r="J90375"/>
    </row>
    <row r="90376" spans="10:10" x14ac:dyDescent="0.3">
      <c r="J90376"/>
    </row>
    <row r="90377" spans="10:10" x14ac:dyDescent="0.3">
      <c r="J90377"/>
    </row>
    <row r="90378" spans="10:10" x14ac:dyDescent="0.3">
      <c r="J90378"/>
    </row>
    <row r="90379" spans="10:10" x14ac:dyDescent="0.3">
      <c r="J90379"/>
    </row>
    <row r="90380" spans="10:10" x14ac:dyDescent="0.3">
      <c r="J90380"/>
    </row>
    <row r="90381" spans="10:10" x14ac:dyDescent="0.3">
      <c r="J90381"/>
    </row>
    <row r="90382" spans="10:10" x14ac:dyDescent="0.3">
      <c r="J90382"/>
    </row>
    <row r="90383" spans="10:10" x14ac:dyDescent="0.3">
      <c r="J90383"/>
    </row>
    <row r="90384" spans="10:10" x14ac:dyDescent="0.3">
      <c r="J90384"/>
    </row>
    <row r="90385" spans="10:10" x14ac:dyDescent="0.3">
      <c r="J90385"/>
    </row>
    <row r="90386" spans="10:10" x14ac:dyDescent="0.3">
      <c r="J90386"/>
    </row>
    <row r="90387" spans="10:10" x14ac:dyDescent="0.3">
      <c r="J90387"/>
    </row>
    <row r="90388" spans="10:10" x14ac:dyDescent="0.3">
      <c r="J90388"/>
    </row>
    <row r="90389" spans="10:10" x14ac:dyDescent="0.3">
      <c r="J90389"/>
    </row>
    <row r="90390" spans="10:10" x14ac:dyDescent="0.3">
      <c r="J90390"/>
    </row>
    <row r="90391" spans="10:10" x14ac:dyDescent="0.3">
      <c r="J90391"/>
    </row>
    <row r="90392" spans="10:10" x14ac:dyDescent="0.3">
      <c r="J90392"/>
    </row>
    <row r="90393" spans="10:10" x14ac:dyDescent="0.3">
      <c r="J90393"/>
    </row>
    <row r="90394" spans="10:10" x14ac:dyDescent="0.3">
      <c r="J90394"/>
    </row>
    <row r="90395" spans="10:10" x14ac:dyDescent="0.3">
      <c r="J90395"/>
    </row>
    <row r="90396" spans="10:10" x14ac:dyDescent="0.3">
      <c r="J90396"/>
    </row>
    <row r="90397" spans="10:10" x14ac:dyDescent="0.3">
      <c r="J90397"/>
    </row>
    <row r="90398" spans="10:10" x14ac:dyDescent="0.3">
      <c r="J90398"/>
    </row>
    <row r="90399" spans="10:10" x14ac:dyDescent="0.3">
      <c r="J90399"/>
    </row>
    <row r="90400" spans="10:10" x14ac:dyDescent="0.3">
      <c r="J90400"/>
    </row>
    <row r="90401" spans="10:10" x14ac:dyDescent="0.3">
      <c r="J90401"/>
    </row>
    <row r="90402" spans="10:10" x14ac:dyDescent="0.3">
      <c r="J90402"/>
    </row>
    <row r="90403" spans="10:10" x14ac:dyDescent="0.3">
      <c r="J90403"/>
    </row>
    <row r="90404" spans="10:10" x14ac:dyDescent="0.3">
      <c r="J90404"/>
    </row>
    <row r="90405" spans="10:10" x14ac:dyDescent="0.3">
      <c r="J90405"/>
    </row>
    <row r="90406" spans="10:10" x14ac:dyDescent="0.3">
      <c r="J90406"/>
    </row>
    <row r="90407" spans="10:10" x14ac:dyDescent="0.3">
      <c r="J90407"/>
    </row>
    <row r="90408" spans="10:10" x14ac:dyDescent="0.3">
      <c r="J90408"/>
    </row>
    <row r="90409" spans="10:10" x14ac:dyDescent="0.3">
      <c r="J90409"/>
    </row>
    <row r="90410" spans="10:10" x14ac:dyDescent="0.3">
      <c r="J90410"/>
    </row>
    <row r="90411" spans="10:10" x14ac:dyDescent="0.3">
      <c r="J90411"/>
    </row>
    <row r="90412" spans="10:10" x14ac:dyDescent="0.3">
      <c r="J90412"/>
    </row>
    <row r="90413" spans="10:10" x14ac:dyDescent="0.3">
      <c r="J90413"/>
    </row>
    <row r="90414" spans="10:10" x14ac:dyDescent="0.3">
      <c r="J90414"/>
    </row>
    <row r="90415" spans="10:10" x14ac:dyDescent="0.3">
      <c r="J90415"/>
    </row>
    <row r="90416" spans="10:10" x14ac:dyDescent="0.3">
      <c r="J90416"/>
    </row>
    <row r="90417" spans="10:10" x14ac:dyDescent="0.3">
      <c r="J90417"/>
    </row>
    <row r="90418" spans="10:10" x14ac:dyDescent="0.3">
      <c r="J90418"/>
    </row>
    <row r="90419" spans="10:10" x14ac:dyDescent="0.3">
      <c r="J90419"/>
    </row>
    <row r="90420" spans="10:10" x14ac:dyDescent="0.3">
      <c r="J90420"/>
    </row>
    <row r="90421" spans="10:10" x14ac:dyDescent="0.3">
      <c r="J90421"/>
    </row>
    <row r="90422" spans="10:10" x14ac:dyDescent="0.3">
      <c r="J90422"/>
    </row>
    <row r="90423" spans="10:10" x14ac:dyDescent="0.3">
      <c r="J90423"/>
    </row>
    <row r="90424" spans="10:10" x14ac:dyDescent="0.3">
      <c r="J90424"/>
    </row>
    <row r="90425" spans="10:10" x14ac:dyDescent="0.3">
      <c r="J90425"/>
    </row>
    <row r="90426" spans="10:10" x14ac:dyDescent="0.3">
      <c r="J90426"/>
    </row>
    <row r="90427" spans="10:10" x14ac:dyDescent="0.3">
      <c r="J90427"/>
    </row>
    <row r="90428" spans="10:10" x14ac:dyDescent="0.3">
      <c r="J90428"/>
    </row>
    <row r="90429" spans="10:10" x14ac:dyDescent="0.3">
      <c r="J90429"/>
    </row>
    <row r="90430" spans="10:10" x14ac:dyDescent="0.3">
      <c r="J90430"/>
    </row>
    <row r="90431" spans="10:10" x14ac:dyDescent="0.3">
      <c r="J90431"/>
    </row>
    <row r="90432" spans="10:10" x14ac:dyDescent="0.3">
      <c r="J90432"/>
    </row>
    <row r="90433" spans="10:10" x14ac:dyDescent="0.3">
      <c r="J90433"/>
    </row>
    <row r="90434" spans="10:10" x14ac:dyDescent="0.3">
      <c r="J90434"/>
    </row>
    <row r="90435" spans="10:10" x14ac:dyDescent="0.3">
      <c r="J90435"/>
    </row>
    <row r="90436" spans="10:10" x14ac:dyDescent="0.3">
      <c r="J90436"/>
    </row>
    <row r="90437" spans="10:10" x14ac:dyDescent="0.3">
      <c r="J90437"/>
    </row>
    <row r="90438" spans="10:10" x14ac:dyDescent="0.3">
      <c r="J90438"/>
    </row>
    <row r="90439" spans="10:10" x14ac:dyDescent="0.3">
      <c r="J90439"/>
    </row>
    <row r="90440" spans="10:10" x14ac:dyDescent="0.3">
      <c r="J90440"/>
    </row>
    <row r="90441" spans="10:10" x14ac:dyDescent="0.3">
      <c r="J90441"/>
    </row>
    <row r="90442" spans="10:10" x14ac:dyDescent="0.3">
      <c r="J90442"/>
    </row>
    <row r="90443" spans="10:10" x14ac:dyDescent="0.3">
      <c r="J90443"/>
    </row>
    <row r="90444" spans="10:10" x14ac:dyDescent="0.3">
      <c r="J90444"/>
    </row>
    <row r="90445" spans="10:10" x14ac:dyDescent="0.3">
      <c r="J90445"/>
    </row>
    <row r="90446" spans="10:10" x14ac:dyDescent="0.3">
      <c r="J90446"/>
    </row>
    <row r="90447" spans="10:10" x14ac:dyDescent="0.3">
      <c r="J90447"/>
    </row>
    <row r="90448" spans="10:10" x14ac:dyDescent="0.3">
      <c r="J90448"/>
    </row>
    <row r="90449" spans="10:10" x14ac:dyDescent="0.3">
      <c r="J90449"/>
    </row>
    <row r="90450" spans="10:10" x14ac:dyDescent="0.3">
      <c r="J90450"/>
    </row>
    <row r="90451" spans="10:10" x14ac:dyDescent="0.3">
      <c r="J90451"/>
    </row>
    <row r="90452" spans="10:10" x14ac:dyDescent="0.3">
      <c r="J90452"/>
    </row>
    <row r="90453" spans="10:10" x14ac:dyDescent="0.3">
      <c r="J90453"/>
    </row>
    <row r="90454" spans="10:10" x14ac:dyDescent="0.3">
      <c r="J90454"/>
    </row>
    <row r="90455" spans="10:10" x14ac:dyDescent="0.3">
      <c r="J90455"/>
    </row>
    <row r="90456" spans="10:10" x14ac:dyDescent="0.3">
      <c r="J90456"/>
    </row>
    <row r="90457" spans="10:10" x14ac:dyDescent="0.3">
      <c r="J90457"/>
    </row>
    <row r="90458" spans="10:10" x14ac:dyDescent="0.3">
      <c r="J90458"/>
    </row>
    <row r="90459" spans="10:10" x14ac:dyDescent="0.3">
      <c r="J90459"/>
    </row>
    <row r="90460" spans="10:10" x14ac:dyDescent="0.3">
      <c r="J90460"/>
    </row>
    <row r="90461" spans="10:10" x14ac:dyDescent="0.3">
      <c r="J90461"/>
    </row>
    <row r="90462" spans="10:10" x14ac:dyDescent="0.3">
      <c r="J90462"/>
    </row>
    <row r="90463" spans="10:10" x14ac:dyDescent="0.3">
      <c r="J90463"/>
    </row>
    <row r="90464" spans="10:10" x14ac:dyDescent="0.3">
      <c r="J90464"/>
    </row>
    <row r="90465" spans="10:10" x14ac:dyDescent="0.3">
      <c r="J90465"/>
    </row>
    <row r="90466" spans="10:10" x14ac:dyDescent="0.3">
      <c r="J90466"/>
    </row>
    <row r="90467" spans="10:10" x14ac:dyDescent="0.3">
      <c r="J90467"/>
    </row>
    <row r="90468" spans="10:10" x14ac:dyDescent="0.3">
      <c r="J90468"/>
    </row>
    <row r="90469" spans="10:10" x14ac:dyDescent="0.3">
      <c r="J90469"/>
    </row>
    <row r="90470" spans="10:10" x14ac:dyDescent="0.3">
      <c r="J90470"/>
    </row>
    <row r="90471" spans="10:10" x14ac:dyDescent="0.3">
      <c r="J90471"/>
    </row>
    <row r="90472" spans="10:10" x14ac:dyDescent="0.3">
      <c r="J90472"/>
    </row>
    <row r="90473" spans="10:10" x14ac:dyDescent="0.3">
      <c r="J90473"/>
    </row>
    <row r="90474" spans="10:10" x14ac:dyDescent="0.3">
      <c r="J90474"/>
    </row>
    <row r="90475" spans="10:10" x14ac:dyDescent="0.3">
      <c r="J90475"/>
    </row>
    <row r="90476" spans="10:10" x14ac:dyDescent="0.3">
      <c r="J90476"/>
    </row>
    <row r="90477" spans="10:10" x14ac:dyDescent="0.3">
      <c r="J90477"/>
    </row>
    <row r="90478" spans="10:10" x14ac:dyDescent="0.3">
      <c r="J90478"/>
    </row>
    <row r="90479" spans="10:10" x14ac:dyDescent="0.3">
      <c r="J90479"/>
    </row>
    <row r="90480" spans="10:10" x14ac:dyDescent="0.3">
      <c r="J90480"/>
    </row>
    <row r="90481" spans="10:10" x14ac:dyDescent="0.3">
      <c r="J90481"/>
    </row>
    <row r="90482" spans="10:10" x14ac:dyDescent="0.3">
      <c r="J90482"/>
    </row>
    <row r="90483" spans="10:10" x14ac:dyDescent="0.3">
      <c r="J90483"/>
    </row>
    <row r="90484" spans="10:10" x14ac:dyDescent="0.3">
      <c r="J90484"/>
    </row>
    <row r="90485" spans="10:10" x14ac:dyDescent="0.3">
      <c r="J90485"/>
    </row>
    <row r="90486" spans="10:10" x14ac:dyDescent="0.3">
      <c r="J90486"/>
    </row>
    <row r="90487" spans="10:10" x14ac:dyDescent="0.3">
      <c r="J90487"/>
    </row>
    <row r="90488" spans="10:10" x14ac:dyDescent="0.3">
      <c r="J90488"/>
    </row>
    <row r="90489" spans="10:10" x14ac:dyDescent="0.3">
      <c r="J90489"/>
    </row>
    <row r="90490" spans="10:10" x14ac:dyDescent="0.3">
      <c r="J90490"/>
    </row>
    <row r="90491" spans="10:10" x14ac:dyDescent="0.3">
      <c r="J90491"/>
    </row>
    <row r="90492" spans="10:10" x14ac:dyDescent="0.3">
      <c r="J90492"/>
    </row>
    <row r="90493" spans="10:10" x14ac:dyDescent="0.3">
      <c r="J90493"/>
    </row>
    <row r="90494" spans="10:10" x14ac:dyDescent="0.3">
      <c r="J90494"/>
    </row>
    <row r="90495" spans="10:10" x14ac:dyDescent="0.3">
      <c r="J90495"/>
    </row>
    <row r="90496" spans="10:10" x14ac:dyDescent="0.3">
      <c r="J90496"/>
    </row>
    <row r="90497" spans="10:10" x14ac:dyDescent="0.3">
      <c r="J90497"/>
    </row>
    <row r="90498" spans="10:10" x14ac:dyDescent="0.3">
      <c r="J90498"/>
    </row>
    <row r="90499" spans="10:10" x14ac:dyDescent="0.3">
      <c r="J90499"/>
    </row>
    <row r="90500" spans="10:10" x14ac:dyDescent="0.3">
      <c r="J90500"/>
    </row>
    <row r="90501" spans="10:10" x14ac:dyDescent="0.3">
      <c r="J90501"/>
    </row>
    <row r="90502" spans="10:10" x14ac:dyDescent="0.3">
      <c r="J90502"/>
    </row>
    <row r="90503" spans="10:10" x14ac:dyDescent="0.3">
      <c r="J90503"/>
    </row>
    <row r="90504" spans="10:10" x14ac:dyDescent="0.3">
      <c r="J90504"/>
    </row>
    <row r="90505" spans="10:10" x14ac:dyDescent="0.3">
      <c r="J90505"/>
    </row>
    <row r="90506" spans="10:10" x14ac:dyDescent="0.3">
      <c r="J90506"/>
    </row>
    <row r="90507" spans="10:10" x14ac:dyDescent="0.3">
      <c r="J90507"/>
    </row>
    <row r="90508" spans="10:10" x14ac:dyDescent="0.3">
      <c r="J90508"/>
    </row>
    <row r="90509" spans="10:10" x14ac:dyDescent="0.3">
      <c r="J90509"/>
    </row>
    <row r="90510" spans="10:10" x14ac:dyDescent="0.3">
      <c r="J90510"/>
    </row>
    <row r="90511" spans="10:10" x14ac:dyDescent="0.3">
      <c r="J90511"/>
    </row>
    <row r="90512" spans="10:10" x14ac:dyDescent="0.3">
      <c r="J90512"/>
    </row>
    <row r="90513" spans="10:10" x14ac:dyDescent="0.3">
      <c r="J90513"/>
    </row>
    <row r="90514" spans="10:10" x14ac:dyDescent="0.3">
      <c r="J90514"/>
    </row>
    <row r="90515" spans="10:10" x14ac:dyDescent="0.3">
      <c r="J90515"/>
    </row>
    <row r="90516" spans="10:10" x14ac:dyDescent="0.3">
      <c r="J90516"/>
    </row>
    <row r="90517" spans="10:10" x14ac:dyDescent="0.3">
      <c r="J90517"/>
    </row>
    <row r="90518" spans="10:10" x14ac:dyDescent="0.3">
      <c r="J90518"/>
    </row>
    <row r="90519" spans="10:10" x14ac:dyDescent="0.3">
      <c r="J90519"/>
    </row>
    <row r="90520" spans="10:10" x14ac:dyDescent="0.3">
      <c r="J90520"/>
    </row>
    <row r="90521" spans="10:10" x14ac:dyDescent="0.3">
      <c r="J90521"/>
    </row>
    <row r="90522" spans="10:10" x14ac:dyDescent="0.3">
      <c r="J90522"/>
    </row>
    <row r="90523" spans="10:10" x14ac:dyDescent="0.3">
      <c r="J90523"/>
    </row>
    <row r="90524" spans="10:10" x14ac:dyDescent="0.3">
      <c r="J90524"/>
    </row>
    <row r="90525" spans="10:10" x14ac:dyDescent="0.3">
      <c r="J90525"/>
    </row>
    <row r="90526" spans="10:10" x14ac:dyDescent="0.3">
      <c r="J90526"/>
    </row>
    <row r="90527" spans="10:10" x14ac:dyDescent="0.3">
      <c r="J90527"/>
    </row>
    <row r="90528" spans="10:10" x14ac:dyDescent="0.3">
      <c r="J90528"/>
    </row>
    <row r="90529" spans="10:10" x14ac:dyDescent="0.3">
      <c r="J90529"/>
    </row>
    <row r="90530" spans="10:10" x14ac:dyDescent="0.3">
      <c r="J90530"/>
    </row>
    <row r="90531" spans="10:10" x14ac:dyDescent="0.3">
      <c r="J90531"/>
    </row>
    <row r="90532" spans="10:10" x14ac:dyDescent="0.3">
      <c r="J90532"/>
    </row>
    <row r="90533" spans="10:10" x14ac:dyDescent="0.3">
      <c r="J90533"/>
    </row>
    <row r="90534" spans="10:10" x14ac:dyDescent="0.3">
      <c r="J90534"/>
    </row>
    <row r="90535" spans="10:10" x14ac:dyDescent="0.3">
      <c r="J90535"/>
    </row>
    <row r="90536" spans="10:10" x14ac:dyDescent="0.3">
      <c r="J90536"/>
    </row>
    <row r="90537" spans="10:10" x14ac:dyDescent="0.3">
      <c r="J90537"/>
    </row>
    <row r="90538" spans="10:10" x14ac:dyDescent="0.3">
      <c r="J90538"/>
    </row>
    <row r="90539" spans="10:10" x14ac:dyDescent="0.3">
      <c r="J90539"/>
    </row>
    <row r="90540" spans="10:10" x14ac:dyDescent="0.3">
      <c r="J90540"/>
    </row>
    <row r="90541" spans="10:10" x14ac:dyDescent="0.3">
      <c r="J90541"/>
    </row>
    <row r="90542" spans="10:10" x14ac:dyDescent="0.3">
      <c r="J90542"/>
    </row>
    <row r="90543" spans="10:10" x14ac:dyDescent="0.3">
      <c r="J90543"/>
    </row>
    <row r="90544" spans="10:10" x14ac:dyDescent="0.3">
      <c r="J90544"/>
    </row>
    <row r="90545" spans="10:10" x14ac:dyDescent="0.3">
      <c r="J90545"/>
    </row>
    <row r="90546" spans="10:10" x14ac:dyDescent="0.3">
      <c r="J90546"/>
    </row>
    <row r="90547" spans="10:10" x14ac:dyDescent="0.3">
      <c r="J90547"/>
    </row>
    <row r="90548" spans="10:10" x14ac:dyDescent="0.3">
      <c r="J90548"/>
    </row>
    <row r="90549" spans="10:10" x14ac:dyDescent="0.3">
      <c r="J90549"/>
    </row>
    <row r="90550" spans="10:10" x14ac:dyDescent="0.3">
      <c r="J90550"/>
    </row>
    <row r="90551" spans="10:10" x14ac:dyDescent="0.3">
      <c r="J90551"/>
    </row>
    <row r="90552" spans="10:10" x14ac:dyDescent="0.3">
      <c r="J90552"/>
    </row>
    <row r="90553" spans="10:10" x14ac:dyDescent="0.3">
      <c r="J90553"/>
    </row>
    <row r="90554" spans="10:10" x14ac:dyDescent="0.3">
      <c r="J90554"/>
    </row>
    <row r="90555" spans="10:10" x14ac:dyDescent="0.3">
      <c r="J90555"/>
    </row>
    <row r="90556" spans="10:10" x14ac:dyDescent="0.3">
      <c r="J90556"/>
    </row>
    <row r="90557" spans="10:10" x14ac:dyDescent="0.3">
      <c r="J90557"/>
    </row>
    <row r="90558" spans="10:10" x14ac:dyDescent="0.3">
      <c r="J90558"/>
    </row>
    <row r="90559" spans="10:10" x14ac:dyDescent="0.3">
      <c r="J90559"/>
    </row>
    <row r="90560" spans="10:10" x14ac:dyDescent="0.3">
      <c r="J90560"/>
    </row>
    <row r="90561" spans="10:10" x14ac:dyDescent="0.3">
      <c r="J90561"/>
    </row>
    <row r="90562" spans="10:10" x14ac:dyDescent="0.3">
      <c r="J90562"/>
    </row>
    <row r="90563" spans="10:10" x14ac:dyDescent="0.3">
      <c r="J90563"/>
    </row>
    <row r="90564" spans="10:10" x14ac:dyDescent="0.3">
      <c r="J90564"/>
    </row>
    <row r="90565" spans="10:10" x14ac:dyDescent="0.3">
      <c r="J90565"/>
    </row>
    <row r="90566" spans="10:10" x14ac:dyDescent="0.3">
      <c r="J90566"/>
    </row>
    <row r="90567" spans="10:10" x14ac:dyDescent="0.3">
      <c r="J90567"/>
    </row>
    <row r="90568" spans="10:10" x14ac:dyDescent="0.3">
      <c r="J90568"/>
    </row>
    <row r="90569" spans="10:10" x14ac:dyDescent="0.3">
      <c r="J90569"/>
    </row>
    <row r="90570" spans="10:10" x14ac:dyDescent="0.3">
      <c r="J90570"/>
    </row>
    <row r="90571" spans="10:10" x14ac:dyDescent="0.3">
      <c r="J90571"/>
    </row>
    <row r="90572" spans="10:10" x14ac:dyDescent="0.3">
      <c r="J90572"/>
    </row>
    <row r="90573" spans="10:10" x14ac:dyDescent="0.3">
      <c r="J90573"/>
    </row>
    <row r="90574" spans="10:10" x14ac:dyDescent="0.3">
      <c r="J90574"/>
    </row>
    <row r="90575" spans="10:10" x14ac:dyDescent="0.3">
      <c r="J90575"/>
    </row>
    <row r="90576" spans="10:10" x14ac:dyDescent="0.3">
      <c r="J90576"/>
    </row>
    <row r="90577" spans="10:10" x14ac:dyDescent="0.3">
      <c r="J90577"/>
    </row>
    <row r="90578" spans="10:10" x14ac:dyDescent="0.3">
      <c r="J90578"/>
    </row>
    <row r="90579" spans="10:10" x14ac:dyDescent="0.3">
      <c r="J90579"/>
    </row>
    <row r="90580" spans="10:10" x14ac:dyDescent="0.3">
      <c r="J90580"/>
    </row>
    <row r="90581" spans="10:10" x14ac:dyDescent="0.3">
      <c r="J90581"/>
    </row>
    <row r="90582" spans="10:10" x14ac:dyDescent="0.3">
      <c r="J90582"/>
    </row>
    <row r="90583" spans="10:10" x14ac:dyDescent="0.3">
      <c r="J90583"/>
    </row>
    <row r="90584" spans="10:10" x14ac:dyDescent="0.3">
      <c r="J90584"/>
    </row>
    <row r="90585" spans="10:10" x14ac:dyDescent="0.3">
      <c r="J90585"/>
    </row>
    <row r="90586" spans="10:10" x14ac:dyDescent="0.3">
      <c r="J90586"/>
    </row>
    <row r="90587" spans="10:10" x14ac:dyDescent="0.3">
      <c r="J90587"/>
    </row>
    <row r="90588" spans="10:10" x14ac:dyDescent="0.3">
      <c r="J90588"/>
    </row>
    <row r="90589" spans="10:10" x14ac:dyDescent="0.3">
      <c r="J90589"/>
    </row>
    <row r="90590" spans="10:10" x14ac:dyDescent="0.3">
      <c r="J90590"/>
    </row>
    <row r="90591" spans="10:10" x14ac:dyDescent="0.3">
      <c r="J90591"/>
    </row>
    <row r="90592" spans="10:10" x14ac:dyDescent="0.3">
      <c r="J90592"/>
    </row>
    <row r="90593" spans="10:10" x14ac:dyDescent="0.3">
      <c r="J90593"/>
    </row>
    <row r="90594" spans="10:10" x14ac:dyDescent="0.3">
      <c r="J90594"/>
    </row>
    <row r="90595" spans="10:10" x14ac:dyDescent="0.3">
      <c r="J90595"/>
    </row>
    <row r="90596" spans="10:10" x14ac:dyDescent="0.3">
      <c r="J90596"/>
    </row>
    <row r="90597" spans="10:10" x14ac:dyDescent="0.3">
      <c r="J90597"/>
    </row>
    <row r="90598" spans="10:10" x14ac:dyDescent="0.3">
      <c r="J90598"/>
    </row>
    <row r="90599" spans="10:10" x14ac:dyDescent="0.3">
      <c r="J90599"/>
    </row>
    <row r="90600" spans="10:10" x14ac:dyDescent="0.3">
      <c r="J90600"/>
    </row>
    <row r="90601" spans="10:10" x14ac:dyDescent="0.3">
      <c r="J90601"/>
    </row>
    <row r="90602" spans="10:10" x14ac:dyDescent="0.3">
      <c r="J90602"/>
    </row>
    <row r="90603" spans="10:10" x14ac:dyDescent="0.3">
      <c r="J90603"/>
    </row>
    <row r="90604" spans="10:10" x14ac:dyDescent="0.3">
      <c r="J90604"/>
    </row>
    <row r="90605" spans="10:10" x14ac:dyDescent="0.3">
      <c r="J90605"/>
    </row>
    <row r="90606" spans="10:10" x14ac:dyDescent="0.3">
      <c r="J90606"/>
    </row>
    <row r="90607" spans="10:10" x14ac:dyDescent="0.3">
      <c r="J90607"/>
    </row>
    <row r="90608" spans="10:10" x14ac:dyDescent="0.3">
      <c r="J90608"/>
    </row>
    <row r="90609" spans="10:10" x14ac:dyDescent="0.3">
      <c r="J90609"/>
    </row>
    <row r="90610" spans="10:10" x14ac:dyDescent="0.3">
      <c r="J90610"/>
    </row>
    <row r="90611" spans="10:10" x14ac:dyDescent="0.3">
      <c r="J90611"/>
    </row>
    <row r="90612" spans="10:10" x14ac:dyDescent="0.3">
      <c r="J90612"/>
    </row>
    <row r="90613" spans="10:10" x14ac:dyDescent="0.3">
      <c r="J90613"/>
    </row>
    <row r="90614" spans="10:10" x14ac:dyDescent="0.3">
      <c r="J90614"/>
    </row>
    <row r="90615" spans="10:10" x14ac:dyDescent="0.3">
      <c r="J90615"/>
    </row>
    <row r="90616" spans="10:10" x14ac:dyDescent="0.3">
      <c r="J90616"/>
    </row>
    <row r="90617" spans="10:10" x14ac:dyDescent="0.3">
      <c r="J90617"/>
    </row>
    <row r="90618" spans="10:10" x14ac:dyDescent="0.3">
      <c r="J90618"/>
    </row>
    <row r="90619" spans="10:10" x14ac:dyDescent="0.3">
      <c r="J90619"/>
    </row>
    <row r="90620" spans="10:10" x14ac:dyDescent="0.3">
      <c r="J90620"/>
    </row>
    <row r="90621" spans="10:10" x14ac:dyDescent="0.3">
      <c r="J90621"/>
    </row>
    <row r="90622" spans="10:10" x14ac:dyDescent="0.3">
      <c r="J90622"/>
    </row>
    <row r="90623" spans="10:10" x14ac:dyDescent="0.3">
      <c r="J90623"/>
    </row>
    <row r="90624" spans="10:10" x14ac:dyDescent="0.3">
      <c r="J90624"/>
    </row>
    <row r="90625" spans="10:10" x14ac:dyDescent="0.3">
      <c r="J90625"/>
    </row>
    <row r="90626" spans="10:10" x14ac:dyDescent="0.3">
      <c r="J90626"/>
    </row>
    <row r="90627" spans="10:10" x14ac:dyDescent="0.3">
      <c r="J90627"/>
    </row>
    <row r="90628" spans="10:10" x14ac:dyDescent="0.3">
      <c r="J90628"/>
    </row>
    <row r="90629" spans="10:10" x14ac:dyDescent="0.3">
      <c r="J90629"/>
    </row>
    <row r="90630" spans="10:10" x14ac:dyDescent="0.3">
      <c r="J90630"/>
    </row>
    <row r="90631" spans="10:10" x14ac:dyDescent="0.3">
      <c r="J90631"/>
    </row>
    <row r="90632" spans="10:10" x14ac:dyDescent="0.3">
      <c r="J90632"/>
    </row>
    <row r="90633" spans="10:10" x14ac:dyDescent="0.3">
      <c r="J90633"/>
    </row>
    <row r="90634" spans="10:10" x14ac:dyDescent="0.3">
      <c r="J90634"/>
    </row>
    <row r="90635" spans="10:10" x14ac:dyDescent="0.3">
      <c r="J90635"/>
    </row>
    <row r="90636" spans="10:10" x14ac:dyDescent="0.3">
      <c r="J90636"/>
    </row>
    <row r="90637" spans="10:10" x14ac:dyDescent="0.3">
      <c r="J90637"/>
    </row>
    <row r="90638" spans="10:10" x14ac:dyDescent="0.3">
      <c r="J90638"/>
    </row>
    <row r="90639" spans="10:10" x14ac:dyDescent="0.3">
      <c r="J90639"/>
    </row>
    <row r="90640" spans="10:10" x14ac:dyDescent="0.3">
      <c r="J90640"/>
    </row>
    <row r="90641" spans="10:10" x14ac:dyDescent="0.3">
      <c r="J90641"/>
    </row>
    <row r="90642" spans="10:10" x14ac:dyDescent="0.3">
      <c r="J90642"/>
    </row>
    <row r="90643" spans="10:10" x14ac:dyDescent="0.3">
      <c r="J90643"/>
    </row>
    <row r="90644" spans="10:10" x14ac:dyDescent="0.3">
      <c r="J90644"/>
    </row>
    <row r="90645" spans="10:10" x14ac:dyDescent="0.3">
      <c r="J90645"/>
    </row>
    <row r="90646" spans="10:10" x14ac:dyDescent="0.3">
      <c r="J90646"/>
    </row>
    <row r="90647" spans="10:10" x14ac:dyDescent="0.3">
      <c r="J90647"/>
    </row>
    <row r="90648" spans="10:10" x14ac:dyDescent="0.3">
      <c r="J90648"/>
    </row>
    <row r="90649" spans="10:10" x14ac:dyDescent="0.3">
      <c r="J90649"/>
    </row>
    <row r="90650" spans="10:10" x14ac:dyDescent="0.3">
      <c r="J90650"/>
    </row>
    <row r="90651" spans="10:10" x14ac:dyDescent="0.3">
      <c r="J90651"/>
    </row>
    <row r="90652" spans="10:10" x14ac:dyDescent="0.3">
      <c r="J90652"/>
    </row>
    <row r="90653" spans="10:10" x14ac:dyDescent="0.3">
      <c r="J90653"/>
    </row>
    <row r="90654" spans="10:10" x14ac:dyDescent="0.3">
      <c r="J90654"/>
    </row>
    <row r="90655" spans="10:10" x14ac:dyDescent="0.3">
      <c r="J90655"/>
    </row>
    <row r="90656" spans="10:10" x14ac:dyDescent="0.3">
      <c r="J90656"/>
    </row>
    <row r="90657" spans="10:10" x14ac:dyDescent="0.3">
      <c r="J90657"/>
    </row>
    <row r="90658" spans="10:10" x14ac:dyDescent="0.3">
      <c r="J90658"/>
    </row>
    <row r="90659" spans="10:10" x14ac:dyDescent="0.3">
      <c r="J90659"/>
    </row>
    <row r="90660" spans="10:10" x14ac:dyDescent="0.3">
      <c r="J90660"/>
    </row>
    <row r="90661" spans="10:10" x14ac:dyDescent="0.3">
      <c r="J90661"/>
    </row>
    <row r="90662" spans="10:10" x14ac:dyDescent="0.3">
      <c r="J90662"/>
    </row>
    <row r="90663" spans="10:10" x14ac:dyDescent="0.3">
      <c r="J90663"/>
    </row>
    <row r="90664" spans="10:10" x14ac:dyDescent="0.3">
      <c r="J90664"/>
    </row>
    <row r="90665" spans="10:10" x14ac:dyDescent="0.3">
      <c r="J90665"/>
    </row>
    <row r="90666" spans="10:10" x14ac:dyDescent="0.3">
      <c r="J90666"/>
    </row>
    <row r="90667" spans="10:10" x14ac:dyDescent="0.3">
      <c r="J90667"/>
    </row>
    <row r="90668" spans="10:10" x14ac:dyDescent="0.3">
      <c r="J90668"/>
    </row>
    <row r="90669" spans="10:10" x14ac:dyDescent="0.3">
      <c r="J90669"/>
    </row>
    <row r="90670" spans="10:10" x14ac:dyDescent="0.3">
      <c r="J90670"/>
    </row>
    <row r="90671" spans="10:10" x14ac:dyDescent="0.3">
      <c r="J90671"/>
    </row>
    <row r="90672" spans="10:10" x14ac:dyDescent="0.3">
      <c r="J90672"/>
    </row>
    <row r="90673" spans="10:10" x14ac:dyDescent="0.3">
      <c r="J90673"/>
    </row>
    <row r="90674" spans="10:10" x14ac:dyDescent="0.3">
      <c r="J90674"/>
    </row>
    <row r="90675" spans="10:10" x14ac:dyDescent="0.3">
      <c r="J90675"/>
    </row>
    <row r="90676" spans="10:10" x14ac:dyDescent="0.3">
      <c r="J90676"/>
    </row>
    <row r="90677" spans="10:10" x14ac:dyDescent="0.3">
      <c r="J90677"/>
    </row>
    <row r="90678" spans="10:10" x14ac:dyDescent="0.3">
      <c r="J90678"/>
    </row>
    <row r="90679" spans="10:10" x14ac:dyDescent="0.3">
      <c r="J90679"/>
    </row>
    <row r="90680" spans="10:10" x14ac:dyDescent="0.3">
      <c r="J90680"/>
    </row>
    <row r="90681" spans="10:10" x14ac:dyDescent="0.3">
      <c r="J90681"/>
    </row>
    <row r="90682" spans="10:10" x14ac:dyDescent="0.3">
      <c r="J90682"/>
    </row>
    <row r="90683" spans="10:10" x14ac:dyDescent="0.3">
      <c r="J90683"/>
    </row>
    <row r="90684" spans="10:10" x14ac:dyDescent="0.3">
      <c r="J90684"/>
    </row>
    <row r="90685" spans="10:10" x14ac:dyDescent="0.3">
      <c r="J90685"/>
    </row>
    <row r="90686" spans="10:10" x14ac:dyDescent="0.3">
      <c r="J90686"/>
    </row>
    <row r="90687" spans="10:10" x14ac:dyDescent="0.3">
      <c r="J90687"/>
    </row>
    <row r="90688" spans="10:10" x14ac:dyDescent="0.3">
      <c r="J90688"/>
    </row>
    <row r="90689" spans="10:10" x14ac:dyDescent="0.3">
      <c r="J90689"/>
    </row>
    <row r="90690" spans="10:10" x14ac:dyDescent="0.3">
      <c r="J90690"/>
    </row>
    <row r="90691" spans="10:10" x14ac:dyDescent="0.3">
      <c r="J90691"/>
    </row>
    <row r="90692" spans="10:10" x14ac:dyDescent="0.3">
      <c r="J90692"/>
    </row>
    <row r="90693" spans="10:10" x14ac:dyDescent="0.3">
      <c r="J90693"/>
    </row>
    <row r="90694" spans="10:10" x14ac:dyDescent="0.3">
      <c r="J90694"/>
    </row>
    <row r="90695" spans="10:10" x14ac:dyDescent="0.3">
      <c r="J90695"/>
    </row>
    <row r="90696" spans="10:10" x14ac:dyDescent="0.3">
      <c r="J90696"/>
    </row>
    <row r="90697" spans="10:10" x14ac:dyDescent="0.3">
      <c r="J90697"/>
    </row>
    <row r="90698" spans="10:10" x14ac:dyDescent="0.3">
      <c r="J90698"/>
    </row>
    <row r="90699" spans="10:10" x14ac:dyDescent="0.3">
      <c r="J90699"/>
    </row>
    <row r="90700" spans="10:10" x14ac:dyDescent="0.3">
      <c r="J90700"/>
    </row>
    <row r="90701" spans="10:10" x14ac:dyDescent="0.3">
      <c r="J90701"/>
    </row>
    <row r="90702" spans="10:10" x14ac:dyDescent="0.3">
      <c r="J90702"/>
    </row>
    <row r="90703" spans="10:10" x14ac:dyDescent="0.3">
      <c r="J90703"/>
    </row>
    <row r="90704" spans="10:10" x14ac:dyDescent="0.3">
      <c r="J90704"/>
    </row>
    <row r="90705" spans="10:10" x14ac:dyDescent="0.3">
      <c r="J90705"/>
    </row>
    <row r="90706" spans="10:10" x14ac:dyDescent="0.3">
      <c r="J90706"/>
    </row>
    <row r="90707" spans="10:10" x14ac:dyDescent="0.3">
      <c r="J90707"/>
    </row>
    <row r="90708" spans="10:10" x14ac:dyDescent="0.3">
      <c r="J90708"/>
    </row>
    <row r="90709" spans="10:10" x14ac:dyDescent="0.3">
      <c r="J90709"/>
    </row>
    <row r="90710" spans="10:10" x14ac:dyDescent="0.3">
      <c r="J90710"/>
    </row>
    <row r="90711" spans="10:10" x14ac:dyDescent="0.3">
      <c r="J90711"/>
    </row>
    <row r="90712" spans="10:10" x14ac:dyDescent="0.3">
      <c r="J90712"/>
    </row>
    <row r="90713" spans="10:10" x14ac:dyDescent="0.3">
      <c r="J90713"/>
    </row>
    <row r="90714" spans="10:10" x14ac:dyDescent="0.3">
      <c r="J90714"/>
    </row>
    <row r="90715" spans="10:10" x14ac:dyDescent="0.3">
      <c r="J90715"/>
    </row>
    <row r="90716" spans="10:10" x14ac:dyDescent="0.3">
      <c r="J90716"/>
    </row>
    <row r="90717" spans="10:10" x14ac:dyDescent="0.3">
      <c r="J90717"/>
    </row>
    <row r="90718" spans="10:10" x14ac:dyDescent="0.3">
      <c r="J90718"/>
    </row>
    <row r="90719" spans="10:10" x14ac:dyDescent="0.3">
      <c r="J90719"/>
    </row>
    <row r="90720" spans="10:10" x14ac:dyDescent="0.3">
      <c r="J90720"/>
    </row>
    <row r="90721" spans="10:10" x14ac:dyDescent="0.3">
      <c r="J90721"/>
    </row>
    <row r="90722" spans="10:10" x14ac:dyDescent="0.3">
      <c r="J90722"/>
    </row>
    <row r="90723" spans="10:10" x14ac:dyDescent="0.3">
      <c r="J90723"/>
    </row>
    <row r="90724" spans="10:10" x14ac:dyDescent="0.3">
      <c r="J90724"/>
    </row>
    <row r="90725" spans="10:10" x14ac:dyDescent="0.3">
      <c r="J90725"/>
    </row>
    <row r="90726" spans="10:10" x14ac:dyDescent="0.3">
      <c r="J90726"/>
    </row>
    <row r="90727" spans="10:10" x14ac:dyDescent="0.3">
      <c r="J90727"/>
    </row>
    <row r="90728" spans="10:10" x14ac:dyDescent="0.3">
      <c r="J90728"/>
    </row>
    <row r="90729" spans="10:10" x14ac:dyDescent="0.3">
      <c r="J90729"/>
    </row>
    <row r="90730" spans="10:10" x14ac:dyDescent="0.3">
      <c r="J90730"/>
    </row>
    <row r="90731" spans="10:10" x14ac:dyDescent="0.3">
      <c r="J90731"/>
    </row>
    <row r="90732" spans="10:10" x14ac:dyDescent="0.3">
      <c r="J90732"/>
    </row>
    <row r="90733" spans="10:10" x14ac:dyDescent="0.3">
      <c r="J90733"/>
    </row>
    <row r="90734" spans="10:10" x14ac:dyDescent="0.3">
      <c r="J90734"/>
    </row>
    <row r="90735" spans="10:10" x14ac:dyDescent="0.3">
      <c r="J90735"/>
    </row>
    <row r="90736" spans="10:10" x14ac:dyDescent="0.3">
      <c r="J90736"/>
    </row>
    <row r="90737" spans="10:10" x14ac:dyDescent="0.3">
      <c r="J90737"/>
    </row>
    <row r="90738" spans="10:10" x14ac:dyDescent="0.3">
      <c r="J90738"/>
    </row>
    <row r="90739" spans="10:10" x14ac:dyDescent="0.3">
      <c r="J90739"/>
    </row>
    <row r="90740" spans="10:10" x14ac:dyDescent="0.3">
      <c r="J90740"/>
    </row>
    <row r="90741" spans="10:10" x14ac:dyDescent="0.3">
      <c r="J90741"/>
    </row>
    <row r="90742" spans="10:10" x14ac:dyDescent="0.3">
      <c r="J90742"/>
    </row>
    <row r="90743" spans="10:10" x14ac:dyDescent="0.3">
      <c r="J90743"/>
    </row>
    <row r="90744" spans="10:10" x14ac:dyDescent="0.3">
      <c r="J90744"/>
    </row>
    <row r="90745" spans="10:10" x14ac:dyDescent="0.3">
      <c r="J90745"/>
    </row>
    <row r="90746" spans="10:10" x14ac:dyDescent="0.3">
      <c r="J90746"/>
    </row>
    <row r="90747" spans="10:10" x14ac:dyDescent="0.3">
      <c r="J90747"/>
    </row>
    <row r="90748" spans="10:10" x14ac:dyDescent="0.3">
      <c r="J90748"/>
    </row>
    <row r="90749" spans="10:10" x14ac:dyDescent="0.3">
      <c r="J90749"/>
    </row>
    <row r="90750" spans="10:10" x14ac:dyDescent="0.3">
      <c r="J90750"/>
    </row>
    <row r="90751" spans="10:10" x14ac:dyDescent="0.3">
      <c r="J90751"/>
    </row>
    <row r="90752" spans="10:10" x14ac:dyDescent="0.3">
      <c r="J90752"/>
    </row>
    <row r="90753" spans="10:10" x14ac:dyDescent="0.3">
      <c r="J90753"/>
    </row>
    <row r="90754" spans="10:10" x14ac:dyDescent="0.3">
      <c r="J90754"/>
    </row>
    <row r="90755" spans="10:10" x14ac:dyDescent="0.3">
      <c r="J90755"/>
    </row>
    <row r="90756" spans="10:10" x14ac:dyDescent="0.3">
      <c r="J90756"/>
    </row>
    <row r="90757" spans="10:10" x14ac:dyDescent="0.3">
      <c r="J90757"/>
    </row>
    <row r="90758" spans="10:10" x14ac:dyDescent="0.3">
      <c r="J90758"/>
    </row>
    <row r="90759" spans="10:10" x14ac:dyDescent="0.3">
      <c r="J90759"/>
    </row>
    <row r="90760" spans="10:10" x14ac:dyDescent="0.3">
      <c r="J90760"/>
    </row>
    <row r="90761" spans="10:10" x14ac:dyDescent="0.3">
      <c r="J90761"/>
    </row>
    <row r="90762" spans="10:10" x14ac:dyDescent="0.3">
      <c r="J90762"/>
    </row>
    <row r="90763" spans="10:10" x14ac:dyDescent="0.3">
      <c r="J90763"/>
    </row>
    <row r="90764" spans="10:10" x14ac:dyDescent="0.3">
      <c r="J90764"/>
    </row>
    <row r="90765" spans="10:10" x14ac:dyDescent="0.3">
      <c r="J90765"/>
    </row>
    <row r="90766" spans="10:10" x14ac:dyDescent="0.3">
      <c r="J90766"/>
    </row>
    <row r="90767" spans="10:10" x14ac:dyDescent="0.3">
      <c r="J90767"/>
    </row>
    <row r="90768" spans="10:10" x14ac:dyDescent="0.3">
      <c r="J90768"/>
    </row>
    <row r="90769" spans="10:10" x14ac:dyDescent="0.3">
      <c r="J90769"/>
    </row>
    <row r="90770" spans="10:10" x14ac:dyDescent="0.3">
      <c r="J90770"/>
    </row>
    <row r="90771" spans="10:10" x14ac:dyDescent="0.3">
      <c r="J90771"/>
    </row>
    <row r="90772" spans="10:10" x14ac:dyDescent="0.3">
      <c r="J90772"/>
    </row>
    <row r="90773" spans="10:10" x14ac:dyDescent="0.3">
      <c r="J90773"/>
    </row>
    <row r="90774" spans="10:10" x14ac:dyDescent="0.3">
      <c r="J90774"/>
    </row>
    <row r="90775" spans="10:10" x14ac:dyDescent="0.3">
      <c r="J90775"/>
    </row>
    <row r="90776" spans="10:10" x14ac:dyDescent="0.3">
      <c r="J90776"/>
    </row>
    <row r="90777" spans="10:10" x14ac:dyDescent="0.3">
      <c r="J90777"/>
    </row>
    <row r="90778" spans="10:10" x14ac:dyDescent="0.3">
      <c r="J90778"/>
    </row>
    <row r="90779" spans="10:10" x14ac:dyDescent="0.3">
      <c r="J90779"/>
    </row>
    <row r="90780" spans="10:10" x14ac:dyDescent="0.3">
      <c r="J90780"/>
    </row>
    <row r="90781" spans="10:10" x14ac:dyDescent="0.3">
      <c r="J90781"/>
    </row>
    <row r="90782" spans="10:10" x14ac:dyDescent="0.3">
      <c r="J90782"/>
    </row>
    <row r="90783" spans="10:10" x14ac:dyDescent="0.3">
      <c r="J90783"/>
    </row>
    <row r="90784" spans="10:10" x14ac:dyDescent="0.3">
      <c r="J90784"/>
    </row>
    <row r="90785" spans="10:10" x14ac:dyDescent="0.3">
      <c r="J90785"/>
    </row>
    <row r="90786" spans="10:10" x14ac:dyDescent="0.3">
      <c r="J90786"/>
    </row>
    <row r="90787" spans="10:10" x14ac:dyDescent="0.3">
      <c r="J90787"/>
    </row>
    <row r="90788" spans="10:10" x14ac:dyDescent="0.3">
      <c r="J90788"/>
    </row>
    <row r="90789" spans="10:10" x14ac:dyDescent="0.3">
      <c r="J90789"/>
    </row>
    <row r="90790" spans="10:10" x14ac:dyDescent="0.3">
      <c r="J90790"/>
    </row>
    <row r="90791" spans="10:10" x14ac:dyDescent="0.3">
      <c r="J90791"/>
    </row>
    <row r="90792" spans="10:10" x14ac:dyDescent="0.3">
      <c r="J90792"/>
    </row>
    <row r="90793" spans="10:10" x14ac:dyDescent="0.3">
      <c r="J90793"/>
    </row>
    <row r="90794" spans="10:10" x14ac:dyDescent="0.3">
      <c r="J90794"/>
    </row>
    <row r="90795" spans="10:10" x14ac:dyDescent="0.3">
      <c r="J90795"/>
    </row>
    <row r="90796" spans="10:10" x14ac:dyDescent="0.3">
      <c r="J90796"/>
    </row>
    <row r="90797" spans="10:10" x14ac:dyDescent="0.3">
      <c r="J90797"/>
    </row>
    <row r="90798" spans="10:10" x14ac:dyDescent="0.3">
      <c r="J90798"/>
    </row>
    <row r="90799" spans="10:10" x14ac:dyDescent="0.3">
      <c r="J90799"/>
    </row>
    <row r="90800" spans="10:10" x14ac:dyDescent="0.3">
      <c r="J90800"/>
    </row>
    <row r="90801" spans="10:10" x14ac:dyDescent="0.3">
      <c r="J90801"/>
    </row>
    <row r="90802" spans="10:10" x14ac:dyDescent="0.3">
      <c r="J90802"/>
    </row>
    <row r="90803" spans="10:10" x14ac:dyDescent="0.3">
      <c r="J90803"/>
    </row>
    <row r="90804" spans="10:10" x14ac:dyDescent="0.3">
      <c r="J90804"/>
    </row>
    <row r="90805" spans="10:10" x14ac:dyDescent="0.3">
      <c r="J90805"/>
    </row>
    <row r="90806" spans="10:10" x14ac:dyDescent="0.3">
      <c r="J90806"/>
    </row>
    <row r="90807" spans="10:10" x14ac:dyDescent="0.3">
      <c r="J90807"/>
    </row>
    <row r="90808" spans="10:10" x14ac:dyDescent="0.3">
      <c r="J90808"/>
    </row>
    <row r="90809" spans="10:10" x14ac:dyDescent="0.3">
      <c r="J90809"/>
    </row>
    <row r="90810" spans="10:10" x14ac:dyDescent="0.3">
      <c r="J90810"/>
    </row>
    <row r="90811" spans="10:10" x14ac:dyDescent="0.3">
      <c r="J90811"/>
    </row>
    <row r="90812" spans="10:10" x14ac:dyDescent="0.3">
      <c r="J90812"/>
    </row>
    <row r="90813" spans="10:10" x14ac:dyDescent="0.3">
      <c r="J90813"/>
    </row>
    <row r="90814" spans="10:10" x14ac:dyDescent="0.3">
      <c r="J90814"/>
    </row>
    <row r="90815" spans="10:10" x14ac:dyDescent="0.3">
      <c r="J90815"/>
    </row>
    <row r="90816" spans="10:10" x14ac:dyDescent="0.3">
      <c r="J90816"/>
    </row>
    <row r="90817" spans="10:10" x14ac:dyDescent="0.3">
      <c r="J90817"/>
    </row>
    <row r="90818" spans="10:10" x14ac:dyDescent="0.3">
      <c r="J90818"/>
    </row>
    <row r="90819" spans="10:10" x14ac:dyDescent="0.3">
      <c r="J90819"/>
    </row>
    <row r="90820" spans="10:10" x14ac:dyDescent="0.3">
      <c r="J90820"/>
    </row>
    <row r="90821" spans="10:10" x14ac:dyDescent="0.3">
      <c r="J90821"/>
    </row>
    <row r="90822" spans="10:10" x14ac:dyDescent="0.3">
      <c r="J90822"/>
    </row>
    <row r="90823" spans="10:10" x14ac:dyDescent="0.3">
      <c r="J90823"/>
    </row>
    <row r="90824" spans="10:10" x14ac:dyDescent="0.3">
      <c r="J90824"/>
    </row>
    <row r="90825" spans="10:10" x14ac:dyDescent="0.3">
      <c r="J90825"/>
    </row>
    <row r="90826" spans="10:10" x14ac:dyDescent="0.3">
      <c r="J90826"/>
    </row>
    <row r="90827" spans="10:10" x14ac:dyDescent="0.3">
      <c r="J90827"/>
    </row>
    <row r="90828" spans="10:10" x14ac:dyDescent="0.3">
      <c r="J90828"/>
    </row>
    <row r="90829" spans="10:10" x14ac:dyDescent="0.3">
      <c r="J90829"/>
    </row>
    <row r="90830" spans="10:10" x14ac:dyDescent="0.3">
      <c r="J90830"/>
    </row>
    <row r="90831" spans="10:10" x14ac:dyDescent="0.3">
      <c r="J90831"/>
    </row>
    <row r="90832" spans="10:10" x14ac:dyDescent="0.3">
      <c r="J90832"/>
    </row>
    <row r="90833" spans="10:10" x14ac:dyDescent="0.3">
      <c r="J90833"/>
    </row>
    <row r="90834" spans="10:10" x14ac:dyDescent="0.3">
      <c r="J90834"/>
    </row>
    <row r="90835" spans="10:10" x14ac:dyDescent="0.3">
      <c r="J90835"/>
    </row>
    <row r="90836" spans="10:10" x14ac:dyDescent="0.3">
      <c r="J90836"/>
    </row>
    <row r="90837" spans="10:10" x14ac:dyDescent="0.3">
      <c r="J90837"/>
    </row>
    <row r="90838" spans="10:10" x14ac:dyDescent="0.3">
      <c r="J90838"/>
    </row>
    <row r="90839" spans="10:10" x14ac:dyDescent="0.3">
      <c r="J90839"/>
    </row>
    <row r="90840" spans="10:10" x14ac:dyDescent="0.3">
      <c r="J90840"/>
    </row>
    <row r="90841" spans="10:10" x14ac:dyDescent="0.3">
      <c r="J90841"/>
    </row>
    <row r="90842" spans="10:10" x14ac:dyDescent="0.3">
      <c r="J90842"/>
    </row>
    <row r="90843" spans="10:10" x14ac:dyDescent="0.3">
      <c r="J90843"/>
    </row>
    <row r="90844" spans="10:10" x14ac:dyDescent="0.3">
      <c r="J90844"/>
    </row>
    <row r="90845" spans="10:10" x14ac:dyDescent="0.3">
      <c r="J90845"/>
    </row>
    <row r="90846" spans="10:10" x14ac:dyDescent="0.3">
      <c r="J90846"/>
    </row>
    <row r="90847" spans="10:10" x14ac:dyDescent="0.3">
      <c r="J90847"/>
    </row>
    <row r="90848" spans="10:10" x14ac:dyDescent="0.3">
      <c r="J90848"/>
    </row>
    <row r="90849" spans="10:10" x14ac:dyDescent="0.3">
      <c r="J90849"/>
    </row>
    <row r="90850" spans="10:10" x14ac:dyDescent="0.3">
      <c r="J90850"/>
    </row>
    <row r="90851" spans="10:10" x14ac:dyDescent="0.3">
      <c r="J90851"/>
    </row>
    <row r="90852" spans="10:10" x14ac:dyDescent="0.3">
      <c r="J90852"/>
    </row>
    <row r="90853" spans="10:10" x14ac:dyDescent="0.3">
      <c r="J90853"/>
    </row>
    <row r="90854" spans="10:10" x14ac:dyDescent="0.3">
      <c r="J90854"/>
    </row>
    <row r="90855" spans="10:10" x14ac:dyDescent="0.3">
      <c r="J90855"/>
    </row>
    <row r="90856" spans="10:10" x14ac:dyDescent="0.3">
      <c r="J90856"/>
    </row>
    <row r="90857" spans="10:10" x14ac:dyDescent="0.3">
      <c r="J90857"/>
    </row>
    <row r="90858" spans="10:10" x14ac:dyDescent="0.3">
      <c r="J90858"/>
    </row>
    <row r="90859" spans="10:10" x14ac:dyDescent="0.3">
      <c r="J90859"/>
    </row>
    <row r="90860" spans="10:10" x14ac:dyDescent="0.3">
      <c r="J90860"/>
    </row>
    <row r="90861" spans="10:10" x14ac:dyDescent="0.3">
      <c r="J90861"/>
    </row>
    <row r="90862" spans="10:10" x14ac:dyDescent="0.3">
      <c r="J90862"/>
    </row>
    <row r="90863" spans="10:10" x14ac:dyDescent="0.3">
      <c r="J90863"/>
    </row>
    <row r="90864" spans="10:10" x14ac:dyDescent="0.3">
      <c r="J90864"/>
    </row>
    <row r="90865" spans="10:10" x14ac:dyDescent="0.3">
      <c r="J90865"/>
    </row>
    <row r="90866" spans="10:10" x14ac:dyDescent="0.3">
      <c r="J90866"/>
    </row>
    <row r="90867" spans="10:10" x14ac:dyDescent="0.3">
      <c r="J90867"/>
    </row>
    <row r="90868" spans="10:10" x14ac:dyDescent="0.3">
      <c r="J90868"/>
    </row>
    <row r="90869" spans="10:10" x14ac:dyDescent="0.3">
      <c r="J90869"/>
    </row>
    <row r="90870" spans="10:10" x14ac:dyDescent="0.3">
      <c r="J90870"/>
    </row>
    <row r="90871" spans="10:10" x14ac:dyDescent="0.3">
      <c r="J90871"/>
    </row>
    <row r="90872" spans="10:10" x14ac:dyDescent="0.3">
      <c r="J90872"/>
    </row>
    <row r="90873" spans="10:10" x14ac:dyDescent="0.3">
      <c r="J90873"/>
    </row>
    <row r="90874" spans="10:10" x14ac:dyDescent="0.3">
      <c r="J90874"/>
    </row>
    <row r="90875" spans="10:10" x14ac:dyDescent="0.3">
      <c r="J90875"/>
    </row>
    <row r="90876" spans="10:10" x14ac:dyDescent="0.3">
      <c r="J90876"/>
    </row>
    <row r="90877" spans="10:10" x14ac:dyDescent="0.3">
      <c r="J90877"/>
    </row>
    <row r="90878" spans="10:10" x14ac:dyDescent="0.3">
      <c r="J90878"/>
    </row>
    <row r="90879" spans="10:10" x14ac:dyDescent="0.3">
      <c r="J90879"/>
    </row>
    <row r="90880" spans="10:10" x14ac:dyDescent="0.3">
      <c r="J90880"/>
    </row>
    <row r="90881" spans="10:10" x14ac:dyDescent="0.3">
      <c r="J90881"/>
    </row>
    <row r="90882" spans="10:10" x14ac:dyDescent="0.3">
      <c r="J90882"/>
    </row>
    <row r="90883" spans="10:10" x14ac:dyDescent="0.3">
      <c r="J90883"/>
    </row>
    <row r="90884" spans="10:10" x14ac:dyDescent="0.3">
      <c r="J90884"/>
    </row>
    <row r="90885" spans="10:10" x14ac:dyDescent="0.3">
      <c r="J90885"/>
    </row>
    <row r="90886" spans="10:10" x14ac:dyDescent="0.3">
      <c r="J90886"/>
    </row>
    <row r="90887" spans="10:10" x14ac:dyDescent="0.3">
      <c r="J90887"/>
    </row>
    <row r="90888" spans="10:10" x14ac:dyDescent="0.3">
      <c r="J90888"/>
    </row>
    <row r="90889" spans="10:10" x14ac:dyDescent="0.3">
      <c r="J90889"/>
    </row>
    <row r="90890" spans="10:10" x14ac:dyDescent="0.3">
      <c r="J90890"/>
    </row>
    <row r="90891" spans="10:10" x14ac:dyDescent="0.3">
      <c r="J90891"/>
    </row>
    <row r="90892" spans="10:10" x14ac:dyDescent="0.3">
      <c r="J90892"/>
    </row>
    <row r="90893" spans="10:10" x14ac:dyDescent="0.3">
      <c r="J90893"/>
    </row>
    <row r="90894" spans="10:10" x14ac:dyDescent="0.3">
      <c r="J90894"/>
    </row>
    <row r="90895" spans="10:10" x14ac:dyDescent="0.3">
      <c r="J90895"/>
    </row>
    <row r="90896" spans="10:10" x14ac:dyDescent="0.3">
      <c r="J90896"/>
    </row>
    <row r="90897" spans="10:10" x14ac:dyDescent="0.3">
      <c r="J90897"/>
    </row>
    <row r="90898" spans="10:10" x14ac:dyDescent="0.3">
      <c r="J90898"/>
    </row>
    <row r="90899" spans="10:10" x14ac:dyDescent="0.3">
      <c r="J90899"/>
    </row>
    <row r="90900" spans="10:10" x14ac:dyDescent="0.3">
      <c r="J90900"/>
    </row>
    <row r="90901" spans="10:10" x14ac:dyDescent="0.3">
      <c r="J90901"/>
    </row>
    <row r="90902" spans="10:10" x14ac:dyDescent="0.3">
      <c r="J90902"/>
    </row>
    <row r="90903" spans="10:10" x14ac:dyDescent="0.3">
      <c r="J90903"/>
    </row>
    <row r="90904" spans="10:10" x14ac:dyDescent="0.3">
      <c r="J90904"/>
    </row>
    <row r="90905" spans="10:10" x14ac:dyDescent="0.3">
      <c r="J90905"/>
    </row>
    <row r="90906" spans="10:10" x14ac:dyDescent="0.3">
      <c r="J90906"/>
    </row>
    <row r="90907" spans="10:10" x14ac:dyDescent="0.3">
      <c r="J90907"/>
    </row>
    <row r="90908" spans="10:10" x14ac:dyDescent="0.3">
      <c r="J90908"/>
    </row>
    <row r="90909" spans="10:10" x14ac:dyDescent="0.3">
      <c r="J90909"/>
    </row>
    <row r="90910" spans="10:10" x14ac:dyDescent="0.3">
      <c r="J90910"/>
    </row>
    <row r="90911" spans="10:10" x14ac:dyDescent="0.3">
      <c r="J90911"/>
    </row>
    <row r="90912" spans="10:10" x14ac:dyDescent="0.3">
      <c r="J90912"/>
    </row>
    <row r="90913" spans="10:10" x14ac:dyDescent="0.3">
      <c r="J90913"/>
    </row>
    <row r="90914" spans="10:10" x14ac:dyDescent="0.3">
      <c r="J90914"/>
    </row>
    <row r="90915" spans="10:10" x14ac:dyDescent="0.3">
      <c r="J90915"/>
    </row>
    <row r="90916" spans="10:10" x14ac:dyDescent="0.3">
      <c r="J90916"/>
    </row>
    <row r="90917" spans="10:10" x14ac:dyDescent="0.3">
      <c r="J90917"/>
    </row>
    <row r="90918" spans="10:10" x14ac:dyDescent="0.3">
      <c r="J90918"/>
    </row>
    <row r="90919" spans="10:10" x14ac:dyDescent="0.3">
      <c r="J90919"/>
    </row>
    <row r="90920" spans="10:10" x14ac:dyDescent="0.3">
      <c r="J90920"/>
    </row>
    <row r="90921" spans="10:10" x14ac:dyDescent="0.3">
      <c r="J90921"/>
    </row>
    <row r="90922" spans="10:10" x14ac:dyDescent="0.3">
      <c r="J90922"/>
    </row>
    <row r="90923" spans="10:10" x14ac:dyDescent="0.3">
      <c r="J90923"/>
    </row>
    <row r="90924" spans="10:10" x14ac:dyDescent="0.3">
      <c r="J90924"/>
    </row>
    <row r="90925" spans="10:10" x14ac:dyDescent="0.3">
      <c r="J90925"/>
    </row>
    <row r="90926" spans="10:10" x14ac:dyDescent="0.3">
      <c r="J90926"/>
    </row>
    <row r="90927" spans="10:10" x14ac:dyDescent="0.3">
      <c r="J90927"/>
    </row>
    <row r="90928" spans="10:10" x14ac:dyDescent="0.3">
      <c r="J90928"/>
    </row>
    <row r="90929" spans="10:10" x14ac:dyDescent="0.3">
      <c r="J90929"/>
    </row>
    <row r="90930" spans="10:10" x14ac:dyDescent="0.3">
      <c r="J90930"/>
    </row>
    <row r="90931" spans="10:10" x14ac:dyDescent="0.3">
      <c r="J90931"/>
    </row>
    <row r="90932" spans="10:10" x14ac:dyDescent="0.3">
      <c r="J90932"/>
    </row>
    <row r="90933" spans="10:10" x14ac:dyDescent="0.3">
      <c r="J90933"/>
    </row>
    <row r="90934" spans="10:10" x14ac:dyDescent="0.3">
      <c r="J90934"/>
    </row>
    <row r="90935" spans="10:10" x14ac:dyDescent="0.3">
      <c r="J90935"/>
    </row>
    <row r="90936" spans="10:10" x14ac:dyDescent="0.3">
      <c r="J90936"/>
    </row>
    <row r="90937" spans="10:10" x14ac:dyDescent="0.3">
      <c r="J90937"/>
    </row>
    <row r="90938" spans="10:10" x14ac:dyDescent="0.3">
      <c r="J90938"/>
    </row>
    <row r="90939" spans="10:10" x14ac:dyDescent="0.3">
      <c r="J90939"/>
    </row>
    <row r="90940" spans="10:10" x14ac:dyDescent="0.3">
      <c r="J90940"/>
    </row>
    <row r="90941" spans="10:10" x14ac:dyDescent="0.3">
      <c r="J90941"/>
    </row>
    <row r="90942" spans="10:10" x14ac:dyDescent="0.3">
      <c r="J90942"/>
    </row>
    <row r="90943" spans="10:10" x14ac:dyDescent="0.3">
      <c r="J90943"/>
    </row>
    <row r="90944" spans="10:10" x14ac:dyDescent="0.3">
      <c r="J90944"/>
    </row>
    <row r="90945" spans="10:10" x14ac:dyDescent="0.3">
      <c r="J90945"/>
    </row>
    <row r="90946" spans="10:10" x14ac:dyDescent="0.3">
      <c r="J90946"/>
    </row>
    <row r="90947" spans="10:10" x14ac:dyDescent="0.3">
      <c r="J90947"/>
    </row>
    <row r="90948" spans="10:10" x14ac:dyDescent="0.3">
      <c r="J90948"/>
    </row>
    <row r="90949" spans="10:10" x14ac:dyDescent="0.3">
      <c r="J90949"/>
    </row>
    <row r="90950" spans="10:10" x14ac:dyDescent="0.3">
      <c r="J90950"/>
    </row>
    <row r="90951" spans="10:10" x14ac:dyDescent="0.3">
      <c r="J90951"/>
    </row>
    <row r="90952" spans="10:10" x14ac:dyDescent="0.3">
      <c r="J90952"/>
    </row>
    <row r="90953" spans="10:10" x14ac:dyDescent="0.3">
      <c r="J90953"/>
    </row>
    <row r="90954" spans="10:10" x14ac:dyDescent="0.3">
      <c r="J90954"/>
    </row>
    <row r="90955" spans="10:10" x14ac:dyDescent="0.3">
      <c r="J90955"/>
    </row>
    <row r="90956" spans="10:10" x14ac:dyDescent="0.3">
      <c r="J90956"/>
    </row>
    <row r="90957" spans="10:10" x14ac:dyDescent="0.3">
      <c r="J90957"/>
    </row>
    <row r="90958" spans="10:10" x14ac:dyDescent="0.3">
      <c r="J90958"/>
    </row>
    <row r="90959" spans="10:10" x14ac:dyDescent="0.3">
      <c r="J90959"/>
    </row>
    <row r="90960" spans="10:10" x14ac:dyDescent="0.3">
      <c r="J90960"/>
    </row>
    <row r="90961" spans="10:10" x14ac:dyDescent="0.3">
      <c r="J90961"/>
    </row>
    <row r="90962" spans="10:10" x14ac:dyDescent="0.3">
      <c r="J90962"/>
    </row>
    <row r="90963" spans="10:10" x14ac:dyDescent="0.3">
      <c r="J90963"/>
    </row>
    <row r="90964" spans="10:10" x14ac:dyDescent="0.3">
      <c r="J90964"/>
    </row>
    <row r="90965" spans="10:10" x14ac:dyDescent="0.3">
      <c r="J90965"/>
    </row>
    <row r="90966" spans="10:10" x14ac:dyDescent="0.3">
      <c r="J90966"/>
    </row>
    <row r="90967" spans="10:10" x14ac:dyDescent="0.3">
      <c r="J90967"/>
    </row>
    <row r="90968" spans="10:10" x14ac:dyDescent="0.3">
      <c r="J90968"/>
    </row>
    <row r="90969" spans="10:10" x14ac:dyDescent="0.3">
      <c r="J90969"/>
    </row>
    <row r="90970" spans="10:10" x14ac:dyDescent="0.3">
      <c r="J90970"/>
    </row>
    <row r="90971" spans="10:10" x14ac:dyDescent="0.3">
      <c r="J90971"/>
    </row>
    <row r="90972" spans="10:10" x14ac:dyDescent="0.3">
      <c r="J90972"/>
    </row>
    <row r="90973" spans="10:10" x14ac:dyDescent="0.3">
      <c r="J90973"/>
    </row>
    <row r="90974" spans="10:10" x14ac:dyDescent="0.3">
      <c r="J90974"/>
    </row>
    <row r="90975" spans="10:10" x14ac:dyDescent="0.3">
      <c r="J90975"/>
    </row>
    <row r="90976" spans="10:10" x14ac:dyDescent="0.3">
      <c r="J90976"/>
    </row>
    <row r="90977" spans="10:10" x14ac:dyDescent="0.3">
      <c r="J90977"/>
    </row>
    <row r="90978" spans="10:10" x14ac:dyDescent="0.3">
      <c r="J90978"/>
    </row>
    <row r="90979" spans="10:10" x14ac:dyDescent="0.3">
      <c r="J90979"/>
    </row>
    <row r="90980" spans="10:10" x14ac:dyDescent="0.3">
      <c r="J90980"/>
    </row>
    <row r="90981" spans="10:10" x14ac:dyDescent="0.3">
      <c r="J90981"/>
    </row>
    <row r="90982" spans="10:10" x14ac:dyDescent="0.3">
      <c r="J90982"/>
    </row>
    <row r="90983" spans="10:10" x14ac:dyDescent="0.3">
      <c r="J90983"/>
    </row>
    <row r="90984" spans="10:10" x14ac:dyDescent="0.3">
      <c r="J90984"/>
    </row>
    <row r="90985" spans="10:10" x14ac:dyDescent="0.3">
      <c r="J90985"/>
    </row>
    <row r="90986" spans="10:10" x14ac:dyDescent="0.3">
      <c r="J90986"/>
    </row>
    <row r="90987" spans="10:10" x14ac:dyDescent="0.3">
      <c r="J90987"/>
    </row>
    <row r="90988" spans="10:10" x14ac:dyDescent="0.3">
      <c r="J90988"/>
    </row>
    <row r="90989" spans="10:10" x14ac:dyDescent="0.3">
      <c r="J90989"/>
    </row>
    <row r="90990" spans="10:10" x14ac:dyDescent="0.3">
      <c r="J90990"/>
    </row>
    <row r="90991" spans="10:10" x14ac:dyDescent="0.3">
      <c r="J90991"/>
    </row>
    <row r="90992" spans="10:10" x14ac:dyDescent="0.3">
      <c r="J90992"/>
    </row>
    <row r="90993" spans="10:10" x14ac:dyDescent="0.3">
      <c r="J90993"/>
    </row>
    <row r="90994" spans="10:10" x14ac:dyDescent="0.3">
      <c r="J90994"/>
    </row>
    <row r="90995" spans="10:10" x14ac:dyDescent="0.3">
      <c r="J90995"/>
    </row>
    <row r="90996" spans="10:10" x14ac:dyDescent="0.3">
      <c r="J90996"/>
    </row>
    <row r="90997" spans="10:10" x14ac:dyDescent="0.3">
      <c r="J90997"/>
    </row>
    <row r="90998" spans="10:10" x14ac:dyDescent="0.3">
      <c r="J90998"/>
    </row>
    <row r="90999" spans="10:10" x14ac:dyDescent="0.3">
      <c r="J90999"/>
    </row>
    <row r="91000" spans="10:10" x14ac:dyDescent="0.3">
      <c r="J91000"/>
    </row>
    <row r="91001" spans="10:10" x14ac:dyDescent="0.3">
      <c r="J91001"/>
    </row>
    <row r="91002" spans="10:10" x14ac:dyDescent="0.3">
      <c r="J91002"/>
    </row>
    <row r="91003" spans="10:10" x14ac:dyDescent="0.3">
      <c r="J91003"/>
    </row>
    <row r="91004" spans="10:10" x14ac:dyDescent="0.3">
      <c r="J91004"/>
    </row>
    <row r="91005" spans="10:10" x14ac:dyDescent="0.3">
      <c r="J91005"/>
    </row>
    <row r="91006" spans="10:10" x14ac:dyDescent="0.3">
      <c r="J91006"/>
    </row>
    <row r="91007" spans="10:10" x14ac:dyDescent="0.3">
      <c r="J91007"/>
    </row>
    <row r="91008" spans="10:10" x14ac:dyDescent="0.3">
      <c r="J91008"/>
    </row>
    <row r="91009" spans="10:10" x14ac:dyDescent="0.3">
      <c r="J91009"/>
    </row>
    <row r="91010" spans="10:10" x14ac:dyDescent="0.3">
      <c r="J91010"/>
    </row>
    <row r="91011" spans="10:10" x14ac:dyDescent="0.3">
      <c r="J91011"/>
    </row>
    <row r="91012" spans="10:10" x14ac:dyDescent="0.3">
      <c r="J91012"/>
    </row>
    <row r="91013" spans="10:10" x14ac:dyDescent="0.3">
      <c r="J91013"/>
    </row>
    <row r="91014" spans="10:10" x14ac:dyDescent="0.3">
      <c r="J91014"/>
    </row>
    <row r="91015" spans="10:10" x14ac:dyDescent="0.3">
      <c r="J91015"/>
    </row>
    <row r="91016" spans="10:10" x14ac:dyDescent="0.3">
      <c r="J91016"/>
    </row>
    <row r="91017" spans="10:10" x14ac:dyDescent="0.3">
      <c r="J91017"/>
    </row>
    <row r="91018" spans="10:10" x14ac:dyDescent="0.3">
      <c r="J91018"/>
    </row>
    <row r="91019" spans="10:10" x14ac:dyDescent="0.3">
      <c r="J91019"/>
    </row>
    <row r="91020" spans="10:10" x14ac:dyDescent="0.3">
      <c r="J91020"/>
    </row>
    <row r="91021" spans="10:10" x14ac:dyDescent="0.3">
      <c r="J91021"/>
    </row>
    <row r="91022" spans="10:10" x14ac:dyDescent="0.3">
      <c r="J91022"/>
    </row>
    <row r="91023" spans="10:10" x14ac:dyDescent="0.3">
      <c r="J91023"/>
    </row>
    <row r="91024" spans="10:10" x14ac:dyDescent="0.3">
      <c r="J91024"/>
    </row>
    <row r="91025" spans="10:10" x14ac:dyDescent="0.3">
      <c r="J91025"/>
    </row>
    <row r="91026" spans="10:10" x14ac:dyDescent="0.3">
      <c r="J91026"/>
    </row>
    <row r="91027" spans="10:10" x14ac:dyDescent="0.3">
      <c r="J91027"/>
    </row>
    <row r="91028" spans="10:10" x14ac:dyDescent="0.3">
      <c r="J91028"/>
    </row>
    <row r="91029" spans="10:10" x14ac:dyDescent="0.3">
      <c r="J91029"/>
    </row>
    <row r="91030" spans="10:10" x14ac:dyDescent="0.3">
      <c r="J91030"/>
    </row>
    <row r="91031" spans="10:10" x14ac:dyDescent="0.3">
      <c r="J91031"/>
    </row>
    <row r="91032" spans="10:10" x14ac:dyDescent="0.3">
      <c r="J91032"/>
    </row>
    <row r="91033" spans="10:10" x14ac:dyDescent="0.3">
      <c r="J91033"/>
    </row>
    <row r="91034" spans="10:10" x14ac:dyDescent="0.3">
      <c r="J91034"/>
    </row>
    <row r="91035" spans="10:10" x14ac:dyDescent="0.3">
      <c r="J91035"/>
    </row>
    <row r="91036" spans="10:10" x14ac:dyDescent="0.3">
      <c r="J91036"/>
    </row>
    <row r="91037" spans="10:10" x14ac:dyDescent="0.3">
      <c r="J91037"/>
    </row>
    <row r="91038" spans="10:10" x14ac:dyDescent="0.3">
      <c r="J91038"/>
    </row>
    <row r="91039" spans="10:10" x14ac:dyDescent="0.3">
      <c r="J91039"/>
    </row>
    <row r="91040" spans="10:10" x14ac:dyDescent="0.3">
      <c r="J91040"/>
    </row>
    <row r="91041" spans="10:10" x14ac:dyDescent="0.3">
      <c r="J91041"/>
    </row>
    <row r="91042" spans="10:10" x14ac:dyDescent="0.3">
      <c r="J91042"/>
    </row>
    <row r="91043" spans="10:10" x14ac:dyDescent="0.3">
      <c r="J91043"/>
    </row>
    <row r="91044" spans="10:10" x14ac:dyDescent="0.3">
      <c r="J91044"/>
    </row>
    <row r="91045" spans="10:10" x14ac:dyDescent="0.3">
      <c r="J91045"/>
    </row>
    <row r="91046" spans="10:10" x14ac:dyDescent="0.3">
      <c r="J91046"/>
    </row>
    <row r="91047" spans="10:10" x14ac:dyDescent="0.3">
      <c r="J91047"/>
    </row>
    <row r="91048" spans="10:10" x14ac:dyDescent="0.3">
      <c r="J91048"/>
    </row>
    <row r="91049" spans="10:10" x14ac:dyDescent="0.3">
      <c r="J91049"/>
    </row>
    <row r="91050" spans="10:10" x14ac:dyDescent="0.3">
      <c r="J91050"/>
    </row>
    <row r="91051" spans="10:10" x14ac:dyDescent="0.3">
      <c r="J91051"/>
    </row>
    <row r="91052" spans="10:10" x14ac:dyDescent="0.3">
      <c r="J91052"/>
    </row>
    <row r="91053" spans="10:10" x14ac:dyDescent="0.3">
      <c r="J91053"/>
    </row>
    <row r="91054" spans="10:10" x14ac:dyDescent="0.3">
      <c r="J91054"/>
    </row>
    <row r="91055" spans="10:10" x14ac:dyDescent="0.3">
      <c r="J91055"/>
    </row>
    <row r="91056" spans="10:10" x14ac:dyDescent="0.3">
      <c r="J91056"/>
    </row>
    <row r="91057" spans="10:10" x14ac:dyDescent="0.3">
      <c r="J91057"/>
    </row>
    <row r="91058" spans="10:10" x14ac:dyDescent="0.3">
      <c r="J91058"/>
    </row>
    <row r="91059" spans="10:10" x14ac:dyDescent="0.3">
      <c r="J91059"/>
    </row>
    <row r="91060" spans="10:10" x14ac:dyDescent="0.3">
      <c r="J91060"/>
    </row>
    <row r="91061" spans="10:10" x14ac:dyDescent="0.3">
      <c r="J91061"/>
    </row>
    <row r="91062" spans="10:10" x14ac:dyDescent="0.3">
      <c r="J91062"/>
    </row>
    <row r="91063" spans="10:10" x14ac:dyDescent="0.3">
      <c r="J91063"/>
    </row>
    <row r="91064" spans="10:10" x14ac:dyDescent="0.3">
      <c r="J91064"/>
    </row>
    <row r="91065" spans="10:10" x14ac:dyDescent="0.3">
      <c r="J91065"/>
    </row>
    <row r="91066" spans="10:10" x14ac:dyDescent="0.3">
      <c r="J91066"/>
    </row>
    <row r="91067" spans="10:10" x14ac:dyDescent="0.3">
      <c r="J91067"/>
    </row>
    <row r="91068" spans="10:10" x14ac:dyDescent="0.3">
      <c r="J91068"/>
    </row>
    <row r="91069" spans="10:10" x14ac:dyDescent="0.3">
      <c r="J91069"/>
    </row>
    <row r="91070" spans="10:10" x14ac:dyDescent="0.3">
      <c r="J91070"/>
    </row>
    <row r="91071" spans="10:10" x14ac:dyDescent="0.3">
      <c r="J91071"/>
    </row>
    <row r="91072" spans="10:10" x14ac:dyDescent="0.3">
      <c r="J91072"/>
    </row>
    <row r="91073" spans="10:10" x14ac:dyDescent="0.3">
      <c r="J91073"/>
    </row>
    <row r="91074" spans="10:10" x14ac:dyDescent="0.3">
      <c r="J91074"/>
    </row>
    <row r="91075" spans="10:10" x14ac:dyDescent="0.3">
      <c r="J91075"/>
    </row>
    <row r="91076" spans="10:10" x14ac:dyDescent="0.3">
      <c r="J91076"/>
    </row>
    <row r="91077" spans="10:10" x14ac:dyDescent="0.3">
      <c r="J91077"/>
    </row>
    <row r="91078" spans="10:10" x14ac:dyDescent="0.3">
      <c r="J91078"/>
    </row>
    <row r="91079" spans="10:10" x14ac:dyDescent="0.3">
      <c r="J91079"/>
    </row>
    <row r="91080" spans="10:10" x14ac:dyDescent="0.3">
      <c r="J91080"/>
    </row>
    <row r="91081" spans="10:10" x14ac:dyDescent="0.3">
      <c r="J91081"/>
    </row>
    <row r="91082" spans="10:10" x14ac:dyDescent="0.3">
      <c r="J91082"/>
    </row>
    <row r="91083" spans="10:10" x14ac:dyDescent="0.3">
      <c r="J91083"/>
    </row>
    <row r="91084" spans="10:10" x14ac:dyDescent="0.3">
      <c r="J91084"/>
    </row>
    <row r="91085" spans="10:10" x14ac:dyDescent="0.3">
      <c r="J91085"/>
    </row>
    <row r="91086" spans="10:10" x14ac:dyDescent="0.3">
      <c r="J91086"/>
    </row>
    <row r="91087" spans="10:10" x14ac:dyDescent="0.3">
      <c r="J91087"/>
    </row>
    <row r="91088" spans="10:10" x14ac:dyDescent="0.3">
      <c r="J91088"/>
    </row>
    <row r="91089" spans="10:10" x14ac:dyDescent="0.3">
      <c r="J91089"/>
    </row>
    <row r="91090" spans="10:10" x14ac:dyDescent="0.3">
      <c r="J91090"/>
    </row>
    <row r="91091" spans="10:10" x14ac:dyDescent="0.3">
      <c r="J91091"/>
    </row>
    <row r="91092" spans="10:10" x14ac:dyDescent="0.3">
      <c r="J91092"/>
    </row>
    <row r="91093" spans="10:10" x14ac:dyDescent="0.3">
      <c r="J91093"/>
    </row>
    <row r="91094" spans="10:10" x14ac:dyDescent="0.3">
      <c r="J91094"/>
    </row>
    <row r="91095" spans="10:10" x14ac:dyDescent="0.3">
      <c r="J91095"/>
    </row>
    <row r="91096" spans="10:10" x14ac:dyDescent="0.3">
      <c r="J91096"/>
    </row>
    <row r="91097" spans="10:10" x14ac:dyDescent="0.3">
      <c r="J91097"/>
    </row>
    <row r="91098" spans="10:10" x14ac:dyDescent="0.3">
      <c r="J91098"/>
    </row>
    <row r="91099" spans="10:10" x14ac:dyDescent="0.3">
      <c r="J91099"/>
    </row>
    <row r="91100" spans="10:10" x14ac:dyDescent="0.3">
      <c r="J91100"/>
    </row>
    <row r="91101" spans="10:10" x14ac:dyDescent="0.3">
      <c r="J91101"/>
    </row>
    <row r="91102" spans="10:10" x14ac:dyDescent="0.3">
      <c r="J91102"/>
    </row>
    <row r="91103" spans="10:10" x14ac:dyDescent="0.3">
      <c r="J91103"/>
    </row>
    <row r="91104" spans="10:10" x14ac:dyDescent="0.3">
      <c r="J91104"/>
    </row>
    <row r="91105" spans="10:10" x14ac:dyDescent="0.3">
      <c r="J91105"/>
    </row>
    <row r="91106" spans="10:10" x14ac:dyDescent="0.3">
      <c r="J91106"/>
    </row>
    <row r="91107" spans="10:10" x14ac:dyDescent="0.3">
      <c r="J91107"/>
    </row>
    <row r="91108" spans="10:10" x14ac:dyDescent="0.3">
      <c r="J91108"/>
    </row>
    <row r="91109" spans="10:10" x14ac:dyDescent="0.3">
      <c r="J91109"/>
    </row>
    <row r="91110" spans="10:10" x14ac:dyDescent="0.3">
      <c r="J91110"/>
    </row>
    <row r="91111" spans="10:10" x14ac:dyDescent="0.3">
      <c r="J91111"/>
    </row>
    <row r="91112" spans="10:10" x14ac:dyDescent="0.3">
      <c r="J91112"/>
    </row>
    <row r="91113" spans="10:10" x14ac:dyDescent="0.3">
      <c r="J91113"/>
    </row>
    <row r="91114" spans="10:10" x14ac:dyDescent="0.3">
      <c r="J91114"/>
    </row>
    <row r="91115" spans="10:10" x14ac:dyDescent="0.3">
      <c r="J91115"/>
    </row>
    <row r="91116" spans="10:10" x14ac:dyDescent="0.3">
      <c r="J91116"/>
    </row>
    <row r="91117" spans="10:10" x14ac:dyDescent="0.3">
      <c r="J91117"/>
    </row>
    <row r="91118" spans="10:10" x14ac:dyDescent="0.3">
      <c r="J91118"/>
    </row>
    <row r="91119" spans="10:10" x14ac:dyDescent="0.3">
      <c r="J91119"/>
    </row>
    <row r="91120" spans="10:10" x14ac:dyDescent="0.3">
      <c r="J91120"/>
    </row>
    <row r="91121" spans="10:10" x14ac:dyDescent="0.3">
      <c r="J91121"/>
    </row>
    <row r="91122" spans="10:10" x14ac:dyDescent="0.3">
      <c r="J91122"/>
    </row>
    <row r="91123" spans="10:10" x14ac:dyDescent="0.3">
      <c r="J91123"/>
    </row>
    <row r="91124" spans="10:10" x14ac:dyDescent="0.3">
      <c r="J91124"/>
    </row>
    <row r="91125" spans="10:10" x14ac:dyDescent="0.3">
      <c r="J91125"/>
    </row>
    <row r="91126" spans="10:10" x14ac:dyDescent="0.3">
      <c r="J91126"/>
    </row>
    <row r="91127" spans="10:10" x14ac:dyDescent="0.3">
      <c r="J91127"/>
    </row>
    <row r="91128" spans="10:10" x14ac:dyDescent="0.3">
      <c r="J91128"/>
    </row>
    <row r="91129" spans="10:10" x14ac:dyDescent="0.3">
      <c r="J91129"/>
    </row>
    <row r="91130" spans="10:10" x14ac:dyDescent="0.3">
      <c r="J91130"/>
    </row>
    <row r="91131" spans="10:10" x14ac:dyDescent="0.3">
      <c r="J91131"/>
    </row>
    <row r="91132" spans="10:10" x14ac:dyDescent="0.3">
      <c r="J91132"/>
    </row>
    <row r="91133" spans="10:10" x14ac:dyDescent="0.3">
      <c r="J91133"/>
    </row>
    <row r="91134" spans="10:10" x14ac:dyDescent="0.3">
      <c r="J91134"/>
    </row>
    <row r="91135" spans="10:10" x14ac:dyDescent="0.3">
      <c r="J91135"/>
    </row>
    <row r="91136" spans="10:10" x14ac:dyDescent="0.3">
      <c r="J91136"/>
    </row>
    <row r="91137" spans="10:10" x14ac:dyDescent="0.3">
      <c r="J91137"/>
    </row>
    <row r="91138" spans="10:10" x14ac:dyDescent="0.3">
      <c r="J91138"/>
    </row>
    <row r="91139" spans="10:10" x14ac:dyDescent="0.3">
      <c r="J91139"/>
    </row>
    <row r="91140" spans="10:10" x14ac:dyDescent="0.3">
      <c r="J91140"/>
    </row>
    <row r="91141" spans="10:10" x14ac:dyDescent="0.3">
      <c r="J91141"/>
    </row>
    <row r="91142" spans="10:10" x14ac:dyDescent="0.3">
      <c r="J91142"/>
    </row>
    <row r="91143" spans="10:10" x14ac:dyDescent="0.3">
      <c r="J91143"/>
    </row>
    <row r="91144" spans="10:10" x14ac:dyDescent="0.3">
      <c r="J91144"/>
    </row>
    <row r="91145" spans="10:10" x14ac:dyDescent="0.3">
      <c r="J91145"/>
    </row>
    <row r="91146" spans="10:10" x14ac:dyDescent="0.3">
      <c r="J91146"/>
    </row>
    <row r="91147" spans="10:10" x14ac:dyDescent="0.3">
      <c r="J91147"/>
    </row>
    <row r="91148" spans="10:10" x14ac:dyDescent="0.3">
      <c r="J91148"/>
    </row>
    <row r="91149" spans="10:10" x14ac:dyDescent="0.3">
      <c r="J91149"/>
    </row>
    <row r="91150" spans="10:10" x14ac:dyDescent="0.3">
      <c r="J91150"/>
    </row>
    <row r="91151" spans="10:10" x14ac:dyDescent="0.3">
      <c r="J91151"/>
    </row>
    <row r="91152" spans="10:10" x14ac:dyDescent="0.3">
      <c r="J91152"/>
    </row>
    <row r="91153" spans="10:10" x14ac:dyDescent="0.3">
      <c r="J91153"/>
    </row>
    <row r="91154" spans="10:10" x14ac:dyDescent="0.3">
      <c r="J91154"/>
    </row>
    <row r="91155" spans="10:10" x14ac:dyDescent="0.3">
      <c r="J91155"/>
    </row>
    <row r="91156" spans="10:10" x14ac:dyDescent="0.3">
      <c r="J91156"/>
    </row>
    <row r="91157" spans="10:10" x14ac:dyDescent="0.3">
      <c r="J91157"/>
    </row>
    <row r="91158" spans="10:10" x14ac:dyDescent="0.3">
      <c r="J91158"/>
    </row>
    <row r="91159" spans="10:10" x14ac:dyDescent="0.3">
      <c r="J91159"/>
    </row>
    <row r="91160" spans="10:10" x14ac:dyDescent="0.3">
      <c r="J91160"/>
    </row>
    <row r="91161" spans="10:10" x14ac:dyDescent="0.3">
      <c r="J91161"/>
    </row>
    <row r="91162" spans="10:10" x14ac:dyDescent="0.3">
      <c r="J91162"/>
    </row>
    <row r="91163" spans="10:10" x14ac:dyDescent="0.3">
      <c r="J91163"/>
    </row>
    <row r="91164" spans="10:10" x14ac:dyDescent="0.3">
      <c r="J91164"/>
    </row>
    <row r="91165" spans="10:10" x14ac:dyDescent="0.3">
      <c r="J91165"/>
    </row>
    <row r="91166" spans="10:10" x14ac:dyDescent="0.3">
      <c r="J91166"/>
    </row>
    <row r="91167" spans="10:10" x14ac:dyDescent="0.3">
      <c r="J91167"/>
    </row>
    <row r="91168" spans="10:10" x14ac:dyDescent="0.3">
      <c r="J91168"/>
    </row>
    <row r="91169" spans="10:10" x14ac:dyDescent="0.3">
      <c r="J91169"/>
    </row>
    <row r="91170" spans="10:10" x14ac:dyDescent="0.3">
      <c r="J91170"/>
    </row>
    <row r="91171" spans="10:10" x14ac:dyDescent="0.3">
      <c r="J91171"/>
    </row>
    <row r="91172" spans="10:10" x14ac:dyDescent="0.3">
      <c r="J91172"/>
    </row>
    <row r="91173" spans="10:10" x14ac:dyDescent="0.3">
      <c r="J91173"/>
    </row>
    <row r="91174" spans="10:10" x14ac:dyDescent="0.3">
      <c r="J91174"/>
    </row>
    <row r="91175" spans="10:10" x14ac:dyDescent="0.3">
      <c r="J91175"/>
    </row>
    <row r="91176" spans="10:10" x14ac:dyDescent="0.3">
      <c r="J91176"/>
    </row>
    <row r="91177" spans="10:10" x14ac:dyDescent="0.3">
      <c r="J91177"/>
    </row>
    <row r="91178" spans="10:10" x14ac:dyDescent="0.3">
      <c r="J91178"/>
    </row>
    <row r="91179" spans="10:10" x14ac:dyDescent="0.3">
      <c r="J91179"/>
    </row>
    <row r="91180" spans="10:10" x14ac:dyDescent="0.3">
      <c r="J91180"/>
    </row>
    <row r="91181" spans="10:10" x14ac:dyDescent="0.3">
      <c r="J91181"/>
    </row>
    <row r="91182" spans="10:10" x14ac:dyDescent="0.3">
      <c r="J91182"/>
    </row>
    <row r="91183" spans="10:10" x14ac:dyDescent="0.3">
      <c r="J91183"/>
    </row>
    <row r="91184" spans="10:10" x14ac:dyDescent="0.3">
      <c r="J91184"/>
    </row>
    <row r="91185" spans="10:10" x14ac:dyDescent="0.3">
      <c r="J91185"/>
    </row>
    <row r="91186" spans="10:10" x14ac:dyDescent="0.3">
      <c r="J91186"/>
    </row>
    <row r="91187" spans="10:10" x14ac:dyDescent="0.3">
      <c r="J91187"/>
    </row>
    <row r="91188" spans="10:10" x14ac:dyDescent="0.3">
      <c r="J91188"/>
    </row>
    <row r="91189" spans="10:10" x14ac:dyDescent="0.3">
      <c r="J91189"/>
    </row>
    <row r="91190" spans="10:10" x14ac:dyDescent="0.3">
      <c r="J91190"/>
    </row>
    <row r="91191" spans="10:10" x14ac:dyDescent="0.3">
      <c r="J91191"/>
    </row>
    <row r="91192" spans="10:10" x14ac:dyDescent="0.3">
      <c r="J91192"/>
    </row>
    <row r="91193" spans="10:10" x14ac:dyDescent="0.3">
      <c r="J91193"/>
    </row>
    <row r="91194" spans="10:10" x14ac:dyDescent="0.3">
      <c r="J91194"/>
    </row>
    <row r="91195" spans="10:10" x14ac:dyDescent="0.3">
      <c r="J91195"/>
    </row>
    <row r="91196" spans="10:10" x14ac:dyDescent="0.3">
      <c r="J91196"/>
    </row>
    <row r="91197" spans="10:10" x14ac:dyDescent="0.3">
      <c r="J91197"/>
    </row>
    <row r="91198" spans="10:10" x14ac:dyDescent="0.3">
      <c r="J91198"/>
    </row>
    <row r="91199" spans="10:10" x14ac:dyDescent="0.3">
      <c r="J91199"/>
    </row>
    <row r="91200" spans="10:10" x14ac:dyDescent="0.3">
      <c r="J91200"/>
    </row>
    <row r="91201" spans="10:10" x14ac:dyDescent="0.3">
      <c r="J91201"/>
    </row>
    <row r="91202" spans="10:10" x14ac:dyDescent="0.3">
      <c r="J91202"/>
    </row>
    <row r="91203" spans="10:10" x14ac:dyDescent="0.3">
      <c r="J91203"/>
    </row>
    <row r="91204" spans="10:10" x14ac:dyDescent="0.3">
      <c r="J91204"/>
    </row>
    <row r="91205" spans="10:10" x14ac:dyDescent="0.3">
      <c r="J91205"/>
    </row>
    <row r="91206" spans="10:10" x14ac:dyDescent="0.3">
      <c r="J91206"/>
    </row>
    <row r="91207" spans="10:10" x14ac:dyDescent="0.3">
      <c r="J91207"/>
    </row>
    <row r="91208" spans="10:10" x14ac:dyDescent="0.3">
      <c r="J91208"/>
    </row>
    <row r="91209" spans="10:10" x14ac:dyDescent="0.3">
      <c r="J91209"/>
    </row>
    <row r="91210" spans="10:10" x14ac:dyDescent="0.3">
      <c r="J91210"/>
    </row>
    <row r="91211" spans="10:10" x14ac:dyDescent="0.3">
      <c r="J91211"/>
    </row>
    <row r="91212" spans="10:10" x14ac:dyDescent="0.3">
      <c r="J91212"/>
    </row>
    <row r="91213" spans="10:10" x14ac:dyDescent="0.3">
      <c r="J91213"/>
    </row>
    <row r="91214" spans="10:10" x14ac:dyDescent="0.3">
      <c r="J91214"/>
    </row>
    <row r="91215" spans="10:10" x14ac:dyDescent="0.3">
      <c r="J91215"/>
    </row>
    <row r="91216" spans="10:10" x14ac:dyDescent="0.3">
      <c r="J91216"/>
    </row>
    <row r="91217" spans="10:10" x14ac:dyDescent="0.3">
      <c r="J91217"/>
    </row>
    <row r="91218" spans="10:10" x14ac:dyDescent="0.3">
      <c r="J91218"/>
    </row>
    <row r="91219" spans="10:10" x14ac:dyDescent="0.3">
      <c r="J91219"/>
    </row>
    <row r="91220" spans="10:10" x14ac:dyDescent="0.3">
      <c r="J91220"/>
    </row>
    <row r="91221" spans="10:10" x14ac:dyDescent="0.3">
      <c r="J91221"/>
    </row>
    <row r="91222" spans="10:10" x14ac:dyDescent="0.3">
      <c r="J91222"/>
    </row>
    <row r="91223" spans="10:10" x14ac:dyDescent="0.3">
      <c r="J91223"/>
    </row>
    <row r="91224" spans="10:10" x14ac:dyDescent="0.3">
      <c r="J91224"/>
    </row>
    <row r="91225" spans="10:10" x14ac:dyDescent="0.3">
      <c r="J91225"/>
    </row>
    <row r="91226" spans="10:10" x14ac:dyDescent="0.3">
      <c r="J91226"/>
    </row>
    <row r="91227" spans="10:10" x14ac:dyDescent="0.3">
      <c r="J91227"/>
    </row>
    <row r="91228" spans="10:10" x14ac:dyDescent="0.3">
      <c r="J91228"/>
    </row>
    <row r="91229" spans="10:10" x14ac:dyDescent="0.3">
      <c r="J91229"/>
    </row>
    <row r="91230" spans="10:10" x14ac:dyDescent="0.3">
      <c r="J91230"/>
    </row>
    <row r="91231" spans="10:10" x14ac:dyDescent="0.3">
      <c r="J91231"/>
    </row>
    <row r="91232" spans="10:10" x14ac:dyDescent="0.3">
      <c r="J91232"/>
    </row>
    <row r="91233" spans="10:10" x14ac:dyDescent="0.3">
      <c r="J91233"/>
    </row>
    <row r="91234" spans="10:10" x14ac:dyDescent="0.3">
      <c r="J91234"/>
    </row>
    <row r="91235" spans="10:10" x14ac:dyDescent="0.3">
      <c r="J91235"/>
    </row>
    <row r="91236" spans="10:10" x14ac:dyDescent="0.3">
      <c r="J91236"/>
    </row>
    <row r="91237" spans="10:10" x14ac:dyDescent="0.3">
      <c r="J91237"/>
    </row>
    <row r="91238" spans="10:10" x14ac:dyDescent="0.3">
      <c r="J91238"/>
    </row>
    <row r="91239" spans="10:10" x14ac:dyDescent="0.3">
      <c r="J91239"/>
    </row>
    <row r="91240" spans="10:10" x14ac:dyDescent="0.3">
      <c r="J91240"/>
    </row>
    <row r="91241" spans="10:10" x14ac:dyDescent="0.3">
      <c r="J91241"/>
    </row>
    <row r="91242" spans="10:10" x14ac:dyDescent="0.3">
      <c r="J91242"/>
    </row>
    <row r="91243" spans="10:10" x14ac:dyDescent="0.3">
      <c r="J91243"/>
    </row>
    <row r="91244" spans="10:10" x14ac:dyDescent="0.3">
      <c r="J91244"/>
    </row>
    <row r="91245" spans="10:10" x14ac:dyDescent="0.3">
      <c r="J91245"/>
    </row>
    <row r="91246" spans="10:10" x14ac:dyDescent="0.3">
      <c r="J91246"/>
    </row>
    <row r="91247" spans="10:10" x14ac:dyDescent="0.3">
      <c r="J91247"/>
    </row>
    <row r="91248" spans="10:10" x14ac:dyDescent="0.3">
      <c r="J91248"/>
    </row>
    <row r="91249" spans="10:10" x14ac:dyDescent="0.3">
      <c r="J91249"/>
    </row>
    <row r="91250" spans="10:10" x14ac:dyDescent="0.3">
      <c r="J91250"/>
    </row>
    <row r="91251" spans="10:10" x14ac:dyDescent="0.3">
      <c r="J91251"/>
    </row>
    <row r="91252" spans="10:10" x14ac:dyDescent="0.3">
      <c r="J91252"/>
    </row>
    <row r="91253" spans="10:10" x14ac:dyDescent="0.3">
      <c r="J91253"/>
    </row>
    <row r="91254" spans="10:10" x14ac:dyDescent="0.3">
      <c r="J91254"/>
    </row>
    <row r="91255" spans="10:10" x14ac:dyDescent="0.3">
      <c r="J91255"/>
    </row>
    <row r="91256" spans="10:10" x14ac:dyDescent="0.3">
      <c r="J91256"/>
    </row>
    <row r="91257" spans="10:10" x14ac:dyDescent="0.3">
      <c r="J91257"/>
    </row>
    <row r="91258" spans="10:10" x14ac:dyDescent="0.3">
      <c r="J91258"/>
    </row>
    <row r="91259" spans="10:10" x14ac:dyDescent="0.3">
      <c r="J91259"/>
    </row>
    <row r="91260" spans="10:10" x14ac:dyDescent="0.3">
      <c r="J91260"/>
    </row>
    <row r="91261" spans="10:10" x14ac:dyDescent="0.3">
      <c r="J91261"/>
    </row>
    <row r="91262" spans="10:10" x14ac:dyDescent="0.3">
      <c r="J91262"/>
    </row>
    <row r="91263" spans="10:10" x14ac:dyDescent="0.3">
      <c r="J91263"/>
    </row>
    <row r="91264" spans="10:10" x14ac:dyDescent="0.3">
      <c r="J91264"/>
    </row>
    <row r="91265" spans="10:10" x14ac:dyDescent="0.3">
      <c r="J91265"/>
    </row>
    <row r="91266" spans="10:10" x14ac:dyDescent="0.3">
      <c r="J91266"/>
    </row>
    <row r="91267" spans="10:10" x14ac:dyDescent="0.3">
      <c r="J91267"/>
    </row>
    <row r="91268" spans="10:10" x14ac:dyDescent="0.3">
      <c r="J91268"/>
    </row>
    <row r="91269" spans="10:10" x14ac:dyDescent="0.3">
      <c r="J91269"/>
    </row>
    <row r="91270" spans="10:10" x14ac:dyDescent="0.3">
      <c r="J91270"/>
    </row>
    <row r="91271" spans="10:10" x14ac:dyDescent="0.3">
      <c r="J91271"/>
    </row>
    <row r="91272" spans="10:10" x14ac:dyDescent="0.3">
      <c r="J91272"/>
    </row>
    <row r="91273" spans="10:10" x14ac:dyDescent="0.3">
      <c r="J91273"/>
    </row>
    <row r="91274" spans="10:10" x14ac:dyDescent="0.3">
      <c r="J91274"/>
    </row>
    <row r="91275" spans="10:10" x14ac:dyDescent="0.3">
      <c r="J91275"/>
    </row>
    <row r="91276" spans="10:10" x14ac:dyDescent="0.3">
      <c r="J91276"/>
    </row>
    <row r="91277" spans="10:10" x14ac:dyDescent="0.3">
      <c r="J91277"/>
    </row>
    <row r="91278" spans="10:10" x14ac:dyDescent="0.3">
      <c r="J91278"/>
    </row>
    <row r="91279" spans="10:10" x14ac:dyDescent="0.3">
      <c r="J91279"/>
    </row>
    <row r="91280" spans="10:10" x14ac:dyDescent="0.3">
      <c r="J91280"/>
    </row>
    <row r="91281" spans="10:10" x14ac:dyDescent="0.3">
      <c r="J91281"/>
    </row>
    <row r="91282" spans="10:10" x14ac:dyDescent="0.3">
      <c r="J91282"/>
    </row>
    <row r="91283" spans="10:10" x14ac:dyDescent="0.3">
      <c r="J91283"/>
    </row>
    <row r="91284" spans="10:10" x14ac:dyDescent="0.3">
      <c r="J91284"/>
    </row>
    <row r="91285" spans="10:10" x14ac:dyDescent="0.3">
      <c r="J91285"/>
    </row>
    <row r="91286" spans="10:10" x14ac:dyDescent="0.3">
      <c r="J91286"/>
    </row>
    <row r="91287" spans="10:10" x14ac:dyDescent="0.3">
      <c r="J91287"/>
    </row>
    <row r="91288" spans="10:10" x14ac:dyDescent="0.3">
      <c r="J91288"/>
    </row>
    <row r="91289" spans="10:10" x14ac:dyDescent="0.3">
      <c r="J91289"/>
    </row>
    <row r="91290" spans="10:10" x14ac:dyDescent="0.3">
      <c r="J91290"/>
    </row>
    <row r="91291" spans="10:10" x14ac:dyDescent="0.3">
      <c r="J91291"/>
    </row>
    <row r="91292" spans="10:10" x14ac:dyDescent="0.3">
      <c r="J91292"/>
    </row>
    <row r="91293" spans="10:10" x14ac:dyDescent="0.3">
      <c r="J91293"/>
    </row>
    <row r="91294" spans="10:10" x14ac:dyDescent="0.3">
      <c r="J91294"/>
    </row>
    <row r="91295" spans="10:10" x14ac:dyDescent="0.3">
      <c r="J91295"/>
    </row>
    <row r="91296" spans="10:10" x14ac:dyDescent="0.3">
      <c r="J91296"/>
    </row>
    <row r="91297" spans="10:10" x14ac:dyDescent="0.3">
      <c r="J91297"/>
    </row>
    <row r="91298" spans="10:10" x14ac:dyDescent="0.3">
      <c r="J91298"/>
    </row>
    <row r="91299" spans="10:10" x14ac:dyDescent="0.3">
      <c r="J91299"/>
    </row>
    <row r="91300" spans="10:10" x14ac:dyDescent="0.3">
      <c r="J91300"/>
    </row>
    <row r="91301" spans="10:10" x14ac:dyDescent="0.3">
      <c r="J91301"/>
    </row>
    <row r="91302" spans="10:10" x14ac:dyDescent="0.3">
      <c r="J91302"/>
    </row>
    <row r="91303" spans="10:10" x14ac:dyDescent="0.3">
      <c r="J91303"/>
    </row>
    <row r="91304" spans="10:10" x14ac:dyDescent="0.3">
      <c r="J91304"/>
    </row>
    <row r="91305" spans="10:10" x14ac:dyDescent="0.3">
      <c r="J91305"/>
    </row>
    <row r="91306" spans="10:10" x14ac:dyDescent="0.3">
      <c r="J91306"/>
    </row>
    <row r="91307" spans="10:10" x14ac:dyDescent="0.3">
      <c r="J91307"/>
    </row>
    <row r="91308" spans="10:10" x14ac:dyDescent="0.3">
      <c r="J91308"/>
    </row>
    <row r="91309" spans="10:10" x14ac:dyDescent="0.3">
      <c r="J91309"/>
    </row>
    <row r="91310" spans="10:10" x14ac:dyDescent="0.3">
      <c r="J91310"/>
    </row>
    <row r="91311" spans="10:10" x14ac:dyDescent="0.3">
      <c r="J91311"/>
    </row>
    <row r="91312" spans="10:10" x14ac:dyDescent="0.3">
      <c r="J91312"/>
    </row>
    <row r="91313" spans="10:10" x14ac:dyDescent="0.3">
      <c r="J91313"/>
    </row>
    <row r="91314" spans="10:10" x14ac:dyDescent="0.3">
      <c r="J91314"/>
    </row>
    <row r="91315" spans="10:10" x14ac:dyDescent="0.3">
      <c r="J91315"/>
    </row>
    <row r="91316" spans="10:10" x14ac:dyDescent="0.3">
      <c r="J91316"/>
    </row>
    <row r="91317" spans="10:10" x14ac:dyDescent="0.3">
      <c r="J91317"/>
    </row>
    <row r="91318" spans="10:10" x14ac:dyDescent="0.3">
      <c r="J91318"/>
    </row>
    <row r="91319" spans="10:10" x14ac:dyDescent="0.3">
      <c r="J91319"/>
    </row>
    <row r="91320" spans="10:10" x14ac:dyDescent="0.3">
      <c r="J91320"/>
    </row>
    <row r="91321" spans="10:10" x14ac:dyDescent="0.3">
      <c r="J91321"/>
    </row>
    <row r="91322" spans="10:10" x14ac:dyDescent="0.3">
      <c r="J91322"/>
    </row>
    <row r="91323" spans="10:10" x14ac:dyDescent="0.3">
      <c r="J91323"/>
    </row>
    <row r="91324" spans="10:10" x14ac:dyDescent="0.3">
      <c r="J91324"/>
    </row>
    <row r="91325" spans="10:10" x14ac:dyDescent="0.3">
      <c r="J91325"/>
    </row>
    <row r="91326" spans="10:10" x14ac:dyDescent="0.3">
      <c r="J91326"/>
    </row>
    <row r="91327" spans="10:10" x14ac:dyDescent="0.3">
      <c r="J91327"/>
    </row>
    <row r="91328" spans="10:10" x14ac:dyDescent="0.3">
      <c r="J91328"/>
    </row>
    <row r="91329" spans="10:10" x14ac:dyDescent="0.3">
      <c r="J91329"/>
    </row>
    <row r="91330" spans="10:10" x14ac:dyDescent="0.3">
      <c r="J91330"/>
    </row>
    <row r="91331" spans="10:10" x14ac:dyDescent="0.3">
      <c r="J91331"/>
    </row>
    <row r="91332" spans="10:10" x14ac:dyDescent="0.3">
      <c r="J91332"/>
    </row>
    <row r="91333" spans="10:10" x14ac:dyDescent="0.3">
      <c r="J91333"/>
    </row>
    <row r="91334" spans="10:10" x14ac:dyDescent="0.3">
      <c r="J91334"/>
    </row>
    <row r="91335" spans="10:10" x14ac:dyDescent="0.3">
      <c r="J91335"/>
    </row>
    <row r="91336" spans="10:10" x14ac:dyDescent="0.3">
      <c r="J91336"/>
    </row>
    <row r="91337" spans="10:10" x14ac:dyDescent="0.3">
      <c r="J91337"/>
    </row>
    <row r="91338" spans="10:10" x14ac:dyDescent="0.3">
      <c r="J91338"/>
    </row>
    <row r="91339" spans="10:10" x14ac:dyDescent="0.3">
      <c r="J91339"/>
    </row>
    <row r="91340" spans="10:10" x14ac:dyDescent="0.3">
      <c r="J91340"/>
    </row>
    <row r="91341" spans="10:10" x14ac:dyDescent="0.3">
      <c r="J91341"/>
    </row>
    <row r="91342" spans="10:10" x14ac:dyDescent="0.3">
      <c r="J91342"/>
    </row>
    <row r="91343" spans="10:10" x14ac:dyDescent="0.3">
      <c r="J91343"/>
    </row>
    <row r="91344" spans="10:10" x14ac:dyDescent="0.3">
      <c r="J91344"/>
    </row>
    <row r="91345" spans="10:10" x14ac:dyDescent="0.3">
      <c r="J91345"/>
    </row>
    <row r="91346" spans="10:10" x14ac:dyDescent="0.3">
      <c r="J91346"/>
    </row>
    <row r="91347" spans="10:10" x14ac:dyDescent="0.3">
      <c r="J91347"/>
    </row>
    <row r="91348" spans="10:10" x14ac:dyDescent="0.3">
      <c r="J91348"/>
    </row>
    <row r="91349" spans="10:10" x14ac:dyDescent="0.3">
      <c r="J91349"/>
    </row>
    <row r="91350" spans="10:10" x14ac:dyDescent="0.3">
      <c r="J91350"/>
    </row>
    <row r="91351" spans="10:10" x14ac:dyDescent="0.3">
      <c r="J91351"/>
    </row>
    <row r="91352" spans="10:10" x14ac:dyDescent="0.3">
      <c r="J91352"/>
    </row>
    <row r="91353" spans="10:10" x14ac:dyDescent="0.3">
      <c r="J91353"/>
    </row>
    <row r="91354" spans="10:10" x14ac:dyDescent="0.3">
      <c r="J91354"/>
    </row>
    <row r="91355" spans="10:10" x14ac:dyDescent="0.3">
      <c r="J91355"/>
    </row>
    <row r="91356" spans="10:10" x14ac:dyDescent="0.3">
      <c r="J91356"/>
    </row>
    <row r="91357" spans="10:10" x14ac:dyDescent="0.3">
      <c r="J91357"/>
    </row>
    <row r="91358" spans="10:10" x14ac:dyDescent="0.3">
      <c r="J91358"/>
    </row>
    <row r="91359" spans="10:10" x14ac:dyDescent="0.3">
      <c r="J91359"/>
    </row>
    <row r="91360" spans="10:10" x14ac:dyDescent="0.3">
      <c r="J91360"/>
    </row>
    <row r="91361" spans="10:10" x14ac:dyDescent="0.3">
      <c r="J91361"/>
    </row>
    <row r="91362" spans="10:10" x14ac:dyDescent="0.3">
      <c r="J91362"/>
    </row>
    <row r="91363" spans="10:10" x14ac:dyDescent="0.3">
      <c r="J91363"/>
    </row>
    <row r="91364" spans="10:10" x14ac:dyDescent="0.3">
      <c r="J91364"/>
    </row>
    <row r="91365" spans="10:10" x14ac:dyDescent="0.3">
      <c r="J91365"/>
    </row>
    <row r="91366" spans="10:10" x14ac:dyDescent="0.3">
      <c r="J91366"/>
    </row>
    <row r="91367" spans="10:10" x14ac:dyDescent="0.3">
      <c r="J91367"/>
    </row>
    <row r="91368" spans="10:10" x14ac:dyDescent="0.3">
      <c r="J91368"/>
    </row>
    <row r="91369" spans="10:10" x14ac:dyDescent="0.3">
      <c r="J91369"/>
    </row>
    <row r="91370" spans="10:10" x14ac:dyDescent="0.3">
      <c r="J91370"/>
    </row>
    <row r="91371" spans="10:10" x14ac:dyDescent="0.3">
      <c r="J91371"/>
    </row>
    <row r="91372" spans="10:10" x14ac:dyDescent="0.3">
      <c r="J91372"/>
    </row>
    <row r="91373" spans="10:10" x14ac:dyDescent="0.3">
      <c r="J91373"/>
    </row>
    <row r="91374" spans="10:10" x14ac:dyDescent="0.3">
      <c r="J91374"/>
    </row>
    <row r="91375" spans="10:10" x14ac:dyDescent="0.3">
      <c r="J91375"/>
    </row>
    <row r="91376" spans="10:10" x14ac:dyDescent="0.3">
      <c r="J91376"/>
    </row>
    <row r="91377" spans="10:10" x14ac:dyDescent="0.3">
      <c r="J91377"/>
    </row>
    <row r="91378" spans="10:10" x14ac:dyDescent="0.3">
      <c r="J91378"/>
    </row>
    <row r="91379" spans="10:10" x14ac:dyDescent="0.3">
      <c r="J91379"/>
    </row>
    <row r="91380" spans="10:10" x14ac:dyDescent="0.3">
      <c r="J91380"/>
    </row>
    <row r="91381" spans="10:10" x14ac:dyDescent="0.3">
      <c r="J91381"/>
    </row>
    <row r="91382" spans="10:10" x14ac:dyDescent="0.3">
      <c r="J91382"/>
    </row>
    <row r="91383" spans="10:10" x14ac:dyDescent="0.3">
      <c r="J91383"/>
    </row>
    <row r="91384" spans="10:10" x14ac:dyDescent="0.3">
      <c r="J91384"/>
    </row>
    <row r="91385" spans="10:10" x14ac:dyDescent="0.3">
      <c r="J91385"/>
    </row>
    <row r="91386" spans="10:10" x14ac:dyDescent="0.3">
      <c r="J91386"/>
    </row>
    <row r="91387" spans="10:10" x14ac:dyDescent="0.3">
      <c r="J91387"/>
    </row>
    <row r="91388" spans="10:10" x14ac:dyDescent="0.3">
      <c r="J91388"/>
    </row>
    <row r="91389" spans="10:10" x14ac:dyDescent="0.3">
      <c r="J91389"/>
    </row>
    <row r="91390" spans="10:10" x14ac:dyDescent="0.3">
      <c r="J91390"/>
    </row>
    <row r="91391" spans="10:10" x14ac:dyDescent="0.3">
      <c r="J91391"/>
    </row>
    <row r="91392" spans="10:10" x14ac:dyDescent="0.3">
      <c r="J91392"/>
    </row>
    <row r="91393" spans="10:10" x14ac:dyDescent="0.3">
      <c r="J91393"/>
    </row>
    <row r="91394" spans="10:10" x14ac:dyDescent="0.3">
      <c r="J91394"/>
    </row>
    <row r="91395" spans="10:10" x14ac:dyDescent="0.3">
      <c r="J91395"/>
    </row>
    <row r="91396" spans="10:10" x14ac:dyDescent="0.3">
      <c r="J91396"/>
    </row>
    <row r="91397" spans="10:10" x14ac:dyDescent="0.3">
      <c r="J91397"/>
    </row>
    <row r="91398" spans="10:10" x14ac:dyDescent="0.3">
      <c r="J91398"/>
    </row>
    <row r="91399" spans="10:10" x14ac:dyDescent="0.3">
      <c r="J91399"/>
    </row>
    <row r="91400" spans="10:10" x14ac:dyDescent="0.3">
      <c r="J91400"/>
    </row>
    <row r="91401" spans="10:10" x14ac:dyDescent="0.3">
      <c r="J91401"/>
    </row>
    <row r="91402" spans="10:10" x14ac:dyDescent="0.3">
      <c r="J91402"/>
    </row>
    <row r="91403" spans="10:10" x14ac:dyDescent="0.3">
      <c r="J91403"/>
    </row>
    <row r="91404" spans="10:10" x14ac:dyDescent="0.3">
      <c r="J91404"/>
    </row>
    <row r="91405" spans="10:10" x14ac:dyDescent="0.3">
      <c r="J91405"/>
    </row>
    <row r="91406" spans="10:10" x14ac:dyDescent="0.3">
      <c r="J91406"/>
    </row>
    <row r="91407" spans="10:10" x14ac:dyDescent="0.3">
      <c r="J91407"/>
    </row>
    <row r="91408" spans="10:10" x14ac:dyDescent="0.3">
      <c r="J91408"/>
    </row>
    <row r="91409" spans="10:10" x14ac:dyDescent="0.3">
      <c r="J91409"/>
    </row>
    <row r="91410" spans="10:10" x14ac:dyDescent="0.3">
      <c r="J91410"/>
    </row>
    <row r="91411" spans="10:10" x14ac:dyDescent="0.3">
      <c r="J91411"/>
    </row>
    <row r="91412" spans="10:10" x14ac:dyDescent="0.3">
      <c r="J91412"/>
    </row>
    <row r="91413" spans="10:10" x14ac:dyDescent="0.3">
      <c r="J91413"/>
    </row>
    <row r="91414" spans="10:10" x14ac:dyDescent="0.3">
      <c r="J91414"/>
    </row>
    <row r="91415" spans="10:10" x14ac:dyDescent="0.3">
      <c r="J91415"/>
    </row>
    <row r="91416" spans="10:10" x14ac:dyDescent="0.3">
      <c r="J91416"/>
    </row>
    <row r="91417" spans="10:10" x14ac:dyDescent="0.3">
      <c r="J91417"/>
    </row>
    <row r="91418" spans="10:10" x14ac:dyDescent="0.3">
      <c r="J91418"/>
    </row>
    <row r="91419" spans="10:10" x14ac:dyDescent="0.3">
      <c r="J91419"/>
    </row>
    <row r="91420" spans="10:10" x14ac:dyDescent="0.3">
      <c r="J91420"/>
    </row>
    <row r="91421" spans="10:10" x14ac:dyDescent="0.3">
      <c r="J91421"/>
    </row>
    <row r="91422" spans="10:10" x14ac:dyDescent="0.3">
      <c r="J91422"/>
    </row>
    <row r="91423" spans="10:10" x14ac:dyDescent="0.3">
      <c r="J91423"/>
    </row>
    <row r="91424" spans="10:10" x14ac:dyDescent="0.3">
      <c r="J91424"/>
    </row>
    <row r="91425" spans="10:10" x14ac:dyDescent="0.3">
      <c r="J91425"/>
    </row>
    <row r="91426" spans="10:10" x14ac:dyDescent="0.3">
      <c r="J91426"/>
    </row>
    <row r="91427" spans="10:10" x14ac:dyDescent="0.3">
      <c r="J91427"/>
    </row>
    <row r="91428" spans="10:10" x14ac:dyDescent="0.3">
      <c r="J91428"/>
    </row>
    <row r="91429" spans="10:10" x14ac:dyDescent="0.3">
      <c r="J91429"/>
    </row>
    <row r="91430" spans="10:10" x14ac:dyDescent="0.3">
      <c r="J91430"/>
    </row>
    <row r="91431" spans="10:10" x14ac:dyDescent="0.3">
      <c r="J91431"/>
    </row>
    <row r="91432" spans="10:10" x14ac:dyDescent="0.3">
      <c r="J91432"/>
    </row>
    <row r="91433" spans="10:10" x14ac:dyDescent="0.3">
      <c r="J91433"/>
    </row>
    <row r="91434" spans="10:10" x14ac:dyDescent="0.3">
      <c r="J91434"/>
    </row>
    <row r="91435" spans="10:10" x14ac:dyDescent="0.3">
      <c r="J91435"/>
    </row>
    <row r="91436" spans="10:10" x14ac:dyDescent="0.3">
      <c r="J91436"/>
    </row>
    <row r="91437" spans="10:10" x14ac:dyDescent="0.3">
      <c r="J91437"/>
    </row>
    <row r="91438" spans="10:10" x14ac:dyDescent="0.3">
      <c r="J91438"/>
    </row>
    <row r="91439" spans="10:10" x14ac:dyDescent="0.3">
      <c r="J91439"/>
    </row>
    <row r="91440" spans="10:10" x14ac:dyDescent="0.3">
      <c r="J91440"/>
    </row>
    <row r="91441" spans="10:10" x14ac:dyDescent="0.3">
      <c r="J91441"/>
    </row>
    <row r="91442" spans="10:10" x14ac:dyDescent="0.3">
      <c r="J91442"/>
    </row>
    <row r="91443" spans="10:10" x14ac:dyDescent="0.3">
      <c r="J91443"/>
    </row>
    <row r="91444" spans="10:10" x14ac:dyDescent="0.3">
      <c r="J91444"/>
    </row>
    <row r="91445" spans="10:10" x14ac:dyDescent="0.3">
      <c r="J91445"/>
    </row>
    <row r="91446" spans="10:10" x14ac:dyDescent="0.3">
      <c r="J91446"/>
    </row>
    <row r="91447" spans="10:10" x14ac:dyDescent="0.3">
      <c r="J91447"/>
    </row>
    <row r="91448" spans="10:10" x14ac:dyDescent="0.3">
      <c r="J91448"/>
    </row>
    <row r="91449" spans="10:10" x14ac:dyDescent="0.3">
      <c r="J91449"/>
    </row>
    <row r="91450" spans="10:10" x14ac:dyDescent="0.3">
      <c r="J91450"/>
    </row>
    <row r="91451" spans="10:10" x14ac:dyDescent="0.3">
      <c r="J91451"/>
    </row>
    <row r="91452" spans="10:10" x14ac:dyDescent="0.3">
      <c r="J91452"/>
    </row>
    <row r="91453" spans="10:10" x14ac:dyDescent="0.3">
      <c r="J91453"/>
    </row>
    <row r="91454" spans="10:10" x14ac:dyDescent="0.3">
      <c r="J91454"/>
    </row>
    <row r="91455" spans="10:10" x14ac:dyDescent="0.3">
      <c r="J91455"/>
    </row>
    <row r="91456" spans="10:10" x14ac:dyDescent="0.3">
      <c r="J91456"/>
    </row>
    <row r="91457" spans="10:10" x14ac:dyDescent="0.3">
      <c r="J91457"/>
    </row>
    <row r="91458" spans="10:10" x14ac:dyDescent="0.3">
      <c r="J91458"/>
    </row>
    <row r="91459" spans="10:10" x14ac:dyDescent="0.3">
      <c r="J91459"/>
    </row>
    <row r="91460" spans="10:10" x14ac:dyDescent="0.3">
      <c r="J91460"/>
    </row>
    <row r="91461" spans="10:10" x14ac:dyDescent="0.3">
      <c r="J91461"/>
    </row>
    <row r="91462" spans="10:10" x14ac:dyDescent="0.3">
      <c r="J91462"/>
    </row>
    <row r="91463" spans="10:10" x14ac:dyDescent="0.3">
      <c r="J91463"/>
    </row>
    <row r="91464" spans="10:10" x14ac:dyDescent="0.3">
      <c r="J91464"/>
    </row>
    <row r="91465" spans="10:10" x14ac:dyDescent="0.3">
      <c r="J91465"/>
    </row>
    <row r="91466" spans="10:10" x14ac:dyDescent="0.3">
      <c r="J91466"/>
    </row>
    <row r="91467" spans="10:10" x14ac:dyDescent="0.3">
      <c r="J91467"/>
    </row>
    <row r="91468" spans="10:10" x14ac:dyDescent="0.3">
      <c r="J91468"/>
    </row>
    <row r="91469" spans="10:10" x14ac:dyDescent="0.3">
      <c r="J91469"/>
    </row>
    <row r="91470" spans="10:10" x14ac:dyDescent="0.3">
      <c r="J91470"/>
    </row>
    <row r="91471" spans="10:10" x14ac:dyDescent="0.3">
      <c r="J91471"/>
    </row>
    <row r="91472" spans="10:10" x14ac:dyDescent="0.3">
      <c r="J91472"/>
    </row>
    <row r="91473" spans="10:10" x14ac:dyDescent="0.3">
      <c r="J91473"/>
    </row>
    <row r="91474" spans="10:10" x14ac:dyDescent="0.3">
      <c r="J91474"/>
    </row>
    <row r="91475" spans="10:10" x14ac:dyDescent="0.3">
      <c r="J91475"/>
    </row>
    <row r="91476" spans="10:10" x14ac:dyDescent="0.3">
      <c r="J91476"/>
    </row>
    <row r="91477" spans="10:10" x14ac:dyDescent="0.3">
      <c r="J91477"/>
    </row>
    <row r="91478" spans="10:10" x14ac:dyDescent="0.3">
      <c r="J91478"/>
    </row>
    <row r="91479" spans="10:10" x14ac:dyDescent="0.3">
      <c r="J91479"/>
    </row>
    <row r="91480" spans="10:10" x14ac:dyDescent="0.3">
      <c r="J91480"/>
    </row>
    <row r="91481" spans="10:10" x14ac:dyDescent="0.3">
      <c r="J91481"/>
    </row>
    <row r="91482" spans="10:10" x14ac:dyDescent="0.3">
      <c r="J91482"/>
    </row>
    <row r="91483" spans="10:10" x14ac:dyDescent="0.3">
      <c r="J91483"/>
    </row>
    <row r="91484" spans="10:10" x14ac:dyDescent="0.3">
      <c r="J91484"/>
    </row>
    <row r="91485" spans="10:10" x14ac:dyDescent="0.3">
      <c r="J91485"/>
    </row>
    <row r="91486" spans="10:10" x14ac:dyDescent="0.3">
      <c r="J91486"/>
    </row>
    <row r="91487" spans="10:10" x14ac:dyDescent="0.3">
      <c r="J91487"/>
    </row>
    <row r="91488" spans="10:10" x14ac:dyDescent="0.3">
      <c r="J91488"/>
    </row>
    <row r="91489" spans="10:10" x14ac:dyDescent="0.3">
      <c r="J91489"/>
    </row>
    <row r="91490" spans="10:10" x14ac:dyDescent="0.3">
      <c r="J91490"/>
    </row>
    <row r="91491" spans="10:10" x14ac:dyDescent="0.3">
      <c r="J91491"/>
    </row>
    <row r="91492" spans="10:10" x14ac:dyDescent="0.3">
      <c r="J91492"/>
    </row>
    <row r="91493" spans="10:10" x14ac:dyDescent="0.3">
      <c r="J91493"/>
    </row>
    <row r="91494" spans="10:10" x14ac:dyDescent="0.3">
      <c r="J91494"/>
    </row>
    <row r="91495" spans="10:10" x14ac:dyDescent="0.3">
      <c r="J91495"/>
    </row>
    <row r="91496" spans="10:10" x14ac:dyDescent="0.3">
      <c r="J91496"/>
    </row>
    <row r="91497" spans="10:10" x14ac:dyDescent="0.3">
      <c r="J91497"/>
    </row>
    <row r="91498" spans="10:10" x14ac:dyDescent="0.3">
      <c r="J91498"/>
    </row>
    <row r="91499" spans="10:10" x14ac:dyDescent="0.3">
      <c r="J91499"/>
    </row>
    <row r="91500" spans="10:10" x14ac:dyDescent="0.3">
      <c r="J91500"/>
    </row>
    <row r="91501" spans="10:10" x14ac:dyDescent="0.3">
      <c r="J91501"/>
    </row>
    <row r="91502" spans="10:10" x14ac:dyDescent="0.3">
      <c r="J91502"/>
    </row>
    <row r="91503" spans="10:10" x14ac:dyDescent="0.3">
      <c r="J91503"/>
    </row>
    <row r="91504" spans="10:10" x14ac:dyDescent="0.3">
      <c r="J91504"/>
    </row>
    <row r="91505" spans="10:10" x14ac:dyDescent="0.3">
      <c r="J91505"/>
    </row>
    <row r="91506" spans="10:10" x14ac:dyDescent="0.3">
      <c r="J91506"/>
    </row>
    <row r="91507" spans="10:10" x14ac:dyDescent="0.3">
      <c r="J91507"/>
    </row>
    <row r="91508" spans="10:10" x14ac:dyDescent="0.3">
      <c r="J91508"/>
    </row>
    <row r="91509" spans="10:10" x14ac:dyDescent="0.3">
      <c r="J91509"/>
    </row>
    <row r="91510" spans="10:10" x14ac:dyDescent="0.3">
      <c r="J91510"/>
    </row>
    <row r="91511" spans="10:10" x14ac:dyDescent="0.3">
      <c r="J91511"/>
    </row>
    <row r="91512" spans="10:10" x14ac:dyDescent="0.3">
      <c r="J91512"/>
    </row>
    <row r="91513" spans="10:10" x14ac:dyDescent="0.3">
      <c r="J91513"/>
    </row>
    <row r="91514" spans="10:10" x14ac:dyDescent="0.3">
      <c r="J91514"/>
    </row>
    <row r="91515" spans="10:10" x14ac:dyDescent="0.3">
      <c r="J91515"/>
    </row>
    <row r="91516" spans="10:10" x14ac:dyDescent="0.3">
      <c r="J91516"/>
    </row>
    <row r="91517" spans="10:10" x14ac:dyDescent="0.3">
      <c r="J91517"/>
    </row>
    <row r="91518" spans="10:10" x14ac:dyDescent="0.3">
      <c r="J91518"/>
    </row>
    <row r="91519" spans="10:10" x14ac:dyDescent="0.3">
      <c r="J91519"/>
    </row>
    <row r="91520" spans="10:10" x14ac:dyDescent="0.3">
      <c r="J91520"/>
    </row>
    <row r="91521" spans="10:10" x14ac:dyDescent="0.3">
      <c r="J91521"/>
    </row>
    <row r="91522" spans="10:10" x14ac:dyDescent="0.3">
      <c r="J91522"/>
    </row>
    <row r="91523" spans="10:10" x14ac:dyDescent="0.3">
      <c r="J91523"/>
    </row>
    <row r="91524" spans="10:10" x14ac:dyDescent="0.3">
      <c r="J91524"/>
    </row>
    <row r="91525" spans="10:10" x14ac:dyDescent="0.3">
      <c r="J91525"/>
    </row>
    <row r="91526" spans="10:10" x14ac:dyDescent="0.3">
      <c r="J91526"/>
    </row>
    <row r="91527" spans="10:10" x14ac:dyDescent="0.3">
      <c r="J91527"/>
    </row>
    <row r="91528" spans="10:10" x14ac:dyDescent="0.3">
      <c r="J91528"/>
    </row>
    <row r="91529" spans="10:10" x14ac:dyDescent="0.3">
      <c r="J91529"/>
    </row>
    <row r="91530" spans="10:10" x14ac:dyDescent="0.3">
      <c r="J91530"/>
    </row>
    <row r="91531" spans="10:10" x14ac:dyDescent="0.3">
      <c r="J91531"/>
    </row>
    <row r="91532" spans="10:10" x14ac:dyDescent="0.3">
      <c r="J91532"/>
    </row>
    <row r="91533" spans="10:10" x14ac:dyDescent="0.3">
      <c r="J91533"/>
    </row>
    <row r="91534" spans="10:10" x14ac:dyDescent="0.3">
      <c r="J91534"/>
    </row>
    <row r="91535" spans="10:10" x14ac:dyDescent="0.3">
      <c r="J91535"/>
    </row>
    <row r="91536" spans="10:10" x14ac:dyDescent="0.3">
      <c r="J91536"/>
    </row>
    <row r="91537" spans="10:10" x14ac:dyDescent="0.3">
      <c r="J91537"/>
    </row>
    <row r="91538" spans="10:10" x14ac:dyDescent="0.3">
      <c r="J91538"/>
    </row>
    <row r="91539" spans="10:10" x14ac:dyDescent="0.3">
      <c r="J91539"/>
    </row>
    <row r="91540" spans="10:10" x14ac:dyDescent="0.3">
      <c r="J91540"/>
    </row>
    <row r="91541" spans="10:10" x14ac:dyDescent="0.3">
      <c r="J91541"/>
    </row>
    <row r="91542" spans="10:10" x14ac:dyDescent="0.3">
      <c r="J91542"/>
    </row>
    <row r="91543" spans="10:10" x14ac:dyDescent="0.3">
      <c r="J91543"/>
    </row>
    <row r="91544" spans="10:10" x14ac:dyDescent="0.3">
      <c r="J91544"/>
    </row>
    <row r="91545" spans="10:10" x14ac:dyDescent="0.3">
      <c r="J91545"/>
    </row>
    <row r="91546" spans="10:10" x14ac:dyDescent="0.3">
      <c r="J91546"/>
    </row>
    <row r="91547" spans="10:10" x14ac:dyDescent="0.3">
      <c r="J91547"/>
    </row>
    <row r="91548" spans="10:10" x14ac:dyDescent="0.3">
      <c r="J91548"/>
    </row>
    <row r="91549" spans="10:10" x14ac:dyDescent="0.3">
      <c r="J91549"/>
    </row>
    <row r="91550" spans="10:10" x14ac:dyDescent="0.3">
      <c r="J91550"/>
    </row>
    <row r="91551" spans="10:10" x14ac:dyDescent="0.3">
      <c r="J91551"/>
    </row>
    <row r="91552" spans="10:10" x14ac:dyDescent="0.3">
      <c r="J91552"/>
    </row>
    <row r="91553" spans="10:10" x14ac:dyDescent="0.3">
      <c r="J91553"/>
    </row>
    <row r="91554" spans="10:10" x14ac:dyDescent="0.3">
      <c r="J91554"/>
    </row>
    <row r="91555" spans="10:10" x14ac:dyDescent="0.3">
      <c r="J91555"/>
    </row>
    <row r="91556" spans="10:10" x14ac:dyDescent="0.3">
      <c r="J91556"/>
    </row>
    <row r="91557" spans="10:10" x14ac:dyDescent="0.3">
      <c r="J91557"/>
    </row>
    <row r="91558" spans="10:10" x14ac:dyDescent="0.3">
      <c r="J91558"/>
    </row>
    <row r="91559" spans="10:10" x14ac:dyDescent="0.3">
      <c r="J91559"/>
    </row>
    <row r="91560" spans="10:10" x14ac:dyDescent="0.3">
      <c r="J91560"/>
    </row>
    <row r="91561" spans="10:10" x14ac:dyDescent="0.3">
      <c r="J91561"/>
    </row>
    <row r="91562" spans="10:10" x14ac:dyDescent="0.3">
      <c r="J91562"/>
    </row>
    <row r="91563" spans="10:10" x14ac:dyDescent="0.3">
      <c r="J91563"/>
    </row>
    <row r="91564" spans="10:10" x14ac:dyDescent="0.3">
      <c r="J91564"/>
    </row>
    <row r="91565" spans="10:10" x14ac:dyDescent="0.3">
      <c r="J91565"/>
    </row>
    <row r="91566" spans="10:10" x14ac:dyDescent="0.3">
      <c r="J91566"/>
    </row>
    <row r="91567" spans="10:10" x14ac:dyDescent="0.3">
      <c r="J91567"/>
    </row>
    <row r="91568" spans="10:10" x14ac:dyDescent="0.3">
      <c r="J91568"/>
    </row>
    <row r="91569" spans="10:10" x14ac:dyDescent="0.3">
      <c r="J91569"/>
    </row>
    <row r="91570" spans="10:10" x14ac:dyDescent="0.3">
      <c r="J91570"/>
    </row>
    <row r="91571" spans="10:10" x14ac:dyDescent="0.3">
      <c r="J91571"/>
    </row>
    <row r="91572" spans="10:10" x14ac:dyDescent="0.3">
      <c r="J91572"/>
    </row>
    <row r="91573" spans="10:10" x14ac:dyDescent="0.3">
      <c r="J91573"/>
    </row>
    <row r="91574" spans="10:10" x14ac:dyDescent="0.3">
      <c r="J91574"/>
    </row>
    <row r="91575" spans="10:10" x14ac:dyDescent="0.3">
      <c r="J91575"/>
    </row>
    <row r="91576" spans="10:10" x14ac:dyDescent="0.3">
      <c r="J91576"/>
    </row>
    <row r="91577" spans="10:10" x14ac:dyDescent="0.3">
      <c r="J91577"/>
    </row>
    <row r="91578" spans="10:10" x14ac:dyDescent="0.3">
      <c r="J91578"/>
    </row>
    <row r="91579" spans="10:10" x14ac:dyDescent="0.3">
      <c r="J91579"/>
    </row>
    <row r="91580" spans="10:10" x14ac:dyDescent="0.3">
      <c r="J91580"/>
    </row>
    <row r="91581" spans="10:10" x14ac:dyDescent="0.3">
      <c r="J91581"/>
    </row>
    <row r="91582" spans="10:10" x14ac:dyDescent="0.3">
      <c r="J91582"/>
    </row>
    <row r="91583" spans="10:10" x14ac:dyDescent="0.3">
      <c r="J91583"/>
    </row>
    <row r="91584" spans="10:10" x14ac:dyDescent="0.3">
      <c r="J91584"/>
    </row>
    <row r="91585" spans="10:10" x14ac:dyDescent="0.3">
      <c r="J91585"/>
    </row>
    <row r="91586" spans="10:10" x14ac:dyDescent="0.3">
      <c r="J91586"/>
    </row>
    <row r="91587" spans="10:10" x14ac:dyDescent="0.3">
      <c r="J91587"/>
    </row>
    <row r="91588" spans="10:10" x14ac:dyDescent="0.3">
      <c r="J91588"/>
    </row>
    <row r="91589" spans="10:10" x14ac:dyDescent="0.3">
      <c r="J91589"/>
    </row>
    <row r="91590" spans="10:10" x14ac:dyDescent="0.3">
      <c r="J91590"/>
    </row>
    <row r="91591" spans="10:10" x14ac:dyDescent="0.3">
      <c r="J91591"/>
    </row>
    <row r="91592" spans="10:10" x14ac:dyDescent="0.3">
      <c r="J91592"/>
    </row>
    <row r="91593" spans="10:10" x14ac:dyDescent="0.3">
      <c r="J91593"/>
    </row>
    <row r="91594" spans="10:10" x14ac:dyDescent="0.3">
      <c r="J91594"/>
    </row>
    <row r="91595" spans="10:10" x14ac:dyDescent="0.3">
      <c r="J91595"/>
    </row>
    <row r="91596" spans="10:10" x14ac:dyDescent="0.3">
      <c r="J91596"/>
    </row>
    <row r="91597" spans="10:10" x14ac:dyDescent="0.3">
      <c r="J91597"/>
    </row>
    <row r="91598" spans="10:10" x14ac:dyDescent="0.3">
      <c r="J91598"/>
    </row>
    <row r="91599" spans="10:10" x14ac:dyDescent="0.3">
      <c r="J91599"/>
    </row>
    <row r="91600" spans="10:10" x14ac:dyDescent="0.3">
      <c r="J91600"/>
    </row>
    <row r="91601" spans="10:10" x14ac:dyDescent="0.3">
      <c r="J91601"/>
    </row>
    <row r="91602" spans="10:10" x14ac:dyDescent="0.3">
      <c r="J91602"/>
    </row>
    <row r="91603" spans="10:10" x14ac:dyDescent="0.3">
      <c r="J91603"/>
    </row>
    <row r="91604" spans="10:10" x14ac:dyDescent="0.3">
      <c r="J91604"/>
    </row>
    <row r="91605" spans="10:10" x14ac:dyDescent="0.3">
      <c r="J91605"/>
    </row>
    <row r="91606" spans="10:10" x14ac:dyDescent="0.3">
      <c r="J91606"/>
    </row>
    <row r="91607" spans="10:10" x14ac:dyDescent="0.3">
      <c r="J91607"/>
    </row>
    <row r="91608" spans="10:10" x14ac:dyDescent="0.3">
      <c r="J91608"/>
    </row>
    <row r="91609" spans="10:10" x14ac:dyDescent="0.3">
      <c r="J91609"/>
    </row>
    <row r="91610" spans="10:10" x14ac:dyDescent="0.3">
      <c r="J91610"/>
    </row>
    <row r="91611" spans="10:10" x14ac:dyDescent="0.3">
      <c r="J91611"/>
    </row>
    <row r="91612" spans="10:10" x14ac:dyDescent="0.3">
      <c r="J91612"/>
    </row>
    <row r="91613" spans="10:10" x14ac:dyDescent="0.3">
      <c r="J91613"/>
    </row>
    <row r="91614" spans="10:10" x14ac:dyDescent="0.3">
      <c r="J91614"/>
    </row>
    <row r="91615" spans="10:10" x14ac:dyDescent="0.3">
      <c r="J91615"/>
    </row>
    <row r="91616" spans="10:10" x14ac:dyDescent="0.3">
      <c r="J91616"/>
    </row>
    <row r="91617" spans="10:10" x14ac:dyDescent="0.3">
      <c r="J91617"/>
    </row>
    <row r="91618" spans="10:10" x14ac:dyDescent="0.3">
      <c r="J91618"/>
    </row>
    <row r="91619" spans="10:10" x14ac:dyDescent="0.3">
      <c r="J91619"/>
    </row>
    <row r="91620" spans="10:10" x14ac:dyDescent="0.3">
      <c r="J91620"/>
    </row>
    <row r="91621" spans="10:10" x14ac:dyDescent="0.3">
      <c r="J91621"/>
    </row>
    <row r="91622" spans="10:10" x14ac:dyDescent="0.3">
      <c r="J91622"/>
    </row>
    <row r="91623" spans="10:10" x14ac:dyDescent="0.3">
      <c r="J91623"/>
    </row>
    <row r="91624" spans="10:10" x14ac:dyDescent="0.3">
      <c r="J91624"/>
    </row>
    <row r="91625" spans="10:10" x14ac:dyDescent="0.3">
      <c r="J91625"/>
    </row>
    <row r="91626" spans="10:10" x14ac:dyDescent="0.3">
      <c r="J91626"/>
    </row>
    <row r="91627" spans="10:10" x14ac:dyDescent="0.3">
      <c r="J91627"/>
    </row>
    <row r="91628" spans="10:10" x14ac:dyDescent="0.3">
      <c r="J91628"/>
    </row>
    <row r="91629" spans="10:10" x14ac:dyDescent="0.3">
      <c r="J91629"/>
    </row>
    <row r="91630" spans="10:10" x14ac:dyDescent="0.3">
      <c r="J91630"/>
    </row>
    <row r="91631" spans="10:10" x14ac:dyDescent="0.3">
      <c r="J91631"/>
    </row>
    <row r="91632" spans="10:10" x14ac:dyDescent="0.3">
      <c r="J91632"/>
    </row>
    <row r="91633" spans="10:10" x14ac:dyDescent="0.3">
      <c r="J91633"/>
    </row>
    <row r="91634" spans="10:10" x14ac:dyDescent="0.3">
      <c r="J91634"/>
    </row>
    <row r="91635" spans="10:10" x14ac:dyDescent="0.3">
      <c r="J91635"/>
    </row>
    <row r="91636" spans="10:10" x14ac:dyDescent="0.3">
      <c r="J91636"/>
    </row>
    <row r="91637" spans="10:10" x14ac:dyDescent="0.3">
      <c r="J91637"/>
    </row>
    <row r="91638" spans="10:10" x14ac:dyDescent="0.3">
      <c r="J91638"/>
    </row>
    <row r="91639" spans="10:10" x14ac:dyDescent="0.3">
      <c r="J91639"/>
    </row>
    <row r="91640" spans="10:10" x14ac:dyDescent="0.3">
      <c r="J91640"/>
    </row>
    <row r="91641" spans="10:10" x14ac:dyDescent="0.3">
      <c r="J91641"/>
    </row>
    <row r="91642" spans="10:10" x14ac:dyDescent="0.3">
      <c r="J91642"/>
    </row>
    <row r="91643" spans="10:10" x14ac:dyDescent="0.3">
      <c r="J91643"/>
    </row>
    <row r="91644" spans="10:10" x14ac:dyDescent="0.3">
      <c r="J91644"/>
    </row>
    <row r="91645" spans="10:10" x14ac:dyDescent="0.3">
      <c r="J91645"/>
    </row>
    <row r="91646" spans="10:10" x14ac:dyDescent="0.3">
      <c r="J91646"/>
    </row>
    <row r="91647" spans="10:10" x14ac:dyDescent="0.3">
      <c r="J91647"/>
    </row>
    <row r="91648" spans="10:10" x14ac:dyDescent="0.3">
      <c r="J91648"/>
    </row>
    <row r="91649" spans="10:10" x14ac:dyDescent="0.3">
      <c r="J91649"/>
    </row>
    <row r="91650" spans="10:10" x14ac:dyDescent="0.3">
      <c r="J91650"/>
    </row>
    <row r="91651" spans="10:10" x14ac:dyDescent="0.3">
      <c r="J91651"/>
    </row>
    <row r="91652" spans="10:10" x14ac:dyDescent="0.3">
      <c r="J91652"/>
    </row>
    <row r="91653" spans="10:10" x14ac:dyDescent="0.3">
      <c r="J91653"/>
    </row>
    <row r="91654" spans="10:10" x14ac:dyDescent="0.3">
      <c r="J91654"/>
    </row>
    <row r="91655" spans="10:10" x14ac:dyDescent="0.3">
      <c r="J91655"/>
    </row>
    <row r="91656" spans="10:10" x14ac:dyDescent="0.3">
      <c r="J91656"/>
    </row>
    <row r="91657" spans="10:10" x14ac:dyDescent="0.3">
      <c r="J91657"/>
    </row>
    <row r="91658" spans="10:10" x14ac:dyDescent="0.3">
      <c r="J91658"/>
    </row>
    <row r="91659" spans="10:10" x14ac:dyDescent="0.3">
      <c r="J91659"/>
    </row>
    <row r="91660" spans="10:10" x14ac:dyDescent="0.3">
      <c r="J91660"/>
    </row>
    <row r="91661" spans="10:10" x14ac:dyDescent="0.3">
      <c r="J91661"/>
    </row>
    <row r="91662" spans="10:10" x14ac:dyDescent="0.3">
      <c r="J91662"/>
    </row>
    <row r="91663" spans="10:10" x14ac:dyDescent="0.3">
      <c r="J91663"/>
    </row>
    <row r="91664" spans="10:10" x14ac:dyDescent="0.3">
      <c r="J91664"/>
    </row>
    <row r="91665" spans="10:10" x14ac:dyDescent="0.3">
      <c r="J91665"/>
    </row>
    <row r="91666" spans="10:10" x14ac:dyDescent="0.3">
      <c r="J91666"/>
    </row>
    <row r="91667" spans="10:10" x14ac:dyDescent="0.3">
      <c r="J91667"/>
    </row>
    <row r="91668" spans="10:10" x14ac:dyDescent="0.3">
      <c r="J91668"/>
    </row>
    <row r="91669" spans="10:10" x14ac:dyDescent="0.3">
      <c r="J91669"/>
    </row>
    <row r="91670" spans="10:10" x14ac:dyDescent="0.3">
      <c r="J91670"/>
    </row>
    <row r="91671" spans="10:10" x14ac:dyDescent="0.3">
      <c r="J91671"/>
    </row>
    <row r="91672" spans="10:10" x14ac:dyDescent="0.3">
      <c r="J91672"/>
    </row>
    <row r="91673" spans="10:10" x14ac:dyDescent="0.3">
      <c r="J91673"/>
    </row>
    <row r="91674" spans="10:10" x14ac:dyDescent="0.3">
      <c r="J91674"/>
    </row>
    <row r="91675" spans="10:10" x14ac:dyDescent="0.3">
      <c r="J91675"/>
    </row>
    <row r="91676" spans="10:10" x14ac:dyDescent="0.3">
      <c r="J91676"/>
    </row>
    <row r="91677" spans="10:10" x14ac:dyDescent="0.3">
      <c r="J91677"/>
    </row>
    <row r="91678" spans="10:10" x14ac:dyDescent="0.3">
      <c r="J91678"/>
    </row>
    <row r="91679" spans="10:10" x14ac:dyDescent="0.3">
      <c r="J91679"/>
    </row>
    <row r="91680" spans="10:10" x14ac:dyDescent="0.3">
      <c r="J91680"/>
    </row>
    <row r="91681" spans="10:10" x14ac:dyDescent="0.3">
      <c r="J91681"/>
    </row>
    <row r="91682" spans="10:10" x14ac:dyDescent="0.3">
      <c r="J91682"/>
    </row>
    <row r="91683" spans="10:10" x14ac:dyDescent="0.3">
      <c r="J91683"/>
    </row>
    <row r="91684" spans="10:10" x14ac:dyDescent="0.3">
      <c r="J91684"/>
    </row>
    <row r="91685" spans="10:10" x14ac:dyDescent="0.3">
      <c r="J91685"/>
    </row>
    <row r="91686" spans="10:10" x14ac:dyDescent="0.3">
      <c r="J91686"/>
    </row>
    <row r="91687" spans="10:10" x14ac:dyDescent="0.3">
      <c r="J91687"/>
    </row>
    <row r="91688" spans="10:10" x14ac:dyDescent="0.3">
      <c r="J91688"/>
    </row>
    <row r="91689" spans="10:10" x14ac:dyDescent="0.3">
      <c r="J91689"/>
    </row>
    <row r="91690" spans="10:10" x14ac:dyDescent="0.3">
      <c r="J91690"/>
    </row>
    <row r="91691" spans="10:10" x14ac:dyDescent="0.3">
      <c r="J91691"/>
    </row>
    <row r="91692" spans="10:10" x14ac:dyDescent="0.3">
      <c r="J91692"/>
    </row>
    <row r="91693" spans="10:10" x14ac:dyDescent="0.3">
      <c r="J91693"/>
    </row>
    <row r="91694" spans="10:10" x14ac:dyDescent="0.3">
      <c r="J91694"/>
    </row>
    <row r="91695" spans="10:10" x14ac:dyDescent="0.3">
      <c r="J91695"/>
    </row>
    <row r="91696" spans="10:10" x14ac:dyDescent="0.3">
      <c r="J91696"/>
    </row>
    <row r="91697" spans="10:10" x14ac:dyDescent="0.3">
      <c r="J91697"/>
    </row>
    <row r="91698" spans="10:10" x14ac:dyDescent="0.3">
      <c r="J91698"/>
    </row>
    <row r="91699" spans="10:10" x14ac:dyDescent="0.3">
      <c r="J91699"/>
    </row>
    <row r="91700" spans="10:10" x14ac:dyDescent="0.3">
      <c r="J91700"/>
    </row>
    <row r="91701" spans="10:10" x14ac:dyDescent="0.3">
      <c r="J91701"/>
    </row>
    <row r="91702" spans="10:10" x14ac:dyDescent="0.3">
      <c r="J91702"/>
    </row>
    <row r="91703" spans="10:10" x14ac:dyDescent="0.3">
      <c r="J91703"/>
    </row>
    <row r="91704" spans="10:10" x14ac:dyDescent="0.3">
      <c r="J91704"/>
    </row>
    <row r="91705" spans="10:10" x14ac:dyDescent="0.3">
      <c r="J91705"/>
    </row>
    <row r="91706" spans="10:10" x14ac:dyDescent="0.3">
      <c r="J91706"/>
    </row>
    <row r="91707" spans="10:10" x14ac:dyDescent="0.3">
      <c r="J91707"/>
    </row>
    <row r="91708" spans="10:10" x14ac:dyDescent="0.3">
      <c r="J91708"/>
    </row>
    <row r="91709" spans="10:10" x14ac:dyDescent="0.3">
      <c r="J91709"/>
    </row>
    <row r="91710" spans="10:10" x14ac:dyDescent="0.3">
      <c r="J91710"/>
    </row>
    <row r="91711" spans="10:10" x14ac:dyDescent="0.3">
      <c r="J91711"/>
    </row>
    <row r="91712" spans="10:10" x14ac:dyDescent="0.3">
      <c r="J91712"/>
    </row>
    <row r="91713" spans="10:10" x14ac:dyDescent="0.3">
      <c r="J91713"/>
    </row>
    <row r="91714" spans="10:10" x14ac:dyDescent="0.3">
      <c r="J91714"/>
    </row>
    <row r="91715" spans="10:10" x14ac:dyDescent="0.3">
      <c r="J91715"/>
    </row>
    <row r="91716" spans="10:10" x14ac:dyDescent="0.3">
      <c r="J91716"/>
    </row>
    <row r="91717" spans="10:10" x14ac:dyDescent="0.3">
      <c r="J91717"/>
    </row>
    <row r="91718" spans="10:10" x14ac:dyDescent="0.3">
      <c r="J91718"/>
    </row>
    <row r="91719" spans="10:10" x14ac:dyDescent="0.3">
      <c r="J91719"/>
    </row>
    <row r="91720" spans="10:10" x14ac:dyDescent="0.3">
      <c r="J91720"/>
    </row>
    <row r="91721" spans="10:10" x14ac:dyDescent="0.3">
      <c r="J91721"/>
    </row>
    <row r="91722" spans="10:10" x14ac:dyDescent="0.3">
      <c r="J91722"/>
    </row>
    <row r="91723" spans="10:10" x14ac:dyDescent="0.3">
      <c r="J91723"/>
    </row>
    <row r="91724" spans="10:10" x14ac:dyDescent="0.3">
      <c r="J91724"/>
    </row>
    <row r="91725" spans="10:10" x14ac:dyDescent="0.3">
      <c r="J91725"/>
    </row>
    <row r="91726" spans="10:10" x14ac:dyDescent="0.3">
      <c r="J91726"/>
    </row>
    <row r="91727" spans="10:10" x14ac:dyDescent="0.3">
      <c r="J91727"/>
    </row>
    <row r="91728" spans="10:10" x14ac:dyDescent="0.3">
      <c r="J91728"/>
    </row>
    <row r="91729" spans="10:10" x14ac:dyDescent="0.3">
      <c r="J91729"/>
    </row>
    <row r="91730" spans="10:10" x14ac:dyDescent="0.3">
      <c r="J91730"/>
    </row>
    <row r="91731" spans="10:10" x14ac:dyDescent="0.3">
      <c r="J91731"/>
    </row>
    <row r="91732" spans="10:10" x14ac:dyDescent="0.3">
      <c r="J91732"/>
    </row>
    <row r="91733" spans="10:10" x14ac:dyDescent="0.3">
      <c r="J91733"/>
    </row>
    <row r="91734" spans="10:10" x14ac:dyDescent="0.3">
      <c r="J91734"/>
    </row>
    <row r="91735" spans="10:10" x14ac:dyDescent="0.3">
      <c r="J91735"/>
    </row>
    <row r="91736" spans="10:10" x14ac:dyDescent="0.3">
      <c r="J91736"/>
    </row>
    <row r="91737" spans="10:10" x14ac:dyDescent="0.3">
      <c r="J91737"/>
    </row>
    <row r="91738" spans="10:10" x14ac:dyDescent="0.3">
      <c r="J91738"/>
    </row>
    <row r="91739" spans="10:10" x14ac:dyDescent="0.3">
      <c r="J91739"/>
    </row>
    <row r="91740" spans="10:10" x14ac:dyDescent="0.3">
      <c r="J91740"/>
    </row>
    <row r="91741" spans="10:10" x14ac:dyDescent="0.3">
      <c r="J91741"/>
    </row>
    <row r="91742" spans="10:10" x14ac:dyDescent="0.3">
      <c r="J91742"/>
    </row>
    <row r="91743" spans="10:10" x14ac:dyDescent="0.3">
      <c r="J91743"/>
    </row>
    <row r="91744" spans="10:10" x14ac:dyDescent="0.3">
      <c r="J91744"/>
    </row>
    <row r="91745" spans="10:10" x14ac:dyDescent="0.3">
      <c r="J91745"/>
    </row>
    <row r="91746" spans="10:10" x14ac:dyDescent="0.3">
      <c r="J91746"/>
    </row>
    <row r="91747" spans="10:10" x14ac:dyDescent="0.3">
      <c r="J91747"/>
    </row>
    <row r="91748" spans="10:10" x14ac:dyDescent="0.3">
      <c r="J91748"/>
    </row>
    <row r="91749" spans="10:10" x14ac:dyDescent="0.3">
      <c r="J91749"/>
    </row>
    <row r="91750" spans="10:10" x14ac:dyDescent="0.3">
      <c r="J91750"/>
    </row>
    <row r="91751" spans="10:10" x14ac:dyDescent="0.3">
      <c r="J91751"/>
    </row>
    <row r="91752" spans="10:10" x14ac:dyDescent="0.3">
      <c r="J91752"/>
    </row>
    <row r="91753" spans="10:10" x14ac:dyDescent="0.3">
      <c r="J91753"/>
    </row>
    <row r="91754" spans="10:10" x14ac:dyDescent="0.3">
      <c r="J91754"/>
    </row>
    <row r="91755" spans="10:10" x14ac:dyDescent="0.3">
      <c r="J91755"/>
    </row>
    <row r="91756" spans="10:10" x14ac:dyDescent="0.3">
      <c r="J91756"/>
    </row>
    <row r="91757" spans="10:10" x14ac:dyDescent="0.3">
      <c r="J91757"/>
    </row>
    <row r="91758" spans="10:10" x14ac:dyDescent="0.3">
      <c r="J91758"/>
    </row>
    <row r="91759" spans="10:10" x14ac:dyDescent="0.3">
      <c r="J91759"/>
    </row>
    <row r="91760" spans="10:10" x14ac:dyDescent="0.3">
      <c r="J91760"/>
    </row>
    <row r="91761" spans="10:10" x14ac:dyDescent="0.3">
      <c r="J91761"/>
    </row>
    <row r="91762" spans="10:10" x14ac:dyDescent="0.3">
      <c r="J91762"/>
    </row>
    <row r="91763" spans="10:10" x14ac:dyDescent="0.3">
      <c r="J91763"/>
    </row>
    <row r="91764" spans="10:10" x14ac:dyDescent="0.3">
      <c r="J91764"/>
    </row>
    <row r="91765" spans="10:10" x14ac:dyDescent="0.3">
      <c r="J91765"/>
    </row>
    <row r="91766" spans="10:10" x14ac:dyDescent="0.3">
      <c r="J91766"/>
    </row>
    <row r="91767" spans="10:10" x14ac:dyDescent="0.3">
      <c r="J91767"/>
    </row>
    <row r="91768" spans="10:10" x14ac:dyDescent="0.3">
      <c r="J91768"/>
    </row>
    <row r="91769" spans="10:10" x14ac:dyDescent="0.3">
      <c r="J91769"/>
    </row>
    <row r="91770" spans="10:10" x14ac:dyDescent="0.3">
      <c r="J91770"/>
    </row>
    <row r="91771" spans="10:10" x14ac:dyDescent="0.3">
      <c r="J91771"/>
    </row>
    <row r="91772" spans="10:10" x14ac:dyDescent="0.3">
      <c r="J91772"/>
    </row>
    <row r="91773" spans="10:10" x14ac:dyDescent="0.3">
      <c r="J91773"/>
    </row>
    <row r="91774" spans="10:10" x14ac:dyDescent="0.3">
      <c r="J91774"/>
    </row>
    <row r="91775" spans="10:10" x14ac:dyDescent="0.3">
      <c r="J91775"/>
    </row>
    <row r="91776" spans="10:10" x14ac:dyDescent="0.3">
      <c r="J91776"/>
    </row>
    <row r="91777" spans="10:10" x14ac:dyDescent="0.3">
      <c r="J91777"/>
    </row>
    <row r="91778" spans="10:10" x14ac:dyDescent="0.3">
      <c r="J91778"/>
    </row>
    <row r="91779" spans="10:10" x14ac:dyDescent="0.3">
      <c r="J91779"/>
    </row>
    <row r="91780" spans="10:10" x14ac:dyDescent="0.3">
      <c r="J91780"/>
    </row>
    <row r="91781" spans="10:10" x14ac:dyDescent="0.3">
      <c r="J91781"/>
    </row>
    <row r="91782" spans="10:10" x14ac:dyDescent="0.3">
      <c r="J91782"/>
    </row>
    <row r="91783" spans="10:10" x14ac:dyDescent="0.3">
      <c r="J91783"/>
    </row>
    <row r="91784" spans="10:10" x14ac:dyDescent="0.3">
      <c r="J91784"/>
    </row>
    <row r="91785" spans="10:10" x14ac:dyDescent="0.3">
      <c r="J91785"/>
    </row>
    <row r="91786" spans="10:10" x14ac:dyDescent="0.3">
      <c r="J91786"/>
    </row>
    <row r="91787" spans="10:10" x14ac:dyDescent="0.3">
      <c r="J91787"/>
    </row>
    <row r="91788" spans="10:10" x14ac:dyDescent="0.3">
      <c r="J91788"/>
    </row>
    <row r="91789" spans="10:10" x14ac:dyDescent="0.3">
      <c r="J91789"/>
    </row>
    <row r="91790" spans="10:10" x14ac:dyDescent="0.3">
      <c r="J91790"/>
    </row>
    <row r="91791" spans="10:10" x14ac:dyDescent="0.3">
      <c r="J91791"/>
    </row>
    <row r="91792" spans="10:10" x14ac:dyDescent="0.3">
      <c r="J91792"/>
    </row>
    <row r="91793" spans="10:10" x14ac:dyDescent="0.3">
      <c r="J91793"/>
    </row>
    <row r="91794" spans="10:10" x14ac:dyDescent="0.3">
      <c r="J91794"/>
    </row>
    <row r="91795" spans="10:10" x14ac:dyDescent="0.3">
      <c r="J91795"/>
    </row>
    <row r="91796" spans="10:10" x14ac:dyDescent="0.3">
      <c r="J91796"/>
    </row>
    <row r="91797" spans="10:10" x14ac:dyDescent="0.3">
      <c r="J91797"/>
    </row>
    <row r="91798" spans="10:10" x14ac:dyDescent="0.3">
      <c r="J91798"/>
    </row>
    <row r="91799" spans="10:10" x14ac:dyDescent="0.3">
      <c r="J91799"/>
    </row>
    <row r="91800" spans="10:10" x14ac:dyDescent="0.3">
      <c r="J91800"/>
    </row>
    <row r="91801" spans="10:10" x14ac:dyDescent="0.3">
      <c r="J91801"/>
    </row>
    <row r="91802" spans="10:10" x14ac:dyDescent="0.3">
      <c r="J91802"/>
    </row>
    <row r="91803" spans="10:10" x14ac:dyDescent="0.3">
      <c r="J91803"/>
    </row>
    <row r="91804" spans="10:10" x14ac:dyDescent="0.3">
      <c r="J91804"/>
    </row>
    <row r="91805" spans="10:10" x14ac:dyDescent="0.3">
      <c r="J91805"/>
    </row>
    <row r="91806" spans="10:10" x14ac:dyDescent="0.3">
      <c r="J91806"/>
    </row>
    <row r="91807" spans="10:10" x14ac:dyDescent="0.3">
      <c r="J91807"/>
    </row>
    <row r="91808" spans="10:10" x14ac:dyDescent="0.3">
      <c r="J91808"/>
    </row>
    <row r="91809" spans="10:10" x14ac:dyDescent="0.3">
      <c r="J91809"/>
    </row>
    <row r="91810" spans="10:10" x14ac:dyDescent="0.3">
      <c r="J91810"/>
    </row>
    <row r="91811" spans="10:10" x14ac:dyDescent="0.3">
      <c r="J91811"/>
    </row>
    <row r="91812" spans="10:10" x14ac:dyDescent="0.3">
      <c r="J91812"/>
    </row>
    <row r="91813" spans="10:10" x14ac:dyDescent="0.3">
      <c r="J91813"/>
    </row>
    <row r="91814" spans="10:10" x14ac:dyDescent="0.3">
      <c r="J91814"/>
    </row>
    <row r="91815" spans="10:10" x14ac:dyDescent="0.3">
      <c r="J91815"/>
    </row>
    <row r="91816" spans="10:10" x14ac:dyDescent="0.3">
      <c r="J91816"/>
    </row>
    <row r="91817" spans="10:10" x14ac:dyDescent="0.3">
      <c r="J91817"/>
    </row>
    <row r="91818" spans="10:10" x14ac:dyDescent="0.3">
      <c r="J91818"/>
    </row>
    <row r="91819" spans="10:10" x14ac:dyDescent="0.3">
      <c r="J91819"/>
    </row>
    <row r="91820" spans="10:10" x14ac:dyDescent="0.3">
      <c r="J91820"/>
    </row>
    <row r="91821" spans="10:10" x14ac:dyDescent="0.3">
      <c r="J91821"/>
    </row>
    <row r="91822" spans="10:10" x14ac:dyDescent="0.3">
      <c r="J91822"/>
    </row>
    <row r="91823" spans="10:10" x14ac:dyDescent="0.3">
      <c r="J91823"/>
    </row>
    <row r="91824" spans="10:10" x14ac:dyDescent="0.3">
      <c r="J91824"/>
    </row>
    <row r="91825" spans="10:10" x14ac:dyDescent="0.3">
      <c r="J91825"/>
    </row>
    <row r="91826" spans="10:10" x14ac:dyDescent="0.3">
      <c r="J91826"/>
    </row>
    <row r="91827" spans="10:10" x14ac:dyDescent="0.3">
      <c r="J91827"/>
    </row>
    <row r="91828" spans="10:10" x14ac:dyDescent="0.3">
      <c r="J91828"/>
    </row>
    <row r="91829" spans="10:10" x14ac:dyDescent="0.3">
      <c r="J91829"/>
    </row>
    <row r="91830" spans="10:10" x14ac:dyDescent="0.3">
      <c r="J91830"/>
    </row>
    <row r="91831" spans="10:10" x14ac:dyDescent="0.3">
      <c r="J91831"/>
    </row>
    <row r="91832" spans="10:10" x14ac:dyDescent="0.3">
      <c r="J91832"/>
    </row>
    <row r="91833" spans="10:10" x14ac:dyDescent="0.3">
      <c r="J91833"/>
    </row>
    <row r="91834" spans="10:10" x14ac:dyDescent="0.3">
      <c r="J91834"/>
    </row>
    <row r="91835" spans="10:10" x14ac:dyDescent="0.3">
      <c r="J91835"/>
    </row>
    <row r="91836" spans="10:10" x14ac:dyDescent="0.3">
      <c r="J91836"/>
    </row>
    <row r="91837" spans="10:10" x14ac:dyDescent="0.3">
      <c r="J91837"/>
    </row>
    <row r="91838" spans="10:10" x14ac:dyDescent="0.3">
      <c r="J91838"/>
    </row>
    <row r="91839" spans="10:10" x14ac:dyDescent="0.3">
      <c r="J91839"/>
    </row>
    <row r="91840" spans="10:10" x14ac:dyDescent="0.3">
      <c r="J91840"/>
    </row>
    <row r="91841" spans="10:10" x14ac:dyDescent="0.3">
      <c r="J91841"/>
    </row>
    <row r="91842" spans="10:10" x14ac:dyDescent="0.3">
      <c r="J91842"/>
    </row>
    <row r="91843" spans="10:10" x14ac:dyDescent="0.3">
      <c r="J91843"/>
    </row>
    <row r="91844" spans="10:10" x14ac:dyDescent="0.3">
      <c r="J91844"/>
    </row>
    <row r="91845" spans="10:10" x14ac:dyDescent="0.3">
      <c r="J91845"/>
    </row>
    <row r="91846" spans="10:10" x14ac:dyDescent="0.3">
      <c r="J91846"/>
    </row>
    <row r="91847" spans="10:10" x14ac:dyDescent="0.3">
      <c r="J91847"/>
    </row>
    <row r="91848" spans="10:10" x14ac:dyDescent="0.3">
      <c r="J91848"/>
    </row>
    <row r="91849" spans="10:10" x14ac:dyDescent="0.3">
      <c r="J91849"/>
    </row>
    <row r="91850" spans="10:10" x14ac:dyDescent="0.3">
      <c r="J91850"/>
    </row>
    <row r="91851" spans="10:10" x14ac:dyDescent="0.3">
      <c r="J91851"/>
    </row>
    <row r="91852" spans="10:10" x14ac:dyDescent="0.3">
      <c r="J91852"/>
    </row>
    <row r="91853" spans="10:10" x14ac:dyDescent="0.3">
      <c r="J91853"/>
    </row>
    <row r="91854" spans="10:10" x14ac:dyDescent="0.3">
      <c r="J91854"/>
    </row>
    <row r="91855" spans="10:10" x14ac:dyDescent="0.3">
      <c r="J91855"/>
    </row>
    <row r="91856" spans="10:10" x14ac:dyDescent="0.3">
      <c r="J91856"/>
    </row>
    <row r="91857" spans="10:10" x14ac:dyDescent="0.3">
      <c r="J91857"/>
    </row>
    <row r="91858" spans="10:10" x14ac:dyDescent="0.3">
      <c r="J91858"/>
    </row>
    <row r="91859" spans="10:10" x14ac:dyDescent="0.3">
      <c r="J91859"/>
    </row>
    <row r="91860" spans="10:10" x14ac:dyDescent="0.3">
      <c r="J91860"/>
    </row>
    <row r="91861" spans="10:10" x14ac:dyDescent="0.3">
      <c r="J91861"/>
    </row>
    <row r="91862" spans="10:10" x14ac:dyDescent="0.3">
      <c r="J91862"/>
    </row>
    <row r="91863" spans="10:10" x14ac:dyDescent="0.3">
      <c r="J91863"/>
    </row>
    <row r="91864" spans="10:10" x14ac:dyDescent="0.3">
      <c r="J91864"/>
    </row>
    <row r="91865" spans="10:10" x14ac:dyDescent="0.3">
      <c r="J91865"/>
    </row>
    <row r="91866" spans="10:10" x14ac:dyDescent="0.3">
      <c r="J91866"/>
    </row>
    <row r="91867" spans="10:10" x14ac:dyDescent="0.3">
      <c r="J91867"/>
    </row>
    <row r="91868" spans="10:10" x14ac:dyDescent="0.3">
      <c r="J91868"/>
    </row>
    <row r="91869" spans="10:10" x14ac:dyDescent="0.3">
      <c r="J91869"/>
    </row>
    <row r="91870" spans="10:10" x14ac:dyDescent="0.3">
      <c r="J91870"/>
    </row>
    <row r="91871" spans="10:10" x14ac:dyDescent="0.3">
      <c r="J91871"/>
    </row>
    <row r="91872" spans="10:10" x14ac:dyDescent="0.3">
      <c r="J91872"/>
    </row>
    <row r="91873" spans="10:10" x14ac:dyDescent="0.3">
      <c r="J91873"/>
    </row>
    <row r="91874" spans="10:10" x14ac:dyDescent="0.3">
      <c r="J91874"/>
    </row>
    <row r="91875" spans="10:10" x14ac:dyDescent="0.3">
      <c r="J91875"/>
    </row>
    <row r="91876" spans="10:10" x14ac:dyDescent="0.3">
      <c r="J91876"/>
    </row>
    <row r="91877" spans="10:10" x14ac:dyDescent="0.3">
      <c r="J91877"/>
    </row>
    <row r="91878" spans="10:10" x14ac:dyDescent="0.3">
      <c r="J91878"/>
    </row>
    <row r="91879" spans="10:10" x14ac:dyDescent="0.3">
      <c r="J91879"/>
    </row>
    <row r="91880" spans="10:10" x14ac:dyDescent="0.3">
      <c r="J91880"/>
    </row>
    <row r="91881" spans="10:10" x14ac:dyDescent="0.3">
      <c r="J91881"/>
    </row>
    <row r="91882" spans="10:10" x14ac:dyDescent="0.3">
      <c r="J91882"/>
    </row>
    <row r="91883" spans="10:10" x14ac:dyDescent="0.3">
      <c r="J91883"/>
    </row>
    <row r="91884" spans="10:10" x14ac:dyDescent="0.3">
      <c r="J91884"/>
    </row>
    <row r="91885" spans="10:10" x14ac:dyDescent="0.3">
      <c r="J91885"/>
    </row>
    <row r="91886" spans="10:10" x14ac:dyDescent="0.3">
      <c r="J91886"/>
    </row>
    <row r="91887" spans="10:10" x14ac:dyDescent="0.3">
      <c r="J91887"/>
    </row>
    <row r="91888" spans="10:10" x14ac:dyDescent="0.3">
      <c r="J91888"/>
    </row>
    <row r="91889" spans="10:10" x14ac:dyDescent="0.3">
      <c r="J91889"/>
    </row>
    <row r="91890" spans="10:10" x14ac:dyDescent="0.3">
      <c r="J91890"/>
    </row>
    <row r="91891" spans="10:10" x14ac:dyDescent="0.3">
      <c r="J91891"/>
    </row>
    <row r="91892" spans="10:10" x14ac:dyDescent="0.3">
      <c r="J91892"/>
    </row>
    <row r="91893" spans="10:10" x14ac:dyDescent="0.3">
      <c r="J91893"/>
    </row>
    <row r="91894" spans="10:10" x14ac:dyDescent="0.3">
      <c r="J91894"/>
    </row>
    <row r="91895" spans="10:10" x14ac:dyDescent="0.3">
      <c r="J91895"/>
    </row>
    <row r="91896" spans="10:10" x14ac:dyDescent="0.3">
      <c r="J91896"/>
    </row>
    <row r="91897" spans="10:10" x14ac:dyDescent="0.3">
      <c r="J91897"/>
    </row>
    <row r="91898" spans="10:10" x14ac:dyDescent="0.3">
      <c r="J91898"/>
    </row>
    <row r="91899" spans="10:10" x14ac:dyDescent="0.3">
      <c r="J91899"/>
    </row>
    <row r="91900" spans="10:10" x14ac:dyDescent="0.3">
      <c r="J91900"/>
    </row>
    <row r="91901" spans="10:10" x14ac:dyDescent="0.3">
      <c r="J91901"/>
    </row>
    <row r="91902" spans="10:10" x14ac:dyDescent="0.3">
      <c r="J91902"/>
    </row>
    <row r="91903" spans="10:10" x14ac:dyDescent="0.3">
      <c r="J91903"/>
    </row>
    <row r="91904" spans="10:10" x14ac:dyDescent="0.3">
      <c r="J91904"/>
    </row>
    <row r="91905" spans="10:10" x14ac:dyDescent="0.3">
      <c r="J91905"/>
    </row>
    <row r="91906" spans="10:10" x14ac:dyDescent="0.3">
      <c r="J91906"/>
    </row>
    <row r="91907" spans="10:10" x14ac:dyDescent="0.3">
      <c r="J91907"/>
    </row>
    <row r="91908" spans="10:10" x14ac:dyDescent="0.3">
      <c r="J91908"/>
    </row>
    <row r="91909" spans="10:10" x14ac:dyDescent="0.3">
      <c r="J91909"/>
    </row>
    <row r="91910" spans="10:10" x14ac:dyDescent="0.3">
      <c r="J91910"/>
    </row>
    <row r="91911" spans="10:10" x14ac:dyDescent="0.3">
      <c r="J91911"/>
    </row>
    <row r="91912" spans="10:10" x14ac:dyDescent="0.3">
      <c r="J91912"/>
    </row>
    <row r="91913" spans="10:10" x14ac:dyDescent="0.3">
      <c r="J91913"/>
    </row>
    <row r="91914" spans="10:10" x14ac:dyDescent="0.3">
      <c r="J91914"/>
    </row>
    <row r="91915" spans="10:10" x14ac:dyDescent="0.3">
      <c r="J91915"/>
    </row>
    <row r="91916" spans="10:10" x14ac:dyDescent="0.3">
      <c r="J91916"/>
    </row>
    <row r="91917" spans="10:10" x14ac:dyDescent="0.3">
      <c r="J91917"/>
    </row>
    <row r="91918" spans="10:10" x14ac:dyDescent="0.3">
      <c r="J91918"/>
    </row>
    <row r="91919" spans="10:10" x14ac:dyDescent="0.3">
      <c r="J91919"/>
    </row>
    <row r="91920" spans="10:10" x14ac:dyDescent="0.3">
      <c r="J91920"/>
    </row>
    <row r="91921" spans="10:10" x14ac:dyDescent="0.3">
      <c r="J91921"/>
    </row>
    <row r="91922" spans="10:10" x14ac:dyDescent="0.3">
      <c r="J91922"/>
    </row>
    <row r="91923" spans="10:10" x14ac:dyDescent="0.3">
      <c r="J91923"/>
    </row>
    <row r="91924" spans="10:10" x14ac:dyDescent="0.3">
      <c r="J91924"/>
    </row>
    <row r="91925" spans="10:10" x14ac:dyDescent="0.3">
      <c r="J91925"/>
    </row>
    <row r="91926" spans="10:10" x14ac:dyDescent="0.3">
      <c r="J91926"/>
    </row>
    <row r="91927" spans="10:10" x14ac:dyDescent="0.3">
      <c r="J91927"/>
    </row>
    <row r="91928" spans="10:10" x14ac:dyDescent="0.3">
      <c r="J91928"/>
    </row>
    <row r="91929" spans="10:10" x14ac:dyDescent="0.3">
      <c r="J91929"/>
    </row>
    <row r="91930" spans="10:10" x14ac:dyDescent="0.3">
      <c r="J91930"/>
    </row>
    <row r="91931" spans="10:10" x14ac:dyDescent="0.3">
      <c r="J91931"/>
    </row>
    <row r="91932" spans="10:10" x14ac:dyDescent="0.3">
      <c r="J91932"/>
    </row>
    <row r="91933" spans="10:10" x14ac:dyDescent="0.3">
      <c r="J91933"/>
    </row>
    <row r="91934" spans="10:10" x14ac:dyDescent="0.3">
      <c r="J91934"/>
    </row>
    <row r="91935" spans="10:10" x14ac:dyDescent="0.3">
      <c r="J91935"/>
    </row>
    <row r="91936" spans="10:10" x14ac:dyDescent="0.3">
      <c r="J91936"/>
    </row>
    <row r="91937" spans="10:10" x14ac:dyDescent="0.3">
      <c r="J91937"/>
    </row>
    <row r="91938" spans="10:10" x14ac:dyDescent="0.3">
      <c r="J91938"/>
    </row>
    <row r="91939" spans="10:10" x14ac:dyDescent="0.3">
      <c r="J91939"/>
    </row>
    <row r="91940" spans="10:10" x14ac:dyDescent="0.3">
      <c r="J91940"/>
    </row>
    <row r="91941" spans="10:10" x14ac:dyDescent="0.3">
      <c r="J91941"/>
    </row>
    <row r="91942" spans="10:10" x14ac:dyDescent="0.3">
      <c r="J91942"/>
    </row>
    <row r="91943" spans="10:10" x14ac:dyDescent="0.3">
      <c r="J91943"/>
    </row>
    <row r="91944" spans="10:10" x14ac:dyDescent="0.3">
      <c r="J91944"/>
    </row>
    <row r="91945" spans="10:10" x14ac:dyDescent="0.3">
      <c r="J91945"/>
    </row>
    <row r="91946" spans="10:10" x14ac:dyDescent="0.3">
      <c r="J91946"/>
    </row>
    <row r="91947" spans="10:10" x14ac:dyDescent="0.3">
      <c r="J91947"/>
    </row>
    <row r="91948" spans="10:10" x14ac:dyDescent="0.3">
      <c r="J91948"/>
    </row>
    <row r="91949" spans="10:10" x14ac:dyDescent="0.3">
      <c r="J91949"/>
    </row>
    <row r="91950" spans="10:10" x14ac:dyDescent="0.3">
      <c r="J91950"/>
    </row>
    <row r="91951" spans="10:10" x14ac:dyDescent="0.3">
      <c r="J91951"/>
    </row>
    <row r="91952" spans="10:10" x14ac:dyDescent="0.3">
      <c r="J91952"/>
    </row>
    <row r="91953" spans="10:10" x14ac:dyDescent="0.3">
      <c r="J91953"/>
    </row>
    <row r="91954" spans="10:10" x14ac:dyDescent="0.3">
      <c r="J91954"/>
    </row>
    <row r="91955" spans="10:10" x14ac:dyDescent="0.3">
      <c r="J91955"/>
    </row>
    <row r="91956" spans="10:10" x14ac:dyDescent="0.3">
      <c r="J91956"/>
    </row>
    <row r="91957" spans="10:10" x14ac:dyDescent="0.3">
      <c r="J91957"/>
    </row>
    <row r="91958" spans="10:10" x14ac:dyDescent="0.3">
      <c r="J91958"/>
    </row>
    <row r="91959" spans="10:10" x14ac:dyDescent="0.3">
      <c r="J91959"/>
    </row>
    <row r="91960" spans="10:10" x14ac:dyDescent="0.3">
      <c r="J91960"/>
    </row>
    <row r="91961" spans="10:10" x14ac:dyDescent="0.3">
      <c r="J91961"/>
    </row>
    <row r="91962" spans="10:10" x14ac:dyDescent="0.3">
      <c r="J91962"/>
    </row>
    <row r="91963" spans="10:10" x14ac:dyDescent="0.3">
      <c r="J91963"/>
    </row>
    <row r="91964" spans="10:10" x14ac:dyDescent="0.3">
      <c r="J91964"/>
    </row>
    <row r="91965" spans="10:10" x14ac:dyDescent="0.3">
      <c r="J91965"/>
    </row>
    <row r="91966" spans="10:10" x14ac:dyDescent="0.3">
      <c r="J91966"/>
    </row>
    <row r="91967" spans="10:10" x14ac:dyDescent="0.3">
      <c r="J91967"/>
    </row>
    <row r="91968" spans="10:10" x14ac:dyDescent="0.3">
      <c r="J91968"/>
    </row>
    <row r="91969" spans="10:10" x14ac:dyDescent="0.3">
      <c r="J91969"/>
    </row>
    <row r="91970" spans="10:10" x14ac:dyDescent="0.3">
      <c r="J91970"/>
    </row>
    <row r="91971" spans="10:10" x14ac:dyDescent="0.3">
      <c r="J91971"/>
    </row>
    <row r="91972" spans="10:10" x14ac:dyDescent="0.3">
      <c r="J91972"/>
    </row>
    <row r="91973" spans="10:10" x14ac:dyDescent="0.3">
      <c r="J91973"/>
    </row>
    <row r="91974" spans="10:10" x14ac:dyDescent="0.3">
      <c r="J91974"/>
    </row>
    <row r="91975" spans="10:10" x14ac:dyDescent="0.3">
      <c r="J91975"/>
    </row>
    <row r="91976" spans="10:10" x14ac:dyDescent="0.3">
      <c r="J91976"/>
    </row>
    <row r="91977" spans="10:10" x14ac:dyDescent="0.3">
      <c r="J91977"/>
    </row>
    <row r="91978" spans="10:10" x14ac:dyDescent="0.3">
      <c r="J91978"/>
    </row>
    <row r="91979" spans="10:10" x14ac:dyDescent="0.3">
      <c r="J91979"/>
    </row>
    <row r="91980" spans="10:10" x14ac:dyDescent="0.3">
      <c r="J91980"/>
    </row>
    <row r="91981" spans="10:10" x14ac:dyDescent="0.3">
      <c r="J91981"/>
    </row>
    <row r="91982" spans="10:10" x14ac:dyDescent="0.3">
      <c r="J91982"/>
    </row>
    <row r="91983" spans="10:10" x14ac:dyDescent="0.3">
      <c r="J91983"/>
    </row>
    <row r="91984" spans="10:10" x14ac:dyDescent="0.3">
      <c r="J91984"/>
    </row>
    <row r="91985" spans="10:10" x14ac:dyDescent="0.3">
      <c r="J91985"/>
    </row>
    <row r="91986" spans="10:10" x14ac:dyDescent="0.3">
      <c r="J91986"/>
    </row>
    <row r="91987" spans="10:10" x14ac:dyDescent="0.3">
      <c r="J91987"/>
    </row>
    <row r="91988" spans="10:10" x14ac:dyDescent="0.3">
      <c r="J91988"/>
    </row>
    <row r="91989" spans="10:10" x14ac:dyDescent="0.3">
      <c r="J91989"/>
    </row>
    <row r="91990" spans="10:10" x14ac:dyDescent="0.3">
      <c r="J91990"/>
    </row>
    <row r="91991" spans="10:10" x14ac:dyDescent="0.3">
      <c r="J91991"/>
    </row>
    <row r="91992" spans="10:10" x14ac:dyDescent="0.3">
      <c r="J91992"/>
    </row>
    <row r="91993" spans="10:10" x14ac:dyDescent="0.3">
      <c r="J91993"/>
    </row>
    <row r="91994" spans="10:10" x14ac:dyDescent="0.3">
      <c r="J91994"/>
    </row>
    <row r="91995" spans="10:10" x14ac:dyDescent="0.3">
      <c r="J91995"/>
    </row>
    <row r="91996" spans="10:10" x14ac:dyDescent="0.3">
      <c r="J91996"/>
    </row>
    <row r="91997" spans="10:10" x14ac:dyDescent="0.3">
      <c r="J91997"/>
    </row>
    <row r="91998" spans="10:10" x14ac:dyDescent="0.3">
      <c r="J91998"/>
    </row>
    <row r="91999" spans="10:10" x14ac:dyDescent="0.3">
      <c r="J91999"/>
    </row>
    <row r="92000" spans="10:10" x14ac:dyDescent="0.3">
      <c r="J92000"/>
    </row>
    <row r="92001" spans="10:10" x14ac:dyDescent="0.3">
      <c r="J92001"/>
    </row>
    <row r="92002" spans="10:10" x14ac:dyDescent="0.3">
      <c r="J92002"/>
    </row>
    <row r="92003" spans="10:10" x14ac:dyDescent="0.3">
      <c r="J92003"/>
    </row>
    <row r="92004" spans="10:10" x14ac:dyDescent="0.3">
      <c r="J92004"/>
    </row>
    <row r="92005" spans="10:10" x14ac:dyDescent="0.3">
      <c r="J92005"/>
    </row>
    <row r="92006" spans="10:10" x14ac:dyDescent="0.3">
      <c r="J92006"/>
    </row>
    <row r="92007" spans="10:10" x14ac:dyDescent="0.3">
      <c r="J92007"/>
    </row>
    <row r="92008" spans="10:10" x14ac:dyDescent="0.3">
      <c r="J92008"/>
    </row>
    <row r="92009" spans="10:10" x14ac:dyDescent="0.3">
      <c r="J92009"/>
    </row>
    <row r="92010" spans="10:10" x14ac:dyDescent="0.3">
      <c r="J92010"/>
    </row>
    <row r="92011" spans="10:10" x14ac:dyDescent="0.3">
      <c r="J92011"/>
    </row>
    <row r="92012" spans="10:10" x14ac:dyDescent="0.3">
      <c r="J92012"/>
    </row>
    <row r="92013" spans="10:10" x14ac:dyDescent="0.3">
      <c r="J92013"/>
    </row>
    <row r="92014" spans="10:10" x14ac:dyDescent="0.3">
      <c r="J92014"/>
    </row>
    <row r="92015" spans="10:10" x14ac:dyDescent="0.3">
      <c r="J92015"/>
    </row>
    <row r="92016" spans="10:10" x14ac:dyDescent="0.3">
      <c r="J92016"/>
    </row>
    <row r="92017" spans="10:10" x14ac:dyDescent="0.3">
      <c r="J92017"/>
    </row>
    <row r="92018" spans="10:10" x14ac:dyDescent="0.3">
      <c r="J92018"/>
    </row>
    <row r="92019" spans="10:10" x14ac:dyDescent="0.3">
      <c r="J92019"/>
    </row>
    <row r="92020" spans="10:10" x14ac:dyDescent="0.3">
      <c r="J92020"/>
    </row>
    <row r="92021" spans="10:10" x14ac:dyDescent="0.3">
      <c r="J92021"/>
    </row>
    <row r="92022" spans="10:10" x14ac:dyDescent="0.3">
      <c r="J92022"/>
    </row>
    <row r="92023" spans="10:10" x14ac:dyDescent="0.3">
      <c r="J92023"/>
    </row>
    <row r="92024" spans="10:10" x14ac:dyDescent="0.3">
      <c r="J92024"/>
    </row>
    <row r="92025" spans="10:10" x14ac:dyDescent="0.3">
      <c r="J92025"/>
    </row>
    <row r="92026" spans="10:10" x14ac:dyDescent="0.3">
      <c r="J92026"/>
    </row>
    <row r="92027" spans="10:10" x14ac:dyDescent="0.3">
      <c r="J92027"/>
    </row>
    <row r="92028" spans="10:10" x14ac:dyDescent="0.3">
      <c r="J92028"/>
    </row>
    <row r="92029" spans="10:10" x14ac:dyDescent="0.3">
      <c r="J92029"/>
    </row>
    <row r="92030" spans="10:10" x14ac:dyDescent="0.3">
      <c r="J92030"/>
    </row>
    <row r="92031" spans="10:10" x14ac:dyDescent="0.3">
      <c r="J92031"/>
    </row>
    <row r="92032" spans="10:10" x14ac:dyDescent="0.3">
      <c r="J92032"/>
    </row>
    <row r="92033" spans="10:10" x14ac:dyDescent="0.3">
      <c r="J92033"/>
    </row>
    <row r="92034" spans="10:10" x14ac:dyDescent="0.3">
      <c r="J92034"/>
    </row>
    <row r="92035" spans="10:10" x14ac:dyDescent="0.3">
      <c r="J92035"/>
    </row>
    <row r="92036" spans="10:10" x14ac:dyDescent="0.3">
      <c r="J92036"/>
    </row>
    <row r="92037" spans="10:10" x14ac:dyDescent="0.3">
      <c r="J92037"/>
    </row>
    <row r="92038" spans="10:10" x14ac:dyDescent="0.3">
      <c r="J92038"/>
    </row>
    <row r="92039" spans="10:10" x14ac:dyDescent="0.3">
      <c r="J92039"/>
    </row>
    <row r="92040" spans="10:10" x14ac:dyDescent="0.3">
      <c r="J92040"/>
    </row>
    <row r="92041" spans="10:10" x14ac:dyDescent="0.3">
      <c r="J92041"/>
    </row>
    <row r="92042" spans="10:10" x14ac:dyDescent="0.3">
      <c r="J92042"/>
    </row>
    <row r="92043" spans="10:10" x14ac:dyDescent="0.3">
      <c r="J92043"/>
    </row>
    <row r="92044" spans="10:10" x14ac:dyDescent="0.3">
      <c r="J92044"/>
    </row>
    <row r="92045" spans="10:10" x14ac:dyDescent="0.3">
      <c r="J92045"/>
    </row>
    <row r="92046" spans="10:10" x14ac:dyDescent="0.3">
      <c r="J92046"/>
    </row>
    <row r="92047" spans="10:10" x14ac:dyDescent="0.3">
      <c r="J92047"/>
    </row>
    <row r="92048" spans="10:10" x14ac:dyDescent="0.3">
      <c r="J92048"/>
    </row>
    <row r="92049" spans="10:10" x14ac:dyDescent="0.3">
      <c r="J92049"/>
    </row>
    <row r="92050" spans="10:10" x14ac:dyDescent="0.3">
      <c r="J92050"/>
    </row>
    <row r="92051" spans="10:10" x14ac:dyDescent="0.3">
      <c r="J92051"/>
    </row>
    <row r="92052" spans="10:10" x14ac:dyDescent="0.3">
      <c r="J92052"/>
    </row>
    <row r="92053" spans="10:10" x14ac:dyDescent="0.3">
      <c r="J92053"/>
    </row>
    <row r="92054" spans="10:10" x14ac:dyDescent="0.3">
      <c r="J92054"/>
    </row>
    <row r="92055" spans="10:10" x14ac:dyDescent="0.3">
      <c r="J92055"/>
    </row>
    <row r="92056" spans="10:10" x14ac:dyDescent="0.3">
      <c r="J92056"/>
    </row>
    <row r="92057" spans="10:10" x14ac:dyDescent="0.3">
      <c r="J92057"/>
    </row>
    <row r="92058" spans="10:10" x14ac:dyDescent="0.3">
      <c r="J92058"/>
    </row>
    <row r="92059" spans="10:10" x14ac:dyDescent="0.3">
      <c r="J92059"/>
    </row>
    <row r="92060" spans="10:10" x14ac:dyDescent="0.3">
      <c r="J92060"/>
    </row>
    <row r="92061" spans="10:10" x14ac:dyDescent="0.3">
      <c r="J92061"/>
    </row>
    <row r="92062" spans="10:10" x14ac:dyDescent="0.3">
      <c r="J92062"/>
    </row>
    <row r="92063" spans="10:10" x14ac:dyDescent="0.3">
      <c r="J92063"/>
    </row>
    <row r="92064" spans="10:10" x14ac:dyDescent="0.3">
      <c r="J92064"/>
    </row>
    <row r="92065" spans="10:10" x14ac:dyDescent="0.3">
      <c r="J92065"/>
    </row>
    <row r="92066" spans="10:10" x14ac:dyDescent="0.3">
      <c r="J92066"/>
    </row>
    <row r="92067" spans="10:10" x14ac:dyDescent="0.3">
      <c r="J92067"/>
    </row>
    <row r="92068" spans="10:10" x14ac:dyDescent="0.3">
      <c r="J92068"/>
    </row>
    <row r="92069" spans="10:10" x14ac:dyDescent="0.3">
      <c r="J92069"/>
    </row>
    <row r="92070" spans="10:10" x14ac:dyDescent="0.3">
      <c r="J92070"/>
    </row>
    <row r="92071" spans="10:10" x14ac:dyDescent="0.3">
      <c r="J92071"/>
    </row>
    <row r="92072" spans="10:10" x14ac:dyDescent="0.3">
      <c r="J92072"/>
    </row>
    <row r="92073" spans="10:10" x14ac:dyDescent="0.3">
      <c r="J92073"/>
    </row>
    <row r="92074" spans="10:10" x14ac:dyDescent="0.3">
      <c r="J92074"/>
    </row>
    <row r="92075" spans="10:10" x14ac:dyDescent="0.3">
      <c r="J92075"/>
    </row>
    <row r="92076" spans="10:10" x14ac:dyDescent="0.3">
      <c r="J92076"/>
    </row>
    <row r="92077" spans="10:10" x14ac:dyDescent="0.3">
      <c r="J92077"/>
    </row>
    <row r="92078" spans="10:10" x14ac:dyDescent="0.3">
      <c r="J92078"/>
    </row>
    <row r="92079" spans="10:10" x14ac:dyDescent="0.3">
      <c r="J92079"/>
    </row>
    <row r="92080" spans="10:10" x14ac:dyDescent="0.3">
      <c r="J92080"/>
    </row>
    <row r="92081" spans="10:10" x14ac:dyDescent="0.3">
      <c r="J92081"/>
    </row>
    <row r="92082" spans="10:10" x14ac:dyDescent="0.3">
      <c r="J92082"/>
    </row>
    <row r="92083" spans="10:10" x14ac:dyDescent="0.3">
      <c r="J92083"/>
    </row>
    <row r="92084" spans="10:10" x14ac:dyDescent="0.3">
      <c r="J92084"/>
    </row>
    <row r="92085" spans="10:10" x14ac:dyDescent="0.3">
      <c r="J92085"/>
    </row>
    <row r="92086" spans="10:10" x14ac:dyDescent="0.3">
      <c r="J92086"/>
    </row>
    <row r="92087" spans="10:10" x14ac:dyDescent="0.3">
      <c r="J92087"/>
    </row>
    <row r="92088" spans="10:10" x14ac:dyDescent="0.3">
      <c r="J92088"/>
    </row>
    <row r="92089" spans="10:10" x14ac:dyDescent="0.3">
      <c r="J92089"/>
    </row>
    <row r="92090" spans="10:10" x14ac:dyDescent="0.3">
      <c r="J92090"/>
    </row>
    <row r="92091" spans="10:10" x14ac:dyDescent="0.3">
      <c r="J92091"/>
    </row>
    <row r="92092" spans="10:10" x14ac:dyDescent="0.3">
      <c r="J92092"/>
    </row>
    <row r="92093" spans="10:10" x14ac:dyDescent="0.3">
      <c r="J92093"/>
    </row>
    <row r="92094" spans="10:10" x14ac:dyDescent="0.3">
      <c r="J92094"/>
    </row>
    <row r="92095" spans="10:10" x14ac:dyDescent="0.3">
      <c r="J92095"/>
    </row>
    <row r="92096" spans="10:10" x14ac:dyDescent="0.3">
      <c r="J92096"/>
    </row>
    <row r="92097" spans="10:10" x14ac:dyDescent="0.3">
      <c r="J92097"/>
    </row>
    <row r="92098" spans="10:10" x14ac:dyDescent="0.3">
      <c r="J92098"/>
    </row>
    <row r="92099" spans="10:10" x14ac:dyDescent="0.3">
      <c r="J92099"/>
    </row>
    <row r="92100" spans="10:10" x14ac:dyDescent="0.3">
      <c r="J92100"/>
    </row>
    <row r="92101" spans="10:10" x14ac:dyDescent="0.3">
      <c r="J92101"/>
    </row>
    <row r="92102" spans="10:10" x14ac:dyDescent="0.3">
      <c r="J92102"/>
    </row>
    <row r="92103" spans="10:10" x14ac:dyDescent="0.3">
      <c r="J92103"/>
    </row>
    <row r="92104" spans="10:10" x14ac:dyDescent="0.3">
      <c r="J92104"/>
    </row>
    <row r="92105" spans="10:10" x14ac:dyDescent="0.3">
      <c r="J92105"/>
    </row>
    <row r="92106" spans="10:10" x14ac:dyDescent="0.3">
      <c r="J92106"/>
    </row>
    <row r="92107" spans="10:10" x14ac:dyDescent="0.3">
      <c r="J92107"/>
    </row>
    <row r="92108" spans="10:10" x14ac:dyDescent="0.3">
      <c r="J92108"/>
    </row>
    <row r="92109" spans="10:10" x14ac:dyDescent="0.3">
      <c r="J92109"/>
    </row>
    <row r="92110" spans="10:10" x14ac:dyDescent="0.3">
      <c r="J92110"/>
    </row>
    <row r="92111" spans="10:10" x14ac:dyDescent="0.3">
      <c r="J92111"/>
    </row>
    <row r="92112" spans="10:10" x14ac:dyDescent="0.3">
      <c r="J92112"/>
    </row>
    <row r="92113" spans="10:10" x14ac:dyDescent="0.3">
      <c r="J92113"/>
    </row>
    <row r="92114" spans="10:10" x14ac:dyDescent="0.3">
      <c r="J92114"/>
    </row>
    <row r="92115" spans="10:10" x14ac:dyDescent="0.3">
      <c r="J92115"/>
    </row>
    <row r="92116" spans="10:10" x14ac:dyDescent="0.3">
      <c r="J92116"/>
    </row>
    <row r="92117" spans="10:10" x14ac:dyDescent="0.3">
      <c r="J92117"/>
    </row>
    <row r="92118" spans="10:10" x14ac:dyDescent="0.3">
      <c r="J92118"/>
    </row>
    <row r="92119" spans="10:10" x14ac:dyDescent="0.3">
      <c r="J92119"/>
    </row>
    <row r="92120" spans="10:10" x14ac:dyDescent="0.3">
      <c r="J92120"/>
    </row>
    <row r="92121" spans="10:10" x14ac:dyDescent="0.3">
      <c r="J92121"/>
    </row>
    <row r="92122" spans="10:10" x14ac:dyDescent="0.3">
      <c r="J92122"/>
    </row>
    <row r="92123" spans="10:10" x14ac:dyDescent="0.3">
      <c r="J92123"/>
    </row>
    <row r="92124" spans="10:10" x14ac:dyDescent="0.3">
      <c r="J92124"/>
    </row>
    <row r="92125" spans="10:10" x14ac:dyDescent="0.3">
      <c r="J92125"/>
    </row>
    <row r="92126" spans="10:10" x14ac:dyDescent="0.3">
      <c r="J92126"/>
    </row>
    <row r="92127" spans="10:10" x14ac:dyDescent="0.3">
      <c r="J92127"/>
    </row>
    <row r="92128" spans="10:10" x14ac:dyDescent="0.3">
      <c r="J92128"/>
    </row>
    <row r="92129" spans="10:10" x14ac:dyDescent="0.3">
      <c r="J92129"/>
    </row>
    <row r="92130" spans="10:10" x14ac:dyDescent="0.3">
      <c r="J92130"/>
    </row>
    <row r="92131" spans="10:10" x14ac:dyDescent="0.3">
      <c r="J92131"/>
    </row>
    <row r="92132" spans="10:10" x14ac:dyDescent="0.3">
      <c r="J92132"/>
    </row>
    <row r="92133" spans="10:10" x14ac:dyDescent="0.3">
      <c r="J92133"/>
    </row>
    <row r="92134" spans="10:10" x14ac:dyDescent="0.3">
      <c r="J92134"/>
    </row>
    <row r="92135" spans="10:10" x14ac:dyDescent="0.3">
      <c r="J92135"/>
    </row>
    <row r="92136" spans="10:10" x14ac:dyDescent="0.3">
      <c r="J92136"/>
    </row>
    <row r="92137" spans="10:10" x14ac:dyDescent="0.3">
      <c r="J92137"/>
    </row>
    <row r="92138" spans="10:10" x14ac:dyDescent="0.3">
      <c r="J92138"/>
    </row>
    <row r="92139" spans="10:10" x14ac:dyDescent="0.3">
      <c r="J92139"/>
    </row>
    <row r="92140" spans="10:10" x14ac:dyDescent="0.3">
      <c r="J92140"/>
    </row>
    <row r="92141" spans="10:10" x14ac:dyDescent="0.3">
      <c r="J92141"/>
    </row>
    <row r="92142" spans="10:10" x14ac:dyDescent="0.3">
      <c r="J92142"/>
    </row>
    <row r="92143" spans="10:10" x14ac:dyDescent="0.3">
      <c r="J92143"/>
    </row>
    <row r="92144" spans="10:10" x14ac:dyDescent="0.3">
      <c r="J92144"/>
    </row>
    <row r="92145" spans="10:10" x14ac:dyDescent="0.3">
      <c r="J92145"/>
    </row>
    <row r="92146" spans="10:10" x14ac:dyDescent="0.3">
      <c r="J92146"/>
    </row>
    <row r="92147" spans="10:10" x14ac:dyDescent="0.3">
      <c r="J92147"/>
    </row>
    <row r="92148" spans="10:10" x14ac:dyDescent="0.3">
      <c r="J92148"/>
    </row>
    <row r="92149" spans="10:10" x14ac:dyDescent="0.3">
      <c r="J92149"/>
    </row>
    <row r="92150" spans="10:10" x14ac:dyDescent="0.3">
      <c r="J92150"/>
    </row>
    <row r="92151" spans="10:10" x14ac:dyDescent="0.3">
      <c r="J92151"/>
    </row>
    <row r="92152" spans="10:10" x14ac:dyDescent="0.3">
      <c r="J92152"/>
    </row>
    <row r="92153" spans="10:10" x14ac:dyDescent="0.3">
      <c r="J92153"/>
    </row>
    <row r="92154" spans="10:10" x14ac:dyDescent="0.3">
      <c r="J92154"/>
    </row>
    <row r="92155" spans="10:10" x14ac:dyDescent="0.3">
      <c r="J92155"/>
    </row>
    <row r="92156" spans="10:10" x14ac:dyDescent="0.3">
      <c r="J92156"/>
    </row>
    <row r="92157" spans="10:10" x14ac:dyDescent="0.3">
      <c r="J92157"/>
    </row>
    <row r="92158" spans="10:10" x14ac:dyDescent="0.3">
      <c r="J92158"/>
    </row>
    <row r="92159" spans="10:10" x14ac:dyDescent="0.3">
      <c r="J92159"/>
    </row>
    <row r="92160" spans="10:10" x14ac:dyDescent="0.3">
      <c r="J92160"/>
    </row>
    <row r="92161" spans="10:10" x14ac:dyDescent="0.3">
      <c r="J92161"/>
    </row>
    <row r="92162" spans="10:10" x14ac:dyDescent="0.3">
      <c r="J92162"/>
    </row>
    <row r="92163" spans="10:10" x14ac:dyDescent="0.3">
      <c r="J92163"/>
    </row>
    <row r="92164" spans="10:10" x14ac:dyDescent="0.3">
      <c r="J92164"/>
    </row>
    <row r="92165" spans="10:10" x14ac:dyDescent="0.3">
      <c r="J92165"/>
    </row>
    <row r="92166" spans="10:10" x14ac:dyDescent="0.3">
      <c r="J92166"/>
    </row>
    <row r="92167" spans="10:10" x14ac:dyDescent="0.3">
      <c r="J92167"/>
    </row>
    <row r="92168" spans="10:10" x14ac:dyDescent="0.3">
      <c r="J92168"/>
    </row>
    <row r="92169" spans="10:10" x14ac:dyDescent="0.3">
      <c r="J92169"/>
    </row>
    <row r="92170" spans="10:10" x14ac:dyDescent="0.3">
      <c r="J92170"/>
    </row>
    <row r="92171" spans="10:10" x14ac:dyDescent="0.3">
      <c r="J92171"/>
    </row>
    <row r="92172" spans="10:10" x14ac:dyDescent="0.3">
      <c r="J92172"/>
    </row>
    <row r="92173" spans="10:10" x14ac:dyDescent="0.3">
      <c r="J92173"/>
    </row>
    <row r="92174" spans="10:10" x14ac:dyDescent="0.3">
      <c r="J92174"/>
    </row>
    <row r="92175" spans="10:10" x14ac:dyDescent="0.3">
      <c r="J92175"/>
    </row>
    <row r="92176" spans="10:10" x14ac:dyDescent="0.3">
      <c r="J92176"/>
    </row>
    <row r="92177" spans="10:10" x14ac:dyDescent="0.3">
      <c r="J92177"/>
    </row>
    <row r="92178" spans="10:10" x14ac:dyDescent="0.3">
      <c r="J92178"/>
    </row>
    <row r="92179" spans="10:10" x14ac:dyDescent="0.3">
      <c r="J92179"/>
    </row>
    <row r="92180" spans="10:10" x14ac:dyDescent="0.3">
      <c r="J92180"/>
    </row>
    <row r="92181" spans="10:10" x14ac:dyDescent="0.3">
      <c r="J92181"/>
    </row>
    <row r="92182" spans="10:10" x14ac:dyDescent="0.3">
      <c r="J92182"/>
    </row>
    <row r="92183" spans="10:10" x14ac:dyDescent="0.3">
      <c r="J92183"/>
    </row>
    <row r="92184" spans="10:10" x14ac:dyDescent="0.3">
      <c r="J92184"/>
    </row>
    <row r="92185" spans="10:10" x14ac:dyDescent="0.3">
      <c r="J92185"/>
    </row>
    <row r="92186" spans="10:10" x14ac:dyDescent="0.3">
      <c r="J92186"/>
    </row>
    <row r="92187" spans="10:10" x14ac:dyDescent="0.3">
      <c r="J92187"/>
    </row>
    <row r="92188" spans="10:10" x14ac:dyDescent="0.3">
      <c r="J92188"/>
    </row>
    <row r="92189" spans="10:10" x14ac:dyDescent="0.3">
      <c r="J92189"/>
    </row>
    <row r="92190" spans="10:10" x14ac:dyDescent="0.3">
      <c r="J92190"/>
    </row>
    <row r="92191" spans="10:10" x14ac:dyDescent="0.3">
      <c r="J92191"/>
    </row>
    <row r="92192" spans="10:10" x14ac:dyDescent="0.3">
      <c r="J92192"/>
    </row>
    <row r="92193" spans="10:10" x14ac:dyDescent="0.3">
      <c r="J92193"/>
    </row>
    <row r="92194" spans="10:10" x14ac:dyDescent="0.3">
      <c r="J92194"/>
    </row>
    <row r="92195" spans="10:10" x14ac:dyDescent="0.3">
      <c r="J92195"/>
    </row>
    <row r="92196" spans="10:10" x14ac:dyDescent="0.3">
      <c r="J92196"/>
    </row>
    <row r="92197" spans="10:10" x14ac:dyDescent="0.3">
      <c r="J92197"/>
    </row>
    <row r="92198" spans="10:10" x14ac:dyDescent="0.3">
      <c r="J92198"/>
    </row>
    <row r="92199" spans="10:10" x14ac:dyDescent="0.3">
      <c r="J92199"/>
    </row>
    <row r="92200" spans="10:10" x14ac:dyDescent="0.3">
      <c r="J92200"/>
    </row>
    <row r="92201" spans="10:10" x14ac:dyDescent="0.3">
      <c r="J92201"/>
    </row>
    <row r="92202" spans="10:10" x14ac:dyDescent="0.3">
      <c r="J92202"/>
    </row>
    <row r="92203" spans="10:10" x14ac:dyDescent="0.3">
      <c r="J92203"/>
    </row>
    <row r="92204" spans="10:10" x14ac:dyDescent="0.3">
      <c r="J92204"/>
    </row>
    <row r="92205" spans="10:10" x14ac:dyDescent="0.3">
      <c r="J92205"/>
    </row>
    <row r="92206" spans="10:10" x14ac:dyDescent="0.3">
      <c r="J92206"/>
    </row>
    <row r="92207" spans="10:10" x14ac:dyDescent="0.3">
      <c r="J92207"/>
    </row>
    <row r="92208" spans="10:10" x14ac:dyDescent="0.3">
      <c r="J92208"/>
    </row>
    <row r="92209" spans="10:10" x14ac:dyDescent="0.3">
      <c r="J92209"/>
    </row>
    <row r="92210" spans="10:10" x14ac:dyDescent="0.3">
      <c r="J92210"/>
    </row>
    <row r="92211" spans="10:10" x14ac:dyDescent="0.3">
      <c r="J92211"/>
    </row>
    <row r="92212" spans="10:10" x14ac:dyDescent="0.3">
      <c r="J92212"/>
    </row>
    <row r="92213" spans="10:10" x14ac:dyDescent="0.3">
      <c r="J92213"/>
    </row>
    <row r="92214" spans="10:10" x14ac:dyDescent="0.3">
      <c r="J92214"/>
    </row>
    <row r="92215" spans="10:10" x14ac:dyDescent="0.3">
      <c r="J92215"/>
    </row>
    <row r="92216" spans="10:10" x14ac:dyDescent="0.3">
      <c r="J92216"/>
    </row>
    <row r="92217" spans="10:10" x14ac:dyDescent="0.3">
      <c r="J92217"/>
    </row>
    <row r="92218" spans="10:10" x14ac:dyDescent="0.3">
      <c r="J92218"/>
    </row>
    <row r="92219" spans="10:10" x14ac:dyDescent="0.3">
      <c r="J92219"/>
    </row>
    <row r="92220" spans="10:10" x14ac:dyDescent="0.3">
      <c r="J92220"/>
    </row>
    <row r="92221" spans="10:10" x14ac:dyDescent="0.3">
      <c r="J92221"/>
    </row>
    <row r="92222" spans="10:10" x14ac:dyDescent="0.3">
      <c r="J92222"/>
    </row>
    <row r="92223" spans="10:10" x14ac:dyDescent="0.3">
      <c r="J92223"/>
    </row>
    <row r="92224" spans="10:10" x14ac:dyDescent="0.3">
      <c r="J92224"/>
    </row>
    <row r="92225" spans="10:10" x14ac:dyDescent="0.3">
      <c r="J92225"/>
    </row>
    <row r="92226" spans="10:10" x14ac:dyDescent="0.3">
      <c r="J92226"/>
    </row>
    <row r="92227" spans="10:10" x14ac:dyDescent="0.3">
      <c r="J92227"/>
    </row>
    <row r="92228" spans="10:10" x14ac:dyDescent="0.3">
      <c r="J92228"/>
    </row>
    <row r="92229" spans="10:10" x14ac:dyDescent="0.3">
      <c r="J92229"/>
    </row>
    <row r="92230" spans="10:10" x14ac:dyDescent="0.3">
      <c r="J92230"/>
    </row>
    <row r="92231" spans="10:10" x14ac:dyDescent="0.3">
      <c r="J92231"/>
    </row>
    <row r="92232" spans="10:10" x14ac:dyDescent="0.3">
      <c r="J92232"/>
    </row>
    <row r="92233" spans="10:10" x14ac:dyDescent="0.3">
      <c r="J92233"/>
    </row>
    <row r="92234" spans="10:10" x14ac:dyDescent="0.3">
      <c r="J92234"/>
    </row>
    <row r="92235" spans="10:10" x14ac:dyDescent="0.3">
      <c r="J92235"/>
    </row>
    <row r="92236" spans="10:10" x14ac:dyDescent="0.3">
      <c r="J92236"/>
    </row>
    <row r="92237" spans="10:10" x14ac:dyDescent="0.3">
      <c r="J92237"/>
    </row>
    <row r="92238" spans="10:10" x14ac:dyDescent="0.3">
      <c r="J92238"/>
    </row>
    <row r="92239" spans="10:10" x14ac:dyDescent="0.3">
      <c r="J92239"/>
    </row>
    <row r="92240" spans="10:10" x14ac:dyDescent="0.3">
      <c r="J92240"/>
    </row>
    <row r="92241" spans="10:10" x14ac:dyDescent="0.3">
      <c r="J92241"/>
    </row>
    <row r="92242" spans="10:10" x14ac:dyDescent="0.3">
      <c r="J92242"/>
    </row>
    <row r="92243" spans="10:10" x14ac:dyDescent="0.3">
      <c r="J92243"/>
    </row>
    <row r="92244" spans="10:10" x14ac:dyDescent="0.3">
      <c r="J92244"/>
    </row>
    <row r="92245" spans="10:10" x14ac:dyDescent="0.3">
      <c r="J92245"/>
    </row>
    <row r="92246" spans="10:10" x14ac:dyDescent="0.3">
      <c r="J92246"/>
    </row>
    <row r="92247" spans="10:10" x14ac:dyDescent="0.3">
      <c r="J92247"/>
    </row>
    <row r="92248" spans="10:10" x14ac:dyDescent="0.3">
      <c r="J92248"/>
    </row>
    <row r="92249" spans="10:10" x14ac:dyDescent="0.3">
      <c r="J92249"/>
    </row>
    <row r="92250" spans="10:10" x14ac:dyDescent="0.3">
      <c r="J92250"/>
    </row>
    <row r="92251" spans="10:10" x14ac:dyDescent="0.3">
      <c r="J92251"/>
    </row>
    <row r="92252" spans="10:10" x14ac:dyDescent="0.3">
      <c r="J92252"/>
    </row>
    <row r="92253" spans="10:10" x14ac:dyDescent="0.3">
      <c r="J92253"/>
    </row>
    <row r="92254" spans="10:10" x14ac:dyDescent="0.3">
      <c r="J92254"/>
    </row>
    <row r="92255" spans="10:10" x14ac:dyDescent="0.3">
      <c r="J92255"/>
    </row>
    <row r="92256" spans="10:10" x14ac:dyDescent="0.3">
      <c r="J92256"/>
    </row>
    <row r="92257" spans="10:10" x14ac:dyDescent="0.3">
      <c r="J92257"/>
    </row>
    <row r="92258" spans="10:10" x14ac:dyDescent="0.3">
      <c r="J92258"/>
    </row>
    <row r="92259" spans="10:10" x14ac:dyDescent="0.3">
      <c r="J92259"/>
    </row>
    <row r="92260" spans="10:10" x14ac:dyDescent="0.3">
      <c r="J92260"/>
    </row>
    <row r="92261" spans="10:10" x14ac:dyDescent="0.3">
      <c r="J92261"/>
    </row>
    <row r="92262" spans="10:10" x14ac:dyDescent="0.3">
      <c r="J92262"/>
    </row>
    <row r="92263" spans="10:10" x14ac:dyDescent="0.3">
      <c r="J92263"/>
    </row>
    <row r="92264" spans="10:10" x14ac:dyDescent="0.3">
      <c r="J92264"/>
    </row>
    <row r="92265" spans="10:10" x14ac:dyDescent="0.3">
      <c r="J92265"/>
    </row>
    <row r="92266" spans="10:10" x14ac:dyDescent="0.3">
      <c r="J92266"/>
    </row>
    <row r="92267" spans="10:10" x14ac:dyDescent="0.3">
      <c r="J92267"/>
    </row>
    <row r="92268" spans="10:10" x14ac:dyDescent="0.3">
      <c r="J92268"/>
    </row>
    <row r="92269" spans="10:10" x14ac:dyDescent="0.3">
      <c r="J92269"/>
    </row>
    <row r="92270" spans="10:10" x14ac:dyDescent="0.3">
      <c r="J92270"/>
    </row>
    <row r="92271" spans="10:10" x14ac:dyDescent="0.3">
      <c r="J92271"/>
    </row>
    <row r="92272" spans="10:10" x14ac:dyDescent="0.3">
      <c r="J92272"/>
    </row>
    <row r="92273" spans="10:10" x14ac:dyDescent="0.3">
      <c r="J92273"/>
    </row>
    <row r="92274" spans="10:10" x14ac:dyDescent="0.3">
      <c r="J92274"/>
    </row>
    <row r="92275" spans="10:10" x14ac:dyDescent="0.3">
      <c r="J92275"/>
    </row>
    <row r="92276" spans="10:10" x14ac:dyDescent="0.3">
      <c r="J92276"/>
    </row>
    <row r="92277" spans="10:10" x14ac:dyDescent="0.3">
      <c r="J92277"/>
    </row>
    <row r="92278" spans="10:10" x14ac:dyDescent="0.3">
      <c r="J92278"/>
    </row>
    <row r="92279" spans="10:10" x14ac:dyDescent="0.3">
      <c r="J92279"/>
    </row>
    <row r="92280" spans="10:10" x14ac:dyDescent="0.3">
      <c r="J92280"/>
    </row>
    <row r="92281" spans="10:10" x14ac:dyDescent="0.3">
      <c r="J92281"/>
    </row>
    <row r="92282" spans="10:10" x14ac:dyDescent="0.3">
      <c r="J92282"/>
    </row>
    <row r="92283" spans="10:10" x14ac:dyDescent="0.3">
      <c r="J92283"/>
    </row>
    <row r="92284" spans="10:10" x14ac:dyDescent="0.3">
      <c r="J92284"/>
    </row>
    <row r="92285" spans="10:10" x14ac:dyDescent="0.3">
      <c r="J92285"/>
    </row>
    <row r="92286" spans="10:10" x14ac:dyDescent="0.3">
      <c r="J92286"/>
    </row>
    <row r="92287" spans="10:10" x14ac:dyDescent="0.3">
      <c r="J92287"/>
    </row>
    <row r="92288" spans="10:10" x14ac:dyDescent="0.3">
      <c r="J92288"/>
    </row>
    <row r="92289" spans="10:10" x14ac:dyDescent="0.3">
      <c r="J92289"/>
    </row>
    <row r="92290" spans="10:10" x14ac:dyDescent="0.3">
      <c r="J92290"/>
    </row>
    <row r="92291" spans="10:10" x14ac:dyDescent="0.3">
      <c r="J92291"/>
    </row>
    <row r="92292" spans="10:10" x14ac:dyDescent="0.3">
      <c r="J92292"/>
    </row>
    <row r="92293" spans="10:10" x14ac:dyDescent="0.3">
      <c r="J92293"/>
    </row>
    <row r="92294" spans="10:10" x14ac:dyDescent="0.3">
      <c r="J92294"/>
    </row>
    <row r="92295" spans="10:10" x14ac:dyDescent="0.3">
      <c r="J92295"/>
    </row>
    <row r="92296" spans="10:10" x14ac:dyDescent="0.3">
      <c r="J92296"/>
    </row>
    <row r="92297" spans="10:10" x14ac:dyDescent="0.3">
      <c r="J92297"/>
    </row>
    <row r="92298" spans="10:10" x14ac:dyDescent="0.3">
      <c r="J92298"/>
    </row>
    <row r="92299" spans="10:10" x14ac:dyDescent="0.3">
      <c r="J92299"/>
    </row>
    <row r="92300" spans="10:10" x14ac:dyDescent="0.3">
      <c r="J92300"/>
    </row>
    <row r="92301" spans="10:10" x14ac:dyDescent="0.3">
      <c r="J92301"/>
    </row>
    <row r="92302" spans="10:10" x14ac:dyDescent="0.3">
      <c r="J92302"/>
    </row>
    <row r="92303" spans="10:10" x14ac:dyDescent="0.3">
      <c r="J92303"/>
    </row>
    <row r="92304" spans="10:10" x14ac:dyDescent="0.3">
      <c r="J92304"/>
    </row>
    <row r="92305" spans="10:10" x14ac:dyDescent="0.3">
      <c r="J92305"/>
    </row>
    <row r="92306" spans="10:10" x14ac:dyDescent="0.3">
      <c r="J92306"/>
    </row>
    <row r="92307" spans="10:10" x14ac:dyDescent="0.3">
      <c r="J92307"/>
    </row>
    <row r="92308" spans="10:10" x14ac:dyDescent="0.3">
      <c r="J92308"/>
    </row>
    <row r="92309" spans="10:10" x14ac:dyDescent="0.3">
      <c r="J92309"/>
    </row>
    <row r="92310" spans="10:10" x14ac:dyDescent="0.3">
      <c r="J92310"/>
    </row>
    <row r="92311" spans="10:10" x14ac:dyDescent="0.3">
      <c r="J92311"/>
    </row>
    <row r="92312" spans="10:10" x14ac:dyDescent="0.3">
      <c r="J92312"/>
    </row>
    <row r="92313" spans="10:10" x14ac:dyDescent="0.3">
      <c r="J92313"/>
    </row>
    <row r="92314" spans="10:10" x14ac:dyDescent="0.3">
      <c r="J92314"/>
    </row>
    <row r="92315" spans="10:10" x14ac:dyDescent="0.3">
      <c r="J92315"/>
    </row>
    <row r="92316" spans="10:10" x14ac:dyDescent="0.3">
      <c r="J92316"/>
    </row>
    <row r="92317" spans="10:10" x14ac:dyDescent="0.3">
      <c r="J92317"/>
    </row>
    <row r="92318" spans="10:10" x14ac:dyDescent="0.3">
      <c r="J92318"/>
    </row>
    <row r="92319" spans="10:10" x14ac:dyDescent="0.3">
      <c r="J92319"/>
    </row>
    <row r="92320" spans="10:10" x14ac:dyDescent="0.3">
      <c r="J92320"/>
    </row>
    <row r="92321" spans="10:10" x14ac:dyDescent="0.3">
      <c r="J92321"/>
    </row>
    <row r="92322" spans="10:10" x14ac:dyDescent="0.3">
      <c r="J92322"/>
    </row>
    <row r="92323" spans="10:10" x14ac:dyDescent="0.3">
      <c r="J92323"/>
    </row>
    <row r="92324" spans="10:10" x14ac:dyDescent="0.3">
      <c r="J92324"/>
    </row>
    <row r="92325" spans="10:10" x14ac:dyDescent="0.3">
      <c r="J92325"/>
    </row>
    <row r="92326" spans="10:10" x14ac:dyDescent="0.3">
      <c r="J92326"/>
    </row>
    <row r="92327" spans="10:10" x14ac:dyDescent="0.3">
      <c r="J92327"/>
    </row>
    <row r="92328" spans="10:10" x14ac:dyDescent="0.3">
      <c r="J92328"/>
    </row>
    <row r="92329" spans="10:10" x14ac:dyDescent="0.3">
      <c r="J92329"/>
    </row>
    <row r="92330" spans="10:10" x14ac:dyDescent="0.3">
      <c r="J92330"/>
    </row>
    <row r="92331" spans="10:10" x14ac:dyDescent="0.3">
      <c r="J92331"/>
    </row>
    <row r="92332" spans="10:10" x14ac:dyDescent="0.3">
      <c r="J92332"/>
    </row>
    <row r="92333" spans="10:10" x14ac:dyDescent="0.3">
      <c r="J92333"/>
    </row>
    <row r="92334" spans="10:10" x14ac:dyDescent="0.3">
      <c r="J92334"/>
    </row>
    <row r="92335" spans="10:10" x14ac:dyDescent="0.3">
      <c r="J92335"/>
    </row>
    <row r="92336" spans="10:10" x14ac:dyDescent="0.3">
      <c r="J92336"/>
    </row>
    <row r="92337" spans="10:10" x14ac:dyDescent="0.3">
      <c r="J92337"/>
    </row>
    <row r="92338" spans="10:10" x14ac:dyDescent="0.3">
      <c r="J92338"/>
    </row>
    <row r="92339" spans="10:10" x14ac:dyDescent="0.3">
      <c r="J92339"/>
    </row>
    <row r="92340" spans="10:10" x14ac:dyDescent="0.3">
      <c r="J92340"/>
    </row>
    <row r="92341" spans="10:10" x14ac:dyDescent="0.3">
      <c r="J92341"/>
    </row>
    <row r="92342" spans="10:10" x14ac:dyDescent="0.3">
      <c r="J92342"/>
    </row>
    <row r="92343" spans="10:10" x14ac:dyDescent="0.3">
      <c r="J92343"/>
    </row>
    <row r="92344" spans="10:10" x14ac:dyDescent="0.3">
      <c r="J92344"/>
    </row>
    <row r="92345" spans="10:10" x14ac:dyDescent="0.3">
      <c r="J92345"/>
    </row>
    <row r="92346" spans="10:10" x14ac:dyDescent="0.3">
      <c r="J92346"/>
    </row>
    <row r="92347" spans="10:10" x14ac:dyDescent="0.3">
      <c r="J92347"/>
    </row>
    <row r="92348" spans="10:10" x14ac:dyDescent="0.3">
      <c r="J92348"/>
    </row>
    <row r="92349" spans="10:10" x14ac:dyDescent="0.3">
      <c r="J92349"/>
    </row>
    <row r="92350" spans="10:10" x14ac:dyDescent="0.3">
      <c r="J92350"/>
    </row>
    <row r="92351" spans="10:10" x14ac:dyDescent="0.3">
      <c r="J92351"/>
    </row>
    <row r="92352" spans="10:10" x14ac:dyDescent="0.3">
      <c r="J92352"/>
    </row>
    <row r="92353" spans="10:10" x14ac:dyDescent="0.3">
      <c r="J92353"/>
    </row>
    <row r="92354" spans="10:10" x14ac:dyDescent="0.3">
      <c r="J92354"/>
    </row>
    <row r="92355" spans="10:10" x14ac:dyDescent="0.3">
      <c r="J92355"/>
    </row>
    <row r="92356" spans="10:10" x14ac:dyDescent="0.3">
      <c r="J92356"/>
    </row>
    <row r="92357" spans="10:10" x14ac:dyDescent="0.3">
      <c r="J92357"/>
    </row>
    <row r="92358" spans="10:10" x14ac:dyDescent="0.3">
      <c r="J92358"/>
    </row>
    <row r="92359" spans="10:10" x14ac:dyDescent="0.3">
      <c r="J92359"/>
    </row>
    <row r="92360" spans="10:10" x14ac:dyDescent="0.3">
      <c r="J92360"/>
    </row>
    <row r="92361" spans="10:10" x14ac:dyDescent="0.3">
      <c r="J92361"/>
    </row>
    <row r="92362" spans="10:10" x14ac:dyDescent="0.3">
      <c r="J92362"/>
    </row>
    <row r="92363" spans="10:10" x14ac:dyDescent="0.3">
      <c r="J92363"/>
    </row>
    <row r="92364" spans="10:10" x14ac:dyDescent="0.3">
      <c r="J92364"/>
    </row>
    <row r="92365" spans="10:10" x14ac:dyDescent="0.3">
      <c r="J92365"/>
    </row>
    <row r="92366" spans="10:10" x14ac:dyDescent="0.3">
      <c r="J92366"/>
    </row>
    <row r="92367" spans="10:10" x14ac:dyDescent="0.3">
      <c r="J92367"/>
    </row>
    <row r="92368" spans="10:10" x14ac:dyDescent="0.3">
      <c r="J92368"/>
    </row>
    <row r="92369" spans="10:10" x14ac:dyDescent="0.3">
      <c r="J92369"/>
    </row>
    <row r="92370" spans="10:10" x14ac:dyDescent="0.3">
      <c r="J92370"/>
    </row>
    <row r="92371" spans="10:10" x14ac:dyDescent="0.3">
      <c r="J92371"/>
    </row>
    <row r="92372" spans="10:10" x14ac:dyDescent="0.3">
      <c r="J92372"/>
    </row>
    <row r="92373" spans="10:10" x14ac:dyDescent="0.3">
      <c r="J92373"/>
    </row>
    <row r="92374" spans="10:10" x14ac:dyDescent="0.3">
      <c r="J92374"/>
    </row>
    <row r="92375" spans="10:10" x14ac:dyDescent="0.3">
      <c r="J92375"/>
    </row>
    <row r="92376" spans="10:10" x14ac:dyDescent="0.3">
      <c r="J92376"/>
    </row>
    <row r="92377" spans="10:10" x14ac:dyDescent="0.3">
      <c r="J92377"/>
    </row>
    <row r="92378" spans="10:10" x14ac:dyDescent="0.3">
      <c r="J92378"/>
    </row>
    <row r="92379" spans="10:10" x14ac:dyDescent="0.3">
      <c r="J92379"/>
    </row>
    <row r="92380" spans="10:10" x14ac:dyDescent="0.3">
      <c r="J92380"/>
    </row>
    <row r="92381" spans="10:10" x14ac:dyDescent="0.3">
      <c r="J92381"/>
    </row>
    <row r="92382" spans="10:10" x14ac:dyDescent="0.3">
      <c r="J92382"/>
    </row>
    <row r="92383" spans="10:10" x14ac:dyDescent="0.3">
      <c r="J92383"/>
    </row>
    <row r="92384" spans="10:10" x14ac:dyDescent="0.3">
      <c r="J92384"/>
    </row>
    <row r="92385" spans="10:10" x14ac:dyDescent="0.3">
      <c r="J92385"/>
    </row>
    <row r="92386" spans="10:10" x14ac:dyDescent="0.3">
      <c r="J92386"/>
    </row>
    <row r="92387" spans="10:10" x14ac:dyDescent="0.3">
      <c r="J92387"/>
    </row>
    <row r="92388" spans="10:10" x14ac:dyDescent="0.3">
      <c r="J92388"/>
    </row>
    <row r="92389" spans="10:10" x14ac:dyDescent="0.3">
      <c r="J92389"/>
    </row>
    <row r="92390" spans="10:10" x14ac:dyDescent="0.3">
      <c r="J92390"/>
    </row>
    <row r="92391" spans="10:10" x14ac:dyDescent="0.3">
      <c r="J92391"/>
    </row>
    <row r="92392" spans="10:10" x14ac:dyDescent="0.3">
      <c r="J92392"/>
    </row>
    <row r="92393" spans="10:10" x14ac:dyDescent="0.3">
      <c r="J92393"/>
    </row>
    <row r="92394" spans="10:10" x14ac:dyDescent="0.3">
      <c r="J92394"/>
    </row>
    <row r="92395" spans="10:10" x14ac:dyDescent="0.3">
      <c r="J92395"/>
    </row>
    <row r="92396" spans="10:10" x14ac:dyDescent="0.3">
      <c r="J92396"/>
    </row>
    <row r="92397" spans="10:10" x14ac:dyDescent="0.3">
      <c r="J92397"/>
    </row>
    <row r="92398" spans="10:10" x14ac:dyDescent="0.3">
      <c r="J92398"/>
    </row>
    <row r="92399" spans="10:10" x14ac:dyDescent="0.3">
      <c r="J92399"/>
    </row>
    <row r="92400" spans="10:10" x14ac:dyDescent="0.3">
      <c r="J92400"/>
    </row>
    <row r="92401" spans="10:10" x14ac:dyDescent="0.3">
      <c r="J92401"/>
    </row>
    <row r="92402" spans="10:10" x14ac:dyDescent="0.3">
      <c r="J92402"/>
    </row>
    <row r="92403" spans="10:10" x14ac:dyDescent="0.3">
      <c r="J92403"/>
    </row>
    <row r="92404" spans="10:10" x14ac:dyDescent="0.3">
      <c r="J92404"/>
    </row>
    <row r="92405" spans="10:10" x14ac:dyDescent="0.3">
      <c r="J92405"/>
    </row>
    <row r="92406" spans="10:10" x14ac:dyDescent="0.3">
      <c r="J92406"/>
    </row>
    <row r="92407" spans="10:10" x14ac:dyDescent="0.3">
      <c r="J92407"/>
    </row>
    <row r="92408" spans="10:10" x14ac:dyDescent="0.3">
      <c r="J92408"/>
    </row>
    <row r="92409" spans="10:10" x14ac:dyDescent="0.3">
      <c r="J92409"/>
    </row>
    <row r="92410" spans="10:10" x14ac:dyDescent="0.3">
      <c r="J92410"/>
    </row>
    <row r="92411" spans="10:10" x14ac:dyDescent="0.3">
      <c r="J92411"/>
    </row>
    <row r="92412" spans="10:10" x14ac:dyDescent="0.3">
      <c r="J92412"/>
    </row>
    <row r="92413" spans="10:10" x14ac:dyDescent="0.3">
      <c r="J92413"/>
    </row>
    <row r="92414" spans="10:10" x14ac:dyDescent="0.3">
      <c r="J92414"/>
    </row>
    <row r="92415" spans="10:10" x14ac:dyDescent="0.3">
      <c r="J92415"/>
    </row>
    <row r="92416" spans="10:10" x14ac:dyDescent="0.3">
      <c r="J92416"/>
    </row>
    <row r="92417" spans="10:10" x14ac:dyDescent="0.3">
      <c r="J92417"/>
    </row>
    <row r="92418" spans="10:10" x14ac:dyDescent="0.3">
      <c r="J92418"/>
    </row>
    <row r="92419" spans="10:10" x14ac:dyDescent="0.3">
      <c r="J92419"/>
    </row>
    <row r="92420" spans="10:10" x14ac:dyDescent="0.3">
      <c r="J92420"/>
    </row>
    <row r="92421" spans="10:10" x14ac:dyDescent="0.3">
      <c r="J92421"/>
    </row>
    <row r="92422" spans="10:10" x14ac:dyDescent="0.3">
      <c r="J92422"/>
    </row>
    <row r="92423" spans="10:10" x14ac:dyDescent="0.3">
      <c r="J92423"/>
    </row>
    <row r="92424" spans="10:10" x14ac:dyDescent="0.3">
      <c r="J92424"/>
    </row>
    <row r="92425" spans="10:10" x14ac:dyDescent="0.3">
      <c r="J92425"/>
    </row>
    <row r="92426" spans="10:10" x14ac:dyDescent="0.3">
      <c r="J92426"/>
    </row>
    <row r="92427" spans="10:10" x14ac:dyDescent="0.3">
      <c r="J92427"/>
    </row>
    <row r="92428" spans="10:10" x14ac:dyDescent="0.3">
      <c r="J92428"/>
    </row>
    <row r="92429" spans="10:10" x14ac:dyDescent="0.3">
      <c r="J92429"/>
    </row>
    <row r="92430" spans="10:10" x14ac:dyDescent="0.3">
      <c r="J92430"/>
    </row>
    <row r="92431" spans="10:10" x14ac:dyDescent="0.3">
      <c r="J92431"/>
    </row>
    <row r="92432" spans="10:10" x14ac:dyDescent="0.3">
      <c r="J92432"/>
    </row>
    <row r="92433" spans="10:10" x14ac:dyDescent="0.3">
      <c r="J92433"/>
    </row>
    <row r="92434" spans="10:10" x14ac:dyDescent="0.3">
      <c r="J92434"/>
    </row>
    <row r="92435" spans="10:10" x14ac:dyDescent="0.3">
      <c r="J92435"/>
    </row>
    <row r="92436" spans="10:10" x14ac:dyDescent="0.3">
      <c r="J92436"/>
    </row>
    <row r="92437" spans="10:10" x14ac:dyDescent="0.3">
      <c r="J92437"/>
    </row>
    <row r="92438" spans="10:10" x14ac:dyDescent="0.3">
      <c r="J92438"/>
    </row>
    <row r="92439" spans="10:10" x14ac:dyDescent="0.3">
      <c r="J92439"/>
    </row>
    <row r="92440" spans="10:10" x14ac:dyDescent="0.3">
      <c r="J92440"/>
    </row>
    <row r="92441" spans="10:10" x14ac:dyDescent="0.3">
      <c r="J92441"/>
    </row>
    <row r="92442" spans="10:10" x14ac:dyDescent="0.3">
      <c r="J92442"/>
    </row>
    <row r="92443" spans="10:10" x14ac:dyDescent="0.3">
      <c r="J92443"/>
    </row>
    <row r="92444" spans="10:10" x14ac:dyDescent="0.3">
      <c r="J92444"/>
    </row>
    <row r="92445" spans="10:10" x14ac:dyDescent="0.3">
      <c r="J92445"/>
    </row>
    <row r="92446" spans="10:10" x14ac:dyDescent="0.3">
      <c r="J92446"/>
    </row>
    <row r="92447" spans="10:10" x14ac:dyDescent="0.3">
      <c r="J92447"/>
    </row>
    <row r="92448" spans="10:10" x14ac:dyDescent="0.3">
      <c r="J92448"/>
    </row>
    <row r="92449" spans="10:10" x14ac:dyDescent="0.3">
      <c r="J92449"/>
    </row>
    <row r="92450" spans="10:10" x14ac:dyDescent="0.3">
      <c r="J92450"/>
    </row>
    <row r="92451" spans="10:10" x14ac:dyDescent="0.3">
      <c r="J92451"/>
    </row>
    <row r="92452" spans="10:10" x14ac:dyDescent="0.3">
      <c r="J92452"/>
    </row>
    <row r="92453" spans="10:10" x14ac:dyDescent="0.3">
      <c r="J92453"/>
    </row>
    <row r="92454" spans="10:10" x14ac:dyDescent="0.3">
      <c r="J92454"/>
    </row>
    <row r="92455" spans="10:10" x14ac:dyDescent="0.3">
      <c r="J92455"/>
    </row>
    <row r="92456" spans="10:10" x14ac:dyDescent="0.3">
      <c r="J92456"/>
    </row>
    <row r="92457" spans="10:10" x14ac:dyDescent="0.3">
      <c r="J92457"/>
    </row>
    <row r="92458" spans="10:10" x14ac:dyDescent="0.3">
      <c r="J92458"/>
    </row>
    <row r="92459" spans="10:10" x14ac:dyDescent="0.3">
      <c r="J92459"/>
    </row>
    <row r="92460" spans="10:10" x14ac:dyDescent="0.3">
      <c r="J92460"/>
    </row>
    <row r="92461" spans="10:10" x14ac:dyDescent="0.3">
      <c r="J92461"/>
    </row>
    <row r="92462" spans="10:10" x14ac:dyDescent="0.3">
      <c r="J92462"/>
    </row>
    <row r="92463" spans="10:10" x14ac:dyDescent="0.3">
      <c r="J92463"/>
    </row>
    <row r="92464" spans="10:10" x14ac:dyDescent="0.3">
      <c r="J92464"/>
    </row>
    <row r="92465" spans="10:10" x14ac:dyDescent="0.3">
      <c r="J92465"/>
    </row>
    <row r="92466" spans="10:10" x14ac:dyDescent="0.3">
      <c r="J92466"/>
    </row>
    <row r="92467" spans="10:10" x14ac:dyDescent="0.3">
      <c r="J92467"/>
    </row>
    <row r="92468" spans="10:10" x14ac:dyDescent="0.3">
      <c r="J92468"/>
    </row>
    <row r="92469" spans="10:10" x14ac:dyDescent="0.3">
      <c r="J92469"/>
    </row>
    <row r="92470" spans="10:10" x14ac:dyDescent="0.3">
      <c r="J92470"/>
    </row>
    <row r="92471" spans="10:10" x14ac:dyDescent="0.3">
      <c r="J92471"/>
    </row>
    <row r="92472" spans="10:10" x14ac:dyDescent="0.3">
      <c r="J92472"/>
    </row>
    <row r="92473" spans="10:10" x14ac:dyDescent="0.3">
      <c r="J92473"/>
    </row>
    <row r="92474" spans="10:10" x14ac:dyDescent="0.3">
      <c r="J92474"/>
    </row>
    <row r="92475" spans="10:10" x14ac:dyDescent="0.3">
      <c r="J92475"/>
    </row>
    <row r="92476" spans="10:10" x14ac:dyDescent="0.3">
      <c r="J92476"/>
    </row>
    <row r="92477" spans="10:10" x14ac:dyDescent="0.3">
      <c r="J92477"/>
    </row>
    <row r="92478" spans="10:10" x14ac:dyDescent="0.3">
      <c r="J92478"/>
    </row>
    <row r="92479" spans="10:10" x14ac:dyDescent="0.3">
      <c r="J92479"/>
    </row>
    <row r="92480" spans="10:10" x14ac:dyDescent="0.3">
      <c r="J92480"/>
    </row>
    <row r="92481" spans="10:10" x14ac:dyDescent="0.3">
      <c r="J92481"/>
    </row>
    <row r="92482" spans="10:10" x14ac:dyDescent="0.3">
      <c r="J92482"/>
    </row>
    <row r="92483" spans="10:10" x14ac:dyDescent="0.3">
      <c r="J92483"/>
    </row>
    <row r="92484" spans="10:10" x14ac:dyDescent="0.3">
      <c r="J92484"/>
    </row>
    <row r="92485" spans="10:10" x14ac:dyDescent="0.3">
      <c r="J92485"/>
    </row>
    <row r="92486" spans="10:10" x14ac:dyDescent="0.3">
      <c r="J92486"/>
    </row>
    <row r="92487" spans="10:10" x14ac:dyDescent="0.3">
      <c r="J92487"/>
    </row>
    <row r="92488" spans="10:10" x14ac:dyDescent="0.3">
      <c r="J92488"/>
    </row>
    <row r="92489" spans="10:10" x14ac:dyDescent="0.3">
      <c r="J92489"/>
    </row>
    <row r="92490" spans="10:10" x14ac:dyDescent="0.3">
      <c r="J92490"/>
    </row>
    <row r="92491" spans="10:10" x14ac:dyDescent="0.3">
      <c r="J92491"/>
    </row>
    <row r="92492" spans="10:10" x14ac:dyDescent="0.3">
      <c r="J92492"/>
    </row>
    <row r="92493" spans="10:10" x14ac:dyDescent="0.3">
      <c r="J92493"/>
    </row>
    <row r="92494" spans="10:10" x14ac:dyDescent="0.3">
      <c r="J92494"/>
    </row>
    <row r="92495" spans="10:10" x14ac:dyDescent="0.3">
      <c r="J92495"/>
    </row>
    <row r="92496" spans="10:10" x14ac:dyDescent="0.3">
      <c r="J92496"/>
    </row>
    <row r="92497" spans="10:10" x14ac:dyDescent="0.3">
      <c r="J92497"/>
    </row>
    <row r="92498" spans="10:10" x14ac:dyDescent="0.3">
      <c r="J92498"/>
    </row>
    <row r="92499" spans="10:10" x14ac:dyDescent="0.3">
      <c r="J92499"/>
    </row>
    <row r="92500" spans="10:10" x14ac:dyDescent="0.3">
      <c r="J92500"/>
    </row>
    <row r="92501" spans="10:10" x14ac:dyDescent="0.3">
      <c r="J92501"/>
    </row>
    <row r="92502" spans="10:10" x14ac:dyDescent="0.3">
      <c r="J92502"/>
    </row>
    <row r="92503" spans="10:10" x14ac:dyDescent="0.3">
      <c r="J92503"/>
    </row>
    <row r="92504" spans="10:10" x14ac:dyDescent="0.3">
      <c r="J92504"/>
    </row>
    <row r="92505" spans="10:10" x14ac:dyDescent="0.3">
      <c r="J92505"/>
    </row>
    <row r="92506" spans="10:10" x14ac:dyDescent="0.3">
      <c r="J92506"/>
    </row>
    <row r="92507" spans="10:10" x14ac:dyDescent="0.3">
      <c r="J92507"/>
    </row>
    <row r="92508" spans="10:10" x14ac:dyDescent="0.3">
      <c r="J92508"/>
    </row>
    <row r="92509" spans="10:10" x14ac:dyDescent="0.3">
      <c r="J92509"/>
    </row>
    <row r="92510" spans="10:10" x14ac:dyDescent="0.3">
      <c r="J92510"/>
    </row>
    <row r="92511" spans="10:10" x14ac:dyDescent="0.3">
      <c r="J92511"/>
    </row>
    <row r="92512" spans="10:10" x14ac:dyDescent="0.3">
      <c r="J92512"/>
    </row>
    <row r="92513" spans="10:10" x14ac:dyDescent="0.3">
      <c r="J92513"/>
    </row>
    <row r="92514" spans="10:10" x14ac:dyDescent="0.3">
      <c r="J92514"/>
    </row>
    <row r="92515" spans="10:10" x14ac:dyDescent="0.3">
      <c r="J92515"/>
    </row>
    <row r="92516" spans="10:10" x14ac:dyDescent="0.3">
      <c r="J92516"/>
    </row>
    <row r="92517" spans="10:10" x14ac:dyDescent="0.3">
      <c r="J92517"/>
    </row>
    <row r="92518" spans="10:10" x14ac:dyDescent="0.3">
      <c r="J92518"/>
    </row>
    <row r="92519" spans="10:10" x14ac:dyDescent="0.3">
      <c r="J92519"/>
    </row>
    <row r="92520" spans="10:10" x14ac:dyDescent="0.3">
      <c r="J92520"/>
    </row>
    <row r="92521" spans="10:10" x14ac:dyDescent="0.3">
      <c r="J92521"/>
    </row>
    <row r="92522" spans="10:10" x14ac:dyDescent="0.3">
      <c r="J92522"/>
    </row>
    <row r="92523" spans="10:10" x14ac:dyDescent="0.3">
      <c r="J92523"/>
    </row>
    <row r="92524" spans="10:10" x14ac:dyDescent="0.3">
      <c r="J92524"/>
    </row>
    <row r="92525" spans="10:10" x14ac:dyDescent="0.3">
      <c r="J92525"/>
    </row>
    <row r="92526" spans="10:10" x14ac:dyDescent="0.3">
      <c r="J92526"/>
    </row>
    <row r="92527" spans="10:10" x14ac:dyDescent="0.3">
      <c r="J92527"/>
    </row>
    <row r="92528" spans="10:10" x14ac:dyDescent="0.3">
      <c r="J92528"/>
    </row>
    <row r="92529" spans="10:10" x14ac:dyDescent="0.3">
      <c r="J92529"/>
    </row>
    <row r="92530" spans="10:10" x14ac:dyDescent="0.3">
      <c r="J92530"/>
    </row>
    <row r="92531" spans="10:10" x14ac:dyDescent="0.3">
      <c r="J92531"/>
    </row>
    <row r="92532" spans="10:10" x14ac:dyDescent="0.3">
      <c r="J92532"/>
    </row>
    <row r="92533" spans="10:10" x14ac:dyDescent="0.3">
      <c r="J92533"/>
    </row>
    <row r="92534" spans="10:10" x14ac:dyDescent="0.3">
      <c r="J92534"/>
    </row>
    <row r="92535" spans="10:10" x14ac:dyDescent="0.3">
      <c r="J92535"/>
    </row>
    <row r="92536" spans="10:10" x14ac:dyDescent="0.3">
      <c r="J92536"/>
    </row>
    <row r="92537" spans="10:10" x14ac:dyDescent="0.3">
      <c r="J92537"/>
    </row>
    <row r="92538" spans="10:10" x14ac:dyDescent="0.3">
      <c r="J92538"/>
    </row>
    <row r="92539" spans="10:10" x14ac:dyDescent="0.3">
      <c r="J92539"/>
    </row>
    <row r="92540" spans="10:10" x14ac:dyDescent="0.3">
      <c r="J92540"/>
    </row>
    <row r="92541" spans="10:10" x14ac:dyDescent="0.3">
      <c r="J92541"/>
    </row>
    <row r="92542" spans="10:10" x14ac:dyDescent="0.3">
      <c r="J92542"/>
    </row>
    <row r="92543" spans="10:10" x14ac:dyDescent="0.3">
      <c r="J92543"/>
    </row>
    <row r="92544" spans="10:10" x14ac:dyDescent="0.3">
      <c r="J92544"/>
    </row>
    <row r="92545" spans="10:10" x14ac:dyDescent="0.3">
      <c r="J92545"/>
    </row>
    <row r="92546" spans="10:10" x14ac:dyDescent="0.3">
      <c r="J92546"/>
    </row>
    <row r="92547" spans="10:10" x14ac:dyDescent="0.3">
      <c r="J92547"/>
    </row>
    <row r="92548" spans="10:10" x14ac:dyDescent="0.3">
      <c r="J92548"/>
    </row>
    <row r="92549" spans="10:10" x14ac:dyDescent="0.3">
      <c r="J92549"/>
    </row>
    <row r="92550" spans="10:10" x14ac:dyDescent="0.3">
      <c r="J92550"/>
    </row>
    <row r="92551" spans="10:10" x14ac:dyDescent="0.3">
      <c r="J92551"/>
    </row>
    <row r="92552" spans="10:10" x14ac:dyDescent="0.3">
      <c r="J92552"/>
    </row>
    <row r="92553" spans="10:10" x14ac:dyDescent="0.3">
      <c r="J92553"/>
    </row>
    <row r="92554" spans="10:10" x14ac:dyDescent="0.3">
      <c r="J92554"/>
    </row>
    <row r="92555" spans="10:10" x14ac:dyDescent="0.3">
      <c r="J92555"/>
    </row>
    <row r="92556" spans="10:10" x14ac:dyDescent="0.3">
      <c r="J92556"/>
    </row>
    <row r="92557" spans="10:10" x14ac:dyDescent="0.3">
      <c r="J92557"/>
    </row>
    <row r="92558" spans="10:10" x14ac:dyDescent="0.3">
      <c r="J92558"/>
    </row>
    <row r="92559" spans="10:10" x14ac:dyDescent="0.3">
      <c r="J92559"/>
    </row>
    <row r="92560" spans="10:10" x14ac:dyDescent="0.3">
      <c r="J92560"/>
    </row>
    <row r="92561" spans="10:10" x14ac:dyDescent="0.3">
      <c r="J92561"/>
    </row>
    <row r="92562" spans="10:10" x14ac:dyDescent="0.3">
      <c r="J92562"/>
    </row>
    <row r="92563" spans="10:10" x14ac:dyDescent="0.3">
      <c r="J92563"/>
    </row>
    <row r="92564" spans="10:10" x14ac:dyDescent="0.3">
      <c r="J92564"/>
    </row>
    <row r="92565" spans="10:10" x14ac:dyDescent="0.3">
      <c r="J92565"/>
    </row>
    <row r="92566" spans="10:10" x14ac:dyDescent="0.3">
      <c r="J92566"/>
    </row>
    <row r="92567" spans="10:10" x14ac:dyDescent="0.3">
      <c r="J92567"/>
    </row>
    <row r="92568" spans="10:10" x14ac:dyDescent="0.3">
      <c r="J92568"/>
    </row>
    <row r="92569" spans="10:10" x14ac:dyDescent="0.3">
      <c r="J92569"/>
    </row>
    <row r="92570" spans="10:10" x14ac:dyDescent="0.3">
      <c r="J92570"/>
    </row>
    <row r="92571" spans="10:10" x14ac:dyDescent="0.3">
      <c r="J92571"/>
    </row>
    <row r="92572" spans="10:10" x14ac:dyDescent="0.3">
      <c r="J92572"/>
    </row>
    <row r="92573" spans="10:10" x14ac:dyDescent="0.3">
      <c r="J92573"/>
    </row>
    <row r="92574" spans="10:10" x14ac:dyDescent="0.3">
      <c r="J92574"/>
    </row>
    <row r="92575" spans="10:10" x14ac:dyDescent="0.3">
      <c r="J92575"/>
    </row>
    <row r="92576" spans="10:10" x14ac:dyDescent="0.3">
      <c r="J92576"/>
    </row>
    <row r="92577" spans="10:10" x14ac:dyDescent="0.3">
      <c r="J92577"/>
    </row>
    <row r="92578" spans="10:10" x14ac:dyDescent="0.3">
      <c r="J92578"/>
    </row>
    <row r="92579" spans="10:10" x14ac:dyDescent="0.3">
      <c r="J92579"/>
    </row>
    <row r="92580" spans="10:10" x14ac:dyDescent="0.3">
      <c r="J92580"/>
    </row>
    <row r="92581" spans="10:10" x14ac:dyDescent="0.3">
      <c r="J92581"/>
    </row>
    <row r="92582" spans="10:10" x14ac:dyDescent="0.3">
      <c r="J92582"/>
    </row>
    <row r="92583" spans="10:10" x14ac:dyDescent="0.3">
      <c r="J92583"/>
    </row>
    <row r="92584" spans="10:10" x14ac:dyDescent="0.3">
      <c r="J92584"/>
    </row>
    <row r="92585" spans="10:10" x14ac:dyDescent="0.3">
      <c r="J92585"/>
    </row>
    <row r="92586" spans="10:10" x14ac:dyDescent="0.3">
      <c r="J92586"/>
    </row>
    <row r="92587" spans="10:10" x14ac:dyDescent="0.3">
      <c r="J92587"/>
    </row>
    <row r="92588" spans="10:10" x14ac:dyDescent="0.3">
      <c r="J92588"/>
    </row>
    <row r="92589" spans="10:10" x14ac:dyDescent="0.3">
      <c r="J92589"/>
    </row>
    <row r="92590" spans="10:10" x14ac:dyDescent="0.3">
      <c r="J92590"/>
    </row>
    <row r="92591" spans="10:10" x14ac:dyDescent="0.3">
      <c r="J92591"/>
    </row>
    <row r="92592" spans="10:10" x14ac:dyDescent="0.3">
      <c r="J92592"/>
    </row>
    <row r="92593" spans="10:10" x14ac:dyDescent="0.3">
      <c r="J92593"/>
    </row>
    <row r="92594" spans="10:10" x14ac:dyDescent="0.3">
      <c r="J92594"/>
    </row>
    <row r="92595" spans="10:10" x14ac:dyDescent="0.3">
      <c r="J92595"/>
    </row>
    <row r="92596" spans="10:10" x14ac:dyDescent="0.3">
      <c r="J92596"/>
    </row>
    <row r="92597" spans="10:10" x14ac:dyDescent="0.3">
      <c r="J92597"/>
    </row>
    <row r="92598" spans="10:10" x14ac:dyDescent="0.3">
      <c r="J92598"/>
    </row>
    <row r="92599" spans="10:10" x14ac:dyDescent="0.3">
      <c r="J92599"/>
    </row>
    <row r="92600" spans="10:10" x14ac:dyDescent="0.3">
      <c r="J92600"/>
    </row>
    <row r="92601" spans="10:10" x14ac:dyDescent="0.3">
      <c r="J92601"/>
    </row>
    <row r="92602" spans="10:10" x14ac:dyDescent="0.3">
      <c r="J92602"/>
    </row>
    <row r="92603" spans="10:10" x14ac:dyDescent="0.3">
      <c r="J92603"/>
    </row>
    <row r="92604" spans="10:10" x14ac:dyDescent="0.3">
      <c r="J92604"/>
    </row>
    <row r="92605" spans="10:10" x14ac:dyDescent="0.3">
      <c r="J92605"/>
    </row>
    <row r="92606" spans="10:10" x14ac:dyDescent="0.3">
      <c r="J92606"/>
    </row>
    <row r="92607" spans="10:10" x14ac:dyDescent="0.3">
      <c r="J92607"/>
    </row>
    <row r="92608" spans="10:10" x14ac:dyDescent="0.3">
      <c r="J92608"/>
    </row>
    <row r="92609" spans="10:10" x14ac:dyDescent="0.3">
      <c r="J92609"/>
    </row>
    <row r="92610" spans="10:10" x14ac:dyDescent="0.3">
      <c r="J92610"/>
    </row>
    <row r="92611" spans="10:10" x14ac:dyDescent="0.3">
      <c r="J92611"/>
    </row>
    <row r="92612" spans="10:10" x14ac:dyDescent="0.3">
      <c r="J92612"/>
    </row>
    <row r="92613" spans="10:10" x14ac:dyDescent="0.3">
      <c r="J92613"/>
    </row>
    <row r="92614" spans="10:10" x14ac:dyDescent="0.3">
      <c r="J92614"/>
    </row>
    <row r="92615" spans="10:10" x14ac:dyDescent="0.3">
      <c r="J92615"/>
    </row>
    <row r="92616" spans="10:10" x14ac:dyDescent="0.3">
      <c r="J92616"/>
    </row>
    <row r="92617" spans="10:10" x14ac:dyDescent="0.3">
      <c r="J92617"/>
    </row>
    <row r="92618" spans="10:10" x14ac:dyDescent="0.3">
      <c r="J92618"/>
    </row>
    <row r="92619" spans="10:10" x14ac:dyDescent="0.3">
      <c r="J92619"/>
    </row>
    <row r="92620" spans="10:10" x14ac:dyDescent="0.3">
      <c r="J92620"/>
    </row>
    <row r="92621" spans="10:10" x14ac:dyDescent="0.3">
      <c r="J92621"/>
    </row>
    <row r="92622" spans="10:10" x14ac:dyDescent="0.3">
      <c r="J92622"/>
    </row>
    <row r="92623" spans="10:10" x14ac:dyDescent="0.3">
      <c r="J92623"/>
    </row>
    <row r="92624" spans="10:10" x14ac:dyDescent="0.3">
      <c r="J92624"/>
    </row>
    <row r="92625" spans="10:10" x14ac:dyDescent="0.3">
      <c r="J92625"/>
    </row>
    <row r="92626" spans="10:10" x14ac:dyDescent="0.3">
      <c r="J92626"/>
    </row>
    <row r="92627" spans="10:10" x14ac:dyDescent="0.3">
      <c r="J92627"/>
    </row>
    <row r="92628" spans="10:10" x14ac:dyDescent="0.3">
      <c r="J92628"/>
    </row>
    <row r="92629" spans="10:10" x14ac:dyDescent="0.3">
      <c r="J92629"/>
    </row>
    <row r="92630" spans="10:10" x14ac:dyDescent="0.3">
      <c r="J92630"/>
    </row>
    <row r="92631" spans="10:10" x14ac:dyDescent="0.3">
      <c r="J92631"/>
    </row>
    <row r="92632" spans="10:10" x14ac:dyDescent="0.3">
      <c r="J92632"/>
    </row>
    <row r="92633" spans="10:10" x14ac:dyDescent="0.3">
      <c r="J92633"/>
    </row>
    <row r="92634" spans="10:10" x14ac:dyDescent="0.3">
      <c r="J92634"/>
    </row>
    <row r="92635" spans="10:10" x14ac:dyDescent="0.3">
      <c r="J92635"/>
    </row>
    <row r="92636" spans="10:10" x14ac:dyDescent="0.3">
      <c r="J92636"/>
    </row>
    <row r="92637" spans="10:10" x14ac:dyDescent="0.3">
      <c r="J92637"/>
    </row>
    <row r="92638" spans="10:10" x14ac:dyDescent="0.3">
      <c r="J92638"/>
    </row>
    <row r="92639" spans="10:10" x14ac:dyDescent="0.3">
      <c r="J92639"/>
    </row>
    <row r="92640" spans="10:10" x14ac:dyDescent="0.3">
      <c r="J92640"/>
    </row>
    <row r="92641" spans="10:10" x14ac:dyDescent="0.3">
      <c r="J92641"/>
    </row>
    <row r="92642" spans="10:10" x14ac:dyDescent="0.3">
      <c r="J92642"/>
    </row>
    <row r="92643" spans="10:10" x14ac:dyDescent="0.3">
      <c r="J92643"/>
    </row>
    <row r="92644" spans="10:10" x14ac:dyDescent="0.3">
      <c r="J92644"/>
    </row>
    <row r="92645" spans="10:10" x14ac:dyDescent="0.3">
      <c r="J92645"/>
    </row>
    <row r="92646" spans="10:10" x14ac:dyDescent="0.3">
      <c r="J92646"/>
    </row>
    <row r="92647" spans="10:10" x14ac:dyDescent="0.3">
      <c r="J92647"/>
    </row>
    <row r="92648" spans="10:10" x14ac:dyDescent="0.3">
      <c r="J92648"/>
    </row>
    <row r="92649" spans="10:10" x14ac:dyDescent="0.3">
      <c r="J92649"/>
    </row>
    <row r="92650" spans="10:10" x14ac:dyDescent="0.3">
      <c r="J92650"/>
    </row>
    <row r="92651" spans="10:10" x14ac:dyDescent="0.3">
      <c r="J92651"/>
    </row>
    <row r="92652" spans="10:10" x14ac:dyDescent="0.3">
      <c r="J92652"/>
    </row>
    <row r="92653" spans="10:10" x14ac:dyDescent="0.3">
      <c r="J92653"/>
    </row>
    <row r="92654" spans="10:10" x14ac:dyDescent="0.3">
      <c r="J92654"/>
    </row>
    <row r="92655" spans="10:10" x14ac:dyDescent="0.3">
      <c r="J92655"/>
    </row>
    <row r="92656" spans="10:10" x14ac:dyDescent="0.3">
      <c r="J92656"/>
    </row>
    <row r="92657" spans="10:10" x14ac:dyDescent="0.3">
      <c r="J92657"/>
    </row>
    <row r="92658" spans="10:10" x14ac:dyDescent="0.3">
      <c r="J92658"/>
    </row>
    <row r="92659" spans="10:10" x14ac:dyDescent="0.3">
      <c r="J92659"/>
    </row>
    <row r="92660" spans="10:10" x14ac:dyDescent="0.3">
      <c r="J92660"/>
    </row>
    <row r="92661" spans="10:10" x14ac:dyDescent="0.3">
      <c r="J92661"/>
    </row>
    <row r="92662" spans="10:10" x14ac:dyDescent="0.3">
      <c r="J92662"/>
    </row>
    <row r="92663" spans="10:10" x14ac:dyDescent="0.3">
      <c r="J92663"/>
    </row>
    <row r="92664" spans="10:10" x14ac:dyDescent="0.3">
      <c r="J92664"/>
    </row>
    <row r="92665" spans="10:10" x14ac:dyDescent="0.3">
      <c r="J92665"/>
    </row>
    <row r="92666" spans="10:10" x14ac:dyDescent="0.3">
      <c r="J92666"/>
    </row>
    <row r="92667" spans="10:10" x14ac:dyDescent="0.3">
      <c r="J92667"/>
    </row>
    <row r="92668" spans="10:10" x14ac:dyDescent="0.3">
      <c r="J92668"/>
    </row>
    <row r="92669" spans="10:10" x14ac:dyDescent="0.3">
      <c r="J92669"/>
    </row>
    <row r="92670" spans="10:10" x14ac:dyDescent="0.3">
      <c r="J92670"/>
    </row>
    <row r="92671" spans="10:10" x14ac:dyDescent="0.3">
      <c r="J92671"/>
    </row>
    <row r="92672" spans="10:10" x14ac:dyDescent="0.3">
      <c r="J92672"/>
    </row>
    <row r="92673" spans="10:10" x14ac:dyDescent="0.3">
      <c r="J92673"/>
    </row>
    <row r="92674" spans="10:10" x14ac:dyDescent="0.3">
      <c r="J92674"/>
    </row>
    <row r="92675" spans="10:10" x14ac:dyDescent="0.3">
      <c r="J92675"/>
    </row>
    <row r="92676" spans="10:10" x14ac:dyDescent="0.3">
      <c r="J92676"/>
    </row>
    <row r="92677" spans="10:10" x14ac:dyDescent="0.3">
      <c r="J92677"/>
    </row>
    <row r="92678" spans="10:10" x14ac:dyDescent="0.3">
      <c r="J92678"/>
    </row>
    <row r="92679" spans="10:10" x14ac:dyDescent="0.3">
      <c r="J92679"/>
    </row>
    <row r="92680" spans="10:10" x14ac:dyDescent="0.3">
      <c r="J92680"/>
    </row>
    <row r="92681" spans="10:10" x14ac:dyDescent="0.3">
      <c r="J92681"/>
    </row>
    <row r="92682" spans="10:10" x14ac:dyDescent="0.3">
      <c r="J92682"/>
    </row>
    <row r="92683" spans="10:10" x14ac:dyDescent="0.3">
      <c r="J92683"/>
    </row>
    <row r="92684" spans="10:10" x14ac:dyDescent="0.3">
      <c r="J92684"/>
    </row>
    <row r="92685" spans="10:10" x14ac:dyDescent="0.3">
      <c r="J92685"/>
    </row>
    <row r="92686" spans="10:10" x14ac:dyDescent="0.3">
      <c r="J92686"/>
    </row>
    <row r="92687" spans="10:10" x14ac:dyDescent="0.3">
      <c r="J92687"/>
    </row>
    <row r="92688" spans="10:10" x14ac:dyDescent="0.3">
      <c r="J92688"/>
    </row>
    <row r="92689" spans="10:10" x14ac:dyDescent="0.3">
      <c r="J92689"/>
    </row>
    <row r="92690" spans="10:10" x14ac:dyDescent="0.3">
      <c r="J92690"/>
    </row>
    <row r="92691" spans="10:10" x14ac:dyDescent="0.3">
      <c r="J92691"/>
    </row>
    <row r="92692" spans="10:10" x14ac:dyDescent="0.3">
      <c r="J92692"/>
    </row>
    <row r="92693" spans="10:10" x14ac:dyDescent="0.3">
      <c r="J92693"/>
    </row>
    <row r="92694" spans="10:10" x14ac:dyDescent="0.3">
      <c r="J92694"/>
    </row>
    <row r="92695" spans="10:10" x14ac:dyDescent="0.3">
      <c r="J92695"/>
    </row>
    <row r="92696" spans="10:10" x14ac:dyDescent="0.3">
      <c r="J92696"/>
    </row>
    <row r="92697" spans="10:10" x14ac:dyDescent="0.3">
      <c r="J92697"/>
    </row>
    <row r="92698" spans="10:10" x14ac:dyDescent="0.3">
      <c r="J92698"/>
    </row>
    <row r="92699" spans="10:10" x14ac:dyDescent="0.3">
      <c r="J92699"/>
    </row>
    <row r="92700" spans="10:10" x14ac:dyDescent="0.3">
      <c r="J92700"/>
    </row>
    <row r="92701" spans="10:10" x14ac:dyDescent="0.3">
      <c r="J92701"/>
    </row>
    <row r="92702" spans="10:10" x14ac:dyDescent="0.3">
      <c r="J92702"/>
    </row>
    <row r="92703" spans="10:10" x14ac:dyDescent="0.3">
      <c r="J92703"/>
    </row>
    <row r="92704" spans="10:10" x14ac:dyDescent="0.3">
      <c r="J92704"/>
    </row>
    <row r="92705" spans="10:10" x14ac:dyDescent="0.3">
      <c r="J92705"/>
    </row>
    <row r="92706" spans="10:10" x14ac:dyDescent="0.3">
      <c r="J92706"/>
    </row>
    <row r="92707" spans="10:10" x14ac:dyDescent="0.3">
      <c r="J92707"/>
    </row>
    <row r="92708" spans="10:10" x14ac:dyDescent="0.3">
      <c r="J92708"/>
    </row>
    <row r="92709" spans="10:10" x14ac:dyDescent="0.3">
      <c r="J92709"/>
    </row>
    <row r="92710" spans="10:10" x14ac:dyDescent="0.3">
      <c r="J92710"/>
    </row>
    <row r="92711" spans="10:10" x14ac:dyDescent="0.3">
      <c r="J92711"/>
    </row>
    <row r="92712" spans="10:10" x14ac:dyDescent="0.3">
      <c r="J92712"/>
    </row>
    <row r="92713" spans="10:10" x14ac:dyDescent="0.3">
      <c r="J92713"/>
    </row>
    <row r="92714" spans="10:10" x14ac:dyDescent="0.3">
      <c r="J92714"/>
    </row>
    <row r="92715" spans="10:10" x14ac:dyDescent="0.3">
      <c r="J92715"/>
    </row>
    <row r="92716" spans="10:10" x14ac:dyDescent="0.3">
      <c r="J92716"/>
    </row>
    <row r="92717" spans="10:10" x14ac:dyDescent="0.3">
      <c r="J92717"/>
    </row>
    <row r="92718" spans="10:10" x14ac:dyDescent="0.3">
      <c r="J92718"/>
    </row>
    <row r="92719" spans="10:10" x14ac:dyDescent="0.3">
      <c r="J92719"/>
    </row>
    <row r="92720" spans="10:10" x14ac:dyDescent="0.3">
      <c r="J92720"/>
    </row>
    <row r="92721" spans="10:10" x14ac:dyDescent="0.3">
      <c r="J92721"/>
    </row>
    <row r="92722" spans="10:10" x14ac:dyDescent="0.3">
      <c r="J92722"/>
    </row>
    <row r="92723" spans="10:10" x14ac:dyDescent="0.3">
      <c r="J92723"/>
    </row>
    <row r="92724" spans="10:10" x14ac:dyDescent="0.3">
      <c r="J92724"/>
    </row>
    <row r="92725" spans="10:10" x14ac:dyDescent="0.3">
      <c r="J92725"/>
    </row>
    <row r="92726" spans="10:10" x14ac:dyDescent="0.3">
      <c r="J92726"/>
    </row>
    <row r="92727" spans="10:10" x14ac:dyDescent="0.3">
      <c r="J92727"/>
    </row>
    <row r="92728" spans="10:10" x14ac:dyDescent="0.3">
      <c r="J92728"/>
    </row>
    <row r="92729" spans="10:10" x14ac:dyDescent="0.3">
      <c r="J92729"/>
    </row>
    <row r="92730" spans="10:10" x14ac:dyDescent="0.3">
      <c r="J92730"/>
    </row>
    <row r="92731" spans="10:10" x14ac:dyDescent="0.3">
      <c r="J92731"/>
    </row>
    <row r="92732" spans="10:10" x14ac:dyDescent="0.3">
      <c r="J92732"/>
    </row>
    <row r="92733" spans="10:10" x14ac:dyDescent="0.3">
      <c r="J92733"/>
    </row>
    <row r="92734" spans="10:10" x14ac:dyDescent="0.3">
      <c r="J92734"/>
    </row>
    <row r="92735" spans="10:10" x14ac:dyDescent="0.3">
      <c r="J92735"/>
    </row>
    <row r="92736" spans="10:10" x14ac:dyDescent="0.3">
      <c r="J92736"/>
    </row>
    <row r="92737" spans="10:10" x14ac:dyDescent="0.3">
      <c r="J92737"/>
    </row>
    <row r="92738" spans="10:10" x14ac:dyDescent="0.3">
      <c r="J92738"/>
    </row>
    <row r="92739" spans="10:10" x14ac:dyDescent="0.3">
      <c r="J92739"/>
    </row>
    <row r="92740" spans="10:10" x14ac:dyDescent="0.3">
      <c r="J92740"/>
    </row>
    <row r="92741" spans="10:10" x14ac:dyDescent="0.3">
      <c r="J92741"/>
    </row>
    <row r="92742" spans="10:10" x14ac:dyDescent="0.3">
      <c r="J92742"/>
    </row>
    <row r="92743" spans="10:10" x14ac:dyDescent="0.3">
      <c r="J92743"/>
    </row>
    <row r="92744" spans="10:10" x14ac:dyDescent="0.3">
      <c r="J92744"/>
    </row>
    <row r="92745" spans="10:10" x14ac:dyDescent="0.3">
      <c r="J92745"/>
    </row>
    <row r="92746" spans="10:10" x14ac:dyDescent="0.3">
      <c r="J92746"/>
    </row>
    <row r="92747" spans="10:10" x14ac:dyDescent="0.3">
      <c r="J92747"/>
    </row>
    <row r="92748" spans="10:10" x14ac:dyDescent="0.3">
      <c r="J92748"/>
    </row>
    <row r="92749" spans="10:10" x14ac:dyDescent="0.3">
      <c r="J92749"/>
    </row>
    <row r="92750" spans="10:10" x14ac:dyDescent="0.3">
      <c r="J92750"/>
    </row>
    <row r="92751" spans="10:10" x14ac:dyDescent="0.3">
      <c r="J92751"/>
    </row>
    <row r="92752" spans="10:10" x14ac:dyDescent="0.3">
      <c r="J92752"/>
    </row>
    <row r="92753" spans="10:10" x14ac:dyDescent="0.3">
      <c r="J92753"/>
    </row>
    <row r="92754" spans="10:10" x14ac:dyDescent="0.3">
      <c r="J92754"/>
    </row>
    <row r="92755" spans="10:10" x14ac:dyDescent="0.3">
      <c r="J92755"/>
    </row>
    <row r="92756" spans="10:10" x14ac:dyDescent="0.3">
      <c r="J92756"/>
    </row>
    <row r="92757" spans="10:10" x14ac:dyDescent="0.3">
      <c r="J92757"/>
    </row>
    <row r="92758" spans="10:10" x14ac:dyDescent="0.3">
      <c r="J92758"/>
    </row>
    <row r="92759" spans="10:10" x14ac:dyDescent="0.3">
      <c r="J92759"/>
    </row>
    <row r="92760" spans="10:10" x14ac:dyDescent="0.3">
      <c r="J92760"/>
    </row>
    <row r="92761" spans="10:10" x14ac:dyDescent="0.3">
      <c r="J92761"/>
    </row>
    <row r="92762" spans="10:10" x14ac:dyDescent="0.3">
      <c r="J92762"/>
    </row>
    <row r="92763" spans="10:10" x14ac:dyDescent="0.3">
      <c r="J92763"/>
    </row>
    <row r="92764" spans="10:10" x14ac:dyDescent="0.3">
      <c r="J92764"/>
    </row>
    <row r="92765" spans="10:10" x14ac:dyDescent="0.3">
      <c r="J92765"/>
    </row>
    <row r="92766" spans="10:10" x14ac:dyDescent="0.3">
      <c r="J92766"/>
    </row>
    <row r="92767" spans="10:10" x14ac:dyDescent="0.3">
      <c r="J92767"/>
    </row>
    <row r="92768" spans="10:10" x14ac:dyDescent="0.3">
      <c r="J92768"/>
    </row>
    <row r="92769" spans="10:10" x14ac:dyDescent="0.3">
      <c r="J92769"/>
    </row>
    <row r="92770" spans="10:10" x14ac:dyDescent="0.3">
      <c r="J92770"/>
    </row>
    <row r="92771" spans="10:10" x14ac:dyDescent="0.3">
      <c r="J92771"/>
    </row>
    <row r="92772" spans="10:10" x14ac:dyDescent="0.3">
      <c r="J92772"/>
    </row>
    <row r="92773" spans="10:10" x14ac:dyDescent="0.3">
      <c r="J92773"/>
    </row>
    <row r="92774" spans="10:10" x14ac:dyDescent="0.3">
      <c r="J92774"/>
    </row>
    <row r="92775" spans="10:10" x14ac:dyDescent="0.3">
      <c r="J92775"/>
    </row>
    <row r="92776" spans="10:10" x14ac:dyDescent="0.3">
      <c r="J92776"/>
    </row>
    <row r="92777" spans="10:10" x14ac:dyDescent="0.3">
      <c r="J92777"/>
    </row>
    <row r="92778" spans="10:10" x14ac:dyDescent="0.3">
      <c r="J92778"/>
    </row>
    <row r="92779" spans="10:10" x14ac:dyDescent="0.3">
      <c r="J92779"/>
    </row>
    <row r="92780" spans="10:10" x14ac:dyDescent="0.3">
      <c r="J92780"/>
    </row>
    <row r="92781" spans="10:10" x14ac:dyDescent="0.3">
      <c r="J92781"/>
    </row>
    <row r="92782" spans="10:10" x14ac:dyDescent="0.3">
      <c r="J92782"/>
    </row>
    <row r="92783" spans="10:10" x14ac:dyDescent="0.3">
      <c r="J92783"/>
    </row>
    <row r="92784" spans="10:10" x14ac:dyDescent="0.3">
      <c r="J92784"/>
    </row>
    <row r="92785" spans="10:10" x14ac:dyDescent="0.3">
      <c r="J92785"/>
    </row>
    <row r="92786" spans="10:10" x14ac:dyDescent="0.3">
      <c r="J92786"/>
    </row>
    <row r="92787" spans="10:10" x14ac:dyDescent="0.3">
      <c r="J92787"/>
    </row>
    <row r="92788" spans="10:10" x14ac:dyDescent="0.3">
      <c r="J92788"/>
    </row>
    <row r="92789" spans="10:10" x14ac:dyDescent="0.3">
      <c r="J92789"/>
    </row>
    <row r="92790" spans="10:10" x14ac:dyDescent="0.3">
      <c r="J92790"/>
    </row>
    <row r="92791" spans="10:10" x14ac:dyDescent="0.3">
      <c r="J92791"/>
    </row>
    <row r="92792" spans="10:10" x14ac:dyDescent="0.3">
      <c r="J92792"/>
    </row>
    <row r="92793" spans="10:10" x14ac:dyDescent="0.3">
      <c r="J92793"/>
    </row>
    <row r="92794" spans="10:10" x14ac:dyDescent="0.3">
      <c r="J92794"/>
    </row>
    <row r="92795" spans="10:10" x14ac:dyDescent="0.3">
      <c r="J92795"/>
    </row>
    <row r="92796" spans="10:10" x14ac:dyDescent="0.3">
      <c r="J92796"/>
    </row>
    <row r="92797" spans="10:10" x14ac:dyDescent="0.3">
      <c r="J92797"/>
    </row>
    <row r="92798" spans="10:10" x14ac:dyDescent="0.3">
      <c r="J92798"/>
    </row>
    <row r="92799" spans="10:10" x14ac:dyDescent="0.3">
      <c r="J92799"/>
    </row>
    <row r="92800" spans="10:10" x14ac:dyDescent="0.3">
      <c r="J92800"/>
    </row>
    <row r="92801" spans="10:10" x14ac:dyDescent="0.3">
      <c r="J92801"/>
    </row>
    <row r="92802" spans="10:10" x14ac:dyDescent="0.3">
      <c r="J92802"/>
    </row>
    <row r="92803" spans="10:10" x14ac:dyDescent="0.3">
      <c r="J92803"/>
    </row>
    <row r="92804" spans="10:10" x14ac:dyDescent="0.3">
      <c r="J92804"/>
    </row>
    <row r="92805" spans="10:10" x14ac:dyDescent="0.3">
      <c r="J92805"/>
    </row>
    <row r="92806" spans="10:10" x14ac:dyDescent="0.3">
      <c r="J92806"/>
    </row>
    <row r="92807" spans="10:10" x14ac:dyDescent="0.3">
      <c r="J92807"/>
    </row>
    <row r="92808" spans="10:10" x14ac:dyDescent="0.3">
      <c r="J92808"/>
    </row>
    <row r="92809" spans="10:10" x14ac:dyDescent="0.3">
      <c r="J92809"/>
    </row>
    <row r="92810" spans="10:10" x14ac:dyDescent="0.3">
      <c r="J92810"/>
    </row>
    <row r="92811" spans="10:10" x14ac:dyDescent="0.3">
      <c r="J92811"/>
    </row>
    <row r="92812" spans="10:10" x14ac:dyDescent="0.3">
      <c r="J92812"/>
    </row>
    <row r="92813" spans="10:10" x14ac:dyDescent="0.3">
      <c r="J92813"/>
    </row>
    <row r="92814" spans="10:10" x14ac:dyDescent="0.3">
      <c r="J92814"/>
    </row>
    <row r="92815" spans="10:10" x14ac:dyDescent="0.3">
      <c r="J92815"/>
    </row>
    <row r="92816" spans="10:10" x14ac:dyDescent="0.3">
      <c r="J92816"/>
    </row>
    <row r="92817" spans="10:10" x14ac:dyDescent="0.3">
      <c r="J92817"/>
    </row>
    <row r="92818" spans="10:10" x14ac:dyDescent="0.3">
      <c r="J92818"/>
    </row>
    <row r="92819" spans="10:10" x14ac:dyDescent="0.3">
      <c r="J92819"/>
    </row>
    <row r="92820" spans="10:10" x14ac:dyDescent="0.3">
      <c r="J92820"/>
    </row>
    <row r="92821" spans="10:10" x14ac:dyDescent="0.3">
      <c r="J92821"/>
    </row>
    <row r="92822" spans="10:10" x14ac:dyDescent="0.3">
      <c r="J92822"/>
    </row>
    <row r="92823" spans="10:10" x14ac:dyDescent="0.3">
      <c r="J92823"/>
    </row>
    <row r="92824" spans="10:10" x14ac:dyDescent="0.3">
      <c r="J92824"/>
    </row>
    <row r="92825" spans="10:10" x14ac:dyDescent="0.3">
      <c r="J92825"/>
    </row>
    <row r="92826" spans="10:10" x14ac:dyDescent="0.3">
      <c r="J92826"/>
    </row>
    <row r="92827" spans="10:10" x14ac:dyDescent="0.3">
      <c r="J92827"/>
    </row>
    <row r="92828" spans="10:10" x14ac:dyDescent="0.3">
      <c r="J92828"/>
    </row>
    <row r="92829" spans="10:10" x14ac:dyDescent="0.3">
      <c r="J92829"/>
    </row>
    <row r="92830" spans="10:10" x14ac:dyDescent="0.3">
      <c r="J92830"/>
    </row>
    <row r="92831" spans="10:10" x14ac:dyDescent="0.3">
      <c r="J92831"/>
    </row>
    <row r="92832" spans="10:10" x14ac:dyDescent="0.3">
      <c r="J92832"/>
    </row>
    <row r="92833" spans="10:10" x14ac:dyDescent="0.3">
      <c r="J92833"/>
    </row>
    <row r="92834" spans="10:10" x14ac:dyDescent="0.3">
      <c r="J92834"/>
    </row>
    <row r="92835" spans="10:10" x14ac:dyDescent="0.3">
      <c r="J92835"/>
    </row>
    <row r="92836" spans="10:10" x14ac:dyDescent="0.3">
      <c r="J92836"/>
    </row>
    <row r="92837" spans="10:10" x14ac:dyDescent="0.3">
      <c r="J92837"/>
    </row>
    <row r="92838" spans="10:10" x14ac:dyDescent="0.3">
      <c r="J92838"/>
    </row>
    <row r="92839" spans="10:10" x14ac:dyDescent="0.3">
      <c r="J92839"/>
    </row>
    <row r="92840" spans="10:10" x14ac:dyDescent="0.3">
      <c r="J92840"/>
    </row>
    <row r="92841" spans="10:10" x14ac:dyDescent="0.3">
      <c r="J92841"/>
    </row>
    <row r="92842" spans="10:10" x14ac:dyDescent="0.3">
      <c r="J92842"/>
    </row>
    <row r="92843" spans="10:10" x14ac:dyDescent="0.3">
      <c r="J92843"/>
    </row>
    <row r="92844" spans="10:10" x14ac:dyDescent="0.3">
      <c r="J92844"/>
    </row>
    <row r="92845" spans="10:10" x14ac:dyDescent="0.3">
      <c r="J92845"/>
    </row>
    <row r="92846" spans="10:10" x14ac:dyDescent="0.3">
      <c r="J92846"/>
    </row>
    <row r="92847" spans="10:10" x14ac:dyDescent="0.3">
      <c r="J92847"/>
    </row>
    <row r="92848" spans="10:10" x14ac:dyDescent="0.3">
      <c r="J92848"/>
    </row>
    <row r="92849" spans="10:10" x14ac:dyDescent="0.3">
      <c r="J92849"/>
    </row>
    <row r="92850" spans="10:10" x14ac:dyDescent="0.3">
      <c r="J92850"/>
    </row>
    <row r="92851" spans="10:10" x14ac:dyDescent="0.3">
      <c r="J92851"/>
    </row>
    <row r="92852" spans="10:10" x14ac:dyDescent="0.3">
      <c r="J92852"/>
    </row>
    <row r="92853" spans="10:10" x14ac:dyDescent="0.3">
      <c r="J92853"/>
    </row>
    <row r="92854" spans="10:10" x14ac:dyDescent="0.3">
      <c r="J92854"/>
    </row>
    <row r="92855" spans="10:10" x14ac:dyDescent="0.3">
      <c r="J92855"/>
    </row>
    <row r="92856" spans="10:10" x14ac:dyDescent="0.3">
      <c r="J92856"/>
    </row>
    <row r="92857" spans="10:10" x14ac:dyDescent="0.3">
      <c r="J92857"/>
    </row>
    <row r="92858" spans="10:10" x14ac:dyDescent="0.3">
      <c r="J92858"/>
    </row>
    <row r="92859" spans="10:10" x14ac:dyDescent="0.3">
      <c r="J92859"/>
    </row>
    <row r="92860" spans="10:10" x14ac:dyDescent="0.3">
      <c r="J92860"/>
    </row>
    <row r="92861" spans="10:10" x14ac:dyDescent="0.3">
      <c r="J92861"/>
    </row>
    <row r="92862" spans="10:10" x14ac:dyDescent="0.3">
      <c r="J92862"/>
    </row>
    <row r="92863" spans="10:10" x14ac:dyDescent="0.3">
      <c r="J92863"/>
    </row>
    <row r="92864" spans="10:10" x14ac:dyDescent="0.3">
      <c r="J92864"/>
    </row>
    <row r="92865" spans="10:10" x14ac:dyDescent="0.3">
      <c r="J92865"/>
    </row>
    <row r="92866" spans="10:10" x14ac:dyDescent="0.3">
      <c r="J92866"/>
    </row>
    <row r="92867" spans="10:10" x14ac:dyDescent="0.3">
      <c r="J92867"/>
    </row>
    <row r="92868" spans="10:10" x14ac:dyDescent="0.3">
      <c r="J92868"/>
    </row>
    <row r="92869" spans="10:10" x14ac:dyDescent="0.3">
      <c r="J92869"/>
    </row>
    <row r="92870" spans="10:10" x14ac:dyDescent="0.3">
      <c r="J92870"/>
    </row>
    <row r="92871" spans="10:10" x14ac:dyDescent="0.3">
      <c r="J92871"/>
    </row>
    <row r="92872" spans="10:10" x14ac:dyDescent="0.3">
      <c r="J92872"/>
    </row>
    <row r="92873" spans="10:10" x14ac:dyDescent="0.3">
      <c r="J92873"/>
    </row>
    <row r="92874" spans="10:10" x14ac:dyDescent="0.3">
      <c r="J92874"/>
    </row>
    <row r="92875" spans="10:10" x14ac:dyDescent="0.3">
      <c r="J92875"/>
    </row>
    <row r="92876" spans="10:10" x14ac:dyDescent="0.3">
      <c r="J92876"/>
    </row>
    <row r="92877" spans="10:10" x14ac:dyDescent="0.3">
      <c r="J92877"/>
    </row>
    <row r="92878" spans="10:10" x14ac:dyDescent="0.3">
      <c r="J92878"/>
    </row>
    <row r="92879" spans="10:10" x14ac:dyDescent="0.3">
      <c r="J92879"/>
    </row>
    <row r="92880" spans="10:10" x14ac:dyDescent="0.3">
      <c r="J92880"/>
    </row>
    <row r="92881" spans="10:10" x14ac:dyDescent="0.3">
      <c r="J92881"/>
    </row>
    <row r="92882" spans="10:10" x14ac:dyDescent="0.3">
      <c r="J92882"/>
    </row>
    <row r="92883" spans="10:10" x14ac:dyDescent="0.3">
      <c r="J92883"/>
    </row>
    <row r="92884" spans="10:10" x14ac:dyDescent="0.3">
      <c r="J92884"/>
    </row>
    <row r="92885" spans="10:10" x14ac:dyDescent="0.3">
      <c r="J92885"/>
    </row>
    <row r="92886" spans="10:10" x14ac:dyDescent="0.3">
      <c r="J92886"/>
    </row>
    <row r="92887" spans="10:10" x14ac:dyDescent="0.3">
      <c r="J92887"/>
    </row>
    <row r="92888" spans="10:10" x14ac:dyDescent="0.3">
      <c r="J92888"/>
    </row>
    <row r="92889" spans="10:10" x14ac:dyDescent="0.3">
      <c r="J92889"/>
    </row>
    <row r="92890" spans="10:10" x14ac:dyDescent="0.3">
      <c r="J92890"/>
    </row>
    <row r="92891" spans="10:10" x14ac:dyDescent="0.3">
      <c r="J92891"/>
    </row>
    <row r="92892" spans="10:10" x14ac:dyDescent="0.3">
      <c r="J92892"/>
    </row>
    <row r="92893" spans="10:10" x14ac:dyDescent="0.3">
      <c r="J92893"/>
    </row>
    <row r="92894" spans="10:10" x14ac:dyDescent="0.3">
      <c r="J92894"/>
    </row>
    <row r="92895" spans="10:10" x14ac:dyDescent="0.3">
      <c r="J92895"/>
    </row>
    <row r="92896" spans="10:10" x14ac:dyDescent="0.3">
      <c r="J92896"/>
    </row>
    <row r="92897" spans="10:10" x14ac:dyDescent="0.3">
      <c r="J92897"/>
    </row>
    <row r="92898" spans="10:10" x14ac:dyDescent="0.3">
      <c r="J92898"/>
    </row>
    <row r="92899" spans="10:10" x14ac:dyDescent="0.3">
      <c r="J92899"/>
    </row>
    <row r="92900" spans="10:10" x14ac:dyDescent="0.3">
      <c r="J92900"/>
    </row>
    <row r="92901" spans="10:10" x14ac:dyDescent="0.3">
      <c r="J92901"/>
    </row>
    <row r="92902" spans="10:10" x14ac:dyDescent="0.3">
      <c r="J92902"/>
    </row>
    <row r="92903" spans="10:10" x14ac:dyDescent="0.3">
      <c r="J92903"/>
    </row>
    <row r="92904" spans="10:10" x14ac:dyDescent="0.3">
      <c r="J92904"/>
    </row>
    <row r="92905" spans="10:10" x14ac:dyDescent="0.3">
      <c r="J92905"/>
    </row>
    <row r="92906" spans="10:10" x14ac:dyDescent="0.3">
      <c r="J92906"/>
    </row>
    <row r="92907" spans="10:10" x14ac:dyDescent="0.3">
      <c r="J92907"/>
    </row>
    <row r="92908" spans="10:10" x14ac:dyDescent="0.3">
      <c r="J92908"/>
    </row>
    <row r="92909" spans="10:10" x14ac:dyDescent="0.3">
      <c r="J92909"/>
    </row>
    <row r="92910" spans="10:10" x14ac:dyDescent="0.3">
      <c r="J92910"/>
    </row>
    <row r="92911" spans="10:10" x14ac:dyDescent="0.3">
      <c r="J92911"/>
    </row>
    <row r="92912" spans="10:10" x14ac:dyDescent="0.3">
      <c r="J92912"/>
    </row>
    <row r="92913" spans="10:10" x14ac:dyDescent="0.3">
      <c r="J92913"/>
    </row>
    <row r="92914" spans="10:10" x14ac:dyDescent="0.3">
      <c r="J92914"/>
    </row>
    <row r="92915" spans="10:10" x14ac:dyDescent="0.3">
      <c r="J92915"/>
    </row>
    <row r="92916" spans="10:10" x14ac:dyDescent="0.3">
      <c r="J92916"/>
    </row>
    <row r="92917" spans="10:10" x14ac:dyDescent="0.3">
      <c r="J92917"/>
    </row>
    <row r="92918" spans="10:10" x14ac:dyDescent="0.3">
      <c r="J92918"/>
    </row>
    <row r="92919" spans="10:10" x14ac:dyDescent="0.3">
      <c r="J92919"/>
    </row>
    <row r="92920" spans="10:10" x14ac:dyDescent="0.3">
      <c r="J92920"/>
    </row>
    <row r="92921" spans="10:10" x14ac:dyDescent="0.3">
      <c r="J92921"/>
    </row>
    <row r="92922" spans="10:10" x14ac:dyDescent="0.3">
      <c r="J92922"/>
    </row>
    <row r="92923" spans="10:10" x14ac:dyDescent="0.3">
      <c r="J92923"/>
    </row>
    <row r="92924" spans="10:10" x14ac:dyDescent="0.3">
      <c r="J92924"/>
    </row>
    <row r="92925" spans="10:10" x14ac:dyDescent="0.3">
      <c r="J92925"/>
    </row>
    <row r="92926" spans="10:10" x14ac:dyDescent="0.3">
      <c r="J92926"/>
    </row>
    <row r="92927" spans="10:10" x14ac:dyDescent="0.3">
      <c r="J92927"/>
    </row>
    <row r="92928" spans="10:10" x14ac:dyDescent="0.3">
      <c r="J92928"/>
    </row>
    <row r="92929" spans="10:10" x14ac:dyDescent="0.3">
      <c r="J92929"/>
    </row>
    <row r="92930" spans="10:10" x14ac:dyDescent="0.3">
      <c r="J92930"/>
    </row>
    <row r="92931" spans="10:10" x14ac:dyDescent="0.3">
      <c r="J92931"/>
    </row>
    <row r="92932" spans="10:10" x14ac:dyDescent="0.3">
      <c r="J92932"/>
    </row>
    <row r="92933" spans="10:10" x14ac:dyDescent="0.3">
      <c r="J92933"/>
    </row>
    <row r="92934" spans="10:10" x14ac:dyDescent="0.3">
      <c r="J92934"/>
    </row>
    <row r="92935" spans="10:10" x14ac:dyDescent="0.3">
      <c r="J92935"/>
    </row>
    <row r="92936" spans="10:10" x14ac:dyDescent="0.3">
      <c r="J92936"/>
    </row>
    <row r="92937" spans="10:10" x14ac:dyDescent="0.3">
      <c r="J92937"/>
    </row>
    <row r="92938" spans="10:10" x14ac:dyDescent="0.3">
      <c r="J92938"/>
    </row>
    <row r="92939" spans="10:10" x14ac:dyDescent="0.3">
      <c r="J92939"/>
    </row>
    <row r="92940" spans="10:10" x14ac:dyDescent="0.3">
      <c r="J92940"/>
    </row>
    <row r="92941" spans="10:10" x14ac:dyDescent="0.3">
      <c r="J92941"/>
    </row>
    <row r="92942" spans="10:10" x14ac:dyDescent="0.3">
      <c r="J92942"/>
    </row>
    <row r="92943" spans="10:10" x14ac:dyDescent="0.3">
      <c r="J92943"/>
    </row>
    <row r="92944" spans="10:10" x14ac:dyDescent="0.3">
      <c r="J92944"/>
    </row>
    <row r="92945" spans="10:10" x14ac:dyDescent="0.3">
      <c r="J92945"/>
    </row>
    <row r="92946" spans="10:10" x14ac:dyDescent="0.3">
      <c r="J92946"/>
    </row>
    <row r="92947" spans="10:10" x14ac:dyDescent="0.3">
      <c r="J92947"/>
    </row>
    <row r="92948" spans="10:10" x14ac:dyDescent="0.3">
      <c r="J92948"/>
    </row>
    <row r="92949" spans="10:10" x14ac:dyDescent="0.3">
      <c r="J92949"/>
    </row>
    <row r="92950" spans="10:10" x14ac:dyDescent="0.3">
      <c r="J92950"/>
    </row>
    <row r="92951" spans="10:10" x14ac:dyDescent="0.3">
      <c r="J92951"/>
    </row>
    <row r="92952" spans="10:10" x14ac:dyDescent="0.3">
      <c r="J92952"/>
    </row>
    <row r="92953" spans="10:10" x14ac:dyDescent="0.3">
      <c r="J92953"/>
    </row>
    <row r="92954" spans="10:10" x14ac:dyDescent="0.3">
      <c r="J92954"/>
    </row>
    <row r="92955" spans="10:10" x14ac:dyDescent="0.3">
      <c r="J92955"/>
    </row>
    <row r="92956" spans="10:10" x14ac:dyDescent="0.3">
      <c r="J92956"/>
    </row>
    <row r="92957" spans="10:10" x14ac:dyDescent="0.3">
      <c r="J92957"/>
    </row>
    <row r="92958" spans="10:10" x14ac:dyDescent="0.3">
      <c r="J92958"/>
    </row>
    <row r="92959" spans="10:10" x14ac:dyDescent="0.3">
      <c r="J92959"/>
    </row>
    <row r="92960" spans="10:10" x14ac:dyDescent="0.3">
      <c r="J92960"/>
    </row>
    <row r="92961" spans="10:10" x14ac:dyDescent="0.3">
      <c r="J92961"/>
    </row>
    <row r="92962" spans="10:10" x14ac:dyDescent="0.3">
      <c r="J92962"/>
    </row>
    <row r="92963" spans="10:10" x14ac:dyDescent="0.3">
      <c r="J92963"/>
    </row>
    <row r="92964" spans="10:10" x14ac:dyDescent="0.3">
      <c r="J92964"/>
    </row>
    <row r="92965" spans="10:10" x14ac:dyDescent="0.3">
      <c r="J92965"/>
    </row>
    <row r="92966" spans="10:10" x14ac:dyDescent="0.3">
      <c r="J92966"/>
    </row>
    <row r="92967" spans="10:10" x14ac:dyDescent="0.3">
      <c r="J92967"/>
    </row>
    <row r="92968" spans="10:10" x14ac:dyDescent="0.3">
      <c r="J92968"/>
    </row>
    <row r="92969" spans="10:10" x14ac:dyDescent="0.3">
      <c r="J92969"/>
    </row>
    <row r="92970" spans="10:10" x14ac:dyDescent="0.3">
      <c r="J92970"/>
    </row>
    <row r="92971" spans="10:10" x14ac:dyDescent="0.3">
      <c r="J92971"/>
    </row>
    <row r="92972" spans="10:10" x14ac:dyDescent="0.3">
      <c r="J92972"/>
    </row>
    <row r="92973" spans="10:10" x14ac:dyDescent="0.3">
      <c r="J92973"/>
    </row>
    <row r="92974" spans="10:10" x14ac:dyDescent="0.3">
      <c r="J92974"/>
    </row>
    <row r="92975" spans="10:10" x14ac:dyDescent="0.3">
      <c r="J92975"/>
    </row>
    <row r="92976" spans="10:10" x14ac:dyDescent="0.3">
      <c r="J92976"/>
    </row>
    <row r="92977" spans="10:10" x14ac:dyDescent="0.3">
      <c r="J92977"/>
    </row>
    <row r="92978" spans="10:10" x14ac:dyDescent="0.3">
      <c r="J92978"/>
    </row>
    <row r="92979" spans="10:10" x14ac:dyDescent="0.3">
      <c r="J92979"/>
    </row>
    <row r="92980" spans="10:10" x14ac:dyDescent="0.3">
      <c r="J92980"/>
    </row>
    <row r="92981" spans="10:10" x14ac:dyDescent="0.3">
      <c r="J92981"/>
    </row>
    <row r="92982" spans="10:10" x14ac:dyDescent="0.3">
      <c r="J92982"/>
    </row>
    <row r="92983" spans="10:10" x14ac:dyDescent="0.3">
      <c r="J92983"/>
    </row>
    <row r="92984" spans="10:10" x14ac:dyDescent="0.3">
      <c r="J92984"/>
    </row>
    <row r="92985" spans="10:10" x14ac:dyDescent="0.3">
      <c r="J92985"/>
    </row>
    <row r="92986" spans="10:10" x14ac:dyDescent="0.3">
      <c r="J92986"/>
    </row>
    <row r="92987" spans="10:10" x14ac:dyDescent="0.3">
      <c r="J92987"/>
    </row>
    <row r="92988" spans="10:10" x14ac:dyDescent="0.3">
      <c r="J92988"/>
    </row>
    <row r="92989" spans="10:10" x14ac:dyDescent="0.3">
      <c r="J92989"/>
    </row>
    <row r="92990" spans="10:10" x14ac:dyDescent="0.3">
      <c r="J92990"/>
    </row>
    <row r="92991" spans="10:10" x14ac:dyDescent="0.3">
      <c r="J92991"/>
    </row>
    <row r="92992" spans="10:10" x14ac:dyDescent="0.3">
      <c r="J92992"/>
    </row>
    <row r="92993" spans="10:10" x14ac:dyDescent="0.3">
      <c r="J92993"/>
    </row>
    <row r="92994" spans="10:10" x14ac:dyDescent="0.3">
      <c r="J92994"/>
    </row>
    <row r="92995" spans="10:10" x14ac:dyDescent="0.3">
      <c r="J92995"/>
    </row>
    <row r="92996" spans="10:10" x14ac:dyDescent="0.3">
      <c r="J92996"/>
    </row>
    <row r="92997" spans="10:10" x14ac:dyDescent="0.3">
      <c r="J92997"/>
    </row>
    <row r="92998" spans="10:10" x14ac:dyDescent="0.3">
      <c r="J92998"/>
    </row>
    <row r="92999" spans="10:10" x14ac:dyDescent="0.3">
      <c r="J92999"/>
    </row>
    <row r="93000" spans="10:10" x14ac:dyDescent="0.3">
      <c r="J93000"/>
    </row>
    <row r="93001" spans="10:10" x14ac:dyDescent="0.3">
      <c r="J93001"/>
    </row>
    <row r="93002" spans="10:10" x14ac:dyDescent="0.3">
      <c r="J93002"/>
    </row>
    <row r="93003" spans="10:10" x14ac:dyDescent="0.3">
      <c r="J93003"/>
    </row>
    <row r="93004" spans="10:10" x14ac:dyDescent="0.3">
      <c r="J93004"/>
    </row>
    <row r="93005" spans="10:10" x14ac:dyDescent="0.3">
      <c r="J93005"/>
    </row>
    <row r="93006" spans="10:10" x14ac:dyDescent="0.3">
      <c r="J93006"/>
    </row>
    <row r="93007" spans="10:10" x14ac:dyDescent="0.3">
      <c r="J93007"/>
    </row>
    <row r="93008" spans="10:10" x14ac:dyDescent="0.3">
      <c r="J93008"/>
    </row>
    <row r="93009" spans="10:10" x14ac:dyDescent="0.3">
      <c r="J93009"/>
    </row>
    <row r="93010" spans="10:10" x14ac:dyDescent="0.3">
      <c r="J93010"/>
    </row>
    <row r="93011" spans="10:10" x14ac:dyDescent="0.3">
      <c r="J93011"/>
    </row>
    <row r="93012" spans="10:10" x14ac:dyDescent="0.3">
      <c r="J93012"/>
    </row>
    <row r="93013" spans="10:10" x14ac:dyDescent="0.3">
      <c r="J93013"/>
    </row>
    <row r="93014" spans="10:10" x14ac:dyDescent="0.3">
      <c r="J93014"/>
    </row>
    <row r="93015" spans="10:10" x14ac:dyDescent="0.3">
      <c r="J93015"/>
    </row>
    <row r="93016" spans="10:10" x14ac:dyDescent="0.3">
      <c r="J93016"/>
    </row>
    <row r="93017" spans="10:10" x14ac:dyDescent="0.3">
      <c r="J93017"/>
    </row>
    <row r="93018" spans="10:10" x14ac:dyDescent="0.3">
      <c r="J93018"/>
    </row>
    <row r="93019" spans="10:10" x14ac:dyDescent="0.3">
      <c r="J93019"/>
    </row>
    <row r="93020" spans="10:10" x14ac:dyDescent="0.3">
      <c r="J93020"/>
    </row>
    <row r="93021" spans="10:10" x14ac:dyDescent="0.3">
      <c r="J93021"/>
    </row>
    <row r="93022" spans="10:10" x14ac:dyDescent="0.3">
      <c r="J93022"/>
    </row>
    <row r="93023" spans="10:10" x14ac:dyDescent="0.3">
      <c r="J93023"/>
    </row>
    <row r="93024" spans="10:10" x14ac:dyDescent="0.3">
      <c r="J93024"/>
    </row>
    <row r="93025" spans="10:10" x14ac:dyDescent="0.3">
      <c r="J93025"/>
    </row>
    <row r="93026" spans="10:10" x14ac:dyDescent="0.3">
      <c r="J93026"/>
    </row>
    <row r="93027" spans="10:10" x14ac:dyDescent="0.3">
      <c r="J93027"/>
    </row>
    <row r="93028" spans="10:10" x14ac:dyDescent="0.3">
      <c r="J93028"/>
    </row>
    <row r="93029" spans="10:10" x14ac:dyDescent="0.3">
      <c r="J93029"/>
    </row>
    <row r="93030" spans="10:10" x14ac:dyDescent="0.3">
      <c r="J93030"/>
    </row>
    <row r="93031" spans="10:10" x14ac:dyDescent="0.3">
      <c r="J93031"/>
    </row>
    <row r="93032" spans="10:10" x14ac:dyDescent="0.3">
      <c r="J93032"/>
    </row>
    <row r="93033" spans="10:10" x14ac:dyDescent="0.3">
      <c r="J93033"/>
    </row>
    <row r="93034" spans="10:10" x14ac:dyDescent="0.3">
      <c r="J93034"/>
    </row>
    <row r="93035" spans="10:10" x14ac:dyDescent="0.3">
      <c r="J93035"/>
    </row>
    <row r="93036" spans="10:10" x14ac:dyDescent="0.3">
      <c r="J93036"/>
    </row>
    <row r="93037" spans="10:10" x14ac:dyDescent="0.3">
      <c r="J93037"/>
    </row>
    <row r="93038" spans="10:10" x14ac:dyDescent="0.3">
      <c r="J93038"/>
    </row>
    <row r="93039" spans="10:10" x14ac:dyDescent="0.3">
      <c r="J93039"/>
    </row>
    <row r="93040" spans="10:10" x14ac:dyDescent="0.3">
      <c r="J93040"/>
    </row>
    <row r="93041" spans="10:10" x14ac:dyDescent="0.3">
      <c r="J93041"/>
    </row>
    <row r="93042" spans="10:10" x14ac:dyDescent="0.3">
      <c r="J93042"/>
    </row>
    <row r="93043" spans="10:10" x14ac:dyDescent="0.3">
      <c r="J93043"/>
    </row>
    <row r="93044" spans="10:10" x14ac:dyDescent="0.3">
      <c r="J93044"/>
    </row>
    <row r="93045" spans="10:10" x14ac:dyDescent="0.3">
      <c r="J93045"/>
    </row>
    <row r="93046" spans="10:10" x14ac:dyDescent="0.3">
      <c r="J93046"/>
    </row>
    <row r="93047" spans="10:10" x14ac:dyDescent="0.3">
      <c r="J93047"/>
    </row>
    <row r="93048" spans="10:10" x14ac:dyDescent="0.3">
      <c r="J93048"/>
    </row>
    <row r="93049" spans="10:10" x14ac:dyDescent="0.3">
      <c r="J93049"/>
    </row>
    <row r="93050" spans="10:10" x14ac:dyDescent="0.3">
      <c r="J93050"/>
    </row>
    <row r="93051" spans="10:10" x14ac:dyDescent="0.3">
      <c r="J93051"/>
    </row>
    <row r="93052" spans="10:10" x14ac:dyDescent="0.3">
      <c r="J93052"/>
    </row>
    <row r="93053" spans="10:10" x14ac:dyDescent="0.3">
      <c r="J93053"/>
    </row>
    <row r="93054" spans="10:10" x14ac:dyDescent="0.3">
      <c r="J93054"/>
    </row>
    <row r="93055" spans="10:10" x14ac:dyDescent="0.3">
      <c r="J93055"/>
    </row>
    <row r="93056" spans="10:10" x14ac:dyDescent="0.3">
      <c r="J93056"/>
    </row>
    <row r="93057" spans="10:10" x14ac:dyDescent="0.3">
      <c r="J93057"/>
    </row>
    <row r="93058" spans="10:10" x14ac:dyDescent="0.3">
      <c r="J93058"/>
    </row>
    <row r="93059" spans="10:10" x14ac:dyDescent="0.3">
      <c r="J93059"/>
    </row>
    <row r="93060" spans="10:10" x14ac:dyDescent="0.3">
      <c r="J93060"/>
    </row>
    <row r="93061" spans="10:10" x14ac:dyDescent="0.3">
      <c r="J93061"/>
    </row>
    <row r="93062" spans="10:10" x14ac:dyDescent="0.3">
      <c r="J93062"/>
    </row>
    <row r="93063" spans="10:10" x14ac:dyDescent="0.3">
      <c r="J93063"/>
    </row>
    <row r="93064" spans="10:10" x14ac:dyDescent="0.3">
      <c r="J93064"/>
    </row>
    <row r="93065" spans="10:10" x14ac:dyDescent="0.3">
      <c r="J93065"/>
    </row>
    <row r="93066" spans="10:10" x14ac:dyDescent="0.3">
      <c r="J93066"/>
    </row>
    <row r="93067" spans="10:10" x14ac:dyDescent="0.3">
      <c r="J93067"/>
    </row>
    <row r="93068" spans="10:10" x14ac:dyDescent="0.3">
      <c r="J93068"/>
    </row>
    <row r="93069" spans="10:10" x14ac:dyDescent="0.3">
      <c r="J93069"/>
    </row>
    <row r="93070" spans="10:10" x14ac:dyDescent="0.3">
      <c r="J93070"/>
    </row>
    <row r="93071" spans="10:10" x14ac:dyDescent="0.3">
      <c r="J93071"/>
    </row>
    <row r="93072" spans="10:10" x14ac:dyDescent="0.3">
      <c r="J93072"/>
    </row>
    <row r="93073" spans="10:10" x14ac:dyDescent="0.3">
      <c r="J93073"/>
    </row>
    <row r="93074" spans="10:10" x14ac:dyDescent="0.3">
      <c r="J93074"/>
    </row>
    <row r="93075" spans="10:10" x14ac:dyDescent="0.3">
      <c r="J93075"/>
    </row>
    <row r="93076" spans="10:10" x14ac:dyDescent="0.3">
      <c r="J93076"/>
    </row>
    <row r="93077" spans="10:10" x14ac:dyDescent="0.3">
      <c r="J93077"/>
    </row>
    <row r="93078" spans="10:10" x14ac:dyDescent="0.3">
      <c r="J93078"/>
    </row>
    <row r="93079" spans="10:10" x14ac:dyDescent="0.3">
      <c r="J93079"/>
    </row>
    <row r="93080" spans="10:10" x14ac:dyDescent="0.3">
      <c r="J93080"/>
    </row>
    <row r="93081" spans="10:10" x14ac:dyDescent="0.3">
      <c r="J93081"/>
    </row>
    <row r="93082" spans="10:10" x14ac:dyDescent="0.3">
      <c r="J93082"/>
    </row>
    <row r="93083" spans="10:10" x14ac:dyDescent="0.3">
      <c r="J93083"/>
    </row>
    <row r="93084" spans="10:10" x14ac:dyDescent="0.3">
      <c r="J93084"/>
    </row>
    <row r="93085" spans="10:10" x14ac:dyDescent="0.3">
      <c r="J93085"/>
    </row>
    <row r="93086" spans="10:10" x14ac:dyDescent="0.3">
      <c r="J93086"/>
    </row>
    <row r="93087" spans="10:10" x14ac:dyDescent="0.3">
      <c r="J93087"/>
    </row>
    <row r="93088" spans="10:10" x14ac:dyDescent="0.3">
      <c r="J93088"/>
    </row>
    <row r="93089" spans="10:10" x14ac:dyDescent="0.3">
      <c r="J93089"/>
    </row>
    <row r="93090" spans="10:10" x14ac:dyDescent="0.3">
      <c r="J93090"/>
    </row>
    <row r="93091" spans="10:10" x14ac:dyDescent="0.3">
      <c r="J93091"/>
    </row>
    <row r="93092" spans="10:10" x14ac:dyDescent="0.3">
      <c r="J93092"/>
    </row>
    <row r="93093" spans="10:10" x14ac:dyDescent="0.3">
      <c r="J93093"/>
    </row>
    <row r="93094" spans="10:10" x14ac:dyDescent="0.3">
      <c r="J93094"/>
    </row>
    <row r="93095" spans="10:10" x14ac:dyDescent="0.3">
      <c r="J93095"/>
    </row>
    <row r="93096" spans="10:10" x14ac:dyDescent="0.3">
      <c r="J93096"/>
    </row>
    <row r="93097" spans="10:10" x14ac:dyDescent="0.3">
      <c r="J93097"/>
    </row>
    <row r="93098" spans="10:10" x14ac:dyDescent="0.3">
      <c r="J93098"/>
    </row>
    <row r="93099" spans="10:10" x14ac:dyDescent="0.3">
      <c r="J93099"/>
    </row>
    <row r="93100" spans="10:10" x14ac:dyDescent="0.3">
      <c r="J93100"/>
    </row>
    <row r="93101" spans="10:10" x14ac:dyDescent="0.3">
      <c r="J93101"/>
    </row>
    <row r="93102" spans="10:10" x14ac:dyDescent="0.3">
      <c r="J93102"/>
    </row>
    <row r="93103" spans="10:10" x14ac:dyDescent="0.3">
      <c r="J93103"/>
    </row>
    <row r="93104" spans="10:10" x14ac:dyDescent="0.3">
      <c r="J93104"/>
    </row>
    <row r="93105" spans="10:10" x14ac:dyDescent="0.3">
      <c r="J93105"/>
    </row>
    <row r="93106" spans="10:10" x14ac:dyDescent="0.3">
      <c r="J93106"/>
    </row>
    <row r="93107" spans="10:10" x14ac:dyDescent="0.3">
      <c r="J93107"/>
    </row>
    <row r="93108" spans="10:10" x14ac:dyDescent="0.3">
      <c r="J93108"/>
    </row>
    <row r="93109" spans="10:10" x14ac:dyDescent="0.3">
      <c r="J93109"/>
    </row>
    <row r="93110" spans="10:10" x14ac:dyDescent="0.3">
      <c r="J93110"/>
    </row>
    <row r="93111" spans="10:10" x14ac:dyDescent="0.3">
      <c r="J93111"/>
    </row>
    <row r="93112" spans="10:10" x14ac:dyDescent="0.3">
      <c r="J93112"/>
    </row>
    <row r="93113" spans="10:10" x14ac:dyDescent="0.3">
      <c r="J93113"/>
    </row>
    <row r="93114" spans="10:10" x14ac:dyDescent="0.3">
      <c r="J93114"/>
    </row>
    <row r="93115" spans="10:10" x14ac:dyDescent="0.3">
      <c r="J93115"/>
    </row>
    <row r="93116" spans="10:10" x14ac:dyDescent="0.3">
      <c r="J93116"/>
    </row>
    <row r="93117" spans="10:10" x14ac:dyDescent="0.3">
      <c r="J93117"/>
    </row>
    <row r="93118" spans="10:10" x14ac:dyDescent="0.3">
      <c r="J93118"/>
    </row>
    <row r="93119" spans="10:10" x14ac:dyDescent="0.3">
      <c r="J93119"/>
    </row>
    <row r="93120" spans="10:10" x14ac:dyDescent="0.3">
      <c r="J93120"/>
    </row>
    <row r="93121" spans="10:10" x14ac:dyDescent="0.3">
      <c r="J93121"/>
    </row>
    <row r="93122" spans="10:10" x14ac:dyDescent="0.3">
      <c r="J93122"/>
    </row>
    <row r="93123" spans="10:10" x14ac:dyDescent="0.3">
      <c r="J93123"/>
    </row>
    <row r="93124" spans="10:10" x14ac:dyDescent="0.3">
      <c r="J93124"/>
    </row>
    <row r="93125" spans="10:10" x14ac:dyDescent="0.3">
      <c r="J93125"/>
    </row>
    <row r="93126" spans="10:10" x14ac:dyDescent="0.3">
      <c r="J93126"/>
    </row>
    <row r="93127" spans="10:10" x14ac:dyDescent="0.3">
      <c r="J93127"/>
    </row>
    <row r="93128" spans="10:10" x14ac:dyDescent="0.3">
      <c r="J93128"/>
    </row>
    <row r="93129" spans="10:10" x14ac:dyDescent="0.3">
      <c r="J93129"/>
    </row>
    <row r="93130" spans="10:10" x14ac:dyDescent="0.3">
      <c r="J93130"/>
    </row>
    <row r="93131" spans="10:10" x14ac:dyDescent="0.3">
      <c r="J93131"/>
    </row>
    <row r="93132" spans="10:10" x14ac:dyDescent="0.3">
      <c r="J93132"/>
    </row>
    <row r="93133" spans="10:10" x14ac:dyDescent="0.3">
      <c r="J93133"/>
    </row>
    <row r="93134" spans="10:10" x14ac:dyDescent="0.3">
      <c r="J93134"/>
    </row>
    <row r="93135" spans="10:10" x14ac:dyDescent="0.3">
      <c r="J93135"/>
    </row>
    <row r="93136" spans="10:10" x14ac:dyDescent="0.3">
      <c r="J93136"/>
    </row>
    <row r="93137" spans="10:10" x14ac:dyDescent="0.3">
      <c r="J93137"/>
    </row>
    <row r="93138" spans="10:10" x14ac:dyDescent="0.3">
      <c r="J93138"/>
    </row>
    <row r="93139" spans="10:10" x14ac:dyDescent="0.3">
      <c r="J93139"/>
    </row>
    <row r="93140" spans="10:10" x14ac:dyDescent="0.3">
      <c r="J93140"/>
    </row>
    <row r="93141" spans="10:10" x14ac:dyDescent="0.3">
      <c r="J93141"/>
    </row>
    <row r="93142" spans="10:10" x14ac:dyDescent="0.3">
      <c r="J93142"/>
    </row>
    <row r="93143" spans="10:10" x14ac:dyDescent="0.3">
      <c r="J93143"/>
    </row>
    <row r="93144" spans="10:10" x14ac:dyDescent="0.3">
      <c r="J93144"/>
    </row>
    <row r="93145" spans="10:10" x14ac:dyDescent="0.3">
      <c r="J93145"/>
    </row>
    <row r="93146" spans="10:10" x14ac:dyDescent="0.3">
      <c r="J93146"/>
    </row>
    <row r="93147" spans="10:10" x14ac:dyDescent="0.3">
      <c r="J93147"/>
    </row>
    <row r="93148" spans="10:10" x14ac:dyDescent="0.3">
      <c r="J93148"/>
    </row>
    <row r="93149" spans="10:10" x14ac:dyDescent="0.3">
      <c r="J93149"/>
    </row>
    <row r="93150" spans="10:10" x14ac:dyDescent="0.3">
      <c r="J93150"/>
    </row>
    <row r="93151" spans="10:10" x14ac:dyDescent="0.3">
      <c r="J93151"/>
    </row>
    <row r="93152" spans="10:10" x14ac:dyDescent="0.3">
      <c r="J93152"/>
    </row>
    <row r="93153" spans="10:10" x14ac:dyDescent="0.3">
      <c r="J93153"/>
    </row>
    <row r="93154" spans="10:10" x14ac:dyDescent="0.3">
      <c r="J93154"/>
    </row>
    <row r="93155" spans="10:10" x14ac:dyDescent="0.3">
      <c r="J93155"/>
    </row>
    <row r="93156" spans="10:10" x14ac:dyDescent="0.3">
      <c r="J93156"/>
    </row>
    <row r="93157" spans="10:10" x14ac:dyDescent="0.3">
      <c r="J93157"/>
    </row>
    <row r="93158" spans="10:10" x14ac:dyDescent="0.3">
      <c r="J93158"/>
    </row>
    <row r="93159" spans="10:10" x14ac:dyDescent="0.3">
      <c r="J93159"/>
    </row>
    <row r="93160" spans="10:10" x14ac:dyDescent="0.3">
      <c r="J93160"/>
    </row>
    <row r="93161" spans="10:10" x14ac:dyDescent="0.3">
      <c r="J93161"/>
    </row>
    <row r="93162" spans="10:10" x14ac:dyDescent="0.3">
      <c r="J93162"/>
    </row>
    <row r="93163" spans="10:10" x14ac:dyDescent="0.3">
      <c r="J93163"/>
    </row>
    <row r="93164" spans="10:10" x14ac:dyDescent="0.3">
      <c r="J93164"/>
    </row>
    <row r="93165" spans="10:10" x14ac:dyDescent="0.3">
      <c r="J93165"/>
    </row>
    <row r="93166" spans="10:10" x14ac:dyDescent="0.3">
      <c r="J93166"/>
    </row>
    <row r="93167" spans="10:10" x14ac:dyDescent="0.3">
      <c r="J93167"/>
    </row>
    <row r="93168" spans="10:10" x14ac:dyDescent="0.3">
      <c r="J93168"/>
    </row>
    <row r="93169" spans="10:10" x14ac:dyDescent="0.3">
      <c r="J93169"/>
    </row>
    <row r="93170" spans="10:10" x14ac:dyDescent="0.3">
      <c r="J93170"/>
    </row>
    <row r="93171" spans="10:10" x14ac:dyDescent="0.3">
      <c r="J93171"/>
    </row>
    <row r="93172" spans="10:10" x14ac:dyDescent="0.3">
      <c r="J93172"/>
    </row>
    <row r="93173" spans="10:10" x14ac:dyDescent="0.3">
      <c r="J93173"/>
    </row>
    <row r="93174" spans="10:10" x14ac:dyDescent="0.3">
      <c r="J93174"/>
    </row>
    <row r="93175" spans="10:10" x14ac:dyDescent="0.3">
      <c r="J93175"/>
    </row>
    <row r="93176" spans="10:10" x14ac:dyDescent="0.3">
      <c r="J93176"/>
    </row>
    <row r="93177" spans="10:10" x14ac:dyDescent="0.3">
      <c r="J93177"/>
    </row>
    <row r="93178" spans="10:10" x14ac:dyDescent="0.3">
      <c r="J93178"/>
    </row>
    <row r="93179" spans="10:10" x14ac:dyDescent="0.3">
      <c r="J93179"/>
    </row>
    <row r="93180" spans="10:10" x14ac:dyDescent="0.3">
      <c r="J93180"/>
    </row>
    <row r="93181" spans="10:10" x14ac:dyDescent="0.3">
      <c r="J93181"/>
    </row>
    <row r="93182" spans="10:10" x14ac:dyDescent="0.3">
      <c r="J93182"/>
    </row>
    <row r="93183" spans="10:10" x14ac:dyDescent="0.3">
      <c r="J93183"/>
    </row>
    <row r="93184" spans="10:10" x14ac:dyDescent="0.3">
      <c r="J93184"/>
    </row>
    <row r="93185" spans="10:10" x14ac:dyDescent="0.3">
      <c r="J93185"/>
    </row>
    <row r="93186" spans="10:10" x14ac:dyDescent="0.3">
      <c r="J93186"/>
    </row>
    <row r="93187" spans="10:10" x14ac:dyDescent="0.3">
      <c r="J93187"/>
    </row>
    <row r="93188" spans="10:10" x14ac:dyDescent="0.3">
      <c r="J93188"/>
    </row>
    <row r="93189" spans="10:10" x14ac:dyDescent="0.3">
      <c r="J93189"/>
    </row>
    <row r="93190" spans="10:10" x14ac:dyDescent="0.3">
      <c r="J93190"/>
    </row>
    <row r="93191" spans="10:10" x14ac:dyDescent="0.3">
      <c r="J93191"/>
    </row>
    <row r="93192" spans="10:10" x14ac:dyDescent="0.3">
      <c r="J93192"/>
    </row>
    <row r="93193" spans="10:10" x14ac:dyDescent="0.3">
      <c r="J93193"/>
    </row>
    <row r="93194" spans="10:10" x14ac:dyDescent="0.3">
      <c r="J93194"/>
    </row>
    <row r="93195" spans="10:10" x14ac:dyDescent="0.3">
      <c r="J93195"/>
    </row>
    <row r="93196" spans="10:10" x14ac:dyDescent="0.3">
      <c r="J93196"/>
    </row>
    <row r="93197" spans="10:10" x14ac:dyDescent="0.3">
      <c r="J93197"/>
    </row>
    <row r="93198" spans="10:10" x14ac:dyDescent="0.3">
      <c r="J93198"/>
    </row>
    <row r="93199" spans="10:10" x14ac:dyDescent="0.3">
      <c r="J93199"/>
    </row>
    <row r="93200" spans="10:10" x14ac:dyDescent="0.3">
      <c r="J93200"/>
    </row>
    <row r="93201" spans="10:10" x14ac:dyDescent="0.3">
      <c r="J93201"/>
    </row>
    <row r="93202" spans="10:10" x14ac:dyDescent="0.3">
      <c r="J93202"/>
    </row>
    <row r="93203" spans="10:10" x14ac:dyDescent="0.3">
      <c r="J93203"/>
    </row>
    <row r="93204" spans="10:10" x14ac:dyDescent="0.3">
      <c r="J93204"/>
    </row>
    <row r="93205" spans="10:10" x14ac:dyDescent="0.3">
      <c r="J93205"/>
    </row>
    <row r="93206" spans="10:10" x14ac:dyDescent="0.3">
      <c r="J93206"/>
    </row>
    <row r="93207" spans="10:10" x14ac:dyDescent="0.3">
      <c r="J93207"/>
    </row>
    <row r="93208" spans="10:10" x14ac:dyDescent="0.3">
      <c r="J93208"/>
    </row>
    <row r="93209" spans="10:10" x14ac:dyDescent="0.3">
      <c r="J93209"/>
    </row>
    <row r="93210" spans="10:10" x14ac:dyDescent="0.3">
      <c r="J93210"/>
    </row>
    <row r="93211" spans="10:10" x14ac:dyDescent="0.3">
      <c r="J93211"/>
    </row>
    <row r="93212" spans="10:10" x14ac:dyDescent="0.3">
      <c r="J93212"/>
    </row>
    <row r="93213" spans="10:10" x14ac:dyDescent="0.3">
      <c r="J93213"/>
    </row>
    <row r="93214" spans="10:10" x14ac:dyDescent="0.3">
      <c r="J93214"/>
    </row>
    <row r="93215" spans="10:10" x14ac:dyDescent="0.3">
      <c r="J93215"/>
    </row>
    <row r="93216" spans="10:10" x14ac:dyDescent="0.3">
      <c r="J93216"/>
    </row>
    <row r="93217" spans="10:10" x14ac:dyDescent="0.3">
      <c r="J93217"/>
    </row>
    <row r="93218" spans="10:10" x14ac:dyDescent="0.3">
      <c r="J93218"/>
    </row>
    <row r="93219" spans="10:10" x14ac:dyDescent="0.3">
      <c r="J93219"/>
    </row>
    <row r="93220" spans="10:10" x14ac:dyDescent="0.3">
      <c r="J93220"/>
    </row>
    <row r="93221" spans="10:10" x14ac:dyDescent="0.3">
      <c r="J93221"/>
    </row>
    <row r="93222" spans="10:10" x14ac:dyDescent="0.3">
      <c r="J93222"/>
    </row>
    <row r="93223" spans="10:10" x14ac:dyDescent="0.3">
      <c r="J93223"/>
    </row>
    <row r="93224" spans="10:10" x14ac:dyDescent="0.3">
      <c r="J93224"/>
    </row>
    <row r="93225" spans="10:10" x14ac:dyDescent="0.3">
      <c r="J93225"/>
    </row>
    <row r="93226" spans="10:10" x14ac:dyDescent="0.3">
      <c r="J93226"/>
    </row>
    <row r="93227" spans="10:10" x14ac:dyDescent="0.3">
      <c r="J93227"/>
    </row>
    <row r="93228" spans="10:10" x14ac:dyDescent="0.3">
      <c r="J93228"/>
    </row>
    <row r="93229" spans="10:10" x14ac:dyDescent="0.3">
      <c r="J93229"/>
    </row>
    <row r="93230" spans="10:10" x14ac:dyDescent="0.3">
      <c r="J93230"/>
    </row>
    <row r="93231" spans="10:10" x14ac:dyDescent="0.3">
      <c r="J93231"/>
    </row>
    <row r="93232" spans="10:10" x14ac:dyDescent="0.3">
      <c r="J93232"/>
    </row>
    <row r="93233" spans="10:10" x14ac:dyDescent="0.3">
      <c r="J93233"/>
    </row>
    <row r="93234" spans="10:10" x14ac:dyDescent="0.3">
      <c r="J93234"/>
    </row>
    <row r="93235" spans="10:10" x14ac:dyDescent="0.3">
      <c r="J93235"/>
    </row>
    <row r="93236" spans="10:10" x14ac:dyDescent="0.3">
      <c r="J93236"/>
    </row>
    <row r="93237" spans="10:10" x14ac:dyDescent="0.3">
      <c r="J93237"/>
    </row>
    <row r="93238" spans="10:10" x14ac:dyDescent="0.3">
      <c r="J93238"/>
    </row>
    <row r="93239" spans="10:10" x14ac:dyDescent="0.3">
      <c r="J93239"/>
    </row>
    <row r="93240" spans="10:10" x14ac:dyDescent="0.3">
      <c r="J93240"/>
    </row>
    <row r="93241" spans="10:10" x14ac:dyDescent="0.3">
      <c r="J93241"/>
    </row>
    <row r="93242" spans="10:10" x14ac:dyDescent="0.3">
      <c r="J93242"/>
    </row>
    <row r="93243" spans="10:10" x14ac:dyDescent="0.3">
      <c r="J93243"/>
    </row>
    <row r="93244" spans="10:10" x14ac:dyDescent="0.3">
      <c r="J93244"/>
    </row>
    <row r="93245" spans="10:10" x14ac:dyDescent="0.3">
      <c r="J93245"/>
    </row>
    <row r="93246" spans="10:10" x14ac:dyDescent="0.3">
      <c r="J93246"/>
    </row>
    <row r="93247" spans="10:10" x14ac:dyDescent="0.3">
      <c r="J93247"/>
    </row>
    <row r="93248" spans="10:10" x14ac:dyDescent="0.3">
      <c r="J93248"/>
    </row>
    <row r="93249" spans="10:10" x14ac:dyDescent="0.3">
      <c r="J93249"/>
    </row>
    <row r="93250" spans="10:10" x14ac:dyDescent="0.3">
      <c r="J93250"/>
    </row>
    <row r="93251" spans="10:10" x14ac:dyDescent="0.3">
      <c r="J93251"/>
    </row>
    <row r="93252" spans="10:10" x14ac:dyDescent="0.3">
      <c r="J93252"/>
    </row>
    <row r="93253" spans="10:10" x14ac:dyDescent="0.3">
      <c r="J93253"/>
    </row>
    <row r="93254" spans="10:10" x14ac:dyDescent="0.3">
      <c r="J93254"/>
    </row>
    <row r="93255" spans="10:10" x14ac:dyDescent="0.3">
      <c r="J93255"/>
    </row>
    <row r="93256" spans="10:10" x14ac:dyDescent="0.3">
      <c r="J93256"/>
    </row>
    <row r="93257" spans="10:10" x14ac:dyDescent="0.3">
      <c r="J93257"/>
    </row>
    <row r="93258" spans="10:10" x14ac:dyDescent="0.3">
      <c r="J93258"/>
    </row>
    <row r="93259" spans="10:10" x14ac:dyDescent="0.3">
      <c r="J93259"/>
    </row>
    <row r="93260" spans="10:10" x14ac:dyDescent="0.3">
      <c r="J93260"/>
    </row>
    <row r="93261" spans="10:10" x14ac:dyDescent="0.3">
      <c r="J93261"/>
    </row>
    <row r="93262" spans="10:10" x14ac:dyDescent="0.3">
      <c r="J93262"/>
    </row>
    <row r="93263" spans="10:10" x14ac:dyDescent="0.3">
      <c r="J93263"/>
    </row>
    <row r="93264" spans="10:10" x14ac:dyDescent="0.3">
      <c r="J93264"/>
    </row>
    <row r="93265" spans="10:10" x14ac:dyDescent="0.3">
      <c r="J93265"/>
    </row>
    <row r="93266" spans="10:10" x14ac:dyDescent="0.3">
      <c r="J93266"/>
    </row>
    <row r="93267" spans="10:10" x14ac:dyDescent="0.3">
      <c r="J93267"/>
    </row>
    <row r="93268" spans="10:10" x14ac:dyDescent="0.3">
      <c r="J93268"/>
    </row>
    <row r="93269" spans="10:10" x14ac:dyDescent="0.3">
      <c r="J93269"/>
    </row>
    <row r="93270" spans="10:10" x14ac:dyDescent="0.3">
      <c r="J93270"/>
    </row>
    <row r="93271" spans="10:10" x14ac:dyDescent="0.3">
      <c r="J93271"/>
    </row>
    <row r="93272" spans="10:10" x14ac:dyDescent="0.3">
      <c r="J93272"/>
    </row>
    <row r="93273" spans="10:10" x14ac:dyDescent="0.3">
      <c r="J93273"/>
    </row>
    <row r="93274" spans="10:10" x14ac:dyDescent="0.3">
      <c r="J93274"/>
    </row>
    <row r="93275" spans="10:10" x14ac:dyDescent="0.3">
      <c r="J93275"/>
    </row>
    <row r="93276" spans="10:10" x14ac:dyDescent="0.3">
      <c r="J93276"/>
    </row>
    <row r="93277" spans="10:10" x14ac:dyDescent="0.3">
      <c r="J93277"/>
    </row>
    <row r="93278" spans="10:10" x14ac:dyDescent="0.3">
      <c r="J93278"/>
    </row>
    <row r="93279" spans="10:10" x14ac:dyDescent="0.3">
      <c r="J93279"/>
    </row>
    <row r="93280" spans="10:10" x14ac:dyDescent="0.3">
      <c r="J93280"/>
    </row>
    <row r="93281" spans="10:10" x14ac:dyDescent="0.3">
      <c r="J93281"/>
    </row>
    <row r="93282" spans="10:10" x14ac:dyDescent="0.3">
      <c r="J93282"/>
    </row>
    <row r="93283" spans="10:10" x14ac:dyDescent="0.3">
      <c r="J93283"/>
    </row>
    <row r="93284" spans="10:10" x14ac:dyDescent="0.3">
      <c r="J93284"/>
    </row>
    <row r="93285" spans="10:10" x14ac:dyDescent="0.3">
      <c r="J93285"/>
    </row>
    <row r="93286" spans="10:10" x14ac:dyDescent="0.3">
      <c r="J93286"/>
    </row>
    <row r="93287" spans="10:10" x14ac:dyDescent="0.3">
      <c r="J93287"/>
    </row>
    <row r="93288" spans="10:10" x14ac:dyDescent="0.3">
      <c r="J93288"/>
    </row>
    <row r="93289" spans="10:10" x14ac:dyDescent="0.3">
      <c r="J93289"/>
    </row>
    <row r="93290" spans="10:10" x14ac:dyDescent="0.3">
      <c r="J93290"/>
    </row>
    <row r="93291" spans="10:10" x14ac:dyDescent="0.3">
      <c r="J93291"/>
    </row>
    <row r="93292" spans="10:10" x14ac:dyDescent="0.3">
      <c r="J93292"/>
    </row>
    <row r="93293" spans="10:10" x14ac:dyDescent="0.3">
      <c r="J93293"/>
    </row>
    <row r="93294" spans="10:10" x14ac:dyDescent="0.3">
      <c r="J93294"/>
    </row>
    <row r="93295" spans="10:10" x14ac:dyDescent="0.3">
      <c r="J93295"/>
    </row>
    <row r="93296" spans="10:10" x14ac:dyDescent="0.3">
      <c r="J93296"/>
    </row>
    <row r="93297" spans="10:10" x14ac:dyDescent="0.3">
      <c r="J93297"/>
    </row>
    <row r="93298" spans="10:10" x14ac:dyDescent="0.3">
      <c r="J93298"/>
    </row>
    <row r="93299" spans="10:10" x14ac:dyDescent="0.3">
      <c r="J93299"/>
    </row>
    <row r="93300" spans="10:10" x14ac:dyDescent="0.3">
      <c r="J93300"/>
    </row>
    <row r="93301" spans="10:10" x14ac:dyDescent="0.3">
      <c r="J93301"/>
    </row>
    <row r="93302" spans="10:10" x14ac:dyDescent="0.3">
      <c r="J93302"/>
    </row>
    <row r="93303" spans="10:10" x14ac:dyDescent="0.3">
      <c r="J93303"/>
    </row>
    <row r="93304" spans="10:10" x14ac:dyDescent="0.3">
      <c r="J93304"/>
    </row>
    <row r="93305" spans="10:10" x14ac:dyDescent="0.3">
      <c r="J93305"/>
    </row>
    <row r="93306" spans="10:10" x14ac:dyDescent="0.3">
      <c r="J93306"/>
    </row>
    <row r="93307" spans="10:10" x14ac:dyDescent="0.3">
      <c r="J93307"/>
    </row>
    <row r="93308" spans="10:10" x14ac:dyDescent="0.3">
      <c r="J93308"/>
    </row>
    <row r="93309" spans="10:10" x14ac:dyDescent="0.3">
      <c r="J93309"/>
    </row>
    <row r="93310" spans="10:10" x14ac:dyDescent="0.3">
      <c r="J93310"/>
    </row>
    <row r="93311" spans="10:10" x14ac:dyDescent="0.3">
      <c r="J93311"/>
    </row>
    <row r="93312" spans="10:10" x14ac:dyDescent="0.3">
      <c r="J93312"/>
    </row>
    <row r="93313" spans="10:10" x14ac:dyDescent="0.3">
      <c r="J93313"/>
    </row>
    <row r="93314" spans="10:10" x14ac:dyDescent="0.3">
      <c r="J93314"/>
    </row>
    <row r="93315" spans="10:10" x14ac:dyDescent="0.3">
      <c r="J93315"/>
    </row>
    <row r="93316" spans="10:10" x14ac:dyDescent="0.3">
      <c r="J93316"/>
    </row>
    <row r="93317" spans="10:10" x14ac:dyDescent="0.3">
      <c r="J93317"/>
    </row>
    <row r="93318" spans="10:10" x14ac:dyDescent="0.3">
      <c r="J93318"/>
    </row>
    <row r="93319" spans="10:10" x14ac:dyDescent="0.3">
      <c r="J93319"/>
    </row>
    <row r="93320" spans="10:10" x14ac:dyDescent="0.3">
      <c r="J93320"/>
    </row>
    <row r="93321" spans="10:10" x14ac:dyDescent="0.3">
      <c r="J93321"/>
    </row>
    <row r="93322" spans="10:10" x14ac:dyDescent="0.3">
      <c r="J93322"/>
    </row>
    <row r="93323" spans="10:10" x14ac:dyDescent="0.3">
      <c r="J93323"/>
    </row>
    <row r="93324" spans="10:10" x14ac:dyDescent="0.3">
      <c r="J93324"/>
    </row>
    <row r="93325" spans="10:10" x14ac:dyDescent="0.3">
      <c r="J93325"/>
    </row>
    <row r="93326" spans="10:10" x14ac:dyDescent="0.3">
      <c r="J93326"/>
    </row>
    <row r="93327" spans="10:10" x14ac:dyDescent="0.3">
      <c r="J93327"/>
    </row>
    <row r="93328" spans="10:10" x14ac:dyDescent="0.3">
      <c r="J93328"/>
    </row>
    <row r="93329" spans="10:10" x14ac:dyDescent="0.3">
      <c r="J93329"/>
    </row>
    <row r="93330" spans="10:10" x14ac:dyDescent="0.3">
      <c r="J93330"/>
    </row>
    <row r="93331" spans="10:10" x14ac:dyDescent="0.3">
      <c r="J93331"/>
    </row>
    <row r="93332" spans="10:10" x14ac:dyDescent="0.3">
      <c r="J93332"/>
    </row>
    <row r="93333" spans="10:10" x14ac:dyDescent="0.3">
      <c r="J93333"/>
    </row>
    <row r="93334" spans="10:10" x14ac:dyDescent="0.3">
      <c r="J93334"/>
    </row>
    <row r="93335" spans="10:10" x14ac:dyDescent="0.3">
      <c r="J93335"/>
    </row>
    <row r="93336" spans="10:10" x14ac:dyDescent="0.3">
      <c r="J93336"/>
    </row>
    <row r="93337" spans="10:10" x14ac:dyDescent="0.3">
      <c r="J93337"/>
    </row>
    <row r="93338" spans="10:10" x14ac:dyDescent="0.3">
      <c r="J93338"/>
    </row>
    <row r="93339" spans="10:10" x14ac:dyDescent="0.3">
      <c r="J93339"/>
    </row>
    <row r="93340" spans="10:10" x14ac:dyDescent="0.3">
      <c r="J93340"/>
    </row>
    <row r="93341" spans="10:10" x14ac:dyDescent="0.3">
      <c r="J93341"/>
    </row>
    <row r="93342" spans="10:10" x14ac:dyDescent="0.3">
      <c r="J93342"/>
    </row>
    <row r="93343" spans="10:10" x14ac:dyDescent="0.3">
      <c r="J93343"/>
    </row>
    <row r="93344" spans="10:10" x14ac:dyDescent="0.3">
      <c r="J93344"/>
    </row>
    <row r="93345" spans="10:10" x14ac:dyDescent="0.3">
      <c r="J93345"/>
    </row>
    <row r="93346" spans="10:10" x14ac:dyDescent="0.3">
      <c r="J93346"/>
    </row>
    <row r="93347" spans="10:10" x14ac:dyDescent="0.3">
      <c r="J93347"/>
    </row>
    <row r="93348" spans="10:10" x14ac:dyDescent="0.3">
      <c r="J93348"/>
    </row>
    <row r="93349" spans="10:10" x14ac:dyDescent="0.3">
      <c r="J93349"/>
    </row>
    <row r="93350" spans="10:10" x14ac:dyDescent="0.3">
      <c r="J93350"/>
    </row>
    <row r="93351" spans="10:10" x14ac:dyDescent="0.3">
      <c r="J93351"/>
    </row>
    <row r="93352" spans="10:10" x14ac:dyDescent="0.3">
      <c r="J93352"/>
    </row>
    <row r="93353" spans="10:10" x14ac:dyDescent="0.3">
      <c r="J93353"/>
    </row>
    <row r="93354" spans="10:10" x14ac:dyDescent="0.3">
      <c r="J93354"/>
    </row>
    <row r="93355" spans="10:10" x14ac:dyDescent="0.3">
      <c r="J93355"/>
    </row>
    <row r="93356" spans="10:10" x14ac:dyDescent="0.3">
      <c r="J93356"/>
    </row>
    <row r="93357" spans="10:10" x14ac:dyDescent="0.3">
      <c r="J93357"/>
    </row>
    <row r="93358" spans="10:10" x14ac:dyDescent="0.3">
      <c r="J93358"/>
    </row>
    <row r="93359" spans="10:10" x14ac:dyDescent="0.3">
      <c r="J93359"/>
    </row>
    <row r="93360" spans="10:10" x14ac:dyDescent="0.3">
      <c r="J93360"/>
    </row>
    <row r="93361" spans="10:10" x14ac:dyDescent="0.3">
      <c r="J93361"/>
    </row>
    <row r="93362" spans="10:10" x14ac:dyDescent="0.3">
      <c r="J93362"/>
    </row>
    <row r="93363" spans="10:10" x14ac:dyDescent="0.3">
      <c r="J93363"/>
    </row>
    <row r="93364" spans="10:10" x14ac:dyDescent="0.3">
      <c r="J93364"/>
    </row>
    <row r="93365" spans="10:10" x14ac:dyDescent="0.3">
      <c r="J93365"/>
    </row>
    <row r="93366" spans="10:10" x14ac:dyDescent="0.3">
      <c r="J93366"/>
    </row>
    <row r="93367" spans="10:10" x14ac:dyDescent="0.3">
      <c r="J93367"/>
    </row>
    <row r="93368" spans="10:10" x14ac:dyDescent="0.3">
      <c r="J93368"/>
    </row>
    <row r="93369" spans="10:10" x14ac:dyDescent="0.3">
      <c r="J93369"/>
    </row>
    <row r="93370" spans="10:10" x14ac:dyDescent="0.3">
      <c r="J93370"/>
    </row>
    <row r="93371" spans="10:10" x14ac:dyDescent="0.3">
      <c r="J93371"/>
    </row>
    <row r="93372" spans="10:10" x14ac:dyDescent="0.3">
      <c r="J93372"/>
    </row>
    <row r="93373" spans="10:10" x14ac:dyDescent="0.3">
      <c r="J93373"/>
    </row>
    <row r="93374" spans="10:10" x14ac:dyDescent="0.3">
      <c r="J93374"/>
    </row>
    <row r="93375" spans="10:10" x14ac:dyDescent="0.3">
      <c r="J93375"/>
    </row>
    <row r="93376" spans="10:10" x14ac:dyDescent="0.3">
      <c r="J93376"/>
    </row>
    <row r="93377" spans="10:10" x14ac:dyDescent="0.3">
      <c r="J93377"/>
    </row>
    <row r="93378" spans="10:10" x14ac:dyDescent="0.3">
      <c r="J93378"/>
    </row>
    <row r="93379" spans="10:10" x14ac:dyDescent="0.3">
      <c r="J93379"/>
    </row>
    <row r="93380" spans="10:10" x14ac:dyDescent="0.3">
      <c r="J93380"/>
    </row>
    <row r="93381" spans="10:10" x14ac:dyDescent="0.3">
      <c r="J93381"/>
    </row>
    <row r="93382" spans="10:10" x14ac:dyDescent="0.3">
      <c r="J93382"/>
    </row>
    <row r="93383" spans="10:10" x14ac:dyDescent="0.3">
      <c r="J93383"/>
    </row>
    <row r="93384" spans="10:10" x14ac:dyDescent="0.3">
      <c r="J93384"/>
    </row>
    <row r="93385" spans="10:10" x14ac:dyDescent="0.3">
      <c r="J93385"/>
    </row>
    <row r="93386" spans="10:10" x14ac:dyDescent="0.3">
      <c r="J93386"/>
    </row>
    <row r="93387" spans="10:10" x14ac:dyDescent="0.3">
      <c r="J93387"/>
    </row>
    <row r="93388" spans="10:10" x14ac:dyDescent="0.3">
      <c r="J93388"/>
    </row>
    <row r="93389" spans="10:10" x14ac:dyDescent="0.3">
      <c r="J93389"/>
    </row>
    <row r="93390" spans="10:10" x14ac:dyDescent="0.3">
      <c r="J93390"/>
    </row>
    <row r="93391" spans="10:10" x14ac:dyDescent="0.3">
      <c r="J93391"/>
    </row>
    <row r="93392" spans="10:10" x14ac:dyDescent="0.3">
      <c r="J93392"/>
    </row>
    <row r="93393" spans="10:10" x14ac:dyDescent="0.3">
      <c r="J93393"/>
    </row>
    <row r="93394" spans="10:10" x14ac:dyDescent="0.3">
      <c r="J93394"/>
    </row>
    <row r="93395" spans="10:10" x14ac:dyDescent="0.3">
      <c r="J93395"/>
    </row>
    <row r="93396" spans="10:10" x14ac:dyDescent="0.3">
      <c r="J93396"/>
    </row>
    <row r="93397" spans="10:10" x14ac:dyDescent="0.3">
      <c r="J93397"/>
    </row>
    <row r="93398" spans="10:10" x14ac:dyDescent="0.3">
      <c r="J93398"/>
    </row>
    <row r="93399" spans="10:10" x14ac:dyDescent="0.3">
      <c r="J93399"/>
    </row>
    <row r="93400" spans="10:10" x14ac:dyDescent="0.3">
      <c r="J93400"/>
    </row>
    <row r="93401" spans="10:10" x14ac:dyDescent="0.3">
      <c r="J93401"/>
    </row>
    <row r="93402" spans="10:10" x14ac:dyDescent="0.3">
      <c r="J93402"/>
    </row>
    <row r="93403" spans="10:10" x14ac:dyDescent="0.3">
      <c r="J93403"/>
    </row>
    <row r="93404" spans="10:10" x14ac:dyDescent="0.3">
      <c r="J93404"/>
    </row>
    <row r="93405" spans="10:10" x14ac:dyDescent="0.3">
      <c r="J93405"/>
    </row>
    <row r="93406" spans="10:10" x14ac:dyDescent="0.3">
      <c r="J93406"/>
    </row>
    <row r="93407" spans="10:10" x14ac:dyDescent="0.3">
      <c r="J93407"/>
    </row>
    <row r="93408" spans="10:10" x14ac:dyDescent="0.3">
      <c r="J93408"/>
    </row>
    <row r="93409" spans="10:10" x14ac:dyDescent="0.3">
      <c r="J93409"/>
    </row>
    <row r="93410" spans="10:10" x14ac:dyDescent="0.3">
      <c r="J93410"/>
    </row>
    <row r="93411" spans="10:10" x14ac:dyDescent="0.3">
      <c r="J93411"/>
    </row>
    <row r="93412" spans="10:10" x14ac:dyDescent="0.3">
      <c r="J93412"/>
    </row>
    <row r="93413" spans="10:10" x14ac:dyDescent="0.3">
      <c r="J93413"/>
    </row>
    <row r="93414" spans="10:10" x14ac:dyDescent="0.3">
      <c r="J93414"/>
    </row>
    <row r="93415" spans="10:10" x14ac:dyDescent="0.3">
      <c r="J93415"/>
    </row>
    <row r="93416" spans="10:10" x14ac:dyDescent="0.3">
      <c r="J93416"/>
    </row>
    <row r="93417" spans="10:10" x14ac:dyDescent="0.3">
      <c r="J93417"/>
    </row>
    <row r="93418" spans="10:10" x14ac:dyDescent="0.3">
      <c r="J93418"/>
    </row>
    <row r="93419" spans="10:10" x14ac:dyDescent="0.3">
      <c r="J93419"/>
    </row>
    <row r="93420" spans="10:10" x14ac:dyDescent="0.3">
      <c r="J93420"/>
    </row>
    <row r="93421" spans="10:10" x14ac:dyDescent="0.3">
      <c r="J93421"/>
    </row>
    <row r="93422" spans="10:10" x14ac:dyDescent="0.3">
      <c r="J93422"/>
    </row>
    <row r="93423" spans="10:10" x14ac:dyDescent="0.3">
      <c r="J93423"/>
    </row>
    <row r="93424" spans="10:10" x14ac:dyDescent="0.3">
      <c r="J93424"/>
    </row>
    <row r="93425" spans="10:10" x14ac:dyDescent="0.3">
      <c r="J93425"/>
    </row>
    <row r="93426" spans="10:10" x14ac:dyDescent="0.3">
      <c r="J93426"/>
    </row>
    <row r="93427" spans="10:10" x14ac:dyDescent="0.3">
      <c r="J93427"/>
    </row>
    <row r="93428" spans="10:10" x14ac:dyDescent="0.3">
      <c r="J93428"/>
    </row>
    <row r="93429" spans="10:10" x14ac:dyDescent="0.3">
      <c r="J93429"/>
    </row>
    <row r="93430" spans="10:10" x14ac:dyDescent="0.3">
      <c r="J93430"/>
    </row>
    <row r="93431" spans="10:10" x14ac:dyDescent="0.3">
      <c r="J93431"/>
    </row>
    <row r="93432" spans="10:10" x14ac:dyDescent="0.3">
      <c r="J93432"/>
    </row>
    <row r="93433" spans="10:10" x14ac:dyDescent="0.3">
      <c r="J93433"/>
    </row>
    <row r="93434" spans="10:10" x14ac:dyDescent="0.3">
      <c r="J93434"/>
    </row>
    <row r="93435" spans="10:10" x14ac:dyDescent="0.3">
      <c r="J93435"/>
    </row>
    <row r="93436" spans="10:10" x14ac:dyDescent="0.3">
      <c r="J93436"/>
    </row>
    <row r="93437" spans="10:10" x14ac:dyDescent="0.3">
      <c r="J93437"/>
    </row>
    <row r="93438" spans="10:10" x14ac:dyDescent="0.3">
      <c r="J93438"/>
    </row>
    <row r="93439" spans="10:10" x14ac:dyDescent="0.3">
      <c r="J93439"/>
    </row>
    <row r="93440" spans="10:10" x14ac:dyDescent="0.3">
      <c r="J93440"/>
    </row>
    <row r="93441" spans="10:10" x14ac:dyDescent="0.3">
      <c r="J93441"/>
    </row>
    <row r="93442" spans="10:10" x14ac:dyDescent="0.3">
      <c r="J93442"/>
    </row>
    <row r="93443" spans="10:10" x14ac:dyDescent="0.3">
      <c r="J93443"/>
    </row>
    <row r="93444" spans="10:10" x14ac:dyDescent="0.3">
      <c r="J93444"/>
    </row>
    <row r="93445" spans="10:10" x14ac:dyDescent="0.3">
      <c r="J93445"/>
    </row>
    <row r="93446" spans="10:10" x14ac:dyDescent="0.3">
      <c r="J93446"/>
    </row>
    <row r="93447" spans="10:10" x14ac:dyDescent="0.3">
      <c r="J93447"/>
    </row>
    <row r="93448" spans="10:10" x14ac:dyDescent="0.3">
      <c r="J93448"/>
    </row>
    <row r="93449" spans="10:10" x14ac:dyDescent="0.3">
      <c r="J93449"/>
    </row>
    <row r="93450" spans="10:10" x14ac:dyDescent="0.3">
      <c r="J93450"/>
    </row>
    <row r="93451" spans="10:10" x14ac:dyDescent="0.3">
      <c r="J93451"/>
    </row>
    <row r="93452" spans="10:10" x14ac:dyDescent="0.3">
      <c r="J93452"/>
    </row>
    <row r="93453" spans="10:10" x14ac:dyDescent="0.3">
      <c r="J93453"/>
    </row>
    <row r="93454" spans="10:10" x14ac:dyDescent="0.3">
      <c r="J93454"/>
    </row>
    <row r="93455" spans="10:10" x14ac:dyDescent="0.3">
      <c r="J93455"/>
    </row>
    <row r="93456" spans="10:10" x14ac:dyDescent="0.3">
      <c r="J93456"/>
    </row>
    <row r="93457" spans="10:10" x14ac:dyDescent="0.3">
      <c r="J93457"/>
    </row>
    <row r="93458" spans="10:10" x14ac:dyDescent="0.3">
      <c r="J93458"/>
    </row>
    <row r="93459" spans="10:10" x14ac:dyDescent="0.3">
      <c r="J93459"/>
    </row>
    <row r="93460" spans="10:10" x14ac:dyDescent="0.3">
      <c r="J93460"/>
    </row>
    <row r="93461" spans="10:10" x14ac:dyDescent="0.3">
      <c r="J93461"/>
    </row>
    <row r="93462" spans="10:10" x14ac:dyDescent="0.3">
      <c r="J93462"/>
    </row>
    <row r="93463" spans="10:10" x14ac:dyDescent="0.3">
      <c r="J93463"/>
    </row>
    <row r="93464" spans="10:10" x14ac:dyDescent="0.3">
      <c r="J93464"/>
    </row>
    <row r="93465" spans="10:10" x14ac:dyDescent="0.3">
      <c r="J93465"/>
    </row>
    <row r="93466" spans="10:10" x14ac:dyDescent="0.3">
      <c r="J93466"/>
    </row>
    <row r="93467" spans="10:10" x14ac:dyDescent="0.3">
      <c r="J93467"/>
    </row>
    <row r="93468" spans="10:10" x14ac:dyDescent="0.3">
      <c r="J93468"/>
    </row>
    <row r="93469" spans="10:10" x14ac:dyDescent="0.3">
      <c r="J93469"/>
    </row>
    <row r="93470" spans="10:10" x14ac:dyDescent="0.3">
      <c r="J93470"/>
    </row>
    <row r="93471" spans="10:10" x14ac:dyDescent="0.3">
      <c r="J93471"/>
    </row>
    <row r="93472" spans="10:10" x14ac:dyDescent="0.3">
      <c r="J93472"/>
    </row>
    <row r="93473" spans="10:10" x14ac:dyDescent="0.3">
      <c r="J93473"/>
    </row>
    <row r="93474" spans="10:10" x14ac:dyDescent="0.3">
      <c r="J93474"/>
    </row>
    <row r="93475" spans="10:10" x14ac:dyDescent="0.3">
      <c r="J93475"/>
    </row>
    <row r="93476" spans="10:10" x14ac:dyDescent="0.3">
      <c r="J93476"/>
    </row>
    <row r="93477" spans="10:10" x14ac:dyDescent="0.3">
      <c r="J93477"/>
    </row>
    <row r="93478" spans="10:10" x14ac:dyDescent="0.3">
      <c r="J93478"/>
    </row>
    <row r="93479" spans="10:10" x14ac:dyDescent="0.3">
      <c r="J93479"/>
    </row>
    <row r="93480" spans="10:10" x14ac:dyDescent="0.3">
      <c r="J93480"/>
    </row>
    <row r="93481" spans="10:10" x14ac:dyDescent="0.3">
      <c r="J93481"/>
    </row>
    <row r="93482" spans="10:10" x14ac:dyDescent="0.3">
      <c r="J93482"/>
    </row>
    <row r="93483" spans="10:10" x14ac:dyDescent="0.3">
      <c r="J93483"/>
    </row>
    <row r="93484" spans="10:10" x14ac:dyDescent="0.3">
      <c r="J93484"/>
    </row>
    <row r="93485" spans="10:10" x14ac:dyDescent="0.3">
      <c r="J93485"/>
    </row>
    <row r="93486" spans="10:10" x14ac:dyDescent="0.3">
      <c r="J93486"/>
    </row>
    <row r="93487" spans="10:10" x14ac:dyDescent="0.3">
      <c r="J93487"/>
    </row>
    <row r="93488" spans="10:10" x14ac:dyDescent="0.3">
      <c r="J93488"/>
    </row>
    <row r="93489" spans="10:10" x14ac:dyDescent="0.3">
      <c r="J93489"/>
    </row>
    <row r="93490" spans="10:10" x14ac:dyDescent="0.3">
      <c r="J93490"/>
    </row>
    <row r="93491" spans="10:10" x14ac:dyDescent="0.3">
      <c r="J93491"/>
    </row>
    <row r="93492" spans="10:10" x14ac:dyDescent="0.3">
      <c r="J93492"/>
    </row>
    <row r="93493" spans="10:10" x14ac:dyDescent="0.3">
      <c r="J93493"/>
    </row>
    <row r="93494" spans="10:10" x14ac:dyDescent="0.3">
      <c r="J93494"/>
    </row>
    <row r="93495" spans="10:10" x14ac:dyDescent="0.3">
      <c r="J93495"/>
    </row>
    <row r="93496" spans="10:10" x14ac:dyDescent="0.3">
      <c r="J93496"/>
    </row>
    <row r="93497" spans="10:10" x14ac:dyDescent="0.3">
      <c r="J93497"/>
    </row>
    <row r="93498" spans="10:10" x14ac:dyDescent="0.3">
      <c r="J93498"/>
    </row>
    <row r="93499" spans="10:10" x14ac:dyDescent="0.3">
      <c r="J93499"/>
    </row>
    <row r="93500" spans="10:10" x14ac:dyDescent="0.3">
      <c r="J93500"/>
    </row>
    <row r="93501" spans="10:10" x14ac:dyDescent="0.3">
      <c r="J93501"/>
    </row>
    <row r="93502" spans="10:10" x14ac:dyDescent="0.3">
      <c r="J93502"/>
    </row>
    <row r="93503" spans="10:10" x14ac:dyDescent="0.3">
      <c r="J93503"/>
    </row>
    <row r="93504" spans="10:10" x14ac:dyDescent="0.3">
      <c r="J93504"/>
    </row>
    <row r="93505" spans="10:10" x14ac:dyDescent="0.3">
      <c r="J93505"/>
    </row>
    <row r="93506" spans="10:10" x14ac:dyDescent="0.3">
      <c r="J93506"/>
    </row>
    <row r="93507" spans="10:10" x14ac:dyDescent="0.3">
      <c r="J93507"/>
    </row>
    <row r="93508" spans="10:10" x14ac:dyDescent="0.3">
      <c r="J93508"/>
    </row>
    <row r="93509" spans="10:10" x14ac:dyDescent="0.3">
      <c r="J93509"/>
    </row>
    <row r="93510" spans="10:10" x14ac:dyDescent="0.3">
      <c r="J93510"/>
    </row>
    <row r="93511" spans="10:10" x14ac:dyDescent="0.3">
      <c r="J93511"/>
    </row>
    <row r="93512" spans="10:10" x14ac:dyDescent="0.3">
      <c r="J93512"/>
    </row>
    <row r="93513" spans="10:10" x14ac:dyDescent="0.3">
      <c r="J93513"/>
    </row>
    <row r="93514" spans="10:10" x14ac:dyDescent="0.3">
      <c r="J93514"/>
    </row>
    <row r="93515" spans="10:10" x14ac:dyDescent="0.3">
      <c r="J93515"/>
    </row>
    <row r="93516" spans="10:10" x14ac:dyDescent="0.3">
      <c r="J93516"/>
    </row>
    <row r="93517" spans="10:10" x14ac:dyDescent="0.3">
      <c r="J93517"/>
    </row>
    <row r="93518" spans="10:10" x14ac:dyDescent="0.3">
      <c r="J93518"/>
    </row>
    <row r="93519" spans="10:10" x14ac:dyDescent="0.3">
      <c r="J93519"/>
    </row>
    <row r="93520" spans="10:10" x14ac:dyDescent="0.3">
      <c r="J93520"/>
    </row>
    <row r="93521" spans="10:10" x14ac:dyDescent="0.3">
      <c r="J93521"/>
    </row>
    <row r="93522" spans="10:10" x14ac:dyDescent="0.3">
      <c r="J93522"/>
    </row>
    <row r="93523" spans="10:10" x14ac:dyDescent="0.3">
      <c r="J93523"/>
    </row>
    <row r="93524" spans="10:10" x14ac:dyDescent="0.3">
      <c r="J93524"/>
    </row>
    <row r="93525" spans="10:10" x14ac:dyDescent="0.3">
      <c r="J93525"/>
    </row>
    <row r="93526" spans="10:10" x14ac:dyDescent="0.3">
      <c r="J93526"/>
    </row>
    <row r="93527" spans="10:10" x14ac:dyDescent="0.3">
      <c r="J93527"/>
    </row>
    <row r="93528" spans="10:10" x14ac:dyDescent="0.3">
      <c r="J93528"/>
    </row>
    <row r="93529" spans="10:10" x14ac:dyDescent="0.3">
      <c r="J93529"/>
    </row>
    <row r="93530" spans="10:10" x14ac:dyDescent="0.3">
      <c r="J93530"/>
    </row>
    <row r="93531" spans="10:10" x14ac:dyDescent="0.3">
      <c r="J93531"/>
    </row>
    <row r="93532" spans="10:10" x14ac:dyDescent="0.3">
      <c r="J93532"/>
    </row>
    <row r="93533" spans="10:10" x14ac:dyDescent="0.3">
      <c r="J93533"/>
    </row>
    <row r="93534" spans="10:10" x14ac:dyDescent="0.3">
      <c r="J93534"/>
    </row>
    <row r="93535" spans="10:10" x14ac:dyDescent="0.3">
      <c r="J93535"/>
    </row>
    <row r="93536" spans="10:10" x14ac:dyDescent="0.3">
      <c r="J93536"/>
    </row>
    <row r="93537" spans="10:10" x14ac:dyDescent="0.3">
      <c r="J93537"/>
    </row>
    <row r="93538" spans="10:10" x14ac:dyDescent="0.3">
      <c r="J93538"/>
    </row>
    <row r="93539" spans="10:10" x14ac:dyDescent="0.3">
      <c r="J93539"/>
    </row>
    <row r="93540" spans="10:10" x14ac:dyDescent="0.3">
      <c r="J93540"/>
    </row>
    <row r="93541" spans="10:10" x14ac:dyDescent="0.3">
      <c r="J93541"/>
    </row>
    <row r="93542" spans="10:10" x14ac:dyDescent="0.3">
      <c r="J93542"/>
    </row>
    <row r="93543" spans="10:10" x14ac:dyDescent="0.3">
      <c r="J93543"/>
    </row>
    <row r="93544" spans="10:10" x14ac:dyDescent="0.3">
      <c r="J93544"/>
    </row>
    <row r="93545" spans="10:10" x14ac:dyDescent="0.3">
      <c r="J93545"/>
    </row>
    <row r="93546" spans="10:10" x14ac:dyDescent="0.3">
      <c r="J93546"/>
    </row>
    <row r="93547" spans="10:10" x14ac:dyDescent="0.3">
      <c r="J93547"/>
    </row>
    <row r="93548" spans="10:10" x14ac:dyDescent="0.3">
      <c r="J93548"/>
    </row>
    <row r="93549" spans="10:10" x14ac:dyDescent="0.3">
      <c r="J93549"/>
    </row>
    <row r="93550" spans="10:10" x14ac:dyDescent="0.3">
      <c r="J93550"/>
    </row>
    <row r="93551" spans="10:10" x14ac:dyDescent="0.3">
      <c r="J93551"/>
    </row>
    <row r="93552" spans="10:10" x14ac:dyDescent="0.3">
      <c r="J93552"/>
    </row>
    <row r="93553" spans="10:10" x14ac:dyDescent="0.3">
      <c r="J93553"/>
    </row>
    <row r="93554" spans="10:10" x14ac:dyDescent="0.3">
      <c r="J93554"/>
    </row>
    <row r="93555" spans="10:10" x14ac:dyDescent="0.3">
      <c r="J93555"/>
    </row>
    <row r="93556" spans="10:10" x14ac:dyDescent="0.3">
      <c r="J93556"/>
    </row>
    <row r="93557" spans="10:10" x14ac:dyDescent="0.3">
      <c r="J93557"/>
    </row>
    <row r="93558" spans="10:10" x14ac:dyDescent="0.3">
      <c r="J93558"/>
    </row>
    <row r="93559" spans="10:10" x14ac:dyDescent="0.3">
      <c r="J93559"/>
    </row>
    <row r="93560" spans="10:10" x14ac:dyDescent="0.3">
      <c r="J93560"/>
    </row>
    <row r="93561" spans="10:10" x14ac:dyDescent="0.3">
      <c r="J93561"/>
    </row>
    <row r="93562" spans="10:10" x14ac:dyDescent="0.3">
      <c r="J93562"/>
    </row>
    <row r="93563" spans="10:10" x14ac:dyDescent="0.3">
      <c r="J93563"/>
    </row>
    <row r="93564" spans="10:10" x14ac:dyDescent="0.3">
      <c r="J93564"/>
    </row>
    <row r="93565" spans="10:10" x14ac:dyDescent="0.3">
      <c r="J93565"/>
    </row>
    <row r="93566" spans="10:10" x14ac:dyDescent="0.3">
      <c r="J93566"/>
    </row>
    <row r="93567" spans="10:10" x14ac:dyDescent="0.3">
      <c r="J93567"/>
    </row>
    <row r="93568" spans="10:10" x14ac:dyDescent="0.3">
      <c r="J93568"/>
    </row>
    <row r="93569" spans="10:10" x14ac:dyDescent="0.3">
      <c r="J93569"/>
    </row>
    <row r="93570" spans="10:10" x14ac:dyDescent="0.3">
      <c r="J93570"/>
    </row>
    <row r="93571" spans="10:10" x14ac:dyDescent="0.3">
      <c r="J93571"/>
    </row>
    <row r="93572" spans="10:10" x14ac:dyDescent="0.3">
      <c r="J93572"/>
    </row>
    <row r="93573" spans="10:10" x14ac:dyDescent="0.3">
      <c r="J93573"/>
    </row>
    <row r="93574" spans="10:10" x14ac:dyDescent="0.3">
      <c r="J93574"/>
    </row>
    <row r="93575" spans="10:10" x14ac:dyDescent="0.3">
      <c r="J93575"/>
    </row>
    <row r="93576" spans="10:10" x14ac:dyDescent="0.3">
      <c r="J93576"/>
    </row>
    <row r="93577" spans="10:10" x14ac:dyDescent="0.3">
      <c r="J93577"/>
    </row>
    <row r="93578" spans="10:10" x14ac:dyDescent="0.3">
      <c r="J93578"/>
    </row>
    <row r="93579" spans="10:10" x14ac:dyDescent="0.3">
      <c r="J93579"/>
    </row>
    <row r="93580" spans="10:10" x14ac:dyDescent="0.3">
      <c r="J93580"/>
    </row>
    <row r="93581" spans="10:10" x14ac:dyDescent="0.3">
      <c r="J93581"/>
    </row>
    <row r="93582" spans="10:10" x14ac:dyDescent="0.3">
      <c r="J93582"/>
    </row>
    <row r="93583" spans="10:10" x14ac:dyDescent="0.3">
      <c r="J93583"/>
    </row>
    <row r="93584" spans="10:10" x14ac:dyDescent="0.3">
      <c r="J93584"/>
    </row>
    <row r="93585" spans="10:10" x14ac:dyDescent="0.3">
      <c r="J93585"/>
    </row>
    <row r="93586" spans="10:10" x14ac:dyDescent="0.3">
      <c r="J93586"/>
    </row>
    <row r="93587" spans="10:10" x14ac:dyDescent="0.3">
      <c r="J93587"/>
    </row>
    <row r="93588" spans="10:10" x14ac:dyDescent="0.3">
      <c r="J93588"/>
    </row>
    <row r="93589" spans="10:10" x14ac:dyDescent="0.3">
      <c r="J93589"/>
    </row>
    <row r="93590" spans="10:10" x14ac:dyDescent="0.3">
      <c r="J93590"/>
    </row>
    <row r="93591" spans="10:10" x14ac:dyDescent="0.3">
      <c r="J93591"/>
    </row>
    <row r="93592" spans="10:10" x14ac:dyDescent="0.3">
      <c r="J93592"/>
    </row>
    <row r="93593" spans="10:10" x14ac:dyDescent="0.3">
      <c r="J93593"/>
    </row>
    <row r="93594" spans="10:10" x14ac:dyDescent="0.3">
      <c r="J93594"/>
    </row>
    <row r="93595" spans="10:10" x14ac:dyDescent="0.3">
      <c r="J93595"/>
    </row>
    <row r="93596" spans="10:10" x14ac:dyDescent="0.3">
      <c r="J93596"/>
    </row>
    <row r="93597" spans="10:10" x14ac:dyDescent="0.3">
      <c r="J93597"/>
    </row>
    <row r="93598" spans="10:10" x14ac:dyDescent="0.3">
      <c r="J93598"/>
    </row>
    <row r="93599" spans="10:10" x14ac:dyDescent="0.3">
      <c r="J93599"/>
    </row>
    <row r="93600" spans="10:10" x14ac:dyDescent="0.3">
      <c r="J93600"/>
    </row>
    <row r="93601" spans="10:10" x14ac:dyDescent="0.3">
      <c r="J93601"/>
    </row>
    <row r="93602" spans="10:10" x14ac:dyDescent="0.3">
      <c r="J93602"/>
    </row>
    <row r="93603" spans="10:10" x14ac:dyDescent="0.3">
      <c r="J93603"/>
    </row>
    <row r="93604" spans="10:10" x14ac:dyDescent="0.3">
      <c r="J93604"/>
    </row>
    <row r="93605" spans="10:10" x14ac:dyDescent="0.3">
      <c r="J93605"/>
    </row>
    <row r="93606" spans="10:10" x14ac:dyDescent="0.3">
      <c r="J93606"/>
    </row>
    <row r="93607" spans="10:10" x14ac:dyDescent="0.3">
      <c r="J93607"/>
    </row>
    <row r="93608" spans="10:10" x14ac:dyDescent="0.3">
      <c r="J93608"/>
    </row>
    <row r="93609" spans="10:10" x14ac:dyDescent="0.3">
      <c r="J93609"/>
    </row>
    <row r="93610" spans="10:10" x14ac:dyDescent="0.3">
      <c r="J93610"/>
    </row>
    <row r="93611" spans="10:10" x14ac:dyDescent="0.3">
      <c r="J93611"/>
    </row>
    <row r="93612" spans="10:10" x14ac:dyDescent="0.3">
      <c r="J93612"/>
    </row>
    <row r="93613" spans="10:10" x14ac:dyDescent="0.3">
      <c r="J93613"/>
    </row>
    <row r="93614" spans="10:10" x14ac:dyDescent="0.3">
      <c r="J93614"/>
    </row>
    <row r="93615" spans="10:10" x14ac:dyDescent="0.3">
      <c r="J93615"/>
    </row>
    <row r="93616" spans="10:10" x14ac:dyDescent="0.3">
      <c r="J93616"/>
    </row>
    <row r="93617" spans="10:10" x14ac:dyDescent="0.3">
      <c r="J93617"/>
    </row>
    <row r="93618" spans="10:10" x14ac:dyDescent="0.3">
      <c r="J93618"/>
    </row>
    <row r="93619" spans="10:10" x14ac:dyDescent="0.3">
      <c r="J93619"/>
    </row>
    <row r="93620" spans="10:10" x14ac:dyDescent="0.3">
      <c r="J93620"/>
    </row>
    <row r="93621" spans="10:10" x14ac:dyDescent="0.3">
      <c r="J93621"/>
    </row>
    <row r="93622" spans="10:10" x14ac:dyDescent="0.3">
      <c r="J93622"/>
    </row>
    <row r="93623" spans="10:10" x14ac:dyDescent="0.3">
      <c r="J93623"/>
    </row>
    <row r="93624" spans="10:10" x14ac:dyDescent="0.3">
      <c r="J93624"/>
    </row>
    <row r="93625" spans="10:10" x14ac:dyDescent="0.3">
      <c r="J93625"/>
    </row>
    <row r="93626" spans="10:10" x14ac:dyDescent="0.3">
      <c r="J93626"/>
    </row>
    <row r="93627" spans="10:10" x14ac:dyDescent="0.3">
      <c r="J93627"/>
    </row>
    <row r="93628" spans="10:10" x14ac:dyDescent="0.3">
      <c r="J93628"/>
    </row>
    <row r="93629" spans="10:10" x14ac:dyDescent="0.3">
      <c r="J93629"/>
    </row>
    <row r="93630" spans="10:10" x14ac:dyDescent="0.3">
      <c r="J93630"/>
    </row>
    <row r="93631" spans="10:10" x14ac:dyDescent="0.3">
      <c r="J93631"/>
    </row>
    <row r="93632" spans="10:10" x14ac:dyDescent="0.3">
      <c r="J93632"/>
    </row>
    <row r="93633" spans="10:10" x14ac:dyDescent="0.3">
      <c r="J93633"/>
    </row>
    <row r="93634" spans="10:10" x14ac:dyDescent="0.3">
      <c r="J93634"/>
    </row>
    <row r="93635" spans="10:10" x14ac:dyDescent="0.3">
      <c r="J93635"/>
    </row>
    <row r="93636" spans="10:10" x14ac:dyDescent="0.3">
      <c r="J93636"/>
    </row>
    <row r="93637" spans="10:10" x14ac:dyDescent="0.3">
      <c r="J93637"/>
    </row>
    <row r="93638" spans="10:10" x14ac:dyDescent="0.3">
      <c r="J93638"/>
    </row>
    <row r="93639" spans="10:10" x14ac:dyDescent="0.3">
      <c r="J93639"/>
    </row>
    <row r="93640" spans="10:10" x14ac:dyDescent="0.3">
      <c r="J93640"/>
    </row>
    <row r="93641" spans="10:10" x14ac:dyDescent="0.3">
      <c r="J93641"/>
    </row>
    <row r="93642" spans="10:10" x14ac:dyDescent="0.3">
      <c r="J93642"/>
    </row>
    <row r="93643" spans="10:10" x14ac:dyDescent="0.3">
      <c r="J93643"/>
    </row>
    <row r="93644" spans="10:10" x14ac:dyDescent="0.3">
      <c r="J93644"/>
    </row>
    <row r="93645" spans="10:10" x14ac:dyDescent="0.3">
      <c r="J93645"/>
    </row>
    <row r="93646" spans="10:10" x14ac:dyDescent="0.3">
      <c r="J93646"/>
    </row>
    <row r="93647" spans="10:10" x14ac:dyDescent="0.3">
      <c r="J93647"/>
    </row>
    <row r="93648" spans="10:10" x14ac:dyDescent="0.3">
      <c r="J93648"/>
    </row>
    <row r="93649" spans="10:10" x14ac:dyDescent="0.3">
      <c r="J93649"/>
    </row>
    <row r="93650" spans="10:10" x14ac:dyDescent="0.3">
      <c r="J93650"/>
    </row>
    <row r="93651" spans="10:10" x14ac:dyDescent="0.3">
      <c r="J93651"/>
    </row>
    <row r="93652" spans="10:10" x14ac:dyDescent="0.3">
      <c r="J93652"/>
    </row>
    <row r="93653" spans="10:10" x14ac:dyDescent="0.3">
      <c r="J93653"/>
    </row>
    <row r="93654" spans="10:10" x14ac:dyDescent="0.3">
      <c r="J93654"/>
    </row>
    <row r="93655" spans="10:10" x14ac:dyDescent="0.3">
      <c r="J93655"/>
    </row>
    <row r="93656" spans="10:10" x14ac:dyDescent="0.3">
      <c r="J93656"/>
    </row>
    <row r="93657" spans="10:10" x14ac:dyDescent="0.3">
      <c r="J93657"/>
    </row>
    <row r="93658" spans="10:10" x14ac:dyDescent="0.3">
      <c r="J93658"/>
    </row>
    <row r="93659" spans="10:10" x14ac:dyDescent="0.3">
      <c r="J93659"/>
    </row>
    <row r="93660" spans="10:10" x14ac:dyDescent="0.3">
      <c r="J93660"/>
    </row>
    <row r="93661" spans="10:10" x14ac:dyDescent="0.3">
      <c r="J93661"/>
    </row>
    <row r="93662" spans="10:10" x14ac:dyDescent="0.3">
      <c r="J93662"/>
    </row>
    <row r="93663" spans="10:10" x14ac:dyDescent="0.3">
      <c r="J93663"/>
    </row>
    <row r="93664" spans="10:10" x14ac:dyDescent="0.3">
      <c r="J93664"/>
    </row>
    <row r="93665" spans="10:10" x14ac:dyDescent="0.3">
      <c r="J93665"/>
    </row>
    <row r="93666" spans="10:10" x14ac:dyDescent="0.3">
      <c r="J93666"/>
    </row>
    <row r="93667" spans="10:10" x14ac:dyDescent="0.3">
      <c r="J93667"/>
    </row>
    <row r="93668" spans="10:10" x14ac:dyDescent="0.3">
      <c r="J93668"/>
    </row>
    <row r="93669" spans="10:10" x14ac:dyDescent="0.3">
      <c r="J93669"/>
    </row>
    <row r="93670" spans="10:10" x14ac:dyDescent="0.3">
      <c r="J93670"/>
    </row>
    <row r="93671" spans="10:10" x14ac:dyDescent="0.3">
      <c r="J93671"/>
    </row>
    <row r="93672" spans="10:10" x14ac:dyDescent="0.3">
      <c r="J93672"/>
    </row>
    <row r="93673" spans="10:10" x14ac:dyDescent="0.3">
      <c r="J93673"/>
    </row>
    <row r="93674" spans="10:10" x14ac:dyDescent="0.3">
      <c r="J93674"/>
    </row>
    <row r="93675" spans="10:10" x14ac:dyDescent="0.3">
      <c r="J93675"/>
    </row>
    <row r="93676" spans="10:10" x14ac:dyDescent="0.3">
      <c r="J93676"/>
    </row>
    <row r="93677" spans="10:10" x14ac:dyDescent="0.3">
      <c r="J93677"/>
    </row>
    <row r="93678" spans="10:10" x14ac:dyDescent="0.3">
      <c r="J93678"/>
    </row>
    <row r="93679" spans="10:10" x14ac:dyDescent="0.3">
      <c r="J93679"/>
    </row>
    <row r="93680" spans="10:10" x14ac:dyDescent="0.3">
      <c r="J93680"/>
    </row>
    <row r="93681" spans="10:10" x14ac:dyDescent="0.3">
      <c r="J93681"/>
    </row>
    <row r="93682" spans="10:10" x14ac:dyDescent="0.3">
      <c r="J93682"/>
    </row>
    <row r="93683" spans="10:10" x14ac:dyDescent="0.3">
      <c r="J93683"/>
    </row>
    <row r="93684" spans="10:10" x14ac:dyDescent="0.3">
      <c r="J93684"/>
    </row>
    <row r="93685" spans="10:10" x14ac:dyDescent="0.3">
      <c r="J93685"/>
    </row>
    <row r="93686" spans="10:10" x14ac:dyDescent="0.3">
      <c r="J93686"/>
    </row>
    <row r="93687" spans="10:10" x14ac:dyDescent="0.3">
      <c r="J93687"/>
    </row>
    <row r="93688" spans="10:10" x14ac:dyDescent="0.3">
      <c r="J93688"/>
    </row>
    <row r="93689" spans="10:10" x14ac:dyDescent="0.3">
      <c r="J93689"/>
    </row>
    <row r="93690" spans="10:10" x14ac:dyDescent="0.3">
      <c r="J93690"/>
    </row>
    <row r="93691" spans="10:10" x14ac:dyDescent="0.3">
      <c r="J93691"/>
    </row>
    <row r="93692" spans="10:10" x14ac:dyDescent="0.3">
      <c r="J93692"/>
    </row>
    <row r="93693" spans="10:10" x14ac:dyDescent="0.3">
      <c r="J93693"/>
    </row>
    <row r="93694" spans="10:10" x14ac:dyDescent="0.3">
      <c r="J93694"/>
    </row>
    <row r="93695" spans="10:10" x14ac:dyDescent="0.3">
      <c r="J93695"/>
    </row>
    <row r="93696" spans="10:10" x14ac:dyDescent="0.3">
      <c r="J93696"/>
    </row>
    <row r="93697" spans="10:10" x14ac:dyDescent="0.3">
      <c r="J93697"/>
    </row>
    <row r="93698" spans="10:10" x14ac:dyDescent="0.3">
      <c r="J93698"/>
    </row>
    <row r="93699" spans="10:10" x14ac:dyDescent="0.3">
      <c r="J93699"/>
    </row>
    <row r="93700" spans="10:10" x14ac:dyDescent="0.3">
      <c r="J93700"/>
    </row>
    <row r="93701" spans="10:10" x14ac:dyDescent="0.3">
      <c r="J93701"/>
    </row>
    <row r="93702" spans="10:10" x14ac:dyDescent="0.3">
      <c r="J93702"/>
    </row>
    <row r="93703" spans="10:10" x14ac:dyDescent="0.3">
      <c r="J93703"/>
    </row>
    <row r="93704" spans="10:10" x14ac:dyDescent="0.3">
      <c r="J93704"/>
    </row>
    <row r="93705" spans="10:10" x14ac:dyDescent="0.3">
      <c r="J93705"/>
    </row>
    <row r="93706" spans="10:10" x14ac:dyDescent="0.3">
      <c r="J93706"/>
    </row>
    <row r="93707" spans="10:10" x14ac:dyDescent="0.3">
      <c r="J93707"/>
    </row>
    <row r="93708" spans="10:10" x14ac:dyDescent="0.3">
      <c r="J93708"/>
    </row>
    <row r="93709" spans="10:10" x14ac:dyDescent="0.3">
      <c r="J93709"/>
    </row>
    <row r="93710" spans="10:10" x14ac:dyDescent="0.3">
      <c r="J93710"/>
    </row>
    <row r="93711" spans="10:10" x14ac:dyDescent="0.3">
      <c r="J93711"/>
    </row>
    <row r="93712" spans="10:10" x14ac:dyDescent="0.3">
      <c r="J93712"/>
    </row>
    <row r="93713" spans="10:10" x14ac:dyDescent="0.3">
      <c r="J93713"/>
    </row>
    <row r="93714" spans="10:10" x14ac:dyDescent="0.3">
      <c r="J93714"/>
    </row>
    <row r="93715" spans="10:10" x14ac:dyDescent="0.3">
      <c r="J93715"/>
    </row>
    <row r="93716" spans="10:10" x14ac:dyDescent="0.3">
      <c r="J93716"/>
    </row>
    <row r="93717" spans="10:10" x14ac:dyDescent="0.3">
      <c r="J93717"/>
    </row>
    <row r="93718" spans="10:10" x14ac:dyDescent="0.3">
      <c r="J93718"/>
    </row>
    <row r="93719" spans="10:10" x14ac:dyDescent="0.3">
      <c r="J93719"/>
    </row>
    <row r="93720" spans="10:10" x14ac:dyDescent="0.3">
      <c r="J93720"/>
    </row>
    <row r="93721" spans="10:10" x14ac:dyDescent="0.3">
      <c r="J93721"/>
    </row>
    <row r="93722" spans="10:10" x14ac:dyDescent="0.3">
      <c r="J93722"/>
    </row>
    <row r="93723" spans="10:10" x14ac:dyDescent="0.3">
      <c r="J93723"/>
    </row>
    <row r="93724" spans="10:10" x14ac:dyDescent="0.3">
      <c r="J93724"/>
    </row>
    <row r="93725" spans="10:10" x14ac:dyDescent="0.3">
      <c r="J93725"/>
    </row>
    <row r="93726" spans="10:10" x14ac:dyDescent="0.3">
      <c r="J93726"/>
    </row>
    <row r="93727" spans="10:10" x14ac:dyDescent="0.3">
      <c r="J93727"/>
    </row>
    <row r="93728" spans="10:10" x14ac:dyDescent="0.3">
      <c r="J93728"/>
    </row>
    <row r="93729" spans="10:10" x14ac:dyDescent="0.3">
      <c r="J93729"/>
    </row>
    <row r="93730" spans="10:10" x14ac:dyDescent="0.3">
      <c r="J93730"/>
    </row>
    <row r="93731" spans="10:10" x14ac:dyDescent="0.3">
      <c r="J93731"/>
    </row>
    <row r="93732" spans="10:10" x14ac:dyDescent="0.3">
      <c r="J93732"/>
    </row>
    <row r="93733" spans="10:10" x14ac:dyDescent="0.3">
      <c r="J93733"/>
    </row>
    <row r="93734" spans="10:10" x14ac:dyDescent="0.3">
      <c r="J93734"/>
    </row>
    <row r="93735" spans="10:10" x14ac:dyDescent="0.3">
      <c r="J93735"/>
    </row>
    <row r="93736" spans="10:10" x14ac:dyDescent="0.3">
      <c r="J93736"/>
    </row>
    <row r="93737" spans="10:10" x14ac:dyDescent="0.3">
      <c r="J93737"/>
    </row>
    <row r="93738" spans="10:10" x14ac:dyDescent="0.3">
      <c r="J93738"/>
    </row>
    <row r="93739" spans="10:10" x14ac:dyDescent="0.3">
      <c r="J93739"/>
    </row>
    <row r="93740" spans="10:10" x14ac:dyDescent="0.3">
      <c r="J93740"/>
    </row>
    <row r="93741" spans="10:10" x14ac:dyDescent="0.3">
      <c r="J93741"/>
    </row>
    <row r="93742" spans="10:10" x14ac:dyDescent="0.3">
      <c r="J93742"/>
    </row>
    <row r="93743" spans="10:10" x14ac:dyDescent="0.3">
      <c r="J93743"/>
    </row>
    <row r="93744" spans="10:10" x14ac:dyDescent="0.3">
      <c r="J93744"/>
    </row>
    <row r="93745" spans="10:10" x14ac:dyDescent="0.3">
      <c r="J93745"/>
    </row>
    <row r="93746" spans="10:10" x14ac:dyDescent="0.3">
      <c r="J93746"/>
    </row>
    <row r="93747" spans="10:10" x14ac:dyDescent="0.3">
      <c r="J93747"/>
    </row>
    <row r="93748" spans="10:10" x14ac:dyDescent="0.3">
      <c r="J93748"/>
    </row>
    <row r="93749" spans="10:10" x14ac:dyDescent="0.3">
      <c r="J93749"/>
    </row>
    <row r="93750" spans="10:10" x14ac:dyDescent="0.3">
      <c r="J93750"/>
    </row>
    <row r="93751" spans="10:10" x14ac:dyDescent="0.3">
      <c r="J93751"/>
    </row>
    <row r="93752" spans="10:10" x14ac:dyDescent="0.3">
      <c r="J93752"/>
    </row>
    <row r="93753" spans="10:10" x14ac:dyDescent="0.3">
      <c r="J93753"/>
    </row>
    <row r="93754" spans="10:10" x14ac:dyDescent="0.3">
      <c r="J93754"/>
    </row>
    <row r="93755" spans="10:10" x14ac:dyDescent="0.3">
      <c r="J93755"/>
    </row>
    <row r="93756" spans="10:10" x14ac:dyDescent="0.3">
      <c r="J93756"/>
    </row>
    <row r="93757" spans="10:10" x14ac:dyDescent="0.3">
      <c r="J93757"/>
    </row>
    <row r="93758" spans="10:10" x14ac:dyDescent="0.3">
      <c r="J93758"/>
    </row>
    <row r="93759" spans="10:10" x14ac:dyDescent="0.3">
      <c r="J93759"/>
    </row>
    <row r="93760" spans="10:10" x14ac:dyDescent="0.3">
      <c r="J93760"/>
    </row>
    <row r="93761" spans="10:10" x14ac:dyDescent="0.3">
      <c r="J93761"/>
    </row>
    <row r="93762" spans="10:10" x14ac:dyDescent="0.3">
      <c r="J93762"/>
    </row>
    <row r="93763" spans="10:10" x14ac:dyDescent="0.3">
      <c r="J93763"/>
    </row>
    <row r="93764" spans="10:10" x14ac:dyDescent="0.3">
      <c r="J93764"/>
    </row>
    <row r="93765" spans="10:10" x14ac:dyDescent="0.3">
      <c r="J93765"/>
    </row>
    <row r="93766" spans="10:10" x14ac:dyDescent="0.3">
      <c r="J93766"/>
    </row>
    <row r="93767" spans="10:10" x14ac:dyDescent="0.3">
      <c r="J93767"/>
    </row>
    <row r="93768" spans="10:10" x14ac:dyDescent="0.3">
      <c r="J93768"/>
    </row>
    <row r="93769" spans="10:10" x14ac:dyDescent="0.3">
      <c r="J93769"/>
    </row>
    <row r="93770" spans="10:10" x14ac:dyDescent="0.3">
      <c r="J93770"/>
    </row>
    <row r="93771" spans="10:10" x14ac:dyDescent="0.3">
      <c r="J93771"/>
    </row>
    <row r="93772" spans="10:10" x14ac:dyDescent="0.3">
      <c r="J93772"/>
    </row>
    <row r="93773" spans="10:10" x14ac:dyDescent="0.3">
      <c r="J93773"/>
    </row>
    <row r="93774" spans="10:10" x14ac:dyDescent="0.3">
      <c r="J93774"/>
    </row>
    <row r="93775" spans="10:10" x14ac:dyDescent="0.3">
      <c r="J93775"/>
    </row>
    <row r="93776" spans="10:10" x14ac:dyDescent="0.3">
      <c r="J93776"/>
    </row>
    <row r="93777" spans="10:10" x14ac:dyDescent="0.3">
      <c r="J93777"/>
    </row>
    <row r="93778" spans="10:10" x14ac:dyDescent="0.3">
      <c r="J93778"/>
    </row>
    <row r="93779" spans="10:10" x14ac:dyDescent="0.3">
      <c r="J93779"/>
    </row>
    <row r="93780" spans="10:10" x14ac:dyDescent="0.3">
      <c r="J93780"/>
    </row>
    <row r="93781" spans="10:10" x14ac:dyDescent="0.3">
      <c r="J93781"/>
    </row>
    <row r="93782" spans="10:10" x14ac:dyDescent="0.3">
      <c r="J93782"/>
    </row>
    <row r="93783" spans="10:10" x14ac:dyDescent="0.3">
      <c r="J93783"/>
    </row>
    <row r="93784" spans="10:10" x14ac:dyDescent="0.3">
      <c r="J93784"/>
    </row>
    <row r="93785" spans="10:10" x14ac:dyDescent="0.3">
      <c r="J93785"/>
    </row>
    <row r="93786" spans="10:10" x14ac:dyDescent="0.3">
      <c r="J93786"/>
    </row>
    <row r="93787" spans="10:10" x14ac:dyDescent="0.3">
      <c r="J93787"/>
    </row>
    <row r="93788" spans="10:10" x14ac:dyDescent="0.3">
      <c r="J93788"/>
    </row>
    <row r="93789" spans="10:10" x14ac:dyDescent="0.3">
      <c r="J93789"/>
    </row>
    <row r="93790" spans="10:10" x14ac:dyDescent="0.3">
      <c r="J93790"/>
    </row>
    <row r="93791" spans="10:10" x14ac:dyDescent="0.3">
      <c r="J93791"/>
    </row>
    <row r="93792" spans="10:10" x14ac:dyDescent="0.3">
      <c r="J93792"/>
    </row>
    <row r="93793" spans="10:10" x14ac:dyDescent="0.3">
      <c r="J93793"/>
    </row>
    <row r="93794" spans="10:10" x14ac:dyDescent="0.3">
      <c r="J93794"/>
    </row>
    <row r="93795" spans="10:10" x14ac:dyDescent="0.3">
      <c r="J93795"/>
    </row>
    <row r="93796" spans="10:10" x14ac:dyDescent="0.3">
      <c r="J93796"/>
    </row>
    <row r="93797" spans="10:10" x14ac:dyDescent="0.3">
      <c r="J93797"/>
    </row>
    <row r="93798" spans="10:10" x14ac:dyDescent="0.3">
      <c r="J93798"/>
    </row>
    <row r="93799" spans="10:10" x14ac:dyDescent="0.3">
      <c r="J93799"/>
    </row>
    <row r="93800" spans="10:10" x14ac:dyDescent="0.3">
      <c r="J93800"/>
    </row>
    <row r="93801" spans="10:10" x14ac:dyDescent="0.3">
      <c r="J93801"/>
    </row>
    <row r="93802" spans="10:10" x14ac:dyDescent="0.3">
      <c r="J93802"/>
    </row>
    <row r="93803" spans="10:10" x14ac:dyDescent="0.3">
      <c r="J93803"/>
    </row>
    <row r="93804" spans="10:10" x14ac:dyDescent="0.3">
      <c r="J93804"/>
    </row>
    <row r="93805" spans="10:10" x14ac:dyDescent="0.3">
      <c r="J93805"/>
    </row>
    <row r="93806" spans="10:10" x14ac:dyDescent="0.3">
      <c r="J93806"/>
    </row>
    <row r="93807" spans="10:10" x14ac:dyDescent="0.3">
      <c r="J93807"/>
    </row>
    <row r="93808" spans="10:10" x14ac:dyDescent="0.3">
      <c r="J93808"/>
    </row>
    <row r="93809" spans="10:10" x14ac:dyDescent="0.3">
      <c r="J93809"/>
    </row>
    <row r="93810" spans="10:10" x14ac:dyDescent="0.3">
      <c r="J93810"/>
    </row>
    <row r="93811" spans="10:10" x14ac:dyDescent="0.3">
      <c r="J93811"/>
    </row>
    <row r="93812" spans="10:10" x14ac:dyDescent="0.3">
      <c r="J93812"/>
    </row>
    <row r="93813" spans="10:10" x14ac:dyDescent="0.3">
      <c r="J93813"/>
    </row>
    <row r="93814" spans="10:10" x14ac:dyDescent="0.3">
      <c r="J93814"/>
    </row>
    <row r="93815" spans="10:10" x14ac:dyDescent="0.3">
      <c r="J93815"/>
    </row>
    <row r="93816" spans="10:10" x14ac:dyDescent="0.3">
      <c r="J93816"/>
    </row>
    <row r="93817" spans="10:10" x14ac:dyDescent="0.3">
      <c r="J93817"/>
    </row>
    <row r="93818" spans="10:10" x14ac:dyDescent="0.3">
      <c r="J93818"/>
    </row>
    <row r="93819" spans="10:10" x14ac:dyDescent="0.3">
      <c r="J93819"/>
    </row>
    <row r="93820" spans="10:10" x14ac:dyDescent="0.3">
      <c r="J93820"/>
    </row>
    <row r="93821" spans="10:10" x14ac:dyDescent="0.3">
      <c r="J93821"/>
    </row>
    <row r="93822" spans="10:10" x14ac:dyDescent="0.3">
      <c r="J93822"/>
    </row>
    <row r="93823" spans="10:10" x14ac:dyDescent="0.3">
      <c r="J93823"/>
    </row>
    <row r="93824" spans="10:10" x14ac:dyDescent="0.3">
      <c r="J93824"/>
    </row>
    <row r="93825" spans="10:10" x14ac:dyDescent="0.3">
      <c r="J93825"/>
    </row>
    <row r="93826" spans="10:10" x14ac:dyDescent="0.3">
      <c r="J93826"/>
    </row>
    <row r="93827" spans="10:10" x14ac:dyDescent="0.3">
      <c r="J93827"/>
    </row>
    <row r="93828" spans="10:10" x14ac:dyDescent="0.3">
      <c r="J93828"/>
    </row>
    <row r="93829" spans="10:10" x14ac:dyDescent="0.3">
      <c r="J93829"/>
    </row>
    <row r="93830" spans="10:10" x14ac:dyDescent="0.3">
      <c r="J93830"/>
    </row>
    <row r="93831" spans="10:10" x14ac:dyDescent="0.3">
      <c r="J93831"/>
    </row>
    <row r="93832" spans="10:10" x14ac:dyDescent="0.3">
      <c r="J93832"/>
    </row>
    <row r="93833" spans="10:10" x14ac:dyDescent="0.3">
      <c r="J93833"/>
    </row>
    <row r="93834" spans="10:10" x14ac:dyDescent="0.3">
      <c r="J93834"/>
    </row>
    <row r="93835" spans="10:10" x14ac:dyDescent="0.3">
      <c r="J93835"/>
    </row>
    <row r="93836" spans="10:10" x14ac:dyDescent="0.3">
      <c r="J93836"/>
    </row>
    <row r="93837" spans="10:10" x14ac:dyDescent="0.3">
      <c r="J93837"/>
    </row>
    <row r="93838" spans="10:10" x14ac:dyDescent="0.3">
      <c r="J93838"/>
    </row>
    <row r="93839" spans="10:10" x14ac:dyDescent="0.3">
      <c r="J93839"/>
    </row>
    <row r="93840" spans="10:10" x14ac:dyDescent="0.3">
      <c r="J93840"/>
    </row>
    <row r="93841" spans="10:10" x14ac:dyDescent="0.3">
      <c r="J93841"/>
    </row>
    <row r="93842" spans="10:10" x14ac:dyDescent="0.3">
      <c r="J93842"/>
    </row>
    <row r="93843" spans="10:10" x14ac:dyDescent="0.3">
      <c r="J93843"/>
    </row>
    <row r="93844" spans="10:10" x14ac:dyDescent="0.3">
      <c r="J93844"/>
    </row>
    <row r="93845" spans="10:10" x14ac:dyDescent="0.3">
      <c r="J93845"/>
    </row>
    <row r="93846" spans="10:10" x14ac:dyDescent="0.3">
      <c r="J93846"/>
    </row>
    <row r="93847" spans="10:10" x14ac:dyDescent="0.3">
      <c r="J93847"/>
    </row>
    <row r="93848" spans="10:10" x14ac:dyDescent="0.3">
      <c r="J93848"/>
    </row>
    <row r="93849" spans="10:10" x14ac:dyDescent="0.3">
      <c r="J93849"/>
    </row>
    <row r="93850" spans="10:10" x14ac:dyDescent="0.3">
      <c r="J93850"/>
    </row>
    <row r="93851" spans="10:10" x14ac:dyDescent="0.3">
      <c r="J93851"/>
    </row>
    <row r="93852" spans="10:10" x14ac:dyDescent="0.3">
      <c r="J93852"/>
    </row>
    <row r="93853" spans="10:10" x14ac:dyDescent="0.3">
      <c r="J93853"/>
    </row>
    <row r="93854" spans="10:10" x14ac:dyDescent="0.3">
      <c r="J93854"/>
    </row>
    <row r="93855" spans="10:10" x14ac:dyDescent="0.3">
      <c r="J93855"/>
    </row>
    <row r="93856" spans="10:10" x14ac:dyDescent="0.3">
      <c r="J93856"/>
    </row>
    <row r="93857" spans="10:10" x14ac:dyDescent="0.3">
      <c r="J93857"/>
    </row>
    <row r="93858" spans="10:10" x14ac:dyDescent="0.3">
      <c r="J93858"/>
    </row>
    <row r="93859" spans="10:10" x14ac:dyDescent="0.3">
      <c r="J93859"/>
    </row>
    <row r="93860" spans="10:10" x14ac:dyDescent="0.3">
      <c r="J93860"/>
    </row>
    <row r="93861" spans="10:10" x14ac:dyDescent="0.3">
      <c r="J93861"/>
    </row>
    <row r="93862" spans="10:10" x14ac:dyDescent="0.3">
      <c r="J93862"/>
    </row>
    <row r="93863" spans="10:10" x14ac:dyDescent="0.3">
      <c r="J93863"/>
    </row>
    <row r="93864" spans="10:10" x14ac:dyDescent="0.3">
      <c r="J93864"/>
    </row>
    <row r="93865" spans="10:10" x14ac:dyDescent="0.3">
      <c r="J93865"/>
    </row>
    <row r="93866" spans="10:10" x14ac:dyDescent="0.3">
      <c r="J93866"/>
    </row>
    <row r="93867" spans="10:10" x14ac:dyDescent="0.3">
      <c r="J93867"/>
    </row>
    <row r="93868" spans="10:10" x14ac:dyDescent="0.3">
      <c r="J93868"/>
    </row>
    <row r="93869" spans="10:10" x14ac:dyDescent="0.3">
      <c r="J93869"/>
    </row>
    <row r="93870" spans="10:10" x14ac:dyDescent="0.3">
      <c r="J93870"/>
    </row>
    <row r="93871" spans="10:10" x14ac:dyDescent="0.3">
      <c r="J93871"/>
    </row>
    <row r="93872" spans="10:10" x14ac:dyDescent="0.3">
      <c r="J93872"/>
    </row>
    <row r="93873" spans="10:10" x14ac:dyDescent="0.3">
      <c r="J93873"/>
    </row>
    <row r="93874" spans="10:10" x14ac:dyDescent="0.3">
      <c r="J93874"/>
    </row>
    <row r="93875" spans="10:10" x14ac:dyDescent="0.3">
      <c r="J93875"/>
    </row>
    <row r="93876" spans="10:10" x14ac:dyDescent="0.3">
      <c r="J93876"/>
    </row>
    <row r="93877" spans="10:10" x14ac:dyDescent="0.3">
      <c r="J93877"/>
    </row>
    <row r="93878" spans="10:10" x14ac:dyDescent="0.3">
      <c r="J93878"/>
    </row>
    <row r="93879" spans="10:10" x14ac:dyDescent="0.3">
      <c r="J93879"/>
    </row>
    <row r="93880" spans="10:10" x14ac:dyDescent="0.3">
      <c r="J93880"/>
    </row>
    <row r="93881" spans="10:10" x14ac:dyDescent="0.3">
      <c r="J93881"/>
    </row>
    <row r="93882" spans="10:10" x14ac:dyDescent="0.3">
      <c r="J93882"/>
    </row>
    <row r="93883" spans="10:10" x14ac:dyDescent="0.3">
      <c r="J93883"/>
    </row>
    <row r="93884" spans="10:10" x14ac:dyDescent="0.3">
      <c r="J93884"/>
    </row>
    <row r="93885" spans="10:10" x14ac:dyDescent="0.3">
      <c r="J93885"/>
    </row>
    <row r="93886" spans="10:10" x14ac:dyDescent="0.3">
      <c r="J93886"/>
    </row>
    <row r="93887" spans="10:10" x14ac:dyDescent="0.3">
      <c r="J93887"/>
    </row>
    <row r="93888" spans="10:10" x14ac:dyDescent="0.3">
      <c r="J93888"/>
    </row>
    <row r="93889" spans="10:10" x14ac:dyDescent="0.3">
      <c r="J93889"/>
    </row>
    <row r="93890" spans="10:10" x14ac:dyDescent="0.3">
      <c r="J93890"/>
    </row>
    <row r="93891" spans="10:10" x14ac:dyDescent="0.3">
      <c r="J93891"/>
    </row>
    <row r="93892" spans="10:10" x14ac:dyDescent="0.3">
      <c r="J93892"/>
    </row>
    <row r="93893" spans="10:10" x14ac:dyDescent="0.3">
      <c r="J93893"/>
    </row>
    <row r="93894" spans="10:10" x14ac:dyDescent="0.3">
      <c r="J93894"/>
    </row>
    <row r="93895" spans="10:10" x14ac:dyDescent="0.3">
      <c r="J93895"/>
    </row>
    <row r="93896" spans="10:10" x14ac:dyDescent="0.3">
      <c r="J93896"/>
    </row>
    <row r="93897" spans="10:10" x14ac:dyDescent="0.3">
      <c r="J93897"/>
    </row>
    <row r="93898" spans="10:10" x14ac:dyDescent="0.3">
      <c r="J93898"/>
    </row>
    <row r="93899" spans="10:10" x14ac:dyDescent="0.3">
      <c r="J93899"/>
    </row>
    <row r="93900" spans="10:10" x14ac:dyDescent="0.3">
      <c r="J93900"/>
    </row>
    <row r="93901" spans="10:10" x14ac:dyDescent="0.3">
      <c r="J93901"/>
    </row>
    <row r="93902" spans="10:10" x14ac:dyDescent="0.3">
      <c r="J93902"/>
    </row>
    <row r="93903" spans="10:10" x14ac:dyDescent="0.3">
      <c r="J93903"/>
    </row>
    <row r="93904" spans="10:10" x14ac:dyDescent="0.3">
      <c r="J93904"/>
    </row>
    <row r="93905" spans="10:10" x14ac:dyDescent="0.3">
      <c r="J93905"/>
    </row>
    <row r="93906" spans="10:10" x14ac:dyDescent="0.3">
      <c r="J93906"/>
    </row>
    <row r="93907" spans="10:10" x14ac:dyDescent="0.3">
      <c r="J93907"/>
    </row>
    <row r="93908" spans="10:10" x14ac:dyDescent="0.3">
      <c r="J93908"/>
    </row>
    <row r="93909" spans="10:10" x14ac:dyDescent="0.3">
      <c r="J93909"/>
    </row>
    <row r="93910" spans="10:10" x14ac:dyDescent="0.3">
      <c r="J93910"/>
    </row>
    <row r="93911" spans="10:10" x14ac:dyDescent="0.3">
      <c r="J93911"/>
    </row>
    <row r="93912" spans="10:10" x14ac:dyDescent="0.3">
      <c r="J93912"/>
    </row>
    <row r="93913" spans="10:10" x14ac:dyDescent="0.3">
      <c r="J93913"/>
    </row>
    <row r="93914" spans="10:10" x14ac:dyDescent="0.3">
      <c r="J93914"/>
    </row>
    <row r="93915" spans="10:10" x14ac:dyDescent="0.3">
      <c r="J93915"/>
    </row>
    <row r="93916" spans="10:10" x14ac:dyDescent="0.3">
      <c r="J93916"/>
    </row>
    <row r="93917" spans="10:10" x14ac:dyDescent="0.3">
      <c r="J93917"/>
    </row>
    <row r="93918" spans="10:10" x14ac:dyDescent="0.3">
      <c r="J93918"/>
    </row>
    <row r="93919" spans="10:10" x14ac:dyDescent="0.3">
      <c r="J93919"/>
    </row>
    <row r="93920" spans="10:10" x14ac:dyDescent="0.3">
      <c r="J93920"/>
    </row>
    <row r="93921" spans="10:10" x14ac:dyDescent="0.3">
      <c r="J93921"/>
    </row>
    <row r="93922" spans="10:10" x14ac:dyDescent="0.3">
      <c r="J93922"/>
    </row>
    <row r="93923" spans="10:10" x14ac:dyDescent="0.3">
      <c r="J93923"/>
    </row>
    <row r="93924" spans="10:10" x14ac:dyDescent="0.3">
      <c r="J93924"/>
    </row>
    <row r="93925" spans="10:10" x14ac:dyDescent="0.3">
      <c r="J93925"/>
    </row>
    <row r="93926" spans="10:10" x14ac:dyDescent="0.3">
      <c r="J93926"/>
    </row>
    <row r="93927" spans="10:10" x14ac:dyDescent="0.3">
      <c r="J93927"/>
    </row>
    <row r="93928" spans="10:10" x14ac:dyDescent="0.3">
      <c r="J93928"/>
    </row>
    <row r="93929" spans="10:10" x14ac:dyDescent="0.3">
      <c r="J93929"/>
    </row>
    <row r="93930" spans="10:10" x14ac:dyDescent="0.3">
      <c r="J93930"/>
    </row>
    <row r="93931" spans="10:10" x14ac:dyDescent="0.3">
      <c r="J93931"/>
    </row>
    <row r="93932" spans="10:10" x14ac:dyDescent="0.3">
      <c r="J93932"/>
    </row>
    <row r="93933" spans="10:10" x14ac:dyDescent="0.3">
      <c r="J93933"/>
    </row>
    <row r="93934" spans="10:10" x14ac:dyDescent="0.3">
      <c r="J93934"/>
    </row>
    <row r="93935" spans="10:10" x14ac:dyDescent="0.3">
      <c r="J93935"/>
    </row>
    <row r="93936" spans="10:10" x14ac:dyDescent="0.3">
      <c r="J93936"/>
    </row>
    <row r="93937" spans="10:10" x14ac:dyDescent="0.3">
      <c r="J93937"/>
    </row>
    <row r="93938" spans="10:10" x14ac:dyDescent="0.3">
      <c r="J93938"/>
    </row>
    <row r="93939" spans="10:10" x14ac:dyDescent="0.3">
      <c r="J93939"/>
    </row>
    <row r="93940" spans="10:10" x14ac:dyDescent="0.3">
      <c r="J93940"/>
    </row>
    <row r="93941" spans="10:10" x14ac:dyDescent="0.3">
      <c r="J93941"/>
    </row>
    <row r="93942" spans="10:10" x14ac:dyDescent="0.3">
      <c r="J93942"/>
    </row>
    <row r="93943" spans="10:10" x14ac:dyDescent="0.3">
      <c r="J93943"/>
    </row>
    <row r="93944" spans="10:10" x14ac:dyDescent="0.3">
      <c r="J93944"/>
    </row>
    <row r="93945" spans="10:10" x14ac:dyDescent="0.3">
      <c r="J93945"/>
    </row>
    <row r="93946" spans="10:10" x14ac:dyDescent="0.3">
      <c r="J93946"/>
    </row>
    <row r="93947" spans="10:10" x14ac:dyDescent="0.3">
      <c r="J93947"/>
    </row>
    <row r="93948" spans="10:10" x14ac:dyDescent="0.3">
      <c r="J93948"/>
    </row>
    <row r="93949" spans="10:10" x14ac:dyDescent="0.3">
      <c r="J93949"/>
    </row>
    <row r="93950" spans="10:10" x14ac:dyDescent="0.3">
      <c r="J93950"/>
    </row>
    <row r="93951" spans="10:10" x14ac:dyDescent="0.3">
      <c r="J93951"/>
    </row>
    <row r="93952" spans="10:10" x14ac:dyDescent="0.3">
      <c r="J93952"/>
    </row>
    <row r="93953" spans="10:10" x14ac:dyDescent="0.3">
      <c r="J93953"/>
    </row>
    <row r="93954" spans="10:10" x14ac:dyDescent="0.3">
      <c r="J93954"/>
    </row>
    <row r="93955" spans="10:10" x14ac:dyDescent="0.3">
      <c r="J93955"/>
    </row>
    <row r="93956" spans="10:10" x14ac:dyDescent="0.3">
      <c r="J93956"/>
    </row>
    <row r="93957" spans="10:10" x14ac:dyDescent="0.3">
      <c r="J93957"/>
    </row>
    <row r="93958" spans="10:10" x14ac:dyDescent="0.3">
      <c r="J93958"/>
    </row>
    <row r="93959" spans="10:10" x14ac:dyDescent="0.3">
      <c r="J93959"/>
    </row>
    <row r="93960" spans="10:10" x14ac:dyDescent="0.3">
      <c r="J93960"/>
    </row>
    <row r="93961" spans="10:10" x14ac:dyDescent="0.3">
      <c r="J93961"/>
    </row>
    <row r="93962" spans="10:10" x14ac:dyDescent="0.3">
      <c r="J93962"/>
    </row>
    <row r="93963" spans="10:10" x14ac:dyDescent="0.3">
      <c r="J93963"/>
    </row>
    <row r="93964" spans="10:10" x14ac:dyDescent="0.3">
      <c r="J93964"/>
    </row>
    <row r="93965" spans="10:10" x14ac:dyDescent="0.3">
      <c r="J93965"/>
    </row>
    <row r="93966" spans="10:10" x14ac:dyDescent="0.3">
      <c r="J93966"/>
    </row>
    <row r="93967" spans="10:10" x14ac:dyDescent="0.3">
      <c r="J93967"/>
    </row>
    <row r="93968" spans="10:10" x14ac:dyDescent="0.3">
      <c r="J93968"/>
    </row>
    <row r="93969" spans="10:10" x14ac:dyDescent="0.3">
      <c r="J93969"/>
    </row>
    <row r="93970" spans="10:10" x14ac:dyDescent="0.3">
      <c r="J93970"/>
    </row>
    <row r="93971" spans="10:10" x14ac:dyDescent="0.3">
      <c r="J93971"/>
    </row>
    <row r="93972" spans="10:10" x14ac:dyDescent="0.3">
      <c r="J93972"/>
    </row>
    <row r="93973" spans="10:10" x14ac:dyDescent="0.3">
      <c r="J93973"/>
    </row>
    <row r="93974" spans="10:10" x14ac:dyDescent="0.3">
      <c r="J93974"/>
    </row>
    <row r="93975" spans="10:10" x14ac:dyDescent="0.3">
      <c r="J93975"/>
    </row>
    <row r="93976" spans="10:10" x14ac:dyDescent="0.3">
      <c r="J93976"/>
    </row>
    <row r="93977" spans="10:10" x14ac:dyDescent="0.3">
      <c r="J93977"/>
    </row>
    <row r="93978" spans="10:10" x14ac:dyDescent="0.3">
      <c r="J93978"/>
    </row>
    <row r="93979" spans="10:10" x14ac:dyDescent="0.3">
      <c r="J93979"/>
    </row>
    <row r="93980" spans="10:10" x14ac:dyDescent="0.3">
      <c r="J93980"/>
    </row>
    <row r="93981" spans="10:10" x14ac:dyDescent="0.3">
      <c r="J93981"/>
    </row>
    <row r="93982" spans="10:10" x14ac:dyDescent="0.3">
      <c r="J93982"/>
    </row>
    <row r="93983" spans="10:10" x14ac:dyDescent="0.3">
      <c r="J93983"/>
    </row>
    <row r="93984" spans="10:10" x14ac:dyDescent="0.3">
      <c r="J93984"/>
    </row>
    <row r="93985" spans="10:10" x14ac:dyDescent="0.3">
      <c r="J93985"/>
    </row>
    <row r="93986" spans="10:10" x14ac:dyDescent="0.3">
      <c r="J93986"/>
    </row>
    <row r="93987" spans="10:10" x14ac:dyDescent="0.3">
      <c r="J93987"/>
    </row>
    <row r="93988" spans="10:10" x14ac:dyDescent="0.3">
      <c r="J93988"/>
    </row>
    <row r="93989" spans="10:10" x14ac:dyDescent="0.3">
      <c r="J93989"/>
    </row>
    <row r="93990" spans="10:10" x14ac:dyDescent="0.3">
      <c r="J93990"/>
    </row>
    <row r="93991" spans="10:10" x14ac:dyDescent="0.3">
      <c r="J93991"/>
    </row>
    <row r="93992" spans="10:10" x14ac:dyDescent="0.3">
      <c r="J93992"/>
    </row>
    <row r="93993" spans="10:10" x14ac:dyDescent="0.3">
      <c r="J93993"/>
    </row>
    <row r="93994" spans="10:10" x14ac:dyDescent="0.3">
      <c r="J93994"/>
    </row>
    <row r="93995" spans="10:10" x14ac:dyDescent="0.3">
      <c r="J93995"/>
    </row>
    <row r="93996" spans="10:10" x14ac:dyDescent="0.3">
      <c r="J93996"/>
    </row>
    <row r="93997" spans="10:10" x14ac:dyDescent="0.3">
      <c r="J93997"/>
    </row>
    <row r="93998" spans="10:10" x14ac:dyDescent="0.3">
      <c r="J93998"/>
    </row>
    <row r="93999" spans="10:10" x14ac:dyDescent="0.3">
      <c r="J93999"/>
    </row>
    <row r="94000" spans="10:10" x14ac:dyDescent="0.3">
      <c r="J94000"/>
    </row>
    <row r="94001" spans="10:10" x14ac:dyDescent="0.3">
      <c r="J94001"/>
    </row>
    <row r="94002" spans="10:10" x14ac:dyDescent="0.3">
      <c r="J94002"/>
    </row>
    <row r="94003" spans="10:10" x14ac:dyDescent="0.3">
      <c r="J94003"/>
    </row>
    <row r="94004" spans="10:10" x14ac:dyDescent="0.3">
      <c r="J94004"/>
    </row>
    <row r="94005" spans="10:10" x14ac:dyDescent="0.3">
      <c r="J94005"/>
    </row>
    <row r="94006" spans="10:10" x14ac:dyDescent="0.3">
      <c r="J94006"/>
    </row>
    <row r="94007" spans="10:10" x14ac:dyDescent="0.3">
      <c r="J94007"/>
    </row>
    <row r="94008" spans="10:10" x14ac:dyDescent="0.3">
      <c r="J94008"/>
    </row>
    <row r="94009" spans="10:10" x14ac:dyDescent="0.3">
      <c r="J94009"/>
    </row>
    <row r="94010" spans="10:10" x14ac:dyDescent="0.3">
      <c r="J94010"/>
    </row>
    <row r="94011" spans="10:10" x14ac:dyDescent="0.3">
      <c r="J94011"/>
    </row>
    <row r="94012" spans="10:10" x14ac:dyDescent="0.3">
      <c r="J94012"/>
    </row>
    <row r="94013" spans="10:10" x14ac:dyDescent="0.3">
      <c r="J94013"/>
    </row>
    <row r="94014" spans="10:10" x14ac:dyDescent="0.3">
      <c r="J94014"/>
    </row>
    <row r="94015" spans="10:10" x14ac:dyDescent="0.3">
      <c r="J94015"/>
    </row>
    <row r="94016" spans="10:10" x14ac:dyDescent="0.3">
      <c r="J94016"/>
    </row>
    <row r="94017" spans="10:10" x14ac:dyDescent="0.3">
      <c r="J94017"/>
    </row>
    <row r="94018" spans="10:10" x14ac:dyDescent="0.3">
      <c r="J94018"/>
    </row>
    <row r="94019" spans="10:10" x14ac:dyDescent="0.3">
      <c r="J94019"/>
    </row>
    <row r="94020" spans="10:10" x14ac:dyDescent="0.3">
      <c r="J94020"/>
    </row>
    <row r="94021" spans="10:10" x14ac:dyDescent="0.3">
      <c r="J94021"/>
    </row>
    <row r="94022" spans="10:10" x14ac:dyDescent="0.3">
      <c r="J94022"/>
    </row>
    <row r="94023" spans="10:10" x14ac:dyDescent="0.3">
      <c r="J94023"/>
    </row>
    <row r="94024" spans="10:10" x14ac:dyDescent="0.3">
      <c r="J94024"/>
    </row>
    <row r="94025" spans="10:10" x14ac:dyDescent="0.3">
      <c r="J94025"/>
    </row>
    <row r="94026" spans="10:10" x14ac:dyDescent="0.3">
      <c r="J94026"/>
    </row>
    <row r="94027" spans="10:10" x14ac:dyDescent="0.3">
      <c r="J94027"/>
    </row>
    <row r="94028" spans="10:10" x14ac:dyDescent="0.3">
      <c r="J94028"/>
    </row>
    <row r="94029" spans="10:10" x14ac:dyDescent="0.3">
      <c r="J94029"/>
    </row>
    <row r="94030" spans="10:10" x14ac:dyDescent="0.3">
      <c r="J94030"/>
    </row>
    <row r="94031" spans="10:10" x14ac:dyDescent="0.3">
      <c r="J94031"/>
    </row>
    <row r="94032" spans="10:10" x14ac:dyDescent="0.3">
      <c r="J94032"/>
    </row>
    <row r="94033" spans="10:10" x14ac:dyDescent="0.3">
      <c r="J94033"/>
    </row>
    <row r="94034" spans="10:10" x14ac:dyDescent="0.3">
      <c r="J94034"/>
    </row>
    <row r="94035" spans="10:10" x14ac:dyDescent="0.3">
      <c r="J94035"/>
    </row>
    <row r="94036" spans="10:10" x14ac:dyDescent="0.3">
      <c r="J94036"/>
    </row>
    <row r="94037" spans="10:10" x14ac:dyDescent="0.3">
      <c r="J94037"/>
    </row>
    <row r="94038" spans="10:10" x14ac:dyDescent="0.3">
      <c r="J94038"/>
    </row>
    <row r="94039" spans="10:10" x14ac:dyDescent="0.3">
      <c r="J94039"/>
    </row>
    <row r="94040" spans="10:10" x14ac:dyDescent="0.3">
      <c r="J94040"/>
    </row>
    <row r="94041" spans="10:10" x14ac:dyDescent="0.3">
      <c r="J94041"/>
    </row>
    <row r="94042" spans="10:10" x14ac:dyDescent="0.3">
      <c r="J94042"/>
    </row>
    <row r="94043" spans="10:10" x14ac:dyDescent="0.3">
      <c r="J94043"/>
    </row>
    <row r="94044" spans="10:10" x14ac:dyDescent="0.3">
      <c r="J94044"/>
    </row>
    <row r="94045" spans="10:10" x14ac:dyDescent="0.3">
      <c r="J94045"/>
    </row>
    <row r="94046" spans="10:10" x14ac:dyDescent="0.3">
      <c r="J94046"/>
    </row>
    <row r="94047" spans="10:10" x14ac:dyDescent="0.3">
      <c r="J94047"/>
    </row>
    <row r="94048" spans="10:10" x14ac:dyDescent="0.3">
      <c r="J94048"/>
    </row>
    <row r="94049" spans="10:10" x14ac:dyDescent="0.3">
      <c r="J94049"/>
    </row>
    <row r="94050" spans="10:10" x14ac:dyDescent="0.3">
      <c r="J94050"/>
    </row>
    <row r="94051" spans="10:10" x14ac:dyDescent="0.3">
      <c r="J94051"/>
    </row>
    <row r="94052" spans="10:10" x14ac:dyDescent="0.3">
      <c r="J94052"/>
    </row>
    <row r="94053" spans="10:10" x14ac:dyDescent="0.3">
      <c r="J94053"/>
    </row>
    <row r="94054" spans="10:10" x14ac:dyDescent="0.3">
      <c r="J94054"/>
    </row>
    <row r="94055" spans="10:10" x14ac:dyDescent="0.3">
      <c r="J94055"/>
    </row>
    <row r="94056" spans="10:10" x14ac:dyDescent="0.3">
      <c r="J94056"/>
    </row>
    <row r="94057" spans="10:10" x14ac:dyDescent="0.3">
      <c r="J94057"/>
    </row>
    <row r="94058" spans="10:10" x14ac:dyDescent="0.3">
      <c r="J94058"/>
    </row>
    <row r="94059" spans="10:10" x14ac:dyDescent="0.3">
      <c r="J94059"/>
    </row>
    <row r="94060" spans="10:10" x14ac:dyDescent="0.3">
      <c r="J94060"/>
    </row>
    <row r="94061" spans="10:10" x14ac:dyDescent="0.3">
      <c r="J94061"/>
    </row>
    <row r="94062" spans="10:10" x14ac:dyDescent="0.3">
      <c r="J94062"/>
    </row>
    <row r="94063" spans="10:10" x14ac:dyDescent="0.3">
      <c r="J94063"/>
    </row>
    <row r="94064" spans="10:10" x14ac:dyDescent="0.3">
      <c r="J94064"/>
    </row>
    <row r="94065" spans="10:10" x14ac:dyDescent="0.3">
      <c r="J94065"/>
    </row>
    <row r="94066" spans="10:10" x14ac:dyDescent="0.3">
      <c r="J94066"/>
    </row>
    <row r="94067" spans="10:10" x14ac:dyDescent="0.3">
      <c r="J94067"/>
    </row>
    <row r="94068" spans="10:10" x14ac:dyDescent="0.3">
      <c r="J94068"/>
    </row>
    <row r="94069" spans="10:10" x14ac:dyDescent="0.3">
      <c r="J94069"/>
    </row>
    <row r="94070" spans="10:10" x14ac:dyDescent="0.3">
      <c r="J94070"/>
    </row>
    <row r="94071" spans="10:10" x14ac:dyDescent="0.3">
      <c r="J94071"/>
    </row>
    <row r="94072" spans="10:10" x14ac:dyDescent="0.3">
      <c r="J94072"/>
    </row>
    <row r="94073" spans="10:10" x14ac:dyDescent="0.3">
      <c r="J94073"/>
    </row>
    <row r="94074" spans="10:10" x14ac:dyDescent="0.3">
      <c r="J94074"/>
    </row>
    <row r="94075" spans="10:10" x14ac:dyDescent="0.3">
      <c r="J94075"/>
    </row>
    <row r="94076" spans="10:10" x14ac:dyDescent="0.3">
      <c r="J94076"/>
    </row>
    <row r="94077" spans="10:10" x14ac:dyDescent="0.3">
      <c r="J94077"/>
    </row>
    <row r="94078" spans="10:10" x14ac:dyDescent="0.3">
      <c r="J94078"/>
    </row>
    <row r="94079" spans="10:10" x14ac:dyDescent="0.3">
      <c r="J94079"/>
    </row>
    <row r="94080" spans="10:10" x14ac:dyDescent="0.3">
      <c r="J94080"/>
    </row>
    <row r="94081" spans="10:10" x14ac:dyDescent="0.3">
      <c r="J94081"/>
    </row>
    <row r="94082" spans="10:10" x14ac:dyDescent="0.3">
      <c r="J94082"/>
    </row>
    <row r="94083" spans="10:10" x14ac:dyDescent="0.3">
      <c r="J94083"/>
    </row>
    <row r="94084" spans="10:10" x14ac:dyDescent="0.3">
      <c r="J94084"/>
    </row>
    <row r="94085" spans="10:10" x14ac:dyDescent="0.3">
      <c r="J94085"/>
    </row>
    <row r="94086" spans="10:10" x14ac:dyDescent="0.3">
      <c r="J94086"/>
    </row>
    <row r="94087" spans="10:10" x14ac:dyDescent="0.3">
      <c r="J94087"/>
    </row>
    <row r="94088" spans="10:10" x14ac:dyDescent="0.3">
      <c r="J94088"/>
    </row>
    <row r="94089" spans="10:10" x14ac:dyDescent="0.3">
      <c r="J94089"/>
    </row>
    <row r="94090" spans="10:10" x14ac:dyDescent="0.3">
      <c r="J94090"/>
    </row>
    <row r="94091" spans="10:10" x14ac:dyDescent="0.3">
      <c r="J94091"/>
    </row>
    <row r="94092" spans="10:10" x14ac:dyDescent="0.3">
      <c r="J94092"/>
    </row>
    <row r="94093" spans="10:10" x14ac:dyDescent="0.3">
      <c r="J94093"/>
    </row>
    <row r="94094" spans="10:10" x14ac:dyDescent="0.3">
      <c r="J94094"/>
    </row>
    <row r="94095" spans="10:10" x14ac:dyDescent="0.3">
      <c r="J94095"/>
    </row>
    <row r="94096" spans="10:10" x14ac:dyDescent="0.3">
      <c r="J94096"/>
    </row>
    <row r="94097" spans="10:10" x14ac:dyDescent="0.3">
      <c r="J94097"/>
    </row>
    <row r="94098" spans="10:10" x14ac:dyDescent="0.3">
      <c r="J94098"/>
    </row>
    <row r="94099" spans="10:10" x14ac:dyDescent="0.3">
      <c r="J94099"/>
    </row>
    <row r="94100" spans="10:10" x14ac:dyDescent="0.3">
      <c r="J94100"/>
    </row>
    <row r="94101" spans="10:10" x14ac:dyDescent="0.3">
      <c r="J94101"/>
    </row>
    <row r="94102" spans="10:10" x14ac:dyDescent="0.3">
      <c r="J94102"/>
    </row>
    <row r="94103" spans="10:10" x14ac:dyDescent="0.3">
      <c r="J94103"/>
    </row>
    <row r="94104" spans="10:10" x14ac:dyDescent="0.3">
      <c r="J94104"/>
    </row>
    <row r="94105" spans="10:10" x14ac:dyDescent="0.3">
      <c r="J94105"/>
    </row>
    <row r="94106" spans="10:10" x14ac:dyDescent="0.3">
      <c r="J94106"/>
    </row>
    <row r="94107" spans="10:10" x14ac:dyDescent="0.3">
      <c r="J94107"/>
    </row>
    <row r="94108" spans="10:10" x14ac:dyDescent="0.3">
      <c r="J94108"/>
    </row>
    <row r="94109" spans="10:10" x14ac:dyDescent="0.3">
      <c r="J94109"/>
    </row>
    <row r="94110" spans="10:10" x14ac:dyDescent="0.3">
      <c r="J94110"/>
    </row>
    <row r="94111" spans="10:10" x14ac:dyDescent="0.3">
      <c r="J94111"/>
    </row>
    <row r="94112" spans="10:10" x14ac:dyDescent="0.3">
      <c r="J94112"/>
    </row>
    <row r="94113" spans="10:10" x14ac:dyDescent="0.3">
      <c r="J94113"/>
    </row>
    <row r="94114" spans="10:10" x14ac:dyDescent="0.3">
      <c r="J94114"/>
    </row>
    <row r="94115" spans="10:10" x14ac:dyDescent="0.3">
      <c r="J94115"/>
    </row>
    <row r="94116" spans="10:10" x14ac:dyDescent="0.3">
      <c r="J94116"/>
    </row>
    <row r="94117" spans="10:10" x14ac:dyDescent="0.3">
      <c r="J94117"/>
    </row>
    <row r="94118" spans="10:10" x14ac:dyDescent="0.3">
      <c r="J94118"/>
    </row>
    <row r="94119" spans="10:10" x14ac:dyDescent="0.3">
      <c r="J94119"/>
    </row>
    <row r="94120" spans="10:10" x14ac:dyDescent="0.3">
      <c r="J94120"/>
    </row>
    <row r="94121" spans="10:10" x14ac:dyDescent="0.3">
      <c r="J94121"/>
    </row>
    <row r="94122" spans="10:10" x14ac:dyDescent="0.3">
      <c r="J94122"/>
    </row>
    <row r="94123" spans="10:10" x14ac:dyDescent="0.3">
      <c r="J94123"/>
    </row>
    <row r="94124" spans="10:10" x14ac:dyDescent="0.3">
      <c r="J94124"/>
    </row>
    <row r="94125" spans="10:10" x14ac:dyDescent="0.3">
      <c r="J94125"/>
    </row>
    <row r="94126" spans="10:10" x14ac:dyDescent="0.3">
      <c r="J94126"/>
    </row>
    <row r="94127" spans="10:10" x14ac:dyDescent="0.3">
      <c r="J94127"/>
    </row>
    <row r="94128" spans="10:10" x14ac:dyDescent="0.3">
      <c r="J94128"/>
    </row>
    <row r="94129" spans="10:10" x14ac:dyDescent="0.3">
      <c r="J94129"/>
    </row>
    <row r="94130" spans="10:10" x14ac:dyDescent="0.3">
      <c r="J94130"/>
    </row>
    <row r="94131" spans="10:10" x14ac:dyDescent="0.3">
      <c r="J94131"/>
    </row>
    <row r="94132" spans="10:10" x14ac:dyDescent="0.3">
      <c r="J94132"/>
    </row>
    <row r="94133" spans="10:10" x14ac:dyDescent="0.3">
      <c r="J94133"/>
    </row>
    <row r="94134" spans="10:10" x14ac:dyDescent="0.3">
      <c r="J94134"/>
    </row>
    <row r="94135" spans="10:10" x14ac:dyDescent="0.3">
      <c r="J94135"/>
    </row>
    <row r="94136" spans="10:10" x14ac:dyDescent="0.3">
      <c r="J94136"/>
    </row>
    <row r="94137" spans="10:10" x14ac:dyDescent="0.3">
      <c r="J94137"/>
    </row>
    <row r="94138" spans="10:10" x14ac:dyDescent="0.3">
      <c r="J94138"/>
    </row>
    <row r="94139" spans="10:10" x14ac:dyDescent="0.3">
      <c r="J94139"/>
    </row>
    <row r="94140" spans="10:10" x14ac:dyDescent="0.3">
      <c r="J94140"/>
    </row>
    <row r="94141" spans="10:10" x14ac:dyDescent="0.3">
      <c r="J94141"/>
    </row>
    <row r="94142" spans="10:10" x14ac:dyDescent="0.3">
      <c r="J94142"/>
    </row>
    <row r="94143" spans="10:10" x14ac:dyDescent="0.3">
      <c r="J94143"/>
    </row>
    <row r="94144" spans="10:10" x14ac:dyDescent="0.3">
      <c r="J94144"/>
    </row>
    <row r="94145" spans="10:10" x14ac:dyDescent="0.3">
      <c r="J94145"/>
    </row>
    <row r="94146" spans="10:10" x14ac:dyDescent="0.3">
      <c r="J94146"/>
    </row>
    <row r="94147" spans="10:10" x14ac:dyDescent="0.3">
      <c r="J94147"/>
    </row>
    <row r="94148" spans="10:10" x14ac:dyDescent="0.3">
      <c r="J94148"/>
    </row>
    <row r="94149" spans="10:10" x14ac:dyDescent="0.3">
      <c r="J94149"/>
    </row>
    <row r="94150" spans="10:10" x14ac:dyDescent="0.3">
      <c r="J94150"/>
    </row>
    <row r="94151" spans="10:10" x14ac:dyDescent="0.3">
      <c r="J94151"/>
    </row>
    <row r="94152" spans="10:10" x14ac:dyDescent="0.3">
      <c r="J94152"/>
    </row>
    <row r="94153" spans="10:10" x14ac:dyDescent="0.3">
      <c r="J94153"/>
    </row>
    <row r="94154" spans="10:10" x14ac:dyDescent="0.3">
      <c r="J94154"/>
    </row>
    <row r="94155" spans="10:10" x14ac:dyDescent="0.3">
      <c r="J94155"/>
    </row>
    <row r="94156" spans="10:10" x14ac:dyDescent="0.3">
      <c r="J94156"/>
    </row>
    <row r="94157" spans="10:10" x14ac:dyDescent="0.3">
      <c r="J94157"/>
    </row>
    <row r="94158" spans="10:10" x14ac:dyDescent="0.3">
      <c r="J94158"/>
    </row>
    <row r="94159" spans="10:10" x14ac:dyDescent="0.3">
      <c r="J94159"/>
    </row>
    <row r="94160" spans="10:10" x14ac:dyDescent="0.3">
      <c r="J94160"/>
    </row>
    <row r="94161" spans="10:10" x14ac:dyDescent="0.3">
      <c r="J94161"/>
    </row>
    <row r="94162" spans="10:10" x14ac:dyDescent="0.3">
      <c r="J94162"/>
    </row>
    <row r="94163" spans="10:10" x14ac:dyDescent="0.3">
      <c r="J94163"/>
    </row>
    <row r="94164" spans="10:10" x14ac:dyDescent="0.3">
      <c r="J94164"/>
    </row>
    <row r="94165" spans="10:10" x14ac:dyDescent="0.3">
      <c r="J94165"/>
    </row>
    <row r="94166" spans="10:10" x14ac:dyDescent="0.3">
      <c r="J94166"/>
    </row>
    <row r="94167" spans="10:10" x14ac:dyDescent="0.3">
      <c r="J94167"/>
    </row>
    <row r="94168" spans="10:10" x14ac:dyDescent="0.3">
      <c r="J94168"/>
    </row>
    <row r="94169" spans="10:10" x14ac:dyDescent="0.3">
      <c r="J94169"/>
    </row>
    <row r="94170" spans="10:10" x14ac:dyDescent="0.3">
      <c r="J94170"/>
    </row>
    <row r="94171" spans="10:10" x14ac:dyDescent="0.3">
      <c r="J94171"/>
    </row>
    <row r="94172" spans="10:10" x14ac:dyDescent="0.3">
      <c r="J94172"/>
    </row>
    <row r="94173" spans="10:10" x14ac:dyDescent="0.3">
      <c r="J94173"/>
    </row>
    <row r="94174" spans="10:10" x14ac:dyDescent="0.3">
      <c r="J94174"/>
    </row>
    <row r="94175" spans="10:10" x14ac:dyDescent="0.3">
      <c r="J94175"/>
    </row>
    <row r="94176" spans="10:10" x14ac:dyDescent="0.3">
      <c r="J94176"/>
    </row>
    <row r="94177" spans="10:10" x14ac:dyDescent="0.3">
      <c r="J94177"/>
    </row>
    <row r="94178" spans="10:10" x14ac:dyDescent="0.3">
      <c r="J94178"/>
    </row>
    <row r="94179" spans="10:10" x14ac:dyDescent="0.3">
      <c r="J94179"/>
    </row>
    <row r="94180" spans="10:10" x14ac:dyDescent="0.3">
      <c r="J94180"/>
    </row>
    <row r="94181" spans="10:10" x14ac:dyDescent="0.3">
      <c r="J94181"/>
    </row>
    <row r="94182" spans="10:10" x14ac:dyDescent="0.3">
      <c r="J94182"/>
    </row>
    <row r="94183" spans="10:10" x14ac:dyDescent="0.3">
      <c r="J94183"/>
    </row>
    <row r="94184" spans="10:10" x14ac:dyDescent="0.3">
      <c r="J94184"/>
    </row>
    <row r="94185" spans="10:10" x14ac:dyDescent="0.3">
      <c r="J94185"/>
    </row>
    <row r="94186" spans="10:10" x14ac:dyDescent="0.3">
      <c r="J94186"/>
    </row>
    <row r="94187" spans="10:10" x14ac:dyDescent="0.3">
      <c r="J94187"/>
    </row>
    <row r="94188" spans="10:10" x14ac:dyDescent="0.3">
      <c r="J94188"/>
    </row>
    <row r="94189" spans="10:10" x14ac:dyDescent="0.3">
      <c r="J94189"/>
    </row>
    <row r="94190" spans="10:10" x14ac:dyDescent="0.3">
      <c r="J94190"/>
    </row>
    <row r="94191" spans="10:10" x14ac:dyDescent="0.3">
      <c r="J94191"/>
    </row>
    <row r="94192" spans="10:10" x14ac:dyDescent="0.3">
      <c r="J94192"/>
    </row>
    <row r="94193" spans="10:10" x14ac:dyDescent="0.3">
      <c r="J94193"/>
    </row>
    <row r="94194" spans="10:10" x14ac:dyDescent="0.3">
      <c r="J94194"/>
    </row>
    <row r="94195" spans="10:10" x14ac:dyDescent="0.3">
      <c r="J94195"/>
    </row>
    <row r="94196" spans="10:10" x14ac:dyDescent="0.3">
      <c r="J94196"/>
    </row>
    <row r="94197" spans="10:10" x14ac:dyDescent="0.3">
      <c r="J94197"/>
    </row>
    <row r="94198" spans="10:10" x14ac:dyDescent="0.3">
      <c r="J94198"/>
    </row>
    <row r="94199" spans="10:10" x14ac:dyDescent="0.3">
      <c r="J94199"/>
    </row>
    <row r="94200" spans="10:10" x14ac:dyDescent="0.3">
      <c r="J94200"/>
    </row>
    <row r="94201" spans="10:10" x14ac:dyDescent="0.3">
      <c r="J94201"/>
    </row>
    <row r="94202" spans="10:10" x14ac:dyDescent="0.3">
      <c r="J94202"/>
    </row>
    <row r="94203" spans="10:10" x14ac:dyDescent="0.3">
      <c r="J94203"/>
    </row>
    <row r="94204" spans="10:10" x14ac:dyDescent="0.3">
      <c r="J94204"/>
    </row>
    <row r="94205" spans="10:10" x14ac:dyDescent="0.3">
      <c r="J94205"/>
    </row>
    <row r="94206" spans="10:10" x14ac:dyDescent="0.3">
      <c r="J94206"/>
    </row>
    <row r="94207" spans="10:10" x14ac:dyDescent="0.3">
      <c r="J94207"/>
    </row>
    <row r="94208" spans="10:10" x14ac:dyDescent="0.3">
      <c r="J94208"/>
    </row>
    <row r="94209" spans="10:10" x14ac:dyDescent="0.3">
      <c r="J94209"/>
    </row>
    <row r="94210" spans="10:10" x14ac:dyDescent="0.3">
      <c r="J94210"/>
    </row>
    <row r="94211" spans="10:10" x14ac:dyDescent="0.3">
      <c r="J94211"/>
    </row>
    <row r="94212" spans="10:10" x14ac:dyDescent="0.3">
      <c r="J94212"/>
    </row>
    <row r="94213" spans="10:10" x14ac:dyDescent="0.3">
      <c r="J94213"/>
    </row>
    <row r="94214" spans="10:10" x14ac:dyDescent="0.3">
      <c r="J94214"/>
    </row>
    <row r="94215" spans="10:10" x14ac:dyDescent="0.3">
      <c r="J94215"/>
    </row>
    <row r="94216" spans="10:10" x14ac:dyDescent="0.3">
      <c r="J94216"/>
    </row>
    <row r="94217" spans="10:10" x14ac:dyDescent="0.3">
      <c r="J94217"/>
    </row>
    <row r="94218" spans="10:10" x14ac:dyDescent="0.3">
      <c r="J94218"/>
    </row>
    <row r="94219" spans="10:10" x14ac:dyDescent="0.3">
      <c r="J94219"/>
    </row>
    <row r="94220" spans="10:10" x14ac:dyDescent="0.3">
      <c r="J94220"/>
    </row>
    <row r="94221" spans="10:10" x14ac:dyDescent="0.3">
      <c r="J94221"/>
    </row>
    <row r="94222" spans="10:10" x14ac:dyDescent="0.3">
      <c r="J94222"/>
    </row>
    <row r="94223" spans="10:10" x14ac:dyDescent="0.3">
      <c r="J94223"/>
    </row>
    <row r="94224" spans="10:10" x14ac:dyDescent="0.3">
      <c r="J94224"/>
    </row>
    <row r="94225" spans="10:10" x14ac:dyDescent="0.3">
      <c r="J94225"/>
    </row>
    <row r="94226" spans="10:10" x14ac:dyDescent="0.3">
      <c r="J94226"/>
    </row>
    <row r="94227" spans="10:10" x14ac:dyDescent="0.3">
      <c r="J94227"/>
    </row>
    <row r="94228" spans="10:10" x14ac:dyDescent="0.3">
      <c r="J94228"/>
    </row>
    <row r="94229" spans="10:10" x14ac:dyDescent="0.3">
      <c r="J94229"/>
    </row>
    <row r="94230" spans="10:10" x14ac:dyDescent="0.3">
      <c r="J94230"/>
    </row>
    <row r="94231" spans="10:10" x14ac:dyDescent="0.3">
      <c r="J94231"/>
    </row>
    <row r="94232" spans="10:10" x14ac:dyDescent="0.3">
      <c r="J94232"/>
    </row>
    <row r="94233" spans="10:10" x14ac:dyDescent="0.3">
      <c r="J94233"/>
    </row>
    <row r="94234" spans="10:10" x14ac:dyDescent="0.3">
      <c r="J94234"/>
    </row>
    <row r="94235" spans="10:10" x14ac:dyDescent="0.3">
      <c r="J94235"/>
    </row>
    <row r="94236" spans="10:10" x14ac:dyDescent="0.3">
      <c r="J94236"/>
    </row>
    <row r="94237" spans="10:10" x14ac:dyDescent="0.3">
      <c r="J94237"/>
    </row>
    <row r="94238" spans="10:10" x14ac:dyDescent="0.3">
      <c r="J94238"/>
    </row>
    <row r="94239" spans="10:10" x14ac:dyDescent="0.3">
      <c r="J94239"/>
    </row>
    <row r="94240" spans="10:10" x14ac:dyDescent="0.3">
      <c r="J94240"/>
    </row>
    <row r="94241" spans="10:10" x14ac:dyDescent="0.3">
      <c r="J94241"/>
    </row>
    <row r="94242" spans="10:10" x14ac:dyDescent="0.3">
      <c r="J94242"/>
    </row>
    <row r="94243" spans="10:10" x14ac:dyDescent="0.3">
      <c r="J94243"/>
    </row>
    <row r="94244" spans="10:10" x14ac:dyDescent="0.3">
      <c r="J94244"/>
    </row>
    <row r="94245" spans="10:10" x14ac:dyDescent="0.3">
      <c r="J94245"/>
    </row>
    <row r="94246" spans="10:10" x14ac:dyDescent="0.3">
      <c r="J94246"/>
    </row>
    <row r="94247" spans="10:10" x14ac:dyDescent="0.3">
      <c r="J94247"/>
    </row>
    <row r="94248" spans="10:10" x14ac:dyDescent="0.3">
      <c r="J94248"/>
    </row>
    <row r="94249" spans="10:10" x14ac:dyDescent="0.3">
      <c r="J94249"/>
    </row>
    <row r="94250" spans="10:10" x14ac:dyDescent="0.3">
      <c r="J94250"/>
    </row>
    <row r="94251" spans="10:10" x14ac:dyDescent="0.3">
      <c r="J94251"/>
    </row>
    <row r="94252" spans="10:10" x14ac:dyDescent="0.3">
      <c r="J94252"/>
    </row>
    <row r="94253" spans="10:10" x14ac:dyDescent="0.3">
      <c r="J94253"/>
    </row>
    <row r="94254" spans="10:10" x14ac:dyDescent="0.3">
      <c r="J94254"/>
    </row>
    <row r="94255" spans="10:10" x14ac:dyDescent="0.3">
      <c r="J94255"/>
    </row>
    <row r="94256" spans="10:10" x14ac:dyDescent="0.3">
      <c r="J94256"/>
    </row>
    <row r="94257" spans="10:10" x14ac:dyDescent="0.3">
      <c r="J94257"/>
    </row>
    <row r="94258" spans="10:10" x14ac:dyDescent="0.3">
      <c r="J94258"/>
    </row>
    <row r="94259" spans="10:10" x14ac:dyDescent="0.3">
      <c r="J94259"/>
    </row>
    <row r="94260" spans="10:10" x14ac:dyDescent="0.3">
      <c r="J94260"/>
    </row>
    <row r="94261" spans="10:10" x14ac:dyDescent="0.3">
      <c r="J94261"/>
    </row>
    <row r="94262" spans="10:10" x14ac:dyDescent="0.3">
      <c r="J94262"/>
    </row>
    <row r="94263" spans="10:10" x14ac:dyDescent="0.3">
      <c r="J94263"/>
    </row>
    <row r="94264" spans="10:10" x14ac:dyDescent="0.3">
      <c r="J94264"/>
    </row>
    <row r="94265" spans="10:10" x14ac:dyDescent="0.3">
      <c r="J94265"/>
    </row>
    <row r="94266" spans="10:10" x14ac:dyDescent="0.3">
      <c r="J94266"/>
    </row>
    <row r="94267" spans="10:10" x14ac:dyDescent="0.3">
      <c r="J94267"/>
    </row>
    <row r="94268" spans="10:10" x14ac:dyDescent="0.3">
      <c r="J94268"/>
    </row>
    <row r="94269" spans="10:10" x14ac:dyDescent="0.3">
      <c r="J94269"/>
    </row>
    <row r="94270" spans="10:10" x14ac:dyDescent="0.3">
      <c r="J94270"/>
    </row>
    <row r="94271" spans="10:10" x14ac:dyDescent="0.3">
      <c r="J94271"/>
    </row>
    <row r="94272" spans="10:10" x14ac:dyDescent="0.3">
      <c r="J94272"/>
    </row>
    <row r="94273" spans="10:10" x14ac:dyDescent="0.3">
      <c r="J94273"/>
    </row>
    <row r="94274" spans="10:10" x14ac:dyDescent="0.3">
      <c r="J94274"/>
    </row>
    <row r="94275" spans="10:10" x14ac:dyDescent="0.3">
      <c r="J94275"/>
    </row>
    <row r="94276" spans="10:10" x14ac:dyDescent="0.3">
      <c r="J94276"/>
    </row>
    <row r="94277" spans="10:10" x14ac:dyDescent="0.3">
      <c r="J94277"/>
    </row>
    <row r="94278" spans="10:10" x14ac:dyDescent="0.3">
      <c r="J94278"/>
    </row>
    <row r="94279" spans="10:10" x14ac:dyDescent="0.3">
      <c r="J94279"/>
    </row>
    <row r="94280" spans="10:10" x14ac:dyDescent="0.3">
      <c r="J94280"/>
    </row>
    <row r="94281" spans="10:10" x14ac:dyDescent="0.3">
      <c r="J94281"/>
    </row>
    <row r="94282" spans="10:10" x14ac:dyDescent="0.3">
      <c r="J94282"/>
    </row>
    <row r="94283" spans="10:10" x14ac:dyDescent="0.3">
      <c r="J94283"/>
    </row>
    <row r="94284" spans="10:10" x14ac:dyDescent="0.3">
      <c r="J94284"/>
    </row>
    <row r="94285" spans="10:10" x14ac:dyDescent="0.3">
      <c r="J94285"/>
    </row>
    <row r="94286" spans="10:10" x14ac:dyDescent="0.3">
      <c r="J94286"/>
    </row>
    <row r="94287" spans="10:10" x14ac:dyDescent="0.3">
      <c r="J94287"/>
    </row>
    <row r="94288" spans="10:10" x14ac:dyDescent="0.3">
      <c r="J94288"/>
    </row>
    <row r="94289" spans="10:10" x14ac:dyDescent="0.3">
      <c r="J94289"/>
    </row>
    <row r="94290" spans="10:10" x14ac:dyDescent="0.3">
      <c r="J94290"/>
    </row>
    <row r="94291" spans="10:10" x14ac:dyDescent="0.3">
      <c r="J94291"/>
    </row>
    <row r="94292" spans="10:10" x14ac:dyDescent="0.3">
      <c r="J94292"/>
    </row>
    <row r="94293" spans="10:10" x14ac:dyDescent="0.3">
      <c r="J94293"/>
    </row>
    <row r="94294" spans="10:10" x14ac:dyDescent="0.3">
      <c r="J94294"/>
    </row>
    <row r="94295" spans="10:10" x14ac:dyDescent="0.3">
      <c r="J94295"/>
    </row>
    <row r="94296" spans="10:10" x14ac:dyDescent="0.3">
      <c r="J94296"/>
    </row>
    <row r="94297" spans="10:10" x14ac:dyDescent="0.3">
      <c r="J94297"/>
    </row>
    <row r="94298" spans="10:10" x14ac:dyDescent="0.3">
      <c r="J94298"/>
    </row>
    <row r="94299" spans="10:10" x14ac:dyDescent="0.3">
      <c r="J94299"/>
    </row>
    <row r="94300" spans="10:10" x14ac:dyDescent="0.3">
      <c r="J94300"/>
    </row>
    <row r="94301" spans="10:10" x14ac:dyDescent="0.3">
      <c r="J94301"/>
    </row>
    <row r="94302" spans="10:10" x14ac:dyDescent="0.3">
      <c r="J94302"/>
    </row>
    <row r="94303" spans="10:10" x14ac:dyDescent="0.3">
      <c r="J94303"/>
    </row>
    <row r="94304" spans="10:10" x14ac:dyDescent="0.3">
      <c r="J94304"/>
    </row>
    <row r="94305" spans="10:10" x14ac:dyDescent="0.3">
      <c r="J94305"/>
    </row>
    <row r="94306" spans="10:10" x14ac:dyDescent="0.3">
      <c r="J94306"/>
    </row>
    <row r="94307" spans="10:10" x14ac:dyDescent="0.3">
      <c r="J94307"/>
    </row>
    <row r="94308" spans="10:10" x14ac:dyDescent="0.3">
      <c r="J94308"/>
    </row>
    <row r="94309" spans="10:10" x14ac:dyDescent="0.3">
      <c r="J94309"/>
    </row>
    <row r="94310" spans="10:10" x14ac:dyDescent="0.3">
      <c r="J94310"/>
    </row>
    <row r="94311" spans="10:10" x14ac:dyDescent="0.3">
      <c r="J94311"/>
    </row>
    <row r="94312" spans="10:10" x14ac:dyDescent="0.3">
      <c r="J94312"/>
    </row>
    <row r="94313" spans="10:10" x14ac:dyDescent="0.3">
      <c r="J94313"/>
    </row>
    <row r="94314" spans="10:10" x14ac:dyDescent="0.3">
      <c r="J94314"/>
    </row>
    <row r="94315" spans="10:10" x14ac:dyDescent="0.3">
      <c r="J94315"/>
    </row>
    <row r="94316" spans="10:10" x14ac:dyDescent="0.3">
      <c r="J94316"/>
    </row>
    <row r="94317" spans="10:10" x14ac:dyDescent="0.3">
      <c r="J94317"/>
    </row>
    <row r="94318" spans="10:10" x14ac:dyDescent="0.3">
      <c r="J94318"/>
    </row>
    <row r="94319" spans="10:10" x14ac:dyDescent="0.3">
      <c r="J94319"/>
    </row>
    <row r="94320" spans="10:10" x14ac:dyDescent="0.3">
      <c r="J94320"/>
    </row>
    <row r="94321" spans="10:10" x14ac:dyDescent="0.3">
      <c r="J94321"/>
    </row>
    <row r="94322" spans="10:10" x14ac:dyDescent="0.3">
      <c r="J94322"/>
    </row>
    <row r="94323" spans="10:10" x14ac:dyDescent="0.3">
      <c r="J94323"/>
    </row>
    <row r="94324" spans="10:10" x14ac:dyDescent="0.3">
      <c r="J94324"/>
    </row>
    <row r="94325" spans="10:10" x14ac:dyDescent="0.3">
      <c r="J94325"/>
    </row>
    <row r="94326" spans="10:10" x14ac:dyDescent="0.3">
      <c r="J94326"/>
    </row>
    <row r="94327" spans="10:10" x14ac:dyDescent="0.3">
      <c r="J94327"/>
    </row>
    <row r="94328" spans="10:10" x14ac:dyDescent="0.3">
      <c r="J94328"/>
    </row>
    <row r="94329" spans="10:10" x14ac:dyDescent="0.3">
      <c r="J94329"/>
    </row>
    <row r="94330" spans="10:10" x14ac:dyDescent="0.3">
      <c r="J94330"/>
    </row>
    <row r="94331" spans="10:10" x14ac:dyDescent="0.3">
      <c r="J94331"/>
    </row>
    <row r="94332" spans="10:10" x14ac:dyDescent="0.3">
      <c r="J94332"/>
    </row>
    <row r="94333" spans="10:10" x14ac:dyDescent="0.3">
      <c r="J94333"/>
    </row>
    <row r="94334" spans="10:10" x14ac:dyDescent="0.3">
      <c r="J94334"/>
    </row>
    <row r="94335" spans="10:10" x14ac:dyDescent="0.3">
      <c r="J94335"/>
    </row>
    <row r="94336" spans="10:10" x14ac:dyDescent="0.3">
      <c r="J94336"/>
    </row>
    <row r="94337" spans="10:10" x14ac:dyDescent="0.3">
      <c r="J94337"/>
    </row>
    <row r="94338" spans="10:10" x14ac:dyDescent="0.3">
      <c r="J94338"/>
    </row>
    <row r="94339" spans="10:10" x14ac:dyDescent="0.3">
      <c r="J94339"/>
    </row>
    <row r="94340" spans="10:10" x14ac:dyDescent="0.3">
      <c r="J94340"/>
    </row>
    <row r="94341" spans="10:10" x14ac:dyDescent="0.3">
      <c r="J94341"/>
    </row>
    <row r="94342" spans="10:10" x14ac:dyDescent="0.3">
      <c r="J94342"/>
    </row>
    <row r="94343" spans="10:10" x14ac:dyDescent="0.3">
      <c r="J94343"/>
    </row>
    <row r="94344" spans="10:10" x14ac:dyDescent="0.3">
      <c r="J94344"/>
    </row>
    <row r="94345" spans="10:10" x14ac:dyDescent="0.3">
      <c r="J94345"/>
    </row>
    <row r="94346" spans="10:10" x14ac:dyDescent="0.3">
      <c r="J94346"/>
    </row>
    <row r="94347" spans="10:10" x14ac:dyDescent="0.3">
      <c r="J94347"/>
    </row>
    <row r="94348" spans="10:10" x14ac:dyDescent="0.3">
      <c r="J94348"/>
    </row>
    <row r="94349" spans="10:10" x14ac:dyDescent="0.3">
      <c r="J94349"/>
    </row>
    <row r="94350" spans="10:10" x14ac:dyDescent="0.3">
      <c r="J94350"/>
    </row>
    <row r="94351" spans="10:10" x14ac:dyDescent="0.3">
      <c r="J94351"/>
    </row>
    <row r="94352" spans="10:10" x14ac:dyDescent="0.3">
      <c r="J94352"/>
    </row>
    <row r="94353" spans="10:10" x14ac:dyDescent="0.3">
      <c r="J94353"/>
    </row>
    <row r="94354" spans="10:10" x14ac:dyDescent="0.3">
      <c r="J94354"/>
    </row>
    <row r="94355" spans="10:10" x14ac:dyDescent="0.3">
      <c r="J94355"/>
    </row>
    <row r="94356" spans="10:10" x14ac:dyDescent="0.3">
      <c r="J94356"/>
    </row>
    <row r="94357" spans="10:10" x14ac:dyDescent="0.3">
      <c r="J94357"/>
    </row>
    <row r="94358" spans="10:10" x14ac:dyDescent="0.3">
      <c r="J94358"/>
    </row>
    <row r="94359" spans="10:10" x14ac:dyDescent="0.3">
      <c r="J94359"/>
    </row>
    <row r="94360" spans="10:10" x14ac:dyDescent="0.3">
      <c r="J94360"/>
    </row>
    <row r="94361" spans="10:10" x14ac:dyDescent="0.3">
      <c r="J94361"/>
    </row>
    <row r="94362" spans="10:10" x14ac:dyDescent="0.3">
      <c r="J94362"/>
    </row>
    <row r="94363" spans="10:10" x14ac:dyDescent="0.3">
      <c r="J94363"/>
    </row>
    <row r="94364" spans="10:10" x14ac:dyDescent="0.3">
      <c r="J94364"/>
    </row>
    <row r="94365" spans="10:10" x14ac:dyDescent="0.3">
      <c r="J94365"/>
    </row>
    <row r="94366" spans="10:10" x14ac:dyDescent="0.3">
      <c r="J94366"/>
    </row>
    <row r="94367" spans="10:10" x14ac:dyDescent="0.3">
      <c r="J94367"/>
    </row>
    <row r="94368" spans="10:10" x14ac:dyDescent="0.3">
      <c r="J94368"/>
    </row>
    <row r="94369" spans="10:10" x14ac:dyDescent="0.3">
      <c r="J94369"/>
    </row>
    <row r="94370" spans="10:10" x14ac:dyDescent="0.3">
      <c r="J94370"/>
    </row>
    <row r="94371" spans="10:10" x14ac:dyDescent="0.3">
      <c r="J94371"/>
    </row>
    <row r="94372" spans="10:10" x14ac:dyDescent="0.3">
      <c r="J94372"/>
    </row>
    <row r="94373" spans="10:10" x14ac:dyDescent="0.3">
      <c r="J94373"/>
    </row>
    <row r="94374" spans="10:10" x14ac:dyDescent="0.3">
      <c r="J94374"/>
    </row>
    <row r="94375" spans="10:10" x14ac:dyDescent="0.3">
      <c r="J94375"/>
    </row>
    <row r="94376" spans="10:10" x14ac:dyDescent="0.3">
      <c r="J94376"/>
    </row>
    <row r="94377" spans="10:10" x14ac:dyDescent="0.3">
      <c r="J94377"/>
    </row>
    <row r="94378" spans="10:10" x14ac:dyDescent="0.3">
      <c r="J94378"/>
    </row>
    <row r="94379" spans="10:10" x14ac:dyDescent="0.3">
      <c r="J94379"/>
    </row>
    <row r="94380" spans="10:10" x14ac:dyDescent="0.3">
      <c r="J94380"/>
    </row>
    <row r="94381" spans="10:10" x14ac:dyDescent="0.3">
      <c r="J94381"/>
    </row>
    <row r="94382" spans="10:10" x14ac:dyDescent="0.3">
      <c r="J94382"/>
    </row>
    <row r="94383" spans="10:10" x14ac:dyDescent="0.3">
      <c r="J94383"/>
    </row>
    <row r="94384" spans="10:10" x14ac:dyDescent="0.3">
      <c r="J94384"/>
    </row>
    <row r="94385" spans="10:10" x14ac:dyDescent="0.3">
      <c r="J94385"/>
    </row>
    <row r="94386" spans="10:10" x14ac:dyDescent="0.3">
      <c r="J94386"/>
    </row>
    <row r="94387" spans="10:10" x14ac:dyDescent="0.3">
      <c r="J94387"/>
    </row>
    <row r="94388" spans="10:10" x14ac:dyDescent="0.3">
      <c r="J94388"/>
    </row>
    <row r="94389" spans="10:10" x14ac:dyDescent="0.3">
      <c r="J94389"/>
    </row>
    <row r="94390" spans="10:10" x14ac:dyDescent="0.3">
      <c r="J94390"/>
    </row>
    <row r="94391" spans="10:10" x14ac:dyDescent="0.3">
      <c r="J94391"/>
    </row>
    <row r="94392" spans="10:10" x14ac:dyDescent="0.3">
      <c r="J94392"/>
    </row>
    <row r="94393" spans="10:10" x14ac:dyDescent="0.3">
      <c r="J94393"/>
    </row>
    <row r="94394" spans="10:10" x14ac:dyDescent="0.3">
      <c r="J94394"/>
    </row>
    <row r="94395" spans="10:10" x14ac:dyDescent="0.3">
      <c r="J94395"/>
    </row>
    <row r="94396" spans="10:10" x14ac:dyDescent="0.3">
      <c r="J94396"/>
    </row>
    <row r="94397" spans="10:10" x14ac:dyDescent="0.3">
      <c r="J94397"/>
    </row>
    <row r="94398" spans="10:10" x14ac:dyDescent="0.3">
      <c r="J94398"/>
    </row>
    <row r="94399" spans="10:10" x14ac:dyDescent="0.3">
      <c r="J94399"/>
    </row>
    <row r="94400" spans="10:10" x14ac:dyDescent="0.3">
      <c r="J94400"/>
    </row>
    <row r="94401" spans="10:10" x14ac:dyDescent="0.3">
      <c r="J94401"/>
    </row>
    <row r="94402" spans="10:10" x14ac:dyDescent="0.3">
      <c r="J94402"/>
    </row>
    <row r="94403" spans="10:10" x14ac:dyDescent="0.3">
      <c r="J94403"/>
    </row>
    <row r="94404" spans="10:10" x14ac:dyDescent="0.3">
      <c r="J94404"/>
    </row>
    <row r="94405" spans="10:10" x14ac:dyDescent="0.3">
      <c r="J94405"/>
    </row>
    <row r="94406" spans="10:10" x14ac:dyDescent="0.3">
      <c r="J94406"/>
    </row>
    <row r="94407" spans="10:10" x14ac:dyDescent="0.3">
      <c r="J94407"/>
    </row>
    <row r="94408" spans="10:10" x14ac:dyDescent="0.3">
      <c r="J94408"/>
    </row>
    <row r="94409" spans="10:10" x14ac:dyDescent="0.3">
      <c r="J94409"/>
    </row>
    <row r="94410" spans="10:10" x14ac:dyDescent="0.3">
      <c r="J94410"/>
    </row>
    <row r="94411" spans="10:10" x14ac:dyDescent="0.3">
      <c r="J94411"/>
    </row>
    <row r="94412" spans="10:10" x14ac:dyDescent="0.3">
      <c r="J94412"/>
    </row>
    <row r="94413" spans="10:10" x14ac:dyDescent="0.3">
      <c r="J94413"/>
    </row>
    <row r="94414" spans="10:10" x14ac:dyDescent="0.3">
      <c r="J94414"/>
    </row>
    <row r="94415" spans="10:10" x14ac:dyDescent="0.3">
      <c r="J94415"/>
    </row>
    <row r="94416" spans="10:10" x14ac:dyDescent="0.3">
      <c r="J94416"/>
    </row>
    <row r="94417" spans="10:10" x14ac:dyDescent="0.3">
      <c r="J94417"/>
    </row>
    <row r="94418" spans="10:10" x14ac:dyDescent="0.3">
      <c r="J94418"/>
    </row>
    <row r="94419" spans="10:10" x14ac:dyDescent="0.3">
      <c r="J94419"/>
    </row>
    <row r="94420" spans="10:10" x14ac:dyDescent="0.3">
      <c r="J94420"/>
    </row>
    <row r="94421" spans="10:10" x14ac:dyDescent="0.3">
      <c r="J94421"/>
    </row>
    <row r="94422" spans="10:10" x14ac:dyDescent="0.3">
      <c r="J94422"/>
    </row>
    <row r="94423" spans="10:10" x14ac:dyDescent="0.3">
      <c r="J94423"/>
    </row>
    <row r="94424" spans="10:10" x14ac:dyDescent="0.3">
      <c r="J94424"/>
    </row>
    <row r="94425" spans="10:10" x14ac:dyDescent="0.3">
      <c r="J94425"/>
    </row>
    <row r="94426" spans="10:10" x14ac:dyDescent="0.3">
      <c r="J94426"/>
    </row>
    <row r="94427" spans="10:10" x14ac:dyDescent="0.3">
      <c r="J94427"/>
    </row>
    <row r="94428" spans="10:10" x14ac:dyDescent="0.3">
      <c r="J94428"/>
    </row>
    <row r="94429" spans="10:10" x14ac:dyDescent="0.3">
      <c r="J94429"/>
    </row>
    <row r="94430" spans="10:10" x14ac:dyDescent="0.3">
      <c r="J94430"/>
    </row>
    <row r="94431" spans="10:10" x14ac:dyDescent="0.3">
      <c r="J94431"/>
    </row>
    <row r="94432" spans="10:10" x14ac:dyDescent="0.3">
      <c r="J94432"/>
    </row>
    <row r="94433" spans="10:10" x14ac:dyDescent="0.3">
      <c r="J94433"/>
    </row>
    <row r="94434" spans="10:10" x14ac:dyDescent="0.3">
      <c r="J94434"/>
    </row>
    <row r="94435" spans="10:10" x14ac:dyDescent="0.3">
      <c r="J94435"/>
    </row>
    <row r="94436" spans="10:10" x14ac:dyDescent="0.3">
      <c r="J94436"/>
    </row>
    <row r="94437" spans="10:10" x14ac:dyDescent="0.3">
      <c r="J94437"/>
    </row>
    <row r="94438" spans="10:10" x14ac:dyDescent="0.3">
      <c r="J94438"/>
    </row>
    <row r="94439" spans="10:10" x14ac:dyDescent="0.3">
      <c r="J94439"/>
    </row>
    <row r="94440" spans="10:10" x14ac:dyDescent="0.3">
      <c r="J94440"/>
    </row>
    <row r="94441" spans="10:10" x14ac:dyDescent="0.3">
      <c r="J94441"/>
    </row>
    <row r="94442" spans="10:10" x14ac:dyDescent="0.3">
      <c r="J94442"/>
    </row>
    <row r="94443" spans="10:10" x14ac:dyDescent="0.3">
      <c r="J94443"/>
    </row>
    <row r="94444" spans="10:10" x14ac:dyDescent="0.3">
      <c r="J94444"/>
    </row>
    <row r="94445" spans="10:10" x14ac:dyDescent="0.3">
      <c r="J94445"/>
    </row>
    <row r="94446" spans="10:10" x14ac:dyDescent="0.3">
      <c r="J94446"/>
    </row>
    <row r="94447" spans="10:10" x14ac:dyDescent="0.3">
      <c r="J94447"/>
    </row>
    <row r="94448" spans="10:10" x14ac:dyDescent="0.3">
      <c r="J94448"/>
    </row>
    <row r="94449" spans="10:10" x14ac:dyDescent="0.3">
      <c r="J94449"/>
    </row>
    <row r="94450" spans="10:10" x14ac:dyDescent="0.3">
      <c r="J94450"/>
    </row>
    <row r="94451" spans="10:10" x14ac:dyDescent="0.3">
      <c r="J94451"/>
    </row>
    <row r="94452" spans="10:10" x14ac:dyDescent="0.3">
      <c r="J94452"/>
    </row>
    <row r="94453" spans="10:10" x14ac:dyDescent="0.3">
      <c r="J94453"/>
    </row>
    <row r="94454" spans="10:10" x14ac:dyDescent="0.3">
      <c r="J94454"/>
    </row>
    <row r="94455" spans="10:10" x14ac:dyDescent="0.3">
      <c r="J94455"/>
    </row>
    <row r="94456" spans="10:10" x14ac:dyDescent="0.3">
      <c r="J94456"/>
    </row>
    <row r="94457" spans="10:10" x14ac:dyDescent="0.3">
      <c r="J94457"/>
    </row>
    <row r="94458" spans="10:10" x14ac:dyDescent="0.3">
      <c r="J94458"/>
    </row>
    <row r="94459" spans="10:10" x14ac:dyDescent="0.3">
      <c r="J94459"/>
    </row>
    <row r="94460" spans="10:10" x14ac:dyDescent="0.3">
      <c r="J94460"/>
    </row>
    <row r="94461" spans="10:10" x14ac:dyDescent="0.3">
      <c r="J94461"/>
    </row>
    <row r="94462" spans="10:10" x14ac:dyDescent="0.3">
      <c r="J94462"/>
    </row>
    <row r="94463" spans="10:10" x14ac:dyDescent="0.3">
      <c r="J94463"/>
    </row>
    <row r="94464" spans="10:10" x14ac:dyDescent="0.3">
      <c r="J94464"/>
    </row>
    <row r="94465" spans="10:10" x14ac:dyDescent="0.3">
      <c r="J94465"/>
    </row>
    <row r="94466" spans="10:10" x14ac:dyDescent="0.3">
      <c r="J94466"/>
    </row>
    <row r="94467" spans="10:10" x14ac:dyDescent="0.3">
      <c r="J94467"/>
    </row>
    <row r="94468" spans="10:10" x14ac:dyDescent="0.3">
      <c r="J94468"/>
    </row>
    <row r="94469" spans="10:10" x14ac:dyDescent="0.3">
      <c r="J94469"/>
    </row>
    <row r="94470" spans="10:10" x14ac:dyDescent="0.3">
      <c r="J94470"/>
    </row>
    <row r="94471" spans="10:10" x14ac:dyDescent="0.3">
      <c r="J94471"/>
    </row>
    <row r="94472" spans="10:10" x14ac:dyDescent="0.3">
      <c r="J94472"/>
    </row>
    <row r="94473" spans="10:10" x14ac:dyDescent="0.3">
      <c r="J94473"/>
    </row>
    <row r="94474" spans="10:10" x14ac:dyDescent="0.3">
      <c r="J94474"/>
    </row>
    <row r="94475" spans="10:10" x14ac:dyDescent="0.3">
      <c r="J94475"/>
    </row>
    <row r="94476" spans="10:10" x14ac:dyDescent="0.3">
      <c r="J94476"/>
    </row>
    <row r="94477" spans="10:10" x14ac:dyDescent="0.3">
      <c r="J94477"/>
    </row>
    <row r="94478" spans="10:10" x14ac:dyDescent="0.3">
      <c r="J94478"/>
    </row>
    <row r="94479" spans="10:10" x14ac:dyDescent="0.3">
      <c r="J94479"/>
    </row>
    <row r="94480" spans="10:10" x14ac:dyDescent="0.3">
      <c r="J94480"/>
    </row>
    <row r="94481" spans="10:10" x14ac:dyDescent="0.3">
      <c r="J94481"/>
    </row>
    <row r="94482" spans="10:10" x14ac:dyDescent="0.3">
      <c r="J94482"/>
    </row>
    <row r="94483" spans="10:10" x14ac:dyDescent="0.3">
      <c r="J94483"/>
    </row>
    <row r="94484" spans="10:10" x14ac:dyDescent="0.3">
      <c r="J94484"/>
    </row>
    <row r="94485" spans="10:10" x14ac:dyDescent="0.3">
      <c r="J94485"/>
    </row>
    <row r="94486" spans="10:10" x14ac:dyDescent="0.3">
      <c r="J94486"/>
    </row>
    <row r="94487" spans="10:10" x14ac:dyDescent="0.3">
      <c r="J94487"/>
    </row>
    <row r="94488" spans="10:10" x14ac:dyDescent="0.3">
      <c r="J94488"/>
    </row>
    <row r="94489" spans="10:10" x14ac:dyDescent="0.3">
      <c r="J94489"/>
    </row>
    <row r="94490" spans="10:10" x14ac:dyDescent="0.3">
      <c r="J94490"/>
    </row>
    <row r="94491" spans="10:10" x14ac:dyDescent="0.3">
      <c r="J94491"/>
    </row>
    <row r="94492" spans="10:10" x14ac:dyDescent="0.3">
      <c r="J94492"/>
    </row>
    <row r="94493" spans="10:10" x14ac:dyDescent="0.3">
      <c r="J94493"/>
    </row>
    <row r="94494" spans="10:10" x14ac:dyDescent="0.3">
      <c r="J94494"/>
    </row>
    <row r="94495" spans="10:10" x14ac:dyDescent="0.3">
      <c r="J94495"/>
    </row>
    <row r="94496" spans="10:10" x14ac:dyDescent="0.3">
      <c r="J94496"/>
    </row>
    <row r="94497" spans="10:10" x14ac:dyDescent="0.3">
      <c r="J94497"/>
    </row>
    <row r="94498" spans="10:10" x14ac:dyDescent="0.3">
      <c r="J94498"/>
    </row>
    <row r="94499" spans="10:10" x14ac:dyDescent="0.3">
      <c r="J94499"/>
    </row>
    <row r="94500" spans="10:10" x14ac:dyDescent="0.3">
      <c r="J94500"/>
    </row>
    <row r="94501" spans="10:10" x14ac:dyDescent="0.3">
      <c r="J94501"/>
    </row>
    <row r="94502" spans="10:10" x14ac:dyDescent="0.3">
      <c r="J94502"/>
    </row>
    <row r="94503" spans="10:10" x14ac:dyDescent="0.3">
      <c r="J94503"/>
    </row>
    <row r="94504" spans="10:10" x14ac:dyDescent="0.3">
      <c r="J94504"/>
    </row>
    <row r="94505" spans="10:10" x14ac:dyDescent="0.3">
      <c r="J94505"/>
    </row>
    <row r="94506" spans="10:10" x14ac:dyDescent="0.3">
      <c r="J94506"/>
    </row>
    <row r="94507" spans="10:10" x14ac:dyDescent="0.3">
      <c r="J94507"/>
    </row>
    <row r="94508" spans="10:10" x14ac:dyDescent="0.3">
      <c r="J94508"/>
    </row>
    <row r="94509" spans="10:10" x14ac:dyDescent="0.3">
      <c r="J94509"/>
    </row>
    <row r="94510" spans="10:10" x14ac:dyDescent="0.3">
      <c r="J94510"/>
    </row>
    <row r="94511" spans="10:10" x14ac:dyDescent="0.3">
      <c r="J94511"/>
    </row>
    <row r="94512" spans="10:10" x14ac:dyDescent="0.3">
      <c r="J94512"/>
    </row>
    <row r="94513" spans="10:10" x14ac:dyDescent="0.3">
      <c r="J94513"/>
    </row>
    <row r="94514" spans="10:10" x14ac:dyDescent="0.3">
      <c r="J94514"/>
    </row>
    <row r="94515" spans="10:10" x14ac:dyDescent="0.3">
      <c r="J94515"/>
    </row>
    <row r="94516" spans="10:10" x14ac:dyDescent="0.3">
      <c r="J94516"/>
    </row>
    <row r="94517" spans="10:10" x14ac:dyDescent="0.3">
      <c r="J94517"/>
    </row>
    <row r="94518" spans="10:10" x14ac:dyDescent="0.3">
      <c r="J94518"/>
    </row>
    <row r="94519" spans="10:10" x14ac:dyDescent="0.3">
      <c r="J94519"/>
    </row>
    <row r="94520" spans="10:10" x14ac:dyDescent="0.3">
      <c r="J94520"/>
    </row>
    <row r="94521" spans="10:10" x14ac:dyDescent="0.3">
      <c r="J94521"/>
    </row>
    <row r="94522" spans="10:10" x14ac:dyDescent="0.3">
      <c r="J94522"/>
    </row>
    <row r="94523" spans="10:10" x14ac:dyDescent="0.3">
      <c r="J94523"/>
    </row>
    <row r="94524" spans="10:10" x14ac:dyDescent="0.3">
      <c r="J94524"/>
    </row>
    <row r="94525" spans="10:10" x14ac:dyDescent="0.3">
      <c r="J94525"/>
    </row>
    <row r="94526" spans="10:10" x14ac:dyDescent="0.3">
      <c r="J94526"/>
    </row>
    <row r="94527" spans="10:10" x14ac:dyDescent="0.3">
      <c r="J94527"/>
    </row>
    <row r="94528" spans="10:10" x14ac:dyDescent="0.3">
      <c r="J94528"/>
    </row>
    <row r="94529" spans="10:10" x14ac:dyDescent="0.3">
      <c r="J94529"/>
    </row>
    <row r="94530" spans="10:10" x14ac:dyDescent="0.3">
      <c r="J94530"/>
    </row>
    <row r="94531" spans="10:10" x14ac:dyDescent="0.3">
      <c r="J94531"/>
    </row>
    <row r="94532" spans="10:10" x14ac:dyDescent="0.3">
      <c r="J94532"/>
    </row>
    <row r="94533" spans="10:10" x14ac:dyDescent="0.3">
      <c r="J94533"/>
    </row>
    <row r="94534" spans="10:10" x14ac:dyDescent="0.3">
      <c r="J94534"/>
    </row>
    <row r="94535" spans="10:10" x14ac:dyDescent="0.3">
      <c r="J94535"/>
    </row>
    <row r="94536" spans="10:10" x14ac:dyDescent="0.3">
      <c r="J94536"/>
    </row>
    <row r="94537" spans="10:10" x14ac:dyDescent="0.3">
      <c r="J94537"/>
    </row>
    <row r="94538" spans="10:10" x14ac:dyDescent="0.3">
      <c r="J94538"/>
    </row>
    <row r="94539" spans="10:10" x14ac:dyDescent="0.3">
      <c r="J94539"/>
    </row>
    <row r="94540" spans="10:10" x14ac:dyDescent="0.3">
      <c r="J94540"/>
    </row>
    <row r="94541" spans="10:10" x14ac:dyDescent="0.3">
      <c r="J94541"/>
    </row>
    <row r="94542" spans="10:10" x14ac:dyDescent="0.3">
      <c r="J94542"/>
    </row>
    <row r="94543" spans="10:10" x14ac:dyDescent="0.3">
      <c r="J94543"/>
    </row>
    <row r="94544" spans="10:10" x14ac:dyDescent="0.3">
      <c r="J94544"/>
    </row>
    <row r="94545" spans="10:10" x14ac:dyDescent="0.3">
      <c r="J94545"/>
    </row>
    <row r="94546" spans="10:10" x14ac:dyDescent="0.3">
      <c r="J94546"/>
    </row>
    <row r="94547" spans="10:10" x14ac:dyDescent="0.3">
      <c r="J94547"/>
    </row>
    <row r="94548" spans="10:10" x14ac:dyDescent="0.3">
      <c r="J94548"/>
    </row>
    <row r="94549" spans="10:10" x14ac:dyDescent="0.3">
      <c r="J94549"/>
    </row>
    <row r="94550" spans="10:10" x14ac:dyDescent="0.3">
      <c r="J94550"/>
    </row>
    <row r="94551" spans="10:10" x14ac:dyDescent="0.3">
      <c r="J94551"/>
    </row>
    <row r="94552" spans="10:10" x14ac:dyDescent="0.3">
      <c r="J94552"/>
    </row>
    <row r="94553" spans="10:10" x14ac:dyDescent="0.3">
      <c r="J94553"/>
    </row>
    <row r="94554" spans="10:10" x14ac:dyDescent="0.3">
      <c r="J94554"/>
    </row>
    <row r="94555" spans="10:10" x14ac:dyDescent="0.3">
      <c r="J94555"/>
    </row>
    <row r="94556" spans="10:10" x14ac:dyDescent="0.3">
      <c r="J94556"/>
    </row>
    <row r="94557" spans="10:10" x14ac:dyDescent="0.3">
      <c r="J94557"/>
    </row>
    <row r="94558" spans="10:10" x14ac:dyDescent="0.3">
      <c r="J94558"/>
    </row>
    <row r="94559" spans="10:10" x14ac:dyDescent="0.3">
      <c r="J94559"/>
    </row>
    <row r="94560" spans="10:10" x14ac:dyDescent="0.3">
      <c r="J94560"/>
    </row>
    <row r="94561" spans="10:10" x14ac:dyDescent="0.3">
      <c r="J94561"/>
    </row>
    <row r="94562" spans="10:10" x14ac:dyDescent="0.3">
      <c r="J94562"/>
    </row>
    <row r="94563" spans="10:10" x14ac:dyDescent="0.3">
      <c r="J94563"/>
    </row>
    <row r="94564" spans="10:10" x14ac:dyDescent="0.3">
      <c r="J94564"/>
    </row>
    <row r="94565" spans="10:10" x14ac:dyDescent="0.3">
      <c r="J94565"/>
    </row>
    <row r="94566" spans="10:10" x14ac:dyDescent="0.3">
      <c r="J94566"/>
    </row>
    <row r="94567" spans="10:10" x14ac:dyDescent="0.3">
      <c r="J94567"/>
    </row>
    <row r="94568" spans="10:10" x14ac:dyDescent="0.3">
      <c r="J94568"/>
    </row>
    <row r="94569" spans="10:10" x14ac:dyDescent="0.3">
      <c r="J94569"/>
    </row>
    <row r="94570" spans="10:10" x14ac:dyDescent="0.3">
      <c r="J94570"/>
    </row>
    <row r="94571" spans="10:10" x14ac:dyDescent="0.3">
      <c r="J94571"/>
    </row>
    <row r="94572" spans="10:10" x14ac:dyDescent="0.3">
      <c r="J94572"/>
    </row>
    <row r="94573" spans="10:10" x14ac:dyDescent="0.3">
      <c r="J94573"/>
    </row>
    <row r="94574" spans="10:10" x14ac:dyDescent="0.3">
      <c r="J94574"/>
    </row>
    <row r="94575" spans="10:10" x14ac:dyDescent="0.3">
      <c r="J94575"/>
    </row>
    <row r="94576" spans="10:10" x14ac:dyDescent="0.3">
      <c r="J94576"/>
    </row>
    <row r="94577" spans="10:10" x14ac:dyDescent="0.3">
      <c r="J94577"/>
    </row>
    <row r="94578" spans="10:10" x14ac:dyDescent="0.3">
      <c r="J94578"/>
    </row>
    <row r="94579" spans="10:10" x14ac:dyDescent="0.3">
      <c r="J94579"/>
    </row>
    <row r="94580" spans="10:10" x14ac:dyDescent="0.3">
      <c r="J94580"/>
    </row>
    <row r="94581" spans="10:10" x14ac:dyDescent="0.3">
      <c r="J94581"/>
    </row>
    <row r="94582" spans="10:10" x14ac:dyDescent="0.3">
      <c r="J94582"/>
    </row>
    <row r="94583" spans="10:10" x14ac:dyDescent="0.3">
      <c r="J94583"/>
    </row>
    <row r="94584" spans="10:10" x14ac:dyDescent="0.3">
      <c r="J94584"/>
    </row>
    <row r="94585" spans="10:10" x14ac:dyDescent="0.3">
      <c r="J94585"/>
    </row>
    <row r="94586" spans="10:10" x14ac:dyDescent="0.3">
      <c r="J94586"/>
    </row>
    <row r="94587" spans="10:10" x14ac:dyDescent="0.3">
      <c r="J94587"/>
    </row>
    <row r="94588" spans="10:10" x14ac:dyDescent="0.3">
      <c r="J94588"/>
    </row>
    <row r="94589" spans="10:10" x14ac:dyDescent="0.3">
      <c r="J94589"/>
    </row>
    <row r="94590" spans="10:10" x14ac:dyDescent="0.3">
      <c r="J94590"/>
    </row>
    <row r="94591" spans="10:10" x14ac:dyDescent="0.3">
      <c r="J94591"/>
    </row>
    <row r="94592" spans="10:10" x14ac:dyDescent="0.3">
      <c r="J94592"/>
    </row>
    <row r="94593" spans="10:10" x14ac:dyDescent="0.3">
      <c r="J94593"/>
    </row>
    <row r="94594" spans="10:10" x14ac:dyDescent="0.3">
      <c r="J94594"/>
    </row>
    <row r="94595" spans="10:10" x14ac:dyDescent="0.3">
      <c r="J94595"/>
    </row>
    <row r="94596" spans="10:10" x14ac:dyDescent="0.3">
      <c r="J94596"/>
    </row>
    <row r="94597" spans="10:10" x14ac:dyDescent="0.3">
      <c r="J94597"/>
    </row>
    <row r="94598" spans="10:10" x14ac:dyDescent="0.3">
      <c r="J94598"/>
    </row>
    <row r="94599" spans="10:10" x14ac:dyDescent="0.3">
      <c r="J94599"/>
    </row>
    <row r="94600" spans="10:10" x14ac:dyDescent="0.3">
      <c r="J94600"/>
    </row>
    <row r="94601" spans="10:10" x14ac:dyDescent="0.3">
      <c r="J94601"/>
    </row>
    <row r="94602" spans="10:10" x14ac:dyDescent="0.3">
      <c r="J94602"/>
    </row>
    <row r="94603" spans="10:10" x14ac:dyDescent="0.3">
      <c r="J94603"/>
    </row>
    <row r="94604" spans="10:10" x14ac:dyDescent="0.3">
      <c r="J94604"/>
    </row>
    <row r="94605" spans="10:10" x14ac:dyDescent="0.3">
      <c r="J94605"/>
    </row>
    <row r="94606" spans="10:10" x14ac:dyDescent="0.3">
      <c r="J94606"/>
    </row>
    <row r="94607" spans="10:10" x14ac:dyDescent="0.3">
      <c r="J94607"/>
    </row>
    <row r="94608" spans="10:10" x14ac:dyDescent="0.3">
      <c r="J94608"/>
    </row>
    <row r="94609" spans="10:10" x14ac:dyDescent="0.3">
      <c r="J94609"/>
    </row>
    <row r="94610" spans="10:10" x14ac:dyDescent="0.3">
      <c r="J94610"/>
    </row>
    <row r="94611" spans="10:10" x14ac:dyDescent="0.3">
      <c r="J94611"/>
    </row>
    <row r="94612" spans="10:10" x14ac:dyDescent="0.3">
      <c r="J94612"/>
    </row>
    <row r="94613" spans="10:10" x14ac:dyDescent="0.3">
      <c r="J94613"/>
    </row>
    <row r="94614" spans="10:10" x14ac:dyDescent="0.3">
      <c r="J94614"/>
    </row>
    <row r="94615" spans="10:10" x14ac:dyDescent="0.3">
      <c r="J94615"/>
    </row>
    <row r="94616" spans="10:10" x14ac:dyDescent="0.3">
      <c r="J94616"/>
    </row>
    <row r="94617" spans="10:10" x14ac:dyDescent="0.3">
      <c r="J94617"/>
    </row>
    <row r="94618" spans="10:10" x14ac:dyDescent="0.3">
      <c r="J94618"/>
    </row>
    <row r="94619" spans="10:10" x14ac:dyDescent="0.3">
      <c r="J94619"/>
    </row>
    <row r="94620" spans="10:10" x14ac:dyDescent="0.3">
      <c r="J94620"/>
    </row>
    <row r="94621" spans="10:10" x14ac:dyDescent="0.3">
      <c r="J94621"/>
    </row>
    <row r="94622" spans="10:10" x14ac:dyDescent="0.3">
      <c r="J94622"/>
    </row>
    <row r="94623" spans="10:10" x14ac:dyDescent="0.3">
      <c r="J94623"/>
    </row>
    <row r="94624" spans="10:10" x14ac:dyDescent="0.3">
      <c r="J94624"/>
    </row>
    <row r="94625" spans="10:10" x14ac:dyDescent="0.3">
      <c r="J94625"/>
    </row>
    <row r="94626" spans="10:10" x14ac:dyDescent="0.3">
      <c r="J94626"/>
    </row>
    <row r="94627" spans="10:10" x14ac:dyDescent="0.3">
      <c r="J94627"/>
    </row>
    <row r="94628" spans="10:10" x14ac:dyDescent="0.3">
      <c r="J94628"/>
    </row>
    <row r="94629" spans="10:10" x14ac:dyDescent="0.3">
      <c r="J94629"/>
    </row>
    <row r="94630" spans="10:10" x14ac:dyDescent="0.3">
      <c r="J94630"/>
    </row>
    <row r="94631" spans="10:10" x14ac:dyDescent="0.3">
      <c r="J94631"/>
    </row>
    <row r="94632" spans="10:10" x14ac:dyDescent="0.3">
      <c r="J94632"/>
    </row>
    <row r="94633" spans="10:10" x14ac:dyDescent="0.3">
      <c r="J94633"/>
    </row>
    <row r="94634" spans="10:10" x14ac:dyDescent="0.3">
      <c r="J94634"/>
    </row>
    <row r="94635" spans="10:10" x14ac:dyDescent="0.3">
      <c r="J94635"/>
    </row>
    <row r="94636" spans="10:10" x14ac:dyDescent="0.3">
      <c r="J94636"/>
    </row>
    <row r="94637" spans="10:10" x14ac:dyDescent="0.3">
      <c r="J94637"/>
    </row>
    <row r="94638" spans="10:10" x14ac:dyDescent="0.3">
      <c r="J94638"/>
    </row>
    <row r="94639" spans="10:10" x14ac:dyDescent="0.3">
      <c r="J94639"/>
    </row>
    <row r="94640" spans="10:10" x14ac:dyDescent="0.3">
      <c r="J94640"/>
    </row>
    <row r="94641" spans="10:10" x14ac:dyDescent="0.3">
      <c r="J94641"/>
    </row>
    <row r="94642" spans="10:10" x14ac:dyDescent="0.3">
      <c r="J94642"/>
    </row>
    <row r="94643" spans="10:10" x14ac:dyDescent="0.3">
      <c r="J94643"/>
    </row>
    <row r="94644" spans="10:10" x14ac:dyDescent="0.3">
      <c r="J94644"/>
    </row>
    <row r="94645" spans="10:10" x14ac:dyDescent="0.3">
      <c r="J94645"/>
    </row>
    <row r="94646" spans="10:10" x14ac:dyDescent="0.3">
      <c r="J94646"/>
    </row>
    <row r="94647" spans="10:10" x14ac:dyDescent="0.3">
      <c r="J94647"/>
    </row>
    <row r="94648" spans="10:10" x14ac:dyDescent="0.3">
      <c r="J94648"/>
    </row>
    <row r="94649" spans="10:10" x14ac:dyDescent="0.3">
      <c r="J94649"/>
    </row>
    <row r="94650" spans="10:10" x14ac:dyDescent="0.3">
      <c r="J94650"/>
    </row>
    <row r="94651" spans="10:10" x14ac:dyDescent="0.3">
      <c r="J94651"/>
    </row>
    <row r="94652" spans="10:10" x14ac:dyDescent="0.3">
      <c r="J94652"/>
    </row>
    <row r="94653" spans="10:10" x14ac:dyDescent="0.3">
      <c r="J94653"/>
    </row>
    <row r="94654" spans="10:10" x14ac:dyDescent="0.3">
      <c r="J94654"/>
    </row>
    <row r="94655" spans="10:10" x14ac:dyDescent="0.3">
      <c r="J94655"/>
    </row>
    <row r="94656" spans="10:10" x14ac:dyDescent="0.3">
      <c r="J94656"/>
    </row>
    <row r="94657" spans="10:10" x14ac:dyDescent="0.3">
      <c r="J94657"/>
    </row>
    <row r="94658" spans="10:10" x14ac:dyDescent="0.3">
      <c r="J94658"/>
    </row>
    <row r="94659" spans="10:10" x14ac:dyDescent="0.3">
      <c r="J94659"/>
    </row>
    <row r="94660" spans="10:10" x14ac:dyDescent="0.3">
      <c r="J94660"/>
    </row>
    <row r="94661" spans="10:10" x14ac:dyDescent="0.3">
      <c r="J94661"/>
    </row>
    <row r="94662" spans="10:10" x14ac:dyDescent="0.3">
      <c r="J94662"/>
    </row>
    <row r="94663" spans="10:10" x14ac:dyDescent="0.3">
      <c r="J94663"/>
    </row>
    <row r="94664" spans="10:10" x14ac:dyDescent="0.3">
      <c r="J94664"/>
    </row>
    <row r="94665" spans="10:10" x14ac:dyDescent="0.3">
      <c r="J94665"/>
    </row>
    <row r="94666" spans="10:10" x14ac:dyDescent="0.3">
      <c r="J94666"/>
    </row>
    <row r="94667" spans="10:10" x14ac:dyDescent="0.3">
      <c r="J94667"/>
    </row>
    <row r="94668" spans="10:10" x14ac:dyDescent="0.3">
      <c r="J94668"/>
    </row>
    <row r="94669" spans="10:10" x14ac:dyDescent="0.3">
      <c r="J94669"/>
    </row>
    <row r="94670" spans="10:10" x14ac:dyDescent="0.3">
      <c r="J94670"/>
    </row>
    <row r="94671" spans="10:10" x14ac:dyDescent="0.3">
      <c r="J94671"/>
    </row>
    <row r="94672" spans="10:10" x14ac:dyDescent="0.3">
      <c r="J94672"/>
    </row>
    <row r="94673" spans="10:10" x14ac:dyDescent="0.3">
      <c r="J94673"/>
    </row>
    <row r="94674" spans="10:10" x14ac:dyDescent="0.3">
      <c r="J94674"/>
    </row>
    <row r="94675" spans="10:10" x14ac:dyDescent="0.3">
      <c r="J94675"/>
    </row>
    <row r="94676" spans="10:10" x14ac:dyDescent="0.3">
      <c r="J94676"/>
    </row>
    <row r="94677" spans="10:10" x14ac:dyDescent="0.3">
      <c r="J94677"/>
    </row>
    <row r="94678" spans="10:10" x14ac:dyDescent="0.3">
      <c r="J94678"/>
    </row>
    <row r="94679" spans="10:10" x14ac:dyDescent="0.3">
      <c r="J94679"/>
    </row>
    <row r="94680" spans="10:10" x14ac:dyDescent="0.3">
      <c r="J94680"/>
    </row>
    <row r="94681" spans="10:10" x14ac:dyDescent="0.3">
      <c r="J94681"/>
    </row>
    <row r="94682" spans="10:10" x14ac:dyDescent="0.3">
      <c r="J94682"/>
    </row>
    <row r="94683" spans="10:10" x14ac:dyDescent="0.3">
      <c r="J94683"/>
    </row>
    <row r="94684" spans="10:10" x14ac:dyDescent="0.3">
      <c r="J94684"/>
    </row>
    <row r="94685" spans="10:10" x14ac:dyDescent="0.3">
      <c r="J94685"/>
    </row>
    <row r="94686" spans="10:10" x14ac:dyDescent="0.3">
      <c r="J94686"/>
    </row>
    <row r="94687" spans="10:10" x14ac:dyDescent="0.3">
      <c r="J94687"/>
    </row>
    <row r="94688" spans="10:10" x14ac:dyDescent="0.3">
      <c r="J94688"/>
    </row>
    <row r="94689" spans="10:10" x14ac:dyDescent="0.3">
      <c r="J94689"/>
    </row>
    <row r="94690" spans="10:10" x14ac:dyDescent="0.3">
      <c r="J94690"/>
    </row>
    <row r="94691" spans="10:10" x14ac:dyDescent="0.3">
      <c r="J94691"/>
    </row>
    <row r="94692" spans="10:10" x14ac:dyDescent="0.3">
      <c r="J94692"/>
    </row>
    <row r="94693" spans="10:10" x14ac:dyDescent="0.3">
      <c r="J94693"/>
    </row>
    <row r="94694" spans="10:10" x14ac:dyDescent="0.3">
      <c r="J94694"/>
    </row>
    <row r="94695" spans="10:10" x14ac:dyDescent="0.3">
      <c r="J94695"/>
    </row>
    <row r="94696" spans="10:10" x14ac:dyDescent="0.3">
      <c r="J94696"/>
    </row>
    <row r="94697" spans="10:10" x14ac:dyDescent="0.3">
      <c r="J94697"/>
    </row>
    <row r="94698" spans="10:10" x14ac:dyDescent="0.3">
      <c r="J94698"/>
    </row>
    <row r="94699" spans="10:10" x14ac:dyDescent="0.3">
      <c r="J94699"/>
    </row>
    <row r="94700" spans="10:10" x14ac:dyDescent="0.3">
      <c r="J94700"/>
    </row>
    <row r="94701" spans="10:10" x14ac:dyDescent="0.3">
      <c r="J94701"/>
    </row>
    <row r="94702" spans="10:10" x14ac:dyDescent="0.3">
      <c r="J94702"/>
    </row>
    <row r="94703" spans="10:10" x14ac:dyDescent="0.3">
      <c r="J94703"/>
    </row>
    <row r="94704" spans="10:10" x14ac:dyDescent="0.3">
      <c r="J94704"/>
    </row>
    <row r="94705" spans="10:10" x14ac:dyDescent="0.3">
      <c r="J94705"/>
    </row>
    <row r="94706" spans="10:10" x14ac:dyDescent="0.3">
      <c r="J94706"/>
    </row>
    <row r="94707" spans="10:10" x14ac:dyDescent="0.3">
      <c r="J94707"/>
    </row>
    <row r="94708" spans="10:10" x14ac:dyDescent="0.3">
      <c r="J94708"/>
    </row>
    <row r="94709" spans="10:10" x14ac:dyDescent="0.3">
      <c r="J94709"/>
    </row>
    <row r="94710" spans="10:10" x14ac:dyDescent="0.3">
      <c r="J94710"/>
    </row>
    <row r="94711" spans="10:10" x14ac:dyDescent="0.3">
      <c r="J94711"/>
    </row>
    <row r="94712" spans="10:10" x14ac:dyDescent="0.3">
      <c r="J94712"/>
    </row>
    <row r="94713" spans="10:10" x14ac:dyDescent="0.3">
      <c r="J94713"/>
    </row>
    <row r="94714" spans="10:10" x14ac:dyDescent="0.3">
      <c r="J94714"/>
    </row>
    <row r="94715" spans="10:10" x14ac:dyDescent="0.3">
      <c r="J94715"/>
    </row>
    <row r="94716" spans="10:10" x14ac:dyDescent="0.3">
      <c r="J94716"/>
    </row>
    <row r="94717" spans="10:10" x14ac:dyDescent="0.3">
      <c r="J94717"/>
    </row>
    <row r="94718" spans="10:10" x14ac:dyDescent="0.3">
      <c r="J94718"/>
    </row>
    <row r="94719" spans="10:10" x14ac:dyDescent="0.3">
      <c r="J94719"/>
    </row>
    <row r="94720" spans="10:10" x14ac:dyDescent="0.3">
      <c r="J94720"/>
    </row>
    <row r="94721" spans="10:10" x14ac:dyDescent="0.3">
      <c r="J94721"/>
    </row>
    <row r="94722" spans="10:10" x14ac:dyDescent="0.3">
      <c r="J94722"/>
    </row>
    <row r="94723" spans="10:10" x14ac:dyDescent="0.3">
      <c r="J94723"/>
    </row>
    <row r="94724" spans="10:10" x14ac:dyDescent="0.3">
      <c r="J94724"/>
    </row>
    <row r="94725" spans="10:10" x14ac:dyDescent="0.3">
      <c r="J94725"/>
    </row>
    <row r="94726" spans="10:10" x14ac:dyDescent="0.3">
      <c r="J94726"/>
    </row>
    <row r="94727" spans="10:10" x14ac:dyDescent="0.3">
      <c r="J94727"/>
    </row>
    <row r="94728" spans="10:10" x14ac:dyDescent="0.3">
      <c r="J94728"/>
    </row>
    <row r="94729" spans="10:10" x14ac:dyDescent="0.3">
      <c r="J94729"/>
    </row>
    <row r="94730" spans="10:10" x14ac:dyDescent="0.3">
      <c r="J94730"/>
    </row>
    <row r="94731" spans="10:10" x14ac:dyDescent="0.3">
      <c r="J94731"/>
    </row>
    <row r="94732" spans="10:10" x14ac:dyDescent="0.3">
      <c r="J94732"/>
    </row>
    <row r="94733" spans="10:10" x14ac:dyDescent="0.3">
      <c r="J94733"/>
    </row>
    <row r="94734" spans="10:10" x14ac:dyDescent="0.3">
      <c r="J94734"/>
    </row>
    <row r="94735" spans="10:10" x14ac:dyDescent="0.3">
      <c r="J94735"/>
    </row>
    <row r="94736" spans="10:10" x14ac:dyDescent="0.3">
      <c r="J94736"/>
    </row>
    <row r="94737" spans="10:10" x14ac:dyDescent="0.3">
      <c r="J94737"/>
    </row>
    <row r="94738" spans="10:10" x14ac:dyDescent="0.3">
      <c r="J94738"/>
    </row>
    <row r="94739" spans="10:10" x14ac:dyDescent="0.3">
      <c r="J94739"/>
    </row>
    <row r="94740" spans="10:10" x14ac:dyDescent="0.3">
      <c r="J94740"/>
    </row>
    <row r="94741" spans="10:10" x14ac:dyDescent="0.3">
      <c r="J94741"/>
    </row>
    <row r="94742" spans="10:10" x14ac:dyDescent="0.3">
      <c r="J94742"/>
    </row>
    <row r="94743" spans="10:10" x14ac:dyDescent="0.3">
      <c r="J94743"/>
    </row>
    <row r="94744" spans="10:10" x14ac:dyDescent="0.3">
      <c r="J94744"/>
    </row>
    <row r="94745" spans="10:10" x14ac:dyDescent="0.3">
      <c r="J94745"/>
    </row>
    <row r="94746" spans="10:10" x14ac:dyDescent="0.3">
      <c r="J94746"/>
    </row>
    <row r="94747" spans="10:10" x14ac:dyDescent="0.3">
      <c r="J94747"/>
    </row>
    <row r="94748" spans="10:10" x14ac:dyDescent="0.3">
      <c r="J94748"/>
    </row>
    <row r="94749" spans="10:10" x14ac:dyDescent="0.3">
      <c r="J94749"/>
    </row>
    <row r="94750" spans="10:10" x14ac:dyDescent="0.3">
      <c r="J94750"/>
    </row>
    <row r="94751" spans="10:10" x14ac:dyDescent="0.3">
      <c r="J94751"/>
    </row>
    <row r="94752" spans="10:10" x14ac:dyDescent="0.3">
      <c r="J94752"/>
    </row>
    <row r="94753" spans="10:10" x14ac:dyDescent="0.3">
      <c r="J94753"/>
    </row>
    <row r="94754" spans="10:10" x14ac:dyDescent="0.3">
      <c r="J94754"/>
    </row>
    <row r="94755" spans="10:10" x14ac:dyDescent="0.3">
      <c r="J94755"/>
    </row>
    <row r="94756" spans="10:10" x14ac:dyDescent="0.3">
      <c r="J94756"/>
    </row>
    <row r="94757" spans="10:10" x14ac:dyDescent="0.3">
      <c r="J94757"/>
    </row>
    <row r="94758" spans="10:10" x14ac:dyDescent="0.3">
      <c r="J94758"/>
    </row>
    <row r="94759" spans="10:10" x14ac:dyDescent="0.3">
      <c r="J94759"/>
    </row>
    <row r="94760" spans="10:10" x14ac:dyDescent="0.3">
      <c r="J94760"/>
    </row>
    <row r="94761" spans="10:10" x14ac:dyDescent="0.3">
      <c r="J94761"/>
    </row>
    <row r="94762" spans="10:10" x14ac:dyDescent="0.3">
      <c r="J94762"/>
    </row>
    <row r="94763" spans="10:10" x14ac:dyDescent="0.3">
      <c r="J94763"/>
    </row>
    <row r="94764" spans="10:10" x14ac:dyDescent="0.3">
      <c r="J94764"/>
    </row>
    <row r="94765" spans="10:10" x14ac:dyDescent="0.3">
      <c r="J94765"/>
    </row>
    <row r="94766" spans="10:10" x14ac:dyDescent="0.3">
      <c r="J94766"/>
    </row>
    <row r="94767" spans="10:10" x14ac:dyDescent="0.3">
      <c r="J94767"/>
    </row>
    <row r="94768" spans="10:10" x14ac:dyDescent="0.3">
      <c r="J94768"/>
    </row>
    <row r="94769" spans="10:10" x14ac:dyDescent="0.3">
      <c r="J94769"/>
    </row>
    <row r="94770" spans="10:10" x14ac:dyDescent="0.3">
      <c r="J94770"/>
    </row>
    <row r="94771" spans="10:10" x14ac:dyDescent="0.3">
      <c r="J94771"/>
    </row>
    <row r="94772" spans="10:10" x14ac:dyDescent="0.3">
      <c r="J94772"/>
    </row>
    <row r="94773" spans="10:10" x14ac:dyDescent="0.3">
      <c r="J94773"/>
    </row>
    <row r="94774" spans="10:10" x14ac:dyDescent="0.3">
      <c r="J94774"/>
    </row>
    <row r="94775" spans="10:10" x14ac:dyDescent="0.3">
      <c r="J94775"/>
    </row>
    <row r="94776" spans="10:10" x14ac:dyDescent="0.3">
      <c r="J94776"/>
    </row>
    <row r="94777" spans="10:10" x14ac:dyDescent="0.3">
      <c r="J94777"/>
    </row>
    <row r="94778" spans="10:10" x14ac:dyDescent="0.3">
      <c r="J94778"/>
    </row>
    <row r="94779" spans="10:10" x14ac:dyDescent="0.3">
      <c r="J94779"/>
    </row>
    <row r="94780" spans="10:10" x14ac:dyDescent="0.3">
      <c r="J94780"/>
    </row>
    <row r="94781" spans="10:10" x14ac:dyDescent="0.3">
      <c r="J94781"/>
    </row>
    <row r="94782" spans="10:10" x14ac:dyDescent="0.3">
      <c r="J94782"/>
    </row>
    <row r="94783" spans="10:10" x14ac:dyDescent="0.3">
      <c r="J94783"/>
    </row>
    <row r="94784" spans="10:10" x14ac:dyDescent="0.3">
      <c r="J94784"/>
    </row>
    <row r="94785" spans="10:10" x14ac:dyDescent="0.3">
      <c r="J94785"/>
    </row>
    <row r="94786" spans="10:10" x14ac:dyDescent="0.3">
      <c r="J94786"/>
    </row>
    <row r="94787" spans="10:10" x14ac:dyDescent="0.3">
      <c r="J94787"/>
    </row>
    <row r="94788" spans="10:10" x14ac:dyDescent="0.3">
      <c r="J94788"/>
    </row>
    <row r="94789" spans="10:10" x14ac:dyDescent="0.3">
      <c r="J94789"/>
    </row>
    <row r="94790" spans="10:10" x14ac:dyDescent="0.3">
      <c r="J94790"/>
    </row>
    <row r="94791" spans="10:10" x14ac:dyDescent="0.3">
      <c r="J94791"/>
    </row>
    <row r="94792" spans="10:10" x14ac:dyDescent="0.3">
      <c r="J94792"/>
    </row>
    <row r="94793" spans="10:10" x14ac:dyDescent="0.3">
      <c r="J94793"/>
    </row>
    <row r="94794" spans="10:10" x14ac:dyDescent="0.3">
      <c r="J94794"/>
    </row>
    <row r="94795" spans="10:10" x14ac:dyDescent="0.3">
      <c r="J94795"/>
    </row>
    <row r="94796" spans="10:10" x14ac:dyDescent="0.3">
      <c r="J94796"/>
    </row>
    <row r="94797" spans="10:10" x14ac:dyDescent="0.3">
      <c r="J94797"/>
    </row>
    <row r="94798" spans="10:10" x14ac:dyDescent="0.3">
      <c r="J94798"/>
    </row>
    <row r="94799" spans="10:10" x14ac:dyDescent="0.3">
      <c r="J94799"/>
    </row>
    <row r="94800" spans="10:10" x14ac:dyDescent="0.3">
      <c r="J94800"/>
    </row>
    <row r="94801" spans="10:10" x14ac:dyDescent="0.3">
      <c r="J94801"/>
    </row>
    <row r="94802" spans="10:10" x14ac:dyDescent="0.3">
      <c r="J94802"/>
    </row>
    <row r="94803" spans="10:10" x14ac:dyDescent="0.3">
      <c r="J94803"/>
    </row>
    <row r="94804" spans="10:10" x14ac:dyDescent="0.3">
      <c r="J94804"/>
    </row>
    <row r="94805" spans="10:10" x14ac:dyDescent="0.3">
      <c r="J94805"/>
    </row>
    <row r="94806" spans="10:10" x14ac:dyDescent="0.3">
      <c r="J94806"/>
    </row>
    <row r="94807" spans="10:10" x14ac:dyDescent="0.3">
      <c r="J94807"/>
    </row>
    <row r="94808" spans="10:10" x14ac:dyDescent="0.3">
      <c r="J94808"/>
    </row>
    <row r="94809" spans="10:10" x14ac:dyDescent="0.3">
      <c r="J94809"/>
    </row>
    <row r="94810" spans="10:10" x14ac:dyDescent="0.3">
      <c r="J94810"/>
    </row>
    <row r="94811" spans="10:10" x14ac:dyDescent="0.3">
      <c r="J94811"/>
    </row>
    <row r="94812" spans="10:10" x14ac:dyDescent="0.3">
      <c r="J94812"/>
    </row>
    <row r="94813" spans="10:10" x14ac:dyDescent="0.3">
      <c r="J94813"/>
    </row>
    <row r="94814" spans="10:10" x14ac:dyDescent="0.3">
      <c r="J94814"/>
    </row>
    <row r="94815" spans="10:10" x14ac:dyDescent="0.3">
      <c r="J94815"/>
    </row>
    <row r="94816" spans="10:10" x14ac:dyDescent="0.3">
      <c r="J94816"/>
    </row>
    <row r="94817" spans="10:10" x14ac:dyDescent="0.3">
      <c r="J94817"/>
    </row>
    <row r="94818" spans="10:10" x14ac:dyDescent="0.3">
      <c r="J94818"/>
    </row>
    <row r="94819" spans="10:10" x14ac:dyDescent="0.3">
      <c r="J94819"/>
    </row>
    <row r="94820" spans="10:10" x14ac:dyDescent="0.3">
      <c r="J94820"/>
    </row>
    <row r="94821" spans="10:10" x14ac:dyDescent="0.3">
      <c r="J94821"/>
    </row>
    <row r="94822" spans="10:10" x14ac:dyDescent="0.3">
      <c r="J94822"/>
    </row>
    <row r="94823" spans="10:10" x14ac:dyDescent="0.3">
      <c r="J94823"/>
    </row>
    <row r="94824" spans="10:10" x14ac:dyDescent="0.3">
      <c r="J94824"/>
    </row>
    <row r="94825" spans="10:10" x14ac:dyDescent="0.3">
      <c r="J94825"/>
    </row>
    <row r="94826" spans="10:10" x14ac:dyDescent="0.3">
      <c r="J94826"/>
    </row>
    <row r="94827" spans="10:10" x14ac:dyDescent="0.3">
      <c r="J94827"/>
    </row>
    <row r="94828" spans="10:10" x14ac:dyDescent="0.3">
      <c r="J94828"/>
    </row>
    <row r="94829" spans="10:10" x14ac:dyDescent="0.3">
      <c r="J94829"/>
    </row>
    <row r="94830" spans="10:10" x14ac:dyDescent="0.3">
      <c r="J94830"/>
    </row>
    <row r="94831" spans="10:10" x14ac:dyDescent="0.3">
      <c r="J94831"/>
    </row>
    <row r="94832" spans="10:10" x14ac:dyDescent="0.3">
      <c r="J94832"/>
    </row>
    <row r="94833" spans="10:10" x14ac:dyDescent="0.3">
      <c r="J94833"/>
    </row>
    <row r="94834" spans="10:10" x14ac:dyDescent="0.3">
      <c r="J94834"/>
    </row>
    <row r="94835" spans="10:10" x14ac:dyDescent="0.3">
      <c r="J94835"/>
    </row>
    <row r="94836" spans="10:10" x14ac:dyDescent="0.3">
      <c r="J94836"/>
    </row>
    <row r="94837" spans="10:10" x14ac:dyDescent="0.3">
      <c r="J94837"/>
    </row>
    <row r="94838" spans="10:10" x14ac:dyDescent="0.3">
      <c r="J94838"/>
    </row>
    <row r="94839" spans="10:10" x14ac:dyDescent="0.3">
      <c r="J94839"/>
    </row>
    <row r="94840" spans="10:10" x14ac:dyDescent="0.3">
      <c r="J94840"/>
    </row>
    <row r="94841" spans="10:10" x14ac:dyDescent="0.3">
      <c r="J94841"/>
    </row>
    <row r="94842" spans="10:10" x14ac:dyDescent="0.3">
      <c r="J94842"/>
    </row>
    <row r="94843" spans="10:10" x14ac:dyDescent="0.3">
      <c r="J94843"/>
    </row>
    <row r="94844" spans="10:10" x14ac:dyDescent="0.3">
      <c r="J94844"/>
    </row>
    <row r="94845" spans="10:10" x14ac:dyDescent="0.3">
      <c r="J94845"/>
    </row>
    <row r="94846" spans="10:10" x14ac:dyDescent="0.3">
      <c r="J94846"/>
    </row>
    <row r="94847" spans="10:10" x14ac:dyDescent="0.3">
      <c r="J94847"/>
    </row>
    <row r="94848" spans="10:10" x14ac:dyDescent="0.3">
      <c r="J94848"/>
    </row>
    <row r="94849" spans="10:10" x14ac:dyDescent="0.3">
      <c r="J94849"/>
    </row>
    <row r="94850" spans="10:10" x14ac:dyDescent="0.3">
      <c r="J94850"/>
    </row>
    <row r="94851" spans="10:10" x14ac:dyDescent="0.3">
      <c r="J94851"/>
    </row>
    <row r="94852" spans="10:10" x14ac:dyDescent="0.3">
      <c r="J94852"/>
    </row>
    <row r="94853" spans="10:10" x14ac:dyDescent="0.3">
      <c r="J94853"/>
    </row>
    <row r="94854" spans="10:10" x14ac:dyDescent="0.3">
      <c r="J94854"/>
    </row>
    <row r="94855" spans="10:10" x14ac:dyDescent="0.3">
      <c r="J94855"/>
    </row>
    <row r="94856" spans="10:10" x14ac:dyDescent="0.3">
      <c r="J94856"/>
    </row>
    <row r="94857" spans="10:10" x14ac:dyDescent="0.3">
      <c r="J94857"/>
    </row>
    <row r="94858" spans="10:10" x14ac:dyDescent="0.3">
      <c r="J94858"/>
    </row>
    <row r="94859" spans="10:10" x14ac:dyDescent="0.3">
      <c r="J94859"/>
    </row>
    <row r="94860" spans="10:10" x14ac:dyDescent="0.3">
      <c r="J94860"/>
    </row>
    <row r="94861" spans="10:10" x14ac:dyDescent="0.3">
      <c r="J94861"/>
    </row>
    <row r="94862" spans="10:10" x14ac:dyDescent="0.3">
      <c r="J94862"/>
    </row>
    <row r="94863" spans="10:10" x14ac:dyDescent="0.3">
      <c r="J94863"/>
    </row>
    <row r="94864" spans="10:10" x14ac:dyDescent="0.3">
      <c r="J94864"/>
    </row>
    <row r="94865" spans="10:10" x14ac:dyDescent="0.3">
      <c r="J94865"/>
    </row>
    <row r="94866" spans="10:10" x14ac:dyDescent="0.3">
      <c r="J94866"/>
    </row>
    <row r="94867" spans="10:10" x14ac:dyDescent="0.3">
      <c r="J94867"/>
    </row>
    <row r="94868" spans="10:10" x14ac:dyDescent="0.3">
      <c r="J94868"/>
    </row>
    <row r="94869" spans="10:10" x14ac:dyDescent="0.3">
      <c r="J94869"/>
    </row>
    <row r="94870" spans="10:10" x14ac:dyDescent="0.3">
      <c r="J94870"/>
    </row>
    <row r="94871" spans="10:10" x14ac:dyDescent="0.3">
      <c r="J94871"/>
    </row>
    <row r="94872" spans="10:10" x14ac:dyDescent="0.3">
      <c r="J94872"/>
    </row>
    <row r="94873" spans="10:10" x14ac:dyDescent="0.3">
      <c r="J94873"/>
    </row>
    <row r="94874" spans="10:10" x14ac:dyDescent="0.3">
      <c r="J94874"/>
    </row>
    <row r="94875" spans="10:10" x14ac:dyDescent="0.3">
      <c r="J94875"/>
    </row>
    <row r="94876" spans="10:10" x14ac:dyDescent="0.3">
      <c r="J94876"/>
    </row>
    <row r="94877" spans="10:10" x14ac:dyDescent="0.3">
      <c r="J94877"/>
    </row>
    <row r="94878" spans="10:10" x14ac:dyDescent="0.3">
      <c r="J94878"/>
    </row>
    <row r="94879" spans="10:10" x14ac:dyDescent="0.3">
      <c r="J94879"/>
    </row>
    <row r="94880" spans="10:10" x14ac:dyDescent="0.3">
      <c r="J94880"/>
    </row>
    <row r="94881" spans="10:10" x14ac:dyDescent="0.3">
      <c r="J94881"/>
    </row>
    <row r="94882" spans="10:10" x14ac:dyDescent="0.3">
      <c r="J94882"/>
    </row>
    <row r="94883" spans="10:10" x14ac:dyDescent="0.3">
      <c r="J94883"/>
    </row>
    <row r="94884" spans="10:10" x14ac:dyDescent="0.3">
      <c r="J94884"/>
    </row>
    <row r="94885" spans="10:10" x14ac:dyDescent="0.3">
      <c r="J94885"/>
    </row>
    <row r="94886" spans="10:10" x14ac:dyDescent="0.3">
      <c r="J94886"/>
    </row>
    <row r="94887" spans="10:10" x14ac:dyDescent="0.3">
      <c r="J94887"/>
    </row>
    <row r="94888" spans="10:10" x14ac:dyDescent="0.3">
      <c r="J94888"/>
    </row>
    <row r="94889" spans="10:10" x14ac:dyDescent="0.3">
      <c r="J94889"/>
    </row>
    <row r="94890" spans="10:10" x14ac:dyDescent="0.3">
      <c r="J94890"/>
    </row>
    <row r="94891" spans="10:10" x14ac:dyDescent="0.3">
      <c r="J94891"/>
    </row>
    <row r="94892" spans="10:10" x14ac:dyDescent="0.3">
      <c r="J94892"/>
    </row>
    <row r="94893" spans="10:10" x14ac:dyDescent="0.3">
      <c r="J94893"/>
    </row>
    <row r="94894" spans="10:10" x14ac:dyDescent="0.3">
      <c r="J94894"/>
    </row>
    <row r="94895" spans="10:10" x14ac:dyDescent="0.3">
      <c r="J94895"/>
    </row>
    <row r="94896" spans="10:10" x14ac:dyDescent="0.3">
      <c r="J94896"/>
    </row>
    <row r="94897" spans="10:10" x14ac:dyDescent="0.3">
      <c r="J94897"/>
    </row>
    <row r="94898" spans="10:10" x14ac:dyDescent="0.3">
      <c r="J94898"/>
    </row>
    <row r="94899" spans="10:10" x14ac:dyDescent="0.3">
      <c r="J94899"/>
    </row>
    <row r="94900" spans="10:10" x14ac:dyDescent="0.3">
      <c r="J94900"/>
    </row>
    <row r="94901" spans="10:10" x14ac:dyDescent="0.3">
      <c r="J94901"/>
    </row>
    <row r="94902" spans="10:10" x14ac:dyDescent="0.3">
      <c r="J94902"/>
    </row>
    <row r="94903" spans="10:10" x14ac:dyDescent="0.3">
      <c r="J94903"/>
    </row>
    <row r="94904" spans="10:10" x14ac:dyDescent="0.3">
      <c r="J94904"/>
    </row>
    <row r="94905" spans="10:10" x14ac:dyDescent="0.3">
      <c r="J94905"/>
    </row>
    <row r="94906" spans="10:10" x14ac:dyDescent="0.3">
      <c r="J94906"/>
    </row>
    <row r="94907" spans="10:10" x14ac:dyDescent="0.3">
      <c r="J94907"/>
    </row>
    <row r="94908" spans="10:10" x14ac:dyDescent="0.3">
      <c r="J94908"/>
    </row>
    <row r="94909" spans="10:10" x14ac:dyDescent="0.3">
      <c r="J94909"/>
    </row>
    <row r="94910" spans="10:10" x14ac:dyDescent="0.3">
      <c r="J94910"/>
    </row>
    <row r="94911" spans="10:10" x14ac:dyDescent="0.3">
      <c r="J94911"/>
    </row>
    <row r="94912" spans="10:10" x14ac:dyDescent="0.3">
      <c r="J94912"/>
    </row>
    <row r="94913" spans="10:10" x14ac:dyDescent="0.3">
      <c r="J94913"/>
    </row>
    <row r="94914" spans="10:10" x14ac:dyDescent="0.3">
      <c r="J94914"/>
    </row>
    <row r="94915" spans="10:10" x14ac:dyDescent="0.3">
      <c r="J94915"/>
    </row>
    <row r="94916" spans="10:10" x14ac:dyDescent="0.3">
      <c r="J94916"/>
    </row>
    <row r="94917" spans="10:10" x14ac:dyDescent="0.3">
      <c r="J94917"/>
    </row>
    <row r="94918" spans="10:10" x14ac:dyDescent="0.3">
      <c r="J94918"/>
    </row>
    <row r="94919" spans="10:10" x14ac:dyDescent="0.3">
      <c r="J94919"/>
    </row>
    <row r="94920" spans="10:10" x14ac:dyDescent="0.3">
      <c r="J94920"/>
    </row>
    <row r="94921" spans="10:10" x14ac:dyDescent="0.3">
      <c r="J94921"/>
    </row>
    <row r="94922" spans="10:10" x14ac:dyDescent="0.3">
      <c r="J94922"/>
    </row>
    <row r="94923" spans="10:10" x14ac:dyDescent="0.3">
      <c r="J94923"/>
    </row>
    <row r="94924" spans="10:10" x14ac:dyDescent="0.3">
      <c r="J94924"/>
    </row>
    <row r="94925" spans="10:10" x14ac:dyDescent="0.3">
      <c r="J94925"/>
    </row>
    <row r="94926" spans="10:10" x14ac:dyDescent="0.3">
      <c r="J94926"/>
    </row>
    <row r="94927" spans="10:10" x14ac:dyDescent="0.3">
      <c r="J94927"/>
    </row>
    <row r="94928" spans="10:10" x14ac:dyDescent="0.3">
      <c r="J94928"/>
    </row>
    <row r="94929" spans="10:10" x14ac:dyDescent="0.3">
      <c r="J94929"/>
    </row>
    <row r="94930" spans="10:10" x14ac:dyDescent="0.3">
      <c r="J94930"/>
    </row>
    <row r="94931" spans="10:10" x14ac:dyDescent="0.3">
      <c r="J94931"/>
    </row>
    <row r="94932" spans="10:10" x14ac:dyDescent="0.3">
      <c r="J94932"/>
    </row>
    <row r="94933" spans="10:10" x14ac:dyDescent="0.3">
      <c r="J94933"/>
    </row>
    <row r="94934" spans="10:10" x14ac:dyDescent="0.3">
      <c r="J94934"/>
    </row>
    <row r="94935" spans="10:10" x14ac:dyDescent="0.3">
      <c r="J94935"/>
    </row>
    <row r="94936" spans="10:10" x14ac:dyDescent="0.3">
      <c r="J94936"/>
    </row>
    <row r="94937" spans="10:10" x14ac:dyDescent="0.3">
      <c r="J94937"/>
    </row>
    <row r="94938" spans="10:10" x14ac:dyDescent="0.3">
      <c r="J94938"/>
    </row>
    <row r="94939" spans="10:10" x14ac:dyDescent="0.3">
      <c r="J94939"/>
    </row>
    <row r="94940" spans="10:10" x14ac:dyDescent="0.3">
      <c r="J94940"/>
    </row>
    <row r="94941" spans="10:10" x14ac:dyDescent="0.3">
      <c r="J94941"/>
    </row>
    <row r="94942" spans="10:10" x14ac:dyDescent="0.3">
      <c r="J94942"/>
    </row>
    <row r="94943" spans="10:10" x14ac:dyDescent="0.3">
      <c r="J94943"/>
    </row>
    <row r="94944" spans="10:10" x14ac:dyDescent="0.3">
      <c r="J94944"/>
    </row>
    <row r="94945" spans="10:10" x14ac:dyDescent="0.3">
      <c r="J94945"/>
    </row>
    <row r="94946" spans="10:10" x14ac:dyDescent="0.3">
      <c r="J94946"/>
    </row>
    <row r="94947" spans="10:10" x14ac:dyDescent="0.3">
      <c r="J94947"/>
    </row>
    <row r="94948" spans="10:10" x14ac:dyDescent="0.3">
      <c r="J94948"/>
    </row>
    <row r="94949" spans="10:10" x14ac:dyDescent="0.3">
      <c r="J94949"/>
    </row>
    <row r="94950" spans="10:10" x14ac:dyDescent="0.3">
      <c r="J94950"/>
    </row>
    <row r="94951" spans="10:10" x14ac:dyDescent="0.3">
      <c r="J94951"/>
    </row>
    <row r="94952" spans="10:10" x14ac:dyDescent="0.3">
      <c r="J94952"/>
    </row>
    <row r="94953" spans="10:10" x14ac:dyDescent="0.3">
      <c r="J94953"/>
    </row>
    <row r="94954" spans="10:10" x14ac:dyDescent="0.3">
      <c r="J94954"/>
    </row>
    <row r="94955" spans="10:10" x14ac:dyDescent="0.3">
      <c r="J94955"/>
    </row>
    <row r="94956" spans="10:10" x14ac:dyDescent="0.3">
      <c r="J94956"/>
    </row>
    <row r="94957" spans="10:10" x14ac:dyDescent="0.3">
      <c r="J94957"/>
    </row>
    <row r="94958" spans="10:10" x14ac:dyDescent="0.3">
      <c r="J94958"/>
    </row>
    <row r="94959" spans="10:10" x14ac:dyDescent="0.3">
      <c r="J94959"/>
    </row>
    <row r="94960" spans="10:10" x14ac:dyDescent="0.3">
      <c r="J94960"/>
    </row>
    <row r="94961" spans="10:10" x14ac:dyDescent="0.3">
      <c r="J94961"/>
    </row>
    <row r="94962" spans="10:10" x14ac:dyDescent="0.3">
      <c r="J94962"/>
    </row>
    <row r="94963" spans="10:10" x14ac:dyDescent="0.3">
      <c r="J94963"/>
    </row>
    <row r="94964" spans="10:10" x14ac:dyDescent="0.3">
      <c r="J94964"/>
    </row>
    <row r="94965" spans="10:10" x14ac:dyDescent="0.3">
      <c r="J94965"/>
    </row>
    <row r="94966" spans="10:10" x14ac:dyDescent="0.3">
      <c r="J94966"/>
    </row>
    <row r="94967" spans="10:10" x14ac:dyDescent="0.3">
      <c r="J94967"/>
    </row>
    <row r="94968" spans="10:10" x14ac:dyDescent="0.3">
      <c r="J94968"/>
    </row>
    <row r="94969" spans="10:10" x14ac:dyDescent="0.3">
      <c r="J94969"/>
    </row>
    <row r="94970" spans="10:10" x14ac:dyDescent="0.3">
      <c r="J94970"/>
    </row>
    <row r="94971" spans="10:10" x14ac:dyDescent="0.3">
      <c r="J94971"/>
    </row>
    <row r="94972" spans="10:10" x14ac:dyDescent="0.3">
      <c r="J94972"/>
    </row>
    <row r="94973" spans="10:10" x14ac:dyDescent="0.3">
      <c r="J94973"/>
    </row>
    <row r="94974" spans="10:10" x14ac:dyDescent="0.3">
      <c r="J94974"/>
    </row>
    <row r="94975" spans="10:10" x14ac:dyDescent="0.3">
      <c r="J94975"/>
    </row>
    <row r="94976" spans="10:10" x14ac:dyDescent="0.3">
      <c r="J94976"/>
    </row>
    <row r="94977" spans="10:10" x14ac:dyDescent="0.3">
      <c r="J94977"/>
    </row>
    <row r="94978" spans="10:10" x14ac:dyDescent="0.3">
      <c r="J94978"/>
    </row>
    <row r="94979" spans="10:10" x14ac:dyDescent="0.3">
      <c r="J94979"/>
    </row>
    <row r="94980" spans="10:10" x14ac:dyDescent="0.3">
      <c r="J94980"/>
    </row>
    <row r="94981" spans="10:10" x14ac:dyDescent="0.3">
      <c r="J94981"/>
    </row>
    <row r="94982" spans="10:10" x14ac:dyDescent="0.3">
      <c r="J94982"/>
    </row>
    <row r="94983" spans="10:10" x14ac:dyDescent="0.3">
      <c r="J94983"/>
    </row>
    <row r="94984" spans="10:10" x14ac:dyDescent="0.3">
      <c r="J94984"/>
    </row>
    <row r="94985" spans="10:10" x14ac:dyDescent="0.3">
      <c r="J94985"/>
    </row>
    <row r="94986" spans="10:10" x14ac:dyDescent="0.3">
      <c r="J94986"/>
    </row>
    <row r="94987" spans="10:10" x14ac:dyDescent="0.3">
      <c r="J94987"/>
    </row>
    <row r="94988" spans="10:10" x14ac:dyDescent="0.3">
      <c r="J94988"/>
    </row>
    <row r="94989" spans="10:10" x14ac:dyDescent="0.3">
      <c r="J94989"/>
    </row>
    <row r="94990" spans="10:10" x14ac:dyDescent="0.3">
      <c r="J94990"/>
    </row>
    <row r="94991" spans="10:10" x14ac:dyDescent="0.3">
      <c r="J94991"/>
    </row>
    <row r="94992" spans="10:10" x14ac:dyDescent="0.3">
      <c r="J94992"/>
    </row>
    <row r="94993" spans="10:10" x14ac:dyDescent="0.3">
      <c r="J94993"/>
    </row>
    <row r="94994" spans="10:10" x14ac:dyDescent="0.3">
      <c r="J94994"/>
    </row>
    <row r="94995" spans="10:10" x14ac:dyDescent="0.3">
      <c r="J94995"/>
    </row>
    <row r="94996" spans="10:10" x14ac:dyDescent="0.3">
      <c r="J94996"/>
    </row>
    <row r="94997" spans="10:10" x14ac:dyDescent="0.3">
      <c r="J94997"/>
    </row>
    <row r="94998" spans="10:10" x14ac:dyDescent="0.3">
      <c r="J94998"/>
    </row>
    <row r="94999" spans="10:10" x14ac:dyDescent="0.3">
      <c r="J94999"/>
    </row>
    <row r="95000" spans="10:10" x14ac:dyDescent="0.3">
      <c r="J95000"/>
    </row>
    <row r="95001" spans="10:10" x14ac:dyDescent="0.3">
      <c r="J95001"/>
    </row>
    <row r="95002" spans="10:10" x14ac:dyDescent="0.3">
      <c r="J95002"/>
    </row>
    <row r="95003" spans="10:10" x14ac:dyDescent="0.3">
      <c r="J95003"/>
    </row>
    <row r="95004" spans="10:10" x14ac:dyDescent="0.3">
      <c r="J95004"/>
    </row>
    <row r="95005" spans="10:10" x14ac:dyDescent="0.3">
      <c r="J95005"/>
    </row>
    <row r="95006" spans="10:10" x14ac:dyDescent="0.3">
      <c r="J95006"/>
    </row>
    <row r="95007" spans="10:10" x14ac:dyDescent="0.3">
      <c r="J95007"/>
    </row>
    <row r="95008" spans="10:10" x14ac:dyDescent="0.3">
      <c r="J95008"/>
    </row>
    <row r="95009" spans="10:10" x14ac:dyDescent="0.3">
      <c r="J95009"/>
    </row>
    <row r="95010" spans="10:10" x14ac:dyDescent="0.3">
      <c r="J95010"/>
    </row>
    <row r="95011" spans="10:10" x14ac:dyDescent="0.3">
      <c r="J95011"/>
    </row>
    <row r="95012" spans="10:10" x14ac:dyDescent="0.3">
      <c r="J95012"/>
    </row>
    <row r="95013" spans="10:10" x14ac:dyDescent="0.3">
      <c r="J95013"/>
    </row>
    <row r="95014" spans="10:10" x14ac:dyDescent="0.3">
      <c r="J95014"/>
    </row>
    <row r="95015" spans="10:10" x14ac:dyDescent="0.3">
      <c r="J95015"/>
    </row>
    <row r="95016" spans="10:10" x14ac:dyDescent="0.3">
      <c r="J95016"/>
    </row>
    <row r="95017" spans="10:10" x14ac:dyDescent="0.3">
      <c r="J95017"/>
    </row>
    <row r="95018" spans="10:10" x14ac:dyDescent="0.3">
      <c r="J95018"/>
    </row>
    <row r="95019" spans="10:10" x14ac:dyDescent="0.3">
      <c r="J95019"/>
    </row>
    <row r="95020" spans="10:10" x14ac:dyDescent="0.3">
      <c r="J95020"/>
    </row>
    <row r="95021" spans="10:10" x14ac:dyDescent="0.3">
      <c r="J95021"/>
    </row>
    <row r="95022" spans="10:10" x14ac:dyDescent="0.3">
      <c r="J95022"/>
    </row>
    <row r="95023" spans="10:10" x14ac:dyDescent="0.3">
      <c r="J95023"/>
    </row>
    <row r="95024" spans="10:10" x14ac:dyDescent="0.3">
      <c r="J95024"/>
    </row>
    <row r="95025" spans="10:10" x14ac:dyDescent="0.3">
      <c r="J95025"/>
    </row>
    <row r="95026" spans="10:10" x14ac:dyDescent="0.3">
      <c r="J95026"/>
    </row>
    <row r="95027" spans="10:10" x14ac:dyDescent="0.3">
      <c r="J95027"/>
    </row>
    <row r="95028" spans="10:10" x14ac:dyDescent="0.3">
      <c r="J95028"/>
    </row>
    <row r="95029" spans="10:10" x14ac:dyDescent="0.3">
      <c r="J95029"/>
    </row>
    <row r="95030" spans="10:10" x14ac:dyDescent="0.3">
      <c r="J95030"/>
    </row>
    <row r="95031" spans="10:10" x14ac:dyDescent="0.3">
      <c r="J95031"/>
    </row>
    <row r="95032" spans="10:10" x14ac:dyDescent="0.3">
      <c r="J95032"/>
    </row>
    <row r="95033" spans="10:10" x14ac:dyDescent="0.3">
      <c r="J95033"/>
    </row>
    <row r="95034" spans="10:10" x14ac:dyDescent="0.3">
      <c r="J95034"/>
    </row>
    <row r="95035" spans="10:10" x14ac:dyDescent="0.3">
      <c r="J95035"/>
    </row>
    <row r="95036" spans="10:10" x14ac:dyDescent="0.3">
      <c r="J95036"/>
    </row>
    <row r="95037" spans="10:10" x14ac:dyDescent="0.3">
      <c r="J95037"/>
    </row>
    <row r="95038" spans="10:10" x14ac:dyDescent="0.3">
      <c r="J95038"/>
    </row>
    <row r="95039" spans="10:10" x14ac:dyDescent="0.3">
      <c r="J95039"/>
    </row>
    <row r="95040" spans="10:10" x14ac:dyDescent="0.3">
      <c r="J95040"/>
    </row>
    <row r="95041" spans="10:10" x14ac:dyDescent="0.3">
      <c r="J95041"/>
    </row>
    <row r="95042" spans="10:10" x14ac:dyDescent="0.3">
      <c r="J95042"/>
    </row>
    <row r="95043" spans="10:10" x14ac:dyDescent="0.3">
      <c r="J95043"/>
    </row>
    <row r="95044" spans="10:10" x14ac:dyDescent="0.3">
      <c r="J95044"/>
    </row>
    <row r="95045" spans="10:10" x14ac:dyDescent="0.3">
      <c r="J95045"/>
    </row>
    <row r="95046" spans="10:10" x14ac:dyDescent="0.3">
      <c r="J95046"/>
    </row>
    <row r="95047" spans="10:10" x14ac:dyDescent="0.3">
      <c r="J95047"/>
    </row>
    <row r="95048" spans="10:10" x14ac:dyDescent="0.3">
      <c r="J95048"/>
    </row>
    <row r="95049" spans="10:10" x14ac:dyDescent="0.3">
      <c r="J95049"/>
    </row>
    <row r="95050" spans="10:10" x14ac:dyDescent="0.3">
      <c r="J95050"/>
    </row>
    <row r="95051" spans="10:10" x14ac:dyDescent="0.3">
      <c r="J95051"/>
    </row>
    <row r="95052" spans="10:10" x14ac:dyDescent="0.3">
      <c r="J95052"/>
    </row>
    <row r="95053" spans="10:10" x14ac:dyDescent="0.3">
      <c r="J95053"/>
    </row>
    <row r="95054" spans="10:10" x14ac:dyDescent="0.3">
      <c r="J95054"/>
    </row>
    <row r="95055" spans="10:10" x14ac:dyDescent="0.3">
      <c r="J95055"/>
    </row>
    <row r="95056" spans="10:10" x14ac:dyDescent="0.3">
      <c r="J95056"/>
    </row>
    <row r="95057" spans="10:10" x14ac:dyDescent="0.3">
      <c r="J95057"/>
    </row>
    <row r="95058" spans="10:10" x14ac:dyDescent="0.3">
      <c r="J95058"/>
    </row>
    <row r="95059" spans="10:10" x14ac:dyDescent="0.3">
      <c r="J95059"/>
    </row>
    <row r="95060" spans="10:10" x14ac:dyDescent="0.3">
      <c r="J95060"/>
    </row>
    <row r="95061" spans="10:10" x14ac:dyDescent="0.3">
      <c r="J95061"/>
    </row>
    <row r="95062" spans="10:10" x14ac:dyDescent="0.3">
      <c r="J95062"/>
    </row>
    <row r="95063" spans="10:10" x14ac:dyDescent="0.3">
      <c r="J95063"/>
    </row>
    <row r="95064" spans="10:10" x14ac:dyDescent="0.3">
      <c r="J95064"/>
    </row>
    <row r="95065" spans="10:10" x14ac:dyDescent="0.3">
      <c r="J95065"/>
    </row>
    <row r="95066" spans="10:10" x14ac:dyDescent="0.3">
      <c r="J95066"/>
    </row>
    <row r="95067" spans="10:10" x14ac:dyDescent="0.3">
      <c r="J95067"/>
    </row>
    <row r="95068" spans="10:10" x14ac:dyDescent="0.3">
      <c r="J95068"/>
    </row>
    <row r="95069" spans="10:10" x14ac:dyDescent="0.3">
      <c r="J95069"/>
    </row>
    <row r="95070" spans="10:10" x14ac:dyDescent="0.3">
      <c r="J95070"/>
    </row>
    <row r="95071" spans="10:10" x14ac:dyDescent="0.3">
      <c r="J95071"/>
    </row>
    <row r="95072" spans="10:10" x14ac:dyDescent="0.3">
      <c r="J95072"/>
    </row>
    <row r="95073" spans="10:10" x14ac:dyDescent="0.3">
      <c r="J95073"/>
    </row>
    <row r="95074" spans="10:10" x14ac:dyDescent="0.3">
      <c r="J95074"/>
    </row>
    <row r="95075" spans="10:10" x14ac:dyDescent="0.3">
      <c r="J95075"/>
    </row>
    <row r="95076" spans="10:10" x14ac:dyDescent="0.3">
      <c r="J95076"/>
    </row>
    <row r="95077" spans="10:10" x14ac:dyDescent="0.3">
      <c r="J95077"/>
    </row>
    <row r="95078" spans="10:10" x14ac:dyDescent="0.3">
      <c r="J95078"/>
    </row>
    <row r="95079" spans="10:10" x14ac:dyDescent="0.3">
      <c r="J95079"/>
    </row>
    <row r="95080" spans="10:10" x14ac:dyDescent="0.3">
      <c r="J95080"/>
    </row>
    <row r="95081" spans="10:10" x14ac:dyDescent="0.3">
      <c r="J95081"/>
    </row>
    <row r="95082" spans="10:10" x14ac:dyDescent="0.3">
      <c r="J95082"/>
    </row>
    <row r="95083" spans="10:10" x14ac:dyDescent="0.3">
      <c r="J95083"/>
    </row>
    <row r="95084" spans="10:10" x14ac:dyDescent="0.3">
      <c r="J95084"/>
    </row>
    <row r="95085" spans="10:10" x14ac:dyDescent="0.3">
      <c r="J95085"/>
    </row>
    <row r="95086" spans="10:10" x14ac:dyDescent="0.3">
      <c r="J95086"/>
    </row>
    <row r="95087" spans="10:10" x14ac:dyDescent="0.3">
      <c r="J95087"/>
    </row>
    <row r="95088" spans="10:10" x14ac:dyDescent="0.3">
      <c r="J95088"/>
    </row>
    <row r="95089" spans="10:10" x14ac:dyDescent="0.3">
      <c r="J95089"/>
    </row>
    <row r="95090" spans="10:10" x14ac:dyDescent="0.3">
      <c r="J95090"/>
    </row>
    <row r="95091" spans="10:10" x14ac:dyDescent="0.3">
      <c r="J95091"/>
    </row>
    <row r="95092" spans="10:10" x14ac:dyDescent="0.3">
      <c r="J95092"/>
    </row>
    <row r="95093" spans="10:10" x14ac:dyDescent="0.3">
      <c r="J95093"/>
    </row>
    <row r="95094" spans="10:10" x14ac:dyDescent="0.3">
      <c r="J95094"/>
    </row>
    <row r="95095" spans="10:10" x14ac:dyDescent="0.3">
      <c r="J95095"/>
    </row>
    <row r="95096" spans="10:10" x14ac:dyDescent="0.3">
      <c r="J95096"/>
    </row>
    <row r="95097" spans="10:10" x14ac:dyDescent="0.3">
      <c r="J95097"/>
    </row>
    <row r="95098" spans="10:10" x14ac:dyDescent="0.3">
      <c r="J95098"/>
    </row>
    <row r="95099" spans="10:10" x14ac:dyDescent="0.3">
      <c r="J95099"/>
    </row>
    <row r="95100" spans="10:10" x14ac:dyDescent="0.3">
      <c r="J95100"/>
    </row>
    <row r="95101" spans="10:10" x14ac:dyDescent="0.3">
      <c r="J95101"/>
    </row>
    <row r="95102" spans="10:10" x14ac:dyDescent="0.3">
      <c r="J95102"/>
    </row>
    <row r="95103" spans="10:10" x14ac:dyDescent="0.3">
      <c r="J95103"/>
    </row>
    <row r="95104" spans="10:10" x14ac:dyDescent="0.3">
      <c r="J95104"/>
    </row>
    <row r="95105" spans="10:10" x14ac:dyDescent="0.3">
      <c r="J95105"/>
    </row>
    <row r="95106" spans="10:10" x14ac:dyDescent="0.3">
      <c r="J95106"/>
    </row>
    <row r="95107" spans="10:10" x14ac:dyDescent="0.3">
      <c r="J95107"/>
    </row>
    <row r="95108" spans="10:10" x14ac:dyDescent="0.3">
      <c r="J95108"/>
    </row>
    <row r="95109" spans="10:10" x14ac:dyDescent="0.3">
      <c r="J95109"/>
    </row>
    <row r="95110" spans="10:10" x14ac:dyDescent="0.3">
      <c r="J95110"/>
    </row>
    <row r="95111" spans="10:10" x14ac:dyDescent="0.3">
      <c r="J95111"/>
    </row>
    <row r="95112" spans="10:10" x14ac:dyDescent="0.3">
      <c r="J95112"/>
    </row>
    <row r="95113" spans="10:10" x14ac:dyDescent="0.3">
      <c r="J95113"/>
    </row>
    <row r="95114" spans="10:10" x14ac:dyDescent="0.3">
      <c r="J95114"/>
    </row>
    <row r="95115" spans="10:10" x14ac:dyDescent="0.3">
      <c r="J95115"/>
    </row>
    <row r="95116" spans="10:10" x14ac:dyDescent="0.3">
      <c r="J95116"/>
    </row>
    <row r="95117" spans="10:10" x14ac:dyDescent="0.3">
      <c r="J95117"/>
    </row>
    <row r="95118" spans="10:10" x14ac:dyDescent="0.3">
      <c r="J95118"/>
    </row>
    <row r="95119" spans="10:10" x14ac:dyDescent="0.3">
      <c r="J95119"/>
    </row>
    <row r="95120" spans="10:10" x14ac:dyDescent="0.3">
      <c r="J95120"/>
    </row>
    <row r="95121" spans="10:10" x14ac:dyDescent="0.3">
      <c r="J95121"/>
    </row>
    <row r="95122" spans="10:10" x14ac:dyDescent="0.3">
      <c r="J95122"/>
    </row>
    <row r="95123" spans="10:10" x14ac:dyDescent="0.3">
      <c r="J95123"/>
    </row>
    <row r="95124" spans="10:10" x14ac:dyDescent="0.3">
      <c r="J95124"/>
    </row>
    <row r="95125" spans="10:10" x14ac:dyDescent="0.3">
      <c r="J95125"/>
    </row>
    <row r="95126" spans="10:10" x14ac:dyDescent="0.3">
      <c r="J95126"/>
    </row>
    <row r="95127" spans="10:10" x14ac:dyDescent="0.3">
      <c r="J95127"/>
    </row>
    <row r="95128" spans="10:10" x14ac:dyDescent="0.3">
      <c r="J95128"/>
    </row>
    <row r="95129" spans="10:10" x14ac:dyDescent="0.3">
      <c r="J95129"/>
    </row>
    <row r="95130" spans="10:10" x14ac:dyDescent="0.3">
      <c r="J95130"/>
    </row>
    <row r="95131" spans="10:10" x14ac:dyDescent="0.3">
      <c r="J95131"/>
    </row>
    <row r="95132" spans="10:10" x14ac:dyDescent="0.3">
      <c r="J95132"/>
    </row>
    <row r="95133" spans="10:10" x14ac:dyDescent="0.3">
      <c r="J95133"/>
    </row>
    <row r="95134" spans="10:10" x14ac:dyDescent="0.3">
      <c r="J95134"/>
    </row>
    <row r="95135" spans="10:10" x14ac:dyDescent="0.3">
      <c r="J95135"/>
    </row>
    <row r="95136" spans="10:10" x14ac:dyDescent="0.3">
      <c r="J95136"/>
    </row>
    <row r="95137" spans="10:10" x14ac:dyDescent="0.3">
      <c r="J95137"/>
    </row>
    <row r="95138" spans="10:10" x14ac:dyDescent="0.3">
      <c r="J95138"/>
    </row>
    <row r="95139" spans="10:10" x14ac:dyDescent="0.3">
      <c r="J95139"/>
    </row>
    <row r="95140" spans="10:10" x14ac:dyDescent="0.3">
      <c r="J95140"/>
    </row>
    <row r="95141" spans="10:10" x14ac:dyDescent="0.3">
      <c r="J95141"/>
    </row>
    <row r="95142" spans="10:10" x14ac:dyDescent="0.3">
      <c r="J95142"/>
    </row>
    <row r="95143" spans="10:10" x14ac:dyDescent="0.3">
      <c r="J95143"/>
    </row>
    <row r="95144" spans="10:10" x14ac:dyDescent="0.3">
      <c r="J95144"/>
    </row>
    <row r="95145" spans="10:10" x14ac:dyDescent="0.3">
      <c r="J95145"/>
    </row>
    <row r="95146" spans="10:10" x14ac:dyDescent="0.3">
      <c r="J95146"/>
    </row>
    <row r="95147" spans="10:10" x14ac:dyDescent="0.3">
      <c r="J95147"/>
    </row>
    <row r="95148" spans="10:10" x14ac:dyDescent="0.3">
      <c r="J95148"/>
    </row>
    <row r="95149" spans="10:10" x14ac:dyDescent="0.3">
      <c r="J95149"/>
    </row>
    <row r="95150" spans="10:10" x14ac:dyDescent="0.3">
      <c r="J95150"/>
    </row>
    <row r="95151" spans="10:10" x14ac:dyDescent="0.3">
      <c r="J95151"/>
    </row>
    <row r="95152" spans="10:10" x14ac:dyDescent="0.3">
      <c r="J95152"/>
    </row>
    <row r="95153" spans="10:10" x14ac:dyDescent="0.3">
      <c r="J95153"/>
    </row>
    <row r="95154" spans="10:10" x14ac:dyDescent="0.3">
      <c r="J95154"/>
    </row>
    <row r="95155" spans="10:10" x14ac:dyDescent="0.3">
      <c r="J95155"/>
    </row>
    <row r="95156" spans="10:10" x14ac:dyDescent="0.3">
      <c r="J95156"/>
    </row>
    <row r="95157" spans="10:10" x14ac:dyDescent="0.3">
      <c r="J95157"/>
    </row>
    <row r="95158" spans="10:10" x14ac:dyDescent="0.3">
      <c r="J95158"/>
    </row>
    <row r="95159" spans="10:10" x14ac:dyDescent="0.3">
      <c r="J95159"/>
    </row>
    <row r="95160" spans="10:10" x14ac:dyDescent="0.3">
      <c r="J95160"/>
    </row>
    <row r="95161" spans="10:10" x14ac:dyDescent="0.3">
      <c r="J95161"/>
    </row>
    <row r="95162" spans="10:10" x14ac:dyDescent="0.3">
      <c r="J95162"/>
    </row>
    <row r="95163" spans="10:10" x14ac:dyDescent="0.3">
      <c r="J95163"/>
    </row>
    <row r="95164" spans="10:10" x14ac:dyDescent="0.3">
      <c r="J95164"/>
    </row>
    <row r="95165" spans="10:10" x14ac:dyDescent="0.3">
      <c r="J95165"/>
    </row>
    <row r="95166" spans="10:10" x14ac:dyDescent="0.3">
      <c r="J95166"/>
    </row>
    <row r="95167" spans="10:10" x14ac:dyDescent="0.3">
      <c r="J95167"/>
    </row>
    <row r="95168" spans="10:10" x14ac:dyDescent="0.3">
      <c r="J95168"/>
    </row>
    <row r="95169" spans="10:10" x14ac:dyDescent="0.3">
      <c r="J95169"/>
    </row>
    <row r="95170" spans="10:10" x14ac:dyDescent="0.3">
      <c r="J95170"/>
    </row>
    <row r="95171" spans="10:10" x14ac:dyDescent="0.3">
      <c r="J95171"/>
    </row>
    <row r="95172" spans="10:10" x14ac:dyDescent="0.3">
      <c r="J95172"/>
    </row>
    <row r="95173" spans="10:10" x14ac:dyDescent="0.3">
      <c r="J95173"/>
    </row>
    <row r="95174" spans="10:10" x14ac:dyDescent="0.3">
      <c r="J95174"/>
    </row>
    <row r="95175" spans="10:10" x14ac:dyDescent="0.3">
      <c r="J95175"/>
    </row>
    <row r="95176" spans="10:10" x14ac:dyDescent="0.3">
      <c r="J95176"/>
    </row>
    <row r="95177" spans="10:10" x14ac:dyDescent="0.3">
      <c r="J95177"/>
    </row>
    <row r="95178" spans="10:10" x14ac:dyDescent="0.3">
      <c r="J95178"/>
    </row>
    <row r="95179" spans="10:10" x14ac:dyDescent="0.3">
      <c r="J95179"/>
    </row>
    <row r="95180" spans="10:10" x14ac:dyDescent="0.3">
      <c r="J95180"/>
    </row>
    <row r="95181" spans="10:10" x14ac:dyDescent="0.3">
      <c r="J95181"/>
    </row>
    <row r="95182" spans="10:10" x14ac:dyDescent="0.3">
      <c r="J95182"/>
    </row>
    <row r="95183" spans="10:10" x14ac:dyDescent="0.3">
      <c r="J95183"/>
    </row>
    <row r="95184" spans="10:10" x14ac:dyDescent="0.3">
      <c r="J95184"/>
    </row>
    <row r="95185" spans="10:10" x14ac:dyDescent="0.3">
      <c r="J95185"/>
    </row>
    <row r="95186" spans="10:10" x14ac:dyDescent="0.3">
      <c r="J95186"/>
    </row>
    <row r="95187" spans="10:10" x14ac:dyDescent="0.3">
      <c r="J95187"/>
    </row>
    <row r="95188" spans="10:10" x14ac:dyDescent="0.3">
      <c r="J95188"/>
    </row>
    <row r="95189" spans="10:10" x14ac:dyDescent="0.3">
      <c r="J95189"/>
    </row>
    <row r="95190" spans="10:10" x14ac:dyDescent="0.3">
      <c r="J95190"/>
    </row>
    <row r="95191" spans="10:10" x14ac:dyDescent="0.3">
      <c r="J95191"/>
    </row>
    <row r="95192" spans="10:10" x14ac:dyDescent="0.3">
      <c r="J95192"/>
    </row>
    <row r="95193" spans="10:10" x14ac:dyDescent="0.3">
      <c r="J95193"/>
    </row>
    <row r="95194" spans="10:10" x14ac:dyDescent="0.3">
      <c r="J95194"/>
    </row>
    <row r="95195" spans="10:10" x14ac:dyDescent="0.3">
      <c r="J95195"/>
    </row>
    <row r="95196" spans="10:10" x14ac:dyDescent="0.3">
      <c r="J95196"/>
    </row>
    <row r="95197" spans="10:10" x14ac:dyDescent="0.3">
      <c r="J95197"/>
    </row>
    <row r="95198" spans="10:10" x14ac:dyDescent="0.3">
      <c r="J95198"/>
    </row>
    <row r="95199" spans="10:10" x14ac:dyDescent="0.3">
      <c r="J95199"/>
    </row>
    <row r="95200" spans="10:10" x14ac:dyDescent="0.3">
      <c r="J95200"/>
    </row>
    <row r="95201" spans="10:10" x14ac:dyDescent="0.3">
      <c r="J95201"/>
    </row>
    <row r="95202" spans="10:10" x14ac:dyDescent="0.3">
      <c r="J95202"/>
    </row>
    <row r="95203" spans="10:10" x14ac:dyDescent="0.3">
      <c r="J95203"/>
    </row>
    <row r="95204" spans="10:10" x14ac:dyDescent="0.3">
      <c r="J95204"/>
    </row>
    <row r="95205" spans="10:10" x14ac:dyDescent="0.3">
      <c r="J95205"/>
    </row>
    <row r="95206" spans="10:10" x14ac:dyDescent="0.3">
      <c r="J95206"/>
    </row>
    <row r="95207" spans="10:10" x14ac:dyDescent="0.3">
      <c r="J95207"/>
    </row>
    <row r="95208" spans="10:10" x14ac:dyDescent="0.3">
      <c r="J95208"/>
    </row>
    <row r="95209" spans="10:10" x14ac:dyDescent="0.3">
      <c r="J95209"/>
    </row>
    <row r="95210" spans="10:10" x14ac:dyDescent="0.3">
      <c r="J95210"/>
    </row>
    <row r="95211" spans="10:10" x14ac:dyDescent="0.3">
      <c r="J95211"/>
    </row>
    <row r="95212" spans="10:10" x14ac:dyDescent="0.3">
      <c r="J95212"/>
    </row>
    <row r="95213" spans="10:10" x14ac:dyDescent="0.3">
      <c r="J95213"/>
    </row>
    <row r="95214" spans="10:10" x14ac:dyDescent="0.3">
      <c r="J95214"/>
    </row>
    <row r="95215" spans="10:10" x14ac:dyDescent="0.3">
      <c r="J95215"/>
    </row>
    <row r="95216" spans="10:10" x14ac:dyDescent="0.3">
      <c r="J95216"/>
    </row>
    <row r="95217" spans="10:10" x14ac:dyDescent="0.3">
      <c r="J95217"/>
    </row>
    <row r="95218" spans="10:10" x14ac:dyDescent="0.3">
      <c r="J95218"/>
    </row>
    <row r="95219" spans="10:10" x14ac:dyDescent="0.3">
      <c r="J95219"/>
    </row>
    <row r="95220" spans="10:10" x14ac:dyDescent="0.3">
      <c r="J95220"/>
    </row>
    <row r="95221" spans="10:10" x14ac:dyDescent="0.3">
      <c r="J95221"/>
    </row>
    <row r="95222" spans="10:10" x14ac:dyDescent="0.3">
      <c r="J95222"/>
    </row>
    <row r="95223" spans="10:10" x14ac:dyDescent="0.3">
      <c r="J95223"/>
    </row>
    <row r="95224" spans="10:10" x14ac:dyDescent="0.3">
      <c r="J95224"/>
    </row>
    <row r="95225" spans="10:10" x14ac:dyDescent="0.3">
      <c r="J95225"/>
    </row>
    <row r="95226" spans="10:10" x14ac:dyDescent="0.3">
      <c r="J95226"/>
    </row>
    <row r="95227" spans="10:10" x14ac:dyDescent="0.3">
      <c r="J95227"/>
    </row>
    <row r="95228" spans="10:10" x14ac:dyDescent="0.3">
      <c r="J95228"/>
    </row>
    <row r="95229" spans="10:10" x14ac:dyDescent="0.3">
      <c r="J95229"/>
    </row>
    <row r="95230" spans="10:10" x14ac:dyDescent="0.3">
      <c r="J95230"/>
    </row>
    <row r="95231" spans="10:10" x14ac:dyDescent="0.3">
      <c r="J95231"/>
    </row>
    <row r="95232" spans="10:10" x14ac:dyDescent="0.3">
      <c r="J95232"/>
    </row>
    <row r="95233" spans="10:10" x14ac:dyDescent="0.3">
      <c r="J95233"/>
    </row>
    <row r="95234" spans="10:10" x14ac:dyDescent="0.3">
      <c r="J95234"/>
    </row>
    <row r="95235" spans="10:10" x14ac:dyDescent="0.3">
      <c r="J95235"/>
    </row>
    <row r="95236" spans="10:10" x14ac:dyDescent="0.3">
      <c r="J95236"/>
    </row>
    <row r="95237" spans="10:10" x14ac:dyDescent="0.3">
      <c r="J95237"/>
    </row>
    <row r="95238" spans="10:10" x14ac:dyDescent="0.3">
      <c r="J95238"/>
    </row>
    <row r="95239" spans="10:10" x14ac:dyDescent="0.3">
      <c r="J95239"/>
    </row>
    <row r="95240" spans="10:10" x14ac:dyDescent="0.3">
      <c r="J95240"/>
    </row>
    <row r="95241" spans="10:10" x14ac:dyDescent="0.3">
      <c r="J95241"/>
    </row>
    <row r="95242" spans="10:10" x14ac:dyDescent="0.3">
      <c r="J95242"/>
    </row>
    <row r="95243" spans="10:10" x14ac:dyDescent="0.3">
      <c r="J95243"/>
    </row>
    <row r="95244" spans="10:10" x14ac:dyDescent="0.3">
      <c r="J95244"/>
    </row>
    <row r="95245" spans="10:10" x14ac:dyDescent="0.3">
      <c r="J95245"/>
    </row>
    <row r="95246" spans="10:10" x14ac:dyDescent="0.3">
      <c r="J95246"/>
    </row>
    <row r="95247" spans="10:10" x14ac:dyDescent="0.3">
      <c r="J95247"/>
    </row>
    <row r="95248" spans="10:10" x14ac:dyDescent="0.3">
      <c r="J95248"/>
    </row>
    <row r="95249" spans="10:10" x14ac:dyDescent="0.3">
      <c r="J95249"/>
    </row>
    <row r="95250" spans="10:10" x14ac:dyDescent="0.3">
      <c r="J95250"/>
    </row>
    <row r="95251" spans="10:10" x14ac:dyDescent="0.3">
      <c r="J95251"/>
    </row>
    <row r="95252" spans="10:10" x14ac:dyDescent="0.3">
      <c r="J95252"/>
    </row>
    <row r="95253" spans="10:10" x14ac:dyDescent="0.3">
      <c r="J95253"/>
    </row>
    <row r="95254" spans="10:10" x14ac:dyDescent="0.3">
      <c r="J95254"/>
    </row>
    <row r="95255" spans="10:10" x14ac:dyDescent="0.3">
      <c r="J95255"/>
    </row>
    <row r="95256" spans="10:10" x14ac:dyDescent="0.3">
      <c r="J95256"/>
    </row>
    <row r="95257" spans="10:10" x14ac:dyDescent="0.3">
      <c r="J95257"/>
    </row>
    <row r="95258" spans="10:10" x14ac:dyDescent="0.3">
      <c r="J95258"/>
    </row>
    <row r="95259" spans="10:10" x14ac:dyDescent="0.3">
      <c r="J95259"/>
    </row>
    <row r="95260" spans="10:10" x14ac:dyDescent="0.3">
      <c r="J95260"/>
    </row>
    <row r="95261" spans="10:10" x14ac:dyDescent="0.3">
      <c r="J95261"/>
    </row>
    <row r="95262" spans="10:10" x14ac:dyDescent="0.3">
      <c r="J95262"/>
    </row>
    <row r="95263" spans="10:10" x14ac:dyDescent="0.3">
      <c r="J95263"/>
    </row>
    <row r="95264" spans="10:10" x14ac:dyDescent="0.3">
      <c r="J95264"/>
    </row>
    <row r="95265" spans="10:10" x14ac:dyDescent="0.3">
      <c r="J95265"/>
    </row>
    <row r="95266" spans="10:10" x14ac:dyDescent="0.3">
      <c r="J95266"/>
    </row>
    <row r="95267" spans="10:10" x14ac:dyDescent="0.3">
      <c r="J95267"/>
    </row>
    <row r="95268" spans="10:10" x14ac:dyDescent="0.3">
      <c r="J95268"/>
    </row>
    <row r="95269" spans="10:10" x14ac:dyDescent="0.3">
      <c r="J95269"/>
    </row>
    <row r="95270" spans="10:10" x14ac:dyDescent="0.3">
      <c r="J95270"/>
    </row>
    <row r="95271" spans="10:10" x14ac:dyDescent="0.3">
      <c r="J95271"/>
    </row>
    <row r="95272" spans="10:10" x14ac:dyDescent="0.3">
      <c r="J95272"/>
    </row>
    <row r="95273" spans="10:10" x14ac:dyDescent="0.3">
      <c r="J95273"/>
    </row>
    <row r="95274" spans="10:10" x14ac:dyDescent="0.3">
      <c r="J95274"/>
    </row>
    <row r="95275" spans="10:10" x14ac:dyDescent="0.3">
      <c r="J95275"/>
    </row>
    <row r="95276" spans="10:10" x14ac:dyDescent="0.3">
      <c r="J95276"/>
    </row>
    <row r="95277" spans="10:10" x14ac:dyDescent="0.3">
      <c r="J95277"/>
    </row>
    <row r="95278" spans="10:10" x14ac:dyDescent="0.3">
      <c r="J95278"/>
    </row>
    <row r="95279" spans="10:10" x14ac:dyDescent="0.3">
      <c r="J95279"/>
    </row>
    <row r="95280" spans="10:10" x14ac:dyDescent="0.3">
      <c r="J95280"/>
    </row>
    <row r="95281" spans="10:10" x14ac:dyDescent="0.3">
      <c r="J95281"/>
    </row>
    <row r="95282" spans="10:10" x14ac:dyDescent="0.3">
      <c r="J95282"/>
    </row>
    <row r="95283" spans="10:10" x14ac:dyDescent="0.3">
      <c r="J95283"/>
    </row>
    <row r="95284" spans="10:10" x14ac:dyDescent="0.3">
      <c r="J95284"/>
    </row>
    <row r="95285" spans="10:10" x14ac:dyDescent="0.3">
      <c r="J95285"/>
    </row>
    <row r="95286" spans="10:10" x14ac:dyDescent="0.3">
      <c r="J95286"/>
    </row>
    <row r="95287" spans="10:10" x14ac:dyDescent="0.3">
      <c r="J95287"/>
    </row>
    <row r="95288" spans="10:10" x14ac:dyDescent="0.3">
      <c r="J95288"/>
    </row>
    <row r="95289" spans="10:10" x14ac:dyDescent="0.3">
      <c r="J95289"/>
    </row>
    <row r="95290" spans="10:10" x14ac:dyDescent="0.3">
      <c r="J95290"/>
    </row>
    <row r="95291" spans="10:10" x14ac:dyDescent="0.3">
      <c r="J95291"/>
    </row>
    <row r="95292" spans="10:10" x14ac:dyDescent="0.3">
      <c r="J95292"/>
    </row>
    <row r="95293" spans="10:10" x14ac:dyDescent="0.3">
      <c r="J95293"/>
    </row>
    <row r="95294" spans="10:10" x14ac:dyDescent="0.3">
      <c r="J95294"/>
    </row>
    <row r="95295" spans="10:10" x14ac:dyDescent="0.3">
      <c r="J95295"/>
    </row>
    <row r="95296" spans="10:10" x14ac:dyDescent="0.3">
      <c r="J95296"/>
    </row>
    <row r="95297" spans="10:10" x14ac:dyDescent="0.3">
      <c r="J95297"/>
    </row>
    <row r="95298" spans="10:10" x14ac:dyDescent="0.3">
      <c r="J95298"/>
    </row>
    <row r="95299" spans="10:10" x14ac:dyDescent="0.3">
      <c r="J95299"/>
    </row>
    <row r="95300" spans="10:10" x14ac:dyDescent="0.3">
      <c r="J95300"/>
    </row>
    <row r="95301" spans="10:10" x14ac:dyDescent="0.3">
      <c r="J95301"/>
    </row>
    <row r="95302" spans="10:10" x14ac:dyDescent="0.3">
      <c r="J95302"/>
    </row>
    <row r="95303" spans="10:10" x14ac:dyDescent="0.3">
      <c r="J95303"/>
    </row>
    <row r="95304" spans="10:10" x14ac:dyDescent="0.3">
      <c r="J95304"/>
    </row>
    <row r="95305" spans="10:10" x14ac:dyDescent="0.3">
      <c r="J95305"/>
    </row>
    <row r="95306" spans="10:10" x14ac:dyDescent="0.3">
      <c r="J95306"/>
    </row>
    <row r="95307" spans="10:10" x14ac:dyDescent="0.3">
      <c r="J95307"/>
    </row>
    <row r="95308" spans="10:10" x14ac:dyDescent="0.3">
      <c r="J95308"/>
    </row>
    <row r="95309" spans="10:10" x14ac:dyDescent="0.3">
      <c r="J95309"/>
    </row>
    <row r="95310" spans="10:10" x14ac:dyDescent="0.3">
      <c r="J95310"/>
    </row>
    <row r="95311" spans="10:10" x14ac:dyDescent="0.3">
      <c r="J95311"/>
    </row>
    <row r="95312" spans="10:10" x14ac:dyDescent="0.3">
      <c r="J95312"/>
    </row>
    <row r="95313" spans="10:10" x14ac:dyDescent="0.3">
      <c r="J95313"/>
    </row>
    <row r="95314" spans="10:10" x14ac:dyDescent="0.3">
      <c r="J95314"/>
    </row>
    <row r="95315" spans="10:10" x14ac:dyDescent="0.3">
      <c r="J95315"/>
    </row>
    <row r="95316" spans="10:10" x14ac:dyDescent="0.3">
      <c r="J95316"/>
    </row>
    <row r="95317" spans="10:10" x14ac:dyDescent="0.3">
      <c r="J95317"/>
    </row>
    <row r="95318" spans="10:10" x14ac:dyDescent="0.3">
      <c r="J95318"/>
    </row>
    <row r="95319" spans="10:10" x14ac:dyDescent="0.3">
      <c r="J95319"/>
    </row>
    <row r="95320" spans="10:10" x14ac:dyDescent="0.3">
      <c r="J95320"/>
    </row>
    <row r="95321" spans="10:10" x14ac:dyDescent="0.3">
      <c r="J95321"/>
    </row>
    <row r="95322" spans="10:10" x14ac:dyDescent="0.3">
      <c r="J95322"/>
    </row>
    <row r="95323" spans="10:10" x14ac:dyDescent="0.3">
      <c r="J95323"/>
    </row>
    <row r="95324" spans="10:10" x14ac:dyDescent="0.3">
      <c r="J95324"/>
    </row>
    <row r="95325" spans="10:10" x14ac:dyDescent="0.3">
      <c r="J95325"/>
    </row>
    <row r="95326" spans="10:10" x14ac:dyDescent="0.3">
      <c r="J95326"/>
    </row>
    <row r="95327" spans="10:10" x14ac:dyDescent="0.3">
      <c r="J95327"/>
    </row>
    <row r="95328" spans="10:10" x14ac:dyDescent="0.3">
      <c r="J95328"/>
    </row>
    <row r="95329" spans="10:10" x14ac:dyDescent="0.3">
      <c r="J95329"/>
    </row>
    <row r="95330" spans="10:10" x14ac:dyDescent="0.3">
      <c r="J95330"/>
    </row>
    <row r="95331" spans="10:10" x14ac:dyDescent="0.3">
      <c r="J95331"/>
    </row>
    <row r="95332" spans="10:10" x14ac:dyDescent="0.3">
      <c r="J95332"/>
    </row>
    <row r="95333" spans="10:10" x14ac:dyDescent="0.3">
      <c r="J95333"/>
    </row>
    <row r="95334" spans="10:10" x14ac:dyDescent="0.3">
      <c r="J95334"/>
    </row>
    <row r="95335" spans="10:10" x14ac:dyDescent="0.3">
      <c r="J95335"/>
    </row>
    <row r="95336" spans="10:10" x14ac:dyDescent="0.3">
      <c r="J95336"/>
    </row>
    <row r="95337" spans="10:10" x14ac:dyDescent="0.3">
      <c r="J95337"/>
    </row>
    <row r="95338" spans="10:10" x14ac:dyDescent="0.3">
      <c r="J95338"/>
    </row>
    <row r="95339" spans="10:10" x14ac:dyDescent="0.3">
      <c r="J95339"/>
    </row>
    <row r="95340" spans="10:10" x14ac:dyDescent="0.3">
      <c r="J95340"/>
    </row>
    <row r="95341" spans="10:10" x14ac:dyDescent="0.3">
      <c r="J95341"/>
    </row>
    <row r="95342" spans="10:10" x14ac:dyDescent="0.3">
      <c r="J95342"/>
    </row>
    <row r="95343" spans="10:10" x14ac:dyDescent="0.3">
      <c r="J95343"/>
    </row>
    <row r="95344" spans="10:10" x14ac:dyDescent="0.3">
      <c r="J95344"/>
    </row>
    <row r="95345" spans="10:10" x14ac:dyDescent="0.3">
      <c r="J95345"/>
    </row>
    <row r="95346" spans="10:10" x14ac:dyDescent="0.3">
      <c r="J95346"/>
    </row>
    <row r="95347" spans="10:10" x14ac:dyDescent="0.3">
      <c r="J95347"/>
    </row>
    <row r="95348" spans="10:10" x14ac:dyDescent="0.3">
      <c r="J95348"/>
    </row>
    <row r="95349" spans="10:10" x14ac:dyDescent="0.3">
      <c r="J95349"/>
    </row>
    <row r="95350" spans="10:10" x14ac:dyDescent="0.3">
      <c r="J95350"/>
    </row>
    <row r="95351" spans="10:10" x14ac:dyDescent="0.3">
      <c r="J95351"/>
    </row>
    <row r="95352" spans="10:10" x14ac:dyDescent="0.3">
      <c r="J95352"/>
    </row>
    <row r="95353" spans="10:10" x14ac:dyDescent="0.3">
      <c r="J95353"/>
    </row>
    <row r="95354" spans="10:10" x14ac:dyDescent="0.3">
      <c r="J95354"/>
    </row>
    <row r="95355" spans="10:10" x14ac:dyDescent="0.3">
      <c r="J95355"/>
    </row>
    <row r="95356" spans="10:10" x14ac:dyDescent="0.3">
      <c r="J95356"/>
    </row>
    <row r="95357" spans="10:10" x14ac:dyDescent="0.3">
      <c r="J95357"/>
    </row>
    <row r="95358" spans="10:10" x14ac:dyDescent="0.3">
      <c r="J95358"/>
    </row>
    <row r="95359" spans="10:10" x14ac:dyDescent="0.3">
      <c r="J95359"/>
    </row>
    <row r="95360" spans="10:10" x14ac:dyDescent="0.3">
      <c r="J95360"/>
    </row>
    <row r="95361" spans="10:10" x14ac:dyDescent="0.3">
      <c r="J95361"/>
    </row>
    <row r="95362" spans="10:10" x14ac:dyDescent="0.3">
      <c r="J95362"/>
    </row>
    <row r="95363" spans="10:10" x14ac:dyDescent="0.3">
      <c r="J95363"/>
    </row>
    <row r="95364" spans="10:10" x14ac:dyDescent="0.3">
      <c r="J95364"/>
    </row>
    <row r="95365" spans="10:10" x14ac:dyDescent="0.3">
      <c r="J95365"/>
    </row>
    <row r="95366" spans="10:10" x14ac:dyDescent="0.3">
      <c r="J95366"/>
    </row>
    <row r="95367" spans="10:10" x14ac:dyDescent="0.3">
      <c r="J95367"/>
    </row>
    <row r="95368" spans="10:10" x14ac:dyDescent="0.3">
      <c r="J95368"/>
    </row>
    <row r="95369" spans="10:10" x14ac:dyDescent="0.3">
      <c r="J95369"/>
    </row>
    <row r="95370" spans="10:10" x14ac:dyDescent="0.3">
      <c r="J95370"/>
    </row>
    <row r="95371" spans="10:10" x14ac:dyDescent="0.3">
      <c r="J95371"/>
    </row>
    <row r="95372" spans="10:10" x14ac:dyDescent="0.3">
      <c r="J95372"/>
    </row>
    <row r="95373" spans="10:10" x14ac:dyDescent="0.3">
      <c r="J95373"/>
    </row>
    <row r="95374" spans="10:10" x14ac:dyDescent="0.3">
      <c r="J95374"/>
    </row>
    <row r="95375" spans="10:10" x14ac:dyDescent="0.3">
      <c r="J95375"/>
    </row>
    <row r="95376" spans="10:10" x14ac:dyDescent="0.3">
      <c r="J95376"/>
    </row>
    <row r="95377" spans="10:10" x14ac:dyDescent="0.3">
      <c r="J95377"/>
    </row>
    <row r="95378" spans="10:10" x14ac:dyDescent="0.3">
      <c r="J95378"/>
    </row>
    <row r="95379" spans="10:10" x14ac:dyDescent="0.3">
      <c r="J95379"/>
    </row>
    <row r="95380" spans="10:10" x14ac:dyDescent="0.3">
      <c r="J95380"/>
    </row>
    <row r="95381" spans="10:10" x14ac:dyDescent="0.3">
      <c r="J95381"/>
    </row>
    <row r="95382" spans="10:10" x14ac:dyDescent="0.3">
      <c r="J95382"/>
    </row>
    <row r="95383" spans="10:10" x14ac:dyDescent="0.3">
      <c r="J95383"/>
    </row>
    <row r="95384" spans="10:10" x14ac:dyDescent="0.3">
      <c r="J95384"/>
    </row>
    <row r="95385" spans="10:10" x14ac:dyDescent="0.3">
      <c r="J95385"/>
    </row>
    <row r="95386" spans="10:10" x14ac:dyDescent="0.3">
      <c r="J95386"/>
    </row>
    <row r="95387" spans="10:10" x14ac:dyDescent="0.3">
      <c r="J95387"/>
    </row>
    <row r="95388" spans="10:10" x14ac:dyDescent="0.3">
      <c r="J95388"/>
    </row>
    <row r="95389" spans="10:10" x14ac:dyDescent="0.3">
      <c r="J95389"/>
    </row>
    <row r="95390" spans="10:10" x14ac:dyDescent="0.3">
      <c r="J95390"/>
    </row>
    <row r="95391" spans="10:10" x14ac:dyDescent="0.3">
      <c r="J95391"/>
    </row>
    <row r="95392" spans="10:10" x14ac:dyDescent="0.3">
      <c r="J95392"/>
    </row>
    <row r="95393" spans="10:10" x14ac:dyDescent="0.3">
      <c r="J95393"/>
    </row>
    <row r="95394" spans="10:10" x14ac:dyDescent="0.3">
      <c r="J95394"/>
    </row>
    <row r="95395" spans="10:10" x14ac:dyDescent="0.3">
      <c r="J95395"/>
    </row>
    <row r="95396" spans="10:10" x14ac:dyDescent="0.3">
      <c r="J95396"/>
    </row>
    <row r="95397" spans="10:10" x14ac:dyDescent="0.3">
      <c r="J95397"/>
    </row>
    <row r="95398" spans="10:10" x14ac:dyDescent="0.3">
      <c r="J95398"/>
    </row>
    <row r="95399" spans="10:10" x14ac:dyDescent="0.3">
      <c r="J95399"/>
    </row>
    <row r="95400" spans="10:10" x14ac:dyDescent="0.3">
      <c r="J95400"/>
    </row>
    <row r="95401" spans="10:10" x14ac:dyDescent="0.3">
      <c r="J95401"/>
    </row>
    <row r="95402" spans="10:10" x14ac:dyDescent="0.3">
      <c r="J95402"/>
    </row>
    <row r="95403" spans="10:10" x14ac:dyDescent="0.3">
      <c r="J95403"/>
    </row>
    <row r="95404" spans="10:10" x14ac:dyDescent="0.3">
      <c r="J95404"/>
    </row>
    <row r="95405" spans="10:10" x14ac:dyDescent="0.3">
      <c r="J95405"/>
    </row>
    <row r="95406" spans="10:10" x14ac:dyDescent="0.3">
      <c r="J95406"/>
    </row>
    <row r="95407" spans="10:10" x14ac:dyDescent="0.3">
      <c r="J95407"/>
    </row>
    <row r="95408" spans="10:10" x14ac:dyDescent="0.3">
      <c r="J95408"/>
    </row>
    <row r="95409" spans="10:10" x14ac:dyDescent="0.3">
      <c r="J95409"/>
    </row>
    <row r="95410" spans="10:10" x14ac:dyDescent="0.3">
      <c r="J95410"/>
    </row>
    <row r="95411" spans="10:10" x14ac:dyDescent="0.3">
      <c r="J95411"/>
    </row>
    <row r="95412" spans="10:10" x14ac:dyDescent="0.3">
      <c r="J95412"/>
    </row>
    <row r="95413" spans="10:10" x14ac:dyDescent="0.3">
      <c r="J95413"/>
    </row>
    <row r="95414" spans="10:10" x14ac:dyDescent="0.3">
      <c r="J95414"/>
    </row>
    <row r="95415" spans="10:10" x14ac:dyDescent="0.3">
      <c r="J95415"/>
    </row>
    <row r="95416" spans="10:10" x14ac:dyDescent="0.3">
      <c r="J95416"/>
    </row>
    <row r="95417" spans="10:10" x14ac:dyDescent="0.3">
      <c r="J95417"/>
    </row>
    <row r="95418" spans="10:10" x14ac:dyDescent="0.3">
      <c r="J95418"/>
    </row>
    <row r="95419" spans="10:10" x14ac:dyDescent="0.3">
      <c r="J95419"/>
    </row>
    <row r="95420" spans="10:10" x14ac:dyDescent="0.3">
      <c r="J95420"/>
    </row>
    <row r="95421" spans="10:10" x14ac:dyDescent="0.3">
      <c r="J95421"/>
    </row>
    <row r="95422" spans="10:10" x14ac:dyDescent="0.3">
      <c r="J95422"/>
    </row>
    <row r="95423" spans="10:10" x14ac:dyDescent="0.3">
      <c r="J95423"/>
    </row>
    <row r="95424" spans="10:10" x14ac:dyDescent="0.3">
      <c r="J95424"/>
    </row>
    <row r="95425" spans="10:10" x14ac:dyDescent="0.3">
      <c r="J95425"/>
    </row>
    <row r="95426" spans="10:10" x14ac:dyDescent="0.3">
      <c r="J95426"/>
    </row>
    <row r="95427" spans="10:10" x14ac:dyDescent="0.3">
      <c r="J95427"/>
    </row>
    <row r="95428" spans="10:10" x14ac:dyDescent="0.3">
      <c r="J95428"/>
    </row>
    <row r="95429" spans="10:10" x14ac:dyDescent="0.3">
      <c r="J95429"/>
    </row>
    <row r="95430" spans="10:10" x14ac:dyDescent="0.3">
      <c r="J95430"/>
    </row>
    <row r="95431" spans="10:10" x14ac:dyDescent="0.3">
      <c r="J95431"/>
    </row>
    <row r="95432" spans="10:10" x14ac:dyDescent="0.3">
      <c r="J95432"/>
    </row>
    <row r="95433" spans="10:10" x14ac:dyDescent="0.3">
      <c r="J95433"/>
    </row>
    <row r="95434" spans="10:10" x14ac:dyDescent="0.3">
      <c r="J95434"/>
    </row>
    <row r="95435" spans="10:10" x14ac:dyDescent="0.3">
      <c r="J95435"/>
    </row>
    <row r="95436" spans="10:10" x14ac:dyDescent="0.3">
      <c r="J95436"/>
    </row>
    <row r="95437" spans="10:10" x14ac:dyDescent="0.3">
      <c r="J95437"/>
    </row>
    <row r="95438" spans="10:10" x14ac:dyDescent="0.3">
      <c r="J95438"/>
    </row>
    <row r="95439" spans="10:10" x14ac:dyDescent="0.3">
      <c r="J95439"/>
    </row>
    <row r="95440" spans="10:10" x14ac:dyDescent="0.3">
      <c r="J95440"/>
    </row>
    <row r="95441" spans="10:10" x14ac:dyDescent="0.3">
      <c r="J95441"/>
    </row>
    <row r="95442" spans="10:10" x14ac:dyDescent="0.3">
      <c r="J95442"/>
    </row>
    <row r="95443" spans="10:10" x14ac:dyDescent="0.3">
      <c r="J95443"/>
    </row>
    <row r="95444" spans="10:10" x14ac:dyDescent="0.3">
      <c r="J95444"/>
    </row>
    <row r="95445" spans="10:10" x14ac:dyDescent="0.3">
      <c r="J95445"/>
    </row>
    <row r="95446" spans="10:10" x14ac:dyDescent="0.3">
      <c r="J95446"/>
    </row>
    <row r="95447" spans="10:10" x14ac:dyDescent="0.3">
      <c r="J95447"/>
    </row>
    <row r="95448" spans="10:10" x14ac:dyDescent="0.3">
      <c r="J95448"/>
    </row>
    <row r="95449" spans="10:10" x14ac:dyDescent="0.3">
      <c r="J95449"/>
    </row>
    <row r="95450" spans="10:10" x14ac:dyDescent="0.3">
      <c r="J95450"/>
    </row>
    <row r="95451" spans="10:10" x14ac:dyDescent="0.3">
      <c r="J95451"/>
    </row>
    <row r="95452" spans="10:10" x14ac:dyDescent="0.3">
      <c r="J95452"/>
    </row>
    <row r="95453" spans="10:10" x14ac:dyDescent="0.3">
      <c r="J95453"/>
    </row>
    <row r="95454" spans="10:10" x14ac:dyDescent="0.3">
      <c r="J95454"/>
    </row>
    <row r="95455" spans="10:10" x14ac:dyDescent="0.3">
      <c r="J95455"/>
    </row>
    <row r="95456" spans="10:10" x14ac:dyDescent="0.3">
      <c r="J95456"/>
    </row>
    <row r="95457" spans="10:10" x14ac:dyDescent="0.3">
      <c r="J95457"/>
    </row>
    <row r="95458" spans="10:10" x14ac:dyDescent="0.3">
      <c r="J95458"/>
    </row>
    <row r="95459" spans="10:10" x14ac:dyDescent="0.3">
      <c r="J95459"/>
    </row>
    <row r="95460" spans="10:10" x14ac:dyDescent="0.3">
      <c r="J95460"/>
    </row>
    <row r="95461" spans="10:10" x14ac:dyDescent="0.3">
      <c r="J95461"/>
    </row>
    <row r="95462" spans="10:10" x14ac:dyDescent="0.3">
      <c r="J95462"/>
    </row>
    <row r="95463" spans="10:10" x14ac:dyDescent="0.3">
      <c r="J95463"/>
    </row>
    <row r="95464" spans="10:10" x14ac:dyDescent="0.3">
      <c r="J95464"/>
    </row>
    <row r="95465" spans="10:10" x14ac:dyDescent="0.3">
      <c r="J95465"/>
    </row>
    <row r="95466" spans="10:10" x14ac:dyDescent="0.3">
      <c r="J95466"/>
    </row>
    <row r="95467" spans="10:10" x14ac:dyDescent="0.3">
      <c r="J95467"/>
    </row>
    <row r="95468" spans="10:10" x14ac:dyDescent="0.3">
      <c r="J95468"/>
    </row>
    <row r="95469" spans="10:10" x14ac:dyDescent="0.3">
      <c r="J95469"/>
    </row>
    <row r="95470" spans="10:10" x14ac:dyDescent="0.3">
      <c r="J95470"/>
    </row>
    <row r="95471" spans="10:10" x14ac:dyDescent="0.3">
      <c r="J95471"/>
    </row>
    <row r="95472" spans="10:10" x14ac:dyDescent="0.3">
      <c r="J95472"/>
    </row>
    <row r="95473" spans="10:10" x14ac:dyDescent="0.3">
      <c r="J95473"/>
    </row>
    <row r="95474" spans="10:10" x14ac:dyDescent="0.3">
      <c r="J95474"/>
    </row>
    <row r="95475" spans="10:10" x14ac:dyDescent="0.3">
      <c r="J95475"/>
    </row>
    <row r="95476" spans="10:10" x14ac:dyDescent="0.3">
      <c r="J95476"/>
    </row>
    <row r="95477" spans="10:10" x14ac:dyDescent="0.3">
      <c r="J95477"/>
    </row>
    <row r="95478" spans="10:10" x14ac:dyDescent="0.3">
      <c r="J95478"/>
    </row>
    <row r="95479" spans="10:10" x14ac:dyDescent="0.3">
      <c r="J95479"/>
    </row>
    <row r="95480" spans="10:10" x14ac:dyDescent="0.3">
      <c r="J95480"/>
    </row>
    <row r="95481" spans="10:10" x14ac:dyDescent="0.3">
      <c r="J95481"/>
    </row>
    <row r="95482" spans="10:10" x14ac:dyDescent="0.3">
      <c r="J95482"/>
    </row>
    <row r="95483" spans="10:10" x14ac:dyDescent="0.3">
      <c r="J95483"/>
    </row>
    <row r="95484" spans="10:10" x14ac:dyDescent="0.3">
      <c r="J95484"/>
    </row>
    <row r="95485" spans="10:10" x14ac:dyDescent="0.3">
      <c r="J95485"/>
    </row>
    <row r="95486" spans="10:10" x14ac:dyDescent="0.3">
      <c r="J95486"/>
    </row>
    <row r="95487" spans="10:10" x14ac:dyDescent="0.3">
      <c r="J95487"/>
    </row>
    <row r="95488" spans="10:10" x14ac:dyDescent="0.3">
      <c r="J95488"/>
    </row>
    <row r="95489" spans="10:10" x14ac:dyDescent="0.3">
      <c r="J95489"/>
    </row>
    <row r="95490" spans="10:10" x14ac:dyDescent="0.3">
      <c r="J95490"/>
    </row>
    <row r="95491" spans="10:10" x14ac:dyDescent="0.3">
      <c r="J95491"/>
    </row>
    <row r="95492" spans="10:10" x14ac:dyDescent="0.3">
      <c r="J95492"/>
    </row>
    <row r="95493" spans="10:10" x14ac:dyDescent="0.3">
      <c r="J95493"/>
    </row>
    <row r="95494" spans="10:10" x14ac:dyDescent="0.3">
      <c r="J95494"/>
    </row>
    <row r="95495" spans="10:10" x14ac:dyDescent="0.3">
      <c r="J95495"/>
    </row>
    <row r="95496" spans="10:10" x14ac:dyDescent="0.3">
      <c r="J95496"/>
    </row>
    <row r="95497" spans="10:10" x14ac:dyDescent="0.3">
      <c r="J95497"/>
    </row>
    <row r="95498" spans="10:10" x14ac:dyDescent="0.3">
      <c r="J95498"/>
    </row>
    <row r="95499" spans="10:10" x14ac:dyDescent="0.3">
      <c r="J95499"/>
    </row>
    <row r="95500" spans="10:10" x14ac:dyDescent="0.3">
      <c r="J95500"/>
    </row>
    <row r="95501" spans="10:10" x14ac:dyDescent="0.3">
      <c r="J95501"/>
    </row>
    <row r="95502" spans="10:10" x14ac:dyDescent="0.3">
      <c r="J95502"/>
    </row>
    <row r="95503" spans="10:10" x14ac:dyDescent="0.3">
      <c r="J95503"/>
    </row>
    <row r="95504" spans="10:10" x14ac:dyDescent="0.3">
      <c r="J95504"/>
    </row>
    <row r="95505" spans="10:10" x14ac:dyDescent="0.3">
      <c r="J95505"/>
    </row>
    <row r="95506" spans="10:10" x14ac:dyDescent="0.3">
      <c r="J95506"/>
    </row>
    <row r="95507" spans="10:10" x14ac:dyDescent="0.3">
      <c r="J95507"/>
    </row>
    <row r="95508" spans="10:10" x14ac:dyDescent="0.3">
      <c r="J95508"/>
    </row>
    <row r="95509" spans="10:10" x14ac:dyDescent="0.3">
      <c r="J95509"/>
    </row>
    <row r="95510" spans="10:10" x14ac:dyDescent="0.3">
      <c r="J95510"/>
    </row>
    <row r="95511" spans="10:10" x14ac:dyDescent="0.3">
      <c r="J95511"/>
    </row>
    <row r="95512" spans="10:10" x14ac:dyDescent="0.3">
      <c r="J95512"/>
    </row>
    <row r="95513" spans="10:10" x14ac:dyDescent="0.3">
      <c r="J95513"/>
    </row>
    <row r="95514" spans="10:10" x14ac:dyDescent="0.3">
      <c r="J95514"/>
    </row>
    <row r="95515" spans="10:10" x14ac:dyDescent="0.3">
      <c r="J95515"/>
    </row>
    <row r="95516" spans="10:10" x14ac:dyDescent="0.3">
      <c r="J95516"/>
    </row>
    <row r="95517" spans="10:10" x14ac:dyDescent="0.3">
      <c r="J95517"/>
    </row>
    <row r="95518" spans="10:10" x14ac:dyDescent="0.3">
      <c r="J95518"/>
    </row>
    <row r="95519" spans="10:10" x14ac:dyDescent="0.3">
      <c r="J95519"/>
    </row>
    <row r="95520" spans="10:10" x14ac:dyDescent="0.3">
      <c r="J95520"/>
    </row>
    <row r="95521" spans="10:10" x14ac:dyDescent="0.3">
      <c r="J95521"/>
    </row>
    <row r="95522" spans="10:10" x14ac:dyDescent="0.3">
      <c r="J95522"/>
    </row>
    <row r="95523" spans="10:10" x14ac:dyDescent="0.3">
      <c r="J95523"/>
    </row>
    <row r="95524" spans="10:10" x14ac:dyDescent="0.3">
      <c r="J95524"/>
    </row>
    <row r="95525" spans="10:10" x14ac:dyDescent="0.3">
      <c r="J95525"/>
    </row>
    <row r="95526" spans="10:10" x14ac:dyDescent="0.3">
      <c r="J95526"/>
    </row>
    <row r="95527" spans="10:10" x14ac:dyDescent="0.3">
      <c r="J95527"/>
    </row>
    <row r="95528" spans="10:10" x14ac:dyDescent="0.3">
      <c r="J95528"/>
    </row>
    <row r="95529" spans="10:10" x14ac:dyDescent="0.3">
      <c r="J95529"/>
    </row>
    <row r="95530" spans="10:10" x14ac:dyDescent="0.3">
      <c r="J95530"/>
    </row>
    <row r="95531" spans="10:10" x14ac:dyDescent="0.3">
      <c r="J95531"/>
    </row>
    <row r="95532" spans="10:10" x14ac:dyDescent="0.3">
      <c r="J95532"/>
    </row>
    <row r="95533" spans="10:10" x14ac:dyDescent="0.3">
      <c r="J95533"/>
    </row>
    <row r="95534" spans="10:10" x14ac:dyDescent="0.3">
      <c r="J95534"/>
    </row>
    <row r="95535" spans="10:10" x14ac:dyDescent="0.3">
      <c r="J95535"/>
    </row>
    <row r="95536" spans="10:10" x14ac:dyDescent="0.3">
      <c r="J95536"/>
    </row>
    <row r="95537" spans="10:10" x14ac:dyDescent="0.3">
      <c r="J95537"/>
    </row>
    <row r="95538" spans="10:10" x14ac:dyDescent="0.3">
      <c r="J95538"/>
    </row>
    <row r="95539" spans="10:10" x14ac:dyDescent="0.3">
      <c r="J95539"/>
    </row>
    <row r="95540" spans="10:10" x14ac:dyDescent="0.3">
      <c r="J95540"/>
    </row>
    <row r="95541" spans="10:10" x14ac:dyDescent="0.3">
      <c r="J95541"/>
    </row>
    <row r="95542" spans="10:10" x14ac:dyDescent="0.3">
      <c r="J95542"/>
    </row>
    <row r="95543" spans="10:10" x14ac:dyDescent="0.3">
      <c r="J95543"/>
    </row>
    <row r="95544" spans="10:10" x14ac:dyDescent="0.3">
      <c r="J95544"/>
    </row>
    <row r="95545" spans="10:10" x14ac:dyDescent="0.3">
      <c r="J95545"/>
    </row>
    <row r="95546" spans="10:10" x14ac:dyDescent="0.3">
      <c r="J95546"/>
    </row>
    <row r="95547" spans="10:10" x14ac:dyDescent="0.3">
      <c r="J95547"/>
    </row>
    <row r="95548" spans="10:10" x14ac:dyDescent="0.3">
      <c r="J95548"/>
    </row>
    <row r="95549" spans="10:10" x14ac:dyDescent="0.3">
      <c r="J95549"/>
    </row>
    <row r="95550" spans="10:10" x14ac:dyDescent="0.3">
      <c r="J95550"/>
    </row>
    <row r="95551" spans="10:10" x14ac:dyDescent="0.3">
      <c r="J95551"/>
    </row>
    <row r="95552" spans="10:10" x14ac:dyDescent="0.3">
      <c r="J95552"/>
    </row>
    <row r="95553" spans="10:10" x14ac:dyDescent="0.3">
      <c r="J95553"/>
    </row>
    <row r="95554" spans="10:10" x14ac:dyDescent="0.3">
      <c r="J95554"/>
    </row>
    <row r="95555" spans="10:10" x14ac:dyDescent="0.3">
      <c r="J95555"/>
    </row>
    <row r="95556" spans="10:10" x14ac:dyDescent="0.3">
      <c r="J95556"/>
    </row>
    <row r="95557" spans="10:10" x14ac:dyDescent="0.3">
      <c r="J95557"/>
    </row>
    <row r="95558" spans="10:10" x14ac:dyDescent="0.3">
      <c r="J95558"/>
    </row>
    <row r="95559" spans="10:10" x14ac:dyDescent="0.3">
      <c r="J95559"/>
    </row>
    <row r="95560" spans="10:10" x14ac:dyDescent="0.3">
      <c r="J95560"/>
    </row>
    <row r="95561" spans="10:10" x14ac:dyDescent="0.3">
      <c r="J95561"/>
    </row>
    <row r="95562" spans="10:10" x14ac:dyDescent="0.3">
      <c r="J95562"/>
    </row>
    <row r="95563" spans="10:10" x14ac:dyDescent="0.3">
      <c r="J95563"/>
    </row>
    <row r="95564" spans="10:10" x14ac:dyDescent="0.3">
      <c r="J95564"/>
    </row>
    <row r="95565" spans="10:10" x14ac:dyDescent="0.3">
      <c r="J95565"/>
    </row>
    <row r="95566" spans="10:10" x14ac:dyDescent="0.3">
      <c r="J95566"/>
    </row>
    <row r="95567" spans="10:10" x14ac:dyDescent="0.3">
      <c r="J95567"/>
    </row>
    <row r="95568" spans="10:10" x14ac:dyDescent="0.3">
      <c r="J95568"/>
    </row>
    <row r="95569" spans="10:10" x14ac:dyDescent="0.3">
      <c r="J95569"/>
    </row>
    <row r="95570" spans="10:10" x14ac:dyDescent="0.3">
      <c r="J95570"/>
    </row>
    <row r="95571" spans="10:10" x14ac:dyDescent="0.3">
      <c r="J95571"/>
    </row>
    <row r="95572" spans="10:10" x14ac:dyDescent="0.3">
      <c r="J95572"/>
    </row>
    <row r="95573" spans="10:10" x14ac:dyDescent="0.3">
      <c r="J95573"/>
    </row>
    <row r="95574" spans="10:10" x14ac:dyDescent="0.3">
      <c r="J95574"/>
    </row>
    <row r="95575" spans="10:10" x14ac:dyDescent="0.3">
      <c r="J95575"/>
    </row>
    <row r="95576" spans="10:10" x14ac:dyDescent="0.3">
      <c r="J95576"/>
    </row>
    <row r="95577" spans="10:10" x14ac:dyDescent="0.3">
      <c r="J95577"/>
    </row>
    <row r="95578" spans="10:10" x14ac:dyDescent="0.3">
      <c r="J95578"/>
    </row>
    <row r="95579" spans="10:10" x14ac:dyDescent="0.3">
      <c r="J95579"/>
    </row>
    <row r="95580" spans="10:10" x14ac:dyDescent="0.3">
      <c r="J95580"/>
    </row>
    <row r="95581" spans="10:10" x14ac:dyDescent="0.3">
      <c r="J95581"/>
    </row>
    <row r="95582" spans="10:10" x14ac:dyDescent="0.3">
      <c r="J95582"/>
    </row>
    <row r="95583" spans="10:10" x14ac:dyDescent="0.3">
      <c r="J95583"/>
    </row>
    <row r="95584" spans="10:10" x14ac:dyDescent="0.3">
      <c r="J95584"/>
    </row>
    <row r="95585" spans="10:10" x14ac:dyDescent="0.3">
      <c r="J95585"/>
    </row>
    <row r="95586" spans="10:10" x14ac:dyDescent="0.3">
      <c r="J95586"/>
    </row>
    <row r="95587" spans="10:10" x14ac:dyDescent="0.3">
      <c r="J95587"/>
    </row>
    <row r="95588" spans="10:10" x14ac:dyDescent="0.3">
      <c r="J95588"/>
    </row>
    <row r="95589" spans="10:10" x14ac:dyDescent="0.3">
      <c r="J95589"/>
    </row>
    <row r="95590" spans="10:10" x14ac:dyDescent="0.3">
      <c r="J95590"/>
    </row>
    <row r="95591" spans="10:10" x14ac:dyDescent="0.3">
      <c r="J95591"/>
    </row>
    <row r="95592" spans="10:10" x14ac:dyDescent="0.3">
      <c r="J95592"/>
    </row>
    <row r="95593" spans="10:10" x14ac:dyDescent="0.3">
      <c r="J95593"/>
    </row>
    <row r="95594" spans="10:10" x14ac:dyDescent="0.3">
      <c r="J95594"/>
    </row>
    <row r="95595" spans="10:10" x14ac:dyDescent="0.3">
      <c r="J95595"/>
    </row>
    <row r="95596" spans="10:10" x14ac:dyDescent="0.3">
      <c r="J95596"/>
    </row>
    <row r="95597" spans="10:10" x14ac:dyDescent="0.3">
      <c r="J95597"/>
    </row>
    <row r="95598" spans="10:10" x14ac:dyDescent="0.3">
      <c r="J95598"/>
    </row>
    <row r="95599" spans="10:10" x14ac:dyDescent="0.3">
      <c r="J95599"/>
    </row>
    <row r="95600" spans="10:10" x14ac:dyDescent="0.3">
      <c r="J95600"/>
    </row>
    <row r="95601" spans="10:10" x14ac:dyDescent="0.3">
      <c r="J95601"/>
    </row>
    <row r="95602" spans="10:10" x14ac:dyDescent="0.3">
      <c r="J95602"/>
    </row>
    <row r="95603" spans="10:10" x14ac:dyDescent="0.3">
      <c r="J95603"/>
    </row>
    <row r="95604" spans="10:10" x14ac:dyDescent="0.3">
      <c r="J95604"/>
    </row>
    <row r="95605" spans="10:10" x14ac:dyDescent="0.3">
      <c r="J95605"/>
    </row>
    <row r="95606" spans="10:10" x14ac:dyDescent="0.3">
      <c r="J95606"/>
    </row>
    <row r="95607" spans="10:10" x14ac:dyDescent="0.3">
      <c r="J95607"/>
    </row>
    <row r="95608" spans="10:10" x14ac:dyDescent="0.3">
      <c r="J95608"/>
    </row>
    <row r="95609" spans="10:10" x14ac:dyDescent="0.3">
      <c r="J95609"/>
    </row>
    <row r="95610" spans="10:10" x14ac:dyDescent="0.3">
      <c r="J95610"/>
    </row>
    <row r="95611" spans="10:10" x14ac:dyDescent="0.3">
      <c r="J95611"/>
    </row>
    <row r="95612" spans="10:10" x14ac:dyDescent="0.3">
      <c r="J95612"/>
    </row>
    <row r="95613" spans="10:10" x14ac:dyDescent="0.3">
      <c r="J95613"/>
    </row>
    <row r="95614" spans="10:10" x14ac:dyDescent="0.3">
      <c r="J95614"/>
    </row>
    <row r="95615" spans="10:10" x14ac:dyDescent="0.3">
      <c r="J95615"/>
    </row>
    <row r="95616" spans="10:10" x14ac:dyDescent="0.3">
      <c r="J95616"/>
    </row>
    <row r="95617" spans="10:10" x14ac:dyDescent="0.3">
      <c r="J95617"/>
    </row>
    <row r="95618" spans="10:10" x14ac:dyDescent="0.3">
      <c r="J95618"/>
    </row>
    <row r="95619" spans="10:10" x14ac:dyDescent="0.3">
      <c r="J95619"/>
    </row>
    <row r="95620" spans="10:10" x14ac:dyDescent="0.3">
      <c r="J95620"/>
    </row>
    <row r="95621" spans="10:10" x14ac:dyDescent="0.3">
      <c r="J95621"/>
    </row>
    <row r="95622" spans="10:10" x14ac:dyDescent="0.3">
      <c r="J95622"/>
    </row>
    <row r="95623" spans="10:10" x14ac:dyDescent="0.3">
      <c r="J95623"/>
    </row>
    <row r="95624" spans="10:10" x14ac:dyDescent="0.3">
      <c r="J95624"/>
    </row>
    <row r="95625" spans="10:10" x14ac:dyDescent="0.3">
      <c r="J95625"/>
    </row>
    <row r="95626" spans="10:10" x14ac:dyDescent="0.3">
      <c r="J95626"/>
    </row>
    <row r="95627" spans="10:10" x14ac:dyDescent="0.3">
      <c r="J95627"/>
    </row>
    <row r="95628" spans="10:10" x14ac:dyDescent="0.3">
      <c r="J95628"/>
    </row>
    <row r="95629" spans="10:10" x14ac:dyDescent="0.3">
      <c r="J95629"/>
    </row>
    <row r="95630" spans="10:10" x14ac:dyDescent="0.3">
      <c r="J95630"/>
    </row>
    <row r="95631" spans="10:10" x14ac:dyDescent="0.3">
      <c r="J95631"/>
    </row>
    <row r="95632" spans="10:10" x14ac:dyDescent="0.3">
      <c r="J95632"/>
    </row>
    <row r="95633" spans="10:10" x14ac:dyDescent="0.3">
      <c r="J95633"/>
    </row>
    <row r="95634" spans="10:10" x14ac:dyDescent="0.3">
      <c r="J95634"/>
    </row>
    <row r="95635" spans="10:10" x14ac:dyDescent="0.3">
      <c r="J95635"/>
    </row>
    <row r="95636" spans="10:10" x14ac:dyDescent="0.3">
      <c r="J95636"/>
    </row>
    <row r="95637" spans="10:10" x14ac:dyDescent="0.3">
      <c r="J95637"/>
    </row>
    <row r="95638" spans="10:10" x14ac:dyDescent="0.3">
      <c r="J95638"/>
    </row>
    <row r="95639" spans="10:10" x14ac:dyDescent="0.3">
      <c r="J95639"/>
    </row>
    <row r="95640" spans="10:10" x14ac:dyDescent="0.3">
      <c r="J95640"/>
    </row>
    <row r="95641" spans="10:10" x14ac:dyDescent="0.3">
      <c r="J95641"/>
    </row>
    <row r="95642" spans="10:10" x14ac:dyDescent="0.3">
      <c r="J95642"/>
    </row>
    <row r="95643" spans="10:10" x14ac:dyDescent="0.3">
      <c r="J95643"/>
    </row>
    <row r="95644" spans="10:10" x14ac:dyDescent="0.3">
      <c r="J95644"/>
    </row>
    <row r="95645" spans="10:10" x14ac:dyDescent="0.3">
      <c r="J95645"/>
    </row>
    <row r="95646" spans="10:10" x14ac:dyDescent="0.3">
      <c r="J95646"/>
    </row>
    <row r="95647" spans="10:10" x14ac:dyDescent="0.3">
      <c r="J95647"/>
    </row>
    <row r="95648" spans="10:10" x14ac:dyDescent="0.3">
      <c r="J95648"/>
    </row>
    <row r="95649" spans="10:10" x14ac:dyDescent="0.3">
      <c r="J95649"/>
    </row>
    <row r="95650" spans="10:10" x14ac:dyDescent="0.3">
      <c r="J95650"/>
    </row>
    <row r="95651" spans="10:10" x14ac:dyDescent="0.3">
      <c r="J95651"/>
    </row>
    <row r="95652" spans="10:10" x14ac:dyDescent="0.3">
      <c r="J95652"/>
    </row>
    <row r="95653" spans="10:10" x14ac:dyDescent="0.3">
      <c r="J95653"/>
    </row>
    <row r="95654" spans="10:10" x14ac:dyDescent="0.3">
      <c r="J95654"/>
    </row>
    <row r="95655" spans="10:10" x14ac:dyDescent="0.3">
      <c r="J95655"/>
    </row>
    <row r="95656" spans="10:10" x14ac:dyDescent="0.3">
      <c r="J95656"/>
    </row>
    <row r="95657" spans="10:10" x14ac:dyDescent="0.3">
      <c r="J95657"/>
    </row>
    <row r="95658" spans="10:10" x14ac:dyDescent="0.3">
      <c r="J95658"/>
    </row>
    <row r="95659" spans="10:10" x14ac:dyDescent="0.3">
      <c r="J95659"/>
    </row>
    <row r="95660" spans="10:10" x14ac:dyDescent="0.3">
      <c r="J95660"/>
    </row>
    <row r="95661" spans="10:10" x14ac:dyDescent="0.3">
      <c r="J95661"/>
    </row>
    <row r="95662" spans="10:10" x14ac:dyDescent="0.3">
      <c r="J95662"/>
    </row>
    <row r="95663" spans="10:10" x14ac:dyDescent="0.3">
      <c r="J95663"/>
    </row>
    <row r="95664" spans="10:10" x14ac:dyDescent="0.3">
      <c r="J95664"/>
    </row>
    <row r="95665" spans="10:10" x14ac:dyDescent="0.3">
      <c r="J95665"/>
    </row>
    <row r="95666" spans="10:10" x14ac:dyDescent="0.3">
      <c r="J95666"/>
    </row>
    <row r="95667" spans="10:10" x14ac:dyDescent="0.3">
      <c r="J95667"/>
    </row>
    <row r="95668" spans="10:10" x14ac:dyDescent="0.3">
      <c r="J95668"/>
    </row>
    <row r="95669" spans="10:10" x14ac:dyDescent="0.3">
      <c r="J95669"/>
    </row>
    <row r="95670" spans="10:10" x14ac:dyDescent="0.3">
      <c r="J95670"/>
    </row>
    <row r="95671" spans="10:10" x14ac:dyDescent="0.3">
      <c r="J95671"/>
    </row>
    <row r="95672" spans="10:10" x14ac:dyDescent="0.3">
      <c r="J95672"/>
    </row>
    <row r="95673" spans="10:10" x14ac:dyDescent="0.3">
      <c r="J95673"/>
    </row>
    <row r="95674" spans="10:10" x14ac:dyDescent="0.3">
      <c r="J95674"/>
    </row>
    <row r="95675" spans="10:10" x14ac:dyDescent="0.3">
      <c r="J95675"/>
    </row>
    <row r="95676" spans="10:10" x14ac:dyDescent="0.3">
      <c r="J95676"/>
    </row>
    <row r="95677" spans="10:10" x14ac:dyDescent="0.3">
      <c r="J95677"/>
    </row>
    <row r="95678" spans="10:10" x14ac:dyDescent="0.3">
      <c r="J95678"/>
    </row>
    <row r="95679" spans="10:10" x14ac:dyDescent="0.3">
      <c r="J95679"/>
    </row>
    <row r="95680" spans="10:10" x14ac:dyDescent="0.3">
      <c r="J95680"/>
    </row>
    <row r="95681" spans="10:10" x14ac:dyDescent="0.3">
      <c r="J95681"/>
    </row>
    <row r="95682" spans="10:10" x14ac:dyDescent="0.3">
      <c r="J95682"/>
    </row>
    <row r="95683" spans="10:10" x14ac:dyDescent="0.3">
      <c r="J95683"/>
    </row>
    <row r="95684" spans="10:10" x14ac:dyDescent="0.3">
      <c r="J95684"/>
    </row>
    <row r="95685" spans="10:10" x14ac:dyDescent="0.3">
      <c r="J95685"/>
    </row>
    <row r="95686" spans="10:10" x14ac:dyDescent="0.3">
      <c r="J95686"/>
    </row>
    <row r="95687" spans="10:10" x14ac:dyDescent="0.3">
      <c r="J95687"/>
    </row>
    <row r="95688" spans="10:10" x14ac:dyDescent="0.3">
      <c r="J95688"/>
    </row>
    <row r="95689" spans="10:10" x14ac:dyDescent="0.3">
      <c r="J95689"/>
    </row>
    <row r="95690" spans="10:10" x14ac:dyDescent="0.3">
      <c r="J95690"/>
    </row>
    <row r="95691" spans="10:10" x14ac:dyDescent="0.3">
      <c r="J95691"/>
    </row>
    <row r="95692" spans="10:10" x14ac:dyDescent="0.3">
      <c r="J95692"/>
    </row>
    <row r="95693" spans="10:10" x14ac:dyDescent="0.3">
      <c r="J95693"/>
    </row>
    <row r="95694" spans="10:10" x14ac:dyDescent="0.3">
      <c r="J95694"/>
    </row>
    <row r="95695" spans="10:10" x14ac:dyDescent="0.3">
      <c r="J95695"/>
    </row>
    <row r="95696" spans="10:10" x14ac:dyDescent="0.3">
      <c r="J95696"/>
    </row>
    <row r="95697" spans="10:10" x14ac:dyDescent="0.3">
      <c r="J95697"/>
    </row>
    <row r="95698" spans="10:10" x14ac:dyDescent="0.3">
      <c r="J95698"/>
    </row>
    <row r="95699" spans="10:10" x14ac:dyDescent="0.3">
      <c r="J95699"/>
    </row>
    <row r="95700" spans="10:10" x14ac:dyDescent="0.3">
      <c r="J95700"/>
    </row>
    <row r="95701" spans="10:10" x14ac:dyDescent="0.3">
      <c r="J95701"/>
    </row>
    <row r="95702" spans="10:10" x14ac:dyDescent="0.3">
      <c r="J95702"/>
    </row>
    <row r="95703" spans="10:10" x14ac:dyDescent="0.3">
      <c r="J95703"/>
    </row>
    <row r="95704" spans="10:10" x14ac:dyDescent="0.3">
      <c r="J95704"/>
    </row>
    <row r="95705" spans="10:10" x14ac:dyDescent="0.3">
      <c r="J95705"/>
    </row>
    <row r="95706" spans="10:10" x14ac:dyDescent="0.3">
      <c r="J95706"/>
    </row>
    <row r="95707" spans="10:10" x14ac:dyDescent="0.3">
      <c r="J95707"/>
    </row>
    <row r="95708" spans="10:10" x14ac:dyDescent="0.3">
      <c r="J95708"/>
    </row>
    <row r="95709" spans="10:10" x14ac:dyDescent="0.3">
      <c r="J95709"/>
    </row>
    <row r="95710" spans="10:10" x14ac:dyDescent="0.3">
      <c r="J95710"/>
    </row>
    <row r="95711" spans="10:10" x14ac:dyDescent="0.3">
      <c r="J95711"/>
    </row>
    <row r="95712" spans="10:10" x14ac:dyDescent="0.3">
      <c r="J95712"/>
    </row>
    <row r="95713" spans="10:10" x14ac:dyDescent="0.3">
      <c r="J95713"/>
    </row>
    <row r="95714" spans="10:10" x14ac:dyDescent="0.3">
      <c r="J95714"/>
    </row>
    <row r="95715" spans="10:10" x14ac:dyDescent="0.3">
      <c r="J95715"/>
    </row>
    <row r="95716" spans="10:10" x14ac:dyDescent="0.3">
      <c r="J95716"/>
    </row>
    <row r="95717" spans="10:10" x14ac:dyDescent="0.3">
      <c r="J95717"/>
    </row>
    <row r="95718" spans="10:10" x14ac:dyDescent="0.3">
      <c r="J95718"/>
    </row>
    <row r="95719" spans="10:10" x14ac:dyDescent="0.3">
      <c r="J95719"/>
    </row>
    <row r="95720" spans="10:10" x14ac:dyDescent="0.3">
      <c r="J95720"/>
    </row>
    <row r="95721" spans="10:10" x14ac:dyDescent="0.3">
      <c r="J95721"/>
    </row>
    <row r="95722" spans="10:10" x14ac:dyDescent="0.3">
      <c r="J95722"/>
    </row>
    <row r="95723" spans="10:10" x14ac:dyDescent="0.3">
      <c r="J95723"/>
    </row>
    <row r="95724" spans="10:10" x14ac:dyDescent="0.3">
      <c r="J95724"/>
    </row>
    <row r="95725" spans="10:10" x14ac:dyDescent="0.3">
      <c r="J95725"/>
    </row>
    <row r="95726" spans="10:10" x14ac:dyDescent="0.3">
      <c r="J95726"/>
    </row>
    <row r="95727" spans="10:10" x14ac:dyDescent="0.3">
      <c r="J95727"/>
    </row>
    <row r="95728" spans="10:10" x14ac:dyDescent="0.3">
      <c r="J95728"/>
    </row>
    <row r="95729" spans="10:10" x14ac:dyDescent="0.3">
      <c r="J95729"/>
    </row>
    <row r="95730" spans="10:10" x14ac:dyDescent="0.3">
      <c r="J95730"/>
    </row>
    <row r="95731" spans="10:10" x14ac:dyDescent="0.3">
      <c r="J95731"/>
    </row>
    <row r="95732" spans="10:10" x14ac:dyDescent="0.3">
      <c r="J95732"/>
    </row>
    <row r="95733" spans="10:10" x14ac:dyDescent="0.3">
      <c r="J95733"/>
    </row>
    <row r="95734" spans="10:10" x14ac:dyDescent="0.3">
      <c r="J95734"/>
    </row>
    <row r="95735" spans="10:10" x14ac:dyDescent="0.3">
      <c r="J95735"/>
    </row>
    <row r="95736" spans="10:10" x14ac:dyDescent="0.3">
      <c r="J95736"/>
    </row>
    <row r="95737" spans="10:10" x14ac:dyDescent="0.3">
      <c r="J95737"/>
    </row>
    <row r="95738" spans="10:10" x14ac:dyDescent="0.3">
      <c r="J95738"/>
    </row>
    <row r="95739" spans="10:10" x14ac:dyDescent="0.3">
      <c r="J95739"/>
    </row>
    <row r="95740" spans="10:10" x14ac:dyDescent="0.3">
      <c r="J95740"/>
    </row>
    <row r="95741" spans="10:10" x14ac:dyDescent="0.3">
      <c r="J95741"/>
    </row>
    <row r="95742" spans="10:10" x14ac:dyDescent="0.3">
      <c r="J95742"/>
    </row>
    <row r="95743" spans="10:10" x14ac:dyDescent="0.3">
      <c r="J95743"/>
    </row>
    <row r="95744" spans="10:10" x14ac:dyDescent="0.3">
      <c r="J95744"/>
    </row>
    <row r="95745" spans="10:10" x14ac:dyDescent="0.3">
      <c r="J95745"/>
    </row>
    <row r="95746" spans="10:10" x14ac:dyDescent="0.3">
      <c r="J95746"/>
    </row>
    <row r="95747" spans="10:10" x14ac:dyDescent="0.3">
      <c r="J95747"/>
    </row>
    <row r="95748" spans="10:10" x14ac:dyDescent="0.3">
      <c r="J95748"/>
    </row>
    <row r="95749" spans="10:10" x14ac:dyDescent="0.3">
      <c r="J95749"/>
    </row>
    <row r="95750" spans="10:10" x14ac:dyDescent="0.3">
      <c r="J95750"/>
    </row>
    <row r="95751" spans="10:10" x14ac:dyDescent="0.3">
      <c r="J95751"/>
    </row>
    <row r="95752" spans="10:10" x14ac:dyDescent="0.3">
      <c r="J95752"/>
    </row>
    <row r="95753" spans="10:10" x14ac:dyDescent="0.3">
      <c r="J95753"/>
    </row>
    <row r="95754" spans="10:10" x14ac:dyDescent="0.3">
      <c r="J95754"/>
    </row>
    <row r="95755" spans="10:10" x14ac:dyDescent="0.3">
      <c r="J95755"/>
    </row>
    <row r="95756" spans="10:10" x14ac:dyDescent="0.3">
      <c r="J95756"/>
    </row>
    <row r="95757" spans="10:10" x14ac:dyDescent="0.3">
      <c r="J95757"/>
    </row>
    <row r="95758" spans="10:10" x14ac:dyDescent="0.3">
      <c r="J95758"/>
    </row>
    <row r="95759" spans="10:10" x14ac:dyDescent="0.3">
      <c r="J95759"/>
    </row>
    <row r="95760" spans="10:10" x14ac:dyDescent="0.3">
      <c r="J95760"/>
    </row>
    <row r="95761" spans="10:10" x14ac:dyDescent="0.3">
      <c r="J95761"/>
    </row>
    <row r="95762" spans="10:10" x14ac:dyDescent="0.3">
      <c r="J95762"/>
    </row>
    <row r="95763" spans="10:10" x14ac:dyDescent="0.3">
      <c r="J95763"/>
    </row>
    <row r="95764" spans="10:10" x14ac:dyDescent="0.3">
      <c r="J95764"/>
    </row>
    <row r="95765" spans="10:10" x14ac:dyDescent="0.3">
      <c r="J95765"/>
    </row>
    <row r="95766" spans="10:10" x14ac:dyDescent="0.3">
      <c r="J95766"/>
    </row>
    <row r="95767" spans="10:10" x14ac:dyDescent="0.3">
      <c r="J95767"/>
    </row>
    <row r="95768" spans="10:10" x14ac:dyDescent="0.3">
      <c r="J95768"/>
    </row>
    <row r="95769" spans="10:10" x14ac:dyDescent="0.3">
      <c r="J95769"/>
    </row>
    <row r="95770" spans="10:10" x14ac:dyDescent="0.3">
      <c r="J95770"/>
    </row>
    <row r="95771" spans="10:10" x14ac:dyDescent="0.3">
      <c r="J95771"/>
    </row>
    <row r="95772" spans="10:10" x14ac:dyDescent="0.3">
      <c r="J95772"/>
    </row>
    <row r="95773" spans="10:10" x14ac:dyDescent="0.3">
      <c r="J95773"/>
    </row>
    <row r="95774" spans="10:10" x14ac:dyDescent="0.3">
      <c r="J95774"/>
    </row>
    <row r="95775" spans="10:10" x14ac:dyDescent="0.3">
      <c r="J95775"/>
    </row>
    <row r="95776" spans="10:10" x14ac:dyDescent="0.3">
      <c r="J95776"/>
    </row>
    <row r="95777" spans="10:10" x14ac:dyDescent="0.3">
      <c r="J95777"/>
    </row>
    <row r="95778" spans="10:10" x14ac:dyDescent="0.3">
      <c r="J95778"/>
    </row>
    <row r="95779" spans="10:10" x14ac:dyDescent="0.3">
      <c r="J95779"/>
    </row>
    <row r="95780" spans="10:10" x14ac:dyDescent="0.3">
      <c r="J95780"/>
    </row>
    <row r="95781" spans="10:10" x14ac:dyDescent="0.3">
      <c r="J95781"/>
    </row>
    <row r="95782" spans="10:10" x14ac:dyDescent="0.3">
      <c r="J95782"/>
    </row>
    <row r="95783" spans="10:10" x14ac:dyDescent="0.3">
      <c r="J95783"/>
    </row>
    <row r="95784" spans="10:10" x14ac:dyDescent="0.3">
      <c r="J95784"/>
    </row>
    <row r="95785" spans="10:10" x14ac:dyDescent="0.3">
      <c r="J95785"/>
    </row>
    <row r="95786" spans="10:10" x14ac:dyDescent="0.3">
      <c r="J95786"/>
    </row>
    <row r="95787" spans="10:10" x14ac:dyDescent="0.3">
      <c r="J95787"/>
    </row>
    <row r="95788" spans="10:10" x14ac:dyDescent="0.3">
      <c r="J95788"/>
    </row>
    <row r="95789" spans="10:10" x14ac:dyDescent="0.3">
      <c r="J95789"/>
    </row>
    <row r="95790" spans="10:10" x14ac:dyDescent="0.3">
      <c r="J95790"/>
    </row>
    <row r="95791" spans="10:10" x14ac:dyDescent="0.3">
      <c r="J95791"/>
    </row>
    <row r="95792" spans="10:10" x14ac:dyDescent="0.3">
      <c r="J95792"/>
    </row>
    <row r="95793" spans="10:10" x14ac:dyDescent="0.3">
      <c r="J95793"/>
    </row>
    <row r="95794" spans="10:10" x14ac:dyDescent="0.3">
      <c r="J95794"/>
    </row>
    <row r="95795" spans="10:10" x14ac:dyDescent="0.3">
      <c r="J95795"/>
    </row>
    <row r="95796" spans="10:10" x14ac:dyDescent="0.3">
      <c r="J95796"/>
    </row>
    <row r="95797" spans="10:10" x14ac:dyDescent="0.3">
      <c r="J95797"/>
    </row>
    <row r="95798" spans="10:10" x14ac:dyDescent="0.3">
      <c r="J95798"/>
    </row>
    <row r="95799" spans="10:10" x14ac:dyDescent="0.3">
      <c r="J95799"/>
    </row>
    <row r="95800" spans="10:10" x14ac:dyDescent="0.3">
      <c r="J95800"/>
    </row>
    <row r="95801" spans="10:10" x14ac:dyDescent="0.3">
      <c r="J95801"/>
    </row>
    <row r="95802" spans="10:10" x14ac:dyDescent="0.3">
      <c r="J95802"/>
    </row>
    <row r="95803" spans="10:10" x14ac:dyDescent="0.3">
      <c r="J95803"/>
    </row>
    <row r="95804" spans="10:10" x14ac:dyDescent="0.3">
      <c r="J95804"/>
    </row>
    <row r="95805" spans="10:10" x14ac:dyDescent="0.3">
      <c r="J95805"/>
    </row>
    <row r="95806" spans="10:10" x14ac:dyDescent="0.3">
      <c r="J95806"/>
    </row>
    <row r="95807" spans="10:10" x14ac:dyDescent="0.3">
      <c r="J95807"/>
    </row>
    <row r="95808" spans="10:10" x14ac:dyDescent="0.3">
      <c r="J95808"/>
    </row>
    <row r="95809" spans="10:10" x14ac:dyDescent="0.3">
      <c r="J95809"/>
    </row>
    <row r="95810" spans="10:10" x14ac:dyDescent="0.3">
      <c r="J95810"/>
    </row>
    <row r="95811" spans="10:10" x14ac:dyDescent="0.3">
      <c r="J95811"/>
    </row>
    <row r="95812" spans="10:10" x14ac:dyDescent="0.3">
      <c r="J95812"/>
    </row>
    <row r="95813" spans="10:10" x14ac:dyDescent="0.3">
      <c r="J95813"/>
    </row>
    <row r="95814" spans="10:10" x14ac:dyDescent="0.3">
      <c r="J95814"/>
    </row>
    <row r="95815" spans="10:10" x14ac:dyDescent="0.3">
      <c r="J95815"/>
    </row>
    <row r="95816" spans="10:10" x14ac:dyDescent="0.3">
      <c r="J95816"/>
    </row>
    <row r="95817" spans="10:10" x14ac:dyDescent="0.3">
      <c r="J95817"/>
    </row>
    <row r="95818" spans="10:10" x14ac:dyDescent="0.3">
      <c r="J95818"/>
    </row>
    <row r="95819" spans="10:10" x14ac:dyDescent="0.3">
      <c r="J95819"/>
    </row>
    <row r="95820" spans="10:10" x14ac:dyDescent="0.3">
      <c r="J95820"/>
    </row>
    <row r="95821" spans="10:10" x14ac:dyDescent="0.3">
      <c r="J95821"/>
    </row>
    <row r="95822" spans="10:10" x14ac:dyDescent="0.3">
      <c r="J95822"/>
    </row>
    <row r="95823" spans="10:10" x14ac:dyDescent="0.3">
      <c r="J95823"/>
    </row>
    <row r="95824" spans="10:10" x14ac:dyDescent="0.3">
      <c r="J95824"/>
    </row>
    <row r="95825" spans="10:10" x14ac:dyDescent="0.3">
      <c r="J95825"/>
    </row>
    <row r="95826" spans="10:10" x14ac:dyDescent="0.3">
      <c r="J95826"/>
    </row>
    <row r="95827" spans="10:10" x14ac:dyDescent="0.3">
      <c r="J95827"/>
    </row>
    <row r="95828" spans="10:10" x14ac:dyDescent="0.3">
      <c r="J95828"/>
    </row>
    <row r="95829" spans="10:10" x14ac:dyDescent="0.3">
      <c r="J95829"/>
    </row>
    <row r="95830" spans="10:10" x14ac:dyDescent="0.3">
      <c r="J95830"/>
    </row>
    <row r="95831" spans="10:10" x14ac:dyDescent="0.3">
      <c r="J95831"/>
    </row>
    <row r="95832" spans="10:10" x14ac:dyDescent="0.3">
      <c r="J95832"/>
    </row>
    <row r="95833" spans="10:10" x14ac:dyDescent="0.3">
      <c r="J95833"/>
    </row>
    <row r="95834" spans="10:10" x14ac:dyDescent="0.3">
      <c r="J95834"/>
    </row>
    <row r="95835" spans="10:10" x14ac:dyDescent="0.3">
      <c r="J95835"/>
    </row>
    <row r="95836" spans="10:10" x14ac:dyDescent="0.3">
      <c r="J95836"/>
    </row>
    <row r="95837" spans="10:10" x14ac:dyDescent="0.3">
      <c r="J95837"/>
    </row>
    <row r="95838" spans="10:10" x14ac:dyDescent="0.3">
      <c r="J95838"/>
    </row>
    <row r="95839" spans="10:10" x14ac:dyDescent="0.3">
      <c r="J95839"/>
    </row>
    <row r="95840" spans="10:10" x14ac:dyDescent="0.3">
      <c r="J95840"/>
    </row>
    <row r="95841" spans="10:10" x14ac:dyDescent="0.3">
      <c r="J95841"/>
    </row>
    <row r="95842" spans="10:10" x14ac:dyDescent="0.3">
      <c r="J95842"/>
    </row>
    <row r="95843" spans="10:10" x14ac:dyDescent="0.3">
      <c r="J95843"/>
    </row>
    <row r="95844" spans="10:10" x14ac:dyDescent="0.3">
      <c r="J95844"/>
    </row>
    <row r="95845" spans="10:10" x14ac:dyDescent="0.3">
      <c r="J95845"/>
    </row>
    <row r="95846" spans="10:10" x14ac:dyDescent="0.3">
      <c r="J95846"/>
    </row>
    <row r="95847" spans="10:10" x14ac:dyDescent="0.3">
      <c r="J95847"/>
    </row>
    <row r="95848" spans="10:10" x14ac:dyDescent="0.3">
      <c r="J95848"/>
    </row>
    <row r="95849" spans="10:10" x14ac:dyDescent="0.3">
      <c r="J95849"/>
    </row>
    <row r="95850" spans="10:10" x14ac:dyDescent="0.3">
      <c r="J95850"/>
    </row>
    <row r="95851" spans="10:10" x14ac:dyDescent="0.3">
      <c r="J95851"/>
    </row>
    <row r="95852" spans="10:10" x14ac:dyDescent="0.3">
      <c r="J95852"/>
    </row>
    <row r="95853" spans="10:10" x14ac:dyDescent="0.3">
      <c r="J95853"/>
    </row>
    <row r="95854" spans="10:10" x14ac:dyDescent="0.3">
      <c r="J95854"/>
    </row>
    <row r="95855" spans="10:10" x14ac:dyDescent="0.3">
      <c r="J95855"/>
    </row>
    <row r="95856" spans="10:10" x14ac:dyDescent="0.3">
      <c r="J95856"/>
    </row>
    <row r="95857" spans="10:10" x14ac:dyDescent="0.3">
      <c r="J95857"/>
    </row>
    <row r="95858" spans="10:10" x14ac:dyDescent="0.3">
      <c r="J95858"/>
    </row>
    <row r="95859" spans="10:10" x14ac:dyDescent="0.3">
      <c r="J95859"/>
    </row>
    <row r="95860" spans="10:10" x14ac:dyDescent="0.3">
      <c r="J95860"/>
    </row>
    <row r="95861" spans="10:10" x14ac:dyDescent="0.3">
      <c r="J95861"/>
    </row>
    <row r="95862" spans="10:10" x14ac:dyDescent="0.3">
      <c r="J95862"/>
    </row>
    <row r="95863" spans="10:10" x14ac:dyDescent="0.3">
      <c r="J95863"/>
    </row>
    <row r="95864" spans="10:10" x14ac:dyDescent="0.3">
      <c r="J95864"/>
    </row>
    <row r="95865" spans="10:10" x14ac:dyDescent="0.3">
      <c r="J95865"/>
    </row>
    <row r="95866" spans="10:10" x14ac:dyDescent="0.3">
      <c r="J95866"/>
    </row>
    <row r="95867" spans="10:10" x14ac:dyDescent="0.3">
      <c r="J95867"/>
    </row>
    <row r="95868" spans="10:10" x14ac:dyDescent="0.3">
      <c r="J95868"/>
    </row>
    <row r="95869" spans="10:10" x14ac:dyDescent="0.3">
      <c r="J95869"/>
    </row>
    <row r="95870" spans="10:10" x14ac:dyDescent="0.3">
      <c r="J95870"/>
    </row>
    <row r="95871" spans="10:10" x14ac:dyDescent="0.3">
      <c r="J95871"/>
    </row>
    <row r="95872" spans="10:10" x14ac:dyDescent="0.3">
      <c r="J95872"/>
    </row>
    <row r="95873" spans="10:10" x14ac:dyDescent="0.3">
      <c r="J95873"/>
    </row>
    <row r="95874" spans="10:10" x14ac:dyDescent="0.3">
      <c r="J95874"/>
    </row>
    <row r="95875" spans="10:10" x14ac:dyDescent="0.3">
      <c r="J95875"/>
    </row>
    <row r="95876" spans="10:10" x14ac:dyDescent="0.3">
      <c r="J95876"/>
    </row>
    <row r="95877" spans="10:10" x14ac:dyDescent="0.3">
      <c r="J95877"/>
    </row>
    <row r="95878" spans="10:10" x14ac:dyDescent="0.3">
      <c r="J95878"/>
    </row>
    <row r="95879" spans="10:10" x14ac:dyDescent="0.3">
      <c r="J95879"/>
    </row>
    <row r="95880" spans="10:10" x14ac:dyDescent="0.3">
      <c r="J95880"/>
    </row>
    <row r="95881" spans="10:10" x14ac:dyDescent="0.3">
      <c r="J95881"/>
    </row>
    <row r="95882" spans="10:10" x14ac:dyDescent="0.3">
      <c r="J95882"/>
    </row>
    <row r="95883" spans="10:10" x14ac:dyDescent="0.3">
      <c r="J95883"/>
    </row>
    <row r="95884" spans="10:10" x14ac:dyDescent="0.3">
      <c r="J95884"/>
    </row>
    <row r="95885" spans="10:10" x14ac:dyDescent="0.3">
      <c r="J95885"/>
    </row>
    <row r="95886" spans="10:10" x14ac:dyDescent="0.3">
      <c r="J95886"/>
    </row>
    <row r="95887" spans="10:10" x14ac:dyDescent="0.3">
      <c r="J95887"/>
    </row>
    <row r="95888" spans="10:10" x14ac:dyDescent="0.3">
      <c r="J95888"/>
    </row>
    <row r="95889" spans="10:10" x14ac:dyDescent="0.3">
      <c r="J95889"/>
    </row>
    <row r="95890" spans="10:10" x14ac:dyDescent="0.3">
      <c r="J95890"/>
    </row>
    <row r="95891" spans="10:10" x14ac:dyDescent="0.3">
      <c r="J95891"/>
    </row>
    <row r="95892" spans="10:10" x14ac:dyDescent="0.3">
      <c r="J95892"/>
    </row>
    <row r="95893" spans="10:10" x14ac:dyDescent="0.3">
      <c r="J95893"/>
    </row>
    <row r="95894" spans="10:10" x14ac:dyDescent="0.3">
      <c r="J95894"/>
    </row>
    <row r="95895" spans="10:10" x14ac:dyDescent="0.3">
      <c r="J95895"/>
    </row>
    <row r="95896" spans="10:10" x14ac:dyDescent="0.3">
      <c r="J95896"/>
    </row>
    <row r="95897" spans="10:10" x14ac:dyDescent="0.3">
      <c r="J95897"/>
    </row>
    <row r="95898" spans="10:10" x14ac:dyDescent="0.3">
      <c r="J95898"/>
    </row>
    <row r="95899" spans="10:10" x14ac:dyDescent="0.3">
      <c r="J95899"/>
    </row>
    <row r="95900" spans="10:10" x14ac:dyDescent="0.3">
      <c r="J95900"/>
    </row>
    <row r="95901" spans="10:10" x14ac:dyDescent="0.3">
      <c r="J95901"/>
    </row>
    <row r="95902" spans="10:10" x14ac:dyDescent="0.3">
      <c r="J95902"/>
    </row>
    <row r="95903" spans="10:10" x14ac:dyDescent="0.3">
      <c r="J95903"/>
    </row>
    <row r="95904" spans="10:10" x14ac:dyDescent="0.3">
      <c r="J95904"/>
    </row>
    <row r="95905" spans="10:10" x14ac:dyDescent="0.3">
      <c r="J95905"/>
    </row>
    <row r="95906" spans="10:10" x14ac:dyDescent="0.3">
      <c r="J95906"/>
    </row>
    <row r="95907" spans="10:10" x14ac:dyDescent="0.3">
      <c r="J95907"/>
    </row>
    <row r="95908" spans="10:10" x14ac:dyDescent="0.3">
      <c r="J95908"/>
    </row>
    <row r="95909" spans="10:10" x14ac:dyDescent="0.3">
      <c r="J95909"/>
    </row>
    <row r="95910" spans="10:10" x14ac:dyDescent="0.3">
      <c r="J95910"/>
    </row>
    <row r="95911" spans="10:10" x14ac:dyDescent="0.3">
      <c r="J95911"/>
    </row>
    <row r="95912" spans="10:10" x14ac:dyDescent="0.3">
      <c r="J95912"/>
    </row>
    <row r="95913" spans="10:10" x14ac:dyDescent="0.3">
      <c r="J95913"/>
    </row>
    <row r="95914" spans="10:10" x14ac:dyDescent="0.3">
      <c r="J95914"/>
    </row>
    <row r="95915" spans="10:10" x14ac:dyDescent="0.3">
      <c r="J95915"/>
    </row>
    <row r="95916" spans="10:10" x14ac:dyDescent="0.3">
      <c r="J95916"/>
    </row>
    <row r="95917" spans="10:10" x14ac:dyDescent="0.3">
      <c r="J95917"/>
    </row>
    <row r="95918" spans="10:10" x14ac:dyDescent="0.3">
      <c r="J95918"/>
    </row>
    <row r="95919" spans="10:10" x14ac:dyDescent="0.3">
      <c r="J95919"/>
    </row>
    <row r="95920" spans="10:10" x14ac:dyDescent="0.3">
      <c r="J95920"/>
    </row>
    <row r="95921" spans="10:10" x14ac:dyDescent="0.3">
      <c r="J95921"/>
    </row>
    <row r="95922" spans="10:10" x14ac:dyDescent="0.3">
      <c r="J95922"/>
    </row>
    <row r="95923" spans="10:10" x14ac:dyDescent="0.3">
      <c r="J95923"/>
    </row>
    <row r="95924" spans="10:10" x14ac:dyDescent="0.3">
      <c r="J95924"/>
    </row>
    <row r="95925" spans="10:10" x14ac:dyDescent="0.3">
      <c r="J95925"/>
    </row>
    <row r="95926" spans="10:10" x14ac:dyDescent="0.3">
      <c r="J95926"/>
    </row>
    <row r="95927" spans="10:10" x14ac:dyDescent="0.3">
      <c r="J95927"/>
    </row>
    <row r="95928" spans="10:10" x14ac:dyDescent="0.3">
      <c r="J95928"/>
    </row>
    <row r="95929" spans="10:10" x14ac:dyDescent="0.3">
      <c r="J95929"/>
    </row>
    <row r="95930" spans="10:10" x14ac:dyDescent="0.3">
      <c r="J95930"/>
    </row>
    <row r="95931" spans="10:10" x14ac:dyDescent="0.3">
      <c r="J95931"/>
    </row>
    <row r="95932" spans="10:10" x14ac:dyDescent="0.3">
      <c r="J95932"/>
    </row>
    <row r="95933" spans="10:10" x14ac:dyDescent="0.3">
      <c r="J95933"/>
    </row>
    <row r="95934" spans="10:10" x14ac:dyDescent="0.3">
      <c r="J95934"/>
    </row>
    <row r="95935" spans="10:10" x14ac:dyDescent="0.3">
      <c r="J95935"/>
    </row>
    <row r="95936" spans="10:10" x14ac:dyDescent="0.3">
      <c r="J95936"/>
    </row>
    <row r="95937" spans="10:10" x14ac:dyDescent="0.3">
      <c r="J95937"/>
    </row>
    <row r="95938" spans="10:10" x14ac:dyDescent="0.3">
      <c r="J95938"/>
    </row>
    <row r="95939" spans="10:10" x14ac:dyDescent="0.3">
      <c r="J95939"/>
    </row>
    <row r="95940" spans="10:10" x14ac:dyDescent="0.3">
      <c r="J95940"/>
    </row>
    <row r="95941" spans="10:10" x14ac:dyDescent="0.3">
      <c r="J95941"/>
    </row>
    <row r="95942" spans="10:10" x14ac:dyDescent="0.3">
      <c r="J95942"/>
    </row>
    <row r="95943" spans="10:10" x14ac:dyDescent="0.3">
      <c r="J95943"/>
    </row>
    <row r="95944" spans="10:10" x14ac:dyDescent="0.3">
      <c r="J95944"/>
    </row>
    <row r="95945" spans="10:10" x14ac:dyDescent="0.3">
      <c r="J95945"/>
    </row>
    <row r="95946" spans="10:10" x14ac:dyDescent="0.3">
      <c r="J95946"/>
    </row>
    <row r="95947" spans="10:10" x14ac:dyDescent="0.3">
      <c r="J95947"/>
    </row>
    <row r="95948" spans="10:10" x14ac:dyDescent="0.3">
      <c r="J95948"/>
    </row>
    <row r="95949" spans="10:10" x14ac:dyDescent="0.3">
      <c r="J95949"/>
    </row>
    <row r="95950" spans="10:10" x14ac:dyDescent="0.3">
      <c r="J95950"/>
    </row>
    <row r="95951" spans="10:10" x14ac:dyDescent="0.3">
      <c r="J95951"/>
    </row>
    <row r="95952" spans="10:10" x14ac:dyDescent="0.3">
      <c r="J95952"/>
    </row>
    <row r="95953" spans="10:10" x14ac:dyDescent="0.3">
      <c r="J95953"/>
    </row>
    <row r="95954" spans="10:10" x14ac:dyDescent="0.3">
      <c r="J95954"/>
    </row>
    <row r="95955" spans="10:10" x14ac:dyDescent="0.3">
      <c r="J95955"/>
    </row>
    <row r="95956" spans="10:10" x14ac:dyDescent="0.3">
      <c r="J95956"/>
    </row>
    <row r="95957" spans="10:10" x14ac:dyDescent="0.3">
      <c r="J95957"/>
    </row>
    <row r="95958" spans="10:10" x14ac:dyDescent="0.3">
      <c r="J95958"/>
    </row>
    <row r="95959" spans="10:10" x14ac:dyDescent="0.3">
      <c r="J95959"/>
    </row>
    <row r="95960" spans="10:10" x14ac:dyDescent="0.3">
      <c r="J95960"/>
    </row>
    <row r="95961" spans="10:10" x14ac:dyDescent="0.3">
      <c r="J95961"/>
    </row>
    <row r="95962" spans="10:10" x14ac:dyDescent="0.3">
      <c r="J95962"/>
    </row>
    <row r="95963" spans="10:10" x14ac:dyDescent="0.3">
      <c r="J95963"/>
    </row>
    <row r="95964" spans="10:10" x14ac:dyDescent="0.3">
      <c r="J95964"/>
    </row>
    <row r="95965" spans="10:10" x14ac:dyDescent="0.3">
      <c r="J95965"/>
    </row>
    <row r="95966" spans="10:10" x14ac:dyDescent="0.3">
      <c r="J95966"/>
    </row>
    <row r="95967" spans="10:10" x14ac:dyDescent="0.3">
      <c r="J95967"/>
    </row>
    <row r="95968" spans="10:10" x14ac:dyDescent="0.3">
      <c r="J95968"/>
    </row>
    <row r="95969" spans="10:10" x14ac:dyDescent="0.3">
      <c r="J95969"/>
    </row>
    <row r="95970" spans="10:10" x14ac:dyDescent="0.3">
      <c r="J95970"/>
    </row>
    <row r="95971" spans="10:10" x14ac:dyDescent="0.3">
      <c r="J95971"/>
    </row>
    <row r="95972" spans="10:10" x14ac:dyDescent="0.3">
      <c r="J95972"/>
    </row>
    <row r="95973" spans="10:10" x14ac:dyDescent="0.3">
      <c r="J95973"/>
    </row>
    <row r="95974" spans="10:10" x14ac:dyDescent="0.3">
      <c r="J95974"/>
    </row>
    <row r="95975" spans="10:10" x14ac:dyDescent="0.3">
      <c r="J95975"/>
    </row>
    <row r="95976" spans="10:10" x14ac:dyDescent="0.3">
      <c r="J95976"/>
    </row>
    <row r="95977" spans="10:10" x14ac:dyDescent="0.3">
      <c r="J95977"/>
    </row>
    <row r="95978" spans="10:10" x14ac:dyDescent="0.3">
      <c r="J95978"/>
    </row>
    <row r="95979" spans="10:10" x14ac:dyDescent="0.3">
      <c r="J95979"/>
    </row>
    <row r="95980" spans="10:10" x14ac:dyDescent="0.3">
      <c r="J95980"/>
    </row>
    <row r="95981" spans="10:10" x14ac:dyDescent="0.3">
      <c r="J95981"/>
    </row>
    <row r="95982" spans="10:10" x14ac:dyDescent="0.3">
      <c r="J95982"/>
    </row>
    <row r="95983" spans="10:10" x14ac:dyDescent="0.3">
      <c r="J95983"/>
    </row>
    <row r="95984" spans="10:10" x14ac:dyDescent="0.3">
      <c r="J95984"/>
    </row>
    <row r="95985" spans="10:10" x14ac:dyDescent="0.3">
      <c r="J95985"/>
    </row>
    <row r="95986" spans="10:10" x14ac:dyDescent="0.3">
      <c r="J95986"/>
    </row>
    <row r="95987" spans="10:10" x14ac:dyDescent="0.3">
      <c r="J95987"/>
    </row>
    <row r="95988" spans="10:10" x14ac:dyDescent="0.3">
      <c r="J95988"/>
    </row>
    <row r="95989" spans="10:10" x14ac:dyDescent="0.3">
      <c r="J95989"/>
    </row>
    <row r="95990" spans="10:10" x14ac:dyDescent="0.3">
      <c r="J95990"/>
    </row>
    <row r="95991" spans="10:10" x14ac:dyDescent="0.3">
      <c r="J95991"/>
    </row>
    <row r="95992" spans="10:10" x14ac:dyDescent="0.3">
      <c r="J95992"/>
    </row>
    <row r="95993" spans="10:10" x14ac:dyDescent="0.3">
      <c r="J95993"/>
    </row>
    <row r="95994" spans="10:10" x14ac:dyDescent="0.3">
      <c r="J95994"/>
    </row>
    <row r="95995" spans="10:10" x14ac:dyDescent="0.3">
      <c r="J95995"/>
    </row>
    <row r="95996" spans="10:10" x14ac:dyDescent="0.3">
      <c r="J95996"/>
    </row>
    <row r="95997" spans="10:10" x14ac:dyDescent="0.3">
      <c r="J95997"/>
    </row>
    <row r="95998" spans="10:10" x14ac:dyDescent="0.3">
      <c r="J95998"/>
    </row>
    <row r="95999" spans="10:10" x14ac:dyDescent="0.3">
      <c r="J95999"/>
    </row>
    <row r="96000" spans="10:10" x14ac:dyDescent="0.3">
      <c r="J96000"/>
    </row>
    <row r="96001" spans="10:10" x14ac:dyDescent="0.3">
      <c r="J96001"/>
    </row>
    <row r="96002" spans="10:10" x14ac:dyDescent="0.3">
      <c r="J96002"/>
    </row>
    <row r="96003" spans="10:10" x14ac:dyDescent="0.3">
      <c r="J96003"/>
    </row>
    <row r="96004" spans="10:10" x14ac:dyDescent="0.3">
      <c r="J96004"/>
    </row>
    <row r="96005" spans="10:10" x14ac:dyDescent="0.3">
      <c r="J96005"/>
    </row>
    <row r="96006" spans="10:10" x14ac:dyDescent="0.3">
      <c r="J96006"/>
    </row>
    <row r="96007" spans="10:10" x14ac:dyDescent="0.3">
      <c r="J96007"/>
    </row>
    <row r="96008" spans="10:10" x14ac:dyDescent="0.3">
      <c r="J96008"/>
    </row>
    <row r="96009" spans="10:10" x14ac:dyDescent="0.3">
      <c r="J96009"/>
    </row>
    <row r="96010" spans="10:10" x14ac:dyDescent="0.3">
      <c r="J96010"/>
    </row>
    <row r="96011" spans="10:10" x14ac:dyDescent="0.3">
      <c r="J96011"/>
    </row>
    <row r="96012" spans="10:10" x14ac:dyDescent="0.3">
      <c r="J96012"/>
    </row>
    <row r="96013" spans="10:10" x14ac:dyDescent="0.3">
      <c r="J96013"/>
    </row>
    <row r="96014" spans="10:10" x14ac:dyDescent="0.3">
      <c r="J96014"/>
    </row>
    <row r="96015" spans="10:10" x14ac:dyDescent="0.3">
      <c r="J96015"/>
    </row>
    <row r="96016" spans="10:10" x14ac:dyDescent="0.3">
      <c r="J96016"/>
    </row>
    <row r="96017" spans="10:10" x14ac:dyDescent="0.3">
      <c r="J96017"/>
    </row>
    <row r="96018" spans="10:10" x14ac:dyDescent="0.3">
      <c r="J96018"/>
    </row>
    <row r="96019" spans="10:10" x14ac:dyDescent="0.3">
      <c r="J96019"/>
    </row>
    <row r="96020" spans="10:10" x14ac:dyDescent="0.3">
      <c r="J96020"/>
    </row>
    <row r="96021" spans="10:10" x14ac:dyDescent="0.3">
      <c r="J96021"/>
    </row>
    <row r="96022" spans="10:10" x14ac:dyDescent="0.3">
      <c r="J96022"/>
    </row>
    <row r="96023" spans="10:10" x14ac:dyDescent="0.3">
      <c r="J96023"/>
    </row>
    <row r="96024" spans="10:10" x14ac:dyDescent="0.3">
      <c r="J96024"/>
    </row>
    <row r="96025" spans="10:10" x14ac:dyDescent="0.3">
      <c r="J96025"/>
    </row>
    <row r="96026" spans="10:10" x14ac:dyDescent="0.3">
      <c r="J96026"/>
    </row>
    <row r="96027" spans="10:10" x14ac:dyDescent="0.3">
      <c r="J96027"/>
    </row>
    <row r="96028" spans="10:10" x14ac:dyDescent="0.3">
      <c r="J96028"/>
    </row>
    <row r="96029" spans="10:10" x14ac:dyDescent="0.3">
      <c r="J96029"/>
    </row>
    <row r="96030" spans="10:10" x14ac:dyDescent="0.3">
      <c r="J96030"/>
    </row>
    <row r="96031" spans="10:10" x14ac:dyDescent="0.3">
      <c r="J96031"/>
    </row>
    <row r="96032" spans="10:10" x14ac:dyDescent="0.3">
      <c r="J96032"/>
    </row>
    <row r="96033" spans="10:10" x14ac:dyDescent="0.3">
      <c r="J96033"/>
    </row>
    <row r="96034" spans="10:10" x14ac:dyDescent="0.3">
      <c r="J96034"/>
    </row>
    <row r="96035" spans="10:10" x14ac:dyDescent="0.3">
      <c r="J96035"/>
    </row>
    <row r="96036" spans="10:10" x14ac:dyDescent="0.3">
      <c r="J96036"/>
    </row>
    <row r="96037" spans="10:10" x14ac:dyDescent="0.3">
      <c r="J96037"/>
    </row>
    <row r="96038" spans="10:10" x14ac:dyDescent="0.3">
      <c r="J96038"/>
    </row>
    <row r="96039" spans="10:10" x14ac:dyDescent="0.3">
      <c r="J96039"/>
    </row>
    <row r="96040" spans="10:10" x14ac:dyDescent="0.3">
      <c r="J96040"/>
    </row>
    <row r="96041" spans="10:10" x14ac:dyDescent="0.3">
      <c r="J96041"/>
    </row>
    <row r="96042" spans="10:10" x14ac:dyDescent="0.3">
      <c r="J96042"/>
    </row>
    <row r="96043" spans="10:10" x14ac:dyDescent="0.3">
      <c r="J96043"/>
    </row>
    <row r="96044" spans="10:10" x14ac:dyDescent="0.3">
      <c r="J96044"/>
    </row>
    <row r="96045" spans="10:10" x14ac:dyDescent="0.3">
      <c r="J96045"/>
    </row>
    <row r="96046" spans="10:10" x14ac:dyDescent="0.3">
      <c r="J96046"/>
    </row>
    <row r="96047" spans="10:10" x14ac:dyDescent="0.3">
      <c r="J96047"/>
    </row>
    <row r="96048" spans="10:10" x14ac:dyDescent="0.3">
      <c r="J96048"/>
    </row>
    <row r="96049" spans="10:10" x14ac:dyDescent="0.3">
      <c r="J96049"/>
    </row>
    <row r="96050" spans="10:10" x14ac:dyDescent="0.3">
      <c r="J96050"/>
    </row>
    <row r="96051" spans="10:10" x14ac:dyDescent="0.3">
      <c r="J96051"/>
    </row>
    <row r="96052" spans="10:10" x14ac:dyDescent="0.3">
      <c r="J96052"/>
    </row>
    <row r="96053" spans="10:10" x14ac:dyDescent="0.3">
      <c r="J96053"/>
    </row>
    <row r="96054" spans="10:10" x14ac:dyDescent="0.3">
      <c r="J96054"/>
    </row>
    <row r="96055" spans="10:10" x14ac:dyDescent="0.3">
      <c r="J96055"/>
    </row>
    <row r="96056" spans="10:10" x14ac:dyDescent="0.3">
      <c r="J96056"/>
    </row>
    <row r="96057" spans="10:10" x14ac:dyDescent="0.3">
      <c r="J96057"/>
    </row>
    <row r="96058" spans="10:10" x14ac:dyDescent="0.3">
      <c r="J96058"/>
    </row>
    <row r="96059" spans="10:10" x14ac:dyDescent="0.3">
      <c r="J96059"/>
    </row>
    <row r="96060" spans="10:10" x14ac:dyDescent="0.3">
      <c r="J96060"/>
    </row>
    <row r="96061" spans="10:10" x14ac:dyDescent="0.3">
      <c r="J96061"/>
    </row>
    <row r="96062" spans="10:10" x14ac:dyDescent="0.3">
      <c r="J96062"/>
    </row>
    <row r="96063" spans="10:10" x14ac:dyDescent="0.3">
      <c r="J96063"/>
    </row>
    <row r="96064" spans="10:10" x14ac:dyDescent="0.3">
      <c r="J96064"/>
    </row>
    <row r="96065" spans="10:10" x14ac:dyDescent="0.3">
      <c r="J96065"/>
    </row>
    <row r="96066" spans="10:10" x14ac:dyDescent="0.3">
      <c r="J96066"/>
    </row>
    <row r="96067" spans="10:10" x14ac:dyDescent="0.3">
      <c r="J96067"/>
    </row>
    <row r="96068" spans="10:10" x14ac:dyDescent="0.3">
      <c r="J96068"/>
    </row>
    <row r="96069" spans="10:10" x14ac:dyDescent="0.3">
      <c r="J96069"/>
    </row>
    <row r="96070" spans="10:10" x14ac:dyDescent="0.3">
      <c r="J96070"/>
    </row>
    <row r="96071" spans="10:10" x14ac:dyDescent="0.3">
      <c r="J96071"/>
    </row>
    <row r="96072" spans="10:10" x14ac:dyDescent="0.3">
      <c r="J96072"/>
    </row>
    <row r="96073" spans="10:10" x14ac:dyDescent="0.3">
      <c r="J96073"/>
    </row>
    <row r="96074" spans="10:10" x14ac:dyDescent="0.3">
      <c r="J96074"/>
    </row>
    <row r="96075" spans="10:10" x14ac:dyDescent="0.3">
      <c r="J96075"/>
    </row>
    <row r="96076" spans="10:10" x14ac:dyDescent="0.3">
      <c r="J96076"/>
    </row>
    <row r="96077" spans="10:10" x14ac:dyDescent="0.3">
      <c r="J96077"/>
    </row>
    <row r="96078" spans="10:10" x14ac:dyDescent="0.3">
      <c r="J96078"/>
    </row>
    <row r="96079" spans="10:10" x14ac:dyDescent="0.3">
      <c r="J96079"/>
    </row>
    <row r="96080" spans="10:10" x14ac:dyDescent="0.3">
      <c r="J96080"/>
    </row>
    <row r="96081" spans="10:10" x14ac:dyDescent="0.3">
      <c r="J96081"/>
    </row>
    <row r="96082" spans="10:10" x14ac:dyDescent="0.3">
      <c r="J96082"/>
    </row>
    <row r="96083" spans="10:10" x14ac:dyDescent="0.3">
      <c r="J96083"/>
    </row>
    <row r="96084" spans="10:10" x14ac:dyDescent="0.3">
      <c r="J96084"/>
    </row>
    <row r="96085" spans="10:10" x14ac:dyDescent="0.3">
      <c r="J96085"/>
    </row>
    <row r="96086" spans="10:10" x14ac:dyDescent="0.3">
      <c r="J96086"/>
    </row>
    <row r="96087" spans="10:10" x14ac:dyDescent="0.3">
      <c r="J96087"/>
    </row>
    <row r="96088" spans="10:10" x14ac:dyDescent="0.3">
      <c r="J96088"/>
    </row>
    <row r="96089" spans="10:10" x14ac:dyDescent="0.3">
      <c r="J96089"/>
    </row>
    <row r="96090" spans="10:10" x14ac:dyDescent="0.3">
      <c r="J96090"/>
    </row>
    <row r="96091" spans="10:10" x14ac:dyDescent="0.3">
      <c r="J96091"/>
    </row>
    <row r="96092" spans="10:10" x14ac:dyDescent="0.3">
      <c r="J96092"/>
    </row>
    <row r="96093" spans="10:10" x14ac:dyDescent="0.3">
      <c r="J96093"/>
    </row>
    <row r="96094" spans="10:10" x14ac:dyDescent="0.3">
      <c r="J96094"/>
    </row>
    <row r="96095" spans="10:10" x14ac:dyDescent="0.3">
      <c r="J96095"/>
    </row>
    <row r="96096" spans="10:10" x14ac:dyDescent="0.3">
      <c r="J96096"/>
    </row>
    <row r="96097" spans="10:10" x14ac:dyDescent="0.3">
      <c r="J96097"/>
    </row>
    <row r="96098" spans="10:10" x14ac:dyDescent="0.3">
      <c r="J96098"/>
    </row>
    <row r="96099" spans="10:10" x14ac:dyDescent="0.3">
      <c r="J96099"/>
    </row>
    <row r="96100" spans="10:10" x14ac:dyDescent="0.3">
      <c r="J96100"/>
    </row>
    <row r="96101" spans="10:10" x14ac:dyDescent="0.3">
      <c r="J96101"/>
    </row>
    <row r="96102" spans="10:10" x14ac:dyDescent="0.3">
      <c r="J96102"/>
    </row>
    <row r="96103" spans="10:10" x14ac:dyDescent="0.3">
      <c r="J96103"/>
    </row>
    <row r="96104" spans="10:10" x14ac:dyDescent="0.3">
      <c r="J96104"/>
    </row>
    <row r="96105" spans="10:10" x14ac:dyDescent="0.3">
      <c r="J96105"/>
    </row>
    <row r="96106" spans="10:10" x14ac:dyDescent="0.3">
      <c r="J96106"/>
    </row>
    <row r="96107" spans="10:10" x14ac:dyDescent="0.3">
      <c r="J96107"/>
    </row>
    <row r="96108" spans="10:10" x14ac:dyDescent="0.3">
      <c r="J96108"/>
    </row>
    <row r="96109" spans="10:10" x14ac:dyDescent="0.3">
      <c r="J96109"/>
    </row>
    <row r="96110" spans="10:10" x14ac:dyDescent="0.3">
      <c r="J96110"/>
    </row>
    <row r="96111" spans="10:10" x14ac:dyDescent="0.3">
      <c r="J96111"/>
    </row>
    <row r="96112" spans="10:10" x14ac:dyDescent="0.3">
      <c r="J96112"/>
    </row>
    <row r="96113" spans="10:10" x14ac:dyDescent="0.3">
      <c r="J96113"/>
    </row>
    <row r="96114" spans="10:10" x14ac:dyDescent="0.3">
      <c r="J96114"/>
    </row>
    <row r="96115" spans="10:10" x14ac:dyDescent="0.3">
      <c r="J96115"/>
    </row>
    <row r="96116" spans="10:10" x14ac:dyDescent="0.3">
      <c r="J96116"/>
    </row>
    <row r="96117" spans="10:10" x14ac:dyDescent="0.3">
      <c r="J96117"/>
    </row>
    <row r="96118" spans="10:10" x14ac:dyDescent="0.3">
      <c r="J96118"/>
    </row>
    <row r="96119" spans="10:10" x14ac:dyDescent="0.3">
      <c r="J96119"/>
    </row>
    <row r="96120" spans="10:10" x14ac:dyDescent="0.3">
      <c r="J96120"/>
    </row>
    <row r="96121" spans="10:10" x14ac:dyDescent="0.3">
      <c r="J96121"/>
    </row>
    <row r="96122" spans="10:10" x14ac:dyDescent="0.3">
      <c r="J96122"/>
    </row>
    <row r="96123" spans="10:10" x14ac:dyDescent="0.3">
      <c r="J96123"/>
    </row>
    <row r="96124" spans="10:10" x14ac:dyDescent="0.3">
      <c r="J96124"/>
    </row>
    <row r="96125" spans="10:10" x14ac:dyDescent="0.3">
      <c r="J96125"/>
    </row>
    <row r="96126" spans="10:10" x14ac:dyDescent="0.3">
      <c r="J96126"/>
    </row>
    <row r="96127" spans="10:10" x14ac:dyDescent="0.3">
      <c r="J96127"/>
    </row>
    <row r="96128" spans="10:10" x14ac:dyDescent="0.3">
      <c r="J96128"/>
    </row>
    <row r="96129" spans="10:10" x14ac:dyDescent="0.3">
      <c r="J96129"/>
    </row>
    <row r="96130" spans="10:10" x14ac:dyDescent="0.3">
      <c r="J96130"/>
    </row>
    <row r="96131" spans="10:10" x14ac:dyDescent="0.3">
      <c r="J96131"/>
    </row>
    <row r="96132" spans="10:10" x14ac:dyDescent="0.3">
      <c r="J96132"/>
    </row>
    <row r="96133" spans="10:10" x14ac:dyDescent="0.3">
      <c r="J96133"/>
    </row>
    <row r="96134" spans="10:10" x14ac:dyDescent="0.3">
      <c r="J96134"/>
    </row>
    <row r="96135" spans="10:10" x14ac:dyDescent="0.3">
      <c r="J96135"/>
    </row>
    <row r="96136" spans="10:10" x14ac:dyDescent="0.3">
      <c r="J96136"/>
    </row>
    <row r="96137" spans="10:10" x14ac:dyDescent="0.3">
      <c r="J96137"/>
    </row>
    <row r="96138" spans="10:10" x14ac:dyDescent="0.3">
      <c r="J96138"/>
    </row>
    <row r="96139" spans="10:10" x14ac:dyDescent="0.3">
      <c r="J96139"/>
    </row>
    <row r="96140" spans="10:10" x14ac:dyDescent="0.3">
      <c r="J96140"/>
    </row>
    <row r="96141" spans="10:10" x14ac:dyDescent="0.3">
      <c r="J96141"/>
    </row>
    <row r="96142" spans="10:10" x14ac:dyDescent="0.3">
      <c r="J96142"/>
    </row>
    <row r="96143" spans="10:10" x14ac:dyDescent="0.3">
      <c r="J96143"/>
    </row>
    <row r="96144" spans="10:10" x14ac:dyDescent="0.3">
      <c r="J96144"/>
    </row>
    <row r="96145" spans="10:10" x14ac:dyDescent="0.3">
      <c r="J96145"/>
    </row>
    <row r="96146" spans="10:10" x14ac:dyDescent="0.3">
      <c r="J96146"/>
    </row>
    <row r="96147" spans="10:10" x14ac:dyDescent="0.3">
      <c r="J96147"/>
    </row>
    <row r="96148" spans="10:10" x14ac:dyDescent="0.3">
      <c r="J96148"/>
    </row>
    <row r="96149" spans="10:10" x14ac:dyDescent="0.3">
      <c r="J96149"/>
    </row>
    <row r="96150" spans="10:10" x14ac:dyDescent="0.3">
      <c r="J96150"/>
    </row>
    <row r="96151" spans="10:10" x14ac:dyDescent="0.3">
      <c r="J96151"/>
    </row>
    <row r="96152" spans="10:10" x14ac:dyDescent="0.3">
      <c r="J96152"/>
    </row>
    <row r="96153" spans="10:10" x14ac:dyDescent="0.3">
      <c r="J96153"/>
    </row>
    <row r="96154" spans="10:10" x14ac:dyDescent="0.3">
      <c r="J96154"/>
    </row>
    <row r="96155" spans="10:10" x14ac:dyDescent="0.3">
      <c r="J96155"/>
    </row>
    <row r="96156" spans="10:10" x14ac:dyDescent="0.3">
      <c r="J96156"/>
    </row>
    <row r="96157" spans="10:10" x14ac:dyDescent="0.3">
      <c r="J96157"/>
    </row>
    <row r="96158" spans="10:10" x14ac:dyDescent="0.3">
      <c r="J96158"/>
    </row>
    <row r="96159" spans="10:10" x14ac:dyDescent="0.3">
      <c r="J96159"/>
    </row>
    <row r="96160" spans="10:10" x14ac:dyDescent="0.3">
      <c r="J96160"/>
    </row>
    <row r="96161" spans="10:10" x14ac:dyDescent="0.3">
      <c r="J96161"/>
    </row>
    <row r="96162" spans="10:10" x14ac:dyDescent="0.3">
      <c r="J96162"/>
    </row>
    <row r="96163" spans="10:10" x14ac:dyDescent="0.3">
      <c r="J96163"/>
    </row>
    <row r="96164" spans="10:10" x14ac:dyDescent="0.3">
      <c r="J96164"/>
    </row>
    <row r="96165" spans="10:10" x14ac:dyDescent="0.3">
      <c r="J96165"/>
    </row>
    <row r="96166" spans="10:10" x14ac:dyDescent="0.3">
      <c r="J96166"/>
    </row>
    <row r="96167" spans="10:10" x14ac:dyDescent="0.3">
      <c r="J96167"/>
    </row>
    <row r="96168" spans="10:10" x14ac:dyDescent="0.3">
      <c r="J96168"/>
    </row>
    <row r="96169" spans="10:10" x14ac:dyDescent="0.3">
      <c r="J96169"/>
    </row>
    <row r="96170" spans="10:10" x14ac:dyDescent="0.3">
      <c r="J96170"/>
    </row>
    <row r="96171" spans="10:10" x14ac:dyDescent="0.3">
      <c r="J96171"/>
    </row>
    <row r="96172" spans="10:10" x14ac:dyDescent="0.3">
      <c r="J96172"/>
    </row>
    <row r="96173" spans="10:10" x14ac:dyDescent="0.3">
      <c r="J96173"/>
    </row>
    <row r="96174" spans="10:10" x14ac:dyDescent="0.3">
      <c r="J96174"/>
    </row>
    <row r="96175" spans="10:10" x14ac:dyDescent="0.3">
      <c r="J96175"/>
    </row>
    <row r="96176" spans="10:10" x14ac:dyDescent="0.3">
      <c r="J96176"/>
    </row>
    <row r="96177" spans="10:10" x14ac:dyDescent="0.3">
      <c r="J96177"/>
    </row>
    <row r="96178" spans="10:10" x14ac:dyDescent="0.3">
      <c r="J96178"/>
    </row>
    <row r="96179" spans="10:10" x14ac:dyDescent="0.3">
      <c r="J96179"/>
    </row>
    <row r="96180" spans="10:10" x14ac:dyDescent="0.3">
      <c r="J96180"/>
    </row>
    <row r="96181" spans="10:10" x14ac:dyDescent="0.3">
      <c r="J96181"/>
    </row>
    <row r="96182" spans="10:10" x14ac:dyDescent="0.3">
      <c r="J96182"/>
    </row>
    <row r="96183" spans="10:10" x14ac:dyDescent="0.3">
      <c r="J96183"/>
    </row>
    <row r="96184" spans="10:10" x14ac:dyDescent="0.3">
      <c r="J96184"/>
    </row>
    <row r="96185" spans="10:10" x14ac:dyDescent="0.3">
      <c r="J96185"/>
    </row>
    <row r="96186" spans="10:10" x14ac:dyDescent="0.3">
      <c r="J96186"/>
    </row>
    <row r="96187" spans="10:10" x14ac:dyDescent="0.3">
      <c r="J96187"/>
    </row>
    <row r="96188" spans="10:10" x14ac:dyDescent="0.3">
      <c r="J96188"/>
    </row>
    <row r="96189" spans="10:10" x14ac:dyDescent="0.3">
      <c r="J96189"/>
    </row>
    <row r="96190" spans="10:10" x14ac:dyDescent="0.3">
      <c r="J96190"/>
    </row>
    <row r="96191" spans="10:10" x14ac:dyDescent="0.3">
      <c r="J96191"/>
    </row>
    <row r="96192" spans="10:10" x14ac:dyDescent="0.3">
      <c r="J96192"/>
    </row>
    <row r="96193" spans="10:10" x14ac:dyDescent="0.3">
      <c r="J96193"/>
    </row>
    <row r="96194" spans="10:10" x14ac:dyDescent="0.3">
      <c r="J96194"/>
    </row>
    <row r="96195" spans="10:10" x14ac:dyDescent="0.3">
      <c r="J96195"/>
    </row>
    <row r="96196" spans="10:10" x14ac:dyDescent="0.3">
      <c r="J96196"/>
    </row>
    <row r="96197" spans="10:10" x14ac:dyDescent="0.3">
      <c r="J96197"/>
    </row>
    <row r="96198" spans="10:10" x14ac:dyDescent="0.3">
      <c r="J96198"/>
    </row>
    <row r="96199" spans="10:10" x14ac:dyDescent="0.3">
      <c r="J96199"/>
    </row>
    <row r="96200" spans="10:10" x14ac:dyDescent="0.3">
      <c r="J96200"/>
    </row>
    <row r="96201" spans="10:10" x14ac:dyDescent="0.3">
      <c r="J96201"/>
    </row>
    <row r="96202" spans="10:10" x14ac:dyDescent="0.3">
      <c r="J96202"/>
    </row>
    <row r="96203" spans="10:10" x14ac:dyDescent="0.3">
      <c r="J96203"/>
    </row>
    <row r="96204" spans="10:10" x14ac:dyDescent="0.3">
      <c r="J96204"/>
    </row>
    <row r="96205" spans="10:10" x14ac:dyDescent="0.3">
      <c r="J96205"/>
    </row>
    <row r="96206" spans="10:10" x14ac:dyDescent="0.3">
      <c r="J96206"/>
    </row>
    <row r="96207" spans="10:10" x14ac:dyDescent="0.3">
      <c r="J96207"/>
    </row>
    <row r="96208" spans="10:10" x14ac:dyDescent="0.3">
      <c r="J96208"/>
    </row>
    <row r="96209" spans="10:10" x14ac:dyDescent="0.3">
      <c r="J96209"/>
    </row>
    <row r="96210" spans="10:10" x14ac:dyDescent="0.3">
      <c r="J96210"/>
    </row>
    <row r="96211" spans="10:10" x14ac:dyDescent="0.3">
      <c r="J96211"/>
    </row>
    <row r="96212" spans="10:10" x14ac:dyDescent="0.3">
      <c r="J96212"/>
    </row>
    <row r="96213" spans="10:10" x14ac:dyDescent="0.3">
      <c r="J96213"/>
    </row>
    <row r="96214" spans="10:10" x14ac:dyDescent="0.3">
      <c r="J96214"/>
    </row>
    <row r="96215" spans="10:10" x14ac:dyDescent="0.3">
      <c r="J96215"/>
    </row>
    <row r="96216" spans="10:10" x14ac:dyDescent="0.3">
      <c r="J96216"/>
    </row>
    <row r="96217" spans="10:10" x14ac:dyDescent="0.3">
      <c r="J96217"/>
    </row>
    <row r="96218" spans="10:10" x14ac:dyDescent="0.3">
      <c r="J96218"/>
    </row>
    <row r="96219" spans="10:10" x14ac:dyDescent="0.3">
      <c r="J96219"/>
    </row>
    <row r="96220" spans="10:10" x14ac:dyDescent="0.3">
      <c r="J96220"/>
    </row>
    <row r="96221" spans="10:10" x14ac:dyDescent="0.3">
      <c r="J96221"/>
    </row>
    <row r="96222" spans="10:10" x14ac:dyDescent="0.3">
      <c r="J96222"/>
    </row>
    <row r="96223" spans="10:10" x14ac:dyDescent="0.3">
      <c r="J96223"/>
    </row>
    <row r="96224" spans="10:10" x14ac:dyDescent="0.3">
      <c r="J96224"/>
    </row>
    <row r="96225" spans="10:10" x14ac:dyDescent="0.3">
      <c r="J96225"/>
    </row>
    <row r="96226" spans="10:10" x14ac:dyDescent="0.3">
      <c r="J96226"/>
    </row>
    <row r="96227" spans="10:10" x14ac:dyDescent="0.3">
      <c r="J96227"/>
    </row>
    <row r="96228" spans="10:10" x14ac:dyDescent="0.3">
      <c r="J96228"/>
    </row>
    <row r="96229" spans="10:10" x14ac:dyDescent="0.3">
      <c r="J96229"/>
    </row>
    <row r="96230" spans="10:10" x14ac:dyDescent="0.3">
      <c r="J96230"/>
    </row>
    <row r="96231" spans="10:10" x14ac:dyDescent="0.3">
      <c r="J96231"/>
    </row>
    <row r="96232" spans="10:10" x14ac:dyDescent="0.3">
      <c r="J96232"/>
    </row>
    <row r="96233" spans="10:10" x14ac:dyDescent="0.3">
      <c r="J96233"/>
    </row>
    <row r="96234" spans="10:10" x14ac:dyDescent="0.3">
      <c r="J96234"/>
    </row>
    <row r="96235" spans="10:10" x14ac:dyDescent="0.3">
      <c r="J96235"/>
    </row>
    <row r="96236" spans="10:10" x14ac:dyDescent="0.3">
      <c r="J96236"/>
    </row>
    <row r="96237" spans="10:10" x14ac:dyDescent="0.3">
      <c r="J96237"/>
    </row>
    <row r="96238" spans="10:10" x14ac:dyDescent="0.3">
      <c r="J96238"/>
    </row>
    <row r="96239" spans="10:10" x14ac:dyDescent="0.3">
      <c r="J96239"/>
    </row>
    <row r="96240" spans="10:10" x14ac:dyDescent="0.3">
      <c r="J96240"/>
    </row>
    <row r="96241" spans="10:10" x14ac:dyDescent="0.3">
      <c r="J96241"/>
    </row>
    <row r="96242" spans="10:10" x14ac:dyDescent="0.3">
      <c r="J96242"/>
    </row>
    <row r="96243" spans="10:10" x14ac:dyDescent="0.3">
      <c r="J96243"/>
    </row>
    <row r="96244" spans="10:10" x14ac:dyDescent="0.3">
      <c r="J96244"/>
    </row>
    <row r="96245" spans="10:10" x14ac:dyDescent="0.3">
      <c r="J96245"/>
    </row>
    <row r="96246" spans="10:10" x14ac:dyDescent="0.3">
      <c r="J96246"/>
    </row>
    <row r="96247" spans="10:10" x14ac:dyDescent="0.3">
      <c r="J96247"/>
    </row>
    <row r="96248" spans="10:10" x14ac:dyDescent="0.3">
      <c r="J96248"/>
    </row>
    <row r="96249" spans="10:10" x14ac:dyDescent="0.3">
      <c r="J96249"/>
    </row>
    <row r="96250" spans="10:10" x14ac:dyDescent="0.3">
      <c r="J96250"/>
    </row>
    <row r="96251" spans="10:10" x14ac:dyDescent="0.3">
      <c r="J96251"/>
    </row>
    <row r="96252" spans="10:10" x14ac:dyDescent="0.3">
      <c r="J96252"/>
    </row>
    <row r="96253" spans="10:10" x14ac:dyDescent="0.3">
      <c r="J96253"/>
    </row>
    <row r="96254" spans="10:10" x14ac:dyDescent="0.3">
      <c r="J96254"/>
    </row>
    <row r="96255" spans="10:10" x14ac:dyDescent="0.3">
      <c r="J96255"/>
    </row>
    <row r="96256" spans="10:10" x14ac:dyDescent="0.3">
      <c r="J96256"/>
    </row>
    <row r="96257" spans="10:10" x14ac:dyDescent="0.3">
      <c r="J96257"/>
    </row>
    <row r="96258" spans="10:10" x14ac:dyDescent="0.3">
      <c r="J96258"/>
    </row>
    <row r="96259" spans="10:10" x14ac:dyDescent="0.3">
      <c r="J96259"/>
    </row>
    <row r="96260" spans="10:10" x14ac:dyDescent="0.3">
      <c r="J96260"/>
    </row>
    <row r="96261" spans="10:10" x14ac:dyDescent="0.3">
      <c r="J96261"/>
    </row>
    <row r="96262" spans="10:10" x14ac:dyDescent="0.3">
      <c r="J96262"/>
    </row>
    <row r="96263" spans="10:10" x14ac:dyDescent="0.3">
      <c r="J96263"/>
    </row>
    <row r="96264" spans="10:10" x14ac:dyDescent="0.3">
      <c r="J96264"/>
    </row>
    <row r="96265" spans="10:10" x14ac:dyDescent="0.3">
      <c r="J96265"/>
    </row>
    <row r="96266" spans="10:10" x14ac:dyDescent="0.3">
      <c r="J96266"/>
    </row>
    <row r="96267" spans="10:10" x14ac:dyDescent="0.3">
      <c r="J96267"/>
    </row>
    <row r="96268" spans="10:10" x14ac:dyDescent="0.3">
      <c r="J96268"/>
    </row>
    <row r="96269" spans="10:10" x14ac:dyDescent="0.3">
      <c r="J96269"/>
    </row>
    <row r="96270" spans="10:10" x14ac:dyDescent="0.3">
      <c r="J96270"/>
    </row>
    <row r="96271" spans="10:10" x14ac:dyDescent="0.3">
      <c r="J96271"/>
    </row>
    <row r="96272" spans="10:10" x14ac:dyDescent="0.3">
      <c r="J96272"/>
    </row>
    <row r="96273" spans="10:10" x14ac:dyDescent="0.3">
      <c r="J96273"/>
    </row>
    <row r="96274" spans="10:10" x14ac:dyDescent="0.3">
      <c r="J96274"/>
    </row>
    <row r="96275" spans="10:10" x14ac:dyDescent="0.3">
      <c r="J96275"/>
    </row>
    <row r="96276" spans="10:10" x14ac:dyDescent="0.3">
      <c r="J96276"/>
    </row>
    <row r="96277" spans="10:10" x14ac:dyDescent="0.3">
      <c r="J96277"/>
    </row>
    <row r="96278" spans="10:10" x14ac:dyDescent="0.3">
      <c r="J96278"/>
    </row>
    <row r="96279" spans="10:10" x14ac:dyDescent="0.3">
      <c r="J96279"/>
    </row>
    <row r="96280" spans="10:10" x14ac:dyDescent="0.3">
      <c r="J96280"/>
    </row>
    <row r="96281" spans="10:10" x14ac:dyDescent="0.3">
      <c r="J96281"/>
    </row>
    <row r="96282" spans="10:10" x14ac:dyDescent="0.3">
      <c r="J96282"/>
    </row>
    <row r="96283" spans="10:10" x14ac:dyDescent="0.3">
      <c r="J96283"/>
    </row>
    <row r="96284" spans="10:10" x14ac:dyDescent="0.3">
      <c r="J96284"/>
    </row>
    <row r="96285" spans="10:10" x14ac:dyDescent="0.3">
      <c r="J96285"/>
    </row>
    <row r="96286" spans="10:10" x14ac:dyDescent="0.3">
      <c r="J96286"/>
    </row>
    <row r="96287" spans="10:10" x14ac:dyDescent="0.3">
      <c r="J96287"/>
    </row>
    <row r="96288" spans="10:10" x14ac:dyDescent="0.3">
      <c r="J96288"/>
    </row>
    <row r="96289" spans="10:10" x14ac:dyDescent="0.3">
      <c r="J96289"/>
    </row>
    <row r="96290" spans="10:10" x14ac:dyDescent="0.3">
      <c r="J96290"/>
    </row>
    <row r="96291" spans="10:10" x14ac:dyDescent="0.3">
      <c r="J96291"/>
    </row>
    <row r="96292" spans="10:10" x14ac:dyDescent="0.3">
      <c r="J96292"/>
    </row>
    <row r="96293" spans="10:10" x14ac:dyDescent="0.3">
      <c r="J96293"/>
    </row>
    <row r="96294" spans="10:10" x14ac:dyDescent="0.3">
      <c r="J96294"/>
    </row>
    <row r="96295" spans="10:10" x14ac:dyDescent="0.3">
      <c r="J96295"/>
    </row>
    <row r="96296" spans="10:10" x14ac:dyDescent="0.3">
      <c r="J96296"/>
    </row>
    <row r="96297" spans="10:10" x14ac:dyDescent="0.3">
      <c r="J96297"/>
    </row>
    <row r="96298" spans="10:10" x14ac:dyDescent="0.3">
      <c r="J96298"/>
    </row>
    <row r="96299" spans="10:10" x14ac:dyDescent="0.3">
      <c r="J96299"/>
    </row>
    <row r="96300" spans="10:10" x14ac:dyDescent="0.3">
      <c r="J96300"/>
    </row>
    <row r="96301" spans="10:10" x14ac:dyDescent="0.3">
      <c r="J96301"/>
    </row>
    <row r="96302" spans="10:10" x14ac:dyDescent="0.3">
      <c r="J96302"/>
    </row>
    <row r="96303" spans="10:10" x14ac:dyDescent="0.3">
      <c r="J96303"/>
    </row>
    <row r="96304" spans="10:10" x14ac:dyDescent="0.3">
      <c r="J96304"/>
    </row>
    <row r="96305" spans="10:10" x14ac:dyDescent="0.3">
      <c r="J96305"/>
    </row>
    <row r="96306" spans="10:10" x14ac:dyDescent="0.3">
      <c r="J96306"/>
    </row>
    <row r="96307" spans="10:10" x14ac:dyDescent="0.3">
      <c r="J96307"/>
    </row>
    <row r="96308" spans="10:10" x14ac:dyDescent="0.3">
      <c r="J96308"/>
    </row>
    <row r="96309" spans="10:10" x14ac:dyDescent="0.3">
      <c r="J96309"/>
    </row>
    <row r="96310" spans="10:10" x14ac:dyDescent="0.3">
      <c r="J96310"/>
    </row>
    <row r="96311" spans="10:10" x14ac:dyDescent="0.3">
      <c r="J96311"/>
    </row>
    <row r="96312" spans="10:10" x14ac:dyDescent="0.3">
      <c r="J96312"/>
    </row>
    <row r="96313" spans="10:10" x14ac:dyDescent="0.3">
      <c r="J96313"/>
    </row>
    <row r="96314" spans="10:10" x14ac:dyDescent="0.3">
      <c r="J96314"/>
    </row>
    <row r="96315" spans="10:10" x14ac:dyDescent="0.3">
      <c r="J96315"/>
    </row>
    <row r="96316" spans="10:10" x14ac:dyDescent="0.3">
      <c r="J96316"/>
    </row>
    <row r="96317" spans="10:10" x14ac:dyDescent="0.3">
      <c r="J96317"/>
    </row>
    <row r="96318" spans="10:10" x14ac:dyDescent="0.3">
      <c r="J96318"/>
    </row>
    <row r="96319" spans="10:10" x14ac:dyDescent="0.3">
      <c r="J96319"/>
    </row>
    <row r="96320" spans="10:10" x14ac:dyDescent="0.3">
      <c r="J96320"/>
    </row>
    <row r="96321" spans="10:10" x14ac:dyDescent="0.3">
      <c r="J96321"/>
    </row>
    <row r="96322" spans="10:10" x14ac:dyDescent="0.3">
      <c r="J96322"/>
    </row>
    <row r="96323" spans="10:10" x14ac:dyDescent="0.3">
      <c r="J96323"/>
    </row>
    <row r="96324" spans="10:10" x14ac:dyDescent="0.3">
      <c r="J96324"/>
    </row>
    <row r="96325" spans="10:10" x14ac:dyDescent="0.3">
      <c r="J96325"/>
    </row>
    <row r="96326" spans="10:10" x14ac:dyDescent="0.3">
      <c r="J96326"/>
    </row>
    <row r="96327" spans="10:10" x14ac:dyDescent="0.3">
      <c r="J96327"/>
    </row>
    <row r="96328" spans="10:10" x14ac:dyDescent="0.3">
      <c r="J96328"/>
    </row>
    <row r="96329" spans="10:10" x14ac:dyDescent="0.3">
      <c r="J96329"/>
    </row>
    <row r="96330" spans="10:10" x14ac:dyDescent="0.3">
      <c r="J96330"/>
    </row>
    <row r="96331" spans="10:10" x14ac:dyDescent="0.3">
      <c r="J96331"/>
    </row>
    <row r="96332" spans="10:10" x14ac:dyDescent="0.3">
      <c r="J96332"/>
    </row>
    <row r="96333" spans="10:10" x14ac:dyDescent="0.3">
      <c r="J96333"/>
    </row>
    <row r="96334" spans="10:10" x14ac:dyDescent="0.3">
      <c r="J96334"/>
    </row>
    <row r="96335" spans="10:10" x14ac:dyDescent="0.3">
      <c r="J96335"/>
    </row>
    <row r="96336" spans="10:10" x14ac:dyDescent="0.3">
      <c r="J96336"/>
    </row>
    <row r="96337" spans="10:10" x14ac:dyDescent="0.3">
      <c r="J96337"/>
    </row>
    <row r="96338" spans="10:10" x14ac:dyDescent="0.3">
      <c r="J96338"/>
    </row>
    <row r="96339" spans="10:10" x14ac:dyDescent="0.3">
      <c r="J96339"/>
    </row>
    <row r="96340" spans="10:10" x14ac:dyDescent="0.3">
      <c r="J96340"/>
    </row>
    <row r="96341" spans="10:10" x14ac:dyDescent="0.3">
      <c r="J96341"/>
    </row>
    <row r="96342" spans="10:10" x14ac:dyDescent="0.3">
      <c r="J96342"/>
    </row>
    <row r="96343" spans="10:10" x14ac:dyDescent="0.3">
      <c r="J96343"/>
    </row>
    <row r="96344" spans="10:10" x14ac:dyDescent="0.3">
      <c r="J96344"/>
    </row>
    <row r="96345" spans="10:10" x14ac:dyDescent="0.3">
      <c r="J96345"/>
    </row>
    <row r="96346" spans="10:10" x14ac:dyDescent="0.3">
      <c r="J96346"/>
    </row>
    <row r="96347" spans="10:10" x14ac:dyDescent="0.3">
      <c r="J96347"/>
    </row>
    <row r="96348" spans="10:10" x14ac:dyDescent="0.3">
      <c r="J96348"/>
    </row>
    <row r="96349" spans="10:10" x14ac:dyDescent="0.3">
      <c r="J96349"/>
    </row>
    <row r="96350" spans="10:10" x14ac:dyDescent="0.3">
      <c r="J96350"/>
    </row>
    <row r="96351" spans="10:10" x14ac:dyDescent="0.3">
      <c r="J96351"/>
    </row>
    <row r="96352" spans="10:10" x14ac:dyDescent="0.3">
      <c r="J96352"/>
    </row>
    <row r="96353" spans="10:10" x14ac:dyDescent="0.3">
      <c r="J96353"/>
    </row>
    <row r="96354" spans="10:10" x14ac:dyDescent="0.3">
      <c r="J96354"/>
    </row>
    <row r="96355" spans="10:10" x14ac:dyDescent="0.3">
      <c r="J96355"/>
    </row>
    <row r="96356" spans="10:10" x14ac:dyDescent="0.3">
      <c r="J96356"/>
    </row>
    <row r="96357" spans="10:10" x14ac:dyDescent="0.3">
      <c r="J96357"/>
    </row>
    <row r="96358" spans="10:10" x14ac:dyDescent="0.3">
      <c r="J96358"/>
    </row>
    <row r="96359" spans="10:10" x14ac:dyDescent="0.3">
      <c r="J96359"/>
    </row>
    <row r="96360" spans="10:10" x14ac:dyDescent="0.3">
      <c r="J96360"/>
    </row>
    <row r="96361" spans="10:10" x14ac:dyDescent="0.3">
      <c r="J96361"/>
    </row>
    <row r="96362" spans="10:10" x14ac:dyDescent="0.3">
      <c r="J96362"/>
    </row>
    <row r="96363" spans="10:10" x14ac:dyDescent="0.3">
      <c r="J96363"/>
    </row>
    <row r="96364" spans="10:10" x14ac:dyDescent="0.3">
      <c r="J96364"/>
    </row>
    <row r="96365" spans="10:10" x14ac:dyDescent="0.3">
      <c r="J96365"/>
    </row>
    <row r="96366" spans="10:10" x14ac:dyDescent="0.3">
      <c r="J96366"/>
    </row>
    <row r="96367" spans="10:10" x14ac:dyDescent="0.3">
      <c r="J96367"/>
    </row>
    <row r="96368" spans="10:10" x14ac:dyDescent="0.3">
      <c r="J96368"/>
    </row>
    <row r="96369" spans="10:10" x14ac:dyDescent="0.3">
      <c r="J96369"/>
    </row>
    <row r="96370" spans="10:10" x14ac:dyDescent="0.3">
      <c r="J96370"/>
    </row>
    <row r="96371" spans="10:10" x14ac:dyDescent="0.3">
      <c r="J96371"/>
    </row>
    <row r="96372" spans="10:10" x14ac:dyDescent="0.3">
      <c r="J96372"/>
    </row>
    <row r="96373" spans="10:10" x14ac:dyDescent="0.3">
      <c r="J96373"/>
    </row>
    <row r="96374" spans="10:10" x14ac:dyDescent="0.3">
      <c r="J96374"/>
    </row>
    <row r="96375" spans="10:10" x14ac:dyDescent="0.3">
      <c r="J96375"/>
    </row>
    <row r="96376" spans="10:10" x14ac:dyDescent="0.3">
      <c r="J96376"/>
    </row>
    <row r="96377" spans="10:10" x14ac:dyDescent="0.3">
      <c r="J96377"/>
    </row>
    <row r="96378" spans="10:10" x14ac:dyDescent="0.3">
      <c r="J96378"/>
    </row>
    <row r="96379" spans="10:10" x14ac:dyDescent="0.3">
      <c r="J96379"/>
    </row>
    <row r="96380" spans="10:10" x14ac:dyDescent="0.3">
      <c r="J96380"/>
    </row>
    <row r="96381" spans="10:10" x14ac:dyDescent="0.3">
      <c r="J96381"/>
    </row>
    <row r="96382" spans="10:10" x14ac:dyDescent="0.3">
      <c r="J96382"/>
    </row>
    <row r="96383" spans="10:10" x14ac:dyDescent="0.3">
      <c r="J96383"/>
    </row>
    <row r="96384" spans="10:10" x14ac:dyDescent="0.3">
      <c r="J96384"/>
    </row>
    <row r="96385" spans="10:10" x14ac:dyDescent="0.3">
      <c r="J96385"/>
    </row>
    <row r="96386" spans="10:10" x14ac:dyDescent="0.3">
      <c r="J96386"/>
    </row>
    <row r="96387" spans="10:10" x14ac:dyDescent="0.3">
      <c r="J96387"/>
    </row>
    <row r="96388" spans="10:10" x14ac:dyDescent="0.3">
      <c r="J96388"/>
    </row>
    <row r="96389" spans="10:10" x14ac:dyDescent="0.3">
      <c r="J96389"/>
    </row>
    <row r="96390" spans="10:10" x14ac:dyDescent="0.3">
      <c r="J96390"/>
    </row>
    <row r="96391" spans="10:10" x14ac:dyDescent="0.3">
      <c r="J96391"/>
    </row>
    <row r="96392" spans="10:10" x14ac:dyDescent="0.3">
      <c r="J96392"/>
    </row>
    <row r="96393" spans="10:10" x14ac:dyDescent="0.3">
      <c r="J96393"/>
    </row>
    <row r="96394" spans="10:10" x14ac:dyDescent="0.3">
      <c r="J96394"/>
    </row>
    <row r="96395" spans="10:10" x14ac:dyDescent="0.3">
      <c r="J96395"/>
    </row>
    <row r="96396" spans="10:10" x14ac:dyDescent="0.3">
      <c r="J96396"/>
    </row>
    <row r="96397" spans="10:10" x14ac:dyDescent="0.3">
      <c r="J96397"/>
    </row>
    <row r="96398" spans="10:10" x14ac:dyDescent="0.3">
      <c r="J96398"/>
    </row>
    <row r="96399" spans="10:10" x14ac:dyDescent="0.3">
      <c r="J96399"/>
    </row>
    <row r="96400" spans="10:10" x14ac:dyDescent="0.3">
      <c r="J96400"/>
    </row>
    <row r="96401" spans="10:10" x14ac:dyDescent="0.3">
      <c r="J96401"/>
    </row>
    <row r="96402" spans="10:10" x14ac:dyDescent="0.3">
      <c r="J96402"/>
    </row>
    <row r="96403" spans="10:10" x14ac:dyDescent="0.3">
      <c r="J96403"/>
    </row>
    <row r="96404" spans="10:10" x14ac:dyDescent="0.3">
      <c r="J96404"/>
    </row>
    <row r="96405" spans="10:10" x14ac:dyDescent="0.3">
      <c r="J96405"/>
    </row>
    <row r="96406" spans="10:10" x14ac:dyDescent="0.3">
      <c r="J96406"/>
    </row>
    <row r="96407" spans="10:10" x14ac:dyDescent="0.3">
      <c r="J96407"/>
    </row>
    <row r="96408" spans="10:10" x14ac:dyDescent="0.3">
      <c r="J96408"/>
    </row>
    <row r="96409" spans="10:10" x14ac:dyDescent="0.3">
      <c r="J96409"/>
    </row>
    <row r="96410" spans="10:10" x14ac:dyDescent="0.3">
      <c r="J96410"/>
    </row>
    <row r="96411" spans="10:10" x14ac:dyDescent="0.3">
      <c r="J96411"/>
    </row>
    <row r="96412" spans="10:10" x14ac:dyDescent="0.3">
      <c r="J96412"/>
    </row>
    <row r="96413" spans="10:10" x14ac:dyDescent="0.3">
      <c r="J96413"/>
    </row>
    <row r="96414" spans="10:10" x14ac:dyDescent="0.3">
      <c r="J96414"/>
    </row>
    <row r="96415" spans="10:10" x14ac:dyDescent="0.3">
      <c r="J96415"/>
    </row>
    <row r="96416" spans="10:10" x14ac:dyDescent="0.3">
      <c r="J96416"/>
    </row>
    <row r="96417" spans="10:10" x14ac:dyDescent="0.3">
      <c r="J96417"/>
    </row>
    <row r="96418" spans="10:10" x14ac:dyDescent="0.3">
      <c r="J96418"/>
    </row>
    <row r="96419" spans="10:10" x14ac:dyDescent="0.3">
      <c r="J96419"/>
    </row>
    <row r="96420" spans="10:10" x14ac:dyDescent="0.3">
      <c r="J96420"/>
    </row>
    <row r="96421" spans="10:10" x14ac:dyDescent="0.3">
      <c r="J96421"/>
    </row>
    <row r="96422" spans="10:10" x14ac:dyDescent="0.3">
      <c r="J96422"/>
    </row>
    <row r="96423" spans="10:10" x14ac:dyDescent="0.3">
      <c r="J96423"/>
    </row>
    <row r="96424" spans="10:10" x14ac:dyDescent="0.3">
      <c r="J96424"/>
    </row>
    <row r="96425" spans="10:10" x14ac:dyDescent="0.3">
      <c r="J96425"/>
    </row>
    <row r="96426" spans="10:10" x14ac:dyDescent="0.3">
      <c r="J96426"/>
    </row>
    <row r="96427" spans="10:10" x14ac:dyDescent="0.3">
      <c r="J96427"/>
    </row>
    <row r="96428" spans="10:10" x14ac:dyDescent="0.3">
      <c r="J96428"/>
    </row>
    <row r="96429" spans="10:10" x14ac:dyDescent="0.3">
      <c r="J96429"/>
    </row>
    <row r="96430" spans="10:10" x14ac:dyDescent="0.3">
      <c r="J96430"/>
    </row>
    <row r="96431" spans="10:10" x14ac:dyDescent="0.3">
      <c r="J96431"/>
    </row>
    <row r="96432" spans="10:10" x14ac:dyDescent="0.3">
      <c r="J96432"/>
    </row>
    <row r="96433" spans="10:10" x14ac:dyDescent="0.3">
      <c r="J96433"/>
    </row>
    <row r="96434" spans="10:10" x14ac:dyDescent="0.3">
      <c r="J96434"/>
    </row>
    <row r="96435" spans="10:10" x14ac:dyDescent="0.3">
      <c r="J96435"/>
    </row>
    <row r="96436" spans="10:10" x14ac:dyDescent="0.3">
      <c r="J96436"/>
    </row>
    <row r="96437" spans="10:10" x14ac:dyDescent="0.3">
      <c r="J96437"/>
    </row>
    <row r="96438" spans="10:10" x14ac:dyDescent="0.3">
      <c r="J96438"/>
    </row>
    <row r="96439" spans="10:10" x14ac:dyDescent="0.3">
      <c r="J96439"/>
    </row>
    <row r="96440" spans="10:10" x14ac:dyDescent="0.3">
      <c r="J96440"/>
    </row>
    <row r="96441" spans="10:10" x14ac:dyDescent="0.3">
      <c r="J96441"/>
    </row>
    <row r="96442" spans="10:10" x14ac:dyDescent="0.3">
      <c r="J96442"/>
    </row>
    <row r="96443" spans="10:10" x14ac:dyDescent="0.3">
      <c r="J96443"/>
    </row>
    <row r="96444" spans="10:10" x14ac:dyDescent="0.3">
      <c r="J96444"/>
    </row>
    <row r="96445" spans="10:10" x14ac:dyDescent="0.3">
      <c r="J96445"/>
    </row>
    <row r="96446" spans="10:10" x14ac:dyDescent="0.3">
      <c r="J96446"/>
    </row>
    <row r="96447" spans="10:10" x14ac:dyDescent="0.3">
      <c r="J96447"/>
    </row>
    <row r="96448" spans="10:10" x14ac:dyDescent="0.3">
      <c r="J96448"/>
    </row>
    <row r="96449" spans="10:10" x14ac:dyDescent="0.3">
      <c r="J96449"/>
    </row>
    <row r="96450" spans="10:10" x14ac:dyDescent="0.3">
      <c r="J96450"/>
    </row>
    <row r="96451" spans="10:10" x14ac:dyDescent="0.3">
      <c r="J96451"/>
    </row>
    <row r="96452" spans="10:10" x14ac:dyDescent="0.3">
      <c r="J96452"/>
    </row>
    <row r="96453" spans="10:10" x14ac:dyDescent="0.3">
      <c r="J96453"/>
    </row>
    <row r="96454" spans="10:10" x14ac:dyDescent="0.3">
      <c r="J96454"/>
    </row>
    <row r="96455" spans="10:10" x14ac:dyDescent="0.3">
      <c r="J96455"/>
    </row>
    <row r="96456" spans="10:10" x14ac:dyDescent="0.3">
      <c r="J96456"/>
    </row>
    <row r="96457" spans="10:10" x14ac:dyDescent="0.3">
      <c r="J96457"/>
    </row>
    <row r="96458" spans="10:10" x14ac:dyDescent="0.3">
      <c r="J96458"/>
    </row>
    <row r="96459" spans="10:10" x14ac:dyDescent="0.3">
      <c r="J96459"/>
    </row>
    <row r="96460" spans="10:10" x14ac:dyDescent="0.3">
      <c r="J96460"/>
    </row>
    <row r="96461" spans="10:10" x14ac:dyDescent="0.3">
      <c r="J96461"/>
    </row>
    <row r="96462" spans="10:10" x14ac:dyDescent="0.3">
      <c r="J96462"/>
    </row>
    <row r="96463" spans="10:10" x14ac:dyDescent="0.3">
      <c r="J96463"/>
    </row>
    <row r="96464" spans="10:10" x14ac:dyDescent="0.3">
      <c r="J96464"/>
    </row>
    <row r="96465" spans="10:10" x14ac:dyDescent="0.3">
      <c r="J96465"/>
    </row>
    <row r="96466" spans="10:10" x14ac:dyDescent="0.3">
      <c r="J96466"/>
    </row>
    <row r="96467" spans="10:10" x14ac:dyDescent="0.3">
      <c r="J96467"/>
    </row>
    <row r="96468" spans="10:10" x14ac:dyDescent="0.3">
      <c r="J96468"/>
    </row>
    <row r="96469" spans="10:10" x14ac:dyDescent="0.3">
      <c r="J96469"/>
    </row>
    <row r="96470" spans="10:10" x14ac:dyDescent="0.3">
      <c r="J96470"/>
    </row>
    <row r="96471" spans="10:10" x14ac:dyDescent="0.3">
      <c r="J96471"/>
    </row>
    <row r="96472" spans="10:10" x14ac:dyDescent="0.3">
      <c r="J96472"/>
    </row>
    <row r="96473" spans="10:10" x14ac:dyDescent="0.3">
      <c r="J96473"/>
    </row>
    <row r="96474" spans="10:10" x14ac:dyDescent="0.3">
      <c r="J96474"/>
    </row>
    <row r="96475" spans="10:10" x14ac:dyDescent="0.3">
      <c r="J96475"/>
    </row>
    <row r="96476" spans="10:10" x14ac:dyDescent="0.3">
      <c r="J96476"/>
    </row>
    <row r="96477" spans="10:10" x14ac:dyDescent="0.3">
      <c r="J96477"/>
    </row>
    <row r="96478" spans="10:10" x14ac:dyDescent="0.3">
      <c r="J96478"/>
    </row>
    <row r="96479" spans="10:10" x14ac:dyDescent="0.3">
      <c r="J96479"/>
    </row>
    <row r="96480" spans="10:10" x14ac:dyDescent="0.3">
      <c r="J96480"/>
    </row>
    <row r="96481" spans="10:10" x14ac:dyDescent="0.3">
      <c r="J96481"/>
    </row>
    <row r="96482" spans="10:10" x14ac:dyDescent="0.3">
      <c r="J96482"/>
    </row>
    <row r="96483" spans="10:10" x14ac:dyDescent="0.3">
      <c r="J96483"/>
    </row>
    <row r="96484" spans="10:10" x14ac:dyDescent="0.3">
      <c r="J96484"/>
    </row>
    <row r="96485" spans="10:10" x14ac:dyDescent="0.3">
      <c r="J96485"/>
    </row>
    <row r="96486" spans="10:10" x14ac:dyDescent="0.3">
      <c r="J96486"/>
    </row>
    <row r="96487" spans="10:10" x14ac:dyDescent="0.3">
      <c r="J96487"/>
    </row>
    <row r="96488" spans="10:10" x14ac:dyDescent="0.3">
      <c r="J96488"/>
    </row>
    <row r="96489" spans="10:10" x14ac:dyDescent="0.3">
      <c r="J96489"/>
    </row>
    <row r="96490" spans="10:10" x14ac:dyDescent="0.3">
      <c r="J96490"/>
    </row>
    <row r="96491" spans="10:10" x14ac:dyDescent="0.3">
      <c r="J96491"/>
    </row>
    <row r="96492" spans="10:10" x14ac:dyDescent="0.3">
      <c r="J96492"/>
    </row>
    <row r="96493" spans="10:10" x14ac:dyDescent="0.3">
      <c r="J96493"/>
    </row>
    <row r="96494" spans="10:10" x14ac:dyDescent="0.3">
      <c r="J96494"/>
    </row>
    <row r="96495" spans="10:10" x14ac:dyDescent="0.3">
      <c r="J96495"/>
    </row>
    <row r="96496" spans="10:10" x14ac:dyDescent="0.3">
      <c r="J96496"/>
    </row>
    <row r="96497" spans="10:10" x14ac:dyDescent="0.3">
      <c r="J96497"/>
    </row>
    <row r="96498" spans="10:10" x14ac:dyDescent="0.3">
      <c r="J96498"/>
    </row>
    <row r="96499" spans="10:10" x14ac:dyDescent="0.3">
      <c r="J96499"/>
    </row>
    <row r="96500" spans="10:10" x14ac:dyDescent="0.3">
      <c r="J96500"/>
    </row>
    <row r="96501" spans="10:10" x14ac:dyDescent="0.3">
      <c r="J96501"/>
    </row>
    <row r="96502" spans="10:10" x14ac:dyDescent="0.3">
      <c r="J96502"/>
    </row>
    <row r="96503" spans="10:10" x14ac:dyDescent="0.3">
      <c r="J96503"/>
    </row>
    <row r="96504" spans="10:10" x14ac:dyDescent="0.3">
      <c r="J96504"/>
    </row>
    <row r="96505" spans="10:10" x14ac:dyDescent="0.3">
      <c r="J96505"/>
    </row>
    <row r="96506" spans="10:10" x14ac:dyDescent="0.3">
      <c r="J96506"/>
    </row>
    <row r="96507" spans="10:10" x14ac:dyDescent="0.3">
      <c r="J96507"/>
    </row>
    <row r="96508" spans="10:10" x14ac:dyDescent="0.3">
      <c r="J96508"/>
    </row>
    <row r="96509" spans="10:10" x14ac:dyDescent="0.3">
      <c r="J96509"/>
    </row>
    <row r="96510" spans="10:10" x14ac:dyDescent="0.3">
      <c r="J96510"/>
    </row>
    <row r="96511" spans="10:10" x14ac:dyDescent="0.3">
      <c r="J96511"/>
    </row>
    <row r="96512" spans="10:10" x14ac:dyDescent="0.3">
      <c r="J96512"/>
    </row>
    <row r="96513" spans="10:10" x14ac:dyDescent="0.3">
      <c r="J96513"/>
    </row>
    <row r="96514" spans="10:10" x14ac:dyDescent="0.3">
      <c r="J96514"/>
    </row>
    <row r="96515" spans="10:10" x14ac:dyDescent="0.3">
      <c r="J96515"/>
    </row>
    <row r="96516" spans="10:10" x14ac:dyDescent="0.3">
      <c r="J96516"/>
    </row>
    <row r="96517" spans="10:10" x14ac:dyDescent="0.3">
      <c r="J96517"/>
    </row>
    <row r="96518" spans="10:10" x14ac:dyDescent="0.3">
      <c r="J96518"/>
    </row>
    <row r="96519" spans="10:10" x14ac:dyDescent="0.3">
      <c r="J96519"/>
    </row>
    <row r="96520" spans="10:10" x14ac:dyDescent="0.3">
      <c r="J96520"/>
    </row>
    <row r="96521" spans="10:10" x14ac:dyDescent="0.3">
      <c r="J96521"/>
    </row>
    <row r="96522" spans="10:10" x14ac:dyDescent="0.3">
      <c r="J96522"/>
    </row>
    <row r="96523" spans="10:10" x14ac:dyDescent="0.3">
      <c r="J96523"/>
    </row>
    <row r="96524" spans="10:10" x14ac:dyDescent="0.3">
      <c r="J96524"/>
    </row>
    <row r="96525" spans="10:10" x14ac:dyDescent="0.3">
      <c r="J96525"/>
    </row>
    <row r="96526" spans="10:10" x14ac:dyDescent="0.3">
      <c r="J96526"/>
    </row>
    <row r="96527" spans="10:10" x14ac:dyDescent="0.3">
      <c r="J96527"/>
    </row>
    <row r="96528" spans="10:10" x14ac:dyDescent="0.3">
      <c r="J96528"/>
    </row>
    <row r="96529" spans="10:10" x14ac:dyDescent="0.3">
      <c r="J96529"/>
    </row>
    <row r="96530" spans="10:10" x14ac:dyDescent="0.3">
      <c r="J96530"/>
    </row>
    <row r="96531" spans="10:10" x14ac:dyDescent="0.3">
      <c r="J96531"/>
    </row>
    <row r="96532" spans="10:10" x14ac:dyDescent="0.3">
      <c r="J96532"/>
    </row>
    <row r="96533" spans="10:10" x14ac:dyDescent="0.3">
      <c r="J96533"/>
    </row>
    <row r="96534" spans="10:10" x14ac:dyDescent="0.3">
      <c r="J96534"/>
    </row>
    <row r="96535" spans="10:10" x14ac:dyDescent="0.3">
      <c r="J96535"/>
    </row>
    <row r="96536" spans="10:10" x14ac:dyDescent="0.3">
      <c r="J96536"/>
    </row>
    <row r="96537" spans="10:10" x14ac:dyDescent="0.3">
      <c r="J96537"/>
    </row>
    <row r="96538" spans="10:10" x14ac:dyDescent="0.3">
      <c r="J96538"/>
    </row>
    <row r="96539" spans="10:10" x14ac:dyDescent="0.3">
      <c r="J96539"/>
    </row>
    <row r="96540" spans="10:10" x14ac:dyDescent="0.3">
      <c r="J96540"/>
    </row>
    <row r="96541" spans="10:10" x14ac:dyDescent="0.3">
      <c r="J96541"/>
    </row>
    <row r="96542" spans="10:10" x14ac:dyDescent="0.3">
      <c r="J96542"/>
    </row>
    <row r="96543" spans="10:10" x14ac:dyDescent="0.3">
      <c r="J96543"/>
    </row>
    <row r="96544" spans="10:10" x14ac:dyDescent="0.3">
      <c r="J96544"/>
    </row>
    <row r="96545" spans="10:10" x14ac:dyDescent="0.3">
      <c r="J96545"/>
    </row>
    <row r="96546" spans="10:10" x14ac:dyDescent="0.3">
      <c r="J96546"/>
    </row>
    <row r="96547" spans="10:10" x14ac:dyDescent="0.3">
      <c r="J96547"/>
    </row>
    <row r="96548" spans="10:10" x14ac:dyDescent="0.3">
      <c r="J96548"/>
    </row>
    <row r="96549" spans="10:10" x14ac:dyDescent="0.3">
      <c r="J96549"/>
    </row>
    <row r="96550" spans="10:10" x14ac:dyDescent="0.3">
      <c r="J96550"/>
    </row>
    <row r="96551" spans="10:10" x14ac:dyDescent="0.3">
      <c r="J96551"/>
    </row>
    <row r="96552" spans="10:10" x14ac:dyDescent="0.3">
      <c r="J96552"/>
    </row>
    <row r="96553" spans="10:10" x14ac:dyDescent="0.3">
      <c r="J96553"/>
    </row>
    <row r="96554" spans="10:10" x14ac:dyDescent="0.3">
      <c r="J96554"/>
    </row>
    <row r="96555" spans="10:10" x14ac:dyDescent="0.3">
      <c r="J96555"/>
    </row>
    <row r="96556" spans="10:10" x14ac:dyDescent="0.3">
      <c r="J96556"/>
    </row>
    <row r="96557" spans="10:10" x14ac:dyDescent="0.3">
      <c r="J96557"/>
    </row>
    <row r="96558" spans="10:10" x14ac:dyDescent="0.3">
      <c r="J96558"/>
    </row>
    <row r="96559" spans="10:10" x14ac:dyDescent="0.3">
      <c r="J96559"/>
    </row>
    <row r="96560" spans="10:10" x14ac:dyDescent="0.3">
      <c r="J96560"/>
    </row>
    <row r="96561" spans="10:10" x14ac:dyDescent="0.3">
      <c r="J96561"/>
    </row>
    <row r="96562" spans="10:10" x14ac:dyDescent="0.3">
      <c r="J96562"/>
    </row>
    <row r="96563" spans="10:10" x14ac:dyDescent="0.3">
      <c r="J96563"/>
    </row>
    <row r="96564" spans="10:10" x14ac:dyDescent="0.3">
      <c r="J96564"/>
    </row>
    <row r="96565" spans="10:10" x14ac:dyDescent="0.3">
      <c r="J96565"/>
    </row>
    <row r="96566" spans="10:10" x14ac:dyDescent="0.3">
      <c r="J96566"/>
    </row>
    <row r="96567" spans="10:10" x14ac:dyDescent="0.3">
      <c r="J96567"/>
    </row>
    <row r="96568" spans="10:10" x14ac:dyDescent="0.3">
      <c r="J96568"/>
    </row>
    <row r="96569" spans="10:10" x14ac:dyDescent="0.3">
      <c r="J96569"/>
    </row>
    <row r="96570" spans="10:10" x14ac:dyDescent="0.3">
      <c r="J96570"/>
    </row>
    <row r="96571" spans="10:10" x14ac:dyDescent="0.3">
      <c r="J96571"/>
    </row>
    <row r="96572" spans="10:10" x14ac:dyDescent="0.3">
      <c r="J96572"/>
    </row>
    <row r="96573" spans="10:10" x14ac:dyDescent="0.3">
      <c r="J96573"/>
    </row>
    <row r="96574" spans="10:10" x14ac:dyDescent="0.3">
      <c r="J96574"/>
    </row>
    <row r="96575" spans="10:10" x14ac:dyDescent="0.3">
      <c r="J96575"/>
    </row>
    <row r="96576" spans="10:10" x14ac:dyDescent="0.3">
      <c r="J96576"/>
    </row>
    <row r="96577" spans="10:10" x14ac:dyDescent="0.3">
      <c r="J96577"/>
    </row>
    <row r="96578" spans="10:10" x14ac:dyDescent="0.3">
      <c r="J96578"/>
    </row>
    <row r="96579" spans="10:10" x14ac:dyDescent="0.3">
      <c r="J96579"/>
    </row>
    <row r="96580" spans="10:10" x14ac:dyDescent="0.3">
      <c r="J96580"/>
    </row>
    <row r="96581" spans="10:10" x14ac:dyDescent="0.3">
      <c r="J96581"/>
    </row>
    <row r="96582" spans="10:10" x14ac:dyDescent="0.3">
      <c r="J96582"/>
    </row>
    <row r="96583" spans="10:10" x14ac:dyDescent="0.3">
      <c r="J96583"/>
    </row>
    <row r="96584" spans="10:10" x14ac:dyDescent="0.3">
      <c r="J96584"/>
    </row>
    <row r="96585" spans="10:10" x14ac:dyDescent="0.3">
      <c r="J96585"/>
    </row>
    <row r="96586" spans="10:10" x14ac:dyDescent="0.3">
      <c r="J96586"/>
    </row>
    <row r="96587" spans="10:10" x14ac:dyDescent="0.3">
      <c r="J96587"/>
    </row>
    <row r="96588" spans="10:10" x14ac:dyDescent="0.3">
      <c r="J96588"/>
    </row>
    <row r="96589" spans="10:10" x14ac:dyDescent="0.3">
      <c r="J96589"/>
    </row>
    <row r="96590" spans="10:10" x14ac:dyDescent="0.3">
      <c r="J96590"/>
    </row>
    <row r="96591" spans="10:10" x14ac:dyDescent="0.3">
      <c r="J96591"/>
    </row>
    <row r="96592" spans="10:10" x14ac:dyDescent="0.3">
      <c r="J96592"/>
    </row>
    <row r="96593" spans="10:10" x14ac:dyDescent="0.3">
      <c r="J96593"/>
    </row>
    <row r="96594" spans="10:10" x14ac:dyDescent="0.3">
      <c r="J96594"/>
    </row>
    <row r="96595" spans="10:10" x14ac:dyDescent="0.3">
      <c r="J96595"/>
    </row>
    <row r="96596" spans="10:10" x14ac:dyDescent="0.3">
      <c r="J96596"/>
    </row>
    <row r="96597" spans="10:10" x14ac:dyDescent="0.3">
      <c r="J96597"/>
    </row>
    <row r="96598" spans="10:10" x14ac:dyDescent="0.3">
      <c r="J96598"/>
    </row>
    <row r="96599" spans="10:10" x14ac:dyDescent="0.3">
      <c r="J96599"/>
    </row>
    <row r="96600" spans="10:10" x14ac:dyDescent="0.3">
      <c r="J96600"/>
    </row>
    <row r="96601" spans="10:10" x14ac:dyDescent="0.3">
      <c r="J96601"/>
    </row>
    <row r="96602" spans="10:10" x14ac:dyDescent="0.3">
      <c r="J96602"/>
    </row>
    <row r="96603" spans="10:10" x14ac:dyDescent="0.3">
      <c r="J96603"/>
    </row>
    <row r="96604" spans="10:10" x14ac:dyDescent="0.3">
      <c r="J96604"/>
    </row>
    <row r="96605" spans="10:10" x14ac:dyDescent="0.3">
      <c r="J96605"/>
    </row>
    <row r="96606" spans="10:10" x14ac:dyDescent="0.3">
      <c r="J96606"/>
    </row>
    <row r="96607" spans="10:10" x14ac:dyDescent="0.3">
      <c r="J96607"/>
    </row>
    <row r="96608" spans="10:10" x14ac:dyDescent="0.3">
      <c r="J96608"/>
    </row>
    <row r="96609" spans="10:10" x14ac:dyDescent="0.3">
      <c r="J96609"/>
    </row>
    <row r="96610" spans="10:10" x14ac:dyDescent="0.3">
      <c r="J96610"/>
    </row>
    <row r="96611" spans="10:10" x14ac:dyDescent="0.3">
      <c r="J96611"/>
    </row>
    <row r="96612" spans="10:10" x14ac:dyDescent="0.3">
      <c r="J96612"/>
    </row>
    <row r="96613" spans="10:10" x14ac:dyDescent="0.3">
      <c r="J96613"/>
    </row>
    <row r="96614" spans="10:10" x14ac:dyDescent="0.3">
      <c r="J96614"/>
    </row>
    <row r="96615" spans="10:10" x14ac:dyDescent="0.3">
      <c r="J96615"/>
    </row>
    <row r="96616" spans="10:10" x14ac:dyDescent="0.3">
      <c r="J96616"/>
    </row>
    <row r="96617" spans="10:10" x14ac:dyDescent="0.3">
      <c r="J96617"/>
    </row>
    <row r="96618" spans="10:10" x14ac:dyDescent="0.3">
      <c r="J96618"/>
    </row>
    <row r="96619" spans="10:10" x14ac:dyDescent="0.3">
      <c r="J96619"/>
    </row>
    <row r="96620" spans="10:10" x14ac:dyDescent="0.3">
      <c r="J96620"/>
    </row>
    <row r="96621" spans="10:10" x14ac:dyDescent="0.3">
      <c r="J96621"/>
    </row>
    <row r="96622" spans="10:10" x14ac:dyDescent="0.3">
      <c r="J96622"/>
    </row>
    <row r="96623" spans="10:10" x14ac:dyDescent="0.3">
      <c r="J96623"/>
    </row>
    <row r="96624" spans="10:10" x14ac:dyDescent="0.3">
      <c r="J96624"/>
    </row>
    <row r="96625" spans="10:10" x14ac:dyDescent="0.3">
      <c r="J96625"/>
    </row>
    <row r="96626" spans="10:10" x14ac:dyDescent="0.3">
      <c r="J96626"/>
    </row>
    <row r="96627" spans="10:10" x14ac:dyDescent="0.3">
      <c r="J96627"/>
    </row>
    <row r="96628" spans="10:10" x14ac:dyDescent="0.3">
      <c r="J96628"/>
    </row>
    <row r="96629" spans="10:10" x14ac:dyDescent="0.3">
      <c r="J96629"/>
    </row>
    <row r="96630" spans="10:10" x14ac:dyDescent="0.3">
      <c r="J96630"/>
    </row>
    <row r="96631" spans="10:10" x14ac:dyDescent="0.3">
      <c r="J96631"/>
    </row>
    <row r="96632" spans="10:10" x14ac:dyDescent="0.3">
      <c r="J96632"/>
    </row>
    <row r="96633" spans="10:10" x14ac:dyDescent="0.3">
      <c r="J96633"/>
    </row>
    <row r="96634" spans="10:10" x14ac:dyDescent="0.3">
      <c r="J96634"/>
    </row>
    <row r="96635" spans="10:10" x14ac:dyDescent="0.3">
      <c r="J96635"/>
    </row>
    <row r="96636" spans="10:10" x14ac:dyDescent="0.3">
      <c r="J96636"/>
    </row>
    <row r="96637" spans="10:10" x14ac:dyDescent="0.3">
      <c r="J96637"/>
    </row>
    <row r="96638" spans="10:10" x14ac:dyDescent="0.3">
      <c r="J96638"/>
    </row>
    <row r="96639" spans="10:10" x14ac:dyDescent="0.3">
      <c r="J96639"/>
    </row>
    <row r="96640" spans="10:10" x14ac:dyDescent="0.3">
      <c r="J96640"/>
    </row>
    <row r="96641" spans="10:10" x14ac:dyDescent="0.3">
      <c r="J96641"/>
    </row>
    <row r="96642" spans="10:10" x14ac:dyDescent="0.3">
      <c r="J96642"/>
    </row>
    <row r="96643" spans="10:10" x14ac:dyDescent="0.3">
      <c r="J96643"/>
    </row>
    <row r="96644" spans="10:10" x14ac:dyDescent="0.3">
      <c r="J96644"/>
    </row>
    <row r="96645" spans="10:10" x14ac:dyDescent="0.3">
      <c r="J96645"/>
    </row>
    <row r="96646" spans="10:10" x14ac:dyDescent="0.3">
      <c r="J96646"/>
    </row>
    <row r="96647" spans="10:10" x14ac:dyDescent="0.3">
      <c r="J96647"/>
    </row>
    <row r="96648" spans="10:10" x14ac:dyDescent="0.3">
      <c r="J96648"/>
    </row>
    <row r="96649" spans="10:10" x14ac:dyDescent="0.3">
      <c r="J96649"/>
    </row>
    <row r="96650" spans="10:10" x14ac:dyDescent="0.3">
      <c r="J96650"/>
    </row>
    <row r="96651" spans="10:10" x14ac:dyDescent="0.3">
      <c r="J96651"/>
    </row>
    <row r="96652" spans="10:10" x14ac:dyDescent="0.3">
      <c r="J96652"/>
    </row>
    <row r="96653" spans="10:10" x14ac:dyDescent="0.3">
      <c r="J96653"/>
    </row>
    <row r="96654" spans="10:10" x14ac:dyDescent="0.3">
      <c r="J96654"/>
    </row>
    <row r="96655" spans="10:10" x14ac:dyDescent="0.3">
      <c r="J96655"/>
    </row>
    <row r="96656" spans="10:10" x14ac:dyDescent="0.3">
      <c r="J96656"/>
    </row>
    <row r="96657" spans="10:10" x14ac:dyDescent="0.3">
      <c r="J96657"/>
    </row>
    <row r="96658" spans="10:10" x14ac:dyDescent="0.3">
      <c r="J96658"/>
    </row>
    <row r="96659" spans="10:10" x14ac:dyDescent="0.3">
      <c r="J96659"/>
    </row>
    <row r="96660" spans="10:10" x14ac:dyDescent="0.3">
      <c r="J96660"/>
    </row>
    <row r="96661" spans="10:10" x14ac:dyDescent="0.3">
      <c r="J96661"/>
    </row>
    <row r="96662" spans="10:10" x14ac:dyDescent="0.3">
      <c r="J96662"/>
    </row>
    <row r="96663" spans="10:10" x14ac:dyDescent="0.3">
      <c r="J96663"/>
    </row>
    <row r="96664" spans="10:10" x14ac:dyDescent="0.3">
      <c r="J96664"/>
    </row>
    <row r="96665" spans="10:10" x14ac:dyDescent="0.3">
      <c r="J96665"/>
    </row>
    <row r="96666" spans="10:10" x14ac:dyDescent="0.3">
      <c r="J96666"/>
    </row>
    <row r="96667" spans="10:10" x14ac:dyDescent="0.3">
      <c r="J96667"/>
    </row>
    <row r="96668" spans="10:10" x14ac:dyDescent="0.3">
      <c r="J96668"/>
    </row>
    <row r="96669" spans="10:10" x14ac:dyDescent="0.3">
      <c r="J96669"/>
    </row>
    <row r="96670" spans="10:10" x14ac:dyDescent="0.3">
      <c r="J96670"/>
    </row>
    <row r="96671" spans="10:10" x14ac:dyDescent="0.3">
      <c r="J96671"/>
    </row>
    <row r="96672" spans="10:10" x14ac:dyDescent="0.3">
      <c r="J96672"/>
    </row>
    <row r="96673" spans="10:10" x14ac:dyDescent="0.3">
      <c r="J96673"/>
    </row>
    <row r="96674" spans="10:10" x14ac:dyDescent="0.3">
      <c r="J96674"/>
    </row>
    <row r="96675" spans="10:10" x14ac:dyDescent="0.3">
      <c r="J96675"/>
    </row>
    <row r="96676" spans="10:10" x14ac:dyDescent="0.3">
      <c r="J96676"/>
    </row>
    <row r="96677" spans="10:10" x14ac:dyDescent="0.3">
      <c r="J96677"/>
    </row>
    <row r="96678" spans="10:10" x14ac:dyDescent="0.3">
      <c r="J96678"/>
    </row>
    <row r="96679" spans="10:10" x14ac:dyDescent="0.3">
      <c r="J96679"/>
    </row>
    <row r="96680" spans="10:10" x14ac:dyDescent="0.3">
      <c r="J96680"/>
    </row>
    <row r="96681" spans="10:10" x14ac:dyDescent="0.3">
      <c r="J96681"/>
    </row>
    <row r="96682" spans="10:10" x14ac:dyDescent="0.3">
      <c r="J96682"/>
    </row>
    <row r="96683" spans="10:10" x14ac:dyDescent="0.3">
      <c r="J96683"/>
    </row>
    <row r="96684" spans="10:10" x14ac:dyDescent="0.3">
      <c r="J96684"/>
    </row>
    <row r="96685" spans="10:10" x14ac:dyDescent="0.3">
      <c r="J96685"/>
    </row>
    <row r="96686" spans="10:10" x14ac:dyDescent="0.3">
      <c r="J96686"/>
    </row>
    <row r="96687" spans="10:10" x14ac:dyDescent="0.3">
      <c r="J96687"/>
    </row>
    <row r="96688" spans="10:10" x14ac:dyDescent="0.3">
      <c r="J96688"/>
    </row>
    <row r="96689" spans="10:10" x14ac:dyDescent="0.3">
      <c r="J96689"/>
    </row>
    <row r="96690" spans="10:10" x14ac:dyDescent="0.3">
      <c r="J96690"/>
    </row>
    <row r="96691" spans="10:10" x14ac:dyDescent="0.3">
      <c r="J96691"/>
    </row>
    <row r="96692" spans="10:10" x14ac:dyDescent="0.3">
      <c r="J96692"/>
    </row>
    <row r="96693" spans="10:10" x14ac:dyDescent="0.3">
      <c r="J96693"/>
    </row>
    <row r="96694" spans="10:10" x14ac:dyDescent="0.3">
      <c r="J96694"/>
    </row>
    <row r="96695" spans="10:10" x14ac:dyDescent="0.3">
      <c r="J96695"/>
    </row>
    <row r="96696" spans="10:10" x14ac:dyDescent="0.3">
      <c r="J96696"/>
    </row>
    <row r="96697" spans="10:10" x14ac:dyDescent="0.3">
      <c r="J96697"/>
    </row>
    <row r="96698" spans="10:10" x14ac:dyDescent="0.3">
      <c r="J96698"/>
    </row>
    <row r="96699" spans="10:10" x14ac:dyDescent="0.3">
      <c r="J96699"/>
    </row>
    <row r="96700" spans="10:10" x14ac:dyDescent="0.3">
      <c r="J96700"/>
    </row>
    <row r="96701" spans="10:10" x14ac:dyDescent="0.3">
      <c r="J96701"/>
    </row>
    <row r="96702" spans="10:10" x14ac:dyDescent="0.3">
      <c r="J96702"/>
    </row>
    <row r="96703" spans="10:10" x14ac:dyDescent="0.3">
      <c r="J96703"/>
    </row>
    <row r="96704" spans="10:10" x14ac:dyDescent="0.3">
      <c r="J96704"/>
    </row>
    <row r="96705" spans="10:10" x14ac:dyDescent="0.3">
      <c r="J96705"/>
    </row>
    <row r="96706" spans="10:10" x14ac:dyDescent="0.3">
      <c r="J96706"/>
    </row>
    <row r="96707" spans="10:10" x14ac:dyDescent="0.3">
      <c r="J96707"/>
    </row>
    <row r="96708" spans="10:10" x14ac:dyDescent="0.3">
      <c r="J96708"/>
    </row>
    <row r="96709" spans="10:10" x14ac:dyDescent="0.3">
      <c r="J96709"/>
    </row>
    <row r="96710" spans="10:10" x14ac:dyDescent="0.3">
      <c r="J96710"/>
    </row>
    <row r="96711" spans="10:10" x14ac:dyDescent="0.3">
      <c r="J96711"/>
    </row>
    <row r="96712" spans="10:10" x14ac:dyDescent="0.3">
      <c r="J96712"/>
    </row>
    <row r="96713" spans="10:10" x14ac:dyDescent="0.3">
      <c r="J96713"/>
    </row>
    <row r="96714" spans="10:10" x14ac:dyDescent="0.3">
      <c r="J96714"/>
    </row>
    <row r="96715" spans="10:10" x14ac:dyDescent="0.3">
      <c r="J96715"/>
    </row>
    <row r="96716" spans="10:10" x14ac:dyDescent="0.3">
      <c r="J96716"/>
    </row>
    <row r="96717" spans="10:10" x14ac:dyDescent="0.3">
      <c r="J96717"/>
    </row>
    <row r="96718" spans="10:10" x14ac:dyDescent="0.3">
      <c r="J96718"/>
    </row>
    <row r="96719" spans="10:10" x14ac:dyDescent="0.3">
      <c r="J96719"/>
    </row>
    <row r="96720" spans="10:10" x14ac:dyDescent="0.3">
      <c r="J96720"/>
    </row>
    <row r="96721" spans="10:10" x14ac:dyDescent="0.3">
      <c r="J96721"/>
    </row>
    <row r="96722" spans="10:10" x14ac:dyDescent="0.3">
      <c r="J96722"/>
    </row>
    <row r="96723" spans="10:10" x14ac:dyDescent="0.3">
      <c r="J96723"/>
    </row>
    <row r="96724" spans="10:10" x14ac:dyDescent="0.3">
      <c r="J96724"/>
    </row>
    <row r="96725" spans="10:10" x14ac:dyDescent="0.3">
      <c r="J96725"/>
    </row>
    <row r="96726" spans="10:10" x14ac:dyDescent="0.3">
      <c r="J96726"/>
    </row>
    <row r="96727" spans="10:10" x14ac:dyDescent="0.3">
      <c r="J96727"/>
    </row>
    <row r="96728" spans="10:10" x14ac:dyDescent="0.3">
      <c r="J96728"/>
    </row>
    <row r="96729" spans="10:10" x14ac:dyDescent="0.3">
      <c r="J96729"/>
    </row>
    <row r="96730" spans="10:10" x14ac:dyDescent="0.3">
      <c r="J96730"/>
    </row>
    <row r="96731" spans="10:10" x14ac:dyDescent="0.3">
      <c r="J96731"/>
    </row>
    <row r="96732" spans="10:10" x14ac:dyDescent="0.3">
      <c r="J96732"/>
    </row>
    <row r="96733" spans="10:10" x14ac:dyDescent="0.3">
      <c r="J96733"/>
    </row>
    <row r="96734" spans="10:10" x14ac:dyDescent="0.3">
      <c r="J96734"/>
    </row>
    <row r="96735" spans="10:10" x14ac:dyDescent="0.3">
      <c r="J96735"/>
    </row>
    <row r="96736" spans="10:10" x14ac:dyDescent="0.3">
      <c r="J96736"/>
    </row>
    <row r="96737" spans="10:10" x14ac:dyDescent="0.3">
      <c r="J96737"/>
    </row>
    <row r="96738" spans="10:10" x14ac:dyDescent="0.3">
      <c r="J96738"/>
    </row>
    <row r="96739" spans="10:10" x14ac:dyDescent="0.3">
      <c r="J96739"/>
    </row>
    <row r="96740" spans="10:10" x14ac:dyDescent="0.3">
      <c r="J96740"/>
    </row>
    <row r="96741" spans="10:10" x14ac:dyDescent="0.3">
      <c r="J96741"/>
    </row>
    <row r="96742" spans="10:10" x14ac:dyDescent="0.3">
      <c r="J96742"/>
    </row>
    <row r="96743" spans="10:10" x14ac:dyDescent="0.3">
      <c r="J96743"/>
    </row>
    <row r="96744" spans="10:10" x14ac:dyDescent="0.3">
      <c r="J96744"/>
    </row>
    <row r="96745" spans="10:10" x14ac:dyDescent="0.3">
      <c r="J96745"/>
    </row>
    <row r="96746" spans="10:10" x14ac:dyDescent="0.3">
      <c r="J96746"/>
    </row>
    <row r="96747" spans="10:10" x14ac:dyDescent="0.3">
      <c r="J96747"/>
    </row>
    <row r="96748" spans="10:10" x14ac:dyDescent="0.3">
      <c r="J96748"/>
    </row>
    <row r="96749" spans="10:10" x14ac:dyDescent="0.3">
      <c r="J96749"/>
    </row>
    <row r="96750" spans="10:10" x14ac:dyDescent="0.3">
      <c r="J96750"/>
    </row>
    <row r="96751" spans="10:10" x14ac:dyDescent="0.3">
      <c r="J96751"/>
    </row>
    <row r="96752" spans="10:10" x14ac:dyDescent="0.3">
      <c r="J96752"/>
    </row>
    <row r="96753" spans="10:10" x14ac:dyDescent="0.3">
      <c r="J96753"/>
    </row>
    <row r="96754" spans="10:10" x14ac:dyDescent="0.3">
      <c r="J96754"/>
    </row>
    <row r="96755" spans="10:10" x14ac:dyDescent="0.3">
      <c r="J96755"/>
    </row>
    <row r="96756" spans="10:10" x14ac:dyDescent="0.3">
      <c r="J96756"/>
    </row>
    <row r="96757" spans="10:10" x14ac:dyDescent="0.3">
      <c r="J96757"/>
    </row>
    <row r="96758" spans="10:10" x14ac:dyDescent="0.3">
      <c r="J96758"/>
    </row>
    <row r="96759" spans="10:10" x14ac:dyDescent="0.3">
      <c r="J96759"/>
    </row>
    <row r="96760" spans="10:10" x14ac:dyDescent="0.3">
      <c r="J96760"/>
    </row>
    <row r="96761" spans="10:10" x14ac:dyDescent="0.3">
      <c r="J96761"/>
    </row>
    <row r="96762" spans="10:10" x14ac:dyDescent="0.3">
      <c r="J96762"/>
    </row>
    <row r="96763" spans="10:10" x14ac:dyDescent="0.3">
      <c r="J96763"/>
    </row>
    <row r="96764" spans="10:10" x14ac:dyDescent="0.3">
      <c r="J96764"/>
    </row>
    <row r="96765" spans="10:10" x14ac:dyDescent="0.3">
      <c r="J96765"/>
    </row>
    <row r="96766" spans="10:10" x14ac:dyDescent="0.3">
      <c r="J96766"/>
    </row>
    <row r="96767" spans="10:10" x14ac:dyDescent="0.3">
      <c r="J96767"/>
    </row>
    <row r="96768" spans="10:10" x14ac:dyDescent="0.3">
      <c r="J96768"/>
    </row>
    <row r="96769" spans="10:10" x14ac:dyDescent="0.3">
      <c r="J96769"/>
    </row>
    <row r="96770" spans="10:10" x14ac:dyDescent="0.3">
      <c r="J96770"/>
    </row>
    <row r="96771" spans="10:10" x14ac:dyDescent="0.3">
      <c r="J96771"/>
    </row>
    <row r="96772" spans="10:10" x14ac:dyDescent="0.3">
      <c r="J96772"/>
    </row>
    <row r="96773" spans="10:10" x14ac:dyDescent="0.3">
      <c r="J96773"/>
    </row>
    <row r="96774" spans="10:10" x14ac:dyDescent="0.3">
      <c r="J96774"/>
    </row>
    <row r="96775" spans="10:10" x14ac:dyDescent="0.3">
      <c r="J96775"/>
    </row>
    <row r="96776" spans="10:10" x14ac:dyDescent="0.3">
      <c r="J96776"/>
    </row>
    <row r="96777" spans="10:10" x14ac:dyDescent="0.3">
      <c r="J96777"/>
    </row>
    <row r="96778" spans="10:10" x14ac:dyDescent="0.3">
      <c r="J96778"/>
    </row>
    <row r="96779" spans="10:10" x14ac:dyDescent="0.3">
      <c r="J96779"/>
    </row>
    <row r="96780" spans="10:10" x14ac:dyDescent="0.3">
      <c r="J96780"/>
    </row>
    <row r="96781" spans="10:10" x14ac:dyDescent="0.3">
      <c r="J96781"/>
    </row>
    <row r="96782" spans="10:10" x14ac:dyDescent="0.3">
      <c r="J96782"/>
    </row>
    <row r="96783" spans="10:10" x14ac:dyDescent="0.3">
      <c r="J96783"/>
    </row>
    <row r="96784" spans="10:10" x14ac:dyDescent="0.3">
      <c r="J96784"/>
    </row>
    <row r="96785" spans="10:10" x14ac:dyDescent="0.3">
      <c r="J96785"/>
    </row>
    <row r="96786" spans="10:10" x14ac:dyDescent="0.3">
      <c r="J96786"/>
    </row>
    <row r="96787" spans="10:10" x14ac:dyDescent="0.3">
      <c r="J96787"/>
    </row>
    <row r="96788" spans="10:10" x14ac:dyDescent="0.3">
      <c r="J96788"/>
    </row>
    <row r="96789" spans="10:10" x14ac:dyDescent="0.3">
      <c r="J96789"/>
    </row>
    <row r="96790" spans="10:10" x14ac:dyDescent="0.3">
      <c r="J96790"/>
    </row>
    <row r="96791" spans="10:10" x14ac:dyDescent="0.3">
      <c r="J96791"/>
    </row>
    <row r="96792" spans="10:10" x14ac:dyDescent="0.3">
      <c r="J96792"/>
    </row>
    <row r="96793" spans="10:10" x14ac:dyDescent="0.3">
      <c r="J96793"/>
    </row>
    <row r="96794" spans="10:10" x14ac:dyDescent="0.3">
      <c r="J96794"/>
    </row>
    <row r="96795" spans="10:10" x14ac:dyDescent="0.3">
      <c r="J96795"/>
    </row>
    <row r="96796" spans="10:10" x14ac:dyDescent="0.3">
      <c r="J96796"/>
    </row>
    <row r="96797" spans="10:10" x14ac:dyDescent="0.3">
      <c r="J96797"/>
    </row>
    <row r="96798" spans="10:10" x14ac:dyDescent="0.3">
      <c r="J96798"/>
    </row>
    <row r="96799" spans="10:10" x14ac:dyDescent="0.3">
      <c r="J96799"/>
    </row>
    <row r="96800" spans="10:10" x14ac:dyDescent="0.3">
      <c r="J96800"/>
    </row>
    <row r="96801" spans="10:10" x14ac:dyDescent="0.3">
      <c r="J96801"/>
    </row>
    <row r="96802" spans="10:10" x14ac:dyDescent="0.3">
      <c r="J96802"/>
    </row>
    <row r="96803" spans="10:10" x14ac:dyDescent="0.3">
      <c r="J96803"/>
    </row>
    <row r="96804" spans="10:10" x14ac:dyDescent="0.3">
      <c r="J96804"/>
    </row>
    <row r="96805" spans="10:10" x14ac:dyDescent="0.3">
      <c r="J96805"/>
    </row>
    <row r="96806" spans="10:10" x14ac:dyDescent="0.3">
      <c r="J96806"/>
    </row>
    <row r="96807" spans="10:10" x14ac:dyDescent="0.3">
      <c r="J96807"/>
    </row>
    <row r="96808" spans="10:10" x14ac:dyDescent="0.3">
      <c r="J96808"/>
    </row>
    <row r="96809" spans="10:10" x14ac:dyDescent="0.3">
      <c r="J96809"/>
    </row>
    <row r="96810" spans="10:10" x14ac:dyDescent="0.3">
      <c r="J96810"/>
    </row>
    <row r="96811" spans="10:10" x14ac:dyDescent="0.3">
      <c r="J96811"/>
    </row>
    <row r="96812" spans="10:10" x14ac:dyDescent="0.3">
      <c r="J96812"/>
    </row>
    <row r="96813" spans="10:10" x14ac:dyDescent="0.3">
      <c r="J96813"/>
    </row>
    <row r="96814" spans="10:10" x14ac:dyDescent="0.3">
      <c r="J96814"/>
    </row>
    <row r="96815" spans="10:10" x14ac:dyDescent="0.3">
      <c r="J96815"/>
    </row>
    <row r="96816" spans="10:10" x14ac:dyDescent="0.3">
      <c r="J96816"/>
    </row>
    <row r="96817" spans="10:10" x14ac:dyDescent="0.3">
      <c r="J96817"/>
    </row>
    <row r="96818" spans="10:10" x14ac:dyDescent="0.3">
      <c r="J96818"/>
    </row>
    <row r="96819" spans="10:10" x14ac:dyDescent="0.3">
      <c r="J96819"/>
    </row>
    <row r="96820" spans="10:10" x14ac:dyDescent="0.3">
      <c r="J96820"/>
    </row>
    <row r="96821" spans="10:10" x14ac:dyDescent="0.3">
      <c r="J96821"/>
    </row>
    <row r="96822" spans="10:10" x14ac:dyDescent="0.3">
      <c r="J96822"/>
    </row>
    <row r="96823" spans="10:10" x14ac:dyDescent="0.3">
      <c r="J96823"/>
    </row>
    <row r="96824" spans="10:10" x14ac:dyDescent="0.3">
      <c r="J96824"/>
    </row>
    <row r="96825" spans="10:10" x14ac:dyDescent="0.3">
      <c r="J96825"/>
    </row>
    <row r="96826" spans="10:10" x14ac:dyDescent="0.3">
      <c r="J96826"/>
    </row>
    <row r="96827" spans="10:10" x14ac:dyDescent="0.3">
      <c r="J96827"/>
    </row>
    <row r="96828" spans="10:10" x14ac:dyDescent="0.3">
      <c r="J96828"/>
    </row>
    <row r="96829" spans="10:10" x14ac:dyDescent="0.3">
      <c r="J96829"/>
    </row>
    <row r="96830" spans="10:10" x14ac:dyDescent="0.3">
      <c r="J96830"/>
    </row>
    <row r="96831" spans="10:10" x14ac:dyDescent="0.3">
      <c r="J96831"/>
    </row>
    <row r="96832" spans="10:10" x14ac:dyDescent="0.3">
      <c r="J96832"/>
    </row>
    <row r="96833" spans="10:10" x14ac:dyDescent="0.3">
      <c r="J96833"/>
    </row>
    <row r="96834" spans="10:10" x14ac:dyDescent="0.3">
      <c r="J96834"/>
    </row>
    <row r="96835" spans="10:10" x14ac:dyDescent="0.3">
      <c r="J96835"/>
    </row>
    <row r="96836" spans="10:10" x14ac:dyDescent="0.3">
      <c r="J96836"/>
    </row>
    <row r="96837" spans="10:10" x14ac:dyDescent="0.3">
      <c r="J96837"/>
    </row>
    <row r="96838" spans="10:10" x14ac:dyDescent="0.3">
      <c r="J96838"/>
    </row>
    <row r="96839" spans="10:10" x14ac:dyDescent="0.3">
      <c r="J96839"/>
    </row>
    <row r="96840" spans="10:10" x14ac:dyDescent="0.3">
      <c r="J96840"/>
    </row>
    <row r="96841" spans="10:10" x14ac:dyDescent="0.3">
      <c r="J96841"/>
    </row>
    <row r="96842" spans="10:10" x14ac:dyDescent="0.3">
      <c r="J96842"/>
    </row>
    <row r="96843" spans="10:10" x14ac:dyDescent="0.3">
      <c r="J96843"/>
    </row>
    <row r="96844" spans="10:10" x14ac:dyDescent="0.3">
      <c r="J96844"/>
    </row>
    <row r="96845" spans="10:10" x14ac:dyDescent="0.3">
      <c r="J96845"/>
    </row>
    <row r="96846" spans="10:10" x14ac:dyDescent="0.3">
      <c r="J96846"/>
    </row>
    <row r="96847" spans="10:10" x14ac:dyDescent="0.3">
      <c r="J96847"/>
    </row>
    <row r="96848" spans="10:10" x14ac:dyDescent="0.3">
      <c r="J96848"/>
    </row>
    <row r="96849" spans="10:10" x14ac:dyDescent="0.3">
      <c r="J96849"/>
    </row>
    <row r="96850" spans="10:10" x14ac:dyDescent="0.3">
      <c r="J96850"/>
    </row>
    <row r="96851" spans="10:10" x14ac:dyDescent="0.3">
      <c r="J96851"/>
    </row>
    <row r="96852" spans="10:10" x14ac:dyDescent="0.3">
      <c r="J96852"/>
    </row>
    <row r="96853" spans="10:10" x14ac:dyDescent="0.3">
      <c r="J96853"/>
    </row>
    <row r="96854" spans="10:10" x14ac:dyDescent="0.3">
      <c r="J96854"/>
    </row>
    <row r="96855" spans="10:10" x14ac:dyDescent="0.3">
      <c r="J96855"/>
    </row>
    <row r="96856" spans="10:10" x14ac:dyDescent="0.3">
      <c r="J96856"/>
    </row>
    <row r="96857" spans="10:10" x14ac:dyDescent="0.3">
      <c r="J96857"/>
    </row>
    <row r="96858" spans="10:10" x14ac:dyDescent="0.3">
      <c r="J96858"/>
    </row>
    <row r="96859" spans="10:10" x14ac:dyDescent="0.3">
      <c r="J96859"/>
    </row>
    <row r="96860" spans="10:10" x14ac:dyDescent="0.3">
      <c r="J96860"/>
    </row>
    <row r="96861" spans="10:10" x14ac:dyDescent="0.3">
      <c r="J96861"/>
    </row>
    <row r="96862" spans="10:10" x14ac:dyDescent="0.3">
      <c r="J96862"/>
    </row>
    <row r="96863" spans="10:10" x14ac:dyDescent="0.3">
      <c r="J96863"/>
    </row>
    <row r="96864" spans="10:10" x14ac:dyDescent="0.3">
      <c r="J96864"/>
    </row>
    <row r="96865" spans="10:10" x14ac:dyDescent="0.3">
      <c r="J96865"/>
    </row>
    <row r="96866" spans="10:10" x14ac:dyDescent="0.3">
      <c r="J96866"/>
    </row>
    <row r="96867" spans="10:10" x14ac:dyDescent="0.3">
      <c r="J96867"/>
    </row>
    <row r="96868" spans="10:10" x14ac:dyDescent="0.3">
      <c r="J96868"/>
    </row>
    <row r="96869" spans="10:10" x14ac:dyDescent="0.3">
      <c r="J96869"/>
    </row>
    <row r="96870" spans="10:10" x14ac:dyDescent="0.3">
      <c r="J96870"/>
    </row>
    <row r="96871" spans="10:10" x14ac:dyDescent="0.3">
      <c r="J96871"/>
    </row>
    <row r="96872" spans="10:10" x14ac:dyDescent="0.3">
      <c r="J96872"/>
    </row>
    <row r="96873" spans="10:10" x14ac:dyDescent="0.3">
      <c r="J96873"/>
    </row>
    <row r="96874" spans="10:10" x14ac:dyDescent="0.3">
      <c r="J96874"/>
    </row>
    <row r="96875" spans="10:10" x14ac:dyDescent="0.3">
      <c r="J96875"/>
    </row>
    <row r="96876" spans="10:10" x14ac:dyDescent="0.3">
      <c r="J96876"/>
    </row>
    <row r="96877" spans="10:10" x14ac:dyDescent="0.3">
      <c r="J96877"/>
    </row>
    <row r="96878" spans="10:10" x14ac:dyDescent="0.3">
      <c r="J96878"/>
    </row>
    <row r="96879" spans="10:10" x14ac:dyDescent="0.3">
      <c r="J96879"/>
    </row>
    <row r="96880" spans="10:10" x14ac:dyDescent="0.3">
      <c r="J96880"/>
    </row>
    <row r="96881" spans="10:10" x14ac:dyDescent="0.3">
      <c r="J96881"/>
    </row>
    <row r="96882" spans="10:10" x14ac:dyDescent="0.3">
      <c r="J96882"/>
    </row>
    <row r="96883" spans="10:10" x14ac:dyDescent="0.3">
      <c r="J96883"/>
    </row>
    <row r="96884" spans="10:10" x14ac:dyDescent="0.3">
      <c r="J96884"/>
    </row>
    <row r="96885" spans="10:10" x14ac:dyDescent="0.3">
      <c r="J96885"/>
    </row>
    <row r="96886" spans="10:10" x14ac:dyDescent="0.3">
      <c r="J96886"/>
    </row>
    <row r="96887" spans="10:10" x14ac:dyDescent="0.3">
      <c r="J96887"/>
    </row>
    <row r="96888" spans="10:10" x14ac:dyDescent="0.3">
      <c r="J96888"/>
    </row>
    <row r="96889" spans="10:10" x14ac:dyDescent="0.3">
      <c r="J96889"/>
    </row>
    <row r="96890" spans="10:10" x14ac:dyDescent="0.3">
      <c r="J96890"/>
    </row>
    <row r="96891" spans="10:10" x14ac:dyDescent="0.3">
      <c r="J96891"/>
    </row>
    <row r="96892" spans="10:10" x14ac:dyDescent="0.3">
      <c r="J96892"/>
    </row>
    <row r="96893" spans="10:10" x14ac:dyDescent="0.3">
      <c r="J96893"/>
    </row>
    <row r="96894" spans="10:10" x14ac:dyDescent="0.3">
      <c r="J96894"/>
    </row>
    <row r="96895" spans="10:10" x14ac:dyDescent="0.3">
      <c r="J96895"/>
    </row>
    <row r="96896" spans="10:10" x14ac:dyDescent="0.3">
      <c r="J96896"/>
    </row>
    <row r="96897" spans="10:10" x14ac:dyDescent="0.3">
      <c r="J96897"/>
    </row>
    <row r="96898" spans="10:10" x14ac:dyDescent="0.3">
      <c r="J96898"/>
    </row>
    <row r="96899" spans="10:10" x14ac:dyDescent="0.3">
      <c r="J96899"/>
    </row>
    <row r="96900" spans="10:10" x14ac:dyDescent="0.3">
      <c r="J96900"/>
    </row>
    <row r="96901" spans="10:10" x14ac:dyDescent="0.3">
      <c r="J96901"/>
    </row>
    <row r="96902" spans="10:10" x14ac:dyDescent="0.3">
      <c r="J96902"/>
    </row>
    <row r="96903" spans="10:10" x14ac:dyDescent="0.3">
      <c r="J96903"/>
    </row>
    <row r="96904" spans="10:10" x14ac:dyDescent="0.3">
      <c r="J96904"/>
    </row>
    <row r="96905" spans="10:10" x14ac:dyDescent="0.3">
      <c r="J96905"/>
    </row>
    <row r="96906" spans="10:10" x14ac:dyDescent="0.3">
      <c r="J96906"/>
    </row>
    <row r="96907" spans="10:10" x14ac:dyDescent="0.3">
      <c r="J96907"/>
    </row>
    <row r="96908" spans="10:10" x14ac:dyDescent="0.3">
      <c r="J96908"/>
    </row>
    <row r="96909" spans="10:10" x14ac:dyDescent="0.3">
      <c r="J96909"/>
    </row>
    <row r="96910" spans="10:10" x14ac:dyDescent="0.3">
      <c r="J96910"/>
    </row>
    <row r="96911" spans="10:10" x14ac:dyDescent="0.3">
      <c r="J96911"/>
    </row>
    <row r="96912" spans="10:10" x14ac:dyDescent="0.3">
      <c r="J96912"/>
    </row>
    <row r="96913" spans="10:10" x14ac:dyDescent="0.3">
      <c r="J96913"/>
    </row>
    <row r="96914" spans="10:10" x14ac:dyDescent="0.3">
      <c r="J96914"/>
    </row>
    <row r="96915" spans="10:10" x14ac:dyDescent="0.3">
      <c r="J96915"/>
    </row>
    <row r="96916" spans="10:10" x14ac:dyDescent="0.3">
      <c r="J96916"/>
    </row>
    <row r="96917" spans="10:10" x14ac:dyDescent="0.3">
      <c r="J96917"/>
    </row>
    <row r="96918" spans="10:10" x14ac:dyDescent="0.3">
      <c r="J96918"/>
    </row>
    <row r="96919" spans="10:10" x14ac:dyDescent="0.3">
      <c r="J96919"/>
    </row>
    <row r="96920" spans="10:10" x14ac:dyDescent="0.3">
      <c r="J96920"/>
    </row>
    <row r="96921" spans="10:10" x14ac:dyDescent="0.3">
      <c r="J96921"/>
    </row>
    <row r="96922" spans="10:10" x14ac:dyDescent="0.3">
      <c r="J96922"/>
    </row>
    <row r="96923" spans="10:10" x14ac:dyDescent="0.3">
      <c r="J96923"/>
    </row>
    <row r="96924" spans="10:10" x14ac:dyDescent="0.3">
      <c r="J96924"/>
    </row>
    <row r="96925" spans="10:10" x14ac:dyDescent="0.3">
      <c r="J96925"/>
    </row>
    <row r="96926" spans="10:10" x14ac:dyDescent="0.3">
      <c r="J96926"/>
    </row>
    <row r="96927" spans="10:10" x14ac:dyDescent="0.3">
      <c r="J96927"/>
    </row>
    <row r="96928" spans="10:10" x14ac:dyDescent="0.3">
      <c r="J96928"/>
    </row>
    <row r="96929" spans="10:10" x14ac:dyDescent="0.3">
      <c r="J96929"/>
    </row>
    <row r="96930" spans="10:10" x14ac:dyDescent="0.3">
      <c r="J96930"/>
    </row>
    <row r="96931" spans="10:10" x14ac:dyDescent="0.3">
      <c r="J96931"/>
    </row>
    <row r="96932" spans="10:10" x14ac:dyDescent="0.3">
      <c r="J96932"/>
    </row>
    <row r="96933" spans="10:10" x14ac:dyDescent="0.3">
      <c r="J96933"/>
    </row>
    <row r="96934" spans="10:10" x14ac:dyDescent="0.3">
      <c r="J96934"/>
    </row>
    <row r="96935" spans="10:10" x14ac:dyDescent="0.3">
      <c r="J96935"/>
    </row>
    <row r="96936" spans="10:10" x14ac:dyDescent="0.3">
      <c r="J96936"/>
    </row>
    <row r="96937" spans="10:10" x14ac:dyDescent="0.3">
      <c r="J96937"/>
    </row>
    <row r="96938" spans="10:10" x14ac:dyDescent="0.3">
      <c r="J96938"/>
    </row>
    <row r="96939" spans="10:10" x14ac:dyDescent="0.3">
      <c r="J96939"/>
    </row>
    <row r="96940" spans="10:10" x14ac:dyDescent="0.3">
      <c r="J96940"/>
    </row>
    <row r="96941" spans="10:10" x14ac:dyDescent="0.3">
      <c r="J96941"/>
    </row>
    <row r="96942" spans="10:10" x14ac:dyDescent="0.3">
      <c r="J96942"/>
    </row>
    <row r="96943" spans="10:10" x14ac:dyDescent="0.3">
      <c r="J96943"/>
    </row>
    <row r="96944" spans="10:10" x14ac:dyDescent="0.3">
      <c r="J96944"/>
    </row>
    <row r="96945" spans="10:10" x14ac:dyDescent="0.3">
      <c r="J96945"/>
    </row>
    <row r="96946" spans="10:10" x14ac:dyDescent="0.3">
      <c r="J96946"/>
    </row>
    <row r="96947" spans="10:10" x14ac:dyDescent="0.3">
      <c r="J96947"/>
    </row>
    <row r="96948" spans="10:10" x14ac:dyDescent="0.3">
      <c r="J96948"/>
    </row>
    <row r="96949" spans="10:10" x14ac:dyDescent="0.3">
      <c r="J96949"/>
    </row>
    <row r="96950" spans="10:10" x14ac:dyDescent="0.3">
      <c r="J96950"/>
    </row>
    <row r="96951" spans="10:10" x14ac:dyDescent="0.3">
      <c r="J96951"/>
    </row>
    <row r="96952" spans="10:10" x14ac:dyDescent="0.3">
      <c r="J96952"/>
    </row>
    <row r="96953" spans="10:10" x14ac:dyDescent="0.3">
      <c r="J96953"/>
    </row>
    <row r="96954" spans="10:10" x14ac:dyDescent="0.3">
      <c r="J96954"/>
    </row>
    <row r="96955" spans="10:10" x14ac:dyDescent="0.3">
      <c r="J96955"/>
    </row>
    <row r="96956" spans="10:10" x14ac:dyDescent="0.3">
      <c r="J96956"/>
    </row>
    <row r="96957" spans="10:10" x14ac:dyDescent="0.3">
      <c r="J96957"/>
    </row>
    <row r="96958" spans="10:10" x14ac:dyDescent="0.3">
      <c r="J96958"/>
    </row>
    <row r="96959" spans="10:10" x14ac:dyDescent="0.3">
      <c r="J96959"/>
    </row>
    <row r="96960" spans="10:10" x14ac:dyDescent="0.3">
      <c r="J96960"/>
    </row>
    <row r="96961" spans="10:10" x14ac:dyDescent="0.3">
      <c r="J96961"/>
    </row>
    <row r="96962" spans="10:10" x14ac:dyDescent="0.3">
      <c r="J96962"/>
    </row>
    <row r="96963" spans="10:10" x14ac:dyDescent="0.3">
      <c r="J96963"/>
    </row>
    <row r="96964" spans="10:10" x14ac:dyDescent="0.3">
      <c r="J96964"/>
    </row>
    <row r="96965" spans="10:10" x14ac:dyDescent="0.3">
      <c r="J96965"/>
    </row>
    <row r="96966" spans="10:10" x14ac:dyDescent="0.3">
      <c r="J96966"/>
    </row>
    <row r="96967" spans="10:10" x14ac:dyDescent="0.3">
      <c r="J96967"/>
    </row>
    <row r="96968" spans="10:10" x14ac:dyDescent="0.3">
      <c r="J96968"/>
    </row>
    <row r="96969" spans="10:10" x14ac:dyDescent="0.3">
      <c r="J96969"/>
    </row>
    <row r="96970" spans="10:10" x14ac:dyDescent="0.3">
      <c r="J96970"/>
    </row>
    <row r="96971" spans="10:10" x14ac:dyDescent="0.3">
      <c r="J96971"/>
    </row>
    <row r="96972" spans="10:10" x14ac:dyDescent="0.3">
      <c r="J96972"/>
    </row>
    <row r="96973" spans="10:10" x14ac:dyDescent="0.3">
      <c r="J96973"/>
    </row>
    <row r="96974" spans="10:10" x14ac:dyDescent="0.3">
      <c r="J96974"/>
    </row>
    <row r="96975" spans="10:10" x14ac:dyDescent="0.3">
      <c r="J96975"/>
    </row>
    <row r="96976" spans="10:10" x14ac:dyDescent="0.3">
      <c r="J96976"/>
    </row>
    <row r="96977" spans="10:10" x14ac:dyDescent="0.3">
      <c r="J96977"/>
    </row>
    <row r="96978" spans="10:10" x14ac:dyDescent="0.3">
      <c r="J96978"/>
    </row>
    <row r="96979" spans="10:10" x14ac:dyDescent="0.3">
      <c r="J96979"/>
    </row>
    <row r="96980" spans="10:10" x14ac:dyDescent="0.3">
      <c r="J96980"/>
    </row>
    <row r="96981" spans="10:10" x14ac:dyDescent="0.3">
      <c r="J96981"/>
    </row>
    <row r="96982" spans="10:10" x14ac:dyDescent="0.3">
      <c r="J96982"/>
    </row>
    <row r="96983" spans="10:10" x14ac:dyDescent="0.3">
      <c r="J96983"/>
    </row>
    <row r="96984" spans="10:10" x14ac:dyDescent="0.3">
      <c r="J96984"/>
    </row>
    <row r="96985" spans="10:10" x14ac:dyDescent="0.3">
      <c r="J96985"/>
    </row>
    <row r="96986" spans="10:10" x14ac:dyDescent="0.3">
      <c r="J96986"/>
    </row>
    <row r="96987" spans="10:10" x14ac:dyDescent="0.3">
      <c r="J96987"/>
    </row>
    <row r="96988" spans="10:10" x14ac:dyDescent="0.3">
      <c r="J96988"/>
    </row>
    <row r="96989" spans="10:10" x14ac:dyDescent="0.3">
      <c r="J96989"/>
    </row>
    <row r="96990" spans="10:10" x14ac:dyDescent="0.3">
      <c r="J96990"/>
    </row>
    <row r="96991" spans="10:10" x14ac:dyDescent="0.3">
      <c r="J96991"/>
    </row>
    <row r="96992" spans="10:10" x14ac:dyDescent="0.3">
      <c r="J96992"/>
    </row>
    <row r="96993" spans="10:10" x14ac:dyDescent="0.3">
      <c r="J96993"/>
    </row>
    <row r="96994" spans="10:10" x14ac:dyDescent="0.3">
      <c r="J96994"/>
    </row>
    <row r="96995" spans="10:10" x14ac:dyDescent="0.3">
      <c r="J96995"/>
    </row>
    <row r="96996" spans="10:10" x14ac:dyDescent="0.3">
      <c r="J96996"/>
    </row>
    <row r="96997" spans="10:10" x14ac:dyDescent="0.3">
      <c r="J96997"/>
    </row>
    <row r="96998" spans="10:10" x14ac:dyDescent="0.3">
      <c r="J96998"/>
    </row>
    <row r="96999" spans="10:10" x14ac:dyDescent="0.3">
      <c r="J96999"/>
    </row>
    <row r="97000" spans="10:10" x14ac:dyDescent="0.3">
      <c r="J97000"/>
    </row>
    <row r="97001" spans="10:10" x14ac:dyDescent="0.3">
      <c r="J97001"/>
    </row>
    <row r="97002" spans="10:10" x14ac:dyDescent="0.3">
      <c r="J97002"/>
    </row>
    <row r="97003" spans="10:10" x14ac:dyDescent="0.3">
      <c r="J97003"/>
    </row>
    <row r="97004" spans="10:10" x14ac:dyDescent="0.3">
      <c r="J97004"/>
    </row>
    <row r="97005" spans="10:10" x14ac:dyDescent="0.3">
      <c r="J97005"/>
    </row>
    <row r="97006" spans="10:10" x14ac:dyDescent="0.3">
      <c r="J97006"/>
    </row>
    <row r="97007" spans="10:10" x14ac:dyDescent="0.3">
      <c r="J97007"/>
    </row>
    <row r="97008" spans="10:10" x14ac:dyDescent="0.3">
      <c r="J97008"/>
    </row>
    <row r="97009" spans="10:10" x14ac:dyDescent="0.3">
      <c r="J97009"/>
    </row>
    <row r="97010" spans="10:10" x14ac:dyDescent="0.3">
      <c r="J97010"/>
    </row>
    <row r="97011" spans="10:10" x14ac:dyDescent="0.3">
      <c r="J97011"/>
    </row>
    <row r="97012" spans="10:10" x14ac:dyDescent="0.3">
      <c r="J97012"/>
    </row>
    <row r="97013" spans="10:10" x14ac:dyDescent="0.3">
      <c r="J97013"/>
    </row>
    <row r="97014" spans="10:10" x14ac:dyDescent="0.3">
      <c r="J97014"/>
    </row>
    <row r="97015" spans="10:10" x14ac:dyDescent="0.3">
      <c r="J97015"/>
    </row>
    <row r="97016" spans="10:10" x14ac:dyDescent="0.3">
      <c r="J97016"/>
    </row>
    <row r="97017" spans="10:10" x14ac:dyDescent="0.3">
      <c r="J97017"/>
    </row>
    <row r="97018" spans="10:10" x14ac:dyDescent="0.3">
      <c r="J97018"/>
    </row>
    <row r="97019" spans="10:10" x14ac:dyDescent="0.3">
      <c r="J97019"/>
    </row>
    <row r="97020" spans="10:10" x14ac:dyDescent="0.3">
      <c r="J97020"/>
    </row>
    <row r="97021" spans="10:10" x14ac:dyDescent="0.3">
      <c r="J97021"/>
    </row>
    <row r="97022" spans="10:10" x14ac:dyDescent="0.3">
      <c r="J97022"/>
    </row>
    <row r="97023" spans="10:10" x14ac:dyDescent="0.3">
      <c r="J97023"/>
    </row>
    <row r="97024" spans="10:10" x14ac:dyDescent="0.3">
      <c r="J97024"/>
    </row>
    <row r="97025" spans="10:10" x14ac:dyDescent="0.3">
      <c r="J97025"/>
    </row>
    <row r="97026" spans="10:10" x14ac:dyDescent="0.3">
      <c r="J97026"/>
    </row>
    <row r="97027" spans="10:10" x14ac:dyDescent="0.3">
      <c r="J97027"/>
    </row>
    <row r="97028" spans="10:10" x14ac:dyDescent="0.3">
      <c r="J97028"/>
    </row>
    <row r="97029" spans="10:10" x14ac:dyDescent="0.3">
      <c r="J97029"/>
    </row>
    <row r="97030" spans="10:10" x14ac:dyDescent="0.3">
      <c r="J97030"/>
    </row>
    <row r="97031" spans="10:10" x14ac:dyDescent="0.3">
      <c r="J97031"/>
    </row>
    <row r="97032" spans="10:10" x14ac:dyDescent="0.3">
      <c r="J97032"/>
    </row>
    <row r="97033" spans="10:10" x14ac:dyDescent="0.3">
      <c r="J97033"/>
    </row>
    <row r="97034" spans="10:10" x14ac:dyDescent="0.3">
      <c r="J97034"/>
    </row>
    <row r="97035" spans="10:10" x14ac:dyDescent="0.3">
      <c r="J97035"/>
    </row>
    <row r="97036" spans="10:10" x14ac:dyDescent="0.3">
      <c r="J97036"/>
    </row>
    <row r="97037" spans="10:10" x14ac:dyDescent="0.3">
      <c r="J97037"/>
    </row>
    <row r="97038" spans="10:10" x14ac:dyDescent="0.3">
      <c r="J97038"/>
    </row>
    <row r="97039" spans="10:10" x14ac:dyDescent="0.3">
      <c r="J97039"/>
    </row>
    <row r="97040" spans="10:10" x14ac:dyDescent="0.3">
      <c r="J97040"/>
    </row>
    <row r="97041" spans="10:10" x14ac:dyDescent="0.3">
      <c r="J97041"/>
    </row>
    <row r="97042" spans="10:10" x14ac:dyDescent="0.3">
      <c r="J97042"/>
    </row>
    <row r="97043" spans="10:10" x14ac:dyDescent="0.3">
      <c r="J97043"/>
    </row>
    <row r="97044" spans="10:10" x14ac:dyDescent="0.3">
      <c r="J97044"/>
    </row>
    <row r="97045" spans="10:10" x14ac:dyDescent="0.3">
      <c r="J97045"/>
    </row>
    <row r="97046" spans="10:10" x14ac:dyDescent="0.3">
      <c r="J97046"/>
    </row>
    <row r="97047" spans="10:10" x14ac:dyDescent="0.3">
      <c r="J97047"/>
    </row>
    <row r="97048" spans="10:10" x14ac:dyDescent="0.3">
      <c r="J97048"/>
    </row>
    <row r="97049" spans="10:10" x14ac:dyDescent="0.3">
      <c r="J97049"/>
    </row>
    <row r="97050" spans="10:10" x14ac:dyDescent="0.3">
      <c r="J97050"/>
    </row>
    <row r="97051" spans="10:10" x14ac:dyDescent="0.3">
      <c r="J97051"/>
    </row>
    <row r="97052" spans="10:10" x14ac:dyDescent="0.3">
      <c r="J97052"/>
    </row>
    <row r="97053" spans="10:10" x14ac:dyDescent="0.3">
      <c r="J97053"/>
    </row>
    <row r="97054" spans="10:10" x14ac:dyDescent="0.3">
      <c r="J97054"/>
    </row>
    <row r="97055" spans="10:10" x14ac:dyDescent="0.3">
      <c r="J97055"/>
    </row>
    <row r="97056" spans="10:10" x14ac:dyDescent="0.3">
      <c r="J97056"/>
    </row>
    <row r="97057" spans="10:10" x14ac:dyDescent="0.3">
      <c r="J97057"/>
    </row>
    <row r="97058" spans="10:10" x14ac:dyDescent="0.3">
      <c r="J97058"/>
    </row>
    <row r="97059" spans="10:10" x14ac:dyDescent="0.3">
      <c r="J97059"/>
    </row>
    <row r="97060" spans="10:10" x14ac:dyDescent="0.3">
      <c r="J97060"/>
    </row>
    <row r="97061" spans="10:10" x14ac:dyDescent="0.3">
      <c r="J97061"/>
    </row>
    <row r="97062" spans="10:10" x14ac:dyDescent="0.3">
      <c r="J97062"/>
    </row>
    <row r="97063" spans="10:10" x14ac:dyDescent="0.3">
      <c r="J97063"/>
    </row>
    <row r="97064" spans="10:10" x14ac:dyDescent="0.3">
      <c r="J97064"/>
    </row>
    <row r="97065" spans="10:10" x14ac:dyDescent="0.3">
      <c r="J97065"/>
    </row>
    <row r="97066" spans="10:10" x14ac:dyDescent="0.3">
      <c r="J97066"/>
    </row>
    <row r="97067" spans="10:10" x14ac:dyDescent="0.3">
      <c r="J97067"/>
    </row>
    <row r="97068" spans="10:10" x14ac:dyDescent="0.3">
      <c r="J97068"/>
    </row>
    <row r="97069" spans="10:10" x14ac:dyDescent="0.3">
      <c r="J97069"/>
    </row>
    <row r="97070" spans="10:10" x14ac:dyDescent="0.3">
      <c r="J97070"/>
    </row>
    <row r="97071" spans="10:10" x14ac:dyDescent="0.3">
      <c r="J97071"/>
    </row>
    <row r="97072" spans="10:10" x14ac:dyDescent="0.3">
      <c r="J97072"/>
    </row>
    <row r="97073" spans="10:10" x14ac:dyDescent="0.3">
      <c r="J97073"/>
    </row>
    <row r="97074" spans="10:10" x14ac:dyDescent="0.3">
      <c r="J97074"/>
    </row>
    <row r="97075" spans="10:10" x14ac:dyDescent="0.3">
      <c r="J97075"/>
    </row>
    <row r="97076" spans="10:10" x14ac:dyDescent="0.3">
      <c r="J97076"/>
    </row>
    <row r="97077" spans="10:10" x14ac:dyDescent="0.3">
      <c r="J97077"/>
    </row>
    <row r="97078" spans="10:10" x14ac:dyDescent="0.3">
      <c r="J97078"/>
    </row>
    <row r="97079" spans="10:10" x14ac:dyDescent="0.3">
      <c r="J97079"/>
    </row>
    <row r="97080" spans="10:10" x14ac:dyDescent="0.3">
      <c r="J97080"/>
    </row>
    <row r="97081" spans="10:10" x14ac:dyDescent="0.3">
      <c r="J97081"/>
    </row>
    <row r="97082" spans="10:10" x14ac:dyDescent="0.3">
      <c r="J97082"/>
    </row>
    <row r="97083" spans="10:10" x14ac:dyDescent="0.3">
      <c r="J97083"/>
    </row>
    <row r="97084" spans="10:10" x14ac:dyDescent="0.3">
      <c r="J97084"/>
    </row>
    <row r="97085" spans="10:10" x14ac:dyDescent="0.3">
      <c r="J97085"/>
    </row>
    <row r="97086" spans="10:10" x14ac:dyDescent="0.3">
      <c r="J97086"/>
    </row>
    <row r="97087" spans="10:10" x14ac:dyDescent="0.3">
      <c r="J97087"/>
    </row>
    <row r="97088" spans="10:10" x14ac:dyDescent="0.3">
      <c r="J97088"/>
    </row>
    <row r="97089" spans="10:10" x14ac:dyDescent="0.3">
      <c r="J97089"/>
    </row>
    <row r="97090" spans="10:10" x14ac:dyDescent="0.3">
      <c r="J97090"/>
    </row>
    <row r="97091" spans="10:10" x14ac:dyDescent="0.3">
      <c r="J97091"/>
    </row>
    <row r="97092" spans="10:10" x14ac:dyDescent="0.3">
      <c r="J97092"/>
    </row>
    <row r="97093" spans="10:10" x14ac:dyDescent="0.3">
      <c r="J97093"/>
    </row>
    <row r="97094" spans="10:10" x14ac:dyDescent="0.3">
      <c r="J97094"/>
    </row>
    <row r="97095" spans="10:10" x14ac:dyDescent="0.3">
      <c r="J97095"/>
    </row>
    <row r="97096" spans="10:10" x14ac:dyDescent="0.3">
      <c r="J97096"/>
    </row>
    <row r="97097" spans="10:10" x14ac:dyDescent="0.3">
      <c r="J97097"/>
    </row>
    <row r="97098" spans="10:10" x14ac:dyDescent="0.3">
      <c r="J97098"/>
    </row>
    <row r="97099" spans="10:10" x14ac:dyDescent="0.3">
      <c r="J97099"/>
    </row>
    <row r="97100" spans="10:10" x14ac:dyDescent="0.3">
      <c r="J97100"/>
    </row>
    <row r="97101" spans="10:10" x14ac:dyDescent="0.3">
      <c r="J97101"/>
    </row>
    <row r="97102" spans="10:10" x14ac:dyDescent="0.3">
      <c r="J97102"/>
    </row>
    <row r="97103" spans="10:10" x14ac:dyDescent="0.3">
      <c r="J97103"/>
    </row>
    <row r="97104" spans="10:10" x14ac:dyDescent="0.3">
      <c r="J97104"/>
    </row>
    <row r="97105" spans="10:10" x14ac:dyDescent="0.3">
      <c r="J97105"/>
    </row>
    <row r="97106" spans="10:10" x14ac:dyDescent="0.3">
      <c r="J97106"/>
    </row>
    <row r="97107" spans="10:10" x14ac:dyDescent="0.3">
      <c r="J97107"/>
    </row>
    <row r="97108" spans="10:10" x14ac:dyDescent="0.3">
      <c r="J97108"/>
    </row>
    <row r="97109" spans="10:10" x14ac:dyDescent="0.3">
      <c r="J97109"/>
    </row>
    <row r="97110" spans="10:10" x14ac:dyDescent="0.3">
      <c r="J97110"/>
    </row>
    <row r="97111" spans="10:10" x14ac:dyDescent="0.3">
      <c r="J97111"/>
    </row>
    <row r="97112" spans="10:10" x14ac:dyDescent="0.3">
      <c r="J97112"/>
    </row>
    <row r="97113" spans="10:10" x14ac:dyDescent="0.3">
      <c r="J97113"/>
    </row>
    <row r="97114" spans="10:10" x14ac:dyDescent="0.3">
      <c r="J97114"/>
    </row>
    <row r="97115" spans="10:10" x14ac:dyDescent="0.3">
      <c r="J97115"/>
    </row>
    <row r="97116" spans="10:10" x14ac:dyDescent="0.3">
      <c r="J97116"/>
    </row>
    <row r="97117" spans="10:10" x14ac:dyDescent="0.3">
      <c r="J97117"/>
    </row>
    <row r="97118" spans="10:10" x14ac:dyDescent="0.3">
      <c r="J97118"/>
    </row>
    <row r="97119" spans="10:10" x14ac:dyDescent="0.3">
      <c r="J97119"/>
    </row>
    <row r="97120" spans="10:10" x14ac:dyDescent="0.3">
      <c r="J97120"/>
    </row>
    <row r="97121" spans="10:10" x14ac:dyDescent="0.3">
      <c r="J97121"/>
    </row>
    <row r="97122" spans="10:10" x14ac:dyDescent="0.3">
      <c r="J97122"/>
    </row>
    <row r="97123" spans="10:10" x14ac:dyDescent="0.3">
      <c r="J97123"/>
    </row>
    <row r="97124" spans="10:10" x14ac:dyDescent="0.3">
      <c r="J97124"/>
    </row>
    <row r="97125" spans="10:10" x14ac:dyDescent="0.3">
      <c r="J97125"/>
    </row>
    <row r="97126" spans="10:10" x14ac:dyDescent="0.3">
      <c r="J97126"/>
    </row>
    <row r="97127" spans="10:10" x14ac:dyDescent="0.3">
      <c r="J97127"/>
    </row>
    <row r="97128" spans="10:10" x14ac:dyDescent="0.3">
      <c r="J97128"/>
    </row>
    <row r="97129" spans="10:10" x14ac:dyDescent="0.3">
      <c r="J97129"/>
    </row>
    <row r="97130" spans="10:10" x14ac:dyDescent="0.3">
      <c r="J97130"/>
    </row>
    <row r="97131" spans="10:10" x14ac:dyDescent="0.3">
      <c r="J97131"/>
    </row>
    <row r="97132" spans="10:10" x14ac:dyDescent="0.3">
      <c r="J97132"/>
    </row>
    <row r="97133" spans="10:10" x14ac:dyDescent="0.3">
      <c r="J97133"/>
    </row>
    <row r="97134" spans="10:10" x14ac:dyDescent="0.3">
      <c r="J97134"/>
    </row>
    <row r="97135" spans="10:10" x14ac:dyDescent="0.3">
      <c r="J97135"/>
    </row>
    <row r="97136" spans="10:10" x14ac:dyDescent="0.3">
      <c r="J97136"/>
    </row>
    <row r="97137" spans="10:10" x14ac:dyDescent="0.3">
      <c r="J97137"/>
    </row>
    <row r="97138" spans="10:10" x14ac:dyDescent="0.3">
      <c r="J97138"/>
    </row>
    <row r="97139" spans="10:10" x14ac:dyDescent="0.3">
      <c r="J97139"/>
    </row>
    <row r="97140" spans="10:10" x14ac:dyDescent="0.3">
      <c r="J97140"/>
    </row>
    <row r="97141" spans="10:10" x14ac:dyDescent="0.3">
      <c r="J97141"/>
    </row>
    <row r="97142" spans="10:10" x14ac:dyDescent="0.3">
      <c r="J97142"/>
    </row>
    <row r="97143" spans="10:10" x14ac:dyDescent="0.3">
      <c r="J97143"/>
    </row>
    <row r="97144" spans="10:10" x14ac:dyDescent="0.3">
      <c r="J97144"/>
    </row>
    <row r="97145" spans="10:10" x14ac:dyDescent="0.3">
      <c r="J97145"/>
    </row>
    <row r="97146" spans="10:10" x14ac:dyDescent="0.3">
      <c r="J97146"/>
    </row>
    <row r="97147" spans="10:10" x14ac:dyDescent="0.3">
      <c r="J97147"/>
    </row>
    <row r="97148" spans="10:10" x14ac:dyDescent="0.3">
      <c r="J97148"/>
    </row>
    <row r="97149" spans="10:10" x14ac:dyDescent="0.3">
      <c r="J97149"/>
    </row>
    <row r="97150" spans="10:10" x14ac:dyDescent="0.3">
      <c r="J97150"/>
    </row>
    <row r="97151" spans="10:10" x14ac:dyDescent="0.3">
      <c r="J97151"/>
    </row>
    <row r="97152" spans="10:10" x14ac:dyDescent="0.3">
      <c r="J97152"/>
    </row>
    <row r="97153" spans="10:10" x14ac:dyDescent="0.3">
      <c r="J97153"/>
    </row>
    <row r="97154" spans="10:10" x14ac:dyDescent="0.3">
      <c r="J97154"/>
    </row>
    <row r="97155" spans="10:10" x14ac:dyDescent="0.3">
      <c r="J97155"/>
    </row>
    <row r="97156" spans="10:10" x14ac:dyDescent="0.3">
      <c r="J97156"/>
    </row>
    <row r="97157" spans="10:10" x14ac:dyDescent="0.3">
      <c r="J97157"/>
    </row>
    <row r="97158" spans="10:10" x14ac:dyDescent="0.3">
      <c r="J97158"/>
    </row>
    <row r="97159" spans="10:10" x14ac:dyDescent="0.3">
      <c r="J97159"/>
    </row>
    <row r="97160" spans="10:10" x14ac:dyDescent="0.3">
      <c r="J97160"/>
    </row>
    <row r="97161" spans="10:10" x14ac:dyDescent="0.3">
      <c r="J97161"/>
    </row>
    <row r="97162" spans="10:10" x14ac:dyDescent="0.3">
      <c r="J97162"/>
    </row>
    <row r="97163" spans="10:10" x14ac:dyDescent="0.3">
      <c r="J97163"/>
    </row>
    <row r="97164" spans="10:10" x14ac:dyDescent="0.3">
      <c r="J97164"/>
    </row>
    <row r="97165" spans="10:10" x14ac:dyDescent="0.3">
      <c r="J97165"/>
    </row>
    <row r="97166" spans="10:10" x14ac:dyDescent="0.3">
      <c r="J97166"/>
    </row>
    <row r="97167" spans="10:10" x14ac:dyDescent="0.3">
      <c r="J97167"/>
    </row>
    <row r="97168" spans="10:10" x14ac:dyDescent="0.3">
      <c r="J97168"/>
    </row>
    <row r="97169" spans="10:10" x14ac:dyDescent="0.3">
      <c r="J97169"/>
    </row>
    <row r="97170" spans="10:10" x14ac:dyDescent="0.3">
      <c r="J97170"/>
    </row>
    <row r="97171" spans="10:10" x14ac:dyDescent="0.3">
      <c r="J97171"/>
    </row>
    <row r="97172" spans="10:10" x14ac:dyDescent="0.3">
      <c r="J97172"/>
    </row>
    <row r="97173" spans="10:10" x14ac:dyDescent="0.3">
      <c r="J97173"/>
    </row>
    <row r="97174" spans="10:10" x14ac:dyDescent="0.3">
      <c r="J97174"/>
    </row>
    <row r="97175" spans="10:10" x14ac:dyDescent="0.3">
      <c r="J97175"/>
    </row>
    <row r="97176" spans="10:10" x14ac:dyDescent="0.3">
      <c r="J97176"/>
    </row>
    <row r="97177" spans="10:10" x14ac:dyDescent="0.3">
      <c r="J97177"/>
    </row>
    <row r="97178" spans="10:10" x14ac:dyDescent="0.3">
      <c r="J97178"/>
    </row>
    <row r="97179" spans="10:10" x14ac:dyDescent="0.3">
      <c r="J97179"/>
    </row>
    <row r="97180" spans="10:10" x14ac:dyDescent="0.3">
      <c r="J97180"/>
    </row>
    <row r="97181" spans="10:10" x14ac:dyDescent="0.3">
      <c r="J97181"/>
    </row>
    <row r="97182" spans="10:10" x14ac:dyDescent="0.3">
      <c r="J97182"/>
    </row>
    <row r="97183" spans="10:10" x14ac:dyDescent="0.3">
      <c r="J97183"/>
    </row>
    <row r="97184" spans="10:10" x14ac:dyDescent="0.3">
      <c r="J97184"/>
    </row>
    <row r="97185" spans="10:10" x14ac:dyDescent="0.3">
      <c r="J97185"/>
    </row>
    <row r="97186" spans="10:10" x14ac:dyDescent="0.3">
      <c r="J97186"/>
    </row>
    <row r="97187" spans="10:10" x14ac:dyDescent="0.3">
      <c r="J97187"/>
    </row>
    <row r="97188" spans="10:10" x14ac:dyDescent="0.3">
      <c r="J97188"/>
    </row>
    <row r="97189" spans="10:10" x14ac:dyDescent="0.3">
      <c r="J97189"/>
    </row>
    <row r="97190" spans="10:10" x14ac:dyDescent="0.3">
      <c r="J97190"/>
    </row>
    <row r="97191" spans="10:10" x14ac:dyDescent="0.3">
      <c r="J97191"/>
    </row>
    <row r="97192" spans="10:10" x14ac:dyDescent="0.3">
      <c r="J97192"/>
    </row>
    <row r="97193" spans="10:10" x14ac:dyDescent="0.3">
      <c r="J97193"/>
    </row>
    <row r="97194" spans="10:10" x14ac:dyDescent="0.3">
      <c r="J97194"/>
    </row>
    <row r="97195" spans="10:10" x14ac:dyDescent="0.3">
      <c r="J97195"/>
    </row>
    <row r="97196" spans="10:10" x14ac:dyDescent="0.3">
      <c r="J97196"/>
    </row>
    <row r="97197" spans="10:10" x14ac:dyDescent="0.3">
      <c r="J97197"/>
    </row>
    <row r="97198" spans="10:10" x14ac:dyDescent="0.3">
      <c r="J97198"/>
    </row>
    <row r="97199" spans="10:10" x14ac:dyDescent="0.3">
      <c r="J97199"/>
    </row>
    <row r="97200" spans="10:10" x14ac:dyDescent="0.3">
      <c r="J97200"/>
    </row>
    <row r="97201" spans="10:10" x14ac:dyDescent="0.3">
      <c r="J97201"/>
    </row>
    <row r="97202" spans="10:10" x14ac:dyDescent="0.3">
      <c r="J97202"/>
    </row>
    <row r="97203" spans="10:10" x14ac:dyDescent="0.3">
      <c r="J97203"/>
    </row>
    <row r="97204" spans="10:10" x14ac:dyDescent="0.3">
      <c r="J97204"/>
    </row>
    <row r="97205" spans="10:10" x14ac:dyDescent="0.3">
      <c r="J97205"/>
    </row>
    <row r="97206" spans="10:10" x14ac:dyDescent="0.3">
      <c r="J97206"/>
    </row>
    <row r="97207" spans="10:10" x14ac:dyDescent="0.3">
      <c r="J97207"/>
    </row>
    <row r="97208" spans="10:10" x14ac:dyDescent="0.3">
      <c r="J97208"/>
    </row>
    <row r="97209" spans="10:10" x14ac:dyDescent="0.3">
      <c r="J97209"/>
    </row>
    <row r="97210" spans="10:10" x14ac:dyDescent="0.3">
      <c r="J97210"/>
    </row>
    <row r="97211" spans="10:10" x14ac:dyDescent="0.3">
      <c r="J97211"/>
    </row>
    <row r="97212" spans="10:10" x14ac:dyDescent="0.3">
      <c r="J97212"/>
    </row>
    <row r="97213" spans="10:10" x14ac:dyDescent="0.3">
      <c r="J97213"/>
    </row>
    <row r="97214" spans="10:10" x14ac:dyDescent="0.3">
      <c r="J97214"/>
    </row>
    <row r="97215" spans="10:10" x14ac:dyDescent="0.3">
      <c r="J97215"/>
    </row>
    <row r="97216" spans="10:10" x14ac:dyDescent="0.3">
      <c r="J97216"/>
    </row>
    <row r="97217" spans="10:10" x14ac:dyDescent="0.3">
      <c r="J97217"/>
    </row>
    <row r="97218" spans="10:10" x14ac:dyDescent="0.3">
      <c r="J97218"/>
    </row>
    <row r="97219" spans="10:10" x14ac:dyDescent="0.3">
      <c r="J97219"/>
    </row>
    <row r="97220" spans="10:10" x14ac:dyDescent="0.3">
      <c r="J97220"/>
    </row>
    <row r="97221" spans="10:10" x14ac:dyDescent="0.3">
      <c r="J97221"/>
    </row>
    <row r="97222" spans="10:10" x14ac:dyDescent="0.3">
      <c r="J97222"/>
    </row>
    <row r="97223" spans="10:10" x14ac:dyDescent="0.3">
      <c r="J97223"/>
    </row>
    <row r="97224" spans="10:10" x14ac:dyDescent="0.3">
      <c r="J97224"/>
    </row>
    <row r="97225" spans="10:10" x14ac:dyDescent="0.3">
      <c r="J97225"/>
    </row>
    <row r="97226" spans="10:10" x14ac:dyDescent="0.3">
      <c r="J97226"/>
    </row>
    <row r="97227" spans="10:10" x14ac:dyDescent="0.3">
      <c r="J97227"/>
    </row>
    <row r="97228" spans="10:10" x14ac:dyDescent="0.3">
      <c r="J97228"/>
    </row>
    <row r="97229" spans="10:10" x14ac:dyDescent="0.3">
      <c r="J97229"/>
    </row>
    <row r="97230" spans="10:10" x14ac:dyDescent="0.3">
      <c r="J97230"/>
    </row>
    <row r="97231" spans="10:10" x14ac:dyDescent="0.3">
      <c r="J97231"/>
    </row>
    <row r="97232" spans="10:10" x14ac:dyDescent="0.3">
      <c r="J97232"/>
    </row>
    <row r="97233" spans="10:10" x14ac:dyDescent="0.3">
      <c r="J97233"/>
    </row>
    <row r="97234" spans="10:10" x14ac:dyDescent="0.3">
      <c r="J97234"/>
    </row>
    <row r="97235" spans="10:10" x14ac:dyDescent="0.3">
      <c r="J97235"/>
    </row>
    <row r="97236" spans="10:10" x14ac:dyDescent="0.3">
      <c r="J97236"/>
    </row>
    <row r="97237" spans="10:10" x14ac:dyDescent="0.3">
      <c r="J97237"/>
    </row>
    <row r="97238" spans="10:10" x14ac:dyDescent="0.3">
      <c r="J97238"/>
    </row>
    <row r="97239" spans="10:10" x14ac:dyDescent="0.3">
      <c r="J97239"/>
    </row>
    <row r="97240" spans="10:10" x14ac:dyDescent="0.3">
      <c r="J97240"/>
    </row>
    <row r="97241" spans="10:10" x14ac:dyDescent="0.3">
      <c r="J97241"/>
    </row>
    <row r="97242" spans="10:10" x14ac:dyDescent="0.3">
      <c r="J97242"/>
    </row>
    <row r="97243" spans="10:10" x14ac:dyDescent="0.3">
      <c r="J97243"/>
    </row>
    <row r="97244" spans="10:10" x14ac:dyDescent="0.3">
      <c r="J97244"/>
    </row>
    <row r="97245" spans="10:10" x14ac:dyDescent="0.3">
      <c r="J97245"/>
    </row>
    <row r="97246" spans="10:10" x14ac:dyDescent="0.3">
      <c r="J97246"/>
    </row>
    <row r="97247" spans="10:10" x14ac:dyDescent="0.3">
      <c r="J97247"/>
    </row>
    <row r="97248" spans="10:10" x14ac:dyDescent="0.3">
      <c r="J97248"/>
    </row>
    <row r="97249" spans="10:10" x14ac:dyDescent="0.3">
      <c r="J97249"/>
    </row>
    <row r="97250" spans="10:10" x14ac:dyDescent="0.3">
      <c r="J97250"/>
    </row>
    <row r="97251" spans="10:10" x14ac:dyDescent="0.3">
      <c r="J97251"/>
    </row>
    <row r="97252" spans="10:10" x14ac:dyDescent="0.3">
      <c r="J97252"/>
    </row>
    <row r="97253" spans="10:10" x14ac:dyDescent="0.3">
      <c r="J97253"/>
    </row>
    <row r="97254" spans="10:10" x14ac:dyDescent="0.3">
      <c r="J97254"/>
    </row>
    <row r="97255" spans="10:10" x14ac:dyDescent="0.3">
      <c r="J97255"/>
    </row>
    <row r="97256" spans="10:10" x14ac:dyDescent="0.3">
      <c r="J97256"/>
    </row>
    <row r="97257" spans="10:10" x14ac:dyDescent="0.3">
      <c r="J97257"/>
    </row>
    <row r="97258" spans="10:10" x14ac:dyDescent="0.3">
      <c r="J97258"/>
    </row>
    <row r="97259" spans="10:10" x14ac:dyDescent="0.3">
      <c r="J97259"/>
    </row>
    <row r="97260" spans="10:10" x14ac:dyDescent="0.3">
      <c r="J97260"/>
    </row>
    <row r="97261" spans="10:10" x14ac:dyDescent="0.3">
      <c r="J97261"/>
    </row>
    <row r="97262" spans="10:10" x14ac:dyDescent="0.3">
      <c r="J97262"/>
    </row>
    <row r="97263" spans="10:10" x14ac:dyDescent="0.3">
      <c r="J97263"/>
    </row>
    <row r="97264" spans="10:10" x14ac:dyDescent="0.3">
      <c r="J97264"/>
    </row>
    <row r="97265" spans="10:10" x14ac:dyDescent="0.3">
      <c r="J97265"/>
    </row>
    <row r="97266" spans="10:10" x14ac:dyDescent="0.3">
      <c r="J97266"/>
    </row>
    <row r="97267" spans="10:10" x14ac:dyDescent="0.3">
      <c r="J97267"/>
    </row>
    <row r="97268" spans="10:10" x14ac:dyDescent="0.3">
      <c r="J97268"/>
    </row>
    <row r="97269" spans="10:10" x14ac:dyDescent="0.3">
      <c r="J97269"/>
    </row>
    <row r="97270" spans="10:10" x14ac:dyDescent="0.3">
      <c r="J97270"/>
    </row>
    <row r="97271" spans="10:10" x14ac:dyDescent="0.3">
      <c r="J97271"/>
    </row>
    <row r="97272" spans="10:10" x14ac:dyDescent="0.3">
      <c r="J97272"/>
    </row>
    <row r="97273" spans="10:10" x14ac:dyDescent="0.3">
      <c r="J97273"/>
    </row>
    <row r="97274" spans="10:10" x14ac:dyDescent="0.3">
      <c r="J97274"/>
    </row>
    <row r="97275" spans="10:10" x14ac:dyDescent="0.3">
      <c r="J97275"/>
    </row>
    <row r="97276" spans="10:10" x14ac:dyDescent="0.3">
      <c r="J97276"/>
    </row>
    <row r="97277" spans="10:10" x14ac:dyDescent="0.3">
      <c r="J97277"/>
    </row>
    <row r="97278" spans="10:10" x14ac:dyDescent="0.3">
      <c r="J97278"/>
    </row>
    <row r="97279" spans="10:10" x14ac:dyDescent="0.3">
      <c r="J97279"/>
    </row>
    <row r="97280" spans="10:10" x14ac:dyDescent="0.3">
      <c r="J97280"/>
    </row>
    <row r="97281" spans="10:10" x14ac:dyDescent="0.3">
      <c r="J97281"/>
    </row>
    <row r="97282" spans="10:10" x14ac:dyDescent="0.3">
      <c r="J97282"/>
    </row>
    <row r="97283" spans="10:10" x14ac:dyDescent="0.3">
      <c r="J97283"/>
    </row>
    <row r="97284" spans="10:10" x14ac:dyDescent="0.3">
      <c r="J97284"/>
    </row>
    <row r="97285" spans="10:10" x14ac:dyDescent="0.3">
      <c r="J97285"/>
    </row>
    <row r="97286" spans="10:10" x14ac:dyDescent="0.3">
      <c r="J97286"/>
    </row>
    <row r="97287" spans="10:10" x14ac:dyDescent="0.3">
      <c r="J97287"/>
    </row>
    <row r="97288" spans="10:10" x14ac:dyDescent="0.3">
      <c r="J97288"/>
    </row>
    <row r="97289" spans="10:10" x14ac:dyDescent="0.3">
      <c r="J97289"/>
    </row>
    <row r="97290" spans="10:10" x14ac:dyDescent="0.3">
      <c r="J97290"/>
    </row>
    <row r="97291" spans="10:10" x14ac:dyDescent="0.3">
      <c r="J97291"/>
    </row>
    <row r="97292" spans="10:10" x14ac:dyDescent="0.3">
      <c r="J97292"/>
    </row>
    <row r="97293" spans="10:10" x14ac:dyDescent="0.3">
      <c r="J97293"/>
    </row>
    <row r="97294" spans="10:10" x14ac:dyDescent="0.3">
      <c r="J97294"/>
    </row>
    <row r="97295" spans="10:10" x14ac:dyDescent="0.3">
      <c r="J97295"/>
    </row>
    <row r="97296" spans="10:10" x14ac:dyDescent="0.3">
      <c r="J97296"/>
    </row>
    <row r="97297" spans="10:10" x14ac:dyDescent="0.3">
      <c r="J97297"/>
    </row>
    <row r="97298" spans="10:10" x14ac:dyDescent="0.3">
      <c r="J97298"/>
    </row>
    <row r="97299" spans="10:10" x14ac:dyDescent="0.3">
      <c r="J97299"/>
    </row>
    <row r="97300" spans="10:10" x14ac:dyDescent="0.3">
      <c r="J97300"/>
    </row>
    <row r="97301" spans="10:10" x14ac:dyDescent="0.3">
      <c r="J97301"/>
    </row>
    <row r="97302" spans="10:10" x14ac:dyDescent="0.3">
      <c r="J97302"/>
    </row>
    <row r="97303" spans="10:10" x14ac:dyDescent="0.3">
      <c r="J97303"/>
    </row>
    <row r="97304" spans="10:10" x14ac:dyDescent="0.3">
      <c r="J97304"/>
    </row>
    <row r="97305" spans="10:10" x14ac:dyDescent="0.3">
      <c r="J97305"/>
    </row>
    <row r="97306" spans="10:10" x14ac:dyDescent="0.3">
      <c r="J97306"/>
    </row>
    <row r="97307" spans="10:10" x14ac:dyDescent="0.3">
      <c r="J97307"/>
    </row>
    <row r="97308" spans="10:10" x14ac:dyDescent="0.3">
      <c r="J97308"/>
    </row>
    <row r="97309" spans="10:10" x14ac:dyDescent="0.3">
      <c r="J97309"/>
    </row>
    <row r="97310" spans="10:10" x14ac:dyDescent="0.3">
      <c r="J97310"/>
    </row>
    <row r="97311" spans="10:10" x14ac:dyDescent="0.3">
      <c r="J97311"/>
    </row>
    <row r="97312" spans="10:10" x14ac:dyDescent="0.3">
      <c r="J97312"/>
    </row>
    <row r="97313" spans="10:10" x14ac:dyDescent="0.3">
      <c r="J97313"/>
    </row>
    <row r="97314" spans="10:10" x14ac:dyDescent="0.3">
      <c r="J97314"/>
    </row>
    <row r="97315" spans="10:10" x14ac:dyDescent="0.3">
      <c r="J97315"/>
    </row>
    <row r="97316" spans="10:10" x14ac:dyDescent="0.3">
      <c r="J97316"/>
    </row>
    <row r="97317" spans="10:10" x14ac:dyDescent="0.3">
      <c r="J97317"/>
    </row>
    <row r="97318" spans="10:10" x14ac:dyDescent="0.3">
      <c r="J97318"/>
    </row>
    <row r="97319" spans="10:10" x14ac:dyDescent="0.3">
      <c r="J97319"/>
    </row>
    <row r="97320" spans="10:10" x14ac:dyDescent="0.3">
      <c r="J97320"/>
    </row>
    <row r="97321" spans="10:10" x14ac:dyDescent="0.3">
      <c r="J97321"/>
    </row>
    <row r="97322" spans="10:10" x14ac:dyDescent="0.3">
      <c r="J97322"/>
    </row>
    <row r="97323" spans="10:10" x14ac:dyDescent="0.3">
      <c r="J97323"/>
    </row>
    <row r="97324" spans="10:10" x14ac:dyDescent="0.3">
      <c r="J97324"/>
    </row>
    <row r="97325" spans="10:10" x14ac:dyDescent="0.3">
      <c r="J97325"/>
    </row>
    <row r="97326" spans="10:10" x14ac:dyDescent="0.3">
      <c r="J97326"/>
    </row>
    <row r="97327" spans="10:10" x14ac:dyDescent="0.3">
      <c r="J97327"/>
    </row>
    <row r="97328" spans="10:10" x14ac:dyDescent="0.3">
      <c r="J97328"/>
    </row>
    <row r="97329" spans="10:10" x14ac:dyDescent="0.3">
      <c r="J97329"/>
    </row>
    <row r="97330" spans="10:10" x14ac:dyDescent="0.3">
      <c r="J97330"/>
    </row>
    <row r="97331" spans="10:10" x14ac:dyDescent="0.3">
      <c r="J97331"/>
    </row>
    <row r="97332" spans="10:10" x14ac:dyDescent="0.3">
      <c r="J97332"/>
    </row>
    <row r="97333" spans="10:10" x14ac:dyDescent="0.3">
      <c r="J97333"/>
    </row>
    <row r="97334" spans="10:10" x14ac:dyDescent="0.3">
      <c r="J97334"/>
    </row>
    <row r="97335" spans="10:10" x14ac:dyDescent="0.3">
      <c r="J97335"/>
    </row>
    <row r="97336" spans="10:10" x14ac:dyDescent="0.3">
      <c r="J97336"/>
    </row>
    <row r="97337" spans="10:10" x14ac:dyDescent="0.3">
      <c r="J97337"/>
    </row>
    <row r="97338" spans="10:10" x14ac:dyDescent="0.3">
      <c r="J97338"/>
    </row>
    <row r="97339" spans="10:10" x14ac:dyDescent="0.3">
      <c r="J97339"/>
    </row>
    <row r="97340" spans="10:10" x14ac:dyDescent="0.3">
      <c r="J97340"/>
    </row>
    <row r="97341" spans="10:10" x14ac:dyDescent="0.3">
      <c r="J97341"/>
    </row>
    <row r="97342" spans="10:10" x14ac:dyDescent="0.3">
      <c r="J97342"/>
    </row>
    <row r="97343" spans="10:10" x14ac:dyDescent="0.3">
      <c r="J97343"/>
    </row>
    <row r="97344" spans="10:10" x14ac:dyDescent="0.3">
      <c r="J97344"/>
    </row>
    <row r="97345" spans="10:10" x14ac:dyDescent="0.3">
      <c r="J97345"/>
    </row>
    <row r="97346" spans="10:10" x14ac:dyDescent="0.3">
      <c r="J97346"/>
    </row>
    <row r="97347" spans="10:10" x14ac:dyDescent="0.3">
      <c r="J97347"/>
    </row>
    <row r="97348" spans="10:10" x14ac:dyDescent="0.3">
      <c r="J97348"/>
    </row>
    <row r="97349" spans="10:10" x14ac:dyDescent="0.3">
      <c r="J97349"/>
    </row>
    <row r="97350" spans="10:10" x14ac:dyDescent="0.3">
      <c r="J97350"/>
    </row>
    <row r="97351" spans="10:10" x14ac:dyDescent="0.3">
      <c r="J97351"/>
    </row>
    <row r="97352" spans="10:10" x14ac:dyDescent="0.3">
      <c r="J97352"/>
    </row>
    <row r="97353" spans="10:10" x14ac:dyDescent="0.3">
      <c r="J97353"/>
    </row>
    <row r="97354" spans="10:10" x14ac:dyDescent="0.3">
      <c r="J97354"/>
    </row>
    <row r="97355" spans="10:10" x14ac:dyDescent="0.3">
      <c r="J97355"/>
    </row>
    <row r="97356" spans="10:10" x14ac:dyDescent="0.3">
      <c r="J97356"/>
    </row>
    <row r="97357" spans="10:10" x14ac:dyDescent="0.3">
      <c r="J97357"/>
    </row>
    <row r="97358" spans="10:10" x14ac:dyDescent="0.3">
      <c r="J97358"/>
    </row>
    <row r="97359" spans="10:10" x14ac:dyDescent="0.3">
      <c r="J97359"/>
    </row>
    <row r="97360" spans="10:10" x14ac:dyDescent="0.3">
      <c r="J97360"/>
    </row>
    <row r="97361" spans="10:10" x14ac:dyDescent="0.3">
      <c r="J97361"/>
    </row>
    <row r="97362" spans="10:10" x14ac:dyDescent="0.3">
      <c r="J97362"/>
    </row>
    <row r="97363" spans="10:10" x14ac:dyDescent="0.3">
      <c r="J97363"/>
    </row>
    <row r="97364" spans="10:10" x14ac:dyDescent="0.3">
      <c r="J97364"/>
    </row>
    <row r="97365" spans="10:10" x14ac:dyDescent="0.3">
      <c r="J97365"/>
    </row>
    <row r="97366" spans="10:10" x14ac:dyDescent="0.3">
      <c r="J97366"/>
    </row>
    <row r="97367" spans="10:10" x14ac:dyDescent="0.3">
      <c r="J97367"/>
    </row>
    <row r="97368" spans="10:10" x14ac:dyDescent="0.3">
      <c r="J97368"/>
    </row>
    <row r="97369" spans="10:10" x14ac:dyDescent="0.3">
      <c r="J97369"/>
    </row>
    <row r="97370" spans="10:10" x14ac:dyDescent="0.3">
      <c r="J97370"/>
    </row>
    <row r="97371" spans="10:10" x14ac:dyDescent="0.3">
      <c r="J97371"/>
    </row>
    <row r="97372" spans="10:10" x14ac:dyDescent="0.3">
      <c r="J97372"/>
    </row>
    <row r="97373" spans="10:10" x14ac:dyDescent="0.3">
      <c r="J97373"/>
    </row>
    <row r="97374" spans="10:10" x14ac:dyDescent="0.3">
      <c r="J97374"/>
    </row>
    <row r="97375" spans="10:10" x14ac:dyDescent="0.3">
      <c r="J97375"/>
    </row>
    <row r="97376" spans="10:10" x14ac:dyDescent="0.3">
      <c r="J97376"/>
    </row>
    <row r="97377" spans="10:10" x14ac:dyDescent="0.3">
      <c r="J97377"/>
    </row>
    <row r="97378" spans="10:10" x14ac:dyDescent="0.3">
      <c r="J97378"/>
    </row>
    <row r="97379" spans="10:10" x14ac:dyDescent="0.3">
      <c r="J97379"/>
    </row>
    <row r="97380" spans="10:10" x14ac:dyDescent="0.3">
      <c r="J97380"/>
    </row>
    <row r="97381" spans="10:10" x14ac:dyDescent="0.3">
      <c r="J97381"/>
    </row>
    <row r="97382" spans="10:10" x14ac:dyDescent="0.3">
      <c r="J97382"/>
    </row>
    <row r="97383" spans="10:10" x14ac:dyDescent="0.3">
      <c r="J97383"/>
    </row>
    <row r="97384" spans="10:10" x14ac:dyDescent="0.3">
      <c r="J97384"/>
    </row>
    <row r="97385" spans="10:10" x14ac:dyDescent="0.3">
      <c r="J97385"/>
    </row>
    <row r="97386" spans="10:10" x14ac:dyDescent="0.3">
      <c r="J97386"/>
    </row>
    <row r="97387" spans="10:10" x14ac:dyDescent="0.3">
      <c r="J97387"/>
    </row>
    <row r="97388" spans="10:10" x14ac:dyDescent="0.3">
      <c r="J97388"/>
    </row>
    <row r="97389" spans="10:10" x14ac:dyDescent="0.3">
      <c r="J97389"/>
    </row>
    <row r="97390" spans="10:10" x14ac:dyDescent="0.3">
      <c r="J97390"/>
    </row>
    <row r="97391" spans="10:10" x14ac:dyDescent="0.3">
      <c r="J97391"/>
    </row>
    <row r="97392" spans="10:10" x14ac:dyDescent="0.3">
      <c r="J97392"/>
    </row>
    <row r="97393" spans="10:10" x14ac:dyDescent="0.3">
      <c r="J97393"/>
    </row>
    <row r="97394" spans="10:10" x14ac:dyDescent="0.3">
      <c r="J97394"/>
    </row>
    <row r="97395" spans="10:10" x14ac:dyDescent="0.3">
      <c r="J97395"/>
    </row>
    <row r="97396" spans="10:10" x14ac:dyDescent="0.3">
      <c r="J97396"/>
    </row>
    <row r="97397" spans="10:10" x14ac:dyDescent="0.3">
      <c r="J97397"/>
    </row>
    <row r="97398" spans="10:10" x14ac:dyDescent="0.3">
      <c r="J97398"/>
    </row>
    <row r="97399" spans="10:10" x14ac:dyDescent="0.3">
      <c r="J97399"/>
    </row>
    <row r="97400" spans="10:10" x14ac:dyDescent="0.3">
      <c r="J97400"/>
    </row>
    <row r="97401" spans="10:10" x14ac:dyDescent="0.3">
      <c r="J97401"/>
    </row>
    <row r="97402" spans="10:10" x14ac:dyDescent="0.3">
      <c r="J97402"/>
    </row>
    <row r="97403" spans="10:10" x14ac:dyDescent="0.3">
      <c r="J97403"/>
    </row>
    <row r="97404" spans="10:10" x14ac:dyDescent="0.3">
      <c r="J97404"/>
    </row>
    <row r="97405" spans="10:10" x14ac:dyDescent="0.3">
      <c r="J97405"/>
    </row>
    <row r="97406" spans="10:10" x14ac:dyDescent="0.3">
      <c r="J97406"/>
    </row>
    <row r="97407" spans="10:10" x14ac:dyDescent="0.3">
      <c r="J97407"/>
    </row>
    <row r="97408" spans="10:10" x14ac:dyDescent="0.3">
      <c r="J97408"/>
    </row>
    <row r="97409" spans="10:10" x14ac:dyDescent="0.3">
      <c r="J97409"/>
    </row>
    <row r="97410" spans="10:10" x14ac:dyDescent="0.3">
      <c r="J97410"/>
    </row>
    <row r="97411" spans="10:10" x14ac:dyDescent="0.3">
      <c r="J97411"/>
    </row>
    <row r="97412" spans="10:10" x14ac:dyDescent="0.3">
      <c r="J97412"/>
    </row>
    <row r="97413" spans="10:10" x14ac:dyDescent="0.3">
      <c r="J97413"/>
    </row>
    <row r="97414" spans="10:10" x14ac:dyDescent="0.3">
      <c r="J97414"/>
    </row>
    <row r="97415" spans="10:10" x14ac:dyDescent="0.3">
      <c r="J97415"/>
    </row>
    <row r="97416" spans="10:10" x14ac:dyDescent="0.3">
      <c r="J97416"/>
    </row>
    <row r="97417" spans="10:10" x14ac:dyDescent="0.3">
      <c r="J97417"/>
    </row>
    <row r="97418" spans="10:10" x14ac:dyDescent="0.3">
      <c r="J97418"/>
    </row>
    <row r="97419" spans="10:10" x14ac:dyDescent="0.3">
      <c r="J97419"/>
    </row>
    <row r="97420" spans="10:10" x14ac:dyDescent="0.3">
      <c r="J97420"/>
    </row>
    <row r="97421" spans="10:10" x14ac:dyDescent="0.3">
      <c r="J97421"/>
    </row>
    <row r="97422" spans="10:10" x14ac:dyDescent="0.3">
      <c r="J97422"/>
    </row>
    <row r="97423" spans="10:10" x14ac:dyDescent="0.3">
      <c r="J97423"/>
    </row>
    <row r="97424" spans="10:10" x14ac:dyDescent="0.3">
      <c r="J97424"/>
    </row>
    <row r="97425" spans="10:10" x14ac:dyDescent="0.3">
      <c r="J97425"/>
    </row>
    <row r="97426" spans="10:10" x14ac:dyDescent="0.3">
      <c r="J97426"/>
    </row>
    <row r="97427" spans="10:10" x14ac:dyDescent="0.3">
      <c r="J97427"/>
    </row>
    <row r="97428" spans="10:10" x14ac:dyDescent="0.3">
      <c r="J97428"/>
    </row>
    <row r="97429" spans="10:10" x14ac:dyDescent="0.3">
      <c r="J97429"/>
    </row>
    <row r="97430" spans="10:10" x14ac:dyDescent="0.3">
      <c r="J97430"/>
    </row>
    <row r="97431" spans="10:10" x14ac:dyDescent="0.3">
      <c r="J97431"/>
    </row>
    <row r="97432" spans="10:10" x14ac:dyDescent="0.3">
      <c r="J97432"/>
    </row>
    <row r="97433" spans="10:10" x14ac:dyDescent="0.3">
      <c r="J97433"/>
    </row>
    <row r="97434" spans="10:10" x14ac:dyDescent="0.3">
      <c r="J97434"/>
    </row>
    <row r="97435" spans="10:10" x14ac:dyDescent="0.3">
      <c r="J97435"/>
    </row>
    <row r="97436" spans="10:10" x14ac:dyDescent="0.3">
      <c r="J97436"/>
    </row>
    <row r="97437" spans="10:10" x14ac:dyDescent="0.3">
      <c r="J97437"/>
    </row>
    <row r="97438" spans="10:10" x14ac:dyDescent="0.3">
      <c r="J97438"/>
    </row>
    <row r="97439" spans="10:10" x14ac:dyDescent="0.3">
      <c r="J97439"/>
    </row>
    <row r="97440" spans="10:10" x14ac:dyDescent="0.3">
      <c r="J97440"/>
    </row>
    <row r="97441" spans="10:10" x14ac:dyDescent="0.3">
      <c r="J97441"/>
    </row>
    <row r="97442" spans="10:10" x14ac:dyDescent="0.3">
      <c r="J97442"/>
    </row>
    <row r="97443" spans="10:10" x14ac:dyDescent="0.3">
      <c r="J97443"/>
    </row>
    <row r="97444" spans="10:10" x14ac:dyDescent="0.3">
      <c r="J97444"/>
    </row>
    <row r="97445" spans="10:10" x14ac:dyDescent="0.3">
      <c r="J97445"/>
    </row>
    <row r="97446" spans="10:10" x14ac:dyDescent="0.3">
      <c r="J97446"/>
    </row>
    <row r="97447" spans="10:10" x14ac:dyDescent="0.3">
      <c r="J97447"/>
    </row>
    <row r="97448" spans="10:10" x14ac:dyDescent="0.3">
      <c r="J97448"/>
    </row>
    <row r="97449" spans="10:10" x14ac:dyDescent="0.3">
      <c r="J97449"/>
    </row>
    <row r="97450" spans="10:10" x14ac:dyDescent="0.3">
      <c r="J97450"/>
    </row>
    <row r="97451" spans="10:10" x14ac:dyDescent="0.3">
      <c r="J97451"/>
    </row>
    <row r="97452" spans="10:10" x14ac:dyDescent="0.3">
      <c r="J97452"/>
    </row>
    <row r="97453" spans="10:10" x14ac:dyDescent="0.3">
      <c r="J97453"/>
    </row>
    <row r="97454" spans="10:10" x14ac:dyDescent="0.3">
      <c r="J97454"/>
    </row>
    <row r="97455" spans="10:10" x14ac:dyDescent="0.3">
      <c r="J97455"/>
    </row>
    <row r="97456" spans="10:10" x14ac:dyDescent="0.3">
      <c r="J97456"/>
    </row>
    <row r="97457" spans="10:10" x14ac:dyDescent="0.3">
      <c r="J97457"/>
    </row>
    <row r="97458" spans="10:10" x14ac:dyDescent="0.3">
      <c r="J97458"/>
    </row>
    <row r="97459" spans="10:10" x14ac:dyDescent="0.3">
      <c r="J97459"/>
    </row>
    <row r="97460" spans="10:10" x14ac:dyDescent="0.3">
      <c r="J97460"/>
    </row>
    <row r="97461" spans="10:10" x14ac:dyDescent="0.3">
      <c r="J97461"/>
    </row>
    <row r="97462" spans="10:10" x14ac:dyDescent="0.3">
      <c r="J97462"/>
    </row>
    <row r="97463" spans="10:10" x14ac:dyDescent="0.3">
      <c r="J97463"/>
    </row>
    <row r="97464" spans="10:10" x14ac:dyDescent="0.3">
      <c r="J97464"/>
    </row>
    <row r="97465" spans="10:10" x14ac:dyDescent="0.3">
      <c r="J97465"/>
    </row>
    <row r="97466" spans="10:10" x14ac:dyDescent="0.3">
      <c r="J97466"/>
    </row>
    <row r="97467" spans="10:10" x14ac:dyDescent="0.3">
      <c r="J97467"/>
    </row>
    <row r="97468" spans="10:10" x14ac:dyDescent="0.3">
      <c r="J97468"/>
    </row>
    <row r="97469" spans="10:10" x14ac:dyDescent="0.3">
      <c r="J97469"/>
    </row>
    <row r="97470" spans="10:10" x14ac:dyDescent="0.3">
      <c r="J97470"/>
    </row>
    <row r="97471" spans="10:10" x14ac:dyDescent="0.3">
      <c r="J97471"/>
    </row>
    <row r="97472" spans="10:10" x14ac:dyDescent="0.3">
      <c r="J97472"/>
    </row>
    <row r="97473" spans="10:10" x14ac:dyDescent="0.3">
      <c r="J97473"/>
    </row>
    <row r="97474" spans="10:10" x14ac:dyDescent="0.3">
      <c r="J97474"/>
    </row>
    <row r="97475" spans="10:10" x14ac:dyDescent="0.3">
      <c r="J97475"/>
    </row>
    <row r="97476" spans="10:10" x14ac:dyDescent="0.3">
      <c r="J97476"/>
    </row>
    <row r="97477" spans="10:10" x14ac:dyDescent="0.3">
      <c r="J97477"/>
    </row>
    <row r="97478" spans="10:10" x14ac:dyDescent="0.3">
      <c r="J97478"/>
    </row>
    <row r="97479" spans="10:10" x14ac:dyDescent="0.3">
      <c r="J97479"/>
    </row>
    <row r="97480" spans="10:10" x14ac:dyDescent="0.3">
      <c r="J97480"/>
    </row>
    <row r="97481" spans="10:10" x14ac:dyDescent="0.3">
      <c r="J97481"/>
    </row>
    <row r="97482" spans="10:10" x14ac:dyDescent="0.3">
      <c r="J97482"/>
    </row>
    <row r="97483" spans="10:10" x14ac:dyDescent="0.3">
      <c r="J97483"/>
    </row>
    <row r="97484" spans="10:10" x14ac:dyDescent="0.3">
      <c r="J97484"/>
    </row>
    <row r="97485" spans="10:10" x14ac:dyDescent="0.3">
      <c r="J97485"/>
    </row>
    <row r="97486" spans="10:10" x14ac:dyDescent="0.3">
      <c r="J97486"/>
    </row>
    <row r="97487" spans="10:10" x14ac:dyDescent="0.3">
      <c r="J97487"/>
    </row>
    <row r="97488" spans="10:10" x14ac:dyDescent="0.3">
      <c r="J97488"/>
    </row>
    <row r="97489" spans="10:10" x14ac:dyDescent="0.3">
      <c r="J97489"/>
    </row>
    <row r="97490" spans="10:10" x14ac:dyDescent="0.3">
      <c r="J97490"/>
    </row>
    <row r="97491" spans="10:10" x14ac:dyDescent="0.3">
      <c r="J97491"/>
    </row>
    <row r="97492" spans="10:10" x14ac:dyDescent="0.3">
      <c r="J97492"/>
    </row>
    <row r="97493" spans="10:10" x14ac:dyDescent="0.3">
      <c r="J97493"/>
    </row>
    <row r="97494" spans="10:10" x14ac:dyDescent="0.3">
      <c r="J97494"/>
    </row>
    <row r="97495" spans="10:10" x14ac:dyDescent="0.3">
      <c r="J97495"/>
    </row>
    <row r="97496" spans="10:10" x14ac:dyDescent="0.3">
      <c r="J97496"/>
    </row>
    <row r="97497" spans="10:10" x14ac:dyDescent="0.3">
      <c r="J97497"/>
    </row>
    <row r="97498" spans="10:10" x14ac:dyDescent="0.3">
      <c r="J97498"/>
    </row>
    <row r="97499" spans="10:10" x14ac:dyDescent="0.3">
      <c r="J97499"/>
    </row>
    <row r="97500" spans="10:10" x14ac:dyDescent="0.3">
      <c r="J97500"/>
    </row>
    <row r="97501" spans="10:10" x14ac:dyDescent="0.3">
      <c r="J97501"/>
    </row>
    <row r="97502" spans="10:10" x14ac:dyDescent="0.3">
      <c r="J97502"/>
    </row>
    <row r="97503" spans="10:10" x14ac:dyDescent="0.3">
      <c r="J97503"/>
    </row>
    <row r="97504" spans="10:10" x14ac:dyDescent="0.3">
      <c r="J97504"/>
    </row>
    <row r="97505" spans="10:10" x14ac:dyDescent="0.3">
      <c r="J97505"/>
    </row>
    <row r="97506" spans="10:10" x14ac:dyDescent="0.3">
      <c r="J97506"/>
    </row>
    <row r="97507" spans="10:10" x14ac:dyDescent="0.3">
      <c r="J97507"/>
    </row>
    <row r="97508" spans="10:10" x14ac:dyDescent="0.3">
      <c r="J97508"/>
    </row>
    <row r="97509" spans="10:10" x14ac:dyDescent="0.3">
      <c r="J97509"/>
    </row>
    <row r="97510" spans="10:10" x14ac:dyDescent="0.3">
      <c r="J97510"/>
    </row>
    <row r="97511" spans="10:10" x14ac:dyDescent="0.3">
      <c r="J97511"/>
    </row>
    <row r="97512" spans="10:10" x14ac:dyDescent="0.3">
      <c r="J97512"/>
    </row>
    <row r="97513" spans="10:10" x14ac:dyDescent="0.3">
      <c r="J97513"/>
    </row>
    <row r="97514" spans="10:10" x14ac:dyDescent="0.3">
      <c r="J97514"/>
    </row>
    <row r="97515" spans="10:10" x14ac:dyDescent="0.3">
      <c r="J97515"/>
    </row>
    <row r="97516" spans="10:10" x14ac:dyDescent="0.3">
      <c r="J97516"/>
    </row>
    <row r="97517" spans="10:10" x14ac:dyDescent="0.3">
      <c r="J97517"/>
    </row>
    <row r="97518" spans="10:10" x14ac:dyDescent="0.3">
      <c r="J97518"/>
    </row>
    <row r="97519" spans="10:10" x14ac:dyDescent="0.3">
      <c r="J97519"/>
    </row>
    <row r="97520" spans="10:10" x14ac:dyDescent="0.3">
      <c r="J97520"/>
    </row>
    <row r="97521" spans="10:10" x14ac:dyDescent="0.3">
      <c r="J97521"/>
    </row>
    <row r="97522" spans="10:10" x14ac:dyDescent="0.3">
      <c r="J97522"/>
    </row>
    <row r="97523" spans="10:10" x14ac:dyDescent="0.3">
      <c r="J97523"/>
    </row>
    <row r="97524" spans="10:10" x14ac:dyDescent="0.3">
      <c r="J97524"/>
    </row>
    <row r="97525" spans="10:10" x14ac:dyDescent="0.3">
      <c r="J97525"/>
    </row>
    <row r="97526" spans="10:10" x14ac:dyDescent="0.3">
      <c r="J97526"/>
    </row>
    <row r="97527" spans="10:10" x14ac:dyDescent="0.3">
      <c r="J97527"/>
    </row>
    <row r="97528" spans="10:10" x14ac:dyDescent="0.3">
      <c r="J97528"/>
    </row>
    <row r="97529" spans="10:10" x14ac:dyDescent="0.3">
      <c r="J97529"/>
    </row>
    <row r="97530" spans="10:10" x14ac:dyDescent="0.3">
      <c r="J97530"/>
    </row>
    <row r="97531" spans="10:10" x14ac:dyDescent="0.3">
      <c r="J97531"/>
    </row>
    <row r="97532" spans="10:10" x14ac:dyDescent="0.3">
      <c r="J97532"/>
    </row>
    <row r="97533" spans="10:10" x14ac:dyDescent="0.3">
      <c r="J97533"/>
    </row>
    <row r="97534" spans="10:10" x14ac:dyDescent="0.3">
      <c r="J97534"/>
    </row>
    <row r="97535" spans="10:10" x14ac:dyDescent="0.3">
      <c r="J97535"/>
    </row>
    <row r="97536" spans="10:10" x14ac:dyDescent="0.3">
      <c r="J97536"/>
    </row>
    <row r="97537" spans="10:10" x14ac:dyDescent="0.3">
      <c r="J97537"/>
    </row>
    <row r="97538" spans="10:10" x14ac:dyDescent="0.3">
      <c r="J97538"/>
    </row>
    <row r="97539" spans="10:10" x14ac:dyDescent="0.3">
      <c r="J97539"/>
    </row>
    <row r="97540" spans="10:10" x14ac:dyDescent="0.3">
      <c r="J97540"/>
    </row>
    <row r="97541" spans="10:10" x14ac:dyDescent="0.3">
      <c r="J97541"/>
    </row>
    <row r="97542" spans="10:10" x14ac:dyDescent="0.3">
      <c r="J97542"/>
    </row>
    <row r="97543" spans="10:10" x14ac:dyDescent="0.3">
      <c r="J97543"/>
    </row>
    <row r="97544" spans="10:10" x14ac:dyDescent="0.3">
      <c r="J97544"/>
    </row>
    <row r="97545" spans="10:10" x14ac:dyDescent="0.3">
      <c r="J97545"/>
    </row>
    <row r="97546" spans="10:10" x14ac:dyDescent="0.3">
      <c r="J97546"/>
    </row>
    <row r="97547" spans="10:10" x14ac:dyDescent="0.3">
      <c r="J97547"/>
    </row>
    <row r="97548" spans="10:10" x14ac:dyDescent="0.3">
      <c r="J97548"/>
    </row>
    <row r="97549" spans="10:10" x14ac:dyDescent="0.3">
      <c r="J97549"/>
    </row>
    <row r="97550" spans="10:10" x14ac:dyDescent="0.3">
      <c r="J97550"/>
    </row>
    <row r="97551" spans="10:10" x14ac:dyDescent="0.3">
      <c r="J97551"/>
    </row>
    <row r="97552" spans="10:10" x14ac:dyDescent="0.3">
      <c r="J97552"/>
    </row>
    <row r="97553" spans="10:10" x14ac:dyDescent="0.3">
      <c r="J97553"/>
    </row>
    <row r="97554" spans="10:10" x14ac:dyDescent="0.3">
      <c r="J97554"/>
    </row>
    <row r="97555" spans="10:10" x14ac:dyDescent="0.3">
      <c r="J97555"/>
    </row>
    <row r="97556" spans="10:10" x14ac:dyDescent="0.3">
      <c r="J97556"/>
    </row>
    <row r="97557" spans="10:10" x14ac:dyDescent="0.3">
      <c r="J97557"/>
    </row>
    <row r="97558" spans="10:10" x14ac:dyDescent="0.3">
      <c r="J97558"/>
    </row>
    <row r="97559" spans="10:10" x14ac:dyDescent="0.3">
      <c r="J97559"/>
    </row>
    <row r="97560" spans="10:10" x14ac:dyDescent="0.3">
      <c r="J97560"/>
    </row>
    <row r="97561" spans="10:10" x14ac:dyDescent="0.3">
      <c r="J97561"/>
    </row>
    <row r="97562" spans="10:10" x14ac:dyDescent="0.3">
      <c r="J97562"/>
    </row>
    <row r="97563" spans="10:10" x14ac:dyDescent="0.3">
      <c r="J97563"/>
    </row>
    <row r="97564" spans="10:10" x14ac:dyDescent="0.3">
      <c r="J97564"/>
    </row>
    <row r="97565" spans="10:10" x14ac:dyDescent="0.3">
      <c r="J97565"/>
    </row>
    <row r="97566" spans="10:10" x14ac:dyDescent="0.3">
      <c r="J97566"/>
    </row>
    <row r="97567" spans="10:10" x14ac:dyDescent="0.3">
      <c r="J97567"/>
    </row>
    <row r="97568" spans="10:10" x14ac:dyDescent="0.3">
      <c r="J97568"/>
    </row>
    <row r="97569" spans="10:10" x14ac:dyDescent="0.3">
      <c r="J97569"/>
    </row>
    <row r="97570" spans="10:10" x14ac:dyDescent="0.3">
      <c r="J97570"/>
    </row>
    <row r="97571" spans="10:10" x14ac:dyDescent="0.3">
      <c r="J97571"/>
    </row>
    <row r="97572" spans="10:10" x14ac:dyDescent="0.3">
      <c r="J97572"/>
    </row>
    <row r="97573" spans="10:10" x14ac:dyDescent="0.3">
      <c r="J97573"/>
    </row>
    <row r="97574" spans="10:10" x14ac:dyDescent="0.3">
      <c r="J97574"/>
    </row>
    <row r="97575" spans="10:10" x14ac:dyDescent="0.3">
      <c r="J97575"/>
    </row>
    <row r="97576" spans="10:10" x14ac:dyDescent="0.3">
      <c r="J97576"/>
    </row>
    <row r="97577" spans="10:10" x14ac:dyDescent="0.3">
      <c r="J97577"/>
    </row>
    <row r="97578" spans="10:10" x14ac:dyDescent="0.3">
      <c r="J97578"/>
    </row>
    <row r="97579" spans="10:10" x14ac:dyDescent="0.3">
      <c r="J97579"/>
    </row>
    <row r="97580" spans="10:10" x14ac:dyDescent="0.3">
      <c r="J97580"/>
    </row>
    <row r="97581" spans="10:10" x14ac:dyDescent="0.3">
      <c r="J97581"/>
    </row>
    <row r="97582" spans="10:10" x14ac:dyDescent="0.3">
      <c r="J97582"/>
    </row>
    <row r="97583" spans="10:10" x14ac:dyDescent="0.3">
      <c r="J97583"/>
    </row>
    <row r="97584" spans="10:10" x14ac:dyDescent="0.3">
      <c r="J97584"/>
    </row>
    <row r="97585" spans="10:10" x14ac:dyDescent="0.3">
      <c r="J97585"/>
    </row>
    <row r="97586" spans="10:10" x14ac:dyDescent="0.3">
      <c r="J97586"/>
    </row>
    <row r="97587" spans="10:10" x14ac:dyDescent="0.3">
      <c r="J97587"/>
    </row>
    <row r="97588" spans="10:10" x14ac:dyDescent="0.3">
      <c r="J97588"/>
    </row>
    <row r="97589" spans="10:10" x14ac:dyDescent="0.3">
      <c r="J97589"/>
    </row>
    <row r="97590" spans="10:10" x14ac:dyDescent="0.3">
      <c r="J97590"/>
    </row>
    <row r="97591" spans="10:10" x14ac:dyDescent="0.3">
      <c r="J97591"/>
    </row>
    <row r="97592" spans="10:10" x14ac:dyDescent="0.3">
      <c r="J97592"/>
    </row>
    <row r="97593" spans="10:10" x14ac:dyDescent="0.3">
      <c r="J97593"/>
    </row>
    <row r="97594" spans="10:10" x14ac:dyDescent="0.3">
      <c r="J97594"/>
    </row>
    <row r="97595" spans="10:10" x14ac:dyDescent="0.3">
      <c r="J97595"/>
    </row>
    <row r="97596" spans="10:10" x14ac:dyDescent="0.3">
      <c r="J97596"/>
    </row>
    <row r="97597" spans="10:10" x14ac:dyDescent="0.3">
      <c r="J97597"/>
    </row>
    <row r="97598" spans="10:10" x14ac:dyDescent="0.3">
      <c r="J97598"/>
    </row>
    <row r="97599" spans="10:10" x14ac:dyDescent="0.3">
      <c r="J97599"/>
    </row>
    <row r="97600" spans="10:10" x14ac:dyDescent="0.3">
      <c r="J97600"/>
    </row>
    <row r="97601" spans="10:10" x14ac:dyDescent="0.3">
      <c r="J97601"/>
    </row>
    <row r="97602" spans="10:10" x14ac:dyDescent="0.3">
      <c r="J97602"/>
    </row>
    <row r="97603" spans="10:10" x14ac:dyDescent="0.3">
      <c r="J97603"/>
    </row>
    <row r="97604" spans="10:10" x14ac:dyDescent="0.3">
      <c r="J97604"/>
    </row>
    <row r="97605" spans="10:10" x14ac:dyDescent="0.3">
      <c r="J97605"/>
    </row>
    <row r="97606" spans="10:10" x14ac:dyDescent="0.3">
      <c r="J97606"/>
    </row>
    <row r="97607" spans="10:10" x14ac:dyDescent="0.3">
      <c r="J97607"/>
    </row>
    <row r="97608" spans="10:10" x14ac:dyDescent="0.3">
      <c r="J97608"/>
    </row>
    <row r="97609" spans="10:10" x14ac:dyDescent="0.3">
      <c r="J97609"/>
    </row>
    <row r="97610" spans="10:10" x14ac:dyDescent="0.3">
      <c r="J97610"/>
    </row>
    <row r="97611" spans="10:10" x14ac:dyDescent="0.3">
      <c r="J97611"/>
    </row>
    <row r="97612" spans="10:10" x14ac:dyDescent="0.3">
      <c r="J97612"/>
    </row>
    <row r="97613" spans="10:10" x14ac:dyDescent="0.3">
      <c r="J97613"/>
    </row>
    <row r="97614" spans="10:10" x14ac:dyDescent="0.3">
      <c r="J97614"/>
    </row>
    <row r="97615" spans="10:10" x14ac:dyDescent="0.3">
      <c r="J97615"/>
    </row>
    <row r="97616" spans="10:10" x14ac:dyDescent="0.3">
      <c r="J97616"/>
    </row>
    <row r="97617" spans="10:10" x14ac:dyDescent="0.3">
      <c r="J97617"/>
    </row>
    <row r="97618" spans="10:10" x14ac:dyDescent="0.3">
      <c r="J97618"/>
    </row>
    <row r="97619" spans="10:10" x14ac:dyDescent="0.3">
      <c r="J97619"/>
    </row>
    <row r="97620" spans="10:10" x14ac:dyDescent="0.3">
      <c r="J97620"/>
    </row>
    <row r="97621" spans="10:10" x14ac:dyDescent="0.3">
      <c r="J97621"/>
    </row>
    <row r="97622" spans="10:10" x14ac:dyDescent="0.3">
      <c r="J97622"/>
    </row>
    <row r="97623" spans="10:10" x14ac:dyDescent="0.3">
      <c r="J97623"/>
    </row>
    <row r="97624" spans="10:10" x14ac:dyDescent="0.3">
      <c r="J97624"/>
    </row>
    <row r="97625" spans="10:10" x14ac:dyDescent="0.3">
      <c r="J97625"/>
    </row>
    <row r="97626" spans="10:10" x14ac:dyDescent="0.3">
      <c r="J97626"/>
    </row>
    <row r="97627" spans="10:10" x14ac:dyDescent="0.3">
      <c r="J97627"/>
    </row>
    <row r="97628" spans="10:10" x14ac:dyDescent="0.3">
      <c r="J97628"/>
    </row>
    <row r="97629" spans="10:10" x14ac:dyDescent="0.3">
      <c r="J97629"/>
    </row>
    <row r="97630" spans="10:10" x14ac:dyDescent="0.3">
      <c r="J97630"/>
    </row>
    <row r="97631" spans="10:10" x14ac:dyDescent="0.3">
      <c r="J97631"/>
    </row>
    <row r="97632" spans="10:10" x14ac:dyDescent="0.3">
      <c r="J97632"/>
    </row>
    <row r="97633" spans="10:10" x14ac:dyDescent="0.3">
      <c r="J97633"/>
    </row>
    <row r="97634" spans="10:10" x14ac:dyDescent="0.3">
      <c r="J97634"/>
    </row>
    <row r="97635" spans="10:10" x14ac:dyDescent="0.3">
      <c r="J97635"/>
    </row>
    <row r="97636" spans="10:10" x14ac:dyDescent="0.3">
      <c r="J97636"/>
    </row>
    <row r="97637" spans="10:10" x14ac:dyDescent="0.3">
      <c r="J97637"/>
    </row>
    <row r="97638" spans="10:10" x14ac:dyDescent="0.3">
      <c r="J97638"/>
    </row>
    <row r="97639" spans="10:10" x14ac:dyDescent="0.3">
      <c r="J97639"/>
    </row>
    <row r="97640" spans="10:10" x14ac:dyDescent="0.3">
      <c r="J97640"/>
    </row>
    <row r="97641" spans="10:10" x14ac:dyDescent="0.3">
      <c r="J97641"/>
    </row>
    <row r="97642" spans="10:10" x14ac:dyDescent="0.3">
      <c r="J97642"/>
    </row>
    <row r="97643" spans="10:10" x14ac:dyDescent="0.3">
      <c r="J97643"/>
    </row>
    <row r="97644" spans="10:10" x14ac:dyDescent="0.3">
      <c r="J97644"/>
    </row>
    <row r="97645" spans="10:10" x14ac:dyDescent="0.3">
      <c r="J97645"/>
    </row>
    <row r="97646" spans="10:10" x14ac:dyDescent="0.3">
      <c r="J97646"/>
    </row>
    <row r="97647" spans="10:10" x14ac:dyDescent="0.3">
      <c r="J97647"/>
    </row>
    <row r="97648" spans="10:10" x14ac:dyDescent="0.3">
      <c r="J97648"/>
    </row>
    <row r="97649" spans="10:10" x14ac:dyDescent="0.3">
      <c r="J97649"/>
    </row>
    <row r="97650" spans="10:10" x14ac:dyDescent="0.3">
      <c r="J97650"/>
    </row>
    <row r="97651" spans="10:10" x14ac:dyDescent="0.3">
      <c r="J97651"/>
    </row>
    <row r="97652" spans="10:10" x14ac:dyDescent="0.3">
      <c r="J97652"/>
    </row>
    <row r="97653" spans="10:10" x14ac:dyDescent="0.3">
      <c r="J97653"/>
    </row>
    <row r="97654" spans="10:10" x14ac:dyDescent="0.3">
      <c r="J97654"/>
    </row>
    <row r="97655" spans="10:10" x14ac:dyDescent="0.3">
      <c r="J97655"/>
    </row>
    <row r="97656" spans="10:10" x14ac:dyDescent="0.3">
      <c r="J97656"/>
    </row>
    <row r="97657" spans="10:10" x14ac:dyDescent="0.3">
      <c r="J97657"/>
    </row>
    <row r="97658" spans="10:10" x14ac:dyDescent="0.3">
      <c r="J97658"/>
    </row>
    <row r="97659" spans="10:10" x14ac:dyDescent="0.3">
      <c r="J97659"/>
    </row>
    <row r="97660" spans="10:10" x14ac:dyDescent="0.3">
      <c r="J97660"/>
    </row>
    <row r="97661" spans="10:10" x14ac:dyDescent="0.3">
      <c r="J97661"/>
    </row>
    <row r="97662" spans="10:10" x14ac:dyDescent="0.3">
      <c r="J97662"/>
    </row>
    <row r="97663" spans="10:10" x14ac:dyDescent="0.3">
      <c r="J97663"/>
    </row>
    <row r="97664" spans="10:10" x14ac:dyDescent="0.3">
      <c r="J97664"/>
    </row>
    <row r="97665" spans="10:10" x14ac:dyDescent="0.3">
      <c r="J97665"/>
    </row>
    <row r="97666" spans="10:10" x14ac:dyDescent="0.3">
      <c r="J97666"/>
    </row>
    <row r="97667" spans="10:10" x14ac:dyDescent="0.3">
      <c r="J97667"/>
    </row>
    <row r="97668" spans="10:10" x14ac:dyDescent="0.3">
      <c r="J97668"/>
    </row>
    <row r="97669" spans="10:10" x14ac:dyDescent="0.3">
      <c r="J97669"/>
    </row>
    <row r="97670" spans="10:10" x14ac:dyDescent="0.3">
      <c r="J97670"/>
    </row>
    <row r="97671" spans="10:10" x14ac:dyDescent="0.3">
      <c r="J97671"/>
    </row>
    <row r="97672" spans="10:10" x14ac:dyDescent="0.3">
      <c r="J97672"/>
    </row>
    <row r="97673" spans="10:10" x14ac:dyDescent="0.3">
      <c r="J97673"/>
    </row>
    <row r="97674" spans="10:10" x14ac:dyDescent="0.3">
      <c r="J97674"/>
    </row>
    <row r="97675" spans="10:10" x14ac:dyDescent="0.3">
      <c r="J97675"/>
    </row>
    <row r="97676" spans="10:10" x14ac:dyDescent="0.3">
      <c r="J97676"/>
    </row>
    <row r="97677" spans="10:10" x14ac:dyDescent="0.3">
      <c r="J97677"/>
    </row>
    <row r="97678" spans="10:10" x14ac:dyDescent="0.3">
      <c r="J97678"/>
    </row>
    <row r="97679" spans="10:10" x14ac:dyDescent="0.3">
      <c r="J97679"/>
    </row>
    <row r="97680" spans="10:10" x14ac:dyDescent="0.3">
      <c r="J97680"/>
    </row>
    <row r="97681" spans="10:10" x14ac:dyDescent="0.3">
      <c r="J97681"/>
    </row>
    <row r="97682" spans="10:10" x14ac:dyDescent="0.3">
      <c r="J97682"/>
    </row>
    <row r="97683" spans="10:10" x14ac:dyDescent="0.3">
      <c r="J97683"/>
    </row>
    <row r="97684" spans="10:10" x14ac:dyDescent="0.3">
      <c r="J97684"/>
    </row>
    <row r="97685" spans="10:10" x14ac:dyDescent="0.3">
      <c r="J97685"/>
    </row>
    <row r="97686" spans="10:10" x14ac:dyDescent="0.3">
      <c r="J97686"/>
    </row>
    <row r="97687" spans="10:10" x14ac:dyDescent="0.3">
      <c r="J97687"/>
    </row>
    <row r="97688" spans="10:10" x14ac:dyDescent="0.3">
      <c r="J97688"/>
    </row>
    <row r="97689" spans="10:10" x14ac:dyDescent="0.3">
      <c r="J97689"/>
    </row>
    <row r="97690" spans="10:10" x14ac:dyDescent="0.3">
      <c r="J97690"/>
    </row>
    <row r="97691" spans="10:10" x14ac:dyDescent="0.3">
      <c r="J97691"/>
    </row>
    <row r="97692" spans="10:10" x14ac:dyDescent="0.3">
      <c r="J97692"/>
    </row>
    <row r="97693" spans="10:10" x14ac:dyDescent="0.3">
      <c r="J97693"/>
    </row>
    <row r="97694" spans="10:10" x14ac:dyDescent="0.3">
      <c r="J97694"/>
    </row>
    <row r="97695" spans="10:10" x14ac:dyDescent="0.3">
      <c r="J97695"/>
    </row>
    <row r="97696" spans="10:10" x14ac:dyDescent="0.3">
      <c r="J97696"/>
    </row>
    <row r="97697" spans="10:10" x14ac:dyDescent="0.3">
      <c r="J97697"/>
    </row>
    <row r="97698" spans="10:10" x14ac:dyDescent="0.3">
      <c r="J97698"/>
    </row>
    <row r="97699" spans="10:10" x14ac:dyDescent="0.3">
      <c r="J97699"/>
    </row>
    <row r="97700" spans="10:10" x14ac:dyDescent="0.3">
      <c r="J97700"/>
    </row>
    <row r="97701" spans="10:10" x14ac:dyDescent="0.3">
      <c r="J97701"/>
    </row>
    <row r="97702" spans="10:10" x14ac:dyDescent="0.3">
      <c r="J97702"/>
    </row>
    <row r="97703" spans="10:10" x14ac:dyDescent="0.3">
      <c r="J97703"/>
    </row>
    <row r="97704" spans="10:10" x14ac:dyDescent="0.3">
      <c r="J97704"/>
    </row>
    <row r="97705" spans="10:10" x14ac:dyDescent="0.3">
      <c r="J97705"/>
    </row>
    <row r="97706" spans="10:10" x14ac:dyDescent="0.3">
      <c r="J97706"/>
    </row>
    <row r="97707" spans="10:10" x14ac:dyDescent="0.3">
      <c r="J97707"/>
    </row>
    <row r="97708" spans="10:10" x14ac:dyDescent="0.3">
      <c r="J97708"/>
    </row>
    <row r="97709" spans="10:10" x14ac:dyDescent="0.3">
      <c r="J97709"/>
    </row>
    <row r="97710" spans="10:10" x14ac:dyDescent="0.3">
      <c r="J97710"/>
    </row>
    <row r="97711" spans="10:10" x14ac:dyDescent="0.3">
      <c r="J97711"/>
    </row>
    <row r="97712" spans="10:10" x14ac:dyDescent="0.3">
      <c r="J97712"/>
    </row>
    <row r="97713" spans="10:10" x14ac:dyDescent="0.3">
      <c r="J97713"/>
    </row>
    <row r="97714" spans="10:10" x14ac:dyDescent="0.3">
      <c r="J97714"/>
    </row>
    <row r="97715" spans="10:10" x14ac:dyDescent="0.3">
      <c r="J97715"/>
    </row>
    <row r="97716" spans="10:10" x14ac:dyDescent="0.3">
      <c r="J97716"/>
    </row>
    <row r="97717" spans="10:10" x14ac:dyDescent="0.3">
      <c r="J97717"/>
    </row>
    <row r="97718" spans="10:10" x14ac:dyDescent="0.3">
      <c r="J97718"/>
    </row>
    <row r="97719" spans="10:10" x14ac:dyDescent="0.3">
      <c r="J97719"/>
    </row>
    <row r="97720" spans="10:10" x14ac:dyDescent="0.3">
      <c r="J97720"/>
    </row>
    <row r="97721" spans="10:10" x14ac:dyDescent="0.3">
      <c r="J97721"/>
    </row>
    <row r="97722" spans="10:10" x14ac:dyDescent="0.3">
      <c r="J97722"/>
    </row>
    <row r="97723" spans="10:10" x14ac:dyDescent="0.3">
      <c r="J97723"/>
    </row>
    <row r="97724" spans="10:10" x14ac:dyDescent="0.3">
      <c r="J97724"/>
    </row>
    <row r="97725" spans="10:10" x14ac:dyDescent="0.3">
      <c r="J97725"/>
    </row>
    <row r="97726" spans="10:10" x14ac:dyDescent="0.3">
      <c r="J97726"/>
    </row>
    <row r="97727" spans="10:10" x14ac:dyDescent="0.3">
      <c r="J97727"/>
    </row>
    <row r="97728" spans="10:10" x14ac:dyDescent="0.3">
      <c r="J97728"/>
    </row>
    <row r="97729" spans="10:10" x14ac:dyDescent="0.3">
      <c r="J97729"/>
    </row>
    <row r="97730" spans="10:10" x14ac:dyDescent="0.3">
      <c r="J97730"/>
    </row>
    <row r="97731" spans="10:10" x14ac:dyDescent="0.3">
      <c r="J97731"/>
    </row>
    <row r="97732" spans="10:10" x14ac:dyDescent="0.3">
      <c r="J97732"/>
    </row>
    <row r="97733" spans="10:10" x14ac:dyDescent="0.3">
      <c r="J97733"/>
    </row>
    <row r="97734" spans="10:10" x14ac:dyDescent="0.3">
      <c r="J97734"/>
    </row>
    <row r="97735" spans="10:10" x14ac:dyDescent="0.3">
      <c r="J97735"/>
    </row>
    <row r="97736" spans="10:10" x14ac:dyDescent="0.3">
      <c r="J97736"/>
    </row>
    <row r="97737" spans="10:10" x14ac:dyDescent="0.3">
      <c r="J97737"/>
    </row>
    <row r="97738" spans="10:10" x14ac:dyDescent="0.3">
      <c r="J97738"/>
    </row>
    <row r="97739" spans="10:10" x14ac:dyDescent="0.3">
      <c r="J97739"/>
    </row>
    <row r="97740" spans="10:10" x14ac:dyDescent="0.3">
      <c r="J97740"/>
    </row>
    <row r="97741" spans="10:10" x14ac:dyDescent="0.3">
      <c r="J97741"/>
    </row>
    <row r="97742" spans="10:10" x14ac:dyDescent="0.3">
      <c r="J97742"/>
    </row>
    <row r="97743" spans="10:10" x14ac:dyDescent="0.3">
      <c r="J97743"/>
    </row>
    <row r="97744" spans="10:10" x14ac:dyDescent="0.3">
      <c r="J97744"/>
    </row>
    <row r="97745" spans="10:10" x14ac:dyDescent="0.3">
      <c r="J97745"/>
    </row>
    <row r="97746" spans="10:10" x14ac:dyDescent="0.3">
      <c r="J97746"/>
    </row>
    <row r="97747" spans="10:10" x14ac:dyDescent="0.3">
      <c r="J97747"/>
    </row>
    <row r="97748" spans="10:10" x14ac:dyDescent="0.3">
      <c r="J97748"/>
    </row>
    <row r="97749" spans="10:10" x14ac:dyDescent="0.3">
      <c r="J97749"/>
    </row>
    <row r="97750" spans="10:10" x14ac:dyDescent="0.3">
      <c r="J97750"/>
    </row>
    <row r="97751" spans="10:10" x14ac:dyDescent="0.3">
      <c r="J97751"/>
    </row>
    <row r="97752" spans="10:10" x14ac:dyDescent="0.3">
      <c r="J97752"/>
    </row>
    <row r="97753" spans="10:10" x14ac:dyDescent="0.3">
      <c r="J97753"/>
    </row>
    <row r="97754" spans="10:10" x14ac:dyDescent="0.3">
      <c r="J97754"/>
    </row>
    <row r="97755" spans="10:10" x14ac:dyDescent="0.3">
      <c r="J97755"/>
    </row>
    <row r="97756" spans="10:10" x14ac:dyDescent="0.3">
      <c r="J97756"/>
    </row>
    <row r="97757" spans="10:10" x14ac:dyDescent="0.3">
      <c r="J97757"/>
    </row>
    <row r="97758" spans="10:10" x14ac:dyDescent="0.3">
      <c r="J97758"/>
    </row>
    <row r="97759" spans="10:10" x14ac:dyDescent="0.3">
      <c r="J97759"/>
    </row>
    <row r="97760" spans="10:10" x14ac:dyDescent="0.3">
      <c r="J97760"/>
    </row>
    <row r="97761" spans="10:10" x14ac:dyDescent="0.3">
      <c r="J97761"/>
    </row>
    <row r="97762" spans="10:10" x14ac:dyDescent="0.3">
      <c r="J97762"/>
    </row>
    <row r="97763" spans="10:10" x14ac:dyDescent="0.3">
      <c r="J97763"/>
    </row>
    <row r="97764" spans="10:10" x14ac:dyDescent="0.3">
      <c r="J97764"/>
    </row>
    <row r="97765" spans="10:10" x14ac:dyDescent="0.3">
      <c r="J97765"/>
    </row>
    <row r="97766" spans="10:10" x14ac:dyDescent="0.3">
      <c r="J97766"/>
    </row>
    <row r="97767" spans="10:10" x14ac:dyDescent="0.3">
      <c r="J97767"/>
    </row>
    <row r="97768" spans="10:10" x14ac:dyDescent="0.3">
      <c r="J97768"/>
    </row>
    <row r="97769" spans="10:10" x14ac:dyDescent="0.3">
      <c r="J97769"/>
    </row>
    <row r="97770" spans="10:10" x14ac:dyDescent="0.3">
      <c r="J97770"/>
    </row>
    <row r="97771" spans="10:10" x14ac:dyDescent="0.3">
      <c r="J97771"/>
    </row>
    <row r="97772" spans="10:10" x14ac:dyDescent="0.3">
      <c r="J97772"/>
    </row>
    <row r="97773" spans="10:10" x14ac:dyDescent="0.3">
      <c r="J97773"/>
    </row>
    <row r="97774" spans="10:10" x14ac:dyDescent="0.3">
      <c r="J97774"/>
    </row>
    <row r="97775" spans="10:10" x14ac:dyDescent="0.3">
      <c r="J97775"/>
    </row>
    <row r="97776" spans="10:10" x14ac:dyDescent="0.3">
      <c r="J97776"/>
    </row>
    <row r="97777" spans="10:10" x14ac:dyDescent="0.3">
      <c r="J97777"/>
    </row>
    <row r="97778" spans="10:10" x14ac:dyDescent="0.3">
      <c r="J97778"/>
    </row>
    <row r="97779" spans="10:10" x14ac:dyDescent="0.3">
      <c r="J97779"/>
    </row>
    <row r="97780" spans="10:10" x14ac:dyDescent="0.3">
      <c r="J97780"/>
    </row>
    <row r="97781" spans="10:10" x14ac:dyDescent="0.3">
      <c r="J97781"/>
    </row>
    <row r="97782" spans="10:10" x14ac:dyDescent="0.3">
      <c r="J97782"/>
    </row>
    <row r="97783" spans="10:10" x14ac:dyDescent="0.3">
      <c r="J97783"/>
    </row>
    <row r="97784" spans="10:10" x14ac:dyDescent="0.3">
      <c r="J97784"/>
    </row>
    <row r="97785" spans="10:10" x14ac:dyDescent="0.3">
      <c r="J97785"/>
    </row>
    <row r="97786" spans="10:10" x14ac:dyDescent="0.3">
      <c r="J97786"/>
    </row>
    <row r="97787" spans="10:10" x14ac:dyDescent="0.3">
      <c r="J97787"/>
    </row>
    <row r="97788" spans="10:10" x14ac:dyDescent="0.3">
      <c r="J97788"/>
    </row>
    <row r="97789" spans="10:10" x14ac:dyDescent="0.3">
      <c r="J97789"/>
    </row>
    <row r="97790" spans="10:10" x14ac:dyDescent="0.3">
      <c r="J97790"/>
    </row>
    <row r="97791" spans="10:10" x14ac:dyDescent="0.3">
      <c r="J97791"/>
    </row>
    <row r="97792" spans="10:10" x14ac:dyDescent="0.3">
      <c r="J97792"/>
    </row>
    <row r="97793" spans="10:10" x14ac:dyDescent="0.3">
      <c r="J97793"/>
    </row>
    <row r="97794" spans="10:10" x14ac:dyDescent="0.3">
      <c r="J97794"/>
    </row>
    <row r="97795" spans="10:10" x14ac:dyDescent="0.3">
      <c r="J97795"/>
    </row>
    <row r="97796" spans="10:10" x14ac:dyDescent="0.3">
      <c r="J97796"/>
    </row>
    <row r="97797" spans="10:10" x14ac:dyDescent="0.3">
      <c r="J97797"/>
    </row>
    <row r="97798" spans="10:10" x14ac:dyDescent="0.3">
      <c r="J97798"/>
    </row>
    <row r="97799" spans="10:10" x14ac:dyDescent="0.3">
      <c r="J97799"/>
    </row>
    <row r="97800" spans="10:10" x14ac:dyDescent="0.3">
      <c r="J97800"/>
    </row>
    <row r="97801" spans="10:10" x14ac:dyDescent="0.3">
      <c r="J97801"/>
    </row>
    <row r="97802" spans="10:10" x14ac:dyDescent="0.3">
      <c r="J97802"/>
    </row>
    <row r="97803" spans="10:10" x14ac:dyDescent="0.3">
      <c r="J97803"/>
    </row>
    <row r="97804" spans="10:10" x14ac:dyDescent="0.3">
      <c r="J97804"/>
    </row>
    <row r="97805" spans="10:10" x14ac:dyDescent="0.3">
      <c r="J97805"/>
    </row>
    <row r="97806" spans="10:10" x14ac:dyDescent="0.3">
      <c r="J97806"/>
    </row>
    <row r="97807" spans="10:10" x14ac:dyDescent="0.3">
      <c r="J97807"/>
    </row>
    <row r="97808" spans="10:10" x14ac:dyDescent="0.3">
      <c r="J97808"/>
    </row>
    <row r="97809" spans="10:10" x14ac:dyDescent="0.3">
      <c r="J97809"/>
    </row>
    <row r="97810" spans="10:10" x14ac:dyDescent="0.3">
      <c r="J97810"/>
    </row>
    <row r="97811" spans="10:10" x14ac:dyDescent="0.3">
      <c r="J97811"/>
    </row>
    <row r="97812" spans="10:10" x14ac:dyDescent="0.3">
      <c r="J97812"/>
    </row>
    <row r="97813" spans="10:10" x14ac:dyDescent="0.3">
      <c r="J97813"/>
    </row>
    <row r="97814" spans="10:10" x14ac:dyDescent="0.3">
      <c r="J97814"/>
    </row>
    <row r="97815" spans="10:10" x14ac:dyDescent="0.3">
      <c r="J97815"/>
    </row>
    <row r="97816" spans="10:10" x14ac:dyDescent="0.3">
      <c r="J97816"/>
    </row>
    <row r="97817" spans="10:10" x14ac:dyDescent="0.3">
      <c r="J97817"/>
    </row>
    <row r="97818" spans="10:10" x14ac:dyDescent="0.3">
      <c r="J97818"/>
    </row>
    <row r="97819" spans="10:10" x14ac:dyDescent="0.3">
      <c r="J97819"/>
    </row>
    <row r="97820" spans="10:10" x14ac:dyDescent="0.3">
      <c r="J97820"/>
    </row>
    <row r="97821" spans="10:10" x14ac:dyDescent="0.3">
      <c r="J97821"/>
    </row>
    <row r="97822" spans="10:10" x14ac:dyDescent="0.3">
      <c r="J97822"/>
    </row>
    <row r="97823" spans="10:10" x14ac:dyDescent="0.3">
      <c r="J97823"/>
    </row>
    <row r="97824" spans="10:10" x14ac:dyDescent="0.3">
      <c r="J97824"/>
    </row>
    <row r="97825" spans="10:10" x14ac:dyDescent="0.3">
      <c r="J97825"/>
    </row>
    <row r="97826" spans="10:10" x14ac:dyDescent="0.3">
      <c r="J97826"/>
    </row>
    <row r="97827" spans="10:10" x14ac:dyDescent="0.3">
      <c r="J97827"/>
    </row>
    <row r="97828" spans="10:10" x14ac:dyDescent="0.3">
      <c r="J97828"/>
    </row>
    <row r="97829" spans="10:10" x14ac:dyDescent="0.3">
      <c r="J97829"/>
    </row>
    <row r="97830" spans="10:10" x14ac:dyDescent="0.3">
      <c r="J97830"/>
    </row>
    <row r="97831" spans="10:10" x14ac:dyDescent="0.3">
      <c r="J97831"/>
    </row>
    <row r="97832" spans="10:10" x14ac:dyDescent="0.3">
      <c r="J97832"/>
    </row>
    <row r="97833" spans="10:10" x14ac:dyDescent="0.3">
      <c r="J97833"/>
    </row>
    <row r="97834" spans="10:10" x14ac:dyDescent="0.3">
      <c r="J97834"/>
    </row>
    <row r="97835" spans="10:10" x14ac:dyDescent="0.3">
      <c r="J97835"/>
    </row>
    <row r="97836" spans="10:10" x14ac:dyDescent="0.3">
      <c r="J97836"/>
    </row>
    <row r="97837" spans="10:10" x14ac:dyDescent="0.3">
      <c r="J97837"/>
    </row>
    <row r="97838" spans="10:10" x14ac:dyDescent="0.3">
      <c r="J97838"/>
    </row>
    <row r="97839" spans="10:10" x14ac:dyDescent="0.3">
      <c r="J97839"/>
    </row>
    <row r="97840" spans="10:10" x14ac:dyDescent="0.3">
      <c r="J97840"/>
    </row>
    <row r="97841" spans="10:10" x14ac:dyDescent="0.3">
      <c r="J97841"/>
    </row>
    <row r="97842" spans="10:10" x14ac:dyDescent="0.3">
      <c r="J97842"/>
    </row>
    <row r="97843" spans="10:10" x14ac:dyDescent="0.3">
      <c r="J97843"/>
    </row>
    <row r="97844" spans="10:10" x14ac:dyDescent="0.3">
      <c r="J97844"/>
    </row>
    <row r="97845" spans="10:10" x14ac:dyDescent="0.3">
      <c r="J97845"/>
    </row>
    <row r="97846" spans="10:10" x14ac:dyDescent="0.3">
      <c r="J97846"/>
    </row>
    <row r="97847" spans="10:10" x14ac:dyDescent="0.3">
      <c r="J97847"/>
    </row>
    <row r="97848" spans="10:10" x14ac:dyDescent="0.3">
      <c r="J97848"/>
    </row>
    <row r="97849" spans="10:10" x14ac:dyDescent="0.3">
      <c r="J97849"/>
    </row>
    <row r="97850" spans="10:10" x14ac:dyDescent="0.3">
      <c r="J97850"/>
    </row>
    <row r="97851" spans="10:10" x14ac:dyDescent="0.3">
      <c r="J97851"/>
    </row>
    <row r="97852" spans="10:10" x14ac:dyDescent="0.3">
      <c r="J97852"/>
    </row>
    <row r="97853" spans="10:10" x14ac:dyDescent="0.3">
      <c r="J97853"/>
    </row>
    <row r="97854" spans="10:10" x14ac:dyDescent="0.3">
      <c r="J97854"/>
    </row>
    <row r="97855" spans="10:10" x14ac:dyDescent="0.3">
      <c r="J97855"/>
    </row>
    <row r="97856" spans="10:10" x14ac:dyDescent="0.3">
      <c r="J97856"/>
    </row>
    <row r="97857" spans="10:10" x14ac:dyDescent="0.3">
      <c r="J97857"/>
    </row>
    <row r="97858" spans="10:10" x14ac:dyDescent="0.3">
      <c r="J97858"/>
    </row>
    <row r="97859" spans="10:10" x14ac:dyDescent="0.3">
      <c r="J97859"/>
    </row>
    <row r="97860" spans="10:10" x14ac:dyDescent="0.3">
      <c r="J97860"/>
    </row>
    <row r="97861" spans="10:10" x14ac:dyDescent="0.3">
      <c r="J97861"/>
    </row>
    <row r="97862" spans="10:10" x14ac:dyDescent="0.3">
      <c r="J97862"/>
    </row>
    <row r="97863" spans="10:10" x14ac:dyDescent="0.3">
      <c r="J97863"/>
    </row>
    <row r="97864" spans="10:10" x14ac:dyDescent="0.3">
      <c r="J97864"/>
    </row>
    <row r="97865" spans="10:10" x14ac:dyDescent="0.3">
      <c r="J97865"/>
    </row>
    <row r="97866" spans="10:10" x14ac:dyDescent="0.3">
      <c r="J97866"/>
    </row>
    <row r="97867" spans="10:10" x14ac:dyDescent="0.3">
      <c r="J97867"/>
    </row>
    <row r="97868" spans="10:10" x14ac:dyDescent="0.3">
      <c r="J97868"/>
    </row>
    <row r="97869" spans="10:10" x14ac:dyDescent="0.3">
      <c r="J97869"/>
    </row>
    <row r="97870" spans="10:10" x14ac:dyDescent="0.3">
      <c r="J97870"/>
    </row>
    <row r="97871" spans="10:10" x14ac:dyDescent="0.3">
      <c r="J97871"/>
    </row>
    <row r="97872" spans="10:10" x14ac:dyDescent="0.3">
      <c r="J97872"/>
    </row>
    <row r="97873" spans="10:10" x14ac:dyDescent="0.3">
      <c r="J97873"/>
    </row>
    <row r="97874" spans="10:10" x14ac:dyDescent="0.3">
      <c r="J97874"/>
    </row>
    <row r="97875" spans="10:10" x14ac:dyDescent="0.3">
      <c r="J97875"/>
    </row>
    <row r="97876" spans="10:10" x14ac:dyDescent="0.3">
      <c r="J97876"/>
    </row>
    <row r="97877" spans="10:10" x14ac:dyDescent="0.3">
      <c r="J97877"/>
    </row>
    <row r="97878" spans="10:10" x14ac:dyDescent="0.3">
      <c r="J97878"/>
    </row>
    <row r="97879" spans="10:10" x14ac:dyDescent="0.3">
      <c r="J97879"/>
    </row>
    <row r="97880" spans="10:10" x14ac:dyDescent="0.3">
      <c r="J97880"/>
    </row>
    <row r="97881" spans="10:10" x14ac:dyDescent="0.3">
      <c r="J97881"/>
    </row>
    <row r="97882" spans="10:10" x14ac:dyDescent="0.3">
      <c r="J97882"/>
    </row>
    <row r="97883" spans="10:10" x14ac:dyDescent="0.3">
      <c r="J97883"/>
    </row>
    <row r="97884" spans="10:10" x14ac:dyDescent="0.3">
      <c r="J97884"/>
    </row>
    <row r="97885" spans="10:10" x14ac:dyDescent="0.3">
      <c r="J97885"/>
    </row>
    <row r="97886" spans="10:10" x14ac:dyDescent="0.3">
      <c r="J97886"/>
    </row>
    <row r="97887" spans="10:10" x14ac:dyDescent="0.3">
      <c r="J97887"/>
    </row>
    <row r="97888" spans="10:10" x14ac:dyDescent="0.3">
      <c r="J97888"/>
    </row>
    <row r="97889" spans="10:10" x14ac:dyDescent="0.3">
      <c r="J97889"/>
    </row>
    <row r="97890" spans="10:10" x14ac:dyDescent="0.3">
      <c r="J97890"/>
    </row>
    <row r="97891" spans="10:10" x14ac:dyDescent="0.3">
      <c r="J97891"/>
    </row>
    <row r="97892" spans="10:10" x14ac:dyDescent="0.3">
      <c r="J97892"/>
    </row>
    <row r="97893" spans="10:10" x14ac:dyDescent="0.3">
      <c r="J97893"/>
    </row>
    <row r="97894" spans="10:10" x14ac:dyDescent="0.3">
      <c r="J97894"/>
    </row>
    <row r="97895" spans="10:10" x14ac:dyDescent="0.3">
      <c r="J97895"/>
    </row>
    <row r="97896" spans="10:10" x14ac:dyDescent="0.3">
      <c r="J97896"/>
    </row>
    <row r="97897" spans="10:10" x14ac:dyDescent="0.3">
      <c r="J97897"/>
    </row>
    <row r="97898" spans="10:10" x14ac:dyDescent="0.3">
      <c r="J97898"/>
    </row>
    <row r="97899" spans="10:10" x14ac:dyDescent="0.3">
      <c r="J97899"/>
    </row>
    <row r="97900" spans="10:10" x14ac:dyDescent="0.3">
      <c r="J97900"/>
    </row>
    <row r="97901" spans="10:10" x14ac:dyDescent="0.3">
      <c r="J97901"/>
    </row>
    <row r="97902" spans="10:10" x14ac:dyDescent="0.3">
      <c r="J97902"/>
    </row>
    <row r="97903" spans="10:10" x14ac:dyDescent="0.3">
      <c r="J97903"/>
    </row>
    <row r="97904" spans="10:10" x14ac:dyDescent="0.3">
      <c r="J97904"/>
    </row>
    <row r="97905" spans="10:10" x14ac:dyDescent="0.3">
      <c r="J97905"/>
    </row>
    <row r="97906" spans="10:10" x14ac:dyDescent="0.3">
      <c r="J97906"/>
    </row>
    <row r="97907" spans="10:10" x14ac:dyDescent="0.3">
      <c r="J97907"/>
    </row>
    <row r="97908" spans="10:10" x14ac:dyDescent="0.3">
      <c r="J97908"/>
    </row>
    <row r="97909" spans="10:10" x14ac:dyDescent="0.3">
      <c r="J97909"/>
    </row>
    <row r="97910" spans="10:10" x14ac:dyDescent="0.3">
      <c r="J97910"/>
    </row>
    <row r="97911" spans="10:10" x14ac:dyDescent="0.3">
      <c r="J97911"/>
    </row>
    <row r="97912" spans="10:10" x14ac:dyDescent="0.3">
      <c r="J97912"/>
    </row>
    <row r="97913" spans="10:10" x14ac:dyDescent="0.3">
      <c r="J97913"/>
    </row>
    <row r="97914" spans="10:10" x14ac:dyDescent="0.3">
      <c r="J97914"/>
    </row>
    <row r="97915" spans="10:10" x14ac:dyDescent="0.3">
      <c r="J97915"/>
    </row>
    <row r="97916" spans="10:10" x14ac:dyDescent="0.3">
      <c r="J97916"/>
    </row>
    <row r="97917" spans="10:10" x14ac:dyDescent="0.3">
      <c r="J97917"/>
    </row>
    <row r="97918" spans="10:10" x14ac:dyDescent="0.3">
      <c r="J97918"/>
    </row>
    <row r="97919" spans="10:10" x14ac:dyDescent="0.3">
      <c r="J97919"/>
    </row>
    <row r="97920" spans="10:10" x14ac:dyDescent="0.3">
      <c r="J97920"/>
    </row>
    <row r="97921" spans="10:10" x14ac:dyDescent="0.3">
      <c r="J97921"/>
    </row>
    <row r="97922" spans="10:10" x14ac:dyDescent="0.3">
      <c r="J97922"/>
    </row>
    <row r="97923" spans="10:10" x14ac:dyDescent="0.3">
      <c r="J97923"/>
    </row>
    <row r="97924" spans="10:10" x14ac:dyDescent="0.3">
      <c r="J97924"/>
    </row>
    <row r="97925" spans="10:10" x14ac:dyDescent="0.3">
      <c r="J97925"/>
    </row>
    <row r="97926" spans="10:10" x14ac:dyDescent="0.3">
      <c r="J97926"/>
    </row>
    <row r="97927" spans="10:10" x14ac:dyDescent="0.3">
      <c r="J97927"/>
    </row>
    <row r="97928" spans="10:10" x14ac:dyDescent="0.3">
      <c r="J97928"/>
    </row>
    <row r="97929" spans="10:10" x14ac:dyDescent="0.3">
      <c r="J97929"/>
    </row>
    <row r="97930" spans="10:10" x14ac:dyDescent="0.3">
      <c r="J97930"/>
    </row>
    <row r="97931" spans="10:10" x14ac:dyDescent="0.3">
      <c r="J97931"/>
    </row>
    <row r="97932" spans="10:10" x14ac:dyDescent="0.3">
      <c r="J97932"/>
    </row>
    <row r="97933" spans="10:10" x14ac:dyDescent="0.3">
      <c r="J97933"/>
    </row>
    <row r="97934" spans="10:10" x14ac:dyDescent="0.3">
      <c r="J97934"/>
    </row>
    <row r="97935" spans="10:10" x14ac:dyDescent="0.3">
      <c r="J97935"/>
    </row>
    <row r="97936" spans="10:10" x14ac:dyDescent="0.3">
      <c r="J97936"/>
    </row>
    <row r="97937" spans="10:10" x14ac:dyDescent="0.3">
      <c r="J97937"/>
    </row>
    <row r="97938" spans="10:10" x14ac:dyDescent="0.3">
      <c r="J97938"/>
    </row>
    <row r="97939" spans="10:10" x14ac:dyDescent="0.3">
      <c r="J97939"/>
    </row>
    <row r="97940" spans="10:10" x14ac:dyDescent="0.3">
      <c r="J97940"/>
    </row>
    <row r="97941" spans="10:10" x14ac:dyDescent="0.3">
      <c r="J97941"/>
    </row>
    <row r="97942" spans="10:10" x14ac:dyDescent="0.3">
      <c r="J97942"/>
    </row>
    <row r="97943" spans="10:10" x14ac:dyDescent="0.3">
      <c r="J97943"/>
    </row>
    <row r="97944" spans="10:10" x14ac:dyDescent="0.3">
      <c r="J97944"/>
    </row>
    <row r="97945" spans="10:10" x14ac:dyDescent="0.3">
      <c r="J97945"/>
    </row>
    <row r="97946" spans="10:10" x14ac:dyDescent="0.3">
      <c r="J97946"/>
    </row>
    <row r="97947" spans="10:10" x14ac:dyDescent="0.3">
      <c r="J97947"/>
    </row>
    <row r="97948" spans="10:10" x14ac:dyDescent="0.3">
      <c r="J97948"/>
    </row>
    <row r="97949" spans="10:10" x14ac:dyDescent="0.3">
      <c r="J97949"/>
    </row>
    <row r="97950" spans="10:10" x14ac:dyDescent="0.3">
      <c r="J97950"/>
    </row>
    <row r="97951" spans="10:10" x14ac:dyDescent="0.3">
      <c r="J97951"/>
    </row>
    <row r="97952" spans="10:10" x14ac:dyDescent="0.3">
      <c r="J97952"/>
    </row>
    <row r="97953" spans="10:10" x14ac:dyDescent="0.3">
      <c r="J97953"/>
    </row>
    <row r="97954" spans="10:10" x14ac:dyDescent="0.3">
      <c r="J97954"/>
    </row>
    <row r="97955" spans="10:10" x14ac:dyDescent="0.3">
      <c r="J97955"/>
    </row>
    <row r="97956" spans="10:10" x14ac:dyDescent="0.3">
      <c r="J97956"/>
    </row>
    <row r="97957" spans="10:10" x14ac:dyDescent="0.3">
      <c r="J97957"/>
    </row>
    <row r="97958" spans="10:10" x14ac:dyDescent="0.3">
      <c r="J97958"/>
    </row>
    <row r="97959" spans="10:10" x14ac:dyDescent="0.3">
      <c r="J97959"/>
    </row>
    <row r="97960" spans="10:10" x14ac:dyDescent="0.3">
      <c r="J97960"/>
    </row>
    <row r="97961" spans="10:10" x14ac:dyDescent="0.3">
      <c r="J97961"/>
    </row>
    <row r="97962" spans="10:10" x14ac:dyDescent="0.3">
      <c r="J97962"/>
    </row>
    <row r="97963" spans="10:10" x14ac:dyDescent="0.3">
      <c r="J97963"/>
    </row>
    <row r="97964" spans="10:10" x14ac:dyDescent="0.3">
      <c r="J97964"/>
    </row>
    <row r="97965" spans="10:10" x14ac:dyDescent="0.3">
      <c r="J97965"/>
    </row>
    <row r="97966" spans="10:10" x14ac:dyDescent="0.3">
      <c r="J97966"/>
    </row>
    <row r="97967" spans="10:10" x14ac:dyDescent="0.3">
      <c r="J97967"/>
    </row>
    <row r="97968" spans="10:10" x14ac:dyDescent="0.3">
      <c r="J97968"/>
    </row>
    <row r="97969" spans="10:10" x14ac:dyDescent="0.3">
      <c r="J97969"/>
    </row>
    <row r="97970" spans="10:10" x14ac:dyDescent="0.3">
      <c r="J97970"/>
    </row>
    <row r="97971" spans="10:10" x14ac:dyDescent="0.3">
      <c r="J97971"/>
    </row>
    <row r="97972" spans="10:10" x14ac:dyDescent="0.3">
      <c r="J97972"/>
    </row>
    <row r="97973" spans="10:10" x14ac:dyDescent="0.3">
      <c r="J97973"/>
    </row>
    <row r="97974" spans="10:10" x14ac:dyDescent="0.3">
      <c r="J97974"/>
    </row>
    <row r="97975" spans="10:10" x14ac:dyDescent="0.3">
      <c r="J97975"/>
    </row>
    <row r="97976" spans="10:10" x14ac:dyDescent="0.3">
      <c r="J97976"/>
    </row>
    <row r="97977" spans="10:10" x14ac:dyDescent="0.3">
      <c r="J97977"/>
    </row>
    <row r="97978" spans="10:10" x14ac:dyDescent="0.3">
      <c r="J97978"/>
    </row>
    <row r="97979" spans="10:10" x14ac:dyDescent="0.3">
      <c r="J97979"/>
    </row>
    <row r="97980" spans="10:10" x14ac:dyDescent="0.3">
      <c r="J97980"/>
    </row>
    <row r="97981" spans="10:10" x14ac:dyDescent="0.3">
      <c r="J97981"/>
    </row>
    <row r="97982" spans="10:10" x14ac:dyDescent="0.3">
      <c r="J97982"/>
    </row>
    <row r="97983" spans="10:10" x14ac:dyDescent="0.3">
      <c r="J97983"/>
    </row>
    <row r="97984" spans="10:10" x14ac:dyDescent="0.3">
      <c r="J97984"/>
    </row>
    <row r="97985" spans="10:10" x14ac:dyDescent="0.3">
      <c r="J97985"/>
    </row>
    <row r="97986" spans="10:10" x14ac:dyDescent="0.3">
      <c r="J97986"/>
    </row>
    <row r="97987" spans="10:10" x14ac:dyDescent="0.3">
      <c r="J97987"/>
    </row>
    <row r="97988" spans="10:10" x14ac:dyDescent="0.3">
      <c r="J97988"/>
    </row>
    <row r="97989" spans="10:10" x14ac:dyDescent="0.3">
      <c r="J97989"/>
    </row>
    <row r="97990" spans="10:10" x14ac:dyDescent="0.3">
      <c r="J97990"/>
    </row>
    <row r="97991" spans="10:10" x14ac:dyDescent="0.3">
      <c r="J97991"/>
    </row>
    <row r="97992" spans="10:10" x14ac:dyDescent="0.3">
      <c r="J97992"/>
    </row>
    <row r="97993" spans="10:10" x14ac:dyDescent="0.3">
      <c r="J97993"/>
    </row>
    <row r="97994" spans="10:10" x14ac:dyDescent="0.3">
      <c r="J97994"/>
    </row>
    <row r="97995" spans="10:10" x14ac:dyDescent="0.3">
      <c r="J97995"/>
    </row>
    <row r="97996" spans="10:10" x14ac:dyDescent="0.3">
      <c r="J97996"/>
    </row>
    <row r="97997" spans="10:10" x14ac:dyDescent="0.3">
      <c r="J97997"/>
    </row>
    <row r="97998" spans="10:10" x14ac:dyDescent="0.3">
      <c r="J97998"/>
    </row>
    <row r="97999" spans="10:10" x14ac:dyDescent="0.3">
      <c r="J97999"/>
    </row>
    <row r="98000" spans="10:10" x14ac:dyDescent="0.3">
      <c r="J98000"/>
    </row>
    <row r="98001" spans="10:10" x14ac:dyDescent="0.3">
      <c r="J98001"/>
    </row>
    <row r="98002" spans="10:10" x14ac:dyDescent="0.3">
      <c r="J98002"/>
    </row>
    <row r="98003" spans="10:10" x14ac:dyDescent="0.3">
      <c r="J98003"/>
    </row>
    <row r="98004" spans="10:10" x14ac:dyDescent="0.3">
      <c r="J98004"/>
    </row>
    <row r="98005" spans="10:10" x14ac:dyDescent="0.3">
      <c r="J98005"/>
    </row>
    <row r="98006" spans="10:10" x14ac:dyDescent="0.3">
      <c r="J98006"/>
    </row>
    <row r="98007" spans="10:10" x14ac:dyDescent="0.3">
      <c r="J98007"/>
    </row>
    <row r="98008" spans="10:10" x14ac:dyDescent="0.3">
      <c r="J98008"/>
    </row>
    <row r="98009" spans="10:10" x14ac:dyDescent="0.3">
      <c r="J98009"/>
    </row>
    <row r="98010" spans="10:10" x14ac:dyDescent="0.3">
      <c r="J98010"/>
    </row>
    <row r="98011" spans="10:10" x14ac:dyDescent="0.3">
      <c r="J98011"/>
    </row>
    <row r="98012" spans="10:10" x14ac:dyDescent="0.3">
      <c r="J98012"/>
    </row>
    <row r="98013" spans="10:10" x14ac:dyDescent="0.3">
      <c r="J98013"/>
    </row>
    <row r="98014" spans="10:10" x14ac:dyDescent="0.3">
      <c r="J98014"/>
    </row>
    <row r="98015" spans="10:10" x14ac:dyDescent="0.3">
      <c r="J98015"/>
    </row>
    <row r="98016" spans="10:10" x14ac:dyDescent="0.3">
      <c r="J98016"/>
    </row>
    <row r="98017" spans="10:10" x14ac:dyDescent="0.3">
      <c r="J98017"/>
    </row>
    <row r="98018" spans="10:10" x14ac:dyDescent="0.3">
      <c r="J98018"/>
    </row>
    <row r="98019" spans="10:10" x14ac:dyDescent="0.3">
      <c r="J98019"/>
    </row>
    <row r="98020" spans="10:10" x14ac:dyDescent="0.3">
      <c r="J98020"/>
    </row>
    <row r="98021" spans="10:10" x14ac:dyDescent="0.3">
      <c r="J98021"/>
    </row>
    <row r="98022" spans="10:10" x14ac:dyDescent="0.3">
      <c r="J98022"/>
    </row>
    <row r="98023" spans="10:10" x14ac:dyDescent="0.3">
      <c r="J98023"/>
    </row>
    <row r="98024" spans="10:10" x14ac:dyDescent="0.3">
      <c r="J98024"/>
    </row>
    <row r="98025" spans="10:10" x14ac:dyDescent="0.3">
      <c r="J98025"/>
    </row>
    <row r="98026" spans="10:10" x14ac:dyDescent="0.3">
      <c r="J98026"/>
    </row>
    <row r="98027" spans="10:10" x14ac:dyDescent="0.3">
      <c r="J98027"/>
    </row>
    <row r="98028" spans="10:10" x14ac:dyDescent="0.3">
      <c r="J98028"/>
    </row>
    <row r="98029" spans="10:10" x14ac:dyDescent="0.3">
      <c r="J98029"/>
    </row>
    <row r="98030" spans="10:10" x14ac:dyDescent="0.3">
      <c r="J98030"/>
    </row>
    <row r="98031" spans="10:10" x14ac:dyDescent="0.3">
      <c r="J98031"/>
    </row>
    <row r="98032" spans="10:10" x14ac:dyDescent="0.3">
      <c r="J98032"/>
    </row>
    <row r="98033" spans="10:10" x14ac:dyDescent="0.3">
      <c r="J98033"/>
    </row>
    <row r="98034" spans="10:10" x14ac:dyDescent="0.3">
      <c r="J98034"/>
    </row>
    <row r="98035" spans="10:10" x14ac:dyDescent="0.3">
      <c r="J98035"/>
    </row>
    <row r="98036" spans="10:10" x14ac:dyDescent="0.3">
      <c r="J98036"/>
    </row>
    <row r="98037" spans="10:10" x14ac:dyDescent="0.3">
      <c r="J98037"/>
    </row>
    <row r="98038" spans="10:10" x14ac:dyDescent="0.3">
      <c r="J98038"/>
    </row>
    <row r="98039" spans="10:10" x14ac:dyDescent="0.3">
      <c r="J98039"/>
    </row>
    <row r="98040" spans="10:10" x14ac:dyDescent="0.3">
      <c r="J98040"/>
    </row>
    <row r="98041" spans="10:10" x14ac:dyDescent="0.3">
      <c r="J98041"/>
    </row>
    <row r="98042" spans="10:10" x14ac:dyDescent="0.3">
      <c r="J98042"/>
    </row>
    <row r="98043" spans="10:10" x14ac:dyDescent="0.3">
      <c r="J98043"/>
    </row>
    <row r="98044" spans="10:10" x14ac:dyDescent="0.3">
      <c r="J98044"/>
    </row>
    <row r="98045" spans="10:10" x14ac:dyDescent="0.3">
      <c r="J98045"/>
    </row>
    <row r="98046" spans="10:10" x14ac:dyDescent="0.3">
      <c r="J98046"/>
    </row>
    <row r="98047" spans="10:10" x14ac:dyDescent="0.3">
      <c r="J98047"/>
    </row>
    <row r="98048" spans="10:10" x14ac:dyDescent="0.3">
      <c r="J98048"/>
    </row>
    <row r="98049" spans="10:10" x14ac:dyDescent="0.3">
      <c r="J98049"/>
    </row>
    <row r="98050" spans="10:10" x14ac:dyDescent="0.3">
      <c r="J98050"/>
    </row>
    <row r="98051" spans="10:10" x14ac:dyDescent="0.3">
      <c r="J98051"/>
    </row>
    <row r="98052" spans="10:10" x14ac:dyDescent="0.3">
      <c r="J98052"/>
    </row>
    <row r="98053" spans="10:10" x14ac:dyDescent="0.3">
      <c r="J98053"/>
    </row>
    <row r="98054" spans="10:10" x14ac:dyDescent="0.3">
      <c r="J98054"/>
    </row>
    <row r="98055" spans="10:10" x14ac:dyDescent="0.3">
      <c r="J98055"/>
    </row>
    <row r="98056" spans="10:10" x14ac:dyDescent="0.3">
      <c r="J98056"/>
    </row>
    <row r="98057" spans="10:10" x14ac:dyDescent="0.3">
      <c r="J98057"/>
    </row>
    <row r="98058" spans="10:10" x14ac:dyDescent="0.3">
      <c r="J98058"/>
    </row>
    <row r="98059" spans="10:10" x14ac:dyDescent="0.3">
      <c r="J98059"/>
    </row>
    <row r="98060" spans="10:10" x14ac:dyDescent="0.3">
      <c r="J98060"/>
    </row>
    <row r="98061" spans="10:10" x14ac:dyDescent="0.3">
      <c r="J98061"/>
    </row>
    <row r="98062" spans="10:10" x14ac:dyDescent="0.3">
      <c r="J98062"/>
    </row>
    <row r="98063" spans="10:10" x14ac:dyDescent="0.3">
      <c r="J98063"/>
    </row>
    <row r="98064" spans="10:10" x14ac:dyDescent="0.3">
      <c r="J98064"/>
    </row>
    <row r="98065" spans="10:10" x14ac:dyDescent="0.3">
      <c r="J98065"/>
    </row>
    <row r="98066" spans="10:10" x14ac:dyDescent="0.3">
      <c r="J98066"/>
    </row>
    <row r="98067" spans="10:10" x14ac:dyDescent="0.3">
      <c r="J98067"/>
    </row>
    <row r="98068" spans="10:10" x14ac:dyDescent="0.3">
      <c r="J98068"/>
    </row>
    <row r="98069" spans="10:10" x14ac:dyDescent="0.3">
      <c r="J98069"/>
    </row>
    <row r="98070" spans="10:10" x14ac:dyDescent="0.3">
      <c r="J98070"/>
    </row>
    <row r="98071" spans="10:10" x14ac:dyDescent="0.3">
      <c r="J98071"/>
    </row>
    <row r="98072" spans="10:10" x14ac:dyDescent="0.3">
      <c r="J98072"/>
    </row>
    <row r="98073" spans="10:10" x14ac:dyDescent="0.3">
      <c r="J98073"/>
    </row>
    <row r="98074" spans="10:10" x14ac:dyDescent="0.3">
      <c r="J98074"/>
    </row>
    <row r="98075" spans="10:10" x14ac:dyDescent="0.3">
      <c r="J98075"/>
    </row>
    <row r="98076" spans="10:10" x14ac:dyDescent="0.3">
      <c r="J98076"/>
    </row>
    <row r="98077" spans="10:10" x14ac:dyDescent="0.3">
      <c r="J98077"/>
    </row>
    <row r="98078" spans="10:10" x14ac:dyDescent="0.3">
      <c r="J98078"/>
    </row>
    <row r="98079" spans="10:10" x14ac:dyDescent="0.3">
      <c r="J98079"/>
    </row>
    <row r="98080" spans="10:10" x14ac:dyDescent="0.3">
      <c r="J98080"/>
    </row>
    <row r="98081" spans="10:10" x14ac:dyDescent="0.3">
      <c r="J98081"/>
    </row>
    <row r="98082" spans="10:10" x14ac:dyDescent="0.3">
      <c r="J98082"/>
    </row>
    <row r="98083" spans="10:10" x14ac:dyDescent="0.3">
      <c r="J98083"/>
    </row>
    <row r="98084" spans="10:10" x14ac:dyDescent="0.3">
      <c r="J98084"/>
    </row>
    <row r="98085" spans="10:10" x14ac:dyDescent="0.3">
      <c r="J98085"/>
    </row>
    <row r="98086" spans="10:10" x14ac:dyDescent="0.3">
      <c r="J98086"/>
    </row>
    <row r="98087" spans="10:10" x14ac:dyDescent="0.3">
      <c r="J98087"/>
    </row>
    <row r="98088" spans="10:10" x14ac:dyDescent="0.3">
      <c r="J98088"/>
    </row>
    <row r="98089" spans="10:10" x14ac:dyDescent="0.3">
      <c r="J98089"/>
    </row>
    <row r="98090" spans="10:10" x14ac:dyDescent="0.3">
      <c r="J98090"/>
    </row>
    <row r="98091" spans="10:10" x14ac:dyDescent="0.3">
      <c r="J98091"/>
    </row>
    <row r="98092" spans="10:10" x14ac:dyDescent="0.3">
      <c r="J98092"/>
    </row>
    <row r="98093" spans="10:10" x14ac:dyDescent="0.3">
      <c r="J98093"/>
    </row>
    <row r="98094" spans="10:10" x14ac:dyDescent="0.3">
      <c r="J98094"/>
    </row>
    <row r="98095" spans="10:10" x14ac:dyDescent="0.3">
      <c r="J98095"/>
    </row>
    <row r="98096" spans="10:10" x14ac:dyDescent="0.3">
      <c r="J98096"/>
    </row>
    <row r="98097" spans="10:10" x14ac:dyDescent="0.3">
      <c r="J98097"/>
    </row>
    <row r="98098" spans="10:10" x14ac:dyDescent="0.3">
      <c r="J98098"/>
    </row>
    <row r="98099" spans="10:10" x14ac:dyDescent="0.3">
      <c r="J98099"/>
    </row>
    <row r="98100" spans="10:10" x14ac:dyDescent="0.3">
      <c r="J98100"/>
    </row>
    <row r="98101" spans="10:10" x14ac:dyDescent="0.3">
      <c r="J98101"/>
    </row>
    <row r="98102" spans="10:10" x14ac:dyDescent="0.3">
      <c r="J98102"/>
    </row>
    <row r="98103" spans="10:10" x14ac:dyDescent="0.3">
      <c r="J98103"/>
    </row>
    <row r="98104" spans="10:10" x14ac:dyDescent="0.3">
      <c r="J98104"/>
    </row>
    <row r="98105" spans="10:10" x14ac:dyDescent="0.3">
      <c r="J98105"/>
    </row>
    <row r="98106" spans="10:10" x14ac:dyDescent="0.3">
      <c r="J98106"/>
    </row>
    <row r="98107" spans="10:10" x14ac:dyDescent="0.3">
      <c r="J98107"/>
    </row>
    <row r="98108" spans="10:10" x14ac:dyDescent="0.3">
      <c r="J98108"/>
    </row>
    <row r="98109" spans="10:10" x14ac:dyDescent="0.3">
      <c r="J98109"/>
    </row>
    <row r="98110" spans="10:10" x14ac:dyDescent="0.3">
      <c r="J98110"/>
    </row>
    <row r="98111" spans="10:10" x14ac:dyDescent="0.3">
      <c r="J98111"/>
    </row>
    <row r="98112" spans="10:10" x14ac:dyDescent="0.3">
      <c r="J98112"/>
    </row>
    <row r="98113" spans="10:10" x14ac:dyDescent="0.3">
      <c r="J98113"/>
    </row>
    <row r="98114" spans="10:10" x14ac:dyDescent="0.3">
      <c r="J98114"/>
    </row>
    <row r="98115" spans="10:10" x14ac:dyDescent="0.3">
      <c r="J98115"/>
    </row>
    <row r="98116" spans="10:10" x14ac:dyDescent="0.3">
      <c r="J98116"/>
    </row>
    <row r="98117" spans="10:10" x14ac:dyDescent="0.3">
      <c r="J98117"/>
    </row>
    <row r="98118" spans="10:10" x14ac:dyDescent="0.3">
      <c r="J98118"/>
    </row>
    <row r="98119" spans="10:10" x14ac:dyDescent="0.3">
      <c r="J98119"/>
    </row>
    <row r="98120" spans="10:10" x14ac:dyDescent="0.3">
      <c r="J98120"/>
    </row>
    <row r="98121" spans="10:10" x14ac:dyDescent="0.3">
      <c r="J98121"/>
    </row>
    <row r="98122" spans="10:10" x14ac:dyDescent="0.3">
      <c r="J98122"/>
    </row>
    <row r="98123" spans="10:10" x14ac:dyDescent="0.3">
      <c r="J98123"/>
    </row>
    <row r="98124" spans="10:10" x14ac:dyDescent="0.3">
      <c r="J98124"/>
    </row>
    <row r="98125" spans="10:10" x14ac:dyDescent="0.3">
      <c r="J98125"/>
    </row>
    <row r="98126" spans="10:10" x14ac:dyDescent="0.3">
      <c r="J98126"/>
    </row>
    <row r="98127" spans="10:10" x14ac:dyDescent="0.3">
      <c r="J98127"/>
    </row>
    <row r="98128" spans="10:10" x14ac:dyDescent="0.3">
      <c r="J98128"/>
    </row>
    <row r="98129" spans="10:10" x14ac:dyDescent="0.3">
      <c r="J98129"/>
    </row>
    <row r="98130" spans="10:10" x14ac:dyDescent="0.3">
      <c r="J98130"/>
    </row>
    <row r="98131" spans="10:10" x14ac:dyDescent="0.3">
      <c r="J98131"/>
    </row>
    <row r="98132" spans="10:10" x14ac:dyDescent="0.3">
      <c r="J98132"/>
    </row>
    <row r="98133" spans="10:10" x14ac:dyDescent="0.3">
      <c r="J98133"/>
    </row>
    <row r="98134" spans="10:10" x14ac:dyDescent="0.3">
      <c r="J98134"/>
    </row>
    <row r="98135" spans="10:10" x14ac:dyDescent="0.3">
      <c r="J98135"/>
    </row>
    <row r="98136" spans="10:10" x14ac:dyDescent="0.3">
      <c r="J98136"/>
    </row>
    <row r="98137" spans="10:10" x14ac:dyDescent="0.3">
      <c r="J98137"/>
    </row>
    <row r="98138" spans="10:10" x14ac:dyDescent="0.3">
      <c r="J98138"/>
    </row>
    <row r="98139" spans="10:10" x14ac:dyDescent="0.3">
      <c r="J98139"/>
    </row>
    <row r="98140" spans="10:10" x14ac:dyDescent="0.3">
      <c r="J98140"/>
    </row>
    <row r="98141" spans="10:10" x14ac:dyDescent="0.3">
      <c r="J98141"/>
    </row>
    <row r="98142" spans="10:10" x14ac:dyDescent="0.3">
      <c r="J98142"/>
    </row>
    <row r="98143" spans="10:10" x14ac:dyDescent="0.3">
      <c r="J98143"/>
    </row>
    <row r="98144" spans="10:10" x14ac:dyDescent="0.3">
      <c r="J98144"/>
    </row>
    <row r="98145" spans="10:10" x14ac:dyDescent="0.3">
      <c r="J98145"/>
    </row>
    <row r="98146" spans="10:10" x14ac:dyDescent="0.3">
      <c r="J98146"/>
    </row>
    <row r="98147" spans="10:10" x14ac:dyDescent="0.3">
      <c r="J98147"/>
    </row>
    <row r="98148" spans="10:10" x14ac:dyDescent="0.3">
      <c r="J98148"/>
    </row>
    <row r="98149" spans="10:10" x14ac:dyDescent="0.3">
      <c r="J98149"/>
    </row>
    <row r="98150" spans="10:10" x14ac:dyDescent="0.3">
      <c r="J98150"/>
    </row>
    <row r="98151" spans="10:10" x14ac:dyDescent="0.3">
      <c r="J98151"/>
    </row>
    <row r="98152" spans="10:10" x14ac:dyDescent="0.3">
      <c r="J98152"/>
    </row>
    <row r="98153" spans="10:10" x14ac:dyDescent="0.3">
      <c r="J98153"/>
    </row>
    <row r="98154" spans="10:10" x14ac:dyDescent="0.3">
      <c r="J98154"/>
    </row>
    <row r="98155" spans="10:10" x14ac:dyDescent="0.3">
      <c r="J98155"/>
    </row>
    <row r="98156" spans="10:10" x14ac:dyDescent="0.3">
      <c r="J98156"/>
    </row>
    <row r="98157" spans="10:10" x14ac:dyDescent="0.3">
      <c r="J98157"/>
    </row>
    <row r="98158" spans="10:10" x14ac:dyDescent="0.3">
      <c r="J98158"/>
    </row>
    <row r="98159" spans="10:10" x14ac:dyDescent="0.3">
      <c r="J98159"/>
    </row>
    <row r="98160" spans="10:10" x14ac:dyDescent="0.3">
      <c r="J98160"/>
    </row>
    <row r="98161" spans="10:10" x14ac:dyDescent="0.3">
      <c r="J98161"/>
    </row>
    <row r="98162" spans="10:10" x14ac:dyDescent="0.3">
      <c r="J98162"/>
    </row>
    <row r="98163" spans="10:10" x14ac:dyDescent="0.3">
      <c r="J98163"/>
    </row>
    <row r="98164" spans="10:10" x14ac:dyDescent="0.3">
      <c r="J98164"/>
    </row>
    <row r="98165" spans="10:10" x14ac:dyDescent="0.3">
      <c r="J98165"/>
    </row>
    <row r="98166" spans="10:10" x14ac:dyDescent="0.3">
      <c r="J98166"/>
    </row>
    <row r="98167" spans="10:10" x14ac:dyDescent="0.3">
      <c r="J98167"/>
    </row>
    <row r="98168" spans="10:10" x14ac:dyDescent="0.3">
      <c r="J98168"/>
    </row>
    <row r="98169" spans="10:10" x14ac:dyDescent="0.3">
      <c r="J98169"/>
    </row>
    <row r="98170" spans="10:10" x14ac:dyDescent="0.3">
      <c r="J98170"/>
    </row>
    <row r="98171" spans="10:10" x14ac:dyDescent="0.3">
      <c r="J98171"/>
    </row>
    <row r="98172" spans="10:10" x14ac:dyDescent="0.3">
      <c r="J98172"/>
    </row>
    <row r="98173" spans="10:10" x14ac:dyDescent="0.3">
      <c r="J98173"/>
    </row>
    <row r="98174" spans="10:10" x14ac:dyDescent="0.3">
      <c r="J98174"/>
    </row>
    <row r="98175" spans="10:10" x14ac:dyDescent="0.3">
      <c r="J98175"/>
    </row>
    <row r="98176" spans="10:10" x14ac:dyDescent="0.3">
      <c r="J98176"/>
    </row>
    <row r="98177" spans="10:10" x14ac:dyDescent="0.3">
      <c r="J98177"/>
    </row>
    <row r="98178" spans="10:10" x14ac:dyDescent="0.3">
      <c r="J98178"/>
    </row>
    <row r="98179" spans="10:10" x14ac:dyDescent="0.3">
      <c r="J98179"/>
    </row>
    <row r="98180" spans="10:10" x14ac:dyDescent="0.3">
      <c r="J98180"/>
    </row>
    <row r="98181" spans="10:10" x14ac:dyDescent="0.3">
      <c r="J98181"/>
    </row>
    <row r="98182" spans="10:10" x14ac:dyDescent="0.3">
      <c r="J98182"/>
    </row>
    <row r="98183" spans="10:10" x14ac:dyDescent="0.3">
      <c r="J98183"/>
    </row>
    <row r="98184" spans="10:10" x14ac:dyDescent="0.3">
      <c r="J98184"/>
    </row>
    <row r="98185" spans="10:10" x14ac:dyDescent="0.3">
      <c r="J98185"/>
    </row>
    <row r="98186" spans="10:10" x14ac:dyDescent="0.3">
      <c r="J98186"/>
    </row>
    <row r="98187" spans="10:10" x14ac:dyDescent="0.3">
      <c r="J98187"/>
    </row>
    <row r="98188" spans="10:10" x14ac:dyDescent="0.3">
      <c r="J98188"/>
    </row>
    <row r="98189" spans="10:10" x14ac:dyDescent="0.3">
      <c r="J98189"/>
    </row>
    <row r="98190" spans="10:10" x14ac:dyDescent="0.3">
      <c r="J98190"/>
    </row>
    <row r="98191" spans="10:10" x14ac:dyDescent="0.3">
      <c r="J98191"/>
    </row>
    <row r="98192" spans="10:10" x14ac:dyDescent="0.3">
      <c r="J98192"/>
    </row>
    <row r="98193" spans="10:10" x14ac:dyDescent="0.3">
      <c r="J98193"/>
    </row>
    <row r="98194" spans="10:10" x14ac:dyDescent="0.3">
      <c r="J98194"/>
    </row>
    <row r="98195" spans="10:10" x14ac:dyDescent="0.3">
      <c r="J98195"/>
    </row>
    <row r="98196" spans="10:10" x14ac:dyDescent="0.3">
      <c r="J98196"/>
    </row>
    <row r="98197" spans="10:10" x14ac:dyDescent="0.3">
      <c r="J98197"/>
    </row>
    <row r="98198" spans="10:10" x14ac:dyDescent="0.3">
      <c r="J98198"/>
    </row>
    <row r="98199" spans="10:10" x14ac:dyDescent="0.3">
      <c r="J98199"/>
    </row>
    <row r="98200" spans="10:10" x14ac:dyDescent="0.3">
      <c r="J98200"/>
    </row>
    <row r="98201" spans="10:10" x14ac:dyDescent="0.3">
      <c r="J98201"/>
    </row>
    <row r="98202" spans="10:10" x14ac:dyDescent="0.3">
      <c r="J98202"/>
    </row>
    <row r="98203" spans="10:10" x14ac:dyDescent="0.3">
      <c r="J98203"/>
    </row>
    <row r="98204" spans="10:10" x14ac:dyDescent="0.3">
      <c r="J98204"/>
    </row>
    <row r="98205" spans="10:10" x14ac:dyDescent="0.3">
      <c r="J98205"/>
    </row>
    <row r="98206" spans="10:10" x14ac:dyDescent="0.3">
      <c r="J98206"/>
    </row>
    <row r="98207" spans="10:10" x14ac:dyDescent="0.3">
      <c r="J98207"/>
    </row>
    <row r="98208" spans="10:10" x14ac:dyDescent="0.3">
      <c r="J98208"/>
    </row>
    <row r="98209" spans="10:10" x14ac:dyDescent="0.3">
      <c r="J98209"/>
    </row>
    <row r="98210" spans="10:10" x14ac:dyDescent="0.3">
      <c r="J98210"/>
    </row>
    <row r="98211" spans="10:10" x14ac:dyDescent="0.3">
      <c r="J98211"/>
    </row>
    <row r="98212" spans="10:10" x14ac:dyDescent="0.3">
      <c r="J98212"/>
    </row>
    <row r="98213" spans="10:10" x14ac:dyDescent="0.3">
      <c r="J98213"/>
    </row>
    <row r="98214" spans="10:10" x14ac:dyDescent="0.3">
      <c r="J98214"/>
    </row>
    <row r="98215" spans="10:10" x14ac:dyDescent="0.3">
      <c r="J98215"/>
    </row>
    <row r="98216" spans="10:10" x14ac:dyDescent="0.3">
      <c r="J98216"/>
    </row>
    <row r="98217" spans="10:10" x14ac:dyDescent="0.3">
      <c r="J98217"/>
    </row>
    <row r="98218" spans="10:10" x14ac:dyDescent="0.3">
      <c r="J98218"/>
    </row>
    <row r="98219" spans="10:10" x14ac:dyDescent="0.3">
      <c r="J98219"/>
    </row>
    <row r="98220" spans="10:10" x14ac:dyDescent="0.3">
      <c r="J98220"/>
    </row>
    <row r="98221" spans="10:10" x14ac:dyDescent="0.3">
      <c r="J98221"/>
    </row>
    <row r="98222" spans="10:10" x14ac:dyDescent="0.3">
      <c r="J98222"/>
    </row>
    <row r="98223" spans="10:10" x14ac:dyDescent="0.3">
      <c r="J98223"/>
    </row>
    <row r="98224" spans="10:10" x14ac:dyDescent="0.3">
      <c r="J98224"/>
    </row>
    <row r="98225" spans="10:10" x14ac:dyDescent="0.3">
      <c r="J98225"/>
    </row>
    <row r="98226" spans="10:10" x14ac:dyDescent="0.3">
      <c r="J98226"/>
    </row>
    <row r="98227" spans="10:10" x14ac:dyDescent="0.3">
      <c r="J98227"/>
    </row>
    <row r="98228" spans="10:10" x14ac:dyDescent="0.3">
      <c r="J98228"/>
    </row>
    <row r="98229" spans="10:10" x14ac:dyDescent="0.3">
      <c r="J98229"/>
    </row>
    <row r="98230" spans="10:10" x14ac:dyDescent="0.3">
      <c r="J98230"/>
    </row>
    <row r="98231" spans="10:10" x14ac:dyDescent="0.3">
      <c r="J98231"/>
    </row>
    <row r="98232" spans="10:10" x14ac:dyDescent="0.3">
      <c r="J98232"/>
    </row>
    <row r="98233" spans="10:10" x14ac:dyDescent="0.3">
      <c r="J98233"/>
    </row>
    <row r="98234" spans="10:10" x14ac:dyDescent="0.3">
      <c r="J98234"/>
    </row>
    <row r="98235" spans="10:10" x14ac:dyDescent="0.3">
      <c r="J98235"/>
    </row>
    <row r="98236" spans="10:10" x14ac:dyDescent="0.3">
      <c r="J98236"/>
    </row>
    <row r="98237" spans="10:10" x14ac:dyDescent="0.3">
      <c r="J98237"/>
    </row>
    <row r="98238" spans="10:10" x14ac:dyDescent="0.3">
      <c r="J98238"/>
    </row>
    <row r="98239" spans="10:10" x14ac:dyDescent="0.3">
      <c r="J98239"/>
    </row>
    <row r="98240" spans="10:10" x14ac:dyDescent="0.3">
      <c r="J98240"/>
    </row>
    <row r="98241" spans="10:10" x14ac:dyDescent="0.3">
      <c r="J98241"/>
    </row>
    <row r="98242" spans="10:10" x14ac:dyDescent="0.3">
      <c r="J98242"/>
    </row>
    <row r="98243" spans="10:10" x14ac:dyDescent="0.3">
      <c r="J98243"/>
    </row>
    <row r="98244" spans="10:10" x14ac:dyDescent="0.3">
      <c r="J98244"/>
    </row>
    <row r="98245" spans="10:10" x14ac:dyDescent="0.3">
      <c r="J98245"/>
    </row>
    <row r="98246" spans="10:10" x14ac:dyDescent="0.3">
      <c r="J98246"/>
    </row>
    <row r="98247" spans="10:10" x14ac:dyDescent="0.3">
      <c r="J98247"/>
    </row>
    <row r="98248" spans="10:10" x14ac:dyDescent="0.3">
      <c r="J98248"/>
    </row>
    <row r="98249" spans="10:10" x14ac:dyDescent="0.3">
      <c r="J98249"/>
    </row>
    <row r="98250" spans="10:10" x14ac:dyDescent="0.3">
      <c r="J98250"/>
    </row>
    <row r="98251" spans="10:10" x14ac:dyDescent="0.3">
      <c r="J98251"/>
    </row>
    <row r="98252" spans="10:10" x14ac:dyDescent="0.3">
      <c r="J98252"/>
    </row>
    <row r="98253" spans="10:10" x14ac:dyDescent="0.3">
      <c r="J98253"/>
    </row>
    <row r="98254" spans="10:10" x14ac:dyDescent="0.3">
      <c r="J98254"/>
    </row>
    <row r="98255" spans="10:10" x14ac:dyDescent="0.3">
      <c r="J98255"/>
    </row>
    <row r="98256" spans="10:10" x14ac:dyDescent="0.3">
      <c r="J98256"/>
    </row>
    <row r="98257" spans="10:10" x14ac:dyDescent="0.3">
      <c r="J98257"/>
    </row>
    <row r="98258" spans="10:10" x14ac:dyDescent="0.3">
      <c r="J98258"/>
    </row>
    <row r="98259" spans="10:10" x14ac:dyDescent="0.3">
      <c r="J98259"/>
    </row>
    <row r="98260" spans="10:10" x14ac:dyDescent="0.3">
      <c r="J98260"/>
    </row>
    <row r="98261" spans="10:10" x14ac:dyDescent="0.3">
      <c r="J98261"/>
    </row>
    <row r="98262" spans="10:10" x14ac:dyDescent="0.3">
      <c r="J98262"/>
    </row>
    <row r="98263" spans="10:10" x14ac:dyDescent="0.3">
      <c r="J98263"/>
    </row>
    <row r="98264" spans="10:10" x14ac:dyDescent="0.3">
      <c r="J98264"/>
    </row>
    <row r="98265" spans="10:10" x14ac:dyDescent="0.3">
      <c r="J98265"/>
    </row>
    <row r="98266" spans="10:10" x14ac:dyDescent="0.3">
      <c r="J98266"/>
    </row>
    <row r="98267" spans="10:10" x14ac:dyDescent="0.3">
      <c r="J98267"/>
    </row>
    <row r="98268" spans="10:10" x14ac:dyDescent="0.3">
      <c r="J98268"/>
    </row>
    <row r="98269" spans="10:10" x14ac:dyDescent="0.3">
      <c r="J98269"/>
    </row>
    <row r="98270" spans="10:10" x14ac:dyDescent="0.3">
      <c r="J98270"/>
    </row>
    <row r="98271" spans="10:10" x14ac:dyDescent="0.3">
      <c r="J98271"/>
    </row>
    <row r="98272" spans="10:10" x14ac:dyDescent="0.3">
      <c r="J98272"/>
    </row>
    <row r="98273" spans="10:10" x14ac:dyDescent="0.3">
      <c r="J98273"/>
    </row>
    <row r="98274" spans="10:10" x14ac:dyDescent="0.3">
      <c r="J98274"/>
    </row>
    <row r="98275" spans="10:10" x14ac:dyDescent="0.3">
      <c r="J98275"/>
    </row>
    <row r="98276" spans="10:10" x14ac:dyDescent="0.3">
      <c r="J98276"/>
    </row>
    <row r="98277" spans="10:10" x14ac:dyDescent="0.3">
      <c r="J98277"/>
    </row>
    <row r="98278" spans="10:10" x14ac:dyDescent="0.3">
      <c r="J98278"/>
    </row>
    <row r="98279" spans="10:10" x14ac:dyDescent="0.3">
      <c r="J98279"/>
    </row>
    <row r="98280" spans="10:10" x14ac:dyDescent="0.3">
      <c r="J98280"/>
    </row>
    <row r="98281" spans="10:10" x14ac:dyDescent="0.3">
      <c r="J98281"/>
    </row>
    <row r="98282" spans="10:10" x14ac:dyDescent="0.3">
      <c r="J98282"/>
    </row>
    <row r="98283" spans="10:10" x14ac:dyDescent="0.3">
      <c r="J98283"/>
    </row>
    <row r="98284" spans="10:10" x14ac:dyDescent="0.3">
      <c r="J98284"/>
    </row>
    <row r="98285" spans="10:10" x14ac:dyDescent="0.3">
      <c r="J98285"/>
    </row>
    <row r="98286" spans="10:10" x14ac:dyDescent="0.3">
      <c r="J98286"/>
    </row>
    <row r="98287" spans="10:10" x14ac:dyDescent="0.3">
      <c r="J98287"/>
    </row>
    <row r="98288" spans="10:10" x14ac:dyDescent="0.3">
      <c r="J98288"/>
    </row>
    <row r="98289" spans="10:10" x14ac:dyDescent="0.3">
      <c r="J98289"/>
    </row>
    <row r="98290" spans="10:10" x14ac:dyDescent="0.3">
      <c r="J98290"/>
    </row>
    <row r="98291" spans="10:10" x14ac:dyDescent="0.3">
      <c r="J98291"/>
    </row>
    <row r="98292" spans="10:10" x14ac:dyDescent="0.3">
      <c r="J98292"/>
    </row>
    <row r="98293" spans="10:10" x14ac:dyDescent="0.3">
      <c r="J98293"/>
    </row>
    <row r="98294" spans="10:10" x14ac:dyDescent="0.3">
      <c r="J98294"/>
    </row>
    <row r="98295" spans="10:10" x14ac:dyDescent="0.3">
      <c r="J98295"/>
    </row>
    <row r="98296" spans="10:10" x14ac:dyDescent="0.3">
      <c r="J98296"/>
    </row>
    <row r="98297" spans="10:10" x14ac:dyDescent="0.3">
      <c r="J98297"/>
    </row>
    <row r="98298" spans="10:10" x14ac:dyDescent="0.3">
      <c r="J98298"/>
    </row>
    <row r="98299" spans="10:10" x14ac:dyDescent="0.3">
      <c r="J98299"/>
    </row>
    <row r="98300" spans="10:10" x14ac:dyDescent="0.3">
      <c r="J98300"/>
    </row>
    <row r="98301" spans="10:10" x14ac:dyDescent="0.3">
      <c r="J98301"/>
    </row>
    <row r="98302" spans="10:10" x14ac:dyDescent="0.3">
      <c r="J98302"/>
    </row>
    <row r="98303" spans="10:10" x14ac:dyDescent="0.3">
      <c r="J98303"/>
    </row>
    <row r="98304" spans="10:10" x14ac:dyDescent="0.3">
      <c r="J98304"/>
    </row>
    <row r="98305" spans="10:10" x14ac:dyDescent="0.3">
      <c r="J98305"/>
    </row>
    <row r="98306" spans="10:10" x14ac:dyDescent="0.3">
      <c r="J98306"/>
    </row>
    <row r="98307" spans="10:10" x14ac:dyDescent="0.3">
      <c r="J98307"/>
    </row>
    <row r="98308" spans="10:10" x14ac:dyDescent="0.3">
      <c r="J98308"/>
    </row>
    <row r="98309" spans="10:10" x14ac:dyDescent="0.3">
      <c r="J98309"/>
    </row>
    <row r="98310" spans="10:10" x14ac:dyDescent="0.3">
      <c r="J98310"/>
    </row>
    <row r="98311" spans="10:10" x14ac:dyDescent="0.3">
      <c r="J98311"/>
    </row>
    <row r="98312" spans="10:10" x14ac:dyDescent="0.3">
      <c r="J98312"/>
    </row>
    <row r="98313" spans="10:10" x14ac:dyDescent="0.3">
      <c r="J98313"/>
    </row>
    <row r="98314" spans="10:10" x14ac:dyDescent="0.3">
      <c r="J98314"/>
    </row>
    <row r="98315" spans="10:10" x14ac:dyDescent="0.3">
      <c r="J98315"/>
    </row>
    <row r="98316" spans="10:10" x14ac:dyDescent="0.3">
      <c r="J98316"/>
    </row>
    <row r="98317" spans="10:10" x14ac:dyDescent="0.3">
      <c r="J98317"/>
    </row>
    <row r="98318" spans="10:10" x14ac:dyDescent="0.3">
      <c r="J98318"/>
    </row>
    <row r="98319" spans="10:10" x14ac:dyDescent="0.3">
      <c r="J98319"/>
    </row>
    <row r="98320" spans="10:10" x14ac:dyDescent="0.3">
      <c r="J98320"/>
    </row>
    <row r="98321" spans="10:10" x14ac:dyDescent="0.3">
      <c r="J98321"/>
    </row>
    <row r="98322" spans="10:10" x14ac:dyDescent="0.3">
      <c r="J98322"/>
    </row>
    <row r="98323" spans="10:10" x14ac:dyDescent="0.3">
      <c r="J98323"/>
    </row>
    <row r="98324" spans="10:10" x14ac:dyDescent="0.3">
      <c r="J98324"/>
    </row>
    <row r="98325" spans="10:10" x14ac:dyDescent="0.3">
      <c r="J98325"/>
    </row>
    <row r="98326" spans="10:10" x14ac:dyDescent="0.3">
      <c r="J98326"/>
    </row>
    <row r="98327" spans="10:10" x14ac:dyDescent="0.3">
      <c r="J98327"/>
    </row>
    <row r="98328" spans="10:10" x14ac:dyDescent="0.3">
      <c r="J98328"/>
    </row>
    <row r="98329" spans="10:10" x14ac:dyDescent="0.3">
      <c r="J98329"/>
    </row>
    <row r="98330" spans="10:10" x14ac:dyDescent="0.3">
      <c r="J98330"/>
    </row>
    <row r="98331" spans="10:10" x14ac:dyDescent="0.3">
      <c r="J98331"/>
    </row>
    <row r="98332" spans="10:10" x14ac:dyDescent="0.3">
      <c r="J98332"/>
    </row>
    <row r="98333" spans="10:10" x14ac:dyDescent="0.3">
      <c r="J98333"/>
    </row>
    <row r="98334" spans="10:10" x14ac:dyDescent="0.3">
      <c r="J98334"/>
    </row>
    <row r="98335" spans="10:10" x14ac:dyDescent="0.3">
      <c r="J98335"/>
    </row>
    <row r="98336" spans="10:10" x14ac:dyDescent="0.3">
      <c r="J98336"/>
    </row>
    <row r="98337" spans="10:10" x14ac:dyDescent="0.3">
      <c r="J98337"/>
    </row>
    <row r="98338" spans="10:10" x14ac:dyDescent="0.3">
      <c r="J98338"/>
    </row>
    <row r="98339" spans="10:10" x14ac:dyDescent="0.3">
      <c r="J98339"/>
    </row>
    <row r="98340" spans="10:10" x14ac:dyDescent="0.3">
      <c r="J98340"/>
    </row>
    <row r="98341" spans="10:10" x14ac:dyDescent="0.3">
      <c r="J98341"/>
    </row>
    <row r="98342" spans="10:10" x14ac:dyDescent="0.3">
      <c r="J98342"/>
    </row>
    <row r="98343" spans="10:10" x14ac:dyDescent="0.3">
      <c r="J98343"/>
    </row>
    <row r="98344" spans="10:10" x14ac:dyDescent="0.3">
      <c r="J98344"/>
    </row>
    <row r="98345" spans="10:10" x14ac:dyDescent="0.3">
      <c r="J98345"/>
    </row>
    <row r="98346" spans="10:10" x14ac:dyDescent="0.3">
      <c r="J98346"/>
    </row>
    <row r="98347" spans="10:10" x14ac:dyDescent="0.3">
      <c r="J98347"/>
    </row>
    <row r="98348" spans="10:10" x14ac:dyDescent="0.3">
      <c r="J98348"/>
    </row>
    <row r="98349" spans="10:10" x14ac:dyDescent="0.3">
      <c r="J98349"/>
    </row>
    <row r="98350" spans="10:10" x14ac:dyDescent="0.3">
      <c r="J98350"/>
    </row>
    <row r="98351" spans="10:10" x14ac:dyDescent="0.3">
      <c r="J98351"/>
    </row>
    <row r="98352" spans="10:10" x14ac:dyDescent="0.3">
      <c r="J98352"/>
    </row>
    <row r="98353" spans="10:10" x14ac:dyDescent="0.3">
      <c r="J98353"/>
    </row>
    <row r="98354" spans="10:10" x14ac:dyDescent="0.3">
      <c r="J98354"/>
    </row>
    <row r="98355" spans="10:10" x14ac:dyDescent="0.3">
      <c r="J98355"/>
    </row>
    <row r="98356" spans="10:10" x14ac:dyDescent="0.3">
      <c r="J98356"/>
    </row>
    <row r="98357" spans="10:10" x14ac:dyDescent="0.3">
      <c r="J98357"/>
    </row>
    <row r="98358" spans="10:10" x14ac:dyDescent="0.3">
      <c r="J98358"/>
    </row>
    <row r="98359" spans="10:10" x14ac:dyDescent="0.3">
      <c r="J98359"/>
    </row>
    <row r="98360" spans="10:10" x14ac:dyDescent="0.3">
      <c r="J98360"/>
    </row>
    <row r="98361" spans="10:10" x14ac:dyDescent="0.3">
      <c r="J98361"/>
    </row>
    <row r="98362" spans="10:10" x14ac:dyDescent="0.3">
      <c r="J98362"/>
    </row>
    <row r="98363" spans="10:10" x14ac:dyDescent="0.3">
      <c r="J98363"/>
    </row>
    <row r="98364" spans="10:10" x14ac:dyDescent="0.3">
      <c r="J98364"/>
    </row>
    <row r="98365" spans="10:10" x14ac:dyDescent="0.3">
      <c r="J98365"/>
    </row>
    <row r="98366" spans="10:10" x14ac:dyDescent="0.3">
      <c r="J98366"/>
    </row>
    <row r="98367" spans="10:10" x14ac:dyDescent="0.3">
      <c r="J98367"/>
    </row>
    <row r="98368" spans="10:10" x14ac:dyDescent="0.3">
      <c r="J98368"/>
    </row>
    <row r="98369" spans="10:10" x14ac:dyDescent="0.3">
      <c r="J98369"/>
    </row>
    <row r="98370" spans="10:10" x14ac:dyDescent="0.3">
      <c r="J98370"/>
    </row>
    <row r="98371" spans="10:10" x14ac:dyDescent="0.3">
      <c r="J98371"/>
    </row>
    <row r="98372" spans="10:10" x14ac:dyDescent="0.3">
      <c r="J98372"/>
    </row>
    <row r="98373" spans="10:10" x14ac:dyDescent="0.3">
      <c r="J98373"/>
    </row>
    <row r="98374" spans="10:10" x14ac:dyDescent="0.3">
      <c r="J98374"/>
    </row>
    <row r="98375" spans="10:10" x14ac:dyDescent="0.3">
      <c r="J98375"/>
    </row>
    <row r="98376" spans="10:10" x14ac:dyDescent="0.3">
      <c r="J98376"/>
    </row>
    <row r="98377" spans="10:10" x14ac:dyDescent="0.3">
      <c r="J98377"/>
    </row>
    <row r="98378" spans="10:10" x14ac:dyDescent="0.3">
      <c r="J98378"/>
    </row>
    <row r="98379" spans="10:10" x14ac:dyDescent="0.3">
      <c r="J98379"/>
    </row>
    <row r="98380" spans="10:10" x14ac:dyDescent="0.3">
      <c r="J98380"/>
    </row>
    <row r="98381" spans="10:10" x14ac:dyDescent="0.3">
      <c r="J98381"/>
    </row>
    <row r="98382" spans="10:10" x14ac:dyDescent="0.3">
      <c r="J98382"/>
    </row>
    <row r="98383" spans="10:10" x14ac:dyDescent="0.3">
      <c r="J98383"/>
    </row>
    <row r="98384" spans="10:10" x14ac:dyDescent="0.3">
      <c r="J98384"/>
    </row>
    <row r="98385" spans="10:10" x14ac:dyDescent="0.3">
      <c r="J98385"/>
    </row>
    <row r="98386" spans="10:10" x14ac:dyDescent="0.3">
      <c r="J98386"/>
    </row>
    <row r="98387" spans="10:10" x14ac:dyDescent="0.3">
      <c r="J98387"/>
    </row>
    <row r="98388" spans="10:10" x14ac:dyDescent="0.3">
      <c r="J98388"/>
    </row>
    <row r="98389" spans="10:10" x14ac:dyDescent="0.3">
      <c r="J98389"/>
    </row>
    <row r="98390" spans="10:10" x14ac:dyDescent="0.3">
      <c r="J98390"/>
    </row>
    <row r="98391" spans="10:10" x14ac:dyDescent="0.3">
      <c r="J98391"/>
    </row>
    <row r="98392" spans="10:10" x14ac:dyDescent="0.3">
      <c r="J98392"/>
    </row>
    <row r="98393" spans="10:10" x14ac:dyDescent="0.3">
      <c r="J98393"/>
    </row>
    <row r="98394" spans="10:10" x14ac:dyDescent="0.3">
      <c r="J98394"/>
    </row>
    <row r="98395" spans="10:10" x14ac:dyDescent="0.3">
      <c r="J98395"/>
    </row>
    <row r="98396" spans="10:10" x14ac:dyDescent="0.3">
      <c r="J98396"/>
    </row>
    <row r="98397" spans="10:10" x14ac:dyDescent="0.3">
      <c r="J98397"/>
    </row>
    <row r="98398" spans="10:10" x14ac:dyDescent="0.3">
      <c r="J98398"/>
    </row>
    <row r="98399" spans="10:10" x14ac:dyDescent="0.3">
      <c r="J98399"/>
    </row>
    <row r="98400" spans="10:10" x14ac:dyDescent="0.3">
      <c r="J98400"/>
    </row>
    <row r="98401" spans="10:10" x14ac:dyDescent="0.3">
      <c r="J98401"/>
    </row>
    <row r="98402" spans="10:10" x14ac:dyDescent="0.3">
      <c r="J98402"/>
    </row>
    <row r="98403" spans="10:10" x14ac:dyDescent="0.3">
      <c r="J98403"/>
    </row>
    <row r="98404" spans="10:10" x14ac:dyDescent="0.3">
      <c r="J98404"/>
    </row>
    <row r="98405" spans="10:10" x14ac:dyDescent="0.3">
      <c r="J98405"/>
    </row>
    <row r="98406" spans="10:10" x14ac:dyDescent="0.3">
      <c r="J98406"/>
    </row>
    <row r="98407" spans="10:10" x14ac:dyDescent="0.3">
      <c r="J98407"/>
    </row>
    <row r="98408" spans="10:10" x14ac:dyDescent="0.3">
      <c r="J98408"/>
    </row>
    <row r="98409" spans="10:10" x14ac:dyDescent="0.3">
      <c r="J98409"/>
    </row>
    <row r="98410" spans="10:10" x14ac:dyDescent="0.3">
      <c r="J98410"/>
    </row>
    <row r="98411" spans="10:10" x14ac:dyDescent="0.3">
      <c r="J98411"/>
    </row>
    <row r="98412" spans="10:10" x14ac:dyDescent="0.3">
      <c r="J98412"/>
    </row>
    <row r="98413" spans="10:10" x14ac:dyDescent="0.3">
      <c r="J98413"/>
    </row>
    <row r="98414" spans="10:10" x14ac:dyDescent="0.3">
      <c r="J98414"/>
    </row>
    <row r="98415" spans="10:10" x14ac:dyDescent="0.3">
      <c r="J98415"/>
    </row>
    <row r="98416" spans="10:10" x14ac:dyDescent="0.3">
      <c r="J98416"/>
    </row>
    <row r="98417" spans="10:10" x14ac:dyDescent="0.3">
      <c r="J98417"/>
    </row>
    <row r="98418" spans="10:10" x14ac:dyDescent="0.3">
      <c r="J98418"/>
    </row>
    <row r="98419" spans="10:10" x14ac:dyDescent="0.3">
      <c r="J98419"/>
    </row>
    <row r="98420" spans="10:10" x14ac:dyDescent="0.3">
      <c r="J98420"/>
    </row>
    <row r="98421" spans="10:10" x14ac:dyDescent="0.3">
      <c r="J98421"/>
    </row>
    <row r="98422" spans="10:10" x14ac:dyDescent="0.3">
      <c r="J98422"/>
    </row>
    <row r="98423" spans="10:10" x14ac:dyDescent="0.3">
      <c r="J98423"/>
    </row>
    <row r="98424" spans="10:10" x14ac:dyDescent="0.3">
      <c r="J98424"/>
    </row>
    <row r="98425" spans="10:10" x14ac:dyDescent="0.3">
      <c r="J98425"/>
    </row>
    <row r="98426" spans="10:10" x14ac:dyDescent="0.3">
      <c r="J98426"/>
    </row>
    <row r="98427" spans="10:10" x14ac:dyDescent="0.3">
      <c r="J98427"/>
    </row>
    <row r="98428" spans="10:10" x14ac:dyDescent="0.3">
      <c r="J98428"/>
    </row>
    <row r="98429" spans="10:10" x14ac:dyDescent="0.3">
      <c r="J98429"/>
    </row>
    <row r="98430" spans="10:10" x14ac:dyDescent="0.3">
      <c r="J98430"/>
    </row>
    <row r="98431" spans="10:10" x14ac:dyDescent="0.3">
      <c r="J98431"/>
    </row>
    <row r="98432" spans="10:10" x14ac:dyDescent="0.3">
      <c r="J98432"/>
    </row>
    <row r="98433" spans="10:10" x14ac:dyDescent="0.3">
      <c r="J98433"/>
    </row>
    <row r="98434" spans="10:10" x14ac:dyDescent="0.3">
      <c r="J98434"/>
    </row>
    <row r="98435" spans="10:10" x14ac:dyDescent="0.3">
      <c r="J98435"/>
    </row>
    <row r="98436" spans="10:10" x14ac:dyDescent="0.3">
      <c r="J98436"/>
    </row>
    <row r="98437" spans="10:10" x14ac:dyDescent="0.3">
      <c r="J98437"/>
    </row>
    <row r="98438" spans="10:10" x14ac:dyDescent="0.3">
      <c r="J98438"/>
    </row>
    <row r="98439" spans="10:10" x14ac:dyDescent="0.3">
      <c r="J98439"/>
    </row>
    <row r="98440" spans="10:10" x14ac:dyDescent="0.3">
      <c r="J98440"/>
    </row>
    <row r="98441" spans="10:10" x14ac:dyDescent="0.3">
      <c r="J98441"/>
    </row>
    <row r="98442" spans="10:10" x14ac:dyDescent="0.3">
      <c r="J98442"/>
    </row>
    <row r="98443" spans="10:10" x14ac:dyDescent="0.3">
      <c r="J98443"/>
    </row>
    <row r="98444" spans="10:10" x14ac:dyDescent="0.3">
      <c r="J98444"/>
    </row>
    <row r="98445" spans="10:10" x14ac:dyDescent="0.3">
      <c r="J98445"/>
    </row>
    <row r="98446" spans="10:10" x14ac:dyDescent="0.3">
      <c r="J98446"/>
    </row>
    <row r="98447" spans="10:10" x14ac:dyDescent="0.3">
      <c r="J98447"/>
    </row>
    <row r="98448" spans="10:10" x14ac:dyDescent="0.3">
      <c r="J98448"/>
    </row>
    <row r="98449" spans="10:10" x14ac:dyDescent="0.3">
      <c r="J98449"/>
    </row>
    <row r="98450" spans="10:10" x14ac:dyDescent="0.3">
      <c r="J98450"/>
    </row>
    <row r="98451" spans="10:10" x14ac:dyDescent="0.3">
      <c r="J98451"/>
    </row>
    <row r="98452" spans="10:10" x14ac:dyDescent="0.3">
      <c r="J98452"/>
    </row>
    <row r="98453" spans="10:10" x14ac:dyDescent="0.3">
      <c r="J98453"/>
    </row>
    <row r="98454" spans="10:10" x14ac:dyDescent="0.3">
      <c r="J98454"/>
    </row>
    <row r="98455" spans="10:10" x14ac:dyDescent="0.3">
      <c r="J98455"/>
    </row>
    <row r="98456" spans="10:10" x14ac:dyDescent="0.3">
      <c r="J98456"/>
    </row>
    <row r="98457" spans="10:10" x14ac:dyDescent="0.3">
      <c r="J98457"/>
    </row>
    <row r="98458" spans="10:10" x14ac:dyDescent="0.3">
      <c r="J98458"/>
    </row>
    <row r="98459" spans="10:10" x14ac:dyDescent="0.3">
      <c r="J98459"/>
    </row>
    <row r="98460" spans="10:10" x14ac:dyDescent="0.3">
      <c r="J98460"/>
    </row>
    <row r="98461" spans="10:10" x14ac:dyDescent="0.3">
      <c r="J98461"/>
    </row>
    <row r="98462" spans="10:10" x14ac:dyDescent="0.3">
      <c r="J98462"/>
    </row>
    <row r="98463" spans="10:10" x14ac:dyDescent="0.3">
      <c r="J98463"/>
    </row>
    <row r="98464" spans="10:10" x14ac:dyDescent="0.3">
      <c r="J98464"/>
    </row>
    <row r="98465" spans="10:10" x14ac:dyDescent="0.3">
      <c r="J98465"/>
    </row>
    <row r="98466" spans="10:10" x14ac:dyDescent="0.3">
      <c r="J98466"/>
    </row>
    <row r="98467" spans="10:10" x14ac:dyDescent="0.3">
      <c r="J98467"/>
    </row>
    <row r="98468" spans="10:10" x14ac:dyDescent="0.3">
      <c r="J98468"/>
    </row>
    <row r="98469" spans="10:10" x14ac:dyDescent="0.3">
      <c r="J98469"/>
    </row>
    <row r="98470" spans="10:10" x14ac:dyDescent="0.3">
      <c r="J98470"/>
    </row>
    <row r="98471" spans="10:10" x14ac:dyDescent="0.3">
      <c r="J98471"/>
    </row>
    <row r="98472" spans="10:10" x14ac:dyDescent="0.3">
      <c r="J98472"/>
    </row>
    <row r="98473" spans="10:10" x14ac:dyDescent="0.3">
      <c r="J98473"/>
    </row>
    <row r="98474" spans="10:10" x14ac:dyDescent="0.3">
      <c r="J98474"/>
    </row>
    <row r="98475" spans="10:10" x14ac:dyDescent="0.3">
      <c r="J98475"/>
    </row>
    <row r="98476" spans="10:10" x14ac:dyDescent="0.3">
      <c r="J98476"/>
    </row>
    <row r="98477" spans="10:10" x14ac:dyDescent="0.3">
      <c r="J98477"/>
    </row>
    <row r="98478" spans="10:10" x14ac:dyDescent="0.3">
      <c r="J98478"/>
    </row>
    <row r="98479" spans="10:10" x14ac:dyDescent="0.3">
      <c r="J98479"/>
    </row>
    <row r="98480" spans="10:10" x14ac:dyDescent="0.3">
      <c r="J98480"/>
    </row>
    <row r="98481" spans="10:10" x14ac:dyDescent="0.3">
      <c r="J98481"/>
    </row>
    <row r="98482" spans="10:10" x14ac:dyDescent="0.3">
      <c r="J98482"/>
    </row>
    <row r="98483" spans="10:10" x14ac:dyDescent="0.3">
      <c r="J98483"/>
    </row>
    <row r="98484" spans="10:10" x14ac:dyDescent="0.3">
      <c r="J98484"/>
    </row>
    <row r="98485" spans="10:10" x14ac:dyDescent="0.3">
      <c r="J98485"/>
    </row>
    <row r="98486" spans="10:10" x14ac:dyDescent="0.3">
      <c r="J98486"/>
    </row>
    <row r="98487" spans="10:10" x14ac:dyDescent="0.3">
      <c r="J98487"/>
    </row>
    <row r="98488" spans="10:10" x14ac:dyDescent="0.3">
      <c r="J98488"/>
    </row>
    <row r="98489" spans="10:10" x14ac:dyDescent="0.3">
      <c r="J98489"/>
    </row>
    <row r="98490" spans="10:10" x14ac:dyDescent="0.3">
      <c r="J98490"/>
    </row>
    <row r="98491" spans="10:10" x14ac:dyDescent="0.3">
      <c r="J98491"/>
    </row>
    <row r="98492" spans="10:10" x14ac:dyDescent="0.3">
      <c r="J98492"/>
    </row>
    <row r="98493" spans="10:10" x14ac:dyDescent="0.3">
      <c r="J98493"/>
    </row>
    <row r="98494" spans="10:10" x14ac:dyDescent="0.3">
      <c r="J98494"/>
    </row>
    <row r="98495" spans="10:10" x14ac:dyDescent="0.3">
      <c r="J98495"/>
    </row>
    <row r="98496" spans="10:10" x14ac:dyDescent="0.3">
      <c r="J98496"/>
    </row>
    <row r="98497" spans="10:10" x14ac:dyDescent="0.3">
      <c r="J98497"/>
    </row>
    <row r="98498" spans="10:10" x14ac:dyDescent="0.3">
      <c r="J98498"/>
    </row>
    <row r="98499" spans="10:10" x14ac:dyDescent="0.3">
      <c r="J98499"/>
    </row>
    <row r="98500" spans="10:10" x14ac:dyDescent="0.3">
      <c r="J98500"/>
    </row>
    <row r="98501" spans="10:10" x14ac:dyDescent="0.3">
      <c r="J98501"/>
    </row>
    <row r="98502" spans="10:10" x14ac:dyDescent="0.3">
      <c r="J98502"/>
    </row>
    <row r="98503" spans="10:10" x14ac:dyDescent="0.3">
      <c r="J98503"/>
    </row>
    <row r="98504" spans="10:10" x14ac:dyDescent="0.3">
      <c r="J98504"/>
    </row>
    <row r="98505" spans="10:10" x14ac:dyDescent="0.3">
      <c r="J98505"/>
    </row>
    <row r="98506" spans="10:10" x14ac:dyDescent="0.3">
      <c r="J98506"/>
    </row>
    <row r="98507" spans="10:10" x14ac:dyDescent="0.3">
      <c r="J98507"/>
    </row>
    <row r="98508" spans="10:10" x14ac:dyDescent="0.3">
      <c r="J98508"/>
    </row>
    <row r="98509" spans="10:10" x14ac:dyDescent="0.3">
      <c r="J98509"/>
    </row>
    <row r="98510" spans="10:10" x14ac:dyDescent="0.3">
      <c r="J98510"/>
    </row>
    <row r="98511" spans="10:10" x14ac:dyDescent="0.3">
      <c r="J98511"/>
    </row>
    <row r="98512" spans="10:10" x14ac:dyDescent="0.3">
      <c r="J98512"/>
    </row>
    <row r="98513" spans="10:10" x14ac:dyDescent="0.3">
      <c r="J98513"/>
    </row>
    <row r="98514" spans="10:10" x14ac:dyDescent="0.3">
      <c r="J98514"/>
    </row>
    <row r="98515" spans="10:10" x14ac:dyDescent="0.3">
      <c r="J98515"/>
    </row>
    <row r="98516" spans="10:10" x14ac:dyDescent="0.3">
      <c r="J98516"/>
    </row>
    <row r="98517" spans="10:10" x14ac:dyDescent="0.3">
      <c r="J98517"/>
    </row>
    <row r="98518" spans="10:10" x14ac:dyDescent="0.3">
      <c r="J98518"/>
    </row>
    <row r="98519" spans="10:10" x14ac:dyDescent="0.3">
      <c r="J98519"/>
    </row>
    <row r="98520" spans="10:10" x14ac:dyDescent="0.3">
      <c r="J98520"/>
    </row>
    <row r="98521" spans="10:10" x14ac:dyDescent="0.3">
      <c r="J98521"/>
    </row>
    <row r="98522" spans="10:10" x14ac:dyDescent="0.3">
      <c r="J98522"/>
    </row>
    <row r="98523" spans="10:10" x14ac:dyDescent="0.3">
      <c r="J98523"/>
    </row>
    <row r="98524" spans="10:10" x14ac:dyDescent="0.3">
      <c r="J98524"/>
    </row>
    <row r="98525" spans="10:10" x14ac:dyDescent="0.3">
      <c r="J98525"/>
    </row>
    <row r="98526" spans="10:10" x14ac:dyDescent="0.3">
      <c r="J98526"/>
    </row>
    <row r="98527" spans="10:10" x14ac:dyDescent="0.3">
      <c r="J98527"/>
    </row>
    <row r="98528" spans="10:10" x14ac:dyDescent="0.3">
      <c r="J98528"/>
    </row>
    <row r="98529" spans="10:10" x14ac:dyDescent="0.3">
      <c r="J98529"/>
    </row>
    <row r="98530" spans="10:10" x14ac:dyDescent="0.3">
      <c r="J98530"/>
    </row>
    <row r="98531" spans="10:10" x14ac:dyDescent="0.3">
      <c r="J98531"/>
    </row>
    <row r="98532" spans="10:10" x14ac:dyDescent="0.3">
      <c r="J98532"/>
    </row>
    <row r="98533" spans="10:10" x14ac:dyDescent="0.3">
      <c r="J98533"/>
    </row>
    <row r="98534" spans="10:10" x14ac:dyDescent="0.3">
      <c r="J98534"/>
    </row>
    <row r="98535" spans="10:10" x14ac:dyDescent="0.3">
      <c r="J98535"/>
    </row>
    <row r="98536" spans="10:10" x14ac:dyDescent="0.3">
      <c r="J98536"/>
    </row>
    <row r="98537" spans="10:10" x14ac:dyDescent="0.3">
      <c r="J98537"/>
    </row>
    <row r="98538" spans="10:10" x14ac:dyDescent="0.3">
      <c r="J98538"/>
    </row>
    <row r="98539" spans="10:10" x14ac:dyDescent="0.3">
      <c r="J98539"/>
    </row>
    <row r="98540" spans="10:10" x14ac:dyDescent="0.3">
      <c r="J98540"/>
    </row>
    <row r="98541" spans="10:10" x14ac:dyDescent="0.3">
      <c r="J98541"/>
    </row>
    <row r="98542" spans="10:10" x14ac:dyDescent="0.3">
      <c r="J98542"/>
    </row>
    <row r="98543" spans="10:10" x14ac:dyDescent="0.3">
      <c r="J98543"/>
    </row>
    <row r="98544" spans="10:10" x14ac:dyDescent="0.3">
      <c r="J98544"/>
    </row>
    <row r="98545" spans="10:10" x14ac:dyDescent="0.3">
      <c r="J98545"/>
    </row>
    <row r="98546" spans="10:10" x14ac:dyDescent="0.3">
      <c r="J98546"/>
    </row>
    <row r="98547" spans="10:10" x14ac:dyDescent="0.3">
      <c r="J98547"/>
    </row>
    <row r="98548" spans="10:10" x14ac:dyDescent="0.3">
      <c r="J98548"/>
    </row>
    <row r="98549" spans="10:10" x14ac:dyDescent="0.3">
      <c r="J98549"/>
    </row>
    <row r="98550" spans="10:10" x14ac:dyDescent="0.3">
      <c r="J98550"/>
    </row>
    <row r="98551" spans="10:10" x14ac:dyDescent="0.3">
      <c r="J98551"/>
    </row>
    <row r="98552" spans="10:10" x14ac:dyDescent="0.3">
      <c r="J98552"/>
    </row>
    <row r="98553" spans="10:10" x14ac:dyDescent="0.3">
      <c r="J98553"/>
    </row>
    <row r="98554" spans="10:10" x14ac:dyDescent="0.3">
      <c r="J98554"/>
    </row>
    <row r="98555" spans="10:10" x14ac:dyDescent="0.3">
      <c r="J98555"/>
    </row>
    <row r="98556" spans="10:10" x14ac:dyDescent="0.3">
      <c r="J98556"/>
    </row>
    <row r="98557" spans="10:10" x14ac:dyDescent="0.3">
      <c r="J98557"/>
    </row>
    <row r="98558" spans="10:10" x14ac:dyDescent="0.3">
      <c r="J98558"/>
    </row>
    <row r="98559" spans="10:10" x14ac:dyDescent="0.3">
      <c r="J98559"/>
    </row>
    <row r="98560" spans="10:10" x14ac:dyDescent="0.3">
      <c r="J98560"/>
    </row>
    <row r="98561" spans="10:10" x14ac:dyDescent="0.3">
      <c r="J98561"/>
    </row>
    <row r="98562" spans="10:10" x14ac:dyDescent="0.3">
      <c r="J98562"/>
    </row>
    <row r="98563" spans="10:10" x14ac:dyDescent="0.3">
      <c r="J98563"/>
    </row>
    <row r="98564" spans="10:10" x14ac:dyDescent="0.3">
      <c r="J98564"/>
    </row>
    <row r="98565" spans="10:10" x14ac:dyDescent="0.3">
      <c r="J98565"/>
    </row>
    <row r="98566" spans="10:10" x14ac:dyDescent="0.3">
      <c r="J98566"/>
    </row>
    <row r="98567" spans="10:10" x14ac:dyDescent="0.3">
      <c r="J98567"/>
    </row>
    <row r="98568" spans="10:10" x14ac:dyDescent="0.3">
      <c r="J98568"/>
    </row>
    <row r="98569" spans="10:10" x14ac:dyDescent="0.3">
      <c r="J98569"/>
    </row>
    <row r="98570" spans="10:10" x14ac:dyDescent="0.3">
      <c r="J98570"/>
    </row>
    <row r="98571" spans="10:10" x14ac:dyDescent="0.3">
      <c r="J98571"/>
    </row>
    <row r="98572" spans="10:10" x14ac:dyDescent="0.3">
      <c r="J98572"/>
    </row>
    <row r="98573" spans="10:10" x14ac:dyDescent="0.3">
      <c r="J98573"/>
    </row>
    <row r="98574" spans="10:10" x14ac:dyDescent="0.3">
      <c r="J98574"/>
    </row>
    <row r="98575" spans="10:10" x14ac:dyDescent="0.3">
      <c r="J98575"/>
    </row>
    <row r="98576" spans="10:10" x14ac:dyDescent="0.3">
      <c r="J98576"/>
    </row>
    <row r="98577" spans="10:10" x14ac:dyDescent="0.3">
      <c r="J98577"/>
    </row>
    <row r="98578" spans="10:10" x14ac:dyDescent="0.3">
      <c r="J98578"/>
    </row>
    <row r="98579" spans="10:10" x14ac:dyDescent="0.3">
      <c r="J98579"/>
    </row>
    <row r="98580" spans="10:10" x14ac:dyDescent="0.3">
      <c r="J98580"/>
    </row>
    <row r="98581" spans="10:10" x14ac:dyDescent="0.3">
      <c r="J98581"/>
    </row>
    <row r="98582" spans="10:10" x14ac:dyDescent="0.3">
      <c r="J98582"/>
    </row>
    <row r="98583" spans="10:10" x14ac:dyDescent="0.3">
      <c r="J98583"/>
    </row>
    <row r="98584" spans="10:10" x14ac:dyDescent="0.3">
      <c r="J98584"/>
    </row>
    <row r="98585" spans="10:10" x14ac:dyDescent="0.3">
      <c r="J98585"/>
    </row>
    <row r="98586" spans="10:10" x14ac:dyDescent="0.3">
      <c r="J98586"/>
    </row>
    <row r="98587" spans="10:10" x14ac:dyDescent="0.3">
      <c r="J98587"/>
    </row>
    <row r="98588" spans="10:10" x14ac:dyDescent="0.3">
      <c r="J98588"/>
    </row>
    <row r="98589" spans="10:10" x14ac:dyDescent="0.3">
      <c r="J98589"/>
    </row>
    <row r="98590" spans="10:10" x14ac:dyDescent="0.3">
      <c r="J98590"/>
    </row>
    <row r="98591" spans="10:10" x14ac:dyDescent="0.3">
      <c r="J98591"/>
    </row>
    <row r="98592" spans="10:10" x14ac:dyDescent="0.3">
      <c r="J98592"/>
    </row>
    <row r="98593" spans="10:10" x14ac:dyDescent="0.3">
      <c r="J98593"/>
    </row>
    <row r="98594" spans="10:10" x14ac:dyDescent="0.3">
      <c r="J98594"/>
    </row>
    <row r="98595" spans="10:10" x14ac:dyDescent="0.3">
      <c r="J98595"/>
    </row>
    <row r="98596" spans="10:10" x14ac:dyDescent="0.3">
      <c r="J98596"/>
    </row>
    <row r="98597" spans="10:10" x14ac:dyDescent="0.3">
      <c r="J98597"/>
    </row>
    <row r="98598" spans="10:10" x14ac:dyDescent="0.3">
      <c r="J98598"/>
    </row>
    <row r="98599" spans="10:10" x14ac:dyDescent="0.3">
      <c r="J98599"/>
    </row>
    <row r="98600" spans="10:10" x14ac:dyDescent="0.3">
      <c r="J98600"/>
    </row>
    <row r="98601" spans="10:10" x14ac:dyDescent="0.3">
      <c r="J98601"/>
    </row>
    <row r="98602" spans="10:10" x14ac:dyDescent="0.3">
      <c r="J98602"/>
    </row>
    <row r="98603" spans="10:10" x14ac:dyDescent="0.3">
      <c r="J98603"/>
    </row>
    <row r="98604" spans="10:10" x14ac:dyDescent="0.3">
      <c r="J98604"/>
    </row>
    <row r="98605" spans="10:10" x14ac:dyDescent="0.3">
      <c r="J98605"/>
    </row>
    <row r="98606" spans="10:10" x14ac:dyDescent="0.3">
      <c r="J98606"/>
    </row>
    <row r="98607" spans="10:10" x14ac:dyDescent="0.3">
      <c r="J98607"/>
    </row>
    <row r="98608" spans="10:10" x14ac:dyDescent="0.3">
      <c r="J98608"/>
    </row>
    <row r="98609" spans="10:10" x14ac:dyDescent="0.3">
      <c r="J98609"/>
    </row>
    <row r="98610" spans="10:10" x14ac:dyDescent="0.3">
      <c r="J98610"/>
    </row>
    <row r="98611" spans="10:10" x14ac:dyDescent="0.3">
      <c r="J98611"/>
    </row>
    <row r="98612" spans="10:10" x14ac:dyDescent="0.3">
      <c r="J98612"/>
    </row>
    <row r="98613" spans="10:10" x14ac:dyDescent="0.3">
      <c r="J98613"/>
    </row>
    <row r="98614" spans="10:10" x14ac:dyDescent="0.3">
      <c r="J98614"/>
    </row>
    <row r="98615" spans="10:10" x14ac:dyDescent="0.3">
      <c r="J98615"/>
    </row>
    <row r="98616" spans="10:10" x14ac:dyDescent="0.3">
      <c r="J98616"/>
    </row>
    <row r="98617" spans="10:10" x14ac:dyDescent="0.3">
      <c r="J98617"/>
    </row>
    <row r="98618" spans="10:10" x14ac:dyDescent="0.3">
      <c r="J98618"/>
    </row>
    <row r="98619" spans="10:10" x14ac:dyDescent="0.3">
      <c r="J98619"/>
    </row>
    <row r="98620" spans="10:10" x14ac:dyDescent="0.3">
      <c r="J98620"/>
    </row>
    <row r="98621" spans="10:10" x14ac:dyDescent="0.3">
      <c r="J98621"/>
    </row>
    <row r="98622" spans="10:10" x14ac:dyDescent="0.3">
      <c r="J98622"/>
    </row>
    <row r="98623" spans="10:10" x14ac:dyDescent="0.3">
      <c r="J98623"/>
    </row>
    <row r="98624" spans="10:10" x14ac:dyDescent="0.3">
      <c r="J98624"/>
    </row>
    <row r="98625" spans="10:10" x14ac:dyDescent="0.3">
      <c r="J98625"/>
    </row>
    <row r="98626" spans="10:10" x14ac:dyDescent="0.3">
      <c r="J98626"/>
    </row>
    <row r="98627" spans="10:10" x14ac:dyDescent="0.3">
      <c r="J98627"/>
    </row>
    <row r="98628" spans="10:10" x14ac:dyDescent="0.3">
      <c r="J98628"/>
    </row>
    <row r="98629" spans="10:10" x14ac:dyDescent="0.3">
      <c r="J98629"/>
    </row>
    <row r="98630" spans="10:10" x14ac:dyDescent="0.3">
      <c r="J98630"/>
    </row>
    <row r="98631" spans="10:10" x14ac:dyDescent="0.3">
      <c r="J98631"/>
    </row>
    <row r="98632" spans="10:10" x14ac:dyDescent="0.3">
      <c r="J98632"/>
    </row>
    <row r="98633" spans="10:10" x14ac:dyDescent="0.3">
      <c r="J98633"/>
    </row>
    <row r="98634" spans="10:10" x14ac:dyDescent="0.3">
      <c r="J98634"/>
    </row>
    <row r="98635" spans="10:10" x14ac:dyDescent="0.3">
      <c r="J98635"/>
    </row>
    <row r="98636" spans="10:10" x14ac:dyDescent="0.3">
      <c r="J98636"/>
    </row>
    <row r="98637" spans="10:10" x14ac:dyDescent="0.3">
      <c r="J98637"/>
    </row>
    <row r="98638" spans="10:10" x14ac:dyDescent="0.3">
      <c r="J98638"/>
    </row>
    <row r="98639" spans="10:10" x14ac:dyDescent="0.3">
      <c r="J98639"/>
    </row>
    <row r="98640" spans="10:10" x14ac:dyDescent="0.3">
      <c r="J98640"/>
    </row>
    <row r="98641" spans="10:10" x14ac:dyDescent="0.3">
      <c r="J98641"/>
    </row>
    <row r="98642" spans="10:10" x14ac:dyDescent="0.3">
      <c r="J98642"/>
    </row>
    <row r="98643" spans="10:10" x14ac:dyDescent="0.3">
      <c r="J98643"/>
    </row>
    <row r="98644" spans="10:10" x14ac:dyDescent="0.3">
      <c r="J98644"/>
    </row>
    <row r="98645" spans="10:10" x14ac:dyDescent="0.3">
      <c r="J98645"/>
    </row>
    <row r="98646" spans="10:10" x14ac:dyDescent="0.3">
      <c r="J98646"/>
    </row>
    <row r="98647" spans="10:10" x14ac:dyDescent="0.3">
      <c r="J98647"/>
    </row>
    <row r="98648" spans="10:10" x14ac:dyDescent="0.3">
      <c r="J98648"/>
    </row>
    <row r="98649" spans="10:10" x14ac:dyDescent="0.3">
      <c r="J98649"/>
    </row>
    <row r="98650" spans="10:10" x14ac:dyDescent="0.3">
      <c r="J98650"/>
    </row>
    <row r="98651" spans="10:10" x14ac:dyDescent="0.3">
      <c r="J98651"/>
    </row>
    <row r="98652" spans="10:10" x14ac:dyDescent="0.3">
      <c r="J98652"/>
    </row>
    <row r="98653" spans="10:10" x14ac:dyDescent="0.3">
      <c r="J98653"/>
    </row>
    <row r="98654" spans="10:10" x14ac:dyDescent="0.3">
      <c r="J98654"/>
    </row>
    <row r="98655" spans="10:10" x14ac:dyDescent="0.3">
      <c r="J98655"/>
    </row>
    <row r="98656" spans="10:10" x14ac:dyDescent="0.3">
      <c r="J98656"/>
    </row>
    <row r="98657" spans="10:10" x14ac:dyDescent="0.3">
      <c r="J98657"/>
    </row>
    <row r="98658" spans="10:10" x14ac:dyDescent="0.3">
      <c r="J98658"/>
    </row>
    <row r="98659" spans="10:10" x14ac:dyDescent="0.3">
      <c r="J98659"/>
    </row>
    <row r="98660" spans="10:10" x14ac:dyDescent="0.3">
      <c r="J98660"/>
    </row>
    <row r="98661" spans="10:10" x14ac:dyDescent="0.3">
      <c r="J98661"/>
    </row>
    <row r="98662" spans="10:10" x14ac:dyDescent="0.3">
      <c r="J98662"/>
    </row>
    <row r="98663" spans="10:10" x14ac:dyDescent="0.3">
      <c r="J98663"/>
    </row>
    <row r="98664" spans="10:10" x14ac:dyDescent="0.3">
      <c r="J98664"/>
    </row>
    <row r="98665" spans="10:10" x14ac:dyDescent="0.3">
      <c r="J98665"/>
    </row>
    <row r="98666" spans="10:10" x14ac:dyDescent="0.3">
      <c r="J98666"/>
    </row>
    <row r="98667" spans="10:10" x14ac:dyDescent="0.3">
      <c r="J98667"/>
    </row>
    <row r="98668" spans="10:10" x14ac:dyDescent="0.3">
      <c r="J98668"/>
    </row>
    <row r="98669" spans="10:10" x14ac:dyDescent="0.3">
      <c r="J98669"/>
    </row>
    <row r="98670" spans="10:10" x14ac:dyDescent="0.3">
      <c r="J98670"/>
    </row>
    <row r="98671" spans="10:10" x14ac:dyDescent="0.3">
      <c r="J98671"/>
    </row>
    <row r="98672" spans="10:10" x14ac:dyDescent="0.3">
      <c r="J98672"/>
    </row>
    <row r="98673" spans="10:10" x14ac:dyDescent="0.3">
      <c r="J98673"/>
    </row>
    <row r="98674" spans="10:10" x14ac:dyDescent="0.3">
      <c r="J98674"/>
    </row>
    <row r="98675" spans="10:10" x14ac:dyDescent="0.3">
      <c r="J98675"/>
    </row>
    <row r="98676" spans="10:10" x14ac:dyDescent="0.3">
      <c r="J98676"/>
    </row>
    <row r="98677" spans="10:10" x14ac:dyDescent="0.3">
      <c r="J98677"/>
    </row>
    <row r="98678" spans="10:10" x14ac:dyDescent="0.3">
      <c r="J98678"/>
    </row>
    <row r="98679" spans="10:10" x14ac:dyDescent="0.3">
      <c r="J98679"/>
    </row>
    <row r="98680" spans="10:10" x14ac:dyDescent="0.3">
      <c r="J98680"/>
    </row>
    <row r="98681" spans="10:10" x14ac:dyDescent="0.3">
      <c r="J98681"/>
    </row>
    <row r="98682" spans="10:10" x14ac:dyDescent="0.3">
      <c r="J98682"/>
    </row>
    <row r="98683" spans="10:10" x14ac:dyDescent="0.3">
      <c r="J98683"/>
    </row>
    <row r="98684" spans="10:10" x14ac:dyDescent="0.3">
      <c r="J98684"/>
    </row>
    <row r="98685" spans="10:10" x14ac:dyDescent="0.3">
      <c r="J98685"/>
    </row>
    <row r="98686" spans="10:10" x14ac:dyDescent="0.3">
      <c r="J98686"/>
    </row>
    <row r="98687" spans="10:10" x14ac:dyDescent="0.3">
      <c r="J98687"/>
    </row>
    <row r="98688" spans="10:10" x14ac:dyDescent="0.3">
      <c r="J98688"/>
    </row>
    <row r="98689" spans="10:10" x14ac:dyDescent="0.3">
      <c r="J98689"/>
    </row>
    <row r="98690" spans="10:10" x14ac:dyDescent="0.3">
      <c r="J98690"/>
    </row>
    <row r="98691" spans="10:10" x14ac:dyDescent="0.3">
      <c r="J98691"/>
    </row>
    <row r="98692" spans="10:10" x14ac:dyDescent="0.3">
      <c r="J98692"/>
    </row>
    <row r="98693" spans="10:10" x14ac:dyDescent="0.3">
      <c r="J98693"/>
    </row>
    <row r="98694" spans="10:10" x14ac:dyDescent="0.3">
      <c r="J98694"/>
    </row>
    <row r="98695" spans="10:10" x14ac:dyDescent="0.3">
      <c r="J98695"/>
    </row>
    <row r="98696" spans="10:10" x14ac:dyDescent="0.3">
      <c r="J98696"/>
    </row>
    <row r="98697" spans="10:10" x14ac:dyDescent="0.3">
      <c r="J98697"/>
    </row>
    <row r="98698" spans="10:10" x14ac:dyDescent="0.3">
      <c r="J98698"/>
    </row>
    <row r="98699" spans="10:10" x14ac:dyDescent="0.3">
      <c r="J98699"/>
    </row>
    <row r="98700" spans="10:10" x14ac:dyDescent="0.3">
      <c r="J98700"/>
    </row>
    <row r="98701" spans="10:10" x14ac:dyDescent="0.3">
      <c r="J98701"/>
    </row>
    <row r="98702" spans="10:10" x14ac:dyDescent="0.3">
      <c r="J98702"/>
    </row>
    <row r="98703" spans="10:10" x14ac:dyDescent="0.3">
      <c r="J98703"/>
    </row>
    <row r="98704" spans="10:10" x14ac:dyDescent="0.3">
      <c r="J98704"/>
    </row>
    <row r="98705" spans="10:10" x14ac:dyDescent="0.3">
      <c r="J98705"/>
    </row>
    <row r="98706" spans="10:10" x14ac:dyDescent="0.3">
      <c r="J98706"/>
    </row>
    <row r="98707" spans="10:10" x14ac:dyDescent="0.3">
      <c r="J98707"/>
    </row>
    <row r="98708" spans="10:10" x14ac:dyDescent="0.3">
      <c r="J98708"/>
    </row>
    <row r="98709" spans="10:10" x14ac:dyDescent="0.3">
      <c r="J98709"/>
    </row>
    <row r="98710" spans="10:10" x14ac:dyDescent="0.3">
      <c r="J98710"/>
    </row>
    <row r="98711" spans="10:10" x14ac:dyDescent="0.3">
      <c r="J98711"/>
    </row>
    <row r="98712" spans="10:10" x14ac:dyDescent="0.3">
      <c r="J98712"/>
    </row>
    <row r="98713" spans="10:10" x14ac:dyDescent="0.3">
      <c r="J98713"/>
    </row>
    <row r="98714" spans="10:10" x14ac:dyDescent="0.3">
      <c r="J98714"/>
    </row>
    <row r="98715" spans="10:10" x14ac:dyDescent="0.3">
      <c r="J98715"/>
    </row>
    <row r="98716" spans="10:10" x14ac:dyDescent="0.3">
      <c r="J98716"/>
    </row>
    <row r="98717" spans="10:10" x14ac:dyDescent="0.3">
      <c r="J98717"/>
    </row>
    <row r="98718" spans="10:10" x14ac:dyDescent="0.3">
      <c r="J98718"/>
    </row>
    <row r="98719" spans="10:10" x14ac:dyDescent="0.3">
      <c r="J98719"/>
    </row>
    <row r="98720" spans="10:10" x14ac:dyDescent="0.3">
      <c r="J98720"/>
    </row>
    <row r="98721" spans="10:10" x14ac:dyDescent="0.3">
      <c r="J98721"/>
    </row>
    <row r="98722" spans="10:10" x14ac:dyDescent="0.3">
      <c r="J98722"/>
    </row>
    <row r="98723" spans="10:10" x14ac:dyDescent="0.3">
      <c r="J98723"/>
    </row>
    <row r="98724" spans="10:10" x14ac:dyDescent="0.3">
      <c r="J98724"/>
    </row>
    <row r="98725" spans="10:10" x14ac:dyDescent="0.3">
      <c r="J98725"/>
    </row>
    <row r="98726" spans="10:10" x14ac:dyDescent="0.3">
      <c r="J98726"/>
    </row>
    <row r="98727" spans="10:10" x14ac:dyDescent="0.3">
      <c r="J98727"/>
    </row>
    <row r="98728" spans="10:10" x14ac:dyDescent="0.3">
      <c r="J98728"/>
    </row>
    <row r="98729" spans="10:10" x14ac:dyDescent="0.3">
      <c r="J98729"/>
    </row>
    <row r="98730" spans="10:10" x14ac:dyDescent="0.3">
      <c r="J98730"/>
    </row>
    <row r="98731" spans="10:10" x14ac:dyDescent="0.3">
      <c r="J98731"/>
    </row>
    <row r="98732" spans="10:10" x14ac:dyDescent="0.3">
      <c r="J98732"/>
    </row>
    <row r="98733" spans="10:10" x14ac:dyDescent="0.3">
      <c r="J98733"/>
    </row>
    <row r="98734" spans="10:10" x14ac:dyDescent="0.3">
      <c r="J98734"/>
    </row>
    <row r="98735" spans="10:10" x14ac:dyDescent="0.3">
      <c r="J98735"/>
    </row>
    <row r="98736" spans="10:10" x14ac:dyDescent="0.3">
      <c r="J98736"/>
    </row>
    <row r="98737" spans="10:10" x14ac:dyDescent="0.3">
      <c r="J98737"/>
    </row>
    <row r="98738" spans="10:10" x14ac:dyDescent="0.3">
      <c r="J98738"/>
    </row>
    <row r="98739" spans="10:10" x14ac:dyDescent="0.3">
      <c r="J98739"/>
    </row>
    <row r="98740" spans="10:10" x14ac:dyDescent="0.3">
      <c r="J98740"/>
    </row>
    <row r="98741" spans="10:10" x14ac:dyDescent="0.3">
      <c r="J98741"/>
    </row>
    <row r="98742" spans="10:10" x14ac:dyDescent="0.3">
      <c r="J98742"/>
    </row>
    <row r="98743" spans="10:10" x14ac:dyDescent="0.3">
      <c r="J98743"/>
    </row>
    <row r="98744" spans="10:10" x14ac:dyDescent="0.3">
      <c r="J98744"/>
    </row>
    <row r="98745" spans="10:10" x14ac:dyDescent="0.3">
      <c r="J98745"/>
    </row>
    <row r="98746" spans="10:10" x14ac:dyDescent="0.3">
      <c r="J98746"/>
    </row>
    <row r="98747" spans="10:10" x14ac:dyDescent="0.3">
      <c r="J98747"/>
    </row>
    <row r="98748" spans="10:10" x14ac:dyDescent="0.3">
      <c r="J98748"/>
    </row>
    <row r="98749" spans="10:10" x14ac:dyDescent="0.3">
      <c r="J98749"/>
    </row>
    <row r="98750" spans="10:10" x14ac:dyDescent="0.3">
      <c r="J98750"/>
    </row>
    <row r="98751" spans="10:10" x14ac:dyDescent="0.3">
      <c r="J98751"/>
    </row>
    <row r="98752" spans="10:10" x14ac:dyDescent="0.3">
      <c r="J98752"/>
    </row>
    <row r="98753" spans="10:10" x14ac:dyDescent="0.3">
      <c r="J98753"/>
    </row>
    <row r="98754" spans="10:10" x14ac:dyDescent="0.3">
      <c r="J98754"/>
    </row>
    <row r="98755" spans="10:10" x14ac:dyDescent="0.3">
      <c r="J98755"/>
    </row>
    <row r="98756" spans="10:10" x14ac:dyDescent="0.3">
      <c r="J98756"/>
    </row>
    <row r="98757" spans="10:10" x14ac:dyDescent="0.3">
      <c r="J98757"/>
    </row>
    <row r="98758" spans="10:10" x14ac:dyDescent="0.3">
      <c r="J98758"/>
    </row>
    <row r="98759" spans="10:10" x14ac:dyDescent="0.3">
      <c r="J98759"/>
    </row>
    <row r="98760" spans="10:10" x14ac:dyDescent="0.3">
      <c r="J98760"/>
    </row>
    <row r="98761" spans="10:10" x14ac:dyDescent="0.3">
      <c r="J98761"/>
    </row>
    <row r="98762" spans="10:10" x14ac:dyDescent="0.3">
      <c r="J98762"/>
    </row>
    <row r="98763" spans="10:10" x14ac:dyDescent="0.3">
      <c r="J98763"/>
    </row>
    <row r="98764" spans="10:10" x14ac:dyDescent="0.3">
      <c r="J98764"/>
    </row>
    <row r="98765" spans="10:10" x14ac:dyDescent="0.3">
      <c r="J98765"/>
    </row>
    <row r="98766" spans="10:10" x14ac:dyDescent="0.3">
      <c r="J98766"/>
    </row>
    <row r="98767" spans="10:10" x14ac:dyDescent="0.3">
      <c r="J98767"/>
    </row>
    <row r="98768" spans="10:10" x14ac:dyDescent="0.3">
      <c r="J98768"/>
    </row>
    <row r="98769" spans="10:10" x14ac:dyDescent="0.3">
      <c r="J98769"/>
    </row>
    <row r="98770" spans="10:10" x14ac:dyDescent="0.3">
      <c r="J98770"/>
    </row>
    <row r="98771" spans="10:10" x14ac:dyDescent="0.3">
      <c r="J98771"/>
    </row>
    <row r="98772" spans="10:10" x14ac:dyDescent="0.3">
      <c r="J98772"/>
    </row>
    <row r="98773" spans="10:10" x14ac:dyDescent="0.3">
      <c r="J98773"/>
    </row>
    <row r="98774" spans="10:10" x14ac:dyDescent="0.3">
      <c r="J98774"/>
    </row>
    <row r="98775" spans="10:10" x14ac:dyDescent="0.3">
      <c r="J98775"/>
    </row>
    <row r="98776" spans="10:10" x14ac:dyDescent="0.3">
      <c r="J98776"/>
    </row>
    <row r="98777" spans="10:10" x14ac:dyDescent="0.3">
      <c r="J98777"/>
    </row>
    <row r="98778" spans="10:10" x14ac:dyDescent="0.3">
      <c r="J98778"/>
    </row>
    <row r="98779" spans="10:10" x14ac:dyDescent="0.3">
      <c r="J98779"/>
    </row>
    <row r="98780" spans="10:10" x14ac:dyDescent="0.3">
      <c r="J98780"/>
    </row>
    <row r="98781" spans="10:10" x14ac:dyDescent="0.3">
      <c r="J98781"/>
    </row>
    <row r="98782" spans="10:10" x14ac:dyDescent="0.3">
      <c r="J98782"/>
    </row>
    <row r="98783" spans="10:10" x14ac:dyDescent="0.3">
      <c r="J98783"/>
    </row>
    <row r="98784" spans="10:10" x14ac:dyDescent="0.3">
      <c r="J98784"/>
    </row>
    <row r="98785" spans="10:10" x14ac:dyDescent="0.3">
      <c r="J98785"/>
    </row>
    <row r="98786" spans="10:10" x14ac:dyDescent="0.3">
      <c r="J98786"/>
    </row>
    <row r="98787" spans="10:10" x14ac:dyDescent="0.3">
      <c r="J98787"/>
    </row>
    <row r="98788" spans="10:10" x14ac:dyDescent="0.3">
      <c r="J98788"/>
    </row>
    <row r="98789" spans="10:10" x14ac:dyDescent="0.3">
      <c r="J98789"/>
    </row>
    <row r="98790" spans="10:10" x14ac:dyDescent="0.3">
      <c r="J98790"/>
    </row>
    <row r="98791" spans="10:10" x14ac:dyDescent="0.3">
      <c r="J98791"/>
    </row>
    <row r="98792" spans="10:10" x14ac:dyDescent="0.3">
      <c r="J98792"/>
    </row>
    <row r="98793" spans="10:10" x14ac:dyDescent="0.3">
      <c r="J98793"/>
    </row>
    <row r="98794" spans="10:10" x14ac:dyDescent="0.3">
      <c r="J98794"/>
    </row>
    <row r="98795" spans="10:10" x14ac:dyDescent="0.3">
      <c r="J98795"/>
    </row>
    <row r="98796" spans="10:10" x14ac:dyDescent="0.3">
      <c r="J98796"/>
    </row>
    <row r="98797" spans="10:10" x14ac:dyDescent="0.3">
      <c r="J98797"/>
    </row>
    <row r="98798" spans="10:10" x14ac:dyDescent="0.3">
      <c r="J98798"/>
    </row>
    <row r="98799" spans="10:10" x14ac:dyDescent="0.3">
      <c r="J98799"/>
    </row>
    <row r="98800" spans="10:10" x14ac:dyDescent="0.3">
      <c r="J98800"/>
    </row>
    <row r="98801" spans="10:10" x14ac:dyDescent="0.3">
      <c r="J98801"/>
    </row>
    <row r="98802" spans="10:10" x14ac:dyDescent="0.3">
      <c r="J98802"/>
    </row>
    <row r="98803" spans="10:10" x14ac:dyDescent="0.3">
      <c r="J98803"/>
    </row>
    <row r="98804" spans="10:10" x14ac:dyDescent="0.3">
      <c r="J98804"/>
    </row>
    <row r="98805" spans="10:10" x14ac:dyDescent="0.3">
      <c r="J98805"/>
    </row>
    <row r="98806" spans="10:10" x14ac:dyDescent="0.3">
      <c r="J98806"/>
    </row>
    <row r="98807" spans="10:10" x14ac:dyDescent="0.3">
      <c r="J98807"/>
    </row>
    <row r="98808" spans="10:10" x14ac:dyDescent="0.3">
      <c r="J98808"/>
    </row>
    <row r="98809" spans="10:10" x14ac:dyDescent="0.3">
      <c r="J98809"/>
    </row>
    <row r="98810" spans="10:10" x14ac:dyDescent="0.3">
      <c r="J98810"/>
    </row>
    <row r="98811" spans="10:10" x14ac:dyDescent="0.3">
      <c r="J98811"/>
    </row>
    <row r="98812" spans="10:10" x14ac:dyDescent="0.3">
      <c r="J98812"/>
    </row>
    <row r="98813" spans="10:10" x14ac:dyDescent="0.3">
      <c r="J98813"/>
    </row>
    <row r="98814" spans="10:10" x14ac:dyDescent="0.3">
      <c r="J98814"/>
    </row>
    <row r="98815" spans="10:10" x14ac:dyDescent="0.3">
      <c r="J98815"/>
    </row>
    <row r="98816" spans="10:10" x14ac:dyDescent="0.3">
      <c r="J98816"/>
    </row>
    <row r="98817" spans="10:10" x14ac:dyDescent="0.3">
      <c r="J98817"/>
    </row>
    <row r="98818" spans="10:10" x14ac:dyDescent="0.3">
      <c r="J98818"/>
    </row>
    <row r="98819" spans="10:10" x14ac:dyDescent="0.3">
      <c r="J98819"/>
    </row>
    <row r="98820" spans="10:10" x14ac:dyDescent="0.3">
      <c r="J98820"/>
    </row>
    <row r="98821" spans="10:10" x14ac:dyDescent="0.3">
      <c r="J98821"/>
    </row>
    <row r="98822" spans="10:10" x14ac:dyDescent="0.3">
      <c r="J98822"/>
    </row>
    <row r="98823" spans="10:10" x14ac:dyDescent="0.3">
      <c r="J98823"/>
    </row>
    <row r="98824" spans="10:10" x14ac:dyDescent="0.3">
      <c r="J98824"/>
    </row>
    <row r="98825" spans="10:10" x14ac:dyDescent="0.3">
      <c r="J98825"/>
    </row>
    <row r="98826" spans="10:10" x14ac:dyDescent="0.3">
      <c r="J98826"/>
    </row>
    <row r="98827" spans="10:10" x14ac:dyDescent="0.3">
      <c r="J98827"/>
    </row>
    <row r="98828" spans="10:10" x14ac:dyDescent="0.3">
      <c r="J98828"/>
    </row>
    <row r="98829" spans="10:10" x14ac:dyDescent="0.3">
      <c r="J98829"/>
    </row>
    <row r="98830" spans="10:10" x14ac:dyDescent="0.3">
      <c r="J98830"/>
    </row>
    <row r="98831" spans="10:10" x14ac:dyDescent="0.3">
      <c r="J98831"/>
    </row>
    <row r="98832" spans="10:10" x14ac:dyDescent="0.3">
      <c r="J98832"/>
    </row>
    <row r="98833" spans="10:10" x14ac:dyDescent="0.3">
      <c r="J98833"/>
    </row>
    <row r="98834" spans="10:10" x14ac:dyDescent="0.3">
      <c r="J98834"/>
    </row>
    <row r="98835" spans="10:10" x14ac:dyDescent="0.3">
      <c r="J98835"/>
    </row>
    <row r="98836" spans="10:10" x14ac:dyDescent="0.3">
      <c r="J98836"/>
    </row>
    <row r="98837" spans="10:10" x14ac:dyDescent="0.3">
      <c r="J98837"/>
    </row>
    <row r="98838" spans="10:10" x14ac:dyDescent="0.3">
      <c r="J98838"/>
    </row>
    <row r="98839" spans="10:10" x14ac:dyDescent="0.3">
      <c r="J98839"/>
    </row>
    <row r="98840" spans="10:10" x14ac:dyDescent="0.3">
      <c r="J98840"/>
    </row>
    <row r="98841" spans="10:10" x14ac:dyDescent="0.3">
      <c r="J98841"/>
    </row>
    <row r="98842" spans="10:10" x14ac:dyDescent="0.3">
      <c r="J98842"/>
    </row>
    <row r="98843" spans="10:10" x14ac:dyDescent="0.3">
      <c r="J98843"/>
    </row>
    <row r="98844" spans="10:10" x14ac:dyDescent="0.3">
      <c r="J98844"/>
    </row>
    <row r="98845" spans="10:10" x14ac:dyDescent="0.3">
      <c r="J98845"/>
    </row>
    <row r="98846" spans="10:10" x14ac:dyDescent="0.3">
      <c r="J98846"/>
    </row>
    <row r="98847" spans="10:10" x14ac:dyDescent="0.3">
      <c r="J98847"/>
    </row>
    <row r="98848" spans="10:10" x14ac:dyDescent="0.3">
      <c r="J98848"/>
    </row>
    <row r="98849" spans="10:10" x14ac:dyDescent="0.3">
      <c r="J98849"/>
    </row>
    <row r="98850" spans="10:10" x14ac:dyDescent="0.3">
      <c r="J98850"/>
    </row>
    <row r="98851" spans="10:10" x14ac:dyDescent="0.3">
      <c r="J98851"/>
    </row>
    <row r="98852" spans="10:10" x14ac:dyDescent="0.3">
      <c r="J98852"/>
    </row>
    <row r="98853" spans="10:10" x14ac:dyDescent="0.3">
      <c r="J98853"/>
    </row>
    <row r="98854" spans="10:10" x14ac:dyDescent="0.3">
      <c r="J98854"/>
    </row>
    <row r="98855" spans="10:10" x14ac:dyDescent="0.3">
      <c r="J98855"/>
    </row>
    <row r="98856" spans="10:10" x14ac:dyDescent="0.3">
      <c r="J98856"/>
    </row>
    <row r="98857" spans="10:10" x14ac:dyDescent="0.3">
      <c r="J98857"/>
    </row>
    <row r="98858" spans="10:10" x14ac:dyDescent="0.3">
      <c r="J98858"/>
    </row>
    <row r="98859" spans="10:10" x14ac:dyDescent="0.3">
      <c r="J98859"/>
    </row>
    <row r="98860" spans="10:10" x14ac:dyDescent="0.3">
      <c r="J98860"/>
    </row>
    <row r="98861" spans="10:10" x14ac:dyDescent="0.3">
      <c r="J98861"/>
    </row>
    <row r="98862" spans="10:10" x14ac:dyDescent="0.3">
      <c r="J98862"/>
    </row>
    <row r="98863" spans="10:10" x14ac:dyDescent="0.3">
      <c r="J98863"/>
    </row>
    <row r="98864" spans="10:10" x14ac:dyDescent="0.3">
      <c r="J98864"/>
    </row>
    <row r="98865" spans="10:10" x14ac:dyDescent="0.3">
      <c r="J98865"/>
    </row>
    <row r="98866" spans="10:10" x14ac:dyDescent="0.3">
      <c r="J98866"/>
    </row>
    <row r="98867" spans="10:10" x14ac:dyDescent="0.3">
      <c r="J98867"/>
    </row>
    <row r="98868" spans="10:10" x14ac:dyDescent="0.3">
      <c r="J98868"/>
    </row>
    <row r="98869" spans="10:10" x14ac:dyDescent="0.3">
      <c r="J98869"/>
    </row>
    <row r="98870" spans="10:10" x14ac:dyDescent="0.3">
      <c r="J98870"/>
    </row>
    <row r="98871" spans="10:10" x14ac:dyDescent="0.3">
      <c r="J98871"/>
    </row>
    <row r="98872" spans="10:10" x14ac:dyDescent="0.3">
      <c r="J98872"/>
    </row>
    <row r="98873" spans="10:10" x14ac:dyDescent="0.3">
      <c r="J98873"/>
    </row>
    <row r="98874" spans="10:10" x14ac:dyDescent="0.3">
      <c r="J98874"/>
    </row>
    <row r="98875" spans="10:10" x14ac:dyDescent="0.3">
      <c r="J98875"/>
    </row>
    <row r="98876" spans="10:10" x14ac:dyDescent="0.3">
      <c r="J98876"/>
    </row>
    <row r="98877" spans="10:10" x14ac:dyDescent="0.3">
      <c r="J98877"/>
    </row>
    <row r="98878" spans="10:10" x14ac:dyDescent="0.3">
      <c r="J98878"/>
    </row>
    <row r="98879" spans="10:10" x14ac:dyDescent="0.3">
      <c r="J98879"/>
    </row>
    <row r="98880" spans="10:10" x14ac:dyDescent="0.3">
      <c r="J98880"/>
    </row>
    <row r="98881" spans="10:10" x14ac:dyDescent="0.3">
      <c r="J98881"/>
    </row>
    <row r="98882" spans="10:10" x14ac:dyDescent="0.3">
      <c r="J98882"/>
    </row>
    <row r="98883" spans="10:10" x14ac:dyDescent="0.3">
      <c r="J98883"/>
    </row>
    <row r="98884" spans="10:10" x14ac:dyDescent="0.3">
      <c r="J98884"/>
    </row>
    <row r="98885" spans="10:10" x14ac:dyDescent="0.3">
      <c r="J98885"/>
    </row>
    <row r="98886" spans="10:10" x14ac:dyDescent="0.3">
      <c r="J98886"/>
    </row>
    <row r="98887" spans="10:10" x14ac:dyDescent="0.3">
      <c r="J98887"/>
    </row>
    <row r="98888" spans="10:10" x14ac:dyDescent="0.3">
      <c r="J98888"/>
    </row>
    <row r="98889" spans="10:10" x14ac:dyDescent="0.3">
      <c r="J98889"/>
    </row>
    <row r="98890" spans="10:10" x14ac:dyDescent="0.3">
      <c r="J98890"/>
    </row>
    <row r="98891" spans="10:10" x14ac:dyDescent="0.3">
      <c r="J98891"/>
    </row>
    <row r="98892" spans="10:10" x14ac:dyDescent="0.3">
      <c r="J98892"/>
    </row>
    <row r="98893" spans="10:10" x14ac:dyDescent="0.3">
      <c r="J98893"/>
    </row>
    <row r="98894" spans="10:10" x14ac:dyDescent="0.3">
      <c r="J98894"/>
    </row>
    <row r="98895" spans="10:10" x14ac:dyDescent="0.3">
      <c r="J98895"/>
    </row>
    <row r="98896" spans="10:10" x14ac:dyDescent="0.3">
      <c r="J98896"/>
    </row>
    <row r="98897" spans="10:10" x14ac:dyDescent="0.3">
      <c r="J98897"/>
    </row>
    <row r="98898" spans="10:10" x14ac:dyDescent="0.3">
      <c r="J98898"/>
    </row>
    <row r="98899" spans="10:10" x14ac:dyDescent="0.3">
      <c r="J98899"/>
    </row>
    <row r="98900" spans="10:10" x14ac:dyDescent="0.3">
      <c r="J98900"/>
    </row>
    <row r="98901" spans="10:10" x14ac:dyDescent="0.3">
      <c r="J98901"/>
    </row>
    <row r="98902" spans="10:10" x14ac:dyDescent="0.3">
      <c r="J98902"/>
    </row>
    <row r="98903" spans="10:10" x14ac:dyDescent="0.3">
      <c r="J98903"/>
    </row>
    <row r="98904" spans="10:10" x14ac:dyDescent="0.3">
      <c r="J98904"/>
    </row>
    <row r="98905" spans="10:10" x14ac:dyDescent="0.3">
      <c r="J98905"/>
    </row>
    <row r="98906" spans="10:10" x14ac:dyDescent="0.3">
      <c r="J98906"/>
    </row>
    <row r="98907" spans="10:10" x14ac:dyDescent="0.3">
      <c r="J98907"/>
    </row>
    <row r="98908" spans="10:10" x14ac:dyDescent="0.3">
      <c r="J98908"/>
    </row>
    <row r="98909" spans="10:10" x14ac:dyDescent="0.3">
      <c r="J98909"/>
    </row>
    <row r="98910" spans="10:10" x14ac:dyDescent="0.3">
      <c r="J98910"/>
    </row>
    <row r="98911" spans="10:10" x14ac:dyDescent="0.3">
      <c r="J98911"/>
    </row>
    <row r="98912" spans="10:10" x14ac:dyDescent="0.3">
      <c r="J98912"/>
    </row>
    <row r="98913" spans="10:10" x14ac:dyDescent="0.3">
      <c r="J98913"/>
    </row>
    <row r="98914" spans="10:10" x14ac:dyDescent="0.3">
      <c r="J98914"/>
    </row>
    <row r="98915" spans="10:10" x14ac:dyDescent="0.3">
      <c r="J98915"/>
    </row>
    <row r="98916" spans="10:10" x14ac:dyDescent="0.3">
      <c r="J98916"/>
    </row>
    <row r="98917" spans="10:10" x14ac:dyDescent="0.3">
      <c r="J98917"/>
    </row>
    <row r="98918" spans="10:10" x14ac:dyDescent="0.3">
      <c r="J98918"/>
    </row>
    <row r="98919" spans="10:10" x14ac:dyDescent="0.3">
      <c r="J98919"/>
    </row>
    <row r="98920" spans="10:10" x14ac:dyDescent="0.3">
      <c r="J98920"/>
    </row>
    <row r="98921" spans="10:10" x14ac:dyDescent="0.3">
      <c r="J98921"/>
    </row>
    <row r="98922" spans="10:10" x14ac:dyDescent="0.3">
      <c r="J98922"/>
    </row>
    <row r="98923" spans="10:10" x14ac:dyDescent="0.3">
      <c r="J98923"/>
    </row>
    <row r="98924" spans="10:10" x14ac:dyDescent="0.3">
      <c r="J98924"/>
    </row>
    <row r="98925" spans="10:10" x14ac:dyDescent="0.3">
      <c r="J98925"/>
    </row>
    <row r="98926" spans="10:10" x14ac:dyDescent="0.3">
      <c r="J98926"/>
    </row>
    <row r="98927" spans="10:10" x14ac:dyDescent="0.3">
      <c r="J98927"/>
    </row>
    <row r="98928" spans="10:10" x14ac:dyDescent="0.3">
      <c r="J98928"/>
    </row>
    <row r="98929" spans="10:10" x14ac:dyDescent="0.3">
      <c r="J98929"/>
    </row>
    <row r="98930" spans="10:10" x14ac:dyDescent="0.3">
      <c r="J98930"/>
    </row>
    <row r="98931" spans="10:10" x14ac:dyDescent="0.3">
      <c r="J98931"/>
    </row>
    <row r="98932" spans="10:10" x14ac:dyDescent="0.3">
      <c r="J98932"/>
    </row>
    <row r="98933" spans="10:10" x14ac:dyDescent="0.3">
      <c r="J98933"/>
    </row>
    <row r="98934" spans="10:10" x14ac:dyDescent="0.3">
      <c r="J98934"/>
    </row>
    <row r="98935" spans="10:10" x14ac:dyDescent="0.3">
      <c r="J98935"/>
    </row>
    <row r="98936" spans="10:10" x14ac:dyDescent="0.3">
      <c r="J98936"/>
    </row>
    <row r="98937" spans="10:10" x14ac:dyDescent="0.3">
      <c r="J98937"/>
    </row>
    <row r="98938" spans="10:10" x14ac:dyDescent="0.3">
      <c r="J98938"/>
    </row>
    <row r="98939" spans="10:10" x14ac:dyDescent="0.3">
      <c r="J98939"/>
    </row>
    <row r="98940" spans="10:10" x14ac:dyDescent="0.3">
      <c r="J98940"/>
    </row>
    <row r="98941" spans="10:10" x14ac:dyDescent="0.3">
      <c r="J98941"/>
    </row>
    <row r="98942" spans="10:10" x14ac:dyDescent="0.3">
      <c r="J98942"/>
    </row>
    <row r="98943" spans="10:10" x14ac:dyDescent="0.3">
      <c r="J98943"/>
    </row>
    <row r="98944" spans="10:10" x14ac:dyDescent="0.3">
      <c r="J98944"/>
    </row>
    <row r="98945" spans="10:10" x14ac:dyDescent="0.3">
      <c r="J98945"/>
    </row>
    <row r="98946" spans="10:10" x14ac:dyDescent="0.3">
      <c r="J98946"/>
    </row>
    <row r="98947" spans="10:10" x14ac:dyDescent="0.3">
      <c r="J98947"/>
    </row>
    <row r="98948" spans="10:10" x14ac:dyDescent="0.3">
      <c r="J98948"/>
    </row>
    <row r="98949" spans="10:10" x14ac:dyDescent="0.3">
      <c r="J98949"/>
    </row>
    <row r="98950" spans="10:10" x14ac:dyDescent="0.3">
      <c r="J98950"/>
    </row>
    <row r="98951" spans="10:10" x14ac:dyDescent="0.3">
      <c r="J98951"/>
    </row>
    <row r="98952" spans="10:10" x14ac:dyDescent="0.3">
      <c r="J98952"/>
    </row>
    <row r="98953" spans="10:10" x14ac:dyDescent="0.3">
      <c r="J98953"/>
    </row>
    <row r="98954" spans="10:10" x14ac:dyDescent="0.3">
      <c r="J98954"/>
    </row>
    <row r="98955" spans="10:10" x14ac:dyDescent="0.3">
      <c r="J98955"/>
    </row>
    <row r="98956" spans="10:10" x14ac:dyDescent="0.3">
      <c r="J98956"/>
    </row>
    <row r="98957" spans="10:10" x14ac:dyDescent="0.3">
      <c r="J98957"/>
    </row>
    <row r="98958" spans="10:10" x14ac:dyDescent="0.3">
      <c r="J98958"/>
    </row>
    <row r="98959" spans="10:10" x14ac:dyDescent="0.3">
      <c r="J98959"/>
    </row>
    <row r="98960" spans="10:10" x14ac:dyDescent="0.3">
      <c r="J98960"/>
    </row>
    <row r="98961" spans="10:10" x14ac:dyDescent="0.3">
      <c r="J98961"/>
    </row>
    <row r="98962" spans="10:10" x14ac:dyDescent="0.3">
      <c r="J98962"/>
    </row>
    <row r="98963" spans="10:10" x14ac:dyDescent="0.3">
      <c r="J98963"/>
    </row>
    <row r="98964" spans="10:10" x14ac:dyDescent="0.3">
      <c r="J98964"/>
    </row>
    <row r="98965" spans="10:10" x14ac:dyDescent="0.3">
      <c r="J98965"/>
    </row>
    <row r="98966" spans="10:10" x14ac:dyDescent="0.3">
      <c r="J98966"/>
    </row>
    <row r="98967" spans="10:10" x14ac:dyDescent="0.3">
      <c r="J98967"/>
    </row>
    <row r="98968" spans="10:10" x14ac:dyDescent="0.3">
      <c r="J98968"/>
    </row>
    <row r="98969" spans="10:10" x14ac:dyDescent="0.3">
      <c r="J98969"/>
    </row>
    <row r="98970" spans="10:10" x14ac:dyDescent="0.3">
      <c r="J98970"/>
    </row>
    <row r="98971" spans="10:10" x14ac:dyDescent="0.3">
      <c r="J98971"/>
    </row>
    <row r="98972" spans="10:10" x14ac:dyDescent="0.3">
      <c r="J98972"/>
    </row>
    <row r="98973" spans="10:10" x14ac:dyDescent="0.3">
      <c r="J98973"/>
    </row>
    <row r="98974" spans="10:10" x14ac:dyDescent="0.3">
      <c r="J98974"/>
    </row>
    <row r="98975" spans="10:10" x14ac:dyDescent="0.3">
      <c r="J98975"/>
    </row>
    <row r="98976" spans="10:10" x14ac:dyDescent="0.3">
      <c r="J98976"/>
    </row>
    <row r="98977" spans="10:10" x14ac:dyDescent="0.3">
      <c r="J98977"/>
    </row>
    <row r="98978" spans="10:10" x14ac:dyDescent="0.3">
      <c r="J98978"/>
    </row>
    <row r="98979" spans="10:10" x14ac:dyDescent="0.3">
      <c r="J98979"/>
    </row>
    <row r="98980" spans="10:10" x14ac:dyDescent="0.3">
      <c r="J98980"/>
    </row>
    <row r="98981" spans="10:10" x14ac:dyDescent="0.3">
      <c r="J98981"/>
    </row>
    <row r="98982" spans="10:10" x14ac:dyDescent="0.3">
      <c r="J98982"/>
    </row>
    <row r="98983" spans="10:10" x14ac:dyDescent="0.3">
      <c r="J98983"/>
    </row>
    <row r="98984" spans="10:10" x14ac:dyDescent="0.3">
      <c r="J98984"/>
    </row>
    <row r="98985" spans="10:10" x14ac:dyDescent="0.3">
      <c r="J98985"/>
    </row>
    <row r="98986" spans="10:10" x14ac:dyDescent="0.3">
      <c r="J98986"/>
    </row>
    <row r="98987" spans="10:10" x14ac:dyDescent="0.3">
      <c r="J98987"/>
    </row>
    <row r="98988" spans="10:10" x14ac:dyDescent="0.3">
      <c r="J98988"/>
    </row>
    <row r="98989" spans="10:10" x14ac:dyDescent="0.3">
      <c r="J98989"/>
    </row>
    <row r="98990" spans="10:10" x14ac:dyDescent="0.3">
      <c r="J98990"/>
    </row>
    <row r="98991" spans="10:10" x14ac:dyDescent="0.3">
      <c r="J98991"/>
    </row>
    <row r="98992" spans="10:10" x14ac:dyDescent="0.3">
      <c r="J98992"/>
    </row>
    <row r="98993" spans="10:10" x14ac:dyDescent="0.3">
      <c r="J98993"/>
    </row>
    <row r="98994" spans="10:10" x14ac:dyDescent="0.3">
      <c r="J98994"/>
    </row>
    <row r="98995" spans="10:10" x14ac:dyDescent="0.3">
      <c r="J98995"/>
    </row>
    <row r="98996" spans="10:10" x14ac:dyDescent="0.3">
      <c r="J98996"/>
    </row>
    <row r="98997" spans="10:10" x14ac:dyDescent="0.3">
      <c r="J98997"/>
    </row>
    <row r="98998" spans="10:10" x14ac:dyDescent="0.3">
      <c r="J98998"/>
    </row>
    <row r="98999" spans="10:10" x14ac:dyDescent="0.3">
      <c r="J98999"/>
    </row>
    <row r="99000" spans="10:10" x14ac:dyDescent="0.3">
      <c r="J99000"/>
    </row>
    <row r="99001" spans="10:10" x14ac:dyDescent="0.3">
      <c r="J99001"/>
    </row>
    <row r="99002" spans="10:10" x14ac:dyDescent="0.3">
      <c r="J99002"/>
    </row>
    <row r="99003" spans="10:10" x14ac:dyDescent="0.3">
      <c r="J99003"/>
    </row>
    <row r="99004" spans="10:10" x14ac:dyDescent="0.3">
      <c r="J99004"/>
    </row>
    <row r="99005" spans="10:10" x14ac:dyDescent="0.3">
      <c r="J99005"/>
    </row>
    <row r="99006" spans="10:10" x14ac:dyDescent="0.3">
      <c r="J99006"/>
    </row>
    <row r="99007" spans="10:10" x14ac:dyDescent="0.3">
      <c r="J99007"/>
    </row>
    <row r="99008" spans="10:10" x14ac:dyDescent="0.3">
      <c r="J99008"/>
    </row>
    <row r="99009" spans="10:10" x14ac:dyDescent="0.3">
      <c r="J99009"/>
    </row>
    <row r="99010" spans="10:10" x14ac:dyDescent="0.3">
      <c r="J99010"/>
    </row>
    <row r="99011" spans="10:10" x14ac:dyDescent="0.3">
      <c r="J99011"/>
    </row>
    <row r="99012" spans="10:10" x14ac:dyDescent="0.3">
      <c r="J99012"/>
    </row>
    <row r="99013" spans="10:10" x14ac:dyDescent="0.3">
      <c r="J99013"/>
    </row>
    <row r="99014" spans="10:10" x14ac:dyDescent="0.3">
      <c r="J99014"/>
    </row>
    <row r="99015" spans="10:10" x14ac:dyDescent="0.3">
      <c r="J99015"/>
    </row>
    <row r="99016" spans="10:10" x14ac:dyDescent="0.3">
      <c r="J99016"/>
    </row>
    <row r="99017" spans="10:10" x14ac:dyDescent="0.3">
      <c r="J99017"/>
    </row>
    <row r="99018" spans="10:10" x14ac:dyDescent="0.3">
      <c r="J99018"/>
    </row>
    <row r="99019" spans="10:10" x14ac:dyDescent="0.3">
      <c r="J99019"/>
    </row>
    <row r="99020" spans="10:10" x14ac:dyDescent="0.3">
      <c r="J99020"/>
    </row>
    <row r="99021" spans="10:10" x14ac:dyDescent="0.3">
      <c r="J99021"/>
    </row>
    <row r="99022" spans="10:10" x14ac:dyDescent="0.3">
      <c r="J99022"/>
    </row>
    <row r="99023" spans="10:10" x14ac:dyDescent="0.3">
      <c r="J99023"/>
    </row>
    <row r="99024" spans="10:10" x14ac:dyDescent="0.3">
      <c r="J99024"/>
    </row>
    <row r="99025" spans="10:10" x14ac:dyDescent="0.3">
      <c r="J99025"/>
    </row>
    <row r="99026" spans="10:10" x14ac:dyDescent="0.3">
      <c r="J99026"/>
    </row>
    <row r="99027" spans="10:10" x14ac:dyDescent="0.3">
      <c r="J99027"/>
    </row>
    <row r="99028" spans="10:10" x14ac:dyDescent="0.3">
      <c r="J99028"/>
    </row>
    <row r="99029" spans="10:10" x14ac:dyDescent="0.3">
      <c r="J99029"/>
    </row>
    <row r="99030" spans="10:10" x14ac:dyDescent="0.3">
      <c r="J99030"/>
    </row>
    <row r="99031" spans="10:10" x14ac:dyDescent="0.3">
      <c r="J99031"/>
    </row>
    <row r="99032" spans="10:10" x14ac:dyDescent="0.3">
      <c r="J99032"/>
    </row>
    <row r="99033" spans="10:10" x14ac:dyDescent="0.3">
      <c r="J99033"/>
    </row>
    <row r="99034" spans="10:10" x14ac:dyDescent="0.3">
      <c r="J99034"/>
    </row>
    <row r="99035" spans="10:10" x14ac:dyDescent="0.3">
      <c r="J99035"/>
    </row>
    <row r="99036" spans="10:10" x14ac:dyDescent="0.3">
      <c r="J99036"/>
    </row>
    <row r="99037" spans="10:10" x14ac:dyDescent="0.3">
      <c r="J99037"/>
    </row>
    <row r="99038" spans="10:10" x14ac:dyDescent="0.3">
      <c r="J99038"/>
    </row>
    <row r="99039" spans="10:10" x14ac:dyDescent="0.3">
      <c r="J99039"/>
    </row>
    <row r="99040" spans="10:10" x14ac:dyDescent="0.3">
      <c r="J99040"/>
    </row>
    <row r="99041" spans="10:10" x14ac:dyDescent="0.3">
      <c r="J99041"/>
    </row>
    <row r="99042" spans="10:10" x14ac:dyDescent="0.3">
      <c r="J99042"/>
    </row>
    <row r="99043" spans="10:10" x14ac:dyDescent="0.3">
      <c r="J99043"/>
    </row>
    <row r="99044" spans="10:10" x14ac:dyDescent="0.3">
      <c r="J99044"/>
    </row>
    <row r="99045" spans="10:10" x14ac:dyDescent="0.3">
      <c r="J99045"/>
    </row>
    <row r="99046" spans="10:10" x14ac:dyDescent="0.3">
      <c r="J99046"/>
    </row>
    <row r="99047" spans="10:10" x14ac:dyDescent="0.3">
      <c r="J99047"/>
    </row>
    <row r="99048" spans="10:10" x14ac:dyDescent="0.3">
      <c r="J99048"/>
    </row>
    <row r="99049" spans="10:10" x14ac:dyDescent="0.3">
      <c r="J99049"/>
    </row>
    <row r="99050" spans="10:10" x14ac:dyDescent="0.3">
      <c r="J99050"/>
    </row>
    <row r="99051" spans="10:10" x14ac:dyDescent="0.3">
      <c r="J99051"/>
    </row>
    <row r="99052" spans="10:10" x14ac:dyDescent="0.3">
      <c r="J99052"/>
    </row>
    <row r="99053" spans="10:10" x14ac:dyDescent="0.3">
      <c r="J99053"/>
    </row>
    <row r="99054" spans="10:10" x14ac:dyDescent="0.3">
      <c r="J99054"/>
    </row>
    <row r="99055" spans="10:10" x14ac:dyDescent="0.3">
      <c r="J99055"/>
    </row>
    <row r="99056" spans="10:10" x14ac:dyDescent="0.3">
      <c r="J99056"/>
    </row>
    <row r="99057" spans="10:10" x14ac:dyDescent="0.3">
      <c r="J99057"/>
    </row>
    <row r="99058" spans="10:10" x14ac:dyDescent="0.3">
      <c r="J99058"/>
    </row>
    <row r="99059" spans="10:10" x14ac:dyDescent="0.3">
      <c r="J99059"/>
    </row>
    <row r="99060" spans="10:10" x14ac:dyDescent="0.3">
      <c r="J99060"/>
    </row>
    <row r="99061" spans="10:10" x14ac:dyDescent="0.3">
      <c r="J99061"/>
    </row>
    <row r="99062" spans="10:10" x14ac:dyDescent="0.3">
      <c r="J99062"/>
    </row>
    <row r="99063" spans="10:10" x14ac:dyDescent="0.3">
      <c r="J99063"/>
    </row>
    <row r="99064" spans="10:10" x14ac:dyDescent="0.3">
      <c r="J99064"/>
    </row>
    <row r="99065" spans="10:10" x14ac:dyDescent="0.3">
      <c r="J99065"/>
    </row>
    <row r="99066" spans="10:10" x14ac:dyDescent="0.3">
      <c r="J99066"/>
    </row>
    <row r="99067" spans="10:10" x14ac:dyDescent="0.3">
      <c r="J99067"/>
    </row>
    <row r="99068" spans="10:10" x14ac:dyDescent="0.3">
      <c r="J99068"/>
    </row>
    <row r="99069" spans="10:10" x14ac:dyDescent="0.3">
      <c r="J99069"/>
    </row>
    <row r="99070" spans="10:10" x14ac:dyDescent="0.3">
      <c r="J99070"/>
    </row>
    <row r="99071" spans="10:10" x14ac:dyDescent="0.3">
      <c r="J99071"/>
    </row>
    <row r="99072" spans="10:10" x14ac:dyDescent="0.3">
      <c r="J99072"/>
    </row>
    <row r="99073" spans="10:10" x14ac:dyDescent="0.3">
      <c r="J99073"/>
    </row>
    <row r="99074" spans="10:10" x14ac:dyDescent="0.3">
      <c r="J99074"/>
    </row>
    <row r="99075" spans="10:10" x14ac:dyDescent="0.3">
      <c r="J99075"/>
    </row>
    <row r="99076" spans="10:10" x14ac:dyDescent="0.3">
      <c r="J99076"/>
    </row>
    <row r="99077" spans="10:10" x14ac:dyDescent="0.3">
      <c r="J99077"/>
    </row>
    <row r="99078" spans="10:10" x14ac:dyDescent="0.3">
      <c r="J99078"/>
    </row>
    <row r="99079" spans="10:10" x14ac:dyDescent="0.3">
      <c r="J99079"/>
    </row>
    <row r="99080" spans="10:10" x14ac:dyDescent="0.3">
      <c r="J99080"/>
    </row>
    <row r="99081" spans="10:10" x14ac:dyDescent="0.3">
      <c r="J99081"/>
    </row>
    <row r="99082" spans="10:10" x14ac:dyDescent="0.3">
      <c r="J99082"/>
    </row>
    <row r="99083" spans="10:10" x14ac:dyDescent="0.3">
      <c r="J99083"/>
    </row>
    <row r="99084" spans="10:10" x14ac:dyDescent="0.3">
      <c r="J99084"/>
    </row>
    <row r="99085" spans="10:10" x14ac:dyDescent="0.3">
      <c r="J99085"/>
    </row>
    <row r="99086" spans="10:10" x14ac:dyDescent="0.3">
      <c r="J99086"/>
    </row>
    <row r="99087" spans="10:10" x14ac:dyDescent="0.3">
      <c r="J99087"/>
    </row>
    <row r="99088" spans="10:10" x14ac:dyDescent="0.3">
      <c r="J99088"/>
    </row>
    <row r="99089" spans="10:10" x14ac:dyDescent="0.3">
      <c r="J99089"/>
    </row>
    <row r="99090" spans="10:10" x14ac:dyDescent="0.3">
      <c r="J99090"/>
    </row>
    <row r="99091" spans="10:10" x14ac:dyDescent="0.3">
      <c r="J99091"/>
    </row>
    <row r="99092" spans="10:10" x14ac:dyDescent="0.3">
      <c r="J99092"/>
    </row>
    <row r="99093" spans="10:10" x14ac:dyDescent="0.3">
      <c r="J99093"/>
    </row>
    <row r="99094" spans="10:10" x14ac:dyDescent="0.3">
      <c r="J99094"/>
    </row>
    <row r="99095" spans="10:10" x14ac:dyDescent="0.3">
      <c r="J99095"/>
    </row>
    <row r="99096" spans="10:10" x14ac:dyDescent="0.3">
      <c r="J99096"/>
    </row>
    <row r="99097" spans="10:10" x14ac:dyDescent="0.3">
      <c r="J99097"/>
    </row>
    <row r="99098" spans="10:10" x14ac:dyDescent="0.3">
      <c r="J99098"/>
    </row>
    <row r="99099" spans="10:10" x14ac:dyDescent="0.3">
      <c r="J99099"/>
    </row>
    <row r="99100" spans="10:10" x14ac:dyDescent="0.3">
      <c r="J99100"/>
    </row>
    <row r="99101" spans="10:10" x14ac:dyDescent="0.3">
      <c r="J99101"/>
    </row>
    <row r="99102" spans="10:10" x14ac:dyDescent="0.3">
      <c r="J99102"/>
    </row>
    <row r="99103" spans="10:10" x14ac:dyDescent="0.3">
      <c r="J99103"/>
    </row>
    <row r="99104" spans="10:10" x14ac:dyDescent="0.3">
      <c r="J99104"/>
    </row>
    <row r="99105" spans="10:10" x14ac:dyDescent="0.3">
      <c r="J99105"/>
    </row>
    <row r="99106" spans="10:10" x14ac:dyDescent="0.3">
      <c r="J99106"/>
    </row>
    <row r="99107" spans="10:10" x14ac:dyDescent="0.3">
      <c r="J99107"/>
    </row>
    <row r="99108" spans="10:10" x14ac:dyDescent="0.3">
      <c r="J99108"/>
    </row>
    <row r="99109" spans="10:10" x14ac:dyDescent="0.3">
      <c r="J99109"/>
    </row>
    <row r="99110" spans="10:10" x14ac:dyDescent="0.3">
      <c r="J99110"/>
    </row>
    <row r="99111" spans="10:10" x14ac:dyDescent="0.3">
      <c r="J99111"/>
    </row>
    <row r="99112" spans="10:10" x14ac:dyDescent="0.3">
      <c r="J99112"/>
    </row>
    <row r="99113" spans="10:10" x14ac:dyDescent="0.3">
      <c r="J99113"/>
    </row>
    <row r="99114" spans="10:10" x14ac:dyDescent="0.3">
      <c r="J99114"/>
    </row>
    <row r="99115" spans="10:10" x14ac:dyDescent="0.3">
      <c r="J99115"/>
    </row>
    <row r="99116" spans="10:10" x14ac:dyDescent="0.3">
      <c r="J99116"/>
    </row>
    <row r="99117" spans="10:10" x14ac:dyDescent="0.3">
      <c r="J99117"/>
    </row>
    <row r="99118" spans="10:10" x14ac:dyDescent="0.3">
      <c r="J99118"/>
    </row>
    <row r="99119" spans="10:10" x14ac:dyDescent="0.3">
      <c r="J99119"/>
    </row>
    <row r="99120" spans="10:10" x14ac:dyDescent="0.3">
      <c r="J99120"/>
    </row>
    <row r="99121" spans="10:10" x14ac:dyDescent="0.3">
      <c r="J99121"/>
    </row>
    <row r="99122" spans="10:10" x14ac:dyDescent="0.3">
      <c r="J99122"/>
    </row>
    <row r="99123" spans="10:10" x14ac:dyDescent="0.3">
      <c r="J99123"/>
    </row>
    <row r="99124" spans="10:10" x14ac:dyDescent="0.3">
      <c r="J99124"/>
    </row>
    <row r="99125" spans="10:10" x14ac:dyDescent="0.3">
      <c r="J99125"/>
    </row>
    <row r="99126" spans="10:10" x14ac:dyDescent="0.3">
      <c r="J99126"/>
    </row>
    <row r="99127" spans="10:10" x14ac:dyDescent="0.3">
      <c r="J99127"/>
    </row>
    <row r="99128" spans="10:10" x14ac:dyDescent="0.3">
      <c r="J99128"/>
    </row>
    <row r="99129" spans="10:10" x14ac:dyDescent="0.3">
      <c r="J99129"/>
    </row>
    <row r="99130" spans="10:10" x14ac:dyDescent="0.3">
      <c r="J99130"/>
    </row>
    <row r="99131" spans="10:10" x14ac:dyDescent="0.3">
      <c r="J99131"/>
    </row>
    <row r="99132" spans="10:10" x14ac:dyDescent="0.3">
      <c r="J99132"/>
    </row>
    <row r="99133" spans="10:10" x14ac:dyDescent="0.3">
      <c r="J99133"/>
    </row>
    <row r="99134" spans="10:10" x14ac:dyDescent="0.3">
      <c r="J99134"/>
    </row>
    <row r="99135" spans="10:10" x14ac:dyDescent="0.3">
      <c r="J99135"/>
    </row>
    <row r="99136" spans="10:10" x14ac:dyDescent="0.3">
      <c r="J99136"/>
    </row>
    <row r="99137" spans="10:10" x14ac:dyDescent="0.3">
      <c r="J99137"/>
    </row>
    <row r="99138" spans="10:10" x14ac:dyDescent="0.3">
      <c r="J99138"/>
    </row>
    <row r="99139" spans="10:10" x14ac:dyDescent="0.3">
      <c r="J99139"/>
    </row>
    <row r="99140" spans="10:10" x14ac:dyDescent="0.3">
      <c r="J99140"/>
    </row>
    <row r="99141" spans="10:10" x14ac:dyDescent="0.3">
      <c r="J99141"/>
    </row>
    <row r="99142" spans="10:10" x14ac:dyDescent="0.3">
      <c r="J99142"/>
    </row>
    <row r="99143" spans="10:10" x14ac:dyDescent="0.3">
      <c r="J99143"/>
    </row>
    <row r="99144" spans="10:10" x14ac:dyDescent="0.3">
      <c r="J99144"/>
    </row>
    <row r="99145" spans="10:10" x14ac:dyDescent="0.3">
      <c r="J99145"/>
    </row>
    <row r="99146" spans="10:10" x14ac:dyDescent="0.3">
      <c r="J99146"/>
    </row>
    <row r="99147" spans="10:10" x14ac:dyDescent="0.3">
      <c r="J99147"/>
    </row>
    <row r="99148" spans="10:10" x14ac:dyDescent="0.3">
      <c r="J99148"/>
    </row>
    <row r="99149" spans="10:10" x14ac:dyDescent="0.3">
      <c r="J99149"/>
    </row>
    <row r="99150" spans="10:10" x14ac:dyDescent="0.3">
      <c r="J99150"/>
    </row>
    <row r="99151" spans="10:10" x14ac:dyDescent="0.3">
      <c r="J99151"/>
    </row>
    <row r="99152" spans="10:10" x14ac:dyDescent="0.3">
      <c r="J99152"/>
    </row>
    <row r="99153" spans="10:10" x14ac:dyDescent="0.3">
      <c r="J99153"/>
    </row>
    <row r="99154" spans="10:10" x14ac:dyDescent="0.3">
      <c r="J99154"/>
    </row>
    <row r="99155" spans="10:10" x14ac:dyDescent="0.3">
      <c r="J99155"/>
    </row>
    <row r="99156" spans="10:10" x14ac:dyDescent="0.3">
      <c r="J99156"/>
    </row>
    <row r="99157" spans="10:10" x14ac:dyDescent="0.3">
      <c r="J99157"/>
    </row>
    <row r="99158" spans="10:10" x14ac:dyDescent="0.3">
      <c r="J99158"/>
    </row>
    <row r="99159" spans="10:10" x14ac:dyDescent="0.3">
      <c r="J99159"/>
    </row>
    <row r="99160" spans="10:10" x14ac:dyDescent="0.3">
      <c r="J99160"/>
    </row>
    <row r="99161" spans="10:10" x14ac:dyDescent="0.3">
      <c r="J99161"/>
    </row>
    <row r="99162" spans="10:10" x14ac:dyDescent="0.3">
      <c r="J99162"/>
    </row>
    <row r="99163" spans="10:10" x14ac:dyDescent="0.3">
      <c r="J99163"/>
    </row>
    <row r="99164" spans="10:10" x14ac:dyDescent="0.3">
      <c r="J99164"/>
    </row>
    <row r="99165" spans="10:10" x14ac:dyDescent="0.3">
      <c r="J99165"/>
    </row>
    <row r="99166" spans="10:10" x14ac:dyDescent="0.3">
      <c r="J99166"/>
    </row>
    <row r="99167" spans="10:10" x14ac:dyDescent="0.3">
      <c r="J99167"/>
    </row>
    <row r="99168" spans="10:10" x14ac:dyDescent="0.3">
      <c r="J99168"/>
    </row>
    <row r="99169" spans="10:10" x14ac:dyDescent="0.3">
      <c r="J99169"/>
    </row>
    <row r="99170" spans="10:10" x14ac:dyDescent="0.3">
      <c r="J99170"/>
    </row>
    <row r="99171" spans="10:10" x14ac:dyDescent="0.3">
      <c r="J99171"/>
    </row>
    <row r="99172" spans="10:10" x14ac:dyDescent="0.3">
      <c r="J99172"/>
    </row>
    <row r="99173" spans="10:10" x14ac:dyDescent="0.3">
      <c r="J99173"/>
    </row>
    <row r="99174" spans="10:10" x14ac:dyDescent="0.3">
      <c r="J99174"/>
    </row>
    <row r="99175" spans="10:10" x14ac:dyDescent="0.3">
      <c r="J99175"/>
    </row>
    <row r="99176" spans="10:10" x14ac:dyDescent="0.3">
      <c r="J99176"/>
    </row>
    <row r="99177" spans="10:10" x14ac:dyDescent="0.3">
      <c r="J99177"/>
    </row>
    <row r="99178" spans="10:10" x14ac:dyDescent="0.3">
      <c r="J99178"/>
    </row>
    <row r="99179" spans="10:10" x14ac:dyDescent="0.3">
      <c r="J99179"/>
    </row>
    <row r="99180" spans="10:10" x14ac:dyDescent="0.3">
      <c r="J99180"/>
    </row>
    <row r="99181" spans="10:10" x14ac:dyDescent="0.3">
      <c r="J99181"/>
    </row>
    <row r="99182" spans="10:10" x14ac:dyDescent="0.3">
      <c r="J99182"/>
    </row>
    <row r="99183" spans="10:10" x14ac:dyDescent="0.3">
      <c r="J99183"/>
    </row>
    <row r="99184" spans="10:10" x14ac:dyDescent="0.3">
      <c r="J99184"/>
    </row>
    <row r="99185" spans="10:10" x14ac:dyDescent="0.3">
      <c r="J99185"/>
    </row>
    <row r="99186" spans="10:10" x14ac:dyDescent="0.3">
      <c r="J99186"/>
    </row>
    <row r="99187" spans="10:10" x14ac:dyDescent="0.3">
      <c r="J99187"/>
    </row>
    <row r="99188" spans="10:10" x14ac:dyDescent="0.3">
      <c r="J99188"/>
    </row>
    <row r="99189" spans="10:10" x14ac:dyDescent="0.3">
      <c r="J99189"/>
    </row>
    <row r="99190" spans="10:10" x14ac:dyDescent="0.3">
      <c r="J99190"/>
    </row>
    <row r="99191" spans="10:10" x14ac:dyDescent="0.3">
      <c r="J99191"/>
    </row>
    <row r="99192" spans="10:10" x14ac:dyDescent="0.3">
      <c r="J99192"/>
    </row>
    <row r="99193" spans="10:10" x14ac:dyDescent="0.3">
      <c r="J99193"/>
    </row>
    <row r="99194" spans="10:10" x14ac:dyDescent="0.3">
      <c r="J99194"/>
    </row>
    <row r="99195" spans="10:10" x14ac:dyDescent="0.3">
      <c r="J99195"/>
    </row>
    <row r="99196" spans="10:10" x14ac:dyDescent="0.3">
      <c r="J99196"/>
    </row>
    <row r="99197" spans="10:10" x14ac:dyDescent="0.3">
      <c r="J99197"/>
    </row>
    <row r="99198" spans="10:10" x14ac:dyDescent="0.3">
      <c r="J99198"/>
    </row>
    <row r="99199" spans="10:10" x14ac:dyDescent="0.3">
      <c r="J99199"/>
    </row>
    <row r="99200" spans="10:10" x14ac:dyDescent="0.3">
      <c r="J99200"/>
    </row>
    <row r="99201" spans="10:10" x14ac:dyDescent="0.3">
      <c r="J99201"/>
    </row>
    <row r="99202" spans="10:10" x14ac:dyDescent="0.3">
      <c r="J99202"/>
    </row>
    <row r="99203" spans="10:10" x14ac:dyDescent="0.3">
      <c r="J99203"/>
    </row>
    <row r="99204" spans="10:10" x14ac:dyDescent="0.3">
      <c r="J99204"/>
    </row>
    <row r="99205" spans="10:10" x14ac:dyDescent="0.3">
      <c r="J99205"/>
    </row>
    <row r="99206" spans="10:10" x14ac:dyDescent="0.3">
      <c r="J99206"/>
    </row>
    <row r="99207" spans="10:10" x14ac:dyDescent="0.3">
      <c r="J99207"/>
    </row>
    <row r="99208" spans="10:10" x14ac:dyDescent="0.3">
      <c r="J99208"/>
    </row>
    <row r="99209" spans="10:10" x14ac:dyDescent="0.3">
      <c r="J99209"/>
    </row>
    <row r="99210" spans="10:10" x14ac:dyDescent="0.3">
      <c r="J99210"/>
    </row>
    <row r="99211" spans="10:10" x14ac:dyDescent="0.3">
      <c r="J99211"/>
    </row>
    <row r="99212" spans="10:10" x14ac:dyDescent="0.3">
      <c r="J99212"/>
    </row>
    <row r="99213" spans="10:10" x14ac:dyDescent="0.3">
      <c r="J99213"/>
    </row>
    <row r="99214" spans="10:10" x14ac:dyDescent="0.3">
      <c r="J99214"/>
    </row>
    <row r="99215" spans="10:10" x14ac:dyDescent="0.3">
      <c r="J99215"/>
    </row>
    <row r="99216" spans="10:10" x14ac:dyDescent="0.3">
      <c r="J99216"/>
    </row>
    <row r="99217" spans="10:10" x14ac:dyDescent="0.3">
      <c r="J99217"/>
    </row>
    <row r="99218" spans="10:10" x14ac:dyDescent="0.3">
      <c r="J99218"/>
    </row>
    <row r="99219" spans="10:10" x14ac:dyDescent="0.3">
      <c r="J99219"/>
    </row>
    <row r="99220" spans="10:10" x14ac:dyDescent="0.3">
      <c r="J99220"/>
    </row>
    <row r="99221" spans="10:10" x14ac:dyDescent="0.3">
      <c r="J99221"/>
    </row>
    <row r="99222" spans="10:10" x14ac:dyDescent="0.3">
      <c r="J99222"/>
    </row>
    <row r="99223" spans="10:10" x14ac:dyDescent="0.3">
      <c r="J99223"/>
    </row>
    <row r="99224" spans="10:10" x14ac:dyDescent="0.3">
      <c r="J99224"/>
    </row>
    <row r="99225" spans="10:10" x14ac:dyDescent="0.3">
      <c r="J99225"/>
    </row>
    <row r="99226" spans="10:10" x14ac:dyDescent="0.3">
      <c r="J99226"/>
    </row>
    <row r="99227" spans="10:10" x14ac:dyDescent="0.3">
      <c r="J99227"/>
    </row>
    <row r="99228" spans="10:10" x14ac:dyDescent="0.3">
      <c r="J99228"/>
    </row>
    <row r="99229" spans="10:10" x14ac:dyDescent="0.3">
      <c r="J99229"/>
    </row>
    <row r="99230" spans="10:10" x14ac:dyDescent="0.3">
      <c r="J99230"/>
    </row>
    <row r="99231" spans="10:10" x14ac:dyDescent="0.3">
      <c r="J99231"/>
    </row>
    <row r="99232" spans="10:10" x14ac:dyDescent="0.3">
      <c r="J99232"/>
    </row>
    <row r="99233" spans="10:10" x14ac:dyDescent="0.3">
      <c r="J99233"/>
    </row>
    <row r="99234" spans="10:10" x14ac:dyDescent="0.3">
      <c r="J99234"/>
    </row>
    <row r="99235" spans="10:10" x14ac:dyDescent="0.3">
      <c r="J99235"/>
    </row>
    <row r="99236" spans="10:10" x14ac:dyDescent="0.3">
      <c r="J99236"/>
    </row>
    <row r="99237" spans="10:10" x14ac:dyDescent="0.3">
      <c r="J99237"/>
    </row>
    <row r="99238" spans="10:10" x14ac:dyDescent="0.3">
      <c r="J99238"/>
    </row>
    <row r="99239" spans="10:10" x14ac:dyDescent="0.3">
      <c r="J99239"/>
    </row>
    <row r="99240" spans="10:10" x14ac:dyDescent="0.3">
      <c r="J99240"/>
    </row>
    <row r="99241" spans="10:10" x14ac:dyDescent="0.3">
      <c r="J99241"/>
    </row>
    <row r="99242" spans="10:10" x14ac:dyDescent="0.3">
      <c r="J99242"/>
    </row>
    <row r="99243" spans="10:10" x14ac:dyDescent="0.3">
      <c r="J99243"/>
    </row>
    <row r="99244" spans="10:10" x14ac:dyDescent="0.3">
      <c r="J99244"/>
    </row>
    <row r="99245" spans="10:10" x14ac:dyDescent="0.3">
      <c r="J99245"/>
    </row>
    <row r="99246" spans="10:10" x14ac:dyDescent="0.3">
      <c r="J99246"/>
    </row>
    <row r="99247" spans="10:10" x14ac:dyDescent="0.3">
      <c r="J99247"/>
    </row>
    <row r="99248" spans="10:10" x14ac:dyDescent="0.3">
      <c r="J99248"/>
    </row>
    <row r="99249" spans="10:10" x14ac:dyDescent="0.3">
      <c r="J99249"/>
    </row>
    <row r="99250" spans="10:10" x14ac:dyDescent="0.3">
      <c r="J99250"/>
    </row>
    <row r="99251" spans="10:10" x14ac:dyDescent="0.3">
      <c r="J99251"/>
    </row>
    <row r="99252" spans="10:10" x14ac:dyDescent="0.3">
      <c r="J99252"/>
    </row>
    <row r="99253" spans="10:10" x14ac:dyDescent="0.3">
      <c r="J99253"/>
    </row>
    <row r="99254" spans="10:10" x14ac:dyDescent="0.3">
      <c r="J99254"/>
    </row>
    <row r="99255" spans="10:10" x14ac:dyDescent="0.3">
      <c r="J99255"/>
    </row>
    <row r="99256" spans="10:10" x14ac:dyDescent="0.3">
      <c r="J99256"/>
    </row>
    <row r="99257" spans="10:10" x14ac:dyDescent="0.3">
      <c r="J99257"/>
    </row>
    <row r="99258" spans="10:10" x14ac:dyDescent="0.3">
      <c r="J99258"/>
    </row>
    <row r="99259" spans="10:10" x14ac:dyDescent="0.3">
      <c r="J99259"/>
    </row>
    <row r="99260" spans="10:10" x14ac:dyDescent="0.3">
      <c r="J99260"/>
    </row>
    <row r="99261" spans="10:10" x14ac:dyDescent="0.3">
      <c r="J99261"/>
    </row>
    <row r="99262" spans="10:10" x14ac:dyDescent="0.3">
      <c r="J99262"/>
    </row>
    <row r="99263" spans="10:10" x14ac:dyDescent="0.3">
      <c r="J99263"/>
    </row>
    <row r="99264" spans="10:10" x14ac:dyDescent="0.3">
      <c r="J99264"/>
    </row>
    <row r="99265" spans="10:10" x14ac:dyDescent="0.3">
      <c r="J99265"/>
    </row>
    <row r="99266" spans="10:10" x14ac:dyDescent="0.3">
      <c r="J99266"/>
    </row>
    <row r="99267" spans="10:10" x14ac:dyDescent="0.3">
      <c r="J99267"/>
    </row>
    <row r="99268" spans="10:10" x14ac:dyDescent="0.3">
      <c r="J99268"/>
    </row>
    <row r="99269" spans="10:10" x14ac:dyDescent="0.3">
      <c r="J99269"/>
    </row>
    <row r="99270" spans="10:10" x14ac:dyDescent="0.3">
      <c r="J99270"/>
    </row>
    <row r="99271" spans="10:10" x14ac:dyDescent="0.3">
      <c r="J99271"/>
    </row>
    <row r="99272" spans="10:10" x14ac:dyDescent="0.3">
      <c r="J99272"/>
    </row>
    <row r="99273" spans="10:10" x14ac:dyDescent="0.3">
      <c r="J99273"/>
    </row>
    <row r="99274" spans="10:10" x14ac:dyDescent="0.3">
      <c r="J99274"/>
    </row>
    <row r="99275" spans="10:10" x14ac:dyDescent="0.3">
      <c r="J99275"/>
    </row>
    <row r="99276" spans="10:10" x14ac:dyDescent="0.3">
      <c r="J99276"/>
    </row>
    <row r="99277" spans="10:10" x14ac:dyDescent="0.3">
      <c r="J99277"/>
    </row>
    <row r="99278" spans="10:10" x14ac:dyDescent="0.3">
      <c r="J99278"/>
    </row>
    <row r="99279" spans="10:10" x14ac:dyDescent="0.3">
      <c r="J99279"/>
    </row>
    <row r="99280" spans="10:10" x14ac:dyDescent="0.3">
      <c r="J99280"/>
    </row>
    <row r="99281" spans="10:10" x14ac:dyDescent="0.3">
      <c r="J99281"/>
    </row>
    <row r="99282" spans="10:10" x14ac:dyDescent="0.3">
      <c r="J99282"/>
    </row>
    <row r="99283" spans="10:10" x14ac:dyDescent="0.3">
      <c r="J99283"/>
    </row>
    <row r="99284" spans="10:10" x14ac:dyDescent="0.3">
      <c r="J99284"/>
    </row>
    <row r="99285" spans="10:10" x14ac:dyDescent="0.3">
      <c r="J99285"/>
    </row>
    <row r="99286" spans="10:10" x14ac:dyDescent="0.3">
      <c r="J99286"/>
    </row>
    <row r="99287" spans="10:10" x14ac:dyDescent="0.3">
      <c r="J99287"/>
    </row>
    <row r="99288" spans="10:10" x14ac:dyDescent="0.3">
      <c r="J99288"/>
    </row>
    <row r="99289" spans="10:10" x14ac:dyDescent="0.3">
      <c r="J99289"/>
    </row>
    <row r="99290" spans="10:10" x14ac:dyDescent="0.3">
      <c r="J99290"/>
    </row>
    <row r="99291" spans="10:10" x14ac:dyDescent="0.3">
      <c r="J99291"/>
    </row>
    <row r="99292" spans="10:10" x14ac:dyDescent="0.3">
      <c r="J99292"/>
    </row>
    <row r="99293" spans="10:10" x14ac:dyDescent="0.3">
      <c r="J99293"/>
    </row>
    <row r="99294" spans="10:10" x14ac:dyDescent="0.3">
      <c r="J99294"/>
    </row>
    <row r="99295" spans="10:10" x14ac:dyDescent="0.3">
      <c r="J99295"/>
    </row>
    <row r="99296" spans="10:10" x14ac:dyDescent="0.3">
      <c r="J99296"/>
    </row>
    <row r="99297" spans="10:10" x14ac:dyDescent="0.3">
      <c r="J99297"/>
    </row>
    <row r="99298" spans="10:10" x14ac:dyDescent="0.3">
      <c r="J99298"/>
    </row>
    <row r="99299" spans="10:10" x14ac:dyDescent="0.3">
      <c r="J99299"/>
    </row>
    <row r="99300" spans="10:10" x14ac:dyDescent="0.3">
      <c r="J99300"/>
    </row>
    <row r="99301" spans="10:10" x14ac:dyDescent="0.3">
      <c r="J99301"/>
    </row>
    <row r="99302" spans="10:10" x14ac:dyDescent="0.3">
      <c r="J99302"/>
    </row>
    <row r="99303" spans="10:10" x14ac:dyDescent="0.3">
      <c r="J99303"/>
    </row>
    <row r="99304" spans="10:10" x14ac:dyDescent="0.3">
      <c r="J99304"/>
    </row>
    <row r="99305" spans="10:10" x14ac:dyDescent="0.3">
      <c r="J99305"/>
    </row>
    <row r="99306" spans="10:10" x14ac:dyDescent="0.3">
      <c r="J99306"/>
    </row>
    <row r="99307" spans="10:10" x14ac:dyDescent="0.3">
      <c r="J99307"/>
    </row>
    <row r="99308" spans="10:10" x14ac:dyDescent="0.3">
      <c r="J99308"/>
    </row>
    <row r="99309" spans="10:10" x14ac:dyDescent="0.3">
      <c r="J99309"/>
    </row>
    <row r="99310" spans="10:10" x14ac:dyDescent="0.3">
      <c r="J99310"/>
    </row>
    <row r="99311" spans="10:10" x14ac:dyDescent="0.3">
      <c r="J99311"/>
    </row>
    <row r="99312" spans="10:10" x14ac:dyDescent="0.3">
      <c r="J99312"/>
    </row>
    <row r="99313" spans="10:10" x14ac:dyDescent="0.3">
      <c r="J99313"/>
    </row>
    <row r="99314" spans="10:10" x14ac:dyDescent="0.3">
      <c r="J99314"/>
    </row>
    <row r="99315" spans="10:10" x14ac:dyDescent="0.3">
      <c r="J99315"/>
    </row>
    <row r="99316" spans="10:10" x14ac:dyDescent="0.3">
      <c r="J99316"/>
    </row>
    <row r="99317" spans="10:10" x14ac:dyDescent="0.3">
      <c r="J99317"/>
    </row>
    <row r="99318" spans="10:10" x14ac:dyDescent="0.3">
      <c r="J99318"/>
    </row>
    <row r="99319" spans="10:10" x14ac:dyDescent="0.3">
      <c r="J99319"/>
    </row>
    <row r="99320" spans="10:10" x14ac:dyDescent="0.3">
      <c r="J99320"/>
    </row>
    <row r="99321" spans="10:10" x14ac:dyDescent="0.3">
      <c r="J99321"/>
    </row>
    <row r="99322" spans="10:10" x14ac:dyDescent="0.3">
      <c r="J99322"/>
    </row>
    <row r="99323" spans="10:10" x14ac:dyDescent="0.3">
      <c r="J99323"/>
    </row>
    <row r="99324" spans="10:10" x14ac:dyDescent="0.3">
      <c r="J99324"/>
    </row>
    <row r="99325" spans="10:10" x14ac:dyDescent="0.3">
      <c r="J99325"/>
    </row>
    <row r="99326" spans="10:10" x14ac:dyDescent="0.3">
      <c r="J99326"/>
    </row>
    <row r="99327" spans="10:10" x14ac:dyDescent="0.3">
      <c r="J99327"/>
    </row>
    <row r="99328" spans="10:10" x14ac:dyDescent="0.3">
      <c r="J99328"/>
    </row>
    <row r="99329" spans="10:10" x14ac:dyDescent="0.3">
      <c r="J99329"/>
    </row>
    <row r="99330" spans="10:10" x14ac:dyDescent="0.3">
      <c r="J99330"/>
    </row>
    <row r="99331" spans="10:10" x14ac:dyDescent="0.3">
      <c r="J99331"/>
    </row>
    <row r="99332" spans="10:10" x14ac:dyDescent="0.3">
      <c r="J99332"/>
    </row>
    <row r="99333" spans="10:10" x14ac:dyDescent="0.3">
      <c r="J99333"/>
    </row>
    <row r="99334" spans="10:10" x14ac:dyDescent="0.3">
      <c r="J99334"/>
    </row>
    <row r="99335" spans="10:10" x14ac:dyDescent="0.3">
      <c r="J99335"/>
    </row>
    <row r="99336" spans="10:10" x14ac:dyDescent="0.3">
      <c r="J99336"/>
    </row>
    <row r="99337" spans="10:10" x14ac:dyDescent="0.3">
      <c r="J99337"/>
    </row>
    <row r="99338" spans="10:10" x14ac:dyDescent="0.3">
      <c r="J99338"/>
    </row>
    <row r="99339" spans="10:10" x14ac:dyDescent="0.3">
      <c r="J99339"/>
    </row>
    <row r="99340" spans="10:10" x14ac:dyDescent="0.3">
      <c r="J99340"/>
    </row>
    <row r="99341" spans="10:10" x14ac:dyDescent="0.3">
      <c r="J99341"/>
    </row>
    <row r="99342" spans="10:10" x14ac:dyDescent="0.3">
      <c r="J99342"/>
    </row>
    <row r="99343" spans="10:10" x14ac:dyDescent="0.3">
      <c r="J99343"/>
    </row>
    <row r="99344" spans="10:10" x14ac:dyDescent="0.3">
      <c r="J99344"/>
    </row>
    <row r="99345" spans="10:10" x14ac:dyDescent="0.3">
      <c r="J99345"/>
    </row>
    <row r="99346" spans="10:10" x14ac:dyDescent="0.3">
      <c r="J99346"/>
    </row>
    <row r="99347" spans="10:10" x14ac:dyDescent="0.3">
      <c r="J99347"/>
    </row>
    <row r="99348" spans="10:10" x14ac:dyDescent="0.3">
      <c r="J99348"/>
    </row>
    <row r="99349" spans="10:10" x14ac:dyDescent="0.3">
      <c r="J99349"/>
    </row>
    <row r="99350" spans="10:10" x14ac:dyDescent="0.3">
      <c r="J99350"/>
    </row>
    <row r="99351" spans="10:10" x14ac:dyDescent="0.3">
      <c r="J99351"/>
    </row>
    <row r="99352" spans="10:10" x14ac:dyDescent="0.3">
      <c r="J99352"/>
    </row>
    <row r="99353" spans="10:10" x14ac:dyDescent="0.3">
      <c r="J99353"/>
    </row>
    <row r="99354" spans="10:10" x14ac:dyDescent="0.3">
      <c r="J99354"/>
    </row>
    <row r="99355" spans="10:10" x14ac:dyDescent="0.3">
      <c r="J99355"/>
    </row>
    <row r="99356" spans="10:10" x14ac:dyDescent="0.3">
      <c r="J99356"/>
    </row>
    <row r="99357" spans="10:10" x14ac:dyDescent="0.3">
      <c r="J99357"/>
    </row>
    <row r="99358" spans="10:10" x14ac:dyDescent="0.3">
      <c r="J99358"/>
    </row>
    <row r="99359" spans="10:10" x14ac:dyDescent="0.3">
      <c r="J99359"/>
    </row>
    <row r="99360" spans="10:10" x14ac:dyDescent="0.3">
      <c r="J99360"/>
    </row>
    <row r="99361" spans="10:10" x14ac:dyDescent="0.3">
      <c r="J99361"/>
    </row>
    <row r="99362" spans="10:10" x14ac:dyDescent="0.3">
      <c r="J99362"/>
    </row>
    <row r="99363" spans="10:10" x14ac:dyDescent="0.3">
      <c r="J99363"/>
    </row>
    <row r="99364" spans="10:10" x14ac:dyDescent="0.3">
      <c r="J99364"/>
    </row>
    <row r="99365" spans="10:10" x14ac:dyDescent="0.3">
      <c r="J99365"/>
    </row>
    <row r="99366" spans="10:10" x14ac:dyDescent="0.3">
      <c r="J99366"/>
    </row>
    <row r="99367" spans="10:10" x14ac:dyDescent="0.3">
      <c r="J99367"/>
    </row>
    <row r="99368" spans="10:10" x14ac:dyDescent="0.3">
      <c r="J99368"/>
    </row>
    <row r="99369" spans="10:10" x14ac:dyDescent="0.3">
      <c r="J99369"/>
    </row>
    <row r="99370" spans="10:10" x14ac:dyDescent="0.3">
      <c r="J99370"/>
    </row>
    <row r="99371" spans="10:10" x14ac:dyDescent="0.3">
      <c r="J99371"/>
    </row>
    <row r="99372" spans="10:10" x14ac:dyDescent="0.3">
      <c r="J99372"/>
    </row>
    <row r="99373" spans="10:10" x14ac:dyDescent="0.3">
      <c r="J99373"/>
    </row>
    <row r="99374" spans="10:10" x14ac:dyDescent="0.3">
      <c r="J99374"/>
    </row>
    <row r="99375" spans="10:10" x14ac:dyDescent="0.3">
      <c r="J99375"/>
    </row>
    <row r="99376" spans="10:10" x14ac:dyDescent="0.3">
      <c r="J99376"/>
    </row>
    <row r="99377" spans="10:10" x14ac:dyDescent="0.3">
      <c r="J99377"/>
    </row>
    <row r="99378" spans="10:10" x14ac:dyDescent="0.3">
      <c r="J99378"/>
    </row>
    <row r="99379" spans="10:10" x14ac:dyDescent="0.3">
      <c r="J99379"/>
    </row>
    <row r="99380" spans="10:10" x14ac:dyDescent="0.3">
      <c r="J99380"/>
    </row>
    <row r="99381" spans="10:10" x14ac:dyDescent="0.3">
      <c r="J99381"/>
    </row>
    <row r="99382" spans="10:10" x14ac:dyDescent="0.3">
      <c r="J99382"/>
    </row>
    <row r="99383" spans="10:10" x14ac:dyDescent="0.3">
      <c r="J99383"/>
    </row>
    <row r="99384" spans="10:10" x14ac:dyDescent="0.3">
      <c r="J99384"/>
    </row>
    <row r="99385" spans="10:10" x14ac:dyDescent="0.3">
      <c r="J99385"/>
    </row>
    <row r="99386" spans="10:10" x14ac:dyDescent="0.3">
      <c r="J99386"/>
    </row>
    <row r="99387" spans="10:10" x14ac:dyDescent="0.3">
      <c r="J99387"/>
    </row>
    <row r="99388" spans="10:10" x14ac:dyDescent="0.3">
      <c r="J99388"/>
    </row>
    <row r="99389" spans="10:10" x14ac:dyDescent="0.3">
      <c r="J99389"/>
    </row>
    <row r="99390" spans="10:10" x14ac:dyDescent="0.3">
      <c r="J99390"/>
    </row>
    <row r="99391" spans="10:10" x14ac:dyDescent="0.3">
      <c r="J99391"/>
    </row>
    <row r="99392" spans="10:10" x14ac:dyDescent="0.3">
      <c r="J99392"/>
    </row>
    <row r="99393" spans="10:10" x14ac:dyDescent="0.3">
      <c r="J99393"/>
    </row>
    <row r="99394" spans="10:10" x14ac:dyDescent="0.3">
      <c r="J99394"/>
    </row>
    <row r="99395" spans="10:10" x14ac:dyDescent="0.3">
      <c r="J99395"/>
    </row>
    <row r="99396" spans="10:10" x14ac:dyDescent="0.3">
      <c r="J99396"/>
    </row>
    <row r="99397" spans="10:10" x14ac:dyDescent="0.3">
      <c r="J99397"/>
    </row>
    <row r="99398" spans="10:10" x14ac:dyDescent="0.3">
      <c r="J99398"/>
    </row>
    <row r="99399" spans="10:10" x14ac:dyDescent="0.3">
      <c r="J99399"/>
    </row>
    <row r="99400" spans="10:10" x14ac:dyDescent="0.3">
      <c r="J99400"/>
    </row>
    <row r="99401" spans="10:10" x14ac:dyDescent="0.3">
      <c r="J99401"/>
    </row>
    <row r="99402" spans="10:10" x14ac:dyDescent="0.3">
      <c r="J99402"/>
    </row>
    <row r="99403" spans="10:10" x14ac:dyDescent="0.3">
      <c r="J99403"/>
    </row>
    <row r="99404" spans="10:10" x14ac:dyDescent="0.3">
      <c r="J99404"/>
    </row>
    <row r="99405" spans="10:10" x14ac:dyDescent="0.3">
      <c r="J99405"/>
    </row>
    <row r="99406" spans="10:10" x14ac:dyDescent="0.3">
      <c r="J99406"/>
    </row>
    <row r="99407" spans="10:10" x14ac:dyDescent="0.3">
      <c r="J99407"/>
    </row>
    <row r="99408" spans="10:10" x14ac:dyDescent="0.3">
      <c r="J99408"/>
    </row>
    <row r="99409" spans="10:10" x14ac:dyDescent="0.3">
      <c r="J99409"/>
    </row>
    <row r="99410" spans="10:10" x14ac:dyDescent="0.3">
      <c r="J99410"/>
    </row>
    <row r="99411" spans="10:10" x14ac:dyDescent="0.3">
      <c r="J99411"/>
    </row>
    <row r="99412" spans="10:10" x14ac:dyDescent="0.3">
      <c r="J99412"/>
    </row>
    <row r="99413" spans="10:10" x14ac:dyDescent="0.3">
      <c r="J99413"/>
    </row>
    <row r="99414" spans="10:10" x14ac:dyDescent="0.3">
      <c r="J99414"/>
    </row>
    <row r="99415" spans="10:10" x14ac:dyDescent="0.3">
      <c r="J99415"/>
    </row>
    <row r="99416" spans="10:10" x14ac:dyDescent="0.3">
      <c r="J99416"/>
    </row>
    <row r="99417" spans="10:10" x14ac:dyDescent="0.3">
      <c r="J99417"/>
    </row>
    <row r="99418" spans="10:10" x14ac:dyDescent="0.3">
      <c r="J99418"/>
    </row>
    <row r="99419" spans="10:10" x14ac:dyDescent="0.3">
      <c r="J99419"/>
    </row>
    <row r="99420" spans="10:10" x14ac:dyDescent="0.3">
      <c r="J99420"/>
    </row>
    <row r="99421" spans="10:10" x14ac:dyDescent="0.3">
      <c r="J99421"/>
    </row>
    <row r="99422" spans="10:10" x14ac:dyDescent="0.3">
      <c r="J99422"/>
    </row>
    <row r="99423" spans="10:10" x14ac:dyDescent="0.3">
      <c r="J99423"/>
    </row>
    <row r="99424" spans="10:10" x14ac:dyDescent="0.3">
      <c r="J99424"/>
    </row>
    <row r="99425" spans="10:10" x14ac:dyDescent="0.3">
      <c r="J99425"/>
    </row>
    <row r="99426" spans="10:10" x14ac:dyDescent="0.3">
      <c r="J99426"/>
    </row>
    <row r="99427" spans="10:10" x14ac:dyDescent="0.3">
      <c r="J99427"/>
    </row>
    <row r="99428" spans="10:10" x14ac:dyDescent="0.3">
      <c r="J99428"/>
    </row>
    <row r="99429" spans="10:10" x14ac:dyDescent="0.3">
      <c r="J99429"/>
    </row>
    <row r="99430" spans="10:10" x14ac:dyDescent="0.3">
      <c r="J99430"/>
    </row>
    <row r="99431" spans="10:10" x14ac:dyDescent="0.3">
      <c r="J99431"/>
    </row>
    <row r="99432" spans="10:10" x14ac:dyDescent="0.3">
      <c r="J99432"/>
    </row>
    <row r="99433" spans="10:10" x14ac:dyDescent="0.3">
      <c r="J99433"/>
    </row>
    <row r="99434" spans="10:10" x14ac:dyDescent="0.3">
      <c r="J99434"/>
    </row>
    <row r="99435" spans="10:10" x14ac:dyDescent="0.3">
      <c r="J99435"/>
    </row>
    <row r="99436" spans="10:10" x14ac:dyDescent="0.3">
      <c r="J99436"/>
    </row>
    <row r="99437" spans="10:10" x14ac:dyDescent="0.3">
      <c r="J99437"/>
    </row>
    <row r="99438" spans="10:10" x14ac:dyDescent="0.3">
      <c r="J99438"/>
    </row>
    <row r="99439" spans="10:10" x14ac:dyDescent="0.3">
      <c r="J99439"/>
    </row>
    <row r="99440" spans="10:10" x14ac:dyDescent="0.3">
      <c r="J99440"/>
    </row>
    <row r="99441" spans="10:10" x14ac:dyDescent="0.3">
      <c r="J99441"/>
    </row>
    <row r="99442" spans="10:10" x14ac:dyDescent="0.3">
      <c r="J99442"/>
    </row>
    <row r="99443" spans="10:10" x14ac:dyDescent="0.3">
      <c r="J99443"/>
    </row>
    <row r="99444" spans="10:10" x14ac:dyDescent="0.3">
      <c r="J99444"/>
    </row>
    <row r="99445" spans="10:10" x14ac:dyDescent="0.3">
      <c r="J99445"/>
    </row>
    <row r="99446" spans="10:10" x14ac:dyDescent="0.3">
      <c r="J99446"/>
    </row>
    <row r="99447" spans="10:10" x14ac:dyDescent="0.3">
      <c r="J99447"/>
    </row>
    <row r="99448" spans="10:10" x14ac:dyDescent="0.3">
      <c r="J99448"/>
    </row>
    <row r="99449" spans="10:10" x14ac:dyDescent="0.3">
      <c r="J99449"/>
    </row>
    <row r="99450" spans="10:10" x14ac:dyDescent="0.3">
      <c r="J99450"/>
    </row>
    <row r="99451" spans="10:10" x14ac:dyDescent="0.3">
      <c r="J99451"/>
    </row>
    <row r="99452" spans="10:10" x14ac:dyDescent="0.3">
      <c r="J99452"/>
    </row>
    <row r="99453" spans="10:10" x14ac:dyDescent="0.3">
      <c r="J99453"/>
    </row>
    <row r="99454" spans="10:10" x14ac:dyDescent="0.3">
      <c r="J99454"/>
    </row>
    <row r="99455" spans="10:10" x14ac:dyDescent="0.3">
      <c r="J99455"/>
    </row>
    <row r="99456" spans="10:10" x14ac:dyDescent="0.3">
      <c r="J99456"/>
    </row>
    <row r="99457" spans="10:10" x14ac:dyDescent="0.3">
      <c r="J99457"/>
    </row>
    <row r="99458" spans="10:10" x14ac:dyDescent="0.3">
      <c r="J99458"/>
    </row>
    <row r="99459" spans="10:10" x14ac:dyDescent="0.3">
      <c r="J99459"/>
    </row>
    <row r="99460" spans="10:10" x14ac:dyDescent="0.3">
      <c r="J99460"/>
    </row>
    <row r="99461" spans="10:10" x14ac:dyDescent="0.3">
      <c r="J99461"/>
    </row>
    <row r="99462" spans="10:10" x14ac:dyDescent="0.3">
      <c r="J99462"/>
    </row>
    <row r="99463" spans="10:10" x14ac:dyDescent="0.3">
      <c r="J99463"/>
    </row>
    <row r="99464" spans="10:10" x14ac:dyDescent="0.3">
      <c r="J99464"/>
    </row>
    <row r="99465" spans="10:10" x14ac:dyDescent="0.3">
      <c r="J99465"/>
    </row>
    <row r="99466" spans="10:10" x14ac:dyDescent="0.3">
      <c r="J99466"/>
    </row>
    <row r="99467" spans="10:10" x14ac:dyDescent="0.3">
      <c r="J99467"/>
    </row>
    <row r="99468" spans="10:10" x14ac:dyDescent="0.3">
      <c r="J99468"/>
    </row>
    <row r="99469" spans="10:10" x14ac:dyDescent="0.3">
      <c r="J99469"/>
    </row>
    <row r="99470" spans="10:10" x14ac:dyDescent="0.3">
      <c r="J99470"/>
    </row>
    <row r="99471" spans="10:10" x14ac:dyDescent="0.3">
      <c r="J99471"/>
    </row>
    <row r="99472" spans="10:10" x14ac:dyDescent="0.3">
      <c r="J99472"/>
    </row>
    <row r="99473" spans="10:10" x14ac:dyDescent="0.3">
      <c r="J99473"/>
    </row>
    <row r="99474" spans="10:10" x14ac:dyDescent="0.3">
      <c r="J99474"/>
    </row>
    <row r="99475" spans="10:10" x14ac:dyDescent="0.3">
      <c r="J99475"/>
    </row>
    <row r="99476" spans="10:10" x14ac:dyDescent="0.3">
      <c r="J99476"/>
    </row>
    <row r="99477" spans="10:10" x14ac:dyDescent="0.3">
      <c r="J99477"/>
    </row>
    <row r="99478" spans="10:10" x14ac:dyDescent="0.3">
      <c r="J99478"/>
    </row>
    <row r="99479" spans="10:10" x14ac:dyDescent="0.3">
      <c r="J99479"/>
    </row>
    <row r="99480" spans="10:10" x14ac:dyDescent="0.3">
      <c r="J99480"/>
    </row>
    <row r="99481" spans="10:10" x14ac:dyDescent="0.3">
      <c r="J99481"/>
    </row>
    <row r="99482" spans="10:10" x14ac:dyDescent="0.3">
      <c r="J99482"/>
    </row>
    <row r="99483" spans="10:10" x14ac:dyDescent="0.3">
      <c r="J99483"/>
    </row>
    <row r="99484" spans="10:10" x14ac:dyDescent="0.3">
      <c r="J99484"/>
    </row>
    <row r="99485" spans="10:10" x14ac:dyDescent="0.3">
      <c r="J99485"/>
    </row>
    <row r="99486" spans="10:10" x14ac:dyDescent="0.3">
      <c r="J99486"/>
    </row>
    <row r="99487" spans="10:10" x14ac:dyDescent="0.3">
      <c r="J99487"/>
    </row>
    <row r="99488" spans="10:10" x14ac:dyDescent="0.3">
      <c r="J99488"/>
    </row>
    <row r="99489" spans="10:10" x14ac:dyDescent="0.3">
      <c r="J99489"/>
    </row>
    <row r="99490" spans="10:10" x14ac:dyDescent="0.3">
      <c r="J99490"/>
    </row>
    <row r="99491" spans="10:10" x14ac:dyDescent="0.3">
      <c r="J99491"/>
    </row>
    <row r="99492" spans="10:10" x14ac:dyDescent="0.3">
      <c r="J99492"/>
    </row>
    <row r="99493" spans="10:10" x14ac:dyDescent="0.3">
      <c r="J99493"/>
    </row>
    <row r="99494" spans="10:10" x14ac:dyDescent="0.3">
      <c r="J99494"/>
    </row>
    <row r="99495" spans="10:10" x14ac:dyDescent="0.3">
      <c r="J99495"/>
    </row>
    <row r="99496" spans="10:10" x14ac:dyDescent="0.3">
      <c r="J99496"/>
    </row>
    <row r="99497" spans="10:10" x14ac:dyDescent="0.3">
      <c r="J99497"/>
    </row>
    <row r="99498" spans="10:10" x14ac:dyDescent="0.3">
      <c r="J99498"/>
    </row>
    <row r="99499" spans="10:10" x14ac:dyDescent="0.3">
      <c r="J99499"/>
    </row>
    <row r="99500" spans="10:10" x14ac:dyDescent="0.3">
      <c r="J99500"/>
    </row>
    <row r="99501" spans="10:10" x14ac:dyDescent="0.3">
      <c r="J99501"/>
    </row>
    <row r="99502" spans="10:10" x14ac:dyDescent="0.3">
      <c r="J99502"/>
    </row>
    <row r="99503" spans="10:10" x14ac:dyDescent="0.3">
      <c r="J99503"/>
    </row>
    <row r="99504" spans="10:10" x14ac:dyDescent="0.3">
      <c r="J99504"/>
    </row>
    <row r="99505" spans="10:10" x14ac:dyDescent="0.3">
      <c r="J99505"/>
    </row>
    <row r="99506" spans="10:10" x14ac:dyDescent="0.3">
      <c r="J99506"/>
    </row>
    <row r="99507" spans="10:10" x14ac:dyDescent="0.3">
      <c r="J99507"/>
    </row>
    <row r="99508" spans="10:10" x14ac:dyDescent="0.3">
      <c r="J99508"/>
    </row>
    <row r="99509" spans="10:10" x14ac:dyDescent="0.3">
      <c r="J99509"/>
    </row>
    <row r="99510" spans="10:10" x14ac:dyDescent="0.3">
      <c r="J99510"/>
    </row>
    <row r="99511" spans="10:10" x14ac:dyDescent="0.3">
      <c r="J99511"/>
    </row>
    <row r="99512" spans="10:10" x14ac:dyDescent="0.3">
      <c r="J99512"/>
    </row>
    <row r="99513" spans="10:10" x14ac:dyDescent="0.3">
      <c r="J99513"/>
    </row>
    <row r="99514" spans="10:10" x14ac:dyDescent="0.3">
      <c r="J99514"/>
    </row>
    <row r="99515" spans="10:10" x14ac:dyDescent="0.3">
      <c r="J99515"/>
    </row>
    <row r="99516" spans="10:10" x14ac:dyDescent="0.3">
      <c r="J99516"/>
    </row>
    <row r="99517" spans="10:10" x14ac:dyDescent="0.3">
      <c r="J99517"/>
    </row>
    <row r="99518" spans="10:10" x14ac:dyDescent="0.3">
      <c r="J99518"/>
    </row>
    <row r="99519" spans="10:10" x14ac:dyDescent="0.3">
      <c r="J99519"/>
    </row>
    <row r="99520" spans="10:10" x14ac:dyDescent="0.3">
      <c r="J99520"/>
    </row>
    <row r="99521" spans="10:10" x14ac:dyDescent="0.3">
      <c r="J99521"/>
    </row>
    <row r="99522" spans="10:10" x14ac:dyDescent="0.3">
      <c r="J99522"/>
    </row>
    <row r="99523" spans="10:10" x14ac:dyDescent="0.3">
      <c r="J99523"/>
    </row>
    <row r="99524" spans="10:10" x14ac:dyDescent="0.3">
      <c r="J99524"/>
    </row>
    <row r="99525" spans="10:10" x14ac:dyDescent="0.3">
      <c r="J99525"/>
    </row>
    <row r="99526" spans="10:10" x14ac:dyDescent="0.3">
      <c r="J99526"/>
    </row>
    <row r="99527" spans="10:10" x14ac:dyDescent="0.3">
      <c r="J99527"/>
    </row>
    <row r="99528" spans="10:10" x14ac:dyDescent="0.3">
      <c r="J99528"/>
    </row>
    <row r="99529" spans="10:10" x14ac:dyDescent="0.3">
      <c r="J99529"/>
    </row>
    <row r="99530" spans="10:10" x14ac:dyDescent="0.3">
      <c r="J99530"/>
    </row>
    <row r="99531" spans="10:10" x14ac:dyDescent="0.3">
      <c r="J99531"/>
    </row>
    <row r="99532" spans="10:10" x14ac:dyDescent="0.3">
      <c r="J99532"/>
    </row>
    <row r="99533" spans="10:10" x14ac:dyDescent="0.3">
      <c r="J99533"/>
    </row>
    <row r="99534" spans="10:10" x14ac:dyDescent="0.3">
      <c r="J99534"/>
    </row>
    <row r="99535" spans="10:10" x14ac:dyDescent="0.3">
      <c r="J99535"/>
    </row>
    <row r="99536" spans="10:10" x14ac:dyDescent="0.3">
      <c r="J99536"/>
    </row>
    <row r="99537" spans="10:10" x14ac:dyDescent="0.3">
      <c r="J99537"/>
    </row>
    <row r="99538" spans="10:10" x14ac:dyDescent="0.3">
      <c r="J99538"/>
    </row>
    <row r="99539" spans="10:10" x14ac:dyDescent="0.3">
      <c r="J99539"/>
    </row>
    <row r="99540" spans="10:10" x14ac:dyDescent="0.3">
      <c r="J99540"/>
    </row>
    <row r="99541" spans="10:10" x14ac:dyDescent="0.3">
      <c r="J99541"/>
    </row>
    <row r="99542" spans="10:10" x14ac:dyDescent="0.3">
      <c r="J99542"/>
    </row>
    <row r="99543" spans="10:10" x14ac:dyDescent="0.3">
      <c r="J99543"/>
    </row>
    <row r="99544" spans="10:10" x14ac:dyDescent="0.3">
      <c r="J99544"/>
    </row>
    <row r="99545" spans="10:10" x14ac:dyDescent="0.3">
      <c r="J99545"/>
    </row>
    <row r="99546" spans="10:10" x14ac:dyDescent="0.3">
      <c r="J99546"/>
    </row>
    <row r="99547" spans="10:10" x14ac:dyDescent="0.3">
      <c r="J99547"/>
    </row>
    <row r="99548" spans="10:10" x14ac:dyDescent="0.3">
      <c r="J99548"/>
    </row>
    <row r="99549" spans="10:10" x14ac:dyDescent="0.3">
      <c r="J99549"/>
    </row>
    <row r="99550" spans="10:10" x14ac:dyDescent="0.3">
      <c r="J99550"/>
    </row>
    <row r="99551" spans="10:10" x14ac:dyDescent="0.3">
      <c r="J99551"/>
    </row>
    <row r="99552" spans="10:10" x14ac:dyDescent="0.3">
      <c r="J99552"/>
    </row>
    <row r="99553" spans="10:10" x14ac:dyDescent="0.3">
      <c r="J99553"/>
    </row>
    <row r="99554" spans="10:10" x14ac:dyDescent="0.3">
      <c r="J99554"/>
    </row>
    <row r="99555" spans="10:10" x14ac:dyDescent="0.3">
      <c r="J99555"/>
    </row>
    <row r="99556" spans="10:10" x14ac:dyDescent="0.3">
      <c r="J99556"/>
    </row>
    <row r="99557" spans="10:10" x14ac:dyDescent="0.3">
      <c r="J99557"/>
    </row>
    <row r="99558" spans="10:10" x14ac:dyDescent="0.3">
      <c r="J99558"/>
    </row>
    <row r="99559" spans="10:10" x14ac:dyDescent="0.3">
      <c r="J99559"/>
    </row>
    <row r="99560" spans="10:10" x14ac:dyDescent="0.3">
      <c r="J99560"/>
    </row>
    <row r="99561" spans="10:10" x14ac:dyDescent="0.3">
      <c r="J99561"/>
    </row>
    <row r="99562" spans="10:10" x14ac:dyDescent="0.3">
      <c r="J99562"/>
    </row>
    <row r="99563" spans="10:10" x14ac:dyDescent="0.3">
      <c r="J99563"/>
    </row>
    <row r="99564" spans="10:10" x14ac:dyDescent="0.3">
      <c r="J99564"/>
    </row>
    <row r="99565" spans="10:10" x14ac:dyDescent="0.3">
      <c r="J99565"/>
    </row>
    <row r="99566" spans="10:10" x14ac:dyDescent="0.3">
      <c r="J99566"/>
    </row>
    <row r="99567" spans="10:10" x14ac:dyDescent="0.3">
      <c r="J99567"/>
    </row>
    <row r="99568" spans="10:10" x14ac:dyDescent="0.3">
      <c r="J99568"/>
    </row>
    <row r="99569" spans="10:10" x14ac:dyDescent="0.3">
      <c r="J99569"/>
    </row>
    <row r="99570" spans="10:10" x14ac:dyDescent="0.3">
      <c r="J99570"/>
    </row>
    <row r="99571" spans="10:10" x14ac:dyDescent="0.3">
      <c r="J99571"/>
    </row>
    <row r="99572" spans="10:10" x14ac:dyDescent="0.3">
      <c r="J99572"/>
    </row>
    <row r="99573" spans="10:10" x14ac:dyDescent="0.3">
      <c r="J99573"/>
    </row>
    <row r="99574" spans="10:10" x14ac:dyDescent="0.3">
      <c r="J99574"/>
    </row>
    <row r="99575" spans="10:10" x14ac:dyDescent="0.3">
      <c r="J99575"/>
    </row>
    <row r="99576" spans="10:10" x14ac:dyDescent="0.3">
      <c r="J99576"/>
    </row>
    <row r="99577" spans="10:10" x14ac:dyDescent="0.3">
      <c r="J99577"/>
    </row>
    <row r="99578" spans="10:10" x14ac:dyDescent="0.3">
      <c r="J99578"/>
    </row>
    <row r="99579" spans="10:10" x14ac:dyDescent="0.3">
      <c r="J99579"/>
    </row>
    <row r="99580" spans="10:10" x14ac:dyDescent="0.3">
      <c r="J99580"/>
    </row>
    <row r="99581" spans="10:10" x14ac:dyDescent="0.3">
      <c r="J99581"/>
    </row>
    <row r="99582" spans="10:10" x14ac:dyDescent="0.3">
      <c r="J99582"/>
    </row>
    <row r="99583" spans="10:10" x14ac:dyDescent="0.3">
      <c r="J99583"/>
    </row>
    <row r="99584" spans="10:10" x14ac:dyDescent="0.3">
      <c r="J99584"/>
    </row>
    <row r="99585" spans="10:10" x14ac:dyDescent="0.3">
      <c r="J99585"/>
    </row>
    <row r="99586" spans="10:10" x14ac:dyDescent="0.3">
      <c r="J99586"/>
    </row>
    <row r="99587" spans="10:10" x14ac:dyDescent="0.3">
      <c r="J99587"/>
    </row>
    <row r="99588" spans="10:10" x14ac:dyDescent="0.3">
      <c r="J99588"/>
    </row>
    <row r="99589" spans="10:10" x14ac:dyDescent="0.3">
      <c r="J99589"/>
    </row>
    <row r="99590" spans="10:10" x14ac:dyDescent="0.3">
      <c r="J99590"/>
    </row>
    <row r="99591" spans="10:10" x14ac:dyDescent="0.3">
      <c r="J99591"/>
    </row>
    <row r="99592" spans="10:10" x14ac:dyDescent="0.3">
      <c r="J99592"/>
    </row>
    <row r="99593" spans="10:10" x14ac:dyDescent="0.3">
      <c r="J99593"/>
    </row>
    <row r="99594" spans="10:10" x14ac:dyDescent="0.3">
      <c r="J99594"/>
    </row>
    <row r="99595" spans="10:10" x14ac:dyDescent="0.3">
      <c r="J99595"/>
    </row>
    <row r="99596" spans="10:10" x14ac:dyDescent="0.3">
      <c r="J99596"/>
    </row>
    <row r="99597" spans="10:10" x14ac:dyDescent="0.3">
      <c r="J99597"/>
    </row>
    <row r="99598" spans="10:10" x14ac:dyDescent="0.3">
      <c r="J99598"/>
    </row>
    <row r="99599" spans="10:10" x14ac:dyDescent="0.3">
      <c r="J99599"/>
    </row>
    <row r="99600" spans="10:10" x14ac:dyDescent="0.3">
      <c r="J99600"/>
    </row>
    <row r="99601" spans="10:10" x14ac:dyDescent="0.3">
      <c r="J99601"/>
    </row>
    <row r="99602" spans="10:10" x14ac:dyDescent="0.3">
      <c r="J99602"/>
    </row>
    <row r="99603" spans="10:10" x14ac:dyDescent="0.3">
      <c r="J99603"/>
    </row>
    <row r="99604" spans="10:10" x14ac:dyDescent="0.3">
      <c r="J99604"/>
    </row>
    <row r="99605" spans="10:10" x14ac:dyDescent="0.3">
      <c r="J99605"/>
    </row>
    <row r="99606" spans="10:10" x14ac:dyDescent="0.3">
      <c r="J99606"/>
    </row>
    <row r="99607" spans="10:10" x14ac:dyDescent="0.3">
      <c r="J99607"/>
    </row>
    <row r="99608" spans="10:10" x14ac:dyDescent="0.3">
      <c r="J99608"/>
    </row>
    <row r="99609" spans="10:10" x14ac:dyDescent="0.3">
      <c r="J99609"/>
    </row>
    <row r="99610" spans="10:10" x14ac:dyDescent="0.3">
      <c r="J99610"/>
    </row>
    <row r="99611" spans="10:10" x14ac:dyDescent="0.3">
      <c r="J99611"/>
    </row>
    <row r="99612" spans="10:10" x14ac:dyDescent="0.3">
      <c r="J99612"/>
    </row>
    <row r="99613" spans="10:10" x14ac:dyDescent="0.3">
      <c r="J99613"/>
    </row>
    <row r="99614" spans="10:10" x14ac:dyDescent="0.3">
      <c r="J99614"/>
    </row>
    <row r="99615" spans="10:10" x14ac:dyDescent="0.3">
      <c r="J99615"/>
    </row>
    <row r="99616" spans="10:10" x14ac:dyDescent="0.3">
      <c r="J99616"/>
    </row>
    <row r="99617" spans="10:10" x14ac:dyDescent="0.3">
      <c r="J99617"/>
    </row>
    <row r="99618" spans="10:10" x14ac:dyDescent="0.3">
      <c r="J99618"/>
    </row>
    <row r="99619" spans="10:10" x14ac:dyDescent="0.3">
      <c r="J99619"/>
    </row>
    <row r="99620" spans="10:10" x14ac:dyDescent="0.3">
      <c r="J99620"/>
    </row>
    <row r="99621" spans="10:10" x14ac:dyDescent="0.3">
      <c r="J99621"/>
    </row>
    <row r="99622" spans="10:10" x14ac:dyDescent="0.3">
      <c r="J99622"/>
    </row>
    <row r="99623" spans="10:10" x14ac:dyDescent="0.3">
      <c r="J99623"/>
    </row>
    <row r="99624" spans="10:10" x14ac:dyDescent="0.3">
      <c r="J99624"/>
    </row>
    <row r="99625" spans="10:10" x14ac:dyDescent="0.3">
      <c r="J99625"/>
    </row>
    <row r="99626" spans="10:10" x14ac:dyDescent="0.3">
      <c r="J99626"/>
    </row>
    <row r="99627" spans="10:10" x14ac:dyDescent="0.3">
      <c r="J99627"/>
    </row>
    <row r="99628" spans="10:10" x14ac:dyDescent="0.3">
      <c r="J99628"/>
    </row>
    <row r="99629" spans="10:10" x14ac:dyDescent="0.3">
      <c r="J99629"/>
    </row>
    <row r="99630" spans="10:10" x14ac:dyDescent="0.3">
      <c r="J99630"/>
    </row>
    <row r="99631" spans="10:10" x14ac:dyDescent="0.3">
      <c r="J99631"/>
    </row>
    <row r="99632" spans="10:10" x14ac:dyDescent="0.3">
      <c r="J99632"/>
    </row>
    <row r="99633" spans="10:10" x14ac:dyDescent="0.3">
      <c r="J99633"/>
    </row>
    <row r="99634" spans="10:10" x14ac:dyDescent="0.3">
      <c r="J99634"/>
    </row>
    <row r="99635" spans="10:10" x14ac:dyDescent="0.3">
      <c r="J99635"/>
    </row>
    <row r="99636" spans="10:10" x14ac:dyDescent="0.3">
      <c r="J99636"/>
    </row>
    <row r="99637" spans="10:10" x14ac:dyDescent="0.3">
      <c r="J99637"/>
    </row>
    <row r="99638" spans="10:10" x14ac:dyDescent="0.3">
      <c r="J99638"/>
    </row>
    <row r="99639" spans="10:10" x14ac:dyDescent="0.3">
      <c r="J99639"/>
    </row>
    <row r="99640" spans="10:10" x14ac:dyDescent="0.3">
      <c r="J99640"/>
    </row>
    <row r="99641" spans="10:10" x14ac:dyDescent="0.3">
      <c r="J99641"/>
    </row>
    <row r="99642" spans="10:10" x14ac:dyDescent="0.3">
      <c r="J99642"/>
    </row>
    <row r="99643" spans="10:10" x14ac:dyDescent="0.3">
      <c r="J99643"/>
    </row>
    <row r="99644" spans="10:10" x14ac:dyDescent="0.3">
      <c r="J99644"/>
    </row>
    <row r="99645" spans="10:10" x14ac:dyDescent="0.3">
      <c r="J99645"/>
    </row>
    <row r="99646" spans="10:10" x14ac:dyDescent="0.3">
      <c r="J99646"/>
    </row>
    <row r="99647" spans="10:10" x14ac:dyDescent="0.3">
      <c r="J99647"/>
    </row>
    <row r="99648" spans="10:10" x14ac:dyDescent="0.3">
      <c r="J99648"/>
    </row>
    <row r="99649" spans="10:10" x14ac:dyDescent="0.3">
      <c r="J99649"/>
    </row>
    <row r="99650" spans="10:10" x14ac:dyDescent="0.3">
      <c r="J99650"/>
    </row>
    <row r="99651" spans="10:10" x14ac:dyDescent="0.3">
      <c r="J99651"/>
    </row>
    <row r="99652" spans="10:10" x14ac:dyDescent="0.3">
      <c r="J99652"/>
    </row>
    <row r="99653" spans="10:10" x14ac:dyDescent="0.3">
      <c r="J99653"/>
    </row>
    <row r="99654" spans="10:10" x14ac:dyDescent="0.3">
      <c r="J99654"/>
    </row>
    <row r="99655" spans="10:10" x14ac:dyDescent="0.3">
      <c r="J99655"/>
    </row>
    <row r="99656" spans="10:10" x14ac:dyDescent="0.3">
      <c r="J99656"/>
    </row>
    <row r="99657" spans="10:10" x14ac:dyDescent="0.3">
      <c r="J99657"/>
    </row>
    <row r="99658" spans="10:10" x14ac:dyDescent="0.3">
      <c r="J99658"/>
    </row>
    <row r="99659" spans="10:10" x14ac:dyDescent="0.3">
      <c r="J99659"/>
    </row>
    <row r="99660" spans="10:10" x14ac:dyDescent="0.3">
      <c r="J99660"/>
    </row>
    <row r="99661" spans="10:10" x14ac:dyDescent="0.3">
      <c r="J99661"/>
    </row>
    <row r="99662" spans="10:10" x14ac:dyDescent="0.3">
      <c r="J99662"/>
    </row>
    <row r="99663" spans="10:10" x14ac:dyDescent="0.3">
      <c r="J99663"/>
    </row>
    <row r="99664" spans="10:10" x14ac:dyDescent="0.3">
      <c r="J99664"/>
    </row>
    <row r="99665" spans="10:10" x14ac:dyDescent="0.3">
      <c r="J99665"/>
    </row>
    <row r="99666" spans="10:10" x14ac:dyDescent="0.3">
      <c r="J99666"/>
    </row>
    <row r="99667" spans="10:10" x14ac:dyDescent="0.3">
      <c r="J99667"/>
    </row>
    <row r="99668" spans="10:10" x14ac:dyDescent="0.3">
      <c r="J99668"/>
    </row>
    <row r="99669" spans="10:10" x14ac:dyDescent="0.3">
      <c r="J99669"/>
    </row>
    <row r="99670" spans="10:10" x14ac:dyDescent="0.3">
      <c r="J99670"/>
    </row>
    <row r="99671" spans="10:10" x14ac:dyDescent="0.3">
      <c r="J99671"/>
    </row>
    <row r="99672" spans="10:10" x14ac:dyDescent="0.3">
      <c r="J99672"/>
    </row>
    <row r="99673" spans="10:10" x14ac:dyDescent="0.3">
      <c r="J99673"/>
    </row>
    <row r="99674" spans="10:10" x14ac:dyDescent="0.3">
      <c r="J99674"/>
    </row>
    <row r="99675" spans="10:10" x14ac:dyDescent="0.3">
      <c r="J99675"/>
    </row>
    <row r="99676" spans="10:10" x14ac:dyDescent="0.3">
      <c r="J99676"/>
    </row>
    <row r="99677" spans="10:10" x14ac:dyDescent="0.3">
      <c r="J99677"/>
    </row>
    <row r="99678" spans="10:10" x14ac:dyDescent="0.3">
      <c r="J99678"/>
    </row>
    <row r="99679" spans="10:10" x14ac:dyDescent="0.3">
      <c r="J99679"/>
    </row>
    <row r="99680" spans="10:10" x14ac:dyDescent="0.3">
      <c r="J99680"/>
    </row>
    <row r="99681" spans="10:10" x14ac:dyDescent="0.3">
      <c r="J99681"/>
    </row>
    <row r="99682" spans="10:10" x14ac:dyDescent="0.3">
      <c r="J99682"/>
    </row>
    <row r="99683" spans="10:10" x14ac:dyDescent="0.3">
      <c r="J99683"/>
    </row>
    <row r="99684" spans="10:10" x14ac:dyDescent="0.3">
      <c r="J99684"/>
    </row>
    <row r="99685" spans="10:10" x14ac:dyDescent="0.3">
      <c r="J99685"/>
    </row>
    <row r="99686" spans="10:10" x14ac:dyDescent="0.3">
      <c r="J99686"/>
    </row>
    <row r="99687" spans="10:10" x14ac:dyDescent="0.3">
      <c r="J99687"/>
    </row>
    <row r="99688" spans="10:10" x14ac:dyDescent="0.3">
      <c r="J99688"/>
    </row>
    <row r="99689" spans="10:10" x14ac:dyDescent="0.3">
      <c r="J99689"/>
    </row>
    <row r="99690" spans="10:10" x14ac:dyDescent="0.3">
      <c r="J99690"/>
    </row>
    <row r="99691" spans="10:10" x14ac:dyDescent="0.3">
      <c r="J99691"/>
    </row>
    <row r="99692" spans="10:10" x14ac:dyDescent="0.3">
      <c r="J99692"/>
    </row>
    <row r="99693" spans="10:10" x14ac:dyDescent="0.3">
      <c r="J99693"/>
    </row>
    <row r="99694" spans="10:10" x14ac:dyDescent="0.3">
      <c r="J99694"/>
    </row>
    <row r="99695" spans="10:10" x14ac:dyDescent="0.3">
      <c r="J99695"/>
    </row>
    <row r="99696" spans="10:10" x14ac:dyDescent="0.3">
      <c r="J99696"/>
    </row>
    <row r="99697" spans="10:10" x14ac:dyDescent="0.3">
      <c r="J99697"/>
    </row>
    <row r="99698" spans="10:10" x14ac:dyDescent="0.3">
      <c r="J99698"/>
    </row>
    <row r="99699" spans="10:10" x14ac:dyDescent="0.3">
      <c r="J99699"/>
    </row>
    <row r="99700" spans="10:10" x14ac:dyDescent="0.3">
      <c r="J99700"/>
    </row>
    <row r="99701" spans="10:10" x14ac:dyDescent="0.3">
      <c r="J99701"/>
    </row>
    <row r="99702" spans="10:10" x14ac:dyDescent="0.3">
      <c r="J99702"/>
    </row>
    <row r="99703" spans="10:10" x14ac:dyDescent="0.3">
      <c r="J99703"/>
    </row>
    <row r="99704" spans="10:10" x14ac:dyDescent="0.3">
      <c r="J99704"/>
    </row>
    <row r="99705" spans="10:10" x14ac:dyDescent="0.3">
      <c r="J99705"/>
    </row>
    <row r="99706" spans="10:10" x14ac:dyDescent="0.3">
      <c r="J99706"/>
    </row>
    <row r="99707" spans="10:10" x14ac:dyDescent="0.3">
      <c r="J99707"/>
    </row>
    <row r="99708" spans="10:10" x14ac:dyDescent="0.3">
      <c r="J99708"/>
    </row>
    <row r="99709" spans="10:10" x14ac:dyDescent="0.3">
      <c r="J99709"/>
    </row>
    <row r="99710" spans="10:10" x14ac:dyDescent="0.3">
      <c r="J99710"/>
    </row>
    <row r="99711" spans="10:10" x14ac:dyDescent="0.3">
      <c r="J99711"/>
    </row>
    <row r="99712" spans="10:10" x14ac:dyDescent="0.3">
      <c r="J99712"/>
    </row>
    <row r="99713" spans="10:10" x14ac:dyDescent="0.3">
      <c r="J99713"/>
    </row>
    <row r="99714" spans="10:10" x14ac:dyDescent="0.3">
      <c r="J99714"/>
    </row>
    <row r="99715" spans="10:10" x14ac:dyDescent="0.3">
      <c r="J99715"/>
    </row>
    <row r="99716" spans="10:10" x14ac:dyDescent="0.3">
      <c r="J99716"/>
    </row>
    <row r="99717" spans="10:10" x14ac:dyDescent="0.3">
      <c r="J99717"/>
    </row>
    <row r="99718" spans="10:10" x14ac:dyDescent="0.3">
      <c r="J99718"/>
    </row>
    <row r="99719" spans="10:10" x14ac:dyDescent="0.3">
      <c r="J99719"/>
    </row>
    <row r="99720" spans="10:10" x14ac:dyDescent="0.3">
      <c r="J99720"/>
    </row>
    <row r="99721" spans="10:10" x14ac:dyDescent="0.3">
      <c r="J99721"/>
    </row>
    <row r="99722" spans="10:10" x14ac:dyDescent="0.3">
      <c r="J99722"/>
    </row>
    <row r="99723" spans="10:10" x14ac:dyDescent="0.3">
      <c r="J99723"/>
    </row>
    <row r="99724" spans="10:10" x14ac:dyDescent="0.3">
      <c r="J99724"/>
    </row>
    <row r="99725" spans="10:10" x14ac:dyDescent="0.3">
      <c r="J99725"/>
    </row>
    <row r="99726" spans="10:10" x14ac:dyDescent="0.3">
      <c r="J99726"/>
    </row>
    <row r="99727" spans="10:10" x14ac:dyDescent="0.3">
      <c r="J99727"/>
    </row>
    <row r="99728" spans="10:10" x14ac:dyDescent="0.3">
      <c r="J99728"/>
    </row>
    <row r="99729" spans="10:10" x14ac:dyDescent="0.3">
      <c r="J99729"/>
    </row>
    <row r="99730" spans="10:10" x14ac:dyDescent="0.3">
      <c r="J99730"/>
    </row>
    <row r="99731" spans="10:10" x14ac:dyDescent="0.3">
      <c r="J99731"/>
    </row>
    <row r="99732" spans="10:10" x14ac:dyDescent="0.3">
      <c r="J99732"/>
    </row>
    <row r="99733" spans="10:10" x14ac:dyDescent="0.3">
      <c r="J99733"/>
    </row>
    <row r="99734" spans="10:10" x14ac:dyDescent="0.3">
      <c r="J99734"/>
    </row>
    <row r="99735" spans="10:10" x14ac:dyDescent="0.3">
      <c r="J99735"/>
    </row>
    <row r="99736" spans="10:10" x14ac:dyDescent="0.3">
      <c r="J99736"/>
    </row>
    <row r="99737" spans="10:10" x14ac:dyDescent="0.3">
      <c r="J99737"/>
    </row>
    <row r="99738" spans="10:10" x14ac:dyDescent="0.3">
      <c r="J99738"/>
    </row>
    <row r="99739" spans="10:10" x14ac:dyDescent="0.3">
      <c r="J99739"/>
    </row>
    <row r="99740" spans="10:10" x14ac:dyDescent="0.3">
      <c r="J99740"/>
    </row>
    <row r="99741" spans="10:10" x14ac:dyDescent="0.3">
      <c r="J99741"/>
    </row>
    <row r="99742" spans="10:10" x14ac:dyDescent="0.3">
      <c r="J99742"/>
    </row>
    <row r="99743" spans="10:10" x14ac:dyDescent="0.3">
      <c r="J99743"/>
    </row>
    <row r="99744" spans="10:10" x14ac:dyDescent="0.3">
      <c r="J99744"/>
    </row>
    <row r="99745" spans="10:10" x14ac:dyDescent="0.3">
      <c r="J99745"/>
    </row>
    <row r="99746" spans="10:10" x14ac:dyDescent="0.3">
      <c r="J99746"/>
    </row>
    <row r="99747" spans="10:10" x14ac:dyDescent="0.3">
      <c r="J99747"/>
    </row>
    <row r="99748" spans="10:10" x14ac:dyDescent="0.3">
      <c r="J99748"/>
    </row>
    <row r="99749" spans="10:10" x14ac:dyDescent="0.3">
      <c r="J99749"/>
    </row>
    <row r="99750" spans="10:10" x14ac:dyDescent="0.3">
      <c r="J99750"/>
    </row>
    <row r="99751" spans="10:10" x14ac:dyDescent="0.3">
      <c r="J99751"/>
    </row>
    <row r="99752" spans="10:10" x14ac:dyDescent="0.3">
      <c r="J99752"/>
    </row>
    <row r="99753" spans="10:10" x14ac:dyDescent="0.3">
      <c r="J99753"/>
    </row>
    <row r="99754" spans="10:10" x14ac:dyDescent="0.3">
      <c r="J99754"/>
    </row>
    <row r="99755" spans="10:10" x14ac:dyDescent="0.3">
      <c r="J99755"/>
    </row>
    <row r="99756" spans="10:10" x14ac:dyDescent="0.3">
      <c r="J99756"/>
    </row>
    <row r="99757" spans="10:10" x14ac:dyDescent="0.3">
      <c r="J99757"/>
    </row>
    <row r="99758" spans="10:10" x14ac:dyDescent="0.3">
      <c r="J99758"/>
    </row>
    <row r="99759" spans="10:10" x14ac:dyDescent="0.3">
      <c r="J99759"/>
    </row>
    <row r="99760" spans="10:10" x14ac:dyDescent="0.3">
      <c r="J99760"/>
    </row>
    <row r="99761" spans="10:10" x14ac:dyDescent="0.3">
      <c r="J99761"/>
    </row>
    <row r="99762" spans="10:10" x14ac:dyDescent="0.3">
      <c r="J99762"/>
    </row>
    <row r="99763" spans="10:10" x14ac:dyDescent="0.3">
      <c r="J99763"/>
    </row>
    <row r="99764" spans="10:10" x14ac:dyDescent="0.3">
      <c r="J99764"/>
    </row>
    <row r="99765" spans="10:10" x14ac:dyDescent="0.3">
      <c r="J99765"/>
    </row>
    <row r="99766" spans="10:10" x14ac:dyDescent="0.3">
      <c r="J99766"/>
    </row>
    <row r="99767" spans="10:10" x14ac:dyDescent="0.3">
      <c r="J99767"/>
    </row>
    <row r="99768" spans="10:10" x14ac:dyDescent="0.3">
      <c r="J99768"/>
    </row>
    <row r="99769" spans="10:10" x14ac:dyDescent="0.3">
      <c r="J99769"/>
    </row>
    <row r="99770" spans="10:10" x14ac:dyDescent="0.3">
      <c r="J99770"/>
    </row>
    <row r="99771" spans="10:10" x14ac:dyDescent="0.3">
      <c r="J99771"/>
    </row>
    <row r="99772" spans="10:10" x14ac:dyDescent="0.3">
      <c r="J99772"/>
    </row>
    <row r="99773" spans="10:10" x14ac:dyDescent="0.3">
      <c r="J99773"/>
    </row>
    <row r="99774" spans="10:10" x14ac:dyDescent="0.3">
      <c r="J99774"/>
    </row>
    <row r="99775" spans="10:10" x14ac:dyDescent="0.3">
      <c r="J99775"/>
    </row>
    <row r="99776" spans="10:10" x14ac:dyDescent="0.3">
      <c r="J99776"/>
    </row>
    <row r="99777" spans="10:10" x14ac:dyDescent="0.3">
      <c r="J99777"/>
    </row>
    <row r="99778" spans="10:10" x14ac:dyDescent="0.3">
      <c r="J99778"/>
    </row>
    <row r="99779" spans="10:10" x14ac:dyDescent="0.3">
      <c r="J99779"/>
    </row>
    <row r="99780" spans="10:10" x14ac:dyDescent="0.3">
      <c r="J99780"/>
    </row>
    <row r="99781" spans="10:10" x14ac:dyDescent="0.3">
      <c r="J99781"/>
    </row>
    <row r="99782" spans="10:10" x14ac:dyDescent="0.3">
      <c r="J99782"/>
    </row>
    <row r="99783" spans="10:10" x14ac:dyDescent="0.3">
      <c r="J99783"/>
    </row>
    <row r="99784" spans="10:10" x14ac:dyDescent="0.3">
      <c r="J99784"/>
    </row>
    <row r="99785" spans="10:10" x14ac:dyDescent="0.3">
      <c r="J99785"/>
    </row>
    <row r="99786" spans="10:10" x14ac:dyDescent="0.3">
      <c r="J99786"/>
    </row>
    <row r="99787" spans="10:10" x14ac:dyDescent="0.3">
      <c r="J99787"/>
    </row>
    <row r="99788" spans="10:10" x14ac:dyDescent="0.3">
      <c r="J99788"/>
    </row>
    <row r="99789" spans="10:10" x14ac:dyDescent="0.3">
      <c r="J99789"/>
    </row>
    <row r="99790" spans="10:10" x14ac:dyDescent="0.3">
      <c r="J99790"/>
    </row>
    <row r="99791" spans="10:10" x14ac:dyDescent="0.3">
      <c r="J99791"/>
    </row>
    <row r="99792" spans="10:10" x14ac:dyDescent="0.3">
      <c r="J99792"/>
    </row>
    <row r="99793" spans="10:10" x14ac:dyDescent="0.3">
      <c r="J99793"/>
    </row>
    <row r="99794" spans="10:10" x14ac:dyDescent="0.3">
      <c r="J99794"/>
    </row>
    <row r="99795" spans="10:10" x14ac:dyDescent="0.3">
      <c r="J99795"/>
    </row>
    <row r="99796" spans="10:10" x14ac:dyDescent="0.3">
      <c r="J99796"/>
    </row>
    <row r="99797" spans="10:10" x14ac:dyDescent="0.3">
      <c r="J99797"/>
    </row>
    <row r="99798" spans="10:10" x14ac:dyDescent="0.3">
      <c r="J99798"/>
    </row>
    <row r="99799" spans="10:10" x14ac:dyDescent="0.3">
      <c r="J99799"/>
    </row>
    <row r="99800" spans="10:10" x14ac:dyDescent="0.3">
      <c r="J99800"/>
    </row>
    <row r="99801" spans="10:10" x14ac:dyDescent="0.3">
      <c r="J99801"/>
    </row>
    <row r="99802" spans="10:10" x14ac:dyDescent="0.3">
      <c r="J99802"/>
    </row>
    <row r="99803" spans="10:10" x14ac:dyDescent="0.3">
      <c r="J99803"/>
    </row>
    <row r="99804" spans="10:10" x14ac:dyDescent="0.3">
      <c r="J99804"/>
    </row>
    <row r="99805" spans="10:10" x14ac:dyDescent="0.3">
      <c r="J99805"/>
    </row>
    <row r="99806" spans="10:10" x14ac:dyDescent="0.3">
      <c r="J99806"/>
    </row>
    <row r="99807" spans="10:10" x14ac:dyDescent="0.3">
      <c r="J99807"/>
    </row>
    <row r="99808" spans="10:10" x14ac:dyDescent="0.3">
      <c r="J99808"/>
    </row>
    <row r="99809" spans="10:10" x14ac:dyDescent="0.3">
      <c r="J99809"/>
    </row>
    <row r="99810" spans="10:10" x14ac:dyDescent="0.3">
      <c r="J99810"/>
    </row>
    <row r="99811" spans="10:10" x14ac:dyDescent="0.3">
      <c r="J99811"/>
    </row>
    <row r="99812" spans="10:10" x14ac:dyDescent="0.3">
      <c r="J99812"/>
    </row>
    <row r="99813" spans="10:10" x14ac:dyDescent="0.3">
      <c r="J99813"/>
    </row>
    <row r="99814" spans="10:10" x14ac:dyDescent="0.3">
      <c r="J99814"/>
    </row>
    <row r="99815" spans="10:10" x14ac:dyDescent="0.3">
      <c r="J99815"/>
    </row>
    <row r="99816" spans="10:10" x14ac:dyDescent="0.3">
      <c r="J99816"/>
    </row>
    <row r="99817" spans="10:10" x14ac:dyDescent="0.3">
      <c r="J99817"/>
    </row>
    <row r="99818" spans="10:10" x14ac:dyDescent="0.3">
      <c r="J99818"/>
    </row>
    <row r="99819" spans="10:10" x14ac:dyDescent="0.3">
      <c r="J99819"/>
    </row>
    <row r="99820" spans="10:10" x14ac:dyDescent="0.3">
      <c r="J99820"/>
    </row>
    <row r="99821" spans="10:10" x14ac:dyDescent="0.3">
      <c r="J99821"/>
    </row>
    <row r="99822" spans="10:10" x14ac:dyDescent="0.3">
      <c r="J99822"/>
    </row>
    <row r="99823" spans="10:10" x14ac:dyDescent="0.3">
      <c r="J99823"/>
    </row>
    <row r="99824" spans="10:10" x14ac:dyDescent="0.3">
      <c r="J99824"/>
    </row>
    <row r="99825" spans="10:10" x14ac:dyDescent="0.3">
      <c r="J99825"/>
    </row>
    <row r="99826" spans="10:10" x14ac:dyDescent="0.3">
      <c r="J99826"/>
    </row>
    <row r="99827" spans="10:10" x14ac:dyDescent="0.3">
      <c r="J99827"/>
    </row>
    <row r="99828" spans="10:10" x14ac:dyDescent="0.3">
      <c r="J99828"/>
    </row>
    <row r="99829" spans="10:10" x14ac:dyDescent="0.3">
      <c r="J99829"/>
    </row>
    <row r="99830" spans="10:10" x14ac:dyDescent="0.3">
      <c r="J99830"/>
    </row>
    <row r="99831" spans="10:10" x14ac:dyDescent="0.3">
      <c r="J99831"/>
    </row>
    <row r="99832" spans="10:10" x14ac:dyDescent="0.3">
      <c r="J99832"/>
    </row>
    <row r="99833" spans="10:10" x14ac:dyDescent="0.3">
      <c r="J99833"/>
    </row>
    <row r="99834" spans="10:10" x14ac:dyDescent="0.3">
      <c r="J99834"/>
    </row>
    <row r="99835" spans="10:10" x14ac:dyDescent="0.3">
      <c r="J99835"/>
    </row>
    <row r="99836" spans="10:10" x14ac:dyDescent="0.3">
      <c r="J99836"/>
    </row>
    <row r="99837" spans="10:10" x14ac:dyDescent="0.3">
      <c r="J99837"/>
    </row>
    <row r="99838" spans="10:10" x14ac:dyDescent="0.3">
      <c r="J99838"/>
    </row>
    <row r="99839" spans="10:10" x14ac:dyDescent="0.3">
      <c r="J99839"/>
    </row>
    <row r="99840" spans="10:10" x14ac:dyDescent="0.3">
      <c r="J99840"/>
    </row>
    <row r="99841" spans="10:10" x14ac:dyDescent="0.3">
      <c r="J99841"/>
    </row>
    <row r="99842" spans="10:10" x14ac:dyDescent="0.3">
      <c r="J99842"/>
    </row>
    <row r="99843" spans="10:10" x14ac:dyDescent="0.3">
      <c r="J99843"/>
    </row>
    <row r="99844" spans="10:10" x14ac:dyDescent="0.3">
      <c r="J99844"/>
    </row>
    <row r="99845" spans="10:10" x14ac:dyDescent="0.3">
      <c r="J99845"/>
    </row>
    <row r="99846" spans="10:10" x14ac:dyDescent="0.3">
      <c r="J99846"/>
    </row>
    <row r="99847" spans="10:10" x14ac:dyDescent="0.3">
      <c r="J99847"/>
    </row>
    <row r="99848" spans="10:10" x14ac:dyDescent="0.3">
      <c r="J99848"/>
    </row>
    <row r="99849" spans="10:10" x14ac:dyDescent="0.3">
      <c r="J99849"/>
    </row>
    <row r="99850" spans="10:10" x14ac:dyDescent="0.3">
      <c r="J99850"/>
    </row>
    <row r="99851" spans="10:10" x14ac:dyDescent="0.3">
      <c r="J99851"/>
    </row>
    <row r="99852" spans="10:10" x14ac:dyDescent="0.3">
      <c r="J99852"/>
    </row>
    <row r="99853" spans="10:10" x14ac:dyDescent="0.3">
      <c r="J99853"/>
    </row>
    <row r="99854" spans="10:10" x14ac:dyDescent="0.3">
      <c r="J99854"/>
    </row>
    <row r="99855" spans="10:10" x14ac:dyDescent="0.3">
      <c r="J99855"/>
    </row>
    <row r="99856" spans="10:10" x14ac:dyDescent="0.3">
      <c r="J99856"/>
    </row>
    <row r="99857" spans="10:10" x14ac:dyDescent="0.3">
      <c r="J99857"/>
    </row>
    <row r="99858" spans="10:10" x14ac:dyDescent="0.3">
      <c r="J99858"/>
    </row>
    <row r="99859" spans="10:10" x14ac:dyDescent="0.3">
      <c r="J99859"/>
    </row>
    <row r="99860" spans="10:10" x14ac:dyDescent="0.3">
      <c r="J99860"/>
    </row>
    <row r="99861" spans="10:10" x14ac:dyDescent="0.3">
      <c r="J99861"/>
    </row>
    <row r="99862" spans="10:10" x14ac:dyDescent="0.3">
      <c r="J99862"/>
    </row>
    <row r="99863" spans="10:10" x14ac:dyDescent="0.3">
      <c r="J99863"/>
    </row>
    <row r="99864" spans="10:10" x14ac:dyDescent="0.3">
      <c r="J99864"/>
    </row>
    <row r="99865" spans="10:10" x14ac:dyDescent="0.3">
      <c r="J99865"/>
    </row>
    <row r="99866" spans="10:10" x14ac:dyDescent="0.3">
      <c r="J99866"/>
    </row>
    <row r="99867" spans="10:10" x14ac:dyDescent="0.3">
      <c r="J99867"/>
    </row>
    <row r="99868" spans="10:10" x14ac:dyDescent="0.3">
      <c r="J99868"/>
    </row>
    <row r="99869" spans="10:10" x14ac:dyDescent="0.3">
      <c r="J99869"/>
    </row>
    <row r="99870" spans="10:10" x14ac:dyDescent="0.3">
      <c r="J99870"/>
    </row>
    <row r="99871" spans="10:10" x14ac:dyDescent="0.3">
      <c r="J99871"/>
    </row>
    <row r="99872" spans="10:10" x14ac:dyDescent="0.3">
      <c r="J99872"/>
    </row>
    <row r="99873" spans="10:10" x14ac:dyDescent="0.3">
      <c r="J99873"/>
    </row>
    <row r="99874" spans="10:10" x14ac:dyDescent="0.3">
      <c r="J99874"/>
    </row>
    <row r="99875" spans="10:10" x14ac:dyDescent="0.3">
      <c r="J99875"/>
    </row>
    <row r="99876" spans="10:10" x14ac:dyDescent="0.3">
      <c r="J99876"/>
    </row>
    <row r="99877" spans="10:10" x14ac:dyDescent="0.3">
      <c r="J99877"/>
    </row>
    <row r="99878" spans="10:10" x14ac:dyDescent="0.3">
      <c r="J99878"/>
    </row>
    <row r="99879" spans="10:10" x14ac:dyDescent="0.3">
      <c r="J99879"/>
    </row>
    <row r="99880" spans="10:10" x14ac:dyDescent="0.3">
      <c r="J99880"/>
    </row>
    <row r="99881" spans="10:10" x14ac:dyDescent="0.3">
      <c r="J99881"/>
    </row>
    <row r="99882" spans="10:10" x14ac:dyDescent="0.3">
      <c r="J99882"/>
    </row>
    <row r="99883" spans="10:10" x14ac:dyDescent="0.3">
      <c r="J99883"/>
    </row>
    <row r="99884" spans="10:10" x14ac:dyDescent="0.3">
      <c r="J99884"/>
    </row>
    <row r="99885" spans="10:10" x14ac:dyDescent="0.3">
      <c r="J99885"/>
    </row>
    <row r="99886" spans="10:10" x14ac:dyDescent="0.3">
      <c r="J99886"/>
    </row>
    <row r="99887" spans="10:10" x14ac:dyDescent="0.3">
      <c r="J99887"/>
    </row>
    <row r="99888" spans="10:10" x14ac:dyDescent="0.3">
      <c r="J99888"/>
    </row>
    <row r="99889" spans="10:10" x14ac:dyDescent="0.3">
      <c r="J99889"/>
    </row>
    <row r="99890" spans="10:10" x14ac:dyDescent="0.3">
      <c r="J99890"/>
    </row>
    <row r="99891" spans="10:10" x14ac:dyDescent="0.3">
      <c r="J99891"/>
    </row>
    <row r="99892" spans="10:10" x14ac:dyDescent="0.3">
      <c r="J99892"/>
    </row>
    <row r="99893" spans="10:10" x14ac:dyDescent="0.3">
      <c r="J99893"/>
    </row>
    <row r="99894" spans="10:10" x14ac:dyDescent="0.3">
      <c r="J99894"/>
    </row>
    <row r="99895" spans="10:10" x14ac:dyDescent="0.3">
      <c r="J99895"/>
    </row>
    <row r="99896" spans="10:10" x14ac:dyDescent="0.3">
      <c r="J99896"/>
    </row>
    <row r="99897" spans="10:10" x14ac:dyDescent="0.3">
      <c r="J99897"/>
    </row>
    <row r="99898" spans="10:10" x14ac:dyDescent="0.3">
      <c r="J99898"/>
    </row>
    <row r="99899" spans="10:10" x14ac:dyDescent="0.3">
      <c r="J99899"/>
    </row>
    <row r="99900" spans="10:10" x14ac:dyDescent="0.3">
      <c r="J99900"/>
    </row>
    <row r="99901" spans="10:10" x14ac:dyDescent="0.3">
      <c r="J99901"/>
    </row>
    <row r="99902" spans="10:10" x14ac:dyDescent="0.3">
      <c r="J99902"/>
    </row>
    <row r="99903" spans="10:10" x14ac:dyDescent="0.3">
      <c r="J99903"/>
    </row>
    <row r="99904" spans="10:10" x14ac:dyDescent="0.3">
      <c r="J99904"/>
    </row>
    <row r="99905" spans="10:10" x14ac:dyDescent="0.3">
      <c r="J99905"/>
    </row>
    <row r="99906" spans="10:10" x14ac:dyDescent="0.3">
      <c r="J99906"/>
    </row>
    <row r="99907" spans="10:10" x14ac:dyDescent="0.3">
      <c r="J99907"/>
    </row>
    <row r="99908" spans="10:10" x14ac:dyDescent="0.3">
      <c r="J99908"/>
    </row>
    <row r="99909" spans="10:10" x14ac:dyDescent="0.3">
      <c r="J99909"/>
    </row>
    <row r="99910" spans="10:10" x14ac:dyDescent="0.3">
      <c r="J99910"/>
    </row>
    <row r="99911" spans="10:10" x14ac:dyDescent="0.3">
      <c r="J99911"/>
    </row>
    <row r="99912" spans="10:10" x14ac:dyDescent="0.3">
      <c r="J99912"/>
    </row>
    <row r="99913" spans="10:10" x14ac:dyDescent="0.3">
      <c r="J99913"/>
    </row>
    <row r="99914" spans="10:10" x14ac:dyDescent="0.3">
      <c r="J99914"/>
    </row>
    <row r="99915" spans="10:10" x14ac:dyDescent="0.3">
      <c r="J99915"/>
    </row>
    <row r="99916" spans="10:10" x14ac:dyDescent="0.3">
      <c r="J99916"/>
    </row>
    <row r="99917" spans="10:10" x14ac:dyDescent="0.3">
      <c r="J99917"/>
    </row>
    <row r="99918" spans="10:10" x14ac:dyDescent="0.3">
      <c r="J99918"/>
    </row>
    <row r="99919" spans="10:10" x14ac:dyDescent="0.3">
      <c r="J99919"/>
    </row>
    <row r="99920" spans="10:10" x14ac:dyDescent="0.3">
      <c r="J99920"/>
    </row>
    <row r="99921" spans="10:10" x14ac:dyDescent="0.3">
      <c r="J99921"/>
    </row>
    <row r="99922" spans="10:10" x14ac:dyDescent="0.3">
      <c r="J99922"/>
    </row>
    <row r="99923" spans="10:10" x14ac:dyDescent="0.3">
      <c r="J99923"/>
    </row>
    <row r="99924" spans="10:10" x14ac:dyDescent="0.3">
      <c r="J99924"/>
    </row>
    <row r="99925" spans="10:10" x14ac:dyDescent="0.3">
      <c r="J99925"/>
    </row>
    <row r="99926" spans="10:10" x14ac:dyDescent="0.3">
      <c r="J99926"/>
    </row>
    <row r="99927" spans="10:10" x14ac:dyDescent="0.3">
      <c r="J99927"/>
    </row>
    <row r="99928" spans="10:10" x14ac:dyDescent="0.3">
      <c r="J99928"/>
    </row>
    <row r="99929" spans="10:10" x14ac:dyDescent="0.3">
      <c r="J99929"/>
    </row>
    <row r="99930" spans="10:10" x14ac:dyDescent="0.3">
      <c r="J99930"/>
    </row>
    <row r="99931" spans="10:10" x14ac:dyDescent="0.3">
      <c r="J99931"/>
    </row>
    <row r="99932" spans="10:10" x14ac:dyDescent="0.3">
      <c r="J99932"/>
    </row>
    <row r="99933" spans="10:10" x14ac:dyDescent="0.3">
      <c r="J99933"/>
    </row>
    <row r="99934" spans="10:10" x14ac:dyDescent="0.3">
      <c r="J99934"/>
    </row>
    <row r="99935" spans="10:10" x14ac:dyDescent="0.3">
      <c r="J99935"/>
    </row>
    <row r="99936" spans="10:10" x14ac:dyDescent="0.3">
      <c r="J99936"/>
    </row>
    <row r="99937" spans="10:10" x14ac:dyDescent="0.3">
      <c r="J99937"/>
    </row>
    <row r="99938" spans="10:10" x14ac:dyDescent="0.3">
      <c r="J99938"/>
    </row>
    <row r="99939" spans="10:10" x14ac:dyDescent="0.3">
      <c r="J99939"/>
    </row>
    <row r="99940" spans="10:10" x14ac:dyDescent="0.3">
      <c r="J99940"/>
    </row>
    <row r="99941" spans="10:10" x14ac:dyDescent="0.3">
      <c r="J99941"/>
    </row>
    <row r="99942" spans="10:10" x14ac:dyDescent="0.3">
      <c r="J99942"/>
    </row>
    <row r="99943" spans="10:10" x14ac:dyDescent="0.3">
      <c r="J99943"/>
    </row>
    <row r="99944" spans="10:10" x14ac:dyDescent="0.3">
      <c r="J99944"/>
    </row>
    <row r="99945" spans="10:10" x14ac:dyDescent="0.3">
      <c r="J99945"/>
    </row>
    <row r="99946" spans="10:10" x14ac:dyDescent="0.3">
      <c r="J99946"/>
    </row>
    <row r="99947" spans="10:10" x14ac:dyDescent="0.3">
      <c r="J99947"/>
    </row>
    <row r="99948" spans="10:10" x14ac:dyDescent="0.3">
      <c r="J99948"/>
    </row>
    <row r="99949" spans="10:10" x14ac:dyDescent="0.3">
      <c r="J99949"/>
    </row>
    <row r="99950" spans="10:10" x14ac:dyDescent="0.3">
      <c r="J99950"/>
    </row>
    <row r="99951" spans="10:10" x14ac:dyDescent="0.3">
      <c r="J99951"/>
    </row>
    <row r="99952" spans="10:10" x14ac:dyDescent="0.3">
      <c r="J99952"/>
    </row>
    <row r="99953" spans="10:10" x14ac:dyDescent="0.3">
      <c r="J99953"/>
    </row>
    <row r="99954" spans="10:10" x14ac:dyDescent="0.3">
      <c r="J99954"/>
    </row>
    <row r="99955" spans="10:10" x14ac:dyDescent="0.3">
      <c r="J99955"/>
    </row>
    <row r="99956" spans="10:10" x14ac:dyDescent="0.3">
      <c r="J99956"/>
    </row>
    <row r="99957" spans="10:10" x14ac:dyDescent="0.3">
      <c r="J99957"/>
    </row>
    <row r="99958" spans="10:10" x14ac:dyDescent="0.3">
      <c r="J99958"/>
    </row>
    <row r="99959" spans="10:10" x14ac:dyDescent="0.3">
      <c r="J99959"/>
    </row>
    <row r="99960" spans="10:10" x14ac:dyDescent="0.3">
      <c r="J99960"/>
    </row>
    <row r="99961" spans="10:10" x14ac:dyDescent="0.3">
      <c r="J99961"/>
    </row>
    <row r="99962" spans="10:10" x14ac:dyDescent="0.3">
      <c r="J99962"/>
    </row>
    <row r="99963" spans="10:10" x14ac:dyDescent="0.3">
      <c r="J99963"/>
    </row>
    <row r="99964" spans="10:10" x14ac:dyDescent="0.3">
      <c r="J99964"/>
    </row>
    <row r="99965" spans="10:10" x14ac:dyDescent="0.3">
      <c r="J99965"/>
    </row>
    <row r="99966" spans="10:10" x14ac:dyDescent="0.3">
      <c r="J99966"/>
    </row>
    <row r="99967" spans="10:10" x14ac:dyDescent="0.3">
      <c r="J99967"/>
    </row>
    <row r="99968" spans="10:10" x14ac:dyDescent="0.3">
      <c r="J99968"/>
    </row>
    <row r="99969" spans="10:10" x14ac:dyDescent="0.3">
      <c r="J99969"/>
    </row>
    <row r="99970" spans="10:10" x14ac:dyDescent="0.3">
      <c r="J99970"/>
    </row>
    <row r="99971" spans="10:10" x14ac:dyDescent="0.3">
      <c r="J99971"/>
    </row>
    <row r="99972" spans="10:10" x14ac:dyDescent="0.3">
      <c r="J99972"/>
    </row>
    <row r="99973" spans="10:10" x14ac:dyDescent="0.3">
      <c r="J99973"/>
    </row>
    <row r="99974" spans="10:10" x14ac:dyDescent="0.3">
      <c r="J99974"/>
    </row>
    <row r="99975" spans="10:10" x14ac:dyDescent="0.3">
      <c r="J99975"/>
    </row>
    <row r="99976" spans="10:10" x14ac:dyDescent="0.3">
      <c r="J99976"/>
    </row>
    <row r="99977" spans="10:10" x14ac:dyDescent="0.3">
      <c r="J99977"/>
    </row>
    <row r="99978" spans="10:10" x14ac:dyDescent="0.3">
      <c r="J99978"/>
    </row>
    <row r="99979" spans="10:10" x14ac:dyDescent="0.3">
      <c r="J99979"/>
    </row>
    <row r="99980" spans="10:10" x14ac:dyDescent="0.3">
      <c r="J99980"/>
    </row>
    <row r="99981" spans="10:10" x14ac:dyDescent="0.3">
      <c r="J99981"/>
    </row>
    <row r="99982" spans="10:10" x14ac:dyDescent="0.3">
      <c r="J99982"/>
    </row>
    <row r="99983" spans="10:10" x14ac:dyDescent="0.3">
      <c r="J99983"/>
    </row>
    <row r="99984" spans="10:10" x14ac:dyDescent="0.3">
      <c r="J99984"/>
    </row>
    <row r="99985" spans="10:10" x14ac:dyDescent="0.3">
      <c r="J99985"/>
    </row>
    <row r="99986" spans="10:10" x14ac:dyDescent="0.3">
      <c r="J99986"/>
    </row>
    <row r="99987" spans="10:10" x14ac:dyDescent="0.3">
      <c r="J99987"/>
    </row>
    <row r="99988" spans="10:10" x14ac:dyDescent="0.3">
      <c r="J99988"/>
    </row>
    <row r="99989" spans="10:10" x14ac:dyDescent="0.3">
      <c r="J99989"/>
    </row>
    <row r="99990" spans="10:10" x14ac:dyDescent="0.3">
      <c r="J99990"/>
    </row>
    <row r="99991" spans="10:10" x14ac:dyDescent="0.3">
      <c r="J99991"/>
    </row>
    <row r="99992" spans="10:10" x14ac:dyDescent="0.3">
      <c r="J99992"/>
    </row>
    <row r="99993" spans="10:10" x14ac:dyDescent="0.3">
      <c r="J99993"/>
    </row>
    <row r="99994" spans="10:10" x14ac:dyDescent="0.3">
      <c r="J99994"/>
    </row>
    <row r="99995" spans="10:10" x14ac:dyDescent="0.3">
      <c r="J99995"/>
    </row>
    <row r="99996" spans="10:10" x14ac:dyDescent="0.3">
      <c r="J99996"/>
    </row>
    <row r="99997" spans="10:10" x14ac:dyDescent="0.3">
      <c r="J99997"/>
    </row>
    <row r="99998" spans="10:10" x14ac:dyDescent="0.3">
      <c r="J99998"/>
    </row>
    <row r="99999" spans="10:10" x14ac:dyDescent="0.3">
      <c r="J99999"/>
    </row>
    <row r="100000" spans="10:10" x14ac:dyDescent="0.3">
      <c r="J100000"/>
    </row>
    <row r="100001" spans="10:10" x14ac:dyDescent="0.3">
      <c r="J100001"/>
    </row>
    <row r="100002" spans="10:10" x14ac:dyDescent="0.3">
      <c r="J100002"/>
    </row>
    <row r="100003" spans="10:10" x14ac:dyDescent="0.3">
      <c r="J100003"/>
    </row>
    <row r="100004" spans="10:10" x14ac:dyDescent="0.3">
      <c r="J100004"/>
    </row>
    <row r="100005" spans="10:10" x14ac:dyDescent="0.3">
      <c r="J100005"/>
    </row>
    <row r="100006" spans="10:10" x14ac:dyDescent="0.3">
      <c r="J100006"/>
    </row>
    <row r="100007" spans="10:10" x14ac:dyDescent="0.3">
      <c r="J100007"/>
    </row>
    <row r="100008" spans="10:10" x14ac:dyDescent="0.3">
      <c r="J100008"/>
    </row>
    <row r="100009" spans="10:10" x14ac:dyDescent="0.3">
      <c r="J100009"/>
    </row>
    <row r="100010" spans="10:10" x14ac:dyDescent="0.3">
      <c r="J100010"/>
    </row>
    <row r="100011" spans="10:10" x14ac:dyDescent="0.3">
      <c r="J100011"/>
    </row>
    <row r="100012" spans="10:10" x14ac:dyDescent="0.3">
      <c r="J100012"/>
    </row>
    <row r="100013" spans="10:10" x14ac:dyDescent="0.3">
      <c r="J100013"/>
    </row>
    <row r="100014" spans="10:10" x14ac:dyDescent="0.3">
      <c r="J100014"/>
    </row>
    <row r="100015" spans="10:10" x14ac:dyDescent="0.3">
      <c r="J100015"/>
    </row>
    <row r="100016" spans="10:10" x14ac:dyDescent="0.3">
      <c r="J100016"/>
    </row>
    <row r="100017" spans="10:10" x14ac:dyDescent="0.3">
      <c r="J100017"/>
    </row>
    <row r="100018" spans="10:10" x14ac:dyDescent="0.3">
      <c r="J100018"/>
    </row>
    <row r="100019" spans="10:10" x14ac:dyDescent="0.3">
      <c r="J100019"/>
    </row>
    <row r="100020" spans="10:10" x14ac:dyDescent="0.3">
      <c r="J100020"/>
    </row>
    <row r="100021" spans="10:10" x14ac:dyDescent="0.3">
      <c r="J100021"/>
    </row>
    <row r="100022" spans="10:10" x14ac:dyDescent="0.3">
      <c r="J100022"/>
    </row>
    <row r="100023" spans="10:10" x14ac:dyDescent="0.3">
      <c r="J100023"/>
    </row>
    <row r="100024" spans="10:10" x14ac:dyDescent="0.3">
      <c r="J100024"/>
    </row>
    <row r="100025" spans="10:10" x14ac:dyDescent="0.3">
      <c r="J100025"/>
    </row>
    <row r="100026" spans="10:10" x14ac:dyDescent="0.3">
      <c r="J100026"/>
    </row>
    <row r="100027" spans="10:10" x14ac:dyDescent="0.3">
      <c r="J100027"/>
    </row>
    <row r="100028" spans="10:10" x14ac:dyDescent="0.3">
      <c r="J100028"/>
    </row>
    <row r="100029" spans="10:10" x14ac:dyDescent="0.3">
      <c r="J100029"/>
    </row>
    <row r="100030" spans="10:10" x14ac:dyDescent="0.3">
      <c r="J100030"/>
    </row>
    <row r="100031" spans="10:10" x14ac:dyDescent="0.3">
      <c r="J100031"/>
    </row>
    <row r="100032" spans="10:10" x14ac:dyDescent="0.3">
      <c r="J100032"/>
    </row>
    <row r="100033" spans="10:10" x14ac:dyDescent="0.3">
      <c r="J100033"/>
    </row>
    <row r="100034" spans="10:10" x14ac:dyDescent="0.3">
      <c r="J100034"/>
    </row>
    <row r="100035" spans="10:10" x14ac:dyDescent="0.3">
      <c r="J100035"/>
    </row>
    <row r="100036" spans="10:10" x14ac:dyDescent="0.3">
      <c r="J100036"/>
    </row>
    <row r="100037" spans="10:10" x14ac:dyDescent="0.3">
      <c r="J100037"/>
    </row>
    <row r="100038" spans="10:10" x14ac:dyDescent="0.3">
      <c r="J100038"/>
    </row>
    <row r="100039" spans="10:10" x14ac:dyDescent="0.3">
      <c r="J100039"/>
    </row>
    <row r="100040" spans="10:10" x14ac:dyDescent="0.3">
      <c r="J100040"/>
    </row>
    <row r="100041" spans="10:10" x14ac:dyDescent="0.3">
      <c r="J100041"/>
    </row>
    <row r="100042" spans="10:10" x14ac:dyDescent="0.3">
      <c r="J100042"/>
    </row>
    <row r="100043" spans="10:10" x14ac:dyDescent="0.3">
      <c r="J100043"/>
    </row>
    <row r="100044" spans="10:10" x14ac:dyDescent="0.3">
      <c r="J100044"/>
    </row>
    <row r="100045" spans="10:10" x14ac:dyDescent="0.3">
      <c r="J100045"/>
    </row>
    <row r="100046" spans="10:10" x14ac:dyDescent="0.3">
      <c r="J100046"/>
    </row>
    <row r="100047" spans="10:10" x14ac:dyDescent="0.3">
      <c r="J100047"/>
    </row>
    <row r="100048" spans="10:10" x14ac:dyDescent="0.3">
      <c r="J100048"/>
    </row>
    <row r="100049" spans="10:10" x14ac:dyDescent="0.3">
      <c r="J100049"/>
    </row>
    <row r="100050" spans="10:10" x14ac:dyDescent="0.3">
      <c r="J100050"/>
    </row>
    <row r="100051" spans="10:10" x14ac:dyDescent="0.3">
      <c r="J100051"/>
    </row>
    <row r="100052" spans="10:10" x14ac:dyDescent="0.3">
      <c r="J100052"/>
    </row>
    <row r="100053" spans="10:10" x14ac:dyDescent="0.3">
      <c r="J100053"/>
    </row>
    <row r="100054" spans="10:10" x14ac:dyDescent="0.3">
      <c r="J100054"/>
    </row>
    <row r="100055" spans="10:10" x14ac:dyDescent="0.3">
      <c r="J100055"/>
    </row>
    <row r="100056" spans="10:10" x14ac:dyDescent="0.3">
      <c r="J100056"/>
    </row>
    <row r="100057" spans="10:10" x14ac:dyDescent="0.3">
      <c r="J100057"/>
    </row>
    <row r="100058" spans="10:10" x14ac:dyDescent="0.3">
      <c r="J100058"/>
    </row>
    <row r="100059" spans="10:10" x14ac:dyDescent="0.3">
      <c r="J100059"/>
    </row>
    <row r="100060" spans="10:10" x14ac:dyDescent="0.3">
      <c r="J100060"/>
    </row>
    <row r="100061" spans="10:10" x14ac:dyDescent="0.3">
      <c r="J100061"/>
    </row>
    <row r="100062" spans="10:10" x14ac:dyDescent="0.3">
      <c r="J100062"/>
    </row>
    <row r="100063" spans="10:10" x14ac:dyDescent="0.3">
      <c r="J100063"/>
    </row>
    <row r="100064" spans="10:10" x14ac:dyDescent="0.3">
      <c r="J100064"/>
    </row>
    <row r="100065" spans="10:10" x14ac:dyDescent="0.3">
      <c r="J100065"/>
    </row>
    <row r="100066" spans="10:10" x14ac:dyDescent="0.3">
      <c r="J100066"/>
    </row>
    <row r="100067" spans="10:10" x14ac:dyDescent="0.3">
      <c r="J100067"/>
    </row>
    <row r="100068" spans="10:10" x14ac:dyDescent="0.3">
      <c r="J100068"/>
    </row>
    <row r="100069" spans="10:10" x14ac:dyDescent="0.3">
      <c r="J100069"/>
    </row>
    <row r="100070" spans="10:10" x14ac:dyDescent="0.3">
      <c r="J100070"/>
    </row>
    <row r="100071" spans="10:10" x14ac:dyDescent="0.3">
      <c r="J100071"/>
    </row>
    <row r="100072" spans="10:10" x14ac:dyDescent="0.3">
      <c r="J100072"/>
    </row>
    <row r="100073" spans="10:10" x14ac:dyDescent="0.3">
      <c r="J100073"/>
    </row>
    <row r="100074" spans="10:10" x14ac:dyDescent="0.3">
      <c r="J100074"/>
    </row>
    <row r="100075" spans="10:10" x14ac:dyDescent="0.3">
      <c r="J100075"/>
    </row>
    <row r="100076" spans="10:10" x14ac:dyDescent="0.3">
      <c r="J100076"/>
    </row>
    <row r="100077" spans="10:10" x14ac:dyDescent="0.3">
      <c r="J100077"/>
    </row>
    <row r="100078" spans="10:10" x14ac:dyDescent="0.3">
      <c r="J100078"/>
    </row>
    <row r="100079" spans="10:10" x14ac:dyDescent="0.3">
      <c r="J100079"/>
    </row>
    <row r="100080" spans="10:10" x14ac:dyDescent="0.3">
      <c r="J100080"/>
    </row>
    <row r="100081" spans="10:10" x14ac:dyDescent="0.3">
      <c r="J100081"/>
    </row>
    <row r="100082" spans="10:10" x14ac:dyDescent="0.3">
      <c r="J100082"/>
    </row>
    <row r="100083" spans="10:10" x14ac:dyDescent="0.3">
      <c r="J100083"/>
    </row>
    <row r="100084" spans="10:10" x14ac:dyDescent="0.3">
      <c r="J100084"/>
    </row>
    <row r="100085" spans="10:10" x14ac:dyDescent="0.3">
      <c r="J100085"/>
    </row>
    <row r="100086" spans="10:10" x14ac:dyDescent="0.3">
      <c r="J100086"/>
    </row>
    <row r="100087" spans="10:10" x14ac:dyDescent="0.3">
      <c r="J100087"/>
    </row>
    <row r="100088" spans="10:10" x14ac:dyDescent="0.3">
      <c r="J100088"/>
    </row>
    <row r="100089" spans="10:10" x14ac:dyDescent="0.3">
      <c r="J100089"/>
    </row>
    <row r="100090" spans="10:10" x14ac:dyDescent="0.3">
      <c r="J100090"/>
    </row>
    <row r="100091" spans="10:10" x14ac:dyDescent="0.3">
      <c r="J100091"/>
    </row>
    <row r="100092" spans="10:10" x14ac:dyDescent="0.3">
      <c r="J100092"/>
    </row>
    <row r="100093" spans="10:10" x14ac:dyDescent="0.3">
      <c r="J100093"/>
    </row>
    <row r="100094" spans="10:10" x14ac:dyDescent="0.3">
      <c r="J100094"/>
    </row>
    <row r="100095" spans="10:10" x14ac:dyDescent="0.3">
      <c r="J100095"/>
    </row>
    <row r="100096" spans="10:10" x14ac:dyDescent="0.3">
      <c r="J100096"/>
    </row>
    <row r="100097" spans="10:10" x14ac:dyDescent="0.3">
      <c r="J100097"/>
    </row>
    <row r="100098" spans="10:10" x14ac:dyDescent="0.3">
      <c r="J100098"/>
    </row>
    <row r="100099" spans="10:10" x14ac:dyDescent="0.3">
      <c r="J100099"/>
    </row>
    <row r="100100" spans="10:10" x14ac:dyDescent="0.3">
      <c r="J100100"/>
    </row>
    <row r="100101" spans="10:10" x14ac:dyDescent="0.3">
      <c r="J100101"/>
    </row>
    <row r="100102" spans="10:10" x14ac:dyDescent="0.3">
      <c r="J100102"/>
    </row>
    <row r="100103" spans="10:10" x14ac:dyDescent="0.3">
      <c r="J100103"/>
    </row>
    <row r="100104" spans="10:10" x14ac:dyDescent="0.3">
      <c r="J100104"/>
    </row>
    <row r="100105" spans="10:10" x14ac:dyDescent="0.3">
      <c r="J100105"/>
    </row>
    <row r="100106" spans="10:10" x14ac:dyDescent="0.3">
      <c r="J100106"/>
    </row>
    <row r="100107" spans="10:10" x14ac:dyDescent="0.3">
      <c r="J100107"/>
    </row>
    <row r="100108" spans="10:10" x14ac:dyDescent="0.3">
      <c r="J100108"/>
    </row>
    <row r="100109" spans="10:10" x14ac:dyDescent="0.3">
      <c r="J100109"/>
    </row>
    <row r="100110" spans="10:10" x14ac:dyDescent="0.3">
      <c r="J100110"/>
    </row>
    <row r="100111" spans="10:10" x14ac:dyDescent="0.3">
      <c r="J100111"/>
    </row>
    <row r="100112" spans="10:10" x14ac:dyDescent="0.3">
      <c r="J100112"/>
    </row>
    <row r="100113" spans="10:10" x14ac:dyDescent="0.3">
      <c r="J100113"/>
    </row>
    <row r="100114" spans="10:10" x14ac:dyDescent="0.3">
      <c r="J100114"/>
    </row>
    <row r="100115" spans="10:10" x14ac:dyDescent="0.3">
      <c r="J100115"/>
    </row>
    <row r="100116" spans="10:10" x14ac:dyDescent="0.3">
      <c r="J100116"/>
    </row>
    <row r="100117" spans="10:10" x14ac:dyDescent="0.3">
      <c r="J100117"/>
    </row>
    <row r="100118" spans="10:10" x14ac:dyDescent="0.3">
      <c r="J100118"/>
    </row>
    <row r="100119" spans="10:10" x14ac:dyDescent="0.3">
      <c r="J100119"/>
    </row>
    <row r="100120" spans="10:10" x14ac:dyDescent="0.3">
      <c r="J100120"/>
    </row>
    <row r="100121" spans="10:10" x14ac:dyDescent="0.3">
      <c r="J100121"/>
    </row>
    <row r="100122" spans="10:10" x14ac:dyDescent="0.3">
      <c r="J100122"/>
    </row>
    <row r="100123" spans="10:10" x14ac:dyDescent="0.3">
      <c r="J100123"/>
    </row>
    <row r="100124" spans="10:10" x14ac:dyDescent="0.3">
      <c r="J100124"/>
    </row>
    <row r="100125" spans="10:10" x14ac:dyDescent="0.3">
      <c r="J100125"/>
    </row>
    <row r="100126" spans="10:10" x14ac:dyDescent="0.3">
      <c r="J100126"/>
    </row>
    <row r="100127" spans="10:10" x14ac:dyDescent="0.3">
      <c r="J100127"/>
    </row>
    <row r="100128" spans="10:10" x14ac:dyDescent="0.3">
      <c r="J100128"/>
    </row>
    <row r="100129" spans="10:10" x14ac:dyDescent="0.3">
      <c r="J100129"/>
    </row>
    <row r="100130" spans="10:10" x14ac:dyDescent="0.3">
      <c r="J100130"/>
    </row>
    <row r="100131" spans="10:10" x14ac:dyDescent="0.3">
      <c r="J100131"/>
    </row>
    <row r="100132" spans="10:10" x14ac:dyDescent="0.3">
      <c r="J100132"/>
    </row>
    <row r="100133" spans="10:10" x14ac:dyDescent="0.3">
      <c r="J100133"/>
    </row>
    <row r="100134" spans="10:10" x14ac:dyDescent="0.3">
      <c r="J100134"/>
    </row>
    <row r="100135" spans="10:10" x14ac:dyDescent="0.3">
      <c r="J100135"/>
    </row>
    <row r="100136" spans="10:10" x14ac:dyDescent="0.3">
      <c r="J100136"/>
    </row>
    <row r="100137" spans="10:10" x14ac:dyDescent="0.3">
      <c r="J100137"/>
    </row>
    <row r="100138" spans="10:10" x14ac:dyDescent="0.3">
      <c r="J100138"/>
    </row>
    <row r="100139" spans="10:10" x14ac:dyDescent="0.3">
      <c r="J100139"/>
    </row>
    <row r="100140" spans="10:10" x14ac:dyDescent="0.3">
      <c r="J100140"/>
    </row>
    <row r="100141" spans="10:10" x14ac:dyDescent="0.3">
      <c r="J100141"/>
    </row>
    <row r="100142" spans="10:10" x14ac:dyDescent="0.3">
      <c r="J100142"/>
    </row>
    <row r="100143" spans="10:10" x14ac:dyDescent="0.3">
      <c r="J100143"/>
    </row>
    <row r="100144" spans="10:10" x14ac:dyDescent="0.3">
      <c r="J100144"/>
    </row>
    <row r="100145" spans="10:10" x14ac:dyDescent="0.3">
      <c r="J100145"/>
    </row>
    <row r="100146" spans="10:10" x14ac:dyDescent="0.3">
      <c r="J100146"/>
    </row>
    <row r="100147" spans="10:10" x14ac:dyDescent="0.3">
      <c r="J100147"/>
    </row>
    <row r="100148" spans="10:10" x14ac:dyDescent="0.3">
      <c r="J100148"/>
    </row>
    <row r="100149" spans="10:10" x14ac:dyDescent="0.3">
      <c r="J100149"/>
    </row>
    <row r="100150" spans="10:10" x14ac:dyDescent="0.3">
      <c r="J100150"/>
    </row>
    <row r="100151" spans="10:10" x14ac:dyDescent="0.3">
      <c r="J100151"/>
    </row>
    <row r="100152" spans="10:10" x14ac:dyDescent="0.3">
      <c r="J100152"/>
    </row>
    <row r="100153" spans="10:10" x14ac:dyDescent="0.3">
      <c r="J100153"/>
    </row>
    <row r="100154" spans="10:10" x14ac:dyDescent="0.3">
      <c r="J100154"/>
    </row>
    <row r="100155" spans="10:10" x14ac:dyDescent="0.3">
      <c r="J100155"/>
    </row>
    <row r="100156" spans="10:10" x14ac:dyDescent="0.3">
      <c r="J100156"/>
    </row>
    <row r="100157" spans="10:10" x14ac:dyDescent="0.3">
      <c r="J100157"/>
    </row>
    <row r="100158" spans="10:10" x14ac:dyDescent="0.3">
      <c r="J100158"/>
    </row>
    <row r="100159" spans="10:10" x14ac:dyDescent="0.3">
      <c r="J100159"/>
    </row>
    <row r="100160" spans="10:10" x14ac:dyDescent="0.3">
      <c r="J100160"/>
    </row>
    <row r="100161" spans="10:10" x14ac:dyDescent="0.3">
      <c r="J100161"/>
    </row>
    <row r="100162" spans="10:10" x14ac:dyDescent="0.3">
      <c r="J100162"/>
    </row>
    <row r="100163" spans="10:10" x14ac:dyDescent="0.3">
      <c r="J100163"/>
    </row>
    <row r="100164" spans="10:10" x14ac:dyDescent="0.3">
      <c r="J100164"/>
    </row>
    <row r="100165" spans="10:10" x14ac:dyDescent="0.3">
      <c r="J100165"/>
    </row>
    <row r="100166" spans="10:10" x14ac:dyDescent="0.3">
      <c r="J100166"/>
    </row>
    <row r="100167" spans="10:10" x14ac:dyDescent="0.3">
      <c r="J100167"/>
    </row>
    <row r="100168" spans="10:10" x14ac:dyDescent="0.3">
      <c r="J100168"/>
    </row>
    <row r="100169" spans="10:10" x14ac:dyDescent="0.3">
      <c r="J100169"/>
    </row>
    <row r="100170" spans="10:10" x14ac:dyDescent="0.3">
      <c r="J100170"/>
    </row>
    <row r="100171" spans="10:10" x14ac:dyDescent="0.3">
      <c r="J100171"/>
    </row>
    <row r="100172" spans="10:10" x14ac:dyDescent="0.3">
      <c r="J100172"/>
    </row>
    <row r="100173" spans="10:10" x14ac:dyDescent="0.3">
      <c r="J100173"/>
    </row>
    <row r="100174" spans="10:10" x14ac:dyDescent="0.3">
      <c r="J100174"/>
    </row>
    <row r="100175" spans="10:10" x14ac:dyDescent="0.3">
      <c r="J100175"/>
    </row>
    <row r="100176" spans="10:10" x14ac:dyDescent="0.3">
      <c r="J100176"/>
    </row>
    <row r="100177" spans="10:10" x14ac:dyDescent="0.3">
      <c r="J100177"/>
    </row>
    <row r="100178" spans="10:10" x14ac:dyDescent="0.3">
      <c r="J100178"/>
    </row>
    <row r="100179" spans="10:10" x14ac:dyDescent="0.3">
      <c r="J100179"/>
    </row>
    <row r="100180" spans="10:10" x14ac:dyDescent="0.3">
      <c r="J100180"/>
    </row>
    <row r="100181" spans="10:10" x14ac:dyDescent="0.3">
      <c r="J100181"/>
    </row>
    <row r="100182" spans="10:10" x14ac:dyDescent="0.3">
      <c r="J100182"/>
    </row>
    <row r="100183" spans="10:10" x14ac:dyDescent="0.3">
      <c r="J100183"/>
    </row>
    <row r="100184" spans="10:10" x14ac:dyDescent="0.3">
      <c r="J100184"/>
    </row>
    <row r="100185" spans="10:10" x14ac:dyDescent="0.3">
      <c r="J100185"/>
    </row>
    <row r="100186" spans="10:10" x14ac:dyDescent="0.3">
      <c r="J100186"/>
    </row>
    <row r="100187" spans="10:10" x14ac:dyDescent="0.3">
      <c r="J100187"/>
    </row>
    <row r="100188" spans="10:10" x14ac:dyDescent="0.3">
      <c r="J100188"/>
    </row>
    <row r="100189" spans="10:10" x14ac:dyDescent="0.3">
      <c r="J100189"/>
    </row>
    <row r="100190" spans="10:10" x14ac:dyDescent="0.3">
      <c r="J100190"/>
    </row>
    <row r="100191" spans="10:10" x14ac:dyDescent="0.3">
      <c r="J100191"/>
    </row>
    <row r="100192" spans="10:10" x14ac:dyDescent="0.3">
      <c r="J100192"/>
    </row>
    <row r="100193" spans="10:10" x14ac:dyDescent="0.3">
      <c r="J100193"/>
    </row>
    <row r="100194" spans="10:10" x14ac:dyDescent="0.3">
      <c r="J100194"/>
    </row>
    <row r="100195" spans="10:10" x14ac:dyDescent="0.3">
      <c r="J100195"/>
    </row>
    <row r="100196" spans="10:10" x14ac:dyDescent="0.3">
      <c r="J100196"/>
    </row>
    <row r="100197" spans="10:10" x14ac:dyDescent="0.3">
      <c r="J100197"/>
    </row>
    <row r="100198" spans="10:10" x14ac:dyDescent="0.3">
      <c r="J100198"/>
    </row>
    <row r="100199" spans="10:10" x14ac:dyDescent="0.3">
      <c r="J100199"/>
    </row>
    <row r="100200" spans="10:10" x14ac:dyDescent="0.3">
      <c r="J100200"/>
    </row>
    <row r="100201" spans="10:10" x14ac:dyDescent="0.3">
      <c r="J100201"/>
    </row>
    <row r="100202" spans="10:10" x14ac:dyDescent="0.3">
      <c r="J100202"/>
    </row>
    <row r="100203" spans="10:10" x14ac:dyDescent="0.3">
      <c r="J100203"/>
    </row>
    <row r="100204" spans="10:10" x14ac:dyDescent="0.3">
      <c r="J100204"/>
    </row>
    <row r="100205" spans="10:10" x14ac:dyDescent="0.3">
      <c r="J100205"/>
    </row>
    <row r="100206" spans="10:10" x14ac:dyDescent="0.3">
      <c r="J100206"/>
    </row>
    <row r="100207" spans="10:10" x14ac:dyDescent="0.3">
      <c r="J100207"/>
    </row>
    <row r="100208" spans="10:10" x14ac:dyDescent="0.3">
      <c r="J100208"/>
    </row>
    <row r="100209" spans="10:10" x14ac:dyDescent="0.3">
      <c r="J100209"/>
    </row>
    <row r="100210" spans="10:10" x14ac:dyDescent="0.3">
      <c r="J100210"/>
    </row>
    <row r="100211" spans="10:10" x14ac:dyDescent="0.3">
      <c r="J100211"/>
    </row>
    <row r="100212" spans="10:10" x14ac:dyDescent="0.3">
      <c r="J100212"/>
    </row>
    <row r="100213" spans="10:10" x14ac:dyDescent="0.3">
      <c r="J100213"/>
    </row>
    <row r="100214" spans="10:10" x14ac:dyDescent="0.3">
      <c r="J100214"/>
    </row>
    <row r="100215" spans="10:10" x14ac:dyDescent="0.3">
      <c r="J100215"/>
    </row>
    <row r="100216" spans="10:10" x14ac:dyDescent="0.3">
      <c r="J100216"/>
    </row>
    <row r="100217" spans="10:10" x14ac:dyDescent="0.3">
      <c r="J100217"/>
    </row>
    <row r="100218" spans="10:10" x14ac:dyDescent="0.3">
      <c r="J100218"/>
    </row>
    <row r="100219" spans="10:10" x14ac:dyDescent="0.3">
      <c r="J100219"/>
    </row>
    <row r="100220" spans="10:10" x14ac:dyDescent="0.3">
      <c r="J100220"/>
    </row>
    <row r="100221" spans="10:10" x14ac:dyDescent="0.3">
      <c r="J100221"/>
    </row>
    <row r="100222" spans="10:10" x14ac:dyDescent="0.3">
      <c r="J100222"/>
    </row>
    <row r="100223" spans="10:10" x14ac:dyDescent="0.3">
      <c r="J100223"/>
    </row>
    <row r="100224" spans="10:10" x14ac:dyDescent="0.3">
      <c r="J100224"/>
    </row>
    <row r="100225" spans="10:10" x14ac:dyDescent="0.3">
      <c r="J100225"/>
    </row>
    <row r="100226" spans="10:10" x14ac:dyDescent="0.3">
      <c r="J100226"/>
    </row>
    <row r="100227" spans="10:10" x14ac:dyDescent="0.3">
      <c r="J100227"/>
    </row>
    <row r="100228" spans="10:10" x14ac:dyDescent="0.3">
      <c r="J100228"/>
    </row>
    <row r="100229" spans="10:10" x14ac:dyDescent="0.3">
      <c r="J100229"/>
    </row>
    <row r="100230" spans="10:10" x14ac:dyDescent="0.3">
      <c r="J100230"/>
    </row>
    <row r="100231" spans="10:10" x14ac:dyDescent="0.3">
      <c r="J100231"/>
    </row>
    <row r="100232" spans="10:10" x14ac:dyDescent="0.3">
      <c r="J100232"/>
    </row>
    <row r="100233" spans="10:10" x14ac:dyDescent="0.3">
      <c r="J100233"/>
    </row>
    <row r="100234" spans="10:10" x14ac:dyDescent="0.3">
      <c r="J100234"/>
    </row>
    <row r="100235" spans="10:10" x14ac:dyDescent="0.3">
      <c r="J100235"/>
    </row>
    <row r="100236" spans="10:10" x14ac:dyDescent="0.3">
      <c r="J100236"/>
    </row>
    <row r="100237" spans="10:10" x14ac:dyDescent="0.3">
      <c r="J100237"/>
    </row>
    <row r="100238" spans="10:10" x14ac:dyDescent="0.3">
      <c r="J100238"/>
    </row>
    <row r="100239" spans="10:10" x14ac:dyDescent="0.3">
      <c r="J100239"/>
    </row>
    <row r="100240" spans="10:10" x14ac:dyDescent="0.3">
      <c r="J100240"/>
    </row>
    <row r="100241" spans="10:10" x14ac:dyDescent="0.3">
      <c r="J100241"/>
    </row>
    <row r="100242" spans="10:10" x14ac:dyDescent="0.3">
      <c r="J100242"/>
    </row>
    <row r="100243" spans="10:10" x14ac:dyDescent="0.3">
      <c r="J100243"/>
    </row>
    <row r="100244" spans="10:10" x14ac:dyDescent="0.3">
      <c r="J100244"/>
    </row>
    <row r="100245" spans="10:10" x14ac:dyDescent="0.3">
      <c r="J100245"/>
    </row>
    <row r="100246" spans="10:10" x14ac:dyDescent="0.3">
      <c r="J100246"/>
    </row>
    <row r="100247" spans="10:10" x14ac:dyDescent="0.3">
      <c r="J100247"/>
    </row>
    <row r="100248" spans="10:10" x14ac:dyDescent="0.3">
      <c r="J100248"/>
    </row>
    <row r="100249" spans="10:10" x14ac:dyDescent="0.3">
      <c r="J100249"/>
    </row>
    <row r="100250" spans="10:10" x14ac:dyDescent="0.3">
      <c r="J100250"/>
    </row>
    <row r="100251" spans="10:10" x14ac:dyDescent="0.3">
      <c r="J100251"/>
    </row>
    <row r="100252" spans="10:10" x14ac:dyDescent="0.3">
      <c r="J100252"/>
    </row>
    <row r="100253" spans="10:10" x14ac:dyDescent="0.3">
      <c r="J100253"/>
    </row>
    <row r="100254" spans="10:10" x14ac:dyDescent="0.3">
      <c r="J100254"/>
    </row>
    <row r="100255" spans="10:10" x14ac:dyDescent="0.3">
      <c r="J100255"/>
    </row>
    <row r="100256" spans="10:10" x14ac:dyDescent="0.3">
      <c r="J100256"/>
    </row>
    <row r="100257" spans="10:10" x14ac:dyDescent="0.3">
      <c r="J100257"/>
    </row>
    <row r="100258" spans="10:10" x14ac:dyDescent="0.3">
      <c r="J100258"/>
    </row>
    <row r="100259" spans="10:10" x14ac:dyDescent="0.3">
      <c r="J100259"/>
    </row>
    <row r="100260" spans="10:10" x14ac:dyDescent="0.3">
      <c r="J100260"/>
    </row>
    <row r="100261" spans="10:10" x14ac:dyDescent="0.3">
      <c r="J100261"/>
    </row>
    <row r="100262" spans="10:10" x14ac:dyDescent="0.3">
      <c r="J100262"/>
    </row>
    <row r="100263" spans="10:10" x14ac:dyDescent="0.3">
      <c r="J100263"/>
    </row>
    <row r="100264" spans="10:10" x14ac:dyDescent="0.3">
      <c r="J100264"/>
    </row>
    <row r="100265" spans="10:10" x14ac:dyDescent="0.3">
      <c r="J100265"/>
    </row>
    <row r="100266" spans="10:10" x14ac:dyDescent="0.3">
      <c r="J100266"/>
    </row>
    <row r="100267" spans="10:10" x14ac:dyDescent="0.3">
      <c r="J100267"/>
    </row>
    <row r="100268" spans="10:10" x14ac:dyDescent="0.3">
      <c r="J100268"/>
    </row>
    <row r="100269" spans="10:10" x14ac:dyDescent="0.3">
      <c r="J100269"/>
    </row>
    <row r="100270" spans="10:10" x14ac:dyDescent="0.3">
      <c r="J100270"/>
    </row>
    <row r="100271" spans="10:10" x14ac:dyDescent="0.3">
      <c r="J100271"/>
    </row>
    <row r="100272" spans="10:10" x14ac:dyDescent="0.3">
      <c r="J100272"/>
    </row>
    <row r="100273" spans="10:10" x14ac:dyDescent="0.3">
      <c r="J100273"/>
    </row>
    <row r="100274" spans="10:10" x14ac:dyDescent="0.3">
      <c r="J100274"/>
    </row>
    <row r="100275" spans="10:10" x14ac:dyDescent="0.3">
      <c r="J100275"/>
    </row>
    <row r="100276" spans="10:10" x14ac:dyDescent="0.3">
      <c r="J100276"/>
    </row>
    <row r="100277" spans="10:10" x14ac:dyDescent="0.3">
      <c r="J100277"/>
    </row>
    <row r="100278" spans="10:10" x14ac:dyDescent="0.3">
      <c r="J100278"/>
    </row>
    <row r="100279" spans="10:10" x14ac:dyDescent="0.3">
      <c r="J100279"/>
    </row>
    <row r="100280" spans="10:10" x14ac:dyDescent="0.3">
      <c r="J100280"/>
    </row>
    <row r="100281" spans="10:10" x14ac:dyDescent="0.3">
      <c r="J100281"/>
    </row>
    <row r="100282" spans="10:10" x14ac:dyDescent="0.3">
      <c r="J100282"/>
    </row>
    <row r="100283" spans="10:10" x14ac:dyDescent="0.3">
      <c r="J100283"/>
    </row>
    <row r="100284" spans="10:10" x14ac:dyDescent="0.3">
      <c r="J100284"/>
    </row>
    <row r="100285" spans="10:10" x14ac:dyDescent="0.3">
      <c r="J100285"/>
    </row>
    <row r="100286" spans="10:10" x14ac:dyDescent="0.3">
      <c r="J100286"/>
    </row>
    <row r="100287" spans="10:10" x14ac:dyDescent="0.3">
      <c r="J100287"/>
    </row>
    <row r="100288" spans="10:10" x14ac:dyDescent="0.3">
      <c r="J100288"/>
    </row>
    <row r="100289" spans="10:10" x14ac:dyDescent="0.3">
      <c r="J100289"/>
    </row>
    <row r="100290" spans="10:10" x14ac:dyDescent="0.3">
      <c r="J100290"/>
    </row>
    <row r="100291" spans="10:10" x14ac:dyDescent="0.3">
      <c r="J100291"/>
    </row>
    <row r="100292" spans="10:10" x14ac:dyDescent="0.3">
      <c r="J100292"/>
    </row>
    <row r="100293" spans="10:10" x14ac:dyDescent="0.3">
      <c r="J100293"/>
    </row>
    <row r="100294" spans="10:10" x14ac:dyDescent="0.3">
      <c r="J100294"/>
    </row>
    <row r="100295" spans="10:10" x14ac:dyDescent="0.3">
      <c r="J100295"/>
    </row>
    <row r="100296" spans="10:10" x14ac:dyDescent="0.3">
      <c r="J100296"/>
    </row>
    <row r="100297" spans="10:10" x14ac:dyDescent="0.3">
      <c r="J100297"/>
    </row>
    <row r="100298" spans="10:10" x14ac:dyDescent="0.3">
      <c r="J100298"/>
    </row>
    <row r="100299" spans="10:10" x14ac:dyDescent="0.3">
      <c r="J100299"/>
    </row>
    <row r="100300" spans="10:10" x14ac:dyDescent="0.3">
      <c r="J100300"/>
    </row>
    <row r="100301" spans="10:10" x14ac:dyDescent="0.3">
      <c r="J100301"/>
    </row>
    <row r="100302" spans="10:10" x14ac:dyDescent="0.3">
      <c r="J100302"/>
    </row>
    <row r="100303" spans="10:10" x14ac:dyDescent="0.3">
      <c r="J100303"/>
    </row>
    <row r="100304" spans="10:10" x14ac:dyDescent="0.3">
      <c r="J100304"/>
    </row>
    <row r="100305" spans="10:10" x14ac:dyDescent="0.3">
      <c r="J100305"/>
    </row>
    <row r="100306" spans="10:10" x14ac:dyDescent="0.3">
      <c r="J100306"/>
    </row>
    <row r="100307" spans="10:10" x14ac:dyDescent="0.3">
      <c r="J100307"/>
    </row>
    <row r="100308" spans="10:10" x14ac:dyDescent="0.3">
      <c r="J100308"/>
    </row>
    <row r="100309" spans="10:10" x14ac:dyDescent="0.3">
      <c r="J100309"/>
    </row>
    <row r="100310" spans="10:10" x14ac:dyDescent="0.3">
      <c r="J100310"/>
    </row>
    <row r="100311" spans="10:10" x14ac:dyDescent="0.3">
      <c r="J100311"/>
    </row>
    <row r="100312" spans="10:10" x14ac:dyDescent="0.3">
      <c r="J100312"/>
    </row>
    <row r="100313" spans="10:10" x14ac:dyDescent="0.3">
      <c r="J100313"/>
    </row>
    <row r="100314" spans="10:10" x14ac:dyDescent="0.3">
      <c r="J100314"/>
    </row>
    <row r="100315" spans="10:10" x14ac:dyDescent="0.3">
      <c r="J100315"/>
    </row>
    <row r="100316" spans="10:10" x14ac:dyDescent="0.3">
      <c r="J100316"/>
    </row>
    <row r="100317" spans="10:10" x14ac:dyDescent="0.3">
      <c r="J100317"/>
    </row>
    <row r="100318" spans="10:10" x14ac:dyDescent="0.3">
      <c r="J100318"/>
    </row>
    <row r="100319" spans="10:10" x14ac:dyDescent="0.3">
      <c r="J100319"/>
    </row>
    <row r="100320" spans="10:10" x14ac:dyDescent="0.3">
      <c r="J100320"/>
    </row>
    <row r="100321" spans="10:10" x14ac:dyDescent="0.3">
      <c r="J100321"/>
    </row>
    <row r="100322" spans="10:10" x14ac:dyDescent="0.3">
      <c r="J100322"/>
    </row>
    <row r="100323" spans="10:10" x14ac:dyDescent="0.3">
      <c r="J100323"/>
    </row>
    <row r="100324" spans="10:10" x14ac:dyDescent="0.3">
      <c r="J100324"/>
    </row>
    <row r="100325" spans="10:10" x14ac:dyDescent="0.3">
      <c r="J100325"/>
    </row>
    <row r="100326" spans="10:10" x14ac:dyDescent="0.3">
      <c r="J100326"/>
    </row>
    <row r="100327" spans="10:10" x14ac:dyDescent="0.3">
      <c r="J100327"/>
    </row>
    <row r="100328" spans="10:10" x14ac:dyDescent="0.3">
      <c r="J100328"/>
    </row>
    <row r="100329" spans="10:10" x14ac:dyDescent="0.3">
      <c r="J100329"/>
    </row>
    <row r="100330" spans="10:10" x14ac:dyDescent="0.3">
      <c r="J100330"/>
    </row>
    <row r="100331" spans="10:10" x14ac:dyDescent="0.3">
      <c r="J100331"/>
    </row>
    <row r="100332" spans="10:10" x14ac:dyDescent="0.3">
      <c r="J100332"/>
    </row>
    <row r="100333" spans="10:10" x14ac:dyDescent="0.3">
      <c r="J100333"/>
    </row>
    <row r="100334" spans="10:10" x14ac:dyDescent="0.3">
      <c r="J100334"/>
    </row>
    <row r="100335" spans="10:10" x14ac:dyDescent="0.3">
      <c r="J100335"/>
    </row>
    <row r="100336" spans="10:10" x14ac:dyDescent="0.3">
      <c r="J100336"/>
    </row>
    <row r="100337" spans="10:10" x14ac:dyDescent="0.3">
      <c r="J100337"/>
    </row>
    <row r="100338" spans="10:10" x14ac:dyDescent="0.3">
      <c r="J100338"/>
    </row>
    <row r="100339" spans="10:10" x14ac:dyDescent="0.3">
      <c r="J100339"/>
    </row>
    <row r="100340" spans="10:10" x14ac:dyDescent="0.3">
      <c r="J100340"/>
    </row>
    <row r="100341" spans="10:10" x14ac:dyDescent="0.3">
      <c r="J100341"/>
    </row>
    <row r="100342" spans="10:10" x14ac:dyDescent="0.3">
      <c r="J100342"/>
    </row>
    <row r="100343" spans="10:10" x14ac:dyDescent="0.3">
      <c r="J100343"/>
    </row>
    <row r="100344" spans="10:10" x14ac:dyDescent="0.3">
      <c r="J100344"/>
    </row>
    <row r="100345" spans="10:10" x14ac:dyDescent="0.3">
      <c r="J100345"/>
    </row>
    <row r="100346" spans="10:10" x14ac:dyDescent="0.3">
      <c r="J100346"/>
    </row>
    <row r="100347" spans="10:10" x14ac:dyDescent="0.3">
      <c r="J100347"/>
    </row>
    <row r="100348" spans="10:10" x14ac:dyDescent="0.3">
      <c r="J100348"/>
    </row>
    <row r="100349" spans="10:10" x14ac:dyDescent="0.3">
      <c r="J100349"/>
    </row>
    <row r="100350" spans="10:10" x14ac:dyDescent="0.3">
      <c r="J100350"/>
    </row>
    <row r="100351" spans="10:10" x14ac:dyDescent="0.3">
      <c r="J100351"/>
    </row>
    <row r="100352" spans="10:10" x14ac:dyDescent="0.3">
      <c r="J100352"/>
    </row>
    <row r="100353" spans="10:10" x14ac:dyDescent="0.3">
      <c r="J100353"/>
    </row>
    <row r="100354" spans="10:10" x14ac:dyDescent="0.3">
      <c r="J100354"/>
    </row>
    <row r="100355" spans="10:10" x14ac:dyDescent="0.3">
      <c r="J100355"/>
    </row>
    <row r="100356" spans="10:10" x14ac:dyDescent="0.3">
      <c r="J100356"/>
    </row>
    <row r="100357" spans="10:10" x14ac:dyDescent="0.3">
      <c r="J100357"/>
    </row>
    <row r="100358" spans="10:10" x14ac:dyDescent="0.3">
      <c r="J100358"/>
    </row>
    <row r="100359" spans="10:10" x14ac:dyDescent="0.3">
      <c r="J100359"/>
    </row>
    <row r="100360" spans="10:10" x14ac:dyDescent="0.3">
      <c r="J100360"/>
    </row>
    <row r="100361" spans="10:10" x14ac:dyDescent="0.3">
      <c r="J100361"/>
    </row>
    <row r="100362" spans="10:10" x14ac:dyDescent="0.3">
      <c r="J100362"/>
    </row>
    <row r="100363" spans="10:10" x14ac:dyDescent="0.3">
      <c r="J100363"/>
    </row>
    <row r="100364" spans="10:10" x14ac:dyDescent="0.3">
      <c r="J100364"/>
    </row>
    <row r="100365" spans="10:10" x14ac:dyDescent="0.3">
      <c r="J100365"/>
    </row>
    <row r="100366" spans="10:10" x14ac:dyDescent="0.3">
      <c r="J100366"/>
    </row>
    <row r="100367" spans="10:10" x14ac:dyDescent="0.3">
      <c r="J100367"/>
    </row>
    <row r="100368" spans="10:10" x14ac:dyDescent="0.3">
      <c r="J100368"/>
    </row>
    <row r="100369" spans="10:10" x14ac:dyDescent="0.3">
      <c r="J100369"/>
    </row>
    <row r="100370" spans="10:10" x14ac:dyDescent="0.3">
      <c r="J100370"/>
    </row>
    <row r="100371" spans="10:10" x14ac:dyDescent="0.3">
      <c r="J100371"/>
    </row>
    <row r="100372" spans="10:10" x14ac:dyDescent="0.3">
      <c r="J100372"/>
    </row>
    <row r="100373" spans="10:10" x14ac:dyDescent="0.3">
      <c r="J100373"/>
    </row>
    <row r="100374" spans="10:10" x14ac:dyDescent="0.3">
      <c r="J100374"/>
    </row>
    <row r="100375" spans="10:10" x14ac:dyDescent="0.3">
      <c r="J100375"/>
    </row>
    <row r="100376" spans="10:10" x14ac:dyDescent="0.3">
      <c r="J100376"/>
    </row>
    <row r="100377" spans="10:10" x14ac:dyDescent="0.3">
      <c r="J100377"/>
    </row>
    <row r="100378" spans="10:10" x14ac:dyDescent="0.3">
      <c r="J100378"/>
    </row>
    <row r="100379" spans="10:10" x14ac:dyDescent="0.3">
      <c r="J100379"/>
    </row>
    <row r="100380" spans="10:10" x14ac:dyDescent="0.3">
      <c r="J100380"/>
    </row>
    <row r="100381" spans="10:10" x14ac:dyDescent="0.3">
      <c r="J100381"/>
    </row>
    <row r="100382" spans="10:10" x14ac:dyDescent="0.3">
      <c r="J100382"/>
    </row>
    <row r="100383" spans="10:10" x14ac:dyDescent="0.3">
      <c r="J100383"/>
    </row>
    <row r="100384" spans="10:10" x14ac:dyDescent="0.3">
      <c r="J100384"/>
    </row>
    <row r="100385" spans="10:10" x14ac:dyDescent="0.3">
      <c r="J100385"/>
    </row>
    <row r="100386" spans="10:10" x14ac:dyDescent="0.3">
      <c r="J100386"/>
    </row>
    <row r="100387" spans="10:10" x14ac:dyDescent="0.3">
      <c r="J100387"/>
    </row>
    <row r="100388" spans="10:10" x14ac:dyDescent="0.3">
      <c r="J100388"/>
    </row>
    <row r="100389" spans="10:10" x14ac:dyDescent="0.3">
      <c r="J100389"/>
    </row>
    <row r="100390" spans="10:10" x14ac:dyDescent="0.3">
      <c r="J100390"/>
    </row>
    <row r="100391" spans="10:10" x14ac:dyDescent="0.3">
      <c r="J100391"/>
    </row>
    <row r="100392" spans="10:10" x14ac:dyDescent="0.3">
      <c r="J100392"/>
    </row>
    <row r="100393" spans="10:10" x14ac:dyDescent="0.3">
      <c r="J100393"/>
    </row>
    <row r="100394" spans="10:10" x14ac:dyDescent="0.3">
      <c r="J100394"/>
    </row>
    <row r="100395" spans="10:10" x14ac:dyDescent="0.3">
      <c r="J100395"/>
    </row>
    <row r="100396" spans="10:10" x14ac:dyDescent="0.3">
      <c r="J100396"/>
    </row>
    <row r="100397" spans="10:10" x14ac:dyDescent="0.3">
      <c r="J100397"/>
    </row>
    <row r="100398" spans="10:10" x14ac:dyDescent="0.3">
      <c r="J100398"/>
    </row>
    <row r="100399" spans="10:10" x14ac:dyDescent="0.3">
      <c r="J100399"/>
    </row>
    <row r="100400" spans="10:10" x14ac:dyDescent="0.3">
      <c r="J100400"/>
    </row>
    <row r="100401" spans="10:10" x14ac:dyDescent="0.3">
      <c r="J100401"/>
    </row>
    <row r="100402" spans="10:10" x14ac:dyDescent="0.3">
      <c r="J100402"/>
    </row>
    <row r="100403" spans="10:10" x14ac:dyDescent="0.3">
      <c r="J100403"/>
    </row>
    <row r="100404" spans="10:10" x14ac:dyDescent="0.3">
      <c r="J100404"/>
    </row>
    <row r="100405" spans="10:10" x14ac:dyDescent="0.3">
      <c r="J100405"/>
    </row>
    <row r="100406" spans="10:10" x14ac:dyDescent="0.3">
      <c r="J100406"/>
    </row>
    <row r="100407" spans="10:10" x14ac:dyDescent="0.3">
      <c r="J100407"/>
    </row>
    <row r="100408" spans="10:10" x14ac:dyDescent="0.3">
      <c r="J100408"/>
    </row>
    <row r="100409" spans="10:10" x14ac:dyDescent="0.3">
      <c r="J100409"/>
    </row>
    <row r="100410" spans="10:10" x14ac:dyDescent="0.3">
      <c r="J100410"/>
    </row>
    <row r="100411" spans="10:10" x14ac:dyDescent="0.3">
      <c r="J100411"/>
    </row>
    <row r="100412" spans="10:10" x14ac:dyDescent="0.3">
      <c r="J100412"/>
    </row>
    <row r="100413" spans="10:10" x14ac:dyDescent="0.3">
      <c r="J100413"/>
    </row>
    <row r="100414" spans="10:10" x14ac:dyDescent="0.3">
      <c r="J100414"/>
    </row>
    <row r="100415" spans="10:10" x14ac:dyDescent="0.3">
      <c r="J100415"/>
    </row>
    <row r="100416" spans="10:10" x14ac:dyDescent="0.3">
      <c r="J100416"/>
    </row>
    <row r="100417" spans="10:10" x14ac:dyDescent="0.3">
      <c r="J100417"/>
    </row>
    <row r="100418" spans="10:10" x14ac:dyDescent="0.3">
      <c r="J100418"/>
    </row>
    <row r="100419" spans="10:10" x14ac:dyDescent="0.3">
      <c r="J100419"/>
    </row>
    <row r="100420" spans="10:10" x14ac:dyDescent="0.3">
      <c r="J100420"/>
    </row>
    <row r="100421" spans="10:10" x14ac:dyDescent="0.3">
      <c r="J100421"/>
    </row>
    <row r="100422" spans="10:10" x14ac:dyDescent="0.3">
      <c r="J100422"/>
    </row>
    <row r="100423" spans="10:10" x14ac:dyDescent="0.3">
      <c r="J100423"/>
    </row>
    <row r="100424" spans="10:10" x14ac:dyDescent="0.3">
      <c r="J100424"/>
    </row>
    <row r="100425" spans="10:10" x14ac:dyDescent="0.3">
      <c r="J100425"/>
    </row>
    <row r="100426" spans="10:10" x14ac:dyDescent="0.3">
      <c r="J100426"/>
    </row>
    <row r="100427" spans="10:10" x14ac:dyDescent="0.3">
      <c r="J100427"/>
    </row>
    <row r="100428" spans="10:10" x14ac:dyDescent="0.3">
      <c r="J100428"/>
    </row>
    <row r="100429" spans="10:10" x14ac:dyDescent="0.3">
      <c r="J100429"/>
    </row>
    <row r="100430" spans="10:10" x14ac:dyDescent="0.3">
      <c r="J100430"/>
    </row>
    <row r="100431" spans="10:10" x14ac:dyDescent="0.3">
      <c r="J100431"/>
    </row>
    <row r="100432" spans="10:10" x14ac:dyDescent="0.3">
      <c r="J100432"/>
    </row>
    <row r="100433" spans="10:10" x14ac:dyDescent="0.3">
      <c r="J100433"/>
    </row>
    <row r="100434" spans="10:10" x14ac:dyDescent="0.3">
      <c r="J100434"/>
    </row>
    <row r="100435" spans="10:10" x14ac:dyDescent="0.3">
      <c r="J100435"/>
    </row>
    <row r="100436" spans="10:10" x14ac:dyDescent="0.3">
      <c r="J100436"/>
    </row>
    <row r="100437" spans="10:10" x14ac:dyDescent="0.3">
      <c r="J100437"/>
    </row>
    <row r="100438" spans="10:10" x14ac:dyDescent="0.3">
      <c r="J100438"/>
    </row>
    <row r="100439" spans="10:10" x14ac:dyDescent="0.3">
      <c r="J100439"/>
    </row>
    <row r="100440" spans="10:10" x14ac:dyDescent="0.3">
      <c r="J100440"/>
    </row>
    <row r="100441" spans="10:10" x14ac:dyDescent="0.3">
      <c r="J100441"/>
    </row>
    <row r="100442" spans="10:10" x14ac:dyDescent="0.3">
      <c r="J100442"/>
    </row>
    <row r="100443" spans="10:10" x14ac:dyDescent="0.3">
      <c r="J100443"/>
    </row>
    <row r="100444" spans="10:10" x14ac:dyDescent="0.3">
      <c r="J100444"/>
    </row>
    <row r="100445" spans="10:10" x14ac:dyDescent="0.3">
      <c r="J100445"/>
    </row>
    <row r="100446" spans="10:10" x14ac:dyDescent="0.3">
      <c r="J100446"/>
    </row>
    <row r="100447" spans="10:10" x14ac:dyDescent="0.3">
      <c r="J100447"/>
    </row>
    <row r="100448" spans="10:10" x14ac:dyDescent="0.3">
      <c r="J100448"/>
    </row>
    <row r="100449" spans="10:10" x14ac:dyDescent="0.3">
      <c r="J100449"/>
    </row>
    <row r="100450" spans="10:10" x14ac:dyDescent="0.3">
      <c r="J100450"/>
    </row>
    <row r="100451" spans="10:10" x14ac:dyDescent="0.3">
      <c r="J100451"/>
    </row>
    <row r="100452" spans="10:10" x14ac:dyDescent="0.3">
      <c r="J100452"/>
    </row>
    <row r="100453" spans="10:10" x14ac:dyDescent="0.3">
      <c r="J100453"/>
    </row>
    <row r="100454" spans="10:10" x14ac:dyDescent="0.3">
      <c r="J100454"/>
    </row>
    <row r="100455" spans="10:10" x14ac:dyDescent="0.3">
      <c r="J100455"/>
    </row>
    <row r="100456" spans="10:10" x14ac:dyDescent="0.3">
      <c r="J100456"/>
    </row>
    <row r="100457" spans="10:10" x14ac:dyDescent="0.3">
      <c r="J100457"/>
    </row>
    <row r="100458" spans="10:10" x14ac:dyDescent="0.3">
      <c r="J100458"/>
    </row>
    <row r="100459" spans="10:10" x14ac:dyDescent="0.3">
      <c r="J100459"/>
    </row>
    <row r="100460" spans="10:10" x14ac:dyDescent="0.3">
      <c r="J100460"/>
    </row>
    <row r="100461" spans="10:10" x14ac:dyDescent="0.3">
      <c r="J100461"/>
    </row>
    <row r="100462" spans="10:10" x14ac:dyDescent="0.3">
      <c r="J100462"/>
    </row>
    <row r="100463" spans="10:10" x14ac:dyDescent="0.3">
      <c r="J100463"/>
    </row>
    <row r="100464" spans="10:10" x14ac:dyDescent="0.3">
      <c r="J100464"/>
    </row>
    <row r="100465" spans="10:10" x14ac:dyDescent="0.3">
      <c r="J100465"/>
    </row>
    <row r="100466" spans="10:10" x14ac:dyDescent="0.3">
      <c r="J100466"/>
    </row>
    <row r="100467" spans="10:10" x14ac:dyDescent="0.3">
      <c r="J100467"/>
    </row>
    <row r="100468" spans="10:10" x14ac:dyDescent="0.3">
      <c r="J100468"/>
    </row>
    <row r="100469" spans="10:10" x14ac:dyDescent="0.3">
      <c r="J100469"/>
    </row>
    <row r="100470" spans="10:10" x14ac:dyDescent="0.3">
      <c r="J100470"/>
    </row>
    <row r="100471" spans="10:10" x14ac:dyDescent="0.3">
      <c r="J100471"/>
    </row>
    <row r="100472" spans="10:10" x14ac:dyDescent="0.3">
      <c r="J100472"/>
    </row>
    <row r="100473" spans="10:10" x14ac:dyDescent="0.3">
      <c r="J100473"/>
    </row>
    <row r="100474" spans="10:10" x14ac:dyDescent="0.3">
      <c r="J100474"/>
    </row>
    <row r="100475" spans="10:10" x14ac:dyDescent="0.3">
      <c r="J100475"/>
    </row>
    <row r="100476" spans="10:10" x14ac:dyDescent="0.3">
      <c r="J100476"/>
    </row>
    <row r="100477" spans="10:10" x14ac:dyDescent="0.3">
      <c r="J100477"/>
    </row>
    <row r="100478" spans="10:10" x14ac:dyDescent="0.3">
      <c r="J100478"/>
    </row>
    <row r="100479" spans="10:10" x14ac:dyDescent="0.3">
      <c r="J100479"/>
    </row>
    <row r="100480" spans="10:10" x14ac:dyDescent="0.3">
      <c r="J100480"/>
    </row>
    <row r="100481" spans="10:10" x14ac:dyDescent="0.3">
      <c r="J100481"/>
    </row>
    <row r="100482" spans="10:10" x14ac:dyDescent="0.3">
      <c r="J100482"/>
    </row>
    <row r="100483" spans="10:10" x14ac:dyDescent="0.3">
      <c r="J100483"/>
    </row>
    <row r="100484" spans="10:10" x14ac:dyDescent="0.3">
      <c r="J100484"/>
    </row>
    <row r="100485" spans="10:10" x14ac:dyDescent="0.3">
      <c r="J100485"/>
    </row>
    <row r="100486" spans="10:10" x14ac:dyDescent="0.3">
      <c r="J100486"/>
    </row>
    <row r="100487" spans="10:10" x14ac:dyDescent="0.3">
      <c r="J100487"/>
    </row>
    <row r="100488" spans="10:10" x14ac:dyDescent="0.3">
      <c r="J100488"/>
    </row>
    <row r="100489" spans="10:10" x14ac:dyDescent="0.3">
      <c r="J100489"/>
    </row>
    <row r="100490" spans="10:10" x14ac:dyDescent="0.3">
      <c r="J100490"/>
    </row>
    <row r="100491" spans="10:10" x14ac:dyDescent="0.3">
      <c r="J100491"/>
    </row>
    <row r="100492" spans="10:10" x14ac:dyDescent="0.3">
      <c r="J100492"/>
    </row>
    <row r="100493" spans="10:10" x14ac:dyDescent="0.3">
      <c r="J100493"/>
    </row>
    <row r="100494" spans="10:10" x14ac:dyDescent="0.3">
      <c r="J100494"/>
    </row>
    <row r="100495" spans="10:10" x14ac:dyDescent="0.3">
      <c r="J100495"/>
    </row>
    <row r="100496" spans="10:10" x14ac:dyDescent="0.3">
      <c r="J100496"/>
    </row>
    <row r="100497" spans="10:10" x14ac:dyDescent="0.3">
      <c r="J100497"/>
    </row>
    <row r="100498" spans="10:10" x14ac:dyDescent="0.3">
      <c r="J100498"/>
    </row>
    <row r="100499" spans="10:10" x14ac:dyDescent="0.3">
      <c r="J100499"/>
    </row>
    <row r="100500" spans="10:10" x14ac:dyDescent="0.3">
      <c r="J100500"/>
    </row>
    <row r="100501" spans="10:10" x14ac:dyDescent="0.3">
      <c r="J100501"/>
    </row>
    <row r="100502" spans="10:10" x14ac:dyDescent="0.3">
      <c r="J100502"/>
    </row>
    <row r="100503" spans="10:10" x14ac:dyDescent="0.3">
      <c r="J100503"/>
    </row>
    <row r="100504" spans="10:10" x14ac:dyDescent="0.3">
      <c r="J100504"/>
    </row>
    <row r="100505" spans="10:10" x14ac:dyDescent="0.3">
      <c r="J100505"/>
    </row>
    <row r="100506" spans="10:10" x14ac:dyDescent="0.3">
      <c r="J100506"/>
    </row>
    <row r="100507" spans="10:10" x14ac:dyDescent="0.3">
      <c r="J100507"/>
    </row>
    <row r="100508" spans="10:10" x14ac:dyDescent="0.3">
      <c r="J100508"/>
    </row>
    <row r="100509" spans="10:10" x14ac:dyDescent="0.3">
      <c r="J100509"/>
    </row>
    <row r="100510" spans="10:10" x14ac:dyDescent="0.3">
      <c r="J100510"/>
    </row>
    <row r="100511" spans="10:10" x14ac:dyDescent="0.3">
      <c r="J100511"/>
    </row>
    <row r="100512" spans="10:10" x14ac:dyDescent="0.3">
      <c r="J100512"/>
    </row>
    <row r="100513" spans="10:10" x14ac:dyDescent="0.3">
      <c r="J100513"/>
    </row>
    <row r="100514" spans="10:10" x14ac:dyDescent="0.3">
      <c r="J100514"/>
    </row>
    <row r="100515" spans="10:10" x14ac:dyDescent="0.3">
      <c r="J100515"/>
    </row>
    <row r="100516" spans="10:10" x14ac:dyDescent="0.3">
      <c r="J100516"/>
    </row>
    <row r="100517" spans="10:10" x14ac:dyDescent="0.3">
      <c r="J100517"/>
    </row>
    <row r="100518" spans="10:10" x14ac:dyDescent="0.3">
      <c r="J100518"/>
    </row>
    <row r="100519" spans="10:10" x14ac:dyDescent="0.3">
      <c r="J100519"/>
    </row>
    <row r="100520" spans="10:10" x14ac:dyDescent="0.3">
      <c r="J100520"/>
    </row>
    <row r="100521" spans="10:10" x14ac:dyDescent="0.3">
      <c r="J100521"/>
    </row>
    <row r="100522" spans="10:10" x14ac:dyDescent="0.3">
      <c r="J100522"/>
    </row>
    <row r="100523" spans="10:10" x14ac:dyDescent="0.3">
      <c r="J100523"/>
    </row>
    <row r="100524" spans="10:10" x14ac:dyDescent="0.3">
      <c r="J100524"/>
    </row>
    <row r="100525" spans="10:10" x14ac:dyDescent="0.3">
      <c r="J100525"/>
    </row>
    <row r="100526" spans="10:10" x14ac:dyDescent="0.3">
      <c r="J100526"/>
    </row>
    <row r="100527" spans="10:10" x14ac:dyDescent="0.3">
      <c r="J100527"/>
    </row>
    <row r="100528" spans="10:10" x14ac:dyDescent="0.3">
      <c r="J100528"/>
    </row>
    <row r="100529" spans="10:10" x14ac:dyDescent="0.3">
      <c r="J100529"/>
    </row>
    <row r="100530" spans="10:10" x14ac:dyDescent="0.3">
      <c r="J100530"/>
    </row>
    <row r="100531" spans="10:10" x14ac:dyDescent="0.3">
      <c r="J100531"/>
    </row>
    <row r="100532" spans="10:10" x14ac:dyDescent="0.3">
      <c r="J100532"/>
    </row>
    <row r="100533" spans="10:10" x14ac:dyDescent="0.3">
      <c r="J100533"/>
    </row>
    <row r="100534" spans="10:10" x14ac:dyDescent="0.3">
      <c r="J100534"/>
    </row>
    <row r="100535" spans="10:10" x14ac:dyDescent="0.3">
      <c r="J100535"/>
    </row>
    <row r="100536" spans="10:10" x14ac:dyDescent="0.3">
      <c r="J100536"/>
    </row>
    <row r="100537" spans="10:10" x14ac:dyDescent="0.3">
      <c r="J100537"/>
    </row>
    <row r="100538" spans="10:10" x14ac:dyDescent="0.3">
      <c r="J100538"/>
    </row>
    <row r="100539" spans="10:10" x14ac:dyDescent="0.3">
      <c r="J100539"/>
    </row>
    <row r="100540" spans="10:10" x14ac:dyDescent="0.3">
      <c r="J100540"/>
    </row>
    <row r="100541" spans="10:10" x14ac:dyDescent="0.3">
      <c r="J100541"/>
    </row>
    <row r="100542" spans="10:10" x14ac:dyDescent="0.3">
      <c r="J100542"/>
    </row>
    <row r="100543" spans="10:10" x14ac:dyDescent="0.3">
      <c r="J100543"/>
    </row>
    <row r="100544" spans="10:10" x14ac:dyDescent="0.3">
      <c r="J100544"/>
    </row>
    <row r="100545" spans="10:10" x14ac:dyDescent="0.3">
      <c r="J100545"/>
    </row>
    <row r="100546" spans="10:10" x14ac:dyDescent="0.3">
      <c r="J100546"/>
    </row>
    <row r="100547" spans="10:10" x14ac:dyDescent="0.3">
      <c r="J100547"/>
    </row>
    <row r="100548" spans="10:10" x14ac:dyDescent="0.3">
      <c r="J100548"/>
    </row>
    <row r="100549" spans="10:10" x14ac:dyDescent="0.3">
      <c r="J100549"/>
    </row>
    <row r="100550" spans="10:10" x14ac:dyDescent="0.3">
      <c r="J100550"/>
    </row>
    <row r="100551" spans="10:10" x14ac:dyDescent="0.3">
      <c r="J100551"/>
    </row>
    <row r="100552" spans="10:10" x14ac:dyDescent="0.3">
      <c r="J100552"/>
    </row>
    <row r="100553" spans="10:10" x14ac:dyDescent="0.3">
      <c r="J100553"/>
    </row>
    <row r="100554" spans="10:10" x14ac:dyDescent="0.3">
      <c r="J100554"/>
    </row>
    <row r="100555" spans="10:10" x14ac:dyDescent="0.3">
      <c r="J100555"/>
    </row>
    <row r="100556" spans="10:10" x14ac:dyDescent="0.3">
      <c r="J100556"/>
    </row>
    <row r="100557" spans="10:10" x14ac:dyDescent="0.3">
      <c r="J100557"/>
    </row>
    <row r="100558" spans="10:10" x14ac:dyDescent="0.3">
      <c r="J100558"/>
    </row>
    <row r="100559" spans="10:10" x14ac:dyDescent="0.3">
      <c r="J100559"/>
    </row>
    <row r="100560" spans="10:10" x14ac:dyDescent="0.3">
      <c r="J100560"/>
    </row>
    <row r="100561" spans="10:10" x14ac:dyDescent="0.3">
      <c r="J100561"/>
    </row>
    <row r="100562" spans="10:10" x14ac:dyDescent="0.3">
      <c r="J100562"/>
    </row>
    <row r="100563" spans="10:10" x14ac:dyDescent="0.3">
      <c r="J100563"/>
    </row>
    <row r="100564" spans="10:10" x14ac:dyDescent="0.3">
      <c r="J100564"/>
    </row>
    <row r="100565" spans="10:10" x14ac:dyDescent="0.3">
      <c r="J100565"/>
    </row>
    <row r="100566" spans="10:10" x14ac:dyDescent="0.3">
      <c r="J100566"/>
    </row>
    <row r="100567" spans="10:10" x14ac:dyDescent="0.3">
      <c r="J100567"/>
    </row>
    <row r="100568" spans="10:10" x14ac:dyDescent="0.3">
      <c r="J100568"/>
    </row>
    <row r="100569" spans="10:10" x14ac:dyDescent="0.3">
      <c r="J100569"/>
    </row>
    <row r="100570" spans="10:10" x14ac:dyDescent="0.3">
      <c r="J100570"/>
    </row>
    <row r="100571" spans="10:10" x14ac:dyDescent="0.3">
      <c r="J100571"/>
    </row>
    <row r="100572" spans="10:10" x14ac:dyDescent="0.3">
      <c r="J100572"/>
    </row>
    <row r="100573" spans="10:10" x14ac:dyDescent="0.3">
      <c r="J100573"/>
    </row>
    <row r="100574" spans="10:10" x14ac:dyDescent="0.3">
      <c r="J100574"/>
    </row>
    <row r="100575" spans="10:10" x14ac:dyDescent="0.3">
      <c r="J100575"/>
    </row>
    <row r="100576" spans="10:10" x14ac:dyDescent="0.3">
      <c r="J100576"/>
    </row>
    <row r="100577" spans="10:10" x14ac:dyDescent="0.3">
      <c r="J100577"/>
    </row>
    <row r="100578" spans="10:10" x14ac:dyDescent="0.3">
      <c r="J100578"/>
    </row>
    <row r="100579" spans="10:10" x14ac:dyDescent="0.3">
      <c r="J100579"/>
    </row>
    <row r="100580" spans="10:10" x14ac:dyDescent="0.3">
      <c r="J100580"/>
    </row>
    <row r="100581" spans="10:10" x14ac:dyDescent="0.3">
      <c r="J100581"/>
    </row>
    <row r="100582" spans="10:10" x14ac:dyDescent="0.3">
      <c r="J100582"/>
    </row>
    <row r="100583" spans="10:10" x14ac:dyDescent="0.3">
      <c r="J100583"/>
    </row>
    <row r="100584" spans="10:10" x14ac:dyDescent="0.3">
      <c r="J100584"/>
    </row>
    <row r="100585" spans="10:10" x14ac:dyDescent="0.3">
      <c r="J100585"/>
    </row>
    <row r="100586" spans="10:10" x14ac:dyDescent="0.3">
      <c r="J100586"/>
    </row>
    <row r="100587" spans="10:10" x14ac:dyDescent="0.3">
      <c r="J100587"/>
    </row>
    <row r="100588" spans="10:10" x14ac:dyDescent="0.3">
      <c r="J100588"/>
    </row>
    <row r="100589" spans="10:10" x14ac:dyDescent="0.3">
      <c r="J100589"/>
    </row>
    <row r="100590" spans="10:10" x14ac:dyDescent="0.3">
      <c r="J100590"/>
    </row>
    <row r="100591" spans="10:10" x14ac:dyDescent="0.3">
      <c r="J100591"/>
    </row>
    <row r="100592" spans="10:10" x14ac:dyDescent="0.3">
      <c r="J100592"/>
    </row>
    <row r="100593" spans="10:10" x14ac:dyDescent="0.3">
      <c r="J100593"/>
    </row>
    <row r="100594" spans="10:10" x14ac:dyDescent="0.3">
      <c r="J100594"/>
    </row>
    <row r="100595" spans="10:10" x14ac:dyDescent="0.3">
      <c r="J100595"/>
    </row>
    <row r="100596" spans="10:10" x14ac:dyDescent="0.3">
      <c r="J100596"/>
    </row>
    <row r="100597" spans="10:10" x14ac:dyDescent="0.3">
      <c r="J100597"/>
    </row>
    <row r="100598" spans="10:10" x14ac:dyDescent="0.3">
      <c r="J100598"/>
    </row>
    <row r="100599" spans="10:10" x14ac:dyDescent="0.3">
      <c r="J100599"/>
    </row>
    <row r="100600" spans="10:10" x14ac:dyDescent="0.3">
      <c r="J100600"/>
    </row>
    <row r="100601" spans="10:10" x14ac:dyDescent="0.3">
      <c r="J100601"/>
    </row>
    <row r="100602" spans="10:10" x14ac:dyDescent="0.3">
      <c r="J100602"/>
    </row>
    <row r="100603" spans="10:10" x14ac:dyDescent="0.3">
      <c r="J100603"/>
    </row>
    <row r="100604" spans="10:10" x14ac:dyDescent="0.3">
      <c r="J100604"/>
    </row>
    <row r="100605" spans="10:10" x14ac:dyDescent="0.3">
      <c r="J100605"/>
    </row>
    <row r="100606" spans="10:10" x14ac:dyDescent="0.3">
      <c r="J100606"/>
    </row>
    <row r="100607" spans="10:10" x14ac:dyDescent="0.3">
      <c r="J100607"/>
    </row>
    <row r="100608" spans="10:10" x14ac:dyDescent="0.3">
      <c r="J100608"/>
    </row>
    <row r="100609" spans="10:10" x14ac:dyDescent="0.3">
      <c r="J100609"/>
    </row>
    <row r="100610" spans="10:10" x14ac:dyDescent="0.3">
      <c r="J100610"/>
    </row>
    <row r="100611" spans="10:10" x14ac:dyDescent="0.3">
      <c r="J100611"/>
    </row>
    <row r="100612" spans="10:10" x14ac:dyDescent="0.3">
      <c r="J100612"/>
    </row>
    <row r="100613" spans="10:10" x14ac:dyDescent="0.3">
      <c r="J100613"/>
    </row>
    <row r="100614" spans="10:10" x14ac:dyDescent="0.3">
      <c r="J100614"/>
    </row>
    <row r="100615" spans="10:10" x14ac:dyDescent="0.3">
      <c r="J100615"/>
    </row>
    <row r="100616" spans="10:10" x14ac:dyDescent="0.3">
      <c r="J100616"/>
    </row>
    <row r="100617" spans="10:10" x14ac:dyDescent="0.3">
      <c r="J100617"/>
    </row>
    <row r="100618" spans="10:10" x14ac:dyDescent="0.3">
      <c r="J100618"/>
    </row>
    <row r="100619" spans="10:10" x14ac:dyDescent="0.3">
      <c r="J100619"/>
    </row>
    <row r="100620" spans="10:10" x14ac:dyDescent="0.3">
      <c r="J100620"/>
    </row>
    <row r="100621" spans="10:10" x14ac:dyDescent="0.3">
      <c r="J100621"/>
    </row>
    <row r="100622" spans="10:10" x14ac:dyDescent="0.3">
      <c r="J100622"/>
    </row>
    <row r="100623" spans="10:10" x14ac:dyDescent="0.3">
      <c r="J100623"/>
    </row>
    <row r="100624" spans="10:10" x14ac:dyDescent="0.3">
      <c r="J100624"/>
    </row>
    <row r="100625" spans="10:10" x14ac:dyDescent="0.3">
      <c r="J100625"/>
    </row>
    <row r="100626" spans="10:10" x14ac:dyDescent="0.3">
      <c r="J100626"/>
    </row>
    <row r="100627" spans="10:10" x14ac:dyDescent="0.3">
      <c r="J100627"/>
    </row>
    <row r="100628" spans="10:10" x14ac:dyDescent="0.3">
      <c r="J100628"/>
    </row>
    <row r="100629" spans="10:10" x14ac:dyDescent="0.3">
      <c r="J100629"/>
    </row>
    <row r="100630" spans="10:10" x14ac:dyDescent="0.3">
      <c r="J100630"/>
    </row>
    <row r="100631" spans="10:10" x14ac:dyDescent="0.3">
      <c r="J100631"/>
    </row>
    <row r="100632" spans="10:10" x14ac:dyDescent="0.3">
      <c r="J100632"/>
    </row>
    <row r="100633" spans="10:10" x14ac:dyDescent="0.3">
      <c r="J100633"/>
    </row>
    <row r="100634" spans="10:10" x14ac:dyDescent="0.3">
      <c r="J100634"/>
    </row>
    <row r="100635" spans="10:10" x14ac:dyDescent="0.3">
      <c r="J100635"/>
    </row>
    <row r="100636" spans="10:10" x14ac:dyDescent="0.3">
      <c r="J100636"/>
    </row>
    <row r="100637" spans="10:10" x14ac:dyDescent="0.3">
      <c r="J100637"/>
    </row>
    <row r="100638" spans="10:10" x14ac:dyDescent="0.3">
      <c r="J100638"/>
    </row>
    <row r="100639" spans="10:10" x14ac:dyDescent="0.3">
      <c r="J100639"/>
    </row>
    <row r="100640" spans="10:10" x14ac:dyDescent="0.3">
      <c r="J100640"/>
    </row>
    <row r="100641" spans="10:10" x14ac:dyDescent="0.3">
      <c r="J100641"/>
    </row>
    <row r="100642" spans="10:10" x14ac:dyDescent="0.3">
      <c r="J100642"/>
    </row>
    <row r="100643" spans="10:10" x14ac:dyDescent="0.3">
      <c r="J100643"/>
    </row>
    <row r="100644" spans="10:10" x14ac:dyDescent="0.3">
      <c r="J100644"/>
    </row>
    <row r="100645" spans="10:10" x14ac:dyDescent="0.3">
      <c r="J100645"/>
    </row>
    <row r="100646" spans="10:10" x14ac:dyDescent="0.3">
      <c r="J100646"/>
    </row>
    <row r="100647" spans="10:10" x14ac:dyDescent="0.3">
      <c r="J100647"/>
    </row>
    <row r="100648" spans="10:10" x14ac:dyDescent="0.3">
      <c r="J100648"/>
    </row>
    <row r="100649" spans="10:10" x14ac:dyDescent="0.3">
      <c r="J100649"/>
    </row>
    <row r="100650" spans="10:10" x14ac:dyDescent="0.3">
      <c r="J100650"/>
    </row>
    <row r="100651" spans="10:10" x14ac:dyDescent="0.3">
      <c r="J100651"/>
    </row>
    <row r="100652" spans="10:10" x14ac:dyDescent="0.3">
      <c r="J100652"/>
    </row>
    <row r="100653" spans="10:10" x14ac:dyDescent="0.3">
      <c r="J100653"/>
    </row>
    <row r="100654" spans="10:10" x14ac:dyDescent="0.3">
      <c r="J100654"/>
    </row>
    <row r="100655" spans="10:10" x14ac:dyDescent="0.3">
      <c r="J100655"/>
    </row>
    <row r="100656" spans="10:10" x14ac:dyDescent="0.3">
      <c r="J100656"/>
    </row>
    <row r="100657" spans="10:10" x14ac:dyDescent="0.3">
      <c r="J100657"/>
    </row>
    <row r="100658" spans="10:10" x14ac:dyDescent="0.3">
      <c r="J100658"/>
    </row>
    <row r="100659" spans="10:10" x14ac:dyDescent="0.3">
      <c r="J100659"/>
    </row>
    <row r="100660" spans="10:10" x14ac:dyDescent="0.3">
      <c r="J100660"/>
    </row>
    <row r="100661" spans="10:10" x14ac:dyDescent="0.3">
      <c r="J100661"/>
    </row>
    <row r="100662" spans="10:10" x14ac:dyDescent="0.3">
      <c r="J100662"/>
    </row>
    <row r="100663" spans="10:10" x14ac:dyDescent="0.3">
      <c r="J100663"/>
    </row>
    <row r="100664" spans="10:10" x14ac:dyDescent="0.3">
      <c r="J100664"/>
    </row>
    <row r="100665" spans="10:10" x14ac:dyDescent="0.3">
      <c r="J100665"/>
    </row>
    <row r="100666" spans="10:10" x14ac:dyDescent="0.3">
      <c r="J100666"/>
    </row>
    <row r="100667" spans="10:10" x14ac:dyDescent="0.3">
      <c r="J100667"/>
    </row>
    <row r="100668" spans="10:10" x14ac:dyDescent="0.3">
      <c r="J100668"/>
    </row>
    <row r="100669" spans="10:10" x14ac:dyDescent="0.3">
      <c r="J100669"/>
    </row>
    <row r="100670" spans="10:10" x14ac:dyDescent="0.3">
      <c r="J100670"/>
    </row>
    <row r="100671" spans="10:10" x14ac:dyDescent="0.3">
      <c r="J100671"/>
    </row>
    <row r="100672" spans="10:10" x14ac:dyDescent="0.3">
      <c r="J100672"/>
    </row>
    <row r="100673" spans="10:10" x14ac:dyDescent="0.3">
      <c r="J100673"/>
    </row>
    <row r="100674" spans="10:10" x14ac:dyDescent="0.3">
      <c r="J100674"/>
    </row>
    <row r="100675" spans="10:10" x14ac:dyDescent="0.3">
      <c r="J100675"/>
    </row>
    <row r="100676" spans="10:10" x14ac:dyDescent="0.3">
      <c r="J100676"/>
    </row>
    <row r="100677" spans="10:10" x14ac:dyDescent="0.3">
      <c r="J100677"/>
    </row>
    <row r="100678" spans="10:10" x14ac:dyDescent="0.3">
      <c r="J100678"/>
    </row>
    <row r="100679" spans="10:10" x14ac:dyDescent="0.3">
      <c r="J100679"/>
    </row>
    <row r="100680" spans="10:10" x14ac:dyDescent="0.3">
      <c r="J100680"/>
    </row>
    <row r="100681" spans="10:10" x14ac:dyDescent="0.3">
      <c r="J100681"/>
    </row>
    <row r="100682" spans="10:10" x14ac:dyDescent="0.3">
      <c r="J100682"/>
    </row>
    <row r="100683" spans="10:10" x14ac:dyDescent="0.3">
      <c r="J100683"/>
    </row>
    <row r="100684" spans="10:10" x14ac:dyDescent="0.3">
      <c r="J100684"/>
    </row>
    <row r="100685" spans="10:10" x14ac:dyDescent="0.3">
      <c r="J100685"/>
    </row>
    <row r="100686" spans="10:10" x14ac:dyDescent="0.3">
      <c r="J100686"/>
    </row>
    <row r="100687" spans="10:10" x14ac:dyDescent="0.3">
      <c r="J100687"/>
    </row>
    <row r="100688" spans="10:10" x14ac:dyDescent="0.3">
      <c r="J100688"/>
    </row>
    <row r="100689" spans="10:10" x14ac:dyDescent="0.3">
      <c r="J100689"/>
    </row>
    <row r="100690" spans="10:10" x14ac:dyDescent="0.3">
      <c r="J100690"/>
    </row>
    <row r="100691" spans="10:10" x14ac:dyDescent="0.3">
      <c r="J100691"/>
    </row>
    <row r="100692" spans="10:10" x14ac:dyDescent="0.3">
      <c r="J100692"/>
    </row>
    <row r="100693" spans="10:10" x14ac:dyDescent="0.3">
      <c r="J100693"/>
    </row>
    <row r="100694" spans="10:10" x14ac:dyDescent="0.3">
      <c r="J100694"/>
    </row>
    <row r="100695" spans="10:10" x14ac:dyDescent="0.3">
      <c r="J100695"/>
    </row>
    <row r="100696" spans="10:10" x14ac:dyDescent="0.3">
      <c r="J100696"/>
    </row>
    <row r="100697" spans="10:10" x14ac:dyDescent="0.3">
      <c r="J100697"/>
    </row>
    <row r="100698" spans="10:10" x14ac:dyDescent="0.3">
      <c r="J100698"/>
    </row>
    <row r="100699" spans="10:10" x14ac:dyDescent="0.3">
      <c r="J100699"/>
    </row>
    <row r="100700" spans="10:10" x14ac:dyDescent="0.3">
      <c r="J100700"/>
    </row>
    <row r="100701" spans="10:10" x14ac:dyDescent="0.3">
      <c r="J100701"/>
    </row>
    <row r="100702" spans="10:10" x14ac:dyDescent="0.3">
      <c r="J100702"/>
    </row>
    <row r="100703" spans="10:10" x14ac:dyDescent="0.3">
      <c r="J100703"/>
    </row>
    <row r="100704" spans="10:10" x14ac:dyDescent="0.3">
      <c r="J100704"/>
    </row>
    <row r="100705" spans="10:10" x14ac:dyDescent="0.3">
      <c r="J100705"/>
    </row>
    <row r="100706" spans="10:10" x14ac:dyDescent="0.3">
      <c r="J100706"/>
    </row>
    <row r="100707" spans="10:10" x14ac:dyDescent="0.3">
      <c r="J100707"/>
    </row>
    <row r="100708" spans="10:10" x14ac:dyDescent="0.3">
      <c r="J100708"/>
    </row>
    <row r="100709" spans="10:10" x14ac:dyDescent="0.3">
      <c r="J100709"/>
    </row>
    <row r="100710" spans="10:10" x14ac:dyDescent="0.3">
      <c r="J100710"/>
    </row>
    <row r="100711" spans="10:10" x14ac:dyDescent="0.3">
      <c r="J100711"/>
    </row>
    <row r="100712" spans="10:10" x14ac:dyDescent="0.3">
      <c r="J100712"/>
    </row>
    <row r="100713" spans="10:10" x14ac:dyDescent="0.3">
      <c r="J100713"/>
    </row>
    <row r="100714" spans="10:10" x14ac:dyDescent="0.3">
      <c r="J100714"/>
    </row>
    <row r="100715" spans="10:10" x14ac:dyDescent="0.3">
      <c r="J100715"/>
    </row>
    <row r="100716" spans="10:10" x14ac:dyDescent="0.3">
      <c r="J100716"/>
    </row>
    <row r="100717" spans="10:10" x14ac:dyDescent="0.3">
      <c r="J100717"/>
    </row>
    <row r="100718" spans="10:10" x14ac:dyDescent="0.3">
      <c r="J100718"/>
    </row>
    <row r="100719" spans="10:10" x14ac:dyDescent="0.3">
      <c r="J100719"/>
    </row>
    <row r="100720" spans="10:10" x14ac:dyDescent="0.3">
      <c r="J100720"/>
    </row>
    <row r="100721" spans="10:10" x14ac:dyDescent="0.3">
      <c r="J100721"/>
    </row>
    <row r="100722" spans="10:10" x14ac:dyDescent="0.3">
      <c r="J100722"/>
    </row>
    <row r="100723" spans="10:10" x14ac:dyDescent="0.3">
      <c r="J100723"/>
    </row>
    <row r="100724" spans="10:10" x14ac:dyDescent="0.3">
      <c r="J100724"/>
    </row>
    <row r="100725" spans="10:10" x14ac:dyDescent="0.3">
      <c r="J100725"/>
    </row>
    <row r="100726" spans="10:10" x14ac:dyDescent="0.3">
      <c r="J100726"/>
    </row>
    <row r="100727" spans="10:10" x14ac:dyDescent="0.3">
      <c r="J100727"/>
    </row>
    <row r="100728" spans="10:10" x14ac:dyDescent="0.3">
      <c r="J100728"/>
    </row>
    <row r="100729" spans="10:10" x14ac:dyDescent="0.3">
      <c r="J100729"/>
    </row>
    <row r="100730" spans="10:10" x14ac:dyDescent="0.3">
      <c r="J100730"/>
    </row>
    <row r="100731" spans="10:10" x14ac:dyDescent="0.3">
      <c r="J100731"/>
    </row>
    <row r="100732" spans="10:10" x14ac:dyDescent="0.3">
      <c r="J100732"/>
    </row>
    <row r="100733" spans="10:10" x14ac:dyDescent="0.3">
      <c r="J100733"/>
    </row>
    <row r="100734" spans="10:10" x14ac:dyDescent="0.3">
      <c r="J100734"/>
    </row>
    <row r="100735" spans="10:10" x14ac:dyDescent="0.3">
      <c r="J100735"/>
    </row>
    <row r="100736" spans="10:10" x14ac:dyDescent="0.3">
      <c r="J100736"/>
    </row>
    <row r="100737" spans="10:10" x14ac:dyDescent="0.3">
      <c r="J100737"/>
    </row>
    <row r="100738" spans="10:10" x14ac:dyDescent="0.3">
      <c r="J100738"/>
    </row>
    <row r="100739" spans="10:10" x14ac:dyDescent="0.3">
      <c r="J100739"/>
    </row>
    <row r="100740" spans="10:10" x14ac:dyDescent="0.3">
      <c r="J100740"/>
    </row>
    <row r="100741" spans="10:10" x14ac:dyDescent="0.3">
      <c r="J100741"/>
    </row>
    <row r="100742" spans="10:10" x14ac:dyDescent="0.3">
      <c r="J100742"/>
    </row>
    <row r="100743" spans="10:10" x14ac:dyDescent="0.3">
      <c r="J100743"/>
    </row>
    <row r="100744" spans="10:10" x14ac:dyDescent="0.3">
      <c r="J100744"/>
    </row>
    <row r="100745" spans="10:10" x14ac:dyDescent="0.3">
      <c r="J100745"/>
    </row>
    <row r="100746" spans="10:10" x14ac:dyDescent="0.3">
      <c r="J100746"/>
    </row>
    <row r="100747" spans="10:10" x14ac:dyDescent="0.3">
      <c r="J100747"/>
    </row>
    <row r="100748" spans="10:10" x14ac:dyDescent="0.3">
      <c r="J100748"/>
    </row>
    <row r="100749" spans="10:10" x14ac:dyDescent="0.3">
      <c r="J100749"/>
    </row>
    <row r="100750" spans="10:10" x14ac:dyDescent="0.3">
      <c r="J100750"/>
    </row>
    <row r="100751" spans="10:10" x14ac:dyDescent="0.3">
      <c r="J100751"/>
    </row>
    <row r="100752" spans="10:10" x14ac:dyDescent="0.3">
      <c r="J100752"/>
    </row>
    <row r="100753" spans="10:10" x14ac:dyDescent="0.3">
      <c r="J100753"/>
    </row>
    <row r="100754" spans="10:10" x14ac:dyDescent="0.3">
      <c r="J100754"/>
    </row>
    <row r="100755" spans="10:10" x14ac:dyDescent="0.3">
      <c r="J100755"/>
    </row>
    <row r="100756" spans="10:10" x14ac:dyDescent="0.3">
      <c r="J100756"/>
    </row>
    <row r="100757" spans="10:10" x14ac:dyDescent="0.3">
      <c r="J100757"/>
    </row>
    <row r="100758" spans="10:10" x14ac:dyDescent="0.3">
      <c r="J100758"/>
    </row>
    <row r="100759" spans="10:10" x14ac:dyDescent="0.3">
      <c r="J100759"/>
    </row>
    <row r="100760" spans="10:10" x14ac:dyDescent="0.3">
      <c r="J100760"/>
    </row>
    <row r="100761" spans="10:10" x14ac:dyDescent="0.3">
      <c r="J100761"/>
    </row>
    <row r="100762" spans="10:10" x14ac:dyDescent="0.3">
      <c r="J100762"/>
    </row>
    <row r="100763" spans="10:10" x14ac:dyDescent="0.3">
      <c r="J100763"/>
    </row>
    <row r="100764" spans="10:10" x14ac:dyDescent="0.3">
      <c r="J100764"/>
    </row>
    <row r="100765" spans="10:10" x14ac:dyDescent="0.3">
      <c r="J100765"/>
    </row>
    <row r="100766" spans="10:10" x14ac:dyDescent="0.3">
      <c r="J100766"/>
    </row>
    <row r="100767" spans="10:10" x14ac:dyDescent="0.3">
      <c r="J100767"/>
    </row>
    <row r="100768" spans="10:10" x14ac:dyDescent="0.3">
      <c r="J100768"/>
    </row>
    <row r="100769" spans="10:10" x14ac:dyDescent="0.3">
      <c r="J100769"/>
    </row>
    <row r="100770" spans="10:10" x14ac:dyDescent="0.3">
      <c r="J100770"/>
    </row>
    <row r="100771" spans="10:10" x14ac:dyDescent="0.3">
      <c r="J100771"/>
    </row>
    <row r="100772" spans="10:10" x14ac:dyDescent="0.3">
      <c r="J100772"/>
    </row>
    <row r="100773" spans="10:10" x14ac:dyDescent="0.3">
      <c r="J100773"/>
    </row>
    <row r="100774" spans="10:10" x14ac:dyDescent="0.3">
      <c r="J100774"/>
    </row>
    <row r="100775" spans="10:10" x14ac:dyDescent="0.3">
      <c r="J100775"/>
    </row>
    <row r="100776" spans="10:10" x14ac:dyDescent="0.3">
      <c r="J100776"/>
    </row>
    <row r="100777" spans="10:10" x14ac:dyDescent="0.3">
      <c r="J100777"/>
    </row>
    <row r="100778" spans="10:10" x14ac:dyDescent="0.3">
      <c r="J100778"/>
    </row>
    <row r="100779" spans="10:10" x14ac:dyDescent="0.3">
      <c r="J100779"/>
    </row>
    <row r="100780" spans="10:10" x14ac:dyDescent="0.3">
      <c r="J100780"/>
    </row>
    <row r="100781" spans="10:10" x14ac:dyDescent="0.3">
      <c r="J100781"/>
    </row>
    <row r="100782" spans="10:10" x14ac:dyDescent="0.3">
      <c r="J100782"/>
    </row>
    <row r="100783" spans="10:10" x14ac:dyDescent="0.3">
      <c r="J100783"/>
    </row>
    <row r="100784" spans="10:10" x14ac:dyDescent="0.3">
      <c r="J100784"/>
    </row>
    <row r="100785" spans="10:10" x14ac:dyDescent="0.3">
      <c r="J100785"/>
    </row>
    <row r="100786" spans="10:10" x14ac:dyDescent="0.3">
      <c r="J100786"/>
    </row>
    <row r="100787" spans="10:10" x14ac:dyDescent="0.3">
      <c r="J100787"/>
    </row>
    <row r="100788" spans="10:10" x14ac:dyDescent="0.3">
      <c r="J100788"/>
    </row>
    <row r="100789" spans="10:10" x14ac:dyDescent="0.3">
      <c r="J100789"/>
    </row>
    <row r="100790" spans="10:10" x14ac:dyDescent="0.3">
      <c r="J100790"/>
    </row>
    <row r="100791" spans="10:10" x14ac:dyDescent="0.3">
      <c r="J100791"/>
    </row>
    <row r="100792" spans="10:10" x14ac:dyDescent="0.3">
      <c r="J100792"/>
    </row>
    <row r="100793" spans="10:10" x14ac:dyDescent="0.3">
      <c r="J100793"/>
    </row>
    <row r="100794" spans="10:10" x14ac:dyDescent="0.3">
      <c r="J100794"/>
    </row>
    <row r="100795" spans="10:10" x14ac:dyDescent="0.3">
      <c r="J100795"/>
    </row>
    <row r="100796" spans="10:10" x14ac:dyDescent="0.3">
      <c r="J100796"/>
    </row>
    <row r="100797" spans="10:10" x14ac:dyDescent="0.3">
      <c r="J100797"/>
    </row>
    <row r="100798" spans="10:10" x14ac:dyDescent="0.3">
      <c r="J100798"/>
    </row>
    <row r="100799" spans="10:10" x14ac:dyDescent="0.3">
      <c r="J100799"/>
    </row>
    <row r="100800" spans="10:10" x14ac:dyDescent="0.3">
      <c r="J100800"/>
    </row>
    <row r="100801" spans="10:10" x14ac:dyDescent="0.3">
      <c r="J100801"/>
    </row>
    <row r="100802" spans="10:10" x14ac:dyDescent="0.3">
      <c r="J100802"/>
    </row>
    <row r="100803" spans="10:10" x14ac:dyDescent="0.3">
      <c r="J100803"/>
    </row>
    <row r="100804" spans="10:10" x14ac:dyDescent="0.3">
      <c r="J100804"/>
    </row>
    <row r="100805" spans="10:10" x14ac:dyDescent="0.3">
      <c r="J100805"/>
    </row>
    <row r="100806" spans="10:10" x14ac:dyDescent="0.3">
      <c r="J100806"/>
    </row>
    <row r="100807" spans="10:10" x14ac:dyDescent="0.3">
      <c r="J100807"/>
    </row>
    <row r="100808" spans="10:10" x14ac:dyDescent="0.3">
      <c r="J100808"/>
    </row>
    <row r="100809" spans="10:10" x14ac:dyDescent="0.3">
      <c r="J100809"/>
    </row>
    <row r="100810" spans="10:10" x14ac:dyDescent="0.3">
      <c r="J100810"/>
    </row>
    <row r="100811" spans="10:10" x14ac:dyDescent="0.3">
      <c r="J100811"/>
    </row>
    <row r="100812" spans="10:10" x14ac:dyDescent="0.3">
      <c r="J100812"/>
    </row>
    <row r="100813" spans="10:10" x14ac:dyDescent="0.3">
      <c r="J100813"/>
    </row>
    <row r="100814" spans="10:10" x14ac:dyDescent="0.3">
      <c r="J100814"/>
    </row>
    <row r="100815" spans="10:10" x14ac:dyDescent="0.3">
      <c r="J100815"/>
    </row>
    <row r="100816" spans="10:10" x14ac:dyDescent="0.3">
      <c r="J100816"/>
    </row>
    <row r="100817" spans="10:10" x14ac:dyDescent="0.3">
      <c r="J100817"/>
    </row>
    <row r="100818" spans="10:10" x14ac:dyDescent="0.3">
      <c r="J100818"/>
    </row>
    <row r="100819" spans="10:10" x14ac:dyDescent="0.3">
      <c r="J100819"/>
    </row>
    <row r="100820" spans="10:10" x14ac:dyDescent="0.3">
      <c r="J100820"/>
    </row>
    <row r="100821" spans="10:10" x14ac:dyDescent="0.3">
      <c r="J100821"/>
    </row>
    <row r="100822" spans="10:10" x14ac:dyDescent="0.3">
      <c r="J100822"/>
    </row>
    <row r="100823" spans="10:10" x14ac:dyDescent="0.3">
      <c r="J100823"/>
    </row>
    <row r="100824" spans="10:10" x14ac:dyDescent="0.3">
      <c r="J100824"/>
    </row>
    <row r="100825" spans="10:10" x14ac:dyDescent="0.3">
      <c r="J100825"/>
    </row>
    <row r="100826" spans="10:10" x14ac:dyDescent="0.3">
      <c r="J100826"/>
    </row>
    <row r="100827" spans="10:10" x14ac:dyDescent="0.3">
      <c r="J100827"/>
    </row>
    <row r="100828" spans="10:10" x14ac:dyDescent="0.3">
      <c r="J100828"/>
    </row>
    <row r="100829" spans="10:10" x14ac:dyDescent="0.3">
      <c r="J100829"/>
    </row>
    <row r="100830" spans="10:10" x14ac:dyDescent="0.3">
      <c r="J100830"/>
    </row>
    <row r="100831" spans="10:10" x14ac:dyDescent="0.3">
      <c r="J100831"/>
    </row>
    <row r="100832" spans="10:10" x14ac:dyDescent="0.3">
      <c r="J100832"/>
    </row>
    <row r="100833" spans="10:10" x14ac:dyDescent="0.3">
      <c r="J100833"/>
    </row>
    <row r="100834" spans="10:10" x14ac:dyDescent="0.3">
      <c r="J100834"/>
    </row>
    <row r="100835" spans="10:10" x14ac:dyDescent="0.3">
      <c r="J100835"/>
    </row>
    <row r="100836" spans="10:10" x14ac:dyDescent="0.3">
      <c r="J100836"/>
    </row>
    <row r="100837" spans="10:10" x14ac:dyDescent="0.3">
      <c r="J100837"/>
    </row>
    <row r="100838" spans="10:10" x14ac:dyDescent="0.3">
      <c r="J100838"/>
    </row>
    <row r="100839" spans="10:10" x14ac:dyDescent="0.3">
      <c r="J100839"/>
    </row>
    <row r="100840" spans="10:10" x14ac:dyDescent="0.3">
      <c r="J100840"/>
    </row>
    <row r="100841" spans="10:10" x14ac:dyDescent="0.3">
      <c r="J100841"/>
    </row>
    <row r="100842" spans="10:10" x14ac:dyDescent="0.3">
      <c r="J100842"/>
    </row>
    <row r="100843" spans="10:10" x14ac:dyDescent="0.3">
      <c r="J100843"/>
    </row>
    <row r="100844" spans="10:10" x14ac:dyDescent="0.3">
      <c r="J100844"/>
    </row>
    <row r="100845" spans="10:10" x14ac:dyDescent="0.3">
      <c r="J100845"/>
    </row>
    <row r="100846" spans="10:10" x14ac:dyDescent="0.3">
      <c r="J100846"/>
    </row>
    <row r="100847" spans="10:10" x14ac:dyDescent="0.3">
      <c r="J100847"/>
    </row>
    <row r="100848" spans="10:10" x14ac:dyDescent="0.3">
      <c r="J100848"/>
    </row>
    <row r="100849" spans="10:10" x14ac:dyDescent="0.3">
      <c r="J100849"/>
    </row>
    <row r="100850" spans="10:10" x14ac:dyDescent="0.3">
      <c r="J100850"/>
    </row>
    <row r="100851" spans="10:10" x14ac:dyDescent="0.3">
      <c r="J100851"/>
    </row>
    <row r="100852" spans="10:10" x14ac:dyDescent="0.3">
      <c r="J100852"/>
    </row>
    <row r="100853" spans="10:10" x14ac:dyDescent="0.3">
      <c r="J100853"/>
    </row>
    <row r="100854" spans="10:10" x14ac:dyDescent="0.3">
      <c r="J100854"/>
    </row>
    <row r="100855" spans="10:10" x14ac:dyDescent="0.3">
      <c r="J100855"/>
    </row>
    <row r="100856" spans="10:10" x14ac:dyDescent="0.3">
      <c r="J100856"/>
    </row>
    <row r="100857" spans="10:10" x14ac:dyDescent="0.3">
      <c r="J100857"/>
    </row>
    <row r="100858" spans="10:10" x14ac:dyDescent="0.3">
      <c r="J100858"/>
    </row>
    <row r="100859" spans="10:10" x14ac:dyDescent="0.3">
      <c r="J100859"/>
    </row>
    <row r="100860" spans="10:10" x14ac:dyDescent="0.3">
      <c r="J100860"/>
    </row>
    <row r="100861" spans="10:10" x14ac:dyDescent="0.3">
      <c r="J100861"/>
    </row>
    <row r="100862" spans="10:10" x14ac:dyDescent="0.3">
      <c r="J100862"/>
    </row>
    <row r="100863" spans="10:10" x14ac:dyDescent="0.3">
      <c r="J100863"/>
    </row>
    <row r="100864" spans="10:10" x14ac:dyDescent="0.3">
      <c r="J100864"/>
    </row>
    <row r="100865" spans="10:10" x14ac:dyDescent="0.3">
      <c r="J100865"/>
    </row>
    <row r="100866" spans="10:10" x14ac:dyDescent="0.3">
      <c r="J100866"/>
    </row>
    <row r="100867" spans="10:10" x14ac:dyDescent="0.3">
      <c r="J100867"/>
    </row>
    <row r="100868" spans="10:10" x14ac:dyDescent="0.3">
      <c r="J100868"/>
    </row>
    <row r="100869" spans="10:10" x14ac:dyDescent="0.3">
      <c r="J100869"/>
    </row>
    <row r="100870" spans="10:10" x14ac:dyDescent="0.3">
      <c r="J100870"/>
    </row>
    <row r="100871" spans="10:10" x14ac:dyDescent="0.3">
      <c r="J100871"/>
    </row>
    <row r="100872" spans="10:10" x14ac:dyDescent="0.3">
      <c r="J100872"/>
    </row>
    <row r="100873" spans="10:10" x14ac:dyDescent="0.3">
      <c r="J100873"/>
    </row>
    <row r="100874" spans="10:10" x14ac:dyDescent="0.3">
      <c r="J100874"/>
    </row>
    <row r="100875" spans="10:10" x14ac:dyDescent="0.3">
      <c r="J100875"/>
    </row>
    <row r="100876" spans="10:10" x14ac:dyDescent="0.3">
      <c r="J100876"/>
    </row>
    <row r="100877" spans="10:10" x14ac:dyDescent="0.3">
      <c r="J100877"/>
    </row>
    <row r="100878" spans="10:10" x14ac:dyDescent="0.3">
      <c r="J100878"/>
    </row>
    <row r="100879" spans="10:10" x14ac:dyDescent="0.3">
      <c r="J100879"/>
    </row>
    <row r="100880" spans="10:10" x14ac:dyDescent="0.3">
      <c r="J100880"/>
    </row>
    <row r="100881" spans="10:10" x14ac:dyDescent="0.3">
      <c r="J100881"/>
    </row>
    <row r="100882" spans="10:10" x14ac:dyDescent="0.3">
      <c r="J100882"/>
    </row>
    <row r="100883" spans="10:10" x14ac:dyDescent="0.3">
      <c r="J100883"/>
    </row>
    <row r="100884" spans="10:10" x14ac:dyDescent="0.3">
      <c r="J100884"/>
    </row>
    <row r="100885" spans="10:10" x14ac:dyDescent="0.3">
      <c r="J100885"/>
    </row>
    <row r="100886" spans="10:10" x14ac:dyDescent="0.3">
      <c r="J100886"/>
    </row>
    <row r="100887" spans="10:10" x14ac:dyDescent="0.3">
      <c r="J100887"/>
    </row>
    <row r="100888" spans="10:10" x14ac:dyDescent="0.3">
      <c r="J100888"/>
    </row>
    <row r="100889" spans="10:10" x14ac:dyDescent="0.3">
      <c r="J100889"/>
    </row>
    <row r="100890" spans="10:10" x14ac:dyDescent="0.3">
      <c r="J100890"/>
    </row>
    <row r="100891" spans="10:10" x14ac:dyDescent="0.3">
      <c r="J100891"/>
    </row>
    <row r="100892" spans="10:10" x14ac:dyDescent="0.3">
      <c r="J100892"/>
    </row>
    <row r="100893" spans="10:10" x14ac:dyDescent="0.3">
      <c r="J100893"/>
    </row>
    <row r="100894" spans="10:10" x14ac:dyDescent="0.3">
      <c r="J100894"/>
    </row>
    <row r="100895" spans="10:10" x14ac:dyDescent="0.3">
      <c r="J100895"/>
    </row>
    <row r="100896" spans="10:10" x14ac:dyDescent="0.3">
      <c r="J100896"/>
    </row>
    <row r="100897" spans="10:10" x14ac:dyDescent="0.3">
      <c r="J100897"/>
    </row>
    <row r="100898" spans="10:10" x14ac:dyDescent="0.3">
      <c r="J100898"/>
    </row>
    <row r="100899" spans="10:10" x14ac:dyDescent="0.3">
      <c r="J100899"/>
    </row>
    <row r="100900" spans="10:10" x14ac:dyDescent="0.3">
      <c r="J100900"/>
    </row>
    <row r="100901" spans="10:10" x14ac:dyDescent="0.3">
      <c r="J100901"/>
    </row>
    <row r="100902" spans="10:10" x14ac:dyDescent="0.3">
      <c r="J100902"/>
    </row>
    <row r="100903" spans="10:10" x14ac:dyDescent="0.3">
      <c r="J100903"/>
    </row>
    <row r="100904" spans="10:10" x14ac:dyDescent="0.3">
      <c r="J100904"/>
    </row>
    <row r="100905" spans="10:10" x14ac:dyDescent="0.3">
      <c r="J100905"/>
    </row>
    <row r="100906" spans="10:10" x14ac:dyDescent="0.3">
      <c r="J100906"/>
    </row>
    <row r="100907" spans="10:10" x14ac:dyDescent="0.3">
      <c r="J100907"/>
    </row>
    <row r="100908" spans="10:10" x14ac:dyDescent="0.3">
      <c r="J100908"/>
    </row>
    <row r="100909" spans="10:10" x14ac:dyDescent="0.3">
      <c r="J100909"/>
    </row>
    <row r="100910" spans="10:10" x14ac:dyDescent="0.3">
      <c r="J100910"/>
    </row>
    <row r="100911" spans="10:10" x14ac:dyDescent="0.3">
      <c r="J100911"/>
    </row>
    <row r="100912" spans="10:10" x14ac:dyDescent="0.3">
      <c r="J100912"/>
    </row>
    <row r="100913" spans="10:10" x14ac:dyDescent="0.3">
      <c r="J100913"/>
    </row>
    <row r="100914" spans="10:10" x14ac:dyDescent="0.3">
      <c r="J100914"/>
    </row>
    <row r="100915" spans="10:10" x14ac:dyDescent="0.3">
      <c r="J100915"/>
    </row>
    <row r="100916" spans="10:10" x14ac:dyDescent="0.3">
      <c r="J100916"/>
    </row>
    <row r="100917" spans="10:10" x14ac:dyDescent="0.3">
      <c r="J100917"/>
    </row>
    <row r="100918" spans="10:10" x14ac:dyDescent="0.3">
      <c r="J100918"/>
    </row>
    <row r="100919" spans="10:10" x14ac:dyDescent="0.3">
      <c r="J100919"/>
    </row>
    <row r="100920" spans="10:10" x14ac:dyDescent="0.3">
      <c r="J100920"/>
    </row>
    <row r="100921" spans="10:10" x14ac:dyDescent="0.3">
      <c r="J100921"/>
    </row>
    <row r="100922" spans="10:10" x14ac:dyDescent="0.3">
      <c r="J100922"/>
    </row>
    <row r="100923" spans="10:10" x14ac:dyDescent="0.3">
      <c r="J100923"/>
    </row>
    <row r="100924" spans="10:10" x14ac:dyDescent="0.3">
      <c r="J100924"/>
    </row>
    <row r="100925" spans="10:10" x14ac:dyDescent="0.3">
      <c r="J100925"/>
    </row>
    <row r="100926" spans="10:10" x14ac:dyDescent="0.3">
      <c r="J100926"/>
    </row>
    <row r="100927" spans="10:10" x14ac:dyDescent="0.3">
      <c r="J100927"/>
    </row>
    <row r="100928" spans="10:10" x14ac:dyDescent="0.3">
      <c r="J100928"/>
    </row>
    <row r="100929" spans="10:10" x14ac:dyDescent="0.3">
      <c r="J100929"/>
    </row>
    <row r="100930" spans="10:10" x14ac:dyDescent="0.3">
      <c r="J100930"/>
    </row>
    <row r="100931" spans="10:10" x14ac:dyDescent="0.3">
      <c r="J100931"/>
    </row>
    <row r="100932" spans="10:10" x14ac:dyDescent="0.3">
      <c r="J100932"/>
    </row>
    <row r="100933" spans="10:10" x14ac:dyDescent="0.3">
      <c r="J100933"/>
    </row>
    <row r="100934" spans="10:10" x14ac:dyDescent="0.3">
      <c r="J100934"/>
    </row>
    <row r="100935" spans="10:10" x14ac:dyDescent="0.3">
      <c r="J100935"/>
    </row>
    <row r="100936" spans="10:10" x14ac:dyDescent="0.3">
      <c r="J100936"/>
    </row>
    <row r="100937" spans="10:10" x14ac:dyDescent="0.3">
      <c r="J100937"/>
    </row>
    <row r="100938" spans="10:10" x14ac:dyDescent="0.3">
      <c r="J100938"/>
    </row>
    <row r="100939" spans="10:10" x14ac:dyDescent="0.3">
      <c r="J100939"/>
    </row>
    <row r="100940" spans="10:10" x14ac:dyDescent="0.3">
      <c r="J100940"/>
    </row>
    <row r="100941" spans="10:10" x14ac:dyDescent="0.3">
      <c r="J100941"/>
    </row>
    <row r="100942" spans="10:10" x14ac:dyDescent="0.3">
      <c r="J100942"/>
    </row>
    <row r="100943" spans="10:10" x14ac:dyDescent="0.3">
      <c r="J100943"/>
    </row>
    <row r="100944" spans="10:10" x14ac:dyDescent="0.3">
      <c r="J100944"/>
    </row>
    <row r="100945" spans="10:10" x14ac:dyDescent="0.3">
      <c r="J100945"/>
    </row>
    <row r="100946" spans="10:10" x14ac:dyDescent="0.3">
      <c r="J100946"/>
    </row>
    <row r="100947" spans="10:10" x14ac:dyDescent="0.3">
      <c r="J100947"/>
    </row>
    <row r="100948" spans="10:10" x14ac:dyDescent="0.3">
      <c r="J100948"/>
    </row>
    <row r="100949" spans="10:10" x14ac:dyDescent="0.3">
      <c r="J100949"/>
    </row>
    <row r="100950" spans="10:10" x14ac:dyDescent="0.3">
      <c r="J100950"/>
    </row>
    <row r="100951" spans="10:10" x14ac:dyDescent="0.3">
      <c r="J100951"/>
    </row>
    <row r="100952" spans="10:10" x14ac:dyDescent="0.3">
      <c r="J100952"/>
    </row>
    <row r="100953" spans="10:10" x14ac:dyDescent="0.3">
      <c r="J100953"/>
    </row>
    <row r="100954" spans="10:10" x14ac:dyDescent="0.3">
      <c r="J100954"/>
    </row>
    <row r="100955" spans="10:10" x14ac:dyDescent="0.3">
      <c r="J100955"/>
    </row>
    <row r="100956" spans="10:10" x14ac:dyDescent="0.3">
      <c r="J100956"/>
    </row>
    <row r="100957" spans="10:10" x14ac:dyDescent="0.3">
      <c r="J100957"/>
    </row>
    <row r="100958" spans="10:10" x14ac:dyDescent="0.3">
      <c r="J100958"/>
    </row>
    <row r="100959" spans="10:10" x14ac:dyDescent="0.3">
      <c r="J100959"/>
    </row>
    <row r="100960" spans="10:10" x14ac:dyDescent="0.3">
      <c r="J100960"/>
    </row>
    <row r="100961" spans="10:10" x14ac:dyDescent="0.3">
      <c r="J100961"/>
    </row>
    <row r="100962" spans="10:10" x14ac:dyDescent="0.3">
      <c r="J100962"/>
    </row>
    <row r="100963" spans="10:10" x14ac:dyDescent="0.3">
      <c r="J100963"/>
    </row>
    <row r="100964" spans="10:10" x14ac:dyDescent="0.3">
      <c r="J100964"/>
    </row>
    <row r="100965" spans="10:10" x14ac:dyDescent="0.3">
      <c r="J100965"/>
    </row>
    <row r="100966" spans="10:10" x14ac:dyDescent="0.3">
      <c r="J100966"/>
    </row>
    <row r="100967" spans="10:10" x14ac:dyDescent="0.3">
      <c r="J100967"/>
    </row>
    <row r="100968" spans="10:10" x14ac:dyDescent="0.3">
      <c r="J100968"/>
    </row>
    <row r="100969" spans="10:10" x14ac:dyDescent="0.3">
      <c r="J100969"/>
    </row>
    <row r="100970" spans="10:10" x14ac:dyDescent="0.3">
      <c r="J100970"/>
    </row>
    <row r="100971" spans="10:10" x14ac:dyDescent="0.3">
      <c r="J100971"/>
    </row>
    <row r="100972" spans="10:10" x14ac:dyDescent="0.3">
      <c r="J100972"/>
    </row>
    <row r="100973" spans="10:10" x14ac:dyDescent="0.3">
      <c r="J100973"/>
    </row>
    <row r="100974" spans="10:10" x14ac:dyDescent="0.3">
      <c r="J100974"/>
    </row>
    <row r="100975" spans="10:10" x14ac:dyDescent="0.3">
      <c r="J100975"/>
    </row>
    <row r="100976" spans="10:10" x14ac:dyDescent="0.3">
      <c r="J100976"/>
    </row>
    <row r="100977" spans="10:10" x14ac:dyDescent="0.3">
      <c r="J100977"/>
    </row>
    <row r="100978" spans="10:10" x14ac:dyDescent="0.3">
      <c r="J100978"/>
    </row>
    <row r="100979" spans="10:10" x14ac:dyDescent="0.3">
      <c r="J100979"/>
    </row>
    <row r="100980" spans="10:10" x14ac:dyDescent="0.3">
      <c r="J100980"/>
    </row>
    <row r="100981" spans="10:10" x14ac:dyDescent="0.3">
      <c r="J100981"/>
    </row>
    <row r="100982" spans="10:10" x14ac:dyDescent="0.3">
      <c r="J100982"/>
    </row>
    <row r="100983" spans="10:10" x14ac:dyDescent="0.3">
      <c r="J100983"/>
    </row>
    <row r="100984" spans="10:10" x14ac:dyDescent="0.3">
      <c r="J100984"/>
    </row>
    <row r="100985" spans="10:10" x14ac:dyDescent="0.3">
      <c r="J100985"/>
    </row>
    <row r="100986" spans="10:10" x14ac:dyDescent="0.3">
      <c r="J100986"/>
    </row>
    <row r="100987" spans="10:10" x14ac:dyDescent="0.3">
      <c r="J100987"/>
    </row>
    <row r="100988" spans="10:10" x14ac:dyDescent="0.3">
      <c r="J100988"/>
    </row>
    <row r="100989" spans="10:10" x14ac:dyDescent="0.3">
      <c r="J100989"/>
    </row>
    <row r="100990" spans="10:10" x14ac:dyDescent="0.3">
      <c r="J100990"/>
    </row>
    <row r="100991" spans="10:10" x14ac:dyDescent="0.3">
      <c r="J100991"/>
    </row>
    <row r="100992" spans="10:10" x14ac:dyDescent="0.3">
      <c r="J100992"/>
    </row>
    <row r="100993" spans="10:10" x14ac:dyDescent="0.3">
      <c r="J100993"/>
    </row>
    <row r="100994" spans="10:10" x14ac:dyDescent="0.3">
      <c r="J100994"/>
    </row>
    <row r="100995" spans="10:10" x14ac:dyDescent="0.3">
      <c r="J100995"/>
    </row>
    <row r="100996" spans="10:10" x14ac:dyDescent="0.3">
      <c r="J100996"/>
    </row>
    <row r="100997" spans="10:10" x14ac:dyDescent="0.3">
      <c r="J100997"/>
    </row>
    <row r="100998" spans="10:10" x14ac:dyDescent="0.3">
      <c r="J100998"/>
    </row>
    <row r="100999" spans="10:10" x14ac:dyDescent="0.3">
      <c r="J100999"/>
    </row>
    <row r="101000" spans="10:10" x14ac:dyDescent="0.3">
      <c r="J101000"/>
    </row>
    <row r="101001" spans="10:10" x14ac:dyDescent="0.3">
      <c r="J101001"/>
    </row>
    <row r="101002" spans="10:10" x14ac:dyDescent="0.3">
      <c r="J101002"/>
    </row>
    <row r="101003" spans="10:10" x14ac:dyDescent="0.3">
      <c r="J101003"/>
    </row>
    <row r="101004" spans="10:10" x14ac:dyDescent="0.3">
      <c r="J101004"/>
    </row>
    <row r="101005" spans="10:10" x14ac:dyDescent="0.3">
      <c r="J101005"/>
    </row>
    <row r="101006" spans="10:10" x14ac:dyDescent="0.3">
      <c r="J101006"/>
    </row>
    <row r="101007" spans="10:10" x14ac:dyDescent="0.3">
      <c r="J101007"/>
    </row>
    <row r="101008" spans="10:10" x14ac:dyDescent="0.3">
      <c r="J101008"/>
    </row>
    <row r="101009" spans="10:10" x14ac:dyDescent="0.3">
      <c r="J101009"/>
    </row>
    <row r="101010" spans="10:10" x14ac:dyDescent="0.3">
      <c r="J101010"/>
    </row>
    <row r="101011" spans="10:10" x14ac:dyDescent="0.3">
      <c r="J101011"/>
    </row>
    <row r="101012" spans="10:10" x14ac:dyDescent="0.3">
      <c r="J101012"/>
    </row>
    <row r="101013" spans="10:10" x14ac:dyDescent="0.3">
      <c r="J101013"/>
    </row>
    <row r="101014" spans="10:10" x14ac:dyDescent="0.3">
      <c r="J101014"/>
    </row>
    <row r="101015" spans="10:10" x14ac:dyDescent="0.3">
      <c r="J101015"/>
    </row>
    <row r="101016" spans="10:10" x14ac:dyDescent="0.3">
      <c r="J101016"/>
    </row>
    <row r="101017" spans="10:10" x14ac:dyDescent="0.3">
      <c r="J101017"/>
    </row>
    <row r="101018" spans="10:10" x14ac:dyDescent="0.3">
      <c r="J101018"/>
    </row>
    <row r="101019" spans="10:10" x14ac:dyDescent="0.3">
      <c r="J101019"/>
    </row>
    <row r="101020" spans="10:10" x14ac:dyDescent="0.3">
      <c r="J101020"/>
    </row>
    <row r="101021" spans="10:10" x14ac:dyDescent="0.3">
      <c r="J101021"/>
    </row>
    <row r="101022" spans="10:10" x14ac:dyDescent="0.3">
      <c r="J101022"/>
    </row>
    <row r="101023" spans="10:10" x14ac:dyDescent="0.3">
      <c r="J101023"/>
    </row>
    <row r="101024" spans="10:10" x14ac:dyDescent="0.3">
      <c r="J101024"/>
    </row>
    <row r="101025" spans="10:10" x14ac:dyDescent="0.3">
      <c r="J101025"/>
    </row>
    <row r="101026" spans="10:10" x14ac:dyDescent="0.3">
      <c r="J101026"/>
    </row>
    <row r="101027" spans="10:10" x14ac:dyDescent="0.3">
      <c r="J101027"/>
    </row>
    <row r="101028" spans="10:10" x14ac:dyDescent="0.3">
      <c r="J101028"/>
    </row>
    <row r="101029" spans="10:10" x14ac:dyDescent="0.3">
      <c r="J101029"/>
    </row>
    <row r="101030" spans="10:10" x14ac:dyDescent="0.3">
      <c r="J101030"/>
    </row>
    <row r="101031" spans="10:10" x14ac:dyDescent="0.3">
      <c r="J101031"/>
    </row>
    <row r="101032" spans="10:10" x14ac:dyDescent="0.3">
      <c r="J101032"/>
    </row>
    <row r="101033" spans="10:10" x14ac:dyDescent="0.3">
      <c r="J101033"/>
    </row>
    <row r="101034" spans="10:10" x14ac:dyDescent="0.3">
      <c r="J101034"/>
    </row>
    <row r="101035" spans="10:10" x14ac:dyDescent="0.3">
      <c r="J101035"/>
    </row>
    <row r="101036" spans="10:10" x14ac:dyDescent="0.3">
      <c r="J101036"/>
    </row>
    <row r="101037" spans="10:10" x14ac:dyDescent="0.3">
      <c r="J101037"/>
    </row>
    <row r="101038" spans="10:10" x14ac:dyDescent="0.3">
      <c r="J101038"/>
    </row>
    <row r="101039" spans="10:10" x14ac:dyDescent="0.3">
      <c r="J101039"/>
    </row>
    <row r="101040" spans="10:10" x14ac:dyDescent="0.3">
      <c r="J101040"/>
    </row>
    <row r="101041" spans="10:10" x14ac:dyDescent="0.3">
      <c r="J101041"/>
    </row>
    <row r="101042" spans="10:10" x14ac:dyDescent="0.3">
      <c r="J101042"/>
    </row>
    <row r="101043" spans="10:10" x14ac:dyDescent="0.3">
      <c r="J101043"/>
    </row>
    <row r="101044" spans="10:10" x14ac:dyDescent="0.3">
      <c r="J101044"/>
    </row>
    <row r="101045" spans="10:10" x14ac:dyDescent="0.3">
      <c r="J101045"/>
    </row>
    <row r="101046" spans="10:10" x14ac:dyDescent="0.3">
      <c r="J101046"/>
    </row>
    <row r="101047" spans="10:10" x14ac:dyDescent="0.3">
      <c r="J101047"/>
    </row>
    <row r="101048" spans="10:10" x14ac:dyDescent="0.3">
      <c r="J101048"/>
    </row>
    <row r="101049" spans="10:10" x14ac:dyDescent="0.3">
      <c r="J101049"/>
    </row>
    <row r="101050" spans="10:10" x14ac:dyDescent="0.3">
      <c r="J101050"/>
    </row>
    <row r="101051" spans="10:10" x14ac:dyDescent="0.3">
      <c r="J101051"/>
    </row>
    <row r="101052" spans="10:10" x14ac:dyDescent="0.3">
      <c r="J101052"/>
    </row>
    <row r="101053" spans="10:10" x14ac:dyDescent="0.3">
      <c r="J101053"/>
    </row>
    <row r="101054" spans="10:10" x14ac:dyDescent="0.3">
      <c r="J101054"/>
    </row>
    <row r="101055" spans="10:10" x14ac:dyDescent="0.3">
      <c r="J101055"/>
    </row>
    <row r="101056" spans="10:10" x14ac:dyDescent="0.3">
      <c r="J101056"/>
    </row>
    <row r="101057" spans="10:10" x14ac:dyDescent="0.3">
      <c r="J101057"/>
    </row>
    <row r="101058" spans="10:10" x14ac:dyDescent="0.3">
      <c r="J101058"/>
    </row>
    <row r="101059" spans="10:10" x14ac:dyDescent="0.3">
      <c r="J101059"/>
    </row>
    <row r="101060" spans="10:10" x14ac:dyDescent="0.3">
      <c r="J101060"/>
    </row>
    <row r="101061" spans="10:10" x14ac:dyDescent="0.3">
      <c r="J101061"/>
    </row>
    <row r="101062" spans="10:10" x14ac:dyDescent="0.3">
      <c r="J101062"/>
    </row>
    <row r="101063" spans="10:10" x14ac:dyDescent="0.3">
      <c r="J101063"/>
    </row>
    <row r="101064" spans="10:10" x14ac:dyDescent="0.3">
      <c r="J101064"/>
    </row>
    <row r="101065" spans="10:10" x14ac:dyDescent="0.3">
      <c r="J101065"/>
    </row>
    <row r="101066" spans="10:10" x14ac:dyDescent="0.3">
      <c r="J101066"/>
    </row>
    <row r="101067" spans="10:10" x14ac:dyDescent="0.3">
      <c r="J101067"/>
    </row>
    <row r="101068" spans="10:10" x14ac:dyDescent="0.3">
      <c r="J101068"/>
    </row>
    <row r="101069" spans="10:10" x14ac:dyDescent="0.3">
      <c r="J101069"/>
    </row>
    <row r="101070" spans="10:10" x14ac:dyDescent="0.3">
      <c r="J101070"/>
    </row>
    <row r="101071" spans="10:10" x14ac:dyDescent="0.3">
      <c r="J101071"/>
    </row>
    <row r="101072" spans="10:10" x14ac:dyDescent="0.3">
      <c r="J101072"/>
    </row>
    <row r="101073" spans="10:10" x14ac:dyDescent="0.3">
      <c r="J101073"/>
    </row>
    <row r="101074" spans="10:10" x14ac:dyDescent="0.3">
      <c r="J101074"/>
    </row>
    <row r="101075" spans="10:10" x14ac:dyDescent="0.3">
      <c r="J101075"/>
    </row>
    <row r="101076" spans="10:10" x14ac:dyDescent="0.3">
      <c r="J101076"/>
    </row>
    <row r="101077" spans="10:10" x14ac:dyDescent="0.3">
      <c r="J101077"/>
    </row>
    <row r="101078" spans="10:10" x14ac:dyDescent="0.3">
      <c r="J101078"/>
    </row>
    <row r="101079" spans="10:10" x14ac:dyDescent="0.3">
      <c r="J101079"/>
    </row>
    <row r="101080" spans="10:10" x14ac:dyDescent="0.3">
      <c r="J101080"/>
    </row>
    <row r="101081" spans="10:10" x14ac:dyDescent="0.3">
      <c r="J101081"/>
    </row>
    <row r="101082" spans="10:10" x14ac:dyDescent="0.3">
      <c r="J101082"/>
    </row>
    <row r="101083" spans="10:10" x14ac:dyDescent="0.3">
      <c r="J101083"/>
    </row>
    <row r="101084" spans="10:10" x14ac:dyDescent="0.3">
      <c r="J101084"/>
    </row>
    <row r="101085" spans="10:10" x14ac:dyDescent="0.3">
      <c r="J101085"/>
    </row>
    <row r="101086" spans="10:10" x14ac:dyDescent="0.3">
      <c r="J101086"/>
    </row>
    <row r="101087" spans="10:10" x14ac:dyDescent="0.3">
      <c r="J101087"/>
    </row>
    <row r="101088" spans="10:10" x14ac:dyDescent="0.3">
      <c r="J101088"/>
    </row>
    <row r="101089" spans="10:10" x14ac:dyDescent="0.3">
      <c r="J101089"/>
    </row>
    <row r="101090" spans="10:10" x14ac:dyDescent="0.3">
      <c r="J101090"/>
    </row>
    <row r="101091" spans="10:10" x14ac:dyDescent="0.3">
      <c r="J101091"/>
    </row>
    <row r="101092" spans="10:10" x14ac:dyDescent="0.3">
      <c r="J101092"/>
    </row>
    <row r="101093" spans="10:10" x14ac:dyDescent="0.3">
      <c r="J101093"/>
    </row>
    <row r="101094" spans="10:10" x14ac:dyDescent="0.3">
      <c r="J101094"/>
    </row>
    <row r="101095" spans="10:10" x14ac:dyDescent="0.3">
      <c r="J101095"/>
    </row>
    <row r="101096" spans="10:10" x14ac:dyDescent="0.3">
      <c r="J101096"/>
    </row>
    <row r="101097" spans="10:10" x14ac:dyDescent="0.3">
      <c r="J101097"/>
    </row>
    <row r="101098" spans="10:10" x14ac:dyDescent="0.3">
      <c r="J101098"/>
    </row>
    <row r="101099" spans="10:10" x14ac:dyDescent="0.3">
      <c r="J101099"/>
    </row>
    <row r="101100" spans="10:10" x14ac:dyDescent="0.3">
      <c r="J101100"/>
    </row>
    <row r="101101" spans="10:10" x14ac:dyDescent="0.3">
      <c r="J101101"/>
    </row>
    <row r="101102" spans="10:10" x14ac:dyDescent="0.3">
      <c r="J101102"/>
    </row>
    <row r="101103" spans="10:10" x14ac:dyDescent="0.3">
      <c r="J101103"/>
    </row>
    <row r="101104" spans="10:10" x14ac:dyDescent="0.3">
      <c r="J101104"/>
    </row>
    <row r="101105" spans="10:10" x14ac:dyDescent="0.3">
      <c r="J101105"/>
    </row>
    <row r="101106" spans="10:10" x14ac:dyDescent="0.3">
      <c r="J101106"/>
    </row>
    <row r="101107" spans="10:10" x14ac:dyDescent="0.3">
      <c r="J101107"/>
    </row>
    <row r="101108" spans="10:10" x14ac:dyDescent="0.3">
      <c r="J101108"/>
    </row>
    <row r="101109" spans="10:10" x14ac:dyDescent="0.3">
      <c r="J101109"/>
    </row>
    <row r="101110" spans="10:10" x14ac:dyDescent="0.3">
      <c r="J101110"/>
    </row>
    <row r="101111" spans="10:10" x14ac:dyDescent="0.3">
      <c r="J101111"/>
    </row>
    <row r="101112" spans="10:10" x14ac:dyDescent="0.3">
      <c r="J101112"/>
    </row>
    <row r="101113" spans="10:10" x14ac:dyDescent="0.3">
      <c r="J101113"/>
    </row>
    <row r="101114" spans="10:10" x14ac:dyDescent="0.3">
      <c r="J101114"/>
    </row>
    <row r="101115" spans="10:10" x14ac:dyDescent="0.3">
      <c r="J101115"/>
    </row>
    <row r="101116" spans="10:10" x14ac:dyDescent="0.3">
      <c r="J101116"/>
    </row>
    <row r="101117" spans="10:10" x14ac:dyDescent="0.3">
      <c r="J101117"/>
    </row>
    <row r="101118" spans="10:10" x14ac:dyDescent="0.3">
      <c r="J101118"/>
    </row>
    <row r="101119" spans="10:10" x14ac:dyDescent="0.3">
      <c r="J101119"/>
    </row>
    <row r="101120" spans="10:10" x14ac:dyDescent="0.3">
      <c r="J101120"/>
    </row>
    <row r="101121" spans="10:10" x14ac:dyDescent="0.3">
      <c r="J101121"/>
    </row>
    <row r="101122" spans="10:10" x14ac:dyDescent="0.3">
      <c r="J101122"/>
    </row>
    <row r="101123" spans="10:10" x14ac:dyDescent="0.3">
      <c r="J101123"/>
    </row>
    <row r="101124" spans="10:10" x14ac:dyDescent="0.3">
      <c r="J101124"/>
    </row>
    <row r="101125" spans="10:10" x14ac:dyDescent="0.3">
      <c r="J101125"/>
    </row>
    <row r="101126" spans="10:10" x14ac:dyDescent="0.3">
      <c r="J101126"/>
    </row>
    <row r="101127" spans="10:10" x14ac:dyDescent="0.3">
      <c r="J101127"/>
    </row>
    <row r="101128" spans="10:10" x14ac:dyDescent="0.3">
      <c r="J101128"/>
    </row>
    <row r="101129" spans="10:10" x14ac:dyDescent="0.3">
      <c r="J101129"/>
    </row>
    <row r="101130" spans="10:10" x14ac:dyDescent="0.3">
      <c r="J101130"/>
    </row>
    <row r="101131" spans="10:10" x14ac:dyDescent="0.3">
      <c r="J101131"/>
    </row>
    <row r="101132" spans="10:10" x14ac:dyDescent="0.3">
      <c r="J101132"/>
    </row>
    <row r="101133" spans="10:10" x14ac:dyDescent="0.3">
      <c r="J101133"/>
    </row>
    <row r="101134" spans="10:10" x14ac:dyDescent="0.3">
      <c r="J101134"/>
    </row>
    <row r="101135" spans="10:10" x14ac:dyDescent="0.3">
      <c r="J101135"/>
    </row>
    <row r="101136" spans="10:10" x14ac:dyDescent="0.3">
      <c r="J101136"/>
    </row>
    <row r="101137" spans="10:10" x14ac:dyDescent="0.3">
      <c r="J101137"/>
    </row>
    <row r="101138" spans="10:10" x14ac:dyDescent="0.3">
      <c r="J101138"/>
    </row>
    <row r="101139" spans="10:10" x14ac:dyDescent="0.3">
      <c r="J101139"/>
    </row>
    <row r="101140" spans="10:10" x14ac:dyDescent="0.3">
      <c r="J101140"/>
    </row>
    <row r="101141" spans="10:10" x14ac:dyDescent="0.3">
      <c r="J101141"/>
    </row>
    <row r="101142" spans="10:10" x14ac:dyDescent="0.3">
      <c r="J101142"/>
    </row>
    <row r="101143" spans="10:10" x14ac:dyDescent="0.3">
      <c r="J101143"/>
    </row>
    <row r="101144" spans="10:10" x14ac:dyDescent="0.3">
      <c r="J101144"/>
    </row>
    <row r="101145" spans="10:10" x14ac:dyDescent="0.3">
      <c r="J101145"/>
    </row>
    <row r="101146" spans="10:10" x14ac:dyDescent="0.3">
      <c r="J101146"/>
    </row>
    <row r="101147" spans="10:10" x14ac:dyDescent="0.3">
      <c r="J101147"/>
    </row>
    <row r="101148" spans="10:10" x14ac:dyDescent="0.3">
      <c r="J101148"/>
    </row>
    <row r="101149" spans="10:10" x14ac:dyDescent="0.3">
      <c r="J101149"/>
    </row>
    <row r="101150" spans="10:10" x14ac:dyDescent="0.3">
      <c r="J101150"/>
    </row>
    <row r="101151" spans="10:10" x14ac:dyDescent="0.3">
      <c r="J101151"/>
    </row>
    <row r="101152" spans="10:10" x14ac:dyDescent="0.3">
      <c r="J101152"/>
    </row>
    <row r="101153" spans="10:10" x14ac:dyDescent="0.3">
      <c r="J101153"/>
    </row>
    <row r="101154" spans="10:10" x14ac:dyDescent="0.3">
      <c r="J101154"/>
    </row>
    <row r="101155" spans="10:10" x14ac:dyDescent="0.3">
      <c r="J101155"/>
    </row>
    <row r="101156" spans="10:10" x14ac:dyDescent="0.3">
      <c r="J101156"/>
    </row>
    <row r="101157" spans="10:10" x14ac:dyDescent="0.3">
      <c r="J101157"/>
    </row>
    <row r="101158" spans="10:10" x14ac:dyDescent="0.3">
      <c r="J101158"/>
    </row>
    <row r="101159" spans="10:10" x14ac:dyDescent="0.3">
      <c r="J101159"/>
    </row>
    <row r="101160" spans="10:10" x14ac:dyDescent="0.3">
      <c r="J101160"/>
    </row>
    <row r="101161" spans="10:10" x14ac:dyDescent="0.3">
      <c r="J101161"/>
    </row>
    <row r="101162" spans="10:10" x14ac:dyDescent="0.3">
      <c r="J101162"/>
    </row>
    <row r="101163" spans="10:10" x14ac:dyDescent="0.3">
      <c r="J101163"/>
    </row>
    <row r="101164" spans="10:10" x14ac:dyDescent="0.3">
      <c r="J101164"/>
    </row>
    <row r="101165" spans="10:10" x14ac:dyDescent="0.3">
      <c r="J101165"/>
    </row>
    <row r="101166" spans="10:10" x14ac:dyDescent="0.3">
      <c r="J101166"/>
    </row>
    <row r="101167" spans="10:10" x14ac:dyDescent="0.3">
      <c r="J101167"/>
    </row>
    <row r="101168" spans="10:10" x14ac:dyDescent="0.3">
      <c r="J101168"/>
    </row>
    <row r="101169" spans="10:10" x14ac:dyDescent="0.3">
      <c r="J101169"/>
    </row>
    <row r="101170" spans="10:10" x14ac:dyDescent="0.3">
      <c r="J101170"/>
    </row>
    <row r="101171" spans="10:10" x14ac:dyDescent="0.3">
      <c r="J101171"/>
    </row>
    <row r="101172" spans="10:10" x14ac:dyDescent="0.3">
      <c r="J101172"/>
    </row>
    <row r="101173" spans="10:10" x14ac:dyDescent="0.3">
      <c r="J101173"/>
    </row>
    <row r="101174" spans="10:10" x14ac:dyDescent="0.3">
      <c r="J101174"/>
    </row>
    <row r="101175" spans="10:10" x14ac:dyDescent="0.3">
      <c r="J101175"/>
    </row>
    <row r="101176" spans="10:10" x14ac:dyDescent="0.3">
      <c r="J101176"/>
    </row>
    <row r="101177" spans="10:10" x14ac:dyDescent="0.3">
      <c r="J101177"/>
    </row>
    <row r="101178" spans="10:10" x14ac:dyDescent="0.3">
      <c r="J101178"/>
    </row>
    <row r="101179" spans="10:10" x14ac:dyDescent="0.3">
      <c r="J101179"/>
    </row>
    <row r="101180" spans="10:10" x14ac:dyDescent="0.3">
      <c r="J101180"/>
    </row>
    <row r="101181" spans="10:10" x14ac:dyDescent="0.3">
      <c r="J101181"/>
    </row>
    <row r="101182" spans="10:10" x14ac:dyDescent="0.3">
      <c r="J101182"/>
    </row>
    <row r="101183" spans="10:10" x14ac:dyDescent="0.3">
      <c r="J101183"/>
    </row>
    <row r="101184" spans="10:10" x14ac:dyDescent="0.3">
      <c r="J101184"/>
    </row>
    <row r="101185" spans="10:10" x14ac:dyDescent="0.3">
      <c r="J101185"/>
    </row>
    <row r="101186" spans="10:10" x14ac:dyDescent="0.3">
      <c r="J101186"/>
    </row>
    <row r="101187" spans="10:10" x14ac:dyDescent="0.3">
      <c r="J101187"/>
    </row>
    <row r="101188" spans="10:10" x14ac:dyDescent="0.3">
      <c r="J101188"/>
    </row>
    <row r="101189" spans="10:10" x14ac:dyDescent="0.3">
      <c r="J101189"/>
    </row>
    <row r="101190" spans="10:10" x14ac:dyDescent="0.3">
      <c r="J101190"/>
    </row>
    <row r="101191" spans="10:10" x14ac:dyDescent="0.3">
      <c r="J101191"/>
    </row>
    <row r="101192" spans="10:10" x14ac:dyDescent="0.3">
      <c r="J101192"/>
    </row>
    <row r="101193" spans="10:10" x14ac:dyDescent="0.3">
      <c r="J101193"/>
    </row>
    <row r="101194" spans="10:10" x14ac:dyDescent="0.3">
      <c r="J101194"/>
    </row>
    <row r="101195" spans="10:10" x14ac:dyDescent="0.3">
      <c r="J101195"/>
    </row>
    <row r="101196" spans="10:10" x14ac:dyDescent="0.3">
      <c r="J101196"/>
    </row>
    <row r="101197" spans="10:10" x14ac:dyDescent="0.3">
      <c r="J101197"/>
    </row>
    <row r="101198" spans="10:10" x14ac:dyDescent="0.3">
      <c r="J101198"/>
    </row>
    <row r="101199" spans="10:10" x14ac:dyDescent="0.3">
      <c r="J101199"/>
    </row>
    <row r="101200" spans="10:10" x14ac:dyDescent="0.3">
      <c r="J101200"/>
    </row>
    <row r="101201" spans="10:10" x14ac:dyDescent="0.3">
      <c r="J101201"/>
    </row>
    <row r="101202" spans="10:10" x14ac:dyDescent="0.3">
      <c r="J101202"/>
    </row>
    <row r="101203" spans="10:10" x14ac:dyDescent="0.3">
      <c r="J101203"/>
    </row>
    <row r="101204" spans="10:10" x14ac:dyDescent="0.3">
      <c r="J101204"/>
    </row>
    <row r="101205" spans="10:10" x14ac:dyDescent="0.3">
      <c r="J101205"/>
    </row>
    <row r="101206" spans="10:10" x14ac:dyDescent="0.3">
      <c r="J101206"/>
    </row>
    <row r="101207" spans="10:10" x14ac:dyDescent="0.3">
      <c r="J101207"/>
    </row>
    <row r="101208" spans="10:10" x14ac:dyDescent="0.3">
      <c r="J101208"/>
    </row>
    <row r="101209" spans="10:10" x14ac:dyDescent="0.3">
      <c r="J101209"/>
    </row>
    <row r="101210" spans="10:10" x14ac:dyDescent="0.3">
      <c r="J101210"/>
    </row>
    <row r="101211" spans="10:10" x14ac:dyDescent="0.3">
      <c r="J101211"/>
    </row>
    <row r="101212" spans="10:10" x14ac:dyDescent="0.3">
      <c r="J101212"/>
    </row>
    <row r="101213" spans="10:10" x14ac:dyDescent="0.3">
      <c r="J101213"/>
    </row>
    <row r="101214" spans="10:10" x14ac:dyDescent="0.3">
      <c r="J101214"/>
    </row>
    <row r="101215" spans="10:10" x14ac:dyDescent="0.3">
      <c r="J101215"/>
    </row>
    <row r="101216" spans="10:10" x14ac:dyDescent="0.3">
      <c r="J101216"/>
    </row>
    <row r="101217" spans="10:10" x14ac:dyDescent="0.3">
      <c r="J101217"/>
    </row>
    <row r="101218" spans="10:10" x14ac:dyDescent="0.3">
      <c r="J101218"/>
    </row>
    <row r="101219" spans="10:10" x14ac:dyDescent="0.3">
      <c r="J101219"/>
    </row>
    <row r="101220" spans="10:10" x14ac:dyDescent="0.3">
      <c r="J101220"/>
    </row>
    <row r="101221" spans="10:10" x14ac:dyDescent="0.3">
      <c r="J101221"/>
    </row>
    <row r="101222" spans="10:10" x14ac:dyDescent="0.3">
      <c r="J101222"/>
    </row>
    <row r="101223" spans="10:10" x14ac:dyDescent="0.3">
      <c r="J101223"/>
    </row>
    <row r="101224" spans="10:10" x14ac:dyDescent="0.3">
      <c r="J101224"/>
    </row>
    <row r="101225" spans="10:10" x14ac:dyDescent="0.3">
      <c r="J101225"/>
    </row>
    <row r="101226" spans="10:10" x14ac:dyDescent="0.3">
      <c r="J101226"/>
    </row>
    <row r="101227" spans="10:10" x14ac:dyDescent="0.3">
      <c r="J101227"/>
    </row>
    <row r="101228" spans="10:10" x14ac:dyDescent="0.3">
      <c r="J101228"/>
    </row>
    <row r="101229" spans="10:10" x14ac:dyDescent="0.3">
      <c r="J101229"/>
    </row>
    <row r="101230" spans="10:10" x14ac:dyDescent="0.3">
      <c r="J101230"/>
    </row>
    <row r="101231" spans="10:10" x14ac:dyDescent="0.3">
      <c r="J101231"/>
    </row>
    <row r="101232" spans="10:10" x14ac:dyDescent="0.3">
      <c r="J101232"/>
    </row>
    <row r="101233" spans="10:10" x14ac:dyDescent="0.3">
      <c r="J101233"/>
    </row>
    <row r="101234" spans="10:10" x14ac:dyDescent="0.3">
      <c r="J101234"/>
    </row>
    <row r="101235" spans="10:10" x14ac:dyDescent="0.3">
      <c r="J101235"/>
    </row>
    <row r="101236" spans="10:10" x14ac:dyDescent="0.3">
      <c r="J101236"/>
    </row>
    <row r="101237" spans="10:10" x14ac:dyDescent="0.3">
      <c r="J101237"/>
    </row>
    <row r="101238" spans="10:10" x14ac:dyDescent="0.3">
      <c r="J101238"/>
    </row>
    <row r="101239" spans="10:10" x14ac:dyDescent="0.3">
      <c r="J101239"/>
    </row>
    <row r="101240" spans="10:10" x14ac:dyDescent="0.3">
      <c r="J101240"/>
    </row>
    <row r="101241" spans="10:10" x14ac:dyDescent="0.3">
      <c r="J101241"/>
    </row>
    <row r="101242" spans="10:10" x14ac:dyDescent="0.3">
      <c r="J101242"/>
    </row>
    <row r="101243" spans="10:10" x14ac:dyDescent="0.3">
      <c r="J101243"/>
    </row>
    <row r="101244" spans="10:10" x14ac:dyDescent="0.3">
      <c r="J101244"/>
    </row>
    <row r="101245" spans="10:10" x14ac:dyDescent="0.3">
      <c r="J101245"/>
    </row>
    <row r="101246" spans="10:10" x14ac:dyDescent="0.3">
      <c r="J101246"/>
    </row>
    <row r="101247" spans="10:10" x14ac:dyDescent="0.3">
      <c r="J101247"/>
    </row>
    <row r="101248" spans="10:10" x14ac:dyDescent="0.3">
      <c r="J101248"/>
    </row>
    <row r="101249" spans="10:10" x14ac:dyDescent="0.3">
      <c r="J101249"/>
    </row>
    <row r="101250" spans="10:10" x14ac:dyDescent="0.3">
      <c r="J101250"/>
    </row>
    <row r="101251" spans="10:10" x14ac:dyDescent="0.3">
      <c r="J101251"/>
    </row>
    <row r="101252" spans="10:10" x14ac:dyDescent="0.3">
      <c r="J101252"/>
    </row>
    <row r="101253" spans="10:10" x14ac:dyDescent="0.3">
      <c r="J101253"/>
    </row>
    <row r="101254" spans="10:10" x14ac:dyDescent="0.3">
      <c r="J101254"/>
    </row>
    <row r="101255" spans="10:10" x14ac:dyDescent="0.3">
      <c r="J101255"/>
    </row>
    <row r="101256" spans="10:10" x14ac:dyDescent="0.3">
      <c r="J101256"/>
    </row>
    <row r="101257" spans="10:10" x14ac:dyDescent="0.3">
      <c r="J101257"/>
    </row>
    <row r="101258" spans="10:10" x14ac:dyDescent="0.3">
      <c r="J101258"/>
    </row>
    <row r="101259" spans="10:10" x14ac:dyDescent="0.3">
      <c r="J101259"/>
    </row>
    <row r="101260" spans="10:10" x14ac:dyDescent="0.3">
      <c r="J101260"/>
    </row>
    <row r="101261" spans="10:10" x14ac:dyDescent="0.3">
      <c r="J101261"/>
    </row>
    <row r="101262" spans="10:10" x14ac:dyDescent="0.3">
      <c r="J101262"/>
    </row>
    <row r="101263" spans="10:10" x14ac:dyDescent="0.3">
      <c r="J101263"/>
    </row>
    <row r="101264" spans="10:10" x14ac:dyDescent="0.3">
      <c r="J101264"/>
    </row>
    <row r="101265" spans="10:10" x14ac:dyDescent="0.3">
      <c r="J101265"/>
    </row>
    <row r="101266" spans="10:10" x14ac:dyDescent="0.3">
      <c r="J101266"/>
    </row>
    <row r="101267" spans="10:10" x14ac:dyDescent="0.3">
      <c r="J101267"/>
    </row>
    <row r="101268" spans="10:10" x14ac:dyDescent="0.3">
      <c r="J101268"/>
    </row>
    <row r="101269" spans="10:10" x14ac:dyDescent="0.3">
      <c r="J101269"/>
    </row>
    <row r="101270" spans="10:10" x14ac:dyDescent="0.3">
      <c r="J101270"/>
    </row>
    <row r="101271" spans="10:10" x14ac:dyDescent="0.3">
      <c r="J101271"/>
    </row>
    <row r="101272" spans="10:10" x14ac:dyDescent="0.3">
      <c r="J101272"/>
    </row>
    <row r="101273" spans="10:10" x14ac:dyDescent="0.3">
      <c r="J101273"/>
    </row>
    <row r="101274" spans="10:10" x14ac:dyDescent="0.3">
      <c r="J101274"/>
    </row>
    <row r="101275" spans="10:10" x14ac:dyDescent="0.3">
      <c r="J101275"/>
    </row>
    <row r="101276" spans="10:10" x14ac:dyDescent="0.3">
      <c r="J101276"/>
    </row>
    <row r="101277" spans="10:10" x14ac:dyDescent="0.3">
      <c r="J101277"/>
    </row>
    <row r="101278" spans="10:10" x14ac:dyDescent="0.3">
      <c r="J101278"/>
    </row>
    <row r="101279" spans="10:10" x14ac:dyDescent="0.3">
      <c r="J101279"/>
    </row>
    <row r="101280" spans="10:10" x14ac:dyDescent="0.3">
      <c r="J101280"/>
    </row>
    <row r="101281" spans="10:10" x14ac:dyDescent="0.3">
      <c r="J101281"/>
    </row>
    <row r="101282" spans="10:10" x14ac:dyDescent="0.3">
      <c r="J101282"/>
    </row>
    <row r="101283" spans="10:10" x14ac:dyDescent="0.3">
      <c r="J101283"/>
    </row>
    <row r="101284" spans="10:10" x14ac:dyDescent="0.3">
      <c r="J101284"/>
    </row>
    <row r="101285" spans="10:10" x14ac:dyDescent="0.3">
      <c r="J101285"/>
    </row>
    <row r="101286" spans="10:10" x14ac:dyDescent="0.3">
      <c r="J101286"/>
    </row>
    <row r="101287" spans="10:10" x14ac:dyDescent="0.3">
      <c r="J101287"/>
    </row>
    <row r="101288" spans="10:10" x14ac:dyDescent="0.3">
      <c r="J101288"/>
    </row>
    <row r="101289" spans="10:10" x14ac:dyDescent="0.3">
      <c r="J101289"/>
    </row>
    <row r="101290" spans="10:10" x14ac:dyDescent="0.3">
      <c r="J101290"/>
    </row>
    <row r="101291" spans="10:10" x14ac:dyDescent="0.3">
      <c r="J101291"/>
    </row>
    <row r="101292" spans="10:10" x14ac:dyDescent="0.3">
      <c r="J101292"/>
    </row>
    <row r="101293" spans="10:10" x14ac:dyDescent="0.3">
      <c r="J101293"/>
    </row>
    <row r="101294" spans="10:10" x14ac:dyDescent="0.3">
      <c r="J101294"/>
    </row>
    <row r="101295" spans="10:10" x14ac:dyDescent="0.3">
      <c r="J101295"/>
    </row>
    <row r="101296" spans="10:10" x14ac:dyDescent="0.3">
      <c r="J101296"/>
    </row>
    <row r="101297" spans="10:10" x14ac:dyDescent="0.3">
      <c r="J101297"/>
    </row>
    <row r="101298" spans="10:10" x14ac:dyDescent="0.3">
      <c r="J101298"/>
    </row>
    <row r="101299" spans="10:10" x14ac:dyDescent="0.3">
      <c r="J101299"/>
    </row>
    <row r="101300" spans="10:10" x14ac:dyDescent="0.3">
      <c r="J101300"/>
    </row>
    <row r="101301" spans="10:10" x14ac:dyDescent="0.3">
      <c r="J101301"/>
    </row>
    <row r="101302" spans="10:10" x14ac:dyDescent="0.3">
      <c r="J101302"/>
    </row>
    <row r="101303" spans="10:10" x14ac:dyDescent="0.3">
      <c r="J101303"/>
    </row>
    <row r="101304" spans="10:10" x14ac:dyDescent="0.3">
      <c r="J101304"/>
    </row>
    <row r="101305" spans="10:10" x14ac:dyDescent="0.3">
      <c r="J101305"/>
    </row>
    <row r="101306" spans="10:10" x14ac:dyDescent="0.3">
      <c r="J101306"/>
    </row>
    <row r="101307" spans="10:10" x14ac:dyDescent="0.3">
      <c r="J101307"/>
    </row>
    <row r="101308" spans="10:10" x14ac:dyDescent="0.3">
      <c r="J101308"/>
    </row>
    <row r="101309" spans="10:10" x14ac:dyDescent="0.3">
      <c r="J101309"/>
    </row>
    <row r="101310" spans="10:10" x14ac:dyDescent="0.3">
      <c r="J101310"/>
    </row>
    <row r="101311" spans="10:10" x14ac:dyDescent="0.3">
      <c r="J101311"/>
    </row>
    <row r="101312" spans="10:10" x14ac:dyDescent="0.3">
      <c r="J101312"/>
    </row>
    <row r="101313" spans="10:10" x14ac:dyDescent="0.3">
      <c r="J101313"/>
    </row>
    <row r="101314" spans="10:10" x14ac:dyDescent="0.3">
      <c r="J101314"/>
    </row>
    <row r="101315" spans="10:10" x14ac:dyDescent="0.3">
      <c r="J101315"/>
    </row>
    <row r="101316" spans="10:10" x14ac:dyDescent="0.3">
      <c r="J101316"/>
    </row>
    <row r="101317" spans="10:10" x14ac:dyDescent="0.3">
      <c r="J101317"/>
    </row>
    <row r="101318" spans="10:10" x14ac:dyDescent="0.3">
      <c r="J101318"/>
    </row>
    <row r="101319" spans="10:10" x14ac:dyDescent="0.3">
      <c r="J101319"/>
    </row>
    <row r="101320" spans="10:10" x14ac:dyDescent="0.3">
      <c r="J101320"/>
    </row>
    <row r="101321" spans="10:10" x14ac:dyDescent="0.3">
      <c r="J101321"/>
    </row>
    <row r="101322" spans="10:10" x14ac:dyDescent="0.3">
      <c r="J101322"/>
    </row>
    <row r="101323" spans="10:10" x14ac:dyDescent="0.3">
      <c r="J101323"/>
    </row>
    <row r="101324" spans="10:10" x14ac:dyDescent="0.3">
      <c r="J101324"/>
    </row>
    <row r="101325" spans="10:10" x14ac:dyDescent="0.3">
      <c r="J101325"/>
    </row>
    <row r="101326" spans="10:10" x14ac:dyDescent="0.3">
      <c r="J101326"/>
    </row>
    <row r="101327" spans="10:10" x14ac:dyDescent="0.3">
      <c r="J101327"/>
    </row>
    <row r="101328" spans="10:10" x14ac:dyDescent="0.3">
      <c r="J101328"/>
    </row>
    <row r="101329" spans="10:10" x14ac:dyDescent="0.3">
      <c r="J101329"/>
    </row>
    <row r="101330" spans="10:10" x14ac:dyDescent="0.3">
      <c r="J101330"/>
    </row>
    <row r="101331" spans="10:10" x14ac:dyDescent="0.3">
      <c r="J101331"/>
    </row>
    <row r="101332" spans="10:10" x14ac:dyDescent="0.3">
      <c r="J101332"/>
    </row>
    <row r="101333" spans="10:10" x14ac:dyDescent="0.3">
      <c r="J101333"/>
    </row>
    <row r="101334" spans="10:10" x14ac:dyDescent="0.3">
      <c r="J101334"/>
    </row>
    <row r="101335" spans="10:10" x14ac:dyDescent="0.3">
      <c r="J101335"/>
    </row>
    <row r="101336" spans="10:10" x14ac:dyDescent="0.3">
      <c r="J101336"/>
    </row>
    <row r="101337" spans="10:10" x14ac:dyDescent="0.3">
      <c r="J101337"/>
    </row>
    <row r="101338" spans="10:10" x14ac:dyDescent="0.3">
      <c r="J101338"/>
    </row>
    <row r="101339" spans="10:10" x14ac:dyDescent="0.3">
      <c r="J101339"/>
    </row>
    <row r="101340" spans="10:10" x14ac:dyDescent="0.3">
      <c r="J101340"/>
    </row>
    <row r="101341" spans="10:10" x14ac:dyDescent="0.3">
      <c r="J101341"/>
    </row>
    <row r="101342" spans="10:10" x14ac:dyDescent="0.3">
      <c r="J101342"/>
    </row>
    <row r="101343" spans="10:10" x14ac:dyDescent="0.3">
      <c r="J101343"/>
    </row>
    <row r="101344" spans="10:10" x14ac:dyDescent="0.3">
      <c r="J101344"/>
    </row>
    <row r="101345" spans="10:10" x14ac:dyDescent="0.3">
      <c r="J101345"/>
    </row>
    <row r="101346" spans="10:10" x14ac:dyDescent="0.3">
      <c r="J101346"/>
    </row>
    <row r="101347" spans="10:10" x14ac:dyDescent="0.3">
      <c r="J101347"/>
    </row>
    <row r="101348" spans="10:10" x14ac:dyDescent="0.3">
      <c r="J101348"/>
    </row>
    <row r="101349" spans="10:10" x14ac:dyDescent="0.3">
      <c r="J101349"/>
    </row>
    <row r="101350" spans="10:10" x14ac:dyDescent="0.3">
      <c r="J101350"/>
    </row>
    <row r="101351" spans="10:10" x14ac:dyDescent="0.3">
      <c r="J101351"/>
    </row>
    <row r="101352" spans="10:10" x14ac:dyDescent="0.3">
      <c r="J101352"/>
    </row>
    <row r="101353" spans="10:10" x14ac:dyDescent="0.3">
      <c r="J101353"/>
    </row>
    <row r="101354" spans="10:10" x14ac:dyDescent="0.3">
      <c r="J101354"/>
    </row>
    <row r="101355" spans="10:10" x14ac:dyDescent="0.3">
      <c r="J101355"/>
    </row>
    <row r="101356" spans="10:10" x14ac:dyDescent="0.3">
      <c r="J101356"/>
    </row>
    <row r="101357" spans="10:10" x14ac:dyDescent="0.3">
      <c r="J101357"/>
    </row>
    <row r="101358" spans="10:10" x14ac:dyDescent="0.3">
      <c r="J101358"/>
    </row>
    <row r="101359" spans="10:10" x14ac:dyDescent="0.3">
      <c r="J101359"/>
    </row>
    <row r="101360" spans="10:10" x14ac:dyDescent="0.3">
      <c r="J101360"/>
    </row>
    <row r="101361" spans="10:10" x14ac:dyDescent="0.3">
      <c r="J101361"/>
    </row>
    <row r="101362" spans="10:10" x14ac:dyDescent="0.3">
      <c r="J101362"/>
    </row>
    <row r="101363" spans="10:10" x14ac:dyDescent="0.3">
      <c r="J101363"/>
    </row>
    <row r="101364" spans="10:10" x14ac:dyDescent="0.3">
      <c r="J101364"/>
    </row>
    <row r="101365" spans="10:10" x14ac:dyDescent="0.3">
      <c r="J101365"/>
    </row>
    <row r="101366" spans="10:10" x14ac:dyDescent="0.3">
      <c r="J101366"/>
    </row>
    <row r="101367" spans="10:10" x14ac:dyDescent="0.3">
      <c r="J101367"/>
    </row>
    <row r="101368" spans="10:10" x14ac:dyDescent="0.3">
      <c r="J101368"/>
    </row>
    <row r="101369" spans="10:10" x14ac:dyDescent="0.3">
      <c r="J101369"/>
    </row>
    <row r="101370" spans="10:10" x14ac:dyDescent="0.3">
      <c r="J101370"/>
    </row>
    <row r="101371" spans="10:10" x14ac:dyDescent="0.3">
      <c r="J101371"/>
    </row>
    <row r="101372" spans="10:10" x14ac:dyDescent="0.3">
      <c r="J101372"/>
    </row>
    <row r="101373" spans="10:10" x14ac:dyDescent="0.3">
      <c r="J101373"/>
    </row>
    <row r="101374" spans="10:10" x14ac:dyDescent="0.3">
      <c r="J101374"/>
    </row>
    <row r="101375" spans="10:10" x14ac:dyDescent="0.3">
      <c r="J101375"/>
    </row>
    <row r="101376" spans="10:10" x14ac:dyDescent="0.3">
      <c r="J101376"/>
    </row>
    <row r="101377" spans="10:10" x14ac:dyDescent="0.3">
      <c r="J101377"/>
    </row>
    <row r="101378" spans="10:10" x14ac:dyDescent="0.3">
      <c r="J101378"/>
    </row>
    <row r="101379" spans="10:10" x14ac:dyDescent="0.3">
      <c r="J101379"/>
    </row>
    <row r="101380" spans="10:10" x14ac:dyDescent="0.3">
      <c r="J101380"/>
    </row>
    <row r="101381" spans="10:10" x14ac:dyDescent="0.3">
      <c r="J101381"/>
    </row>
    <row r="101382" spans="10:10" x14ac:dyDescent="0.3">
      <c r="J101382"/>
    </row>
    <row r="101383" spans="10:10" x14ac:dyDescent="0.3">
      <c r="J101383"/>
    </row>
    <row r="101384" spans="10:10" x14ac:dyDescent="0.3">
      <c r="J101384"/>
    </row>
    <row r="101385" spans="10:10" x14ac:dyDescent="0.3">
      <c r="J101385"/>
    </row>
    <row r="101386" spans="10:10" x14ac:dyDescent="0.3">
      <c r="J101386"/>
    </row>
    <row r="101387" spans="10:10" x14ac:dyDescent="0.3">
      <c r="J101387"/>
    </row>
    <row r="101388" spans="10:10" x14ac:dyDescent="0.3">
      <c r="J101388"/>
    </row>
    <row r="101389" spans="10:10" x14ac:dyDescent="0.3">
      <c r="J101389"/>
    </row>
    <row r="101390" spans="10:10" x14ac:dyDescent="0.3">
      <c r="J101390"/>
    </row>
    <row r="101391" spans="10:10" x14ac:dyDescent="0.3">
      <c r="J101391"/>
    </row>
    <row r="101392" spans="10:10" x14ac:dyDescent="0.3">
      <c r="J101392"/>
    </row>
    <row r="101393" spans="10:10" x14ac:dyDescent="0.3">
      <c r="J101393"/>
    </row>
    <row r="101394" spans="10:10" x14ac:dyDescent="0.3">
      <c r="J101394"/>
    </row>
    <row r="101395" spans="10:10" x14ac:dyDescent="0.3">
      <c r="J101395"/>
    </row>
    <row r="101396" spans="10:10" x14ac:dyDescent="0.3">
      <c r="J101396"/>
    </row>
    <row r="101397" spans="10:10" x14ac:dyDescent="0.3">
      <c r="J101397"/>
    </row>
    <row r="101398" spans="10:10" x14ac:dyDescent="0.3">
      <c r="J101398"/>
    </row>
    <row r="101399" spans="10:10" x14ac:dyDescent="0.3">
      <c r="J101399"/>
    </row>
    <row r="101400" spans="10:10" x14ac:dyDescent="0.3">
      <c r="J101400"/>
    </row>
    <row r="101401" spans="10:10" x14ac:dyDescent="0.3">
      <c r="J101401"/>
    </row>
    <row r="101402" spans="10:10" x14ac:dyDescent="0.3">
      <c r="J101402"/>
    </row>
    <row r="101403" spans="10:10" x14ac:dyDescent="0.3">
      <c r="J101403"/>
    </row>
    <row r="101404" spans="10:10" x14ac:dyDescent="0.3">
      <c r="J101404"/>
    </row>
    <row r="101405" spans="10:10" x14ac:dyDescent="0.3">
      <c r="J101405"/>
    </row>
    <row r="101406" spans="10:10" x14ac:dyDescent="0.3">
      <c r="J101406"/>
    </row>
    <row r="101407" spans="10:10" x14ac:dyDescent="0.3">
      <c r="J101407"/>
    </row>
    <row r="101408" spans="10:10" x14ac:dyDescent="0.3">
      <c r="J101408"/>
    </row>
    <row r="101409" spans="10:10" x14ac:dyDescent="0.3">
      <c r="J101409"/>
    </row>
    <row r="101410" spans="10:10" x14ac:dyDescent="0.3">
      <c r="J101410"/>
    </row>
    <row r="101411" spans="10:10" x14ac:dyDescent="0.3">
      <c r="J101411"/>
    </row>
    <row r="101412" spans="10:10" x14ac:dyDescent="0.3">
      <c r="J101412"/>
    </row>
    <row r="101413" spans="10:10" x14ac:dyDescent="0.3">
      <c r="J101413"/>
    </row>
    <row r="101414" spans="10:10" x14ac:dyDescent="0.3">
      <c r="J101414"/>
    </row>
    <row r="101415" spans="10:10" x14ac:dyDescent="0.3">
      <c r="J101415"/>
    </row>
    <row r="101416" spans="10:10" x14ac:dyDescent="0.3">
      <c r="J101416"/>
    </row>
    <row r="101417" spans="10:10" x14ac:dyDescent="0.3">
      <c r="J101417"/>
    </row>
    <row r="101418" spans="10:10" x14ac:dyDescent="0.3">
      <c r="J101418"/>
    </row>
    <row r="101419" spans="10:10" x14ac:dyDescent="0.3">
      <c r="J101419"/>
    </row>
    <row r="101420" spans="10:10" x14ac:dyDescent="0.3">
      <c r="J101420"/>
    </row>
    <row r="101421" spans="10:10" x14ac:dyDescent="0.3">
      <c r="J101421"/>
    </row>
    <row r="101422" spans="10:10" x14ac:dyDescent="0.3">
      <c r="J101422"/>
    </row>
    <row r="101423" spans="10:10" x14ac:dyDescent="0.3">
      <c r="J101423"/>
    </row>
    <row r="101424" spans="10:10" x14ac:dyDescent="0.3">
      <c r="J101424"/>
    </row>
    <row r="101425" spans="10:10" x14ac:dyDescent="0.3">
      <c r="J101425"/>
    </row>
    <row r="101426" spans="10:10" x14ac:dyDescent="0.3">
      <c r="J101426"/>
    </row>
    <row r="101427" spans="10:10" x14ac:dyDescent="0.3">
      <c r="J101427"/>
    </row>
    <row r="101428" spans="10:10" x14ac:dyDescent="0.3">
      <c r="J101428"/>
    </row>
    <row r="101429" spans="10:10" x14ac:dyDescent="0.3">
      <c r="J101429"/>
    </row>
    <row r="101430" spans="10:10" x14ac:dyDescent="0.3">
      <c r="J101430"/>
    </row>
    <row r="101431" spans="10:10" x14ac:dyDescent="0.3">
      <c r="J101431"/>
    </row>
    <row r="101432" spans="10:10" x14ac:dyDescent="0.3">
      <c r="J101432"/>
    </row>
    <row r="101433" spans="10:10" x14ac:dyDescent="0.3">
      <c r="J101433"/>
    </row>
    <row r="101434" spans="10:10" x14ac:dyDescent="0.3">
      <c r="J101434"/>
    </row>
    <row r="101435" spans="10:10" x14ac:dyDescent="0.3">
      <c r="J101435"/>
    </row>
    <row r="101436" spans="10:10" x14ac:dyDescent="0.3">
      <c r="J101436"/>
    </row>
    <row r="101437" spans="10:10" x14ac:dyDescent="0.3">
      <c r="J101437"/>
    </row>
    <row r="101438" spans="10:10" x14ac:dyDescent="0.3">
      <c r="J101438"/>
    </row>
    <row r="101439" spans="10:10" x14ac:dyDescent="0.3">
      <c r="J101439"/>
    </row>
    <row r="101440" spans="10:10" x14ac:dyDescent="0.3">
      <c r="J101440"/>
    </row>
    <row r="101441" spans="10:10" x14ac:dyDescent="0.3">
      <c r="J101441"/>
    </row>
    <row r="101442" spans="10:10" x14ac:dyDescent="0.3">
      <c r="J101442"/>
    </row>
    <row r="101443" spans="10:10" x14ac:dyDescent="0.3">
      <c r="J101443"/>
    </row>
    <row r="101444" spans="10:10" x14ac:dyDescent="0.3">
      <c r="J101444"/>
    </row>
    <row r="101445" spans="10:10" x14ac:dyDescent="0.3">
      <c r="J101445"/>
    </row>
    <row r="101446" spans="10:10" x14ac:dyDescent="0.3">
      <c r="J101446"/>
    </row>
    <row r="101447" spans="10:10" x14ac:dyDescent="0.3">
      <c r="J101447"/>
    </row>
    <row r="101448" spans="10:10" x14ac:dyDescent="0.3">
      <c r="J101448"/>
    </row>
    <row r="101449" spans="10:10" x14ac:dyDescent="0.3">
      <c r="J101449"/>
    </row>
    <row r="101450" spans="10:10" x14ac:dyDescent="0.3">
      <c r="J101450"/>
    </row>
    <row r="101451" spans="10:10" x14ac:dyDescent="0.3">
      <c r="J101451"/>
    </row>
    <row r="101452" spans="10:10" x14ac:dyDescent="0.3">
      <c r="J101452"/>
    </row>
    <row r="101453" spans="10:10" x14ac:dyDescent="0.3">
      <c r="J101453"/>
    </row>
    <row r="101454" spans="10:10" x14ac:dyDescent="0.3">
      <c r="J101454"/>
    </row>
    <row r="101455" spans="10:10" x14ac:dyDescent="0.3">
      <c r="J101455"/>
    </row>
    <row r="101456" spans="10:10" x14ac:dyDescent="0.3">
      <c r="J101456"/>
    </row>
    <row r="101457" spans="10:10" x14ac:dyDescent="0.3">
      <c r="J101457"/>
    </row>
    <row r="101458" spans="10:10" x14ac:dyDescent="0.3">
      <c r="J101458"/>
    </row>
    <row r="101459" spans="10:10" x14ac:dyDescent="0.3">
      <c r="J101459"/>
    </row>
    <row r="101460" spans="10:10" x14ac:dyDescent="0.3">
      <c r="J101460"/>
    </row>
    <row r="101461" spans="10:10" x14ac:dyDescent="0.3">
      <c r="J101461"/>
    </row>
    <row r="101462" spans="10:10" x14ac:dyDescent="0.3">
      <c r="J101462"/>
    </row>
    <row r="101463" spans="10:10" x14ac:dyDescent="0.3">
      <c r="J101463"/>
    </row>
    <row r="101464" spans="10:10" x14ac:dyDescent="0.3">
      <c r="J101464"/>
    </row>
    <row r="101465" spans="10:10" x14ac:dyDescent="0.3">
      <c r="J101465"/>
    </row>
    <row r="101466" spans="10:10" x14ac:dyDescent="0.3">
      <c r="J101466"/>
    </row>
    <row r="101467" spans="10:10" x14ac:dyDescent="0.3">
      <c r="J101467"/>
    </row>
    <row r="101468" spans="10:10" x14ac:dyDescent="0.3">
      <c r="J101468"/>
    </row>
    <row r="101469" spans="10:10" x14ac:dyDescent="0.3">
      <c r="J101469"/>
    </row>
    <row r="101470" spans="10:10" x14ac:dyDescent="0.3">
      <c r="J101470"/>
    </row>
    <row r="101471" spans="10:10" x14ac:dyDescent="0.3">
      <c r="J101471"/>
    </row>
    <row r="101472" spans="10:10" x14ac:dyDescent="0.3">
      <c r="J101472"/>
    </row>
    <row r="101473" spans="10:10" x14ac:dyDescent="0.3">
      <c r="J101473"/>
    </row>
    <row r="101474" spans="10:10" x14ac:dyDescent="0.3">
      <c r="J101474"/>
    </row>
    <row r="101475" spans="10:10" x14ac:dyDescent="0.3">
      <c r="J101475"/>
    </row>
    <row r="101476" spans="10:10" x14ac:dyDescent="0.3">
      <c r="J101476"/>
    </row>
    <row r="101477" spans="10:10" x14ac:dyDescent="0.3">
      <c r="J101477"/>
    </row>
    <row r="101478" spans="10:10" x14ac:dyDescent="0.3">
      <c r="J101478"/>
    </row>
    <row r="101479" spans="10:10" x14ac:dyDescent="0.3">
      <c r="J101479"/>
    </row>
    <row r="101480" spans="10:10" x14ac:dyDescent="0.3">
      <c r="J101480"/>
    </row>
    <row r="101481" spans="10:10" x14ac:dyDescent="0.3">
      <c r="J101481"/>
    </row>
    <row r="101482" spans="10:10" x14ac:dyDescent="0.3">
      <c r="J101482"/>
    </row>
    <row r="101483" spans="10:10" x14ac:dyDescent="0.3">
      <c r="J101483"/>
    </row>
    <row r="101484" spans="10:10" x14ac:dyDescent="0.3">
      <c r="J101484"/>
    </row>
    <row r="101485" spans="10:10" x14ac:dyDescent="0.3">
      <c r="J101485"/>
    </row>
    <row r="101486" spans="10:10" x14ac:dyDescent="0.3">
      <c r="J101486"/>
    </row>
    <row r="101487" spans="10:10" x14ac:dyDescent="0.3">
      <c r="J101487"/>
    </row>
    <row r="101488" spans="10:10" x14ac:dyDescent="0.3">
      <c r="J101488"/>
    </row>
    <row r="101489" spans="10:10" x14ac:dyDescent="0.3">
      <c r="J101489"/>
    </row>
    <row r="101490" spans="10:10" x14ac:dyDescent="0.3">
      <c r="J101490"/>
    </row>
    <row r="101491" spans="10:10" x14ac:dyDescent="0.3">
      <c r="J101491"/>
    </row>
    <row r="101492" spans="10:10" x14ac:dyDescent="0.3">
      <c r="J101492"/>
    </row>
    <row r="101493" spans="10:10" x14ac:dyDescent="0.3">
      <c r="J101493"/>
    </row>
    <row r="101494" spans="10:10" x14ac:dyDescent="0.3">
      <c r="J101494"/>
    </row>
    <row r="101495" spans="10:10" x14ac:dyDescent="0.3">
      <c r="J101495"/>
    </row>
    <row r="101496" spans="10:10" x14ac:dyDescent="0.3">
      <c r="J101496"/>
    </row>
    <row r="101497" spans="10:10" x14ac:dyDescent="0.3">
      <c r="J101497"/>
    </row>
    <row r="101498" spans="10:10" x14ac:dyDescent="0.3">
      <c r="J101498"/>
    </row>
    <row r="101499" spans="10:10" x14ac:dyDescent="0.3">
      <c r="J101499"/>
    </row>
    <row r="101500" spans="10:10" x14ac:dyDescent="0.3">
      <c r="J101500"/>
    </row>
    <row r="101501" spans="10:10" x14ac:dyDescent="0.3">
      <c r="J101501"/>
    </row>
    <row r="101502" spans="10:10" x14ac:dyDescent="0.3">
      <c r="J101502"/>
    </row>
    <row r="101503" spans="10:10" x14ac:dyDescent="0.3">
      <c r="J101503"/>
    </row>
    <row r="101504" spans="10:10" x14ac:dyDescent="0.3">
      <c r="J101504"/>
    </row>
    <row r="101505" spans="10:10" x14ac:dyDescent="0.3">
      <c r="J101505"/>
    </row>
    <row r="101506" spans="10:10" x14ac:dyDescent="0.3">
      <c r="J101506"/>
    </row>
    <row r="101507" spans="10:10" x14ac:dyDescent="0.3">
      <c r="J101507"/>
    </row>
    <row r="101508" spans="10:10" x14ac:dyDescent="0.3">
      <c r="J101508"/>
    </row>
    <row r="101509" spans="10:10" x14ac:dyDescent="0.3">
      <c r="J101509"/>
    </row>
    <row r="101510" spans="10:10" x14ac:dyDescent="0.3">
      <c r="J101510"/>
    </row>
    <row r="101511" spans="10:10" x14ac:dyDescent="0.3">
      <c r="J101511"/>
    </row>
    <row r="101512" spans="10:10" x14ac:dyDescent="0.3">
      <c r="J101512"/>
    </row>
    <row r="101513" spans="10:10" x14ac:dyDescent="0.3">
      <c r="J101513"/>
    </row>
    <row r="101514" spans="10:10" x14ac:dyDescent="0.3">
      <c r="J101514"/>
    </row>
    <row r="101515" spans="10:10" x14ac:dyDescent="0.3">
      <c r="J101515"/>
    </row>
    <row r="101516" spans="10:10" x14ac:dyDescent="0.3">
      <c r="J101516"/>
    </row>
    <row r="101517" spans="10:10" x14ac:dyDescent="0.3">
      <c r="J101517"/>
    </row>
    <row r="101518" spans="10:10" x14ac:dyDescent="0.3">
      <c r="J101518"/>
    </row>
    <row r="101519" spans="10:10" x14ac:dyDescent="0.3">
      <c r="J101519"/>
    </row>
    <row r="101520" spans="10:10" x14ac:dyDescent="0.3">
      <c r="J101520"/>
    </row>
    <row r="101521" spans="10:10" x14ac:dyDescent="0.3">
      <c r="J101521"/>
    </row>
    <row r="101522" spans="10:10" x14ac:dyDescent="0.3">
      <c r="J101522"/>
    </row>
    <row r="101523" spans="10:10" x14ac:dyDescent="0.3">
      <c r="J101523"/>
    </row>
    <row r="101524" spans="10:10" x14ac:dyDescent="0.3">
      <c r="J101524"/>
    </row>
    <row r="101525" spans="10:10" x14ac:dyDescent="0.3">
      <c r="J101525"/>
    </row>
    <row r="101526" spans="10:10" x14ac:dyDescent="0.3">
      <c r="J101526"/>
    </row>
    <row r="101527" spans="10:10" x14ac:dyDescent="0.3">
      <c r="J101527"/>
    </row>
    <row r="101528" spans="10:10" x14ac:dyDescent="0.3">
      <c r="J101528"/>
    </row>
    <row r="101529" spans="10:10" x14ac:dyDescent="0.3">
      <c r="J101529"/>
    </row>
    <row r="101530" spans="10:10" x14ac:dyDescent="0.3">
      <c r="J101530"/>
    </row>
    <row r="101531" spans="10:10" x14ac:dyDescent="0.3">
      <c r="J101531"/>
    </row>
    <row r="101532" spans="10:10" x14ac:dyDescent="0.3">
      <c r="J101532"/>
    </row>
    <row r="101533" spans="10:10" x14ac:dyDescent="0.3">
      <c r="J101533"/>
    </row>
    <row r="101534" spans="10:10" x14ac:dyDescent="0.3">
      <c r="J101534"/>
    </row>
    <row r="101535" spans="10:10" x14ac:dyDescent="0.3">
      <c r="J101535"/>
    </row>
    <row r="101536" spans="10:10" x14ac:dyDescent="0.3">
      <c r="J101536"/>
    </row>
    <row r="101537" spans="10:10" x14ac:dyDescent="0.3">
      <c r="J101537"/>
    </row>
    <row r="101538" spans="10:10" x14ac:dyDescent="0.3">
      <c r="J101538"/>
    </row>
    <row r="101539" spans="10:10" x14ac:dyDescent="0.3">
      <c r="J101539"/>
    </row>
    <row r="101540" spans="10:10" x14ac:dyDescent="0.3">
      <c r="J101540"/>
    </row>
    <row r="101541" spans="10:10" x14ac:dyDescent="0.3">
      <c r="J101541"/>
    </row>
    <row r="101542" spans="10:10" x14ac:dyDescent="0.3">
      <c r="J101542"/>
    </row>
    <row r="101543" spans="10:10" x14ac:dyDescent="0.3">
      <c r="J101543"/>
    </row>
    <row r="101544" spans="10:10" x14ac:dyDescent="0.3">
      <c r="J101544"/>
    </row>
    <row r="101545" spans="10:10" x14ac:dyDescent="0.3">
      <c r="J101545"/>
    </row>
    <row r="101546" spans="10:10" x14ac:dyDescent="0.3">
      <c r="J101546"/>
    </row>
    <row r="101547" spans="10:10" x14ac:dyDescent="0.3">
      <c r="J101547"/>
    </row>
    <row r="101548" spans="10:10" x14ac:dyDescent="0.3">
      <c r="J101548"/>
    </row>
    <row r="101549" spans="10:10" x14ac:dyDescent="0.3">
      <c r="J101549"/>
    </row>
    <row r="101550" spans="10:10" x14ac:dyDescent="0.3">
      <c r="J101550"/>
    </row>
    <row r="101551" spans="10:10" x14ac:dyDescent="0.3">
      <c r="J101551"/>
    </row>
    <row r="101552" spans="10:10" x14ac:dyDescent="0.3">
      <c r="J101552"/>
    </row>
    <row r="101553" spans="10:10" x14ac:dyDescent="0.3">
      <c r="J101553"/>
    </row>
    <row r="101554" spans="10:10" x14ac:dyDescent="0.3">
      <c r="J101554"/>
    </row>
    <row r="101555" spans="10:10" x14ac:dyDescent="0.3">
      <c r="J101555"/>
    </row>
    <row r="101556" spans="10:10" x14ac:dyDescent="0.3">
      <c r="J101556"/>
    </row>
    <row r="101557" spans="10:10" x14ac:dyDescent="0.3">
      <c r="J101557"/>
    </row>
    <row r="101558" spans="10:10" x14ac:dyDescent="0.3">
      <c r="J101558"/>
    </row>
    <row r="101559" spans="10:10" x14ac:dyDescent="0.3">
      <c r="J101559"/>
    </row>
    <row r="101560" spans="10:10" x14ac:dyDescent="0.3">
      <c r="J101560"/>
    </row>
    <row r="101561" spans="10:10" x14ac:dyDescent="0.3">
      <c r="J101561"/>
    </row>
    <row r="101562" spans="10:10" x14ac:dyDescent="0.3">
      <c r="J101562"/>
    </row>
    <row r="101563" spans="10:10" x14ac:dyDescent="0.3">
      <c r="J101563"/>
    </row>
    <row r="101564" spans="10:10" x14ac:dyDescent="0.3">
      <c r="J101564"/>
    </row>
    <row r="101565" spans="10:10" x14ac:dyDescent="0.3">
      <c r="J101565"/>
    </row>
    <row r="101566" spans="10:10" x14ac:dyDescent="0.3">
      <c r="J101566"/>
    </row>
    <row r="101567" spans="10:10" x14ac:dyDescent="0.3">
      <c r="J101567"/>
    </row>
    <row r="101568" spans="10:10" x14ac:dyDescent="0.3">
      <c r="J101568"/>
    </row>
    <row r="101569" spans="10:10" x14ac:dyDescent="0.3">
      <c r="J101569"/>
    </row>
    <row r="101570" spans="10:10" x14ac:dyDescent="0.3">
      <c r="J101570"/>
    </row>
    <row r="101571" spans="10:10" x14ac:dyDescent="0.3">
      <c r="J101571"/>
    </row>
    <row r="101572" spans="10:10" x14ac:dyDescent="0.3">
      <c r="J101572"/>
    </row>
    <row r="101573" spans="10:10" x14ac:dyDescent="0.3">
      <c r="J101573"/>
    </row>
    <row r="101574" spans="10:10" x14ac:dyDescent="0.3">
      <c r="J101574"/>
    </row>
    <row r="101575" spans="10:10" x14ac:dyDescent="0.3">
      <c r="J101575"/>
    </row>
    <row r="101576" spans="10:10" x14ac:dyDescent="0.3">
      <c r="J101576"/>
    </row>
    <row r="101577" spans="10:10" x14ac:dyDescent="0.3">
      <c r="J101577"/>
    </row>
    <row r="101578" spans="10:10" x14ac:dyDescent="0.3">
      <c r="J101578"/>
    </row>
    <row r="101579" spans="10:10" x14ac:dyDescent="0.3">
      <c r="J101579"/>
    </row>
    <row r="101580" spans="10:10" x14ac:dyDescent="0.3">
      <c r="J101580"/>
    </row>
    <row r="101581" spans="10:10" x14ac:dyDescent="0.3">
      <c r="J101581"/>
    </row>
    <row r="101582" spans="10:10" x14ac:dyDescent="0.3">
      <c r="J101582"/>
    </row>
    <row r="101583" spans="10:10" x14ac:dyDescent="0.3">
      <c r="J101583"/>
    </row>
    <row r="101584" spans="10:10" x14ac:dyDescent="0.3">
      <c r="J101584"/>
    </row>
    <row r="101585" spans="10:10" x14ac:dyDescent="0.3">
      <c r="J101585"/>
    </row>
    <row r="101586" spans="10:10" x14ac:dyDescent="0.3">
      <c r="J101586"/>
    </row>
    <row r="101587" spans="10:10" x14ac:dyDescent="0.3">
      <c r="J101587"/>
    </row>
    <row r="101588" spans="10:10" x14ac:dyDescent="0.3">
      <c r="J101588"/>
    </row>
    <row r="101589" spans="10:10" x14ac:dyDescent="0.3">
      <c r="J101589"/>
    </row>
    <row r="101590" spans="10:10" x14ac:dyDescent="0.3">
      <c r="J101590"/>
    </row>
    <row r="101591" spans="10:10" x14ac:dyDescent="0.3">
      <c r="J101591"/>
    </row>
    <row r="101592" spans="10:10" x14ac:dyDescent="0.3">
      <c r="J101592"/>
    </row>
    <row r="101593" spans="10:10" x14ac:dyDescent="0.3">
      <c r="J101593"/>
    </row>
    <row r="101594" spans="10:10" x14ac:dyDescent="0.3">
      <c r="J101594"/>
    </row>
    <row r="101595" spans="10:10" x14ac:dyDescent="0.3">
      <c r="J101595"/>
    </row>
    <row r="101596" spans="10:10" x14ac:dyDescent="0.3">
      <c r="J101596"/>
    </row>
    <row r="101597" spans="10:10" x14ac:dyDescent="0.3">
      <c r="J101597"/>
    </row>
    <row r="101598" spans="10:10" x14ac:dyDescent="0.3">
      <c r="J101598"/>
    </row>
    <row r="101599" spans="10:10" x14ac:dyDescent="0.3">
      <c r="J101599"/>
    </row>
    <row r="101600" spans="10:10" x14ac:dyDescent="0.3">
      <c r="J101600"/>
    </row>
    <row r="101601" spans="10:10" x14ac:dyDescent="0.3">
      <c r="J101601"/>
    </row>
    <row r="101602" spans="10:10" x14ac:dyDescent="0.3">
      <c r="J101602"/>
    </row>
    <row r="101603" spans="10:10" x14ac:dyDescent="0.3">
      <c r="J101603"/>
    </row>
    <row r="101604" spans="10:10" x14ac:dyDescent="0.3">
      <c r="J101604"/>
    </row>
    <row r="101605" spans="10:10" x14ac:dyDescent="0.3">
      <c r="J101605"/>
    </row>
    <row r="101606" spans="10:10" x14ac:dyDescent="0.3">
      <c r="J101606"/>
    </row>
    <row r="101607" spans="10:10" x14ac:dyDescent="0.3">
      <c r="J101607"/>
    </row>
    <row r="101608" spans="10:10" x14ac:dyDescent="0.3">
      <c r="J101608"/>
    </row>
    <row r="101609" spans="10:10" x14ac:dyDescent="0.3">
      <c r="J101609"/>
    </row>
    <row r="101610" spans="10:10" x14ac:dyDescent="0.3">
      <c r="J101610"/>
    </row>
    <row r="101611" spans="10:10" x14ac:dyDescent="0.3">
      <c r="J101611"/>
    </row>
    <row r="101612" spans="10:10" x14ac:dyDescent="0.3">
      <c r="J101612"/>
    </row>
    <row r="101613" spans="10:10" x14ac:dyDescent="0.3">
      <c r="J101613"/>
    </row>
    <row r="101614" spans="10:10" x14ac:dyDescent="0.3">
      <c r="J101614"/>
    </row>
    <row r="101615" spans="10:10" x14ac:dyDescent="0.3">
      <c r="J101615"/>
    </row>
    <row r="101616" spans="10:10" x14ac:dyDescent="0.3">
      <c r="J101616"/>
    </row>
    <row r="101617" spans="10:10" x14ac:dyDescent="0.3">
      <c r="J101617"/>
    </row>
    <row r="101618" spans="10:10" x14ac:dyDescent="0.3">
      <c r="J101618"/>
    </row>
    <row r="101619" spans="10:10" x14ac:dyDescent="0.3">
      <c r="J101619"/>
    </row>
    <row r="101620" spans="10:10" x14ac:dyDescent="0.3">
      <c r="J101620"/>
    </row>
    <row r="101621" spans="10:10" x14ac:dyDescent="0.3">
      <c r="J101621"/>
    </row>
    <row r="101622" spans="10:10" x14ac:dyDescent="0.3">
      <c r="J101622"/>
    </row>
    <row r="101623" spans="10:10" x14ac:dyDescent="0.3">
      <c r="J101623"/>
    </row>
    <row r="101624" spans="10:10" x14ac:dyDescent="0.3">
      <c r="J101624"/>
    </row>
    <row r="101625" spans="10:10" x14ac:dyDescent="0.3">
      <c r="J101625"/>
    </row>
    <row r="101626" spans="10:10" x14ac:dyDescent="0.3">
      <c r="J101626"/>
    </row>
    <row r="101627" spans="10:10" x14ac:dyDescent="0.3">
      <c r="J101627"/>
    </row>
    <row r="101628" spans="10:10" x14ac:dyDescent="0.3">
      <c r="J101628"/>
    </row>
    <row r="101629" spans="10:10" x14ac:dyDescent="0.3">
      <c r="J101629"/>
    </row>
    <row r="101630" spans="10:10" x14ac:dyDescent="0.3">
      <c r="J101630"/>
    </row>
    <row r="101631" spans="10:10" x14ac:dyDescent="0.3">
      <c r="J101631"/>
    </row>
    <row r="101632" spans="10:10" x14ac:dyDescent="0.3">
      <c r="J101632"/>
    </row>
    <row r="101633" spans="10:10" x14ac:dyDescent="0.3">
      <c r="J101633"/>
    </row>
    <row r="101634" spans="10:10" x14ac:dyDescent="0.3">
      <c r="J101634"/>
    </row>
    <row r="101635" spans="10:10" x14ac:dyDescent="0.3">
      <c r="J101635"/>
    </row>
    <row r="101636" spans="10:10" x14ac:dyDescent="0.3">
      <c r="J101636"/>
    </row>
    <row r="101637" spans="10:10" x14ac:dyDescent="0.3">
      <c r="J101637"/>
    </row>
    <row r="101638" spans="10:10" x14ac:dyDescent="0.3">
      <c r="J101638"/>
    </row>
    <row r="101639" spans="10:10" x14ac:dyDescent="0.3">
      <c r="J101639"/>
    </row>
    <row r="101640" spans="10:10" x14ac:dyDescent="0.3">
      <c r="J101640"/>
    </row>
    <row r="101641" spans="10:10" x14ac:dyDescent="0.3">
      <c r="J101641"/>
    </row>
    <row r="101642" spans="10:10" x14ac:dyDescent="0.3">
      <c r="J101642"/>
    </row>
    <row r="101643" spans="10:10" x14ac:dyDescent="0.3">
      <c r="J101643"/>
    </row>
    <row r="101644" spans="10:10" x14ac:dyDescent="0.3">
      <c r="J101644"/>
    </row>
    <row r="101645" spans="10:10" x14ac:dyDescent="0.3">
      <c r="J101645"/>
    </row>
    <row r="101646" spans="10:10" x14ac:dyDescent="0.3">
      <c r="J101646"/>
    </row>
    <row r="101647" spans="10:10" x14ac:dyDescent="0.3">
      <c r="J101647"/>
    </row>
    <row r="101648" spans="10:10" x14ac:dyDescent="0.3">
      <c r="J101648"/>
    </row>
    <row r="101649" spans="10:10" x14ac:dyDescent="0.3">
      <c r="J101649"/>
    </row>
    <row r="101650" spans="10:10" x14ac:dyDescent="0.3">
      <c r="J101650"/>
    </row>
    <row r="101651" spans="10:10" x14ac:dyDescent="0.3">
      <c r="J101651"/>
    </row>
    <row r="101652" spans="10:10" x14ac:dyDescent="0.3">
      <c r="J101652"/>
    </row>
    <row r="101653" spans="10:10" x14ac:dyDescent="0.3">
      <c r="J101653"/>
    </row>
    <row r="101654" spans="10:10" x14ac:dyDescent="0.3">
      <c r="J101654"/>
    </row>
    <row r="101655" spans="10:10" x14ac:dyDescent="0.3">
      <c r="J101655"/>
    </row>
    <row r="101656" spans="10:10" x14ac:dyDescent="0.3">
      <c r="J101656"/>
    </row>
    <row r="101657" spans="10:10" x14ac:dyDescent="0.3">
      <c r="J101657"/>
    </row>
    <row r="101658" spans="10:10" x14ac:dyDescent="0.3">
      <c r="J101658"/>
    </row>
    <row r="101659" spans="10:10" x14ac:dyDescent="0.3">
      <c r="J101659"/>
    </row>
    <row r="101660" spans="10:10" x14ac:dyDescent="0.3">
      <c r="J101660"/>
    </row>
    <row r="101661" spans="10:10" x14ac:dyDescent="0.3">
      <c r="J101661"/>
    </row>
    <row r="101662" spans="10:10" x14ac:dyDescent="0.3">
      <c r="J101662"/>
    </row>
    <row r="101663" spans="10:10" x14ac:dyDescent="0.3">
      <c r="J101663"/>
    </row>
    <row r="101664" spans="10:10" x14ac:dyDescent="0.3">
      <c r="J101664"/>
    </row>
    <row r="101665" spans="10:10" x14ac:dyDescent="0.3">
      <c r="J101665"/>
    </row>
    <row r="101666" spans="10:10" x14ac:dyDescent="0.3">
      <c r="J101666"/>
    </row>
    <row r="101667" spans="10:10" x14ac:dyDescent="0.3">
      <c r="J101667"/>
    </row>
    <row r="101668" spans="10:10" x14ac:dyDescent="0.3">
      <c r="J101668"/>
    </row>
    <row r="101669" spans="10:10" x14ac:dyDescent="0.3">
      <c r="J101669"/>
    </row>
    <row r="101670" spans="10:10" x14ac:dyDescent="0.3">
      <c r="J101670"/>
    </row>
    <row r="101671" spans="10:10" x14ac:dyDescent="0.3">
      <c r="J101671"/>
    </row>
    <row r="101672" spans="10:10" x14ac:dyDescent="0.3">
      <c r="J101672"/>
    </row>
    <row r="101673" spans="10:10" x14ac:dyDescent="0.3">
      <c r="J101673"/>
    </row>
    <row r="101674" spans="10:10" x14ac:dyDescent="0.3">
      <c r="J101674"/>
    </row>
    <row r="101675" spans="10:10" x14ac:dyDescent="0.3">
      <c r="J101675"/>
    </row>
    <row r="101676" spans="10:10" x14ac:dyDescent="0.3">
      <c r="J101676"/>
    </row>
    <row r="101677" spans="10:10" x14ac:dyDescent="0.3">
      <c r="J101677"/>
    </row>
    <row r="101678" spans="10:10" x14ac:dyDescent="0.3">
      <c r="J101678"/>
    </row>
    <row r="101679" spans="10:10" x14ac:dyDescent="0.3">
      <c r="J101679"/>
    </row>
    <row r="101680" spans="10:10" x14ac:dyDescent="0.3">
      <c r="J101680"/>
    </row>
    <row r="101681" spans="10:10" x14ac:dyDescent="0.3">
      <c r="J101681"/>
    </row>
    <row r="101682" spans="10:10" x14ac:dyDescent="0.3">
      <c r="J101682"/>
    </row>
    <row r="101683" spans="10:10" x14ac:dyDescent="0.3">
      <c r="J101683"/>
    </row>
    <row r="101684" spans="10:10" x14ac:dyDescent="0.3">
      <c r="J101684"/>
    </row>
    <row r="101685" spans="10:10" x14ac:dyDescent="0.3">
      <c r="J101685"/>
    </row>
    <row r="101686" spans="10:10" x14ac:dyDescent="0.3">
      <c r="J101686"/>
    </row>
    <row r="101687" spans="10:10" x14ac:dyDescent="0.3">
      <c r="J101687"/>
    </row>
    <row r="101688" spans="10:10" x14ac:dyDescent="0.3">
      <c r="J101688"/>
    </row>
    <row r="101689" spans="10:10" x14ac:dyDescent="0.3">
      <c r="J101689"/>
    </row>
    <row r="101690" spans="10:10" x14ac:dyDescent="0.3">
      <c r="J101690"/>
    </row>
    <row r="101691" spans="10:10" x14ac:dyDescent="0.3">
      <c r="J101691"/>
    </row>
    <row r="101692" spans="10:10" x14ac:dyDescent="0.3">
      <c r="J101692"/>
    </row>
    <row r="101693" spans="10:10" x14ac:dyDescent="0.3">
      <c r="J101693"/>
    </row>
    <row r="101694" spans="10:10" x14ac:dyDescent="0.3">
      <c r="J101694"/>
    </row>
    <row r="101695" spans="10:10" x14ac:dyDescent="0.3">
      <c r="J101695"/>
    </row>
    <row r="101696" spans="10:10" x14ac:dyDescent="0.3">
      <c r="J101696"/>
    </row>
    <row r="101697" spans="10:10" x14ac:dyDescent="0.3">
      <c r="J101697"/>
    </row>
    <row r="101698" spans="10:10" x14ac:dyDescent="0.3">
      <c r="J101698"/>
    </row>
    <row r="101699" spans="10:10" x14ac:dyDescent="0.3">
      <c r="J101699"/>
    </row>
    <row r="101700" spans="10:10" x14ac:dyDescent="0.3">
      <c r="J101700"/>
    </row>
    <row r="101701" spans="10:10" x14ac:dyDescent="0.3">
      <c r="J101701"/>
    </row>
    <row r="101702" spans="10:10" x14ac:dyDescent="0.3">
      <c r="J101702"/>
    </row>
    <row r="101703" spans="10:10" x14ac:dyDescent="0.3">
      <c r="J101703"/>
    </row>
    <row r="101704" spans="10:10" x14ac:dyDescent="0.3">
      <c r="J101704"/>
    </row>
    <row r="101705" spans="10:10" x14ac:dyDescent="0.3">
      <c r="J101705"/>
    </row>
    <row r="101706" spans="10:10" x14ac:dyDescent="0.3">
      <c r="J101706"/>
    </row>
    <row r="101707" spans="10:10" x14ac:dyDescent="0.3">
      <c r="J101707"/>
    </row>
    <row r="101708" spans="10:10" x14ac:dyDescent="0.3">
      <c r="J101708"/>
    </row>
    <row r="101709" spans="10:10" x14ac:dyDescent="0.3">
      <c r="J101709"/>
    </row>
    <row r="101710" spans="10:10" x14ac:dyDescent="0.3">
      <c r="J101710"/>
    </row>
    <row r="101711" spans="10:10" x14ac:dyDescent="0.3">
      <c r="J101711"/>
    </row>
    <row r="101712" spans="10:10" x14ac:dyDescent="0.3">
      <c r="J101712"/>
    </row>
    <row r="101713" spans="10:10" x14ac:dyDescent="0.3">
      <c r="J101713"/>
    </row>
    <row r="101714" spans="10:10" x14ac:dyDescent="0.3">
      <c r="J101714"/>
    </row>
    <row r="101715" spans="10:10" x14ac:dyDescent="0.3">
      <c r="J101715"/>
    </row>
    <row r="101716" spans="10:10" x14ac:dyDescent="0.3">
      <c r="J101716"/>
    </row>
    <row r="101717" spans="10:10" x14ac:dyDescent="0.3">
      <c r="J101717"/>
    </row>
    <row r="101718" spans="10:10" x14ac:dyDescent="0.3">
      <c r="J101718"/>
    </row>
    <row r="101719" spans="10:10" x14ac:dyDescent="0.3">
      <c r="J101719"/>
    </row>
    <row r="101720" spans="10:10" x14ac:dyDescent="0.3">
      <c r="J101720"/>
    </row>
    <row r="101721" spans="10:10" x14ac:dyDescent="0.3">
      <c r="J101721"/>
    </row>
    <row r="101722" spans="10:10" x14ac:dyDescent="0.3">
      <c r="J101722"/>
    </row>
    <row r="101723" spans="10:10" x14ac:dyDescent="0.3">
      <c r="J101723"/>
    </row>
    <row r="101724" spans="10:10" x14ac:dyDescent="0.3">
      <c r="J101724"/>
    </row>
    <row r="101725" spans="10:10" x14ac:dyDescent="0.3">
      <c r="J101725"/>
    </row>
    <row r="101726" spans="10:10" x14ac:dyDescent="0.3">
      <c r="J101726"/>
    </row>
    <row r="101727" spans="10:10" x14ac:dyDescent="0.3">
      <c r="J101727"/>
    </row>
    <row r="101728" spans="10:10" x14ac:dyDescent="0.3">
      <c r="J101728"/>
    </row>
    <row r="101729" spans="10:10" x14ac:dyDescent="0.3">
      <c r="J101729"/>
    </row>
    <row r="101730" spans="10:10" x14ac:dyDescent="0.3">
      <c r="J101730"/>
    </row>
    <row r="101731" spans="10:10" x14ac:dyDescent="0.3">
      <c r="J101731"/>
    </row>
    <row r="101732" spans="10:10" x14ac:dyDescent="0.3">
      <c r="J101732"/>
    </row>
    <row r="101733" spans="10:10" x14ac:dyDescent="0.3">
      <c r="J101733"/>
    </row>
    <row r="101734" spans="10:10" x14ac:dyDescent="0.3">
      <c r="J101734"/>
    </row>
    <row r="101735" spans="10:10" x14ac:dyDescent="0.3">
      <c r="J101735"/>
    </row>
    <row r="101736" spans="10:10" x14ac:dyDescent="0.3">
      <c r="J101736"/>
    </row>
    <row r="101737" spans="10:10" x14ac:dyDescent="0.3">
      <c r="J101737"/>
    </row>
    <row r="101738" spans="10:10" x14ac:dyDescent="0.3">
      <c r="J101738"/>
    </row>
    <row r="101739" spans="10:10" x14ac:dyDescent="0.3">
      <c r="J101739"/>
    </row>
    <row r="101740" spans="10:10" x14ac:dyDescent="0.3">
      <c r="J101740"/>
    </row>
    <row r="101741" spans="10:10" x14ac:dyDescent="0.3">
      <c r="J101741"/>
    </row>
    <row r="101742" spans="10:10" x14ac:dyDescent="0.3">
      <c r="J101742"/>
    </row>
    <row r="101743" spans="10:10" x14ac:dyDescent="0.3">
      <c r="J101743"/>
    </row>
    <row r="101744" spans="10:10" x14ac:dyDescent="0.3">
      <c r="J101744"/>
    </row>
    <row r="101745" spans="10:10" x14ac:dyDescent="0.3">
      <c r="J101745"/>
    </row>
    <row r="101746" spans="10:10" x14ac:dyDescent="0.3">
      <c r="J101746"/>
    </row>
    <row r="101747" spans="10:10" x14ac:dyDescent="0.3">
      <c r="J101747"/>
    </row>
    <row r="101748" spans="10:10" x14ac:dyDescent="0.3">
      <c r="J101748"/>
    </row>
    <row r="101749" spans="10:10" x14ac:dyDescent="0.3">
      <c r="J101749"/>
    </row>
    <row r="101750" spans="10:10" x14ac:dyDescent="0.3">
      <c r="J101750"/>
    </row>
    <row r="101751" spans="10:10" x14ac:dyDescent="0.3">
      <c r="J101751"/>
    </row>
    <row r="101752" spans="10:10" x14ac:dyDescent="0.3">
      <c r="J101752"/>
    </row>
    <row r="101753" spans="10:10" x14ac:dyDescent="0.3">
      <c r="J101753"/>
    </row>
    <row r="101754" spans="10:10" x14ac:dyDescent="0.3">
      <c r="J101754"/>
    </row>
    <row r="101755" spans="10:10" x14ac:dyDescent="0.3">
      <c r="J101755"/>
    </row>
    <row r="101756" spans="10:10" x14ac:dyDescent="0.3">
      <c r="J101756"/>
    </row>
    <row r="101757" spans="10:10" x14ac:dyDescent="0.3">
      <c r="J101757"/>
    </row>
    <row r="101758" spans="10:10" x14ac:dyDescent="0.3">
      <c r="J101758"/>
    </row>
    <row r="101759" spans="10:10" x14ac:dyDescent="0.3">
      <c r="J101759"/>
    </row>
    <row r="101760" spans="10:10" x14ac:dyDescent="0.3">
      <c r="J101760"/>
    </row>
    <row r="101761" spans="10:10" x14ac:dyDescent="0.3">
      <c r="J101761"/>
    </row>
    <row r="101762" spans="10:10" x14ac:dyDescent="0.3">
      <c r="J101762"/>
    </row>
    <row r="101763" spans="10:10" x14ac:dyDescent="0.3">
      <c r="J101763"/>
    </row>
    <row r="101764" spans="10:10" x14ac:dyDescent="0.3">
      <c r="J101764"/>
    </row>
    <row r="101765" spans="10:10" x14ac:dyDescent="0.3">
      <c r="J101765"/>
    </row>
    <row r="101766" spans="10:10" x14ac:dyDescent="0.3">
      <c r="J101766"/>
    </row>
    <row r="101767" spans="10:10" x14ac:dyDescent="0.3">
      <c r="J101767"/>
    </row>
    <row r="101768" spans="10:10" x14ac:dyDescent="0.3">
      <c r="J101768"/>
    </row>
    <row r="101769" spans="10:10" x14ac:dyDescent="0.3">
      <c r="J101769"/>
    </row>
    <row r="101770" spans="10:10" x14ac:dyDescent="0.3">
      <c r="J101770"/>
    </row>
    <row r="101771" spans="10:10" x14ac:dyDescent="0.3">
      <c r="J101771"/>
    </row>
    <row r="101772" spans="10:10" x14ac:dyDescent="0.3">
      <c r="J101772"/>
    </row>
    <row r="101773" spans="10:10" x14ac:dyDescent="0.3">
      <c r="J101773"/>
    </row>
    <row r="101774" spans="10:10" x14ac:dyDescent="0.3">
      <c r="J101774"/>
    </row>
    <row r="101775" spans="10:10" x14ac:dyDescent="0.3">
      <c r="J101775"/>
    </row>
    <row r="101776" spans="10:10" x14ac:dyDescent="0.3">
      <c r="J101776"/>
    </row>
    <row r="101777" spans="10:10" x14ac:dyDescent="0.3">
      <c r="J101777"/>
    </row>
    <row r="101778" spans="10:10" x14ac:dyDescent="0.3">
      <c r="J101778"/>
    </row>
    <row r="101779" spans="10:10" x14ac:dyDescent="0.3">
      <c r="J101779"/>
    </row>
    <row r="101780" spans="10:10" x14ac:dyDescent="0.3">
      <c r="J101780"/>
    </row>
    <row r="101781" spans="10:10" x14ac:dyDescent="0.3">
      <c r="J101781"/>
    </row>
    <row r="101782" spans="10:10" x14ac:dyDescent="0.3">
      <c r="J101782"/>
    </row>
    <row r="101783" spans="10:10" x14ac:dyDescent="0.3">
      <c r="J101783"/>
    </row>
    <row r="101784" spans="10:10" x14ac:dyDescent="0.3">
      <c r="J101784"/>
    </row>
    <row r="101785" spans="10:10" x14ac:dyDescent="0.3">
      <c r="J101785"/>
    </row>
    <row r="101786" spans="10:10" x14ac:dyDescent="0.3">
      <c r="J101786"/>
    </row>
    <row r="101787" spans="10:10" x14ac:dyDescent="0.3">
      <c r="J101787"/>
    </row>
    <row r="101788" spans="10:10" x14ac:dyDescent="0.3">
      <c r="J101788"/>
    </row>
    <row r="101789" spans="10:10" x14ac:dyDescent="0.3">
      <c r="J101789"/>
    </row>
    <row r="101790" spans="10:10" x14ac:dyDescent="0.3">
      <c r="J101790"/>
    </row>
    <row r="101791" spans="10:10" x14ac:dyDescent="0.3">
      <c r="J101791"/>
    </row>
    <row r="101792" spans="10:10" x14ac:dyDescent="0.3">
      <c r="J101792"/>
    </row>
    <row r="101793" spans="10:10" x14ac:dyDescent="0.3">
      <c r="J101793"/>
    </row>
    <row r="101794" spans="10:10" x14ac:dyDescent="0.3">
      <c r="J101794"/>
    </row>
    <row r="101795" spans="10:10" x14ac:dyDescent="0.3">
      <c r="J101795"/>
    </row>
    <row r="101796" spans="10:10" x14ac:dyDescent="0.3">
      <c r="J101796"/>
    </row>
    <row r="101797" spans="10:10" x14ac:dyDescent="0.3">
      <c r="J101797"/>
    </row>
    <row r="101798" spans="10:10" x14ac:dyDescent="0.3">
      <c r="J101798"/>
    </row>
    <row r="101799" spans="10:10" x14ac:dyDescent="0.3">
      <c r="J101799"/>
    </row>
    <row r="101800" spans="10:10" x14ac:dyDescent="0.3">
      <c r="J101800"/>
    </row>
    <row r="101801" spans="10:10" x14ac:dyDescent="0.3">
      <c r="J101801"/>
    </row>
    <row r="101802" spans="10:10" x14ac:dyDescent="0.3">
      <c r="J101802"/>
    </row>
    <row r="101803" spans="10:10" x14ac:dyDescent="0.3">
      <c r="J101803"/>
    </row>
    <row r="101804" spans="10:10" x14ac:dyDescent="0.3">
      <c r="J101804"/>
    </row>
    <row r="101805" spans="10:10" x14ac:dyDescent="0.3">
      <c r="J101805"/>
    </row>
    <row r="101806" spans="10:10" x14ac:dyDescent="0.3">
      <c r="J101806"/>
    </row>
    <row r="101807" spans="10:10" x14ac:dyDescent="0.3">
      <c r="J101807"/>
    </row>
    <row r="101808" spans="10:10" x14ac:dyDescent="0.3">
      <c r="J101808"/>
    </row>
    <row r="101809" spans="10:10" x14ac:dyDescent="0.3">
      <c r="J101809"/>
    </row>
    <row r="101810" spans="10:10" x14ac:dyDescent="0.3">
      <c r="J101810"/>
    </row>
    <row r="101811" spans="10:10" x14ac:dyDescent="0.3">
      <c r="J101811"/>
    </row>
    <row r="101812" spans="10:10" x14ac:dyDescent="0.3">
      <c r="J101812"/>
    </row>
    <row r="101813" spans="10:10" x14ac:dyDescent="0.3">
      <c r="J101813"/>
    </row>
    <row r="101814" spans="10:10" x14ac:dyDescent="0.3">
      <c r="J101814"/>
    </row>
    <row r="101815" spans="10:10" x14ac:dyDescent="0.3">
      <c r="J101815"/>
    </row>
    <row r="101816" spans="10:10" x14ac:dyDescent="0.3">
      <c r="J101816"/>
    </row>
    <row r="101817" spans="10:10" x14ac:dyDescent="0.3">
      <c r="J101817"/>
    </row>
    <row r="101818" spans="10:10" x14ac:dyDescent="0.3">
      <c r="J101818"/>
    </row>
    <row r="101819" spans="10:10" x14ac:dyDescent="0.3">
      <c r="J101819"/>
    </row>
    <row r="101820" spans="10:10" x14ac:dyDescent="0.3">
      <c r="J101820"/>
    </row>
    <row r="101821" spans="10:10" x14ac:dyDescent="0.3">
      <c r="J101821"/>
    </row>
    <row r="101822" spans="10:10" x14ac:dyDescent="0.3">
      <c r="J101822"/>
    </row>
    <row r="101823" spans="10:10" x14ac:dyDescent="0.3">
      <c r="J101823"/>
    </row>
    <row r="101824" spans="10:10" x14ac:dyDescent="0.3">
      <c r="J101824"/>
    </row>
    <row r="101825" spans="10:10" x14ac:dyDescent="0.3">
      <c r="J101825"/>
    </row>
    <row r="101826" spans="10:10" x14ac:dyDescent="0.3">
      <c r="J101826"/>
    </row>
    <row r="101827" spans="10:10" x14ac:dyDescent="0.3">
      <c r="J101827"/>
    </row>
    <row r="101828" spans="10:10" x14ac:dyDescent="0.3">
      <c r="J101828"/>
    </row>
    <row r="101829" spans="10:10" x14ac:dyDescent="0.3">
      <c r="J101829"/>
    </row>
    <row r="101830" spans="10:10" x14ac:dyDescent="0.3">
      <c r="J101830"/>
    </row>
    <row r="101831" spans="10:10" x14ac:dyDescent="0.3">
      <c r="J101831"/>
    </row>
    <row r="101832" spans="10:10" x14ac:dyDescent="0.3">
      <c r="J101832"/>
    </row>
    <row r="101833" spans="10:10" x14ac:dyDescent="0.3">
      <c r="J101833"/>
    </row>
    <row r="101834" spans="10:10" x14ac:dyDescent="0.3">
      <c r="J101834"/>
    </row>
    <row r="101835" spans="10:10" x14ac:dyDescent="0.3">
      <c r="J101835"/>
    </row>
    <row r="101836" spans="10:10" x14ac:dyDescent="0.3">
      <c r="J101836"/>
    </row>
    <row r="101837" spans="10:10" x14ac:dyDescent="0.3">
      <c r="J101837"/>
    </row>
    <row r="101838" spans="10:10" x14ac:dyDescent="0.3">
      <c r="J101838"/>
    </row>
    <row r="101839" spans="10:10" x14ac:dyDescent="0.3">
      <c r="J101839"/>
    </row>
    <row r="101840" spans="10:10" x14ac:dyDescent="0.3">
      <c r="J101840"/>
    </row>
    <row r="101841" spans="10:10" x14ac:dyDescent="0.3">
      <c r="J101841"/>
    </row>
    <row r="101842" spans="10:10" x14ac:dyDescent="0.3">
      <c r="J101842"/>
    </row>
    <row r="101843" spans="10:10" x14ac:dyDescent="0.3">
      <c r="J101843"/>
    </row>
    <row r="101844" spans="10:10" x14ac:dyDescent="0.3">
      <c r="J101844"/>
    </row>
    <row r="101845" spans="10:10" x14ac:dyDescent="0.3">
      <c r="J101845"/>
    </row>
    <row r="101846" spans="10:10" x14ac:dyDescent="0.3">
      <c r="J101846"/>
    </row>
    <row r="101847" spans="10:10" x14ac:dyDescent="0.3">
      <c r="J101847"/>
    </row>
    <row r="101848" spans="10:10" x14ac:dyDescent="0.3">
      <c r="J101848"/>
    </row>
    <row r="101849" spans="10:10" x14ac:dyDescent="0.3">
      <c r="J101849"/>
    </row>
    <row r="101850" spans="10:10" x14ac:dyDescent="0.3">
      <c r="J101850"/>
    </row>
    <row r="101851" spans="10:10" x14ac:dyDescent="0.3">
      <c r="J101851"/>
    </row>
    <row r="101852" spans="10:10" x14ac:dyDescent="0.3">
      <c r="J101852"/>
    </row>
    <row r="101853" spans="10:10" x14ac:dyDescent="0.3">
      <c r="J101853"/>
    </row>
    <row r="101854" spans="10:10" x14ac:dyDescent="0.3">
      <c r="J101854"/>
    </row>
    <row r="101855" spans="10:10" x14ac:dyDescent="0.3">
      <c r="J101855"/>
    </row>
    <row r="101856" spans="10:10" x14ac:dyDescent="0.3">
      <c r="J101856"/>
    </row>
    <row r="101857" spans="10:10" x14ac:dyDescent="0.3">
      <c r="J101857"/>
    </row>
    <row r="101858" spans="10:10" x14ac:dyDescent="0.3">
      <c r="J101858"/>
    </row>
    <row r="101859" spans="10:10" x14ac:dyDescent="0.3">
      <c r="J101859"/>
    </row>
    <row r="101860" spans="10:10" x14ac:dyDescent="0.3">
      <c r="J101860"/>
    </row>
    <row r="101861" spans="10:10" x14ac:dyDescent="0.3">
      <c r="J101861"/>
    </row>
    <row r="101862" spans="10:10" x14ac:dyDescent="0.3">
      <c r="J101862"/>
    </row>
    <row r="101863" spans="10:10" x14ac:dyDescent="0.3">
      <c r="J101863"/>
    </row>
    <row r="101864" spans="10:10" x14ac:dyDescent="0.3">
      <c r="J101864"/>
    </row>
    <row r="101865" spans="10:10" x14ac:dyDescent="0.3">
      <c r="J101865"/>
    </row>
    <row r="101866" spans="10:10" x14ac:dyDescent="0.3">
      <c r="J101866"/>
    </row>
    <row r="101867" spans="10:10" x14ac:dyDescent="0.3">
      <c r="J101867"/>
    </row>
    <row r="101868" spans="10:10" x14ac:dyDescent="0.3">
      <c r="J101868"/>
    </row>
    <row r="101869" spans="10:10" x14ac:dyDescent="0.3">
      <c r="J101869"/>
    </row>
    <row r="101870" spans="10:10" x14ac:dyDescent="0.3">
      <c r="J101870"/>
    </row>
    <row r="101871" spans="10:10" x14ac:dyDescent="0.3">
      <c r="J101871"/>
    </row>
    <row r="101872" spans="10:10" x14ac:dyDescent="0.3">
      <c r="J101872"/>
    </row>
    <row r="101873" spans="10:10" x14ac:dyDescent="0.3">
      <c r="J101873"/>
    </row>
    <row r="101874" spans="10:10" x14ac:dyDescent="0.3">
      <c r="J101874"/>
    </row>
    <row r="101875" spans="10:10" x14ac:dyDescent="0.3">
      <c r="J101875"/>
    </row>
    <row r="101876" spans="10:10" x14ac:dyDescent="0.3">
      <c r="J101876"/>
    </row>
    <row r="101877" spans="10:10" x14ac:dyDescent="0.3">
      <c r="J101877"/>
    </row>
    <row r="101878" spans="10:10" x14ac:dyDescent="0.3">
      <c r="J101878"/>
    </row>
    <row r="101879" spans="10:10" x14ac:dyDescent="0.3">
      <c r="J101879"/>
    </row>
    <row r="101880" spans="10:10" x14ac:dyDescent="0.3">
      <c r="J101880"/>
    </row>
    <row r="101881" spans="10:10" x14ac:dyDescent="0.3">
      <c r="J101881"/>
    </row>
    <row r="101882" spans="10:10" x14ac:dyDescent="0.3">
      <c r="J101882"/>
    </row>
    <row r="101883" spans="10:10" x14ac:dyDescent="0.3">
      <c r="J101883"/>
    </row>
    <row r="101884" spans="10:10" x14ac:dyDescent="0.3">
      <c r="J101884"/>
    </row>
    <row r="101885" spans="10:10" x14ac:dyDescent="0.3">
      <c r="J101885"/>
    </row>
    <row r="101886" spans="10:10" x14ac:dyDescent="0.3">
      <c r="J101886"/>
    </row>
    <row r="101887" spans="10:10" x14ac:dyDescent="0.3">
      <c r="J101887"/>
    </row>
    <row r="101888" spans="10:10" x14ac:dyDescent="0.3">
      <c r="J101888"/>
    </row>
    <row r="101889" spans="10:10" x14ac:dyDescent="0.3">
      <c r="J101889"/>
    </row>
    <row r="101890" spans="10:10" x14ac:dyDescent="0.3">
      <c r="J101890"/>
    </row>
    <row r="101891" spans="10:10" x14ac:dyDescent="0.3">
      <c r="J101891"/>
    </row>
    <row r="101892" spans="10:10" x14ac:dyDescent="0.3">
      <c r="J101892"/>
    </row>
    <row r="101893" spans="10:10" x14ac:dyDescent="0.3">
      <c r="J101893"/>
    </row>
    <row r="101894" spans="10:10" x14ac:dyDescent="0.3">
      <c r="J101894"/>
    </row>
    <row r="101895" spans="10:10" x14ac:dyDescent="0.3">
      <c r="J101895"/>
    </row>
    <row r="101896" spans="10:10" x14ac:dyDescent="0.3">
      <c r="J101896"/>
    </row>
    <row r="101897" spans="10:10" x14ac:dyDescent="0.3">
      <c r="J101897"/>
    </row>
    <row r="101898" spans="10:10" x14ac:dyDescent="0.3">
      <c r="J101898"/>
    </row>
    <row r="101899" spans="10:10" x14ac:dyDescent="0.3">
      <c r="J101899"/>
    </row>
    <row r="101900" spans="10:10" x14ac:dyDescent="0.3">
      <c r="J101900"/>
    </row>
    <row r="101901" spans="10:10" x14ac:dyDescent="0.3">
      <c r="J101901"/>
    </row>
    <row r="101902" spans="10:10" x14ac:dyDescent="0.3">
      <c r="J101902"/>
    </row>
    <row r="101903" spans="10:10" x14ac:dyDescent="0.3">
      <c r="J101903"/>
    </row>
    <row r="101904" spans="10:10" x14ac:dyDescent="0.3">
      <c r="J101904"/>
    </row>
    <row r="101905" spans="10:10" x14ac:dyDescent="0.3">
      <c r="J101905"/>
    </row>
    <row r="101906" spans="10:10" x14ac:dyDescent="0.3">
      <c r="J101906"/>
    </row>
    <row r="101907" spans="10:10" x14ac:dyDescent="0.3">
      <c r="J101907"/>
    </row>
    <row r="101908" spans="10:10" x14ac:dyDescent="0.3">
      <c r="J101908"/>
    </row>
    <row r="101909" spans="10:10" x14ac:dyDescent="0.3">
      <c r="J101909"/>
    </row>
    <row r="101910" spans="10:10" x14ac:dyDescent="0.3">
      <c r="J101910"/>
    </row>
    <row r="101911" spans="10:10" x14ac:dyDescent="0.3">
      <c r="J101911"/>
    </row>
    <row r="101912" spans="10:10" x14ac:dyDescent="0.3">
      <c r="J101912"/>
    </row>
    <row r="101913" spans="10:10" x14ac:dyDescent="0.3">
      <c r="J101913"/>
    </row>
    <row r="101914" spans="10:10" x14ac:dyDescent="0.3">
      <c r="J101914"/>
    </row>
    <row r="101915" spans="10:10" x14ac:dyDescent="0.3">
      <c r="J101915"/>
    </row>
    <row r="101916" spans="10:10" x14ac:dyDescent="0.3">
      <c r="J101916"/>
    </row>
    <row r="101917" spans="10:10" x14ac:dyDescent="0.3">
      <c r="J101917"/>
    </row>
    <row r="101918" spans="10:10" x14ac:dyDescent="0.3">
      <c r="J101918"/>
    </row>
    <row r="101919" spans="10:10" x14ac:dyDescent="0.3">
      <c r="J101919"/>
    </row>
    <row r="101920" spans="10:10" x14ac:dyDescent="0.3">
      <c r="J101920"/>
    </row>
    <row r="101921" spans="10:10" x14ac:dyDescent="0.3">
      <c r="J101921"/>
    </row>
    <row r="101922" spans="10:10" x14ac:dyDescent="0.3">
      <c r="J101922"/>
    </row>
    <row r="101923" spans="10:10" x14ac:dyDescent="0.3">
      <c r="J101923"/>
    </row>
    <row r="101924" spans="10:10" x14ac:dyDescent="0.3">
      <c r="J101924"/>
    </row>
    <row r="101925" spans="10:10" x14ac:dyDescent="0.3">
      <c r="J101925"/>
    </row>
    <row r="101926" spans="10:10" x14ac:dyDescent="0.3">
      <c r="J101926"/>
    </row>
    <row r="101927" spans="10:10" x14ac:dyDescent="0.3">
      <c r="J101927"/>
    </row>
    <row r="101928" spans="10:10" x14ac:dyDescent="0.3">
      <c r="J101928"/>
    </row>
    <row r="101929" spans="10:10" x14ac:dyDescent="0.3">
      <c r="J101929"/>
    </row>
    <row r="101930" spans="10:10" x14ac:dyDescent="0.3">
      <c r="J101930"/>
    </row>
    <row r="101931" spans="10:10" x14ac:dyDescent="0.3">
      <c r="J101931"/>
    </row>
    <row r="101932" spans="10:10" x14ac:dyDescent="0.3">
      <c r="J101932"/>
    </row>
    <row r="101933" spans="10:10" x14ac:dyDescent="0.3">
      <c r="J101933"/>
    </row>
    <row r="101934" spans="10:10" x14ac:dyDescent="0.3">
      <c r="J101934"/>
    </row>
    <row r="101935" spans="10:10" x14ac:dyDescent="0.3">
      <c r="J101935"/>
    </row>
    <row r="101936" spans="10:10" x14ac:dyDescent="0.3">
      <c r="J101936"/>
    </row>
    <row r="101937" spans="10:10" x14ac:dyDescent="0.3">
      <c r="J101937"/>
    </row>
    <row r="101938" spans="10:10" x14ac:dyDescent="0.3">
      <c r="J101938"/>
    </row>
    <row r="101939" spans="10:10" x14ac:dyDescent="0.3">
      <c r="J101939"/>
    </row>
    <row r="101940" spans="10:10" x14ac:dyDescent="0.3">
      <c r="J101940"/>
    </row>
    <row r="101941" spans="10:10" x14ac:dyDescent="0.3">
      <c r="J101941"/>
    </row>
    <row r="101942" spans="10:10" x14ac:dyDescent="0.3">
      <c r="J101942"/>
    </row>
    <row r="101943" spans="10:10" x14ac:dyDescent="0.3">
      <c r="J101943"/>
    </row>
    <row r="101944" spans="10:10" x14ac:dyDescent="0.3">
      <c r="J101944"/>
    </row>
    <row r="101945" spans="10:10" x14ac:dyDescent="0.3">
      <c r="J101945"/>
    </row>
    <row r="101946" spans="10:10" x14ac:dyDescent="0.3">
      <c r="J101946"/>
    </row>
    <row r="101947" spans="10:10" x14ac:dyDescent="0.3">
      <c r="J101947"/>
    </row>
    <row r="101948" spans="10:10" x14ac:dyDescent="0.3">
      <c r="J101948"/>
    </row>
    <row r="101949" spans="10:10" x14ac:dyDescent="0.3">
      <c r="J101949"/>
    </row>
    <row r="101950" spans="10:10" x14ac:dyDescent="0.3">
      <c r="J101950"/>
    </row>
    <row r="101951" spans="10:10" x14ac:dyDescent="0.3">
      <c r="J101951"/>
    </row>
    <row r="101952" spans="10:10" x14ac:dyDescent="0.3">
      <c r="J101952"/>
    </row>
    <row r="101953" spans="10:10" x14ac:dyDescent="0.3">
      <c r="J101953"/>
    </row>
    <row r="101954" spans="10:10" x14ac:dyDescent="0.3">
      <c r="J101954"/>
    </row>
    <row r="101955" spans="10:10" x14ac:dyDescent="0.3">
      <c r="J101955"/>
    </row>
    <row r="101956" spans="10:10" x14ac:dyDescent="0.3">
      <c r="J101956"/>
    </row>
    <row r="101957" spans="10:10" x14ac:dyDescent="0.3">
      <c r="J101957"/>
    </row>
    <row r="101958" spans="10:10" x14ac:dyDescent="0.3">
      <c r="J101958"/>
    </row>
    <row r="101959" spans="10:10" x14ac:dyDescent="0.3">
      <c r="J101959"/>
    </row>
    <row r="101960" spans="10:10" x14ac:dyDescent="0.3">
      <c r="J101960"/>
    </row>
    <row r="101961" spans="10:10" x14ac:dyDescent="0.3">
      <c r="J101961"/>
    </row>
    <row r="101962" spans="10:10" x14ac:dyDescent="0.3">
      <c r="J101962"/>
    </row>
    <row r="101963" spans="10:10" x14ac:dyDescent="0.3">
      <c r="J101963"/>
    </row>
    <row r="101964" spans="10:10" x14ac:dyDescent="0.3">
      <c r="J101964"/>
    </row>
    <row r="101965" spans="10:10" x14ac:dyDescent="0.3">
      <c r="J101965"/>
    </row>
    <row r="101966" spans="10:10" x14ac:dyDescent="0.3">
      <c r="J101966"/>
    </row>
    <row r="101967" spans="10:10" x14ac:dyDescent="0.3">
      <c r="J101967"/>
    </row>
    <row r="101968" spans="10:10" x14ac:dyDescent="0.3">
      <c r="J101968"/>
    </row>
    <row r="101969" spans="10:10" x14ac:dyDescent="0.3">
      <c r="J101969"/>
    </row>
    <row r="101970" spans="10:10" x14ac:dyDescent="0.3">
      <c r="J101970"/>
    </row>
    <row r="101971" spans="10:10" x14ac:dyDescent="0.3">
      <c r="J101971"/>
    </row>
    <row r="101972" spans="10:10" x14ac:dyDescent="0.3">
      <c r="J101972"/>
    </row>
    <row r="101973" spans="10:10" x14ac:dyDescent="0.3">
      <c r="J101973"/>
    </row>
    <row r="101974" spans="10:10" x14ac:dyDescent="0.3">
      <c r="J101974"/>
    </row>
    <row r="101975" spans="10:10" x14ac:dyDescent="0.3">
      <c r="J101975"/>
    </row>
    <row r="101976" spans="10:10" x14ac:dyDescent="0.3">
      <c r="J101976"/>
    </row>
    <row r="101977" spans="10:10" x14ac:dyDescent="0.3">
      <c r="J101977"/>
    </row>
    <row r="101978" spans="10:10" x14ac:dyDescent="0.3">
      <c r="J101978"/>
    </row>
    <row r="101979" spans="10:10" x14ac:dyDescent="0.3">
      <c r="J101979"/>
    </row>
    <row r="101980" spans="10:10" x14ac:dyDescent="0.3">
      <c r="J101980"/>
    </row>
    <row r="101981" spans="10:10" x14ac:dyDescent="0.3">
      <c r="J101981"/>
    </row>
    <row r="101982" spans="10:10" x14ac:dyDescent="0.3">
      <c r="J101982"/>
    </row>
    <row r="101983" spans="10:10" x14ac:dyDescent="0.3">
      <c r="J101983"/>
    </row>
    <row r="101984" spans="10:10" x14ac:dyDescent="0.3">
      <c r="J101984"/>
    </row>
    <row r="101985" spans="10:10" x14ac:dyDescent="0.3">
      <c r="J101985"/>
    </row>
    <row r="101986" spans="10:10" x14ac:dyDescent="0.3">
      <c r="J101986"/>
    </row>
    <row r="101987" spans="10:10" x14ac:dyDescent="0.3">
      <c r="J101987"/>
    </row>
    <row r="101988" spans="10:10" x14ac:dyDescent="0.3">
      <c r="J101988"/>
    </row>
    <row r="101989" spans="10:10" x14ac:dyDescent="0.3">
      <c r="J101989"/>
    </row>
    <row r="101990" spans="10:10" x14ac:dyDescent="0.3">
      <c r="J101990"/>
    </row>
    <row r="101991" spans="10:10" x14ac:dyDescent="0.3">
      <c r="J101991"/>
    </row>
    <row r="101992" spans="10:10" x14ac:dyDescent="0.3">
      <c r="J101992"/>
    </row>
    <row r="101993" spans="10:10" x14ac:dyDescent="0.3">
      <c r="J101993"/>
    </row>
    <row r="101994" spans="10:10" x14ac:dyDescent="0.3">
      <c r="J101994"/>
    </row>
    <row r="101995" spans="10:10" x14ac:dyDescent="0.3">
      <c r="J101995"/>
    </row>
    <row r="101996" spans="10:10" x14ac:dyDescent="0.3">
      <c r="J101996"/>
    </row>
    <row r="101997" spans="10:10" x14ac:dyDescent="0.3">
      <c r="J101997"/>
    </row>
    <row r="101998" spans="10:10" x14ac:dyDescent="0.3">
      <c r="J101998"/>
    </row>
    <row r="101999" spans="10:10" x14ac:dyDescent="0.3">
      <c r="J101999"/>
    </row>
    <row r="102000" spans="10:10" x14ac:dyDescent="0.3">
      <c r="J102000"/>
    </row>
    <row r="102001" spans="10:10" x14ac:dyDescent="0.3">
      <c r="J102001"/>
    </row>
    <row r="102002" spans="10:10" x14ac:dyDescent="0.3">
      <c r="J102002"/>
    </row>
    <row r="102003" spans="10:10" x14ac:dyDescent="0.3">
      <c r="J102003"/>
    </row>
    <row r="102004" spans="10:10" x14ac:dyDescent="0.3">
      <c r="J102004"/>
    </row>
    <row r="102005" spans="10:10" x14ac:dyDescent="0.3">
      <c r="J102005"/>
    </row>
    <row r="102006" spans="10:10" x14ac:dyDescent="0.3">
      <c r="J102006"/>
    </row>
    <row r="102007" spans="10:10" x14ac:dyDescent="0.3">
      <c r="J102007"/>
    </row>
    <row r="102008" spans="10:10" x14ac:dyDescent="0.3">
      <c r="J102008"/>
    </row>
    <row r="102009" spans="10:10" x14ac:dyDescent="0.3">
      <c r="J102009"/>
    </row>
    <row r="102010" spans="10:10" x14ac:dyDescent="0.3">
      <c r="J102010"/>
    </row>
    <row r="102011" spans="10:10" x14ac:dyDescent="0.3">
      <c r="J102011"/>
    </row>
    <row r="102012" spans="10:10" x14ac:dyDescent="0.3">
      <c r="J102012"/>
    </row>
    <row r="102013" spans="10:10" x14ac:dyDescent="0.3">
      <c r="J102013"/>
    </row>
    <row r="102014" spans="10:10" x14ac:dyDescent="0.3">
      <c r="J102014"/>
    </row>
    <row r="102015" spans="10:10" x14ac:dyDescent="0.3">
      <c r="J102015"/>
    </row>
    <row r="102016" spans="10:10" x14ac:dyDescent="0.3">
      <c r="J102016"/>
    </row>
    <row r="102017" spans="10:10" x14ac:dyDescent="0.3">
      <c r="J102017"/>
    </row>
    <row r="102018" spans="10:10" x14ac:dyDescent="0.3">
      <c r="J102018"/>
    </row>
    <row r="102019" spans="10:10" x14ac:dyDescent="0.3">
      <c r="J102019"/>
    </row>
    <row r="102020" spans="10:10" x14ac:dyDescent="0.3">
      <c r="J102020"/>
    </row>
    <row r="102021" spans="10:10" x14ac:dyDescent="0.3">
      <c r="J102021"/>
    </row>
    <row r="102022" spans="10:10" x14ac:dyDescent="0.3">
      <c r="J102022"/>
    </row>
    <row r="102023" spans="10:10" x14ac:dyDescent="0.3">
      <c r="J102023"/>
    </row>
    <row r="102024" spans="10:10" x14ac:dyDescent="0.3">
      <c r="J102024"/>
    </row>
    <row r="102025" spans="10:10" x14ac:dyDescent="0.3">
      <c r="J102025"/>
    </row>
    <row r="102026" spans="10:10" x14ac:dyDescent="0.3">
      <c r="J102026"/>
    </row>
    <row r="102027" spans="10:10" x14ac:dyDescent="0.3">
      <c r="J102027"/>
    </row>
    <row r="102028" spans="10:10" x14ac:dyDescent="0.3">
      <c r="J102028"/>
    </row>
    <row r="102029" spans="10:10" x14ac:dyDescent="0.3">
      <c r="J102029"/>
    </row>
    <row r="102030" spans="10:10" x14ac:dyDescent="0.3">
      <c r="J102030"/>
    </row>
    <row r="102031" spans="10:10" x14ac:dyDescent="0.3">
      <c r="J102031"/>
    </row>
    <row r="102032" spans="10:10" x14ac:dyDescent="0.3">
      <c r="J102032"/>
    </row>
    <row r="102033" spans="10:10" x14ac:dyDescent="0.3">
      <c r="J102033"/>
    </row>
    <row r="102034" spans="10:10" x14ac:dyDescent="0.3">
      <c r="J102034"/>
    </row>
    <row r="102035" spans="10:10" x14ac:dyDescent="0.3">
      <c r="J102035"/>
    </row>
    <row r="102036" spans="10:10" x14ac:dyDescent="0.3">
      <c r="J102036"/>
    </row>
    <row r="102037" spans="10:10" x14ac:dyDescent="0.3">
      <c r="J102037"/>
    </row>
    <row r="102038" spans="10:10" x14ac:dyDescent="0.3">
      <c r="J102038"/>
    </row>
    <row r="102039" spans="10:10" x14ac:dyDescent="0.3">
      <c r="J102039"/>
    </row>
    <row r="102040" spans="10:10" x14ac:dyDescent="0.3">
      <c r="J102040"/>
    </row>
    <row r="102041" spans="10:10" x14ac:dyDescent="0.3">
      <c r="J102041"/>
    </row>
    <row r="102042" spans="10:10" x14ac:dyDescent="0.3">
      <c r="J102042"/>
    </row>
    <row r="102043" spans="10:10" x14ac:dyDescent="0.3">
      <c r="J102043"/>
    </row>
    <row r="102044" spans="10:10" x14ac:dyDescent="0.3">
      <c r="J102044"/>
    </row>
    <row r="102045" spans="10:10" x14ac:dyDescent="0.3">
      <c r="J102045"/>
    </row>
    <row r="102046" spans="10:10" x14ac:dyDescent="0.3">
      <c r="J102046"/>
    </row>
    <row r="102047" spans="10:10" x14ac:dyDescent="0.3">
      <c r="J102047"/>
    </row>
    <row r="102048" spans="10:10" x14ac:dyDescent="0.3">
      <c r="J102048"/>
    </row>
    <row r="102049" spans="10:10" x14ac:dyDescent="0.3">
      <c r="J102049"/>
    </row>
    <row r="102050" spans="10:10" x14ac:dyDescent="0.3">
      <c r="J102050"/>
    </row>
    <row r="102051" spans="10:10" x14ac:dyDescent="0.3">
      <c r="J102051"/>
    </row>
    <row r="102052" spans="10:10" x14ac:dyDescent="0.3">
      <c r="J102052"/>
    </row>
    <row r="102053" spans="10:10" x14ac:dyDescent="0.3">
      <c r="J102053"/>
    </row>
    <row r="102054" spans="10:10" x14ac:dyDescent="0.3">
      <c r="J102054"/>
    </row>
    <row r="102055" spans="10:10" x14ac:dyDescent="0.3">
      <c r="J102055"/>
    </row>
    <row r="102056" spans="10:10" x14ac:dyDescent="0.3">
      <c r="J102056"/>
    </row>
    <row r="102057" spans="10:10" x14ac:dyDescent="0.3">
      <c r="J102057"/>
    </row>
    <row r="102058" spans="10:10" x14ac:dyDescent="0.3">
      <c r="J102058"/>
    </row>
    <row r="102059" spans="10:10" x14ac:dyDescent="0.3">
      <c r="J102059"/>
    </row>
    <row r="102060" spans="10:10" x14ac:dyDescent="0.3">
      <c r="J102060"/>
    </row>
    <row r="102061" spans="10:10" x14ac:dyDescent="0.3">
      <c r="J102061"/>
    </row>
    <row r="102062" spans="10:10" x14ac:dyDescent="0.3">
      <c r="J102062"/>
    </row>
    <row r="102063" spans="10:10" x14ac:dyDescent="0.3">
      <c r="J102063"/>
    </row>
    <row r="102064" spans="10:10" x14ac:dyDescent="0.3">
      <c r="J102064"/>
    </row>
    <row r="102065" spans="10:10" x14ac:dyDescent="0.3">
      <c r="J102065"/>
    </row>
    <row r="102066" spans="10:10" x14ac:dyDescent="0.3">
      <c r="J102066"/>
    </row>
    <row r="102067" spans="10:10" x14ac:dyDescent="0.3">
      <c r="J102067"/>
    </row>
    <row r="102068" spans="10:10" x14ac:dyDescent="0.3">
      <c r="J102068"/>
    </row>
    <row r="102069" spans="10:10" x14ac:dyDescent="0.3">
      <c r="J102069"/>
    </row>
    <row r="102070" spans="10:10" x14ac:dyDescent="0.3">
      <c r="J102070"/>
    </row>
    <row r="102071" spans="10:10" x14ac:dyDescent="0.3">
      <c r="J102071"/>
    </row>
    <row r="102072" spans="10:10" x14ac:dyDescent="0.3">
      <c r="J102072"/>
    </row>
    <row r="102073" spans="10:10" x14ac:dyDescent="0.3">
      <c r="J102073"/>
    </row>
    <row r="102074" spans="10:10" x14ac:dyDescent="0.3">
      <c r="J102074"/>
    </row>
    <row r="102075" spans="10:10" x14ac:dyDescent="0.3">
      <c r="J102075"/>
    </row>
    <row r="102076" spans="10:10" x14ac:dyDescent="0.3">
      <c r="J102076"/>
    </row>
    <row r="102077" spans="10:10" x14ac:dyDescent="0.3">
      <c r="J102077"/>
    </row>
    <row r="102078" spans="10:10" x14ac:dyDescent="0.3">
      <c r="J102078"/>
    </row>
    <row r="102079" spans="10:10" x14ac:dyDescent="0.3">
      <c r="J102079"/>
    </row>
    <row r="102080" spans="10:10" x14ac:dyDescent="0.3">
      <c r="J102080"/>
    </row>
    <row r="102081" spans="10:10" x14ac:dyDescent="0.3">
      <c r="J102081"/>
    </row>
    <row r="102082" spans="10:10" x14ac:dyDescent="0.3">
      <c r="J102082"/>
    </row>
    <row r="102083" spans="10:10" x14ac:dyDescent="0.3">
      <c r="J102083"/>
    </row>
    <row r="102084" spans="10:10" x14ac:dyDescent="0.3">
      <c r="J102084"/>
    </row>
    <row r="102085" spans="10:10" x14ac:dyDescent="0.3">
      <c r="J102085"/>
    </row>
    <row r="102086" spans="10:10" x14ac:dyDescent="0.3">
      <c r="J102086"/>
    </row>
    <row r="102087" spans="10:10" x14ac:dyDescent="0.3">
      <c r="J102087"/>
    </row>
    <row r="102088" spans="10:10" x14ac:dyDescent="0.3">
      <c r="J102088"/>
    </row>
    <row r="102089" spans="10:10" x14ac:dyDescent="0.3">
      <c r="J102089"/>
    </row>
    <row r="102090" spans="10:10" x14ac:dyDescent="0.3">
      <c r="J102090"/>
    </row>
    <row r="102091" spans="10:10" x14ac:dyDescent="0.3">
      <c r="J102091"/>
    </row>
    <row r="102092" spans="10:10" x14ac:dyDescent="0.3">
      <c r="J102092"/>
    </row>
    <row r="102093" spans="10:10" x14ac:dyDescent="0.3">
      <c r="J102093"/>
    </row>
    <row r="102094" spans="10:10" x14ac:dyDescent="0.3">
      <c r="J102094"/>
    </row>
    <row r="102095" spans="10:10" x14ac:dyDescent="0.3">
      <c r="J102095"/>
    </row>
    <row r="102096" spans="10:10" x14ac:dyDescent="0.3">
      <c r="J102096"/>
    </row>
    <row r="102097" spans="10:10" x14ac:dyDescent="0.3">
      <c r="J102097"/>
    </row>
    <row r="102098" spans="10:10" x14ac:dyDescent="0.3">
      <c r="J102098"/>
    </row>
    <row r="102099" spans="10:10" x14ac:dyDescent="0.3">
      <c r="J102099"/>
    </row>
    <row r="102100" spans="10:10" x14ac:dyDescent="0.3">
      <c r="J102100"/>
    </row>
    <row r="102101" spans="10:10" x14ac:dyDescent="0.3">
      <c r="J102101"/>
    </row>
    <row r="102102" spans="10:10" x14ac:dyDescent="0.3">
      <c r="J102102"/>
    </row>
    <row r="102103" spans="10:10" x14ac:dyDescent="0.3">
      <c r="J102103"/>
    </row>
    <row r="102104" spans="10:10" x14ac:dyDescent="0.3">
      <c r="J102104"/>
    </row>
    <row r="102105" spans="10:10" x14ac:dyDescent="0.3">
      <c r="J102105"/>
    </row>
    <row r="102106" spans="10:10" x14ac:dyDescent="0.3">
      <c r="J102106"/>
    </row>
    <row r="102107" spans="10:10" x14ac:dyDescent="0.3">
      <c r="J102107"/>
    </row>
    <row r="102108" spans="10:10" x14ac:dyDescent="0.3">
      <c r="J102108"/>
    </row>
    <row r="102109" spans="10:10" x14ac:dyDescent="0.3">
      <c r="J102109"/>
    </row>
    <row r="102110" spans="10:10" x14ac:dyDescent="0.3">
      <c r="J102110"/>
    </row>
    <row r="102111" spans="10:10" x14ac:dyDescent="0.3">
      <c r="J102111"/>
    </row>
    <row r="102112" spans="10:10" x14ac:dyDescent="0.3">
      <c r="J102112"/>
    </row>
    <row r="102113" spans="10:10" x14ac:dyDescent="0.3">
      <c r="J102113"/>
    </row>
    <row r="102114" spans="10:10" x14ac:dyDescent="0.3">
      <c r="J102114"/>
    </row>
    <row r="102115" spans="10:10" x14ac:dyDescent="0.3">
      <c r="J102115"/>
    </row>
    <row r="102116" spans="10:10" x14ac:dyDescent="0.3">
      <c r="J102116"/>
    </row>
    <row r="102117" spans="10:10" x14ac:dyDescent="0.3">
      <c r="J102117"/>
    </row>
    <row r="102118" spans="10:10" x14ac:dyDescent="0.3">
      <c r="J102118"/>
    </row>
    <row r="102119" spans="10:10" x14ac:dyDescent="0.3">
      <c r="J102119"/>
    </row>
    <row r="102120" spans="10:10" x14ac:dyDescent="0.3">
      <c r="J102120"/>
    </row>
    <row r="102121" spans="10:10" x14ac:dyDescent="0.3">
      <c r="J102121"/>
    </row>
    <row r="102122" spans="10:10" x14ac:dyDescent="0.3">
      <c r="J102122"/>
    </row>
    <row r="102123" spans="10:10" x14ac:dyDescent="0.3">
      <c r="J102123"/>
    </row>
    <row r="102124" spans="10:10" x14ac:dyDescent="0.3">
      <c r="J102124"/>
    </row>
    <row r="102125" spans="10:10" x14ac:dyDescent="0.3">
      <c r="J102125"/>
    </row>
    <row r="102126" spans="10:10" x14ac:dyDescent="0.3">
      <c r="J102126"/>
    </row>
    <row r="102127" spans="10:10" x14ac:dyDescent="0.3">
      <c r="J102127"/>
    </row>
    <row r="102128" spans="10:10" x14ac:dyDescent="0.3">
      <c r="J102128"/>
    </row>
    <row r="102129" spans="10:10" x14ac:dyDescent="0.3">
      <c r="J102129"/>
    </row>
    <row r="102130" spans="10:10" x14ac:dyDescent="0.3">
      <c r="J102130"/>
    </row>
    <row r="102131" spans="10:10" x14ac:dyDescent="0.3">
      <c r="J102131"/>
    </row>
    <row r="102132" spans="10:10" x14ac:dyDescent="0.3">
      <c r="J102132"/>
    </row>
    <row r="102133" spans="10:10" x14ac:dyDescent="0.3">
      <c r="J102133"/>
    </row>
    <row r="102134" spans="10:10" x14ac:dyDescent="0.3">
      <c r="J102134"/>
    </row>
    <row r="102135" spans="10:10" x14ac:dyDescent="0.3">
      <c r="J102135"/>
    </row>
    <row r="102136" spans="10:10" x14ac:dyDescent="0.3">
      <c r="J102136"/>
    </row>
    <row r="102137" spans="10:10" x14ac:dyDescent="0.3">
      <c r="J102137"/>
    </row>
    <row r="102138" spans="10:10" x14ac:dyDescent="0.3">
      <c r="J102138"/>
    </row>
    <row r="102139" spans="10:10" x14ac:dyDescent="0.3">
      <c r="J102139"/>
    </row>
    <row r="102140" spans="10:10" x14ac:dyDescent="0.3">
      <c r="J102140"/>
    </row>
    <row r="102141" spans="10:10" x14ac:dyDescent="0.3">
      <c r="J102141"/>
    </row>
    <row r="102142" spans="10:10" x14ac:dyDescent="0.3">
      <c r="J102142"/>
    </row>
    <row r="102143" spans="10:10" x14ac:dyDescent="0.3">
      <c r="J102143"/>
    </row>
    <row r="102144" spans="10:10" x14ac:dyDescent="0.3">
      <c r="J102144"/>
    </row>
    <row r="102145" spans="10:10" x14ac:dyDescent="0.3">
      <c r="J102145"/>
    </row>
    <row r="102146" spans="10:10" x14ac:dyDescent="0.3">
      <c r="J102146"/>
    </row>
    <row r="102147" spans="10:10" x14ac:dyDescent="0.3">
      <c r="J102147"/>
    </row>
    <row r="102148" spans="10:10" x14ac:dyDescent="0.3">
      <c r="J102148"/>
    </row>
    <row r="102149" spans="10:10" x14ac:dyDescent="0.3">
      <c r="J102149"/>
    </row>
    <row r="102150" spans="10:10" x14ac:dyDescent="0.3">
      <c r="J102150"/>
    </row>
    <row r="102151" spans="10:10" x14ac:dyDescent="0.3">
      <c r="J102151"/>
    </row>
    <row r="102152" spans="10:10" x14ac:dyDescent="0.3">
      <c r="J102152"/>
    </row>
    <row r="102153" spans="10:10" x14ac:dyDescent="0.3">
      <c r="J102153"/>
    </row>
    <row r="102154" spans="10:10" x14ac:dyDescent="0.3">
      <c r="J102154"/>
    </row>
    <row r="102155" spans="10:10" x14ac:dyDescent="0.3">
      <c r="J102155"/>
    </row>
    <row r="102156" spans="10:10" x14ac:dyDescent="0.3">
      <c r="J102156"/>
    </row>
    <row r="102157" spans="10:10" x14ac:dyDescent="0.3">
      <c r="J102157"/>
    </row>
    <row r="102158" spans="10:10" x14ac:dyDescent="0.3">
      <c r="J102158"/>
    </row>
    <row r="102159" spans="10:10" x14ac:dyDescent="0.3">
      <c r="J102159"/>
    </row>
    <row r="102160" spans="10:10" x14ac:dyDescent="0.3">
      <c r="J102160"/>
    </row>
    <row r="102161" spans="10:10" x14ac:dyDescent="0.3">
      <c r="J102161"/>
    </row>
    <row r="102162" spans="10:10" x14ac:dyDescent="0.3">
      <c r="J102162"/>
    </row>
    <row r="102163" spans="10:10" x14ac:dyDescent="0.3">
      <c r="J102163"/>
    </row>
    <row r="102164" spans="10:10" x14ac:dyDescent="0.3">
      <c r="J102164"/>
    </row>
    <row r="102165" spans="10:10" x14ac:dyDescent="0.3">
      <c r="J102165"/>
    </row>
    <row r="102166" spans="10:10" x14ac:dyDescent="0.3">
      <c r="J102166"/>
    </row>
    <row r="102167" spans="10:10" x14ac:dyDescent="0.3">
      <c r="J102167"/>
    </row>
    <row r="102168" spans="10:10" x14ac:dyDescent="0.3">
      <c r="J102168"/>
    </row>
    <row r="102169" spans="10:10" x14ac:dyDescent="0.3">
      <c r="J102169"/>
    </row>
    <row r="102170" spans="10:10" x14ac:dyDescent="0.3">
      <c r="J102170"/>
    </row>
    <row r="102171" spans="10:10" x14ac:dyDescent="0.3">
      <c r="J102171"/>
    </row>
    <row r="102172" spans="10:10" x14ac:dyDescent="0.3">
      <c r="J102172"/>
    </row>
    <row r="102173" spans="10:10" x14ac:dyDescent="0.3">
      <c r="J102173"/>
    </row>
    <row r="102174" spans="10:10" x14ac:dyDescent="0.3">
      <c r="J102174"/>
    </row>
    <row r="102175" spans="10:10" x14ac:dyDescent="0.3">
      <c r="J102175"/>
    </row>
    <row r="102176" spans="10:10" x14ac:dyDescent="0.3">
      <c r="J102176"/>
    </row>
    <row r="102177" spans="10:10" x14ac:dyDescent="0.3">
      <c r="J102177"/>
    </row>
    <row r="102178" spans="10:10" x14ac:dyDescent="0.3">
      <c r="J102178"/>
    </row>
    <row r="102179" spans="10:10" x14ac:dyDescent="0.3">
      <c r="J102179"/>
    </row>
    <row r="102180" spans="10:10" x14ac:dyDescent="0.3">
      <c r="J102180"/>
    </row>
    <row r="102181" spans="10:10" x14ac:dyDescent="0.3">
      <c r="J102181"/>
    </row>
    <row r="102182" spans="10:10" x14ac:dyDescent="0.3">
      <c r="J102182"/>
    </row>
    <row r="102183" spans="10:10" x14ac:dyDescent="0.3">
      <c r="J102183"/>
    </row>
    <row r="102184" spans="10:10" x14ac:dyDescent="0.3">
      <c r="J102184"/>
    </row>
    <row r="102185" spans="10:10" x14ac:dyDescent="0.3">
      <c r="J102185"/>
    </row>
    <row r="102186" spans="10:10" x14ac:dyDescent="0.3">
      <c r="J102186"/>
    </row>
    <row r="102187" spans="10:10" x14ac:dyDescent="0.3">
      <c r="J102187"/>
    </row>
    <row r="102188" spans="10:10" x14ac:dyDescent="0.3">
      <c r="J102188"/>
    </row>
    <row r="102189" spans="10:10" x14ac:dyDescent="0.3">
      <c r="J102189"/>
    </row>
    <row r="102190" spans="10:10" x14ac:dyDescent="0.3">
      <c r="J102190"/>
    </row>
    <row r="102191" spans="10:10" x14ac:dyDescent="0.3">
      <c r="J102191"/>
    </row>
    <row r="102192" spans="10:10" x14ac:dyDescent="0.3">
      <c r="J102192"/>
    </row>
    <row r="102193" spans="10:10" x14ac:dyDescent="0.3">
      <c r="J102193"/>
    </row>
    <row r="102194" spans="10:10" x14ac:dyDescent="0.3">
      <c r="J102194"/>
    </row>
    <row r="102195" spans="10:10" x14ac:dyDescent="0.3">
      <c r="J102195"/>
    </row>
    <row r="102196" spans="10:10" x14ac:dyDescent="0.3">
      <c r="J102196"/>
    </row>
    <row r="102197" spans="10:10" x14ac:dyDescent="0.3">
      <c r="J102197"/>
    </row>
    <row r="102198" spans="10:10" x14ac:dyDescent="0.3">
      <c r="J102198"/>
    </row>
    <row r="102199" spans="10:10" x14ac:dyDescent="0.3">
      <c r="J102199"/>
    </row>
    <row r="102200" spans="10:10" x14ac:dyDescent="0.3">
      <c r="J102200"/>
    </row>
    <row r="102201" spans="10:10" x14ac:dyDescent="0.3">
      <c r="J102201"/>
    </row>
    <row r="102202" spans="10:10" x14ac:dyDescent="0.3">
      <c r="J102202"/>
    </row>
    <row r="102203" spans="10:10" x14ac:dyDescent="0.3">
      <c r="J102203"/>
    </row>
    <row r="102204" spans="10:10" x14ac:dyDescent="0.3">
      <c r="J102204"/>
    </row>
    <row r="102205" spans="10:10" x14ac:dyDescent="0.3">
      <c r="J102205"/>
    </row>
    <row r="102206" spans="10:10" x14ac:dyDescent="0.3">
      <c r="J102206"/>
    </row>
    <row r="102207" spans="10:10" x14ac:dyDescent="0.3">
      <c r="J102207"/>
    </row>
    <row r="102208" spans="10:10" x14ac:dyDescent="0.3">
      <c r="J102208"/>
    </row>
    <row r="102209" spans="10:10" x14ac:dyDescent="0.3">
      <c r="J102209"/>
    </row>
    <row r="102210" spans="10:10" x14ac:dyDescent="0.3">
      <c r="J102210"/>
    </row>
    <row r="102211" spans="10:10" x14ac:dyDescent="0.3">
      <c r="J102211"/>
    </row>
    <row r="102212" spans="10:10" x14ac:dyDescent="0.3">
      <c r="J102212"/>
    </row>
    <row r="102213" spans="10:10" x14ac:dyDescent="0.3">
      <c r="J102213"/>
    </row>
    <row r="102214" spans="10:10" x14ac:dyDescent="0.3">
      <c r="J102214"/>
    </row>
    <row r="102215" spans="10:10" x14ac:dyDescent="0.3">
      <c r="J102215"/>
    </row>
    <row r="102216" spans="10:10" x14ac:dyDescent="0.3">
      <c r="J102216"/>
    </row>
    <row r="102217" spans="10:10" x14ac:dyDescent="0.3">
      <c r="J102217"/>
    </row>
    <row r="102218" spans="10:10" x14ac:dyDescent="0.3">
      <c r="J102218"/>
    </row>
    <row r="102219" spans="10:10" x14ac:dyDescent="0.3">
      <c r="J102219"/>
    </row>
    <row r="102220" spans="10:10" x14ac:dyDescent="0.3">
      <c r="J102220"/>
    </row>
    <row r="102221" spans="10:10" x14ac:dyDescent="0.3">
      <c r="J102221"/>
    </row>
    <row r="102222" spans="10:10" x14ac:dyDescent="0.3">
      <c r="J102222"/>
    </row>
    <row r="102223" spans="10:10" x14ac:dyDescent="0.3">
      <c r="J102223"/>
    </row>
    <row r="102224" spans="10:10" x14ac:dyDescent="0.3">
      <c r="J102224"/>
    </row>
    <row r="102225" spans="10:10" x14ac:dyDescent="0.3">
      <c r="J102225"/>
    </row>
    <row r="102226" spans="10:10" x14ac:dyDescent="0.3">
      <c r="J102226"/>
    </row>
    <row r="102227" spans="10:10" x14ac:dyDescent="0.3">
      <c r="J102227"/>
    </row>
    <row r="102228" spans="10:10" x14ac:dyDescent="0.3">
      <c r="J102228"/>
    </row>
    <row r="102229" spans="10:10" x14ac:dyDescent="0.3">
      <c r="J102229"/>
    </row>
    <row r="102230" spans="10:10" x14ac:dyDescent="0.3">
      <c r="J102230"/>
    </row>
    <row r="102231" spans="10:10" x14ac:dyDescent="0.3">
      <c r="J102231"/>
    </row>
    <row r="102232" spans="10:10" x14ac:dyDescent="0.3">
      <c r="J102232"/>
    </row>
    <row r="102233" spans="10:10" x14ac:dyDescent="0.3">
      <c r="J102233"/>
    </row>
    <row r="102234" spans="10:10" x14ac:dyDescent="0.3">
      <c r="J102234"/>
    </row>
    <row r="102235" spans="10:10" x14ac:dyDescent="0.3">
      <c r="J102235"/>
    </row>
    <row r="102236" spans="10:10" x14ac:dyDescent="0.3">
      <c r="J102236"/>
    </row>
    <row r="102237" spans="10:10" x14ac:dyDescent="0.3">
      <c r="J102237"/>
    </row>
    <row r="102238" spans="10:10" x14ac:dyDescent="0.3">
      <c r="J102238"/>
    </row>
    <row r="102239" spans="10:10" x14ac:dyDescent="0.3">
      <c r="J102239"/>
    </row>
    <row r="102240" spans="10:10" x14ac:dyDescent="0.3">
      <c r="J102240"/>
    </row>
    <row r="102241" spans="10:10" x14ac:dyDescent="0.3">
      <c r="J102241"/>
    </row>
    <row r="102242" spans="10:10" x14ac:dyDescent="0.3">
      <c r="J102242"/>
    </row>
    <row r="102243" spans="10:10" x14ac:dyDescent="0.3">
      <c r="J102243"/>
    </row>
    <row r="102244" spans="10:10" x14ac:dyDescent="0.3">
      <c r="J102244"/>
    </row>
    <row r="102245" spans="10:10" x14ac:dyDescent="0.3">
      <c r="J102245"/>
    </row>
    <row r="102246" spans="10:10" x14ac:dyDescent="0.3">
      <c r="J102246"/>
    </row>
    <row r="102247" spans="10:10" x14ac:dyDescent="0.3">
      <c r="J102247"/>
    </row>
    <row r="102248" spans="10:10" x14ac:dyDescent="0.3">
      <c r="J102248"/>
    </row>
    <row r="102249" spans="10:10" x14ac:dyDescent="0.3">
      <c r="J102249"/>
    </row>
    <row r="102250" spans="10:10" x14ac:dyDescent="0.3">
      <c r="J102250"/>
    </row>
    <row r="102251" spans="10:10" x14ac:dyDescent="0.3">
      <c r="J102251"/>
    </row>
    <row r="102252" spans="10:10" x14ac:dyDescent="0.3">
      <c r="J102252"/>
    </row>
    <row r="102253" spans="10:10" x14ac:dyDescent="0.3">
      <c r="J102253"/>
    </row>
    <row r="102254" spans="10:10" x14ac:dyDescent="0.3">
      <c r="J102254"/>
    </row>
    <row r="102255" spans="10:10" x14ac:dyDescent="0.3">
      <c r="J102255"/>
    </row>
    <row r="102256" spans="10:10" x14ac:dyDescent="0.3">
      <c r="J102256"/>
    </row>
    <row r="102257" spans="10:10" x14ac:dyDescent="0.3">
      <c r="J102257"/>
    </row>
    <row r="102258" spans="10:10" x14ac:dyDescent="0.3">
      <c r="J102258"/>
    </row>
    <row r="102259" spans="10:10" x14ac:dyDescent="0.3">
      <c r="J102259"/>
    </row>
    <row r="102260" spans="10:10" x14ac:dyDescent="0.3">
      <c r="J102260"/>
    </row>
    <row r="102261" spans="10:10" x14ac:dyDescent="0.3">
      <c r="J102261"/>
    </row>
    <row r="102262" spans="10:10" x14ac:dyDescent="0.3">
      <c r="J102262"/>
    </row>
    <row r="102263" spans="10:10" x14ac:dyDescent="0.3">
      <c r="J102263"/>
    </row>
    <row r="102264" spans="10:10" x14ac:dyDescent="0.3">
      <c r="J102264"/>
    </row>
    <row r="102265" spans="10:10" x14ac:dyDescent="0.3">
      <c r="J102265"/>
    </row>
    <row r="102266" spans="10:10" x14ac:dyDescent="0.3">
      <c r="J102266"/>
    </row>
    <row r="102267" spans="10:10" x14ac:dyDescent="0.3">
      <c r="J102267"/>
    </row>
    <row r="102268" spans="10:10" x14ac:dyDescent="0.3">
      <c r="J102268"/>
    </row>
    <row r="102269" spans="10:10" x14ac:dyDescent="0.3">
      <c r="J102269"/>
    </row>
    <row r="102270" spans="10:10" x14ac:dyDescent="0.3">
      <c r="J102270"/>
    </row>
    <row r="102271" spans="10:10" x14ac:dyDescent="0.3">
      <c r="J102271"/>
    </row>
    <row r="102272" spans="10:10" x14ac:dyDescent="0.3">
      <c r="J102272"/>
    </row>
    <row r="102273" spans="10:10" x14ac:dyDescent="0.3">
      <c r="J102273"/>
    </row>
    <row r="102274" spans="10:10" x14ac:dyDescent="0.3">
      <c r="J102274"/>
    </row>
    <row r="102275" spans="10:10" x14ac:dyDescent="0.3">
      <c r="J102275"/>
    </row>
    <row r="102276" spans="10:10" x14ac:dyDescent="0.3">
      <c r="J102276"/>
    </row>
    <row r="102277" spans="10:10" x14ac:dyDescent="0.3">
      <c r="J102277"/>
    </row>
    <row r="102278" spans="10:10" x14ac:dyDescent="0.3">
      <c r="J102278"/>
    </row>
    <row r="102279" spans="10:10" x14ac:dyDescent="0.3">
      <c r="J102279"/>
    </row>
    <row r="102280" spans="10:10" x14ac:dyDescent="0.3">
      <c r="J102280"/>
    </row>
    <row r="102281" spans="10:10" x14ac:dyDescent="0.3">
      <c r="J102281"/>
    </row>
    <row r="102282" spans="10:10" x14ac:dyDescent="0.3">
      <c r="J102282"/>
    </row>
    <row r="102283" spans="10:10" x14ac:dyDescent="0.3">
      <c r="J102283"/>
    </row>
    <row r="102284" spans="10:10" x14ac:dyDescent="0.3">
      <c r="J102284"/>
    </row>
    <row r="102285" spans="10:10" x14ac:dyDescent="0.3">
      <c r="J102285"/>
    </row>
    <row r="102286" spans="10:10" x14ac:dyDescent="0.3">
      <c r="J102286"/>
    </row>
    <row r="102287" spans="10:10" x14ac:dyDescent="0.3">
      <c r="J102287"/>
    </row>
    <row r="102288" spans="10:10" x14ac:dyDescent="0.3">
      <c r="J102288"/>
    </row>
    <row r="102289" spans="10:10" x14ac:dyDescent="0.3">
      <c r="J102289"/>
    </row>
    <row r="102290" spans="10:10" x14ac:dyDescent="0.3">
      <c r="J102290"/>
    </row>
    <row r="102291" spans="10:10" x14ac:dyDescent="0.3">
      <c r="J102291"/>
    </row>
    <row r="102292" spans="10:10" x14ac:dyDescent="0.3">
      <c r="J102292"/>
    </row>
    <row r="102293" spans="10:10" x14ac:dyDescent="0.3">
      <c r="J102293"/>
    </row>
    <row r="102294" spans="10:10" x14ac:dyDescent="0.3">
      <c r="J102294"/>
    </row>
    <row r="102295" spans="10:10" x14ac:dyDescent="0.3">
      <c r="J102295"/>
    </row>
    <row r="102296" spans="10:10" x14ac:dyDescent="0.3">
      <c r="J102296"/>
    </row>
    <row r="102297" spans="10:10" x14ac:dyDescent="0.3">
      <c r="J102297"/>
    </row>
    <row r="102298" spans="10:10" x14ac:dyDescent="0.3">
      <c r="J102298"/>
    </row>
    <row r="102299" spans="10:10" x14ac:dyDescent="0.3">
      <c r="J102299"/>
    </row>
    <row r="102300" spans="10:10" x14ac:dyDescent="0.3">
      <c r="J102300"/>
    </row>
    <row r="102301" spans="10:10" x14ac:dyDescent="0.3">
      <c r="J102301"/>
    </row>
    <row r="102302" spans="10:10" x14ac:dyDescent="0.3">
      <c r="J102302"/>
    </row>
    <row r="102303" spans="10:10" x14ac:dyDescent="0.3">
      <c r="J102303"/>
    </row>
    <row r="102304" spans="10:10" x14ac:dyDescent="0.3">
      <c r="J102304"/>
    </row>
    <row r="102305" spans="10:10" x14ac:dyDescent="0.3">
      <c r="J102305"/>
    </row>
    <row r="102306" spans="10:10" x14ac:dyDescent="0.3">
      <c r="J102306"/>
    </row>
    <row r="102307" spans="10:10" x14ac:dyDescent="0.3">
      <c r="J102307"/>
    </row>
    <row r="102308" spans="10:10" x14ac:dyDescent="0.3">
      <c r="J102308"/>
    </row>
    <row r="102309" spans="10:10" x14ac:dyDescent="0.3">
      <c r="J102309"/>
    </row>
    <row r="102310" spans="10:10" x14ac:dyDescent="0.3">
      <c r="J102310"/>
    </row>
    <row r="102311" spans="10:10" x14ac:dyDescent="0.3">
      <c r="J102311"/>
    </row>
    <row r="102312" spans="10:10" x14ac:dyDescent="0.3">
      <c r="J102312"/>
    </row>
    <row r="102313" spans="10:10" x14ac:dyDescent="0.3">
      <c r="J102313"/>
    </row>
    <row r="102314" spans="10:10" x14ac:dyDescent="0.3">
      <c r="J102314"/>
    </row>
    <row r="102315" spans="10:10" x14ac:dyDescent="0.3">
      <c r="J102315"/>
    </row>
    <row r="102316" spans="10:10" x14ac:dyDescent="0.3">
      <c r="J102316"/>
    </row>
    <row r="102317" spans="10:10" x14ac:dyDescent="0.3">
      <c r="J102317"/>
    </row>
    <row r="102318" spans="10:10" x14ac:dyDescent="0.3">
      <c r="J102318"/>
    </row>
    <row r="102319" spans="10:10" x14ac:dyDescent="0.3">
      <c r="J102319"/>
    </row>
    <row r="102320" spans="10:10" x14ac:dyDescent="0.3">
      <c r="J102320"/>
    </row>
    <row r="102321" spans="10:10" x14ac:dyDescent="0.3">
      <c r="J102321"/>
    </row>
    <row r="102322" spans="10:10" x14ac:dyDescent="0.3">
      <c r="J102322"/>
    </row>
    <row r="102323" spans="10:10" x14ac:dyDescent="0.3">
      <c r="J102323"/>
    </row>
    <row r="102324" spans="10:10" x14ac:dyDescent="0.3">
      <c r="J102324"/>
    </row>
    <row r="102325" spans="10:10" x14ac:dyDescent="0.3">
      <c r="J102325"/>
    </row>
    <row r="102326" spans="10:10" x14ac:dyDescent="0.3">
      <c r="J102326"/>
    </row>
    <row r="102327" spans="10:10" x14ac:dyDescent="0.3">
      <c r="J102327"/>
    </row>
    <row r="102328" spans="10:10" x14ac:dyDescent="0.3">
      <c r="J102328"/>
    </row>
    <row r="102329" spans="10:10" x14ac:dyDescent="0.3">
      <c r="J102329"/>
    </row>
    <row r="102330" spans="10:10" x14ac:dyDescent="0.3">
      <c r="J102330"/>
    </row>
    <row r="102331" spans="10:10" x14ac:dyDescent="0.3">
      <c r="J102331"/>
    </row>
    <row r="102332" spans="10:10" x14ac:dyDescent="0.3">
      <c r="J102332"/>
    </row>
    <row r="102333" spans="10:10" x14ac:dyDescent="0.3">
      <c r="J102333"/>
    </row>
    <row r="102334" spans="10:10" x14ac:dyDescent="0.3">
      <c r="J102334"/>
    </row>
    <row r="102335" spans="10:10" x14ac:dyDescent="0.3">
      <c r="J102335"/>
    </row>
    <row r="102336" spans="10:10" x14ac:dyDescent="0.3">
      <c r="J102336"/>
    </row>
    <row r="102337" spans="10:10" x14ac:dyDescent="0.3">
      <c r="J102337"/>
    </row>
    <row r="102338" spans="10:10" x14ac:dyDescent="0.3">
      <c r="J102338"/>
    </row>
    <row r="102339" spans="10:10" x14ac:dyDescent="0.3">
      <c r="J102339"/>
    </row>
    <row r="102340" spans="10:10" x14ac:dyDescent="0.3">
      <c r="J102340"/>
    </row>
    <row r="102341" spans="10:10" x14ac:dyDescent="0.3">
      <c r="J102341"/>
    </row>
    <row r="102342" spans="10:10" x14ac:dyDescent="0.3">
      <c r="J102342"/>
    </row>
    <row r="102343" spans="10:10" x14ac:dyDescent="0.3">
      <c r="J102343"/>
    </row>
    <row r="102344" spans="10:10" x14ac:dyDescent="0.3">
      <c r="J102344"/>
    </row>
    <row r="102345" spans="10:10" x14ac:dyDescent="0.3">
      <c r="J102345"/>
    </row>
    <row r="102346" spans="10:10" x14ac:dyDescent="0.3">
      <c r="J102346"/>
    </row>
    <row r="102347" spans="10:10" x14ac:dyDescent="0.3">
      <c r="J102347"/>
    </row>
    <row r="102348" spans="10:10" x14ac:dyDescent="0.3">
      <c r="J102348"/>
    </row>
    <row r="102349" spans="10:10" x14ac:dyDescent="0.3">
      <c r="J102349"/>
    </row>
    <row r="102350" spans="10:10" x14ac:dyDescent="0.3">
      <c r="J102350"/>
    </row>
    <row r="102351" spans="10:10" x14ac:dyDescent="0.3">
      <c r="J102351"/>
    </row>
    <row r="102352" spans="10:10" x14ac:dyDescent="0.3">
      <c r="J102352"/>
    </row>
    <row r="102353" spans="10:10" x14ac:dyDescent="0.3">
      <c r="J102353"/>
    </row>
    <row r="102354" spans="10:10" x14ac:dyDescent="0.3">
      <c r="J102354"/>
    </row>
    <row r="102355" spans="10:10" x14ac:dyDescent="0.3">
      <c r="J102355"/>
    </row>
    <row r="102356" spans="10:10" x14ac:dyDescent="0.3">
      <c r="J102356"/>
    </row>
    <row r="102357" spans="10:10" x14ac:dyDescent="0.3">
      <c r="J102357"/>
    </row>
    <row r="102358" spans="10:10" x14ac:dyDescent="0.3">
      <c r="J102358"/>
    </row>
    <row r="102359" spans="10:10" x14ac:dyDescent="0.3">
      <c r="J102359"/>
    </row>
    <row r="102360" spans="10:10" x14ac:dyDescent="0.3">
      <c r="J102360"/>
    </row>
    <row r="102361" spans="10:10" x14ac:dyDescent="0.3">
      <c r="J102361"/>
    </row>
    <row r="102362" spans="10:10" x14ac:dyDescent="0.3">
      <c r="J102362"/>
    </row>
    <row r="102363" spans="10:10" x14ac:dyDescent="0.3">
      <c r="J102363"/>
    </row>
    <row r="102364" spans="10:10" x14ac:dyDescent="0.3">
      <c r="J102364"/>
    </row>
    <row r="102365" spans="10:10" x14ac:dyDescent="0.3">
      <c r="J102365"/>
    </row>
    <row r="102366" spans="10:10" x14ac:dyDescent="0.3">
      <c r="J102366"/>
    </row>
    <row r="102367" spans="10:10" x14ac:dyDescent="0.3">
      <c r="J102367"/>
    </row>
    <row r="102368" spans="10:10" x14ac:dyDescent="0.3">
      <c r="J102368"/>
    </row>
    <row r="102369" spans="10:10" x14ac:dyDescent="0.3">
      <c r="J102369"/>
    </row>
    <row r="102370" spans="10:10" x14ac:dyDescent="0.3">
      <c r="J102370"/>
    </row>
    <row r="102371" spans="10:10" x14ac:dyDescent="0.3">
      <c r="J102371"/>
    </row>
    <row r="102372" spans="10:10" x14ac:dyDescent="0.3">
      <c r="J102372"/>
    </row>
    <row r="102373" spans="10:10" x14ac:dyDescent="0.3">
      <c r="J102373"/>
    </row>
    <row r="102374" spans="10:10" x14ac:dyDescent="0.3">
      <c r="J102374"/>
    </row>
    <row r="102375" spans="10:10" x14ac:dyDescent="0.3">
      <c r="J102375"/>
    </row>
    <row r="102376" spans="10:10" x14ac:dyDescent="0.3">
      <c r="J102376"/>
    </row>
    <row r="102377" spans="10:10" x14ac:dyDescent="0.3">
      <c r="J102377"/>
    </row>
    <row r="102378" spans="10:10" x14ac:dyDescent="0.3">
      <c r="J102378"/>
    </row>
    <row r="102379" spans="10:10" x14ac:dyDescent="0.3">
      <c r="J102379"/>
    </row>
    <row r="102380" spans="10:10" x14ac:dyDescent="0.3">
      <c r="J102380"/>
    </row>
    <row r="102381" spans="10:10" x14ac:dyDescent="0.3">
      <c r="J102381"/>
    </row>
    <row r="102382" spans="10:10" x14ac:dyDescent="0.3">
      <c r="J102382"/>
    </row>
    <row r="102383" spans="10:10" x14ac:dyDescent="0.3">
      <c r="J102383"/>
    </row>
    <row r="102384" spans="10:10" x14ac:dyDescent="0.3">
      <c r="J102384"/>
    </row>
    <row r="102385" spans="10:10" x14ac:dyDescent="0.3">
      <c r="J102385"/>
    </row>
    <row r="102386" spans="10:10" x14ac:dyDescent="0.3">
      <c r="J102386"/>
    </row>
    <row r="102387" spans="10:10" x14ac:dyDescent="0.3">
      <c r="J102387"/>
    </row>
    <row r="102388" spans="10:10" x14ac:dyDescent="0.3">
      <c r="J102388"/>
    </row>
    <row r="102389" spans="10:10" x14ac:dyDescent="0.3">
      <c r="J102389"/>
    </row>
    <row r="102390" spans="10:10" x14ac:dyDescent="0.3">
      <c r="J102390"/>
    </row>
    <row r="102391" spans="10:10" x14ac:dyDescent="0.3">
      <c r="J102391"/>
    </row>
    <row r="102392" spans="10:10" x14ac:dyDescent="0.3">
      <c r="J102392"/>
    </row>
    <row r="102393" spans="10:10" x14ac:dyDescent="0.3">
      <c r="J102393"/>
    </row>
    <row r="102394" spans="10:10" x14ac:dyDescent="0.3">
      <c r="J102394"/>
    </row>
    <row r="102395" spans="10:10" x14ac:dyDescent="0.3">
      <c r="J102395"/>
    </row>
    <row r="102396" spans="10:10" x14ac:dyDescent="0.3">
      <c r="J102396"/>
    </row>
    <row r="102397" spans="10:10" x14ac:dyDescent="0.3">
      <c r="J102397"/>
    </row>
    <row r="102398" spans="10:10" x14ac:dyDescent="0.3">
      <c r="J102398"/>
    </row>
    <row r="102399" spans="10:10" x14ac:dyDescent="0.3">
      <c r="J102399"/>
    </row>
    <row r="102400" spans="10:10" x14ac:dyDescent="0.3">
      <c r="J102400"/>
    </row>
    <row r="102401" spans="10:10" x14ac:dyDescent="0.3">
      <c r="J102401"/>
    </row>
    <row r="102402" spans="10:10" x14ac:dyDescent="0.3">
      <c r="J102402"/>
    </row>
    <row r="102403" spans="10:10" x14ac:dyDescent="0.3">
      <c r="J102403"/>
    </row>
    <row r="102404" spans="10:10" x14ac:dyDescent="0.3">
      <c r="J102404"/>
    </row>
    <row r="102405" spans="10:10" x14ac:dyDescent="0.3">
      <c r="J102405"/>
    </row>
    <row r="102406" spans="10:10" x14ac:dyDescent="0.3">
      <c r="J102406"/>
    </row>
    <row r="102407" spans="10:10" x14ac:dyDescent="0.3">
      <c r="J102407"/>
    </row>
    <row r="102408" spans="10:10" x14ac:dyDescent="0.3">
      <c r="J102408"/>
    </row>
    <row r="102409" spans="10:10" x14ac:dyDescent="0.3">
      <c r="J102409"/>
    </row>
    <row r="102410" spans="10:10" x14ac:dyDescent="0.3">
      <c r="J102410"/>
    </row>
    <row r="102411" spans="10:10" x14ac:dyDescent="0.3">
      <c r="J102411"/>
    </row>
    <row r="102412" spans="10:10" x14ac:dyDescent="0.3">
      <c r="J102412"/>
    </row>
    <row r="102413" spans="10:10" x14ac:dyDescent="0.3">
      <c r="J102413"/>
    </row>
    <row r="102414" spans="10:10" x14ac:dyDescent="0.3">
      <c r="J102414"/>
    </row>
    <row r="102415" spans="10:10" x14ac:dyDescent="0.3">
      <c r="J102415"/>
    </row>
    <row r="102416" spans="10:10" x14ac:dyDescent="0.3">
      <c r="J102416"/>
    </row>
    <row r="102417" spans="10:10" x14ac:dyDescent="0.3">
      <c r="J102417"/>
    </row>
    <row r="102418" spans="10:10" x14ac:dyDescent="0.3">
      <c r="J102418"/>
    </row>
    <row r="102419" spans="10:10" x14ac:dyDescent="0.3">
      <c r="J102419"/>
    </row>
    <row r="102420" spans="10:10" x14ac:dyDescent="0.3">
      <c r="J102420"/>
    </row>
    <row r="102421" spans="10:10" x14ac:dyDescent="0.3">
      <c r="J102421"/>
    </row>
    <row r="102422" spans="10:10" x14ac:dyDescent="0.3">
      <c r="J102422"/>
    </row>
    <row r="102423" spans="10:10" x14ac:dyDescent="0.3">
      <c r="J102423"/>
    </row>
    <row r="102424" spans="10:10" x14ac:dyDescent="0.3">
      <c r="J102424"/>
    </row>
    <row r="102425" spans="10:10" x14ac:dyDescent="0.3">
      <c r="J102425"/>
    </row>
    <row r="102426" spans="10:10" x14ac:dyDescent="0.3">
      <c r="J102426"/>
    </row>
    <row r="102427" spans="10:10" x14ac:dyDescent="0.3">
      <c r="J102427"/>
    </row>
    <row r="102428" spans="10:10" x14ac:dyDescent="0.3">
      <c r="J102428"/>
    </row>
    <row r="102429" spans="10:10" x14ac:dyDescent="0.3">
      <c r="J102429"/>
    </row>
    <row r="102430" spans="10:10" x14ac:dyDescent="0.3">
      <c r="J102430"/>
    </row>
    <row r="102431" spans="10:10" x14ac:dyDescent="0.3">
      <c r="J102431"/>
    </row>
    <row r="102432" spans="10:10" x14ac:dyDescent="0.3">
      <c r="J102432"/>
    </row>
    <row r="102433" spans="10:10" x14ac:dyDescent="0.3">
      <c r="J102433"/>
    </row>
    <row r="102434" spans="10:10" x14ac:dyDescent="0.3">
      <c r="J102434"/>
    </row>
    <row r="102435" spans="10:10" x14ac:dyDescent="0.3">
      <c r="J102435"/>
    </row>
    <row r="102436" spans="10:10" x14ac:dyDescent="0.3">
      <c r="J102436"/>
    </row>
    <row r="102437" spans="10:10" x14ac:dyDescent="0.3">
      <c r="J102437"/>
    </row>
    <row r="102438" spans="10:10" x14ac:dyDescent="0.3">
      <c r="J102438"/>
    </row>
    <row r="102439" spans="10:10" x14ac:dyDescent="0.3">
      <c r="J102439"/>
    </row>
    <row r="102440" spans="10:10" x14ac:dyDescent="0.3">
      <c r="J102440"/>
    </row>
    <row r="102441" spans="10:10" x14ac:dyDescent="0.3">
      <c r="J102441"/>
    </row>
    <row r="102442" spans="10:10" x14ac:dyDescent="0.3">
      <c r="J102442"/>
    </row>
    <row r="102443" spans="10:10" x14ac:dyDescent="0.3">
      <c r="J102443"/>
    </row>
    <row r="102444" spans="10:10" x14ac:dyDescent="0.3">
      <c r="J102444"/>
    </row>
    <row r="102445" spans="10:10" x14ac:dyDescent="0.3">
      <c r="J102445"/>
    </row>
    <row r="102446" spans="10:10" x14ac:dyDescent="0.3">
      <c r="J102446"/>
    </row>
    <row r="102447" spans="10:10" x14ac:dyDescent="0.3">
      <c r="J102447"/>
    </row>
    <row r="102448" spans="10:10" x14ac:dyDescent="0.3">
      <c r="J102448"/>
    </row>
    <row r="102449" spans="10:10" x14ac:dyDescent="0.3">
      <c r="J102449"/>
    </row>
    <row r="102450" spans="10:10" x14ac:dyDescent="0.3">
      <c r="J102450"/>
    </row>
    <row r="102451" spans="10:10" x14ac:dyDescent="0.3">
      <c r="J102451"/>
    </row>
    <row r="102452" spans="10:10" x14ac:dyDescent="0.3">
      <c r="J102452"/>
    </row>
    <row r="102453" spans="10:10" x14ac:dyDescent="0.3">
      <c r="J102453"/>
    </row>
    <row r="102454" spans="10:10" x14ac:dyDescent="0.3">
      <c r="J102454"/>
    </row>
    <row r="102455" spans="10:10" x14ac:dyDescent="0.3">
      <c r="J102455"/>
    </row>
    <row r="102456" spans="10:10" x14ac:dyDescent="0.3">
      <c r="J102456"/>
    </row>
    <row r="102457" spans="10:10" x14ac:dyDescent="0.3">
      <c r="J102457"/>
    </row>
    <row r="102458" spans="10:10" x14ac:dyDescent="0.3">
      <c r="J102458"/>
    </row>
    <row r="102459" spans="10:10" x14ac:dyDescent="0.3">
      <c r="J102459"/>
    </row>
    <row r="102460" spans="10:10" x14ac:dyDescent="0.3">
      <c r="J102460"/>
    </row>
    <row r="102461" spans="10:10" x14ac:dyDescent="0.3">
      <c r="J102461"/>
    </row>
    <row r="102462" spans="10:10" x14ac:dyDescent="0.3">
      <c r="J102462"/>
    </row>
    <row r="102463" spans="10:10" x14ac:dyDescent="0.3">
      <c r="J102463"/>
    </row>
    <row r="102464" spans="10:10" x14ac:dyDescent="0.3">
      <c r="J102464"/>
    </row>
    <row r="102465" spans="10:10" x14ac:dyDescent="0.3">
      <c r="J102465"/>
    </row>
    <row r="102466" spans="10:10" x14ac:dyDescent="0.3">
      <c r="J102466"/>
    </row>
    <row r="102467" spans="10:10" x14ac:dyDescent="0.3">
      <c r="J102467"/>
    </row>
    <row r="102468" spans="10:10" x14ac:dyDescent="0.3">
      <c r="J102468"/>
    </row>
    <row r="102469" spans="10:10" x14ac:dyDescent="0.3">
      <c r="J102469"/>
    </row>
    <row r="102470" spans="10:10" x14ac:dyDescent="0.3">
      <c r="J102470"/>
    </row>
    <row r="102471" spans="10:10" x14ac:dyDescent="0.3">
      <c r="J102471"/>
    </row>
    <row r="102472" spans="10:10" x14ac:dyDescent="0.3">
      <c r="J102472"/>
    </row>
    <row r="102473" spans="10:10" x14ac:dyDescent="0.3">
      <c r="J102473"/>
    </row>
    <row r="102474" spans="10:10" x14ac:dyDescent="0.3">
      <c r="J102474"/>
    </row>
    <row r="102475" spans="10:10" x14ac:dyDescent="0.3">
      <c r="J102475"/>
    </row>
    <row r="102476" spans="10:10" x14ac:dyDescent="0.3">
      <c r="J102476"/>
    </row>
    <row r="102477" spans="10:10" x14ac:dyDescent="0.3">
      <c r="J102477"/>
    </row>
    <row r="102478" spans="10:10" x14ac:dyDescent="0.3">
      <c r="J102478"/>
    </row>
    <row r="102479" spans="10:10" x14ac:dyDescent="0.3">
      <c r="J102479"/>
    </row>
    <row r="102480" spans="10:10" x14ac:dyDescent="0.3">
      <c r="J102480"/>
    </row>
    <row r="102481" spans="10:10" x14ac:dyDescent="0.3">
      <c r="J102481"/>
    </row>
    <row r="102482" spans="10:10" x14ac:dyDescent="0.3">
      <c r="J102482"/>
    </row>
    <row r="102483" spans="10:10" x14ac:dyDescent="0.3">
      <c r="J102483"/>
    </row>
    <row r="102484" spans="10:10" x14ac:dyDescent="0.3">
      <c r="J102484"/>
    </row>
    <row r="102485" spans="10:10" x14ac:dyDescent="0.3">
      <c r="J102485"/>
    </row>
    <row r="102486" spans="10:10" x14ac:dyDescent="0.3">
      <c r="J102486"/>
    </row>
    <row r="102487" spans="10:10" x14ac:dyDescent="0.3">
      <c r="J102487"/>
    </row>
    <row r="102488" spans="10:10" x14ac:dyDescent="0.3">
      <c r="J102488"/>
    </row>
    <row r="102489" spans="10:10" x14ac:dyDescent="0.3">
      <c r="J102489"/>
    </row>
    <row r="102490" spans="10:10" x14ac:dyDescent="0.3">
      <c r="J102490"/>
    </row>
    <row r="102491" spans="10:10" x14ac:dyDescent="0.3">
      <c r="J102491"/>
    </row>
    <row r="102492" spans="10:10" x14ac:dyDescent="0.3">
      <c r="J102492"/>
    </row>
    <row r="102493" spans="10:10" x14ac:dyDescent="0.3">
      <c r="J102493"/>
    </row>
    <row r="102494" spans="10:10" x14ac:dyDescent="0.3">
      <c r="J102494"/>
    </row>
    <row r="102495" spans="10:10" x14ac:dyDescent="0.3">
      <c r="J102495"/>
    </row>
    <row r="102496" spans="10:10" x14ac:dyDescent="0.3">
      <c r="J102496"/>
    </row>
    <row r="102497" spans="10:10" x14ac:dyDescent="0.3">
      <c r="J102497"/>
    </row>
    <row r="102498" spans="10:10" x14ac:dyDescent="0.3">
      <c r="J102498"/>
    </row>
    <row r="102499" spans="10:10" x14ac:dyDescent="0.3">
      <c r="J102499"/>
    </row>
    <row r="102500" spans="10:10" x14ac:dyDescent="0.3">
      <c r="J102500"/>
    </row>
    <row r="102501" spans="10:10" x14ac:dyDescent="0.3">
      <c r="J102501"/>
    </row>
    <row r="102502" spans="10:10" x14ac:dyDescent="0.3">
      <c r="J102502"/>
    </row>
    <row r="102503" spans="10:10" x14ac:dyDescent="0.3">
      <c r="J102503"/>
    </row>
    <row r="102504" spans="10:10" x14ac:dyDescent="0.3">
      <c r="J102504"/>
    </row>
    <row r="102505" spans="10:10" x14ac:dyDescent="0.3">
      <c r="J102505"/>
    </row>
    <row r="102506" spans="10:10" x14ac:dyDescent="0.3">
      <c r="J102506"/>
    </row>
    <row r="102507" spans="10:10" x14ac:dyDescent="0.3">
      <c r="J102507"/>
    </row>
    <row r="102508" spans="10:10" x14ac:dyDescent="0.3">
      <c r="J102508"/>
    </row>
    <row r="102509" spans="10:10" x14ac:dyDescent="0.3">
      <c r="J102509"/>
    </row>
    <row r="102510" spans="10:10" x14ac:dyDescent="0.3">
      <c r="J102510"/>
    </row>
    <row r="102511" spans="10:10" x14ac:dyDescent="0.3">
      <c r="J102511"/>
    </row>
    <row r="102512" spans="10:10" x14ac:dyDescent="0.3">
      <c r="J102512"/>
    </row>
    <row r="102513" spans="10:10" x14ac:dyDescent="0.3">
      <c r="J102513"/>
    </row>
    <row r="102514" spans="10:10" x14ac:dyDescent="0.3">
      <c r="J102514"/>
    </row>
    <row r="102515" spans="10:10" x14ac:dyDescent="0.3">
      <c r="J102515"/>
    </row>
    <row r="102516" spans="10:10" x14ac:dyDescent="0.3">
      <c r="J102516"/>
    </row>
    <row r="102517" spans="10:10" x14ac:dyDescent="0.3">
      <c r="J102517"/>
    </row>
    <row r="102518" spans="10:10" x14ac:dyDescent="0.3">
      <c r="J102518"/>
    </row>
    <row r="102519" spans="10:10" x14ac:dyDescent="0.3">
      <c r="J102519"/>
    </row>
    <row r="102520" spans="10:10" x14ac:dyDescent="0.3">
      <c r="J102520"/>
    </row>
    <row r="102521" spans="10:10" x14ac:dyDescent="0.3">
      <c r="J102521"/>
    </row>
    <row r="102522" spans="10:10" x14ac:dyDescent="0.3">
      <c r="J102522"/>
    </row>
    <row r="102523" spans="10:10" x14ac:dyDescent="0.3">
      <c r="J102523"/>
    </row>
    <row r="102524" spans="10:10" x14ac:dyDescent="0.3">
      <c r="J102524"/>
    </row>
    <row r="102525" spans="10:10" x14ac:dyDescent="0.3">
      <c r="J102525"/>
    </row>
    <row r="102526" spans="10:10" x14ac:dyDescent="0.3">
      <c r="J102526"/>
    </row>
    <row r="102527" spans="10:10" x14ac:dyDescent="0.3">
      <c r="J102527"/>
    </row>
    <row r="102528" spans="10:10" x14ac:dyDescent="0.3">
      <c r="J102528"/>
    </row>
    <row r="102529" spans="10:10" x14ac:dyDescent="0.3">
      <c r="J102529"/>
    </row>
    <row r="102530" spans="10:10" x14ac:dyDescent="0.3">
      <c r="J102530"/>
    </row>
    <row r="102531" spans="10:10" x14ac:dyDescent="0.3">
      <c r="J102531"/>
    </row>
    <row r="102532" spans="10:10" x14ac:dyDescent="0.3">
      <c r="J102532"/>
    </row>
    <row r="102533" spans="10:10" x14ac:dyDescent="0.3">
      <c r="J102533"/>
    </row>
    <row r="102534" spans="10:10" x14ac:dyDescent="0.3">
      <c r="J102534"/>
    </row>
    <row r="102535" spans="10:10" x14ac:dyDescent="0.3">
      <c r="J102535"/>
    </row>
    <row r="102536" spans="10:10" x14ac:dyDescent="0.3">
      <c r="J102536"/>
    </row>
    <row r="102537" spans="10:10" x14ac:dyDescent="0.3">
      <c r="J102537"/>
    </row>
    <row r="102538" spans="10:10" x14ac:dyDescent="0.3">
      <c r="J102538"/>
    </row>
    <row r="102539" spans="10:10" x14ac:dyDescent="0.3">
      <c r="J102539"/>
    </row>
    <row r="102540" spans="10:10" x14ac:dyDescent="0.3">
      <c r="J102540"/>
    </row>
    <row r="102541" spans="10:10" x14ac:dyDescent="0.3">
      <c r="J102541"/>
    </row>
    <row r="102542" spans="10:10" x14ac:dyDescent="0.3">
      <c r="J102542"/>
    </row>
    <row r="102543" spans="10:10" x14ac:dyDescent="0.3">
      <c r="J102543"/>
    </row>
    <row r="102544" spans="10:10" x14ac:dyDescent="0.3">
      <c r="J102544"/>
    </row>
    <row r="102545" spans="10:10" x14ac:dyDescent="0.3">
      <c r="J102545"/>
    </row>
    <row r="102546" spans="10:10" x14ac:dyDescent="0.3">
      <c r="J102546"/>
    </row>
    <row r="102547" spans="10:10" x14ac:dyDescent="0.3">
      <c r="J102547"/>
    </row>
    <row r="102548" spans="10:10" x14ac:dyDescent="0.3">
      <c r="J102548"/>
    </row>
    <row r="102549" spans="10:10" x14ac:dyDescent="0.3">
      <c r="J102549"/>
    </row>
    <row r="102550" spans="10:10" x14ac:dyDescent="0.3">
      <c r="J102550"/>
    </row>
    <row r="102551" spans="10:10" x14ac:dyDescent="0.3">
      <c r="J102551"/>
    </row>
    <row r="102552" spans="10:10" x14ac:dyDescent="0.3">
      <c r="J102552"/>
    </row>
    <row r="102553" spans="10:10" x14ac:dyDescent="0.3">
      <c r="J102553"/>
    </row>
    <row r="102554" spans="10:10" x14ac:dyDescent="0.3">
      <c r="J102554"/>
    </row>
    <row r="102555" spans="10:10" x14ac:dyDescent="0.3">
      <c r="J102555"/>
    </row>
    <row r="102556" spans="10:10" x14ac:dyDescent="0.3">
      <c r="J102556"/>
    </row>
    <row r="102557" spans="10:10" x14ac:dyDescent="0.3">
      <c r="J102557"/>
    </row>
    <row r="102558" spans="10:10" x14ac:dyDescent="0.3">
      <c r="J102558"/>
    </row>
    <row r="102559" spans="10:10" x14ac:dyDescent="0.3">
      <c r="J102559"/>
    </row>
    <row r="102560" spans="10:10" x14ac:dyDescent="0.3">
      <c r="J102560"/>
    </row>
    <row r="102561" spans="10:10" x14ac:dyDescent="0.3">
      <c r="J102561"/>
    </row>
    <row r="102562" spans="10:10" x14ac:dyDescent="0.3">
      <c r="J102562"/>
    </row>
    <row r="102563" spans="10:10" x14ac:dyDescent="0.3">
      <c r="J102563"/>
    </row>
    <row r="102564" spans="10:10" x14ac:dyDescent="0.3">
      <c r="J102564"/>
    </row>
    <row r="102565" spans="10:10" x14ac:dyDescent="0.3">
      <c r="J102565"/>
    </row>
    <row r="102566" spans="10:10" x14ac:dyDescent="0.3">
      <c r="J102566"/>
    </row>
    <row r="102567" spans="10:10" x14ac:dyDescent="0.3">
      <c r="J102567"/>
    </row>
    <row r="102568" spans="10:10" x14ac:dyDescent="0.3">
      <c r="J102568"/>
    </row>
    <row r="102569" spans="10:10" x14ac:dyDescent="0.3">
      <c r="J102569"/>
    </row>
    <row r="102570" spans="10:10" x14ac:dyDescent="0.3">
      <c r="J102570"/>
    </row>
    <row r="102571" spans="10:10" x14ac:dyDescent="0.3">
      <c r="J102571"/>
    </row>
    <row r="102572" spans="10:10" x14ac:dyDescent="0.3">
      <c r="J102572"/>
    </row>
    <row r="102573" spans="10:10" x14ac:dyDescent="0.3">
      <c r="J102573"/>
    </row>
    <row r="102574" spans="10:10" x14ac:dyDescent="0.3">
      <c r="J102574"/>
    </row>
    <row r="102575" spans="10:10" x14ac:dyDescent="0.3">
      <c r="J102575"/>
    </row>
    <row r="102576" spans="10:10" x14ac:dyDescent="0.3">
      <c r="J102576"/>
    </row>
    <row r="102577" spans="10:10" x14ac:dyDescent="0.3">
      <c r="J102577"/>
    </row>
    <row r="102578" spans="10:10" x14ac:dyDescent="0.3">
      <c r="J102578"/>
    </row>
    <row r="102579" spans="10:10" x14ac:dyDescent="0.3">
      <c r="J102579"/>
    </row>
    <row r="102580" spans="10:10" x14ac:dyDescent="0.3">
      <c r="J102580"/>
    </row>
    <row r="102581" spans="10:10" x14ac:dyDescent="0.3">
      <c r="J102581"/>
    </row>
    <row r="102582" spans="10:10" x14ac:dyDescent="0.3">
      <c r="J102582"/>
    </row>
    <row r="102583" spans="10:10" x14ac:dyDescent="0.3">
      <c r="J102583"/>
    </row>
    <row r="102584" spans="10:10" x14ac:dyDescent="0.3">
      <c r="J102584"/>
    </row>
    <row r="102585" spans="10:10" x14ac:dyDescent="0.3">
      <c r="J102585"/>
    </row>
    <row r="102586" spans="10:10" x14ac:dyDescent="0.3">
      <c r="J102586"/>
    </row>
    <row r="102587" spans="10:10" x14ac:dyDescent="0.3">
      <c r="J102587"/>
    </row>
    <row r="102588" spans="10:10" x14ac:dyDescent="0.3">
      <c r="J102588"/>
    </row>
    <row r="102589" spans="10:10" x14ac:dyDescent="0.3">
      <c r="J102589"/>
    </row>
    <row r="102590" spans="10:10" x14ac:dyDescent="0.3">
      <c r="J102590"/>
    </row>
    <row r="102591" spans="10:10" x14ac:dyDescent="0.3">
      <c r="J102591"/>
    </row>
    <row r="102592" spans="10:10" x14ac:dyDescent="0.3">
      <c r="J102592"/>
    </row>
    <row r="102593" spans="10:10" x14ac:dyDescent="0.3">
      <c r="J102593"/>
    </row>
    <row r="102594" spans="10:10" x14ac:dyDescent="0.3">
      <c r="J102594"/>
    </row>
    <row r="102595" spans="10:10" x14ac:dyDescent="0.3">
      <c r="J102595"/>
    </row>
    <row r="102596" spans="10:10" x14ac:dyDescent="0.3">
      <c r="J102596"/>
    </row>
    <row r="102597" spans="10:10" x14ac:dyDescent="0.3">
      <c r="J102597"/>
    </row>
    <row r="102598" spans="10:10" x14ac:dyDescent="0.3">
      <c r="J102598"/>
    </row>
    <row r="102599" spans="10:10" x14ac:dyDescent="0.3">
      <c r="J102599"/>
    </row>
    <row r="102600" spans="10:10" x14ac:dyDescent="0.3">
      <c r="J102600"/>
    </row>
    <row r="102601" spans="10:10" x14ac:dyDescent="0.3">
      <c r="J102601"/>
    </row>
    <row r="102602" spans="10:10" x14ac:dyDescent="0.3">
      <c r="J102602"/>
    </row>
    <row r="102603" spans="10:10" x14ac:dyDescent="0.3">
      <c r="J102603"/>
    </row>
    <row r="102604" spans="10:10" x14ac:dyDescent="0.3">
      <c r="J102604"/>
    </row>
    <row r="102605" spans="10:10" x14ac:dyDescent="0.3">
      <c r="J102605"/>
    </row>
    <row r="102606" spans="10:10" x14ac:dyDescent="0.3">
      <c r="J102606"/>
    </row>
    <row r="102607" spans="10:10" x14ac:dyDescent="0.3">
      <c r="J102607"/>
    </row>
    <row r="102608" spans="10:10" x14ac:dyDescent="0.3">
      <c r="J102608"/>
    </row>
    <row r="102609" spans="10:10" x14ac:dyDescent="0.3">
      <c r="J102609"/>
    </row>
    <row r="102610" spans="10:10" x14ac:dyDescent="0.3">
      <c r="J102610"/>
    </row>
    <row r="102611" spans="10:10" x14ac:dyDescent="0.3">
      <c r="J102611"/>
    </row>
    <row r="102612" spans="10:10" x14ac:dyDescent="0.3">
      <c r="J102612"/>
    </row>
    <row r="102613" spans="10:10" x14ac:dyDescent="0.3">
      <c r="J102613"/>
    </row>
    <row r="102614" spans="10:10" x14ac:dyDescent="0.3">
      <c r="J102614"/>
    </row>
    <row r="102615" spans="10:10" x14ac:dyDescent="0.3">
      <c r="J102615"/>
    </row>
    <row r="102616" spans="10:10" x14ac:dyDescent="0.3">
      <c r="J102616"/>
    </row>
    <row r="102617" spans="10:10" x14ac:dyDescent="0.3">
      <c r="J102617"/>
    </row>
    <row r="102618" spans="10:10" x14ac:dyDescent="0.3">
      <c r="J102618"/>
    </row>
    <row r="102619" spans="10:10" x14ac:dyDescent="0.3">
      <c r="J102619"/>
    </row>
    <row r="102620" spans="10:10" x14ac:dyDescent="0.3">
      <c r="J102620"/>
    </row>
    <row r="102621" spans="10:10" x14ac:dyDescent="0.3">
      <c r="J102621"/>
    </row>
    <row r="102622" spans="10:10" x14ac:dyDescent="0.3">
      <c r="J102622"/>
    </row>
    <row r="102623" spans="10:10" x14ac:dyDescent="0.3">
      <c r="J102623"/>
    </row>
    <row r="102624" spans="10:10" x14ac:dyDescent="0.3">
      <c r="J102624"/>
    </row>
    <row r="102625" spans="10:10" x14ac:dyDescent="0.3">
      <c r="J102625"/>
    </row>
    <row r="102626" spans="10:10" x14ac:dyDescent="0.3">
      <c r="J102626"/>
    </row>
    <row r="102627" spans="10:10" x14ac:dyDescent="0.3">
      <c r="J102627"/>
    </row>
    <row r="102628" spans="10:10" x14ac:dyDescent="0.3">
      <c r="J102628"/>
    </row>
    <row r="102629" spans="10:10" x14ac:dyDescent="0.3">
      <c r="J102629"/>
    </row>
    <row r="102630" spans="10:10" x14ac:dyDescent="0.3">
      <c r="J102630"/>
    </row>
    <row r="102631" spans="10:10" x14ac:dyDescent="0.3">
      <c r="J102631"/>
    </row>
    <row r="102632" spans="10:10" x14ac:dyDescent="0.3">
      <c r="J102632"/>
    </row>
    <row r="102633" spans="10:10" x14ac:dyDescent="0.3">
      <c r="J102633"/>
    </row>
    <row r="102634" spans="10:10" x14ac:dyDescent="0.3">
      <c r="J102634"/>
    </row>
    <row r="102635" spans="10:10" x14ac:dyDescent="0.3">
      <c r="J102635"/>
    </row>
    <row r="102636" spans="10:10" x14ac:dyDescent="0.3">
      <c r="J102636"/>
    </row>
    <row r="102637" spans="10:10" x14ac:dyDescent="0.3">
      <c r="J102637"/>
    </row>
    <row r="102638" spans="10:10" x14ac:dyDescent="0.3">
      <c r="J102638"/>
    </row>
    <row r="102639" spans="10:10" x14ac:dyDescent="0.3">
      <c r="J102639"/>
    </row>
    <row r="102640" spans="10:10" x14ac:dyDescent="0.3">
      <c r="J102640"/>
    </row>
    <row r="102641" spans="10:10" x14ac:dyDescent="0.3">
      <c r="J102641"/>
    </row>
    <row r="102642" spans="10:10" x14ac:dyDescent="0.3">
      <c r="J102642"/>
    </row>
    <row r="102643" spans="10:10" x14ac:dyDescent="0.3">
      <c r="J102643"/>
    </row>
    <row r="102644" spans="10:10" x14ac:dyDescent="0.3">
      <c r="J102644"/>
    </row>
    <row r="102645" spans="10:10" x14ac:dyDescent="0.3">
      <c r="J102645"/>
    </row>
    <row r="102646" spans="10:10" x14ac:dyDescent="0.3">
      <c r="J102646"/>
    </row>
    <row r="102647" spans="10:10" x14ac:dyDescent="0.3">
      <c r="J102647"/>
    </row>
    <row r="102648" spans="10:10" x14ac:dyDescent="0.3">
      <c r="J102648"/>
    </row>
    <row r="102649" spans="10:10" x14ac:dyDescent="0.3">
      <c r="J102649"/>
    </row>
    <row r="102650" spans="10:10" x14ac:dyDescent="0.3">
      <c r="J102650"/>
    </row>
    <row r="102651" spans="10:10" x14ac:dyDescent="0.3">
      <c r="J102651"/>
    </row>
    <row r="102652" spans="10:10" x14ac:dyDescent="0.3">
      <c r="J102652"/>
    </row>
    <row r="102653" spans="10:10" x14ac:dyDescent="0.3">
      <c r="J102653"/>
    </row>
    <row r="102654" spans="10:10" x14ac:dyDescent="0.3">
      <c r="J102654"/>
    </row>
    <row r="102655" spans="10:10" x14ac:dyDescent="0.3">
      <c r="J102655"/>
    </row>
    <row r="102656" spans="10:10" x14ac:dyDescent="0.3">
      <c r="J102656"/>
    </row>
    <row r="102657" spans="10:10" x14ac:dyDescent="0.3">
      <c r="J102657"/>
    </row>
    <row r="102658" spans="10:10" x14ac:dyDescent="0.3">
      <c r="J102658"/>
    </row>
    <row r="102659" spans="10:10" x14ac:dyDescent="0.3">
      <c r="J102659"/>
    </row>
    <row r="102660" spans="10:10" x14ac:dyDescent="0.3">
      <c r="J102660"/>
    </row>
    <row r="102661" spans="10:10" x14ac:dyDescent="0.3">
      <c r="J102661"/>
    </row>
    <row r="102662" spans="10:10" x14ac:dyDescent="0.3">
      <c r="J102662"/>
    </row>
    <row r="102663" spans="10:10" x14ac:dyDescent="0.3">
      <c r="J102663"/>
    </row>
    <row r="102664" spans="10:10" x14ac:dyDescent="0.3">
      <c r="J102664"/>
    </row>
    <row r="102665" spans="10:10" x14ac:dyDescent="0.3">
      <c r="J102665"/>
    </row>
    <row r="102666" spans="10:10" x14ac:dyDescent="0.3">
      <c r="J102666"/>
    </row>
    <row r="102667" spans="10:10" x14ac:dyDescent="0.3">
      <c r="J102667"/>
    </row>
    <row r="102668" spans="10:10" x14ac:dyDescent="0.3">
      <c r="J102668"/>
    </row>
    <row r="102669" spans="10:10" x14ac:dyDescent="0.3">
      <c r="J102669"/>
    </row>
    <row r="102670" spans="10:10" x14ac:dyDescent="0.3">
      <c r="J102670"/>
    </row>
    <row r="102671" spans="10:10" x14ac:dyDescent="0.3">
      <c r="J102671"/>
    </row>
    <row r="102672" spans="10:10" x14ac:dyDescent="0.3">
      <c r="J102672"/>
    </row>
    <row r="102673" spans="10:10" x14ac:dyDescent="0.3">
      <c r="J102673"/>
    </row>
    <row r="102674" spans="10:10" x14ac:dyDescent="0.3">
      <c r="J102674"/>
    </row>
    <row r="102675" spans="10:10" x14ac:dyDescent="0.3">
      <c r="J102675"/>
    </row>
    <row r="102676" spans="10:10" x14ac:dyDescent="0.3">
      <c r="J102676"/>
    </row>
    <row r="102677" spans="10:10" x14ac:dyDescent="0.3">
      <c r="J102677"/>
    </row>
    <row r="102678" spans="10:10" x14ac:dyDescent="0.3">
      <c r="J102678"/>
    </row>
    <row r="102679" spans="10:10" x14ac:dyDescent="0.3">
      <c r="J102679"/>
    </row>
    <row r="102680" spans="10:10" x14ac:dyDescent="0.3">
      <c r="J102680"/>
    </row>
    <row r="102681" spans="10:10" x14ac:dyDescent="0.3">
      <c r="J102681"/>
    </row>
    <row r="102682" spans="10:10" x14ac:dyDescent="0.3">
      <c r="J102682"/>
    </row>
    <row r="102683" spans="10:10" x14ac:dyDescent="0.3">
      <c r="J102683"/>
    </row>
    <row r="102684" spans="10:10" x14ac:dyDescent="0.3">
      <c r="J102684"/>
    </row>
    <row r="102685" spans="10:10" x14ac:dyDescent="0.3">
      <c r="J102685"/>
    </row>
    <row r="102686" spans="10:10" x14ac:dyDescent="0.3">
      <c r="J102686"/>
    </row>
    <row r="102687" spans="10:10" x14ac:dyDescent="0.3">
      <c r="J102687"/>
    </row>
    <row r="102688" spans="10:10" x14ac:dyDescent="0.3">
      <c r="J102688"/>
    </row>
    <row r="102689" spans="10:10" x14ac:dyDescent="0.3">
      <c r="J102689"/>
    </row>
    <row r="102690" spans="10:10" x14ac:dyDescent="0.3">
      <c r="J102690"/>
    </row>
    <row r="102691" spans="10:10" x14ac:dyDescent="0.3">
      <c r="J102691"/>
    </row>
    <row r="102692" spans="10:10" x14ac:dyDescent="0.3">
      <c r="J102692"/>
    </row>
    <row r="102693" spans="10:10" x14ac:dyDescent="0.3">
      <c r="J102693"/>
    </row>
    <row r="102694" spans="10:10" x14ac:dyDescent="0.3">
      <c r="J102694"/>
    </row>
    <row r="102695" spans="10:10" x14ac:dyDescent="0.3">
      <c r="J102695"/>
    </row>
    <row r="102696" spans="10:10" x14ac:dyDescent="0.3">
      <c r="J102696"/>
    </row>
    <row r="102697" spans="10:10" x14ac:dyDescent="0.3">
      <c r="J102697"/>
    </row>
    <row r="102698" spans="10:10" x14ac:dyDescent="0.3">
      <c r="J102698"/>
    </row>
    <row r="102699" spans="10:10" x14ac:dyDescent="0.3">
      <c r="J102699"/>
    </row>
    <row r="102700" spans="10:10" x14ac:dyDescent="0.3">
      <c r="J102700"/>
    </row>
    <row r="102701" spans="10:10" x14ac:dyDescent="0.3">
      <c r="J102701"/>
    </row>
    <row r="102702" spans="10:10" x14ac:dyDescent="0.3">
      <c r="J102702"/>
    </row>
    <row r="102703" spans="10:10" x14ac:dyDescent="0.3">
      <c r="J102703"/>
    </row>
    <row r="102704" spans="10:10" x14ac:dyDescent="0.3">
      <c r="J102704"/>
    </row>
    <row r="102705" spans="10:10" x14ac:dyDescent="0.3">
      <c r="J102705"/>
    </row>
    <row r="102706" spans="10:10" x14ac:dyDescent="0.3">
      <c r="J102706"/>
    </row>
    <row r="102707" spans="10:10" x14ac:dyDescent="0.3">
      <c r="J102707"/>
    </row>
    <row r="102708" spans="10:10" x14ac:dyDescent="0.3">
      <c r="J102708"/>
    </row>
    <row r="102709" spans="10:10" x14ac:dyDescent="0.3">
      <c r="J102709"/>
    </row>
    <row r="102710" spans="10:10" x14ac:dyDescent="0.3">
      <c r="J102710"/>
    </row>
    <row r="102711" spans="10:10" x14ac:dyDescent="0.3">
      <c r="J102711"/>
    </row>
    <row r="102712" spans="10:10" x14ac:dyDescent="0.3">
      <c r="J102712"/>
    </row>
    <row r="102713" spans="10:10" x14ac:dyDescent="0.3">
      <c r="J102713"/>
    </row>
    <row r="102714" spans="10:10" x14ac:dyDescent="0.3">
      <c r="J102714"/>
    </row>
    <row r="102715" spans="10:10" x14ac:dyDescent="0.3">
      <c r="J102715"/>
    </row>
    <row r="102716" spans="10:10" x14ac:dyDescent="0.3">
      <c r="J102716"/>
    </row>
    <row r="102717" spans="10:10" x14ac:dyDescent="0.3">
      <c r="J102717"/>
    </row>
    <row r="102718" spans="10:10" x14ac:dyDescent="0.3">
      <c r="J102718"/>
    </row>
    <row r="102719" spans="10:10" x14ac:dyDescent="0.3">
      <c r="J102719"/>
    </row>
    <row r="102720" spans="10:10" x14ac:dyDescent="0.3">
      <c r="J102720"/>
    </row>
    <row r="102721" spans="10:10" x14ac:dyDescent="0.3">
      <c r="J102721"/>
    </row>
    <row r="102722" spans="10:10" x14ac:dyDescent="0.3">
      <c r="J102722"/>
    </row>
    <row r="102723" spans="10:10" x14ac:dyDescent="0.3">
      <c r="J102723"/>
    </row>
    <row r="102724" spans="10:10" x14ac:dyDescent="0.3">
      <c r="J102724"/>
    </row>
    <row r="102725" spans="10:10" x14ac:dyDescent="0.3">
      <c r="J102725"/>
    </row>
    <row r="102726" spans="10:10" x14ac:dyDescent="0.3">
      <c r="J102726"/>
    </row>
    <row r="102727" spans="10:10" x14ac:dyDescent="0.3">
      <c r="J102727"/>
    </row>
    <row r="102728" spans="10:10" x14ac:dyDescent="0.3">
      <c r="J102728"/>
    </row>
    <row r="102729" spans="10:10" x14ac:dyDescent="0.3">
      <c r="J102729"/>
    </row>
    <row r="102730" spans="10:10" x14ac:dyDescent="0.3">
      <c r="J102730"/>
    </row>
    <row r="102731" spans="10:10" x14ac:dyDescent="0.3">
      <c r="J102731"/>
    </row>
    <row r="102732" spans="10:10" x14ac:dyDescent="0.3">
      <c r="J102732"/>
    </row>
    <row r="102733" spans="10:10" x14ac:dyDescent="0.3">
      <c r="J102733"/>
    </row>
    <row r="102734" spans="10:10" x14ac:dyDescent="0.3">
      <c r="J102734"/>
    </row>
    <row r="102735" spans="10:10" x14ac:dyDescent="0.3">
      <c r="J102735"/>
    </row>
    <row r="102736" spans="10:10" x14ac:dyDescent="0.3">
      <c r="J102736"/>
    </row>
    <row r="102737" spans="10:10" x14ac:dyDescent="0.3">
      <c r="J102737"/>
    </row>
    <row r="102738" spans="10:10" x14ac:dyDescent="0.3">
      <c r="J102738"/>
    </row>
    <row r="102739" spans="10:10" x14ac:dyDescent="0.3">
      <c r="J102739"/>
    </row>
    <row r="102740" spans="10:10" x14ac:dyDescent="0.3">
      <c r="J102740"/>
    </row>
    <row r="102741" spans="10:10" x14ac:dyDescent="0.3">
      <c r="J102741"/>
    </row>
    <row r="102742" spans="10:10" x14ac:dyDescent="0.3">
      <c r="J102742"/>
    </row>
    <row r="102743" spans="10:10" x14ac:dyDescent="0.3">
      <c r="J102743"/>
    </row>
    <row r="102744" spans="10:10" x14ac:dyDescent="0.3">
      <c r="J102744"/>
    </row>
    <row r="102745" spans="10:10" x14ac:dyDescent="0.3">
      <c r="J102745"/>
    </row>
    <row r="102746" spans="10:10" x14ac:dyDescent="0.3">
      <c r="J102746"/>
    </row>
    <row r="102747" spans="10:10" x14ac:dyDescent="0.3">
      <c r="J102747"/>
    </row>
    <row r="102748" spans="10:10" x14ac:dyDescent="0.3">
      <c r="J102748"/>
    </row>
    <row r="102749" spans="10:10" x14ac:dyDescent="0.3">
      <c r="J102749"/>
    </row>
    <row r="102750" spans="10:10" x14ac:dyDescent="0.3">
      <c r="J102750"/>
    </row>
    <row r="102751" spans="10:10" x14ac:dyDescent="0.3">
      <c r="J102751"/>
    </row>
    <row r="102752" spans="10:10" x14ac:dyDescent="0.3">
      <c r="J102752"/>
    </row>
    <row r="102753" spans="10:10" x14ac:dyDescent="0.3">
      <c r="J102753"/>
    </row>
    <row r="102754" spans="10:10" x14ac:dyDescent="0.3">
      <c r="J102754"/>
    </row>
    <row r="102755" spans="10:10" x14ac:dyDescent="0.3">
      <c r="J102755"/>
    </row>
    <row r="102756" spans="10:10" x14ac:dyDescent="0.3">
      <c r="J102756"/>
    </row>
    <row r="102757" spans="10:10" x14ac:dyDescent="0.3">
      <c r="J102757"/>
    </row>
    <row r="102758" spans="10:10" x14ac:dyDescent="0.3">
      <c r="J102758"/>
    </row>
    <row r="102759" spans="10:10" x14ac:dyDescent="0.3">
      <c r="J102759"/>
    </row>
    <row r="102760" spans="10:10" x14ac:dyDescent="0.3">
      <c r="J102760"/>
    </row>
    <row r="102761" spans="10:10" x14ac:dyDescent="0.3">
      <c r="J102761"/>
    </row>
    <row r="102762" spans="10:10" x14ac:dyDescent="0.3">
      <c r="J102762"/>
    </row>
    <row r="102763" spans="10:10" x14ac:dyDescent="0.3">
      <c r="J102763"/>
    </row>
    <row r="102764" spans="10:10" x14ac:dyDescent="0.3">
      <c r="J102764"/>
    </row>
    <row r="102765" spans="10:10" x14ac:dyDescent="0.3">
      <c r="J102765"/>
    </row>
    <row r="102766" spans="10:10" x14ac:dyDescent="0.3">
      <c r="J102766"/>
    </row>
    <row r="102767" spans="10:10" x14ac:dyDescent="0.3">
      <c r="J102767"/>
    </row>
    <row r="102768" spans="10:10" x14ac:dyDescent="0.3">
      <c r="J102768"/>
    </row>
    <row r="102769" spans="10:10" x14ac:dyDescent="0.3">
      <c r="J102769"/>
    </row>
    <row r="102770" spans="10:10" x14ac:dyDescent="0.3">
      <c r="J102770"/>
    </row>
    <row r="102771" spans="10:10" x14ac:dyDescent="0.3">
      <c r="J102771"/>
    </row>
    <row r="102772" spans="10:10" x14ac:dyDescent="0.3">
      <c r="J102772"/>
    </row>
    <row r="102773" spans="10:10" x14ac:dyDescent="0.3">
      <c r="J102773"/>
    </row>
    <row r="102774" spans="10:10" x14ac:dyDescent="0.3">
      <c r="J102774"/>
    </row>
    <row r="102775" spans="10:10" x14ac:dyDescent="0.3">
      <c r="J102775"/>
    </row>
    <row r="102776" spans="10:10" x14ac:dyDescent="0.3">
      <c r="J102776"/>
    </row>
    <row r="102777" spans="10:10" x14ac:dyDescent="0.3">
      <c r="J102777"/>
    </row>
    <row r="102778" spans="10:10" x14ac:dyDescent="0.3">
      <c r="J102778"/>
    </row>
    <row r="102779" spans="10:10" x14ac:dyDescent="0.3">
      <c r="J102779"/>
    </row>
    <row r="102780" spans="10:10" x14ac:dyDescent="0.3">
      <c r="J102780"/>
    </row>
    <row r="102781" spans="10:10" x14ac:dyDescent="0.3">
      <c r="J102781"/>
    </row>
    <row r="102782" spans="10:10" x14ac:dyDescent="0.3">
      <c r="J102782"/>
    </row>
    <row r="102783" spans="10:10" x14ac:dyDescent="0.3">
      <c r="J102783"/>
    </row>
    <row r="102784" spans="10:10" x14ac:dyDescent="0.3">
      <c r="J102784"/>
    </row>
    <row r="102785" spans="10:10" x14ac:dyDescent="0.3">
      <c r="J102785"/>
    </row>
    <row r="102786" spans="10:10" x14ac:dyDescent="0.3">
      <c r="J102786"/>
    </row>
    <row r="102787" spans="10:10" x14ac:dyDescent="0.3">
      <c r="J102787"/>
    </row>
    <row r="102788" spans="10:10" x14ac:dyDescent="0.3">
      <c r="J102788"/>
    </row>
    <row r="102789" spans="10:10" x14ac:dyDescent="0.3">
      <c r="J102789"/>
    </row>
    <row r="102790" spans="10:10" x14ac:dyDescent="0.3">
      <c r="J102790"/>
    </row>
    <row r="102791" spans="10:10" x14ac:dyDescent="0.3">
      <c r="J102791"/>
    </row>
    <row r="102792" spans="10:10" x14ac:dyDescent="0.3">
      <c r="J102792"/>
    </row>
    <row r="102793" spans="10:10" x14ac:dyDescent="0.3">
      <c r="J102793"/>
    </row>
    <row r="102794" spans="10:10" x14ac:dyDescent="0.3">
      <c r="J102794"/>
    </row>
    <row r="102795" spans="10:10" x14ac:dyDescent="0.3">
      <c r="J102795"/>
    </row>
    <row r="102796" spans="10:10" x14ac:dyDescent="0.3">
      <c r="J102796"/>
    </row>
    <row r="102797" spans="10:10" x14ac:dyDescent="0.3">
      <c r="J102797"/>
    </row>
    <row r="102798" spans="10:10" x14ac:dyDescent="0.3">
      <c r="J102798"/>
    </row>
    <row r="102799" spans="10:10" x14ac:dyDescent="0.3">
      <c r="J102799"/>
    </row>
    <row r="102800" spans="10:10" x14ac:dyDescent="0.3">
      <c r="J102800"/>
    </row>
    <row r="102801" spans="10:10" x14ac:dyDescent="0.3">
      <c r="J102801"/>
    </row>
    <row r="102802" spans="10:10" x14ac:dyDescent="0.3">
      <c r="J102802"/>
    </row>
    <row r="102803" spans="10:10" x14ac:dyDescent="0.3">
      <c r="J102803"/>
    </row>
    <row r="102804" spans="10:10" x14ac:dyDescent="0.3">
      <c r="J102804"/>
    </row>
    <row r="102805" spans="10:10" x14ac:dyDescent="0.3">
      <c r="J102805"/>
    </row>
    <row r="102806" spans="10:10" x14ac:dyDescent="0.3">
      <c r="J102806"/>
    </row>
    <row r="102807" spans="10:10" x14ac:dyDescent="0.3">
      <c r="J102807"/>
    </row>
    <row r="102808" spans="10:10" x14ac:dyDescent="0.3">
      <c r="J102808"/>
    </row>
    <row r="102809" spans="10:10" x14ac:dyDescent="0.3">
      <c r="J102809"/>
    </row>
    <row r="102810" spans="10:10" x14ac:dyDescent="0.3">
      <c r="J102810"/>
    </row>
    <row r="102811" spans="10:10" x14ac:dyDescent="0.3">
      <c r="J102811"/>
    </row>
    <row r="102812" spans="10:10" x14ac:dyDescent="0.3">
      <c r="J102812"/>
    </row>
    <row r="102813" spans="10:10" x14ac:dyDescent="0.3">
      <c r="J102813"/>
    </row>
    <row r="102814" spans="10:10" x14ac:dyDescent="0.3">
      <c r="J102814"/>
    </row>
    <row r="102815" spans="10:10" x14ac:dyDescent="0.3">
      <c r="J102815"/>
    </row>
    <row r="102816" spans="10:10" x14ac:dyDescent="0.3">
      <c r="J102816"/>
    </row>
    <row r="102817" spans="10:10" x14ac:dyDescent="0.3">
      <c r="J102817"/>
    </row>
    <row r="102818" spans="10:10" x14ac:dyDescent="0.3">
      <c r="J102818"/>
    </row>
    <row r="102819" spans="10:10" x14ac:dyDescent="0.3">
      <c r="J102819"/>
    </row>
    <row r="102820" spans="10:10" x14ac:dyDescent="0.3">
      <c r="J102820"/>
    </row>
    <row r="102821" spans="10:10" x14ac:dyDescent="0.3">
      <c r="J102821"/>
    </row>
    <row r="102822" spans="10:10" x14ac:dyDescent="0.3">
      <c r="J102822"/>
    </row>
    <row r="102823" spans="10:10" x14ac:dyDescent="0.3">
      <c r="J102823"/>
    </row>
    <row r="102824" spans="10:10" x14ac:dyDescent="0.3">
      <c r="J102824"/>
    </row>
    <row r="102825" spans="10:10" x14ac:dyDescent="0.3">
      <c r="J102825"/>
    </row>
    <row r="102826" spans="10:10" x14ac:dyDescent="0.3">
      <c r="J102826"/>
    </row>
    <row r="102827" spans="10:10" x14ac:dyDescent="0.3">
      <c r="J102827"/>
    </row>
    <row r="102828" spans="10:10" x14ac:dyDescent="0.3">
      <c r="J102828"/>
    </row>
    <row r="102829" spans="10:10" x14ac:dyDescent="0.3">
      <c r="J102829"/>
    </row>
    <row r="102830" spans="10:10" x14ac:dyDescent="0.3">
      <c r="J102830"/>
    </row>
    <row r="102831" spans="10:10" x14ac:dyDescent="0.3">
      <c r="J102831"/>
    </row>
    <row r="102832" spans="10:10" x14ac:dyDescent="0.3">
      <c r="J102832"/>
    </row>
    <row r="102833" spans="10:10" x14ac:dyDescent="0.3">
      <c r="J102833"/>
    </row>
    <row r="102834" spans="10:10" x14ac:dyDescent="0.3">
      <c r="J102834"/>
    </row>
    <row r="102835" spans="10:10" x14ac:dyDescent="0.3">
      <c r="J102835"/>
    </row>
    <row r="102836" spans="10:10" x14ac:dyDescent="0.3">
      <c r="J102836"/>
    </row>
    <row r="102837" spans="10:10" x14ac:dyDescent="0.3">
      <c r="J102837"/>
    </row>
    <row r="102838" spans="10:10" x14ac:dyDescent="0.3">
      <c r="J102838"/>
    </row>
    <row r="102839" spans="10:10" x14ac:dyDescent="0.3">
      <c r="J102839"/>
    </row>
    <row r="102840" spans="10:10" x14ac:dyDescent="0.3">
      <c r="J102840"/>
    </row>
    <row r="102841" spans="10:10" x14ac:dyDescent="0.3">
      <c r="J102841"/>
    </row>
    <row r="102842" spans="10:10" x14ac:dyDescent="0.3">
      <c r="J102842"/>
    </row>
    <row r="102843" spans="10:10" x14ac:dyDescent="0.3">
      <c r="J102843"/>
    </row>
    <row r="102844" spans="10:10" x14ac:dyDescent="0.3">
      <c r="J102844"/>
    </row>
    <row r="102845" spans="10:10" x14ac:dyDescent="0.3">
      <c r="J102845"/>
    </row>
    <row r="102846" spans="10:10" x14ac:dyDescent="0.3">
      <c r="J102846"/>
    </row>
    <row r="102847" spans="10:10" x14ac:dyDescent="0.3">
      <c r="J102847"/>
    </row>
    <row r="102848" spans="10:10" x14ac:dyDescent="0.3">
      <c r="J102848"/>
    </row>
    <row r="102849" spans="10:10" x14ac:dyDescent="0.3">
      <c r="J102849"/>
    </row>
    <row r="102850" spans="10:10" x14ac:dyDescent="0.3">
      <c r="J102850"/>
    </row>
    <row r="102851" spans="10:10" x14ac:dyDescent="0.3">
      <c r="J102851"/>
    </row>
    <row r="102852" spans="10:10" x14ac:dyDescent="0.3">
      <c r="J102852"/>
    </row>
    <row r="102853" spans="10:10" x14ac:dyDescent="0.3">
      <c r="J102853"/>
    </row>
    <row r="102854" spans="10:10" x14ac:dyDescent="0.3">
      <c r="J102854"/>
    </row>
    <row r="102855" spans="10:10" x14ac:dyDescent="0.3">
      <c r="J102855"/>
    </row>
    <row r="102856" spans="10:10" x14ac:dyDescent="0.3">
      <c r="J102856"/>
    </row>
    <row r="102857" spans="10:10" x14ac:dyDescent="0.3">
      <c r="J102857"/>
    </row>
    <row r="102858" spans="10:10" x14ac:dyDescent="0.3">
      <c r="J102858"/>
    </row>
    <row r="102859" spans="10:10" x14ac:dyDescent="0.3">
      <c r="J102859"/>
    </row>
    <row r="102860" spans="10:10" x14ac:dyDescent="0.3">
      <c r="J102860"/>
    </row>
    <row r="102861" spans="10:10" x14ac:dyDescent="0.3">
      <c r="J102861"/>
    </row>
    <row r="102862" spans="10:10" x14ac:dyDescent="0.3">
      <c r="J102862"/>
    </row>
    <row r="102863" spans="10:10" x14ac:dyDescent="0.3">
      <c r="J102863"/>
    </row>
    <row r="102864" spans="10:10" x14ac:dyDescent="0.3">
      <c r="J102864"/>
    </row>
    <row r="102865" spans="10:10" x14ac:dyDescent="0.3">
      <c r="J102865"/>
    </row>
    <row r="102866" spans="10:10" x14ac:dyDescent="0.3">
      <c r="J102866"/>
    </row>
    <row r="102867" spans="10:10" x14ac:dyDescent="0.3">
      <c r="J102867"/>
    </row>
    <row r="102868" spans="10:10" x14ac:dyDescent="0.3">
      <c r="J102868"/>
    </row>
    <row r="102869" spans="10:10" x14ac:dyDescent="0.3">
      <c r="J102869"/>
    </row>
    <row r="102870" spans="10:10" x14ac:dyDescent="0.3">
      <c r="J102870"/>
    </row>
    <row r="102871" spans="10:10" x14ac:dyDescent="0.3">
      <c r="J102871"/>
    </row>
    <row r="102872" spans="10:10" x14ac:dyDescent="0.3">
      <c r="J102872"/>
    </row>
    <row r="102873" spans="10:10" x14ac:dyDescent="0.3">
      <c r="J102873"/>
    </row>
    <row r="102874" spans="10:10" x14ac:dyDescent="0.3">
      <c r="J102874"/>
    </row>
    <row r="102875" spans="10:10" x14ac:dyDescent="0.3">
      <c r="J102875"/>
    </row>
    <row r="102876" spans="10:10" x14ac:dyDescent="0.3">
      <c r="J102876"/>
    </row>
    <row r="102877" spans="10:10" x14ac:dyDescent="0.3">
      <c r="J102877"/>
    </row>
    <row r="102878" spans="10:10" x14ac:dyDescent="0.3">
      <c r="J102878"/>
    </row>
    <row r="102879" spans="10:10" x14ac:dyDescent="0.3">
      <c r="J102879"/>
    </row>
    <row r="102880" spans="10:10" x14ac:dyDescent="0.3">
      <c r="J102880"/>
    </row>
    <row r="102881" spans="10:10" x14ac:dyDescent="0.3">
      <c r="J102881"/>
    </row>
    <row r="102882" spans="10:10" x14ac:dyDescent="0.3">
      <c r="J102882"/>
    </row>
    <row r="102883" spans="10:10" x14ac:dyDescent="0.3">
      <c r="J102883"/>
    </row>
    <row r="102884" spans="10:10" x14ac:dyDescent="0.3">
      <c r="J102884"/>
    </row>
    <row r="102885" spans="10:10" x14ac:dyDescent="0.3">
      <c r="J102885"/>
    </row>
    <row r="102886" spans="10:10" x14ac:dyDescent="0.3">
      <c r="J102886"/>
    </row>
    <row r="102887" spans="10:10" x14ac:dyDescent="0.3">
      <c r="J102887"/>
    </row>
    <row r="102888" spans="10:10" x14ac:dyDescent="0.3">
      <c r="J102888"/>
    </row>
    <row r="102889" spans="10:10" x14ac:dyDescent="0.3">
      <c r="J102889"/>
    </row>
    <row r="102890" spans="10:10" x14ac:dyDescent="0.3">
      <c r="J102890"/>
    </row>
    <row r="102891" spans="10:10" x14ac:dyDescent="0.3">
      <c r="J102891"/>
    </row>
    <row r="102892" spans="10:10" x14ac:dyDescent="0.3">
      <c r="J102892"/>
    </row>
    <row r="102893" spans="10:10" x14ac:dyDescent="0.3">
      <c r="J102893"/>
    </row>
    <row r="102894" spans="10:10" x14ac:dyDescent="0.3">
      <c r="J102894"/>
    </row>
    <row r="102895" spans="10:10" x14ac:dyDescent="0.3">
      <c r="J102895"/>
    </row>
    <row r="102896" spans="10:10" x14ac:dyDescent="0.3">
      <c r="J102896"/>
    </row>
    <row r="102897" spans="10:10" x14ac:dyDescent="0.3">
      <c r="J102897"/>
    </row>
    <row r="102898" spans="10:10" x14ac:dyDescent="0.3">
      <c r="J102898"/>
    </row>
    <row r="102899" spans="10:10" x14ac:dyDescent="0.3">
      <c r="J102899"/>
    </row>
    <row r="102900" spans="10:10" x14ac:dyDescent="0.3">
      <c r="J102900"/>
    </row>
    <row r="102901" spans="10:10" x14ac:dyDescent="0.3">
      <c r="J102901"/>
    </row>
    <row r="102902" spans="10:10" x14ac:dyDescent="0.3">
      <c r="J102902"/>
    </row>
    <row r="102903" spans="10:10" x14ac:dyDescent="0.3">
      <c r="J102903"/>
    </row>
    <row r="102904" spans="10:10" x14ac:dyDescent="0.3">
      <c r="J102904"/>
    </row>
    <row r="102905" spans="10:10" x14ac:dyDescent="0.3">
      <c r="J102905"/>
    </row>
    <row r="102906" spans="10:10" x14ac:dyDescent="0.3">
      <c r="J102906"/>
    </row>
    <row r="102907" spans="10:10" x14ac:dyDescent="0.3">
      <c r="J102907"/>
    </row>
    <row r="102908" spans="10:10" x14ac:dyDescent="0.3">
      <c r="J102908"/>
    </row>
    <row r="102909" spans="10:10" x14ac:dyDescent="0.3">
      <c r="J102909"/>
    </row>
    <row r="102910" spans="10:10" x14ac:dyDescent="0.3">
      <c r="J102910"/>
    </row>
    <row r="102911" spans="10:10" x14ac:dyDescent="0.3">
      <c r="J102911"/>
    </row>
    <row r="102912" spans="10:10" x14ac:dyDescent="0.3">
      <c r="J102912"/>
    </row>
    <row r="102913" spans="10:10" x14ac:dyDescent="0.3">
      <c r="J102913"/>
    </row>
    <row r="102914" spans="10:10" x14ac:dyDescent="0.3">
      <c r="J102914"/>
    </row>
    <row r="102915" spans="10:10" x14ac:dyDescent="0.3">
      <c r="J102915"/>
    </row>
    <row r="102916" spans="10:10" x14ac:dyDescent="0.3">
      <c r="J102916"/>
    </row>
    <row r="102917" spans="10:10" x14ac:dyDescent="0.3">
      <c r="J102917"/>
    </row>
    <row r="102918" spans="10:10" x14ac:dyDescent="0.3">
      <c r="J102918"/>
    </row>
    <row r="102919" spans="10:10" x14ac:dyDescent="0.3">
      <c r="J102919"/>
    </row>
    <row r="102920" spans="10:10" x14ac:dyDescent="0.3">
      <c r="J102920"/>
    </row>
    <row r="102921" spans="10:10" x14ac:dyDescent="0.3">
      <c r="J102921"/>
    </row>
    <row r="102922" spans="10:10" x14ac:dyDescent="0.3">
      <c r="J102922"/>
    </row>
    <row r="102923" spans="10:10" x14ac:dyDescent="0.3">
      <c r="J102923"/>
    </row>
    <row r="102924" spans="10:10" x14ac:dyDescent="0.3">
      <c r="J102924"/>
    </row>
    <row r="102925" spans="10:10" x14ac:dyDescent="0.3">
      <c r="J102925"/>
    </row>
    <row r="102926" spans="10:10" x14ac:dyDescent="0.3">
      <c r="J102926"/>
    </row>
    <row r="102927" spans="10:10" x14ac:dyDescent="0.3">
      <c r="J102927"/>
    </row>
    <row r="102928" spans="10:10" x14ac:dyDescent="0.3">
      <c r="J102928"/>
    </row>
    <row r="102929" spans="10:10" x14ac:dyDescent="0.3">
      <c r="J102929"/>
    </row>
    <row r="102930" spans="10:10" x14ac:dyDescent="0.3">
      <c r="J102930"/>
    </row>
    <row r="102931" spans="10:10" x14ac:dyDescent="0.3">
      <c r="J102931"/>
    </row>
    <row r="102932" spans="10:10" x14ac:dyDescent="0.3">
      <c r="J102932"/>
    </row>
    <row r="102933" spans="10:10" x14ac:dyDescent="0.3">
      <c r="J102933"/>
    </row>
    <row r="102934" spans="10:10" x14ac:dyDescent="0.3">
      <c r="J102934"/>
    </row>
    <row r="102935" spans="10:10" x14ac:dyDescent="0.3">
      <c r="J102935"/>
    </row>
    <row r="102936" spans="10:10" x14ac:dyDescent="0.3">
      <c r="J102936"/>
    </row>
    <row r="102937" spans="10:10" x14ac:dyDescent="0.3">
      <c r="J102937"/>
    </row>
    <row r="102938" spans="10:10" x14ac:dyDescent="0.3">
      <c r="J102938"/>
    </row>
    <row r="102939" spans="10:10" x14ac:dyDescent="0.3">
      <c r="J102939"/>
    </row>
    <row r="102940" spans="10:10" x14ac:dyDescent="0.3">
      <c r="J102940"/>
    </row>
    <row r="102941" spans="10:10" x14ac:dyDescent="0.3">
      <c r="J102941"/>
    </row>
    <row r="102942" spans="10:10" x14ac:dyDescent="0.3">
      <c r="J102942"/>
    </row>
    <row r="102943" spans="10:10" x14ac:dyDescent="0.3">
      <c r="J102943"/>
    </row>
    <row r="102944" spans="10:10" x14ac:dyDescent="0.3">
      <c r="J102944"/>
    </row>
    <row r="102945" spans="10:10" x14ac:dyDescent="0.3">
      <c r="J102945"/>
    </row>
    <row r="102946" spans="10:10" x14ac:dyDescent="0.3">
      <c r="J102946"/>
    </row>
    <row r="102947" spans="10:10" x14ac:dyDescent="0.3">
      <c r="J102947"/>
    </row>
    <row r="102948" spans="10:10" x14ac:dyDescent="0.3">
      <c r="J102948"/>
    </row>
    <row r="102949" spans="10:10" x14ac:dyDescent="0.3">
      <c r="J102949"/>
    </row>
    <row r="102950" spans="10:10" x14ac:dyDescent="0.3">
      <c r="J102950"/>
    </row>
    <row r="102951" spans="10:10" x14ac:dyDescent="0.3">
      <c r="J102951"/>
    </row>
    <row r="102952" spans="10:10" x14ac:dyDescent="0.3">
      <c r="J102952"/>
    </row>
    <row r="102953" spans="10:10" x14ac:dyDescent="0.3">
      <c r="J102953"/>
    </row>
    <row r="102954" spans="10:10" x14ac:dyDescent="0.3">
      <c r="J102954"/>
    </row>
    <row r="102955" spans="10:10" x14ac:dyDescent="0.3">
      <c r="J102955"/>
    </row>
    <row r="102956" spans="10:10" x14ac:dyDescent="0.3">
      <c r="J102956"/>
    </row>
    <row r="102957" spans="10:10" x14ac:dyDescent="0.3">
      <c r="J102957"/>
    </row>
    <row r="102958" spans="10:10" x14ac:dyDescent="0.3">
      <c r="J102958"/>
    </row>
    <row r="102959" spans="10:10" x14ac:dyDescent="0.3">
      <c r="J102959"/>
    </row>
    <row r="102960" spans="10:10" x14ac:dyDescent="0.3">
      <c r="J102960"/>
    </row>
    <row r="102961" spans="10:10" x14ac:dyDescent="0.3">
      <c r="J102961"/>
    </row>
    <row r="102962" spans="10:10" x14ac:dyDescent="0.3">
      <c r="J102962"/>
    </row>
    <row r="102963" spans="10:10" x14ac:dyDescent="0.3">
      <c r="J102963"/>
    </row>
    <row r="102964" spans="10:10" x14ac:dyDescent="0.3">
      <c r="J102964"/>
    </row>
    <row r="102965" spans="10:10" x14ac:dyDescent="0.3">
      <c r="J102965"/>
    </row>
    <row r="102966" spans="10:10" x14ac:dyDescent="0.3">
      <c r="J102966"/>
    </row>
    <row r="102967" spans="10:10" x14ac:dyDescent="0.3">
      <c r="J102967"/>
    </row>
    <row r="102968" spans="10:10" x14ac:dyDescent="0.3">
      <c r="J102968"/>
    </row>
    <row r="102969" spans="10:10" x14ac:dyDescent="0.3">
      <c r="J102969"/>
    </row>
    <row r="102970" spans="10:10" x14ac:dyDescent="0.3">
      <c r="J102970"/>
    </row>
    <row r="102971" spans="10:10" x14ac:dyDescent="0.3">
      <c r="J102971"/>
    </row>
    <row r="102972" spans="10:10" x14ac:dyDescent="0.3">
      <c r="J102972"/>
    </row>
    <row r="102973" spans="10:10" x14ac:dyDescent="0.3">
      <c r="J102973"/>
    </row>
    <row r="102974" spans="10:10" x14ac:dyDescent="0.3">
      <c r="J102974"/>
    </row>
    <row r="102975" spans="10:10" x14ac:dyDescent="0.3">
      <c r="J102975"/>
    </row>
    <row r="102976" spans="10:10" x14ac:dyDescent="0.3">
      <c r="J102976"/>
    </row>
    <row r="102977" spans="10:10" x14ac:dyDescent="0.3">
      <c r="J102977"/>
    </row>
    <row r="102978" spans="10:10" x14ac:dyDescent="0.3">
      <c r="J102978"/>
    </row>
    <row r="102979" spans="10:10" x14ac:dyDescent="0.3">
      <c r="J102979"/>
    </row>
    <row r="102980" spans="10:10" x14ac:dyDescent="0.3">
      <c r="J102980"/>
    </row>
    <row r="102981" spans="10:10" x14ac:dyDescent="0.3">
      <c r="J102981"/>
    </row>
    <row r="102982" spans="10:10" x14ac:dyDescent="0.3">
      <c r="J102982"/>
    </row>
    <row r="102983" spans="10:10" x14ac:dyDescent="0.3">
      <c r="J102983"/>
    </row>
    <row r="102984" spans="10:10" x14ac:dyDescent="0.3">
      <c r="J102984"/>
    </row>
    <row r="102985" spans="10:10" x14ac:dyDescent="0.3">
      <c r="J102985"/>
    </row>
    <row r="102986" spans="10:10" x14ac:dyDescent="0.3">
      <c r="J102986"/>
    </row>
    <row r="102987" spans="10:10" x14ac:dyDescent="0.3">
      <c r="J102987"/>
    </row>
    <row r="102988" spans="10:10" x14ac:dyDescent="0.3">
      <c r="J102988"/>
    </row>
    <row r="102989" spans="10:10" x14ac:dyDescent="0.3">
      <c r="J102989"/>
    </row>
    <row r="102990" spans="10:10" x14ac:dyDescent="0.3">
      <c r="J102990"/>
    </row>
    <row r="102991" spans="10:10" x14ac:dyDescent="0.3">
      <c r="J102991"/>
    </row>
    <row r="102992" spans="10:10" x14ac:dyDescent="0.3">
      <c r="J102992"/>
    </row>
    <row r="102993" spans="10:10" x14ac:dyDescent="0.3">
      <c r="J102993"/>
    </row>
    <row r="102994" spans="10:10" x14ac:dyDescent="0.3">
      <c r="J102994"/>
    </row>
    <row r="102995" spans="10:10" x14ac:dyDescent="0.3">
      <c r="J102995"/>
    </row>
    <row r="102996" spans="10:10" x14ac:dyDescent="0.3">
      <c r="J102996"/>
    </row>
    <row r="102997" spans="10:10" x14ac:dyDescent="0.3">
      <c r="J102997"/>
    </row>
    <row r="102998" spans="10:10" x14ac:dyDescent="0.3">
      <c r="J102998"/>
    </row>
    <row r="102999" spans="10:10" x14ac:dyDescent="0.3">
      <c r="J102999"/>
    </row>
    <row r="103000" spans="10:10" x14ac:dyDescent="0.3">
      <c r="J103000"/>
    </row>
    <row r="103001" spans="10:10" x14ac:dyDescent="0.3">
      <c r="J103001"/>
    </row>
    <row r="103002" spans="10:10" x14ac:dyDescent="0.3">
      <c r="J103002"/>
    </row>
    <row r="103003" spans="10:10" x14ac:dyDescent="0.3">
      <c r="J103003"/>
    </row>
    <row r="103004" spans="10:10" x14ac:dyDescent="0.3">
      <c r="J103004"/>
    </row>
    <row r="103005" spans="10:10" x14ac:dyDescent="0.3">
      <c r="J103005"/>
    </row>
    <row r="103006" spans="10:10" x14ac:dyDescent="0.3">
      <c r="J103006"/>
    </row>
    <row r="103007" spans="10:10" x14ac:dyDescent="0.3">
      <c r="J103007"/>
    </row>
    <row r="103008" spans="10:10" x14ac:dyDescent="0.3">
      <c r="J103008"/>
    </row>
    <row r="103009" spans="10:10" x14ac:dyDescent="0.3">
      <c r="J103009"/>
    </row>
    <row r="103010" spans="10:10" x14ac:dyDescent="0.3">
      <c r="J103010"/>
    </row>
    <row r="103011" spans="10:10" x14ac:dyDescent="0.3">
      <c r="J103011"/>
    </row>
    <row r="103012" spans="10:10" x14ac:dyDescent="0.3">
      <c r="J103012"/>
    </row>
    <row r="103013" spans="10:10" x14ac:dyDescent="0.3">
      <c r="J103013"/>
    </row>
    <row r="103014" spans="10:10" x14ac:dyDescent="0.3">
      <c r="J103014"/>
    </row>
    <row r="103015" spans="10:10" x14ac:dyDescent="0.3">
      <c r="J103015"/>
    </row>
    <row r="103016" spans="10:10" x14ac:dyDescent="0.3">
      <c r="J103016"/>
    </row>
    <row r="103017" spans="10:10" x14ac:dyDescent="0.3">
      <c r="J103017"/>
    </row>
    <row r="103018" spans="10:10" x14ac:dyDescent="0.3">
      <c r="J103018"/>
    </row>
    <row r="103019" spans="10:10" x14ac:dyDescent="0.3">
      <c r="J103019"/>
    </row>
    <row r="103020" spans="10:10" x14ac:dyDescent="0.3">
      <c r="J103020"/>
    </row>
    <row r="103021" spans="10:10" x14ac:dyDescent="0.3">
      <c r="J103021"/>
    </row>
    <row r="103022" spans="10:10" x14ac:dyDescent="0.3">
      <c r="J103022"/>
    </row>
    <row r="103023" spans="10:10" x14ac:dyDescent="0.3">
      <c r="J103023"/>
    </row>
    <row r="103024" spans="10:10" x14ac:dyDescent="0.3">
      <c r="J103024"/>
    </row>
    <row r="103025" spans="10:10" x14ac:dyDescent="0.3">
      <c r="J103025"/>
    </row>
    <row r="103026" spans="10:10" x14ac:dyDescent="0.3">
      <c r="J103026"/>
    </row>
    <row r="103027" spans="10:10" x14ac:dyDescent="0.3">
      <c r="J103027"/>
    </row>
    <row r="103028" spans="10:10" x14ac:dyDescent="0.3">
      <c r="J103028"/>
    </row>
    <row r="103029" spans="10:10" x14ac:dyDescent="0.3">
      <c r="J103029"/>
    </row>
    <row r="103030" spans="10:10" x14ac:dyDescent="0.3">
      <c r="J103030"/>
    </row>
    <row r="103031" spans="10:10" x14ac:dyDescent="0.3">
      <c r="J103031"/>
    </row>
    <row r="103032" spans="10:10" x14ac:dyDescent="0.3">
      <c r="J103032"/>
    </row>
    <row r="103033" spans="10:10" x14ac:dyDescent="0.3">
      <c r="J103033"/>
    </row>
    <row r="103034" spans="10:10" x14ac:dyDescent="0.3">
      <c r="J103034"/>
    </row>
    <row r="103035" spans="10:10" x14ac:dyDescent="0.3">
      <c r="J103035"/>
    </row>
    <row r="103036" spans="10:10" x14ac:dyDescent="0.3">
      <c r="J103036"/>
    </row>
    <row r="103037" spans="10:10" x14ac:dyDescent="0.3">
      <c r="J103037"/>
    </row>
    <row r="103038" spans="10:10" x14ac:dyDescent="0.3">
      <c r="J103038"/>
    </row>
    <row r="103039" spans="10:10" x14ac:dyDescent="0.3">
      <c r="J103039"/>
    </row>
    <row r="103040" spans="10:10" x14ac:dyDescent="0.3">
      <c r="J103040"/>
    </row>
    <row r="103041" spans="10:10" x14ac:dyDescent="0.3">
      <c r="J103041"/>
    </row>
    <row r="103042" spans="10:10" x14ac:dyDescent="0.3">
      <c r="J103042"/>
    </row>
    <row r="103043" spans="10:10" x14ac:dyDescent="0.3">
      <c r="J103043"/>
    </row>
    <row r="103044" spans="10:10" x14ac:dyDescent="0.3">
      <c r="J103044"/>
    </row>
    <row r="103045" spans="10:10" x14ac:dyDescent="0.3">
      <c r="J103045"/>
    </row>
    <row r="103046" spans="10:10" x14ac:dyDescent="0.3">
      <c r="J103046"/>
    </row>
    <row r="103047" spans="10:10" x14ac:dyDescent="0.3">
      <c r="J103047"/>
    </row>
    <row r="103048" spans="10:10" x14ac:dyDescent="0.3">
      <c r="J103048"/>
    </row>
    <row r="103049" spans="10:10" x14ac:dyDescent="0.3">
      <c r="J103049"/>
    </row>
    <row r="103050" spans="10:10" x14ac:dyDescent="0.3">
      <c r="J103050"/>
    </row>
    <row r="103051" spans="10:10" x14ac:dyDescent="0.3">
      <c r="J103051"/>
    </row>
    <row r="103052" spans="10:10" x14ac:dyDescent="0.3">
      <c r="J103052"/>
    </row>
    <row r="103053" spans="10:10" x14ac:dyDescent="0.3">
      <c r="J103053"/>
    </row>
    <row r="103054" spans="10:10" x14ac:dyDescent="0.3">
      <c r="J103054"/>
    </row>
    <row r="103055" spans="10:10" x14ac:dyDescent="0.3">
      <c r="J103055"/>
    </row>
    <row r="103056" spans="10:10" x14ac:dyDescent="0.3">
      <c r="J103056"/>
    </row>
    <row r="103057" spans="10:10" x14ac:dyDescent="0.3">
      <c r="J103057"/>
    </row>
    <row r="103058" spans="10:10" x14ac:dyDescent="0.3">
      <c r="J103058"/>
    </row>
    <row r="103059" spans="10:10" x14ac:dyDescent="0.3">
      <c r="J103059"/>
    </row>
    <row r="103060" spans="10:10" x14ac:dyDescent="0.3">
      <c r="J103060"/>
    </row>
    <row r="103061" spans="10:10" x14ac:dyDescent="0.3">
      <c r="J103061"/>
    </row>
    <row r="103062" spans="10:10" x14ac:dyDescent="0.3">
      <c r="J103062"/>
    </row>
    <row r="103063" spans="10:10" x14ac:dyDescent="0.3">
      <c r="J103063"/>
    </row>
    <row r="103064" spans="10:10" x14ac:dyDescent="0.3">
      <c r="J103064"/>
    </row>
    <row r="103065" spans="10:10" x14ac:dyDescent="0.3">
      <c r="J103065"/>
    </row>
    <row r="103066" spans="10:10" x14ac:dyDescent="0.3">
      <c r="J103066"/>
    </row>
    <row r="103067" spans="10:10" x14ac:dyDescent="0.3">
      <c r="J103067"/>
    </row>
    <row r="103068" spans="10:10" x14ac:dyDescent="0.3">
      <c r="J103068"/>
    </row>
    <row r="103069" spans="10:10" x14ac:dyDescent="0.3">
      <c r="J103069"/>
    </row>
    <row r="103070" spans="10:10" x14ac:dyDescent="0.3">
      <c r="J103070"/>
    </row>
    <row r="103071" spans="10:10" x14ac:dyDescent="0.3">
      <c r="J103071"/>
    </row>
    <row r="103072" spans="10:10" x14ac:dyDescent="0.3">
      <c r="J103072"/>
    </row>
    <row r="103073" spans="10:10" x14ac:dyDescent="0.3">
      <c r="J103073"/>
    </row>
    <row r="103074" spans="10:10" x14ac:dyDescent="0.3">
      <c r="J103074"/>
    </row>
    <row r="103075" spans="10:10" x14ac:dyDescent="0.3">
      <c r="J103075"/>
    </row>
    <row r="103076" spans="10:10" x14ac:dyDescent="0.3">
      <c r="J103076"/>
    </row>
    <row r="103077" spans="10:10" x14ac:dyDescent="0.3">
      <c r="J103077"/>
    </row>
    <row r="103078" spans="10:10" x14ac:dyDescent="0.3">
      <c r="J103078"/>
    </row>
    <row r="103079" spans="10:10" x14ac:dyDescent="0.3">
      <c r="J103079"/>
    </row>
    <row r="103080" spans="10:10" x14ac:dyDescent="0.3">
      <c r="J103080"/>
    </row>
    <row r="103081" spans="10:10" x14ac:dyDescent="0.3">
      <c r="J103081"/>
    </row>
    <row r="103082" spans="10:10" x14ac:dyDescent="0.3">
      <c r="J103082"/>
    </row>
    <row r="103083" spans="10:10" x14ac:dyDescent="0.3">
      <c r="J103083"/>
    </row>
    <row r="103084" spans="10:10" x14ac:dyDescent="0.3">
      <c r="J103084"/>
    </row>
    <row r="103085" spans="10:10" x14ac:dyDescent="0.3">
      <c r="J103085"/>
    </row>
    <row r="103086" spans="10:10" x14ac:dyDescent="0.3">
      <c r="J103086"/>
    </row>
    <row r="103087" spans="10:10" x14ac:dyDescent="0.3">
      <c r="J103087"/>
    </row>
    <row r="103088" spans="10:10" x14ac:dyDescent="0.3">
      <c r="J103088"/>
    </row>
    <row r="103089" spans="10:10" x14ac:dyDescent="0.3">
      <c r="J103089"/>
    </row>
    <row r="103090" spans="10:10" x14ac:dyDescent="0.3">
      <c r="J103090"/>
    </row>
    <row r="103091" spans="10:10" x14ac:dyDescent="0.3">
      <c r="J103091"/>
    </row>
    <row r="103092" spans="10:10" x14ac:dyDescent="0.3">
      <c r="J103092"/>
    </row>
    <row r="103093" spans="10:10" x14ac:dyDescent="0.3">
      <c r="J103093"/>
    </row>
    <row r="103094" spans="10:10" x14ac:dyDescent="0.3">
      <c r="J103094"/>
    </row>
    <row r="103095" spans="10:10" x14ac:dyDescent="0.3">
      <c r="J103095"/>
    </row>
    <row r="103096" spans="10:10" x14ac:dyDescent="0.3">
      <c r="J103096"/>
    </row>
    <row r="103097" spans="10:10" x14ac:dyDescent="0.3">
      <c r="J103097"/>
    </row>
    <row r="103098" spans="10:10" x14ac:dyDescent="0.3">
      <c r="J103098"/>
    </row>
    <row r="103099" spans="10:10" x14ac:dyDescent="0.3">
      <c r="J103099"/>
    </row>
    <row r="103100" spans="10:10" x14ac:dyDescent="0.3">
      <c r="J103100"/>
    </row>
    <row r="103101" spans="10:10" x14ac:dyDescent="0.3">
      <c r="J103101"/>
    </row>
    <row r="103102" spans="10:10" x14ac:dyDescent="0.3">
      <c r="J103102"/>
    </row>
    <row r="103103" spans="10:10" x14ac:dyDescent="0.3">
      <c r="J103103"/>
    </row>
    <row r="103104" spans="10:10" x14ac:dyDescent="0.3">
      <c r="J103104"/>
    </row>
    <row r="103105" spans="10:10" x14ac:dyDescent="0.3">
      <c r="J103105"/>
    </row>
    <row r="103106" spans="10:10" x14ac:dyDescent="0.3">
      <c r="J103106"/>
    </row>
    <row r="103107" spans="10:10" x14ac:dyDescent="0.3">
      <c r="J103107"/>
    </row>
    <row r="103108" spans="10:10" x14ac:dyDescent="0.3">
      <c r="J103108"/>
    </row>
    <row r="103109" spans="10:10" x14ac:dyDescent="0.3">
      <c r="J103109"/>
    </row>
    <row r="103110" spans="10:10" x14ac:dyDescent="0.3">
      <c r="J103110"/>
    </row>
    <row r="103111" spans="10:10" x14ac:dyDescent="0.3">
      <c r="J103111"/>
    </row>
    <row r="103112" spans="10:10" x14ac:dyDescent="0.3">
      <c r="J103112"/>
    </row>
    <row r="103113" spans="10:10" x14ac:dyDescent="0.3">
      <c r="J103113"/>
    </row>
    <row r="103114" spans="10:10" x14ac:dyDescent="0.3">
      <c r="J103114"/>
    </row>
    <row r="103115" spans="10:10" x14ac:dyDescent="0.3">
      <c r="J103115"/>
    </row>
    <row r="103116" spans="10:10" x14ac:dyDescent="0.3">
      <c r="J103116"/>
    </row>
    <row r="103117" spans="10:10" x14ac:dyDescent="0.3">
      <c r="J103117"/>
    </row>
    <row r="103118" spans="10:10" x14ac:dyDescent="0.3">
      <c r="J103118"/>
    </row>
    <row r="103119" spans="10:10" x14ac:dyDescent="0.3">
      <c r="J103119"/>
    </row>
    <row r="103120" spans="10:10" x14ac:dyDescent="0.3">
      <c r="J103120"/>
    </row>
    <row r="103121" spans="10:10" x14ac:dyDescent="0.3">
      <c r="J103121"/>
    </row>
    <row r="103122" spans="10:10" x14ac:dyDescent="0.3">
      <c r="J103122"/>
    </row>
    <row r="103123" spans="10:10" x14ac:dyDescent="0.3">
      <c r="J103123"/>
    </row>
    <row r="103124" spans="10:10" x14ac:dyDescent="0.3">
      <c r="J103124"/>
    </row>
    <row r="103125" spans="10:10" x14ac:dyDescent="0.3">
      <c r="J103125"/>
    </row>
    <row r="103126" spans="10:10" x14ac:dyDescent="0.3">
      <c r="J103126"/>
    </row>
    <row r="103127" spans="10:10" x14ac:dyDescent="0.3">
      <c r="J103127"/>
    </row>
    <row r="103128" spans="10:10" x14ac:dyDescent="0.3">
      <c r="J103128"/>
    </row>
    <row r="103129" spans="10:10" x14ac:dyDescent="0.3">
      <c r="J103129"/>
    </row>
    <row r="103130" spans="10:10" x14ac:dyDescent="0.3">
      <c r="J103130"/>
    </row>
    <row r="103131" spans="10:10" x14ac:dyDescent="0.3">
      <c r="J103131"/>
    </row>
    <row r="103132" spans="10:10" x14ac:dyDescent="0.3">
      <c r="J103132"/>
    </row>
    <row r="103133" spans="10:10" x14ac:dyDescent="0.3">
      <c r="J103133"/>
    </row>
    <row r="103134" spans="10:10" x14ac:dyDescent="0.3">
      <c r="J103134"/>
    </row>
    <row r="103135" spans="10:10" x14ac:dyDescent="0.3">
      <c r="J103135"/>
    </row>
    <row r="103136" spans="10:10" x14ac:dyDescent="0.3">
      <c r="J103136"/>
    </row>
    <row r="103137" spans="10:10" x14ac:dyDescent="0.3">
      <c r="J103137"/>
    </row>
    <row r="103138" spans="10:10" x14ac:dyDescent="0.3">
      <c r="J103138"/>
    </row>
    <row r="103139" spans="10:10" x14ac:dyDescent="0.3">
      <c r="J103139"/>
    </row>
    <row r="103140" spans="10:10" x14ac:dyDescent="0.3">
      <c r="J103140"/>
    </row>
    <row r="103141" spans="10:10" x14ac:dyDescent="0.3">
      <c r="J103141"/>
    </row>
    <row r="103142" spans="10:10" x14ac:dyDescent="0.3">
      <c r="J103142"/>
    </row>
    <row r="103143" spans="10:10" x14ac:dyDescent="0.3">
      <c r="J103143"/>
    </row>
    <row r="103144" spans="10:10" x14ac:dyDescent="0.3">
      <c r="J103144"/>
    </row>
    <row r="103145" spans="10:10" x14ac:dyDescent="0.3">
      <c r="J103145"/>
    </row>
    <row r="103146" spans="10:10" x14ac:dyDescent="0.3">
      <c r="J103146"/>
    </row>
    <row r="103147" spans="10:10" x14ac:dyDescent="0.3">
      <c r="J103147"/>
    </row>
    <row r="103148" spans="10:10" x14ac:dyDescent="0.3">
      <c r="J103148"/>
    </row>
    <row r="103149" spans="10:10" x14ac:dyDescent="0.3">
      <c r="J103149"/>
    </row>
    <row r="103150" spans="10:10" x14ac:dyDescent="0.3">
      <c r="J103150"/>
    </row>
    <row r="103151" spans="10:10" x14ac:dyDescent="0.3">
      <c r="J103151"/>
    </row>
    <row r="103152" spans="10:10" x14ac:dyDescent="0.3">
      <c r="J103152"/>
    </row>
    <row r="103153" spans="10:10" x14ac:dyDescent="0.3">
      <c r="J103153"/>
    </row>
    <row r="103154" spans="10:10" x14ac:dyDescent="0.3">
      <c r="J103154"/>
    </row>
    <row r="103155" spans="10:10" x14ac:dyDescent="0.3">
      <c r="J103155"/>
    </row>
    <row r="103156" spans="10:10" x14ac:dyDescent="0.3">
      <c r="J103156"/>
    </row>
    <row r="103157" spans="10:10" x14ac:dyDescent="0.3">
      <c r="J103157"/>
    </row>
    <row r="103158" spans="10:10" x14ac:dyDescent="0.3">
      <c r="J103158"/>
    </row>
    <row r="103159" spans="10:10" x14ac:dyDescent="0.3">
      <c r="J103159"/>
    </row>
    <row r="103160" spans="10:10" x14ac:dyDescent="0.3">
      <c r="J103160"/>
    </row>
    <row r="103161" spans="10:10" x14ac:dyDescent="0.3">
      <c r="J103161"/>
    </row>
    <row r="103162" spans="10:10" x14ac:dyDescent="0.3">
      <c r="J103162"/>
    </row>
    <row r="103163" spans="10:10" x14ac:dyDescent="0.3">
      <c r="J103163"/>
    </row>
    <row r="103164" spans="10:10" x14ac:dyDescent="0.3">
      <c r="J103164"/>
    </row>
    <row r="103165" spans="10:10" x14ac:dyDescent="0.3">
      <c r="J103165"/>
    </row>
    <row r="103166" spans="10:10" x14ac:dyDescent="0.3">
      <c r="J103166"/>
    </row>
    <row r="103167" spans="10:10" x14ac:dyDescent="0.3">
      <c r="J103167"/>
    </row>
    <row r="103168" spans="10:10" x14ac:dyDescent="0.3">
      <c r="J103168"/>
    </row>
    <row r="103169" spans="10:10" x14ac:dyDescent="0.3">
      <c r="J103169"/>
    </row>
    <row r="103170" spans="10:10" x14ac:dyDescent="0.3">
      <c r="J103170"/>
    </row>
    <row r="103171" spans="10:10" x14ac:dyDescent="0.3">
      <c r="J103171"/>
    </row>
    <row r="103172" spans="10:10" x14ac:dyDescent="0.3">
      <c r="J103172"/>
    </row>
    <row r="103173" spans="10:10" x14ac:dyDescent="0.3">
      <c r="J103173"/>
    </row>
    <row r="103174" spans="10:10" x14ac:dyDescent="0.3">
      <c r="J103174"/>
    </row>
    <row r="103175" spans="10:10" x14ac:dyDescent="0.3">
      <c r="J103175"/>
    </row>
    <row r="103176" spans="10:10" x14ac:dyDescent="0.3">
      <c r="J103176"/>
    </row>
    <row r="103177" spans="10:10" x14ac:dyDescent="0.3">
      <c r="J103177"/>
    </row>
    <row r="103178" spans="10:10" x14ac:dyDescent="0.3">
      <c r="J103178"/>
    </row>
    <row r="103179" spans="10:10" x14ac:dyDescent="0.3">
      <c r="J103179"/>
    </row>
    <row r="103180" spans="10:10" x14ac:dyDescent="0.3">
      <c r="J103180"/>
    </row>
    <row r="103181" spans="10:10" x14ac:dyDescent="0.3">
      <c r="J103181"/>
    </row>
    <row r="103182" spans="10:10" x14ac:dyDescent="0.3">
      <c r="J103182"/>
    </row>
    <row r="103183" spans="10:10" x14ac:dyDescent="0.3">
      <c r="J103183"/>
    </row>
    <row r="103184" spans="10:10" x14ac:dyDescent="0.3">
      <c r="J103184"/>
    </row>
    <row r="103185" spans="10:10" x14ac:dyDescent="0.3">
      <c r="J103185"/>
    </row>
    <row r="103186" spans="10:10" x14ac:dyDescent="0.3">
      <c r="J103186"/>
    </row>
    <row r="103187" spans="10:10" x14ac:dyDescent="0.3">
      <c r="J103187"/>
    </row>
    <row r="103188" spans="10:10" x14ac:dyDescent="0.3">
      <c r="J103188"/>
    </row>
    <row r="103189" spans="10:10" x14ac:dyDescent="0.3">
      <c r="J103189"/>
    </row>
    <row r="103190" spans="10:10" x14ac:dyDescent="0.3">
      <c r="J103190"/>
    </row>
    <row r="103191" spans="10:10" x14ac:dyDescent="0.3">
      <c r="J103191"/>
    </row>
    <row r="103192" spans="10:10" x14ac:dyDescent="0.3">
      <c r="J103192"/>
    </row>
    <row r="103193" spans="10:10" x14ac:dyDescent="0.3">
      <c r="J103193"/>
    </row>
    <row r="103194" spans="10:10" x14ac:dyDescent="0.3">
      <c r="J103194"/>
    </row>
    <row r="103195" spans="10:10" x14ac:dyDescent="0.3">
      <c r="J103195"/>
    </row>
    <row r="103196" spans="10:10" x14ac:dyDescent="0.3">
      <c r="J103196"/>
    </row>
    <row r="103197" spans="10:10" x14ac:dyDescent="0.3">
      <c r="J103197"/>
    </row>
    <row r="103198" spans="10:10" x14ac:dyDescent="0.3">
      <c r="J103198"/>
    </row>
    <row r="103199" spans="10:10" x14ac:dyDescent="0.3">
      <c r="J103199"/>
    </row>
    <row r="103200" spans="10:10" x14ac:dyDescent="0.3">
      <c r="J103200"/>
    </row>
    <row r="103201" spans="10:10" x14ac:dyDescent="0.3">
      <c r="J103201"/>
    </row>
    <row r="103202" spans="10:10" x14ac:dyDescent="0.3">
      <c r="J103202"/>
    </row>
    <row r="103203" spans="10:10" x14ac:dyDescent="0.3">
      <c r="J103203"/>
    </row>
    <row r="103204" spans="10:10" x14ac:dyDescent="0.3">
      <c r="J103204"/>
    </row>
    <row r="103205" spans="10:10" x14ac:dyDescent="0.3">
      <c r="J103205"/>
    </row>
    <row r="103206" spans="10:10" x14ac:dyDescent="0.3">
      <c r="J103206"/>
    </row>
    <row r="103207" spans="10:10" x14ac:dyDescent="0.3">
      <c r="J103207"/>
    </row>
    <row r="103208" spans="10:10" x14ac:dyDescent="0.3">
      <c r="J103208"/>
    </row>
    <row r="103209" spans="10:10" x14ac:dyDescent="0.3">
      <c r="J103209"/>
    </row>
    <row r="103210" spans="10:10" x14ac:dyDescent="0.3">
      <c r="J103210"/>
    </row>
    <row r="103211" spans="10:10" x14ac:dyDescent="0.3">
      <c r="J103211"/>
    </row>
    <row r="103212" spans="10:10" x14ac:dyDescent="0.3">
      <c r="J103212"/>
    </row>
    <row r="103213" spans="10:10" x14ac:dyDescent="0.3">
      <c r="J103213"/>
    </row>
    <row r="103214" spans="10:10" x14ac:dyDescent="0.3">
      <c r="J103214"/>
    </row>
    <row r="103215" spans="10:10" x14ac:dyDescent="0.3">
      <c r="J103215"/>
    </row>
    <row r="103216" spans="10:10" x14ac:dyDescent="0.3">
      <c r="J103216"/>
    </row>
    <row r="103217" spans="10:10" x14ac:dyDescent="0.3">
      <c r="J103217"/>
    </row>
    <row r="103218" spans="10:10" x14ac:dyDescent="0.3">
      <c r="J103218"/>
    </row>
    <row r="103219" spans="10:10" x14ac:dyDescent="0.3">
      <c r="J103219"/>
    </row>
    <row r="103220" spans="10:10" x14ac:dyDescent="0.3">
      <c r="J103220"/>
    </row>
    <row r="103221" spans="10:10" x14ac:dyDescent="0.3">
      <c r="J103221"/>
    </row>
    <row r="103222" spans="10:10" x14ac:dyDescent="0.3">
      <c r="J103222"/>
    </row>
    <row r="103223" spans="10:10" x14ac:dyDescent="0.3">
      <c r="J103223"/>
    </row>
    <row r="103224" spans="10:10" x14ac:dyDescent="0.3">
      <c r="J103224"/>
    </row>
    <row r="103225" spans="10:10" x14ac:dyDescent="0.3">
      <c r="J103225"/>
    </row>
    <row r="103226" spans="10:10" x14ac:dyDescent="0.3">
      <c r="J103226"/>
    </row>
    <row r="103227" spans="10:10" x14ac:dyDescent="0.3">
      <c r="J103227"/>
    </row>
    <row r="103228" spans="10:10" x14ac:dyDescent="0.3">
      <c r="J103228"/>
    </row>
    <row r="103229" spans="10:10" x14ac:dyDescent="0.3">
      <c r="J103229"/>
    </row>
    <row r="103230" spans="10:10" x14ac:dyDescent="0.3">
      <c r="J103230"/>
    </row>
    <row r="103231" spans="10:10" x14ac:dyDescent="0.3">
      <c r="J103231"/>
    </row>
    <row r="103232" spans="10:10" x14ac:dyDescent="0.3">
      <c r="J103232"/>
    </row>
    <row r="103233" spans="10:10" x14ac:dyDescent="0.3">
      <c r="J103233"/>
    </row>
    <row r="103234" spans="10:10" x14ac:dyDescent="0.3">
      <c r="J103234"/>
    </row>
    <row r="103235" spans="10:10" x14ac:dyDescent="0.3">
      <c r="J103235"/>
    </row>
    <row r="103236" spans="10:10" x14ac:dyDescent="0.3">
      <c r="J103236"/>
    </row>
    <row r="103237" spans="10:10" x14ac:dyDescent="0.3">
      <c r="J103237"/>
    </row>
    <row r="103238" spans="10:10" x14ac:dyDescent="0.3">
      <c r="J103238"/>
    </row>
    <row r="103239" spans="10:10" x14ac:dyDescent="0.3">
      <c r="J103239"/>
    </row>
    <row r="103240" spans="10:10" x14ac:dyDescent="0.3">
      <c r="J103240"/>
    </row>
    <row r="103241" spans="10:10" x14ac:dyDescent="0.3">
      <c r="J103241"/>
    </row>
    <row r="103242" spans="10:10" x14ac:dyDescent="0.3">
      <c r="J103242"/>
    </row>
    <row r="103243" spans="10:10" x14ac:dyDescent="0.3">
      <c r="J103243"/>
    </row>
    <row r="103244" spans="10:10" x14ac:dyDescent="0.3">
      <c r="J103244"/>
    </row>
    <row r="103245" spans="10:10" x14ac:dyDescent="0.3">
      <c r="J103245"/>
    </row>
    <row r="103246" spans="10:10" x14ac:dyDescent="0.3">
      <c r="J103246"/>
    </row>
    <row r="103247" spans="10:10" x14ac:dyDescent="0.3">
      <c r="J103247"/>
    </row>
    <row r="103248" spans="10:10" x14ac:dyDescent="0.3">
      <c r="J103248"/>
    </row>
    <row r="103249" spans="10:10" x14ac:dyDescent="0.3">
      <c r="J103249"/>
    </row>
    <row r="103250" spans="10:10" x14ac:dyDescent="0.3">
      <c r="J103250"/>
    </row>
    <row r="103251" spans="10:10" x14ac:dyDescent="0.3">
      <c r="J103251"/>
    </row>
    <row r="103252" spans="10:10" x14ac:dyDescent="0.3">
      <c r="J103252"/>
    </row>
    <row r="103253" spans="10:10" x14ac:dyDescent="0.3">
      <c r="J103253"/>
    </row>
    <row r="103254" spans="10:10" x14ac:dyDescent="0.3">
      <c r="J103254"/>
    </row>
    <row r="103255" spans="10:10" x14ac:dyDescent="0.3">
      <c r="J103255"/>
    </row>
    <row r="103256" spans="10:10" x14ac:dyDescent="0.3">
      <c r="J103256"/>
    </row>
    <row r="103257" spans="10:10" x14ac:dyDescent="0.3">
      <c r="J103257"/>
    </row>
    <row r="103258" spans="10:10" x14ac:dyDescent="0.3">
      <c r="J103258"/>
    </row>
    <row r="103259" spans="10:10" x14ac:dyDescent="0.3">
      <c r="J103259"/>
    </row>
    <row r="103260" spans="10:10" x14ac:dyDescent="0.3">
      <c r="J103260"/>
    </row>
    <row r="103261" spans="10:10" x14ac:dyDescent="0.3">
      <c r="J103261"/>
    </row>
    <row r="103262" spans="10:10" x14ac:dyDescent="0.3">
      <c r="J103262"/>
    </row>
    <row r="103263" spans="10:10" x14ac:dyDescent="0.3">
      <c r="J103263"/>
    </row>
    <row r="103264" spans="10:10" x14ac:dyDescent="0.3">
      <c r="J103264"/>
    </row>
    <row r="103265" spans="10:10" x14ac:dyDescent="0.3">
      <c r="J103265"/>
    </row>
    <row r="103266" spans="10:10" x14ac:dyDescent="0.3">
      <c r="J103266"/>
    </row>
    <row r="103267" spans="10:10" x14ac:dyDescent="0.3">
      <c r="J103267"/>
    </row>
    <row r="103268" spans="10:10" x14ac:dyDescent="0.3">
      <c r="J103268"/>
    </row>
    <row r="103269" spans="10:10" x14ac:dyDescent="0.3">
      <c r="J103269"/>
    </row>
    <row r="103270" spans="10:10" x14ac:dyDescent="0.3">
      <c r="J103270"/>
    </row>
    <row r="103271" spans="10:10" x14ac:dyDescent="0.3">
      <c r="J103271"/>
    </row>
    <row r="103272" spans="10:10" x14ac:dyDescent="0.3">
      <c r="J103272"/>
    </row>
    <row r="103273" spans="10:10" x14ac:dyDescent="0.3">
      <c r="J103273"/>
    </row>
    <row r="103274" spans="10:10" x14ac:dyDescent="0.3">
      <c r="J103274"/>
    </row>
    <row r="103275" spans="10:10" x14ac:dyDescent="0.3">
      <c r="J103275"/>
    </row>
    <row r="103276" spans="10:10" x14ac:dyDescent="0.3">
      <c r="J103276"/>
    </row>
    <row r="103277" spans="10:10" x14ac:dyDescent="0.3">
      <c r="J103277"/>
    </row>
    <row r="103278" spans="10:10" x14ac:dyDescent="0.3">
      <c r="J103278"/>
    </row>
    <row r="103279" spans="10:10" x14ac:dyDescent="0.3">
      <c r="J103279"/>
    </row>
    <row r="103280" spans="10:10" x14ac:dyDescent="0.3">
      <c r="J103280"/>
    </row>
    <row r="103281" spans="10:10" x14ac:dyDescent="0.3">
      <c r="J103281"/>
    </row>
    <row r="103282" spans="10:10" x14ac:dyDescent="0.3">
      <c r="J103282"/>
    </row>
    <row r="103283" spans="10:10" x14ac:dyDescent="0.3">
      <c r="J103283"/>
    </row>
    <row r="103284" spans="10:10" x14ac:dyDescent="0.3">
      <c r="J103284"/>
    </row>
    <row r="103285" spans="10:10" x14ac:dyDescent="0.3">
      <c r="J103285"/>
    </row>
    <row r="103286" spans="10:10" x14ac:dyDescent="0.3">
      <c r="J103286"/>
    </row>
    <row r="103287" spans="10:10" x14ac:dyDescent="0.3">
      <c r="J103287"/>
    </row>
    <row r="103288" spans="10:10" x14ac:dyDescent="0.3">
      <c r="J103288"/>
    </row>
    <row r="103289" spans="10:10" x14ac:dyDescent="0.3">
      <c r="J103289"/>
    </row>
    <row r="103290" spans="10:10" x14ac:dyDescent="0.3">
      <c r="J103290"/>
    </row>
    <row r="103291" spans="10:10" x14ac:dyDescent="0.3">
      <c r="J103291"/>
    </row>
    <row r="103292" spans="10:10" x14ac:dyDescent="0.3">
      <c r="J103292"/>
    </row>
    <row r="103293" spans="10:10" x14ac:dyDescent="0.3">
      <c r="J103293"/>
    </row>
    <row r="103294" spans="10:10" x14ac:dyDescent="0.3">
      <c r="J103294"/>
    </row>
    <row r="103295" spans="10:10" x14ac:dyDescent="0.3">
      <c r="J103295"/>
    </row>
    <row r="103296" spans="10:10" x14ac:dyDescent="0.3">
      <c r="J103296"/>
    </row>
    <row r="103297" spans="10:10" x14ac:dyDescent="0.3">
      <c r="J103297"/>
    </row>
    <row r="103298" spans="10:10" x14ac:dyDescent="0.3">
      <c r="J103298"/>
    </row>
    <row r="103299" spans="10:10" x14ac:dyDescent="0.3">
      <c r="J103299"/>
    </row>
    <row r="103300" spans="10:10" x14ac:dyDescent="0.3">
      <c r="J103300"/>
    </row>
    <row r="103301" spans="10:10" x14ac:dyDescent="0.3">
      <c r="J103301"/>
    </row>
    <row r="103302" spans="10:10" x14ac:dyDescent="0.3">
      <c r="J103302"/>
    </row>
    <row r="103303" spans="10:10" x14ac:dyDescent="0.3">
      <c r="J103303"/>
    </row>
    <row r="103304" spans="10:10" x14ac:dyDescent="0.3">
      <c r="J103304"/>
    </row>
    <row r="103305" spans="10:10" x14ac:dyDescent="0.3">
      <c r="J103305"/>
    </row>
    <row r="103306" spans="10:10" x14ac:dyDescent="0.3">
      <c r="J103306"/>
    </row>
    <row r="103307" spans="10:10" x14ac:dyDescent="0.3">
      <c r="J103307"/>
    </row>
    <row r="103308" spans="10:10" x14ac:dyDescent="0.3">
      <c r="J103308"/>
    </row>
    <row r="103309" spans="10:10" x14ac:dyDescent="0.3">
      <c r="J103309"/>
    </row>
    <row r="103310" spans="10:10" x14ac:dyDescent="0.3">
      <c r="J103310"/>
    </row>
    <row r="103311" spans="10:10" x14ac:dyDescent="0.3">
      <c r="J103311"/>
    </row>
    <row r="103312" spans="10:10" x14ac:dyDescent="0.3">
      <c r="J103312"/>
    </row>
    <row r="103313" spans="10:10" x14ac:dyDescent="0.3">
      <c r="J103313"/>
    </row>
    <row r="103314" spans="10:10" x14ac:dyDescent="0.3">
      <c r="J103314"/>
    </row>
    <row r="103315" spans="10:10" x14ac:dyDescent="0.3">
      <c r="J103315"/>
    </row>
    <row r="103316" spans="10:10" x14ac:dyDescent="0.3">
      <c r="J103316"/>
    </row>
    <row r="103317" spans="10:10" x14ac:dyDescent="0.3">
      <c r="J103317"/>
    </row>
    <row r="103318" spans="10:10" x14ac:dyDescent="0.3">
      <c r="J103318"/>
    </row>
    <row r="103319" spans="10:10" x14ac:dyDescent="0.3">
      <c r="J103319"/>
    </row>
    <row r="103320" spans="10:10" x14ac:dyDescent="0.3">
      <c r="J103320"/>
    </row>
    <row r="103321" spans="10:10" x14ac:dyDescent="0.3">
      <c r="J103321"/>
    </row>
    <row r="103322" spans="10:10" x14ac:dyDescent="0.3">
      <c r="J103322"/>
    </row>
    <row r="103323" spans="10:10" x14ac:dyDescent="0.3">
      <c r="J103323"/>
    </row>
    <row r="103324" spans="10:10" x14ac:dyDescent="0.3">
      <c r="J103324"/>
    </row>
    <row r="103325" spans="10:10" x14ac:dyDescent="0.3">
      <c r="J103325"/>
    </row>
    <row r="103326" spans="10:10" x14ac:dyDescent="0.3">
      <c r="J103326"/>
    </row>
    <row r="103327" spans="10:10" x14ac:dyDescent="0.3">
      <c r="J103327"/>
    </row>
    <row r="103328" spans="10:10" x14ac:dyDescent="0.3">
      <c r="J103328"/>
    </row>
    <row r="103329" spans="10:10" x14ac:dyDescent="0.3">
      <c r="J103329"/>
    </row>
    <row r="103330" spans="10:10" x14ac:dyDescent="0.3">
      <c r="J103330"/>
    </row>
    <row r="103331" spans="10:10" x14ac:dyDescent="0.3">
      <c r="J103331"/>
    </row>
    <row r="103332" spans="10:10" x14ac:dyDescent="0.3">
      <c r="J103332"/>
    </row>
    <row r="103333" spans="10:10" x14ac:dyDescent="0.3">
      <c r="J103333"/>
    </row>
    <row r="103334" spans="10:10" x14ac:dyDescent="0.3">
      <c r="J103334"/>
    </row>
    <row r="103335" spans="10:10" x14ac:dyDescent="0.3">
      <c r="J103335"/>
    </row>
    <row r="103336" spans="10:10" x14ac:dyDescent="0.3">
      <c r="J103336"/>
    </row>
    <row r="103337" spans="10:10" x14ac:dyDescent="0.3">
      <c r="J103337"/>
    </row>
    <row r="103338" spans="10:10" x14ac:dyDescent="0.3">
      <c r="J103338"/>
    </row>
    <row r="103339" spans="10:10" x14ac:dyDescent="0.3">
      <c r="J103339"/>
    </row>
    <row r="103340" spans="10:10" x14ac:dyDescent="0.3">
      <c r="J103340"/>
    </row>
    <row r="103341" spans="10:10" x14ac:dyDescent="0.3">
      <c r="J103341"/>
    </row>
    <row r="103342" spans="10:10" x14ac:dyDescent="0.3">
      <c r="J103342"/>
    </row>
    <row r="103343" spans="10:10" x14ac:dyDescent="0.3">
      <c r="J103343"/>
    </row>
    <row r="103344" spans="10:10" x14ac:dyDescent="0.3">
      <c r="J103344"/>
    </row>
    <row r="103345" spans="10:10" x14ac:dyDescent="0.3">
      <c r="J103345"/>
    </row>
    <row r="103346" spans="10:10" x14ac:dyDescent="0.3">
      <c r="J103346"/>
    </row>
    <row r="103347" spans="10:10" x14ac:dyDescent="0.3">
      <c r="J103347"/>
    </row>
    <row r="103348" spans="10:10" x14ac:dyDescent="0.3">
      <c r="J103348"/>
    </row>
    <row r="103349" spans="10:10" x14ac:dyDescent="0.3">
      <c r="J103349"/>
    </row>
    <row r="103350" spans="10:10" x14ac:dyDescent="0.3">
      <c r="J103350"/>
    </row>
    <row r="103351" spans="10:10" x14ac:dyDescent="0.3">
      <c r="J103351"/>
    </row>
    <row r="103352" spans="10:10" x14ac:dyDescent="0.3">
      <c r="J103352"/>
    </row>
    <row r="103353" spans="10:10" x14ac:dyDescent="0.3">
      <c r="J103353"/>
    </row>
    <row r="103354" spans="10:10" x14ac:dyDescent="0.3">
      <c r="J103354"/>
    </row>
    <row r="103355" spans="10:10" x14ac:dyDescent="0.3">
      <c r="J103355"/>
    </row>
    <row r="103356" spans="10:10" x14ac:dyDescent="0.3">
      <c r="J103356"/>
    </row>
    <row r="103357" spans="10:10" x14ac:dyDescent="0.3">
      <c r="J103357"/>
    </row>
    <row r="103358" spans="10:10" x14ac:dyDescent="0.3">
      <c r="J103358"/>
    </row>
    <row r="103359" spans="10:10" x14ac:dyDescent="0.3">
      <c r="J103359"/>
    </row>
    <row r="103360" spans="10:10" x14ac:dyDescent="0.3">
      <c r="J103360"/>
    </row>
    <row r="103361" spans="10:10" x14ac:dyDescent="0.3">
      <c r="J103361"/>
    </row>
    <row r="103362" spans="10:10" x14ac:dyDescent="0.3">
      <c r="J103362"/>
    </row>
    <row r="103363" spans="10:10" x14ac:dyDescent="0.3">
      <c r="J103363"/>
    </row>
    <row r="103364" spans="10:10" x14ac:dyDescent="0.3">
      <c r="J103364"/>
    </row>
    <row r="103365" spans="10:10" x14ac:dyDescent="0.3">
      <c r="J103365"/>
    </row>
    <row r="103366" spans="10:10" x14ac:dyDescent="0.3">
      <c r="J103366"/>
    </row>
    <row r="103367" spans="10:10" x14ac:dyDescent="0.3">
      <c r="J103367"/>
    </row>
    <row r="103368" spans="10:10" x14ac:dyDescent="0.3">
      <c r="J103368"/>
    </row>
    <row r="103369" spans="10:10" x14ac:dyDescent="0.3">
      <c r="J103369"/>
    </row>
    <row r="103370" spans="10:10" x14ac:dyDescent="0.3">
      <c r="J103370"/>
    </row>
    <row r="103371" spans="10:10" x14ac:dyDescent="0.3">
      <c r="J103371"/>
    </row>
    <row r="103372" spans="10:10" x14ac:dyDescent="0.3">
      <c r="J103372"/>
    </row>
    <row r="103373" spans="10:10" x14ac:dyDescent="0.3">
      <c r="J103373"/>
    </row>
    <row r="103374" spans="10:10" x14ac:dyDescent="0.3">
      <c r="J103374"/>
    </row>
    <row r="103375" spans="10:10" x14ac:dyDescent="0.3">
      <c r="J103375"/>
    </row>
    <row r="103376" spans="10:10" x14ac:dyDescent="0.3">
      <c r="J103376"/>
    </row>
    <row r="103377" spans="10:10" x14ac:dyDescent="0.3">
      <c r="J103377"/>
    </row>
    <row r="103378" spans="10:10" x14ac:dyDescent="0.3">
      <c r="J103378"/>
    </row>
    <row r="103379" spans="10:10" x14ac:dyDescent="0.3">
      <c r="J103379"/>
    </row>
    <row r="103380" spans="10:10" x14ac:dyDescent="0.3">
      <c r="J103380"/>
    </row>
    <row r="103381" spans="10:10" x14ac:dyDescent="0.3">
      <c r="J103381"/>
    </row>
    <row r="103382" spans="10:10" x14ac:dyDescent="0.3">
      <c r="J103382"/>
    </row>
    <row r="103383" spans="10:10" x14ac:dyDescent="0.3">
      <c r="J103383"/>
    </row>
    <row r="103384" spans="10:10" x14ac:dyDescent="0.3">
      <c r="J103384"/>
    </row>
    <row r="103385" spans="10:10" x14ac:dyDescent="0.3">
      <c r="J103385"/>
    </row>
    <row r="103386" spans="10:10" x14ac:dyDescent="0.3">
      <c r="J103386"/>
    </row>
    <row r="103387" spans="10:10" x14ac:dyDescent="0.3">
      <c r="J103387"/>
    </row>
    <row r="103388" spans="10:10" x14ac:dyDescent="0.3">
      <c r="J103388"/>
    </row>
    <row r="103389" spans="10:10" x14ac:dyDescent="0.3">
      <c r="J103389"/>
    </row>
    <row r="103390" spans="10:10" x14ac:dyDescent="0.3">
      <c r="J103390"/>
    </row>
    <row r="103391" spans="10:10" x14ac:dyDescent="0.3">
      <c r="J103391"/>
    </row>
    <row r="103392" spans="10:10" x14ac:dyDescent="0.3">
      <c r="J103392"/>
    </row>
    <row r="103393" spans="10:10" x14ac:dyDescent="0.3">
      <c r="J103393"/>
    </row>
    <row r="103394" spans="10:10" x14ac:dyDescent="0.3">
      <c r="J103394"/>
    </row>
    <row r="103395" spans="10:10" x14ac:dyDescent="0.3">
      <c r="J103395"/>
    </row>
    <row r="103396" spans="10:10" x14ac:dyDescent="0.3">
      <c r="J103396"/>
    </row>
    <row r="103397" spans="10:10" x14ac:dyDescent="0.3">
      <c r="J103397"/>
    </row>
    <row r="103398" spans="10:10" x14ac:dyDescent="0.3">
      <c r="J103398"/>
    </row>
    <row r="103399" spans="10:10" x14ac:dyDescent="0.3">
      <c r="J103399"/>
    </row>
    <row r="103400" spans="10:10" x14ac:dyDescent="0.3">
      <c r="J103400"/>
    </row>
    <row r="103401" spans="10:10" x14ac:dyDescent="0.3">
      <c r="J103401"/>
    </row>
    <row r="103402" spans="10:10" x14ac:dyDescent="0.3">
      <c r="J103402"/>
    </row>
    <row r="103403" spans="10:10" x14ac:dyDescent="0.3">
      <c r="J103403"/>
    </row>
    <row r="103404" spans="10:10" x14ac:dyDescent="0.3">
      <c r="J103404"/>
    </row>
    <row r="103405" spans="10:10" x14ac:dyDescent="0.3">
      <c r="J103405"/>
    </row>
    <row r="103406" spans="10:10" x14ac:dyDescent="0.3">
      <c r="J103406"/>
    </row>
    <row r="103407" spans="10:10" x14ac:dyDescent="0.3">
      <c r="J103407"/>
    </row>
    <row r="103408" spans="10:10" x14ac:dyDescent="0.3">
      <c r="J103408"/>
    </row>
    <row r="103409" spans="10:10" x14ac:dyDescent="0.3">
      <c r="J103409"/>
    </row>
    <row r="103410" spans="10:10" x14ac:dyDescent="0.3">
      <c r="J103410"/>
    </row>
    <row r="103411" spans="10:10" x14ac:dyDescent="0.3">
      <c r="J103411"/>
    </row>
    <row r="103412" spans="10:10" x14ac:dyDescent="0.3">
      <c r="J103412"/>
    </row>
    <row r="103413" spans="10:10" x14ac:dyDescent="0.3">
      <c r="J103413"/>
    </row>
    <row r="103414" spans="10:10" x14ac:dyDescent="0.3">
      <c r="J103414"/>
    </row>
    <row r="103415" spans="10:10" x14ac:dyDescent="0.3">
      <c r="J103415"/>
    </row>
    <row r="103416" spans="10:10" x14ac:dyDescent="0.3">
      <c r="J103416"/>
    </row>
    <row r="103417" spans="10:10" x14ac:dyDescent="0.3">
      <c r="J103417"/>
    </row>
    <row r="103418" spans="10:10" x14ac:dyDescent="0.3">
      <c r="J103418"/>
    </row>
    <row r="103419" spans="10:10" x14ac:dyDescent="0.3">
      <c r="J103419"/>
    </row>
    <row r="103420" spans="10:10" x14ac:dyDescent="0.3">
      <c r="J103420"/>
    </row>
    <row r="103421" spans="10:10" x14ac:dyDescent="0.3">
      <c r="J103421"/>
    </row>
    <row r="103422" spans="10:10" x14ac:dyDescent="0.3">
      <c r="J103422"/>
    </row>
    <row r="103423" spans="10:10" x14ac:dyDescent="0.3">
      <c r="J103423"/>
    </row>
    <row r="103424" spans="10:10" x14ac:dyDescent="0.3">
      <c r="J103424"/>
    </row>
    <row r="103425" spans="10:10" x14ac:dyDescent="0.3">
      <c r="J103425"/>
    </row>
    <row r="103426" spans="10:10" x14ac:dyDescent="0.3">
      <c r="J103426"/>
    </row>
    <row r="103427" spans="10:10" x14ac:dyDescent="0.3">
      <c r="J103427"/>
    </row>
    <row r="103428" spans="10:10" x14ac:dyDescent="0.3">
      <c r="J103428"/>
    </row>
    <row r="103429" spans="10:10" x14ac:dyDescent="0.3">
      <c r="J103429"/>
    </row>
    <row r="103430" spans="10:10" x14ac:dyDescent="0.3">
      <c r="J103430"/>
    </row>
    <row r="103431" spans="10:10" x14ac:dyDescent="0.3">
      <c r="J103431"/>
    </row>
    <row r="103432" spans="10:10" x14ac:dyDescent="0.3">
      <c r="J103432"/>
    </row>
    <row r="103433" spans="10:10" x14ac:dyDescent="0.3">
      <c r="J103433"/>
    </row>
    <row r="103434" spans="10:10" x14ac:dyDescent="0.3">
      <c r="J103434"/>
    </row>
    <row r="103435" spans="10:10" x14ac:dyDescent="0.3">
      <c r="J103435"/>
    </row>
    <row r="103436" spans="10:10" x14ac:dyDescent="0.3">
      <c r="J103436"/>
    </row>
    <row r="103437" spans="10:10" x14ac:dyDescent="0.3">
      <c r="J103437"/>
    </row>
    <row r="103438" spans="10:10" x14ac:dyDescent="0.3">
      <c r="J103438"/>
    </row>
    <row r="103439" spans="10:10" x14ac:dyDescent="0.3">
      <c r="J103439"/>
    </row>
    <row r="103440" spans="10:10" x14ac:dyDescent="0.3">
      <c r="J103440"/>
    </row>
    <row r="103441" spans="10:10" x14ac:dyDescent="0.3">
      <c r="J103441"/>
    </row>
    <row r="103442" spans="10:10" x14ac:dyDescent="0.3">
      <c r="J103442"/>
    </row>
    <row r="103443" spans="10:10" x14ac:dyDescent="0.3">
      <c r="J103443"/>
    </row>
    <row r="103444" spans="10:10" x14ac:dyDescent="0.3">
      <c r="J103444"/>
    </row>
    <row r="103445" spans="10:10" x14ac:dyDescent="0.3">
      <c r="J103445"/>
    </row>
    <row r="103446" spans="10:10" x14ac:dyDescent="0.3">
      <c r="J103446"/>
    </row>
    <row r="103447" spans="10:10" x14ac:dyDescent="0.3">
      <c r="J103447"/>
    </row>
    <row r="103448" spans="10:10" x14ac:dyDescent="0.3">
      <c r="J103448"/>
    </row>
    <row r="103449" spans="10:10" x14ac:dyDescent="0.3">
      <c r="J103449"/>
    </row>
    <row r="103450" spans="10:10" x14ac:dyDescent="0.3">
      <c r="J103450"/>
    </row>
    <row r="103451" spans="10:10" x14ac:dyDescent="0.3">
      <c r="J103451"/>
    </row>
    <row r="103452" spans="10:10" x14ac:dyDescent="0.3">
      <c r="J103452"/>
    </row>
    <row r="103453" spans="10:10" x14ac:dyDescent="0.3">
      <c r="J103453"/>
    </row>
    <row r="103454" spans="10:10" x14ac:dyDescent="0.3">
      <c r="J103454"/>
    </row>
    <row r="103455" spans="10:10" x14ac:dyDescent="0.3">
      <c r="J103455"/>
    </row>
    <row r="103456" spans="10:10" x14ac:dyDescent="0.3">
      <c r="J103456"/>
    </row>
    <row r="103457" spans="10:10" x14ac:dyDescent="0.3">
      <c r="J103457"/>
    </row>
    <row r="103458" spans="10:10" x14ac:dyDescent="0.3">
      <c r="J103458"/>
    </row>
    <row r="103459" spans="10:10" x14ac:dyDescent="0.3">
      <c r="J103459"/>
    </row>
    <row r="103460" spans="10:10" x14ac:dyDescent="0.3">
      <c r="J103460"/>
    </row>
    <row r="103461" spans="10:10" x14ac:dyDescent="0.3">
      <c r="J103461"/>
    </row>
    <row r="103462" spans="10:10" x14ac:dyDescent="0.3">
      <c r="J103462"/>
    </row>
    <row r="103463" spans="10:10" x14ac:dyDescent="0.3">
      <c r="J103463"/>
    </row>
    <row r="103464" spans="10:10" x14ac:dyDescent="0.3">
      <c r="J103464"/>
    </row>
    <row r="103465" spans="10:10" x14ac:dyDescent="0.3">
      <c r="J103465"/>
    </row>
    <row r="103466" spans="10:10" x14ac:dyDescent="0.3">
      <c r="J103466"/>
    </row>
    <row r="103467" spans="10:10" x14ac:dyDescent="0.3">
      <c r="J103467"/>
    </row>
    <row r="103468" spans="10:10" x14ac:dyDescent="0.3">
      <c r="J103468"/>
    </row>
    <row r="103469" spans="10:10" x14ac:dyDescent="0.3">
      <c r="J103469"/>
    </row>
    <row r="103470" spans="10:10" x14ac:dyDescent="0.3">
      <c r="J103470"/>
    </row>
    <row r="103471" spans="10:10" x14ac:dyDescent="0.3">
      <c r="J103471"/>
    </row>
    <row r="103472" spans="10:10" x14ac:dyDescent="0.3">
      <c r="J103472"/>
    </row>
    <row r="103473" spans="10:10" x14ac:dyDescent="0.3">
      <c r="J103473"/>
    </row>
    <row r="103474" spans="10:10" x14ac:dyDescent="0.3">
      <c r="J103474"/>
    </row>
    <row r="103475" spans="10:10" x14ac:dyDescent="0.3">
      <c r="J103475"/>
    </row>
    <row r="103476" spans="10:10" x14ac:dyDescent="0.3">
      <c r="J103476"/>
    </row>
    <row r="103477" spans="10:10" x14ac:dyDescent="0.3">
      <c r="J103477"/>
    </row>
    <row r="103478" spans="10:10" x14ac:dyDescent="0.3">
      <c r="J103478"/>
    </row>
    <row r="103479" spans="10:10" x14ac:dyDescent="0.3">
      <c r="J103479"/>
    </row>
    <row r="103480" spans="10:10" x14ac:dyDescent="0.3">
      <c r="J103480"/>
    </row>
    <row r="103481" spans="10:10" x14ac:dyDescent="0.3">
      <c r="J103481"/>
    </row>
    <row r="103482" spans="10:10" x14ac:dyDescent="0.3">
      <c r="J103482"/>
    </row>
    <row r="103483" spans="10:10" x14ac:dyDescent="0.3">
      <c r="J103483"/>
    </row>
    <row r="103484" spans="10:10" x14ac:dyDescent="0.3">
      <c r="J103484"/>
    </row>
    <row r="103485" spans="10:10" x14ac:dyDescent="0.3">
      <c r="J103485"/>
    </row>
    <row r="103486" spans="10:10" x14ac:dyDescent="0.3">
      <c r="J103486"/>
    </row>
    <row r="103487" spans="10:10" x14ac:dyDescent="0.3">
      <c r="J103487"/>
    </row>
    <row r="103488" spans="10:10" x14ac:dyDescent="0.3">
      <c r="J103488"/>
    </row>
    <row r="103489" spans="10:10" x14ac:dyDescent="0.3">
      <c r="J103489"/>
    </row>
    <row r="103490" spans="10:10" x14ac:dyDescent="0.3">
      <c r="J103490"/>
    </row>
    <row r="103491" spans="10:10" x14ac:dyDescent="0.3">
      <c r="J103491"/>
    </row>
    <row r="103492" spans="10:10" x14ac:dyDescent="0.3">
      <c r="J103492"/>
    </row>
    <row r="103493" spans="10:10" x14ac:dyDescent="0.3">
      <c r="J103493"/>
    </row>
    <row r="103494" spans="10:10" x14ac:dyDescent="0.3">
      <c r="J103494"/>
    </row>
    <row r="103495" spans="10:10" x14ac:dyDescent="0.3">
      <c r="J103495"/>
    </row>
    <row r="103496" spans="10:10" x14ac:dyDescent="0.3">
      <c r="J103496"/>
    </row>
    <row r="103497" spans="10:10" x14ac:dyDescent="0.3">
      <c r="J103497"/>
    </row>
    <row r="103498" spans="10:10" x14ac:dyDescent="0.3">
      <c r="J103498"/>
    </row>
    <row r="103499" spans="10:10" x14ac:dyDescent="0.3">
      <c r="J103499"/>
    </row>
    <row r="103500" spans="10:10" x14ac:dyDescent="0.3">
      <c r="J103500"/>
    </row>
    <row r="103501" spans="10:10" x14ac:dyDescent="0.3">
      <c r="J103501"/>
    </row>
    <row r="103502" spans="10:10" x14ac:dyDescent="0.3">
      <c r="J103502"/>
    </row>
    <row r="103503" spans="10:10" x14ac:dyDescent="0.3">
      <c r="J103503"/>
    </row>
    <row r="103504" spans="10:10" x14ac:dyDescent="0.3">
      <c r="J103504"/>
    </row>
    <row r="103505" spans="10:10" x14ac:dyDescent="0.3">
      <c r="J103505"/>
    </row>
    <row r="103506" spans="10:10" x14ac:dyDescent="0.3">
      <c r="J103506"/>
    </row>
    <row r="103507" spans="10:10" x14ac:dyDescent="0.3">
      <c r="J103507"/>
    </row>
    <row r="103508" spans="10:10" x14ac:dyDescent="0.3">
      <c r="J103508"/>
    </row>
    <row r="103509" spans="10:10" x14ac:dyDescent="0.3">
      <c r="J103509"/>
    </row>
    <row r="103510" spans="10:10" x14ac:dyDescent="0.3">
      <c r="J103510"/>
    </row>
    <row r="103511" spans="10:10" x14ac:dyDescent="0.3">
      <c r="J103511"/>
    </row>
    <row r="103512" spans="10:10" x14ac:dyDescent="0.3">
      <c r="J103512"/>
    </row>
    <row r="103513" spans="10:10" x14ac:dyDescent="0.3">
      <c r="J103513"/>
    </row>
    <row r="103514" spans="10:10" x14ac:dyDescent="0.3">
      <c r="J103514"/>
    </row>
    <row r="103515" spans="10:10" x14ac:dyDescent="0.3">
      <c r="J103515"/>
    </row>
    <row r="103516" spans="10:10" x14ac:dyDescent="0.3">
      <c r="J103516"/>
    </row>
    <row r="103517" spans="10:10" x14ac:dyDescent="0.3">
      <c r="J103517"/>
    </row>
    <row r="103518" spans="10:10" x14ac:dyDescent="0.3">
      <c r="J103518"/>
    </row>
    <row r="103519" spans="10:10" x14ac:dyDescent="0.3">
      <c r="J103519"/>
    </row>
    <row r="103520" spans="10:10" x14ac:dyDescent="0.3">
      <c r="J103520"/>
    </row>
    <row r="103521" spans="10:10" x14ac:dyDescent="0.3">
      <c r="J103521"/>
    </row>
    <row r="103522" spans="10:10" x14ac:dyDescent="0.3">
      <c r="J103522"/>
    </row>
    <row r="103523" spans="10:10" x14ac:dyDescent="0.3">
      <c r="J103523"/>
    </row>
    <row r="103524" spans="10:10" x14ac:dyDescent="0.3">
      <c r="J103524"/>
    </row>
    <row r="103525" spans="10:10" x14ac:dyDescent="0.3">
      <c r="J103525"/>
    </row>
    <row r="103526" spans="10:10" x14ac:dyDescent="0.3">
      <c r="J103526"/>
    </row>
    <row r="103527" spans="10:10" x14ac:dyDescent="0.3">
      <c r="J103527"/>
    </row>
    <row r="103528" spans="10:10" x14ac:dyDescent="0.3">
      <c r="J103528"/>
    </row>
    <row r="103529" spans="10:10" x14ac:dyDescent="0.3">
      <c r="J103529"/>
    </row>
    <row r="103530" spans="10:10" x14ac:dyDescent="0.3">
      <c r="J103530"/>
    </row>
    <row r="103531" spans="10:10" x14ac:dyDescent="0.3">
      <c r="J103531"/>
    </row>
    <row r="103532" spans="10:10" x14ac:dyDescent="0.3">
      <c r="J103532"/>
    </row>
    <row r="103533" spans="10:10" x14ac:dyDescent="0.3">
      <c r="J103533"/>
    </row>
    <row r="103534" spans="10:10" x14ac:dyDescent="0.3">
      <c r="J103534"/>
    </row>
    <row r="103535" spans="10:10" x14ac:dyDescent="0.3">
      <c r="J103535"/>
    </row>
    <row r="103536" spans="10:10" x14ac:dyDescent="0.3">
      <c r="J103536"/>
    </row>
    <row r="103537" spans="10:10" x14ac:dyDescent="0.3">
      <c r="J103537"/>
    </row>
    <row r="103538" spans="10:10" x14ac:dyDescent="0.3">
      <c r="J103538"/>
    </row>
    <row r="103539" spans="10:10" x14ac:dyDescent="0.3">
      <c r="J103539"/>
    </row>
    <row r="103540" spans="10:10" x14ac:dyDescent="0.3">
      <c r="J103540"/>
    </row>
    <row r="103541" spans="10:10" x14ac:dyDescent="0.3">
      <c r="J103541"/>
    </row>
    <row r="103542" spans="10:10" x14ac:dyDescent="0.3">
      <c r="J103542"/>
    </row>
    <row r="103543" spans="10:10" x14ac:dyDescent="0.3">
      <c r="J103543"/>
    </row>
    <row r="103544" spans="10:10" x14ac:dyDescent="0.3">
      <c r="J103544"/>
    </row>
    <row r="103545" spans="10:10" x14ac:dyDescent="0.3">
      <c r="J103545"/>
    </row>
    <row r="103546" spans="10:10" x14ac:dyDescent="0.3">
      <c r="J103546"/>
    </row>
    <row r="103547" spans="10:10" x14ac:dyDescent="0.3">
      <c r="J103547"/>
    </row>
    <row r="103548" spans="10:10" x14ac:dyDescent="0.3">
      <c r="J103548"/>
    </row>
    <row r="103549" spans="10:10" x14ac:dyDescent="0.3">
      <c r="J103549"/>
    </row>
    <row r="103550" spans="10:10" x14ac:dyDescent="0.3">
      <c r="J103550"/>
    </row>
    <row r="103551" spans="10:10" x14ac:dyDescent="0.3">
      <c r="J103551"/>
    </row>
    <row r="103552" spans="10:10" x14ac:dyDescent="0.3">
      <c r="J103552"/>
    </row>
    <row r="103553" spans="10:10" x14ac:dyDescent="0.3">
      <c r="J103553"/>
    </row>
    <row r="103554" spans="10:10" x14ac:dyDescent="0.3">
      <c r="J103554"/>
    </row>
    <row r="103555" spans="10:10" x14ac:dyDescent="0.3">
      <c r="J103555"/>
    </row>
    <row r="103556" spans="10:10" x14ac:dyDescent="0.3">
      <c r="J103556"/>
    </row>
    <row r="103557" spans="10:10" x14ac:dyDescent="0.3">
      <c r="J103557"/>
    </row>
    <row r="103558" spans="10:10" x14ac:dyDescent="0.3">
      <c r="J103558"/>
    </row>
    <row r="103559" spans="10:10" x14ac:dyDescent="0.3">
      <c r="J103559"/>
    </row>
    <row r="103560" spans="10:10" x14ac:dyDescent="0.3">
      <c r="J103560"/>
    </row>
    <row r="103561" spans="10:10" x14ac:dyDescent="0.3">
      <c r="J103561"/>
    </row>
    <row r="103562" spans="10:10" x14ac:dyDescent="0.3">
      <c r="J103562"/>
    </row>
    <row r="103563" spans="10:10" x14ac:dyDescent="0.3">
      <c r="J103563"/>
    </row>
    <row r="103564" spans="10:10" x14ac:dyDescent="0.3">
      <c r="J103564"/>
    </row>
    <row r="103565" spans="10:10" x14ac:dyDescent="0.3">
      <c r="J103565"/>
    </row>
    <row r="103566" spans="10:10" x14ac:dyDescent="0.3">
      <c r="J103566"/>
    </row>
    <row r="103567" spans="10:10" x14ac:dyDescent="0.3">
      <c r="J103567"/>
    </row>
    <row r="103568" spans="10:10" x14ac:dyDescent="0.3">
      <c r="J103568"/>
    </row>
    <row r="103569" spans="10:10" x14ac:dyDescent="0.3">
      <c r="J103569"/>
    </row>
    <row r="103570" spans="10:10" x14ac:dyDescent="0.3">
      <c r="J103570"/>
    </row>
    <row r="103571" spans="10:10" x14ac:dyDescent="0.3">
      <c r="J103571"/>
    </row>
    <row r="103572" spans="10:10" x14ac:dyDescent="0.3">
      <c r="J103572"/>
    </row>
    <row r="103573" spans="10:10" x14ac:dyDescent="0.3">
      <c r="J103573"/>
    </row>
    <row r="103574" spans="10:10" x14ac:dyDescent="0.3">
      <c r="J103574"/>
    </row>
    <row r="103575" spans="10:10" x14ac:dyDescent="0.3">
      <c r="J103575"/>
    </row>
    <row r="103576" spans="10:10" x14ac:dyDescent="0.3">
      <c r="J103576"/>
    </row>
    <row r="103577" spans="10:10" x14ac:dyDescent="0.3">
      <c r="J103577"/>
    </row>
    <row r="103578" spans="10:10" x14ac:dyDescent="0.3">
      <c r="J103578"/>
    </row>
    <row r="103579" spans="10:10" x14ac:dyDescent="0.3">
      <c r="J103579"/>
    </row>
    <row r="103580" spans="10:10" x14ac:dyDescent="0.3">
      <c r="J103580"/>
    </row>
    <row r="103581" spans="10:10" x14ac:dyDescent="0.3">
      <c r="J103581"/>
    </row>
    <row r="103582" spans="10:10" x14ac:dyDescent="0.3">
      <c r="J103582"/>
    </row>
    <row r="103583" spans="10:10" x14ac:dyDescent="0.3">
      <c r="J103583"/>
    </row>
    <row r="103584" spans="10:10" x14ac:dyDescent="0.3">
      <c r="J103584"/>
    </row>
    <row r="103585" spans="10:10" x14ac:dyDescent="0.3">
      <c r="J103585"/>
    </row>
    <row r="103586" spans="10:10" x14ac:dyDescent="0.3">
      <c r="J103586"/>
    </row>
    <row r="103587" spans="10:10" x14ac:dyDescent="0.3">
      <c r="J103587"/>
    </row>
    <row r="103588" spans="10:10" x14ac:dyDescent="0.3">
      <c r="J103588"/>
    </row>
    <row r="103589" spans="10:10" x14ac:dyDescent="0.3">
      <c r="J103589"/>
    </row>
    <row r="103590" spans="10:10" x14ac:dyDescent="0.3">
      <c r="J103590"/>
    </row>
    <row r="103591" spans="10:10" x14ac:dyDescent="0.3">
      <c r="J103591"/>
    </row>
    <row r="103592" spans="10:10" x14ac:dyDescent="0.3">
      <c r="J103592"/>
    </row>
    <row r="103593" spans="10:10" x14ac:dyDescent="0.3">
      <c r="J103593"/>
    </row>
    <row r="103594" spans="10:10" x14ac:dyDescent="0.3">
      <c r="J103594"/>
    </row>
    <row r="103595" spans="10:10" x14ac:dyDescent="0.3">
      <c r="J103595"/>
    </row>
    <row r="103596" spans="10:10" x14ac:dyDescent="0.3">
      <c r="J103596"/>
    </row>
    <row r="103597" spans="10:10" x14ac:dyDescent="0.3">
      <c r="J103597"/>
    </row>
    <row r="103598" spans="10:10" x14ac:dyDescent="0.3">
      <c r="J103598"/>
    </row>
    <row r="103599" spans="10:10" x14ac:dyDescent="0.3">
      <c r="J103599"/>
    </row>
    <row r="103600" spans="10:10" x14ac:dyDescent="0.3">
      <c r="J103600"/>
    </row>
    <row r="103601" spans="10:10" x14ac:dyDescent="0.3">
      <c r="J103601"/>
    </row>
    <row r="103602" spans="10:10" x14ac:dyDescent="0.3">
      <c r="J103602"/>
    </row>
    <row r="103603" spans="10:10" x14ac:dyDescent="0.3">
      <c r="J103603"/>
    </row>
    <row r="103604" spans="10:10" x14ac:dyDescent="0.3">
      <c r="J103604"/>
    </row>
    <row r="103605" spans="10:10" x14ac:dyDescent="0.3">
      <c r="J103605"/>
    </row>
    <row r="103606" spans="10:10" x14ac:dyDescent="0.3">
      <c r="J103606"/>
    </row>
    <row r="103607" spans="10:10" x14ac:dyDescent="0.3">
      <c r="J103607"/>
    </row>
    <row r="103608" spans="10:10" x14ac:dyDescent="0.3">
      <c r="J103608"/>
    </row>
    <row r="103609" spans="10:10" x14ac:dyDescent="0.3">
      <c r="J103609"/>
    </row>
    <row r="103610" spans="10:10" x14ac:dyDescent="0.3">
      <c r="J103610"/>
    </row>
    <row r="103611" spans="10:10" x14ac:dyDescent="0.3">
      <c r="J103611"/>
    </row>
    <row r="103612" spans="10:10" x14ac:dyDescent="0.3">
      <c r="J103612"/>
    </row>
    <row r="103613" spans="10:10" x14ac:dyDescent="0.3">
      <c r="J103613"/>
    </row>
    <row r="103614" spans="10:10" x14ac:dyDescent="0.3">
      <c r="J103614"/>
    </row>
    <row r="103615" spans="10:10" x14ac:dyDescent="0.3">
      <c r="J103615"/>
    </row>
    <row r="103616" spans="10:10" x14ac:dyDescent="0.3">
      <c r="J103616"/>
    </row>
    <row r="103617" spans="10:10" x14ac:dyDescent="0.3">
      <c r="J103617"/>
    </row>
    <row r="103618" spans="10:10" x14ac:dyDescent="0.3">
      <c r="J103618"/>
    </row>
    <row r="103619" spans="10:10" x14ac:dyDescent="0.3">
      <c r="J103619"/>
    </row>
    <row r="103620" spans="10:10" x14ac:dyDescent="0.3">
      <c r="J103620"/>
    </row>
    <row r="103621" spans="10:10" x14ac:dyDescent="0.3">
      <c r="J103621"/>
    </row>
    <row r="103622" spans="10:10" x14ac:dyDescent="0.3">
      <c r="J103622"/>
    </row>
    <row r="103623" spans="10:10" x14ac:dyDescent="0.3">
      <c r="J103623"/>
    </row>
    <row r="103624" spans="10:10" x14ac:dyDescent="0.3">
      <c r="J103624"/>
    </row>
    <row r="103625" spans="10:10" x14ac:dyDescent="0.3">
      <c r="J103625"/>
    </row>
    <row r="103626" spans="10:10" x14ac:dyDescent="0.3">
      <c r="J103626"/>
    </row>
    <row r="103627" spans="10:10" x14ac:dyDescent="0.3">
      <c r="J103627"/>
    </row>
    <row r="103628" spans="10:10" x14ac:dyDescent="0.3">
      <c r="J103628"/>
    </row>
    <row r="103629" spans="10:10" x14ac:dyDescent="0.3">
      <c r="J103629"/>
    </row>
    <row r="103630" spans="10:10" x14ac:dyDescent="0.3">
      <c r="J103630"/>
    </row>
    <row r="103631" spans="10:10" x14ac:dyDescent="0.3">
      <c r="J103631"/>
    </row>
    <row r="103632" spans="10:10" x14ac:dyDescent="0.3">
      <c r="J103632"/>
    </row>
    <row r="103633" spans="10:10" x14ac:dyDescent="0.3">
      <c r="J103633"/>
    </row>
    <row r="103634" spans="10:10" x14ac:dyDescent="0.3">
      <c r="J103634"/>
    </row>
    <row r="103635" spans="10:10" x14ac:dyDescent="0.3">
      <c r="J103635"/>
    </row>
    <row r="103636" spans="10:10" x14ac:dyDescent="0.3">
      <c r="J103636"/>
    </row>
    <row r="103637" spans="10:10" x14ac:dyDescent="0.3">
      <c r="J103637"/>
    </row>
    <row r="103638" spans="10:10" x14ac:dyDescent="0.3">
      <c r="J103638"/>
    </row>
    <row r="103639" spans="10:10" x14ac:dyDescent="0.3">
      <c r="J103639"/>
    </row>
    <row r="103640" spans="10:10" x14ac:dyDescent="0.3">
      <c r="J103640"/>
    </row>
    <row r="103641" spans="10:10" x14ac:dyDescent="0.3">
      <c r="J103641"/>
    </row>
    <row r="103642" spans="10:10" x14ac:dyDescent="0.3">
      <c r="J103642"/>
    </row>
    <row r="103643" spans="10:10" x14ac:dyDescent="0.3">
      <c r="J103643"/>
    </row>
    <row r="103644" spans="10:10" x14ac:dyDescent="0.3">
      <c r="J103644"/>
    </row>
    <row r="103645" spans="10:10" x14ac:dyDescent="0.3">
      <c r="J103645"/>
    </row>
    <row r="103646" spans="10:10" x14ac:dyDescent="0.3">
      <c r="J103646"/>
    </row>
    <row r="103647" spans="10:10" x14ac:dyDescent="0.3">
      <c r="J103647"/>
    </row>
    <row r="103648" spans="10:10" x14ac:dyDescent="0.3">
      <c r="J103648"/>
    </row>
    <row r="103649" spans="10:10" x14ac:dyDescent="0.3">
      <c r="J103649"/>
    </row>
    <row r="103650" spans="10:10" x14ac:dyDescent="0.3">
      <c r="J103650"/>
    </row>
    <row r="103651" spans="10:10" x14ac:dyDescent="0.3">
      <c r="J103651"/>
    </row>
    <row r="103652" spans="10:10" x14ac:dyDescent="0.3">
      <c r="J103652"/>
    </row>
    <row r="103653" spans="10:10" x14ac:dyDescent="0.3">
      <c r="J103653"/>
    </row>
    <row r="103654" spans="10:10" x14ac:dyDescent="0.3">
      <c r="J103654"/>
    </row>
    <row r="103655" spans="10:10" x14ac:dyDescent="0.3">
      <c r="J103655"/>
    </row>
    <row r="103656" spans="10:10" x14ac:dyDescent="0.3">
      <c r="J103656"/>
    </row>
    <row r="103657" spans="10:10" x14ac:dyDescent="0.3">
      <c r="J103657"/>
    </row>
    <row r="103658" spans="10:10" x14ac:dyDescent="0.3">
      <c r="J103658"/>
    </row>
    <row r="103659" spans="10:10" x14ac:dyDescent="0.3">
      <c r="J103659"/>
    </row>
    <row r="103660" spans="10:10" x14ac:dyDescent="0.3">
      <c r="J103660"/>
    </row>
    <row r="103661" spans="10:10" x14ac:dyDescent="0.3">
      <c r="J103661"/>
    </row>
    <row r="103662" spans="10:10" x14ac:dyDescent="0.3">
      <c r="J103662"/>
    </row>
    <row r="103663" spans="10:10" x14ac:dyDescent="0.3">
      <c r="J103663"/>
    </row>
    <row r="103664" spans="10:10" x14ac:dyDescent="0.3">
      <c r="J103664"/>
    </row>
    <row r="103665" spans="10:10" x14ac:dyDescent="0.3">
      <c r="J103665"/>
    </row>
    <row r="103666" spans="10:10" x14ac:dyDescent="0.3">
      <c r="J103666"/>
    </row>
    <row r="103667" spans="10:10" x14ac:dyDescent="0.3">
      <c r="J103667"/>
    </row>
    <row r="103668" spans="10:10" x14ac:dyDescent="0.3">
      <c r="J103668"/>
    </row>
    <row r="103669" spans="10:10" x14ac:dyDescent="0.3">
      <c r="J103669"/>
    </row>
    <row r="103670" spans="10:10" x14ac:dyDescent="0.3">
      <c r="J103670"/>
    </row>
    <row r="103671" spans="10:10" x14ac:dyDescent="0.3">
      <c r="J103671"/>
    </row>
    <row r="103672" spans="10:10" x14ac:dyDescent="0.3">
      <c r="J103672"/>
    </row>
    <row r="103673" spans="10:10" x14ac:dyDescent="0.3">
      <c r="J103673"/>
    </row>
    <row r="103674" spans="10:10" x14ac:dyDescent="0.3">
      <c r="J103674"/>
    </row>
    <row r="103675" spans="10:10" x14ac:dyDescent="0.3">
      <c r="J103675"/>
    </row>
    <row r="103676" spans="10:10" x14ac:dyDescent="0.3">
      <c r="J103676"/>
    </row>
    <row r="103677" spans="10:10" x14ac:dyDescent="0.3">
      <c r="J103677"/>
    </row>
    <row r="103678" spans="10:10" x14ac:dyDescent="0.3">
      <c r="J103678"/>
    </row>
    <row r="103679" spans="10:10" x14ac:dyDescent="0.3">
      <c r="J103679"/>
    </row>
    <row r="103680" spans="10:10" x14ac:dyDescent="0.3">
      <c r="J103680"/>
    </row>
    <row r="103681" spans="10:10" x14ac:dyDescent="0.3">
      <c r="J103681"/>
    </row>
    <row r="103682" spans="10:10" x14ac:dyDescent="0.3">
      <c r="J103682"/>
    </row>
    <row r="103683" spans="10:10" x14ac:dyDescent="0.3">
      <c r="J103683"/>
    </row>
    <row r="103684" spans="10:10" x14ac:dyDescent="0.3">
      <c r="J103684"/>
    </row>
    <row r="103685" spans="10:10" x14ac:dyDescent="0.3">
      <c r="J103685"/>
    </row>
    <row r="103686" spans="10:10" x14ac:dyDescent="0.3">
      <c r="J103686"/>
    </row>
    <row r="103687" spans="10:10" x14ac:dyDescent="0.3">
      <c r="J103687"/>
    </row>
    <row r="103688" spans="10:10" x14ac:dyDescent="0.3">
      <c r="J103688"/>
    </row>
    <row r="103689" spans="10:10" x14ac:dyDescent="0.3">
      <c r="J103689"/>
    </row>
    <row r="103690" spans="10:10" x14ac:dyDescent="0.3">
      <c r="J103690"/>
    </row>
    <row r="103691" spans="10:10" x14ac:dyDescent="0.3">
      <c r="J103691"/>
    </row>
    <row r="103692" spans="10:10" x14ac:dyDescent="0.3">
      <c r="J103692"/>
    </row>
    <row r="103693" spans="10:10" x14ac:dyDescent="0.3">
      <c r="J103693"/>
    </row>
    <row r="103694" spans="10:10" x14ac:dyDescent="0.3">
      <c r="J103694"/>
    </row>
    <row r="103695" spans="10:10" x14ac:dyDescent="0.3">
      <c r="J103695"/>
    </row>
    <row r="103696" spans="10:10" x14ac:dyDescent="0.3">
      <c r="J103696"/>
    </row>
    <row r="103697" spans="10:10" x14ac:dyDescent="0.3">
      <c r="J103697"/>
    </row>
    <row r="103698" spans="10:10" x14ac:dyDescent="0.3">
      <c r="J103698"/>
    </row>
    <row r="103699" spans="10:10" x14ac:dyDescent="0.3">
      <c r="J103699"/>
    </row>
    <row r="103700" spans="10:10" x14ac:dyDescent="0.3">
      <c r="J103700"/>
    </row>
    <row r="103701" spans="10:10" x14ac:dyDescent="0.3">
      <c r="J103701"/>
    </row>
    <row r="103702" spans="10:10" x14ac:dyDescent="0.3">
      <c r="J103702"/>
    </row>
    <row r="103703" spans="10:10" x14ac:dyDescent="0.3">
      <c r="J103703"/>
    </row>
    <row r="103704" spans="10:10" x14ac:dyDescent="0.3">
      <c r="J103704"/>
    </row>
    <row r="103705" spans="10:10" x14ac:dyDescent="0.3">
      <c r="J103705"/>
    </row>
    <row r="103706" spans="10:10" x14ac:dyDescent="0.3">
      <c r="J103706"/>
    </row>
    <row r="103707" spans="10:10" x14ac:dyDescent="0.3">
      <c r="J103707"/>
    </row>
    <row r="103708" spans="10:10" x14ac:dyDescent="0.3">
      <c r="J103708"/>
    </row>
    <row r="103709" spans="10:10" x14ac:dyDescent="0.3">
      <c r="J103709"/>
    </row>
    <row r="103710" spans="10:10" x14ac:dyDescent="0.3">
      <c r="J103710"/>
    </row>
    <row r="103711" spans="10:10" x14ac:dyDescent="0.3">
      <c r="J103711"/>
    </row>
    <row r="103712" spans="10:10" x14ac:dyDescent="0.3">
      <c r="J103712"/>
    </row>
    <row r="103713" spans="10:10" x14ac:dyDescent="0.3">
      <c r="J103713"/>
    </row>
    <row r="103714" spans="10:10" x14ac:dyDescent="0.3">
      <c r="J103714"/>
    </row>
    <row r="103715" spans="10:10" x14ac:dyDescent="0.3">
      <c r="J103715"/>
    </row>
    <row r="103716" spans="10:10" x14ac:dyDescent="0.3">
      <c r="J103716"/>
    </row>
    <row r="103717" spans="10:10" x14ac:dyDescent="0.3">
      <c r="J103717"/>
    </row>
    <row r="103718" spans="10:10" x14ac:dyDescent="0.3">
      <c r="J103718"/>
    </row>
    <row r="103719" spans="10:10" x14ac:dyDescent="0.3">
      <c r="J103719"/>
    </row>
    <row r="103720" spans="10:10" x14ac:dyDescent="0.3">
      <c r="J103720"/>
    </row>
    <row r="103721" spans="10:10" x14ac:dyDescent="0.3">
      <c r="J103721"/>
    </row>
    <row r="103722" spans="10:10" x14ac:dyDescent="0.3">
      <c r="J103722"/>
    </row>
    <row r="103723" spans="10:10" x14ac:dyDescent="0.3">
      <c r="J103723"/>
    </row>
    <row r="103724" spans="10:10" x14ac:dyDescent="0.3">
      <c r="J103724"/>
    </row>
    <row r="103725" spans="10:10" x14ac:dyDescent="0.3">
      <c r="J103725"/>
    </row>
    <row r="103726" spans="10:10" x14ac:dyDescent="0.3">
      <c r="J103726"/>
    </row>
    <row r="103727" spans="10:10" x14ac:dyDescent="0.3">
      <c r="J103727"/>
    </row>
    <row r="103728" spans="10:10" x14ac:dyDescent="0.3">
      <c r="J103728"/>
    </row>
    <row r="103729" spans="10:10" x14ac:dyDescent="0.3">
      <c r="J103729"/>
    </row>
    <row r="103730" spans="10:10" x14ac:dyDescent="0.3">
      <c r="J103730"/>
    </row>
    <row r="103731" spans="10:10" x14ac:dyDescent="0.3">
      <c r="J103731"/>
    </row>
    <row r="103732" spans="10:10" x14ac:dyDescent="0.3">
      <c r="J103732"/>
    </row>
    <row r="103733" spans="10:10" x14ac:dyDescent="0.3">
      <c r="J103733"/>
    </row>
    <row r="103734" spans="10:10" x14ac:dyDescent="0.3">
      <c r="J103734"/>
    </row>
    <row r="103735" spans="10:10" x14ac:dyDescent="0.3">
      <c r="J103735"/>
    </row>
    <row r="103736" spans="10:10" x14ac:dyDescent="0.3">
      <c r="J103736"/>
    </row>
    <row r="103737" spans="10:10" x14ac:dyDescent="0.3">
      <c r="J103737"/>
    </row>
    <row r="103738" spans="10:10" x14ac:dyDescent="0.3">
      <c r="J103738"/>
    </row>
    <row r="103739" spans="10:10" x14ac:dyDescent="0.3">
      <c r="J103739"/>
    </row>
    <row r="103740" spans="10:10" x14ac:dyDescent="0.3">
      <c r="J103740"/>
    </row>
    <row r="103741" spans="10:10" x14ac:dyDescent="0.3">
      <c r="J103741"/>
    </row>
    <row r="103742" spans="10:10" x14ac:dyDescent="0.3">
      <c r="J103742"/>
    </row>
    <row r="103743" spans="10:10" x14ac:dyDescent="0.3">
      <c r="J103743"/>
    </row>
    <row r="103744" spans="10:10" x14ac:dyDescent="0.3">
      <c r="J103744"/>
    </row>
    <row r="103745" spans="10:10" x14ac:dyDescent="0.3">
      <c r="J103745"/>
    </row>
    <row r="103746" spans="10:10" x14ac:dyDescent="0.3">
      <c r="J103746"/>
    </row>
    <row r="103747" spans="10:10" x14ac:dyDescent="0.3">
      <c r="J103747"/>
    </row>
    <row r="103748" spans="10:10" x14ac:dyDescent="0.3">
      <c r="J103748"/>
    </row>
    <row r="103749" spans="10:10" x14ac:dyDescent="0.3">
      <c r="J103749"/>
    </row>
    <row r="103750" spans="10:10" x14ac:dyDescent="0.3">
      <c r="J103750"/>
    </row>
    <row r="103751" spans="10:10" x14ac:dyDescent="0.3">
      <c r="J103751"/>
    </row>
    <row r="103752" spans="10:10" x14ac:dyDescent="0.3">
      <c r="J103752"/>
    </row>
    <row r="103753" spans="10:10" x14ac:dyDescent="0.3">
      <c r="J103753"/>
    </row>
    <row r="103754" spans="10:10" x14ac:dyDescent="0.3">
      <c r="J103754"/>
    </row>
    <row r="103755" spans="10:10" x14ac:dyDescent="0.3">
      <c r="J103755"/>
    </row>
    <row r="103756" spans="10:10" x14ac:dyDescent="0.3">
      <c r="J103756"/>
    </row>
    <row r="103757" spans="10:10" x14ac:dyDescent="0.3">
      <c r="J103757"/>
    </row>
    <row r="103758" spans="10:10" x14ac:dyDescent="0.3">
      <c r="J103758"/>
    </row>
    <row r="103759" spans="10:10" x14ac:dyDescent="0.3">
      <c r="J103759"/>
    </row>
    <row r="103760" spans="10:10" x14ac:dyDescent="0.3">
      <c r="J103760"/>
    </row>
    <row r="103761" spans="10:10" x14ac:dyDescent="0.3">
      <c r="J103761"/>
    </row>
    <row r="103762" spans="10:10" x14ac:dyDescent="0.3">
      <c r="J103762"/>
    </row>
    <row r="103763" spans="10:10" x14ac:dyDescent="0.3">
      <c r="J103763"/>
    </row>
    <row r="103764" spans="10:10" x14ac:dyDescent="0.3">
      <c r="J103764"/>
    </row>
    <row r="103765" spans="10:10" x14ac:dyDescent="0.3">
      <c r="J103765"/>
    </row>
    <row r="103766" spans="10:10" x14ac:dyDescent="0.3">
      <c r="J103766"/>
    </row>
    <row r="103767" spans="10:10" x14ac:dyDescent="0.3">
      <c r="J103767"/>
    </row>
    <row r="103768" spans="10:10" x14ac:dyDescent="0.3">
      <c r="J103768"/>
    </row>
    <row r="103769" spans="10:10" x14ac:dyDescent="0.3">
      <c r="J103769"/>
    </row>
    <row r="103770" spans="10:10" x14ac:dyDescent="0.3">
      <c r="J103770"/>
    </row>
    <row r="103771" spans="10:10" x14ac:dyDescent="0.3">
      <c r="J103771"/>
    </row>
    <row r="103772" spans="10:10" x14ac:dyDescent="0.3">
      <c r="J103772"/>
    </row>
    <row r="103773" spans="10:10" x14ac:dyDescent="0.3">
      <c r="J103773"/>
    </row>
    <row r="103774" spans="10:10" x14ac:dyDescent="0.3">
      <c r="J103774"/>
    </row>
    <row r="103775" spans="10:10" x14ac:dyDescent="0.3">
      <c r="J103775"/>
    </row>
    <row r="103776" spans="10:10" x14ac:dyDescent="0.3">
      <c r="J103776"/>
    </row>
    <row r="103777" spans="10:10" x14ac:dyDescent="0.3">
      <c r="J103777"/>
    </row>
    <row r="103778" spans="10:10" x14ac:dyDescent="0.3">
      <c r="J103778"/>
    </row>
    <row r="103779" spans="10:10" x14ac:dyDescent="0.3">
      <c r="J103779"/>
    </row>
    <row r="103780" spans="10:10" x14ac:dyDescent="0.3">
      <c r="J103780"/>
    </row>
    <row r="103781" spans="10:10" x14ac:dyDescent="0.3">
      <c r="J103781"/>
    </row>
    <row r="103782" spans="10:10" x14ac:dyDescent="0.3">
      <c r="J103782"/>
    </row>
    <row r="103783" spans="10:10" x14ac:dyDescent="0.3">
      <c r="J103783"/>
    </row>
    <row r="103784" spans="10:10" x14ac:dyDescent="0.3">
      <c r="J103784"/>
    </row>
    <row r="103785" spans="10:10" x14ac:dyDescent="0.3">
      <c r="J103785"/>
    </row>
    <row r="103786" spans="10:10" x14ac:dyDescent="0.3">
      <c r="J103786"/>
    </row>
    <row r="103787" spans="10:10" x14ac:dyDescent="0.3">
      <c r="J103787"/>
    </row>
    <row r="103788" spans="10:10" x14ac:dyDescent="0.3">
      <c r="J103788"/>
    </row>
    <row r="103789" spans="10:10" x14ac:dyDescent="0.3">
      <c r="J103789"/>
    </row>
    <row r="103790" spans="10:10" x14ac:dyDescent="0.3">
      <c r="J103790"/>
    </row>
    <row r="103791" spans="10:10" x14ac:dyDescent="0.3">
      <c r="J103791"/>
    </row>
    <row r="103792" spans="10:10" x14ac:dyDescent="0.3">
      <c r="J103792"/>
    </row>
    <row r="103793" spans="10:10" x14ac:dyDescent="0.3">
      <c r="J103793"/>
    </row>
    <row r="103794" spans="10:10" x14ac:dyDescent="0.3">
      <c r="J103794"/>
    </row>
    <row r="103795" spans="10:10" x14ac:dyDescent="0.3">
      <c r="J103795"/>
    </row>
    <row r="103796" spans="10:10" x14ac:dyDescent="0.3">
      <c r="J103796"/>
    </row>
    <row r="103797" spans="10:10" x14ac:dyDescent="0.3">
      <c r="J103797"/>
    </row>
    <row r="103798" spans="10:10" x14ac:dyDescent="0.3">
      <c r="J103798"/>
    </row>
    <row r="103799" spans="10:10" x14ac:dyDescent="0.3">
      <c r="J103799"/>
    </row>
    <row r="103800" spans="10:10" x14ac:dyDescent="0.3">
      <c r="J103800"/>
    </row>
    <row r="103801" spans="10:10" x14ac:dyDescent="0.3">
      <c r="J103801"/>
    </row>
    <row r="103802" spans="10:10" x14ac:dyDescent="0.3">
      <c r="J103802"/>
    </row>
    <row r="103803" spans="10:10" x14ac:dyDescent="0.3">
      <c r="J103803"/>
    </row>
    <row r="103804" spans="10:10" x14ac:dyDescent="0.3">
      <c r="J103804"/>
    </row>
    <row r="103805" spans="10:10" x14ac:dyDescent="0.3">
      <c r="J103805"/>
    </row>
    <row r="103806" spans="10:10" x14ac:dyDescent="0.3">
      <c r="J103806"/>
    </row>
    <row r="103807" spans="10:10" x14ac:dyDescent="0.3">
      <c r="J103807"/>
    </row>
    <row r="103808" spans="10:10" x14ac:dyDescent="0.3">
      <c r="J103808"/>
    </row>
    <row r="103809" spans="10:10" x14ac:dyDescent="0.3">
      <c r="J103809"/>
    </row>
    <row r="103810" spans="10:10" x14ac:dyDescent="0.3">
      <c r="J103810"/>
    </row>
    <row r="103811" spans="10:10" x14ac:dyDescent="0.3">
      <c r="J103811"/>
    </row>
    <row r="103812" spans="10:10" x14ac:dyDescent="0.3">
      <c r="J103812"/>
    </row>
    <row r="103813" spans="10:10" x14ac:dyDescent="0.3">
      <c r="J103813"/>
    </row>
    <row r="103814" spans="10:10" x14ac:dyDescent="0.3">
      <c r="J103814"/>
    </row>
    <row r="103815" spans="10:10" x14ac:dyDescent="0.3">
      <c r="J103815"/>
    </row>
    <row r="103816" spans="10:10" x14ac:dyDescent="0.3">
      <c r="J103816"/>
    </row>
    <row r="103817" spans="10:10" x14ac:dyDescent="0.3">
      <c r="J103817"/>
    </row>
    <row r="103818" spans="10:10" x14ac:dyDescent="0.3">
      <c r="J103818"/>
    </row>
    <row r="103819" spans="10:10" x14ac:dyDescent="0.3">
      <c r="J103819"/>
    </row>
    <row r="103820" spans="10:10" x14ac:dyDescent="0.3">
      <c r="J103820"/>
    </row>
    <row r="103821" spans="10:10" x14ac:dyDescent="0.3">
      <c r="J103821"/>
    </row>
    <row r="103822" spans="10:10" x14ac:dyDescent="0.3">
      <c r="J103822"/>
    </row>
    <row r="103823" spans="10:10" x14ac:dyDescent="0.3">
      <c r="J103823"/>
    </row>
    <row r="103824" spans="10:10" x14ac:dyDescent="0.3">
      <c r="J103824"/>
    </row>
    <row r="103825" spans="10:10" x14ac:dyDescent="0.3">
      <c r="J103825"/>
    </row>
    <row r="103826" spans="10:10" x14ac:dyDescent="0.3">
      <c r="J103826"/>
    </row>
    <row r="103827" spans="10:10" x14ac:dyDescent="0.3">
      <c r="J103827"/>
    </row>
    <row r="103828" spans="10:10" x14ac:dyDescent="0.3">
      <c r="J103828"/>
    </row>
    <row r="103829" spans="10:10" x14ac:dyDescent="0.3">
      <c r="J103829"/>
    </row>
    <row r="103830" spans="10:10" x14ac:dyDescent="0.3">
      <c r="J103830"/>
    </row>
    <row r="103831" spans="10:10" x14ac:dyDescent="0.3">
      <c r="J103831"/>
    </row>
    <row r="103832" spans="10:10" x14ac:dyDescent="0.3">
      <c r="J103832"/>
    </row>
    <row r="103833" spans="10:10" x14ac:dyDescent="0.3">
      <c r="J103833"/>
    </row>
    <row r="103834" spans="10:10" x14ac:dyDescent="0.3">
      <c r="J103834"/>
    </row>
    <row r="103835" spans="10:10" x14ac:dyDescent="0.3">
      <c r="J103835"/>
    </row>
    <row r="103836" spans="10:10" x14ac:dyDescent="0.3">
      <c r="J103836"/>
    </row>
    <row r="103837" spans="10:10" x14ac:dyDescent="0.3">
      <c r="J103837"/>
    </row>
    <row r="103838" spans="10:10" x14ac:dyDescent="0.3">
      <c r="J103838"/>
    </row>
    <row r="103839" spans="10:10" x14ac:dyDescent="0.3">
      <c r="J103839"/>
    </row>
    <row r="103840" spans="10:10" x14ac:dyDescent="0.3">
      <c r="J103840"/>
    </row>
    <row r="103841" spans="10:10" x14ac:dyDescent="0.3">
      <c r="J103841"/>
    </row>
    <row r="103842" spans="10:10" x14ac:dyDescent="0.3">
      <c r="J103842"/>
    </row>
    <row r="103843" spans="10:10" x14ac:dyDescent="0.3">
      <c r="J103843"/>
    </row>
    <row r="103844" spans="10:10" x14ac:dyDescent="0.3">
      <c r="J103844"/>
    </row>
    <row r="103845" spans="10:10" x14ac:dyDescent="0.3">
      <c r="J103845"/>
    </row>
    <row r="103846" spans="10:10" x14ac:dyDescent="0.3">
      <c r="J103846"/>
    </row>
    <row r="103847" spans="10:10" x14ac:dyDescent="0.3">
      <c r="J103847"/>
    </row>
    <row r="103848" spans="10:10" x14ac:dyDescent="0.3">
      <c r="J103848"/>
    </row>
    <row r="103849" spans="10:10" x14ac:dyDescent="0.3">
      <c r="J103849"/>
    </row>
    <row r="103850" spans="10:10" x14ac:dyDescent="0.3">
      <c r="J103850"/>
    </row>
    <row r="103851" spans="10:10" x14ac:dyDescent="0.3">
      <c r="J103851"/>
    </row>
    <row r="103852" spans="10:10" x14ac:dyDescent="0.3">
      <c r="J103852"/>
    </row>
    <row r="103853" spans="10:10" x14ac:dyDescent="0.3">
      <c r="J103853"/>
    </row>
    <row r="103854" spans="10:10" x14ac:dyDescent="0.3">
      <c r="J103854"/>
    </row>
    <row r="103855" spans="10:10" x14ac:dyDescent="0.3">
      <c r="J103855"/>
    </row>
    <row r="103856" spans="10:10" x14ac:dyDescent="0.3">
      <c r="J103856"/>
    </row>
    <row r="103857" spans="10:10" x14ac:dyDescent="0.3">
      <c r="J103857"/>
    </row>
    <row r="103858" spans="10:10" x14ac:dyDescent="0.3">
      <c r="J103858"/>
    </row>
    <row r="103859" spans="10:10" x14ac:dyDescent="0.3">
      <c r="J103859"/>
    </row>
    <row r="103860" spans="10:10" x14ac:dyDescent="0.3">
      <c r="J103860"/>
    </row>
    <row r="103861" spans="10:10" x14ac:dyDescent="0.3">
      <c r="J103861"/>
    </row>
    <row r="103862" spans="10:10" x14ac:dyDescent="0.3">
      <c r="J103862"/>
    </row>
    <row r="103863" spans="10:10" x14ac:dyDescent="0.3">
      <c r="J103863"/>
    </row>
    <row r="103864" spans="10:10" x14ac:dyDescent="0.3">
      <c r="J103864"/>
    </row>
    <row r="103865" spans="10:10" x14ac:dyDescent="0.3">
      <c r="J103865"/>
    </row>
    <row r="103866" spans="10:10" x14ac:dyDescent="0.3">
      <c r="J103866"/>
    </row>
    <row r="103867" spans="10:10" x14ac:dyDescent="0.3">
      <c r="J103867"/>
    </row>
    <row r="103868" spans="10:10" x14ac:dyDescent="0.3">
      <c r="J103868"/>
    </row>
    <row r="103869" spans="10:10" x14ac:dyDescent="0.3">
      <c r="J103869"/>
    </row>
    <row r="103870" spans="10:10" x14ac:dyDescent="0.3">
      <c r="J103870"/>
    </row>
    <row r="103871" spans="10:10" x14ac:dyDescent="0.3">
      <c r="J103871"/>
    </row>
    <row r="103872" spans="10:10" x14ac:dyDescent="0.3">
      <c r="J103872"/>
    </row>
    <row r="103873" spans="10:10" x14ac:dyDescent="0.3">
      <c r="J103873"/>
    </row>
    <row r="103874" spans="10:10" x14ac:dyDescent="0.3">
      <c r="J103874"/>
    </row>
    <row r="103875" spans="10:10" x14ac:dyDescent="0.3">
      <c r="J103875"/>
    </row>
    <row r="103876" spans="10:10" x14ac:dyDescent="0.3">
      <c r="J103876"/>
    </row>
    <row r="103877" spans="10:10" x14ac:dyDescent="0.3">
      <c r="J103877"/>
    </row>
    <row r="103878" spans="10:10" x14ac:dyDescent="0.3">
      <c r="J103878"/>
    </row>
    <row r="103879" spans="10:10" x14ac:dyDescent="0.3">
      <c r="J103879"/>
    </row>
    <row r="103880" spans="10:10" x14ac:dyDescent="0.3">
      <c r="J103880"/>
    </row>
    <row r="103881" spans="10:10" x14ac:dyDescent="0.3">
      <c r="J103881"/>
    </row>
    <row r="103882" spans="10:10" x14ac:dyDescent="0.3">
      <c r="J103882"/>
    </row>
    <row r="103883" spans="10:10" x14ac:dyDescent="0.3">
      <c r="J103883"/>
    </row>
    <row r="103884" spans="10:10" x14ac:dyDescent="0.3">
      <c r="J103884"/>
    </row>
    <row r="103885" spans="10:10" x14ac:dyDescent="0.3">
      <c r="J103885"/>
    </row>
    <row r="103886" spans="10:10" x14ac:dyDescent="0.3">
      <c r="J103886"/>
    </row>
    <row r="103887" spans="10:10" x14ac:dyDescent="0.3">
      <c r="J103887"/>
    </row>
    <row r="103888" spans="10:10" x14ac:dyDescent="0.3">
      <c r="J103888"/>
    </row>
    <row r="103889" spans="10:10" x14ac:dyDescent="0.3">
      <c r="J103889"/>
    </row>
    <row r="103890" spans="10:10" x14ac:dyDescent="0.3">
      <c r="J103890"/>
    </row>
    <row r="103891" spans="10:10" x14ac:dyDescent="0.3">
      <c r="J103891"/>
    </row>
    <row r="103892" spans="10:10" x14ac:dyDescent="0.3">
      <c r="J103892"/>
    </row>
    <row r="103893" spans="10:10" x14ac:dyDescent="0.3">
      <c r="J103893"/>
    </row>
    <row r="103894" spans="10:10" x14ac:dyDescent="0.3">
      <c r="J103894"/>
    </row>
    <row r="103895" spans="10:10" x14ac:dyDescent="0.3">
      <c r="J103895"/>
    </row>
    <row r="103896" spans="10:10" x14ac:dyDescent="0.3">
      <c r="J103896"/>
    </row>
    <row r="103897" spans="10:10" x14ac:dyDescent="0.3">
      <c r="J103897"/>
    </row>
    <row r="103898" spans="10:10" x14ac:dyDescent="0.3">
      <c r="J103898"/>
    </row>
    <row r="103899" spans="10:10" x14ac:dyDescent="0.3">
      <c r="J103899"/>
    </row>
    <row r="103900" spans="10:10" x14ac:dyDescent="0.3">
      <c r="J103900"/>
    </row>
    <row r="103901" spans="10:10" x14ac:dyDescent="0.3">
      <c r="J103901"/>
    </row>
    <row r="103902" spans="10:10" x14ac:dyDescent="0.3">
      <c r="J103902"/>
    </row>
    <row r="103903" spans="10:10" x14ac:dyDescent="0.3">
      <c r="J103903"/>
    </row>
    <row r="103904" spans="10:10" x14ac:dyDescent="0.3">
      <c r="J103904"/>
    </row>
    <row r="103905" spans="10:10" x14ac:dyDescent="0.3">
      <c r="J103905"/>
    </row>
    <row r="103906" spans="10:10" x14ac:dyDescent="0.3">
      <c r="J103906"/>
    </row>
    <row r="103907" spans="10:10" x14ac:dyDescent="0.3">
      <c r="J103907"/>
    </row>
    <row r="103908" spans="10:10" x14ac:dyDescent="0.3">
      <c r="J103908"/>
    </row>
    <row r="103909" spans="10:10" x14ac:dyDescent="0.3">
      <c r="J103909"/>
    </row>
    <row r="103910" spans="10:10" x14ac:dyDescent="0.3">
      <c r="J103910"/>
    </row>
    <row r="103911" spans="10:10" x14ac:dyDescent="0.3">
      <c r="J103911"/>
    </row>
    <row r="103912" spans="10:10" x14ac:dyDescent="0.3">
      <c r="J103912"/>
    </row>
    <row r="103913" spans="10:10" x14ac:dyDescent="0.3">
      <c r="J103913"/>
    </row>
    <row r="103914" spans="10:10" x14ac:dyDescent="0.3">
      <c r="J103914"/>
    </row>
    <row r="103915" spans="10:10" x14ac:dyDescent="0.3">
      <c r="J103915"/>
    </row>
    <row r="103916" spans="10:10" x14ac:dyDescent="0.3">
      <c r="J103916"/>
    </row>
    <row r="103917" spans="10:10" x14ac:dyDescent="0.3">
      <c r="J103917"/>
    </row>
    <row r="103918" spans="10:10" x14ac:dyDescent="0.3">
      <c r="J103918"/>
    </row>
    <row r="103919" spans="10:10" x14ac:dyDescent="0.3">
      <c r="J103919"/>
    </row>
    <row r="103920" spans="10:10" x14ac:dyDescent="0.3">
      <c r="J103920"/>
    </row>
    <row r="103921" spans="10:10" x14ac:dyDescent="0.3">
      <c r="J103921"/>
    </row>
    <row r="103922" spans="10:10" x14ac:dyDescent="0.3">
      <c r="J103922"/>
    </row>
    <row r="103923" spans="10:10" x14ac:dyDescent="0.3">
      <c r="J103923"/>
    </row>
    <row r="103924" spans="10:10" x14ac:dyDescent="0.3">
      <c r="J103924"/>
    </row>
    <row r="103925" spans="10:10" x14ac:dyDescent="0.3">
      <c r="J103925"/>
    </row>
    <row r="103926" spans="10:10" x14ac:dyDescent="0.3">
      <c r="J103926"/>
    </row>
    <row r="103927" spans="10:10" x14ac:dyDescent="0.3">
      <c r="J103927"/>
    </row>
    <row r="103928" spans="10:10" x14ac:dyDescent="0.3">
      <c r="J103928"/>
    </row>
    <row r="103929" spans="10:10" x14ac:dyDescent="0.3">
      <c r="J103929"/>
    </row>
    <row r="103930" spans="10:10" x14ac:dyDescent="0.3">
      <c r="J103930"/>
    </row>
    <row r="103931" spans="10:10" x14ac:dyDescent="0.3">
      <c r="J103931"/>
    </row>
    <row r="103932" spans="10:10" x14ac:dyDescent="0.3">
      <c r="J103932"/>
    </row>
    <row r="103933" spans="10:10" x14ac:dyDescent="0.3">
      <c r="J103933"/>
    </row>
    <row r="103934" spans="10:10" x14ac:dyDescent="0.3">
      <c r="J103934"/>
    </row>
    <row r="103935" spans="10:10" x14ac:dyDescent="0.3">
      <c r="J103935"/>
    </row>
    <row r="103936" spans="10:10" x14ac:dyDescent="0.3">
      <c r="J103936"/>
    </row>
    <row r="103937" spans="10:10" x14ac:dyDescent="0.3">
      <c r="J103937"/>
    </row>
    <row r="103938" spans="10:10" x14ac:dyDescent="0.3">
      <c r="J103938"/>
    </row>
    <row r="103939" spans="10:10" x14ac:dyDescent="0.3">
      <c r="J103939"/>
    </row>
    <row r="103940" spans="10:10" x14ac:dyDescent="0.3">
      <c r="J103940"/>
    </row>
    <row r="103941" spans="10:10" x14ac:dyDescent="0.3">
      <c r="J103941"/>
    </row>
    <row r="103942" spans="10:10" x14ac:dyDescent="0.3">
      <c r="J103942"/>
    </row>
    <row r="103943" spans="10:10" x14ac:dyDescent="0.3">
      <c r="J103943"/>
    </row>
    <row r="103944" spans="10:10" x14ac:dyDescent="0.3">
      <c r="J103944"/>
    </row>
    <row r="103945" spans="10:10" x14ac:dyDescent="0.3">
      <c r="J103945"/>
    </row>
    <row r="103946" spans="10:10" x14ac:dyDescent="0.3">
      <c r="J103946"/>
    </row>
    <row r="103947" spans="10:10" x14ac:dyDescent="0.3">
      <c r="J103947"/>
    </row>
    <row r="103948" spans="10:10" x14ac:dyDescent="0.3">
      <c r="J103948"/>
    </row>
    <row r="103949" spans="10:10" x14ac:dyDescent="0.3">
      <c r="J103949"/>
    </row>
    <row r="103950" spans="10:10" x14ac:dyDescent="0.3">
      <c r="J103950"/>
    </row>
    <row r="103951" spans="10:10" x14ac:dyDescent="0.3">
      <c r="J103951"/>
    </row>
    <row r="103952" spans="10:10" x14ac:dyDescent="0.3">
      <c r="J103952"/>
    </row>
    <row r="103953" spans="10:10" x14ac:dyDescent="0.3">
      <c r="J103953"/>
    </row>
    <row r="103954" spans="10:10" x14ac:dyDescent="0.3">
      <c r="J103954"/>
    </row>
    <row r="103955" spans="10:10" x14ac:dyDescent="0.3">
      <c r="J103955"/>
    </row>
    <row r="103956" spans="10:10" x14ac:dyDescent="0.3">
      <c r="J103956"/>
    </row>
    <row r="103957" spans="10:10" x14ac:dyDescent="0.3">
      <c r="J103957"/>
    </row>
    <row r="103958" spans="10:10" x14ac:dyDescent="0.3">
      <c r="J103958"/>
    </row>
    <row r="103959" spans="10:10" x14ac:dyDescent="0.3">
      <c r="J103959"/>
    </row>
    <row r="103960" spans="10:10" x14ac:dyDescent="0.3">
      <c r="J103960"/>
    </row>
    <row r="103961" spans="10:10" x14ac:dyDescent="0.3">
      <c r="J103961"/>
    </row>
    <row r="103962" spans="10:10" x14ac:dyDescent="0.3">
      <c r="J103962"/>
    </row>
    <row r="103963" spans="10:10" x14ac:dyDescent="0.3">
      <c r="J103963"/>
    </row>
    <row r="103964" spans="10:10" x14ac:dyDescent="0.3">
      <c r="J103964"/>
    </row>
    <row r="103965" spans="10:10" x14ac:dyDescent="0.3">
      <c r="J103965"/>
    </row>
    <row r="103966" spans="10:10" x14ac:dyDescent="0.3">
      <c r="J103966"/>
    </row>
    <row r="103967" spans="10:10" x14ac:dyDescent="0.3">
      <c r="J103967"/>
    </row>
    <row r="103968" spans="10:10" x14ac:dyDescent="0.3">
      <c r="J103968"/>
    </row>
    <row r="103969" spans="10:10" x14ac:dyDescent="0.3">
      <c r="J103969"/>
    </row>
    <row r="103970" spans="10:10" x14ac:dyDescent="0.3">
      <c r="J103970"/>
    </row>
    <row r="103971" spans="10:10" x14ac:dyDescent="0.3">
      <c r="J103971"/>
    </row>
    <row r="103972" spans="10:10" x14ac:dyDescent="0.3">
      <c r="J103972"/>
    </row>
    <row r="103973" spans="10:10" x14ac:dyDescent="0.3">
      <c r="J103973"/>
    </row>
    <row r="103974" spans="10:10" x14ac:dyDescent="0.3">
      <c r="J103974"/>
    </row>
    <row r="103975" spans="10:10" x14ac:dyDescent="0.3">
      <c r="J103975"/>
    </row>
    <row r="103976" spans="10:10" x14ac:dyDescent="0.3">
      <c r="J103976"/>
    </row>
    <row r="103977" spans="10:10" x14ac:dyDescent="0.3">
      <c r="J103977"/>
    </row>
    <row r="103978" spans="10:10" x14ac:dyDescent="0.3">
      <c r="J103978"/>
    </row>
    <row r="103979" spans="10:10" x14ac:dyDescent="0.3">
      <c r="J103979"/>
    </row>
    <row r="103980" spans="10:10" x14ac:dyDescent="0.3">
      <c r="J103980"/>
    </row>
    <row r="103981" spans="10:10" x14ac:dyDescent="0.3">
      <c r="J103981"/>
    </row>
    <row r="103982" spans="10:10" x14ac:dyDescent="0.3">
      <c r="J103982"/>
    </row>
    <row r="103983" spans="10:10" x14ac:dyDescent="0.3">
      <c r="J103983"/>
    </row>
    <row r="103984" spans="10:10" x14ac:dyDescent="0.3">
      <c r="J103984"/>
    </row>
    <row r="103985" spans="10:10" x14ac:dyDescent="0.3">
      <c r="J103985"/>
    </row>
    <row r="103986" spans="10:10" x14ac:dyDescent="0.3">
      <c r="J103986"/>
    </row>
    <row r="103987" spans="10:10" x14ac:dyDescent="0.3">
      <c r="J103987"/>
    </row>
    <row r="103988" spans="10:10" x14ac:dyDescent="0.3">
      <c r="J103988"/>
    </row>
    <row r="103989" spans="10:10" x14ac:dyDescent="0.3">
      <c r="J103989"/>
    </row>
    <row r="103990" spans="10:10" x14ac:dyDescent="0.3">
      <c r="J103990"/>
    </row>
    <row r="103991" spans="10:10" x14ac:dyDescent="0.3">
      <c r="J103991"/>
    </row>
    <row r="103992" spans="10:10" x14ac:dyDescent="0.3">
      <c r="J103992"/>
    </row>
    <row r="103993" spans="10:10" x14ac:dyDescent="0.3">
      <c r="J103993"/>
    </row>
    <row r="103994" spans="10:10" x14ac:dyDescent="0.3">
      <c r="J103994"/>
    </row>
    <row r="103995" spans="10:10" x14ac:dyDescent="0.3">
      <c r="J103995"/>
    </row>
    <row r="103996" spans="10:10" x14ac:dyDescent="0.3">
      <c r="J103996"/>
    </row>
    <row r="103997" spans="10:10" x14ac:dyDescent="0.3">
      <c r="J103997"/>
    </row>
    <row r="103998" spans="10:10" x14ac:dyDescent="0.3">
      <c r="J103998"/>
    </row>
    <row r="103999" spans="10:10" x14ac:dyDescent="0.3">
      <c r="J103999"/>
    </row>
    <row r="104000" spans="10:10" x14ac:dyDescent="0.3">
      <c r="J104000"/>
    </row>
    <row r="104001" spans="10:10" x14ac:dyDescent="0.3">
      <c r="J104001"/>
    </row>
    <row r="104002" spans="10:10" x14ac:dyDescent="0.3">
      <c r="J104002"/>
    </row>
    <row r="104003" spans="10:10" x14ac:dyDescent="0.3">
      <c r="J104003"/>
    </row>
    <row r="104004" spans="10:10" x14ac:dyDescent="0.3">
      <c r="J104004"/>
    </row>
    <row r="104005" spans="10:10" x14ac:dyDescent="0.3">
      <c r="J104005"/>
    </row>
    <row r="104006" spans="10:10" x14ac:dyDescent="0.3">
      <c r="J104006"/>
    </row>
    <row r="104007" spans="10:10" x14ac:dyDescent="0.3">
      <c r="J104007"/>
    </row>
    <row r="104008" spans="10:10" x14ac:dyDescent="0.3">
      <c r="J104008"/>
    </row>
    <row r="104009" spans="10:10" x14ac:dyDescent="0.3">
      <c r="J104009"/>
    </row>
    <row r="104010" spans="10:10" x14ac:dyDescent="0.3">
      <c r="J104010"/>
    </row>
    <row r="104011" spans="10:10" x14ac:dyDescent="0.3">
      <c r="J104011"/>
    </row>
    <row r="104012" spans="10:10" x14ac:dyDescent="0.3">
      <c r="J104012"/>
    </row>
    <row r="104013" spans="10:10" x14ac:dyDescent="0.3">
      <c r="J104013"/>
    </row>
    <row r="104014" spans="10:10" x14ac:dyDescent="0.3">
      <c r="J104014"/>
    </row>
    <row r="104015" spans="10:10" x14ac:dyDescent="0.3">
      <c r="J104015"/>
    </row>
    <row r="104016" spans="10:10" x14ac:dyDescent="0.3">
      <c r="J104016"/>
    </row>
    <row r="104017" spans="10:10" x14ac:dyDescent="0.3">
      <c r="J104017"/>
    </row>
    <row r="104018" spans="10:10" x14ac:dyDescent="0.3">
      <c r="J104018"/>
    </row>
    <row r="104019" spans="10:10" x14ac:dyDescent="0.3">
      <c r="J104019"/>
    </row>
    <row r="104020" spans="10:10" x14ac:dyDescent="0.3">
      <c r="J104020"/>
    </row>
    <row r="104021" spans="10:10" x14ac:dyDescent="0.3">
      <c r="J104021"/>
    </row>
    <row r="104022" spans="10:10" x14ac:dyDescent="0.3">
      <c r="J104022"/>
    </row>
    <row r="104023" spans="10:10" x14ac:dyDescent="0.3">
      <c r="J104023"/>
    </row>
    <row r="104024" spans="10:10" x14ac:dyDescent="0.3">
      <c r="J104024"/>
    </row>
    <row r="104025" spans="10:10" x14ac:dyDescent="0.3">
      <c r="J104025"/>
    </row>
    <row r="104026" spans="10:10" x14ac:dyDescent="0.3">
      <c r="J104026"/>
    </row>
    <row r="104027" spans="10:10" x14ac:dyDescent="0.3">
      <c r="J104027"/>
    </row>
    <row r="104028" spans="10:10" x14ac:dyDescent="0.3">
      <c r="J104028"/>
    </row>
    <row r="104029" spans="10:10" x14ac:dyDescent="0.3">
      <c r="J104029"/>
    </row>
    <row r="104030" spans="10:10" x14ac:dyDescent="0.3">
      <c r="J104030"/>
    </row>
    <row r="104031" spans="10:10" x14ac:dyDescent="0.3">
      <c r="J104031"/>
    </row>
    <row r="104032" spans="10:10" x14ac:dyDescent="0.3">
      <c r="J104032"/>
    </row>
    <row r="104033" spans="10:10" x14ac:dyDescent="0.3">
      <c r="J104033"/>
    </row>
    <row r="104034" spans="10:10" x14ac:dyDescent="0.3">
      <c r="J104034"/>
    </row>
    <row r="104035" spans="10:10" x14ac:dyDescent="0.3">
      <c r="J104035"/>
    </row>
    <row r="104036" spans="10:10" x14ac:dyDescent="0.3">
      <c r="J104036"/>
    </row>
    <row r="104037" spans="10:10" x14ac:dyDescent="0.3">
      <c r="J104037"/>
    </row>
    <row r="104038" spans="10:10" x14ac:dyDescent="0.3">
      <c r="J104038"/>
    </row>
    <row r="104039" spans="10:10" x14ac:dyDescent="0.3">
      <c r="J104039"/>
    </row>
    <row r="104040" spans="10:10" x14ac:dyDescent="0.3">
      <c r="J104040"/>
    </row>
    <row r="104041" spans="10:10" x14ac:dyDescent="0.3">
      <c r="J104041"/>
    </row>
    <row r="104042" spans="10:10" x14ac:dyDescent="0.3">
      <c r="J104042"/>
    </row>
    <row r="104043" spans="10:10" x14ac:dyDescent="0.3">
      <c r="J104043"/>
    </row>
    <row r="104044" spans="10:10" x14ac:dyDescent="0.3">
      <c r="J104044"/>
    </row>
    <row r="104045" spans="10:10" x14ac:dyDescent="0.3">
      <c r="J104045"/>
    </row>
    <row r="104046" spans="10:10" x14ac:dyDescent="0.3">
      <c r="J104046"/>
    </row>
    <row r="104047" spans="10:10" x14ac:dyDescent="0.3">
      <c r="J104047"/>
    </row>
    <row r="104048" spans="10:10" x14ac:dyDescent="0.3">
      <c r="J104048"/>
    </row>
    <row r="104049" spans="10:10" x14ac:dyDescent="0.3">
      <c r="J104049"/>
    </row>
    <row r="104050" spans="10:10" x14ac:dyDescent="0.3">
      <c r="J104050"/>
    </row>
    <row r="104051" spans="10:10" x14ac:dyDescent="0.3">
      <c r="J104051"/>
    </row>
    <row r="104052" spans="10:10" x14ac:dyDescent="0.3">
      <c r="J104052"/>
    </row>
    <row r="104053" spans="10:10" x14ac:dyDescent="0.3">
      <c r="J104053"/>
    </row>
    <row r="104054" spans="10:10" x14ac:dyDescent="0.3">
      <c r="J104054"/>
    </row>
    <row r="104055" spans="10:10" x14ac:dyDescent="0.3">
      <c r="J104055"/>
    </row>
    <row r="104056" spans="10:10" x14ac:dyDescent="0.3">
      <c r="J104056"/>
    </row>
    <row r="104057" spans="10:10" x14ac:dyDescent="0.3">
      <c r="J104057"/>
    </row>
    <row r="104058" spans="10:10" x14ac:dyDescent="0.3">
      <c r="J104058"/>
    </row>
    <row r="104059" spans="10:10" x14ac:dyDescent="0.3">
      <c r="J104059"/>
    </row>
    <row r="104060" spans="10:10" x14ac:dyDescent="0.3">
      <c r="J104060"/>
    </row>
    <row r="104061" spans="10:10" x14ac:dyDescent="0.3">
      <c r="J104061"/>
    </row>
    <row r="104062" spans="10:10" x14ac:dyDescent="0.3">
      <c r="J104062"/>
    </row>
    <row r="104063" spans="10:10" x14ac:dyDescent="0.3">
      <c r="J104063"/>
    </row>
    <row r="104064" spans="10:10" x14ac:dyDescent="0.3">
      <c r="J104064"/>
    </row>
    <row r="104065" spans="10:10" x14ac:dyDescent="0.3">
      <c r="J104065"/>
    </row>
    <row r="104066" spans="10:10" x14ac:dyDescent="0.3">
      <c r="J104066"/>
    </row>
    <row r="104067" spans="10:10" x14ac:dyDescent="0.3">
      <c r="J104067"/>
    </row>
    <row r="104068" spans="10:10" x14ac:dyDescent="0.3">
      <c r="J104068"/>
    </row>
    <row r="104069" spans="10:10" x14ac:dyDescent="0.3">
      <c r="J104069"/>
    </row>
    <row r="104070" spans="10:10" x14ac:dyDescent="0.3">
      <c r="J104070"/>
    </row>
    <row r="104071" spans="10:10" x14ac:dyDescent="0.3">
      <c r="J104071"/>
    </row>
    <row r="104072" spans="10:10" x14ac:dyDescent="0.3">
      <c r="J104072"/>
    </row>
    <row r="104073" spans="10:10" x14ac:dyDescent="0.3">
      <c r="J104073"/>
    </row>
    <row r="104074" spans="10:10" x14ac:dyDescent="0.3">
      <c r="J104074"/>
    </row>
    <row r="104075" spans="10:10" x14ac:dyDescent="0.3">
      <c r="J104075"/>
    </row>
    <row r="104076" spans="10:10" x14ac:dyDescent="0.3">
      <c r="J104076"/>
    </row>
    <row r="104077" spans="10:10" x14ac:dyDescent="0.3">
      <c r="J104077"/>
    </row>
    <row r="104078" spans="10:10" x14ac:dyDescent="0.3">
      <c r="J104078"/>
    </row>
    <row r="104079" spans="10:10" x14ac:dyDescent="0.3">
      <c r="J104079"/>
    </row>
    <row r="104080" spans="10:10" x14ac:dyDescent="0.3">
      <c r="J104080"/>
    </row>
    <row r="104081" spans="10:10" x14ac:dyDescent="0.3">
      <c r="J104081"/>
    </row>
    <row r="104082" spans="10:10" x14ac:dyDescent="0.3">
      <c r="J104082"/>
    </row>
    <row r="104083" spans="10:10" x14ac:dyDescent="0.3">
      <c r="J104083"/>
    </row>
    <row r="104084" spans="10:10" x14ac:dyDescent="0.3">
      <c r="J104084"/>
    </row>
    <row r="104085" spans="10:10" x14ac:dyDescent="0.3">
      <c r="J104085"/>
    </row>
    <row r="104086" spans="10:10" x14ac:dyDescent="0.3">
      <c r="J104086"/>
    </row>
    <row r="104087" spans="10:10" x14ac:dyDescent="0.3">
      <c r="J104087"/>
    </row>
    <row r="104088" spans="10:10" x14ac:dyDescent="0.3">
      <c r="J104088"/>
    </row>
    <row r="104089" spans="10:10" x14ac:dyDescent="0.3">
      <c r="J104089"/>
    </row>
    <row r="104090" spans="10:10" x14ac:dyDescent="0.3">
      <c r="J104090"/>
    </row>
    <row r="104091" spans="10:10" x14ac:dyDescent="0.3">
      <c r="J104091"/>
    </row>
    <row r="104092" spans="10:10" x14ac:dyDescent="0.3">
      <c r="J104092"/>
    </row>
    <row r="104093" spans="10:10" x14ac:dyDescent="0.3">
      <c r="J104093"/>
    </row>
    <row r="104094" spans="10:10" x14ac:dyDescent="0.3">
      <c r="J104094"/>
    </row>
    <row r="104095" spans="10:10" x14ac:dyDescent="0.3">
      <c r="J104095"/>
    </row>
    <row r="104096" spans="10:10" x14ac:dyDescent="0.3">
      <c r="J104096"/>
    </row>
    <row r="104097" spans="10:10" x14ac:dyDescent="0.3">
      <c r="J104097"/>
    </row>
    <row r="104098" spans="10:10" x14ac:dyDescent="0.3">
      <c r="J104098"/>
    </row>
    <row r="104099" spans="10:10" x14ac:dyDescent="0.3">
      <c r="J104099"/>
    </row>
    <row r="104100" spans="10:10" x14ac:dyDescent="0.3">
      <c r="J104100"/>
    </row>
    <row r="104101" spans="10:10" x14ac:dyDescent="0.3">
      <c r="J104101"/>
    </row>
    <row r="104102" spans="10:10" x14ac:dyDescent="0.3">
      <c r="J104102"/>
    </row>
    <row r="104103" spans="10:10" x14ac:dyDescent="0.3">
      <c r="J104103"/>
    </row>
    <row r="104104" spans="10:10" x14ac:dyDescent="0.3">
      <c r="J104104"/>
    </row>
    <row r="104105" spans="10:10" x14ac:dyDescent="0.3">
      <c r="J104105"/>
    </row>
    <row r="104106" spans="10:10" x14ac:dyDescent="0.3">
      <c r="J104106"/>
    </row>
    <row r="104107" spans="10:10" x14ac:dyDescent="0.3">
      <c r="J104107"/>
    </row>
    <row r="104108" spans="10:10" x14ac:dyDescent="0.3">
      <c r="J104108"/>
    </row>
    <row r="104109" spans="10:10" x14ac:dyDescent="0.3">
      <c r="J104109"/>
    </row>
    <row r="104110" spans="10:10" x14ac:dyDescent="0.3">
      <c r="J104110"/>
    </row>
    <row r="104111" spans="10:10" x14ac:dyDescent="0.3">
      <c r="J104111"/>
    </row>
    <row r="104112" spans="10:10" x14ac:dyDescent="0.3">
      <c r="J104112"/>
    </row>
    <row r="104113" spans="10:10" x14ac:dyDescent="0.3">
      <c r="J104113"/>
    </row>
    <row r="104114" spans="10:10" x14ac:dyDescent="0.3">
      <c r="J104114"/>
    </row>
    <row r="104115" spans="10:10" x14ac:dyDescent="0.3">
      <c r="J104115"/>
    </row>
    <row r="104116" spans="10:10" x14ac:dyDescent="0.3">
      <c r="J104116"/>
    </row>
    <row r="104117" spans="10:10" x14ac:dyDescent="0.3">
      <c r="J104117"/>
    </row>
    <row r="104118" spans="10:10" x14ac:dyDescent="0.3">
      <c r="J104118"/>
    </row>
    <row r="104119" spans="10:10" x14ac:dyDescent="0.3">
      <c r="J104119"/>
    </row>
    <row r="104120" spans="10:10" x14ac:dyDescent="0.3">
      <c r="J104120"/>
    </row>
    <row r="104121" spans="10:10" x14ac:dyDescent="0.3">
      <c r="J104121"/>
    </row>
    <row r="104122" spans="10:10" x14ac:dyDescent="0.3">
      <c r="J104122"/>
    </row>
    <row r="104123" spans="10:10" x14ac:dyDescent="0.3">
      <c r="J104123"/>
    </row>
    <row r="104124" spans="10:10" x14ac:dyDescent="0.3">
      <c r="J104124"/>
    </row>
    <row r="104125" spans="10:10" x14ac:dyDescent="0.3">
      <c r="J104125"/>
    </row>
    <row r="104126" spans="10:10" x14ac:dyDescent="0.3">
      <c r="J104126"/>
    </row>
    <row r="104127" spans="10:10" x14ac:dyDescent="0.3">
      <c r="J104127"/>
    </row>
    <row r="104128" spans="10:10" x14ac:dyDescent="0.3">
      <c r="J104128"/>
    </row>
    <row r="104129" spans="10:10" x14ac:dyDescent="0.3">
      <c r="J104129"/>
    </row>
    <row r="104130" spans="10:10" x14ac:dyDescent="0.3">
      <c r="J104130"/>
    </row>
    <row r="104131" spans="10:10" x14ac:dyDescent="0.3">
      <c r="J104131"/>
    </row>
    <row r="104132" spans="10:10" x14ac:dyDescent="0.3">
      <c r="J104132"/>
    </row>
    <row r="104133" spans="10:10" x14ac:dyDescent="0.3">
      <c r="J104133"/>
    </row>
    <row r="104134" spans="10:10" x14ac:dyDescent="0.3">
      <c r="J104134"/>
    </row>
    <row r="104135" spans="10:10" x14ac:dyDescent="0.3">
      <c r="J104135"/>
    </row>
    <row r="104136" spans="10:10" x14ac:dyDescent="0.3">
      <c r="J104136"/>
    </row>
    <row r="104137" spans="10:10" x14ac:dyDescent="0.3">
      <c r="J104137"/>
    </row>
    <row r="104138" spans="10:10" x14ac:dyDescent="0.3">
      <c r="J104138"/>
    </row>
    <row r="104139" spans="10:10" x14ac:dyDescent="0.3">
      <c r="J104139"/>
    </row>
    <row r="104140" spans="10:10" x14ac:dyDescent="0.3">
      <c r="J104140"/>
    </row>
    <row r="104141" spans="10:10" x14ac:dyDescent="0.3">
      <c r="J104141"/>
    </row>
    <row r="104142" spans="10:10" x14ac:dyDescent="0.3">
      <c r="J104142"/>
    </row>
    <row r="104143" spans="10:10" x14ac:dyDescent="0.3">
      <c r="J104143"/>
    </row>
    <row r="104144" spans="10:10" x14ac:dyDescent="0.3">
      <c r="J104144"/>
    </row>
    <row r="104145" spans="10:10" x14ac:dyDescent="0.3">
      <c r="J104145"/>
    </row>
    <row r="104146" spans="10:10" x14ac:dyDescent="0.3">
      <c r="J104146"/>
    </row>
    <row r="104147" spans="10:10" x14ac:dyDescent="0.3">
      <c r="J104147"/>
    </row>
    <row r="104148" spans="10:10" x14ac:dyDescent="0.3">
      <c r="J104148"/>
    </row>
    <row r="104149" spans="10:10" x14ac:dyDescent="0.3">
      <c r="J104149"/>
    </row>
    <row r="104150" spans="10:10" x14ac:dyDescent="0.3">
      <c r="J104150"/>
    </row>
    <row r="104151" spans="10:10" x14ac:dyDescent="0.3">
      <c r="J104151"/>
    </row>
    <row r="104152" spans="10:10" x14ac:dyDescent="0.3">
      <c r="J104152"/>
    </row>
    <row r="104153" spans="10:10" x14ac:dyDescent="0.3">
      <c r="J104153"/>
    </row>
    <row r="104154" spans="10:10" x14ac:dyDescent="0.3">
      <c r="J104154"/>
    </row>
    <row r="104155" spans="10:10" x14ac:dyDescent="0.3">
      <c r="J104155"/>
    </row>
    <row r="104156" spans="10:10" x14ac:dyDescent="0.3">
      <c r="J104156"/>
    </row>
    <row r="104157" spans="10:10" x14ac:dyDescent="0.3">
      <c r="J104157"/>
    </row>
    <row r="104158" spans="10:10" x14ac:dyDescent="0.3">
      <c r="J104158"/>
    </row>
    <row r="104159" spans="10:10" x14ac:dyDescent="0.3">
      <c r="J104159"/>
    </row>
    <row r="104160" spans="10:10" x14ac:dyDescent="0.3">
      <c r="J104160"/>
    </row>
    <row r="104161" spans="10:10" x14ac:dyDescent="0.3">
      <c r="J104161"/>
    </row>
    <row r="104162" spans="10:10" x14ac:dyDescent="0.3">
      <c r="J104162"/>
    </row>
    <row r="104163" spans="10:10" x14ac:dyDescent="0.3">
      <c r="J104163"/>
    </row>
    <row r="104164" spans="10:10" x14ac:dyDescent="0.3">
      <c r="J104164"/>
    </row>
    <row r="104165" spans="10:10" x14ac:dyDescent="0.3">
      <c r="J104165"/>
    </row>
    <row r="104166" spans="10:10" x14ac:dyDescent="0.3">
      <c r="J104166"/>
    </row>
    <row r="104167" spans="10:10" x14ac:dyDescent="0.3">
      <c r="J104167"/>
    </row>
    <row r="104168" spans="10:10" x14ac:dyDescent="0.3">
      <c r="J104168"/>
    </row>
    <row r="104169" spans="10:10" x14ac:dyDescent="0.3">
      <c r="J104169"/>
    </row>
    <row r="104170" spans="10:10" x14ac:dyDescent="0.3">
      <c r="J104170"/>
    </row>
    <row r="104171" spans="10:10" x14ac:dyDescent="0.3">
      <c r="J104171"/>
    </row>
    <row r="104172" spans="10:10" x14ac:dyDescent="0.3">
      <c r="J104172"/>
    </row>
    <row r="104173" spans="10:10" x14ac:dyDescent="0.3">
      <c r="J104173"/>
    </row>
    <row r="104174" spans="10:10" x14ac:dyDescent="0.3">
      <c r="J104174"/>
    </row>
    <row r="104175" spans="10:10" x14ac:dyDescent="0.3">
      <c r="J104175"/>
    </row>
    <row r="104176" spans="10:10" x14ac:dyDescent="0.3">
      <c r="J104176"/>
    </row>
    <row r="104177" spans="10:10" x14ac:dyDescent="0.3">
      <c r="J104177"/>
    </row>
    <row r="104178" spans="10:10" x14ac:dyDescent="0.3">
      <c r="J104178"/>
    </row>
    <row r="104179" spans="10:10" x14ac:dyDescent="0.3">
      <c r="J104179"/>
    </row>
    <row r="104180" spans="10:10" x14ac:dyDescent="0.3">
      <c r="J104180"/>
    </row>
    <row r="104181" spans="10:10" x14ac:dyDescent="0.3">
      <c r="J104181"/>
    </row>
    <row r="104182" spans="10:10" x14ac:dyDescent="0.3">
      <c r="J104182"/>
    </row>
    <row r="104183" spans="10:10" x14ac:dyDescent="0.3">
      <c r="J104183"/>
    </row>
    <row r="104184" spans="10:10" x14ac:dyDescent="0.3">
      <c r="J104184"/>
    </row>
    <row r="104185" spans="10:10" x14ac:dyDescent="0.3">
      <c r="J104185"/>
    </row>
    <row r="104186" spans="10:10" x14ac:dyDescent="0.3">
      <c r="J104186"/>
    </row>
    <row r="104187" spans="10:10" x14ac:dyDescent="0.3">
      <c r="J104187"/>
    </row>
    <row r="104188" spans="10:10" x14ac:dyDescent="0.3">
      <c r="J104188"/>
    </row>
    <row r="104189" spans="10:10" x14ac:dyDescent="0.3">
      <c r="J104189"/>
    </row>
    <row r="104190" spans="10:10" x14ac:dyDescent="0.3">
      <c r="J104190"/>
    </row>
    <row r="104191" spans="10:10" x14ac:dyDescent="0.3">
      <c r="J104191"/>
    </row>
    <row r="104192" spans="10:10" x14ac:dyDescent="0.3">
      <c r="J104192"/>
    </row>
    <row r="104193" spans="10:10" x14ac:dyDescent="0.3">
      <c r="J104193"/>
    </row>
    <row r="104194" spans="10:10" x14ac:dyDescent="0.3">
      <c r="J104194"/>
    </row>
    <row r="104195" spans="10:10" x14ac:dyDescent="0.3">
      <c r="J104195"/>
    </row>
    <row r="104196" spans="10:10" x14ac:dyDescent="0.3">
      <c r="J104196"/>
    </row>
    <row r="104197" spans="10:10" x14ac:dyDescent="0.3">
      <c r="J104197"/>
    </row>
    <row r="104198" spans="10:10" x14ac:dyDescent="0.3">
      <c r="J104198"/>
    </row>
    <row r="104199" spans="10:10" x14ac:dyDescent="0.3">
      <c r="J104199"/>
    </row>
    <row r="104200" spans="10:10" x14ac:dyDescent="0.3">
      <c r="J104200"/>
    </row>
    <row r="104201" spans="10:10" x14ac:dyDescent="0.3">
      <c r="J104201"/>
    </row>
    <row r="104202" spans="10:10" x14ac:dyDescent="0.3">
      <c r="J104202"/>
    </row>
    <row r="104203" spans="10:10" x14ac:dyDescent="0.3">
      <c r="J104203"/>
    </row>
    <row r="104204" spans="10:10" x14ac:dyDescent="0.3">
      <c r="J104204"/>
    </row>
    <row r="104205" spans="10:10" x14ac:dyDescent="0.3">
      <c r="J104205"/>
    </row>
    <row r="104206" spans="10:10" x14ac:dyDescent="0.3">
      <c r="J104206"/>
    </row>
    <row r="104207" spans="10:10" x14ac:dyDescent="0.3">
      <c r="J104207"/>
    </row>
    <row r="104208" spans="10:10" x14ac:dyDescent="0.3">
      <c r="J104208"/>
    </row>
    <row r="104209" spans="10:10" x14ac:dyDescent="0.3">
      <c r="J104209"/>
    </row>
    <row r="104210" spans="10:10" x14ac:dyDescent="0.3">
      <c r="J104210"/>
    </row>
    <row r="104211" spans="10:10" x14ac:dyDescent="0.3">
      <c r="J104211"/>
    </row>
    <row r="104212" spans="10:10" x14ac:dyDescent="0.3">
      <c r="J104212"/>
    </row>
    <row r="104213" spans="10:10" x14ac:dyDescent="0.3">
      <c r="J104213"/>
    </row>
    <row r="104214" spans="10:10" x14ac:dyDescent="0.3">
      <c r="J104214"/>
    </row>
    <row r="104215" spans="10:10" x14ac:dyDescent="0.3">
      <c r="J104215"/>
    </row>
    <row r="104216" spans="10:10" x14ac:dyDescent="0.3">
      <c r="J104216"/>
    </row>
    <row r="104217" spans="10:10" x14ac:dyDescent="0.3">
      <c r="J104217"/>
    </row>
    <row r="104218" spans="10:10" x14ac:dyDescent="0.3">
      <c r="J104218"/>
    </row>
    <row r="104219" spans="10:10" x14ac:dyDescent="0.3">
      <c r="J104219"/>
    </row>
    <row r="104220" spans="10:10" x14ac:dyDescent="0.3">
      <c r="J104220"/>
    </row>
    <row r="104221" spans="10:10" x14ac:dyDescent="0.3">
      <c r="J104221"/>
    </row>
    <row r="104222" spans="10:10" x14ac:dyDescent="0.3">
      <c r="J104222"/>
    </row>
    <row r="104223" spans="10:10" x14ac:dyDescent="0.3">
      <c r="J104223"/>
    </row>
    <row r="104224" spans="10:10" x14ac:dyDescent="0.3">
      <c r="J104224"/>
    </row>
    <row r="104225" spans="10:10" x14ac:dyDescent="0.3">
      <c r="J104225"/>
    </row>
    <row r="104226" spans="10:10" x14ac:dyDescent="0.3">
      <c r="J104226"/>
    </row>
    <row r="104227" spans="10:10" x14ac:dyDescent="0.3">
      <c r="J104227"/>
    </row>
    <row r="104228" spans="10:10" x14ac:dyDescent="0.3">
      <c r="J104228"/>
    </row>
    <row r="104229" spans="10:10" x14ac:dyDescent="0.3">
      <c r="J104229"/>
    </row>
    <row r="104230" spans="10:10" x14ac:dyDescent="0.3">
      <c r="J104230"/>
    </row>
    <row r="104231" spans="10:10" x14ac:dyDescent="0.3">
      <c r="J104231"/>
    </row>
    <row r="104232" spans="10:10" x14ac:dyDescent="0.3">
      <c r="J104232"/>
    </row>
    <row r="104233" spans="10:10" x14ac:dyDescent="0.3">
      <c r="J104233"/>
    </row>
    <row r="104234" spans="10:10" x14ac:dyDescent="0.3">
      <c r="J104234"/>
    </row>
    <row r="104235" spans="10:10" x14ac:dyDescent="0.3">
      <c r="J104235"/>
    </row>
    <row r="104236" spans="10:10" x14ac:dyDescent="0.3">
      <c r="J104236"/>
    </row>
    <row r="104237" spans="10:10" x14ac:dyDescent="0.3">
      <c r="J104237"/>
    </row>
    <row r="104238" spans="10:10" x14ac:dyDescent="0.3">
      <c r="J104238"/>
    </row>
    <row r="104239" spans="10:10" x14ac:dyDescent="0.3">
      <c r="J104239"/>
    </row>
    <row r="104240" spans="10:10" x14ac:dyDescent="0.3">
      <c r="J104240"/>
    </row>
    <row r="104241" spans="10:10" x14ac:dyDescent="0.3">
      <c r="J104241"/>
    </row>
    <row r="104242" spans="10:10" x14ac:dyDescent="0.3">
      <c r="J104242"/>
    </row>
    <row r="104243" spans="10:10" x14ac:dyDescent="0.3">
      <c r="J104243"/>
    </row>
    <row r="104244" spans="10:10" x14ac:dyDescent="0.3">
      <c r="J104244"/>
    </row>
    <row r="104245" spans="10:10" x14ac:dyDescent="0.3">
      <c r="J104245"/>
    </row>
    <row r="104246" spans="10:10" x14ac:dyDescent="0.3">
      <c r="J104246"/>
    </row>
    <row r="104247" spans="10:10" x14ac:dyDescent="0.3">
      <c r="J104247"/>
    </row>
    <row r="104248" spans="10:10" x14ac:dyDescent="0.3">
      <c r="J104248"/>
    </row>
    <row r="104249" spans="10:10" x14ac:dyDescent="0.3">
      <c r="J104249"/>
    </row>
    <row r="104250" spans="10:10" x14ac:dyDescent="0.3">
      <c r="J104250"/>
    </row>
    <row r="104251" spans="10:10" x14ac:dyDescent="0.3">
      <c r="J104251"/>
    </row>
    <row r="104252" spans="10:10" x14ac:dyDescent="0.3">
      <c r="J104252"/>
    </row>
    <row r="104253" spans="10:10" x14ac:dyDescent="0.3">
      <c r="J104253"/>
    </row>
    <row r="104254" spans="10:10" x14ac:dyDescent="0.3">
      <c r="J104254"/>
    </row>
    <row r="104255" spans="10:10" x14ac:dyDescent="0.3">
      <c r="J104255"/>
    </row>
    <row r="104256" spans="10:10" x14ac:dyDescent="0.3">
      <c r="J104256"/>
    </row>
    <row r="104257" spans="10:10" x14ac:dyDescent="0.3">
      <c r="J104257"/>
    </row>
    <row r="104258" spans="10:10" x14ac:dyDescent="0.3">
      <c r="J104258"/>
    </row>
    <row r="104259" spans="10:10" x14ac:dyDescent="0.3">
      <c r="J104259"/>
    </row>
    <row r="104260" spans="10:10" x14ac:dyDescent="0.3">
      <c r="J104260"/>
    </row>
    <row r="104261" spans="10:10" x14ac:dyDescent="0.3">
      <c r="J104261"/>
    </row>
    <row r="104262" spans="10:10" x14ac:dyDescent="0.3">
      <c r="J104262"/>
    </row>
    <row r="104263" spans="10:10" x14ac:dyDescent="0.3">
      <c r="J104263"/>
    </row>
    <row r="104264" spans="10:10" x14ac:dyDescent="0.3">
      <c r="J104264"/>
    </row>
    <row r="104265" spans="10:10" x14ac:dyDescent="0.3">
      <c r="J104265"/>
    </row>
    <row r="104266" spans="10:10" x14ac:dyDescent="0.3">
      <c r="J104266"/>
    </row>
    <row r="104267" spans="10:10" x14ac:dyDescent="0.3">
      <c r="J104267"/>
    </row>
    <row r="104268" spans="10:10" x14ac:dyDescent="0.3">
      <c r="J104268"/>
    </row>
    <row r="104269" spans="10:10" x14ac:dyDescent="0.3">
      <c r="J104269"/>
    </row>
    <row r="104270" spans="10:10" x14ac:dyDescent="0.3">
      <c r="J104270"/>
    </row>
    <row r="104271" spans="10:10" x14ac:dyDescent="0.3">
      <c r="J104271"/>
    </row>
    <row r="104272" spans="10:10" x14ac:dyDescent="0.3">
      <c r="J104272"/>
    </row>
    <row r="104273" spans="10:10" x14ac:dyDescent="0.3">
      <c r="J104273"/>
    </row>
    <row r="104274" spans="10:10" x14ac:dyDescent="0.3">
      <c r="J104274"/>
    </row>
    <row r="104275" spans="10:10" x14ac:dyDescent="0.3">
      <c r="J104275"/>
    </row>
    <row r="104276" spans="10:10" x14ac:dyDescent="0.3">
      <c r="J104276"/>
    </row>
    <row r="104277" spans="10:10" x14ac:dyDescent="0.3">
      <c r="J104277"/>
    </row>
    <row r="104278" spans="10:10" x14ac:dyDescent="0.3">
      <c r="J104278"/>
    </row>
    <row r="104279" spans="10:10" x14ac:dyDescent="0.3">
      <c r="J104279"/>
    </row>
    <row r="104280" spans="10:10" x14ac:dyDescent="0.3">
      <c r="J104280"/>
    </row>
    <row r="104281" spans="10:10" x14ac:dyDescent="0.3">
      <c r="J104281"/>
    </row>
    <row r="104282" spans="10:10" x14ac:dyDescent="0.3">
      <c r="J104282"/>
    </row>
    <row r="104283" spans="10:10" x14ac:dyDescent="0.3">
      <c r="J104283"/>
    </row>
    <row r="104284" spans="10:10" x14ac:dyDescent="0.3">
      <c r="J104284"/>
    </row>
    <row r="104285" spans="10:10" x14ac:dyDescent="0.3">
      <c r="J104285"/>
    </row>
    <row r="104286" spans="10:10" x14ac:dyDescent="0.3">
      <c r="J104286"/>
    </row>
    <row r="104287" spans="10:10" x14ac:dyDescent="0.3">
      <c r="J104287"/>
    </row>
    <row r="104288" spans="10:10" x14ac:dyDescent="0.3">
      <c r="J104288"/>
    </row>
    <row r="104289" spans="10:10" x14ac:dyDescent="0.3">
      <c r="J104289"/>
    </row>
    <row r="104290" spans="10:10" x14ac:dyDescent="0.3">
      <c r="J104290"/>
    </row>
    <row r="104291" spans="10:10" x14ac:dyDescent="0.3">
      <c r="J104291"/>
    </row>
    <row r="104292" spans="10:10" x14ac:dyDescent="0.3">
      <c r="J104292"/>
    </row>
    <row r="104293" spans="10:10" x14ac:dyDescent="0.3">
      <c r="J104293"/>
    </row>
    <row r="104294" spans="10:10" x14ac:dyDescent="0.3">
      <c r="J104294"/>
    </row>
    <row r="104295" spans="10:10" x14ac:dyDescent="0.3">
      <c r="J104295"/>
    </row>
    <row r="104296" spans="10:10" x14ac:dyDescent="0.3">
      <c r="J104296"/>
    </row>
    <row r="104297" spans="10:10" x14ac:dyDescent="0.3">
      <c r="J104297"/>
    </row>
    <row r="104298" spans="10:10" x14ac:dyDescent="0.3">
      <c r="J104298"/>
    </row>
    <row r="104299" spans="10:10" x14ac:dyDescent="0.3">
      <c r="J104299"/>
    </row>
    <row r="104300" spans="10:10" x14ac:dyDescent="0.3">
      <c r="J104300"/>
    </row>
    <row r="104301" spans="10:10" x14ac:dyDescent="0.3">
      <c r="J104301"/>
    </row>
    <row r="104302" spans="10:10" x14ac:dyDescent="0.3">
      <c r="J104302"/>
    </row>
    <row r="104303" spans="10:10" x14ac:dyDescent="0.3">
      <c r="J104303"/>
    </row>
    <row r="104304" spans="10:10" x14ac:dyDescent="0.3">
      <c r="J104304"/>
    </row>
    <row r="104305" spans="10:10" x14ac:dyDescent="0.3">
      <c r="J104305"/>
    </row>
    <row r="104306" spans="10:10" x14ac:dyDescent="0.3">
      <c r="J104306"/>
    </row>
    <row r="104307" spans="10:10" x14ac:dyDescent="0.3">
      <c r="J104307"/>
    </row>
    <row r="104308" spans="10:10" x14ac:dyDescent="0.3">
      <c r="J104308"/>
    </row>
    <row r="104309" spans="10:10" x14ac:dyDescent="0.3">
      <c r="J104309"/>
    </row>
    <row r="104310" spans="10:10" x14ac:dyDescent="0.3">
      <c r="J104310"/>
    </row>
    <row r="104311" spans="10:10" x14ac:dyDescent="0.3">
      <c r="J104311"/>
    </row>
    <row r="104312" spans="10:10" x14ac:dyDescent="0.3">
      <c r="J104312"/>
    </row>
    <row r="104313" spans="10:10" x14ac:dyDescent="0.3">
      <c r="J104313"/>
    </row>
    <row r="104314" spans="10:10" x14ac:dyDescent="0.3">
      <c r="J104314"/>
    </row>
    <row r="104315" spans="10:10" x14ac:dyDescent="0.3">
      <c r="J104315"/>
    </row>
    <row r="104316" spans="10:10" x14ac:dyDescent="0.3">
      <c r="J104316"/>
    </row>
    <row r="104317" spans="10:10" x14ac:dyDescent="0.3">
      <c r="J104317"/>
    </row>
    <row r="104318" spans="10:10" x14ac:dyDescent="0.3">
      <c r="J104318"/>
    </row>
    <row r="104319" spans="10:10" x14ac:dyDescent="0.3">
      <c r="J104319"/>
    </row>
    <row r="104320" spans="10:10" x14ac:dyDescent="0.3">
      <c r="J104320"/>
    </row>
    <row r="104321" spans="10:10" x14ac:dyDescent="0.3">
      <c r="J104321"/>
    </row>
    <row r="104322" spans="10:10" x14ac:dyDescent="0.3">
      <c r="J104322"/>
    </row>
    <row r="104323" spans="10:10" x14ac:dyDescent="0.3">
      <c r="J104323"/>
    </row>
    <row r="104324" spans="10:10" x14ac:dyDescent="0.3">
      <c r="J104324"/>
    </row>
    <row r="104325" spans="10:10" x14ac:dyDescent="0.3">
      <c r="J104325"/>
    </row>
    <row r="104326" spans="10:10" x14ac:dyDescent="0.3">
      <c r="J104326"/>
    </row>
    <row r="104327" spans="10:10" x14ac:dyDescent="0.3">
      <c r="J104327"/>
    </row>
    <row r="104328" spans="10:10" x14ac:dyDescent="0.3">
      <c r="J104328"/>
    </row>
    <row r="104329" spans="10:10" x14ac:dyDescent="0.3">
      <c r="J104329"/>
    </row>
    <row r="104330" spans="10:10" x14ac:dyDescent="0.3">
      <c r="J104330"/>
    </row>
    <row r="104331" spans="10:10" x14ac:dyDescent="0.3">
      <c r="J104331"/>
    </row>
    <row r="104332" spans="10:10" x14ac:dyDescent="0.3">
      <c r="J104332"/>
    </row>
    <row r="104333" spans="10:10" x14ac:dyDescent="0.3">
      <c r="J104333"/>
    </row>
    <row r="104334" spans="10:10" x14ac:dyDescent="0.3">
      <c r="J104334"/>
    </row>
    <row r="104335" spans="10:10" x14ac:dyDescent="0.3">
      <c r="J104335"/>
    </row>
    <row r="104336" spans="10:10" x14ac:dyDescent="0.3">
      <c r="J104336"/>
    </row>
    <row r="104337" spans="10:10" x14ac:dyDescent="0.3">
      <c r="J104337"/>
    </row>
    <row r="104338" spans="10:10" x14ac:dyDescent="0.3">
      <c r="J104338"/>
    </row>
    <row r="104339" spans="10:10" x14ac:dyDescent="0.3">
      <c r="J104339"/>
    </row>
    <row r="104340" spans="10:10" x14ac:dyDescent="0.3">
      <c r="J104340"/>
    </row>
    <row r="104341" spans="10:10" x14ac:dyDescent="0.3">
      <c r="J104341"/>
    </row>
    <row r="104342" spans="10:10" x14ac:dyDescent="0.3">
      <c r="J104342"/>
    </row>
    <row r="104343" spans="10:10" x14ac:dyDescent="0.3">
      <c r="J104343"/>
    </row>
    <row r="104344" spans="10:10" x14ac:dyDescent="0.3">
      <c r="J104344"/>
    </row>
    <row r="104345" spans="10:10" x14ac:dyDescent="0.3">
      <c r="J104345"/>
    </row>
    <row r="104346" spans="10:10" x14ac:dyDescent="0.3">
      <c r="J104346"/>
    </row>
    <row r="104347" spans="10:10" x14ac:dyDescent="0.3">
      <c r="J104347"/>
    </row>
    <row r="104348" spans="10:10" x14ac:dyDescent="0.3">
      <c r="J104348"/>
    </row>
    <row r="104349" spans="10:10" x14ac:dyDescent="0.3">
      <c r="J104349"/>
    </row>
    <row r="104350" spans="10:10" x14ac:dyDescent="0.3">
      <c r="J104350"/>
    </row>
    <row r="104351" spans="10:10" x14ac:dyDescent="0.3">
      <c r="J104351"/>
    </row>
    <row r="104352" spans="10:10" x14ac:dyDescent="0.3">
      <c r="J104352"/>
    </row>
    <row r="104353" spans="10:10" x14ac:dyDescent="0.3">
      <c r="J104353"/>
    </row>
    <row r="104354" spans="10:10" x14ac:dyDescent="0.3">
      <c r="J104354"/>
    </row>
    <row r="104355" spans="10:10" x14ac:dyDescent="0.3">
      <c r="J104355"/>
    </row>
    <row r="104356" spans="10:10" x14ac:dyDescent="0.3">
      <c r="J104356"/>
    </row>
    <row r="104357" spans="10:10" x14ac:dyDescent="0.3">
      <c r="J104357"/>
    </row>
    <row r="104358" spans="10:10" x14ac:dyDescent="0.3">
      <c r="J104358"/>
    </row>
    <row r="104359" spans="10:10" x14ac:dyDescent="0.3">
      <c r="J104359"/>
    </row>
    <row r="104360" spans="10:10" x14ac:dyDescent="0.3">
      <c r="J104360"/>
    </row>
    <row r="104361" spans="10:10" x14ac:dyDescent="0.3">
      <c r="J104361"/>
    </row>
    <row r="104362" spans="10:10" x14ac:dyDescent="0.3">
      <c r="J104362"/>
    </row>
    <row r="104363" spans="10:10" x14ac:dyDescent="0.3">
      <c r="J104363"/>
    </row>
    <row r="104364" spans="10:10" x14ac:dyDescent="0.3">
      <c r="J104364"/>
    </row>
    <row r="104365" spans="10:10" x14ac:dyDescent="0.3">
      <c r="J104365"/>
    </row>
    <row r="104366" spans="10:10" x14ac:dyDescent="0.3">
      <c r="J104366"/>
    </row>
    <row r="104367" spans="10:10" x14ac:dyDescent="0.3">
      <c r="J104367"/>
    </row>
    <row r="104368" spans="10:10" x14ac:dyDescent="0.3">
      <c r="J104368"/>
    </row>
    <row r="104369" spans="10:10" x14ac:dyDescent="0.3">
      <c r="J104369"/>
    </row>
    <row r="104370" spans="10:10" x14ac:dyDescent="0.3">
      <c r="J104370"/>
    </row>
    <row r="104371" spans="10:10" x14ac:dyDescent="0.3">
      <c r="J104371"/>
    </row>
    <row r="104372" spans="10:10" x14ac:dyDescent="0.3">
      <c r="J104372"/>
    </row>
    <row r="104373" spans="10:10" x14ac:dyDescent="0.3">
      <c r="J104373"/>
    </row>
    <row r="104374" spans="10:10" x14ac:dyDescent="0.3">
      <c r="J104374"/>
    </row>
    <row r="104375" spans="10:10" x14ac:dyDescent="0.3">
      <c r="J104375"/>
    </row>
    <row r="104376" spans="10:10" x14ac:dyDescent="0.3">
      <c r="J104376"/>
    </row>
    <row r="104377" spans="10:10" x14ac:dyDescent="0.3">
      <c r="J104377"/>
    </row>
    <row r="104378" spans="10:10" x14ac:dyDescent="0.3">
      <c r="J104378"/>
    </row>
    <row r="104379" spans="10:10" x14ac:dyDescent="0.3">
      <c r="J104379"/>
    </row>
    <row r="104380" spans="10:10" x14ac:dyDescent="0.3">
      <c r="J104380"/>
    </row>
    <row r="104381" spans="10:10" x14ac:dyDescent="0.3">
      <c r="J104381"/>
    </row>
    <row r="104382" spans="10:10" x14ac:dyDescent="0.3">
      <c r="J104382"/>
    </row>
    <row r="104383" spans="10:10" x14ac:dyDescent="0.3">
      <c r="J104383"/>
    </row>
    <row r="104384" spans="10:10" x14ac:dyDescent="0.3">
      <c r="J104384"/>
    </row>
    <row r="104385" spans="10:10" x14ac:dyDescent="0.3">
      <c r="J104385"/>
    </row>
    <row r="104386" spans="10:10" x14ac:dyDescent="0.3">
      <c r="J104386"/>
    </row>
    <row r="104387" spans="10:10" x14ac:dyDescent="0.3">
      <c r="J104387"/>
    </row>
    <row r="104388" spans="10:10" x14ac:dyDescent="0.3">
      <c r="J104388"/>
    </row>
    <row r="104389" spans="10:10" x14ac:dyDescent="0.3">
      <c r="J104389"/>
    </row>
    <row r="104390" spans="10:10" x14ac:dyDescent="0.3">
      <c r="J104390"/>
    </row>
    <row r="104391" spans="10:10" x14ac:dyDescent="0.3">
      <c r="J104391"/>
    </row>
    <row r="104392" spans="10:10" x14ac:dyDescent="0.3">
      <c r="J104392"/>
    </row>
    <row r="104393" spans="10:10" x14ac:dyDescent="0.3">
      <c r="J104393"/>
    </row>
    <row r="104394" spans="10:10" x14ac:dyDescent="0.3">
      <c r="J104394"/>
    </row>
    <row r="104395" spans="10:10" x14ac:dyDescent="0.3">
      <c r="J104395"/>
    </row>
    <row r="104396" spans="10:10" x14ac:dyDescent="0.3">
      <c r="J104396"/>
    </row>
    <row r="104397" spans="10:10" x14ac:dyDescent="0.3">
      <c r="J104397"/>
    </row>
    <row r="104398" spans="10:10" x14ac:dyDescent="0.3">
      <c r="J104398"/>
    </row>
    <row r="104399" spans="10:10" x14ac:dyDescent="0.3">
      <c r="J104399"/>
    </row>
    <row r="104400" spans="10:10" x14ac:dyDescent="0.3">
      <c r="J104400"/>
    </row>
    <row r="104401" spans="10:10" x14ac:dyDescent="0.3">
      <c r="J104401"/>
    </row>
    <row r="104402" spans="10:10" x14ac:dyDescent="0.3">
      <c r="J104402"/>
    </row>
    <row r="104403" spans="10:10" x14ac:dyDescent="0.3">
      <c r="J104403"/>
    </row>
    <row r="104404" spans="10:10" x14ac:dyDescent="0.3">
      <c r="J104404"/>
    </row>
    <row r="104405" spans="10:10" x14ac:dyDescent="0.3">
      <c r="J104405"/>
    </row>
    <row r="104406" spans="10:10" x14ac:dyDescent="0.3">
      <c r="J104406"/>
    </row>
    <row r="104407" spans="10:10" x14ac:dyDescent="0.3">
      <c r="J104407"/>
    </row>
    <row r="104408" spans="10:10" x14ac:dyDescent="0.3">
      <c r="J104408"/>
    </row>
    <row r="104409" spans="10:10" x14ac:dyDescent="0.3">
      <c r="J104409"/>
    </row>
    <row r="104410" spans="10:10" x14ac:dyDescent="0.3">
      <c r="J104410"/>
    </row>
    <row r="104411" spans="10:10" x14ac:dyDescent="0.3">
      <c r="J104411"/>
    </row>
    <row r="104412" spans="10:10" x14ac:dyDescent="0.3">
      <c r="J104412"/>
    </row>
    <row r="104413" spans="10:10" x14ac:dyDescent="0.3">
      <c r="J104413"/>
    </row>
    <row r="104414" spans="10:10" x14ac:dyDescent="0.3">
      <c r="J104414"/>
    </row>
    <row r="104415" spans="10:10" x14ac:dyDescent="0.3">
      <c r="J104415"/>
    </row>
    <row r="104416" spans="10:10" x14ac:dyDescent="0.3">
      <c r="J104416"/>
    </row>
    <row r="104417" spans="10:10" x14ac:dyDescent="0.3">
      <c r="J104417"/>
    </row>
    <row r="104418" spans="10:10" x14ac:dyDescent="0.3">
      <c r="J104418"/>
    </row>
    <row r="104419" spans="10:10" x14ac:dyDescent="0.3">
      <c r="J104419"/>
    </row>
    <row r="104420" spans="10:10" x14ac:dyDescent="0.3">
      <c r="J104420"/>
    </row>
    <row r="104421" spans="10:10" x14ac:dyDescent="0.3">
      <c r="J104421"/>
    </row>
    <row r="104422" spans="10:10" x14ac:dyDescent="0.3">
      <c r="J104422"/>
    </row>
    <row r="104423" spans="10:10" x14ac:dyDescent="0.3">
      <c r="J104423"/>
    </row>
    <row r="104424" spans="10:10" x14ac:dyDescent="0.3">
      <c r="J104424"/>
    </row>
    <row r="104425" spans="10:10" x14ac:dyDescent="0.3">
      <c r="J104425"/>
    </row>
    <row r="104426" spans="10:10" x14ac:dyDescent="0.3">
      <c r="J104426"/>
    </row>
    <row r="104427" spans="10:10" x14ac:dyDescent="0.3">
      <c r="J104427"/>
    </row>
    <row r="104428" spans="10:10" x14ac:dyDescent="0.3">
      <c r="J104428"/>
    </row>
    <row r="104429" spans="10:10" x14ac:dyDescent="0.3">
      <c r="J104429"/>
    </row>
    <row r="104430" spans="10:10" x14ac:dyDescent="0.3">
      <c r="J104430"/>
    </row>
    <row r="104431" spans="10:10" x14ac:dyDescent="0.3">
      <c r="J104431"/>
    </row>
    <row r="104432" spans="10:10" x14ac:dyDescent="0.3">
      <c r="J104432"/>
    </row>
    <row r="104433" spans="10:10" x14ac:dyDescent="0.3">
      <c r="J104433"/>
    </row>
    <row r="104434" spans="10:10" x14ac:dyDescent="0.3">
      <c r="J104434"/>
    </row>
    <row r="104435" spans="10:10" x14ac:dyDescent="0.3">
      <c r="J104435"/>
    </row>
    <row r="104436" spans="10:10" x14ac:dyDescent="0.3">
      <c r="J104436"/>
    </row>
    <row r="104437" spans="10:10" x14ac:dyDescent="0.3">
      <c r="J104437"/>
    </row>
    <row r="104438" spans="10:10" x14ac:dyDescent="0.3">
      <c r="J104438"/>
    </row>
    <row r="104439" spans="10:10" x14ac:dyDescent="0.3">
      <c r="J104439"/>
    </row>
    <row r="104440" spans="10:10" x14ac:dyDescent="0.3">
      <c r="J104440"/>
    </row>
    <row r="104441" spans="10:10" x14ac:dyDescent="0.3">
      <c r="J104441"/>
    </row>
    <row r="104442" spans="10:10" x14ac:dyDescent="0.3">
      <c r="J104442"/>
    </row>
    <row r="104443" spans="10:10" x14ac:dyDescent="0.3">
      <c r="J104443"/>
    </row>
    <row r="104444" spans="10:10" x14ac:dyDescent="0.3">
      <c r="J104444"/>
    </row>
    <row r="104445" spans="10:10" x14ac:dyDescent="0.3">
      <c r="J104445"/>
    </row>
    <row r="104446" spans="10:10" x14ac:dyDescent="0.3">
      <c r="J104446"/>
    </row>
    <row r="104447" spans="10:10" x14ac:dyDescent="0.3">
      <c r="J104447"/>
    </row>
    <row r="104448" spans="10:10" x14ac:dyDescent="0.3">
      <c r="J104448"/>
    </row>
    <row r="104449" spans="10:10" x14ac:dyDescent="0.3">
      <c r="J104449"/>
    </row>
    <row r="104450" spans="10:10" x14ac:dyDescent="0.3">
      <c r="J104450"/>
    </row>
    <row r="104451" spans="10:10" x14ac:dyDescent="0.3">
      <c r="J104451"/>
    </row>
    <row r="104452" spans="10:10" x14ac:dyDescent="0.3">
      <c r="J104452"/>
    </row>
    <row r="104453" spans="10:10" x14ac:dyDescent="0.3">
      <c r="J104453"/>
    </row>
    <row r="104454" spans="10:10" x14ac:dyDescent="0.3">
      <c r="J104454"/>
    </row>
    <row r="104455" spans="10:10" x14ac:dyDescent="0.3">
      <c r="J104455"/>
    </row>
    <row r="104456" spans="10:10" x14ac:dyDescent="0.3">
      <c r="J104456"/>
    </row>
    <row r="104457" spans="10:10" x14ac:dyDescent="0.3">
      <c r="J104457"/>
    </row>
    <row r="104458" spans="10:10" x14ac:dyDescent="0.3">
      <c r="J104458"/>
    </row>
    <row r="104459" spans="10:10" x14ac:dyDescent="0.3">
      <c r="J104459"/>
    </row>
    <row r="104460" spans="10:10" x14ac:dyDescent="0.3">
      <c r="J104460"/>
    </row>
    <row r="104461" spans="10:10" x14ac:dyDescent="0.3">
      <c r="J104461"/>
    </row>
    <row r="104462" spans="10:10" x14ac:dyDescent="0.3">
      <c r="J104462"/>
    </row>
    <row r="104463" spans="10:10" x14ac:dyDescent="0.3">
      <c r="J104463"/>
    </row>
    <row r="104464" spans="10:10" x14ac:dyDescent="0.3">
      <c r="J104464"/>
    </row>
    <row r="104465" spans="10:10" x14ac:dyDescent="0.3">
      <c r="J104465"/>
    </row>
    <row r="104466" spans="10:10" x14ac:dyDescent="0.3">
      <c r="J104466"/>
    </row>
    <row r="104467" spans="10:10" x14ac:dyDescent="0.3">
      <c r="J104467"/>
    </row>
    <row r="104468" spans="10:10" x14ac:dyDescent="0.3">
      <c r="J104468"/>
    </row>
    <row r="104469" spans="10:10" x14ac:dyDescent="0.3">
      <c r="J104469"/>
    </row>
    <row r="104470" spans="10:10" x14ac:dyDescent="0.3">
      <c r="J104470"/>
    </row>
    <row r="104471" spans="10:10" x14ac:dyDescent="0.3">
      <c r="J104471"/>
    </row>
    <row r="104472" spans="10:10" x14ac:dyDescent="0.3">
      <c r="J104472"/>
    </row>
    <row r="104473" spans="10:10" x14ac:dyDescent="0.3">
      <c r="J104473"/>
    </row>
    <row r="104474" spans="10:10" x14ac:dyDescent="0.3">
      <c r="J104474"/>
    </row>
    <row r="104475" spans="10:10" x14ac:dyDescent="0.3">
      <c r="J104475"/>
    </row>
    <row r="104476" spans="10:10" x14ac:dyDescent="0.3">
      <c r="J104476"/>
    </row>
    <row r="104477" spans="10:10" x14ac:dyDescent="0.3">
      <c r="J104477"/>
    </row>
    <row r="104478" spans="10:10" x14ac:dyDescent="0.3">
      <c r="J104478"/>
    </row>
    <row r="104479" spans="10:10" x14ac:dyDescent="0.3">
      <c r="J104479"/>
    </row>
    <row r="104480" spans="10:10" x14ac:dyDescent="0.3">
      <c r="J104480"/>
    </row>
    <row r="104481" spans="10:10" x14ac:dyDescent="0.3">
      <c r="J104481"/>
    </row>
    <row r="104482" spans="10:10" x14ac:dyDescent="0.3">
      <c r="J104482"/>
    </row>
    <row r="104483" spans="10:10" x14ac:dyDescent="0.3">
      <c r="J104483"/>
    </row>
    <row r="104484" spans="10:10" x14ac:dyDescent="0.3">
      <c r="J104484"/>
    </row>
    <row r="104485" spans="10:10" x14ac:dyDescent="0.3">
      <c r="J104485"/>
    </row>
    <row r="104486" spans="10:10" x14ac:dyDescent="0.3">
      <c r="J104486"/>
    </row>
    <row r="104487" spans="10:10" x14ac:dyDescent="0.3">
      <c r="J104487"/>
    </row>
    <row r="104488" spans="10:10" x14ac:dyDescent="0.3">
      <c r="J104488"/>
    </row>
    <row r="104489" spans="10:10" x14ac:dyDescent="0.3">
      <c r="J104489"/>
    </row>
    <row r="104490" spans="10:10" x14ac:dyDescent="0.3">
      <c r="J104490"/>
    </row>
    <row r="104491" spans="10:10" x14ac:dyDescent="0.3">
      <c r="J104491"/>
    </row>
    <row r="104492" spans="10:10" x14ac:dyDescent="0.3">
      <c r="J104492"/>
    </row>
    <row r="104493" spans="10:10" x14ac:dyDescent="0.3">
      <c r="J104493"/>
    </row>
    <row r="104494" spans="10:10" x14ac:dyDescent="0.3">
      <c r="J104494"/>
    </row>
    <row r="104495" spans="10:10" x14ac:dyDescent="0.3">
      <c r="J104495"/>
    </row>
    <row r="104496" spans="10:10" x14ac:dyDescent="0.3">
      <c r="J104496"/>
    </row>
    <row r="104497" spans="10:10" x14ac:dyDescent="0.3">
      <c r="J104497"/>
    </row>
    <row r="104498" spans="10:10" x14ac:dyDescent="0.3">
      <c r="J104498"/>
    </row>
    <row r="104499" spans="10:10" x14ac:dyDescent="0.3">
      <c r="J104499"/>
    </row>
    <row r="104500" spans="10:10" x14ac:dyDescent="0.3">
      <c r="J104500"/>
    </row>
    <row r="104501" spans="10:10" x14ac:dyDescent="0.3">
      <c r="J104501"/>
    </row>
    <row r="104502" spans="10:10" x14ac:dyDescent="0.3">
      <c r="J104502"/>
    </row>
    <row r="104503" spans="10:10" x14ac:dyDescent="0.3">
      <c r="J104503"/>
    </row>
    <row r="104504" spans="10:10" x14ac:dyDescent="0.3">
      <c r="J104504"/>
    </row>
    <row r="104505" spans="10:10" x14ac:dyDescent="0.3">
      <c r="J104505"/>
    </row>
    <row r="104506" spans="10:10" x14ac:dyDescent="0.3">
      <c r="J104506"/>
    </row>
    <row r="104507" spans="10:10" x14ac:dyDescent="0.3">
      <c r="J104507"/>
    </row>
    <row r="104508" spans="10:10" x14ac:dyDescent="0.3">
      <c r="J104508"/>
    </row>
    <row r="104509" spans="10:10" x14ac:dyDescent="0.3">
      <c r="J104509"/>
    </row>
    <row r="104510" spans="10:10" x14ac:dyDescent="0.3">
      <c r="J104510"/>
    </row>
    <row r="104511" spans="10:10" x14ac:dyDescent="0.3">
      <c r="J104511"/>
    </row>
    <row r="104512" spans="10:10" x14ac:dyDescent="0.3">
      <c r="J104512"/>
    </row>
    <row r="104513" spans="10:10" x14ac:dyDescent="0.3">
      <c r="J104513"/>
    </row>
    <row r="104514" spans="10:10" x14ac:dyDescent="0.3">
      <c r="J104514"/>
    </row>
    <row r="104515" spans="10:10" x14ac:dyDescent="0.3">
      <c r="J104515"/>
    </row>
    <row r="104516" spans="10:10" x14ac:dyDescent="0.3">
      <c r="J104516"/>
    </row>
    <row r="104517" spans="10:10" x14ac:dyDescent="0.3">
      <c r="J104517"/>
    </row>
    <row r="104518" spans="10:10" x14ac:dyDescent="0.3">
      <c r="J104518"/>
    </row>
    <row r="104519" spans="10:10" x14ac:dyDescent="0.3">
      <c r="J104519"/>
    </row>
    <row r="104520" spans="10:10" x14ac:dyDescent="0.3">
      <c r="J104520"/>
    </row>
    <row r="104521" spans="10:10" x14ac:dyDescent="0.3">
      <c r="J104521"/>
    </row>
    <row r="104522" spans="10:10" x14ac:dyDescent="0.3">
      <c r="J104522"/>
    </row>
    <row r="104523" spans="10:10" x14ac:dyDescent="0.3">
      <c r="J104523"/>
    </row>
    <row r="104524" spans="10:10" x14ac:dyDescent="0.3">
      <c r="J104524"/>
    </row>
    <row r="104525" spans="10:10" x14ac:dyDescent="0.3">
      <c r="J104525"/>
    </row>
    <row r="104526" spans="10:10" x14ac:dyDescent="0.3">
      <c r="J104526"/>
    </row>
    <row r="104527" spans="10:10" x14ac:dyDescent="0.3">
      <c r="J104527"/>
    </row>
    <row r="104528" spans="10:10" x14ac:dyDescent="0.3">
      <c r="J104528"/>
    </row>
    <row r="104529" spans="10:10" x14ac:dyDescent="0.3">
      <c r="J104529"/>
    </row>
    <row r="104530" spans="10:10" x14ac:dyDescent="0.3">
      <c r="J104530"/>
    </row>
    <row r="104531" spans="10:10" x14ac:dyDescent="0.3">
      <c r="J104531"/>
    </row>
    <row r="104532" spans="10:10" x14ac:dyDescent="0.3">
      <c r="J104532"/>
    </row>
    <row r="104533" spans="10:10" x14ac:dyDescent="0.3">
      <c r="J104533"/>
    </row>
    <row r="104534" spans="10:10" x14ac:dyDescent="0.3">
      <c r="J104534"/>
    </row>
    <row r="104535" spans="10:10" x14ac:dyDescent="0.3">
      <c r="J104535"/>
    </row>
    <row r="104536" spans="10:10" x14ac:dyDescent="0.3">
      <c r="J104536"/>
    </row>
    <row r="104537" spans="10:10" x14ac:dyDescent="0.3">
      <c r="J104537"/>
    </row>
    <row r="104538" spans="10:10" x14ac:dyDescent="0.3">
      <c r="J104538"/>
    </row>
    <row r="104539" spans="10:10" x14ac:dyDescent="0.3">
      <c r="J104539"/>
    </row>
    <row r="104540" spans="10:10" x14ac:dyDescent="0.3">
      <c r="J104540"/>
    </row>
    <row r="104541" spans="10:10" x14ac:dyDescent="0.3">
      <c r="J104541"/>
    </row>
    <row r="104542" spans="10:10" x14ac:dyDescent="0.3">
      <c r="J104542"/>
    </row>
    <row r="104543" spans="10:10" x14ac:dyDescent="0.3">
      <c r="J104543"/>
    </row>
    <row r="104544" spans="10:10" x14ac:dyDescent="0.3">
      <c r="J104544"/>
    </row>
    <row r="104545" spans="10:10" x14ac:dyDescent="0.3">
      <c r="J104545"/>
    </row>
    <row r="104546" spans="10:10" x14ac:dyDescent="0.3">
      <c r="J104546"/>
    </row>
    <row r="104547" spans="10:10" x14ac:dyDescent="0.3">
      <c r="J104547"/>
    </row>
    <row r="104548" spans="10:10" x14ac:dyDescent="0.3">
      <c r="J104548"/>
    </row>
    <row r="104549" spans="10:10" x14ac:dyDescent="0.3">
      <c r="J104549"/>
    </row>
    <row r="104550" spans="10:10" x14ac:dyDescent="0.3">
      <c r="J104550"/>
    </row>
    <row r="104551" spans="10:10" x14ac:dyDescent="0.3">
      <c r="J104551"/>
    </row>
    <row r="104552" spans="10:10" x14ac:dyDescent="0.3">
      <c r="J104552"/>
    </row>
    <row r="104553" spans="10:10" x14ac:dyDescent="0.3">
      <c r="J104553"/>
    </row>
    <row r="104554" spans="10:10" x14ac:dyDescent="0.3">
      <c r="J104554"/>
    </row>
    <row r="104555" spans="10:10" x14ac:dyDescent="0.3">
      <c r="J104555"/>
    </row>
    <row r="104556" spans="10:10" x14ac:dyDescent="0.3">
      <c r="J104556"/>
    </row>
    <row r="104557" spans="10:10" x14ac:dyDescent="0.3">
      <c r="J104557"/>
    </row>
    <row r="104558" spans="10:10" x14ac:dyDescent="0.3">
      <c r="J104558"/>
    </row>
    <row r="104559" spans="10:10" x14ac:dyDescent="0.3">
      <c r="J104559"/>
    </row>
    <row r="104560" spans="10:10" x14ac:dyDescent="0.3">
      <c r="J104560"/>
    </row>
    <row r="104561" spans="10:10" x14ac:dyDescent="0.3">
      <c r="J104561"/>
    </row>
    <row r="104562" spans="10:10" x14ac:dyDescent="0.3">
      <c r="J104562"/>
    </row>
    <row r="104563" spans="10:10" x14ac:dyDescent="0.3">
      <c r="J104563"/>
    </row>
    <row r="104564" spans="10:10" x14ac:dyDescent="0.3">
      <c r="J104564"/>
    </row>
    <row r="104565" spans="10:10" x14ac:dyDescent="0.3">
      <c r="J104565"/>
    </row>
    <row r="104566" spans="10:10" x14ac:dyDescent="0.3">
      <c r="J104566"/>
    </row>
    <row r="104567" spans="10:10" x14ac:dyDescent="0.3">
      <c r="J104567"/>
    </row>
    <row r="104568" spans="10:10" x14ac:dyDescent="0.3">
      <c r="J104568"/>
    </row>
    <row r="104569" spans="10:10" x14ac:dyDescent="0.3">
      <c r="J104569"/>
    </row>
    <row r="104570" spans="10:10" x14ac:dyDescent="0.3">
      <c r="J104570"/>
    </row>
    <row r="104571" spans="10:10" x14ac:dyDescent="0.3">
      <c r="J104571"/>
    </row>
    <row r="104572" spans="10:10" x14ac:dyDescent="0.3">
      <c r="J104572"/>
    </row>
    <row r="104573" spans="10:10" x14ac:dyDescent="0.3">
      <c r="J104573"/>
    </row>
    <row r="104574" spans="10:10" x14ac:dyDescent="0.3">
      <c r="J104574"/>
    </row>
    <row r="104575" spans="10:10" x14ac:dyDescent="0.3">
      <c r="J104575"/>
    </row>
    <row r="104576" spans="10:10" x14ac:dyDescent="0.3">
      <c r="J104576"/>
    </row>
    <row r="104577" spans="10:10" x14ac:dyDescent="0.3">
      <c r="J104577"/>
    </row>
    <row r="104578" spans="10:10" x14ac:dyDescent="0.3">
      <c r="J104578"/>
    </row>
    <row r="104579" spans="10:10" x14ac:dyDescent="0.3">
      <c r="J104579"/>
    </row>
    <row r="104580" spans="10:10" x14ac:dyDescent="0.3">
      <c r="J104580"/>
    </row>
    <row r="104581" spans="10:10" x14ac:dyDescent="0.3">
      <c r="J104581"/>
    </row>
    <row r="104582" spans="10:10" x14ac:dyDescent="0.3">
      <c r="J104582"/>
    </row>
    <row r="104583" spans="10:10" x14ac:dyDescent="0.3">
      <c r="J104583"/>
    </row>
    <row r="104584" spans="10:10" x14ac:dyDescent="0.3">
      <c r="J104584"/>
    </row>
    <row r="104585" spans="10:10" x14ac:dyDescent="0.3">
      <c r="J104585"/>
    </row>
    <row r="104586" spans="10:10" x14ac:dyDescent="0.3">
      <c r="J104586"/>
    </row>
    <row r="104587" spans="10:10" x14ac:dyDescent="0.3">
      <c r="J104587"/>
    </row>
    <row r="104588" spans="10:10" x14ac:dyDescent="0.3">
      <c r="J104588"/>
    </row>
    <row r="104589" spans="10:10" x14ac:dyDescent="0.3">
      <c r="J104589"/>
    </row>
    <row r="104590" spans="10:10" x14ac:dyDescent="0.3">
      <c r="J104590"/>
    </row>
    <row r="104591" spans="10:10" x14ac:dyDescent="0.3">
      <c r="J104591"/>
    </row>
    <row r="104592" spans="10:10" x14ac:dyDescent="0.3">
      <c r="J104592"/>
    </row>
    <row r="104593" spans="10:10" x14ac:dyDescent="0.3">
      <c r="J104593"/>
    </row>
    <row r="104594" spans="10:10" x14ac:dyDescent="0.3">
      <c r="J104594"/>
    </row>
    <row r="104595" spans="10:10" x14ac:dyDescent="0.3">
      <c r="J104595"/>
    </row>
    <row r="104596" spans="10:10" x14ac:dyDescent="0.3">
      <c r="J104596"/>
    </row>
    <row r="104597" spans="10:10" x14ac:dyDescent="0.3">
      <c r="J104597"/>
    </row>
    <row r="104598" spans="10:10" x14ac:dyDescent="0.3">
      <c r="J104598"/>
    </row>
    <row r="104599" spans="10:10" x14ac:dyDescent="0.3">
      <c r="J104599"/>
    </row>
    <row r="104600" spans="10:10" x14ac:dyDescent="0.3">
      <c r="J104600"/>
    </row>
    <row r="104601" spans="10:10" x14ac:dyDescent="0.3">
      <c r="J104601"/>
    </row>
    <row r="104602" spans="10:10" x14ac:dyDescent="0.3">
      <c r="J104602"/>
    </row>
    <row r="104603" spans="10:10" x14ac:dyDescent="0.3">
      <c r="J104603"/>
    </row>
    <row r="104604" spans="10:10" x14ac:dyDescent="0.3">
      <c r="J104604"/>
    </row>
    <row r="104605" spans="10:10" x14ac:dyDescent="0.3">
      <c r="J104605"/>
    </row>
    <row r="104606" spans="10:10" x14ac:dyDescent="0.3">
      <c r="J104606"/>
    </row>
    <row r="104607" spans="10:10" x14ac:dyDescent="0.3">
      <c r="J104607"/>
    </row>
    <row r="104608" spans="10:10" x14ac:dyDescent="0.3">
      <c r="J104608"/>
    </row>
    <row r="104609" spans="10:10" x14ac:dyDescent="0.3">
      <c r="J104609"/>
    </row>
    <row r="104610" spans="10:10" x14ac:dyDescent="0.3">
      <c r="J104610"/>
    </row>
    <row r="104611" spans="10:10" x14ac:dyDescent="0.3">
      <c r="J104611"/>
    </row>
    <row r="104612" spans="10:10" x14ac:dyDescent="0.3">
      <c r="J104612"/>
    </row>
    <row r="104613" spans="10:10" x14ac:dyDescent="0.3">
      <c r="J104613"/>
    </row>
    <row r="104614" spans="10:10" x14ac:dyDescent="0.3">
      <c r="J104614"/>
    </row>
    <row r="104615" spans="10:10" x14ac:dyDescent="0.3">
      <c r="J104615"/>
    </row>
    <row r="104616" spans="10:10" x14ac:dyDescent="0.3">
      <c r="J104616"/>
    </row>
    <row r="104617" spans="10:10" x14ac:dyDescent="0.3">
      <c r="J104617"/>
    </row>
    <row r="104618" spans="10:10" x14ac:dyDescent="0.3">
      <c r="J104618"/>
    </row>
    <row r="104619" spans="10:10" x14ac:dyDescent="0.3">
      <c r="J104619"/>
    </row>
    <row r="104620" spans="10:10" x14ac:dyDescent="0.3">
      <c r="J104620"/>
    </row>
    <row r="104621" spans="10:10" x14ac:dyDescent="0.3">
      <c r="J104621"/>
    </row>
    <row r="104622" spans="10:10" x14ac:dyDescent="0.3">
      <c r="J104622"/>
    </row>
    <row r="104623" spans="10:10" x14ac:dyDescent="0.3">
      <c r="J104623"/>
    </row>
    <row r="104624" spans="10:10" x14ac:dyDescent="0.3">
      <c r="J104624"/>
    </row>
    <row r="104625" spans="10:10" x14ac:dyDescent="0.3">
      <c r="J104625"/>
    </row>
    <row r="104626" spans="10:10" x14ac:dyDescent="0.3">
      <c r="J104626"/>
    </row>
    <row r="104627" spans="10:10" x14ac:dyDescent="0.3">
      <c r="J104627"/>
    </row>
    <row r="104628" spans="10:10" x14ac:dyDescent="0.3">
      <c r="J104628"/>
    </row>
    <row r="104629" spans="10:10" x14ac:dyDescent="0.3">
      <c r="J104629"/>
    </row>
    <row r="104630" spans="10:10" x14ac:dyDescent="0.3">
      <c r="J104630"/>
    </row>
    <row r="104631" spans="10:10" x14ac:dyDescent="0.3">
      <c r="J104631"/>
    </row>
    <row r="104632" spans="10:10" x14ac:dyDescent="0.3">
      <c r="J104632"/>
    </row>
    <row r="104633" spans="10:10" x14ac:dyDescent="0.3">
      <c r="J104633"/>
    </row>
    <row r="104634" spans="10:10" x14ac:dyDescent="0.3">
      <c r="J104634"/>
    </row>
    <row r="104635" spans="10:10" x14ac:dyDescent="0.3">
      <c r="J104635"/>
    </row>
    <row r="104636" spans="10:10" x14ac:dyDescent="0.3">
      <c r="J104636"/>
    </row>
    <row r="104637" spans="10:10" x14ac:dyDescent="0.3">
      <c r="J104637"/>
    </row>
    <row r="104638" spans="10:10" x14ac:dyDescent="0.3">
      <c r="J104638"/>
    </row>
    <row r="104639" spans="10:10" x14ac:dyDescent="0.3">
      <c r="J104639"/>
    </row>
    <row r="104640" spans="10:10" x14ac:dyDescent="0.3">
      <c r="J104640"/>
    </row>
    <row r="104641" spans="10:10" x14ac:dyDescent="0.3">
      <c r="J104641"/>
    </row>
    <row r="104642" spans="10:10" x14ac:dyDescent="0.3">
      <c r="J104642"/>
    </row>
    <row r="104643" spans="10:10" x14ac:dyDescent="0.3">
      <c r="J104643"/>
    </row>
    <row r="104644" spans="10:10" x14ac:dyDescent="0.3">
      <c r="J104644"/>
    </row>
    <row r="104645" spans="10:10" x14ac:dyDescent="0.3">
      <c r="J104645"/>
    </row>
    <row r="104646" spans="10:10" x14ac:dyDescent="0.3">
      <c r="J104646"/>
    </row>
    <row r="104647" spans="10:10" x14ac:dyDescent="0.3">
      <c r="J104647"/>
    </row>
    <row r="104648" spans="10:10" x14ac:dyDescent="0.3">
      <c r="J104648"/>
    </row>
    <row r="104649" spans="10:10" x14ac:dyDescent="0.3">
      <c r="J104649"/>
    </row>
    <row r="104650" spans="10:10" x14ac:dyDescent="0.3">
      <c r="J104650"/>
    </row>
    <row r="104651" spans="10:10" x14ac:dyDescent="0.3">
      <c r="J104651"/>
    </row>
    <row r="104652" spans="10:10" x14ac:dyDescent="0.3">
      <c r="J104652"/>
    </row>
    <row r="104653" spans="10:10" x14ac:dyDescent="0.3">
      <c r="J104653"/>
    </row>
    <row r="104654" spans="10:10" x14ac:dyDescent="0.3">
      <c r="J104654"/>
    </row>
    <row r="104655" spans="10:10" x14ac:dyDescent="0.3">
      <c r="J104655"/>
    </row>
    <row r="104656" spans="10:10" x14ac:dyDescent="0.3">
      <c r="J104656"/>
    </row>
    <row r="104657" spans="10:10" x14ac:dyDescent="0.3">
      <c r="J104657"/>
    </row>
    <row r="104658" spans="10:10" x14ac:dyDescent="0.3">
      <c r="J104658"/>
    </row>
    <row r="104659" spans="10:10" x14ac:dyDescent="0.3">
      <c r="J104659"/>
    </row>
    <row r="104660" spans="10:10" x14ac:dyDescent="0.3">
      <c r="J104660"/>
    </row>
    <row r="104661" spans="10:10" x14ac:dyDescent="0.3">
      <c r="J104661"/>
    </row>
    <row r="104662" spans="10:10" x14ac:dyDescent="0.3">
      <c r="J104662"/>
    </row>
    <row r="104663" spans="10:10" x14ac:dyDescent="0.3">
      <c r="J104663"/>
    </row>
    <row r="104664" spans="10:10" x14ac:dyDescent="0.3">
      <c r="J104664"/>
    </row>
    <row r="104665" spans="10:10" x14ac:dyDescent="0.3">
      <c r="J104665"/>
    </row>
    <row r="104666" spans="10:10" x14ac:dyDescent="0.3">
      <c r="J104666"/>
    </row>
    <row r="104667" spans="10:10" x14ac:dyDescent="0.3">
      <c r="J104667"/>
    </row>
    <row r="104668" spans="10:10" x14ac:dyDescent="0.3">
      <c r="J104668"/>
    </row>
    <row r="104669" spans="10:10" x14ac:dyDescent="0.3">
      <c r="J104669"/>
    </row>
    <row r="104670" spans="10:10" x14ac:dyDescent="0.3">
      <c r="J104670"/>
    </row>
    <row r="104671" spans="10:10" x14ac:dyDescent="0.3">
      <c r="J104671"/>
    </row>
    <row r="104672" spans="10:10" x14ac:dyDescent="0.3">
      <c r="J104672"/>
    </row>
    <row r="104673" spans="10:10" x14ac:dyDescent="0.3">
      <c r="J104673"/>
    </row>
    <row r="104674" spans="10:10" x14ac:dyDescent="0.3">
      <c r="J104674"/>
    </row>
    <row r="104675" spans="10:10" x14ac:dyDescent="0.3">
      <c r="J104675"/>
    </row>
    <row r="104676" spans="10:10" x14ac:dyDescent="0.3">
      <c r="J104676"/>
    </row>
    <row r="104677" spans="10:10" x14ac:dyDescent="0.3">
      <c r="J104677"/>
    </row>
    <row r="104678" spans="10:10" x14ac:dyDescent="0.3">
      <c r="J104678"/>
    </row>
    <row r="104679" spans="10:10" x14ac:dyDescent="0.3">
      <c r="J104679"/>
    </row>
    <row r="104680" spans="10:10" x14ac:dyDescent="0.3">
      <c r="J104680"/>
    </row>
    <row r="104681" spans="10:10" x14ac:dyDescent="0.3">
      <c r="J104681"/>
    </row>
    <row r="104682" spans="10:10" x14ac:dyDescent="0.3">
      <c r="J104682"/>
    </row>
    <row r="104683" spans="10:10" x14ac:dyDescent="0.3">
      <c r="J104683"/>
    </row>
    <row r="104684" spans="10:10" x14ac:dyDescent="0.3">
      <c r="J104684"/>
    </row>
    <row r="104685" spans="10:10" x14ac:dyDescent="0.3">
      <c r="J104685"/>
    </row>
    <row r="104686" spans="10:10" x14ac:dyDescent="0.3">
      <c r="J104686"/>
    </row>
    <row r="104687" spans="10:10" x14ac:dyDescent="0.3">
      <c r="J104687"/>
    </row>
    <row r="104688" spans="10:10" x14ac:dyDescent="0.3">
      <c r="J104688"/>
    </row>
    <row r="104689" spans="10:10" x14ac:dyDescent="0.3">
      <c r="J104689"/>
    </row>
    <row r="104690" spans="10:10" x14ac:dyDescent="0.3">
      <c r="J104690"/>
    </row>
    <row r="104691" spans="10:10" x14ac:dyDescent="0.3">
      <c r="J104691"/>
    </row>
    <row r="104692" spans="10:10" x14ac:dyDescent="0.3">
      <c r="J104692"/>
    </row>
    <row r="104693" spans="10:10" x14ac:dyDescent="0.3">
      <c r="J104693"/>
    </row>
    <row r="104694" spans="10:10" x14ac:dyDescent="0.3">
      <c r="J104694"/>
    </row>
    <row r="104695" spans="10:10" x14ac:dyDescent="0.3">
      <c r="J104695"/>
    </row>
    <row r="104696" spans="10:10" x14ac:dyDescent="0.3">
      <c r="J104696"/>
    </row>
    <row r="104697" spans="10:10" x14ac:dyDescent="0.3">
      <c r="J104697"/>
    </row>
    <row r="104698" spans="10:10" x14ac:dyDescent="0.3">
      <c r="J104698"/>
    </row>
    <row r="104699" spans="10:10" x14ac:dyDescent="0.3">
      <c r="J104699"/>
    </row>
    <row r="104700" spans="10:10" x14ac:dyDescent="0.3">
      <c r="J104700"/>
    </row>
    <row r="104701" spans="10:10" x14ac:dyDescent="0.3">
      <c r="J104701"/>
    </row>
    <row r="104702" spans="10:10" x14ac:dyDescent="0.3">
      <c r="J104702"/>
    </row>
    <row r="104703" spans="10:10" x14ac:dyDescent="0.3">
      <c r="J104703"/>
    </row>
    <row r="104704" spans="10:10" x14ac:dyDescent="0.3">
      <c r="J104704"/>
    </row>
    <row r="104705" spans="10:10" x14ac:dyDescent="0.3">
      <c r="J104705"/>
    </row>
    <row r="104706" spans="10:10" x14ac:dyDescent="0.3">
      <c r="J104706"/>
    </row>
    <row r="104707" spans="10:10" x14ac:dyDescent="0.3">
      <c r="J104707"/>
    </row>
    <row r="104708" spans="10:10" x14ac:dyDescent="0.3">
      <c r="J104708"/>
    </row>
    <row r="104709" spans="10:10" x14ac:dyDescent="0.3">
      <c r="J104709"/>
    </row>
    <row r="104710" spans="10:10" x14ac:dyDescent="0.3">
      <c r="J104710"/>
    </row>
    <row r="104711" spans="10:10" x14ac:dyDescent="0.3">
      <c r="J104711"/>
    </row>
    <row r="104712" spans="10:10" x14ac:dyDescent="0.3">
      <c r="J104712"/>
    </row>
    <row r="104713" spans="10:10" x14ac:dyDescent="0.3">
      <c r="J104713"/>
    </row>
    <row r="104714" spans="10:10" x14ac:dyDescent="0.3">
      <c r="J104714"/>
    </row>
    <row r="104715" spans="10:10" x14ac:dyDescent="0.3">
      <c r="J104715"/>
    </row>
    <row r="104716" spans="10:10" x14ac:dyDescent="0.3">
      <c r="J104716"/>
    </row>
    <row r="104717" spans="10:10" x14ac:dyDescent="0.3">
      <c r="J104717"/>
    </row>
    <row r="104718" spans="10:10" x14ac:dyDescent="0.3">
      <c r="J104718"/>
    </row>
    <row r="104719" spans="10:10" x14ac:dyDescent="0.3">
      <c r="J104719"/>
    </row>
    <row r="104720" spans="10:10" x14ac:dyDescent="0.3">
      <c r="J104720"/>
    </row>
    <row r="104721" spans="10:10" x14ac:dyDescent="0.3">
      <c r="J104721"/>
    </row>
    <row r="104722" spans="10:10" x14ac:dyDescent="0.3">
      <c r="J104722"/>
    </row>
    <row r="104723" spans="10:10" x14ac:dyDescent="0.3">
      <c r="J104723"/>
    </row>
    <row r="104724" spans="10:10" x14ac:dyDescent="0.3">
      <c r="J104724"/>
    </row>
    <row r="104725" spans="10:10" x14ac:dyDescent="0.3">
      <c r="J104725"/>
    </row>
    <row r="104726" spans="10:10" x14ac:dyDescent="0.3">
      <c r="J104726"/>
    </row>
    <row r="104727" spans="10:10" x14ac:dyDescent="0.3">
      <c r="J104727"/>
    </row>
    <row r="104728" spans="10:10" x14ac:dyDescent="0.3">
      <c r="J104728"/>
    </row>
    <row r="104729" spans="10:10" x14ac:dyDescent="0.3">
      <c r="J104729"/>
    </row>
    <row r="104730" spans="10:10" x14ac:dyDescent="0.3">
      <c r="J104730"/>
    </row>
    <row r="104731" spans="10:10" x14ac:dyDescent="0.3">
      <c r="J104731"/>
    </row>
    <row r="104732" spans="10:10" x14ac:dyDescent="0.3">
      <c r="J104732"/>
    </row>
    <row r="104733" spans="10:10" x14ac:dyDescent="0.3">
      <c r="J104733"/>
    </row>
    <row r="104734" spans="10:10" x14ac:dyDescent="0.3">
      <c r="J104734"/>
    </row>
    <row r="104735" spans="10:10" x14ac:dyDescent="0.3">
      <c r="J104735"/>
    </row>
    <row r="104736" spans="10:10" x14ac:dyDescent="0.3">
      <c r="J104736"/>
    </row>
    <row r="104737" spans="10:10" x14ac:dyDescent="0.3">
      <c r="J104737"/>
    </row>
    <row r="104738" spans="10:10" x14ac:dyDescent="0.3">
      <c r="J104738"/>
    </row>
    <row r="104739" spans="10:10" x14ac:dyDescent="0.3">
      <c r="J104739"/>
    </row>
    <row r="104740" spans="10:10" x14ac:dyDescent="0.3">
      <c r="J104740"/>
    </row>
    <row r="104741" spans="10:10" x14ac:dyDescent="0.3">
      <c r="J104741"/>
    </row>
    <row r="104742" spans="10:10" x14ac:dyDescent="0.3">
      <c r="J104742"/>
    </row>
    <row r="104743" spans="10:10" x14ac:dyDescent="0.3">
      <c r="J104743"/>
    </row>
    <row r="104744" spans="10:10" x14ac:dyDescent="0.3">
      <c r="J104744"/>
    </row>
    <row r="104745" spans="10:10" x14ac:dyDescent="0.3">
      <c r="J104745"/>
    </row>
    <row r="104746" spans="10:10" x14ac:dyDescent="0.3">
      <c r="J104746"/>
    </row>
    <row r="104747" spans="10:10" x14ac:dyDescent="0.3">
      <c r="J104747"/>
    </row>
    <row r="104748" spans="10:10" x14ac:dyDescent="0.3">
      <c r="J104748"/>
    </row>
    <row r="104749" spans="10:10" x14ac:dyDescent="0.3">
      <c r="J104749"/>
    </row>
    <row r="104750" spans="10:10" x14ac:dyDescent="0.3">
      <c r="J104750"/>
    </row>
    <row r="104751" spans="10:10" x14ac:dyDescent="0.3">
      <c r="J104751"/>
    </row>
    <row r="104752" spans="10:10" x14ac:dyDescent="0.3">
      <c r="J104752"/>
    </row>
    <row r="104753" spans="10:10" x14ac:dyDescent="0.3">
      <c r="J104753"/>
    </row>
    <row r="104754" spans="10:10" x14ac:dyDescent="0.3">
      <c r="J104754"/>
    </row>
    <row r="104755" spans="10:10" x14ac:dyDescent="0.3">
      <c r="J104755"/>
    </row>
    <row r="104756" spans="10:10" x14ac:dyDescent="0.3">
      <c r="J104756"/>
    </row>
    <row r="104757" spans="10:10" x14ac:dyDescent="0.3">
      <c r="J104757"/>
    </row>
    <row r="104758" spans="10:10" x14ac:dyDescent="0.3">
      <c r="J104758"/>
    </row>
    <row r="104759" spans="10:10" x14ac:dyDescent="0.3">
      <c r="J104759"/>
    </row>
    <row r="104760" spans="10:10" x14ac:dyDescent="0.3">
      <c r="J104760"/>
    </row>
    <row r="104761" spans="10:10" x14ac:dyDescent="0.3">
      <c r="J104761"/>
    </row>
    <row r="104762" spans="10:10" x14ac:dyDescent="0.3">
      <c r="J104762"/>
    </row>
    <row r="104763" spans="10:10" x14ac:dyDescent="0.3">
      <c r="J104763"/>
    </row>
    <row r="104764" spans="10:10" x14ac:dyDescent="0.3">
      <c r="J104764"/>
    </row>
    <row r="104765" spans="10:10" x14ac:dyDescent="0.3">
      <c r="J104765"/>
    </row>
    <row r="104766" spans="10:10" x14ac:dyDescent="0.3">
      <c r="J104766"/>
    </row>
    <row r="104767" spans="10:10" x14ac:dyDescent="0.3">
      <c r="J104767"/>
    </row>
    <row r="104768" spans="10:10" x14ac:dyDescent="0.3">
      <c r="J104768"/>
    </row>
    <row r="104769" spans="10:10" x14ac:dyDescent="0.3">
      <c r="J104769"/>
    </row>
    <row r="104770" spans="10:10" x14ac:dyDescent="0.3">
      <c r="J104770"/>
    </row>
    <row r="104771" spans="10:10" x14ac:dyDescent="0.3">
      <c r="J104771"/>
    </row>
    <row r="104772" spans="10:10" x14ac:dyDescent="0.3">
      <c r="J104772"/>
    </row>
    <row r="104773" spans="10:10" x14ac:dyDescent="0.3">
      <c r="J104773"/>
    </row>
    <row r="104774" spans="10:10" x14ac:dyDescent="0.3">
      <c r="J104774"/>
    </row>
    <row r="104775" spans="10:10" x14ac:dyDescent="0.3">
      <c r="J104775"/>
    </row>
    <row r="104776" spans="10:10" x14ac:dyDescent="0.3">
      <c r="J104776"/>
    </row>
    <row r="104777" spans="10:10" x14ac:dyDescent="0.3">
      <c r="J104777"/>
    </row>
    <row r="104778" spans="10:10" x14ac:dyDescent="0.3">
      <c r="J104778"/>
    </row>
    <row r="104779" spans="10:10" x14ac:dyDescent="0.3">
      <c r="J104779"/>
    </row>
    <row r="104780" spans="10:10" x14ac:dyDescent="0.3">
      <c r="J104780"/>
    </row>
    <row r="104781" spans="10:10" x14ac:dyDescent="0.3">
      <c r="J104781"/>
    </row>
    <row r="104782" spans="10:10" x14ac:dyDescent="0.3">
      <c r="J104782"/>
    </row>
    <row r="104783" spans="10:10" x14ac:dyDescent="0.3">
      <c r="J104783"/>
    </row>
    <row r="104784" spans="10:10" x14ac:dyDescent="0.3">
      <c r="J104784"/>
    </row>
    <row r="104785" spans="10:10" x14ac:dyDescent="0.3">
      <c r="J104785"/>
    </row>
    <row r="104786" spans="10:10" x14ac:dyDescent="0.3">
      <c r="J104786"/>
    </row>
    <row r="104787" spans="10:10" x14ac:dyDescent="0.3">
      <c r="J104787"/>
    </row>
    <row r="104788" spans="10:10" x14ac:dyDescent="0.3">
      <c r="J104788"/>
    </row>
    <row r="104789" spans="10:10" x14ac:dyDescent="0.3">
      <c r="J104789"/>
    </row>
    <row r="104790" spans="10:10" x14ac:dyDescent="0.3">
      <c r="J104790"/>
    </row>
    <row r="104791" spans="10:10" x14ac:dyDescent="0.3">
      <c r="J104791"/>
    </row>
    <row r="104792" spans="10:10" x14ac:dyDescent="0.3">
      <c r="J104792"/>
    </row>
    <row r="104793" spans="10:10" x14ac:dyDescent="0.3">
      <c r="J104793"/>
    </row>
    <row r="104794" spans="10:10" x14ac:dyDescent="0.3">
      <c r="J104794"/>
    </row>
    <row r="104795" spans="10:10" x14ac:dyDescent="0.3">
      <c r="J104795"/>
    </row>
    <row r="104796" spans="10:10" x14ac:dyDescent="0.3">
      <c r="J104796"/>
    </row>
    <row r="104797" spans="10:10" x14ac:dyDescent="0.3">
      <c r="J104797"/>
    </row>
    <row r="104798" spans="10:10" x14ac:dyDescent="0.3">
      <c r="J104798"/>
    </row>
    <row r="104799" spans="10:10" x14ac:dyDescent="0.3">
      <c r="J104799"/>
    </row>
    <row r="104800" spans="10:10" x14ac:dyDescent="0.3">
      <c r="J104800"/>
    </row>
    <row r="104801" spans="10:10" x14ac:dyDescent="0.3">
      <c r="J104801"/>
    </row>
    <row r="104802" spans="10:10" x14ac:dyDescent="0.3">
      <c r="J104802"/>
    </row>
    <row r="104803" spans="10:10" x14ac:dyDescent="0.3">
      <c r="J104803"/>
    </row>
    <row r="104804" spans="10:10" x14ac:dyDescent="0.3">
      <c r="J104804"/>
    </row>
    <row r="104805" spans="10:10" x14ac:dyDescent="0.3">
      <c r="J104805"/>
    </row>
    <row r="104806" spans="10:10" x14ac:dyDescent="0.3">
      <c r="J104806"/>
    </row>
    <row r="104807" spans="10:10" x14ac:dyDescent="0.3">
      <c r="J104807"/>
    </row>
    <row r="104808" spans="10:10" x14ac:dyDescent="0.3">
      <c r="J104808"/>
    </row>
    <row r="104809" spans="10:10" x14ac:dyDescent="0.3">
      <c r="J104809"/>
    </row>
    <row r="104810" spans="10:10" x14ac:dyDescent="0.3">
      <c r="J104810"/>
    </row>
    <row r="104811" spans="10:10" x14ac:dyDescent="0.3">
      <c r="J104811"/>
    </row>
    <row r="104812" spans="10:10" x14ac:dyDescent="0.3">
      <c r="J104812"/>
    </row>
    <row r="104813" spans="10:10" x14ac:dyDescent="0.3">
      <c r="J104813"/>
    </row>
    <row r="104814" spans="10:10" x14ac:dyDescent="0.3">
      <c r="J104814"/>
    </row>
    <row r="104815" spans="10:10" x14ac:dyDescent="0.3">
      <c r="J104815"/>
    </row>
    <row r="104816" spans="10:10" x14ac:dyDescent="0.3">
      <c r="J104816"/>
    </row>
    <row r="104817" spans="10:10" x14ac:dyDescent="0.3">
      <c r="J104817"/>
    </row>
    <row r="104818" spans="10:10" x14ac:dyDescent="0.3">
      <c r="J104818"/>
    </row>
    <row r="104819" spans="10:10" x14ac:dyDescent="0.3">
      <c r="J104819"/>
    </row>
    <row r="104820" spans="10:10" x14ac:dyDescent="0.3">
      <c r="J104820"/>
    </row>
    <row r="104821" spans="10:10" x14ac:dyDescent="0.3">
      <c r="J104821"/>
    </row>
    <row r="104822" spans="10:10" x14ac:dyDescent="0.3">
      <c r="J104822"/>
    </row>
    <row r="104823" spans="10:10" x14ac:dyDescent="0.3">
      <c r="J104823"/>
    </row>
    <row r="104824" spans="10:10" x14ac:dyDescent="0.3">
      <c r="J104824"/>
    </row>
    <row r="104825" spans="10:10" x14ac:dyDescent="0.3">
      <c r="J104825"/>
    </row>
    <row r="104826" spans="10:10" x14ac:dyDescent="0.3">
      <c r="J104826"/>
    </row>
    <row r="104827" spans="10:10" x14ac:dyDescent="0.3">
      <c r="J104827"/>
    </row>
    <row r="104828" spans="10:10" x14ac:dyDescent="0.3">
      <c r="J104828"/>
    </row>
    <row r="104829" spans="10:10" x14ac:dyDescent="0.3">
      <c r="J104829"/>
    </row>
    <row r="104830" spans="10:10" x14ac:dyDescent="0.3">
      <c r="J104830"/>
    </row>
    <row r="104831" spans="10:10" x14ac:dyDescent="0.3">
      <c r="J104831"/>
    </row>
    <row r="104832" spans="10:10" x14ac:dyDescent="0.3">
      <c r="J104832"/>
    </row>
    <row r="104833" spans="10:10" x14ac:dyDescent="0.3">
      <c r="J104833"/>
    </row>
    <row r="104834" spans="10:10" x14ac:dyDescent="0.3">
      <c r="J104834"/>
    </row>
    <row r="104835" spans="10:10" x14ac:dyDescent="0.3">
      <c r="J104835"/>
    </row>
    <row r="104836" spans="10:10" x14ac:dyDescent="0.3">
      <c r="J104836"/>
    </row>
    <row r="104837" spans="10:10" x14ac:dyDescent="0.3">
      <c r="J104837"/>
    </row>
    <row r="104838" spans="10:10" x14ac:dyDescent="0.3">
      <c r="J104838"/>
    </row>
    <row r="104839" spans="10:10" x14ac:dyDescent="0.3">
      <c r="J104839"/>
    </row>
    <row r="104840" spans="10:10" x14ac:dyDescent="0.3">
      <c r="J104840"/>
    </row>
    <row r="104841" spans="10:10" x14ac:dyDescent="0.3">
      <c r="J104841"/>
    </row>
    <row r="104842" spans="10:10" x14ac:dyDescent="0.3">
      <c r="J104842"/>
    </row>
    <row r="104843" spans="10:10" x14ac:dyDescent="0.3">
      <c r="J104843"/>
    </row>
    <row r="104844" spans="10:10" x14ac:dyDescent="0.3">
      <c r="J104844"/>
    </row>
    <row r="104845" spans="10:10" x14ac:dyDescent="0.3">
      <c r="J104845"/>
    </row>
    <row r="104846" spans="10:10" x14ac:dyDescent="0.3">
      <c r="J104846"/>
    </row>
    <row r="104847" spans="10:10" x14ac:dyDescent="0.3">
      <c r="J104847"/>
    </row>
    <row r="104848" spans="10:10" x14ac:dyDescent="0.3">
      <c r="J104848"/>
    </row>
    <row r="104849" spans="10:10" x14ac:dyDescent="0.3">
      <c r="J104849"/>
    </row>
    <row r="104850" spans="10:10" x14ac:dyDescent="0.3">
      <c r="J104850"/>
    </row>
    <row r="104851" spans="10:10" x14ac:dyDescent="0.3">
      <c r="J104851"/>
    </row>
    <row r="104852" spans="10:10" x14ac:dyDescent="0.3">
      <c r="J104852"/>
    </row>
    <row r="104853" spans="10:10" x14ac:dyDescent="0.3">
      <c r="J104853"/>
    </row>
    <row r="104854" spans="10:10" x14ac:dyDescent="0.3">
      <c r="J104854"/>
    </row>
    <row r="104855" spans="10:10" x14ac:dyDescent="0.3">
      <c r="J104855"/>
    </row>
    <row r="104856" spans="10:10" x14ac:dyDescent="0.3">
      <c r="J104856"/>
    </row>
    <row r="104857" spans="10:10" x14ac:dyDescent="0.3">
      <c r="J104857"/>
    </row>
    <row r="104858" spans="10:10" x14ac:dyDescent="0.3">
      <c r="J104858"/>
    </row>
    <row r="104859" spans="10:10" x14ac:dyDescent="0.3">
      <c r="J104859"/>
    </row>
    <row r="104860" spans="10:10" x14ac:dyDescent="0.3">
      <c r="J104860"/>
    </row>
    <row r="104861" spans="10:10" x14ac:dyDescent="0.3">
      <c r="J104861"/>
    </row>
    <row r="104862" spans="10:10" x14ac:dyDescent="0.3">
      <c r="J104862"/>
    </row>
    <row r="104863" spans="10:10" x14ac:dyDescent="0.3">
      <c r="J104863"/>
    </row>
    <row r="104864" spans="10:10" x14ac:dyDescent="0.3">
      <c r="J104864"/>
    </row>
    <row r="104865" spans="10:10" x14ac:dyDescent="0.3">
      <c r="J104865"/>
    </row>
    <row r="104866" spans="10:10" x14ac:dyDescent="0.3">
      <c r="J104866"/>
    </row>
    <row r="104867" spans="10:10" x14ac:dyDescent="0.3">
      <c r="J104867"/>
    </row>
    <row r="104868" spans="10:10" x14ac:dyDescent="0.3">
      <c r="J104868"/>
    </row>
    <row r="104869" spans="10:10" x14ac:dyDescent="0.3">
      <c r="J104869"/>
    </row>
    <row r="104870" spans="10:10" x14ac:dyDescent="0.3">
      <c r="J104870"/>
    </row>
    <row r="104871" spans="10:10" x14ac:dyDescent="0.3">
      <c r="J104871"/>
    </row>
    <row r="104872" spans="10:10" x14ac:dyDescent="0.3">
      <c r="J104872"/>
    </row>
    <row r="104873" spans="10:10" x14ac:dyDescent="0.3">
      <c r="J104873"/>
    </row>
    <row r="104874" spans="10:10" x14ac:dyDescent="0.3">
      <c r="J104874"/>
    </row>
    <row r="104875" spans="10:10" x14ac:dyDescent="0.3">
      <c r="J104875"/>
    </row>
    <row r="104876" spans="10:10" x14ac:dyDescent="0.3">
      <c r="J104876"/>
    </row>
    <row r="104877" spans="10:10" x14ac:dyDescent="0.3">
      <c r="J104877"/>
    </row>
    <row r="104878" spans="10:10" x14ac:dyDescent="0.3">
      <c r="J104878"/>
    </row>
    <row r="104879" spans="10:10" x14ac:dyDescent="0.3">
      <c r="J104879"/>
    </row>
    <row r="104880" spans="10:10" x14ac:dyDescent="0.3">
      <c r="J104880"/>
    </row>
    <row r="104881" spans="10:10" x14ac:dyDescent="0.3">
      <c r="J104881"/>
    </row>
    <row r="104882" spans="10:10" x14ac:dyDescent="0.3">
      <c r="J104882"/>
    </row>
    <row r="104883" spans="10:10" x14ac:dyDescent="0.3">
      <c r="J104883"/>
    </row>
    <row r="104884" spans="10:10" x14ac:dyDescent="0.3">
      <c r="J104884"/>
    </row>
    <row r="104885" spans="10:10" x14ac:dyDescent="0.3">
      <c r="J104885"/>
    </row>
    <row r="104886" spans="10:10" x14ac:dyDescent="0.3">
      <c r="J104886"/>
    </row>
    <row r="104887" spans="10:10" x14ac:dyDescent="0.3">
      <c r="J104887"/>
    </row>
    <row r="104888" spans="10:10" x14ac:dyDescent="0.3">
      <c r="J104888"/>
    </row>
    <row r="104889" spans="10:10" x14ac:dyDescent="0.3">
      <c r="J104889"/>
    </row>
    <row r="104890" spans="10:10" x14ac:dyDescent="0.3">
      <c r="J104890"/>
    </row>
    <row r="104891" spans="10:10" x14ac:dyDescent="0.3">
      <c r="J104891"/>
    </row>
    <row r="104892" spans="10:10" x14ac:dyDescent="0.3">
      <c r="J104892"/>
    </row>
    <row r="104893" spans="10:10" x14ac:dyDescent="0.3">
      <c r="J104893"/>
    </row>
    <row r="104894" spans="10:10" x14ac:dyDescent="0.3">
      <c r="J104894"/>
    </row>
    <row r="104895" spans="10:10" x14ac:dyDescent="0.3">
      <c r="J104895"/>
    </row>
    <row r="104896" spans="10:10" x14ac:dyDescent="0.3">
      <c r="J104896"/>
    </row>
    <row r="104897" spans="10:10" x14ac:dyDescent="0.3">
      <c r="J104897"/>
    </row>
    <row r="104898" spans="10:10" x14ac:dyDescent="0.3">
      <c r="J104898"/>
    </row>
    <row r="104899" spans="10:10" x14ac:dyDescent="0.3">
      <c r="J104899"/>
    </row>
    <row r="104900" spans="10:10" x14ac:dyDescent="0.3">
      <c r="J104900"/>
    </row>
    <row r="104901" spans="10:10" x14ac:dyDescent="0.3">
      <c r="J104901"/>
    </row>
    <row r="104902" spans="10:10" x14ac:dyDescent="0.3">
      <c r="J104902"/>
    </row>
    <row r="104903" spans="10:10" x14ac:dyDescent="0.3">
      <c r="J104903"/>
    </row>
    <row r="104904" spans="10:10" x14ac:dyDescent="0.3">
      <c r="J104904"/>
    </row>
    <row r="104905" spans="10:10" x14ac:dyDescent="0.3">
      <c r="J104905"/>
    </row>
    <row r="104906" spans="10:10" x14ac:dyDescent="0.3">
      <c r="J104906"/>
    </row>
    <row r="104907" spans="10:10" x14ac:dyDescent="0.3">
      <c r="J104907"/>
    </row>
    <row r="104908" spans="10:10" x14ac:dyDescent="0.3">
      <c r="J104908"/>
    </row>
    <row r="104909" spans="10:10" x14ac:dyDescent="0.3">
      <c r="J104909"/>
    </row>
    <row r="104910" spans="10:10" x14ac:dyDescent="0.3">
      <c r="J104910"/>
    </row>
    <row r="104911" spans="10:10" x14ac:dyDescent="0.3">
      <c r="J104911"/>
    </row>
    <row r="104912" spans="10:10" x14ac:dyDescent="0.3">
      <c r="J104912"/>
    </row>
    <row r="104913" spans="10:10" x14ac:dyDescent="0.3">
      <c r="J104913"/>
    </row>
    <row r="104914" spans="10:10" x14ac:dyDescent="0.3">
      <c r="J104914"/>
    </row>
    <row r="104915" spans="10:10" x14ac:dyDescent="0.3">
      <c r="J104915"/>
    </row>
    <row r="104916" spans="10:10" x14ac:dyDescent="0.3">
      <c r="J104916"/>
    </row>
    <row r="104917" spans="10:10" x14ac:dyDescent="0.3">
      <c r="J104917"/>
    </row>
    <row r="104918" spans="10:10" x14ac:dyDescent="0.3">
      <c r="J104918"/>
    </row>
    <row r="104919" spans="10:10" x14ac:dyDescent="0.3">
      <c r="J104919"/>
    </row>
    <row r="104920" spans="10:10" x14ac:dyDescent="0.3">
      <c r="J104920"/>
    </row>
    <row r="104921" spans="10:10" x14ac:dyDescent="0.3">
      <c r="J104921"/>
    </row>
    <row r="104922" spans="10:10" x14ac:dyDescent="0.3">
      <c r="J104922"/>
    </row>
    <row r="104923" spans="10:10" x14ac:dyDescent="0.3">
      <c r="J104923"/>
    </row>
    <row r="104924" spans="10:10" x14ac:dyDescent="0.3">
      <c r="J104924"/>
    </row>
    <row r="104925" spans="10:10" x14ac:dyDescent="0.3">
      <c r="J104925"/>
    </row>
    <row r="104926" spans="10:10" x14ac:dyDescent="0.3">
      <c r="J104926"/>
    </row>
    <row r="104927" spans="10:10" x14ac:dyDescent="0.3">
      <c r="J104927"/>
    </row>
    <row r="104928" spans="10:10" x14ac:dyDescent="0.3">
      <c r="J104928"/>
    </row>
    <row r="104929" spans="10:10" x14ac:dyDescent="0.3">
      <c r="J104929"/>
    </row>
    <row r="104930" spans="10:10" x14ac:dyDescent="0.3">
      <c r="J104930"/>
    </row>
    <row r="104931" spans="10:10" x14ac:dyDescent="0.3">
      <c r="J104931"/>
    </row>
    <row r="104932" spans="10:10" x14ac:dyDescent="0.3">
      <c r="J104932"/>
    </row>
    <row r="104933" spans="10:10" x14ac:dyDescent="0.3">
      <c r="J104933"/>
    </row>
    <row r="104934" spans="10:10" x14ac:dyDescent="0.3">
      <c r="J104934"/>
    </row>
    <row r="104935" spans="10:10" x14ac:dyDescent="0.3">
      <c r="J104935"/>
    </row>
    <row r="104936" spans="10:10" x14ac:dyDescent="0.3">
      <c r="J104936"/>
    </row>
    <row r="104937" spans="10:10" x14ac:dyDescent="0.3">
      <c r="J104937"/>
    </row>
    <row r="104938" spans="10:10" x14ac:dyDescent="0.3">
      <c r="J104938"/>
    </row>
    <row r="104939" spans="10:10" x14ac:dyDescent="0.3">
      <c r="J104939"/>
    </row>
    <row r="104940" spans="10:10" x14ac:dyDescent="0.3">
      <c r="J104940"/>
    </row>
    <row r="104941" spans="10:10" x14ac:dyDescent="0.3">
      <c r="J104941"/>
    </row>
    <row r="104942" spans="10:10" x14ac:dyDescent="0.3">
      <c r="J104942"/>
    </row>
    <row r="104943" spans="10:10" x14ac:dyDescent="0.3">
      <c r="J104943"/>
    </row>
    <row r="104944" spans="10:10" x14ac:dyDescent="0.3">
      <c r="J104944"/>
    </row>
    <row r="104945" spans="10:10" x14ac:dyDescent="0.3">
      <c r="J104945"/>
    </row>
    <row r="104946" spans="10:10" x14ac:dyDescent="0.3">
      <c r="J104946"/>
    </row>
    <row r="104947" spans="10:10" x14ac:dyDescent="0.3">
      <c r="J104947"/>
    </row>
    <row r="104948" spans="10:10" x14ac:dyDescent="0.3">
      <c r="J104948"/>
    </row>
    <row r="104949" spans="10:10" x14ac:dyDescent="0.3">
      <c r="J104949"/>
    </row>
    <row r="104950" spans="10:10" x14ac:dyDescent="0.3">
      <c r="J104950"/>
    </row>
    <row r="104951" spans="10:10" x14ac:dyDescent="0.3">
      <c r="J104951"/>
    </row>
    <row r="104952" spans="10:10" x14ac:dyDescent="0.3">
      <c r="J104952"/>
    </row>
    <row r="104953" spans="10:10" x14ac:dyDescent="0.3">
      <c r="J104953"/>
    </row>
    <row r="104954" spans="10:10" x14ac:dyDescent="0.3">
      <c r="J104954"/>
    </row>
    <row r="104955" spans="10:10" x14ac:dyDescent="0.3">
      <c r="J104955"/>
    </row>
    <row r="104956" spans="10:10" x14ac:dyDescent="0.3">
      <c r="J104956"/>
    </row>
    <row r="104957" spans="10:10" x14ac:dyDescent="0.3">
      <c r="J104957"/>
    </row>
    <row r="104958" spans="10:10" x14ac:dyDescent="0.3">
      <c r="J104958"/>
    </row>
    <row r="104959" spans="10:10" x14ac:dyDescent="0.3">
      <c r="J104959"/>
    </row>
    <row r="104960" spans="10:10" x14ac:dyDescent="0.3">
      <c r="J104960"/>
    </row>
    <row r="104961" spans="10:10" x14ac:dyDescent="0.3">
      <c r="J104961"/>
    </row>
    <row r="104962" spans="10:10" x14ac:dyDescent="0.3">
      <c r="J104962"/>
    </row>
    <row r="104963" spans="10:10" x14ac:dyDescent="0.3">
      <c r="J104963"/>
    </row>
    <row r="104964" spans="10:10" x14ac:dyDescent="0.3">
      <c r="J104964"/>
    </row>
    <row r="104965" spans="10:10" x14ac:dyDescent="0.3">
      <c r="J104965"/>
    </row>
    <row r="104966" spans="10:10" x14ac:dyDescent="0.3">
      <c r="J104966"/>
    </row>
    <row r="104967" spans="10:10" x14ac:dyDescent="0.3">
      <c r="J104967"/>
    </row>
    <row r="104968" spans="10:10" x14ac:dyDescent="0.3">
      <c r="J104968"/>
    </row>
    <row r="104969" spans="10:10" x14ac:dyDescent="0.3">
      <c r="J104969"/>
    </row>
    <row r="104970" spans="10:10" x14ac:dyDescent="0.3">
      <c r="J104970"/>
    </row>
    <row r="104971" spans="10:10" x14ac:dyDescent="0.3">
      <c r="J104971"/>
    </row>
    <row r="104972" spans="10:10" x14ac:dyDescent="0.3">
      <c r="J104972"/>
    </row>
    <row r="104973" spans="10:10" x14ac:dyDescent="0.3">
      <c r="J104973"/>
    </row>
    <row r="104974" spans="10:10" x14ac:dyDescent="0.3">
      <c r="J104974"/>
    </row>
    <row r="104975" spans="10:10" x14ac:dyDescent="0.3">
      <c r="J104975"/>
    </row>
    <row r="104976" spans="10:10" x14ac:dyDescent="0.3">
      <c r="J104976"/>
    </row>
    <row r="104977" spans="10:10" x14ac:dyDescent="0.3">
      <c r="J104977"/>
    </row>
    <row r="104978" spans="10:10" x14ac:dyDescent="0.3">
      <c r="J104978"/>
    </row>
    <row r="104979" spans="10:10" x14ac:dyDescent="0.3">
      <c r="J104979"/>
    </row>
    <row r="104980" spans="10:10" x14ac:dyDescent="0.3">
      <c r="J104980"/>
    </row>
    <row r="104981" spans="10:10" x14ac:dyDescent="0.3">
      <c r="J104981"/>
    </row>
    <row r="104982" spans="10:10" x14ac:dyDescent="0.3">
      <c r="J104982"/>
    </row>
    <row r="104983" spans="10:10" x14ac:dyDescent="0.3">
      <c r="J104983"/>
    </row>
    <row r="104984" spans="10:10" x14ac:dyDescent="0.3">
      <c r="J104984"/>
    </row>
    <row r="104985" spans="10:10" x14ac:dyDescent="0.3">
      <c r="J104985"/>
    </row>
    <row r="104986" spans="10:10" x14ac:dyDescent="0.3">
      <c r="J104986"/>
    </row>
    <row r="104987" spans="10:10" x14ac:dyDescent="0.3">
      <c r="J104987"/>
    </row>
    <row r="104988" spans="10:10" x14ac:dyDescent="0.3">
      <c r="J104988"/>
    </row>
    <row r="104989" spans="10:10" x14ac:dyDescent="0.3">
      <c r="J104989"/>
    </row>
    <row r="104990" spans="10:10" x14ac:dyDescent="0.3">
      <c r="J104990"/>
    </row>
    <row r="104991" spans="10:10" x14ac:dyDescent="0.3">
      <c r="J104991"/>
    </row>
    <row r="104992" spans="10:10" x14ac:dyDescent="0.3">
      <c r="J104992"/>
    </row>
    <row r="104993" spans="10:10" x14ac:dyDescent="0.3">
      <c r="J104993"/>
    </row>
    <row r="104994" spans="10:10" x14ac:dyDescent="0.3">
      <c r="J104994"/>
    </row>
    <row r="104995" spans="10:10" x14ac:dyDescent="0.3">
      <c r="J104995"/>
    </row>
    <row r="104996" spans="10:10" x14ac:dyDescent="0.3">
      <c r="J104996"/>
    </row>
    <row r="104997" spans="10:10" x14ac:dyDescent="0.3">
      <c r="J104997"/>
    </row>
    <row r="104998" spans="10:10" x14ac:dyDescent="0.3">
      <c r="J104998"/>
    </row>
    <row r="104999" spans="10:10" x14ac:dyDescent="0.3">
      <c r="J104999"/>
    </row>
    <row r="105000" spans="10:10" x14ac:dyDescent="0.3">
      <c r="J105000"/>
    </row>
    <row r="105001" spans="10:10" x14ac:dyDescent="0.3">
      <c r="J105001"/>
    </row>
    <row r="105002" spans="10:10" x14ac:dyDescent="0.3">
      <c r="J105002"/>
    </row>
    <row r="105003" spans="10:10" x14ac:dyDescent="0.3">
      <c r="J105003"/>
    </row>
    <row r="105004" spans="10:10" x14ac:dyDescent="0.3">
      <c r="J105004"/>
    </row>
    <row r="105005" spans="10:10" x14ac:dyDescent="0.3">
      <c r="J105005"/>
    </row>
    <row r="105006" spans="10:10" x14ac:dyDescent="0.3">
      <c r="J105006"/>
    </row>
    <row r="105007" spans="10:10" x14ac:dyDescent="0.3">
      <c r="J105007"/>
    </row>
    <row r="105008" spans="10:10" x14ac:dyDescent="0.3">
      <c r="J105008"/>
    </row>
    <row r="105009" spans="10:10" x14ac:dyDescent="0.3">
      <c r="J105009"/>
    </row>
    <row r="105010" spans="10:10" x14ac:dyDescent="0.3">
      <c r="J105010"/>
    </row>
    <row r="105011" spans="10:10" x14ac:dyDescent="0.3">
      <c r="J105011"/>
    </row>
    <row r="105012" spans="10:10" x14ac:dyDescent="0.3">
      <c r="J105012"/>
    </row>
    <row r="105013" spans="10:10" x14ac:dyDescent="0.3">
      <c r="J105013"/>
    </row>
    <row r="105014" spans="10:10" x14ac:dyDescent="0.3">
      <c r="J105014"/>
    </row>
    <row r="105015" spans="10:10" x14ac:dyDescent="0.3">
      <c r="J105015"/>
    </row>
    <row r="105016" spans="10:10" x14ac:dyDescent="0.3">
      <c r="J105016"/>
    </row>
    <row r="105017" spans="10:10" x14ac:dyDescent="0.3">
      <c r="J105017"/>
    </row>
    <row r="105018" spans="10:10" x14ac:dyDescent="0.3">
      <c r="J105018"/>
    </row>
    <row r="105019" spans="10:10" x14ac:dyDescent="0.3">
      <c r="J105019"/>
    </row>
    <row r="105020" spans="10:10" x14ac:dyDescent="0.3">
      <c r="J105020"/>
    </row>
    <row r="105021" spans="10:10" x14ac:dyDescent="0.3">
      <c r="J105021"/>
    </row>
    <row r="105022" spans="10:10" x14ac:dyDescent="0.3">
      <c r="J105022"/>
    </row>
    <row r="105023" spans="10:10" x14ac:dyDescent="0.3">
      <c r="J105023"/>
    </row>
    <row r="105024" spans="10:10" x14ac:dyDescent="0.3">
      <c r="J105024"/>
    </row>
    <row r="105025" spans="10:10" x14ac:dyDescent="0.3">
      <c r="J105025"/>
    </row>
    <row r="105026" spans="10:10" x14ac:dyDescent="0.3">
      <c r="J105026"/>
    </row>
    <row r="105027" spans="10:10" x14ac:dyDescent="0.3">
      <c r="J105027"/>
    </row>
    <row r="105028" spans="10:10" x14ac:dyDescent="0.3">
      <c r="J105028"/>
    </row>
    <row r="105029" spans="10:10" x14ac:dyDescent="0.3">
      <c r="J105029"/>
    </row>
    <row r="105030" spans="10:10" x14ac:dyDescent="0.3">
      <c r="J105030"/>
    </row>
    <row r="105031" spans="10:10" x14ac:dyDescent="0.3">
      <c r="J105031"/>
    </row>
    <row r="105032" spans="10:10" x14ac:dyDescent="0.3">
      <c r="J105032"/>
    </row>
    <row r="105033" spans="10:10" x14ac:dyDescent="0.3">
      <c r="J105033"/>
    </row>
    <row r="105034" spans="10:10" x14ac:dyDescent="0.3">
      <c r="J105034"/>
    </row>
    <row r="105035" spans="10:10" x14ac:dyDescent="0.3">
      <c r="J105035"/>
    </row>
    <row r="105036" spans="10:10" x14ac:dyDescent="0.3">
      <c r="J105036"/>
    </row>
    <row r="105037" spans="10:10" x14ac:dyDescent="0.3">
      <c r="J105037"/>
    </row>
    <row r="105038" spans="10:10" x14ac:dyDescent="0.3">
      <c r="J105038"/>
    </row>
    <row r="105039" spans="10:10" x14ac:dyDescent="0.3">
      <c r="J105039"/>
    </row>
    <row r="105040" spans="10:10" x14ac:dyDescent="0.3">
      <c r="J105040"/>
    </row>
    <row r="105041" spans="10:10" x14ac:dyDescent="0.3">
      <c r="J105041"/>
    </row>
    <row r="105042" spans="10:10" x14ac:dyDescent="0.3">
      <c r="J105042"/>
    </row>
    <row r="105043" spans="10:10" x14ac:dyDescent="0.3">
      <c r="J105043"/>
    </row>
    <row r="105044" spans="10:10" x14ac:dyDescent="0.3">
      <c r="J105044"/>
    </row>
    <row r="105045" spans="10:10" x14ac:dyDescent="0.3">
      <c r="J105045"/>
    </row>
    <row r="105046" spans="10:10" x14ac:dyDescent="0.3">
      <c r="J105046"/>
    </row>
    <row r="105047" spans="10:10" x14ac:dyDescent="0.3">
      <c r="J105047"/>
    </row>
    <row r="105048" spans="10:10" x14ac:dyDescent="0.3">
      <c r="J105048"/>
    </row>
    <row r="105049" spans="10:10" x14ac:dyDescent="0.3">
      <c r="J105049"/>
    </row>
    <row r="105050" spans="10:10" x14ac:dyDescent="0.3">
      <c r="J105050"/>
    </row>
    <row r="105051" spans="10:10" x14ac:dyDescent="0.3">
      <c r="J105051"/>
    </row>
    <row r="105052" spans="10:10" x14ac:dyDescent="0.3">
      <c r="J105052"/>
    </row>
    <row r="105053" spans="10:10" x14ac:dyDescent="0.3">
      <c r="J105053"/>
    </row>
    <row r="105054" spans="10:10" x14ac:dyDescent="0.3">
      <c r="J105054"/>
    </row>
    <row r="105055" spans="10:10" x14ac:dyDescent="0.3">
      <c r="J105055"/>
    </row>
    <row r="105056" spans="10:10" x14ac:dyDescent="0.3">
      <c r="J105056"/>
    </row>
    <row r="105057" spans="10:10" x14ac:dyDescent="0.3">
      <c r="J105057"/>
    </row>
    <row r="105058" spans="10:10" x14ac:dyDescent="0.3">
      <c r="J105058"/>
    </row>
    <row r="105059" spans="10:10" x14ac:dyDescent="0.3">
      <c r="J105059"/>
    </row>
    <row r="105060" spans="10:10" x14ac:dyDescent="0.3">
      <c r="J105060"/>
    </row>
    <row r="105061" spans="10:10" x14ac:dyDescent="0.3">
      <c r="J105061"/>
    </row>
    <row r="105062" spans="10:10" x14ac:dyDescent="0.3">
      <c r="J105062"/>
    </row>
    <row r="105063" spans="10:10" x14ac:dyDescent="0.3">
      <c r="J105063"/>
    </row>
    <row r="105064" spans="10:10" x14ac:dyDescent="0.3">
      <c r="J105064"/>
    </row>
    <row r="105065" spans="10:10" x14ac:dyDescent="0.3">
      <c r="J105065"/>
    </row>
    <row r="105066" spans="10:10" x14ac:dyDescent="0.3">
      <c r="J105066"/>
    </row>
    <row r="105067" spans="10:10" x14ac:dyDescent="0.3">
      <c r="J105067"/>
    </row>
    <row r="105068" spans="10:10" x14ac:dyDescent="0.3">
      <c r="J105068"/>
    </row>
    <row r="105069" spans="10:10" x14ac:dyDescent="0.3">
      <c r="J105069"/>
    </row>
    <row r="105070" spans="10:10" x14ac:dyDescent="0.3">
      <c r="J105070"/>
    </row>
    <row r="105071" spans="10:10" x14ac:dyDescent="0.3">
      <c r="J105071"/>
    </row>
    <row r="105072" spans="10:10" x14ac:dyDescent="0.3">
      <c r="J105072"/>
    </row>
    <row r="105073" spans="10:10" x14ac:dyDescent="0.3">
      <c r="J105073"/>
    </row>
    <row r="105074" spans="10:10" x14ac:dyDescent="0.3">
      <c r="J105074"/>
    </row>
    <row r="105075" spans="10:10" x14ac:dyDescent="0.3">
      <c r="J105075"/>
    </row>
    <row r="105076" spans="10:10" x14ac:dyDescent="0.3">
      <c r="J105076"/>
    </row>
    <row r="105077" spans="10:10" x14ac:dyDescent="0.3">
      <c r="J105077"/>
    </row>
    <row r="105078" spans="10:10" x14ac:dyDescent="0.3">
      <c r="J105078"/>
    </row>
    <row r="105079" spans="10:10" x14ac:dyDescent="0.3">
      <c r="J105079"/>
    </row>
    <row r="105080" spans="10:10" x14ac:dyDescent="0.3">
      <c r="J105080"/>
    </row>
    <row r="105081" spans="10:10" x14ac:dyDescent="0.3">
      <c r="J105081"/>
    </row>
    <row r="105082" spans="10:10" x14ac:dyDescent="0.3">
      <c r="J105082"/>
    </row>
    <row r="105083" spans="10:10" x14ac:dyDescent="0.3">
      <c r="J105083"/>
    </row>
    <row r="105084" spans="10:10" x14ac:dyDescent="0.3">
      <c r="J105084"/>
    </row>
    <row r="105085" spans="10:10" x14ac:dyDescent="0.3">
      <c r="J105085"/>
    </row>
    <row r="105086" spans="10:10" x14ac:dyDescent="0.3">
      <c r="J105086"/>
    </row>
    <row r="105087" spans="10:10" x14ac:dyDescent="0.3">
      <c r="J105087"/>
    </row>
    <row r="105088" spans="10:10" x14ac:dyDescent="0.3">
      <c r="J105088"/>
    </row>
    <row r="105089" spans="10:10" x14ac:dyDescent="0.3">
      <c r="J105089"/>
    </row>
    <row r="105090" spans="10:10" x14ac:dyDescent="0.3">
      <c r="J105090"/>
    </row>
    <row r="105091" spans="10:10" x14ac:dyDescent="0.3">
      <c r="J105091"/>
    </row>
    <row r="105092" spans="10:10" x14ac:dyDescent="0.3">
      <c r="J105092"/>
    </row>
    <row r="105093" spans="10:10" x14ac:dyDescent="0.3">
      <c r="J105093"/>
    </row>
    <row r="105094" spans="10:10" x14ac:dyDescent="0.3">
      <c r="J105094"/>
    </row>
    <row r="105095" spans="10:10" x14ac:dyDescent="0.3">
      <c r="J105095"/>
    </row>
    <row r="105096" spans="10:10" x14ac:dyDescent="0.3">
      <c r="J105096"/>
    </row>
    <row r="105097" spans="10:10" x14ac:dyDescent="0.3">
      <c r="J105097"/>
    </row>
    <row r="105098" spans="10:10" x14ac:dyDescent="0.3">
      <c r="J105098"/>
    </row>
    <row r="105099" spans="10:10" x14ac:dyDescent="0.3">
      <c r="J105099"/>
    </row>
    <row r="105100" spans="10:10" x14ac:dyDescent="0.3">
      <c r="J105100"/>
    </row>
    <row r="105101" spans="10:10" x14ac:dyDescent="0.3">
      <c r="J105101"/>
    </row>
    <row r="105102" spans="10:10" x14ac:dyDescent="0.3">
      <c r="J105102"/>
    </row>
    <row r="105103" spans="10:10" x14ac:dyDescent="0.3">
      <c r="J105103"/>
    </row>
    <row r="105104" spans="10:10" x14ac:dyDescent="0.3">
      <c r="J105104"/>
    </row>
    <row r="105105" spans="10:10" x14ac:dyDescent="0.3">
      <c r="J105105"/>
    </row>
    <row r="105106" spans="10:10" x14ac:dyDescent="0.3">
      <c r="J105106"/>
    </row>
    <row r="105107" spans="10:10" x14ac:dyDescent="0.3">
      <c r="J105107"/>
    </row>
    <row r="105108" spans="10:10" x14ac:dyDescent="0.3">
      <c r="J105108"/>
    </row>
    <row r="105109" spans="10:10" x14ac:dyDescent="0.3">
      <c r="J105109"/>
    </row>
    <row r="105110" spans="10:10" x14ac:dyDescent="0.3">
      <c r="J105110"/>
    </row>
    <row r="105111" spans="10:10" x14ac:dyDescent="0.3">
      <c r="J105111"/>
    </row>
    <row r="105112" spans="10:10" x14ac:dyDescent="0.3">
      <c r="J105112"/>
    </row>
    <row r="105113" spans="10:10" x14ac:dyDescent="0.3">
      <c r="J105113"/>
    </row>
    <row r="105114" spans="10:10" x14ac:dyDescent="0.3">
      <c r="J105114"/>
    </row>
    <row r="105115" spans="10:10" x14ac:dyDescent="0.3">
      <c r="J105115"/>
    </row>
    <row r="105116" spans="10:10" x14ac:dyDescent="0.3">
      <c r="J105116"/>
    </row>
    <row r="105117" spans="10:10" x14ac:dyDescent="0.3">
      <c r="J105117"/>
    </row>
    <row r="105118" spans="10:10" x14ac:dyDescent="0.3">
      <c r="J105118"/>
    </row>
    <row r="105119" spans="10:10" x14ac:dyDescent="0.3">
      <c r="J105119"/>
    </row>
    <row r="105120" spans="10:10" x14ac:dyDescent="0.3">
      <c r="J105120"/>
    </row>
    <row r="105121" spans="10:10" x14ac:dyDescent="0.3">
      <c r="J105121"/>
    </row>
    <row r="105122" spans="10:10" x14ac:dyDescent="0.3">
      <c r="J105122"/>
    </row>
    <row r="105123" spans="10:10" x14ac:dyDescent="0.3">
      <c r="J105123"/>
    </row>
    <row r="105124" spans="10:10" x14ac:dyDescent="0.3">
      <c r="J105124"/>
    </row>
    <row r="105125" spans="10:10" x14ac:dyDescent="0.3">
      <c r="J105125"/>
    </row>
    <row r="105126" spans="10:10" x14ac:dyDescent="0.3">
      <c r="J105126"/>
    </row>
    <row r="105127" spans="10:10" x14ac:dyDescent="0.3">
      <c r="J105127"/>
    </row>
    <row r="105128" spans="10:10" x14ac:dyDescent="0.3">
      <c r="J105128"/>
    </row>
    <row r="105129" spans="10:10" x14ac:dyDescent="0.3">
      <c r="J105129"/>
    </row>
    <row r="105130" spans="10:10" x14ac:dyDescent="0.3">
      <c r="J105130"/>
    </row>
    <row r="105131" spans="10:10" x14ac:dyDescent="0.3">
      <c r="J105131"/>
    </row>
    <row r="105132" spans="10:10" x14ac:dyDescent="0.3">
      <c r="J105132"/>
    </row>
    <row r="105133" spans="10:10" x14ac:dyDescent="0.3">
      <c r="J105133"/>
    </row>
    <row r="105134" spans="10:10" x14ac:dyDescent="0.3">
      <c r="J105134"/>
    </row>
    <row r="105135" spans="10:10" x14ac:dyDescent="0.3">
      <c r="J105135"/>
    </row>
    <row r="105136" spans="10:10" x14ac:dyDescent="0.3">
      <c r="J105136"/>
    </row>
    <row r="105137" spans="10:10" x14ac:dyDescent="0.3">
      <c r="J105137"/>
    </row>
    <row r="105138" spans="10:10" x14ac:dyDescent="0.3">
      <c r="J105138"/>
    </row>
    <row r="105139" spans="10:10" x14ac:dyDescent="0.3">
      <c r="J105139"/>
    </row>
    <row r="105140" spans="10:10" x14ac:dyDescent="0.3">
      <c r="J105140"/>
    </row>
    <row r="105141" spans="10:10" x14ac:dyDescent="0.3">
      <c r="J105141"/>
    </row>
    <row r="105142" spans="10:10" x14ac:dyDescent="0.3">
      <c r="J105142"/>
    </row>
    <row r="105143" spans="10:10" x14ac:dyDescent="0.3">
      <c r="J105143"/>
    </row>
    <row r="105144" spans="10:10" x14ac:dyDescent="0.3">
      <c r="J105144"/>
    </row>
    <row r="105145" spans="10:10" x14ac:dyDescent="0.3">
      <c r="J105145"/>
    </row>
    <row r="105146" spans="10:10" x14ac:dyDescent="0.3">
      <c r="J105146"/>
    </row>
    <row r="105147" spans="10:10" x14ac:dyDescent="0.3">
      <c r="J105147"/>
    </row>
    <row r="105148" spans="10:10" x14ac:dyDescent="0.3">
      <c r="J105148"/>
    </row>
    <row r="105149" spans="10:10" x14ac:dyDescent="0.3">
      <c r="J105149"/>
    </row>
    <row r="105150" spans="10:10" x14ac:dyDescent="0.3">
      <c r="J105150"/>
    </row>
    <row r="105151" spans="10:10" x14ac:dyDescent="0.3">
      <c r="J105151"/>
    </row>
    <row r="105152" spans="10:10" x14ac:dyDescent="0.3">
      <c r="J105152"/>
    </row>
    <row r="105153" spans="10:10" x14ac:dyDescent="0.3">
      <c r="J105153"/>
    </row>
    <row r="105154" spans="10:10" x14ac:dyDescent="0.3">
      <c r="J105154"/>
    </row>
    <row r="105155" spans="10:10" x14ac:dyDescent="0.3">
      <c r="J105155"/>
    </row>
    <row r="105156" spans="10:10" x14ac:dyDescent="0.3">
      <c r="J105156"/>
    </row>
    <row r="105157" spans="10:10" x14ac:dyDescent="0.3">
      <c r="J105157"/>
    </row>
    <row r="105158" spans="10:10" x14ac:dyDescent="0.3">
      <c r="J105158"/>
    </row>
    <row r="105159" spans="10:10" x14ac:dyDescent="0.3">
      <c r="J105159"/>
    </row>
    <row r="105160" spans="10:10" x14ac:dyDescent="0.3">
      <c r="J105160"/>
    </row>
    <row r="105161" spans="10:10" x14ac:dyDescent="0.3">
      <c r="J105161"/>
    </row>
    <row r="105162" spans="10:10" x14ac:dyDescent="0.3">
      <c r="J105162"/>
    </row>
    <row r="105163" spans="10:10" x14ac:dyDescent="0.3">
      <c r="J105163"/>
    </row>
    <row r="105164" spans="10:10" x14ac:dyDescent="0.3">
      <c r="J105164"/>
    </row>
    <row r="105165" spans="10:10" x14ac:dyDescent="0.3">
      <c r="J105165"/>
    </row>
    <row r="105166" spans="10:10" x14ac:dyDescent="0.3">
      <c r="J105166"/>
    </row>
    <row r="105167" spans="10:10" x14ac:dyDescent="0.3">
      <c r="J105167"/>
    </row>
    <row r="105168" spans="10:10" x14ac:dyDescent="0.3">
      <c r="J105168"/>
    </row>
    <row r="105169" spans="10:10" x14ac:dyDescent="0.3">
      <c r="J105169"/>
    </row>
    <row r="105170" spans="10:10" x14ac:dyDescent="0.3">
      <c r="J105170"/>
    </row>
    <row r="105171" spans="10:10" x14ac:dyDescent="0.3">
      <c r="J105171"/>
    </row>
    <row r="105172" spans="10:10" x14ac:dyDescent="0.3">
      <c r="J105172"/>
    </row>
    <row r="105173" spans="10:10" x14ac:dyDescent="0.3">
      <c r="J105173"/>
    </row>
    <row r="105174" spans="10:10" x14ac:dyDescent="0.3">
      <c r="J105174"/>
    </row>
    <row r="105175" spans="10:10" x14ac:dyDescent="0.3">
      <c r="J105175"/>
    </row>
    <row r="105176" spans="10:10" x14ac:dyDescent="0.3">
      <c r="J105176"/>
    </row>
    <row r="105177" spans="10:10" x14ac:dyDescent="0.3">
      <c r="J105177"/>
    </row>
    <row r="105178" spans="10:10" x14ac:dyDescent="0.3">
      <c r="J105178"/>
    </row>
    <row r="105179" spans="10:10" x14ac:dyDescent="0.3">
      <c r="J105179"/>
    </row>
    <row r="105180" spans="10:10" x14ac:dyDescent="0.3">
      <c r="J105180"/>
    </row>
    <row r="105181" spans="10:10" x14ac:dyDescent="0.3">
      <c r="J105181"/>
    </row>
    <row r="105182" spans="10:10" x14ac:dyDescent="0.3">
      <c r="J105182"/>
    </row>
    <row r="105183" spans="10:10" x14ac:dyDescent="0.3">
      <c r="J105183"/>
    </row>
    <row r="105184" spans="10:10" x14ac:dyDescent="0.3">
      <c r="J105184"/>
    </row>
    <row r="105185" spans="10:10" x14ac:dyDescent="0.3">
      <c r="J105185"/>
    </row>
    <row r="105186" spans="10:10" x14ac:dyDescent="0.3">
      <c r="J105186"/>
    </row>
    <row r="105187" spans="10:10" x14ac:dyDescent="0.3">
      <c r="J105187"/>
    </row>
    <row r="105188" spans="10:10" x14ac:dyDescent="0.3">
      <c r="J105188"/>
    </row>
    <row r="105189" spans="10:10" x14ac:dyDescent="0.3">
      <c r="J105189"/>
    </row>
    <row r="105190" spans="10:10" x14ac:dyDescent="0.3">
      <c r="J105190"/>
    </row>
    <row r="105191" spans="10:10" x14ac:dyDescent="0.3">
      <c r="J105191"/>
    </row>
    <row r="105192" spans="10:10" x14ac:dyDescent="0.3">
      <c r="J105192"/>
    </row>
    <row r="105193" spans="10:10" x14ac:dyDescent="0.3">
      <c r="J105193"/>
    </row>
    <row r="105194" spans="10:10" x14ac:dyDescent="0.3">
      <c r="J105194"/>
    </row>
    <row r="105195" spans="10:10" x14ac:dyDescent="0.3">
      <c r="J105195"/>
    </row>
    <row r="105196" spans="10:10" x14ac:dyDescent="0.3">
      <c r="J105196"/>
    </row>
    <row r="105197" spans="10:10" x14ac:dyDescent="0.3">
      <c r="J105197"/>
    </row>
    <row r="105198" spans="10:10" x14ac:dyDescent="0.3">
      <c r="J105198"/>
    </row>
    <row r="105199" spans="10:10" x14ac:dyDescent="0.3">
      <c r="J105199"/>
    </row>
    <row r="105200" spans="10:10" x14ac:dyDescent="0.3">
      <c r="J105200"/>
    </row>
    <row r="105201" spans="10:10" x14ac:dyDescent="0.3">
      <c r="J105201"/>
    </row>
    <row r="105202" spans="10:10" x14ac:dyDescent="0.3">
      <c r="J105202"/>
    </row>
    <row r="105203" spans="10:10" x14ac:dyDescent="0.3">
      <c r="J105203"/>
    </row>
    <row r="105204" spans="10:10" x14ac:dyDescent="0.3">
      <c r="J105204"/>
    </row>
    <row r="105205" spans="10:10" x14ac:dyDescent="0.3">
      <c r="J105205"/>
    </row>
    <row r="105206" spans="10:10" x14ac:dyDescent="0.3">
      <c r="J105206"/>
    </row>
    <row r="105207" spans="10:10" x14ac:dyDescent="0.3">
      <c r="J105207"/>
    </row>
    <row r="105208" spans="10:10" x14ac:dyDescent="0.3">
      <c r="J105208"/>
    </row>
    <row r="105209" spans="10:10" x14ac:dyDescent="0.3">
      <c r="J105209"/>
    </row>
    <row r="105210" spans="10:10" x14ac:dyDescent="0.3">
      <c r="J105210"/>
    </row>
    <row r="105211" spans="10:10" x14ac:dyDescent="0.3">
      <c r="J105211"/>
    </row>
    <row r="105212" spans="10:10" x14ac:dyDescent="0.3">
      <c r="J105212"/>
    </row>
    <row r="105213" spans="10:10" x14ac:dyDescent="0.3">
      <c r="J105213"/>
    </row>
    <row r="105214" spans="10:10" x14ac:dyDescent="0.3">
      <c r="J105214"/>
    </row>
    <row r="105215" spans="10:10" x14ac:dyDescent="0.3">
      <c r="J105215"/>
    </row>
    <row r="105216" spans="10:10" x14ac:dyDescent="0.3">
      <c r="J105216"/>
    </row>
    <row r="105217" spans="10:10" x14ac:dyDescent="0.3">
      <c r="J105217"/>
    </row>
    <row r="105218" spans="10:10" x14ac:dyDescent="0.3">
      <c r="J105218"/>
    </row>
    <row r="105219" spans="10:10" x14ac:dyDescent="0.3">
      <c r="J105219"/>
    </row>
    <row r="105220" spans="10:10" x14ac:dyDescent="0.3">
      <c r="J105220"/>
    </row>
    <row r="105221" spans="10:10" x14ac:dyDescent="0.3">
      <c r="J105221"/>
    </row>
    <row r="105222" spans="10:10" x14ac:dyDescent="0.3">
      <c r="J105222"/>
    </row>
    <row r="105223" spans="10:10" x14ac:dyDescent="0.3">
      <c r="J105223"/>
    </row>
    <row r="105224" spans="10:10" x14ac:dyDescent="0.3">
      <c r="J105224"/>
    </row>
    <row r="105225" spans="10:10" x14ac:dyDescent="0.3">
      <c r="J105225"/>
    </row>
    <row r="105226" spans="10:10" x14ac:dyDescent="0.3">
      <c r="J105226"/>
    </row>
    <row r="105227" spans="10:10" x14ac:dyDescent="0.3">
      <c r="J105227"/>
    </row>
    <row r="105228" spans="10:10" x14ac:dyDescent="0.3">
      <c r="J105228"/>
    </row>
    <row r="105229" spans="10:10" x14ac:dyDescent="0.3">
      <c r="J105229"/>
    </row>
    <row r="105230" spans="10:10" x14ac:dyDescent="0.3">
      <c r="J105230"/>
    </row>
    <row r="105231" spans="10:10" x14ac:dyDescent="0.3">
      <c r="J105231"/>
    </row>
    <row r="105232" spans="10:10" x14ac:dyDescent="0.3">
      <c r="J105232"/>
    </row>
    <row r="105233" spans="10:10" x14ac:dyDescent="0.3">
      <c r="J105233"/>
    </row>
    <row r="105234" spans="10:10" x14ac:dyDescent="0.3">
      <c r="J105234"/>
    </row>
    <row r="105235" spans="10:10" x14ac:dyDescent="0.3">
      <c r="J105235"/>
    </row>
    <row r="105236" spans="10:10" x14ac:dyDescent="0.3">
      <c r="J105236"/>
    </row>
    <row r="105237" spans="10:10" x14ac:dyDescent="0.3">
      <c r="J105237"/>
    </row>
    <row r="105238" spans="10:10" x14ac:dyDescent="0.3">
      <c r="J105238"/>
    </row>
    <row r="105239" spans="10:10" x14ac:dyDescent="0.3">
      <c r="J105239"/>
    </row>
    <row r="105240" spans="10:10" x14ac:dyDescent="0.3">
      <c r="J105240"/>
    </row>
    <row r="105241" spans="10:10" x14ac:dyDescent="0.3">
      <c r="J105241"/>
    </row>
    <row r="105242" spans="10:10" x14ac:dyDescent="0.3">
      <c r="J105242"/>
    </row>
    <row r="105243" spans="10:10" x14ac:dyDescent="0.3">
      <c r="J105243"/>
    </row>
    <row r="105244" spans="10:10" x14ac:dyDescent="0.3">
      <c r="J105244"/>
    </row>
    <row r="105245" spans="10:10" x14ac:dyDescent="0.3">
      <c r="J105245"/>
    </row>
    <row r="105246" spans="10:10" x14ac:dyDescent="0.3">
      <c r="J105246"/>
    </row>
    <row r="105247" spans="10:10" x14ac:dyDescent="0.3">
      <c r="J105247"/>
    </row>
    <row r="105248" spans="10:10" x14ac:dyDescent="0.3">
      <c r="J105248"/>
    </row>
    <row r="105249" spans="10:10" x14ac:dyDescent="0.3">
      <c r="J105249"/>
    </row>
    <row r="105250" spans="10:10" x14ac:dyDescent="0.3">
      <c r="J105250"/>
    </row>
    <row r="105251" spans="10:10" x14ac:dyDescent="0.3">
      <c r="J105251"/>
    </row>
    <row r="105252" spans="10:10" x14ac:dyDescent="0.3">
      <c r="J105252"/>
    </row>
    <row r="105253" spans="10:10" x14ac:dyDescent="0.3">
      <c r="J105253"/>
    </row>
    <row r="105254" spans="10:10" x14ac:dyDescent="0.3">
      <c r="J105254"/>
    </row>
    <row r="105255" spans="10:10" x14ac:dyDescent="0.3">
      <c r="J105255"/>
    </row>
    <row r="105256" spans="10:10" x14ac:dyDescent="0.3">
      <c r="J105256"/>
    </row>
    <row r="105257" spans="10:10" x14ac:dyDescent="0.3">
      <c r="J105257"/>
    </row>
    <row r="105258" spans="10:10" x14ac:dyDescent="0.3">
      <c r="J105258"/>
    </row>
    <row r="105259" spans="10:10" x14ac:dyDescent="0.3">
      <c r="J105259"/>
    </row>
    <row r="105260" spans="10:10" x14ac:dyDescent="0.3">
      <c r="J105260"/>
    </row>
    <row r="105261" spans="10:10" x14ac:dyDescent="0.3">
      <c r="J105261"/>
    </row>
    <row r="105262" spans="10:10" x14ac:dyDescent="0.3">
      <c r="J105262"/>
    </row>
    <row r="105263" spans="10:10" x14ac:dyDescent="0.3">
      <c r="J105263"/>
    </row>
    <row r="105264" spans="10:10" x14ac:dyDescent="0.3">
      <c r="J105264"/>
    </row>
    <row r="105265" spans="10:10" x14ac:dyDescent="0.3">
      <c r="J105265"/>
    </row>
    <row r="105266" spans="10:10" x14ac:dyDescent="0.3">
      <c r="J105266"/>
    </row>
    <row r="105267" spans="10:10" x14ac:dyDescent="0.3">
      <c r="J105267"/>
    </row>
    <row r="105268" spans="10:10" x14ac:dyDescent="0.3">
      <c r="J105268"/>
    </row>
    <row r="105269" spans="10:10" x14ac:dyDescent="0.3">
      <c r="J105269"/>
    </row>
    <row r="105270" spans="10:10" x14ac:dyDescent="0.3">
      <c r="J105270"/>
    </row>
    <row r="105271" spans="10:10" x14ac:dyDescent="0.3">
      <c r="J105271"/>
    </row>
    <row r="105272" spans="10:10" x14ac:dyDescent="0.3">
      <c r="J105272"/>
    </row>
    <row r="105273" spans="10:10" x14ac:dyDescent="0.3">
      <c r="J105273"/>
    </row>
    <row r="105274" spans="10:10" x14ac:dyDescent="0.3">
      <c r="J105274"/>
    </row>
    <row r="105275" spans="10:10" x14ac:dyDescent="0.3">
      <c r="J105275"/>
    </row>
    <row r="105276" spans="10:10" x14ac:dyDescent="0.3">
      <c r="J105276"/>
    </row>
    <row r="105277" spans="10:10" x14ac:dyDescent="0.3">
      <c r="J105277"/>
    </row>
    <row r="105278" spans="10:10" x14ac:dyDescent="0.3">
      <c r="J105278"/>
    </row>
    <row r="105279" spans="10:10" x14ac:dyDescent="0.3">
      <c r="J105279"/>
    </row>
    <row r="105280" spans="10:10" x14ac:dyDescent="0.3">
      <c r="J105280"/>
    </row>
    <row r="105281" spans="10:10" x14ac:dyDescent="0.3">
      <c r="J105281"/>
    </row>
    <row r="105282" spans="10:10" x14ac:dyDescent="0.3">
      <c r="J105282"/>
    </row>
    <row r="105283" spans="10:10" x14ac:dyDescent="0.3">
      <c r="J105283"/>
    </row>
    <row r="105284" spans="10:10" x14ac:dyDescent="0.3">
      <c r="J105284"/>
    </row>
    <row r="105285" spans="10:10" x14ac:dyDescent="0.3">
      <c r="J105285"/>
    </row>
    <row r="105286" spans="10:10" x14ac:dyDescent="0.3">
      <c r="J105286"/>
    </row>
    <row r="105287" spans="10:10" x14ac:dyDescent="0.3">
      <c r="J105287"/>
    </row>
    <row r="105288" spans="10:10" x14ac:dyDescent="0.3">
      <c r="J105288"/>
    </row>
    <row r="105289" spans="10:10" x14ac:dyDescent="0.3">
      <c r="J105289"/>
    </row>
    <row r="105290" spans="10:10" x14ac:dyDescent="0.3">
      <c r="J105290"/>
    </row>
    <row r="105291" spans="10:10" x14ac:dyDescent="0.3">
      <c r="J105291"/>
    </row>
    <row r="105292" spans="10:10" x14ac:dyDescent="0.3">
      <c r="J105292"/>
    </row>
    <row r="105293" spans="10:10" x14ac:dyDescent="0.3">
      <c r="J105293"/>
    </row>
    <row r="105294" spans="10:10" x14ac:dyDescent="0.3">
      <c r="J105294"/>
    </row>
    <row r="105295" spans="10:10" x14ac:dyDescent="0.3">
      <c r="J105295"/>
    </row>
    <row r="105296" spans="10:10" x14ac:dyDescent="0.3">
      <c r="J105296"/>
    </row>
    <row r="105297" spans="10:10" x14ac:dyDescent="0.3">
      <c r="J105297"/>
    </row>
    <row r="105298" spans="10:10" x14ac:dyDescent="0.3">
      <c r="J105298"/>
    </row>
    <row r="105299" spans="10:10" x14ac:dyDescent="0.3">
      <c r="J105299"/>
    </row>
    <row r="105300" spans="10:10" x14ac:dyDescent="0.3">
      <c r="J105300"/>
    </row>
    <row r="105301" spans="10:10" x14ac:dyDescent="0.3">
      <c r="J105301"/>
    </row>
    <row r="105302" spans="10:10" x14ac:dyDescent="0.3">
      <c r="J105302"/>
    </row>
    <row r="105303" spans="10:10" x14ac:dyDescent="0.3">
      <c r="J105303"/>
    </row>
    <row r="105304" spans="10:10" x14ac:dyDescent="0.3">
      <c r="J105304"/>
    </row>
    <row r="105305" spans="10:10" x14ac:dyDescent="0.3">
      <c r="J105305"/>
    </row>
    <row r="105306" spans="10:10" x14ac:dyDescent="0.3">
      <c r="J105306"/>
    </row>
    <row r="105307" spans="10:10" x14ac:dyDescent="0.3">
      <c r="J105307"/>
    </row>
    <row r="105308" spans="10:10" x14ac:dyDescent="0.3">
      <c r="J105308"/>
    </row>
    <row r="105309" spans="10:10" x14ac:dyDescent="0.3">
      <c r="J105309"/>
    </row>
    <row r="105310" spans="10:10" x14ac:dyDescent="0.3">
      <c r="J105310"/>
    </row>
    <row r="105311" spans="10:10" x14ac:dyDescent="0.3">
      <c r="J105311"/>
    </row>
    <row r="105312" spans="10:10" x14ac:dyDescent="0.3">
      <c r="J105312"/>
    </row>
    <row r="105313" spans="10:10" x14ac:dyDescent="0.3">
      <c r="J105313"/>
    </row>
    <row r="105314" spans="10:10" x14ac:dyDescent="0.3">
      <c r="J105314"/>
    </row>
    <row r="105315" spans="10:10" x14ac:dyDescent="0.3">
      <c r="J105315"/>
    </row>
    <row r="105316" spans="10:10" x14ac:dyDescent="0.3">
      <c r="J105316"/>
    </row>
    <row r="105317" spans="10:10" x14ac:dyDescent="0.3">
      <c r="J105317"/>
    </row>
    <row r="105318" spans="10:10" x14ac:dyDescent="0.3">
      <c r="J105318"/>
    </row>
    <row r="105319" spans="10:10" x14ac:dyDescent="0.3">
      <c r="J105319"/>
    </row>
    <row r="105320" spans="10:10" x14ac:dyDescent="0.3">
      <c r="J105320"/>
    </row>
    <row r="105321" spans="10:10" x14ac:dyDescent="0.3">
      <c r="J105321"/>
    </row>
    <row r="105322" spans="10:10" x14ac:dyDescent="0.3">
      <c r="J105322"/>
    </row>
    <row r="105323" spans="10:10" x14ac:dyDescent="0.3">
      <c r="J105323"/>
    </row>
    <row r="105324" spans="10:10" x14ac:dyDescent="0.3">
      <c r="J105324"/>
    </row>
    <row r="105325" spans="10:10" x14ac:dyDescent="0.3">
      <c r="J105325"/>
    </row>
    <row r="105326" spans="10:10" x14ac:dyDescent="0.3">
      <c r="J105326"/>
    </row>
    <row r="105327" spans="10:10" x14ac:dyDescent="0.3">
      <c r="J105327"/>
    </row>
    <row r="105328" spans="10:10" x14ac:dyDescent="0.3">
      <c r="J105328"/>
    </row>
    <row r="105329" spans="10:10" x14ac:dyDescent="0.3">
      <c r="J105329"/>
    </row>
    <row r="105330" spans="10:10" x14ac:dyDescent="0.3">
      <c r="J105330"/>
    </row>
    <row r="105331" spans="10:10" x14ac:dyDescent="0.3">
      <c r="J105331"/>
    </row>
    <row r="105332" spans="10:10" x14ac:dyDescent="0.3">
      <c r="J105332"/>
    </row>
    <row r="105333" spans="10:10" x14ac:dyDescent="0.3">
      <c r="J105333"/>
    </row>
    <row r="105334" spans="10:10" x14ac:dyDescent="0.3">
      <c r="J105334"/>
    </row>
    <row r="105335" spans="10:10" x14ac:dyDescent="0.3">
      <c r="J105335"/>
    </row>
    <row r="105336" spans="10:10" x14ac:dyDescent="0.3">
      <c r="J105336"/>
    </row>
    <row r="105337" spans="10:10" x14ac:dyDescent="0.3">
      <c r="J105337"/>
    </row>
    <row r="105338" spans="10:10" x14ac:dyDescent="0.3">
      <c r="J105338"/>
    </row>
    <row r="105339" spans="10:10" x14ac:dyDescent="0.3">
      <c r="J105339"/>
    </row>
    <row r="105340" spans="10:10" x14ac:dyDescent="0.3">
      <c r="J105340"/>
    </row>
    <row r="105341" spans="10:10" x14ac:dyDescent="0.3">
      <c r="J105341"/>
    </row>
    <row r="105342" spans="10:10" x14ac:dyDescent="0.3">
      <c r="J105342"/>
    </row>
    <row r="105343" spans="10:10" x14ac:dyDescent="0.3">
      <c r="J105343"/>
    </row>
    <row r="105344" spans="10:10" x14ac:dyDescent="0.3">
      <c r="J105344"/>
    </row>
    <row r="105345" spans="10:10" x14ac:dyDescent="0.3">
      <c r="J105345"/>
    </row>
    <row r="105346" spans="10:10" x14ac:dyDescent="0.3">
      <c r="J105346"/>
    </row>
    <row r="105347" spans="10:10" x14ac:dyDescent="0.3">
      <c r="J105347"/>
    </row>
    <row r="105348" spans="10:10" x14ac:dyDescent="0.3">
      <c r="J105348"/>
    </row>
    <row r="105349" spans="10:10" x14ac:dyDescent="0.3">
      <c r="J105349"/>
    </row>
    <row r="105350" spans="10:10" x14ac:dyDescent="0.3">
      <c r="J105350"/>
    </row>
    <row r="105351" spans="10:10" x14ac:dyDescent="0.3">
      <c r="J105351"/>
    </row>
    <row r="105352" spans="10:10" x14ac:dyDescent="0.3">
      <c r="J105352"/>
    </row>
    <row r="105353" spans="10:10" x14ac:dyDescent="0.3">
      <c r="J105353"/>
    </row>
    <row r="105354" spans="10:10" x14ac:dyDescent="0.3">
      <c r="J105354"/>
    </row>
    <row r="105355" spans="10:10" x14ac:dyDescent="0.3">
      <c r="J105355"/>
    </row>
    <row r="105356" spans="10:10" x14ac:dyDescent="0.3">
      <c r="J105356"/>
    </row>
    <row r="105357" spans="10:10" x14ac:dyDescent="0.3">
      <c r="J105357"/>
    </row>
    <row r="105358" spans="10:10" x14ac:dyDescent="0.3">
      <c r="J105358"/>
    </row>
    <row r="105359" spans="10:10" x14ac:dyDescent="0.3">
      <c r="J105359"/>
    </row>
    <row r="105360" spans="10:10" x14ac:dyDescent="0.3">
      <c r="J105360"/>
    </row>
    <row r="105361" spans="10:10" x14ac:dyDescent="0.3">
      <c r="J105361"/>
    </row>
    <row r="105362" spans="10:10" x14ac:dyDescent="0.3">
      <c r="J105362"/>
    </row>
    <row r="105363" spans="10:10" x14ac:dyDescent="0.3">
      <c r="J105363"/>
    </row>
    <row r="105364" spans="10:10" x14ac:dyDescent="0.3">
      <c r="J105364"/>
    </row>
    <row r="105365" spans="10:10" x14ac:dyDescent="0.3">
      <c r="J105365"/>
    </row>
    <row r="105366" spans="10:10" x14ac:dyDescent="0.3">
      <c r="J105366"/>
    </row>
    <row r="105367" spans="10:10" x14ac:dyDescent="0.3">
      <c r="J105367"/>
    </row>
    <row r="105368" spans="10:10" x14ac:dyDescent="0.3">
      <c r="J105368"/>
    </row>
    <row r="105369" spans="10:10" x14ac:dyDescent="0.3">
      <c r="J105369"/>
    </row>
    <row r="105370" spans="10:10" x14ac:dyDescent="0.3">
      <c r="J105370"/>
    </row>
    <row r="105371" spans="10:10" x14ac:dyDescent="0.3">
      <c r="J105371"/>
    </row>
    <row r="105372" spans="10:10" x14ac:dyDescent="0.3">
      <c r="J105372"/>
    </row>
    <row r="105373" spans="10:10" x14ac:dyDescent="0.3">
      <c r="J105373"/>
    </row>
    <row r="105374" spans="10:10" x14ac:dyDescent="0.3">
      <c r="J105374"/>
    </row>
    <row r="105375" spans="10:10" x14ac:dyDescent="0.3">
      <c r="J105375"/>
    </row>
    <row r="105376" spans="10:10" x14ac:dyDescent="0.3">
      <c r="J105376"/>
    </row>
    <row r="105377" spans="10:10" x14ac:dyDescent="0.3">
      <c r="J105377"/>
    </row>
    <row r="105378" spans="10:10" x14ac:dyDescent="0.3">
      <c r="J105378"/>
    </row>
    <row r="105379" spans="10:10" x14ac:dyDescent="0.3">
      <c r="J105379"/>
    </row>
    <row r="105380" spans="10:10" x14ac:dyDescent="0.3">
      <c r="J105380"/>
    </row>
    <row r="105381" spans="10:10" x14ac:dyDescent="0.3">
      <c r="J105381"/>
    </row>
    <row r="105382" spans="10:10" x14ac:dyDescent="0.3">
      <c r="J105382"/>
    </row>
    <row r="105383" spans="10:10" x14ac:dyDescent="0.3">
      <c r="J105383"/>
    </row>
    <row r="105384" spans="10:10" x14ac:dyDescent="0.3">
      <c r="J105384"/>
    </row>
    <row r="105385" spans="10:10" x14ac:dyDescent="0.3">
      <c r="J105385"/>
    </row>
    <row r="105386" spans="10:10" x14ac:dyDescent="0.3">
      <c r="J105386"/>
    </row>
    <row r="105387" spans="10:10" x14ac:dyDescent="0.3">
      <c r="J105387"/>
    </row>
    <row r="105388" spans="10:10" x14ac:dyDescent="0.3">
      <c r="J105388"/>
    </row>
    <row r="105389" spans="10:10" x14ac:dyDescent="0.3">
      <c r="J105389"/>
    </row>
    <row r="105390" spans="10:10" x14ac:dyDescent="0.3">
      <c r="J105390"/>
    </row>
    <row r="105391" spans="10:10" x14ac:dyDescent="0.3">
      <c r="J105391"/>
    </row>
    <row r="105392" spans="10:10" x14ac:dyDescent="0.3">
      <c r="J105392"/>
    </row>
    <row r="105393" spans="10:10" x14ac:dyDescent="0.3">
      <c r="J105393"/>
    </row>
    <row r="105394" spans="10:10" x14ac:dyDescent="0.3">
      <c r="J105394"/>
    </row>
    <row r="105395" spans="10:10" x14ac:dyDescent="0.3">
      <c r="J105395"/>
    </row>
    <row r="105396" spans="10:10" x14ac:dyDescent="0.3">
      <c r="J105396"/>
    </row>
    <row r="105397" spans="10:10" x14ac:dyDescent="0.3">
      <c r="J105397"/>
    </row>
    <row r="105398" spans="10:10" x14ac:dyDescent="0.3">
      <c r="J105398"/>
    </row>
    <row r="105399" spans="10:10" x14ac:dyDescent="0.3">
      <c r="J105399"/>
    </row>
    <row r="105400" spans="10:10" x14ac:dyDescent="0.3">
      <c r="J105400"/>
    </row>
    <row r="105401" spans="10:10" x14ac:dyDescent="0.3">
      <c r="J105401"/>
    </row>
    <row r="105402" spans="10:10" x14ac:dyDescent="0.3">
      <c r="J105402"/>
    </row>
    <row r="105403" spans="10:10" x14ac:dyDescent="0.3">
      <c r="J105403"/>
    </row>
    <row r="105404" spans="10:10" x14ac:dyDescent="0.3">
      <c r="J105404"/>
    </row>
    <row r="105405" spans="10:10" x14ac:dyDescent="0.3">
      <c r="J105405"/>
    </row>
    <row r="105406" spans="10:10" x14ac:dyDescent="0.3">
      <c r="J105406"/>
    </row>
    <row r="105407" spans="10:10" x14ac:dyDescent="0.3">
      <c r="J105407"/>
    </row>
    <row r="105408" spans="10:10" x14ac:dyDescent="0.3">
      <c r="J105408"/>
    </row>
    <row r="105409" spans="10:10" x14ac:dyDescent="0.3">
      <c r="J105409"/>
    </row>
    <row r="105410" spans="10:10" x14ac:dyDescent="0.3">
      <c r="J105410"/>
    </row>
    <row r="105411" spans="10:10" x14ac:dyDescent="0.3">
      <c r="J105411"/>
    </row>
    <row r="105412" spans="10:10" x14ac:dyDescent="0.3">
      <c r="J105412"/>
    </row>
    <row r="105413" spans="10:10" x14ac:dyDescent="0.3">
      <c r="J105413"/>
    </row>
    <row r="105414" spans="10:10" x14ac:dyDescent="0.3">
      <c r="J105414"/>
    </row>
    <row r="105415" spans="10:10" x14ac:dyDescent="0.3">
      <c r="J105415"/>
    </row>
    <row r="105416" spans="10:10" x14ac:dyDescent="0.3">
      <c r="J105416"/>
    </row>
    <row r="105417" spans="10:10" x14ac:dyDescent="0.3">
      <c r="J105417"/>
    </row>
    <row r="105418" spans="10:10" x14ac:dyDescent="0.3">
      <c r="J105418"/>
    </row>
    <row r="105419" spans="10:10" x14ac:dyDescent="0.3">
      <c r="J105419"/>
    </row>
    <row r="105420" spans="10:10" x14ac:dyDescent="0.3">
      <c r="J105420"/>
    </row>
    <row r="105421" spans="10:10" x14ac:dyDescent="0.3">
      <c r="J105421"/>
    </row>
    <row r="105422" spans="10:10" x14ac:dyDescent="0.3">
      <c r="J105422"/>
    </row>
    <row r="105423" spans="10:10" x14ac:dyDescent="0.3">
      <c r="J105423"/>
    </row>
    <row r="105424" spans="10:10" x14ac:dyDescent="0.3">
      <c r="J105424"/>
    </row>
    <row r="105425" spans="10:10" x14ac:dyDescent="0.3">
      <c r="J105425"/>
    </row>
    <row r="105426" spans="10:10" x14ac:dyDescent="0.3">
      <c r="J105426"/>
    </row>
    <row r="105427" spans="10:10" x14ac:dyDescent="0.3">
      <c r="J105427"/>
    </row>
    <row r="105428" spans="10:10" x14ac:dyDescent="0.3">
      <c r="J105428"/>
    </row>
    <row r="105429" spans="10:10" x14ac:dyDescent="0.3">
      <c r="J105429"/>
    </row>
    <row r="105430" spans="10:10" x14ac:dyDescent="0.3">
      <c r="J105430"/>
    </row>
    <row r="105431" spans="10:10" x14ac:dyDescent="0.3">
      <c r="J105431"/>
    </row>
    <row r="105432" spans="10:10" x14ac:dyDescent="0.3">
      <c r="J105432"/>
    </row>
    <row r="105433" spans="10:10" x14ac:dyDescent="0.3">
      <c r="J105433"/>
    </row>
    <row r="105434" spans="10:10" x14ac:dyDescent="0.3">
      <c r="J105434"/>
    </row>
    <row r="105435" spans="10:10" x14ac:dyDescent="0.3">
      <c r="J105435"/>
    </row>
    <row r="105436" spans="10:10" x14ac:dyDescent="0.3">
      <c r="J105436"/>
    </row>
    <row r="105437" spans="10:10" x14ac:dyDescent="0.3">
      <c r="J105437"/>
    </row>
    <row r="105438" spans="10:10" x14ac:dyDescent="0.3">
      <c r="J105438"/>
    </row>
    <row r="105439" spans="10:10" x14ac:dyDescent="0.3">
      <c r="J105439"/>
    </row>
    <row r="105440" spans="10:10" x14ac:dyDescent="0.3">
      <c r="J105440"/>
    </row>
    <row r="105441" spans="10:10" x14ac:dyDescent="0.3">
      <c r="J105441"/>
    </row>
    <row r="105442" spans="10:10" x14ac:dyDescent="0.3">
      <c r="J105442"/>
    </row>
    <row r="105443" spans="10:10" x14ac:dyDescent="0.3">
      <c r="J105443"/>
    </row>
    <row r="105444" spans="10:10" x14ac:dyDescent="0.3">
      <c r="J105444"/>
    </row>
    <row r="105445" spans="10:10" x14ac:dyDescent="0.3">
      <c r="J105445"/>
    </row>
    <row r="105446" spans="10:10" x14ac:dyDescent="0.3">
      <c r="J105446"/>
    </row>
    <row r="105447" spans="10:10" x14ac:dyDescent="0.3">
      <c r="J105447"/>
    </row>
    <row r="105448" spans="10:10" x14ac:dyDescent="0.3">
      <c r="J105448"/>
    </row>
    <row r="105449" spans="10:10" x14ac:dyDescent="0.3">
      <c r="J105449"/>
    </row>
    <row r="105450" spans="10:10" x14ac:dyDescent="0.3">
      <c r="J105450"/>
    </row>
    <row r="105451" spans="10:10" x14ac:dyDescent="0.3">
      <c r="J105451"/>
    </row>
    <row r="105452" spans="10:10" x14ac:dyDescent="0.3">
      <c r="J105452"/>
    </row>
    <row r="105453" spans="10:10" x14ac:dyDescent="0.3">
      <c r="J105453"/>
    </row>
    <row r="105454" spans="10:10" x14ac:dyDescent="0.3">
      <c r="J105454"/>
    </row>
    <row r="105455" spans="10:10" x14ac:dyDescent="0.3">
      <c r="J105455"/>
    </row>
    <row r="105456" spans="10:10" x14ac:dyDescent="0.3">
      <c r="J105456"/>
    </row>
    <row r="105457" spans="10:10" x14ac:dyDescent="0.3">
      <c r="J105457"/>
    </row>
    <row r="105458" spans="10:10" x14ac:dyDescent="0.3">
      <c r="J105458"/>
    </row>
    <row r="105459" spans="10:10" x14ac:dyDescent="0.3">
      <c r="J105459"/>
    </row>
    <row r="105460" spans="10:10" x14ac:dyDescent="0.3">
      <c r="J105460"/>
    </row>
    <row r="105461" spans="10:10" x14ac:dyDescent="0.3">
      <c r="J105461"/>
    </row>
    <row r="105462" spans="10:10" x14ac:dyDescent="0.3">
      <c r="J105462"/>
    </row>
    <row r="105463" spans="10:10" x14ac:dyDescent="0.3">
      <c r="J105463"/>
    </row>
    <row r="105464" spans="10:10" x14ac:dyDescent="0.3">
      <c r="J105464"/>
    </row>
    <row r="105465" spans="10:10" x14ac:dyDescent="0.3">
      <c r="J105465"/>
    </row>
    <row r="105466" spans="10:10" x14ac:dyDescent="0.3">
      <c r="J105466"/>
    </row>
    <row r="105467" spans="10:10" x14ac:dyDescent="0.3">
      <c r="J105467"/>
    </row>
    <row r="105468" spans="10:10" x14ac:dyDescent="0.3">
      <c r="J105468"/>
    </row>
    <row r="105469" spans="10:10" x14ac:dyDescent="0.3">
      <c r="J105469"/>
    </row>
    <row r="105470" spans="10:10" x14ac:dyDescent="0.3">
      <c r="J105470"/>
    </row>
    <row r="105471" spans="10:10" x14ac:dyDescent="0.3">
      <c r="J105471"/>
    </row>
    <row r="105472" spans="10:10" x14ac:dyDescent="0.3">
      <c r="J105472"/>
    </row>
    <row r="105473" spans="10:10" x14ac:dyDescent="0.3">
      <c r="J105473"/>
    </row>
    <row r="105474" spans="10:10" x14ac:dyDescent="0.3">
      <c r="J105474"/>
    </row>
    <row r="105475" spans="10:10" x14ac:dyDescent="0.3">
      <c r="J105475"/>
    </row>
    <row r="105476" spans="10:10" x14ac:dyDescent="0.3">
      <c r="J105476"/>
    </row>
    <row r="105477" spans="10:10" x14ac:dyDescent="0.3">
      <c r="J105477"/>
    </row>
    <row r="105478" spans="10:10" x14ac:dyDescent="0.3">
      <c r="J105478"/>
    </row>
    <row r="105479" spans="10:10" x14ac:dyDescent="0.3">
      <c r="J105479"/>
    </row>
    <row r="105480" spans="10:10" x14ac:dyDescent="0.3">
      <c r="J105480"/>
    </row>
    <row r="105481" spans="10:10" x14ac:dyDescent="0.3">
      <c r="J105481"/>
    </row>
    <row r="105482" spans="10:10" x14ac:dyDescent="0.3">
      <c r="J105482"/>
    </row>
    <row r="105483" spans="10:10" x14ac:dyDescent="0.3">
      <c r="J105483"/>
    </row>
    <row r="105484" spans="10:10" x14ac:dyDescent="0.3">
      <c r="J105484"/>
    </row>
    <row r="105485" spans="10:10" x14ac:dyDescent="0.3">
      <c r="J105485"/>
    </row>
    <row r="105486" spans="10:10" x14ac:dyDescent="0.3">
      <c r="J105486"/>
    </row>
    <row r="105487" spans="10:10" x14ac:dyDescent="0.3">
      <c r="J105487"/>
    </row>
    <row r="105488" spans="10:10" x14ac:dyDescent="0.3">
      <c r="J105488"/>
    </row>
    <row r="105489" spans="10:10" x14ac:dyDescent="0.3">
      <c r="J105489"/>
    </row>
    <row r="105490" spans="10:10" x14ac:dyDescent="0.3">
      <c r="J105490"/>
    </row>
    <row r="105491" spans="10:10" x14ac:dyDescent="0.3">
      <c r="J105491"/>
    </row>
    <row r="105492" spans="10:10" x14ac:dyDescent="0.3">
      <c r="J105492"/>
    </row>
    <row r="105493" spans="10:10" x14ac:dyDescent="0.3">
      <c r="J105493"/>
    </row>
    <row r="105494" spans="10:10" x14ac:dyDescent="0.3">
      <c r="J105494"/>
    </row>
    <row r="105495" spans="10:10" x14ac:dyDescent="0.3">
      <c r="J105495"/>
    </row>
    <row r="105496" spans="10:10" x14ac:dyDescent="0.3">
      <c r="J105496"/>
    </row>
    <row r="105497" spans="10:10" x14ac:dyDescent="0.3">
      <c r="J105497"/>
    </row>
    <row r="105498" spans="10:10" x14ac:dyDescent="0.3">
      <c r="J105498"/>
    </row>
    <row r="105499" spans="10:10" x14ac:dyDescent="0.3">
      <c r="J105499"/>
    </row>
    <row r="105500" spans="10:10" x14ac:dyDescent="0.3">
      <c r="J105500"/>
    </row>
    <row r="105501" spans="10:10" x14ac:dyDescent="0.3">
      <c r="J105501"/>
    </row>
    <row r="105502" spans="10:10" x14ac:dyDescent="0.3">
      <c r="J105502"/>
    </row>
    <row r="105503" spans="10:10" x14ac:dyDescent="0.3">
      <c r="J105503"/>
    </row>
    <row r="105504" spans="10:10" x14ac:dyDescent="0.3">
      <c r="J105504"/>
    </row>
    <row r="105505" spans="10:10" x14ac:dyDescent="0.3">
      <c r="J105505"/>
    </row>
    <row r="105506" spans="10:10" x14ac:dyDescent="0.3">
      <c r="J105506"/>
    </row>
    <row r="105507" spans="10:10" x14ac:dyDescent="0.3">
      <c r="J105507"/>
    </row>
    <row r="105508" spans="10:10" x14ac:dyDescent="0.3">
      <c r="J105508"/>
    </row>
    <row r="105509" spans="10:10" x14ac:dyDescent="0.3">
      <c r="J105509"/>
    </row>
    <row r="105510" spans="10:10" x14ac:dyDescent="0.3">
      <c r="J105510"/>
    </row>
    <row r="105511" spans="10:10" x14ac:dyDescent="0.3">
      <c r="J105511"/>
    </row>
    <row r="105512" spans="10:10" x14ac:dyDescent="0.3">
      <c r="J105512"/>
    </row>
    <row r="105513" spans="10:10" x14ac:dyDescent="0.3">
      <c r="J105513"/>
    </row>
    <row r="105514" spans="10:10" x14ac:dyDescent="0.3">
      <c r="J105514"/>
    </row>
    <row r="105515" spans="10:10" x14ac:dyDescent="0.3">
      <c r="J105515"/>
    </row>
    <row r="105516" spans="10:10" x14ac:dyDescent="0.3">
      <c r="J105516"/>
    </row>
    <row r="105517" spans="10:10" x14ac:dyDescent="0.3">
      <c r="J105517"/>
    </row>
    <row r="105518" spans="10:10" x14ac:dyDescent="0.3">
      <c r="J105518"/>
    </row>
    <row r="105519" spans="10:10" x14ac:dyDescent="0.3">
      <c r="J105519"/>
    </row>
    <row r="105520" spans="10:10" x14ac:dyDescent="0.3">
      <c r="J105520"/>
    </row>
    <row r="105521" spans="10:10" x14ac:dyDescent="0.3">
      <c r="J105521"/>
    </row>
    <row r="105522" spans="10:10" x14ac:dyDescent="0.3">
      <c r="J105522"/>
    </row>
    <row r="105523" spans="10:10" x14ac:dyDescent="0.3">
      <c r="J105523"/>
    </row>
    <row r="105524" spans="10:10" x14ac:dyDescent="0.3">
      <c r="J105524"/>
    </row>
    <row r="105525" spans="10:10" x14ac:dyDescent="0.3">
      <c r="J105525"/>
    </row>
    <row r="105526" spans="10:10" x14ac:dyDescent="0.3">
      <c r="J105526"/>
    </row>
    <row r="105527" spans="10:10" x14ac:dyDescent="0.3">
      <c r="J105527"/>
    </row>
    <row r="105528" spans="10:10" x14ac:dyDescent="0.3">
      <c r="J105528"/>
    </row>
    <row r="105529" spans="10:10" x14ac:dyDescent="0.3">
      <c r="J105529"/>
    </row>
    <row r="105530" spans="10:10" x14ac:dyDescent="0.3">
      <c r="J105530"/>
    </row>
    <row r="105531" spans="10:10" x14ac:dyDescent="0.3">
      <c r="J105531"/>
    </row>
    <row r="105532" spans="10:10" x14ac:dyDescent="0.3">
      <c r="J105532"/>
    </row>
    <row r="105533" spans="10:10" x14ac:dyDescent="0.3">
      <c r="J105533"/>
    </row>
    <row r="105534" spans="10:10" x14ac:dyDescent="0.3">
      <c r="J105534"/>
    </row>
    <row r="105535" spans="10:10" x14ac:dyDescent="0.3">
      <c r="J105535"/>
    </row>
    <row r="105536" spans="10:10" x14ac:dyDescent="0.3">
      <c r="J105536"/>
    </row>
    <row r="105537" spans="10:10" x14ac:dyDescent="0.3">
      <c r="J105537"/>
    </row>
    <row r="105538" spans="10:10" x14ac:dyDescent="0.3">
      <c r="J105538"/>
    </row>
    <row r="105539" spans="10:10" x14ac:dyDescent="0.3">
      <c r="J105539"/>
    </row>
    <row r="105540" spans="10:10" x14ac:dyDescent="0.3">
      <c r="J105540"/>
    </row>
    <row r="105541" spans="10:10" x14ac:dyDescent="0.3">
      <c r="J105541"/>
    </row>
    <row r="105542" spans="10:10" x14ac:dyDescent="0.3">
      <c r="J105542"/>
    </row>
    <row r="105543" spans="10:10" x14ac:dyDescent="0.3">
      <c r="J105543"/>
    </row>
    <row r="105544" spans="10:10" x14ac:dyDescent="0.3">
      <c r="J105544"/>
    </row>
    <row r="105545" spans="10:10" x14ac:dyDescent="0.3">
      <c r="J105545"/>
    </row>
    <row r="105546" spans="10:10" x14ac:dyDescent="0.3">
      <c r="J105546"/>
    </row>
    <row r="105547" spans="10:10" x14ac:dyDescent="0.3">
      <c r="J105547"/>
    </row>
    <row r="105548" spans="10:10" x14ac:dyDescent="0.3">
      <c r="J105548"/>
    </row>
    <row r="105549" spans="10:10" x14ac:dyDescent="0.3">
      <c r="J105549"/>
    </row>
    <row r="105550" spans="10:10" x14ac:dyDescent="0.3">
      <c r="J105550"/>
    </row>
    <row r="105551" spans="10:10" x14ac:dyDescent="0.3">
      <c r="J105551"/>
    </row>
    <row r="105552" spans="10:10" x14ac:dyDescent="0.3">
      <c r="J105552"/>
    </row>
    <row r="105553" spans="10:10" x14ac:dyDescent="0.3">
      <c r="J105553"/>
    </row>
    <row r="105554" spans="10:10" x14ac:dyDescent="0.3">
      <c r="J105554"/>
    </row>
    <row r="105555" spans="10:10" x14ac:dyDescent="0.3">
      <c r="J105555"/>
    </row>
    <row r="105556" spans="10:10" x14ac:dyDescent="0.3">
      <c r="J105556"/>
    </row>
    <row r="105557" spans="10:10" x14ac:dyDescent="0.3">
      <c r="J105557"/>
    </row>
    <row r="105558" spans="10:10" x14ac:dyDescent="0.3">
      <c r="J105558"/>
    </row>
    <row r="105559" spans="10:10" x14ac:dyDescent="0.3">
      <c r="J105559"/>
    </row>
    <row r="105560" spans="10:10" x14ac:dyDescent="0.3">
      <c r="J105560"/>
    </row>
    <row r="105561" spans="10:10" x14ac:dyDescent="0.3">
      <c r="J105561"/>
    </row>
    <row r="105562" spans="10:10" x14ac:dyDescent="0.3">
      <c r="J105562"/>
    </row>
    <row r="105563" spans="10:10" x14ac:dyDescent="0.3">
      <c r="J105563"/>
    </row>
    <row r="105564" spans="10:10" x14ac:dyDescent="0.3">
      <c r="J105564"/>
    </row>
    <row r="105565" spans="10:10" x14ac:dyDescent="0.3">
      <c r="J105565"/>
    </row>
    <row r="105566" spans="10:10" x14ac:dyDescent="0.3">
      <c r="J105566"/>
    </row>
    <row r="105567" spans="10:10" x14ac:dyDescent="0.3">
      <c r="J105567"/>
    </row>
    <row r="105568" spans="10:10" x14ac:dyDescent="0.3">
      <c r="J105568"/>
    </row>
    <row r="105569" spans="10:10" x14ac:dyDescent="0.3">
      <c r="J105569"/>
    </row>
    <row r="105570" spans="10:10" x14ac:dyDescent="0.3">
      <c r="J105570"/>
    </row>
    <row r="105571" spans="10:10" x14ac:dyDescent="0.3">
      <c r="J105571"/>
    </row>
    <row r="105572" spans="10:10" x14ac:dyDescent="0.3">
      <c r="J105572"/>
    </row>
    <row r="105573" spans="10:10" x14ac:dyDescent="0.3">
      <c r="J105573"/>
    </row>
    <row r="105574" spans="10:10" x14ac:dyDescent="0.3">
      <c r="J105574"/>
    </row>
    <row r="105575" spans="10:10" x14ac:dyDescent="0.3">
      <c r="J105575"/>
    </row>
    <row r="105576" spans="10:10" x14ac:dyDescent="0.3">
      <c r="J105576"/>
    </row>
    <row r="105577" spans="10:10" x14ac:dyDescent="0.3">
      <c r="J105577"/>
    </row>
    <row r="105578" spans="10:10" x14ac:dyDescent="0.3">
      <c r="J105578"/>
    </row>
    <row r="105579" spans="10:10" x14ac:dyDescent="0.3">
      <c r="J105579"/>
    </row>
    <row r="105580" spans="10:10" x14ac:dyDescent="0.3">
      <c r="J105580"/>
    </row>
    <row r="105581" spans="10:10" x14ac:dyDescent="0.3">
      <c r="J105581"/>
    </row>
    <row r="105582" spans="10:10" x14ac:dyDescent="0.3">
      <c r="J105582"/>
    </row>
    <row r="105583" spans="10:10" x14ac:dyDescent="0.3">
      <c r="J105583"/>
    </row>
    <row r="105584" spans="10:10" x14ac:dyDescent="0.3">
      <c r="J105584"/>
    </row>
    <row r="105585" spans="10:10" x14ac:dyDescent="0.3">
      <c r="J105585"/>
    </row>
    <row r="105586" spans="10:10" x14ac:dyDescent="0.3">
      <c r="J105586"/>
    </row>
    <row r="105587" spans="10:10" x14ac:dyDescent="0.3">
      <c r="J105587"/>
    </row>
    <row r="105588" spans="10:10" x14ac:dyDescent="0.3">
      <c r="J105588"/>
    </row>
    <row r="105589" spans="10:10" x14ac:dyDescent="0.3">
      <c r="J105589"/>
    </row>
    <row r="105590" spans="10:10" x14ac:dyDescent="0.3">
      <c r="J105590"/>
    </row>
    <row r="105591" spans="10:10" x14ac:dyDescent="0.3">
      <c r="J105591"/>
    </row>
    <row r="105592" spans="10:10" x14ac:dyDescent="0.3">
      <c r="J105592"/>
    </row>
    <row r="105593" spans="10:10" x14ac:dyDescent="0.3">
      <c r="J105593"/>
    </row>
    <row r="105594" spans="10:10" x14ac:dyDescent="0.3">
      <c r="J105594"/>
    </row>
    <row r="105595" spans="10:10" x14ac:dyDescent="0.3">
      <c r="J105595"/>
    </row>
    <row r="105596" spans="10:10" x14ac:dyDescent="0.3">
      <c r="J105596"/>
    </row>
    <row r="105597" spans="10:10" x14ac:dyDescent="0.3">
      <c r="J105597"/>
    </row>
    <row r="105598" spans="10:10" x14ac:dyDescent="0.3">
      <c r="J105598"/>
    </row>
    <row r="105599" spans="10:10" x14ac:dyDescent="0.3">
      <c r="J105599"/>
    </row>
    <row r="105600" spans="10:10" x14ac:dyDescent="0.3">
      <c r="J105600"/>
    </row>
    <row r="105601" spans="10:10" x14ac:dyDescent="0.3">
      <c r="J105601"/>
    </row>
    <row r="105602" spans="10:10" x14ac:dyDescent="0.3">
      <c r="J105602"/>
    </row>
    <row r="105603" spans="10:10" x14ac:dyDescent="0.3">
      <c r="J105603"/>
    </row>
    <row r="105604" spans="10:10" x14ac:dyDescent="0.3">
      <c r="J105604"/>
    </row>
    <row r="105605" spans="10:10" x14ac:dyDescent="0.3">
      <c r="J105605"/>
    </row>
    <row r="105606" spans="10:10" x14ac:dyDescent="0.3">
      <c r="J105606"/>
    </row>
    <row r="105607" spans="10:10" x14ac:dyDescent="0.3">
      <c r="J105607"/>
    </row>
    <row r="105608" spans="10:10" x14ac:dyDescent="0.3">
      <c r="J105608"/>
    </row>
    <row r="105609" spans="10:10" x14ac:dyDescent="0.3">
      <c r="J105609"/>
    </row>
    <row r="105610" spans="10:10" x14ac:dyDescent="0.3">
      <c r="J105610"/>
    </row>
    <row r="105611" spans="10:10" x14ac:dyDescent="0.3">
      <c r="J105611"/>
    </row>
    <row r="105612" spans="10:10" x14ac:dyDescent="0.3">
      <c r="J105612"/>
    </row>
    <row r="105613" spans="10:10" x14ac:dyDescent="0.3">
      <c r="J105613"/>
    </row>
    <row r="105614" spans="10:10" x14ac:dyDescent="0.3">
      <c r="J105614"/>
    </row>
    <row r="105615" spans="10:10" x14ac:dyDescent="0.3">
      <c r="J105615"/>
    </row>
    <row r="105616" spans="10:10" x14ac:dyDescent="0.3">
      <c r="J105616"/>
    </row>
    <row r="105617" spans="10:10" x14ac:dyDescent="0.3">
      <c r="J105617"/>
    </row>
    <row r="105618" spans="10:10" x14ac:dyDescent="0.3">
      <c r="J105618"/>
    </row>
    <row r="105619" spans="10:10" x14ac:dyDescent="0.3">
      <c r="J105619"/>
    </row>
    <row r="105620" spans="10:10" x14ac:dyDescent="0.3">
      <c r="J105620"/>
    </row>
    <row r="105621" spans="10:10" x14ac:dyDescent="0.3">
      <c r="J105621"/>
    </row>
    <row r="105622" spans="10:10" x14ac:dyDescent="0.3">
      <c r="J105622"/>
    </row>
    <row r="105623" spans="10:10" x14ac:dyDescent="0.3">
      <c r="J105623"/>
    </row>
    <row r="105624" spans="10:10" x14ac:dyDescent="0.3">
      <c r="J105624"/>
    </row>
    <row r="105625" spans="10:10" x14ac:dyDescent="0.3">
      <c r="J105625"/>
    </row>
    <row r="105626" spans="10:10" x14ac:dyDescent="0.3">
      <c r="J105626"/>
    </row>
    <row r="105627" spans="10:10" x14ac:dyDescent="0.3">
      <c r="J105627"/>
    </row>
    <row r="105628" spans="10:10" x14ac:dyDescent="0.3">
      <c r="J105628"/>
    </row>
    <row r="105629" spans="10:10" x14ac:dyDescent="0.3">
      <c r="J105629"/>
    </row>
    <row r="105630" spans="10:10" x14ac:dyDescent="0.3">
      <c r="J105630"/>
    </row>
    <row r="105631" spans="10:10" x14ac:dyDescent="0.3">
      <c r="J105631"/>
    </row>
    <row r="105632" spans="10:10" x14ac:dyDescent="0.3">
      <c r="J105632"/>
    </row>
    <row r="105633" spans="10:10" x14ac:dyDescent="0.3">
      <c r="J105633"/>
    </row>
    <row r="105634" spans="10:10" x14ac:dyDescent="0.3">
      <c r="J105634"/>
    </row>
    <row r="105635" spans="10:10" x14ac:dyDescent="0.3">
      <c r="J105635"/>
    </row>
    <row r="105636" spans="10:10" x14ac:dyDescent="0.3">
      <c r="J105636"/>
    </row>
    <row r="105637" spans="10:10" x14ac:dyDescent="0.3">
      <c r="J105637"/>
    </row>
    <row r="105638" spans="10:10" x14ac:dyDescent="0.3">
      <c r="J105638"/>
    </row>
    <row r="105639" spans="10:10" x14ac:dyDescent="0.3">
      <c r="J105639"/>
    </row>
    <row r="105640" spans="10:10" x14ac:dyDescent="0.3">
      <c r="J105640"/>
    </row>
    <row r="105641" spans="10:10" x14ac:dyDescent="0.3">
      <c r="J105641"/>
    </row>
    <row r="105642" spans="10:10" x14ac:dyDescent="0.3">
      <c r="J105642"/>
    </row>
    <row r="105643" spans="10:10" x14ac:dyDescent="0.3">
      <c r="J105643"/>
    </row>
    <row r="105644" spans="10:10" x14ac:dyDescent="0.3">
      <c r="J105644"/>
    </row>
    <row r="105645" spans="10:10" x14ac:dyDescent="0.3">
      <c r="J105645"/>
    </row>
    <row r="105646" spans="10:10" x14ac:dyDescent="0.3">
      <c r="J105646"/>
    </row>
    <row r="105647" spans="10:10" x14ac:dyDescent="0.3">
      <c r="J105647"/>
    </row>
    <row r="105648" spans="10:10" x14ac:dyDescent="0.3">
      <c r="J105648"/>
    </row>
    <row r="105649" spans="10:10" x14ac:dyDescent="0.3">
      <c r="J105649"/>
    </row>
    <row r="105650" spans="10:10" x14ac:dyDescent="0.3">
      <c r="J105650"/>
    </row>
    <row r="105651" spans="10:10" x14ac:dyDescent="0.3">
      <c r="J105651"/>
    </row>
    <row r="105652" spans="10:10" x14ac:dyDescent="0.3">
      <c r="J105652"/>
    </row>
    <row r="105653" spans="10:10" x14ac:dyDescent="0.3">
      <c r="J105653"/>
    </row>
    <row r="105654" spans="10:10" x14ac:dyDescent="0.3">
      <c r="J105654"/>
    </row>
    <row r="105655" spans="10:10" x14ac:dyDescent="0.3">
      <c r="J105655"/>
    </row>
    <row r="105656" spans="10:10" x14ac:dyDescent="0.3">
      <c r="J105656"/>
    </row>
    <row r="105657" spans="10:10" x14ac:dyDescent="0.3">
      <c r="J105657"/>
    </row>
    <row r="105658" spans="10:10" x14ac:dyDescent="0.3">
      <c r="J105658"/>
    </row>
    <row r="105659" spans="10:10" x14ac:dyDescent="0.3">
      <c r="J105659"/>
    </row>
    <row r="105660" spans="10:10" x14ac:dyDescent="0.3">
      <c r="J105660"/>
    </row>
    <row r="105661" spans="10:10" x14ac:dyDescent="0.3">
      <c r="J105661"/>
    </row>
    <row r="105662" spans="10:10" x14ac:dyDescent="0.3">
      <c r="J105662"/>
    </row>
    <row r="105663" spans="10:10" x14ac:dyDescent="0.3">
      <c r="J105663"/>
    </row>
    <row r="105664" spans="10:10" x14ac:dyDescent="0.3">
      <c r="J105664"/>
    </row>
    <row r="105665" spans="10:10" x14ac:dyDescent="0.3">
      <c r="J105665"/>
    </row>
    <row r="105666" spans="10:10" x14ac:dyDescent="0.3">
      <c r="J105666"/>
    </row>
    <row r="105667" spans="10:10" x14ac:dyDescent="0.3">
      <c r="J105667"/>
    </row>
    <row r="105668" spans="10:10" x14ac:dyDescent="0.3">
      <c r="J105668"/>
    </row>
    <row r="105669" spans="10:10" x14ac:dyDescent="0.3">
      <c r="J105669"/>
    </row>
    <row r="105670" spans="10:10" x14ac:dyDescent="0.3">
      <c r="J105670"/>
    </row>
    <row r="105671" spans="10:10" x14ac:dyDescent="0.3">
      <c r="J105671"/>
    </row>
    <row r="105672" spans="10:10" x14ac:dyDescent="0.3">
      <c r="J105672"/>
    </row>
    <row r="105673" spans="10:10" x14ac:dyDescent="0.3">
      <c r="J105673"/>
    </row>
    <row r="105674" spans="10:10" x14ac:dyDescent="0.3">
      <c r="J105674"/>
    </row>
    <row r="105675" spans="10:10" x14ac:dyDescent="0.3">
      <c r="J105675"/>
    </row>
    <row r="105676" spans="10:10" x14ac:dyDescent="0.3">
      <c r="J105676"/>
    </row>
    <row r="105677" spans="10:10" x14ac:dyDescent="0.3">
      <c r="J105677"/>
    </row>
    <row r="105678" spans="10:10" x14ac:dyDescent="0.3">
      <c r="J105678"/>
    </row>
    <row r="105679" spans="10:10" x14ac:dyDescent="0.3">
      <c r="J105679"/>
    </row>
    <row r="105680" spans="10:10" x14ac:dyDescent="0.3">
      <c r="J105680"/>
    </row>
    <row r="105681" spans="10:10" x14ac:dyDescent="0.3">
      <c r="J105681"/>
    </row>
    <row r="105682" spans="10:10" x14ac:dyDescent="0.3">
      <c r="J105682"/>
    </row>
    <row r="105683" spans="10:10" x14ac:dyDescent="0.3">
      <c r="J105683"/>
    </row>
    <row r="105684" spans="10:10" x14ac:dyDescent="0.3">
      <c r="J105684"/>
    </row>
    <row r="105685" spans="10:10" x14ac:dyDescent="0.3">
      <c r="J105685"/>
    </row>
    <row r="105686" spans="10:10" x14ac:dyDescent="0.3">
      <c r="J105686"/>
    </row>
    <row r="105687" spans="10:10" x14ac:dyDescent="0.3">
      <c r="J105687"/>
    </row>
    <row r="105688" spans="10:10" x14ac:dyDescent="0.3">
      <c r="J105688"/>
    </row>
    <row r="105689" spans="10:10" x14ac:dyDescent="0.3">
      <c r="J105689"/>
    </row>
    <row r="105690" spans="10:10" x14ac:dyDescent="0.3">
      <c r="J105690"/>
    </row>
    <row r="105691" spans="10:10" x14ac:dyDescent="0.3">
      <c r="J105691"/>
    </row>
    <row r="105692" spans="10:10" x14ac:dyDescent="0.3">
      <c r="J105692"/>
    </row>
    <row r="105693" spans="10:10" x14ac:dyDescent="0.3">
      <c r="J105693"/>
    </row>
    <row r="105694" spans="10:10" x14ac:dyDescent="0.3">
      <c r="J105694"/>
    </row>
    <row r="105695" spans="10:10" x14ac:dyDescent="0.3">
      <c r="J105695"/>
    </row>
    <row r="105696" spans="10:10" x14ac:dyDescent="0.3">
      <c r="J105696"/>
    </row>
    <row r="105697" spans="10:10" x14ac:dyDescent="0.3">
      <c r="J105697"/>
    </row>
    <row r="105698" spans="10:10" x14ac:dyDescent="0.3">
      <c r="J105698"/>
    </row>
    <row r="105699" spans="10:10" x14ac:dyDescent="0.3">
      <c r="J105699"/>
    </row>
    <row r="105700" spans="10:10" x14ac:dyDescent="0.3">
      <c r="J105700"/>
    </row>
    <row r="105701" spans="10:10" x14ac:dyDescent="0.3">
      <c r="J105701"/>
    </row>
    <row r="105702" spans="10:10" x14ac:dyDescent="0.3">
      <c r="J105702"/>
    </row>
    <row r="105703" spans="10:10" x14ac:dyDescent="0.3">
      <c r="J105703"/>
    </row>
    <row r="105704" spans="10:10" x14ac:dyDescent="0.3">
      <c r="J105704"/>
    </row>
    <row r="105705" spans="10:10" x14ac:dyDescent="0.3">
      <c r="J105705"/>
    </row>
    <row r="105706" spans="10:10" x14ac:dyDescent="0.3">
      <c r="J105706"/>
    </row>
    <row r="105707" spans="10:10" x14ac:dyDescent="0.3">
      <c r="J105707"/>
    </row>
    <row r="105708" spans="10:10" x14ac:dyDescent="0.3">
      <c r="J105708"/>
    </row>
    <row r="105709" spans="10:10" x14ac:dyDescent="0.3">
      <c r="J105709"/>
    </row>
    <row r="105710" spans="10:10" x14ac:dyDescent="0.3">
      <c r="J105710"/>
    </row>
    <row r="105711" spans="10:10" x14ac:dyDescent="0.3">
      <c r="J105711"/>
    </row>
    <row r="105712" spans="10:10" x14ac:dyDescent="0.3">
      <c r="J105712"/>
    </row>
    <row r="105713" spans="10:10" x14ac:dyDescent="0.3">
      <c r="J105713"/>
    </row>
    <row r="105714" spans="10:10" x14ac:dyDescent="0.3">
      <c r="J105714"/>
    </row>
    <row r="105715" spans="10:10" x14ac:dyDescent="0.3">
      <c r="J105715"/>
    </row>
    <row r="105716" spans="10:10" x14ac:dyDescent="0.3">
      <c r="J105716"/>
    </row>
    <row r="105717" spans="10:10" x14ac:dyDescent="0.3">
      <c r="J105717"/>
    </row>
    <row r="105718" spans="10:10" x14ac:dyDescent="0.3">
      <c r="J105718"/>
    </row>
    <row r="105719" spans="10:10" x14ac:dyDescent="0.3">
      <c r="J105719"/>
    </row>
    <row r="105720" spans="10:10" x14ac:dyDescent="0.3">
      <c r="J105720"/>
    </row>
    <row r="105721" spans="10:10" x14ac:dyDescent="0.3">
      <c r="J105721"/>
    </row>
    <row r="105722" spans="10:10" x14ac:dyDescent="0.3">
      <c r="J105722"/>
    </row>
    <row r="105723" spans="10:10" x14ac:dyDescent="0.3">
      <c r="J105723"/>
    </row>
    <row r="105724" spans="10:10" x14ac:dyDescent="0.3">
      <c r="J105724"/>
    </row>
    <row r="105725" spans="10:10" x14ac:dyDescent="0.3">
      <c r="J105725"/>
    </row>
    <row r="105726" spans="10:10" x14ac:dyDescent="0.3">
      <c r="J105726"/>
    </row>
    <row r="105727" spans="10:10" x14ac:dyDescent="0.3">
      <c r="J105727"/>
    </row>
    <row r="105728" spans="10:10" x14ac:dyDescent="0.3">
      <c r="J105728"/>
    </row>
    <row r="105729" spans="10:10" x14ac:dyDescent="0.3">
      <c r="J105729"/>
    </row>
    <row r="105730" spans="10:10" x14ac:dyDescent="0.3">
      <c r="J105730"/>
    </row>
    <row r="105731" spans="10:10" x14ac:dyDescent="0.3">
      <c r="J105731"/>
    </row>
    <row r="105732" spans="10:10" x14ac:dyDescent="0.3">
      <c r="J105732"/>
    </row>
    <row r="105733" spans="10:10" x14ac:dyDescent="0.3">
      <c r="J105733"/>
    </row>
    <row r="105734" spans="10:10" x14ac:dyDescent="0.3">
      <c r="J105734"/>
    </row>
    <row r="105735" spans="10:10" x14ac:dyDescent="0.3">
      <c r="J105735"/>
    </row>
    <row r="105736" spans="10:10" x14ac:dyDescent="0.3">
      <c r="J105736"/>
    </row>
    <row r="105737" spans="10:10" x14ac:dyDescent="0.3">
      <c r="J105737"/>
    </row>
    <row r="105738" spans="10:10" x14ac:dyDescent="0.3">
      <c r="J105738"/>
    </row>
    <row r="105739" spans="10:10" x14ac:dyDescent="0.3">
      <c r="J105739"/>
    </row>
    <row r="105740" spans="10:10" x14ac:dyDescent="0.3">
      <c r="J105740"/>
    </row>
    <row r="105741" spans="10:10" x14ac:dyDescent="0.3">
      <c r="J105741"/>
    </row>
    <row r="105742" spans="10:10" x14ac:dyDescent="0.3">
      <c r="J105742"/>
    </row>
    <row r="105743" spans="10:10" x14ac:dyDescent="0.3">
      <c r="J105743"/>
    </row>
    <row r="105744" spans="10:10" x14ac:dyDescent="0.3">
      <c r="J105744"/>
    </row>
    <row r="105745" spans="10:10" x14ac:dyDescent="0.3">
      <c r="J105745"/>
    </row>
    <row r="105746" spans="10:10" x14ac:dyDescent="0.3">
      <c r="J105746"/>
    </row>
    <row r="105747" spans="10:10" x14ac:dyDescent="0.3">
      <c r="J105747"/>
    </row>
    <row r="105748" spans="10:10" x14ac:dyDescent="0.3">
      <c r="J105748"/>
    </row>
    <row r="105749" spans="10:10" x14ac:dyDescent="0.3">
      <c r="J105749"/>
    </row>
    <row r="105750" spans="10:10" x14ac:dyDescent="0.3">
      <c r="J105750"/>
    </row>
    <row r="105751" spans="10:10" x14ac:dyDescent="0.3">
      <c r="J105751"/>
    </row>
    <row r="105752" spans="10:10" x14ac:dyDescent="0.3">
      <c r="J105752"/>
    </row>
    <row r="105753" spans="10:10" x14ac:dyDescent="0.3">
      <c r="J105753"/>
    </row>
    <row r="105754" spans="10:10" x14ac:dyDescent="0.3">
      <c r="J105754"/>
    </row>
    <row r="105755" spans="10:10" x14ac:dyDescent="0.3">
      <c r="J105755"/>
    </row>
    <row r="105756" spans="10:10" x14ac:dyDescent="0.3">
      <c r="J105756"/>
    </row>
    <row r="105757" spans="10:10" x14ac:dyDescent="0.3">
      <c r="J105757"/>
    </row>
    <row r="105758" spans="10:10" x14ac:dyDescent="0.3">
      <c r="J105758"/>
    </row>
    <row r="105759" spans="10:10" x14ac:dyDescent="0.3">
      <c r="J105759"/>
    </row>
    <row r="105760" spans="10:10" x14ac:dyDescent="0.3">
      <c r="J105760"/>
    </row>
    <row r="105761" spans="10:10" x14ac:dyDescent="0.3">
      <c r="J105761"/>
    </row>
    <row r="105762" spans="10:10" x14ac:dyDescent="0.3">
      <c r="J105762"/>
    </row>
    <row r="105763" spans="10:10" x14ac:dyDescent="0.3">
      <c r="J105763"/>
    </row>
    <row r="105764" spans="10:10" x14ac:dyDescent="0.3">
      <c r="J105764"/>
    </row>
    <row r="105765" spans="10:10" x14ac:dyDescent="0.3">
      <c r="J105765"/>
    </row>
    <row r="105766" spans="10:10" x14ac:dyDescent="0.3">
      <c r="J105766"/>
    </row>
    <row r="105767" spans="10:10" x14ac:dyDescent="0.3">
      <c r="J105767"/>
    </row>
    <row r="105768" spans="10:10" x14ac:dyDescent="0.3">
      <c r="J105768"/>
    </row>
    <row r="105769" spans="10:10" x14ac:dyDescent="0.3">
      <c r="J105769"/>
    </row>
    <row r="105770" spans="10:10" x14ac:dyDescent="0.3">
      <c r="J105770"/>
    </row>
    <row r="105771" spans="10:10" x14ac:dyDescent="0.3">
      <c r="J105771"/>
    </row>
    <row r="105772" spans="10:10" x14ac:dyDescent="0.3">
      <c r="J105772"/>
    </row>
    <row r="105773" spans="10:10" x14ac:dyDescent="0.3">
      <c r="J105773"/>
    </row>
    <row r="105774" spans="10:10" x14ac:dyDescent="0.3">
      <c r="J105774"/>
    </row>
    <row r="105775" spans="10:10" x14ac:dyDescent="0.3">
      <c r="J105775"/>
    </row>
    <row r="105776" spans="10:10" x14ac:dyDescent="0.3">
      <c r="J105776"/>
    </row>
    <row r="105777" spans="10:10" x14ac:dyDescent="0.3">
      <c r="J105777"/>
    </row>
    <row r="105778" spans="10:10" x14ac:dyDescent="0.3">
      <c r="J105778"/>
    </row>
    <row r="105779" spans="10:10" x14ac:dyDescent="0.3">
      <c r="J105779"/>
    </row>
    <row r="105780" spans="10:10" x14ac:dyDescent="0.3">
      <c r="J105780"/>
    </row>
    <row r="105781" spans="10:10" x14ac:dyDescent="0.3">
      <c r="J105781"/>
    </row>
    <row r="105782" spans="10:10" x14ac:dyDescent="0.3">
      <c r="J105782"/>
    </row>
    <row r="105783" spans="10:10" x14ac:dyDescent="0.3">
      <c r="J105783"/>
    </row>
    <row r="105784" spans="10:10" x14ac:dyDescent="0.3">
      <c r="J105784"/>
    </row>
    <row r="105785" spans="10:10" x14ac:dyDescent="0.3">
      <c r="J105785"/>
    </row>
    <row r="105786" spans="10:10" x14ac:dyDescent="0.3">
      <c r="J105786"/>
    </row>
    <row r="105787" spans="10:10" x14ac:dyDescent="0.3">
      <c r="J105787"/>
    </row>
    <row r="105788" spans="10:10" x14ac:dyDescent="0.3">
      <c r="J105788"/>
    </row>
    <row r="105789" spans="10:10" x14ac:dyDescent="0.3">
      <c r="J105789"/>
    </row>
    <row r="105790" spans="10:10" x14ac:dyDescent="0.3">
      <c r="J105790"/>
    </row>
    <row r="105791" spans="10:10" x14ac:dyDescent="0.3">
      <c r="J105791"/>
    </row>
    <row r="105792" spans="10:10" x14ac:dyDescent="0.3">
      <c r="J105792"/>
    </row>
    <row r="105793" spans="10:10" x14ac:dyDescent="0.3">
      <c r="J105793"/>
    </row>
    <row r="105794" spans="10:10" x14ac:dyDescent="0.3">
      <c r="J105794"/>
    </row>
    <row r="105795" spans="10:10" x14ac:dyDescent="0.3">
      <c r="J105795"/>
    </row>
    <row r="105796" spans="10:10" x14ac:dyDescent="0.3">
      <c r="J105796"/>
    </row>
    <row r="105797" spans="10:10" x14ac:dyDescent="0.3">
      <c r="J105797"/>
    </row>
    <row r="105798" spans="10:10" x14ac:dyDescent="0.3">
      <c r="J105798"/>
    </row>
    <row r="105799" spans="10:10" x14ac:dyDescent="0.3">
      <c r="J105799"/>
    </row>
    <row r="105800" spans="10:10" x14ac:dyDescent="0.3">
      <c r="J105800"/>
    </row>
    <row r="105801" spans="10:10" x14ac:dyDescent="0.3">
      <c r="J105801"/>
    </row>
    <row r="105802" spans="10:10" x14ac:dyDescent="0.3">
      <c r="J105802"/>
    </row>
    <row r="105803" spans="10:10" x14ac:dyDescent="0.3">
      <c r="J105803"/>
    </row>
    <row r="105804" spans="10:10" x14ac:dyDescent="0.3">
      <c r="J105804"/>
    </row>
    <row r="105805" spans="10:10" x14ac:dyDescent="0.3">
      <c r="J105805"/>
    </row>
    <row r="105806" spans="10:10" x14ac:dyDescent="0.3">
      <c r="J105806"/>
    </row>
    <row r="105807" spans="10:10" x14ac:dyDescent="0.3">
      <c r="J105807"/>
    </row>
    <row r="105808" spans="10:10" x14ac:dyDescent="0.3">
      <c r="J105808"/>
    </row>
    <row r="105809" spans="10:10" x14ac:dyDescent="0.3">
      <c r="J105809"/>
    </row>
    <row r="105810" spans="10:10" x14ac:dyDescent="0.3">
      <c r="J105810"/>
    </row>
    <row r="105811" spans="10:10" x14ac:dyDescent="0.3">
      <c r="J105811"/>
    </row>
    <row r="105812" spans="10:10" x14ac:dyDescent="0.3">
      <c r="J105812"/>
    </row>
    <row r="105813" spans="10:10" x14ac:dyDescent="0.3">
      <c r="J105813"/>
    </row>
    <row r="105814" spans="10:10" x14ac:dyDescent="0.3">
      <c r="J105814"/>
    </row>
    <row r="105815" spans="10:10" x14ac:dyDescent="0.3">
      <c r="J105815"/>
    </row>
    <row r="105816" spans="10:10" x14ac:dyDescent="0.3">
      <c r="J105816"/>
    </row>
    <row r="105817" spans="10:10" x14ac:dyDescent="0.3">
      <c r="J105817"/>
    </row>
    <row r="105818" spans="10:10" x14ac:dyDescent="0.3">
      <c r="J105818"/>
    </row>
    <row r="105819" spans="10:10" x14ac:dyDescent="0.3">
      <c r="J105819"/>
    </row>
    <row r="105820" spans="10:10" x14ac:dyDescent="0.3">
      <c r="J105820"/>
    </row>
    <row r="105821" spans="10:10" x14ac:dyDescent="0.3">
      <c r="J105821"/>
    </row>
    <row r="105822" spans="10:10" x14ac:dyDescent="0.3">
      <c r="J105822"/>
    </row>
    <row r="105823" spans="10:10" x14ac:dyDescent="0.3">
      <c r="J105823"/>
    </row>
    <row r="105824" spans="10:10" x14ac:dyDescent="0.3">
      <c r="J105824"/>
    </row>
    <row r="105825" spans="10:10" x14ac:dyDescent="0.3">
      <c r="J105825"/>
    </row>
    <row r="105826" spans="10:10" x14ac:dyDescent="0.3">
      <c r="J105826"/>
    </row>
    <row r="105827" spans="10:10" x14ac:dyDescent="0.3">
      <c r="J105827"/>
    </row>
    <row r="105828" spans="10:10" x14ac:dyDescent="0.3">
      <c r="J105828"/>
    </row>
    <row r="105829" spans="10:10" x14ac:dyDescent="0.3">
      <c r="J105829"/>
    </row>
    <row r="105830" spans="10:10" x14ac:dyDescent="0.3">
      <c r="J105830"/>
    </row>
    <row r="105831" spans="10:10" x14ac:dyDescent="0.3">
      <c r="J105831"/>
    </row>
    <row r="105832" spans="10:10" x14ac:dyDescent="0.3">
      <c r="J105832"/>
    </row>
    <row r="105833" spans="10:10" x14ac:dyDescent="0.3">
      <c r="J105833"/>
    </row>
    <row r="105834" spans="10:10" x14ac:dyDescent="0.3">
      <c r="J105834"/>
    </row>
    <row r="105835" spans="10:10" x14ac:dyDescent="0.3">
      <c r="J105835"/>
    </row>
    <row r="105836" spans="10:10" x14ac:dyDescent="0.3">
      <c r="J105836"/>
    </row>
    <row r="105837" spans="10:10" x14ac:dyDescent="0.3">
      <c r="J105837"/>
    </row>
    <row r="105838" spans="10:10" x14ac:dyDescent="0.3">
      <c r="J105838"/>
    </row>
    <row r="105839" spans="10:10" x14ac:dyDescent="0.3">
      <c r="J105839"/>
    </row>
    <row r="105840" spans="10:10" x14ac:dyDescent="0.3">
      <c r="J105840"/>
    </row>
    <row r="105841" spans="10:10" x14ac:dyDescent="0.3">
      <c r="J105841"/>
    </row>
    <row r="105842" spans="10:10" x14ac:dyDescent="0.3">
      <c r="J105842"/>
    </row>
    <row r="105843" spans="10:10" x14ac:dyDescent="0.3">
      <c r="J105843"/>
    </row>
    <row r="105844" spans="10:10" x14ac:dyDescent="0.3">
      <c r="J105844"/>
    </row>
    <row r="105845" spans="10:10" x14ac:dyDescent="0.3">
      <c r="J105845"/>
    </row>
    <row r="105846" spans="10:10" x14ac:dyDescent="0.3">
      <c r="J105846"/>
    </row>
    <row r="105847" spans="10:10" x14ac:dyDescent="0.3">
      <c r="J105847"/>
    </row>
    <row r="105848" spans="10:10" x14ac:dyDescent="0.3">
      <c r="J105848"/>
    </row>
    <row r="105849" spans="10:10" x14ac:dyDescent="0.3">
      <c r="J105849"/>
    </row>
    <row r="105850" spans="10:10" x14ac:dyDescent="0.3">
      <c r="J105850"/>
    </row>
    <row r="105851" spans="10:10" x14ac:dyDescent="0.3">
      <c r="J105851"/>
    </row>
    <row r="105852" spans="10:10" x14ac:dyDescent="0.3">
      <c r="J105852"/>
    </row>
    <row r="105853" spans="10:10" x14ac:dyDescent="0.3">
      <c r="J105853"/>
    </row>
    <row r="105854" spans="10:10" x14ac:dyDescent="0.3">
      <c r="J105854"/>
    </row>
    <row r="105855" spans="10:10" x14ac:dyDescent="0.3">
      <c r="J105855"/>
    </row>
    <row r="105856" spans="10:10" x14ac:dyDescent="0.3">
      <c r="J105856"/>
    </row>
    <row r="105857" spans="10:10" x14ac:dyDescent="0.3">
      <c r="J105857"/>
    </row>
    <row r="105858" spans="10:10" x14ac:dyDescent="0.3">
      <c r="J105858"/>
    </row>
    <row r="105859" spans="10:10" x14ac:dyDescent="0.3">
      <c r="J105859"/>
    </row>
    <row r="105860" spans="10:10" x14ac:dyDescent="0.3">
      <c r="J105860"/>
    </row>
    <row r="105861" spans="10:10" x14ac:dyDescent="0.3">
      <c r="J105861"/>
    </row>
    <row r="105862" spans="10:10" x14ac:dyDescent="0.3">
      <c r="J105862"/>
    </row>
    <row r="105863" spans="10:10" x14ac:dyDescent="0.3">
      <c r="J105863"/>
    </row>
    <row r="105864" spans="10:10" x14ac:dyDescent="0.3">
      <c r="J105864"/>
    </row>
    <row r="105865" spans="10:10" x14ac:dyDescent="0.3">
      <c r="J105865"/>
    </row>
    <row r="105866" spans="10:10" x14ac:dyDescent="0.3">
      <c r="J105866"/>
    </row>
    <row r="105867" spans="10:10" x14ac:dyDescent="0.3">
      <c r="J105867"/>
    </row>
    <row r="105868" spans="10:10" x14ac:dyDescent="0.3">
      <c r="J105868"/>
    </row>
    <row r="105869" spans="10:10" x14ac:dyDescent="0.3">
      <c r="J105869"/>
    </row>
    <row r="105870" spans="10:10" x14ac:dyDescent="0.3">
      <c r="J105870"/>
    </row>
    <row r="105871" spans="10:10" x14ac:dyDescent="0.3">
      <c r="J105871"/>
    </row>
    <row r="105872" spans="10:10" x14ac:dyDescent="0.3">
      <c r="J105872"/>
    </row>
    <row r="105873" spans="10:10" x14ac:dyDescent="0.3">
      <c r="J105873"/>
    </row>
    <row r="105874" spans="10:10" x14ac:dyDescent="0.3">
      <c r="J105874"/>
    </row>
    <row r="105875" spans="10:10" x14ac:dyDescent="0.3">
      <c r="J105875"/>
    </row>
    <row r="105876" spans="10:10" x14ac:dyDescent="0.3">
      <c r="J105876"/>
    </row>
    <row r="105877" spans="10:10" x14ac:dyDescent="0.3">
      <c r="J105877"/>
    </row>
    <row r="105878" spans="10:10" x14ac:dyDescent="0.3">
      <c r="J105878"/>
    </row>
    <row r="105879" spans="10:10" x14ac:dyDescent="0.3">
      <c r="J105879"/>
    </row>
    <row r="105880" spans="10:10" x14ac:dyDescent="0.3">
      <c r="J105880"/>
    </row>
    <row r="105881" spans="10:10" x14ac:dyDescent="0.3">
      <c r="J105881"/>
    </row>
    <row r="105882" spans="10:10" x14ac:dyDescent="0.3">
      <c r="J105882"/>
    </row>
    <row r="105883" spans="10:10" x14ac:dyDescent="0.3">
      <c r="J105883"/>
    </row>
    <row r="105884" spans="10:10" x14ac:dyDescent="0.3">
      <c r="J105884"/>
    </row>
    <row r="105885" spans="10:10" x14ac:dyDescent="0.3">
      <c r="J105885"/>
    </row>
    <row r="105886" spans="10:10" x14ac:dyDescent="0.3">
      <c r="J105886"/>
    </row>
    <row r="105887" spans="10:10" x14ac:dyDescent="0.3">
      <c r="J105887"/>
    </row>
    <row r="105888" spans="10:10" x14ac:dyDescent="0.3">
      <c r="J105888"/>
    </row>
    <row r="105889" spans="10:10" x14ac:dyDescent="0.3">
      <c r="J105889"/>
    </row>
    <row r="105890" spans="10:10" x14ac:dyDescent="0.3">
      <c r="J105890"/>
    </row>
    <row r="105891" spans="10:10" x14ac:dyDescent="0.3">
      <c r="J105891"/>
    </row>
    <row r="105892" spans="10:10" x14ac:dyDescent="0.3">
      <c r="J105892"/>
    </row>
    <row r="105893" spans="10:10" x14ac:dyDescent="0.3">
      <c r="J105893"/>
    </row>
    <row r="105894" spans="10:10" x14ac:dyDescent="0.3">
      <c r="J105894"/>
    </row>
    <row r="105895" spans="10:10" x14ac:dyDescent="0.3">
      <c r="J105895"/>
    </row>
    <row r="105896" spans="10:10" x14ac:dyDescent="0.3">
      <c r="J105896"/>
    </row>
    <row r="105897" spans="10:10" x14ac:dyDescent="0.3">
      <c r="J105897"/>
    </row>
    <row r="105898" spans="10:10" x14ac:dyDescent="0.3">
      <c r="J105898"/>
    </row>
    <row r="105899" spans="10:10" x14ac:dyDescent="0.3">
      <c r="J105899"/>
    </row>
    <row r="105900" spans="10:10" x14ac:dyDescent="0.3">
      <c r="J105900"/>
    </row>
    <row r="105901" spans="10:10" x14ac:dyDescent="0.3">
      <c r="J105901"/>
    </row>
    <row r="105902" spans="10:10" x14ac:dyDescent="0.3">
      <c r="J105902"/>
    </row>
    <row r="105903" spans="10:10" x14ac:dyDescent="0.3">
      <c r="J105903"/>
    </row>
    <row r="105904" spans="10:10" x14ac:dyDescent="0.3">
      <c r="J105904"/>
    </row>
    <row r="105905" spans="10:10" x14ac:dyDescent="0.3">
      <c r="J105905"/>
    </row>
    <row r="105906" spans="10:10" x14ac:dyDescent="0.3">
      <c r="J105906"/>
    </row>
    <row r="105907" spans="10:10" x14ac:dyDescent="0.3">
      <c r="J105907"/>
    </row>
    <row r="105908" spans="10:10" x14ac:dyDescent="0.3">
      <c r="J105908"/>
    </row>
    <row r="105909" spans="10:10" x14ac:dyDescent="0.3">
      <c r="J105909"/>
    </row>
    <row r="105910" spans="10:10" x14ac:dyDescent="0.3">
      <c r="J105910"/>
    </row>
    <row r="105911" spans="10:10" x14ac:dyDescent="0.3">
      <c r="J105911"/>
    </row>
    <row r="105912" spans="10:10" x14ac:dyDescent="0.3">
      <c r="J105912"/>
    </row>
    <row r="105913" spans="10:10" x14ac:dyDescent="0.3">
      <c r="J105913"/>
    </row>
    <row r="105914" spans="10:10" x14ac:dyDescent="0.3">
      <c r="J105914"/>
    </row>
    <row r="105915" spans="10:10" x14ac:dyDescent="0.3">
      <c r="J105915"/>
    </row>
    <row r="105916" spans="10:10" x14ac:dyDescent="0.3">
      <c r="J105916"/>
    </row>
    <row r="105917" spans="10:10" x14ac:dyDescent="0.3">
      <c r="J105917"/>
    </row>
    <row r="105918" spans="10:10" x14ac:dyDescent="0.3">
      <c r="J105918"/>
    </row>
    <row r="105919" spans="10:10" x14ac:dyDescent="0.3">
      <c r="J105919"/>
    </row>
    <row r="105920" spans="10:10" x14ac:dyDescent="0.3">
      <c r="J105920"/>
    </row>
    <row r="105921" spans="10:10" x14ac:dyDescent="0.3">
      <c r="J105921"/>
    </row>
    <row r="105922" spans="10:10" x14ac:dyDescent="0.3">
      <c r="J105922"/>
    </row>
    <row r="105923" spans="10:10" x14ac:dyDescent="0.3">
      <c r="J105923"/>
    </row>
    <row r="105924" spans="10:10" x14ac:dyDescent="0.3">
      <c r="J105924"/>
    </row>
    <row r="105925" spans="10:10" x14ac:dyDescent="0.3">
      <c r="J105925"/>
    </row>
    <row r="105926" spans="10:10" x14ac:dyDescent="0.3">
      <c r="J105926"/>
    </row>
    <row r="105927" spans="10:10" x14ac:dyDescent="0.3">
      <c r="J105927"/>
    </row>
    <row r="105928" spans="10:10" x14ac:dyDescent="0.3">
      <c r="J105928"/>
    </row>
    <row r="105929" spans="10:10" x14ac:dyDescent="0.3">
      <c r="J105929"/>
    </row>
    <row r="105930" spans="10:10" x14ac:dyDescent="0.3">
      <c r="J105930"/>
    </row>
    <row r="105931" spans="10:10" x14ac:dyDescent="0.3">
      <c r="J105931"/>
    </row>
    <row r="105932" spans="10:10" x14ac:dyDescent="0.3">
      <c r="J105932"/>
    </row>
    <row r="105933" spans="10:10" x14ac:dyDescent="0.3">
      <c r="J105933"/>
    </row>
    <row r="105934" spans="10:10" x14ac:dyDescent="0.3">
      <c r="J105934"/>
    </row>
    <row r="105935" spans="10:10" x14ac:dyDescent="0.3">
      <c r="J105935"/>
    </row>
    <row r="105936" spans="10:10" x14ac:dyDescent="0.3">
      <c r="J105936"/>
    </row>
    <row r="105937" spans="10:10" x14ac:dyDescent="0.3">
      <c r="J105937"/>
    </row>
    <row r="105938" spans="10:10" x14ac:dyDescent="0.3">
      <c r="J105938"/>
    </row>
    <row r="105939" spans="10:10" x14ac:dyDescent="0.3">
      <c r="J105939"/>
    </row>
    <row r="105940" spans="10:10" x14ac:dyDescent="0.3">
      <c r="J105940"/>
    </row>
    <row r="105941" spans="10:10" x14ac:dyDescent="0.3">
      <c r="J105941"/>
    </row>
    <row r="105942" spans="10:10" x14ac:dyDescent="0.3">
      <c r="J105942"/>
    </row>
    <row r="105943" spans="10:10" x14ac:dyDescent="0.3">
      <c r="J105943"/>
    </row>
    <row r="105944" spans="10:10" x14ac:dyDescent="0.3">
      <c r="J105944"/>
    </row>
    <row r="105945" spans="10:10" x14ac:dyDescent="0.3">
      <c r="J105945"/>
    </row>
    <row r="105946" spans="10:10" x14ac:dyDescent="0.3">
      <c r="J105946"/>
    </row>
    <row r="105947" spans="10:10" x14ac:dyDescent="0.3">
      <c r="J105947"/>
    </row>
    <row r="105948" spans="10:10" x14ac:dyDescent="0.3">
      <c r="J105948"/>
    </row>
    <row r="105949" spans="10:10" x14ac:dyDescent="0.3">
      <c r="J105949"/>
    </row>
    <row r="105950" spans="10:10" x14ac:dyDescent="0.3">
      <c r="J105950"/>
    </row>
    <row r="105951" spans="10:10" x14ac:dyDescent="0.3">
      <c r="J105951"/>
    </row>
    <row r="105952" spans="10:10" x14ac:dyDescent="0.3">
      <c r="J105952"/>
    </row>
    <row r="105953" spans="10:10" x14ac:dyDescent="0.3">
      <c r="J105953"/>
    </row>
    <row r="105954" spans="10:10" x14ac:dyDescent="0.3">
      <c r="J105954"/>
    </row>
    <row r="105955" spans="10:10" x14ac:dyDescent="0.3">
      <c r="J105955"/>
    </row>
    <row r="105956" spans="10:10" x14ac:dyDescent="0.3">
      <c r="J105956"/>
    </row>
    <row r="105957" spans="10:10" x14ac:dyDescent="0.3">
      <c r="J105957"/>
    </row>
    <row r="105958" spans="10:10" x14ac:dyDescent="0.3">
      <c r="J105958"/>
    </row>
    <row r="105959" spans="10:10" x14ac:dyDescent="0.3">
      <c r="J105959"/>
    </row>
    <row r="105960" spans="10:10" x14ac:dyDescent="0.3">
      <c r="J105960"/>
    </row>
    <row r="105961" spans="10:10" x14ac:dyDescent="0.3">
      <c r="J105961"/>
    </row>
    <row r="105962" spans="10:10" x14ac:dyDescent="0.3">
      <c r="J105962"/>
    </row>
    <row r="105963" spans="10:10" x14ac:dyDescent="0.3">
      <c r="J105963"/>
    </row>
    <row r="105964" spans="10:10" x14ac:dyDescent="0.3">
      <c r="J105964"/>
    </row>
    <row r="105965" spans="10:10" x14ac:dyDescent="0.3">
      <c r="J105965"/>
    </row>
    <row r="105966" spans="10:10" x14ac:dyDescent="0.3">
      <c r="J105966"/>
    </row>
    <row r="105967" spans="10:10" x14ac:dyDescent="0.3">
      <c r="J105967"/>
    </row>
    <row r="105968" spans="10:10" x14ac:dyDescent="0.3">
      <c r="J105968"/>
    </row>
    <row r="105969" spans="10:10" x14ac:dyDescent="0.3">
      <c r="J105969"/>
    </row>
    <row r="105970" spans="10:10" x14ac:dyDescent="0.3">
      <c r="J105970"/>
    </row>
    <row r="105971" spans="10:10" x14ac:dyDescent="0.3">
      <c r="J105971"/>
    </row>
    <row r="105972" spans="10:10" x14ac:dyDescent="0.3">
      <c r="J105972"/>
    </row>
    <row r="105973" spans="10:10" x14ac:dyDescent="0.3">
      <c r="J105973"/>
    </row>
    <row r="105974" spans="10:10" x14ac:dyDescent="0.3">
      <c r="J105974"/>
    </row>
    <row r="105975" spans="10:10" x14ac:dyDescent="0.3">
      <c r="J105975"/>
    </row>
    <row r="105976" spans="10:10" x14ac:dyDescent="0.3">
      <c r="J105976"/>
    </row>
    <row r="105977" spans="10:10" x14ac:dyDescent="0.3">
      <c r="J105977"/>
    </row>
    <row r="105978" spans="10:10" x14ac:dyDescent="0.3">
      <c r="J105978"/>
    </row>
    <row r="105979" spans="10:10" x14ac:dyDescent="0.3">
      <c r="J105979"/>
    </row>
    <row r="105980" spans="10:10" x14ac:dyDescent="0.3">
      <c r="J105980"/>
    </row>
    <row r="105981" spans="10:10" x14ac:dyDescent="0.3">
      <c r="J105981"/>
    </row>
    <row r="105982" spans="10:10" x14ac:dyDescent="0.3">
      <c r="J105982"/>
    </row>
    <row r="105983" spans="10:10" x14ac:dyDescent="0.3">
      <c r="J105983"/>
    </row>
    <row r="105984" spans="10:10" x14ac:dyDescent="0.3">
      <c r="J105984"/>
    </row>
    <row r="105985" spans="10:10" x14ac:dyDescent="0.3">
      <c r="J105985"/>
    </row>
    <row r="105986" spans="10:10" x14ac:dyDescent="0.3">
      <c r="J105986"/>
    </row>
    <row r="105987" spans="10:10" x14ac:dyDescent="0.3">
      <c r="J105987"/>
    </row>
    <row r="105988" spans="10:10" x14ac:dyDescent="0.3">
      <c r="J105988"/>
    </row>
    <row r="105989" spans="10:10" x14ac:dyDescent="0.3">
      <c r="J105989"/>
    </row>
    <row r="105990" spans="10:10" x14ac:dyDescent="0.3">
      <c r="J105990"/>
    </row>
    <row r="105991" spans="10:10" x14ac:dyDescent="0.3">
      <c r="J105991"/>
    </row>
    <row r="105992" spans="10:10" x14ac:dyDescent="0.3">
      <c r="J105992"/>
    </row>
    <row r="105993" spans="10:10" x14ac:dyDescent="0.3">
      <c r="J105993"/>
    </row>
    <row r="105994" spans="10:10" x14ac:dyDescent="0.3">
      <c r="J105994"/>
    </row>
    <row r="105995" spans="10:10" x14ac:dyDescent="0.3">
      <c r="J105995"/>
    </row>
    <row r="105996" spans="10:10" x14ac:dyDescent="0.3">
      <c r="J105996"/>
    </row>
    <row r="105997" spans="10:10" x14ac:dyDescent="0.3">
      <c r="J105997"/>
    </row>
    <row r="105998" spans="10:10" x14ac:dyDescent="0.3">
      <c r="J105998"/>
    </row>
    <row r="105999" spans="10:10" x14ac:dyDescent="0.3">
      <c r="J105999"/>
    </row>
    <row r="106000" spans="10:10" x14ac:dyDescent="0.3">
      <c r="J106000"/>
    </row>
    <row r="106001" spans="10:10" x14ac:dyDescent="0.3">
      <c r="J106001"/>
    </row>
    <row r="106002" spans="10:10" x14ac:dyDescent="0.3">
      <c r="J106002"/>
    </row>
    <row r="106003" spans="10:10" x14ac:dyDescent="0.3">
      <c r="J106003"/>
    </row>
    <row r="106004" spans="10:10" x14ac:dyDescent="0.3">
      <c r="J106004"/>
    </row>
    <row r="106005" spans="10:10" x14ac:dyDescent="0.3">
      <c r="J106005"/>
    </row>
    <row r="106006" spans="10:10" x14ac:dyDescent="0.3">
      <c r="J106006"/>
    </row>
    <row r="106007" spans="10:10" x14ac:dyDescent="0.3">
      <c r="J106007"/>
    </row>
    <row r="106008" spans="10:10" x14ac:dyDescent="0.3">
      <c r="J106008"/>
    </row>
    <row r="106009" spans="10:10" x14ac:dyDescent="0.3">
      <c r="J106009"/>
    </row>
    <row r="106010" spans="10:10" x14ac:dyDescent="0.3">
      <c r="J106010"/>
    </row>
    <row r="106011" spans="10:10" x14ac:dyDescent="0.3">
      <c r="J106011"/>
    </row>
    <row r="106012" spans="10:10" x14ac:dyDescent="0.3">
      <c r="J106012"/>
    </row>
    <row r="106013" spans="10:10" x14ac:dyDescent="0.3">
      <c r="J106013"/>
    </row>
    <row r="106014" spans="10:10" x14ac:dyDescent="0.3">
      <c r="J106014"/>
    </row>
    <row r="106015" spans="10:10" x14ac:dyDescent="0.3">
      <c r="J106015"/>
    </row>
    <row r="106016" spans="10:10" x14ac:dyDescent="0.3">
      <c r="J106016"/>
    </row>
    <row r="106017" spans="10:10" x14ac:dyDescent="0.3">
      <c r="J106017"/>
    </row>
    <row r="106018" spans="10:10" x14ac:dyDescent="0.3">
      <c r="J106018"/>
    </row>
    <row r="106019" spans="10:10" x14ac:dyDescent="0.3">
      <c r="J106019"/>
    </row>
    <row r="106020" spans="10:10" x14ac:dyDescent="0.3">
      <c r="J106020"/>
    </row>
    <row r="106021" spans="10:10" x14ac:dyDescent="0.3">
      <c r="J106021"/>
    </row>
    <row r="106022" spans="10:10" x14ac:dyDescent="0.3">
      <c r="J106022"/>
    </row>
    <row r="106023" spans="10:10" x14ac:dyDescent="0.3">
      <c r="J106023"/>
    </row>
    <row r="106024" spans="10:10" x14ac:dyDescent="0.3">
      <c r="J106024"/>
    </row>
    <row r="106025" spans="10:10" x14ac:dyDescent="0.3">
      <c r="J106025"/>
    </row>
    <row r="106026" spans="10:10" x14ac:dyDescent="0.3">
      <c r="J106026"/>
    </row>
    <row r="106027" spans="10:10" x14ac:dyDescent="0.3">
      <c r="J106027"/>
    </row>
    <row r="106028" spans="10:10" x14ac:dyDescent="0.3">
      <c r="J106028"/>
    </row>
    <row r="106029" spans="10:10" x14ac:dyDescent="0.3">
      <c r="J106029"/>
    </row>
    <row r="106030" spans="10:10" x14ac:dyDescent="0.3">
      <c r="J106030"/>
    </row>
    <row r="106031" spans="10:10" x14ac:dyDescent="0.3">
      <c r="J106031"/>
    </row>
    <row r="106032" spans="10:10" x14ac:dyDescent="0.3">
      <c r="J106032"/>
    </row>
    <row r="106033" spans="10:10" x14ac:dyDescent="0.3">
      <c r="J106033"/>
    </row>
    <row r="106034" spans="10:10" x14ac:dyDescent="0.3">
      <c r="J106034"/>
    </row>
    <row r="106035" spans="10:10" x14ac:dyDescent="0.3">
      <c r="J106035"/>
    </row>
    <row r="106036" spans="10:10" x14ac:dyDescent="0.3">
      <c r="J106036"/>
    </row>
    <row r="106037" spans="10:10" x14ac:dyDescent="0.3">
      <c r="J106037"/>
    </row>
    <row r="106038" spans="10:10" x14ac:dyDescent="0.3">
      <c r="J106038"/>
    </row>
    <row r="106039" spans="10:10" x14ac:dyDescent="0.3">
      <c r="J106039"/>
    </row>
    <row r="106040" spans="10:10" x14ac:dyDescent="0.3">
      <c r="J106040"/>
    </row>
    <row r="106041" spans="10:10" x14ac:dyDescent="0.3">
      <c r="J106041"/>
    </row>
    <row r="106042" spans="10:10" x14ac:dyDescent="0.3">
      <c r="J106042"/>
    </row>
    <row r="106043" spans="10:10" x14ac:dyDescent="0.3">
      <c r="J106043"/>
    </row>
    <row r="106044" spans="10:10" x14ac:dyDescent="0.3">
      <c r="J106044"/>
    </row>
    <row r="106045" spans="10:10" x14ac:dyDescent="0.3">
      <c r="J106045"/>
    </row>
    <row r="106046" spans="10:10" x14ac:dyDescent="0.3">
      <c r="J106046"/>
    </row>
    <row r="106047" spans="10:10" x14ac:dyDescent="0.3">
      <c r="J106047"/>
    </row>
    <row r="106048" spans="10:10" x14ac:dyDescent="0.3">
      <c r="J106048"/>
    </row>
    <row r="106049" spans="10:10" x14ac:dyDescent="0.3">
      <c r="J106049"/>
    </row>
    <row r="106050" spans="10:10" x14ac:dyDescent="0.3">
      <c r="J106050"/>
    </row>
    <row r="106051" spans="10:10" x14ac:dyDescent="0.3">
      <c r="J106051"/>
    </row>
    <row r="106052" spans="10:10" x14ac:dyDescent="0.3">
      <c r="J106052"/>
    </row>
    <row r="106053" spans="10:10" x14ac:dyDescent="0.3">
      <c r="J106053"/>
    </row>
    <row r="106054" spans="10:10" x14ac:dyDescent="0.3">
      <c r="J106054"/>
    </row>
    <row r="106055" spans="10:10" x14ac:dyDescent="0.3">
      <c r="J106055"/>
    </row>
    <row r="106056" spans="10:10" x14ac:dyDescent="0.3">
      <c r="J106056"/>
    </row>
    <row r="106057" spans="10:10" x14ac:dyDescent="0.3">
      <c r="J106057"/>
    </row>
    <row r="106058" spans="10:10" x14ac:dyDescent="0.3">
      <c r="J106058"/>
    </row>
    <row r="106059" spans="10:10" x14ac:dyDescent="0.3">
      <c r="J106059"/>
    </row>
    <row r="106060" spans="10:10" x14ac:dyDescent="0.3">
      <c r="J106060"/>
    </row>
    <row r="106061" spans="10:10" x14ac:dyDescent="0.3">
      <c r="J106061"/>
    </row>
    <row r="106062" spans="10:10" x14ac:dyDescent="0.3">
      <c r="J106062"/>
    </row>
    <row r="106063" spans="10:10" x14ac:dyDescent="0.3">
      <c r="J106063"/>
    </row>
    <row r="106064" spans="10:10" x14ac:dyDescent="0.3">
      <c r="J106064"/>
    </row>
    <row r="106065" spans="10:10" x14ac:dyDescent="0.3">
      <c r="J106065"/>
    </row>
    <row r="106066" spans="10:10" x14ac:dyDescent="0.3">
      <c r="J106066"/>
    </row>
    <row r="106067" spans="10:10" x14ac:dyDescent="0.3">
      <c r="J106067"/>
    </row>
    <row r="106068" spans="10:10" x14ac:dyDescent="0.3">
      <c r="J106068"/>
    </row>
    <row r="106069" spans="10:10" x14ac:dyDescent="0.3">
      <c r="J106069"/>
    </row>
    <row r="106070" spans="10:10" x14ac:dyDescent="0.3">
      <c r="J106070"/>
    </row>
    <row r="106071" spans="10:10" x14ac:dyDescent="0.3">
      <c r="J106071"/>
    </row>
    <row r="106072" spans="10:10" x14ac:dyDescent="0.3">
      <c r="J106072"/>
    </row>
    <row r="106073" spans="10:10" x14ac:dyDescent="0.3">
      <c r="J106073"/>
    </row>
    <row r="106074" spans="10:10" x14ac:dyDescent="0.3">
      <c r="J106074"/>
    </row>
    <row r="106075" spans="10:10" x14ac:dyDescent="0.3">
      <c r="J106075"/>
    </row>
    <row r="106076" spans="10:10" x14ac:dyDescent="0.3">
      <c r="J106076"/>
    </row>
    <row r="106077" spans="10:10" x14ac:dyDescent="0.3">
      <c r="J106077"/>
    </row>
    <row r="106078" spans="10:10" x14ac:dyDescent="0.3">
      <c r="J106078"/>
    </row>
    <row r="106079" spans="10:10" x14ac:dyDescent="0.3">
      <c r="J106079"/>
    </row>
    <row r="106080" spans="10:10" x14ac:dyDescent="0.3">
      <c r="J106080"/>
    </row>
    <row r="106081" spans="10:10" x14ac:dyDescent="0.3">
      <c r="J106081"/>
    </row>
    <row r="106082" spans="10:10" x14ac:dyDescent="0.3">
      <c r="J106082"/>
    </row>
    <row r="106083" spans="10:10" x14ac:dyDescent="0.3">
      <c r="J106083"/>
    </row>
    <row r="106084" spans="10:10" x14ac:dyDescent="0.3">
      <c r="J106084"/>
    </row>
    <row r="106085" spans="10:10" x14ac:dyDescent="0.3">
      <c r="J106085"/>
    </row>
    <row r="106086" spans="10:10" x14ac:dyDescent="0.3">
      <c r="J106086"/>
    </row>
    <row r="106087" spans="10:10" x14ac:dyDescent="0.3">
      <c r="J106087"/>
    </row>
    <row r="106088" spans="10:10" x14ac:dyDescent="0.3">
      <c r="J106088"/>
    </row>
    <row r="106089" spans="10:10" x14ac:dyDescent="0.3">
      <c r="J106089"/>
    </row>
    <row r="106090" spans="10:10" x14ac:dyDescent="0.3">
      <c r="J106090"/>
    </row>
    <row r="106091" spans="10:10" x14ac:dyDescent="0.3">
      <c r="J106091"/>
    </row>
    <row r="106092" spans="10:10" x14ac:dyDescent="0.3">
      <c r="J106092"/>
    </row>
    <row r="106093" spans="10:10" x14ac:dyDescent="0.3">
      <c r="J106093"/>
    </row>
    <row r="106094" spans="10:10" x14ac:dyDescent="0.3">
      <c r="J106094"/>
    </row>
    <row r="106095" spans="10:10" x14ac:dyDescent="0.3">
      <c r="J106095"/>
    </row>
    <row r="106096" spans="10:10" x14ac:dyDescent="0.3">
      <c r="J106096"/>
    </row>
    <row r="106097" spans="10:10" x14ac:dyDescent="0.3">
      <c r="J106097"/>
    </row>
    <row r="106098" spans="10:10" x14ac:dyDescent="0.3">
      <c r="J106098"/>
    </row>
    <row r="106099" spans="10:10" x14ac:dyDescent="0.3">
      <c r="J106099"/>
    </row>
    <row r="106100" spans="10:10" x14ac:dyDescent="0.3">
      <c r="J106100"/>
    </row>
    <row r="106101" spans="10:10" x14ac:dyDescent="0.3">
      <c r="J106101"/>
    </row>
    <row r="106102" spans="10:10" x14ac:dyDescent="0.3">
      <c r="J106102"/>
    </row>
    <row r="106103" spans="10:10" x14ac:dyDescent="0.3">
      <c r="J106103"/>
    </row>
    <row r="106104" spans="10:10" x14ac:dyDescent="0.3">
      <c r="J106104"/>
    </row>
    <row r="106105" spans="10:10" x14ac:dyDescent="0.3">
      <c r="J106105"/>
    </row>
    <row r="106106" spans="10:10" x14ac:dyDescent="0.3">
      <c r="J106106"/>
    </row>
    <row r="106107" spans="10:10" x14ac:dyDescent="0.3">
      <c r="J106107"/>
    </row>
    <row r="106108" spans="10:10" x14ac:dyDescent="0.3">
      <c r="J106108"/>
    </row>
    <row r="106109" spans="10:10" x14ac:dyDescent="0.3">
      <c r="J106109"/>
    </row>
    <row r="106110" spans="10:10" x14ac:dyDescent="0.3">
      <c r="J106110"/>
    </row>
    <row r="106111" spans="10:10" x14ac:dyDescent="0.3">
      <c r="J106111"/>
    </row>
    <row r="106112" spans="10:10" x14ac:dyDescent="0.3">
      <c r="J106112"/>
    </row>
    <row r="106113" spans="10:10" x14ac:dyDescent="0.3">
      <c r="J106113"/>
    </row>
    <row r="106114" spans="10:10" x14ac:dyDescent="0.3">
      <c r="J106114"/>
    </row>
    <row r="106115" spans="10:10" x14ac:dyDescent="0.3">
      <c r="J106115"/>
    </row>
    <row r="106116" spans="10:10" x14ac:dyDescent="0.3">
      <c r="J106116"/>
    </row>
    <row r="106117" spans="10:10" x14ac:dyDescent="0.3">
      <c r="J106117"/>
    </row>
    <row r="106118" spans="10:10" x14ac:dyDescent="0.3">
      <c r="J106118"/>
    </row>
    <row r="106119" spans="10:10" x14ac:dyDescent="0.3">
      <c r="J106119"/>
    </row>
    <row r="106120" spans="10:10" x14ac:dyDescent="0.3">
      <c r="J106120"/>
    </row>
    <row r="106121" spans="10:10" x14ac:dyDescent="0.3">
      <c r="J106121"/>
    </row>
    <row r="106122" spans="10:10" x14ac:dyDescent="0.3">
      <c r="J106122"/>
    </row>
    <row r="106123" spans="10:10" x14ac:dyDescent="0.3">
      <c r="J106123"/>
    </row>
    <row r="106124" spans="10:10" x14ac:dyDescent="0.3">
      <c r="J106124"/>
    </row>
    <row r="106125" spans="10:10" x14ac:dyDescent="0.3">
      <c r="J106125"/>
    </row>
    <row r="106126" spans="10:10" x14ac:dyDescent="0.3">
      <c r="J106126"/>
    </row>
    <row r="106127" spans="10:10" x14ac:dyDescent="0.3">
      <c r="J106127"/>
    </row>
    <row r="106128" spans="10:10" x14ac:dyDescent="0.3">
      <c r="J106128"/>
    </row>
    <row r="106129" spans="10:10" x14ac:dyDescent="0.3">
      <c r="J106129"/>
    </row>
    <row r="106130" spans="10:10" x14ac:dyDescent="0.3">
      <c r="J106130"/>
    </row>
    <row r="106131" spans="10:10" x14ac:dyDescent="0.3">
      <c r="J106131"/>
    </row>
    <row r="106132" spans="10:10" x14ac:dyDescent="0.3">
      <c r="J106132"/>
    </row>
    <row r="106133" spans="10:10" x14ac:dyDescent="0.3">
      <c r="J106133"/>
    </row>
    <row r="106134" spans="10:10" x14ac:dyDescent="0.3">
      <c r="J106134"/>
    </row>
    <row r="106135" spans="10:10" x14ac:dyDescent="0.3">
      <c r="J106135"/>
    </row>
    <row r="106136" spans="10:10" x14ac:dyDescent="0.3">
      <c r="J106136"/>
    </row>
    <row r="106137" spans="10:10" x14ac:dyDescent="0.3">
      <c r="J106137"/>
    </row>
    <row r="106138" spans="10:10" x14ac:dyDescent="0.3">
      <c r="J106138"/>
    </row>
    <row r="106139" spans="10:10" x14ac:dyDescent="0.3">
      <c r="J106139"/>
    </row>
    <row r="106140" spans="10:10" x14ac:dyDescent="0.3">
      <c r="J106140"/>
    </row>
    <row r="106141" spans="10:10" x14ac:dyDescent="0.3">
      <c r="J106141"/>
    </row>
    <row r="106142" spans="10:10" x14ac:dyDescent="0.3">
      <c r="J106142"/>
    </row>
    <row r="106143" spans="10:10" x14ac:dyDescent="0.3">
      <c r="J106143"/>
    </row>
    <row r="106144" spans="10:10" x14ac:dyDescent="0.3">
      <c r="J106144"/>
    </row>
    <row r="106145" spans="10:10" x14ac:dyDescent="0.3">
      <c r="J106145"/>
    </row>
    <row r="106146" spans="10:10" x14ac:dyDescent="0.3">
      <c r="J106146"/>
    </row>
    <row r="106147" spans="10:10" x14ac:dyDescent="0.3">
      <c r="J106147"/>
    </row>
    <row r="106148" spans="10:10" x14ac:dyDescent="0.3">
      <c r="J106148"/>
    </row>
    <row r="106149" spans="10:10" x14ac:dyDescent="0.3">
      <c r="J106149"/>
    </row>
    <row r="106150" spans="10:10" x14ac:dyDescent="0.3">
      <c r="J106150"/>
    </row>
    <row r="106151" spans="10:10" x14ac:dyDescent="0.3">
      <c r="J106151"/>
    </row>
    <row r="106152" spans="10:10" x14ac:dyDescent="0.3">
      <c r="J106152"/>
    </row>
    <row r="106153" spans="10:10" x14ac:dyDescent="0.3">
      <c r="J106153"/>
    </row>
    <row r="106154" spans="10:10" x14ac:dyDescent="0.3">
      <c r="J106154"/>
    </row>
    <row r="106155" spans="10:10" x14ac:dyDescent="0.3">
      <c r="J106155"/>
    </row>
    <row r="106156" spans="10:10" x14ac:dyDescent="0.3">
      <c r="J106156"/>
    </row>
    <row r="106157" spans="10:10" x14ac:dyDescent="0.3">
      <c r="J106157"/>
    </row>
    <row r="106158" spans="10:10" x14ac:dyDescent="0.3">
      <c r="J106158"/>
    </row>
    <row r="106159" spans="10:10" x14ac:dyDescent="0.3">
      <c r="J106159"/>
    </row>
    <row r="106160" spans="10:10" x14ac:dyDescent="0.3">
      <c r="J106160"/>
    </row>
    <row r="106161" spans="10:10" x14ac:dyDescent="0.3">
      <c r="J106161"/>
    </row>
    <row r="106162" spans="10:10" x14ac:dyDescent="0.3">
      <c r="J106162"/>
    </row>
    <row r="106163" spans="10:10" x14ac:dyDescent="0.3">
      <c r="J106163"/>
    </row>
    <row r="106164" spans="10:10" x14ac:dyDescent="0.3">
      <c r="J106164"/>
    </row>
    <row r="106165" spans="10:10" x14ac:dyDescent="0.3">
      <c r="J106165"/>
    </row>
    <row r="106166" spans="10:10" x14ac:dyDescent="0.3">
      <c r="J106166"/>
    </row>
    <row r="106167" spans="10:10" x14ac:dyDescent="0.3">
      <c r="J106167"/>
    </row>
    <row r="106168" spans="10:10" x14ac:dyDescent="0.3">
      <c r="J106168"/>
    </row>
    <row r="106169" spans="10:10" x14ac:dyDescent="0.3">
      <c r="J106169"/>
    </row>
    <row r="106170" spans="10:10" x14ac:dyDescent="0.3">
      <c r="J106170"/>
    </row>
    <row r="106171" spans="10:10" x14ac:dyDescent="0.3">
      <c r="J106171"/>
    </row>
    <row r="106172" spans="10:10" x14ac:dyDescent="0.3">
      <c r="J106172"/>
    </row>
    <row r="106173" spans="10:10" x14ac:dyDescent="0.3">
      <c r="J106173"/>
    </row>
    <row r="106174" spans="10:10" x14ac:dyDescent="0.3">
      <c r="J106174"/>
    </row>
    <row r="106175" spans="10:10" x14ac:dyDescent="0.3">
      <c r="J106175"/>
    </row>
    <row r="106176" spans="10:10" x14ac:dyDescent="0.3">
      <c r="J106176"/>
    </row>
    <row r="106177" spans="10:10" x14ac:dyDescent="0.3">
      <c r="J106177"/>
    </row>
    <row r="106178" spans="10:10" x14ac:dyDescent="0.3">
      <c r="J106178"/>
    </row>
    <row r="106179" spans="10:10" x14ac:dyDescent="0.3">
      <c r="J106179"/>
    </row>
    <row r="106180" spans="10:10" x14ac:dyDescent="0.3">
      <c r="J106180"/>
    </row>
    <row r="106181" spans="10:10" x14ac:dyDescent="0.3">
      <c r="J106181"/>
    </row>
    <row r="106182" spans="10:10" x14ac:dyDescent="0.3">
      <c r="J106182"/>
    </row>
    <row r="106183" spans="10:10" x14ac:dyDescent="0.3">
      <c r="J106183"/>
    </row>
    <row r="106184" spans="10:10" x14ac:dyDescent="0.3">
      <c r="J106184"/>
    </row>
    <row r="106185" spans="10:10" x14ac:dyDescent="0.3">
      <c r="J106185"/>
    </row>
    <row r="106186" spans="10:10" x14ac:dyDescent="0.3">
      <c r="J106186"/>
    </row>
    <row r="106187" spans="10:10" x14ac:dyDescent="0.3">
      <c r="J106187"/>
    </row>
    <row r="106188" spans="10:10" x14ac:dyDescent="0.3">
      <c r="J106188"/>
    </row>
    <row r="106189" spans="10:10" x14ac:dyDescent="0.3">
      <c r="J106189"/>
    </row>
    <row r="106190" spans="10:10" x14ac:dyDescent="0.3">
      <c r="J106190"/>
    </row>
    <row r="106191" spans="10:10" x14ac:dyDescent="0.3">
      <c r="J106191"/>
    </row>
    <row r="106192" spans="10:10" x14ac:dyDescent="0.3">
      <c r="J106192"/>
    </row>
    <row r="106193" spans="10:10" x14ac:dyDescent="0.3">
      <c r="J106193"/>
    </row>
    <row r="106194" spans="10:10" x14ac:dyDescent="0.3">
      <c r="J106194"/>
    </row>
    <row r="106195" spans="10:10" x14ac:dyDescent="0.3">
      <c r="J106195"/>
    </row>
    <row r="106196" spans="10:10" x14ac:dyDescent="0.3">
      <c r="J106196"/>
    </row>
    <row r="106197" spans="10:10" x14ac:dyDescent="0.3">
      <c r="J106197"/>
    </row>
    <row r="106198" spans="10:10" x14ac:dyDescent="0.3">
      <c r="J106198"/>
    </row>
    <row r="106199" spans="10:10" x14ac:dyDescent="0.3">
      <c r="J106199"/>
    </row>
    <row r="106200" spans="10:10" x14ac:dyDescent="0.3">
      <c r="J106200"/>
    </row>
    <row r="106201" spans="10:10" x14ac:dyDescent="0.3">
      <c r="J106201"/>
    </row>
    <row r="106202" spans="10:10" x14ac:dyDescent="0.3">
      <c r="J106202"/>
    </row>
    <row r="106203" spans="10:10" x14ac:dyDescent="0.3">
      <c r="J106203"/>
    </row>
    <row r="106204" spans="10:10" x14ac:dyDescent="0.3">
      <c r="J106204"/>
    </row>
    <row r="106205" spans="10:10" x14ac:dyDescent="0.3">
      <c r="J106205"/>
    </row>
    <row r="106206" spans="10:10" x14ac:dyDescent="0.3">
      <c r="J106206"/>
    </row>
    <row r="106207" spans="10:10" x14ac:dyDescent="0.3">
      <c r="J106207"/>
    </row>
    <row r="106208" spans="10:10" x14ac:dyDescent="0.3">
      <c r="J106208"/>
    </row>
    <row r="106209" spans="10:10" x14ac:dyDescent="0.3">
      <c r="J106209"/>
    </row>
    <row r="106210" spans="10:10" x14ac:dyDescent="0.3">
      <c r="J106210"/>
    </row>
    <row r="106211" spans="10:10" x14ac:dyDescent="0.3">
      <c r="J106211"/>
    </row>
    <row r="106212" spans="10:10" x14ac:dyDescent="0.3">
      <c r="J106212"/>
    </row>
    <row r="106213" spans="10:10" x14ac:dyDescent="0.3">
      <c r="J106213"/>
    </row>
    <row r="106214" spans="10:10" x14ac:dyDescent="0.3">
      <c r="J106214"/>
    </row>
    <row r="106215" spans="10:10" x14ac:dyDescent="0.3">
      <c r="J106215"/>
    </row>
    <row r="106216" spans="10:10" x14ac:dyDescent="0.3">
      <c r="J106216"/>
    </row>
    <row r="106217" spans="10:10" x14ac:dyDescent="0.3">
      <c r="J106217"/>
    </row>
    <row r="106218" spans="10:10" x14ac:dyDescent="0.3">
      <c r="J106218"/>
    </row>
    <row r="106219" spans="10:10" x14ac:dyDescent="0.3">
      <c r="J106219"/>
    </row>
    <row r="106220" spans="10:10" x14ac:dyDescent="0.3">
      <c r="J106220"/>
    </row>
    <row r="106221" spans="10:10" x14ac:dyDescent="0.3">
      <c r="J106221"/>
    </row>
    <row r="106222" spans="10:10" x14ac:dyDescent="0.3">
      <c r="J106222"/>
    </row>
    <row r="106223" spans="10:10" x14ac:dyDescent="0.3">
      <c r="J106223"/>
    </row>
    <row r="106224" spans="10:10" x14ac:dyDescent="0.3">
      <c r="J106224"/>
    </row>
    <row r="106225" spans="10:10" x14ac:dyDescent="0.3">
      <c r="J106225"/>
    </row>
    <row r="106226" spans="10:10" x14ac:dyDescent="0.3">
      <c r="J106226"/>
    </row>
    <row r="106227" spans="10:10" x14ac:dyDescent="0.3">
      <c r="J106227"/>
    </row>
    <row r="106228" spans="10:10" x14ac:dyDescent="0.3">
      <c r="J106228"/>
    </row>
    <row r="106229" spans="10:10" x14ac:dyDescent="0.3">
      <c r="J106229"/>
    </row>
    <row r="106230" spans="10:10" x14ac:dyDescent="0.3">
      <c r="J106230"/>
    </row>
    <row r="106231" spans="10:10" x14ac:dyDescent="0.3">
      <c r="J106231"/>
    </row>
    <row r="106232" spans="10:10" x14ac:dyDescent="0.3">
      <c r="J106232"/>
    </row>
    <row r="106233" spans="10:10" x14ac:dyDescent="0.3">
      <c r="J106233"/>
    </row>
    <row r="106234" spans="10:10" x14ac:dyDescent="0.3">
      <c r="J106234"/>
    </row>
    <row r="106235" spans="10:10" x14ac:dyDescent="0.3">
      <c r="J106235"/>
    </row>
    <row r="106236" spans="10:10" x14ac:dyDescent="0.3">
      <c r="J106236"/>
    </row>
    <row r="106237" spans="10:10" x14ac:dyDescent="0.3">
      <c r="J106237"/>
    </row>
    <row r="106238" spans="10:10" x14ac:dyDescent="0.3">
      <c r="J106238"/>
    </row>
    <row r="106239" spans="10:10" x14ac:dyDescent="0.3">
      <c r="J106239"/>
    </row>
    <row r="106240" spans="10:10" x14ac:dyDescent="0.3">
      <c r="J106240"/>
    </row>
    <row r="106241" spans="10:10" x14ac:dyDescent="0.3">
      <c r="J106241"/>
    </row>
    <row r="106242" spans="10:10" x14ac:dyDescent="0.3">
      <c r="J106242"/>
    </row>
    <row r="106243" spans="10:10" x14ac:dyDescent="0.3">
      <c r="J106243"/>
    </row>
    <row r="106244" spans="10:10" x14ac:dyDescent="0.3">
      <c r="J106244"/>
    </row>
    <row r="106245" spans="10:10" x14ac:dyDescent="0.3">
      <c r="J106245"/>
    </row>
    <row r="106246" spans="10:10" x14ac:dyDescent="0.3">
      <c r="J106246"/>
    </row>
    <row r="106247" spans="10:10" x14ac:dyDescent="0.3">
      <c r="J106247"/>
    </row>
    <row r="106248" spans="10:10" x14ac:dyDescent="0.3">
      <c r="J106248"/>
    </row>
    <row r="106249" spans="10:10" x14ac:dyDescent="0.3">
      <c r="J106249"/>
    </row>
    <row r="106250" spans="10:10" x14ac:dyDescent="0.3">
      <c r="J106250"/>
    </row>
    <row r="106251" spans="10:10" x14ac:dyDescent="0.3">
      <c r="J106251"/>
    </row>
    <row r="106252" spans="10:10" x14ac:dyDescent="0.3">
      <c r="J106252"/>
    </row>
    <row r="106253" spans="10:10" x14ac:dyDescent="0.3">
      <c r="J106253"/>
    </row>
    <row r="106254" spans="10:10" x14ac:dyDescent="0.3">
      <c r="J106254"/>
    </row>
    <row r="106255" spans="10:10" x14ac:dyDescent="0.3">
      <c r="J106255"/>
    </row>
    <row r="106256" spans="10:10" x14ac:dyDescent="0.3">
      <c r="J106256"/>
    </row>
    <row r="106257" spans="10:10" x14ac:dyDescent="0.3">
      <c r="J106257"/>
    </row>
    <row r="106258" spans="10:10" x14ac:dyDescent="0.3">
      <c r="J106258"/>
    </row>
    <row r="106259" spans="10:10" x14ac:dyDescent="0.3">
      <c r="J106259"/>
    </row>
    <row r="106260" spans="10:10" x14ac:dyDescent="0.3">
      <c r="J106260"/>
    </row>
    <row r="106261" spans="10:10" x14ac:dyDescent="0.3">
      <c r="J106261"/>
    </row>
    <row r="106262" spans="10:10" x14ac:dyDescent="0.3">
      <c r="J106262"/>
    </row>
    <row r="106263" spans="10:10" x14ac:dyDescent="0.3">
      <c r="J106263"/>
    </row>
    <row r="106264" spans="10:10" x14ac:dyDescent="0.3">
      <c r="J106264"/>
    </row>
    <row r="106265" spans="10:10" x14ac:dyDescent="0.3">
      <c r="J106265"/>
    </row>
    <row r="106266" spans="10:10" x14ac:dyDescent="0.3">
      <c r="J106266"/>
    </row>
    <row r="106267" spans="10:10" x14ac:dyDescent="0.3">
      <c r="J106267"/>
    </row>
    <row r="106268" spans="10:10" x14ac:dyDescent="0.3">
      <c r="J106268"/>
    </row>
    <row r="106269" spans="10:10" x14ac:dyDescent="0.3">
      <c r="J106269"/>
    </row>
    <row r="106270" spans="10:10" x14ac:dyDescent="0.3">
      <c r="J106270"/>
    </row>
    <row r="106271" spans="10:10" x14ac:dyDescent="0.3">
      <c r="J106271"/>
    </row>
    <row r="106272" spans="10:10" x14ac:dyDescent="0.3">
      <c r="J106272"/>
    </row>
    <row r="106273" spans="10:10" x14ac:dyDescent="0.3">
      <c r="J106273"/>
    </row>
    <row r="106274" spans="10:10" x14ac:dyDescent="0.3">
      <c r="J106274"/>
    </row>
    <row r="106275" spans="10:10" x14ac:dyDescent="0.3">
      <c r="J106275"/>
    </row>
    <row r="106276" spans="10:10" x14ac:dyDescent="0.3">
      <c r="J106276"/>
    </row>
    <row r="106277" spans="10:10" x14ac:dyDescent="0.3">
      <c r="J106277"/>
    </row>
    <row r="106278" spans="10:10" x14ac:dyDescent="0.3">
      <c r="J106278"/>
    </row>
    <row r="106279" spans="10:10" x14ac:dyDescent="0.3">
      <c r="J106279"/>
    </row>
    <row r="106280" spans="10:10" x14ac:dyDescent="0.3">
      <c r="J106280"/>
    </row>
    <row r="106281" spans="10:10" x14ac:dyDescent="0.3">
      <c r="J106281"/>
    </row>
    <row r="106282" spans="10:10" x14ac:dyDescent="0.3">
      <c r="J106282"/>
    </row>
    <row r="106283" spans="10:10" x14ac:dyDescent="0.3">
      <c r="J106283"/>
    </row>
    <row r="106284" spans="10:10" x14ac:dyDescent="0.3">
      <c r="J106284"/>
    </row>
    <row r="106285" spans="10:10" x14ac:dyDescent="0.3">
      <c r="J106285"/>
    </row>
    <row r="106286" spans="10:10" x14ac:dyDescent="0.3">
      <c r="J106286"/>
    </row>
    <row r="106287" spans="10:10" x14ac:dyDescent="0.3">
      <c r="J106287"/>
    </row>
    <row r="106288" spans="10:10" x14ac:dyDescent="0.3">
      <c r="J106288"/>
    </row>
    <row r="106289" spans="10:10" x14ac:dyDescent="0.3">
      <c r="J106289"/>
    </row>
    <row r="106290" spans="10:10" x14ac:dyDescent="0.3">
      <c r="J106290"/>
    </row>
    <row r="106291" spans="10:10" x14ac:dyDescent="0.3">
      <c r="J106291"/>
    </row>
    <row r="106292" spans="10:10" x14ac:dyDescent="0.3">
      <c r="J106292"/>
    </row>
    <row r="106293" spans="10:10" x14ac:dyDescent="0.3">
      <c r="J106293"/>
    </row>
    <row r="106294" spans="10:10" x14ac:dyDescent="0.3">
      <c r="J106294"/>
    </row>
    <row r="106295" spans="10:10" x14ac:dyDescent="0.3">
      <c r="J106295"/>
    </row>
    <row r="106296" spans="10:10" x14ac:dyDescent="0.3">
      <c r="J106296"/>
    </row>
    <row r="106297" spans="10:10" x14ac:dyDescent="0.3">
      <c r="J106297"/>
    </row>
    <row r="106298" spans="10:10" x14ac:dyDescent="0.3">
      <c r="J106298"/>
    </row>
    <row r="106299" spans="10:10" x14ac:dyDescent="0.3">
      <c r="J106299"/>
    </row>
    <row r="106300" spans="10:10" x14ac:dyDescent="0.3">
      <c r="J106300"/>
    </row>
    <row r="106301" spans="10:10" x14ac:dyDescent="0.3">
      <c r="J106301"/>
    </row>
    <row r="106302" spans="10:10" x14ac:dyDescent="0.3">
      <c r="J106302"/>
    </row>
    <row r="106303" spans="10:10" x14ac:dyDescent="0.3">
      <c r="J106303"/>
    </row>
    <row r="106304" spans="10:10" x14ac:dyDescent="0.3">
      <c r="J106304"/>
    </row>
    <row r="106305" spans="10:10" x14ac:dyDescent="0.3">
      <c r="J106305"/>
    </row>
    <row r="106306" spans="10:10" x14ac:dyDescent="0.3">
      <c r="J106306"/>
    </row>
    <row r="106307" spans="10:10" x14ac:dyDescent="0.3">
      <c r="J106307"/>
    </row>
    <row r="106308" spans="10:10" x14ac:dyDescent="0.3">
      <c r="J106308"/>
    </row>
    <row r="106309" spans="10:10" x14ac:dyDescent="0.3">
      <c r="J106309"/>
    </row>
    <row r="106310" spans="10:10" x14ac:dyDescent="0.3">
      <c r="J106310"/>
    </row>
    <row r="106311" spans="10:10" x14ac:dyDescent="0.3">
      <c r="J106311"/>
    </row>
    <row r="106312" spans="10:10" x14ac:dyDescent="0.3">
      <c r="J106312"/>
    </row>
    <row r="106313" spans="10:10" x14ac:dyDescent="0.3">
      <c r="J106313"/>
    </row>
    <row r="106314" spans="10:10" x14ac:dyDescent="0.3">
      <c r="J106314"/>
    </row>
    <row r="106315" spans="10:10" x14ac:dyDescent="0.3">
      <c r="J106315"/>
    </row>
    <row r="106316" spans="10:10" x14ac:dyDescent="0.3">
      <c r="J106316"/>
    </row>
    <row r="106317" spans="10:10" x14ac:dyDescent="0.3">
      <c r="J106317"/>
    </row>
    <row r="106318" spans="10:10" x14ac:dyDescent="0.3">
      <c r="J106318"/>
    </row>
    <row r="106319" spans="10:10" x14ac:dyDescent="0.3">
      <c r="J106319"/>
    </row>
    <row r="106320" spans="10:10" x14ac:dyDescent="0.3">
      <c r="J106320"/>
    </row>
    <row r="106321" spans="10:10" x14ac:dyDescent="0.3">
      <c r="J106321"/>
    </row>
    <row r="106322" spans="10:10" x14ac:dyDescent="0.3">
      <c r="J106322"/>
    </row>
    <row r="106323" spans="10:10" x14ac:dyDescent="0.3">
      <c r="J106323"/>
    </row>
    <row r="106324" spans="10:10" x14ac:dyDescent="0.3">
      <c r="J106324"/>
    </row>
    <row r="106325" spans="10:10" x14ac:dyDescent="0.3">
      <c r="J106325"/>
    </row>
    <row r="106326" spans="10:10" x14ac:dyDescent="0.3">
      <c r="J106326"/>
    </row>
    <row r="106327" spans="10:10" x14ac:dyDescent="0.3">
      <c r="J106327"/>
    </row>
    <row r="106328" spans="10:10" x14ac:dyDescent="0.3">
      <c r="J106328"/>
    </row>
    <row r="106329" spans="10:10" x14ac:dyDescent="0.3">
      <c r="J106329"/>
    </row>
    <row r="106330" spans="10:10" x14ac:dyDescent="0.3">
      <c r="J106330"/>
    </row>
    <row r="106331" spans="10:10" x14ac:dyDescent="0.3">
      <c r="J106331"/>
    </row>
    <row r="106332" spans="10:10" x14ac:dyDescent="0.3">
      <c r="J106332"/>
    </row>
    <row r="106333" spans="10:10" x14ac:dyDescent="0.3">
      <c r="J106333"/>
    </row>
    <row r="106334" spans="10:10" x14ac:dyDescent="0.3">
      <c r="J106334"/>
    </row>
    <row r="106335" spans="10:10" x14ac:dyDescent="0.3">
      <c r="J106335"/>
    </row>
    <row r="106336" spans="10:10" x14ac:dyDescent="0.3">
      <c r="J106336"/>
    </row>
    <row r="106337" spans="10:10" x14ac:dyDescent="0.3">
      <c r="J106337"/>
    </row>
    <row r="106338" spans="10:10" x14ac:dyDescent="0.3">
      <c r="J106338"/>
    </row>
    <row r="106339" spans="10:10" x14ac:dyDescent="0.3">
      <c r="J106339"/>
    </row>
    <row r="106340" spans="10:10" x14ac:dyDescent="0.3">
      <c r="J106340"/>
    </row>
    <row r="106341" spans="10:10" x14ac:dyDescent="0.3">
      <c r="J106341"/>
    </row>
    <row r="106342" spans="10:10" x14ac:dyDescent="0.3">
      <c r="J106342"/>
    </row>
    <row r="106343" spans="10:10" x14ac:dyDescent="0.3">
      <c r="J106343"/>
    </row>
    <row r="106344" spans="10:10" x14ac:dyDescent="0.3">
      <c r="J106344"/>
    </row>
    <row r="106345" spans="10:10" x14ac:dyDescent="0.3">
      <c r="J106345"/>
    </row>
    <row r="106346" spans="10:10" x14ac:dyDescent="0.3">
      <c r="J106346"/>
    </row>
    <row r="106347" spans="10:10" x14ac:dyDescent="0.3">
      <c r="J106347"/>
    </row>
    <row r="106348" spans="10:10" x14ac:dyDescent="0.3">
      <c r="J106348"/>
    </row>
    <row r="106349" spans="10:10" x14ac:dyDescent="0.3">
      <c r="J106349"/>
    </row>
    <row r="106350" spans="10:10" x14ac:dyDescent="0.3">
      <c r="J106350"/>
    </row>
    <row r="106351" spans="10:10" x14ac:dyDescent="0.3">
      <c r="J106351"/>
    </row>
    <row r="106352" spans="10:10" x14ac:dyDescent="0.3">
      <c r="J106352"/>
    </row>
    <row r="106353" spans="10:10" x14ac:dyDescent="0.3">
      <c r="J106353"/>
    </row>
    <row r="106354" spans="10:10" x14ac:dyDescent="0.3">
      <c r="J106354"/>
    </row>
    <row r="106355" spans="10:10" x14ac:dyDescent="0.3">
      <c r="J106355"/>
    </row>
    <row r="106356" spans="10:10" x14ac:dyDescent="0.3">
      <c r="J106356"/>
    </row>
    <row r="106357" spans="10:10" x14ac:dyDescent="0.3">
      <c r="J106357"/>
    </row>
    <row r="106358" spans="10:10" x14ac:dyDescent="0.3">
      <c r="J106358"/>
    </row>
    <row r="106359" spans="10:10" x14ac:dyDescent="0.3">
      <c r="J106359"/>
    </row>
    <row r="106360" spans="10:10" x14ac:dyDescent="0.3">
      <c r="J106360"/>
    </row>
    <row r="106361" spans="10:10" x14ac:dyDescent="0.3">
      <c r="J106361"/>
    </row>
    <row r="106362" spans="10:10" x14ac:dyDescent="0.3">
      <c r="J106362"/>
    </row>
    <row r="106363" spans="10:10" x14ac:dyDescent="0.3">
      <c r="J106363"/>
    </row>
    <row r="106364" spans="10:10" x14ac:dyDescent="0.3">
      <c r="J106364"/>
    </row>
    <row r="106365" spans="10:10" x14ac:dyDescent="0.3">
      <c r="J106365"/>
    </row>
    <row r="106366" spans="10:10" x14ac:dyDescent="0.3">
      <c r="J106366"/>
    </row>
    <row r="106367" spans="10:10" x14ac:dyDescent="0.3">
      <c r="J106367"/>
    </row>
    <row r="106368" spans="10:10" x14ac:dyDescent="0.3">
      <c r="J106368"/>
    </row>
    <row r="106369" spans="10:10" x14ac:dyDescent="0.3">
      <c r="J106369"/>
    </row>
    <row r="106370" spans="10:10" x14ac:dyDescent="0.3">
      <c r="J106370"/>
    </row>
    <row r="106371" spans="10:10" x14ac:dyDescent="0.3">
      <c r="J106371"/>
    </row>
    <row r="106372" spans="10:10" x14ac:dyDescent="0.3">
      <c r="J106372"/>
    </row>
    <row r="106373" spans="10:10" x14ac:dyDescent="0.3">
      <c r="J106373"/>
    </row>
    <row r="106374" spans="10:10" x14ac:dyDescent="0.3">
      <c r="J106374"/>
    </row>
    <row r="106375" spans="10:10" x14ac:dyDescent="0.3">
      <c r="J106375"/>
    </row>
    <row r="106376" spans="10:10" x14ac:dyDescent="0.3">
      <c r="J106376"/>
    </row>
    <row r="106377" spans="10:10" x14ac:dyDescent="0.3">
      <c r="J106377"/>
    </row>
    <row r="106378" spans="10:10" x14ac:dyDescent="0.3">
      <c r="J106378"/>
    </row>
    <row r="106379" spans="10:10" x14ac:dyDescent="0.3">
      <c r="J106379"/>
    </row>
    <row r="106380" spans="10:10" x14ac:dyDescent="0.3">
      <c r="J106380"/>
    </row>
    <row r="106381" spans="10:10" x14ac:dyDescent="0.3">
      <c r="J106381"/>
    </row>
    <row r="106382" spans="10:10" x14ac:dyDescent="0.3">
      <c r="J106382"/>
    </row>
    <row r="106383" spans="10:10" x14ac:dyDescent="0.3">
      <c r="J106383"/>
    </row>
    <row r="106384" spans="10:10" x14ac:dyDescent="0.3">
      <c r="J106384"/>
    </row>
    <row r="106385" spans="10:10" x14ac:dyDescent="0.3">
      <c r="J106385"/>
    </row>
    <row r="106386" spans="10:10" x14ac:dyDescent="0.3">
      <c r="J106386"/>
    </row>
    <row r="106387" spans="10:10" x14ac:dyDescent="0.3">
      <c r="J106387"/>
    </row>
    <row r="106388" spans="10:10" x14ac:dyDescent="0.3">
      <c r="J106388"/>
    </row>
    <row r="106389" spans="10:10" x14ac:dyDescent="0.3">
      <c r="J106389"/>
    </row>
    <row r="106390" spans="10:10" x14ac:dyDescent="0.3">
      <c r="J106390"/>
    </row>
    <row r="106391" spans="10:10" x14ac:dyDescent="0.3">
      <c r="J106391"/>
    </row>
    <row r="106392" spans="10:10" x14ac:dyDescent="0.3">
      <c r="J106392"/>
    </row>
    <row r="106393" spans="10:10" x14ac:dyDescent="0.3">
      <c r="J106393"/>
    </row>
    <row r="106394" spans="10:10" x14ac:dyDescent="0.3">
      <c r="J106394"/>
    </row>
    <row r="106395" spans="10:10" x14ac:dyDescent="0.3">
      <c r="J106395"/>
    </row>
    <row r="106396" spans="10:10" x14ac:dyDescent="0.3">
      <c r="J106396"/>
    </row>
    <row r="106397" spans="10:10" x14ac:dyDescent="0.3">
      <c r="J106397"/>
    </row>
    <row r="106398" spans="10:10" x14ac:dyDescent="0.3">
      <c r="J106398"/>
    </row>
    <row r="106399" spans="10:10" x14ac:dyDescent="0.3">
      <c r="J106399"/>
    </row>
    <row r="106400" spans="10:10" x14ac:dyDescent="0.3">
      <c r="J106400"/>
    </row>
    <row r="106401" spans="10:10" x14ac:dyDescent="0.3">
      <c r="J106401"/>
    </row>
    <row r="106402" spans="10:10" x14ac:dyDescent="0.3">
      <c r="J106402"/>
    </row>
    <row r="106403" spans="10:10" x14ac:dyDescent="0.3">
      <c r="J106403"/>
    </row>
    <row r="106404" spans="10:10" x14ac:dyDescent="0.3">
      <c r="J106404"/>
    </row>
    <row r="106405" spans="10:10" x14ac:dyDescent="0.3">
      <c r="J106405"/>
    </row>
    <row r="106406" spans="10:10" x14ac:dyDescent="0.3">
      <c r="J106406"/>
    </row>
    <row r="106407" spans="10:10" x14ac:dyDescent="0.3">
      <c r="J106407"/>
    </row>
    <row r="106408" spans="10:10" x14ac:dyDescent="0.3">
      <c r="J106408"/>
    </row>
    <row r="106409" spans="10:10" x14ac:dyDescent="0.3">
      <c r="J106409"/>
    </row>
    <row r="106410" spans="10:10" x14ac:dyDescent="0.3">
      <c r="J106410"/>
    </row>
    <row r="106411" spans="10:10" x14ac:dyDescent="0.3">
      <c r="J106411"/>
    </row>
    <row r="106412" spans="10:10" x14ac:dyDescent="0.3">
      <c r="J106412"/>
    </row>
    <row r="106413" spans="10:10" x14ac:dyDescent="0.3">
      <c r="J106413"/>
    </row>
    <row r="106414" spans="10:10" x14ac:dyDescent="0.3">
      <c r="J106414"/>
    </row>
    <row r="106415" spans="10:10" x14ac:dyDescent="0.3">
      <c r="J106415"/>
    </row>
    <row r="106416" spans="10:10" x14ac:dyDescent="0.3">
      <c r="J106416"/>
    </row>
    <row r="106417" spans="10:10" x14ac:dyDescent="0.3">
      <c r="J106417"/>
    </row>
    <row r="106418" spans="10:10" x14ac:dyDescent="0.3">
      <c r="J106418"/>
    </row>
    <row r="106419" spans="10:10" x14ac:dyDescent="0.3">
      <c r="J106419"/>
    </row>
    <row r="106420" spans="10:10" x14ac:dyDescent="0.3">
      <c r="J106420"/>
    </row>
    <row r="106421" spans="10:10" x14ac:dyDescent="0.3">
      <c r="J106421"/>
    </row>
    <row r="106422" spans="10:10" x14ac:dyDescent="0.3">
      <c r="J106422"/>
    </row>
    <row r="106423" spans="10:10" x14ac:dyDescent="0.3">
      <c r="J106423"/>
    </row>
    <row r="106424" spans="10:10" x14ac:dyDescent="0.3">
      <c r="J106424"/>
    </row>
    <row r="106425" spans="10:10" x14ac:dyDescent="0.3">
      <c r="J106425"/>
    </row>
    <row r="106426" spans="10:10" x14ac:dyDescent="0.3">
      <c r="J106426"/>
    </row>
    <row r="106427" spans="10:10" x14ac:dyDescent="0.3">
      <c r="J106427"/>
    </row>
    <row r="106428" spans="10:10" x14ac:dyDescent="0.3">
      <c r="J106428"/>
    </row>
    <row r="106429" spans="10:10" x14ac:dyDescent="0.3">
      <c r="J106429"/>
    </row>
    <row r="106430" spans="10:10" x14ac:dyDescent="0.3">
      <c r="J106430"/>
    </row>
    <row r="106431" spans="10:10" x14ac:dyDescent="0.3">
      <c r="J106431"/>
    </row>
    <row r="106432" spans="10:10" x14ac:dyDescent="0.3">
      <c r="J106432"/>
    </row>
    <row r="106433" spans="10:10" x14ac:dyDescent="0.3">
      <c r="J106433"/>
    </row>
    <row r="106434" spans="10:10" x14ac:dyDescent="0.3">
      <c r="J106434"/>
    </row>
    <row r="106435" spans="10:10" x14ac:dyDescent="0.3">
      <c r="J106435"/>
    </row>
    <row r="106436" spans="10:10" x14ac:dyDescent="0.3">
      <c r="J106436"/>
    </row>
    <row r="106437" spans="10:10" x14ac:dyDescent="0.3">
      <c r="J106437"/>
    </row>
    <row r="106438" spans="10:10" x14ac:dyDescent="0.3">
      <c r="J106438"/>
    </row>
    <row r="106439" spans="10:10" x14ac:dyDescent="0.3">
      <c r="J106439"/>
    </row>
    <row r="106440" spans="10:10" x14ac:dyDescent="0.3">
      <c r="J106440"/>
    </row>
    <row r="106441" spans="10:10" x14ac:dyDescent="0.3">
      <c r="J106441"/>
    </row>
    <row r="106442" spans="10:10" x14ac:dyDescent="0.3">
      <c r="J106442"/>
    </row>
    <row r="106443" spans="10:10" x14ac:dyDescent="0.3">
      <c r="J106443"/>
    </row>
    <row r="106444" spans="10:10" x14ac:dyDescent="0.3">
      <c r="J106444"/>
    </row>
    <row r="106445" spans="10:10" x14ac:dyDescent="0.3">
      <c r="J106445"/>
    </row>
    <row r="106446" spans="10:10" x14ac:dyDescent="0.3">
      <c r="J106446"/>
    </row>
    <row r="106447" spans="10:10" x14ac:dyDescent="0.3">
      <c r="J106447"/>
    </row>
    <row r="106448" spans="10:10" x14ac:dyDescent="0.3">
      <c r="J106448"/>
    </row>
    <row r="106449" spans="10:10" x14ac:dyDescent="0.3">
      <c r="J106449"/>
    </row>
    <row r="106450" spans="10:10" x14ac:dyDescent="0.3">
      <c r="J106450"/>
    </row>
    <row r="106451" spans="10:10" x14ac:dyDescent="0.3">
      <c r="J106451"/>
    </row>
    <row r="106452" spans="10:10" x14ac:dyDescent="0.3">
      <c r="J106452"/>
    </row>
    <row r="106453" spans="10:10" x14ac:dyDescent="0.3">
      <c r="J106453"/>
    </row>
    <row r="106454" spans="10:10" x14ac:dyDescent="0.3">
      <c r="J106454"/>
    </row>
    <row r="106455" spans="10:10" x14ac:dyDescent="0.3">
      <c r="J106455"/>
    </row>
    <row r="106456" spans="10:10" x14ac:dyDescent="0.3">
      <c r="J106456"/>
    </row>
    <row r="106457" spans="10:10" x14ac:dyDescent="0.3">
      <c r="J106457"/>
    </row>
    <row r="106458" spans="10:10" x14ac:dyDescent="0.3">
      <c r="J106458"/>
    </row>
    <row r="106459" spans="10:10" x14ac:dyDescent="0.3">
      <c r="J106459"/>
    </row>
    <row r="106460" spans="10:10" x14ac:dyDescent="0.3">
      <c r="J106460"/>
    </row>
    <row r="106461" spans="10:10" x14ac:dyDescent="0.3">
      <c r="J106461"/>
    </row>
    <row r="106462" spans="10:10" x14ac:dyDescent="0.3">
      <c r="J106462"/>
    </row>
    <row r="106463" spans="10:10" x14ac:dyDescent="0.3">
      <c r="J106463"/>
    </row>
    <row r="106464" spans="10:10" x14ac:dyDescent="0.3">
      <c r="J106464"/>
    </row>
    <row r="106465" spans="10:10" x14ac:dyDescent="0.3">
      <c r="J106465"/>
    </row>
    <row r="106466" spans="10:10" x14ac:dyDescent="0.3">
      <c r="J106466"/>
    </row>
    <row r="106467" spans="10:10" x14ac:dyDescent="0.3">
      <c r="J106467"/>
    </row>
    <row r="106468" spans="10:10" x14ac:dyDescent="0.3">
      <c r="J106468"/>
    </row>
    <row r="106469" spans="10:10" x14ac:dyDescent="0.3">
      <c r="J106469"/>
    </row>
    <row r="106470" spans="10:10" x14ac:dyDescent="0.3">
      <c r="J106470"/>
    </row>
    <row r="106471" spans="10:10" x14ac:dyDescent="0.3">
      <c r="J106471"/>
    </row>
    <row r="106472" spans="10:10" x14ac:dyDescent="0.3">
      <c r="J106472"/>
    </row>
    <row r="106473" spans="10:10" x14ac:dyDescent="0.3">
      <c r="J106473"/>
    </row>
    <row r="106474" spans="10:10" x14ac:dyDescent="0.3">
      <c r="J106474"/>
    </row>
    <row r="106475" spans="10:10" x14ac:dyDescent="0.3">
      <c r="J106475"/>
    </row>
    <row r="106476" spans="10:10" x14ac:dyDescent="0.3">
      <c r="J106476"/>
    </row>
    <row r="106477" spans="10:10" x14ac:dyDescent="0.3">
      <c r="J106477"/>
    </row>
    <row r="106478" spans="10:10" x14ac:dyDescent="0.3">
      <c r="J106478"/>
    </row>
    <row r="106479" spans="10:10" x14ac:dyDescent="0.3">
      <c r="J106479"/>
    </row>
    <row r="106480" spans="10:10" x14ac:dyDescent="0.3">
      <c r="J106480"/>
    </row>
    <row r="106481" spans="10:10" x14ac:dyDescent="0.3">
      <c r="J106481"/>
    </row>
    <row r="106482" spans="10:10" x14ac:dyDescent="0.3">
      <c r="J106482"/>
    </row>
    <row r="106483" spans="10:10" x14ac:dyDescent="0.3">
      <c r="J106483"/>
    </row>
    <row r="106484" spans="10:10" x14ac:dyDescent="0.3">
      <c r="J106484"/>
    </row>
    <row r="106485" spans="10:10" x14ac:dyDescent="0.3">
      <c r="J106485"/>
    </row>
    <row r="106486" spans="10:10" x14ac:dyDescent="0.3">
      <c r="J106486"/>
    </row>
    <row r="106487" spans="10:10" x14ac:dyDescent="0.3">
      <c r="J106487"/>
    </row>
    <row r="106488" spans="10:10" x14ac:dyDescent="0.3">
      <c r="J106488"/>
    </row>
    <row r="106489" spans="10:10" x14ac:dyDescent="0.3">
      <c r="J106489"/>
    </row>
    <row r="106490" spans="10:10" x14ac:dyDescent="0.3">
      <c r="J106490"/>
    </row>
    <row r="106491" spans="10:10" x14ac:dyDescent="0.3">
      <c r="J106491"/>
    </row>
    <row r="106492" spans="10:10" x14ac:dyDescent="0.3">
      <c r="J106492"/>
    </row>
    <row r="106493" spans="10:10" x14ac:dyDescent="0.3">
      <c r="J106493"/>
    </row>
    <row r="106494" spans="10:10" x14ac:dyDescent="0.3">
      <c r="J106494"/>
    </row>
    <row r="106495" spans="10:10" x14ac:dyDescent="0.3">
      <c r="J106495"/>
    </row>
    <row r="106496" spans="10:10" x14ac:dyDescent="0.3">
      <c r="J106496"/>
    </row>
    <row r="106497" spans="10:10" x14ac:dyDescent="0.3">
      <c r="J106497"/>
    </row>
    <row r="106498" spans="10:10" x14ac:dyDescent="0.3">
      <c r="J106498"/>
    </row>
    <row r="106499" spans="10:10" x14ac:dyDescent="0.3">
      <c r="J106499"/>
    </row>
    <row r="106500" spans="10:10" x14ac:dyDescent="0.3">
      <c r="J106500"/>
    </row>
    <row r="106501" spans="10:10" x14ac:dyDescent="0.3">
      <c r="J106501"/>
    </row>
    <row r="106502" spans="10:10" x14ac:dyDescent="0.3">
      <c r="J106502"/>
    </row>
    <row r="106503" spans="10:10" x14ac:dyDescent="0.3">
      <c r="J106503"/>
    </row>
    <row r="106504" spans="10:10" x14ac:dyDescent="0.3">
      <c r="J106504"/>
    </row>
    <row r="106505" spans="10:10" x14ac:dyDescent="0.3">
      <c r="J106505"/>
    </row>
    <row r="106506" spans="10:10" x14ac:dyDescent="0.3">
      <c r="J106506"/>
    </row>
    <row r="106507" spans="10:10" x14ac:dyDescent="0.3">
      <c r="J106507"/>
    </row>
    <row r="106508" spans="10:10" x14ac:dyDescent="0.3">
      <c r="J106508"/>
    </row>
    <row r="106509" spans="10:10" x14ac:dyDescent="0.3">
      <c r="J106509"/>
    </row>
    <row r="106510" spans="10:10" x14ac:dyDescent="0.3">
      <c r="J106510"/>
    </row>
    <row r="106511" spans="10:10" x14ac:dyDescent="0.3">
      <c r="J106511"/>
    </row>
    <row r="106512" spans="10:10" x14ac:dyDescent="0.3">
      <c r="J106512"/>
    </row>
    <row r="106513" spans="10:10" x14ac:dyDescent="0.3">
      <c r="J106513"/>
    </row>
    <row r="106514" spans="10:10" x14ac:dyDescent="0.3">
      <c r="J106514"/>
    </row>
    <row r="106515" spans="10:10" x14ac:dyDescent="0.3">
      <c r="J106515"/>
    </row>
    <row r="106516" spans="10:10" x14ac:dyDescent="0.3">
      <c r="J106516"/>
    </row>
    <row r="106517" spans="10:10" x14ac:dyDescent="0.3">
      <c r="J106517"/>
    </row>
    <row r="106518" spans="10:10" x14ac:dyDescent="0.3">
      <c r="J106518"/>
    </row>
    <row r="106519" spans="10:10" x14ac:dyDescent="0.3">
      <c r="J106519"/>
    </row>
    <row r="106520" spans="10:10" x14ac:dyDescent="0.3">
      <c r="J106520"/>
    </row>
    <row r="106521" spans="10:10" x14ac:dyDescent="0.3">
      <c r="J106521"/>
    </row>
    <row r="106522" spans="10:10" x14ac:dyDescent="0.3">
      <c r="J106522"/>
    </row>
    <row r="106523" spans="10:10" x14ac:dyDescent="0.3">
      <c r="J106523"/>
    </row>
    <row r="106524" spans="10:10" x14ac:dyDescent="0.3">
      <c r="J106524"/>
    </row>
    <row r="106525" spans="10:10" x14ac:dyDescent="0.3">
      <c r="J106525"/>
    </row>
    <row r="106526" spans="10:10" x14ac:dyDescent="0.3">
      <c r="J106526"/>
    </row>
    <row r="106527" spans="10:10" x14ac:dyDescent="0.3">
      <c r="J106527"/>
    </row>
    <row r="106528" spans="10:10" x14ac:dyDescent="0.3">
      <c r="J106528"/>
    </row>
    <row r="106529" spans="10:10" x14ac:dyDescent="0.3">
      <c r="J106529"/>
    </row>
    <row r="106530" spans="10:10" x14ac:dyDescent="0.3">
      <c r="J106530"/>
    </row>
    <row r="106531" spans="10:10" x14ac:dyDescent="0.3">
      <c r="J106531"/>
    </row>
    <row r="106532" spans="10:10" x14ac:dyDescent="0.3">
      <c r="J106532"/>
    </row>
    <row r="106533" spans="10:10" x14ac:dyDescent="0.3">
      <c r="J106533"/>
    </row>
    <row r="106534" spans="10:10" x14ac:dyDescent="0.3">
      <c r="J106534"/>
    </row>
    <row r="106535" spans="10:10" x14ac:dyDescent="0.3">
      <c r="J106535"/>
    </row>
    <row r="106536" spans="10:10" x14ac:dyDescent="0.3">
      <c r="J106536"/>
    </row>
    <row r="106537" spans="10:10" x14ac:dyDescent="0.3">
      <c r="J106537"/>
    </row>
    <row r="106538" spans="10:10" x14ac:dyDescent="0.3">
      <c r="J106538"/>
    </row>
    <row r="106539" spans="10:10" x14ac:dyDescent="0.3">
      <c r="J106539"/>
    </row>
    <row r="106540" spans="10:10" x14ac:dyDescent="0.3">
      <c r="J106540"/>
    </row>
    <row r="106541" spans="10:10" x14ac:dyDescent="0.3">
      <c r="J106541"/>
    </row>
    <row r="106542" spans="10:10" x14ac:dyDescent="0.3">
      <c r="J106542"/>
    </row>
    <row r="106543" spans="10:10" x14ac:dyDescent="0.3">
      <c r="J106543"/>
    </row>
    <row r="106544" spans="10:10" x14ac:dyDescent="0.3">
      <c r="J106544"/>
    </row>
    <row r="106545" spans="10:10" x14ac:dyDescent="0.3">
      <c r="J106545"/>
    </row>
    <row r="106546" spans="10:10" x14ac:dyDescent="0.3">
      <c r="J106546"/>
    </row>
    <row r="106547" spans="10:10" x14ac:dyDescent="0.3">
      <c r="J106547"/>
    </row>
    <row r="106548" spans="10:10" x14ac:dyDescent="0.3">
      <c r="J106548"/>
    </row>
    <row r="106549" spans="10:10" x14ac:dyDescent="0.3">
      <c r="J106549"/>
    </row>
    <row r="106550" spans="10:10" x14ac:dyDescent="0.3">
      <c r="J106550"/>
    </row>
    <row r="106551" spans="10:10" x14ac:dyDescent="0.3">
      <c r="J106551"/>
    </row>
    <row r="106552" spans="10:10" x14ac:dyDescent="0.3">
      <c r="J106552"/>
    </row>
    <row r="106553" spans="10:10" x14ac:dyDescent="0.3">
      <c r="J106553"/>
    </row>
    <row r="106554" spans="10:10" x14ac:dyDescent="0.3">
      <c r="J106554"/>
    </row>
    <row r="106555" spans="10:10" x14ac:dyDescent="0.3">
      <c r="J106555"/>
    </row>
    <row r="106556" spans="10:10" x14ac:dyDescent="0.3">
      <c r="J106556"/>
    </row>
    <row r="106557" spans="10:10" x14ac:dyDescent="0.3">
      <c r="J106557"/>
    </row>
    <row r="106558" spans="10:10" x14ac:dyDescent="0.3">
      <c r="J106558"/>
    </row>
    <row r="106559" spans="10:10" x14ac:dyDescent="0.3">
      <c r="J106559"/>
    </row>
    <row r="106560" spans="10:10" x14ac:dyDescent="0.3">
      <c r="J106560"/>
    </row>
    <row r="106561" spans="10:10" x14ac:dyDescent="0.3">
      <c r="J106561"/>
    </row>
    <row r="106562" spans="10:10" x14ac:dyDescent="0.3">
      <c r="J106562"/>
    </row>
    <row r="106563" spans="10:10" x14ac:dyDescent="0.3">
      <c r="J106563"/>
    </row>
    <row r="106564" spans="10:10" x14ac:dyDescent="0.3">
      <c r="J106564"/>
    </row>
    <row r="106565" spans="10:10" x14ac:dyDescent="0.3">
      <c r="J106565"/>
    </row>
    <row r="106566" spans="10:10" x14ac:dyDescent="0.3">
      <c r="J106566"/>
    </row>
    <row r="106567" spans="10:10" x14ac:dyDescent="0.3">
      <c r="J106567"/>
    </row>
    <row r="106568" spans="10:10" x14ac:dyDescent="0.3">
      <c r="J106568"/>
    </row>
    <row r="106569" spans="10:10" x14ac:dyDescent="0.3">
      <c r="J106569"/>
    </row>
    <row r="106570" spans="10:10" x14ac:dyDescent="0.3">
      <c r="J106570"/>
    </row>
    <row r="106571" spans="10:10" x14ac:dyDescent="0.3">
      <c r="J106571"/>
    </row>
    <row r="106572" spans="10:10" x14ac:dyDescent="0.3">
      <c r="J106572"/>
    </row>
    <row r="106573" spans="10:10" x14ac:dyDescent="0.3">
      <c r="J106573"/>
    </row>
    <row r="106574" spans="10:10" x14ac:dyDescent="0.3">
      <c r="J106574"/>
    </row>
    <row r="106575" spans="10:10" x14ac:dyDescent="0.3">
      <c r="J106575"/>
    </row>
    <row r="106576" spans="10:10" x14ac:dyDescent="0.3">
      <c r="J106576"/>
    </row>
    <row r="106577" spans="10:10" x14ac:dyDescent="0.3">
      <c r="J106577"/>
    </row>
    <row r="106578" spans="10:10" x14ac:dyDescent="0.3">
      <c r="J106578"/>
    </row>
    <row r="106579" spans="10:10" x14ac:dyDescent="0.3">
      <c r="J106579"/>
    </row>
    <row r="106580" spans="10:10" x14ac:dyDescent="0.3">
      <c r="J106580"/>
    </row>
    <row r="106581" spans="10:10" x14ac:dyDescent="0.3">
      <c r="J106581"/>
    </row>
    <row r="106582" spans="10:10" x14ac:dyDescent="0.3">
      <c r="J106582"/>
    </row>
    <row r="106583" spans="10:10" x14ac:dyDescent="0.3">
      <c r="J106583"/>
    </row>
    <row r="106584" spans="10:10" x14ac:dyDescent="0.3">
      <c r="J106584"/>
    </row>
    <row r="106585" spans="10:10" x14ac:dyDescent="0.3">
      <c r="J106585"/>
    </row>
    <row r="106586" spans="10:10" x14ac:dyDescent="0.3">
      <c r="J106586"/>
    </row>
    <row r="106587" spans="10:10" x14ac:dyDescent="0.3">
      <c r="J106587"/>
    </row>
    <row r="106588" spans="10:10" x14ac:dyDescent="0.3">
      <c r="J106588"/>
    </row>
    <row r="106589" spans="10:10" x14ac:dyDescent="0.3">
      <c r="J106589"/>
    </row>
    <row r="106590" spans="10:10" x14ac:dyDescent="0.3">
      <c r="J106590"/>
    </row>
    <row r="106591" spans="10:10" x14ac:dyDescent="0.3">
      <c r="J106591"/>
    </row>
    <row r="106592" spans="10:10" x14ac:dyDescent="0.3">
      <c r="J106592"/>
    </row>
    <row r="106593" spans="10:10" x14ac:dyDescent="0.3">
      <c r="J106593"/>
    </row>
    <row r="106594" spans="10:10" x14ac:dyDescent="0.3">
      <c r="J106594"/>
    </row>
    <row r="106595" spans="10:10" x14ac:dyDescent="0.3">
      <c r="J106595"/>
    </row>
    <row r="106596" spans="10:10" x14ac:dyDescent="0.3">
      <c r="J106596"/>
    </row>
    <row r="106597" spans="10:10" x14ac:dyDescent="0.3">
      <c r="J106597"/>
    </row>
    <row r="106598" spans="10:10" x14ac:dyDescent="0.3">
      <c r="J106598"/>
    </row>
    <row r="106599" spans="10:10" x14ac:dyDescent="0.3">
      <c r="J106599"/>
    </row>
    <row r="106600" spans="10:10" x14ac:dyDescent="0.3">
      <c r="J106600"/>
    </row>
    <row r="106601" spans="10:10" x14ac:dyDescent="0.3">
      <c r="J106601"/>
    </row>
    <row r="106602" spans="10:10" x14ac:dyDescent="0.3">
      <c r="J106602"/>
    </row>
    <row r="106603" spans="10:10" x14ac:dyDescent="0.3">
      <c r="J106603"/>
    </row>
    <row r="106604" spans="10:10" x14ac:dyDescent="0.3">
      <c r="J106604"/>
    </row>
    <row r="106605" spans="10:10" x14ac:dyDescent="0.3">
      <c r="J106605"/>
    </row>
    <row r="106606" spans="10:10" x14ac:dyDescent="0.3">
      <c r="J106606"/>
    </row>
    <row r="106607" spans="10:10" x14ac:dyDescent="0.3">
      <c r="J106607"/>
    </row>
    <row r="106608" spans="10:10" x14ac:dyDescent="0.3">
      <c r="J106608"/>
    </row>
    <row r="106609" spans="10:10" x14ac:dyDescent="0.3">
      <c r="J106609"/>
    </row>
    <row r="106610" spans="10:10" x14ac:dyDescent="0.3">
      <c r="J106610"/>
    </row>
    <row r="106611" spans="10:10" x14ac:dyDescent="0.3">
      <c r="J106611"/>
    </row>
    <row r="106612" spans="10:10" x14ac:dyDescent="0.3">
      <c r="J106612"/>
    </row>
    <row r="106613" spans="10:10" x14ac:dyDescent="0.3">
      <c r="J106613"/>
    </row>
    <row r="106614" spans="10:10" x14ac:dyDescent="0.3">
      <c r="J106614"/>
    </row>
    <row r="106615" spans="10:10" x14ac:dyDescent="0.3">
      <c r="J106615"/>
    </row>
    <row r="106616" spans="10:10" x14ac:dyDescent="0.3">
      <c r="J106616"/>
    </row>
    <row r="106617" spans="10:10" x14ac:dyDescent="0.3">
      <c r="J106617"/>
    </row>
    <row r="106618" spans="10:10" x14ac:dyDescent="0.3">
      <c r="J106618"/>
    </row>
    <row r="106619" spans="10:10" x14ac:dyDescent="0.3">
      <c r="J106619"/>
    </row>
    <row r="106620" spans="10:10" x14ac:dyDescent="0.3">
      <c r="J106620"/>
    </row>
    <row r="106621" spans="10:10" x14ac:dyDescent="0.3">
      <c r="J106621"/>
    </row>
    <row r="106622" spans="10:10" x14ac:dyDescent="0.3">
      <c r="J106622"/>
    </row>
    <row r="106623" spans="10:10" x14ac:dyDescent="0.3">
      <c r="J106623"/>
    </row>
    <row r="106624" spans="10:10" x14ac:dyDescent="0.3">
      <c r="J106624"/>
    </row>
    <row r="106625" spans="10:10" x14ac:dyDescent="0.3">
      <c r="J106625"/>
    </row>
    <row r="106626" spans="10:10" x14ac:dyDescent="0.3">
      <c r="J106626"/>
    </row>
    <row r="106627" spans="10:10" x14ac:dyDescent="0.3">
      <c r="J106627"/>
    </row>
    <row r="106628" spans="10:10" x14ac:dyDescent="0.3">
      <c r="J106628"/>
    </row>
    <row r="106629" spans="10:10" x14ac:dyDescent="0.3">
      <c r="J106629"/>
    </row>
    <row r="106630" spans="10:10" x14ac:dyDescent="0.3">
      <c r="J106630"/>
    </row>
    <row r="106631" spans="10:10" x14ac:dyDescent="0.3">
      <c r="J106631"/>
    </row>
    <row r="106632" spans="10:10" x14ac:dyDescent="0.3">
      <c r="J106632"/>
    </row>
    <row r="106633" spans="10:10" x14ac:dyDescent="0.3">
      <c r="J106633"/>
    </row>
    <row r="106634" spans="10:10" x14ac:dyDescent="0.3">
      <c r="J106634"/>
    </row>
    <row r="106635" spans="10:10" x14ac:dyDescent="0.3">
      <c r="J106635"/>
    </row>
    <row r="106636" spans="10:10" x14ac:dyDescent="0.3">
      <c r="J106636"/>
    </row>
    <row r="106637" spans="10:10" x14ac:dyDescent="0.3">
      <c r="J106637"/>
    </row>
    <row r="106638" spans="10:10" x14ac:dyDescent="0.3">
      <c r="J106638"/>
    </row>
    <row r="106639" spans="10:10" x14ac:dyDescent="0.3">
      <c r="J106639"/>
    </row>
    <row r="106640" spans="10:10" x14ac:dyDescent="0.3">
      <c r="J106640"/>
    </row>
    <row r="106641" spans="10:10" x14ac:dyDescent="0.3">
      <c r="J106641"/>
    </row>
    <row r="106642" spans="10:10" x14ac:dyDescent="0.3">
      <c r="J106642"/>
    </row>
    <row r="106643" spans="10:10" x14ac:dyDescent="0.3">
      <c r="J106643"/>
    </row>
    <row r="106644" spans="10:10" x14ac:dyDescent="0.3">
      <c r="J106644"/>
    </row>
    <row r="106645" spans="10:10" x14ac:dyDescent="0.3">
      <c r="J106645"/>
    </row>
    <row r="106646" spans="10:10" x14ac:dyDescent="0.3">
      <c r="J106646"/>
    </row>
    <row r="106647" spans="10:10" x14ac:dyDescent="0.3">
      <c r="J106647"/>
    </row>
    <row r="106648" spans="10:10" x14ac:dyDescent="0.3">
      <c r="J106648"/>
    </row>
    <row r="106649" spans="10:10" x14ac:dyDescent="0.3">
      <c r="J106649"/>
    </row>
    <row r="106650" spans="10:10" x14ac:dyDescent="0.3">
      <c r="J106650"/>
    </row>
    <row r="106651" spans="10:10" x14ac:dyDescent="0.3">
      <c r="J106651"/>
    </row>
    <row r="106652" spans="10:10" x14ac:dyDescent="0.3">
      <c r="J106652"/>
    </row>
    <row r="106653" spans="10:10" x14ac:dyDescent="0.3">
      <c r="J106653"/>
    </row>
    <row r="106654" spans="10:10" x14ac:dyDescent="0.3">
      <c r="J106654"/>
    </row>
    <row r="106655" spans="10:10" x14ac:dyDescent="0.3">
      <c r="J106655"/>
    </row>
    <row r="106656" spans="10:10" x14ac:dyDescent="0.3">
      <c r="J106656"/>
    </row>
    <row r="106657" spans="10:10" x14ac:dyDescent="0.3">
      <c r="J106657"/>
    </row>
    <row r="106658" spans="10:10" x14ac:dyDescent="0.3">
      <c r="J106658"/>
    </row>
    <row r="106659" spans="10:10" x14ac:dyDescent="0.3">
      <c r="J106659"/>
    </row>
    <row r="106660" spans="10:10" x14ac:dyDescent="0.3">
      <c r="J106660"/>
    </row>
    <row r="106661" spans="10:10" x14ac:dyDescent="0.3">
      <c r="J106661"/>
    </row>
    <row r="106662" spans="10:10" x14ac:dyDescent="0.3">
      <c r="J106662"/>
    </row>
    <row r="106663" spans="10:10" x14ac:dyDescent="0.3">
      <c r="J106663"/>
    </row>
    <row r="106664" spans="10:10" x14ac:dyDescent="0.3">
      <c r="J106664"/>
    </row>
    <row r="106665" spans="10:10" x14ac:dyDescent="0.3">
      <c r="J106665"/>
    </row>
    <row r="106666" spans="10:10" x14ac:dyDescent="0.3">
      <c r="J106666"/>
    </row>
    <row r="106667" spans="10:10" x14ac:dyDescent="0.3">
      <c r="J106667"/>
    </row>
    <row r="106668" spans="10:10" x14ac:dyDescent="0.3">
      <c r="J106668"/>
    </row>
    <row r="106669" spans="10:10" x14ac:dyDescent="0.3">
      <c r="J106669"/>
    </row>
    <row r="106670" spans="10:10" x14ac:dyDescent="0.3">
      <c r="J106670"/>
    </row>
    <row r="106671" spans="10:10" x14ac:dyDescent="0.3">
      <c r="J106671"/>
    </row>
    <row r="106672" spans="10:10" x14ac:dyDescent="0.3">
      <c r="J106672"/>
    </row>
    <row r="106673" spans="10:10" x14ac:dyDescent="0.3">
      <c r="J106673"/>
    </row>
    <row r="106674" spans="10:10" x14ac:dyDescent="0.3">
      <c r="J106674"/>
    </row>
    <row r="106675" spans="10:10" x14ac:dyDescent="0.3">
      <c r="J106675"/>
    </row>
    <row r="106676" spans="10:10" x14ac:dyDescent="0.3">
      <c r="J106676"/>
    </row>
    <row r="106677" spans="10:10" x14ac:dyDescent="0.3">
      <c r="J106677"/>
    </row>
    <row r="106678" spans="10:10" x14ac:dyDescent="0.3">
      <c r="J106678"/>
    </row>
    <row r="106679" spans="10:10" x14ac:dyDescent="0.3">
      <c r="J106679"/>
    </row>
    <row r="106680" spans="10:10" x14ac:dyDescent="0.3">
      <c r="J106680"/>
    </row>
    <row r="106681" spans="10:10" x14ac:dyDescent="0.3">
      <c r="J106681"/>
    </row>
    <row r="106682" spans="10:10" x14ac:dyDescent="0.3">
      <c r="J106682"/>
    </row>
    <row r="106683" spans="10:10" x14ac:dyDescent="0.3">
      <c r="J106683"/>
    </row>
    <row r="106684" spans="10:10" x14ac:dyDescent="0.3">
      <c r="J106684"/>
    </row>
    <row r="106685" spans="10:10" x14ac:dyDescent="0.3">
      <c r="J106685"/>
    </row>
    <row r="106686" spans="10:10" x14ac:dyDescent="0.3">
      <c r="J106686"/>
    </row>
    <row r="106687" spans="10:10" x14ac:dyDescent="0.3">
      <c r="J106687"/>
    </row>
    <row r="106688" spans="10:10" x14ac:dyDescent="0.3">
      <c r="J106688"/>
    </row>
    <row r="106689" spans="10:10" x14ac:dyDescent="0.3">
      <c r="J106689"/>
    </row>
    <row r="106690" spans="10:10" x14ac:dyDescent="0.3">
      <c r="J106690"/>
    </row>
    <row r="106691" spans="10:10" x14ac:dyDescent="0.3">
      <c r="J106691"/>
    </row>
    <row r="106692" spans="10:10" x14ac:dyDescent="0.3">
      <c r="J106692"/>
    </row>
    <row r="106693" spans="10:10" x14ac:dyDescent="0.3">
      <c r="J106693"/>
    </row>
    <row r="106694" spans="10:10" x14ac:dyDescent="0.3">
      <c r="J106694"/>
    </row>
    <row r="106695" spans="10:10" x14ac:dyDescent="0.3">
      <c r="J106695"/>
    </row>
    <row r="106696" spans="10:10" x14ac:dyDescent="0.3">
      <c r="J106696"/>
    </row>
    <row r="106697" spans="10:10" x14ac:dyDescent="0.3">
      <c r="J106697"/>
    </row>
    <row r="106698" spans="10:10" x14ac:dyDescent="0.3">
      <c r="J106698"/>
    </row>
    <row r="106699" spans="10:10" x14ac:dyDescent="0.3">
      <c r="J106699"/>
    </row>
    <row r="106700" spans="10:10" x14ac:dyDescent="0.3">
      <c r="J106700"/>
    </row>
    <row r="106701" spans="10:10" x14ac:dyDescent="0.3">
      <c r="J106701"/>
    </row>
    <row r="106702" spans="10:10" x14ac:dyDescent="0.3">
      <c r="J106702"/>
    </row>
    <row r="106703" spans="10:10" x14ac:dyDescent="0.3">
      <c r="J106703"/>
    </row>
    <row r="106704" spans="10:10" x14ac:dyDescent="0.3">
      <c r="J106704"/>
    </row>
    <row r="106705" spans="10:10" x14ac:dyDescent="0.3">
      <c r="J106705"/>
    </row>
    <row r="106706" spans="10:10" x14ac:dyDescent="0.3">
      <c r="J106706"/>
    </row>
    <row r="106707" spans="10:10" x14ac:dyDescent="0.3">
      <c r="J106707"/>
    </row>
    <row r="106708" spans="10:10" x14ac:dyDescent="0.3">
      <c r="J106708"/>
    </row>
    <row r="106709" spans="10:10" x14ac:dyDescent="0.3">
      <c r="J106709"/>
    </row>
    <row r="106710" spans="10:10" x14ac:dyDescent="0.3">
      <c r="J106710"/>
    </row>
    <row r="106711" spans="10:10" x14ac:dyDescent="0.3">
      <c r="J106711"/>
    </row>
    <row r="106712" spans="10:10" x14ac:dyDescent="0.3">
      <c r="J106712"/>
    </row>
    <row r="106713" spans="10:10" x14ac:dyDescent="0.3">
      <c r="J106713"/>
    </row>
    <row r="106714" spans="10:10" x14ac:dyDescent="0.3">
      <c r="J106714"/>
    </row>
    <row r="106715" spans="10:10" x14ac:dyDescent="0.3">
      <c r="J106715"/>
    </row>
    <row r="106716" spans="10:10" x14ac:dyDescent="0.3">
      <c r="J106716"/>
    </row>
    <row r="106717" spans="10:10" x14ac:dyDescent="0.3">
      <c r="J106717"/>
    </row>
    <row r="106718" spans="10:10" x14ac:dyDescent="0.3">
      <c r="J106718"/>
    </row>
    <row r="106719" spans="10:10" x14ac:dyDescent="0.3">
      <c r="J106719"/>
    </row>
    <row r="106720" spans="10:10" x14ac:dyDescent="0.3">
      <c r="J106720"/>
    </row>
    <row r="106721" spans="10:10" x14ac:dyDescent="0.3">
      <c r="J106721"/>
    </row>
    <row r="106722" spans="10:10" x14ac:dyDescent="0.3">
      <c r="J106722"/>
    </row>
    <row r="106723" spans="10:10" x14ac:dyDescent="0.3">
      <c r="J106723"/>
    </row>
    <row r="106724" spans="10:10" x14ac:dyDescent="0.3">
      <c r="J106724"/>
    </row>
    <row r="106725" spans="10:10" x14ac:dyDescent="0.3">
      <c r="J106725"/>
    </row>
    <row r="106726" spans="10:10" x14ac:dyDescent="0.3">
      <c r="J106726"/>
    </row>
    <row r="106727" spans="10:10" x14ac:dyDescent="0.3">
      <c r="J106727"/>
    </row>
    <row r="106728" spans="10:10" x14ac:dyDescent="0.3">
      <c r="J106728"/>
    </row>
    <row r="106729" spans="10:10" x14ac:dyDescent="0.3">
      <c r="J106729"/>
    </row>
    <row r="106730" spans="10:10" x14ac:dyDescent="0.3">
      <c r="J106730"/>
    </row>
    <row r="106731" spans="10:10" x14ac:dyDescent="0.3">
      <c r="J106731"/>
    </row>
    <row r="106732" spans="10:10" x14ac:dyDescent="0.3">
      <c r="J106732"/>
    </row>
    <row r="106733" spans="10:10" x14ac:dyDescent="0.3">
      <c r="J106733"/>
    </row>
    <row r="106734" spans="10:10" x14ac:dyDescent="0.3">
      <c r="J106734"/>
    </row>
    <row r="106735" spans="10:10" x14ac:dyDescent="0.3">
      <c r="J106735"/>
    </row>
    <row r="106736" spans="10:10" x14ac:dyDescent="0.3">
      <c r="J106736"/>
    </row>
    <row r="106737" spans="10:10" x14ac:dyDescent="0.3">
      <c r="J106737"/>
    </row>
    <row r="106738" spans="10:10" x14ac:dyDescent="0.3">
      <c r="J106738"/>
    </row>
    <row r="106739" spans="10:10" x14ac:dyDescent="0.3">
      <c r="J106739"/>
    </row>
    <row r="106740" spans="10:10" x14ac:dyDescent="0.3">
      <c r="J106740"/>
    </row>
    <row r="106741" spans="10:10" x14ac:dyDescent="0.3">
      <c r="J106741"/>
    </row>
    <row r="106742" spans="10:10" x14ac:dyDescent="0.3">
      <c r="J106742"/>
    </row>
    <row r="106743" spans="10:10" x14ac:dyDescent="0.3">
      <c r="J106743"/>
    </row>
    <row r="106744" spans="10:10" x14ac:dyDescent="0.3">
      <c r="J106744"/>
    </row>
    <row r="106745" spans="10:10" x14ac:dyDescent="0.3">
      <c r="J106745"/>
    </row>
    <row r="106746" spans="10:10" x14ac:dyDescent="0.3">
      <c r="J106746"/>
    </row>
    <row r="106747" spans="10:10" x14ac:dyDescent="0.3">
      <c r="J106747"/>
    </row>
    <row r="106748" spans="10:10" x14ac:dyDescent="0.3">
      <c r="J106748"/>
    </row>
    <row r="106749" spans="10:10" x14ac:dyDescent="0.3">
      <c r="J106749"/>
    </row>
    <row r="106750" spans="10:10" x14ac:dyDescent="0.3">
      <c r="J106750"/>
    </row>
    <row r="106751" spans="10:10" x14ac:dyDescent="0.3">
      <c r="J106751"/>
    </row>
    <row r="106752" spans="10:10" x14ac:dyDescent="0.3">
      <c r="J106752"/>
    </row>
    <row r="106753" spans="10:10" x14ac:dyDescent="0.3">
      <c r="J106753"/>
    </row>
    <row r="106754" spans="10:10" x14ac:dyDescent="0.3">
      <c r="J106754"/>
    </row>
    <row r="106755" spans="10:10" x14ac:dyDescent="0.3">
      <c r="J106755"/>
    </row>
    <row r="106756" spans="10:10" x14ac:dyDescent="0.3">
      <c r="J106756"/>
    </row>
    <row r="106757" spans="10:10" x14ac:dyDescent="0.3">
      <c r="J106757"/>
    </row>
    <row r="106758" spans="10:10" x14ac:dyDescent="0.3">
      <c r="J106758"/>
    </row>
    <row r="106759" spans="10:10" x14ac:dyDescent="0.3">
      <c r="J106759"/>
    </row>
    <row r="106760" spans="10:10" x14ac:dyDescent="0.3">
      <c r="J106760"/>
    </row>
    <row r="106761" spans="10:10" x14ac:dyDescent="0.3">
      <c r="J106761"/>
    </row>
    <row r="106762" spans="10:10" x14ac:dyDescent="0.3">
      <c r="J106762"/>
    </row>
    <row r="106763" spans="10:10" x14ac:dyDescent="0.3">
      <c r="J106763"/>
    </row>
    <row r="106764" spans="10:10" x14ac:dyDescent="0.3">
      <c r="J106764"/>
    </row>
    <row r="106765" spans="10:10" x14ac:dyDescent="0.3">
      <c r="J106765"/>
    </row>
    <row r="106766" spans="10:10" x14ac:dyDescent="0.3">
      <c r="J106766"/>
    </row>
    <row r="106767" spans="10:10" x14ac:dyDescent="0.3">
      <c r="J106767"/>
    </row>
    <row r="106768" spans="10:10" x14ac:dyDescent="0.3">
      <c r="J106768"/>
    </row>
    <row r="106769" spans="10:10" x14ac:dyDescent="0.3">
      <c r="J106769"/>
    </row>
    <row r="106770" spans="10:10" x14ac:dyDescent="0.3">
      <c r="J106770"/>
    </row>
    <row r="106771" spans="10:10" x14ac:dyDescent="0.3">
      <c r="J106771"/>
    </row>
    <row r="106772" spans="10:10" x14ac:dyDescent="0.3">
      <c r="J106772"/>
    </row>
    <row r="106773" spans="10:10" x14ac:dyDescent="0.3">
      <c r="J106773"/>
    </row>
    <row r="106774" spans="10:10" x14ac:dyDescent="0.3">
      <c r="J106774"/>
    </row>
    <row r="106775" spans="10:10" x14ac:dyDescent="0.3">
      <c r="J106775"/>
    </row>
    <row r="106776" spans="10:10" x14ac:dyDescent="0.3">
      <c r="J106776"/>
    </row>
    <row r="106777" spans="10:10" x14ac:dyDescent="0.3">
      <c r="J106777"/>
    </row>
    <row r="106778" spans="10:10" x14ac:dyDescent="0.3">
      <c r="J106778"/>
    </row>
    <row r="106779" spans="10:10" x14ac:dyDescent="0.3">
      <c r="J106779"/>
    </row>
    <row r="106780" spans="10:10" x14ac:dyDescent="0.3">
      <c r="J106780"/>
    </row>
    <row r="106781" spans="10:10" x14ac:dyDescent="0.3">
      <c r="J106781"/>
    </row>
    <row r="106782" spans="10:10" x14ac:dyDescent="0.3">
      <c r="J106782"/>
    </row>
    <row r="106783" spans="10:10" x14ac:dyDescent="0.3">
      <c r="J106783"/>
    </row>
    <row r="106784" spans="10:10" x14ac:dyDescent="0.3">
      <c r="J106784"/>
    </row>
    <row r="106785" spans="10:10" x14ac:dyDescent="0.3">
      <c r="J106785"/>
    </row>
    <row r="106786" spans="10:10" x14ac:dyDescent="0.3">
      <c r="J106786"/>
    </row>
    <row r="106787" spans="10:10" x14ac:dyDescent="0.3">
      <c r="J106787"/>
    </row>
    <row r="106788" spans="10:10" x14ac:dyDescent="0.3">
      <c r="J106788"/>
    </row>
    <row r="106789" spans="10:10" x14ac:dyDescent="0.3">
      <c r="J106789"/>
    </row>
    <row r="106790" spans="10:10" x14ac:dyDescent="0.3">
      <c r="J106790"/>
    </row>
    <row r="106791" spans="10:10" x14ac:dyDescent="0.3">
      <c r="J106791"/>
    </row>
    <row r="106792" spans="10:10" x14ac:dyDescent="0.3">
      <c r="J106792"/>
    </row>
    <row r="106793" spans="10:10" x14ac:dyDescent="0.3">
      <c r="J106793"/>
    </row>
    <row r="106794" spans="10:10" x14ac:dyDescent="0.3">
      <c r="J106794"/>
    </row>
    <row r="106795" spans="10:10" x14ac:dyDescent="0.3">
      <c r="J106795"/>
    </row>
    <row r="106796" spans="10:10" x14ac:dyDescent="0.3">
      <c r="J106796"/>
    </row>
    <row r="106797" spans="10:10" x14ac:dyDescent="0.3">
      <c r="J106797"/>
    </row>
    <row r="106798" spans="10:10" x14ac:dyDescent="0.3">
      <c r="J106798"/>
    </row>
    <row r="106799" spans="10:10" x14ac:dyDescent="0.3">
      <c r="J106799"/>
    </row>
    <row r="106800" spans="10:10" x14ac:dyDescent="0.3">
      <c r="J106800"/>
    </row>
    <row r="106801" spans="10:10" x14ac:dyDescent="0.3">
      <c r="J106801"/>
    </row>
    <row r="106802" spans="10:10" x14ac:dyDescent="0.3">
      <c r="J106802"/>
    </row>
    <row r="106803" spans="10:10" x14ac:dyDescent="0.3">
      <c r="J106803"/>
    </row>
    <row r="106804" spans="10:10" x14ac:dyDescent="0.3">
      <c r="J106804"/>
    </row>
    <row r="106805" spans="10:10" x14ac:dyDescent="0.3">
      <c r="J106805"/>
    </row>
    <row r="106806" spans="10:10" x14ac:dyDescent="0.3">
      <c r="J106806"/>
    </row>
    <row r="106807" spans="10:10" x14ac:dyDescent="0.3">
      <c r="J106807"/>
    </row>
    <row r="106808" spans="10:10" x14ac:dyDescent="0.3">
      <c r="J106808"/>
    </row>
    <row r="106809" spans="10:10" x14ac:dyDescent="0.3">
      <c r="J106809"/>
    </row>
    <row r="106810" spans="10:10" x14ac:dyDescent="0.3">
      <c r="J106810"/>
    </row>
    <row r="106811" spans="10:10" x14ac:dyDescent="0.3">
      <c r="J106811"/>
    </row>
    <row r="106812" spans="10:10" x14ac:dyDescent="0.3">
      <c r="J106812"/>
    </row>
    <row r="106813" spans="10:10" x14ac:dyDescent="0.3">
      <c r="J106813"/>
    </row>
    <row r="106814" spans="10:10" x14ac:dyDescent="0.3">
      <c r="J106814"/>
    </row>
    <row r="106815" spans="10:10" x14ac:dyDescent="0.3">
      <c r="J106815"/>
    </row>
    <row r="106816" spans="10:10" x14ac:dyDescent="0.3">
      <c r="J106816"/>
    </row>
    <row r="106817" spans="10:10" x14ac:dyDescent="0.3">
      <c r="J106817"/>
    </row>
    <row r="106818" spans="10:10" x14ac:dyDescent="0.3">
      <c r="J106818"/>
    </row>
    <row r="106819" spans="10:10" x14ac:dyDescent="0.3">
      <c r="J106819"/>
    </row>
    <row r="106820" spans="10:10" x14ac:dyDescent="0.3">
      <c r="J106820"/>
    </row>
    <row r="106821" spans="10:10" x14ac:dyDescent="0.3">
      <c r="J106821"/>
    </row>
    <row r="106822" spans="10:10" x14ac:dyDescent="0.3">
      <c r="J106822"/>
    </row>
    <row r="106823" spans="10:10" x14ac:dyDescent="0.3">
      <c r="J106823"/>
    </row>
    <row r="106824" spans="10:10" x14ac:dyDescent="0.3">
      <c r="J106824"/>
    </row>
    <row r="106825" spans="10:10" x14ac:dyDescent="0.3">
      <c r="J106825"/>
    </row>
    <row r="106826" spans="10:10" x14ac:dyDescent="0.3">
      <c r="J106826"/>
    </row>
    <row r="106827" spans="10:10" x14ac:dyDescent="0.3">
      <c r="J106827"/>
    </row>
    <row r="106828" spans="10:10" x14ac:dyDescent="0.3">
      <c r="J106828"/>
    </row>
    <row r="106829" spans="10:10" x14ac:dyDescent="0.3">
      <c r="J106829"/>
    </row>
    <row r="106830" spans="10:10" x14ac:dyDescent="0.3">
      <c r="J106830"/>
    </row>
    <row r="106831" spans="10:10" x14ac:dyDescent="0.3">
      <c r="J106831"/>
    </row>
    <row r="106832" spans="10:10" x14ac:dyDescent="0.3">
      <c r="J106832"/>
    </row>
    <row r="106833" spans="10:10" x14ac:dyDescent="0.3">
      <c r="J106833"/>
    </row>
    <row r="106834" spans="10:10" x14ac:dyDescent="0.3">
      <c r="J106834"/>
    </row>
    <row r="106835" spans="10:10" x14ac:dyDescent="0.3">
      <c r="J106835"/>
    </row>
    <row r="106836" spans="10:10" x14ac:dyDescent="0.3">
      <c r="J106836"/>
    </row>
    <row r="106837" spans="10:10" x14ac:dyDescent="0.3">
      <c r="J106837"/>
    </row>
    <row r="106838" spans="10:10" x14ac:dyDescent="0.3">
      <c r="J106838"/>
    </row>
    <row r="106839" spans="10:10" x14ac:dyDescent="0.3">
      <c r="J106839"/>
    </row>
    <row r="106840" spans="10:10" x14ac:dyDescent="0.3">
      <c r="J106840"/>
    </row>
    <row r="106841" spans="10:10" x14ac:dyDescent="0.3">
      <c r="J106841"/>
    </row>
    <row r="106842" spans="10:10" x14ac:dyDescent="0.3">
      <c r="J106842"/>
    </row>
    <row r="106843" spans="10:10" x14ac:dyDescent="0.3">
      <c r="J106843"/>
    </row>
    <row r="106844" spans="10:10" x14ac:dyDescent="0.3">
      <c r="J106844"/>
    </row>
    <row r="106845" spans="10:10" x14ac:dyDescent="0.3">
      <c r="J106845"/>
    </row>
    <row r="106846" spans="10:10" x14ac:dyDescent="0.3">
      <c r="J106846"/>
    </row>
    <row r="106847" spans="10:10" x14ac:dyDescent="0.3">
      <c r="J106847"/>
    </row>
    <row r="106848" spans="10:10" x14ac:dyDescent="0.3">
      <c r="J106848"/>
    </row>
    <row r="106849" spans="10:10" x14ac:dyDescent="0.3">
      <c r="J106849"/>
    </row>
    <row r="106850" spans="10:10" x14ac:dyDescent="0.3">
      <c r="J106850"/>
    </row>
    <row r="106851" spans="10:10" x14ac:dyDescent="0.3">
      <c r="J106851"/>
    </row>
    <row r="106852" spans="10:10" x14ac:dyDescent="0.3">
      <c r="J106852"/>
    </row>
    <row r="106853" spans="10:10" x14ac:dyDescent="0.3">
      <c r="J106853"/>
    </row>
    <row r="106854" spans="10:10" x14ac:dyDescent="0.3">
      <c r="J106854"/>
    </row>
    <row r="106855" spans="10:10" x14ac:dyDescent="0.3">
      <c r="J106855"/>
    </row>
    <row r="106856" spans="10:10" x14ac:dyDescent="0.3">
      <c r="J106856"/>
    </row>
    <row r="106857" spans="10:10" x14ac:dyDescent="0.3">
      <c r="J106857"/>
    </row>
    <row r="106858" spans="10:10" x14ac:dyDescent="0.3">
      <c r="J106858"/>
    </row>
    <row r="106859" spans="10:10" x14ac:dyDescent="0.3">
      <c r="J106859"/>
    </row>
    <row r="106860" spans="10:10" x14ac:dyDescent="0.3">
      <c r="J106860"/>
    </row>
    <row r="106861" spans="10:10" x14ac:dyDescent="0.3">
      <c r="J106861"/>
    </row>
    <row r="106862" spans="10:10" x14ac:dyDescent="0.3">
      <c r="J106862"/>
    </row>
    <row r="106863" spans="10:10" x14ac:dyDescent="0.3">
      <c r="J106863"/>
    </row>
    <row r="106864" spans="10:10" x14ac:dyDescent="0.3">
      <c r="J106864"/>
    </row>
    <row r="106865" spans="10:10" x14ac:dyDescent="0.3">
      <c r="J106865"/>
    </row>
    <row r="106866" spans="10:10" x14ac:dyDescent="0.3">
      <c r="J106866"/>
    </row>
    <row r="106867" spans="10:10" x14ac:dyDescent="0.3">
      <c r="J106867"/>
    </row>
    <row r="106868" spans="10:10" x14ac:dyDescent="0.3">
      <c r="J106868"/>
    </row>
    <row r="106869" spans="10:10" x14ac:dyDescent="0.3">
      <c r="J106869"/>
    </row>
    <row r="106870" spans="10:10" x14ac:dyDescent="0.3">
      <c r="J106870"/>
    </row>
    <row r="106871" spans="10:10" x14ac:dyDescent="0.3">
      <c r="J106871"/>
    </row>
    <row r="106872" spans="10:10" x14ac:dyDescent="0.3">
      <c r="J106872"/>
    </row>
    <row r="106873" spans="10:10" x14ac:dyDescent="0.3">
      <c r="J106873"/>
    </row>
    <row r="106874" spans="10:10" x14ac:dyDescent="0.3">
      <c r="J106874"/>
    </row>
    <row r="106875" spans="10:10" x14ac:dyDescent="0.3">
      <c r="J106875"/>
    </row>
    <row r="106876" spans="10:10" x14ac:dyDescent="0.3">
      <c r="J106876"/>
    </row>
    <row r="106877" spans="10:10" x14ac:dyDescent="0.3">
      <c r="J106877"/>
    </row>
    <row r="106878" spans="10:10" x14ac:dyDescent="0.3">
      <c r="J106878"/>
    </row>
    <row r="106879" spans="10:10" x14ac:dyDescent="0.3">
      <c r="J106879"/>
    </row>
    <row r="106880" spans="10:10" x14ac:dyDescent="0.3">
      <c r="J106880"/>
    </row>
    <row r="106881" spans="10:10" x14ac:dyDescent="0.3">
      <c r="J106881"/>
    </row>
    <row r="106882" spans="10:10" x14ac:dyDescent="0.3">
      <c r="J106882"/>
    </row>
    <row r="106883" spans="10:10" x14ac:dyDescent="0.3">
      <c r="J106883"/>
    </row>
    <row r="106884" spans="10:10" x14ac:dyDescent="0.3">
      <c r="J106884"/>
    </row>
    <row r="106885" spans="10:10" x14ac:dyDescent="0.3">
      <c r="J106885"/>
    </row>
    <row r="106886" spans="10:10" x14ac:dyDescent="0.3">
      <c r="J106886"/>
    </row>
    <row r="106887" spans="10:10" x14ac:dyDescent="0.3">
      <c r="J106887"/>
    </row>
    <row r="106888" spans="10:10" x14ac:dyDescent="0.3">
      <c r="J106888"/>
    </row>
    <row r="106889" spans="10:10" x14ac:dyDescent="0.3">
      <c r="J106889"/>
    </row>
    <row r="106890" spans="10:10" x14ac:dyDescent="0.3">
      <c r="J106890"/>
    </row>
    <row r="106891" spans="10:10" x14ac:dyDescent="0.3">
      <c r="J106891"/>
    </row>
    <row r="106892" spans="10:10" x14ac:dyDescent="0.3">
      <c r="J106892"/>
    </row>
    <row r="106893" spans="10:10" x14ac:dyDescent="0.3">
      <c r="J106893"/>
    </row>
    <row r="106894" spans="10:10" x14ac:dyDescent="0.3">
      <c r="J106894"/>
    </row>
    <row r="106895" spans="10:10" x14ac:dyDescent="0.3">
      <c r="J106895"/>
    </row>
    <row r="106896" spans="10:10" x14ac:dyDescent="0.3">
      <c r="J106896"/>
    </row>
    <row r="106897" spans="10:10" x14ac:dyDescent="0.3">
      <c r="J106897"/>
    </row>
    <row r="106898" spans="10:10" x14ac:dyDescent="0.3">
      <c r="J106898"/>
    </row>
    <row r="106899" spans="10:10" x14ac:dyDescent="0.3">
      <c r="J106899"/>
    </row>
    <row r="106900" spans="10:10" x14ac:dyDescent="0.3">
      <c r="J106900"/>
    </row>
    <row r="106901" spans="10:10" x14ac:dyDescent="0.3">
      <c r="J106901"/>
    </row>
    <row r="106902" spans="10:10" x14ac:dyDescent="0.3">
      <c r="J106902"/>
    </row>
    <row r="106903" spans="10:10" x14ac:dyDescent="0.3">
      <c r="J106903"/>
    </row>
    <row r="106904" spans="10:10" x14ac:dyDescent="0.3">
      <c r="J106904"/>
    </row>
    <row r="106905" spans="10:10" x14ac:dyDescent="0.3">
      <c r="J106905"/>
    </row>
    <row r="106906" spans="10:10" x14ac:dyDescent="0.3">
      <c r="J106906"/>
    </row>
    <row r="106907" spans="10:10" x14ac:dyDescent="0.3">
      <c r="J106907"/>
    </row>
    <row r="106908" spans="10:10" x14ac:dyDescent="0.3">
      <c r="J106908"/>
    </row>
    <row r="106909" spans="10:10" x14ac:dyDescent="0.3">
      <c r="J106909"/>
    </row>
    <row r="106910" spans="10:10" x14ac:dyDescent="0.3">
      <c r="J106910"/>
    </row>
    <row r="106911" spans="10:10" x14ac:dyDescent="0.3">
      <c r="J106911"/>
    </row>
    <row r="106912" spans="10:10" x14ac:dyDescent="0.3">
      <c r="J106912"/>
    </row>
    <row r="106913" spans="10:10" x14ac:dyDescent="0.3">
      <c r="J106913"/>
    </row>
    <row r="106914" spans="10:10" x14ac:dyDescent="0.3">
      <c r="J106914"/>
    </row>
    <row r="106915" spans="10:10" x14ac:dyDescent="0.3">
      <c r="J106915"/>
    </row>
    <row r="106916" spans="10:10" x14ac:dyDescent="0.3">
      <c r="J106916"/>
    </row>
    <row r="106917" spans="10:10" x14ac:dyDescent="0.3">
      <c r="J106917"/>
    </row>
    <row r="106918" spans="10:10" x14ac:dyDescent="0.3">
      <c r="J106918"/>
    </row>
    <row r="106919" spans="10:10" x14ac:dyDescent="0.3">
      <c r="J106919"/>
    </row>
    <row r="106920" spans="10:10" x14ac:dyDescent="0.3">
      <c r="J106920"/>
    </row>
    <row r="106921" spans="10:10" x14ac:dyDescent="0.3">
      <c r="J106921"/>
    </row>
    <row r="106922" spans="10:10" x14ac:dyDescent="0.3">
      <c r="J106922"/>
    </row>
    <row r="106923" spans="10:10" x14ac:dyDescent="0.3">
      <c r="J106923"/>
    </row>
    <row r="106924" spans="10:10" x14ac:dyDescent="0.3">
      <c r="J106924"/>
    </row>
    <row r="106925" spans="10:10" x14ac:dyDescent="0.3">
      <c r="J106925"/>
    </row>
    <row r="106926" spans="10:10" x14ac:dyDescent="0.3">
      <c r="J106926"/>
    </row>
    <row r="106927" spans="10:10" x14ac:dyDescent="0.3">
      <c r="J106927"/>
    </row>
    <row r="106928" spans="10:10" x14ac:dyDescent="0.3">
      <c r="J106928"/>
    </row>
    <row r="106929" spans="10:10" x14ac:dyDescent="0.3">
      <c r="J106929"/>
    </row>
    <row r="106930" spans="10:10" x14ac:dyDescent="0.3">
      <c r="J106930"/>
    </row>
    <row r="106931" spans="10:10" x14ac:dyDescent="0.3">
      <c r="J106931"/>
    </row>
    <row r="106932" spans="10:10" x14ac:dyDescent="0.3">
      <c r="J106932"/>
    </row>
    <row r="106933" spans="10:10" x14ac:dyDescent="0.3">
      <c r="J106933"/>
    </row>
    <row r="106934" spans="10:10" x14ac:dyDescent="0.3">
      <c r="J106934"/>
    </row>
    <row r="106935" spans="10:10" x14ac:dyDescent="0.3">
      <c r="J106935"/>
    </row>
    <row r="106936" spans="10:10" x14ac:dyDescent="0.3">
      <c r="J106936"/>
    </row>
    <row r="106937" spans="10:10" x14ac:dyDescent="0.3">
      <c r="J106937"/>
    </row>
    <row r="106938" spans="10:10" x14ac:dyDescent="0.3">
      <c r="J106938"/>
    </row>
    <row r="106939" spans="10:10" x14ac:dyDescent="0.3">
      <c r="J106939"/>
    </row>
    <row r="106940" spans="10:10" x14ac:dyDescent="0.3">
      <c r="J106940"/>
    </row>
    <row r="106941" spans="10:10" x14ac:dyDescent="0.3">
      <c r="J106941"/>
    </row>
    <row r="106942" spans="10:10" x14ac:dyDescent="0.3">
      <c r="J106942"/>
    </row>
    <row r="106943" spans="10:10" x14ac:dyDescent="0.3">
      <c r="J106943"/>
    </row>
    <row r="106944" spans="10:10" x14ac:dyDescent="0.3">
      <c r="J106944"/>
    </row>
    <row r="106945" spans="10:10" x14ac:dyDescent="0.3">
      <c r="J106945"/>
    </row>
    <row r="106946" spans="10:10" x14ac:dyDescent="0.3">
      <c r="J106946"/>
    </row>
    <row r="106947" spans="10:10" x14ac:dyDescent="0.3">
      <c r="J106947"/>
    </row>
    <row r="106948" spans="10:10" x14ac:dyDescent="0.3">
      <c r="J106948"/>
    </row>
    <row r="106949" spans="10:10" x14ac:dyDescent="0.3">
      <c r="J106949"/>
    </row>
    <row r="106950" spans="10:10" x14ac:dyDescent="0.3">
      <c r="J106950"/>
    </row>
    <row r="106951" spans="10:10" x14ac:dyDescent="0.3">
      <c r="J106951"/>
    </row>
    <row r="106952" spans="10:10" x14ac:dyDescent="0.3">
      <c r="J106952"/>
    </row>
    <row r="106953" spans="10:10" x14ac:dyDescent="0.3">
      <c r="J106953"/>
    </row>
    <row r="106954" spans="10:10" x14ac:dyDescent="0.3">
      <c r="J106954"/>
    </row>
    <row r="106955" spans="10:10" x14ac:dyDescent="0.3">
      <c r="J106955"/>
    </row>
    <row r="106956" spans="10:10" x14ac:dyDescent="0.3">
      <c r="J106956"/>
    </row>
    <row r="106957" spans="10:10" x14ac:dyDescent="0.3">
      <c r="J106957"/>
    </row>
    <row r="106958" spans="10:10" x14ac:dyDescent="0.3">
      <c r="J106958"/>
    </row>
    <row r="106959" spans="10:10" x14ac:dyDescent="0.3">
      <c r="J106959"/>
    </row>
    <row r="106960" spans="10:10" x14ac:dyDescent="0.3">
      <c r="J106960"/>
    </row>
    <row r="106961" spans="10:10" x14ac:dyDescent="0.3">
      <c r="J106961"/>
    </row>
    <row r="106962" spans="10:10" x14ac:dyDescent="0.3">
      <c r="J106962"/>
    </row>
    <row r="106963" spans="10:10" x14ac:dyDescent="0.3">
      <c r="J106963"/>
    </row>
    <row r="106964" spans="10:10" x14ac:dyDescent="0.3">
      <c r="J106964"/>
    </row>
    <row r="106965" spans="10:10" x14ac:dyDescent="0.3">
      <c r="J106965"/>
    </row>
    <row r="106966" spans="10:10" x14ac:dyDescent="0.3">
      <c r="J106966"/>
    </row>
    <row r="106967" spans="10:10" x14ac:dyDescent="0.3">
      <c r="J106967"/>
    </row>
    <row r="106968" spans="10:10" x14ac:dyDescent="0.3">
      <c r="J106968"/>
    </row>
    <row r="106969" spans="10:10" x14ac:dyDescent="0.3">
      <c r="J106969"/>
    </row>
    <row r="106970" spans="10:10" x14ac:dyDescent="0.3">
      <c r="J106970"/>
    </row>
    <row r="106971" spans="10:10" x14ac:dyDescent="0.3">
      <c r="J106971"/>
    </row>
    <row r="106972" spans="10:10" x14ac:dyDescent="0.3">
      <c r="J106972"/>
    </row>
    <row r="106973" spans="10:10" x14ac:dyDescent="0.3">
      <c r="J106973"/>
    </row>
    <row r="106974" spans="10:10" x14ac:dyDescent="0.3">
      <c r="J106974"/>
    </row>
    <row r="106975" spans="10:10" x14ac:dyDescent="0.3">
      <c r="J106975"/>
    </row>
    <row r="106976" spans="10:10" x14ac:dyDescent="0.3">
      <c r="J106976"/>
    </row>
    <row r="106977" spans="10:10" x14ac:dyDescent="0.3">
      <c r="J106977"/>
    </row>
    <row r="106978" spans="10:10" x14ac:dyDescent="0.3">
      <c r="J106978"/>
    </row>
    <row r="106979" spans="10:10" x14ac:dyDescent="0.3">
      <c r="J106979"/>
    </row>
    <row r="106980" spans="10:10" x14ac:dyDescent="0.3">
      <c r="J106980"/>
    </row>
    <row r="106981" spans="10:10" x14ac:dyDescent="0.3">
      <c r="J106981"/>
    </row>
    <row r="106982" spans="10:10" x14ac:dyDescent="0.3">
      <c r="J106982"/>
    </row>
    <row r="106983" spans="10:10" x14ac:dyDescent="0.3">
      <c r="J106983"/>
    </row>
    <row r="106984" spans="10:10" x14ac:dyDescent="0.3">
      <c r="J106984"/>
    </row>
    <row r="106985" spans="10:10" x14ac:dyDescent="0.3">
      <c r="J106985"/>
    </row>
    <row r="106986" spans="10:10" x14ac:dyDescent="0.3">
      <c r="J106986"/>
    </row>
    <row r="106987" spans="10:10" x14ac:dyDescent="0.3">
      <c r="J106987"/>
    </row>
    <row r="106988" spans="10:10" x14ac:dyDescent="0.3">
      <c r="J106988"/>
    </row>
    <row r="106989" spans="10:10" x14ac:dyDescent="0.3">
      <c r="J106989"/>
    </row>
    <row r="106990" spans="10:10" x14ac:dyDescent="0.3">
      <c r="J106990"/>
    </row>
    <row r="106991" spans="10:10" x14ac:dyDescent="0.3">
      <c r="J106991"/>
    </row>
    <row r="106992" spans="10:10" x14ac:dyDescent="0.3">
      <c r="J106992"/>
    </row>
    <row r="106993" spans="10:10" x14ac:dyDescent="0.3">
      <c r="J106993"/>
    </row>
    <row r="106994" spans="10:10" x14ac:dyDescent="0.3">
      <c r="J106994"/>
    </row>
    <row r="106995" spans="10:10" x14ac:dyDescent="0.3">
      <c r="J106995"/>
    </row>
    <row r="106996" spans="10:10" x14ac:dyDescent="0.3">
      <c r="J106996"/>
    </row>
    <row r="106997" spans="10:10" x14ac:dyDescent="0.3">
      <c r="J106997"/>
    </row>
    <row r="106998" spans="10:10" x14ac:dyDescent="0.3">
      <c r="J106998"/>
    </row>
    <row r="106999" spans="10:10" x14ac:dyDescent="0.3">
      <c r="J106999"/>
    </row>
    <row r="107000" spans="10:10" x14ac:dyDescent="0.3">
      <c r="J107000"/>
    </row>
    <row r="107001" spans="10:10" x14ac:dyDescent="0.3">
      <c r="J107001"/>
    </row>
    <row r="107002" spans="10:10" x14ac:dyDescent="0.3">
      <c r="J107002"/>
    </row>
    <row r="107003" spans="10:10" x14ac:dyDescent="0.3">
      <c r="J107003"/>
    </row>
    <row r="107004" spans="10:10" x14ac:dyDescent="0.3">
      <c r="J107004"/>
    </row>
    <row r="107005" spans="10:10" x14ac:dyDescent="0.3">
      <c r="J107005"/>
    </row>
    <row r="107006" spans="10:10" x14ac:dyDescent="0.3">
      <c r="J107006"/>
    </row>
    <row r="107007" spans="10:10" x14ac:dyDescent="0.3">
      <c r="J107007"/>
    </row>
    <row r="107008" spans="10:10" x14ac:dyDescent="0.3">
      <c r="J107008"/>
    </row>
    <row r="107009" spans="10:10" x14ac:dyDescent="0.3">
      <c r="J107009"/>
    </row>
    <row r="107010" spans="10:10" x14ac:dyDescent="0.3">
      <c r="J107010"/>
    </row>
    <row r="107011" spans="10:10" x14ac:dyDescent="0.3">
      <c r="J107011"/>
    </row>
    <row r="107012" spans="10:10" x14ac:dyDescent="0.3">
      <c r="J107012"/>
    </row>
    <row r="107013" spans="10:10" x14ac:dyDescent="0.3">
      <c r="J107013"/>
    </row>
    <row r="107014" spans="10:10" x14ac:dyDescent="0.3">
      <c r="J107014"/>
    </row>
    <row r="107015" spans="10:10" x14ac:dyDescent="0.3">
      <c r="J107015"/>
    </row>
    <row r="107016" spans="10:10" x14ac:dyDescent="0.3">
      <c r="J107016"/>
    </row>
    <row r="107017" spans="10:10" x14ac:dyDescent="0.3">
      <c r="J107017"/>
    </row>
    <row r="107018" spans="10:10" x14ac:dyDescent="0.3">
      <c r="J107018"/>
    </row>
    <row r="107019" spans="10:10" x14ac:dyDescent="0.3">
      <c r="J107019"/>
    </row>
    <row r="107020" spans="10:10" x14ac:dyDescent="0.3">
      <c r="J107020"/>
    </row>
    <row r="107021" spans="10:10" x14ac:dyDescent="0.3">
      <c r="J107021"/>
    </row>
    <row r="107022" spans="10:10" x14ac:dyDescent="0.3">
      <c r="J107022"/>
    </row>
    <row r="107023" spans="10:10" x14ac:dyDescent="0.3">
      <c r="J107023"/>
    </row>
    <row r="107024" spans="10:10" x14ac:dyDescent="0.3">
      <c r="J107024"/>
    </row>
    <row r="107025" spans="10:10" x14ac:dyDescent="0.3">
      <c r="J107025"/>
    </row>
    <row r="107026" spans="10:10" x14ac:dyDescent="0.3">
      <c r="J107026"/>
    </row>
    <row r="107027" spans="10:10" x14ac:dyDescent="0.3">
      <c r="J107027"/>
    </row>
    <row r="107028" spans="10:10" x14ac:dyDescent="0.3">
      <c r="J107028"/>
    </row>
    <row r="107029" spans="10:10" x14ac:dyDescent="0.3">
      <c r="J107029"/>
    </row>
    <row r="107030" spans="10:10" x14ac:dyDescent="0.3">
      <c r="J107030"/>
    </row>
    <row r="107031" spans="10:10" x14ac:dyDescent="0.3">
      <c r="J107031"/>
    </row>
    <row r="107032" spans="10:10" x14ac:dyDescent="0.3">
      <c r="J107032"/>
    </row>
    <row r="107033" spans="10:10" x14ac:dyDescent="0.3">
      <c r="J107033"/>
    </row>
    <row r="107034" spans="10:10" x14ac:dyDescent="0.3">
      <c r="J107034"/>
    </row>
    <row r="107035" spans="10:10" x14ac:dyDescent="0.3">
      <c r="J107035"/>
    </row>
    <row r="107036" spans="10:10" x14ac:dyDescent="0.3">
      <c r="J107036"/>
    </row>
    <row r="107037" spans="10:10" x14ac:dyDescent="0.3">
      <c r="J107037"/>
    </row>
    <row r="107038" spans="10:10" x14ac:dyDescent="0.3">
      <c r="J107038"/>
    </row>
    <row r="107039" spans="10:10" x14ac:dyDescent="0.3">
      <c r="J107039"/>
    </row>
    <row r="107040" spans="10:10" x14ac:dyDescent="0.3">
      <c r="J107040"/>
    </row>
    <row r="107041" spans="10:10" x14ac:dyDescent="0.3">
      <c r="J107041"/>
    </row>
    <row r="107042" spans="10:10" x14ac:dyDescent="0.3">
      <c r="J107042"/>
    </row>
    <row r="107043" spans="10:10" x14ac:dyDescent="0.3">
      <c r="J107043"/>
    </row>
    <row r="107044" spans="10:10" x14ac:dyDescent="0.3">
      <c r="J107044"/>
    </row>
    <row r="107045" spans="10:10" x14ac:dyDescent="0.3">
      <c r="J107045"/>
    </row>
    <row r="107046" spans="10:10" x14ac:dyDescent="0.3">
      <c r="J107046"/>
    </row>
    <row r="107047" spans="10:10" x14ac:dyDescent="0.3">
      <c r="J107047"/>
    </row>
    <row r="107048" spans="10:10" x14ac:dyDescent="0.3">
      <c r="J107048"/>
    </row>
    <row r="107049" spans="10:10" x14ac:dyDescent="0.3">
      <c r="J107049"/>
    </row>
    <row r="107050" spans="10:10" x14ac:dyDescent="0.3">
      <c r="J107050"/>
    </row>
    <row r="107051" spans="10:10" x14ac:dyDescent="0.3">
      <c r="J107051"/>
    </row>
    <row r="107052" spans="10:10" x14ac:dyDescent="0.3">
      <c r="J107052"/>
    </row>
    <row r="107053" spans="10:10" x14ac:dyDescent="0.3">
      <c r="J107053"/>
    </row>
    <row r="107054" spans="10:10" x14ac:dyDescent="0.3">
      <c r="J107054"/>
    </row>
    <row r="107055" spans="10:10" x14ac:dyDescent="0.3">
      <c r="J107055"/>
    </row>
    <row r="107056" spans="10:10" x14ac:dyDescent="0.3">
      <c r="J107056"/>
    </row>
    <row r="107057" spans="10:10" x14ac:dyDescent="0.3">
      <c r="J107057"/>
    </row>
    <row r="107058" spans="10:10" x14ac:dyDescent="0.3">
      <c r="J107058"/>
    </row>
    <row r="107059" spans="10:10" x14ac:dyDescent="0.3">
      <c r="J107059"/>
    </row>
    <row r="107060" spans="10:10" x14ac:dyDescent="0.3">
      <c r="J107060"/>
    </row>
    <row r="107061" spans="10:10" x14ac:dyDescent="0.3">
      <c r="J107061"/>
    </row>
    <row r="107062" spans="10:10" x14ac:dyDescent="0.3">
      <c r="J107062"/>
    </row>
    <row r="107063" spans="10:10" x14ac:dyDescent="0.3">
      <c r="J107063"/>
    </row>
    <row r="107064" spans="10:10" x14ac:dyDescent="0.3">
      <c r="J107064"/>
    </row>
    <row r="107065" spans="10:10" x14ac:dyDescent="0.3">
      <c r="J107065"/>
    </row>
    <row r="107066" spans="10:10" x14ac:dyDescent="0.3">
      <c r="J107066"/>
    </row>
    <row r="107067" spans="10:10" x14ac:dyDescent="0.3">
      <c r="J107067"/>
    </row>
    <row r="107068" spans="10:10" x14ac:dyDescent="0.3">
      <c r="J107068"/>
    </row>
    <row r="107069" spans="10:10" x14ac:dyDescent="0.3">
      <c r="J107069"/>
    </row>
    <row r="107070" spans="10:10" x14ac:dyDescent="0.3">
      <c r="J107070"/>
    </row>
    <row r="107071" spans="10:10" x14ac:dyDescent="0.3">
      <c r="J107071"/>
    </row>
    <row r="107072" spans="10:10" x14ac:dyDescent="0.3">
      <c r="J107072"/>
    </row>
    <row r="107073" spans="10:10" x14ac:dyDescent="0.3">
      <c r="J107073"/>
    </row>
    <row r="107074" spans="10:10" x14ac:dyDescent="0.3">
      <c r="J107074"/>
    </row>
    <row r="107075" spans="10:10" x14ac:dyDescent="0.3">
      <c r="J107075"/>
    </row>
    <row r="107076" spans="10:10" x14ac:dyDescent="0.3">
      <c r="J107076"/>
    </row>
    <row r="107077" spans="10:10" x14ac:dyDescent="0.3">
      <c r="J107077"/>
    </row>
    <row r="107078" spans="10:10" x14ac:dyDescent="0.3">
      <c r="J107078"/>
    </row>
    <row r="107079" spans="10:10" x14ac:dyDescent="0.3">
      <c r="J107079"/>
    </row>
    <row r="107080" spans="10:10" x14ac:dyDescent="0.3">
      <c r="J107080"/>
    </row>
    <row r="107081" spans="10:10" x14ac:dyDescent="0.3">
      <c r="J107081"/>
    </row>
    <row r="107082" spans="10:10" x14ac:dyDescent="0.3">
      <c r="J107082"/>
    </row>
    <row r="107083" spans="10:10" x14ac:dyDescent="0.3">
      <c r="J107083"/>
    </row>
    <row r="107084" spans="10:10" x14ac:dyDescent="0.3">
      <c r="J107084"/>
    </row>
    <row r="107085" spans="10:10" x14ac:dyDescent="0.3">
      <c r="J107085"/>
    </row>
    <row r="107086" spans="10:10" x14ac:dyDescent="0.3">
      <c r="J107086"/>
    </row>
    <row r="107087" spans="10:10" x14ac:dyDescent="0.3">
      <c r="J107087"/>
    </row>
    <row r="107088" spans="10:10" x14ac:dyDescent="0.3">
      <c r="J107088"/>
    </row>
    <row r="107089" spans="10:10" x14ac:dyDescent="0.3">
      <c r="J107089"/>
    </row>
    <row r="107090" spans="10:10" x14ac:dyDescent="0.3">
      <c r="J107090"/>
    </row>
    <row r="107091" spans="10:10" x14ac:dyDescent="0.3">
      <c r="J107091"/>
    </row>
    <row r="107092" spans="10:10" x14ac:dyDescent="0.3">
      <c r="J107092"/>
    </row>
    <row r="107093" spans="10:10" x14ac:dyDescent="0.3">
      <c r="J107093"/>
    </row>
    <row r="107094" spans="10:10" x14ac:dyDescent="0.3">
      <c r="J107094"/>
    </row>
    <row r="107095" spans="10:10" x14ac:dyDescent="0.3">
      <c r="J107095"/>
    </row>
    <row r="107096" spans="10:10" x14ac:dyDescent="0.3">
      <c r="J107096"/>
    </row>
    <row r="107097" spans="10:10" x14ac:dyDescent="0.3">
      <c r="J107097"/>
    </row>
    <row r="107098" spans="10:10" x14ac:dyDescent="0.3">
      <c r="J107098"/>
    </row>
    <row r="107099" spans="10:10" x14ac:dyDescent="0.3">
      <c r="J107099"/>
    </row>
    <row r="107100" spans="10:10" x14ac:dyDescent="0.3">
      <c r="J107100"/>
    </row>
    <row r="107101" spans="10:10" x14ac:dyDescent="0.3">
      <c r="J107101"/>
    </row>
    <row r="107102" spans="10:10" x14ac:dyDescent="0.3">
      <c r="J107102"/>
    </row>
    <row r="107103" spans="10:10" x14ac:dyDescent="0.3">
      <c r="J107103"/>
    </row>
    <row r="107104" spans="10:10" x14ac:dyDescent="0.3">
      <c r="J107104"/>
    </row>
    <row r="107105" spans="10:10" x14ac:dyDescent="0.3">
      <c r="J107105"/>
    </row>
    <row r="107106" spans="10:10" x14ac:dyDescent="0.3">
      <c r="J107106"/>
    </row>
    <row r="107107" spans="10:10" x14ac:dyDescent="0.3">
      <c r="J107107"/>
    </row>
    <row r="107108" spans="10:10" x14ac:dyDescent="0.3">
      <c r="J107108"/>
    </row>
    <row r="107109" spans="10:10" x14ac:dyDescent="0.3">
      <c r="J107109"/>
    </row>
    <row r="107110" spans="10:10" x14ac:dyDescent="0.3">
      <c r="J107110"/>
    </row>
    <row r="107111" spans="10:10" x14ac:dyDescent="0.3">
      <c r="J107111"/>
    </row>
    <row r="107112" spans="10:10" x14ac:dyDescent="0.3">
      <c r="J107112"/>
    </row>
    <row r="107113" spans="10:10" x14ac:dyDescent="0.3">
      <c r="J107113"/>
    </row>
    <row r="107114" spans="10:10" x14ac:dyDescent="0.3">
      <c r="J107114"/>
    </row>
    <row r="107115" spans="10:10" x14ac:dyDescent="0.3">
      <c r="J107115"/>
    </row>
    <row r="107116" spans="10:10" x14ac:dyDescent="0.3">
      <c r="J107116"/>
    </row>
    <row r="107117" spans="10:10" x14ac:dyDescent="0.3">
      <c r="J107117"/>
    </row>
    <row r="107118" spans="10:10" x14ac:dyDescent="0.3">
      <c r="J107118"/>
    </row>
    <row r="107119" spans="10:10" x14ac:dyDescent="0.3">
      <c r="J107119"/>
    </row>
    <row r="107120" spans="10:10" x14ac:dyDescent="0.3">
      <c r="J107120"/>
    </row>
    <row r="107121" spans="10:10" x14ac:dyDescent="0.3">
      <c r="J107121"/>
    </row>
    <row r="107122" spans="10:10" x14ac:dyDescent="0.3">
      <c r="J107122"/>
    </row>
    <row r="107123" spans="10:10" x14ac:dyDescent="0.3">
      <c r="J107123"/>
    </row>
    <row r="107124" spans="10:10" x14ac:dyDescent="0.3">
      <c r="J107124"/>
    </row>
    <row r="107125" spans="10:10" x14ac:dyDescent="0.3">
      <c r="J107125"/>
    </row>
    <row r="107126" spans="10:10" x14ac:dyDescent="0.3">
      <c r="J107126"/>
    </row>
    <row r="107127" spans="10:10" x14ac:dyDescent="0.3">
      <c r="J107127"/>
    </row>
    <row r="107128" spans="10:10" x14ac:dyDescent="0.3">
      <c r="J107128"/>
    </row>
    <row r="107129" spans="10:10" x14ac:dyDescent="0.3">
      <c r="J107129"/>
    </row>
    <row r="107130" spans="10:10" x14ac:dyDescent="0.3">
      <c r="J107130"/>
    </row>
    <row r="107131" spans="10:10" x14ac:dyDescent="0.3">
      <c r="J107131"/>
    </row>
    <row r="107132" spans="10:10" x14ac:dyDescent="0.3">
      <c r="J107132"/>
    </row>
    <row r="107133" spans="10:10" x14ac:dyDescent="0.3">
      <c r="J107133"/>
    </row>
    <row r="107134" spans="10:10" x14ac:dyDescent="0.3">
      <c r="J107134"/>
    </row>
    <row r="107135" spans="10:10" x14ac:dyDescent="0.3">
      <c r="J107135"/>
    </row>
    <row r="107136" spans="10:10" x14ac:dyDescent="0.3">
      <c r="J107136"/>
    </row>
    <row r="107137" spans="10:10" x14ac:dyDescent="0.3">
      <c r="J107137"/>
    </row>
    <row r="107138" spans="10:10" x14ac:dyDescent="0.3">
      <c r="J107138"/>
    </row>
    <row r="107139" spans="10:10" x14ac:dyDescent="0.3">
      <c r="J107139"/>
    </row>
    <row r="107140" spans="10:10" x14ac:dyDescent="0.3">
      <c r="J107140"/>
    </row>
    <row r="107141" spans="10:10" x14ac:dyDescent="0.3">
      <c r="J107141"/>
    </row>
    <row r="107142" spans="10:10" x14ac:dyDescent="0.3">
      <c r="J107142"/>
    </row>
    <row r="107143" spans="10:10" x14ac:dyDescent="0.3">
      <c r="J107143"/>
    </row>
    <row r="107144" spans="10:10" x14ac:dyDescent="0.3">
      <c r="J107144"/>
    </row>
    <row r="107145" spans="10:10" x14ac:dyDescent="0.3">
      <c r="J107145"/>
    </row>
    <row r="107146" spans="10:10" x14ac:dyDescent="0.3">
      <c r="J107146"/>
    </row>
    <row r="107147" spans="10:10" x14ac:dyDescent="0.3">
      <c r="J107147"/>
    </row>
    <row r="107148" spans="10:10" x14ac:dyDescent="0.3">
      <c r="J107148"/>
    </row>
    <row r="107149" spans="10:10" x14ac:dyDescent="0.3">
      <c r="J107149"/>
    </row>
    <row r="107150" spans="10:10" x14ac:dyDescent="0.3">
      <c r="J107150"/>
    </row>
    <row r="107151" spans="10:10" x14ac:dyDescent="0.3">
      <c r="J107151"/>
    </row>
    <row r="107152" spans="10:10" x14ac:dyDescent="0.3">
      <c r="J107152"/>
    </row>
    <row r="107153" spans="10:10" x14ac:dyDescent="0.3">
      <c r="J107153"/>
    </row>
    <row r="107154" spans="10:10" x14ac:dyDescent="0.3">
      <c r="J107154"/>
    </row>
    <row r="107155" spans="10:10" x14ac:dyDescent="0.3">
      <c r="J107155"/>
    </row>
    <row r="107156" spans="10:10" x14ac:dyDescent="0.3">
      <c r="J107156"/>
    </row>
    <row r="107157" spans="10:10" x14ac:dyDescent="0.3">
      <c r="J107157"/>
    </row>
    <row r="107158" spans="10:10" x14ac:dyDescent="0.3">
      <c r="J107158"/>
    </row>
    <row r="107159" spans="10:10" x14ac:dyDescent="0.3">
      <c r="J107159"/>
    </row>
    <row r="107160" spans="10:10" x14ac:dyDescent="0.3">
      <c r="J107160"/>
    </row>
    <row r="107161" spans="10:10" x14ac:dyDescent="0.3">
      <c r="J107161"/>
    </row>
    <row r="107162" spans="10:10" x14ac:dyDescent="0.3">
      <c r="J107162"/>
    </row>
    <row r="107163" spans="10:10" x14ac:dyDescent="0.3">
      <c r="J107163"/>
    </row>
    <row r="107164" spans="10:10" x14ac:dyDescent="0.3">
      <c r="J107164"/>
    </row>
    <row r="107165" spans="10:10" x14ac:dyDescent="0.3">
      <c r="J107165"/>
    </row>
    <row r="107166" spans="10:10" x14ac:dyDescent="0.3">
      <c r="J107166"/>
    </row>
    <row r="107167" spans="10:10" x14ac:dyDescent="0.3">
      <c r="J107167"/>
    </row>
    <row r="107168" spans="10:10" x14ac:dyDescent="0.3">
      <c r="J107168"/>
    </row>
    <row r="107169" spans="10:10" x14ac:dyDescent="0.3">
      <c r="J107169"/>
    </row>
    <row r="107170" spans="10:10" x14ac:dyDescent="0.3">
      <c r="J107170"/>
    </row>
    <row r="107171" spans="10:10" x14ac:dyDescent="0.3">
      <c r="J107171"/>
    </row>
    <row r="107172" spans="10:10" x14ac:dyDescent="0.3">
      <c r="J107172"/>
    </row>
    <row r="107173" spans="10:10" x14ac:dyDescent="0.3">
      <c r="J107173"/>
    </row>
    <row r="107174" spans="10:10" x14ac:dyDescent="0.3">
      <c r="J107174"/>
    </row>
    <row r="107175" spans="10:10" x14ac:dyDescent="0.3">
      <c r="J107175"/>
    </row>
    <row r="107176" spans="10:10" x14ac:dyDescent="0.3">
      <c r="J107176"/>
    </row>
    <row r="107177" spans="10:10" x14ac:dyDescent="0.3">
      <c r="J107177"/>
    </row>
    <row r="107178" spans="10:10" x14ac:dyDescent="0.3">
      <c r="J107178"/>
    </row>
    <row r="107179" spans="10:10" x14ac:dyDescent="0.3">
      <c r="J107179"/>
    </row>
    <row r="107180" spans="10:10" x14ac:dyDescent="0.3">
      <c r="J107180"/>
    </row>
    <row r="107181" spans="10:10" x14ac:dyDescent="0.3">
      <c r="J107181"/>
    </row>
    <row r="107182" spans="10:10" x14ac:dyDescent="0.3">
      <c r="J107182"/>
    </row>
    <row r="107183" spans="10:10" x14ac:dyDescent="0.3">
      <c r="J107183"/>
    </row>
    <row r="107184" spans="10:10" x14ac:dyDescent="0.3">
      <c r="J107184"/>
    </row>
    <row r="107185" spans="10:10" x14ac:dyDescent="0.3">
      <c r="J107185"/>
    </row>
    <row r="107186" spans="10:10" x14ac:dyDescent="0.3">
      <c r="J107186"/>
    </row>
    <row r="107187" spans="10:10" x14ac:dyDescent="0.3">
      <c r="J107187"/>
    </row>
    <row r="107188" spans="10:10" x14ac:dyDescent="0.3">
      <c r="J107188"/>
    </row>
    <row r="107189" spans="10:10" x14ac:dyDescent="0.3">
      <c r="J107189"/>
    </row>
    <row r="107190" spans="10:10" x14ac:dyDescent="0.3">
      <c r="J107190"/>
    </row>
    <row r="107191" spans="10:10" x14ac:dyDescent="0.3">
      <c r="J107191"/>
    </row>
    <row r="107192" spans="10:10" x14ac:dyDescent="0.3">
      <c r="J107192"/>
    </row>
    <row r="107193" spans="10:10" x14ac:dyDescent="0.3">
      <c r="J107193"/>
    </row>
    <row r="107194" spans="10:10" x14ac:dyDescent="0.3">
      <c r="J107194"/>
    </row>
    <row r="107195" spans="10:10" x14ac:dyDescent="0.3">
      <c r="J107195"/>
    </row>
    <row r="107196" spans="10:10" x14ac:dyDescent="0.3">
      <c r="J107196"/>
    </row>
    <row r="107197" spans="10:10" x14ac:dyDescent="0.3">
      <c r="J107197"/>
    </row>
    <row r="107198" spans="10:10" x14ac:dyDescent="0.3">
      <c r="J107198"/>
    </row>
    <row r="107199" spans="10:10" x14ac:dyDescent="0.3">
      <c r="J107199"/>
    </row>
    <row r="107200" spans="10:10" x14ac:dyDescent="0.3">
      <c r="J107200"/>
    </row>
    <row r="107201" spans="10:10" x14ac:dyDescent="0.3">
      <c r="J107201"/>
    </row>
    <row r="107202" spans="10:10" x14ac:dyDescent="0.3">
      <c r="J107202"/>
    </row>
    <row r="107203" spans="10:10" x14ac:dyDescent="0.3">
      <c r="J107203"/>
    </row>
    <row r="107204" spans="10:10" x14ac:dyDescent="0.3">
      <c r="J107204"/>
    </row>
    <row r="107205" spans="10:10" x14ac:dyDescent="0.3">
      <c r="J107205"/>
    </row>
    <row r="107206" spans="10:10" x14ac:dyDescent="0.3">
      <c r="J107206"/>
    </row>
    <row r="107207" spans="10:10" x14ac:dyDescent="0.3">
      <c r="J107207"/>
    </row>
    <row r="107208" spans="10:10" x14ac:dyDescent="0.3">
      <c r="J107208"/>
    </row>
    <row r="107209" spans="10:10" x14ac:dyDescent="0.3">
      <c r="J107209"/>
    </row>
    <row r="107210" spans="10:10" x14ac:dyDescent="0.3">
      <c r="J107210"/>
    </row>
    <row r="107211" spans="10:10" x14ac:dyDescent="0.3">
      <c r="J107211"/>
    </row>
    <row r="107212" spans="10:10" x14ac:dyDescent="0.3">
      <c r="J107212"/>
    </row>
    <row r="107213" spans="10:10" x14ac:dyDescent="0.3">
      <c r="J107213"/>
    </row>
    <row r="107214" spans="10:10" x14ac:dyDescent="0.3">
      <c r="J107214"/>
    </row>
    <row r="107215" spans="10:10" x14ac:dyDescent="0.3">
      <c r="J107215"/>
    </row>
    <row r="107216" spans="10:10" x14ac:dyDescent="0.3">
      <c r="J107216"/>
    </row>
    <row r="107217" spans="10:10" x14ac:dyDescent="0.3">
      <c r="J107217"/>
    </row>
    <row r="107218" spans="10:10" x14ac:dyDescent="0.3">
      <c r="J107218"/>
    </row>
    <row r="107219" spans="10:10" x14ac:dyDescent="0.3">
      <c r="J107219"/>
    </row>
    <row r="107220" spans="10:10" x14ac:dyDescent="0.3">
      <c r="J107220"/>
    </row>
    <row r="107221" spans="10:10" x14ac:dyDescent="0.3">
      <c r="J107221"/>
    </row>
    <row r="107222" spans="10:10" x14ac:dyDescent="0.3">
      <c r="J107222"/>
    </row>
    <row r="107223" spans="10:10" x14ac:dyDescent="0.3">
      <c r="J107223"/>
    </row>
    <row r="107224" spans="10:10" x14ac:dyDescent="0.3">
      <c r="J107224"/>
    </row>
    <row r="107225" spans="10:10" x14ac:dyDescent="0.3">
      <c r="J107225"/>
    </row>
    <row r="107226" spans="10:10" x14ac:dyDescent="0.3">
      <c r="J107226"/>
    </row>
    <row r="107227" spans="10:10" x14ac:dyDescent="0.3">
      <c r="J107227"/>
    </row>
    <row r="107228" spans="10:10" x14ac:dyDescent="0.3">
      <c r="J107228"/>
    </row>
    <row r="107229" spans="10:10" x14ac:dyDescent="0.3">
      <c r="J107229"/>
    </row>
    <row r="107230" spans="10:10" x14ac:dyDescent="0.3">
      <c r="J107230"/>
    </row>
    <row r="107231" spans="10:10" x14ac:dyDescent="0.3">
      <c r="J107231"/>
    </row>
    <row r="107232" spans="10:10" x14ac:dyDescent="0.3">
      <c r="J107232"/>
    </row>
    <row r="107233" spans="10:10" x14ac:dyDescent="0.3">
      <c r="J107233"/>
    </row>
    <row r="107234" spans="10:10" x14ac:dyDescent="0.3">
      <c r="J107234"/>
    </row>
    <row r="107235" spans="10:10" x14ac:dyDescent="0.3">
      <c r="J107235"/>
    </row>
    <row r="107236" spans="10:10" x14ac:dyDescent="0.3">
      <c r="J107236"/>
    </row>
    <row r="107237" spans="10:10" x14ac:dyDescent="0.3">
      <c r="J107237"/>
    </row>
    <row r="107238" spans="10:10" x14ac:dyDescent="0.3">
      <c r="J107238"/>
    </row>
    <row r="107239" spans="10:10" x14ac:dyDescent="0.3">
      <c r="J107239"/>
    </row>
    <row r="107240" spans="10:10" x14ac:dyDescent="0.3">
      <c r="J107240"/>
    </row>
    <row r="107241" spans="10:10" x14ac:dyDescent="0.3">
      <c r="J107241"/>
    </row>
    <row r="107242" spans="10:10" x14ac:dyDescent="0.3">
      <c r="J107242"/>
    </row>
    <row r="107243" spans="10:10" x14ac:dyDescent="0.3">
      <c r="J107243"/>
    </row>
    <row r="107244" spans="10:10" x14ac:dyDescent="0.3">
      <c r="J107244"/>
    </row>
    <row r="107245" spans="10:10" x14ac:dyDescent="0.3">
      <c r="J107245"/>
    </row>
    <row r="107246" spans="10:10" x14ac:dyDescent="0.3">
      <c r="J107246"/>
    </row>
    <row r="107247" spans="10:10" x14ac:dyDescent="0.3">
      <c r="J107247"/>
    </row>
    <row r="107248" spans="10:10" x14ac:dyDescent="0.3">
      <c r="J107248"/>
    </row>
    <row r="107249" spans="10:10" x14ac:dyDescent="0.3">
      <c r="J107249"/>
    </row>
    <row r="107250" spans="10:10" x14ac:dyDescent="0.3">
      <c r="J107250"/>
    </row>
    <row r="107251" spans="10:10" x14ac:dyDescent="0.3">
      <c r="J107251"/>
    </row>
    <row r="107252" spans="10:10" x14ac:dyDescent="0.3">
      <c r="J107252"/>
    </row>
    <row r="107253" spans="10:10" x14ac:dyDescent="0.3">
      <c r="J107253"/>
    </row>
    <row r="107254" spans="10:10" x14ac:dyDescent="0.3">
      <c r="J107254"/>
    </row>
    <row r="107255" spans="10:10" x14ac:dyDescent="0.3">
      <c r="J107255"/>
    </row>
    <row r="107256" spans="10:10" x14ac:dyDescent="0.3">
      <c r="J107256"/>
    </row>
    <row r="107257" spans="10:10" x14ac:dyDescent="0.3">
      <c r="J107257"/>
    </row>
    <row r="107258" spans="10:10" x14ac:dyDescent="0.3">
      <c r="J107258"/>
    </row>
    <row r="107259" spans="10:10" x14ac:dyDescent="0.3">
      <c r="J107259"/>
    </row>
    <row r="107260" spans="10:10" x14ac:dyDescent="0.3">
      <c r="J107260"/>
    </row>
    <row r="107261" spans="10:10" x14ac:dyDescent="0.3">
      <c r="J107261"/>
    </row>
    <row r="107262" spans="10:10" x14ac:dyDescent="0.3">
      <c r="J107262"/>
    </row>
    <row r="107263" spans="10:10" x14ac:dyDescent="0.3">
      <c r="J107263"/>
    </row>
    <row r="107264" spans="10:10" x14ac:dyDescent="0.3">
      <c r="J107264"/>
    </row>
    <row r="107265" spans="10:10" x14ac:dyDescent="0.3">
      <c r="J107265"/>
    </row>
    <row r="107266" spans="10:10" x14ac:dyDescent="0.3">
      <c r="J107266"/>
    </row>
    <row r="107267" spans="10:10" x14ac:dyDescent="0.3">
      <c r="J107267"/>
    </row>
    <row r="107268" spans="10:10" x14ac:dyDescent="0.3">
      <c r="J107268"/>
    </row>
    <row r="107269" spans="10:10" x14ac:dyDescent="0.3">
      <c r="J107269"/>
    </row>
    <row r="107270" spans="10:10" x14ac:dyDescent="0.3">
      <c r="J107270"/>
    </row>
    <row r="107271" spans="10:10" x14ac:dyDescent="0.3">
      <c r="J107271"/>
    </row>
    <row r="107272" spans="10:10" x14ac:dyDescent="0.3">
      <c r="J107272"/>
    </row>
    <row r="107273" spans="10:10" x14ac:dyDescent="0.3">
      <c r="J107273"/>
    </row>
    <row r="107274" spans="10:10" x14ac:dyDescent="0.3">
      <c r="J107274"/>
    </row>
    <row r="107275" spans="10:10" x14ac:dyDescent="0.3">
      <c r="J107275"/>
    </row>
    <row r="107276" spans="10:10" x14ac:dyDescent="0.3">
      <c r="J107276"/>
    </row>
    <row r="107277" spans="10:10" x14ac:dyDescent="0.3">
      <c r="J107277"/>
    </row>
    <row r="107278" spans="10:10" x14ac:dyDescent="0.3">
      <c r="J107278"/>
    </row>
    <row r="107279" spans="10:10" x14ac:dyDescent="0.3">
      <c r="J107279"/>
    </row>
    <row r="107280" spans="10:10" x14ac:dyDescent="0.3">
      <c r="J107280"/>
    </row>
    <row r="107281" spans="10:10" x14ac:dyDescent="0.3">
      <c r="J107281"/>
    </row>
    <row r="107282" spans="10:10" x14ac:dyDescent="0.3">
      <c r="J107282"/>
    </row>
    <row r="107283" spans="10:10" x14ac:dyDescent="0.3">
      <c r="J107283"/>
    </row>
    <row r="107284" spans="10:10" x14ac:dyDescent="0.3">
      <c r="J107284"/>
    </row>
    <row r="107285" spans="10:10" x14ac:dyDescent="0.3">
      <c r="J107285"/>
    </row>
    <row r="107286" spans="10:10" x14ac:dyDescent="0.3">
      <c r="J107286"/>
    </row>
    <row r="107287" spans="10:10" x14ac:dyDescent="0.3">
      <c r="J107287"/>
    </row>
    <row r="107288" spans="10:10" x14ac:dyDescent="0.3">
      <c r="J107288"/>
    </row>
    <row r="107289" spans="10:10" x14ac:dyDescent="0.3">
      <c r="J107289"/>
    </row>
    <row r="107290" spans="10:10" x14ac:dyDescent="0.3">
      <c r="J107290"/>
    </row>
    <row r="107291" spans="10:10" x14ac:dyDescent="0.3">
      <c r="J107291"/>
    </row>
    <row r="107292" spans="10:10" x14ac:dyDescent="0.3">
      <c r="J107292"/>
    </row>
    <row r="107293" spans="10:10" x14ac:dyDescent="0.3">
      <c r="J107293"/>
    </row>
    <row r="107294" spans="10:10" x14ac:dyDescent="0.3">
      <c r="J107294"/>
    </row>
    <row r="107295" spans="10:10" x14ac:dyDescent="0.3">
      <c r="J107295"/>
    </row>
    <row r="107296" spans="10:10" x14ac:dyDescent="0.3">
      <c r="J107296"/>
    </row>
    <row r="107297" spans="10:10" x14ac:dyDescent="0.3">
      <c r="J107297"/>
    </row>
    <row r="107298" spans="10:10" x14ac:dyDescent="0.3">
      <c r="J107298"/>
    </row>
    <row r="107299" spans="10:10" x14ac:dyDescent="0.3">
      <c r="J107299"/>
    </row>
    <row r="107300" spans="10:10" x14ac:dyDescent="0.3">
      <c r="J107300"/>
    </row>
    <row r="107301" spans="10:10" x14ac:dyDescent="0.3">
      <c r="J107301"/>
    </row>
    <row r="107302" spans="10:10" x14ac:dyDescent="0.3">
      <c r="J107302"/>
    </row>
    <row r="107303" spans="10:10" x14ac:dyDescent="0.3">
      <c r="J107303"/>
    </row>
    <row r="107304" spans="10:10" x14ac:dyDescent="0.3">
      <c r="J107304"/>
    </row>
    <row r="107305" spans="10:10" x14ac:dyDescent="0.3">
      <c r="J107305"/>
    </row>
    <row r="107306" spans="10:10" x14ac:dyDescent="0.3">
      <c r="J107306"/>
    </row>
    <row r="107307" spans="10:10" x14ac:dyDescent="0.3">
      <c r="J107307"/>
    </row>
    <row r="107308" spans="10:10" x14ac:dyDescent="0.3">
      <c r="J107308"/>
    </row>
    <row r="107309" spans="10:10" x14ac:dyDescent="0.3">
      <c r="J107309"/>
    </row>
    <row r="107310" spans="10:10" x14ac:dyDescent="0.3">
      <c r="J107310"/>
    </row>
    <row r="107311" spans="10:10" x14ac:dyDescent="0.3">
      <c r="J107311"/>
    </row>
    <row r="107312" spans="10:10" x14ac:dyDescent="0.3">
      <c r="J107312"/>
    </row>
    <row r="107313" spans="10:10" x14ac:dyDescent="0.3">
      <c r="J107313"/>
    </row>
    <row r="107314" spans="10:10" x14ac:dyDescent="0.3">
      <c r="J107314"/>
    </row>
    <row r="107315" spans="10:10" x14ac:dyDescent="0.3">
      <c r="J107315"/>
    </row>
    <row r="107316" spans="10:10" x14ac:dyDescent="0.3">
      <c r="J107316"/>
    </row>
    <row r="107317" spans="10:10" x14ac:dyDescent="0.3">
      <c r="J107317"/>
    </row>
    <row r="107318" spans="10:10" x14ac:dyDescent="0.3">
      <c r="J107318"/>
    </row>
    <row r="107319" spans="10:10" x14ac:dyDescent="0.3">
      <c r="J107319"/>
    </row>
    <row r="107320" spans="10:10" x14ac:dyDescent="0.3">
      <c r="J107320"/>
    </row>
    <row r="107321" spans="10:10" x14ac:dyDescent="0.3">
      <c r="J107321"/>
    </row>
    <row r="107322" spans="10:10" x14ac:dyDescent="0.3">
      <c r="J107322"/>
    </row>
    <row r="107323" spans="10:10" x14ac:dyDescent="0.3">
      <c r="J107323"/>
    </row>
    <row r="107324" spans="10:10" x14ac:dyDescent="0.3">
      <c r="J107324"/>
    </row>
    <row r="107325" spans="10:10" x14ac:dyDescent="0.3">
      <c r="J107325"/>
    </row>
    <row r="107326" spans="10:10" x14ac:dyDescent="0.3">
      <c r="J107326"/>
    </row>
    <row r="107327" spans="10:10" x14ac:dyDescent="0.3">
      <c r="J107327"/>
    </row>
    <row r="107328" spans="10:10" x14ac:dyDescent="0.3">
      <c r="J107328"/>
    </row>
    <row r="107329" spans="10:10" x14ac:dyDescent="0.3">
      <c r="J107329"/>
    </row>
    <row r="107330" spans="10:10" x14ac:dyDescent="0.3">
      <c r="J107330"/>
    </row>
    <row r="107331" spans="10:10" x14ac:dyDescent="0.3">
      <c r="J107331"/>
    </row>
    <row r="107332" spans="10:10" x14ac:dyDescent="0.3">
      <c r="J107332"/>
    </row>
    <row r="107333" spans="10:10" x14ac:dyDescent="0.3">
      <c r="J107333"/>
    </row>
    <row r="107334" spans="10:10" x14ac:dyDescent="0.3">
      <c r="J107334"/>
    </row>
    <row r="107335" spans="10:10" x14ac:dyDescent="0.3">
      <c r="J107335"/>
    </row>
    <row r="107336" spans="10:10" x14ac:dyDescent="0.3">
      <c r="J107336"/>
    </row>
    <row r="107337" spans="10:10" x14ac:dyDescent="0.3">
      <c r="J107337"/>
    </row>
    <row r="107338" spans="10:10" x14ac:dyDescent="0.3">
      <c r="J107338"/>
    </row>
    <row r="107339" spans="10:10" x14ac:dyDescent="0.3">
      <c r="J107339"/>
    </row>
    <row r="107340" spans="10:10" x14ac:dyDescent="0.3">
      <c r="J107340"/>
    </row>
    <row r="107341" spans="10:10" x14ac:dyDescent="0.3">
      <c r="J107341"/>
    </row>
    <row r="107342" spans="10:10" x14ac:dyDescent="0.3">
      <c r="J107342"/>
    </row>
    <row r="107343" spans="10:10" x14ac:dyDescent="0.3">
      <c r="J107343"/>
    </row>
    <row r="107344" spans="10:10" x14ac:dyDescent="0.3">
      <c r="J107344"/>
    </row>
    <row r="107345" spans="10:10" x14ac:dyDescent="0.3">
      <c r="J107345"/>
    </row>
    <row r="107346" spans="10:10" x14ac:dyDescent="0.3">
      <c r="J107346"/>
    </row>
    <row r="107347" spans="10:10" x14ac:dyDescent="0.3">
      <c r="J107347"/>
    </row>
    <row r="107348" spans="10:10" x14ac:dyDescent="0.3">
      <c r="J107348"/>
    </row>
    <row r="107349" spans="10:10" x14ac:dyDescent="0.3">
      <c r="J107349"/>
    </row>
    <row r="107350" spans="10:10" x14ac:dyDescent="0.3">
      <c r="J107350"/>
    </row>
    <row r="107351" spans="10:10" x14ac:dyDescent="0.3">
      <c r="J107351"/>
    </row>
    <row r="107352" spans="10:10" x14ac:dyDescent="0.3">
      <c r="J107352"/>
    </row>
    <row r="107353" spans="10:10" x14ac:dyDescent="0.3">
      <c r="J107353"/>
    </row>
    <row r="107354" spans="10:10" x14ac:dyDescent="0.3">
      <c r="J107354"/>
    </row>
    <row r="107355" spans="10:10" x14ac:dyDescent="0.3">
      <c r="J107355"/>
    </row>
    <row r="107356" spans="10:10" x14ac:dyDescent="0.3">
      <c r="J107356"/>
    </row>
    <row r="107357" spans="10:10" x14ac:dyDescent="0.3">
      <c r="J107357"/>
    </row>
    <row r="107358" spans="10:10" x14ac:dyDescent="0.3">
      <c r="J107358"/>
    </row>
    <row r="107359" spans="10:10" x14ac:dyDescent="0.3">
      <c r="J107359"/>
    </row>
    <row r="107360" spans="10:10" x14ac:dyDescent="0.3">
      <c r="J107360"/>
    </row>
    <row r="107361" spans="10:10" x14ac:dyDescent="0.3">
      <c r="J107361"/>
    </row>
    <row r="107362" spans="10:10" x14ac:dyDescent="0.3">
      <c r="J107362"/>
    </row>
    <row r="107363" spans="10:10" x14ac:dyDescent="0.3">
      <c r="J107363"/>
    </row>
    <row r="107364" spans="10:10" x14ac:dyDescent="0.3">
      <c r="J107364"/>
    </row>
    <row r="107365" spans="10:10" x14ac:dyDescent="0.3">
      <c r="J107365"/>
    </row>
    <row r="107366" spans="10:10" x14ac:dyDescent="0.3">
      <c r="J107366"/>
    </row>
    <row r="107367" spans="10:10" x14ac:dyDescent="0.3">
      <c r="J107367"/>
    </row>
    <row r="107368" spans="10:10" x14ac:dyDescent="0.3">
      <c r="J107368"/>
    </row>
    <row r="107369" spans="10:10" x14ac:dyDescent="0.3">
      <c r="J107369"/>
    </row>
    <row r="107370" spans="10:10" x14ac:dyDescent="0.3">
      <c r="J107370"/>
    </row>
    <row r="107371" spans="10:10" x14ac:dyDescent="0.3">
      <c r="J107371"/>
    </row>
    <row r="107372" spans="10:10" x14ac:dyDescent="0.3">
      <c r="J107372"/>
    </row>
    <row r="107373" spans="10:10" x14ac:dyDescent="0.3">
      <c r="J107373"/>
    </row>
    <row r="107374" spans="10:10" x14ac:dyDescent="0.3">
      <c r="J107374"/>
    </row>
    <row r="107375" spans="10:10" x14ac:dyDescent="0.3">
      <c r="J107375"/>
    </row>
    <row r="107376" spans="10:10" x14ac:dyDescent="0.3">
      <c r="J107376"/>
    </row>
    <row r="107377" spans="10:10" x14ac:dyDescent="0.3">
      <c r="J107377"/>
    </row>
    <row r="107378" spans="10:10" x14ac:dyDescent="0.3">
      <c r="J107378"/>
    </row>
    <row r="107379" spans="10:10" x14ac:dyDescent="0.3">
      <c r="J107379"/>
    </row>
    <row r="107380" spans="10:10" x14ac:dyDescent="0.3">
      <c r="J107380"/>
    </row>
    <row r="107381" spans="10:10" x14ac:dyDescent="0.3">
      <c r="J107381"/>
    </row>
    <row r="107382" spans="10:10" x14ac:dyDescent="0.3">
      <c r="J107382"/>
    </row>
    <row r="107383" spans="10:10" x14ac:dyDescent="0.3">
      <c r="J107383"/>
    </row>
    <row r="107384" spans="10:10" x14ac:dyDescent="0.3">
      <c r="J107384"/>
    </row>
    <row r="107385" spans="10:10" x14ac:dyDescent="0.3">
      <c r="J107385"/>
    </row>
    <row r="107386" spans="10:10" x14ac:dyDescent="0.3">
      <c r="J107386"/>
    </row>
    <row r="107387" spans="10:10" x14ac:dyDescent="0.3">
      <c r="J107387"/>
    </row>
    <row r="107388" spans="10:10" x14ac:dyDescent="0.3">
      <c r="J107388"/>
    </row>
    <row r="107389" spans="10:10" x14ac:dyDescent="0.3">
      <c r="J107389"/>
    </row>
    <row r="107390" spans="10:10" x14ac:dyDescent="0.3">
      <c r="J107390"/>
    </row>
    <row r="107391" spans="10:10" x14ac:dyDescent="0.3">
      <c r="J107391"/>
    </row>
    <row r="107392" spans="10:10" x14ac:dyDescent="0.3">
      <c r="J107392"/>
    </row>
    <row r="107393" spans="10:10" x14ac:dyDescent="0.3">
      <c r="J107393"/>
    </row>
    <row r="107394" spans="10:10" x14ac:dyDescent="0.3">
      <c r="J107394"/>
    </row>
    <row r="107395" spans="10:10" x14ac:dyDescent="0.3">
      <c r="J107395"/>
    </row>
    <row r="107396" spans="10:10" x14ac:dyDescent="0.3">
      <c r="J107396"/>
    </row>
    <row r="107397" spans="10:10" x14ac:dyDescent="0.3">
      <c r="J107397"/>
    </row>
    <row r="107398" spans="10:10" x14ac:dyDescent="0.3">
      <c r="J107398"/>
    </row>
    <row r="107399" spans="10:10" x14ac:dyDescent="0.3">
      <c r="J107399"/>
    </row>
    <row r="107400" spans="10:10" x14ac:dyDescent="0.3">
      <c r="J107400"/>
    </row>
    <row r="107401" spans="10:10" x14ac:dyDescent="0.3">
      <c r="J107401"/>
    </row>
    <row r="107402" spans="10:10" x14ac:dyDescent="0.3">
      <c r="J107402"/>
    </row>
    <row r="107403" spans="10:10" x14ac:dyDescent="0.3">
      <c r="J107403"/>
    </row>
    <row r="107404" spans="10:10" x14ac:dyDescent="0.3">
      <c r="J107404"/>
    </row>
    <row r="107405" spans="10:10" x14ac:dyDescent="0.3">
      <c r="J107405"/>
    </row>
    <row r="107406" spans="10:10" x14ac:dyDescent="0.3">
      <c r="J107406"/>
    </row>
    <row r="107407" spans="10:10" x14ac:dyDescent="0.3">
      <c r="J107407"/>
    </row>
    <row r="107408" spans="10:10" x14ac:dyDescent="0.3">
      <c r="J107408"/>
    </row>
    <row r="107409" spans="10:10" x14ac:dyDescent="0.3">
      <c r="J107409"/>
    </row>
    <row r="107410" spans="10:10" x14ac:dyDescent="0.3">
      <c r="J107410"/>
    </row>
    <row r="107411" spans="10:10" x14ac:dyDescent="0.3">
      <c r="J107411"/>
    </row>
    <row r="107412" spans="10:10" x14ac:dyDescent="0.3">
      <c r="J107412"/>
    </row>
    <row r="107413" spans="10:10" x14ac:dyDescent="0.3">
      <c r="J107413"/>
    </row>
    <row r="107414" spans="10:10" x14ac:dyDescent="0.3">
      <c r="J107414"/>
    </row>
    <row r="107415" spans="10:10" x14ac:dyDescent="0.3">
      <c r="J107415"/>
    </row>
    <row r="107416" spans="10:10" x14ac:dyDescent="0.3">
      <c r="J107416"/>
    </row>
    <row r="107417" spans="10:10" x14ac:dyDescent="0.3">
      <c r="J107417"/>
    </row>
    <row r="107418" spans="10:10" x14ac:dyDescent="0.3">
      <c r="J107418"/>
    </row>
    <row r="107419" spans="10:10" x14ac:dyDescent="0.3">
      <c r="J107419"/>
    </row>
    <row r="107420" spans="10:10" x14ac:dyDescent="0.3">
      <c r="J107420"/>
    </row>
    <row r="107421" spans="10:10" x14ac:dyDescent="0.3">
      <c r="J107421"/>
    </row>
    <row r="107422" spans="10:10" x14ac:dyDescent="0.3">
      <c r="J107422"/>
    </row>
    <row r="107423" spans="10:10" x14ac:dyDescent="0.3">
      <c r="J107423"/>
    </row>
    <row r="107424" spans="10:10" x14ac:dyDescent="0.3">
      <c r="J107424"/>
    </row>
    <row r="107425" spans="10:10" x14ac:dyDescent="0.3">
      <c r="J107425"/>
    </row>
    <row r="107426" spans="10:10" x14ac:dyDescent="0.3">
      <c r="J107426"/>
    </row>
    <row r="107427" spans="10:10" x14ac:dyDescent="0.3">
      <c r="J107427"/>
    </row>
    <row r="107428" spans="10:10" x14ac:dyDescent="0.3">
      <c r="J107428"/>
    </row>
    <row r="107429" spans="10:10" x14ac:dyDescent="0.3">
      <c r="J107429"/>
    </row>
    <row r="107430" spans="10:10" x14ac:dyDescent="0.3">
      <c r="J107430"/>
    </row>
    <row r="107431" spans="10:10" x14ac:dyDescent="0.3">
      <c r="J107431"/>
    </row>
    <row r="107432" spans="10:10" x14ac:dyDescent="0.3">
      <c r="J107432"/>
    </row>
    <row r="107433" spans="10:10" x14ac:dyDescent="0.3">
      <c r="J107433"/>
    </row>
    <row r="107434" spans="10:10" x14ac:dyDescent="0.3">
      <c r="J107434"/>
    </row>
    <row r="107435" spans="10:10" x14ac:dyDescent="0.3">
      <c r="J107435"/>
    </row>
    <row r="107436" spans="10:10" x14ac:dyDescent="0.3">
      <c r="J107436"/>
    </row>
    <row r="107437" spans="10:10" x14ac:dyDescent="0.3">
      <c r="J107437"/>
    </row>
    <row r="107438" spans="10:10" x14ac:dyDescent="0.3">
      <c r="J107438"/>
    </row>
    <row r="107439" spans="10:10" x14ac:dyDescent="0.3">
      <c r="J107439"/>
    </row>
    <row r="107440" spans="10:10" x14ac:dyDescent="0.3">
      <c r="J107440"/>
    </row>
    <row r="107441" spans="10:10" x14ac:dyDescent="0.3">
      <c r="J107441"/>
    </row>
    <row r="107442" spans="10:10" x14ac:dyDescent="0.3">
      <c r="J107442"/>
    </row>
    <row r="107443" spans="10:10" x14ac:dyDescent="0.3">
      <c r="J107443"/>
    </row>
    <row r="107444" spans="10:10" x14ac:dyDescent="0.3">
      <c r="J107444"/>
    </row>
    <row r="107445" spans="10:10" x14ac:dyDescent="0.3">
      <c r="J107445"/>
    </row>
    <row r="107446" spans="10:10" x14ac:dyDescent="0.3">
      <c r="J107446"/>
    </row>
    <row r="107447" spans="10:10" x14ac:dyDescent="0.3">
      <c r="J107447"/>
    </row>
    <row r="107448" spans="10:10" x14ac:dyDescent="0.3">
      <c r="J107448"/>
    </row>
    <row r="107449" spans="10:10" x14ac:dyDescent="0.3">
      <c r="J107449"/>
    </row>
    <row r="107450" spans="10:10" x14ac:dyDescent="0.3">
      <c r="J107450"/>
    </row>
    <row r="107451" spans="10:10" x14ac:dyDescent="0.3">
      <c r="J107451"/>
    </row>
    <row r="107452" spans="10:10" x14ac:dyDescent="0.3">
      <c r="J107452"/>
    </row>
    <row r="107453" spans="10:10" x14ac:dyDescent="0.3">
      <c r="J107453"/>
    </row>
    <row r="107454" spans="10:10" x14ac:dyDescent="0.3">
      <c r="J107454"/>
    </row>
    <row r="107455" spans="10:10" x14ac:dyDescent="0.3">
      <c r="J107455"/>
    </row>
    <row r="107456" spans="10:10" x14ac:dyDescent="0.3">
      <c r="J107456"/>
    </row>
    <row r="107457" spans="10:10" x14ac:dyDescent="0.3">
      <c r="J107457"/>
    </row>
    <row r="107458" spans="10:10" x14ac:dyDescent="0.3">
      <c r="J107458"/>
    </row>
    <row r="107459" spans="10:10" x14ac:dyDescent="0.3">
      <c r="J107459"/>
    </row>
    <row r="107460" spans="10:10" x14ac:dyDescent="0.3">
      <c r="J107460"/>
    </row>
    <row r="107461" spans="10:10" x14ac:dyDescent="0.3">
      <c r="J107461"/>
    </row>
    <row r="107462" spans="10:10" x14ac:dyDescent="0.3">
      <c r="J107462"/>
    </row>
    <row r="107463" spans="10:10" x14ac:dyDescent="0.3">
      <c r="J107463"/>
    </row>
    <row r="107464" spans="10:10" x14ac:dyDescent="0.3">
      <c r="J107464"/>
    </row>
    <row r="107465" spans="10:10" x14ac:dyDescent="0.3">
      <c r="J107465"/>
    </row>
    <row r="107466" spans="10:10" x14ac:dyDescent="0.3">
      <c r="J107466"/>
    </row>
    <row r="107467" spans="10:10" x14ac:dyDescent="0.3">
      <c r="J107467"/>
    </row>
    <row r="107468" spans="10:10" x14ac:dyDescent="0.3">
      <c r="J107468"/>
    </row>
    <row r="107469" spans="10:10" x14ac:dyDescent="0.3">
      <c r="J107469"/>
    </row>
    <row r="107470" spans="10:10" x14ac:dyDescent="0.3">
      <c r="J107470"/>
    </row>
    <row r="107471" spans="10:10" x14ac:dyDescent="0.3">
      <c r="J107471"/>
    </row>
    <row r="107472" spans="10:10" x14ac:dyDescent="0.3">
      <c r="J107472"/>
    </row>
    <row r="107473" spans="10:10" x14ac:dyDescent="0.3">
      <c r="J107473"/>
    </row>
    <row r="107474" spans="10:10" x14ac:dyDescent="0.3">
      <c r="J107474"/>
    </row>
    <row r="107475" spans="10:10" x14ac:dyDescent="0.3">
      <c r="J107475"/>
    </row>
    <row r="107476" spans="10:10" x14ac:dyDescent="0.3">
      <c r="J107476"/>
    </row>
    <row r="107477" spans="10:10" x14ac:dyDescent="0.3">
      <c r="J107477"/>
    </row>
    <row r="107478" spans="10:10" x14ac:dyDescent="0.3">
      <c r="J107478"/>
    </row>
    <row r="107479" spans="10:10" x14ac:dyDescent="0.3">
      <c r="J107479"/>
    </row>
    <row r="107480" spans="10:10" x14ac:dyDescent="0.3">
      <c r="J107480"/>
    </row>
    <row r="107481" spans="10:10" x14ac:dyDescent="0.3">
      <c r="J107481"/>
    </row>
    <row r="107482" spans="10:10" x14ac:dyDescent="0.3">
      <c r="J107482"/>
    </row>
    <row r="107483" spans="10:10" x14ac:dyDescent="0.3">
      <c r="J107483"/>
    </row>
    <row r="107484" spans="10:10" x14ac:dyDescent="0.3">
      <c r="J107484"/>
    </row>
    <row r="107485" spans="10:10" x14ac:dyDescent="0.3">
      <c r="J107485"/>
    </row>
    <row r="107486" spans="10:10" x14ac:dyDescent="0.3">
      <c r="J107486"/>
    </row>
    <row r="107487" spans="10:10" x14ac:dyDescent="0.3">
      <c r="J107487"/>
    </row>
    <row r="107488" spans="10:10" x14ac:dyDescent="0.3">
      <c r="J107488"/>
    </row>
    <row r="107489" spans="10:10" x14ac:dyDescent="0.3">
      <c r="J107489"/>
    </row>
    <row r="107490" spans="10:10" x14ac:dyDescent="0.3">
      <c r="J107490"/>
    </row>
    <row r="107491" spans="10:10" x14ac:dyDescent="0.3">
      <c r="J107491"/>
    </row>
    <row r="107492" spans="10:10" x14ac:dyDescent="0.3">
      <c r="J107492"/>
    </row>
    <row r="107493" spans="10:10" x14ac:dyDescent="0.3">
      <c r="J107493"/>
    </row>
    <row r="107494" spans="10:10" x14ac:dyDescent="0.3">
      <c r="J107494"/>
    </row>
    <row r="107495" spans="10:10" x14ac:dyDescent="0.3">
      <c r="J107495"/>
    </row>
    <row r="107496" spans="10:10" x14ac:dyDescent="0.3">
      <c r="J107496"/>
    </row>
    <row r="107497" spans="10:10" x14ac:dyDescent="0.3">
      <c r="J107497"/>
    </row>
    <row r="107498" spans="10:10" x14ac:dyDescent="0.3">
      <c r="J107498"/>
    </row>
    <row r="107499" spans="10:10" x14ac:dyDescent="0.3">
      <c r="J107499"/>
    </row>
    <row r="107500" spans="10:10" x14ac:dyDescent="0.3">
      <c r="J107500"/>
    </row>
    <row r="107501" spans="10:10" x14ac:dyDescent="0.3">
      <c r="J107501"/>
    </row>
    <row r="107502" spans="10:10" x14ac:dyDescent="0.3">
      <c r="J107502"/>
    </row>
    <row r="107503" spans="10:10" x14ac:dyDescent="0.3">
      <c r="J107503"/>
    </row>
    <row r="107504" spans="10:10" x14ac:dyDescent="0.3">
      <c r="J107504"/>
    </row>
    <row r="107505" spans="10:10" x14ac:dyDescent="0.3">
      <c r="J107505"/>
    </row>
    <row r="107506" spans="10:10" x14ac:dyDescent="0.3">
      <c r="J107506"/>
    </row>
    <row r="107507" spans="10:10" x14ac:dyDescent="0.3">
      <c r="J107507"/>
    </row>
    <row r="107508" spans="10:10" x14ac:dyDescent="0.3">
      <c r="J107508"/>
    </row>
    <row r="107509" spans="10:10" x14ac:dyDescent="0.3">
      <c r="J107509"/>
    </row>
    <row r="107510" spans="10:10" x14ac:dyDescent="0.3">
      <c r="J107510"/>
    </row>
    <row r="107511" spans="10:10" x14ac:dyDescent="0.3">
      <c r="J107511"/>
    </row>
    <row r="107512" spans="10:10" x14ac:dyDescent="0.3">
      <c r="J107512"/>
    </row>
    <row r="107513" spans="10:10" x14ac:dyDescent="0.3">
      <c r="J107513"/>
    </row>
    <row r="107514" spans="10:10" x14ac:dyDescent="0.3">
      <c r="J107514"/>
    </row>
    <row r="107515" spans="10:10" x14ac:dyDescent="0.3">
      <c r="J107515"/>
    </row>
    <row r="107516" spans="10:10" x14ac:dyDescent="0.3">
      <c r="J107516"/>
    </row>
    <row r="107517" spans="10:10" x14ac:dyDescent="0.3">
      <c r="J107517"/>
    </row>
    <row r="107518" spans="10:10" x14ac:dyDescent="0.3">
      <c r="J107518"/>
    </row>
    <row r="107519" spans="10:10" x14ac:dyDescent="0.3">
      <c r="J107519"/>
    </row>
    <row r="107520" spans="10:10" x14ac:dyDescent="0.3">
      <c r="J107520"/>
    </row>
    <row r="107521" spans="10:10" x14ac:dyDescent="0.3">
      <c r="J107521"/>
    </row>
    <row r="107522" spans="10:10" x14ac:dyDescent="0.3">
      <c r="J107522"/>
    </row>
    <row r="107523" spans="10:10" x14ac:dyDescent="0.3">
      <c r="J107523"/>
    </row>
    <row r="107524" spans="10:10" x14ac:dyDescent="0.3">
      <c r="J107524"/>
    </row>
    <row r="107525" spans="10:10" x14ac:dyDescent="0.3">
      <c r="J107525"/>
    </row>
    <row r="107526" spans="10:10" x14ac:dyDescent="0.3">
      <c r="J107526"/>
    </row>
    <row r="107527" spans="10:10" x14ac:dyDescent="0.3">
      <c r="J107527"/>
    </row>
    <row r="107528" spans="10:10" x14ac:dyDescent="0.3">
      <c r="J107528"/>
    </row>
    <row r="107529" spans="10:10" x14ac:dyDescent="0.3">
      <c r="J107529"/>
    </row>
    <row r="107530" spans="10:10" x14ac:dyDescent="0.3">
      <c r="J107530"/>
    </row>
    <row r="107531" spans="10:10" x14ac:dyDescent="0.3">
      <c r="J107531"/>
    </row>
    <row r="107532" spans="10:10" x14ac:dyDescent="0.3">
      <c r="J107532"/>
    </row>
    <row r="107533" spans="10:10" x14ac:dyDescent="0.3">
      <c r="J107533"/>
    </row>
    <row r="107534" spans="10:10" x14ac:dyDescent="0.3">
      <c r="J107534"/>
    </row>
    <row r="107535" spans="10:10" x14ac:dyDescent="0.3">
      <c r="J107535"/>
    </row>
    <row r="107536" spans="10:10" x14ac:dyDescent="0.3">
      <c r="J107536"/>
    </row>
    <row r="107537" spans="10:10" x14ac:dyDescent="0.3">
      <c r="J107537"/>
    </row>
    <row r="107538" spans="10:10" x14ac:dyDescent="0.3">
      <c r="J107538"/>
    </row>
    <row r="107539" spans="10:10" x14ac:dyDescent="0.3">
      <c r="J107539"/>
    </row>
    <row r="107540" spans="10:10" x14ac:dyDescent="0.3">
      <c r="J107540"/>
    </row>
    <row r="107541" spans="10:10" x14ac:dyDescent="0.3">
      <c r="J107541"/>
    </row>
    <row r="107542" spans="10:10" x14ac:dyDescent="0.3">
      <c r="J107542"/>
    </row>
    <row r="107543" spans="10:10" x14ac:dyDescent="0.3">
      <c r="J107543"/>
    </row>
    <row r="107544" spans="10:10" x14ac:dyDescent="0.3">
      <c r="J107544"/>
    </row>
    <row r="107545" spans="10:10" x14ac:dyDescent="0.3">
      <c r="J107545"/>
    </row>
    <row r="107546" spans="10:10" x14ac:dyDescent="0.3">
      <c r="J107546"/>
    </row>
    <row r="107547" spans="10:10" x14ac:dyDescent="0.3">
      <c r="J107547"/>
    </row>
    <row r="107548" spans="10:10" x14ac:dyDescent="0.3">
      <c r="J107548"/>
    </row>
    <row r="107549" spans="10:10" x14ac:dyDescent="0.3">
      <c r="J107549"/>
    </row>
    <row r="107550" spans="10:10" x14ac:dyDescent="0.3">
      <c r="J107550"/>
    </row>
    <row r="107551" spans="10:10" x14ac:dyDescent="0.3">
      <c r="J107551"/>
    </row>
    <row r="107552" spans="10:10" x14ac:dyDescent="0.3">
      <c r="J107552"/>
    </row>
    <row r="107553" spans="10:10" x14ac:dyDescent="0.3">
      <c r="J107553"/>
    </row>
    <row r="107554" spans="10:10" x14ac:dyDescent="0.3">
      <c r="J107554"/>
    </row>
    <row r="107555" spans="10:10" x14ac:dyDescent="0.3">
      <c r="J107555"/>
    </row>
    <row r="107556" spans="10:10" x14ac:dyDescent="0.3">
      <c r="J107556"/>
    </row>
    <row r="107557" spans="10:10" x14ac:dyDescent="0.3">
      <c r="J107557"/>
    </row>
    <row r="107558" spans="10:10" x14ac:dyDescent="0.3">
      <c r="J107558"/>
    </row>
    <row r="107559" spans="10:10" x14ac:dyDescent="0.3">
      <c r="J107559"/>
    </row>
    <row r="107560" spans="10:10" x14ac:dyDescent="0.3">
      <c r="J107560"/>
    </row>
    <row r="107561" spans="10:10" x14ac:dyDescent="0.3">
      <c r="J107561"/>
    </row>
    <row r="107562" spans="10:10" x14ac:dyDescent="0.3">
      <c r="J107562"/>
    </row>
    <row r="107563" spans="10:10" x14ac:dyDescent="0.3">
      <c r="J107563"/>
    </row>
    <row r="107564" spans="10:10" x14ac:dyDescent="0.3">
      <c r="J107564"/>
    </row>
    <row r="107565" spans="10:10" x14ac:dyDescent="0.3">
      <c r="J107565"/>
    </row>
    <row r="107566" spans="10:10" x14ac:dyDescent="0.3">
      <c r="J107566"/>
    </row>
    <row r="107567" spans="10:10" x14ac:dyDescent="0.3">
      <c r="J107567"/>
    </row>
    <row r="107568" spans="10:10" x14ac:dyDescent="0.3">
      <c r="J107568"/>
    </row>
    <row r="107569" spans="10:10" x14ac:dyDescent="0.3">
      <c r="J107569"/>
    </row>
    <row r="107570" spans="10:10" x14ac:dyDescent="0.3">
      <c r="J107570"/>
    </row>
    <row r="107571" spans="10:10" x14ac:dyDescent="0.3">
      <c r="J107571"/>
    </row>
    <row r="107572" spans="10:10" x14ac:dyDescent="0.3">
      <c r="J107572"/>
    </row>
    <row r="107573" spans="10:10" x14ac:dyDescent="0.3">
      <c r="J107573"/>
    </row>
    <row r="107574" spans="10:10" x14ac:dyDescent="0.3">
      <c r="J107574"/>
    </row>
    <row r="107575" spans="10:10" x14ac:dyDescent="0.3">
      <c r="J107575"/>
    </row>
    <row r="107576" spans="10:10" x14ac:dyDescent="0.3">
      <c r="J107576"/>
    </row>
    <row r="107577" spans="10:10" x14ac:dyDescent="0.3">
      <c r="J107577"/>
    </row>
    <row r="107578" spans="10:10" x14ac:dyDescent="0.3">
      <c r="J107578"/>
    </row>
    <row r="107579" spans="10:10" x14ac:dyDescent="0.3">
      <c r="J107579"/>
    </row>
    <row r="107580" spans="10:10" x14ac:dyDescent="0.3">
      <c r="J107580"/>
    </row>
    <row r="107581" spans="10:10" x14ac:dyDescent="0.3">
      <c r="J107581"/>
    </row>
    <row r="107582" spans="10:10" x14ac:dyDescent="0.3">
      <c r="J107582"/>
    </row>
    <row r="107583" spans="10:10" x14ac:dyDescent="0.3">
      <c r="J107583"/>
    </row>
    <row r="107584" spans="10:10" x14ac:dyDescent="0.3">
      <c r="J107584"/>
    </row>
    <row r="107585" spans="10:10" x14ac:dyDescent="0.3">
      <c r="J107585"/>
    </row>
    <row r="107586" spans="10:10" x14ac:dyDescent="0.3">
      <c r="J107586"/>
    </row>
    <row r="107587" spans="10:10" x14ac:dyDescent="0.3">
      <c r="J107587"/>
    </row>
    <row r="107588" spans="10:10" x14ac:dyDescent="0.3">
      <c r="J107588"/>
    </row>
    <row r="107589" spans="10:10" x14ac:dyDescent="0.3">
      <c r="J107589"/>
    </row>
    <row r="107590" spans="10:10" x14ac:dyDescent="0.3">
      <c r="J107590"/>
    </row>
    <row r="107591" spans="10:10" x14ac:dyDescent="0.3">
      <c r="J107591"/>
    </row>
    <row r="107592" spans="10:10" x14ac:dyDescent="0.3">
      <c r="J107592"/>
    </row>
    <row r="107593" spans="10:10" x14ac:dyDescent="0.3">
      <c r="J107593"/>
    </row>
    <row r="107594" spans="10:10" x14ac:dyDescent="0.3">
      <c r="J107594"/>
    </row>
    <row r="107595" spans="10:10" x14ac:dyDescent="0.3">
      <c r="J107595"/>
    </row>
    <row r="107596" spans="10:10" x14ac:dyDescent="0.3">
      <c r="J107596"/>
    </row>
    <row r="107597" spans="10:10" x14ac:dyDescent="0.3">
      <c r="J107597"/>
    </row>
    <row r="107598" spans="10:10" x14ac:dyDescent="0.3">
      <c r="J107598"/>
    </row>
    <row r="107599" spans="10:10" x14ac:dyDescent="0.3">
      <c r="J107599"/>
    </row>
    <row r="107600" spans="10:10" x14ac:dyDescent="0.3">
      <c r="J107600"/>
    </row>
    <row r="107601" spans="10:10" x14ac:dyDescent="0.3">
      <c r="J107601"/>
    </row>
    <row r="107602" spans="10:10" x14ac:dyDescent="0.3">
      <c r="J107602"/>
    </row>
    <row r="107603" spans="10:10" x14ac:dyDescent="0.3">
      <c r="J107603"/>
    </row>
    <row r="107604" spans="10:10" x14ac:dyDescent="0.3">
      <c r="J107604"/>
    </row>
    <row r="107605" spans="10:10" x14ac:dyDescent="0.3">
      <c r="J107605"/>
    </row>
    <row r="107606" spans="10:10" x14ac:dyDescent="0.3">
      <c r="J107606"/>
    </row>
    <row r="107607" spans="10:10" x14ac:dyDescent="0.3">
      <c r="J107607"/>
    </row>
    <row r="107608" spans="10:10" x14ac:dyDescent="0.3">
      <c r="J107608"/>
    </row>
    <row r="107609" spans="10:10" x14ac:dyDescent="0.3">
      <c r="J107609"/>
    </row>
    <row r="107610" spans="10:10" x14ac:dyDescent="0.3">
      <c r="J107610"/>
    </row>
    <row r="107611" spans="10:10" x14ac:dyDescent="0.3">
      <c r="J107611"/>
    </row>
    <row r="107612" spans="10:10" x14ac:dyDescent="0.3">
      <c r="J107612"/>
    </row>
    <row r="107613" spans="10:10" x14ac:dyDescent="0.3">
      <c r="J107613"/>
    </row>
    <row r="107614" spans="10:10" x14ac:dyDescent="0.3">
      <c r="J107614"/>
    </row>
    <row r="107615" spans="10:10" x14ac:dyDescent="0.3">
      <c r="J107615"/>
    </row>
    <row r="107616" spans="10:10" x14ac:dyDescent="0.3">
      <c r="J107616"/>
    </row>
    <row r="107617" spans="10:10" x14ac:dyDescent="0.3">
      <c r="J107617"/>
    </row>
    <row r="107618" spans="10:10" x14ac:dyDescent="0.3">
      <c r="J107618"/>
    </row>
    <row r="107619" spans="10:10" x14ac:dyDescent="0.3">
      <c r="J107619"/>
    </row>
    <row r="107620" spans="10:10" x14ac:dyDescent="0.3">
      <c r="J107620"/>
    </row>
    <row r="107621" spans="10:10" x14ac:dyDescent="0.3">
      <c r="J107621"/>
    </row>
    <row r="107622" spans="10:10" x14ac:dyDescent="0.3">
      <c r="J107622"/>
    </row>
    <row r="107623" spans="10:10" x14ac:dyDescent="0.3">
      <c r="J107623"/>
    </row>
    <row r="107624" spans="10:10" x14ac:dyDescent="0.3">
      <c r="J107624"/>
    </row>
    <row r="107625" spans="10:10" x14ac:dyDescent="0.3">
      <c r="J107625"/>
    </row>
    <row r="107626" spans="10:10" x14ac:dyDescent="0.3">
      <c r="J107626"/>
    </row>
    <row r="107627" spans="10:10" x14ac:dyDescent="0.3">
      <c r="J107627"/>
    </row>
    <row r="107628" spans="10:10" x14ac:dyDescent="0.3">
      <c r="J107628"/>
    </row>
    <row r="107629" spans="10:10" x14ac:dyDescent="0.3">
      <c r="J107629"/>
    </row>
    <row r="107630" spans="10:10" x14ac:dyDescent="0.3">
      <c r="J107630"/>
    </row>
    <row r="107631" spans="10:10" x14ac:dyDescent="0.3">
      <c r="J107631"/>
    </row>
    <row r="107632" spans="10:10" x14ac:dyDescent="0.3">
      <c r="J107632"/>
    </row>
    <row r="107633" spans="10:10" x14ac:dyDescent="0.3">
      <c r="J107633"/>
    </row>
    <row r="107634" spans="10:10" x14ac:dyDescent="0.3">
      <c r="J107634"/>
    </row>
    <row r="107635" spans="10:10" x14ac:dyDescent="0.3">
      <c r="J107635"/>
    </row>
    <row r="107636" spans="10:10" x14ac:dyDescent="0.3">
      <c r="J107636"/>
    </row>
    <row r="107637" spans="10:10" x14ac:dyDescent="0.3">
      <c r="J107637"/>
    </row>
    <row r="107638" spans="10:10" x14ac:dyDescent="0.3">
      <c r="J107638"/>
    </row>
    <row r="107639" spans="10:10" x14ac:dyDescent="0.3">
      <c r="J107639"/>
    </row>
    <row r="107640" spans="10:10" x14ac:dyDescent="0.3">
      <c r="J107640"/>
    </row>
    <row r="107641" spans="10:10" x14ac:dyDescent="0.3">
      <c r="J107641"/>
    </row>
    <row r="107642" spans="10:10" x14ac:dyDescent="0.3">
      <c r="J107642"/>
    </row>
    <row r="107643" spans="10:10" x14ac:dyDescent="0.3">
      <c r="J107643"/>
    </row>
    <row r="107644" spans="10:10" x14ac:dyDescent="0.3">
      <c r="J107644"/>
    </row>
    <row r="107645" spans="10:10" x14ac:dyDescent="0.3">
      <c r="J107645"/>
    </row>
    <row r="107646" spans="10:10" x14ac:dyDescent="0.3">
      <c r="J107646"/>
    </row>
    <row r="107647" spans="10:10" x14ac:dyDescent="0.3">
      <c r="J107647"/>
    </row>
    <row r="107648" spans="10:10" x14ac:dyDescent="0.3">
      <c r="J107648"/>
    </row>
    <row r="107649" spans="10:10" x14ac:dyDescent="0.3">
      <c r="J107649"/>
    </row>
    <row r="107650" spans="10:10" x14ac:dyDescent="0.3">
      <c r="J107650"/>
    </row>
    <row r="107651" spans="10:10" x14ac:dyDescent="0.3">
      <c r="J107651"/>
    </row>
    <row r="107652" spans="10:10" x14ac:dyDescent="0.3">
      <c r="J107652"/>
    </row>
    <row r="107653" spans="10:10" x14ac:dyDescent="0.3">
      <c r="J107653"/>
    </row>
    <row r="107654" spans="10:10" x14ac:dyDescent="0.3">
      <c r="J107654"/>
    </row>
    <row r="107655" spans="10:10" x14ac:dyDescent="0.3">
      <c r="J107655"/>
    </row>
    <row r="107656" spans="10:10" x14ac:dyDescent="0.3">
      <c r="J107656"/>
    </row>
    <row r="107657" spans="10:10" x14ac:dyDescent="0.3">
      <c r="J107657"/>
    </row>
    <row r="107658" spans="10:10" x14ac:dyDescent="0.3">
      <c r="J107658"/>
    </row>
    <row r="107659" spans="10:10" x14ac:dyDescent="0.3">
      <c r="J107659"/>
    </row>
    <row r="107660" spans="10:10" x14ac:dyDescent="0.3">
      <c r="J107660"/>
    </row>
    <row r="107661" spans="10:10" x14ac:dyDescent="0.3">
      <c r="J107661"/>
    </row>
    <row r="107662" spans="10:10" x14ac:dyDescent="0.3">
      <c r="J107662"/>
    </row>
    <row r="107663" spans="10:10" x14ac:dyDescent="0.3">
      <c r="J107663"/>
    </row>
    <row r="107664" spans="10:10" x14ac:dyDescent="0.3">
      <c r="J107664"/>
    </row>
    <row r="107665" spans="10:10" x14ac:dyDescent="0.3">
      <c r="J107665"/>
    </row>
    <row r="107666" spans="10:10" x14ac:dyDescent="0.3">
      <c r="J107666"/>
    </row>
    <row r="107667" spans="10:10" x14ac:dyDescent="0.3">
      <c r="J107667"/>
    </row>
    <row r="107668" spans="10:10" x14ac:dyDescent="0.3">
      <c r="J107668"/>
    </row>
    <row r="107669" spans="10:10" x14ac:dyDescent="0.3">
      <c r="J107669"/>
    </row>
    <row r="107670" spans="10:10" x14ac:dyDescent="0.3">
      <c r="J107670"/>
    </row>
    <row r="107671" spans="10:10" x14ac:dyDescent="0.3">
      <c r="J107671"/>
    </row>
    <row r="107672" spans="10:10" x14ac:dyDescent="0.3">
      <c r="J107672"/>
    </row>
    <row r="107673" spans="10:10" x14ac:dyDescent="0.3">
      <c r="J107673"/>
    </row>
    <row r="107674" spans="10:10" x14ac:dyDescent="0.3">
      <c r="J107674"/>
    </row>
    <row r="107675" spans="10:10" x14ac:dyDescent="0.3">
      <c r="J107675"/>
    </row>
    <row r="107676" spans="10:10" x14ac:dyDescent="0.3">
      <c r="J107676"/>
    </row>
    <row r="107677" spans="10:10" x14ac:dyDescent="0.3">
      <c r="J107677"/>
    </row>
    <row r="107678" spans="10:10" x14ac:dyDescent="0.3">
      <c r="J107678"/>
    </row>
    <row r="107679" spans="10:10" x14ac:dyDescent="0.3">
      <c r="J107679"/>
    </row>
    <row r="107680" spans="10:10" x14ac:dyDescent="0.3">
      <c r="J107680"/>
    </row>
    <row r="107681" spans="10:10" x14ac:dyDescent="0.3">
      <c r="J107681"/>
    </row>
    <row r="107682" spans="10:10" x14ac:dyDescent="0.3">
      <c r="J107682"/>
    </row>
    <row r="107683" spans="10:10" x14ac:dyDescent="0.3">
      <c r="J107683"/>
    </row>
    <row r="107684" spans="10:10" x14ac:dyDescent="0.3">
      <c r="J107684"/>
    </row>
    <row r="107685" spans="10:10" x14ac:dyDescent="0.3">
      <c r="J107685"/>
    </row>
    <row r="107686" spans="10:10" x14ac:dyDescent="0.3">
      <c r="J107686"/>
    </row>
    <row r="107687" spans="10:10" x14ac:dyDescent="0.3">
      <c r="J107687"/>
    </row>
    <row r="107688" spans="10:10" x14ac:dyDescent="0.3">
      <c r="J107688"/>
    </row>
    <row r="107689" spans="10:10" x14ac:dyDescent="0.3">
      <c r="J107689"/>
    </row>
    <row r="107690" spans="10:10" x14ac:dyDescent="0.3">
      <c r="J107690"/>
    </row>
    <row r="107691" spans="10:10" x14ac:dyDescent="0.3">
      <c r="J107691"/>
    </row>
    <row r="107692" spans="10:10" x14ac:dyDescent="0.3">
      <c r="J107692"/>
    </row>
    <row r="107693" spans="10:10" x14ac:dyDescent="0.3">
      <c r="J107693"/>
    </row>
    <row r="107694" spans="10:10" x14ac:dyDescent="0.3">
      <c r="J107694"/>
    </row>
    <row r="107695" spans="10:10" x14ac:dyDescent="0.3">
      <c r="J107695"/>
    </row>
    <row r="107696" spans="10:10" x14ac:dyDescent="0.3">
      <c r="J107696"/>
    </row>
    <row r="107697" spans="10:10" x14ac:dyDescent="0.3">
      <c r="J107697"/>
    </row>
    <row r="107698" spans="10:10" x14ac:dyDescent="0.3">
      <c r="J107698"/>
    </row>
    <row r="107699" spans="10:10" x14ac:dyDescent="0.3">
      <c r="J107699"/>
    </row>
    <row r="107700" spans="10:10" x14ac:dyDescent="0.3">
      <c r="J107700"/>
    </row>
    <row r="107701" spans="10:10" x14ac:dyDescent="0.3">
      <c r="J107701"/>
    </row>
    <row r="107702" spans="10:10" x14ac:dyDescent="0.3">
      <c r="J107702"/>
    </row>
    <row r="107703" spans="10:10" x14ac:dyDescent="0.3">
      <c r="J107703"/>
    </row>
    <row r="107704" spans="10:10" x14ac:dyDescent="0.3">
      <c r="J107704"/>
    </row>
    <row r="107705" spans="10:10" x14ac:dyDescent="0.3">
      <c r="J107705"/>
    </row>
    <row r="107706" spans="10:10" x14ac:dyDescent="0.3">
      <c r="J107706"/>
    </row>
    <row r="107707" spans="10:10" x14ac:dyDescent="0.3">
      <c r="J107707"/>
    </row>
    <row r="107708" spans="10:10" x14ac:dyDescent="0.3">
      <c r="J107708"/>
    </row>
    <row r="107709" spans="10:10" x14ac:dyDescent="0.3">
      <c r="J107709"/>
    </row>
    <row r="107710" spans="10:10" x14ac:dyDescent="0.3">
      <c r="J107710"/>
    </row>
    <row r="107711" spans="10:10" x14ac:dyDescent="0.3">
      <c r="J107711"/>
    </row>
    <row r="107712" spans="10:10" x14ac:dyDescent="0.3">
      <c r="J107712"/>
    </row>
    <row r="107713" spans="10:10" x14ac:dyDescent="0.3">
      <c r="J107713"/>
    </row>
    <row r="107714" spans="10:10" x14ac:dyDescent="0.3">
      <c r="J107714"/>
    </row>
    <row r="107715" spans="10:10" x14ac:dyDescent="0.3">
      <c r="J107715"/>
    </row>
    <row r="107716" spans="10:10" x14ac:dyDescent="0.3">
      <c r="J107716"/>
    </row>
    <row r="107717" spans="10:10" x14ac:dyDescent="0.3">
      <c r="J107717"/>
    </row>
    <row r="107718" spans="10:10" x14ac:dyDescent="0.3">
      <c r="J107718"/>
    </row>
    <row r="107719" spans="10:10" x14ac:dyDescent="0.3">
      <c r="J107719"/>
    </row>
    <row r="107720" spans="10:10" x14ac:dyDescent="0.3">
      <c r="J107720"/>
    </row>
    <row r="107721" spans="10:10" x14ac:dyDescent="0.3">
      <c r="J107721"/>
    </row>
    <row r="107722" spans="10:10" x14ac:dyDescent="0.3">
      <c r="J107722"/>
    </row>
    <row r="107723" spans="10:10" x14ac:dyDescent="0.3">
      <c r="J107723"/>
    </row>
    <row r="107724" spans="10:10" x14ac:dyDescent="0.3">
      <c r="J107724"/>
    </row>
    <row r="107725" spans="10:10" x14ac:dyDescent="0.3">
      <c r="J107725"/>
    </row>
    <row r="107726" spans="10:10" x14ac:dyDescent="0.3">
      <c r="J107726"/>
    </row>
    <row r="107727" spans="10:10" x14ac:dyDescent="0.3">
      <c r="J107727"/>
    </row>
    <row r="107728" spans="10:10" x14ac:dyDescent="0.3">
      <c r="J107728"/>
    </row>
    <row r="107729" spans="10:10" x14ac:dyDescent="0.3">
      <c r="J107729"/>
    </row>
    <row r="107730" spans="10:10" x14ac:dyDescent="0.3">
      <c r="J107730"/>
    </row>
    <row r="107731" spans="10:10" x14ac:dyDescent="0.3">
      <c r="J107731"/>
    </row>
    <row r="107732" spans="10:10" x14ac:dyDescent="0.3">
      <c r="J107732"/>
    </row>
    <row r="107733" spans="10:10" x14ac:dyDescent="0.3">
      <c r="J107733"/>
    </row>
    <row r="107734" spans="10:10" x14ac:dyDescent="0.3">
      <c r="J107734"/>
    </row>
    <row r="107735" spans="10:10" x14ac:dyDescent="0.3">
      <c r="J107735"/>
    </row>
    <row r="107736" spans="10:10" x14ac:dyDescent="0.3">
      <c r="J107736"/>
    </row>
    <row r="107737" spans="10:10" x14ac:dyDescent="0.3">
      <c r="J107737"/>
    </row>
    <row r="107738" spans="10:10" x14ac:dyDescent="0.3">
      <c r="J107738"/>
    </row>
    <row r="107739" spans="10:10" x14ac:dyDescent="0.3">
      <c r="J107739"/>
    </row>
    <row r="107740" spans="10:10" x14ac:dyDescent="0.3">
      <c r="J107740"/>
    </row>
    <row r="107741" spans="10:10" x14ac:dyDescent="0.3">
      <c r="J107741"/>
    </row>
    <row r="107742" spans="10:10" x14ac:dyDescent="0.3">
      <c r="J107742"/>
    </row>
    <row r="107743" spans="10:10" x14ac:dyDescent="0.3">
      <c r="J107743"/>
    </row>
    <row r="107744" spans="10:10" x14ac:dyDescent="0.3">
      <c r="J107744"/>
    </row>
    <row r="107745" spans="10:10" x14ac:dyDescent="0.3">
      <c r="J107745"/>
    </row>
    <row r="107746" spans="10:10" x14ac:dyDescent="0.3">
      <c r="J107746"/>
    </row>
    <row r="107747" spans="10:10" x14ac:dyDescent="0.3">
      <c r="J107747"/>
    </row>
    <row r="107748" spans="10:10" x14ac:dyDescent="0.3">
      <c r="J107748"/>
    </row>
    <row r="107749" spans="10:10" x14ac:dyDescent="0.3">
      <c r="J107749"/>
    </row>
    <row r="107750" spans="10:10" x14ac:dyDescent="0.3">
      <c r="J107750"/>
    </row>
    <row r="107751" spans="10:10" x14ac:dyDescent="0.3">
      <c r="J107751"/>
    </row>
    <row r="107752" spans="10:10" x14ac:dyDescent="0.3">
      <c r="J107752"/>
    </row>
    <row r="107753" spans="10:10" x14ac:dyDescent="0.3">
      <c r="J107753"/>
    </row>
    <row r="107754" spans="10:10" x14ac:dyDescent="0.3">
      <c r="J107754"/>
    </row>
    <row r="107755" spans="10:10" x14ac:dyDescent="0.3">
      <c r="J107755"/>
    </row>
    <row r="107756" spans="10:10" x14ac:dyDescent="0.3">
      <c r="J107756"/>
    </row>
    <row r="107757" spans="10:10" x14ac:dyDescent="0.3">
      <c r="J107757"/>
    </row>
    <row r="107758" spans="10:10" x14ac:dyDescent="0.3">
      <c r="J107758"/>
    </row>
    <row r="107759" spans="10:10" x14ac:dyDescent="0.3">
      <c r="J107759"/>
    </row>
    <row r="107760" spans="10:10" x14ac:dyDescent="0.3">
      <c r="J107760"/>
    </row>
    <row r="107761" spans="10:10" x14ac:dyDescent="0.3">
      <c r="J107761"/>
    </row>
    <row r="107762" spans="10:10" x14ac:dyDescent="0.3">
      <c r="J107762"/>
    </row>
    <row r="107763" spans="10:10" x14ac:dyDescent="0.3">
      <c r="J107763"/>
    </row>
    <row r="107764" spans="10:10" x14ac:dyDescent="0.3">
      <c r="J107764"/>
    </row>
    <row r="107765" spans="10:10" x14ac:dyDescent="0.3">
      <c r="J107765"/>
    </row>
    <row r="107766" spans="10:10" x14ac:dyDescent="0.3">
      <c r="J107766"/>
    </row>
    <row r="107767" spans="10:10" x14ac:dyDescent="0.3">
      <c r="J107767"/>
    </row>
    <row r="107768" spans="10:10" x14ac:dyDescent="0.3">
      <c r="J107768"/>
    </row>
    <row r="107769" spans="10:10" x14ac:dyDescent="0.3">
      <c r="J107769"/>
    </row>
    <row r="107770" spans="10:10" x14ac:dyDescent="0.3">
      <c r="J107770"/>
    </row>
    <row r="107771" spans="10:10" x14ac:dyDescent="0.3">
      <c r="J107771"/>
    </row>
    <row r="107772" spans="10:10" x14ac:dyDescent="0.3">
      <c r="J107772"/>
    </row>
    <row r="107773" spans="10:10" x14ac:dyDescent="0.3">
      <c r="J107773"/>
    </row>
    <row r="107774" spans="10:10" x14ac:dyDescent="0.3">
      <c r="J107774"/>
    </row>
    <row r="107775" spans="10:10" x14ac:dyDescent="0.3">
      <c r="J107775"/>
    </row>
    <row r="107776" spans="10:10" x14ac:dyDescent="0.3">
      <c r="J107776"/>
    </row>
    <row r="107777" spans="10:10" x14ac:dyDescent="0.3">
      <c r="J107777"/>
    </row>
    <row r="107778" spans="10:10" x14ac:dyDescent="0.3">
      <c r="J107778"/>
    </row>
    <row r="107779" spans="10:10" x14ac:dyDescent="0.3">
      <c r="J107779"/>
    </row>
    <row r="107780" spans="10:10" x14ac:dyDescent="0.3">
      <c r="J107780"/>
    </row>
    <row r="107781" spans="10:10" x14ac:dyDescent="0.3">
      <c r="J107781"/>
    </row>
    <row r="107782" spans="10:10" x14ac:dyDescent="0.3">
      <c r="J107782"/>
    </row>
    <row r="107783" spans="10:10" x14ac:dyDescent="0.3">
      <c r="J107783"/>
    </row>
    <row r="107784" spans="10:10" x14ac:dyDescent="0.3">
      <c r="J107784"/>
    </row>
    <row r="107785" spans="10:10" x14ac:dyDescent="0.3">
      <c r="J107785"/>
    </row>
    <row r="107786" spans="10:10" x14ac:dyDescent="0.3">
      <c r="J107786"/>
    </row>
    <row r="107787" spans="10:10" x14ac:dyDescent="0.3">
      <c r="J107787"/>
    </row>
    <row r="107788" spans="10:10" x14ac:dyDescent="0.3">
      <c r="J107788"/>
    </row>
    <row r="107789" spans="10:10" x14ac:dyDescent="0.3">
      <c r="J107789"/>
    </row>
    <row r="107790" spans="10:10" x14ac:dyDescent="0.3">
      <c r="J107790"/>
    </row>
    <row r="107791" spans="10:10" x14ac:dyDescent="0.3">
      <c r="J107791"/>
    </row>
    <row r="107792" spans="10:10" x14ac:dyDescent="0.3">
      <c r="J107792"/>
    </row>
    <row r="107793" spans="10:10" x14ac:dyDescent="0.3">
      <c r="J107793"/>
    </row>
    <row r="107794" spans="10:10" x14ac:dyDescent="0.3">
      <c r="J107794"/>
    </row>
    <row r="107795" spans="10:10" x14ac:dyDescent="0.3">
      <c r="J107795"/>
    </row>
    <row r="107796" spans="10:10" x14ac:dyDescent="0.3">
      <c r="J107796"/>
    </row>
    <row r="107797" spans="10:10" x14ac:dyDescent="0.3">
      <c r="J107797"/>
    </row>
    <row r="107798" spans="10:10" x14ac:dyDescent="0.3">
      <c r="J107798"/>
    </row>
    <row r="107799" spans="10:10" x14ac:dyDescent="0.3">
      <c r="J107799"/>
    </row>
    <row r="107800" spans="10:10" x14ac:dyDescent="0.3">
      <c r="J107800"/>
    </row>
    <row r="107801" spans="10:10" x14ac:dyDescent="0.3">
      <c r="J107801"/>
    </row>
    <row r="107802" spans="10:10" x14ac:dyDescent="0.3">
      <c r="J107802"/>
    </row>
    <row r="107803" spans="10:10" x14ac:dyDescent="0.3">
      <c r="J107803"/>
    </row>
    <row r="107804" spans="10:10" x14ac:dyDescent="0.3">
      <c r="J107804"/>
    </row>
    <row r="107805" spans="10:10" x14ac:dyDescent="0.3">
      <c r="J107805"/>
    </row>
    <row r="107806" spans="10:10" x14ac:dyDescent="0.3">
      <c r="J107806"/>
    </row>
    <row r="107807" spans="10:10" x14ac:dyDescent="0.3">
      <c r="J107807"/>
    </row>
    <row r="107808" spans="10:10" x14ac:dyDescent="0.3">
      <c r="J107808"/>
    </row>
    <row r="107809" spans="10:10" x14ac:dyDescent="0.3">
      <c r="J107809"/>
    </row>
    <row r="107810" spans="10:10" x14ac:dyDescent="0.3">
      <c r="J107810"/>
    </row>
    <row r="107811" spans="10:10" x14ac:dyDescent="0.3">
      <c r="J107811"/>
    </row>
    <row r="107812" spans="10:10" x14ac:dyDescent="0.3">
      <c r="J107812"/>
    </row>
    <row r="107813" spans="10:10" x14ac:dyDescent="0.3">
      <c r="J107813"/>
    </row>
    <row r="107814" spans="10:10" x14ac:dyDescent="0.3">
      <c r="J107814"/>
    </row>
    <row r="107815" spans="10:10" x14ac:dyDescent="0.3">
      <c r="J107815"/>
    </row>
    <row r="107816" spans="10:10" x14ac:dyDescent="0.3">
      <c r="J107816"/>
    </row>
    <row r="107817" spans="10:10" x14ac:dyDescent="0.3">
      <c r="J107817"/>
    </row>
    <row r="107818" spans="10:10" x14ac:dyDescent="0.3">
      <c r="J107818"/>
    </row>
    <row r="107819" spans="10:10" x14ac:dyDescent="0.3">
      <c r="J107819"/>
    </row>
    <row r="107820" spans="10:10" x14ac:dyDescent="0.3">
      <c r="J107820"/>
    </row>
    <row r="107821" spans="10:10" x14ac:dyDescent="0.3">
      <c r="J107821"/>
    </row>
    <row r="107822" spans="10:10" x14ac:dyDescent="0.3">
      <c r="J107822"/>
    </row>
    <row r="107823" spans="10:10" x14ac:dyDescent="0.3">
      <c r="J107823"/>
    </row>
    <row r="107824" spans="10:10" x14ac:dyDescent="0.3">
      <c r="J107824"/>
    </row>
    <row r="107825" spans="10:10" x14ac:dyDescent="0.3">
      <c r="J107825"/>
    </row>
    <row r="107826" spans="10:10" x14ac:dyDescent="0.3">
      <c r="J107826"/>
    </row>
    <row r="107827" spans="10:10" x14ac:dyDescent="0.3">
      <c r="J107827"/>
    </row>
    <row r="107828" spans="10:10" x14ac:dyDescent="0.3">
      <c r="J107828"/>
    </row>
    <row r="107829" spans="10:10" x14ac:dyDescent="0.3">
      <c r="J107829"/>
    </row>
    <row r="107830" spans="10:10" x14ac:dyDescent="0.3">
      <c r="J107830"/>
    </row>
    <row r="107831" spans="10:10" x14ac:dyDescent="0.3">
      <c r="J107831"/>
    </row>
    <row r="107832" spans="10:10" x14ac:dyDescent="0.3">
      <c r="J107832"/>
    </row>
    <row r="107833" spans="10:10" x14ac:dyDescent="0.3">
      <c r="J107833"/>
    </row>
    <row r="107834" spans="10:10" x14ac:dyDescent="0.3">
      <c r="J107834"/>
    </row>
    <row r="107835" spans="10:10" x14ac:dyDescent="0.3">
      <c r="J107835"/>
    </row>
    <row r="107836" spans="10:10" x14ac:dyDescent="0.3">
      <c r="J107836"/>
    </row>
    <row r="107837" spans="10:10" x14ac:dyDescent="0.3">
      <c r="J107837"/>
    </row>
    <row r="107838" spans="10:10" x14ac:dyDescent="0.3">
      <c r="J107838"/>
    </row>
    <row r="107839" spans="10:10" x14ac:dyDescent="0.3">
      <c r="J107839"/>
    </row>
    <row r="107840" spans="10:10" x14ac:dyDescent="0.3">
      <c r="J107840"/>
    </row>
    <row r="107841" spans="10:10" x14ac:dyDescent="0.3">
      <c r="J107841"/>
    </row>
    <row r="107842" spans="10:10" x14ac:dyDescent="0.3">
      <c r="J107842"/>
    </row>
    <row r="107843" spans="10:10" x14ac:dyDescent="0.3">
      <c r="J107843"/>
    </row>
    <row r="107844" spans="10:10" x14ac:dyDescent="0.3">
      <c r="J107844"/>
    </row>
    <row r="107845" spans="10:10" x14ac:dyDescent="0.3">
      <c r="J107845"/>
    </row>
    <row r="107846" spans="10:10" x14ac:dyDescent="0.3">
      <c r="J107846"/>
    </row>
    <row r="107847" spans="10:10" x14ac:dyDescent="0.3">
      <c r="J107847"/>
    </row>
    <row r="107848" spans="10:10" x14ac:dyDescent="0.3">
      <c r="J107848"/>
    </row>
    <row r="107849" spans="10:10" x14ac:dyDescent="0.3">
      <c r="J107849"/>
    </row>
    <row r="107850" spans="10:10" x14ac:dyDescent="0.3">
      <c r="J107850"/>
    </row>
    <row r="107851" spans="10:10" x14ac:dyDescent="0.3">
      <c r="J107851"/>
    </row>
    <row r="107852" spans="10:10" x14ac:dyDescent="0.3">
      <c r="J107852"/>
    </row>
    <row r="107853" spans="10:10" x14ac:dyDescent="0.3">
      <c r="J107853"/>
    </row>
    <row r="107854" spans="10:10" x14ac:dyDescent="0.3">
      <c r="J107854"/>
    </row>
    <row r="107855" spans="10:10" x14ac:dyDescent="0.3">
      <c r="J107855"/>
    </row>
    <row r="107856" spans="10:10" x14ac:dyDescent="0.3">
      <c r="J107856"/>
    </row>
    <row r="107857" spans="10:10" x14ac:dyDescent="0.3">
      <c r="J107857"/>
    </row>
    <row r="107858" spans="10:10" x14ac:dyDescent="0.3">
      <c r="J107858"/>
    </row>
    <row r="107859" spans="10:10" x14ac:dyDescent="0.3">
      <c r="J107859"/>
    </row>
    <row r="107860" spans="10:10" x14ac:dyDescent="0.3">
      <c r="J107860"/>
    </row>
    <row r="107861" spans="10:10" x14ac:dyDescent="0.3">
      <c r="J107861"/>
    </row>
    <row r="107862" spans="10:10" x14ac:dyDescent="0.3">
      <c r="J107862"/>
    </row>
    <row r="107863" spans="10:10" x14ac:dyDescent="0.3">
      <c r="J107863"/>
    </row>
    <row r="107864" spans="10:10" x14ac:dyDescent="0.3">
      <c r="J107864"/>
    </row>
    <row r="107865" spans="10:10" x14ac:dyDescent="0.3">
      <c r="J107865"/>
    </row>
    <row r="107866" spans="10:10" x14ac:dyDescent="0.3">
      <c r="J107866"/>
    </row>
    <row r="107867" spans="10:10" x14ac:dyDescent="0.3">
      <c r="J107867"/>
    </row>
    <row r="107868" spans="10:10" x14ac:dyDescent="0.3">
      <c r="J107868"/>
    </row>
    <row r="107869" spans="10:10" x14ac:dyDescent="0.3">
      <c r="J107869"/>
    </row>
    <row r="107870" spans="10:10" x14ac:dyDescent="0.3">
      <c r="J107870"/>
    </row>
    <row r="107871" spans="10:10" x14ac:dyDescent="0.3">
      <c r="J107871"/>
    </row>
    <row r="107872" spans="10:10" x14ac:dyDescent="0.3">
      <c r="J107872"/>
    </row>
    <row r="107873" spans="10:10" x14ac:dyDescent="0.3">
      <c r="J107873"/>
    </row>
    <row r="107874" spans="10:10" x14ac:dyDescent="0.3">
      <c r="J107874"/>
    </row>
    <row r="107875" spans="10:10" x14ac:dyDescent="0.3">
      <c r="J107875"/>
    </row>
    <row r="107876" spans="10:10" x14ac:dyDescent="0.3">
      <c r="J107876"/>
    </row>
    <row r="107877" spans="10:10" x14ac:dyDescent="0.3">
      <c r="J107877"/>
    </row>
    <row r="107878" spans="10:10" x14ac:dyDescent="0.3">
      <c r="J107878"/>
    </row>
    <row r="107879" spans="10:10" x14ac:dyDescent="0.3">
      <c r="J107879"/>
    </row>
    <row r="107880" spans="10:10" x14ac:dyDescent="0.3">
      <c r="J107880"/>
    </row>
    <row r="107881" spans="10:10" x14ac:dyDescent="0.3">
      <c r="J107881"/>
    </row>
    <row r="107882" spans="10:10" x14ac:dyDescent="0.3">
      <c r="J107882"/>
    </row>
    <row r="107883" spans="10:10" x14ac:dyDescent="0.3">
      <c r="J107883"/>
    </row>
    <row r="107884" spans="10:10" x14ac:dyDescent="0.3">
      <c r="J107884"/>
    </row>
    <row r="107885" spans="10:10" x14ac:dyDescent="0.3">
      <c r="J107885"/>
    </row>
    <row r="107886" spans="10:10" x14ac:dyDescent="0.3">
      <c r="J107886"/>
    </row>
    <row r="107887" spans="10:10" x14ac:dyDescent="0.3">
      <c r="J107887"/>
    </row>
    <row r="107888" spans="10:10" x14ac:dyDescent="0.3">
      <c r="J107888"/>
    </row>
    <row r="107889" spans="10:10" x14ac:dyDescent="0.3">
      <c r="J107889"/>
    </row>
    <row r="107890" spans="10:10" x14ac:dyDescent="0.3">
      <c r="J107890"/>
    </row>
    <row r="107891" spans="10:10" x14ac:dyDescent="0.3">
      <c r="J107891"/>
    </row>
    <row r="107892" spans="10:10" x14ac:dyDescent="0.3">
      <c r="J107892"/>
    </row>
    <row r="107893" spans="10:10" x14ac:dyDescent="0.3">
      <c r="J107893"/>
    </row>
    <row r="107894" spans="10:10" x14ac:dyDescent="0.3">
      <c r="J107894"/>
    </row>
    <row r="107895" spans="10:10" x14ac:dyDescent="0.3">
      <c r="J107895"/>
    </row>
    <row r="107896" spans="10:10" x14ac:dyDescent="0.3">
      <c r="J107896"/>
    </row>
    <row r="107897" spans="10:10" x14ac:dyDescent="0.3">
      <c r="J107897"/>
    </row>
    <row r="107898" spans="10:10" x14ac:dyDescent="0.3">
      <c r="J107898"/>
    </row>
    <row r="107899" spans="10:10" x14ac:dyDescent="0.3">
      <c r="J107899"/>
    </row>
    <row r="107900" spans="10:10" x14ac:dyDescent="0.3">
      <c r="J107900"/>
    </row>
    <row r="107901" spans="10:10" x14ac:dyDescent="0.3">
      <c r="J107901"/>
    </row>
    <row r="107902" spans="10:10" x14ac:dyDescent="0.3">
      <c r="J107902"/>
    </row>
    <row r="107903" spans="10:10" x14ac:dyDescent="0.3">
      <c r="J107903"/>
    </row>
    <row r="107904" spans="10:10" x14ac:dyDescent="0.3">
      <c r="J107904"/>
    </row>
    <row r="107905" spans="10:10" x14ac:dyDescent="0.3">
      <c r="J107905"/>
    </row>
    <row r="107906" spans="10:10" x14ac:dyDescent="0.3">
      <c r="J107906"/>
    </row>
    <row r="107907" spans="10:10" x14ac:dyDescent="0.3">
      <c r="J107907"/>
    </row>
    <row r="107908" spans="10:10" x14ac:dyDescent="0.3">
      <c r="J107908"/>
    </row>
    <row r="107909" spans="10:10" x14ac:dyDescent="0.3">
      <c r="J107909"/>
    </row>
    <row r="107910" spans="10:10" x14ac:dyDescent="0.3">
      <c r="J107910"/>
    </row>
    <row r="107911" spans="10:10" x14ac:dyDescent="0.3">
      <c r="J107911"/>
    </row>
    <row r="107912" spans="10:10" x14ac:dyDescent="0.3">
      <c r="J107912"/>
    </row>
    <row r="107913" spans="10:10" x14ac:dyDescent="0.3">
      <c r="J107913"/>
    </row>
    <row r="107914" spans="10:10" x14ac:dyDescent="0.3">
      <c r="J107914"/>
    </row>
    <row r="107915" spans="10:10" x14ac:dyDescent="0.3">
      <c r="J107915"/>
    </row>
    <row r="107916" spans="10:10" x14ac:dyDescent="0.3">
      <c r="J107916"/>
    </row>
    <row r="107917" spans="10:10" x14ac:dyDescent="0.3">
      <c r="J107917"/>
    </row>
    <row r="107918" spans="10:10" x14ac:dyDescent="0.3">
      <c r="J107918"/>
    </row>
    <row r="107919" spans="10:10" x14ac:dyDescent="0.3">
      <c r="J107919"/>
    </row>
    <row r="107920" spans="10:10" x14ac:dyDescent="0.3">
      <c r="J107920"/>
    </row>
    <row r="107921" spans="10:10" x14ac:dyDescent="0.3">
      <c r="J107921"/>
    </row>
    <row r="107922" spans="10:10" x14ac:dyDescent="0.3">
      <c r="J107922"/>
    </row>
    <row r="107923" spans="10:10" x14ac:dyDescent="0.3">
      <c r="J107923"/>
    </row>
    <row r="107924" spans="10:10" x14ac:dyDescent="0.3">
      <c r="J107924"/>
    </row>
    <row r="107925" spans="10:10" x14ac:dyDescent="0.3">
      <c r="J107925"/>
    </row>
    <row r="107926" spans="10:10" x14ac:dyDescent="0.3">
      <c r="J107926"/>
    </row>
    <row r="107927" spans="10:10" x14ac:dyDescent="0.3">
      <c r="J107927"/>
    </row>
    <row r="107928" spans="10:10" x14ac:dyDescent="0.3">
      <c r="J107928"/>
    </row>
    <row r="107929" spans="10:10" x14ac:dyDescent="0.3">
      <c r="J107929"/>
    </row>
    <row r="107930" spans="10:10" x14ac:dyDescent="0.3">
      <c r="J107930"/>
    </row>
    <row r="107931" spans="10:10" x14ac:dyDescent="0.3">
      <c r="J107931"/>
    </row>
    <row r="107932" spans="10:10" x14ac:dyDescent="0.3">
      <c r="J107932"/>
    </row>
    <row r="107933" spans="10:10" x14ac:dyDescent="0.3">
      <c r="J107933"/>
    </row>
    <row r="107934" spans="10:10" x14ac:dyDescent="0.3">
      <c r="J107934"/>
    </row>
    <row r="107935" spans="10:10" x14ac:dyDescent="0.3">
      <c r="J107935"/>
    </row>
    <row r="107936" spans="10:10" x14ac:dyDescent="0.3">
      <c r="J107936"/>
    </row>
    <row r="107937" spans="10:10" x14ac:dyDescent="0.3">
      <c r="J107937"/>
    </row>
    <row r="107938" spans="10:10" x14ac:dyDescent="0.3">
      <c r="J107938"/>
    </row>
    <row r="107939" spans="10:10" x14ac:dyDescent="0.3">
      <c r="J107939"/>
    </row>
    <row r="107940" spans="10:10" x14ac:dyDescent="0.3">
      <c r="J107940"/>
    </row>
    <row r="107941" spans="10:10" x14ac:dyDescent="0.3">
      <c r="J107941"/>
    </row>
    <row r="107942" spans="10:10" x14ac:dyDescent="0.3">
      <c r="J107942"/>
    </row>
    <row r="107943" spans="10:10" x14ac:dyDescent="0.3">
      <c r="J107943"/>
    </row>
    <row r="107944" spans="10:10" x14ac:dyDescent="0.3">
      <c r="J107944"/>
    </row>
    <row r="107945" spans="10:10" x14ac:dyDescent="0.3">
      <c r="J107945"/>
    </row>
    <row r="107946" spans="10:10" x14ac:dyDescent="0.3">
      <c r="J107946"/>
    </row>
    <row r="107947" spans="10:10" x14ac:dyDescent="0.3">
      <c r="J107947"/>
    </row>
    <row r="107948" spans="10:10" x14ac:dyDescent="0.3">
      <c r="J107948"/>
    </row>
    <row r="107949" spans="10:10" x14ac:dyDescent="0.3">
      <c r="J107949"/>
    </row>
    <row r="107950" spans="10:10" x14ac:dyDescent="0.3">
      <c r="J107950"/>
    </row>
    <row r="107951" spans="10:10" x14ac:dyDescent="0.3">
      <c r="J107951"/>
    </row>
    <row r="107952" spans="10:10" x14ac:dyDescent="0.3">
      <c r="J107952"/>
    </row>
    <row r="107953" spans="10:10" x14ac:dyDescent="0.3">
      <c r="J107953"/>
    </row>
    <row r="107954" spans="10:10" x14ac:dyDescent="0.3">
      <c r="J107954"/>
    </row>
    <row r="107955" spans="10:10" x14ac:dyDescent="0.3">
      <c r="J107955"/>
    </row>
    <row r="107956" spans="10:10" x14ac:dyDescent="0.3">
      <c r="J107956"/>
    </row>
    <row r="107957" spans="10:10" x14ac:dyDescent="0.3">
      <c r="J107957"/>
    </row>
    <row r="107958" spans="10:10" x14ac:dyDescent="0.3">
      <c r="J107958"/>
    </row>
    <row r="107959" spans="10:10" x14ac:dyDescent="0.3">
      <c r="J107959"/>
    </row>
    <row r="107960" spans="10:10" x14ac:dyDescent="0.3">
      <c r="J107960"/>
    </row>
    <row r="107961" spans="10:10" x14ac:dyDescent="0.3">
      <c r="J107961"/>
    </row>
    <row r="107962" spans="10:10" x14ac:dyDescent="0.3">
      <c r="J107962"/>
    </row>
    <row r="107963" spans="10:10" x14ac:dyDescent="0.3">
      <c r="J107963"/>
    </row>
    <row r="107964" spans="10:10" x14ac:dyDescent="0.3">
      <c r="J107964"/>
    </row>
    <row r="107965" spans="10:10" x14ac:dyDescent="0.3">
      <c r="J107965"/>
    </row>
    <row r="107966" spans="10:10" x14ac:dyDescent="0.3">
      <c r="J107966"/>
    </row>
    <row r="107967" spans="10:10" x14ac:dyDescent="0.3">
      <c r="J107967"/>
    </row>
    <row r="107968" spans="10:10" x14ac:dyDescent="0.3">
      <c r="J107968"/>
    </row>
    <row r="107969" spans="10:10" x14ac:dyDescent="0.3">
      <c r="J107969"/>
    </row>
    <row r="107970" spans="10:10" x14ac:dyDescent="0.3">
      <c r="J107970"/>
    </row>
    <row r="107971" spans="10:10" x14ac:dyDescent="0.3">
      <c r="J107971"/>
    </row>
    <row r="107972" spans="10:10" x14ac:dyDescent="0.3">
      <c r="J107972"/>
    </row>
    <row r="107973" spans="10:10" x14ac:dyDescent="0.3">
      <c r="J107973"/>
    </row>
    <row r="107974" spans="10:10" x14ac:dyDescent="0.3">
      <c r="J107974"/>
    </row>
    <row r="107975" spans="10:10" x14ac:dyDescent="0.3">
      <c r="J107975"/>
    </row>
    <row r="107976" spans="10:10" x14ac:dyDescent="0.3">
      <c r="J107976"/>
    </row>
    <row r="107977" spans="10:10" x14ac:dyDescent="0.3">
      <c r="J107977"/>
    </row>
    <row r="107978" spans="10:10" x14ac:dyDescent="0.3">
      <c r="J107978"/>
    </row>
    <row r="107979" spans="10:10" x14ac:dyDescent="0.3">
      <c r="J107979"/>
    </row>
    <row r="107980" spans="10:10" x14ac:dyDescent="0.3">
      <c r="J107980"/>
    </row>
    <row r="107981" spans="10:10" x14ac:dyDescent="0.3">
      <c r="J107981"/>
    </row>
    <row r="107982" spans="10:10" x14ac:dyDescent="0.3">
      <c r="J107982"/>
    </row>
    <row r="107983" spans="10:10" x14ac:dyDescent="0.3">
      <c r="J107983"/>
    </row>
    <row r="107984" spans="10:10" x14ac:dyDescent="0.3">
      <c r="J107984"/>
    </row>
    <row r="107985" spans="10:10" x14ac:dyDescent="0.3">
      <c r="J107985"/>
    </row>
    <row r="107986" spans="10:10" x14ac:dyDescent="0.3">
      <c r="J107986"/>
    </row>
    <row r="107987" spans="10:10" x14ac:dyDescent="0.3">
      <c r="J107987"/>
    </row>
    <row r="107988" spans="10:10" x14ac:dyDescent="0.3">
      <c r="J107988"/>
    </row>
    <row r="107989" spans="10:10" x14ac:dyDescent="0.3">
      <c r="J107989"/>
    </row>
    <row r="107990" spans="10:10" x14ac:dyDescent="0.3">
      <c r="J107990"/>
    </row>
    <row r="107991" spans="10:10" x14ac:dyDescent="0.3">
      <c r="J107991"/>
    </row>
    <row r="107992" spans="10:10" x14ac:dyDescent="0.3">
      <c r="J107992"/>
    </row>
    <row r="107993" spans="10:10" x14ac:dyDescent="0.3">
      <c r="J107993"/>
    </row>
    <row r="107994" spans="10:10" x14ac:dyDescent="0.3">
      <c r="J107994"/>
    </row>
    <row r="107995" spans="10:10" x14ac:dyDescent="0.3">
      <c r="J107995"/>
    </row>
    <row r="107996" spans="10:10" x14ac:dyDescent="0.3">
      <c r="J107996"/>
    </row>
    <row r="107997" spans="10:10" x14ac:dyDescent="0.3">
      <c r="J107997"/>
    </row>
    <row r="107998" spans="10:10" x14ac:dyDescent="0.3">
      <c r="J107998"/>
    </row>
    <row r="107999" spans="10:10" x14ac:dyDescent="0.3">
      <c r="J107999"/>
    </row>
    <row r="108000" spans="10:10" x14ac:dyDescent="0.3">
      <c r="J108000"/>
    </row>
    <row r="108001" spans="10:10" x14ac:dyDescent="0.3">
      <c r="J108001"/>
    </row>
    <row r="108002" spans="10:10" x14ac:dyDescent="0.3">
      <c r="J108002"/>
    </row>
    <row r="108003" spans="10:10" x14ac:dyDescent="0.3">
      <c r="J108003"/>
    </row>
    <row r="108004" spans="10:10" x14ac:dyDescent="0.3">
      <c r="J108004"/>
    </row>
    <row r="108005" spans="10:10" x14ac:dyDescent="0.3">
      <c r="J108005"/>
    </row>
    <row r="108006" spans="10:10" x14ac:dyDescent="0.3">
      <c r="J108006"/>
    </row>
    <row r="108007" spans="10:10" x14ac:dyDescent="0.3">
      <c r="J108007"/>
    </row>
    <row r="108008" spans="10:10" x14ac:dyDescent="0.3">
      <c r="J108008"/>
    </row>
    <row r="108009" spans="10:10" x14ac:dyDescent="0.3">
      <c r="J108009"/>
    </row>
    <row r="108010" spans="10:10" x14ac:dyDescent="0.3">
      <c r="J108010"/>
    </row>
    <row r="108011" spans="10:10" x14ac:dyDescent="0.3">
      <c r="J108011"/>
    </row>
    <row r="108012" spans="10:10" x14ac:dyDescent="0.3">
      <c r="J108012"/>
    </row>
    <row r="108013" spans="10:10" x14ac:dyDescent="0.3">
      <c r="J108013"/>
    </row>
    <row r="108014" spans="10:10" x14ac:dyDescent="0.3">
      <c r="J108014"/>
    </row>
    <row r="108015" spans="10:10" x14ac:dyDescent="0.3">
      <c r="J108015"/>
    </row>
    <row r="108016" spans="10:10" x14ac:dyDescent="0.3">
      <c r="J108016"/>
    </row>
    <row r="108017" spans="10:10" x14ac:dyDescent="0.3">
      <c r="J108017"/>
    </row>
    <row r="108018" spans="10:10" x14ac:dyDescent="0.3">
      <c r="J108018"/>
    </row>
    <row r="108019" spans="10:10" x14ac:dyDescent="0.3">
      <c r="J108019"/>
    </row>
    <row r="108020" spans="10:10" x14ac:dyDescent="0.3">
      <c r="J108020"/>
    </row>
    <row r="108021" spans="10:10" x14ac:dyDescent="0.3">
      <c r="J108021"/>
    </row>
    <row r="108022" spans="10:10" x14ac:dyDescent="0.3">
      <c r="J108022"/>
    </row>
    <row r="108023" spans="10:10" x14ac:dyDescent="0.3">
      <c r="J108023"/>
    </row>
    <row r="108024" spans="10:10" x14ac:dyDescent="0.3">
      <c r="J108024"/>
    </row>
    <row r="108025" spans="10:10" x14ac:dyDescent="0.3">
      <c r="J108025"/>
    </row>
    <row r="108026" spans="10:10" x14ac:dyDescent="0.3">
      <c r="J108026"/>
    </row>
    <row r="108027" spans="10:10" x14ac:dyDescent="0.3">
      <c r="J108027"/>
    </row>
    <row r="108028" spans="10:10" x14ac:dyDescent="0.3">
      <c r="J108028"/>
    </row>
    <row r="108029" spans="10:10" x14ac:dyDescent="0.3">
      <c r="J108029"/>
    </row>
    <row r="108030" spans="10:10" x14ac:dyDescent="0.3">
      <c r="J108030"/>
    </row>
    <row r="108031" spans="10:10" x14ac:dyDescent="0.3">
      <c r="J108031"/>
    </row>
    <row r="108032" spans="10:10" x14ac:dyDescent="0.3">
      <c r="J108032"/>
    </row>
    <row r="108033" spans="10:10" x14ac:dyDescent="0.3">
      <c r="J108033"/>
    </row>
    <row r="108034" spans="10:10" x14ac:dyDescent="0.3">
      <c r="J108034"/>
    </row>
    <row r="108035" spans="10:10" x14ac:dyDescent="0.3">
      <c r="J108035"/>
    </row>
    <row r="108036" spans="10:10" x14ac:dyDescent="0.3">
      <c r="J108036"/>
    </row>
    <row r="108037" spans="10:10" x14ac:dyDescent="0.3">
      <c r="J108037"/>
    </row>
    <row r="108038" spans="10:10" x14ac:dyDescent="0.3">
      <c r="J108038"/>
    </row>
    <row r="108039" spans="10:10" x14ac:dyDescent="0.3">
      <c r="J108039"/>
    </row>
    <row r="108040" spans="10:10" x14ac:dyDescent="0.3">
      <c r="J108040"/>
    </row>
    <row r="108041" spans="10:10" x14ac:dyDescent="0.3">
      <c r="J108041"/>
    </row>
    <row r="108042" spans="10:10" x14ac:dyDescent="0.3">
      <c r="J108042"/>
    </row>
    <row r="108043" spans="10:10" x14ac:dyDescent="0.3">
      <c r="J108043"/>
    </row>
    <row r="108044" spans="10:10" x14ac:dyDescent="0.3">
      <c r="J108044"/>
    </row>
    <row r="108045" spans="10:10" x14ac:dyDescent="0.3">
      <c r="J108045"/>
    </row>
    <row r="108046" spans="10:10" x14ac:dyDescent="0.3">
      <c r="J108046"/>
    </row>
    <row r="108047" spans="10:10" x14ac:dyDescent="0.3">
      <c r="J108047"/>
    </row>
    <row r="108048" spans="10:10" x14ac:dyDescent="0.3">
      <c r="J108048"/>
    </row>
    <row r="108049" spans="10:10" x14ac:dyDescent="0.3">
      <c r="J108049"/>
    </row>
    <row r="108050" spans="10:10" x14ac:dyDescent="0.3">
      <c r="J108050"/>
    </row>
    <row r="108051" spans="10:10" x14ac:dyDescent="0.3">
      <c r="J108051"/>
    </row>
    <row r="108052" spans="10:10" x14ac:dyDescent="0.3">
      <c r="J108052"/>
    </row>
    <row r="108053" spans="10:10" x14ac:dyDescent="0.3">
      <c r="J108053"/>
    </row>
    <row r="108054" spans="10:10" x14ac:dyDescent="0.3">
      <c r="J108054"/>
    </row>
    <row r="108055" spans="10:10" x14ac:dyDescent="0.3">
      <c r="J108055"/>
    </row>
    <row r="108056" spans="10:10" x14ac:dyDescent="0.3">
      <c r="J108056"/>
    </row>
    <row r="108057" spans="10:10" x14ac:dyDescent="0.3">
      <c r="J108057"/>
    </row>
    <row r="108058" spans="10:10" x14ac:dyDescent="0.3">
      <c r="J108058"/>
    </row>
    <row r="108059" spans="10:10" x14ac:dyDescent="0.3">
      <c r="J108059"/>
    </row>
    <row r="108060" spans="10:10" x14ac:dyDescent="0.3">
      <c r="J108060"/>
    </row>
    <row r="108061" spans="10:10" x14ac:dyDescent="0.3">
      <c r="J108061"/>
    </row>
    <row r="108062" spans="10:10" x14ac:dyDescent="0.3">
      <c r="J108062"/>
    </row>
    <row r="108063" spans="10:10" x14ac:dyDescent="0.3">
      <c r="J108063"/>
    </row>
    <row r="108064" spans="10:10" x14ac:dyDescent="0.3">
      <c r="J108064"/>
    </row>
    <row r="108065" spans="10:10" x14ac:dyDescent="0.3">
      <c r="J108065"/>
    </row>
    <row r="108066" spans="10:10" x14ac:dyDescent="0.3">
      <c r="J108066"/>
    </row>
    <row r="108067" spans="10:10" x14ac:dyDescent="0.3">
      <c r="J108067"/>
    </row>
    <row r="108068" spans="10:10" x14ac:dyDescent="0.3">
      <c r="J108068"/>
    </row>
    <row r="108069" spans="10:10" x14ac:dyDescent="0.3">
      <c r="J108069"/>
    </row>
    <row r="108070" spans="10:10" x14ac:dyDescent="0.3">
      <c r="J108070"/>
    </row>
    <row r="108071" spans="10:10" x14ac:dyDescent="0.3">
      <c r="J108071"/>
    </row>
    <row r="108072" spans="10:10" x14ac:dyDescent="0.3">
      <c r="J108072"/>
    </row>
    <row r="108073" spans="10:10" x14ac:dyDescent="0.3">
      <c r="J108073"/>
    </row>
    <row r="108074" spans="10:10" x14ac:dyDescent="0.3">
      <c r="J108074"/>
    </row>
    <row r="108075" spans="10:10" x14ac:dyDescent="0.3">
      <c r="J108075"/>
    </row>
    <row r="108076" spans="10:10" x14ac:dyDescent="0.3">
      <c r="J108076"/>
    </row>
    <row r="108077" spans="10:10" x14ac:dyDescent="0.3">
      <c r="J108077"/>
    </row>
    <row r="108078" spans="10:10" x14ac:dyDescent="0.3">
      <c r="J108078"/>
    </row>
    <row r="108079" spans="10:10" x14ac:dyDescent="0.3">
      <c r="J108079"/>
    </row>
    <row r="108080" spans="10:10" x14ac:dyDescent="0.3">
      <c r="J108080"/>
    </row>
    <row r="108081" spans="10:10" x14ac:dyDescent="0.3">
      <c r="J108081"/>
    </row>
    <row r="108082" spans="10:10" x14ac:dyDescent="0.3">
      <c r="J108082"/>
    </row>
    <row r="108083" spans="10:10" x14ac:dyDescent="0.3">
      <c r="J108083"/>
    </row>
    <row r="108084" spans="10:10" x14ac:dyDescent="0.3">
      <c r="J108084"/>
    </row>
    <row r="108085" spans="10:10" x14ac:dyDescent="0.3">
      <c r="J108085"/>
    </row>
    <row r="108086" spans="10:10" x14ac:dyDescent="0.3">
      <c r="J108086"/>
    </row>
    <row r="108087" spans="10:10" x14ac:dyDescent="0.3">
      <c r="J108087"/>
    </row>
    <row r="108088" spans="10:10" x14ac:dyDescent="0.3">
      <c r="J108088"/>
    </row>
    <row r="108089" spans="10:10" x14ac:dyDescent="0.3">
      <c r="J108089"/>
    </row>
    <row r="108090" spans="10:10" x14ac:dyDescent="0.3">
      <c r="J108090"/>
    </row>
    <row r="108091" spans="10:10" x14ac:dyDescent="0.3">
      <c r="J108091"/>
    </row>
    <row r="108092" spans="10:10" x14ac:dyDescent="0.3">
      <c r="J108092"/>
    </row>
    <row r="108093" spans="10:10" x14ac:dyDescent="0.3">
      <c r="J108093"/>
    </row>
    <row r="108094" spans="10:10" x14ac:dyDescent="0.3">
      <c r="J108094"/>
    </row>
    <row r="108095" spans="10:10" x14ac:dyDescent="0.3">
      <c r="J108095"/>
    </row>
    <row r="108096" spans="10:10" x14ac:dyDescent="0.3">
      <c r="J108096"/>
    </row>
    <row r="108097" spans="10:10" x14ac:dyDescent="0.3">
      <c r="J108097"/>
    </row>
    <row r="108098" spans="10:10" x14ac:dyDescent="0.3">
      <c r="J108098"/>
    </row>
    <row r="108099" spans="10:10" x14ac:dyDescent="0.3">
      <c r="J108099"/>
    </row>
    <row r="108100" spans="10:10" x14ac:dyDescent="0.3">
      <c r="J108100"/>
    </row>
    <row r="108101" spans="10:10" x14ac:dyDescent="0.3">
      <c r="J108101"/>
    </row>
    <row r="108102" spans="10:10" x14ac:dyDescent="0.3">
      <c r="J108102"/>
    </row>
    <row r="108103" spans="10:10" x14ac:dyDescent="0.3">
      <c r="J108103"/>
    </row>
    <row r="108104" spans="10:10" x14ac:dyDescent="0.3">
      <c r="J108104"/>
    </row>
    <row r="108105" spans="10:10" x14ac:dyDescent="0.3">
      <c r="J108105"/>
    </row>
    <row r="108106" spans="10:10" x14ac:dyDescent="0.3">
      <c r="J108106"/>
    </row>
    <row r="108107" spans="10:10" x14ac:dyDescent="0.3">
      <c r="J108107"/>
    </row>
    <row r="108108" spans="10:10" x14ac:dyDescent="0.3">
      <c r="J108108"/>
    </row>
    <row r="108109" spans="10:10" x14ac:dyDescent="0.3">
      <c r="J108109"/>
    </row>
    <row r="108110" spans="10:10" x14ac:dyDescent="0.3">
      <c r="J108110"/>
    </row>
    <row r="108111" spans="10:10" x14ac:dyDescent="0.3">
      <c r="J108111"/>
    </row>
    <row r="108112" spans="10:10" x14ac:dyDescent="0.3">
      <c r="J108112"/>
    </row>
    <row r="108113" spans="10:10" x14ac:dyDescent="0.3">
      <c r="J108113"/>
    </row>
    <row r="108114" spans="10:10" x14ac:dyDescent="0.3">
      <c r="J108114"/>
    </row>
    <row r="108115" spans="10:10" x14ac:dyDescent="0.3">
      <c r="J108115"/>
    </row>
    <row r="108116" spans="10:10" x14ac:dyDescent="0.3">
      <c r="J108116"/>
    </row>
    <row r="108117" spans="10:10" x14ac:dyDescent="0.3">
      <c r="J108117"/>
    </row>
    <row r="108118" spans="10:10" x14ac:dyDescent="0.3">
      <c r="J108118"/>
    </row>
    <row r="108119" spans="10:10" x14ac:dyDescent="0.3">
      <c r="J108119"/>
    </row>
    <row r="108120" spans="10:10" x14ac:dyDescent="0.3">
      <c r="J108120"/>
    </row>
    <row r="108121" spans="10:10" x14ac:dyDescent="0.3">
      <c r="J108121"/>
    </row>
    <row r="108122" spans="10:10" x14ac:dyDescent="0.3">
      <c r="J108122"/>
    </row>
    <row r="108123" spans="10:10" x14ac:dyDescent="0.3">
      <c r="J108123"/>
    </row>
    <row r="108124" spans="10:10" x14ac:dyDescent="0.3">
      <c r="J108124"/>
    </row>
    <row r="108125" spans="10:10" x14ac:dyDescent="0.3">
      <c r="J108125"/>
    </row>
    <row r="108126" spans="10:10" x14ac:dyDescent="0.3">
      <c r="J108126"/>
    </row>
    <row r="108127" spans="10:10" x14ac:dyDescent="0.3">
      <c r="J108127"/>
    </row>
    <row r="108128" spans="10:10" x14ac:dyDescent="0.3">
      <c r="J108128"/>
    </row>
    <row r="108129" spans="10:10" x14ac:dyDescent="0.3">
      <c r="J108129"/>
    </row>
    <row r="108130" spans="10:10" x14ac:dyDescent="0.3">
      <c r="J108130"/>
    </row>
    <row r="108131" spans="10:10" x14ac:dyDescent="0.3">
      <c r="J108131"/>
    </row>
    <row r="108132" spans="10:10" x14ac:dyDescent="0.3">
      <c r="J108132"/>
    </row>
    <row r="108133" spans="10:10" x14ac:dyDescent="0.3">
      <c r="J108133"/>
    </row>
    <row r="108134" spans="10:10" x14ac:dyDescent="0.3">
      <c r="J108134"/>
    </row>
    <row r="108135" spans="10:10" x14ac:dyDescent="0.3">
      <c r="J108135"/>
    </row>
    <row r="108136" spans="10:10" x14ac:dyDescent="0.3">
      <c r="J108136"/>
    </row>
    <row r="108137" spans="10:10" x14ac:dyDescent="0.3">
      <c r="J108137"/>
    </row>
    <row r="108138" spans="10:10" x14ac:dyDescent="0.3">
      <c r="J108138"/>
    </row>
    <row r="108139" spans="10:10" x14ac:dyDescent="0.3">
      <c r="J108139"/>
    </row>
    <row r="108140" spans="10:10" x14ac:dyDescent="0.3">
      <c r="J108140"/>
    </row>
    <row r="108141" spans="10:10" x14ac:dyDescent="0.3">
      <c r="J108141"/>
    </row>
    <row r="108142" spans="10:10" x14ac:dyDescent="0.3">
      <c r="J108142"/>
    </row>
    <row r="108143" spans="10:10" x14ac:dyDescent="0.3">
      <c r="J108143"/>
    </row>
    <row r="108144" spans="10:10" x14ac:dyDescent="0.3">
      <c r="J108144"/>
    </row>
    <row r="108145" spans="10:10" x14ac:dyDescent="0.3">
      <c r="J108145"/>
    </row>
    <row r="108146" spans="10:10" x14ac:dyDescent="0.3">
      <c r="J108146"/>
    </row>
    <row r="108147" spans="10:10" x14ac:dyDescent="0.3">
      <c r="J108147"/>
    </row>
    <row r="108148" spans="10:10" x14ac:dyDescent="0.3">
      <c r="J108148"/>
    </row>
    <row r="108149" spans="10:10" x14ac:dyDescent="0.3">
      <c r="J108149"/>
    </row>
    <row r="108150" spans="10:10" x14ac:dyDescent="0.3">
      <c r="J108150"/>
    </row>
    <row r="108151" spans="10:10" x14ac:dyDescent="0.3">
      <c r="J108151"/>
    </row>
    <row r="108152" spans="10:10" x14ac:dyDescent="0.3">
      <c r="J108152"/>
    </row>
    <row r="108153" spans="10:10" x14ac:dyDescent="0.3">
      <c r="J108153"/>
    </row>
    <row r="108154" spans="10:10" x14ac:dyDescent="0.3">
      <c r="J108154"/>
    </row>
    <row r="108155" spans="10:10" x14ac:dyDescent="0.3">
      <c r="J108155"/>
    </row>
    <row r="108156" spans="10:10" x14ac:dyDescent="0.3">
      <c r="J108156"/>
    </row>
    <row r="108157" spans="10:10" x14ac:dyDescent="0.3">
      <c r="J108157"/>
    </row>
    <row r="108158" spans="10:10" x14ac:dyDescent="0.3">
      <c r="J108158"/>
    </row>
    <row r="108159" spans="10:10" x14ac:dyDescent="0.3">
      <c r="J108159"/>
    </row>
    <row r="108160" spans="10:10" x14ac:dyDescent="0.3">
      <c r="J108160"/>
    </row>
    <row r="108161" spans="10:10" x14ac:dyDescent="0.3">
      <c r="J108161"/>
    </row>
    <row r="108162" spans="10:10" x14ac:dyDescent="0.3">
      <c r="J108162"/>
    </row>
    <row r="108163" spans="10:10" x14ac:dyDescent="0.3">
      <c r="J108163"/>
    </row>
    <row r="108164" spans="10:10" x14ac:dyDescent="0.3">
      <c r="J108164"/>
    </row>
    <row r="108165" spans="10:10" x14ac:dyDescent="0.3">
      <c r="J108165"/>
    </row>
    <row r="108166" spans="10:10" x14ac:dyDescent="0.3">
      <c r="J108166"/>
    </row>
    <row r="108167" spans="10:10" x14ac:dyDescent="0.3">
      <c r="J108167"/>
    </row>
    <row r="108168" spans="10:10" x14ac:dyDescent="0.3">
      <c r="J108168"/>
    </row>
    <row r="108169" spans="10:10" x14ac:dyDescent="0.3">
      <c r="J108169"/>
    </row>
    <row r="108170" spans="10:10" x14ac:dyDescent="0.3">
      <c r="J108170"/>
    </row>
    <row r="108171" spans="10:10" x14ac:dyDescent="0.3">
      <c r="J108171"/>
    </row>
    <row r="108172" spans="10:10" x14ac:dyDescent="0.3">
      <c r="J108172"/>
    </row>
    <row r="108173" spans="10:10" x14ac:dyDescent="0.3">
      <c r="J108173"/>
    </row>
    <row r="108174" spans="10:10" x14ac:dyDescent="0.3">
      <c r="J108174"/>
    </row>
    <row r="108175" spans="10:10" x14ac:dyDescent="0.3">
      <c r="J108175"/>
    </row>
    <row r="108176" spans="10:10" x14ac:dyDescent="0.3">
      <c r="J108176"/>
    </row>
    <row r="108177" spans="10:10" x14ac:dyDescent="0.3">
      <c r="J108177"/>
    </row>
    <row r="108178" spans="10:10" x14ac:dyDescent="0.3">
      <c r="J108178"/>
    </row>
    <row r="108179" spans="10:10" x14ac:dyDescent="0.3">
      <c r="J108179"/>
    </row>
    <row r="108180" spans="10:10" x14ac:dyDescent="0.3">
      <c r="J108180"/>
    </row>
    <row r="108181" spans="10:10" x14ac:dyDescent="0.3">
      <c r="J108181"/>
    </row>
    <row r="108182" spans="10:10" x14ac:dyDescent="0.3">
      <c r="J108182"/>
    </row>
    <row r="108183" spans="10:10" x14ac:dyDescent="0.3">
      <c r="J108183"/>
    </row>
    <row r="108184" spans="10:10" x14ac:dyDescent="0.3">
      <c r="J108184"/>
    </row>
    <row r="108185" spans="10:10" x14ac:dyDescent="0.3">
      <c r="J108185"/>
    </row>
    <row r="108186" spans="10:10" x14ac:dyDescent="0.3">
      <c r="J108186"/>
    </row>
    <row r="108187" spans="10:10" x14ac:dyDescent="0.3">
      <c r="J108187"/>
    </row>
    <row r="108188" spans="10:10" x14ac:dyDescent="0.3">
      <c r="J108188"/>
    </row>
    <row r="108189" spans="10:10" x14ac:dyDescent="0.3">
      <c r="J108189"/>
    </row>
    <row r="108190" spans="10:10" x14ac:dyDescent="0.3">
      <c r="J108190"/>
    </row>
    <row r="108191" spans="10:10" x14ac:dyDescent="0.3">
      <c r="J108191"/>
    </row>
    <row r="108192" spans="10:10" x14ac:dyDescent="0.3">
      <c r="J108192"/>
    </row>
    <row r="108193" spans="10:10" x14ac:dyDescent="0.3">
      <c r="J108193"/>
    </row>
    <row r="108194" spans="10:10" x14ac:dyDescent="0.3">
      <c r="J108194"/>
    </row>
    <row r="108195" spans="10:10" x14ac:dyDescent="0.3">
      <c r="J108195"/>
    </row>
    <row r="108196" spans="10:10" x14ac:dyDescent="0.3">
      <c r="J108196"/>
    </row>
    <row r="108197" spans="10:10" x14ac:dyDescent="0.3">
      <c r="J108197"/>
    </row>
    <row r="108198" spans="10:10" x14ac:dyDescent="0.3">
      <c r="J108198"/>
    </row>
    <row r="108199" spans="10:10" x14ac:dyDescent="0.3">
      <c r="J108199"/>
    </row>
    <row r="108200" spans="10:10" x14ac:dyDescent="0.3">
      <c r="J108200"/>
    </row>
    <row r="108201" spans="10:10" x14ac:dyDescent="0.3">
      <c r="J108201"/>
    </row>
    <row r="108202" spans="10:10" x14ac:dyDescent="0.3">
      <c r="J108202"/>
    </row>
    <row r="108203" spans="10:10" x14ac:dyDescent="0.3">
      <c r="J108203"/>
    </row>
    <row r="108204" spans="10:10" x14ac:dyDescent="0.3">
      <c r="J108204"/>
    </row>
    <row r="108205" spans="10:10" x14ac:dyDescent="0.3">
      <c r="J108205"/>
    </row>
    <row r="108206" spans="10:10" x14ac:dyDescent="0.3">
      <c r="J108206"/>
    </row>
    <row r="108207" spans="10:10" x14ac:dyDescent="0.3">
      <c r="J108207"/>
    </row>
    <row r="108208" spans="10:10" x14ac:dyDescent="0.3">
      <c r="J108208"/>
    </row>
    <row r="108209" spans="10:10" x14ac:dyDescent="0.3">
      <c r="J108209"/>
    </row>
    <row r="108210" spans="10:10" x14ac:dyDescent="0.3">
      <c r="J108210"/>
    </row>
    <row r="108211" spans="10:10" x14ac:dyDescent="0.3">
      <c r="J108211"/>
    </row>
    <row r="108212" spans="10:10" x14ac:dyDescent="0.3">
      <c r="J108212"/>
    </row>
    <row r="108213" spans="10:10" x14ac:dyDescent="0.3">
      <c r="J108213"/>
    </row>
    <row r="108214" spans="10:10" x14ac:dyDescent="0.3">
      <c r="J108214"/>
    </row>
    <row r="108215" spans="10:10" x14ac:dyDescent="0.3">
      <c r="J108215"/>
    </row>
    <row r="108216" spans="10:10" x14ac:dyDescent="0.3">
      <c r="J108216"/>
    </row>
    <row r="108217" spans="10:10" x14ac:dyDescent="0.3">
      <c r="J108217"/>
    </row>
    <row r="108218" spans="10:10" x14ac:dyDescent="0.3">
      <c r="J108218"/>
    </row>
    <row r="108219" spans="10:10" x14ac:dyDescent="0.3">
      <c r="J108219"/>
    </row>
    <row r="108220" spans="10:10" x14ac:dyDescent="0.3">
      <c r="J108220"/>
    </row>
    <row r="108221" spans="10:10" x14ac:dyDescent="0.3">
      <c r="J108221"/>
    </row>
    <row r="108222" spans="10:10" x14ac:dyDescent="0.3">
      <c r="J108222"/>
    </row>
    <row r="108223" spans="10:10" x14ac:dyDescent="0.3">
      <c r="J108223"/>
    </row>
    <row r="108224" spans="10:10" x14ac:dyDescent="0.3">
      <c r="J108224"/>
    </row>
    <row r="108225" spans="10:10" x14ac:dyDescent="0.3">
      <c r="J108225"/>
    </row>
    <row r="108226" spans="10:10" x14ac:dyDescent="0.3">
      <c r="J108226"/>
    </row>
    <row r="108227" spans="10:10" x14ac:dyDescent="0.3">
      <c r="J108227"/>
    </row>
    <row r="108228" spans="10:10" x14ac:dyDescent="0.3">
      <c r="J108228"/>
    </row>
    <row r="108229" spans="10:10" x14ac:dyDescent="0.3">
      <c r="J108229"/>
    </row>
    <row r="108230" spans="10:10" x14ac:dyDescent="0.3">
      <c r="J108230"/>
    </row>
    <row r="108231" spans="10:10" x14ac:dyDescent="0.3">
      <c r="J108231"/>
    </row>
    <row r="108232" spans="10:10" x14ac:dyDescent="0.3">
      <c r="J108232"/>
    </row>
    <row r="108233" spans="10:10" x14ac:dyDescent="0.3">
      <c r="J108233"/>
    </row>
    <row r="108234" spans="10:10" x14ac:dyDescent="0.3">
      <c r="J108234"/>
    </row>
    <row r="108235" spans="10:10" x14ac:dyDescent="0.3">
      <c r="J108235"/>
    </row>
    <row r="108236" spans="10:10" x14ac:dyDescent="0.3">
      <c r="J108236"/>
    </row>
    <row r="108237" spans="10:10" x14ac:dyDescent="0.3">
      <c r="J108237"/>
    </row>
    <row r="108238" spans="10:10" x14ac:dyDescent="0.3">
      <c r="J108238"/>
    </row>
    <row r="108239" spans="10:10" x14ac:dyDescent="0.3">
      <c r="J108239"/>
    </row>
    <row r="108240" spans="10:10" x14ac:dyDescent="0.3">
      <c r="J108240"/>
    </row>
    <row r="108241" spans="10:10" x14ac:dyDescent="0.3">
      <c r="J108241"/>
    </row>
    <row r="108242" spans="10:10" x14ac:dyDescent="0.3">
      <c r="J108242"/>
    </row>
    <row r="108243" spans="10:10" x14ac:dyDescent="0.3">
      <c r="J108243"/>
    </row>
    <row r="108244" spans="10:10" x14ac:dyDescent="0.3">
      <c r="J108244"/>
    </row>
    <row r="108245" spans="10:10" x14ac:dyDescent="0.3">
      <c r="J108245"/>
    </row>
    <row r="108246" spans="10:10" x14ac:dyDescent="0.3">
      <c r="J108246"/>
    </row>
    <row r="108247" spans="10:10" x14ac:dyDescent="0.3">
      <c r="J108247"/>
    </row>
    <row r="108248" spans="10:10" x14ac:dyDescent="0.3">
      <c r="J108248"/>
    </row>
    <row r="108249" spans="10:10" x14ac:dyDescent="0.3">
      <c r="J108249"/>
    </row>
    <row r="108250" spans="10:10" x14ac:dyDescent="0.3">
      <c r="J108250"/>
    </row>
    <row r="108251" spans="10:10" x14ac:dyDescent="0.3">
      <c r="J108251"/>
    </row>
    <row r="108252" spans="10:10" x14ac:dyDescent="0.3">
      <c r="J108252"/>
    </row>
    <row r="108253" spans="10:10" x14ac:dyDescent="0.3">
      <c r="J108253"/>
    </row>
    <row r="108254" spans="10:10" x14ac:dyDescent="0.3">
      <c r="J108254"/>
    </row>
    <row r="108255" spans="10:10" x14ac:dyDescent="0.3">
      <c r="J108255"/>
    </row>
    <row r="108256" spans="10:10" x14ac:dyDescent="0.3">
      <c r="J108256"/>
    </row>
    <row r="108257" spans="10:10" x14ac:dyDescent="0.3">
      <c r="J108257"/>
    </row>
    <row r="108258" spans="10:10" x14ac:dyDescent="0.3">
      <c r="J108258"/>
    </row>
    <row r="108259" spans="10:10" x14ac:dyDescent="0.3">
      <c r="J108259"/>
    </row>
    <row r="108260" spans="10:10" x14ac:dyDescent="0.3">
      <c r="J108260"/>
    </row>
    <row r="108261" spans="10:10" x14ac:dyDescent="0.3">
      <c r="J108261"/>
    </row>
    <row r="108262" spans="10:10" x14ac:dyDescent="0.3">
      <c r="J108262"/>
    </row>
    <row r="108263" spans="10:10" x14ac:dyDescent="0.3">
      <c r="J108263"/>
    </row>
    <row r="108264" spans="10:10" x14ac:dyDescent="0.3">
      <c r="J108264"/>
    </row>
    <row r="108265" spans="10:10" x14ac:dyDescent="0.3">
      <c r="J108265"/>
    </row>
    <row r="108266" spans="10:10" x14ac:dyDescent="0.3">
      <c r="J108266"/>
    </row>
    <row r="108267" spans="10:10" x14ac:dyDescent="0.3">
      <c r="J108267"/>
    </row>
    <row r="108268" spans="10:10" x14ac:dyDescent="0.3">
      <c r="J108268"/>
    </row>
    <row r="108269" spans="10:10" x14ac:dyDescent="0.3">
      <c r="J108269"/>
    </row>
    <row r="108270" spans="10:10" x14ac:dyDescent="0.3">
      <c r="J108270"/>
    </row>
    <row r="108271" spans="10:10" x14ac:dyDescent="0.3">
      <c r="J108271"/>
    </row>
    <row r="108272" spans="10:10" x14ac:dyDescent="0.3">
      <c r="J108272"/>
    </row>
    <row r="108273" spans="10:10" x14ac:dyDescent="0.3">
      <c r="J108273"/>
    </row>
    <row r="108274" spans="10:10" x14ac:dyDescent="0.3">
      <c r="J108274"/>
    </row>
    <row r="108275" spans="10:10" x14ac:dyDescent="0.3">
      <c r="J108275"/>
    </row>
    <row r="108276" spans="10:10" x14ac:dyDescent="0.3">
      <c r="J108276"/>
    </row>
    <row r="108277" spans="10:10" x14ac:dyDescent="0.3">
      <c r="J108277"/>
    </row>
    <row r="108278" spans="10:10" x14ac:dyDescent="0.3">
      <c r="J108278"/>
    </row>
    <row r="108279" spans="10:10" x14ac:dyDescent="0.3">
      <c r="J108279"/>
    </row>
    <row r="108280" spans="10:10" x14ac:dyDescent="0.3">
      <c r="J108280"/>
    </row>
    <row r="108281" spans="10:10" x14ac:dyDescent="0.3">
      <c r="J108281"/>
    </row>
    <row r="108282" spans="10:10" x14ac:dyDescent="0.3">
      <c r="J108282"/>
    </row>
    <row r="108283" spans="10:10" x14ac:dyDescent="0.3">
      <c r="J108283"/>
    </row>
    <row r="108284" spans="10:10" x14ac:dyDescent="0.3">
      <c r="J108284"/>
    </row>
    <row r="108285" spans="10:10" x14ac:dyDescent="0.3">
      <c r="J108285"/>
    </row>
    <row r="108286" spans="10:10" x14ac:dyDescent="0.3">
      <c r="J108286"/>
    </row>
    <row r="108287" spans="10:10" x14ac:dyDescent="0.3">
      <c r="J108287"/>
    </row>
    <row r="108288" spans="10:10" x14ac:dyDescent="0.3">
      <c r="J108288"/>
    </row>
    <row r="108289" spans="10:10" x14ac:dyDescent="0.3">
      <c r="J108289"/>
    </row>
    <row r="108290" spans="10:10" x14ac:dyDescent="0.3">
      <c r="J108290"/>
    </row>
    <row r="108291" spans="10:10" x14ac:dyDescent="0.3">
      <c r="J108291"/>
    </row>
    <row r="108292" spans="10:10" x14ac:dyDescent="0.3">
      <c r="J108292"/>
    </row>
    <row r="108293" spans="10:10" x14ac:dyDescent="0.3">
      <c r="J108293"/>
    </row>
    <row r="108294" spans="10:10" x14ac:dyDescent="0.3">
      <c r="J108294"/>
    </row>
    <row r="108295" spans="10:10" x14ac:dyDescent="0.3">
      <c r="J108295"/>
    </row>
    <row r="108296" spans="10:10" x14ac:dyDescent="0.3">
      <c r="J108296"/>
    </row>
    <row r="108297" spans="10:10" x14ac:dyDescent="0.3">
      <c r="J108297"/>
    </row>
    <row r="108298" spans="10:10" x14ac:dyDescent="0.3">
      <c r="J108298"/>
    </row>
    <row r="108299" spans="10:10" x14ac:dyDescent="0.3">
      <c r="J108299"/>
    </row>
    <row r="108300" spans="10:10" x14ac:dyDescent="0.3">
      <c r="J108300"/>
    </row>
    <row r="108301" spans="10:10" x14ac:dyDescent="0.3">
      <c r="J108301"/>
    </row>
    <row r="108302" spans="10:10" x14ac:dyDescent="0.3">
      <c r="J108302"/>
    </row>
    <row r="108303" spans="10:10" x14ac:dyDescent="0.3">
      <c r="J108303"/>
    </row>
    <row r="108304" spans="10:10" x14ac:dyDescent="0.3">
      <c r="J108304"/>
    </row>
    <row r="108305" spans="10:10" x14ac:dyDescent="0.3">
      <c r="J108305"/>
    </row>
    <row r="108306" spans="10:10" x14ac:dyDescent="0.3">
      <c r="J108306"/>
    </row>
    <row r="108307" spans="10:10" x14ac:dyDescent="0.3">
      <c r="J108307"/>
    </row>
    <row r="108308" spans="10:10" x14ac:dyDescent="0.3">
      <c r="J108308"/>
    </row>
    <row r="108309" spans="10:10" x14ac:dyDescent="0.3">
      <c r="J108309"/>
    </row>
    <row r="108310" spans="10:10" x14ac:dyDescent="0.3">
      <c r="J108310"/>
    </row>
    <row r="108311" spans="10:10" x14ac:dyDescent="0.3">
      <c r="J108311"/>
    </row>
    <row r="108312" spans="10:10" x14ac:dyDescent="0.3">
      <c r="J108312"/>
    </row>
    <row r="108313" spans="10:10" x14ac:dyDescent="0.3">
      <c r="J108313"/>
    </row>
    <row r="108314" spans="10:10" x14ac:dyDescent="0.3">
      <c r="J108314"/>
    </row>
    <row r="108315" spans="10:10" x14ac:dyDescent="0.3">
      <c r="J108315"/>
    </row>
    <row r="108316" spans="10:10" x14ac:dyDescent="0.3">
      <c r="J108316"/>
    </row>
    <row r="108317" spans="10:10" x14ac:dyDescent="0.3">
      <c r="J108317"/>
    </row>
    <row r="108318" spans="10:10" x14ac:dyDescent="0.3">
      <c r="J108318"/>
    </row>
    <row r="108319" spans="10:10" x14ac:dyDescent="0.3">
      <c r="J108319"/>
    </row>
    <row r="108320" spans="10:10" x14ac:dyDescent="0.3">
      <c r="J108320"/>
    </row>
    <row r="108321" spans="10:10" x14ac:dyDescent="0.3">
      <c r="J108321"/>
    </row>
    <row r="108322" spans="10:10" x14ac:dyDescent="0.3">
      <c r="J108322"/>
    </row>
    <row r="108323" spans="10:10" x14ac:dyDescent="0.3">
      <c r="J108323"/>
    </row>
    <row r="108324" spans="10:10" x14ac:dyDescent="0.3">
      <c r="J108324"/>
    </row>
    <row r="108325" spans="10:10" x14ac:dyDescent="0.3">
      <c r="J108325"/>
    </row>
    <row r="108326" spans="10:10" x14ac:dyDescent="0.3">
      <c r="J108326"/>
    </row>
    <row r="108327" spans="10:10" x14ac:dyDescent="0.3">
      <c r="J108327"/>
    </row>
    <row r="108328" spans="10:10" x14ac:dyDescent="0.3">
      <c r="J108328"/>
    </row>
    <row r="108329" spans="10:10" x14ac:dyDescent="0.3">
      <c r="J108329"/>
    </row>
    <row r="108330" spans="10:10" x14ac:dyDescent="0.3">
      <c r="J108330"/>
    </row>
    <row r="108331" spans="10:10" x14ac:dyDescent="0.3">
      <c r="J108331"/>
    </row>
    <row r="108332" spans="10:10" x14ac:dyDescent="0.3">
      <c r="J108332"/>
    </row>
    <row r="108333" spans="10:10" x14ac:dyDescent="0.3">
      <c r="J108333"/>
    </row>
    <row r="108334" spans="10:10" x14ac:dyDescent="0.3">
      <c r="J108334"/>
    </row>
    <row r="108335" spans="10:10" x14ac:dyDescent="0.3">
      <c r="J108335"/>
    </row>
    <row r="108336" spans="10:10" x14ac:dyDescent="0.3">
      <c r="J108336"/>
    </row>
    <row r="108337" spans="10:10" x14ac:dyDescent="0.3">
      <c r="J108337"/>
    </row>
    <row r="108338" spans="10:10" x14ac:dyDescent="0.3">
      <c r="J108338"/>
    </row>
    <row r="108339" spans="10:10" x14ac:dyDescent="0.3">
      <c r="J108339"/>
    </row>
    <row r="108340" spans="10:10" x14ac:dyDescent="0.3">
      <c r="J108340"/>
    </row>
    <row r="108341" spans="10:10" x14ac:dyDescent="0.3">
      <c r="J108341"/>
    </row>
    <row r="108342" spans="10:10" x14ac:dyDescent="0.3">
      <c r="J108342"/>
    </row>
    <row r="108343" spans="10:10" x14ac:dyDescent="0.3">
      <c r="J108343"/>
    </row>
    <row r="108344" spans="10:10" x14ac:dyDescent="0.3">
      <c r="J108344"/>
    </row>
    <row r="108345" spans="10:10" x14ac:dyDescent="0.3">
      <c r="J108345"/>
    </row>
    <row r="108346" spans="10:10" x14ac:dyDescent="0.3">
      <c r="J108346"/>
    </row>
    <row r="108347" spans="10:10" x14ac:dyDescent="0.3">
      <c r="J108347"/>
    </row>
    <row r="108348" spans="10:10" x14ac:dyDescent="0.3">
      <c r="J108348"/>
    </row>
    <row r="108349" spans="10:10" x14ac:dyDescent="0.3">
      <c r="J108349"/>
    </row>
    <row r="108350" spans="10:10" x14ac:dyDescent="0.3">
      <c r="J108350"/>
    </row>
    <row r="108351" spans="10:10" x14ac:dyDescent="0.3">
      <c r="J108351"/>
    </row>
    <row r="108352" spans="10:10" x14ac:dyDescent="0.3">
      <c r="J108352"/>
    </row>
    <row r="108353" spans="10:10" x14ac:dyDescent="0.3">
      <c r="J108353"/>
    </row>
    <row r="108354" spans="10:10" x14ac:dyDescent="0.3">
      <c r="J108354"/>
    </row>
    <row r="108355" spans="10:10" x14ac:dyDescent="0.3">
      <c r="J108355"/>
    </row>
    <row r="108356" spans="10:10" x14ac:dyDescent="0.3">
      <c r="J108356"/>
    </row>
    <row r="108357" spans="10:10" x14ac:dyDescent="0.3">
      <c r="J108357"/>
    </row>
    <row r="108358" spans="10:10" x14ac:dyDescent="0.3">
      <c r="J108358"/>
    </row>
    <row r="108359" spans="10:10" x14ac:dyDescent="0.3">
      <c r="J108359"/>
    </row>
    <row r="108360" spans="10:10" x14ac:dyDescent="0.3">
      <c r="J108360"/>
    </row>
    <row r="108361" spans="10:10" x14ac:dyDescent="0.3">
      <c r="J108361"/>
    </row>
    <row r="108362" spans="10:10" x14ac:dyDescent="0.3">
      <c r="J108362"/>
    </row>
    <row r="108363" spans="10:10" x14ac:dyDescent="0.3">
      <c r="J108363"/>
    </row>
    <row r="108364" spans="10:10" x14ac:dyDescent="0.3">
      <c r="J108364"/>
    </row>
    <row r="108365" spans="10:10" x14ac:dyDescent="0.3">
      <c r="J108365"/>
    </row>
    <row r="108366" spans="10:10" x14ac:dyDescent="0.3">
      <c r="J108366"/>
    </row>
    <row r="108367" spans="10:10" x14ac:dyDescent="0.3">
      <c r="J108367"/>
    </row>
    <row r="108368" spans="10:10" x14ac:dyDescent="0.3">
      <c r="J108368"/>
    </row>
    <row r="108369" spans="10:10" x14ac:dyDescent="0.3">
      <c r="J108369"/>
    </row>
    <row r="108370" spans="10:10" x14ac:dyDescent="0.3">
      <c r="J108370"/>
    </row>
    <row r="108371" spans="10:10" x14ac:dyDescent="0.3">
      <c r="J108371"/>
    </row>
    <row r="108372" spans="10:10" x14ac:dyDescent="0.3">
      <c r="J108372"/>
    </row>
    <row r="108373" spans="10:10" x14ac:dyDescent="0.3">
      <c r="J108373"/>
    </row>
    <row r="108374" spans="10:10" x14ac:dyDescent="0.3">
      <c r="J108374"/>
    </row>
    <row r="108375" spans="10:10" x14ac:dyDescent="0.3">
      <c r="J108375"/>
    </row>
    <row r="108376" spans="10:10" x14ac:dyDescent="0.3">
      <c r="J108376"/>
    </row>
    <row r="108377" spans="10:10" x14ac:dyDescent="0.3">
      <c r="J108377"/>
    </row>
    <row r="108378" spans="10:10" x14ac:dyDescent="0.3">
      <c r="J108378"/>
    </row>
    <row r="108379" spans="10:10" x14ac:dyDescent="0.3">
      <c r="J108379"/>
    </row>
    <row r="108380" spans="10:10" x14ac:dyDescent="0.3">
      <c r="J108380"/>
    </row>
    <row r="108381" spans="10:10" x14ac:dyDescent="0.3">
      <c r="J108381"/>
    </row>
    <row r="108382" spans="10:10" x14ac:dyDescent="0.3">
      <c r="J108382"/>
    </row>
    <row r="108383" spans="10:10" x14ac:dyDescent="0.3">
      <c r="J108383"/>
    </row>
    <row r="108384" spans="10:10" x14ac:dyDescent="0.3">
      <c r="J108384"/>
    </row>
    <row r="108385" spans="10:10" x14ac:dyDescent="0.3">
      <c r="J108385"/>
    </row>
    <row r="108386" spans="10:10" x14ac:dyDescent="0.3">
      <c r="J108386"/>
    </row>
    <row r="108387" spans="10:10" x14ac:dyDescent="0.3">
      <c r="J108387"/>
    </row>
    <row r="108388" spans="10:10" x14ac:dyDescent="0.3">
      <c r="J108388"/>
    </row>
    <row r="108389" spans="10:10" x14ac:dyDescent="0.3">
      <c r="J108389"/>
    </row>
    <row r="108390" spans="10:10" x14ac:dyDescent="0.3">
      <c r="J108390"/>
    </row>
    <row r="108391" spans="10:10" x14ac:dyDescent="0.3">
      <c r="J108391"/>
    </row>
    <row r="108392" spans="10:10" x14ac:dyDescent="0.3">
      <c r="J108392"/>
    </row>
    <row r="108393" spans="10:10" x14ac:dyDescent="0.3">
      <c r="J108393"/>
    </row>
    <row r="108394" spans="10:10" x14ac:dyDescent="0.3">
      <c r="J108394"/>
    </row>
    <row r="108395" spans="10:10" x14ac:dyDescent="0.3">
      <c r="J108395"/>
    </row>
    <row r="108396" spans="10:10" x14ac:dyDescent="0.3">
      <c r="J108396"/>
    </row>
    <row r="108397" spans="10:10" x14ac:dyDescent="0.3">
      <c r="J108397"/>
    </row>
    <row r="108398" spans="10:10" x14ac:dyDescent="0.3">
      <c r="J108398"/>
    </row>
    <row r="108399" spans="10:10" x14ac:dyDescent="0.3">
      <c r="J108399"/>
    </row>
    <row r="108400" spans="10:10" x14ac:dyDescent="0.3">
      <c r="J108400"/>
    </row>
    <row r="108401" spans="10:10" x14ac:dyDescent="0.3">
      <c r="J108401"/>
    </row>
    <row r="108402" spans="10:10" x14ac:dyDescent="0.3">
      <c r="J108402"/>
    </row>
    <row r="108403" spans="10:10" x14ac:dyDescent="0.3">
      <c r="J108403"/>
    </row>
    <row r="108404" spans="10:10" x14ac:dyDescent="0.3">
      <c r="J108404"/>
    </row>
    <row r="108405" spans="10:10" x14ac:dyDescent="0.3">
      <c r="J108405"/>
    </row>
    <row r="108406" spans="10:10" x14ac:dyDescent="0.3">
      <c r="J108406"/>
    </row>
    <row r="108407" spans="10:10" x14ac:dyDescent="0.3">
      <c r="J108407"/>
    </row>
    <row r="108408" spans="10:10" x14ac:dyDescent="0.3">
      <c r="J108408"/>
    </row>
    <row r="108409" spans="10:10" x14ac:dyDescent="0.3">
      <c r="J108409"/>
    </row>
    <row r="108410" spans="10:10" x14ac:dyDescent="0.3">
      <c r="J108410"/>
    </row>
    <row r="108411" spans="10:10" x14ac:dyDescent="0.3">
      <c r="J108411"/>
    </row>
    <row r="108412" spans="10:10" x14ac:dyDescent="0.3">
      <c r="J108412"/>
    </row>
    <row r="108413" spans="10:10" x14ac:dyDescent="0.3">
      <c r="J108413"/>
    </row>
    <row r="108414" spans="10:10" x14ac:dyDescent="0.3">
      <c r="J108414"/>
    </row>
    <row r="108415" spans="10:10" x14ac:dyDescent="0.3">
      <c r="J108415"/>
    </row>
    <row r="108416" spans="10:10" x14ac:dyDescent="0.3">
      <c r="J108416"/>
    </row>
    <row r="108417" spans="10:10" x14ac:dyDescent="0.3">
      <c r="J108417"/>
    </row>
    <row r="108418" spans="10:10" x14ac:dyDescent="0.3">
      <c r="J108418"/>
    </row>
    <row r="108419" spans="10:10" x14ac:dyDescent="0.3">
      <c r="J108419"/>
    </row>
    <row r="108420" spans="10:10" x14ac:dyDescent="0.3">
      <c r="J108420"/>
    </row>
    <row r="108421" spans="10:10" x14ac:dyDescent="0.3">
      <c r="J108421"/>
    </row>
    <row r="108422" spans="10:10" x14ac:dyDescent="0.3">
      <c r="J108422"/>
    </row>
    <row r="108423" spans="10:10" x14ac:dyDescent="0.3">
      <c r="J108423"/>
    </row>
    <row r="108424" spans="10:10" x14ac:dyDescent="0.3">
      <c r="J108424"/>
    </row>
    <row r="108425" spans="10:10" x14ac:dyDescent="0.3">
      <c r="J108425"/>
    </row>
    <row r="108426" spans="10:10" x14ac:dyDescent="0.3">
      <c r="J108426"/>
    </row>
    <row r="108427" spans="10:10" x14ac:dyDescent="0.3">
      <c r="J108427"/>
    </row>
    <row r="108428" spans="10:10" x14ac:dyDescent="0.3">
      <c r="J108428"/>
    </row>
    <row r="108429" spans="10:10" x14ac:dyDescent="0.3">
      <c r="J108429"/>
    </row>
    <row r="108430" spans="10:10" x14ac:dyDescent="0.3">
      <c r="J108430"/>
    </row>
    <row r="108431" spans="10:10" x14ac:dyDescent="0.3">
      <c r="J108431"/>
    </row>
    <row r="108432" spans="10:10" x14ac:dyDescent="0.3">
      <c r="J108432"/>
    </row>
    <row r="108433" spans="10:10" x14ac:dyDescent="0.3">
      <c r="J108433"/>
    </row>
    <row r="108434" spans="10:10" x14ac:dyDescent="0.3">
      <c r="J108434"/>
    </row>
    <row r="108435" spans="10:10" x14ac:dyDescent="0.3">
      <c r="J108435"/>
    </row>
    <row r="108436" spans="10:10" x14ac:dyDescent="0.3">
      <c r="J108436"/>
    </row>
    <row r="108437" spans="10:10" x14ac:dyDescent="0.3">
      <c r="J108437"/>
    </row>
    <row r="108438" spans="10:10" x14ac:dyDescent="0.3">
      <c r="J108438"/>
    </row>
    <row r="108439" spans="10:10" x14ac:dyDescent="0.3">
      <c r="J108439"/>
    </row>
    <row r="108440" spans="10:10" x14ac:dyDescent="0.3">
      <c r="J108440"/>
    </row>
    <row r="108441" spans="10:10" x14ac:dyDescent="0.3">
      <c r="J108441"/>
    </row>
    <row r="108442" spans="10:10" x14ac:dyDescent="0.3">
      <c r="J108442"/>
    </row>
    <row r="108443" spans="10:10" x14ac:dyDescent="0.3">
      <c r="J108443"/>
    </row>
    <row r="108444" spans="10:10" x14ac:dyDescent="0.3">
      <c r="J108444"/>
    </row>
    <row r="108445" spans="10:10" x14ac:dyDescent="0.3">
      <c r="J108445"/>
    </row>
    <row r="108446" spans="10:10" x14ac:dyDescent="0.3">
      <c r="J108446"/>
    </row>
    <row r="108447" spans="10:10" x14ac:dyDescent="0.3">
      <c r="J108447"/>
    </row>
    <row r="108448" spans="10:10" x14ac:dyDescent="0.3">
      <c r="J108448"/>
    </row>
    <row r="108449" spans="10:10" x14ac:dyDescent="0.3">
      <c r="J108449"/>
    </row>
    <row r="108450" spans="10:10" x14ac:dyDescent="0.3">
      <c r="J108450"/>
    </row>
    <row r="108451" spans="10:10" x14ac:dyDescent="0.3">
      <c r="J108451"/>
    </row>
    <row r="108452" spans="10:10" x14ac:dyDescent="0.3">
      <c r="J108452"/>
    </row>
    <row r="108453" spans="10:10" x14ac:dyDescent="0.3">
      <c r="J108453"/>
    </row>
    <row r="108454" spans="10:10" x14ac:dyDescent="0.3">
      <c r="J108454"/>
    </row>
    <row r="108455" spans="10:10" x14ac:dyDescent="0.3">
      <c r="J108455"/>
    </row>
    <row r="108456" spans="10:10" x14ac:dyDescent="0.3">
      <c r="J108456"/>
    </row>
    <row r="108457" spans="10:10" x14ac:dyDescent="0.3">
      <c r="J108457"/>
    </row>
    <row r="108458" spans="10:10" x14ac:dyDescent="0.3">
      <c r="J108458"/>
    </row>
    <row r="108459" spans="10:10" x14ac:dyDescent="0.3">
      <c r="J108459"/>
    </row>
    <row r="108460" spans="10:10" x14ac:dyDescent="0.3">
      <c r="J108460"/>
    </row>
    <row r="108461" spans="10:10" x14ac:dyDescent="0.3">
      <c r="J108461"/>
    </row>
    <row r="108462" spans="10:10" x14ac:dyDescent="0.3">
      <c r="J108462"/>
    </row>
    <row r="108463" spans="10:10" x14ac:dyDescent="0.3">
      <c r="J108463"/>
    </row>
    <row r="108464" spans="10:10" x14ac:dyDescent="0.3">
      <c r="J108464"/>
    </row>
    <row r="108465" spans="10:10" x14ac:dyDescent="0.3">
      <c r="J108465"/>
    </row>
    <row r="108466" spans="10:10" x14ac:dyDescent="0.3">
      <c r="J108466"/>
    </row>
    <row r="108467" spans="10:10" x14ac:dyDescent="0.3">
      <c r="J108467"/>
    </row>
    <row r="108468" spans="10:10" x14ac:dyDescent="0.3">
      <c r="J108468"/>
    </row>
    <row r="108469" spans="10:10" x14ac:dyDescent="0.3">
      <c r="J108469"/>
    </row>
    <row r="108470" spans="10:10" x14ac:dyDescent="0.3">
      <c r="J108470"/>
    </row>
    <row r="108471" spans="10:10" x14ac:dyDescent="0.3">
      <c r="J108471"/>
    </row>
    <row r="108472" spans="10:10" x14ac:dyDescent="0.3">
      <c r="J108472"/>
    </row>
    <row r="108473" spans="10:10" x14ac:dyDescent="0.3">
      <c r="J108473"/>
    </row>
    <row r="108474" spans="10:10" x14ac:dyDescent="0.3">
      <c r="J108474"/>
    </row>
    <row r="108475" spans="10:10" x14ac:dyDescent="0.3">
      <c r="J108475"/>
    </row>
    <row r="108476" spans="10:10" x14ac:dyDescent="0.3">
      <c r="J108476"/>
    </row>
    <row r="108477" spans="10:10" x14ac:dyDescent="0.3">
      <c r="J108477"/>
    </row>
    <row r="108478" spans="10:10" x14ac:dyDescent="0.3">
      <c r="J108478"/>
    </row>
    <row r="108479" spans="10:10" x14ac:dyDescent="0.3">
      <c r="J108479"/>
    </row>
    <row r="108480" spans="10:10" x14ac:dyDescent="0.3">
      <c r="J108480"/>
    </row>
    <row r="108481" spans="10:10" x14ac:dyDescent="0.3">
      <c r="J108481"/>
    </row>
    <row r="108482" spans="10:10" x14ac:dyDescent="0.3">
      <c r="J108482"/>
    </row>
    <row r="108483" spans="10:10" x14ac:dyDescent="0.3">
      <c r="J108483"/>
    </row>
    <row r="108484" spans="10:10" x14ac:dyDescent="0.3">
      <c r="J108484"/>
    </row>
    <row r="108485" spans="10:10" x14ac:dyDescent="0.3">
      <c r="J108485"/>
    </row>
    <row r="108486" spans="10:10" x14ac:dyDescent="0.3">
      <c r="J108486"/>
    </row>
    <row r="108487" spans="10:10" x14ac:dyDescent="0.3">
      <c r="J108487"/>
    </row>
    <row r="108488" spans="10:10" x14ac:dyDescent="0.3">
      <c r="J108488"/>
    </row>
    <row r="108489" spans="10:10" x14ac:dyDescent="0.3">
      <c r="J108489"/>
    </row>
    <row r="108490" spans="10:10" x14ac:dyDescent="0.3">
      <c r="J108490"/>
    </row>
    <row r="108491" spans="10:10" x14ac:dyDescent="0.3">
      <c r="J108491"/>
    </row>
    <row r="108492" spans="10:10" x14ac:dyDescent="0.3">
      <c r="J108492"/>
    </row>
    <row r="108493" spans="10:10" x14ac:dyDescent="0.3">
      <c r="J108493"/>
    </row>
    <row r="108494" spans="10:10" x14ac:dyDescent="0.3">
      <c r="J108494"/>
    </row>
    <row r="108495" spans="10:10" x14ac:dyDescent="0.3">
      <c r="J108495"/>
    </row>
    <row r="108496" spans="10:10" x14ac:dyDescent="0.3">
      <c r="J108496"/>
    </row>
    <row r="108497" spans="10:10" x14ac:dyDescent="0.3">
      <c r="J108497"/>
    </row>
    <row r="108498" spans="10:10" x14ac:dyDescent="0.3">
      <c r="J108498"/>
    </row>
    <row r="108499" spans="10:10" x14ac:dyDescent="0.3">
      <c r="J108499"/>
    </row>
    <row r="108500" spans="10:10" x14ac:dyDescent="0.3">
      <c r="J108500"/>
    </row>
    <row r="108501" spans="10:10" x14ac:dyDescent="0.3">
      <c r="J108501"/>
    </row>
    <row r="108502" spans="10:10" x14ac:dyDescent="0.3">
      <c r="J108502"/>
    </row>
    <row r="108503" spans="10:10" x14ac:dyDescent="0.3">
      <c r="J108503"/>
    </row>
    <row r="108504" spans="10:10" x14ac:dyDescent="0.3">
      <c r="J108504"/>
    </row>
    <row r="108505" spans="10:10" x14ac:dyDescent="0.3">
      <c r="J108505"/>
    </row>
    <row r="108506" spans="10:10" x14ac:dyDescent="0.3">
      <c r="J108506"/>
    </row>
    <row r="108507" spans="10:10" x14ac:dyDescent="0.3">
      <c r="J108507"/>
    </row>
    <row r="108508" spans="10:10" x14ac:dyDescent="0.3">
      <c r="J108508"/>
    </row>
    <row r="108509" spans="10:10" x14ac:dyDescent="0.3">
      <c r="J108509"/>
    </row>
    <row r="108510" spans="10:10" x14ac:dyDescent="0.3">
      <c r="J108510"/>
    </row>
    <row r="108511" spans="10:10" x14ac:dyDescent="0.3">
      <c r="J108511"/>
    </row>
    <row r="108512" spans="10:10" x14ac:dyDescent="0.3">
      <c r="J108512"/>
    </row>
    <row r="108513" spans="10:10" x14ac:dyDescent="0.3">
      <c r="J108513"/>
    </row>
    <row r="108514" spans="10:10" x14ac:dyDescent="0.3">
      <c r="J108514"/>
    </row>
    <row r="108515" spans="10:10" x14ac:dyDescent="0.3">
      <c r="J108515"/>
    </row>
    <row r="108516" spans="10:10" x14ac:dyDescent="0.3">
      <c r="J108516"/>
    </row>
    <row r="108517" spans="10:10" x14ac:dyDescent="0.3">
      <c r="J108517"/>
    </row>
    <row r="108518" spans="10:10" x14ac:dyDescent="0.3">
      <c r="J108518"/>
    </row>
    <row r="108519" spans="10:10" x14ac:dyDescent="0.3">
      <c r="J108519"/>
    </row>
    <row r="108520" spans="10:10" x14ac:dyDescent="0.3">
      <c r="J108520"/>
    </row>
    <row r="108521" spans="10:10" x14ac:dyDescent="0.3">
      <c r="J108521"/>
    </row>
    <row r="108522" spans="10:10" x14ac:dyDescent="0.3">
      <c r="J108522"/>
    </row>
    <row r="108523" spans="10:10" x14ac:dyDescent="0.3">
      <c r="J108523"/>
    </row>
    <row r="108524" spans="10:10" x14ac:dyDescent="0.3">
      <c r="J108524"/>
    </row>
    <row r="108525" spans="10:10" x14ac:dyDescent="0.3">
      <c r="J108525"/>
    </row>
    <row r="108526" spans="10:10" x14ac:dyDescent="0.3">
      <c r="J108526"/>
    </row>
    <row r="108527" spans="10:10" x14ac:dyDescent="0.3">
      <c r="J108527"/>
    </row>
    <row r="108528" spans="10:10" x14ac:dyDescent="0.3">
      <c r="J108528"/>
    </row>
    <row r="108529" spans="10:10" x14ac:dyDescent="0.3">
      <c r="J108529"/>
    </row>
    <row r="108530" spans="10:10" x14ac:dyDescent="0.3">
      <c r="J108530"/>
    </row>
    <row r="108531" spans="10:10" x14ac:dyDescent="0.3">
      <c r="J108531"/>
    </row>
    <row r="108532" spans="10:10" x14ac:dyDescent="0.3">
      <c r="J108532"/>
    </row>
    <row r="108533" spans="10:10" x14ac:dyDescent="0.3">
      <c r="J108533"/>
    </row>
    <row r="108534" spans="10:10" x14ac:dyDescent="0.3">
      <c r="J108534"/>
    </row>
    <row r="108535" spans="10:10" x14ac:dyDescent="0.3">
      <c r="J108535"/>
    </row>
    <row r="108536" spans="10:10" x14ac:dyDescent="0.3">
      <c r="J108536"/>
    </row>
    <row r="108537" spans="10:10" x14ac:dyDescent="0.3">
      <c r="J108537"/>
    </row>
    <row r="108538" spans="10:10" x14ac:dyDescent="0.3">
      <c r="J108538"/>
    </row>
    <row r="108539" spans="10:10" x14ac:dyDescent="0.3">
      <c r="J108539"/>
    </row>
    <row r="108540" spans="10:10" x14ac:dyDescent="0.3">
      <c r="J108540"/>
    </row>
    <row r="108541" spans="10:10" x14ac:dyDescent="0.3">
      <c r="J108541"/>
    </row>
    <row r="108542" spans="10:10" x14ac:dyDescent="0.3">
      <c r="J108542"/>
    </row>
    <row r="108543" spans="10:10" x14ac:dyDescent="0.3">
      <c r="J108543"/>
    </row>
    <row r="108544" spans="10:10" x14ac:dyDescent="0.3">
      <c r="J108544"/>
    </row>
    <row r="108545" spans="10:10" x14ac:dyDescent="0.3">
      <c r="J108545"/>
    </row>
    <row r="108546" spans="10:10" x14ac:dyDescent="0.3">
      <c r="J108546"/>
    </row>
    <row r="108547" spans="10:10" x14ac:dyDescent="0.3">
      <c r="J108547"/>
    </row>
    <row r="108548" spans="10:10" x14ac:dyDescent="0.3">
      <c r="J108548"/>
    </row>
    <row r="108549" spans="10:10" x14ac:dyDescent="0.3">
      <c r="J108549"/>
    </row>
    <row r="108550" spans="10:10" x14ac:dyDescent="0.3">
      <c r="J108550"/>
    </row>
    <row r="108551" spans="10:10" x14ac:dyDescent="0.3">
      <c r="J108551"/>
    </row>
    <row r="108552" spans="10:10" x14ac:dyDescent="0.3">
      <c r="J108552"/>
    </row>
    <row r="108553" spans="10:10" x14ac:dyDescent="0.3">
      <c r="J108553"/>
    </row>
    <row r="108554" spans="10:10" x14ac:dyDescent="0.3">
      <c r="J108554"/>
    </row>
    <row r="108555" spans="10:10" x14ac:dyDescent="0.3">
      <c r="J108555"/>
    </row>
    <row r="108556" spans="10:10" x14ac:dyDescent="0.3">
      <c r="J108556"/>
    </row>
    <row r="108557" spans="10:10" x14ac:dyDescent="0.3">
      <c r="J108557"/>
    </row>
    <row r="108558" spans="10:10" x14ac:dyDescent="0.3">
      <c r="J108558"/>
    </row>
    <row r="108559" spans="10:10" x14ac:dyDescent="0.3">
      <c r="J108559"/>
    </row>
    <row r="108560" spans="10:10" x14ac:dyDescent="0.3">
      <c r="J108560"/>
    </row>
    <row r="108561" spans="10:10" x14ac:dyDescent="0.3">
      <c r="J108561"/>
    </row>
    <row r="108562" spans="10:10" x14ac:dyDescent="0.3">
      <c r="J108562"/>
    </row>
    <row r="108563" spans="10:10" x14ac:dyDescent="0.3">
      <c r="J108563"/>
    </row>
    <row r="108564" spans="10:10" x14ac:dyDescent="0.3">
      <c r="J108564"/>
    </row>
    <row r="108565" spans="10:10" x14ac:dyDescent="0.3">
      <c r="J108565"/>
    </row>
    <row r="108566" spans="10:10" x14ac:dyDescent="0.3">
      <c r="J108566"/>
    </row>
    <row r="108567" spans="10:10" x14ac:dyDescent="0.3">
      <c r="J108567"/>
    </row>
    <row r="108568" spans="10:10" x14ac:dyDescent="0.3">
      <c r="J108568"/>
    </row>
    <row r="108569" spans="10:10" x14ac:dyDescent="0.3">
      <c r="J108569"/>
    </row>
    <row r="108570" spans="10:10" x14ac:dyDescent="0.3">
      <c r="J108570"/>
    </row>
    <row r="108571" spans="10:10" x14ac:dyDescent="0.3">
      <c r="J108571"/>
    </row>
    <row r="108572" spans="10:10" x14ac:dyDescent="0.3">
      <c r="J108572"/>
    </row>
    <row r="108573" spans="10:10" x14ac:dyDescent="0.3">
      <c r="J108573"/>
    </row>
    <row r="108574" spans="10:10" x14ac:dyDescent="0.3">
      <c r="J108574"/>
    </row>
    <row r="108575" spans="10:10" x14ac:dyDescent="0.3">
      <c r="J108575"/>
    </row>
    <row r="108576" spans="10:10" x14ac:dyDescent="0.3">
      <c r="J108576"/>
    </row>
    <row r="108577" spans="10:10" x14ac:dyDescent="0.3">
      <c r="J108577"/>
    </row>
    <row r="108578" spans="10:10" x14ac:dyDescent="0.3">
      <c r="J108578"/>
    </row>
    <row r="108579" spans="10:10" x14ac:dyDescent="0.3">
      <c r="J108579"/>
    </row>
    <row r="108580" spans="10:10" x14ac:dyDescent="0.3">
      <c r="J108580"/>
    </row>
    <row r="108581" spans="10:10" x14ac:dyDescent="0.3">
      <c r="J108581"/>
    </row>
    <row r="108582" spans="10:10" x14ac:dyDescent="0.3">
      <c r="J108582"/>
    </row>
    <row r="108583" spans="10:10" x14ac:dyDescent="0.3">
      <c r="J108583"/>
    </row>
    <row r="108584" spans="10:10" x14ac:dyDescent="0.3">
      <c r="J108584"/>
    </row>
    <row r="108585" spans="10:10" x14ac:dyDescent="0.3">
      <c r="J108585"/>
    </row>
    <row r="108586" spans="10:10" x14ac:dyDescent="0.3">
      <c r="J108586"/>
    </row>
    <row r="108587" spans="10:10" x14ac:dyDescent="0.3">
      <c r="J108587"/>
    </row>
    <row r="108588" spans="10:10" x14ac:dyDescent="0.3">
      <c r="J108588"/>
    </row>
    <row r="108589" spans="10:10" x14ac:dyDescent="0.3">
      <c r="J108589"/>
    </row>
    <row r="108590" spans="10:10" x14ac:dyDescent="0.3">
      <c r="J108590"/>
    </row>
    <row r="108591" spans="10:10" x14ac:dyDescent="0.3">
      <c r="J108591"/>
    </row>
    <row r="108592" spans="10:10" x14ac:dyDescent="0.3">
      <c r="J108592"/>
    </row>
    <row r="108593" spans="10:10" x14ac:dyDescent="0.3">
      <c r="J108593"/>
    </row>
    <row r="108594" spans="10:10" x14ac:dyDescent="0.3">
      <c r="J108594"/>
    </row>
    <row r="108595" spans="10:10" x14ac:dyDescent="0.3">
      <c r="J108595"/>
    </row>
    <row r="108596" spans="10:10" x14ac:dyDescent="0.3">
      <c r="J108596"/>
    </row>
    <row r="108597" spans="10:10" x14ac:dyDescent="0.3">
      <c r="J108597"/>
    </row>
    <row r="108598" spans="10:10" x14ac:dyDescent="0.3">
      <c r="J108598"/>
    </row>
    <row r="108599" spans="10:10" x14ac:dyDescent="0.3">
      <c r="J108599"/>
    </row>
    <row r="108600" spans="10:10" x14ac:dyDescent="0.3">
      <c r="J108600"/>
    </row>
    <row r="108601" spans="10:10" x14ac:dyDescent="0.3">
      <c r="J108601"/>
    </row>
    <row r="108602" spans="10:10" x14ac:dyDescent="0.3">
      <c r="J108602"/>
    </row>
    <row r="108603" spans="10:10" x14ac:dyDescent="0.3">
      <c r="J108603"/>
    </row>
    <row r="108604" spans="10:10" x14ac:dyDescent="0.3">
      <c r="J108604"/>
    </row>
    <row r="108605" spans="10:10" x14ac:dyDescent="0.3">
      <c r="J108605"/>
    </row>
    <row r="108606" spans="10:10" x14ac:dyDescent="0.3">
      <c r="J108606"/>
    </row>
    <row r="108607" spans="10:10" x14ac:dyDescent="0.3">
      <c r="J108607"/>
    </row>
    <row r="108608" spans="10:10" x14ac:dyDescent="0.3">
      <c r="J108608"/>
    </row>
    <row r="108609" spans="10:10" x14ac:dyDescent="0.3">
      <c r="J108609"/>
    </row>
    <row r="108610" spans="10:10" x14ac:dyDescent="0.3">
      <c r="J108610"/>
    </row>
    <row r="108611" spans="10:10" x14ac:dyDescent="0.3">
      <c r="J108611"/>
    </row>
    <row r="108612" spans="10:10" x14ac:dyDescent="0.3">
      <c r="J108612"/>
    </row>
    <row r="108613" spans="10:10" x14ac:dyDescent="0.3">
      <c r="J108613"/>
    </row>
    <row r="108614" spans="10:10" x14ac:dyDescent="0.3">
      <c r="J108614"/>
    </row>
    <row r="108615" spans="10:10" x14ac:dyDescent="0.3">
      <c r="J108615"/>
    </row>
    <row r="108616" spans="10:10" x14ac:dyDescent="0.3">
      <c r="J108616"/>
    </row>
    <row r="108617" spans="10:10" x14ac:dyDescent="0.3">
      <c r="J108617"/>
    </row>
    <row r="108618" spans="10:10" x14ac:dyDescent="0.3">
      <c r="J108618"/>
    </row>
    <row r="108619" spans="10:10" x14ac:dyDescent="0.3">
      <c r="J108619"/>
    </row>
    <row r="108620" spans="10:10" x14ac:dyDescent="0.3">
      <c r="J108620"/>
    </row>
    <row r="108621" spans="10:10" x14ac:dyDescent="0.3">
      <c r="J108621"/>
    </row>
    <row r="108622" spans="10:10" x14ac:dyDescent="0.3">
      <c r="J108622"/>
    </row>
    <row r="108623" spans="10:10" x14ac:dyDescent="0.3">
      <c r="J108623"/>
    </row>
    <row r="108624" spans="10:10" x14ac:dyDescent="0.3">
      <c r="J108624"/>
    </row>
    <row r="108625" spans="10:10" x14ac:dyDescent="0.3">
      <c r="J108625"/>
    </row>
    <row r="108626" spans="10:10" x14ac:dyDescent="0.3">
      <c r="J108626"/>
    </row>
    <row r="108627" spans="10:10" x14ac:dyDescent="0.3">
      <c r="J108627"/>
    </row>
    <row r="108628" spans="10:10" x14ac:dyDescent="0.3">
      <c r="J108628"/>
    </row>
    <row r="108629" spans="10:10" x14ac:dyDescent="0.3">
      <c r="J108629"/>
    </row>
    <row r="108630" spans="10:10" x14ac:dyDescent="0.3">
      <c r="J108630"/>
    </row>
    <row r="108631" spans="10:10" x14ac:dyDescent="0.3">
      <c r="J108631"/>
    </row>
    <row r="108632" spans="10:10" x14ac:dyDescent="0.3">
      <c r="J108632"/>
    </row>
    <row r="108633" spans="10:10" x14ac:dyDescent="0.3">
      <c r="J108633"/>
    </row>
    <row r="108634" spans="10:10" x14ac:dyDescent="0.3">
      <c r="J108634"/>
    </row>
    <row r="108635" spans="10:10" x14ac:dyDescent="0.3">
      <c r="J108635"/>
    </row>
    <row r="108636" spans="10:10" x14ac:dyDescent="0.3">
      <c r="J108636"/>
    </row>
    <row r="108637" spans="10:10" x14ac:dyDescent="0.3">
      <c r="J108637"/>
    </row>
    <row r="108638" spans="10:10" x14ac:dyDescent="0.3">
      <c r="J108638"/>
    </row>
    <row r="108639" spans="10:10" x14ac:dyDescent="0.3">
      <c r="J108639"/>
    </row>
    <row r="108640" spans="10:10" x14ac:dyDescent="0.3">
      <c r="J108640"/>
    </row>
    <row r="108641" spans="10:10" x14ac:dyDescent="0.3">
      <c r="J108641"/>
    </row>
    <row r="108642" spans="10:10" x14ac:dyDescent="0.3">
      <c r="J108642"/>
    </row>
    <row r="108643" spans="10:10" x14ac:dyDescent="0.3">
      <c r="J108643"/>
    </row>
    <row r="108644" spans="10:10" x14ac:dyDescent="0.3">
      <c r="J108644"/>
    </row>
    <row r="108645" spans="10:10" x14ac:dyDescent="0.3">
      <c r="J108645"/>
    </row>
    <row r="108646" spans="10:10" x14ac:dyDescent="0.3">
      <c r="J108646"/>
    </row>
    <row r="108647" spans="10:10" x14ac:dyDescent="0.3">
      <c r="J108647"/>
    </row>
    <row r="108648" spans="10:10" x14ac:dyDescent="0.3">
      <c r="J108648"/>
    </row>
    <row r="108649" spans="10:10" x14ac:dyDescent="0.3">
      <c r="J108649"/>
    </row>
    <row r="108650" spans="10:10" x14ac:dyDescent="0.3">
      <c r="J108650"/>
    </row>
    <row r="108651" spans="10:10" x14ac:dyDescent="0.3">
      <c r="J108651"/>
    </row>
    <row r="108652" spans="10:10" x14ac:dyDescent="0.3">
      <c r="J108652"/>
    </row>
    <row r="108653" spans="10:10" x14ac:dyDescent="0.3">
      <c r="J108653"/>
    </row>
    <row r="108654" spans="10:10" x14ac:dyDescent="0.3">
      <c r="J108654"/>
    </row>
    <row r="108655" spans="10:10" x14ac:dyDescent="0.3">
      <c r="J108655"/>
    </row>
    <row r="108656" spans="10:10" x14ac:dyDescent="0.3">
      <c r="J108656"/>
    </row>
    <row r="108657" spans="10:10" x14ac:dyDescent="0.3">
      <c r="J108657"/>
    </row>
    <row r="108658" spans="10:10" x14ac:dyDescent="0.3">
      <c r="J108658"/>
    </row>
    <row r="108659" spans="10:10" x14ac:dyDescent="0.3">
      <c r="J108659"/>
    </row>
    <row r="108660" spans="10:10" x14ac:dyDescent="0.3">
      <c r="J108660"/>
    </row>
    <row r="108661" spans="10:10" x14ac:dyDescent="0.3">
      <c r="J108661"/>
    </row>
    <row r="108662" spans="10:10" x14ac:dyDescent="0.3">
      <c r="J108662"/>
    </row>
    <row r="108663" spans="10:10" x14ac:dyDescent="0.3">
      <c r="J108663"/>
    </row>
    <row r="108664" spans="10:10" x14ac:dyDescent="0.3">
      <c r="J108664"/>
    </row>
    <row r="108665" spans="10:10" x14ac:dyDescent="0.3">
      <c r="J108665"/>
    </row>
    <row r="108666" spans="10:10" x14ac:dyDescent="0.3">
      <c r="J108666"/>
    </row>
    <row r="108667" spans="10:10" x14ac:dyDescent="0.3">
      <c r="J108667"/>
    </row>
    <row r="108668" spans="10:10" x14ac:dyDescent="0.3">
      <c r="J108668"/>
    </row>
    <row r="108669" spans="10:10" x14ac:dyDescent="0.3">
      <c r="J108669"/>
    </row>
    <row r="108670" spans="10:10" x14ac:dyDescent="0.3">
      <c r="J108670"/>
    </row>
    <row r="108671" spans="10:10" x14ac:dyDescent="0.3">
      <c r="J108671"/>
    </row>
    <row r="108672" spans="10:10" x14ac:dyDescent="0.3">
      <c r="J108672"/>
    </row>
    <row r="108673" spans="10:10" x14ac:dyDescent="0.3">
      <c r="J108673"/>
    </row>
    <row r="108674" spans="10:10" x14ac:dyDescent="0.3">
      <c r="J108674"/>
    </row>
    <row r="108675" spans="10:10" x14ac:dyDescent="0.3">
      <c r="J108675"/>
    </row>
    <row r="108676" spans="10:10" x14ac:dyDescent="0.3">
      <c r="J108676"/>
    </row>
    <row r="108677" spans="10:10" x14ac:dyDescent="0.3">
      <c r="J108677"/>
    </row>
    <row r="108678" spans="10:10" x14ac:dyDescent="0.3">
      <c r="J108678"/>
    </row>
    <row r="108679" spans="10:10" x14ac:dyDescent="0.3">
      <c r="J108679"/>
    </row>
    <row r="108680" spans="10:10" x14ac:dyDescent="0.3">
      <c r="J108680"/>
    </row>
    <row r="108681" spans="10:10" x14ac:dyDescent="0.3">
      <c r="J108681"/>
    </row>
    <row r="108682" spans="10:10" x14ac:dyDescent="0.3">
      <c r="J108682"/>
    </row>
    <row r="108683" spans="10:10" x14ac:dyDescent="0.3">
      <c r="J108683"/>
    </row>
    <row r="108684" spans="10:10" x14ac:dyDescent="0.3">
      <c r="J108684"/>
    </row>
    <row r="108685" spans="10:10" x14ac:dyDescent="0.3">
      <c r="J108685"/>
    </row>
    <row r="108686" spans="10:10" x14ac:dyDescent="0.3">
      <c r="J108686"/>
    </row>
    <row r="108687" spans="10:10" x14ac:dyDescent="0.3">
      <c r="J108687"/>
    </row>
    <row r="108688" spans="10:10" x14ac:dyDescent="0.3">
      <c r="J108688"/>
    </row>
    <row r="108689" spans="10:10" x14ac:dyDescent="0.3">
      <c r="J108689"/>
    </row>
    <row r="108690" spans="10:10" x14ac:dyDescent="0.3">
      <c r="J108690"/>
    </row>
    <row r="108691" spans="10:10" x14ac:dyDescent="0.3">
      <c r="J108691"/>
    </row>
    <row r="108692" spans="10:10" x14ac:dyDescent="0.3">
      <c r="J108692"/>
    </row>
    <row r="108693" spans="10:10" x14ac:dyDescent="0.3">
      <c r="J108693"/>
    </row>
    <row r="108694" spans="10:10" x14ac:dyDescent="0.3">
      <c r="J108694"/>
    </row>
    <row r="108695" spans="10:10" x14ac:dyDescent="0.3">
      <c r="J108695"/>
    </row>
    <row r="108696" spans="10:10" x14ac:dyDescent="0.3">
      <c r="J108696"/>
    </row>
    <row r="108697" spans="10:10" x14ac:dyDescent="0.3">
      <c r="J108697"/>
    </row>
    <row r="108698" spans="10:10" x14ac:dyDescent="0.3">
      <c r="J108698"/>
    </row>
    <row r="108699" spans="10:10" x14ac:dyDescent="0.3">
      <c r="J108699"/>
    </row>
    <row r="108700" spans="10:10" x14ac:dyDescent="0.3">
      <c r="J108700"/>
    </row>
    <row r="108701" spans="10:10" x14ac:dyDescent="0.3">
      <c r="J108701"/>
    </row>
    <row r="108702" spans="10:10" x14ac:dyDescent="0.3">
      <c r="J108702"/>
    </row>
    <row r="108703" spans="10:10" x14ac:dyDescent="0.3">
      <c r="J108703"/>
    </row>
    <row r="108704" spans="10:10" x14ac:dyDescent="0.3">
      <c r="J108704"/>
    </row>
    <row r="108705" spans="10:10" x14ac:dyDescent="0.3">
      <c r="J108705"/>
    </row>
    <row r="108706" spans="10:10" x14ac:dyDescent="0.3">
      <c r="J108706"/>
    </row>
    <row r="108707" spans="10:10" x14ac:dyDescent="0.3">
      <c r="J108707"/>
    </row>
    <row r="108708" spans="10:10" x14ac:dyDescent="0.3">
      <c r="J108708"/>
    </row>
    <row r="108709" spans="10:10" x14ac:dyDescent="0.3">
      <c r="J108709"/>
    </row>
    <row r="108710" spans="10:10" x14ac:dyDescent="0.3">
      <c r="J108710"/>
    </row>
    <row r="108711" spans="10:10" x14ac:dyDescent="0.3">
      <c r="J108711"/>
    </row>
    <row r="108712" spans="10:10" x14ac:dyDescent="0.3">
      <c r="J108712"/>
    </row>
    <row r="108713" spans="10:10" x14ac:dyDescent="0.3">
      <c r="J108713"/>
    </row>
    <row r="108714" spans="10:10" x14ac:dyDescent="0.3">
      <c r="J108714"/>
    </row>
    <row r="108715" spans="10:10" x14ac:dyDescent="0.3">
      <c r="J108715"/>
    </row>
    <row r="108716" spans="10:10" x14ac:dyDescent="0.3">
      <c r="J108716"/>
    </row>
    <row r="108717" spans="10:10" x14ac:dyDescent="0.3">
      <c r="J108717"/>
    </row>
    <row r="108718" spans="10:10" x14ac:dyDescent="0.3">
      <c r="J108718"/>
    </row>
    <row r="108719" spans="10:10" x14ac:dyDescent="0.3">
      <c r="J108719"/>
    </row>
    <row r="108720" spans="10:10" x14ac:dyDescent="0.3">
      <c r="J108720"/>
    </row>
    <row r="108721" spans="10:10" x14ac:dyDescent="0.3">
      <c r="J108721"/>
    </row>
    <row r="108722" spans="10:10" x14ac:dyDescent="0.3">
      <c r="J108722"/>
    </row>
    <row r="108723" spans="10:10" x14ac:dyDescent="0.3">
      <c r="J108723"/>
    </row>
    <row r="108724" spans="10:10" x14ac:dyDescent="0.3">
      <c r="J108724"/>
    </row>
    <row r="108725" spans="10:10" x14ac:dyDescent="0.3">
      <c r="J108725"/>
    </row>
    <row r="108726" spans="10:10" x14ac:dyDescent="0.3">
      <c r="J108726"/>
    </row>
    <row r="108727" spans="10:10" x14ac:dyDescent="0.3">
      <c r="J108727"/>
    </row>
    <row r="108728" spans="10:10" x14ac:dyDescent="0.3">
      <c r="J108728"/>
    </row>
    <row r="108729" spans="10:10" x14ac:dyDescent="0.3">
      <c r="J108729"/>
    </row>
    <row r="108730" spans="10:10" x14ac:dyDescent="0.3">
      <c r="J108730"/>
    </row>
    <row r="108731" spans="10:10" x14ac:dyDescent="0.3">
      <c r="J108731"/>
    </row>
    <row r="108732" spans="10:10" x14ac:dyDescent="0.3">
      <c r="J108732"/>
    </row>
    <row r="108733" spans="10:10" x14ac:dyDescent="0.3">
      <c r="J108733"/>
    </row>
    <row r="108734" spans="10:10" x14ac:dyDescent="0.3">
      <c r="J108734"/>
    </row>
    <row r="108735" spans="10:10" x14ac:dyDescent="0.3">
      <c r="J108735"/>
    </row>
    <row r="108736" spans="10:10" x14ac:dyDescent="0.3">
      <c r="J108736"/>
    </row>
    <row r="108737" spans="10:10" x14ac:dyDescent="0.3">
      <c r="J108737"/>
    </row>
    <row r="108738" spans="10:10" x14ac:dyDescent="0.3">
      <c r="J108738"/>
    </row>
    <row r="108739" spans="10:10" x14ac:dyDescent="0.3">
      <c r="J108739"/>
    </row>
    <row r="108740" spans="10:10" x14ac:dyDescent="0.3">
      <c r="J108740"/>
    </row>
    <row r="108741" spans="10:10" x14ac:dyDescent="0.3">
      <c r="J108741"/>
    </row>
    <row r="108742" spans="10:10" x14ac:dyDescent="0.3">
      <c r="J108742"/>
    </row>
    <row r="108743" spans="10:10" x14ac:dyDescent="0.3">
      <c r="J108743"/>
    </row>
    <row r="108744" spans="10:10" x14ac:dyDescent="0.3">
      <c r="J108744"/>
    </row>
    <row r="108745" spans="10:10" x14ac:dyDescent="0.3">
      <c r="J108745"/>
    </row>
    <row r="108746" spans="10:10" x14ac:dyDescent="0.3">
      <c r="J108746"/>
    </row>
    <row r="108747" spans="10:10" x14ac:dyDescent="0.3">
      <c r="J108747"/>
    </row>
    <row r="108748" spans="10:10" x14ac:dyDescent="0.3">
      <c r="J108748"/>
    </row>
    <row r="108749" spans="10:10" x14ac:dyDescent="0.3">
      <c r="J108749"/>
    </row>
    <row r="108750" spans="10:10" x14ac:dyDescent="0.3">
      <c r="J108750"/>
    </row>
    <row r="108751" spans="10:10" x14ac:dyDescent="0.3">
      <c r="J108751"/>
    </row>
    <row r="108752" spans="10:10" x14ac:dyDescent="0.3">
      <c r="J108752"/>
    </row>
    <row r="108753" spans="10:10" x14ac:dyDescent="0.3">
      <c r="J108753"/>
    </row>
    <row r="108754" spans="10:10" x14ac:dyDescent="0.3">
      <c r="J108754"/>
    </row>
    <row r="108755" spans="10:10" x14ac:dyDescent="0.3">
      <c r="J108755"/>
    </row>
    <row r="108756" spans="10:10" x14ac:dyDescent="0.3">
      <c r="J108756"/>
    </row>
    <row r="108757" spans="10:10" x14ac:dyDescent="0.3">
      <c r="J108757"/>
    </row>
    <row r="108758" spans="10:10" x14ac:dyDescent="0.3">
      <c r="J108758"/>
    </row>
    <row r="108759" spans="10:10" x14ac:dyDescent="0.3">
      <c r="J108759"/>
    </row>
    <row r="108760" spans="10:10" x14ac:dyDescent="0.3">
      <c r="J108760"/>
    </row>
    <row r="108761" spans="10:10" x14ac:dyDescent="0.3">
      <c r="J108761"/>
    </row>
    <row r="108762" spans="10:10" x14ac:dyDescent="0.3">
      <c r="J108762"/>
    </row>
    <row r="108763" spans="10:10" x14ac:dyDescent="0.3">
      <c r="J108763"/>
    </row>
    <row r="108764" spans="10:10" x14ac:dyDescent="0.3">
      <c r="J108764"/>
    </row>
    <row r="108765" spans="10:10" x14ac:dyDescent="0.3">
      <c r="J108765"/>
    </row>
    <row r="108766" spans="10:10" x14ac:dyDescent="0.3">
      <c r="J108766"/>
    </row>
    <row r="108767" spans="10:10" x14ac:dyDescent="0.3">
      <c r="J108767"/>
    </row>
    <row r="108768" spans="10:10" x14ac:dyDescent="0.3">
      <c r="J108768"/>
    </row>
    <row r="108769" spans="10:10" x14ac:dyDescent="0.3">
      <c r="J108769"/>
    </row>
    <row r="108770" spans="10:10" x14ac:dyDescent="0.3">
      <c r="J108770"/>
    </row>
    <row r="108771" spans="10:10" x14ac:dyDescent="0.3">
      <c r="J108771"/>
    </row>
    <row r="108772" spans="10:10" x14ac:dyDescent="0.3">
      <c r="J108772"/>
    </row>
    <row r="108773" spans="10:10" x14ac:dyDescent="0.3">
      <c r="J108773"/>
    </row>
    <row r="108774" spans="10:10" x14ac:dyDescent="0.3">
      <c r="J108774"/>
    </row>
    <row r="108775" spans="10:10" x14ac:dyDescent="0.3">
      <c r="J108775"/>
    </row>
    <row r="108776" spans="10:10" x14ac:dyDescent="0.3">
      <c r="J108776"/>
    </row>
    <row r="108777" spans="10:10" x14ac:dyDescent="0.3">
      <c r="J108777"/>
    </row>
    <row r="108778" spans="10:10" x14ac:dyDescent="0.3">
      <c r="J108778"/>
    </row>
    <row r="108779" spans="10:10" x14ac:dyDescent="0.3">
      <c r="J108779"/>
    </row>
    <row r="108780" spans="10:10" x14ac:dyDescent="0.3">
      <c r="J108780"/>
    </row>
    <row r="108781" spans="10:10" x14ac:dyDescent="0.3">
      <c r="J108781"/>
    </row>
    <row r="108782" spans="10:10" x14ac:dyDescent="0.3">
      <c r="J108782"/>
    </row>
    <row r="108783" spans="10:10" x14ac:dyDescent="0.3">
      <c r="J108783"/>
    </row>
    <row r="108784" spans="10:10" x14ac:dyDescent="0.3">
      <c r="J108784"/>
    </row>
    <row r="108785" spans="10:10" x14ac:dyDescent="0.3">
      <c r="J108785"/>
    </row>
    <row r="108786" spans="10:10" x14ac:dyDescent="0.3">
      <c r="J108786"/>
    </row>
    <row r="108787" spans="10:10" x14ac:dyDescent="0.3">
      <c r="J108787"/>
    </row>
    <row r="108788" spans="10:10" x14ac:dyDescent="0.3">
      <c r="J108788"/>
    </row>
    <row r="108789" spans="10:10" x14ac:dyDescent="0.3">
      <c r="J108789"/>
    </row>
    <row r="108790" spans="10:10" x14ac:dyDescent="0.3">
      <c r="J108790"/>
    </row>
    <row r="108791" spans="10:10" x14ac:dyDescent="0.3">
      <c r="J108791"/>
    </row>
    <row r="108792" spans="10:10" x14ac:dyDescent="0.3">
      <c r="J108792"/>
    </row>
    <row r="108793" spans="10:10" x14ac:dyDescent="0.3">
      <c r="J108793"/>
    </row>
    <row r="108794" spans="10:10" x14ac:dyDescent="0.3">
      <c r="J108794"/>
    </row>
    <row r="108795" spans="10:10" x14ac:dyDescent="0.3">
      <c r="J108795"/>
    </row>
    <row r="108796" spans="10:10" x14ac:dyDescent="0.3">
      <c r="J108796"/>
    </row>
    <row r="108797" spans="10:10" x14ac:dyDescent="0.3">
      <c r="J108797"/>
    </row>
    <row r="108798" spans="10:10" x14ac:dyDescent="0.3">
      <c r="J108798"/>
    </row>
    <row r="108799" spans="10:10" x14ac:dyDescent="0.3">
      <c r="J108799"/>
    </row>
    <row r="108800" spans="10:10" x14ac:dyDescent="0.3">
      <c r="J108800"/>
    </row>
    <row r="108801" spans="10:10" x14ac:dyDescent="0.3">
      <c r="J108801"/>
    </row>
    <row r="108802" spans="10:10" x14ac:dyDescent="0.3">
      <c r="J108802"/>
    </row>
    <row r="108803" spans="10:10" x14ac:dyDescent="0.3">
      <c r="J108803"/>
    </row>
    <row r="108804" spans="10:10" x14ac:dyDescent="0.3">
      <c r="J108804"/>
    </row>
    <row r="108805" spans="10:10" x14ac:dyDescent="0.3">
      <c r="J108805"/>
    </row>
    <row r="108806" spans="10:10" x14ac:dyDescent="0.3">
      <c r="J108806"/>
    </row>
    <row r="108807" spans="10:10" x14ac:dyDescent="0.3">
      <c r="J108807"/>
    </row>
    <row r="108808" spans="10:10" x14ac:dyDescent="0.3">
      <c r="J108808"/>
    </row>
    <row r="108809" spans="10:10" x14ac:dyDescent="0.3">
      <c r="J108809"/>
    </row>
    <row r="108810" spans="10:10" x14ac:dyDescent="0.3">
      <c r="J108810"/>
    </row>
    <row r="108811" spans="10:10" x14ac:dyDescent="0.3">
      <c r="J108811"/>
    </row>
    <row r="108812" spans="10:10" x14ac:dyDescent="0.3">
      <c r="J108812"/>
    </row>
    <row r="108813" spans="10:10" x14ac:dyDescent="0.3">
      <c r="J108813"/>
    </row>
    <row r="108814" spans="10:10" x14ac:dyDescent="0.3">
      <c r="J108814"/>
    </row>
    <row r="108815" spans="10:10" x14ac:dyDescent="0.3">
      <c r="J108815"/>
    </row>
    <row r="108816" spans="10:10" x14ac:dyDescent="0.3">
      <c r="J108816"/>
    </row>
    <row r="108817" spans="10:10" x14ac:dyDescent="0.3">
      <c r="J108817"/>
    </row>
    <row r="108818" spans="10:10" x14ac:dyDescent="0.3">
      <c r="J108818"/>
    </row>
    <row r="108819" spans="10:10" x14ac:dyDescent="0.3">
      <c r="J108819"/>
    </row>
    <row r="108820" spans="10:10" x14ac:dyDescent="0.3">
      <c r="J108820"/>
    </row>
    <row r="108821" spans="10:10" x14ac:dyDescent="0.3">
      <c r="J108821"/>
    </row>
    <row r="108822" spans="10:10" x14ac:dyDescent="0.3">
      <c r="J108822"/>
    </row>
    <row r="108823" spans="10:10" x14ac:dyDescent="0.3">
      <c r="J108823"/>
    </row>
    <row r="108824" spans="10:10" x14ac:dyDescent="0.3">
      <c r="J108824"/>
    </row>
    <row r="108825" spans="10:10" x14ac:dyDescent="0.3">
      <c r="J108825"/>
    </row>
    <row r="108826" spans="10:10" x14ac:dyDescent="0.3">
      <c r="J108826"/>
    </row>
    <row r="108827" spans="10:10" x14ac:dyDescent="0.3">
      <c r="J108827"/>
    </row>
    <row r="108828" spans="10:10" x14ac:dyDescent="0.3">
      <c r="J108828"/>
    </row>
    <row r="108829" spans="10:10" x14ac:dyDescent="0.3">
      <c r="J108829"/>
    </row>
    <row r="108830" spans="10:10" x14ac:dyDescent="0.3">
      <c r="J108830"/>
    </row>
    <row r="108831" spans="10:10" x14ac:dyDescent="0.3">
      <c r="J108831"/>
    </row>
    <row r="108832" spans="10:10" x14ac:dyDescent="0.3">
      <c r="J108832"/>
    </row>
    <row r="108833" spans="10:10" x14ac:dyDescent="0.3">
      <c r="J108833"/>
    </row>
    <row r="108834" spans="10:10" x14ac:dyDescent="0.3">
      <c r="J108834"/>
    </row>
    <row r="108835" spans="10:10" x14ac:dyDescent="0.3">
      <c r="J108835"/>
    </row>
    <row r="108836" spans="10:10" x14ac:dyDescent="0.3">
      <c r="J108836"/>
    </row>
    <row r="108837" spans="10:10" x14ac:dyDescent="0.3">
      <c r="J108837"/>
    </row>
    <row r="108838" spans="10:10" x14ac:dyDescent="0.3">
      <c r="J108838"/>
    </row>
    <row r="108839" spans="10:10" x14ac:dyDescent="0.3">
      <c r="J108839"/>
    </row>
    <row r="108840" spans="10:10" x14ac:dyDescent="0.3">
      <c r="J108840"/>
    </row>
    <row r="108841" spans="10:10" x14ac:dyDescent="0.3">
      <c r="J108841"/>
    </row>
    <row r="108842" spans="10:10" x14ac:dyDescent="0.3">
      <c r="J108842"/>
    </row>
    <row r="108843" spans="10:10" x14ac:dyDescent="0.3">
      <c r="J108843"/>
    </row>
    <row r="108844" spans="10:10" x14ac:dyDescent="0.3">
      <c r="J108844"/>
    </row>
    <row r="108845" spans="10:10" x14ac:dyDescent="0.3">
      <c r="J108845"/>
    </row>
    <row r="108846" spans="10:10" x14ac:dyDescent="0.3">
      <c r="J108846"/>
    </row>
    <row r="108847" spans="10:10" x14ac:dyDescent="0.3">
      <c r="J108847"/>
    </row>
    <row r="108848" spans="10:10" x14ac:dyDescent="0.3">
      <c r="J108848"/>
    </row>
    <row r="108849" spans="10:10" x14ac:dyDescent="0.3">
      <c r="J108849"/>
    </row>
    <row r="108850" spans="10:10" x14ac:dyDescent="0.3">
      <c r="J108850"/>
    </row>
    <row r="108851" spans="10:10" x14ac:dyDescent="0.3">
      <c r="J108851"/>
    </row>
    <row r="108852" spans="10:10" x14ac:dyDescent="0.3">
      <c r="J108852"/>
    </row>
    <row r="108853" spans="10:10" x14ac:dyDescent="0.3">
      <c r="J108853"/>
    </row>
    <row r="108854" spans="10:10" x14ac:dyDescent="0.3">
      <c r="J108854"/>
    </row>
    <row r="108855" spans="10:10" x14ac:dyDescent="0.3">
      <c r="J108855"/>
    </row>
    <row r="108856" spans="10:10" x14ac:dyDescent="0.3">
      <c r="J108856"/>
    </row>
    <row r="108857" spans="10:10" x14ac:dyDescent="0.3">
      <c r="J108857"/>
    </row>
    <row r="108858" spans="10:10" x14ac:dyDescent="0.3">
      <c r="J108858"/>
    </row>
    <row r="108859" spans="10:10" x14ac:dyDescent="0.3">
      <c r="J108859"/>
    </row>
    <row r="108860" spans="10:10" x14ac:dyDescent="0.3">
      <c r="J108860"/>
    </row>
    <row r="108861" spans="10:10" x14ac:dyDescent="0.3">
      <c r="J108861"/>
    </row>
    <row r="108862" spans="10:10" x14ac:dyDescent="0.3">
      <c r="J108862"/>
    </row>
    <row r="108863" spans="10:10" x14ac:dyDescent="0.3">
      <c r="J108863"/>
    </row>
    <row r="108864" spans="10:10" x14ac:dyDescent="0.3">
      <c r="J108864"/>
    </row>
    <row r="108865" spans="10:10" x14ac:dyDescent="0.3">
      <c r="J108865"/>
    </row>
    <row r="108866" spans="10:10" x14ac:dyDescent="0.3">
      <c r="J108866"/>
    </row>
    <row r="108867" spans="10:10" x14ac:dyDescent="0.3">
      <c r="J108867"/>
    </row>
    <row r="108868" spans="10:10" x14ac:dyDescent="0.3">
      <c r="J108868"/>
    </row>
    <row r="108869" spans="10:10" x14ac:dyDescent="0.3">
      <c r="J108869"/>
    </row>
    <row r="108870" spans="10:10" x14ac:dyDescent="0.3">
      <c r="J108870"/>
    </row>
    <row r="108871" spans="10:10" x14ac:dyDescent="0.3">
      <c r="J108871"/>
    </row>
    <row r="108872" spans="10:10" x14ac:dyDescent="0.3">
      <c r="J108872"/>
    </row>
    <row r="108873" spans="10:10" x14ac:dyDescent="0.3">
      <c r="J108873"/>
    </row>
    <row r="108874" spans="10:10" x14ac:dyDescent="0.3">
      <c r="J108874"/>
    </row>
    <row r="108875" spans="10:10" x14ac:dyDescent="0.3">
      <c r="J108875"/>
    </row>
    <row r="108876" spans="10:10" x14ac:dyDescent="0.3">
      <c r="J108876"/>
    </row>
    <row r="108877" spans="10:10" x14ac:dyDescent="0.3">
      <c r="J108877"/>
    </row>
    <row r="108878" spans="10:10" x14ac:dyDescent="0.3">
      <c r="J108878"/>
    </row>
    <row r="108879" spans="10:10" x14ac:dyDescent="0.3">
      <c r="J108879"/>
    </row>
    <row r="108880" spans="10:10" x14ac:dyDescent="0.3">
      <c r="J108880"/>
    </row>
    <row r="108881" spans="10:10" x14ac:dyDescent="0.3">
      <c r="J108881"/>
    </row>
    <row r="108882" spans="10:10" x14ac:dyDescent="0.3">
      <c r="J108882"/>
    </row>
    <row r="108883" spans="10:10" x14ac:dyDescent="0.3">
      <c r="J108883"/>
    </row>
    <row r="108884" spans="10:10" x14ac:dyDescent="0.3">
      <c r="J108884"/>
    </row>
    <row r="108885" spans="10:10" x14ac:dyDescent="0.3">
      <c r="J108885"/>
    </row>
    <row r="108886" spans="10:10" x14ac:dyDescent="0.3">
      <c r="J108886"/>
    </row>
    <row r="108887" spans="10:10" x14ac:dyDescent="0.3">
      <c r="J108887"/>
    </row>
    <row r="108888" spans="10:10" x14ac:dyDescent="0.3">
      <c r="J108888"/>
    </row>
    <row r="108889" spans="10:10" x14ac:dyDescent="0.3">
      <c r="J108889"/>
    </row>
    <row r="108890" spans="10:10" x14ac:dyDescent="0.3">
      <c r="J108890"/>
    </row>
    <row r="108891" spans="10:10" x14ac:dyDescent="0.3">
      <c r="J108891"/>
    </row>
    <row r="108892" spans="10:10" x14ac:dyDescent="0.3">
      <c r="J108892"/>
    </row>
    <row r="108893" spans="10:10" x14ac:dyDescent="0.3">
      <c r="J108893"/>
    </row>
    <row r="108894" spans="10:10" x14ac:dyDescent="0.3">
      <c r="J108894"/>
    </row>
    <row r="108895" spans="10:10" x14ac:dyDescent="0.3">
      <c r="J108895"/>
    </row>
    <row r="108896" spans="10:10" x14ac:dyDescent="0.3">
      <c r="J108896"/>
    </row>
    <row r="108897" spans="10:10" x14ac:dyDescent="0.3">
      <c r="J108897"/>
    </row>
    <row r="108898" spans="10:10" x14ac:dyDescent="0.3">
      <c r="J108898"/>
    </row>
    <row r="108899" spans="10:10" x14ac:dyDescent="0.3">
      <c r="J108899"/>
    </row>
    <row r="108900" spans="10:10" x14ac:dyDescent="0.3">
      <c r="J108900"/>
    </row>
    <row r="108901" spans="10:10" x14ac:dyDescent="0.3">
      <c r="J108901"/>
    </row>
    <row r="108902" spans="10:10" x14ac:dyDescent="0.3">
      <c r="J108902"/>
    </row>
    <row r="108903" spans="10:10" x14ac:dyDescent="0.3">
      <c r="J108903"/>
    </row>
    <row r="108904" spans="10:10" x14ac:dyDescent="0.3">
      <c r="J108904"/>
    </row>
    <row r="108905" spans="10:10" x14ac:dyDescent="0.3">
      <c r="J108905"/>
    </row>
    <row r="108906" spans="10:10" x14ac:dyDescent="0.3">
      <c r="J108906"/>
    </row>
    <row r="108907" spans="10:10" x14ac:dyDescent="0.3">
      <c r="J108907"/>
    </row>
    <row r="108908" spans="10:10" x14ac:dyDescent="0.3">
      <c r="J108908"/>
    </row>
    <row r="108909" spans="10:10" x14ac:dyDescent="0.3">
      <c r="J108909"/>
    </row>
    <row r="108910" spans="10:10" x14ac:dyDescent="0.3">
      <c r="J108910"/>
    </row>
    <row r="108911" spans="10:10" x14ac:dyDescent="0.3">
      <c r="J108911"/>
    </row>
    <row r="108912" spans="10:10" x14ac:dyDescent="0.3">
      <c r="J108912"/>
    </row>
    <row r="108913" spans="10:10" x14ac:dyDescent="0.3">
      <c r="J108913"/>
    </row>
    <row r="108914" spans="10:10" x14ac:dyDescent="0.3">
      <c r="J108914"/>
    </row>
    <row r="108915" spans="10:10" x14ac:dyDescent="0.3">
      <c r="J108915"/>
    </row>
    <row r="108916" spans="10:10" x14ac:dyDescent="0.3">
      <c r="J108916"/>
    </row>
    <row r="108917" spans="10:10" x14ac:dyDescent="0.3">
      <c r="J108917"/>
    </row>
    <row r="108918" spans="10:10" x14ac:dyDescent="0.3">
      <c r="J108918"/>
    </row>
    <row r="108919" spans="10:10" x14ac:dyDescent="0.3">
      <c r="J108919"/>
    </row>
    <row r="108920" spans="10:10" x14ac:dyDescent="0.3">
      <c r="J108920"/>
    </row>
    <row r="108921" spans="10:10" x14ac:dyDescent="0.3">
      <c r="J108921"/>
    </row>
    <row r="108922" spans="10:10" x14ac:dyDescent="0.3">
      <c r="J108922"/>
    </row>
    <row r="108923" spans="10:10" x14ac:dyDescent="0.3">
      <c r="J108923"/>
    </row>
    <row r="108924" spans="10:10" x14ac:dyDescent="0.3">
      <c r="J108924"/>
    </row>
    <row r="108925" spans="10:10" x14ac:dyDescent="0.3">
      <c r="J108925"/>
    </row>
    <row r="108926" spans="10:10" x14ac:dyDescent="0.3">
      <c r="J108926"/>
    </row>
    <row r="108927" spans="10:10" x14ac:dyDescent="0.3">
      <c r="J108927"/>
    </row>
    <row r="108928" spans="10:10" x14ac:dyDescent="0.3">
      <c r="J108928"/>
    </row>
    <row r="108929" spans="10:10" x14ac:dyDescent="0.3">
      <c r="J108929"/>
    </row>
    <row r="108930" spans="10:10" x14ac:dyDescent="0.3">
      <c r="J108930"/>
    </row>
    <row r="108931" spans="10:10" x14ac:dyDescent="0.3">
      <c r="J108931"/>
    </row>
    <row r="108932" spans="10:10" x14ac:dyDescent="0.3">
      <c r="J108932"/>
    </row>
    <row r="108933" spans="10:10" x14ac:dyDescent="0.3">
      <c r="J108933"/>
    </row>
    <row r="108934" spans="10:10" x14ac:dyDescent="0.3">
      <c r="J108934"/>
    </row>
    <row r="108935" spans="10:10" x14ac:dyDescent="0.3">
      <c r="J108935"/>
    </row>
    <row r="108936" spans="10:10" x14ac:dyDescent="0.3">
      <c r="J108936"/>
    </row>
    <row r="108937" spans="10:10" x14ac:dyDescent="0.3">
      <c r="J108937"/>
    </row>
    <row r="108938" spans="10:10" x14ac:dyDescent="0.3">
      <c r="J108938"/>
    </row>
    <row r="108939" spans="10:10" x14ac:dyDescent="0.3">
      <c r="J108939"/>
    </row>
    <row r="108940" spans="10:10" x14ac:dyDescent="0.3">
      <c r="J108940"/>
    </row>
    <row r="108941" spans="10:10" x14ac:dyDescent="0.3">
      <c r="J108941"/>
    </row>
    <row r="108942" spans="10:10" x14ac:dyDescent="0.3">
      <c r="J108942"/>
    </row>
    <row r="108943" spans="10:10" x14ac:dyDescent="0.3">
      <c r="J108943"/>
    </row>
    <row r="108944" spans="10:10" x14ac:dyDescent="0.3">
      <c r="J108944"/>
    </row>
    <row r="108945" spans="10:10" x14ac:dyDescent="0.3">
      <c r="J108945"/>
    </row>
    <row r="108946" spans="10:10" x14ac:dyDescent="0.3">
      <c r="J108946"/>
    </row>
    <row r="108947" spans="10:10" x14ac:dyDescent="0.3">
      <c r="J108947"/>
    </row>
    <row r="108948" spans="10:10" x14ac:dyDescent="0.3">
      <c r="J108948"/>
    </row>
    <row r="108949" spans="10:10" x14ac:dyDescent="0.3">
      <c r="J108949"/>
    </row>
    <row r="108950" spans="10:10" x14ac:dyDescent="0.3">
      <c r="J108950"/>
    </row>
    <row r="108951" spans="10:10" x14ac:dyDescent="0.3">
      <c r="J108951"/>
    </row>
    <row r="108952" spans="10:10" x14ac:dyDescent="0.3">
      <c r="J108952"/>
    </row>
    <row r="108953" spans="10:10" x14ac:dyDescent="0.3">
      <c r="J108953"/>
    </row>
    <row r="108954" spans="10:10" x14ac:dyDescent="0.3">
      <c r="J108954"/>
    </row>
    <row r="108955" spans="10:10" x14ac:dyDescent="0.3">
      <c r="J108955"/>
    </row>
    <row r="108956" spans="10:10" x14ac:dyDescent="0.3">
      <c r="J108956"/>
    </row>
    <row r="108957" spans="10:10" x14ac:dyDescent="0.3">
      <c r="J108957"/>
    </row>
    <row r="108958" spans="10:10" x14ac:dyDescent="0.3">
      <c r="J108958"/>
    </row>
    <row r="108959" spans="10:10" x14ac:dyDescent="0.3">
      <c r="J108959"/>
    </row>
    <row r="108960" spans="10:10" x14ac:dyDescent="0.3">
      <c r="J108960"/>
    </row>
    <row r="108961" spans="10:10" x14ac:dyDescent="0.3">
      <c r="J108961"/>
    </row>
    <row r="108962" spans="10:10" x14ac:dyDescent="0.3">
      <c r="J108962"/>
    </row>
    <row r="108963" spans="10:10" x14ac:dyDescent="0.3">
      <c r="J108963"/>
    </row>
    <row r="108964" spans="10:10" x14ac:dyDescent="0.3">
      <c r="J108964"/>
    </row>
    <row r="108965" spans="10:10" x14ac:dyDescent="0.3">
      <c r="J108965"/>
    </row>
    <row r="108966" spans="10:10" x14ac:dyDescent="0.3">
      <c r="J108966"/>
    </row>
    <row r="108967" spans="10:10" x14ac:dyDescent="0.3">
      <c r="J108967"/>
    </row>
    <row r="108968" spans="10:10" x14ac:dyDescent="0.3">
      <c r="J108968"/>
    </row>
    <row r="108969" spans="10:10" x14ac:dyDescent="0.3">
      <c r="J108969"/>
    </row>
    <row r="108970" spans="10:10" x14ac:dyDescent="0.3">
      <c r="J108970"/>
    </row>
    <row r="108971" spans="10:10" x14ac:dyDescent="0.3">
      <c r="J108971"/>
    </row>
    <row r="108972" spans="10:10" x14ac:dyDescent="0.3">
      <c r="J108972"/>
    </row>
    <row r="108973" spans="10:10" x14ac:dyDescent="0.3">
      <c r="J108973"/>
    </row>
    <row r="108974" spans="10:10" x14ac:dyDescent="0.3">
      <c r="J108974"/>
    </row>
    <row r="108975" spans="10:10" x14ac:dyDescent="0.3">
      <c r="J108975"/>
    </row>
    <row r="108976" spans="10:10" x14ac:dyDescent="0.3">
      <c r="J108976"/>
    </row>
    <row r="108977" spans="10:10" x14ac:dyDescent="0.3">
      <c r="J108977"/>
    </row>
    <row r="108978" spans="10:10" x14ac:dyDescent="0.3">
      <c r="J108978"/>
    </row>
    <row r="108979" spans="10:10" x14ac:dyDescent="0.3">
      <c r="J108979"/>
    </row>
    <row r="108980" spans="10:10" x14ac:dyDescent="0.3">
      <c r="J108980"/>
    </row>
    <row r="108981" spans="10:10" x14ac:dyDescent="0.3">
      <c r="J108981"/>
    </row>
    <row r="108982" spans="10:10" x14ac:dyDescent="0.3">
      <c r="J108982"/>
    </row>
    <row r="108983" spans="10:10" x14ac:dyDescent="0.3">
      <c r="J108983"/>
    </row>
    <row r="108984" spans="10:10" x14ac:dyDescent="0.3">
      <c r="J108984"/>
    </row>
    <row r="108985" spans="10:10" x14ac:dyDescent="0.3">
      <c r="J108985"/>
    </row>
    <row r="108986" spans="10:10" x14ac:dyDescent="0.3">
      <c r="J108986"/>
    </row>
    <row r="108987" spans="10:10" x14ac:dyDescent="0.3">
      <c r="J108987"/>
    </row>
    <row r="108988" spans="10:10" x14ac:dyDescent="0.3">
      <c r="J108988"/>
    </row>
    <row r="108989" spans="10:10" x14ac:dyDescent="0.3">
      <c r="J108989"/>
    </row>
    <row r="108990" spans="10:10" x14ac:dyDescent="0.3">
      <c r="J108990"/>
    </row>
    <row r="108991" spans="10:10" x14ac:dyDescent="0.3">
      <c r="J108991"/>
    </row>
    <row r="108992" spans="10:10" x14ac:dyDescent="0.3">
      <c r="J108992"/>
    </row>
    <row r="108993" spans="10:10" x14ac:dyDescent="0.3">
      <c r="J108993"/>
    </row>
    <row r="108994" spans="10:10" x14ac:dyDescent="0.3">
      <c r="J108994"/>
    </row>
    <row r="108995" spans="10:10" x14ac:dyDescent="0.3">
      <c r="J108995"/>
    </row>
    <row r="108996" spans="10:10" x14ac:dyDescent="0.3">
      <c r="J108996"/>
    </row>
    <row r="108997" spans="10:10" x14ac:dyDescent="0.3">
      <c r="J108997"/>
    </row>
    <row r="108998" spans="10:10" x14ac:dyDescent="0.3">
      <c r="J108998"/>
    </row>
    <row r="108999" spans="10:10" x14ac:dyDescent="0.3">
      <c r="J108999"/>
    </row>
    <row r="109000" spans="10:10" x14ac:dyDescent="0.3">
      <c r="J109000"/>
    </row>
    <row r="109001" spans="10:10" x14ac:dyDescent="0.3">
      <c r="J109001"/>
    </row>
    <row r="109002" spans="10:10" x14ac:dyDescent="0.3">
      <c r="J109002"/>
    </row>
    <row r="109003" spans="10:10" x14ac:dyDescent="0.3">
      <c r="J109003"/>
    </row>
    <row r="109004" spans="10:10" x14ac:dyDescent="0.3">
      <c r="J109004"/>
    </row>
    <row r="109005" spans="10:10" x14ac:dyDescent="0.3">
      <c r="J109005"/>
    </row>
    <row r="109006" spans="10:10" x14ac:dyDescent="0.3">
      <c r="J109006"/>
    </row>
    <row r="109007" spans="10:10" x14ac:dyDescent="0.3">
      <c r="J109007"/>
    </row>
    <row r="109008" spans="10:10" x14ac:dyDescent="0.3">
      <c r="J109008"/>
    </row>
    <row r="109009" spans="10:10" x14ac:dyDescent="0.3">
      <c r="J109009"/>
    </row>
    <row r="109010" spans="10:10" x14ac:dyDescent="0.3">
      <c r="J109010"/>
    </row>
    <row r="109011" spans="10:10" x14ac:dyDescent="0.3">
      <c r="J109011"/>
    </row>
    <row r="109012" spans="10:10" x14ac:dyDescent="0.3">
      <c r="J109012"/>
    </row>
    <row r="109013" spans="10:10" x14ac:dyDescent="0.3">
      <c r="J109013"/>
    </row>
    <row r="109014" spans="10:10" x14ac:dyDescent="0.3">
      <c r="J109014"/>
    </row>
    <row r="109015" spans="10:10" x14ac:dyDescent="0.3">
      <c r="J109015"/>
    </row>
    <row r="109016" spans="10:10" x14ac:dyDescent="0.3">
      <c r="J109016"/>
    </row>
    <row r="109017" spans="10:10" x14ac:dyDescent="0.3">
      <c r="J109017"/>
    </row>
    <row r="109018" spans="10:10" x14ac:dyDescent="0.3">
      <c r="J109018"/>
    </row>
    <row r="109019" spans="10:10" x14ac:dyDescent="0.3">
      <c r="J109019"/>
    </row>
    <row r="109020" spans="10:10" x14ac:dyDescent="0.3">
      <c r="J109020"/>
    </row>
    <row r="109021" spans="10:10" x14ac:dyDescent="0.3">
      <c r="J109021"/>
    </row>
    <row r="109022" spans="10:10" x14ac:dyDescent="0.3">
      <c r="J109022"/>
    </row>
    <row r="109023" spans="10:10" x14ac:dyDescent="0.3">
      <c r="J109023"/>
    </row>
    <row r="109024" spans="10:10" x14ac:dyDescent="0.3">
      <c r="J109024"/>
    </row>
    <row r="109025" spans="10:10" x14ac:dyDescent="0.3">
      <c r="J109025"/>
    </row>
    <row r="109026" spans="10:10" x14ac:dyDescent="0.3">
      <c r="J109026"/>
    </row>
    <row r="109027" spans="10:10" x14ac:dyDescent="0.3">
      <c r="J109027"/>
    </row>
    <row r="109028" spans="10:10" x14ac:dyDescent="0.3">
      <c r="J109028"/>
    </row>
    <row r="109029" spans="10:10" x14ac:dyDescent="0.3">
      <c r="J109029"/>
    </row>
    <row r="109030" spans="10:10" x14ac:dyDescent="0.3">
      <c r="J109030"/>
    </row>
    <row r="109031" spans="10:10" x14ac:dyDescent="0.3">
      <c r="J109031"/>
    </row>
    <row r="109032" spans="10:10" x14ac:dyDescent="0.3">
      <c r="J109032"/>
    </row>
    <row r="109033" spans="10:10" x14ac:dyDescent="0.3">
      <c r="J109033"/>
    </row>
    <row r="109034" spans="10:10" x14ac:dyDescent="0.3">
      <c r="J109034"/>
    </row>
    <row r="109035" spans="10:10" x14ac:dyDescent="0.3">
      <c r="J109035"/>
    </row>
    <row r="109036" spans="10:10" x14ac:dyDescent="0.3">
      <c r="J109036"/>
    </row>
    <row r="109037" spans="10:10" x14ac:dyDescent="0.3">
      <c r="J109037"/>
    </row>
    <row r="109038" spans="10:10" x14ac:dyDescent="0.3">
      <c r="J109038"/>
    </row>
    <row r="109039" spans="10:10" x14ac:dyDescent="0.3">
      <c r="J109039"/>
    </row>
    <row r="109040" spans="10:10" x14ac:dyDescent="0.3">
      <c r="J109040"/>
    </row>
    <row r="109041" spans="10:10" x14ac:dyDescent="0.3">
      <c r="J109041"/>
    </row>
    <row r="109042" spans="10:10" x14ac:dyDescent="0.3">
      <c r="J109042"/>
    </row>
    <row r="109043" spans="10:10" x14ac:dyDescent="0.3">
      <c r="J109043"/>
    </row>
    <row r="109044" spans="10:10" x14ac:dyDescent="0.3">
      <c r="J109044"/>
    </row>
    <row r="109045" spans="10:10" x14ac:dyDescent="0.3">
      <c r="J109045"/>
    </row>
    <row r="109046" spans="10:10" x14ac:dyDescent="0.3">
      <c r="J109046"/>
    </row>
    <row r="109047" spans="10:10" x14ac:dyDescent="0.3">
      <c r="J109047"/>
    </row>
    <row r="109048" spans="10:10" x14ac:dyDescent="0.3">
      <c r="J109048"/>
    </row>
    <row r="109049" spans="10:10" x14ac:dyDescent="0.3">
      <c r="J109049"/>
    </row>
    <row r="109050" spans="10:10" x14ac:dyDescent="0.3">
      <c r="J109050"/>
    </row>
    <row r="109051" spans="10:10" x14ac:dyDescent="0.3">
      <c r="J109051"/>
    </row>
    <row r="109052" spans="10:10" x14ac:dyDescent="0.3">
      <c r="J109052"/>
    </row>
    <row r="109053" spans="10:10" x14ac:dyDescent="0.3">
      <c r="J109053"/>
    </row>
    <row r="109054" spans="10:10" x14ac:dyDescent="0.3">
      <c r="J109054"/>
    </row>
    <row r="109055" spans="10:10" x14ac:dyDescent="0.3">
      <c r="J109055"/>
    </row>
    <row r="109056" spans="10:10" x14ac:dyDescent="0.3">
      <c r="J109056"/>
    </row>
    <row r="109057" spans="10:10" x14ac:dyDescent="0.3">
      <c r="J109057"/>
    </row>
    <row r="109058" spans="10:10" x14ac:dyDescent="0.3">
      <c r="J109058"/>
    </row>
    <row r="109059" spans="10:10" x14ac:dyDescent="0.3">
      <c r="J109059"/>
    </row>
    <row r="109060" spans="10:10" x14ac:dyDescent="0.3">
      <c r="J109060"/>
    </row>
    <row r="109061" spans="10:10" x14ac:dyDescent="0.3">
      <c r="J109061"/>
    </row>
    <row r="109062" spans="10:10" x14ac:dyDescent="0.3">
      <c r="J109062"/>
    </row>
    <row r="109063" spans="10:10" x14ac:dyDescent="0.3">
      <c r="J109063"/>
    </row>
    <row r="109064" spans="10:10" x14ac:dyDescent="0.3">
      <c r="J109064"/>
    </row>
    <row r="109065" spans="10:10" x14ac:dyDescent="0.3">
      <c r="J109065"/>
    </row>
    <row r="109066" spans="10:10" x14ac:dyDescent="0.3">
      <c r="J109066"/>
    </row>
    <row r="109067" spans="10:10" x14ac:dyDescent="0.3">
      <c r="J109067"/>
    </row>
    <row r="109068" spans="10:10" x14ac:dyDescent="0.3">
      <c r="J109068"/>
    </row>
    <row r="109069" spans="10:10" x14ac:dyDescent="0.3">
      <c r="J109069"/>
    </row>
    <row r="109070" spans="10:10" x14ac:dyDescent="0.3">
      <c r="J109070"/>
    </row>
    <row r="109071" spans="10:10" x14ac:dyDescent="0.3">
      <c r="J109071"/>
    </row>
    <row r="109072" spans="10:10" x14ac:dyDescent="0.3">
      <c r="J109072"/>
    </row>
    <row r="109073" spans="10:10" x14ac:dyDescent="0.3">
      <c r="J109073"/>
    </row>
    <row r="109074" spans="10:10" x14ac:dyDescent="0.3">
      <c r="J109074"/>
    </row>
    <row r="109075" spans="10:10" x14ac:dyDescent="0.3">
      <c r="J109075"/>
    </row>
    <row r="109076" spans="10:10" x14ac:dyDescent="0.3">
      <c r="J109076"/>
    </row>
    <row r="109077" spans="10:10" x14ac:dyDescent="0.3">
      <c r="J109077"/>
    </row>
    <row r="109078" spans="10:10" x14ac:dyDescent="0.3">
      <c r="J109078"/>
    </row>
    <row r="109079" spans="10:10" x14ac:dyDescent="0.3">
      <c r="J109079"/>
    </row>
    <row r="109080" spans="10:10" x14ac:dyDescent="0.3">
      <c r="J109080"/>
    </row>
    <row r="109081" spans="10:10" x14ac:dyDescent="0.3">
      <c r="J109081"/>
    </row>
    <row r="109082" spans="10:10" x14ac:dyDescent="0.3">
      <c r="J109082"/>
    </row>
    <row r="109083" spans="10:10" x14ac:dyDescent="0.3">
      <c r="J109083"/>
    </row>
    <row r="109084" spans="10:10" x14ac:dyDescent="0.3">
      <c r="J109084"/>
    </row>
    <row r="109085" spans="10:10" x14ac:dyDescent="0.3">
      <c r="J109085"/>
    </row>
    <row r="109086" spans="10:10" x14ac:dyDescent="0.3">
      <c r="J109086"/>
    </row>
    <row r="109087" spans="10:10" x14ac:dyDescent="0.3">
      <c r="J109087"/>
    </row>
    <row r="109088" spans="10:10" x14ac:dyDescent="0.3">
      <c r="J109088"/>
    </row>
    <row r="109089" spans="10:10" x14ac:dyDescent="0.3">
      <c r="J109089"/>
    </row>
    <row r="109090" spans="10:10" x14ac:dyDescent="0.3">
      <c r="J109090"/>
    </row>
    <row r="109091" spans="10:10" x14ac:dyDescent="0.3">
      <c r="J109091"/>
    </row>
    <row r="109092" spans="10:10" x14ac:dyDescent="0.3">
      <c r="J109092"/>
    </row>
    <row r="109093" spans="10:10" x14ac:dyDescent="0.3">
      <c r="J109093"/>
    </row>
    <row r="109094" spans="10:10" x14ac:dyDescent="0.3">
      <c r="J109094"/>
    </row>
    <row r="109095" spans="10:10" x14ac:dyDescent="0.3">
      <c r="J109095"/>
    </row>
    <row r="109096" spans="10:10" x14ac:dyDescent="0.3">
      <c r="J109096"/>
    </row>
    <row r="109097" spans="10:10" x14ac:dyDescent="0.3">
      <c r="J109097"/>
    </row>
    <row r="109098" spans="10:10" x14ac:dyDescent="0.3">
      <c r="J109098"/>
    </row>
    <row r="109099" spans="10:10" x14ac:dyDescent="0.3">
      <c r="J109099"/>
    </row>
    <row r="109100" spans="10:10" x14ac:dyDescent="0.3">
      <c r="J109100"/>
    </row>
    <row r="109101" spans="10:10" x14ac:dyDescent="0.3">
      <c r="J109101"/>
    </row>
    <row r="109102" spans="10:10" x14ac:dyDescent="0.3">
      <c r="J109102"/>
    </row>
    <row r="109103" spans="10:10" x14ac:dyDescent="0.3">
      <c r="J109103"/>
    </row>
    <row r="109104" spans="10:10" x14ac:dyDescent="0.3">
      <c r="J109104"/>
    </row>
    <row r="109105" spans="10:10" x14ac:dyDescent="0.3">
      <c r="J109105"/>
    </row>
    <row r="109106" spans="10:10" x14ac:dyDescent="0.3">
      <c r="J109106"/>
    </row>
    <row r="109107" spans="10:10" x14ac:dyDescent="0.3">
      <c r="J109107"/>
    </row>
    <row r="109108" spans="10:10" x14ac:dyDescent="0.3">
      <c r="J109108"/>
    </row>
    <row r="109109" spans="10:10" x14ac:dyDescent="0.3">
      <c r="J109109"/>
    </row>
    <row r="109110" spans="10:10" x14ac:dyDescent="0.3">
      <c r="J109110"/>
    </row>
    <row r="109111" spans="10:10" x14ac:dyDescent="0.3">
      <c r="J109111"/>
    </row>
    <row r="109112" spans="10:10" x14ac:dyDescent="0.3">
      <c r="J109112"/>
    </row>
    <row r="109113" spans="10:10" x14ac:dyDescent="0.3">
      <c r="J109113"/>
    </row>
    <row r="109114" spans="10:10" x14ac:dyDescent="0.3">
      <c r="J109114"/>
    </row>
    <row r="109115" spans="10:10" x14ac:dyDescent="0.3">
      <c r="J109115"/>
    </row>
    <row r="109116" spans="10:10" x14ac:dyDescent="0.3">
      <c r="J109116"/>
    </row>
    <row r="109117" spans="10:10" x14ac:dyDescent="0.3">
      <c r="J109117"/>
    </row>
    <row r="109118" spans="10:10" x14ac:dyDescent="0.3">
      <c r="J109118"/>
    </row>
    <row r="109119" spans="10:10" x14ac:dyDescent="0.3">
      <c r="J109119"/>
    </row>
    <row r="109120" spans="10:10" x14ac:dyDescent="0.3">
      <c r="J109120"/>
    </row>
    <row r="109121" spans="10:10" x14ac:dyDescent="0.3">
      <c r="J109121"/>
    </row>
    <row r="109122" spans="10:10" x14ac:dyDescent="0.3">
      <c r="J109122"/>
    </row>
    <row r="109123" spans="10:10" x14ac:dyDescent="0.3">
      <c r="J109123"/>
    </row>
    <row r="109124" spans="10:10" x14ac:dyDescent="0.3">
      <c r="J109124"/>
    </row>
    <row r="109125" spans="10:10" x14ac:dyDescent="0.3">
      <c r="J109125"/>
    </row>
    <row r="109126" spans="10:10" x14ac:dyDescent="0.3">
      <c r="J109126"/>
    </row>
    <row r="109127" spans="10:10" x14ac:dyDescent="0.3">
      <c r="J109127"/>
    </row>
    <row r="109128" spans="10:10" x14ac:dyDescent="0.3">
      <c r="J109128"/>
    </row>
    <row r="109129" spans="10:10" x14ac:dyDescent="0.3">
      <c r="J109129"/>
    </row>
    <row r="109130" spans="10:10" x14ac:dyDescent="0.3">
      <c r="J109130"/>
    </row>
    <row r="109131" spans="10:10" x14ac:dyDescent="0.3">
      <c r="J109131"/>
    </row>
    <row r="109132" spans="10:10" x14ac:dyDescent="0.3">
      <c r="J109132"/>
    </row>
    <row r="109133" spans="10:10" x14ac:dyDescent="0.3">
      <c r="J109133"/>
    </row>
    <row r="109134" spans="10:10" x14ac:dyDescent="0.3">
      <c r="J109134"/>
    </row>
    <row r="109135" spans="10:10" x14ac:dyDescent="0.3">
      <c r="J109135"/>
    </row>
    <row r="109136" spans="10:10" x14ac:dyDescent="0.3">
      <c r="J109136"/>
    </row>
    <row r="109137" spans="10:10" x14ac:dyDescent="0.3">
      <c r="J109137"/>
    </row>
    <row r="109138" spans="10:10" x14ac:dyDescent="0.3">
      <c r="J109138"/>
    </row>
    <row r="109139" spans="10:10" x14ac:dyDescent="0.3">
      <c r="J109139"/>
    </row>
    <row r="109140" spans="10:10" x14ac:dyDescent="0.3">
      <c r="J109140"/>
    </row>
    <row r="109141" spans="10:10" x14ac:dyDescent="0.3">
      <c r="J109141"/>
    </row>
    <row r="109142" spans="10:10" x14ac:dyDescent="0.3">
      <c r="J109142"/>
    </row>
    <row r="109143" spans="10:10" x14ac:dyDescent="0.3">
      <c r="J109143"/>
    </row>
    <row r="109144" spans="10:10" x14ac:dyDescent="0.3">
      <c r="J109144"/>
    </row>
    <row r="109145" spans="10:10" x14ac:dyDescent="0.3">
      <c r="J109145"/>
    </row>
    <row r="109146" spans="10:10" x14ac:dyDescent="0.3">
      <c r="J109146"/>
    </row>
    <row r="109147" spans="10:10" x14ac:dyDescent="0.3">
      <c r="J109147"/>
    </row>
    <row r="109148" spans="10:10" x14ac:dyDescent="0.3">
      <c r="J109148"/>
    </row>
    <row r="109149" spans="10:10" x14ac:dyDescent="0.3">
      <c r="J109149"/>
    </row>
    <row r="109150" spans="10:10" x14ac:dyDescent="0.3">
      <c r="J109150"/>
    </row>
    <row r="109151" spans="10:10" x14ac:dyDescent="0.3">
      <c r="J109151"/>
    </row>
    <row r="109152" spans="10:10" x14ac:dyDescent="0.3">
      <c r="J109152"/>
    </row>
    <row r="109153" spans="10:10" x14ac:dyDescent="0.3">
      <c r="J109153"/>
    </row>
    <row r="109154" spans="10:10" x14ac:dyDescent="0.3">
      <c r="J109154"/>
    </row>
    <row r="109155" spans="10:10" x14ac:dyDescent="0.3">
      <c r="J109155"/>
    </row>
    <row r="109156" spans="10:10" x14ac:dyDescent="0.3">
      <c r="J109156"/>
    </row>
    <row r="109157" spans="10:10" x14ac:dyDescent="0.3">
      <c r="J109157"/>
    </row>
    <row r="109158" spans="10:10" x14ac:dyDescent="0.3">
      <c r="J109158"/>
    </row>
    <row r="109159" spans="10:10" x14ac:dyDescent="0.3">
      <c r="J109159"/>
    </row>
    <row r="109160" spans="10:10" x14ac:dyDescent="0.3">
      <c r="J109160"/>
    </row>
    <row r="109161" spans="10:10" x14ac:dyDescent="0.3">
      <c r="J109161"/>
    </row>
    <row r="109162" spans="10:10" x14ac:dyDescent="0.3">
      <c r="J109162"/>
    </row>
    <row r="109163" spans="10:10" x14ac:dyDescent="0.3">
      <c r="J109163"/>
    </row>
    <row r="109164" spans="10:10" x14ac:dyDescent="0.3">
      <c r="J109164"/>
    </row>
    <row r="109165" spans="10:10" x14ac:dyDescent="0.3">
      <c r="J109165"/>
    </row>
    <row r="109166" spans="10:10" x14ac:dyDescent="0.3">
      <c r="J109166"/>
    </row>
    <row r="109167" spans="10:10" x14ac:dyDescent="0.3">
      <c r="J109167"/>
    </row>
    <row r="109168" spans="10:10" x14ac:dyDescent="0.3">
      <c r="J109168"/>
    </row>
    <row r="109169" spans="10:10" x14ac:dyDescent="0.3">
      <c r="J109169"/>
    </row>
    <row r="109170" spans="10:10" x14ac:dyDescent="0.3">
      <c r="J109170"/>
    </row>
    <row r="109171" spans="10:10" x14ac:dyDescent="0.3">
      <c r="J109171"/>
    </row>
    <row r="109172" spans="10:10" x14ac:dyDescent="0.3">
      <c r="J109172"/>
    </row>
    <row r="109173" spans="10:10" x14ac:dyDescent="0.3">
      <c r="J109173"/>
    </row>
    <row r="109174" spans="10:10" x14ac:dyDescent="0.3">
      <c r="J109174"/>
    </row>
    <row r="109175" spans="10:10" x14ac:dyDescent="0.3">
      <c r="J109175"/>
    </row>
    <row r="109176" spans="10:10" x14ac:dyDescent="0.3">
      <c r="J109176"/>
    </row>
    <row r="109177" spans="10:10" x14ac:dyDescent="0.3">
      <c r="J109177"/>
    </row>
    <row r="109178" spans="10:10" x14ac:dyDescent="0.3">
      <c r="J109178"/>
    </row>
    <row r="109179" spans="10:10" x14ac:dyDescent="0.3">
      <c r="J109179"/>
    </row>
    <row r="109180" spans="10:10" x14ac:dyDescent="0.3">
      <c r="J109180"/>
    </row>
    <row r="109181" spans="10:10" x14ac:dyDescent="0.3">
      <c r="J109181"/>
    </row>
    <row r="109182" spans="10:10" x14ac:dyDescent="0.3">
      <c r="J109182"/>
    </row>
    <row r="109183" spans="10:10" x14ac:dyDescent="0.3">
      <c r="J109183"/>
    </row>
    <row r="109184" spans="10:10" x14ac:dyDescent="0.3">
      <c r="J109184"/>
    </row>
    <row r="109185" spans="10:10" x14ac:dyDescent="0.3">
      <c r="J109185"/>
    </row>
    <row r="109186" spans="10:10" x14ac:dyDescent="0.3">
      <c r="J109186"/>
    </row>
    <row r="109187" spans="10:10" x14ac:dyDescent="0.3">
      <c r="J109187"/>
    </row>
    <row r="109188" spans="10:10" x14ac:dyDescent="0.3">
      <c r="J109188"/>
    </row>
    <row r="109189" spans="10:10" x14ac:dyDescent="0.3">
      <c r="J109189"/>
    </row>
    <row r="109190" spans="10:10" x14ac:dyDescent="0.3">
      <c r="J109190"/>
    </row>
    <row r="109191" spans="10:10" x14ac:dyDescent="0.3">
      <c r="J109191"/>
    </row>
    <row r="109192" spans="10:10" x14ac:dyDescent="0.3">
      <c r="J109192"/>
    </row>
    <row r="109193" spans="10:10" x14ac:dyDescent="0.3">
      <c r="J109193"/>
    </row>
    <row r="109194" spans="10:10" x14ac:dyDescent="0.3">
      <c r="J109194"/>
    </row>
    <row r="109195" spans="10:10" x14ac:dyDescent="0.3">
      <c r="J109195"/>
    </row>
    <row r="109196" spans="10:10" x14ac:dyDescent="0.3">
      <c r="J109196"/>
    </row>
    <row r="109197" spans="10:10" x14ac:dyDescent="0.3">
      <c r="J109197"/>
    </row>
    <row r="109198" spans="10:10" x14ac:dyDescent="0.3">
      <c r="J109198"/>
    </row>
    <row r="109199" spans="10:10" x14ac:dyDescent="0.3">
      <c r="J109199"/>
    </row>
    <row r="109200" spans="10:10" x14ac:dyDescent="0.3">
      <c r="J109200"/>
    </row>
    <row r="109201" spans="10:10" x14ac:dyDescent="0.3">
      <c r="J109201"/>
    </row>
    <row r="109202" spans="10:10" x14ac:dyDescent="0.3">
      <c r="J109202"/>
    </row>
    <row r="109203" spans="10:10" x14ac:dyDescent="0.3">
      <c r="J109203"/>
    </row>
    <row r="109204" spans="10:10" x14ac:dyDescent="0.3">
      <c r="J109204"/>
    </row>
    <row r="109205" spans="10:10" x14ac:dyDescent="0.3">
      <c r="J109205"/>
    </row>
    <row r="109206" spans="10:10" x14ac:dyDescent="0.3">
      <c r="J109206"/>
    </row>
    <row r="109207" spans="10:10" x14ac:dyDescent="0.3">
      <c r="J109207"/>
    </row>
    <row r="109208" spans="10:10" x14ac:dyDescent="0.3">
      <c r="J109208"/>
    </row>
    <row r="109209" spans="10:10" x14ac:dyDescent="0.3">
      <c r="J109209"/>
    </row>
    <row r="109210" spans="10:10" x14ac:dyDescent="0.3">
      <c r="J109210"/>
    </row>
    <row r="109211" spans="10:10" x14ac:dyDescent="0.3">
      <c r="J109211"/>
    </row>
    <row r="109212" spans="10:10" x14ac:dyDescent="0.3">
      <c r="J109212"/>
    </row>
    <row r="109213" spans="10:10" x14ac:dyDescent="0.3">
      <c r="J109213"/>
    </row>
    <row r="109214" spans="10:10" x14ac:dyDescent="0.3">
      <c r="J109214"/>
    </row>
    <row r="109215" spans="10:10" x14ac:dyDescent="0.3">
      <c r="J109215"/>
    </row>
    <row r="109216" spans="10:10" x14ac:dyDescent="0.3">
      <c r="J109216"/>
    </row>
    <row r="109217" spans="10:10" x14ac:dyDescent="0.3">
      <c r="J109217"/>
    </row>
    <row r="109218" spans="10:10" x14ac:dyDescent="0.3">
      <c r="J109218"/>
    </row>
    <row r="109219" spans="10:10" x14ac:dyDescent="0.3">
      <c r="J109219"/>
    </row>
    <row r="109220" spans="10:10" x14ac:dyDescent="0.3">
      <c r="J109220"/>
    </row>
    <row r="109221" spans="10:10" x14ac:dyDescent="0.3">
      <c r="J109221"/>
    </row>
    <row r="109222" spans="10:10" x14ac:dyDescent="0.3">
      <c r="J109222"/>
    </row>
    <row r="109223" spans="10:10" x14ac:dyDescent="0.3">
      <c r="J109223"/>
    </row>
    <row r="109224" spans="10:10" x14ac:dyDescent="0.3">
      <c r="J109224"/>
    </row>
    <row r="109225" spans="10:10" x14ac:dyDescent="0.3">
      <c r="J109225"/>
    </row>
    <row r="109226" spans="10:10" x14ac:dyDescent="0.3">
      <c r="J109226"/>
    </row>
    <row r="109227" spans="10:10" x14ac:dyDescent="0.3">
      <c r="J109227"/>
    </row>
    <row r="109228" spans="10:10" x14ac:dyDescent="0.3">
      <c r="J109228"/>
    </row>
    <row r="109229" spans="10:10" x14ac:dyDescent="0.3">
      <c r="J109229"/>
    </row>
    <row r="109230" spans="10:10" x14ac:dyDescent="0.3">
      <c r="J109230"/>
    </row>
    <row r="109231" spans="10:10" x14ac:dyDescent="0.3">
      <c r="J109231"/>
    </row>
    <row r="109232" spans="10:10" x14ac:dyDescent="0.3">
      <c r="J109232"/>
    </row>
    <row r="109233" spans="10:10" x14ac:dyDescent="0.3">
      <c r="J109233"/>
    </row>
    <row r="109234" spans="10:10" x14ac:dyDescent="0.3">
      <c r="J109234"/>
    </row>
    <row r="109235" spans="10:10" x14ac:dyDescent="0.3">
      <c r="J109235"/>
    </row>
    <row r="109236" spans="10:10" x14ac:dyDescent="0.3">
      <c r="J109236"/>
    </row>
    <row r="109237" spans="10:10" x14ac:dyDescent="0.3">
      <c r="J109237"/>
    </row>
    <row r="109238" spans="10:10" x14ac:dyDescent="0.3">
      <c r="J109238"/>
    </row>
    <row r="109239" spans="10:10" x14ac:dyDescent="0.3">
      <c r="J109239"/>
    </row>
    <row r="109240" spans="10:10" x14ac:dyDescent="0.3">
      <c r="J109240"/>
    </row>
    <row r="109241" spans="10:10" x14ac:dyDescent="0.3">
      <c r="J109241"/>
    </row>
    <row r="109242" spans="10:10" x14ac:dyDescent="0.3">
      <c r="J109242"/>
    </row>
    <row r="109243" spans="10:10" x14ac:dyDescent="0.3">
      <c r="J109243"/>
    </row>
    <row r="109244" spans="10:10" x14ac:dyDescent="0.3">
      <c r="J109244"/>
    </row>
    <row r="109245" spans="10:10" x14ac:dyDescent="0.3">
      <c r="J109245"/>
    </row>
    <row r="109246" spans="10:10" x14ac:dyDescent="0.3">
      <c r="J109246"/>
    </row>
    <row r="109247" spans="10:10" x14ac:dyDescent="0.3">
      <c r="J109247"/>
    </row>
    <row r="109248" spans="10:10" x14ac:dyDescent="0.3">
      <c r="J109248"/>
    </row>
    <row r="109249" spans="10:10" x14ac:dyDescent="0.3">
      <c r="J109249"/>
    </row>
    <row r="109250" spans="10:10" x14ac:dyDescent="0.3">
      <c r="J109250"/>
    </row>
    <row r="109251" spans="10:10" x14ac:dyDescent="0.3">
      <c r="J109251"/>
    </row>
    <row r="109252" spans="10:10" x14ac:dyDescent="0.3">
      <c r="J109252"/>
    </row>
    <row r="109253" spans="10:10" x14ac:dyDescent="0.3">
      <c r="J109253"/>
    </row>
    <row r="109254" spans="10:10" x14ac:dyDescent="0.3">
      <c r="J109254"/>
    </row>
    <row r="109255" spans="10:10" x14ac:dyDescent="0.3">
      <c r="J109255"/>
    </row>
    <row r="109256" spans="10:10" x14ac:dyDescent="0.3">
      <c r="J109256"/>
    </row>
    <row r="109257" spans="10:10" x14ac:dyDescent="0.3">
      <c r="J109257"/>
    </row>
    <row r="109258" spans="10:10" x14ac:dyDescent="0.3">
      <c r="J109258"/>
    </row>
    <row r="109259" spans="10:10" x14ac:dyDescent="0.3">
      <c r="J109259"/>
    </row>
    <row r="109260" spans="10:10" x14ac:dyDescent="0.3">
      <c r="J109260"/>
    </row>
    <row r="109261" spans="10:10" x14ac:dyDescent="0.3">
      <c r="J109261"/>
    </row>
    <row r="109262" spans="10:10" x14ac:dyDescent="0.3">
      <c r="J109262"/>
    </row>
    <row r="109263" spans="10:10" x14ac:dyDescent="0.3">
      <c r="J109263"/>
    </row>
    <row r="109264" spans="10:10" x14ac:dyDescent="0.3">
      <c r="J109264"/>
    </row>
    <row r="109265" spans="10:10" x14ac:dyDescent="0.3">
      <c r="J109265"/>
    </row>
    <row r="109266" spans="10:10" x14ac:dyDescent="0.3">
      <c r="J109266"/>
    </row>
    <row r="109267" spans="10:10" x14ac:dyDescent="0.3">
      <c r="J109267"/>
    </row>
    <row r="109268" spans="10:10" x14ac:dyDescent="0.3">
      <c r="J109268"/>
    </row>
    <row r="109269" spans="10:10" x14ac:dyDescent="0.3">
      <c r="J109269"/>
    </row>
    <row r="109270" spans="10:10" x14ac:dyDescent="0.3">
      <c r="J109270"/>
    </row>
    <row r="109271" spans="10:10" x14ac:dyDescent="0.3">
      <c r="J109271"/>
    </row>
    <row r="109272" spans="10:10" x14ac:dyDescent="0.3">
      <c r="J109272"/>
    </row>
    <row r="109273" spans="10:10" x14ac:dyDescent="0.3">
      <c r="J109273"/>
    </row>
    <row r="109274" spans="10:10" x14ac:dyDescent="0.3">
      <c r="J109274"/>
    </row>
    <row r="109275" spans="10:10" x14ac:dyDescent="0.3">
      <c r="J109275"/>
    </row>
    <row r="109276" spans="10:10" x14ac:dyDescent="0.3">
      <c r="J109276"/>
    </row>
    <row r="109277" spans="10:10" x14ac:dyDescent="0.3">
      <c r="J109277"/>
    </row>
    <row r="109278" spans="10:10" x14ac:dyDescent="0.3">
      <c r="J109278"/>
    </row>
    <row r="109279" spans="10:10" x14ac:dyDescent="0.3">
      <c r="J109279"/>
    </row>
    <row r="109280" spans="10:10" x14ac:dyDescent="0.3">
      <c r="J109280"/>
    </row>
    <row r="109281" spans="10:10" x14ac:dyDescent="0.3">
      <c r="J109281"/>
    </row>
    <row r="109282" spans="10:10" x14ac:dyDescent="0.3">
      <c r="J109282"/>
    </row>
    <row r="109283" spans="10:10" x14ac:dyDescent="0.3">
      <c r="J109283"/>
    </row>
    <row r="109284" spans="10:10" x14ac:dyDescent="0.3">
      <c r="J109284"/>
    </row>
    <row r="109285" spans="10:10" x14ac:dyDescent="0.3">
      <c r="J109285"/>
    </row>
    <row r="109286" spans="10:10" x14ac:dyDescent="0.3">
      <c r="J109286"/>
    </row>
    <row r="109287" spans="10:10" x14ac:dyDescent="0.3">
      <c r="J109287"/>
    </row>
    <row r="109288" spans="10:10" x14ac:dyDescent="0.3">
      <c r="J109288"/>
    </row>
    <row r="109289" spans="10:10" x14ac:dyDescent="0.3">
      <c r="J109289"/>
    </row>
    <row r="109290" spans="10:10" x14ac:dyDescent="0.3">
      <c r="J109290"/>
    </row>
    <row r="109291" spans="10:10" x14ac:dyDescent="0.3">
      <c r="J109291"/>
    </row>
    <row r="109292" spans="10:10" x14ac:dyDescent="0.3">
      <c r="J109292"/>
    </row>
    <row r="109293" spans="10:10" x14ac:dyDescent="0.3">
      <c r="J109293"/>
    </row>
    <row r="109294" spans="10:10" x14ac:dyDescent="0.3">
      <c r="J109294"/>
    </row>
    <row r="109295" spans="10:10" x14ac:dyDescent="0.3">
      <c r="J109295"/>
    </row>
    <row r="109296" spans="10:10" x14ac:dyDescent="0.3">
      <c r="J109296"/>
    </row>
    <row r="109297" spans="10:10" x14ac:dyDescent="0.3">
      <c r="J109297"/>
    </row>
    <row r="109298" spans="10:10" x14ac:dyDescent="0.3">
      <c r="J109298"/>
    </row>
    <row r="109299" spans="10:10" x14ac:dyDescent="0.3">
      <c r="J109299"/>
    </row>
    <row r="109300" spans="10:10" x14ac:dyDescent="0.3">
      <c r="J109300"/>
    </row>
    <row r="109301" spans="10:10" x14ac:dyDescent="0.3">
      <c r="J109301"/>
    </row>
    <row r="109302" spans="10:10" x14ac:dyDescent="0.3">
      <c r="J109302"/>
    </row>
    <row r="109303" spans="10:10" x14ac:dyDescent="0.3">
      <c r="J109303"/>
    </row>
    <row r="109304" spans="10:10" x14ac:dyDescent="0.3">
      <c r="J109304"/>
    </row>
    <row r="109305" spans="10:10" x14ac:dyDescent="0.3">
      <c r="J109305"/>
    </row>
    <row r="109306" spans="10:10" x14ac:dyDescent="0.3">
      <c r="J109306"/>
    </row>
    <row r="109307" spans="10:10" x14ac:dyDescent="0.3">
      <c r="J109307"/>
    </row>
    <row r="109308" spans="10:10" x14ac:dyDescent="0.3">
      <c r="J109308"/>
    </row>
    <row r="109309" spans="10:10" x14ac:dyDescent="0.3">
      <c r="J109309"/>
    </row>
    <row r="109310" spans="10:10" x14ac:dyDescent="0.3">
      <c r="J109310"/>
    </row>
    <row r="109311" spans="10:10" x14ac:dyDescent="0.3">
      <c r="J109311"/>
    </row>
    <row r="109312" spans="10:10" x14ac:dyDescent="0.3">
      <c r="J109312"/>
    </row>
    <row r="109313" spans="10:10" x14ac:dyDescent="0.3">
      <c r="J109313"/>
    </row>
    <row r="109314" spans="10:10" x14ac:dyDescent="0.3">
      <c r="J109314"/>
    </row>
    <row r="109315" spans="10:10" x14ac:dyDescent="0.3">
      <c r="J109315"/>
    </row>
    <row r="109316" spans="10:10" x14ac:dyDescent="0.3">
      <c r="J109316"/>
    </row>
    <row r="109317" spans="10:10" x14ac:dyDescent="0.3">
      <c r="J109317"/>
    </row>
    <row r="109318" spans="10:10" x14ac:dyDescent="0.3">
      <c r="J109318"/>
    </row>
    <row r="109319" spans="10:10" x14ac:dyDescent="0.3">
      <c r="J109319"/>
    </row>
    <row r="109320" spans="10:10" x14ac:dyDescent="0.3">
      <c r="J109320"/>
    </row>
    <row r="109321" spans="10:10" x14ac:dyDescent="0.3">
      <c r="J109321"/>
    </row>
    <row r="109322" spans="10:10" x14ac:dyDescent="0.3">
      <c r="J109322"/>
    </row>
    <row r="109323" spans="10:10" x14ac:dyDescent="0.3">
      <c r="J109323"/>
    </row>
    <row r="109324" spans="10:10" x14ac:dyDescent="0.3">
      <c r="J109324"/>
    </row>
    <row r="109325" spans="10:10" x14ac:dyDescent="0.3">
      <c r="J109325"/>
    </row>
    <row r="109326" spans="10:10" x14ac:dyDescent="0.3">
      <c r="J109326"/>
    </row>
    <row r="109327" spans="10:10" x14ac:dyDescent="0.3">
      <c r="J109327"/>
    </row>
    <row r="109328" spans="10:10" x14ac:dyDescent="0.3">
      <c r="J109328"/>
    </row>
    <row r="109329" spans="10:10" x14ac:dyDescent="0.3">
      <c r="J109329"/>
    </row>
    <row r="109330" spans="10:10" x14ac:dyDescent="0.3">
      <c r="J109330"/>
    </row>
    <row r="109331" spans="10:10" x14ac:dyDescent="0.3">
      <c r="J109331"/>
    </row>
    <row r="109332" spans="10:10" x14ac:dyDescent="0.3">
      <c r="J109332"/>
    </row>
    <row r="109333" spans="10:10" x14ac:dyDescent="0.3">
      <c r="J109333"/>
    </row>
    <row r="109334" spans="10:10" x14ac:dyDescent="0.3">
      <c r="J109334"/>
    </row>
    <row r="109335" spans="10:10" x14ac:dyDescent="0.3">
      <c r="J109335"/>
    </row>
    <row r="109336" spans="10:10" x14ac:dyDescent="0.3">
      <c r="J109336"/>
    </row>
    <row r="109337" spans="10:10" x14ac:dyDescent="0.3">
      <c r="J109337"/>
    </row>
    <row r="109338" spans="10:10" x14ac:dyDescent="0.3">
      <c r="J109338"/>
    </row>
    <row r="109339" spans="10:10" x14ac:dyDescent="0.3">
      <c r="J109339"/>
    </row>
    <row r="109340" spans="10:10" x14ac:dyDescent="0.3">
      <c r="J109340"/>
    </row>
    <row r="109341" spans="10:10" x14ac:dyDescent="0.3">
      <c r="J109341"/>
    </row>
    <row r="109342" spans="10:10" x14ac:dyDescent="0.3">
      <c r="J109342"/>
    </row>
    <row r="109343" spans="10:10" x14ac:dyDescent="0.3">
      <c r="J109343"/>
    </row>
    <row r="109344" spans="10:10" x14ac:dyDescent="0.3">
      <c r="J109344"/>
    </row>
    <row r="109345" spans="10:10" x14ac:dyDescent="0.3">
      <c r="J109345"/>
    </row>
    <row r="109346" spans="10:10" x14ac:dyDescent="0.3">
      <c r="J109346"/>
    </row>
    <row r="109347" spans="10:10" x14ac:dyDescent="0.3">
      <c r="J109347"/>
    </row>
    <row r="109348" spans="10:10" x14ac:dyDescent="0.3">
      <c r="J109348"/>
    </row>
    <row r="109349" spans="10:10" x14ac:dyDescent="0.3">
      <c r="J109349"/>
    </row>
    <row r="109350" spans="10:10" x14ac:dyDescent="0.3">
      <c r="J109350"/>
    </row>
    <row r="109351" spans="10:10" x14ac:dyDescent="0.3">
      <c r="J109351"/>
    </row>
    <row r="109352" spans="10:10" x14ac:dyDescent="0.3">
      <c r="J109352"/>
    </row>
    <row r="109353" spans="10:10" x14ac:dyDescent="0.3">
      <c r="J109353"/>
    </row>
    <row r="109354" spans="10:10" x14ac:dyDescent="0.3">
      <c r="J109354"/>
    </row>
    <row r="109355" spans="10:10" x14ac:dyDescent="0.3">
      <c r="J109355"/>
    </row>
    <row r="109356" spans="10:10" x14ac:dyDescent="0.3">
      <c r="J109356"/>
    </row>
    <row r="109357" spans="10:10" x14ac:dyDescent="0.3">
      <c r="J109357"/>
    </row>
    <row r="109358" spans="10:10" x14ac:dyDescent="0.3">
      <c r="J109358"/>
    </row>
    <row r="109359" spans="10:10" x14ac:dyDescent="0.3">
      <c r="J109359"/>
    </row>
    <row r="109360" spans="10:10" x14ac:dyDescent="0.3">
      <c r="J109360"/>
    </row>
    <row r="109361" spans="10:10" x14ac:dyDescent="0.3">
      <c r="J109361"/>
    </row>
    <row r="109362" spans="10:10" x14ac:dyDescent="0.3">
      <c r="J109362"/>
    </row>
    <row r="109363" spans="10:10" x14ac:dyDescent="0.3">
      <c r="J109363"/>
    </row>
    <row r="109364" spans="10:10" x14ac:dyDescent="0.3">
      <c r="J109364"/>
    </row>
    <row r="109365" spans="10:10" x14ac:dyDescent="0.3">
      <c r="J109365"/>
    </row>
    <row r="109366" spans="10:10" x14ac:dyDescent="0.3">
      <c r="J109366"/>
    </row>
    <row r="109367" spans="10:10" x14ac:dyDescent="0.3">
      <c r="J109367"/>
    </row>
    <row r="109368" spans="10:10" x14ac:dyDescent="0.3">
      <c r="J109368"/>
    </row>
    <row r="109369" spans="10:10" x14ac:dyDescent="0.3">
      <c r="J109369"/>
    </row>
    <row r="109370" spans="10:10" x14ac:dyDescent="0.3">
      <c r="J109370"/>
    </row>
    <row r="109371" spans="10:10" x14ac:dyDescent="0.3">
      <c r="J109371"/>
    </row>
    <row r="109372" spans="10:10" x14ac:dyDescent="0.3">
      <c r="J109372"/>
    </row>
    <row r="109373" spans="10:10" x14ac:dyDescent="0.3">
      <c r="J109373"/>
    </row>
    <row r="109374" spans="10:10" x14ac:dyDescent="0.3">
      <c r="J109374"/>
    </row>
    <row r="109375" spans="10:10" x14ac:dyDescent="0.3">
      <c r="J109375"/>
    </row>
    <row r="109376" spans="10:10" x14ac:dyDescent="0.3">
      <c r="J109376"/>
    </row>
    <row r="109377" spans="10:10" x14ac:dyDescent="0.3">
      <c r="J109377"/>
    </row>
    <row r="109378" spans="10:10" x14ac:dyDescent="0.3">
      <c r="J109378"/>
    </row>
    <row r="109379" spans="10:10" x14ac:dyDescent="0.3">
      <c r="J109379"/>
    </row>
    <row r="109380" spans="10:10" x14ac:dyDescent="0.3">
      <c r="J109380"/>
    </row>
    <row r="109381" spans="10:10" x14ac:dyDescent="0.3">
      <c r="J109381"/>
    </row>
    <row r="109382" spans="10:10" x14ac:dyDescent="0.3">
      <c r="J109382"/>
    </row>
    <row r="109383" spans="10:10" x14ac:dyDescent="0.3">
      <c r="J109383"/>
    </row>
    <row r="109384" spans="10:10" x14ac:dyDescent="0.3">
      <c r="J109384"/>
    </row>
    <row r="109385" spans="10:10" x14ac:dyDescent="0.3">
      <c r="J109385"/>
    </row>
    <row r="109386" spans="10:10" x14ac:dyDescent="0.3">
      <c r="J109386"/>
    </row>
    <row r="109387" spans="10:10" x14ac:dyDescent="0.3">
      <c r="J109387"/>
    </row>
    <row r="109388" spans="10:10" x14ac:dyDescent="0.3">
      <c r="J109388"/>
    </row>
    <row r="109389" spans="10:10" x14ac:dyDescent="0.3">
      <c r="J109389"/>
    </row>
    <row r="109390" spans="10:10" x14ac:dyDescent="0.3">
      <c r="J109390"/>
    </row>
    <row r="109391" spans="10:10" x14ac:dyDescent="0.3">
      <c r="J109391"/>
    </row>
    <row r="109392" spans="10:10" x14ac:dyDescent="0.3">
      <c r="J109392"/>
    </row>
    <row r="109393" spans="10:10" x14ac:dyDescent="0.3">
      <c r="J109393"/>
    </row>
    <row r="109394" spans="10:10" x14ac:dyDescent="0.3">
      <c r="J109394"/>
    </row>
    <row r="109395" spans="10:10" x14ac:dyDescent="0.3">
      <c r="J109395"/>
    </row>
    <row r="109396" spans="10:10" x14ac:dyDescent="0.3">
      <c r="J109396"/>
    </row>
    <row r="109397" spans="10:10" x14ac:dyDescent="0.3">
      <c r="J109397"/>
    </row>
    <row r="109398" spans="10:10" x14ac:dyDescent="0.3">
      <c r="J109398"/>
    </row>
    <row r="109399" spans="10:10" x14ac:dyDescent="0.3">
      <c r="J109399"/>
    </row>
    <row r="109400" spans="10:10" x14ac:dyDescent="0.3">
      <c r="J109400"/>
    </row>
    <row r="109401" spans="10:10" x14ac:dyDescent="0.3">
      <c r="J109401"/>
    </row>
    <row r="109402" spans="10:10" x14ac:dyDescent="0.3">
      <c r="J109402"/>
    </row>
    <row r="109403" spans="10:10" x14ac:dyDescent="0.3">
      <c r="J109403"/>
    </row>
    <row r="109404" spans="10:10" x14ac:dyDescent="0.3">
      <c r="J109404"/>
    </row>
    <row r="109405" spans="10:10" x14ac:dyDescent="0.3">
      <c r="J109405"/>
    </row>
    <row r="109406" spans="10:10" x14ac:dyDescent="0.3">
      <c r="J109406"/>
    </row>
    <row r="109407" spans="10:10" x14ac:dyDescent="0.3">
      <c r="J109407"/>
    </row>
    <row r="109408" spans="10:10" x14ac:dyDescent="0.3">
      <c r="J109408"/>
    </row>
    <row r="109409" spans="10:10" x14ac:dyDescent="0.3">
      <c r="J109409"/>
    </row>
    <row r="109410" spans="10:10" x14ac:dyDescent="0.3">
      <c r="J109410"/>
    </row>
    <row r="109411" spans="10:10" x14ac:dyDescent="0.3">
      <c r="J109411"/>
    </row>
    <row r="109412" spans="10:10" x14ac:dyDescent="0.3">
      <c r="J109412"/>
    </row>
    <row r="109413" spans="10:10" x14ac:dyDescent="0.3">
      <c r="J109413"/>
    </row>
    <row r="109414" spans="10:10" x14ac:dyDescent="0.3">
      <c r="J109414"/>
    </row>
    <row r="109415" spans="10:10" x14ac:dyDescent="0.3">
      <c r="J109415"/>
    </row>
    <row r="109416" spans="10:10" x14ac:dyDescent="0.3">
      <c r="J109416"/>
    </row>
    <row r="109417" spans="10:10" x14ac:dyDescent="0.3">
      <c r="J109417"/>
    </row>
    <row r="109418" spans="10:10" x14ac:dyDescent="0.3">
      <c r="J109418"/>
    </row>
    <row r="109419" spans="10:10" x14ac:dyDescent="0.3">
      <c r="J109419"/>
    </row>
    <row r="109420" spans="10:10" x14ac:dyDescent="0.3">
      <c r="J109420"/>
    </row>
    <row r="109421" spans="10:10" x14ac:dyDescent="0.3">
      <c r="J109421"/>
    </row>
    <row r="109422" spans="10:10" x14ac:dyDescent="0.3">
      <c r="J109422"/>
    </row>
    <row r="109423" spans="10:10" x14ac:dyDescent="0.3">
      <c r="J109423"/>
    </row>
    <row r="109424" spans="10:10" x14ac:dyDescent="0.3">
      <c r="J109424"/>
    </row>
    <row r="109425" spans="10:10" x14ac:dyDescent="0.3">
      <c r="J109425"/>
    </row>
    <row r="109426" spans="10:10" x14ac:dyDescent="0.3">
      <c r="J109426"/>
    </row>
    <row r="109427" spans="10:10" x14ac:dyDescent="0.3">
      <c r="J109427"/>
    </row>
    <row r="109428" spans="10:10" x14ac:dyDescent="0.3">
      <c r="J109428"/>
    </row>
    <row r="109429" spans="10:10" x14ac:dyDescent="0.3">
      <c r="J109429"/>
    </row>
    <row r="109430" spans="10:10" x14ac:dyDescent="0.3">
      <c r="J109430"/>
    </row>
    <row r="109431" spans="10:10" x14ac:dyDescent="0.3">
      <c r="J109431"/>
    </row>
    <row r="109432" spans="10:10" x14ac:dyDescent="0.3">
      <c r="J109432"/>
    </row>
    <row r="109433" spans="10:10" x14ac:dyDescent="0.3">
      <c r="J109433"/>
    </row>
    <row r="109434" spans="10:10" x14ac:dyDescent="0.3">
      <c r="J109434"/>
    </row>
    <row r="109435" spans="10:10" x14ac:dyDescent="0.3">
      <c r="J109435"/>
    </row>
    <row r="109436" spans="10:10" x14ac:dyDescent="0.3">
      <c r="J109436"/>
    </row>
    <row r="109437" spans="10:10" x14ac:dyDescent="0.3">
      <c r="J109437"/>
    </row>
    <row r="109438" spans="10:10" x14ac:dyDescent="0.3">
      <c r="J109438"/>
    </row>
    <row r="109439" spans="10:10" x14ac:dyDescent="0.3">
      <c r="J109439"/>
    </row>
    <row r="109440" spans="10:10" x14ac:dyDescent="0.3">
      <c r="J109440"/>
    </row>
    <row r="109441" spans="10:10" x14ac:dyDescent="0.3">
      <c r="J109441"/>
    </row>
    <row r="109442" spans="10:10" x14ac:dyDescent="0.3">
      <c r="J109442"/>
    </row>
    <row r="109443" spans="10:10" x14ac:dyDescent="0.3">
      <c r="J109443"/>
    </row>
    <row r="109444" spans="10:10" x14ac:dyDescent="0.3">
      <c r="J109444"/>
    </row>
    <row r="109445" spans="10:10" x14ac:dyDescent="0.3">
      <c r="J109445"/>
    </row>
    <row r="109446" spans="10:10" x14ac:dyDescent="0.3">
      <c r="J109446"/>
    </row>
    <row r="109447" spans="10:10" x14ac:dyDescent="0.3">
      <c r="J109447"/>
    </row>
    <row r="109448" spans="10:10" x14ac:dyDescent="0.3">
      <c r="J109448"/>
    </row>
    <row r="109449" spans="10:10" x14ac:dyDescent="0.3">
      <c r="J109449"/>
    </row>
    <row r="109450" spans="10:10" x14ac:dyDescent="0.3">
      <c r="J109450"/>
    </row>
    <row r="109451" spans="10:10" x14ac:dyDescent="0.3">
      <c r="J109451"/>
    </row>
    <row r="109452" spans="10:10" x14ac:dyDescent="0.3">
      <c r="J109452"/>
    </row>
    <row r="109453" spans="10:10" x14ac:dyDescent="0.3">
      <c r="J109453"/>
    </row>
    <row r="109454" spans="10:10" x14ac:dyDescent="0.3">
      <c r="J109454"/>
    </row>
    <row r="109455" spans="10:10" x14ac:dyDescent="0.3">
      <c r="J109455"/>
    </row>
    <row r="109456" spans="10:10" x14ac:dyDescent="0.3">
      <c r="J109456"/>
    </row>
    <row r="109457" spans="10:10" x14ac:dyDescent="0.3">
      <c r="J109457"/>
    </row>
    <row r="109458" spans="10:10" x14ac:dyDescent="0.3">
      <c r="J109458"/>
    </row>
    <row r="109459" spans="10:10" x14ac:dyDescent="0.3">
      <c r="J109459"/>
    </row>
    <row r="109460" spans="10:10" x14ac:dyDescent="0.3">
      <c r="J109460"/>
    </row>
    <row r="109461" spans="10:10" x14ac:dyDescent="0.3">
      <c r="J109461"/>
    </row>
    <row r="109462" spans="10:10" x14ac:dyDescent="0.3">
      <c r="J109462"/>
    </row>
    <row r="109463" spans="10:10" x14ac:dyDescent="0.3">
      <c r="J109463"/>
    </row>
    <row r="109464" spans="10:10" x14ac:dyDescent="0.3">
      <c r="J109464"/>
    </row>
    <row r="109465" spans="10:10" x14ac:dyDescent="0.3">
      <c r="J109465"/>
    </row>
    <row r="109466" spans="10:10" x14ac:dyDescent="0.3">
      <c r="J109466"/>
    </row>
    <row r="109467" spans="10:10" x14ac:dyDescent="0.3">
      <c r="J109467"/>
    </row>
    <row r="109468" spans="10:10" x14ac:dyDescent="0.3">
      <c r="J109468"/>
    </row>
    <row r="109469" spans="10:10" x14ac:dyDescent="0.3">
      <c r="J109469"/>
    </row>
    <row r="109470" spans="10:10" x14ac:dyDescent="0.3">
      <c r="J109470"/>
    </row>
    <row r="109471" spans="10:10" x14ac:dyDescent="0.3">
      <c r="J109471"/>
    </row>
    <row r="109472" spans="10:10" x14ac:dyDescent="0.3">
      <c r="J109472"/>
    </row>
    <row r="109473" spans="10:10" x14ac:dyDescent="0.3">
      <c r="J109473"/>
    </row>
    <row r="109474" spans="10:10" x14ac:dyDescent="0.3">
      <c r="J109474"/>
    </row>
    <row r="109475" spans="10:10" x14ac:dyDescent="0.3">
      <c r="J109475"/>
    </row>
    <row r="109476" spans="10:10" x14ac:dyDescent="0.3">
      <c r="J109476"/>
    </row>
    <row r="109477" spans="10:10" x14ac:dyDescent="0.3">
      <c r="J109477"/>
    </row>
    <row r="109478" spans="10:10" x14ac:dyDescent="0.3">
      <c r="J109478"/>
    </row>
    <row r="109479" spans="10:10" x14ac:dyDescent="0.3">
      <c r="J109479"/>
    </row>
    <row r="109480" spans="10:10" x14ac:dyDescent="0.3">
      <c r="J109480"/>
    </row>
    <row r="109481" spans="10:10" x14ac:dyDescent="0.3">
      <c r="J109481"/>
    </row>
    <row r="109482" spans="10:10" x14ac:dyDescent="0.3">
      <c r="J109482"/>
    </row>
    <row r="109483" spans="10:10" x14ac:dyDescent="0.3">
      <c r="J109483"/>
    </row>
    <row r="109484" spans="10:10" x14ac:dyDescent="0.3">
      <c r="J109484"/>
    </row>
    <row r="109485" spans="10:10" x14ac:dyDescent="0.3">
      <c r="J109485"/>
    </row>
    <row r="109486" spans="10:10" x14ac:dyDescent="0.3">
      <c r="J109486"/>
    </row>
    <row r="109487" spans="10:10" x14ac:dyDescent="0.3">
      <c r="J109487"/>
    </row>
    <row r="109488" spans="10:10" x14ac:dyDescent="0.3">
      <c r="J109488"/>
    </row>
    <row r="109489" spans="10:10" x14ac:dyDescent="0.3">
      <c r="J109489"/>
    </row>
    <row r="109490" spans="10:10" x14ac:dyDescent="0.3">
      <c r="J109490"/>
    </row>
    <row r="109491" spans="10:10" x14ac:dyDescent="0.3">
      <c r="J109491"/>
    </row>
    <row r="109492" spans="10:10" x14ac:dyDescent="0.3">
      <c r="J109492"/>
    </row>
    <row r="109493" spans="10:10" x14ac:dyDescent="0.3">
      <c r="J109493"/>
    </row>
    <row r="109494" spans="10:10" x14ac:dyDescent="0.3">
      <c r="J109494"/>
    </row>
    <row r="109495" spans="10:10" x14ac:dyDescent="0.3">
      <c r="J109495"/>
    </row>
    <row r="109496" spans="10:10" x14ac:dyDescent="0.3">
      <c r="J109496"/>
    </row>
    <row r="109497" spans="10:10" x14ac:dyDescent="0.3">
      <c r="J109497"/>
    </row>
    <row r="109498" spans="10:10" x14ac:dyDescent="0.3">
      <c r="J109498"/>
    </row>
    <row r="109499" spans="10:10" x14ac:dyDescent="0.3">
      <c r="J109499"/>
    </row>
    <row r="109500" spans="10:10" x14ac:dyDescent="0.3">
      <c r="J109500"/>
    </row>
    <row r="109501" spans="10:10" x14ac:dyDescent="0.3">
      <c r="J109501"/>
    </row>
    <row r="109502" spans="10:10" x14ac:dyDescent="0.3">
      <c r="J109502"/>
    </row>
    <row r="109503" spans="10:10" x14ac:dyDescent="0.3">
      <c r="J109503"/>
    </row>
    <row r="109504" spans="10:10" x14ac:dyDescent="0.3">
      <c r="J109504"/>
    </row>
    <row r="109505" spans="10:10" x14ac:dyDescent="0.3">
      <c r="J109505"/>
    </row>
    <row r="109506" spans="10:10" x14ac:dyDescent="0.3">
      <c r="J109506"/>
    </row>
    <row r="109507" spans="10:10" x14ac:dyDescent="0.3">
      <c r="J109507"/>
    </row>
    <row r="109508" spans="10:10" x14ac:dyDescent="0.3">
      <c r="J109508"/>
    </row>
    <row r="109509" spans="10:10" x14ac:dyDescent="0.3">
      <c r="J109509"/>
    </row>
    <row r="109510" spans="10:10" x14ac:dyDescent="0.3">
      <c r="J109510"/>
    </row>
    <row r="109511" spans="10:10" x14ac:dyDescent="0.3">
      <c r="J109511"/>
    </row>
    <row r="109512" spans="10:10" x14ac:dyDescent="0.3">
      <c r="J109512"/>
    </row>
    <row r="109513" spans="10:10" x14ac:dyDescent="0.3">
      <c r="J109513"/>
    </row>
    <row r="109514" spans="10:10" x14ac:dyDescent="0.3">
      <c r="J109514"/>
    </row>
    <row r="109515" spans="10:10" x14ac:dyDescent="0.3">
      <c r="J109515"/>
    </row>
    <row r="109516" spans="10:10" x14ac:dyDescent="0.3">
      <c r="J109516"/>
    </row>
    <row r="109517" spans="10:10" x14ac:dyDescent="0.3">
      <c r="J109517"/>
    </row>
    <row r="109518" spans="10:10" x14ac:dyDescent="0.3">
      <c r="J109518"/>
    </row>
    <row r="109519" spans="10:10" x14ac:dyDescent="0.3">
      <c r="J109519"/>
    </row>
    <row r="109520" spans="10:10" x14ac:dyDescent="0.3">
      <c r="J109520"/>
    </row>
    <row r="109521" spans="10:10" x14ac:dyDescent="0.3">
      <c r="J109521"/>
    </row>
    <row r="109522" spans="10:10" x14ac:dyDescent="0.3">
      <c r="J109522"/>
    </row>
    <row r="109523" spans="10:10" x14ac:dyDescent="0.3">
      <c r="J109523"/>
    </row>
    <row r="109524" spans="10:10" x14ac:dyDescent="0.3">
      <c r="J109524"/>
    </row>
    <row r="109525" spans="10:10" x14ac:dyDescent="0.3">
      <c r="J109525"/>
    </row>
    <row r="109526" spans="10:10" x14ac:dyDescent="0.3">
      <c r="J109526"/>
    </row>
    <row r="109527" spans="10:10" x14ac:dyDescent="0.3">
      <c r="J109527"/>
    </row>
    <row r="109528" spans="10:10" x14ac:dyDescent="0.3">
      <c r="J109528"/>
    </row>
    <row r="109529" spans="10:10" x14ac:dyDescent="0.3">
      <c r="J109529"/>
    </row>
    <row r="109530" spans="10:10" x14ac:dyDescent="0.3">
      <c r="J109530"/>
    </row>
    <row r="109531" spans="10:10" x14ac:dyDescent="0.3">
      <c r="J109531"/>
    </row>
    <row r="109532" spans="10:10" x14ac:dyDescent="0.3">
      <c r="J109532"/>
    </row>
    <row r="109533" spans="10:10" x14ac:dyDescent="0.3">
      <c r="J109533"/>
    </row>
    <row r="109534" spans="10:10" x14ac:dyDescent="0.3">
      <c r="J109534"/>
    </row>
    <row r="109535" spans="10:10" x14ac:dyDescent="0.3">
      <c r="J109535"/>
    </row>
    <row r="109536" spans="10:10" x14ac:dyDescent="0.3">
      <c r="J109536"/>
    </row>
    <row r="109537" spans="10:10" x14ac:dyDescent="0.3">
      <c r="J109537"/>
    </row>
    <row r="109538" spans="10:10" x14ac:dyDescent="0.3">
      <c r="J109538"/>
    </row>
    <row r="109539" spans="10:10" x14ac:dyDescent="0.3">
      <c r="J109539"/>
    </row>
    <row r="109540" spans="10:10" x14ac:dyDescent="0.3">
      <c r="J109540"/>
    </row>
    <row r="109541" spans="10:10" x14ac:dyDescent="0.3">
      <c r="J109541"/>
    </row>
    <row r="109542" spans="10:10" x14ac:dyDescent="0.3">
      <c r="J109542"/>
    </row>
    <row r="109543" spans="10:10" x14ac:dyDescent="0.3">
      <c r="J109543"/>
    </row>
    <row r="109544" spans="10:10" x14ac:dyDescent="0.3">
      <c r="J109544"/>
    </row>
    <row r="109545" spans="10:10" x14ac:dyDescent="0.3">
      <c r="J109545"/>
    </row>
    <row r="109546" spans="10:10" x14ac:dyDescent="0.3">
      <c r="J109546"/>
    </row>
    <row r="109547" spans="10:10" x14ac:dyDescent="0.3">
      <c r="J109547"/>
    </row>
    <row r="109548" spans="10:10" x14ac:dyDescent="0.3">
      <c r="J109548"/>
    </row>
    <row r="109549" spans="10:10" x14ac:dyDescent="0.3">
      <c r="J109549"/>
    </row>
    <row r="109550" spans="10:10" x14ac:dyDescent="0.3">
      <c r="J109550"/>
    </row>
    <row r="109551" spans="10:10" x14ac:dyDescent="0.3">
      <c r="J109551"/>
    </row>
    <row r="109552" spans="10:10" x14ac:dyDescent="0.3">
      <c r="J109552"/>
    </row>
    <row r="109553" spans="10:10" x14ac:dyDescent="0.3">
      <c r="J109553"/>
    </row>
    <row r="109554" spans="10:10" x14ac:dyDescent="0.3">
      <c r="J109554"/>
    </row>
    <row r="109555" spans="10:10" x14ac:dyDescent="0.3">
      <c r="J109555"/>
    </row>
    <row r="109556" spans="10:10" x14ac:dyDescent="0.3">
      <c r="J109556"/>
    </row>
    <row r="109557" spans="10:10" x14ac:dyDescent="0.3">
      <c r="J109557"/>
    </row>
    <row r="109558" spans="10:10" x14ac:dyDescent="0.3">
      <c r="J109558"/>
    </row>
    <row r="109559" spans="10:10" x14ac:dyDescent="0.3">
      <c r="J109559"/>
    </row>
    <row r="109560" spans="10:10" x14ac:dyDescent="0.3">
      <c r="J109560"/>
    </row>
    <row r="109561" spans="10:10" x14ac:dyDescent="0.3">
      <c r="J109561"/>
    </row>
    <row r="109562" spans="10:10" x14ac:dyDescent="0.3">
      <c r="J109562"/>
    </row>
    <row r="109563" spans="10:10" x14ac:dyDescent="0.3">
      <c r="J109563"/>
    </row>
    <row r="109564" spans="10:10" x14ac:dyDescent="0.3">
      <c r="J109564"/>
    </row>
    <row r="109565" spans="10:10" x14ac:dyDescent="0.3">
      <c r="J109565"/>
    </row>
    <row r="109566" spans="10:10" x14ac:dyDescent="0.3">
      <c r="J109566"/>
    </row>
    <row r="109567" spans="10:10" x14ac:dyDescent="0.3">
      <c r="J109567"/>
    </row>
    <row r="109568" spans="10:10" x14ac:dyDescent="0.3">
      <c r="J109568"/>
    </row>
    <row r="109569" spans="10:10" x14ac:dyDescent="0.3">
      <c r="J109569"/>
    </row>
    <row r="109570" spans="10:10" x14ac:dyDescent="0.3">
      <c r="J109570"/>
    </row>
    <row r="109571" spans="10:10" x14ac:dyDescent="0.3">
      <c r="J109571"/>
    </row>
    <row r="109572" spans="10:10" x14ac:dyDescent="0.3">
      <c r="J109572"/>
    </row>
    <row r="109573" spans="10:10" x14ac:dyDescent="0.3">
      <c r="J109573"/>
    </row>
    <row r="109574" spans="10:10" x14ac:dyDescent="0.3">
      <c r="J109574"/>
    </row>
    <row r="109575" spans="10:10" x14ac:dyDescent="0.3">
      <c r="J109575"/>
    </row>
    <row r="109576" spans="10:10" x14ac:dyDescent="0.3">
      <c r="J109576"/>
    </row>
    <row r="109577" spans="10:10" x14ac:dyDescent="0.3">
      <c r="J109577"/>
    </row>
    <row r="109578" spans="10:10" x14ac:dyDescent="0.3">
      <c r="J109578"/>
    </row>
    <row r="109579" spans="10:10" x14ac:dyDescent="0.3">
      <c r="J109579"/>
    </row>
    <row r="109580" spans="10:10" x14ac:dyDescent="0.3">
      <c r="J109580"/>
    </row>
    <row r="109581" spans="10:10" x14ac:dyDescent="0.3">
      <c r="J109581"/>
    </row>
    <row r="109582" spans="10:10" x14ac:dyDescent="0.3">
      <c r="J109582"/>
    </row>
    <row r="109583" spans="10:10" x14ac:dyDescent="0.3">
      <c r="J109583"/>
    </row>
    <row r="109584" spans="10:10" x14ac:dyDescent="0.3">
      <c r="J109584"/>
    </row>
    <row r="109585" spans="10:10" x14ac:dyDescent="0.3">
      <c r="J109585"/>
    </row>
    <row r="109586" spans="10:10" x14ac:dyDescent="0.3">
      <c r="J109586"/>
    </row>
    <row r="109587" spans="10:10" x14ac:dyDescent="0.3">
      <c r="J109587"/>
    </row>
    <row r="109588" spans="10:10" x14ac:dyDescent="0.3">
      <c r="J109588"/>
    </row>
    <row r="109589" spans="10:10" x14ac:dyDescent="0.3">
      <c r="J109589"/>
    </row>
    <row r="109590" spans="10:10" x14ac:dyDescent="0.3">
      <c r="J109590"/>
    </row>
    <row r="109591" spans="10:10" x14ac:dyDescent="0.3">
      <c r="J109591"/>
    </row>
    <row r="109592" spans="10:10" x14ac:dyDescent="0.3">
      <c r="J109592"/>
    </row>
    <row r="109593" spans="10:10" x14ac:dyDescent="0.3">
      <c r="J109593"/>
    </row>
    <row r="109594" spans="10:10" x14ac:dyDescent="0.3">
      <c r="J109594"/>
    </row>
    <row r="109595" spans="10:10" x14ac:dyDescent="0.3">
      <c r="J109595"/>
    </row>
    <row r="109596" spans="10:10" x14ac:dyDescent="0.3">
      <c r="J109596"/>
    </row>
    <row r="109597" spans="10:10" x14ac:dyDescent="0.3">
      <c r="J109597"/>
    </row>
    <row r="109598" spans="10:10" x14ac:dyDescent="0.3">
      <c r="J109598"/>
    </row>
    <row r="109599" spans="10:10" x14ac:dyDescent="0.3">
      <c r="J109599"/>
    </row>
    <row r="109600" spans="10:10" x14ac:dyDescent="0.3">
      <c r="J109600"/>
    </row>
    <row r="109601" spans="10:10" x14ac:dyDescent="0.3">
      <c r="J109601"/>
    </row>
    <row r="109602" spans="10:10" x14ac:dyDescent="0.3">
      <c r="J109602"/>
    </row>
    <row r="109603" spans="10:10" x14ac:dyDescent="0.3">
      <c r="J109603"/>
    </row>
    <row r="109604" spans="10:10" x14ac:dyDescent="0.3">
      <c r="J109604"/>
    </row>
    <row r="109605" spans="10:10" x14ac:dyDescent="0.3">
      <c r="J109605"/>
    </row>
    <row r="109606" spans="10:10" x14ac:dyDescent="0.3">
      <c r="J109606"/>
    </row>
    <row r="109607" spans="10:10" x14ac:dyDescent="0.3">
      <c r="J109607"/>
    </row>
    <row r="109608" spans="10:10" x14ac:dyDescent="0.3">
      <c r="J109608"/>
    </row>
    <row r="109609" spans="10:10" x14ac:dyDescent="0.3">
      <c r="J109609"/>
    </row>
    <row r="109610" spans="10:10" x14ac:dyDescent="0.3">
      <c r="J109610"/>
    </row>
    <row r="109611" spans="10:10" x14ac:dyDescent="0.3">
      <c r="J109611"/>
    </row>
    <row r="109612" spans="10:10" x14ac:dyDescent="0.3">
      <c r="J109612"/>
    </row>
    <row r="109613" spans="10:10" x14ac:dyDescent="0.3">
      <c r="J109613"/>
    </row>
    <row r="109614" spans="10:10" x14ac:dyDescent="0.3">
      <c r="J109614"/>
    </row>
    <row r="109615" spans="10:10" x14ac:dyDescent="0.3">
      <c r="J109615"/>
    </row>
    <row r="109616" spans="10:10" x14ac:dyDescent="0.3">
      <c r="J109616"/>
    </row>
    <row r="109617" spans="10:10" x14ac:dyDescent="0.3">
      <c r="J109617"/>
    </row>
    <row r="109618" spans="10:10" x14ac:dyDescent="0.3">
      <c r="J109618"/>
    </row>
    <row r="109619" spans="10:10" x14ac:dyDescent="0.3">
      <c r="J109619"/>
    </row>
    <row r="109620" spans="10:10" x14ac:dyDescent="0.3">
      <c r="J109620"/>
    </row>
    <row r="109621" spans="10:10" x14ac:dyDescent="0.3">
      <c r="J109621"/>
    </row>
    <row r="109622" spans="10:10" x14ac:dyDescent="0.3">
      <c r="J109622"/>
    </row>
    <row r="109623" spans="10:10" x14ac:dyDescent="0.3">
      <c r="J109623"/>
    </row>
    <row r="109624" spans="10:10" x14ac:dyDescent="0.3">
      <c r="J109624"/>
    </row>
    <row r="109625" spans="10:10" x14ac:dyDescent="0.3">
      <c r="J109625"/>
    </row>
    <row r="109626" spans="10:10" x14ac:dyDescent="0.3">
      <c r="J109626"/>
    </row>
    <row r="109627" spans="10:10" x14ac:dyDescent="0.3">
      <c r="J109627"/>
    </row>
    <row r="109628" spans="10:10" x14ac:dyDescent="0.3">
      <c r="J109628"/>
    </row>
    <row r="109629" spans="10:10" x14ac:dyDescent="0.3">
      <c r="J109629"/>
    </row>
    <row r="109630" spans="10:10" x14ac:dyDescent="0.3">
      <c r="J109630"/>
    </row>
    <row r="109631" spans="10:10" x14ac:dyDescent="0.3">
      <c r="J109631"/>
    </row>
    <row r="109632" spans="10:10" x14ac:dyDescent="0.3">
      <c r="J109632"/>
    </row>
    <row r="109633" spans="10:10" x14ac:dyDescent="0.3">
      <c r="J109633"/>
    </row>
    <row r="109634" spans="10:10" x14ac:dyDescent="0.3">
      <c r="J109634"/>
    </row>
    <row r="109635" spans="10:10" x14ac:dyDescent="0.3">
      <c r="J109635"/>
    </row>
    <row r="109636" spans="10:10" x14ac:dyDescent="0.3">
      <c r="J109636"/>
    </row>
    <row r="109637" spans="10:10" x14ac:dyDescent="0.3">
      <c r="J109637"/>
    </row>
    <row r="109638" spans="10:10" x14ac:dyDescent="0.3">
      <c r="J109638"/>
    </row>
    <row r="109639" spans="10:10" x14ac:dyDescent="0.3">
      <c r="J109639"/>
    </row>
    <row r="109640" spans="10:10" x14ac:dyDescent="0.3">
      <c r="J109640"/>
    </row>
    <row r="109641" spans="10:10" x14ac:dyDescent="0.3">
      <c r="J109641"/>
    </row>
    <row r="109642" spans="10:10" x14ac:dyDescent="0.3">
      <c r="J109642"/>
    </row>
    <row r="109643" spans="10:10" x14ac:dyDescent="0.3">
      <c r="J109643"/>
    </row>
    <row r="109644" spans="10:10" x14ac:dyDescent="0.3">
      <c r="J109644"/>
    </row>
    <row r="109645" spans="10:10" x14ac:dyDescent="0.3">
      <c r="J109645"/>
    </row>
    <row r="109646" spans="10:10" x14ac:dyDescent="0.3">
      <c r="J109646"/>
    </row>
    <row r="109647" spans="10:10" x14ac:dyDescent="0.3">
      <c r="J109647"/>
    </row>
    <row r="109648" spans="10:10" x14ac:dyDescent="0.3">
      <c r="J109648"/>
    </row>
    <row r="109649" spans="10:10" x14ac:dyDescent="0.3">
      <c r="J109649"/>
    </row>
    <row r="109650" spans="10:10" x14ac:dyDescent="0.3">
      <c r="J109650"/>
    </row>
    <row r="109651" spans="10:10" x14ac:dyDescent="0.3">
      <c r="J109651"/>
    </row>
    <row r="109652" spans="10:10" x14ac:dyDescent="0.3">
      <c r="J109652"/>
    </row>
    <row r="109653" spans="10:10" x14ac:dyDescent="0.3">
      <c r="J109653"/>
    </row>
    <row r="109654" spans="10:10" x14ac:dyDescent="0.3">
      <c r="J109654"/>
    </row>
    <row r="109655" spans="10:10" x14ac:dyDescent="0.3">
      <c r="J109655"/>
    </row>
    <row r="109656" spans="10:10" x14ac:dyDescent="0.3">
      <c r="J109656"/>
    </row>
    <row r="109657" spans="10:10" x14ac:dyDescent="0.3">
      <c r="J109657"/>
    </row>
    <row r="109658" spans="10:10" x14ac:dyDescent="0.3">
      <c r="J109658"/>
    </row>
    <row r="109659" spans="10:10" x14ac:dyDescent="0.3">
      <c r="J109659"/>
    </row>
    <row r="109660" spans="10:10" x14ac:dyDescent="0.3">
      <c r="J109660"/>
    </row>
    <row r="109661" spans="10:10" x14ac:dyDescent="0.3">
      <c r="J109661"/>
    </row>
    <row r="109662" spans="10:10" x14ac:dyDescent="0.3">
      <c r="J109662"/>
    </row>
    <row r="109663" spans="10:10" x14ac:dyDescent="0.3">
      <c r="J109663"/>
    </row>
    <row r="109664" spans="10:10" x14ac:dyDescent="0.3">
      <c r="J109664"/>
    </row>
    <row r="109665" spans="10:10" x14ac:dyDescent="0.3">
      <c r="J109665"/>
    </row>
    <row r="109666" spans="10:10" x14ac:dyDescent="0.3">
      <c r="J109666"/>
    </row>
    <row r="109667" spans="10:10" x14ac:dyDescent="0.3">
      <c r="J109667"/>
    </row>
    <row r="109668" spans="10:10" x14ac:dyDescent="0.3">
      <c r="J109668"/>
    </row>
    <row r="109669" spans="10:10" x14ac:dyDescent="0.3">
      <c r="J109669"/>
    </row>
    <row r="109670" spans="10:10" x14ac:dyDescent="0.3">
      <c r="J109670"/>
    </row>
    <row r="109671" spans="10:10" x14ac:dyDescent="0.3">
      <c r="J109671"/>
    </row>
    <row r="109672" spans="10:10" x14ac:dyDescent="0.3">
      <c r="J109672"/>
    </row>
    <row r="109673" spans="10:10" x14ac:dyDescent="0.3">
      <c r="J109673"/>
    </row>
    <row r="109674" spans="10:10" x14ac:dyDescent="0.3">
      <c r="J109674"/>
    </row>
    <row r="109675" spans="10:10" x14ac:dyDescent="0.3">
      <c r="J109675"/>
    </row>
    <row r="109676" spans="10:10" x14ac:dyDescent="0.3">
      <c r="J109676"/>
    </row>
    <row r="109677" spans="10:10" x14ac:dyDescent="0.3">
      <c r="J109677"/>
    </row>
    <row r="109678" spans="10:10" x14ac:dyDescent="0.3">
      <c r="J109678"/>
    </row>
    <row r="109679" spans="10:10" x14ac:dyDescent="0.3">
      <c r="J109679"/>
    </row>
    <row r="109680" spans="10:10" x14ac:dyDescent="0.3">
      <c r="J109680"/>
    </row>
    <row r="109681" spans="10:10" x14ac:dyDescent="0.3">
      <c r="J109681"/>
    </row>
    <row r="109682" spans="10:10" x14ac:dyDescent="0.3">
      <c r="J109682"/>
    </row>
    <row r="109683" spans="10:10" x14ac:dyDescent="0.3">
      <c r="J109683"/>
    </row>
    <row r="109684" spans="10:10" x14ac:dyDescent="0.3">
      <c r="J109684"/>
    </row>
    <row r="109685" spans="10:10" x14ac:dyDescent="0.3">
      <c r="J109685"/>
    </row>
    <row r="109686" spans="10:10" x14ac:dyDescent="0.3">
      <c r="J109686"/>
    </row>
    <row r="109687" spans="10:10" x14ac:dyDescent="0.3">
      <c r="J109687"/>
    </row>
    <row r="109688" spans="10:10" x14ac:dyDescent="0.3">
      <c r="J109688"/>
    </row>
    <row r="109689" spans="10:10" x14ac:dyDescent="0.3">
      <c r="J109689"/>
    </row>
    <row r="109690" spans="10:10" x14ac:dyDescent="0.3">
      <c r="J109690"/>
    </row>
    <row r="109691" spans="10:10" x14ac:dyDescent="0.3">
      <c r="J109691"/>
    </row>
    <row r="109692" spans="10:10" x14ac:dyDescent="0.3">
      <c r="J109692"/>
    </row>
    <row r="109693" spans="10:10" x14ac:dyDescent="0.3">
      <c r="J109693"/>
    </row>
    <row r="109694" spans="10:10" x14ac:dyDescent="0.3">
      <c r="J109694"/>
    </row>
    <row r="109695" spans="10:10" x14ac:dyDescent="0.3">
      <c r="J109695"/>
    </row>
    <row r="109696" spans="10:10" x14ac:dyDescent="0.3">
      <c r="J109696"/>
    </row>
    <row r="109697" spans="10:10" x14ac:dyDescent="0.3">
      <c r="J109697"/>
    </row>
    <row r="109698" spans="10:10" x14ac:dyDescent="0.3">
      <c r="J109698"/>
    </row>
    <row r="109699" spans="10:10" x14ac:dyDescent="0.3">
      <c r="J109699"/>
    </row>
    <row r="109700" spans="10:10" x14ac:dyDescent="0.3">
      <c r="J109700"/>
    </row>
    <row r="109701" spans="10:10" x14ac:dyDescent="0.3">
      <c r="J109701"/>
    </row>
    <row r="109702" spans="10:10" x14ac:dyDescent="0.3">
      <c r="J109702"/>
    </row>
    <row r="109703" spans="10:10" x14ac:dyDescent="0.3">
      <c r="J109703"/>
    </row>
    <row r="109704" spans="10:10" x14ac:dyDescent="0.3">
      <c r="J109704"/>
    </row>
    <row r="109705" spans="10:10" x14ac:dyDescent="0.3">
      <c r="J109705"/>
    </row>
    <row r="109706" spans="10:10" x14ac:dyDescent="0.3">
      <c r="J109706"/>
    </row>
    <row r="109707" spans="10:10" x14ac:dyDescent="0.3">
      <c r="J109707"/>
    </row>
    <row r="109708" spans="10:10" x14ac:dyDescent="0.3">
      <c r="J109708"/>
    </row>
    <row r="109709" spans="10:10" x14ac:dyDescent="0.3">
      <c r="J109709"/>
    </row>
    <row r="109710" spans="10:10" x14ac:dyDescent="0.3">
      <c r="J109710"/>
    </row>
    <row r="109711" spans="10:10" x14ac:dyDescent="0.3">
      <c r="J109711"/>
    </row>
    <row r="109712" spans="10:10" x14ac:dyDescent="0.3">
      <c r="J109712"/>
    </row>
    <row r="109713" spans="10:10" x14ac:dyDescent="0.3">
      <c r="J109713"/>
    </row>
    <row r="109714" spans="10:10" x14ac:dyDescent="0.3">
      <c r="J109714"/>
    </row>
    <row r="109715" spans="10:10" x14ac:dyDescent="0.3">
      <c r="J109715"/>
    </row>
    <row r="109716" spans="10:10" x14ac:dyDescent="0.3">
      <c r="J109716"/>
    </row>
    <row r="109717" spans="10:10" x14ac:dyDescent="0.3">
      <c r="J109717"/>
    </row>
    <row r="109718" spans="10:10" x14ac:dyDescent="0.3">
      <c r="J109718"/>
    </row>
    <row r="109719" spans="10:10" x14ac:dyDescent="0.3">
      <c r="J109719"/>
    </row>
    <row r="109720" spans="10:10" x14ac:dyDescent="0.3">
      <c r="J109720"/>
    </row>
    <row r="109721" spans="10:10" x14ac:dyDescent="0.3">
      <c r="J109721"/>
    </row>
    <row r="109722" spans="10:10" x14ac:dyDescent="0.3">
      <c r="J109722"/>
    </row>
    <row r="109723" spans="10:10" x14ac:dyDescent="0.3">
      <c r="J109723"/>
    </row>
    <row r="109724" spans="10:10" x14ac:dyDescent="0.3">
      <c r="J109724"/>
    </row>
    <row r="109725" spans="10:10" x14ac:dyDescent="0.3">
      <c r="J109725"/>
    </row>
    <row r="109726" spans="10:10" x14ac:dyDescent="0.3">
      <c r="J109726"/>
    </row>
    <row r="109727" spans="10:10" x14ac:dyDescent="0.3">
      <c r="J109727"/>
    </row>
    <row r="109728" spans="10:10" x14ac:dyDescent="0.3">
      <c r="J109728"/>
    </row>
    <row r="109729" spans="10:10" x14ac:dyDescent="0.3">
      <c r="J109729"/>
    </row>
    <row r="109730" spans="10:10" x14ac:dyDescent="0.3">
      <c r="J109730"/>
    </row>
    <row r="109731" spans="10:10" x14ac:dyDescent="0.3">
      <c r="J109731"/>
    </row>
    <row r="109732" spans="10:10" x14ac:dyDescent="0.3">
      <c r="J109732"/>
    </row>
    <row r="109733" spans="10:10" x14ac:dyDescent="0.3">
      <c r="J109733"/>
    </row>
    <row r="109734" spans="10:10" x14ac:dyDescent="0.3">
      <c r="J109734"/>
    </row>
    <row r="109735" spans="10:10" x14ac:dyDescent="0.3">
      <c r="J109735"/>
    </row>
    <row r="109736" spans="10:10" x14ac:dyDescent="0.3">
      <c r="J109736"/>
    </row>
    <row r="109737" spans="10:10" x14ac:dyDescent="0.3">
      <c r="J109737"/>
    </row>
    <row r="109738" spans="10:10" x14ac:dyDescent="0.3">
      <c r="J109738"/>
    </row>
    <row r="109739" spans="10:10" x14ac:dyDescent="0.3">
      <c r="J109739"/>
    </row>
    <row r="109740" spans="10:10" x14ac:dyDescent="0.3">
      <c r="J109740"/>
    </row>
    <row r="109741" spans="10:10" x14ac:dyDescent="0.3">
      <c r="J109741"/>
    </row>
    <row r="109742" spans="10:10" x14ac:dyDescent="0.3">
      <c r="J109742"/>
    </row>
    <row r="109743" spans="10:10" x14ac:dyDescent="0.3">
      <c r="J109743"/>
    </row>
    <row r="109744" spans="10:10" x14ac:dyDescent="0.3">
      <c r="J109744"/>
    </row>
    <row r="109745" spans="10:10" x14ac:dyDescent="0.3">
      <c r="J109745"/>
    </row>
    <row r="109746" spans="10:10" x14ac:dyDescent="0.3">
      <c r="J109746"/>
    </row>
    <row r="109747" spans="10:10" x14ac:dyDescent="0.3">
      <c r="J109747"/>
    </row>
    <row r="109748" spans="10:10" x14ac:dyDescent="0.3">
      <c r="J109748"/>
    </row>
    <row r="109749" spans="10:10" x14ac:dyDescent="0.3">
      <c r="J109749"/>
    </row>
    <row r="109750" spans="10:10" x14ac:dyDescent="0.3">
      <c r="J109750"/>
    </row>
    <row r="109751" spans="10:10" x14ac:dyDescent="0.3">
      <c r="J109751"/>
    </row>
    <row r="109752" spans="10:10" x14ac:dyDescent="0.3">
      <c r="J109752"/>
    </row>
    <row r="109753" spans="10:10" x14ac:dyDescent="0.3">
      <c r="J109753"/>
    </row>
    <row r="109754" spans="10:10" x14ac:dyDescent="0.3">
      <c r="J109754"/>
    </row>
    <row r="109755" spans="10:10" x14ac:dyDescent="0.3">
      <c r="J109755"/>
    </row>
    <row r="109756" spans="10:10" x14ac:dyDescent="0.3">
      <c r="J109756"/>
    </row>
    <row r="109757" spans="10:10" x14ac:dyDescent="0.3">
      <c r="J109757"/>
    </row>
    <row r="109758" spans="10:10" x14ac:dyDescent="0.3">
      <c r="J109758"/>
    </row>
    <row r="109759" spans="10:10" x14ac:dyDescent="0.3">
      <c r="J109759"/>
    </row>
    <row r="109760" spans="10:10" x14ac:dyDescent="0.3">
      <c r="J109760"/>
    </row>
    <row r="109761" spans="10:10" x14ac:dyDescent="0.3">
      <c r="J109761"/>
    </row>
    <row r="109762" spans="10:10" x14ac:dyDescent="0.3">
      <c r="J109762"/>
    </row>
    <row r="109763" spans="10:10" x14ac:dyDescent="0.3">
      <c r="J109763"/>
    </row>
    <row r="109764" spans="10:10" x14ac:dyDescent="0.3">
      <c r="J109764"/>
    </row>
    <row r="109765" spans="10:10" x14ac:dyDescent="0.3">
      <c r="J109765"/>
    </row>
    <row r="109766" spans="10:10" x14ac:dyDescent="0.3">
      <c r="J109766"/>
    </row>
    <row r="109767" spans="10:10" x14ac:dyDescent="0.3">
      <c r="J109767"/>
    </row>
    <row r="109768" spans="10:10" x14ac:dyDescent="0.3">
      <c r="J109768"/>
    </row>
    <row r="109769" spans="10:10" x14ac:dyDescent="0.3">
      <c r="J109769"/>
    </row>
    <row r="109770" spans="10:10" x14ac:dyDescent="0.3">
      <c r="J109770"/>
    </row>
    <row r="109771" spans="10:10" x14ac:dyDescent="0.3">
      <c r="J109771"/>
    </row>
    <row r="109772" spans="10:10" x14ac:dyDescent="0.3">
      <c r="J109772"/>
    </row>
    <row r="109773" spans="10:10" x14ac:dyDescent="0.3">
      <c r="J109773"/>
    </row>
    <row r="109774" spans="10:10" x14ac:dyDescent="0.3">
      <c r="J109774"/>
    </row>
    <row r="109775" spans="10:10" x14ac:dyDescent="0.3">
      <c r="J109775"/>
    </row>
    <row r="109776" spans="10:10" x14ac:dyDescent="0.3">
      <c r="J109776"/>
    </row>
    <row r="109777" spans="10:10" x14ac:dyDescent="0.3">
      <c r="J109777"/>
    </row>
    <row r="109778" spans="10:10" x14ac:dyDescent="0.3">
      <c r="J109778"/>
    </row>
    <row r="109779" spans="10:10" x14ac:dyDescent="0.3">
      <c r="J109779"/>
    </row>
    <row r="109780" spans="10:10" x14ac:dyDescent="0.3">
      <c r="J109780"/>
    </row>
    <row r="109781" spans="10:10" x14ac:dyDescent="0.3">
      <c r="J109781"/>
    </row>
    <row r="109782" spans="10:10" x14ac:dyDescent="0.3">
      <c r="J109782"/>
    </row>
    <row r="109783" spans="10:10" x14ac:dyDescent="0.3">
      <c r="J109783"/>
    </row>
    <row r="109784" spans="10:10" x14ac:dyDescent="0.3">
      <c r="J109784"/>
    </row>
    <row r="109785" spans="10:10" x14ac:dyDescent="0.3">
      <c r="J109785"/>
    </row>
    <row r="109786" spans="10:10" x14ac:dyDescent="0.3">
      <c r="J109786"/>
    </row>
    <row r="109787" spans="10:10" x14ac:dyDescent="0.3">
      <c r="J109787"/>
    </row>
    <row r="109788" spans="10:10" x14ac:dyDescent="0.3">
      <c r="J109788"/>
    </row>
    <row r="109789" spans="10:10" x14ac:dyDescent="0.3">
      <c r="J109789"/>
    </row>
    <row r="109790" spans="10:10" x14ac:dyDescent="0.3">
      <c r="J109790"/>
    </row>
    <row r="109791" spans="10:10" x14ac:dyDescent="0.3">
      <c r="J109791"/>
    </row>
    <row r="109792" spans="10:10" x14ac:dyDescent="0.3">
      <c r="J109792"/>
    </row>
    <row r="109793" spans="10:10" x14ac:dyDescent="0.3">
      <c r="J109793"/>
    </row>
    <row r="109794" spans="10:10" x14ac:dyDescent="0.3">
      <c r="J109794"/>
    </row>
    <row r="109795" spans="10:10" x14ac:dyDescent="0.3">
      <c r="J109795"/>
    </row>
    <row r="109796" spans="10:10" x14ac:dyDescent="0.3">
      <c r="J109796"/>
    </row>
    <row r="109797" spans="10:10" x14ac:dyDescent="0.3">
      <c r="J109797"/>
    </row>
    <row r="109798" spans="10:10" x14ac:dyDescent="0.3">
      <c r="J109798"/>
    </row>
    <row r="109799" spans="10:10" x14ac:dyDescent="0.3">
      <c r="J109799"/>
    </row>
    <row r="109800" spans="10:10" x14ac:dyDescent="0.3">
      <c r="J109800"/>
    </row>
    <row r="109801" spans="10:10" x14ac:dyDescent="0.3">
      <c r="J109801"/>
    </row>
    <row r="109802" spans="10:10" x14ac:dyDescent="0.3">
      <c r="J109802"/>
    </row>
    <row r="109803" spans="10:10" x14ac:dyDescent="0.3">
      <c r="J109803"/>
    </row>
    <row r="109804" spans="10:10" x14ac:dyDescent="0.3">
      <c r="J109804"/>
    </row>
    <row r="109805" spans="10:10" x14ac:dyDescent="0.3">
      <c r="J109805"/>
    </row>
    <row r="109806" spans="10:10" x14ac:dyDescent="0.3">
      <c r="J109806"/>
    </row>
    <row r="109807" spans="10:10" x14ac:dyDescent="0.3">
      <c r="J109807"/>
    </row>
    <row r="109808" spans="10:10" x14ac:dyDescent="0.3">
      <c r="J109808"/>
    </row>
    <row r="109809" spans="10:10" x14ac:dyDescent="0.3">
      <c r="J109809"/>
    </row>
    <row r="109810" spans="10:10" x14ac:dyDescent="0.3">
      <c r="J109810"/>
    </row>
    <row r="109811" spans="10:10" x14ac:dyDescent="0.3">
      <c r="J109811"/>
    </row>
    <row r="109812" spans="10:10" x14ac:dyDescent="0.3">
      <c r="J109812"/>
    </row>
    <row r="109813" spans="10:10" x14ac:dyDescent="0.3">
      <c r="J109813"/>
    </row>
    <row r="109814" spans="10:10" x14ac:dyDescent="0.3">
      <c r="J109814"/>
    </row>
    <row r="109815" spans="10:10" x14ac:dyDescent="0.3">
      <c r="J109815"/>
    </row>
    <row r="109816" spans="10:10" x14ac:dyDescent="0.3">
      <c r="J109816"/>
    </row>
    <row r="109817" spans="10:10" x14ac:dyDescent="0.3">
      <c r="J109817"/>
    </row>
    <row r="109818" spans="10:10" x14ac:dyDescent="0.3">
      <c r="J109818"/>
    </row>
    <row r="109819" spans="10:10" x14ac:dyDescent="0.3">
      <c r="J109819"/>
    </row>
    <row r="109820" spans="10:10" x14ac:dyDescent="0.3">
      <c r="J109820"/>
    </row>
    <row r="109821" spans="10:10" x14ac:dyDescent="0.3">
      <c r="J109821"/>
    </row>
    <row r="109822" spans="10:10" x14ac:dyDescent="0.3">
      <c r="J109822"/>
    </row>
    <row r="109823" spans="10:10" x14ac:dyDescent="0.3">
      <c r="J109823"/>
    </row>
    <row r="109824" spans="10:10" x14ac:dyDescent="0.3">
      <c r="J109824"/>
    </row>
    <row r="109825" spans="10:10" x14ac:dyDescent="0.3">
      <c r="J109825"/>
    </row>
    <row r="109826" spans="10:10" x14ac:dyDescent="0.3">
      <c r="J109826"/>
    </row>
    <row r="109827" spans="10:10" x14ac:dyDescent="0.3">
      <c r="J109827"/>
    </row>
    <row r="109828" spans="10:10" x14ac:dyDescent="0.3">
      <c r="J109828"/>
    </row>
    <row r="109829" spans="10:10" x14ac:dyDescent="0.3">
      <c r="J109829"/>
    </row>
    <row r="109830" spans="10:10" x14ac:dyDescent="0.3">
      <c r="J109830"/>
    </row>
    <row r="109831" spans="10:10" x14ac:dyDescent="0.3">
      <c r="J109831"/>
    </row>
    <row r="109832" spans="10:10" x14ac:dyDescent="0.3">
      <c r="J109832"/>
    </row>
    <row r="109833" spans="10:10" x14ac:dyDescent="0.3">
      <c r="J109833"/>
    </row>
    <row r="109834" spans="10:10" x14ac:dyDescent="0.3">
      <c r="J109834"/>
    </row>
    <row r="109835" spans="10:10" x14ac:dyDescent="0.3">
      <c r="J109835"/>
    </row>
    <row r="109836" spans="10:10" x14ac:dyDescent="0.3">
      <c r="J109836"/>
    </row>
    <row r="109837" spans="10:10" x14ac:dyDescent="0.3">
      <c r="J109837"/>
    </row>
    <row r="109838" spans="10:10" x14ac:dyDescent="0.3">
      <c r="J109838"/>
    </row>
    <row r="109839" spans="10:10" x14ac:dyDescent="0.3">
      <c r="J109839"/>
    </row>
    <row r="109840" spans="10:10" x14ac:dyDescent="0.3">
      <c r="J109840"/>
    </row>
    <row r="109841" spans="10:10" x14ac:dyDescent="0.3">
      <c r="J109841"/>
    </row>
    <row r="109842" spans="10:10" x14ac:dyDescent="0.3">
      <c r="J109842"/>
    </row>
    <row r="109843" spans="10:10" x14ac:dyDescent="0.3">
      <c r="J109843"/>
    </row>
    <row r="109844" spans="10:10" x14ac:dyDescent="0.3">
      <c r="J109844"/>
    </row>
    <row r="109845" spans="10:10" x14ac:dyDescent="0.3">
      <c r="J109845"/>
    </row>
    <row r="109846" spans="10:10" x14ac:dyDescent="0.3">
      <c r="J109846"/>
    </row>
    <row r="109847" spans="10:10" x14ac:dyDescent="0.3">
      <c r="J109847"/>
    </row>
    <row r="109848" spans="10:10" x14ac:dyDescent="0.3">
      <c r="J109848"/>
    </row>
    <row r="109849" spans="10:10" x14ac:dyDescent="0.3">
      <c r="J109849"/>
    </row>
    <row r="109850" spans="10:10" x14ac:dyDescent="0.3">
      <c r="J109850"/>
    </row>
    <row r="109851" spans="10:10" x14ac:dyDescent="0.3">
      <c r="J109851"/>
    </row>
    <row r="109852" spans="10:10" x14ac:dyDescent="0.3">
      <c r="J109852"/>
    </row>
    <row r="109853" spans="10:10" x14ac:dyDescent="0.3">
      <c r="J109853"/>
    </row>
    <row r="109854" spans="10:10" x14ac:dyDescent="0.3">
      <c r="J109854"/>
    </row>
    <row r="109855" spans="10:10" x14ac:dyDescent="0.3">
      <c r="J109855"/>
    </row>
    <row r="109856" spans="10:10" x14ac:dyDescent="0.3">
      <c r="J109856"/>
    </row>
    <row r="109857" spans="10:10" x14ac:dyDescent="0.3">
      <c r="J109857"/>
    </row>
    <row r="109858" spans="10:10" x14ac:dyDescent="0.3">
      <c r="J109858"/>
    </row>
    <row r="109859" spans="10:10" x14ac:dyDescent="0.3">
      <c r="J109859"/>
    </row>
    <row r="109860" spans="10:10" x14ac:dyDescent="0.3">
      <c r="J109860"/>
    </row>
    <row r="109861" spans="10:10" x14ac:dyDescent="0.3">
      <c r="J109861"/>
    </row>
    <row r="109862" spans="10:10" x14ac:dyDescent="0.3">
      <c r="J109862"/>
    </row>
    <row r="109863" spans="10:10" x14ac:dyDescent="0.3">
      <c r="J109863"/>
    </row>
    <row r="109864" spans="10:10" x14ac:dyDescent="0.3">
      <c r="J109864"/>
    </row>
    <row r="109865" spans="10:10" x14ac:dyDescent="0.3">
      <c r="J109865"/>
    </row>
    <row r="109866" spans="10:10" x14ac:dyDescent="0.3">
      <c r="J109866"/>
    </row>
    <row r="109867" spans="10:10" x14ac:dyDescent="0.3">
      <c r="J109867"/>
    </row>
    <row r="109868" spans="10:10" x14ac:dyDescent="0.3">
      <c r="J109868"/>
    </row>
    <row r="109869" spans="10:10" x14ac:dyDescent="0.3">
      <c r="J109869"/>
    </row>
    <row r="109870" spans="10:10" x14ac:dyDescent="0.3">
      <c r="J109870"/>
    </row>
    <row r="109871" spans="10:10" x14ac:dyDescent="0.3">
      <c r="J109871"/>
    </row>
    <row r="109872" spans="10:10" x14ac:dyDescent="0.3">
      <c r="J109872"/>
    </row>
    <row r="109873" spans="10:10" x14ac:dyDescent="0.3">
      <c r="J109873"/>
    </row>
    <row r="109874" spans="10:10" x14ac:dyDescent="0.3">
      <c r="J109874"/>
    </row>
    <row r="109875" spans="10:10" x14ac:dyDescent="0.3">
      <c r="J109875"/>
    </row>
    <row r="109876" spans="10:10" x14ac:dyDescent="0.3">
      <c r="J109876"/>
    </row>
    <row r="109877" spans="10:10" x14ac:dyDescent="0.3">
      <c r="J109877"/>
    </row>
    <row r="109878" spans="10:10" x14ac:dyDescent="0.3">
      <c r="J109878"/>
    </row>
    <row r="109879" spans="10:10" x14ac:dyDescent="0.3">
      <c r="J109879"/>
    </row>
    <row r="109880" spans="10:10" x14ac:dyDescent="0.3">
      <c r="J109880"/>
    </row>
    <row r="109881" spans="10:10" x14ac:dyDescent="0.3">
      <c r="J109881"/>
    </row>
    <row r="109882" spans="10:10" x14ac:dyDescent="0.3">
      <c r="J109882"/>
    </row>
    <row r="109883" spans="10:10" x14ac:dyDescent="0.3">
      <c r="J109883"/>
    </row>
    <row r="109884" spans="10:10" x14ac:dyDescent="0.3">
      <c r="J109884"/>
    </row>
    <row r="109885" spans="10:10" x14ac:dyDescent="0.3">
      <c r="J109885"/>
    </row>
    <row r="109886" spans="10:10" x14ac:dyDescent="0.3">
      <c r="J109886"/>
    </row>
    <row r="109887" spans="10:10" x14ac:dyDescent="0.3">
      <c r="J109887"/>
    </row>
    <row r="109888" spans="10:10" x14ac:dyDescent="0.3">
      <c r="J109888"/>
    </row>
    <row r="109889" spans="10:10" x14ac:dyDescent="0.3">
      <c r="J109889"/>
    </row>
    <row r="109890" spans="10:10" x14ac:dyDescent="0.3">
      <c r="J109890"/>
    </row>
    <row r="109891" spans="10:10" x14ac:dyDescent="0.3">
      <c r="J109891"/>
    </row>
    <row r="109892" spans="10:10" x14ac:dyDescent="0.3">
      <c r="J109892"/>
    </row>
    <row r="109893" spans="10:10" x14ac:dyDescent="0.3">
      <c r="J109893"/>
    </row>
    <row r="109894" spans="10:10" x14ac:dyDescent="0.3">
      <c r="J109894"/>
    </row>
    <row r="109895" spans="10:10" x14ac:dyDescent="0.3">
      <c r="J109895"/>
    </row>
    <row r="109896" spans="10:10" x14ac:dyDescent="0.3">
      <c r="J109896"/>
    </row>
    <row r="109897" spans="10:10" x14ac:dyDescent="0.3">
      <c r="J109897"/>
    </row>
    <row r="109898" spans="10:10" x14ac:dyDescent="0.3">
      <c r="J109898"/>
    </row>
    <row r="109899" spans="10:10" x14ac:dyDescent="0.3">
      <c r="J109899"/>
    </row>
    <row r="109900" spans="10:10" x14ac:dyDescent="0.3">
      <c r="J109900"/>
    </row>
    <row r="109901" spans="10:10" x14ac:dyDescent="0.3">
      <c r="J109901"/>
    </row>
    <row r="109902" spans="10:10" x14ac:dyDescent="0.3">
      <c r="J109902"/>
    </row>
    <row r="109903" spans="10:10" x14ac:dyDescent="0.3">
      <c r="J109903"/>
    </row>
    <row r="109904" spans="10:10" x14ac:dyDescent="0.3">
      <c r="J109904"/>
    </row>
    <row r="109905" spans="10:10" x14ac:dyDescent="0.3">
      <c r="J109905"/>
    </row>
    <row r="109906" spans="10:10" x14ac:dyDescent="0.3">
      <c r="J109906"/>
    </row>
    <row r="109907" spans="10:10" x14ac:dyDescent="0.3">
      <c r="J109907"/>
    </row>
    <row r="109908" spans="10:10" x14ac:dyDescent="0.3">
      <c r="J109908"/>
    </row>
    <row r="109909" spans="10:10" x14ac:dyDescent="0.3">
      <c r="J109909"/>
    </row>
    <row r="109910" spans="10:10" x14ac:dyDescent="0.3">
      <c r="J109910"/>
    </row>
    <row r="109911" spans="10:10" x14ac:dyDescent="0.3">
      <c r="J109911"/>
    </row>
    <row r="109912" spans="10:10" x14ac:dyDescent="0.3">
      <c r="J109912"/>
    </row>
    <row r="109913" spans="10:10" x14ac:dyDescent="0.3">
      <c r="J109913"/>
    </row>
    <row r="109914" spans="10:10" x14ac:dyDescent="0.3">
      <c r="J109914"/>
    </row>
    <row r="109915" spans="10:10" x14ac:dyDescent="0.3">
      <c r="J109915"/>
    </row>
    <row r="109916" spans="10:10" x14ac:dyDescent="0.3">
      <c r="J109916"/>
    </row>
    <row r="109917" spans="10:10" x14ac:dyDescent="0.3">
      <c r="J109917"/>
    </row>
    <row r="109918" spans="10:10" x14ac:dyDescent="0.3">
      <c r="J109918"/>
    </row>
    <row r="109919" spans="10:10" x14ac:dyDescent="0.3">
      <c r="J109919"/>
    </row>
    <row r="109920" spans="10:10" x14ac:dyDescent="0.3">
      <c r="J109920"/>
    </row>
    <row r="109921" spans="10:10" x14ac:dyDescent="0.3">
      <c r="J109921"/>
    </row>
    <row r="109922" spans="10:10" x14ac:dyDescent="0.3">
      <c r="J109922"/>
    </row>
    <row r="109923" spans="10:10" x14ac:dyDescent="0.3">
      <c r="J109923"/>
    </row>
    <row r="109924" spans="10:10" x14ac:dyDescent="0.3">
      <c r="J109924"/>
    </row>
    <row r="109925" spans="10:10" x14ac:dyDescent="0.3">
      <c r="J109925"/>
    </row>
    <row r="109926" spans="10:10" x14ac:dyDescent="0.3">
      <c r="J109926"/>
    </row>
    <row r="109927" spans="10:10" x14ac:dyDescent="0.3">
      <c r="J109927"/>
    </row>
    <row r="109928" spans="10:10" x14ac:dyDescent="0.3">
      <c r="J109928"/>
    </row>
    <row r="109929" spans="10:10" x14ac:dyDescent="0.3">
      <c r="J109929"/>
    </row>
    <row r="109930" spans="10:10" x14ac:dyDescent="0.3">
      <c r="J109930"/>
    </row>
    <row r="109931" spans="10:10" x14ac:dyDescent="0.3">
      <c r="J109931"/>
    </row>
    <row r="109932" spans="10:10" x14ac:dyDescent="0.3">
      <c r="J109932"/>
    </row>
    <row r="109933" spans="10:10" x14ac:dyDescent="0.3">
      <c r="J109933"/>
    </row>
    <row r="109934" spans="10:10" x14ac:dyDescent="0.3">
      <c r="J109934"/>
    </row>
    <row r="109935" spans="10:10" x14ac:dyDescent="0.3">
      <c r="J109935"/>
    </row>
    <row r="109936" spans="10:10" x14ac:dyDescent="0.3">
      <c r="J109936"/>
    </row>
    <row r="109937" spans="10:10" x14ac:dyDescent="0.3">
      <c r="J109937"/>
    </row>
    <row r="109938" spans="10:10" x14ac:dyDescent="0.3">
      <c r="J109938"/>
    </row>
    <row r="109939" spans="10:10" x14ac:dyDescent="0.3">
      <c r="J109939"/>
    </row>
    <row r="109940" spans="10:10" x14ac:dyDescent="0.3">
      <c r="J109940"/>
    </row>
    <row r="109941" spans="10:10" x14ac:dyDescent="0.3">
      <c r="J109941"/>
    </row>
    <row r="109942" spans="10:10" x14ac:dyDescent="0.3">
      <c r="J109942"/>
    </row>
    <row r="109943" spans="10:10" x14ac:dyDescent="0.3">
      <c r="J109943"/>
    </row>
    <row r="109944" spans="10:10" x14ac:dyDescent="0.3">
      <c r="J109944"/>
    </row>
    <row r="109945" spans="10:10" x14ac:dyDescent="0.3">
      <c r="J109945"/>
    </row>
    <row r="109946" spans="10:10" x14ac:dyDescent="0.3">
      <c r="J109946"/>
    </row>
    <row r="109947" spans="10:10" x14ac:dyDescent="0.3">
      <c r="J109947"/>
    </row>
    <row r="109948" spans="10:10" x14ac:dyDescent="0.3">
      <c r="J109948"/>
    </row>
    <row r="109949" spans="10:10" x14ac:dyDescent="0.3">
      <c r="J109949"/>
    </row>
    <row r="109950" spans="10:10" x14ac:dyDescent="0.3">
      <c r="J109950"/>
    </row>
    <row r="109951" spans="10:10" x14ac:dyDescent="0.3">
      <c r="J109951"/>
    </row>
    <row r="109952" spans="10:10" x14ac:dyDescent="0.3">
      <c r="J109952"/>
    </row>
    <row r="109953" spans="10:10" x14ac:dyDescent="0.3">
      <c r="J109953"/>
    </row>
    <row r="109954" spans="10:10" x14ac:dyDescent="0.3">
      <c r="J109954"/>
    </row>
    <row r="109955" spans="10:10" x14ac:dyDescent="0.3">
      <c r="J109955"/>
    </row>
    <row r="109956" spans="10:10" x14ac:dyDescent="0.3">
      <c r="J109956"/>
    </row>
    <row r="109957" spans="10:10" x14ac:dyDescent="0.3">
      <c r="J109957"/>
    </row>
    <row r="109958" spans="10:10" x14ac:dyDescent="0.3">
      <c r="J109958"/>
    </row>
    <row r="109959" spans="10:10" x14ac:dyDescent="0.3">
      <c r="J109959"/>
    </row>
    <row r="109960" spans="10:10" x14ac:dyDescent="0.3">
      <c r="J109960"/>
    </row>
    <row r="109961" spans="10:10" x14ac:dyDescent="0.3">
      <c r="J109961"/>
    </row>
    <row r="109962" spans="10:10" x14ac:dyDescent="0.3">
      <c r="J109962"/>
    </row>
    <row r="109963" spans="10:10" x14ac:dyDescent="0.3">
      <c r="J109963"/>
    </row>
    <row r="109964" spans="10:10" x14ac:dyDescent="0.3">
      <c r="J109964"/>
    </row>
    <row r="109965" spans="10:10" x14ac:dyDescent="0.3">
      <c r="J109965"/>
    </row>
    <row r="109966" spans="10:10" x14ac:dyDescent="0.3">
      <c r="J109966"/>
    </row>
    <row r="109967" spans="10:10" x14ac:dyDescent="0.3">
      <c r="J109967"/>
    </row>
    <row r="109968" spans="10:10" x14ac:dyDescent="0.3">
      <c r="J109968"/>
    </row>
    <row r="109969" spans="10:10" x14ac:dyDescent="0.3">
      <c r="J109969"/>
    </row>
    <row r="109970" spans="10:10" x14ac:dyDescent="0.3">
      <c r="J109970"/>
    </row>
    <row r="109971" spans="10:10" x14ac:dyDescent="0.3">
      <c r="J109971"/>
    </row>
    <row r="109972" spans="10:10" x14ac:dyDescent="0.3">
      <c r="J109972"/>
    </row>
    <row r="109973" spans="10:10" x14ac:dyDescent="0.3">
      <c r="J109973"/>
    </row>
    <row r="109974" spans="10:10" x14ac:dyDescent="0.3">
      <c r="J109974"/>
    </row>
    <row r="109975" spans="10:10" x14ac:dyDescent="0.3">
      <c r="J109975"/>
    </row>
    <row r="109976" spans="10:10" x14ac:dyDescent="0.3">
      <c r="J109976"/>
    </row>
    <row r="109977" spans="10:10" x14ac:dyDescent="0.3">
      <c r="J109977"/>
    </row>
    <row r="109978" spans="10:10" x14ac:dyDescent="0.3">
      <c r="J109978"/>
    </row>
    <row r="109979" spans="10:10" x14ac:dyDescent="0.3">
      <c r="J109979"/>
    </row>
    <row r="109980" spans="10:10" x14ac:dyDescent="0.3">
      <c r="J109980"/>
    </row>
    <row r="109981" spans="10:10" x14ac:dyDescent="0.3">
      <c r="J109981"/>
    </row>
    <row r="109982" spans="10:10" x14ac:dyDescent="0.3">
      <c r="J109982"/>
    </row>
    <row r="109983" spans="10:10" x14ac:dyDescent="0.3">
      <c r="J109983"/>
    </row>
    <row r="109984" spans="10:10" x14ac:dyDescent="0.3">
      <c r="J109984"/>
    </row>
    <row r="109985" spans="10:10" x14ac:dyDescent="0.3">
      <c r="J109985"/>
    </row>
    <row r="109986" spans="10:10" x14ac:dyDescent="0.3">
      <c r="J109986"/>
    </row>
    <row r="109987" spans="10:10" x14ac:dyDescent="0.3">
      <c r="J109987"/>
    </row>
    <row r="109988" spans="10:10" x14ac:dyDescent="0.3">
      <c r="J109988"/>
    </row>
    <row r="109989" spans="10:10" x14ac:dyDescent="0.3">
      <c r="J109989"/>
    </row>
    <row r="109990" spans="10:10" x14ac:dyDescent="0.3">
      <c r="J109990"/>
    </row>
    <row r="109991" spans="10:10" x14ac:dyDescent="0.3">
      <c r="J109991"/>
    </row>
    <row r="109992" spans="10:10" x14ac:dyDescent="0.3">
      <c r="J109992"/>
    </row>
    <row r="109993" spans="10:10" x14ac:dyDescent="0.3">
      <c r="J109993"/>
    </row>
    <row r="109994" spans="10:10" x14ac:dyDescent="0.3">
      <c r="J109994"/>
    </row>
    <row r="109995" spans="10:10" x14ac:dyDescent="0.3">
      <c r="J109995"/>
    </row>
    <row r="109996" spans="10:10" x14ac:dyDescent="0.3">
      <c r="J109996"/>
    </row>
    <row r="109997" spans="10:10" x14ac:dyDescent="0.3">
      <c r="J109997"/>
    </row>
    <row r="109998" spans="10:10" x14ac:dyDescent="0.3">
      <c r="J109998"/>
    </row>
    <row r="109999" spans="10:10" x14ac:dyDescent="0.3">
      <c r="J109999"/>
    </row>
    <row r="110000" spans="10:10" x14ac:dyDescent="0.3">
      <c r="J110000"/>
    </row>
    <row r="110001" spans="10:10" x14ac:dyDescent="0.3">
      <c r="J110001"/>
    </row>
    <row r="110002" spans="10:10" x14ac:dyDescent="0.3">
      <c r="J110002"/>
    </row>
    <row r="110003" spans="10:10" x14ac:dyDescent="0.3">
      <c r="J110003"/>
    </row>
    <row r="110004" spans="10:10" x14ac:dyDescent="0.3">
      <c r="J110004"/>
    </row>
    <row r="110005" spans="10:10" x14ac:dyDescent="0.3">
      <c r="J110005"/>
    </row>
    <row r="110006" spans="10:10" x14ac:dyDescent="0.3">
      <c r="J110006"/>
    </row>
    <row r="110007" spans="10:10" x14ac:dyDescent="0.3">
      <c r="J110007"/>
    </row>
    <row r="110008" spans="10:10" x14ac:dyDescent="0.3">
      <c r="J110008"/>
    </row>
    <row r="110009" spans="10:10" x14ac:dyDescent="0.3">
      <c r="J110009"/>
    </row>
    <row r="110010" spans="10:10" x14ac:dyDescent="0.3">
      <c r="J110010"/>
    </row>
    <row r="110011" spans="10:10" x14ac:dyDescent="0.3">
      <c r="J110011"/>
    </row>
    <row r="110012" spans="10:10" x14ac:dyDescent="0.3">
      <c r="J110012"/>
    </row>
    <row r="110013" spans="10:10" x14ac:dyDescent="0.3">
      <c r="J110013"/>
    </row>
    <row r="110014" spans="10:10" x14ac:dyDescent="0.3">
      <c r="J110014"/>
    </row>
    <row r="110015" spans="10:10" x14ac:dyDescent="0.3">
      <c r="J110015"/>
    </row>
    <row r="110016" spans="10:10" x14ac:dyDescent="0.3">
      <c r="J110016"/>
    </row>
    <row r="110017" spans="10:10" x14ac:dyDescent="0.3">
      <c r="J110017"/>
    </row>
    <row r="110018" spans="10:10" x14ac:dyDescent="0.3">
      <c r="J110018"/>
    </row>
    <row r="110019" spans="10:10" x14ac:dyDescent="0.3">
      <c r="J110019"/>
    </row>
    <row r="110020" spans="10:10" x14ac:dyDescent="0.3">
      <c r="J110020"/>
    </row>
    <row r="110021" spans="10:10" x14ac:dyDescent="0.3">
      <c r="J110021"/>
    </row>
    <row r="110022" spans="10:10" x14ac:dyDescent="0.3">
      <c r="J110022"/>
    </row>
    <row r="110023" spans="10:10" x14ac:dyDescent="0.3">
      <c r="J110023"/>
    </row>
    <row r="110024" spans="10:10" x14ac:dyDescent="0.3">
      <c r="J110024"/>
    </row>
    <row r="110025" spans="10:10" x14ac:dyDescent="0.3">
      <c r="J110025"/>
    </row>
    <row r="110026" spans="10:10" x14ac:dyDescent="0.3">
      <c r="J110026"/>
    </row>
    <row r="110027" spans="10:10" x14ac:dyDescent="0.3">
      <c r="J110027"/>
    </row>
    <row r="110028" spans="10:10" x14ac:dyDescent="0.3">
      <c r="J110028"/>
    </row>
    <row r="110029" spans="10:10" x14ac:dyDescent="0.3">
      <c r="J110029"/>
    </row>
    <row r="110030" spans="10:10" x14ac:dyDescent="0.3">
      <c r="J110030"/>
    </row>
    <row r="110031" spans="10:10" x14ac:dyDescent="0.3">
      <c r="J110031"/>
    </row>
    <row r="110032" spans="10:10" x14ac:dyDescent="0.3">
      <c r="J110032"/>
    </row>
    <row r="110033" spans="10:10" x14ac:dyDescent="0.3">
      <c r="J110033"/>
    </row>
    <row r="110034" spans="10:10" x14ac:dyDescent="0.3">
      <c r="J110034"/>
    </row>
    <row r="110035" spans="10:10" x14ac:dyDescent="0.3">
      <c r="J110035"/>
    </row>
    <row r="110036" spans="10:10" x14ac:dyDescent="0.3">
      <c r="J110036"/>
    </row>
    <row r="110037" spans="10:10" x14ac:dyDescent="0.3">
      <c r="J110037"/>
    </row>
    <row r="110038" spans="10:10" x14ac:dyDescent="0.3">
      <c r="J110038"/>
    </row>
    <row r="110039" spans="10:10" x14ac:dyDescent="0.3">
      <c r="J110039"/>
    </row>
    <row r="110040" spans="10:10" x14ac:dyDescent="0.3">
      <c r="J110040"/>
    </row>
    <row r="110041" spans="10:10" x14ac:dyDescent="0.3">
      <c r="J110041"/>
    </row>
    <row r="110042" spans="10:10" x14ac:dyDescent="0.3">
      <c r="J110042"/>
    </row>
    <row r="110043" spans="10:10" x14ac:dyDescent="0.3">
      <c r="J110043"/>
    </row>
    <row r="110044" spans="10:10" x14ac:dyDescent="0.3">
      <c r="J110044"/>
    </row>
    <row r="110045" spans="10:10" x14ac:dyDescent="0.3">
      <c r="J110045"/>
    </row>
    <row r="110046" spans="10:10" x14ac:dyDescent="0.3">
      <c r="J110046"/>
    </row>
    <row r="110047" spans="10:10" x14ac:dyDescent="0.3">
      <c r="J110047"/>
    </row>
    <row r="110048" spans="10:10" x14ac:dyDescent="0.3">
      <c r="J110048"/>
    </row>
    <row r="110049" spans="10:10" x14ac:dyDescent="0.3">
      <c r="J110049"/>
    </row>
    <row r="110050" spans="10:10" x14ac:dyDescent="0.3">
      <c r="J110050"/>
    </row>
    <row r="110051" spans="10:10" x14ac:dyDescent="0.3">
      <c r="J110051"/>
    </row>
    <row r="110052" spans="10:10" x14ac:dyDescent="0.3">
      <c r="J110052"/>
    </row>
    <row r="110053" spans="10:10" x14ac:dyDescent="0.3">
      <c r="J110053"/>
    </row>
    <row r="110054" spans="10:10" x14ac:dyDescent="0.3">
      <c r="J110054"/>
    </row>
    <row r="110055" spans="10:10" x14ac:dyDescent="0.3">
      <c r="J110055"/>
    </row>
    <row r="110056" spans="10:10" x14ac:dyDescent="0.3">
      <c r="J110056"/>
    </row>
    <row r="110057" spans="10:10" x14ac:dyDescent="0.3">
      <c r="J110057"/>
    </row>
    <row r="110058" spans="10:10" x14ac:dyDescent="0.3">
      <c r="J110058"/>
    </row>
    <row r="110059" spans="10:10" x14ac:dyDescent="0.3">
      <c r="J110059"/>
    </row>
    <row r="110060" spans="10:10" x14ac:dyDescent="0.3">
      <c r="J110060"/>
    </row>
    <row r="110061" spans="10:10" x14ac:dyDescent="0.3">
      <c r="J110061"/>
    </row>
    <row r="110062" spans="10:10" x14ac:dyDescent="0.3">
      <c r="J110062"/>
    </row>
    <row r="110063" spans="10:10" x14ac:dyDescent="0.3">
      <c r="J110063"/>
    </row>
    <row r="110064" spans="10:10" x14ac:dyDescent="0.3">
      <c r="J110064"/>
    </row>
    <row r="110065" spans="10:10" x14ac:dyDescent="0.3">
      <c r="J110065"/>
    </row>
    <row r="110066" spans="10:10" x14ac:dyDescent="0.3">
      <c r="J110066"/>
    </row>
    <row r="110067" spans="10:10" x14ac:dyDescent="0.3">
      <c r="J110067"/>
    </row>
    <row r="110068" spans="10:10" x14ac:dyDescent="0.3">
      <c r="J110068"/>
    </row>
    <row r="110069" spans="10:10" x14ac:dyDescent="0.3">
      <c r="J110069"/>
    </row>
    <row r="110070" spans="10:10" x14ac:dyDescent="0.3">
      <c r="J110070"/>
    </row>
    <row r="110071" spans="10:10" x14ac:dyDescent="0.3">
      <c r="J110071"/>
    </row>
    <row r="110072" spans="10:10" x14ac:dyDescent="0.3">
      <c r="J110072"/>
    </row>
    <row r="110073" spans="10:10" x14ac:dyDescent="0.3">
      <c r="J110073"/>
    </row>
    <row r="110074" spans="10:10" x14ac:dyDescent="0.3">
      <c r="J110074"/>
    </row>
    <row r="110075" spans="10:10" x14ac:dyDescent="0.3">
      <c r="J110075"/>
    </row>
    <row r="110076" spans="10:10" x14ac:dyDescent="0.3">
      <c r="J110076"/>
    </row>
    <row r="110077" spans="10:10" x14ac:dyDescent="0.3">
      <c r="J110077"/>
    </row>
    <row r="110078" spans="10:10" x14ac:dyDescent="0.3">
      <c r="J110078"/>
    </row>
    <row r="110079" spans="10:10" x14ac:dyDescent="0.3">
      <c r="J110079"/>
    </row>
    <row r="110080" spans="10:10" x14ac:dyDescent="0.3">
      <c r="J110080"/>
    </row>
    <row r="110081" spans="10:10" x14ac:dyDescent="0.3">
      <c r="J110081"/>
    </row>
    <row r="110082" spans="10:10" x14ac:dyDescent="0.3">
      <c r="J110082"/>
    </row>
    <row r="110083" spans="10:10" x14ac:dyDescent="0.3">
      <c r="J110083"/>
    </row>
    <row r="110084" spans="10:10" x14ac:dyDescent="0.3">
      <c r="J110084"/>
    </row>
    <row r="110085" spans="10:10" x14ac:dyDescent="0.3">
      <c r="J110085"/>
    </row>
    <row r="110086" spans="10:10" x14ac:dyDescent="0.3">
      <c r="J110086"/>
    </row>
    <row r="110087" spans="10:10" x14ac:dyDescent="0.3">
      <c r="J110087"/>
    </row>
    <row r="110088" spans="10:10" x14ac:dyDescent="0.3">
      <c r="J110088"/>
    </row>
    <row r="110089" spans="10:10" x14ac:dyDescent="0.3">
      <c r="J110089"/>
    </row>
    <row r="110090" spans="10:10" x14ac:dyDescent="0.3">
      <c r="J110090"/>
    </row>
    <row r="110091" spans="10:10" x14ac:dyDescent="0.3">
      <c r="J110091"/>
    </row>
    <row r="110092" spans="10:10" x14ac:dyDescent="0.3">
      <c r="J110092"/>
    </row>
    <row r="110093" spans="10:10" x14ac:dyDescent="0.3">
      <c r="J110093"/>
    </row>
    <row r="110094" spans="10:10" x14ac:dyDescent="0.3">
      <c r="J110094"/>
    </row>
    <row r="110095" spans="10:10" x14ac:dyDescent="0.3">
      <c r="J110095"/>
    </row>
    <row r="110096" spans="10:10" x14ac:dyDescent="0.3">
      <c r="J110096"/>
    </row>
    <row r="110097" spans="10:10" x14ac:dyDescent="0.3">
      <c r="J110097"/>
    </row>
    <row r="110098" spans="10:10" x14ac:dyDescent="0.3">
      <c r="J110098"/>
    </row>
    <row r="110099" spans="10:10" x14ac:dyDescent="0.3">
      <c r="J110099"/>
    </row>
    <row r="110100" spans="10:10" x14ac:dyDescent="0.3">
      <c r="J110100"/>
    </row>
    <row r="110101" spans="10:10" x14ac:dyDescent="0.3">
      <c r="J110101"/>
    </row>
    <row r="110102" spans="10:10" x14ac:dyDescent="0.3">
      <c r="J110102"/>
    </row>
    <row r="110103" spans="10:10" x14ac:dyDescent="0.3">
      <c r="J110103"/>
    </row>
    <row r="110104" spans="10:10" x14ac:dyDescent="0.3">
      <c r="J110104"/>
    </row>
    <row r="110105" spans="10:10" x14ac:dyDescent="0.3">
      <c r="J110105"/>
    </row>
    <row r="110106" spans="10:10" x14ac:dyDescent="0.3">
      <c r="J110106"/>
    </row>
    <row r="110107" spans="10:10" x14ac:dyDescent="0.3">
      <c r="J110107"/>
    </row>
    <row r="110108" spans="10:10" x14ac:dyDescent="0.3">
      <c r="J110108"/>
    </row>
    <row r="110109" spans="10:10" x14ac:dyDescent="0.3">
      <c r="J110109"/>
    </row>
    <row r="110110" spans="10:10" x14ac:dyDescent="0.3">
      <c r="J110110"/>
    </row>
    <row r="110111" spans="10:10" x14ac:dyDescent="0.3">
      <c r="J110111"/>
    </row>
    <row r="110112" spans="10:10" x14ac:dyDescent="0.3">
      <c r="J110112"/>
    </row>
    <row r="110113" spans="10:10" x14ac:dyDescent="0.3">
      <c r="J110113"/>
    </row>
    <row r="110114" spans="10:10" x14ac:dyDescent="0.3">
      <c r="J110114"/>
    </row>
    <row r="110115" spans="10:10" x14ac:dyDescent="0.3">
      <c r="J110115"/>
    </row>
    <row r="110116" spans="10:10" x14ac:dyDescent="0.3">
      <c r="J110116"/>
    </row>
    <row r="110117" spans="10:10" x14ac:dyDescent="0.3">
      <c r="J110117"/>
    </row>
    <row r="110118" spans="10:10" x14ac:dyDescent="0.3">
      <c r="J110118"/>
    </row>
    <row r="110119" spans="10:10" x14ac:dyDescent="0.3">
      <c r="J110119"/>
    </row>
    <row r="110120" spans="10:10" x14ac:dyDescent="0.3">
      <c r="J110120"/>
    </row>
    <row r="110121" spans="10:10" x14ac:dyDescent="0.3">
      <c r="J110121"/>
    </row>
    <row r="110122" spans="10:10" x14ac:dyDescent="0.3">
      <c r="J110122"/>
    </row>
    <row r="110123" spans="10:10" x14ac:dyDescent="0.3">
      <c r="J110123"/>
    </row>
    <row r="110124" spans="10:10" x14ac:dyDescent="0.3">
      <c r="J110124"/>
    </row>
    <row r="110125" spans="10:10" x14ac:dyDescent="0.3">
      <c r="J110125"/>
    </row>
    <row r="110126" spans="10:10" x14ac:dyDescent="0.3">
      <c r="J110126"/>
    </row>
    <row r="110127" spans="10:10" x14ac:dyDescent="0.3">
      <c r="J110127"/>
    </row>
    <row r="110128" spans="10:10" x14ac:dyDescent="0.3">
      <c r="J110128"/>
    </row>
    <row r="110129" spans="10:10" x14ac:dyDescent="0.3">
      <c r="J110129"/>
    </row>
    <row r="110130" spans="10:10" x14ac:dyDescent="0.3">
      <c r="J110130"/>
    </row>
    <row r="110131" spans="10:10" x14ac:dyDescent="0.3">
      <c r="J110131"/>
    </row>
    <row r="110132" spans="10:10" x14ac:dyDescent="0.3">
      <c r="J110132"/>
    </row>
    <row r="110133" spans="10:10" x14ac:dyDescent="0.3">
      <c r="J110133"/>
    </row>
    <row r="110134" spans="10:10" x14ac:dyDescent="0.3">
      <c r="J110134"/>
    </row>
    <row r="110135" spans="10:10" x14ac:dyDescent="0.3">
      <c r="J110135"/>
    </row>
    <row r="110136" spans="10:10" x14ac:dyDescent="0.3">
      <c r="J110136"/>
    </row>
    <row r="110137" spans="10:10" x14ac:dyDescent="0.3">
      <c r="J110137"/>
    </row>
    <row r="110138" spans="10:10" x14ac:dyDescent="0.3">
      <c r="J110138"/>
    </row>
    <row r="110139" spans="10:10" x14ac:dyDescent="0.3">
      <c r="J110139"/>
    </row>
    <row r="110140" spans="10:10" x14ac:dyDescent="0.3">
      <c r="J110140"/>
    </row>
    <row r="110141" spans="10:10" x14ac:dyDescent="0.3">
      <c r="J110141"/>
    </row>
    <row r="110142" spans="10:10" x14ac:dyDescent="0.3">
      <c r="J110142"/>
    </row>
    <row r="110143" spans="10:10" x14ac:dyDescent="0.3">
      <c r="J110143"/>
    </row>
    <row r="110144" spans="10:10" x14ac:dyDescent="0.3">
      <c r="J110144"/>
    </row>
    <row r="110145" spans="10:10" x14ac:dyDescent="0.3">
      <c r="J110145"/>
    </row>
    <row r="110146" spans="10:10" x14ac:dyDescent="0.3">
      <c r="J110146"/>
    </row>
    <row r="110147" spans="10:10" x14ac:dyDescent="0.3">
      <c r="J110147"/>
    </row>
    <row r="110148" spans="10:10" x14ac:dyDescent="0.3">
      <c r="J110148"/>
    </row>
    <row r="110149" spans="10:10" x14ac:dyDescent="0.3">
      <c r="J110149"/>
    </row>
    <row r="110150" spans="10:10" x14ac:dyDescent="0.3">
      <c r="J110150"/>
    </row>
    <row r="110151" spans="10:10" x14ac:dyDescent="0.3">
      <c r="J110151"/>
    </row>
    <row r="110152" spans="10:10" x14ac:dyDescent="0.3">
      <c r="J110152"/>
    </row>
    <row r="110153" spans="10:10" x14ac:dyDescent="0.3">
      <c r="J110153"/>
    </row>
    <row r="110154" spans="10:10" x14ac:dyDescent="0.3">
      <c r="J110154"/>
    </row>
    <row r="110155" spans="10:10" x14ac:dyDescent="0.3">
      <c r="J110155"/>
    </row>
    <row r="110156" spans="10:10" x14ac:dyDescent="0.3">
      <c r="J110156"/>
    </row>
    <row r="110157" spans="10:10" x14ac:dyDescent="0.3">
      <c r="J110157"/>
    </row>
    <row r="110158" spans="10:10" x14ac:dyDescent="0.3">
      <c r="J110158"/>
    </row>
    <row r="110159" spans="10:10" x14ac:dyDescent="0.3">
      <c r="J110159"/>
    </row>
    <row r="110160" spans="10:10" x14ac:dyDescent="0.3">
      <c r="J110160"/>
    </row>
    <row r="110161" spans="10:10" x14ac:dyDescent="0.3">
      <c r="J110161"/>
    </row>
    <row r="110162" spans="10:10" x14ac:dyDescent="0.3">
      <c r="J110162"/>
    </row>
    <row r="110163" spans="10:10" x14ac:dyDescent="0.3">
      <c r="J110163"/>
    </row>
    <row r="110164" spans="10:10" x14ac:dyDescent="0.3">
      <c r="J110164"/>
    </row>
    <row r="110165" spans="10:10" x14ac:dyDescent="0.3">
      <c r="J110165"/>
    </row>
    <row r="110166" spans="10:10" x14ac:dyDescent="0.3">
      <c r="J110166"/>
    </row>
    <row r="110167" spans="10:10" x14ac:dyDescent="0.3">
      <c r="J110167"/>
    </row>
    <row r="110168" spans="10:10" x14ac:dyDescent="0.3">
      <c r="J110168"/>
    </row>
    <row r="110169" spans="10:10" x14ac:dyDescent="0.3">
      <c r="J110169"/>
    </row>
    <row r="110170" spans="10:10" x14ac:dyDescent="0.3">
      <c r="J110170"/>
    </row>
    <row r="110171" spans="10:10" x14ac:dyDescent="0.3">
      <c r="J110171"/>
    </row>
    <row r="110172" spans="10:10" x14ac:dyDescent="0.3">
      <c r="J110172"/>
    </row>
    <row r="110173" spans="10:10" x14ac:dyDescent="0.3">
      <c r="J110173"/>
    </row>
    <row r="110174" spans="10:10" x14ac:dyDescent="0.3">
      <c r="J110174"/>
    </row>
    <row r="110175" spans="10:10" x14ac:dyDescent="0.3">
      <c r="J110175"/>
    </row>
    <row r="110176" spans="10:10" x14ac:dyDescent="0.3">
      <c r="J110176"/>
    </row>
    <row r="110177" spans="10:10" x14ac:dyDescent="0.3">
      <c r="J110177"/>
    </row>
    <row r="110178" spans="10:10" x14ac:dyDescent="0.3">
      <c r="J110178"/>
    </row>
    <row r="110179" spans="10:10" x14ac:dyDescent="0.3">
      <c r="J110179"/>
    </row>
    <row r="110180" spans="10:10" x14ac:dyDescent="0.3">
      <c r="J110180"/>
    </row>
    <row r="110181" spans="10:10" x14ac:dyDescent="0.3">
      <c r="J110181"/>
    </row>
    <row r="110182" spans="10:10" x14ac:dyDescent="0.3">
      <c r="J110182"/>
    </row>
    <row r="110183" spans="10:10" x14ac:dyDescent="0.3">
      <c r="J110183"/>
    </row>
    <row r="110184" spans="10:10" x14ac:dyDescent="0.3">
      <c r="J110184"/>
    </row>
    <row r="110185" spans="10:10" x14ac:dyDescent="0.3">
      <c r="J110185"/>
    </row>
    <row r="110186" spans="10:10" x14ac:dyDescent="0.3">
      <c r="J110186"/>
    </row>
    <row r="110187" spans="10:10" x14ac:dyDescent="0.3">
      <c r="J110187"/>
    </row>
    <row r="110188" spans="10:10" x14ac:dyDescent="0.3">
      <c r="J110188"/>
    </row>
    <row r="110189" spans="10:10" x14ac:dyDescent="0.3">
      <c r="J110189"/>
    </row>
    <row r="110190" spans="10:10" x14ac:dyDescent="0.3">
      <c r="J110190"/>
    </row>
    <row r="110191" spans="10:10" x14ac:dyDescent="0.3">
      <c r="J110191"/>
    </row>
    <row r="110192" spans="10:10" x14ac:dyDescent="0.3">
      <c r="J110192"/>
    </row>
    <row r="110193" spans="10:10" x14ac:dyDescent="0.3">
      <c r="J110193"/>
    </row>
    <row r="110194" spans="10:10" x14ac:dyDescent="0.3">
      <c r="J110194"/>
    </row>
    <row r="110195" spans="10:10" x14ac:dyDescent="0.3">
      <c r="J110195"/>
    </row>
    <row r="110196" spans="10:10" x14ac:dyDescent="0.3">
      <c r="J110196"/>
    </row>
    <row r="110197" spans="10:10" x14ac:dyDescent="0.3">
      <c r="J110197"/>
    </row>
    <row r="110198" spans="10:10" x14ac:dyDescent="0.3">
      <c r="J110198"/>
    </row>
    <row r="110199" spans="10:10" x14ac:dyDescent="0.3">
      <c r="J110199"/>
    </row>
    <row r="110200" spans="10:10" x14ac:dyDescent="0.3">
      <c r="J110200"/>
    </row>
    <row r="110201" spans="10:10" x14ac:dyDescent="0.3">
      <c r="J110201"/>
    </row>
    <row r="110202" spans="10:10" x14ac:dyDescent="0.3">
      <c r="J110202"/>
    </row>
    <row r="110203" spans="10:10" x14ac:dyDescent="0.3">
      <c r="J110203"/>
    </row>
    <row r="110204" spans="10:10" x14ac:dyDescent="0.3">
      <c r="J110204"/>
    </row>
    <row r="110205" spans="10:10" x14ac:dyDescent="0.3">
      <c r="J110205"/>
    </row>
    <row r="110206" spans="10:10" x14ac:dyDescent="0.3">
      <c r="J110206"/>
    </row>
    <row r="110207" spans="10:10" x14ac:dyDescent="0.3">
      <c r="J110207"/>
    </row>
    <row r="110208" spans="10:10" x14ac:dyDescent="0.3">
      <c r="J110208"/>
    </row>
    <row r="110209" spans="10:10" x14ac:dyDescent="0.3">
      <c r="J110209"/>
    </row>
    <row r="110210" spans="10:10" x14ac:dyDescent="0.3">
      <c r="J110210"/>
    </row>
    <row r="110211" spans="10:10" x14ac:dyDescent="0.3">
      <c r="J110211"/>
    </row>
    <row r="110212" spans="10:10" x14ac:dyDescent="0.3">
      <c r="J110212"/>
    </row>
    <row r="110213" spans="10:10" x14ac:dyDescent="0.3">
      <c r="J110213"/>
    </row>
    <row r="110214" spans="10:10" x14ac:dyDescent="0.3">
      <c r="J110214"/>
    </row>
    <row r="110215" spans="10:10" x14ac:dyDescent="0.3">
      <c r="J110215"/>
    </row>
    <row r="110216" spans="10:10" x14ac:dyDescent="0.3">
      <c r="J110216"/>
    </row>
    <row r="110217" spans="10:10" x14ac:dyDescent="0.3">
      <c r="J110217"/>
    </row>
    <row r="110218" spans="10:10" x14ac:dyDescent="0.3">
      <c r="J110218"/>
    </row>
    <row r="110219" spans="10:10" x14ac:dyDescent="0.3">
      <c r="J110219"/>
    </row>
    <row r="110220" spans="10:10" x14ac:dyDescent="0.3">
      <c r="J110220"/>
    </row>
    <row r="110221" spans="10:10" x14ac:dyDescent="0.3">
      <c r="J110221"/>
    </row>
    <row r="110222" spans="10:10" x14ac:dyDescent="0.3">
      <c r="J110222"/>
    </row>
    <row r="110223" spans="10:10" x14ac:dyDescent="0.3">
      <c r="J110223"/>
    </row>
    <row r="110224" spans="10:10" x14ac:dyDescent="0.3">
      <c r="J110224"/>
    </row>
    <row r="110225" spans="10:10" x14ac:dyDescent="0.3">
      <c r="J110225"/>
    </row>
    <row r="110226" spans="10:10" x14ac:dyDescent="0.3">
      <c r="J110226"/>
    </row>
    <row r="110227" spans="10:10" x14ac:dyDescent="0.3">
      <c r="J110227"/>
    </row>
    <row r="110228" spans="10:10" x14ac:dyDescent="0.3">
      <c r="J110228"/>
    </row>
    <row r="110229" spans="10:10" x14ac:dyDescent="0.3">
      <c r="J110229"/>
    </row>
    <row r="110230" spans="10:10" x14ac:dyDescent="0.3">
      <c r="J110230"/>
    </row>
    <row r="110231" spans="10:10" x14ac:dyDescent="0.3">
      <c r="J110231"/>
    </row>
    <row r="110232" spans="10:10" x14ac:dyDescent="0.3">
      <c r="J110232"/>
    </row>
    <row r="110233" spans="10:10" x14ac:dyDescent="0.3">
      <c r="J110233"/>
    </row>
    <row r="110234" spans="10:10" x14ac:dyDescent="0.3">
      <c r="J110234"/>
    </row>
    <row r="110235" spans="10:10" x14ac:dyDescent="0.3">
      <c r="J110235"/>
    </row>
    <row r="110236" spans="10:10" x14ac:dyDescent="0.3">
      <c r="J110236"/>
    </row>
    <row r="110237" spans="10:10" x14ac:dyDescent="0.3">
      <c r="J110237"/>
    </row>
    <row r="110238" spans="10:10" x14ac:dyDescent="0.3">
      <c r="J110238"/>
    </row>
    <row r="110239" spans="10:10" x14ac:dyDescent="0.3">
      <c r="J110239"/>
    </row>
    <row r="110240" spans="10:10" x14ac:dyDescent="0.3">
      <c r="J110240"/>
    </row>
    <row r="110241" spans="10:10" x14ac:dyDescent="0.3">
      <c r="J110241"/>
    </row>
    <row r="110242" spans="10:10" x14ac:dyDescent="0.3">
      <c r="J110242"/>
    </row>
    <row r="110243" spans="10:10" x14ac:dyDescent="0.3">
      <c r="J110243"/>
    </row>
    <row r="110244" spans="10:10" x14ac:dyDescent="0.3">
      <c r="J110244"/>
    </row>
    <row r="110245" spans="10:10" x14ac:dyDescent="0.3">
      <c r="J110245"/>
    </row>
    <row r="110246" spans="10:10" x14ac:dyDescent="0.3">
      <c r="J110246"/>
    </row>
    <row r="110247" spans="10:10" x14ac:dyDescent="0.3">
      <c r="J110247"/>
    </row>
    <row r="110248" spans="10:10" x14ac:dyDescent="0.3">
      <c r="J110248"/>
    </row>
    <row r="110249" spans="10:10" x14ac:dyDescent="0.3">
      <c r="J110249"/>
    </row>
    <row r="110250" spans="10:10" x14ac:dyDescent="0.3">
      <c r="J110250"/>
    </row>
    <row r="110251" spans="10:10" x14ac:dyDescent="0.3">
      <c r="J110251"/>
    </row>
    <row r="110252" spans="10:10" x14ac:dyDescent="0.3">
      <c r="J110252"/>
    </row>
    <row r="110253" spans="10:10" x14ac:dyDescent="0.3">
      <c r="J110253"/>
    </row>
    <row r="110254" spans="10:10" x14ac:dyDescent="0.3">
      <c r="J110254"/>
    </row>
    <row r="110255" spans="10:10" x14ac:dyDescent="0.3">
      <c r="J110255"/>
    </row>
    <row r="110256" spans="10:10" x14ac:dyDescent="0.3">
      <c r="J110256"/>
    </row>
    <row r="110257" spans="10:10" x14ac:dyDescent="0.3">
      <c r="J110257"/>
    </row>
    <row r="110258" spans="10:10" x14ac:dyDescent="0.3">
      <c r="J110258"/>
    </row>
    <row r="110259" spans="10:10" x14ac:dyDescent="0.3">
      <c r="J110259"/>
    </row>
    <row r="110260" spans="10:10" x14ac:dyDescent="0.3">
      <c r="J110260"/>
    </row>
    <row r="110261" spans="10:10" x14ac:dyDescent="0.3">
      <c r="J110261"/>
    </row>
    <row r="110262" spans="10:10" x14ac:dyDescent="0.3">
      <c r="J110262"/>
    </row>
    <row r="110263" spans="10:10" x14ac:dyDescent="0.3">
      <c r="J110263"/>
    </row>
    <row r="110264" spans="10:10" x14ac:dyDescent="0.3">
      <c r="J110264"/>
    </row>
    <row r="110265" spans="10:10" x14ac:dyDescent="0.3">
      <c r="J110265"/>
    </row>
    <row r="110266" spans="10:10" x14ac:dyDescent="0.3">
      <c r="J110266"/>
    </row>
    <row r="110267" spans="10:10" x14ac:dyDescent="0.3">
      <c r="J110267"/>
    </row>
    <row r="110268" spans="10:10" x14ac:dyDescent="0.3">
      <c r="J110268"/>
    </row>
    <row r="110269" spans="10:10" x14ac:dyDescent="0.3">
      <c r="J110269"/>
    </row>
    <row r="110270" spans="10:10" x14ac:dyDescent="0.3">
      <c r="J110270"/>
    </row>
    <row r="110271" spans="10:10" x14ac:dyDescent="0.3">
      <c r="J110271"/>
    </row>
    <row r="110272" spans="10:10" x14ac:dyDescent="0.3">
      <c r="J110272"/>
    </row>
    <row r="110273" spans="10:10" x14ac:dyDescent="0.3">
      <c r="J110273"/>
    </row>
    <row r="110274" spans="10:10" x14ac:dyDescent="0.3">
      <c r="J110274"/>
    </row>
    <row r="110275" spans="10:10" x14ac:dyDescent="0.3">
      <c r="J110275"/>
    </row>
    <row r="110276" spans="10:10" x14ac:dyDescent="0.3">
      <c r="J110276"/>
    </row>
    <row r="110277" spans="10:10" x14ac:dyDescent="0.3">
      <c r="J110277"/>
    </row>
    <row r="110278" spans="10:10" x14ac:dyDescent="0.3">
      <c r="J110278"/>
    </row>
    <row r="110279" spans="10:10" x14ac:dyDescent="0.3">
      <c r="J110279"/>
    </row>
    <row r="110280" spans="10:10" x14ac:dyDescent="0.3">
      <c r="J110280"/>
    </row>
    <row r="110281" spans="10:10" x14ac:dyDescent="0.3">
      <c r="J110281"/>
    </row>
    <row r="110282" spans="10:10" x14ac:dyDescent="0.3">
      <c r="J110282"/>
    </row>
    <row r="110283" spans="10:10" x14ac:dyDescent="0.3">
      <c r="J110283"/>
    </row>
    <row r="110284" spans="10:10" x14ac:dyDescent="0.3">
      <c r="J110284"/>
    </row>
    <row r="110285" spans="10:10" x14ac:dyDescent="0.3">
      <c r="J110285"/>
    </row>
    <row r="110286" spans="10:10" x14ac:dyDescent="0.3">
      <c r="J110286"/>
    </row>
    <row r="110287" spans="10:10" x14ac:dyDescent="0.3">
      <c r="J110287"/>
    </row>
    <row r="110288" spans="10:10" x14ac:dyDescent="0.3">
      <c r="J110288"/>
    </row>
    <row r="110289" spans="10:10" x14ac:dyDescent="0.3">
      <c r="J110289"/>
    </row>
    <row r="110290" spans="10:10" x14ac:dyDescent="0.3">
      <c r="J110290"/>
    </row>
    <row r="110291" spans="10:10" x14ac:dyDescent="0.3">
      <c r="J110291"/>
    </row>
    <row r="110292" spans="10:10" x14ac:dyDescent="0.3">
      <c r="J110292"/>
    </row>
    <row r="110293" spans="10:10" x14ac:dyDescent="0.3">
      <c r="J110293"/>
    </row>
    <row r="110294" spans="10:10" x14ac:dyDescent="0.3">
      <c r="J110294"/>
    </row>
    <row r="110295" spans="10:10" x14ac:dyDescent="0.3">
      <c r="J110295"/>
    </row>
    <row r="110296" spans="10:10" x14ac:dyDescent="0.3">
      <c r="J110296"/>
    </row>
    <row r="110297" spans="10:10" x14ac:dyDescent="0.3">
      <c r="J110297"/>
    </row>
    <row r="110298" spans="10:10" x14ac:dyDescent="0.3">
      <c r="J110298"/>
    </row>
    <row r="110299" spans="10:10" x14ac:dyDescent="0.3">
      <c r="J110299"/>
    </row>
    <row r="110300" spans="10:10" x14ac:dyDescent="0.3">
      <c r="J110300"/>
    </row>
    <row r="110301" spans="10:10" x14ac:dyDescent="0.3">
      <c r="J110301"/>
    </row>
    <row r="110302" spans="10:10" x14ac:dyDescent="0.3">
      <c r="J110302"/>
    </row>
    <row r="110303" spans="10:10" x14ac:dyDescent="0.3">
      <c r="J110303"/>
    </row>
    <row r="110304" spans="10:10" x14ac:dyDescent="0.3">
      <c r="J110304"/>
    </row>
    <row r="110305" spans="10:10" x14ac:dyDescent="0.3">
      <c r="J110305"/>
    </row>
    <row r="110306" spans="10:10" x14ac:dyDescent="0.3">
      <c r="J110306"/>
    </row>
    <row r="110307" spans="10:10" x14ac:dyDescent="0.3">
      <c r="J110307"/>
    </row>
    <row r="110308" spans="10:10" x14ac:dyDescent="0.3">
      <c r="J110308"/>
    </row>
    <row r="110309" spans="10:10" x14ac:dyDescent="0.3">
      <c r="J110309"/>
    </row>
    <row r="110310" spans="10:10" x14ac:dyDescent="0.3">
      <c r="J110310"/>
    </row>
    <row r="110311" spans="10:10" x14ac:dyDescent="0.3">
      <c r="J110311"/>
    </row>
    <row r="110312" spans="10:10" x14ac:dyDescent="0.3">
      <c r="J110312"/>
    </row>
    <row r="110313" spans="10:10" x14ac:dyDescent="0.3">
      <c r="J110313"/>
    </row>
    <row r="110314" spans="10:10" x14ac:dyDescent="0.3">
      <c r="J110314"/>
    </row>
    <row r="110315" spans="10:10" x14ac:dyDescent="0.3">
      <c r="J110315"/>
    </row>
    <row r="110316" spans="10:10" x14ac:dyDescent="0.3">
      <c r="J110316"/>
    </row>
    <row r="110317" spans="10:10" x14ac:dyDescent="0.3">
      <c r="J110317"/>
    </row>
    <row r="110318" spans="10:10" x14ac:dyDescent="0.3">
      <c r="J110318"/>
    </row>
    <row r="110319" spans="10:10" x14ac:dyDescent="0.3">
      <c r="J110319"/>
    </row>
    <row r="110320" spans="10:10" x14ac:dyDescent="0.3">
      <c r="J110320"/>
    </row>
    <row r="110321" spans="10:10" x14ac:dyDescent="0.3">
      <c r="J110321"/>
    </row>
    <row r="110322" spans="10:10" x14ac:dyDescent="0.3">
      <c r="J110322"/>
    </row>
    <row r="110323" spans="10:10" x14ac:dyDescent="0.3">
      <c r="J110323"/>
    </row>
    <row r="110324" spans="10:10" x14ac:dyDescent="0.3">
      <c r="J110324"/>
    </row>
    <row r="110325" spans="10:10" x14ac:dyDescent="0.3">
      <c r="J110325"/>
    </row>
    <row r="110326" spans="10:10" x14ac:dyDescent="0.3">
      <c r="J110326"/>
    </row>
    <row r="110327" spans="10:10" x14ac:dyDescent="0.3">
      <c r="J110327"/>
    </row>
    <row r="110328" spans="10:10" x14ac:dyDescent="0.3">
      <c r="J110328"/>
    </row>
    <row r="110329" spans="10:10" x14ac:dyDescent="0.3">
      <c r="J110329"/>
    </row>
    <row r="110330" spans="10:10" x14ac:dyDescent="0.3">
      <c r="J110330"/>
    </row>
    <row r="110331" spans="10:10" x14ac:dyDescent="0.3">
      <c r="J110331"/>
    </row>
    <row r="110332" spans="10:10" x14ac:dyDescent="0.3">
      <c r="J110332"/>
    </row>
    <row r="110333" spans="10:10" x14ac:dyDescent="0.3">
      <c r="J110333"/>
    </row>
    <row r="110334" spans="10:10" x14ac:dyDescent="0.3">
      <c r="J110334"/>
    </row>
    <row r="110335" spans="10:10" x14ac:dyDescent="0.3">
      <c r="J110335"/>
    </row>
    <row r="110336" spans="10:10" x14ac:dyDescent="0.3">
      <c r="J110336"/>
    </row>
    <row r="110337" spans="10:10" x14ac:dyDescent="0.3">
      <c r="J110337"/>
    </row>
    <row r="110338" spans="10:10" x14ac:dyDescent="0.3">
      <c r="J110338"/>
    </row>
    <row r="110339" spans="10:10" x14ac:dyDescent="0.3">
      <c r="J110339"/>
    </row>
    <row r="110340" spans="10:10" x14ac:dyDescent="0.3">
      <c r="J110340"/>
    </row>
    <row r="110341" spans="10:10" x14ac:dyDescent="0.3">
      <c r="J110341"/>
    </row>
    <row r="110342" spans="10:10" x14ac:dyDescent="0.3">
      <c r="J110342"/>
    </row>
    <row r="110343" spans="10:10" x14ac:dyDescent="0.3">
      <c r="J110343"/>
    </row>
    <row r="110344" spans="10:10" x14ac:dyDescent="0.3">
      <c r="J110344"/>
    </row>
    <row r="110345" spans="10:10" x14ac:dyDescent="0.3">
      <c r="J110345"/>
    </row>
    <row r="110346" spans="10:10" x14ac:dyDescent="0.3">
      <c r="J110346"/>
    </row>
    <row r="110347" spans="10:10" x14ac:dyDescent="0.3">
      <c r="J110347"/>
    </row>
    <row r="110348" spans="10:10" x14ac:dyDescent="0.3">
      <c r="J110348"/>
    </row>
    <row r="110349" spans="10:10" x14ac:dyDescent="0.3">
      <c r="J110349"/>
    </row>
    <row r="110350" spans="10:10" x14ac:dyDescent="0.3">
      <c r="J110350"/>
    </row>
    <row r="110351" spans="10:10" x14ac:dyDescent="0.3">
      <c r="J110351"/>
    </row>
    <row r="110352" spans="10:10" x14ac:dyDescent="0.3">
      <c r="J110352"/>
    </row>
    <row r="110353" spans="10:10" x14ac:dyDescent="0.3">
      <c r="J110353"/>
    </row>
    <row r="110354" spans="10:10" x14ac:dyDescent="0.3">
      <c r="J110354"/>
    </row>
    <row r="110355" spans="10:10" x14ac:dyDescent="0.3">
      <c r="J110355"/>
    </row>
    <row r="110356" spans="10:10" x14ac:dyDescent="0.3">
      <c r="J110356"/>
    </row>
    <row r="110357" spans="10:10" x14ac:dyDescent="0.3">
      <c r="J110357"/>
    </row>
    <row r="110358" spans="10:10" x14ac:dyDescent="0.3">
      <c r="J110358"/>
    </row>
    <row r="110359" spans="10:10" x14ac:dyDescent="0.3">
      <c r="J110359"/>
    </row>
    <row r="110360" spans="10:10" x14ac:dyDescent="0.3">
      <c r="J110360"/>
    </row>
    <row r="110361" spans="10:10" x14ac:dyDescent="0.3">
      <c r="J110361"/>
    </row>
    <row r="110362" spans="10:10" x14ac:dyDescent="0.3">
      <c r="J110362"/>
    </row>
    <row r="110363" spans="10:10" x14ac:dyDescent="0.3">
      <c r="J110363"/>
    </row>
    <row r="110364" spans="10:10" x14ac:dyDescent="0.3">
      <c r="J110364"/>
    </row>
    <row r="110365" spans="10:10" x14ac:dyDescent="0.3">
      <c r="J110365"/>
    </row>
    <row r="110366" spans="10:10" x14ac:dyDescent="0.3">
      <c r="J110366"/>
    </row>
    <row r="110367" spans="10:10" x14ac:dyDescent="0.3">
      <c r="J110367"/>
    </row>
    <row r="110368" spans="10:10" x14ac:dyDescent="0.3">
      <c r="J110368"/>
    </row>
    <row r="110369" spans="10:10" x14ac:dyDescent="0.3">
      <c r="J110369"/>
    </row>
    <row r="110370" spans="10:10" x14ac:dyDescent="0.3">
      <c r="J110370"/>
    </row>
    <row r="110371" spans="10:10" x14ac:dyDescent="0.3">
      <c r="J110371"/>
    </row>
    <row r="110372" spans="10:10" x14ac:dyDescent="0.3">
      <c r="J110372"/>
    </row>
    <row r="110373" spans="10:10" x14ac:dyDescent="0.3">
      <c r="J110373"/>
    </row>
    <row r="110374" spans="10:10" x14ac:dyDescent="0.3">
      <c r="J110374"/>
    </row>
    <row r="110375" spans="10:10" x14ac:dyDescent="0.3">
      <c r="J110375"/>
    </row>
    <row r="110376" spans="10:10" x14ac:dyDescent="0.3">
      <c r="J110376"/>
    </row>
    <row r="110377" spans="10:10" x14ac:dyDescent="0.3">
      <c r="J110377"/>
    </row>
    <row r="110378" spans="10:10" x14ac:dyDescent="0.3">
      <c r="J110378"/>
    </row>
    <row r="110379" spans="10:10" x14ac:dyDescent="0.3">
      <c r="J110379"/>
    </row>
    <row r="110380" spans="10:10" x14ac:dyDescent="0.3">
      <c r="J110380"/>
    </row>
    <row r="110381" spans="10:10" x14ac:dyDescent="0.3">
      <c r="J110381"/>
    </row>
    <row r="110382" spans="10:10" x14ac:dyDescent="0.3">
      <c r="J110382"/>
    </row>
    <row r="110383" spans="10:10" x14ac:dyDescent="0.3">
      <c r="J110383"/>
    </row>
    <row r="110384" spans="10:10" x14ac:dyDescent="0.3">
      <c r="J110384"/>
    </row>
    <row r="110385" spans="10:10" x14ac:dyDescent="0.3">
      <c r="J110385"/>
    </row>
    <row r="110386" spans="10:10" x14ac:dyDescent="0.3">
      <c r="J110386"/>
    </row>
    <row r="110387" spans="10:10" x14ac:dyDescent="0.3">
      <c r="J110387"/>
    </row>
    <row r="110388" spans="10:10" x14ac:dyDescent="0.3">
      <c r="J110388"/>
    </row>
    <row r="110389" spans="10:10" x14ac:dyDescent="0.3">
      <c r="J110389"/>
    </row>
    <row r="110390" spans="10:10" x14ac:dyDescent="0.3">
      <c r="J110390"/>
    </row>
    <row r="110391" spans="10:10" x14ac:dyDescent="0.3">
      <c r="J110391"/>
    </row>
    <row r="110392" spans="10:10" x14ac:dyDescent="0.3">
      <c r="J110392"/>
    </row>
    <row r="110393" spans="10:10" x14ac:dyDescent="0.3">
      <c r="J110393"/>
    </row>
    <row r="110394" spans="10:10" x14ac:dyDescent="0.3">
      <c r="J110394"/>
    </row>
    <row r="110395" spans="10:10" x14ac:dyDescent="0.3">
      <c r="J110395"/>
    </row>
    <row r="110396" spans="10:10" x14ac:dyDescent="0.3">
      <c r="J110396"/>
    </row>
    <row r="110397" spans="10:10" x14ac:dyDescent="0.3">
      <c r="J110397"/>
    </row>
    <row r="110398" spans="10:10" x14ac:dyDescent="0.3">
      <c r="J110398"/>
    </row>
    <row r="110399" spans="10:10" x14ac:dyDescent="0.3">
      <c r="J110399"/>
    </row>
    <row r="110400" spans="10:10" x14ac:dyDescent="0.3">
      <c r="J110400"/>
    </row>
    <row r="110401" spans="10:10" x14ac:dyDescent="0.3">
      <c r="J110401"/>
    </row>
    <row r="110402" spans="10:10" x14ac:dyDescent="0.3">
      <c r="J110402"/>
    </row>
    <row r="110403" spans="10:10" x14ac:dyDescent="0.3">
      <c r="J110403"/>
    </row>
    <row r="110404" spans="10:10" x14ac:dyDescent="0.3">
      <c r="J110404"/>
    </row>
    <row r="110405" spans="10:10" x14ac:dyDescent="0.3">
      <c r="J110405"/>
    </row>
    <row r="110406" spans="10:10" x14ac:dyDescent="0.3">
      <c r="J110406"/>
    </row>
    <row r="110407" spans="10:10" x14ac:dyDescent="0.3">
      <c r="J110407"/>
    </row>
    <row r="110408" spans="10:10" x14ac:dyDescent="0.3">
      <c r="J110408"/>
    </row>
    <row r="110409" spans="10:10" x14ac:dyDescent="0.3">
      <c r="J110409"/>
    </row>
    <row r="110410" spans="10:10" x14ac:dyDescent="0.3">
      <c r="J110410"/>
    </row>
    <row r="110411" spans="10:10" x14ac:dyDescent="0.3">
      <c r="J110411"/>
    </row>
    <row r="110412" spans="10:10" x14ac:dyDescent="0.3">
      <c r="J110412"/>
    </row>
    <row r="110413" spans="10:10" x14ac:dyDescent="0.3">
      <c r="J110413"/>
    </row>
    <row r="110414" spans="10:10" x14ac:dyDescent="0.3">
      <c r="J110414"/>
    </row>
    <row r="110415" spans="10:10" x14ac:dyDescent="0.3">
      <c r="J110415"/>
    </row>
    <row r="110416" spans="10:10" x14ac:dyDescent="0.3">
      <c r="J110416"/>
    </row>
    <row r="110417" spans="10:10" x14ac:dyDescent="0.3">
      <c r="J110417"/>
    </row>
    <row r="110418" spans="10:10" x14ac:dyDescent="0.3">
      <c r="J110418"/>
    </row>
    <row r="110419" spans="10:10" x14ac:dyDescent="0.3">
      <c r="J110419"/>
    </row>
    <row r="110420" spans="10:10" x14ac:dyDescent="0.3">
      <c r="J110420"/>
    </row>
    <row r="110421" spans="10:10" x14ac:dyDescent="0.3">
      <c r="J110421"/>
    </row>
    <row r="110422" spans="10:10" x14ac:dyDescent="0.3">
      <c r="J110422"/>
    </row>
    <row r="110423" spans="10:10" x14ac:dyDescent="0.3">
      <c r="J110423"/>
    </row>
    <row r="110424" spans="10:10" x14ac:dyDescent="0.3">
      <c r="J110424"/>
    </row>
    <row r="110425" spans="10:10" x14ac:dyDescent="0.3">
      <c r="J110425"/>
    </row>
    <row r="110426" spans="10:10" x14ac:dyDescent="0.3">
      <c r="J110426"/>
    </row>
    <row r="110427" spans="10:10" x14ac:dyDescent="0.3">
      <c r="J110427"/>
    </row>
    <row r="110428" spans="10:10" x14ac:dyDescent="0.3">
      <c r="J110428"/>
    </row>
    <row r="110429" spans="10:10" x14ac:dyDescent="0.3">
      <c r="J110429"/>
    </row>
    <row r="110430" spans="10:10" x14ac:dyDescent="0.3">
      <c r="J110430"/>
    </row>
    <row r="110431" spans="10:10" x14ac:dyDescent="0.3">
      <c r="J110431"/>
    </row>
    <row r="110432" spans="10:10" x14ac:dyDescent="0.3">
      <c r="J110432"/>
    </row>
    <row r="110433" spans="10:10" x14ac:dyDescent="0.3">
      <c r="J110433"/>
    </row>
    <row r="110434" spans="10:10" x14ac:dyDescent="0.3">
      <c r="J110434"/>
    </row>
    <row r="110435" spans="10:10" x14ac:dyDescent="0.3">
      <c r="J110435"/>
    </row>
    <row r="110436" spans="10:10" x14ac:dyDescent="0.3">
      <c r="J110436"/>
    </row>
    <row r="110437" spans="10:10" x14ac:dyDescent="0.3">
      <c r="J110437"/>
    </row>
    <row r="110438" spans="10:10" x14ac:dyDescent="0.3">
      <c r="J110438"/>
    </row>
    <row r="110439" spans="10:10" x14ac:dyDescent="0.3">
      <c r="J110439"/>
    </row>
    <row r="110440" spans="10:10" x14ac:dyDescent="0.3">
      <c r="J110440"/>
    </row>
    <row r="110441" spans="10:10" x14ac:dyDescent="0.3">
      <c r="J110441"/>
    </row>
    <row r="110442" spans="10:10" x14ac:dyDescent="0.3">
      <c r="J110442"/>
    </row>
    <row r="110443" spans="10:10" x14ac:dyDescent="0.3">
      <c r="J110443"/>
    </row>
    <row r="110444" spans="10:10" x14ac:dyDescent="0.3">
      <c r="J110444"/>
    </row>
    <row r="110445" spans="10:10" x14ac:dyDescent="0.3">
      <c r="J110445"/>
    </row>
    <row r="110446" spans="10:10" x14ac:dyDescent="0.3">
      <c r="J110446"/>
    </row>
    <row r="110447" spans="10:10" x14ac:dyDescent="0.3">
      <c r="J110447"/>
    </row>
    <row r="110448" spans="10:10" x14ac:dyDescent="0.3">
      <c r="J110448"/>
    </row>
    <row r="110449" spans="10:10" x14ac:dyDescent="0.3">
      <c r="J110449"/>
    </row>
    <row r="110450" spans="10:10" x14ac:dyDescent="0.3">
      <c r="J110450"/>
    </row>
    <row r="110451" spans="10:10" x14ac:dyDescent="0.3">
      <c r="J110451"/>
    </row>
    <row r="110452" spans="10:10" x14ac:dyDescent="0.3">
      <c r="J110452"/>
    </row>
    <row r="110453" spans="10:10" x14ac:dyDescent="0.3">
      <c r="J110453"/>
    </row>
    <row r="110454" spans="10:10" x14ac:dyDescent="0.3">
      <c r="J110454"/>
    </row>
    <row r="110455" spans="10:10" x14ac:dyDescent="0.3">
      <c r="J110455"/>
    </row>
    <row r="110456" spans="10:10" x14ac:dyDescent="0.3">
      <c r="J110456"/>
    </row>
    <row r="110457" spans="10:10" x14ac:dyDescent="0.3">
      <c r="J110457"/>
    </row>
    <row r="110458" spans="10:10" x14ac:dyDescent="0.3">
      <c r="J110458"/>
    </row>
    <row r="110459" spans="10:10" x14ac:dyDescent="0.3">
      <c r="J110459"/>
    </row>
    <row r="110460" spans="10:10" x14ac:dyDescent="0.3">
      <c r="J110460"/>
    </row>
    <row r="110461" spans="10:10" x14ac:dyDescent="0.3">
      <c r="J110461"/>
    </row>
    <row r="110462" spans="10:10" x14ac:dyDescent="0.3">
      <c r="J110462"/>
    </row>
    <row r="110463" spans="10:10" x14ac:dyDescent="0.3">
      <c r="J110463"/>
    </row>
    <row r="110464" spans="10:10" x14ac:dyDescent="0.3">
      <c r="J110464"/>
    </row>
    <row r="110465" spans="10:10" x14ac:dyDescent="0.3">
      <c r="J110465"/>
    </row>
    <row r="110466" spans="10:10" x14ac:dyDescent="0.3">
      <c r="J110466"/>
    </row>
    <row r="110467" spans="10:10" x14ac:dyDescent="0.3">
      <c r="J110467"/>
    </row>
    <row r="110468" spans="10:10" x14ac:dyDescent="0.3">
      <c r="J110468"/>
    </row>
    <row r="110469" spans="10:10" x14ac:dyDescent="0.3">
      <c r="J110469"/>
    </row>
    <row r="110470" spans="10:10" x14ac:dyDescent="0.3">
      <c r="J110470"/>
    </row>
    <row r="110471" spans="10:10" x14ac:dyDescent="0.3">
      <c r="J110471"/>
    </row>
    <row r="110472" spans="10:10" x14ac:dyDescent="0.3">
      <c r="J110472"/>
    </row>
    <row r="110473" spans="10:10" x14ac:dyDescent="0.3">
      <c r="J110473"/>
    </row>
    <row r="110474" spans="10:10" x14ac:dyDescent="0.3">
      <c r="J110474"/>
    </row>
    <row r="110475" spans="10:10" x14ac:dyDescent="0.3">
      <c r="J110475"/>
    </row>
    <row r="110476" spans="10:10" x14ac:dyDescent="0.3">
      <c r="J110476"/>
    </row>
    <row r="110477" spans="10:10" x14ac:dyDescent="0.3">
      <c r="J110477"/>
    </row>
    <row r="110478" spans="10:10" x14ac:dyDescent="0.3">
      <c r="J110478"/>
    </row>
    <row r="110479" spans="10:10" x14ac:dyDescent="0.3">
      <c r="J110479"/>
    </row>
    <row r="110480" spans="10:10" x14ac:dyDescent="0.3">
      <c r="J110480"/>
    </row>
    <row r="110481" spans="10:10" x14ac:dyDescent="0.3">
      <c r="J110481"/>
    </row>
    <row r="110482" spans="10:10" x14ac:dyDescent="0.3">
      <c r="J110482"/>
    </row>
    <row r="110483" spans="10:10" x14ac:dyDescent="0.3">
      <c r="J110483"/>
    </row>
    <row r="110484" spans="10:10" x14ac:dyDescent="0.3">
      <c r="J110484"/>
    </row>
    <row r="110485" spans="10:10" x14ac:dyDescent="0.3">
      <c r="J110485"/>
    </row>
    <row r="110486" spans="10:10" x14ac:dyDescent="0.3">
      <c r="J110486"/>
    </row>
    <row r="110487" spans="10:10" x14ac:dyDescent="0.3">
      <c r="J110487"/>
    </row>
    <row r="110488" spans="10:10" x14ac:dyDescent="0.3">
      <c r="J110488"/>
    </row>
    <row r="110489" spans="10:10" x14ac:dyDescent="0.3">
      <c r="J110489"/>
    </row>
    <row r="110490" spans="10:10" x14ac:dyDescent="0.3">
      <c r="J110490"/>
    </row>
    <row r="110491" spans="10:10" x14ac:dyDescent="0.3">
      <c r="J110491"/>
    </row>
    <row r="110492" spans="10:10" x14ac:dyDescent="0.3">
      <c r="J110492"/>
    </row>
    <row r="110493" spans="10:10" x14ac:dyDescent="0.3">
      <c r="J110493"/>
    </row>
    <row r="110494" spans="10:10" x14ac:dyDescent="0.3">
      <c r="J110494"/>
    </row>
    <row r="110495" spans="10:10" x14ac:dyDescent="0.3">
      <c r="J110495"/>
    </row>
    <row r="110496" spans="10:10" x14ac:dyDescent="0.3">
      <c r="J110496"/>
    </row>
    <row r="110497" spans="10:10" x14ac:dyDescent="0.3">
      <c r="J110497"/>
    </row>
    <row r="110498" spans="10:10" x14ac:dyDescent="0.3">
      <c r="J110498"/>
    </row>
    <row r="110499" spans="10:10" x14ac:dyDescent="0.3">
      <c r="J110499"/>
    </row>
    <row r="110500" spans="10:10" x14ac:dyDescent="0.3">
      <c r="J110500"/>
    </row>
    <row r="110501" spans="10:10" x14ac:dyDescent="0.3">
      <c r="J110501"/>
    </row>
    <row r="110502" spans="10:10" x14ac:dyDescent="0.3">
      <c r="J110502"/>
    </row>
    <row r="110503" spans="10:10" x14ac:dyDescent="0.3">
      <c r="J110503"/>
    </row>
    <row r="110504" spans="10:10" x14ac:dyDescent="0.3">
      <c r="J110504"/>
    </row>
    <row r="110505" spans="10:10" x14ac:dyDescent="0.3">
      <c r="J110505"/>
    </row>
    <row r="110506" spans="10:10" x14ac:dyDescent="0.3">
      <c r="J110506"/>
    </row>
    <row r="110507" spans="10:10" x14ac:dyDescent="0.3">
      <c r="J110507"/>
    </row>
    <row r="110508" spans="10:10" x14ac:dyDescent="0.3">
      <c r="J110508"/>
    </row>
    <row r="110509" spans="10:10" x14ac:dyDescent="0.3">
      <c r="J110509"/>
    </row>
    <row r="110510" spans="10:10" x14ac:dyDescent="0.3">
      <c r="J110510"/>
    </row>
    <row r="110511" spans="10:10" x14ac:dyDescent="0.3">
      <c r="J110511"/>
    </row>
    <row r="110512" spans="10:10" x14ac:dyDescent="0.3">
      <c r="J110512"/>
    </row>
    <row r="110513" spans="10:10" x14ac:dyDescent="0.3">
      <c r="J110513"/>
    </row>
    <row r="110514" spans="10:10" x14ac:dyDescent="0.3">
      <c r="J110514"/>
    </row>
    <row r="110515" spans="10:10" x14ac:dyDescent="0.3">
      <c r="J110515"/>
    </row>
    <row r="110516" spans="10:10" x14ac:dyDescent="0.3">
      <c r="J110516"/>
    </row>
    <row r="110517" spans="10:10" x14ac:dyDescent="0.3">
      <c r="J110517"/>
    </row>
    <row r="110518" spans="10:10" x14ac:dyDescent="0.3">
      <c r="J110518"/>
    </row>
    <row r="110519" spans="10:10" x14ac:dyDescent="0.3">
      <c r="J110519"/>
    </row>
    <row r="110520" spans="10:10" x14ac:dyDescent="0.3">
      <c r="J110520"/>
    </row>
    <row r="110521" spans="10:10" x14ac:dyDescent="0.3">
      <c r="J110521"/>
    </row>
    <row r="110522" spans="10:10" x14ac:dyDescent="0.3">
      <c r="J110522"/>
    </row>
    <row r="110523" spans="10:10" x14ac:dyDescent="0.3">
      <c r="J110523"/>
    </row>
    <row r="110524" spans="10:10" x14ac:dyDescent="0.3">
      <c r="J110524"/>
    </row>
    <row r="110525" spans="10:10" x14ac:dyDescent="0.3">
      <c r="J110525"/>
    </row>
    <row r="110526" spans="10:10" x14ac:dyDescent="0.3">
      <c r="J110526"/>
    </row>
    <row r="110527" spans="10:10" x14ac:dyDescent="0.3">
      <c r="J110527"/>
    </row>
    <row r="110528" spans="10:10" x14ac:dyDescent="0.3">
      <c r="J110528"/>
    </row>
    <row r="110529" spans="10:10" x14ac:dyDescent="0.3">
      <c r="J110529"/>
    </row>
    <row r="110530" spans="10:10" x14ac:dyDescent="0.3">
      <c r="J110530"/>
    </row>
    <row r="110531" spans="10:10" x14ac:dyDescent="0.3">
      <c r="J110531"/>
    </row>
    <row r="110532" spans="10:10" x14ac:dyDescent="0.3">
      <c r="J110532"/>
    </row>
    <row r="110533" spans="10:10" x14ac:dyDescent="0.3">
      <c r="J110533"/>
    </row>
    <row r="110534" spans="10:10" x14ac:dyDescent="0.3">
      <c r="J110534"/>
    </row>
    <row r="110535" spans="10:10" x14ac:dyDescent="0.3">
      <c r="J110535"/>
    </row>
    <row r="110536" spans="10:10" x14ac:dyDescent="0.3">
      <c r="J110536"/>
    </row>
    <row r="110537" spans="10:10" x14ac:dyDescent="0.3">
      <c r="J110537"/>
    </row>
    <row r="110538" spans="10:10" x14ac:dyDescent="0.3">
      <c r="J110538"/>
    </row>
    <row r="110539" spans="10:10" x14ac:dyDescent="0.3">
      <c r="J110539"/>
    </row>
    <row r="110540" spans="10:10" x14ac:dyDescent="0.3">
      <c r="J110540"/>
    </row>
    <row r="110541" spans="10:10" x14ac:dyDescent="0.3">
      <c r="J110541"/>
    </row>
    <row r="110542" spans="10:10" x14ac:dyDescent="0.3">
      <c r="J110542"/>
    </row>
    <row r="110543" spans="10:10" x14ac:dyDescent="0.3">
      <c r="J110543"/>
    </row>
    <row r="110544" spans="10:10" x14ac:dyDescent="0.3">
      <c r="J110544"/>
    </row>
    <row r="110545" spans="10:10" x14ac:dyDescent="0.3">
      <c r="J110545"/>
    </row>
    <row r="110546" spans="10:10" x14ac:dyDescent="0.3">
      <c r="J110546"/>
    </row>
    <row r="110547" spans="10:10" x14ac:dyDescent="0.3">
      <c r="J110547"/>
    </row>
    <row r="110548" spans="10:10" x14ac:dyDescent="0.3">
      <c r="J110548"/>
    </row>
    <row r="110549" spans="10:10" x14ac:dyDescent="0.3">
      <c r="J110549"/>
    </row>
    <row r="110550" spans="10:10" x14ac:dyDescent="0.3">
      <c r="J110550"/>
    </row>
    <row r="110551" spans="10:10" x14ac:dyDescent="0.3">
      <c r="J110551"/>
    </row>
    <row r="110552" spans="10:10" x14ac:dyDescent="0.3">
      <c r="J110552"/>
    </row>
    <row r="110553" spans="10:10" x14ac:dyDescent="0.3">
      <c r="J110553"/>
    </row>
    <row r="110554" spans="10:10" x14ac:dyDescent="0.3">
      <c r="J110554"/>
    </row>
    <row r="110555" spans="10:10" x14ac:dyDescent="0.3">
      <c r="J110555"/>
    </row>
    <row r="110556" spans="10:10" x14ac:dyDescent="0.3">
      <c r="J110556"/>
    </row>
    <row r="110557" spans="10:10" x14ac:dyDescent="0.3">
      <c r="J110557"/>
    </row>
    <row r="110558" spans="10:10" x14ac:dyDescent="0.3">
      <c r="J110558"/>
    </row>
    <row r="110559" spans="10:10" x14ac:dyDescent="0.3">
      <c r="J110559"/>
    </row>
    <row r="110560" spans="10:10" x14ac:dyDescent="0.3">
      <c r="J110560"/>
    </row>
    <row r="110561" spans="10:10" x14ac:dyDescent="0.3">
      <c r="J110561"/>
    </row>
    <row r="110562" spans="10:10" x14ac:dyDescent="0.3">
      <c r="J110562"/>
    </row>
    <row r="110563" spans="10:10" x14ac:dyDescent="0.3">
      <c r="J110563"/>
    </row>
    <row r="110564" spans="10:10" x14ac:dyDescent="0.3">
      <c r="J110564"/>
    </row>
    <row r="110565" spans="10:10" x14ac:dyDescent="0.3">
      <c r="J110565"/>
    </row>
    <row r="110566" spans="10:10" x14ac:dyDescent="0.3">
      <c r="J110566"/>
    </row>
    <row r="110567" spans="10:10" x14ac:dyDescent="0.3">
      <c r="J110567"/>
    </row>
    <row r="110568" spans="10:10" x14ac:dyDescent="0.3">
      <c r="J110568"/>
    </row>
    <row r="110569" spans="10:10" x14ac:dyDescent="0.3">
      <c r="J110569"/>
    </row>
    <row r="110570" spans="10:10" x14ac:dyDescent="0.3">
      <c r="J110570"/>
    </row>
    <row r="110571" spans="10:10" x14ac:dyDescent="0.3">
      <c r="J110571"/>
    </row>
    <row r="110572" spans="10:10" x14ac:dyDescent="0.3">
      <c r="J110572"/>
    </row>
    <row r="110573" spans="10:10" x14ac:dyDescent="0.3">
      <c r="J110573"/>
    </row>
    <row r="110574" spans="10:10" x14ac:dyDescent="0.3">
      <c r="J110574"/>
    </row>
    <row r="110575" spans="10:10" x14ac:dyDescent="0.3">
      <c r="J110575"/>
    </row>
    <row r="110576" spans="10:10" x14ac:dyDescent="0.3">
      <c r="J110576"/>
    </row>
    <row r="110577" spans="10:10" x14ac:dyDescent="0.3">
      <c r="J110577"/>
    </row>
    <row r="110578" spans="10:10" x14ac:dyDescent="0.3">
      <c r="J110578"/>
    </row>
    <row r="110579" spans="10:10" x14ac:dyDescent="0.3">
      <c r="J110579"/>
    </row>
    <row r="110580" spans="10:10" x14ac:dyDescent="0.3">
      <c r="J110580"/>
    </row>
    <row r="110581" spans="10:10" x14ac:dyDescent="0.3">
      <c r="J110581"/>
    </row>
    <row r="110582" spans="10:10" x14ac:dyDescent="0.3">
      <c r="J110582"/>
    </row>
    <row r="110583" spans="10:10" x14ac:dyDescent="0.3">
      <c r="J110583"/>
    </row>
    <row r="110584" spans="10:10" x14ac:dyDescent="0.3">
      <c r="J110584"/>
    </row>
    <row r="110585" spans="10:10" x14ac:dyDescent="0.3">
      <c r="J110585"/>
    </row>
    <row r="110586" spans="10:10" x14ac:dyDescent="0.3">
      <c r="J110586"/>
    </row>
    <row r="110587" spans="10:10" x14ac:dyDescent="0.3">
      <c r="J110587"/>
    </row>
    <row r="110588" spans="10:10" x14ac:dyDescent="0.3">
      <c r="J110588"/>
    </row>
    <row r="110589" spans="10:10" x14ac:dyDescent="0.3">
      <c r="J110589"/>
    </row>
    <row r="110590" spans="10:10" x14ac:dyDescent="0.3">
      <c r="J110590"/>
    </row>
    <row r="110591" spans="10:10" x14ac:dyDescent="0.3">
      <c r="J110591"/>
    </row>
    <row r="110592" spans="10:10" x14ac:dyDescent="0.3">
      <c r="J110592"/>
    </row>
    <row r="110593" spans="10:10" x14ac:dyDescent="0.3">
      <c r="J110593"/>
    </row>
    <row r="110594" spans="10:10" x14ac:dyDescent="0.3">
      <c r="J110594"/>
    </row>
    <row r="110595" spans="10:10" x14ac:dyDescent="0.3">
      <c r="J110595"/>
    </row>
    <row r="110596" spans="10:10" x14ac:dyDescent="0.3">
      <c r="J110596"/>
    </row>
    <row r="110597" spans="10:10" x14ac:dyDescent="0.3">
      <c r="J110597"/>
    </row>
    <row r="110598" spans="10:10" x14ac:dyDescent="0.3">
      <c r="J110598"/>
    </row>
    <row r="110599" spans="10:10" x14ac:dyDescent="0.3">
      <c r="J110599"/>
    </row>
    <row r="110600" spans="10:10" x14ac:dyDescent="0.3">
      <c r="J110600"/>
    </row>
    <row r="110601" spans="10:10" x14ac:dyDescent="0.3">
      <c r="J110601"/>
    </row>
    <row r="110602" spans="10:10" x14ac:dyDescent="0.3">
      <c r="J110602"/>
    </row>
    <row r="110603" spans="10:10" x14ac:dyDescent="0.3">
      <c r="J110603"/>
    </row>
    <row r="110604" spans="10:10" x14ac:dyDescent="0.3">
      <c r="J110604"/>
    </row>
    <row r="110605" spans="10:10" x14ac:dyDescent="0.3">
      <c r="J110605"/>
    </row>
    <row r="110606" spans="10:10" x14ac:dyDescent="0.3">
      <c r="J110606"/>
    </row>
    <row r="110607" spans="10:10" x14ac:dyDescent="0.3">
      <c r="J110607"/>
    </row>
    <row r="110608" spans="10:10" x14ac:dyDescent="0.3">
      <c r="J110608"/>
    </row>
    <row r="110609" spans="10:10" x14ac:dyDescent="0.3">
      <c r="J110609"/>
    </row>
    <row r="110610" spans="10:10" x14ac:dyDescent="0.3">
      <c r="J110610"/>
    </row>
    <row r="110611" spans="10:10" x14ac:dyDescent="0.3">
      <c r="J110611"/>
    </row>
    <row r="110612" spans="10:10" x14ac:dyDescent="0.3">
      <c r="J110612"/>
    </row>
    <row r="110613" spans="10:10" x14ac:dyDescent="0.3">
      <c r="J110613"/>
    </row>
    <row r="110614" spans="10:10" x14ac:dyDescent="0.3">
      <c r="J110614"/>
    </row>
    <row r="110615" spans="10:10" x14ac:dyDescent="0.3">
      <c r="J110615"/>
    </row>
    <row r="110616" spans="10:10" x14ac:dyDescent="0.3">
      <c r="J110616"/>
    </row>
    <row r="110617" spans="10:10" x14ac:dyDescent="0.3">
      <c r="J110617"/>
    </row>
    <row r="110618" spans="10:10" x14ac:dyDescent="0.3">
      <c r="J110618"/>
    </row>
    <row r="110619" spans="10:10" x14ac:dyDescent="0.3">
      <c r="J110619"/>
    </row>
    <row r="110620" spans="10:10" x14ac:dyDescent="0.3">
      <c r="J110620"/>
    </row>
    <row r="110621" spans="10:10" x14ac:dyDescent="0.3">
      <c r="J110621"/>
    </row>
    <row r="110622" spans="10:10" x14ac:dyDescent="0.3">
      <c r="J110622"/>
    </row>
    <row r="110623" spans="10:10" x14ac:dyDescent="0.3">
      <c r="J110623"/>
    </row>
    <row r="110624" spans="10:10" x14ac:dyDescent="0.3">
      <c r="J110624"/>
    </row>
    <row r="110625" spans="10:10" x14ac:dyDescent="0.3">
      <c r="J110625"/>
    </row>
    <row r="110626" spans="10:10" x14ac:dyDescent="0.3">
      <c r="J110626"/>
    </row>
    <row r="110627" spans="10:10" x14ac:dyDescent="0.3">
      <c r="J110627"/>
    </row>
    <row r="110628" spans="10:10" x14ac:dyDescent="0.3">
      <c r="J110628"/>
    </row>
    <row r="110629" spans="10:10" x14ac:dyDescent="0.3">
      <c r="J110629"/>
    </row>
    <row r="110630" spans="10:10" x14ac:dyDescent="0.3">
      <c r="J110630"/>
    </row>
    <row r="110631" spans="10:10" x14ac:dyDescent="0.3">
      <c r="J110631"/>
    </row>
    <row r="110632" spans="10:10" x14ac:dyDescent="0.3">
      <c r="J110632"/>
    </row>
    <row r="110633" spans="10:10" x14ac:dyDescent="0.3">
      <c r="J110633"/>
    </row>
    <row r="110634" spans="10:10" x14ac:dyDescent="0.3">
      <c r="J110634"/>
    </row>
    <row r="110635" spans="10:10" x14ac:dyDescent="0.3">
      <c r="J110635"/>
    </row>
    <row r="110636" spans="10:10" x14ac:dyDescent="0.3">
      <c r="J110636"/>
    </row>
    <row r="110637" spans="10:10" x14ac:dyDescent="0.3">
      <c r="J110637"/>
    </row>
    <row r="110638" spans="10:10" x14ac:dyDescent="0.3">
      <c r="J110638"/>
    </row>
    <row r="110639" spans="10:10" x14ac:dyDescent="0.3">
      <c r="J110639"/>
    </row>
    <row r="110640" spans="10:10" x14ac:dyDescent="0.3">
      <c r="J110640"/>
    </row>
    <row r="110641" spans="10:10" x14ac:dyDescent="0.3">
      <c r="J110641"/>
    </row>
    <row r="110642" spans="10:10" x14ac:dyDescent="0.3">
      <c r="J110642"/>
    </row>
    <row r="110643" spans="10:10" x14ac:dyDescent="0.3">
      <c r="J110643"/>
    </row>
    <row r="110644" spans="10:10" x14ac:dyDescent="0.3">
      <c r="J110644"/>
    </row>
    <row r="110645" spans="10:10" x14ac:dyDescent="0.3">
      <c r="J110645"/>
    </row>
    <row r="110646" spans="10:10" x14ac:dyDescent="0.3">
      <c r="J110646"/>
    </row>
    <row r="110647" spans="10:10" x14ac:dyDescent="0.3">
      <c r="J110647"/>
    </row>
    <row r="110648" spans="10:10" x14ac:dyDescent="0.3">
      <c r="J110648"/>
    </row>
    <row r="110649" spans="10:10" x14ac:dyDescent="0.3">
      <c r="J110649"/>
    </row>
    <row r="110650" spans="10:10" x14ac:dyDescent="0.3">
      <c r="J110650"/>
    </row>
    <row r="110651" spans="10:10" x14ac:dyDescent="0.3">
      <c r="J110651"/>
    </row>
    <row r="110652" spans="10:10" x14ac:dyDescent="0.3">
      <c r="J110652"/>
    </row>
    <row r="110653" spans="10:10" x14ac:dyDescent="0.3">
      <c r="J110653"/>
    </row>
    <row r="110654" spans="10:10" x14ac:dyDescent="0.3">
      <c r="J110654"/>
    </row>
    <row r="110655" spans="10:10" x14ac:dyDescent="0.3">
      <c r="J110655"/>
    </row>
    <row r="110656" spans="10:10" x14ac:dyDescent="0.3">
      <c r="J110656"/>
    </row>
    <row r="110657" spans="10:10" x14ac:dyDescent="0.3">
      <c r="J110657"/>
    </row>
    <row r="110658" spans="10:10" x14ac:dyDescent="0.3">
      <c r="J110658"/>
    </row>
    <row r="110659" spans="10:10" x14ac:dyDescent="0.3">
      <c r="J110659"/>
    </row>
    <row r="110660" spans="10:10" x14ac:dyDescent="0.3">
      <c r="J110660"/>
    </row>
    <row r="110661" spans="10:10" x14ac:dyDescent="0.3">
      <c r="J110661"/>
    </row>
    <row r="110662" spans="10:10" x14ac:dyDescent="0.3">
      <c r="J110662"/>
    </row>
    <row r="110663" spans="10:10" x14ac:dyDescent="0.3">
      <c r="J110663"/>
    </row>
    <row r="110664" spans="10:10" x14ac:dyDescent="0.3">
      <c r="J110664"/>
    </row>
    <row r="110665" spans="10:10" x14ac:dyDescent="0.3">
      <c r="J110665"/>
    </row>
    <row r="110666" spans="10:10" x14ac:dyDescent="0.3">
      <c r="J110666"/>
    </row>
    <row r="110667" spans="10:10" x14ac:dyDescent="0.3">
      <c r="J110667"/>
    </row>
    <row r="110668" spans="10:10" x14ac:dyDescent="0.3">
      <c r="J110668"/>
    </row>
    <row r="110669" spans="10:10" x14ac:dyDescent="0.3">
      <c r="J110669"/>
    </row>
    <row r="110670" spans="10:10" x14ac:dyDescent="0.3">
      <c r="J110670"/>
    </row>
    <row r="110671" spans="10:10" x14ac:dyDescent="0.3">
      <c r="J110671"/>
    </row>
    <row r="110672" spans="10:10" x14ac:dyDescent="0.3">
      <c r="J110672"/>
    </row>
    <row r="110673" spans="10:10" x14ac:dyDescent="0.3">
      <c r="J110673"/>
    </row>
    <row r="110674" spans="10:10" x14ac:dyDescent="0.3">
      <c r="J110674"/>
    </row>
    <row r="110675" spans="10:10" x14ac:dyDescent="0.3">
      <c r="J110675"/>
    </row>
    <row r="110676" spans="10:10" x14ac:dyDescent="0.3">
      <c r="J110676"/>
    </row>
    <row r="110677" spans="10:10" x14ac:dyDescent="0.3">
      <c r="J110677"/>
    </row>
    <row r="110678" spans="10:10" x14ac:dyDescent="0.3">
      <c r="J110678"/>
    </row>
    <row r="110679" spans="10:10" x14ac:dyDescent="0.3">
      <c r="J110679"/>
    </row>
    <row r="110680" spans="10:10" x14ac:dyDescent="0.3">
      <c r="J110680"/>
    </row>
    <row r="110681" spans="10:10" x14ac:dyDescent="0.3">
      <c r="J110681"/>
    </row>
    <row r="110682" spans="10:10" x14ac:dyDescent="0.3">
      <c r="J110682"/>
    </row>
    <row r="110683" spans="10:10" x14ac:dyDescent="0.3">
      <c r="J110683"/>
    </row>
    <row r="110684" spans="10:10" x14ac:dyDescent="0.3">
      <c r="J110684"/>
    </row>
    <row r="110685" spans="10:10" x14ac:dyDescent="0.3">
      <c r="J110685"/>
    </row>
    <row r="110686" spans="10:10" x14ac:dyDescent="0.3">
      <c r="J110686"/>
    </row>
    <row r="110687" spans="10:10" x14ac:dyDescent="0.3">
      <c r="J110687"/>
    </row>
    <row r="110688" spans="10:10" x14ac:dyDescent="0.3">
      <c r="J110688"/>
    </row>
    <row r="110689" spans="10:10" x14ac:dyDescent="0.3">
      <c r="J110689"/>
    </row>
    <row r="110690" spans="10:10" x14ac:dyDescent="0.3">
      <c r="J110690"/>
    </row>
    <row r="110691" spans="10:10" x14ac:dyDescent="0.3">
      <c r="J110691"/>
    </row>
    <row r="110692" spans="10:10" x14ac:dyDescent="0.3">
      <c r="J110692"/>
    </row>
    <row r="110693" spans="10:10" x14ac:dyDescent="0.3">
      <c r="J110693"/>
    </row>
    <row r="110694" spans="10:10" x14ac:dyDescent="0.3">
      <c r="J110694"/>
    </row>
    <row r="110695" spans="10:10" x14ac:dyDescent="0.3">
      <c r="J110695"/>
    </row>
    <row r="110696" spans="10:10" x14ac:dyDescent="0.3">
      <c r="J110696"/>
    </row>
    <row r="110697" spans="10:10" x14ac:dyDescent="0.3">
      <c r="J110697"/>
    </row>
    <row r="110698" spans="10:10" x14ac:dyDescent="0.3">
      <c r="J110698"/>
    </row>
    <row r="110699" spans="10:10" x14ac:dyDescent="0.3">
      <c r="J110699"/>
    </row>
    <row r="110700" spans="10:10" x14ac:dyDescent="0.3">
      <c r="J110700"/>
    </row>
    <row r="110701" spans="10:10" x14ac:dyDescent="0.3">
      <c r="J110701"/>
    </row>
    <row r="110702" spans="10:10" x14ac:dyDescent="0.3">
      <c r="J110702"/>
    </row>
    <row r="110703" spans="10:10" x14ac:dyDescent="0.3">
      <c r="J110703"/>
    </row>
    <row r="110704" spans="10:10" x14ac:dyDescent="0.3">
      <c r="J110704"/>
    </row>
    <row r="110705" spans="10:10" x14ac:dyDescent="0.3">
      <c r="J110705"/>
    </row>
    <row r="110706" spans="10:10" x14ac:dyDescent="0.3">
      <c r="J110706"/>
    </row>
    <row r="110707" spans="10:10" x14ac:dyDescent="0.3">
      <c r="J110707"/>
    </row>
    <row r="110708" spans="10:10" x14ac:dyDescent="0.3">
      <c r="J110708"/>
    </row>
    <row r="110709" spans="10:10" x14ac:dyDescent="0.3">
      <c r="J110709"/>
    </row>
    <row r="110710" spans="10:10" x14ac:dyDescent="0.3">
      <c r="J110710"/>
    </row>
    <row r="110711" spans="10:10" x14ac:dyDescent="0.3">
      <c r="J110711"/>
    </row>
    <row r="110712" spans="10:10" x14ac:dyDescent="0.3">
      <c r="J110712"/>
    </row>
    <row r="110713" spans="10:10" x14ac:dyDescent="0.3">
      <c r="J110713"/>
    </row>
    <row r="110714" spans="10:10" x14ac:dyDescent="0.3">
      <c r="J110714"/>
    </row>
    <row r="110715" spans="10:10" x14ac:dyDescent="0.3">
      <c r="J110715"/>
    </row>
    <row r="110716" spans="10:10" x14ac:dyDescent="0.3">
      <c r="J110716"/>
    </row>
    <row r="110717" spans="10:10" x14ac:dyDescent="0.3">
      <c r="J110717"/>
    </row>
    <row r="110718" spans="10:10" x14ac:dyDescent="0.3">
      <c r="J110718"/>
    </row>
    <row r="110719" spans="10:10" x14ac:dyDescent="0.3">
      <c r="J110719"/>
    </row>
    <row r="110720" spans="10:10" x14ac:dyDescent="0.3">
      <c r="J110720"/>
    </row>
    <row r="110721" spans="10:10" x14ac:dyDescent="0.3">
      <c r="J110721"/>
    </row>
    <row r="110722" spans="10:10" x14ac:dyDescent="0.3">
      <c r="J110722"/>
    </row>
    <row r="110723" spans="10:10" x14ac:dyDescent="0.3">
      <c r="J110723"/>
    </row>
    <row r="110724" spans="10:10" x14ac:dyDescent="0.3">
      <c r="J110724"/>
    </row>
    <row r="110725" spans="10:10" x14ac:dyDescent="0.3">
      <c r="J110725"/>
    </row>
    <row r="110726" spans="10:10" x14ac:dyDescent="0.3">
      <c r="J110726"/>
    </row>
    <row r="110727" spans="10:10" x14ac:dyDescent="0.3">
      <c r="J110727"/>
    </row>
    <row r="110728" spans="10:10" x14ac:dyDescent="0.3">
      <c r="J110728"/>
    </row>
    <row r="110729" spans="10:10" x14ac:dyDescent="0.3">
      <c r="J110729"/>
    </row>
    <row r="110730" spans="10:10" x14ac:dyDescent="0.3">
      <c r="J110730"/>
    </row>
    <row r="110731" spans="10:10" x14ac:dyDescent="0.3">
      <c r="J110731"/>
    </row>
    <row r="110732" spans="10:10" x14ac:dyDescent="0.3">
      <c r="J110732"/>
    </row>
    <row r="110733" spans="10:10" x14ac:dyDescent="0.3">
      <c r="J110733"/>
    </row>
    <row r="110734" spans="10:10" x14ac:dyDescent="0.3">
      <c r="J110734"/>
    </row>
    <row r="110735" spans="10:10" x14ac:dyDescent="0.3">
      <c r="J110735"/>
    </row>
    <row r="110736" spans="10:10" x14ac:dyDescent="0.3">
      <c r="J110736"/>
    </row>
    <row r="110737" spans="10:10" x14ac:dyDescent="0.3">
      <c r="J110737"/>
    </row>
    <row r="110738" spans="10:10" x14ac:dyDescent="0.3">
      <c r="J110738"/>
    </row>
    <row r="110739" spans="10:10" x14ac:dyDescent="0.3">
      <c r="J110739"/>
    </row>
    <row r="110740" spans="10:10" x14ac:dyDescent="0.3">
      <c r="J110740"/>
    </row>
    <row r="110741" spans="10:10" x14ac:dyDescent="0.3">
      <c r="J110741"/>
    </row>
    <row r="110742" spans="10:10" x14ac:dyDescent="0.3">
      <c r="J110742"/>
    </row>
    <row r="110743" spans="10:10" x14ac:dyDescent="0.3">
      <c r="J110743"/>
    </row>
    <row r="110744" spans="10:10" x14ac:dyDescent="0.3">
      <c r="J110744"/>
    </row>
    <row r="110745" spans="10:10" x14ac:dyDescent="0.3">
      <c r="J110745"/>
    </row>
    <row r="110746" spans="10:10" x14ac:dyDescent="0.3">
      <c r="J110746"/>
    </row>
    <row r="110747" spans="10:10" x14ac:dyDescent="0.3">
      <c r="J110747"/>
    </row>
    <row r="110748" spans="10:10" x14ac:dyDescent="0.3">
      <c r="J110748"/>
    </row>
    <row r="110749" spans="10:10" x14ac:dyDescent="0.3">
      <c r="J110749"/>
    </row>
    <row r="110750" spans="10:10" x14ac:dyDescent="0.3">
      <c r="J110750"/>
    </row>
    <row r="110751" spans="10:10" x14ac:dyDescent="0.3">
      <c r="J110751"/>
    </row>
    <row r="110752" spans="10:10" x14ac:dyDescent="0.3">
      <c r="J110752"/>
    </row>
    <row r="110753" spans="10:10" x14ac:dyDescent="0.3">
      <c r="J110753"/>
    </row>
    <row r="110754" spans="10:10" x14ac:dyDescent="0.3">
      <c r="J110754"/>
    </row>
    <row r="110755" spans="10:10" x14ac:dyDescent="0.3">
      <c r="J110755"/>
    </row>
    <row r="110756" spans="10:10" x14ac:dyDescent="0.3">
      <c r="J110756"/>
    </row>
    <row r="110757" spans="10:10" x14ac:dyDescent="0.3">
      <c r="J110757"/>
    </row>
    <row r="110758" spans="10:10" x14ac:dyDescent="0.3">
      <c r="J110758"/>
    </row>
    <row r="110759" spans="10:10" x14ac:dyDescent="0.3">
      <c r="J110759"/>
    </row>
    <row r="110760" spans="10:10" x14ac:dyDescent="0.3">
      <c r="J110760"/>
    </row>
    <row r="110761" spans="10:10" x14ac:dyDescent="0.3">
      <c r="J110761"/>
    </row>
    <row r="110762" spans="10:10" x14ac:dyDescent="0.3">
      <c r="J110762"/>
    </row>
    <row r="110763" spans="10:10" x14ac:dyDescent="0.3">
      <c r="J110763"/>
    </row>
    <row r="110764" spans="10:10" x14ac:dyDescent="0.3">
      <c r="J110764"/>
    </row>
    <row r="110765" spans="10:10" x14ac:dyDescent="0.3">
      <c r="J110765"/>
    </row>
    <row r="110766" spans="10:10" x14ac:dyDescent="0.3">
      <c r="J110766"/>
    </row>
    <row r="110767" spans="10:10" x14ac:dyDescent="0.3">
      <c r="J110767"/>
    </row>
    <row r="110768" spans="10:10" x14ac:dyDescent="0.3">
      <c r="J110768"/>
    </row>
    <row r="110769" spans="10:10" x14ac:dyDescent="0.3">
      <c r="J110769"/>
    </row>
    <row r="110770" spans="10:10" x14ac:dyDescent="0.3">
      <c r="J110770"/>
    </row>
    <row r="110771" spans="10:10" x14ac:dyDescent="0.3">
      <c r="J110771"/>
    </row>
    <row r="110772" spans="10:10" x14ac:dyDescent="0.3">
      <c r="J110772"/>
    </row>
    <row r="110773" spans="10:10" x14ac:dyDescent="0.3">
      <c r="J110773"/>
    </row>
    <row r="110774" spans="10:10" x14ac:dyDescent="0.3">
      <c r="J110774"/>
    </row>
    <row r="110775" spans="10:10" x14ac:dyDescent="0.3">
      <c r="J110775"/>
    </row>
    <row r="110776" spans="10:10" x14ac:dyDescent="0.3">
      <c r="J110776"/>
    </row>
    <row r="110777" spans="10:10" x14ac:dyDescent="0.3">
      <c r="J110777"/>
    </row>
    <row r="110778" spans="10:10" x14ac:dyDescent="0.3">
      <c r="J110778"/>
    </row>
    <row r="110779" spans="10:10" x14ac:dyDescent="0.3">
      <c r="J110779"/>
    </row>
    <row r="110780" spans="10:10" x14ac:dyDescent="0.3">
      <c r="J110780"/>
    </row>
    <row r="110781" spans="10:10" x14ac:dyDescent="0.3">
      <c r="J110781"/>
    </row>
    <row r="110782" spans="10:10" x14ac:dyDescent="0.3">
      <c r="J110782"/>
    </row>
    <row r="110783" spans="10:10" x14ac:dyDescent="0.3">
      <c r="J110783"/>
    </row>
    <row r="110784" spans="10:10" x14ac:dyDescent="0.3">
      <c r="J110784"/>
    </row>
    <row r="110785" spans="10:10" x14ac:dyDescent="0.3">
      <c r="J110785"/>
    </row>
    <row r="110786" spans="10:10" x14ac:dyDescent="0.3">
      <c r="J110786"/>
    </row>
    <row r="110787" spans="10:10" x14ac:dyDescent="0.3">
      <c r="J110787"/>
    </row>
    <row r="110788" spans="10:10" x14ac:dyDescent="0.3">
      <c r="J110788"/>
    </row>
    <row r="110789" spans="10:10" x14ac:dyDescent="0.3">
      <c r="J110789"/>
    </row>
    <row r="110790" spans="10:10" x14ac:dyDescent="0.3">
      <c r="J110790"/>
    </row>
    <row r="110791" spans="10:10" x14ac:dyDescent="0.3">
      <c r="J110791"/>
    </row>
    <row r="110792" spans="10:10" x14ac:dyDescent="0.3">
      <c r="J110792"/>
    </row>
    <row r="110793" spans="10:10" x14ac:dyDescent="0.3">
      <c r="J110793"/>
    </row>
    <row r="110794" spans="10:10" x14ac:dyDescent="0.3">
      <c r="J110794"/>
    </row>
    <row r="110795" spans="10:10" x14ac:dyDescent="0.3">
      <c r="J110795"/>
    </row>
    <row r="110796" spans="10:10" x14ac:dyDescent="0.3">
      <c r="J110796"/>
    </row>
    <row r="110797" spans="10:10" x14ac:dyDescent="0.3">
      <c r="J110797"/>
    </row>
    <row r="110798" spans="10:10" x14ac:dyDescent="0.3">
      <c r="J110798"/>
    </row>
    <row r="110799" spans="10:10" x14ac:dyDescent="0.3">
      <c r="J110799"/>
    </row>
    <row r="110800" spans="10:10" x14ac:dyDescent="0.3">
      <c r="J110800"/>
    </row>
    <row r="110801" spans="10:10" x14ac:dyDescent="0.3">
      <c r="J110801"/>
    </row>
    <row r="110802" spans="10:10" x14ac:dyDescent="0.3">
      <c r="J110802"/>
    </row>
    <row r="110803" spans="10:10" x14ac:dyDescent="0.3">
      <c r="J110803"/>
    </row>
    <row r="110804" spans="10:10" x14ac:dyDescent="0.3">
      <c r="J110804"/>
    </row>
    <row r="110805" spans="10:10" x14ac:dyDescent="0.3">
      <c r="J110805"/>
    </row>
    <row r="110806" spans="10:10" x14ac:dyDescent="0.3">
      <c r="J110806"/>
    </row>
    <row r="110807" spans="10:10" x14ac:dyDescent="0.3">
      <c r="J110807"/>
    </row>
    <row r="110808" spans="10:10" x14ac:dyDescent="0.3">
      <c r="J110808"/>
    </row>
    <row r="110809" spans="10:10" x14ac:dyDescent="0.3">
      <c r="J110809"/>
    </row>
    <row r="110810" spans="10:10" x14ac:dyDescent="0.3">
      <c r="J110810"/>
    </row>
    <row r="110811" spans="10:10" x14ac:dyDescent="0.3">
      <c r="J110811"/>
    </row>
    <row r="110812" spans="10:10" x14ac:dyDescent="0.3">
      <c r="J110812"/>
    </row>
    <row r="110813" spans="10:10" x14ac:dyDescent="0.3">
      <c r="J110813"/>
    </row>
    <row r="110814" spans="10:10" x14ac:dyDescent="0.3">
      <c r="J110814"/>
    </row>
    <row r="110815" spans="10:10" x14ac:dyDescent="0.3">
      <c r="J110815"/>
    </row>
    <row r="110816" spans="10:10" x14ac:dyDescent="0.3">
      <c r="J110816"/>
    </row>
    <row r="110817" spans="10:10" x14ac:dyDescent="0.3">
      <c r="J110817"/>
    </row>
    <row r="110818" spans="10:10" x14ac:dyDescent="0.3">
      <c r="J110818"/>
    </row>
    <row r="110819" spans="10:10" x14ac:dyDescent="0.3">
      <c r="J110819"/>
    </row>
    <row r="110820" spans="10:10" x14ac:dyDescent="0.3">
      <c r="J110820"/>
    </row>
    <row r="110821" spans="10:10" x14ac:dyDescent="0.3">
      <c r="J110821"/>
    </row>
    <row r="110822" spans="10:10" x14ac:dyDescent="0.3">
      <c r="J110822"/>
    </row>
    <row r="110823" spans="10:10" x14ac:dyDescent="0.3">
      <c r="J110823"/>
    </row>
    <row r="110824" spans="10:10" x14ac:dyDescent="0.3">
      <c r="J110824"/>
    </row>
    <row r="110825" spans="10:10" x14ac:dyDescent="0.3">
      <c r="J110825"/>
    </row>
    <row r="110826" spans="10:10" x14ac:dyDescent="0.3">
      <c r="J110826"/>
    </row>
    <row r="110827" spans="10:10" x14ac:dyDescent="0.3">
      <c r="J110827"/>
    </row>
    <row r="110828" spans="10:10" x14ac:dyDescent="0.3">
      <c r="J110828"/>
    </row>
    <row r="110829" spans="10:10" x14ac:dyDescent="0.3">
      <c r="J110829"/>
    </row>
    <row r="110830" spans="10:10" x14ac:dyDescent="0.3">
      <c r="J110830"/>
    </row>
    <row r="110831" spans="10:10" x14ac:dyDescent="0.3">
      <c r="J110831"/>
    </row>
    <row r="110832" spans="10:10" x14ac:dyDescent="0.3">
      <c r="J110832"/>
    </row>
    <row r="110833" spans="10:10" x14ac:dyDescent="0.3">
      <c r="J110833"/>
    </row>
    <row r="110834" spans="10:10" x14ac:dyDescent="0.3">
      <c r="J110834"/>
    </row>
    <row r="110835" spans="10:10" x14ac:dyDescent="0.3">
      <c r="J110835"/>
    </row>
    <row r="110836" spans="10:10" x14ac:dyDescent="0.3">
      <c r="J110836"/>
    </row>
    <row r="110837" spans="10:10" x14ac:dyDescent="0.3">
      <c r="J110837"/>
    </row>
    <row r="110838" spans="10:10" x14ac:dyDescent="0.3">
      <c r="J110838"/>
    </row>
    <row r="110839" spans="10:10" x14ac:dyDescent="0.3">
      <c r="J110839"/>
    </row>
    <row r="110840" spans="10:10" x14ac:dyDescent="0.3">
      <c r="J110840"/>
    </row>
    <row r="110841" spans="10:10" x14ac:dyDescent="0.3">
      <c r="J110841"/>
    </row>
    <row r="110842" spans="10:10" x14ac:dyDescent="0.3">
      <c r="J110842"/>
    </row>
    <row r="110843" spans="10:10" x14ac:dyDescent="0.3">
      <c r="J110843"/>
    </row>
    <row r="110844" spans="10:10" x14ac:dyDescent="0.3">
      <c r="J110844"/>
    </row>
    <row r="110845" spans="10:10" x14ac:dyDescent="0.3">
      <c r="J110845"/>
    </row>
    <row r="110846" spans="10:10" x14ac:dyDescent="0.3">
      <c r="J110846"/>
    </row>
    <row r="110847" spans="10:10" x14ac:dyDescent="0.3">
      <c r="J110847"/>
    </row>
    <row r="110848" spans="10:10" x14ac:dyDescent="0.3">
      <c r="J110848"/>
    </row>
    <row r="110849" spans="10:10" x14ac:dyDescent="0.3">
      <c r="J110849"/>
    </row>
    <row r="110850" spans="10:10" x14ac:dyDescent="0.3">
      <c r="J110850"/>
    </row>
    <row r="110851" spans="10:10" x14ac:dyDescent="0.3">
      <c r="J110851"/>
    </row>
    <row r="110852" spans="10:10" x14ac:dyDescent="0.3">
      <c r="J110852"/>
    </row>
    <row r="110853" spans="10:10" x14ac:dyDescent="0.3">
      <c r="J110853"/>
    </row>
    <row r="110854" spans="10:10" x14ac:dyDescent="0.3">
      <c r="J110854"/>
    </row>
    <row r="110855" spans="10:10" x14ac:dyDescent="0.3">
      <c r="J110855"/>
    </row>
    <row r="110856" spans="10:10" x14ac:dyDescent="0.3">
      <c r="J110856"/>
    </row>
    <row r="110857" spans="10:10" x14ac:dyDescent="0.3">
      <c r="J110857"/>
    </row>
    <row r="110858" spans="10:10" x14ac:dyDescent="0.3">
      <c r="J110858"/>
    </row>
    <row r="110859" spans="10:10" x14ac:dyDescent="0.3">
      <c r="J110859"/>
    </row>
    <row r="110860" spans="10:10" x14ac:dyDescent="0.3">
      <c r="J110860"/>
    </row>
    <row r="110861" spans="10:10" x14ac:dyDescent="0.3">
      <c r="J110861"/>
    </row>
    <row r="110862" spans="10:10" x14ac:dyDescent="0.3">
      <c r="J110862"/>
    </row>
    <row r="110863" spans="10:10" x14ac:dyDescent="0.3">
      <c r="J110863"/>
    </row>
    <row r="110864" spans="10:10" x14ac:dyDescent="0.3">
      <c r="J110864"/>
    </row>
    <row r="110865" spans="10:10" x14ac:dyDescent="0.3">
      <c r="J110865"/>
    </row>
    <row r="110866" spans="10:10" x14ac:dyDescent="0.3">
      <c r="J110866"/>
    </row>
    <row r="110867" spans="10:10" x14ac:dyDescent="0.3">
      <c r="J110867"/>
    </row>
    <row r="110868" spans="10:10" x14ac:dyDescent="0.3">
      <c r="J110868"/>
    </row>
    <row r="110869" spans="10:10" x14ac:dyDescent="0.3">
      <c r="J110869"/>
    </row>
    <row r="110870" spans="10:10" x14ac:dyDescent="0.3">
      <c r="J110870"/>
    </row>
    <row r="110871" spans="10:10" x14ac:dyDescent="0.3">
      <c r="J110871"/>
    </row>
    <row r="110872" spans="10:10" x14ac:dyDescent="0.3">
      <c r="J110872"/>
    </row>
    <row r="110873" spans="10:10" x14ac:dyDescent="0.3">
      <c r="J110873"/>
    </row>
    <row r="110874" spans="10:10" x14ac:dyDescent="0.3">
      <c r="J110874"/>
    </row>
    <row r="110875" spans="10:10" x14ac:dyDescent="0.3">
      <c r="J110875"/>
    </row>
    <row r="110876" spans="10:10" x14ac:dyDescent="0.3">
      <c r="J110876"/>
    </row>
    <row r="110877" spans="10:10" x14ac:dyDescent="0.3">
      <c r="J110877"/>
    </row>
    <row r="110878" spans="10:10" x14ac:dyDescent="0.3">
      <c r="J110878"/>
    </row>
    <row r="110879" spans="10:10" x14ac:dyDescent="0.3">
      <c r="J110879"/>
    </row>
    <row r="110880" spans="10:10" x14ac:dyDescent="0.3">
      <c r="J110880"/>
    </row>
    <row r="110881" spans="10:10" x14ac:dyDescent="0.3">
      <c r="J110881"/>
    </row>
    <row r="110882" spans="10:10" x14ac:dyDescent="0.3">
      <c r="J110882"/>
    </row>
    <row r="110883" spans="10:10" x14ac:dyDescent="0.3">
      <c r="J110883"/>
    </row>
    <row r="110884" spans="10:10" x14ac:dyDescent="0.3">
      <c r="J110884"/>
    </row>
    <row r="110885" spans="10:10" x14ac:dyDescent="0.3">
      <c r="J110885"/>
    </row>
    <row r="110886" spans="10:10" x14ac:dyDescent="0.3">
      <c r="J110886"/>
    </row>
    <row r="110887" spans="10:10" x14ac:dyDescent="0.3">
      <c r="J110887"/>
    </row>
    <row r="110888" spans="10:10" x14ac:dyDescent="0.3">
      <c r="J110888"/>
    </row>
    <row r="110889" spans="10:10" x14ac:dyDescent="0.3">
      <c r="J110889"/>
    </row>
    <row r="110890" spans="10:10" x14ac:dyDescent="0.3">
      <c r="J110890"/>
    </row>
    <row r="110891" spans="10:10" x14ac:dyDescent="0.3">
      <c r="J110891"/>
    </row>
    <row r="110892" spans="10:10" x14ac:dyDescent="0.3">
      <c r="J110892"/>
    </row>
    <row r="110893" spans="10:10" x14ac:dyDescent="0.3">
      <c r="J110893"/>
    </row>
    <row r="110894" spans="10:10" x14ac:dyDescent="0.3">
      <c r="J110894"/>
    </row>
    <row r="110895" spans="10:10" x14ac:dyDescent="0.3">
      <c r="J110895"/>
    </row>
    <row r="110896" spans="10:10" x14ac:dyDescent="0.3">
      <c r="J110896"/>
    </row>
    <row r="110897" spans="10:10" x14ac:dyDescent="0.3">
      <c r="J110897"/>
    </row>
    <row r="110898" spans="10:10" x14ac:dyDescent="0.3">
      <c r="J110898"/>
    </row>
    <row r="110899" spans="10:10" x14ac:dyDescent="0.3">
      <c r="J110899"/>
    </row>
    <row r="110900" spans="10:10" x14ac:dyDescent="0.3">
      <c r="J110900"/>
    </row>
    <row r="110901" spans="10:10" x14ac:dyDescent="0.3">
      <c r="J110901"/>
    </row>
    <row r="110902" spans="10:10" x14ac:dyDescent="0.3">
      <c r="J110902"/>
    </row>
    <row r="110903" spans="10:10" x14ac:dyDescent="0.3">
      <c r="J110903"/>
    </row>
    <row r="110904" spans="10:10" x14ac:dyDescent="0.3">
      <c r="J110904"/>
    </row>
    <row r="110905" spans="10:10" x14ac:dyDescent="0.3">
      <c r="J110905"/>
    </row>
    <row r="110906" spans="10:10" x14ac:dyDescent="0.3">
      <c r="J110906"/>
    </row>
    <row r="110907" spans="10:10" x14ac:dyDescent="0.3">
      <c r="J110907"/>
    </row>
    <row r="110908" spans="10:10" x14ac:dyDescent="0.3">
      <c r="J110908"/>
    </row>
    <row r="110909" spans="10:10" x14ac:dyDescent="0.3">
      <c r="J110909"/>
    </row>
    <row r="110910" spans="10:10" x14ac:dyDescent="0.3">
      <c r="J110910"/>
    </row>
    <row r="110911" spans="10:10" x14ac:dyDescent="0.3">
      <c r="J110911"/>
    </row>
    <row r="110912" spans="10:10" x14ac:dyDescent="0.3">
      <c r="J110912"/>
    </row>
    <row r="110913" spans="10:10" x14ac:dyDescent="0.3">
      <c r="J110913"/>
    </row>
    <row r="110914" spans="10:10" x14ac:dyDescent="0.3">
      <c r="J110914"/>
    </row>
    <row r="110915" spans="10:10" x14ac:dyDescent="0.3">
      <c r="J110915"/>
    </row>
    <row r="110916" spans="10:10" x14ac:dyDescent="0.3">
      <c r="J110916"/>
    </row>
    <row r="110917" spans="10:10" x14ac:dyDescent="0.3">
      <c r="J110917"/>
    </row>
    <row r="110918" spans="10:10" x14ac:dyDescent="0.3">
      <c r="J110918"/>
    </row>
    <row r="110919" spans="10:10" x14ac:dyDescent="0.3">
      <c r="J110919"/>
    </row>
    <row r="110920" spans="10:10" x14ac:dyDescent="0.3">
      <c r="J110920"/>
    </row>
    <row r="110921" spans="10:10" x14ac:dyDescent="0.3">
      <c r="J110921"/>
    </row>
    <row r="110922" spans="10:10" x14ac:dyDescent="0.3">
      <c r="J110922"/>
    </row>
    <row r="110923" spans="10:10" x14ac:dyDescent="0.3">
      <c r="J110923"/>
    </row>
    <row r="110924" spans="10:10" x14ac:dyDescent="0.3">
      <c r="J110924"/>
    </row>
    <row r="110925" spans="10:10" x14ac:dyDescent="0.3">
      <c r="J110925"/>
    </row>
    <row r="110926" spans="10:10" x14ac:dyDescent="0.3">
      <c r="J110926"/>
    </row>
    <row r="110927" spans="10:10" x14ac:dyDescent="0.3">
      <c r="J110927"/>
    </row>
    <row r="110928" spans="10:10" x14ac:dyDescent="0.3">
      <c r="J110928"/>
    </row>
    <row r="110929" spans="10:10" x14ac:dyDescent="0.3">
      <c r="J110929"/>
    </row>
    <row r="110930" spans="10:10" x14ac:dyDescent="0.3">
      <c r="J110930"/>
    </row>
    <row r="110931" spans="10:10" x14ac:dyDescent="0.3">
      <c r="J110931"/>
    </row>
    <row r="110932" spans="10:10" x14ac:dyDescent="0.3">
      <c r="J110932"/>
    </row>
    <row r="110933" spans="10:10" x14ac:dyDescent="0.3">
      <c r="J110933"/>
    </row>
    <row r="110934" spans="10:10" x14ac:dyDescent="0.3">
      <c r="J110934"/>
    </row>
    <row r="110935" spans="10:10" x14ac:dyDescent="0.3">
      <c r="J110935"/>
    </row>
    <row r="110936" spans="10:10" x14ac:dyDescent="0.3">
      <c r="J110936"/>
    </row>
    <row r="110937" spans="10:10" x14ac:dyDescent="0.3">
      <c r="J110937"/>
    </row>
    <row r="110938" spans="10:10" x14ac:dyDescent="0.3">
      <c r="J110938"/>
    </row>
    <row r="110939" spans="10:10" x14ac:dyDescent="0.3">
      <c r="J110939"/>
    </row>
    <row r="110940" spans="10:10" x14ac:dyDescent="0.3">
      <c r="J110940"/>
    </row>
    <row r="110941" spans="10:10" x14ac:dyDescent="0.3">
      <c r="J110941"/>
    </row>
    <row r="110942" spans="10:10" x14ac:dyDescent="0.3">
      <c r="J110942"/>
    </row>
    <row r="110943" spans="10:10" x14ac:dyDescent="0.3">
      <c r="J110943"/>
    </row>
    <row r="110944" spans="10:10" x14ac:dyDescent="0.3">
      <c r="J110944"/>
    </row>
    <row r="110945" spans="10:10" x14ac:dyDescent="0.3">
      <c r="J110945"/>
    </row>
    <row r="110946" spans="10:10" x14ac:dyDescent="0.3">
      <c r="J110946"/>
    </row>
    <row r="110947" spans="10:10" x14ac:dyDescent="0.3">
      <c r="J110947"/>
    </row>
    <row r="110948" spans="10:10" x14ac:dyDescent="0.3">
      <c r="J110948"/>
    </row>
    <row r="110949" spans="10:10" x14ac:dyDescent="0.3">
      <c r="J110949"/>
    </row>
    <row r="110950" spans="10:10" x14ac:dyDescent="0.3">
      <c r="J110950"/>
    </row>
    <row r="110951" spans="10:10" x14ac:dyDescent="0.3">
      <c r="J110951"/>
    </row>
    <row r="110952" spans="10:10" x14ac:dyDescent="0.3">
      <c r="J110952"/>
    </row>
    <row r="110953" spans="10:10" x14ac:dyDescent="0.3">
      <c r="J110953"/>
    </row>
    <row r="110954" spans="10:10" x14ac:dyDescent="0.3">
      <c r="J110954"/>
    </row>
    <row r="110955" spans="10:10" x14ac:dyDescent="0.3">
      <c r="J110955"/>
    </row>
    <row r="110956" spans="10:10" x14ac:dyDescent="0.3">
      <c r="J110956"/>
    </row>
    <row r="110957" spans="10:10" x14ac:dyDescent="0.3">
      <c r="J110957"/>
    </row>
    <row r="110958" spans="10:10" x14ac:dyDescent="0.3">
      <c r="J110958"/>
    </row>
    <row r="110959" spans="10:10" x14ac:dyDescent="0.3">
      <c r="J110959"/>
    </row>
    <row r="110960" spans="10:10" x14ac:dyDescent="0.3">
      <c r="J110960"/>
    </row>
    <row r="110961" spans="10:10" x14ac:dyDescent="0.3">
      <c r="J110961"/>
    </row>
    <row r="110962" spans="10:10" x14ac:dyDescent="0.3">
      <c r="J110962"/>
    </row>
    <row r="110963" spans="10:10" x14ac:dyDescent="0.3">
      <c r="J110963"/>
    </row>
    <row r="110964" spans="10:10" x14ac:dyDescent="0.3">
      <c r="J110964"/>
    </row>
    <row r="110965" spans="10:10" x14ac:dyDescent="0.3">
      <c r="J110965"/>
    </row>
    <row r="110966" spans="10:10" x14ac:dyDescent="0.3">
      <c r="J110966"/>
    </row>
    <row r="110967" spans="10:10" x14ac:dyDescent="0.3">
      <c r="J110967"/>
    </row>
    <row r="110968" spans="10:10" x14ac:dyDescent="0.3">
      <c r="J110968"/>
    </row>
    <row r="110969" spans="10:10" x14ac:dyDescent="0.3">
      <c r="J110969"/>
    </row>
    <row r="110970" spans="10:10" x14ac:dyDescent="0.3">
      <c r="J110970"/>
    </row>
    <row r="110971" spans="10:10" x14ac:dyDescent="0.3">
      <c r="J110971"/>
    </row>
    <row r="110972" spans="10:10" x14ac:dyDescent="0.3">
      <c r="J110972"/>
    </row>
    <row r="110973" spans="10:10" x14ac:dyDescent="0.3">
      <c r="J110973"/>
    </row>
    <row r="110974" spans="10:10" x14ac:dyDescent="0.3">
      <c r="J110974"/>
    </row>
    <row r="110975" spans="10:10" x14ac:dyDescent="0.3">
      <c r="J110975"/>
    </row>
    <row r="110976" spans="10:10" x14ac:dyDescent="0.3">
      <c r="J110976"/>
    </row>
    <row r="110977" spans="10:10" x14ac:dyDescent="0.3">
      <c r="J110977"/>
    </row>
    <row r="110978" spans="10:10" x14ac:dyDescent="0.3">
      <c r="J110978"/>
    </row>
    <row r="110979" spans="10:10" x14ac:dyDescent="0.3">
      <c r="J110979"/>
    </row>
    <row r="110980" spans="10:10" x14ac:dyDescent="0.3">
      <c r="J110980"/>
    </row>
    <row r="110981" spans="10:10" x14ac:dyDescent="0.3">
      <c r="J110981"/>
    </row>
    <row r="110982" spans="10:10" x14ac:dyDescent="0.3">
      <c r="J110982"/>
    </row>
    <row r="110983" spans="10:10" x14ac:dyDescent="0.3">
      <c r="J110983"/>
    </row>
    <row r="110984" spans="10:10" x14ac:dyDescent="0.3">
      <c r="J110984"/>
    </row>
    <row r="110985" spans="10:10" x14ac:dyDescent="0.3">
      <c r="J110985"/>
    </row>
    <row r="110986" spans="10:10" x14ac:dyDescent="0.3">
      <c r="J110986"/>
    </row>
    <row r="110987" spans="10:10" x14ac:dyDescent="0.3">
      <c r="J110987"/>
    </row>
    <row r="110988" spans="10:10" x14ac:dyDescent="0.3">
      <c r="J110988"/>
    </row>
    <row r="110989" spans="10:10" x14ac:dyDescent="0.3">
      <c r="J110989"/>
    </row>
    <row r="110990" spans="10:10" x14ac:dyDescent="0.3">
      <c r="J110990"/>
    </row>
    <row r="110991" spans="10:10" x14ac:dyDescent="0.3">
      <c r="J110991"/>
    </row>
    <row r="110992" spans="10:10" x14ac:dyDescent="0.3">
      <c r="J110992"/>
    </row>
    <row r="110993" spans="10:10" x14ac:dyDescent="0.3">
      <c r="J110993"/>
    </row>
    <row r="110994" spans="10:10" x14ac:dyDescent="0.3">
      <c r="J110994"/>
    </row>
    <row r="110995" spans="10:10" x14ac:dyDescent="0.3">
      <c r="J110995"/>
    </row>
    <row r="110996" spans="10:10" x14ac:dyDescent="0.3">
      <c r="J110996"/>
    </row>
    <row r="110997" spans="10:10" x14ac:dyDescent="0.3">
      <c r="J110997"/>
    </row>
    <row r="110998" spans="10:10" x14ac:dyDescent="0.3">
      <c r="J110998"/>
    </row>
    <row r="110999" spans="10:10" x14ac:dyDescent="0.3">
      <c r="J110999"/>
    </row>
    <row r="111000" spans="10:10" x14ac:dyDescent="0.3">
      <c r="J111000"/>
    </row>
    <row r="111001" spans="10:10" x14ac:dyDescent="0.3">
      <c r="J111001"/>
    </row>
    <row r="111002" spans="10:10" x14ac:dyDescent="0.3">
      <c r="J111002"/>
    </row>
    <row r="111003" spans="10:10" x14ac:dyDescent="0.3">
      <c r="J111003"/>
    </row>
    <row r="111004" spans="10:10" x14ac:dyDescent="0.3">
      <c r="J111004"/>
    </row>
    <row r="111005" spans="10:10" x14ac:dyDescent="0.3">
      <c r="J111005"/>
    </row>
    <row r="111006" spans="10:10" x14ac:dyDescent="0.3">
      <c r="J111006"/>
    </row>
    <row r="111007" spans="10:10" x14ac:dyDescent="0.3">
      <c r="J111007"/>
    </row>
    <row r="111008" spans="10:10" x14ac:dyDescent="0.3">
      <c r="J111008"/>
    </row>
    <row r="111009" spans="10:10" x14ac:dyDescent="0.3">
      <c r="J111009"/>
    </row>
    <row r="111010" spans="10:10" x14ac:dyDescent="0.3">
      <c r="J111010"/>
    </row>
    <row r="111011" spans="10:10" x14ac:dyDescent="0.3">
      <c r="J111011"/>
    </row>
    <row r="111012" spans="10:10" x14ac:dyDescent="0.3">
      <c r="J111012"/>
    </row>
    <row r="111013" spans="10:10" x14ac:dyDescent="0.3">
      <c r="J111013"/>
    </row>
    <row r="111014" spans="10:10" x14ac:dyDescent="0.3">
      <c r="J111014"/>
    </row>
    <row r="111015" spans="10:10" x14ac:dyDescent="0.3">
      <c r="J111015"/>
    </row>
    <row r="111016" spans="10:10" x14ac:dyDescent="0.3">
      <c r="J111016"/>
    </row>
    <row r="111017" spans="10:10" x14ac:dyDescent="0.3">
      <c r="J111017"/>
    </row>
    <row r="111018" spans="10:10" x14ac:dyDescent="0.3">
      <c r="J111018"/>
    </row>
    <row r="111019" spans="10:10" x14ac:dyDescent="0.3">
      <c r="J111019"/>
    </row>
    <row r="111020" spans="10:10" x14ac:dyDescent="0.3">
      <c r="J111020"/>
    </row>
    <row r="111021" spans="10:10" x14ac:dyDescent="0.3">
      <c r="J111021"/>
    </row>
    <row r="111022" spans="10:10" x14ac:dyDescent="0.3">
      <c r="J111022"/>
    </row>
    <row r="111023" spans="10:10" x14ac:dyDescent="0.3">
      <c r="J111023"/>
    </row>
    <row r="111024" spans="10:10" x14ac:dyDescent="0.3">
      <c r="J111024"/>
    </row>
    <row r="111025" spans="10:10" x14ac:dyDescent="0.3">
      <c r="J111025"/>
    </row>
    <row r="111026" spans="10:10" x14ac:dyDescent="0.3">
      <c r="J111026"/>
    </row>
    <row r="111027" spans="10:10" x14ac:dyDescent="0.3">
      <c r="J111027"/>
    </row>
    <row r="111028" spans="10:10" x14ac:dyDescent="0.3">
      <c r="J111028"/>
    </row>
    <row r="111029" spans="10:10" x14ac:dyDescent="0.3">
      <c r="J111029"/>
    </row>
    <row r="111030" spans="10:10" x14ac:dyDescent="0.3">
      <c r="J111030"/>
    </row>
    <row r="111031" spans="10:10" x14ac:dyDescent="0.3">
      <c r="J111031"/>
    </row>
    <row r="111032" spans="10:10" x14ac:dyDescent="0.3">
      <c r="J111032"/>
    </row>
    <row r="111033" spans="10:10" x14ac:dyDescent="0.3">
      <c r="J111033"/>
    </row>
    <row r="111034" spans="10:10" x14ac:dyDescent="0.3">
      <c r="J111034"/>
    </row>
    <row r="111035" spans="10:10" x14ac:dyDescent="0.3">
      <c r="J111035"/>
    </row>
    <row r="111036" spans="10:10" x14ac:dyDescent="0.3">
      <c r="J111036"/>
    </row>
    <row r="111037" spans="10:10" x14ac:dyDescent="0.3">
      <c r="J111037"/>
    </row>
    <row r="111038" spans="10:10" x14ac:dyDescent="0.3">
      <c r="J111038"/>
    </row>
    <row r="111039" spans="10:10" x14ac:dyDescent="0.3">
      <c r="J111039"/>
    </row>
    <row r="111040" spans="10:10" x14ac:dyDescent="0.3">
      <c r="J111040"/>
    </row>
    <row r="111041" spans="10:10" x14ac:dyDescent="0.3">
      <c r="J111041"/>
    </row>
    <row r="111042" spans="10:10" x14ac:dyDescent="0.3">
      <c r="J111042"/>
    </row>
    <row r="111043" spans="10:10" x14ac:dyDescent="0.3">
      <c r="J111043"/>
    </row>
    <row r="111044" spans="10:10" x14ac:dyDescent="0.3">
      <c r="J111044"/>
    </row>
    <row r="111045" spans="10:10" x14ac:dyDescent="0.3">
      <c r="J111045"/>
    </row>
    <row r="111046" spans="10:10" x14ac:dyDescent="0.3">
      <c r="J111046"/>
    </row>
    <row r="111047" spans="10:10" x14ac:dyDescent="0.3">
      <c r="J111047"/>
    </row>
    <row r="111048" spans="10:10" x14ac:dyDescent="0.3">
      <c r="J111048"/>
    </row>
    <row r="111049" spans="10:10" x14ac:dyDescent="0.3">
      <c r="J111049"/>
    </row>
    <row r="111050" spans="10:10" x14ac:dyDescent="0.3">
      <c r="J111050"/>
    </row>
    <row r="111051" spans="10:10" x14ac:dyDescent="0.3">
      <c r="J111051"/>
    </row>
    <row r="111052" spans="10:10" x14ac:dyDescent="0.3">
      <c r="J111052"/>
    </row>
    <row r="111053" spans="10:10" x14ac:dyDescent="0.3">
      <c r="J111053"/>
    </row>
    <row r="111054" spans="10:10" x14ac:dyDescent="0.3">
      <c r="J111054"/>
    </row>
    <row r="111055" spans="10:10" x14ac:dyDescent="0.3">
      <c r="J111055"/>
    </row>
    <row r="111056" spans="10:10" x14ac:dyDescent="0.3">
      <c r="J111056"/>
    </row>
    <row r="111057" spans="10:10" x14ac:dyDescent="0.3">
      <c r="J111057"/>
    </row>
    <row r="111058" spans="10:10" x14ac:dyDescent="0.3">
      <c r="J111058"/>
    </row>
    <row r="111059" spans="10:10" x14ac:dyDescent="0.3">
      <c r="J111059"/>
    </row>
    <row r="111060" spans="10:10" x14ac:dyDescent="0.3">
      <c r="J111060"/>
    </row>
    <row r="111061" spans="10:10" x14ac:dyDescent="0.3">
      <c r="J111061"/>
    </row>
    <row r="111062" spans="10:10" x14ac:dyDescent="0.3">
      <c r="J111062"/>
    </row>
    <row r="111063" spans="10:10" x14ac:dyDescent="0.3">
      <c r="J111063"/>
    </row>
    <row r="111064" spans="10:10" x14ac:dyDescent="0.3">
      <c r="J111064"/>
    </row>
    <row r="111065" spans="10:10" x14ac:dyDescent="0.3">
      <c r="J111065"/>
    </row>
    <row r="111066" spans="10:10" x14ac:dyDescent="0.3">
      <c r="J111066"/>
    </row>
    <row r="111067" spans="10:10" x14ac:dyDescent="0.3">
      <c r="J111067"/>
    </row>
    <row r="111068" spans="10:10" x14ac:dyDescent="0.3">
      <c r="J111068"/>
    </row>
    <row r="111069" spans="10:10" x14ac:dyDescent="0.3">
      <c r="J111069"/>
    </row>
    <row r="111070" spans="10:10" x14ac:dyDescent="0.3">
      <c r="J111070"/>
    </row>
    <row r="111071" spans="10:10" x14ac:dyDescent="0.3">
      <c r="J111071"/>
    </row>
    <row r="111072" spans="10:10" x14ac:dyDescent="0.3">
      <c r="J111072"/>
    </row>
    <row r="111073" spans="10:10" x14ac:dyDescent="0.3">
      <c r="J111073"/>
    </row>
    <row r="111074" spans="10:10" x14ac:dyDescent="0.3">
      <c r="J111074"/>
    </row>
    <row r="111075" spans="10:10" x14ac:dyDescent="0.3">
      <c r="J111075"/>
    </row>
    <row r="111076" spans="10:10" x14ac:dyDescent="0.3">
      <c r="J111076"/>
    </row>
    <row r="111077" spans="10:10" x14ac:dyDescent="0.3">
      <c r="J111077"/>
    </row>
    <row r="111078" spans="10:10" x14ac:dyDescent="0.3">
      <c r="J111078"/>
    </row>
    <row r="111079" spans="10:10" x14ac:dyDescent="0.3">
      <c r="J111079"/>
    </row>
    <row r="111080" spans="10:10" x14ac:dyDescent="0.3">
      <c r="J111080"/>
    </row>
    <row r="111081" spans="10:10" x14ac:dyDescent="0.3">
      <c r="J111081"/>
    </row>
    <row r="111082" spans="10:10" x14ac:dyDescent="0.3">
      <c r="J111082"/>
    </row>
    <row r="111083" spans="10:10" x14ac:dyDescent="0.3">
      <c r="J111083"/>
    </row>
    <row r="111084" spans="10:10" x14ac:dyDescent="0.3">
      <c r="J111084"/>
    </row>
    <row r="111085" spans="10:10" x14ac:dyDescent="0.3">
      <c r="J111085"/>
    </row>
    <row r="111086" spans="10:10" x14ac:dyDescent="0.3">
      <c r="J111086"/>
    </row>
    <row r="111087" spans="10:10" x14ac:dyDescent="0.3">
      <c r="J111087"/>
    </row>
    <row r="111088" spans="10:10" x14ac:dyDescent="0.3">
      <c r="J111088"/>
    </row>
    <row r="111089" spans="10:10" x14ac:dyDescent="0.3">
      <c r="J111089"/>
    </row>
    <row r="111090" spans="10:10" x14ac:dyDescent="0.3">
      <c r="J111090"/>
    </row>
    <row r="111091" spans="10:10" x14ac:dyDescent="0.3">
      <c r="J111091"/>
    </row>
    <row r="111092" spans="10:10" x14ac:dyDescent="0.3">
      <c r="J111092"/>
    </row>
    <row r="111093" spans="10:10" x14ac:dyDescent="0.3">
      <c r="J111093"/>
    </row>
    <row r="111094" spans="10:10" x14ac:dyDescent="0.3">
      <c r="J111094"/>
    </row>
    <row r="111095" spans="10:10" x14ac:dyDescent="0.3">
      <c r="J111095"/>
    </row>
    <row r="111096" spans="10:10" x14ac:dyDescent="0.3">
      <c r="J111096"/>
    </row>
    <row r="111097" spans="10:10" x14ac:dyDescent="0.3">
      <c r="J111097"/>
    </row>
    <row r="111098" spans="10:10" x14ac:dyDescent="0.3">
      <c r="J111098"/>
    </row>
    <row r="111099" spans="10:10" x14ac:dyDescent="0.3">
      <c r="J111099"/>
    </row>
    <row r="111100" spans="10:10" x14ac:dyDescent="0.3">
      <c r="J111100"/>
    </row>
    <row r="111101" spans="10:10" x14ac:dyDescent="0.3">
      <c r="J111101"/>
    </row>
    <row r="111102" spans="10:10" x14ac:dyDescent="0.3">
      <c r="J111102"/>
    </row>
    <row r="111103" spans="10:10" x14ac:dyDescent="0.3">
      <c r="J111103"/>
    </row>
    <row r="111104" spans="10:10" x14ac:dyDescent="0.3">
      <c r="J111104"/>
    </row>
    <row r="111105" spans="10:10" x14ac:dyDescent="0.3">
      <c r="J111105"/>
    </row>
    <row r="111106" spans="10:10" x14ac:dyDescent="0.3">
      <c r="J111106"/>
    </row>
    <row r="111107" spans="10:10" x14ac:dyDescent="0.3">
      <c r="J111107"/>
    </row>
    <row r="111108" spans="10:10" x14ac:dyDescent="0.3">
      <c r="J111108"/>
    </row>
    <row r="111109" spans="10:10" x14ac:dyDescent="0.3">
      <c r="J111109"/>
    </row>
    <row r="111110" spans="10:10" x14ac:dyDescent="0.3">
      <c r="J111110"/>
    </row>
    <row r="111111" spans="10:10" x14ac:dyDescent="0.3">
      <c r="J111111"/>
    </row>
    <row r="111112" spans="10:10" x14ac:dyDescent="0.3">
      <c r="J111112"/>
    </row>
    <row r="111113" spans="10:10" x14ac:dyDescent="0.3">
      <c r="J111113"/>
    </row>
    <row r="111114" spans="10:10" x14ac:dyDescent="0.3">
      <c r="J111114"/>
    </row>
    <row r="111115" spans="10:10" x14ac:dyDescent="0.3">
      <c r="J111115"/>
    </row>
    <row r="111116" spans="10:10" x14ac:dyDescent="0.3">
      <c r="J111116"/>
    </row>
    <row r="111117" spans="10:10" x14ac:dyDescent="0.3">
      <c r="J111117"/>
    </row>
    <row r="111118" spans="10:10" x14ac:dyDescent="0.3">
      <c r="J111118"/>
    </row>
    <row r="111119" spans="10:10" x14ac:dyDescent="0.3">
      <c r="J111119"/>
    </row>
    <row r="111120" spans="10:10" x14ac:dyDescent="0.3">
      <c r="J111120"/>
    </row>
    <row r="111121" spans="10:10" x14ac:dyDescent="0.3">
      <c r="J111121"/>
    </row>
    <row r="111122" spans="10:10" x14ac:dyDescent="0.3">
      <c r="J111122"/>
    </row>
    <row r="111123" spans="10:10" x14ac:dyDescent="0.3">
      <c r="J111123"/>
    </row>
    <row r="111124" spans="10:10" x14ac:dyDescent="0.3">
      <c r="J111124"/>
    </row>
    <row r="111125" spans="10:10" x14ac:dyDescent="0.3">
      <c r="J111125"/>
    </row>
    <row r="111126" spans="10:10" x14ac:dyDescent="0.3">
      <c r="J111126"/>
    </row>
    <row r="111127" spans="10:10" x14ac:dyDescent="0.3">
      <c r="J111127"/>
    </row>
    <row r="111128" spans="10:10" x14ac:dyDescent="0.3">
      <c r="J111128"/>
    </row>
    <row r="111129" spans="10:10" x14ac:dyDescent="0.3">
      <c r="J111129"/>
    </row>
    <row r="111130" spans="10:10" x14ac:dyDescent="0.3">
      <c r="J111130"/>
    </row>
    <row r="111131" spans="10:10" x14ac:dyDescent="0.3">
      <c r="J111131"/>
    </row>
    <row r="111132" spans="10:10" x14ac:dyDescent="0.3">
      <c r="J111132"/>
    </row>
    <row r="111133" spans="10:10" x14ac:dyDescent="0.3">
      <c r="J111133"/>
    </row>
    <row r="111134" spans="10:10" x14ac:dyDescent="0.3">
      <c r="J111134"/>
    </row>
    <row r="111135" spans="10:10" x14ac:dyDescent="0.3">
      <c r="J111135"/>
    </row>
    <row r="111136" spans="10:10" x14ac:dyDescent="0.3">
      <c r="J111136"/>
    </row>
    <row r="111137" spans="10:10" x14ac:dyDescent="0.3">
      <c r="J111137"/>
    </row>
    <row r="111138" spans="10:10" x14ac:dyDescent="0.3">
      <c r="J111138"/>
    </row>
    <row r="111139" spans="10:10" x14ac:dyDescent="0.3">
      <c r="J111139"/>
    </row>
    <row r="111140" spans="10:10" x14ac:dyDescent="0.3">
      <c r="J111140"/>
    </row>
    <row r="111141" spans="10:10" x14ac:dyDescent="0.3">
      <c r="J111141"/>
    </row>
    <row r="111142" spans="10:10" x14ac:dyDescent="0.3">
      <c r="J111142"/>
    </row>
    <row r="111143" spans="10:10" x14ac:dyDescent="0.3">
      <c r="J111143"/>
    </row>
    <row r="111144" spans="10:10" x14ac:dyDescent="0.3">
      <c r="J111144"/>
    </row>
    <row r="111145" spans="10:10" x14ac:dyDescent="0.3">
      <c r="J111145"/>
    </row>
    <row r="111146" spans="10:10" x14ac:dyDescent="0.3">
      <c r="J111146"/>
    </row>
    <row r="111147" spans="10:10" x14ac:dyDescent="0.3">
      <c r="J111147"/>
    </row>
    <row r="111148" spans="10:10" x14ac:dyDescent="0.3">
      <c r="J111148"/>
    </row>
    <row r="111149" spans="10:10" x14ac:dyDescent="0.3">
      <c r="J111149"/>
    </row>
    <row r="111150" spans="10:10" x14ac:dyDescent="0.3">
      <c r="J111150"/>
    </row>
    <row r="111151" spans="10:10" x14ac:dyDescent="0.3">
      <c r="J111151"/>
    </row>
    <row r="111152" spans="10:10" x14ac:dyDescent="0.3">
      <c r="J111152"/>
    </row>
    <row r="111153" spans="10:10" x14ac:dyDescent="0.3">
      <c r="J111153"/>
    </row>
    <row r="111154" spans="10:10" x14ac:dyDescent="0.3">
      <c r="J111154"/>
    </row>
    <row r="111155" spans="10:10" x14ac:dyDescent="0.3">
      <c r="J111155"/>
    </row>
    <row r="111156" spans="10:10" x14ac:dyDescent="0.3">
      <c r="J111156"/>
    </row>
    <row r="111157" spans="10:10" x14ac:dyDescent="0.3">
      <c r="J111157"/>
    </row>
    <row r="111158" spans="10:10" x14ac:dyDescent="0.3">
      <c r="J111158"/>
    </row>
    <row r="111159" spans="10:10" x14ac:dyDescent="0.3">
      <c r="J111159"/>
    </row>
    <row r="111160" spans="10:10" x14ac:dyDescent="0.3">
      <c r="J111160"/>
    </row>
    <row r="111161" spans="10:10" x14ac:dyDescent="0.3">
      <c r="J111161"/>
    </row>
    <row r="111162" spans="10:10" x14ac:dyDescent="0.3">
      <c r="J111162"/>
    </row>
    <row r="111163" spans="10:10" x14ac:dyDescent="0.3">
      <c r="J111163"/>
    </row>
    <row r="111164" spans="10:10" x14ac:dyDescent="0.3">
      <c r="J111164"/>
    </row>
    <row r="111165" spans="10:10" x14ac:dyDescent="0.3">
      <c r="J111165"/>
    </row>
    <row r="111166" spans="10:10" x14ac:dyDescent="0.3">
      <c r="J111166"/>
    </row>
    <row r="111167" spans="10:10" x14ac:dyDescent="0.3">
      <c r="J111167"/>
    </row>
    <row r="111168" spans="10:10" x14ac:dyDescent="0.3">
      <c r="J111168"/>
    </row>
    <row r="111169" spans="10:10" x14ac:dyDescent="0.3">
      <c r="J111169"/>
    </row>
    <row r="111170" spans="10:10" x14ac:dyDescent="0.3">
      <c r="J111170"/>
    </row>
    <row r="111171" spans="10:10" x14ac:dyDescent="0.3">
      <c r="J111171"/>
    </row>
    <row r="111172" spans="10:10" x14ac:dyDescent="0.3">
      <c r="J111172"/>
    </row>
    <row r="111173" spans="10:10" x14ac:dyDescent="0.3">
      <c r="J111173"/>
    </row>
    <row r="111174" spans="10:10" x14ac:dyDescent="0.3">
      <c r="J111174"/>
    </row>
    <row r="111175" spans="10:10" x14ac:dyDescent="0.3">
      <c r="J111175"/>
    </row>
    <row r="111176" spans="10:10" x14ac:dyDescent="0.3">
      <c r="J111176"/>
    </row>
    <row r="111177" spans="10:10" x14ac:dyDescent="0.3">
      <c r="J111177"/>
    </row>
    <row r="111178" spans="10:10" x14ac:dyDescent="0.3">
      <c r="J111178"/>
    </row>
    <row r="111179" spans="10:10" x14ac:dyDescent="0.3">
      <c r="J111179"/>
    </row>
    <row r="111180" spans="10:10" x14ac:dyDescent="0.3">
      <c r="J111180"/>
    </row>
    <row r="111181" spans="10:10" x14ac:dyDescent="0.3">
      <c r="J111181"/>
    </row>
    <row r="111182" spans="10:10" x14ac:dyDescent="0.3">
      <c r="J111182"/>
    </row>
    <row r="111183" spans="10:10" x14ac:dyDescent="0.3">
      <c r="J111183"/>
    </row>
    <row r="111184" spans="10:10" x14ac:dyDescent="0.3">
      <c r="J111184"/>
    </row>
    <row r="111185" spans="10:10" x14ac:dyDescent="0.3">
      <c r="J111185"/>
    </row>
    <row r="111186" spans="10:10" x14ac:dyDescent="0.3">
      <c r="J111186"/>
    </row>
    <row r="111187" spans="10:10" x14ac:dyDescent="0.3">
      <c r="J111187"/>
    </row>
    <row r="111188" spans="10:10" x14ac:dyDescent="0.3">
      <c r="J111188"/>
    </row>
    <row r="111189" spans="10:10" x14ac:dyDescent="0.3">
      <c r="J111189"/>
    </row>
    <row r="111190" spans="10:10" x14ac:dyDescent="0.3">
      <c r="J111190"/>
    </row>
    <row r="111191" spans="10:10" x14ac:dyDescent="0.3">
      <c r="J111191"/>
    </row>
    <row r="111192" spans="10:10" x14ac:dyDescent="0.3">
      <c r="J111192"/>
    </row>
    <row r="111193" spans="10:10" x14ac:dyDescent="0.3">
      <c r="J111193"/>
    </row>
    <row r="111194" spans="10:10" x14ac:dyDescent="0.3">
      <c r="J111194"/>
    </row>
    <row r="111195" spans="10:10" x14ac:dyDescent="0.3">
      <c r="J111195"/>
    </row>
    <row r="111196" spans="10:10" x14ac:dyDescent="0.3">
      <c r="J111196"/>
    </row>
    <row r="111197" spans="10:10" x14ac:dyDescent="0.3">
      <c r="J111197"/>
    </row>
    <row r="111198" spans="10:10" x14ac:dyDescent="0.3">
      <c r="J111198"/>
    </row>
    <row r="111199" spans="10:10" x14ac:dyDescent="0.3">
      <c r="J111199"/>
    </row>
    <row r="111200" spans="10:10" x14ac:dyDescent="0.3">
      <c r="J111200"/>
    </row>
    <row r="111201" spans="10:10" x14ac:dyDescent="0.3">
      <c r="J111201"/>
    </row>
    <row r="111202" spans="10:10" x14ac:dyDescent="0.3">
      <c r="J111202"/>
    </row>
    <row r="111203" spans="10:10" x14ac:dyDescent="0.3">
      <c r="J111203"/>
    </row>
    <row r="111204" spans="10:10" x14ac:dyDescent="0.3">
      <c r="J111204"/>
    </row>
    <row r="111205" spans="10:10" x14ac:dyDescent="0.3">
      <c r="J111205"/>
    </row>
    <row r="111206" spans="10:10" x14ac:dyDescent="0.3">
      <c r="J111206"/>
    </row>
    <row r="111207" spans="10:10" x14ac:dyDescent="0.3">
      <c r="J111207"/>
    </row>
    <row r="111208" spans="10:10" x14ac:dyDescent="0.3">
      <c r="J111208"/>
    </row>
    <row r="111209" spans="10:10" x14ac:dyDescent="0.3">
      <c r="J111209"/>
    </row>
    <row r="111210" spans="10:10" x14ac:dyDescent="0.3">
      <c r="J111210"/>
    </row>
    <row r="111211" spans="10:10" x14ac:dyDescent="0.3">
      <c r="J111211"/>
    </row>
    <row r="111212" spans="10:10" x14ac:dyDescent="0.3">
      <c r="J111212"/>
    </row>
    <row r="111213" spans="10:10" x14ac:dyDescent="0.3">
      <c r="J111213"/>
    </row>
    <row r="111214" spans="10:10" x14ac:dyDescent="0.3">
      <c r="J111214"/>
    </row>
    <row r="111215" spans="10:10" x14ac:dyDescent="0.3">
      <c r="J111215"/>
    </row>
    <row r="111216" spans="10:10" x14ac:dyDescent="0.3">
      <c r="J111216"/>
    </row>
    <row r="111217" spans="10:10" x14ac:dyDescent="0.3">
      <c r="J111217"/>
    </row>
    <row r="111218" spans="10:10" x14ac:dyDescent="0.3">
      <c r="J111218"/>
    </row>
    <row r="111219" spans="10:10" x14ac:dyDescent="0.3">
      <c r="J111219"/>
    </row>
    <row r="111220" spans="10:10" x14ac:dyDescent="0.3">
      <c r="J111220"/>
    </row>
    <row r="111221" spans="10:10" x14ac:dyDescent="0.3">
      <c r="J111221"/>
    </row>
    <row r="111222" spans="10:10" x14ac:dyDescent="0.3">
      <c r="J111222"/>
    </row>
    <row r="111223" spans="10:10" x14ac:dyDescent="0.3">
      <c r="J111223"/>
    </row>
    <row r="111224" spans="10:10" x14ac:dyDescent="0.3">
      <c r="J111224"/>
    </row>
    <row r="111225" spans="10:10" x14ac:dyDescent="0.3">
      <c r="J111225"/>
    </row>
    <row r="111226" spans="10:10" x14ac:dyDescent="0.3">
      <c r="J111226"/>
    </row>
    <row r="111227" spans="10:10" x14ac:dyDescent="0.3">
      <c r="J111227"/>
    </row>
    <row r="111228" spans="10:10" x14ac:dyDescent="0.3">
      <c r="J111228"/>
    </row>
    <row r="111229" spans="10:10" x14ac:dyDescent="0.3">
      <c r="J111229"/>
    </row>
    <row r="111230" spans="10:10" x14ac:dyDescent="0.3">
      <c r="J111230"/>
    </row>
    <row r="111231" spans="10:10" x14ac:dyDescent="0.3">
      <c r="J111231"/>
    </row>
    <row r="111232" spans="10:10" x14ac:dyDescent="0.3">
      <c r="J111232"/>
    </row>
    <row r="111233" spans="10:10" x14ac:dyDescent="0.3">
      <c r="J111233"/>
    </row>
    <row r="111234" spans="10:10" x14ac:dyDescent="0.3">
      <c r="J111234"/>
    </row>
    <row r="111235" spans="10:10" x14ac:dyDescent="0.3">
      <c r="J111235"/>
    </row>
    <row r="111236" spans="10:10" x14ac:dyDescent="0.3">
      <c r="J111236"/>
    </row>
    <row r="111237" spans="10:10" x14ac:dyDescent="0.3">
      <c r="J111237"/>
    </row>
    <row r="111238" spans="10:10" x14ac:dyDescent="0.3">
      <c r="J111238"/>
    </row>
    <row r="111239" spans="10:10" x14ac:dyDescent="0.3">
      <c r="J111239"/>
    </row>
    <row r="111240" spans="10:10" x14ac:dyDescent="0.3">
      <c r="J111240"/>
    </row>
    <row r="111241" spans="10:10" x14ac:dyDescent="0.3">
      <c r="J111241"/>
    </row>
    <row r="111242" spans="10:10" x14ac:dyDescent="0.3">
      <c r="J111242"/>
    </row>
    <row r="111243" spans="10:10" x14ac:dyDescent="0.3">
      <c r="J111243"/>
    </row>
    <row r="111244" spans="10:10" x14ac:dyDescent="0.3">
      <c r="J111244"/>
    </row>
    <row r="111245" spans="10:10" x14ac:dyDescent="0.3">
      <c r="J111245"/>
    </row>
    <row r="111246" spans="10:10" x14ac:dyDescent="0.3">
      <c r="J111246"/>
    </row>
    <row r="111247" spans="10:10" x14ac:dyDescent="0.3">
      <c r="J111247"/>
    </row>
    <row r="111248" spans="10:10" x14ac:dyDescent="0.3">
      <c r="J111248"/>
    </row>
    <row r="111249" spans="10:10" x14ac:dyDescent="0.3">
      <c r="J111249"/>
    </row>
    <row r="111250" spans="10:10" x14ac:dyDescent="0.3">
      <c r="J111250"/>
    </row>
    <row r="111251" spans="10:10" x14ac:dyDescent="0.3">
      <c r="J111251"/>
    </row>
    <row r="111252" spans="10:10" x14ac:dyDescent="0.3">
      <c r="J111252"/>
    </row>
    <row r="111253" spans="10:10" x14ac:dyDescent="0.3">
      <c r="J111253"/>
    </row>
    <row r="111254" spans="10:10" x14ac:dyDescent="0.3">
      <c r="J111254"/>
    </row>
    <row r="111255" spans="10:10" x14ac:dyDescent="0.3">
      <c r="J111255"/>
    </row>
    <row r="111256" spans="10:10" x14ac:dyDescent="0.3">
      <c r="J111256"/>
    </row>
    <row r="111257" spans="10:10" x14ac:dyDescent="0.3">
      <c r="J111257"/>
    </row>
    <row r="111258" spans="10:10" x14ac:dyDescent="0.3">
      <c r="J111258"/>
    </row>
    <row r="111259" spans="10:10" x14ac:dyDescent="0.3">
      <c r="J111259"/>
    </row>
    <row r="111260" spans="10:10" x14ac:dyDescent="0.3">
      <c r="J111260"/>
    </row>
    <row r="111261" spans="10:10" x14ac:dyDescent="0.3">
      <c r="J111261"/>
    </row>
    <row r="111262" spans="10:10" x14ac:dyDescent="0.3">
      <c r="J111262"/>
    </row>
    <row r="111263" spans="10:10" x14ac:dyDescent="0.3">
      <c r="J111263"/>
    </row>
    <row r="111264" spans="10:10" x14ac:dyDescent="0.3">
      <c r="J111264"/>
    </row>
    <row r="111265" spans="10:10" x14ac:dyDescent="0.3">
      <c r="J111265"/>
    </row>
    <row r="111266" spans="10:10" x14ac:dyDescent="0.3">
      <c r="J111266"/>
    </row>
    <row r="111267" spans="10:10" x14ac:dyDescent="0.3">
      <c r="J111267"/>
    </row>
    <row r="111268" spans="10:10" x14ac:dyDescent="0.3">
      <c r="J111268"/>
    </row>
    <row r="111269" spans="10:10" x14ac:dyDescent="0.3">
      <c r="J111269"/>
    </row>
    <row r="111270" spans="10:10" x14ac:dyDescent="0.3">
      <c r="J111270"/>
    </row>
    <row r="111271" spans="10:10" x14ac:dyDescent="0.3">
      <c r="J111271"/>
    </row>
    <row r="111272" spans="10:10" x14ac:dyDescent="0.3">
      <c r="J111272"/>
    </row>
    <row r="111273" spans="10:10" x14ac:dyDescent="0.3">
      <c r="J111273"/>
    </row>
    <row r="111274" spans="10:10" x14ac:dyDescent="0.3">
      <c r="J111274"/>
    </row>
    <row r="111275" spans="10:10" x14ac:dyDescent="0.3">
      <c r="J111275"/>
    </row>
    <row r="111276" spans="10:10" x14ac:dyDescent="0.3">
      <c r="J111276"/>
    </row>
    <row r="111277" spans="10:10" x14ac:dyDescent="0.3">
      <c r="J111277"/>
    </row>
    <row r="111278" spans="10:10" x14ac:dyDescent="0.3">
      <c r="J111278"/>
    </row>
    <row r="111279" spans="10:10" x14ac:dyDescent="0.3">
      <c r="J111279"/>
    </row>
    <row r="111280" spans="10:10" x14ac:dyDescent="0.3">
      <c r="J111280"/>
    </row>
    <row r="111281" spans="10:10" x14ac:dyDescent="0.3">
      <c r="J111281"/>
    </row>
    <row r="111282" spans="10:10" x14ac:dyDescent="0.3">
      <c r="J111282"/>
    </row>
    <row r="111283" spans="10:10" x14ac:dyDescent="0.3">
      <c r="J111283"/>
    </row>
    <row r="111284" spans="10:10" x14ac:dyDescent="0.3">
      <c r="J111284"/>
    </row>
    <row r="111285" spans="10:10" x14ac:dyDescent="0.3">
      <c r="J111285"/>
    </row>
    <row r="111286" spans="10:10" x14ac:dyDescent="0.3">
      <c r="J111286"/>
    </row>
    <row r="111287" spans="10:10" x14ac:dyDescent="0.3">
      <c r="J111287"/>
    </row>
    <row r="111288" spans="10:10" x14ac:dyDescent="0.3">
      <c r="J111288"/>
    </row>
    <row r="111289" spans="10:10" x14ac:dyDescent="0.3">
      <c r="J111289"/>
    </row>
    <row r="111290" spans="10:10" x14ac:dyDescent="0.3">
      <c r="J111290"/>
    </row>
    <row r="111291" spans="10:10" x14ac:dyDescent="0.3">
      <c r="J111291"/>
    </row>
    <row r="111292" spans="10:10" x14ac:dyDescent="0.3">
      <c r="J111292"/>
    </row>
    <row r="111293" spans="10:10" x14ac:dyDescent="0.3">
      <c r="J111293"/>
    </row>
    <row r="111294" spans="10:10" x14ac:dyDescent="0.3">
      <c r="J111294"/>
    </row>
    <row r="111295" spans="10:10" x14ac:dyDescent="0.3">
      <c r="J111295"/>
    </row>
    <row r="111296" spans="10:10" x14ac:dyDescent="0.3">
      <c r="J111296"/>
    </row>
    <row r="111297" spans="10:10" x14ac:dyDescent="0.3">
      <c r="J111297"/>
    </row>
    <row r="111298" spans="10:10" x14ac:dyDescent="0.3">
      <c r="J111298"/>
    </row>
    <row r="111299" spans="10:10" x14ac:dyDescent="0.3">
      <c r="J111299"/>
    </row>
    <row r="111300" spans="10:10" x14ac:dyDescent="0.3">
      <c r="J111300"/>
    </row>
    <row r="111301" spans="10:10" x14ac:dyDescent="0.3">
      <c r="J111301"/>
    </row>
    <row r="111302" spans="10:10" x14ac:dyDescent="0.3">
      <c r="J111302"/>
    </row>
    <row r="111303" spans="10:10" x14ac:dyDescent="0.3">
      <c r="J111303"/>
    </row>
    <row r="111304" spans="10:10" x14ac:dyDescent="0.3">
      <c r="J111304"/>
    </row>
    <row r="111305" spans="10:10" x14ac:dyDescent="0.3">
      <c r="J111305"/>
    </row>
    <row r="111306" spans="10:10" x14ac:dyDescent="0.3">
      <c r="J111306"/>
    </row>
    <row r="111307" spans="10:10" x14ac:dyDescent="0.3">
      <c r="J111307"/>
    </row>
    <row r="111308" spans="10:10" x14ac:dyDescent="0.3">
      <c r="J111308"/>
    </row>
    <row r="111309" spans="10:10" x14ac:dyDescent="0.3">
      <c r="J111309"/>
    </row>
    <row r="111310" spans="10:10" x14ac:dyDescent="0.3">
      <c r="J111310"/>
    </row>
    <row r="111311" spans="10:10" x14ac:dyDescent="0.3">
      <c r="J111311"/>
    </row>
    <row r="111312" spans="10:10" x14ac:dyDescent="0.3">
      <c r="J111312"/>
    </row>
    <row r="111313" spans="10:10" x14ac:dyDescent="0.3">
      <c r="J111313"/>
    </row>
    <row r="111314" spans="10:10" x14ac:dyDescent="0.3">
      <c r="J111314"/>
    </row>
    <row r="111315" spans="10:10" x14ac:dyDescent="0.3">
      <c r="J111315"/>
    </row>
    <row r="111316" spans="10:10" x14ac:dyDescent="0.3">
      <c r="J111316"/>
    </row>
    <row r="111317" spans="10:10" x14ac:dyDescent="0.3">
      <c r="J111317"/>
    </row>
    <row r="111318" spans="10:10" x14ac:dyDescent="0.3">
      <c r="J111318"/>
    </row>
    <row r="111319" spans="10:10" x14ac:dyDescent="0.3">
      <c r="J111319"/>
    </row>
    <row r="111320" spans="10:10" x14ac:dyDescent="0.3">
      <c r="J111320"/>
    </row>
    <row r="111321" spans="10:10" x14ac:dyDescent="0.3">
      <c r="J111321"/>
    </row>
    <row r="111322" spans="10:10" x14ac:dyDescent="0.3">
      <c r="J111322"/>
    </row>
    <row r="111323" spans="10:10" x14ac:dyDescent="0.3">
      <c r="J111323"/>
    </row>
    <row r="111324" spans="10:10" x14ac:dyDescent="0.3">
      <c r="J111324"/>
    </row>
    <row r="111325" spans="10:10" x14ac:dyDescent="0.3">
      <c r="J111325"/>
    </row>
    <row r="111326" spans="10:10" x14ac:dyDescent="0.3">
      <c r="J111326"/>
    </row>
    <row r="111327" spans="10:10" x14ac:dyDescent="0.3">
      <c r="J111327"/>
    </row>
    <row r="111328" spans="10:10" x14ac:dyDescent="0.3">
      <c r="J111328"/>
    </row>
    <row r="111329" spans="10:10" x14ac:dyDescent="0.3">
      <c r="J111329"/>
    </row>
    <row r="111330" spans="10:10" x14ac:dyDescent="0.3">
      <c r="J111330"/>
    </row>
    <row r="111331" spans="10:10" x14ac:dyDescent="0.3">
      <c r="J111331"/>
    </row>
    <row r="111332" spans="10:10" x14ac:dyDescent="0.3">
      <c r="J111332"/>
    </row>
    <row r="111333" spans="10:10" x14ac:dyDescent="0.3">
      <c r="J111333"/>
    </row>
    <row r="111334" spans="10:10" x14ac:dyDescent="0.3">
      <c r="J111334"/>
    </row>
    <row r="111335" spans="10:10" x14ac:dyDescent="0.3">
      <c r="J111335"/>
    </row>
    <row r="111336" spans="10:10" x14ac:dyDescent="0.3">
      <c r="J111336"/>
    </row>
    <row r="111337" spans="10:10" x14ac:dyDescent="0.3">
      <c r="J111337"/>
    </row>
    <row r="111338" spans="10:10" x14ac:dyDescent="0.3">
      <c r="J111338"/>
    </row>
    <row r="111339" spans="10:10" x14ac:dyDescent="0.3">
      <c r="J111339"/>
    </row>
    <row r="111340" spans="10:10" x14ac:dyDescent="0.3">
      <c r="J111340"/>
    </row>
    <row r="111341" spans="10:10" x14ac:dyDescent="0.3">
      <c r="J111341"/>
    </row>
    <row r="111342" spans="10:10" x14ac:dyDescent="0.3">
      <c r="J111342"/>
    </row>
    <row r="111343" spans="10:10" x14ac:dyDescent="0.3">
      <c r="J111343"/>
    </row>
    <row r="111344" spans="10:10" x14ac:dyDescent="0.3">
      <c r="J111344"/>
    </row>
    <row r="111345" spans="10:10" x14ac:dyDescent="0.3">
      <c r="J111345"/>
    </row>
    <row r="111346" spans="10:10" x14ac:dyDescent="0.3">
      <c r="J111346"/>
    </row>
    <row r="111347" spans="10:10" x14ac:dyDescent="0.3">
      <c r="J111347"/>
    </row>
    <row r="111348" spans="10:10" x14ac:dyDescent="0.3">
      <c r="J111348"/>
    </row>
    <row r="111349" spans="10:10" x14ac:dyDescent="0.3">
      <c r="J111349"/>
    </row>
    <row r="111350" spans="10:10" x14ac:dyDescent="0.3">
      <c r="J111350"/>
    </row>
    <row r="111351" spans="10:10" x14ac:dyDescent="0.3">
      <c r="J111351"/>
    </row>
    <row r="111352" spans="10:10" x14ac:dyDescent="0.3">
      <c r="J111352"/>
    </row>
    <row r="111353" spans="10:10" x14ac:dyDescent="0.3">
      <c r="J111353"/>
    </row>
    <row r="111354" spans="10:10" x14ac:dyDescent="0.3">
      <c r="J111354"/>
    </row>
    <row r="111355" spans="10:10" x14ac:dyDescent="0.3">
      <c r="J111355"/>
    </row>
    <row r="111356" spans="10:10" x14ac:dyDescent="0.3">
      <c r="J111356"/>
    </row>
    <row r="111357" spans="10:10" x14ac:dyDescent="0.3">
      <c r="J111357"/>
    </row>
    <row r="111358" spans="10:10" x14ac:dyDescent="0.3">
      <c r="J111358"/>
    </row>
    <row r="111359" spans="10:10" x14ac:dyDescent="0.3">
      <c r="J111359"/>
    </row>
    <row r="111360" spans="10:10" x14ac:dyDescent="0.3">
      <c r="J111360"/>
    </row>
    <row r="111361" spans="10:10" x14ac:dyDescent="0.3">
      <c r="J111361"/>
    </row>
    <row r="111362" spans="10:10" x14ac:dyDescent="0.3">
      <c r="J111362"/>
    </row>
    <row r="111363" spans="10:10" x14ac:dyDescent="0.3">
      <c r="J111363"/>
    </row>
    <row r="111364" spans="10:10" x14ac:dyDescent="0.3">
      <c r="J111364"/>
    </row>
    <row r="111365" spans="10:10" x14ac:dyDescent="0.3">
      <c r="J111365"/>
    </row>
    <row r="111366" spans="10:10" x14ac:dyDescent="0.3">
      <c r="J111366"/>
    </row>
    <row r="111367" spans="10:10" x14ac:dyDescent="0.3">
      <c r="J111367"/>
    </row>
    <row r="111368" spans="10:10" x14ac:dyDescent="0.3">
      <c r="J111368"/>
    </row>
    <row r="111369" spans="10:10" x14ac:dyDescent="0.3">
      <c r="J111369"/>
    </row>
    <row r="111370" spans="10:10" x14ac:dyDescent="0.3">
      <c r="J111370"/>
    </row>
    <row r="111371" spans="10:10" x14ac:dyDescent="0.3">
      <c r="J111371"/>
    </row>
    <row r="111372" spans="10:10" x14ac:dyDescent="0.3">
      <c r="J111372"/>
    </row>
    <row r="111373" spans="10:10" x14ac:dyDescent="0.3">
      <c r="J111373"/>
    </row>
    <row r="111374" spans="10:10" x14ac:dyDescent="0.3">
      <c r="J111374"/>
    </row>
    <row r="111375" spans="10:10" x14ac:dyDescent="0.3">
      <c r="J111375"/>
    </row>
    <row r="111376" spans="10:10" x14ac:dyDescent="0.3">
      <c r="J111376"/>
    </row>
    <row r="111377" spans="10:10" x14ac:dyDescent="0.3">
      <c r="J111377"/>
    </row>
    <row r="111378" spans="10:10" x14ac:dyDescent="0.3">
      <c r="J111378"/>
    </row>
    <row r="111379" spans="10:10" x14ac:dyDescent="0.3">
      <c r="J111379"/>
    </row>
    <row r="111380" spans="10:10" x14ac:dyDescent="0.3">
      <c r="J111380"/>
    </row>
    <row r="111381" spans="10:10" x14ac:dyDescent="0.3">
      <c r="J111381"/>
    </row>
    <row r="111382" spans="10:10" x14ac:dyDescent="0.3">
      <c r="J111382"/>
    </row>
    <row r="111383" spans="10:10" x14ac:dyDescent="0.3">
      <c r="J111383"/>
    </row>
    <row r="111384" spans="10:10" x14ac:dyDescent="0.3">
      <c r="J111384"/>
    </row>
    <row r="111385" spans="10:10" x14ac:dyDescent="0.3">
      <c r="J111385"/>
    </row>
    <row r="111386" spans="10:10" x14ac:dyDescent="0.3">
      <c r="J111386"/>
    </row>
    <row r="111387" spans="10:10" x14ac:dyDescent="0.3">
      <c r="J111387"/>
    </row>
    <row r="111388" spans="10:10" x14ac:dyDescent="0.3">
      <c r="J111388"/>
    </row>
    <row r="111389" spans="10:10" x14ac:dyDescent="0.3">
      <c r="J111389"/>
    </row>
    <row r="111390" spans="10:10" x14ac:dyDescent="0.3">
      <c r="J111390"/>
    </row>
    <row r="111391" spans="10:10" x14ac:dyDescent="0.3">
      <c r="J111391"/>
    </row>
    <row r="111392" spans="10:10" x14ac:dyDescent="0.3">
      <c r="J111392"/>
    </row>
    <row r="111393" spans="10:10" x14ac:dyDescent="0.3">
      <c r="J111393"/>
    </row>
    <row r="111394" spans="10:10" x14ac:dyDescent="0.3">
      <c r="J111394"/>
    </row>
    <row r="111395" spans="10:10" x14ac:dyDescent="0.3">
      <c r="J111395"/>
    </row>
    <row r="111396" spans="10:10" x14ac:dyDescent="0.3">
      <c r="J111396"/>
    </row>
    <row r="111397" spans="10:10" x14ac:dyDescent="0.3">
      <c r="J111397"/>
    </row>
    <row r="111398" spans="10:10" x14ac:dyDescent="0.3">
      <c r="J111398"/>
    </row>
    <row r="111399" spans="10:10" x14ac:dyDescent="0.3">
      <c r="J111399"/>
    </row>
    <row r="111400" spans="10:10" x14ac:dyDescent="0.3">
      <c r="J111400"/>
    </row>
    <row r="111401" spans="10:10" x14ac:dyDescent="0.3">
      <c r="J111401"/>
    </row>
    <row r="111402" spans="10:10" x14ac:dyDescent="0.3">
      <c r="J111402"/>
    </row>
    <row r="111403" spans="10:10" x14ac:dyDescent="0.3">
      <c r="J111403"/>
    </row>
    <row r="111404" spans="10:10" x14ac:dyDescent="0.3">
      <c r="J111404"/>
    </row>
    <row r="111405" spans="10:10" x14ac:dyDescent="0.3">
      <c r="J111405"/>
    </row>
    <row r="111406" spans="10:10" x14ac:dyDescent="0.3">
      <c r="J111406"/>
    </row>
    <row r="111407" spans="10:10" x14ac:dyDescent="0.3">
      <c r="J111407"/>
    </row>
    <row r="111408" spans="10:10" x14ac:dyDescent="0.3">
      <c r="J111408"/>
    </row>
    <row r="111409" spans="10:10" x14ac:dyDescent="0.3">
      <c r="J111409"/>
    </row>
    <row r="111410" spans="10:10" x14ac:dyDescent="0.3">
      <c r="J111410"/>
    </row>
    <row r="111411" spans="10:10" x14ac:dyDescent="0.3">
      <c r="J111411"/>
    </row>
    <row r="111412" spans="10:10" x14ac:dyDescent="0.3">
      <c r="J111412"/>
    </row>
    <row r="111413" spans="10:10" x14ac:dyDescent="0.3">
      <c r="J111413"/>
    </row>
    <row r="111414" spans="10:10" x14ac:dyDescent="0.3">
      <c r="J111414"/>
    </row>
    <row r="111415" spans="10:10" x14ac:dyDescent="0.3">
      <c r="J111415"/>
    </row>
    <row r="111416" spans="10:10" x14ac:dyDescent="0.3">
      <c r="J111416"/>
    </row>
    <row r="111417" spans="10:10" x14ac:dyDescent="0.3">
      <c r="J111417"/>
    </row>
    <row r="111418" spans="10:10" x14ac:dyDescent="0.3">
      <c r="J111418"/>
    </row>
    <row r="111419" spans="10:10" x14ac:dyDescent="0.3">
      <c r="J111419"/>
    </row>
    <row r="111420" spans="10:10" x14ac:dyDescent="0.3">
      <c r="J111420"/>
    </row>
    <row r="111421" spans="10:10" x14ac:dyDescent="0.3">
      <c r="J111421"/>
    </row>
    <row r="111422" spans="10:10" x14ac:dyDescent="0.3">
      <c r="J111422"/>
    </row>
    <row r="111423" spans="10:10" x14ac:dyDescent="0.3">
      <c r="J111423"/>
    </row>
    <row r="111424" spans="10:10" x14ac:dyDescent="0.3">
      <c r="J111424"/>
    </row>
    <row r="111425" spans="10:10" x14ac:dyDescent="0.3">
      <c r="J111425"/>
    </row>
    <row r="111426" spans="10:10" x14ac:dyDescent="0.3">
      <c r="J111426"/>
    </row>
    <row r="111427" spans="10:10" x14ac:dyDescent="0.3">
      <c r="J111427"/>
    </row>
    <row r="111428" spans="10:10" x14ac:dyDescent="0.3">
      <c r="J111428"/>
    </row>
    <row r="111429" spans="10:10" x14ac:dyDescent="0.3">
      <c r="J111429"/>
    </row>
    <row r="111430" spans="10:10" x14ac:dyDescent="0.3">
      <c r="J111430"/>
    </row>
    <row r="111431" spans="10:10" x14ac:dyDescent="0.3">
      <c r="J111431"/>
    </row>
    <row r="111432" spans="10:10" x14ac:dyDescent="0.3">
      <c r="J111432"/>
    </row>
    <row r="111433" spans="10:10" x14ac:dyDescent="0.3">
      <c r="J111433"/>
    </row>
    <row r="111434" spans="10:10" x14ac:dyDescent="0.3">
      <c r="J111434"/>
    </row>
    <row r="111435" spans="10:10" x14ac:dyDescent="0.3">
      <c r="J111435"/>
    </row>
    <row r="111436" spans="10:10" x14ac:dyDescent="0.3">
      <c r="J111436"/>
    </row>
    <row r="111437" spans="10:10" x14ac:dyDescent="0.3">
      <c r="J111437"/>
    </row>
    <row r="111438" spans="10:10" x14ac:dyDescent="0.3">
      <c r="J111438"/>
    </row>
    <row r="111439" spans="10:10" x14ac:dyDescent="0.3">
      <c r="J111439"/>
    </row>
    <row r="111440" spans="10:10" x14ac:dyDescent="0.3">
      <c r="J111440"/>
    </row>
    <row r="111441" spans="10:10" x14ac:dyDescent="0.3">
      <c r="J111441"/>
    </row>
    <row r="111442" spans="10:10" x14ac:dyDescent="0.3">
      <c r="J111442"/>
    </row>
    <row r="111443" spans="10:10" x14ac:dyDescent="0.3">
      <c r="J111443"/>
    </row>
    <row r="111444" spans="10:10" x14ac:dyDescent="0.3">
      <c r="J111444"/>
    </row>
    <row r="111445" spans="10:10" x14ac:dyDescent="0.3">
      <c r="J111445"/>
    </row>
    <row r="111446" spans="10:10" x14ac:dyDescent="0.3">
      <c r="J111446"/>
    </row>
    <row r="111447" spans="10:10" x14ac:dyDescent="0.3">
      <c r="J111447"/>
    </row>
    <row r="111448" spans="10:10" x14ac:dyDescent="0.3">
      <c r="J111448"/>
    </row>
    <row r="111449" spans="10:10" x14ac:dyDescent="0.3">
      <c r="J111449"/>
    </row>
    <row r="111450" spans="10:10" x14ac:dyDescent="0.3">
      <c r="J111450"/>
    </row>
    <row r="111451" spans="10:10" x14ac:dyDescent="0.3">
      <c r="J111451"/>
    </row>
    <row r="111452" spans="10:10" x14ac:dyDescent="0.3">
      <c r="J111452"/>
    </row>
    <row r="111453" spans="10:10" x14ac:dyDescent="0.3">
      <c r="J111453"/>
    </row>
    <row r="111454" spans="10:10" x14ac:dyDescent="0.3">
      <c r="J111454"/>
    </row>
    <row r="111455" spans="10:10" x14ac:dyDescent="0.3">
      <c r="J111455"/>
    </row>
    <row r="111456" spans="10:10" x14ac:dyDescent="0.3">
      <c r="J111456"/>
    </row>
    <row r="111457" spans="10:10" x14ac:dyDescent="0.3">
      <c r="J111457"/>
    </row>
    <row r="111458" spans="10:10" x14ac:dyDescent="0.3">
      <c r="J111458"/>
    </row>
    <row r="111459" spans="10:10" x14ac:dyDescent="0.3">
      <c r="J111459"/>
    </row>
    <row r="111460" spans="10:10" x14ac:dyDescent="0.3">
      <c r="J111460"/>
    </row>
    <row r="111461" spans="10:10" x14ac:dyDescent="0.3">
      <c r="J111461"/>
    </row>
    <row r="111462" spans="10:10" x14ac:dyDescent="0.3">
      <c r="J111462"/>
    </row>
    <row r="111463" spans="10:10" x14ac:dyDescent="0.3">
      <c r="J111463"/>
    </row>
    <row r="111464" spans="10:10" x14ac:dyDescent="0.3">
      <c r="J111464"/>
    </row>
    <row r="111465" spans="10:10" x14ac:dyDescent="0.3">
      <c r="J111465"/>
    </row>
    <row r="111466" spans="10:10" x14ac:dyDescent="0.3">
      <c r="J111466"/>
    </row>
    <row r="111467" spans="10:10" x14ac:dyDescent="0.3">
      <c r="J111467"/>
    </row>
    <row r="111468" spans="10:10" x14ac:dyDescent="0.3">
      <c r="J111468"/>
    </row>
    <row r="111469" spans="10:10" x14ac:dyDescent="0.3">
      <c r="J111469"/>
    </row>
    <row r="111470" spans="10:10" x14ac:dyDescent="0.3">
      <c r="J111470"/>
    </row>
    <row r="111471" spans="10:10" x14ac:dyDescent="0.3">
      <c r="J111471"/>
    </row>
    <row r="111472" spans="10:10" x14ac:dyDescent="0.3">
      <c r="J111472"/>
    </row>
    <row r="111473" spans="10:10" x14ac:dyDescent="0.3">
      <c r="J111473"/>
    </row>
    <row r="111474" spans="10:10" x14ac:dyDescent="0.3">
      <c r="J111474"/>
    </row>
    <row r="111475" spans="10:10" x14ac:dyDescent="0.3">
      <c r="J111475"/>
    </row>
    <row r="111476" spans="10:10" x14ac:dyDescent="0.3">
      <c r="J111476"/>
    </row>
    <row r="111477" spans="10:10" x14ac:dyDescent="0.3">
      <c r="J111477"/>
    </row>
    <row r="111478" spans="10:10" x14ac:dyDescent="0.3">
      <c r="J111478"/>
    </row>
    <row r="111479" spans="10:10" x14ac:dyDescent="0.3">
      <c r="J111479"/>
    </row>
    <row r="111480" spans="10:10" x14ac:dyDescent="0.3">
      <c r="J111480"/>
    </row>
    <row r="111481" spans="10:10" x14ac:dyDescent="0.3">
      <c r="J111481"/>
    </row>
    <row r="111482" spans="10:10" x14ac:dyDescent="0.3">
      <c r="J111482"/>
    </row>
    <row r="111483" spans="10:10" x14ac:dyDescent="0.3">
      <c r="J111483"/>
    </row>
    <row r="111484" spans="10:10" x14ac:dyDescent="0.3">
      <c r="J111484"/>
    </row>
    <row r="111485" spans="10:10" x14ac:dyDescent="0.3">
      <c r="J111485"/>
    </row>
    <row r="111486" spans="10:10" x14ac:dyDescent="0.3">
      <c r="J111486"/>
    </row>
    <row r="111487" spans="10:10" x14ac:dyDescent="0.3">
      <c r="J111487"/>
    </row>
    <row r="111488" spans="10:10" x14ac:dyDescent="0.3">
      <c r="J111488"/>
    </row>
    <row r="111489" spans="10:10" x14ac:dyDescent="0.3">
      <c r="J111489"/>
    </row>
    <row r="111490" spans="10:10" x14ac:dyDescent="0.3">
      <c r="J111490"/>
    </row>
    <row r="111491" spans="10:10" x14ac:dyDescent="0.3">
      <c r="J111491"/>
    </row>
    <row r="111492" spans="10:10" x14ac:dyDescent="0.3">
      <c r="J111492"/>
    </row>
    <row r="111493" spans="10:10" x14ac:dyDescent="0.3">
      <c r="J111493"/>
    </row>
    <row r="111494" spans="10:10" x14ac:dyDescent="0.3">
      <c r="J111494"/>
    </row>
    <row r="111495" spans="10:10" x14ac:dyDescent="0.3">
      <c r="J111495"/>
    </row>
    <row r="111496" spans="10:10" x14ac:dyDescent="0.3">
      <c r="J111496"/>
    </row>
    <row r="111497" spans="10:10" x14ac:dyDescent="0.3">
      <c r="J111497"/>
    </row>
    <row r="111498" spans="10:10" x14ac:dyDescent="0.3">
      <c r="J111498"/>
    </row>
    <row r="111499" spans="10:10" x14ac:dyDescent="0.3">
      <c r="J111499"/>
    </row>
    <row r="111500" spans="10:10" x14ac:dyDescent="0.3">
      <c r="J111500"/>
    </row>
    <row r="111501" spans="10:10" x14ac:dyDescent="0.3">
      <c r="J111501"/>
    </row>
    <row r="111502" spans="10:10" x14ac:dyDescent="0.3">
      <c r="J111502"/>
    </row>
    <row r="111503" spans="10:10" x14ac:dyDescent="0.3">
      <c r="J111503"/>
    </row>
    <row r="111504" spans="10:10" x14ac:dyDescent="0.3">
      <c r="J111504"/>
    </row>
    <row r="111505" spans="10:10" x14ac:dyDescent="0.3">
      <c r="J111505"/>
    </row>
    <row r="111506" spans="10:10" x14ac:dyDescent="0.3">
      <c r="J111506"/>
    </row>
    <row r="111507" spans="10:10" x14ac:dyDescent="0.3">
      <c r="J111507"/>
    </row>
    <row r="111508" spans="10:10" x14ac:dyDescent="0.3">
      <c r="J111508"/>
    </row>
    <row r="111509" spans="10:10" x14ac:dyDescent="0.3">
      <c r="J111509"/>
    </row>
    <row r="111510" spans="10:10" x14ac:dyDescent="0.3">
      <c r="J111510"/>
    </row>
    <row r="111511" spans="10:10" x14ac:dyDescent="0.3">
      <c r="J111511"/>
    </row>
    <row r="111512" spans="10:10" x14ac:dyDescent="0.3">
      <c r="J111512"/>
    </row>
    <row r="111513" spans="10:10" x14ac:dyDescent="0.3">
      <c r="J111513"/>
    </row>
    <row r="111514" spans="10:10" x14ac:dyDescent="0.3">
      <c r="J111514"/>
    </row>
    <row r="111515" spans="10:10" x14ac:dyDescent="0.3">
      <c r="J111515"/>
    </row>
    <row r="111516" spans="10:10" x14ac:dyDescent="0.3">
      <c r="J111516"/>
    </row>
    <row r="111517" spans="10:10" x14ac:dyDescent="0.3">
      <c r="J111517"/>
    </row>
    <row r="111518" spans="10:10" x14ac:dyDescent="0.3">
      <c r="J111518"/>
    </row>
    <row r="111519" spans="10:10" x14ac:dyDescent="0.3">
      <c r="J111519"/>
    </row>
    <row r="111520" spans="10:10" x14ac:dyDescent="0.3">
      <c r="J111520"/>
    </row>
    <row r="111521" spans="10:10" x14ac:dyDescent="0.3">
      <c r="J111521"/>
    </row>
    <row r="111522" spans="10:10" x14ac:dyDescent="0.3">
      <c r="J111522"/>
    </row>
    <row r="111523" spans="10:10" x14ac:dyDescent="0.3">
      <c r="J111523"/>
    </row>
    <row r="111524" spans="10:10" x14ac:dyDescent="0.3">
      <c r="J111524"/>
    </row>
    <row r="111525" spans="10:10" x14ac:dyDescent="0.3">
      <c r="J111525"/>
    </row>
    <row r="111526" spans="10:10" x14ac:dyDescent="0.3">
      <c r="J111526"/>
    </row>
    <row r="111527" spans="10:10" x14ac:dyDescent="0.3">
      <c r="J111527"/>
    </row>
    <row r="111528" spans="10:10" x14ac:dyDescent="0.3">
      <c r="J111528"/>
    </row>
    <row r="111529" spans="10:10" x14ac:dyDescent="0.3">
      <c r="J111529"/>
    </row>
    <row r="111530" spans="10:10" x14ac:dyDescent="0.3">
      <c r="J111530"/>
    </row>
    <row r="111531" spans="10:10" x14ac:dyDescent="0.3">
      <c r="J111531"/>
    </row>
    <row r="111532" spans="10:10" x14ac:dyDescent="0.3">
      <c r="J111532"/>
    </row>
    <row r="111533" spans="10:10" x14ac:dyDescent="0.3">
      <c r="J111533"/>
    </row>
    <row r="111534" spans="10:10" x14ac:dyDescent="0.3">
      <c r="J111534"/>
    </row>
    <row r="111535" spans="10:10" x14ac:dyDescent="0.3">
      <c r="J111535"/>
    </row>
    <row r="111536" spans="10:10" x14ac:dyDescent="0.3">
      <c r="J111536"/>
    </row>
    <row r="111537" spans="10:10" x14ac:dyDescent="0.3">
      <c r="J111537"/>
    </row>
    <row r="111538" spans="10:10" x14ac:dyDescent="0.3">
      <c r="J111538"/>
    </row>
    <row r="111539" spans="10:10" x14ac:dyDescent="0.3">
      <c r="J111539"/>
    </row>
    <row r="111540" spans="10:10" x14ac:dyDescent="0.3">
      <c r="J111540"/>
    </row>
    <row r="111541" spans="10:10" x14ac:dyDescent="0.3">
      <c r="J111541"/>
    </row>
    <row r="111542" spans="10:10" x14ac:dyDescent="0.3">
      <c r="J111542"/>
    </row>
    <row r="111543" spans="10:10" x14ac:dyDescent="0.3">
      <c r="J111543"/>
    </row>
    <row r="111544" spans="10:10" x14ac:dyDescent="0.3">
      <c r="J111544"/>
    </row>
    <row r="111545" spans="10:10" x14ac:dyDescent="0.3">
      <c r="J111545"/>
    </row>
    <row r="111546" spans="10:10" x14ac:dyDescent="0.3">
      <c r="J111546"/>
    </row>
    <row r="111547" spans="10:10" x14ac:dyDescent="0.3">
      <c r="J111547"/>
    </row>
    <row r="111548" spans="10:10" x14ac:dyDescent="0.3">
      <c r="J111548"/>
    </row>
    <row r="111549" spans="10:10" x14ac:dyDescent="0.3">
      <c r="J111549"/>
    </row>
    <row r="111550" spans="10:10" x14ac:dyDescent="0.3">
      <c r="J111550"/>
    </row>
    <row r="111551" spans="10:10" x14ac:dyDescent="0.3">
      <c r="J111551"/>
    </row>
    <row r="111552" spans="10:10" x14ac:dyDescent="0.3">
      <c r="J111552"/>
    </row>
    <row r="111553" spans="10:10" x14ac:dyDescent="0.3">
      <c r="J111553"/>
    </row>
    <row r="111554" spans="10:10" x14ac:dyDescent="0.3">
      <c r="J111554"/>
    </row>
    <row r="111555" spans="10:10" x14ac:dyDescent="0.3">
      <c r="J111555"/>
    </row>
    <row r="111556" spans="10:10" x14ac:dyDescent="0.3">
      <c r="J111556"/>
    </row>
    <row r="111557" spans="10:10" x14ac:dyDescent="0.3">
      <c r="J111557"/>
    </row>
    <row r="111558" spans="10:10" x14ac:dyDescent="0.3">
      <c r="J111558"/>
    </row>
    <row r="111559" spans="10:10" x14ac:dyDescent="0.3">
      <c r="J111559"/>
    </row>
    <row r="111560" spans="10:10" x14ac:dyDescent="0.3">
      <c r="J111560"/>
    </row>
    <row r="111561" spans="10:10" x14ac:dyDescent="0.3">
      <c r="J111561"/>
    </row>
    <row r="111562" spans="10:10" x14ac:dyDescent="0.3">
      <c r="J111562"/>
    </row>
    <row r="111563" spans="10:10" x14ac:dyDescent="0.3">
      <c r="J111563"/>
    </row>
    <row r="111564" spans="10:10" x14ac:dyDescent="0.3">
      <c r="J111564"/>
    </row>
    <row r="111565" spans="10:10" x14ac:dyDescent="0.3">
      <c r="J111565"/>
    </row>
    <row r="111566" spans="10:10" x14ac:dyDescent="0.3">
      <c r="J111566"/>
    </row>
    <row r="111567" spans="10:10" x14ac:dyDescent="0.3">
      <c r="J111567"/>
    </row>
    <row r="111568" spans="10:10" x14ac:dyDescent="0.3">
      <c r="J111568"/>
    </row>
    <row r="111569" spans="10:10" x14ac:dyDescent="0.3">
      <c r="J111569"/>
    </row>
    <row r="111570" spans="10:10" x14ac:dyDescent="0.3">
      <c r="J111570"/>
    </row>
    <row r="111571" spans="10:10" x14ac:dyDescent="0.3">
      <c r="J111571"/>
    </row>
    <row r="111572" spans="10:10" x14ac:dyDescent="0.3">
      <c r="J111572"/>
    </row>
    <row r="111573" spans="10:10" x14ac:dyDescent="0.3">
      <c r="J111573"/>
    </row>
    <row r="111574" spans="10:10" x14ac:dyDescent="0.3">
      <c r="J111574"/>
    </row>
    <row r="111575" spans="10:10" x14ac:dyDescent="0.3">
      <c r="J111575"/>
    </row>
    <row r="111576" spans="10:10" x14ac:dyDescent="0.3">
      <c r="J111576"/>
    </row>
    <row r="111577" spans="10:10" x14ac:dyDescent="0.3">
      <c r="J111577"/>
    </row>
    <row r="111578" spans="10:10" x14ac:dyDescent="0.3">
      <c r="J111578"/>
    </row>
    <row r="111579" spans="10:10" x14ac:dyDescent="0.3">
      <c r="J111579"/>
    </row>
    <row r="111580" spans="10:10" x14ac:dyDescent="0.3">
      <c r="J111580"/>
    </row>
    <row r="111581" spans="10:10" x14ac:dyDescent="0.3">
      <c r="J111581"/>
    </row>
    <row r="111582" spans="10:10" x14ac:dyDescent="0.3">
      <c r="J111582"/>
    </row>
    <row r="111583" spans="10:10" x14ac:dyDescent="0.3">
      <c r="J111583"/>
    </row>
    <row r="111584" spans="10:10" x14ac:dyDescent="0.3">
      <c r="J111584"/>
    </row>
    <row r="111585" spans="10:10" x14ac:dyDescent="0.3">
      <c r="J111585"/>
    </row>
    <row r="111586" spans="10:10" x14ac:dyDescent="0.3">
      <c r="J111586"/>
    </row>
    <row r="111587" spans="10:10" x14ac:dyDescent="0.3">
      <c r="J111587"/>
    </row>
    <row r="111588" spans="10:10" x14ac:dyDescent="0.3">
      <c r="J111588"/>
    </row>
    <row r="111589" spans="10:10" x14ac:dyDescent="0.3">
      <c r="J111589"/>
    </row>
    <row r="111590" spans="10:10" x14ac:dyDescent="0.3">
      <c r="J111590"/>
    </row>
    <row r="111591" spans="10:10" x14ac:dyDescent="0.3">
      <c r="J111591"/>
    </row>
    <row r="111592" spans="10:10" x14ac:dyDescent="0.3">
      <c r="J111592"/>
    </row>
    <row r="111593" spans="10:10" x14ac:dyDescent="0.3">
      <c r="J111593"/>
    </row>
    <row r="111594" spans="10:10" x14ac:dyDescent="0.3">
      <c r="J111594"/>
    </row>
    <row r="111595" spans="10:10" x14ac:dyDescent="0.3">
      <c r="J111595"/>
    </row>
    <row r="111596" spans="10:10" x14ac:dyDescent="0.3">
      <c r="J111596"/>
    </row>
    <row r="111597" spans="10:10" x14ac:dyDescent="0.3">
      <c r="J111597"/>
    </row>
    <row r="111598" spans="10:10" x14ac:dyDescent="0.3">
      <c r="J111598"/>
    </row>
    <row r="111599" spans="10:10" x14ac:dyDescent="0.3">
      <c r="J111599"/>
    </row>
    <row r="111600" spans="10:10" x14ac:dyDescent="0.3">
      <c r="J111600"/>
    </row>
    <row r="111601" spans="10:10" x14ac:dyDescent="0.3">
      <c r="J111601"/>
    </row>
    <row r="111602" spans="10:10" x14ac:dyDescent="0.3">
      <c r="J111602"/>
    </row>
    <row r="111603" spans="10:10" x14ac:dyDescent="0.3">
      <c r="J111603"/>
    </row>
    <row r="111604" spans="10:10" x14ac:dyDescent="0.3">
      <c r="J111604"/>
    </row>
    <row r="111605" spans="10:10" x14ac:dyDescent="0.3">
      <c r="J111605"/>
    </row>
    <row r="111606" spans="10:10" x14ac:dyDescent="0.3">
      <c r="J111606"/>
    </row>
    <row r="111607" spans="10:10" x14ac:dyDescent="0.3">
      <c r="J111607"/>
    </row>
    <row r="111608" spans="10:10" x14ac:dyDescent="0.3">
      <c r="J111608"/>
    </row>
    <row r="111609" spans="10:10" x14ac:dyDescent="0.3">
      <c r="J111609"/>
    </row>
    <row r="111610" spans="10:10" x14ac:dyDescent="0.3">
      <c r="J111610"/>
    </row>
    <row r="111611" spans="10:10" x14ac:dyDescent="0.3">
      <c r="J111611"/>
    </row>
    <row r="111612" spans="10:10" x14ac:dyDescent="0.3">
      <c r="J111612"/>
    </row>
    <row r="111613" spans="10:10" x14ac:dyDescent="0.3">
      <c r="J111613"/>
    </row>
    <row r="111614" spans="10:10" x14ac:dyDescent="0.3">
      <c r="J111614"/>
    </row>
    <row r="111615" spans="10:10" x14ac:dyDescent="0.3">
      <c r="J111615"/>
    </row>
    <row r="111616" spans="10:10" x14ac:dyDescent="0.3">
      <c r="J111616"/>
    </row>
    <row r="111617" spans="10:10" x14ac:dyDescent="0.3">
      <c r="J111617"/>
    </row>
    <row r="111618" spans="10:10" x14ac:dyDescent="0.3">
      <c r="J111618"/>
    </row>
    <row r="111619" spans="10:10" x14ac:dyDescent="0.3">
      <c r="J111619"/>
    </row>
    <row r="111620" spans="10:10" x14ac:dyDescent="0.3">
      <c r="J111620"/>
    </row>
    <row r="111621" spans="10:10" x14ac:dyDescent="0.3">
      <c r="J111621"/>
    </row>
    <row r="111622" spans="10:10" x14ac:dyDescent="0.3">
      <c r="J111622"/>
    </row>
    <row r="111623" spans="10:10" x14ac:dyDescent="0.3">
      <c r="J111623"/>
    </row>
    <row r="111624" spans="10:10" x14ac:dyDescent="0.3">
      <c r="J111624"/>
    </row>
    <row r="111625" spans="10:10" x14ac:dyDescent="0.3">
      <c r="J111625"/>
    </row>
    <row r="111626" spans="10:10" x14ac:dyDescent="0.3">
      <c r="J111626"/>
    </row>
    <row r="111627" spans="10:10" x14ac:dyDescent="0.3">
      <c r="J111627"/>
    </row>
    <row r="111628" spans="10:10" x14ac:dyDescent="0.3">
      <c r="J111628"/>
    </row>
    <row r="111629" spans="10:10" x14ac:dyDescent="0.3">
      <c r="J111629"/>
    </row>
    <row r="111630" spans="10:10" x14ac:dyDescent="0.3">
      <c r="J111630"/>
    </row>
    <row r="111631" spans="10:10" x14ac:dyDescent="0.3">
      <c r="J111631"/>
    </row>
    <row r="111632" spans="10:10" x14ac:dyDescent="0.3">
      <c r="J111632"/>
    </row>
    <row r="111633" spans="10:10" x14ac:dyDescent="0.3">
      <c r="J111633"/>
    </row>
    <row r="111634" spans="10:10" x14ac:dyDescent="0.3">
      <c r="J111634"/>
    </row>
    <row r="111635" spans="10:10" x14ac:dyDescent="0.3">
      <c r="J111635"/>
    </row>
    <row r="111636" spans="10:10" x14ac:dyDescent="0.3">
      <c r="J111636"/>
    </row>
    <row r="111637" spans="10:10" x14ac:dyDescent="0.3">
      <c r="J111637"/>
    </row>
    <row r="111638" spans="10:10" x14ac:dyDescent="0.3">
      <c r="J111638"/>
    </row>
    <row r="111639" spans="10:10" x14ac:dyDescent="0.3">
      <c r="J111639"/>
    </row>
    <row r="111640" spans="10:10" x14ac:dyDescent="0.3">
      <c r="J111640"/>
    </row>
    <row r="111641" spans="10:10" x14ac:dyDescent="0.3">
      <c r="J111641"/>
    </row>
    <row r="111642" spans="10:10" x14ac:dyDescent="0.3">
      <c r="J111642"/>
    </row>
    <row r="111643" spans="10:10" x14ac:dyDescent="0.3">
      <c r="J111643"/>
    </row>
    <row r="111644" spans="10:10" x14ac:dyDescent="0.3">
      <c r="J111644"/>
    </row>
    <row r="111645" spans="10:10" x14ac:dyDescent="0.3">
      <c r="J111645"/>
    </row>
    <row r="111646" spans="10:10" x14ac:dyDescent="0.3">
      <c r="J111646"/>
    </row>
    <row r="111647" spans="10:10" x14ac:dyDescent="0.3">
      <c r="J111647"/>
    </row>
    <row r="111648" spans="10:10" x14ac:dyDescent="0.3">
      <c r="J111648"/>
    </row>
    <row r="111649" spans="10:10" x14ac:dyDescent="0.3">
      <c r="J111649"/>
    </row>
    <row r="111650" spans="10:10" x14ac:dyDescent="0.3">
      <c r="J111650"/>
    </row>
    <row r="111651" spans="10:10" x14ac:dyDescent="0.3">
      <c r="J111651"/>
    </row>
    <row r="111652" spans="10:10" x14ac:dyDescent="0.3">
      <c r="J111652"/>
    </row>
    <row r="111653" spans="10:10" x14ac:dyDescent="0.3">
      <c r="J111653"/>
    </row>
    <row r="111654" spans="10:10" x14ac:dyDescent="0.3">
      <c r="J111654"/>
    </row>
    <row r="111655" spans="10:10" x14ac:dyDescent="0.3">
      <c r="J111655"/>
    </row>
    <row r="111656" spans="10:10" x14ac:dyDescent="0.3">
      <c r="J111656"/>
    </row>
    <row r="111657" spans="10:10" x14ac:dyDescent="0.3">
      <c r="J111657"/>
    </row>
    <row r="111658" spans="10:10" x14ac:dyDescent="0.3">
      <c r="J111658"/>
    </row>
    <row r="111659" spans="10:10" x14ac:dyDescent="0.3">
      <c r="J111659"/>
    </row>
    <row r="111660" spans="10:10" x14ac:dyDescent="0.3">
      <c r="J111660"/>
    </row>
    <row r="111661" spans="10:10" x14ac:dyDescent="0.3">
      <c r="J111661"/>
    </row>
    <row r="111662" spans="10:10" x14ac:dyDescent="0.3">
      <c r="J111662"/>
    </row>
    <row r="111663" spans="10:10" x14ac:dyDescent="0.3">
      <c r="J111663"/>
    </row>
    <row r="111664" spans="10:10" x14ac:dyDescent="0.3">
      <c r="J111664"/>
    </row>
    <row r="111665" spans="10:10" x14ac:dyDescent="0.3">
      <c r="J111665"/>
    </row>
    <row r="111666" spans="10:10" x14ac:dyDescent="0.3">
      <c r="J111666"/>
    </row>
    <row r="111667" spans="10:10" x14ac:dyDescent="0.3">
      <c r="J111667"/>
    </row>
    <row r="111668" spans="10:10" x14ac:dyDescent="0.3">
      <c r="J111668"/>
    </row>
    <row r="111669" spans="10:10" x14ac:dyDescent="0.3">
      <c r="J111669"/>
    </row>
    <row r="111670" spans="10:10" x14ac:dyDescent="0.3">
      <c r="J111670"/>
    </row>
    <row r="111671" spans="10:10" x14ac:dyDescent="0.3">
      <c r="J111671"/>
    </row>
    <row r="111672" spans="10:10" x14ac:dyDescent="0.3">
      <c r="J111672"/>
    </row>
    <row r="111673" spans="10:10" x14ac:dyDescent="0.3">
      <c r="J111673"/>
    </row>
    <row r="111674" spans="10:10" x14ac:dyDescent="0.3">
      <c r="J111674"/>
    </row>
    <row r="111675" spans="10:10" x14ac:dyDescent="0.3">
      <c r="J111675"/>
    </row>
    <row r="111676" spans="10:10" x14ac:dyDescent="0.3">
      <c r="J111676"/>
    </row>
    <row r="111677" spans="10:10" x14ac:dyDescent="0.3">
      <c r="J111677"/>
    </row>
    <row r="111678" spans="10:10" x14ac:dyDescent="0.3">
      <c r="J111678"/>
    </row>
    <row r="111679" spans="10:10" x14ac:dyDescent="0.3">
      <c r="J111679"/>
    </row>
    <row r="111680" spans="10:10" x14ac:dyDescent="0.3">
      <c r="J111680"/>
    </row>
    <row r="111681" spans="10:10" x14ac:dyDescent="0.3">
      <c r="J111681"/>
    </row>
    <row r="111682" spans="10:10" x14ac:dyDescent="0.3">
      <c r="J111682"/>
    </row>
    <row r="111683" spans="10:10" x14ac:dyDescent="0.3">
      <c r="J111683"/>
    </row>
    <row r="111684" spans="10:10" x14ac:dyDescent="0.3">
      <c r="J111684"/>
    </row>
    <row r="111685" spans="10:10" x14ac:dyDescent="0.3">
      <c r="J111685"/>
    </row>
    <row r="111686" spans="10:10" x14ac:dyDescent="0.3">
      <c r="J111686"/>
    </row>
    <row r="111687" spans="10:10" x14ac:dyDescent="0.3">
      <c r="J111687"/>
    </row>
    <row r="111688" spans="10:10" x14ac:dyDescent="0.3">
      <c r="J111688"/>
    </row>
    <row r="111689" spans="10:10" x14ac:dyDescent="0.3">
      <c r="J111689"/>
    </row>
    <row r="111690" spans="10:10" x14ac:dyDescent="0.3">
      <c r="J111690"/>
    </row>
    <row r="111691" spans="10:10" x14ac:dyDescent="0.3">
      <c r="J111691"/>
    </row>
    <row r="111692" spans="10:10" x14ac:dyDescent="0.3">
      <c r="J111692"/>
    </row>
    <row r="111693" spans="10:10" x14ac:dyDescent="0.3">
      <c r="J111693"/>
    </row>
    <row r="111694" spans="10:10" x14ac:dyDescent="0.3">
      <c r="J111694"/>
    </row>
    <row r="111695" spans="10:10" x14ac:dyDescent="0.3">
      <c r="J111695"/>
    </row>
    <row r="111696" spans="10:10" x14ac:dyDescent="0.3">
      <c r="J111696"/>
    </row>
    <row r="111697" spans="10:10" x14ac:dyDescent="0.3">
      <c r="J111697"/>
    </row>
    <row r="111698" spans="10:10" x14ac:dyDescent="0.3">
      <c r="J111698"/>
    </row>
    <row r="111699" spans="10:10" x14ac:dyDescent="0.3">
      <c r="J111699"/>
    </row>
    <row r="111700" spans="10:10" x14ac:dyDescent="0.3">
      <c r="J111700"/>
    </row>
    <row r="111701" spans="10:10" x14ac:dyDescent="0.3">
      <c r="J111701"/>
    </row>
    <row r="111702" spans="10:10" x14ac:dyDescent="0.3">
      <c r="J111702"/>
    </row>
    <row r="111703" spans="10:10" x14ac:dyDescent="0.3">
      <c r="J111703"/>
    </row>
    <row r="111704" spans="10:10" x14ac:dyDescent="0.3">
      <c r="J111704"/>
    </row>
    <row r="111705" spans="10:10" x14ac:dyDescent="0.3">
      <c r="J111705"/>
    </row>
    <row r="111706" spans="10:10" x14ac:dyDescent="0.3">
      <c r="J111706"/>
    </row>
    <row r="111707" spans="10:10" x14ac:dyDescent="0.3">
      <c r="J111707"/>
    </row>
    <row r="111708" spans="10:10" x14ac:dyDescent="0.3">
      <c r="J111708"/>
    </row>
    <row r="111709" spans="10:10" x14ac:dyDescent="0.3">
      <c r="J111709"/>
    </row>
    <row r="111710" spans="10:10" x14ac:dyDescent="0.3">
      <c r="J111710"/>
    </row>
    <row r="111711" spans="10:10" x14ac:dyDescent="0.3">
      <c r="J111711"/>
    </row>
    <row r="111712" spans="10:10" x14ac:dyDescent="0.3">
      <c r="J111712"/>
    </row>
    <row r="111713" spans="10:10" x14ac:dyDescent="0.3">
      <c r="J111713"/>
    </row>
    <row r="111714" spans="10:10" x14ac:dyDescent="0.3">
      <c r="J111714"/>
    </row>
    <row r="111715" spans="10:10" x14ac:dyDescent="0.3">
      <c r="J111715"/>
    </row>
    <row r="111716" spans="10:10" x14ac:dyDescent="0.3">
      <c r="J111716"/>
    </row>
    <row r="111717" spans="10:10" x14ac:dyDescent="0.3">
      <c r="J111717"/>
    </row>
    <row r="111718" spans="10:10" x14ac:dyDescent="0.3">
      <c r="J111718"/>
    </row>
    <row r="111719" spans="10:10" x14ac:dyDescent="0.3">
      <c r="J111719"/>
    </row>
    <row r="111720" spans="10:10" x14ac:dyDescent="0.3">
      <c r="J111720"/>
    </row>
    <row r="111721" spans="10:10" x14ac:dyDescent="0.3">
      <c r="J111721"/>
    </row>
    <row r="111722" spans="10:10" x14ac:dyDescent="0.3">
      <c r="J111722"/>
    </row>
    <row r="111723" spans="10:10" x14ac:dyDescent="0.3">
      <c r="J111723"/>
    </row>
    <row r="111724" spans="10:10" x14ac:dyDescent="0.3">
      <c r="J111724"/>
    </row>
    <row r="111725" spans="10:10" x14ac:dyDescent="0.3">
      <c r="J111725"/>
    </row>
    <row r="111726" spans="10:10" x14ac:dyDescent="0.3">
      <c r="J111726"/>
    </row>
    <row r="111727" spans="10:10" x14ac:dyDescent="0.3">
      <c r="J111727"/>
    </row>
    <row r="111728" spans="10:10" x14ac:dyDescent="0.3">
      <c r="J111728"/>
    </row>
    <row r="111729" spans="10:10" x14ac:dyDescent="0.3">
      <c r="J111729"/>
    </row>
    <row r="111730" spans="10:10" x14ac:dyDescent="0.3">
      <c r="J111730"/>
    </row>
    <row r="111731" spans="10:10" x14ac:dyDescent="0.3">
      <c r="J111731"/>
    </row>
    <row r="111732" spans="10:10" x14ac:dyDescent="0.3">
      <c r="J111732"/>
    </row>
    <row r="111733" spans="10:10" x14ac:dyDescent="0.3">
      <c r="J111733"/>
    </row>
    <row r="111734" spans="10:10" x14ac:dyDescent="0.3">
      <c r="J111734"/>
    </row>
    <row r="111735" spans="10:10" x14ac:dyDescent="0.3">
      <c r="J111735"/>
    </row>
    <row r="111736" spans="10:10" x14ac:dyDescent="0.3">
      <c r="J111736"/>
    </row>
    <row r="111737" spans="10:10" x14ac:dyDescent="0.3">
      <c r="J111737"/>
    </row>
    <row r="111738" spans="10:10" x14ac:dyDescent="0.3">
      <c r="J111738"/>
    </row>
    <row r="111739" spans="10:10" x14ac:dyDescent="0.3">
      <c r="J111739"/>
    </row>
    <row r="111740" spans="10:10" x14ac:dyDescent="0.3">
      <c r="J111740"/>
    </row>
    <row r="111741" spans="10:10" x14ac:dyDescent="0.3">
      <c r="J111741"/>
    </row>
    <row r="111742" spans="10:10" x14ac:dyDescent="0.3">
      <c r="J111742"/>
    </row>
    <row r="111743" spans="10:10" x14ac:dyDescent="0.3">
      <c r="J111743"/>
    </row>
    <row r="111744" spans="10:10" x14ac:dyDescent="0.3">
      <c r="J111744"/>
    </row>
    <row r="111745" spans="10:10" x14ac:dyDescent="0.3">
      <c r="J111745"/>
    </row>
    <row r="111746" spans="10:10" x14ac:dyDescent="0.3">
      <c r="J111746"/>
    </row>
    <row r="111747" spans="10:10" x14ac:dyDescent="0.3">
      <c r="J111747"/>
    </row>
    <row r="111748" spans="10:10" x14ac:dyDescent="0.3">
      <c r="J111748"/>
    </row>
    <row r="111749" spans="10:10" x14ac:dyDescent="0.3">
      <c r="J111749"/>
    </row>
    <row r="111750" spans="10:10" x14ac:dyDescent="0.3">
      <c r="J111750"/>
    </row>
    <row r="111751" spans="10:10" x14ac:dyDescent="0.3">
      <c r="J111751"/>
    </row>
    <row r="111752" spans="10:10" x14ac:dyDescent="0.3">
      <c r="J111752"/>
    </row>
    <row r="111753" spans="10:10" x14ac:dyDescent="0.3">
      <c r="J111753"/>
    </row>
    <row r="111754" spans="10:10" x14ac:dyDescent="0.3">
      <c r="J111754"/>
    </row>
    <row r="111755" spans="10:10" x14ac:dyDescent="0.3">
      <c r="J111755"/>
    </row>
    <row r="111756" spans="10:10" x14ac:dyDescent="0.3">
      <c r="J111756"/>
    </row>
    <row r="111757" spans="10:10" x14ac:dyDescent="0.3">
      <c r="J111757"/>
    </row>
    <row r="111758" spans="10:10" x14ac:dyDescent="0.3">
      <c r="J111758"/>
    </row>
    <row r="111759" spans="10:10" x14ac:dyDescent="0.3">
      <c r="J111759"/>
    </row>
    <row r="111760" spans="10:10" x14ac:dyDescent="0.3">
      <c r="J111760"/>
    </row>
    <row r="111761" spans="10:10" x14ac:dyDescent="0.3">
      <c r="J111761"/>
    </row>
    <row r="111762" spans="10:10" x14ac:dyDescent="0.3">
      <c r="J111762"/>
    </row>
    <row r="111763" spans="10:10" x14ac:dyDescent="0.3">
      <c r="J111763"/>
    </row>
    <row r="111764" spans="10:10" x14ac:dyDescent="0.3">
      <c r="J111764"/>
    </row>
    <row r="111765" spans="10:10" x14ac:dyDescent="0.3">
      <c r="J111765"/>
    </row>
    <row r="111766" spans="10:10" x14ac:dyDescent="0.3">
      <c r="J111766"/>
    </row>
    <row r="111767" spans="10:10" x14ac:dyDescent="0.3">
      <c r="J111767"/>
    </row>
    <row r="111768" spans="10:10" x14ac:dyDescent="0.3">
      <c r="J111768"/>
    </row>
    <row r="111769" spans="10:10" x14ac:dyDescent="0.3">
      <c r="J111769"/>
    </row>
    <row r="111770" spans="10:10" x14ac:dyDescent="0.3">
      <c r="J111770"/>
    </row>
    <row r="111771" spans="10:10" x14ac:dyDescent="0.3">
      <c r="J111771"/>
    </row>
    <row r="111772" spans="10:10" x14ac:dyDescent="0.3">
      <c r="J111772"/>
    </row>
    <row r="111773" spans="10:10" x14ac:dyDescent="0.3">
      <c r="J111773"/>
    </row>
    <row r="111774" spans="10:10" x14ac:dyDescent="0.3">
      <c r="J111774"/>
    </row>
    <row r="111775" spans="10:10" x14ac:dyDescent="0.3">
      <c r="J111775"/>
    </row>
    <row r="111776" spans="10:10" x14ac:dyDescent="0.3">
      <c r="J111776"/>
    </row>
    <row r="111777" spans="10:10" x14ac:dyDescent="0.3">
      <c r="J111777"/>
    </row>
    <row r="111778" spans="10:10" x14ac:dyDescent="0.3">
      <c r="J111778"/>
    </row>
    <row r="111779" spans="10:10" x14ac:dyDescent="0.3">
      <c r="J111779"/>
    </row>
    <row r="111780" spans="10:10" x14ac:dyDescent="0.3">
      <c r="J111780"/>
    </row>
    <row r="111781" spans="10:10" x14ac:dyDescent="0.3">
      <c r="J111781"/>
    </row>
    <row r="111782" spans="10:10" x14ac:dyDescent="0.3">
      <c r="J111782"/>
    </row>
    <row r="111783" spans="10:10" x14ac:dyDescent="0.3">
      <c r="J111783"/>
    </row>
    <row r="111784" spans="10:10" x14ac:dyDescent="0.3">
      <c r="J111784"/>
    </row>
    <row r="111785" spans="10:10" x14ac:dyDescent="0.3">
      <c r="J111785"/>
    </row>
    <row r="111786" spans="10:10" x14ac:dyDescent="0.3">
      <c r="J111786"/>
    </row>
    <row r="111787" spans="10:10" x14ac:dyDescent="0.3">
      <c r="J111787"/>
    </row>
    <row r="111788" spans="10:10" x14ac:dyDescent="0.3">
      <c r="J111788"/>
    </row>
    <row r="111789" spans="10:10" x14ac:dyDescent="0.3">
      <c r="J111789"/>
    </row>
    <row r="111790" spans="10:10" x14ac:dyDescent="0.3">
      <c r="J111790"/>
    </row>
    <row r="111791" spans="10:10" x14ac:dyDescent="0.3">
      <c r="J111791"/>
    </row>
    <row r="111792" spans="10:10" x14ac:dyDescent="0.3">
      <c r="J111792"/>
    </row>
    <row r="111793" spans="10:10" x14ac:dyDescent="0.3">
      <c r="J111793"/>
    </row>
    <row r="111794" spans="10:10" x14ac:dyDescent="0.3">
      <c r="J111794"/>
    </row>
    <row r="111795" spans="10:10" x14ac:dyDescent="0.3">
      <c r="J111795"/>
    </row>
    <row r="111796" spans="10:10" x14ac:dyDescent="0.3">
      <c r="J111796"/>
    </row>
    <row r="111797" spans="10:10" x14ac:dyDescent="0.3">
      <c r="J111797"/>
    </row>
    <row r="111798" spans="10:10" x14ac:dyDescent="0.3">
      <c r="J111798"/>
    </row>
    <row r="111799" spans="10:10" x14ac:dyDescent="0.3">
      <c r="J111799"/>
    </row>
    <row r="111800" spans="10:10" x14ac:dyDescent="0.3">
      <c r="J111800"/>
    </row>
    <row r="111801" spans="10:10" x14ac:dyDescent="0.3">
      <c r="J111801"/>
    </row>
    <row r="111802" spans="10:10" x14ac:dyDescent="0.3">
      <c r="J111802"/>
    </row>
    <row r="111803" spans="10:10" x14ac:dyDescent="0.3">
      <c r="J111803"/>
    </row>
    <row r="111804" spans="10:10" x14ac:dyDescent="0.3">
      <c r="J111804"/>
    </row>
    <row r="111805" spans="10:10" x14ac:dyDescent="0.3">
      <c r="J111805"/>
    </row>
    <row r="111806" spans="10:10" x14ac:dyDescent="0.3">
      <c r="J111806"/>
    </row>
    <row r="111807" spans="10:10" x14ac:dyDescent="0.3">
      <c r="J111807"/>
    </row>
    <row r="111808" spans="10:10" x14ac:dyDescent="0.3">
      <c r="J111808"/>
    </row>
    <row r="111809" spans="10:10" x14ac:dyDescent="0.3">
      <c r="J111809"/>
    </row>
    <row r="111810" spans="10:10" x14ac:dyDescent="0.3">
      <c r="J111810"/>
    </row>
    <row r="111811" spans="10:10" x14ac:dyDescent="0.3">
      <c r="J111811"/>
    </row>
    <row r="111812" spans="10:10" x14ac:dyDescent="0.3">
      <c r="J111812"/>
    </row>
    <row r="111813" spans="10:10" x14ac:dyDescent="0.3">
      <c r="J111813"/>
    </row>
    <row r="111814" spans="10:10" x14ac:dyDescent="0.3">
      <c r="J111814"/>
    </row>
    <row r="111815" spans="10:10" x14ac:dyDescent="0.3">
      <c r="J111815"/>
    </row>
    <row r="111816" spans="10:10" x14ac:dyDescent="0.3">
      <c r="J111816"/>
    </row>
    <row r="111817" spans="10:10" x14ac:dyDescent="0.3">
      <c r="J111817"/>
    </row>
    <row r="111818" spans="10:10" x14ac:dyDescent="0.3">
      <c r="J111818"/>
    </row>
    <row r="111819" spans="10:10" x14ac:dyDescent="0.3">
      <c r="J111819"/>
    </row>
    <row r="111820" spans="10:10" x14ac:dyDescent="0.3">
      <c r="J111820"/>
    </row>
    <row r="111821" spans="10:10" x14ac:dyDescent="0.3">
      <c r="J111821"/>
    </row>
    <row r="111822" spans="10:10" x14ac:dyDescent="0.3">
      <c r="J111822"/>
    </row>
    <row r="111823" spans="10:10" x14ac:dyDescent="0.3">
      <c r="J111823"/>
    </row>
    <row r="111824" spans="10:10" x14ac:dyDescent="0.3">
      <c r="J111824"/>
    </row>
    <row r="111825" spans="10:10" x14ac:dyDescent="0.3">
      <c r="J111825"/>
    </row>
    <row r="111826" spans="10:10" x14ac:dyDescent="0.3">
      <c r="J111826"/>
    </row>
    <row r="111827" spans="10:10" x14ac:dyDescent="0.3">
      <c r="J111827"/>
    </row>
    <row r="111828" spans="10:10" x14ac:dyDescent="0.3">
      <c r="J111828"/>
    </row>
    <row r="111829" spans="10:10" x14ac:dyDescent="0.3">
      <c r="J111829"/>
    </row>
    <row r="111830" spans="10:10" x14ac:dyDescent="0.3">
      <c r="J111830"/>
    </row>
    <row r="111831" spans="10:10" x14ac:dyDescent="0.3">
      <c r="J111831"/>
    </row>
    <row r="111832" spans="10:10" x14ac:dyDescent="0.3">
      <c r="J111832"/>
    </row>
    <row r="111833" spans="10:10" x14ac:dyDescent="0.3">
      <c r="J111833"/>
    </row>
    <row r="111834" spans="10:10" x14ac:dyDescent="0.3">
      <c r="J111834"/>
    </row>
    <row r="111835" spans="10:10" x14ac:dyDescent="0.3">
      <c r="J111835"/>
    </row>
    <row r="111836" spans="10:10" x14ac:dyDescent="0.3">
      <c r="J111836"/>
    </row>
    <row r="111837" spans="10:10" x14ac:dyDescent="0.3">
      <c r="J111837"/>
    </row>
    <row r="111838" spans="10:10" x14ac:dyDescent="0.3">
      <c r="J111838"/>
    </row>
    <row r="111839" spans="10:10" x14ac:dyDescent="0.3">
      <c r="J111839"/>
    </row>
    <row r="111840" spans="10:10" x14ac:dyDescent="0.3">
      <c r="J111840"/>
    </row>
    <row r="111841" spans="10:10" x14ac:dyDescent="0.3">
      <c r="J111841"/>
    </row>
    <row r="111842" spans="10:10" x14ac:dyDescent="0.3">
      <c r="J111842"/>
    </row>
    <row r="111843" spans="10:10" x14ac:dyDescent="0.3">
      <c r="J111843"/>
    </row>
    <row r="111844" spans="10:10" x14ac:dyDescent="0.3">
      <c r="J111844"/>
    </row>
    <row r="111845" spans="10:10" x14ac:dyDescent="0.3">
      <c r="J111845"/>
    </row>
    <row r="111846" spans="10:10" x14ac:dyDescent="0.3">
      <c r="J111846"/>
    </row>
    <row r="111847" spans="10:10" x14ac:dyDescent="0.3">
      <c r="J111847"/>
    </row>
    <row r="111848" spans="10:10" x14ac:dyDescent="0.3">
      <c r="J111848"/>
    </row>
    <row r="111849" spans="10:10" x14ac:dyDescent="0.3">
      <c r="J111849"/>
    </row>
    <row r="111850" spans="10:10" x14ac:dyDescent="0.3">
      <c r="J111850"/>
    </row>
    <row r="111851" spans="10:10" x14ac:dyDescent="0.3">
      <c r="J111851"/>
    </row>
    <row r="111852" spans="10:10" x14ac:dyDescent="0.3">
      <c r="J111852"/>
    </row>
    <row r="111853" spans="10:10" x14ac:dyDescent="0.3">
      <c r="J111853"/>
    </row>
    <row r="111854" spans="10:10" x14ac:dyDescent="0.3">
      <c r="J111854"/>
    </row>
    <row r="111855" spans="10:10" x14ac:dyDescent="0.3">
      <c r="J111855"/>
    </row>
    <row r="111856" spans="10:10" x14ac:dyDescent="0.3">
      <c r="J111856"/>
    </row>
    <row r="111857" spans="10:10" x14ac:dyDescent="0.3">
      <c r="J111857"/>
    </row>
    <row r="111858" spans="10:10" x14ac:dyDescent="0.3">
      <c r="J111858"/>
    </row>
    <row r="111859" spans="10:10" x14ac:dyDescent="0.3">
      <c r="J111859"/>
    </row>
    <row r="111860" spans="10:10" x14ac:dyDescent="0.3">
      <c r="J111860"/>
    </row>
    <row r="111861" spans="10:10" x14ac:dyDescent="0.3">
      <c r="J111861"/>
    </row>
    <row r="111862" spans="10:10" x14ac:dyDescent="0.3">
      <c r="J111862"/>
    </row>
    <row r="111863" spans="10:10" x14ac:dyDescent="0.3">
      <c r="J111863"/>
    </row>
    <row r="111864" spans="10:10" x14ac:dyDescent="0.3">
      <c r="J111864"/>
    </row>
    <row r="111865" spans="10:10" x14ac:dyDescent="0.3">
      <c r="J111865"/>
    </row>
    <row r="111866" spans="10:10" x14ac:dyDescent="0.3">
      <c r="J111866"/>
    </row>
    <row r="111867" spans="10:10" x14ac:dyDescent="0.3">
      <c r="J111867"/>
    </row>
    <row r="111868" spans="10:10" x14ac:dyDescent="0.3">
      <c r="J111868"/>
    </row>
    <row r="111869" spans="10:10" x14ac:dyDescent="0.3">
      <c r="J111869"/>
    </row>
    <row r="111870" spans="10:10" x14ac:dyDescent="0.3">
      <c r="J111870"/>
    </row>
    <row r="111871" spans="10:10" x14ac:dyDescent="0.3">
      <c r="J111871"/>
    </row>
    <row r="111872" spans="10:10" x14ac:dyDescent="0.3">
      <c r="J111872"/>
    </row>
    <row r="111873" spans="10:10" x14ac:dyDescent="0.3">
      <c r="J111873"/>
    </row>
    <row r="111874" spans="10:10" x14ac:dyDescent="0.3">
      <c r="J111874"/>
    </row>
    <row r="111875" spans="10:10" x14ac:dyDescent="0.3">
      <c r="J111875"/>
    </row>
    <row r="111876" spans="10:10" x14ac:dyDescent="0.3">
      <c r="J111876"/>
    </row>
    <row r="111877" spans="10:10" x14ac:dyDescent="0.3">
      <c r="J111877"/>
    </row>
    <row r="111878" spans="10:10" x14ac:dyDescent="0.3">
      <c r="J111878"/>
    </row>
    <row r="111879" spans="10:10" x14ac:dyDescent="0.3">
      <c r="J111879"/>
    </row>
    <row r="111880" spans="10:10" x14ac:dyDescent="0.3">
      <c r="J111880"/>
    </row>
    <row r="111881" spans="10:10" x14ac:dyDescent="0.3">
      <c r="J111881"/>
    </row>
    <row r="111882" spans="10:10" x14ac:dyDescent="0.3">
      <c r="J111882"/>
    </row>
    <row r="111883" spans="10:10" x14ac:dyDescent="0.3">
      <c r="J111883"/>
    </row>
    <row r="111884" spans="10:10" x14ac:dyDescent="0.3">
      <c r="J111884"/>
    </row>
    <row r="111885" spans="10:10" x14ac:dyDescent="0.3">
      <c r="J111885"/>
    </row>
    <row r="111886" spans="10:10" x14ac:dyDescent="0.3">
      <c r="J111886"/>
    </row>
    <row r="111887" spans="10:10" x14ac:dyDescent="0.3">
      <c r="J111887"/>
    </row>
    <row r="111888" spans="10:10" x14ac:dyDescent="0.3">
      <c r="J111888"/>
    </row>
    <row r="111889" spans="10:10" x14ac:dyDescent="0.3">
      <c r="J111889"/>
    </row>
    <row r="111890" spans="10:10" x14ac:dyDescent="0.3">
      <c r="J111890"/>
    </row>
    <row r="111891" spans="10:10" x14ac:dyDescent="0.3">
      <c r="J111891"/>
    </row>
    <row r="111892" spans="10:10" x14ac:dyDescent="0.3">
      <c r="J111892"/>
    </row>
    <row r="111893" spans="10:10" x14ac:dyDescent="0.3">
      <c r="J111893"/>
    </row>
    <row r="111894" spans="10:10" x14ac:dyDescent="0.3">
      <c r="J111894"/>
    </row>
    <row r="111895" spans="10:10" x14ac:dyDescent="0.3">
      <c r="J111895"/>
    </row>
    <row r="111896" spans="10:10" x14ac:dyDescent="0.3">
      <c r="J111896"/>
    </row>
    <row r="111897" spans="10:10" x14ac:dyDescent="0.3">
      <c r="J111897"/>
    </row>
    <row r="111898" spans="10:10" x14ac:dyDescent="0.3">
      <c r="J111898"/>
    </row>
    <row r="111899" spans="10:10" x14ac:dyDescent="0.3">
      <c r="J111899"/>
    </row>
    <row r="111900" spans="10:10" x14ac:dyDescent="0.3">
      <c r="J111900"/>
    </row>
    <row r="111901" spans="10:10" x14ac:dyDescent="0.3">
      <c r="J111901"/>
    </row>
    <row r="111902" spans="10:10" x14ac:dyDescent="0.3">
      <c r="J111902"/>
    </row>
    <row r="111903" spans="10:10" x14ac:dyDescent="0.3">
      <c r="J111903"/>
    </row>
    <row r="111904" spans="10:10" x14ac:dyDescent="0.3">
      <c r="J111904"/>
    </row>
    <row r="111905" spans="10:10" x14ac:dyDescent="0.3">
      <c r="J111905"/>
    </row>
    <row r="111906" spans="10:10" x14ac:dyDescent="0.3">
      <c r="J111906"/>
    </row>
    <row r="111907" spans="10:10" x14ac:dyDescent="0.3">
      <c r="J111907"/>
    </row>
    <row r="111908" spans="10:10" x14ac:dyDescent="0.3">
      <c r="J111908"/>
    </row>
    <row r="111909" spans="10:10" x14ac:dyDescent="0.3">
      <c r="J111909"/>
    </row>
    <row r="111910" spans="10:10" x14ac:dyDescent="0.3">
      <c r="J111910"/>
    </row>
    <row r="111911" spans="10:10" x14ac:dyDescent="0.3">
      <c r="J111911"/>
    </row>
    <row r="111912" spans="10:10" x14ac:dyDescent="0.3">
      <c r="J111912"/>
    </row>
    <row r="111913" spans="10:10" x14ac:dyDescent="0.3">
      <c r="J111913"/>
    </row>
    <row r="111914" spans="10:10" x14ac:dyDescent="0.3">
      <c r="J111914"/>
    </row>
    <row r="111915" spans="10:10" x14ac:dyDescent="0.3">
      <c r="J111915"/>
    </row>
    <row r="111916" spans="10:10" x14ac:dyDescent="0.3">
      <c r="J111916"/>
    </row>
    <row r="111917" spans="10:10" x14ac:dyDescent="0.3">
      <c r="J111917"/>
    </row>
    <row r="111918" spans="10:10" x14ac:dyDescent="0.3">
      <c r="J111918"/>
    </row>
    <row r="111919" spans="10:10" x14ac:dyDescent="0.3">
      <c r="J111919"/>
    </row>
    <row r="111920" spans="10:10" x14ac:dyDescent="0.3">
      <c r="J111920"/>
    </row>
    <row r="111921" spans="10:10" x14ac:dyDescent="0.3">
      <c r="J111921"/>
    </row>
    <row r="111922" spans="10:10" x14ac:dyDescent="0.3">
      <c r="J111922"/>
    </row>
    <row r="111923" spans="10:10" x14ac:dyDescent="0.3">
      <c r="J111923"/>
    </row>
    <row r="111924" spans="10:10" x14ac:dyDescent="0.3">
      <c r="J111924"/>
    </row>
    <row r="111925" spans="10:10" x14ac:dyDescent="0.3">
      <c r="J111925"/>
    </row>
    <row r="111926" spans="10:10" x14ac:dyDescent="0.3">
      <c r="J111926"/>
    </row>
    <row r="111927" spans="10:10" x14ac:dyDescent="0.3">
      <c r="J111927"/>
    </row>
    <row r="111928" spans="10:10" x14ac:dyDescent="0.3">
      <c r="J111928"/>
    </row>
    <row r="111929" spans="10:10" x14ac:dyDescent="0.3">
      <c r="J111929"/>
    </row>
    <row r="111930" spans="10:10" x14ac:dyDescent="0.3">
      <c r="J111930"/>
    </row>
    <row r="111931" spans="10:10" x14ac:dyDescent="0.3">
      <c r="J111931"/>
    </row>
    <row r="111932" spans="10:10" x14ac:dyDescent="0.3">
      <c r="J111932"/>
    </row>
    <row r="111933" spans="10:10" x14ac:dyDescent="0.3">
      <c r="J111933"/>
    </row>
    <row r="111934" spans="10:10" x14ac:dyDescent="0.3">
      <c r="J111934"/>
    </row>
    <row r="111935" spans="10:10" x14ac:dyDescent="0.3">
      <c r="J111935"/>
    </row>
    <row r="111936" spans="10:10" x14ac:dyDescent="0.3">
      <c r="J111936"/>
    </row>
    <row r="111937" spans="10:10" x14ac:dyDescent="0.3">
      <c r="J111937"/>
    </row>
    <row r="111938" spans="10:10" x14ac:dyDescent="0.3">
      <c r="J111938"/>
    </row>
    <row r="111939" spans="10:10" x14ac:dyDescent="0.3">
      <c r="J111939"/>
    </row>
    <row r="111940" spans="10:10" x14ac:dyDescent="0.3">
      <c r="J111940"/>
    </row>
    <row r="111941" spans="10:10" x14ac:dyDescent="0.3">
      <c r="J111941"/>
    </row>
    <row r="111942" spans="10:10" x14ac:dyDescent="0.3">
      <c r="J111942"/>
    </row>
    <row r="111943" spans="10:10" x14ac:dyDescent="0.3">
      <c r="J111943"/>
    </row>
    <row r="111944" spans="10:10" x14ac:dyDescent="0.3">
      <c r="J111944"/>
    </row>
    <row r="111945" spans="10:10" x14ac:dyDescent="0.3">
      <c r="J111945"/>
    </row>
    <row r="111946" spans="10:10" x14ac:dyDescent="0.3">
      <c r="J111946"/>
    </row>
    <row r="111947" spans="10:10" x14ac:dyDescent="0.3">
      <c r="J111947"/>
    </row>
    <row r="111948" spans="10:10" x14ac:dyDescent="0.3">
      <c r="J111948"/>
    </row>
    <row r="111949" spans="10:10" x14ac:dyDescent="0.3">
      <c r="J111949"/>
    </row>
    <row r="111950" spans="10:10" x14ac:dyDescent="0.3">
      <c r="J111950"/>
    </row>
    <row r="111951" spans="10:10" x14ac:dyDescent="0.3">
      <c r="J111951"/>
    </row>
    <row r="111952" spans="10:10" x14ac:dyDescent="0.3">
      <c r="J111952"/>
    </row>
    <row r="111953" spans="10:10" x14ac:dyDescent="0.3">
      <c r="J111953"/>
    </row>
    <row r="111954" spans="10:10" x14ac:dyDescent="0.3">
      <c r="J111954"/>
    </row>
    <row r="111955" spans="10:10" x14ac:dyDescent="0.3">
      <c r="J111955"/>
    </row>
    <row r="111956" spans="10:10" x14ac:dyDescent="0.3">
      <c r="J111956"/>
    </row>
    <row r="111957" spans="10:10" x14ac:dyDescent="0.3">
      <c r="J111957"/>
    </row>
    <row r="111958" spans="10:10" x14ac:dyDescent="0.3">
      <c r="J111958"/>
    </row>
    <row r="111959" spans="10:10" x14ac:dyDescent="0.3">
      <c r="J111959"/>
    </row>
    <row r="111960" spans="10:10" x14ac:dyDescent="0.3">
      <c r="J111960"/>
    </row>
    <row r="111961" spans="10:10" x14ac:dyDescent="0.3">
      <c r="J111961"/>
    </row>
    <row r="111962" spans="10:10" x14ac:dyDescent="0.3">
      <c r="J111962"/>
    </row>
    <row r="111963" spans="10:10" x14ac:dyDescent="0.3">
      <c r="J111963"/>
    </row>
    <row r="111964" spans="10:10" x14ac:dyDescent="0.3">
      <c r="J111964"/>
    </row>
    <row r="111965" spans="10:10" x14ac:dyDescent="0.3">
      <c r="J111965"/>
    </row>
    <row r="111966" spans="10:10" x14ac:dyDescent="0.3">
      <c r="J111966"/>
    </row>
    <row r="111967" spans="10:10" x14ac:dyDescent="0.3">
      <c r="J111967"/>
    </row>
    <row r="111968" spans="10:10" x14ac:dyDescent="0.3">
      <c r="J111968"/>
    </row>
    <row r="111969" spans="10:10" x14ac:dyDescent="0.3">
      <c r="J111969"/>
    </row>
    <row r="111970" spans="10:10" x14ac:dyDescent="0.3">
      <c r="J111970"/>
    </row>
    <row r="111971" spans="10:10" x14ac:dyDescent="0.3">
      <c r="J111971"/>
    </row>
    <row r="111972" spans="10:10" x14ac:dyDescent="0.3">
      <c r="J111972"/>
    </row>
    <row r="111973" spans="10:10" x14ac:dyDescent="0.3">
      <c r="J111973"/>
    </row>
    <row r="111974" spans="10:10" x14ac:dyDescent="0.3">
      <c r="J111974"/>
    </row>
    <row r="111975" spans="10:10" x14ac:dyDescent="0.3">
      <c r="J111975"/>
    </row>
    <row r="111976" spans="10:10" x14ac:dyDescent="0.3">
      <c r="J111976"/>
    </row>
    <row r="111977" spans="10:10" x14ac:dyDescent="0.3">
      <c r="J111977"/>
    </row>
    <row r="111978" spans="10:10" x14ac:dyDescent="0.3">
      <c r="J111978"/>
    </row>
    <row r="111979" spans="10:10" x14ac:dyDescent="0.3">
      <c r="J111979"/>
    </row>
    <row r="111980" spans="10:10" x14ac:dyDescent="0.3">
      <c r="J111980"/>
    </row>
    <row r="111981" spans="10:10" x14ac:dyDescent="0.3">
      <c r="J111981"/>
    </row>
    <row r="111982" spans="10:10" x14ac:dyDescent="0.3">
      <c r="J111982"/>
    </row>
    <row r="111983" spans="10:10" x14ac:dyDescent="0.3">
      <c r="J111983"/>
    </row>
    <row r="111984" spans="10:10" x14ac:dyDescent="0.3">
      <c r="J111984"/>
    </row>
    <row r="111985" spans="10:10" x14ac:dyDescent="0.3">
      <c r="J111985"/>
    </row>
    <row r="111986" spans="10:10" x14ac:dyDescent="0.3">
      <c r="J111986"/>
    </row>
    <row r="111987" spans="10:10" x14ac:dyDescent="0.3">
      <c r="J111987"/>
    </row>
    <row r="111988" spans="10:10" x14ac:dyDescent="0.3">
      <c r="J111988"/>
    </row>
    <row r="111989" spans="10:10" x14ac:dyDescent="0.3">
      <c r="J111989"/>
    </row>
    <row r="111990" spans="10:10" x14ac:dyDescent="0.3">
      <c r="J111990"/>
    </row>
    <row r="111991" spans="10:10" x14ac:dyDescent="0.3">
      <c r="J111991"/>
    </row>
    <row r="111992" spans="10:10" x14ac:dyDescent="0.3">
      <c r="J111992"/>
    </row>
    <row r="111993" spans="10:10" x14ac:dyDescent="0.3">
      <c r="J111993"/>
    </row>
    <row r="111994" spans="10:10" x14ac:dyDescent="0.3">
      <c r="J111994"/>
    </row>
    <row r="111995" spans="10:10" x14ac:dyDescent="0.3">
      <c r="J111995"/>
    </row>
    <row r="111996" spans="10:10" x14ac:dyDescent="0.3">
      <c r="J111996"/>
    </row>
    <row r="111997" spans="10:10" x14ac:dyDescent="0.3">
      <c r="J111997"/>
    </row>
    <row r="111998" spans="10:10" x14ac:dyDescent="0.3">
      <c r="J111998"/>
    </row>
    <row r="111999" spans="10:10" x14ac:dyDescent="0.3">
      <c r="J111999"/>
    </row>
    <row r="112000" spans="10:10" x14ac:dyDescent="0.3">
      <c r="J112000"/>
    </row>
    <row r="112001" spans="10:10" x14ac:dyDescent="0.3">
      <c r="J112001"/>
    </row>
    <row r="112002" spans="10:10" x14ac:dyDescent="0.3">
      <c r="J112002"/>
    </row>
    <row r="112003" spans="10:10" x14ac:dyDescent="0.3">
      <c r="J112003"/>
    </row>
    <row r="112004" spans="10:10" x14ac:dyDescent="0.3">
      <c r="J112004"/>
    </row>
    <row r="112005" spans="10:10" x14ac:dyDescent="0.3">
      <c r="J112005"/>
    </row>
    <row r="112006" spans="10:10" x14ac:dyDescent="0.3">
      <c r="J112006"/>
    </row>
    <row r="112007" spans="10:10" x14ac:dyDescent="0.3">
      <c r="J112007"/>
    </row>
    <row r="112008" spans="10:10" x14ac:dyDescent="0.3">
      <c r="J112008"/>
    </row>
    <row r="112009" spans="10:10" x14ac:dyDescent="0.3">
      <c r="J112009"/>
    </row>
    <row r="112010" spans="10:10" x14ac:dyDescent="0.3">
      <c r="J112010"/>
    </row>
    <row r="112011" spans="10:10" x14ac:dyDescent="0.3">
      <c r="J112011"/>
    </row>
    <row r="112012" spans="10:10" x14ac:dyDescent="0.3">
      <c r="J112012"/>
    </row>
    <row r="112013" spans="10:10" x14ac:dyDescent="0.3">
      <c r="J112013"/>
    </row>
    <row r="112014" spans="10:10" x14ac:dyDescent="0.3">
      <c r="J112014"/>
    </row>
    <row r="112015" spans="10:10" x14ac:dyDescent="0.3">
      <c r="J112015"/>
    </row>
    <row r="112016" spans="10:10" x14ac:dyDescent="0.3">
      <c r="J112016"/>
    </row>
    <row r="112017" spans="10:10" x14ac:dyDescent="0.3">
      <c r="J112017"/>
    </row>
    <row r="112018" spans="10:10" x14ac:dyDescent="0.3">
      <c r="J112018"/>
    </row>
    <row r="112019" spans="10:10" x14ac:dyDescent="0.3">
      <c r="J112019"/>
    </row>
    <row r="112020" spans="10:10" x14ac:dyDescent="0.3">
      <c r="J112020"/>
    </row>
    <row r="112021" spans="10:10" x14ac:dyDescent="0.3">
      <c r="J112021"/>
    </row>
    <row r="112022" spans="10:10" x14ac:dyDescent="0.3">
      <c r="J112022"/>
    </row>
    <row r="112023" spans="10:10" x14ac:dyDescent="0.3">
      <c r="J112023"/>
    </row>
    <row r="112024" spans="10:10" x14ac:dyDescent="0.3">
      <c r="J112024"/>
    </row>
    <row r="112025" spans="10:10" x14ac:dyDescent="0.3">
      <c r="J112025"/>
    </row>
    <row r="112026" spans="10:10" x14ac:dyDescent="0.3">
      <c r="J112026"/>
    </row>
    <row r="112027" spans="10:10" x14ac:dyDescent="0.3">
      <c r="J112027"/>
    </row>
    <row r="112028" spans="10:10" x14ac:dyDescent="0.3">
      <c r="J112028"/>
    </row>
    <row r="112029" spans="10:10" x14ac:dyDescent="0.3">
      <c r="J112029"/>
    </row>
    <row r="112030" spans="10:10" x14ac:dyDescent="0.3">
      <c r="J112030"/>
    </row>
    <row r="112031" spans="10:10" x14ac:dyDescent="0.3">
      <c r="J112031"/>
    </row>
    <row r="112032" spans="10:10" x14ac:dyDescent="0.3">
      <c r="J112032"/>
    </row>
    <row r="112033" spans="10:10" x14ac:dyDescent="0.3">
      <c r="J112033"/>
    </row>
    <row r="112034" spans="10:10" x14ac:dyDescent="0.3">
      <c r="J112034"/>
    </row>
    <row r="112035" spans="10:10" x14ac:dyDescent="0.3">
      <c r="J112035"/>
    </row>
    <row r="112036" spans="10:10" x14ac:dyDescent="0.3">
      <c r="J112036"/>
    </row>
    <row r="112037" spans="10:10" x14ac:dyDescent="0.3">
      <c r="J112037"/>
    </row>
    <row r="112038" spans="10:10" x14ac:dyDescent="0.3">
      <c r="J112038"/>
    </row>
    <row r="112039" spans="10:10" x14ac:dyDescent="0.3">
      <c r="J112039"/>
    </row>
    <row r="112040" spans="10:10" x14ac:dyDescent="0.3">
      <c r="J112040"/>
    </row>
    <row r="112041" spans="10:10" x14ac:dyDescent="0.3">
      <c r="J112041"/>
    </row>
    <row r="112042" spans="10:10" x14ac:dyDescent="0.3">
      <c r="J112042"/>
    </row>
    <row r="112043" spans="10:10" x14ac:dyDescent="0.3">
      <c r="J112043"/>
    </row>
    <row r="112044" spans="10:10" x14ac:dyDescent="0.3">
      <c r="J112044"/>
    </row>
    <row r="112045" spans="10:10" x14ac:dyDescent="0.3">
      <c r="J112045"/>
    </row>
    <row r="112046" spans="10:10" x14ac:dyDescent="0.3">
      <c r="J112046"/>
    </row>
    <row r="112047" spans="10:10" x14ac:dyDescent="0.3">
      <c r="J112047"/>
    </row>
    <row r="112048" spans="10:10" x14ac:dyDescent="0.3">
      <c r="J112048"/>
    </row>
    <row r="112049" spans="10:10" x14ac:dyDescent="0.3">
      <c r="J112049"/>
    </row>
    <row r="112050" spans="10:10" x14ac:dyDescent="0.3">
      <c r="J112050"/>
    </row>
    <row r="112051" spans="10:10" x14ac:dyDescent="0.3">
      <c r="J112051"/>
    </row>
    <row r="112052" spans="10:10" x14ac:dyDescent="0.3">
      <c r="J112052"/>
    </row>
    <row r="112053" spans="10:10" x14ac:dyDescent="0.3">
      <c r="J112053"/>
    </row>
    <row r="112054" spans="10:10" x14ac:dyDescent="0.3">
      <c r="J112054"/>
    </row>
    <row r="112055" spans="10:10" x14ac:dyDescent="0.3">
      <c r="J112055"/>
    </row>
    <row r="112056" spans="10:10" x14ac:dyDescent="0.3">
      <c r="J112056"/>
    </row>
    <row r="112057" spans="10:10" x14ac:dyDescent="0.3">
      <c r="J112057"/>
    </row>
    <row r="112058" spans="10:10" x14ac:dyDescent="0.3">
      <c r="J112058"/>
    </row>
    <row r="112059" spans="10:10" x14ac:dyDescent="0.3">
      <c r="J112059"/>
    </row>
    <row r="112060" spans="10:10" x14ac:dyDescent="0.3">
      <c r="J112060"/>
    </row>
    <row r="112061" spans="10:10" x14ac:dyDescent="0.3">
      <c r="J112061"/>
    </row>
    <row r="112062" spans="10:10" x14ac:dyDescent="0.3">
      <c r="J112062"/>
    </row>
    <row r="112063" spans="10:10" x14ac:dyDescent="0.3">
      <c r="J112063"/>
    </row>
    <row r="112064" spans="10:10" x14ac:dyDescent="0.3">
      <c r="J112064"/>
    </row>
    <row r="112065" spans="10:10" x14ac:dyDescent="0.3">
      <c r="J112065"/>
    </row>
    <row r="112066" spans="10:10" x14ac:dyDescent="0.3">
      <c r="J112066"/>
    </row>
    <row r="112067" spans="10:10" x14ac:dyDescent="0.3">
      <c r="J112067"/>
    </row>
    <row r="112068" spans="10:10" x14ac:dyDescent="0.3">
      <c r="J112068"/>
    </row>
    <row r="112069" spans="10:10" x14ac:dyDescent="0.3">
      <c r="J112069"/>
    </row>
    <row r="112070" spans="10:10" x14ac:dyDescent="0.3">
      <c r="J112070"/>
    </row>
    <row r="112071" spans="10:10" x14ac:dyDescent="0.3">
      <c r="J112071"/>
    </row>
    <row r="112072" spans="10:10" x14ac:dyDescent="0.3">
      <c r="J112072"/>
    </row>
    <row r="112073" spans="10:10" x14ac:dyDescent="0.3">
      <c r="J112073"/>
    </row>
    <row r="112074" spans="10:10" x14ac:dyDescent="0.3">
      <c r="J112074"/>
    </row>
    <row r="112075" spans="10:10" x14ac:dyDescent="0.3">
      <c r="J112075"/>
    </row>
    <row r="112076" spans="10:10" x14ac:dyDescent="0.3">
      <c r="J112076"/>
    </row>
    <row r="112077" spans="10:10" x14ac:dyDescent="0.3">
      <c r="J112077"/>
    </row>
    <row r="112078" spans="10:10" x14ac:dyDescent="0.3">
      <c r="J112078"/>
    </row>
    <row r="112079" spans="10:10" x14ac:dyDescent="0.3">
      <c r="J112079"/>
    </row>
    <row r="112080" spans="10:10" x14ac:dyDescent="0.3">
      <c r="J112080"/>
    </row>
    <row r="112081" spans="10:10" x14ac:dyDescent="0.3">
      <c r="J112081"/>
    </row>
    <row r="112082" spans="10:10" x14ac:dyDescent="0.3">
      <c r="J112082"/>
    </row>
    <row r="112083" spans="10:10" x14ac:dyDescent="0.3">
      <c r="J112083"/>
    </row>
    <row r="112084" spans="10:10" x14ac:dyDescent="0.3">
      <c r="J112084"/>
    </row>
    <row r="112085" spans="10:10" x14ac:dyDescent="0.3">
      <c r="J112085"/>
    </row>
    <row r="112086" spans="10:10" x14ac:dyDescent="0.3">
      <c r="J112086"/>
    </row>
    <row r="112087" spans="10:10" x14ac:dyDescent="0.3">
      <c r="J112087"/>
    </row>
    <row r="112088" spans="10:10" x14ac:dyDescent="0.3">
      <c r="J112088"/>
    </row>
    <row r="112089" spans="10:10" x14ac:dyDescent="0.3">
      <c r="J112089"/>
    </row>
    <row r="112090" spans="10:10" x14ac:dyDescent="0.3">
      <c r="J112090"/>
    </row>
    <row r="112091" spans="10:10" x14ac:dyDescent="0.3">
      <c r="J112091"/>
    </row>
    <row r="112092" spans="10:10" x14ac:dyDescent="0.3">
      <c r="J112092"/>
    </row>
    <row r="112093" spans="10:10" x14ac:dyDescent="0.3">
      <c r="J112093"/>
    </row>
    <row r="112094" spans="10:10" x14ac:dyDescent="0.3">
      <c r="J112094"/>
    </row>
    <row r="112095" spans="10:10" x14ac:dyDescent="0.3">
      <c r="J112095"/>
    </row>
    <row r="112096" spans="10:10" x14ac:dyDescent="0.3">
      <c r="J112096"/>
    </row>
    <row r="112097" spans="10:10" x14ac:dyDescent="0.3">
      <c r="J112097"/>
    </row>
    <row r="112098" spans="10:10" x14ac:dyDescent="0.3">
      <c r="J112098"/>
    </row>
    <row r="112099" spans="10:10" x14ac:dyDescent="0.3">
      <c r="J112099"/>
    </row>
    <row r="112100" spans="10:10" x14ac:dyDescent="0.3">
      <c r="J112100"/>
    </row>
    <row r="112101" spans="10:10" x14ac:dyDescent="0.3">
      <c r="J112101"/>
    </row>
    <row r="112102" spans="10:10" x14ac:dyDescent="0.3">
      <c r="J112102"/>
    </row>
    <row r="112103" spans="10:10" x14ac:dyDescent="0.3">
      <c r="J112103"/>
    </row>
    <row r="112104" spans="10:10" x14ac:dyDescent="0.3">
      <c r="J112104"/>
    </row>
    <row r="112105" spans="10:10" x14ac:dyDescent="0.3">
      <c r="J112105"/>
    </row>
    <row r="112106" spans="10:10" x14ac:dyDescent="0.3">
      <c r="J112106"/>
    </row>
    <row r="112107" spans="10:10" x14ac:dyDescent="0.3">
      <c r="J112107"/>
    </row>
    <row r="112108" spans="10:10" x14ac:dyDescent="0.3">
      <c r="J112108"/>
    </row>
    <row r="112109" spans="10:10" x14ac:dyDescent="0.3">
      <c r="J112109"/>
    </row>
    <row r="112110" spans="10:10" x14ac:dyDescent="0.3">
      <c r="J112110"/>
    </row>
    <row r="112111" spans="10:10" x14ac:dyDescent="0.3">
      <c r="J112111"/>
    </row>
    <row r="112112" spans="10:10" x14ac:dyDescent="0.3">
      <c r="J112112"/>
    </row>
    <row r="112113" spans="10:10" x14ac:dyDescent="0.3">
      <c r="J112113"/>
    </row>
    <row r="112114" spans="10:10" x14ac:dyDescent="0.3">
      <c r="J112114"/>
    </row>
    <row r="112115" spans="10:10" x14ac:dyDescent="0.3">
      <c r="J112115"/>
    </row>
    <row r="112116" spans="10:10" x14ac:dyDescent="0.3">
      <c r="J112116"/>
    </row>
    <row r="112117" spans="10:10" x14ac:dyDescent="0.3">
      <c r="J112117"/>
    </row>
    <row r="112118" spans="10:10" x14ac:dyDescent="0.3">
      <c r="J112118"/>
    </row>
    <row r="112119" spans="10:10" x14ac:dyDescent="0.3">
      <c r="J112119"/>
    </row>
    <row r="112120" spans="10:10" x14ac:dyDescent="0.3">
      <c r="J112120"/>
    </row>
    <row r="112121" spans="10:10" x14ac:dyDescent="0.3">
      <c r="J112121"/>
    </row>
    <row r="112122" spans="10:10" x14ac:dyDescent="0.3">
      <c r="J112122"/>
    </row>
    <row r="112123" spans="10:10" x14ac:dyDescent="0.3">
      <c r="J112123"/>
    </row>
    <row r="112124" spans="10:10" x14ac:dyDescent="0.3">
      <c r="J112124"/>
    </row>
    <row r="112125" spans="10:10" x14ac:dyDescent="0.3">
      <c r="J112125"/>
    </row>
    <row r="112126" spans="10:10" x14ac:dyDescent="0.3">
      <c r="J112126"/>
    </row>
    <row r="112127" spans="10:10" x14ac:dyDescent="0.3">
      <c r="J112127"/>
    </row>
    <row r="112128" spans="10:10" x14ac:dyDescent="0.3">
      <c r="J112128"/>
    </row>
    <row r="112129" spans="10:10" x14ac:dyDescent="0.3">
      <c r="J112129"/>
    </row>
    <row r="112130" spans="10:10" x14ac:dyDescent="0.3">
      <c r="J112130"/>
    </row>
    <row r="112131" spans="10:10" x14ac:dyDescent="0.3">
      <c r="J112131"/>
    </row>
    <row r="112132" spans="10:10" x14ac:dyDescent="0.3">
      <c r="J112132"/>
    </row>
    <row r="112133" spans="10:10" x14ac:dyDescent="0.3">
      <c r="J112133"/>
    </row>
    <row r="112134" spans="10:10" x14ac:dyDescent="0.3">
      <c r="J112134"/>
    </row>
    <row r="112135" spans="10:10" x14ac:dyDescent="0.3">
      <c r="J112135"/>
    </row>
    <row r="112136" spans="10:10" x14ac:dyDescent="0.3">
      <c r="J112136"/>
    </row>
    <row r="112137" spans="10:10" x14ac:dyDescent="0.3">
      <c r="J112137"/>
    </row>
    <row r="112138" spans="10:10" x14ac:dyDescent="0.3">
      <c r="J112138"/>
    </row>
    <row r="112139" spans="10:10" x14ac:dyDescent="0.3">
      <c r="J112139"/>
    </row>
    <row r="112140" spans="10:10" x14ac:dyDescent="0.3">
      <c r="J112140"/>
    </row>
    <row r="112141" spans="10:10" x14ac:dyDescent="0.3">
      <c r="J112141"/>
    </row>
    <row r="112142" spans="10:10" x14ac:dyDescent="0.3">
      <c r="J112142"/>
    </row>
    <row r="112143" spans="10:10" x14ac:dyDescent="0.3">
      <c r="J112143"/>
    </row>
    <row r="112144" spans="10:10" x14ac:dyDescent="0.3">
      <c r="J112144"/>
    </row>
    <row r="112145" spans="10:10" x14ac:dyDescent="0.3">
      <c r="J112145"/>
    </row>
    <row r="112146" spans="10:10" x14ac:dyDescent="0.3">
      <c r="J112146"/>
    </row>
    <row r="112147" spans="10:10" x14ac:dyDescent="0.3">
      <c r="J112147"/>
    </row>
    <row r="112148" spans="10:10" x14ac:dyDescent="0.3">
      <c r="J112148"/>
    </row>
    <row r="112149" spans="10:10" x14ac:dyDescent="0.3">
      <c r="J112149"/>
    </row>
    <row r="112150" spans="10:10" x14ac:dyDescent="0.3">
      <c r="J112150"/>
    </row>
    <row r="112151" spans="10:10" x14ac:dyDescent="0.3">
      <c r="J112151"/>
    </row>
    <row r="112152" spans="10:10" x14ac:dyDescent="0.3">
      <c r="J112152"/>
    </row>
    <row r="112153" spans="10:10" x14ac:dyDescent="0.3">
      <c r="J112153"/>
    </row>
    <row r="112154" spans="10:10" x14ac:dyDescent="0.3">
      <c r="J112154"/>
    </row>
    <row r="112155" spans="10:10" x14ac:dyDescent="0.3">
      <c r="J112155"/>
    </row>
    <row r="112156" spans="10:10" x14ac:dyDescent="0.3">
      <c r="J112156"/>
    </row>
    <row r="112157" spans="10:10" x14ac:dyDescent="0.3">
      <c r="J112157"/>
    </row>
    <row r="112158" spans="10:10" x14ac:dyDescent="0.3">
      <c r="J112158"/>
    </row>
    <row r="112159" spans="10:10" x14ac:dyDescent="0.3">
      <c r="J112159"/>
    </row>
    <row r="112160" spans="10:10" x14ac:dyDescent="0.3">
      <c r="J112160"/>
    </row>
    <row r="112161" spans="10:10" x14ac:dyDescent="0.3">
      <c r="J112161"/>
    </row>
    <row r="112162" spans="10:10" x14ac:dyDescent="0.3">
      <c r="J112162"/>
    </row>
    <row r="112163" spans="10:10" x14ac:dyDescent="0.3">
      <c r="J112163"/>
    </row>
    <row r="112164" spans="10:10" x14ac:dyDescent="0.3">
      <c r="J112164"/>
    </row>
    <row r="112165" spans="10:10" x14ac:dyDescent="0.3">
      <c r="J112165"/>
    </row>
    <row r="112166" spans="10:10" x14ac:dyDescent="0.3">
      <c r="J112166"/>
    </row>
    <row r="112167" spans="10:10" x14ac:dyDescent="0.3">
      <c r="J112167"/>
    </row>
    <row r="112168" spans="10:10" x14ac:dyDescent="0.3">
      <c r="J112168"/>
    </row>
    <row r="112169" spans="10:10" x14ac:dyDescent="0.3">
      <c r="J112169"/>
    </row>
    <row r="112170" spans="10:10" x14ac:dyDescent="0.3">
      <c r="J112170"/>
    </row>
    <row r="112171" spans="10:10" x14ac:dyDescent="0.3">
      <c r="J112171"/>
    </row>
    <row r="112172" spans="10:10" x14ac:dyDescent="0.3">
      <c r="J112172"/>
    </row>
    <row r="112173" spans="10:10" x14ac:dyDescent="0.3">
      <c r="J112173"/>
    </row>
    <row r="112174" spans="10:10" x14ac:dyDescent="0.3">
      <c r="J112174"/>
    </row>
    <row r="112175" spans="10:10" x14ac:dyDescent="0.3">
      <c r="J112175"/>
    </row>
    <row r="112176" spans="10:10" x14ac:dyDescent="0.3">
      <c r="J112176"/>
    </row>
    <row r="112177" spans="10:10" x14ac:dyDescent="0.3">
      <c r="J112177"/>
    </row>
    <row r="112178" spans="10:10" x14ac:dyDescent="0.3">
      <c r="J112178"/>
    </row>
    <row r="112179" spans="10:10" x14ac:dyDescent="0.3">
      <c r="J112179"/>
    </row>
    <row r="112180" spans="10:10" x14ac:dyDescent="0.3">
      <c r="J112180"/>
    </row>
    <row r="112181" spans="10:10" x14ac:dyDescent="0.3">
      <c r="J112181"/>
    </row>
    <row r="112182" spans="10:10" x14ac:dyDescent="0.3">
      <c r="J112182"/>
    </row>
    <row r="112183" spans="10:10" x14ac:dyDescent="0.3">
      <c r="J112183"/>
    </row>
    <row r="112184" spans="10:10" x14ac:dyDescent="0.3">
      <c r="J112184"/>
    </row>
    <row r="112185" spans="10:10" x14ac:dyDescent="0.3">
      <c r="J112185"/>
    </row>
    <row r="112186" spans="10:10" x14ac:dyDescent="0.3">
      <c r="J112186"/>
    </row>
    <row r="112187" spans="10:10" x14ac:dyDescent="0.3">
      <c r="J112187"/>
    </row>
    <row r="112188" spans="10:10" x14ac:dyDescent="0.3">
      <c r="J112188"/>
    </row>
    <row r="112189" spans="10:10" x14ac:dyDescent="0.3">
      <c r="J112189"/>
    </row>
    <row r="112190" spans="10:10" x14ac:dyDescent="0.3">
      <c r="J112190"/>
    </row>
    <row r="112191" spans="10:10" x14ac:dyDescent="0.3">
      <c r="J112191"/>
    </row>
    <row r="112192" spans="10:10" x14ac:dyDescent="0.3">
      <c r="J112192"/>
    </row>
    <row r="112193" spans="10:10" x14ac:dyDescent="0.3">
      <c r="J112193"/>
    </row>
    <row r="112194" spans="10:10" x14ac:dyDescent="0.3">
      <c r="J112194"/>
    </row>
    <row r="112195" spans="10:10" x14ac:dyDescent="0.3">
      <c r="J112195"/>
    </row>
    <row r="112196" spans="10:10" x14ac:dyDescent="0.3">
      <c r="J112196"/>
    </row>
    <row r="112197" spans="10:10" x14ac:dyDescent="0.3">
      <c r="J112197"/>
    </row>
    <row r="112198" spans="10:10" x14ac:dyDescent="0.3">
      <c r="J112198"/>
    </row>
    <row r="112199" spans="10:10" x14ac:dyDescent="0.3">
      <c r="J112199"/>
    </row>
    <row r="112200" spans="10:10" x14ac:dyDescent="0.3">
      <c r="J112200"/>
    </row>
    <row r="112201" spans="10:10" x14ac:dyDescent="0.3">
      <c r="J112201"/>
    </row>
    <row r="112202" spans="10:10" x14ac:dyDescent="0.3">
      <c r="J112202"/>
    </row>
    <row r="112203" spans="10:10" x14ac:dyDescent="0.3">
      <c r="J112203"/>
    </row>
    <row r="112204" spans="10:10" x14ac:dyDescent="0.3">
      <c r="J112204"/>
    </row>
    <row r="112205" spans="10:10" x14ac:dyDescent="0.3">
      <c r="J112205"/>
    </row>
    <row r="112206" spans="10:10" x14ac:dyDescent="0.3">
      <c r="J112206"/>
    </row>
    <row r="112207" spans="10:10" x14ac:dyDescent="0.3">
      <c r="J112207"/>
    </row>
    <row r="112208" spans="10:10" x14ac:dyDescent="0.3">
      <c r="J112208"/>
    </row>
    <row r="112209" spans="10:10" x14ac:dyDescent="0.3">
      <c r="J112209"/>
    </row>
    <row r="112210" spans="10:10" x14ac:dyDescent="0.3">
      <c r="J112210"/>
    </row>
    <row r="112211" spans="10:10" x14ac:dyDescent="0.3">
      <c r="J112211"/>
    </row>
    <row r="112212" spans="10:10" x14ac:dyDescent="0.3">
      <c r="J112212"/>
    </row>
    <row r="112213" spans="10:10" x14ac:dyDescent="0.3">
      <c r="J112213"/>
    </row>
    <row r="112214" spans="10:10" x14ac:dyDescent="0.3">
      <c r="J112214"/>
    </row>
    <row r="112215" spans="10:10" x14ac:dyDescent="0.3">
      <c r="J112215"/>
    </row>
    <row r="112216" spans="10:10" x14ac:dyDescent="0.3">
      <c r="J112216"/>
    </row>
    <row r="112217" spans="10:10" x14ac:dyDescent="0.3">
      <c r="J112217"/>
    </row>
    <row r="112218" spans="10:10" x14ac:dyDescent="0.3">
      <c r="J112218"/>
    </row>
    <row r="112219" spans="10:10" x14ac:dyDescent="0.3">
      <c r="J112219"/>
    </row>
    <row r="112220" spans="10:10" x14ac:dyDescent="0.3">
      <c r="J112220"/>
    </row>
    <row r="112221" spans="10:10" x14ac:dyDescent="0.3">
      <c r="J112221"/>
    </row>
    <row r="112222" spans="10:10" x14ac:dyDescent="0.3">
      <c r="J112222"/>
    </row>
    <row r="112223" spans="10:10" x14ac:dyDescent="0.3">
      <c r="J112223"/>
    </row>
    <row r="112224" spans="10:10" x14ac:dyDescent="0.3">
      <c r="J112224"/>
    </row>
    <row r="112225" spans="10:10" x14ac:dyDescent="0.3">
      <c r="J112225"/>
    </row>
    <row r="112226" spans="10:10" x14ac:dyDescent="0.3">
      <c r="J112226"/>
    </row>
    <row r="112227" spans="10:10" x14ac:dyDescent="0.3">
      <c r="J112227"/>
    </row>
    <row r="112228" spans="10:10" x14ac:dyDescent="0.3">
      <c r="J112228"/>
    </row>
    <row r="112229" spans="10:10" x14ac:dyDescent="0.3">
      <c r="J112229"/>
    </row>
    <row r="112230" spans="10:10" x14ac:dyDescent="0.3">
      <c r="J112230"/>
    </row>
    <row r="112231" spans="10:10" x14ac:dyDescent="0.3">
      <c r="J112231"/>
    </row>
    <row r="112232" spans="10:10" x14ac:dyDescent="0.3">
      <c r="J112232"/>
    </row>
    <row r="112233" spans="10:10" x14ac:dyDescent="0.3">
      <c r="J112233"/>
    </row>
    <row r="112234" spans="10:10" x14ac:dyDescent="0.3">
      <c r="J112234"/>
    </row>
    <row r="112235" spans="10:10" x14ac:dyDescent="0.3">
      <c r="J112235"/>
    </row>
    <row r="112236" spans="10:10" x14ac:dyDescent="0.3">
      <c r="J112236"/>
    </row>
    <row r="112237" spans="10:10" x14ac:dyDescent="0.3">
      <c r="J112237"/>
    </row>
    <row r="112238" spans="10:10" x14ac:dyDescent="0.3">
      <c r="J112238"/>
    </row>
    <row r="112239" spans="10:10" x14ac:dyDescent="0.3">
      <c r="J112239"/>
    </row>
    <row r="112240" spans="10:10" x14ac:dyDescent="0.3">
      <c r="J112240"/>
    </row>
    <row r="112241" spans="10:10" x14ac:dyDescent="0.3">
      <c r="J112241"/>
    </row>
    <row r="112242" spans="10:10" x14ac:dyDescent="0.3">
      <c r="J112242"/>
    </row>
    <row r="112243" spans="10:10" x14ac:dyDescent="0.3">
      <c r="J112243"/>
    </row>
    <row r="112244" spans="10:10" x14ac:dyDescent="0.3">
      <c r="J112244"/>
    </row>
    <row r="112245" spans="10:10" x14ac:dyDescent="0.3">
      <c r="J112245"/>
    </row>
    <row r="112246" spans="10:10" x14ac:dyDescent="0.3">
      <c r="J112246"/>
    </row>
    <row r="112247" spans="10:10" x14ac:dyDescent="0.3">
      <c r="J112247"/>
    </row>
    <row r="112248" spans="10:10" x14ac:dyDescent="0.3">
      <c r="J112248"/>
    </row>
    <row r="112249" spans="10:10" x14ac:dyDescent="0.3">
      <c r="J112249"/>
    </row>
    <row r="112250" spans="10:10" x14ac:dyDescent="0.3">
      <c r="J112250"/>
    </row>
    <row r="112251" spans="10:10" x14ac:dyDescent="0.3">
      <c r="J112251"/>
    </row>
    <row r="112252" spans="10:10" x14ac:dyDescent="0.3">
      <c r="J112252"/>
    </row>
    <row r="112253" spans="10:10" x14ac:dyDescent="0.3">
      <c r="J112253"/>
    </row>
    <row r="112254" spans="10:10" x14ac:dyDescent="0.3">
      <c r="J112254"/>
    </row>
    <row r="112255" spans="10:10" x14ac:dyDescent="0.3">
      <c r="J112255"/>
    </row>
    <row r="112256" spans="10:10" x14ac:dyDescent="0.3">
      <c r="J112256"/>
    </row>
    <row r="112257" spans="10:10" x14ac:dyDescent="0.3">
      <c r="J112257"/>
    </row>
    <row r="112258" spans="10:10" x14ac:dyDescent="0.3">
      <c r="J112258"/>
    </row>
    <row r="112259" spans="10:10" x14ac:dyDescent="0.3">
      <c r="J112259"/>
    </row>
    <row r="112260" spans="10:10" x14ac:dyDescent="0.3">
      <c r="J112260"/>
    </row>
    <row r="112261" spans="10:10" x14ac:dyDescent="0.3">
      <c r="J112261"/>
    </row>
    <row r="112262" spans="10:10" x14ac:dyDescent="0.3">
      <c r="J112262"/>
    </row>
    <row r="112263" spans="10:10" x14ac:dyDescent="0.3">
      <c r="J112263"/>
    </row>
    <row r="112264" spans="10:10" x14ac:dyDescent="0.3">
      <c r="J112264"/>
    </row>
    <row r="112265" spans="10:10" x14ac:dyDescent="0.3">
      <c r="J112265"/>
    </row>
    <row r="112266" spans="10:10" x14ac:dyDescent="0.3">
      <c r="J112266"/>
    </row>
    <row r="112267" spans="10:10" x14ac:dyDescent="0.3">
      <c r="J112267"/>
    </row>
    <row r="112268" spans="10:10" x14ac:dyDescent="0.3">
      <c r="J112268"/>
    </row>
    <row r="112269" spans="10:10" x14ac:dyDescent="0.3">
      <c r="J112269"/>
    </row>
    <row r="112270" spans="10:10" x14ac:dyDescent="0.3">
      <c r="J112270"/>
    </row>
    <row r="112271" spans="10:10" x14ac:dyDescent="0.3">
      <c r="J112271"/>
    </row>
    <row r="112272" spans="10:10" x14ac:dyDescent="0.3">
      <c r="J112272"/>
    </row>
    <row r="112273" spans="10:10" x14ac:dyDescent="0.3">
      <c r="J112273"/>
    </row>
    <row r="112274" spans="10:10" x14ac:dyDescent="0.3">
      <c r="J112274"/>
    </row>
    <row r="112275" spans="10:10" x14ac:dyDescent="0.3">
      <c r="J112275"/>
    </row>
    <row r="112276" spans="10:10" x14ac:dyDescent="0.3">
      <c r="J112276"/>
    </row>
    <row r="112277" spans="10:10" x14ac:dyDescent="0.3">
      <c r="J112277"/>
    </row>
    <row r="112278" spans="10:10" x14ac:dyDescent="0.3">
      <c r="J112278"/>
    </row>
    <row r="112279" spans="10:10" x14ac:dyDescent="0.3">
      <c r="J112279"/>
    </row>
    <row r="112280" spans="10:10" x14ac:dyDescent="0.3">
      <c r="J112280"/>
    </row>
    <row r="112281" spans="10:10" x14ac:dyDescent="0.3">
      <c r="J112281"/>
    </row>
    <row r="112282" spans="10:10" x14ac:dyDescent="0.3">
      <c r="J112282"/>
    </row>
    <row r="112283" spans="10:10" x14ac:dyDescent="0.3">
      <c r="J112283"/>
    </row>
    <row r="112284" spans="10:10" x14ac:dyDescent="0.3">
      <c r="J112284"/>
    </row>
    <row r="112285" spans="10:10" x14ac:dyDescent="0.3">
      <c r="J112285"/>
    </row>
    <row r="112286" spans="10:10" x14ac:dyDescent="0.3">
      <c r="J112286"/>
    </row>
    <row r="112287" spans="10:10" x14ac:dyDescent="0.3">
      <c r="J112287"/>
    </row>
    <row r="112288" spans="10:10" x14ac:dyDescent="0.3">
      <c r="J112288"/>
    </row>
    <row r="112289" spans="10:10" x14ac:dyDescent="0.3">
      <c r="J112289"/>
    </row>
    <row r="112290" spans="10:10" x14ac:dyDescent="0.3">
      <c r="J112290"/>
    </row>
    <row r="112291" spans="10:10" x14ac:dyDescent="0.3">
      <c r="J112291"/>
    </row>
    <row r="112292" spans="10:10" x14ac:dyDescent="0.3">
      <c r="J112292"/>
    </row>
    <row r="112293" spans="10:10" x14ac:dyDescent="0.3">
      <c r="J112293"/>
    </row>
    <row r="112294" spans="10:10" x14ac:dyDescent="0.3">
      <c r="J112294"/>
    </row>
    <row r="112295" spans="10:10" x14ac:dyDescent="0.3">
      <c r="J112295"/>
    </row>
    <row r="112296" spans="10:10" x14ac:dyDescent="0.3">
      <c r="J112296"/>
    </row>
    <row r="112297" spans="10:10" x14ac:dyDescent="0.3">
      <c r="J112297"/>
    </row>
    <row r="112298" spans="10:10" x14ac:dyDescent="0.3">
      <c r="J112298"/>
    </row>
    <row r="112299" spans="10:10" x14ac:dyDescent="0.3">
      <c r="J112299"/>
    </row>
    <row r="112300" spans="10:10" x14ac:dyDescent="0.3">
      <c r="J112300"/>
    </row>
    <row r="112301" spans="10:10" x14ac:dyDescent="0.3">
      <c r="J112301"/>
    </row>
    <row r="112302" spans="10:10" x14ac:dyDescent="0.3">
      <c r="J112302"/>
    </row>
    <row r="112303" spans="10:10" x14ac:dyDescent="0.3">
      <c r="J112303"/>
    </row>
    <row r="112304" spans="10:10" x14ac:dyDescent="0.3">
      <c r="J112304"/>
    </row>
    <row r="112305" spans="10:10" x14ac:dyDescent="0.3">
      <c r="J112305"/>
    </row>
    <row r="112306" spans="10:10" x14ac:dyDescent="0.3">
      <c r="J112306"/>
    </row>
    <row r="112307" spans="10:10" x14ac:dyDescent="0.3">
      <c r="J112307"/>
    </row>
    <row r="112308" spans="10:10" x14ac:dyDescent="0.3">
      <c r="J112308"/>
    </row>
    <row r="112309" spans="10:10" x14ac:dyDescent="0.3">
      <c r="J112309"/>
    </row>
    <row r="112310" spans="10:10" x14ac:dyDescent="0.3">
      <c r="J112310"/>
    </row>
    <row r="112311" spans="10:10" x14ac:dyDescent="0.3">
      <c r="J112311"/>
    </row>
    <row r="112312" spans="10:10" x14ac:dyDescent="0.3">
      <c r="J112312"/>
    </row>
    <row r="112313" spans="10:10" x14ac:dyDescent="0.3">
      <c r="J112313"/>
    </row>
    <row r="112314" spans="10:10" x14ac:dyDescent="0.3">
      <c r="J112314"/>
    </row>
    <row r="112315" spans="10:10" x14ac:dyDescent="0.3">
      <c r="J112315"/>
    </row>
    <row r="112316" spans="10:10" x14ac:dyDescent="0.3">
      <c r="J112316"/>
    </row>
    <row r="112317" spans="10:10" x14ac:dyDescent="0.3">
      <c r="J112317"/>
    </row>
    <row r="112318" spans="10:10" x14ac:dyDescent="0.3">
      <c r="J112318"/>
    </row>
    <row r="112319" spans="10:10" x14ac:dyDescent="0.3">
      <c r="J112319"/>
    </row>
    <row r="112320" spans="10:10" x14ac:dyDescent="0.3">
      <c r="J112320"/>
    </row>
    <row r="112321" spans="10:10" x14ac:dyDescent="0.3">
      <c r="J112321"/>
    </row>
    <row r="112322" spans="10:10" x14ac:dyDescent="0.3">
      <c r="J112322"/>
    </row>
    <row r="112323" spans="10:10" x14ac:dyDescent="0.3">
      <c r="J112323"/>
    </row>
    <row r="112324" spans="10:10" x14ac:dyDescent="0.3">
      <c r="J112324"/>
    </row>
    <row r="112325" spans="10:10" x14ac:dyDescent="0.3">
      <c r="J112325"/>
    </row>
    <row r="112326" spans="10:10" x14ac:dyDescent="0.3">
      <c r="J112326"/>
    </row>
    <row r="112327" spans="10:10" x14ac:dyDescent="0.3">
      <c r="J112327"/>
    </row>
    <row r="112328" spans="10:10" x14ac:dyDescent="0.3">
      <c r="J112328"/>
    </row>
    <row r="112329" spans="10:10" x14ac:dyDescent="0.3">
      <c r="J112329"/>
    </row>
    <row r="112330" spans="10:10" x14ac:dyDescent="0.3">
      <c r="J112330"/>
    </row>
    <row r="112331" spans="10:10" x14ac:dyDescent="0.3">
      <c r="J112331"/>
    </row>
    <row r="112332" spans="10:10" x14ac:dyDescent="0.3">
      <c r="J112332"/>
    </row>
    <row r="112333" spans="10:10" x14ac:dyDescent="0.3">
      <c r="J112333"/>
    </row>
    <row r="112334" spans="10:10" x14ac:dyDescent="0.3">
      <c r="J112334"/>
    </row>
    <row r="112335" spans="10:10" x14ac:dyDescent="0.3">
      <c r="J112335"/>
    </row>
    <row r="112336" spans="10:10" x14ac:dyDescent="0.3">
      <c r="J112336"/>
    </row>
    <row r="112337" spans="10:10" x14ac:dyDescent="0.3">
      <c r="J112337"/>
    </row>
    <row r="112338" spans="10:10" x14ac:dyDescent="0.3">
      <c r="J112338"/>
    </row>
    <row r="112339" spans="10:10" x14ac:dyDescent="0.3">
      <c r="J112339"/>
    </row>
    <row r="112340" spans="10:10" x14ac:dyDescent="0.3">
      <c r="J112340"/>
    </row>
    <row r="112341" spans="10:10" x14ac:dyDescent="0.3">
      <c r="J112341"/>
    </row>
    <row r="112342" spans="10:10" x14ac:dyDescent="0.3">
      <c r="J112342"/>
    </row>
    <row r="112343" spans="10:10" x14ac:dyDescent="0.3">
      <c r="J112343"/>
    </row>
    <row r="112344" spans="10:10" x14ac:dyDescent="0.3">
      <c r="J112344"/>
    </row>
    <row r="112345" spans="10:10" x14ac:dyDescent="0.3">
      <c r="J112345"/>
    </row>
    <row r="112346" spans="10:10" x14ac:dyDescent="0.3">
      <c r="J112346"/>
    </row>
    <row r="112347" spans="10:10" x14ac:dyDescent="0.3">
      <c r="J112347"/>
    </row>
    <row r="112348" spans="10:10" x14ac:dyDescent="0.3">
      <c r="J112348"/>
    </row>
    <row r="112349" spans="10:10" x14ac:dyDescent="0.3">
      <c r="J112349"/>
    </row>
    <row r="112350" spans="10:10" x14ac:dyDescent="0.3">
      <c r="J112350"/>
    </row>
    <row r="112351" spans="10:10" x14ac:dyDescent="0.3">
      <c r="J112351"/>
    </row>
    <row r="112352" spans="10:10" x14ac:dyDescent="0.3">
      <c r="J112352"/>
    </row>
    <row r="112353" spans="10:10" x14ac:dyDescent="0.3">
      <c r="J112353"/>
    </row>
    <row r="112354" spans="10:10" x14ac:dyDescent="0.3">
      <c r="J112354"/>
    </row>
    <row r="112355" spans="10:10" x14ac:dyDescent="0.3">
      <c r="J112355"/>
    </row>
    <row r="112356" spans="10:10" x14ac:dyDescent="0.3">
      <c r="J112356"/>
    </row>
    <row r="112357" spans="10:10" x14ac:dyDescent="0.3">
      <c r="J112357"/>
    </row>
    <row r="112358" spans="10:10" x14ac:dyDescent="0.3">
      <c r="J112358"/>
    </row>
    <row r="112359" spans="10:10" x14ac:dyDescent="0.3">
      <c r="J112359"/>
    </row>
    <row r="112360" spans="10:10" x14ac:dyDescent="0.3">
      <c r="J112360"/>
    </row>
    <row r="112361" spans="10:10" x14ac:dyDescent="0.3">
      <c r="J112361"/>
    </row>
    <row r="112362" spans="10:10" x14ac:dyDescent="0.3">
      <c r="J112362"/>
    </row>
    <row r="112363" spans="10:10" x14ac:dyDescent="0.3">
      <c r="J112363"/>
    </row>
    <row r="112364" spans="10:10" x14ac:dyDescent="0.3">
      <c r="J112364"/>
    </row>
    <row r="112365" spans="10:10" x14ac:dyDescent="0.3">
      <c r="J112365"/>
    </row>
    <row r="112366" spans="10:10" x14ac:dyDescent="0.3">
      <c r="J112366"/>
    </row>
    <row r="112367" spans="10:10" x14ac:dyDescent="0.3">
      <c r="J112367"/>
    </row>
    <row r="112368" spans="10:10" x14ac:dyDescent="0.3">
      <c r="J112368"/>
    </row>
    <row r="112369" spans="10:10" x14ac:dyDescent="0.3">
      <c r="J112369"/>
    </row>
    <row r="112370" spans="10:10" x14ac:dyDescent="0.3">
      <c r="J112370"/>
    </row>
    <row r="112371" spans="10:10" x14ac:dyDescent="0.3">
      <c r="J112371"/>
    </row>
    <row r="112372" spans="10:10" x14ac:dyDescent="0.3">
      <c r="J112372"/>
    </row>
    <row r="112373" spans="10:10" x14ac:dyDescent="0.3">
      <c r="J112373"/>
    </row>
    <row r="112374" spans="10:10" x14ac:dyDescent="0.3">
      <c r="J112374"/>
    </row>
    <row r="112375" spans="10:10" x14ac:dyDescent="0.3">
      <c r="J112375"/>
    </row>
    <row r="112376" spans="10:10" x14ac:dyDescent="0.3">
      <c r="J112376"/>
    </row>
    <row r="112377" spans="10:10" x14ac:dyDescent="0.3">
      <c r="J112377"/>
    </row>
    <row r="112378" spans="10:10" x14ac:dyDescent="0.3">
      <c r="J112378"/>
    </row>
    <row r="112379" spans="10:10" x14ac:dyDescent="0.3">
      <c r="J112379"/>
    </row>
    <row r="112380" spans="10:10" x14ac:dyDescent="0.3">
      <c r="J112380"/>
    </row>
    <row r="112381" spans="10:10" x14ac:dyDescent="0.3">
      <c r="J112381"/>
    </row>
    <row r="112382" spans="10:10" x14ac:dyDescent="0.3">
      <c r="J112382"/>
    </row>
    <row r="112383" spans="10:10" x14ac:dyDescent="0.3">
      <c r="J112383"/>
    </row>
    <row r="112384" spans="10:10" x14ac:dyDescent="0.3">
      <c r="J112384"/>
    </row>
    <row r="112385" spans="10:10" x14ac:dyDescent="0.3">
      <c r="J112385"/>
    </row>
    <row r="112386" spans="10:10" x14ac:dyDescent="0.3">
      <c r="J112386"/>
    </row>
    <row r="112387" spans="10:10" x14ac:dyDescent="0.3">
      <c r="J112387"/>
    </row>
    <row r="112388" spans="10:10" x14ac:dyDescent="0.3">
      <c r="J112388"/>
    </row>
    <row r="112389" spans="10:10" x14ac:dyDescent="0.3">
      <c r="J112389"/>
    </row>
    <row r="112390" spans="10:10" x14ac:dyDescent="0.3">
      <c r="J112390"/>
    </row>
    <row r="112391" spans="10:10" x14ac:dyDescent="0.3">
      <c r="J112391"/>
    </row>
    <row r="112392" spans="10:10" x14ac:dyDescent="0.3">
      <c r="J112392"/>
    </row>
    <row r="112393" spans="10:10" x14ac:dyDescent="0.3">
      <c r="J112393"/>
    </row>
    <row r="112394" spans="10:10" x14ac:dyDescent="0.3">
      <c r="J112394"/>
    </row>
    <row r="112395" spans="10:10" x14ac:dyDescent="0.3">
      <c r="J112395"/>
    </row>
    <row r="112396" spans="10:10" x14ac:dyDescent="0.3">
      <c r="J112396"/>
    </row>
    <row r="112397" spans="10:10" x14ac:dyDescent="0.3">
      <c r="J112397"/>
    </row>
    <row r="112398" spans="10:10" x14ac:dyDescent="0.3">
      <c r="J112398"/>
    </row>
    <row r="112399" spans="10:10" x14ac:dyDescent="0.3">
      <c r="J112399"/>
    </row>
    <row r="112400" spans="10:10" x14ac:dyDescent="0.3">
      <c r="J112400"/>
    </row>
    <row r="112401" spans="10:10" x14ac:dyDescent="0.3">
      <c r="J112401"/>
    </row>
    <row r="112402" spans="10:10" x14ac:dyDescent="0.3">
      <c r="J112402"/>
    </row>
    <row r="112403" spans="10:10" x14ac:dyDescent="0.3">
      <c r="J112403"/>
    </row>
    <row r="112404" spans="10:10" x14ac:dyDescent="0.3">
      <c r="J112404"/>
    </row>
    <row r="112405" spans="10:10" x14ac:dyDescent="0.3">
      <c r="J112405"/>
    </row>
    <row r="112406" spans="10:10" x14ac:dyDescent="0.3">
      <c r="J112406"/>
    </row>
    <row r="112407" spans="10:10" x14ac:dyDescent="0.3">
      <c r="J112407"/>
    </row>
    <row r="112408" spans="10:10" x14ac:dyDescent="0.3">
      <c r="J112408"/>
    </row>
    <row r="112409" spans="10:10" x14ac:dyDescent="0.3">
      <c r="J112409"/>
    </row>
    <row r="112410" spans="10:10" x14ac:dyDescent="0.3">
      <c r="J112410"/>
    </row>
    <row r="112411" spans="10:10" x14ac:dyDescent="0.3">
      <c r="J112411"/>
    </row>
    <row r="112412" spans="10:10" x14ac:dyDescent="0.3">
      <c r="J112412"/>
    </row>
    <row r="112413" spans="10:10" x14ac:dyDescent="0.3">
      <c r="J112413"/>
    </row>
    <row r="112414" spans="10:10" x14ac:dyDescent="0.3">
      <c r="J112414"/>
    </row>
    <row r="112415" spans="10:10" x14ac:dyDescent="0.3">
      <c r="J112415"/>
    </row>
    <row r="112416" spans="10:10" x14ac:dyDescent="0.3">
      <c r="J112416"/>
    </row>
    <row r="112417" spans="10:10" x14ac:dyDescent="0.3">
      <c r="J112417"/>
    </row>
    <row r="112418" spans="10:10" x14ac:dyDescent="0.3">
      <c r="J112418"/>
    </row>
    <row r="112419" spans="10:10" x14ac:dyDescent="0.3">
      <c r="J112419"/>
    </row>
    <row r="112420" spans="10:10" x14ac:dyDescent="0.3">
      <c r="J112420"/>
    </row>
    <row r="112421" spans="10:10" x14ac:dyDescent="0.3">
      <c r="J112421"/>
    </row>
    <row r="112422" spans="10:10" x14ac:dyDescent="0.3">
      <c r="J112422"/>
    </row>
    <row r="112423" spans="10:10" x14ac:dyDescent="0.3">
      <c r="J112423"/>
    </row>
    <row r="112424" spans="10:10" x14ac:dyDescent="0.3">
      <c r="J112424"/>
    </row>
    <row r="112425" spans="10:10" x14ac:dyDescent="0.3">
      <c r="J112425"/>
    </row>
    <row r="112426" spans="10:10" x14ac:dyDescent="0.3">
      <c r="J112426"/>
    </row>
    <row r="112427" spans="10:10" x14ac:dyDescent="0.3">
      <c r="J112427"/>
    </row>
    <row r="112428" spans="10:10" x14ac:dyDescent="0.3">
      <c r="J112428"/>
    </row>
    <row r="112429" spans="10:10" x14ac:dyDescent="0.3">
      <c r="J112429"/>
    </row>
    <row r="112430" spans="10:10" x14ac:dyDescent="0.3">
      <c r="J112430"/>
    </row>
    <row r="112431" spans="10:10" x14ac:dyDescent="0.3">
      <c r="J112431"/>
    </row>
    <row r="112432" spans="10:10" x14ac:dyDescent="0.3">
      <c r="J112432"/>
    </row>
    <row r="112433" spans="10:10" x14ac:dyDescent="0.3">
      <c r="J112433"/>
    </row>
    <row r="112434" spans="10:10" x14ac:dyDescent="0.3">
      <c r="J112434"/>
    </row>
    <row r="112435" spans="10:10" x14ac:dyDescent="0.3">
      <c r="J112435"/>
    </row>
    <row r="112436" spans="10:10" x14ac:dyDescent="0.3">
      <c r="J112436"/>
    </row>
    <row r="112437" spans="10:10" x14ac:dyDescent="0.3">
      <c r="J112437"/>
    </row>
    <row r="112438" spans="10:10" x14ac:dyDescent="0.3">
      <c r="J112438"/>
    </row>
    <row r="112439" spans="10:10" x14ac:dyDescent="0.3">
      <c r="J112439"/>
    </row>
    <row r="112440" spans="10:10" x14ac:dyDescent="0.3">
      <c r="J112440"/>
    </row>
    <row r="112441" spans="10:10" x14ac:dyDescent="0.3">
      <c r="J112441"/>
    </row>
    <row r="112442" spans="10:10" x14ac:dyDescent="0.3">
      <c r="J112442"/>
    </row>
    <row r="112443" spans="10:10" x14ac:dyDescent="0.3">
      <c r="J112443"/>
    </row>
    <row r="112444" spans="10:10" x14ac:dyDescent="0.3">
      <c r="J112444"/>
    </row>
    <row r="112445" spans="10:10" x14ac:dyDescent="0.3">
      <c r="J112445"/>
    </row>
    <row r="112446" spans="10:10" x14ac:dyDescent="0.3">
      <c r="J112446"/>
    </row>
    <row r="112447" spans="10:10" x14ac:dyDescent="0.3">
      <c r="J112447"/>
    </row>
    <row r="112448" spans="10:10" x14ac:dyDescent="0.3">
      <c r="J112448"/>
    </row>
    <row r="112449" spans="10:10" x14ac:dyDescent="0.3">
      <c r="J112449"/>
    </row>
    <row r="112450" spans="10:10" x14ac:dyDescent="0.3">
      <c r="J112450"/>
    </row>
    <row r="112451" spans="10:10" x14ac:dyDescent="0.3">
      <c r="J112451"/>
    </row>
    <row r="112452" spans="10:10" x14ac:dyDescent="0.3">
      <c r="J112452"/>
    </row>
    <row r="112453" spans="10:10" x14ac:dyDescent="0.3">
      <c r="J112453"/>
    </row>
    <row r="112454" spans="10:10" x14ac:dyDescent="0.3">
      <c r="J112454"/>
    </row>
    <row r="112455" spans="10:10" x14ac:dyDescent="0.3">
      <c r="J112455"/>
    </row>
    <row r="112456" spans="10:10" x14ac:dyDescent="0.3">
      <c r="J112456"/>
    </row>
    <row r="112457" spans="10:10" x14ac:dyDescent="0.3">
      <c r="J112457"/>
    </row>
    <row r="112458" spans="10:10" x14ac:dyDescent="0.3">
      <c r="J112458"/>
    </row>
    <row r="112459" spans="10:10" x14ac:dyDescent="0.3">
      <c r="J112459"/>
    </row>
    <row r="112460" spans="10:10" x14ac:dyDescent="0.3">
      <c r="J112460"/>
    </row>
    <row r="112461" spans="10:10" x14ac:dyDescent="0.3">
      <c r="J112461"/>
    </row>
    <row r="112462" spans="10:10" x14ac:dyDescent="0.3">
      <c r="J112462"/>
    </row>
    <row r="112463" spans="10:10" x14ac:dyDescent="0.3">
      <c r="J112463"/>
    </row>
    <row r="112464" spans="10:10" x14ac:dyDescent="0.3">
      <c r="J112464"/>
    </row>
    <row r="112465" spans="10:10" x14ac:dyDescent="0.3">
      <c r="J112465"/>
    </row>
    <row r="112466" spans="10:10" x14ac:dyDescent="0.3">
      <c r="J112466"/>
    </row>
    <row r="112467" spans="10:10" x14ac:dyDescent="0.3">
      <c r="J112467"/>
    </row>
    <row r="112468" spans="10:10" x14ac:dyDescent="0.3">
      <c r="J112468"/>
    </row>
    <row r="112469" spans="10:10" x14ac:dyDescent="0.3">
      <c r="J112469"/>
    </row>
    <row r="112470" spans="10:10" x14ac:dyDescent="0.3">
      <c r="J112470"/>
    </row>
    <row r="112471" spans="10:10" x14ac:dyDescent="0.3">
      <c r="J112471"/>
    </row>
    <row r="112472" spans="10:10" x14ac:dyDescent="0.3">
      <c r="J112472"/>
    </row>
    <row r="112473" spans="10:10" x14ac:dyDescent="0.3">
      <c r="J112473"/>
    </row>
    <row r="112474" spans="10:10" x14ac:dyDescent="0.3">
      <c r="J112474"/>
    </row>
    <row r="112475" spans="10:10" x14ac:dyDescent="0.3">
      <c r="J112475"/>
    </row>
    <row r="112476" spans="10:10" x14ac:dyDescent="0.3">
      <c r="J112476"/>
    </row>
    <row r="112477" spans="10:10" x14ac:dyDescent="0.3">
      <c r="J112477"/>
    </row>
    <row r="112478" spans="10:10" x14ac:dyDescent="0.3">
      <c r="J112478"/>
    </row>
    <row r="112479" spans="10:10" x14ac:dyDescent="0.3">
      <c r="J112479"/>
    </row>
    <row r="112480" spans="10:10" x14ac:dyDescent="0.3">
      <c r="J112480"/>
    </row>
    <row r="112481" spans="10:10" x14ac:dyDescent="0.3">
      <c r="J112481"/>
    </row>
    <row r="112482" spans="10:10" x14ac:dyDescent="0.3">
      <c r="J112482"/>
    </row>
    <row r="112483" spans="10:10" x14ac:dyDescent="0.3">
      <c r="J112483"/>
    </row>
    <row r="112484" spans="10:10" x14ac:dyDescent="0.3">
      <c r="J112484"/>
    </row>
    <row r="112485" spans="10:10" x14ac:dyDescent="0.3">
      <c r="J112485"/>
    </row>
    <row r="112486" spans="10:10" x14ac:dyDescent="0.3">
      <c r="J112486"/>
    </row>
    <row r="112487" spans="10:10" x14ac:dyDescent="0.3">
      <c r="J112487"/>
    </row>
    <row r="112488" spans="10:10" x14ac:dyDescent="0.3">
      <c r="J112488"/>
    </row>
    <row r="112489" spans="10:10" x14ac:dyDescent="0.3">
      <c r="J112489"/>
    </row>
    <row r="112490" spans="10:10" x14ac:dyDescent="0.3">
      <c r="J112490"/>
    </row>
    <row r="112491" spans="10:10" x14ac:dyDescent="0.3">
      <c r="J112491"/>
    </row>
    <row r="112492" spans="10:10" x14ac:dyDescent="0.3">
      <c r="J112492"/>
    </row>
    <row r="112493" spans="10:10" x14ac:dyDescent="0.3">
      <c r="J112493"/>
    </row>
    <row r="112494" spans="10:10" x14ac:dyDescent="0.3">
      <c r="J112494"/>
    </row>
    <row r="112495" spans="10:10" x14ac:dyDescent="0.3">
      <c r="J112495"/>
    </row>
    <row r="112496" spans="10:10" x14ac:dyDescent="0.3">
      <c r="J112496"/>
    </row>
    <row r="112497" spans="10:10" x14ac:dyDescent="0.3">
      <c r="J112497"/>
    </row>
    <row r="112498" spans="10:10" x14ac:dyDescent="0.3">
      <c r="J112498"/>
    </row>
    <row r="112499" spans="10:10" x14ac:dyDescent="0.3">
      <c r="J112499"/>
    </row>
    <row r="112500" spans="10:10" x14ac:dyDescent="0.3">
      <c r="J112500"/>
    </row>
    <row r="112501" spans="10:10" x14ac:dyDescent="0.3">
      <c r="J112501"/>
    </row>
    <row r="112502" spans="10:10" x14ac:dyDescent="0.3">
      <c r="J112502"/>
    </row>
    <row r="112503" spans="10:10" x14ac:dyDescent="0.3">
      <c r="J112503"/>
    </row>
    <row r="112504" spans="10:10" x14ac:dyDescent="0.3">
      <c r="J112504"/>
    </row>
    <row r="112505" spans="10:10" x14ac:dyDescent="0.3">
      <c r="J112505"/>
    </row>
    <row r="112506" spans="10:10" x14ac:dyDescent="0.3">
      <c r="J112506"/>
    </row>
    <row r="112507" spans="10:10" x14ac:dyDescent="0.3">
      <c r="J112507"/>
    </row>
    <row r="112508" spans="10:10" x14ac:dyDescent="0.3">
      <c r="J112508"/>
    </row>
    <row r="112509" spans="10:10" x14ac:dyDescent="0.3">
      <c r="J112509"/>
    </row>
    <row r="112510" spans="10:10" x14ac:dyDescent="0.3">
      <c r="J112510"/>
    </row>
    <row r="112511" spans="10:10" x14ac:dyDescent="0.3">
      <c r="J112511"/>
    </row>
    <row r="112512" spans="10:10" x14ac:dyDescent="0.3">
      <c r="J112512"/>
    </row>
    <row r="112513" spans="10:10" x14ac:dyDescent="0.3">
      <c r="J112513"/>
    </row>
    <row r="112514" spans="10:10" x14ac:dyDescent="0.3">
      <c r="J112514"/>
    </row>
    <row r="112515" spans="10:10" x14ac:dyDescent="0.3">
      <c r="J112515"/>
    </row>
    <row r="112516" spans="10:10" x14ac:dyDescent="0.3">
      <c r="J112516"/>
    </row>
    <row r="112517" spans="10:10" x14ac:dyDescent="0.3">
      <c r="J112517"/>
    </row>
    <row r="112518" spans="10:10" x14ac:dyDescent="0.3">
      <c r="J112518"/>
    </row>
    <row r="112519" spans="10:10" x14ac:dyDescent="0.3">
      <c r="J112519"/>
    </row>
    <row r="112520" spans="10:10" x14ac:dyDescent="0.3">
      <c r="J112520"/>
    </row>
    <row r="112521" spans="10:10" x14ac:dyDescent="0.3">
      <c r="J112521"/>
    </row>
    <row r="112522" spans="10:10" x14ac:dyDescent="0.3">
      <c r="J112522"/>
    </row>
    <row r="112523" spans="10:10" x14ac:dyDescent="0.3">
      <c r="J112523"/>
    </row>
    <row r="112524" spans="10:10" x14ac:dyDescent="0.3">
      <c r="J112524"/>
    </row>
    <row r="112525" spans="10:10" x14ac:dyDescent="0.3">
      <c r="J112525"/>
    </row>
    <row r="112526" spans="10:10" x14ac:dyDescent="0.3">
      <c r="J112526"/>
    </row>
    <row r="112527" spans="10:10" x14ac:dyDescent="0.3">
      <c r="J112527"/>
    </row>
    <row r="112528" spans="10:10" x14ac:dyDescent="0.3">
      <c r="J112528"/>
    </row>
    <row r="112529" spans="10:10" x14ac:dyDescent="0.3">
      <c r="J112529"/>
    </row>
    <row r="112530" spans="10:10" x14ac:dyDescent="0.3">
      <c r="J112530"/>
    </row>
    <row r="112531" spans="10:10" x14ac:dyDescent="0.3">
      <c r="J112531"/>
    </row>
    <row r="112532" spans="10:10" x14ac:dyDescent="0.3">
      <c r="J112532"/>
    </row>
    <row r="112533" spans="10:10" x14ac:dyDescent="0.3">
      <c r="J112533"/>
    </row>
    <row r="112534" spans="10:10" x14ac:dyDescent="0.3">
      <c r="J112534"/>
    </row>
    <row r="112535" spans="10:10" x14ac:dyDescent="0.3">
      <c r="J112535"/>
    </row>
    <row r="112536" spans="10:10" x14ac:dyDescent="0.3">
      <c r="J112536"/>
    </row>
    <row r="112537" spans="10:10" x14ac:dyDescent="0.3">
      <c r="J112537"/>
    </row>
    <row r="112538" spans="10:10" x14ac:dyDescent="0.3">
      <c r="J112538"/>
    </row>
    <row r="112539" spans="10:10" x14ac:dyDescent="0.3">
      <c r="J112539"/>
    </row>
    <row r="112540" spans="10:10" x14ac:dyDescent="0.3">
      <c r="J112540"/>
    </row>
    <row r="112541" spans="10:10" x14ac:dyDescent="0.3">
      <c r="J112541"/>
    </row>
    <row r="112542" spans="10:10" x14ac:dyDescent="0.3">
      <c r="J112542"/>
    </row>
    <row r="112543" spans="10:10" x14ac:dyDescent="0.3">
      <c r="J112543"/>
    </row>
    <row r="112544" spans="10:10" x14ac:dyDescent="0.3">
      <c r="J112544"/>
    </row>
    <row r="112545" spans="10:10" x14ac:dyDescent="0.3">
      <c r="J112545"/>
    </row>
    <row r="112546" spans="10:10" x14ac:dyDescent="0.3">
      <c r="J112546"/>
    </row>
    <row r="112547" spans="10:10" x14ac:dyDescent="0.3">
      <c r="J112547"/>
    </row>
    <row r="112548" spans="10:10" x14ac:dyDescent="0.3">
      <c r="J112548"/>
    </row>
    <row r="112549" spans="10:10" x14ac:dyDescent="0.3">
      <c r="J112549"/>
    </row>
    <row r="112550" spans="10:10" x14ac:dyDescent="0.3">
      <c r="J112550"/>
    </row>
    <row r="112551" spans="10:10" x14ac:dyDescent="0.3">
      <c r="J112551"/>
    </row>
    <row r="112552" spans="10:10" x14ac:dyDescent="0.3">
      <c r="J112552"/>
    </row>
    <row r="112553" spans="10:10" x14ac:dyDescent="0.3">
      <c r="J112553"/>
    </row>
    <row r="112554" spans="10:10" x14ac:dyDescent="0.3">
      <c r="J112554"/>
    </row>
    <row r="112555" spans="10:10" x14ac:dyDescent="0.3">
      <c r="J112555"/>
    </row>
    <row r="112556" spans="10:10" x14ac:dyDescent="0.3">
      <c r="J112556"/>
    </row>
    <row r="112557" spans="10:10" x14ac:dyDescent="0.3">
      <c r="J112557"/>
    </row>
    <row r="112558" spans="10:10" x14ac:dyDescent="0.3">
      <c r="J112558"/>
    </row>
    <row r="112559" spans="10:10" x14ac:dyDescent="0.3">
      <c r="J112559"/>
    </row>
    <row r="112560" spans="10:10" x14ac:dyDescent="0.3">
      <c r="J112560"/>
    </row>
    <row r="112561" spans="10:10" x14ac:dyDescent="0.3">
      <c r="J112561"/>
    </row>
    <row r="112562" spans="10:10" x14ac:dyDescent="0.3">
      <c r="J112562"/>
    </row>
    <row r="112563" spans="10:10" x14ac:dyDescent="0.3">
      <c r="J112563"/>
    </row>
    <row r="112564" spans="10:10" x14ac:dyDescent="0.3">
      <c r="J112564"/>
    </row>
    <row r="112565" spans="10:10" x14ac:dyDescent="0.3">
      <c r="J112565"/>
    </row>
    <row r="112566" spans="10:10" x14ac:dyDescent="0.3">
      <c r="J112566"/>
    </row>
    <row r="112567" spans="10:10" x14ac:dyDescent="0.3">
      <c r="J112567"/>
    </row>
    <row r="112568" spans="10:10" x14ac:dyDescent="0.3">
      <c r="J112568"/>
    </row>
    <row r="112569" spans="10:10" x14ac:dyDescent="0.3">
      <c r="J112569"/>
    </row>
    <row r="112570" spans="10:10" x14ac:dyDescent="0.3">
      <c r="J112570"/>
    </row>
    <row r="112571" spans="10:10" x14ac:dyDescent="0.3">
      <c r="J112571"/>
    </row>
    <row r="112572" spans="10:10" x14ac:dyDescent="0.3">
      <c r="J112572"/>
    </row>
    <row r="112573" spans="10:10" x14ac:dyDescent="0.3">
      <c r="J112573"/>
    </row>
    <row r="112574" spans="10:10" x14ac:dyDescent="0.3">
      <c r="J112574"/>
    </row>
    <row r="112575" spans="10:10" x14ac:dyDescent="0.3">
      <c r="J112575"/>
    </row>
    <row r="112576" spans="10:10" x14ac:dyDescent="0.3">
      <c r="J112576"/>
    </row>
    <row r="112577" spans="10:10" x14ac:dyDescent="0.3">
      <c r="J112577"/>
    </row>
    <row r="112578" spans="10:10" x14ac:dyDescent="0.3">
      <c r="J112578"/>
    </row>
    <row r="112579" spans="10:10" x14ac:dyDescent="0.3">
      <c r="J112579"/>
    </row>
    <row r="112580" spans="10:10" x14ac:dyDescent="0.3">
      <c r="J112580"/>
    </row>
    <row r="112581" spans="10:10" x14ac:dyDescent="0.3">
      <c r="J112581"/>
    </row>
    <row r="112582" spans="10:10" x14ac:dyDescent="0.3">
      <c r="J112582"/>
    </row>
    <row r="112583" spans="10:10" x14ac:dyDescent="0.3">
      <c r="J112583"/>
    </row>
    <row r="112584" spans="10:10" x14ac:dyDescent="0.3">
      <c r="J112584"/>
    </row>
    <row r="112585" spans="10:10" x14ac:dyDescent="0.3">
      <c r="J112585"/>
    </row>
    <row r="112586" spans="10:10" x14ac:dyDescent="0.3">
      <c r="J112586"/>
    </row>
    <row r="112587" spans="10:10" x14ac:dyDescent="0.3">
      <c r="J112587"/>
    </row>
    <row r="112588" spans="10:10" x14ac:dyDescent="0.3">
      <c r="J112588"/>
    </row>
    <row r="112589" spans="10:10" x14ac:dyDescent="0.3">
      <c r="J112589"/>
    </row>
    <row r="112590" spans="10:10" x14ac:dyDescent="0.3">
      <c r="J112590"/>
    </row>
    <row r="112591" spans="10:10" x14ac:dyDescent="0.3">
      <c r="J112591"/>
    </row>
    <row r="112592" spans="10:10" x14ac:dyDescent="0.3">
      <c r="J112592"/>
    </row>
    <row r="112593" spans="10:10" x14ac:dyDescent="0.3">
      <c r="J112593"/>
    </row>
    <row r="112594" spans="10:10" x14ac:dyDescent="0.3">
      <c r="J112594"/>
    </row>
    <row r="112595" spans="10:10" x14ac:dyDescent="0.3">
      <c r="J112595"/>
    </row>
    <row r="112596" spans="10:10" x14ac:dyDescent="0.3">
      <c r="J112596"/>
    </row>
    <row r="112597" spans="10:10" x14ac:dyDescent="0.3">
      <c r="J112597"/>
    </row>
    <row r="112598" spans="10:10" x14ac:dyDescent="0.3">
      <c r="J112598"/>
    </row>
    <row r="112599" spans="10:10" x14ac:dyDescent="0.3">
      <c r="J112599"/>
    </row>
    <row r="112600" spans="10:10" x14ac:dyDescent="0.3">
      <c r="J112600"/>
    </row>
    <row r="112601" spans="10:10" x14ac:dyDescent="0.3">
      <c r="J112601"/>
    </row>
    <row r="112602" spans="10:10" x14ac:dyDescent="0.3">
      <c r="J112602"/>
    </row>
    <row r="112603" spans="10:10" x14ac:dyDescent="0.3">
      <c r="J112603"/>
    </row>
    <row r="112604" spans="10:10" x14ac:dyDescent="0.3">
      <c r="J112604"/>
    </row>
    <row r="112605" spans="10:10" x14ac:dyDescent="0.3">
      <c r="J112605"/>
    </row>
    <row r="112606" spans="10:10" x14ac:dyDescent="0.3">
      <c r="J112606"/>
    </row>
    <row r="112607" spans="10:10" x14ac:dyDescent="0.3">
      <c r="J112607"/>
    </row>
    <row r="112608" spans="10:10" x14ac:dyDescent="0.3">
      <c r="J112608"/>
    </row>
    <row r="112609" spans="10:10" x14ac:dyDescent="0.3">
      <c r="J112609"/>
    </row>
    <row r="112610" spans="10:10" x14ac:dyDescent="0.3">
      <c r="J112610"/>
    </row>
    <row r="112611" spans="10:10" x14ac:dyDescent="0.3">
      <c r="J112611"/>
    </row>
    <row r="112612" spans="10:10" x14ac:dyDescent="0.3">
      <c r="J112612"/>
    </row>
    <row r="112613" spans="10:10" x14ac:dyDescent="0.3">
      <c r="J112613"/>
    </row>
    <row r="112614" spans="10:10" x14ac:dyDescent="0.3">
      <c r="J112614"/>
    </row>
    <row r="112615" spans="10:10" x14ac:dyDescent="0.3">
      <c r="J112615"/>
    </row>
    <row r="112616" spans="10:10" x14ac:dyDescent="0.3">
      <c r="J112616"/>
    </row>
    <row r="112617" spans="10:10" x14ac:dyDescent="0.3">
      <c r="J112617"/>
    </row>
    <row r="112618" spans="10:10" x14ac:dyDescent="0.3">
      <c r="J112618"/>
    </row>
    <row r="112619" spans="10:10" x14ac:dyDescent="0.3">
      <c r="J112619"/>
    </row>
    <row r="112620" spans="10:10" x14ac:dyDescent="0.3">
      <c r="J112620"/>
    </row>
    <row r="112621" spans="10:10" x14ac:dyDescent="0.3">
      <c r="J112621"/>
    </row>
    <row r="112622" spans="10:10" x14ac:dyDescent="0.3">
      <c r="J112622"/>
    </row>
    <row r="112623" spans="10:10" x14ac:dyDescent="0.3">
      <c r="J112623"/>
    </row>
    <row r="112624" spans="10:10" x14ac:dyDescent="0.3">
      <c r="J112624"/>
    </row>
    <row r="112625" spans="10:10" x14ac:dyDescent="0.3">
      <c r="J112625"/>
    </row>
    <row r="112626" spans="10:10" x14ac:dyDescent="0.3">
      <c r="J112626"/>
    </row>
    <row r="112627" spans="10:10" x14ac:dyDescent="0.3">
      <c r="J112627"/>
    </row>
    <row r="112628" spans="10:10" x14ac:dyDescent="0.3">
      <c r="J112628"/>
    </row>
    <row r="112629" spans="10:10" x14ac:dyDescent="0.3">
      <c r="J112629"/>
    </row>
    <row r="112630" spans="10:10" x14ac:dyDescent="0.3">
      <c r="J112630"/>
    </row>
    <row r="112631" spans="10:10" x14ac:dyDescent="0.3">
      <c r="J112631"/>
    </row>
    <row r="112632" spans="10:10" x14ac:dyDescent="0.3">
      <c r="J112632"/>
    </row>
    <row r="112633" spans="10:10" x14ac:dyDescent="0.3">
      <c r="J112633"/>
    </row>
    <row r="112634" spans="10:10" x14ac:dyDescent="0.3">
      <c r="J112634"/>
    </row>
    <row r="112635" spans="10:10" x14ac:dyDescent="0.3">
      <c r="J112635"/>
    </row>
    <row r="112636" spans="10:10" x14ac:dyDescent="0.3">
      <c r="J112636"/>
    </row>
    <row r="112637" spans="10:10" x14ac:dyDescent="0.3">
      <c r="J112637"/>
    </row>
    <row r="112638" spans="10:10" x14ac:dyDescent="0.3">
      <c r="J112638"/>
    </row>
    <row r="112639" spans="10:10" x14ac:dyDescent="0.3">
      <c r="J112639"/>
    </row>
    <row r="112640" spans="10:10" x14ac:dyDescent="0.3">
      <c r="J112640"/>
    </row>
    <row r="112641" spans="10:10" x14ac:dyDescent="0.3">
      <c r="J112641"/>
    </row>
    <row r="112642" spans="10:10" x14ac:dyDescent="0.3">
      <c r="J112642"/>
    </row>
    <row r="112643" spans="10:10" x14ac:dyDescent="0.3">
      <c r="J112643"/>
    </row>
    <row r="112644" spans="10:10" x14ac:dyDescent="0.3">
      <c r="J112644"/>
    </row>
    <row r="112645" spans="10:10" x14ac:dyDescent="0.3">
      <c r="J112645"/>
    </row>
    <row r="112646" spans="10:10" x14ac:dyDescent="0.3">
      <c r="J112646"/>
    </row>
    <row r="112647" spans="10:10" x14ac:dyDescent="0.3">
      <c r="J112647"/>
    </row>
    <row r="112648" spans="10:10" x14ac:dyDescent="0.3">
      <c r="J112648"/>
    </row>
    <row r="112649" spans="10:10" x14ac:dyDescent="0.3">
      <c r="J112649"/>
    </row>
    <row r="112650" spans="10:10" x14ac:dyDescent="0.3">
      <c r="J112650"/>
    </row>
    <row r="112651" spans="10:10" x14ac:dyDescent="0.3">
      <c r="J112651"/>
    </row>
    <row r="112652" spans="10:10" x14ac:dyDescent="0.3">
      <c r="J112652"/>
    </row>
    <row r="112653" spans="10:10" x14ac:dyDescent="0.3">
      <c r="J112653"/>
    </row>
    <row r="112654" spans="10:10" x14ac:dyDescent="0.3">
      <c r="J112654"/>
    </row>
    <row r="112655" spans="10:10" x14ac:dyDescent="0.3">
      <c r="J112655"/>
    </row>
    <row r="112656" spans="10:10" x14ac:dyDescent="0.3">
      <c r="J112656"/>
    </row>
    <row r="112657" spans="10:10" x14ac:dyDescent="0.3">
      <c r="J112657"/>
    </row>
    <row r="112658" spans="10:10" x14ac:dyDescent="0.3">
      <c r="J112658"/>
    </row>
    <row r="112659" spans="10:10" x14ac:dyDescent="0.3">
      <c r="J112659"/>
    </row>
    <row r="112660" spans="10:10" x14ac:dyDescent="0.3">
      <c r="J112660"/>
    </row>
    <row r="112661" spans="10:10" x14ac:dyDescent="0.3">
      <c r="J112661"/>
    </row>
    <row r="112662" spans="10:10" x14ac:dyDescent="0.3">
      <c r="J112662"/>
    </row>
    <row r="112663" spans="10:10" x14ac:dyDescent="0.3">
      <c r="J112663"/>
    </row>
    <row r="112664" spans="10:10" x14ac:dyDescent="0.3">
      <c r="J112664"/>
    </row>
    <row r="112665" spans="10:10" x14ac:dyDescent="0.3">
      <c r="J112665"/>
    </row>
    <row r="112666" spans="10:10" x14ac:dyDescent="0.3">
      <c r="J112666"/>
    </row>
    <row r="112667" spans="10:10" x14ac:dyDescent="0.3">
      <c r="J112667"/>
    </row>
    <row r="112668" spans="10:10" x14ac:dyDescent="0.3">
      <c r="J112668"/>
    </row>
    <row r="112669" spans="10:10" x14ac:dyDescent="0.3">
      <c r="J112669"/>
    </row>
    <row r="112670" spans="10:10" x14ac:dyDescent="0.3">
      <c r="J112670"/>
    </row>
    <row r="112671" spans="10:10" x14ac:dyDescent="0.3">
      <c r="J112671"/>
    </row>
    <row r="112672" spans="10:10" x14ac:dyDescent="0.3">
      <c r="J112672"/>
    </row>
    <row r="112673" spans="10:10" x14ac:dyDescent="0.3">
      <c r="J112673"/>
    </row>
    <row r="112674" spans="10:10" x14ac:dyDescent="0.3">
      <c r="J112674"/>
    </row>
    <row r="112675" spans="10:10" x14ac:dyDescent="0.3">
      <c r="J112675"/>
    </row>
    <row r="112676" spans="10:10" x14ac:dyDescent="0.3">
      <c r="J112676"/>
    </row>
    <row r="112677" spans="10:10" x14ac:dyDescent="0.3">
      <c r="J112677"/>
    </row>
    <row r="112678" spans="10:10" x14ac:dyDescent="0.3">
      <c r="J112678"/>
    </row>
    <row r="112679" spans="10:10" x14ac:dyDescent="0.3">
      <c r="J112679"/>
    </row>
    <row r="112680" spans="10:10" x14ac:dyDescent="0.3">
      <c r="J112680"/>
    </row>
    <row r="112681" spans="10:10" x14ac:dyDescent="0.3">
      <c r="J112681"/>
    </row>
    <row r="112682" spans="10:10" x14ac:dyDescent="0.3">
      <c r="J112682"/>
    </row>
    <row r="112683" spans="10:10" x14ac:dyDescent="0.3">
      <c r="J112683"/>
    </row>
    <row r="112684" spans="10:10" x14ac:dyDescent="0.3">
      <c r="J112684"/>
    </row>
    <row r="112685" spans="10:10" x14ac:dyDescent="0.3">
      <c r="J112685"/>
    </row>
    <row r="112686" spans="10:10" x14ac:dyDescent="0.3">
      <c r="J112686"/>
    </row>
    <row r="112687" spans="10:10" x14ac:dyDescent="0.3">
      <c r="J112687"/>
    </row>
    <row r="112688" spans="10:10" x14ac:dyDescent="0.3">
      <c r="J112688"/>
    </row>
    <row r="112689" spans="10:10" x14ac:dyDescent="0.3">
      <c r="J112689"/>
    </row>
    <row r="112690" spans="10:10" x14ac:dyDescent="0.3">
      <c r="J112690"/>
    </row>
    <row r="112691" spans="10:10" x14ac:dyDescent="0.3">
      <c r="J112691"/>
    </row>
    <row r="112692" spans="10:10" x14ac:dyDescent="0.3">
      <c r="J112692"/>
    </row>
    <row r="112693" spans="10:10" x14ac:dyDescent="0.3">
      <c r="J112693"/>
    </row>
    <row r="112694" spans="10:10" x14ac:dyDescent="0.3">
      <c r="J112694"/>
    </row>
    <row r="112695" spans="10:10" x14ac:dyDescent="0.3">
      <c r="J112695"/>
    </row>
    <row r="112696" spans="10:10" x14ac:dyDescent="0.3">
      <c r="J112696"/>
    </row>
    <row r="112697" spans="10:10" x14ac:dyDescent="0.3">
      <c r="J112697"/>
    </row>
    <row r="112698" spans="10:10" x14ac:dyDescent="0.3">
      <c r="J112698"/>
    </row>
    <row r="112699" spans="10:10" x14ac:dyDescent="0.3">
      <c r="J112699"/>
    </row>
    <row r="112700" spans="10:10" x14ac:dyDescent="0.3">
      <c r="J112700"/>
    </row>
    <row r="112701" spans="10:10" x14ac:dyDescent="0.3">
      <c r="J112701"/>
    </row>
    <row r="112702" spans="10:10" x14ac:dyDescent="0.3">
      <c r="J112702"/>
    </row>
    <row r="112703" spans="10:10" x14ac:dyDescent="0.3">
      <c r="J112703"/>
    </row>
    <row r="112704" spans="10:10" x14ac:dyDescent="0.3">
      <c r="J112704"/>
    </row>
    <row r="112705" spans="10:10" x14ac:dyDescent="0.3">
      <c r="J112705"/>
    </row>
    <row r="112706" spans="10:10" x14ac:dyDescent="0.3">
      <c r="J112706"/>
    </row>
    <row r="112707" spans="10:10" x14ac:dyDescent="0.3">
      <c r="J112707"/>
    </row>
    <row r="112708" spans="10:10" x14ac:dyDescent="0.3">
      <c r="J112708"/>
    </row>
    <row r="112709" spans="10:10" x14ac:dyDescent="0.3">
      <c r="J112709"/>
    </row>
    <row r="112710" spans="10:10" x14ac:dyDescent="0.3">
      <c r="J112710"/>
    </row>
    <row r="112711" spans="10:10" x14ac:dyDescent="0.3">
      <c r="J112711"/>
    </row>
    <row r="112712" spans="10:10" x14ac:dyDescent="0.3">
      <c r="J112712"/>
    </row>
    <row r="112713" spans="10:10" x14ac:dyDescent="0.3">
      <c r="J112713"/>
    </row>
    <row r="112714" spans="10:10" x14ac:dyDescent="0.3">
      <c r="J112714"/>
    </row>
    <row r="112715" spans="10:10" x14ac:dyDescent="0.3">
      <c r="J112715"/>
    </row>
    <row r="112716" spans="10:10" x14ac:dyDescent="0.3">
      <c r="J112716"/>
    </row>
    <row r="112717" spans="10:10" x14ac:dyDescent="0.3">
      <c r="J112717"/>
    </row>
    <row r="112718" spans="10:10" x14ac:dyDescent="0.3">
      <c r="J112718"/>
    </row>
    <row r="112719" spans="10:10" x14ac:dyDescent="0.3">
      <c r="J112719"/>
    </row>
    <row r="112720" spans="10:10" x14ac:dyDescent="0.3">
      <c r="J112720"/>
    </row>
    <row r="112721" spans="10:10" x14ac:dyDescent="0.3">
      <c r="J112721"/>
    </row>
    <row r="112722" spans="10:10" x14ac:dyDescent="0.3">
      <c r="J112722"/>
    </row>
    <row r="112723" spans="10:10" x14ac:dyDescent="0.3">
      <c r="J112723"/>
    </row>
    <row r="112724" spans="10:10" x14ac:dyDescent="0.3">
      <c r="J112724"/>
    </row>
    <row r="112725" spans="10:10" x14ac:dyDescent="0.3">
      <c r="J112725"/>
    </row>
    <row r="112726" spans="10:10" x14ac:dyDescent="0.3">
      <c r="J112726"/>
    </row>
    <row r="112727" spans="10:10" x14ac:dyDescent="0.3">
      <c r="J112727"/>
    </row>
    <row r="112728" spans="10:10" x14ac:dyDescent="0.3">
      <c r="J112728"/>
    </row>
    <row r="112729" spans="10:10" x14ac:dyDescent="0.3">
      <c r="J112729"/>
    </row>
    <row r="112730" spans="10:10" x14ac:dyDescent="0.3">
      <c r="J112730"/>
    </row>
    <row r="112731" spans="10:10" x14ac:dyDescent="0.3">
      <c r="J112731"/>
    </row>
    <row r="112732" spans="10:10" x14ac:dyDescent="0.3">
      <c r="J112732"/>
    </row>
    <row r="112733" spans="10:10" x14ac:dyDescent="0.3">
      <c r="J112733"/>
    </row>
    <row r="112734" spans="10:10" x14ac:dyDescent="0.3">
      <c r="J112734"/>
    </row>
    <row r="112735" spans="10:10" x14ac:dyDescent="0.3">
      <c r="J112735"/>
    </row>
    <row r="112736" spans="10:10" x14ac:dyDescent="0.3">
      <c r="J112736"/>
    </row>
    <row r="112737" spans="10:10" x14ac:dyDescent="0.3">
      <c r="J112737"/>
    </row>
    <row r="112738" spans="10:10" x14ac:dyDescent="0.3">
      <c r="J112738"/>
    </row>
    <row r="112739" spans="10:10" x14ac:dyDescent="0.3">
      <c r="J112739"/>
    </row>
    <row r="112740" spans="10:10" x14ac:dyDescent="0.3">
      <c r="J112740"/>
    </row>
    <row r="112741" spans="10:10" x14ac:dyDescent="0.3">
      <c r="J112741"/>
    </row>
    <row r="112742" spans="10:10" x14ac:dyDescent="0.3">
      <c r="J112742"/>
    </row>
    <row r="112743" spans="10:10" x14ac:dyDescent="0.3">
      <c r="J112743"/>
    </row>
    <row r="112744" spans="10:10" x14ac:dyDescent="0.3">
      <c r="J112744"/>
    </row>
    <row r="112745" spans="10:10" x14ac:dyDescent="0.3">
      <c r="J112745"/>
    </row>
    <row r="112746" spans="10:10" x14ac:dyDescent="0.3">
      <c r="J112746"/>
    </row>
    <row r="112747" spans="10:10" x14ac:dyDescent="0.3">
      <c r="J112747"/>
    </row>
    <row r="112748" spans="10:10" x14ac:dyDescent="0.3">
      <c r="J112748"/>
    </row>
    <row r="112749" spans="10:10" x14ac:dyDescent="0.3">
      <c r="J112749"/>
    </row>
    <row r="112750" spans="10:10" x14ac:dyDescent="0.3">
      <c r="J112750"/>
    </row>
    <row r="112751" spans="10:10" x14ac:dyDescent="0.3">
      <c r="J112751"/>
    </row>
    <row r="112752" spans="10:10" x14ac:dyDescent="0.3">
      <c r="J112752"/>
    </row>
    <row r="112753" spans="10:10" x14ac:dyDescent="0.3">
      <c r="J112753"/>
    </row>
    <row r="112754" spans="10:10" x14ac:dyDescent="0.3">
      <c r="J112754"/>
    </row>
    <row r="112755" spans="10:10" x14ac:dyDescent="0.3">
      <c r="J112755"/>
    </row>
    <row r="112756" spans="10:10" x14ac:dyDescent="0.3">
      <c r="J112756"/>
    </row>
    <row r="112757" spans="10:10" x14ac:dyDescent="0.3">
      <c r="J112757"/>
    </row>
    <row r="112758" spans="10:10" x14ac:dyDescent="0.3">
      <c r="J112758"/>
    </row>
    <row r="112759" spans="10:10" x14ac:dyDescent="0.3">
      <c r="J112759"/>
    </row>
    <row r="112760" spans="10:10" x14ac:dyDescent="0.3">
      <c r="J112760"/>
    </row>
    <row r="112761" spans="10:10" x14ac:dyDescent="0.3">
      <c r="J112761"/>
    </row>
    <row r="112762" spans="10:10" x14ac:dyDescent="0.3">
      <c r="J112762"/>
    </row>
    <row r="112763" spans="10:10" x14ac:dyDescent="0.3">
      <c r="J112763"/>
    </row>
    <row r="112764" spans="10:10" x14ac:dyDescent="0.3">
      <c r="J112764"/>
    </row>
    <row r="112765" spans="10:10" x14ac:dyDescent="0.3">
      <c r="J112765"/>
    </row>
    <row r="112766" spans="10:10" x14ac:dyDescent="0.3">
      <c r="J112766"/>
    </row>
    <row r="112767" spans="10:10" x14ac:dyDescent="0.3">
      <c r="J112767"/>
    </row>
    <row r="112768" spans="10:10" x14ac:dyDescent="0.3">
      <c r="J112768"/>
    </row>
    <row r="112769" spans="10:10" x14ac:dyDescent="0.3">
      <c r="J112769"/>
    </row>
    <row r="112770" spans="10:10" x14ac:dyDescent="0.3">
      <c r="J112770"/>
    </row>
    <row r="112771" spans="10:10" x14ac:dyDescent="0.3">
      <c r="J112771"/>
    </row>
    <row r="112772" spans="10:10" x14ac:dyDescent="0.3">
      <c r="J112772"/>
    </row>
    <row r="112773" spans="10:10" x14ac:dyDescent="0.3">
      <c r="J112773"/>
    </row>
    <row r="112774" spans="10:10" x14ac:dyDescent="0.3">
      <c r="J112774"/>
    </row>
    <row r="112775" spans="10:10" x14ac:dyDescent="0.3">
      <c r="J112775"/>
    </row>
    <row r="112776" spans="10:10" x14ac:dyDescent="0.3">
      <c r="J112776"/>
    </row>
    <row r="112777" spans="10:10" x14ac:dyDescent="0.3">
      <c r="J112777"/>
    </row>
    <row r="112778" spans="10:10" x14ac:dyDescent="0.3">
      <c r="J112778"/>
    </row>
    <row r="112779" spans="10:10" x14ac:dyDescent="0.3">
      <c r="J112779"/>
    </row>
    <row r="112780" spans="10:10" x14ac:dyDescent="0.3">
      <c r="J112780"/>
    </row>
    <row r="112781" spans="10:10" x14ac:dyDescent="0.3">
      <c r="J112781"/>
    </row>
    <row r="112782" spans="10:10" x14ac:dyDescent="0.3">
      <c r="J112782"/>
    </row>
    <row r="112783" spans="10:10" x14ac:dyDescent="0.3">
      <c r="J112783"/>
    </row>
    <row r="112784" spans="10:10" x14ac:dyDescent="0.3">
      <c r="J112784"/>
    </row>
    <row r="112785" spans="10:10" x14ac:dyDescent="0.3">
      <c r="J112785"/>
    </row>
    <row r="112786" spans="10:10" x14ac:dyDescent="0.3">
      <c r="J112786"/>
    </row>
    <row r="112787" spans="10:10" x14ac:dyDescent="0.3">
      <c r="J112787"/>
    </row>
    <row r="112788" spans="10:10" x14ac:dyDescent="0.3">
      <c r="J112788"/>
    </row>
    <row r="112789" spans="10:10" x14ac:dyDescent="0.3">
      <c r="J112789"/>
    </row>
    <row r="112790" spans="10:10" x14ac:dyDescent="0.3">
      <c r="J112790"/>
    </row>
    <row r="112791" spans="10:10" x14ac:dyDescent="0.3">
      <c r="J112791"/>
    </row>
    <row r="112792" spans="10:10" x14ac:dyDescent="0.3">
      <c r="J112792"/>
    </row>
    <row r="112793" spans="10:10" x14ac:dyDescent="0.3">
      <c r="J112793"/>
    </row>
    <row r="112794" spans="10:10" x14ac:dyDescent="0.3">
      <c r="J112794"/>
    </row>
    <row r="112795" spans="10:10" x14ac:dyDescent="0.3">
      <c r="J112795"/>
    </row>
    <row r="112796" spans="10:10" x14ac:dyDescent="0.3">
      <c r="J112796"/>
    </row>
    <row r="112797" spans="10:10" x14ac:dyDescent="0.3">
      <c r="J112797"/>
    </row>
    <row r="112798" spans="10:10" x14ac:dyDescent="0.3">
      <c r="J112798"/>
    </row>
    <row r="112799" spans="10:10" x14ac:dyDescent="0.3">
      <c r="J112799"/>
    </row>
    <row r="112800" spans="10:10" x14ac:dyDescent="0.3">
      <c r="J112800"/>
    </row>
    <row r="112801" spans="10:10" x14ac:dyDescent="0.3">
      <c r="J112801"/>
    </row>
    <row r="112802" spans="10:10" x14ac:dyDescent="0.3">
      <c r="J112802"/>
    </row>
    <row r="112803" spans="10:10" x14ac:dyDescent="0.3">
      <c r="J112803"/>
    </row>
    <row r="112804" spans="10:10" x14ac:dyDescent="0.3">
      <c r="J112804"/>
    </row>
    <row r="112805" spans="10:10" x14ac:dyDescent="0.3">
      <c r="J112805"/>
    </row>
    <row r="112806" spans="10:10" x14ac:dyDescent="0.3">
      <c r="J112806"/>
    </row>
    <row r="112807" spans="10:10" x14ac:dyDescent="0.3">
      <c r="J112807"/>
    </row>
    <row r="112808" spans="10:10" x14ac:dyDescent="0.3">
      <c r="J112808"/>
    </row>
    <row r="112809" spans="10:10" x14ac:dyDescent="0.3">
      <c r="J112809"/>
    </row>
    <row r="112810" spans="10:10" x14ac:dyDescent="0.3">
      <c r="J112810"/>
    </row>
    <row r="112811" spans="10:10" x14ac:dyDescent="0.3">
      <c r="J112811"/>
    </row>
    <row r="112812" spans="10:10" x14ac:dyDescent="0.3">
      <c r="J112812"/>
    </row>
    <row r="112813" spans="10:10" x14ac:dyDescent="0.3">
      <c r="J112813"/>
    </row>
    <row r="112814" spans="10:10" x14ac:dyDescent="0.3">
      <c r="J112814"/>
    </row>
    <row r="112815" spans="10:10" x14ac:dyDescent="0.3">
      <c r="J112815"/>
    </row>
    <row r="112816" spans="10:10" x14ac:dyDescent="0.3">
      <c r="J112816"/>
    </row>
    <row r="112817" spans="10:10" x14ac:dyDescent="0.3">
      <c r="J112817"/>
    </row>
    <row r="112818" spans="10:10" x14ac:dyDescent="0.3">
      <c r="J112818"/>
    </row>
    <row r="112819" spans="10:10" x14ac:dyDescent="0.3">
      <c r="J112819"/>
    </row>
    <row r="112820" spans="10:10" x14ac:dyDescent="0.3">
      <c r="J112820"/>
    </row>
    <row r="112821" spans="10:10" x14ac:dyDescent="0.3">
      <c r="J112821"/>
    </row>
    <row r="112822" spans="10:10" x14ac:dyDescent="0.3">
      <c r="J112822"/>
    </row>
    <row r="112823" spans="10:10" x14ac:dyDescent="0.3">
      <c r="J112823"/>
    </row>
    <row r="112824" spans="10:10" x14ac:dyDescent="0.3">
      <c r="J112824"/>
    </row>
    <row r="112825" spans="10:10" x14ac:dyDescent="0.3">
      <c r="J112825"/>
    </row>
    <row r="112826" spans="10:10" x14ac:dyDescent="0.3">
      <c r="J112826"/>
    </row>
    <row r="112827" spans="10:10" x14ac:dyDescent="0.3">
      <c r="J112827"/>
    </row>
    <row r="112828" spans="10:10" x14ac:dyDescent="0.3">
      <c r="J112828"/>
    </row>
    <row r="112829" spans="10:10" x14ac:dyDescent="0.3">
      <c r="J112829"/>
    </row>
    <row r="112830" spans="10:10" x14ac:dyDescent="0.3">
      <c r="J112830"/>
    </row>
    <row r="112831" spans="10:10" x14ac:dyDescent="0.3">
      <c r="J112831"/>
    </row>
    <row r="112832" spans="10:10" x14ac:dyDescent="0.3">
      <c r="J112832"/>
    </row>
    <row r="112833" spans="10:10" x14ac:dyDescent="0.3">
      <c r="J112833"/>
    </row>
    <row r="112834" spans="10:10" x14ac:dyDescent="0.3">
      <c r="J112834"/>
    </row>
    <row r="112835" spans="10:10" x14ac:dyDescent="0.3">
      <c r="J112835"/>
    </row>
    <row r="112836" spans="10:10" x14ac:dyDescent="0.3">
      <c r="J112836"/>
    </row>
    <row r="112837" spans="10:10" x14ac:dyDescent="0.3">
      <c r="J112837"/>
    </row>
    <row r="112838" spans="10:10" x14ac:dyDescent="0.3">
      <c r="J112838"/>
    </row>
    <row r="112839" spans="10:10" x14ac:dyDescent="0.3">
      <c r="J112839"/>
    </row>
    <row r="112840" spans="10:10" x14ac:dyDescent="0.3">
      <c r="J112840"/>
    </row>
    <row r="112841" spans="10:10" x14ac:dyDescent="0.3">
      <c r="J112841"/>
    </row>
    <row r="112842" spans="10:10" x14ac:dyDescent="0.3">
      <c r="J112842"/>
    </row>
    <row r="112843" spans="10:10" x14ac:dyDescent="0.3">
      <c r="J112843"/>
    </row>
    <row r="112844" spans="10:10" x14ac:dyDescent="0.3">
      <c r="J112844"/>
    </row>
    <row r="112845" spans="10:10" x14ac:dyDescent="0.3">
      <c r="J112845"/>
    </row>
    <row r="112846" spans="10:10" x14ac:dyDescent="0.3">
      <c r="J112846"/>
    </row>
    <row r="112847" spans="10:10" x14ac:dyDescent="0.3">
      <c r="J112847"/>
    </row>
    <row r="112848" spans="10:10" x14ac:dyDescent="0.3">
      <c r="J112848"/>
    </row>
    <row r="112849" spans="10:10" x14ac:dyDescent="0.3">
      <c r="J112849"/>
    </row>
    <row r="112850" spans="10:10" x14ac:dyDescent="0.3">
      <c r="J112850"/>
    </row>
    <row r="112851" spans="10:10" x14ac:dyDescent="0.3">
      <c r="J112851"/>
    </row>
    <row r="112852" spans="10:10" x14ac:dyDescent="0.3">
      <c r="J112852"/>
    </row>
    <row r="112853" spans="10:10" x14ac:dyDescent="0.3">
      <c r="J112853"/>
    </row>
    <row r="112854" spans="10:10" x14ac:dyDescent="0.3">
      <c r="J112854"/>
    </row>
    <row r="112855" spans="10:10" x14ac:dyDescent="0.3">
      <c r="J112855"/>
    </row>
    <row r="112856" spans="10:10" x14ac:dyDescent="0.3">
      <c r="J112856"/>
    </row>
    <row r="112857" spans="10:10" x14ac:dyDescent="0.3">
      <c r="J112857"/>
    </row>
    <row r="112858" spans="10:10" x14ac:dyDescent="0.3">
      <c r="J112858"/>
    </row>
    <row r="112859" spans="10:10" x14ac:dyDescent="0.3">
      <c r="J112859"/>
    </row>
    <row r="112860" spans="10:10" x14ac:dyDescent="0.3">
      <c r="J112860"/>
    </row>
    <row r="112861" spans="10:10" x14ac:dyDescent="0.3">
      <c r="J112861"/>
    </row>
    <row r="112862" spans="10:10" x14ac:dyDescent="0.3">
      <c r="J112862"/>
    </row>
    <row r="112863" spans="10:10" x14ac:dyDescent="0.3">
      <c r="J112863"/>
    </row>
    <row r="112864" spans="10:10" x14ac:dyDescent="0.3">
      <c r="J112864"/>
    </row>
    <row r="112865" spans="10:10" x14ac:dyDescent="0.3">
      <c r="J112865"/>
    </row>
    <row r="112866" spans="10:10" x14ac:dyDescent="0.3">
      <c r="J112866"/>
    </row>
    <row r="112867" spans="10:10" x14ac:dyDescent="0.3">
      <c r="J112867"/>
    </row>
    <row r="112868" spans="10:10" x14ac:dyDescent="0.3">
      <c r="J112868"/>
    </row>
    <row r="112869" spans="10:10" x14ac:dyDescent="0.3">
      <c r="J112869"/>
    </row>
    <row r="112870" spans="10:10" x14ac:dyDescent="0.3">
      <c r="J112870"/>
    </row>
    <row r="112871" spans="10:10" x14ac:dyDescent="0.3">
      <c r="J112871"/>
    </row>
    <row r="112872" spans="10:10" x14ac:dyDescent="0.3">
      <c r="J112872"/>
    </row>
    <row r="112873" spans="10:10" x14ac:dyDescent="0.3">
      <c r="J112873"/>
    </row>
    <row r="112874" spans="10:10" x14ac:dyDescent="0.3">
      <c r="J112874"/>
    </row>
    <row r="112875" spans="10:10" x14ac:dyDescent="0.3">
      <c r="J112875"/>
    </row>
    <row r="112876" spans="10:10" x14ac:dyDescent="0.3">
      <c r="J112876"/>
    </row>
    <row r="112877" spans="10:10" x14ac:dyDescent="0.3">
      <c r="J112877"/>
    </row>
    <row r="112878" spans="10:10" x14ac:dyDescent="0.3">
      <c r="J112878"/>
    </row>
    <row r="112879" spans="10:10" x14ac:dyDescent="0.3">
      <c r="J112879"/>
    </row>
    <row r="112880" spans="10:10" x14ac:dyDescent="0.3">
      <c r="J112880"/>
    </row>
    <row r="112881" spans="10:10" x14ac:dyDescent="0.3">
      <c r="J112881"/>
    </row>
    <row r="112882" spans="10:10" x14ac:dyDescent="0.3">
      <c r="J112882"/>
    </row>
    <row r="112883" spans="10:10" x14ac:dyDescent="0.3">
      <c r="J112883"/>
    </row>
    <row r="112884" spans="10:10" x14ac:dyDescent="0.3">
      <c r="J112884"/>
    </row>
    <row r="112885" spans="10:10" x14ac:dyDescent="0.3">
      <c r="J112885"/>
    </row>
    <row r="112886" spans="10:10" x14ac:dyDescent="0.3">
      <c r="J112886"/>
    </row>
    <row r="112887" spans="10:10" x14ac:dyDescent="0.3">
      <c r="J112887"/>
    </row>
    <row r="112888" spans="10:10" x14ac:dyDescent="0.3">
      <c r="J112888"/>
    </row>
    <row r="112889" spans="10:10" x14ac:dyDescent="0.3">
      <c r="J112889"/>
    </row>
    <row r="112890" spans="10:10" x14ac:dyDescent="0.3">
      <c r="J112890"/>
    </row>
    <row r="112891" spans="10:10" x14ac:dyDescent="0.3">
      <c r="J112891"/>
    </row>
    <row r="112892" spans="10:10" x14ac:dyDescent="0.3">
      <c r="J112892"/>
    </row>
    <row r="112893" spans="10:10" x14ac:dyDescent="0.3">
      <c r="J112893"/>
    </row>
    <row r="112894" spans="10:10" x14ac:dyDescent="0.3">
      <c r="J112894"/>
    </row>
    <row r="112895" spans="10:10" x14ac:dyDescent="0.3">
      <c r="J112895"/>
    </row>
    <row r="112896" spans="10:10" x14ac:dyDescent="0.3">
      <c r="J112896"/>
    </row>
    <row r="112897" spans="10:10" x14ac:dyDescent="0.3">
      <c r="J112897"/>
    </row>
    <row r="112898" spans="10:10" x14ac:dyDescent="0.3">
      <c r="J112898"/>
    </row>
    <row r="112899" spans="10:10" x14ac:dyDescent="0.3">
      <c r="J112899"/>
    </row>
    <row r="112900" spans="10:10" x14ac:dyDescent="0.3">
      <c r="J112900"/>
    </row>
    <row r="112901" spans="10:10" x14ac:dyDescent="0.3">
      <c r="J112901"/>
    </row>
    <row r="112902" spans="10:10" x14ac:dyDescent="0.3">
      <c r="J112902"/>
    </row>
    <row r="112903" spans="10:10" x14ac:dyDescent="0.3">
      <c r="J112903"/>
    </row>
    <row r="112904" spans="10:10" x14ac:dyDescent="0.3">
      <c r="J112904"/>
    </row>
    <row r="112905" spans="10:10" x14ac:dyDescent="0.3">
      <c r="J112905"/>
    </row>
    <row r="112906" spans="10:10" x14ac:dyDescent="0.3">
      <c r="J112906"/>
    </row>
    <row r="112907" spans="10:10" x14ac:dyDescent="0.3">
      <c r="J112907"/>
    </row>
    <row r="112908" spans="10:10" x14ac:dyDescent="0.3">
      <c r="J112908"/>
    </row>
    <row r="112909" spans="10:10" x14ac:dyDescent="0.3">
      <c r="J112909"/>
    </row>
    <row r="112910" spans="10:10" x14ac:dyDescent="0.3">
      <c r="J112910"/>
    </row>
    <row r="112911" spans="10:10" x14ac:dyDescent="0.3">
      <c r="J112911"/>
    </row>
    <row r="112912" spans="10:10" x14ac:dyDescent="0.3">
      <c r="J112912"/>
    </row>
    <row r="112913" spans="10:10" x14ac:dyDescent="0.3">
      <c r="J112913"/>
    </row>
    <row r="112914" spans="10:10" x14ac:dyDescent="0.3">
      <c r="J112914"/>
    </row>
    <row r="112915" spans="10:10" x14ac:dyDescent="0.3">
      <c r="J112915"/>
    </row>
    <row r="112916" spans="10:10" x14ac:dyDescent="0.3">
      <c r="J112916"/>
    </row>
    <row r="112917" spans="10:10" x14ac:dyDescent="0.3">
      <c r="J112917"/>
    </row>
    <row r="112918" spans="10:10" x14ac:dyDescent="0.3">
      <c r="J112918"/>
    </row>
    <row r="112919" spans="10:10" x14ac:dyDescent="0.3">
      <c r="J112919"/>
    </row>
    <row r="112920" spans="10:10" x14ac:dyDescent="0.3">
      <c r="J112920"/>
    </row>
    <row r="112921" spans="10:10" x14ac:dyDescent="0.3">
      <c r="J112921"/>
    </row>
    <row r="112922" spans="10:10" x14ac:dyDescent="0.3">
      <c r="J112922"/>
    </row>
    <row r="112923" spans="10:10" x14ac:dyDescent="0.3">
      <c r="J112923"/>
    </row>
    <row r="112924" spans="10:10" x14ac:dyDescent="0.3">
      <c r="J112924"/>
    </row>
    <row r="112925" spans="10:10" x14ac:dyDescent="0.3">
      <c r="J112925"/>
    </row>
    <row r="112926" spans="10:10" x14ac:dyDescent="0.3">
      <c r="J112926"/>
    </row>
    <row r="112927" spans="10:10" x14ac:dyDescent="0.3">
      <c r="J112927"/>
    </row>
    <row r="112928" spans="10:10" x14ac:dyDescent="0.3">
      <c r="J112928"/>
    </row>
    <row r="112929" spans="10:10" x14ac:dyDescent="0.3">
      <c r="J112929"/>
    </row>
    <row r="112930" spans="10:10" x14ac:dyDescent="0.3">
      <c r="J112930"/>
    </row>
    <row r="112931" spans="10:10" x14ac:dyDescent="0.3">
      <c r="J112931"/>
    </row>
    <row r="112932" spans="10:10" x14ac:dyDescent="0.3">
      <c r="J112932"/>
    </row>
    <row r="112933" spans="10:10" x14ac:dyDescent="0.3">
      <c r="J112933"/>
    </row>
    <row r="112934" spans="10:10" x14ac:dyDescent="0.3">
      <c r="J112934"/>
    </row>
    <row r="112935" spans="10:10" x14ac:dyDescent="0.3">
      <c r="J112935"/>
    </row>
    <row r="112936" spans="10:10" x14ac:dyDescent="0.3">
      <c r="J112936"/>
    </row>
    <row r="112937" spans="10:10" x14ac:dyDescent="0.3">
      <c r="J112937"/>
    </row>
    <row r="112938" spans="10:10" x14ac:dyDescent="0.3">
      <c r="J112938"/>
    </row>
    <row r="112939" spans="10:10" x14ac:dyDescent="0.3">
      <c r="J112939"/>
    </row>
    <row r="112940" spans="10:10" x14ac:dyDescent="0.3">
      <c r="J112940"/>
    </row>
    <row r="112941" spans="10:10" x14ac:dyDescent="0.3">
      <c r="J112941"/>
    </row>
    <row r="112942" spans="10:10" x14ac:dyDescent="0.3">
      <c r="J112942"/>
    </row>
    <row r="112943" spans="10:10" x14ac:dyDescent="0.3">
      <c r="J112943"/>
    </row>
    <row r="112944" spans="10:10" x14ac:dyDescent="0.3">
      <c r="J112944"/>
    </row>
    <row r="112945" spans="10:10" x14ac:dyDescent="0.3">
      <c r="J112945"/>
    </row>
    <row r="112946" spans="10:10" x14ac:dyDescent="0.3">
      <c r="J112946"/>
    </row>
    <row r="112947" spans="10:10" x14ac:dyDescent="0.3">
      <c r="J112947"/>
    </row>
    <row r="112948" spans="10:10" x14ac:dyDescent="0.3">
      <c r="J112948"/>
    </row>
    <row r="112949" spans="10:10" x14ac:dyDescent="0.3">
      <c r="J112949"/>
    </row>
    <row r="112950" spans="10:10" x14ac:dyDescent="0.3">
      <c r="J112950"/>
    </row>
    <row r="112951" spans="10:10" x14ac:dyDescent="0.3">
      <c r="J112951"/>
    </row>
    <row r="112952" spans="10:10" x14ac:dyDescent="0.3">
      <c r="J112952"/>
    </row>
    <row r="112953" spans="10:10" x14ac:dyDescent="0.3">
      <c r="J112953"/>
    </row>
    <row r="112954" spans="10:10" x14ac:dyDescent="0.3">
      <c r="J112954"/>
    </row>
    <row r="112955" spans="10:10" x14ac:dyDescent="0.3">
      <c r="J112955"/>
    </row>
    <row r="112956" spans="10:10" x14ac:dyDescent="0.3">
      <c r="J112956"/>
    </row>
    <row r="112957" spans="10:10" x14ac:dyDescent="0.3">
      <c r="J112957"/>
    </row>
    <row r="112958" spans="10:10" x14ac:dyDescent="0.3">
      <c r="J112958"/>
    </row>
    <row r="112959" spans="10:10" x14ac:dyDescent="0.3">
      <c r="J112959"/>
    </row>
    <row r="112960" spans="10:10" x14ac:dyDescent="0.3">
      <c r="J112960"/>
    </row>
    <row r="112961" spans="10:10" x14ac:dyDescent="0.3">
      <c r="J112961"/>
    </row>
    <row r="112962" spans="10:10" x14ac:dyDescent="0.3">
      <c r="J112962"/>
    </row>
    <row r="112963" spans="10:10" x14ac:dyDescent="0.3">
      <c r="J112963"/>
    </row>
    <row r="112964" spans="10:10" x14ac:dyDescent="0.3">
      <c r="J112964"/>
    </row>
    <row r="112965" spans="10:10" x14ac:dyDescent="0.3">
      <c r="J112965"/>
    </row>
    <row r="112966" spans="10:10" x14ac:dyDescent="0.3">
      <c r="J112966"/>
    </row>
    <row r="112967" spans="10:10" x14ac:dyDescent="0.3">
      <c r="J112967"/>
    </row>
    <row r="112968" spans="10:10" x14ac:dyDescent="0.3">
      <c r="J112968"/>
    </row>
    <row r="112969" spans="10:10" x14ac:dyDescent="0.3">
      <c r="J112969"/>
    </row>
    <row r="112970" spans="10:10" x14ac:dyDescent="0.3">
      <c r="J112970"/>
    </row>
    <row r="112971" spans="10:10" x14ac:dyDescent="0.3">
      <c r="J112971"/>
    </row>
    <row r="112972" spans="10:10" x14ac:dyDescent="0.3">
      <c r="J112972"/>
    </row>
    <row r="112973" spans="10:10" x14ac:dyDescent="0.3">
      <c r="J112973"/>
    </row>
    <row r="112974" spans="10:10" x14ac:dyDescent="0.3">
      <c r="J112974"/>
    </row>
    <row r="112975" spans="10:10" x14ac:dyDescent="0.3">
      <c r="J112975"/>
    </row>
    <row r="112976" spans="10:10" x14ac:dyDescent="0.3">
      <c r="J112976"/>
    </row>
    <row r="112977" spans="10:10" x14ac:dyDescent="0.3">
      <c r="J112977"/>
    </row>
    <row r="112978" spans="10:10" x14ac:dyDescent="0.3">
      <c r="J112978"/>
    </row>
    <row r="112979" spans="10:10" x14ac:dyDescent="0.3">
      <c r="J112979"/>
    </row>
    <row r="112980" spans="10:10" x14ac:dyDescent="0.3">
      <c r="J112980"/>
    </row>
    <row r="112981" spans="10:10" x14ac:dyDescent="0.3">
      <c r="J112981"/>
    </row>
    <row r="112982" spans="10:10" x14ac:dyDescent="0.3">
      <c r="J112982"/>
    </row>
    <row r="112983" spans="10:10" x14ac:dyDescent="0.3">
      <c r="J112983"/>
    </row>
    <row r="112984" spans="10:10" x14ac:dyDescent="0.3">
      <c r="J112984"/>
    </row>
    <row r="112985" spans="10:10" x14ac:dyDescent="0.3">
      <c r="J112985"/>
    </row>
    <row r="112986" spans="10:10" x14ac:dyDescent="0.3">
      <c r="J112986"/>
    </row>
    <row r="112987" spans="10:10" x14ac:dyDescent="0.3">
      <c r="J112987"/>
    </row>
    <row r="112988" spans="10:10" x14ac:dyDescent="0.3">
      <c r="J112988"/>
    </row>
    <row r="112989" spans="10:10" x14ac:dyDescent="0.3">
      <c r="J112989"/>
    </row>
    <row r="112990" spans="10:10" x14ac:dyDescent="0.3">
      <c r="J112990"/>
    </row>
    <row r="112991" spans="10:10" x14ac:dyDescent="0.3">
      <c r="J112991"/>
    </row>
    <row r="112992" spans="10:10" x14ac:dyDescent="0.3">
      <c r="J112992"/>
    </row>
    <row r="112993" spans="10:10" x14ac:dyDescent="0.3">
      <c r="J112993"/>
    </row>
    <row r="112994" spans="10:10" x14ac:dyDescent="0.3">
      <c r="J112994"/>
    </row>
    <row r="112995" spans="10:10" x14ac:dyDescent="0.3">
      <c r="J112995"/>
    </row>
    <row r="112996" spans="10:10" x14ac:dyDescent="0.3">
      <c r="J112996"/>
    </row>
    <row r="112997" spans="10:10" x14ac:dyDescent="0.3">
      <c r="J112997"/>
    </row>
    <row r="112998" spans="10:10" x14ac:dyDescent="0.3">
      <c r="J112998"/>
    </row>
    <row r="112999" spans="10:10" x14ac:dyDescent="0.3">
      <c r="J112999"/>
    </row>
    <row r="113000" spans="10:10" x14ac:dyDescent="0.3">
      <c r="J113000"/>
    </row>
    <row r="113001" spans="10:10" x14ac:dyDescent="0.3">
      <c r="J113001"/>
    </row>
    <row r="113002" spans="10:10" x14ac:dyDescent="0.3">
      <c r="J113002"/>
    </row>
    <row r="113003" spans="10:10" x14ac:dyDescent="0.3">
      <c r="J113003"/>
    </row>
    <row r="113004" spans="10:10" x14ac:dyDescent="0.3">
      <c r="J113004"/>
    </row>
    <row r="113005" spans="10:10" x14ac:dyDescent="0.3">
      <c r="J113005"/>
    </row>
    <row r="113006" spans="10:10" x14ac:dyDescent="0.3">
      <c r="J113006"/>
    </row>
    <row r="113007" spans="10:10" x14ac:dyDescent="0.3">
      <c r="J113007"/>
    </row>
    <row r="113008" spans="10:10" x14ac:dyDescent="0.3">
      <c r="J113008"/>
    </row>
    <row r="113009" spans="10:10" x14ac:dyDescent="0.3">
      <c r="J113009"/>
    </row>
    <row r="113010" spans="10:10" x14ac:dyDescent="0.3">
      <c r="J113010"/>
    </row>
    <row r="113011" spans="10:10" x14ac:dyDescent="0.3">
      <c r="J113011"/>
    </row>
    <row r="113012" spans="10:10" x14ac:dyDescent="0.3">
      <c r="J113012"/>
    </row>
    <row r="113013" spans="10:10" x14ac:dyDescent="0.3">
      <c r="J113013"/>
    </row>
    <row r="113014" spans="10:10" x14ac:dyDescent="0.3">
      <c r="J113014"/>
    </row>
    <row r="113015" spans="10:10" x14ac:dyDescent="0.3">
      <c r="J113015"/>
    </row>
    <row r="113016" spans="10:10" x14ac:dyDescent="0.3">
      <c r="J113016"/>
    </row>
    <row r="113017" spans="10:10" x14ac:dyDescent="0.3">
      <c r="J113017"/>
    </row>
    <row r="113018" spans="10:10" x14ac:dyDescent="0.3">
      <c r="J113018"/>
    </row>
    <row r="113019" spans="10:10" x14ac:dyDescent="0.3">
      <c r="J113019"/>
    </row>
    <row r="113020" spans="10:10" x14ac:dyDescent="0.3">
      <c r="J113020"/>
    </row>
    <row r="113021" spans="10:10" x14ac:dyDescent="0.3">
      <c r="J113021"/>
    </row>
    <row r="113022" spans="10:10" x14ac:dyDescent="0.3">
      <c r="J113022"/>
    </row>
    <row r="113023" spans="10:10" x14ac:dyDescent="0.3">
      <c r="J113023"/>
    </row>
    <row r="113024" spans="10:10" x14ac:dyDescent="0.3">
      <c r="J113024"/>
    </row>
    <row r="113025" spans="10:10" x14ac:dyDescent="0.3">
      <c r="J113025"/>
    </row>
    <row r="113026" spans="10:10" x14ac:dyDescent="0.3">
      <c r="J113026"/>
    </row>
    <row r="113027" spans="10:10" x14ac:dyDescent="0.3">
      <c r="J113027"/>
    </row>
    <row r="113028" spans="10:10" x14ac:dyDescent="0.3">
      <c r="J113028"/>
    </row>
    <row r="113029" spans="10:10" x14ac:dyDescent="0.3">
      <c r="J113029"/>
    </row>
    <row r="113030" spans="10:10" x14ac:dyDescent="0.3">
      <c r="J113030"/>
    </row>
    <row r="113031" spans="10:10" x14ac:dyDescent="0.3">
      <c r="J113031"/>
    </row>
    <row r="113032" spans="10:10" x14ac:dyDescent="0.3">
      <c r="J113032"/>
    </row>
    <row r="113033" spans="10:10" x14ac:dyDescent="0.3">
      <c r="J113033"/>
    </row>
    <row r="113034" spans="10:10" x14ac:dyDescent="0.3">
      <c r="J113034"/>
    </row>
    <row r="113035" spans="10:10" x14ac:dyDescent="0.3">
      <c r="J113035"/>
    </row>
    <row r="113036" spans="10:10" x14ac:dyDescent="0.3">
      <c r="J113036"/>
    </row>
    <row r="113037" spans="10:10" x14ac:dyDescent="0.3">
      <c r="J113037"/>
    </row>
    <row r="113038" spans="10:10" x14ac:dyDescent="0.3">
      <c r="J113038"/>
    </row>
    <row r="113039" spans="10:10" x14ac:dyDescent="0.3">
      <c r="J113039"/>
    </row>
    <row r="113040" spans="10:10" x14ac:dyDescent="0.3">
      <c r="J113040"/>
    </row>
    <row r="113041" spans="10:10" x14ac:dyDescent="0.3">
      <c r="J113041"/>
    </row>
    <row r="113042" spans="10:10" x14ac:dyDescent="0.3">
      <c r="J113042"/>
    </row>
    <row r="113043" spans="10:10" x14ac:dyDescent="0.3">
      <c r="J113043"/>
    </row>
    <row r="113044" spans="10:10" x14ac:dyDescent="0.3">
      <c r="J113044"/>
    </row>
    <row r="113045" spans="10:10" x14ac:dyDescent="0.3">
      <c r="J113045"/>
    </row>
    <row r="113046" spans="10:10" x14ac:dyDescent="0.3">
      <c r="J113046"/>
    </row>
    <row r="113047" spans="10:10" x14ac:dyDescent="0.3">
      <c r="J113047"/>
    </row>
    <row r="113048" spans="10:10" x14ac:dyDescent="0.3">
      <c r="J113048"/>
    </row>
    <row r="113049" spans="10:10" x14ac:dyDescent="0.3">
      <c r="J113049"/>
    </row>
    <row r="113050" spans="10:10" x14ac:dyDescent="0.3">
      <c r="J113050"/>
    </row>
    <row r="113051" spans="10:10" x14ac:dyDescent="0.3">
      <c r="J113051"/>
    </row>
    <row r="113052" spans="10:10" x14ac:dyDescent="0.3">
      <c r="J113052"/>
    </row>
    <row r="113053" spans="10:10" x14ac:dyDescent="0.3">
      <c r="J113053"/>
    </row>
    <row r="113054" spans="10:10" x14ac:dyDescent="0.3">
      <c r="J113054"/>
    </row>
    <row r="113055" spans="10:10" x14ac:dyDescent="0.3">
      <c r="J113055"/>
    </row>
    <row r="113056" spans="10:10" x14ac:dyDescent="0.3">
      <c r="J113056"/>
    </row>
    <row r="113057" spans="10:10" x14ac:dyDescent="0.3">
      <c r="J113057"/>
    </row>
    <row r="113058" spans="10:10" x14ac:dyDescent="0.3">
      <c r="J113058"/>
    </row>
    <row r="113059" spans="10:10" x14ac:dyDescent="0.3">
      <c r="J113059"/>
    </row>
    <row r="113060" spans="10:10" x14ac:dyDescent="0.3">
      <c r="J113060"/>
    </row>
    <row r="113061" spans="10:10" x14ac:dyDescent="0.3">
      <c r="J113061"/>
    </row>
    <row r="113062" spans="10:10" x14ac:dyDescent="0.3">
      <c r="J113062"/>
    </row>
    <row r="113063" spans="10:10" x14ac:dyDescent="0.3">
      <c r="J113063"/>
    </row>
    <row r="113064" spans="10:10" x14ac:dyDescent="0.3">
      <c r="J113064"/>
    </row>
    <row r="113065" spans="10:10" x14ac:dyDescent="0.3">
      <c r="J113065"/>
    </row>
    <row r="113066" spans="10:10" x14ac:dyDescent="0.3">
      <c r="J113066"/>
    </row>
    <row r="113067" spans="10:10" x14ac:dyDescent="0.3">
      <c r="J113067"/>
    </row>
    <row r="113068" spans="10:10" x14ac:dyDescent="0.3">
      <c r="J113068"/>
    </row>
    <row r="113069" spans="10:10" x14ac:dyDescent="0.3">
      <c r="J113069"/>
    </row>
    <row r="113070" spans="10:10" x14ac:dyDescent="0.3">
      <c r="J113070"/>
    </row>
    <row r="113071" spans="10:10" x14ac:dyDescent="0.3">
      <c r="J113071"/>
    </row>
    <row r="113072" spans="10:10" x14ac:dyDescent="0.3">
      <c r="J113072"/>
    </row>
    <row r="113073" spans="10:10" x14ac:dyDescent="0.3">
      <c r="J113073"/>
    </row>
    <row r="113074" spans="10:10" x14ac:dyDescent="0.3">
      <c r="J113074"/>
    </row>
    <row r="113075" spans="10:10" x14ac:dyDescent="0.3">
      <c r="J113075"/>
    </row>
    <row r="113076" spans="10:10" x14ac:dyDescent="0.3">
      <c r="J113076"/>
    </row>
    <row r="113077" spans="10:10" x14ac:dyDescent="0.3">
      <c r="J113077"/>
    </row>
    <row r="113078" spans="10:10" x14ac:dyDescent="0.3">
      <c r="J113078"/>
    </row>
    <row r="113079" spans="10:10" x14ac:dyDescent="0.3">
      <c r="J113079"/>
    </row>
    <row r="113080" spans="10:10" x14ac:dyDescent="0.3">
      <c r="J113080"/>
    </row>
    <row r="113081" spans="10:10" x14ac:dyDescent="0.3">
      <c r="J113081"/>
    </row>
    <row r="113082" spans="10:10" x14ac:dyDescent="0.3">
      <c r="J113082"/>
    </row>
    <row r="113083" spans="10:10" x14ac:dyDescent="0.3">
      <c r="J113083"/>
    </row>
    <row r="113084" spans="10:10" x14ac:dyDescent="0.3">
      <c r="J113084"/>
    </row>
    <row r="113085" spans="10:10" x14ac:dyDescent="0.3">
      <c r="J113085"/>
    </row>
    <row r="113086" spans="10:10" x14ac:dyDescent="0.3">
      <c r="J113086"/>
    </row>
    <row r="113087" spans="10:10" x14ac:dyDescent="0.3">
      <c r="J113087"/>
    </row>
    <row r="113088" spans="10:10" x14ac:dyDescent="0.3">
      <c r="J113088"/>
    </row>
    <row r="113089" spans="10:10" x14ac:dyDescent="0.3">
      <c r="J113089"/>
    </row>
    <row r="113090" spans="10:10" x14ac:dyDescent="0.3">
      <c r="J113090"/>
    </row>
    <row r="113091" spans="10:10" x14ac:dyDescent="0.3">
      <c r="J113091"/>
    </row>
    <row r="113092" spans="10:10" x14ac:dyDescent="0.3">
      <c r="J113092"/>
    </row>
    <row r="113093" spans="10:10" x14ac:dyDescent="0.3">
      <c r="J113093"/>
    </row>
    <row r="113094" spans="10:10" x14ac:dyDescent="0.3">
      <c r="J113094"/>
    </row>
    <row r="113095" spans="10:10" x14ac:dyDescent="0.3">
      <c r="J113095"/>
    </row>
    <row r="113096" spans="10:10" x14ac:dyDescent="0.3">
      <c r="J113096"/>
    </row>
    <row r="113097" spans="10:10" x14ac:dyDescent="0.3">
      <c r="J113097"/>
    </row>
    <row r="113098" spans="10:10" x14ac:dyDescent="0.3">
      <c r="J113098"/>
    </row>
    <row r="113099" spans="10:10" x14ac:dyDescent="0.3">
      <c r="J113099"/>
    </row>
    <row r="113100" spans="10:10" x14ac:dyDescent="0.3">
      <c r="J113100"/>
    </row>
    <row r="113101" spans="10:10" x14ac:dyDescent="0.3">
      <c r="J113101"/>
    </row>
    <row r="113102" spans="10:10" x14ac:dyDescent="0.3">
      <c r="J113102"/>
    </row>
    <row r="113103" spans="10:10" x14ac:dyDescent="0.3">
      <c r="J113103"/>
    </row>
    <row r="113104" spans="10:10" x14ac:dyDescent="0.3">
      <c r="J113104"/>
    </row>
    <row r="113105" spans="10:10" x14ac:dyDescent="0.3">
      <c r="J113105"/>
    </row>
    <row r="113106" spans="10:10" x14ac:dyDescent="0.3">
      <c r="J113106"/>
    </row>
    <row r="113107" spans="10:10" x14ac:dyDescent="0.3">
      <c r="J113107"/>
    </row>
    <row r="113108" spans="10:10" x14ac:dyDescent="0.3">
      <c r="J113108"/>
    </row>
    <row r="113109" spans="10:10" x14ac:dyDescent="0.3">
      <c r="J113109"/>
    </row>
    <row r="113110" spans="10:10" x14ac:dyDescent="0.3">
      <c r="J113110"/>
    </row>
    <row r="113111" spans="10:10" x14ac:dyDescent="0.3">
      <c r="J113111"/>
    </row>
    <row r="113112" spans="10:10" x14ac:dyDescent="0.3">
      <c r="J113112"/>
    </row>
    <row r="113113" spans="10:10" x14ac:dyDescent="0.3">
      <c r="J113113"/>
    </row>
    <row r="113114" spans="10:10" x14ac:dyDescent="0.3">
      <c r="J113114"/>
    </row>
    <row r="113115" spans="10:10" x14ac:dyDescent="0.3">
      <c r="J113115"/>
    </row>
    <row r="113116" spans="10:10" x14ac:dyDescent="0.3">
      <c r="J113116"/>
    </row>
    <row r="113117" spans="10:10" x14ac:dyDescent="0.3">
      <c r="J113117"/>
    </row>
    <row r="113118" spans="10:10" x14ac:dyDescent="0.3">
      <c r="J113118"/>
    </row>
    <row r="113119" spans="10:10" x14ac:dyDescent="0.3">
      <c r="J113119"/>
    </row>
    <row r="113120" spans="10:10" x14ac:dyDescent="0.3">
      <c r="J113120"/>
    </row>
    <row r="113121" spans="10:10" x14ac:dyDescent="0.3">
      <c r="J113121"/>
    </row>
    <row r="113122" spans="10:10" x14ac:dyDescent="0.3">
      <c r="J113122"/>
    </row>
    <row r="113123" spans="10:10" x14ac:dyDescent="0.3">
      <c r="J113123"/>
    </row>
    <row r="113124" spans="10:10" x14ac:dyDescent="0.3">
      <c r="J113124"/>
    </row>
    <row r="113125" spans="10:10" x14ac:dyDescent="0.3">
      <c r="J113125"/>
    </row>
    <row r="113126" spans="10:10" x14ac:dyDescent="0.3">
      <c r="J113126"/>
    </row>
    <row r="113127" spans="10:10" x14ac:dyDescent="0.3">
      <c r="J113127"/>
    </row>
    <row r="113128" spans="10:10" x14ac:dyDescent="0.3">
      <c r="J113128"/>
    </row>
    <row r="113129" spans="10:10" x14ac:dyDescent="0.3">
      <c r="J113129"/>
    </row>
    <row r="113130" spans="10:10" x14ac:dyDescent="0.3">
      <c r="J113130"/>
    </row>
    <row r="113131" spans="10:10" x14ac:dyDescent="0.3">
      <c r="J113131"/>
    </row>
    <row r="113132" spans="10:10" x14ac:dyDescent="0.3">
      <c r="J113132"/>
    </row>
    <row r="113133" spans="10:10" x14ac:dyDescent="0.3">
      <c r="J113133"/>
    </row>
    <row r="113134" spans="10:10" x14ac:dyDescent="0.3">
      <c r="J113134"/>
    </row>
    <row r="113135" spans="10:10" x14ac:dyDescent="0.3">
      <c r="J113135"/>
    </row>
    <row r="113136" spans="10:10" x14ac:dyDescent="0.3">
      <c r="J113136"/>
    </row>
    <row r="113137" spans="10:10" x14ac:dyDescent="0.3">
      <c r="J113137"/>
    </row>
    <row r="113138" spans="10:10" x14ac:dyDescent="0.3">
      <c r="J113138"/>
    </row>
    <row r="113139" spans="10:10" x14ac:dyDescent="0.3">
      <c r="J113139"/>
    </row>
    <row r="113140" spans="10:10" x14ac:dyDescent="0.3">
      <c r="J113140"/>
    </row>
    <row r="113141" spans="10:10" x14ac:dyDescent="0.3">
      <c r="J113141"/>
    </row>
    <row r="113142" spans="10:10" x14ac:dyDescent="0.3">
      <c r="J113142"/>
    </row>
    <row r="113143" spans="10:10" x14ac:dyDescent="0.3">
      <c r="J113143"/>
    </row>
    <row r="113144" spans="10:10" x14ac:dyDescent="0.3">
      <c r="J113144"/>
    </row>
    <row r="113145" spans="10:10" x14ac:dyDescent="0.3">
      <c r="J113145"/>
    </row>
    <row r="113146" spans="10:10" x14ac:dyDescent="0.3">
      <c r="J113146"/>
    </row>
    <row r="113147" spans="10:10" x14ac:dyDescent="0.3">
      <c r="J113147"/>
    </row>
    <row r="113148" spans="10:10" x14ac:dyDescent="0.3">
      <c r="J113148"/>
    </row>
    <row r="113149" spans="10:10" x14ac:dyDescent="0.3">
      <c r="J113149"/>
    </row>
    <row r="113150" spans="10:10" x14ac:dyDescent="0.3">
      <c r="J113150"/>
    </row>
    <row r="113151" spans="10:10" x14ac:dyDescent="0.3">
      <c r="J113151"/>
    </row>
    <row r="113152" spans="10:10" x14ac:dyDescent="0.3">
      <c r="J113152"/>
    </row>
    <row r="113153" spans="10:10" x14ac:dyDescent="0.3">
      <c r="J113153"/>
    </row>
    <row r="113154" spans="10:10" x14ac:dyDescent="0.3">
      <c r="J113154"/>
    </row>
    <row r="113155" spans="10:10" x14ac:dyDescent="0.3">
      <c r="J113155"/>
    </row>
    <row r="113156" spans="10:10" x14ac:dyDescent="0.3">
      <c r="J113156"/>
    </row>
    <row r="113157" spans="10:10" x14ac:dyDescent="0.3">
      <c r="J113157"/>
    </row>
    <row r="113158" spans="10:10" x14ac:dyDescent="0.3">
      <c r="J113158"/>
    </row>
    <row r="113159" spans="10:10" x14ac:dyDescent="0.3">
      <c r="J113159"/>
    </row>
    <row r="113160" spans="10:10" x14ac:dyDescent="0.3">
      <c r="J113160"/>
    </row>
    <row r="113161" spans="10:10" x14ac:dyDescent="0.3">
      <c r="J113161"/>
    </row>
    <row r="113162" spans="10:10" x14ac:dyDescent="0.3">
      <c r="J113162"/>
    </row>
    <row r="113163" spans="10:10" x14ac:dyDescent="0.3">
      <c r="J113163"/>
    </row>
    <row r="113164" spans="10:10" x14ac:dyDescent="0.3">
      <c r="J113164"/>
    </row>
    <row r="113165" spans="10:10" x14ac:dyDescent="0.3">
      <c r="J113165"/>
    </row>
    <row r="113166" spans="10:10" x14ac:dyDescent="0.3">
      <c r="J113166"/>
    </row>
    <row r="113167" spans="10:10" x14ac:dyDescent="0.3">
      <c r="J113167"/>
    </row>
    <row r="113168" spans="10:10" x14ac:dyDescent="0.3">
      <c r="J113168"/>
    </row>
    <row r="113169" spans="10:10" x14ac:dyDescent="0.3">
      <c r="J113169"/>
    </row>
    <row r="113170" spans="10:10" x14ac:dyDescent="0.3">
      <c r="J113170"/>
    </row>
    <row r="113171" spans="10:10" x14ac:dyDescent="0.3">
      <c r="J113171"/>
    </row>
    <row r="113172" spans="10:10" x14ac:dyDescent="0.3">
      <c r="J113172"/>
    </row>
    <row r="113173" spans="10:10" x14ac:dyDescent="0.3">
      <c r="J113173"/>
    </row>
    <row r="113174" spans="10:10" x14ac:dyDescent="0.3">
      <c r="J113174"/>
    </row>
    <row r="113175" spans="10:10" x14ac:dyDescent="0.3">
      <c r="J113175"/>
    </row>
    <row r="113176" spans="10:10" x14ac:dyDescent="0.3">
      <c r="J113176"/>
    </row>
    <row r="113177" spans="10:10" x14ac:dyDescent="0.3">
      <c r="J113177"/>
    </row>
    <row r="113178" spans="10:10" x14ac:dyDescent="0.3">
      <c r="J113178"/>
    </row>
    <row r="113179" spans="10:10" x14ac:dyDescent="0.3">
      <c r="J113179"/>
    </row>
    <row r="113180" spans="10:10" x14ac:dyDescent="0.3">
      <c r="J113180"/>
    </row>
    <row r="113181" spans="10:10" x14ac:dyDescent="0.3">
      <c r="J113181"/>
    </row>
    <row r="113182" spans="10:10" x14ac:dyDescent="0.3">
      <c r="J113182"/>
    </row>
    <row r="113183" spans="10:10" x14ac:dyDescent="0.3">
      <c r="J113183"/>
    </row>
    <row r="113184" spans="10:10" x14ac:dyDescent="0.3">
      <c r="J113184"/>
    </row>
    <row r="113185" spans="10:10" x14ac:dyDescent="0.3">
      <c r="J113185"/>
    </row>
    <row r="113186" spans="10:10" x14ac:dyDescent="0.3">
      <c r="J113186"/>
    </row>
    <row r="113187" spans="10:10" x14ac:dyDescent="0.3">
      <c r="J113187"/>
    </row>
    <row r="113188" spans="10:10" x14ac:dyDescent="0.3">
      <c r="J113188"/>
    </row>
    <row r="113189" spans="10:10" x14ac:dyDescent="0.3">
      <c r="J113189"/>
    </row>
    <row r="113190" spans="10:10" x14ac:dyDescent="0.3">
      <c r="J113190"/>
    </row>
    <row r="113191" spans="10:10" x14ac:dyDescent="0.3">
      <c r="J113191"/>
    </row>
    <row r="113192" spans="10:10" x14ac:dyDescent="0.3">
      <c r="J113192"/>
    </row>
    <row r="113193" spans="10:10" x14ac:dyDescent="0.3">
      <c r="J113193"/>
    </row>
    <row r="113194" spans="10:10" x14ac:dyDescent="0.3">
      <c r="J113194"/>
    </row>
    <row r="113195" spans="10:10" x14ac:dyDescent="0.3">
      <c r="J113195"/>
    </row>
    <row r="113196" spans="10:10" x14ac:dyDescent="0.3">
      <c r="J113196"/>
    </row>
    <row r="113197" spans="10:10" x14ac:dyDescent="0.3">
      <c r="J113197"/>
    </row>
    <row r="113198" spans="10:10" x14ac:dyDescent="0.3">
      <c r="J113198"/>
    </row>
    <row r="113199" spans="10:10" x14ac:dyDescent="0.3">
      <c r="J113199"/>
    </row>
    <row r="113200" spans="10:10" x14ac:dyDescent="0.3">
      <c r="J113200"/>
    </row>
    <row r="113201" spans="10:10" x14ac:dyDescent="0.3">
      <c r="J113201"/>
    </row>
    <row r="113202" spans="10:10" x14ac:dyDescent="0.3">
      <c r="J113202"/>
    </row>
    <row r="113203" spans="10:10" x14ac:dyDescent="0.3">
      <c r="J113203"/>
    </row>
    <row r="113204" spans="10:10" x14ac:dyDescent="0.3">
      <c r="J113204"/>
    </row>
    <row r="113205" spans="10:10" x14ac:dyDescent="0.3">
      <c r="J113205"/>
    </row>
    <row r="113206" spans="10:10" x14ac:dyDescent="0.3">
      <c r="J113206"/>
    </row>
    <row r="113207" spans="10:10" x14ac:dyDescent="0.3">
      <c r="J113207"/>
    </row>
    <row r="113208" spans="10:10" x14ac:dyDescent="0.3">
      <c r="J113208"/>
    </row>
    <row r="113209" spans="10:10" x14ac:dyDescent="0.3">
      <c r="J113209"/>
    </row>
    <row r="113210" spans="10:10" x14ac:dyDescent="0.3">
      <c r="J113210"/>
    </row>
    <row r="113211" spans="10:10" x14ac:dyDescent="0.3">
      <c r="J113211"/>
    </row>
    <row r="113212" spans="10:10" x14ac:dyDescent="0.3">
      <c r="J113212"/>
    </row>
    <row r="113213" spans="10:10" x14ac:dyDescent="0.3">
      <c r="J113213"/>
    </row>
    <row r="113214" spans="10:10" x14ac:dyDescent="0.3">
      <c r="J113214"/>
    </row>
    <row r="113215" spans="10:10" x14ac:dyDescent="0.3">
      <c r="J113215"/>
    </row>
    <row r="113216" spans="10:10" x14ac:dyDescent="0.3">
      <c r="J113216"/>
    </row>
    <row r="113217" spans="10:10" x14ac:dyDescent="0.3">
      <c r="J113217"/>
    </row>
    <row r="113218" spans="10:10" x14ac:dyDescent="0.3">
      <c r="J113218"/>
    </row>
    <row r="113219" spans="10:10" x14ac:dyDescent="0.3">
      <c r="J113219"/>
    </row>
    <row r="113220" spans="10:10" x14ac:dyDescent="0.3">
      <c r="J113220"/>
    </row>
    <row r="113221" spans="10:10" x14ac:dyDescent="0.3">
      <c r="J113221"/>
    </row>
    <row r="113222" spans="10:10" x14ac:dyDescent="0.3">
      <c r="J113222"/>
    </row>
    <row r="113223" spans="10:10" x14ac:dyDescent="0.3">
      <c r="J113223"/>
    </row>
    <row r="113224" spans="10:10" x14ac:dyDescent="0.3">
      <c r="J113224"/>
    </row>
    <row r="113225" spans="10:10" x14ac:dyDescent="0.3">
      <c r="J113225"/>
    </row>
    <row r="113226" spans="10:10" x14ac:dyDescent="0.3">
      <c r="J113226"/>
    </row>
    <row r="113227" spans="10:10" x14ac:dyDescent="0.3">
      <c r="J113227"/>
    </row>
    <row r="113228" spans="10:10" x14ac:dyDescent="0.3">
      <c r="J113228"/>
    </row>
    <row r="113229" spans="10:10" x14ac:dyDescent="0.3">
      <c r="J113229"/>
    </row>
    <row r="113230" spans="10:10" x14ac:dyDescent="0.3">
      <c r="J113230"/>
    </row>
    <row r="113231" spans="10:10" x14ac:dyDescent="0.3">
      <c r="J113231"/>
    </row>
    <row r="113232" spans="10:10" x14ac:dyDescent="0.3">
      <c r="J113232"/>
    </row>
    <row r="113233" spans="10:10" x14ac:dyDescent="0.3">
      <c r="J113233"/>
    </row>
    <row r="113234" spans="10:10" x14ac:dyDescent="0.3">
      <c r="J113234"/>
    </row>
    <row r="113235" spans="10:10" x14ac:dyDescent="0.3">
      <c r="J113235"/>
    </row>
    <row r="113236" spans="10:10" x14ac:dyDescent="0.3">
      <c r="J113236"/>
    </row>
    <row r="113237" spans="10:10" x14ac:dyDescent="0.3">
      <c r="J113237"/>
    </row>
    <row r="113238" spans="10:10" x14ac:dyDescent="0.3">
      <c r="J113238"/>
    </row>
    <row r="113239" spans="10:10" x14ac:dyDescent="0.3">
      <c r="J113239"/>
    </row>
    <row r="113240" spans="10:10" x14ac:dyDescent="0.3">
      <c r="J113240"/>
    </row>
    <row r="113241" spans="10:10" x14ac:dyDescent="0.3">
      <c r="J113241"/>
    </row>
    <row r="113242" spans="10:10" x14ac:dyDescent="0.3">
      <c r="J113242"/>
    </row>
    <row r="113243" spans="10:10" x14ac:dyDescent="0.3">
      <c r="J113243"/>
    </row>
    <row r="113244" spans="10:10" x14ac:dyDescent="0.3">
      <c r="J113244"/>
    </row>
    <row r="113245" spans="10:10" x14ac:dyDescent="0.3">
      <c r="J113245"/>
    </row>
    <row r="113246" spans="10:10" x14ac:dyDescent="0.3">
      <c r="J113246"/>
    </row>
    <row r="113247" spans="10:10" x14ac:dyDescent="0.3">
      <c r="J113247"/>
    </row>
    <row r="113248" spans="10:10" x14ac:dyDescent="0.3">
      <c r="J113248"/>
    </row>
    <row r="113249" spans="10:10" x14ac:dyDescent="0.3">
      <c r="J113249"/>
    </row>
    <row r="113250" spans="10:10" x14ac:dyDescent="0.3">
      <c r="J113250"/>
    </row>
    <row r="113251" spans="10:10" x14ac:dyDescent="0.3">
      <c r="J113251"/>
    </row>
    <row r="113252" spans="10:10" x14ac:dyDescent="0.3">
      <c r="J113252"/>
    </row>
    <row r="113253" spans="10:10" x14ac:dyDescent="0.3">
      <c r="J113253"/>
    </row>
    <row r="113254" spans="10:10" x14ac:dyDescent="0.3">
      <c r="J113254"/>
    </row>
    <row r="113255" spans="10:10" x14ac:dyDescent="0.3">
      <c r="J113255"/>
    </row>
    <row r="113256" spans="10:10" x14ac:dyDescent="0.3">
      <c r="J113256"/>
    </row>
    <row r="113257" spans="10:10" x14ac:dyDescent="0.3">
      <c r="J113257"/>
    </row>
    <row r="113258" spans="10:10" x14ac:dyDescent="0.3">
      <c r="J113258"/>
    </row>
    <row r="113259" spans="10:10" x14ac:dyDescent="0.3">
      <c r="J113259"/>
    </row>
    <row r="113260" spans="10:10" x14ac:dyDescent="0.3">
      <c r="J113260"/>
    </row>
    <row r="113261" spans="10:10" x14ac:dyDescent="0.3">
      <c r="J113261"/>
    </row>
    <row r="113262" spans="10:10" x14ac:dyDescent="0.3">
      <c r="J113262"/>
    </row>
    <row r="113263" spans="10:10" x14ac:dyDescent="0.3">
      <c r="J113263"/>
    </row>
    <row r="113264" spans="10:10" x14ac:dyDescent="0.3">
      <c r="J113264"/>
    </row>
    <row r="113265" spans="10:10" x14ac:dyDescent="0.3">
      <c r="J113265"/>
    </row>
    <row r="113266" spans="10:10" x14ac:dyDescent="0.3">
      <c r="J113266"/>
    </row>
    <row r="113267" spans="10:10" x14ac:dyDescent="0.3">
      <c r="J113267"/>
    </row>
    <row r="113268" spans="10:10" x14ac:dyDescent="0.3">
      <c r="J113268"/>
    </row>
    <row r="113269" spans="10:10" x14ac:dyDescent="0.3">
      <c r="J113269"/>
    </row>
    <row r="113270" spans="10:10" x14ac:dyDescent="0.3">
      <c r="J113270"/>
    </row>
    <row r="113271" spans="10:10" x14ac:dyDescent="0.3">
      <c r="J113271"/>
    </row>
    <row r="113272" spans="10:10" x14ac:dyDescent="0.3">
      <c r="J113272"/>
    </row>
    <row r="113273" spans="10:10" x14ac:dyDescent="0.3">
      <c r="J113273"/>
    </row>
    <row r="113274" spans="10:10" x14ac:dyDescent="0.3">
      <c r="J113274"/>
    </row>
    <row r="113275" spans="10:10" x14ac:dyDescent="0.3">
      <c r="J113275"/>
    </row>
    <row r="113276" spans="10:10" x14ac:dyDescent="0.3">
      <c r="J113276"/>
    </row>
    <row r="113277" spans="10:10" x14ac:dyDescent="0.3">
      <c r="J113277"/>
    </row>
    <row r="113278" spans="10:10" x14ac:dyDescent="0.3">
      <c r="J113278"/>
    </row>
    <row r="113279" spans="10:10" x14ac:dyDescent="0.3">
      <c r="J113279"/>
    </row>
    <row r="113280" spans="10:10" x14ac:dyDescent="0.3">
      <c r="J113280"/>
    </row>
    <row r="113281" spans="10:10" x14ac:dyDescent="0.3">
      <c r="J113281"/>
    </row>
    <row r="113282" spans="10:10" x14ac:dyDescent="0.3">
      <c r="J113282"/>
    </row>
    <row r="113283" spans="10:10" x14ac:dyDescent="0.3">
      <c r="J113283"/>
    </row>
    <row r="113284" spans="10:10" x14ac:dyDescent="0.3">
      <c r="J113284"/>
    </row>
    <row r="113285" spans="10:10" x14ac:dyDescent="0.3">
      <c r="J113285"/>
    </row>
    <row r="113286" spans="10:10" x14ac:dyDescent="0.3">
      <c r="J113286"/>
    </row>
    <row r="113287" spans="10:10" x14ac:dyDescent="0.3">
      <c r="J113287"/>
    </row>
    <row r="113288" spans="10:10" x14ac:dyDescent="0.3">
      <c r="J113288"/>
    </row>
    <row r="113289" spans="10:10" x14ac:dyDescent="0.3">
      <c r="J113289"/>
    </row>
    <row r="113290" spans="10:10" x14ac:dyDescent="0.3">
      <c r="J113290"/>
    </row>
    <row r="113291" spans="10:10" x14ac:dyDescent="0.3">
      <c r="J113291"/>
    </row>
    <row r="113292" spans="10:10" x14ac:dyDescent="0.3">
      <c r="J113292"/>
    </row>
    <row r="113293" spans="10:10" x14ac:dyDescent="0.3">
      <c r="J113293"/>
    </row>
    <row r="113294" spans="10:10" x14ac:dyDescent="0.3">
      <c r="J113294"/>
    </row>
    <row r="113295" spans="10:10" x14ac:dyDescent="0.3">
      <c r="J113295"/>
    </row>
    <row r="113296" spans="10:10" x14ac:dyDescent="0.3">
      <c r="J113296"/>
    </row>
    <row r="113297" spans="10:10" x14ac:dyDescent="0.3">
      <c r="J113297"/>
    </row>
    <row r="113298" spans="10:10" x14ac:dyDescent="0.3">
      <c r="J113298"/>
    </row>
    <row r="113299" spans="10:10" x14ac:dyDescent="0.3">
      <c r="J113299"/>
    </row>
    <row r="113300" spans="10:10" x14ac:dyDescent="0.3">
      <c r="J113300"/>
    </row>
    <row r="113301" spans="10:10" x14ac:dyDescent="0.3">
      <c r="J113301"/>
    </row>
    <row r="113302" spans="10:10" x14ac:dyDescent="0.3">
      <c r="J113302"/>
    </row>
    <row r="113303" spans="10:10" x14ac:dyDescent="0.3">
      <c r="J113303"/>
    </row>
    <row r="113304" spans="10:10" x14ac:dyDescent="0.3">
      <c r="J113304"/>
    </row>
    <row r="113305" spans="10:10" x14ac:dyDescent="0.3">
      <c r="J113305"/>
    </row>
    <row r="113306" spans="10:10" x14ac:dyDescent="0.3">
      <c r="J113306"/>
    </row>
    <row r="113307" spans="10:10" x14ac:dyDescent="0.3">
      <c r="J113307"/>
    </row>
    <row r="113308" spans="10:10" x14ac:dyDescent="0.3">
      <c r="J113308"/>
    </row>
    <row r="113309" spans="10:10" x14ac:dyDescent="0.3">
      <c r="J113309"/>
    </row>
    <row r="113310" spans="10:10" x14ac:dyDescent="0.3">
      <c r="J113310"/>
    </row>
    <row r="113311" spans="10:10" x14ac:dyDescent="0.3">
      <c r="J113311"/>
    </row>
    <row r="113312" spans="10:10" x14ac:dyDescent="0.3">
      <c r="J113312"/>
    </row>
    <row r="113313" spans="10:10" x14ac:dyDescent="0.3">
      <c r="J113313"/>
    </row>
    <row r="113314" spans="10:10" x14ac:dyDescent="0.3">
      <c r="J113314"/>
    </row>
    <row r="113315" spans="10:10" x14ac:dyDescent="0.3">
      <c r="J113315"/>
    </row>
    <row r="113316" spans="10:10" x14ac:dyDescent="0.3">
      <c r="J113316"/>
    </row>
    <row r="113317" spans="10:10" x14ac:dyDescent="0.3">
      <c r="J113317"/>
    </row>
    <row r="113318" spans="10:10" x14ac:dyDescent="0.3">
      <c r="J113318"/>
    </row>
    <row r="113319" spans="10:10" x14ac:dyDescent="0.3">
      <c r="J113319"/>
    </row>
    <row r="113320" spans="10:10" x14ac:dyDescent="0.3">
      <c r="J113320"/>
    </row>
    <row r="113321" spans="10:10" x14ac:dyDescent="0.3">
      <c r="J113321"/>
    </row>
    <row r="113322" spans="10:10" x14ac:dyDescent="0.3">
      <c r="J113322"/>
    </row>
    <row r="113323" spans="10:10" x14ac:dyDescent="0.3">
      <c r="J113323"/>
    </row>
    <row r="113324" spans="10:10" x14ac:dyDescent="0.3">
      <c r="J113324"/>
    </row>
    <row r="113325" spans="10:10" x14ac:dyDescent="0.3">
      <c r="J113325"/>
    </row>
    <row r="113326" spans="10:10" x14ac:dyDescent="0.3">
      <c r="J113326"/>
    </row>
    <row r="113327" spans="10:10" x14ac:dyDescent="0.3">
      <c r="J113327"/>
    </row>
    <row r="113328" spans="10:10" x14ac:dyDescent="0.3">
      <c r="J113328"/>
    </row>
    <row r="113329" spans="10:10" x14ac:dyDescent="0.3">
      <c r="J113329"/>
    </row>
    <row r="113330" spans="10:10" x14ac:dyDescent="0.3">
      <c r="J113330"/>
    </row>
    <row r="113331" spans="10:10" x14ac:dyDescent="0.3">
      <c r="J113331"/>
    </row>
    <row r="113332" spans="10:10" x14ac:dyDescent="0.3">
      <c r="J113332"/>
    </row>
    <row r="113333" spans="10:10" x14ac:dyDescent="0.3">
      <c r="J113333"/>
    </row>
    <row r="113334" spans="10:10" x14ac:dyDescent="0.3">
      <c r="J113334"/>
    </row>
    <row r="113335" spans="10:10" x14ac:dyDescent="0.3">
      <c r="J113335"/>
    </row>
    <row r="113336" spans="10:10" x14ac:dyDescent="0.3">
      <c r="J113336"/>
    </row>
    <row r="113337" spans="10:10" x14ac:dyDescent="0.3">
      <c r="J113337"/>
    </row>
    <row r="113338" spans="10:10" x14ac:dyDescent="0.3">
      <c r="J113338"/>
    </row>
    <row r="113339" spans="10:10" x14ac:dyDescent="0.3">
      <c r="J113339"/>
    </row>
    <row r="113340" spans="10:10" x14ac:dyDescent="0.3">
      <c r="J113340"/>
    </row>
    <row r="113341" spans="10:10" x14ac:dyDescent="0.3">
      <c r="J113341"/>
    </row>
    <row r="113342" spans="10:10" x14ac:dyDescent="0.3">
      <c r="J113342"/>
    </row>
    <row r="113343" spans="10:10" x14ac:dyDescent="0.3">
      <c r="J113343"/>
    </row>
    <row r="113344" spans="10:10" x14ac:dyDescent="0.3">
      <c r="J113344"/>
    </row>
    <row r="113345" spans="10:10" x14ac:dyDescent="0.3">
      <c r="J113345"/>
    </row>
    <row r="113346" spans="10:10" x14ac:dyDescent="0.3">
      <c r="J113346"/>
    </row>
    <row r="113347" spans="10:10" x14ac:dyDescent="0.3">
      <c r="J113347"/>
    </row>
    <row r="113348" spans="10:10" x14ac:dyDescent="0.3">
      <c r="J113348"/>
    </row>
    <row r="113349" spans="10:10" x14ac:dyDescent="0.3">
      <c r="J113349"/>
    </row>
    <row r="113350" spans="10:10" x14ac:dyDescent="0.3">
      <c r="J113350"/>
    </row>
    <row r="113351" spans="10:10" x14ac:dyDescent="0.3">
      <c r="J113351"/>
    </row>
    <row r="113352" spans="10:10" x14ac:dyDescent="0.3">
      <c r="J113352"/>
    </row>
    <row r="113353" spans="10:10" x14ac:dyDescent="0.3">
      <c r="J113353"/>
    </row>
    <row r="113354" spans="10:10" x14ac:dyDescent="0.3">
      <c r="J113354"/>
    </row>
    <row r="113355" spans="10:10" x14ac:dyDescent="0.3">
      <c r="J113355"/>
    </row>
    <row r="113356" spans="10:10" x14ac:dyDescent="0.3">
      <c r="J113356"/>
    </row>
    <row r="113357" spans="10:10" x14ac:dyDescent="0.3">
      <c r="J113357"/>
    </row>
    <row r="113358" spans="10:10" x14ac:dyDescent="0.3">
      <c r="J113358"/>
    </row>
    <row r="113359" spans="10:10" x14ac:dyDescent="0.3">
      <c r="J113359"/>
    </row>
    <row r="113360" spans="10:10" x14ac:dyDescent="0.3">
      <c r="J113360"/>
    </row>
    <row r="113361" spans="10:10" x14ac:dyDescent="0.3">
      <c r="J113361"/>
    </row>
    <row r="113362" spans="10:10" x14ac:dyDescent="0.3">
      <c r="J113362"/>
    </row>
    <row r="113363" spans="10:10" x14ac:dyDescent="0.3">
      <c r="J113363"/>
    </row>
    <row r="113364" spans="10:10" x14ac:dyDescent="0.3">
      <c r="J113364"/>
    </row>
    <row r="113365" spans="10:10" x14ac:dyDescent="0.3">
      <c r="J113365"/>
    </row>
    <row r="113366" spans="10:10" x14ac:dyDescent="0.3">
      <c r="J113366"/>
    </row>
    <row r="113367" spans="10:10" x14ac:dyDescent="0.3">
      <c r="J113367"/>
    </row>
    <row r="113368" spans="10:10" x14ac:dyDescent="0.3">
      <c r="J113368"/>
    </row>
    <row r="113369" spans="10:10" x14ac:dyDescent="0.3">
      <c r="J113369"/>
    </row>
    <row r="113370" spans="10:10" x14ac:dyDescent="0.3">
      <c r="J113370"/>
    </row>
    <row r="113371" spans="10:10" x14ac:dyDescent="0.3">
      <c r="J113371"/>
    </row>
    <row r="113372" spans="10:10" x14ac:dyDescent="0.3">
      <c r="J113372"/>
    </row>
    <row r="113373" spans="10:10" x14ac:dyDescent="0.3">
      <c r="J113373"/>
    </row>
    <row r="113374" spans="10:10" x14ac:dyDescent="0.3">
      <c r="J113374"/>
    </row>
    <row r="113375" spans="10:10" x14ac:dyDescent="0.3">
      <c r="J113375"/>
    </row>
    <row r="113376" spans="10:10" x14ac:dyDescent="0.3">
      <c r="J113376"/>
    </row>
    <row r="113377" spans="10:10" x14ac:dyDescent="0.3">
      <c r="J113377"/>
    </row>
    <row r="113378" spans="10:10" x14ac:dyDescent="0.3">
      <c r="J113378"/>
    </row>
    <row r="113379" spans="10:10" x14ac:dyDescent="0.3">
      <c r="J113379"/>
    </row>
    <row r="113380" spans="10:10" x14ac:dyDescent="0.3">
      <c r="J113380"/>
    </row>
    <row r="113381" spans="10:10" x14ac:dyDescent="0.3">
      <c r="J113381"/>
    </row>
    <row r="113382" spans="10:10" x14ac:dyDescent="0.3">
      <c r="J113382"/>
    </row>
    <row r="113383" spans="10:10" x14ac:dyDescent="0.3">
      <c r="J113383"/>
    </row>
    <row r="113384" spans="10:10" x14ac:dyDescent="0.3">
      <c r="J113384"/>
    </row>
    <row r="113385" spans="10:10" x14ac:dyDescent="0.3">
      <c r="J113385"/>
    </row>
    <row r="113386" spans="10:10" x14ac:dyDescent="0.3">
      <c r="J113386"/>
    </row>
    <row r="113387" spans="10:10" x14ac:dyDescent="0.3">
      <c r="J113387"/>
    </row>
    <row r="113388" spans="10:10" x14ac:dyDescent="0.3">
      <c r="J113388"/>
    </row>
    <row r="113389" spans="10:10" x14ac:dyDescent="0.3">
      <c r="J113389"/>
    </row>
    <row r="113390" spans="10:10" x14ac:dyDescent="0.3">
      <c r="J113390"/>
    </row>
    <row r="113391" spans="10:10" x14ac:dyDescent="0.3">
      <c r="J113391"/>
    </row>
    <row r="113392" spans="10:10" x14ac:dyDescent="0.3">
      <c r="J113392"/>
    </row>
    <row r="113393" spans="10:10" x14ac:dyDescent="0.3">
      <c r="J113393"/>
    </row>
    <row r="113394" spans="10:10" x14ac:dyDescent="0.3">
      <c r="J113394"/>
    </row>
    <row r="113395" spans="10:10" x14ac:dyDescent="0.3">
      <c r="J113395"/>
    </row>
    <row r="113396" spans="10:10" x14ac:dyDescent="0.3">
      <c r="J113396"/>
    </row>
    <row r="113397" spans="10:10" x14ac:dyDescent="0.3">
      <c r="J113397"/>
    </row>
    <row r="113398" spans="10:10" x14ac:dyDescent="0.3">
      <c r="J113398"/>
    </row>
    <row r="113399" spans="10:10" x14ac:dyDescent="0.3">
      <c r="J113399"/>
    </row>
    <row r="113400" spans="10:10" x14ac:dyDescent="0.3">
      <c r="J113400"/>
    </row>
    <row r="113401" spans="10:10" x14ac:dyDescent="0.3">
      <c r="J113401"/>
    </row>
    <row r="113402" spans="10:10" x14ac:dyDescent="0.3">
      <c r="J113402"/>
    </row>
    <row r="113403" spans="10:10" x14ac:dyDescent="0.3">
      <c r="J113403"/>
    </row>
    <row r="113404" spans="10:10" x14ac:dyDescent="0.3">
      <c r="J113404"/>
    </row>
    <row r="113405" spans="10:10" x14ac:dyDescent="0.3">
      <c r="J113405"/>
    </row>
    <row r="113406" spans="10:10" x14ac:dyDescent="0.3">
      <c r="J113406"/>
    </row>
    <row r="113407" spans="10:10" x14ac:dyDescent="0.3">
      <c r="J113407"/>
    </row>
    <row r="113408" spans="10:10" x14ac:dyDescent="0.3">
      <c r="J113408"/>
    </row>
    <row r="113409" spans="10:10" x14ac:dyDescent="0.3">
      <c r="J113409"/>
    </row>
    <row r="113410" spans="10:10" x14ac:dyDescent="0.3">
      <c r="J113410"/>
    </row>
    <row r="113411" spans="10:10" x14ac:dyDescent="0.3">
      <c r="J113411"/>
    </row>
    <row r="113412" spans="10:10" x14ac:dyDescent="0.3">
      <c r="J113412"/>
    </row>
    <row r="113413" spans="10:10" x14ac:dyDescent="0.3">
      <c r="J113413"/>
    </row>
    <row r="113414" spans="10:10" x14ac:dyDescent="0.3">
      <c r="J113414"/>
    </row>
    <row r="113415" spans="10:10" x14ac:dyDescent="0.3">
      <c r="J113415"/>
    </row>
    <row r="113416" spans="10:10" x14ac:dyDescent="0.3">
      <c r="J113416"/>
    </row>
    <row r="113417" spans="10:10" x14ac:dyDescent="0.3">
      <c r="J113417"/>
    </row>
    <row r="113418" spans="10:10" x14ac:dyDescent="0.3">
      <c r="J113418"/>
    </row>
    <row r="113419" spans="10:10" x14ac:dyDescent="0.3">
      <c r="J113419"/>
    </row>
    <row r="113420" spans="10:10" x14ac:dyDescent="0.3">
      <c r="J113420"/>
    </row>
    <row r="113421" spans="10:10" x14ac:dyDescent="0.3">
      <c r="J113421"/>
    </row>
    <row r="113422" spans="10:10" x14ac:dyDescent="0.3">
      <c r="J113422"/>
    </row>
    <row r="113423" spans="10:10" x14ac:dyDescent="0.3">
      <c r="J113423"/>
    </row>
    <row r="113424" spans="10:10" x14ac:dyDescent="0.3">
      <c r="J113424"/>
    </row>
    <row r="113425" spans="10:10" x14ac:dyDescent="0.3">
      <c r="J113425"/>
    </row>
    <row r="113426" spans="10:10" x14ac:dyDescent="0.3">
      <c r="J113426"/>
    </row>
    <row r="113427" spans="10:10" x14ac:dyDescent="0.3">
      <c r="J113427"/>
    </row>
    <row r="113428" spans="10:10" x14ac:dyDescent="0.3">
      <c r="J113428"/>
    </row>
    <row r="113429" spans="10:10" x14ac:dyDescent="0.3">
      <c r="J113429"/>
    </row>
    <row r="113430" spans="10:10" x14ac:dyDescent="0.3">
      <c r="J113430"/>
    </row>
    <row r="113431" spans="10:10" x14ac:dyDescent="0.3">
      <c r="J113431"/>
    </row>
    <row r="113432" spans="10:10" x14ac:dyDescent="0.3">
      <c r="J113432"/>
    </row>
    <row r="113433" spans="10:10" x14ac:dyDescent="0.3">
      <c r="J113433"/>
    </row>
    <row r="113434" spans="10:10" x14ac:dyDescent="0.3">
      <c r="J113434"/>
    </row>
    <row r="113435" spans="10:10" x14ac:dyDescent="0.3">
      <c r="J113435"/>
    </row>
    <row r="113436" spans="10:10" x14ac:dyDescent="0.3">
      <c r="J113436"/>
    </row>
    <row r="113437" spans="10:10" x14ac:dyDescent="0.3">
      <c r="J113437"/>
    </row>
    <row r="113438" spans="10:10" x14ac:dyDescent="0.3">
      <c r="J113438"/>
    </row>
    <row r="113439" spans="10:10" x14ac:dyDescent="0.3">
      <c r="J113439"/>
    </row>
    <row r="113440" spans="10:10" x14ac:dyDescent="0.3">
      <c r="J113440"/>
    </row>
    <row r="113441" spans="10:10" x14ac:dyDescent="0.3">
      <c r="J113441"/>
    </row>
    <row r="113442" spans="10:10" x14ac:dyDescent="0.3">
      <c r="J113442"/>
    </row>
    <row r="113443" spans="10:10" x14ac:dyDescent="0.3">
      <c r="J113443"/>
    </row>
    <row r="113444" spans="10:10" x14ac:dyDescent="0.3">
      <c r="J113444"/>
    </row>
    <row r="113445" spans="10:10" x14ac:dyDescent="0.3">
      <c r="J113445"/>
    </row>
    <row r="113446" spans="10:10" x14ac:dyDescent="0.3">
      <c r="J113446"/>
    </row>
    <row r="113447" spans="10:10" x14ac:dyDescent="0.3">
      <c r="J113447"/>
    </row>
    <row r="113448" spans="10:10" x14ac:dyDescent="0.3">
      <c r="J113448"/>
    </row>
    <row r="113449" spans="10:10" x14ac:dyDescent="0.3">
      <c r="J113449"/>
    </row>
    <row r="113450" spans="10:10" x14ac:dyDescent="0.3">
      <c r="J113450"/>
    </row>
    <row r="113451" spans="10:10" x14ac:dyDescent="0.3">
      <c r="J113451"/>
    </row>
    <row r="113452" spans="10:10" x14ac:dyDescent="0.3">
      <c r="J113452"/>
    </row>
    <row r="113453" spans="10:10" x14ac:dyDescent="0.3">
      <c r="J113453"/>
    </row>
    <row r="113454" spans="10:10" x14ac:dyDescent="0.3">
      <c r="J113454"/>
    </row>
    <row r="113455" spans="10:10" x14ac:dyDescent="0.3">
      <c r="J113455"/>
    </row>
    <row r="113456" spans="10:10" x14ac:dyDescent="0.3">
      <c r="J113456"/>
    </row>
    <row r="113457" spans="10:10" x14ac:dyDescent="0.3">
      <c r="J113457"/>
    </row>
    <row r="113458" spans="10:10" x14ac:dyDescent="0.3">
      <c r="J113458"/>
    </row>
    <row r="113459" spans="10:10" x14ac:dyDescent="0.3">
      <c r="J113459"/>
    </row>
    <row r="113460" spans="10:10" x14ac:dyDescent="0.3">
      <c r="J113460"/>
    </row>
    <row r="113461" spans="10:10" x14ac:dyDescent="0.3">
      <c r="J113461"/>
    </row>
    <row r="113462" spans="10:10" x14ac:dyDescent="0.3">
      <c r="J113462"/>
    </row>
    <row r="113463" spans="10:10" x14ac:dyDescent="0.3">
      <c r="J113463"/>
    </row>
    <row r="113464" spans="10:10" x14ac:dyDescent="0.3">
      <c r="J113464"/>
    </row>
    <row r="113465" spans="10:10" x14ac:dyDescent="0.3">
      <c r="J113465"/>
    </row>
    <row r="113466" spans="10:10" x14ac:dyDescent="0.3">
      <c r="J113466"/>
    </row>
    <row r="113467" spans="10:10" x14ac:dyDescent="0.3">
      <c r="J113467"/>
    </row>
    <row r="113468" spans="10:10" x14ac:dyDescent="0.3">
      <c r="J113468"/>
    </row>
    <row r="113469" spans="10:10" x14ac:dyDescent="0.3">
      <c r="J113469"/>
    </row>
    <row r="113470" spans="10:10" x14ac:dyDescent="0.3">
      <c r="J113470"/>
    </row>
    <row r="113471" spans="10:10" x14ac:dyDescent="0.3">
      <c r="J113471"/>
    </row>
    <row r="113472" spans="10:10" x14ac:dyDescent="0.3">
      <c r="J113472"/>
    </row>
    <row r="113473" spans="10:10" x14ac:dyDescent="0.3">
      <c r="J113473"/>
    </row>
    <row r="113474" spans="10:10" x14ac:dyDescent="0.3">
      <c r="J113474"/>
    </row>
    <row r="113475" spans="10:10" x14ac:dyDescent="0.3">
      <c r="J113475"/>
    </row>
    <row r="113476" spans="10:10" x14ac:dyDescent="0.3">
      <c r="J113476"/>
    </row>
    <row r="113477" spans="10:10" x14ac:dyDescent="0.3">
      <c r="J113477"/>
    </row>
    <row r="113478" spans="10:10" x14ac:dyDescent="0.3">
      <c r="J113478"/>
    </row>
    <row r="113479" spans="10:10" x14ac:dyDescent="0.3">
      <c r="J113479"/>
    </row>
    <row r="113480" spans="10:10" x14ac:dyDescent="0.3">
      <c r="J113480"/>
    </row>
    <row r="113481" spans="10:10" x14ac:dyDescent="0.3">
      <c r="J113481"/>
    </row>
    <row r="113482" spans="10:10" x14ac:dyDescent="0.3">
      <c r="J113482"/>
    </row>
    <row r="113483" spans="10:10" x14ac:dyDescent="0.3">
      <c r="J113483"/>
    </row>
    <row r="113484" spans="10:10" x14ac:dyDescent="0.3">
      <c r="J113484"/>
    </row>
    <row r="113485" spans="10:10" x14ac:dyDescent="0.3">
      <c r="J113485"/>
    </row>
    <row r="113486" spans="10:10" x14ac:dyDescent="0.3">
      <c r="J113486"/>
    </row>
    <row r="113487" spans="10:10" x14ac:dyDescent="0.3">
      <c r="J113487"/>
    </row>
    <row r="113488" spans="10:10" x14ac:dyDescent="0.3">
      <c r="J113488"/>
    </row>
    <row r="113489" spans="10:10" x14ac:dyDescent="0.3">
      <c r="J113489"/>
    </row>
    <row r="113490" spans="10:10" x14ac:dyDescent="0.3">
      <c r="J113490"/>
    </row>
    <row r="113491" spans="10:10" x14ac:dyDescent="0.3">
      <c r="J113491"/>
    </row>
    <row r="113492" spans="10:10" x14ac:dyDescent="0.3">
      <c r="J113492"/>
    </row>
    <row r="113493" spans="10:10" x14ac:dyDescent="0.3">
      <c r="J113493"/>
    </row>
    <row r="113494" spans="10:10" x14ac:dyDescent="0.3">
      <c r="J113494"/>
    </row>
    <row r="113495" spans="10:10" x14ac:dyDescent="0.3">
      <c r="J113495"/>
    </row>
    <row r="113496" spans="10:10" x14ac:dyDescent="0.3">
      <c r="J113496"/>
    </row>
    <row r="113497" spans="10:10" x14ac:dyDescent="0.3">
      <c r="J113497"/>
    </row>
    <row r="113498" spans="10:10" x14ac:dyDescent="0.3">
      <c r="J113498"/>
    </row>
    <row r="113499" spans="10:10" x14ac:dyDescent="0.3">
      <c r="J113499"/>
    </row>
    <row r="113500" spans="10:10" x14ac:dyDescent="0.3">
      <c r="J113500"/>
    </row>
    <row r="113501" spans="10:10" x14ac:dyDescent="0.3">
      <c r="J113501"/>
    </row>
    <row r="113502" spans="10:10" x14ac:dyDescent="0.3">
      <c r="J113502"/>
    </row>
    <row r="113503" spans="10:10" x14ac:dyDescent="0.3">
      <c r="J113503"/>
    </row>
    <row r="113504" spans="10:10" x14ac:dyDescent="0.3">
      <c r="J113504"/>
    </row>
    <row r="113505" spans="10:10" x14ac:dyDescent="0.3">
      <c r="J113505"/>
    </row>
    <row r="113506" spans="10:10" x14ac:dyDescent="0.3">
      <c r="J113506"/>
    </row>
    <row r="113507" spans="10:10" x14ac:dyDescent="0.3">
      <c r="J113507"/>
    </row>
    <row r="113508" spans="10:10" x14ac:dyDescent="0.3">
      <c r="J113508"/>
    </row>
    <row r="113509" spans="10:10" x14ac:dyDescent="0.3">
      <c r="J113509"/>
    </row>
    <row r="113510" spans="10:10" x14ac:dyDescent="0.3">
      <c r="J113510"/>
    </row>
    <row r="113511" spans="10:10" x14ac:dyDescent="0.3">
      <c r="J113511"/>
    </row>
    <row r="113512" spans="10:10" x14ac:dyDescent="0.3">
      <c r="J113512"/>
    </row>
    <row r="113513" spans="10:10" x14ac:dyDescent="0.3">
      <c r="J113513"/>
    </row>
    <row r="113514" spans="10:10" x14ac:dyDescent="0.3">
      <c r="J113514"/>
    </row>
    <row r="113515" spans="10:10" x14ac:dyDescent="0.3">
      <c r="J113515"/>
    </row>
    <row r="113516" spans="10:10" x14ac:dyDescent="0.3">
      <c r="J113516"/>
    </row>
    <row r="113517" spans="10:10" x14ac:dyDescent="0.3">
      <c r="J113517"/>
    </row>
    <row r="113518" spans="10:10" x14ac:dyDescent="0.3">
      <c r="J113518"/>
    </row>
    <row r="113519" spans="10:10" x14ac:dyDescent="0.3">
      <c r="J113519"/>
    </row>
    <row r="113520" spans="10:10" x14ac:dyDescent="0.3">
      <c r="J113520"/>
    </row>
    <row r="113521" spans="10:10" x14ac:dyDescent="0.3">
      <c r="J113521"/>
    </row>
    <row r="113522" spans="10:10" x14ac:dyDescent="0.3">
      <c r="J113522"/>
    </row>
    <row r="113523" spans="10:10" x14ac:dyDescent="0.3">
      <c r="J113523"/>
    </row>
    <row r="113524" spans="10:10" x14ac:dyDescent="0.3">
      <c r="J113524"/>
    </row>
    <row r="113525" spans="10:10" x14ac:dyDescent="0.3">
      <c r="J113525"/>
    </row>
    <row r="113526" spans="10:10" x14ac:dyDescent="0.3">
      <c r="J113526"/>
    </row>
    <row r="113527" spans="10:10" x14ac:dyDescent="0.3">
      <c r="J113527"/>
    </row>
    <row r="113528" spans="10:10" x14ac:dyDescent="0.3">
      <c r="J113528"/>
    </row>
    <row r="113529" spans="10:10" x14ac:dyDescent="0.3">
      <c r="J113529"/>
    </row>
    <row r="113530" spans="10:10" x14ac:dyDescent="0.3">
      <c r="J113530"/>
    </row>
    <row r="113531" spans="10:10" x14ac:dyDescent="0.3">
      <c r="J113531"/>
    </row>
    <row r="113532" spans="10:10" x14ac:dyDescent="0.3">
      <c r="J113532"/>
    </row>
    <row r="113533" spans="10:10" x14ac:dyDescent="0.3">
      <c r="J113533"/>
    </row>
    <row r="113534" spans="10:10" x14ac:dyDescent="0.3">
      <c r="J113534"/>
    </row>
    <row r="113535" spans="10:10" x14ac:dyDescent="0.3">
      <c r="J113535"/>
    </row>
    <row r="113536" spans="10:10" x14ac:dyDescent="0.3">
      <c r="J113536"/>
    </row>
    <row r="113537" spans="10:10" x14ac:dyDescent="0.3">
      <c r="J113537"/>
    </row>
    <row r="113538" spans="10:10" x14ac:dyDescent="0.3">
      <c r="J113538"/>
    </row>
    <row r="113539" spans="10:10" x14ac:dyDescent="0.3">
      <c r="J113539"/>
    </row>
    <row r="113540" spans="10:10" x14ac:dyDescent="0.3">
      <c r="J113540"/>
    </row>
    <row r="113541" spans="10:10" x14ac:dyDescent="0.3">
      <c r="J113541"/>
    </row>
    <row r="113542" spans="10:10" x14ac:dyDescent="0.3">
      <c r="J113542"/>
    </row>
    <row r="113543" spans="10:10" x14ac:dyDescent="0.3">
      <c r="J113543"/>
    </row>
    <row r="113544" spans="10:10" x14ac:dyDescent="0.3">
      <c r="J113544"/>
    </row>
    <row r="113545" spans="10:10" x14ac:dyDescent="0.3">
      <c r="J113545"/>
    </row>
    <row r="113546" spans="10:10" x14ac:dyDescent="0.3">
      <c r="J113546"/>
    </row>
    <row r="113547" spans="10:10" x14ac:dyDescent="0.3">
      <c r="J113547"/>
    </row>
    <row r="113548" spans="10:10" x14ac:dyDescent="0.3">
      <c r="J113548"/>
    </row>
    <row r="113549" spans="10:10" x14ac:dyDescent="0.3">
      <c r="J113549"/>
    </row>
    <row r="113550" spans="10:10" x14ac:dyDescent="0.3">
      <c r="J113550"/>
    </row>
    <row r="113551" spans="10:10" x14ac:dyDescent="0.3">
      <c r="J113551"/>
    </row>
    <row r="113552" spans="10:10" x14ac:dyDescent="0.3">
      <c r="J113552"/>
    </row>
    <row r="113553" spans="10:10" x14ac:dyDescent="0.3">
      <c r="J113553"/>
    </row>
    <row r="113554" spans="10:10" x14ac:dyDescent="0.3">
      <c r="J113554"/>
    </row>
    <row r="113555" spans="10:10" x14ac:dyDescent="0.3">
      <c r="J113555"/>
    </row>
    <row r="113556" spans="10:10" x14ac:dyDescent="0.3">
      <c r="J113556"/>
    </row>
    <row r="113557" spans="10:10" x14ac:dyDescent="0.3">
      <c r="J113557"/>
    </row>
    <row r="113558" spans="10:10" x14ac:dyDescent="0.3">
      <c r="J113558"/>
    </row>
    <row r="113559" spans="10:10" x14ac:dyDescent="0.3">
      <c r="J113559"/>
    </row>
    <row r="113560" spans="10:10" x14ac:dyDescent="0.3">
      <c r="J113560"/>
    </row>
    <row r="113561" spans="10:10" x14ac:dyDescent="0.3">
      <c r="J113561"/>
    </row>
    <row r="113562" spans="10:10" x14ac:dyDescent="0.3">
      <c r="J113562"/>
    </row>
    <row r="113563" spans="10:10" x14ac:dyDescent="0.3">
      <c r="J113563"/>
    </row>
    <row r="113564" spans="10:10" x14ac:dyDescent="0.3">
      <c r="J113564"/>
    </row>
    <row r="113565" spans="10:10" x14ac:dyDescent="0.3">
      <c r="J113565"/>
    </row>
    <row r="113566" spans="10:10" x14ac:dyDescent="0.3">
      <c r="J113566"/>
    </row>
    <row r="113567" spans="10:10" x14ac:dyDescent="0.3">
      <c r="J113567"/>
    </row>
    <row r="113568" spans="10:10" x14ac:dyDescent="0.3">
      <c r="J113568"/>
    </row>
    <row r="113569" spans="10:10" x14ac:dyDescent="0.3">
      <c r="J113569"/>
    </row>
    <row r="113570" spans="10:10" x14ac:dyDescent="0.3">
      <c r="J113570"/>
    </row>
    <row r="113571" spans="10:10" x14ac:dyDescent="0.3">
      <c r="J113571"/>
    </row>
    <row r="113572" spans="10:10" x14ac:dyDescent="0.3">
      <c r="J113572"/>
    </row>
    <row r="113573" spans="10:10" x14ac:dyDescent="0.3">
      <c r="J113573"/>
    </row>
    <row r="113574" spans="10:10" x14ac:dyDescent="0.3">
      <c r="J113574"/>
    </row>
    <row r="113575" spans="10:10" x14ac:dyDescent="0.3">
      <c r="J113575"/>
    </row>
    <row r="113576" spans="10:10" x14ac:dyDescent="0.3">
      <c r="J113576"/>
    </row>
    <row r="113577" spans="10:10" x14ac:dyDescent="0.3">
      <c r="J113577"/>
    </row>
    <row r="113578" spans="10:10" x14ac:dyDescent="0.3">
      <c r="J113578"/>
    </row>
    <row r="113579" spans="10:10" x14ac:dyDescent="0.3">
      <c r="J113579"/>
    </row>
    <row r="113580" spans="10:10" x14ac:dyDescent="0.3">
      <c r="J113580"/>
    </row>
    <row r="113581" spans="10:10" x14ac:dyDescent="0.3">
      <c r="J113581"/>
    </row>
    <row r="113582" spans="10:10" x14ac:dyDescent="0.3">
      <c r="J113582"/>
    </row>
    <row r="113583" spans="10:10" x14ac:dyDescent="0.3">
      <c r="J113583"/>
    </row>
    <row r="113584" spans="10:10" x14ac:dyDescent="0.3">
      <c r="J113584"/>
    </row>
    <row r="113585" spans="10:10" x14ac:dyDescent="0.3">
      <c r="J113585"/>
    </row>
    <row r="113586" spans="10:10" x14ac:dyDescent="0.3">
      <c r="J113586"/>
    </row>
    <row r="113587" spans="10:10" x14ac:dyDescent="0.3">
      <c r="J113587"/>
    </row>
    <row r="113588" spans="10:10" x14ac:dyDescent="0.3">
      <c r="J113588"/>
    </row>
    <row r="113589" spans="10:10" x14ac:dyDescent="0.3">
      <c r="J113589"/>
    </row>
    <row r="113590" spans="10:10" x14ac:dyDescent="0.3">
      <c r="J113590"/>
    </row>
    <row r="113591" spans="10:10" x14ac:dyDescent="0.3">
      <c r="J113591"/>
    </row>
    <row r="113592" spans="10:10" x14ac:dyDescent="0.3">
      <c r="J113592"/>
    </row>
    <row r="113593" spans="10:10" x14ac:dyDescent="0.3">
      <c r="J113593"/>
    </row>
    <row r="113594" spans="10:10" x14ac:dyDescent="0.3">
      <c r="J113594"/>
    </row>
    <row r="113595" spans="10:10" x14ac:dyDescent="0.3">
      <c r="J113595"/>
    </row>
    <row r="113596" spans="10:10" x14ac:dyDescent="0.3">
      <c r="J113596"/>
    </row>
    <row r="113597" spans="10:10" x14ac:dyDescent="0.3">
      <c r="J113597"/>
    </row>
    <row r="113598" spans="10:10" x14ac:dyDescent="0.3">
      <c r="J113598"/>
    </row>
    <row r="113599" spans="10:10" x14ac:dyDescent="0.3">
      <c r="J113599"/>
    </row>
    <row r="113600" spans="10:10" x14ac:dyDescent="0.3">
      <c r="J113600"/>
    </row>
    <row r="113601" spans="10:10" x14ac:dyDescent="0.3">
      <c r="J113601"/>
    </row>
    <row r="113602" spans="10:10" x14ac:dyDescent="0.3">
      <c r="J113602"/>
    </row>
    <row r="113603" spans="10:10" x14ac:dyDescent="0.3">
      <c r="J113603"/>
    </row>
    <row r="113604" spans="10:10" x14ac:dyDescent="0.3">
      <c r="J113604"/>
    </row>
    <row r="113605" spans="10:10" x14ac:dyDescent="0.3">
      <c r="J113605"/>
    </row>
    <row r="113606" spans="10:10" x14ac:dyDescent="0.3">
      <c r="J113606"/>
    </row>
    <row r="113607" spans="10:10" x14ac:dyDescent="0.3">
      <c r="J113607"/>
    </row>
    <row r="113608" spans="10:10" x14ac:dyDescent="0.3">
      <c r="J113608"/>
    </row>
    <row r="113609" spans="10:10" x14ac:dyDescent="0.3">
      <c r="J113609"/>
    </row>
    <row r="113610" spans="10:10" x14ac:dyDescent="0.3">
      <c r="J113610"/>
    </row>
    <row r="113611" spans="10:10" x14ac:dyDescent="0.3">
      <c r="J113611"/>
    </row>
    <row r="113612" spans="10:10" x14ac:dyDescent="0.3">
      <c r="J113612"/>
    </row>
    <row r="113613" spans="10:10" x14ac:dyDescent="0.3">
      <c r="J113613"/>
    </row>
    <row r="113614" spans="10:10" x14ac:dyDescent="0.3">
      <c r="J113614"/>
    </row>
    <row r="113615" spans="10:10" x14ac:dyDescent="0.3">
      <c r="J113615"/>
    </row>
    <row r="113616" spans="10:10" x14ac:dyDescent="0.3">
      <c r="J113616"/>
    </row>
    <row r="113617" spans="10:10" x14ac:dyDescent="0.3">
      <c r="J113617"/>
    </row>
    <row r="113618" spans="10:10" x14ac:dyDescent="0.3">
      <c r="J113618"/>
    </row>
    <row r="113619" spans="10:10" x14ac:dyDescent="0.3">
      <c r="J113619"/>
    </row>
    <row r="113620" spans="10:10" x14ac:dyDescent="0.3">
      <c r="J113620"/>
    </row>
    <row r="113621" spans="10:10" x14ac:dyDescent="0.3">
      <c r="J113621"/>
    </row>
    <row r="113622" spans="10:10" x14ac:dyDescent="0.3">
      <c r="J113622"/>
    </row>
    <row r="113623" spans="10:10" x14ac:dyDescent="0.3">
      <c r="J113623"/>
    </row>
    <row r="113624" spans="10:10" x14ac:dyDescent="0.3">
      <c r="J113624"/>
    </row>
    <row r="113625" spans="10:10" x14ac:dyDescent="0.3">
      <c r="J113625"/>
    </row>
    <row r="113626" spans="10:10" x14ac:dyDescent="0.3">
      <c r="J113626"/>
    </row>
    <row r="113627" spans="10:10" x14ac:dyDescent="0.3">
      <c r="J113627"/>
    </row>
    <row r="113628" spans="10:10" x14ac:dyDescent="0.3">
      <c r="J113628"/>
    </row>
    <row r="113629" spans="10:10" x14ac:dyDescent="0.3">
      <c r="J113629"/>
    </row>
    <row r="113630" spans="10:10" x14ac:dyDescent="0.3">
      <c r="J113630"/>
    </row>
    <row r="113631" spans="10:10" x14ac:dyDescent="0.3">
      <c r="J113631"/>
    </row>
    <row r="113632" spans="10:10" x14ac:dyDescent="0.3">
      <c r="J113632"/>
    </row>
    <row r="113633" spans="10:10" x14ac:dyDescent="0.3">
      <c r="J113633"/>
    </row>
    <row r="113634" spans="10:10" x14ac:dyDescent="0.3">
      <c r="J113634"/>
    </row>
    <row r="113635" spans="10:10" x14ac:dyDescent="0.3">
      <c r="J113635"/>
    </row>
    <row r="113636" spans="10:10" x14ac:dyDescent="0.3">
      <c r="J113636"/>
    </row>
    <row r="113637" spans="10:10" x14ac:dyDescent="0.3">
      <c r="J113637"/>
    </row>
    <row r="113638" spans="10:10" x14ac:dyDescent="0.3">
      <c r="J113638"/>
    </row>
    <row r="113639" spans="10:10" x14ac:dyDescent="0.3">
      <c r="J113639"/>
    </row>
    <row r="113640" spans="10:10" x14ac:dyDescent="0.3">
      <c r="J113640"/>
    </row>
    <row r="113641" spans="10:10" x14ac:dyDescent="0.3">
      <c r="J113641"/>
    </row>
    <row r="113642" spans="10:10" x14ac:dyDescent="0.3">
      <c r="J113642"/>
    </row>
    <row r="113643" spans="10:10" x14ac:dyDescent="0.3">
      <c r="J113643"/>
    </row>
    <row r="113644" spans="10:10" x14ac:dyDescent="0.3">
      <c r="J113644"/>
    </row>
    <row r="113645" spans="10:10" x14ac:dyDescent="0.3">
      <c r="J113645"/>
    </row>
    <row r="113646" spans="10:10" x14ac:dyDescent="0.3">
      <c r="J113646"/>
    </row>
    <row r="113647" spans="10:10" x14ac:dyDescent="0.3">
      <c r="J113647"/>
    </row>
    <row r="113648" spans="10:10" x14ac:dyDescent="0.3">
      <c r="J113648"/>
    </row>
    <row r="113649" spans="10:10" x14ac:dyDescent="0.3">
      <c r="J113649"/>
    </row>
    <row r="113650" spans="10:10" x14ac:dyDescent="0.3">
      <c r="J113650"/>
    </row>
    <row r="113651" spans="10:10" x14ac:dyDescent="0.3">
      <c r="J113651"/>
    </row>
    <row r="113652" spans="10:10" x14ac:dyDescent="0.3">
      <c r="J113652"/>
    </row>
    <row r="113653" spans="10:10" x14ac:dyDescent="0.3">
      <c r="J113653"/>
    </row>
    <row r="113654" spans="10:10" x14ac:dyDescent="0.3">
      <c r="J113654"/>
    </row>
    <row r="113655" spans="10:10" x14ac:dyDescent="0.3">
      <c r="J113655"/>
    </row>
    <row r="113656" spans="10:10" x14ac:dyDescent="0.3">
      <c r="J113656"/>
    </row>
    <row r="113657" spans="10:10" x14ac:dyDescent="0.3">
      <c r="J113657"/>
    </row>
    <row r="113658" spans="10:10" x14ac:dyDescent="0.3">
      <c r="J113658"/>
    </row>
    <row r="113659" spans="10:10" x14ac:dyDescent="0.3">
      <c r="J113659"/>
    </row>
    <row r="113660" spans="10:10" x14ac:dyDescent="0.3">
      <c r="J113660"/>
    </row>
    <row r="113661" spans="10:10" x14ac:dyDescent="0.3">
      <c r="J113661"/>
    </row>
    <row r="113662" spans="10:10" x14ac:dyDescent="0.3">
      <c r="J113662"/>
    </row>
    <row r="113663" spans="10:10" x14ac:dyDescent="0.3">
      <c r="J113663"/>
    </row>
    <row r="113664" spans="10:10" x14ac:dyDescent="0.3">
      <c r="J113664"/>
    </row>
    <row r="113665" spans="10:10" x14ac:dyDescent="0.3">
      <c r="J113665"/>
    </row>
    <row r="113666" spans="10:10" x14ac:dyDescent="0.3">
      <c r="J113666"/>
    </row>
    <row r="113667" spans="10:10" x14ac:dyDescent="0.3">
      <c r="J113667"/>
    </row>
    <row r="113668" spans="10:10" x14ac:dyDescent="0.3">
      <c r="J113668"/>
    </row>
    <row r="113669" spans="10:10" x14ac:dyDescent="0.3">
      <c r="J113669"/>
    </row>
    <row r="113670" spans="10:10" x14ac:dyDescent="0.3">
      <c r="J113670"/>
    </row>
    <row r="113671" spans="10:10" x14ac:dyDescent="0.3">
      <c r="J113671"/>
    </row>
    <row r="113672" spans="10:10" x14ac:dyDescent="0.3">
      <c r="J113672"/>
    </row>
    <row r="113673" spans="10:10" x14ac:dyDescent="0.3">
      <c r="J113673"/>
    </row>
    <row r="113674" spans="10:10" x14ac:dyDescent="0.3">
      <c r="J113674"/>
    </row>
    <row r="113675" spans="10:10" x14ac:dyDescent="0.3">
      <c r="J113675"/>
    </row>
    <row r="113676" spans="10:10" x14ac:dyDescent="0.3">
      <c r="J113676"/>
    </row>
    <row r="113677" spans="10:10" x14ac:dyDescent="0.3">
      <c r="J113677"/>
    </row>
    <row r="113678" spans="10:10" x14ac:dyDescent="0.3">
      <c r="J113678"/>
    </row>
    <row r="113679" spans="10:10" x14ac:dyDescent="0.3">
      <c r="J113679"/>
    </row>
    <row r="113680" spans="10:10" x14ac:dyDescent="0.3">
      <c r="J113680"/>
    </row>
    <row r="113681" spans="10:10" x14ac:dyDescent="0.3">
      <c r="J113681"/>
    </row>
    <row r="113682" spans="10:10" x14ac:dyDescent="0.3">
      <c r="J113682"/>
    </row>
    <row r="113683" spans="10:10" x14ac:dyDescent="0.3">
      <c r="J113683"/>
    </row>
    <row r="113684" spans="10:10" x14ac:dyDescent="0.3">
      <c r="J113684"/>
    </row>
    <row r="113685" spans="10:10" x14ac:dyDescent="0.3">
      <c r="J113685"/>
    </row>
    <row r="113686" spans="10:10" x14ac:dyDescent="0.3">
      <c r="J113686"/>
    </row>
    <row r="113687" spans="10:10" x14ac:dyDescent="0.3">
      <c r="J113687"/>
    </row>
    <row r="113688" spans="10:10" x14ac:dyDescent="0.3">
      <c r="J113688"/>
    </row>
    <row r="113689" spans="10:10" x14ac:dyDescent="0.3">
      <c r="J113689"/>
    </row>
    <row r="113690" spans="10:10" x14ac:dyDescent="0.3">
      <c r="J113690"/>
    </row>
    <row r="113691" spans="10:10" x14ac:dyDescent="0.3">
      <c r="J113691"/>
    </row>
    <row r="113692" spans="10:10" x14ac:dyDescent="0.3">
      <c r="J113692"/>
    </row>
    <row r="113693" spans="10:10" x14ac:dyDescent="0.3">
      <c r="J113693"/>
    </row>
    <row r="113694" spans="10:10" x14ac:dyDescent="0.3">
      <c r="J113694"/>
    </row>
    <row r="113695" spans="10:10" x14ac:dyDescent="0.3">
      <c r="J113695"/>
    </row>
    <row r="113696" spans="10:10" x14ac:dyDescent="0.3">
      <c r="J113696"/>
    </row>
    <row r="113697" spans="10:10" x14ac:dyDescent="0.3">
      <c r="J113697"/>
    </row>
    <row r="113698" spans="10:10" x14ac:dyDescent="0.3">
      <c r="J113698"/>
    </row>
    <row r="113699" spans="10:10" x14ac:dyDescent="0.3">
      <c r="J113699"/>
    </row>
    <row r="113700" spans="10:10" x14ac:dyDescent="0.3">
      <c r="J113700"/>
    </row>
    <row r="113701" spans="10:10" x14ac:dyDescent="0.3">
      <c r="J113701"/>
    </row>
    <row r="113702" spans="10:10" x14ac:dyDescent="0.3">
      <c r="J113702"/>
    </row>
    <row r="113703" spans="10:10" x14ac:dyDescent="0.3">
      <c r="J113703"/>
    </row>
    <row r="113704" spans="10:10" x14ac:dyDescent="0.3">
      <c r="J113704"/>
    </row>
    <row r="113705" spans="10:10" x14ac:dyDescent="0.3">
      <c r="J113705"/>
    </row>
    <row r="113706" spans="10:10" x14ac:dyDescent="0.3">
      <c r="J113706"/>
    </row>
    <row r="113707" spans="10:10" x14ac:dyDescent="0.3">
      <c r="J113707"/>
    </row>
    <row r="113708" spans="10:10" x14ac:dyDescent="0.3">
      <c r="J113708"/>
    </row>
    <row r="113709" spans="10:10" x14ac:dyDescent="0.3">
      <c r="J113709"/>
    </row>
    <row r="113710" spans="10:10" x14ac:dyDescent="0.3">
      <c r="J113710"/>
    </row>
    <row r="113711" spans="10:10" x14ac:dyDescent="0.3">
      <c r="J113711"/>
    </row>
    <row r="113712" spans="10:10" x14ac:dyDescent="0.3">
      <c r="J113712"/>
    </row>
    <row r="113713" spans="10:10" x14ac:dyDescent="0.3">
      <c r="J113713"/>
    </row>
    <row r="113714" spans="10:10" x14ac:dyDescent="0.3">
      <c r="J113714"/>
    </row>
    <row r="113715" spans="10:10" x14ac:dyDescent="0.3">
      <c r="J113715"/>
    </row>
    <row r="113716" spans="10:10" x14ac:dyDescent="0.3">
      <c r="J113716"/>
    </row>
    <row r="113717" spans="10:10" x14ac:dyDescent="0.3">
      <c r="J113717"/>
    </row>
    <row r="113718" spans="10:10" x14ac:dyDescent="0.3">
      <c r="J113718"/>
    </row>
    <row r="113719" spans="10:10" x14ac:dyDescent="0.3">
      <c r="J113719"/>
    </row>
    <row r="113720" spans="10:10" x14ac:dyDescent="0.3">
      <c r="J113720"/>
    </row>
    <row r="113721" spans="10:10" x14ac:dyDescent="0.3">
      <c r="J113721"/>
    </row>
    <row r="113722" spans="10:10" x14ac:dyDescent="0.3">
      <c r="J113722"/>
    </row>
    <row r="113723" spans="10:10" x14ac:dyDescent="0.3">
      <c r="J113723"/>
    </row>
    <row r="113724" spans="10:10" x14ac:dyDescent="0.3">
      <c r="J113724"/>
    </row>
    <row r="113725" spans="10:10" x14ac:dyDescent="0.3">
      <c r="J113725"/>
    </row>
    <row r="113726" spans="10:10" x14ac:dyDescent="0.3">
      <c r="J113726"/>
    </row>
    <row r="113727" spans="10:10" x14ac:dyDescent="0.3">
      <c r="J113727"/>
    </row>
    <row r="113728" spans="10:10" x14ac:dyDescent="0.3">
      <c r="J113728"/>
    </row>
    <row r="113729" spans="10:10" x14ac:dyDescent="0.3">
      <c r="J113729"/>
    </row>
    <row r="113730" spans="10:10" x14ac:dyDescent="0.3">
      <c r="J113730"/>
    </row>
    <row r="113731" spans="10:10" x14ac:dyDescent="0.3">
      <c r="J113731"/>
    </row>
    <row r="113732" spans="10:10" x14ac:dyDescent="0.3">
      <c r="J113732"/>
    </row>
    <row r="113733" spans="10:10" x14ac:dyDescent="0.3">
      <c r="J113733"/>
    </row>
    <row r="113734" spans="10:10" x14ac:dyDescent="0.3">
      <c r="J113734"/>
    </row>
    <row r="113735" spans="10:10" x14ac:dyDescent="0.3">
      <c r="J113735"/>
    </row>
    <row r="113736" spans="10:10" x14ac:dyDescent="0.3">
      <c r="J113736"/>
    </row>
    <row r="113737" spans="10:10" x14ac:dyDescent="0.3">
      <c r="J113737"/>
    </row>
    <row r="113738" spans="10:10" x14ac:dyDescent="0.3">
      <c r="J113738"/>
    </row>
    <row r="113739" spans="10:10" x14ac:dyDescent="0.3">
      <c r="J113739"/>
    </row>
    <row r="113740" spans="10:10" x14ac:dyDescent="0.3">
      <c r="J113740"/>
    </row>
    <row r="113741" spans="10:10" x14ac:dyDescent="0.3">
      <c r="J113741"/>
    </row>
    <row r="113742" spans="10:10" x14ac:dyDescent="0.3">
      <c r="J113742"/>
    </row>
    <row r="113743" spans="10:10" x14ac:dyDescent="0.3">
      <c r="J113743"/>
    </row>
    <row r="113744" spans="10:10" x14ac:dyDescent="0.3">
      <c r="J113744"/>
    </row>
    <row r="113745" spans="10:10" x14ac:dyDescent="0.3">
      <c r="J113745"/>
    </row>
    <row r="113746" spans="10:10" x14ac:dyDescent="0.3">
      <c r="J113746"/>
    </row>
    <row r="113747" spans="10:10" x14ac:dyDescent="0.3">
      <c r="J113747"/>
    </row>
    <row r="113748" spans="10:10" x14ac:dyDescent="0.3">
      <c r="J113748"/>
    </row>
    <row r="113749" spans="10:10" x14ac:dyDescent="0.3">
      <c r="J113749"/>
    </row>
    <row r="113750" spans="10:10" x14ac:dyDescent="0.3">
      <c r="J113750"/>
    </row>
    <row r="113751" spans="10:10" x14ac:dyDescent="0.3">
      <c r="J113751"/>
    </row>
    <row r="113752" spans="10:10" x14ac:dyDescent="0.3">
      <c r="J113752"/>
    </row>
    <row r="113753" spans="10:10" x14ac:dyDescent="0.3">
      <c r="J113753"/>
    </row>
    <row r="113754" spans="10:10" x14ac:dyDescent="0.3">
      <c r="J113754"/>
    </row>
    <row r="113755" spans="10:10" x14ac:dyDescent="0.3">
      <c r="J113755"/>
    </row>
    <row r="113756" spans="10:10" x14ac:dyDescent="0.3">
      <c r="J113756"/>
    </row>
    <row r="113757" spans="10:10" x14ac:dyDescent="0.3">
      <c r="J113757"/>
    </row>
    <row r="113758" spans="10:10" x14ac:dyDescent="0.3">
      <c r="J113758"/>
    </row>
    <row r="113759" spans="10:10" x14ac:dyDescent="0.3">
      <c r="J113759"/>
    </row>
    <row r="113760" spans="10:10" x14ac:dyDescent="0.3">
      <c r="J113760"/>
    </row>
    <row r="113761" spans="10:10" x14ac:dyDescent="0.3">
      <c r="J113761"/>
    </row>
    <row r="113762" spans="10:10" x14ac:dyDescent="0.3">
      <c r="J113762"/>
    </row>
    <row r="113763" spans="10:10" x14ac:dyDescent="0.3">
      <c r="J113763"/>
    </row>
    <row r="113764" spans="10:10" x14ac:dyDescent="0.3">
      <c r="J113764"/>
    </row>
    <row r="113765" spans="10:10" x14ac:dyDescent="0.3">
      <c r="J113765"/>
    </row>
    <row r="113766" spans="10:10" x14ac:dyDescent="0.3">
      <c r="J113766"/>
    </row>
    <row r="113767" spans="10:10" x14ac:dyDescent="0.3">
      <c r="J113767"/>
    </row>
    <row r="113768" spans="10:10" x14ac:dyDescent="0.3">
      <c r="J113768"/>
    </row>
    <row r="113769" spans="10:10" x14ac:dyDescent="0.3">
      <c r="J113769"/>
    </row>
    <row r="113770" spans="10:10" x14ac:dyDescent="0.3">
      <c r="J113770"/>
    </row>
    <row r="113771" spans="10:10" x14ac:dyDescent="0.3">
      <c r="J113771"/>
    </row>
    <row r="113772" spans="10:10" x14ac:dyDescent="0.3">
      <c r="J113772"/>
    </row>
    <row r="113773" spans="10:10" x14ac:dyDescent="0.3">
      <c r="J113773"/>
    </row>
    <row r="113774" spans="10:10" x14ac:dyDescent="0.3">
      <c r="J113774"/>
    </row>
    <row r="113775" spans="10:10" x14ac:dyDescent="0.3">
      <c r="J113775"/>
    </row>
    <row r="113776" spans="10:10" x14ac:dyDescent="0.3">
      <c r="J113776"/>
    </row>
    <row r="113777" spans="10:10" x14ac:dyDescent="0.3">
      <c r="J113777"/>
    </row>
    <row r="113778" spans="10:10" x14ac:dyDescent="0.3">
      <c r="J113778"/>
    </row>
    <row r="113779" spans="10:10" x14ac:dyDescent="0.3">
      <c r="J113779"/>
    </row>
    <row r="113780" spans="10:10" x14ac:dyDescent="0.3">
      <c r="J113780"/>
    </row>
    <row r="113781" spans="10:10" x14ac:dyDescent="0.3">
      <c r="J113781"/>
    </row>
    <row r="113782" spans="10:10" x14ac:dyDescent="0.3">
      <c r="J113782"/>
    </row>
    <row r="113783" spans="10:10" x14ac:dyDescent="0.3">
      <c r="J113783"/>
    </row>
    <row r="113784" spans="10:10" x14ac:dyDescent="0.3">
      <c r="J113784"/>
    </row>
    <row r="113785" spans="10:10" x14ac:dyDescent="0.3">
      <c r="J113785"/>
    </row>
    <row r="113786" spans="10:10" x14ac:dyDescent="0.3">
      <c r="J113786"/>
    </row>
    <row r="113787" spans="10:10" x14ac:dyDescent="0.3">
      <c r="J113787"/>
    </row>
    <row r="113788" spans="10:10" x14ac:dyDescent="0.3">
      <c r="J113788"/>
    </row>
    <row r="113789" spans="10:10" x14ac:dyDescent="0.3">
      <c r="J113789"/>
    </row>
    <row r="113790" spans="10:10" x14ac:dyDescent="0.3">
      <c r="J113790"/>
    </row>
    <row r="113791" spans="10:10" x14ac:dyDescent="0.3">
      <c r="J113791"/>
    </row>
    <row r="113792" spans="10:10" x14ac:dyDescent="0.3">
      <c r="J113792"/>
    </row>
    <row r="113793" spans="10:10" x14ac:dyDescent="0.3">
      <c r="J113793"/>
    </row>
    <row r="113794" spans="10:10" x14ac:dyDescent="0.3">
      <c r="J113794"/>
    </row>
    <row r="113795" spans="10:10" x14ac:dyDescent="0.3">
      <c r="J113795"/>
    </row>
    <row r="113796" spans="10:10" x14ac:dyDescent="0.3">
      <c r="J113796"/>
    </row>
    <row r="113797" spans="10:10" x14ac:dyDescent="0.3">
      <c r="J113797"/>
    </row>
    <row r="113798" spans="10:10" x14ac:dyDescent="0.3">
      <c r="J113798"/>
    </row>
    <row r="113799" spans="10:10" x14ac:dyDescent="0.3">
      <c r="J113799"/>
    </row>
    <row r="113800" spans="10:10" x14ac:dyDescent="0.3">
      <c r="J113800"/>
    </row>
    <row r="113801" spans="10:10" x14ac:dyDescent="0.3">
      <c r="J113801"/>
    </row>
    <row r="113802" spans="10:10" x14ac:dyDescent="0.3">
      <c r="J113802"/>
    </row>
    <row r="113803" spans="10:10" x14ac:dyDescent="0.3">
      <c r="J113803"/>
    </row>
    <row r="113804" spans="10:10" x14ac:dyDescent="0.3">
      <c r="J113804"/>
    </row>
    <row r="113805" spans="10:10" x14ac:dyDescent="0.3">
      <c r="J113805"/>
    </row>
    <row r="113806" spans="10:10" x14ac:dyDescent="0.3">
      <c r="J113806"/>
    </row>
    <row r="113807" spans="10:10" x14ac:dyDescent="0.3">
      <c r="J113807"/>
    </row>
    <row r="113808" spans="10:10" x14ac:dyDescent="0.3">
      <c r="J113808"/>
    </row>
    <row r="113809" spans="10:10" x14ac:dyDescent="0.3">
      <c r="J113809"/>
    </row>
    <row r="113810" spans="10:10" x14ac:dyDescent="0.3">
      <c r="J113810"/>
    </row>
    <row r="113811" spans="10:10" x14ac:dyDescent="0.3">
      <c r="J113811"/>
    </row>
    <row r="113812" spans="10:10" x14ac:dyDescent="0.3">
      <c r="J113812"/>
    </row>
    <row r="113813" spans="10:10" x14ac:dyDescent="0.3">
      <c r="J113813"/>
    </row>
    <row r="113814" spans="10:10" x14ac:dyDescent="0.3">
      <c r="J113814"/>
    </row>
    <row r="113815" spans="10:10" x14ac:dyDescent="0.3">
      <c r="J113815"/>
    </row>
    <row r="113816" spans="10:10" x14ac:dyDescent="0.3">
      <c r="J113816"/>
    </row>
    <row r="113817" spans="10:10" x14ac:dyDescent="0.3">
      <c r="J113817"/>
    </row>
    <row r="113818" spans="10:10" x14ac:dyDescent="0.3">
      <c r="J113818"/>
    </row>
    <row r="113819" spans="10:10" x14ac:dyDescent="0.3">
      <c r="J113819"/>
    </row>
    <row r="113820" spans="10:10" x14ac:dyDescent="0.3">
      <c r="J113820"/>
    </row>
    <row r="113821" spans="10:10" x14ac:dyDescent="0.3">
      <c r="J113821"/>
    </row>
    <row r="113822" spans="10:10" x14ac:dyDescent="0.3">
      <c r="J113822"/>
    </row>
    <row r="113823" spans="10:10" x14ac:dyDescent="0.3">
      <c r="J113823"/>
    </row>
    <row r="113824" spans="10:10" x14ac:dyDescent="0.3">
      <c r="J113824"/>
    </row>
    <row r="113825" spans="10:10" x14ac:dyDescent="0.3">
      <c r="J113825"/>
    </row>
    <row r="113826" spans="10:10" x14ac:dyDescent="0.3">
      <c r="J113826"/>
    </row>
    <row r="113827" spans="10:10" x14ac:dyDescent="0.3">
      <c r="J113827"/>
    </row>
    <row r="113828" spans="10:10" x14ac:dyDescent="0.3">
      <c r="J113828"/>
    </row>
    <row r="113829" spans="10:10" x14ac:dyDescent="0.3">
      <c r="J113829"/>
    </row>
    <row r="113830" spans="10:10" x14ac:dyDescent="0.3">
      <c r="J113830"/>
    </row>
    <row r="113831" spans="10:10" x14ac:dyDescent="0.3">
      <c r="J113831"/>
    </row>
    <row r="113832" spans="10:10" x14ac:dyDescent="0.3">
      <c r="J113832"/>
    </row>
    <row r="113833" spans="10:10" x14ac:dyDescent="0.3">
      <c r="J113833"/>
    </row>
    <row r="113834" spans="10:10" x14ac:dyDescent="0.3">
      <c r="J113834"/>
    </row>
    <row r="113835" spans="10:10" x14ac:dyDescent="0.3">
      <c r="J113835"/>
    </row>
    <row r="113836" spans="10:10" x14ac:dyDescent="0.3">
      <c r="J113836"/>
    </row>
    <row r="113837" spans="10:10" x14ac:dyDescent="0.3">
      <c r="J113837"/>
    </row>
    <row r="113838" spans="10:10" x14ac:dyDescent="0.3">
      <c r="J113838"/>
    </row>
    <row r="113839" spans="10:10" x14ac:dyDescent="0.3">
      <c r="J113839"/>
    </row>
    <row r="113840" spans="10:10" x14ac:dyDescent="0.3">
      <c r="J113840"/>
    </row>
    <row r="113841" spans="10:10" x14ac:dyDescent="0.3">
      <c r="J113841"/>
    </row>
    <row r="113842" spans="10:10" x14ac:dyDescent="0.3">
      <c r="J113842"/>
    </row>
    <row r="113843" spans="10:10" x14ac:dyDescent="0.3">
      <c r="J113843"/>
    </row>
    <row r="113844" spans="10:10" x14ac:dyDescent="0.3">
      <c r="J113844"/>
    </row>
    <row r="113845" spans="10:10" x14ac:dyDescent="0.3">
      <c r="J113845"/>
    </row>
    <row r="113846" spans="10:10" x14ac:dyDescent="0.3">
      <c r="J113846"/>
    </row>
    <row r="113847" spans="10:10" x14ac:dyDescent="0.3">
      <c r="J113847"/>
    </row>
    <row r="113848" spans="10:10" x14ac:dyDescent="0.3">
      <c r="J113848"/>
    </row>
    <row r="113849" spans="10:10" x14ac:dyDescent="0.3">
      <c r="J113849"/>
    </row>
    <row r="113850" spans="10:10" x14ac:dyDescent="0.3">
      <c r="J113850"/>
    </row>
    <row r="113851" spans="10:10" x14ac:dyDescent="0.3">
      <c r="J113851"/>
    </row>
    <row r="113852" spans="10:10" x14ac:dyDescent="0.3">
      <c r="J113852"/>
    </row>
    <row r="113853" spans="10:10" x14ac:dyDescent="0.3">
      <c r="J113853"/>
    </row>
    <row r="113854" spans="10:10" x14ac:dyDescent="0.3">
      <c r="J113854"/>
    </row>
    <row r="113855" spans="10:10" x14ac:dyDescent="0.3">
      <c r="J113855"/>
    </row>
    <row r="113856" spans="10:10" x14ac:dyDescent="0.3">
      <c r="J113856"/>
    </row>
    <row r="113857" spans="10:10" x14ac:dyDescent="0.3">
      <c r="J113857"/>
    </row>
    <row r="113858" spans="10:10" x14ac:dyDescent="0.3">
      <c r="J113858"/>
    </row>
    <row r="113859" spans="10:10" x14ac:dyDescent="0.3">
      <c r="J113859"/>
    </row>
    <row r="113860" spans="10:10" x14ac:dyDescent="0.3">
      <c r="J113860"/>
    </row>
    <row r="113861" spans="10:10" x14ac:dyDescent="0.3">
      <c r="J113861"/>
    </row>
    <row r="113862" spans="10:10" x14ac:dyDescent="0.3">
      <c r="J113862"/>
    </row>
    <row r="113863" spans="10:10" x14ac:dyDescent="0.3">
      <c r="J113863"/>
    </row>
    <row r="113864" spans="10:10" x14ac:dyDescent="0.3">
      <c r="J113864"/>
    </row>
    <row r="113865" spans="10:10" x14ac:dyDescent="0.3">
      <c r="J113865"/>
    </row>
    <row r="113866" spans="10:10" x14ac:dyDescent="0.3">
      <c r="J113866"/>
    </row>
    <row r="113867" spans="10:10" x14ac:dyDescent="0.3">
      <c r="J113867"/>
    </row>
    <row r="113868" spans="10:10" x14ac:dyDescent="0.3">
      <c r="J113868"/>
    </row>
    <row r="113869" spans="10:10" x14ac:dyDescent="0.3">
      <c r="J113869"/>
    </row>
    <row r="113870" spans="10:10" x14ac:dyDescent="0.3">
      <c r="J113870"/>
    </row>
    <row r="113871" spans="10:10" x14ac:dyDescent="0.3">
      <c r="J113871"/>
    </row>
    <row r="113872" spans="10:10" x14ac:dyDescent="0.3">
      <c r="J113872"/>
    </row>
    <row r="113873" spans="10:10" x14ac:dyDescent="0.3">
      <c r="J113873"/>
    </row>
    <row r="113874" spans="10:10" x14ac:dyDescent="0.3">
      <c r="J113874"/>
    </row>
    <row r="113875" spans="10:10" x14ac:dyDescent="0.3">
      <c r="J113875"/>
    </row>
    <row r="113876" spans="10:10" x14ac:dyDescent="0.3">
      <c r="J113876"/>
    </row>
    <row r="113877" spans="10:10" x14ac:dyDescent="0.3">
      <c r="J113877"/>
    </row>
    <row r="113878" spans="10:10" x14ac:dyDescent="0.3">
      <c r="J113878"/>
    </row>
    <row r="113879" spans="10:10" x14ac:dyDescent="0.3">
      <c r="J113879"/>
    </row>
    <row r="113880" spans="10:10" x14ac:dyDescent="0.3">
      <c r="J113880"/>
    </row>
    <row r="113881" spans="10:10" x14ac:dyDescent="0.3">
      <c r="J113881"/>
    </row>
    <row r="113882" spans="10:10" x14ac:dyDescent="0.3">
      <c r="J113882"/>
    </row>
    <row r="113883" spans="10:10" x14ac:dyDescent="0.3">
      <c r="J113883"/>
    </row>
    <row r="113884" spans="10:10" x14ac:dyDescent="0.3">
      <c r="J113884"/>
    </row>
    <row r="113885" spans="10:10" x14ac:dyDescent="0.3">
      <c r="J113885"/>
    </row>
    <row r="113886" spans="10:10" x14ac:dyDescent="0.3">
      <c r="J113886"/>
    </row>
    <row r="113887" spans="10:10" x14ac:dyDescent="0.3">
      <c r="J113887"/>
    </row>
    <row r="113888" spans="10:10" x14ac:dyDescent="0.3">
      <c r="J113888"/>
    </row>
    <row r="113889" spans="10:10" x14ac:dyDescent="0.3">
      <c r="J113889"/>
    </row>
    <row r="113890" spans="10:10" x14ac:dyDescent="0.3">
      <c r="J113890"/>
    </row>
    <row r="113891" spans="10:10" x14ac:dyDescent="0.3">
      <c r="J113891"/>
    </row>
    <row r="113892" spans="10:10" x14ac:dyDescent="0.3">
      <c r="J113892"/>
    </row>
    <row r="113893" spans="10:10" x14ac:dyDescent="0.3">
      <c r="J113893"/>
    </row>
    <row r="113894" spans="10:10" x14ac:dyDescent="0.3">
      <c r="J113894"/>
    </row>
    <row r="113895" spans="10:10" x14ac:dyDescent="0.3">
      <c r="J113895"/>
    </row>
    <row r="113896" spans="10:10" x14ac:dyDescent="0.3">
      <c r="J113896"/>
    </row>
    <row r="113897" spans="10:10" x14ac:dyDescent="0.3">
      <c r="J113897"/>
    </row>
    <row r="113898" spans="10:10" x14ac:dyDescent="0.3">
      <c r="J113898"/>
    </row>
    <row r="113899" spans="10:10" x14ac:dyDescent="0.3">
      <c r="J113899"/>
    </row>
    <row r="113900" spans="10:10" x14ac:dyDescent="0.3">
      <c r="J113900"/>
    </row>
    <row r="113901" spans="10:10" x14ac:dyDescent="0.3">
      <c r="J113901"/>
    </row>
    <row r="113902" spans="10:10" x14ac:dyDescent="0.3">
      <c r="J113902"/>
    </row>
    <row r="113903" spans="10:10" x14ac:dyDescent="0.3">
      <c r="J113903"/>
    </row>
    <row r="113904" spans="10:10" x14ac:dyDescent="0.3">
      <c r="J113904"/>
    </row>
    <row r="113905" spans="10:10" x14ac:dyDescent="0.3">
      <c r="J113905"/>
    </row>
    <row r="113906" spans="10:10" x14ac:dyDescent="0.3">
      <c r="J113906"/>
    </row>
    <row r="113907" spans="10:10" x14ac:dyDescent="0.3">
      <c r="J113907"/>
    </row>
    <row r="113908" spans="10:10" x14ac:dyDescent="0.3">
      <c r="J113908"/>
    </row>
    <row r="113909" spans="10:10" x14ac:dyDescent="0.3">
      <c r="J113909"/>
    </row>
    <row r="113910" spans="10:10" x14ac:dyDescent="0.3">
      <c r="J113910"/>
    </row>
    <row r="113911" spans="10:10" x14ac:dyDescent="0.3">
      <c r="J113911"/>
    </row>
    <row r="113912" spans="10:10" x14ac:dyDescent="0.3">
      <c r="J113912"/>
    </row>
    <row r="113913" spans="10:10" x14ac:dyDescent="0.3">
      <c r="J113913"/>
    </row>
    <row r="113914" spans="10:10" x14ac:dyDescent="0.3">
      <c r="J113914"/>
    </row>
    <row r="113915" spans="10:10" x14ac:dyDescent="0.3">
      <c r="J113915"/>
    </row>
    <row r="113916" spans="10:10" x14ac:dyDescent="0.3">
      <c r="J113916"/>
    </row>
    <row r="113917" spans="10:10" x14ac:dyDescent="0.3">
      <c r="J113917"/>
    </row>
    <row r="113918" spans="10:10" x14ac:dyDescent="0.3">
      <c r="J113918"/>
    </row>
    <row r="113919" spans="10:10" x14ac:dyDescent="0.3">
      <c r="J113919"/>
    </row>
    <row r="113920" spans="10:10" x14ac:dyDescent="0.3">
      <c r="J113920"/>
    </row>
    <row r="113921" spans="10:10" x14ac:dyDescent="0.3">
      <c r="J113921"/>
    </row>
    <row r="113922" spans="10:10" x14ac:dyDescent="0.3">
      <c r="J113922"/>
    </row>
    <row r="113923" spans="10:10" x14ac:dyDescent="0.3">
      <c r="J113923"/>
    </row>
    <row r="113924" spans="10:10" x14ac:dyDescent="0.3">
      <c r="J113924"/>
    </row>
    <row r="113925" spans="10:10" x14ac:dyDescent="0.3">
      <c r="J113925"/>
    </row>
    <row r="113926" spans="10:10" x14ac:dyDescent="0.3">
      <c r="J113926"/>
    </row>
    <row r="113927" spans="10:10" x14ac:dyDescent="0.3">
      <c r="J113927"/>
    </row>
    <row r="113928" spans="10:10" x14ac:dyDescent="0.3">
      <c r="J113928"/>
    </row>
    <row r="113929" spans="10:10" x14ac:dyDescent="0.3">
      <c r="J113929"/>
    </row>
    <row r="113930" spans="10:10" x14ac:dyDescent="0.3">
      <c r="J113930"/>
    </row>
    <row r="113931" spans="10:10" x14ac:dyDescent="0.3">
      <c r="J113931"/>
    </row>
    <row r="113932" spans="10:10" x14ac:dyDescent="0.3">
      <c r="J113932"/>
    </row>
    <row r="113933" spans="10:10" x14ac:dyDescent="0.3">
      <c r="J113933"/>
    </row>
    <row r="113934" spans="10:10" x14ac:dyDescent="0.3">
      <c r="J113934"/>
    </row>
    <row r="113935" spans="10:10" x14ac:dyDescent="0.3">
      <c r="J113935"/>
    </row>
    <row r="113936" spans="10:10" x14ac:dyDescent="0.3">
      <c r="J113936"/>
    </row>
    <row r="113937" spans="10:10" x14ac:dyDescent="0.3">
      <c r="J113937"/>
    </row>
    <row r="113938" spans="10:10" x14ac:dyDescent="0.3">
      <c r="J113938"/>
    </row>
    <row r="113939" spans="10:10" x14ac:dyDescent="0.3">
      <c r="J113939"/>
    </row>
    <row r="113940" spans="10:10" x14ac:dyDescent="0.3">
      <c r="J113940"/>
    </row>
    <row r="113941" spans="10:10" x14ac:dyDescent="0.3">
      <c r="J113941"/>
    </row>
    <row r="113942" spans="10:10" x14ac:dyDescent="0.3">
      <c r="J113942"/>
    </row>
    <row r="113943" spans="10:10" x14ac:dyDescent="0.3">
      <c r="J113943"/>
    </row>
    <row r="113944" spans="10:10" x14ac:dyDescent="0.3">
      <c r="J113944"/>
    </row>
    <row r="113945" spans="10:10" x14ac:dyDescent="0.3">
      <c r="J113945"/>
    </row>
    <row r="113946" spans="10:10" x14ac:dyDescent="0.3">
      <c r="J113946"/>
    </row>
    <row r="113947" spans="10:10" x14ac:dyDescent="0.3">
      <c r="J113947"/>
    </row>
    <row r="113948" spans="10:10" x14ac:dyDescent="0.3">
      <c r="J113948"/>
    </row>
    <row r="113949" spans="10:10" x14ac:dyDescent="0.3">
      <c r="J113949"/>
    </row>
    <row r="113950" spans="10:10" x14ac:dyDescent="0.3">
      <c r="J113950"/>
    </row>
    <row r="113951" spans="10:10" x14ac:dyDescent="0.3">
      <c r="J113951"/>
    </row>
    <row r="113952" spans="10:10" x14ac:dyDescent="0.3">
      <c r="J113952"/>
    </row>
    <row r="113953" spans="10:10" x14ac:dyDescent="0.3">
      <c r="J113953"/>
    </row>
    <row r="113954" spans="10:10" x14ac:dyDescent="0.3">
      <c r="J113954"/>
    </row>
    <row r="113955" spans="10:10" x14ac:dyDescent="0.3">
      <c r="J113955"/>
    </row>
    <row r="113956" spans="10:10" x14ac:dyDescent="0.3">
      <c r="J113956"/>
    </row>
    <row r="113957" spans="10:10" x14ac:dyDescent="0.3">
      <c r="J113957"/>
    </row>
    <row r="113958" spans="10:10" x14ac:dyDescent="0.3">
      <c r="J113958"/>
    </row>
    <row r="113959" spans="10:10" x14ac:dyDescent="0.3">
      <c r="J113959"/>
    </row>
    <row r="113960" spans="10:10" x14ac:dyDescent="0.3">
      <c r="J113960"/>
    </row>
    <row r="113961" spans="10:10" x14ac:dyDescent="0.3">
      <c r="J113961"/>
    </row>
    <row r="113962" spans="10:10" x14ac:dyDescent="0.3">
      <c r="J113962"/>
    </row>
    <row r="113963" spans="10:10" x14ac:dyDescent="0.3">
      <c r="J113963"/>
    </row>
    <row r="113964" spans="10:10" x14ac:dyDescent="0.3">
      <c r="J113964"/>
    </row>
    <row r="113965" spans="10:10" x14ac:dyDescent="0.3">
      <c r="J113965"/>
    </row>
    <row r="113966" spans="10:10" x14ac:dyDescent="0.3">
      <c r="J113966"/>
    </row>
    <row r="113967" spans="10:10" x14ac:dyDescent="0.3">
      <c r="J113967"/>
    </row>
    <row r="113968" spans="10:10" x14ac:dyDescent="0.3">
      <c r="J113968"/>
    </row>
    <row r="113969" spans="10:10" x14ac:dyDescent="0.3">
      <c r="J113969"/>
    </row>
    <row r="113970" spans="10:10" x14ac:dyDescent="0.3">
      <c r="J113970"/>
    </row>
    <row r="113971" spans="10:10" x14ac:dyDescent="0.3">
      <c r="J113971"/>
    </row>
    <row r="113972" spans="10:10" x14ac:dyDescent="0.3">
      <c r="J113972"/>
    </row>
    <row r="113973" spans="10:10" x14ac:dyDescent="0.3">
      <c r="J113973"/>
    </row>
    <row r="113974" spans="10:10" x14ac:dyDescent="0.3">
      <c r="J113974"/>
    </row>
    <row r="113975" spans="10:10" x14ac:dyDescent="0.3">
      <c r="J113975"/>
    </row>
    <row r="113976" spans="10:10" x14ac:dyDescent="0.3">
      <c r="J113976"/>
    </row>
    <row r="113977" spans="10:10" x14ac:dyDescent="0.3">
      <c r="J113977"/>
    </row>
    <row r="113978" spans="10:10" x14ac:dyDescent="0.3">
      <c r="J113978"/>
    </row>
    <row r="113979" spans="10:10" x14ac:dyDescent="0.3">
      <c r="J113979"/>
    </row>
    <row r="113980" spans="10:10" x14ac:dyDescent="0.3">
      <c r="J113980"/>
    </row>
    <row r="113981" spans="10:10" x14ac:dyDescent="0.3">
      <c r="J113981"/>
    </row>
    <row r="113982" spans="10:10" x14ac:dyDescent="0.3">
      <c r="J113982"/>
    </row>
    <row r="113983" spans="10:10" x14ac:dyDescent="0.3">
      <c r="J113983"/>
    </row>
    <row r="113984" spans="10:10" x14ac:dyDescent="0.3">
      <c r="J113984"/>
    </row>
    <row r="113985" spans="10:10" x14ac:dyDescent="0.3">
      <c r="J113985"/>
    </row>
    <row r="113986" spans="10:10" x14ac:dyDescent="0.3">
      <c r="J113986"/>
    </row>
    <row r="113987" spans="10:10" x14ac:dyDescent="0.3">
      <c r="J113987"/>
    </row>
    <row r="113988" spans="10:10" x14ac:dyDescent="0.3">
      <c r="J113988"/>
    </row>
    <row r="113989" spans="10:10" x14ac:dyDescent="0.3">
      <c r="J113989"/>
    </row>
    <row r="113990" spans="10:10" x14ac:dyDescent="0.3">
      <c r="J113990"/>
    </row>
    <row r="113991" spans="10:10" x14ac:dyDescent="0.3">
      <c r="J113991"/>
    </row>
    <row r="113992" spans="10:10" x14ac:dyDescent="0.3">
      <c r="J113992"/>
    </row>
    <row r="113993" spans="10:10" x14ac:dyDescent="0.3">
      <c r="J113993"/>
    </row>
    <row r="113994" spans="10:10" x14ac:dyDescent="0.3">
      <c r="J113994"/>
    </row>
    <row r="113995" spans="10:10" x14ac:dyDescent="0.3">
      <c r="J113995"/>
    </row>
    <row r="113996" spans="10:10" x14ac:dyDescent="0.3">
      <c r="J113996"/>
    </row>
    <row r="113997" spans="10:10" x14ac:dyDescent="0.3">
      <c r="J113997"/>
    </row>
    <row r="113998" spans="10:10" x14ac:dyDescent="0.3">
      <c r="J113998"/>
    </row>
    <row r="113999" spans="10:10" x14ac:dyDescent="0.3">
      <c r="J113999"/>
    </row>
    <row r="114000" spans="10:10" x14ac:dyDescent="0.3">
      <c r="J114000"/>
    </row>
    <row r="114001" spans="10:10" x14ac:dyDescent="0.3">
      <c r="J114001"/>
    </row>
    <row r="114002" spans="10:10" x14ac:dyDescent="0.3">
      <c r="J114002"/>
    </row>
    <row r="114003" spans="10:10" x14ac:dyDescent="0.3">
      <c r="J114003"/>
    </row>
    <row r="114004" spans="10:10" x14ac:dyDescent="0.3">
      <c r="J114004"/>
    </row>
    <row r="114005" spans="10:10" x14ac:dyDescent="0.3">
      <c r="J114005"/>
    </row>
    <row r="114006" spans="10:10" x14ac:dyDescent="0.3">
      <c r="J114006"/>
    </row>
    <row r="114007" spans="10:10" x14ac:dyDescent="0.3">
      <c r="J114007"/>
    </row>
    <row r="114008" spans="10:10" x14ac:dyDescent="0.3">
      <c r="J114008"/>
    </row>
    <row r="114009" spans="10:10" x14ac:dyDescent="0.3">
      <c r="J114009"/>
    </row>
    <row r="114010" spans="10:10" x14ac:dyDescent="0.3">
      <c r="J114010"/>
    </row>
    <row r="114011" spans="10:10" x14ac:dyDescent="0.3">
      <c r="J114011"/>
    </row>
    <row r="114012" spans="10:10" x14ac:dyDescent="0.3">
      <c r="J114012"/>
    </row>
    <row r="114013" spans="10:10" x14ac:dyDescent="0.3">
      <c r="J114013"/>
    </row>
    <row r="114014" spans="10:10" x14ac:dyDescent="0.3">
      <c r="J114014"/>
    </row>
    <row r="114015" spans="10:10" x14ac:dyDescent="0.3">
      <c r="J114015"/>
    </row>
    <row r="114016" spans="10:10" x14ac:dyDescent="0.3">
      <c r="J114016"/>
    </row>
    <row r="114017" spans="10:10" x14ac:dyDescent="0.3">
      <c r="J114017"/>
    </row>
    <row r="114018" spans="10:10" x14ac:dyDescent="0.3">
      <c r="J114018"/>
    </row>
    <row r="114019" spans="10:10" x14ac:dyDescent="0.3">
      <c r="J114019"/>
    </row>
    <row r="114020" spans="10:10" x14ac:dyDescent="0.3">
      <c r="J114020"/>
    </row>
    <row r="114021" spans="10:10" x14ac:dyDescent="0.3">
      <c r="J114021"/>
    </row>
    <row r="114022" spans="10:10" x14ac:dyDescent="0.3">
      <c r="J114022"/>
    </row>
    <row r="114023" spans="10:10" x14ac:dyDescent="0.3">
      <c r="J114023"/>
    </row>
    <row r="114024" spans="10:10" x14ac:dyDescent="0.3">
      <c r="J114024"/>
    </row>
    <row r="114025" spans="10:10" x14ac:dyDescent="0.3">
      <c r="J114025"/>
    </row>
    <row r="114026" spans="10:10" x14ac:dyDescent="0.3">
      <c r="J114026"/>
    </row>
    <row r="114027" spans="10:10" x14ac:dyDescent="0.3">
      <c r="J114027"/>
    </row>
    <row r="114028" spans="10:10" x14ac:dyDescent="0.3">
      <c r="J114028"/>
    </row>
    <row r="114029" spans="10:10" x14ac:dyDescent="0.3">
      <c r="J114029"/>
    </row>
    <row r="114030" spans="10:10" x14ac:dyDescent="0.3">
      <c r="J114030"/>
    </row>
    <row r="114031" spans="10:10" x14ac:dyDescent="0.3">
      <c r="J114031"/>
    </row>
    <row r="114032" spans="10:10" x14ac:dyDescent="0.3">
      <c r="J114032"/>
    </row>
    <row r="114033" spans="10:10" x14ac:dyDescent="0.3">
      <c r="J114033"/>
    </row>
    <row r="114034" spans="10:10" x14ac:dyDescent="0.3">
      <c r="J114034"/>
    </row>
    <row r="114035" spans="10:10" x14ac:dyDescent="0.3">
      <c r="J114035"/>
    </row>
    <row r="114036" spans="10:10" x14ac:dyDescent="0.3">
      <c r="J114036"/>
    </row>
    <row r="114037" spans="10:10" x14ac:dyDescent="0.3">
      <c r="J114037"/>
    </row>
    <row r="114038" spans="10:10" x14ac:dyDescent="0.3">
      <c r="J114038"/>
    </row>
    <row r="114039" spans="10:10" x14ac:dyDescent="0.3">
      <c r="J114039"/>
    </row>
    <row r="114040" spans="10:10" x14ac:dyDescent="0.3">
      <c r="J114040"/>
    </row>
    <row r="114041" spans="10:10" x14ac:dyDescent="0.3">
      <c r="J114041"/>
    </row>
    <row r="114042" spans="10:10" x14ac:dyDescent="0.3">
      <c r="J114042"/>
    </row>
    <row r="114043" spans="10:10" x14ac:dyDescent="0.3">
      <c r="J114043"/>
    </row>
    <row r="114044" spans="10:10" x14ac:dyDescent="0.3">
      <c r="J114044"/>
    </row>
    <row r="114045" spans="10:10" x14ac:dyDescent="0.3">
      <c r="J114045"/>
    </row>
    <row r="114046" spans="10:10" x14ac:dyDescent="0.3">
      <c r="J114046"/>
    </row>
    <row r="114047" spans="10:10" x14ac:dyDescent="0.3">
      <c r="J114047"/>
    </row>
    <row r="114048" spans="10:10" x14ac:dyDescent="0.3">
      <c r="J114048"/>
    </row>
    <row r="114049" spans="10:10" x14ac:dyDescent="0.3">
      <c r="J114049"/>
    </row>
    <row r="114050" spans="10:10" x14ac:dyDescent="0.3">
      <c r="J114050"/>
    </row>
    <row r="114051" spans="10:10" x14ac:dyDescent="0.3">
      <c r="J114051"/>
    </row>
    <row r="114052" spans="10:10" x14ac:dyDescent="0.3">
      <c r="J114052"/>
    </row>
    <row r="114053" spans="10:10" x14ac:dyDescent="0.3">
      <c r="J114053"/>
    </row>
    <row r="114054" spans="10:10" x14ac:dyDescent="0.3">
      <c r="J114054"/>
    </row>
    <row r="114055" spans="10:10" x14ac:dyDescent="0.3">
      <c r="J114055"/>
    </row>
    <row r="114056" spans="10:10" x14ac:dyDescent="0.3">
      <c r="J114056"/>
    </row>
    <row r="114057" spans="10:10" x14ac:dyDescent="0.3">
      <c r="J114057"/>
    </row>
    <row r="114058" spans="10:10" x14ac:dyDescent="0.3">
      <c r="J114058"/>
    </row>
    <row r="114059" spans="10:10" x14ac:dyDescent="0.3">
      <c r="J114059"/>
    </row>
    <row r="114060" spans="10:10" x14ac:dyDescent="0.3">
      <c r="J114060"/>
    </row>
    <row r="114061" spans="10:10" x14ac:dyDescent="0.3">
      <c r="J114061"/>
    </row>
    <row r="114062" spans="10:10" x14ac:dyDescent="0.3">
      <c r="J114062"/>
    </row>
    <row r="114063" spans="10:10" x14ac:dyDescent="0.3">
      <c r="J114063"/>
    </row>
    <row r="114064" spans="10:10" x14ac:dyDescent="0.3">
      <c r="J114064"/>
    </row>
    <row r="114065" spans="10:10" x14ac:dyDescent="0.3">
      <c r="J114065"/>
    </row>
    <row r="114066" spans="10:10" x14ac:dyDescent="0.3">
      <c r="J114066"/>
    </row>
    <row r="114067" spans="10:10" x14ac:dyDescent="0.3">
      <c r="J114067"/>
    </row>
    <row r="114068" spans="10:10" x14ac:dyDescent="0.3">
      <c r="J114068"/>
    </row>
    <row r="114069" spans="10:10" x14ac:dyDescent="0.3">
      <c r="J114069"/>
    </row>
    <row r="114070" spans="10:10" x14ac:dyDescent="0.3">
      <c r="J114070"/>
    </row>
    <row r="114071" spans="10:10" x14ac:dyDescent="0.3">
      <c r="J114071"/>
    </row>
    <row r="114072" spans="10:10" x14ac:dyDescent="0.3">
      <c r="J114072"/>
    </row>
    <row r="114073" spans="10:10" x14ac:dyDescent="0.3">
      <c r="J114073"/>
    </row>
    <row r="114074" spans="10:10" x14ac:dyDescent="0.3">
      <c r="J114074"/>
    </row>
    <row r="114075" spans="10:10" x14ac:dyDescent="0.3">
      <c r="J114075"/>
    </row>
    <row r="114076" spans="10:10" x14ac:dyDescent="0.3">
      <c r="J114076"/>
    </row>
    <row r="114077" spans="10:10" x14ac:dyDescent="0.3">
      <c r="J114077"/>
    </row>
    <row r="114078" spans="10:10" x14ac:dyDescent="0.3">
      <c r="J114078"/>
    </row>
    <row r="114079" spans="10:10" x14ac:dyDescent="0.3">
      <c r="J114079"/>
    </row>
    <row r="114080" spans="10:10" x14ac:dyDescent="0.3">
      <c r="J114080"/>
    </row>
    <row r="114081" spans="10:10" x14ac:dyDescent="0.3">
      <c r="J114081"/>
    </row>
    <row r="114082" spans="10:10" x14ac:dyDescent="0.3">
      <c r="J114082"/>
    </row>
    <row r="114083" spans="10:10" x14ac:dyDescent="0.3">
      <c r="J114083"/>
    </row>
    <row r="114084" spans="10:10" x14ac:dyDescent="0.3">
      <c r="J114084"/>
    </row>
    <row r="114085" spans="10:10" x14ac:dyDescent="0.3">
      <c r="J114085"/>
    </row>
    <row r="114086" spans="10:10" x14ac:dyDescent="0.3">
      <c r="J114086"/>
    </row>
    <row r="114087" spans="10:10" x14ac:dyDescent="0.3">
      <c r="J114087"/>
    </row>
    <row r="114088" spans="10:10" x14ac:dyDescent="0.3">
      <c r="J114088"/>
    </row>
    <row r="114089" spans="10:10" x14ac:dyDescent="0.3">
      <c r="J114089"/>
    </row>
    <row r="114090" spans="10:10" x14ac:dyDescent="0.3">
      <c r="J114090"/>
    </row>
    <row r="114091" spans="10:10" x14ac:dyDescent="0.3">
      <c r="J114091"/>
    </row>
    <row r="114092" spans="10:10" x14ac:dyDescent="0.3">
      <c r="J114092"/>
    </row>
    <row r="114093" spans="10:10" x14ac:dyDescent="0.3">
      <c r="J114093"/>
    </row>
    <row r="114094" spans="10:10" x14ac:dyDescent="0.3">
      <c r="J114094"/>
    </row>
    <row r="114095" spans="10:10" x14ac:dyDescent="0.3">
      <c r="J114095"/>
    </row>
    <row r="114096" spans="10:10" x14ac:dyDescent="0.3">
      <c r="J114096"/>
    </row>
    <row r="114097" spans="10:10" x14ac:dyDescent="0.3">
      <c r="J114097"/>
    </row>
    <row r="114098" spans="10:10" x14ac:dyDescent="0.3">
      <c r="J114098"/>
    </row>
    <row r="114099" spans="10:10" x14ac:dyDescent="0.3">
      <c r="J114099"/>
    </row>
    <row r="114100" spans="10:10" x14ac:dyDescent="0.3">
      <c r="J114100"/>
    </row>
    <row r="114101" spans="10:10" x14ac:dyDescent="0.3">
      <c r="J114101"/>
    </row>
    <row r="114102" spans="10:10" x14ac:dyDescent="0.3">
      <c r="J114102"/>
    </row>
    <row r="114103" spans="10:10" x14ac:dyDescent="0.3">
      <c r="J114103"/>
    </row>
    <row r="114104" spans="10:10" x14ac:dyDescent="0.3">
      <c r="J114104"/>
    </row>
    <row r="114105" spans="10:10" x14ac:dyDescent="0.3">
      <c r="J114105"/>
    </row>
    <row r="114106" spans="10:10" x14ac:dyDescent="0.3">
      <c r="J114106"/>
    </row>
    <row r="114107" spans="10:10" x14ac:dyDescent="0.3">
      <c r="J114107"/>
    </row>
    <row r="114108" spans="10:10" x14ac:dyDescent="0.3">
      <c r="J114108"/>
    </row>
    <row r="114109" spans="10:10" x14ac:dyDescent="0.3">
      <c r="J114109"/>
    </row>
    <row r="114110" spans="10:10" x14ac:dyDescent="0.3">
      <c r="J114110"/>
    </row>
    <row r="114111" spans="10:10" x14ac:dyDescent="0.3">
      <c r="J114111"/>
    </row>
    <row r="114112" spans="10:10" x14ac:dyDescent="0.3">
      <c r="J114112"/>
    </row>
    <row r="114113" spans="10:10" x14ac:dyDescent="0.3">
      <c r="J114113"/>
    </row>
    <row r="114114" spans="10:10" x14ac:dyDescent="0.3">
      <c r="J114114"/>
    </row>
    <row r="114115" spans="10:10" x14ac:dyDescent="0.3">
      <c r="J114115"/>
    </row>
    <row r="114116" spans="10:10" x14ac:dyDescent="0.3">
      <c r="J114116"/>
    </row>
    <row r="114117" spans="10:10" x14ac:dyDescent="0.3">
      <c r="J114117"/>
    </row>
    <row r="114118" spans="10:10" x14ac:dyDescent="0.3">
      <c r="J114118"/>
    </row>
    <row r="114119" spans="10:10" x14ac:dyDescent="0.3">
      <c r="J114119"/>
    </row>
    <row r="114120" spans="10:10" x14ac:dyDescent="0.3">
      <c r="J114120"/>
    </row>
    <row r="114121" spans="10:10" x14ac:dyDescent="0.3">
      <c r="J114121"/>
    </row>
    <row r="114122" spans="10:10" x14ac:dyDescent="0.3">
      <c r="J114122"/>
    </row>
    <row r="114123" spans="10:10" x14ac:dyDescent="0.3">
      <c r="J114123"/>
    </row>
    <row r="114124" spans="10:10" x14ac:dyDescent="0.3">
      <c r="J114124"/>
    </row>
    <row r="114125" spans="10:10" x14ac:dyDescent="0.3">
      <c r="J114125"/>
    </row>
    <row r="114126" spans="10:10" x14ac:dyDescent="0.3">
      <c r="J114126"/>
    </row>
    <row r="114127" spans="10:10" x14ac:dyDescent="0.3">
      <c r="J114127"/>
    </row>
    <row r="114128" spans="10:10" x14ac:dyDescent="0.3">
      <c r="J114128"/>
    </row>
    <row r="114129" spans="10:10" x14ac:dyDescent="0.3">
      <c r="J114129"/>
    </row>
    <row r="114130" spans="10:10" x14ac:dyDescent="0.3">
      <c r="J114130"/>
    </row>
    <row r="114131" spans="10:10" x14ac:dyDescent="0.3">
      <c r="J114131"/>
    </row>
    <row r="114132" spans="10:10" x14ac:dyDescent="0.3">
      <c r="J114132"/>
    </row>
    <row r="114133" spans="10:10" x14ac:dyDescent="0.3">
      <c r="J114133"/>
    </row>
    <row r="114134" spans="10:10" x14ac:dyDescent="0.3">
      <c r="J114134"/>
    </row>
    <row r="114135" spans="10:10" x14ac:dyDescent="0.3">
      <c r="J114135"/>
    </row>
    <row r="114136" spans="10:10" x14ac:dyDescent="0.3">
      <c r="J114136"/>
    </row>
    <row r="114137" spans="10:10" x14ac:dyDescent="0.3">
      <c r="J114137"/>
    </row>
    <row r="114138" spans="10:10" x14ac:dyDescent="0.3">
      <c r="J114138"/>
    </row>
    <row r="114139" spans="10:10" x14ac:dyDescent="0.3">
      <c r="J114139"/>
    </row>
    <row r="114140" spans="10:10" x14ac:dyDescent="0.3">
      <c r="J114140"/>
    </row>
    <row r="114141" spans="10:10" x14ac:dyDescent="0.3">
      <c r="J114141"/>
    </row>
    <row r="114142" spans="10:10" x14ac:dyDescent="0.3">
      <c r="J114142"/>
    </row>
    <row r="114143" spans="10:10" x14ac:dyDescent="0.3">
      <c r="J114143"/>
    </row>
    <row r="114144" spans="10:10" x14ac:dyDescent="0.3">
      <c r="J114144"/>
    </row>
    <row r="114145" spans="10:10" x14ac:dyDescent="0.3">
      <c r="J114145"/>
    </row>
    <row r="114146" spans="10:10" x14ac:dyDescent="0.3">
      <c r="J114146"/>
    </row>
    <row r="114147" spans="10:10" x14ac:dyDescent="0.3">
      <c r="J114147"/>
    </row>
    <row r="114148" spans="10:10" x14ac:dyDescent="0.3">
      <c r="J114148"/>
    </row>
    <row r="114149" spans="10:10" x14ac:dyDescent="0.3">
      <c r="J114149"/>
    </row>
    <row r="114150" spans="10:10" x14ac:dyDescent="0.3">
      <c r="J114150"/>
    </row>
    <row r="114151" spans="10:10" x14ac:dyDescent="0.3">
      <c r="J114151"/>
    </row>
    <row r="114152" spans="10:10" x14ac:dyDescent="0.3">
      <c r="J114152"/>
    </row>
    <row r="114153" spans="10:10" x14ac:dyDescent="0.3">
      <c r="J114153"/>
    </row>
    <row r="114154" spans="10:10" x14ac:dyDescent="0.3">
      <c r="J114154"/>
    </row>
    <row r="114155" spans="10:10" x14ac:dyDescent="0.3">
      <c r="J114155"/>
    </row>
    <row r="114156" spans="10:10" x14ac:dyDescent="0.3">
      <c r="J114156"/>
    </row>
    <row r="114157" spans="10:10" x14ac:dyDescent="0.3">
      <c r="J114157"/>
    </row>
    <row r="114158" spans="10:10" x14ac:dyDescent="0.3">
      <c r="J114158"/>
    </row>
    <row r="114159" spans="10:10" x14ac:dyDescent="0.3">
      <c r="J114159"/>
    </row>
    <row r="114160" spans="10:10" x14ac:dyDescent="0.3">
      <c r="J114160"/>
    </row>
    <row r="114161" spans="10:10" x14ac:dyDescent="0.3">
      <c r="J114161"/>
    </row>
    <row r="114162" spans="10:10" x14ac:dyDescent="0.3">
      <c r="J114162"/>
    </row>
    <row r="114163" spans="10:10" x14ac:dyDescent="0.3">
      <c r="J114163"/>
    </row>
    <row r="114164" spans="10:10" x14ac:dyDescent="0.3">
      <c r="J114164"/>
    </row>
    <row r="114165" spans="10:10" x14ac:dyDescent="0.3">
      <c r="J114165"/>
    </row>
    <row r="114166" spans="10:10" x14ac:dyDescent="0.3">
      <c r="J114166"/>
    </row>
    <row r="114167" spans="10:10" x14ac:dyDescent="0.3">
      <c r="J114167"/>
    </row>
    <row r="114168" spans="10:10" x14ac:dyDescent="0.3">
      <c r="J114168"/>
    </row>
    <row r="114169" spans="10:10" x14ac:dyDescent="0.3">
      <c r="J114169"/>
    </row>
    <row r="114170" spans="10:10" x14ac:dyDescent="0.3">
      <c r="J114170"/>
    </row>
    <row r="114171" spans="10:10" x14ac:dyDescent="0.3">
      <c r="J114171"/>
    </row>
    <row r="114172" spans="10:10" x14ac:dyDescent="0.3">
      <c r="J114172"/>
    </row>
    <row r="114173" spans="10:10" x14ac:dyDescent="0.3">
      <c r="J114173"/>
    </row>
    <row r="114174" spans="10:10" x14ac:dyDescent="0.3">
      <c r="J114174"/>
    </row>
    <row r="114175" spans="10:10" x14ac:dyDescent="0.3">
      <c r="J114175"/>
    </row>
    <row r="114176" spans="10:10" x14ac:dyDescent="0.3">
      <c r="J114176"/>
    </row>
    <row r="114177" spans="10:10" x14ac:dyDescent="0.3">
      <c r="J114177"/>
    </row>
    <row r="114178" spans="10:10" x14ac:dyDescent="0.3">
      <c r="J114178"/>
    </row>
    <row r="114179" spans="10:10" x14ac:dyDescent="0.3">
      <c r="J114179"/>
    </row>
    <row r="114180" spans="10:10" x14ac:dyDescent="0.3">
      <c r="J114180"/>
    </row>
    <row r="114181" spans="10:10" x14ac:dyDescent="0.3">
      <c r="J114181"/>
    </row>
    <row r="114182" spans="10:10" x14ac:dyDescent="0.3">
      <c r="J114182"/>
    </row>
    <row r="114183" spans="10:10" x14ac:dyDescent="0.3">
      <c r="J114183"/>
    </row>
    <row r="114184" spans="10:10" x14ac:dyDescent="0.3">
      <c r="J114184"/>
    </row>
    <row r="114185" spans="10:10" x14ac:dyDescent="0.3">
      <c r="J114185"/>
    </row>
    <row r="114186" spans="10:10" x14ac:dyDescent="0.3">
      <c r="J114186"/>
    </row>
    <row r="114187" spans="10:10" x14ac:dyDescent="0.3">
      <c r="J114187"/>
    </row>
    <row r="114188" spans="10:10" x14ac:dyDescent="0.3">
      <c r="J114188"/>
    </row>
    <row r="114189" spans="10:10" x14ac:dyDescent="0.3">
      <c r="J114189"/>
    </row>
    <row r="114190" spans="10:10" x14ac:dyDescent="0.3">
      <c r="J114190"/>
    </row>
    <row r="114191" spans="10:10" x14ac:dyDescent="0.3">
      <c r="J114191"/>
    </row>
    <row r="114192" spans="10:10" x14ac:dyDescent="0.3">
      <c r="J114192"/>
    </row>
    <row r="114193" spans="10:10" x14ac:dyDescent="0.3">
      <c r="J114193"/>
    </row>
    <row r="114194" spans="10:10" x14ac:dyDescent="0.3">
      <c r="J114194"/>
    </row>
    <row r="114195" spans="10:10" x14ac:dyDescent="0.3">
      <c r="J114195"/>
    </row>
    <row r="114196" spans="10:10" x14ac:dyDescent="0.3">
      <c r="J114196"/>
    </row>
    <row r="114197" spans="10:10" x14ac:dyDescent="0.3">
      <c r="J114197"/>
    </row>
    <row r="114198" spans="10:10" x14ac:dyDescent="0.3">
      <c r="J114198"/>
    </row>
    <row r="114199" spans="10:10" x14ac:dyDescent="0.3">
      <c r="J114199"/>
    </row>
    <row r="114200" spans="10:10" x14ac:dyDescent="0.3">
      <c r="J114200"/>
    </row>
    <row r="114201" spans="10:10" x14ac:dyDescent="0.3">
      <c r="J114201"/>
    </row>
    <row r="114202" spans="10:10" x14ac:dyDescent="0.3">
      <c r="J114202"/>
    </row>
    <row r="114203" spans="10:10" x14ac:dyDescent="0.3">
      <c r="J114203"/>
    </row>
    <row r="114204" spans="10:10" x14ac:dyDescent="0.3">
      <c r="J114204"/>
    </row>
    <row r="114205" spans="10:10" x14ac:dyDescent="0.3">
      <c r="J114205"/>
    </row>
    <row r="114206" spans="10:10" x14ac:dyDescent="0.3">
      <c r="J114206"/>
    </row>
    <row r="114207" spans="10:10" x14ac:dyDescent="0.3">
      <c r="J114207"/>
    </row>
    <row r="114208" spans="10:10" x14ac:dyDescent="0.3">
      <c r="J114208"/>
    </row>
    <row r="114209" spans="10:10" x14ac:dyDescent="0.3">
      <c r="J114209"/>
    </row>
    <row r="114210" spans="10:10" x14ac:dyDescent="0.3">
      <c r="J114210"/>
    </row>
    <row r="114211" spans="10:10" x14ac:dyDescent="0.3">
      <c r="J114211"/>
    </row>
    <row r="114212" spans="10:10" x14ac:dyDescent="0.3">
      <c r="J114212"/>
    </row>
    <row r="114213" spans="10:10" x14ac:dyDescent="0.3">
      <c r="J114213"/>
    </row>
    <row r="114214" spans="10:10" x14ac:dyDescent="0.3">
      <c r="J114214"/>
    </row>
    <row r="114215" spans="10:10" x14ac:dyDescent="0.3">
      <c r="J114215"/>
    </row>
    <row r="114216" spans="10:10" x14ac:dyDescent="0.3">
      <c r="J114216"/>
    </row>
    <row r="114217" spans="10:10" x14ac:dyDescent="0.3">
      <c r="J114217"/>
    </row>
    <row r="114218" spans="10:10" x14ac:dyDescent="0.3">
      <c r="J114218"/>
    </row>
    <row r="114219" spans="10:10" x14ac:dyDescent="0.3">
      <c r="J114219"/>
    </row>
    <row r="114220" spans="10:10" x14ac:dyDescent="0.3">
      <c r="J114220"/>
    </row>
    <row r="114221" spans="10:10" x14ac:dyDescent="0.3">
      <c r="J114221"/>
    </row>
    <row r="114222" spans="10:10" x14ac:dyDescent="0.3">
      <c r="J114222"/>
    </row>
    <row r="114223" spans="10:10" x14ac:dyDescent="0.3">
      <c r="J114223"/>
    </row>
    <row r="114224" spans="10:10" x14ac:dyDescent="0.3">
      <c r="J114224"/>
    </row>
    <row r="114225" spans="10:10" x14ac:dyDescent="0.3">
      <c r="J114225"/>
    </row>
    <row r="114226" spans="10:10" x14ac:dyDescent="0.3">
      <c r="J114226"/>
    </row>
    <row r="114227" spans="10:10" x14ac:dyDescent="0.3">
      <c r="J114227"/>
    </row>
    <row r="114228" spans="10:10" x14ac:dyDescent="0.3">
      <c r="J114228"/>
    </row>
    <row r="114229" spans="10:10" x14ac:dyDescent="0.3">
      <c r="J114229"/>
    </row>
    <row r="114230" spans="10:10" x14ac:dyDescent="0.3">
      <c r="J114230"/>
    </row>
    <row r="114231" spans="10:10" x14ac:dyDescent="0.3">
      <c r="J114231"/>
    </row>
    <row r="114232" spans="10:10" x14ac:dyDescent="0.3">
      <c r="J114232"/>
    </row>
    <row r="114233" spans="10:10" x14ac:dyDescent="0.3">
      <c r="J114233"/>
    </row>
    <row r="114234" spans="10:10" x14ac:dyDescent="0.3">
      <c r="J114234"/>
    </row>
    <row r="114235" spans="10:10" x14ac:dyDescent="0.3">
      <c r="J114235"/>
    </row>
    <row r="114236" spans="10:10" x14ac:dyDescent="0.3">
      <c r="J114236"/>
    </row>
    <row r="114237" spans="10:10" x14ac:dyDescent="0.3">
      <c r="J114237"/>
    </row>
    <row r="114238" spans="10:10" x14ac:dyDescent="0.3">
      <c r="J114238"/>
    </row>
    <row r="114239" spans="10:10" x14ac:dyDescent="0.3">
      <c r="J114239"/>
    </row>
    <row r="114240" spans="10:10" x14ac:dyDescent="0.3">
      <c r="J114240"/>
    </row>
    <row r="114241" spans="10:10" x14ac:dyDescent="0.3">
      <c r="J114241"/>
    </row>
    <row r="114242" spans="10:10" x14ac:dyDescent="0.3">
      <c r="J114242"/>
    </row>
    <row r="114243" spans="10:10" x14ac:dyDescent="0.3">
      <c r="J114243"/>
    </row>
    <row r="114244" spans="10:10" x14ac:dyDescent="0.3">
      <c r="J114244"/>
    </row>
    <row r="114245" spans="10:10" x14ac:dyDescent="0.3">
      <c r="J114245"/>
    </row>
    <row r="114246" spans="10:10" x14ac:dyDescent="0.3">
      <c r="J114246"/>
    </row>
    <row r="114247" spans="10:10" x14ac:dyDescent="0.3">
      <c r="J114247"/>
    </row>
    <row r="114248" spans="10:10" x14ac:dyDescent="0.3">
      <c r="J114248"/>
    </row>
    <row r="114249" spans="10:10" x14ac:dyDescent="0.3">
      <c r="J114249"/>
    </row>
    <row r="114250" spans="10:10" x14ac:dyDescent="0.3">
      <c r="J114250"/>
    </row>
    <row r="114251" spans="10:10" x14ac:dyDescent="0.3">
      <c r="J114251"/>
    </row>
    <row r="114252" spans="10:10" x14ac:dyDescent="0.3">
      <c r="J114252"/>
    </row>
    <row r="114253" spans="10:10" x14ac:dyDescent="0.3">
      <c r="J114253"/>
    </row>
    <row r="114254" spans="10:10" x14ac:dyDescent="0.3">
      <c r="J114254"/>
    </row>
    <row r="114255" spans="10:10" x14ac:dyDescent="0.3">
      <c r="J114255"/>
    </row>
    <row r="114256" spans="10:10" x14ac:dyDescent="0.3">
      <c r="J114256"/>
    </row>
    <row r="114257" spans="10:10" x14ac:dyDescent="0.3">
      <c r="J114257"/>
    </row>
    <row r="114258" spans="10:10" x14ac:dyDescent="0.3">
      <c r="J114258"/>
    </row>
    <row r="114259" spans="10:10" x14ac:dyDescent="0.3">
      <c r="J114259"/>
    </row>
    <row r="114260" spans="10:10" x14ac:dyDescent="0.3">
      <c r="J114260"/>
    </row>
    <row r="114261" spans="10:10" x14ac:dyDescent="0.3">
      <c r="J114261"/>
    </row>
    <row r="114262" spans="10:10" x14ac:dyDescent="0.3">
      <c r="J114262"/>
    </row>
    <row r="114263" spans="10:10" x14ac:dyDescent="0.3">
      <c r="J114263"/>
    </row>
    <row r="114264" spans="10:10" x14ac:dyDescent="0.3">
      <c r="J114264"/>
    </row>
    <row r="114265" spans="10:10" x14ac:dyDescent="0.3">
      <c r="J114265"/>
    </row>
    <row r="114266" spans="10:10" x14ac:dyDescent="0.3">
      <c r="J114266"/>
    </row>
    <row r="114267" spans="10:10" x14ac:dyDescent="0.3">
      <c r="J114267"/>
    </row>
    <row r="114268" spans="10:10" x14ac:dyDescent="0.3">
      <c r="J114268"/>
    </row>
    <row r="114269" spans="10:10" x14ac:dyDescent="0.3">
      <c r="J114269"/>
    </row>
    <row r="114270" spans="10:10" x14ac:dyDescent="0.3">
      <c r="J114270"/>
    </row>
    <row r="114271" spans="10:10" x14ac:dyDescent="0.3">
      <c r="J114271"/>
    </row>
    <row r="114272" spans="10:10" x14ac:dyDescent="0.3">
      <c r="J114272"/>
    </row>
    <row r="114273" spans="10:10" x14ac:dyDescent="0.3">
      <c r="J114273"/>
    </row>
    <row r="114274" spans="10:10" x14ac:dyDescent="0.3">
      <c r="J114274"/>
    </row>
    <row r="114275" spans="10:10" x14ac:dyDescent="0.3">
      <c r="J114275"/>
    </row>
    <row r="114276" spans="10:10" x14ac:dyDescent="0.3">
      <c r="J114276"/>
    </row>
    <row r="114277" spans="10:10" x14ac:dyDescent="0.3">
      <c r="J114277"/>
    </row>
    <row r="114278" spans="10:10" x14ac:dyDescent="0.3">
      <c r="J114278"/>
    </row>
    <row r="114279" spans="10:10" x14ac:dyDescent="0.3">
      <c r="J114279"/>
    </row>
    <row r="114280" spans="10:10" x14ac:dyDescent="0.3">
      <c r="J114280"/>
    </row>
    <row r="114281" spans="10:10" x14ac:dyDescent="0.3">
      <c r="J114281"/>
    </row>
    <row r="114282" spans="10:10" x14ac:dyDescent="0.3">
      <c r="J114282"/>
    </row>
    <row r="114283" spans="10:10" x14ac:dyDescent="0.3">
      <c r="J114283"/>
    </row>
    <row r="114284" spans="10:10" x14ac:dyDescent="0.3">
      <c r="J114284"/>
    </row>
    <row r="114285" spans="10:10" x14ac:dyDescent="0.3">
      <c r="J114285"/>
    </row>
    <row r="114286" spans="10:10" x14ac:dyDescent="0.3">
      <c r="J114286"/>
    </row>
    <row r="114287" spans="10:10" x14ac:dyDescent="0.3">
      <c r="J114287"/>
    </row>
    <row r="114288" spans="10:10" x14ac:dyDescent="0.3">
      <c r="J114288"/>
    </row>
    <row r="114289" spans="10:10" x14ac:dyDescent="0.3">
      <c r="J114289"/>
    </row>
    <row r="114290" spans="10:10" x14ac:dyDescent="0.3">
      <c r="J114290"/>
    </row>
    <row r="114291" spans="10:10" x14ac:dyDescent="0.3">
      <c r="J114291"/>
    </row>
    <row r="114292" spans="10:10" x14ac:dyDescent="0.3">
      <c r="J114292"/>
    </row>
    <row r="114293" spans="10:10" x14ac:dyDescent="0.3">
      <c r="J114293"/>
    </row>
    <row r="114294" spans="10:10" x14ac:dyDescent="0.3">
      <c r="J114294"/>
    </row>
    <row r="114295" spans="10:10" x14ac:dyDescent="0.3">
      <c r="J114295"/>
    </row>
    <row r="114296" spans="10:10" x14ac:dyDescent="0.3">
      <c r="J114296"/>
    </row>
    <row r="114297" spans="10:10" x14ac:dyDescent="0.3">
      <c r="J114297"/>
    </row>
    <row r="114298" spans="10:10" x14ac:dyDescent="0.3">
      <c r="J114298"/>
    </row>
    <row r="114299" spans="10:10" x14ac:dyDescent="0.3">
      <c r="J114299"/>
    </row>
    <row r="114300" spans="10:10" x14ac:dyDescent="0.3">
      <c r="J114300"/>
    </row>
    <row r="114301" spans="10:10" x14ac:dyDescent="0.3">
      <c r="J114301"/>
    </row>
    <row r="114302" spans="10:10" x14ac:dyDescent="0.3">
      <c r="J114302"/>
    </row>
    <row r="114303" spans="10:10" x14ac:dyDescent="0.3">
      <c r="J114303"/>
    </row>
    <row r="114304" spans="10:10" x14ac:dyDescent="0.3">
      <c r="J114304"/>
    </row>
    <row r="114305" spans="10:10" x14ac:dyDescent="0.3">
      <c r="J114305"/>
    </row>
    <row r="114306" spans="10:10" x14ac:dyDescent="0.3">
      <c r="J114306"/>
    </row>
    <row r="114307" spans="10:10" x14ac:dyDescent="0.3">
      <c r="J114307"/>
    </row>
    <row r="114308" spans="10:10" x14ac:dyDescent="0.3">
      <c r="J114308"/>
    </row>
    <row r="114309" spans="10:10" x14ac:dyDescent="0.3">
      <c r="J114309"/>
    </row>
    <row r="114310" spans="10:10" x14ac:dyDescent="0.3">
      <c r="J114310"/>
    </row>
    <row r="114311" spans="10:10" x14ac:dyDescent="0.3">
      <c r="J114311"/>
    </row>
    <row r="114312" spans="10:10" x14ac:dyDescent="0.3">
      <c r="J114312"/>
    </row>
    <row r="114313" spans="10:10" x14ac:dyDescent="0.3">
      <c r="J114313"/>
    </row>
    <row r="114314" spans="10:10" x14ac:dyDescent="0.3">
      <c r="J114314"/>
    </row>
    <row r="114315" spans="10:10" x14ac:dyDescent="0.3">
      <c r="J114315"/>
    </row>
    <row r="114316" spans="10:10" x14ac:dyDescent="0.3">
      <c r="J114316"/>
    </row>
    <row r="114317" spans="10:10" x14ac:dyDescent="0.3">
      <c r="J114317"/>
    </row>
    <row r="114318" spans="10:10" x14ac:dyDescent="0.3">
      <c r="J114318"/>
    </row>
    <row r="114319" spans="10:10" x14ac:dyDescent="0.3">
      <c r="J114319"/>
    </row>
    <row r="114320" spans="10:10" x14ac:dyDescent="0.3">
      <c r="J114320"/>
    </row>
    <row r="114321" spans="10:10" x14ac:dyDescent="0.3">
      <c r="J114321"/>
    </row>
    <row r="114322" spans="10:10" x14ac:dyDescent="0.3">
      <c r="J114322"/>
    </row>
    <row r="114323" spans="10:10" x14ac:dyDescent="0.3">
      <c r="J114323"/>
    </row>
    <row r="114324" spans="10:10" x14ac:dyDescent="0.3">
      <c r="J114324"/>
    </row>
    <row r="114325" spans="10:10" x14ac:dyDescent="0.3">
      <c r="J114325"/>
    </row>
    <row r="114326" spans="10:10" x14ac:dyDescent="0.3">
      <c r="J114326"/>
    </row>
    <row r="114327" spans="10:10" x14ac:dyDescent="0.3">
      <c r="J114327"/>
    </row>
    <row r="114328" spans="10:10" x14ac:dyDescent="0.3">
      <c r="J114328"/>
    </row>
    <row r="114329" spans="10:10" x14ac:dyDescent="0.3">
      <c r="J114329"/>
    </row>
    <row r="114330" spans="10:10" x14ac:dyDescent="0.3">
      <c r="J114330"/>
    </row>
    <row r="114331" spans="10:10" x14ac:dyDescent="0.3">
      <c r="J114331"/>
    </row>
    <row r="114332" spans="10:10" x14ac:dyDescent="0.3">
      <c r="J114332"/>
    </row>
    <row r="114333" spans="10:10" x14ac:dyDescent="0.3">
      <c r="J114333"/>
    </row>
    <row r="114334" spans="10:10" x14ac:dyDescent="0.3">
      <c r="J114334"/>
    </row>
    <row r="114335" spans="10:10" x14ac:dyDescent="0.3">
      <c r="J114335"/>
    </row>
    <row r="114336" spans="10:10" x14ac:dyDescent="0.3">
      <c r="J114336"/>
    </row>
    <row r="114337" spans="10:10" x14ac:dyDescent="0.3">
      <c r="J114337"/>
    </row>
    <row r="114338" spans="10:10" x14ac:dyDescent="0.3">
      <c r="J114338"/>
    </row>
    <row r="114339" spans="10:10" x14ac:dyDescent="0.3">
      <c r="J114339"/>
    </row>
    <row r="114340" spans="10:10" x14ac:dyDescent="0.3">
      <c r="J114340"/>
    </row>
    <row r="114341" spans="10:10" x14ac:dyDescent="0.3">
      <c r="J114341"/>
    </row>
    <row r="114342" spans="10:10" x14ac:dyDescent="0.3">
      <c r="J114342"/>
    </row>
    <row r="114343" spans="10:10" x14ac:dyDescent="0.3">
      <c r="J114343"/>
    </row>
    <row r="114344" spans="10:10" x14ac:dyDescent="0.3">
      <c r="J114344"/>
    </row>
    <row r="114345" spans="10:10" x14ac:dyDescent="0.3">
      <c r="J114345"/>
    </row>
    <row r="114346" spans="10:10" x14ac:dyDescent="0.3">
      <c r="J114346"/>
    </row>
    <row r="114347" spans="10:10" x14ac:dyDescent="0.3">
      <c r="J114347"/>
    </row>
    <row r="114348" spans="10:10" x14ac:dyDescent="0.3">
      <c r="J114348"/>
    </row>
    <row r="114349" spans="10:10" x14ac:dyDescent="0.3">
      <c r="J114349"/>
    </row>
    <row r="114350" spans="10:10" x14ac:dyDescent="0.3">
      <c r="J114350"/>
    </row>
    <row r="114351" spans="10:10" x14ac:dyDescent="0.3">
      <c r="J114351"/>
    </row>
    <row r="114352" spans="10:10" x14ac:dyDescent="0.3">
      <c r="J114352"/>
    </row>
    <row r="114353" spans="10:10" x14ac:dyDescent="0.3">
      <c r="J114353"/>
    </row>
    <row r="114354" spans="10:10" x14ac:dyDescent="0.3">
      <c r="J114354"/>
    </row>
    <row r="114355" spans="10:10" x14ac:dyDescent="0.3">
      <c r="J114355"/>
    </row>
    <row r="114356" spans="10:10" x14ac:dyDescent="0.3">
      <c r="J114356"/>
    </row>
    <row r="114357" spans="10:10" x14ac:dyDescent="0.3">
      <c r="J114357"/>
    </row>
    <row r="114358" spans="10:10" x14ac:dyDescent="0.3">
      <c r="J114358"/>
    </row>
    <row r="114359" spans="10:10" x14ac:dyDescent="0.3">
      <c r="J114359"/>
    </row>
    <row r="114360" spans="10:10" x14ac:dyDescent="0.3">
      <c r="J114360"/>
    </row>
    <row r="114361" spans="10:10" x14ac:dyDescent="0.3">
      <c r="J114361"/>
    </row>
    <row r="114362" spans="10:10" x14ac:dyDescent="0.3">
      <c r="J114362"/>
    </row>
    <row r="114363" spans="10:10" x14ac:dyDescent="0.3">
      <c r="J114363"/>
    </row>
    <row r="114364" spans="10:10" x14ac:dyDescent="0.3">
      <c r="J114364"/>
    </row>
    <row r="114365" spans="10:10" x14ac:dyDescent="0.3">
      <c r="J114365"/>
    </row>
    <row r="114366" spans="10:10" x14ac:dyDescent="0.3">
      <c r="J114366"/>
    </row>
    <row r="114367" spans="10:10" x14ac:dyDescent="0.3">
      <c r="J114367"/>
    </row>
    <row r="114368" spans="10:10" x14ac:dyDescent="0.3">
      <c r="J114368"/>
    </row>
    <row r="114369" spans="10:10" x14ac:dyDescent="0.3">
      <c r="J114369"/>
    </row>
    <row r="114370" spans="10:10" x14ac:dyDescent="0.3">
      <c r="J114370"/>
    </row>
    <row r="114371" spans="10:10" x14ac:dyDescent="0.3">
      <c r="J114371"/>
    </row>
    <row r="114372" spans="10:10" x14ac:dyDescent="0.3">
      <c r="J114372"/>
    </row>
    <row r="114373" spans="10:10" x14ac:dyDescent="0.3">
      <c r="J114373"/>
    </row>
    <row r="114374" spans="10:10" x14ac:dyDescent="0.3">
      <c r="J114374"/>
    </row>
    <row r="114375" spans="10:10" x14ac:dyDescent="0.3">
      <c r="J114375"/>
    </row>
    <row r="114376" spans="10:10" x14ac:dyDescent="0.3">
      <c r="J114376"/>
    </row>
    <row r="114377" spans="10:10" x14ac:dyDescent="0.3">
      <c r="J114377"/>
    </row>
    <row r="114378" spans="10:10" x14ac:dyDescent="0.3">
      <c r="J114378"/>
    </row>
    <row r="114379" spans="10:10" x14ac:dyDescent="0.3">
      <c r="J114379"/>
    </row>
    <row r="114380" spans="10:10" x14ac:dyDescent="0.3">
      <c r="J114380"/>
    </row>
    <row r="114381" spans="10:10" x14ac:dyDescent="0.3">
      <c r="J114381"/>
    </row>
    <row r="114382" spans="10:10" x14ac:dyDescent="0.3">
      <c r="J114382"/>
    </row>
    <row r="114383" spans="10:10" x14ac:dyDescent="0.3">
      <c r="J114383"/>
    </row>
    <row r="114384" spans="10:10" x14ac:dyDescent="0.3">
      <c r="J114384"/>
    </row>
    <row r="114385" spans="10:10" x14ac:dyDescent="0.3">
      <c r="J114385"/>
    </row>
    <row r="114386" spans="10:10" x14ac:dyDescent="0.3">
      <c r="J114386"/>
    </row>
    <row r="114387" spans="10:10" x14ac:dyDescent="0.3">
      <c r="J114387"/>
    </row>
    <row r="114388" spans="10:10" x14ac:dyDescent="0.3">
      <c r="J114388"/>
    </row>
    <row r="114389" spans="10:10" x14ac:dyDescent="0.3">
      <c r="J114389"/>
    </row>
    <row r="114390" spans="10:10" x14ac:dyDescent="0.3">
      <c r="J114390"/>
    </row>
    <row r="114391" spans="10:10" x14ac:dyDescent="0.3">
      <c r="J114391"/>
    </row>
    <row r="114392" spans="10:10" x14ac:dyDescent="0.3">
      <c r="J114392"/>
    </row>
    <row r="114393" spans="10:10" x14ac:dyDescent="0.3">
      <c r="J114393"/>
    </row>
    <row r="114394" spans="10:10" x14ac:dyDescent="0.3">
      <c r="J114394"/>
    </row>
    <row r="114395" spans="10:10" x14ac:dyDescent="0.3">
      <c r="J114395"/>
    </row>
    <row r="114396" spans="10:10" x14ac:dyDescent="0.3">
      <c r="J114396"/>
    </row>
    <row r="114397" spans="10:10" x14ac:dyDescent="0.3">
      <c r="J114397"/>
    </row>
    <row r="114398" spans="10:10" x14ac:dyDescent="0.3">
      <c r="J114398"/>
    </row>
    <row r="114399" spans="10:10" x14ac:dyDescent="0.3">
      <c r="J114399"/>
    </row>
    <row r="114400" spans="10:10" x14ac:dyDescent="0.3">
      <c r="J114400"/>
    </row>
    <row r="114401" spans="10:10" x14ac:dyDescent="0.3">
      <c r="J114401"/>
    </row>
    <row r="114402" spans="10:10" x14ac:dyDescent="0.3">
      <c r="J114402"/>
    </row>
    <row r="114403" spans="10:10" x14ac:dyDescent="0.3">
      <c r="J114403"/>
    </row>
    <row r="114404" spans="10:10" x14ac:dyDescent="0.3">
      <c r="J114404"/>
    </row>
    <row r="114405" spans="10:10" x14ac:dyDescent="0.3">
      <c r="J114405"/>
    </row>
    <row r="114406" spans="10:10" x14ac:dyDescent="0.3">
      <c r="J114406"/>
    </row>
    <row r="114407" spans="10:10" x14ac:dyDescent="0.3">
      <c r="J114407"/>
    </row>
    <row r="114408" spans="10:10" x14ac:dyDescent="0.3">
      <c r="J114408"/>
    </row>
    <row r="114409" spans="10:10" x14ac:dyDescent="0.3">
      <c r="J114409"/>
    </row>
    <row r="114410" spans="10:10" x14ac:dyDescent="0.3">
      <c r="J114410"/>
    </row>
    <row r="114411" spans="10:10" x14ac:dyDescent="0.3">
      <c r="J114411"/>
    </row>
    <row r="114412" spans="10:10" x14ac:dyDescent="0.3">
      <c r="J114412"/>
    </row>
    <row r="114413" spans="10:10" x14ac:dyDescent="0.3">
      <c r="J114413"/>
    </row>
    <row r="114414" spans="10:10" x14ac:dyDescent="0.3">
      <c r="J114414"/>
    </row>
    <row r="114415" spans="10:10" x14ac:dyDescent="0.3">
      <c r="J114415"/>
    </row>
    <row r="114416" spans="10:10" x14ac:dyDescent="0.3">
      <c r="J114416"/>
    </row>
    <row r="114417" spans="10:10" x14ac:dyDescent="0.3">
      <c r="J114417"/>
    </row>
    <row r="114418" spans="10:10" x14ac:dyDescent="0.3">
      <c r="J114418"/>
    </row>
    <row r="114419" spans="10:10" x14ac:dyDescent="0.3">
      <c r="J114419"/>
    </row>
    <row r="114420" spans="10:10" x14ac:dyDescent="0.3">
      <c r="J114420"/>
    </row>
    <row r="114421" spans="10:10" x14ac:dyDescent="0.3">
      <c r="J114421"/>
    </row>
    <row r="114422" spans="10:10" x14ac:dyDescent="0.3">
      <c r="J114422"/>
    </row>
    <row r="114423" spans="10:10" x14ac:dyDescent="0.3">
      <c r="J114423"/>
    </row>
    <row r="114424" spans="10:10" x14ac:dyDescent="0.3">
      <c r="J114424"/>
    </row>
    <row r="114425" spans="10:10" x14ac:dyDescent="0.3">
      <c r="J114425"/>
    </row>
    <row r="114426" spans="10:10" x14ac:dyDescent="0.3">
      <c r="J114426"/>
    </row>
    <row r="114427" spans="10:10" x14ac:dyDescent="0.3">
      <c r="J114427"/>
    </row>
    <row r="114428" spans="10:10" x14ac:dyDescent="0.3">
      <c r="J114428"/>
    </row>
    <row r="114429" spans="10:10" x14ac:dyDescent="0.3">
      <c r="J114429"/>
    </row>
    <row r="114430" spans="10:10" x14ac:dyDescent="0.3">
      <c r="J114430"/>
    </row>
    <row r="114431" spans="10:10" x14ac:dyDescent="0.3">
      <c r="J114431"/>
    </row>
    <row r="114432" spans="10:10" x14ac:dyDescent="0.3">
      <c r="J114432"/>
    </row>
    <row r="114433" spans="10:10" x14ac:dyDescent="0.3">
      <c r="J114433"/>
    </row>
    <row r="114434" spans="10:10" x14ac:dyDescent="0.3">
      <c r="J114434"/>
    </row>
    <row r="114435" spans="10:10" x14ac:dyDescent="0.3">
      <c r="J114435"/>
    </row>
    <row r="114436" spans="10:10" x14ac:dyDescent="0.3">
      <c r="J114436"/>
    </row>
    <row r="114437" spans="10:10" x14ac:dyDescent="0.3">
      <c r="J114437"/>
    </row>
    <row r="114438" spans="10:10" x14ac:dyDescent="0.3">
      <c r="J114438"/>
    </row>
    <row r="114439" spans="10:10" x14ac:dyDescent="0.3">
      <c r="J114439"/>
    </row>
    <row r="114440" spans="10:10" x14ac:dyDescent="0.3">
      <c r="J114440"/>
    </row>
    <row r="114441" spans="10:10" x14ac:dyDescent="0.3">
      <c r="J114441"/>
    </row>
    <row r="114442" spans="10:10" x14ac:dyDescent="0.3">
      <c r="J114442"/>
    </row>
    <row r="114443" spans="10:10" x14ac:dyDescent="0.3">
      <c r="J114443"/>
    </row>
    <row r="114444" spans="10:10" x14ac:dyDescent="0.3">
      <c r="J114444"/>
    </row>
    <row r="114445" spans="10:10" x14ac:dyDescent="0.3">
      <c r="J114445"/>
    </row>
    <row r="114446" spans="10:10" x14ac:dyDescent="0.3">
      <c r="J114446"/>
    </row>
    <row r="114447" spans="10:10" x14ac:dyDescent="0.3">
      <c r="J114447"/>
    </row>
    <row r="114448" spans="10:10" x14ac:dyDescent="0.3">
      <c r="J114448"/>
    </row>
    <row r="114449" spans="10:10" x14ac:dyDescent="0.3">
      <c r="J114449"/>
    </row>
    <row r="114450" spans="10:10" x14ac:dyDescent="0.3">
      <c r="J114450"/>
    </row>
    <row r="114451" spans="10:10" x14ac:dyDescent="0.3">
      <c r="J114451"/>
    </row>
    <row r="114452" spans="10:10" x14ac:dyDescent="0.3">
      <c r="J114452"/>
    </row>
    <row r="114453" spans="10:10" x14ac:dyDescent="0.3">
      <c r="J114453"/>
    </row>
    <row r="114454" spans="10:10" x14ac:dyDescent="0.3">
      <c r="J114454"/>
    </row>
    <row r="114455" spans="10:10" x14ac:dyDescent="0.3">
      <c r="J114455"/>
    </row>
    <row r="114456" spans="10:10" x14ac:dyDescent="0.3">
      <c r="J114456"/>
    </row>
    <row r="114457" spans="10:10" x14ac:dyDescent="0.3">
      <c r="J114457"/>
    </row>
    <row r="114458" spans="10:10" x14ac:dyDescent="0.3">
      <c r="J114458"/>
    </row>
    <row r="114459" spans="10:10" x14ac:dyDescent="0.3">
      <c r="J114459"/>
    </row>
    <row r="114460" spans="10:10" x14ac:dyDescent="0.3">
      <c r="J114460"/>
    </row>
    <row r="114461" spans="10:10" x14ac:dyDescent="0.3">
      <c r="J114461"/>
    </row>
    <row r="114462" spans="10:10" x14ac:dyDescent="0.3">
      <c r="J114462"/>
    </row>
    <row r="114463" spans="10:10" x14ac:dyDescent="0.3">
      <c r="J114463"/>
    </row>
    <row r="114464" spans="10:10" x14ac:dyDescent="0.3">
      <c r="J114464"/>
    </row>
    <row r="114465" spans="10:10" x14ac:dyDescent="0.3">
      <c r="J114465"/>
    </row>
    <row r="114466" spans="10:10" x14ac:dyDescent="0.3">
      <c r="J114466"/>
    </row>
    <row r="114467" spans="10:10" x14ac:dyDescent="0.3">
      <c r="J114467"/>
    </row>
    <row r="114468" spans="10:10" x14ac:dyDescent="0.3">
      <c r="J114468"/>
    </row>
    <row r="114469" spans="10:10" x14ac:dyDescent="0.3">
      <c r="J114469"/>
    </row>
    <row r="114470" spans="10:10" x14ac:dyDescent="0.3">
      <c r="J114470"/>
    </row>
    <row r="114471" spans="10:10" x14ac:dyDescent="0.3">
      <c r="J114471"/>
    </row>
    <row r="114472" spans="10:10" x14ac:dyDescent="0.3">
      <c r="J114472"/>
    </row>
    <row r="114473" spans="10:10" x14ac:dyDescent="0.3">
      <c r="J114473"/>
    </row>
    <row r="114474" spans="10:10" x14ac:dyDescent="0.3">
      <c r="J114474"/>
    </row>
    <row r="114475" spans="10:10" x14ac:dyDescent="0.3">
      <c r="J114475"/>
    </row>
    <row r="114476" spans="10:10" x14ac:dyDescent="0.3">
      <c r="J114476"/>
    </row>
    <row r="114477" spans="10:10" x14ac:dyDescent="0.3">
      <c r="J114477"/>
    </row>
    <row r="114478" spans="10:10" x14ac:dyDescent="0.3">
      <c r="J114478"/>
    </row>
    <row r="114479" spans="10:10" x14ac:dyDescent="0.3">
      <c r="J114479"/>
    </row>
    <row r="114480" spans="10:10" x14ac:dyDescent="0.3">
      <c r="J114480"/>
    </row>
    <row r="114481" spans="10:10" x14ac:dyDescent="0.3">
      <c r="J114481"/>
    </row>
    <row r="114482" spans="10:10" x14ac:dyDescent="0.3">
      <c r="J114482"/>
    </row>
    <row r="114483" spans="10:10" x14ac:dyDescent="0.3">
      <c r="J114483"/>
    </row>
    <row r="114484" spans="10:10" x14ac:dyDescent="0.3">
      <c r="J114484"/>
    </row>
    <row r="114485" spans="10:10" x14ac:dyDescent="0.3">
      <c r="J114485"/>
    </row>
    <row r="114486" spans="10:10" x14ac:dyDescent="0.3">
      <c r="J114486"/>
    </row>
    <row r="114487" spans="10:10" x14ac:dyDescent="0.3">
      <c r="J114487"/>
    </row>
    <row r="114488" spans="10:10" x14ac:dyDescent="0.3">
      <c r="J114488"/>
    </row>
    <row r="114489" spans="10:10" x14ac:dyDescent="0.3">
      <c r="J114489"/>
    </row>
    <row r="114490" spans="10:10" x14ac:dyDescent="0.3">
      <c r="J114490"/>
    </row>
    <row r="114491" spans="10:10" x14ac:dyDescent="0.3">
      <c r="J114491"/>
    </row>
    <row r="114492" spans="10:10" x14ac:dyDescent="0.3">
      <c r="J114492"/>
    </row>
    <row r="114493" spans="10:10" x14ac:dyDescent="0.3">
      <c r="J114493"/>
    </row>
    <row r="114494" spans="10:10" x14ac:dyDescent="0.3">
      <c r="J114494"/>
    </row>
    <row r="114495" spans="10:10" x14ac:dyDescent="0.3">
      <c r="J114495"/>
    </row>
    <row r="114496" spans="10:10" x14ac:dyDescent="0.3">
      <c r="J114496"/>
    </row>
    <row r="114497" spans="10:10" x14ac:dyDescent="0.3">
      <c r="J114497"/>
    </row>
    <row r="114498" spans="10:10" x14ac:dyDescent="0.3">
      <c r="J114498"/>
    </row>
    <row r="114499" spans="10:10" x14ac:dyDescent="0.3">
      <c r="J114499"/>
    </row>
    <row r="114500" spans="10:10" x14ac:dyDescent="0.3">
      <c r="J114500"/>
    </row>
    <row r="114501" spans="10:10" x14ac:dyDescent="0.3">
      <c r="J114501"/>
    </row>
    <row r="114502" spans="10:10" x14ac:dyDescent="0.3">
      <c r="J114502"/>
    </row>
    <row r="114503" spans="10:10" x14ac:dyDescent="0.3">
      <c r="J114503"/>
    </row>
    <row r="114504" spans="10:10" x14ac:dyDescent="0.3">
      <c r="J114504"/>
    </row>
    <row r="114505" spans="10:10" x14ac:dyDescent="0.3">
      <c r="J114505"/>
    </row>
    <row r="114506" spans="10:10" x14ac:dyDescent="0.3">
      <c r="J114506"/>
    </row>
    <row r="114507" spans="10:10" x14ac:dyDescent="0.3">
      <c r="J114507"/>
    </row>
    <row r="114508" spans="10:10" x14ac:dyDescent="0.3">
      <c r="J114508"/>
    </row>
    <row r="114509" spans="10:10" x14ac:dyDescent="0.3">
      <c r="J114509"/>
    </row>
    <row r="114510" spans="10:10" x14ac:dyDescent="0.3">
      <c r="J114510"/>
    </row>
    <row r="114511" spans="10:10" x14ac:dyDescent="0.3">
      <c r="J114511"/>
    </row>
    <row r="114512" spans="10:10" x14ac:dyDescent="0.3">
      <c r="J114512"/>
    </row>
    <row r="114513" spans="10:10" x14ac:dyDescent="0.3">
      <c r="J114513"/>
    </row>
    <row r="114514" spans="10:10" x14ac:dyDescent="0.3">
      <c r="J114514"/>
    </row>
    <row r="114515" spans="10:10" x14ac:dyDescent="0.3">
      <c r="J114515"/>
    </row>
    <row r="114516" spans="10:10" x14ac:dyDescent="0.3">
      <c r="J114516"/>
    </row>
    <row r="114517" spans="10:10" x14ac:dyDescent="0.3">
      <c r="J114517"/>
    </row>
    <row r="114518" spans="10:10" x14ac:dyDescent="0.3">
      <c r="J114518"/>
    </row>
    <row r="114519" spans="10:10" x14ac:dyDescent="0.3">
      <c r="J114519"/>
    </row>
    <row r="114520" spans="10:10" x14ac:dyDescent="0.3">
      <c r="J114520"/>
    </row>
    <row r="114521" spans="10:10" x14ac:dyDescent="0.3">
      <c r="J114521"/>
    </row>
    <row r="114522" spans="10:10" x14ac:dyDescent="0.3">
      <c r="J114522"/>
    </row>
    <row r="114523" spans="10:10" x14ac:dyDescent="0.3">
      <c r="J114523"/>
    </row>
    <row r="114524" spans="10:10" x14ac:dyDescent="0.3">
      <c r="J114524"/>
    </row>
    <row r="114525" spans="10:10" x14ac:dyDescent="0.3">
      <c r="J114525"/>
    </row>
    <row r="114526" spans="10:10" x14ac:dyDescent="0.3">
      <c r="J114526"/>
    </row>
    <row r="114527" spans="10:10" x14ac:dyDescent="0.3">
      <c r="J114527"/>
    </row>
    <row r="114528" spans="10:10" x14ac:dyDescent="0.3">
      <c r="J114528"/>
    </row>
    <row r="114529" spans="10:10" x14ac:dyDescent="0.3">
      <c r="J114529"/>
    </row>
    <row r="114530" spans="10:10" x14ac:dyDescent="0.3">
      <c r="J114530"/>
    </row>
    <row r="114531" spans="10:10" x14ac:dyDescent="0.3">
      <c r="J114531"/>
    </row>
    <row r="114532" spans="10:10" x14ac:dyDescent="0.3">
      <c r="J114532"/>
    </row>
    <row r="114533" spans="10:10" x14ac:dyDescent="0.3">
      <c r="J114533"/>
    </row>
    <row r="114534" spans="10:10" x14ac:dyDescent="0.3">
      <c r="J114534"/>
    </row>
    <row r="114535" spans="10:10" x14ac:dyDescent="0.3">
      <c r="J114535"/>
    </row>
    <row r="114536" spans="10:10" x14ac:dyDescent="0.3">
      <c r="J114536"/>
    </row>
    <row r="114537" spans="10:10" x14ac:dyDescent="0.3">
      <c r="J114537"/>
    </row>
    <row r="114538" spans="10:10" x14ac:dyDescent="0.3">
      <c r="J114538"/>
    </row>
    <row r="114539" spans="10:10" x14ac:dyDescent="0.3">
      <c r="J114539"/>
    </row>
    <row r="114540" spans="10:10" x14ac:dyDescent="0.3">
      <c r="J114540"/>
    </row>
    <row r="114541" spans="10:10" x14ac:dyDescent="0.3">
      <c r="J114541"/>
    </row>
    <row r="114542" spans="10:10" x14ac:dyDescent="0.3">
      <c r="J114542"/>
    </row>
    <row r="114543" spans="10:10" x14ac:dyDescent="0.3">
      <c r="J114543"/>
    </row>
    <row r="114544" spans="10:10" x14ac:dyDescent="0.3">
      <c r="J114544"/>
    </row>
    <row r="114545" spans="10:10" x14ac:dyDescent="0.3">
      <c r="J114545"/>
    </row>
    <row r="114546" spans="10:10" x14ac:dyDescent="0.3">
      <c r="J114546"/>
    </row>
    <row r="114547" spans="10:10" x14ac:dyDescent="0.3">
      <c r="J114547"/>
    </row>
    <row r="114548" spans="10:10" x14ac:dyDescent="0.3">
      <c r="J114548"/>
    </row>
    <row r="114549" spans="10:10" x14ac:dyDescent="0.3">
      <c r="J114549"/>
    </row>
    <row r="114550" spans="10:10" x14ac:dyDescent="0.3">
      <c r="J114550"/>
    </row>
    <row r="114551" spans="10:10" x14ac:dyDescent="0.3">
      <c r="J114551"/>
    </row>
    <row r="114552" spans="10:10" x14ac:dyDescent="0.3">
      <c r="J114552"/>
    </row>
    <row r="114553" spans="10:10" x14ac:dyDescent="0.3">
      <c r="J114553"/>
    </row>
    <row r="114554" spans="10:10" x14ac:dyDescent="0.3">
      <c r="J114554"/>
    </row>
    <row r="114555" spans="10:10" x14ac:dyDescent="0.3">
      <c r="J114555"/>
    </row>
    <row r="114556" spans="10:10" x14ac:dyDescent="0.3">
      <c r="J114556"/>
    </row>
    <row r="114557" spans="10:10" x14ac:dyDescent="0.3">
      <c r="J114557"/>
    </row>
    <row r="114558" spans="10:10" x14ac:dyDescent="0.3">
      <c r="J114558"/>
    </row>
    <row r="114559" spans="10:10" x14ac:dyDescent="0.3">
      <c r="J114559"/>
    </row>
    <row r="114560" spans="10:10" x14ac:dyDescent="0.3">
      <c r="J114560"/>
    </row>
    <row r="114561" spans="10:10" x14ac:dyDescent="0.3">
      <c r="J114561"/>
    </row>
    <row r="114562" spans="10:10" x14ac:dyDescent="0.3">
      <c r="J114562"/>
    </row>
    <row r="114563" spans="10:10" x14ac:dyDescent="0.3">
      <c r="J114563"/>
    </row>
    <row r="114564" spans="10:10" x14ac:dyDescent="0.3">
      <c r="J114564"/>
    </row>
    <row r="114565" spans="10:10" x14ac:dyDescent="0.3">
      <c r="J114565"/>
    </row>
    <row r="114566" spans="10:10" x14ac:dyDescent="0.3">
      <c r="J114566"/>
    </row>
    <row r="114567" spans="10:10" x14ac:dyDescent="0.3">
      <c r="J114567"/>
    </row>
    <row r="114568" spans="10:10" x14ac:dyDescent="0.3">
      <c r="J114568"/>
    </row>
    <row r="114569" spans="10:10" x14ac:dyDescent="0.3">
      <c r="J114569"/>
    </row>
    <row r="114570" spans="10:10" x14ac:dyDescent="0.3">
      <c r="J114570"/>
    </row>
    <row r="114571" spans="10:10" x14ac:dyDescent="0.3">
      <c r="J114571"/>
    </row>
    <row r="114572" spans="10:10" x14ac:dyDescent="0.3">
      <c r="J114572"/>
    </row>
    <row r="114573" spans="10:10" x14ac:dyDescent="0.3">
      <c r="J114573"/>
    </row>
    <row r="114574" spans="10:10" x14ac:dyDescent="0.3">
      <c r="J114574"/>
    </row>
    <row r="114575" spans="10:10" x14ac:dyDescent="0.3">
      <c r="J114575"/>
    </row>
    <row r="114576" spans="10:10" x14ac:dyDescent="0.3">
      <c r="J114576"/>
    </row>
    <row r="114577" spans="10:10" x14ac:dyDescent="0.3">
      <c r="J114577"/>
    </row>
    <row r="114578" spans="10:10" x14ac:dyDescent="0.3">
      <c r="J114578"/>
    </row>
    <row r="114579" spans="10:10" x14ac:dyDescent="0.3">
      <c r="J114579"/>
    </row>
    <row r="114580" spans="10:10" x14ac:dyDescent="0.3">
      <c r="J114580"/>
    </row>
    <row r="114581" spans="10:10" x14ac:dyDescent="0.3">
      <c r="J114581"/>
    </row>
    <row r="114582" spans="10:10" x14ac:dyDescent="0.3">
      <c r="J114582"/>
    </row>
    <row r="114583" spans="10:10" x14ac:dyDescent="0.3">
      <c r="J114583"/>
    </row>
    <row r="114584" spans="10:10" x14ac:dyDescent="0.3">
      <c r="J114584"/>
    </row>
    <row r="114585" spans="10:10" x14ac:dyDescent="0.3">
      <c r="J114585"/>
    </row>
    <row r="114586" spans="10:10" x14ac:dyDescent="0.3">
      <c r="J114586"/>
    </row>
    <row r="114587" spans="10:10" x14ac:dyDescent="0.3">
      <c r="J114587"/>
    </row>
    <row r="114588" spans="10:10" x14ac:dyDescent="0.3">
      <c r="J114588"/>
    </row>
    <row r="114589" spans="10:10" x14ac:dyDescent="0.3">
      <c r="J114589"/>
    </row>
    <row r="114590" spans="10:10" x14ac:dyDescent="0.3">
      <c r="J114590"/>
    </row>
    <row r="114591" spans="10:10" x14ac:dyDescent="0.3">
      <c r="J114591"/>
    </row>
    <row r="114592" spans="10:10" x14ac:dyDescent="0.3">
      <c r="J114592"/>
    </row>
    <row r="114593" spans="10:10" x14ac:dyDescent="0.3">
      <c r="J114593"/>
    </row>
    <row r="114594" spans="10:10" x14ac:dyDescent="0.3">
      <c r="J114594"/>
    </row>
    <row r="114595" spans="10:10" x14ac:dyDescent="0.3">
      <c r="J114595"/>
    </row>
    <row r="114596" spans="10:10" x14ac:dyDescent="0.3">
      <c r="J114596"/>
    </row>
    <row r="114597" spans="10:10" x14ac:dyDescent="0.3">
      <c r="J114597"/>
    </row>
    <row r="114598" spans="10:10" x14ac:dyDescent="0.3">
      <c r="J114598"/>
    </row>
    <row r="114599" spans="10:10" x14ac:dyDescent="0.3">
      <c r="J114599"/>
    </row>
    <row r="114600" spans="10:10" x14ac:dyDescent="0.3">
      <c r="J114600"/>
    </row>
    <row r="114601" spans="10:10" x14ac:dyDescent="0.3">
      <c r="J114601"/>
    </row>
    <row r="114602" spans="10:10" x14ac:dyDescent="0.3">
      <c r="J114602"/>
    </row>
    <row r="114603" spans="10:10" x14ac:dyDescent="0.3">
      <c r="J114603"/>
    </row>
    <row r="114604" spans="10:10" x14ac:dyDescent="0.3">
      <c r="J114604"/>
    </row>
    <row r="114605" spans="10:10" x14ac:dyDescent="0.3">
      <c r="J114605"/>
    </row>
    <row r="114606" spans="10:10" x14ac:dyDescent="0.3">
      <c r="J114606"/>
    </row>
    <row r="114607" spans="10:10" x14ac:dyDescent="0.3">
      <c r="J114607"/>
    </row>
    <row r="114608" spans="10:10" x14ac:dyDescent="0.3">
      <c r="J114608"/>
    </row>
    <row r="114609" spans="10:10" x14ac:dyDescent="0.3">
      <c r="J114609"/>
    </row>
    <row r="114610" spans="10:10" x14ac:dyDescent="0.3">
      <c r="J114610"/>
    </row>
    <row r="114611" spans="10:10" x14ac:dyDescent="0.3">
      <c r="J114611"/>
    </row>
    <row r="114612" spans="10:10" x14ac:dyDescent="0.3">
      <c r="J114612"/>
    </row>
    <row r="114613" spans="10:10" x14ac:dyDescent="0.3">
      <c r="J114613"/>
    </row>
    <row r="114614" spans="10:10" x14ac:dyDescent="0.3">
      <c r="J114614"/>
    </row>
    <row r="114615" spans="10:10" x14ac:dyDescent="0.3">
      <c r="J114615"/>
    </row>
    <row r="114616" spans="10:10" x14ac:dyDescent="0.3">
      <c r="J114616"/>
    </row>
    <row r="114617" spans="10:10" x14ac:dyDescent="0.3">
      <c r="J114617"/>
    </row>
    <row r="114618" spans="10:10" x14ac:dyDescent="0.3">
      <c r="J114618"/>
    </row>
    <row r="114619" spans="10:10" x14ac:dyDescent="0.3">
      <c r="J114619"/>
    </row>
    <row r="114620" spans="10:10" x14ac:dyDescent="0.3">
      <c r="J114620"/>
    </row>
    <row r="114621" spans="10:10" x14ac:dyDescent="0.3">
      <c r="J114621"/>
    </row>
    <row r="114622" spans="10:10" x14ac:dyDescent="0.3">
      <c r="J114622"/>
    </row>
    <row r="114623" spans="10:10" x14ac:dyDescent="0.3">
      <c r="J114623"/>
    </row>
    <row r="114624" spans="10:10" x14ac:dyDescent="0.3">
      <c r="J114624"/>
    </row>
    <row r="114625" spans="10:10" x14ac:dyDescent="0.3">
      <c r="J114625"/>
    </row>
    <row r="114626" spans="10:10" x14ac:dyDescent="0.3">
      <c r="J114626"/>
    </row>
    <row r="114627" spans="10:10" x14ac:dyDescent="0.3">
      <c r="J114627"/>
    </row>
    <row r="114628" spans="10:10" x14ac:dyDescent="0.3">
      <c r="J114628"/>
    </row>
    <row r="114629" spans="10:10" x14ac:dyDescent="0.3">
      <c r="J114629"/>
    </row>
    <row r="114630" spans="10:10" x14ac:dyDescent="0.3">
      <c r="J114630"/>
    </row>
    <row r="114631" spans="10:10" x14ac:dyDescent="0.3">
      <c r="J114631"/>
    </row>
    <row r="114632" spans="10:10" x14ac:dyDescent="0.3">
      <c r="J114632"/>
    </row>
    <row r="114633" spans="10:10" x14ac:dyDescent="0.3">
      <c r="J114633"/>
    </row>
    <row r="114634" spans="10:10" x14ac:dyDescent="0.3">
      <c r="J114634"/>
    </row>
    <row r="114635" spans="10:10" x14ac:dyDescent="0.3">
      <c r="J114635"/>
    </row>
    <row r="114636" spans="10:10" x14ac:dyDescent="0.3">
      <c r="J114636"/>
    </row>
    <row r="114637" spans="10:10" x14ac:dyDescent="0.3">
      <c r="J114637"/>
    </row>
    <row r="114638" spans="10:10" x14ac:dyDescent="0.3">
      <c r="J114638"/>
    </row>
    <row r="114639" spans="10:10" x14ac:dyDescent="0.3">
      <c r="J114639"/>
    </row>
    <row r="114640" spans="10:10" x14ac:dyDescent="0.3">
      <c r="J114640"/>
    </row>
    <row r="114641" spans="10:10" x14ac:dyDescent="0.3">
      <c r="J114641"/>
    </row>
    <row r="114642" spans="10:10" x14ac:dyDescent="0.3">
      <c r="J114642"/>
    </row>
    <row r="114643" spans="10:10" x14ac:dyDescent="0.3">
      <c r="J114643"/>
    </row>
    <row r="114644" spans="10:10" x14ac:dyDescent="0.3">
      <c r="J114644"/>
    </row>
    <row r="114645" spans="10:10" x14ac:dyDescent="0.3">
      <c r="J114645"/>
    </row>
    <row r="114646" spans="10:10" x14ac:dyDescent="0.3">
      <c r="J114646"/>
    </row>
    <row r="114647" spans="10:10" x14ac:dyDescent="0.3">
      <c r="J114647"/>
    </row>
    <row r="114648" spans="10:10" x14ac:dyDescent="0.3">
      <c r="J114648"/>
    </row>
    <row r="114649" spans="10:10" x14ac:dyDescent="0.3">
      <c r="J114649"/>
    </row>
    <row r="114650" spans="10:10" x14ac:dyDescent="0.3">
      <c r="J114650"/>
    </row>
    <row r="114651" spans="10:10" x14ac:dyDescent="0.3">
      <c r="J114651"/>
    </row>
    <row r="114652" spans="10:10" x14ac:dyDescent="0.3">
      <c r="J114652"/>
    </row>
    <row r="114653" spans="10:10" x14ac:dyDescent="0.3">
      <c r="J114653"/>
    </row>
    <row r="114654" spans="10:10" x14ac:dyDescent="0.3">
      <c r="J114654"/>
    </row>
    <row r="114655" spans="10:10" x14ac:dyDescent="0.3">
      <c r="J114655"/>
    </row>
    <row r="114656" spans="10:10" x14ac:dyDescent="0.3">
      <c r="J114656"/>
    </row>
    <row r="114657" spans="10:10" x14ac:dyDescent="0.3">
      <c r="J114657"/>
    </row>
    <row r="114658" spans="10:10" x14ac:dyDescent="0.3">
      <c r="J114658"/>
    </row>
    <row r="114659" spans="10:10" x14ac:dyDescent="0.3">
      <c r="J114659"/>
    </row>
    <row r="114660" spans="10:10" x14ac:dyDescent="0.3">
      <c r="J114660"/>
    </row>
    <row r="114661" spans="10:10" x14ac:dyDescent="0.3">
      <c r="J114661"/>
    </row>
    <row r="114662" spans="10:10" x14ac:dyDescent="0.3">
      <c r="J114662"/>
    </row>
    <row r="114663" spans="10:10" x14ac:dyDescent="0.3">
      <c r="J114663"/>
    </row>
    <row r="114664" spans="10:10" x14ac:dyDescent="0.3">
      <c r="J114664"/>
    </row>
    <row r="114665" spans="10:10" x14ac:dyDescent="0.3">
      <c r="J114665"/>
    </row>
    <row r="114666" spans="10:10" x14ac:dyDescent="0.3">
      <c r="J114666"/>
    </row>
    <row r="114667" spans="10:10" x14ac:dyDescent="0.3">
      <c r="J114667"/>
    </row>
    <row r="114668" spans="10:10" x14ac:dyDescent="0.3">
      <c r="J114668"/>
    </row>
    <row r="114669" spans="10:10" x14ac:dyDescent="0.3">
      <c r="J114669"/>
    </row>
    <row r="114670" spans="10:10" x14ac:dyDescent="0.3">
      <c r="J114670"/>
    </row>
    <row r="114671" spans="10:10" x14ac:dyDescent="0.3">
      <c r="J114671"/>
    </row>
    <row r="114672" spans="10:10" x14ac:dyDescent="0.3">
      <c r="J114672"/>
    </row>
    <row r="114673" spans="10:10" x14ac:dyDescent="0.3">
      <c r="J114673"/>
    </row>
    <row r="114674" spans="10:10" x14ac:dyDescent="0.3">
      <c r="J114674"/>
    </row>
    <row r="114675" spans="10:10" x14ac:dyDescent="0.3">
      <c r="J114675"/>
    </row>
    <row r="114676" spans="10:10" x14ac:dyDescent="0.3">
      <c r="J114676"/>
    </row>
    <row r="114677" spans="10:10" x14ac:dyDescent="0.3">
      <c r="J114677"/>
    </row>
    <row r="114678" spans="10:10" x14ac:dyDescent="0.3">
      <c r="J114678"/>
    </row>
    <row r="114679" spans="10:10" x14ac:dyDescent="0.3">
      <c r="J114679"/>
    </row>
    <row r="114680" spans="10:10" x14ac:dyDescent="0.3">
      <c r="J114680"/>
    </row>
    <row r="114681" spans="10:10" x14ac:dyDescent="0.3">
      <c r="J114681"/>
    </row>
    <row r="114682" spans="10:10" x14ac:dyDescent="0.3">
      <c r="J114682"/>
    </row>
    <row r="114683" spans="10:10" x14ac:dyDescent="0.3">
      <c r="J114683"/>
    </row>
    <row r="114684" spans="10:10" x14ac:dyDescent="0.3">
      <c r="J114684"/>
    </row>
    <row r="114685" spans="10:10" x14ac:dyDescent="0.3">
      <c r="J114685"/>
    </row>
    <row r="114686" spans="10:10" x14ac:dyDescent="0.3">
      <c r="J114686"/>
    </row>
    <row r="114687" spans="10:10" x14ac:dyDescent="0.3">
      <c r="J114687"/>
    </row>
    <row r="114688" spans="10:10" x14ac:dyDescent="0.3">
      <c r="J114688"/>
    </row>
    <row r="114689" spans="10:10" x14ac:dyDescent="0.3">
      <c r="J114689"/>
    </row>
    <row r="114690" spans="10:10" x14ac:dyDescent="0.3">
      <c r="J114690"/>
    </row>
    <row r="114691" spans="10:10" x14ac:dyDescent="0.3">
      <c r="J114691"/>
    </row>
    <row r="114692" spans="10:10" x14ac:dyDescent="0.3">
      <c r="J114692"/>
    </row>
    <row r="114693" spans="10:10" x14ac:dyDescent="0.3">
      <c r="J114693"/>
    </row>
    <row r="114694" spans="10:10" x14ac:dyDescent="0.3">
      <c r="J114694"/>
    </row>
    <row r="114695" spans="10:10" x14ac:dyDescent="0.3">
      <c r="J114695"/>
    </row>
    <row r="114696" spans="10:10" x14ac:dyDescent="0.3">
      <c r="J114696"/>
    </row>
    <row r="114697" spans="10:10" x14ac:dyDescent="0.3">
      <c r="J114697"/>
    </row>
    <row r="114698" spans="10:10" x14ac:dyDescent="0.3">
      <c r="J114698"/>
    </row>
    <row r="114699" spans="10:10" x14ac:dyDescent="0.3">
      <c r="J114699"/>
    </row>
    <row r="114700" spans="10:10" x14ac:dyDescent="0.3">
      <c r="J114700"/>
    </row>
    <row r="114701" spans="10:10" x14ac:dyDescent="0.3">
      <c r="J114701"/>
    </row>
    <row r="114702" spans="10:10" x14ac:dyDescent="0.3">
      <c r="J114702"/>
    </row>
    <row r="114703" spans="10:10" x14ac:dyDescent="0.3">
      <c r="J114703"/>
    </row>
    <row r="114704" spans="10:10" x14ac:dyDescent="0.3">
      <c r="J114704"/>
    </row>
    <row r="114705" spans="10:10" x14ac:dyDescent="0.3">
      <c r="J114705"/>
    </row>
    <row r="114706" spans="10:10" x14ac:dyDescent="0.3">
      <c r="J114706"/>
    </row>
    <row r="114707" spans="10:10" x14ac:dyDescent="0.3">
      <c r="J114707"/>
    </row>
    <row r="114708" spans="10:10" x14ac:dyDescent="0.3">
      <c r="J114708"/>
    </row>
    <row r="114709" spans="10:10" x14ac:dyDescent="0.3">
      <c r="J114709"/>
    </row>
    <row r="114710" spans="10:10" x14ac:dyDescent="0.3">
      <c r="J114710"/>
    </row>
    <row r="114711" spans="10:10" x14ac:dyDescent="0.3">
      <c r="J114711"/>
    </row>
    <row r="114712" spans="10:10" x14ac:dyDescent="0.3">
      <c r="J114712"/>
    </row>
    <row r="114713" spans="10:10" x14ac:dyDescent="0.3">
      <c r="J114713"/>
    </row>
    <row r="114714" spans="10:10" x14ac:dyDescent="0.3">
      <c r="J114714"/>
    </row>
    <row r="114715" spans="10:10" x14ac:dyDescent="0.3">
      <c r="J114715"/>
    </row>
    <row r="114716" spans="10:10" x14ac:dyDescent="0.3">
      <c r="J114716"/>
    </row>
    <row r="114717" spans="10:10" x14ac:dyDescent="0.3">
      <c r="J114717"/>
    </row>
    <row r="114718" spans="10:10" x14ac:dyDescent="0.3">
      <c r="J114718"/>
    </row>
    <row r="114719" spans="10:10" x14ac:dyDescent="0.3">
      <c r="J114719"/>
    </row>
    <row r="114720" spans="10:10" x14ac:dyDescent="0.3">
      <c r="J114720"/>
    </row>
    <row r="114721" spans="10:10" x14ac:dyDescent="0.3">
      <c r="J114721"/>
    </row>
    <row r="114722" spans="10:10" x14ac:dyDescent="0.3">
      <c r="J114722"/>
    </row>
    <row r="114723" spans="10:10" x14ac:dyDescent="0.3">
      <c r="J114723"/>
    </row>
    <row r="114724" spans="10:10" x14ac:dyDescent="0.3">
      <c r="J114724"/>
    </row>
    <row r="114725" spans="10:10" x14ac:dyDescent="0.3">
      <c r="J114725"/>
    </row>
    <row r="114726" spans="10:10" x14ac:dyDescent="0.3">
      <c r="J114726"/>
    </row>
    <row r="114727" spans="10:10" x14ac:dyDescent="0.3">
      <c r="J114727"/>
    </row>
    <row r="114728" spans="10:10" x14ac:dyDescent="0.3">
      <c r="J114728"/>
    </row>
    <row r="114729" spans="10:10" x14ac:dyDescent="0.3">
      <c r="J114729"/>
    </row>
    <row r="114730" spans="10:10" x14ac:dyDescent="0.3">
      <c r="J114730"/>
    </row>
    <row r="114731" spans="10:10" x14ac:dyDescent="0.3">
      <c r="J114731"/>
    </row>
    <row r="114732" spans="10:10" x14ac:dyDescent="0.3">
      <c r="J114732"/>
    </row>
    <row r="114733" spans="10:10" x14ac:dyDescent="0.3">
      <c r="J114733"/>
    </row>
    <row r="114734" spans="10:10" x14ac:dyDescent="0.3">
      <c r="J114734"/>
    </row>
    <row r="114735" spans="10:10" x14ac:dyDescent="0.3">
      <c r="J114735"/>
    </row>
    <row r="114736" spans="10:10" x14ac:dyDescent="0.3">
      <c r="J114736"/>
    </row>
    <row r="114737" spans="10:10" x14ac:dyDescent="0.3">
      <c r="J114737"/>
    </row>
    <row r="114738" spans="10:10" x14ac:dyDescent="0.3">
      <c r="J114738"/>
    </row>
    <row r="114739" spans="10:10" x14ac:dyDescent="0.3">
      <c r="J114739"/>
    </row>
    <row r="114740" spans="10:10" x14ac:dyDescent="0.3">
      <c r="J114740"/>
    </row>
    <row r="114741" spans="10:10" x14ac:dyDescent="0.3">
      <c r="J114741"/>
    </row>
    <row r="114742" spans="10:10" x14ac:dyDescent="0.3">
      <c r="J114742"/>
    </row>
    <row r="114743" spans="10:10" x14ac:dyDescent="0.3">
      <c r="J114743"/>
    </row>
    <row r="114744" spans="10:10" x14ac:dyDescent="0.3">
      <c r="J114744"/>
    </row>
    <row r="114745" spans="10:10" x14ac:dyDescent="0.3">
      <c r="J114745"/>
    </row>
    <row r="114746" spans="10:10" x14ac:dyDescent="0.3">
      <c r="J114746"/>
    </row>
    <row r="114747" spans="10:10" x14ac:dyDescent="0.3">
      <c r="J114747"/>
    </row>
    <row r="114748" spans="10:10" x14ac:dyDescent="0.3">
      <c r="J114748"/>
    </row>
    <row r="114749" spans="10:10" x14ac:dyDescent="0.3">
      <c r="J114749"/>
    </row>
    <row r="114750" spans="10:10" x14ac:dyDescent="0.3">
      <c r="J114750"/>
    </row>
    <row r="114751" spans="10:10" x14ac:dyDescent="0.3">
      <c r="J114751"/>
    </row>
    <row r="114752" spans="10:10" x14ac:dyDescent="0.3">
      <c r="J114752"/>
    </row>
    <row r="114753" spans="10:10" x14ac:dyDescent="0.3">
      <c r="J114753"/>
    </row>
    <row r="114754" spans="10:10" x14ac:dyDescent="0.3">
      <c r="J114754"/>
    </row>
    <row r="114755" spans="10:10" x14ac:dyDescent="0.3">
      <c r="J114755"/>
    </row>
    <row r="114756" spans="10:10" x14ac:dyDescent="0.3">
      <c r="J114756"/>
    </row>
    <row r="114757" spans="10:10" x14ac:dyDescent="0.3">
      <c r="J114757"/>
    </row>
    <row r="114758" spans="10:10" x14ac:dyDescent="0.3">
      <c r="J114758"/>
    </row>
    <row r="114759" spans="10:10" x14ac:dyDescent="0.3">
      <c r="J114759"/>
    </row>
    <row r="114760" spans="10:10" x14ac:dyDescent="0.3">
      <c r="J114760"/>
    </row>
    <row r="114761" spans="10:10" x14ac:dyDescent="0.3">
      <c r="J114761"/>
    </row>
    <row r="114762" spans="10:10" x14ac:dyDescent="0.3">
      <c r="J114762"/>
    </row>
    <row r="114763" spans="10:10" x14ac:dyDescent="0.3">
      <c r="J114763"/>
    </row>
    <row r="114764" spans="10:10" x14ac:dyDescent="0.3">
      <c r="J114764"/>
    </row>
    <row r="114765" spans="10:10" x14ac:dyDescent="0.3">
      <c r="J114765"/>
    </row>
    <row r="114766" spans="10:10" x14ac:dyDescent="0.3">
      <c r="J114766"/>
    </row>
    <row r="114767" spans="10:10" x14ac:dyDescent="0.3">
      <c r="J114767"/>
    </row>
    <row r="114768" spans="10:10" x14ac:dyDescent="0.3">
      <c r="J114768"/>
    </row>
    <row r="114769" spans="10:10" x14ac:dyDescent="0.3">
      <c r="J114769"/>
    </row>
    <row r="114770" spans="10:10" x14ac:dyDescent="0.3">
      <c r="J114770"/>
    </row>
    <row r="114771" spans="10:10" x14ac:dyDescent="0.3">
      <c r="J114771"/>
    </row>
    <row r="114772" spans="10:10" x14ac:dyDescent="0.3">
      <c r="J114772"/>
    </row>
    <row r="114773" spans="10:10" x14ac:dyDescent="0.3">
      <c r="J114773"/>
    </row>
    <row r="114774" spans="10:10" x14ac:dyDescent="0.3">
      <c r="J114774"/>
    </row>
    <row r="114775" spans="10:10" x14ac:dyDescent="0.3">
      <c r="J114775"/>
    </row>
    <row r="114776" spans="10:10" x14ac:dyDescent="0.3">
      <c r="J114776"/>
    </row>
    <row r="114777" spans="10:10" x14ac:dyDescent="0.3">
      <c r="J114777"/>
    </row>
    <row r="114778" spans="10:10" x14ac:dyDescent="0.3">
      <c r="J114778"/>
    </row>
    <row r="114779" spans="10:10" x14ac:dyDescent="0.3">
      <c r="J114779"/>
    </row>
    <row r="114780" spans="10:10" x14ac:dyDescent="0.3">
      <c r="J114780"/>
    </row>
    <row r="114781" spans="10:10" x14ac:dyDescent="0.3">
      <c r="J114781"/>
    </row>
    <row r="114782" spans="10:10" x14ac:dyDescent="0.3">
      <c r="J114782"/>
    </row>
    <row r="114783" spans="10:10" x14ac:dyDescent="0.3">
      <c r="J114783"/>
    </row>
    <row r="114784" spans="10:10" x14ac:dyDescent="0.3">
      <c r="J114784"/>
    </row>
    <row r="114785" spans="10:10" x14ac:dyDescent="0.3">
      <c r="J114785"/>
    </row>
    <row r="114786" spans="10:10" x14ac:dyDescent="0.3">
      <c r="J114786"/>
    </row>
    <row r="114787" spans="10:10" x14ac:dyDescent="0.3">
      <c r="J114787"/>
    </row>
    <row r="114788" spans="10:10" x14ac:dyDescent="0.3">
      <c r="J114788"/>
    </row>
    <row r="114789" spans="10:10" x14ac:dyDescent="0.3">
      <c r="J114789"/>
    </row>
    <row r="114790" spans="10:10" x14ac:dyDescent="0.3">
      <c r="J114790"/>
    </row>
    <row r="114791" spans="10:10" x14ac:dyDescent="0.3">
      <c r="J114791"/>
    </row>
    <row r="114792" spans="10:10" x14ac:dyDescent="0.3">
      <c r="J114792"/>
    </row>
    <row r="114793" spans="10:10" x14ac:dyDescent="0.3">
      <c r="J114793"/>
    </row>
    <row r="114794" spans="10:10" x14ac:dyDescent="0.3">
      <c r="J114794"/>
    </row>
    <row r="114795" spans="10:10" x14ac:dyDescent="0.3">
      <c r="J114795"/>
    </row>
    <row r="114796" spans="10:10" x14ac:dyDescent="0.3">
      <c r="J114796"/>
    </row>
    <row r="114797" spans="10:10" x14ac:dyDescent="0.3">
      <c r="J114797"/>
    </row>
    <row r="114798" spans="10:10" x14ac:dyDescent="0.3">
      <c r="J114798"/>
    </row>
    <row r="114799" spans="10:10" x14ac:dyDescent="0.3">
      <c r="J114799"/>
    </row>
    <row r="114800" spans="10:10" x14ac:dyDescent="0.3">
      <c r="J114800"/>
    </row>
    <row r="114801" spans="10:10" x14ac:dyDescent="0.3">
      <c r="J114801"/>
    </row>
    <row r="114802" spans="10:10" x14ac:dyDescent="0.3">
      <c r="J114802"/>
    </row>
    <row r="114803" spans="10:10" x14ac:dyDescent="0.3">
      <c r="J114803"/>
    </row>
    <row r="114804" spans="10:10" x14ac:dyDescent="0.3">
      <c r="J114804"/>
    </row>
    <row r="114805" spans="10:10" x14ac:dyDescent="0.3">
      <c r="J114805"/>
    </row>
    <row r="114806" spans="10:10" x14ac:dyDescent="0.3">
      <c r="J114806"/>
    </row>
    <row r="114807" spans="10:10" x14ac:dyDescent="0.3">
      <c r="J114807"/>
    </row>
    <row r="114808" spans="10:10" x14ac:dyDescent="0.3">
      <c r="J114808"/>
    </row>
    <row r="114809" spans="10:10" x14ac:dyDescent="0.3">
      <c r="J114809"/>
    </row>
    <row r="114810" spans="10:10" x14ac:dyDescent="0.3">
      <c r="J114810"/>
    </row>
    <row r="114811" spans="10:10" x14ac:dyDescent="0.3">
      <c r="J114811"/>
    </row>
    <row r="114812" spans="10:10" x14ac:dyDescent="0.3">
      <c r="J114812"/>
    </row>
    <row r="114813" spans="10:10" x14ac:dyDescent="0.3">
      <c r="J114813"/>
    </row>
    <row r="114814" spans="10:10" x14ac:dyDescent="0.3">
      <c r="J114814"/>
    </row>
    <row r="114815" spans="10:10" x14ac:dyDescent="0.3">
      <c r="J114815"/>
    </row>
    <row r="114816" spans="10:10" x14ac:dyDescent="0.3">
      <c r="J114816"/>
    </row>
    <row r="114817" spans="10:10" x14ac:dyDescent="0.3">
      <c r="J114817"/>
    </row>
    <row r="114818" spans="10:10" x14ac:dyDescent="0.3">
      <c r="J114818"/>
    </row>
    <row r="114819" spans="10:10" x14ac:dyDescent="0.3">
      <c r="J114819"/>
    </row>
    <row r="114820" spans="10:10" x14ac:dyDescent="0.3">
      <c r="J114820"/>
    </row>
    <row r="114821" spans="10:10" x14ac:dyDescent="0.3">
      <c r="J114821"/>
    </row>
    <row r="114822" spans="10:10" x14ac:dyDescent="0.3">
      <c r="J114822"/>
    </row>
    <row r="114823" spans="10:10" x14ac:dyDescent="0.3">
      <c r="J114823"/>
    </row>
    <row r="114824" spans="10:10" x14ac:dyDescent="0.3">
      <c r="J114824"/>
    </row>
    <row r="114825" spans="10:10" x14ac:dyDescent="0.3">
      <c r="J114825"/>
    </row>
    <row r="114826" spans="10:10" x14ac:dyDescent="0.3">
      <c r="J114826"/>
    </row>
    <row r="114827" spans="10:10" x14ac:dyDescent="0.3">
      <c r="J114827"/>
    </row>
    <row r="114828" spans="10:10" x14ac:dyDescent="0.3">
      <c r="J114828"/>
    </row>
    <row r="114829" spans="10:10" x14ac:dyDescent="0.3">
      <c r="J114829"/>
    </row>
    <row r="114830" spans="10:10" x14ac:dyDescent="0.3">
      <c r="J114830"/>
    </row>
    <row r="114831" spans="10:10" x14ac:dyDescent="0.3">
      <c r="J114831"/>
    </row>
    <row r="114832" spans="10:10" x14ac:dyDescent="0.3">
      <c r="J114832"/>
    </row>
    <row r="114833" spans="10:10" x14ac:dyDescent="0.3">
      <c r="J114833"/>
    </row>
    <row r="114834" spans="10:10" x14ac:dyDescent="0.3">
      <c r="J114834"/>
    </row>
    <row r="114835" spans="10:10" x14ac:dyDescent="0.3">
      <c r="J114835"/>
    </row>
    <row r="114836" spans="10:10" x14ac:dyDescent="0.3">
      <c r="J114836"/>
    </row>
    <row r="114837" spans="10:10" x14ac:dyDescent="0.3">
      <c r="J114837"/>
    </row>
    <row r="114838" spans="10:10" x14ac:dyDescent="0.3">
      <c r="J114838"/>
    </row>
    <row r="114839" spans="10:10" x14ac:dyDescent="0.3">
      <c r="J114839"/>
    </row>
    <row r="114840" spans="10:10" x14ac:dyDescent="0.3">
      <c r="J114840"/>
    </row>
    <row r="114841" spans="10:10" x14ac:dyDescent="0.3">
      <c r="J114841"/>
    </row>
    <row r="114842" spans="10:10" x14ac:dyDescent="0.3">
      <c r="J114842"/>
    </row>
    <row r="114843" spans="10:10" x14ac:dyDescent="0.3">
      <c r="J114843"/>
    </row>
    <row r="114844" spans="10:10" x14ac:dyDescent="0.3">
      <c r="J114844"/>
    </row>
    <row r="114845" spans="10:10" x14ac:dyDescent="0.3">
      <c r="J114845"/>
    </row>
    <row r="114846" spans="10:10" x14ac:dyDescent="0.3">
      <c r="J114846"/>
    </row>
    <row r="114847" spans="10:10" x14ac:dyDescent="0.3">
      <c r="J114847"/>
    </row>
    <row r="114848" spans="10:10" x14ac:dyDescent="0.3">
      <c r="J114848"/>
    </row>
    <row r="114849" spans="10:10" x14ac:dyDescent="0.3">
      <c r="J114849"/>
    </row>
    <row r="114850" spans="10:10" x14ac:dyDescent="0.3">
      <c r="J114850"/>
    </row>
    <row r="114851" spans="10:10" x14ac:dyDescent="0.3">
      <c r="J114851"/>
    </row>
    <row r="114852" spans="10:10" x14ac:dyDescent="0.3">
      <c r="J114852"/>
    </row>
    <row r="114853" spans="10:10" x14ac:dyDescent="0.3">
      <c r="J114853"/>
    </row>
    <row r="114854" spans="10:10" x14ac:dyDescent="0.3">
      <c r="J114854"/>
    </row>
    <row r="114855" spans="10:10" x14ac:dyDescent="0.3">
      <c r="J114855"/>
    </row>
    <row r="114856" spans="10:10" x14ac:dyDescent="0.3">
      <c r="J114856"/>
    </row>
    <row r="114857" spans="10:10" x14ac:dyDescent="0.3">
      <c r="J114857"/>
    </row>
    <row r="114858" spans="10:10" x14ac:dyDescent="0.3">
      <c r="J114858"/>
    </row>
    <row r="114859" spans="10:10" x14ac:dyDescent="0.3">
      <c r="J114859"/>
    </row>
    <row r="114860" spans="10:10" x14ac:dyDescent="0.3">
      <c r="J114860"/>
    </row>
    <row r="114861" spans="10:10" x14ac:dyDescent="0.3">
      <c r="J114861"/>
    </row>
    <row r="114862" spans="10:10" x14ac:dyDescent="0.3">
      <c r="J114862"/>
    </row>
    <row r="114863" spans="10:10" x14ac:dyDescent="0.3">
      <c r="J114863"/>
    </row>
    <row r="114864" spans="10:10" x14ac:dyDescent="0.3">
      <c r="J114864"/>
    </row>
    <row r="114865" spans="10:10" x14ac:dyDescent="0.3">
      <c r="J114865"/>
    </row>
    <row r="114866" spans="10:10" x14ac:dyDescent="0.3">
      <c r="J114866"/>
    </row>
    <row r="114867" spans="10:10" x14ac:dyDescent="0.3">
      <c r="J114867"/>
    </row>
    <row r="114868" spans="10:10" x14ac:dyDescent="0.3">
      <c r="J114868"/>
    </row>
    <row r="114869" spans="10:10" x14ac:dyDescent="0.3">
      <c r="J114869"/>
    </row>
    <row r="114870" spans="10:10" x14ac:dyDescent="0.3">
      <c r="J114870"/>
    </row>
    <row r="114871" spans="10:10" x14ac:dyDescent="0.3">
      <c r="J114871"/>
    </row>
    <row r="114872" spans="10:10" x14ac:dyDescent="0.3">
      <c r="J114872"/>
    </row>
    <row r="114873" spans="10:10" x14ac:dyDescent="0.3">
      <c r="J114873"/>
    </row>
    <row r="114874" spans="10:10" x14ac:dyDescent="0.3">
      <c r="J114874"/>
    </row>
    <row r="114875" spans="10:10" x14ac:dyDescent="0.3">
      <c r="J114875"/>
    </row>
    <row r="114876" spans="10:10" x14ac:dyDescent="0.3">
      <c r="J114876"/>
    </row>
    <row r="114877" spans="10:10" x14ac:dyDescent="0.3">
      <c r="J114877"/>
    </row>
    <row r="114878" spans="10:10" x14ac:dyDescent="0.3">
      <c r="J114878"/>
    </row>
    <row r="114879" spans="10:10" x14ac:dyDescent="0.3">
      <c r="J114879"/>
    </row>
    <row r="114880" spans="10:10" x14ac:dyDescent="0.3">
      <c r="J114880"/>
    </row>
    <row r="114881" spans="10:10" x14ac:dyDescent="0.3">
      <c r="J114881"/>
    </row>
    <row r="114882" spans="10:10" x14ac:dyDescent="0.3">
      <c r="J114882"/>
    </row>
    <row r="114883" spans="10:10" x14ac:dyDescent="0.3">
      <c r="J114883"/>
    </row>
    <row r="114884" spans="10:10" x14ac:dyDescent="0.3">
      <c r="J114884"/>
    </row>
    <row r="114885" spans="10:10" x14ac:dyDescent="0.3">
      <c r="J114885"/>
    </row>
    <row r="114886" spans="10:10" x14ac:dyDescent="0.3">
      <c r="J114886"/>
    </row>
    <row r="114887" spans="10:10" x14ac:dyDescent="0.3">
      <c r="J114887"/>
    </row>
    <row r="114888" spans="10:10" x14ac:dyDescent="0.3">
      <c r="J114888"/>
    </row>
    <row r="114889" spans="10:10" x14ac:dyDescent="0.3">
      <c r="J114889"/>
    </row>
    <row r="114890" spans="10:10" x14ac:dyDescent="0.3">
      <c r="J114890"/>
    </row>
    <row r="114891" spans="10:10" x14ac:dyDescent="0.3">
      <c r="J114891"/>
    </row>
    <row r="114892" spans="10:10" x14ac:dyDescent="0.3">
      <c r="J114892"/>
    </row>
    <row r="114893" spans="10:10" x14ac:dyDescent="0.3">
      <c r="J114893"/>
    </row>
    <row r="114894" spans="10:10" x14ac:dyDescent="0.3">
      <c r="J114894"/>
    </row>
    <row r="114895" spans="10:10" x14ac:dyDescent="0.3">
      <c r="J114895"/>
    </row>
    <row r="114896" spans="10:10" x14ac:dyDescent="0.3">
      <c r="J114896"/>
    </row>
    <row r="114897" spans="10:10" x14ac:dyDescent="0.3">
      <c r="J114897"/>
    </row>
    <row r="114898" spans="10:10" x14ac:dyDescent="0.3">
      <c r="J114898"/>
    </row>
    <row r="114899" spans="10:10" x14ac:dyDescent="0.3">
      <c r="J114899"/>
    </row>
    <row r="114900" spans="10:10" x14ac:dyDescent="0.3">
      <c r="J114900"/>
    </row>
    <row r="114901" spans="10:10" x14ac:dyDescent="0.3">
      <c r="J114901"/>
    </row>
    <row r="114902" spans="10:10" x14ac:dyDescent="0.3">
      <c r="J114902"/>
    </row>
    <row r="114903" spans="10:10" x14ac:dyDescent="0.3">
      <c r="J114903"/>
    </row>
    <row r="114904" spans="10:10" x14ac:dyDescent="0.3">
      <c r="J114904"/>
    </row>
    <row r="114905" spans="10:10" x14ac:dyDescent="0.3">
      <c r="J114905"/>
    </row>
    <row r="114906" spans="10:10" x14ac:dyDescent="0.3">
      <c r="J114906"/>
    </row>
    <row r="114907" spans="10:10" x14ac:dyDescent="0.3">
      <c r="J114907"/>
    </row>
    <row r="114908" spans="10:10" x14ac:dyDescent="0.3">
      <c r="J114908"/>
    </row>
    <row r="114909" spans="10:10" x14ac:dyDescent="0.3">
      <c r="J114909"/>
    </row>
    <row r="114910" spans="10:10" x14ac:dyDescent="0.3">
      <c r="J114910"/>
    </row>
    <row r="114911" spans="10:10" x14ac:dyDescent="0.3">
      <c r="J114911"/>
    </row>
    <row r="114912" spans="10:10" x14ac:dyDescent="0.3">
      <c r="J114912"/>
    </row>
    <row r="114913" spans="10:10" x14ac:dyDescent="0.3">
      <c r="J114913"/>
    </row>
    <row r="114914" spans="10:10" x14ac:dyDescent="0.3">
      <c r="J114914"/>
    </row>
    <row r="114915" spans="10:10" x14ac:dyDescent="0.3">
      <c r="J114915"/>
    </row>
    <row r="114916" spans="10:10" x14ac:dyDescent="0.3">
      <c r="J114916"/>
    </row>
    <row r="114917" spans="10:10" x14ac:dyDescent="0.3">
      <c r="J114917"/>
    </row>
    <row r="114918" spans="10:10" x14ac:dyDescent="0.3">
      <c r="J114918"/>
    </row>
    <row r="114919" spans="10:10" x14ac:dyDescent="0.3">
      <c r="J114919"/>
    </row>
    <row r="114920" spans="10:10" x14ac:dyDescent="0.3">
      <c r="J114920"/>
    </row>
    <row r="114921" spans="10:10" x14ac:dyDescent="0.3">
      <c r="J114921"/>
    </row>
    <row r="114922" spans="10:10" x14ac:dyDescent="0.3">
      <c r="J114922"/>
    </row>
    <row r="114923" spans="10:10" x14ac:dyDescent="0.3">
      <c r="J114923"/>
    </row>
    <row r="114924" spans="10:10" x14ac:dyDescent="0.3">
      <c r="J114924"/>
    </row>
    <row r="114925" spans="10:10" x14ac:dyDescent="0.3">
      <c r="J114925"/>
    </row>
    <row r="114926" spans="10:10" x14ac:dyDescent="0.3">
      <c r="J114926"/>
    </row>
    <row r="114927" spans="10:10" x14ac:dyDescent="0.3">
      <c r="J114927"/>
    </row>
    <row r="114928" spans="10:10" x14ac:dyDescent="0.3">
      <c r="J114928"/>
    </row>
    <row r="114929" spans="10:10" x14ac:dyDescent="0.3">
      <c r="J114929"/>
    </row>
    <row r="114930" spans="10:10" x14ac:dyDescent="0.3">
      <c r="J114930"/>
    </row>
    <row r="114931" spans="10:10" x14ac:dyDescent="0.3">
      <c r="J114931"/>
    </row>
    <row r="114932" spans="10:10" x14ac:dyDescent="0.3">
      <c r="J114932"/>
    </row>
    <row r="114933" spans="10:10" x14ac:dyDescent="0.3">
      <c r="J114933"/>
    </row>
    <row r="114934" spans="10:10" x14ac:dyDescent="0.3">
      <c r="J114934"/>
    </row>
    <row r="114935" spans="10:10" x14ac:dyDescent="0.3">
      <c r="J114935"/>
    </row>
    <row r="114936" spans="10:10" x14ac:dyDescent="0.3">
      <c r="J114936"/>
    </row>
    <row r="114937" spans="10:10" x14ac:dyDescent="0.3">
      <c r="J114937"/>
    </row>
    <row r="114938" spans="10:10" x14ac:dyDescent="0.3">
      <c r="J114938"/>
    </row>
    <row r="114939" spans="10:10" x14ac:dyDescent="0.3">
      <c r="J114939"/>
    </row>
    <row r="114940" spans="10:10" x14ac:dyDescent="0.3">
      <c r="J114940"/>
    </row>
    <row r="114941" spans="10:10" x14ac:dyDescent="0.3">
      <c r="J114941"/>
    </row>
    <row r="114942" spans="10:10" x14ac:dyDescent="0.3">
      <c r="J114942"/>
    </row>
    <row r="114943" spans="10:10" x14ac:dyDescent="0.3">
      <c r="J114943"/>
    </row>
    <row r="114944" spans="10:10" x14ac:dyDescent="0.3">
      <c r="J114944"/>
    </row>
    <row r="114945" spans="10:10" x14ac:dyDescent="0.3">
      <c r="J114945"/>
    </row>
    <row r="114946" spans="10:10" x14ac:dyDescent="0.3">
      <c r="J114946"/>
    </row>
    <row r="114947" spans="10:10" x14ac:dyDescent="0.3">
      <c r="J114947"/>
    </row>
    <row r="114948" spans="10:10" x14ac:dyDescent="0.3">
      <c r="J114948"/>
    </row>
    <row r="114949" spans="10:10" x14ac:dyDescent="0.3">
      <c r="J114949"/>
    </row>
    <row r="114950" spans="10:10" x14ac:dyDescent="0.3">
      <c r="J114950"/>
    </row>
    <row r="114951" spans="10:10" x14ac:dyDescent="0.3">
      <c r="J114951"/>
    </row>
    <row r="114952" spans="10:10" x14ac:dyDescent="0.3">
      <c r="J114952"/>
    </row>
    <row r="114953" spans="10:10" x14ac:dyDescent="0.3">
      <c r="J114953"/>
    </row>
    <row r="114954" spans="10:10" x14ac:dyDescent="0.3">
      <c r="J114954"/>
    </row>
    <row r="114955" spans="10:10" x14ac:dyDescent="0.3">
      <c r="J114955"/>
    </row>
    <row r="114956" spans="10:10" x14ac:dyDescent="0.3">
      <c r="J114956"/>
    </row>
    <row r="114957" spans="10:10" x14ac:dyDescent="0.3">
      <c r="J114957"/>
    </row>
    <row r="114958" spans="10:10" x14ac:dyDescent="0.3">
      <c r="J114958"/>
    </row>
    <row r="114959" spans="10:10" x14ac:dyDescent="0.3">
      <c r="J114959"/>
    </row>
    <row r="114960" spans="10:10" x14ac:dyDescent="0.3">
      <c r="J114960"/>
    </row>
    <row r="114961" spans="10:10" x14ac:dyDescent="0.3">
      <c r="J114961"/>
    </row>
    <row r="114962" spans="10:10" x14ac:dyDescent="0.3">
      <c r="J114962"/>
    </row>
    <row r="114963" spans="10:10" x14ac:dyDescent="0.3">
      <c r="J114963"/>
    </row>
    <row r="114964" spans="10:10" x14ac:dyDescent="0.3">
      <c r="J114964"/>
    </row>
    <row r="114965" spans="10:10" x14ac:dyDescent="0.3">
      <c r="J114965"/>
    </row>
    <row r="114966" spans="10:10" x14ac:dyDescent="0.3">
      <c r="J114966"/>
    </row>
    <row r="114967" spans="10:10" x14ac:dyDescent="0.3">
      <c r="J114967"/>
    </row>
    <row r="114968" spans="10:10" x14ac:dyDescent="0.3">
      <c r="J114968"/>
    </row>
    <row r="114969" spans="10:10" x14ac:dyDescent="0.3">
      <c r="J114969"/>
    </row>
    <row r="114970" spans="10:10" x14ac:dyDescent="0.3">
      <c r="J114970"/>
    </row>
    <row r="114971" spans="10:10" x14ac:dyDescent="0.3">
      <c r="J114971"/>
    </row>
    <row r="114972" spans="10:10" x14ac:dyDescent="0.3">
      <c r="J114972"/>
    </row>
    <row r="114973" spans="10:10" x14ac:dyDescent="0.3">
      <c r="J114973"/>
    </row>
    <row r="114974" spans="10:10" x14ac:dyDescent="0.3">
      <c r="J114974"/>
    </row>
    <row r="114975" spans="10:10" x14ac:dyDescent="0.3">
      <c r="J114975"/>
    </row>
    <row r="114976" spans="10:10" x14ac:dyDescent="0.3">
      <c r="J114976"/>
    </row>
    <row r="114977" spans="10:10" x14ac:dyDescent="0.3">
      <c r="J114977"/>
    </row>
    <row r="114978" spans="10:10" x14ac:dyDescent="0.3">
      <c r="J114978"/>
    </row>
    <row r="114979" spans="10:10" x14ac:dyDescent="0.3">
      <c r="J114979"/>
    </row>
    <row r="114980" spans="10:10" x14ac:dyDescent="0.3">
      <c r="J114980"/>
    </row>
    <row r="114981" spans="10:10" x14ac:dyDescent="0.3">
      <c r="J114981"/>
    </row>
    <row r="114982" spans="10:10" x14ac:dyDescent="0.3">
      <c r="J114982"/>
    </row>
    <row r="114983" spans="10:10" x14ac:dyDescent="0.3">
      <c r="J114983"/>
    </row>
    <row r="114984" spans="10:10" x14ac:dyDescent="0.3">
      <c r="J114984"/>
    </row>
    <row r="114985" spans="10:10" x14ac:dyDescent="0.3">
      <c r="J114985"/>
    </row>
    <row r="114986" spans="10:10" x14ac:dyDescent="0.3">
      <c r="J114986"/>
    </row>
    <row r="114987" spans="10:10" x14ac:dyDescent="0.3">
      <c r="J114987"/>
    </row>
    <row r="114988" spans="10:10" x14ac:dyDescent="0.3">
      <c r="J114988"/>
    </row>
    <row r="114989" spans="10:10" x14ac:dyDescent="0.3">
      <c r="J114989"/>
    </row>
    <row r="114990" spans="10:10" x14ac:dyDescent="0.3">
      <c r="J114990"/>
    </row>
    <row r="114991" spans="10:10" x14ac:dyDescent="0.3">
      <c r="J114991"/>
    </row>
    <row r="114992" spans="10:10" x14ac:dyDescent="0.3">
      <c r="J114992"/>
    </row>
    <row r="114993" spans="10:10" x14ac:dyDescent="0.3">
      <c r="J114993"/>
    </row>
    <row r="114994" spans="10:10" x14ac:dyDescent="0.3">
      <c r="J114994"/>
    </row>
    <row r="114995" spans="10:10" x14ac:dyDescent="0.3">
      <c r="J114995"/>
    </row>
    <row r="114996" spans="10:10" x14ac:dyDescent="0.3">
      <c r="J114996"/>
    </row>
    <row r="114997" spans="10:10" x14ac:dyDescent="0.3">
      <c r="J114997"/>
    </row>
    <row r="114998" spans="10:10" x14ac:dyDescent="0.3">
      <c r="J114998"/>
    </row>
    <row r="114999" spans="10:10" x14ac:dyDescent="0.3">
      <c r="J114999"/>
    </row>
    <row r="115000" spans="10:10" x14ac:dyDescent="0.3">
      <c r="J115000"/>
    </row>
    <row r="115001" spans="10:10" x14ac:dyDescent="0.3">
      <c r="J115001"/>
    </row>
    <row r="115002" spans="10:10" x14ac:dyDescent="0.3">
      <c r="J115002"/>
    </row>
    <row r="115003" spans="10:10" x14ac:dyDescent="0.3">
      <c r="J115003"/>
    </row>
    <row r="115004" spans="10:10" x14ac:dyDescent="0.3">
      <c r="J115004"/>
    </row>
    <row r="115005" spans="10:10" x14ac:dyDescent="0.3">
      <c r="J115005"/>
    </row>
    <row r="115006" spans="10:10" x14ac:dyDescent="0.3">
      <c r="J115006"/>
    </row>
    <row r="115007" spans="10:10" x14ac:dyDescent="0.3">
      <c r="J115007"/>
    </row>
    <row r="115008" spans="10:10" x14ac:dyDescent="0.3">
      <c r="J115008"/>
    </row>
    <row r="115009" spans="10:10" x14ac:dyDescent="0.3">
      <c r="J115009"/>
    </row>
    <row r="115010" spans="10:10" x14ac:dyDescent="0.3">
      <c r="J115010"/>
    </row>
    <row r="115011" spans="10:10" x14ac:dyDescent="0.3">
      <c r="J115011"/>
    </row>
    <row r="115012" spans="10:10" x14ac:dyDescent="0.3">
      <c r="J115012"/>
    </row>
    <row r="115013" spans="10:10" x14ac:dyDescent="0.3">
      <c r="J115013"/>
    </row>
    <row r="115014" spans="10:10" x14ac:dyDescent="0.3">
      <c r="J115014"/>
    </row>
    <row r="115015" spans="10:10" x14ac:dyDescent="0.3">
      <c r="J115015"/>
    </row>
    <row r="115016" spans="10:10" x14ac:dyDescent="0.3">
      <c r="J115016"/>
    </row>
    <row r="115017" spans="10:10" x14ac:dyDescent="0.3">
      <c r="J115017"/>
    </row>
    <row r="115018" spans="10:10" x14ac:dyDescent="0.3">
      <c r="J115018"/>
    </row>
    <row r="115019" spans="10:10" x14ac:dyDescent="0.3">
      <c r="J115019"/>
    </row>
    <row r="115020" spans="10:10" x14ac:dyDescent="0.3">
      <c r="J115020"/>
    </row>
    <row r="115021" spans="10:10" x14ac:dyDescent="0.3">
      <c r="J115021"/>
    </row>
    <row r="115022" spans="10:10" x14ac:dyDescent="0.3">
      <c r="J115022"/>
    </row>
    <row r="115023" spans="10:10" x14ac:dyDescent="0.3">
      <c r="J115023"/>
    </row>
    <row r="115024" spans="10:10" x14ac:dyDescent="0.3">
      <c r="J115024"/>
    </row>
    <row r="115025" spans="10:10" x14ac:dyDescent="0.3">
      <c r="J115025"/>
    </row>
    <row r="115026" spans="10:10" x14ac:dyDescent="0.3">
      <c r="J115026"/>
    </row>
    <row r="115027" spans="10:10" x14ac:dyDescent="0.3">
      <c r="J115027"/>
    </row>
    <row r="115028" spans="10:10" x14ac:dyDescent="0.3">
      <c r="J115028"/>
    </row>
    <row r="115029" spans="10:10" x14ac:dyDescent="0.3">
      <c r="J115029"/>
    </row>
    <row r="115030" spans="10:10" x14ac:dyDescent="0.3">
      <c r="J115030"/>
    </row>
    <row r="115031" spans="10:10" x14ac:dyDescent="0.3">
      <c r="J115031"/>
    </row>
    <row r="115032" spans="10:10" x14ac:dyDescent="0.3">
      <c r="J115032"/>
    </row>
    <row r="115033" spans="10:10" x14ac:dyDescent="0.3">
      <c r="J115033"/>
    </row>
    <row r="115034" spans="10:10" x14ac:dyDescent="0.3">
      <c r="J115034"/>
    </row>
    <row r="115035" spans="10:10" x14ac:dyDescent="0.3">
      <c r="J115035"/>
    </row>
    <row r="115036" spans="10:10" x14ac:dyDescent="0.3">
      <c r="J115036"/>
    </row>
    <row r="115037" spans="10:10" x14ac:dyDescent="0.3">
      <c r="J115037"/>
    </row>
    <row r="115038" spans="10:10" x14ac:dyDescent="0.3">
      <c r="J115038"/>
    </row>
    <row r="115039" spans="10:10" x14ac:dyDescent="0.3">
      <c r="J115039"/>
    </row>
    <row r="115040" spans="10:10" x14ac:dyDescent="0.3">
      <c r="J115040"/>
    </row>
    <row r="115041" spans="10:10" x14ac:dyDescent="0.3">
      <c r="J115041"/>
    </row>
    <row r="115042" spans="10:10" x14ac:dyDescent="0.3">
      <c r="J115042"/>
    </row>
    <row r="115043" spans="10:10" x14ac:dyDescent="0.3">
      <c r="J115043"/>
    </row>
    <row r="115044" spans="10:10" x14ac:dyDescent="0.3">
      <c r="J115044"/>
    </row>
    <row r="115045" spans="10:10" x14ac:dyDescent="0.3">
      <c r="J115045"/>
    </row>
    <row r="115046" spans="10:10" x14ac:dyDescent="0.3">
      <c r="J115046"/>
    </row>
    <row r="115047" spans="10:10" x14ac:dyDescent="0.3">
      <c r="J115047"/>
    </row>
    <row r="115048" spans="10:10" x14ac:dyDescent="0.3">
      <c r="J115048"/>
    </row>
    <row r="115049" spans="10:10" x14ac:dyDescent="0.3">
      <c r="J115049"/>
    </row>
    <row r="115050" spans="10:10" x14ac:dyDescent="0.3">
      <c r="J115050"/>
    </row>
    <row r="115051" spans="10:10" x14ac:dyDescent="0.3">
      <c r="J115051"/>
    </row>
    <row r="115052" spans="10:10" x14ac:dyDescent="0.3">
      <c r="J115052"/>
    </row>
    <row r="115053" spans="10:10" x14ac:dyDescent="0.3">
      <c r="J115053"/>
    </row>
    <row r="115054" spans="10:10" x14ac:dyDescent="0.3">
      <c r="J115054"/>
    </row>
    <row r="115055" spans="10:10" x14ac:dyDescent="0.3">
      <c r="J115055"/>
    </row>
    <row r="115056" spans="10:10" x14ac:dyDescent="0.3">
      <c r="J115056"/>
    </row>
    <row r="115057" spans="10:10" x14ac:dyDescent="0.3">
      <c r="J115057"/>
    </row>
    <row r="115058" spans="10:10" x14ac:dyDescent="0.3">
      <c r="J115058"/>
    </row>
    <row r="115059" spans="10:10" x14ac:dyDescent="0.3">
      <c r="J115059"/>
    </row>
    <row r="115060" spans="10:10" x14ac:dyDescent="0.3">
      <c r="J115060"/>
    </row>
    <row r="115061" spans="10:10" x14ac:dyDescent="0.3">
      <c r="J115061"/>
    </row>
    <row r="115062" spans="10:10" x14ac:dyDescent="0.3">
      <c r="J115062"/>
    </row>
    <row r="115063" spans="10:10" x14ac:dyDescent="0.3">
      <c r="J115063"/>
    </row>
    <row r="115064" spans="10:10" x14ac:dyDescent="0.3">
      <c r="J115064"/>
    </row>
    <row r="115065" spans="10:10" x14ac:dyDescent="0.3">
      <c r="J115065"/>
    </row>
    <row r="115066" spans="10:10" x14ac:dyDescent="0.3">
      <c r="J115066"/>
    </row>
    <row r="115067" spans="10:10" x14ac:dyDescent="0.3">
      <c r="J115067"/>
    </row>
    <row r="115068" spans="10:10" x14ac:dyDescent="0.3">
      <c r="J115068"/>
    </row>
    <row r="115069" spans="10:10" x14ac:dyDescent="0.3">
      <c r="J115069"/>
    </row>
    <row r="115070" spans="10:10" x14ac:dyDescent="0.3">
      <c r="J115070"/>
    </row>
    <row r="115071" spans="10:10" x14ac:dyDescent="0.3">
      <c r="J115071"/>
    </row>
    <row r="115072" spans="10:10" x14ac:dyDescent="0.3">
      <c r="J115072"/>
    </row>
    <row r="115073" spans="10:10" x14ac:dyDescent="0.3">
      <c r="J115073"/>
    </row>
    <row r="115074" spans="10:10" x14ac:dyDescent="0.3">
      <c r="J115074"/>
    </row>
    <row r="115075" spans="10:10" x14ac:dyDescent="0.3">
      <c r="J115075"/>
    </row>
    <row r="115076" spans="10:10" x14ac:dyDescent="0.3">
      <c r="J115076"/>
    </row>
    <row r="115077" spans="10:10" x14ac:dyDescent="0.3">
      <c r="J115077"/>
    </row>
    <row r="115078" spans="10:10" x14ac:dyDescent="0.3">
      <c r="J115078"/>
    </row>
    <row r="115079" spans="10:10" x14ac:dyDescent="0.3">
      <c r="J115079"/>
    </row>
    <row r="115080" spans="10:10" x14ac:dyDescent="0.3">
      <c r="J115080"/>
    </row>
    <row r="115081" spans="10:10" x14ac:dyDescent="0.3">
      <c r="J115081"/>
    </row>
    <row r="115082" spans="10:10" x14ac:dyDescent="0.3">
      <c r="J115082"/>
    </row>
    <row r="115083" spans="10:10" x14ac:dyDescent="0.3">
      <c r="J115083"/>
    </row>
    <row r="115084" spans="10:10" x14ac:dyDescent="0.3">
      <c r="J115084"/>
    </row>
    <row r="115085" spans="10:10" x14ac:dyDescent="0.3">
      <c r="J115085"/>
    </row>
    <row r="115086" spans="10:10" x14ac:dyDescent="0.3">
      <c r="J115086"/>
    </row>
    <row r="115087" spans="10:10" x14ac:dyDescent="0.3">
      <c r="J115087"/>
    </row>
    <row r="115088" spans="10:10" x14ac:dyDescent="0.3">
      <c r="J115088"/>
    </row>
    <row r="115089" spans="10:10" x14ac:dyDescent="0.3">
      <c r="J115089"/>
    </row>
    <row r="115090" spans="10:10" x14ac:dyDescent="0.3">
      <c r="J115090"/>
    </row>
    <row r="115091" spans="10:10" x14ac:dyDescent="0.3">
      <c r="J115091"/>
    </row>
    <row r="115092" spans="10:10" x14ac:dyDescent="0.3">
      <c r="J115092"/>
    </row>
    <row r="115093" spans="10:10" x14ac:dyDescent="0.3">
      <c r="J115093"/>
    </row>
    <row r="115094" spans="10:10" x14ac:dyDescent="0.3">
      <c r="J115094"/>
    </row>
    <row r="115095" spans="10:10" x14ac:dyDescent="0.3">
      <c r="J115095"/>
    </row>
    <row r="115096" spans="10:10" x14ac:dyDescent="0.3">
      <c r="J115096"/>
    </row>
    <row r="115097" spans="10:10" x14ac:dyDescent="0.3">
      <c r="J115097"/>
    </row>
    <row r="115098" spans="10:10" x14ac:dyDescent="0.3">
      <c r="J115098"/>
    </row>
    <row r="115099" spans="10:10" x14ac:dyDescent="0.3">
      <c r="J115099"/>
    </row>
    <row r="115100" spans="10:10" x14ac:dyDescent="0.3">
      <c r="J115100"/>
    </row>
    <row r="115101" spans="10:10" x14ac:dyDescent="0.3">
      <c r="J115101"/>
    </row>
    <row r="115102" spans="10:10" x14ac:dyDescent="0.3">
      <c r="J115102"/>
    </row>
    <row r="115103" spans="10:10" x14ac:dyDescent="0.3">
      <c r="J115103"/>
    </row>
    <row r="115104" spans="10:10" x14ac:dyDescent="0.3">
      <c r="J115104"/>
    </row>
    <row r="115105" spans="10:10" x14ac:dyDescent="0.3">
      <c r="J115105"/>
    </row>
    <row r="115106" spans="10:10" x14ac:dyDescent="0.3">
      <c r="J115106"/>
    </row>
    <row r="115107" spans="10:10" x14ac:dyDescent="0.3">
      <c r="J115107"/>
    </row>
    <row r="115108" spans="10:10" x14ac:dyDescent="0.3">
      <c r="J115108"/>
    </row>
    <row r="115109" spans="10:10" x14ac:dyDescent="0.3">
      <c r="J115109"/>
    </row>
    <row r="115110" spans="10:10" x14ac:dyDescent="0.3">
      <c r="J115110"/>
    </row>
    <row r="115111" spans="10:10" x14ac:dyDescent="0.3">
      <c r="J115111"/>
    </row>
    <row r="115112" spans="10:10" x14ac:dyDescent="0.3">
      <c r="J115112"/>
    </row>
    <row r="115113" spans="10:10" x14ac:dyDescent="0.3">
      <c r="J115113"/>
    </row>
    <row r="115114" spans="10:10" x14ac:dyDescent="0.3">
      <c r="J115114"/>
    </row>
    <row r="115115" spans="10:10" x14ac:dyDescent="0.3">
      <c r="J115115"/>
    </row>
    <row r="115116" spans="10:10" x14ac:dyDescent="0.3">
      <c r="J115116"/>
    </row>
    <row r="115117" spans="10:10" x14ac:dyDescent="0.3">
      <c r="J115117"/>
    </row>
    <row r="115118" spans="10:10" x14ac:dyDescent="0.3">
      <c r="J115118"/>
    </row>
    <row r="115119" spans="10:10" x14ac:dyDescent="0.3">
      <c r="J115119"/>
    </row>
    <row r="115120" spans="10:10" x14ac:dyDescent="0.3">
      <c r="J115120"/>
    </row>
    <row r="115121" spans="10:10" x14ac:dyDescent="0.3">
      <c r="J115121"/>
    </row>
    <row r="115122" spans="10:10" x14ac:dyDescent="0.3">
      <c r="J115122"/>
    </row>
    <row r="115123" spans="10:10" x14ac:dyDescent="0.3">
      <c r="J115123"/>
    </row>
    <row r="115124" spans="10:10" x14ac:dyDescent="0.3">
      <c r="J115124"/>
    </row>
    <row r="115125" spans="10:10" x14ac:dyDescent="0.3">
      <c r="J115125"/>
    </row>
    <row r="115126" spans="10:10" x14ac:dyDescent="0.3">
      <c r="J115126"/>
    </row>
    <row r="115127" spans="10:10" x14ac:dyDescent="0.3">
      <c r="J115127"/>
    </row>
    <row r="115128" spans="10:10" x14ac:dyDescent="0.3">
      <c r="J115128"/>
    </row>
    <row r="115129" spans="10:10" x14ac:dyDescent="0.3">
      <c r="J115129"/>
    </row>
    <row r="115130" spans="10:10" x14ac:dyDescent="0.3">
      <c r="J115130"/>
    </row>
    <row r="115131" spans="10:10" x14ac:dyDescent="0.3">
      <c r="J115131"/>
    </row>
    <row r="115132" spans="10:10" x14ac:dyDescent="0.3">
      <c r="J115132"/>
    </row>
    <row r="115133" spans="10:10" x14ac:dyDescent="0.3">
      <c r="J115133"/>
    </row>
    <row r="115134" spans="10:10" x14ac:dyDescent="0.3">
      <c r="J115134"/>
    </row>
    <row r="115135" spans="10:10" x14ac:dyDescent="0.3">
      <c r="J115135"/>
    </row>
    <row r="115136" spans="10:10" x14ac:dyDescent="0.3">
      <c r="J115136"/>
    </row>
    <row r="115137" spans="10:10" x14ac:dyDescent="0.3">
      <c r="J115137"/>
    </row>
    <row r="115138" spans="10:10" x14ac:dyDescent="0.3">
      <c r="J115138"/>
    </row>
    <row r="115139" spans="10:10" x14ac:dyDescent="0.3">
      <c r="J115139"/>
    </row>
    <row r="115140" spans="10:10" x14ac:dyDescent="0.3">
      <c r="J115140"/>
    </row>
    <row r="115141" spans="10:10" x14ac:dyDescent="0.3">
      <c r="J115141"/>
    </row>
    <row r="115142" spans="10:10" x14ac:dyDescent="0.3">
      <c r="J115142"/>
    </row>
    <row r="115143" spans="10:10" x14ac:dyDescent="0.3">
      <c r="J115143"/>
    </row>
    <row r="115144" spans="10:10" x14ac:dyDescent="0.3">
      <c r="J115144"/>
    </row>
    <row r="115145" spans="10:10" x14ac:dyDescent="0.3">
      <c r="J115145"/>
    </row>
    <row r="115146" spans="10:10" x14ac:dyDescent="0.3">
      <c r="J115146"/>
    </row>
    <row r="115147" spans="10:10" x14ac:dyDescent="0.3">
      <c r="J115147"/>
    </row>
    <row r="115148" spans="10:10" x14ac:dyDescent="0.3">
      <c r="J115148"/>
    </row>
    <row r="115149" spans="10:10" x14ac:dyDescent="0.3">
      <c r="J115149"/>
    </row>
    <row r="115150" spans="10:10" x14ac:dyDescent="0.3">
      <c r="J115150"/>
    </row>
    <row r="115151" spans="10:10" x14ac:dyDescent="0.3">
      <c r="J115151"/>
    </row>
    <row r="115152" spans="10:10" x14ac:dyDescent="0.3">
      <c r="J115152"/>
    </row>
    <row r="115153" spans="10:10" x14ac:dyDescent="0.3">
      <c r="J115153"/>
    </row>
    <row r="115154" spans="10:10" x14ac:dyDescent="0.3">
      <c r="J115154"/>
    </row>
    <row r="115155" spans="10:10" x14ac:dyDescent="0.3">
      <c r="J115155"/>
    </row>
    <row r="115156" spans="10:10" x14ac:dyDescent="0.3">
      <c r="J115156"/>
    </row>
    <row r="115157" spans="10:10" x14ac:dyDescent="0.3">
      <c r="J115157"/>
    </row>
    <row r="115158" spans="10:10" x14ac:dyDescent="0.3">
      <c r="J115158"/>
    </row>
    <row r="115159" spans="10:10" x14ac:dyDescent="0.3">
      <c r="J115159"/>
    </row>
    <row r="115160" spans="10:10" x14ac:dyDescent="0.3">
      <c r="J115160"/>
    </row>
    <row r="115161" spans="10:10" x14ac:dyDescent="0.3">
      <c r="J115161"/>
    </row>
    <row r="115162" spans="10:10" x14ac:dyDescent="0.3">
      <c r="J115162"/>
    </row>
    <row r="115163" spans="10:10" x14ac:dyDescent="0.3">
      <c r="J115163"/>
    </row>
    <row r="115164" spans="10:10" x14ac:dyDescent="0.3">
      <c r="J115164"/>
    </row>
    <row r="115165" spans="10:10" x14ac:dyDescent="0.3">
      <c r="J115165"/>
    </row>
    <row r="115166" spans="10:10" x14ac:dyDescent="0.3">
      <c r="J115166"/>
    </row>
    <row r="115167" spans="10:10" x14ac:dyDescent="0.3">
      <c r="J115167"/>
    </row>
    <row r="115168" spans="10:10" x14ac:dyDescent="0.3">
      <c r="J115168"/>
    </row>
    <row r="115169" spans="10:10" x14ac:dyDescent="0.3">
      <c r="J115169"/>
    </row>
    <row r="115170" spans="10:10" x14ac:dyDescent="0.3">
      <c r="J115170"/>
    </row>
    <row r="115171" spans="10:10" x14ac:dyDescent="0.3">
      <c r="J115171"/>
    </row>
    <row r="115172" spans="10:10" x14ac:dyDescent="0.3">
      <c r="J115172"/>
    </row>
    <row r="115173" spans="10:10" x14ac:dyDescent="0.3">
      <c r="J115173"/>
    </row>
    <row r="115174" spans="10:10" x14ac:dyDescent="0.3">
      <c r="J115174"/>
    </row>
    <row r="115175" spans="10:10" x14ac:dyDescent="0.3">
      <c r="J115175"/>
    </row>
    <row r="115176" spans="10:10" x14ac:dyDescent="0.3">
      <c r="J115176"/>
    </row>
    <row r="115177" spans="10:10" x14ac:dyDescent="0.3">
      <c r="J115177"/>
    </row>
    <row r="115178" spans="10:10" x14ac:dyDescent="0.3">
      <c r="J115178"/>
    </row>
    <row r="115179" spans="10:10" x14ac:dyDescent="0.3">
      <c r="J115179"/>
    </row>
    <row r="115180" spans="10:10" x14ac:dyDescent="0.3">
      <c r="J115180"/>
    </row>
    <row r="115181" spans="10:10" x14ac:dyDescent="0.3">
      <c r="J115181"/>
    </row>
    <row r="115182" spans="10:10" x14ac:dyDescent="0.3">
      <c r="J115182"/>
    </row>
    <row r="115183" spans="10:10" x14ac:dyDescent="0.3">
      <c r="J115183"/>
    </row>
    <row r="115184" spans="10:10" x14ac:dyDescent="0.3">
      <c r="J115184"/>
    </row>
    <row r="115185" spans="10:10" x14ac:dyDescent="0.3">
      <c r="J115185"/>
    </row>
    <row r="115186" spans="10:10" x14ac:dyDescent="0.3">
      <c r="J115186"/>
    </row>
    <row r="115187" spans="10:10" x14ac:dyDescent="0.3">
      <c r="J115187"/>
    </row>
    <row r="115188" spans="10:10" x14ac:dyDescent="0.3">
      <c r="J115188"/>
    </row>
    <row r="115189" spans="10:10" x14ac:dyDescent="0.3">
      <c r="J115189"/>
    </row>
    <row r="115190" spans="10:10" x14ac:dyDescent="0.3">
      <c r="J115190"/>
    </row>
    <row r="115191" spans="10:10" x14ac:dyDescent="0.3">
      <c r="J115191"/>
    </row>
    <row r="115192" spans="10:10" x14ac:dyDescent="0.3">
      <c r="J115192"/>
    </row>
    <row r="115193" spans="10:10" x14ac:dyDescent="0.3">
      <c r="J115193"/>
    </row>
    <row r="115194" spans="10:10" x14ac:dyDescent="0.3">
      <c r="J115194"/>
    </row>
    <row r="115195" spans="10:10" x14ac:dyDescent="0.3">
      <c r="J115195"/>
    </row>
    <row r="115196" spans="10:10" x14ac:dyDescent="0.3">
      <c r="J115196"/>
    </row>
    <row r="115197" spans="10:10" x14ac:dyDescent="0.3">
      <c r="J115197"/>
    </row>
    <row r="115198" spans="10:10" x14ac:dyDescent="0.3">
      <c r="J115198"/>
    </row>
    <row r="115199" spans="10:10" x14ac:dyDescent="0.3">
      <c r="J115199"/>
    </row>
    <row r="115200" spans="10:10" x14ac:dyDescent="0.3">
      <c r="J115200"/>
    </row>
    <row r="115201" spans="10:10" x14ac:dyDescent="0.3">
      <c r="J115201"/>
    </row>
    <row r="115202" spans="10:10" x14ac:dyDescent="0.3">
      <c r="J115202"/>
    </row>
    <row r="115203" spans="10:10" x14ac:dyDescent="0.3">
      <c r="J115203"/>
    </row>
    <row r="115204" spans="10:10" x14ac:dyDescent="0.3">
      <c r="J115204"/>
    </row>
    <row r="115205" spans="10:10" x14ac:dyDescent="0.3">
      <c r="J115205"/>
    </row>
    <row r="115206" spans="10:10" x14ac:dyDescent="0.3">
      <c r="J115206"/>
    </row>
    <row r="115207" spans="10:10" x14ac:dyDescent="0.3">
      <c r="J115207"/>
    </row>
    <row r="115208" spans="10:10" x14ac:dyDescent="0.3">
      <c r="J115208"/>
    </row>
    <row r="115209" spans="10:10" x14ac:dyDescent="0.3">
      <c r="J115209"/>
    </row>
    <row r="115210" spans="10:10" x14ac:dyDescent="0.3">
      <c r="J115210"/>
    </row>
    <row r="115211" spans="10:10" x14ac:dyDescent="0.3">
      <c r="J115211"/>
    </row>
    <row r="115212" spans="10:10" x14ac:dyDescent="0.3">
      <c r="J115212"/>
    </row>
    <row r="115213" spans="10:10" x14ac:dyDescent="0.3">
      <c r="J115213"/>
    </row>
    <row r="115214" spans="10:10" x14ac:dyDescent="0.3">
      <c r="J115214"/>
    </row>
    <row r="115215" spans="10:10" x14ac:dyDescent="0.3">
      <c r="J115215"/>
    </row>
    <row r="115216" spans="10:10" x14ac:dyDescent="0.3">
      <c r="J115216"/>
    </row>
    <row r="115217" spans="10:10" x14ac:dyDescent="0.3">
      <c r="J115217"/>
    </row>
    <row r="115218" spans="10:10" x14ac:dyDescent="0.3">
      <c r="J115218"/>
    </row>
    <row r="115219" spans="10:10" x14ac:dyDescent="0.3">
      <c r="J115219"/>
    </row>
    <row r="115220" spans="10:10" x14ac:dyDescent="0.3">
      <c r="J115220"/>
    </row>
    <row r="115221" spans="10:10" x14ac:dyDescent="0.3">
      <c r="J115221"/>
    </row>
    <row r="115222" spans="10:10" x14ac:dyDescent="0.3">
      <c r="J115222"/>
    </row>
    <row r="115223" spans="10:10" x14ac:dyDescent="0.3">
      <c r="J115223"/>
    </row>
    <row r="115224" spans="10:10" x14ac:dyDescent="0.3">
      <c r="J115224"/>
    </row>
    <row r="115225" spans="10:10" x14ac:dyDescent="0.3">
      <c r="J115225"/>
    </row>
    <row r="115226" spans="10:10" x14ac:dyDescent="0.3">
      <c r="J115226"/>
    </row>
    <row r="115227" spans="10:10" x14ac:dyDescent="0.3">
      <c r="J115227"/>
    </row>
    <row r="115228" spans="10:10" x14ac:dyDescent="0.3">
      <c r="J115228"/>
    </row>
    <row r="115229" spans="10:10" x14ac:dyDescent="0.3">
      <c r="J115229"/>
    </row>
    <row r="115230" spans="10:10" x14ac:dyDescent="0.3">
      <c r="J115230"/>
    </row>
    <row r="115231" spans="10:10" x14ac:dyDescent="0.3">
      <c r="J115231"/>
    </row>
    <row r="115232" spans="10:10" x14ac:dyDescent="0.3">
      <c r="J115232"/>
    </row>
    <row r="115233" spans="10:10" x14ac:dyDescent="0.3">
      <c r="J115233"/>
    </row>
    <row r="115234" spans="10:10" x14ac:dyDescent="0.3">
      <c r="J115234"/>
    </row>
    <row r="115235" spans="10:10" x14ac:dyDescent="0.3">
      <c r="J115235"/>
    </row>
    <row r="115236" spans="10:10" x14ac:dyDescent="0.3">
      <c r="J115236"/>
    </row>
    <row r="115237" spans="10:10" x14ac:dyDescent="0.3">
      <c r="J115237"/>
    </row>
    <row r="115238" spans="10:10" x14ac:dyDescent="0.3">
      <c r="J115238"/>
    </row>
    <row r="115239" spans="10:10" x14ac:dyDescent="0.3">
      <c r="J115239"/>
    </row>
    <row r="115240" spans="10:10" x14ac:dyDescent="0.3">
      <c r="J115240"/>
    </row>
    <row r="115241" spans="10:10" x14ac:dyDescent="0.3">
      <c r="J115241"/>
    </row>
    <row r="115242" spans="10:10" x14ac:dyDescent="0.3">
      <c r="J115242"/>
    </row>
    <row r="115243" spans="10:10" x14ac:dyDescent="0.3">
      <c r="J115243"/>
    </row>
    <row r="115244" spans="10:10" x14ac:dyDescent="0.3">
      <c r="J115244"/>
    </row>
    <row r="115245" spans="10:10" x14ac:dyDescent="0.3">
      <c r="J115245"/>
    </row>
    <row r="115246" spans="10:10" x14ac:dyDescent="0.3">
      <c r="J115246"/>
    </row>
    <row r="115247" spans="10:10" x14ac:dyDescent="0.3">
      <c r="J115247"/>
    </row>
    <row r="115248" spans="10:10" x14ac:dyDescent="0.3">
      <c r="J115248"/>
    </row>
    <row r="115249" spans="10:10" x14ac:dyDescent="0.3">
      <c r="J115249"/>
    </row>
    <row r="115250" spans="10:10" x14ac:dyDescent="0.3">
      <c r="J115250"/>
    </row>
    <row r="115251" spans="10:10" x14ac:dyDescent="0.3">
      <c r="J115251"/>
    </row>
    <row r="115252" spans="10:10" x14ac:dyDescent="0.3">
      <c r="J115252"/>
    </row>
    <row r="115253" spans="10:10" x14ac:dyDescent="0.3">
      <c r="J115253"/>
    </row>
    <row r="115254" spans="10:10" x14ac:dyDescent="0.3">
      <c r="J115254"/>
    </row>
    <row r="115255" spans="10:10" x14ac:dyDescent="0.3">
      <c r="J115255"/>
    </row>
    <row r="115256" spans="10:10" x14ac:dyDescent="0.3">
      <c r="J115256"/>
    </row>
    <row r="115257" spans="10:10" x14ac:dyDescent="0.3">
      <c r="J115257"/>
    </row>
    <row r="115258" spans="10:10" x14ac:dyDescent="0.3">
      <c r="J115258"/>
    </row>
    <row r="115259" spans="10:10" x14ac:dyDescent="0.3">
      <c r="J115259"/>
    </row>
    <row r="115260" spans="10:10" x14ac:dyDescent="0.3">
      <c r="J115260"/>
    </row>
    <row r="115261" spans="10:10" x14ac:dyDescent="0.3">
      <c r="J115261"/>
    </row>
    <row r="115262" spans="10:10" x14ac:dyDescent="0.3">
      <c r="J115262"/>
    </row>
    <row r="115263" spans="10:10" x14ac:dyDescent="0.3">
      <c r="J115263"/>
    </row>
    <row r="115264" spans="10:10" x14ac:dyDescent="0.3">
      <c r="J115264"/>
    </row>
    <row r="115265" spans="10:10" x14ac:dyDescent="0.3">
      <c r="J115265"/>
    </row>
    <row r="115266" spans="10:10" x14ac:dyDescent="0.3">
      <c r="J115266"/>
    </row>
    <row r="115267" spans="10:10" x14ac:dyDescent="0.3">
      <c r="J115267"/>
    </row>
    <row r="115268" spans="10:10" x14ac:dyDescent="0.3">
      <c r="J115268"/>
    </row>
    <row r="115269" spans="10:10" x14ac:dyDescent="0.3">
      <c r="J115269"/>
    </row>
    <row r="115270" spans="10:10" x14ac:dyDescent="0.3">
      <c r="J115270"/>
    </row>
    <row r="115271" spans="10:10" x14ac:dyDescent="0.3">
      <c r="J115271"/>
    </row>
    <row r="115272" spans="10:10" x14ac:dyDescent="0.3">
      <c r="J115272"/>
    </row>
    <row r="115273" spans="10:10" x14ac:dyDescent="0.3">
      <c r="J115273"/>
    </row>
    <row r="115274" spans="10:10" x14ac:dyDescent="0.3">
      <c r="J115274"/>
    </row>
    <row r="115275" spans="10:10" x14ac:dyDescent="0.3">
      <c r="J115275"/>
    </row>
    <row r="115276" spans="10:10" x14ac:dyDescent="0.3">
      <c r="J115276"/>
    </row>
    <row r="115277" spans="10:10" x14ac:dyDescent="0.3">
      <c r="J115277"/>
    </row>
    <row r="115278" spans="10:10" x14ac:dyDescent="0.3">
      <c r="J115278"/>
    </row>
    <row r="115279" spans="10:10" x14ac:dyDescent="0.3">
      <c r="J115279"/>
    </row>
    <row r="115280" spans="10:10" x14ac:dyDescent="0.3">
      <c r="J115280"/>
    </row>
    <row r="115281" spans="10:10" x14ac:dyDescent="0.3">
      <c r="J115281"/>
    </row>
    <row r="115282" spans="10:10" x14ac:dyDescent="0.3">
      <c r="J115282"/>
    </row>
    <row r="115283" spans="10:10" x14ac:dyDescent="0.3">
      <c r="J115283"/>
    </row>
    <row r="115284" spans="10:10" x14ac:dyDescent="0.3">
      <c r="J115284"/>
    </row>
    <row r="115285" spans="10:10" x14ac:dyDescent="0.3">
      <c r="J115285"/>
    </row>
    <row r="115286" spans="10:10" x14ac:dyDescent="0.3">
      <c r="J115286"/>
    </row>
    <row r="115287" spans="10:10" x14ac:dyDescent="0.3">
      <c r="J115287"/>
    </row>
    <row r="115288" spans="10:10" x14ac:dyDescent="0.3">
      <c r="J115288"/>
    </row>
    <row r="115289" spans="10:10" x14ac:dyDescent="0.3">
      <c r="J115289"/>
    </row>
    <row r="115290" spans="10:10" x14ac:dyDescent="0.3">
      <c r="J115290"/>
    </row>
    <row r="115291" spans="10:10" x14ac:dyDescent="0.3">
      <c r="J115291"/>
    </row>
    <row r="115292" spans="10:10" x14ac:dyDescent="0.3">
      <c r="J115292"/>
    </row>
    <row r="115293" spans="10:10" x14ac:dyDescent="0.3">
      <c r="J115293"/>
    </row>
    <row r="115294" spans="10:10" x14ac:dyDescent="0.3">
      <c r="J115294"/>
    </row>
    <row r="115295" spans="10:10" x14ac:dyDescent="0.3">
      <c r="J115295"/>
    </row>
    <row r="115296" spans="10:10" x14ac:dyDescent="0.3">
      <c r="J115296"/>
    </row>
    <row r="115297" spans="10:10" x14ac:dyDescent="0.3">
      <c r="J115297"/>
    </row>
    <row r="115298" spans="10:10" x14ac:dyDescent="0.3">
      <c r="J115298"/>
    </row>
    <row r="115299" spans="10:10" x14ac:dyDescent="0.3">
      <c r="J115299"/>
    </row>
    <row r="115300" spans="10:10" x14ac:dyDescent="0.3">
      <c r="J115300"/>
    </row>
    <row r="115301" spans="10:10" x14ac:dyDescent="0.3">
      <c r="J115301"/>
    </row>
    <row r="115302" spans="10:10" x14ac:dyDescent="0.3">
      <c r="J115302"/>
    </row>
    <row r="115303" spans="10:10" x14ac:dyDescent="0.3">
      <c r="J115303"/>
    </row>
    <row r="115304" spans="10:10" x14ac:dyDescent="0.3">
      <c r="J115304"/>
    </row>
    <row r="115305" spans="10:10" x14ac:dyDescent="0.3">
      <c r="J115305"/>
    </row>
    <row r="115306" spans="10:10" x14ac:dyDescent="0.3">
      <c r="J115306"/>
    </row>
    <row r="115307" spans="10:10" x14ac:dyDescent="0.3">
      <c r="J115307"/>
    </row>
    <row r="115308" spans="10:10" x14ac:dyDescent="0.3">
      <c r="J115308"/>
    </row>
    <row r="115309" spans="10:10" x14ac:dyDescent="0.3">
      <c r="J115309"/>
    </row>
    <row r="115310" spans="10:10" x14ac:dyDescent="0.3">
      <c r="J115310"/>
    </row>
    <row r="115311" spans="10:10" x14ac:dyDescent="0.3">
      <c r="J115311"/>
    </row>
    <row r="115312" spans="10:10" x14ac:dyDescent="0.3">
      <c r="J115312"/>
    </row>
    <row r="115313" spans="10:10" x14ac:dyDescent="0.3">
      <c r="J115313"/>
    </row>
    <row r="115314" spans="10:10" x14ac:dyDescent="0.3">
      <c r="J115314"/>
    </row>
    <row r="115315" spans="10:10" x14ac:dyDescent="0.3">
      <c r="J115315"/>
    </row>
    <row r="115316" spans="10:10" x14ac:dyDescent="0.3">
      <c r="J115316"/>
    </row>
    <row r="115317" spans="10:10" x14ac:dyDescent="0.3">
      <c r="J115317"/>
    </row>
    <row r="115318" spans="10:10" x14ac:dyDescent="0.3">
      <c r="J115318"/>
    </row>
    <row r="115319" spans="10:10" x14ac:dyDescent="0.3">
      <c r="J115319"/>
    </row>
    <row r="115320" spans="10:10" x14ac:dyDescent="0.3">
      <c r="J115320"/>
    </row>
    <row r="115321" spans="10:10" x14ac:dyDescent="0.3">
      <c r="J115321"/>
    </row>
    <row r="115322" spans="10:10" x14ac:dyDescent="0.3">
      <c r="J115322"/>
    </row>
    <row r="115323" spans="10:10" x14ac:dyDescent="0.3">
      <c r="J115323"/>
    </row>
    <row r="115324" spans="10:10" x14ac:dyDescent="0.3">
      <c r="J115324"/>
    </row>
    <row r="115325" spans="10:10" x14ac:dyDescent="0.3">
      <c r="J115325"/>
    </row>
    <row r="115326" spans="10:10" x14ac:dyDescent="0.3">
      <c r="J115326"/>
    </row>
    <row r="115327" spans="10:10" x14ac:dyDescent="0.3">
      <c r="J115327"/>
    </row>
    <row r="115328" spans="10:10" x14ac:dyDescent="0.3">
      <c r="J115328"/>
    </row>
    <row r="115329" spans="10:10" x14ac:dyDescent="0.3">
      <c r="J115329"/>
    </row>
    <row r="115330" spans="10:10" x14ac:dyDescent="0.3">
      <c r="J115330"/>
    </row>
    <row r="115331" spans="10:10" x14ac:dyDescent="0.3">
      <c r="J115331"/>
    </row>
    <row r="115332" spans="10:10" x14ac:dyDescent="0.3">
      <c r="J115332"/>
    </row>
    <row r="115333" spans="10:10" x14ac:dyDescent="0.3">
      <c r="J115333"/>
    </row>
    <row r="115334" spans="10:10" x14ac:dyDescent="0.3">
      <c r="J115334"/>
    </row>
    <row r="115335" spans="10:10" x14ac:dyDescent="0.3">
      <c r="J115335"/>
    </row>
    <row r="115336" spans="10:10" x14ac:dyDescent="0.3">
      <c r="J115336"/>
    </row>
    <row r="115337" spans="10:10" x14ac:dyDescent="0.3">
      <c r="J115337"/>
    </row>
    <row r="115338" spans="10:10" x14ac:dyDescent="0.3">
      <c r="J115338"/>
    </row>
    <row r="115339" spans="10:10" x14ac:dyDescent="0.3">
      <c r="J115339"/>
    </row>
    <row r="115340" spans="10:10" x14ac:dyDescent="0.3">
      <c r="J115340"/>
    </row>
    <row r="115341" spans="10:10" x14ac:dyDescent="0.3">
      <c r="J115341"/>
    </row>
    <row r="115342" spans="10:10" x14ac:dyDescent="0.3">
      <c r="J115342"/>
    </row>
    <row r="115343" spans="10:10" x14ac:dyDescent="0.3">
      <c r="J115343"/>
    </row>
    <row r="115344" spans="10:10" x14ac:dyDescent="0.3">
      <c r="J115344"/>
    </row>
    <row r="115345" spans="10:10" x14ac:dyDescent="0.3">
      <c r="J115345"/>
    </row>
    <row r="115346" spans="10:10" x14ac:dyDescent="0.3">
      <c r="J115346"/>
    </row>
    <row r="115347" spans="10:10" x14ac:dyDescent="0.3">
      <c r="J115347"/>
    </row>
    <row r="115348" spans="10:10" x14ac:dyDescent="0.3">
      <c r="J115348"/>
    </row>
    <row r="115349" spans="10:10" x14ac:dyDescent="0.3">
      <c r="J115349"/>
    </row>
    <row r="115350" spans="10:10" x14ac:dyDescent="0.3">
      <c r="J115350"/>
    </row>
    <row r="115351" spans="10:10" x14ac:dyDescent="0.3">
      <c r="J115351"/>
    </row>
    <row r="115352" spans="10:10" x14ac:dyDescent="0.3">
      <c r="J115352"/>
    </row>
    <row r="115353" spans="10:10" x14ac:dyDescent="0.3">
      <c r="J115353"/>
    </row>
    <row r="115354" spans="10:10" x14ac:dyDescent="0.3">
      <c r="J115354"/>
    </row>
    <row r="115355" spans="10:10" x14ac:dyDescent="0.3">
      <c r="J115355"/>
    </row>
    <row r="115356" spans="10:10" x14ac:dyDescent="0.3">
      <c r="J115356"/>
    </row>
    <row r="115357" spans="10:10" x14ac:dyDescent="0.3">
      <c r="J115357"/>
    </row>
    <row r="115358" spans="10:10" x14ac:dyDescent="0.3">
      <c r="J115358"/>
    </row>
    <row r="115359" spans="10:10" x14ac:dyDescent="0.3">
      <c r="J115359"/>
    </row>
    <row r="115360" spans="10:10" x14ac:dyDescent="0.3">
      <c r="J115360"/>
    </row>
    <row r="115361" spans="10:10" x14ac:dyDescent="0.3">
      <c r="J115361"/>
    </row>
    <row r="115362" spans="10:10" x14ac:dyDescent="0.3">
      <c r="J115362"/>
    </row>
    <row r="115363" spans="10:10" x14ac:dyDescent="0.3">
      <c r="J115363"/>
    </row>
    <row r="115364" spans="10:10" x14ac:dyDescent="0.3">
      <c r="J115364"/>
    </row>
    <row r="115365" spans="10:10" x14ac:dyDescent="0.3">
      <c r="J115365"/>
    </row>
    <row r="115366" spans="10:10" x14ac:dyDescent="0.3">
      <c r="J115366"/>
    </row>
    <row r="115367" spans="10:10" x14ac:dyDescent="0.3">
      <c r="J115367"/>
    </row>
    <row r="115368" spans="10:10" x14ac:dyDescent="0.3">
      <c r="J115368"/>
    </row>
    <row r="115369" spans="10:10" x14ac:dyDescent="0.3">
      <c r="J115369"/>
    </row>
    <row r="115370" spans="10:10" x14ac:dyDescent="0.3">
      <c r="J115370"/>
    </row>
    <row r="115371" spans="10:10" x14ac:dyDescent="0.3">
      <c r="J115371"/>
    </row>
    <row r="115372" spans="10:10" x14ac:dyDescent="0.3">
      <c r="J115372"/>
    </row>
    <row r="115373" spans="10:10" x14ac:dyDescent="0.3">
      <c r="J115373"/>
    </row>
    <row r="115374" spans="10:10" x14ac:dyDescent="0.3">
      <c r="J115374"/>
    </row>
    <row r="115375" spans="10:10" x14ac:dyDescent="0.3">
      <c r="J115375"/>
    </row>
    <row r="115376" spans="10:10" x14ac:dyDescent="0.3">
      <c r="J115376"/>
    </row>
    <row r="115377" spans="10:10" x14ac:dyDescent="0.3">
      <c r="J115377"/>
    </row>
    <row r="115378" spans="10:10" x14ac:dyDescent="0.3">
      <c r="J115378"/>
    </row>
    <row r="115379" spans="10:10" x14ac:dyDescent="0.3">
      <c r="J115379"/>
    </row>
    <row r="115380" spans="10:10" x14ac:dyDescent="0.3">
      <c r="J115380"/>
    </row>
    <row r="115381" spans="10:10" x14ac:dyDescent="0.3">
      <c r="J115381"/>
    </row>
    <row r="115382" spans="10:10" x14ac:dyDescent="0.3">
      <c r="J115382"/>
    </row>
    <row r="115383" spans="10:10" x14ac:dyDescent="0.3">
      <c r="J115383"/>
    </row>
    <row r="115384" spans="10:10" x14ac:dyDescent="0.3">
      <c r="J115384"/>
    </row>
    <row r="115385" spans="10:10" x14ac:dyDescent="0.3">
      <c r="J115385"/>
    </row>
    <row r="115386" spans="10:10" x14ac:dyDescent="0.3">
      <c r="J115386"/>
    </row>
    <row r="115387" spans="10:10" x14ac:dyDescent="0.3">
      <c r="J115387"/>
    </row>
    <row r="115388" spans="10:10" x14ac:dyDescent="0.3">
      <c r="J115388"/>
    </row>
    <row r="115389" spans="10:10" x14ac:dyDescent="0.3">
      <c r="J115389"/>
    </row>
    <row r="115390" spans="10:10" x14ac:dyDescent="0.3">
      <c r="J115390"/>
    </row>
    <row r="115391" spans="10:10" x14ac:dyDescent="0.3">
      <c r="J115391"/>
    </row>
    <row r="115392" spans="10:10" x14ac:dyDescent="0.3">
      <c r="J115392"/>
    </row>
    <row r="115393" spans="10:10" x14ac:dyDescent="0.3">
      <c r="J115393"/>
    </row>
    <row r="115394" spans="10:10" x14ac:dyDescent="0.3">
      <c r="J115394"/>
    </row>
    <row r="115395" spans="10:10" x14ac:dyDescent="0.3">
      <c r="J115395"/>
    </row>
    <row r="115396" spans="10:10" x14ac:dyDescent="0.3">
      <c r="J115396"/>
    </row>
    <row r="115397" spans="10:10" x14ac:dyDescent="0.3">
      <c r="J115397"/>
    </row>
    <row r="115398" spans="10:10" x14ac:dyDescent="0.3">
      <c r="J115398"/>
    </row>
    <row r="115399" spans="10:10" x14ac:dyDescent="0.3">
      <c r="J115399"/>
    </row>
    <row r="115400" spans="10:10" x14ac:dyDescent="0.3">
      <c r="J115400"/>
    </row>
    <row r="115401" spans="10:10" x14ac:dyDescent="0.3">
      <c r="J115401"/>
    </row>
    <row r="115402" spans="10:10" x14ac:dyDescent="0.3">
      <c r="J115402"/>
    </row>
    <row r="115403" spans="10:10" x14ac:dyDescent="0.3">
      <c r="J115403"/>
    </row>
    <row r="115404" spans="10:10" x14ac:dyDescent="0.3">
      <c r="J115404"/>
    </row>
    <row r="115405" spans="10:10" x14ac:dyDescent="0.3">
      <c r="J115405"/>
    </row>
    <row r="115406" spans="10:10" x14ac:dyDescent="0.3">
      <c r="J115406"/>
    </row>
    <row r="115407" spans="10:10" x14ac:dyDescent="0.3">
      <c r="J115407"/>
    </row>
    <row r="115408" spans="10:10" x14ac:dyDescent="0.3">
      <c r="J115408"/>
    </row>
    <row r="115409" spans="10:10" x14ac:dyDescent="0.3">
      <c r="J115409"/>
    </row>
    <row r="115410" spans="10:10" x14ac:dyDescent="0.3">
      <c r="J115410"/>
    </row>
    <row r="115411" spans="10:10" x14ac:dyDescent="0.3">
      <c r="J115411"/>
    </row>
    <row r="115412" spans="10:10" x14ac:dyDescent="0.3">
      <c r="J115412"/>
    </row>
    <row r="115413" spans="10:10" x14ac:dyDescent="0.3">
      <c r="J115413"/>
    </row>
    <row r="115414" spans="10:10" x14ac:dyDescent="0.3">
      <c r="J115414"/>
    </row>
    <row r="115415" spans="10:10" x14ac:dyDescent="0.3">
      <c r="J115415"/>
    </row>
    <row r="115416" spans="10:10" x14ac:dyDescent="0.3">
      <c r="J115416"/>
    </row>
    <row r="115417" spans="10:10" x14ac:dyDescent="0.3">
      <c r="J115417"/>
    </row>
    <row r="115418" spans="10:10" x14ac:dyDescent="0.3">
      <c r="J115418"/>
    </row>
    <row r="115419" spans="10:10" x14ac:dyDescent="0.3">
      <c r="J115419"/>
    </row>
    <row r="115420" spans="10:10" x14ac:dyDescent="0.3">
      <c r="J115420"/>
    </row>
    <row r="115421" spans="10:10" x14ac:dyDescent="0.3">
      <c r="J115421"/>
    </row>
    <row r="115422" spans="10:10" x14ac:dyDescent="0.3">
      <c r="J115422"/>
    </row>
    <row r="115423" spans="10:10" x14ac:dyDescent="0.3">
      <c r="J115423"/>
    </row>
    <row r="115424" spans="10:10" x14ac:dyDescent="0.3">
      <c r="J115424"/>
    </row>
    <row r="115425" spans="10:10" x14ac:dyDescent="0.3">
      <c r="J115425"/>
    </row>
    <row r="115426" spans="10:10" x14ac:dyDescent="0.3">
      <c r="J115426"/>
    </row>
    <row r="115427" spans="10:10" x14ac:dyDescent="0.3">
      <c r="J115427"/>
    </row>
    <row r="115428" spans="10:10" x14ac:dyDescent="0.3">
      <c r="J115428"/>
    </row>
    <row r="115429" spans="10:10" x14ac:dyDescent="0.3">
      <c r="J115429"/>
    </row>
    <row r="115430" spans="10:10" x14ac:dyDescent="0.3">
      <c r="J115430"/>
    </row>
    <row r="115431" spans="10:10" x14ac:dyDescent="0.3">
      <c r="J115431"/>
    </row>
    <row r="115432" spans="10:10" x14ac:dyDescent="0.3">
      <c r="J115432"/>
    </row>
    <row r="115433" spans="10:10" x14ac:dyDescent="0.3">
      <c r="J115433"/>
    </row>
    <row r="115434" spans="10:10" x14ac:dyDescent="0.3">
      <c r="J115434"/>
    </row>
    <row r="115435" spans="10:10" x14ac:dyDescent="0.3">
      <c r="J115435"/>
    </row>
    <row r="115436" spans="10:10" x14ac:dyDescent="0.3">
      <c r="J115436"/>
    </row>
    <row r="115437" spans="10:10" x14ac:dyDescent="0.3">
      <c r="J115437"/>
    </row>
    <row r="115438" spans="10:10" x14ac:dyDescent="0.3">
      <c r="J115438"/>
    </row>
    <row r="115439" spans="10:10" x14ac:dyDescent="0.3">
      <c r="J115439"/>
    </row>
    <row r="115440" spans="10:10" x14ac:dyDescent="0.3">
      <c r="J115440"/>
    </row>
    <row r="115441" spans="10:10" x14ac:dyDescent="0.3">
      <c r="J115441"/>
    </row>
    <row r="115442" spans="10:10" x14ac:dyDescent="0.3">
      <c r="J115442"/>
    </row>
    <row r="115443" spans="10:10" x14ac:dyDescent="0.3">
      <c r="J115443"/>
    </row>
    <row r="115444" spans="10:10" x14ac:dyDescent="0.3">
      <c r="J115444"/>
    </row>
    <row r="115445" spans="10:10" x14ac:dyDescent="0.3">
      <c r="J115445"/>
    </row>
    <row r="115446" spans="10:10" x14ac:dyDescent="0.3">
      <c r="J115446"/>
    </row>
    <row r="115447" spans="10:10" x14ac:dyDescent="0.3">
      <c r="J115447"/>
    </row>
    <row r="115448" spans="10:10" x14ac:dyDescent="0.3">
      <c r="J115448"/>
    </row>
    <row r="115449" spans="10:10" x14ac:dyDescent="0.3">
      <c r="J115449"/>
    </row>
    <row r="115450" spans="10:10" x14ac:dyDescent="0.3">
      <c r="J115450"/>
    </row>
    <row r="115451" spans="10:10" x14ac:dyDescent="0.3">
      <c r="J115451"/>
    </row>
    <row r="115452" spans="10:10" x14ac:dyDescent="0.3">
      <c r="J115452"/>
    </row>
    <row r="115453" spans="10:10" x14ac:dyDescent="0.3">
      <c r="J115453"/>
    </row>
    <row r="115454" spans="10:10" x14ac:dyDescent="0.3">
      <c r="J115454"/>
    </row>
    <row r="115455" spans="10:10" x14ac:dyDescent="0.3">
      <c r="J115455"/>
    </row>
    <row r="115456" spans="10:10" x14ac:dyDescent="0.3">
      <c r="J115456"/>
    </row>
    <row r="115457" spans="10:10" x14ac:dyDescent="0.3">
      <c r="J115457"/>
    </row>
    <row r="115458" spans="10:10" x14ac:dyDescent="0.3">
      <c r="J115458"/>
    </row>
    <row r="115459" spans="10:10" x14ac:dyDescent="0.3">
      <c r="J115459"/>
    </row>
    <row r="115460" spans="10:10" x14ac:dyDescent="0.3">
      <c r="J115460"/>
    </row>
    <row r="115461" spans="10:10" x14ac:dyDescent="0.3">
      <c r="J115461"/>
    </row>
    <row r="115462" spans="10:10" x14ac:dyDescent="0.3">
      <c r="J115462"/>
    </row>
    <row r="115463" spans="10:10" x14ac:dyDescent="0.3">
      <c r="J115463"/>
    </row>
    <row r="115464" spans="10:10" x14ac:dyDescent="0.3">
      <c r="J115464"/>
    </row>
    <row r="115465" spans="10:10" x14ac:dyDescent="0.3">
      <c r="J115465"/>
    </row>
    <row r="115466" spans="10:10" x14ac:dyDescent="0.3">
      <c r="J115466"/>
    </row>
    <row r="115467" spans="10:10" x14ac:dyDescent="0.3">
      <c r="J115467"/>
    </row>
    <row r="115468" spans="10:10" x14ac:dyDescent="0.3">
      <c r="J115468"/>
    </row>
    <row r="115469" spans="10:10" x14ac:dyDescent="0.3">
      <c r="J115469"/>
    </row>
    <row r="115470" spans="10:10" x14ac:dyDescent="0.3">
      <c r="J115470"/>
    </row>
    <row r="115471" spans="10:10" x14ac:dyDescent="0.3">
      <c r="J115471"/>
    </row>
    <row r="115472" spans="10:10" x14ac:dyDescent="0.3">
      <c r="J115472"/>
    </row>
    <row r="115473" spans="10:10" x14ac:dyDescent="0.3">
      <c r="J115473"/>
    </row>
    <row r="115474" spans="10:10" x14ac:dyDescent="0.3">
      <c r="J115474"/>
    </row>
    <row r="115475" spans="10:10" x14ac:dyDescent="0.3">
      <c r="J115475"/>
    </row>
    <row r="115476" spans="10:10" x14ac:dyDescent="0.3">
      <c r="J115476"/>
    </row>
    <row r="115477" spans="10:10" x14ac:dyDescent="0.3">
      <c r="J115477"/>
    </row>
    <row r="115478" spans="10:10" x14ac:dyDescent="0.3">
      <c r="J115478"/>
    </row>
    <row r="115479" spans="10:10" x14ac:dyDescent="0.3">
      <c r="J115479"/>
    </row>
    <row r="115480" spans="10:10" x14ac:dyDescent="0.3">
      <c r="J115480"/>
    </row>
    <row r="115481" spans="10:10" x14ac:dyDescent="0.3">
      <c r="J115481"/>
    </row>
    <row r="115482" spans="10:10" x14ac:dyDescent="0.3">
      <c r="J115482"/>
    </row>
    <row r="115483" spans="10:10" x14ac:dyDescent="0.3">
      <c r="J115483"/>
    </row>
    <row r="115484" spans="10:10" x14ac:dyDescent="0.3">
      <c r="J115484"/>
    </row>
    <row r="115485" spans="10:10" x14ac:dyDescent="0.3">
      <c r="J115485"/>
    </row>
    <row r="115486" spans="10:10" x14ac:dyDescent="0.3">
      <c r="J115486"/>
    </row>
    <row r="115487" spans="10:10" x14ac:dyDescent="0.3">
      <c r="J115487"/>
    </row>
    <row r="115488" spans="10:10" x14ac:dyDescent="0.3">
      <c r="J115488"/>
    </row>
    <row r="115489" spans="10:10" x14ac:dyDescent="0.3">
      <c r="J115489"/>
    </row>
    <row r="115490" spans="10:10" x14ac:dyDescent="0.3">
      <c r="J115490"/>
    </row>
    <row r="115491" spans="10:10" x14ac:dyDescent="0.3">
      <c r="J115491"/>
    </row>
    <row r="115492" spans="10:10" x14ac:dyDescent="0.3">
      <c r="J115492"/>
    </row>
    <row r="115493" spans="10:10" x14ac:dyDescent="0.3">
      <c r="J115493"/>
    </row>
    <row r="115494" spans="10:10" x14ac:dyDescent="0.3">
      <c r="J115494"/>
    </row>
    <row r="115495" spans="10:10" x14ac:dyDescent="0.3">
      <c r="J115495"/>
    </row>
    <row r="115496" spans="10:10" x14ac:dyDescent="0.3">
      <c r="J115496"/>
    </row>
    <row r="115497" spans="10:10" x14ac:dyDescent="0.3">
      <c r="J115497"/>
    </row>
    <row r="115498" spans="10:10" x14ac:dyDescent="0.3">
      <c r="J115498"/>
    </row>
    <row r="115499" spans="10:10" x14ac:dyDescent="0.3">
      <c r="J115499"/>
    </row>
    <row r="115500" spans="10:10" x14ac:dyDescent="0.3">
      <c r="J115500"/>
    </row>
    <row r="115501" spans="10:10" x14ac:dyDescent="0.3">
      <c r="J115501"/>
    </row>
    <row r="115502" spans="10:10" x14ac:dyDescent="0.3">
      <c r="J115502"/>
    </row>
    <row r="115503" spans="10:10" x14ac:dyDescent="0.3">
      <c r="J115503"/>
    </row>
    <row r="115504" spans="10:10" x14ac:dyDescent="0.3">
      <c r="J115504"/>
    </row>
    <row r="115505" spans="10:10" x14ac:dyDescent="0.3">
      <c r="J115505"/>
    </row>
    <row r="115506" spans="10:10" x14ac:dyDescent="0.3">
      <c r="J115506"/>
    </row>
    <row r="115507" spans="10:10" x14ac:dyDescent="0.3">
      <c r="J115507"/>
    </row>
    <row r="115508" spans="10:10" x14ac:dyDescent="0.3">
      <c r="J115508"/>
    </row>
    <row r="115509" spans="10:10" x14ac:dyDescent="0.3">
      <c r="J115509"/>
    </row>
    <row r="115510" spans="10:10" x14ac:dyDescent="0.3">
      <c r="J115510"/>
    </row>
    <row r="115511" spans="10:10" x14ac:dyDescent="0.3">
      <c r="J115511"/>
    </row>
    <row r="115512" spans="10:10" x14ac:dyDescent="0.3">
      <c r="J115512"/>
    </row>
    <row r="115513" spans="10:10" x14ac:dyDescent="0.3">
      <c r="J115513"/>
    </row>
    <row r="115514" spans="10:10" x14ac:dyDescent="0.3">
      <c r="J115514"/>
    </row>
    <row r="115515" spans="10:10" x14ac:dyDescent="0.3">
      <c r="J115515"/>
    </row>
    <row r="115516" spans="10:10" x14ac:dyDescent="0.3">
      <c r="J115516"/>
    </row>
    <row r="115517" spans="10:10" x14ac:dyDescent="0.3">
      <c r="J115517"/>
    </row>
    <row r="115518" spans="10:10" x14ac:dyDescent="0.3">
      <c r="J115518"/>
    </row>
    <row r="115519" spans="10:10" x14ac:dyDescent="0.3">
      <c r="J115519"/>
    </row>
    <row r="115520" spans="10:10" x14ac:dyDescent="0.3">
      <c r="J115520"/>
    </row>
    <row r="115521" spans="10:10" x14ac:dyDescent="0.3">
      <c r="J115521"/>
    </row>
    <row r="115522" spans="10:10" x14ac:dyDescent="0.3">
      <c r="J115522"/>
    </row>
    <row r="115523" spans="10:10" x14ac:dyDescent="0.3">
      <c r="J115523"/>
    </row>
    <row r="115524" spans="10:10" x14ac:dyDescent="0.3">
      <c r="J115524"/>
    </row>
    <row r="115525" spans="10:10" x14ac:dyDescent="0.3">
      <c r="J115525"/>
    </row>
    <row r="115526" spans="10:10" x14ac:dyDescent="0.3">
      <c r="J115526"/>
    </row>
    <row r="115527" spans="10:10" x14ac:dyDescent="0.3">
      <c r="J115527"/>
    </row>
    <row r="115528" spans="10:10" x14ac:dyDescent="0.3">
      <c r="J115528"/>
    </row>
    <row r="115529" spans="10:10" x14ac:dyDescent="0.3">
      <c r="J115529"/>
    </row>
    <row r="115530" spans="10:10" x14ac:dyDescent="0.3">
      <c r="J115530"/>
    </row>
    <row r="115531" spans="10:10" x14ac:dyDescent="0.3">
      <c r="J115531"/>
    </row>
    <row r="115532" spans="10:10" x14ac:dyDescent="0.3">
      <c r="J115532"/>
    </row>
    <row r="115533" spans="10:10" x14ac:dyDescent="0.3">
      <c r="J115533"/>
    </row>
    <row r="115534" spans="10:10" x14ac:dyDescent="0.3">
      <c r="J115534"/>
    </row>
    <row r="115535" spans="10:10" x14ac:dyDescent="0.3">
      <c r="J115535"/>
    </row>
    <row r="115536" spans="10:10" x14ac:dyDescent="0.3">
      <c r="J115536"/>
    </row>
    <row r="115537" spans="10:10" x14ac:dyDescent="0.3">
      <c r="J115537"/>
    </row>
    <row r="115538" spans="10:10" x14ac:dyDescent="0.3">
      <c r="J115538"/>
    </row>
    <row r="115539" spans="10:10" x14ac:dyDescent="0.3">
      <c r="J115539"/>
    </row>
    <row r="115540" spans="10:10" x14ac:dyDescent="0.3">
      <c r="J115540"/>
    </row>
    <row r="115541" spans="10:10" x14ac:dyDescent="0.3">
      <c r="J115541"/>
    </row>
    <row r="115542" spans="10:10" x14ac:dyDescent="0.3">
      <c r="J115542"/>
    </row>
    <row r="115543" spans="10:10" x14ac:dyDescent="0.3">
      <c r="J115543"/>
    </row>
    <row r="115544" spans="10:10" x14ac:dyDescent="0.3">
      <c r="J115544"/>
    </row>
    <row r="115545" spans="10:10" x14ac:dyDescent="0.3">
      <c r="J115545"/>
    </row>
    <row r="115546" spans="10:10" x14ac:dyDescent="0.3">
      <c r="J115546"/>
    </row>
    <row r="115547" spans="10:10" x14ac:dyDescent="0.3">
      <c r="J115547"/>
    </row>
    <row r="115548" spans="10:10" x14ac:dyDescent="0.3">
      <c r="J115548"/>
    </row>
    <row r="115549" spans="10:10" x14ac:dyDescent="0.3">
      <c r="J115549"/>
    </row>
    <row r="115550" spans="10:10" x14ac:dyDescent="0.3">
      <c r="J115550"/>
    </row>
    <row r="115551" spans="10:10" x14ac:dyDescent="0.3">
      <c r="J115551"/>
    </row>
    <row r="115552" spans="10:10" x14ac:dyDescent="0.3">
      <c r="J115552"/>
    </row>
    <row r="115553" spans="10:10" x14ac:dyDescent="0.3">
      <c r="J115553"/>
    </row>
    <row r="115554" spans="10:10" x14ac:dyDescent="0.3">
      <c r="J115554"/>
    </row>
    <row r="115555" spans="10:10" x14ac:dyDescent="0.3">
      <c r="J115555"/>
    </row>
    <row r="115556" spans="10:10" x14ac:dyDescent="0.3">
      <c r="J115556"/>
    </row>
    <row r="115557" spans="10:10" x14ac:dyDescent="0.3">
      <c r="J115557"/>
    </row>
    <row r="115558" spans="10:10" x14ac:dyDescent="0.3">
      <c r="J115558"/>
    </row>
    <row r="115559" spans="10:10" x14ac:dyDescent="0.3">
      <c r="J115559"/>
    </row>
    <row r="115560" spans="10:10" x14ac:dyDescent="0.3">
      <c r="J115560"/>
    </row>
    <row r="115561" spans="10:10" x14ac:dyDescent="0.3">
      <c r="J115561"/>
    </row>
    <row r="115562" spans="10:10" x14ac:dyDescent="0.3">
      <c r="J115562"/>
    </row>
    <row r="115563" spans="10:10" x14ac:dyDescent="0.3">
      <c r="J115563"/>
    </row>
    <row r="115564" spans="10:10" x14ac:dyDescent="0.3">
      <c r="J115564"/>
    </row>
    <row r="115565" spans="10:10" x14ac:dyDescent="0.3">
      <c r="J115565"/>
    </row>
    <row r="115566" spans="10:10" x14ac:dyDescent="0.3">
      <c r="J115566"/>
    </row>
    <row r="115567" spans="10:10" x14ac:dyDescent="0.3">
      <c r="J115567"/>
    </row>
    <row r="115568" spans="10:10" x14ac:dyDescent="0.3">
      <c r="J115568"/>
    </row>
    <row r="115569" spans="10:10" x14ac:dyDescent="0.3">
      <c r="J115569"/>
    </row>
    <row r="115570" spans="10:10" x14ac:dyDescent="0.3">
      <c r="J115570"/>
    </row>
    <row r="115571" spans="10:10" x14ac:dyDescent="0.3">
      <c r="J115571"/>
    </row>
    <row r="115572" spans="10:10" x14ac:dyDescent="0.3">
      <c r="J115572"/>
    </row>
    <row r="115573" spans="10:10" x14ac:dyDescent="0.3">
      <c r="J115573"/>
    </row>
    <row r="115574" spans="10:10" x14ac:dyDescent="0.3">
      <c r="J115574"/>
    </row>
    <row r="115575" spans="10:10" x14ac:dyDescent="0.3">
      <c r="J115575"/>
    </row>
    <row r="115576" spans="10:10" x14ac:dyDescent="0.3">
      <c r="J115576"/>
    </row>
    <row r="115577" spans="10:10" x14ac:dyDescent="0.3">
      <c r="J115577"/>
    </row>
    <row r="115578" spans="10:10" x14ac:dyDescent="0.3">
      <c r="J115578"/>
    </row>
    <row r="115579" spans="10:10" x14ac:dyDescent="0.3">
      <c r="J115579"/>
    </row>
    <row r="115580" spans="10:10" x14ac:dyDescent="0.3">
      <c r="J115580"/>
    </row>
    <row r="115581" spans="10:10" x14ac:dyDescent="0.3">
      <c r="J115581"/>
    </row>
    <row r="115582" spans="10:10" x14ac:dyDescent="0.3">
      <c r="J115582"/>
    </row>
    <row r="115583" spans="10:10" x14ac:dyDescent="0.3">
      <c r="J115583"/>
    </row>
    <row r="115584" spans="10:10" x14ac:dyDescent="0.3">
      <c r="J115584"/>
    </row>
    <row r="115585" spans="10:10" x14ac:dyDescent="0.3">
      <c r="J115585"/>
    </row>
    <row r="115586" spans="10:10" x14ac:dyDescent="0.3">
      <c r="J115586"/>
    </row>
    <row r="115587" spans="10:10" x14ac:dyDescent="0.3">
      <c r="J115587"/>
    </row>
    <row r="115588" spans="10:10" x14ac:dyDescent="0.3">
      <c r="J115588"/>
    </row>
    <row r="115589" spans="10:10" x14ac:dyDescent="0.3">
      <c r="J115589"/>
    </row>
    <row r="115590" spans="10:10" x14ac:dyDescent="0.3">
      <c r="J115590"/>
    </row>
    <row r="115591" spans="10:10" x14ac:dyDescent="0.3">
      <c r="J115591"/>
    </row>
    <row r="115592" spans="10:10" x14ac:dyDescent="0.3">
      <c r="J115592"/>
    </row>
    <row r="115593" spans="10:10" x14ac:dyDescent="0.3">
      <c r="J115593"/>
    </row>
    <row r="115594" spans="10:10" x14ac:dyDescent="0.3">
      <c r="J115594"/>
    </row>
    <row r="115595" spans="10:10" x14ac:dyDescent="0.3">
      <c r="J115595"/>
    </row>
    <row r="115596" spans="10:10" x14ac:dyDescent="0.3">
      <c r="J115596"/>
    </row>
    <row r="115597" spans="10:10" x14ac:dyDescent="0.3">
      <c r="J115597"/>
    </row>
    <row r="115598" spans="10:10" x14ac:dyDescent="0.3">
      <c r="J115598"/>
    </row>
    <row r="115599" spans="10:10" x14ac:dyDescent="0.3">
      <c r="J115599"/>
    </row>
    <row r="115600" spans="10:10" x14ac:dyDescent="0.3">
      <c r="J115600"/>
    </row>
    <row r="115601" spans="10:10" x14ac:dyDescent="0.3">
      <c r="J115601"/>
    </row>
    <row r="115602" spans="10:10" x14ac:dyDescent="0.3">
      <c r="J115602"/>
    </row>
    <row r="115603" spans="10:10" x14ac:dyDescent="0.3">
      <c r="J115603"/>
    </row>
    <row r="115604" spans="10:10" x14ac:dyDescent="0.3">
      <c r="J115604"/>
    </row>
    <row r="115605" spans="10:10" x14ac:dyDescent="0.3">
      <c r="J115605"/>
    </row>
    <row r="115606" spans="10:10" x14ac:dyDescent="0.3">
      <c r="J115606"/>
    </row>
    <row r="115607" spans="10:10" x14ac:dyDescent="0.3">
      <c r="J115607"/>
    </row>
    <row r="115608" spans="10:10" x14ac:dyDescent="0.3">
      <c r="J115608"/>
    </row>
    <row r="115609" spans="10:10" x14ac:dyDescent="0.3">
      <c r="J115609"/>
    </row>
    <row r="115610" spans="10:10" x14ac:dyDescent="0.3">
      <c r="J115610"/>
    </row>
    <row r="115611" spans="10:10" x14ac:dyDescent="0.3">
      <c r="J115611"/>
    </row>
    <row r="115612" spans="10:10" x14ac:dyDescent="0.3">
      <c r="J115612"/>
    </row>
    <row r="115613" spans="10:10" x14ac:dyDescent="0.3">
      <c r="J115613"/>
    </row>
    <row r="115614" spans="10:10" x14ac:dyDescent="0.3">
      <c r="J115614"/>
    </row>
    <row r="115615" spans="10:10" x14ac:dyDescent="0.3">
      <c r="J115615"/>
    </row>
    <row r="115616" spans="10:10" x14ac:dyDescent="0.3">
      <c r="J115616"/>
    </row>
    <row r="115617" spans="10:10" x14ac:dyDescent="0.3">
      <c r="J115617"/>
    </row>
    <row r="115618" spans="10:10" x14ac:dyDescent="0.3">
      <c r="J115618"/>
    </row>
    <row r="115619" spans="10:10" x14ac:dyDescent="0.3">
      <c r="J115619"/>
    </row>
    <row r="115620" spans="10:10" x14ac:dyDescent="0.3">
      <c r="J115620"/>
    </row>
    <row r="115621" spans="10:10" x14ac:dyDescent="0.3">
      <c r="J115621"/>
    </row>
    <row r="115622" spans="10:10" x14ac:dyDescent="0.3">
      <c r="J115622"/>
    </row>
    <row r="115623" spans="10:10" x14ac:dyDescent="0.3">
      <c r="J115623"/>
    </row>
    <row r="115624" spans="10:10" x14ac:dyDescent="0.3">
      <c r="J115624"/>
    </row>
    <row r="115625" spans="10:10" x14ac:dyDescent="0.3">
      <c r="J115625"/>
    </row>
    <row r="115626" spans="10:10" x14ac:dyDescent="0.3">
      <c r="J115626"/>
    </row>
    <row r="115627" spans="10:10" x14ac:dyDescent="0.3">
      <c r="J115627"/>
    </row>
    <row r="115628" spans="10:10" x14ac:dyDescent="0.3">
      <c r="J115628"/>
    </row>
    <row r="115629" spans="10:10" x14ac:dyDescent="0.3">
      <c r="J115629"/>
    </row>
    <row r="115630" spans="10:10" x14ac:dyDescent="0.3">
      <c r="J115630"/>
    </row>
    <row r="115631" spans="10:10" x14ac:dyDescent="0.3">
      <c r="J115631"/>
    </row>
    <row r="115632" spans="10:10" x14ac:dyDescent="0.3">
      <c r="J115632"/>
    </row>
    <row r="115633" spans="10:10" x14ac:dyDescent="0.3">
      <c r="J115633"/>
    </row>
    <row r="115634" spans="10:10" x14ac:dyDescent="0.3">
      <c r="J115634"/>
    </row>
    <row r="115635" spans="10:10" x14ac:dyDescent="0.3">
      <c r="J115635"/>
    </row>
    <row r="115636" spans="10:10" x14ac:dyDescent="0.3">
      <c r="J115636"/>
    </row>
    <row r="115637" spans="10:10" x14ac:dyDescent="0.3">
      <c r="J115637"/>
    </row>
    <row r="115638" spans="10:10" x14ac:dyDescent="0.3">
      <c r="J115638"/>
    </row>
    <row r="115639" spans="10:10" x14ac:dyDescent="0.3">
      <c r="J115639"/>
    </row>
    <row r="115640" spans="10:10" x14ac:dyDescent="0.3">
      <c r="J115640"/>
    </row>
    <row r="115641" spans="10:10" x14ac:dyDescent="0.3">
      <c r="J115641"/>
    </row>
    <row r="115642" spans="10:10" x14ac:dyDescent="0.3">
      <c r="J115642"/>
    </row>
    <row r="115643" spans="10:10" x14ac:dyDescent="0.3">
      <c r="J115643"/>
    </row>
    <row r="115644" spans="10:10" x14ac:dyDescent="0.3">
      <c r="J115644"/>
    </row>
    <row r="115645" spans="10:10" x14ac:dyDescent="0.3">
      <c r="J115645"/>
    </row>
    <row r="115646" spans="10:10" x14ac:dyDescent="0.3">
      <c r="J115646"/>
    </row>
    <row r="115647" spans="10:10" x14ac:dyDescent="0.3">
      <c r="J115647"/>
    </row>
    <row r="115648" spans="10:10" x14ac:dyDescent="0.3">
      <c r="J115648"/>
    </row>
    <row r="115649" spans="10:10" x14ac:dyDescent="0.3">
      <c r="J115649"/>
    </row>
    <row r="115650" spans="10:10" x14ac:dyDescent="0.3">
      <c r="J115650"/>
    </row>
    <row r="115651" spans="10:10" x14ac:dyDescent="0.3">
      <c r="J115651"/>
    </row>
    <row r="115652" spans="10:10" x14ac:dyDescent="0.3">
      <c r="J115652"/>
    </row>
    <row r="115653" spans="10:10" x14ac:dyDescent="0.3">
      <c r="J115653"/>
    </row>
    <row r="115654" spans="10:10" x14ac:dyDescent="0.3">
      <c r="J115654"/>
    </row>
    <row r="115655" spans="10:10" x14ac:dyDescent="0.3">
      <c r="J115655"/>
    </row>
    <row r="115656" spans="10:10" x14ac:dyDescent="0.3">
      <c r="J115656"/>
    </row>
    <row r="115657" spans="10:10" x14ac:dyDescent="0.3">
      <c r="J115657"/>
    </row>
    <row r="115658" spans="10:10" x14ac:dyDescent="0.3">
      <c r="J115658"/>
    </row>
    <row r="115659" spans="10:10" x14ac:dyDescent="0.3">
      <c r="J115659"/>
    </row>
    <row r="115660" spans="10:10" x14ac:dyDescent="0.3">
      <c r="J115660"/>
    </row>
    <row r="115661" spans="10:10" x14ac:dyDescent="0.3">
      <c r="J115661"/>
    </row>
    <row r="115662" spans="10:10" x14ac:dyDescent="0.3">
      <c r="J115662"/>
    </row>
    <row r="115663" spans="10:10" x14ac:dyDescent="0.3">
      <c r="J115663"/>
    </row>
    <row r="115664" spans="10:10" x14ac:dyDescent="0.3">
      <c r="J115664"/>
    </row>
    <row r="115665" spans="10:10" x14ac:dyDescent="0.3">
      <c r="J115665"/>
    </row>
    <row r="115666" spans="10:10" x14ac:dyDescent="0.3">
      <c r="J115666"/>
    </row>
    <row r="115667" spans="10:10" x14ac:dyDescent="0.3">
      <c r="J115667"/>
    </row>
    <row r="115668" spans="10:10" x14ac:dyDescent="0.3">
      <c r="J115668"/>
    </row>
    <row r="115669" spans="10:10" x14ac:dyDescent="0.3">
      <c r="J115669"/>
    </row>
    <row r="115670" spans="10:10" x14ac:dyDescent="0.3">
      <c r="J115670"/>
    </row>
    <row r="115671" spans="10:10" x14ac:dyDescent="0.3">
      <c r="J115671"/>
    </row>
    <row r="115672" spans="10:10" x14ac:dyDescent="0.3">
      <c r="J115672"/>
    </row>
    <row r="115673" spans="10:10" x14ac:dyDescent="0.3">
      <c r="J115673"/>
    </row>
    <row r="115674" spans="10:10" x14ac:dyDescent="0.3">
      <c r="J115674"/>
    </row>
    <row r="115675" spans="10:10" x14ac:dyDescent="0.3">
      <c r="J115675"/>
    </row>
    <row r="115676" spans="10:10" x14ac:dyDescent="0.3">
      <c r="J115676"/>
    </row>
    <row r="115677" spans="10:10" x14ac:dyDescent="0.3">
      <c r="J115677"/>
    </row>
    <row r="115678" spans="10:10" x14ac:dyDescent="0.3">
      <c r="J115678"/>
    </row>
    <row r="115679" spans="10:10" x14ac:dyDescent="0.3">
      <c r="J115679"/>
    </row>
    <row r="115680" spans="10:10" x14ac:dyDescent="0.3">
      <c r="J115680"/>
    </row>
    <row r="115681" spans="10:10" x14ac:dyDescent="0.3">
      <c r="J115681"/>
    </row>
    <row r="115682" spans="10:10" x14ac:dyDescent="0.3">
      <c r="J115682"/>
    </row>
    <row r="115683" spans="10:10" x14ac:dyDescent="0.3">
      <c r="J115683"/>
    </row>
    <row r="115684" spans="10:10" x14ac:dyDescent="0.3">
      <c r="J115684"/>
    </row>
    <row r="115685" spans="10:10" x14ac:dyDescent="0.3">
      <c r="J115685"/>
    </row>
    <row r="115686" spans="10:10" x14ac:dyDescent="0.3">
      <c r="J115686"/>
    </row>
    <row r="115687" spans="10:10" x14ac:dyDescent="0.3">
      <c r="J115687"/>
    </row>
    <row r="115688" spans="10:10" x14ac:dyDescent="0.3">
      <c r="J115688"/>
    </row>
    <row r="115689" spans="10:10" x14ac:dyDescent="0.3">
      <c r="J115689"/>
    </row>
    <row r="115690" spans="10:10" x14ac:dyDescent="0.3">
      <c r="J115690"/>
    </row>
    <row r="115691" spans="10:10" x14ac:dyDescent="0.3">
      <c r="J115691"/>
    </row>
    <row r="115692" spans="10:10" x14ac:dyDescent="0.3">
      <c r="J115692"/>
    </row>
    <row r="115693" spans="10:10" x14ac:dyDescent="0.3">
      <c r="J115693"/>
    </row>
    <row r="115694" spans="10:10" x14ac:dyDescent="0.3">
      <c r="J115694"/>
    </row>
    <row r="115695" spans="10:10" x14ac:dyDescent="0.3">
      <c r="J115695"/>
    </row>
    <row r="115696" spans="10:10" x14ac:dyDescent="0.3">
      <c r="J115696"/>
    </row>
    <row r="115697" spans="10:10" x14ac:dyDescent="0.3">
      <c r="J115697"/>
    </row>
    <row r="115698" spans="10:10" x14ac:dyDescent="0.3">
      <c r="J115698"/>
    </row>
    <row r="115699" spans="10:10" x14ac:dyDescent="0.3">
      <c r="J115699"/>
    </row>
    <row r="115700" spans="10:10" x14ac:dyDescent="0.3">
      <c r="J115700"/>
    </row>
    <row r="115701" spans="10:10" x14ac:dyDescent="0.3">
      <c r="J115701"/>
    </row>
    <row r="115702" spans="10:10" x14ac:dyDescent="0.3">
      <c r="J115702"/>
    </row>
    <row r="115703" spans="10:10" x14ac:dyDescent="0.3">
      <c r="J115703"/>
    </row>
    <row r="115704" spans="10:10" x14ac:dyDescent="0.3">
      <c r="J115704"/>
    </row>
    <row r="115705" spans="10:10" x14ac:dyDescent="0.3">
      <c r="J115705"/>
    </row>
    <row r="115706" spans="10:10" x14ac:dyDescent="0.3">
      <c r="J115706"/>
    </row>
    <row r="115707" spans="10:10" x14ac:dyDescent="0.3">
      <c r="J115707"/>
    </row>
    <row r="115708" spans="10:10" x14ac:dyDescent="0.3">
      <c r="J115708"/>
    </row>
    <row r="115709" spans="10:10" x14ac:dyDescent="0.3">
      <c r="J115709"/>
    </row>
    <row r="115710" spans="10:10" x14ac:dyDescent="0.3">
      <c r="J115710"/>
    </row>
    <row r="115711" spans="10:10" x14ac:dyDescent="0.3">
      <c r="J115711"/>
    </row>
    <row r="115712" spans="10:10" x14ac:dyDescent="0.3">
      <c r="J115712"/>
    </row>
    <row r="115713" spans="10:10" x14ac:dyDescent="0.3">
      <c r="J115713"/>
    </row>
    <row r="115714" spans="10:10" x14ac:dyDescent="0.3">
      <c r="J115714"/>
    </row>
    <row r="115715" spans="10:10" x14ac:dyDescent="0.3">
      <c r="J115715"/>
    </row>
    <row r="115716" spans="10:10" x14ac:dyDescent="0.3">
      <c r="J115716"/>
    </row>
    <row r="115717" spans="10:10" x14ac:dyDescent="0.3">
      <c r="J115717"/>
    </row>
    <row r="115718" spans="10:10" x14ac:dyDescent="0.3">
      <c r="J115718"/>
    </row>
    <row r="115719" spans="10:10" x14ac:dyDescent="0.3">
      <c r="J115719"/>
    </row>
    <row r="115720" spans="10:10" x14ac:dyDescent="0.3">
      <c r="J115720"/>
    </row>
    <row r="115721" spans="10:10" x14ac:dyDescent="0.3">
      <c r="J115721"/>
    </row>
    <row r="115722" spans="10:10" x14ac:dyDescent="0.3">
      <c r="J115722"/>
    </row>
    <row r="115723" spans="10:10" x14ac:dyDescent="0.3">
      <c r="J115723"/>
    </row>
    <row r="115724" spans="10:10" x14ac:dyDescent="0.3">
      <c r="J115724"/>
    </row>
    <row r="115725" spans="10:10" x14ac:dyDescent="0.3">
      <c r="J115725"/>
    </row>
    <row r="115726" spans="10:10" x14ac:dyDescent="0.3">
      <c r="J115726"/>
    </row>
    <row r="115727" spans="10:10" x14ac:dyDescent="0.3">
      <c r="J115727"/>
    </row>
    <row r="115728" spans="10:10" x14ac:dyDescent="0.3">
      <c r="J115728"/>
    </row>
    <row r="115729" spans="10:10" x14ac:dyDescent="0.3">
      <c r="J115729"/>
    </row>
    <row r="115730" spans="10:10" x14ac:dyDescent="0.3">
      <c r="J115730"/>
    </row>
    <row r="115731" spans="10:10" x14ac:dyDescent="0.3">
      <c r="J115731"/>
    </row>
    <row r="115732" spans="10:10" x14ac:dyDescent="0.3">
      <c r="J115732"/>
    </row>
    <row r="115733" spans="10:10" x14ac:dyDescent="0.3">
      <c r="J115733"/>
    </row>
    <row r="115734" spans="10:10" x14ac:dyDescent="0.3">
      <c r="J115734"/>
    </row>
    <row r="115735" spans="10:10" x14ac:dyDescent="0.3">
      <c r="J115735"/>
    </row>
    <row r="115736" spans="10:10" x14ac:dyDescent="0.3">
      <c r="J115736"/>
    </row>
    <row r="115737" spans="10:10" x14ac:dyDescent="0.3">
      <c r="J115737"/>
    </row>
    <row r="115738" spans="10:10" x14ac:dyDescent="0.3">
      <c r="J115738"/>
    </row>
    <row r="115739" spans="10:10" x14ac:dyDescent="0.3">
      <c r="J115739"/>
    </row>
    <row r="115740" spans="10:10" x14ac:dyDescent="0.3">
      <c r="J115740"/>
    </row>
    <row r="115741" spans="10:10" x14ac:dyDescent="0.3">
      <c r="J115741"/>
    </row>
    <row r="115742" spans="10:10" x14ac:dyDescent="0.3">
      <c r="J115742"/>
    </row>
    <row r="115743" spans="10:10" x14ac:dyDescent="0.3">
      <c r="J115743"/>
    </row>
    <row r="115744" spans="10:10" x14ac:dyDescent="0.3">
      <c r="J115744"/>
    </row>
    <row r="115745" spans="10:10" x14ac:dyDescent="0.3">
      <c r="J115745"/>
    </row>
    <row r="115746" spans="10:10" x14ac:dyDescent="0.3">
      <c r="J115746"/>
    </row>
    <row r="115747" spans="10:10" x14ac:dyDescent="0.3">
      <c r="J115747"/>
    </row>
    <row r="115748" spans="10:10" x14ac:dyDescent="0.3">
      <c r="J115748"/>
    </row>
    <row r="115749" spans="10:10" x14ac:dyDescent="0.3">
      <c r="J115749"/>
    </row>
    <row r="115750" spans="10:10" x14ac:dyDescent="0.3">
      <c r="J115750"/>
    </row>
    <row r="115751" spans="10:10" x14ac:dyDescent="0.3">
      <c r="J115751"/>
    </row>
    <row r="115752" spans="10:10" x14ac:dyDescent="0.3">
      <c r="J115752"/>
    </row>
    <row r="115753" spans="10:10" x14ac:dyDescent="0.3">
      <c r="J115753"/>
    </row>
    <row r="115754" spans="10:10" x14ac:dyDescent="0.3">
      <c r="J115754"/>
    </row>
    <row r="115755" spans="10:10" x14ac:dyDescent="0.3">
      <c r="J115755"/>
    </row>
    <row r="115756" spans="10:10" x14ac:dyDescent="0.3">
      <c r="J115756"/>
    </row>
    <row r="115757" spans="10:10" x14ac:dyDescent="0.3">
      <c r="J115757"/>
    </row>
    <row r="115758" spans="10:10" x14ac:dyDescent="0.3">
      <c r="J115758"/>
    </row>
    <row r="115759" spans="10:10" x14ac:dyDescent="0.3">
      <c r="J115759"/>
    </row>
    <row r="115760" spans="10:10" x14ac:dyDescent="0.3">
      <c r="J115760"/>
    </row>
    <row r="115761" spans="10:10" x14ac:dyDescent="0.3">
      <c r="J115761"/>
    </row>
    <row r="115762" spans="10:10" x14ac:dyDescent="0.3">
      <c r="J115762"/>
    </row>
    <row r="115763" spans="10:10" x14ac:dyDescent="0.3">
      <c r="J115763"/>
    </row>
    <row r="115764" spans="10:10" x14ac:dyDescent="0.3">
      <c r="J115764"/>
    </row>
    <row r="115765" spans="10:10" x14ac:dyDescent="0.3">
      <c r="J115765"/>
    </row>
    <row r="115766" spans="10:10" x14ac:dyDescent="0.3">
      <c r="J115766"/>
    </row>
    <row r="115767" spans="10:10" x14ac:dyDescent="0.3">
      <c r="J115767"/>
    </row>
    <row r="115768" spans="10:10" x14ac:dyDescent="0.3">
      <c r="J115768"/>
    </row>
    <row r="115769" spans="10:10" x14ac:dyDescent="0.3">
      <c r="J115769"/>
    </row>
    <row r="115770" spans="10:10" x14ac:dyDescent="0.3">
      <c r="J115770"/>
    </row>
    <row r="115771" spans="10:10" x14ac:dyDescent="0.3">
      <c r="J115771"/>
    </row>
    <row r="115772" spans="10:10" x14ac:dyDescent="0.3">
      <c r="J115772"/>
    </row>
    <row r="115773" spans="10:10" x14ac:dyDescent="0.3">
      <c r="J115773"/>
    </row>
    <row r="115774" spans="10:10" x14ac:dyDescent="0.3">
      <c r="J115774"/>
    </row>
    <row r="115775" spans="10:10" x14ac:dyDescent="0.3">
      <c r="J115775"/>
    </row>
    <row r="115776" spans="10:10" x14ac:dyDescent="0.3">
      <c r="J115776"/>
    </row>
    <row r="115777" spans="10:10" x14ac:dyDescent="0.3">
      <c r="J115777"/>
    </row>
    <row r="115778" spans="10:10" x14ac:dyDescent="0.3">
      <c r="J115778"/>
    </row>
    <row r="115779" spans="10:10" x14ac:dyDescent="0.3">
      <c r="J115779"/>
    </row>
    <row r="115780" spans="10:10" x14ac:dyDescent="0.3">
      <c r="J115780"/>
    </row>
    <row r="115781" spans="10:10" x14ac:dyDescent="0.3">
      <c r="J115781"/>
    </row>
    <row r="115782" spans="10:10" x14ac:dyDescent="0.3">
      <c r="J115782"/>
    </row>
    <row r="115783" spans="10:10" x14ac:dyDescent="0.3">
      <c r="J115783"/>
    </row>
    <row r="115784" spans="10:10" x14ac:dyDescent="0.3">
      <c r="J115784"/>
    </row>
    <row r="115785" spans="10:10" x14ac:dyDescent="0.3">
      <c r="J115785"/>
    </row>
    <row r="115786" spans="10:10" x14ac:dyDescent="0.3">
      <c r="J115786"/>
    </row>
    <row r="115787" spans="10:10" x14ac:dyDescent="0.3">
      <c r="J115787"/>
    </row>
    <row r="115788" spans="10:10" x14ac:dyDescent="0.3">
      <c r="J115788"/>
    </row>
    <row r="115789" spans="10:10" x14ac:dyDescent="0.3">
      <c r="J115789"/>
    </row>
    <row r="115790" spans="10:10" x14ac:dyDescent="0.3">
      <c r="J115790"/>
    </row>
    <row r="115791" spans="10:10" x14ac:dyDescent="0.3">
      <c r="J115791"/>
    </row>
    <row r="115792" spans="10:10" x14ac:dyDescent="0.3">
      <c r="J115792"/>
    </row>
    <row r="115793" spans="10:10" x14ac:dyDescent="0.3">
      <c r="J115793"/>
    </row>
    <row r="115794" spans="10:10" x14ac:dyDescent="0.3">
      <c r="J115794"/>
    </row>
    <row r="115795" spans="10:10" x14ac:dyDescent="0.3">
      <c r="J115795"/>
    </row>
    <row r="115796" spans="10:10" x14ac:dyDescent="0.3">
      <c r="J115796"/>
    </row>
    <row r="115797" spans="10:10" x14ac:dyDescent="0.3">
      <c r="J115797"/>
    </row>
    <row r="115798" spans="10:10" x14ac:dyDescent="0.3">
      <c r="J115798"/>
    </row>
    <row r="115799" spans="10:10" x14ac:dyDescent="0.3">
      <c r="J115799"/>
    </row>
    <row r="115800" spans="10:10" x14ac:dyDescent="0.3">
      <c r="J115800"/>
    </row>
    <row r="115801" spans="10:10" x14ac:dyDescent="0.3">
      <c r="J115801"/>
    </row>
    <row r="115802" spans="10:10" x14ac:dyDescent="0.3">
      <c r="J115802"/>
    </row>
    <row r="115803" spans="10:10" x14ac:dyDescent="0.3">
      <c r="J115803"/>
    </row>
    <row r="115804" spans="10:10" x14ac:dyDescent="0.3">
      <c r="J115804"/>
    </row>
    <row r="115805" spans="10:10" x14ac:dyDescent="0.3">
      <c r="J115805"/>
    </row>
    <row r="115806" spans="10:10" x14ac:dyDescent="0.3">
      <c r="J115806"/>
    </row>
    <row r="115807" spans="10:10" x14ac:dyDescent="0.3">
      <c r="J115807"/>
    </row>
    <row r="115808" spans="10:10" x14ac:dyDescent="0.3">
      <c r="J115808"/>
    </row>
    <row r="115809" spans="10:10" x14ac:dyDescent="0.3">
      <c r="J115809"/>
    </row>
    <row r="115810" spans="10:10" x14ac:dyDescent="0.3">
      <c r="J115810"/>
    </row>
    <row r="115811" spans="10:10" x14ac:dyDescent="0.3">
      <c r="J115811"/>
    </row>
    <row r="115812" spans="10:10" x14ac:dyDescent="0.3">
      <c r="J115812"/>
    </row>
    <row r="115813" spans="10:10" x14ac:dyDescent="0.3">
      <c r="J115813"/>
    </row>
    <row r="115814" spans="10:10" x14ac:dyDescent="0.3">
      <c r="J115814"/>
    </row>
    <row r="115815" spans="10:10" x14ac:dyDescent="0.3">
      <c r="J115815"/>
    </row>
    <row r="115816" spans="10:10" x14ac:dyDescent="0.3">
      <c r="J115816"/>
    </row>
    <row r="115817" spans="10:10" x14ac:dyDescent="0.3">
      <c r="J115817"/>
    </row>
    <row r="115818" spans="10:10" x14ac:dyDescent="0.3">
      <c r="J115818"/>
    </row>
    <row r="115819" spans="10:10" x14ac:dyDescent="0.3">
      <c r="J115819"/>
    </row>
    <row r="115820" spans="10:10" x14ac:dyDescent="0.3">
      <c r="J115820"/>
    </row>
    <row r="115821" spans="10:10" x14ac:dyDescent="0.3">
      <c r="J115821"/>
    </row>
    <row r="115822" spans="10:10" x14ac:dyDescent="0.3">
      <c r="J115822"/>
    </row>
    <row r="115823" spans="10:10" x14ac:dyDescent="0.3">
      <c r="J115823"/>
    </row>
    <row r="115824" spans="10:10" x14ac:dyDescent="0.3">
      <c r="J115824"/>
    </row>
    <row r="115825" spans="10:10" x14ac:dyDescent="0.3">
      <c r="J115825"/>
    </row>
    <row r="115826" spans="10:10" x14ac:dyDescent="0.3">
      <c r="J115826"/>
    </row>
    <row r="115827" spans="10:10" x14ac:dyDescent="0.3">
      <c r="J115827"/>
    </row>
    <row r="115828" spans="10:10" x14ac:dyDescent="0.3">
      <c r="J115828"/>
    </row>
    <row r="115829" spans="10:10" x14ac:dyDescent="0.3">
      <c r="J115829"/>
    </row>
    <row r="115830" spans="10:10" x14ac:dyDescent="0.3">
      <c r="J115830"/>
    </row>
    <row r="115831" spans="10:10" x14ac:dyDescent="0.3">
      <c r="J115831"/>
    </row>
    <row r="115832" spans="10:10" x14ac:dyDescent="0.3">
      <c r="J115832"/>
    </row>
    <row r="115833" spans="10:10" x14ac:dyDescent="0.3">
      <c r="J115833"/>
    </row>
    <row r="115834" spans="10:10" x14ac:dyDescent="0.3">
      <c r="J115834"/>
    </row>
    <row r="115835" spans="10:10" x14ac:dyDescent="0.3">
      <c r="J115835"/>
    </row>
    <row r="115836" spans="10:10" x14ac:dyDescent="0.3">
      <c r="J115836"/>
    </row>
    <row r="115837" spans="10:10" x14ac:dyDescent="0.3">
      <c r="J115837"/>
    </row>
    <row r="115838" spans="10:10" x14ac:dyDescent="0.3">
      <c r="J115838"/>
    </row>
    <row r="115839" spans="10:10" x14ac:dyDescent="0.3">
      <c r="J115839"/>
    </row>
    <row r="115840" spans="10:10" x14ac:dyDescent="0.3">
      <c r="J115840"/>
    </row>
    <row r="115841" spans="10:10" x14ac:dyDescent="0.3">
      <c r="J115841"/>
    </row>
    <row r="115842" spans="10:10" x14ac:dyDescent="0.3">
      <c r="J115842"/>
    </row>
    <row r="115843" spans="10:10" x14ac:dyDescent="0.3">
      <c r="J115843"/>
    </row>
    <row r="115844" spans="10:10" x14ac:dyDescent="0.3">
      <c r="J115844"/>
    </row>
    <row r="115845" spans="10:10" x14ac:dyDescent="0.3">
      <c r="J115845"/>
    </row>
    <row r="115846" spans="10:10" x14ac:dyDescent="0.3">
      <c r="J115846"/>
    </row>
    <row r="115847" spans="10:10" x14ac:dyDescent="0.3">
      <c r="J115847"/>
    </row>
    <row r="115848" spans="10:10" x14ac:dyDescent="0.3">
      <c r="J115848"/>
    </row>
    <row r="115849" spans="10:10" x14ac:dyDescent="0.3">
      <c r="J115849"/>
    </row>
    <row r="115850" spans="10:10" x14ac:dyDescent="0.3">
      <c r="J115850"/>
    </row>
    <row r="115851" spans="10:10" x14ac:dyDescent="0.3">
      <c r="J115851"/>
    </row>
    <row r="115852" spans="10:10" x14ac:dyDescent="0.3">
      <c r="J115852"/>
    </row>
    <row r="115853" spans="10:10" x14ac:dyDescent="0.3">
      <c r="J115853"/>
    </row>
    <row r="115854" spans="10:10" x14ac:dyDescent="0.3">
      <c r="J115854"/>
    </row>
    <row r="115855" spans="10:10" x14ac:dyDescent="0.3">
      <c r="J115855"/>
    </row>
    <row r="115856" spans="10:10" x14ac:dyDescent="0.3">
      <c r="J115856"/>
    </row>
    <row r="115857" spans="10:10" x14ac:dyDescent="0.3">
      <c r="J115857"/>
    </row>
    <row r="115858" spans="10:10" x14ac:dyDescent="0.3">
      <c r="J115858"/>
    </row>
    <row r="115859" spans="10:10" x14ac:dyDescent="0.3">
      <c r="J115859"/>
    </row>
    <row r="115860" spans="10:10" x14ac:dyDescent="0.3">
      <c r="J115860"/>
    </row>
    <row r="115861" spans="10:10" x14ac:dyDescent="0.3">
      <c r="J115861"/>
    </row>
    <row r="115862" spans="10:10" x14ac:dyDescent="0.3">
      <c r="J115862"/>
    </row>
    <row r="115863" spans="10:10" x14ac:dyDescent="0.3">
      <c r="J115863"/>
    </row>
    <row r="115864" spans="10:10" x14ac:dyDescent="0.3">
      <c r="J115864"/>
    </row>
    <row r="115865" spans="10:10" x14ac:dyDescent="0.3">
      <c r="J115865"/>
    </row>
    <row r="115866" spans="10:10" x14ac:dyDescent="0.3">
      <c r="J115866"/>
    </row>
    <row r="115867" spans="10:10" x14ac:dyDescent="0.3">
      <c r="J115867"/>
    </row>
    <row r="115868" spans="10:10" x14ac:dyDescent="0.3">
      <c r="J115868"/>
    </row>
    <row r="115869" spans="10:10" x14ac:dyDescent="0.3">
      <c r="J115869"/>
    </row>
    <row r="115870" spans="10:10" x14ac:dyDescent="0.3">
      <c r="J115870"/>
    </row>
    <row r="115871" spans="10:10" x14ac:dyDescent="0.3">
      <c r="J115871"/>
    </row>
    <row r="115872" spans="10:10" x14ac:dyDescent="0.3">
      <c r="J115872"/>
    </row>
    <row r="115873" spans="10:10" x14ac:dyDescent="0.3">
      <c r="J115873"/>
    </row>
    <row r="115874" spans="10:10" x14ac:dyDescent="0.3">
      <c r="J115874"/>
    </row>
    <row r="115875" spans="10:10" x14ac:dyDescent="0.3">
      <c r="J115875"/>
    </row>
    <row r="115876" spans="10:10" x14ac:dyDescent="0.3">
      <c r="J115876"/>
    </row>
    <row r="115877" spans="10:10" x14ac:dyDescent="0.3">
      <c r="J115877"/>
    </row>
    <row r="115878" spans="10:10" x14ac:dyDescent="0.3">
      <c r="J115878"/>
    </row>
    <row r="115879" spans="10:10" x14ac:dyDescent="0.3">
      <c r="J115879"/>
    </row>
    <row r="115880" spans="10:10" x14ac:dyDescent="0.3">
      <c r="J115880"/>
    </row>
    <row r="115881" spans="10:10" x14ac:dyDescent="0.3">
      <c r="J115881"/>
    </row>
    <row r="115882" spans="10:10" x14ac:dyDescent="0.3">
      <c r="J115882"/>
    </row>
    <row r="115883" spans="10:10" x14ac:dyDescent="0.3">
      <c r="J115883"/>
    </row>
    <row r="115884" spans="10:10" x14ac:dyDescent="0.3">
      <c r="J115884"/>
    </row>
    <row r="115885" spans="10:10" x14ac:dyDescent="0.3">
      <c r="J115885"/>
    </row>
    <row r="115886" spans="10:10" x14ac:dyDescent="0.3">
      <c r="J115886"/>
    </row>
    <row r="115887" spans="10:10" x14ac:dyDescent="0.3">
      <c r="J115887"/>
    </row>
    <row r="115888" spans="10:10" x14ac:dyDescent="0.3">
      <c r="J115888"/>
    </row>
    <row r="115889" spans="10:10" x14ac:dyDescent="0.3">
      <c r="J115889"/>
    </row>
    <row r="115890" spans="10:10" x14ac:dyDescent="0.3">
      <c r="J115890"/>
    </row>
    <row r="115891" spans="10:10" x14ac:dyDescent="0.3">
      <c r="J115891"/>
    </row>
    <row r="115892" spans="10:10" x14ac:dyDescent="0.3">
      <c r="J115892"/>
    </row>
    <row r="115893" spans="10:10" x14ac:dyDescent="0.3">
      <c r="J115893"/>
    </row>
    <row r="115894" spans="10:10" x14ac:dyDescent="0.3">
      <c r="J115894"/>
    </row>
    <row r="115895" spans="10:10" x14ac:dyDescent="0.3">
      <c r="J115895"/>
    </row>
    <row r="115896" spans="10:10" x14ac:dyDescent="0.3">
      <c r="J115896"/>
    </row>
    <row r="115897" spans="10:10" x14ac:dyDescent="0.3">
      <c r="J115897"/>
    </row>
    <row r="115898" spans="10:10" x14ac:dyDescent="0.3">
      <c r="J115898"/>
    </row>
    <row r="115899" spans="10:10" x14ac:dyDescent="0.3">
      <c r="J115899"/>
    </row>
    <row r="115900" spans="10:10" x14ac:dyDescent="0.3">
      <c r="J115900"/>
    </row>
    <row r="115901" spans="10:10" x14ac:dyDescent="0.3">
      <c r="J115901"/>
    </row>
    <row r="115902" spans="10:10" x14ac:dyDescent="0.3">
      <c r="J115902"/>
    </row>
    <row r="115903" spans="10:10" x14ac:dyDescent="0.3">
      <c r="J115903"/>
    </row>
    <row r="115904" spans="10:10" x14ac:dyDescent="0.3">
      <c r="J115904"/>
    </row>
    <row r="115905" spans="10:10" x14ac:dyDescent="0.3">
      <c r="J115905"/>
    </row>
    <row r="115906" spans="10:10" x14ac:dyDescent="0.3">
      <c r="J115906"/>
    </row>
    <row r="115907" spans="10:10" x14ac:dyDescent="0.3">
      <c r="J115907"/>
    </row>
    <row r="115908" spans="10:10" x14ac:dyDescent="0.3">
      <c r="J115908"/>
    </row>
    <row r="115909" spans="10:10" x14ac:dyDescent="0.3">
      <c r="J115909"/>
    </row>
    <row r="115910" spans="10:10" x14ac:dyDescent="0.3">
      <c r="J115910"/>
    </row>
    <row r="115911" spans="10:10" x14ac:dyDescent="0.3">
      <c r="J115911"/>
    </row>
    <row r="115912" spans="10:10" x14ac:dyDescent="0.3">
      <c r="J115912"/>
    </row>
    <row r="115913" spans="10:10" x14ac:dyDescent="0.3">
      <c r="J115913"/>
    </row>
    <row r="115914" spans="10:10" x14ac:dyDescent="0.3">
      <c r="J115914"/>
    </row>
    <row r="115915" spans="10:10" x14ac:dyDescent="0.3">
      <c r="J115915"/>
    </row>
    <row r="115916" spans="10:10" x14ac:dyDescent="0.3">
      <c r="J115916"/>
    </row>
    <row r="115917" spans="10:10" x14ac:dyDescent="0.3">
      <c r="J115917"/>
    </row>
    <row r="115918" spans="10:10" x14ac:dyDescent="0.3">
      <c r="J115918"/>
    </row>
    <row r="115919" spans="10:10" x14ac:dyDescent="0.3">
      <c r="J115919"/>
    </row>
    <row r="115920" spans="10:10" x14ac:dyDescent="0.3">
      <c r="J115920"/>
    </row>
    <row r="115921" spans="10:10" x14ac:dyDescent="0.3">
      <c r="J115921"/>
    </row>
    <row r="115922" spans="10:10" x14ac:dyDescent="0.3">
      <c r="J115922"/>
    </row>
    <row r="115923" spans="10:10" x14ac:dyDescent="0.3">
      <c r="J115923"/>
    </row>
    <row r="115924" spans="10:10" x14ac:dyDescent="0.3">
      <c r="J115924"/>
    </row>
    <row r="115925" spans="10:10" x14ac:dyDescent="0.3">
      <c r="J115925"/>
    </row>
    <row r="115926" spans="10:10" x14ac:dyDescent="0.3">
      <c r="J115926"/>
    </row>
    <row r="115927" spans="10:10" x14ac:dyDescent="0.3">
      <c r="J115927"/>
    </row>
    <row r="115928" spans="10:10" x14ac:dyDescent="0.3">
      <c r="J115928"/>
    </row>
    <row r="115929" spans="10:10" x14ac:dyDescent="0.3">
      <c r="J115929"/>
    </row>
    <row r="115930" spans="10:10" x14ac:dyDescent="0.3">
      <c r="J115930"/>
    </row>
    <row r="115931" spans="10:10" x14ac:dyDescent="0.3">
      <c r="J115931"/>
    </row>
    <row r="115932" spans="10:10" x14ac:dyDescent="0.3">
      <c r="J115932"/>
    </row>
    <row r="115933" spans="10:10" x14ac:dyDescent="0.3">
      <c r="J115933"/>
    </row>
    <row r="115934" spans="10:10" x14ac:dyDescent="0.3">
      <c r="J115934"/>
    </row>
    <row r="115935" spans="10:10" x14ac:dyDescent="0.3">
      <c r="J115935"/>
    </row>
    <row r="115936" spans="10:10" x14ac:dyDescent="0.3">
      <c r="J115936"/>
    </row>
    <row r="115937" spans="10:10" x14ac:dyDescent="0.3">
      <c r="J115937"/>
    </row>
    <row r="115938" spans="10:10" x14ac:dyDescent="0.3">
      <c r="J115938"/>
    </row>
    <row r="115939" spans="10:10" x14ac:dyDescent="0.3">
      <c r="J115939"/>
    </row>
    <row r="115940" spans="10:10" x14ac:dyDescent="0.3">
      <c r="J115940"/>
    </row>
    <row r="115941" spans="10:10" x14ac:dyDescent="0.3">
      <c r="J115941"/>
    </row>
    <row r="115942" spans="10:10" x14ac:dyDescent="0.3">
      <c r="J115942"/>
    </row>
    <row r="115943" spans="10:10" x14ac:dyDescent="0.3">
      <c r="J115943"/>
    </row>
    <row r="115944" spans="10:10" x14ac:dyDescent="0.3">
      <c r="J115944"/>
    </row>
    <row r="115945" spans="10:10" x14ac:dyDescent="0.3">
      <c r="J115945"/>
    </row>
    <row r="115946" spans="10:10" x14ac:dyDescent="0.3">
      <c r="J115946"/>
    </row>
    <row r="115947" spans="10:10" x14ac:dyDescent="0.3">
      <c r="J115947"/>
    </row>
    <row r="115948" spans="10:10" x14ac:dyDescent="0.3">
      <c r="J115948"/>
    </row>
    <row r="115949" spans="10:10" x14ac:dyDescent="0.3">
      <c r="J115949"/>
    </row>
    <row r="115950" spans="10:10" x14ac:dyDescent="0.3">
      <c r="J115950"/>
    </row>
    <row r="115951" spans="10:10" x14ac:dyDescent="0.3">
      <c r="J115951"/>
    </row>
    <row r="115952" spans="10:10" x14ac:dyDescent="0.3">
      <c r="J115952"/>
    </row>
    <row r="115953" spans="10:10" x14ac:dyDescent="0.3">
      <c r="J115953"/>
    </row>
    <row r="115954" spans="10:10" x14ac:dyDescent="0.3">
      <c r="J115954"/>
    </row>
    <row r="115955" spans="10:10" x14ac:dyDescent="0.3">
      <c r="J115955"/>
    </row>
    <row r="115956" spans="10:10" x14ac:dyDescent="0.3">
      <c r="J115956"/>
    </row>
    <row r="115957" spans="10:10" x14ac:dyDescent="0.3">
      <c r="J115957"/>
    </row>
    <row r="115958" spans="10:10" x14ac:dyDescent="0.3">
      <c r="J115958"/>
    </row>
    <row r="115959" spans="10:10" x14ac:dyDescent="0.3">
      <c r="J115959"/>
    </row>
    <row r="115960" spans="10:10" x14ac:dyDescent="0.3">
      <c r="J115960"/>
    </row>
    <row r="115961" spans="10:10" x14ac:dyDescent="0.3">
      <c r="J115961"/>
    </row>
    <row r="115962" spans="10:10" x14ac:dyDescent="0.3">
      <c r="J115962"/>
    </row>
    <row r="115963" spans="10:10" x14ac:dyDescent="0.3">
      <c r="J115963"/>
    </row>
    <row r="115964" spans="10:10" x14ac:dyDescent="0.3">
      <c r="J115964"/>
    </row>
    <row r="115965" spans="10:10" x14ac:dyDescent="0.3">
      <c r="J115965"/>
    </row>
    <row r="115966" spans="10:10" x14ac:dyDescent="0.3">
      <c r="J115966"/>
    </row>
    <row r="115967" spans="10:10" x14ac:dyDescent="0.3">
      <c r="J115967"/>
    </row>
    <row r="115968" spans="10:10" x14ac:dyDescent="0.3">
      <c r="J115968"/>
    </row>
    <row r="115969" spans="10:10" x14ac:dyDescent="0.3">
      <c r="J115969"/>
    </row>
    <row r="115970" spans="10:10" x14ac:dyDescent="0.3">
      <c r="J115970"/>
    </row>
    <row r="115971" spans="10:10" x14ac:dyDescent="0.3">
      <c r="J115971"/>
    </row>
    <row r="115972" spans="10:10" x14ac:dyDescent="0.3">
      <c r="J115972"/>
    </row>
    <row r="115973" spans="10:10" x14ac:dyDescent="0.3">
      <c r="J115973"/>
    </row>
    <row r="115974" spans="10:10" x14ac:dyDescent="0.3">
      <c r="J115974"/>
    </row>
    <row r="115975" spans="10:10" x14ac:dyDescent="0.3">
      <c r="J115975"/>
    </row>
    <row r="115976" spans="10:10" x14ac:dyDescent="0.3">
      <c r="J115976"/>
    </row>
    <row r="115977" spans="10:10" x14ac:dyDescent="0.3">
      <c r="J115977"/>
    </row>
    <row r="115978" spans="10:10" x14ac:dyDescent="0.3">
      <c r="J115978"/>
    </row>
    <row r="115979" spans="10:10" x14ac:dyDescent="0.3">
      <c r="J115979"/>
    </row>
    <row r="115980" spans="10:10" x14ac:dyDescent="0.3">
      <c r="J115980"/>
    </row>
    <row r="115981" spans="10:10" x14ac:dyDescent="0.3">
      <c r="J115981"/>
    </row>
    <row r="115982" spans="10:10" x14ac:dyDescent="0.3">
      <c r="J115982"/>
    </row>
    <row r="115983" spans="10:10" x14ac:dyDescent="0.3">
      <c r="J115983"/>
    </row>
    <row r="115984" spans="10:10" x14ac:dyDescent="0.3">
      <c r="J115984"/>
    </row>
    <row r="115985" spans="10:10" x14ac:dyDescent="0.3">
      <c r="J115985"/>
    </row>
    <row r="115986" spans="10:10" x14ac:dyDescent="0.3">
      <c r="J115986"/>
    </row>
    <row r="115987" spans="10:10" x14ac:dyDescent="0.3">
      <c r="J115987"/>
    </row>
    <row r="115988" spans="10:10" x14ac:dyDescent="0.3">
      <c r="J115988"/>
    </row>
    <row r="115989" spans="10:10" x14ac:dyDescent="0.3">
      <c r="J115989"/>
    </row>
    <row r="115990" spans="10:10" x14ac:dyDescent="0.3">
      <c r="J115990"/>
    </row>
    <row r="115991" spans="10:10" x14ac:dyDescent="0.3">
      <c r="J115991"/>
    </row>
    <row r="115992" spans="10:10" x14ac:dyDescent="0.3">
      <c r="J115992"/>
    </row>
    <row r="115993" spans="10:10" x14ac:dyDescent="0.3">
      <c r="J115993"/>
    </row>
    <row r="115994" spans="10:10" x14ac:dyDescent="0.3">
      <c r="J115994"/>
    </row>
    <row r="115995" spans="10:10" x14ac:dyDescent="0.3">
      <c r="J115995"/>
    </row>
    <row r="115996" spans="10:10" x14ac:dyDescent="0.3">
      <c r="J115996"/>
    </row>
    <row r="115997" spans="10:10" x14ac:dyDescent="0.3">
      <c r="J115997"/>
    </row>
    <row r="115998" spans="10:10" x14ac:dyDescent="0.3">
      <c r="J115998"/>
    </row>
    <row r="115999" spans="10:10" x14ac:dyDescent="0.3">
      <c r="J115999"/>
    </row>
    <row r="116000" spans="10:10" x14ac:dyDescent="0.3">
      <c r="J116000"/>
    </row>
    <row r="116001" spans="10:10" x14ac:dyDescent="0.3">
      <c r="J116001"/>
    </row>
    <row r="116002" spans="10:10" x14ac:dyDescent="0.3">
      <c r="J116002"/>
    </row>
    <row r="116003" spans="10:10" x14ac:dyDescent="0.3">
      <c r="J116003"/>
    </row>
    <row r="116004" spans="10:10" x14ac:dyDescent="0.3">
      <c r="J116004"/>
    </row>
    <row r="116005" spans="10:10" x14ac:dyDescent="0.3">
      <c r="J116005"/>
    </row>
    <row r="116006" spans="10:10" x14ac:dyDescent="0.3">
      <c r="J116006"/>
    </row>
    <row r="116007" spans="10:10" x14ac:dyDescent="0.3">
      <c r="J116007"/>
    </row>
    <row r="116008" spans="10:10" x14ac:dyDescent="0.3">
      <c r="J116008"/>
    </row>
    <row r="116009" spans="10:10" x14ac:dyDescent="0.3">
      <c r="J116009"/>
    </row>
    <row r="116010" spans="10:10" x14ac:dyDescent="0.3">
      <c r="J116010"/>
    </row>
    <row r="116011" spans="10:10" x14ac:dyDescent="0.3">
      <c r="J116011"/>
    </row>
    <row r="116012" spans="10:10" x14ac:dyDescent="0.3">
      <c r="J116012"/>
    </row>
    <row r="116013" spans="10:10" x14ac:dyDescent="0.3">
      <c r="J116013"/>
    </row>
    <row r="116014" spans="10:10" x14ac:dyDescent="0.3">
      <c r="J116014"/>
    </row>
    <row r="116015" spans="10:10" x14ac:dyDescent="0.3">
      <c r="J116015"/>
    </row>
    <row r="116016" spans="10:10" x14ac:dyDescent="0.3">
      <c r="J116016"/>
    </row>
    <row r="116017" spans="10:10" x14ac:dyDescent="0.3">
      <c r="J116017"/>
    </row>
    <row r="116018" spans="10:10" x14ac:dyDescent="0.3">
      <c r="J116018"/>
    </row>
    <row r="116019" spans="10:10" x14ac:dyDescent="0.3">
      <c r="J116019"/>
    </row>
    <row r="116020" spans="10:10" x14ac:dyDescent="0.3">
      <c r="J116020"/>
    </row>
    <row r="116021" spans="10:10" x14ac:dyDescent="0.3">
      <c r="J116021"/>
    </row>
    <row r="116022" spans="10:10" x14ac:dyDescent="0.3">
      <c r="J116022"/>
    </row>
    <row r="116023" spans="10:10" x14ac:dyDescent="0.3">
      <c r="J116023"/>
    </row>
    <row r="116024" spans="10:10" x14ac:dyDescent="0.3">
      <c r="J116024"/>
    </row>
    <row r="116025" spans="10:10" x14ac:dyDescent="0.3">
      <c r="J116025"/>
    </row>
    <row r="116026" spans="10:10" x14ac:dyDescent="0.3">
      <c r="J116026"/>
    </row>
    <row r="116027" spans="10:10" x14ac:dyDescent="0.3">
      <c r="J116027"/>
    </row>
    <row r="116028" spans="10:10" x14ac:dyDescent="0.3">
      <c r="J116028"/>
    </row>
    <row r="116029" spans="10:10" x14ac:dyDescent="0.3">
      <c r="J116029"/>
    </row>
    <row r="116030" spans="10:10" x14ac:dyDescent="0.3">
      <c r="J116030"/>
    </row>
    <row r="116031" spans="10:10" x14ac:dyDescent="0.3">
      <c r="J116031"/>
    </row>
    <row r="116032" spans="10:10" x14ac:dyDescent="0.3">
      <c r="J116032"/>
    </row>
    <row r="116033" spans="10:10" x14ac:dyDescent="0.3">
      <c r="J116033"/>
    </row>
    <row r="116034" spans="10:10" x14ac:dyDescent="0.3">
      <c r="J116034"/>
    </row>
    <row r="116035" spans="10:10" x14ac:dyDescent="0.3">
      <c r="J116035"/>
    </row>
    <row r="116036" spans="10:10" x14ac:dyDescent="0.3">
      <c r="J116036"/>
    </row>
    <row r="116037" spans="10:10" x14ac:dyDescent="0.3">
      <c r="J116037"/>
    </row>
    <row r="116038" spans="10:10" x14ac:dyDescent="0.3">
      <c r="J116038"/>
    </row>
    <row r="116039" spans="10:10" x14ac:dyDescent="0.3">
      <c r="J116039"/>
    </row>
    <row r="116040" spans="10:10" x14ac:dyDescent="0.3">
      <c r="J116040"/>
    </row>
    <row r="116041" spans="10:10" x14ac:dyDescent="0.3">
      <c r="J116041"/>
    </row>
    <row r="116042" spans="10:10" x14ac:dyDescent="0.3">
      <c r="J116042"/>
    </row>
    <row r="116043" spans="10:10" x14ac:dyDescent="0.3">
      <c r="J116043"/>
    </row>
    <row r="116044" spans="10:10" x14ac:dyDescent="0.3">
      <c r="J116044"/>
    </row>
    <row r="116045" spans="10:10" x14ac:dyDescent="0.3">
      <c r="J116045"/>
    </row>
    <row r="116046" spans="10:10" x14ac:dyDescent="0.3">
      <c r="J116046"/>
    </row>
    <row r="116047" spans="10:10" x14ac:dyDescent="0.3">
      <c r="J116047"/>
    </row>
    <row r="116048" spans="10:10" x14ac:dyDescent="0.3">
      <c r="J116048"/>
    </row>
    <row r="116049" spans="10:10" x14ac:dyDescent="0.3">
      <c r="J116049"/>
    </row>
    <row r="116050" spans="10:10" x14ac:dyDescent="0.3">
      <c r="J116050"/>
    </row>
    <row r="116051" spans="10:10" x14ac:dyDescent="0.3">
      <c r="J116051"/>
    </row>
    <row r="116052" spans="10:10" x14ac:dyDescent="0.3">
      <c r="J116052"/>
    </row>
    <row r="116053" spans="10:10" x14ac:dyDescent="0.3">
      <c r="J116053"/>
    </row>
    <row r="116054" spans="10:10" x14ac:dyDescent="0.3">
      <c r="J116054"/>
    </row>
    <row r="116055" spans="10:10" x14ac:dyDescent="0.3">
      <c r="J116055"/>
    </row>
    <row r="116056" spans="10:10" x14ac:dyDescent="0.3">
      <c r="J116056"/>
    </row>
    <row r="116057" spans="10:10" x14ac:dyDescent="0.3">
      <c r="J116057"/>
    </row>
    <row r="116058" spans="10:10" x14ac:dyDescent="0.3">
      <c r="J116058"/>
    </row>
    <row r="116059" spans="10:10" x14ac:dyDescent="0.3">
      <c r="J116059"/>
    </row>
    <row r="116060" spans="10:10" x14ac:dyDescent="0.3">
      <c r="J116060"/>
    </row>
    <row r="116061" spans="10:10" x14ac:dyDescent="0.3">
      <c r="J116061"/>
    </row>
    <row r="116062" spans="10:10" x14ac:dyDescent="0.3">
      <c r="J116062"/>
    </row>
    <row r="116063" spans="10:10" x14ac:dyDescent="0.3">
      <c r="J116063"/>
    </row>
    <row r="116064" spans="10:10" x14ac:dyDescent="0.3">
      <c r="J116064"/>
    </row>
    <row r="116065" spans="10:10" x14ac:dyDescent="0.3">
      <c r="J116065"/>
    </row>
    <row r="116066" spans="10:10" x14ac:dyDescent="0.3">
      <c r="J116066"/>
    </row>
    <row r="116067" spans="10:10" x14ac:dyDescent="0.3">
      <c r="J116067"/>
    </row>
    <row r="116068" spans="10:10" x14ac:dyDescent="0.3">
      <c r="J116068"/>
    </row>
    <row r="116069" spans="10:10" x14ac:dyDescent="0.3">
      <c r="J116069"/>
    </row>
    <row r="116070" spans="10:10" x14ac:dyDescent="0.3">
      <c r="J116070"/>
    </row>
    <row r="116071" spans="10:10" x14ac:dyDescent="0.3">
      <c r="J116071"/>
    </row>
    <row r="116072" spans="10:10" x14ac:dyDescent="0.3">
      <c r="J116072"/>
    </row>
    <row r="116073" spans="10:10" x14ac:dyDescent="0.3">
      <c r="J116073"/>
    </row>
    <row r="116074" spans="10:10" x14ac:dyDescent="0.3">
      <c r="J116074"/>
    </row>
    <row r="116075" spans="10:10" x14ac:dyDescent="0.3">
      <c r="J116075"/>
    </row>
    <row r="116076" spans="10:10" x14ac:dyDescent="0.3">
      <c r="J116076"/>
    </row>
    <row r="116077" spans="10:10" x14ac:dyDescent="0.3">
      <c r="J116077"/>
    </row>
    <row r="116078" spans="10:10" x14ac:dyDescent="0.3">
      <c r="J116078"/>
    </row>
    <row r="116079" spans="10:10" x14ac:dyDescent="0.3">
      <c r="J116079"/>
    </row>
    <row r="116080" spans="10:10" x14ac:dyDescent="0.3">
      <c r="J116080"/>
    </row>
    <row r="116081" spans="10:10" x14ac:dyDescent="0.3">
      <c r="J116081"/>
    </row>
    <row r="116082" spans="10:10" x14ac:dyDescent="0.3">
      <c r="J116082"/>
    </row>
    <row r="116083" spans="10:10" x14ac:dyDescent="0.3">
      <c r="J116083"/>
    </row>
    <row r="116084" spans="10:10" x14ac:dyDescent="0.3">
      <c r="J116084"/>
    </row>
    <row r="116085" spans="10:10" x14ac:dyDescent="0.3">
      <c r="J116085"/>
    </row>
    <row r="116086" spans="10:10" x14ac:dyDescent="0.3">
      <c r="J116086"/>
    </row>
    <row r="116087" spans="10:10" x14ac:dyDescent="0.3">
      <c r="J116087"/>
    </row>
    <row r="116088" spans="10:10" x14ac:dyDescent="0.3">
      <c r="J116088"/>
    </row>
    <row r="116089" spans="10:10" x14ac:dyDescent="0.3">
      <c r="J116089"/>
    </row>
    <row r="116090" spans="10:10" x14ac:dyDescent="0.3">
      <c r="J116090"/>
    </row>
    <row r="116091" spans="10:10" x14ac:dyDescent="0.3">
      <c r="J116091"/>
    </row>
    <row r="116092" spans="10:10" x14ac:dyDescent="0.3">
      <c r="J116092"/>
    </row>
    <row r="116093" spans="10:10" x14ac:dyDescent="0.3">
      <c r="J116093"/>
    </row>
    <row r="116094" spans="10:10" x14ac:dyDescent="0.3">
      <c r="J116094"/>
    </row>
    <row r="116095" spans="10:10" x14ac:dyDescent="0.3">
      <c r="J116095"/>
    </row>
    <row r="116096" spans="10:10" x14ac:dyDescent="0.3">
      <c r="J116096"/>
    </row>
    <row r="116097" spans="10:10" x14ac:dyDescent="0.3">
      <c r="J116097"/>
    </row>
    <row r="116098" spans="10:10" x14ac:dyDescent="0.3">
      <c r="J116098"/>
    </row>
    <row r="116099" spans="10:10" x14ac:dyDescent="0.3">
      <c r="J116099"/>
    </row>
    <row r="116100" spans="10:10" x14ac:dyDescent="0.3">
      <c r="J116100"/>
    </row>
    <row r="116101" spans="10:10" x14ac:dyDescent="0.3">
      <c r="J116101"/>
    </row>
    <row r="116102" spans="10:10" x14ac:dyDescent="0.3">
      <c r="J116102"/>
    </row>
    <row r="116103" spans="10:10" x14ac:dyDescent="0.3">
      <c r="J116103"/>
    </row>
    <row r="116104" spans="10:10" x14ac:dyDescent="0.3">
      <c r="J116104"/>
    </row>
    <row r="116105" spans="10:10" x14ac:dyDescent="0.3">
      <c r="J116105"/>
    </row>
    <row r="116106" spans="10:10" x14ac:dyDescent="0.3">
      <c r="J116106"/>
    </row>
    <row r="116107" spans="10:10" x14ac:dyDescent="0.3">
      <c r="J116107"/>
    </row>
    <row r="116108" spans="10:10" x14ac:dyDescent="0.3">
      <c r="J116108"/>
    </row>
    <row r="116109" spans="10:10" x14ac:dyDescent="0.3">
      <c r="J116109"/>
    </row>
    <row r="116110" spans="10:10" x14ac:dyDescent="0.3">
      <c r="J116110"/>
    </row>
    <row r="116111" spans="10:10" x14ac:dyDescent="0.3">
      <c r="J116111"/>
    </row>
    <row r="116112" spans="10:10" x14ac:dyDescent="0.3">
      <c r="J116112"/>
    </row>
    <row r="116113" spans="10:10" x14ac:dyDescent="0.3">
      <c r="J116113"/>
    </row>
    <row r="116114" spans="10:10" x14ac:dyDescent="0.3">
      <c r="J116114"/>
    </row>
    <row r="116115" spans="10:10" x14ac:dyDescent="0.3">
      <c r="J116115"/>
    </row>
    <row r="116116" spans="10:10" x14ac:dyDescent="0.3">
      <c r="J116116"/>
    </row>
    <row r="116117" spans="10:10" x14ac:dyDescent="0.3">
      <c r="J116117"/>
    </row>
    <row r="116118" spans="10:10" x14ac:dyDescent="0.3">
      <c r="J116118"/>
    </row>
    <row r="116119" spans="10:10" x14ac:dyDescent="0.3">
      <c r="J116119"/>
    </row>
    <row r="116120" spans="10:10" x14ac:dyDescent="0.3">
      <c r="J116120"/>
    </row>
    <row r="116121" spans="10:10" x14ac:dyDescent="0.3">
      <c r="J116121"/>
    </row>
    <row r="116122" spans="10:10" x14ac:dyDescent="0.3">
      <c r="J116122"/>
    </row>
    <row r="116123" spans="10:10" x14ac:dyDescent="0.3">
      <c r="J116123"/>
    </row>
    <row r="116124" spans="10:10" x14ac:dyDescent="0.3">
      <c r="J116124"/>
    </row>
    <row r="116125" spans="10:10" x14ac:dyDescent="0.3">
      <c r="J116125"/>
    </row>
    <row r="116126" spans="10:10" x14ac:dyDescent="0.3">
      <c r="J116126"/>
    </row>
    <row r="116127" spans="10:10" x14ac:dyDescent="0.3">
      <c r="J116127"/>
    </row>
    <row r="116128" spans="10:10" x14ac:dyDescent="0.3">
      <c r="J116128"/>
    </row>
    <row r="116129" spans="10:10" x14ac:dyDescent="0.3">
      <c r="J116129"/>
    </row>
    <row r="116130" spans="10:10" x14ac:dyDescent="0.3">
      <c r="J116130"/>
    </row>
    <row r="116131" spans="10:10" x14ac:dyDescent="0.3">
      <c r="J116131"/>
    </row>
    <row r="116132" spans="10:10" x14ac:dyDescent="0.3">
      <c r="J116132"/>
    </row>
    <row r="116133" spans="10:10" x14ac:dyDescent="0.3">
      <c r="J116133"/>
    </row>
    <row r="116134" spans="10:10" x14ac:dyDescent="0.3">
      <c r="J116134"/>
    </row>
    <row r="116135" spans="10:10" x14ac:dyDescent="0.3">
      <c r="J116135"/>
    </row>
    <row r="116136" spans="10:10" x14ac:dyDescent="0.3">
      <c r="J116136"/>
    </row>
    <row r="116137" spans="10:10" x14ac:dyDescent="0.3">
      <c r="J116137"/>
    </row>
    <row r="116138" spans="10:10" x14ac:dyDescent="0.3">
      <c r="J116138"/>
    </row>
    <row r="116139" spans="10:10" x14ac:dyDescent="0.3">
      <c r="J116139"/>
    </row>
    <row r="116140" spans="10:10" x14ac:dyDescent="0.3">
      <c r="J116140"/>
    </row>
    <row r="116141" spans="10:10" x14ac:dyDescent="0.3">
      <c r="J116141"/>
    </row>
    <row r="116142" spans="10:10" x14ac:dyDescent="0.3">
      <c r="J116142"/>
    </row>
    <row r="116143" spans="10:10" x14ac:dyDescent="0.3">
      <c r="J116143"/>
    </row>
    <row r="116144" spans="10:10" x14ac:dyDescent="0.3">
      <c r="J116144"/>
    </row>
    <row r="116145" spans="10:10" x14ac:dyDescent="0.3">
      <c r="J116145"/>
    </row>
    <row r="116146" spans="10:10" x14ac:dyDescent="0.3">
      <c r="J116146"/>
    </row>
    <row r="116147" spans="10:10" x14ac:dyDescent="0.3">
      <c r="J116147"/>
    </row>
    <row r="116148" spans="10:10" x14ac:dyDescent="0.3">
      <c r="J116148"/>
    </row>
    <row r="116149" spans="10:10" x14ac:dyDescent="0.3">
      <c r="J116149"/>
    </row>
    <row r="116150" spans="10:10" x14ac:dyDescent="0.3">
      <c r="J116150"/>
    </row>
    <row r="116151" spans="10:10" x14ac:dyDescent="0.3">
      <c r="J116151"/>
    </row>
    <row r="116152" spans="10:10" x14ac:dyDescent="0.3">
      <c r="J116152"/>
    </row>
    <row r="116153" spans="10:10" x14ac:dyDescent="0.3">
      <c r="J116153"/>
    </row>
    <row r="116154" spans="10:10" x14ac:dyDescent="0.3">
      <c r="J116154"/>
    </row>
    <row r="116155" spans="10:10" x14ac:dyDescent="0.3">
      <c r="J116155"/>
    </row>
    <row r="116156" spans="10:10" x14ac:dyDescent="0.3">
      <c r="J116156"/>
    </row>
    <row r="116157" spans="10:10" x14ac:dyDescent="0.3">
      <c r="J116157"/>
    </row>
    <row r="116158" spans="10:10" x14ac:dyDescent="0.3">
      <c r="J116158"/>
    </row>
    <row r="116159" spans="10:10" x14ac:dyDescent="0.3">
      <c r="J116159"/>
    </row>
    <row r="116160" spans="10:10" x14ac:dyDescent="0.3">
      <c r="J116160"/>
    </row>
    <row r="116161" spans="10:10" x14ac:dyDescent="0.3">
      <c r="J116161"/>
    </row>
    <row r="116162" spans="10:10" x14ac:dyDescent="0.3">
      <c r="J116162"/>
    </row>
    <row r="116163" spans="10:10" x14ac:dyDescent="0.3">
      <c r="J116163"/>
    </row>
    <row r="116164" spans="10:10" x14ac:dyDescent="0.3">
      <c r="J116164"/>
    </row>
    <row r="116165" spans="10:10" x14ac:dyDescent="0.3">
      <c r="J116165"/>
    </row>
    <row r="116166" spans="10:10" x14ac:dyDescent="0.3">
      <c r="J116166"/>
    </row>
    <row r="116167" spans="10:10" x14ac:dyDescent="0.3">
      <c r="J116167"/>
    </row>
    <row r="116168" spans="10:10" x14ac:dyDescent="0.3">
      <c r="J116168"/>
    </row>
    <row r="116169" spans="10:10" x14ac:dyDescent="0.3">
      <c r="J116169"/>
    </row>
    <row r="116170" spans="10:10" x14ac:dyDescent="0.3">
      <c r="J116170"/>
    </row>
    <row r="116171" spans="10:10" x14ac:dyDescent="0.3">
      <c r="J116171"/>
    </row>
    <row r="116172" spans="10:10" x14ac:dyDescent="0.3">
      <c r="J116172"/>
    </row>
    <row r="116173" spans="10:10" x14ac:dyDescent="0.3">
      <c r="J116173"/>
    </row>
    <row r="116174" spans="10:10" x14ac:dyDescent="0.3">
      <c r="J116174"/>
    </row>
    <row r="116175" spans="10:10" x14ac:dyDescent="0.3">
      <c r="J116175"/>
    </row>
    <row r="116176" spans="10:10" x14ac:dyDescent="0.3">
      <c r="J116176"/>
    </row>
    <row r="116177" spans="10:10" x14ac:dyDescent="0.3">
      <c r="J116177"/>
    </row>
    <row r="116178" spans="10:10" x14ac:dyDescent="0.3">
      <c r="J116178"/>
    </row>
    <row r="116179" spans="10:10" x14ac:dyDescent="0.3">
      <c r="J116179"/>
    </row>
    <row r="116180" spans="10:10" x14ac:dyDescent="0.3">
      <c r="J116180"/>
    </row>
    <row r="116181" spans="10:10" x14ac:dyDescent="0.3">
      <c r="J116181"/>
    </row>
    <row r="116182" spans="10:10" x14ac:dyDescent="0.3">
      <c r="J116182"/>
    </row>
    <row r="116183" spans="10:10" x14ac:dyDescent="0.3">
      <c r="J116183"/>
    </row>
    <row r="116184" spans="10:10" x14ac:dyDescent="0.3">
      <c r="J116184"/>
    </row>
    <row r="116185" spans="10:10" x14ac:dyDescent="0.3">
      <c r="J116185"/>
    </row>
    <row r="116186" spans="10:10" x14ac:dyDescent="0.3">
      <c r="J116186"/>
    </row>
    <row r="116187" spans="10:10" x14ac:dyDescent="0.3">
      <c r="J116187"/>
    </row>
    <row r="116188" spans="10:10" x14ac:dyDescent="0.3">
      <c r="J116188"/>
    </row>
    <row r="116189" spans="10:10" x14ac:dyDescent="0.3">
      <c r="J116189"/>
    </row>
    <row r="116190" spans="10:10" x14ac:dyDescent="0.3">
      <c r="J116190"/>
    </row>
    <row r="116191" spans="10:10" x14ac:dyDescent="0.3">
      <c r="J116191"/>
    </row>
    <row r="116192" spans="10:10" x14ac:dyDescent="0.3">
      <c r="J116192"/>
    </row>
    <row r="116193" spans="10:10" x14ac:dyDescent="0.3">
      <c r="J116193"/>
    </row>
    <row r="116194" spans="10:10" x14ac:dyDescent="0.3">
      <c r="J116194"/>
    </row>
    <row r="116195" spans="10:10" x14ac:dyDescent="0.3">
      <c r="J116195"/>
    </row>
    <row r="116196" spans="10:10" x14ac:dyDescent="0.3">
      <c r="J116196"/>
    </row>
    <row r="116197" spans="10:10" x14ac:dyDescent="0.3">
      <c r="J116197"/>
    </row>
    <row r="116198" spans="10:10" x14ac:dyDescent="0.3">
      <c r="J116198"/>
    </row>
    <row r="116199" spans="10:10" x14ac:dyDescent="0.3">
      <c r="J116199"/>
    </row>
    <row r="116200" spans="10:10" x14ac:dyDescent="0.3">
      <c r="J116200"/>
    </row>
    <row r="116201" spans="10:10" x14ac:dyDescent="0.3">
      <c r="J116201"/>
    </row>
    <row r="116202" spans="10:10" x14ac:dyDescent="0.3">
      <c r="J116202"/>
    </row>
    <row r="116203" spans="10:10" x14ac:dyDescent="0.3">
      <c r="J116203"/>
    </row>
    <row r="116204" spans="10:10" x14ac:dyDescent="0.3">
      <c r="J116204"/>
    </row>
    <row r="116205" spans="10:10" x14ac:dyDescent="0.3">
      <c r="J116205"/>
    </row>
    <row r="116206" spans="10:10" x14ac:dyDescent="0.3">
      <c r="J116206"/>
    </row>
    <row r="116207" spans="10:10" x14ac:dyDescent="0.3">
      <c r="J116207"/>
    </row>
    <row r="116208" spans="10:10" x14ac:dyDescent="0.3">
      <c r="J116208"/>
    </row>
    <row r="116209" spans="10:10" x14ac:dyDescent="0.3">
      <c r="J116209"/>
    </row>
    <row r="116210" spans="10:10" x14ac:dyDescent="0.3">
      <c r="J116210"/>
    </row>
    <row r="116211" spans="10:10" x14ac:dyDescent="0.3">
      <c r="J116211"/>
    </row>
    <row r="116212" spans="10:10" x14ac:dyDescent="0.3">
      <c r="J116212"/>
    </row>
    <row r="116213" spans="10:10" x14ac:dyDescent="0.3">
      <c r="J116213"/>
    </row>
    <row r="116214" spans="10:10" x14ac:dyDescent="0.3">
      <c r="J116214"/>
    </row>
    <row r="116215" spans="10:10" x14ac:dyDescent="0.3">
      <c r="J116215"/>
    </row>
    <row r="116216" spans="10:10" x14ac:dyDescent="0.3">
      <c r="J116216"/>
    </row>
    <row r="116217" spans="10:10" x14ac:dyDescent="0.3">
      <c r="J116217"/>
    </row>
    <row r="116218" spans="10:10" x14ac:dyDescent="0.3">
      <c r="J116218"/>
    </row>
    <row r="116219" spans="10:10" x14ac:dyDescent="0.3">
      <c r="J116219"/>
    </row>
    <row r="116220" spans="10:10" x14ac:dyDescent="0.3">
      <c r="J116220"/>
    </row>
    <row r="116221" spans="10:10" x14ac:dyDescent="0.3">
      <c r="J116221"/>
    </row>
    <row r="116222" spans="10:10" x14ac:dyDescent="0.3">
      <c r="J116222"/>
    </row>
    <row r="116223" spans="10:10" x14ac:dyDescent="0.3">
      <c r="J116223"/>
    </row>
    <row r="116224" spans="10:10" x14ac:dyDescent="0.3">
      <c r="J116224"/>
    </row>
    <row r="116225" spans="10:10" x14ac:dyDescent="0.3">
      <c r="J116225"/>
    </row>
    <row r="116226" spans="10:10" x14ac:dyDescent="0.3">
      <c r="J116226"/>
    </row>
    <row r="116227" spans="10:10" x14ac:dyDescent="0.3">
      <c r="J116227"/>
    </row>
    <row r="116228" spans="10:10" x14ac:dyDescent="0.3">
      <c r="J116228"/>
    </row>
    <row r="116229" spans="10:10" x14ac:dyDescent="0.3">
      <c r="J116229"/>
    </row>
    <row r="116230" spans="10:10" x14ac:dyDescent="0.3">
      <c r="J116230"/>
    </row>
    <row r="116231" spans="10:10" x14ac:dyDescent="0.3">
      <c r="J116231"/>
    </row>
    <row r="116232" spans="10:10" x14ac:dyDescent="0.3">
      <c r="J116232"/>
    </row>
    <row r="116233" spans="10:10" x14ac:dyDescent="0.3">
      <c r="J116233"/>
    </row>
    <row r="116234" spans="10:10" x14ac:dyDescent="0.3">
      <c r="J116234"/>
    </row>
    <row r="116235" spans="10:10" x14ac:dyDescent="0.3">
      <c r="J116235"/>
    </row>
    <row r="116236" spans="10:10" x14ac:dyDescent="0.3">
      <c r="J116236"/>
    </row>
    <row r="116237" spans="10:10" x14ac:dyDescent="0.3">
      <c r="J116237"/>
    </row>
    <row r="116238" spans="10:10" x14ac:dyDescent="0.3">
      <c r="J116238"/>
    </row>
    <row r="116239" spans="10:10" x14ac:dyDescent="0.3">
      <c r="J116239"/>
    </row>
    <row r="116240" spans="10:10" x14ac:dyDescent="0.3">
      <c r="J116240"/>
    </row>
    <row r="116241" spans="10:10" x14ac:dyDescent="0.3">
      <c r="J116241"/>
    </row>
    <row r="116242" spans="10:10" x14ac:dyDescent="0.3">
      <c r="J116242"/>
    </row>
    <row r="116243" spans="10:10" x14ac:dyDescent="0.3">
      <c r="J116243"/>
    </row>
    <row r="116244" spans="10:10" x14ac:dyDescent="0.3">
      <c r="J116244"/>
    </row>
    <row r="116245" spans="10:10" x14ac:dyDescent="0.3">
      <c r="J116245"/>
    </row>
    <row r="116246" spans="10:10" x14ac:dyDescent="0.3">
      <c r="J116246"/>
    </row>
    <row r="116247" spans="10:10" x14ac:dyDescent="0.3">
      <c r="J116247"/>
    </row>
    <row r="116248" spans="10:10" x14ac:dyDescent="0.3">
      <c r="J116248"/>
    </row>
    <row r="116249" spans="10:10" x14ac:dyDescent="0.3">
      <c r="J116249"/>
    </row>
    <row r="116250" spans="10:10" x14ac:dyDescent="0.3">
      <c r="J116250"/>
    </row>
    <row r="116251" spans="10:10" x14ac:dyDescent="0.3">
      <c r="J116251"/>
    </row>
    <row r="116252" spans="10:10" x14ac:dyDescent="0.3">
      <c r="J116252"/>
    </row>
    <row r="116253" spans="10:10" x14ac:dyDescent="0.3">
      <c r="J116253"/>
    </row>
    <row r="116254" spans="10:10" x14ac:dyDescent="0.3">
      <c r="J116254"/>
    </row>
    <row r="116255" spans="10:10" x14ac:dyDescent="0.3">
      <c r="J116255"/>
    </row>
    <row r="116256" spans="10:10" x14ac:dyDescent="0.3">
      <c r="J116256"/>
    </row>
    <row r="116257" spans="10:10" x14ac:dyDescent="0.3">
      <c r="J116257"/>
    </row>
    <row r="116258" spans="10:10" x14ac:dyDescent="0.3">
      <c r="J116258"/>
    </row>
    <row r="116259" spans="10:10" x14ac:dyDescent="0.3">
      <c r="J116259"/>
    </row>
    <row r="116260" spans="10:10" x14ac:dyDescent="0.3">
      <c r="J116260"/>
    </row>
    <row r="116261" spans="10:10" x14ac:dyDescent="0.3">
      <c r="J116261"/>
    </row>
    <row r="116262" spans="10:10" x14ac:dyDescent="0.3">
      <c r="J116262"/>
    </row>
    <row r="116263" spans="10:10" x14ac:dyDescent="0.3">
      <c r="J116263"/>
    </row>
    <row r="116264" spans="10:10" x14ac:dyDescent="0.3">
      <c r="J116264"/>
    </row>
    <row r="116265" spans="10:10" x14ac:dyDescent="0.3">
      <c r="J116265"/>
    </row>
    <row r="116266" spans="10:10" x14ac:dyDescent="0.3">
      <c r="J116266"/>
    </row>
    <row r="116267" spans="10:10" x14ac:dyDescent="0.3">
      <c r="J116267"/>
    </row>
    <row r="116268" spans="10:10" x14ac:dyDescent="0.3">
      <c r="J116268"/>
    </row>
    <row r="116269" spans="10:10" x14ac:dyDescent="0.3">
      <c r="J116269"/>
    </row>
    <row r="116270" spans="10:10" x14ac:dyDescent="0.3">
      <c r="J116270"/>
    </row>
    <row r="116271" spans="10:10" x14ac:dyDescent="0.3">
      <c r="J116271"/>
    </row>
    <row r="116272" spans="10:10" x14ac:dyDescent="0.3">
      <c r="J116272"/>
    </row>
    <row r="116273" spans="10:10" x14ac:dyDescent="0.3">
      <c r="J116273"/>
    </row>
    <row r="116274" spans="10:10" x14ac:dyDescent="0.3">
      <c r="J116274"/>
    </row>
    <row r="116275" spans="10:10" x14ac:dyDescent="0.3">
      <c r="J116275"/>
    </row>
    <row r="116276" spans="10:10" x14ac:dyDescent="0.3">
      <c r="J116276"/>
    </row>
    <row r="116277" spans="10:10" x14ac:dyDescent="0.3">
      <c r="J116277"/>
    </row>
    <row r="116278" spans="10:10" x14ac:dyDescent="0.3">
      <c r="J116278"/>
    </row>
    <row r="116279" spans="10:10" x14ac:dyDescent="0.3">
      <c r="J116279"/>
    </row>
    <row r="116280" spans="10:10" x14ac:dyDescent="0.3">
      <c r="J116280"/>
    </row>
    <row r="116281" spans="10:10" x14ac:dyDescent="0.3">
      <c r="J116281"/>
    </row>
    <row r="116282" spans="10:10" x14ac:dyDescent="0.3">
      <c r="J116282"/>
    </row>
    <row r="116283" spans="10:10" x14ac:dyDescent="0.3">
      <c r="J116283"/>
    </row>
    <row r="116284" spans="10:10" x14ac:dyDescent="0.3">
      <c r="J116284"/>
    </row>
    <row r="116285" spans="10:10" x14ac:dyDescent="0.3">
      <c r="J116285"/>
    </row>
    <row r="116286" spans="10:10" x14ac:dyDescent="0.3">
      <c r="J116286"/>
    </row>
    <row r="116287" spans="10:10" x14ac:dyDescent="0.3">
      <c r="J116287"/>
    </row>
    <row r="116288" spans="10:10" x14ac:dyDescent="0.3">
      <c r="J116288"/>
    </row>
    <row r="116289" spans="10:10" x14ac:dyDescent="0.3">
      <c r="J116289"/>
    </row>
    <row r="116290" spans="10:10" x14ac:dyDescent="0.3">
      <c r="J116290"/>
    </row>
    <row r="116291" spans="10:10" x14ac:dyDescent="0.3">
      <c r="J116291"/>
    </row>
    <row r="116292" spans="10:10" x14ac:dyDescent="0.3">
      <c r="J116292"/>
    </row>
    <row r="116293" spans="10:10" x14ac:dyDescent="0.3">
      <c r="J116293"/>
    </row>
    <row r="116294" spans="10:10" x14ac:dyDescent="0.3">
      <c r="J116294"/>
    </row>
    <row r="116295" spans="10:10" x14ac:dyDescent="0.3">
      <c r="J116295"/>
    </row>
    <row r="116296" spans="10:10" x14ac:dyDescent="0.3">
      <c r="J116296"/>
    </row>
    <row r="116297" spans="10:10" x14ac:dyDescent="0.3">
      <c r="J116297"/>
    </row>
    <row r="116298" spans="10:10" x14ac:dyDescent="0.3">
      <c r="J116298"/>
    </row>
    <row r="116299" spans="10:10" x14ac:dyDescent="0.3">
      <c r="J116299"/>
    </row>
    <row r="116300" spans="10:10" x14ac:dyDescent="0.3">
      <c r="J116300"/>
    </row>
    <row r="116301" spans="10:10" x14ac:dyDescent="0.3">
      <c r="J116301"/>
    </row>
    <row r="116302" spans="10:10" x14ac:dyDescent="0.3">
      <c r="J116302"/>
    </row>
    <row r="116303" spans="10:10" x14ac:dyDescent="0.3">
      <c r="J116303"/>
    </row>
    <row r="116304" spans="10:10" x14ac:dyDescent="0.3">
      <c r="J116304"/>
    </row>
    <row r="116305" spans="10:10" x14ac:dyDescent="0.3">
      <c r="J116305"/>
    </row>
    <row r="116306" spans="10:10" x14ac:dyDescent="0.3">
      <c r="J116306"/>
    </row>
    <row r="116307" spans="10:10" x14ac:dyDescent="0.3">
      <c r="J116307"/>
    </row>
    <row r="116308" spans="10:10" x14ac:dyDescent="0.3">
      <c r="J116308"/>
    </row>
    <row r="116309" spans="10:10" x14ac:dyDescent="0.3">
      <c r="J116309"/>
    </row>
    <row r="116310" spans="10:10" x14ac:dyDescent="0.3">
      <c r="J116310"/>
    </row>
    <row r="116311" spans="10:10" x14ac:dyDescent="0.3">
      <c r="J116311"/>
    </row>
    <row r="116312" spans="10:10" x14ac:dyDescent="0.3">
      <c r="J116312"/>
    </row>
    <row r="116313" spans="10:10" x14ac:dyDescent="0.3">
      <c r="J116313"/>
    </row>
    <row r="116314" spans="10:10" x14ac:dyDescent="0.3">
      <c r="J116314"/>
    </row>
    <row r="116315" spans="10:10" x14ac:dyDescent="0.3">
      <c r="J116315"/>
    </row>
    <row r="116316" spans="10:10" x14ac:dyDescent="0.3">
      <c r="J116316"/>
    </row>
    <row r="116317" spans="10:10" x14ac:dyDescent="0.3">
      <c r="J116317"/>
    </row>
    <row r="116318" spans="10:10" x14ac:dyDescent="0.3">
      <c r="J116318"/>
    </row>
    <row r="116319" spans="10:10" x14ac:dyDescent="0.3">
      <c r="J116319"/>
    </row>
    <row r="116320" spans="10:10" x14ac:dyDescent="0.3">
      <c r="J116320"/>
    </row>
    <row r="116321" spans="10:10" x14ac:dyDescent="0.3">
      <c r="J116321"/>
    </row>
    <row r="116322" spans="10:10" x14ac:dyDescent="0.3">
      <c r="J116322"/>
    </row>
    <row r="116323" spans="10:10" x14ac:dyDescent="0.3">
      <c r="J116323"/>
    </row>
    <row r="116324" spans="10:10" x14ac:dyDescent="0.3">
      <c r="J116324"/>
    </row>
    <row r="116325" spans="10:10" x14ac:dyDescent="0.3">
      <c r="J116325"/>
    </row>
    <row r="116326" spans="10:10" x14ac:dyDescent="0.3">
      <c r="J116326"/>
    </row>
    <row r="116327" spans="10:10" x14ac:dyDescent="0.3">
      <c r="J116327"/>
    </row>
    <row r="116328" spans="10:10" x14ac:dyDescent="0.3">
      <c r="J116328"/>
    </row>
    <row r="116329" spans="10:10" x14ac:dyDescent="0.3">
      <c r="J116329"/>
    </row>
    <row r="116330" spans="10:10" x14ac:dyDescent="0.3">
      <c r="J116330"/>
    </row>
    <row r="116331" spans="10:10" x14ac:dyDescent="0.3">
      <c r="J116331"/>
    </row>
    <row r="116332" spans="10:10" x14ac:dyDescent="0.3">
      <c r="J116332"/>
    </row>
    <row r="116333" spans="10:10" x14ac:dyDescent="0.3">
      <c r="J116333"/>
    </row>
    <row r="116334" spans="10:10" x14ac:dyDescent="0.3">
      <c r="J116334"/>
    </row>
    <row r="116335" spans="10:10" x14ac:dyDescent="0.3">
      <c r="J116335"/>
    </row>
    <row r="116336" spans="10:10" x14ac:dyDescent="0.3">
      <c r="J116336"/>
    </row>
    <row r="116337" spans="10:10" x14ac:dyDescent="0.3">
      <c r="J116337"/>
    </row>
    <row r="116338" spans="10:10" x14ac:dyDescent="0.3">
      <c r="J116338"/>
    </row>
    <row r="116339" spans="10:10" x14ac:dyDescent="0.3">
      <c r="J116339"/>
    </row>
    <row r="116340" spans="10:10" x14ac:dyDescent="0.3">
      <c r="J116340"/>
    </row>
    <row r="116341" spans="10:10" x14ac:dyDescent="0.3">
      <c r="J116341"/>
    </row>
    <row r="116342" spans="10:10" x14ac:dyDescent="0.3">
      <c r="J116342"/>
    </row>
    <row r="116343" spans="10:10" x14ac:dyDescent="0.3">
      <c r="J116343"/>
    </row>
    <row r="116344" spans="10:10" x14ac:dyDescent="0.3">
      <c r="J116344"/>
    </row>
    <row r="116345" spans="10:10" x14ac:dyDescent="0.3">
      <c r="J116345"/>
    </row>
    <row r="116346" spans="10:10" x14ac:dyDescent="0.3">
      <c r="J116346"/>
    </row>
    <row r="116347" spans="10:10" x14ac:dyDescent="0.3">
      <c r="J116347"/>
    </row>
    <row r="116348" spans="10:10" x14ac:dyDescent="0.3">
      <c r="J116348"/>
    </row>
    <row r="116349" spans="10:10" x14ac:dyDescent="0.3">
      <c r="J116349"/>
    </row>
    <row r="116350" spans="10:10" x14ac:dyDescent="0.3">
      <c r="J116350"/>
    </row>
    <row r="116351" spans="10:10" x14ac:dyDescent="0.3">
      <c r="J116351"/>
    </row>
    <row r="116352" spans="10:10" x14ac:dyDescent="0.3">
      <c r="J116352"/>
    </row>
    <row r="116353" spans="10:10" x14ac:dyDescent="0.3">
      <c r="J116353"/>
    </row>
    <row r="116354" spans="10:10" x14ac:dyDescent="0.3">
      <c r="J116354"/>
    </row>
    <row r="116355" spans="10:10" x14ac:dyDescent="0.3">
      <c r="J116355"/>
    </row>
    <row r="116356" spans="10:10" x14ac:dyDescent="0.3">
      <c r="J116356"/>
    </row>
    <row r="116357" spans="10:10" x14ac:dyDescent="0.3">
      <c r="J116357"/>
    </row>
    <row r="116358" spans="10:10" x14ac:dyDescent="0.3">
      <c r="J116358"/>
    </row>
    <row r="116359" spans="10:10" x14ac:dyDescent="0.3">
      <c r="J116359"/>
    </row>
    <row r="116360" spans="10:10" x14ac:dyDescent="0.3">
      <c r="J116360"/>
    </row>
    <row r="116361" spans="10:10" x14ac:dyDescent="0.3">
      <c r="J116361"/>
    </row>
    <row r="116362" spans="10:10" x14ac:dyDescent="0.3">
      <c r="J116362"/>
    </row>
    <row r="116363" spans="10:10" x14ac:dyDescent="0.3">
      <c r="J116363"/>
    </row>
    <row r="116364" spans="10:10" x14ac:dyDescent="0.3">
      <c r="J116364"/>
    </row>
    <row r="116365" spans="10:10" x14ac:dyDescent="0.3">
      <c r="J116365"/>
    </row>
    <row r="116366" spans="10:10" x14ac:dyDescent="0.3">
      <c r="J116366"/>
    </row>
    <row r="116367" spans="10:10" x14ac:dyDescent="0.3">
      <c r="J116367"/>
    </row>
    <row r="116368" spans="10:10" x14ac:dyDescent="0.3">
      <c r="J116368"/>
    </row>
    <row r="116369" spans="10:10" x14ac:dyDescent="0.3">
      <c r="J116369"/>
    </row>
    <row r="116370" spans="10:10" x14ac:dyDescent="0.3">
      <c r="J116370"/>
    </row>
    <row r="116371" spans="10:10" x14ac:dyDescent="0.3">
      <c r="J116371"/>
    </row>
    <row r="116372" spans="10:10" x14ac:dyDescent="0.3">
      <c r="J116372"/>
    </row>
    <row r="116373" spans="10:10" x14ac:dyDescent="0.3">
      <c r="J116373"/>
    </row>
    <row r="116374" spans="10:10" x14ac:dyDescent="0.3">
      <c r="J116374"/>
    </row>
    <row r="116375" spans="10:10" x14ac:dyDescent="0.3">
      <c r="J116375"/>
    </row>
    <row r="116376" spans="10:10" x14ac:dyDescent="0.3">
      <c r="J116376"/>
    </row>
    <row r="116377" spans="10:10" x14ac:dyDescent="0.3">
      <c r="J116377"/>
    </row>
    <row r="116378" spans="10:10" x14ac:dyDescent="0.3">
      <c r="J116378"/>
    </row>
    <row r="116379" spans="10:10" x14ac:dyDescent="0.3">
      <c r="J116379"/>
    </row>
    <row r="116380" spans="10:10" x14ac:dyDescent="0.3">
      <c r="J116380"/>
    </row>
    <row r="116381" spans="10:10" x14ac:dyDescent="0.3">
      <c r="J116381"/>
    </row>
    <row r="116382" spans="10:10" x14ac:dyDescent="0.3">
      <c r="J116382"/>
    </row>
    <row r="116383" spans="10:10" x14ac:dyDescent="0.3">
      <c r="J116383"/>
    </row>
    <row r="116384" spans="10:10" x14ac:dyDescent="0.3">
      <c r="J116384"/>
    </row>
    <row r="116385" spans="10:10" x14ac:dyDescent="0.3">
      <c r="J116385"/>
    </row>
    <row r="116386" spans="10:10" x14ac:dyDescent="0.3">
      <c r="J116386"/>
    </row>
    <row r="116387" spans="10:10" x14ac:dyDescent="0.3">
      <c r="J116387"/>
    </row>
    <row r="116388" spans="10:10" x14ac:dyDescent="0.3">
      <c r="J116388"/>
    </row>
    <row r="116389" spans="10:10" x14ac:dyDescent="0.3">
      <c r="J116389"/>
    </row>
    <row r="116390" spans="10:10" x14ac:dyDescent="0.3">
      <c r="J116390"/>
    </row>
    <row r="116391" spans="10:10" x14ac:dyDescent="0.3">
      <c r="J116391"/>
    </row>
    <row r="116392" spans="10:10" x14ac:dyDescent="0.3">
      <c r="J116392"/>
    </row>
    <row r="116393" spans="10:10" x14ac:dyDescent="0.3">
      <c r="J116393"/>
    </row>
    <row r="116394" spans="10:10" x14ac:dyDescent="0.3">
      <c r="J116394"/>
    </row>
    <row r="116395" spans="10:10" x14ac:dyDescent="0.3">
      <c r="J116395"/>
    </row>
    <row r="116396" spans="10:10" x14ac:dyDescent="0.3">
      <c r="J116396"/>
    </row>
    <row r="116397" spans="10:10" x14ac:dyDescent="0.3">
      <c r="J116397"/>
    </row>
    <row r="116398" spans="10:10" x14ac:dyDescent="0.3">
      <c r="J116398"/>
    </row>
    <row r="116399" spans="10:10" x14ac:dyDescent="0.3">
      <c r="J116399"/>
    </row>
    <row r="116400" spans="10:10" x14ac:dyDescent="0.3">
      <c r="J116400"/>
    </row>
    <row r="116401" spans="10:10" x14ac:dyDescent="0.3">
      <c r="J116401"/>
    </row>
    <row r="116402" spans="10:10" x14ac:dyDescent="0.3">
      <c r="J116402"/>
    </row>
    <row r="116403" spans="10:10" x14ac:dyDescent="0.3">
      <c r="J116403"/>
    </row>
    <row r="116404" spans="10:10" x14ac:dyDescent="0.3">
      <c r="J116404"/>
    </row>
    <row r="116405" spans="10:10" x14ac:dyDescent="0.3">
      <c r="J116405"/>
    </row>
    <row r="116406" spans="10:10" x14ac:dyDescent="0.3">
      <c r="J116406"/>
    </row>
    <row r="116407" spans="10:10" x14ac:dyDescent="0.3">
      <c r="J116407"/>
    </row>
    <row r="116408" spans="10:10" x14ac:dyDescent="0.3">
      <c r="J116408"/>
    </row>
    <row r="116409" spans="10:10" x14ac:dyDescent="0.3">
      <c r="J116409"/>
    </row>
    <row r="116410" spans="10:10" x14ac:dyDescent="0.3">
      <c r="J116410"/>
    </row>
    <row r="116411" spans="10:10" x14ac:dyDescent="0.3">
      <c r="J116411"/>
    </row>
    <row r="116412" spans="10:10" x14ac:dyDescent="0.3">
      <c r="J116412"/>
    </row>
    <row r="116413" spans="10:10" x14ac:dyDescent="0.3">
      <c r="J116413"/>
    </row>
    <row r="116414" spans="10:10" x14ac:dyDescent="0.3">
      <c r="J116414"/>
    </row>
    <row r="116415" spans="10:10" x14ac:dyDescent="0.3">
      <c r="J116415"/>
    </row>
    <row r="116416" spans="10:10" x14ac:dyDescent="0.3">
      <c r="J116416"/>
    </row>
    <row r="116417" spans="10:10" x14ac:dyDescent="0.3">
      <c r="J116417"/>
    </row>
    <row r="116418" spans="10:10" x14ac:dyDescent="0.3">
      <c r="J116418"/>
    </row>
    <row r="116419" spans="10:10" x14ac:dyDescent="0.3">
      <c r="J116419"/>
    </row>
    <row r="116420" spans="10:10" x14ac:dyDescent="0.3">
      <c r="J116420"/>
    </row>
    <row r="116421" spans="10:10" x14ac:dyDescent="0.3">
      <c r="J116421"/>
    </row>
    <row r="116422" spans="10:10" x14ac:dyDescent="0.3">
      <c r="J116422"/>
    </row>
    <row r="116423" spans="10:10" x14ac:dyDescent="0.3">
      <c r="J116423"/>
    </row>
    <row r="116424" spans="10:10" x14ac:dyDescent="0.3">
      <c r="J116424"/>
    </row>
    <row r="116425" spans="10:10" x14ac:dyDescent="0.3">
      <c r="J116425"/>
    </row>
    <row r="116426" spans="10:10" x14ac:dyDescent="0.3">
      <c r="J116426"/>
    </row>
    <row r="116427" spans="10:10" x14ac:dyDescent="0.3">
      <c r="J116427"/>
    </row>
    <row r="116428" spans="10:10" x14ac:dyDescent="0.3">
      <c r="J116428"/>
    </row>
    <row r="116429" spans="10:10" x14ac:dyDescent="0.3">
      <c r="J116429"/>
    </row>
    <row r="116430" spans="10:10" x14ac:dyDescent="0.3">
      <c r="J116430"/>
    </row>
    <row r="116431" spans="10:10" x14ac:dyDescent="0.3">
      <c r="J116431"/>
    </row>
    <row r="116432" spans="10:10" x14ac:dyDescent="0.3">
      <c r="J116432"/>
    </row>
    <row r="116433" spans="10:10" x14ac:dyDescent="0.3">
      <c r="J116433"/>
    </row>
    <row r="116434" spans="10:10" x14ac:dyDescent="0.3">
      <c r="J116434"/>
    </row>
    <row r="116435" spans="10:10" x14ac:dyDescent="0.3">
      <c r="J116435"/>
    </row>
    <row r="116436" spans="10:10" x14ac:dyDescent="0.3">
      <c r="J116436"/>
    </row>
    <row r="116437" spans="10:10" x14ac:dyDescent="0.3">
      <c r="J116437"/>
    </row>
    <row r="116438" spans="10:10" x14ac:dyDescent="0.3">
      <c r="J116438"/>
    </row>
    <row r="116439" spans="10:10" x14ac:dyDescent="0.3">
      <c r="J116439"/>
    </row>
    <row r="116440" spans="10:10" x14ac:dyDescent="0.3">
      <c r="J116440"/>
    </row>
    <row r="116441" spans="10:10" x14ac:dyDescent="0.3">
      <c r="J116441"/>
    </row>
    <row r="116442" spans="10:10" x14ac:dyDescent="0.3">
      <c r="J116442"/>
    </row>
    <row r="116443" spans="10:10" x14ac:dyDescent="0.3">
      <c r="J116443"/>
    </row>
    <row r="116444" spans="10:10" x14ac:dyDescent="0.3">
      <c r="J116444"/>
    </row>
    <row r="116445" spans="10:10" x14ac:dyDescent="0.3">
      <c r="J116445"/>
    </row>
    <row r="116446" spans="10:10" x14ac:dyDescent="0.3">
      <c r="J116446"/>
    </row>
    <row r="116447" spans="10:10" x14ac:dyDescent="0.3">
      <c r="J116447"/>
    </row>
    <row r="116448" spans="10:10" x14ac:dyDescent="0.3">
      <c r="J116448"/>
    </row>
    <row r="116449" spans="10:10" x14ac:dyDescent="0.3">
      <c r="J116449"/>
    </row>
    <row r="116450" spans="10:10" x14ac:dyDescent="0.3">
      <c r="J116450"/>
    </row>
    <row r="116451" spans="10:10" x14ac:dyDescent="0.3">
      <c r="J116451"/>
    </row>
    <row r="116452" spans="10:10" x14ac:dyDescent="0.3">
      <c r="J116452"/>
    </row>
    <row r="116453" spans="10:10" x14ac:dyDescent="0.3">
      <c r="J116453"/>
    </row>
    <row r="116454" spans="10:10" x14ac:dyDescent="0.3">
      <c r="J116454"/>
    </row>
    <row r="116455" spans="10:10" x14ac:dyDescent="0.3">
      <c r="J116455"/>
    </row>
    <row r="116456" spans="10:10" x14ac:dyDescent="0.3">
      <c r="J116456"/>
    </row>
    <row r="116457" spans="10:10" x14ac:dyDescent="0.3">
      <c r="J116457"/>
    </row>
    <row r="116458" spans="10:10" x14ac:dyDescent="0.3">
      <c r="J116458"/>
    </row>
    <row r="116459" spans="10:10" x14ac:dyDescent="0.3">
      <c r="J116459"/>
    </row>
    <row r="116460" spans="10:10" x14ac:dyDescent="0.3">
      <c r="J116460"/>
    </row>
    <row r="116461" spans="10:10" x14ac:dyDescent="0.3">
      <c r="J116461"/>
    </row>
    <row r="116462" spans="10:10" x14ac:dyDescent="0.3">
      <c r="J116462"/>
    </row>
    <row r="116463" spans="10:10" x14ac:dyDescent="0.3">
      <c r="J116463"/>
    </row>
    <row r="116464" spans="10:10" x14ac:dyDescent="0.3">
      <c r="J116464"/>
    </row>
    <row r="116465" spans="10:10" x14ac:dyDescent="0.3">
      <c r="J116465"/>
    </row>
    <row r="116466" spans="10:10" x14ac:dyDescent="0.3">
      <c r="J116466"/>
    </row>
    <row r="116467" spans="10:10" x14ac:dyDescent="0.3">
      <c r="J116467"/>
    </row>
    <row r="116468" spans="10:10" x14ac:dyDescent="0.3">
      <c r="J116468"/>
    </row>
    <row r="116469" spans="10:10" x14ac:dyDescent="0.3">
      <c r="J116469"/>
    </row>
    <row r="116470" spans="10:10" x14ac:dyDescent="0.3">
      <c r="J116470"/>
    </row>
    <row r="116471" spans="10:10" x14ac:dyDescent="0.3">
      <c r="J116471"/>
    </row>
    <row r="116472" spans="10:10" x14ac:dyDescent="0.3">
      <c r="J116472"/>
    </row>
    <row r="116473" spans="10:10" x14ac:dyDescent="0.3">
      <c r="J116473"/>
    </row>
    <row r="116474" spans="10:10" x14ac:dyDescent="0.3">
      <c r="J116474"/>
    </row>
    <row r="116475" spans="10:10" x14ac:dyDescent="0.3">
      <c r="J116475"/>
    </row>
    <row r="116476" spans="10:10" x14ac:dyDescent="0.3">
      <c r="J116476"/>
    </row>
    <row r="116477" spans="10:10" x14ac:dyDescent="0.3">
      <c r="J116477"/>
    </row>
    <row r="116478" spans="10:10" x14ac:dyDescent="0.3">
      <c r="J116478"/>
    </row>
    <row r="116479" spans="10:10" x14ac:dyDescent="0.3">
      <c r="J116479"/>
    </row>
    <row r="116480" spans="10:10" x14ac:dyDescent="0.3">
      <c r="J116480"/>
    </row>
    <row r="116481" spans="10:10" x14ac:dyDescent="0.3">
      <c r="J116481"/>
    </row>
    <row r="116482" spans="10:10" x14ac:dyDescent="0.3">
      <c r="J116482"/>
    </row>
    <row r="116483" spans="10:10" x14ac:dyDescent="0.3">
      <c r="J116483"/>
    </row>
    <row r="116484" spans="10:10" x14ac:dyDescent="0.3">
      <c r="J116484"/>
    </row>
    <row r="116485" spans="10:10" x14ac:dyDescent="0.3">
      <c r="J116485"/>
    </row>
    <row r="116486" spans="10:10" x14ac:dyDescent="0.3">
      <c r="J116486"/>
    </row>
    <row r="116487" spans="10:10" x14ac:dyDescent="0.3">
      <c r="J116487"/>
    </row>
    <row r="116488" spans="10:10" x14ac:dyDescent="0.3">
      <c r="J116488"/>
    </row>
    <row r="116489" spans="10:10" x14ac:dyDescent="0.3">
      <c r="J116489"/>
    </row>
    <row r="116490" spans="10:10" x14ac:dyDescent="0.3">
      <c r="J116490"/>
    </row>
    <row r="116491" spans="10:10" x14ac:dyDescent="0.3">
      <c r="J116491"/>
    </row>
    <row r="116492" spans="10:10" x14ac:dyDescent="0.3">
      <c r="J116492"/>
    </row>
    <row r="116493" spans="10:10" x14ac:dyDescent="0.3">
      <c r="J116493"/>
    </row>
    <row r="116494" spans="10:10" x14ac:dyDescent="0.3">
      <c r="J116494"/>
    </row>
    <row r="116495" spans="10:10" x14ac:dyDescent="0.3">
      <c r="J116495"/>
    </row>
    <row r="116496" spans="10:10" x14ac:dyDescent="0.3">
      <c r="J116496"/>
    </row>
    <row r="116497" spans="10:10" x14ac:dyDescent="0.3">
      <c r="J116497"/>
    </row>
    <row r="116498" spans="10:10" x14ac:dyDescent="0.3">
      <c r="J116498"/>
    </row>
    <row r="116499" spans="10:10" x14ac:dyDescent="0.3">
      <c r="J116499"/>
    </row>
    <row r="116500" spans="10:10" x14ac:dyDescent="0.3">
      <c r="J116500"/>
    </row>
    <row r="116501" spans="10:10" x14ac:dyDescent="0.3">
      <c r="J116501"/>
    </row>
    <row r="116502" spans="10:10" x14ac:dyDescent="0.3">
      <c r="J116502"/>
    </row>
    <row r="116503" spans="10:10" x14ac:dyDescent="0.3">
      <c r="J116503"/>
    </row>
    <row r="116504" spans="10:10" x14ac:dyDescent="0.3">
      <c r="J116504"/>
    </row>
    <row r="116505" spans="10:10" x14ac:dyDescent="0.3">
      <c r="J116505"/>
    </row>
    <row r="116506" spans="10:10" x14ac:dyDescent="0.3">
      <c r="J116506"/>
    </row>
    <row r="116507" spans="10:10" x14ac:dyDescent="0.3">
      <c r="J116507"/>
    </row>
    <row r="116508" spans="10:10" x14ac:dyDescent="0.3">
      <c r="J116508"/>
    </row>
    <row r="116509" spans="10:10" x14ac:dyDescent="0.3">
      <c r="J116509"/>
    </row>
    <row r="116510" spans="10:10" x14ac:dyDescent="0.3">
      <c r="J116510"/>
    </row>
    <row r="116511" spans="10:10" x14ac:dyDescent="0.3">
      <c r="J116511"/>
    </row>
    <row r="116512" spans="10:10" x14ac:dyDescent="0.3">
      <c r="J116512"/>
    </row>
    <row r="116513" spans="10:10" x14ac:dyDescent="0.3">
      <c r="J116513"/>
    </row>
    <row r="116514" spans="10:10" x14ac:dyDescent="0.3">
      <c r="J116514"/>
    </row>
    <row r="116515" spans="10:10" x14ac:dyDescent="0.3">
      <c r="J116515"/>
    </row>
    <row r="116516" spans="10:10" x14ac:dyDescent="0.3">
      <c r="J116516"/>
    </row>
    <row r="116517" spans="10:10" x14ac:dyDescent="0.3">
      <c r="J116517"/>
    </row>
    <row r="116518" spans="10:10" x14ac:dyDescent="0.3">
      <c r="J116518"/>
    </row>
    <row r="116519" spans="10:10" x14ac:dyDescent="0.3">
      <c r="J116519"/>
    </row>
    <row r="116520" spans="10:10" x14ac:dyDescent="0.3">
      <c r="J116520"/>
    </row>
    <row r="116521" spans="10:10" x14ac:dyDescent="0.3">
      <c r="J116521"/>
    </row>
    <row r="116522" spans="10:10" x14ac:dyDescent="0.3">
      <c r="J116522"/>
    </row>
    <row r="116523" spans="10:10" x14ac:dyDescent="0.3">
      <c r="J116523"/>
    </row>
    <row r="116524" spans="10:10" x14ac:dyDescent="0.3">
      <c r="J116524"/>
    </row>
    <row r="116525" spans="10:10" x14ac:dyDescent="0.3">
      <c r="J116525"/>
    </row>
    <row r="116526" spans="10:10" x14ac:dyDescent="0.3">
      <c r="J116526"/>
    </row>
    <row r="116527" spans="10:10" x14ac:dyDescent="0.3">
      <c r="J116527"/>
    </row>
    <row r="116528" spans="10:10" x14ac:dyDescent="0.3">
      <c r="J116528"/>
    </row>
    <row r="116529" spans="10:10" x14ac:dyDescent="0.3">
      <c r="J116529"/>
    </row>
    <row r="116530" spans="10:10" x14ac:dyDescent="0.3">
      <c r="J116530"/>
    </row>
    <row r="116531" spans="10:10" x14ac:dyDescent="0.3">
      <c r="J116531"/>
    </row>
    <row r="116532" spans="10:10" x14ac:dyDescent="0.3">
      <c r="J116532"/>
    </row>
    <row r="116533" spans="10:10" x14ac:dyDescent="0.3">
      <c r="J116533"/>
    </row>
    <row r="116534" spans="10:10" x14ac:dyDescent="0.3">
      <c r="J116534"/>
    </row>
    <row r="116535" spans="10:10" x14ac:dyDescent="0.3">
      <c r="J116535"/>
    </row>
    <row r="116536" spans="10:10" x14ac:dyDescent="0.3">
      <c r="J116536"/>
    </row>
    <row r="116537" spans="10:10" x14ac:dyDescent="0.3">
      <c r="J116537"/>
    </row>
    <row r="116538" spans="10:10" x14ac:dyDescent="0.3">
      <c r="J116538"/>
    </row>
    <row r="116539" spans="10:10" x14ac:dyDescent="0.3">
      <c r="J116539"/>
    </row>
    <row r="116540" spans="10:10" x14ac:dyDescent="0.3">
      <c r="J116540"/>
    </row>
    <row r="116541" spans="10:10" x14ac:dyDescent="0.3">
      <c r="J116541"/>
    </row>
    <row r="116542" spans="10:10" x14ac:dyDescent="0.3">
      <c r="J116542"/>
    </row>
    <row r="116543" spans="10:10" x14ac:dyDescent="0.3">
      <c r="J116543"/>
    </row>
    <row r="116544" spans="10:10" x14ac:dyDescent="0.3">
      <c r="J116544"/>
    </row>
    <row r="116545" spans="10:10" x14ac:dyDescent="0.3">
      <c r="J116545"/>
    </row>
    <row r="116546" spans="10:10" x14ac:dyDescent="0.3">
      <c r="J116546"/>
    </row>
    <row r="116547" spans="10:10" x14ac:dyDescent="0.3">
      <c r="J116547"/>
    </row>
    <row r="116548" spans="10:10" x14ac:dyDescent="0.3">
      <c r="J116548"/>
    </row>
    <row r="116549" spans="10:10" x14ac:dyDescent="0.3">
      <c r="J116549"/>
    </row>
    <row r="116550" spans="10:10" x14ac:dyDescent="0.3">
      <c r="J116550"/>
    </row>
    <row r="116551" spans="10:10" x14ac:dyDescent="0.3">
      <c r="J116551"/>
    </row>
    <row r="116552" spans="10:10" x14ac:dyDescent="0.3">
      <c r="J116552"/>
    </row>
    <row r="116553" spans="10:10" x14ac:dyDescent="0.3">
      <c r="J116553"/>
    </row>
    <row r="116554" spans="10:10" x14ac:dyDescent="0.3">
      <c r="J116554"/>
    </row>
    <row r="116555" spans="10:10" x14ac:dyDescent="0.3">
      <c r="J116555"/>
    </row>
    <row r="116556" spans="10:10" x14ac:dyDescent="0.3">
      <c r="J116556"/>
    </row>
    <row r="116557" spans="10:10" x14ac:dyDescent="0.3">
      <c r="J116557"/>
    </row>
    <row r="116558" spans="10:10" x14ac:dyDescent="0.3">
      <c r="J116558"/>
    </row>
    <row r="116559" spans="10:10" x14ac:dyDescent="0.3">
      <c r="J116559"/>
    </row>
    <row r="116560" spans="10:10" x14ac:dyDescent="0.3">
      <c r="J116560"/>
    </row>
    <row r="116561" spans="10:10" x14ac:dyDescent="0.3">
      <c r="J116561"/>
    </row>
    <row r="116562" spans="10:10" x14ac:dyDescent="0.3">
      <c r="J116562"/>
    </row>
    <row r="116563" spans="10:10" x14ac:dyDescent="0.3">
      <c r="J116563"/>
    </row>
    <row r="116564" spans="10:10" x14ac:dyDescent="0.3">
      <c r="J116564"/>
    </row>
    <row r="116565" spans="10:10" x14ac:dyDescent="0.3">
      <c r="J116565"/>
    </row>
    <row r="116566" spans="10:10" x14ac:dyDescent="0.3">
      <c r="J116566"/>
    </row>
    <row r="116567" spans="10:10" x14ac:dyDescent="0.3">
      <c r="J116567"/>
    </row>
    <row r="116568" spans="10:10" x14ac:dyDescent="0.3">
      <c r="J116568"/>
    </row>
    <row r="116569" spans="10:10" x14ac:dyDescent="0.3">
      <c r="J116569"/>
    </row>
    <row r="116570" spans="10:10" x14ac:dyDescent="0.3">
      <c r="J116570"/>
    </row>
    <row r="116571" spans="10:10" x14ac:dyDescent="0.3">
      <c r="J116571"/>
    </row>
    <row r="116572" spans="10:10" x14ac:dyDescent="0.3">
      <c r="J116572"/>
    </row>
    <row r="116573" spans="10:10" x14ac:dyDescent="0.3">
      <c r="J116573"/>
    </row>
    <row r="116574" spans="10:10" x14ac:dyDescent="0.3">
      <c r="J116574"/>
    </row>
    <row r="116575" spans="10:10" x14ac:dyDescent="0.3">
      <c r="J116575"/>
    </row>
    <row r="116576" spans="10:10" x14ac:dyDescent="0.3">
      <c r="J116576"/>
    </row>
    <row r="116577" spans="10:10" x14ac:dyDescent="0.3">
      <c r="J116577"/>
    </row>
    <row r="116578" spans="10:10" x14ac:dyDescent="0.3">
      <c r="J116578"/>
    </row>
    <row r="116579" spans="10:10" x14ac:dyDescent="0.3">
      <c r="J116579"/>
    </row>
    <row r="116580" spans="10:10" x14ac:dyDescent="0.3">
      <c r="J116580"/>
    </row>
    <row r="116581" spans="10:10" x14ac:dyDescent="0.3">
      <c r="J116581"/>
    </row>
    <row r="116582" spans="10:10" x14ac:dyDescent="0.3">
      <c r="J116582"/>
    </row>
    <row r="116583" spans="10:10" x14ac:dyDescent="0.3">
      <c r="J116583"/>
    </row>
    <row r="116584" spans="10:10" x14ac:dyDescent="0.3">
      <c r="J116584"/>
    </row>
    <row r="116585" spans="10:10" x14ac:dyDescent="0.3">
      <c r="J116585"/>
    </row>
    <row r="116586" spans="10:10" x14ac:dyDescent="0.3">
      <c r="J116586"/>
    </row>
    <row r="116587" spans="10:10" x14ac:dyDescent="0.3">
      <c r="J116587"/>
    </row>
    <row r="116588" spans="10:10" x14ac:dyDescent="0.3">
      <c r="J116588"/>
    </row>
    <row r="116589" spans="10:10" x14ac:dyDescent="0.3">
      <c r="J116589"/>
    </row>
    <row r="116590" spans="10:10" x14ac:dyDescent="0.3">
      <c r="J116590"/>
    </row>
    <row r="116591" spans="10:10" x14ac:dyDescent="0.3">
      <c r="J116591"/>
    </row>
    <row r="116592" spans="10:10" x14ac:dyDescent="0.3">
      <c r="J116592"/>
    </row>
    <row r="116593" spans="10:10" x14ac:dyDescent="0.3">
      <c r="J116593"/>
    </row>
    <row r="116594" spans="10:10" x14ac:dyDescent="0.3">
      <c r="J116594"/>
    </row>
    <row r="116595" spans="10:10" x14ac:dyDescent="0.3">
      <c r="J116595"/>
    </row>
    <row r="116596" spans="10:10" x14ac:dyDescent="0.3">
      <c r="J116596"/>
    </row>
    <row r="116597" spans="10:10" x14ac:dyDescent="0.3">
      <c r="J116597"/>
    </row>
    <row r="116598" spans="10:10" x14ac:dyDescent="0.3">
      <c r="J116598"/>
    </row>
    <row r="116599" spans="10:10" x14ac:dyDescent="0.3">
      <c r="J116599"/>
    </row>
    <row r="116600" spans="10:10" x14ac:dyDescent="0.3">
      <c r="J116600"/>
    </row>
    <row r="116601" spans="10:10" x14ac:dyDescent="0.3">
      <c r="J116601"/>
    </row>
    <row r="116602" spans="10:10" x14ac:dyDescent="0.3">
      <c r="J116602"/>
    </row>
    <row r="116603" spans="10:10" x14ac:dyDescent="0.3">
      <c r="J116603"/>
    </row>
    <row r="116604" spans="10:10" x14ac:dyDescent="0.3">
      <c r="J116604"/>
    </row>
    <row r="116605" spans="10:10" x14ac:dyDescent="0.3">
      <c r="J116605"/>
    </row>
    <row r="116606" spans="10:10" x14ac:dyDescent="0.3">
      <c r="J116606"/>
    </row>
    <row r="116607" spans="10:10" x14ac:dyDescent="0.3">
      <c r="J116607"/>
    </row>
    <row r="116608" spans="10:10" x14ac:dyDescent="0.3">
      <c r="J116608"/>
    </row>
    <row r="116609" spans="10:10" x14ac:dyDescent="0.3">
      <c r="J116609"/>
    </row>
    <row r="116610" spans="10:10" x14ac:dyDescent="0.3">
      <c r="J116610"/>
    </row>
    <row r="116611" spans="10:10" x14ac:dyDescent="0.3">
      <c r="J116611"/>
    </row>
    <row r="116612" spans="10:10" x14ac:dyDescent="0.3">
      <c r="J116612"/>
    </row>
    <row r="116613" spans="10:10" x14ac:dyDescent="0.3">
      <c r="J116613"/>
    </row>
    <row r="116614" spans="10:10" x14ac:dyDescent="0.3">
      <c r="J116614"/>
    </row>
    <row r="116615" spans="10:10" x14ac:dyDescent="0.3">
      <c r="J116615"/>
    </row>
    <row r="116616" spans="10:10" x14ac:dyDescent="0.3">
      <c r="J116616"/>
    </row>
    <row r="116617" spans="10:10" x14ac:dyDescent="0.3">
      <c r="J116617"/>
    </row>
    <row r="116618" spans="10:10" x14ac:dyDescent="0.3">
      <c r="J116618"/>
    </row>
    <row r="116619" spans="10:10" x14ac:dyDescent="0.3">
      <c r="J116619"/>
    </row>
    <row r="116620" spans="10:10" x14ac:dyDescent="0.3">
      <c r="J116620"/>
    </row>
    <row r="116621" spans="10:10" x14ac:dyDescent="0.3">
      <c r="J116621"/>
    </row>
    <row r="116622" spans="10:10" x14ac:dyDescent="0.3">
      <c r="J116622"/>
    </row>
    <row r="116623" spans="10:10" x14ac:dyDescent="0.3">
      <c r="J116623"/>
    </row>
    <row r="116624" spans="10:10" x14ac:dyDescent="0.3">
      <c r="J116624"/>
    </row>
    <row r="116625" spans="10:10" x14ac:dyDescent="0.3">
      <c r="J116625"/>
    </row>
    <row r="116626" spans="10:10" x14ac:dyDescent="0.3">
      <c r="J116626"/>
    </row>
    <row r="116627" spans="10:10" x14ac:dyDescent="0.3">
      <c r="J116627"/>
    </row>
    <row r="116628" spans="10:10" x14ac:dyDescent="0.3">
      <c r="J116628"/>
    </row>
    <row r="116629" spans="10:10" x14ac:dyDescent="0.3">
      <c r="J116629"/>
    </row>
    <row r="116630" spans="10:10" x14ac:dyDescent="0.3">
      <c r="J116630"/>
    </row>
    <row r="116631" spans="10:10" x14ac:dyDescent="0.3">
      <c r="J116631"/>
    </row>
    <row r="116632" spans="10:10" x14ac:dyDescent="0.3">
      <c r="J116632"/>
    </row>
    <row r="116633" spans="10:10" x14ac:dyDescent="0.3">
      <c r="J116633"/>
    </row>
    <row r="116634" spans="10:10" x14ac:dyDescent="0.3">
      <c r="J116634"/>
    </row>
    <row r="116635" spans="10:10" x14ac:dyDescent="0.3">
      <c r="J116635"/>
    </row>
    <row r="116636" spans="10:10" x14ac:dyDescent="0.3">
      <c r="J116636"/>
    </row>
    <row r="116637" spans="10:10" x14ac:dyDescent="0.3">
      <c r="J116637"/>
    </row>
    <row r="116638" spans="10:10" x14ac:dyDescent="0.3">
      <c r="J116638"/>
    </row>
    <row r="116639" spans="10:10" x14ac:dyDescent="0.3">
      <c r="J116639"/>
    </row>
    <row r="116640" spans="10:10" x14ac:dyDescent="0.3">
      <c r="J116640"/>
    </row>
    <row r="116641" spans="10:10" x14ac:dyDescent="0.3">
      <c r="J116641"/>
    </row>
    <row r="116642" spans="10:10" x14ac:dyDescent="0.3">
      <c r="J116642"/>
    </row>
    <row r="116643" spans="10:10" x14ac:dyDescent="0.3">
      <c r="J116643"/>
    </row>
    <row r="116644" spans="10:10" x14ac:dyDescent="0.3">
      <c r="J116644"/>
    </row>
    <row r="116645" spans="10:10" x14ac:dyDescent="0.3">
      <c r="J116645"/>
    </row>
    <row r="116646" spans="10:10" x14ac:dyDescent="0.3">
      <c r="J116646"/>
    </row>
    <row r="116647" spans="10:10" x14ac:dyDescent="0.3">
      <c r="J116647"/>
    </row>
    <row r="116648" spans="10:10" x14ac:dyDescent="0.3">
      <c r="J116648"/>
    </row>
    <row r="116649" spans="10:10" x14ac:dyDescent="0.3">
      <c r="J116649"/>
    </row>
    <row r="116650" spans="10:10" x14ac:dyDescent="0.3">
      <c r="J116650"/>
    </row>
    <row r="116651" spans="10:10" x14ac:dyDescent="0.3">
      <c r="J116651"/>
    </row>
    <row r="116652" spans="10:10" x14ac:dyDescent="0.3">
      <c r="J116652"/>
    </row>
    <row r="116653" spans="10:10" x14ac:dyDescent="0.3">
      <c r="J116653"/>
    </row>
    <row r="116654" spans="10:10" x14ac:dyDescent="0.3">
      <c r="J116654"/>
    </row>
    <row r="116655" spans="10:10" x14ac:dyDescent="0.3">
      <c r="J116655"/>
    </row>
    <row r="116656" spans="10:10" x14ac:dyDescent="0.3">
      <c r="J116656"/>
    </row>
    <row r="116657" spans="10:10" x14ac:dyDescent="0.3">
      <c r="J116657"/>
    </row>
    <row r="116658" spans="10:10" x14ac:dyDescent="0.3">
      <c r="J116658"/>
    </row>
    <row r="116659" spans="10:10" x14ac:dyDescent="0.3">
      <c r="J116659"/>
    </row>
    <row r="116660" spans="10:10" x14ac:dyDescent="0.3">
      <c r="J116660"/>
    </row>
    <row r="116661" spans="10:10" x14ac:dyDescent="0.3">
      <c r="J116661"/>
    </row>
    <row r="116662" spans="10:10" x14ac:dyDescent="0.3">
      <c r="J116662"/>
    </row>
    <row r="116663" spans="10:10" x14ac:dyDescent="0.3">
      <c r="J116663"/>
    </row>
    <row r="116664" spans="10:10" x14ac:dyDescent="0.3">
      <c r="J116664"/>
    </row>
    <row r="116665" spans="10:10" x14ac:dyDescent="0.3">
      <c r="J116665"/>
    </row>
    <row r="116666" spans="10:10" x14ac:dyDescent="0.3">
      <c r="J116666"/>
    </row>
    <row r="116667" spans="10:10" x14ac:dyDescent="0.3">
      <c r="J116667"/>
    </row>
    <row r="116668" spans="10:10" x14ac:dyDescent="0.3">
      <c r="J116668"/>
    </row>
    <row r="116669" spans="10:10" x14ac:dyDescent="0.3">
      <c r="J116669"/>
    </row>
    <row r="116670" spans="10:10" x14ac:dyDescent="0.3">
      <c r="J116670"/>
    </row>
    <row r="116671" spans="10:10" x14ac:dyDescent="0.3">
      <c r="J116671"/>
    </row>
    <row r="116672" spans="10:10" x14ac:dyDescent="0.3">
      <c r="J116672"/>
    </row>
    <row r="116673" spans="10:10" x14ac:dyDescent="0.3">
      <c r="J116673"/>
    </row>
    <row r="116674" spans="10:10" x14ac:dyDescent="0.3">
      <c r="J116674"/>
    </row>
    <row r="116675" spans="10:10" x14ac:dyDescent="0.3">
      <c r="J116675"/>
    </row>
    <row r="116676" spans="10:10" x14ac:dyDescent="0.3">
      <c r="J116676"/>
    </row>
    <row r="116677" spans="10:10" x14ac:dyDescent="0.3">
      <c r="J116677"/>
    </row>
    <row r="116678" spans="10:10" x14ac:dyDescent="0.3">
      <c r="J116678"/>
    </row>
    <row r="116679" spans="10:10" x14ac:dyDescent="0.3">
      <c r="J116679"/>
    </row>
    <row r="116680" spans="10:10" x14ac:dyDescent="0.3">
      <c r="J116680"/>
    </row>
    <row r="116681" spans="10:10" x14ac:dyDescent="0.3">
      <c r="J116681"/>
    </row>
    <row r="116682" spans="10:10" x14ac:dyDescent="0.3">
      <c r="J116682"/>
    </row>
    <row r="116683" spans="10:10" x14ac:dyDescent="0.3">
      <c r="J116683"/>
    </row>
    <row r="116684" spans="10:10" x14ac:dyDescent="0.3">
      <c r="J116684"/>
    </row>
    <row r="116685" spans="10:10" x14ac:dyDescent="0.3">
      <c r="J116685"/>
    </row>
    <row r="116686" spans="10:10" x14ac:dyDescent="0.3">
      <c r="J116686"/>
    </row>
    <row r="116687" spans="10:10" x14ac:dyDescent="0.3">
      <c r="J116687"/>
    </row>
    <row r="116688" spans="10:10" x14ac:dyDescent="0.3">
      <c r="J116688"/>
    </row>
    <row r="116689" spans="10:10" x14ac:dyDescent="0.3">
      <c r="J116689"/>
    </row>
    <row r="116690" spans="10:10" x14ac:dyDescent="0.3">
      <c r="J116690"/>
    </row>
    <row r="116691" spans="10:10" x14ac:dyDescent="0.3">
      <c r="J116691"/>
    </row>
    <row r="116692" spans="10:10" x14ac:dyDescent="0.3">
      <c r="J116692"/>
    </row>
    <row r="116693" spans="10:10" x14ac:dyDescent="0.3">
      <c r="J116693"/>
    </row>
    <row r="116694" spans="10:10" x14ac:dyDescent="0.3">
      <c r="J116694"/>
    </row>
    <row r="116695" spans="10:10" x14ac:dyDescent="0.3">
      <c r="J116695"/>
    </row>
    <row r="116696" spans="10:10" x14ac:dyDescent="0.3">
      <c r="J116696"/>
    </row>
    <row r="116697" spans="10:10" x14ac:dyDescent="0.3">
      <c r="J116697"/>
    </row>
    <row r="116698" spans="10:10" x14ac:dyDescent="0.3">
      <c r="J116698"/>
    </row>
    <row r="116699" spans="10:10" x14ac:dyDescent="0.3">
      <c r="J116699"/>
    </row>
    <row r="116700" spans="10:10" x14ac:dyDescent="0.3">
      <c r="J116700"/>
    </row>
    <row r="116701" spans="10:10" x14ac:dyDescent="0.3">
      <c r="J116701"/>
    </row>
    <row r="116702" spans="10:10" x14ac:dyDescent="0.3">
      <c r="J116702"/>
    </row>
    <row r="116703" spans="10:10" x14ac:dyDescent="0.3">
      <c r="J116703"/>
    </row>
    <row r="116704" spans="10:10" x14ac:dyDescent="0.3">
      <c r="J116704"/>
    </row>
    <row r="116705" spans="10:10" x14ac:dyDescent="0.3">
      <c r="J116705"/>
    </row>
    <row r="116706" spans="10:10" x14ac:dyDescent="0.3">
      <c r="J116706"/>
    </row>
    <row r="116707" spans="10:10" x14ac:dyDescent="0.3">
      <c r="J116707"/>
    </row>
    <row r="116708" spans="10:10" x14ac:dyDescent="0.3">
      <c r="J116708"/>
    </row>
    <row r="116709" spans="10:10" x14ac:dyDescent="0.3">
      <c r="J116709"/>
    </row>
    <row r="116710" spans="10:10" x14ac:dyDescent="0.3">
      <c r="J116710"/>
    </row>
    <row r="116711" spans="10:10" x14ac:dyDescent="0.3">
      <c r="J116711"/>
    </row>
    <row r="116712" spans="10:10" x14ac:dyDescent="0.3">
      <c r="J116712"/>
    </row>
    <row r="116713" spans="10:10" x14ac:dyDescent="0.3">
      <c r="J116713"/>
    </row>
    <row r="116714" spans="10:10" x14ac:dyDescent="0.3">
      <c r="J116714"/>
    </row>
    <row r="116715" spans="10:10" x14ac:dyDescent="0.3">
      <c r="J116715"/>
    </row>
    <row r="116716" spans="10:10" x14ac:dyDescent="0.3">
      <c r="J116716"/>
    </row>
    <row r="116717" spans="10:10" x14ac:dyDescent="0.3">
      <c r="J116717"/>
    </row>
    <row r="116718" spans="10:10" x14ac:dyDescent="0.3">
      <c r="J116718"/>
    </row>
    <row r="116719" spans="10:10" x14ac:dyDescent="0.3">
      <c r="J116719"/>
    </row>
    <row r="116720" spans="10:10" x14ac:dyDescent="0.3">
      <c r="J116720"/>
    </row>
    <row r="116721" spans="10:10" x14ac:dyDescent="0.3">
      <c r="J116721"/>
    </row>
    <row r="116722" spans="10:10" x14ac:dyDescent="0.3">
      <c r="J116722"/>
    </row>
    <row r="116723" spans="10:10" x14ac:dyDescent="0.3">
      <c r="J116723"/>
    </row>
    <row r="116724" spans="10:10" x14ac:dyDescent="0.3">
      <c r="J116724"/>
    </row>
    <row r="116725" spans="10:10" x14ac:dyDescent="0.3">
      <c r="J116725"/>
    </row>
    <row r="116726" spans="10:10" x14ac:dyDescent="0.3">
      <c r="J116726"/>
    </row>
    <row r="116727" spans="10:10" x14ac:dyDescent="0.3">
      <c r="J116727"/>
    </row>
    <row r="116728" spans="10:10" x14ac:dyDescent="0.3">
      <c r="J116728"/>
    </row>
    <row r="116729" spans="10:10" x14ac:dyDescent="0.3">
      <c r="J116729"/>
    </row>
    <row r="116730" spans="10:10" x14ac:dyDescent="0.3">
      <c r="J116730"/>
    </row>
    <row r="116731" spans="10:10" x14ac:dyDescent="0.3">
      <c r="J116731"/>
    </row>
    <row r="116732" spans="10:10" x14ac:dyDescent="0.3">
      <c r="J116732"/>
    </row>
    <row r="116733" spans="10:10" x14ac:dyDescent="0.3">
      <c r="J116733"/>
    </row>
    <row r="116734" spans="10:10" x14ac:dyDescent="0.3">
      <c r="J116734"/>
    </row>
    <row r="116735" spans="10:10" x14ac:dyDescent="0.3">
      <c r="J116735"/>
    </row>
    <row r="116736" spans="10:10" x14ac:dyDescent="0.3">
      <c r="J116736"/>
    </row>
    <row r="116737" spans="10:10" x14ac:dyDescent="0.3">
      <c r="J116737"/>
    </row>
    <row r="116738" spans="10:10" x14ac:dyDescent="0.3">
      <c r="J116738"/>
    </row>
    <row r="116739" spans="10:10" x14ac:dyDescent="0.3">
      <c r="J116739"/>
    </row>
    <row r="116740" spans="10:10" x14ac:dyDescent="0.3">
      <c r="J116740"/>
    </row>
    <row r="116741" spans="10:10" x14ac:dyDescent="0.3">
      <c r="J116741"/>
    </row>
    <row r="116742" spans="10:10" x14ac:dyDescent="0.3">
      <c r="J116742"/>
    </row>
    <row r="116743" spans="10:10" x14ac:dyDescent="0.3">
      <c r="J116743"/>
    </row>
    <row r="116744" spans="10:10" x14ac:dyDescent="0.3">
      <c r="J116744"/>
    </row>
    <row r="116745" spans="10:10" x14ac:dyDescent="0.3">
      <c r="J116745"/>
    </row>
    <row r="116746" spans="10:10" x14ac:dyDescent="0.3">
      <c r="J116746"/>
    </row>
    <row r="116747" spans="10:10" x14ac:dyDescent="0.3">
      <c r="J116747"/>
    </row>
    <row r="116748" spans="10:10" x14ac:dyDescent="0.3">
      <c r="J116748"/>
    </row>
    <row r="116749" spans="10:10" x14ac:dyDescent="0.3">
      <c r="J116749"/>
    </row>
    <row r="116750" spans="10:10" x14ac:dyDescent="0.3">
      <c r="J116750"/>
    </row>
    <row r="116751" spans="10:10" x14ac:dyDescent="0.3">
      <c r="J116751"/>
    </row>
    <row r="116752" spans="10:10" x14ac:dyDescent="0.3">
      <c r="J116752"/>
    </row>
    <row r="116753" spans="10:10" x14ac:dyDescent="0.3">
      <c r="J116753"/>
    </row>
    <row r="116754" spans="10:10" x14ac:dyDescent="0.3">
      <c r="J116754"/>
    </row>
    <row r="116755" spans="10:10" x14ac:dyDescent="0.3">
      <c r="J116755"/>
    </row>
    <row r="116756" spans="10:10" x14ac:dyDescent="0.3">
      <c r="J116756"/>
    </row>
    <row r="116757" spans="10:10" x14ac:dyDescent="0.3">
      <c r="J116757"/>
    </row>
    <row r="116758" spans="10:10" x14ac:dyDescent="0.3">
      <c r="J116758"/>
    </row>
    <row r="116759" spans="10:10" x14ac:dyDescent="0.3">
      <c r="J116759"/>
    </row>
    <row r="116760" spans="10:10" x14ac:dyDescent="0.3">
      <c r="J116760"/>
    </row>
    <row r="116761" spans="10:10" x14ac:dyDescent="0.3">
      <c r="J116761"/>
    </row>
    <row r="116762" spans="10:10" x14ac:dyDescent="0.3">
      <c r="J116762"/>
    </row>
    <row r="116763" spans="10:10" x14ac:dyDescent="0.3">
      <c r="J116763"/>
    </row>
    <row r="116764" spans="10:10" x14ac:dyDescent="0.3">
      <c r="J116764"/>
    </row>
    <row r="116765" spans="10:10" x14ac:dyDescent="0.3">
      <c r="J116765"/>
    </row>
    <row r="116766" spans="10:10" x14ac:dyDescent="0.3">
      <c r="J116766"/>
    </row>
    <row r="116767" spans="10:10" x14ac:dyDescent="0.3">
      <c r="J116767"/>
    </row>
    <row r="116768" spans="10:10" x14ac:dyDescent="0.3">
      <c r="J116768"/>
    </row>
    <row r="116769" spans="10:10" x14ac:dyDescent="0.3">
      <c r="J116769"/>
    </row>
    <row r="116770" spans="10:10" x14ac:dyDescent="0.3">
      <c r="J116770"/>
    </row>
    <row r="116771" spans="10:10" x14ac:dyDescent="0.3">
      <c r="J116771"/>
    </row>
    <row r="116772" spans="10:10" x14ac:dyDescent="0.3">
      <c r="J116772"/>
    </row>
    <row r="116773" spans="10:10" x14ac:dyDescent="0.3">
      <c r="J116773"/>
    </row>
    <row r="116774" spans="10:10" x14ac:dyDescent="0.3">
      <c r="J116774"/>
    </row>
    <row r="116775" spans="10:10" x14ac:dyDescent="0.3">
      <c r="J116775"/>
    </row>
    <row r="116776" spans="10:10" x14ac:dyDescent="0.3">
      <c r="J116776"/>
    </row>
    <row r="116777" spans="10:10" x14ac:dyDescent="0.3">
      <c r="J116777"/>
    </row>
    <row r="116778" spans="10:10" x14ac:dyDescent="0.3">
      <c r="J116778"/>
    </row>
    <row r="116779" spans="10:10" x14ac:dyDescent="0.3">
      <c r="J116779"/>
    </row>
    <row r="116780" spans="10:10" x14ac:dyDescent="0.3">
      <c r="J116780"/>
    </row>
    <row r="116781" spans="10:10" x14ac:dyDescent="0.3">
      <c r="J116781"/>
    </row>
    <row r="116782" spans="10:10" x14ac:dyDescent="0.3">
      <c r="J116782"/>
    </row>
    <row r="116783" spans="10:10" x14ac:dyDescent="0.3">
      <c r="J116783"/>
    </row>
    <row r="116784" spans="10:10" x14ac:dyDescent="0.3">
      <c r="J116784"/>
    </row>
    <row r="116785" spans="10:10" x14ac:dyDescent="0.3">
      <c r="J116785"/>
    </row>
    <row r="116786" spans="10:10" x14ac:dyDescent="0.3">
      <c r="J116786"/>
    </row>
    <row r="116787" spans="10:10" x14ac:dyDescent="0.3">
      <c r="J116787"/>
    </row>
    <row r="116788" spans="10:10" x14ac:dyDescent="0.3">
      <c r="J116788"/>
    </row>
    <row r="116789" spans="10:10" x14ac:dyDescent="0.3">
      <c r="J116789"/>
    </row>
    <row r="116790" spans="10:10" x14ac:dyDescent="0.3">
      <c r="J116790"/>
    </row>
    <row r="116791" spans="10:10" x14ac:dyDescent="0.3">
      <c r="J116791"/>
    </row>
    <row r="116792" spans="10:10" x14ac:dyDescent="0.3">
      <c r="J116792"/>
    </row>
    <row r="116793" spans="10:10" x14ac:dyDescent="0.3">
      <c r="J116793"/>
    </row>
    <row r="116794" spans="10:10" x14ac:dyDescent="0.3">
      <c r="J116794"/>
    </row>
    <row r="116795" spans="10:10" x14ac:dyDescent="0.3">
      <c r="J116795"/>
    </row>
    <row r="116796" spans="10:10" x14ac:dyDescent="0.3">
      <c r="J116796"/>
    </row>
    <row r="116797" spans="10:10" x14ac:dyDescent="0.3">
      <c r="J116797"/>
    </row>
    <row r="116798" spans="10:10" x14ac:dyDescent="0.3">
      <c r="J116798"/>
    </row>
    <row r="116799" spans="10:10" x14ac:dyDescent="0.3">
      <c r="J116799"/>
    </row>
    <row r="116800" spans="10:10" x14ac:dyDescent="0.3">
      <c r="J116800"/>
    </row>
    <row r="116801" spans="10:10" x14ac:dyDescent="0.3">
      <c r="J116801"/>
    </row>
    <row r="116802" spans="10:10" x14ac:dyDescent="0.3">
      <c r="J116802"/>
    </row>
    <row r="116803" spans="10:10" x14ac:dyDescent="0.3">
      <c r="J116803"/>
    </row>
    <row r="116804" spans="10:10" x14ac:dyDescent="0.3">
      <c r="J116804"/>
    </row>
    <row r="116805" spans="10:10" x14ac:dyDescent="0.3">
      <c r="J116805"/>
    </row>
    <row r="116806" spans="10:10" x14ac:dyDescent="0.3">
      <c r="J116806"/>
    </row>
    <row r="116807" spans="10:10" x14ac:dyDescent="0.3">
      <c r="J116807"/>
    </row>
    <row r="116808" spans="10:10" x14ac:dyDescent="0.3">
      <c r="J116808"/>
    </row>
    <row r="116809" spans="10:10" x14ac:dyDescent="0.3">
      <c r="J116809"/>
    </row>
    <row r="116810" spans="10:10" x14ac:dyDescent="0.3">
      <c r="J116810"/>
    </row>
    <row r="116811" spans="10:10" x14ac:dyDescent="0.3">
      <c r="J116811"/>
    </row>
    <row r="116812" spans="10:10" x14ac:dyDescent="0.3">
      <c r="J116812"/>
    </row>
    <row r="116813" spans="10:10" x14ac:dyDescent="0.3">
      <c r="J116813"/>
    </row>
    <row r="116814" spans="10:10" x14ac:dyDescent="0.3">
      <c r="J116814"/>
    </row>
    <row r="116815" spans="10:10" x14ac:dyDescent="0.3">
      <c r="J116815"/>
    </row>
    <row r="116816" spans="10:10" x14ac:dyDescent="0.3">
      <c r="J116816"/>
    </row>
    <row r="116817" spans="10:10" x14ac:dyDescent="0.3">
      <c r="J116817"/>
    </row>
    <row r="116818" spans="10:10" x14ac:dyDescent="0.3">
      <c r="J116818"/>
    </row>
    <row r="116819" spans="10:10" x14ac:dyDescent="0.3">
      <c r="J116819"/>
    </row>
    <row r="116820" spans="10:10" x14ac:dyDescent="0.3">
      <c r="J116820"/>
    </row>
    <row r="116821" spans="10:10" x14ac:dyDescent="0.3">
      <c r="J116821"/>
    </row>
    <row r="116822" spans="10:10" x14ac:dyDescent="0.3">
      <c r="J116822"/>
    </row>
    <row r="116823" spans="10:10" x14ac:dyDescent="0.3">
      <c r="J116823"/>
    </row>
    <row r="116824" spans="10:10" x14ac:dyDescent="0.3">
      <c r="J116824"/>
    </row>
    <row r="116825" spans="10:10" x14ac:dyDescent="0.3">
      <c r="J116825"/>
    </row>
    <row r="116826" spans="10:10" x14ac:dyDescent="0.3">
      <c r="J116826"/>
    </row>
    <row r="116827" spans="10:10" x14ac:dyDescent="0.3">
      <c r="J116827"/>
    </row>
    <row r="116828" spans="10:10" x14ac:dyDescent="0.3">
      <c r="J116828"/>
    </row>
    <row r="116829" spans="10:10" x14ac:dyDescent="0.3">
      <c r="J116829"/>
    </row>
    <row r="116830" spans="10:10" x14ac:dyDescent="0.3">
      <c r="J116830"/>
    </row>
    <row r="116831" spans="10:10" x14ac:dyDescent="0.3">
      <c r="J116831"/>
    </row>
    <row r="116832" spans="10:10" x14ac:dyDescent="0.3">
      <c r="J116832"/>
    </row>
    <row r="116833" spans="10:10" x14ac:dyDescent="0.3">
      <c r="J116833"/>
    </row>
    <row r="116834" spans="10:10" x14ac:dyDescent="0.3">
      <c r="J116834"/>
    </row>
    <row r="116835" spans="10:10" x14ac:dyDescent="0.3">
      <c r="J116835"/>
    </row>
    <row r="116836" spans="10:10" x14ac:dyDescent="0.3">
      <c r="J116836"/>
    </row>
    <row r="116837" spans="10:10" x14ac:dyDescent="0.3">
      <c r="J116837"/>
    </row>
    <row r="116838" spans="10:10" x14ac:dyDescent="0.3">
      <c r="J116838"/>
    </row>
    <row r="116839" spans="10:10" x14ac:dyDescent="0.3">
      <c r="J116839"/>
    </row>
    <row r="116840" spans="10:10" x14ac:dyDescent="0.3">
      <c r="J116840"/>
    </row>
    <row r="116841" spans="10:10" x14ac:dyDescent="0.3">
      <c r="J116841"/>
    </row>
    <row r="116842" spans="10:10" x14ac:dyDescent="0.3">
      <c r="J116842"/>
    </row>
    <row r="116843" spans="10:10" x14ac:dyDescent="0.3">
      <c r="J116843"/>
    </row>
    <row r="116844" spans="10:10" x14ac:dyDescent="0.3">
      <c r="J116844"/>
    </row>
    <row r="116845" spans="10:10" x14ac:dyDescent="0.3">
      <c r="J116845"/>
    </row>
    <row r="116846" spans="10:10" x14ac:dyDescent="0.3">
      <c r="J116846"/>
    </row>
    <row r="116847" spans="10:10" x14ac:dyDescent="0.3">
      <c r="J116847"/>
    </row>
    <row r="116848" spans="10:10" x14ac:dyDescent="0.3">
      <c r="J116848"/>
    </row>
    <row r="116849" spans="10:10" x14ac:dyDescent="0.3">
      <c r="J116849"/>
    </row>
    <row r="116850" spans="10:10" x14ac:dyDescent="0.3">
      <c r="J116850"/>
    </row>
    <row r="116851" spans="10:10" x14ac:dyDescent="0.3">
      <c r="J116851"/>
    </row>
    <row r="116852" spans="10:10" x14ac:dyDescent="0.3">
      <c r="J116852"/>
    </row>
    <row r="116853" spans="10:10" x14ac:dyDescent="0.3">
      <c r="J116853"/>
    </row>
    <row r="116854" spans="10:10" x14ac:dyDescent="0.3">
      <c r="J116854"/>
    </row>
    <row r="116855" spans="10:10" x14ac:dyDescent="0.3">
      <c r="J116855"/>
    </row>
    <row r="116856" spans="10:10" x14ac:dyDescent="0.3">
      <c r="J116856"/>
    </row>
    <row r="116857" spans="10:10" x14ac:dyDescent="0.3">
      <c r="J116857"/>
    </row>
    <row r="116858" spans="10:10" x14ac:dyDescent="0.3">
      <c r="J116858"/>
    </row>
    <row r="116859" spans="10:10" x14ac:dyDescent="0.3">
      <c r="J116859"/>
    </row>
    <row r="116860" spans="10:10" x14ac:dyDescent="0.3">
      <c r="J116860"/>
    </row>
    <row r="116861" spans="10:10" x14ac:dyDescent="0.3">
      <c r="J116861"/>
    </row>
    <row r="116862" spans="10:10" x14ac:dyDescent="0.3">
      <c r="J116862"/>
    </row>
    <row r="116863" spans="10:10" x14ac:dyDescent="0.3">
      <c r="J116863"/>
    </row>
    <row r="116864" spans="10:10" x14ac:dyDescent="0.3">
      <c r="J116864"/>
    </row>
    <row r="116865" spans="10:10" x14ac:dyDescent="0.3">
      <c r="J116865"/>
    </row>
    <row r="116866" spans="10:10" x14ac:dyDescent="0.3">
      <c r="J116866"/>
    </row>
    <row r="116867" spans="10:10" x14ac:dyDescent="0.3">
      <c r="J116867"/>
    </row>
    <row r="116868" spans="10:10" x14ac:dyDescent="0.3">
      <c r="J116868"/>
    </row>
    <row r="116869" spans="10:10" x14ac:dyDescent="0.3">
      <c r="J116869"/>
    </row>
    <row r="116870" spans="10:10" x14ac:dyDescent="0.3">
      <c r="J116870"/>
    </row>
    <row r="116871" spans="10:10" x14ac:dyDescent="0.3">
      <c r="J116871"/>
    </row>
    <row r="116872" spans="10:10" x14ac:dyDescent="0.3">
      <c r="J116872"/>
    </row>
    <row r="116873" spans="10:10" x14ac:dyDescent="0.3">
      <c r="J116873"/>
    </row>
    <row r="116874" spans="10:10" x14ac:dyDescent="0.3">
      <c r="J116874"/>
    </row>
    <row r="116875" spans="10:10" x14ac:dyDescent="0.3">
      <c r="J116875"/>
    </row>
    <row r="116876" spans="10:10" x14ac:dyDescent="0.3">
      <c r="J116876"/>
    </row>
    <row r="116877" spans="10:10" x14ac:dyDescent="0.3">
      <c r="J116877"/>
    </row>
    <row r="116878" spans="10:10" x14ac:dyDescent="0.3">
      <c r="J116878"/>
    </row>
    <row r="116879" spans="10:10" x14ac:dyDescent="0.3">
      <c r="J116879"/>
    </row>
    <row r="116880" spans="10:10" x14ac:dyDescent="0.3">
      <c r="J116880"/>
    </row>
    <row r="116881" spans="10:10" x14ac:dyDescent="0.3">
      <c r="J116881"/>
    </row>
    <row r="116882" spans="10:10" x14ac:dyDescent="0.3">
      <c r="J116882"/>
    </row>
    <row r="116883" spans="10:10" x14ac:dyDescent="0.3">
      <c r="J116883"/>
    </row>
    <row r="116884" spans="10:10" x14ac:dyDescent="0.3">
      <c r="J116884"/>
    </row>
    <row r="116885" spans="10:10" x14ac:dyDescent="0.3">
      <c r="J116885"/>
    </row>
    <row r="116886" spans="10:10" x14ac:dyDescent="0.3">
      <c r="J116886"/>
    </row>
    <row r="116887" spans="10:10" x14ac:dyDescent="0.3">
      <c r="J116887"/>
    </row>
    <row r="116888" spans="10:10" x14ac:dyDescent="0.3">
      <c r="J116888"/>
    </row>
    <row r="116889" spans="10:10" x14ac:dyDescent="0.3">
      <c r="J116889"/>
    </row>
    <row r="116890" spans="10:10" x14ac:dyDescent="0.3">
      <c r="J116890"/>
    </row>
    <row r="116891" spans="10:10" x14ac:dyDescent="0.3">
      <c r="J116891"/>
    </row>
    <row r="116892" spans="10:10" x14ac:dyDescent="0.3">
      <c r="J116892"/>
    </row>
    <row r="116893" spans="10:10" x14ac:dyDescent="0.3">
      <c r="J116893"/>
    </row>
    <row r="116894" spans="10:10" x14ac:dyDescent="0.3">
      <c r="J116894"/>
    </row>
    <row r="116895" spans="10:10" x14ac:dyDescent="0.3">
      <c r="J116895"/>
    </row>
    <row r="116896" spans="10:10" x14ac:dyDescent="0.3">
      <c r="J116896"/>
    </row>
    <row r="116897" spans="10:10" x14ac:dyDescent="0.3">
      <c r="J116897"/>
    </row>
    <row r="116898" spans="10:10" x14ac:dyDescent="0.3">
      <c r="J116898"/>
    </row>
    <row r="116899" spans="10:10" x14ac:dyDescent="0.3">
      <c r="J116899"/>
    </row>
    <row r="116900" spans="10:10" x14ac:dyDescent="0.3">
      <c r="J116900"/>
    </row>
    <row r="116901" spans="10:10" x14ac:dyDescent="0.3">
      <c r="J116901"/>
    </row>
    <row r="116902" spans="10:10" x14ac:dyDescent="0.3">
      <c r="J116902"/>
    </row>
    <row r="116903" spans="10:10" x14ac:dyDescent="0.3">
      <c r="J116903"/>
    </row>
    <row r="116904" spans="10:10" x14ac:dyDescent="0.3">
      <c r="J116904"/>
    </row>
    <row r="116905" spans="10:10" x14ac:dyDescent="0.3">
      <c r="J116905"/>
    </row>
    <row r="116906" spans="10:10" x14ac:dyDescent="0.3">
      <c r="J116906"/>
    </row>
    <row r="116907" spans="10:10" x14ac:dyDescent="0.3">
      <c r="J116907"/>
    </row>
    <row r="116908" spans="10:10" x14ac:dyDescent="0.3">
      <c r="J116908"/>
    </row>
    <row r="116909" spans="10:10" x14ac:dyDescent="0.3">
      <c r="J116909"/>
    </row>
    <row r="116910" spans="10:10" x14ac:dyDescent="0.3">
      <c r="J116910"/>
    </row>
    <row r="116911" spans="10:10" x14ac:dyDescent="0.3">
      <c r="J116911"/>
    </row>
    <row r="116912" spans="10:10" x14ac:dyDescent="0.3">
      <c r="J116912"/>
    </row>
    <row r="116913" spans="10:10" x14ac:dyDescent="0.3">
      <c r="J116913"/>
    </row>
    <row r="116914" spans="10:10" x14ac:dyDescent="0.3">
      <c r="J116914"/>
    </row>
    <row r="116915" spans="10:10" x14ac:dyDescent="0.3">
      <c r="J116915"/>
    </row>
    <row r="116916" spans="10:10" x14ac:dyDescent="0.3">
      <c r="J116916"/>
    </row>
    <row r="116917" spans="10:10" x14ac:dyDescent="0.3">
      <c r="J116917"/>
    </row>
    <row r="116918" spans="10:10" x14ac:dyDescent="0.3">
      <c r="J116918"/>
    </row>
    <row r="116919" spans="10:10" x14ac:dyDescent="0.3">
      <c r="J116919"/>
    </row>
    <row r="116920" spans="10:10" x14ac:dyDescent="0.3">
      <c r="J116920"/>
    </row>
    <row r="116921" spans="10:10" x14ac:dyDescent="0.3">
      <c r="J116921"/>
    </row>
    <row r="116922" spans="10:10" x14ac:dyDescent="0.3">
      <c r="J116922"/>
    </row>
    <row r="116923" spans="10:10" x14ac:dyDescent="0.3">
      <c r="J116923"/>
    </row>
    <row r="116924" spans="10:10" x14ac:dyDescent="0.3">
      <c r="J116924"/>
    </row>
    <row r="116925" spans="10:10" x14ac:dyDescent="0.3">
      <c r="J116925"/>
    </row>
    <row r="116926" spans="10:10" x14ac:dyDescent="0.3">
      <c r="J116926"/>
    </row>
    <row r="116927" spans="10:10" x14ac:dyDescent="0.3">
      <c r="J116927"/>
    </row>
    <row r="116928" spans="10:10" x14ac:dyDescent="0.3">
      <c r="J116928"/>
    </row>
    <row r="116929" spans="10:10" x14ac:dyDescent="0.3">
      <c r="J116929"/>
    </row>
    <row r="116930" spans="10:10" x14ac:dyDescent="0.3">
      <c r="J116930"/>
    </row>
    <row r="116931" spans="10:10" x14ac:dyDescent="0.3">
      <c r="J116931"/>
    </row>
    <row r="116932" spans="10:10" x14ac:dyDescent="0.3">
      <c r="J116932"/>
    </row>
    <row r="116933" spans="10:10" x14ac:dyDescent="0.3">
      <c r="J116933"/>
    </row>
    <row r="116934" spans="10:10" x14ac:dyDescent="0.3">
      <c r="J116934"/>
    </row>
    <row r="116935" spans="10:10" x14ac:dyDescent="0.3">
      <c r="J116935"/>
    </row>
    <row r="116936" spans="10:10" x14ac:dyDescent="0.3">
      <c r="J116936"/>
    </row>
    <row r="116937" spans="10:10" x14ac:dyDescent="0.3">
      <c r="J116937"/>
    </row>
    <row r="116938" spans="10:10" x14ac:dyDescent="0.3">
      <c r="J116938"/>
    </row>
    <row r="116939" spans="10:10" x14ac:dyDescent="0.3">
      <c r="J116939"/>
    </row>
    <row r="116940" spans="10:10" x14ac:dyDescent="0.3">
      <c r="J116940"/>
    </row>
    <row r="116941" spans="10:10" x14ac:dyDescent="0.3">
      <c r="J116941"/>
    </row>
    <row r="116942" spans="10:10" x14ac:dyDescent="0.3">
      <c r="J116942"/>
    </row>
    <row r="116943" spans="10:10" x14ac:dyDescent="0.3">
      <c r="J116943"/>
    </row>
    <row r="116944" spans="10:10" x14ac:dyDescent="0.3">
      <c r="J116944"/>
    </row>
    <row r="116945" spans="10:10" x14ac:dyDescent="0.3">
      <c r="J116945"/>
    </row>
    <row r="116946" spans="10:10" x14ac:dyDescent="0.3">
      <c r="J116946"/>
    </row>
    <row r="116947" spans="10:10" x14ac:dyDescent="0.3">
      <c r="J116947"/>
    </row>
    <row r="116948" spans="10:10" x14ac:dyDescent="0.3">
      <c r="J116948"/>
    </row>
    <row r="116949" spans="10:10" x14ac:dyDescent="0.3">
      <c r="J116949"/>
    </row>
    <row r="116950" spans="10:10" x14ac:dyDescent="0.3">
      <c r="J116950"/>
    </row>
    <row r="116951" spans="10:10" x14ac:dyDescent="0.3">
      <c r="J116951"/>
    </row>
    <row r="116952" spans="10:10" x14ac:dyDescent="0.3">
      <c r="J116952"/>
    </row>
    <row r="116953" spans="10:10" x14ac:dyDescent="0.3">
      <c r="J116953"/>
    </row>
    <row r="116954" spans="10:10" x14ac:dyDescent="0.3">
      <c r="J116954"/>
    </row>
    <row r="116955" spans="10:10" x14ac:dyDescent="0.3">
      <c r="J116955"/>
    </row>
    <row r="116956" spans="10:10" x14ac:dyDescent="0.3">
      <c r="J116956"/>
    </row>
    <row r="116957" spans="10:10" x14ac:dyDescent="0.3">
      <c r="J116957"/>
    </row>
    <row r="116958" spans="10:10" x14ac:dyDescent="0.3">
      <c r="J116958"/>
    </row>
    <row r="116959" spans="10:10" x14ac:dyDescent="0.3">
      <c r="J116959"/>
    </row>
    <row r="116960" spans="10:10" x14ac:dyDescent="0.3">
      <c r="J116960"/>
    </row>
    <row r="116961" spans="10:10" x14ac:dyDescent="0.3">
      <c r="J116961"/>
    </row>
    <row r="116962" spans="10:10" x14ac:dyDescent="0.3">
      <c r="J116962"/>
    </row>
    <row r="116963" spans="10:10" x14ac:dyDescent="0.3">
      <c r="J116963"/>
    </row>
    <row r="116964" spans="10:10" x14ac:dyDescent="0.3">
      <c r="J116964"/>
    </row>
    <row r="116965" spans="10:10" x14ac:dyDescent="0.3">
      <c r="J116965"/>
    </row>
    <row r="116966" spans="10:10" x14ac:dyDescent="0.3">
      <c r="J116966"/>
    </row>
    <row r="116967" spans="10:10" x14ac:dyDescent="0.3">
      <c r="J116967"/>
    </row>
    <row r="116968" spans="10:10" x14ac:dyDescent="0.3">
      <c r="J116968"/>
    </row>
    <row r="116969" spans="10:10" x14ac:dyDescent="0.3">
      <c r="J116969"/>
    </row>
    <row r="116970" spans="10:10" x14ac:dyDescent="0.3">
      <c r="J116970"/>
    </row>
    <row r="116971" spans="10:10" x14ac:dyDescent="0.3">
      <c r="J116971"/>
    </row>
    <row r="116972" spans="10:10" x14ac:dyDescent="0.3">
      <c r="J116972"/>
    </row>
    <row r="116973" spans="10:10" x14ac:dyDescent="0.3">
      <c r="J116973"/>
    </row>
    <row r="116974" spans="10:10" x14ac:dyDescent="0.3">
      <c r="J116974"/>
    </row>
    <row r="116975" spans="10:10" x14ac:dyDescent="0.3">
      <c r="J116975"/>
    </row>
    <row r="116976" spans="10:10" x14ac:dyDescent="0.3">
      <c r="J116976"/>
    </row>
    <row r="116977" spans="10:10" x14ac:dyDescent="0.3">
      <c r="J116977"/>
    </row>
    <row r="116978" spans="10:10" x14ac:dyDescent="0.3">
      <c r="J116978"/>
    </row>
    <row r="116979" spans="10:10" x14ac:dyDescent="0.3">
      <c r="J116979"/>
    </row>
    <row r="116980" spans="10:10" x14ac:dyDescent="0.3">
      <c r="J116980"/>
    </row>
    <row r="116981" spans="10:10" x14ac:dyDescent="0.3">
      <c r="J116981"/>
    </row>
    <row r="116982" spans="10:10" x14ac:dyDescent="0.3">
      <c r="J116982"/>
    </row>
    <row r="116983" spans="10:10" x14ac:dyDescent="0.3">
      <c r="J116983"/>
    </row>
    <row r="116984" spans="10:10" x14ac:dyDescent="0.3">
      <c r="J116984"/>
    </row>
    <row r="116985" spans="10:10" x14ac:dyDescent="0.3">
      <c r="J116985"/>
    </row>
    <row r="116986" spans="10:10" x14ac:dyDescent="0.3">
      <c r="J116986"/>
    </row>
    <row r="116987" spans="10:10" x14ac:dyDescent="0.3">
      <c r="J116987"/>
    </row>
    <row r="116988" spans="10:10" x14ac:dyDescent="0.3">
      <c r="J116988"/>
    </row>
    <row r="116989" spans="10:10" x14ac:dyDescent="0.3">
      <c r="J116989"/>
    </row>
    <row r="116990" spans="10:10" x14ac:dyDescent="0.3">
      <c r="J116990"/>
    </row>
    <row r="116991" spans="10:10" x14ac:dyDescent="0.3">
      <c r="J116991"/>
    </row>
    <row r="116992" spans="10:10" x14ac:dyDescent="0.3">
      <c r="J116992"/>
    </row>
    <row r="116993" spans="10:10" x14ac:dyDescent="0.3">
      <c r="J116993"/>
    </row>
    <row r="116994" spans="10:10" x14ac:dyDescent="0.3">
      <c r="J116994"/>
    </row>
    <row r="116995" spans="10:10" x14ac:dyDescent="0.3">
      <c r="J116995"/>
    </row>
    <row r="116996" spans="10:10" x14ac:dyDescent="0.3">
      <c r="J116996"/>
    </row>
    <row r="116997" spans="10:10" x14ac:dyDescent="0.3">
      <c r="J116997"/>
    </row>
    <row r="116998" spans="10:10" x14ac:dyDescent="0.3">
      <c r="J116998"/>
    </row>
    <row r="116999" spans="10:10" x14ac:dyDescent="0.3">
      <c r="J116999"/>
    </row>
    <row r="117000" spans="10:10" x14ac:dyDescent="0.3">
      <c r="J117000"/>
    </row>
    <row r="117001" spans="10:10" x14ac:dyDescent="0.3">
      <c r="J117001"/>
    </row>
    <row r="117002" spans="10:10" x14ac:dyDescent="0.3">
      <c r="J117002"/>
    </row>
    <row r="117003" spans="10:10" x14ac:dyDescent="0.3">
      <c r="J117003"/>
    </row>
    <row r="117004" spans="10:10" x14ac:dyDescent="0.3">
      <c r="J117004"/>
    </row>
    <row r="117005" spans="10:10" x14ac:dyDescent="0.3">
      <c r="J117005"/>
    </row>
    <row r="117006" spans="10:10" x14ac:dyDescent="0.3">
      <c r="J117006"/>
    </row>
    <row r="117007" spans="10:10" x14ac:dyDescent="0.3">
      <c r="J117007"/>
    </row>
    <row r="117008" spans="10:10" x14ac:dyDescent="0.3">
      <c r="J117008"/>
    </row>
    <row r="117009" spans="10:10" x14ac:dyDescent="0.3">
      <c r="J117009"/>
    </row>
    <row r="117010" spans="10:10" x14ac:dyDescent="0.3">
      <c r="J117010"/>
    </row>
    <row r="117011" spans="10:10" x14ac:dyDescent="0.3">
      <c r="J117011"/>
    </row>
    <row r="117012" spans="10:10" x14ac:dyDescent="0.3">
      <c r="J117012"/>
    </row>
    <row r="117013" spans="10:10" x14ac:dyDescent="0.3">
      <c r="J117013"/>
    </row>
    <row r="117014" spans="10:10" x14ac:dyDescent="0.3">
      <c r="J117014"/>
    </row>
    <row r="117015" spans="10:10" x14ac:dyDescent="0.3">
      <c r="J117015"/>
    </row>
    <row r="117016" spans="10:10" x14ac:dyDescent="0.3">
      <c r="J117016"/>
    </row>
    <row r="117017" spans="10:10" x14ac:dyDescent="0.3">
      <c r="J117017"/>
    </row>
    <row r="117018" spans="10:10" x14ac:dyDescent="0.3">
      <c r="J117018"/>
    </row>
    <row r="117019" spans="10:10" x14ac:dyDescent="0.3">
      <c r="J117019"/>
    </row>
    <row r="117020" spans="10:10" x14ac:dyDescent="0.3">
      <c r="J117020"/>
    </row>
    <row r="117021" spans="10:10" x14ac:dyDescent="0.3">
      <c r="J117021"/>
    </row>
    <row r="117022" spans="10:10" x14ac:dyDescent="0.3">
      <c r="J117022"/>
    </row>
    <row r="117023" spans="10:10" x14ac:dyDescent="0.3">
      <c r="J117023"/>
    </row>
    <row r="117024" spans="10:10" x14ac:dyDescent="0.3">
      <c r="J117024"/>
    </row>
    <row r="117025" spans="10:10" x14ac:dyDescent="0.3">
      <c r="J117025"/>
    </row>
    <row r="117026" spans="10:10" x14ac:dyDescent="0.3">
      <c r="J117026"/>
    </row>
    <row r="117027" spans="10:10" x14ac:dyDescent="0.3">
      <c r="J117027"/>
    </row>
    <row r="117028" spans="10:10" x14ac:dyDescent="0.3">
      <c r="J117028"/>
    </row>
    <row r="117029" spans="10:10" x14ac:dyDescent="0.3">
      <c r="J117029"/>
    </row>
    <row r="117030" spans="10:10" x14ac:dyDescent="0.3">
      <c r="J117030"/>
    </row>
    <row r="117031" spans="10:10" x14ac:dyDescent="0.3">
      <c r="J117031"/>
    </row>
    <row r="117032" spans="10:10" x14ac:dyDescent="0.3">
      <c r="J117032"/>
    </row>
    <row r="117033" spans="10:10" x14ac:dyDescent="0.3">
      <c r="J117033"/>
    </row>
    <row r="117034" spans="10:10" x14ac:dyDescent="0.3">
      <c r="J117034"/>
    </row>
    <row r="117035" spans="10:10" x14ac:dyDescent="0.3">
      <c r="J117035"/>
    </row>
    <row r="117036" spans="10:10" x14ac:dyDescent="0.3">
      <c r="J117036"/>
    </row>
    <row r="117037" spans="10:10" x14ac:dyDescent="0.3">
      <c r="J117037"/>
    </row>
    <row r="117038" spans="10:10" x14ac:dyDescent="0.3">
      <c r="J117038"/>
    </row>
    <row r="117039" spans="10:10" x14ac:dyDescent="0.3">
      <c r="J117039"/>
    </row>
    <row r="117040" spans="10:10" x14ac:dyDescent="0.3">
      <c r="J117040"/>
    </row>
    <row r="117041" spans="10:10" x14ac:dyDescent="0.3">
      <c r="J117041"/>
    </row>
    <row r="117042" spans="10:10" x14ac:dyDescent="0.3">
      <c r="J117042"/>
    </row>
    <row r="117043" spans="10:10" x14ac:dyDescent="0.3">
      <c r="J117043"/>
    </row>
    <row r="117044" spans="10:10" x14ac:dyDescent="0.3">
      <c r="J117044"/>
    </row>
    <row r="117045" spans="10:10" x14ac:dyDescent="0.3">
      <c r="J117045"/>
    </row>
    <row r="117046" spans="10:10" x14ac:dyDescent="0.3">
      <c r="J117046"/>
    </row>
    <row r="117047" spans="10:10" x14ac:dyDescent="0.3">
      <c r="J117047"/>
    </row>
    <row r="117048" spans="10:10" x14ac:dyDescent="0.3">
      <c r="J117048"/>
    </row>
    <row r="117049" spans="10:10" x14ac:dyDescent="0.3">
      <c r="J117049"/>
    </row>
    <row r="117050" spans="10:10" x14ac:dyDescent="0.3">
      <c r="J117050"/>
    </row>
    <row r="117051" spans="10:10" x14ac:dyDescent="0.3">
      <c r="J117051"/>
    </row>
    <row r="117052" spans="10:10" x14ac:dyDescent="0.3">
      <c r="J117052"/>
    </row>
    <row r="117053" spans="10:10" x14ac:dyDescent="0.3">
      <c r="J117053"/>
    </row>
    <row r="117054" spans="10:10" x14ac:dyDescent="0.3">
      <c r="J117054"/>
    </row>
    <row r="117055" spans="10:10" x14ac:dyDescent="0.3">
      <c r="J117055"/>
    </row>
    <row r="117056" spans="10:10" x14ac:dyDescent="0.3">
      <c r="J117056"/>
    </row>
    <row r="117057" spans="10:10" x14ac:dyDescent="0.3">
      <c r="J117057"/>
    </row>
    <row r="117058" spans="10:10" x14ac:dyDescent="0.3">
      <c r="J117058"/>
    </row>
    <row r="117059" spans="10:10" x14ac:dyDescent="0.3">
      <c r="J117059"/>
    </row>
    <row r="117060" spans="10:10" x14ac:dyDescent="0.3">
      <c r="J117060"/>
    </row>
    <row r="117061" spans="10:10" x14ac:dyDescent="0.3">
      <c r="J117061"/>
    </row>
    <row r="117062" spans="10:10" x14ac:dyDescent="0.3">
      <c r="J117062"/>
    </row>
    <row r="117063" spans="10:10" x14ac:dyDescent="0.3">
      <c r="J117063"/>
    </row>
    <row r="117064" spans="10:10" x14ac:dyDescent="0.3">
      <c r="J117064"/>
    </row>
    <row r="117065" spans="10:10" x14ac:dyDescent="0.3">
      <c r="J117065"/>
    </row>
    <row r="117066" spans="10:10" x14ac:dyDescent="0.3">
      <c r="J117066"/>
    </row>
    <row r="117067" spans="10:10" x14ac:dyDescent="0.3">
      <c r="J117067"/>
    </row>
    <row r="117068" spans="10:10" x14ac:dyDescent="0.3">
      <c r="J117068"/>
    </row>
    <row r="117069" spans="10:10" x14ac:dyDescent="0.3">
      <c r="J117069"/>
    </row>
    <row r="117070" spans="10:10" x14ac:dyDescent="0.3">
      <c r="J117070"/>
    </row>
    <row r="117071" spans="10:10" x14ac:dyDescent="0.3">
      <c r="J117071"/>
    </row>
    <row r="117072" spans="10:10" x14ac:dyDescent="0.3">
      <c r="J117072"/>
    </row>
    <row r="117073" spans="10:10" x14ac:dyDescent="0.3">
      <c r="J117073"/>
    </row>
    <row r="117074" spans="10:10" x14ac:dyDescent="0.3">
      <c r="J117074"/>
    </row>
    <row r="117075" spans="10:10" x14ac:dyDescent="0.3">
      <c r="J117075"/>
    </row>
    <row r="117076" spans="10:10" x14ac:dyDescent="0.3">
      <c r="J117076"/>
    </row>
    <row r="117077" spans="10:10" x14ac:dyDescent="0.3">
      <c r="J117077"/>
    </row>
    <row r="117078" spans="10:10" x14ac:dyDescent="0.3">
      <c r="J117078"/>
    </row>
    <row r="117079" spans="10:10" x14ac:dyDescent="0.3">
      <c r="J117079"/>
    </row>
    <row r="117080" spans="10:10" x14ac:dyDescent="0.3">
      <c r="J117080"/>
    </row>
    <row r="117081" spans="10:10" x14ac:dyDescent="0.3">
      <c r="J117081"/>
    </row>
    <row r="117082" spans="10:10" x14ac:dyDescent="0.3">
      <c r="J117082"/>
    </row>
    <row r="117083" spans="10:10" x14ac:dyDescent="0.3">
      <c r="J117083"/>
    </row>
    <row r="117084" spans="10:10" x14ac:dyDescent="0.3">
      <c r="J117084"/>
    </row>
    <row r="117085" spans="10:10" x14ac:dyDescent="0.3">
      <c r="J117085"/>
    </row>
    <row r="117086" spans="10:10" x14ac:dyDescent="0.3">
      <c r="J117086"/>
    </row>
    <row r="117087" spans="10:10" x14ac:dyDescent="0.3">
      <c r="J117087"/>
    </row>
    <row r="117088" spans="10:10" x14ac:dyDescent="0.3">
      <c r="J117088"/>
    </row>
    <row r="117089" spans="10:10" x14ac:dyDescent="0.3">
      <c r="J117089"/>
    </row>
    <row r="117090" spans="10:10" x14ac:dyDescent="0.3">
      <c r="J117090"/>
    </row>
    <row r="117091" spans="10:10" x14ac:dyDescent="0.3">
      <c r="J117091"/>
    </row>
    <row r="117092" spans="10:10" x14ac:dyDescent="0.3">
      <c r="J117092"/>
    </row>
    <row r="117093" spans="10:10" x14ac:dyDescent="0.3">
      <c r="J117093"/>
    </row>
    <row r="117094" spans="10:10" x14ac:dyDescent="0.3">
      <c r="J117094"/>
    </row>
    <row r="117095" spans="10:10" x14ac:dyDescent="0.3">
      <c r="J117095"/>
    </row>
    <row r="117096" spans="10:10" x14ac:dyDescent="0.3">
      <c r="J117096"/>
    </row>
    <row r="117097" spans="10:10" x14ac:dyDescent="0.3">
      <c r="J117097"/>
    </row>
    <row r="117098" spans="10:10" x14ac:dyDescent="0.3">
      <c r="J117098"/>
    </row>
    <row r="117099" spans="10:10" x14ac:dyDescent="0.3">
      <c r="J117099"/>
    </row>
    <row r="117100" spans="10:10" x14ac:dyDescent="0.3">
      <c r="J117100"/>
    </row>
    <row r="117101" spans="10:10" x14ac:dyDescent="0.3">
      <c r="J117101"/>
    </row>
    <row r="117102" spans="10:10" x14ac:dyDescent="0.3">
      <c r="J117102"/>
    </row>
    <row r="117103" spans="10:10" x14ac:dyDescent="0.3">
      <c r="J117103"/>
    </row>
    <row r="117104" spans="10:10" x14ac:dyDescent="0.3">
      <c r="J117104"/>
    </row>
    <row r="117105" spans="10:10" x14ac:dyDescent="0.3">
      <c r="J117105"/>
    </row>
    <row r="117106" spans="10:10" x14ac:dyDescent="0.3">
      <c r="J117106"/>
    </row>
    <row r="117107" spans="10:10" x14ac:dyDescent="0.3">
      <c r="J117107"/>
    </row>
    <row r="117108" spans="10:10" x14ac:dyDescent="0.3">
      <c r="J117108"/>
    </row>
    <row r="117109" spans="10:10" x14ac:dyDescent="0.3">
      <c r="J117109"/>
    </row>
    <row r="117110" spans="10:10" x14ac:dyDescent="0.3">
      <c r="J117110"/>
    </row>
    <row r="117111" spans="10:10" x14ac:dyDescent="0.3">
      <c r="J117111"/>
    </row>
    <row r="117112" spans="10:10" x14ac:dyDescent="0.3">
      <c r="J117112"/>
    </row>
    <row r="117113" spans="10:10" x14ac:dyDescent="0.3">
      <c r="J117113"/>
    </row>
    <row r="117114" spans="10:10" x14ac:dyDescent="0.3">
      <c r="J117114"/>
    </row>
    <row r="117115" spans="10:10" x14ac:dyDescent="0.3">
      <c r="J117115"/>
    </row>
    <row r="117116" spans="10:10" x14ac:dyDescent="0.3">
      <c r="J117116"/>
    </row>
    <row r="117117" spans="10:10" x14ac:dyDescent="0.3">
      <c r="J117117"/>
    </row>
    <row r="117118" spans="10:10" x14ac:dyDescent="0.3">
      <c r="J117118"/>
    </row>
    <row r="117119" spans="10:10" x14ac:dyDescent="0.3">
      <c r="J117119"/>
    </row>
    <row r="117120" spans="10:10" x14ac:dyDescent="0.3">
      <c r="J117120"/>
    </row>
    <row r="117121" spans="10:10" x14ac:dyDescent="0.3">
      <c r="J117121"/>
    </row>
    <row r="117122" spans="10:10" x14ac:dyDescent="0.3">
      <c r="J117122"/>
    </row>
    <row r="117123" spans="10:10" x14ac:dyDescent="0.3">
      <c r="J117123"/>
    </row>
    <row r="117124" spans="10:10" x14ac:dyDescent="0.3">
      <c r="J117124"/>
    </row>
    <row r="117125" spans="10:10" x14ac:dyDescent="0.3">
      <c r="J117125"/>
    </row>
    <row r="117126" spans="10:10" x14ac:dyDescent="0.3">
      <c r="J117126"/>
    </row>
    <row r="117127" spans="10:10" x14ac:dyDescent="0.3">
      <c r="J117127"/>
    </row>
    <row r="117128" spans="10:10" x14ac:dyDescent="0.3">
      <c r="J117128"/>
    </row>
    <row r="117129" spans="10:10" x14ac:dyDescent="0.3">
      <c r="J117129"/>
    </row>
    <row r="117130" spans="10:10" x14ac:dyDescent="0.3">
      <c r="J117130"/>
    </row>
    <row r="117131" spans="10:10" x14ac:dyDescent="0.3">
      <c r="J117131"/>
    </row>
    <row r="117132" spans="10:10" x14ac:dyDescent="0.3">
      <c r="J117132"/>
    </row>
    <row r="117133" spans="10:10" x14ac:dyDescent="0.3">
      <c r="J117133"/>
    </row>
    <row r="117134" spans="10:10" x14ac:dyDescent="0.3">
      <c r="J117134"/>
    </row>
    <row r="117135" spans="10:10" x14ac:dyDescent="0.3">
      <c r="J117135"/>
    </row>
    <row r="117136" spans="10:10" x14ac:dyDescent="0.3">
      <c r="J117136"/>
    </row>
    <row r="117137" spans="10:10" x14ac:dyDescent="0.3">
      <c r="J117137"/>
    </row>
    <row r="117138" spans="10:10" x14ac:dyDescent="0.3">
      <c r="J117138"/>
    </row>
    <row r="117139" spans="10:10" x14ac:dyDescent="0.3">
      <c r="J117139"/>
    </row>
    <row r="117140" spans="10:10" x14ac:dyDescent="0.3">
      <c r="J117140"/>
    </row>
    <row r="117141" spans="10:10" x14ac:dyDescent="0.3">
      <c r="J117141"/>
    </row>
    <row r="117142" spans="10:10" x14ac:dyDescent="0.3">
      <c r="J117142"/>
    </row>
    <row r="117143" spans="10:10" x14ac:dyDescent="0.3">
      <c r="J117143"/>
    </row>
    <row r="117144" spans="10:10" x14ac:dyDescent="0.3">
      <c r="J117144"/>
    </row>
    <row r="117145" spans="10:10" x14ac:dyDescent="0.3">
      <c r="J117145"/>
    </row>
    <row r="117146" spans="10:10" x14ac:dyDescent="0.3">
      <c r="J117146"/>
    </row>
    <row r="117147" spans="10:10" x14ac:dyDescent="0.3">
      <c r="J117147"/>
    </row>
    <row r="117148" spans="10:10" x14ac:dyDescent="0.3">
      <c r="J117148"/>
    </row>
    <row r="117149" spans="10:10" x14ac:dyDescent="0.3">
      <c r="J117149"/>
    </row>
    <row r="117150" spans="10:10" x14ac:dyDescent="0.3">
      <c r="J117150"/>
    </row>
    <row r="117151" spans="10:10" x14ac:dyDescent="0.3">
      <c r="J117151"/>
    </row>
    <row r="117152" spans="10:10" x14ac:dyDescent="0.3">
      <c r="J117152"/>
    </row>
    <row r="117153" spans="10:10" x14ac:dyDescent="0.3">
      <c r="J117153"/>
    </row>
    <row r="117154" spans="10:10" x14ac:dyDescent="0.3">
      <c r="J117154"/>
    </row>
    <row r="117155" spans="10:10" x14ac:dyDescent="0.3">
      <c r="J117155"/>
    </row>
    <row r="117156" spans="10:10" x14ac:dyDescent="0.3">
      <c r="J117156"/>
    </row>
    <row r="117157" spans="10:10" x14ac:dyDescent="0.3">
      <c r="J117157"/>
    </row>
    <row r="117158" spans="10:10" x14ac:dyDescent="0.3">
      <c r="J117158"/>
    </row>
    <row r="117159" spans="10:10" x14ac:dyDescent="0.3">
      <c r="J117159"/>
    </row>
    <row r="117160" spans="10:10" x14ac:dyDescent="0.3">
      <c r="J117160"/>
    </row>
    <row r="117161" spans="10:10" x14ac:dyDescent="0.3">
      <c r="J117161"/>
    </row>
    <row r="117162" spans="10:10" x14ac:dyDescent="0.3">
      <c r="J117162"/>
    </row>
    <row r="117163" spans="10:10" x14ac:dyDescent="0.3">
      <c r="J117163"/>
    </row>
    <row r="117164" spans="10:10" x14ac:dyDescent="0.3">
      <c r="J117164"/>
    </row>
    <row r="117165" spans="10:10" x14ac:dyDescent="0.3">
      <c r="J117165"/>
    </row>
    <row r="117166" spans="10:10" x14ac:dyDescent="0.3">
      <c r="J117166"/>
    </row>
    <row r="117167" spans="10:10" x14ac:dyDescent="0.3">
      <c r="J117167"/>
    </row>
    <row r="117168" spans="10:10" x14ac:dyDescent="0.3">
      <c r="J117168"/>
    </row>
    <row r="117169" spans="10:10" x14ac:dyDescent="0.3">
      <c r="J117169"/>
    </row>
    <row r="117170" spans="10:10" x14ac:dyDescent="0.3">
      <c r="J117170"/>
    </row>
    <row r="117171" spans="10:10" x14ac:dyDescent="0.3">
      <c r="J117171"/>
    </row>
    <row r="117172" spans="10:10" x14ac:dyDescent="0.3">
      <c r="J117172"/>
    </row>
    <row r="117173" spans="10:10" x14ac:dyDescent="0.3">
      <c r="J117173"/>
    </row>
    <row r="117174" spans="10:10" x14ac:dyDescent="0.3">
      <c r="J117174"/>
    </row>
    <row r="117175" spans="10:10" x14ac:dyDescent="0.3">
      <c r="J117175"/>
    </row>
    <row r="117176" spans="10:10" x14ac:dyDescent="0.3">
      <c r="J117176"/>
    </row>
    <row r="117177" spans="10:10" x14ac:dyDescent="0.3">
      <c r="J117177"/>
    </row>
    <row r="117178" spans="10:10" x14ac:dyDescent="0.3">
      <c r="J117178"/>
    </row>
    <row r="117179" spans="10:10" x14ac:dyDescent="0.3">
      <c r="J117179"/>
    </row>
    <row r="117180" spans="10:10" x14ac:dyDescent="0.3">
      <c r="J117180"/>
    </row>
    <row r="117181" spans="10:10" x14ac:dyDescent="0.3">
      <c r="J117181"/>
    </row>
    <row r="117182" spans="10:10" x14ac:dyDescent="0.3">
      <c r="J117182"/>
    </row>
    <row r="117183" spans="10:10" x14ac:dyDescent="0.3">
      <c r="J117183"/>
    </row>
    <row r="117184" spans="10:10" x14ac:dyDescent="0.3">
      <c r="J117184"/>
    </row>
    <row r="117185" spans="10:10" x14ac:dyDescent="0.3">
      <c r="J117185"/>
    </row>
    <row r="117186" spans="10:10" x14ac:dyDescent="0.3">
      <c r="J117186"/>
    </row>
    <row r="117187" spans="10:10" x14ac:dyDescent="0.3">
      <c r="J117187"/>
    </row>
    <row r="117188" spans="10:10" x14ac:dyDescent="0.3">
      <c r="J117188"/>
    </row>
    <row r="117189" spans="10:10" x14ac:dyDescent="0.3">
      <c r="J117189"/>
    </row>
    <row r="117190" spans="10:10" x14ac:dyDescent="0.3">
      <c r="J117190"/>
    </row>
    <row r="117191" spans="10:10" x14ac:dyDescent="0.3">
      <c r="J117191"/>
    </row>
    <row r="117192" spans="10:10" x14ac:dyDescent="0.3">
      <c r="J117192"/>
    </row>
    <row r="117193" spans="10:10" x14ac:dyDescent="0.3">
      <c r="J117193"/>
    </row>
    <row r="117194" spans="10:10" x14ac:dyDescent="0.3">
      <c r="J117194"/>
    </row>
    <row r="117195" spans="10:10" x14ac:dyDescent="0.3">
      <c r="J117195"/>
    </row>
    <row r="117196" spans="10:10" x14ac:dyDescent="0.3">
      <c r="J117196"/>
    </row>
    <row r="117197" spans="10:10" x14ac:dyDescent="0.3">
      <c r="J117197"/>
    </row>
    <row r="117198" spans="10:10" x14ac:dyDescent="0.3">
      <c r="J117198"/>
    </row>
    <row r="117199" spans="10:10" x14ac:dyDescent="0.3">
      <c r="J117199"/>
    </row>
    <row r="117200" spans="10:10" x14ac:dyDescent="0.3">
      <c r="J117200"/>
    </row>
    <row r="117201" spans="10:10" x14ac:dyDescent="0.3">
      <c r="J117201"/>
    </row>
    <row r="117202" spans="10:10" x14ac:dyDescent="0.3">
      <c r="J117202"/>
    </row>
    <row r="117203" spans="10:10" x14ac:dyDescent="0.3">
      <c r="J117203"/>
    </row>
    <row r="117204" spans="10:10" x14ac:dyDescent="0.3">
      <c r="J117204"/>
    </row>
    <row r="117205" spans="10:10" x14ac:dyDescent="0.3">
      <c r="J117205"/>
    </row>
    <row r="117206" spans="10:10" x14ac:dyDescent="0.3">
      <c r="J117206"/>
    </row>
    <row r="117207" spans="10:10" x14ac:dyDescent="0.3">
      <c r="J117207"/>
    </row>
    <row r="117208" spans="10:10" x14ac:dyDescent="0.3">
      <c r="J117208"/>
    </row>
    <row r="117209" spans="10:10" x14ac:dyDescent="0.3">
      <c r="J117209"/>
    </row>
    <row r="117210" spans="10:10" x14ac:dyDescent="0.3">
      <c r="J117210"/>
    </row>
    <row r="117211" spans="10:10" x14ac:dyDescent="0.3">
      <c r="J117211"/>
    </row>
    <row r="117212" spans="10:10" x14ac:dyDescent="0.3">
      <c r="J117212"/>
    </row>
    <row r="117213" spans="10:10" x14ac:dyDescent="0.3">
      <c r="J117213"/>
    </row>
    <row r="117214" spans="10:10" x14ac:dyDescent="0.3">
      <c r="J117214"/>
    </row>
    <row r="117215" spans="10:10" x14ac:dyDescent="0.3">
      <c r="J117215"/>
    </row>
    <row r="117216" spans="10:10" x14ac:dyDescent="0.3">
      <c r="J117216"/>
    </row>
    <row r="117217" spans="10:10" x14ac:dyDescent="0.3">
      <c r="J117217"/>
    </row>
    <row r="117218" spans="10:10" x14ac:dyDescent="0.3">
      <c r="J117218"/>
    </row>
    <row r="117219" spans="10:10" x14ac:dyDescent="0.3">
      <c r="J117219"/>
    </row>
    <row r="117220" spans="10:10" x14ac:dyDescent="0.3">
      <c r="J117220"/>
    </row>
    <row r="117221" spans="10:10" x14ac:dyDescent="0.3">
      <c r="J117221"/>
    </row>
    <row r="117222" spans="10:10" x14ac:dyDescent="0.3">
      <c r="J117222"/>
    </row>
    <row r="117223" spans="10:10" x14ac:dyDescent="0.3">
      <c r="J117223"/>
    </row>
    <row r="117224" spans="10:10" x14ac:dyDescent="0.3">
      <c r="J117224"/>
    </row>
    <row r="117225" spans="10:10" x14ac:dyDescent="0.3">
      <c r="J117225"/>
    </row>
    <row r="117226" spans="10:10" x14ac:dyDescent="0.3">
      <c r="J117226"/>
    </row>
    <row r="117227" spans="10:10" x14ac:dyDescent="0.3">
      <c r="J117227"/>
    </row>
    <row r="117228" spans="10:10" x14ac:dyDescent="0.3">
      <c r="J117228"/>
    </row>
    <row r="117229" spans="10:10" x14ac:dyDescent="0.3">
      <c r="J117229"/>
    </row>
    <row r="117230" spans="10:10" x14ac:dyDescent="0.3">
      <c r="J117230"/>
    </row>
    <row r="117231" spans="10:10" x14ac:dyDescent="0.3">
      <c r="J117231"/>
    </row>
    <row r="117232" spans="10:10" x14ac:dyDescent="0.3">
      <c r="J117232"/>
    </row>
    <row r="117233" spans="10:10" x14ac:dyDescent="0.3">
      <c r="J117233"/>
    </row>
    <row r="117234" spans="10:10" x14ac:dyDescent="0.3">
      <c r="J117234"/>
    </row>
    <row r="117235" spans="10:10" x14ac:dyDescent="0.3">
      <c r="J117235"/>
    </row>
    <row r="117236" spans="10:10" x14ac:dyDescent="0.3">
      <c r="J117236"/>
    </row>
    <row r="117237" spans="10:10" x14ac:dyDescent="0.3">
      <c r="J117237"/>
    </row>
    <row r="117238" spans="10:10" x14ac:dyDescent="0.3">
      <c r="J117238"/>
    </row>
    <row r="117239" spans="10:10" x14ac:dyDescent="0.3">
      <c r="J117239"/>
    </row>
    <row r="117240" spans="10:10" x14ac:dyDescent="0.3">
      <c r="J117240"/>
    </row>
    <row r="117241" spans="10:10" x14ac:dyDescent="0.3">
      <c r="J117241"/>
    </row>
    <row r="117242" spans="10:10" x14ac:dyDescent="0.3">
      <c r="J117242"/>
    </row>
    <row r="117243" spans="10:10" x14ac:dyDescent="0.3">
      <c r="J117243"/>
    </row>
    <row r="117244" spans="10:10" x14ac:dyDescent="0.3">
      <c r="J117244"/>
    </row>
    <row r="117245" spans="10:10" x14ac:dyDescent="0.3">
      <c r="J117245"/>
    </row>
    <row r="117246" spans="10:10" x14ac:dyDescent="0.3">
      <c r="J117246"/>
    </row>
    <row r="117247" spans="10:10" x14ac:dyDescent="0.3">
      <c r="J117247"/>
    </row>
    <row r="117248" spans="10:10" x14ac:dyDescent="0.3">
      <c r="J117248"/>
    </row>
    <row r="117249" spans="10:10" x14ac:dyDescent="0.3">
      <c r="J117249"/>
    </row>
    <row r="117250" spans="10:10" x14ac:dyDescent="0.3">
      <c r="J117250"/>
    </row>
    <row r="117251" spans="10:10" x14ac:dyDescent="0.3">
      <c r="J117251"/>
    </row>
    <row r="117252" spans="10:10" x14ac:dyDescent="0.3">
      <c r="J117252"/>
    </row>
    <row r="117253" spans="10:10" x14ac:dyDescent="0.3">
      <c r="J117253"/>
    </row>
    <row r="117254" spans="10:10" x14ac:dyDescent="0.3">
      <c r="J117254"/>
    </row>
    <row r="117255" spans="10:10" x14ac:dyDescent="0.3">
      <c r="J117255"/>
    </row>
    <row r="117256" spans="10:10" x14ac:dyDescent="0.3">
      <c r="J117256"/>
    </row>
    <row r="117257" spans="10:10" x14ac:dyDescent="0.3">
      <c r="J117257"/>
    </row>
    <row r="117258" spans="10:10" x14ac:dyDescent="0.3">
      <c r="J117258"/>
    </row>
    <row r="117259" spans="10:10" x14ac:dyDescent="0.3">
      <c r="J117259"/>
    </row>
    <row r="117260" spans="10:10" x14ac:dyDescent="0.3">
      <c r="J117260"/>
    </row>
    <row r="117261" spans="10:10" x14ac:dyDescent="0.3">
      <c r="J117261"/>
    </row>
    <row r="117262" spans="10:10" x14ac:dyDescent="0.3">
      <c r="J117262"/>
    </row>
    <row r="117263" spans="10:10" x14ac:dyDescent="0.3">
      <c r="J117263"/>
    </row>
    <row r="117264" spans="10:10" x14ac:dyDescent="0.3">
      <c r="J117264"/>
    </row>
    <row r="117265" spans="10:10" x14ac:dyDescent="0.3">
      <c r="J117265"/>
    </row>
    <row r="117266" spans="10:10" x14ac:dyDescent="0.3">
      <c r="J117266"/>
    </row>
    <row r="117267" spans="10:10" x14ac:dyDescent="0.3">
      <c r="J117267"/>
    </row>
    <row r="117268" spans="10:10" x14ac:dyDescent="0.3">
      <c r="J117268"/>
    </row>
    <row r="117269" spans="10:10" x14ac:dyDescent="0.3">
      <c r="J117269"/>
    </row>
    <row r="117270" spans="10:10" x14ac:dyDescent="0.3">
      <c r="J117270"/>
    </row>
    <row r="117271" spans="10:10" x14ac:dyDescent="0.3">
      <c r="J117271"/>
    </row>
    <row r="117272" spans="10:10" x14ac:dyDescent="0.3">
      <c r="J117272"/>
    </row>
    <row r="117273" spans="10:10" x14ac:dyDescent="0.3">
      <c r="J117273"/>
    </row>
    <row r="117274" spans="10:10" x14ac:dyDescent="0.3">
      <c r="J117274"/>
    </row>
    <row r="117275" spans="10:10" x14ac:dyDescent="0.3">
      <c r="J117275"/>
    </row>
    <row r="117276" spans="10:10" x14ac:dyDescent="0.3">
      <c r="J117276"/>
    </row>
    <row r="117277" spans="10:10" x14ac:dyDescent="0.3">
      <c r="J117277"/>
    </row>
    <row r="117278" spans="10:10" x14ac:dyDescent="0.3">
      <c r="J117278"/>
    </row>
    <row r="117279" spans="10:10" x14ac:dyDescent="0.3">
      <c r="J117279"/>
    </row>
    <row r="117280" spans="10:10" x14ac:dyDescent="0.3">
      <c r="J117280"/>
    </row>
    <row r="117281" spans="10:10" x14ac:dyDescent="0.3">
      <c r="J117281"/>
    </row>
    <row r="117282" spans="10:10" x14ac:dyDescent="0.3">
      <c r="J117282"/>
    </row>
    <row r="117283" spans="10:10" x14ac:dyDescent="0.3">
      <c r="J117283"/>
    </row>
    <row r="117284" spans="10:10" x14ac:dyDescent="0.3">
      <c r="J117284"/>
    </row>
    <row r="117285" spans="10:10" x14ac:dyDescent="0.3">
      <c r="J117285"/>
    </row>
    <row r="117286" spans="10:10" x14ac:dyDescent="0.3">
      <c r="J117286"/>
    </row>
    <row r="117287" spans="10:10" x14ac:dyDescent="0.3">
      <c r="J117287"/>
    </row>
    <row r="117288" spans="10:10" x14ac:dyDescent="0.3">
      <c r="J117288"/>
    </row>
    <row r="117289" spans="10:10" x14ac:dyDescent="0.3">
      <c r="J117289"/>
    </row>
    <row r="117290" spans="10:10" x14ac:dyDescent="0.3">
      <c r="J117290"/>
    </row>
    <row r="117291" spans="10:10" x14ac:dyDescent="0.3">
      <c r="J117291"/>
    </row>
    <row r="117292" spans="10:10" x14ac:dyDescent="0.3">
      <c r="J117292"/>
    </row>
    <row r="117293" spans="10:10" x14ac:dyDescent="0.3">
      <c r="J117293"/>
    </row>
    <row r="117294" spans="10:10" x14ac:dyDescent="0.3">
      <c r="J117294"/>
    </row>
    <row r="117295" spans="10:10" x14ac:dyDescent="0.3">
      <c r="J117295"/>
    </row>
    <row r="117296" spans="10:10" x14ac:dyDescent="0.3">
      <c r="J117296"/>
    </row>
    <row r="117297" spans="10:10" x14ac:dyDescent="0.3">
      <c r="J117297"/>
    </row>
    <row r="117298" spans="10:10" x14ac:dyDescent="0.3">
      <c r="J117298"/>
    </row>
    <row r="117299" spans="10:10" x14ac:dyDescent="0.3">
      <c r="J117299"/>
    </row>
    <row r="117300" spans="10:10" x14ac:dyDescent="0.3">
      <c r="J117300"/>
    </row>
    <row r="117301" spans="10:10" x14ac:dyDescent="0.3">
      <c r="J117301"/>
    </row>
    <row r="117302" spans="10:10" x14ac:dyDescent="0.3">
      <c r="J117302"/>
    </row>
    <row r="117303" spans="10:10" x14ac:dyDescent="0.3">
      <c r="J117303"/>
    </row>
    <row r="117304" spans="10:10" x14ac:dyDescent="0.3">
      <c r="J117304"/>
    </row>
    <row r="117305" spans="10:10" x14ac:dyDescent="0.3">
      <c r="J117305"/>
    </row>
    <row r="117306" spans="10:10" x14ac:dyDescent="0.3">
      <c r="J117306"/>
    </row>
    <row r="117307" spans="10:10" x14ac:dyDescent="0.3">
      <c r="J117307"/>
    </row>
    <row r="117308" spans="10:10" x14ac:dyDescent="0.3">
      <c r="J117308"/>
    </row>
    <row r="117309" spans="10:10" x14ac:dyDescent="0.3">
      <c r="J117309"/>
    </row>
    <row r="117310" spans="10:10" x14ac:dyDescent="0.3">
      <c r="J117310"/>
    </row>
    <row r="117311" spans="10:10" x14ac:dyDescent="0.3">
      <c r="J117311"/>
    </row>
    <row r="117312" spans="10:10" x14ac:dyDescent="0.3">
      <c r="J117312"/>
    </row>
    <row r="117313" spans="10:10" x14ac:dyDescent="0.3">
      <c r="J117313"/>
    </row>
    <row r="117314" spans="10:10" x14ac:dyDescent="0.3">
      <c r="J117314"/>
    </row>
    <row r="117315" spans="10:10" x14ac:dyDescent="0.3">
      <c r="J117315"/>
    </row>
    <row r="117316" spans="10:10" x14ac:dyDescent="0.3">
      <c r="J117316"/>
    </row>
    <row r="117317" spans="10:10" x14ac:dyDescent="0.3">
      <c r="J117317"/>
    </row>
    <row r="117318" spans="10:10" x14ac:dyDescent="0.3">
      <c r="J117318"/>
    </row>
    <row r="117319" spans="10:10" x14ac:dyDescent="0.3">
      <c r="J117319"/>
    </row>
    <row r="117320" spans="10:10" x14ac:dyDescent="0.3">
      <c r="J117320"/>
    </row>
    <row r="117321" spans="10:10" x14ac:dyDescent="0.3">
      <c r="J117321"/>
    </row>
    <row r="117322" spans="10:10" x14ac:dyDescent="0.3">
      <c r="J117322"/>
    </row>
    <row r="117323" spans="10:10" x14ac:dyDescent="0.3">
      <c r="J117323"/>
    </row>
    <row r="117324" spans="10:10" x14ac:dyDescent="0.3">
      <c r="J117324"/>
    </row>
    <row r="117325" spans="10:10" x14ac:dyDescent="0.3">
      <c r="J117325"/>
    </row>
    <row r="117326" spans="10:10" x14ac:dyDescent="0.3">
      <c r="J117326"/>
    </row>
    <row r="117327" spans="10:10" x14ac:dyDescent="0.3">
      <c r="J117327"/>
    </row>
    <row r="117328" spans="10:10" x14ac:dyDescent="0.3">
      <c r="J117328"/>
    </row>
    <row r="117329" spans="10:10" x14ac:dyDescent="0.3">
      <c r="J117329"/>
    </row>
    <row r="117330" spans="10:10" x14ac:dyDescent="0.3">
      <c r="J117330"/>
    </row>
    <row r="117331" spans="10:10" x14ac:dyDescent="0.3">
      <c r="J117331"/>
    </row>
    <row r="117332" spans="10:10" x14ac:dyDescent="0.3">
      <c r="J117332"/>
    </row>
    <row r="117333" spans="10:10" x14ac:dyDescent="0.3">
      <c r="J117333"/>
    </row>
    <row r="117334" spans="10:10" x14ac:dyDescent="0.3">
      <c r="J117334"/>
    </row>
    <row r="117335" spans="10:10" x14ac:dyDescent="0.3">
      <c r="J117335"/>
    </row>
    <row r="117336" spans="10:10" x14ac:dyDescent="0.3">
      <c r="J117336"/>
    </row>
    <row r="117337" spans="10:10" x14ac:dyDescent="0.3">
      <c r="J117337"/>
    </row>
    <row r="117338" spans="10:10" x14ac:dyDescent="0.3">
      <c r="J117338"/>
    </row>
    <row r="117339" spans="10:10" x14ac:dyDescent="0.3">
      <c r="J117339"/>
    </row>
    <row r="117340" spans="10:10" x14ac:dyDescent="0.3">
      <c r="J117340"/>
    </row>
    <row r="117341" spans="10:10" x14ac:dyDescent="0.3">
      <c r="J117341"/>
    </row>
    <row r="117342" spans="10:10" x14ac:dyDescent="0.3">
      <c r="J117342"/>
    </row>
    <row r="117343" spans="10:10" x14ac:dyDescent="0.3">
      <c r="J117343"/>
    </row>
    <row r="117344" spans="10:10" x14ac:dyDescent="0.3">
      <c r="J117344"/>
    </row>
    <row r="117345" spans="10:10" x14ac:dyDescent="0.3">
      <c r="J117345"/>
    </row>
    <row r="117346" spans="10:10" x14ac:dyDescent="0.3">
      <c r="J117346"/>
    </row>
    <row r="117347" spans="10:10" x14ac:dyDescent="0.3">
      <c r="J117347"/>
    </row>
    <row r="117348" spans="10:10" x14ac:dyDescent="0.3">
      <c r="J117348"/>
    </row>
    <row r="117349" spans="10:10" x14ac:dyDescent="0.3">
      <c r="J117349"/>
    </row>
    <row r="117350" spans="10:10" x14ac:dyDescent="0.3">
      <c r="J117350"/>
    </row>
    <row r="117351" spans="10:10" x14ac:dyDescent="0.3">
      <c r="J117351"/>
    </row>
    <row r="117352" spans="10:10" x14ac:dyDescent="0.3">
      <c r="J117352"/>
    </row>
    <row r="117353" spans="10:10" x14ac:dyDescent="0.3">
      <c r="J117353"/>
    </row>
    <row r="117354" spans="10:10" x14ac:dyDescent="0.3">
      <c r="J117354"/>
    </row>
    <row r="117355" spans="10:10" x14ac:dyDescent="0.3">
      <c r="J117355"/>
    </row>
    <row r="117356" spans="10:10" x14ac:dyDescent="0.3">
      <c r="J117356"/>
    </row>
    <row r="117357" spans="10:10" x14ac:dyDescent="0.3">
      <c r="J117357"/>
    </row>
    <row r="117358" spans="10:10" x14ac:dyDescent="0.3">
      <c r="J117358"/>
    </row>
    <row r="117359" spans="10:10" x14ac:dyDescent="0.3">
      <c r="J117359"/>
    </row>
    <row r="117360" spans="10:10" x14ac:dyDescent="0.3">
      <c r="J117360"/>
    </row>
    <row r="117361" spans="10:10" x14ac:dyDescent="0.3">
      <c r="J117361"/>
    </row>
    <row r="117362" spans="10:10" x14ac:dyDescent="0.3">
      <c r="J117362"/>
    </row>
    <row r="117363" spans="10:10" x14ac:dyDescent="0.3">
      <c r="J117363"/>
    </row>
    <row r="117364" spans="10:10" x14ac:dyDescent="0.3">
      <c r="J117364"/>
    </row>
    <row r="117365" spans="10:10" x14ac:dyDescent="0.3">
      <c r="J117365"/>
    </row>
    <row r="117366" spans="10:10" x14ac:dyDescent="0.3">
      <c r="J117366"/>
    </row>
    <row r="117367" spans="10:10" x14ac:dyDescent="0.3">
      <c r="J117367"/>
    </row>
    <row r="117368" spans="10:10" x14ac:dyDescent="0.3">
      <c r="J117368"/>
    </row>
    <row r="117369" spans="10:10" x14ac:dyDescent="0.3">
      <c r="J117369"/>
    </row>
    <row r="117370" spans="10:10" x14ac:dyDescent="0.3">
      <c r="J117370"/>
    </row>
    <row r="117371" spans="10:10" x14ac:dyDescent="0.3">
      <c r="J117371"/>
    </row>
    <row r="117372" spans="10:10" x14ac:dyDescent="0.3">
      <c r="J117372"/>
    </row>
    <row r="117373" spans="10:10" x14ac:dyDescent="0.3">
      <c r="J117373"/>
    </row>
    <row r="117374" spans="10:10" x14ac:dyDescent="0.3">
      <c r="J117374"/>
    </row>
    <row r="117375" spans="10:10" x14ac:dyDescent="0.3">
      <c r="J117375"/>
    </row>
    <row r="117376" spans="10:10" x14ac:dyDescent="0.3">
      <c r="J117376"/>
    </row>
    <row r="117377" spans="10:10" x14ac:dyDescent="0.3">
      <c r="J117377"/>
    </row>
    <row r="117378" spans="10:10" x14ac:dyDescent="0.3">
      <c r="J117378"/>
    </row>
    <row r="117379" spans="10:10" x14ac:dyDescent="0.3">
      <c r="J117379"/>
    </row>
    <row r="117380" spans="10:10" x14ac:dyDescent="0.3">
      <c r="J117380"/>
    </row>
    <row r="117381" spans="10:10" x14ac:dyDescent="0.3">
      <c r="J117381"/>
    </row>
    <row r="117382" spans="10:10" x14ac:dyDescent="0.3">
      <c r="J117382"/>
    </row>
    <row r="117383" spans="10:10" x14ac:dyDescent="0.3">
      <c r="J117383"/>
    </row>
    <row r="117384" spans="10:10" x14ac:dyDescent="0.3">
      <c r="J117384"/>
    </row>
    <row r="117385" spans="10:10" x14ac:dyDescent="0.3">
      <c r="J117385"/>
    </row>
    <row r="117386" spans="10:10" x14ac:dyDescent="0.3">
      <c r="J117386"/>
    </row>
    <row r="117387" spans="10:10" x14ac:dyDescent="0.3">
      <c r="J117387"/>
    </row>
    <row r="117388" spans="10:10" x14ac:dyDescent="0.3">
      <c r="J117388"/>
    </row>
    <row r="117389" spans="10:10" x14ac:dyDescent="0.3">
      <c r="J117389"/>
    </row>
    <row r="117390" spans="10:10" x14ac:dyDescent="0.3">
      <c r="J117390"/>
    </row>
    <row r="117391" spans="10:10" x14ac:dyDescent="0.3">
      <c r="J117391"/>
    </row>
    <row r="117392" spans="10:10" x14ac:dyDescent="0.3">
      <c r="J117392"/>
    </row>
    <row r="117393" spans="10:10" x14ac:dyDescent="0.3">
      <c r="J117393"/>
    </row>
    <row r="117394" spans="10:10" x14ac:dyDescent="0.3">
      <c r="J117394"/>
    </row>
    <row r="117395" spans="10:10" x14ac:dyDescent="0.3">
      <c r="J117395"/>
    </row>
    <row r="117396" spans="10:10" x14ac:dyDescent="0.3">
      <c r="J117396"/>
    </row>
    <row r="117397" spans="10:10" x14ac:dyDescent="0.3">
      <c r="J117397"/>
    </row>
    <row r="117398" spans="10:10" x14ac:dyDescent="0.3">
      <c r="J117398"/>
    </row>
    <row r="117399" spans="10:10" x14ac:dyDescent="0.3">
      <c r="J117399"/>
    </row>
    <row r="117400" spans="10:10" x14ac:dyDescent="0.3">
      <c r="J117400"/>
    </row>
    <row r="117401" spans="10:10" x14ac:dyDescent="0.3">
      <c r="J117401"/>
    </row>
    <row r="117402" spans="10:10" x14ac:dyDescent="0.3">
      <c r="J117402"/>
    </row>
    <row r="117403" spans="10:10" x14ac:dyDescent="0.3">
      <c r="J117403"/>
    </row>
    <row r="117404" spans="10:10" x14ac:dyDescent="0.3">
      <c r="J117404"/>
    </row>
    <row r="117405" spans="10:10" x14ac:dyDescent="0.3">
      <c r="J117405"/>
    </row>
    <row r="117406" spans="10:10" x14ac:dyDescent="0.3">
      <c r="J117406"/>
    </row>
    <row r="117407" spans="10:10" x14ac:dyDescent="0.3">
      <c r="J117407"/>
    </row>
    <row r="117408" spans="10:10" x14ac:dyDescent="0.3">
      <c r="J117408"/>
    </row>
    <row r="117409" spans="10:10" x14ac:dyDescent="0.3">
      <c r="J117409"/>
    </row>
    <row r="117410" spans="10:10" x14ac:dyDescent="0.3">
      <c r="J117410"/>
    </row>
    <row r="117411" spans="10:10" x14ac:dyDescent="0.3">
      <c r="J117411"/>
    </row>
    <row r="117412" spans="10:10" x14ac:dyDescent="0.3">
      <c r="J117412"/>
    </row>
    <row r="117413" spans="10:10" x14ac:dyDescent="0.3">
      <c r="J117413"/>
    </row>
    <row r="117414" spans="10:10" x14ac:dyDescent="0.3">
      <c r="J117414"/>
    </row>
    <row r="117415" spans="10:10" x14ac:dyDescent="0.3">
      <c r="J117415"/>
    </row>
    <row r="117416" spans="10:10" x14ac:dyDescent="0.3">
      <c r="J117416"/>
    </row>
    <row r="117417" spans="10:10" x14ac:dyDescent="0.3">
      <c r="J117417"/>
    </row>
    <row r="117418" spans="10:10" x14ac:dyDescent="0.3">
      <c r="J117418"/>
    </row>
    <row r="117419" spans="10:10" x14ac:dyDescent="0.3">
      <c r="J117419"/>
    </row>
    <row r="117420" spans="10:10" x14ac:dyDescent="0.3">
      <c r="J117420"/>
    </row>
    <row r="117421" spans="10:10" x14ac:dyDescent="0.3">
      <c r="J117421"/>
    </row>
    <row r="117422" spans="10:10" x14ac:dyDescent="0.3">
      <c r="J117422"/>
    </row>
    <row r="117423" spans="10:10" x14ac:dyDescent="0.3">
      <c r="J117423"/>
    </row>
    <row r="117424" spans="10:10" x14ac:dyDescent="0.3">
      <c r="J117424"/>
    </row>
    <row r="117425" spans="10:10" x14ac:dyDescent="0.3">
      <c r="J117425"/>
    </row>
    <row r="117426" spans="10:10" x14ac:dyDescent="0.3">
      <c r="J117426"/>
    </row>
    <row r="117427" spans="10:10" x14ac:dyDescent="0.3">
      <c r="J117427"/>
    </row>
    <row r="117428" spans="10:10" x14ac:dyDescent="0.3">
      <c r="J117428"/>
    </row>
    <row r="117429" spans="10:10" x14ac:dyDescent="0.3">
      <c r="J117429"/>
    </row>
    <row r="117430" spans="10:10" x14ac:dyDescent="0.3">
      <c r="J117430"/>
    </row>
    <row r="117431" spans="10:10" x14ac:dyDescent="0.3">
      <c r="J117431"/>
    </row>
    <row r="117432" spans="10:10" x14ac:dyDescent="0.3">
      <c r="J117432"/>
    </row>
    <row r="117433" spans="10:10" x14ac:dyDescent="0.3">
      <c r="J117433"/>
    </row>
    <row r="117434" spans="10:10" x14ac:dyDescent="0.3">
      <c r="J117434"/>
    </row>
    <row r="117435" spans="10:10" x14ac:dyDescent="0.3">
      <c r="J117435"/>
    </row>
    <row r="117436" spans="10:10" x14ac:dyDescent="0.3">
      <c r="J117436"/>
    </row>
    <row r="117437" spans="10:10" x14ac:dyDescent="0.3">
      <c r="J117437"/>
    </row>
    <row r="117438" spans="10:10" x14ac:dyDescent="0.3">
      <c r="J117438"/>
    </row>
    <row r="117439" spans="10:10" x14ac:dyDescent="0.3">
      <c r="J117439"/>
    </row>
    <row r="117440" spans="10:10" x14ac:dyDescent="0.3">
      <c r="J117440"/>
    </row>
    <row r="117441" spans="10:10" x14ac:dyDescent="0.3">
      <c r="J117441"/>
    </row>
    <row r="117442" spans="10:10" x14ac:dyDescent="0.3">
      <c r="J117442"/>
    </row>
    <row r="117443" spans="10:10" x14ac:dyDescent="0.3">
      <c r="J117443"/>
    </row>
    <row r="117444" spans="10:10" x14ac:dyDescent="0.3">
      <c r="J117444"/>
    </row>
    <row r="117445" spans="10:10" x14ac:dyDescent="0.3">
      <c r="J117445"/>
    </row>
    <row r="117446" spans="10:10" x14ac:dyDescent="0.3">
      <c r="J117446"/>
    </row>
    <row r="117447" spans="10:10" x14ac:dyDescent="0.3">
      <c r="J117447"/>
    </row>
    <row r="117448" spans="10:10" x14ac:dyDescent="0.3">
      <c r="J117448"/>
    </row>
    <row r="117449" spans="10:10" x14ac:dyDescent="0.3">
      <c r="J117449"/>
    </row>
    <row r="117450" spans="10:10" x14ac:dyDescent="0.3">
      <c r="J117450"/>
    </row>
    <row r="117451" spans="10:10" x14ac:dyDescent="0.3">
      <c r="J117451"/>
    </row>
    <row r="117452" spans="10:10" x14ac:dyDescent="0.3">
      <c r="J117452"/>
    </row>
    <row r="117453" spans="10:10" x14ac:dyDescent="0.3">
      <c r="J117453"/>
    </row>
    <row r="117454" spans="10:10" x14ac:dyDescent="0.3">
      <c r="J117454"/>
    </row>
    <row r="117455" spans="10:10" x14ac:dyDescent="0.3">
      <c r="J117455"/>
    </row>
    <row r="117456" spans="10:10" x14ac:dyDescent="0.3">
      <c r="J117456"/>
    </row>
    <row r="117457" spans="10:10" x14ac:dyDescent="0.3">
      <c r="J117457"/>
    </row>
    <row r="117458" spans="10:10" x14ac:dyDescent="0.3">
      <c r="J117458"/>
    </row>
    <row r="117459" spans="10:10" x14ac:dyDescent="0.3">
      <c r="J117459"/>
    </row>
    <row r="117460" spans="10:10" x14ac:dyDescent="0.3">
      <c r="J117460"/>
    </row>
    <row r="117461" spans="10:10" x14ac:dyDescent="0.3">
      <c r="J117461"/>
    </row>
    <row r="117462" spans="10:10" x14ac:dyDescent="0.3">
      <c r="J117462"/>
    </row>
    <row r="117463" spans="10:10" x14ac:dyDescent="0.3">
      <c r="J117463"/>
    </row>
    <row r="117464" spans="10:10" x14ac:dyDescent="0.3">
      <c r="J117464"/>
    </row>
    <row r="117465" spans="10:10" x14ac:dyDescent="0.3">
      <c r="J117465"/>
    </row>
    <row r="117466" spans="10:10" x14ac:dyDescent="0.3">
      <c r="J117466"/>
    </row>
    <row r="117467" spans="10:10" x14ac:dyDescent="0.3">
      <c r="J117467"/>
    </row>
    <row r="117468" spans="10:10" x14ac:dyDescent="0.3">
      <c r="J117468"/>
    </row>
    <row r="117469" spans="10:10" x14ac:dyDescent="0.3">
      <c r="J117469"/>
    </row>
    <row r="117470" spans="10:10" x14ac:dyDescent="0.3">
      <c r="J117470"/>
    </row>
    <row r="117471" spans="10:10" x14ac:dyDescent="0.3">
      <c r="J117471"/>
    </row>
    <row r="117472" spans="10:10" x14ac:dyDescent="0.3">
      <c r="J117472"/>
    </row>
    <row r="117473" spans="10:10" x14ac:dyDescent="0.3">
      <c r="J117473"/>
    </row>
    <row r="117474" spans="10:10" x14ac:dyDescent="0.3">
      <c r="J117474"/>
    </row>
    <row r="117475" spans="10:10" x14ac:dyDescent="0.3">
      <c r="J117475"/>
    </row>
    <row r="117476" spans="10:10" x14ac:dyDescent="0.3">
      <c r="J117476"/>
    </row>
    <row r="117477" spans="10:10" x14ac:dyDescent="0.3">
      <c r="J117477"/>
    </row>
    <row r="117478" spans="10:10" x14ac:dyDescent="0.3">
      <c r="J117478"/>
    </row>
    <row r="117479" spans="10:10" x14ac:dyDescent="0.3">
      <c r="J117479"/>
    </row>
    <row r="117480" spans="10:10" x14ac:dyDescent="0.3">
      <c r="J117480"/>
    </row>
    <row r="117481" spans="10:10" x14ac:dyDescent="0.3">
      <c r="J117481"/>
    </row>
    <row r="117482" spans="10:10" x14ac:dyDescent="0.3">
      <c r="J117482"/>
    </row>
    <row r="117483" spans="10:10" x14ac:dyDescent="0.3">
      <c r="J117483"/>
    </row>
    <row r="117484" spans="10:10" x14ac:dyDescent="0.3">
      <c r="J117484"/>
    </row>
    <row r="117485" spans="10:10" x14ac:dyDescent="0.3">
      <c r="J117485"/>
    </row>
    <row r="117486" spans="10:10" x14ac:dyDescent="0.3">
      <c r="J117486"/>
    </row>
    <row r="117487" spans="10:10" x14ac:dyDescent="0.3">
      <c r="J117487"/>
    </row>
    <row r="117488" spans="10:10" x14ac:dyDescent="0.3">
      <c r="J117488"/>
    </row>
    <row r="117489" spans="10:10" x14ac:dyDescent="0.3">
      <c r="J117489"/>
    </row>
    <row r="117490" spans="10:10" x14ac:dyDescent="0.3">
      <c r="J117490"/>
    </row>
    <row r="117491" spans="10:10" x14ac:dyDescent="0.3">
      <c r="J117491"/>
    </row>
    <row r="117492" spans="10:10" x14ac:dyDescent="0.3">
      <c r="J117492"/>
    </row>
    <row r="117493" spans="10:10" x14ac:dyDescent="0.3">
      <c r="J117493"/>
    </row>
    <row r="117494" spans="10:10" x14ac:dyDescent="0.3">
      <c r="J117494"/>
    </row>
    <row r="117495" spans="10:10" x14ac:dyDescent="0.3">
      <c r="J117495"/>
    </row>
    <row r="117496" spans="10:10" x14ac:dyDescent="0.3">
      <c r="J117496"/>
    </row>
    <row r="117497" spans="10:10" x14ac:dyDescent="0.3">
      <c r="J117497"/>
    </row>
    <row r="117498" spans="10:10" x14ac:dyDescent="0.3">
      <c r="J117498"/>
    </row>
    <row r="117499" spans="10:10" x14ac:dyDescent="0.3">
      <c r="J117499"/>
    </row>
    <row r="117500" spans="10:10" x14ac:dyDescent="0.3">
      <c r="J117500"/>
    </row>
    <row r="117501" spans="10:10" x14ac:dyDescent="0.3">
      <c r="J117501"/>
    </row>
    <row r="117502" spans="10:10" x14ac:dyDescent="0.3">
      <c r="J117502"/>
    </row>
    <row r="117503" spans="10:10" x14ac:dyDescent="0.3">
      <c r="J117503"/>
    </row>
    <row r="117504" spans="10:10" x14ac:dyDescent="0.3">
      <c r="J117504"/>
    </row>
    <row r="117505" spans="10:10" x14ac:dyDescent="0.3">
      <c r="J117505"/>
    </row>
    <row r="117506" spans="10:10" x14ac:dyDescent="0.3">
      <c r="J117506"/>
    </row>
    <row r="117507" spans="10:10" x14ac:dyDescent="0.3">
      <c r="J117507"/>
    </row>
    <row r="117508" spans="10:10" x14ac:dyDescent="0.3">
      <c r="J117508"/>
    </row>
    <row r="117509" spans="10:10" x14ac:dyDescent="0.3">
      <c r="J117509"/>
    </row>
    <row r="117510" spans="10:10" x14ac:dyDescent="0.3">
      <c r="J117510"/>
    </row>
    <row r="117511" spans="10:10" x14ac:dyDescent="0.3">
      <c r="J117511"/>
    </row>
    <row r="117512" spans="10:10" x14ac:dyDescent="0.3">
      <c r="J117512"/>
    </row>
    <row r="117513" spans="10:10" x14ac:dyDescent="0.3">
      <c r="J117513"/>
    </row>
    <row r="117514" spans="10:10" x14ac:dyDescent="0.3">
      <c r="J117514"/>
    </row>
    <row r="117515" spans="10:10" x14ac:dyDescent="0.3">
      <c r="J117515"/>
    </row>
    <row r="117516" spans="10:10" x14ac:dyDescent="0.3">
      <c r="J117516"/>
    </row>
    <row r="117517" spans="10:10" x14ac:dyDescent="0.3">
      <c r="J117517"/>
    </row>
    <row r="117518" spans="10:10" x14ac:dyDescent="0.3">
      <c r="J117518"/>
    </row>
    <row r="117519" spans="10:10" x14ac:dyDescent="0.3">
      <c r="J117519"/>
    </row>
    <row r="117520" spans="10:10" x14ac:dyDescent="0.3">
      <c r="J117520"/>
    </row>
    <row r="117521" spans="10:10" x14ac:dyDescent="0.3">
      <c r="J117521"/>
    </row>
    <row r="117522" spans="10:10" x14ac:dyDescent="0.3">
      <c r="J117522"/>
    </row>
    <row r="117523" spans="10:10" x14ac:dyDescent="0.3">
      <c r="J117523"/>
    </row>
    <row r="117524" spans="10:10" x14ac:dyDescent="0.3">
      <c r="J117524"/>
    </row>
    <row r="117525" spans="10:10" x14ac:dyDescent="0.3">
      <c r="J117525"/>
    </row>
    <row r="117526" spans="10:10" x14ac:dyDescent="0.3">
      <c r="J117526"/>
    </row>
    <row r="117527" spans="10:10" x14ac:dyDescent="0.3">
      <c r="J117527"/>
    </row>
    <row r="117528" spans="10:10" x14ac:dyDescent="0.3">
      <c r="J117528"/>
    </row>
    <row r="117529" spans="10:10" x14ac:dyDescent="0.3">
      <c r="J117529"/>
    </row>
    <row r="117530" spans="10:10" x14ac:dyDescent="0.3">
      <c r="J117530"/>
    </row>
    <row r="117531" spans="10:10" x14ac:dyDescent="0.3">
      <c r="J117531"/>
    </row>
    <row r="117532" spans="10:10" x14ac:dyDescent="0.3">
      <c r="J117532"/>
    </row>
    <row r="117533" spans="10:10" x14ac:dyDescent="0.3">
      <c r="J117533"/>
    </row>
    <row r="117534" spans="10:10" x14ac:dyDescent="0.3">
      <c r="J117534"/>
    </row>
    <row r="117535" spans="10:10" x14ac:dyDescent="0.3">
      <c r="J117535"/>
    </row>
    <row r="117536" spans="10:10" x14ac:dyDescent="0.3">
      <c r="J117536"/>
    </row>
    <row r="117537" spans="10:10" x14ac:dyDescent="0.3">
      <c r="J117537"/>
    </row>
    <row r="117538" spans="10:10" x14ac:dyDescent="0.3">
      <c r="J117538"/>
    </row>
    <row r="117539" spans="10:10" x14ac:dyDescent="0.3">
      <c r="J117539"/>
    </row>
    <row r="117540" spans="10:10" x14ac:dyDescent="0.3">
      <c r="J117540"/>
    </row>
    <row r="117541" spans="10:10" x14ac:dyDescent="0.3">
      <c r="J117541"/>
    </row>
    <row r="117542" spans="10:10" x14ac:dyDescent="0.3">
      <c r="J117542"/>
    </row>
    <row r="117543" spans="10:10" x14ac:dyDescent="0.3">
      <c r="J117543"/>
    </row>
    <row r="117544" spans="10:10" x14ac:dyDescent="0.3">
      <c r="J117544"/>
    </row>
    <row r="117545" spans="10:10" x14ac:dyDescent="0.3">
      <c r="J117545"/>
    </row>
    <row r="117546" spans="10:10" x14ac:dyDescent="0.3">
      <c r="J117546"/>
    </row>
    <row r="117547" spans="10:10" x14ac:dyDescent="0.3">
      <c r="J117547"/>
    </row>
    <row r="117548" spans="10:10" x14ac:dyDescent="0.3">
      <c r="J117548"/>
    </row>
    <row r="117549" spans="10:10" x14ac:dyDescent="0.3">
      <c r="J117549"/>
    </row>
    <row r="117550" spans="10:10" x14ac:dyDescent="0.3">
      <c r="J117550"/>
    </row>
    <row r="117551" spans="10:10" x14ac:dyDescent="0.3">
      <c r="J117551"/>
    </row>
    <row r="117552" spans="10:10" x14ac:dyDescent="0.3">
      <c r="J117552"/>
    </row>
    <row r="117553" spans="10:10" x14ac:dyDescent="0.3">
      <c r="J117553"/>
    </row>
    <row r="117554" spans="10:10" x14ac:dyDescent="0.3">
      <c r="J117554"/>
    </row>
    <row r="117555" spans="10:10" x14ac:dyDescent="0.3">
      <c r="J117555"/>
    </row>
    <row r="117556" spans="10:10" x14ac:dyDescent="0.3">
      <c r="J117556"/>
    </row>
    <row r="117557" spans="10:10" x14ac:dyDescent="0.3">
      <c r="J117557"/>
    </row>
    <row r="117558" spans="10:10" x14ac:dyDescent="0.3">
      <c r="J117558"/>
    </row>
    <row r="117559" spans="10:10" x14ac:dyDescent="0.3">
      <c r="J117559"/>
    </row>
    <row r="117560" spans="10:10" x14ac:dyDescent="0.3">
      <c r="J117560"/>
    </row>
    <row r="117561" spans="10:10" x14ac:dyDescent="0.3">
      <c r="J117561"/>
    </row>
    <row r="117562" spans="10:10" x14ac:dyDescent="0.3">
      <c r="J117562"/>
    </row>
    <row r="117563" spans="10:10" x14ac:dyDescent="0.3">
      <c r="J117563"/>
    </row>
    <row r="117564" spans="10:10" x14ac:dyDescent="0.3">
      <c r="J117564"/>
    </row>
    <row r="117565" spans="10:10" x14ac:dyDescent="0.3">
      <c r="J117565"/>
    </row>
    <row r="117566" spans="10:10" x14ac:dyDescent="0.3">
      <c r="J117566"/>
    </row>
    <row r="117567" spans="10:10" x14ac:dyDescent="0.3">
      <c r="J117567"/>
    </row>
    <row r="117568" spans="10:10" x14ac:dyDescent="0.3">
      <c r="J117568"/>
    </row>
    <row r="117569" spans="10:10" x14ac:dyDescent="0.3">
      <c r="J117569"/>
    </row>
    <row r="117570" spans="10:10" x14ac:dyDescent="0.3">
      <c r="J117570"/>
    </row>
    <row r="117571" spans="10:10" x14ac:dyDescent="0.3">
      <c r="J117571"/>
    </row>
    <row r="117572" spans="10:10" x14ac:dyDescent="0.3">
      <c r="J117572"/>
    </row>
    <row r="117573" spans="10:10" x14ac:dyDescent="0.3">
      <c r="J117573"/>
    </row>
    <row r="117574" spans="10:10" x14ac:dyDescent="0.3">
      <c r="J117574"/>
    </row>
    <row r="117575" spans="10:10" x14ac:dyDescent="0.3">
      <c r="J117575"/>
    </row>
    <row r="117576" spans="10:10" x14ac:dyDescent="0.3">
      <c r="J117576"/>
    </row>
    <row r="117577" spans="10:10" x14ac:dyDescent="0.3">
      <c r="J117577"/>
    </row>
    <row r="117578" spans="10:10" x14ac:dyDescent="0.3">
      <c r="J117578"/>
    </row>
    <row r="117579" spans="10:10" x14ac:dyDescent="0.3">
      <c r="J117579"/>
    </row>
    <row r="117580" spans="10:10" x14ac:dyDescent="0.3">
      <c r="J117580"/>
    </row>
    <row r="117581" spans="10:10" x14ac:dyDescent="0.3">
      <c r="J117581"/>
    </row>
    <row r="117582" spans="10:10" x14ac:dyDescent="0.3">
      <c r="J117582"/>
    </row>
    <row r="117583" spans="10:10" x14ac:dyDescent="0.3">
      <c r="J117583"/>
    </row>
    <row r="117584" spans="10:10" x14ac:dyDescent="0.3">
      <c r="J117584"/>
    </row>
    <row r="117585" spans="10:10" x14ac:dyDescent="0.3">
      <c r="J117585"/>
    </row>
    <row r="117586" spans="10:10" x14ac:dyDescent="0.3">
      <c r="J117586"/>
    </row>
    <row r="117587" spans="10:10" x14ac:dyDescent="0.3">
      <c r="J117587"/>
    </row>
    <row r="117588" spans="10:10" x14ac:dyDescent="0.3">
      <c r="J117588"/>
    </row>
    <row r="117589" spans="10:10" x14ac:dyDescent="0.3">
      <c r="J117589"/>
    </row>
    <row r="117590" spans="10:10" x14ac:dyDescent="0.3">
      <c r="J117590"/>
    </row>
    <row r="117591" spans="10:10" x14ac:dyDescent="0.3">
      <c r="J117591"/>
    </row>
    <row r="117592" spans="10:10" x14ac:dyDescent="0.3">
      <c r="J117592"/>
    </row>
    <row r="117593" spans="10:10" x14ac:dyDescent="0.3">
      <c r="J117593"/>
    </row>
    <row r="117594" spans="10:10" x14ac:dyDescent="0.3">
      <c r="J117594"/>
    </row>
    <row r="117595" spans="10:10" x14ac:dyDescent="0.3">
      <c r="J117595"/>
    </row>
    <row r="117596" spans="10:10" x14ac:dyDescent="0.3">
      <c r="J117596"/>
    </row>
    <row r="117597" spans="10:10" x14ac:dyDescent="0.3">
      <c r="J117597"/>
    </row>
    <row r="117598" spans="10:10" x14ac:dyDescent="0.3">
      <c r="J117598"/>
    </row>
    <row r="117599" spans="10:10" x14ac:dyDescent="0.3">
      <c r="J117599"/>
    </row>
    <row r="117600" spans="10:10" x14ac:dyDescent="0.3">
      <c r="J117600"/>
    </row>
    <row r="117601" spans="10:10" x14ac:dyDescent="0.3">
      <c r="J117601"/>
    </row>
    <row r="117602" spans="10:10" x14ac:dyDescent="0.3">
      <c r="J117602"/>
    </row>
    <row r="117603" spans="10:10" x14ac:dyDescent="0.3">
      <c r="J117603"/>
    </row>
    <row r="117604" spans="10:10" x14ac:dyDescent="0.3">
      <c r="J117604"/>
    </row>
    <row r="117605" spans="10:10" x14ac:dyDescent="0.3">
      <c r="J117605"/>
    </row>
    <row r="117606" spans="10:10" x14ac:dyDescent="0.3">
      <c r="J117606"/>
    </row>
    <row r="117607" spans="10:10" x14ac:dyDescent="0.3">
      <c r="J117607"/>
    </row>
    <row r="117608" spans="10:10" x14ac:dyDescent="0.3">
      <c r="J117608"/>
    </row>
    <row r="117609" spans="10:10" x14ac:dyDescent="0.3">
      <c r="J117609"/>
    </row>
    <row r="117610" spans="10:10" x14ac:dyDescent="0.3">
      <c r="J117610"/>
    </row>
    <row r="117611" spans="10:10" x14ac:dyDescent="0.3">
      <c r="J117611"/>
    </row>
    <row r="117612" spans="10:10" x14ac:dyDescent="0.3">
      <c r="J117612"/>
    </row>
    <row r="117613" spans="10:10" x14ac:dyDescent="0.3">
      <c r="J117613"/>
    </row>
    <row r="117614" spans="10:10" x14ac:dyDescent="0.3">
      <c r="J117614"/>
    </row>
    <row r="117615" spans="10:10" x14ac:dyDescent="0.3">
      <c r="J117615"/>
    </row>
    <row r="117616" spans="10:10" x14ac:dyDescent="0.3">
      <c r="J117616"/>
    </row>
    <row r="117617" spans="10:10" x14ac:dyDescent="0.3">
      <c r="J117617"/>
    </row>
    <row r="117618" spans="10:10" x14ac:dyDescent="0.3">
      <c r="J117618"/>
    </row>
    <row r="117619" spans="10:10" x14ac:dyDescent="0.3">
      <c r="J117619"/>
    </row>
    <row r="117620" spans="10:10" x14ac:dyDescent="0.3">
      <c r="J117620"/>
    </row>
    <row r="117621" spans="10:10" x14ac:dyDescent="0.3">
      <c r="J117621"/>
    </row>
    <row r="117622" spans="10:10" x14ac:dyDescent="0.3">
      <c r="J117622"/>
    </row>
    <row r="117623" spans="10:10" x14ac:dyDescent="0.3">
      <c r="J117623"/>
    </row>
    <row r="117624" spans="10:10" x14ac:dyDescent="0.3">
      <c r="J117624"/>
    </row>
    <row r="117625" spans="10:10" x14ac:dyDescent="0.3">
      <c r="J117625"/>
    </row>
    <row r="117626" spans="10:10" x14ac:dyDescent="0.3">
      <c r="J117626"/>
    </row>
    <row r="117627" spans="10:10" x14ac:dyDescent="0.3">
      <c r="J117627"/>
    </row>
    <row r="117628" spans="10:10" x14ac:dyDescent="0.3">
      <c r="J117628"/>
    </row>
    <row r="117629" spans="10:10" x14ac:dyDescent="0.3">
      <c r="J117629"/>
    </row>
    <row r="117630" spans="10:10" x14ac:dyDescent="0.3">
      <c r="J117630"/>
    </row>
    <row r="117631" spans="10:10" x14ac:dyDescent="0.3">
      <c r="J117631"/>
    </row>
    <row r="117632" spans="10:10" x14ac:dyDescent="0.3">
      <c r="J117632"/>
    </row>
    <row r="117633" spans="10:10" x14ac:dyDescent="0.3">
      <c r="J117633"/>
    </row>
    <row r="117634" spans="10:10" x14ac:dyDescent="0.3">
      <c r="J117634"/>
    </row>
    <row r="117635" spans="10:10" x14ac:dyDescent="0.3">
      <c r="J117635"/>
    </row>
    <row r="117636" spans="10:10" x14ac:dyDescent="0.3">
      <c r="J117636"/>
    </row>
    <row r="117637" spans="10:10" x14ac:dyDescent="0.3">
      <c r="J117637"/>
    </row>
    <row r="117638" spans="10:10" x14ac:dyDescent="0.3">
      <c r="J117638"/>
    </row>
    <row r="117639" spans="10:10" x14ac:dyDescent="0.3">
      <c r="J117639"/>
    </row>
    <row r="117640" spans="10:10" x14ac:dyDescent="0.3">
      <c r="J117640"/>
    </row>
    <row r="117641" spans="10:10" x14ac:dyDescent="0.3">
      <c r="J117641"/>
    </row>
    <row r="117642" spans="10:10" x14ac:dyDescent="0.3">
      <c r="J117642"/>
    </row>
    <row r="117643" spans="10:10" x14ac:dyDescent="0.3">
      <c r="J117643"/>
    </row>
    <row r="117644" spans="10:10" x14ac:dyDescent="0.3">
      <c r="J117644"/>
    </row>
    <row r="117645" spans="10:10" x14ac:dyDescent="0.3">
      <c r="J117645"/>
    </row>
    <row r="117646" spans="10:10" x14ac:dyDescent="0.3">
      <c r="J117646"/>
    </row>
    <row r="117647" spans="10:10" x14ac:dyDescent="0.3">
      <c r="J117647"/>
    </row>
    <row r="117648" spans="10:10" x14ac:dyDescent="0.3">
      <c r="J117648"/>
    </row>
    <row r="117649" spans="10:10" x14ac:dyDescent="0.3">
      <c r="J117649"/>
    </row>
    <row r="117650" spans="10:10" x14ac:dyDescent="0.3">
      <c r="J117650"/>
    </row>
    <row r="117651" spans="10:10" x14ac:dyDescent="0.3">
      <c r="J117651"/>
    </row>
    <row r="117652" spans="10:10" x14ac:dyDescent="0.3">
      <c r="J117652"/>
    </row>
    <row r="117653" spans="10:10" x14ac:dyDescent="0.3">
      <c r="J117653"/>
    </row>
    <row r="117654" spans="10:10" x14ac:dyDescent="0.3">
      <c r="J117654"/>
    </row>
    <row r="117655" spans="10:10" x14ac:dyDescent="0.3">
      <c r="J117655"/>
    </row>
    <row r="117656" spans="10:10" x14ac:dyDescent="0.3">
      <c r="J117656"/>
    </row>
    <row r="117657" spans="10:10" x14ac:dyDescent="0.3">
      <c r="J117657"/>
    </row>
    <row r="117658" spans="10:10" x14ac:dyDescent="0.3">
      <c r="J117658"/>
    </row>
    <row r="117659" spans="10:10" x14ac:dyDescent="0.3">
      <c r="J117659"/>
    </row>
    <row r="117660" spans="10:10" x14ac:dyDescent="0.3">
      <c r="J117660"/>
    </row>
    <row r="117661" spans="10:10" x14ac:dyDescent="0.3">
      <c r="J117661"/>
    </row>
    <row r="117662" spans="10:10" x14ac:dyDescent="0.3">
      <c r="J117662"/>
    </row>
    <row r="117663" spans="10:10" x14ac:dyDescent="0.3">
      <c r="J117663"/>
    </row>
    <row r="117664" spans="10:10" x14ac:dyDescent="0.3">
      <c r="J117664"/>
    </row>
    <row r="117665" spans="10:10" x14ac:dyDescent="0.3">
      <c r="J117665"/>
    </row>
    <row r="117666" spans="10:10" x14ac:dyDescent="0.3">
      <c r="J117666"/>
    </row>
    <row r="117667" spans="10:10" x14ac:dyDescent="0.3">
      <c r="J117667"/>
    </row>
    <row r="117668" spans="10:10" x14ac:dyDescent="0.3">
      <c r="J117668"/>
    </row>
    <row r="117669" spans="10:10" x14ac:dyDescent="0.3">
      <c r="J117669"/>
    </row>
    <row r="117670" spans="10:10" x14ac:dyDescent="0.3">
      <c r="J117670"/>
    </row>
    <row r="117671" spans="10:10" x14ac:dyDescent="0.3">
      <c r="J117671"/>
    </row>
    <row r="117672" spans="10:10" x14ac:dyDescent="0.3">
      <c r="J117672"/>
    </row>
    <row r="117673" spans="10:10" x14ac:dyDescent="0.3">
      <c r="J117673"/>
    </row>
    <row r="117674" spans="10:10" x14ac:dyDescent="0.3">
      <c r="J117674"/>
    </row>
    <row r="117675" spans="10:10" x14ac:dyDescent="0.3">
      <c r="J117675"/>
    </row>
    <row r="117676" spans="10:10" x14ac:dyDescent="0.3">
      <c r="J117676"/>
    </row>
    <row r="117677" spans="10:10" x14ac:dyDescent="0.3">
      <c r="J117677"/>
    </row>
    <row r="117678" spans="10:10" x14ac:dyDescent="0.3">
      <c r="J117678"/>
    </row>
    <row r="117679" spans="10:10" x14ac:dyDescent="0.3">
      <c r="J117679"/>
    </row>
    <row r="117680" spans="10:10" x14ac:dyDescent="0.3">
      <c r="J117680"/>
    </row>
    <row r="117681" spans="10:10" x14ac:dyDescent="0.3">
      <c r="J117681"/>
    </row>
    <row r="117682" spans="10:10" x14ac:dyDescent="0.3">
      <c r="J117682"/>
    </row>
    <row r="117683" spans="10:10" x14ac:dyDescent="0.3">
      <c r="J117683"/>
    </row>
    <row r="117684" spans="10:10" x14ac:dyDescent="0.3">
      <c r="J117684"/>
    </row>
    <row r="117685" spans="10:10" x14ac:dyDescent="0.3">
      <c r="J117685"/>
    </row>
    <row r="117686" spans="10:10" x14ac:dyDescent="0.3">
      <c r="J117686"/>
    </row>
    <row r="117687" spans="10:10" x14ac:dyDescent="0.3">
      <c r="J117687"/>
    </row>
    <row r="117688" spans="10:10" x14ac:dyDescent="0.3">
      <c r="J117688"/>
    </row>
    <row r="117689" spans="10:10" x14ac:dyDescent="0.3">
      <c r="J117689"/>
    </row>
    <row r="117690" spans="10:10" x14ac:dyDescent="0.3">
      <c r="J117690"/>
    </row>
    <row r="117691" spans="10:10" x14ac:dyDescent="0.3">
      <c r="J117691"/>
    </row>
    <row r="117692" spans="10:10" x14ac:dyDescent="0.3">
      <c r="J117692"/>
    </row>
    <row r="117693" spans="10:10" x14ac:dyDescent="0.3">
      <c r="J117693"/>
    </row>
    <row r="117694" spans="10:10" x14ac:dyDescent="0.3">
      <c r="J117694"/>
    </row>
    <row r="117695" spans="10:10" x14ac:dyDescent="0.3">
      <c r="J117695"/>
    </row>
    <row r="117696" spans="10:10" x14ac:dyDescent="0.3">
      <c r="J117696"/>
    </row>
    <row r="117697" spans="10:10" x14ac:dyDescent="0.3">
      <c r="J117697"/>
    </row>
    <row r="117698" spans="10:10" x14ac:dyDescent="0.3">
      <c r="J117698"/>
    </row>
    <row r="117699" spans="10:10" x14ac:dyDescent="0.3">
      <c r="J117699"/>
    </row>
    <row r="117700" spans="10:10" x14ac:dyDescent="0.3">
      <c r="J117700"/>
    </row>
    <row r="117701" spans="10:10" x14ac:dyDescent="0.3">
      <c r="J117701"/>
    </row>
    <row r="117702" spans="10:10" x14ac:dyDescent="0.3">
      <c r="J117702"/>
    </row>
    <row r="117703" spans="10:10" x14ac:dyDescent="0.3">
      <c r="J117703"/>
    </row>
    <row r="117704" spans="10:10" x14ac:dyDescent="0.3">
      <c r="J117704"/>
    </row>
    <row r="117705" spans="10:10" x14ac:dyDescent="0.3">
      <c r="J117705"/>
    </row>
    <row r="117706" spans="10:10" x14ac:dyDescent="0.3">
      <c r="J117706"/>
    </row>
    <row r="117707" spans="10:10" x14ac:dyDescent="0.3">
      <c r="J117707"/>
    </row>
    <row r="117708" spans="10:10" x14ac:dyDescent="0.3">
      <c r="J117708"/>
    </row>
    <row r="117709" spans="10:10" x14ac:dyDescent="0.3">
      <c r="J117709"/>
    </row>
    <row r="117710" spans="10:10" x14ac:dyDescent="0.3">
      <c r="J117710"/>
    </row>
    <row r="117711" spans="10:10" x14ac:dyDescent="0.3">
      <c r="J117711"/>
    </row>
    <row r="117712" spans="10:10" x14ac:dyDescent="0.3">
      <c r="J117712"/>
    </row>
    <row r="117713" spans="10:10" x14ac:dyDescent="0.3">
      <c r="J117713"/>
    </row>
    <row r="117714" spans="10:10" x14ac:dyDescent="0.3">
      <c r="J117714"/>
    </row>
    <row r="117715" spans="10:10" x14ac:dyDescent="0.3">
      <c r="J117715"/>
    </row>
    <row r="117716" spans="10:10" x14ac:dyDescent="0.3">
      <c r="J117716"/>
    </row>
    <row r="117717" spans="10:10" x14ac:dyDescent="0.3">
      <c r="J117717"/>
    </row>
    <row r="117718" spans="10:10" x14ac:dyDescent="0.3">
      <c r="J117718"/>
    </row>
    <row r="117719" spans="10:10" x14ac:dyDescent="0.3">
      <c r="J117719"/>
    </row>
    <row r="117720" spans="10:10" x14ac:dyDescent="0.3">
      <c r="J117720"/>
    </row>
    <row r="117721" spans="10:10" x14ac:dyDescent="0.3">
      <c r="J117721"/>
    </row>
    <row r="117722" spans="10:10" x14ac:dyDescent="0.3">
      <c r="J117722"/>
    </row>
    <row r="117723" spans="10:10" x14ac:dyDescent="0.3">
      <c r="J117723"/>
    </row>
    <row r="117724" spans="10:10" x14ac:dyDescent="0.3">
      <c r="J117724"/>
    </row>
    <row r="117725" spans="10:10" x14ac:dyDescent="0.3">
      <c r="J117725"/>
    </row>
    <row r="117726" spans="10:10" x14ac:dyDescent="0.3">
      <c r="J117726"/>
    </row>
    <row r="117727" spans="10:10" x14ac:dyDescent="0.3">
      <c r="J117727"/>
    </row>
    <row r="117728" spans="10:10" x14ac:dyDescent="0.3">
      <c r="J117728"/>
    </row>
    <row r="117729" spans="10:10" x14ac:dyDescent="0.3">
      <c r="J117729"/>
    </row>
    <row r="117730" spans="10:10" x14ac:dyDescent="0.3">
      <c r="J117730"/>
    </row>
    <row r="117731" spans="10:10" x14ac:dyDescent="0.3">
      <c r="J117731"/>
    </row>
    <row r="117732" spans="10:10" x14ac:dyDescent="0.3">
      <c r="J117732"/>
    </row>
    <row r="117733" spans="10:10" x14ac:dyDescent="0.3">
      <c r="J117733"/>
    </row>
    <row r="117734" spans="10:10" x14ac:dyDescent="0.3">
      <c r="J117734"/>
    </row>
    <row r="117735" spans="10:10" x14ac:dyDescent="0.3">
      <c r="J117735"/>
    </row>
    <row r="117736" spans="10:10" x14ac:dyDescent="0.3">
      <c r="J117736"/>
    </row>
    <row r="117737" spans="10:10" x14ac:dyDescent="0.3">
      <c r="J117737"/>
    </row>
    <row r="117738" spans="10:10" x14ac:dyDescent="0.3">
      <c r="J117738"/>
    </row>
    <row r="117739" spans="10:10" x14ac:dyDescent="0.3">
      <c r="J117739"/>
    </row>
    <row r="117740" spans="10:10" x14ac:dyDescent="0.3">
      <c r="J117740"/>
    </row>
    <row r="117741" spans="10:10" x14ac:dyDescent="0.3">
      <c r="J117741"/>
    </row>
    <row r="117742" spans="10:10" x14ac:dyDescent="0.3">
      <c r="J117742"/>
    </row>
    <row r="117743" spans="10:10" x14ac:dyDescent="0.3">
      <c r="J117743"/>
    </row>
    <row r="117744" spans="10:10" x14ac:dyDescent="0.3">
      <c r="J117744"/>
    </row>
    <row r="117745" spans="10:10" x14ac:dyDescent="0.3">
      <c r="J117745"/>
    </row>
    <row r="117746" spans="10:10" x14ac:dyDescent="0.3">
      <c r="J117746"/>
    </row>
    <row r="117747" spans="10:10" x14ac:dyDescent="0.3">
      <c r="J117747"/>
    </row>
    <row r="117748" spans="10:10" x14ac:dyDescent="0.3">
      <c r="J117748"/>
    </row>
    <row r="117749" spans="10:10" x14ac:dyDescent="0.3">
      <c r="J117749"/>
    </row>
    <row r="117750" spans="10:10" x14ac:dyDescent="0.3">
      <c r="J117750"/>
    </row>
    <row r="117751" spans="10:10" x14ac:dyDescent="0.3">
      <c r="J117751"/>
    </row>
    <row r="117752" spans="10:10" x14ac:dyDescent="0.3">
      <c r="J117752"/>
    </row>
    <row r="117753" spans="10:10" x14ac:dyDescent="0.3">
      <c r="J117753"/>
    </row>
    <row r="117754" spans="10:10" x14ac:dyDescent="0.3">
      <c r="J117754"/>
    </row>
    <row r="117755" spans="10:10" x14ac:dyDescent="0.3">
      <c r="J117755"/>
    </row>
    <row r="117756" spans="10:10" x14ac:dyDescent="0.3">
      <c r="J117756"/>
    </row>
    <row r="117757" spans="10:10" x14ac:dyDescent="0.3">
      <c r="J117757"/>
    </row>
    <row r="117758" spans="10:10" x14ac:dyDescent="0.3">
      <c r="J117758"/>
    </row>
    <row r="117759" spans="10:10" x14ac:dyDescent="0.3">
      <c r="J117759"/>
    </row>
    <row r="117760" spans="10:10" x14ac:dyDescent="0.3">
      <c r="J117760"/>
    </row>
    <row r="117761" spans="10:10" x14ac:dyDescent="0.3">
      <c r="J117761"/>
    </row>
    <row r="117762" spans="10:10" x14ac:dyDescent="0.3">
      <c r="J117762"/>
    </row>
    <row r="117763" spans="10:10" x14ac:dyDescent="0.3">
      <c r="J117763"/>
    </row>
    <row r="117764" spans="10:10" x14ac:dyDescent="0.3">
      <c r="J117764"/>
    </row>
    <row r="117765" spans="10:10" x14ac:dyDescent="0.3">
      <c r="J117765"/>
    </row>
    <row r="117766" spans="10:10" x14ac:dyDescent="0.3">
      <c r="J117766"/>
    </row>
    <row r="117767" spans="10:10" x14ac:dyDescent="0.3">
      <c r="J117767"/>
    </row>
    <row r="117768" spans="10:10" x14ac:dyDescent="0.3">
      <c r="J117768"/>
    </row>
    <row r="117769" spans="10:10" x14ac:dyDescent="0.3">
      <c r="J117769"/>
    </row>
    <row r="117770" spans="10:10" x14ac:dyDescent="0.3">
      <c r="J117770"/>
    </row>
    <row r="117771" spans="10:10" x14ac:dyDescent="0.3">
      <c r="J117771"/>
    </row>
    <row r="117772" spans="10:10" x14ac:dyDescent="0.3">
      <c r="J117772"/>
    </row>
    <row r="117773" spans="10:10" x14ac:dyDescent="0.3">
      <c r="J117773"/>
    </row>
    <row r="117774" spans="10:10" x14ac:dyDescent="0.3">
      <c r="J117774"/>
    </row>
    <row r="117775" spans="10:10" x14ac:dyDescent="0.3">
      <c r="J117775"/>
    </row>
    <row r="117776" spans="10:10" x14ac:dyDescent="0.3">
      <c r="J117776"/>
    </row>
    <row r="117777" spans="10:10" x14ac:dyDescent="0.3">
      <c r="J117777"/>
    </row>
    <row r="117778" spans="10:10" x14ac:dyDescent="0.3">
      <c r="J117778"/>
    </row>
    <row r="117779" spans="10:10" x14ac:dyDescent="0.3">
      <c r="J117779"/>
    </row>
    <row r="117780" spans="10:10" x14ac:dyDescent="0.3">
      <c r="J117780"/>
    </row>
    <row r="117781" spans="10:10" x14ac:dyDescent="0.3">
      <c r="J117781"/>
    </row>
    <row r="117782" spans="10:10" x14ac:dyDescent="0.3">
      <c r="J117782"/>
    </row>
    <row r="117783" spans="10:10" x14ac:dyDescent="0.3">
      <c r="J117783"/>
    </row>
    <row r="117784" spans="10:10" x14ac:dyDescent="0.3">
      <c r="J117784"/>
    </row>
    <row r="117785" spans="10:10" x14ac:dyDescent="0.3">
      <c r="J117785"/>
    </row>
    <row r="117786" spans="10:10" x14ac:dyDescent="0.3">
      <c r="J117786"/>
    </row>
    <row r="117787" spans="10:10" x14ac:dyDescent="0.3">
      <c r="J117787"/>
    </row>
    <row r="117788" spans="10:10" x14ac:dyDescent="0.3">
      <c r="J117788"/>
    </row>
    <row r="117789" spans="10:10" x14ac:dyDescent="0.3">
      <c r="J117789"/>
    </row>
    <row r="117790" spans="10:10" x14ac:dyDescent="0.3">
      <c r="J117790"/>
    </row>
    <row r="117791" spans="10:10" x14ac:dyDescent="0.3">
      <c r="J117791"/>
    </row>
    <row r="117792" spans="10:10" x14ac:dyDescent="0.3">
      <c r="J117792"/>
    </row>
    <row r="117793" spans="10:10" x14ac:dyDescent="0.3">
      <c r="J117793"/>
    </row>
    <row r="117794" spans="10:10" x14ac:dyDescent="0.3">
      <c r="J117794"/>
    </row>
    <row r="117795" spans="10:10" x14ac:dyDescent="0.3">
      <c r="J117795"/>
    </row>
    <row r="117796" spans="10:10" x14ac:dyDescent="0.3">
      <c r="J117796"/>
    </row>
    <row r="117797" spans="10:10" x14ac:dyDescent="0.3">
      <c r="J117797"/>
    </row>
    <row r="117798" spans="10:10" x14ac:dyDescent="0.3">
      <c r="J117798"/>
    </row>
    <row r="117799" spans="10:10" x14ac:dyDescent="0.3">
      <c r="J117799"/>
    </row>
    <row r="117800" spans="10:10" x14ac:dyDescent="0.3">
      <c r="J117800"/>
    </row>
    <row r="117801" spans="10:10" x14ac:dyDescent="0.3">
      <c r="J117801"/>
    </row>
    <row r="117802" spans="10:10" x14ac:dyDescent="0.3">
      <c r="J117802"/>
    </row>
    <row r="117803" spans="10:10" x14ac:dyDescent="0.3">
      <c r="J117803"/>
    </row>
    <row r="117804" spans="10:10" x14ac:dyDescent="0.3">
      <c r="J117804"/>
    </row>
    <row r="117805" spans="10:10" x14ac:dyDescent="0.3">
      <c r="J117805"/>
    </row>
    <row r="117806" spans="10:10" x14ac:dyDescent="0.3">
      <c r="J117806"/>
    </row>
    <row r="117807" spans="10:10" x14ac:dyDescent="0.3">
      <c r="J117807"/>
    </row>
    <row r="117808" spans="10:10" x14ac:dyDescent="0.3">
      <c r="J117808"/>
    </row>
    <row r="117809" spans="10:10" x14ac:dyDescent="0.3">
      <c r="J117809"/>
    </row>
    <row r="117810" spans="10:10" x14ac:dyDescent="0.3">
      <c r="J117810"/>
    </row>
    <row r="117811" spans="10:10" x14ac:dyDescent="0.3">
      <c r="J117811"/>
    </row>
    <row r="117812" spans="10:10" x14ac:dyDescent="0.3">
      <c r="J117812"/>
    </row>
    <row r="117813" spans="10:10" x14ac:dyDescent="0.3">
      <c r="J117813"/>
    </row>
    <row r="117814" spans="10:10" x14ac:dyDescent="0.3">
      <c r="J117814"/>
    </row>
    <row r="117815" spans="10:10" x14ac:dyDescent="0.3">
      <c r="J117815"/>
    </row>
    <row r="117816" spans="10:10" x14ac:dyDescent="0.3">
      <c r="J117816"/>
    </row>
    <row r="117817" spans="10:10" x14ac:dyDescent="0.3">
      <c r="J117817"/>
    </row>
    <row r="117818" spans="10:10" x14ac:dyDescent="0.3">
      <c r="J117818"/>
    </row>
    <row r="117819" spans="10:10" x14ac:dyDescent="0.3">
      <c r="J117819"/>
    </row>
    <row r="117820" spans="10:10" x14ac:dyDescent="0.3">
      <c r="J117820"/>
    </row>
    <row r="117821" spans="10:10" x14ac:dyDescent="0.3">
      <c r="J117821"/>
    </row>
    <row r="117822" spans="10:10" x14ac:dyDescent="0.3">
      <c r="J117822"/>
    </row>
    <row r="117823" spans="10:10" x14ac:dyDescent="0.3">
      <c r="J117823"/>
    </row>
    <row r="117824" spans="10:10" x14ac:dyDescent="0.3">
      <c r="J117824"/>
    </row>
    <row r="117825" spans="10:10" x14ac:dyDescent="0.3">
      <c r="J117825"/>
    </row>
    <row r="117826" spans="10:10" x14ac:dyDescent="0.3">
      <c r="J117826"/>
    </row>
    <row r="117827" spans="10:10" x14ac:dyDescent="0.3">
      <c r="J117827"/>
    </row>
    <row r="117828" spans="10:10" x14ac:dyDescent="0.3">
      <c r="J117828"/>
    </row>
    <row r="117829" spans="10:10" x14ac:dyDescent="0.3">
      <c r="J117829"/>
    </row>
    <row r="117830" spans="10:10" x14ac:dyDescent="0.3">
      <c r="J117830"/>
    </row>
    <row r="117831" spans="10:10" x14ac:dyDescent="0.3">
      <c r="J117831"/>
    </row>
    <row r="117832" spans="10:10" x14ac:dyDescent="0.3">
      <c r="J117832"/>
    </row>
    <row r="117833" spans="10:10" x14ac:dyDescent="0.3">
      <c r="J117833"/>
    </row>
    <row r="117834" spans="10:10" x14ac:dyDescent="0.3">
      <c r="J117834"/>
    </row>
    <row r="117835" spans="10:10" x14ac:dyDescent="0.3">
      <c r="J117835"/>
    </row>
    <row r="117836" spans="10:10" x14ac:dyDescent="0.3">
      <c r="J117836"/>
    </row>
    <row r="117837" spans="10:10" x14ac:dyDescent="0.3">
      <c r="J117837"/>
    </row>
    <row r="117838" spans="10:10" x14ac:dyDescent="0.3">
      <c r="J117838"/>
    </row>
    <row r="117839" spans="10:10" x14ac:dyDescent="0.3">
      <c r="J117839"/>
    </row>
    <row r="117840" spans="10:10" x14ac:dyDescent="0.3">
      <c r="J117840"/>
    </row>
    <row r="117841" spans="10:10" x14ac:dyDescent="0.3">
      <c r="J117841"/>
    </row>
    <row r="117842" spans="10:10" x14ac:dyDescent="0.3">
      <c r="J117842"/>
    </row>
    <row r="117843" spans="10:10" x14ac:dyDescent="0.3">
      <c r="J117843"/>
    </row>
    <row r="117844" spans="10:10" x14ac:dyDescent="0.3">
      <c r="J117844"/>
    </row>
    <row r="117845" spans="10:10" x14ac:dyDescent="0.3">
      <c r="J117845"/>
    </row>
    <row r="117846" spans="10:10" x14ac:dyDescent="0.3">
      <c r="J117846"/>
    </row>
    <row r="117847" spans="10:10" x14ac:dyDescent="0.3">
      <c r="J117847"/>
    </row>
    <row r="117848" spans="10:10" x14ac:dyDescent="0.3">
      <c r="J117848"/>
    </row>
    <row r="117849" spans="10:10" x14ac:dyDescent="0.3">
      <c r="J117849"/>
    </row>
    <row r="117850" spans="10:10" x14ac:dyDescent="0.3">
      <c r="J117850"/>
    </row>
    <row r="117851" spans="10:10" x14ac:dyDescent="0.3">
      <c r="J117851"/>
    </row>
    <row r="117852" spans="10:10" x14ac:dyDescent="0.3">
      <c r="J117852"/>
    </row>
    <row r="117853" spans="10:10" x14ac:dyDescent="0.3">
      <c r="J117853"/>
    </row>
    <row r="117854" spans="10:10" x14ac:dyDescent="0.3">
      <c r="J117854"/>
    </row>
    <row r="117855" spans="10:10" x14ac:dyDescent="0.3">
      <c r="J117855"/>
    </row>
    <row r="117856" spans="10:10" x14ac:dyDescent="0.3">
      <c r="J117856"/>
    </row>
    <row r="117857" spans="10:10" x14ac:dyDescent="0.3">
      <c r="J117857"/>
    </row>
    <row r="117858" spans="10:10" x14ac:dyDescent="0.3">
      <c r="J117858"/>
    </row>
    <row r="117859" spans="10:10" x14ac:dyDescent="0.3">
      <c r="J117859"/>
    </row>
    <row r="117860" spans="10:10" x14ac:dyDescent="0.3">
      <c r="J117860"/>
    </row>
    <row r="117861" spans="10:10" x14ac:dyDescent="0.3">
      <c r="J117861"/>
    </row>
    <row r="117862" spans="10:10" x14ac:dyDescent="0.3">
      <c r="J117862"/>
    </row>
    <row r="117863" spans="10:10" x14ac:dyDescent="0.3">
      <c r="J117863"/>
    </row>
    <row r="117864" spans="10:10" x14ac:dyDescent="0.3">
      <c r="J117864"/>
    </row>
    <row r="117865" spans="10:10" x14ac:dyDescent="0.3">
      <c r="J117865"/>
    </row>
    <row r="117866" spans="10:10" x14ac:dyDescent="0.3">
      <c r="J117866"/>
    </row>
    <row r="117867" spans="10:10" x14ac:dyDescent="0.3">
      <c r="J117867"/>
    </row>
    <row r="117868" spans="10:10" x14ac:dyDescent="0.3">
      <c r="J117868"/>
    </row>
    <row r="117869" spans="10:10" x14ac:dyDescent="0.3">
      <c r="J117869"/>
    </row>
    <row r="117870" spans="10:10" x14ac:dyDescent="0.3">
      <c r="J117870"/>
    </row>
    <row r="117871" spans="10:10" x14ac:dyDescent="0.3">
      <c r="J117871"/>
    </row>
    <row r="117872" spans="10:10" x14ac:dyDescent="0.3">
      <c r="J117872"/>
    </row>
    <row r="117873" spans="10:10" x14ac:dyDescent="0.3">
      <c r="J117873"/>
    </row>
    <row r="117874" spans="10:10" x14ac:dyDescent="0.3">
      <c r="J117874"/>
    </row>
    <row r="117875" spans="10:10" x14ac:dyDescent="0.3">
      <c r="J117875"/>
    </row>
    <row r="117876" spans="10:10" x14ac:dyDescent="0.3">
      <c r="J117876"/>
    </row>
    <row r="117877" spans="10:10" x14ac:dyDescent="0.3">
      <c r="J117877"/>
    </row>
    <row r="117878" spans="10:10" x14ac:dyDescent="0.3">
      <c r="J117878"/>
    </row>
    <row r="117879" spans="10:10" x14ac:dyDescent="0.3">
      <c r="J117879"/>
    </row>
    <row r="117880" spans="10:10" x14ac:dyDescent="0.3">
      <c r="J117880"/>
    </row>
    <row r="117881" spans="10:10" x14ac:dyDescent="0.3">
      <c r="J117881"/>
    </row>
    <row r="117882" spans="10:10" x14ac:dyDescent="0.3">
      <c r="J117882"/>
    </row>
    <row r="117883" spans="10:10" x14ac:dyDescent="0.3">
      <c r="J117883"/>
    </row>
    <row r="117884" spans="10:10" x14ac:dyDescent="0.3">
      <c r="J117884"/>
    </row>
    <row r="117885" spans="10:10" x14ac:dyDescent="0.3">
      <c r="J117885"/>
    </row>
    <row r="117886" spans="10:10" x14ac:dyDescent="0.3">
      <c r="J117886"/>
    </row>
    <row r="117887" spans="10:10" x14ac:dyDescent="0.3">
      <c r="J117887"/>
    </row>
    <row r="117888" spans="10:10" x14ac:dyDescent="0.3">
      <c r="J117888"/>
    </row>
    <row r="117889" spans="10:10" x14ac:dyDescent="0.3">
      <c r="J117889"/>
    </row>
    <row r="117890" spans="10:10" x14ac:dyDescent="0.3">
      <c r="J117890"/>
    </row>
    <row r="117891" spans="10:10" x14ac:dyDescent="0.3">
      <c r="J117891"/>
    </row>
    <row r="117892" spans="10:10" x14ac:dyDescent="0.3">
      <c r="J117892"/>
    </row>
    <row r="117893" spans="10:10" x14ac:dyDescent="0.3">
      <c r="J117893"/>
    </row>
    <row r="117894" spans="10:10" x14ac:dyDescent="0.3">
      <c r="J117894"/>
    </row>
    <row r="117895" spans="10:10" x14ac:dyDescent="0.3">
      <c r="J117895"/>
    </row>
    <row r="117896" spans="10:10" x14ac:dyDescent="0.3">
      <c r="J117896"/>
    </row>
    <row r="117897" spans="10:10" x14ac:dyDescent="0.3">
      <c r="J117897"/>
    </row>
    <row r="117898" spans="10:10" x14ac:dyDescent="0.3">
      <c r="J117898"/>
    </row>
    <row r="117899" spans="10:10" x14ac:dyDescent="0.3">
      <c r="J117899"/>
    </row>
    <row r="117900" spans="10:10" x14ac:dyDescent="0.3">
      <c r="J117900"/>
    </row>
    <row r="117901" spans="10:10" x14ac:dyDescent="0.3">
      <c r="J117901"/>
    </row>
    <row r="117902" spans="10:10" x14ac:dyDescent="0.3">
      <c r="J117902"/>
    </row>
    <row r="117903" spans="10:10" x14ac:dyDescent="0.3">
      <c r="J117903"/>
    </row>
    <row r="117904" spans="10:10" x14ac:dyDescent="0.3">
      <c r="J117904"/>
    </row>
    <row r="117905" spans="10:10" x14ac:dyDescent="0.3">
      <c r="J117905"/>
    </row>
    <row r="117906" spans="10:10" x14ac:dyDescent="0.3">
      <c r="J117906"/>
    </row>
    <row r="117907" spans="10:10" x14ac:dyDescent="0.3">
      <c r="J117907"/>
    </row>
    <row r="117908" spans="10:10" x14ac:dyDescent="0.3">
      <c r="J117908"/>
    </row>
    <row r="117909" spans="10:10" x14ac:dyDescent="0.3">
      <c r="J117909"/>
    </row>
    <row r="117910" spans="10:10" x14ac:dyDescent="0.3">
      <c r="J117910"/>
    </row>
    <row r="117911" spans="10:10" x14ac:dyDescent="0.3">
      <c r="J117911"/>
    </row>
    <row r="117912" spans="10:10" x14ac:dyDescent="0.3">
      <c r="J117912"/>
    </row>
    <row r="117913" spans="10:10" x14ac:dyDescent="0.3">
      <c r="J117913"/>
    </row>
    <row r="117914" spans="10:10" x14ac:dyDescent="0.3">
      <c r="J117914"/>
    </row>
    <row r="117915" spans="10:10" x14ac:dyDescent="0.3">
      <c r="J117915"/>
    </row>
    <row r="117916" spans="10:10" x14ac:dyDescent="0.3">
      <c r="J117916"/>
    </row>
    <row r="117917" spans="10:10" x14ac:dyDescent="0.3">
      <c r="J117917"/>
    </row>
    <row r="117918" spans="10:10" x14ac:dyDescent="0.3">
      <c r="J117918"/>
    </row>
    <row r="117919" spans="10:10" x14ac:dyDescent="0.3">
      <c r="J117919"/>
    </row>
    <row r="117920" spans="10:10" x14ac:dyDescent="0.3">
      <c r="J117920"/>
    </row>
    <row r="117921" spans="10:10" x14ac:dyDescent="0.3">
      <c r="J117921"/>
    </row>
    <row r="117922" spans="10:10" x14ac:dyDescent="0.3">
      <c r="J117922"/>
    </row>
    <row r="117923" spans="10:10" x14ac:dyDescent="0.3">
      <c r="J117923"/>
    </row>
    <row r="117924" spans="10:10" x14ac:dyDescent="0.3">
      <c r="J117924"/>
    </row>
    <row r="117925" spans="10:10" x14ac:dyDescent="0.3">
      <c r="J117925"/>
    </row>
    <row r="117926" spans="10:10" x14ac:dyDescent="0.3">
      <c r="J117926"/>
    </row>
    <row r="117927" spans="10:10" x14ac:dyDescent="0.3">
      <c r="J117927"/>
    </row>
    <row r="117928" spans="10:10" x14ac:dyDescent="0.3">
      <c r="J117928"/>
    </row>
    <row r="117929" spans="10:10" x14ac:dyDescent="0.3">
      <c r="J117929"/>
    </row>
    <row r="117930" spans="10:10" x14ac:dyDescent="0.3">
      <c r="J117930"/>
    </row>
    <row r="117931" spans="10:10" x14ac:dyDescent="0.3">
      <c r="J117931"/>
    </row>
    <row r="117932" spans="10:10" x14ac:dyDescent="0.3">
      <c r="J117932"/>
    </row>
    <row r="117933" spans="10:10" x14ac:dyDescent="0.3">
      <c r="J117933"/>
    </row>
    <row r="117934" spans="10:10" x14ac:dyDescent="0.3">
      <c r="J117934"/>
    </row>
    <row r="117935" spans="10:10" x14ac:dyDescent="0.3">
      <c r="J117935"/>
    </row>
    <row r="117936" spans="10:10" x14ac:dyDescent="0.3">
      <c r="J117936"/>
    </row>
    <row r="117937" spans="10:10" x14ac:dyDescent="0.3">
      <c r="J117937"/>
    </row>
    <row r="117938" spans="10:10" x14ac:dyDescent="0.3">
      <c r="J117938"/>
    </row>
    <row r="117939" spans="10:10" x14ac:dyDescent="0.3">
      <c r="J117939"/>
    </row>
    <row r="117940" spans="10:10" x14ac:dyDescent="0.3">
      <c r="J117940"/>
    </row>
    <row r="117941" spans="10:10" x14ac:dyDescent="0.3">
      <c r="J117941"/>
    </row>
    <row r="117942" spans="10:10" x14ac:dyDescent="0.3">
      <c r="J117942"/>
    </row>
    <row r="117943" spans="10:10" x14ac:dyDescent="0.3">
      <c r="J117943"/>
    </row>
    <row r="117944" spans="10:10" x14ac:dyDescent="0.3">
      <c r="J117944"/>
    </row>
    <row r="117945" spans="10:10" x14ac:dyDescent="0.3">
      <c r="J117945"/>
    </row>
    <row r="117946" spans="10:10" x14ac:dyDescent="0.3">
      <c r="J117946"/>
    </row>
    <row r="117947" spans="10:10" x14ac:dyDescent="0.3">
      <c r="J117947"/>
    </row>
    <row r="117948" spans="10:10" x14ac:dyDescent="0.3">
      <c r="J117948"/>
    </row>
    <row r="117949" spans="10:10" x14ac:dyDescent="0.3">
      <c r="J117949"/>
    </row>
    <row r="117950" spans="10:10" x14ac:dyDescent="0.3">
      <c r="J117950"/>
    </row>
    <row r="117951" spans="10:10" x14ac:dyDescent="0.3">
      <c r="J117951"/>
    </row>
    <row r="117952" spans="10:10" x14ac:dyDescent="0.3">
      <c r="J117952"/>
    </row>
    <row r="117953" spans="10:10" x14ac:dyDescent="0.3">
      <c r="J117953"/>
    </row>
    <row r="117954" spans="10:10" x14ac:dyDescent="0.3">
      <c r="J117954"/>
    </row>
    <row r="117955" spans="10:10" x14ac:dyDescent="0.3">
      <c r="J117955"/>
    </row>
    <row r="117956" spans="10:10" x14ac:dyDescent="0.3">
      <c r="J117956"/>
    </row>
    <row r="117957" spans="10:10" x14ac:dyDescent="0.3">
      <c r="J117957"/>
    </row>
    <row r="117958" spans="10:10" x14ac:dyDescent="0.3">
      <c r="J117958"/>
    </row>
    <row r="117959" spans="10:10" x14ac:dyDescent="0.3">
      <c r="J117959"/>
    </row>
    <row r="117960" spans="10:10" x14ac:dyDescent="0.3">
      <c r="J117960"/>
    </row>
    <row r="117961" spans="10:10" x14ac:dyDescent="0.3">
      <c r="J117961"/>
    </row>
    <row r="117962" spans="10:10" x14ac:dyDescent="0.3">
      <c r="J117962"/>
    </row>
    <row r="117963" spans="10:10" x14ac:dyDescent="0.3">
      <c r="J117963"/>
    </row>
    <row r="117964" spans="10:10" x14ac:dyDescent="0.3">
      <c r="J117964"/>
    </row>
    <row r="117965" spans="10:10" x14ac:dyDescent="0.3">
      <c r="J117965"/>
    </row>
    <row r="117966" spans="10:10" x14ac:dyDescent="0.3">
      <c r="J117966"/>
    </row>
    <row r="117967" spans="10:10" x14ac:dyDescent="0.3">
      <c r="J117967"/>
    </row>
    <row r="117968" spans="10:10" x14ac:dyDescent="0.3">
      <c r="J117968"/>
    </row>
    <row r="117969" spans="10:10" x14ac:dyDescent="0.3">
      <c r="J117969"/>
    </row>
    <row r="117970" spans="10:10" x14ac:dyDescent="0.3">
      <c r="J117970"/>
    </row>
    <row r="117971" spans="10:10" x14ac:dyDescent="0.3">
      <c r="J117971"/>
    </row>
    <row r="117972" spans="10:10" x14ac:dyDescent="0.3">
      <c r="J117972"/>
    </row>
    <row r="117973" spans="10:10" x14ac:dyDescent="0.3">
      <c r="J117973"/>
    </row>
    <row r="117974" spans="10:10" x14ac:dyDescent="0.3">
      <c r="J117974"/>
    </row>
    <row r="117975" spans="10:10" x14ac:dyDescent="0.3">
      <c r="J117975"/>
    </row>
    <row r="117976" spans="10:10" x14ac:dyDescent="0.3">
      <c r="J117976"/>
    </row>
    <row r="117977" spans="10:10" x14ac:dyDescent="0.3">
      <c r="J117977"/>
    </row>
    <row r="117978" spans="10:10" x14ac:dyDescent="0.3">
      <c r="J117978"/>
    </row>
    <row r="117979" spans="10:10" x14ac:dyDescent="0.3">
      <c r="J117979"/>
    </row>
    <row r="117980" spans="10:10" x14ac:dyDescent="0.3">
      <c r="J117980"/>
    </row>
    <row r="117981" spans="10:10" x14ac:dyDescent="0.3">
      <c r="J117981"/>
    </row>
    <row r="117982" spans="10:10" x14ac:dyDescent="0.3">
      <c r="J117982"/>
    </row>
    <row r="117983" spans="10:10" x14ac:dyDescent="0.3">
      <c r="J117983"/>
    </row>
    <row r="117984" spans="10:10" x14ac:dyDescent="0.3">
      <c r="J117984"/>
    </row>
    <row r="117985" spans="10:10" x14ac:dyDescent="0.3">
      <c r="J117985"/>
    </row>
    <row r="117986" spans="10:10" x14ac:dyDescent="0.3">
      <c r="J117986"/>
    </row>
    <row r="117987" spans="10:10" x14ac:dyDescent="0.3">
      <c r="J117987"/>
    </row>
    <row r="117988" spans="10:10" x14ac:dyDescent="0.3">
      <c r="J117988"/>
    </row>
    <row r="117989" spans="10:10" x14ac:dyDescent="0.3">
      <c r="J117989"/>
    </row>
    <row r="117990" spans="10:10" x14ac:dyDescent="0.3">
      <c r="J117990"/>
    </row>
    <row r="117991" spans="10:10" x14ac:dyDescent="0.3">
      <c r="J117991"/>
    </row>
    <row r="117992" spans="10:10" x14ac:dyDescent="0.3">
      <c r="J117992"/>
    </row>
    <row r="117993" spans="10:10" x14ac:dyDescent="0.3">
      <c r="J117993"/>
    </row>
    <row r="117994" spans="10:10" x14ac:dyDescent="0.3">
      <c r="J117994"/>
    </row>
    <row r="117995" spans="10:10" x14ac:dyDescent="0.3">
      <c r="J117995"/>
    </row>
    <row r="117996" spans="10:10" x14ac:dyDescent="0.3">
      <c r="J117996"/>
    </row>
    <row r="117997" spans="10:10" x14ac:dyDescent="0.3">
      <c r="J117997"/>
    </row>
    <row r="117998" spans="10:10" x14ac:dyDescent="0.3">
      <c r="J117998"/>
    </row>
    <row r="117999" spans="10:10" x14ac:dyDescent="0.3">
      <c r="J117999"/>
    </row>
    <row r="118000" spans="10:10" x14ac:dyDescent="0.3">
      <c r="J118000"/>
    </row>
    <row r="118001" spans="10:10" x14ac:dyDescent="0.3">
      <c r="J118001"/>
    </row>
    <row r="118002" spans="10:10" x14ac:dyDescent="0.3">
      <c r="J118002"/>
    </row>
    <row r="118003" spans="10:10" x14ac:dyDescent="0.3">
      <c r="J118003"/>
    </row>
    <row r="118004" spans="10:10" x14ac:dyDescent="0.3">
      <c r="J118004"/>
    </row>
    <row r="118005" spans="10:10" x14ac:dyDescent="0.3">
      <c r="J118005"/>
    </row>
    <row r="118006" spans="10:10" x14ac:dyDescent="0.3">
      <c r="J118006"/>
    </row>
    <row r="118007" spans="10:10" x14ac:dyDescent="0.3">
      <c r="J118007"/>
    </row>
    <row r="118008" spans="10:10" x14ac:dyDescent="0.3">
      <c r="J118008"/>
    </row>
    <row r="118009" spans="10:10" x14ac:dyDescent="0.3">
      <c r="J118009"/>
    </row>
    <row r="118010" spans="10:10" x14ac:dyDescent="0.3">
      <c r="J118010"/>
    </row>
    <row r="118011" spans="10:10" x14ac:dyDescent="0.3">
      <c r="J118011"/>
    </row>
    <row r="118012" spans="10:10" x14ac:dyDescent="0.3">
      <c r="J118012"/>
    </row>
    <row r="118013" spans="10:10" x14ac:dyDescent="0.3">
      <c r="J118013"/>
    </row>
    <row r="118014" spans="10:10" x14ac:dyDescent="0.3">
      <c r="J118014"/>
    </row>
    <row r="118015" spans="10:10" x14ac:dyDescent="0.3">
      <c r="J118015"/>
    </row>
    <row r="118016" spans="10:10" x14ac:dyDescent="0.3">
      <c r="J118016"/>
    </row>
    <row r="118017" spans="10:10" x14ac:dyDescent="0.3">
      <c r="J118017"/>
    </row>
    <row r="118018" spans="10:10" x14ac:dyDescent="0.3">
      <c r="J118018"/>
    </row>
    <row r="118019" spans="10:10" x14ac:dyDescent="0.3">
      <c r="J118019"/>
    </row>
    <row r="118020" spans="10:10" x14ac:dyDescent="0.3">
      <c r="J118020"/>
    </row>
    <row r="118021" spans="10:10" x14ac:dyDescent="0.3">
      <c r="J118021"/>
    </row>
    <row r="118022" spans="10:10" x14ac:dyDescent="0.3">
      <c r="J118022"/>
    </row>
    <row r="118023" spans="10:10" x14ac:dyDescent="0.3">
      <c r="J118023"/>
    </row>
    <row r="118024" spans="10:10" x14ac:dyDescent="0.3">
      <c r="J118024"/>
    </row>
    <row r="118025" spans="10:10" x14ac:dyDescent="0.3">
      <c r="J118025"/>
    </row>
    <row r="118026" spans="10:10" x14ac:dyDescent="0.3">
      <c r="J118026"/>
    </row>
    <row r="118027" spans="10:10" x14ac:dyDescent="0.3">
      <c r="J118027"/>
    </row>
    <row r="118028" spans="10:10" x14ac:dyDescent="0.3">
      <c r="J118028"/>
    </row>
    <row r="118029" spans="10:10" x14ac:dyDescent="0.3">
      <c r="J118029"/>
    </row>
    <row r="118030" spans="10:10" x14ac:dyDescent="0.3">
      <c r="J118030"/>
    </row>
    <row r="118031" spans="10:10" x14ac:dyDescent="0.3">
      <c r="J118031"/>
    </row>
    <row r="118032" spans="10:10" x14ac:dyDescent="0.3">
      <c r="J118032"/>
    </row>
    <row r="118033" spans="10:10" x14ac:dyDescent="0.3">
      <c r="J118033"/>
    </row>
    <row r="118034" spans="10:10" x14ac:dyDescent="0.3">
      <c r="J118034"/>
    </row>
    <row r="118035" spans="10:10" x14ac:dyDescent="0.3">
      <c r="J118035"/>
    </row>
    <row r="118036" spans="10:10" x14ac:dyDescent="0.3">
      <c r="J118036"/>
    </row>
    <row r="118037" spans="10:10" x14ac:dyDescent="0.3">
      <c r="J118037"/>
    </row>
    <row r="118038" spans="10:10" x14ac:dyDescent="0.3">
      <c r="J118038"/>
    </row>
    <row r="118039" spans="10:10" x14ac:dyDescent="0.3">
      <c r="J118039"/>
    </row>
    <row r="118040" spans="10:10" x14ac:dyDescent="0.3">
      <c r="J118040"/>
    </row>
    <row r="118041" spans="10:10" x14ac:dyDescent="0.3">
      <c r="J118041"/>
    </row>
    <row r="118042" spans="10:10" x14ac:dyDescent="0.3">
      <c r="J118042"/>
    </row>
    <row r="118043" spans="10:10" x14ac:dyDescent="0.3">
      <c r="J118043"/>
    </row>
    <row r="118044" spans="10:10" x14ac:dyDescent="0.3">
      <c r="J118044"/>
    </row>
    <row r="118045" spans="10:10" x14ac:dyDescent="0.3">
      <c r="J118045"/>
    </row>
    <row r="118046" spans="10:10" x14ac:dyDescent="0.3">
      <c r="J118046"/>
    </row>
    <row r="118047" spans="10:10" x14ac:dyDescent="0.3">
      <c r="J118047"/>
    </row>
    <row r="118048" spans="10:10" x14ac:dyDescent="0.3">
      <c r="J118048"/>
    </row>
    <row r="118049" spans="10:10" x14ac:dyDescent="0.3">
      <c r="J118049"/>
    </row>
    <row r="118050" spans="10:10" x14ac:dyDescent="0.3">
      <c r="J118050"/>
    </row>
    <row r="118051" spans="10:10" x14ac:dyDescent="0.3">
      <c r="J118051"/>
    </row>
    <row r="118052" spans="10:10" x14ac:dyDescent="0.3">
      <c r="J118052"/>
    </row>
    <row r="118053" spans="10:10" x14ac:dyDescent="0.3">
      <c r="J118053"/>
    </row>
    <row r="118054" spans="10:10" x14ac:dyDescent="0.3">
      <c r="J118054"/>
    </row>
    <row r="118055" spans="10:10" x14ac:dyDescent="0.3">
      <c r="J118055"/>
    </row>
    <row r="118056" spans="10:10" x14ac:dyDescent="0.3">
      <c r="J118056"/>
    </row>
    <row r="118057" spans="10:10" x14ac:dyDescent="0.3">
      <c r="J118057"/>
    </row>
    <row r="118058" spans="10:10" x14ac:dyDescent="0.3">
      <c r="J118058"/>
    </row>
    <row r="118059" spans="10:10" x14ac:dyDescent="0.3">
      <c r="J118059"/>
    </row>
    <row r="118060" spans="10:10" x14ac:dyDescent="0.3">
      <c r="J118060"/>
    </row>
    <row r="118061" spans="10:10" x14ac:dyDescent="0.3">
      <c r="J118061"/>
    </row>
    <row r="118062" spans="10:10" x14ac:dyDescent="0.3">
      <c r="J118062"/>
    </row>
    <row r="118063" spans="10:10" x14ac:dyDescent="0.3">
      <c r="J118063"/>
    </row>
    <row r="118064" spans="10:10" x14ac:dyDescent="0.3">
      <c r="J118064"/>
    </row>
    <row r="118065" spans="10:10" x14ac:dyDescent="0.3">
      <c r="J118065"/>
    </row>
    <row r="118066" spans="10:10" x14ac:dyDescent="0.3">
      <c r="J118066"/>
    </row>
    <row r="118067" spans="10:10" x14ac:dyDescent="0.3">
      <c r="J118067"/>
    </row>
    <row r="118068" spans="10:10" x14ac:dyDescent="0.3">
      <c r="J118068"/>
    </row>
    <row r="118069" spans="10:10" x14ac:dyDescent="0.3">
      <c r="J118069"/>
    </row>
    <row r="118070" spans="10:10" x14ac:dyDescent="0.3">
      <c r="J118070"/>
    </row>
    <row r="118071" spans="10:10" x14ac:dyDescent="0.3">
      <c r="J118071"/>
    </row>
    <row r="118072" spans="10:10" x14ac:dyDescent="0.3">
      <c r="J118072"/>
    </row>
    <row r="118073" spans="10:10" x14ac:dyDescent="0.3">
      <c r="J118073"/>
    </row>
    <row r="118074" spans="10:10" x14ac:dyDescent="0.3">
      <c r="J118074"/>
    </row>
    <row r="118075" spans="10:10" x14ac:dyDescent="0.3">
      <c r="J118075"/>
    </row>
    <row r="118076" spans="10:10" x14ac:dyDescent="0.3">
      <c r="J118076"/>
    </row>
    <row r="118077" spans="10:10" x14ac:dyDescent="0.3">
      <c r="J118077"/>
    </row>
    <row r="118078" spans="10:10" x14ac:dyDescent="0.3">
      <c r="J118078"/>
    </row>
    <row r="118079" spans="10:10" x14ac:dyDescent="0.3">
      <c r="J118079"/>
    </row>
    <row r="118080" spans="10:10" x14ac:dyDescent="0.3">
      <c r="J118080"/>
    </row>
    <row r="118081" spans="10:10" x14ac:dyDescent="0.3">
      <c r="J118081"/>
    </row>
    <row r="118082" spans="10:10" x14ac:dyDescent="0.3">
      <c r="J118082"/>
    </row>
    <row r="118083" spans="10:10" x14ac:dyDescent="0.3">
      <c r="J118083"/>
    </row>
    <row r="118084" spans="10:10" x14ac:dyDescent="0.3">
      <c r="J118084"/>
    </row>
    <row r="118085" spans="10:10" x14ac:dyDescent="0.3">
      <c r="J118085"/>
    </row>
    <row r="118086" spans="10:10" x14ac:dyDescent="0.3">
      <c r="J118086"/>
    </row>
    <row r="118087" spans="10:10" x14ac:dyDescent="0.3">
      <c r="J118087"/>
    </row>
    <row r="118088" spans="10:10" x14ac:dyDescent="0.3">
      <c r="J118088"/>
    </row>
    <row r="118089" spans="10:10" x14ac:dyDescent="0.3">
      <c r="J118089"/>
    </row>
    <row r="118090" spans="10:10" x14ac:dyDescent="0.3">
      <c r="J118090"/>
    </row>
    <row r="118091" spans="10:10" x14ac:dyDescent="0.3">
      <c r="J118091"/>
    </row>
    <row r="118092" spans="10:10" x14ac:dyDescent="0.3">
      <c r="J118092"/>
    </row>
    <row r="118093" spans="10:10" x14ac:dyDescent="0.3">
      <c r="J118093"/>
    </row>
    <row r="118094" spans="10:10" x14ac:dyDescent="0.3">
      <c r="J118094"/>
    </row>
    <row r="118095" spans="10:10" x14ac:dyDescent="0.3">
      <c r="J118095"/>
    </row>
    <row r="118096" spans="10:10" x14ac:dyDescent="0.3">
      <c r="J118096"/>
    </row>
    <row r="118097" spans="10:10" x14ac:dyDescent="0.3">
      <c r="J118097"/>
    </row>
    <row r="118098" spans="10:10" x14ac:dyDescent="0.3">
      <c r="J118098"/>
    </row>
    <row r="118099" spans="10:10" x14ac:dyDescent="0.3">
      <c r="J118099"/>
    </row>
    <row r="118100" spans="10:10" x14ac:dyDescent="0.3">
      <c r="J118100"/>
    </row>
    <row r="118101" spans="10:10" x14ac:dyDescent="0.3">
      <c r="J118101"/>
    </row>
    <row r="118102" spans="10:10" x14ac:dyDescent="0.3">
      <c r="J118102"/>
    </row>
    <row r="118103" spans="10:10" x14ac:dyDescent="0.3">
      <c r="J118103"/>
    </row>
    <row r="118104" spans="10:10" x14ac:dyDescent="0.3">
      <c r="J118104"/>
    </row>
    <row r="118105" spans="10:10" x14ac:dyDescent="0.3">
      <c r="J118105"/>
    </row>
    <row r="118106" spans="10:10" x14ac:dyDescent="0.3">
      <c r="J118106"/>
    </row>
    <row r="118107" spans="10:10" x14ac:dyDescent="0.3">
      <c r="J118107"/>
    </row>
    <row r="118108" spans="10:10" x14ac:dyDescent="0.3">
      <c r="J118108"/>
    </row>
    <row r="118109" spans="10:10" x14ac:dyDescent="0.3">
      <c r="J118109"/>
    </row>
    <row r="118110" spans="10:10" x14ac:dyDescent="0.3">
      <c r="J118110"/>
    </row>
    <row r="118111" spans="10:10" x14ac:dyDescent="0.3">
      <c r="J118111"/>
    </row>
    <row r="118112" spans="10:10" x14ac:dyDescent="0.3">
      <c r="J118112"/>
    </row>
    <row r="118113" spans="10:10" x14ac:dyDescent="0.3">
      <c r="J118113"/>
    </row>
    <row r="118114" spans="10:10" x14ac:dyDescent="0.3">
      <c r="J118114"/>
    </row>
    <row r="118115" spans="10:10" x14ac:dyDescent="0.3">
      <c r="J118115"/>
    </row>
    <row r="118116" spans="10:10" x14ac:dyDescent="0.3">
      <c r="J118116"/>
    </row>
    <row r="118117" spans="10:10" x14ac:dyDescent="0.3">
      <c r="J118117"/>
    </row>
    <row r="118118" spans="10:10" x14ac:dyDescent="0.3">
      <c r="J118118"/>
    </row>
    <row r="118119" spans="10:10" x14ac:dyDescent="0.3">
      <c r="J118119"/>
    </row>
    <row r="118120" spans="10:10" x14ac:dyDescent="0.3">
      <c r="J118120"/>
    </row>
    <row r="118121" spans="10:10" x14ac:dyDescent="0.3">
      <c r="J118121"/>
    </row>
    <row r="118122" spans="10:10" x14ac:dyDescent="0.3">
      <c r="J118122"/>
    </row>
    <row r="118123" spans="10:10" x14ac:dyDescent="0.3">
      <c r="J118123"/>
    </row>
    <row r="118124" spans="10:10" x14ac:dyDescent="0.3">
      <c r="J118124"/>
    </row>
    <row r="118125" spans="10:10" x14ac:dyDescent="0.3">
      <c r="J118125"/>
    </row>
    <row r="118126" spans="10:10" x14ac:dyDescent="0.3">
      <c r="J118126"/>
    </row>
    <row r="118127" spans="10:10" x14ac:dyDescent="0.3">
      <c r="J118127"/>
    </row>
    <row r="118128" spans="10:10" x14ac:dyDescent="0.3">
      <c r="J118128"/>
    </row>
    <row r="118129" spans="10:10" x14ac:dyDescent="0.3">
      <c r="J118129"/>
    </row>
    <row r="118130" spans="10:10" x14ac:dyDescent="0.3">
      <c r="J118130"/>
    </row>
    <row r="118131" spans="10:10" x14ac:dyDescent="0.3">
      <c r="J118131"/>
    </row>
    <row r="118132" spans="10:10" x14ac:dyDescent="0.3">
      <c r="J118132"/>
    </row>
    <row r="118133" spans="10:10" x14ac:dyDescent="0.3">
      <c r="J118133"/>
    </row>
    <row r="118134" spans="10:10" x14ac:dyDescent="0.3">
      <c r="J118134"/>
    </row>
    <row r="118135" spans="10:10" x14ac:dyDescent="0.3">
      <c r="J118135"/>
    </row>
    <row r="118136" spans="10:10" x14ac:dyDescent="0.3">
      <c r="J118136"/>
    </row>
    <row r="118137" spans="10:10" x14ac:dyDescent="0.3">
      <c r="J118137"/>
    </row>
    <row r="118138" spans="10:10" x14ac:dyDescent="0.3">
      <c r="J118138"/>
    </row>
    <row r="118139" spans="10:10" x14ac:dyDescent="0.3">
      <c r="J118139"/>
    </row>
    <row r="118140" spans="10:10" x14ac:dyDescent="0.3">
      <c r="J118140"/>
    </row>
    <row r="118141" spans="10:10" x14ac:dyDescent="0.3">
      <c r="J118141"/>
    </row>
    <row r="118142" spans="10:10" x14ac:dyDescent="0.3">
      <c r="J118142"/>
    </row>
    <row r="118143" spans="10:10" x14ac:dyDescent="0.3">
      <c r="J118143"/>
    </row>
    <row r="118144" spans="10:10" x14ac:dyDescent="0.3">
      <c r="J118144"/>
    </row>
    <row r="118145" spans="10:10" x14ac:dyDescent="0.3">
      <c r="J118145"/>
    </row>
    <row r="118146" spans="10:10" x14ac:dyDescent="0.3">
      <c r="J118146"/>
    </row>
    <row r="118147" spans="10:10" x14ac:dyDescent="0.3">
      <c r="J118147"/>
    </row>
    <row r="118148" spans="10:10" x14ac:dyDescent="0.3">
      <c r="J118148"/>
    </row>
    <row r="118149" spans="10:10" x14ac:dyDescent="0.3">
      <c r="J118149"/>
    </row>
    <row r="118150" spans="10:10" x14ac:dyDescent="0.3">
      <c r="J118150"/>
    </row>
    <row r="118151" spans="10:10" x14ac:dyDescent="0.3">
      <c r="J118151"/>
    </row>
    <row r="118152" spans="10:10" x14ac:dyDescent="0.3">
      <c r="J118152"/>
    </row>
    <row r="118153" spans="10:10" x14ac:dyDescent="0.3">
      <c r="J118153"/>
    </row>
    <row r="118154" spans="10:10" x14ac:dyDescent="0.3">
      <c r="J118154"/>
    </row>
    <row r="118155" spans="10:10" x14ac:dyDescent="0.3">
      <c r="J118155"/>
    </row>
    <row r="118156" spans="10:10" x14ac:dyDescent="0.3">
      <c r="J118156"/>
    </row>
    <row r="118157" spans="10:10" x14ac:dyDescent="0.3">
      <c r="J118157"/>
    </row>
    <row r="118158" spans="10:10" x14ac:dyDescent="0.3">
      <c r="J118158"/>
    </row>
    <row r="118159" spans="10:10" x14ac:dyDescent="0.3">
      <c r="J118159"/>
    </row>
    <row r="118160" spans="10:10" x14ac:dyDescent="0.3">
      <c r="J118160"/>
    </row>
    <row r="118161" spans="10:10" x14ac:dyDescent="0.3">
      <c r="J118161"/>
    </row>
    <row r="118162" spans="10:10" x14ac:dyDescent="0.3">
      <c r="J118162"/>
    </row>
    <row r="118163" spans="10:10" x14ac:dyDescent="0.3">
      <c r="J118163"/>
    </row>
    <row r="118164" spans="10:10" x14ac:dyDescent="0.3">
      <c r="J118164"/>
    </row>
    <row r="118165" spans="10:10" x14ac:dyDescent="0.3">
      <c r="J118165"/>
    </row>
    <row r="118166" spans="10:10" x14ac:dyDescent="0.3">
      <c r="J118166"/>
    </row>
    <row r="118167" spans="10:10" x14ac:dyDescent="0.3">
      <c r="J118167"/>
    </row>
    <row r="118168" spans="10:10" x14ac:dyDescent="0.3">
      <c r="J118168"/>
    </row>
    <row r="118169" spans="10:10" x14ac:dyDescent="0.3">
      <c r="J118169"/>
    </row>
    <row r="118170" spans="10:10" x14ac:dyDescent="0.3">
      <c r="J118170"/>
    </row>
    <row r="118171" spans="10:10" x14ac:dyDescent="0.3">
      <c r="J118171"/>
    </row>
    <row r="118172" spans="10:10" x14ac:dyDescent="0.3">
      <c r="J118172"/>
    </row>
    <row r="118173" spans="10:10" x14ac:dyDescent="0.3">
      <c r="J118173"/>
    </row>
    <row r="118174" spans="10:10" x14ac:dyDescent="0.3">
      <c r="J118174"/>
    </row>
    <row r="118175" spans="10:10" x14ac:dyDescent="0.3">
      <c r="J118175"/>
    </row>
    <row r="118176" spans="10:10" x14ac:dyDescent="0.3">
      <c r="J118176"/>
    </row>
    <row r="118177" spans="10:10" x14ac:dyDescent="0.3">
      <c r="J118177"/>
    </row>
    <row r="118178" spans="10:10" x14ac:dyDescent="0.3">
      <c r="J118178"/>
    </row>
    <row r="118179" spans="10:10" x14ac:dyDescent="0.3">
      <c r="J118179"/>
    </row>
    <row r="118180" spans="10:10" x14ac:dyDescent="0.3">
      <c r="J118180"/>
    </row>
    <row r="118181" spans="10:10" x14ac:dyDescent="0.3">
      <c r="J118181"/>
    </row>
    <row r="118182" spans="10:10" x14ac:dyDescent="0.3">
      <c r="J118182"/>
    </row>
    <row r="118183" spans="10:10" x14ac:dyDescent="0.3">
      <c r="J118183"/>
    </row>
    <row r="118184" spans="10:10" x14ac:dyDescent="0.3">
      <c r="J118184"/>
    </row>
    <row r="118185" spans="10:10" x14ac:dyDescent="0.3">
      <c r="J118185"/>
    </row>
    <row r="118186" spans="10:10" x14ac:dyDescent="0.3">
      <c r="J118186"/>
    </row>
    <row r="118187" spans="10:10" x14ac:dyDescent="0.3">
      <c r="J118187"/>
    </row>
    <row r="118188" spans="10:10" x14ac:dyDescent="0.3">
      <c r="J118188"/>
    </row>
    <row r="118189" spans="10:10" x14ac:dyDescent="0.3">
      <c r="J118189"/>
    </row>
    <row r="118190" spans="10:10" x14ac:dyDescent="0.3">
      <c r="J118190"/>
    </row>
    <row r="118191" spans="10:10" x14ac:dyDescent="0.3">
      <c r="J118191"/>
    </row>
    <row r="118192" spans="10:10" x14ac:dyDescent="0.3">
      <c r="J118192"/>
    </row>
    <row r="118193" spans="10:10" x14ac:dyDescent="0.3">
      <c r="J118193"/>
    </row>
    <row r="118194" spans="10:10" x14ac:dyDescent="0.3">
      <c r="J118194"/>
    </row>
    <row r="118195" spans="10:10" x14ac:dyDescent="0.3">
      <c r="J118195"/>
    </row>
    <row r="118196" spans="10:10" x14ac:dyDescent="0.3">
      <c r="J118196"/>
    </row>
    <row r="118197" spans="10:10" x14ac:dyDescent="0.3">
      <c r="J118197"/>
    </row>
    <row r="118198" spans="10:10" x14ac:dyDescent="0.3">
      <c r="J118198"/>
    </row>
    <row r="118199" spans="10:10" x14ac:dyDescent="0.3">
      <c r="J118199"/>
    </row>
    <row r="118200" spans="10:10" x14ac:dyDescent="0.3">
      <c r="J118200"/>
    </row>
    <row r="118201" spans="10:10" x14ac:dyDescent="0.3">
      <c r="J118201"/>
    </row>
    <row r="118202" spans="10:10" x14ac:dyDescent="0.3">
      <c r="J118202"/>
    </row>
    <row r="118203" spans="10:10" x14ac:dyDescent="0.3">
      <c r="J118203"/>
    </row>
    <row r="118204" spans="10:10" x14ac:dyDescent="0.3">
      <c r="J118204"/>
    </row>
    <row r="118205" spans="10:10" x14ac:dyDescent="0.3">
      <c r="J118205"/>
    </row>
    <row r="118206" spans="10:10" x14ac:dyDescent="0.3">
      <c r="J118206"/>
    </row>
    <row r="118207" spans="10:10" x14ac:dyDescent="0.3">
      <c r="J118207"/>
    </row>
    <row r="118208" spans="10:10" x14ac:dyDescent="0.3">
      <c r="J118208"/>
    </row>
    <row r="118209" spans="10:10" x14ac:dyDescent="0.3">
      <c r="J118209"/>
    </row>
    <row r="118210" spans="10:10" x14ac:dyDescent="0.3">
      <c r="J118210"/>
    </row>
    <row r="118211" spans="10:10" x14ac:dyDescent="0.3">
      <c r="J118211"/>
    </row>
    <row r="118212" spans="10:10" x14ac:dyDescent="0.3">
      <c r="J118212"/>
    </row>
    <row r="118213" spans="10:10" x14ac:dyDescent="0.3">
      <c r="J118213"/>
    </row>
    <row r="118214" spans="10:10" x14ac:dyDescent="0.3">
      <c r="J118214"/>
    </row>
    <row r="118215" spans="10:10" x14ac:dyDescent="0.3">
      <c r="J118215"/>
    </row>
    <row r="118216" spans="10:10" x14ac:dyDescent="0.3">
      <c r="J118216"/>
    </row>
    <row r="118217" spans="10:10" x14ac:dyDescent="0.3">
      <c r="J118217"/>
    </row>
    <row r="118218" spans="10:10" x14ac:dyDescent="0.3">
      <c r="J118218"/>
    </row>
    <row r="118219" spans="10:10" x14ac:dyDescent="0.3">
      <c r="J118219"/>
    </row>
    <row r="118220" spans="10:10" x14ac:dyDescent="0.3">
      <c r="J118220"/>
    </row>
    <row r="118221" spans="10:10" x14ac:dyDescent="0.3">
      <c r="J118221"/>
    </row>
    <row r="118222" spans="10:10" x14ac:dyDescent="0.3">
      <c r="J118222"/>
    </row>
    <row r="118223" spans="10:10" x14ac:dyDescent="0.3">
      <c r="J118223"/>
    </row>
    <row r="118224" spans="10:10" x14ac:dyDescent="0.3">
      <c r="J118224"/>
    </row>
    <row r="118225" spans="10:10" x14ac:dyDescent="0.3">
      <c r="J118225"/>
    </row>
    <row r="118226" spans="10:10" x14ac:dyDescent="0.3">
      <c r="J118226"/>
    </row>
    <row r="118227" spans="10:10" x14ac:dyDescent="0.3">
      <c r="J118227"/>
    </row>
    <row r="118228" spans="10:10" x14ac:dyDescent="0.3">
      <c r="J118228"/>
    </row>
    <row r="118229" spans="10:10" x14ac:dyDescent="0.3">
      <c r="J118229"/>
    </row>
    <row r="118230" spans="10:10" x14ac:dyDescent="0.3">
      <c r="J118230"/>
    </row>
    <row r="118231" spans="10:10" x14ac:dyDescent="0.3">
      <c r="J118231"/>
    </row>
    <row r="118232" spans="10:10" x14ac:dyDescent="0.3">
      <c r="J118232"/>
    </row>
    <row r="118233" spans="10:10" x14ac:dyDescent="0.3">
      <c r="J118233"/>
    </row>
    <row r="118234" spans="10:10" x14ac:dyDescent="0.3">
      <c r="J118234"/>
    </row>
    <row r="118235" spans="10:10" x14ac:dyDescent="0.3">
      <c r="J118235"/>
    </row>
    <row r="118236" spans="10:10" x14ac:dyDescent="0.3">
      <c r="J118236"/>
    </row>
    <row r="118237" spans="10:10" x14ac:dyDescent="0.3">
      <c r="J118237"/>
    </row>
    <row r="118238" spans="10:10" x14ac:dyDescent="0.3">
      <c r="J118238"/>
    </row>
    <row r="118239" spans="10:10" x14ac:dyDescent="0.3">
      <c r="J118239"/>
    </row>
    <row r="118240" spans="10:10" x14ac:dyDescent="0.3">
      <c r="J118240"/>
    </row>
    <row r="118241" spans="10:10" x14ac:dyDescent="0.3">
      <c r="J118241"/>
    </row>
    <row r="118242" spans="10:10" x14ac:dyDescent="0.3">
      <c r="J118242"/>
    </row>
    <row r="118243" spans="10:10" x14ac:dyDescent="0.3">
      <c r="J118243"/>
    </row>
    <row r="118244" spans="10:10" x14ac:dyDescent="0.3">
      <c r="J118244"/>
    </row>
    <row r="118245" spans="10:10" x14ac:dyDescent="0.3">
      <c r="J118245"/>
    </row>
    <row r="118246" spans="10:10" x14ac:dyDescent="0.3">
      <c r="J118246"/>
    </row>
    <row r="118247" spans="10:10" x14ac:dyDescent="0.3">
      <c r="J118247"/>
    </row>
    <row r="118248" spans="10:10" x14ac:dyDescent="0.3">
      <c r="J118248"/>
    </row>
    <row r="118249" spans="10:10" x14ac:dyDescent="0.3">
      <c r="J118249"/>
    </row>
    <row r="118250" spans="10:10" x14ac:dyDescent="0.3">
      <c r="J118250"/>
    </row>
    <row r="118251" spans="10:10" x14ac:dyDescent="0.3">
      <c r="J118251"/>
    </row>
    <row r="118252" spans="10:10" x14ac:dyDescent="0.3">
      <c r="J118252"/>
    </row>
    <row r="118253" spans="10:10" x14ac:dyDescent="0.3">
      <c r="J118253"/>
    </row>
    <row r="118254" spans="10:10" x14ac:dyDescent="0.3">
      <c r="J118254"/>
    </row>
    <row r="118255" spans="10:10" x14ac:dyDescent="0.3">
      <c r="J118255"/>
    </row>
    <row r="118256" spans="10:10" x14ac:dyDescent="0.3">
      <c r="J118256"/>
    </row>
    <row r="118257" spans="10:10" x14ac:dyDescent="0.3">
      <c r="J118257"/>
    </row>
    <row r="118258" spans="10:10" x14ac:dyDescent="0.3">
      <c r="J118258"/>
    </row>
    <row r="118259" spans="10:10" x14ac:dyDescent="0.3">
      <c r="J118259"/>
    </row>
    <row r="118260" spans="10:10" x14ac:dyDescent="0.3">
      <c r="J118260"/>
    </row>
    <row r="118261" spans="10:10" x14ac:dyDescent="0.3">
      <c r="J118261"/>
    </row>
    <row r="118262" spans="10:10" x14ac:dyDescent="0.3">
      <c r="J118262"/>
    </row>
    <row r="118263" spans="10:10" x14ac:dyDescent="0.3">
      <c r="J118263"/>
    </row>
    <row r="118264" spans="10:10" x14ac:dyDescent="0.3">
      <c r="J118264"/>
    </row>
    <row r="118265" spans="10:10" x14ac:dyDescent="0.3">
      <c r="J118265"/>
    </row>
    <row r="118266" spans="10:10" x14ac:dyDescent="0.3">
      <c r="J118266"/>
    </row>
    <row r="118267" spans="10:10" x14ac:dyDescent="0.3">
      <c r="J118267"/>
    </row>
    <row r="118268" spans="10:10" x14ac:dyDescent="0.3">
      <c r="J118268"/>
    </row>
    <row r="118269" spans="10:10" x14ac:dyDescent="0.3">
      <c r="J118269"/>
    </row>
    <row r="118270" spans="10:10" x14ac:dyDescent="0.3">
      <c r="J118270"/>
    </row>
    <row r="118271" spans="10:10" x14ac:dyDescent="0.3">
      <c r="J118271"/>
    </row>
    <row r="118272" spans="10:10" x14ac:dyDescent="0.3">
      <c r="J118272"/>
    </row>
    <row r="118273" spans="10:10" x14ac:dyDescent="0.3">
      <c r="J118273"/>
    </row>
    <row r="118274" spans="10:10" x14ac:dyDescent="0.3">
      <c r="J118274"/>
    </row>
    <row r="118275" spans="10:10" x14ac:dyDescent="0.3">
      <c r="J118275"/>
    </row>
    <row r="118276" spans="10:10" x14ac:dyDescent="0.3">
      <c r="J118276"/>
    </row>
    <row r="118277" spans="10:10" x14ac:dyDescent="0.3">
      <c r="J118277"/>
    </row>
    <row r="118278" spans="10:10" x14ac:dyDescent="0.3">
      <c r="J118278"/>
    </row>
    <row r="118279" spans="10:10" x14ac:dyDescent="0.3">
      <c r="J118279"/>
    </row>
    <row r="118280" spans="10:10" x14ac:dyDescent="0.3">
      <c r="J118280"/>
    </row>
    <row r="118281" spans="10:10" x14ac:dyDescent="0.3">
      <c r="J118281"/>
    </row>
    <row r="118282" spans="10:10" x14ac:dyDescent="0.3">
      <c r="J118282"/>
    </row>
    <row r="118283" spans="10:10" x14ac:dyDescent="0.3">
      <c r="J118283"/>
    </row>
    <row r="118284" spans="10:10" x14ac:dyDescent="0.3">
      <c r="J118284"/>
    </row>
    <row r="118285" spans="10:10" x14ac:dyDescent="0.3">
      <c r="J118285"/>
    </row>
    <row r="118286" spans="10:10" x14ac:dyDescent="0.3">
      <c r="J118286"/>
    </row>
    <row r="118287" spans="10:10" x14ac:dyDescent="0.3">
      <c r="J118287"/>
    </row>
    <row r="118288" spans="10:10" x14ac:dyDescent="0.3">
      <c r="J118288"/>
    </row>
    <row r="118289" spans="10:10" x14ac:dyDescent="0.3">
      <c r="J118289"/>
    </row>
    <row r="118290" spans="10:10" x14ac:dyDescent="0.3">
      <c r="J118290"/>
    </row>
    <row r="118291" spans="10:10" x14ac:dyDescent="0.3">
      <c r="J118291"/>
    </row>
    <row r="118292" spans="10:10" x14ac:dyDescent="0.3">
      <c r="J118292"/>
    </row>
    <row r="118293" spans="10:10" x14ac:dyDescent="0.3">
      <c r="J118293"/>
    </row>
    <row r="118294" spans="10:10" x14ac:dyDescent="0.3">
      <c r="J118294"/>
    </row>
    <row r="118295" spans="10:10" x14ac:dyDescent="0.3">
      <c r="J118295"/>
    </row>
    <row r="118296" spans="10:10" x14ac:dyDescent="0.3">
      <c r="J118296"/>
    </row>
    <row r="118297" spans="10:10" x14ac:dyDescent="0.3">
      <c r="J118297"/>
    </row>
    <row r="118298" spans="10:10" x14ac:dyDescent="0.3">
      <c r="J118298"/>
    </row>
    <row r="118299" spans="10:10" x14ac:dyDescent="0.3">
      <c r="J118299"/>
    </row>
    <row r="118300" spans="10:10" x14ac:dyDescent="0.3">
      <c r="J118300"/>
    </row>
    <row r="118301" spans="10:10" x14ac:dyDescent="0.3">
      <c r="J118301"/>
    </row>
    <row r="118302" spans="10:10" x14ac:dyDescent="0.3">
      <c r="J118302"/>
    </row>
    <row r="118303" spans="10:10" x14ac:dyDescent="0.3">
      <c r="J118303"/>
    </row>
    <row r="118304" spans="10:10" x14ac:dyDescent="0.3">
      <c r="J118304"/>
    </row>
    <row r="118305" spans="10:10" x14ac:dyDescent="0.3">
      <c r="J118305"/>
    </row>
    <row r="118306" spans="10:10" x14ac:dyDescent="0.3">
      <c r="J118306"/>
    </row>
    <row r="118307" spans="10:10" x14ac:dyDescent="0.3">
      <c r="J118307"/>
    </row>
    <row r="118308" spans="10:10" x14ac:dyDescent="0.3">
      <c r="J118308"/>
    </row>
    <row r="118309" spans="10:10" x14ac:dyDescent="0.3">
      <c r="J118309"/>
    </row>
    <row r="118310" spans="10:10" x14ac:dyDescent="0.3">
      <c r="J118310"/>
    </row>
    <row r="118311" spans="10:10" x14ac:dyDescent="0.3">
      <c r="J118311"/>
    </row>
    <row r="118312" spans="10:10" x14ac:dyDescent="0.3">
      <c r="J118312"/>
    </row>
    <row r="118313" spans="10:10" x14ac:dyDescent="0.3">
      <c r="J118313"/>
    </row>
    <row r="118314" spans="10:10" x14ac:dyDescent="0.3">
      <c r="J118314"/>
    </row>
    <row r="118315" spans="10:10" x14ac:dyDescent="0.3">
      <c r="J118315"/>
    </row>
    <row r="118316" spans="10:10" x14ac:dyDescent="0.3">
      <c r="J118316"/>
    </row>
    <row r="118317" spans="10:10" x14ac:dyDescent="0.3">
      <c r="J118317"/>
    </row>
    <row r="118318" spans="10:10" x14ac:dyDescent="0.3">
      <c r="J118318"/>
    </row>
    <row r="118319" spans="10:10" x14ac:dyDescent="0.3">
      <c r="J118319"/>
    </row>
    <row r="118320" spans="10:10" x14ac:dyDescent="0.3">
      <c r="J118320"/>
    </row>
    <row r="118321" spans="10:10" x14ac:dyDescent="0.3">
      <c r="J118321"/>
    </row>
    <row r="118322" spans="10:10" x14ac:dyDescent="0.3">
      <c r="J118322"/>
    </row>
    <row r="118323" spans="10:10" x14ac:dyDescent="0.3">
      <c r="J118323"/>
    </row>
    <row r="118324" spans="10:10" x14ac:dyDescent="0.3">
      <c r="J118324"/>
    </row>
    <row r="118325" spans="10:10" x14ac:dyDescent="0.3">
      <c r="J118325"/>
    </row>
    <row r="118326" spans="10:10" x14ac:dyDescent="0.3">
      <c r="J118326"/>
    </row>
    <row r="118327" spans="10:10" x14ac:dyDescent="0.3">
      <c r="J118327"/>
    </row>
    <row r="118328" spans="10:10" x14ac:dyDescent="0.3">
      <c r="J118328"/>
    </row>
    <row r="118329" spans="10:10" x14ac:dyDescent="0.3">
      <c r="J118329"/>
    </row>
    <row r="118330" spans="10:10" x14ac:dyDescent="0.3">
      <c r="J118330"/>
    </row>
    <row r="118331" spans="10:10" x14ac:dyDescent="0.3">
      <c r="J118331"/>
    </row>
    <row r="118332" spans="10:10" x14ac:dyDescent="0.3">
      <c r="J118332"/>
    </row>
    <row r="118333" spans="10:10" x14ac:dyDescent="0.3">
      <c r="J118333"/>
    </row>
    <row r="118334" spans="10:10" x14ac:dyDescent="0.3">
      <c r="J118334"/>
    </row>
    <row r="118335" spans="10:10" x14ac:dyDescent="0.3">
      <c r="J118335"/>
    </row>
    <row r="118336" spans="10:10" x14ac:dyDescent="0.3">
      <c r="J118336"/>
    </row>
    <row r="118337" spans="10:10" x14ac:dyDescent="0.3">
      <c r="J118337"/>
    </row>
    <row r="118338" spans="10:10" x14ac:dyDescent="0.3">
      <c r="J118338"/>
    </row>
    <row r="118339" spans="10:10" x14ac:dyDescent="0.3">
      <c r="J118339"/>
    </row>
    <row r="118340" spans="10:10" x14ac:dyDescent="0.3">
      <c r="J118340"/>
    </row>
    <row r="118341" spans="10:10" x14ac:dyDescent="0.3">
      <c r="J118341"/>
    </row>
    <row r="118342" spans="10:10" x14ac:dyDescent="0.3">
      <c r="J118342"/>
    </row>
    <row r="118343" spans="10:10" x14ac:dyDescent="0.3">
      <c r="J118343"/>
    </row>
    <row r="118344" spans="10:10" x14ac:dyDescent="0.3">
      <c r="J118344"/>
    </row>
    <row r="118345" spans="10:10" x14ac:dyDescent="0.3">
      <c r="J118345"/>
    </row>
    <row r="118346" spans="10:10" x14ac:dyDescent="0.3">
      <c r="J118346"/>
    </row>
    <row r="118347" spans="10:10" x14ac:dyDescent="0.3">
      <c r="J118347"/>
    </row>
    <row r="118348" spans="10:10" x14ac:dyDescent="0.3">
      <c r="J118348"/>
    </row>
    <row r="118349" spans="10:10" x14ac:dyDescent="0.3">
      <c r="J118349"/>
    </row>
    <row r="118350" spans="10:10" x14ac:dyDescent="0.3">
      <c r="J118350"/>
    </row>
    <row r="118351" spans="10:10" x14ac:dyDescent="0.3">
      <c r="J118351"/>
    </row>
    <row r="118352" spans="10:10" x14ac:dyDescent="0.3">
      <c r="J118352"/>
    </row>
    <row r="118353" spans="10:10" x14ac:dyDescent="0.3">
      <c r="J118353"/>
    </row>
    <row r="118354" spans="10:10" x14ac:dyDescent="0.3">
      <c r="J118354"/>
    </row>
    <row r="118355" spans="10:10" x14ac:dyDescent="0.3">
      <c r="J118355"/>
    </row>
    <row r="118356" spans="10:10" x14ac:dyDescent="0.3">
      <c r="J118356"/>
    </row>
    <row r="118357" spans="10:10" x14ac:dyDescent="0.3">
      <c r="J118357"/>
    </row>
    <row r="118358" spans="10:10" x14ac:dyDescent="0.3">
      <c r="J118358"/>
    </row>
    <row r="118359" spans="10:10" x14ac:dyDescent="0.3">
      <c r="J118359"/>
    </row>
    <row r="118360" spans="10:10" x14ac:dyDescent="0.3">
      <c r="J118360"/>
    </row>
    <row r="118361" spans="10:10" x14ac:dyDescent="0.3">
      <c r="J118361"/>
    </row>
    <row r="118362" spans="10:10" x14ac:dyDescent="0.3">
      <c r="J118362"/>
    </row>
    <row r="118363" spans="10:10" x14ac:dyDescent="0.3">
      <c r="J118363"/>
    </row>
    <row r="118364" spans="10:10" x14ac:dyDescent="0.3">
      <c r="J118364"/>
    </row>
    <row r="118365" spans="10:10" x14ac:dyDescent="0.3">
      <c r="J118365"/>
    </row>
    <row r="118366" spans="10:10" x14ac:dyDescent="0.3">
      <c r="J118366"/>
    </row>
    <row r="118367" spans="10:10" x14ac:dyDescent="0.3">
      <c r="J118367"/>
    </row>
    <row r="118368" spans="10:10" x14ac:dyDescent="0.3">
      <c r="J118368"/>
    </row>
    <row r="118369" spans="10:10" x14ac:dyDescent="0.3">
      <c r="J118369"/>
    </row>
    <row r="118370" spans="10:10" x14ac:dyDescent="0.3">
      <c r="J118370"/>
    </row>
    <row r="118371" spans="10:10" x14ac:dyDescent="0.3">
      <c r="J118371"/>
    </row>
    <row r="118372" spans="10:10" x14ac:dyDescent="0.3">
      <c r="J118372"/>
    </row>
    <row r="118373" spans="10:10" x14ac:dyDescent="0.3">
      <c r="J118373"/>
    </row>
    <row r="118374" spans="10:10" x14ac:dyDescent="0.3">
      <c r="J118374"/>
    </row>
    <row r="118375" spans="10:10" x14ac:dyDescent="0.3">
      <c r="J118375"/>
    </row>
    <row r="118376" spans="10:10" x14ac:dyDescent="0.3">
      <c r="J118376"/>
    </row>
    <row r="118377" spans="10:10" x14ac:dyDescent="0.3">
      <c r="J118377"/>
    </row>
    <row r="118378" spans="10:10" x14ac:dyDescent="0.3">
      <c r="J118378"/>
    </row>
    <row r="118379" spans="10:10" x14ac:dyDescent="0.3">
      <c r="J118379"/>
    </row>
    <row r="118380" spans="10:10" x14ac:dyDescent="0.3">
      <c r="J118380"/>
    </row>
    <row r="118381" spans="10:10" x14ac:dyDescent="0.3">
      <c r="J118381"/>
    </row>
    <row r="118382" spans="10:10" x14ac:dyDescent="0.3">
      <c r="J118382"/>
    </row>
    <row r="118383" spans="10:10" x14ac:dyDescent="0.3">
      <c r="J118383"/>
    </row>
    <row r="118384" spans="10:10" x14ac:dyDescent="0.3">
      <c r="J118384"/>
    </row>
    <row r="118385" spans="10:10" x14ac:dyDescent="0.3">
      <c r="J118385"/>
    </row>
    <row r="118386" spans="10:10" x14ac:dyDescent="0.3">
      <c r="J118386"/>
    </row>
    <row r="118387" spans="10:10" x14ac:dyDescent="0.3">
      <c r="J118387"/>
    </row>
    <row r="118388" spans="10:10" x14ac:dyDescent="0.3">
      <c r="J118388"/>
    </row>
    <row r="118389" spans="10:10" x14ac:dyDescent="0.3">
      <c r="J118389"/>
    </row>
    <row r="118390" spans="10:10" x14ac:dyDescent="0.3">
      <c r="J118390"/>
    </row>
    <row r="118391" spans="10:10" x14ac:dyDescent="0.3">
      <c r="J118391"/>
    </row>
    <row r="118392" spans="10:10" x14ac:dyDescent="0.3">
      <c r="J118392"/>
    </row>
    <row r="118393" spans="10:10" x14ac:dyDescent="0.3">
      <c r="J118393"/>
    </row>
    <row r="118394" spans="10:10" x14ac:dyDescent="0.3">
      <c r="J118394"/>
    </row>
    <row r="118395" spans="10:10" x14ac:dyDescent="0.3">
      <c r="J118395"/>
    </row>
    <row r="118396" spans="10:10" x14ac:dyDescent="0.3">
      <c r="J118396"/>
    </row>
    <row r="118397" spans="10:10" x14ac:dyDescent="0.3">
      <c r="J118397"/>
    </row>
    <row r="118398" spans="10:10" x14ac:dyDescent="0.3">
      <c r="J118398"/>
    </row>
    <row r="118399" spans="10:10" x14ac:dyDescent="0.3">
      <c r="J118399"/>
    </row>
    <row r="118400" spans="10:10" x14ac:dyDescent="0.3">
      <c r="J118400"/>
    </row>
    <row r="118401" spans="10:10" x14ac:dyDescent="0.3">
      <c r="J118401"/>
    </row>
    <row r="118402" spans="10:10" x14ac:dyDescent="0.3">
      <c r="J118402"/>
    </row>
    <row r="118403" spans="10:10" x14ac:dyDescent="0.3">
      <c r="J118403"/>
    </row>
    <row r="118404" spans="10:10" x14ac:dyDescent="0.3">
      <c r="J118404"/>
    </row>
    <row r="118405" spans="10:10" x14ac:dyDescent="0.3">
      <c r="J118405"/>
    </row>
    <row r="118406" spans="10:10" x14ac:dyDescent="0.3">
      <c r="J118406"/>
    </row>
    <row r="118407" spans="10:10" x14ac:dyDescent="0.3">
      <c r="J118407"/>
    </row>
    <row r="118408" spans="10:10" x14ac:dyDescent="0.3">
      <c r="J118408"/>
    </row>
    <row r="118409" spans="10:10" x14ac:dyDescent="0.3">
      <c r="J118409"/>
    </row>
    <row r="118410" spans="10:10" x14ac:dyDescent="0.3">
      <c r="J118410"/>
    </row>
    <row r="118411" spans="10:10" x14ac:dyDescent="0.3">
      <c r="J118411"/>
    </row>
    <row r="118412" spans="10:10" x14ac:dyDescent="0.3">
      <c r="J118412"/>
    </row>
    <row r="118413" spans="10:10" x14ac:dyDescent="0.3">
      <c r="J118413"/>
    </row>
    <row r="118414" spans="10:10" x14ac:dyDescent="0.3">
      <c r="J118414"/>
    </row>
    <row r="118415" spans="10:10" x14ac:dyDescent="0.3">
      <c r="J118415"/>
    </row>
    <row r="118416" spans="10:10" x14ac:dyDescent="0.3">
      <c r="J118416"/>
    </row>
    <row r="118417" spans="10:10" x14ac:dyDescent="0.3">
      <c r="J118417"/>
    </row>
    <row r="118418" spans="10:10" x14ac:dyDescent="0.3">
      <c r="J118418"/>
    </row>
    <row r="118419" spans="10:10" x14ac:dyDescent="0.3">
      <c r="J118419"/>
    </row>
    <row r="118420" spans="10:10" x14ac:dyDescent="0.3">
      <c r="J118420"/>
    </row>
    <row r="118421" spans="10:10" x14ac:dyDescent="0.3">
      <c r="J118421"/>
    </row>
    <row r="118422" spans="10:10" x14ac:dyDescent="0.3">
      <c r="J118422"/>
    </row>
    <row r="118423" spans="10:10" x14ac:dyDescent="0.3">
      <c r="J118423"/>
    </row>
    <row r="118424" spans="10:10" x14ac:dyDescent="0.3">
      <c r="J118424"/>
    </row>
    <row r="118425" spans="10:10" x14ac:dyDescent="0.3">
      <c r="J118425"/>
    </row>
    <row r="118426" spans="10:10" x14ac:dyDescent="0.3">
      <c r="J118426"/>
    </row>
    <row r="118427" spans="10:10" x14ac:dyDescent="0.3">
      <c r="J118427"/>
    </row>
    <row r="118428" spans="10:10" x14ac:dyDescent="0.3">
      <c r="J118428"/>
    </row>
    <row r="118429" spans="10:10" x14ac:dyDescent="0.3">
      <c r="J118429"/>
    </row>
    <row r="118430" spans="10:10" x14ac:dyDescent="0.3">
      <c r="J118430"/>
    </row>
    <row r="118431" spans="10:10" x14ac:dyDescent="0.3">
      <c r="J118431"/>
    </row>
    <row r="118432" spans="10:10" x14ac:dyDescent="0.3">
      <c r="J118432"/>
    </row>
    <row r="118433" spans="10:10" x14ac:dyDescent="0.3">
      <c r="J118433"/>
    </row>
    <row r="118434" spans="10:10" x14ac:dyDescent="0.3">
      <c r="J118434"/>
    </row>
    <row r="118435" spans="10:10" x14ac:dyDescent="0.3">
      <c r="J118435"/>
    </row>
    <row r="118436" spans="10:10" x14ac:dyDescent="0.3">
      <c r="J118436"/>
    </row>
    <row r="118437" spans="10:10" x14ac:dyDescent="0.3">
      <c r="J118437"/>
    </row>
    <row r="118438" spans="10:10" x14ac:dyDescent="0.3">
      <c r="J118438"/>
    </row>
    <row r="118439" spans="10:10" x14ac:dyDescent="0.3">
      <c r="J118439"/>
    </row>
    <row r="118440" spans="10:10" x14ac:dyDescent="0.3">
      <c r="J118440"/>
    </row>
    <row r="118441" spans="10:10" x14ac:dyDescent="0.3">
      <c r="J118441"/>
    </row>
    <row r="118442" spans="10:10" x14ac:dyDescent="0.3">
      <c r="J118442"/>
    </row>
    <row r="118443" spans="10:10" x14ac:dyDescent="0.3">
      <c r="J118443"/>
    </row>
    <row r="118444" spans="10:10" x14ac:dyDescent="0.3">
      <c r="J118444"/>
    </row>
    <row r="118445" spans="10:10" x14ac:dyDescent="0.3">
      <c r="J118445"/>
    </row>
    <row r="118446" spans="10:10" x14ac:dyDescent="0.3">
      <c r="J118446"/>
    </row>
    <row r="118447" spans="10:10" x14ac:dyDescent="0.3">
      <c r="J118447"/>
    </row>
    <row r="118448" spans="10:10" x14ac:dyDescent="0.3">
      <c r="J118448"/>
    </row>
    <row r="118449" spans="10:10" x14ac:dyDescent="0.3">
      <c r="J118449"/>
    </row>
    <row r="118450" spans="10:10" x14ac:dyDescent="0.3">
      <c r="J118450"/>
    </row>
    <row r="118451" spans="10:10" x14ac:dyDescent="0.3">
      <c r="J118451"/>
    </row>
    <row r="118452" spans="10:10" x14ac:dyDescent="0.3">
      <c r="J118452"/>
    </row>
    <row r="118453" spans="10:10" x14ac:dyDescent="0.3">
      <c r="J118453"/>
    </row>
    <row r="118454" spans="10:10" x14ac:dyDescent="0.3">
      <c r="J118454"/>
    </row>
    <row r="118455" spans="10:10" x14ac:dyDescent="0.3">
      <c r="J118455"/>
    </row>
    <row r="118456" spans="10:10" x14ac:dyDescent="0.3">
      <c r="J118456"/>
    </row>
    <row r="118457" spans="10:10" x14ac:dyDescent="0.3">
      <c r="J118457"/>
    </row>
    <row r="118458" spans="10:10" x14ac:dyDescent="0.3">
      <c r="J118458"/>
    </row>
    <row r="118459" spans="10:10" x14ac:dyDescent="0.3">
      <c r="J118459"/>
    </row>
    <row r="118460" spans="10:10" x14ac:dyDescent="0.3">
      <c r="J118460"/>
    </row>
    <row r="118461" spans="10:10" x14ac:dyDescent="0.3">
      <c r="J118461"/>
    </row>
    <row r="118462" spans="10:10" x14ac:dyDescent="0.3">
      <c r="J118462"/>
    </row>
    <row r="118463" spans="10:10" x14ac:dyDescent="0.3">
      <c r="J118463"/>
    </row>
    <row r="118464" spans="10:10" x14ac:dyDescent="0.3">
      <c r="J118464"/>
    </row>
    <row r="118465" spans="10:10" x14ac:dyDescent="0.3">
      <c r="J118465"/>
    </row>
    <row r="118466" spans="10:10" x14ac:dyDescent="0.3">
      <c r="J118466"/>
    </row>
    <row r="118467" spans="10:10" x14ac:dyDescent="0.3">
      <c r="J118467"/>
    </row>
    <row r="118468" spans="10:10" x14ac:dyDescent="0.3">
      <c r="J118468"/>
    </row>
    <row r="118469" spans="10:10" x14ac:dyDescent="0.3">
      <c r="J118469"/>
    </row>
    <row r="118470" spans="10:10" x14ac:dyDescent="0.3">
      <c r="J118470"/>
    </row>
    <row r="118471" spans="10:10" x14ac:dyDescent="0.3">
      <c r="J118471"/>
    </row>
    <row r="118472" spans="10:10" x14ac:dyDescent="0.3">
      <c r="J118472"/>
    </row>
    <row r="118473" spans="10:10" x14ac:dyDescent="0.3">
      <c r="J118473"/>
    </row>
    <row r="118474" spans="10:10" x14ac:dyDescent="0.3">
      <c r="J118474"/>
    </row>
    <row r="118475" spans="10:10" x14ac:dyDescent="0.3">
      <c r="J118475"/>
    </row>
    <row r="118476" spans="10:10" x14ac:dyDescent="0.3">
      <c r="J118476"/>
    </row>
    <row r="118477" spans="10:10" x14ac:dyDescent="0.3">
      <c r="J118477"/>
    </row>
    <row r="118478" spans="10:10" x14ac:dyDescent="0.3">
      <c r="J118478"/>
    </row>
    <row r="118479" spans="10:10" x14ac:dyDescent="0.3">
      <c r="J118479"/>
    </row>
    <row r="118480" spans="10:10" x14ac:dyDescent="0.3">
      <c r="J118480"/>
    </row>
    <row r="118481" spans="10:10" x14ac:dyDescent="0.3">
      <c r="J118481"/>
    </row>
    <row r="118482" spans="10:10" x14ac:dyDescent="0.3">
      <c r="J118482"/>
    </row>
    <row r="118483" spans="10:10" x14ac:dyDescent="0.3">
      <c r="J118483"/>
    </row>
    <row r="118484" spans="10:10" x14ac:dyDescent="0.3">
      <c r="J118484"/>
    </row>
    <row r="118485" spans="10:10" x14ac:dyDescent="0.3">
      <c r="J118485"/>
    </row>
    <row r="118486" spans="10:10" x14ac:dyDescent="0.3">
      <c r="J118486"/>
    </row>
    <row r="118487" spans="10:10" x14ac:dyDescent="0.3">
      <c r="J118487"/>
    </row>
    <row r="118488" spans="10:10" x14ac:dyDescent="0.3">
      <c r="J118488"/>
    </row>
    <row r="118489" spans="10:10" x14ac:dyDescent="0.3">
      <c r="J118489"/>
    </row>
    <row r="118490" spans="10:10" x14ac:dyDescent="0.3">
      <c r="J118490"/>
    </row>
    <row r="118491" spans="10:10" x14ac:dyDescent="0.3">
      <c r="J118491"/>
    </row>
    <row r="118492" spans="10:10" x14ac:dyDescent="0.3">
      <c r="J118492"/>
    </row>
    <row r="118493" spans="10:10" x14ac:dyDescent="0.3">
      <c r="J118493"/>
    </row>
    <row r="118494" spans="10:10" x14ac:dyDescent="0.3">
      <c r="J118494"/>
    </row>
    <row r="118495" spans="10:10" x14ac:dyDescent="0.3">
      <c r="J118495"/>
    </row>
    <row r="118496" spans="10:10" x14ac:dyDescent="0.3">
      <c r="J118496"/>
    </row>
    <row r="118497" spans="10:10" x14ac:dyDescent="0.3">
      <c r="J118497"/>
    </row>
    <row r="118498" spans="10:10" x14ac:dyDescent="0.3">
      <c r="J118498"/>
    </row>
    <row r="118499" spans="10:10" x14ac:dyDescent="0.3">
      <c r="J118499"/>
    </row>
    <row r="118500" spans="10:10" x14ac:dyDescent="0.3">
      <c r="J118500"/>
    </row>
    <row r="118501" spans="10:10" x14ac:dyDescent="0.3">
      <c r="J118501"/>
    </row>
    <row r="118502" spans="10:10" x14ac:dyDescent="0.3">
      <c r="J118502"/>
    </row>
    <row r="118503" spans="10:10" x14ac:dyDescent="0.3">
      <c r="J118503"/>
    </row>
    <row r="118504" spans="10:10" x14ac:dyDescent="0.3">
      <c r="J118504"/>
    </row>
    <row r="118505" spans="10:10" x14ac:dyDescent="0.3">
      <c r="J118505"/>
    </row>
    <row r="118506" spans="10:10" x14ac:dyDescent="0.3">
      <c r="J118506"/>
    </row>
    <row r="118507" spans="10:10" x14ac:dyDescent="0.3">
      <c r="J118507"/>
    </row>
    <row r="118508" spans="10:10" x14ac:dyDescent="0.3">
      <c r="J118508"/>
    </row>
    <row r="118509" spans="10:10" x14ac:dyDescent="0.3">
      <c r="J118509"/>
    </row>
    <row r="118510" spans="10:10" x14ac:dyDescent="0.3">
      <c r="J118510"/>
    </row>
    <row r="118511" spans="10:10" x14ac:dyDescent="0.3">
      <c r="J118511"/>
    </row>
    <row r="118512" spans="10:10" x14ac:dyDescent="0.3">
      <c r="J118512"/>
    </row>
    <row r="118513" spans="10:10" x14ac:dyDescent="0.3">
      <c r="J118513"/>
    </row>
    <row r="118514" spans="10:10" x14ac:dyDescent="0.3">
      <c r="J118514"/>
    </row>
    <row r="118515" spans="10:10" x14ac:dyDescent="0.3">
      <c r="J118515"/>
    </row>
    <row r="118516" spans="10:10" x14ac:dyDescent="0.3">
      <c r="J118516"/>
    </row>
    <row r="118517" spans="10:10" x14ac:dyDescent="0.3">
      <c r="J118517"/>
    </row>
    <row r="118518" spans="10:10" x14ac:dyDescent="0.3">
      <c r="J118518"/>
    </row>
    <row r="118519" spans="10:10" x14ac:dyDescent="0.3">
      <c r="J118519"/>
    </row>
    <row r="118520" spans="10:10" x14ac:dyDescent="0.3">
      <c r="J118520"/>
    </row>
    <row r="118521" spans="10:10" x14ac:dyDescent="0.3">
      <c r="J118521"/>
    </row>
    <row r="118522" spans="10:10" x14ac:dyDescent="0.3">
      <c r="J118522"/>
    </row>
    <row r="118523" spans="10:10" x14ac:dyDescent="0.3">
      <c r="J118523"/>
    </row>
    <row r="118524" spans="10:10" x14ac:dyDescent="0.3">
      <c r="J118524"/>
    </row>
    <row r="118525" spans="10:10" x14ac:dyDescent="0.3">
      <c r="J118525"/>
    </row>
    <row r="118526" spans="10:10" x14ac:dyDescent="0.3">
      <c r="J118526"/>
    </row>
    <row r="118527" spans="10:10" x14ac:dyDescent="0.3">
      <c r="J118527"/>
    </row>
    <row r="118528" spans="10:10" x14ac:dyDescent="0.3">
      <c r="J118528"/>
    </row>
    <row r="118529" spans="10:10" x14ac:dyDescent="0.3">
      <c r="J118529"/>
    </row>
    <row r="118530" spans="10:10" x14ac:dyDescent="0.3">
      <c r="J118530"/>
    </row>
    <row r="118531" spans="10:10" x14ac:dyDescent="0.3">
      <c r="J118531"/>
    </row>
    <row r="118532" spans="10:10" x14ac:dyDescent="0.3">
      <c r="J118532"/>
    </row>
    <row r="118533" spans="10:10" x14ac:dyDescent="0.3">
      <c r="J118533"/>
    </row>
    <row r="118534" spans="10:10" x14ac:dyDescent="0.3">
      <c r="J118534"/>
    </row>
    <row r="118535" spans="10:10" x14ac:dyDescent="0.3">
      <c r="J118535"/>
    </row>
    <row r="118536" spans="10:10" x14ac:dyDescent="0.3">
      <c r="J118536"/>
    </row>
    <row r="118537" spans="10:10" x14ac:dyDescent="0.3">
      <c r="J118537"/>
    </row>
    <row r="118538" spans="10:10" x14ac:dyDescent="0.3">
      <c r="J118538"/>
    </row>
    <row r="118539" spans="10:10" x14ac:dyDescent="0.3">
      <c r="J118539"/>
    </row>
    <row r="118540" spans="10:10" x14ac:dyDescent="0.3">
      <c r="J118540"/>
    </row>
    <row r="118541" spans="10:10" x14ac:dyDescent="0.3">
      <c r="J118541"/>
    </row>
    <row r="118542" spans="10:10" x14ac:dyDescent="0.3">
      <c r="J118542"/>
    </row>
    <row r="118543" spans="10:10" x14ac:dyDescent="0.3">
      <c r="J118543"/>
    </row>
    <row r="118544" spans="10:10" x14ac:dyDescent="0.3">
      <c r="J118544"/>
    </row>
    <row r="118545" spans="10:10" x14ac:dyDescent="0.3">
      <c r="J118545"/>
    </row>
    <row r="118546" spans="10:10" x14ac:dyDescent="0.3">
      <c r="J118546"/>
    </row>
    <row r="118547" spans="10:10" x14ac:dyDescent="0.3">
      <c r="J118547"/>
    </row>
    <row r="118548" spans="10:10" x14ac:dyDescent="0.3">
      <c r="J118548"/>
    </row>
    <row r="118549" spans="10:10" x14ac:dyDescent="0.3">
      <c r="J118549"/>
    </row>
    <row r="118550" spans="10:10" x14ac:dyDescent="0.3">
      <c r="J118550"/>
    </row>
    <row r="118551" spans="10:10" x14ac:dyDescent="0.3">
      <c r="J118551"/>
    </row>
    <row r="118552" spans="10:10" x14ac:dyDescent="0.3">
      <c r="J118552"/>
    </row>
    <row r="118553" spans="10:10" x14ac:dyDescent="0.3">
      <c r="J118553"/>
    </row>
    <row r="118554" spans="10:10" x14ac:dyDescent="0.3">
      <c r="J118554"/>
    </row>
    <row r="118555" spans="10:10" x14ac:dyDescent="0.3">
      <c r="J118555"/>
    </row>
    <row r="118556" spans="10:10" x14ac:dyDescent="0.3">
      <c r="J118556"/>
    </row>
    <row r="118557" spans="10:10" x14ac:dyDescent="0.3">
      <c r="J118557"/>
    </row>
    <row r="118558" spans="10:10" x14ac:dyDescent="0.3">
      <c r="J118558"/>
    </row>
    <row r="118559" spans="10:10" x14ac:dyDescent="0.3">
      <c r="J118559"/>
    </row>
    <row r="118560" spans="10:10" x14ac:dyDescent="0.3">
      <c r="J118560"/>
    </row>
    <row r="118561" spans="10:10" x14ac:dyDescent="0.3">
      <c r="J118561"/>
    </row>
    <row r="118562" spans="10:10" x14ac:dyDescent="0.3">
      <c r="J118562"/>
    </row>
    <row r="118563" spans="10:10" x14ac:dyDescent="0.3">
      <c r="J118563"/>
    </row>
    <row r="118564" spans="10:10" x14ac:dyDescent="0.3">
      <c r="J118564"/>
    </row>
    <row r="118565" spans="10:10" x14ac:dyDescent="0.3">
      <c r="J118565"/>
    </row>
    <row r="118566" spans="10:10" x14ac:dyDescent="0.3">
      <c r="J118566"/>
    </row>
    <row r="118567" spans="10:10" x14ac:dyDescent="0.3">
      <c r="J118567"/>
    </row>
    <row r="118568" spans="10:10" x14ac:dyDescent="0.3">
      <c r="J118568"/>
    </row>
    <row r="118569" spans="10:10" x14ac:dyDescent="0.3">
      <c r="J118569"/>
    </row>
    <row r="118570" spans="10:10" x14ac:dyDescent="0.3">
      <c r="J118570"/>
    </row>
    <row r="118571" spans="10:10" x14ac:dyDescent="0.3">
      <c r="J118571"/>
    </row>
    <row r="118572" spans="10:10" x14ac:dyDescent="0.3">
      <c r="J118572"/>
    </row>
    <row r="118573" spans="10:10" x14ac:dyDescent="0.3">
      <c r="J118573"/>
    </row>
    <row r="118574" spans="10:10" x14ac:dyDescent="0.3">
      <c r="J118574"/>
    </row>
    <row r="118575" spans="10:10" x14ac:dyDescent="0.3">
      <c r="J118575"/>
    </row>
    <row r="118576" spans="10:10" x14ac:dyDescent="0.3">
      <c r="J118576"/>
    </row>
    <row r="118577" spans="10:10" x14ac:dyDescent="0.3">
      <c r="J118577"/>
    </row>
    <row r="118578" spans="10:10" x14ac:dyDescent="0.3">
      <c r="J118578"/>
    </row>
    <row r="118579" spans="10:10" x14ac:dyDescent="0.3">
      <c r="J118579"/>
    </row>
    <row r="118580" spans="10:10" x14ac:dyDescent="0.3">
      <c r="J118580"/>
    </row>
    <row r="118581" spans="10:10" x14ac:dyDescent="0.3">
      <c r="J118581"/>
    </row>
    <row r="118582" spans="10:10" x14ac:dyDescent="0.3">
      <c r="J118582"/>
    </row>
    <row r="118583" spans="10:10" x14ac:dyDescent="0.3">
      <c r="J118583"/>
    </row>
    <row r="118584" spans="10:10" x14ac:dyDescent="0.3">
      <c r="J118584"/>
    </row>
    <row r="118585" spans="10:10" x14ac:dyDescent="0.3">
      <c r="J118585"/>
    </row>
    <row r="118586" spans="10:10" x14ac:dyDescent="0.3">
      <c r="J118586"/>
    </row>
    <row r="118587" spans="10:10" x14ac:dyDescent="0.3">
      <c r="J118587"/>
    </row>
    <row r="118588" spans="10:10" x14ac:dyDescent="0.3">
      <c r="J118588"/>
    </row>
    <row r="118589" spans="10:10" x14ac:dyDescent="0.3">
      <c r="J118589"/>
    </row>
    <row r="118590" spans="10:10" x14ac:dyDescent="0.3">
      <c r="J118590"/>
    </row>
    <row r="118591" spans="10:10" x14ac:dyDescent="0.3">
      <c r="J118591"/>
    </row>
    <row r="118592" spans="10:10" x14ac:dyDescent="0.3">
      <c r="J118592"/>
    </row>
    <row r="118593" spans="10:10" x14ac:dyDescent="0.3">
      <c r="J118593"/>
    </row>
    <row r="118594" spans="10:10" x14ac:dyDescent="0.3">
      <c r="J118594"/>
    </row>
    <row r="118595" spans="10:10" x14ac:dyDescent="0.3">
      <c r="J118595"/>
    </row>
    <row r="118596" spans="10:10" x14ac:dyDescent="0.3">
      <c r="J118596"/>
    </row>
    <row r="118597" spans="10:10" x14ac:dyDescent="0.3">
      <c r="J118597"/>
    </row>
    <row r="118598" spans="10:10" x14ac:dyDescent="0.3">
      <c r="J118598"/>
    </row>
    <row r="118599" spans="10:10" x14ac:dyDescent="0.3">
      <c r="J118599"/>
    </row>
    <row r="118600" spans="10:10" x14ac:dyDescent="0.3">
      <c r="J118600"/>
    </row>
    <row r="118601" spans="10:10" x14ac:dyDescent="0.3">
      <c r="J118601"/>
    </row>
    <row r="118602" spans="10:10" x14ac:dyDescent="0.3">
      <c r="J118602"/>
    </row>
    <row r="118603" spans="10:10" x14ac:dyDescent="0.3">
      <c r="J118603"/>
    </row>
    <row r="118604" spans="10:10" x14ac:dyDescent="0.3">
      <c r="J118604"/>
    </row>
    <row r="118605" spans="10:10" x14ac:dyDescent="0.3">
      <c r="J118605"/>
    </row>
    <row r="118606" spans="10:10" x14ac:dyDescent="0.3">
      <c r="J118606"/>
    </row>
    <row r="118607" spans="10:10" x14ac:dyDescent="0.3">
      <c r="J118607"/>
    </row>
    <row r="118608" spans="10:10" x14ac:dyDescent="0.3">
      <c r="J118608"/>
    </row>
    <row r="118609" spans="10:10" x14ac:dyDescent="0.3">
      <c r="J118609"/>
    </row>
    <row r="118610" spans="10:10" x14ac:dyDescent="0.3">
      <c r="J118610"/>
    </row>
    <row r="118611" spans="10:10" x14ac:dyDescent="0.3">
      <c r="J118611"/>
    </row>
    <row r="118612" spans="10:10" x14ac:dyDescent="0.3">
      <c r="J118612"/>
    </row>
    <row r="118613" spans="10:10" x14ac:dyDescent="0.3">
      <c r="J118613"/>
    </row>
    <row r="118614" spans="10:10" x14ac:dyDescent="0.3">
      <c r="J118614"/>
    </row>
    <row r="118615" spans="10:10" x14ac:dyDescent="0.3">
      <c r="J118615"/>
    </row>
    <row r="118616" spans="10:10" x14ac:dyDescent="0.3">
      <c r="J118616"/>
    </row>
    <row r="118617" spans="10:10" x14ac:dyDescent="0.3">
      <c r="J118617"/>
    </row>
    <row r="118618" spans="10:10" x14ac:dyDescent="0.3">
      <c r="J118618"/>
    </row>
    <row r="118619" spans="10:10" x14ac:dyDescent="0.3">
      <c r="J118619"/>
    </row>
    <row r="118620" spans="10:10" x14ac:dyDescent="0.3">
      <c r="J118620"/>
    </row>
    <row r="118621" spans="10:10" x14ac:dyDescent="0.3">
      <c r="J118621"/>
    </row>
    <row r="118622" spans="10:10" x14ac:dyDescent="0.3">
      <c r="J118622"/>
    </row>
    <row r="118623" spans="10:10" x14ac:dyDescent="0.3">
      <c r="J118623"/>
    </row>
    <row r="118624" spans="10:10" x14ac:dyDescent="0.3">
      <c r="J118624"/>
    </row>
    <row r="118625" spans="10:10" x14ac:dyDescent="0.3">
      <c r="J118625"/>
    </row>
    <row r="118626" spans="10:10" x14ac:dyDescent="0.3">
      <c r="J118626"/>
    </row>
    <row r="118627" spans="10:10" x14ac:dyDescent="0.3">
      <c r="J118627"/>
    </row>
    <row r="118628" spans="10:10" x14ac:dyDescent="0.3">
      <c r="J118628"/>
    </row>
    <row r="118629" spans="10:10" x14ac:dyDescent="0.3">
      <c r="J118629"/>
    </row>
    <row r="118630" spans="10:10" x14ac:dyDescent="0.3">
      <c r="J118630"/>
    </row>
    <row r="118631" spans="10:10" x14ac:dyDescent="0.3">
      <c r="J118631"/>
    </row>
    <row r="118632" spans="10:10" x14ac:dyDescent="0.3">
      <c r="J118632"/>
    </row>
    <row r="118633" spans="10:10" x14ac:dyDescent="0.3">
      <c r="J118633"/>
    </row>
    <row r="118634" spans="10:10" x14ac:dyDescent="0.3">
      <c r="J118634"/>
    </row>
    <row r="118635" spans="10:10" x14ac:dyDescent="0.3">
      <c r="J118635"/>
    </row>
    <row r="118636" spans="10:10" x14ac:dyDescent="0.3">
      <c r="J118636"/>
    </row>
    <row r="118637" spans="10:10" x14ac:dyDescent="0.3">
      <c r="J118637"/>
    </row>
    <row r="118638" spans="10:10" x14ac:dyDescent="0.3">
      <c r="J118638"/>
    </row>
    <row r="118639" spans="10:10" x14ac:dyDescent="0.3">
      <c r="J118639"/>
    </row>
    <row r="118640" spans="10:10" x14ac:dyDescent="0.3">
      <c r="J118640"/>
    </row>
    <row r="118641" spans="10:10" x14ac:dyDescent="0.3">
      <c r="J118641"/>
    </row>
    <row r="118642" spans="10:10" x14ac:dyDescent="0.3">
      <c r="J118642"/>
    </row>
    <row r="118643" spans="10:10" x14ac:dyDescent="0.3">
      <c r="J118643"/>
    </row>
    <row r="118644" spans="10:10" x14ac:dyDescent="0.3">
      <c r="J118644"/>
    </row>
    <row r="118645" spans="10:10" x14ac:dyDescent="0.3">
      <c r="J118645"/>
    </row>
    <row r="118646" spans="10:10" x14ac:dyDescent="0.3">
      <c r="J118646"/>
    </row>
    <row r="118647" spans="10:10" x14ac:dyDescent="0.3">
      <c r="J118647"/>
    </row>
    <row r="118648" spans="10:10" x14ac:dyDescent="0.3">
      <c r="J118648"/>
    </row>
    <row r="118649" spans="10:10" x14ac:dyDescent="0.3">
      <c r="J118649"/>
    </row>
    <row r="118650" spans="10:10" x14ac:dyDescent="0.3">
      <c r="J118650"/>
    </row>
    <row r="118651" spans="10:10" x14ac:dyDescent="0.3">
      <c r="J118651"/>
    </row>
    <row r="118652" spans="10:10" x14ac:dyDescent="0.3">
      <c r="J118652"/>
    </row>
    <row r="118653" spans="10:10" x14ac:dyDescent="0.3">
      <c r="J118653"/>
    </row>
    <row r="118654" spans="10:10" x14ac:dyDescent="0.3">
      <c r="J118654"/>
    </row>
    <row r="118655" spans="10:10" x14ac:dyDescent="0.3">
      <c r="J118655"/>
    </row>
    <row r="118656" spans="10:10" x14ac:dyDescent="0.3">
      <c r="J118656"/>
    </row>
    <row r="118657" spans="10:10" x14ac:dyDescent="0.3">
      <c r="J118657"/>
    </row>
    <row r="118658" spans="10:10" x14ac:dyDescent="0.3">
      <c r="J118658"/>
    </row>
    <row r="118659" spans="10:10" x14ac:dyDescent="0.3">
      <c r="J118659"/>
    </row>
    <row r="118660" spans="10:10" x14ac:dyDescent="0.3">
      <c r="J118660"/>
    </row>
    <row r="118661" spans="10:10" x14ac:dyDescent="0.3">
      <c r="J118661"/>
    </row>
    <row r="118662" spans="10:10" x14ac:dyDescent="0.3">
      <c r="J118662"/>
    </row>
    <row r="118663" spans="10:10" x14ac:dyDescent="0.3">
      <c r="J118663"/>
    </row>
    <row r="118664" spans="10:10" x14ac:dyDescent="0.3">
      <c r="J118664"/>
    </row>
    <row r="118665" spans="10:10" x14ac:dyDescent="0.3">
      <c r="J118665"/>
    </row>
    <row r="118666" spans="10:10" x14ac:dyDescent="0.3">
      <c r="J118666"/>
    </row>
    <row r="118667" spans="10:10" x14ac:dyDescent="0.3">
      <c r="J118667"/>
    </row>
    <row r="118668" spans="10:10" x14ac:dyDescent="0.3">
      <c r="J118668"/>
    </row>
    <row r="118669" spans="10:10" x14ac:dyDescent="0.3">
      <c r="J118669"/>
    </row>
    <row r="118670" spans="10:10" x14ac:dyDescent="0.3">
      <c r="J118670"/>
    </row>
    <row r="118671" spans="10:10" x14ac:dyDescent="0.3">
      <c r="J118671"/>
    </row>
    <row r="118672" spans="10:10" x14ac:dyDescent="0.3">
      <c r="J118672"/>
    </row>
    <row r="118673" spans="10:10" x14ac:dyDescent="0.3">
      <c r="J118673"/>
    </row>
    <row r="118674" spans="10:10" x14ac:dyDescent="0.3">
      <c r="J118674"/>
    </row>
    <row r="118675" spans="10:10" x14ac:dyDescent="0.3">
      <c r="J118675"/>
    </row>
    <row r="118676" spans="10:10" x14ac:dyDescent="0.3">
      <c r="J118676"/>
    </row>
    <row r="118677" spans="10:10" x14ac:dyDescent="0.3">
      <c r="J118677"/>
    </row>
    <row r="118678" spans="10:10" x14ac:dyDescent="0.3">
      <c r="J118678"/>
    </row>
    <row r="118679" spans="10:10" x14ac:dyDescent="0.3">
      <c r="J118679"/>
    </row>
    <row r="118680" spans="10:10" x14ac:dyDescent="0.3">
      <c r="J118680"/>
    </row>
    <row r="118681" spans="10:10" x14ac:dyDescent="0.3">
      <c r="J118681"/>
    </row>
    <row r="118682" spans="10:10" x14ac:dyDescent="0.3">
      <c r="J118682"/>
    </row>
    <row r="118683" spans="10:10" x14ac:dyDescent="0.3">
      <c r="J118683"/>
    </row>
    <row r="118684" spans="10:10" x14ac:dyDescent="0.3">
      <c r="J118684"/>
    </row>
    <row r="118685" spans="10:10" x14ac:dyDescent="0.3">
      <c r="J118685"/>
    </row>
    <row r="118686" spans="10:10" x14ac:dyDescent="0.3">
      <c r="J118686"/>
    </row>
    <row r="118687" spans="10:10" x14ac:dyDescent="0.3">
      <c r="J118687"/>
    </row>
    <row r="118688" spans="10:10" x14ac:dyDescent="0.3">
      <c r="J118688"/>
    </row>
    <row r="118689" spans="10:10" x14ac:dyDescent="0.3">
      <c r="J118689"/>
    </row>
    <row r="118690" spans="10:10" x14ac:dyDescent="0.3">
      <c r="J118690"/>
    </row>
    <row r="118691" spans="10:10" x14ac:dyDescent="0.3">
      <c r="J118691"/>
    </row>
    <row r="118692" spans="10:10" x14ac:dyDescent="0.3">
      <c r="J118692"/>
    </row>
    <row r="118693" spans="10:10" x14ac:dyDescent="0.3">
      <c r="J118693"/>
    </row>
    <row r="118694" spans="10:10" x14ac:dyDescent="0.3">
      <c r="J118694"/>
    </row>
    <row r="118695" spans="10:10" x14ac:dyDescent="0.3">
      <c r="J118695"/>
    </row>
    <row r="118696" spans="10:10" x14ac:dyDescent="0.3">
      <c r="J118696"/>
    </row>
    <row r="118697" spans="10:10" x14ac:dyDescent="0.3">
      <c r="J118697"/>
    </row>
    <row r="118698" spans="10:10" x14ac:dyDescent="0.3">
      <c r="J118698"/>
    </row>
    <row r="118699" spans="10:10" x14ac:dyDescent="0.3">
      <c r="J118699"/>
    </row>
    <row r="118700" spans="10:10" x14ac:dyDescent="0.3">
      <c r="J118700"/>
    </row>
    <row r="118701" spans="10:10" x14ac:dyDescent="0.3">
      <c r="J118701"/>
    </row>
    <row r="118702" spans="10:10" x14ac:dyDescent="0.3">
      <c r="J118702"/>
    </row>
    <row r="118703" spans="10:10" x14ac:dyDescent="0.3">
      <c r="J118703"/>
    </row>
    <row r="118704" spans="10:10" x14ac:dyDescent="0.3">
      <c r="J118704"/>
    </row>
    <row r="118705" spans="10:10" x14ac:dyDescent="0.3">
      <c r="J118705"/>
    </row>
    <row r="118706" spans="10:10" x14ac:dyDescent="0.3">
      <c r="J118706"/>
    </row>
    <row r="118707" spans="10:10" x14ac:dyDescent="0.3">
      <c r="J118707"/>
    </row>
    <row r="118708" spans="10:10" x14ac:dyDescent="0.3">
      <c r="J118708"/>
    </row>
    <row r="118709" spans="10:10" x14ac:dyDescent="0.3">
      <c r="J118709"/>
    </row>
    <row r="118710" spans="10:10" x14ac:dyDescent="0.3">
      <c r="J118710"/>
    </row>
    <row r="118711" spans="10:10" x14ac:dyDescent="0.3">
      <c r="J118711"/>
    </row>
    <row r="118712" spans="10:10" x14ac:dyDescent="0.3">
      <c r="J118712"/>
    </row>
    <row r="118713" spans="10:10" x14ac:dyDescent="0.3">
      <c r="J118713"/>
    </row>
    <row r="118714" spans="10:10" x14ac:dyDescent="0.3">
      <c r="J118714"/>
    </row>
    <row r="118715" spans="10:10" x14ac:dyDescent="0.3">
      <c r="J118715"/>
    </row>
    <row r="118716" spans="10:10" x14ac:dyDescent="0.3">
      <c r="J118716"/>
    </row>
    <row r="118717" spans="10:10" x14ac:dyDescent="0.3">
      <c r="J118717"/>
    </row>
    <row r="118718" spans="10:10" x14ac:dyDescent="0.3">
      <c r="J118718"/>
    </row>
    <row r="118719" spans="10:10" x14ac:dyDescent="0.3">
      <c r="J118719"/>
    </row>
    <row r="118720" spans="10:10" x14ac:dyDescent="0.3">
      <c r="J118720"/>
    </row>
    <row r="118721" spans="10:10" x14ac:dyDescent="0.3">
      <c r="J118721"/>
    </row>
    <row r="118722" spans="10:10" x14ac:dyDescent="0.3">
      <c r="J118722"/>
    </row>
    <row r="118723" spans="10:10" x14ac:dyDescent="0.3">
      <c r="J118723"/>
    </row>
    <row r="118724" spans="10:10" x14ac:dyDescent="0.3">
      <c r="J118724"/>
    </row>
    <row r="118725" spans="10:10" x14ac:dyDescent="0.3">
      <c r="J118725"/>
    </row>
    <row r="118726" spans="10:10" x14ac:dyDescent="0.3">
      <c r="J118726"/>
    </row>
    <row r="118727" spans="10:10" x14ac:dyDescent="0.3">
      <c r="J118727"/>
    </row>
    <row r="118728" spans="10:10" x14ac:dyDescent="0.3">
      <c r="J118728"/>
    </row>
    <row r="118729" spans="10:10" x14ac:dyDescent="0.3">
      <c r="J118729"/>
    </row>
    <row r="118730" spans="10:10" x14ac:dyDescent="0.3">
      <c r="J118730"/>
    </row>
    <row r="118731" spans="10:10" x14ac:dyDescent="0.3">
      <c r="J118731"/>
    </row>
    <row r="118732" spans="10:10" x14ac:dyDescent="0.3">
      <c r="J118732"/>
    </row>
    <row r="118733" spans="10:10" x14ac:dyDescent="0.3">
      <c r="J118733"/>
    </row>
    <row r="118734" spans="10:10" x14ac:dyDescent="0.3">
      <c r="J118734"/>
    </row>
    <row r="118735" spans="10:10" x14ac:dyDescent="0.3">
      <c r="J118735"/>
    </row>
    <row r="118736" spans="10:10" x14ac:dyDescent="0.3">
      <c r="J118736"/>
    </row>
    <row r="118737" spans="10:10" x14ac:dyDescent="0.3">
      <c r="J118737"/>
    </row>
    <row r="118738" spans="10:10" x14ac:dyDescent="0.3">
      <c r="J118738"/>
    </row>
    <row r="118739" spans="10:10" x14ac:dyDescent="0.3">
      <c r="J118739"/>
    </row>
    <row r="118740" spans="10:10" x14ac:dyDescent="0.3">
      <c r="J118740"/>
    </row>
    <row r="118741" spans="10:10" x14ac:dyDescent="0.3">
      <c r="J118741"/>
    </row>
    <row r="118742" spans="10:10" x14ac:dyDescent="0.3">
      <c r="J118742"/>
    </row>
    <row r="118743" spans="10:10" x14ac:dyDescent="0.3">
      <c r="J118743"/>
    </row>
    <row r="118744" spans="10:10" x14ac:dyDescent="0.3">
      <c r="J118744"/>
    </row>
    <row r="118745" spans="10:10" x14ac:dyDescent="0.3">
      <c r="J118745"/>
    </row>
    <row r="118746" spans="10:10" x14ac:dyDescent="0.3">
      <c r="J118746"/>
    </row>
    <row r="118747" spans="10:10" x14ac:dyDescent="0.3">
      <c r="J118747"/>
    </row>
    <row r="118748" spans="10:10" x14ac:dyDescent="0.3">
      <c r="J118748"/>
    </row>
    <row r="118749" spans="10:10" x14ac:dyDescent="0.3">
      <c r="J118749"/>
    </row>
    <row r="118750" spans="10:10" x14ac:dyDescent="0.3">
      <c r="J118750"/>
    </row>
    <row r="118751" spans="10:10" x14ac:dyDescent="0.3">
      <c r="J118751"/>
    </row>
    <row r="118752" spans="10:10" x14ac:dyDescent="0.3">
      <c r="J118752"/>
    </row>
    <row r="118753" spans="10:10" x14ac:dyDescent="0.3">
      <c r="J118753"/>
    </row>
    <row r="118754" spans="10:10" x14ac:dyDescent="0.3">
      <c r="J118754"/>
    </row>
    <row r="118755" spans="10:10" x14ac:dyDescent="0.3">
      <c r="J118755"/>
    </row>
    <row r="118756" spans="10:10" x14ac:dyDescent="0.3">
      <c r="J118756"/>
    </row>
    <row r="118757" spans="10:10" x14ac:dyDescent="0.3">
      <c r="J118757"/>
    </row>
    <row r="118758" spans="10:10" x14ac:dyDescent="0.3">
      <c r="J118758"/>
    </row>
    <row r="118759" spans="10:10" x14ac:dyDescent="0.3">
      <c r="J118759"/>
    </row>
    <row r="118760" spans="10:10" x14ac:dyDescent="0.3">
      <c r="J118760"/>
    </row>
    <row r="118761" spans="10:10" x14ac:dyDescent="0.3">
      <c r="J118761"/>
    </row>
    <row r="118762" spans="10:10" x14ac:dyDescent="0.3">
      <c r="J118762"/>
    </row>
    <row r="118763" spans="10:10" x14ac:dyDescent="0.3">
      <c r="J118763"/>
    </row>
    <row r="118764" spans="10:10" x14ac:dyDescent="0.3">
      <c r="J118764"/>
    </row>
    <row r="118765" spans="10:10" x14ac:dyDescent="0.3">
      <c r="J118765"/>
    </row>
    <row r="118766" spans="10:10" x14ac:dyDescent="0.3">
      <c r="J118766"/>
    </row>
    <row r="118767" spans="10:10" x14ac:dyDescent="0.3">
      <c r="J118767"/>
    </row>
    <row r="118768" spans="10:10" x14ac:dyDescent="0.3">
      <c r="J118768"/>
    </row>
    <row r="118769" spans="10:10" x14ac:dyDescent="0.3">
      <c r="J118769"/>
    </row>
    <row r="118770" spans="10:10" x14ac:dyDescent="0.3">
      <c r="J118770"/>
    </row>
    <row r="118771" spans="10:10" x14ac:dyDescent="0.3">
      <c r="J118771"/>
    </row>
    <row r="118772" spans="10:10" x14ac:dyDescent="0.3">
      <c r="J118772"/>
    </row>
    <row r="118773" spans="10:10" x14ac:dyDescent="0.3">
      <c r="J118773"/>
    </row>
    <row r="118774" spans="10:10" x14ac:dyDescent="0.3">
      <c r="J118774"/>
    </row>
    <row r="118775" spans="10:10" x14ac:dyDescent="0.3">
      <c r="J118775"/>
    </row>
    <row r="118776" spans="10:10" x14ac:dyDescent="0.3">
      <c r="J118776"/>
    </row>
    <row r="118777" spans="10:10" x14ac:dyDescent="0.3">
      <c r="J118777"/>
    </row>
    <row r="118778" spans="10:10" x14ac:dyDescent="0.3">
      <c r="J118778"/>
    </row>
    <row r="118779" spans="10:10" x14ac:dyDescent="0.3">
      <c r="J118779"/>
    </row>
    <row r="118780" spans="10:10" x14ac:dyDescent="0.3">
      <c r="J118780"/>
    </row>
    <row r="118781" spans="10:10" x14ac:dyDescent="0.3">
      <c r="J118781"/>
    </row>
    <row r="118782" spans="10:10" x14ac:dyDescent="0.3">
      <c r="J118782"/>
    </row>
    <row r="118783" spans="10:10" x14ac:dyDescent="0.3">
      <c r="J118783"/>
    </row>
    <row r="118784" spans="10:10" x14ac:dyDescent="0.3">
      <c r="J118784"/>
    </row>
    <row r="118785" spans="10:10" x14ac:dyDescent="0.3">
      <c r="J118785"/>
    </row>
    <row r="118786" spans="10:10" x14ac:dyDescent="0.3">
      <c r="J118786"/>
    </row>
    <row r="118787" spans="10:10" x14ac:dyDescent="0.3">
      <c r="J118787"/>
    </row>
    <row r="118788" spans="10:10" x14ac:dyDescent="0.3">
      <c r="J118788"/>
    </row>
    <row r="118789" spans="10:10" x14ac:dyDescent="0.3">
      <c r="J118789"/>
    </row>
    <row r="118790" spans="10:10" x14ac:dyDescent="0.3">
      <c r="J118790"/>
    </row>
    <row r="118791" spans="10:10" x14ac:dyDescent="0.3">
      <c r="J118791"/>
    </row>
    <row r="118792" spans="10:10" x14ac:dyDescent="0.3">
      <c r="J118792"/>
    </row>
    <row r="118793" spans="10:10" x14ac:dyDescent="0.3">
      <c r="J118793"/>
    </row>
    <row r="118794" spans="10:10" x14ac:dyDescent="0.3">
      <c r="J118794"/>
    </row>
    <row r="118795" spans="10:10" x14ac:dyDescent="0.3">
      <c r="J118795"/>
    </row>
    <row r="118796" spans="10:10" x14ac:dyDescent="0.3">
      <c r="J118796"/>
    </row>
    <row r="118797" spans="10:10" x14ac:dyDescent="0.3">
      <c r="J118797"/>
    </row>
    <row r="118798" spans="10:10" x14ac:dyDescent="0.3">
      <c r="J118798"/>
    </row>
    <row r="118799" spans="10:10" x14ac:dyDescent="0.3">
      <c r="J118799"/>
    </row>
    <row r="118800" spans="10:10" x14ac:dyDescent="0.3">
      <c r="J118800"/>
    </row>
    <row r="118801" spans="10:10" x14ac:dyDescent="0.3">
      <c r="J118801"/>
    </row>
    <row r="118802" spans="10:10" x14ac:dyDescent="0.3">
      <c r="J118802"/>
    </row>
    <row r="118803" spans="10:10" x14ac:dyDescent="0.3">
      <c r="J118803"/>
    </row>
    <row r="118804" spans="10:10" x14ac:dyDescent="0.3">
      <c r="J118804"/>
    </row>
    <row r="118805" spans="10:10" x14ac:dyDescent="0.3">
      <c r="J118805"/>
    </row>
    <row r="118806" spans="10:10" x14ac:dyDescent="0.3">
      <c r="J118806"/>
    </row>
    <row r="118807" spans="10:10" x14ac:dyDescent="0.3">
      <c r="J118807"/>
    </row>
    <row r="118808" spans="10:10" x14ac:dyDescent="0.3">
      <c r="J118808"/>
    </row>
    <row r="118809" spans="10:10" x14ac:dyDescent="0.3">
      <c r="J118809"/>
    </row>
    <row r="118810" spans="10:10" x14ac:dyDescent="0.3">
      <c r="J118810"/>
    </row>
    <row r="118811" spans="10:10" x14ac:dyDescent="0.3">
      <c r="J118811"/>
    </row>
    <row r="118812" spans="10:10" x14ac:dyDescent="0.3">
      <c r="J118812"/>
    </row>
    <row r="118813" spans="10:10" x14ac:dyDescent="0.3">
      <c r="J118813"/>
    </row>
    <row r="118814" spans="10:10" x14ac:dyDescent="0.3">
      <c r="J118814"/>
    </row>
    <row r="118815" spans="10:10" x14ac:dyDescent="0.3">
      <c r="J118815"/>
    </row>
    <row r="118816" spans="10:10" x14ac:dyDescent="0.3">
      <c r="J118816"/>
    </row>
    <row r="118817" spans="10:10" x14ac:dyDescent="0.3">
      <c r="J118817"/>
    </row>
    <row r="118818" spans="10:10" x14ac:dyDescent="0.3">
      <c r="J118818"/>
    </row>
    <row r="118819" spans="10:10" x14ac:dyDescent="0.3">
      <c r="J118819"/>
    </row>
    <row r="118820" spans="10:10" x14ac:dyDescent="0.3">
      <c r="J118820"/>
    </row>
    <row r="118821" spans="10:10" x14ac:dyDescent="0.3">
      <c r="J118821"/>
    </row>
    <row r="118822" spans="10:10" x14ac:dyDescent="0.3">
      <c r="J118822"/>
    </row>
    <row r="118823" spans="10:10" x14ac:dyDescent="0.3">
      <c r="J118823"/>
    </row>
    <row r="118824" spans="10:10" x14ac:dyDescent="0.3">
      <c r="J118824"/>
    </row>
    <row r="118825" spans="10:10" x14ac:dyDescent="0.3">
      <c r="J118825"/>
    </row>
    <row r="118826" spans="10:10" x14ac:dyDescent="0.3">
      <c r="J118826"/>
    </row>
    <row r="118827" spans="10:10" x14ac:dyDescent="0.3">
      <c r="J118827"/>
    </row>
    <row r="118828" spans="10:10" x14ac:dyDescent="0.3">
      <c r="J118828"/>
    </row>
    <row r="118829" spans="10:10" x14ac:dyDescent="0.3">
      <c r="J118829"/>
    </row>
    <row r="118830" spans="10:10" x14ac:dyDescent="0.3">
      <c r="J118830"/>
    </row>
    <row r="118831" spans="10:10" x14ac:dyDescent="0.3">
      <c r="J118831"/>
    </row>
    <row r="118832" spans="10:10" x14ac:dyDescent="0.3">
      <c r="J118832"/>
    </row>
    <row r="118833" spans="10:10" x14ac:dyDescent="0.3">
      <c r="J118833"/>
    </row>
    <row r="118834" spans="10:10" x14ac:dyDescent="0.3">
      <c r="J118834"/>
    </row>
    <row r="118835" spans="10:10" x14ac:dyDescent="0.3">
      <c r="J118835"/>
    </row>
    <row r="118836" spans="10:10" x14ac:dyDescent="0.3">
      <c r="J118836"/>
    </row>
    <row r="118837" spans="10:10" x14ac:dyDescent="0.3">
      <c r="J118837"/>
    </row>
    <row r="118838" spans="10:10" x14ac:dyDescent="0.3">
      <c r="J118838"/>
    </row>
    <row r="118839" spans="10:10" x14ac:dyDescent="0.3">
      <c r="J118839"/>
    </row>
    <row r="118840" spans="10:10" x14ac:dyDescent="0.3">
      <c r="J118840"/>
    </row>
    <row r="118841" spans="10:10" x14ac:dyDescent="0.3">
      <c r="J118841"/>
    </row>
    <row r="118842" spans="10:10" x14ac:dyDescent="0.3">
      <c r="J118842"/>
    </row>
    <row r="118843" spans="10:10" x14ac:dyDescent="0.3">
      <c r="J118843"/>
    </row>
    <row r="118844" spans="10:10" x14ac:dyDescent="0.3">
      <c r="J118844"/>
    </row>
    <row r="118845" spans="10:10" x14ac:dyDescent="0.3">
      <c r="J118845"/>
    </row>
    <row r="118846" spans="10:10" x14ac:dyDescent="0.3">
      <c r="J118846"/>
    </row>
    <row r="118847" spans="10:10" x14ac:dyDescent="0.3">
      <c r="J118847"/>
    </row>
    <row r="118848" spans="10:10" x14ac:dyDescent="0.3">
      <c r="J118848"/>
    </row>
    <row r="118849" spans="10:10" x14ac:dyDescent="0.3">
      <c r="J118849"/>
    </row>
    <row r="118850" spans="10:10" x14ac:dyDescent="0.3">
      <c r="J118850"/>
    </row>
    <row r="118851" spans="10:10" x14ac:dyDescent="0.3">
      <c r="J118851"/>
    </row>
    <row r="118852" spans="10:10" x14ac:dyDescent="0.3">
      <c r="J118852"/>
    </row>
    <row r="118853" spans="10:10" x14ac:dyDescent="0.3">
      <c r="J118853"/>
    </row>
    <row r="118854" spans="10:10" x14ac:dyDescent="0.3">
      <c r="J118854"/>
    </row>
    <row r="118855" spans="10:10" x14ac:dyDescent="0.3">
      <c r="J118855"/>
    </row>
    <row r="118856" spans="10:10" x14ac:dyDescent="0.3">
      <c r="J118856"/>
    </row>
    <row r="118857" spans="10:10" x14ac:dyDescent="0.3">
      <c r="J118857"/>
    </row>
    <row r="118858" spans="10:10" x14ac:dyDescent="0.3">
      <c r="J118858"/>
    </row>
    <row r="118859" spans="10:10" x14ac:dyDescent="0.3">
      <c r="J118859"/>
    </row>
    <row r="118860" spans="10:10" x14ac:dyDescent="0.3">
      <c r="J118860"/>
    </row>
    <row r="118861" spans="10:10" x14ac:dyDescent="0.3">
      <c r="J118861"/>
    </row>
    <row r="118862" spans="10:10" x14ac:dyDescent="0.3">
      <c r="J118862"/>
    </row>
    <row r="118863" spans="10:10" x14ac:dyDescent="0.3">
      <c r="J118863"/>
    </row>
    <row r="118864" spans="10:10" x14ac:dyDescent="0.3">
      <c r="J118864"/>
    </row>
    <row r="118865" spans="10:10" x14ac:dyDescent="0.3">
      <c r="J118865"/>
    </row>
    <row r="118866" spans="10:10" x14ac:dyDescent="0.3">
      <c r="J118866"/>
    </row>
    <row r="118867" spans="10:10" x14ac:dyDescent="0.3">
      <c r="J118867"/>
    </row>
    <row r="118868" spans="10:10" x14ac:dyDescent="0.3">
      <c r="J118868"/>
    </row>
    <row r="118869" spans="10:10" x14ac:dyDescent="0.3">
      <c r="J118869"/>
    </row>
    <row r="118870" spans="10:10" x14ac:dyDescent="0.3">
      <c r="J118870"/>
    </row>
    <row r="118871" spans="10:10" x14ac:dyDescent="0.3">
      <c r="J118871"/>
    </row>
    <row r="118872" spans="10:10" x14ac:dyDescent="0.3">
      <c r="J118872"/>
    </row>
    <row r="118873" spans="10:10" x14ac:dyDescent="0.3">
      <c r="J118873"/>
    </row>
    <row r="118874" spans="10:10" x14ac:dyDescent="0.3">
      <c r="J118874"/>
    </row>
    <row r="118875" spans="10:10" x14ac:dyDescent="0.3">
      <c r="J118875"/>
    </row>
    <row r="118876" spans="10:10" x14ac:dyDescent="0.3">
      <c r="J118876"/>
    </row>
    <row r="118877" spans="10:10" x14ac:dyDescent="0.3">
      <c r="J118877"/>
    </row>
    <row r="118878" spans="10:10" x14ac:dyDescent="0.3">
      <c r="J118878"/>
    </row>
    <row r="118879" spans="10:10" x14ac:dyDescent="0.3">
      <c r="J118879"/>
    </row>
    <row r="118880" spans="10:10" x14ac:dyDescent="0.3">
      <c r="J118880"/>
    </row>
    <row r="118881" spans="10:10" x14ac:dyDescent="0.3">
      <c r="J118881"/>
    </row>
    <row r="118882" spans="10:10" x14ac:dyDescent="0.3">
      <c r="J118882"/>
    </row>
    <row r="118883" spans="10:10" x14ac:dyDescent="0.3">
      <c r="J118883"/>
    </row>
    <row r="118884" spans="10:10" x14ac:dyDescent="0.3">
      <c r="J118884"/>
    </row>
    <row r="118885" spans="10:10" x14ac:dyDescent="0.3">
      <c r="J118885"/>
    </row>
    <row r="118886" spans="10:10" x14ac:dyDescent="0.3">
      <c r="J118886"/>
    </row>
    <row r="118887" spans="10:10" x14ac:dyDescent="0.3">
      <c r="J118887"/>
    </row>
    <row r="118888" spans="10:10" x14ac:dyDescent="0.3">
      <c r="J118888"/>
    </row>
    <row r="118889" spans="10:10" x14ac:dyDescent="0.3">
      <c r="J118889"/>
    </row>
    <row r="118890" spans="10:10" x14ac:dyDescent="0.3">
      <c r="J118890"/>
    </row>
    <row r="118891" spans="10:10" x14ac:dyDescent="0.3">
      <c r="J118891"/>
    </row>
    <row r="118892" spans="10:10" x14ac:dyDescent="0.3">
      <c r="J118892"/>
    </row>
    <row r="118893" spans="10:10" x14ac:dyDescent="0.3">
      <c r="J118893"/>
    </row>
    <row r="118894" spans="10:10" x14ac:dyDescent="0.3">
      <c r="J118894"/>
    </row>
    <row r="118895" spans="10:10" x14ac:dyDescent="0.3">
      <c r="J118895"/>
    </row>
    <row r="118896" spans="10:10" x14ac:dyDescent="0.3">
      <c r="J118896"/>
    </row>
    <row r="118897" spans="10:10" x14ac:dyDescent="0.3">
      <c r="J118897"/>
    </row>
    <row r="118898" spans="10:10" x14ac:dyDescent="0.3">
      <c r="J118898"/>
    </row>
    <row r="118899" spans="10:10" x14ac:dyDescent="0.3">
      <c r="J118899"/>
    </row>
    <row r="118900" spans="10:10" x14ac:dyDescent="0.3">
      <c r="J118900"/>
    </row>
    <row r="118901" spans="10:10" x14ac:dyDescent="0.3">
      <c r="J118901"/>
    </row>
    <row r="118902" spans="10:10" x14ac:dyDescent="0.3">
      <c r="J118902"/>
    </row>
    <row r="118903" spans="10:10" x14ac:dyDescent="0.3">
      <c r="J118903"/>
    </row>
    <row r="118904" spans="10:10" x14ac:dyDescent="0.3">
      <c r="J118904"/>
    </row>
    <row r="118905" spans="10:10" x14ac:dyDescent="0.3">
      <c r="J118905"/>
    </row>
    <row r="118906" spans="10:10" x14ac:dyDescent="0.3">
      <c r="J118906"/>
    </row>
    <row r="118907" spans="10:10" x14ac:dyDescent="0.3">
      <c r="J118907"/>
    </row>
    <row r="118908" spans="10:10" x14ac:dyDescent="0.3">
      <c r="J118908"/>
    </row>
    <row r="118909" spans="10:10" x14ac:dyDescent="0.3">
      <c r="J118909"/>
    </row>
    <row r="118910" spans="10:10" x14ac:dyDescent="0.3">
      <c r="J118910"/>
    </row>
    <row r="118911" spans="10:10" x14ac:dyDescent="0.3">
      <c r="J118911"/>
    </row>
    <row r="118912" spans="10:10" x14ac:dyDescent="0.3">
      <c r="J118912"/>
    </row>
    <row r="118913" spans="10:10" x14ac:dyDescent="0.3">
      <c r="J118913"/>
    </row>
    <row r="118914" spans="10:10" x14ac:dyDescent="0.3">
      <c r="J118914"/>
    </row>
    <row r="118915" spans="10:10" x14ac:dyDescent="0.3">
      <c r="J118915"/>
    </row>
    <row r="118916" spans="10:10" x14ac:dyDescent="0.3">
      <c r="J118916"/>
    </row>
    <row r="118917" spans="10:10" x14ac:dyDescent="0.3">
      <c r="J118917"/>
    </row>
    <row r="118918" spans="10:10" x14ac:dyDescent="0.3">
      <c r="J118918"/>
    </row>
    <row r="118919" spans="10:10" x14ac:dyDescent="0.3">
      <c r="J118919"/>
    </row>
    <row r="118920" spans="10:10" x14ac:dyDescent="0.3">
      <c r="J118920"/>
    </row>
    <row r="118921" spans="10:10" x14ac:dyDescent="0.3">
      <c r="J118921"/>
    </row>
    <row r="118922" spans="10:10" x14ac:dyDescent="0.3">
      <c r="J118922"/>
    </row>
    <row r="118923" spans="10:10" x14ac:dyDescent="0.3">
      <c r="J118923"/>
    </row>
    <row r="118924" spans="10:10" x14ac:dyDescent="0.3">
      <c r="J118924"/>
    </row>
    <row r="118925" spans="10:10" x14ac:dyDescent="0.3">
      <c r="J118925"/>
    </row>
    <row r="118926" spans="10:10" x14ac:dyDescent="0.3">
      <c r="J118926"/>
    </row>
    <row r="118927" spans="10:10" x14ac:dyDescent="0.3">
      <c r="J118927"/>
    </row>
    <row r="118928" spans="10:10" x14ac:dyDescent="0.3">
      <c r="J118928"/>
    </row>
    <row r="118929" spans="10:10" x14ac:dyDescent="0.3">
      <c r="J118929"/>
    </row>
    <row r="118930" spans="10:10" x14ac:dyDescent="0.3">
      <c r="J118930"/>
    </row>
    <row r="118931" spans="10:10" x14ac:dyDescent="0.3">
      <c r="J118931"/>
    </row>
    <row r="118932" spans="10:10" x14ac:dyDescent="0.3">
      <c r="J118932"/>
    </row>
    <row r="118933" spans="10:10" x14ac:dyDescent="0.3">
      <c r="J118933"/>
    </row>
    <row r="118934" spans="10:10" x14ac:dyDescent="0.3">
      <c r="J118934"/>
    </row>
    <row r="118935" spans="10:10" x14ac:dyDescent="0.3">
      <c r="J118935"/>
    </row>
    <row r="118936" spans="10:10" x14ac:dyDescent="0.3">
      <c r="J118936"/>
    </row>
    <row r="118937" spans="10:10" x14ac:dyDescent="0.3">
      <c r="J118937"/>
    </row>
    <row r="118938" spans="10:10" x14ac:dyDescent="0.3">
      <c r="J118938"/>
    </row>
    <row r="118939" spans="10:10" x14ac:dyDescent="0.3">
      <c r="J118939"/>
    </row>
    <row r="118940" spans="10:10" x14ac:dyDescent="0.3">
      <c r="J118940"/>
    </row>
    <row r="118941" spans="10:10" x14ac:dyDescent="0.3">
      <c r="J118941"/>
    </row>
    <row r="118942" spans="10:10" x14ac:dyDescent="0.3">
      <c r="J118942"/>
    </row>
    <row r="118943" spans="10:10" x14ac:dyDescent="0.3">
      <c r="J118943"/>
    </row>
    <row r="118944" spans="10:10" x14ac:dyDescent="0.3">
      <c r="J118944"/>
    </row>
    <row r="118945" spans="10:10" x14ac:dyDescent="0.3">
      <c r="J118945"/>
    </row>
    <row r="118946" spans="10:10" x14ac:dyDescent="0.3">
      <c r="J118946"/>
    </row>
    <row r="118947" spans="10:10" x14ac:dyDescent="0.3">
      <c r="J118947"/>
    </row>
    <row r="118948" spans="10:10" x14ac:dyDescent="0.3">
      <c r="J118948"/>
    </row>
    <row r="118949" spans="10:10" x14ac:dyDescent="0.3">
      <c r="J118949"/>
    </row>
    <row r="118950" spans="10:10" x14ac:dyDescent="0.3">
      <c r="J118950"/>
    </row>
    <row r="118951" spans="10:10" x14ac:dyDescent="0.3">
      <c r="J118951"/>
    </row>
    <row r="118952" spans="10:10" x14ac:dyDescent="0.3">
      <c r="J118952"/>
    </row>
    <row r="118953" spans="10:10" x14ac:dyDescent="0.3">
      <c r="J118953"/>
    </row>
    <row r="118954" spans="10:10" x14ac:dyDescent="0.3">
      <c r="J118954"/>
    </row>
    <row r="118955" spans="10:10" x14ac:dyDescent="0.3">
      <c r="J118955"/>
    </row>
    <row r="118956" spans="10:10" x14ac:dyDescent="0.3">
      <c r="J118956"/>
    </row>
    <row r="118957" spans="10:10" x14ac:dyDescent="0.3">
      <c r="J118957"/>
    </row>
    <row r="118958" spans="10:10" x14ac:dyDescent="0.3">
      <c r="J118958"/>
    </row>
    <row r="118959" spans="10:10" x14ac:dyDescent="0.3">
      <c r="J118959"/>
    </row>
    <row r="118960" spans="10:10" x14ac:dyDescent="0.3">
      <c r="J118960"/>
    </row>
    <row r="118961" spans="10:10" x14ac:dyDescent="0.3">
      <c r="J118961"/>
    </row>
    <row r="118962" spans="10:10" x14ac:dyDescent="0.3">
      <c r="J118962"/>
    </row>
    <row r="118963" spans="10:10" x14ac:dyDescent="0.3">
      <c r="J118963"/>
    </row>
    <row r="118964" spans="10:10" x14ac:dyDescent="0.3">
      <c r="J118964"/>
    </row>
    <row r="118965" spans="10:10" x14ac:dyDescent="0.3">
      <c r="J118965"/>
    </row>
    <row r="118966" spans="10:10" x14ac:dyDescent="0.3">
      <c r="J118966"/>
    </row>
    <row r="118967" spans="10:10" x14ac:dyDescent="0.3">
      <c r="J118967"/>
    </row>
    <row r="118968" spans="10:10" x14ac:dyDescent="0.3">
      <c r="J118968"/>
    </row>
    <row r="118969" spans="10:10" x14ac:dyDescent="0.3">
      <c r="J118969"/>
    </row>
    <row r="118970" spans="10:10" x14ac:dyDescent="0.3">
      <c r="J118970"/>
    </row>
    <row r="118971" spans="10:10" x14ac:dyDescent="0.3">
      <c r="J118971"/>
    </row>
    <row r="118972" spans="10:10" x14ac:dyDescent="0.3">
      <c r="J118972"/>
    </row>
    <row r="118973" spans="10:10" x14ac:dyDescent="0.3">
      <c r="J118973"/>
    </row>
    <row r="118974" spans="10:10" x14ac:dyDescent="0.3">
      <c r="J118974"/>
    </row>
    <row r="118975" spans="10:10" x14ac:dyDescent="0.3">
      <c r="J118975"/>
    </row>
    <row r="118976" spans="10:10" x14ac:dyDescent="0.3">
      <c r="J118976"/>
    </row>
    <row r="118977" spans="10:10" x14ac:dyDescent="0.3">
      <c r="J118977"/>
    </row>
    <row r="118978" spans="10:10" x14ac:dyDescent="0.3">
      <c r="J118978"/>
    </row>
    <row r="118979" spans="10:10" x14ac:dyDescent="0.3">
      <c r="J118979"/>
    </row>
    <row r="118980" spans="10:10" x14ac:dyDescent="0.3">
      <c r="J118980"/>
    </row>
    <row r="118981" spans="10:10" x14ac:dyDescent="0.3">
      <c r="J118981"/>
    </row>
    <row r="118982" spans="10:10" x14ac:dyDescent="0.3">
      <c r="J118982"/>
    </row>
    <row r="118983" spans="10:10" x14ac:dyDescent="0.3">
      <c r="J118983"/>
    </row>
    <row r="118984" spans="10:10" x14ac:dyDescent="0.3">
      <c r="J118984"/>
    </row>
    <row r="118985" spans="10:10" x14ac:dyDescent="0.3">
      <c r="J118985"/>
    </row>
    <row r="118986" spans="10:10" x14ac:dyDescent="0.3">
      <c r="J118986"/>
    </row>
    <row r="118987" spans="10:10" x14ac:dyDescent="0.3">
      <c r="J118987"/>
    </row>
    <row r="118988" spans="10:10" x14ac:dyDescent="0.3">
      <c r="J118988"/>
    </row>
    <row r="118989" spans="10:10" x14ac:dyDescent="0.3">
      <c r="J118989"/>
    </row>
    <row r="118990" spans="10:10" x14ac:dyDescent="0.3">
      <c r="J118990"/>
    </row>
    <row r="118991" spans="10:10" x14ac:dyDescent="0.3">
      <c r="J118991"/>
    </row>
    <row r="118992" spans="10:10" x14ac:dyDescent="0.3">
      <c r="J118992"/>
    </row>
    <row r="118993" spans="10:10" x14ac:dyDescent="0.3">
      <c r="J118993"/>
    </row>
    <row r="118994" spans="10:10" x14ac:dyDescent="0.3">
      <c r="J118994"/>
    </row>
    <row r="118995" spans="10:10" x14ac:dyDescent="0.3">
      <c r="J118995"/>
    </row>
    <row r="118996" spans="10:10" x14ac:dyDescent="0.3">
      <c r="J118996"/>
    </row>
    <row r="118997" spans="10:10" x14ac:dyDescent="0.3">
      <c r="J118997"/>
    </row>
    <row r="118998" spans="10:10" x14ac:dyDescent="0.3">
      <c r="J118998"/>
    </row>
    <row r="118999" spans="10:10" x14ac:dyDescent="0.3">
      <c r="J118999"/>
    </row>
    <row r="119000" spans="10:10" x14ac:dyDescent="0.3">
      <c r="J119000"/>
    </row>
    <row r="119001" spans="10:10" x14ac:dyDescent="0.3">
      <c r="J119001"/>
    </row>
    <row r="119002" spans="10:10" x14ac:dyDescent="0.3">
      <c r="J119002"/>
    </row>
    <row r="119003" spans="10:10" x14ac:dyDescent="0.3">
      <c r="J119003"/>
    </row>
    <row r="119004" spans="10:10" x14ac:dyDescent="0.3">
      <c r="J119004"/>
    </row>
    <row r="119005" spans="10:10" x14ac:dyDescent="0.3">
      <c r="J119005"/>
    </row>
    <row r="119006" spans="10:10" x14ac:dyDescent="0.3">
      <c r="J119006"/>
    </row>
    <row r="119007" spans="10:10" x14ac:dyDescent="0.3">
      <c r="J119007"/>
    </row>
    <row r="119008" spans="10:10" x14ac:dyDescent="0.3">
      <c r="J119008"/>
    </row>
    <row r="119009" spans="10:10" x14ac:dyDescent="0.3">
      <c r="J119009"/>
    </row>
    <row r="119010" spans="10:10" x14ac:dyDescent="0.3">
      <c r="J119010"/>
    </row>
    <row r="119011" spans="10:10" x14ac:dyDescent="0.3">
      <c r="J119011"/>
    </row>
    <row r="119012" spans="10:10" x14ac:dyDescent="0.3">
      <c r="J119012"/>
    </row>
    <row r="119013" spans="10:10" x14ac:dyDescent="0.3">
      <c r="J119013"/>
    </row>
    <row r="119014" spans="10:10" x14ac:dyDescent="0.3">
      <c r="J119014"/>
    </row>
    <row r="119015" spans="10:10" x14ac:dyDescent="0.3">
      <c r="J119015"/>
    </row>
    <row r="119016" spans="10:10" x14ac:dyDescent="0.3">
      <c r="J119016"/>
    </row>
    <row r="119017" spans="10:10" x14ac:dyDescent="0.3">
      <c r="J119017"/>
    </row>
    <row r="119018" spans="10:10" x14ac:dyDescent="0.3">
      <c r="J119018"/>
    </row>
    <row r="119019" spans="10:10" x14ac:dyDescent="0.3">
      <c r="J119019"/>
    </row>
    <row r="119020" spans="10:10" x14ac:dyDescent="0.3">
      <c r="J119020"/>
    </row>
    <row r="119021" spans="10:10" x14ac:dyDescent="0.3">
      <c r="J119021"/>
    </row>
    <row r="119022" spans="10:10" x14ac:dyDescent="0.3">
      <c r="J119022"/>
    </row>
    <row r="119023" spans="10:10" x14ac:dyDescent="0.3">
      <c r="J119023"/>
    </row>
    <row r="119024" spans="10:10" x14ac:dyDescent="0.3">
      <c r="J119024"/>
    </row>
    <row r="119025" spans="10:10" x14ac:dyDescent="0.3">
      <c r="J119025"/>
    </row>
    <row r="119026" spans="10:10" x14ac:dyDescent="0.3">
      <c r="J119026"/>
    </row>
    <row r="119027" spans="10:10" x14ac:dyDescent="0.3">
      <c r="J119027"/>
    </row>
    <row r="119028" spans="10:10" x14ac:dyDescent="0.3">
      <c r="J119028"/>
    </row>
    <row r="119029" spans="10:10" x14ac:dyDescent="0.3">
      <c r="J119029"/>
    </row>
    <row r="119030" spans="10:10" x14ac:dyDescent="0.3">
      <c r="J119030"/>
    </row>
    <row r="119031" spans="10:10" x14ac:dyDescent="0.3">
      <c r="J119031"/>
    </row>
    <row r="119032" spans="10:10" x14ac:dyDescent="0.3">
      <c r="J119032"/>
    </row>
    <row r="119033" spans="10:10" x14ac:dyDescent="0.3">
      <c r="J119033"/>
    </row>
    <row r="119034" spans="10:10" x14ac:dyDescent="0.3">
      <c r="J119034"/>
    </row>
    <row r="119035" spans="10:10" x14ac:dyDescent="0.3">
      <c r="J119035"/>
    </row>
    <row r="119036" spans="10:10" x14ac:dyDescent="0.3">
      <c r="J119036"/>
    </row>
    <row r="119037" spans="10:10" x14ac:dyDescent="0.3">
      <c r="J119037"/>
    </row>
    <row r="119038" spans="10:10" x14ac:dyDescent="0.3">
      <c r="J119038"/>
    </row>
    <row r="119039" spans="10:10" x14ac:dyDescent="0.3">
      <c r="J119039"/>
    </row>
    <row r="119040" spans="10:10" x14ac:dyDescent="0.3">
      <c r="J119040"/>
    </row>
    <row r="119041" spans="10:10" x14ac:dyDescent="0.3">
      <c r="J119041"/>
    </row>
    <row r="119042" spans="10:10" x14ac:dyDescent="0.3">
      <c r="J119042"/>
    </row>
    <row r="119043" spans="10:10" x14ac:dyDescent="0.3">
      <c r="J119043"/>
    </row>
    <row r="119044" spans="10:10" x14ac:dyDescent="0.3">
      <c r="J119044"/>
    </row>
    <row r="119045" spans="10:10" x14ac:dyDescent="0.3">
      <c r="J119045"/>
    </row>
    <row r="119046" spans="10:10" x14ac:dyDescent="0.3">
      <c r="J119046"/>
    </row>
    <row r="119047" spans="10:10" x14ac:dyDescent="0.3">
      <c r="J119047"/>
    </row>
    <row r="119048" spans="10:10" x14ac:dyDescent="0.3">
      <c r="J119048"/>
    </row>
    <row r="119049" spans="10:10" x14ac:dyDescent="0.3">
      <c r="J119049"/>
    </row>
    <row r="119050" spans="10:10" x14ac:dyDescent="0.3">
      <c r="J119050"/>
    </row>
    <row r="119051" spans="10:10" x14ac:dyDescent="0.3">
      <c r="J119051"/>
    </row>
    <row r="119052" spans="10:10" x14ac:dyDescent="0.3">
      <c r="J119052"/>
    </row>
    <row r="119053" spans="10:10" x14ac:dyDescent="0.3">
      <c r="J119053"/>
    </row>
    <row r="119054" spans="10:10" x14ac:dyDescent="0.3">
      <c r="J119054"/>
    </row>
    <row r="119055" spans="10:10" x14ac:dyDescent="0.3">
      <c r="J119055"/>
    </row>
    <row r="119056" spans="10:10" x14ac:dyDescent="0.3">
      <c r="J119056"/>
    </row>
    <row r="119057" spans="10:10" x14ac:dyDescent="0.3">
      <c r="J119057"/>
    </row>
    <row r="119058" spans="10:10" x14ac:dyDescent="0.3">
      <c r="J119058"/>
    </row>
    <row r="119059" spans="10:10" x14ac:dyDescent="0.3">
      <c r="J119059"/>
    </row>
    <row r="119060" spans="10:10" x14ac:dyDescent="0.3">
      <c r="J119060"/>
    </row>
    <row r="119061" spans="10:10" x14ac:dyDescent="0.3">
      <c r="J119061"/>
    </row>
    <row r="119062" spans="10:10" x14ac:dyDescent="0.3">
      <c r="J119062"/>
    </row>
    <row r="119063" spans="10:10" x14ac:dyDescent="0.3">
      <c r="J119063"/>
    </row>
    <row r="119064" spans="10:10" x14ac:dyDescent="0.3">
      <c r="J119064"/>
    </row>
    <row r="119065" spans="10:10" x14ac:dyDescent="0.3">
      <c r="J119065"/>
    </row>
    <row r="119066" spans="10:10" x14ac:dyDescent="0.3">
      <c r="J119066"/>
    </row>
    <row r="119067" spans="10:10" x14ac:dyDescent="0.3">
      <c r="J119067"/>
    </row>
    <row r="119068" spans="10:10" x14ac:dyDescent="0.3">
      <c r="J119068"/>
    </row>
    <row r="119069" spans="10:10" x14ac:dyDescent="0.3">
      <c r="J119069"/>
    </row>
    <row r="119070" spans="10:10" x14ac:dyDescent="0.3">
      <c r="J119070"/>
    </row>
    <row r="119071" spans="10:10" x14ac:dyDescent="0.3">
      <c r="J119071"/>
    </row>
    <row r="119072" spans="10:10" x14ac:dyDescent="0.3">
      <c r="J119072"/>
    </row>
    <row r="119073" spans="10:10" x14ac:dyDescent="0.3">
      <c r="J119073"/>
    </row>
    <row r="119074" spans="10:10" x14ac:dyDescent="0.3">
      <c r="J119074"/>
    </row>
    <row r="119075" spans="10:10" x14ac:dyDescent="0.3">
      <c r="J119075"/>
    </row>
    <row r="119076" spans="10:10" x14ac:dyDescent="0.3">
      <c r="J119076"/>
    </row>
    <row r="119077" spans="10:10" x14ac:dyDescent="0.3">
      <c r="J119077"/>
    </row>
    <row r="119078" spans="10:10" x14ac:dyDescent="0.3">
      <c r="J119078"/>
    </row>
    <row r="119079" spans="10:10" x14ac:dyDescent="0.3">
      <c r="J119079"/>
    </row>
    <row r="119080" spans="10:10" x14ac:dyDescent="0.3">
      <c r="J119080"/>
    </row>
    <row r="119081" spans="10:10" x14ac:dyDescent="0.3">
      <c r="J119081"/>
    </row>
    <row r="119082" spans="10:10" x14ac:dyDescent="0.3">
      <c r="J119082"/>
    </row>
    <row r="119083" spans="10:10" x14ac:dyDescent="0.3">
      <c r="J119083"/>
    </row>
    <row r="119084" spans="10:10" x14ac:dyDescent="0.3">
      <c r="J119084"/>
    </row>
    <row r="119085" spans="10:10" x14ac:dyDescent="0.3">
      <c r="J119085"/>
    </row>
    <row r="119086" spans="10:10" x14ac:dyDescent="0.3">
      <c r="J119086"/>
    </row>
    <row r="119087" spans="10:10" x14ac:dyDescent="0.3">
      <c r="J119087"/>
    </row>
    <row r="119088" spans="10:10" x14ac:dyDescent="0.3">
      <c r="J119088"/>
    </row>
    <row r="119089" spans="10:10" x14ac:dyDescent="0.3">
      <c r="J119089"/>
    </row>
    <row r="119090" spans="10:10" x14ac:dyDescent="0.3">
      <c r="J119090"/>
    </row>
    <row r="119091" spans="10:10" x14ac:dyDescent="0.3">
      <c r="J119091"/>
    </row>
    <row r="119092" spans="10:10" x14ac:dyDescent="0.3">
      <c r="J119092"/>
    </row>
    <row r="119093" spans="10:10" x14ac:dyDescent="0.3">
      <c r="J119093"/>
    </row>
    <row r="119094" spans="10:10" x14ac:dyDescent="0.3">
      <c r="J119094"/>
    </row>
    <row r="119095" spans="10:10" x14ac:dyDescent="0.3">
      <c r="J119095"/>
    </row>
    <row r="119096" spans="10:10" x14ac:dyDescent="0.3">
      <c r="J119096"/>
    </row>
    <row r="119097" spans="10:10" x14ac:dyDescent="0.3">
      <c r="J119097"/>
    </row>
    <row r="119098" spans="10:10" x14ac:dyDescent="0.3">
      <c r="J119098"/>
    </row>
    <row r="119099" spans="10:10" x14ac:dyDescent="0.3">
      <c r="J119099"/>
    </row>
    <row r="119100" spans="10:10" x14ac:dyDescent="0.3">
      <c r="J119100"/>
    </row>
    <row r="119101" spans="10:10" x14ac:dyDescent="0.3">
      <c r="J119101"/>
    </row>
    <row r="119102" spans="10:10" x14ac:dyDescent="0.3">
      <c r="J119102"/>
    </row>
    <row r="119103" spans="10:10" x14ac:dyDescent="0.3">
      <c r="J119103"/>
    </row>
    <row r="119104" spans="10:10" x14ac:dyDescent="0.3">
      <c r="J119104"/>
    </row>
    <row r="119105" spans="10:10" x14ac:dyDescent="0.3">
      <c r="J119105"/>
    </row>
    <row r="119106" spans="10:10" x14ac:dyDescent="0.3">
      <c r="J119106"/>
    </row>
    <row r="119107" spans="10:10" x14ac:dyDescent="0.3">
      <c r="J119107"/>
    </row>
    <row r="119108" spans="10:10" x14ac:dyDescent="0.3">
      <c r="J119108"/>
    </row>
    <row r="119109" spans="10:10" x14ac:dyDescent="0.3">
      <c r="J119109"/>
    </row>
    <row r="119110" spans="10:10" x14ac:dyDescent="0.3">
      <c r="J119110"/>
    </row>
    <row r="119111" spans="10:10" x14ac:dyDescent="0.3">
      <c r="J119111"/>
    </row>
    <row r="119112" spans="10:10" x14ac:dyDescent="0.3">
      <c r="J119112"/>
    </row>
    <row r="119113" spans="10:10" x14ac:dyDescent="0.3">
      <c r="J119113"/>
    </row>
    <row r="119114" spans="10:10" x14ac:dyDescent="0.3">
      <c r="J119114"/>
    </row>
    <row r="119115" spans="10:10" x14ac:dyDescent="0.3">
      <c r="J119115"/>
    </row>
    <row r="119116" spans="10:10" x14ac:dyDescent="0.3">
      <c r="J119116"/>
    </row>
    <row r="119117" spans="10:10" x14ac:dyDescent="0.3">
      <c r="J119117"/>
    </row>
    <row r="119118" spans="10:10" x14ac:dyDescent="0.3">
      <c r="J119118"/>
    </row>
    <row r="119119" spans="10:10" x14ac:dyDescent="0.3">
      <c r="J119119"/>
    </row>
    <row r="119120" spans="10:10" x14ac:dyDescent="0.3">
      <c r="J119120"/>
    </row>
    <row r="119121" spans="10:10" x14ac:dyDescent="0.3">
      <c r="J119121"/>
    </row>
    <row r="119122" spans="10:10" x14ac:dyDescent="0.3">
      <c r="J119122"/>
    </row>
    <row r="119123" spans="10:10" x14ac:dyDescent="0.3">
      <c r="J119123"/>
    </row>
    <row r="119124" spans="10:10" x14ac:dyDescent="0.3">
      <c r="J119124"/>
    </row>
    <row r="119125" spans="10:10" x14ac:dyDescent="0.3">
      <c r="J119125"/>
    </row>
    <row r="119126" spans="10:10" x14ac:dyDescent="0.3">
      <c r="J119126"/>
    </row>
    <row r="119127" spans="10:10" x14ac:dyDescent="0.3">
      <c r="J119127"/>
    </row>
    <row r="119128" spans="10:10" x14ac:dyDescent="0.3">
      <c r="J119128"/>
    </row>
    <row r="119129" spans="10:10" x14ac:dyDescent="0.3">
      <c r="J119129"/>
    </row>
    <row r="119130" spans="10:10" x14ac:dyDescent="0.3">
      <c r="J119130"/>
    </row>
    <row r="119131" spans="10:10" x14ac:dyDescent="0.3">
      <c r="J119131"/>
    </row>
    <row r="119132" spans="10:10" x14ac:dyDescent="0.3">
      <c r="J119132"/>
    </row>
    <row r="119133" spans="10:10" x14ac:dyDescent="0.3">
      <c r="J119133"/>
    </row>
    <row r="119134" spans="10:10" x14ac:dyDescent="0.3">
      <c r="J119134"/>
    </row>
    <row r="119135" spans="10:10" x14ac:dyDescent="0.3">
      <c r="J119135"/>
    </row>
    <row r="119136" spans="10:10" x14ac:dyDescent="0.3">
      <c r="J119136"/>
    </row>
    <row r="119137" spans="10:10" x14ac:dyDescent="0.3">
      <c r="J119137"/>
    </row>
    <row r="119138" spans="10:10" x14ac:dyDescent="0.3">
      <c r="J119138"/>
    </row>
    <row r="119139" spans="10:10" x14ac:dyDescent="0.3">
      <c r="J119139"/>
    </row>
    <row r="119140" spans="10:10" x14ac:dyDescent="0.3">
      <c r="J119140"/>
    </row>
    <row r="119141" spans="10:10" x14ac:dyDescent="0.3">
      <c r="J119141"/>
    </row>
    <row r="119142" spans="10:10" x14ac:dyDescent="0.3">
      <c r="J119142"/>
    </row>
    <row r="119143" spans="10:10" x14ac:dyDescent="0.3">
      <c r="J119143"/>
    </row>
    <row r="119144" spans="10:10" x14ac:dyDescent="0.3">
      <c r="J119144"/>
    </row>
    <row r="119145" spans="10:10" x14ac:dyDescent="0.3">
      <c r="J119145"/>
    </row>
    <row r="119146" spans="10:10" x14ac:dyDescent="0.3">
      <c r="J119146"/>
    </row>
    <row r="119147" spans="10:10" x14ac:dyDescent="0.3">
      <c r="J119147"/>
    </row>
    <row r="119148" spans="10:10" x14ac:dyDescent="0.3">
      <c r="J119148"/>
    </row>
    <row r="119149" spans="10:10" x14ac:dyDescent="0.3">
      <c r="J119149"/>
    </row>
    <row r="119150" spans="10:10" x14ac:dyDescent="0.3">
      <c r="J119150"/>
    </row>
    <row r="119151" spans="10:10" x14ac:dyDescent="0.3">
      <c r="J119151"/>
    </row>
    <row r="119152" spans="10:10" x14ac:dyDescent="0.3">
      <c r="J119152"/>
    </row>
    <row r="119153" spans="10:10" x14ac:dyDescent="0.3">
      <c r="J119153"/>
    </row>
    <row r="119154" spans="10:10" x14ac:dyDescent="0.3">
      <c r="J119154"/>
    </row>
    <row r="119155" spans="10:10" x14ac:dyDescent="0.3">
      <c r="J119155"/>
    </row>
    <row r="119156" spans="10:10" x14ac:dyDescent="0.3">
      <c r="J119156"/>
    </row>
    <row r="119157" spans="10:10" x14ac:dyDescent="0.3">
      <c r="J119157"/>
    </row>
    <row r="119158" spans="10:10" x14ac:dyDescent="0.3">
      <c r="J119158"/>
    </row>
    <row r="119159" spans="10:10" x14ac:dyDescent="0.3">
      <c r="J119159"/>
    </row>
    <row r="119160" spans="10:10" x14ac:dyDescent="0.3">
      <c r="J119160"/>
    </row>
    <row r="119161" spans="10:10" x14ac:dyDescent="0.3">
      <c r="J119161"/>
    </row>
    <row r="119162" spans="10:10" x14ac:dyDescent="0.3">
      <c r="J119162"/>
    </row>
    <row r="119163" spans="10:10" x14ac:dyDescent="0.3">
      <c r="J119163"/>
    </row>
    <row r="119164" spans="10:10" x14ac:dyDescent="0.3">
      <c r="J119164"/>
    </row>
    <row r="119165" spans="10:10" x14ac:dyDescent="0.3">
      <c r="J119165"/>
    </row>
    <row r="119166" spans="10:10" x14ac:dyDescent="0.3">
      <c r="J119166"/>
    </row>
    <row r="119167" spans="10:10" x14ac:dyDescent="0.3">
      <c r="J119167"/>
    </row>
    <row r="119168" spans="10:10" x14ac:dyDescent="0.3">
      <c r="J119168"/>
    </row>
    <row r="119169" spans="10:10" x14ac:dyDescent="0.3">
      <c r="J119169"/>
    </row>
    <row r="119170" spans="10:10" x14ac:dyDescent="0.3">
      <c r="J119170"/>
    </row>
    <row r="119171" spans="10:10" x14ac:dyDescent="0.3">
      <c r="J119171"/>
    </row>
    <row r="119172" spans="10:10" x14ac:dyDescent="0.3">
      <c r="J119172"/>
    </row>
    <row r="119173" spans="10:10" x14ac:dyDescent="0.3">
      <c r="J119173"/>
    </row>
    <row r="119174" spans="10:10" x14ac:dyDescent="0.3">
      <c r="J119174"/>
    </row>
    <row r="119175" spans="10:10" x14ac:dyDescent="0.3">
      <c r="J119175"/>
    </row>
    <row r="119176" spans="10:10" x14ac:dyDescent="0.3">
      <c r="J119176"/>
    </row>
    <row r="119177" spans="10:10" x14ac:dyDescent="0.3">
      <c r="J119177"/>
    </row>
    <row r="119178" spans="10:10" x14ac:dyDescent="0.3">
      <c r="J119178"/>
    </row>
    <row r="119179" spans="10:10" x14ac:dyDescent="0.3">
      <c r="J119179"/>
    </row>
    <row r="119180" spans="10:10" x14ac:dyDescent="0.3">
      <c r="J119180"/>
    </row>
    <row r="119181" spans="10:10" x14ac:dyDescent="0.3">
      <c r="J119181"/>
    </row>
    <row r="119182" spans="10:10" x14ac:dyDescent="0.3">
      <c r="J119182"/>
    </row>
    <row r="119183" spans="10:10" x14ac:dyDescent="0.3">
      <c r="J119183"/>
    </row>
    <row r="119184" spans="10:10" x14ac:dyDescent="0.3">
      <c r="J119184"/>
    </row>
    <row r="119185" spans="10:10" x14ac:dyDescent="0.3">
      <c r="J119185"/>
    </row>
    <row r="119186" spans="10:10" x14ac:dyDescent="0.3">
      <c r="J119186"/>
    </row>
    <row r="119187" spans="10:10" x14ac:dyDescent="0.3">
      <c r="J119187"/>
    </row>
    <row r="119188" spans="10:10" x14ac:dyDescent="0.3">
      <c r="J119188"/>
    </row>
    <row r="119189" spans="10:10" x14ac:dyDescent="0.3">
      <c r="J119189"/>
    </row>
    <row r="119190" spans="10:10" x14ac:dyDescent="0.3">
      <c r="J119190"/>
    </row>
    <row r="119191" spans="10:10" x14ac:dyDescent="0.3">
      <c r="J119191"/>
    </row>
    <row r="119192" spans="10:10" x14ac:dyDescent="0.3">
      <c r="J119192"/>
    </row>
    <row r="119193" spans="10:10" x14ac:dyDescent="0.3">
      <c r="J119193"/>
    </row>
    <row r="119194" spans="10:10" x14ac:dyDescent="0.3">
      <c r="J119194"/>
    </row>
    <row r="119195" spans="10:10" x14ac:dyDescent="0.3">
      <c r="J119195"/>
    </row>
    <row r="119196" spans="10:10" x14ac:dyDescent="0.3">
      <c r="J119196"/>
    </row>
    <row r="119197" spans="10:10" x14ac:dyDescent="0.3">
      <c r="J119197"/>
    </row>
    <row r="119198" spans="10:10" x14ac:dyDescent="0.3">
      <c r="J119198"/>
    </row>
    <row r="119199" spans="10:10" x14ac:dyDescent="0.3">
      <c r="J119199"/>
    </row>
    <row r="119200" spans="10:10" x14ac:dyDescent="0.3">
      <c r="J119200"/>
    </row>
    <row r="119201" spans="10:10" x14ac:dyDescent="0.3">
      <c r="J119201"/>
    </row>
    <row r="119202" spans="10:10" x14ac:dyDescent="0.3">
      <c r="J119202"/>
    </row>
    <row r="119203" spans="10:10" x14ac:dyDescent="0.3">
      <c r="J119203"/>
    </row>
    <row r="119204" spans="10:10" x14ac:dyDescent="0.3">
      <c r="J119204"/>
    </row>
    <row r="119205" spans="10:10" x14ac:dyDescent="0.3">
      <c r="J119205"/>
    </row>
    <row r="119206" spans="10:10" x14ac:dyDescent="0.3">
      <c r="J119206"/>
    </row>
    <row r="119207" spans="10:10" x14ac:dyDescent="0.3">
      <c r="J119207"/>
    </row>
    <row r="119208" spans="10:10" x14ac:dyDescent="0.3">
      <c r="J119208"/>
    </row>
    <row r="119209" spans="10:10" x14ac:dyDescent="0.3">
      <c r="J119209"/>
    </row>
    <row r="119210" spans="10:10" x14ac:dyDescent="0.3">
      <c r="J119210"/>
    </row>
    <row r="119211" spans="10:10" x14ac:dyDescent="0.3">
      <c r="J119211"/>
    </row>
    <row r="119212" spans="10:10" x14ac:dyDescent="0.3">
      <c r="J119212"/>
    </row>
    <row r="119213" spans="10:10" x14ac:dyDescent="0.3">
      <c r="J119213"/>
    </row>
    <row r="119214" spans="10:10" x14ac:dyDescent="0.3">
      <c r="J119214"/>
    </row>
    <row r="119215" spans="10:10" x14ac:dyDescent="0.3">
      <c r="J119215"/>
    </row>
    <row r="119216" spans="10:10" x14ac:dyDescent="0.3">
      <c r="J119216"/>
    </row>
    <row r="119217" spans="10:10" x14ac:dyDescent="0.3">
      <c r="J119217"/>
    </row>
    <row r="119218" spans="10:10" x14ac:dyDescent="0.3">
      <c r="J119218"/>
    </row>
    <row r="119219" spans="10:10" x14ac:dyDescent="0.3">
      <c r="J119219"/>
    </row>
    <row r="119220" spans="10:10" x14ac:dyDescent="0.3">
      <c r="J119220"/>
    </row>
    <row r="119221" spans="10:10" x14ac:dyDescent="0.3">
      <c r="J119221"/>
    </row>
    <row r="119222" spans="10:10" x14ac:dyDescent="0.3">
      <c r="J119222"/>
    </row>
    <row r="119223" spans="10:10" x14ac:dyDescent="0.3">
      <c r="J119223"/>
    </row>
    <row r="119224" spans="10:10" x14ac:dyDescent="0.3">
      <c r="J119224"/>
    </row>
    <row r="119225" spans="10:10" x14ac:dyDescent="0.3">
      <c r="J119225"/>
    </row>
    <row r="119226" spans="10:10" x14ac:dyDescent="0.3">
      <c r="J119226"/>
    </row>
    <row r="119227" spans="10:10" x14ac:dyDescent="0.3">
      <c r="J119227"/>
    </row>
    <row r="119228" spans="10:10" x14ac:dyDescent="0.3">
      <c r="J119228"/>
    </row>
    <row r="119229" spans="10:10" x14ac:dyDescent="0.3">
      <c r="J119229"/>
    </row>
    <row r="119230" spans="10:10" x14ac:dyDescent="0.3">
      <c r="J119230"/>
    </row>
    <row r="119231" spans="10:10" x14ac:dyDescent="0.3">
      <c r="J119231"/>
    </row>
    <row r="119232" spans="10:10" x14ac:dyDescent="0.3">
      <c r="J119232"/>
    </row>
    <row r="119233" spans="10:10" x14ac:dyDescent="0.3">
      <c r="J119233"/>
    </row>
    <row r="119234" spans="10:10" x14ac:dyDescent="0.3">
      <c r="J119234"/>
    </row>
    <row r="119235" spans="10:10" x14ac:dyDescent="0.3">
      <c r="J119235"/>
    </row>
    <row r="119236" spans="10:10" x14ac:dyDescent="0.3">
      <c r="J119236"/>
    </row>
    <row r="119237" spans="10:10" x14ac:dyDescent="0.3">
      <c r="J119237"/>
    </row>
    <row r="119238" spans="10:10" x14ac:dyDescent="0.3">
      <c r="J119238"/>
    </row>
    <row r="119239" spans="10:10" x14ac:dyDescent="0.3">
      <c r="J119239"/>
    </row>
    <row r="119240" spans="10:10" x14ac:dyDescent="0.3">
      <c r="J119240"/>
    </row>
    <row r="119241" spans="10:10" x14ac:dyDescent="0.3">
      <c r="J119241"/>
    </row>
    <row r="119242" spans="10:10" x14ac:dyDescent="0.3">
      <c r="J119242"/>
    </row>
    <row r="119243" spans="10:10" x14ac:dyDescent="0.3">
      <c r="J119243"/>
    </row>
    <row r="119244" spans="10:10" x14ac:dyDescent="0.3">
      <c r="J119244"/>
    </row>
    <row r="119245" spans="10:10" x14ac:dyDescent="0.3">
      <c r="J119245"/>
    </row>
    <row r="119246" spans="10:10" x14ac:dyDescent="0.3">
      <c r="J119246"/>
    </row>
    <row r="119247" spans="10:10" x14ac:dyDescent="0.3">
      <c r="J119247"/>
    </row>
    <row r="119248" spans="10:10" x14ac:dyDescent="0.3">
      <c r="J119248"/>
    </row>
    <row r="119249" spans="10:10" x14ac:dyDescent="0.3">
      <c r="J119249"/>
    </row>
    <row r="119250" spans="10:10" x14ac:dyDescent="0.3">
      <c r="J119250"/>
    </row>
    <row r="119251" spans="10:10" x14ac:dyDescent="0.3">
      <c r="J119251"/>
    </row>
    <row r="119252" spans="10:10" x14ac:dyDescent="0.3">
      <c r="J119252"/>
    </row>
    <row r="119253" spans="10:10" x14ac:dyDescent="0.3">
      <c r="J119253"/>
    </row>
    <row r="119254" spans="10:10" x14ac:dyDescent="0.3">
      <c r="J119254"/>
    </row>
    <row r="119255" spans="10:10" x14ac:dyDescent="0.3">
      <c r="J119255"/>
    </row>
    <row r="119256" spans="10:10" x14ac:dyDescent="0.3">
      <c r="J119256"/>
    </row>
    <row r="119257" spans="10:10" x14ac:dyDescent="0.3">
      <c r="J119257"/>
    </row>
    <row r="119258" spans="10:10" x14ac:dyDescent="0.3">
      <c r="J119258"/>
    </row>
    <row r="119259" spans="10:10" x14ac:dyDescent="0.3">
      <c r="J119259"/>
    </row>
    <row r="119260" spans="10:10" x14ac:dyDescent="0.3">
      <c r="J119260"/>
    </row>
    <row r="119261" spans="10:10" x14ac:dyDescent="0.3">
      <c r="J119261"/>
    </row>
    <row r="119262" spans="10:10" x14ac:dyDescent="0.3">
      <c r="J119262"/>
    </row>
    <row r="119263" spans="10:10" x14ac:dyDescent="0.3">
      <c r="J119263"/>
    </row>
    <row r="119264" spans="10:10" x14ac:dyDescent="0.3">
      <c r="J119264"/>
    </row>
    <row r="119265" spans="10:10" x14ac:dyDescent="0.3">
      <c r="J119265"/>
    </row>
    <row r="119266" spans="10:10" x14ac:dyDescent="0.3">
      <c r="J119266"/>
    </row>
    <row r="119267" spans="10:10" x14ac:dyDescent="0.3">
      <c r="J119267"/>
    </row>
    <row r="119268" spans="10:10" x14ac:dyDescent="0.3">
      <c r="J119268"/>
    </row>
    <row r="119269" spans="10:10" x14ac:dyDescent="0.3">
      <c r="J119269"/>
    </row>
    <row r="119270" spans="10:10" x14ac:dyDescent="0.3">
      <c r="J119270"/>
    </row>
    <row r="119271" spans="10:10" x14ac:dyDescent="0.3">
      <c r="J119271"/>
    </row>
    <row r="119272" spans="10:10" x14ac:dyDescent="0.3">
      <c r="J119272"/>
    </row>
    <row r="119273" spans="10:10" x14ac:dyDescent="0.3">
      <c r="J119273"/>
    </row>
    <row r="119274" spans="10:10" x14ac:dyDescent="0.3">
      <c r="J119274"/>
    </row>
    <row r="119275" spans="10:10" x14ac:dyDescent="0.3">
      <c r="J119275"/>
    </row>
    <row r="119276" spans="10:10" x14ac:dyDescent="0.3">
      <c r="J119276"/>
    </row>
    <row r="119277" spans="10:10" x14ac:dyDescent="0.3">
      <c r="J119277"/>
    </row>
    <row r="119278" spans="10:10" x14ac:dyDescent="0.3">
      <c r="J119278"/>
    </row>
    <row r="119279" spans="10:10" x14ac:dyDescent="0.3">
      <c r="J119279"/>
    </row>
    <row r="119280" spans="10:10" x14ac:dyDescent="0.3">
      <c r="J119280"/>
    </row>
    <row r="119281" spans="10:10" x14ac:dyDescent="0.3">
      <c r="J119281"/>
    </row>
    <row r="119282" spans="10:10" x14ac:dyDescent="0.3">
      <c r="J119282"/>
    </row>
    <row r="119283" spans="10:10" x14ac:dyDescent="0.3">
      <c r="J119283"/>
    </row>
    <row r="119284" spans="10:10" x14ac:dyDescent="0.3">
      <c r="J119284"/>
    </row>
    <row r="119285" spans="10:10" x14ac:dyDescent="0.3">
      <c r="J119285"/>
    </row>
    <row r="119286" spans="10:10" x14ac:dyDescent="0.3">
      <c r="J119286"/>
    </row>
    <row r="119287" spans="10:10" x14ac:dyDescent="0.3">
      <c r="J119287"/>
    </row>
    <row r="119288" spans="10:10" x14ac:dyDescent="0.3">
      <c r="J119288"/>
    </row>
    <row r="119289" spans="10:10" x14ac:dyDescent="0.3">
      <c r="J119289"/>
    </row>
    <row r="119290" spans="10:10" x14ac:dyDescent="0.3">
      <c r="J119290"/>
    </row>
    <row r="119291" spans="10:10" x14ac:dyDescent="0.3">
      <c r="J119291"/>
    </row>
    <row r="119292" spans="10:10" x14ac:dyDescent="0.3">
      <c r="J119292"/>
    </row>
    <row r="119293" spans="10:10" x14ac:dyDescent="0.3">
      <c r="J119293"/>
    </row>
    <row r="119294" spans="10:10" x14ac:dyDescent="0.3">
      <c r="J119294"/>
    </row>
    <row r="119295" spans="10:10" x14ac:dyDescent="0.3">
      <c r="J119295"/>
    </row>
    <row r="119296" spans="10:10" x14ac:dyDescent="0.3">
      <c r="J119296"/>
    </row>
    <row r="119297" spans="10:10" x14ac:dyDescent="0.3">
      <c r="J119297"/>
    </row>
    <row r="119298" spans="10:10" x14ac:dyDescent="0.3">
      <c r="J119298"/>
    </row>
    <row r="119299" spans="10:10" x14ac:dyDescent="0.3">
      <c r="J119299"/>
    </row>
    <row r="119300" spans="10:10" x14ac:dyDescent="0.3">
      <c r="J119300"/>
    </row>
    <row r="119301" spans="10:10" x14ac:dyDescent="0.3">
      <c r="J119301"/>
    </row>
    <row r="119302" spans="10:10" x14ac:dyDescent="0.3">
      <c r="J119302"/>
    </row>
    <row r="119303" spans="10:10" x14ac:dyDescent="0.3">
      <c r="J119303"/>
    </row>
    <row r="119304" spans="10:10" x14ac:dyDescent="0.3">
      <c r="J119304"/>
    </row>
    <row r="119305" spans="10:10" x14ac:dyDescent="0.3">
      <c r="J119305"/>
    </row>
    <row r="119306" spans="10:10" x14ac:dyDescent="0.3">
      <c r="J119306"/>
    </row>
    <row r="119307" spans="10:10" x14ac:dyDescent="0.3">
      <c r="J119307"/>
    </row>
    <row r="119308" spans="10:10" x14ac:dyDescent="0.3">
      <c r="J119308"/>
    </row>
    <row r="119309" spans="10:10" x14ac:dyDescent="0.3">
      <c r="J119309"/>
    </row>
    <row r="119310" spans="10:10" x14ac:dyDescent="0.3">
      <c r="J119310"/>
    </row>
    <row r="119311" spans="10:10" x14ac:dyDescent="0.3">
      <c r="J119311"/>
    </row>
    <row r="119312" spans="10:10" x14ac:dyDescent="0.3">
      <c r="J119312"/>
    </row>
    <row r="119313" spans="10:10" x14ac:dyDescent="0.3">
      <c r="J119313"/>
    </row>
    <row r="119314" spans="10:10" x14ac:dyDescent="0.3">
      <c r="J119314"/>
    </row>
    <row r="119315" spans="10:10" x14ac:dyDescent="0.3">
      <c r="J119315"/>
    </row>
    <row r="119316" spans="10:10" x14ac:dyDescent="0.3">
      <c r="J119316"/>
    </row>
    <row r="119317" spans="10:10" x14ac:dyDescent="0.3">
      <c r="J119317"/>
    </row>
    <row r="119318" spans="10:10" x14ac:dyDescent="0.3">
      <c r="J119318"/>
    </row>
    <row r="119319" spans="10:10" x14ac:dyDescent="0.3">
      <c r="J119319"/>
    </row>
    <row r="119320" spans="10:10" x14ac:dyDescent="0.3">
      <c r="J119320"/>
    </row>
    <row r="119321" spans="10:10" x14ac:dyDescent="0.3">
      <c r="J119321"/>
    </row>
    <row r="119322" spans="10:10" x14ac:dyDescent="0.3">
      <c r="J119322"/>
    </row>
    <row r="119323" spans="10:10" x14ac:dyDescent="0.3">
      <c r="J119323"/>
    </row>
    <row r="119324" spans="10:10" x14ac:dyDescent="0.3">
      <c r="J119324"/>
    </row>
    <row r="119325" spans="10:10" x14ac:dyDescent="0.3">
      <c r="J119325"/>
    </row>
    <row r="119326" spans="10:10" x14ac:dyDescent="0.3">
      <c r="J119326"/>
    </row>
    <row r="119327" spans="10:10" x14ac:dyDescent="0.3">
      <c r="J119327"/>
    </row>
    <row r="119328" spans="10:10" x14ac:dyDescent="0.3">
      <c r="J119328"/>
    </row>
    <row r="119329" spans="10:10" x14ac:dyDescent="0.3">
      <c r="J119329"/>
    </row>
    <row r="119330" spans="10:10" x14ac:dyDescent="0.3">
      <c r="J119330"/>
    </row>
    <row r="119331" spans="10:10" x14ac:dyDescent="0.3">
      <c r="J119331"/>
    </row>
    <row r="119332" spans="10:10" x14ac:dyDescent="0.3">
      <c r="J119332"/>
    </row>
    <row r="119333" spans="10:10" x14ac:dyDescent="0.3">
      <c r="J119333"/>
    </row>
    <row r="119334" spans="10:10" x14ac:dyDescent="0.3">
      <c r="J119334"/>
    </row>
    <row r="119335" spans="10:10" x14ac:dyDescent="0.3">
      <c r="J119335"/>
    </row>
    <row r="119336" spans="10:10" x14ac:dyDescent="0.3">
      <c r="J119336"/>
    </row>
    <row r="119337" spans="10:10" x14ac:dyDescent="0.3">
      <c r="J119337"/>
    </row>
    <row r="119338" spans="10:10" x14ac:dyDescent="0.3">
      <c r="J119338"/>
    </row>
    <row r="119339" spans="10:10" x14ac:dyDescent="0.3">
      <c r="J119339"/>
    </row>
    <row r="119340" spans="10:10" x14ac:dyDescent="0.3">
      <c r="J119340"/>
    </row>
    <row r="119341" spans="10:10" x14ac:dyDescent="0.3">
      <c r="J119341"/>
    </row>
    <row r="119342" spans="10:10" x14ac:dyDescent="0.3">
      <c r="J119342"/>
    </row>
    <row r="119343" spans="10:10" x14ac:dyDescent="0.3">
      <c r="J119343"/>
    </row>
    <row r="119344" spans="10:10" x14ac:dyDescent="0.3">
      <c r="J119344"/>
    </row>
    <row r="119345" spans="10:10" x14ac:dyDescent="0.3">
      <c r="J119345"/>
    </row>
    <row r="119346" spans="10:10" x14ac:dyDescent="0.3">
      <c r="J119346"/>
    </row>
    <row r="119347" spans="10:10" x14ac:dyDescent="0.3">
      <c r="J119347"/>
    </row>
    <row r="119348" spans="10:10" x14ac:dyDescent="0.3">
      <c r="J119348"/>
    </row>
    <row r="119349" spans="10:10" x14ac:dyDescent="0.3">
      <c r="J119349"/>
    </row>
    <row r="119350" spans="10:10" x14ac:dyDescent="0.3">
      <c r="J119350"/>
    </row>
    <row r="119351" spans="10:10" x14ac:dyDescent="0.3">
      <c r="J119351"/>
    </row>
    <row r="119352" spans="10:10" x14ac:dyDescent="0.3">
      <c r="J119352"/>
    </row>
    <row r="119353" spans="10:10" x14ac:dyDescent="0.3">
      <c r="J119353"/>
    </row>
    <row r="119354" spans="10:10" x14ac:dyDescent="0.3">
      <c r="J119354"/>
    </row>
    <row r="119355" spans="10:10" x14ac:dyDescent="0.3">
      <c r="J119355"/>
    </row>
    <row r="119356" spans="10:10" x14ac:dyDescent="0.3">
      <c r="J119356"/>
    </row>
    <row r="119357" spans="10:10" x14ac:dyDescent="0.3">
      <c r="J119357"/>
    </row>
    <row r="119358" spans="10:10" x14ac:dyDescent="0.3">
      <c r="J119358"/>
    </row>
    <row r="119359" spans="10:10" x14ac:dyDescent="0.3">
      <c r="J119359"/>
    </row>
    <row r="119360" spans="10:10" x14ac:dyDescent="0.3">
      <c r="J119360"/>
    </row>
    <row r="119361" spans="10:10" x14ac:dyDescent="0.3">
      <c r="J119361"/>
    </row>
    <row r="119362" spans="10:10" x14ac:dyDescent="0.3">
      <c r="J119362"/>
    </row>
    <row r="119363" spans="10:10" x14ac:dyDescent="0.3">
      <c r="J119363"/>
    </row>
    <row r="119364" spans="10:10" x14ac:dyDescent="0.3">
      <c r="J119364"/>
    </row>
    <row r="119365" spans="10:10" x14ac:dyDescent="0.3">
      <c r="J119365"/>
    </row>
    <row r="119366" spans="10:10" x14ac:dyDescent="0.3">
      <c r="J119366"/>
    </row>
    <row r="119367" spans="10:10" x14ac:dyDescent="0.3">
      <c r="J119367"/>
    </row>
    <row r="119368" spans="10:10" x14ac:dyDescent="0.3">
      <c r="J119368"/>
    </row>
    <row r="119369" spans="10:10" x14ac:dyDescent="0.3">
      <c r="J119369"/>
    </row>
    <row r="119370" spans="10:10" x14ac:dyDescent="0.3">
      <c r="J119370"/>
    </row>
    <row r="119371" spans="10:10" x14ac:dyDescent="0.3">
      <c r="J119371"/>
    </row>
    <row r="119372" spans="10:10" x14ac:dyDescent="0.3">
      <c r="J119372"/>
    </row>
    <row r="119373" spans="10:10" x14ac:dyDescent="0.3">
      <c r="J119373"/>
    </row>
    <row r="119374" spans="10:10" x14ac:dyDescent="0.3">
      <c r="J119374"/>
    </row>
    <row r="119375" spans="10:10" x14ac:dyDescent="0.3">
      <c r="J119375"/>
    </row>
    <row r="119376" spans="10:10" x14ac:dyDescent="0.3">
      <c r="J119376"/>
    </row>
    <row r="119377" spans="10:10" x14ac:dyDescent="0.3">
      <c r="J119377"/>
    </row>
    <row r="119378" spans="10:10" x14ac:dyDescent="0.3">
      <c r="J119378"/>
    </row>
    <row r="119379" spans="10:10" x14ac:dyDescent="0.3">
      <c r="J119379"/>
    </row>
    <row r="119380" spans="10:10" x14ac:dyDescent="0.3">
      <c r="J119380"/>
    </row>
    <row r="119381" spans="10:10" x14ac:dyDescent="0.3">
      <c r="J119381"/>
    </row>
    <row r="119382" spans="10:10" x14ac:dyDescent="0.3">
      <c r="J119382"/>
    </row>
    <row r="119383" spans="10:10" x14ac:dyDescent="0.3">
      <c r="J119383"/>
    </row>
    <row r="119384" spans="10:10" x14ac:dyDescent="0.3">
      <c r="J119384"/>
    </row>
    <row r="119385" spans="10:10" x14ac:dyDescent="0.3">
      <c r="J119385"/>
    </row>
    <row r="119386" spans="10:10" x14ac:dyDescent="0.3">
      <c r="J119386"/>
    </row>
    <row r="119387" spans="10:10" x14ac:dyDescent="0.3">
      <c r="J119387"/>
    </row>
    <row r="119388" spans="10:10" x14ac:dyDescent="0.3">
      <c r="J119388"/>
    </row>
    <row r="119389" spans="10:10" x14ac:dyDescent="0.3">
      <c r="J119389"/>
    </row>
    <row r="119390" spans="10:10" x14ac:dyDescent="0.3">
      <c r="J119390"/>
    </row>
    <row r="119391" spans="10:10" x14ac:dyDescent="0.3">
      <c r="J119391"/>
    </row>
    <row r="119392" spans="10:10" x14ac:dyDescent="0.3">
      <c r="J119392"/>
    </row>
    <row r="119393" spans="10:10" x14ac:dyDescent="0.3">
      <c r="J119393"/>
    </row>
    <row r="119394" spans="10:10" x14ac:dyDescent="0.3">
      <c r="J119394"/>
    </row>
    <row r="119395" spans="10:10" x14ac:dyDescent="0.3">
      <c r="J119395"/>
    </row>
    <row r="119396" spans="10:10" x14ac:dyDescent="0.3">
      <c r="J119396"/>
    </row>
    <row r="119397" spans="10:10" x14ac:dyDescent="0.3">
      <c r="J119397"/>
    </row>
    <row r="119398" spans="10:10" x14ac:dyDescent="0.3">
      <c r="J119398"/>
    </row>
    <row r="119399" spans="10:10" x14ac:dyDescent="0.3">
      <c r="J119399"/>
    </row>
    <row r="119400" spans="10:10" x14ac:dyDescent="0.3">
      <c r="J119400"/>
    </row>
    <row r="119401" spans="10:10" x14ac:dyDescent="0.3">
      <c r="J119401"/>
    </row>
    <row r="119402" spans="10:10" x14ac:dyDescent="0.3">
      <c r="J119402"/>
    </row>
    <row r="119403" spans="10:10" x14ac:dyDescent="0.3">
      <c r="J119403"/>
    </row>
    <row r="119404" spans="10:10" x14ac:dyDescent="0.3">
      <c r="J119404"/>
    </row>
    <row r="119405" spans="10:10" x14ac:dyDescent="0.3">
      <c r="J119405"/>
    </row>
    <row r="119406" spans="10:10" x14ac:dyDescent="0.3">
      <c r="J119406"/>
    </row>
    <row r="119407" spans="10:10" x14ac:dyDescent="0.3">
      <c r="J119407"/>
    </row>
    <row r="119408" spans="10:10" x14ac:dyDescent="0.3">
      <c r="J119408"/>
    </row>
    <row r="119409" spans="10:10" x14ac:dyDescent="0.3">
      <c r="J119409"/>
    </row>
    <row r="119410" spans="10:10" x14ac:dyDescent="0.3">
      <c r="J119410"/>
    </row>
    <row r="119411" spans="10:10" x14ac:dyDescent="0.3">
      <c r="J119411"/>
    </row>
    <row r="119412" spans="10:10" x14ac:dyDescent="0.3">
      <c r="J119412"/>
    </row>
    <row r="119413" spans="10:10" x14ac:dyDescent="0.3">
      <c r="J119413"/>
    </row>
    <row r="119414" spans="10:10" x14ac:dyDescent="0.3">
      <c r="J119414"/>
    </row>
    <row r="119415" spans="10:10" x14ac:dyDescent="0.3">
      <c r="J119415"/>
    </row>
    <row r="119416" spans="10:10" x14ac:dyDescent="0.3">
      <c r="J119416"/>
    </row>
    <row r="119417" spans="10:10" x14ac:dyDescent="0.3">
      <c r="J119417"/>
    </row>
    <row r="119418" spans="10:10" x14ac:dyDescent="0.3">
      <c r="J119418"/>
    </row>
    <row r="119419" spans="10:10" x14ac:dyDescent="0.3">
      <c r="J119419"/>
    </row>
    <row r="119420" spans="10:10" x14ac:dyDescent="0.3">
      <c r="J119420"/>
    </row>
    <row r="119421" spans="10:10" x14ac:dyDescent="0.3">
      <c r="J119421"/>
    </row>
    <row r="119422" spans="10:10" x14ac:dyDescent="0.3">
      <c r="J119422"/>
    </row>
    <row r="119423" spans="10:10" x14ac:dyDescent="0.3">
      <c r="J119423"/>
    </row>
    <row r="119424" spans="10:10" x14ac:dyDescent="0.3">
      <c r="J119424"/>
    </row>
    <row r="119425" spans="10:10" x14ac:dyDescent="0.3">
      <c r="J119425"/>
    </row>
    <row r="119426" spans="10:10" x14ac:dyDescent="0.3">
      <c r="J119426"/>
    </row>
    <row r="119427" spans="10:10" x14ac:dyDescent="0.3">
      <c r="J119427"/>
    </row>
    <row r="119428" spans="10:10" x14ac:dyDescent="0.3">
      <c r="J119428"/>
    </row>
    <row r="119429" spans="10:10" x14ac:dyDescent="0.3">
      <c r="J119429"/>
    </row>
    <row r="119430" spans="10:10" x14ac:dyDescent="0.3">
      <c r="J119430"/>
    </row>
    <row r="119431" spans="10:10" x14ac:dyDescent="0.3">
      <c r="J119431"/>
    </row>
    <row r="119432" spans="10:10" x14ac:dyDescent="0.3">
      <c r="J119432"/>
    </row>
    <row r="119433" spans="10:10" x14ac:dyDescent="0.3">
      <c r="J119433"/>
    </row>
    <row r="119434" spans="10:10" x14ac:dyDescent="0.3">
      <c r="J119434"/>
    </row>
    <row r="119435" spans="10:10" x14ac:dyDescent="0.3">
      <c r="J119435"/>
    </row>
    <row r="119436" spans="10:10" x14ac:dyDescent="0.3">
      <c r="J119436"/>
    </row>
    <row r="119437" spans="10:10" x14ac:dyDescent="0.3">
      <c r="J119437"/>
    </row>
    <row r="119438" spans="10:10" x14ac:dyDescent="0.3">
      <c r="J119438"/>
    </row>
    <row r="119439" spans="10:10" x14ac:dyDescent="0.3">
      <c r="J119439"/>
    </row>
    <row r="119440" spans="10:10" x14ac:dyDescent="0.3">
      <c r="J119440"/>
    </row>
    <row r="119441" spans="10:10" x14ac:dyDescent="0.3">
      <c r="J119441"/>
    </row>
    <row r="119442" spans="10:10" x14ac:dyDescent="0.3">
      <c r="J119442"/>
    </row>
    <row r="119443" spans="10:10" x14ac:dyDescent="0.3">
      <c r="J119443"/>
    </row>
    <row r="119444" spans="10:10" x14ac:dyDescent="0.3">
      <c r="J119444"/>
    </row>
    <row r="119445" spans="10:10" x14ac:dyDescent="0.3">
      <c r="J119445"/>
    </row>
    <row r="119446" spans="10:10" x14ac:dyDescent="0.3">
      <c r="J119446"/>
    </row>
    <row r="119447" spans="10:10" x14ac:dyDescent="0.3">
      <c r="J119447"/>
    </row>
    <row r="119448" spans="10:10" x14ac:dyDescent="0.3">
      <c r="J119448"/>
    </row>
    <row r="119449" spans="10:10" x14ac:dyDescent="0.3">
      <c r="J119449"/>
    </row>
    <row r="119450" spans="10:10" x14ac:dyDescent="0.3">
      <c r="J119450"/>
    </row>
    <row r="119451" spans="10:10" x14ac:dyDescent="0.3">
      <c r="J119451"/>
    </row>
    <row r="119452" spans="10:10" x14ac:dyDescent="0.3">
      <c r="J119452"/>
    </row>
    <row r="119453" spans="10:10" x14ac:dyDescent="0.3">
      <c r="J119453"/>
    </row>
    <row r="119454" spans="10:10" x14ac:dyDescent="0.3">
      <c r="J119454"/>
    </row>
    <row r="119455" spans="10:10" x14ac:dyDescent="0.3">
      <c r="J119455"/>
    </row>
    <row r="119456" spans="10:10" x14ac:dyDescent="0.3">
      <c r="J119456"/>
    </row>
    <row r="119457" spans="10:10" x14ac:dyDescent="0.3">
      <c r="J119457"/>
    </row>
    <row r="119458" spans="10:10" x14ac:dyDescent="0.3">
      <c r="J119458"/>
    </row>
    <row r="119459" spans="10:10" x14ac:dyDescent="0.3">
      <c r="J119459"/>
    </row>
    <row r="119460" spans="10:10" x14ac:dyDescent="0.3">
      <c r="J119460"/>
    </row>
    <row r="119461" spans="10:10" x14ac:dyDescent="0.3">
      <c r="J119461"/>
    </row>
    <row r="119462" spans="10:10" x14ac:dyDescent="0.3">
      <c r="J119462"/>
    </row>
    <row r="119463" spans="10:10" x14ac:dyDescent="0.3">
      <c r="J119463"/>
    </row>
    <row r="119464" spans="10:10" x14ac:dyDescent="0.3">
      <c r="J119464"/>
    </row>
    <row r="119465" spans="10:10" x14ac:dyDescent="0.3">
      <c r="J119465"/>
    </row>
    <row r="119466" spans="10:10" x14ac:dyDescent="0.3">
      <c r="J119466"/>
    </row>
    <row r="119467" spans="10:10" x14ac:dyDescent="0.3">
      <c r="J119467"/>
    </row>
    <row r="119468" spans="10:10" x14ac:dyDescent="0.3">
      <c r="J119468"/>
    </row>
    <row r="119469" spans="10:10" x14ac:dyDescent="0.3">
      <c r="J119469"/>
    </row>
    <row r="119470" spans="10:10" x14ac:dyDescent="0.3">
      <c r="J119470"/>
    </row>
    <row r="119471" spans="10:10" x14ac:dyDescent="0.3">
      <c r="J119471"/>
    </row>
    <row r="119472" spans="10:10" x14ac:dyDescent="0.3">
      <c r="J119472"/>
    </row>
    <row r="119473" spans="10:10" x14ac:dyDescent="0.3">
      <c r="J119473"/>
    </row>
    <row r="119474" spans="10:10" x14ac:dyDescent="0.3">
      <c r="J119474"/>
    </row>
    <row r="119475" spans="10:10" x14ac:dyDescent="0.3">
      <c r="J119475"/>
    </row>
    <row r="119476" spans="10:10" x14ac:dyDescent="0.3">
      <c r="J119476"/>
    </row>
    <row r="119477" spans="10:10" x14ac:dyDescent="0.3">
      <c r="J119477"/>
    </row>
    <row r="119478" spans="10:10" x14ac:dyDescent="0.3">
      <c r="J119478"/>
    </row>
    <row r="119479" spans="10:10" x14ac:dyDescent="0.3">
      <c r="J119479"/>
    </row>
    <row r="119480" spans="10:10" x14ac:dyDescent="0.3">
      <c r="J119480"/>
    </row>
    <row r="119481" spans="10:10" x14ac:dyDescent="0.3">
      <c r="J119481"/>
    </row>
    <row r="119482" spans="10:10" x14ac:dyDescent="0.3">
      <c r="J119482"/>
    </row>
    <row r="119483" spans="10:10" x14ac:dyDescent="0.3">
      <c r="J119483"/>
    </row>
    <row r="119484" spans="10:10" x14ac:dyDescent="0.3">
      <c r="J119484"/>
    </row>
    <row r="119485" spans="10:10" x14ac:dyDescent="0.3">
      <c r="J119485"/>
    </row>
    <row r="119486" spans="10:10" x14ac:dyDescent="0.3">
      <c r="J119486"/>
    </row>
    <row r="119487" spans="10:10" x14ac:dyDescent="0.3">
      <c r="J119487"/>
    </row>
    <row r="119488" spans="10:10" x14ac:dyDescent="0.3">
      <c r="J119488"/>
    </row>
    <row r="119489" spans="10:10" x14ac:dyDescent="0.3">
      <c r="J119489"/>
    </row>
    <row r="119490" spans="10:10" x14ac:dyDescent="0.3">
      <c r="J119490"/>
    </row>
    <row r="119491" spans="10:10" x14ac:dyDescent="0.3">
      <c r="J119491"/>
    </row>
    <row r="119492" spans="10:10" x14ac:dyDescent="0.3">
      <c r="J119492"/>
    </row>
    <row r="119493" spans="10:10" x14ac:dyDescent="0.3">
      <c r="J119493"/>
    </row>
    <row r="119494" spans="10:10" x14ac:dyDescent="0.3">
      <c r="J119494"/>
    </row>
    <row r="119495" spans="10:10" x14ac:dyDescent="0.3">
      <c r="J119495"/>
    </row>
    <row r="119496" spans="10:10" x14ac:dyDescent="0.3">
      <c r="J119496"/>
    </row>
    <row r="119497" spans="10:10" x14ac:dyDescent="0.3">
      <c r="J119497"/>
    </row>
    <row r="119498" spans="10:10" x14ac:dyDescent="0.3">
      <c r="J119498"/>
    </row>
    <row r="119499" spans="10:10" x14ac:dyDescent="0.3">
      <c r="J119499"/>
    </row>
    <row r="119500" spans="10:10" x14ac:dyDescent="0.3">
      <c r="J119500"/>
    </row>
    <row r="119501" spans="10:10" x14ac:dyDescent="0.3">
      <c r="J119501"/>
    </row>
    <row r="119502" spans="10:10" x14ac:dyDescent="0.3">
      <c r="J119502"/>
    </row>
    <row r="119503" spans="10:10" x14ac:dyDescent="0.3">
      <c r="J119503"/>
    </row>
    <row r="119504" spans="10:10" x14ac:dyDescent="0.3">
      <c r="J119504"/>
    </row>
    <row r="119505" spans="10:10" x14ac:dyDescent="0.3">
      <c r="J119505"/>
    </row>
    <row r="119506" spans="10:10" x14ac:dyDescent="0.3">
      <c r="J119506"/>
    </row>
    <row r="119507" spans="10:10" x14ac:dyDescent="0.3">
      <c r="J119507"/>
    </row>
    <row r="119508" spans="10:10" x14ac:dyDescent="0.3">
      <c r="J119508"/>
    </row>
    <row r="119509" spans="10:10" x14ac:dyDescent="0.3">
      <c r="J119509"/>
    </row>
    <row r="119510" spans="10:10" x14ac:dyDescent="0.3">
      <c r="J119510"/>
    </row>
    <row r="119511" spans="10:10" x14ac:dyDescent="0.3">
      <c r="J119511"/>
    </row>
    <row r="119512" spans="10:10" x14ac:dyDescent="0.3">
      <c r="J119512"/>
    </row>
    <row r="119513" spans="10:10" x14ac:dyDescent="0.3">
      <c r="J119513"/>
    </row>
    <row r="119514" spans="10:10" x14ac:dyDescent="0.3">
      <c r="J119514"/>
    </row>
    <row r="119515" spans="10:10" x14ac:dyDescent="0.3">
      <c r="J119515"/>
    </row>
    <row r="119516" spans="10:10" x14ac:dyDescent="0.3">
      <c r="J119516"/>
    </row>
    <row r="119517" spans="10:10" x14ac:dyDescent="0.3">
      <c r="J119517"/>
    </row>
    <row r="119518" spans="10:10" x14ac:dyDescent="0.3">
      <c r="J119518"/>
    </row>
    <row r="119519" spans="10:10" x14ac:dyDescent="0.3">
      <c r="J119519"/>
    </row>
    <row r="119520" spans="10:10" x14ac:dyDescent="0.3">
      <c r="J119520"/>
    </row>
    <row r="119521" spans="10:10" x14ac:dyDescent="0.3">
      <c r="J119521"/>
    </row>
    <row r="119522" spans="10:10" x14ac:dyDescent="0.3">
      <c r="J119522"/>
    </row>
    <row r="119523" spans="10:10" x14ac:dyDescent="0.3">
      <c r="J119523"/>
    </row>
    <row r="119524" spans="10:10" x14ac:dyDescent="0.3">
      <c r="J119524"/>
    </row>
    <row r="119525" spans="10:10" x14ac:dyDescent="0.3">
      <c r="J119525"/>
    </row>
    <row r="119526" spans="10:10" x14ac:dyDescent="0.3">
      <c r="J119526"/>
    </row>
    <row r="119527" spans="10:10" x14ac:dyDescent="0.3">
      <c r="J119527"/>
    </row>
    <row r="119528" spans="10:10" x14ac:dyDescent="0.3">
      <c r="J119528"/>
    </row>
    <row r="119529" spans="10:10" x14ac:dyDescent="0.3">
      <c r="J119529"/>
    </row>
    <row r="119530" spans="10:10" x14ac:dyDescent="0.3">
      <c r="J119530"/>
    </row>
    <row r="119531" spans="10:10" x14ac:dyDescent="0.3">
      <c r="J119531"/>
    </row>
    <row r="119532" spans="10:10" x14ac:dyDescent="0.3">
      <c r="J119532"/>
    </row>
    <row r="119533" spans="10:10" x14ac:dyDescent="0.3">
      <c r="J119533"/>
    </row>
    <row r="119534" spans="10:10" x14ac:dyDescent="0.3">
      <c r="J119534"/>
    </row>
    <row r="119535" spans="10:10" x14ac:dyDescent="0.3">
      <c r="J119535"/>
    </row>
    <row r="119536" spans="10:10" x14ac:dyDescent="0.3">
      <c r="J119536"/>
    </row>
    <row r="119537" spans="10:10" x14ac:dyDescent="0.3">
      <c r="J119537"/>
    </row>
    <row r="119538" spans="10:10" x14ac:dyDescent="0.3">
      <c r="J119538"/>
    </row>
    <row r="119539" spans="10:10" x14ac:dyDescent="0.3">
      <c r="J119539"/>
    </row>
    <row r="119540" spans="10:10" x14ac:dyDescent="0.3">
      <c r="J119540"/>
    </row>
    <row r="119541" spans="10:10" x14ac:dyDescent="0.3">
      <c r="J119541"/>
    </row>
    <row r="119542" spans="10:10" x14ac:dyDescent="0.3">
      <c r="J119542"/>
    </row>
    <row r="119543" spans="10:10" x14ac:dyDescent="0.3">
      <c r="J119543"/>
    </row>
    <row r="119544" spans="10:10" x14ac:dyDescent="0.3">
      <c r="J119544"/>
    </row>
    <row r="119545" spans="10:10" x14ac:dyDescent="0.3">
      <c r="J119545"/>
    </row>
    <row r="119546" spans="10:10" x14ac:dyDescent="0.3">
      <c r="J119546"/>
    </row>
    <row r="119547" spans="10:10" x14ac:dyDescent="0.3">
      <c r="J119547"/>
    </row>
    <row r="119548" spans="10:10" x14ac:dyDescent="0.3">
      <c r="J119548"/>
    </row>
    <row r="119549" spans="10:10" x14ac:dyDescent="0.3">
      <c r="J119549"/>
    </row>
    <row r="119550" spans="10:10" x14ac:dyDescent="0.3">
      <c r="J119550"/>
    </row>
    <row r="119551" spans="10:10" x14ac:dyDescent="0.3">
      <c r="J119551"/>
    </row>
    <row r="119552" spans="10:10" x14ac:dyDescent="0.3">
      <c r="J119552"/>
    </row>
    <row r="119553" spans="10:10" x14ac:dyDescent="0.3">
      <c r="J119553"/>
    </row>
    <row r="119554" spans="10:10" x14ac:dyDescent="0.3">
      <c r="J119554"/>
    </row>
    <row r="119555" spans="10:10" x14ac:dyDescent="0.3">
      <c r="J119555"/>
    </row>
    <row r="119556" spans="10:10" x14ac:dyDescent="0.3">
      <c r="J119556"/>
    </row>
    <row r="119557" spans="10:10" x14ac:dyDescent="0.3">
      <c r="J119557"/>
    </row>
    <row r="119558" spans="10:10" x14ac:dyDescent="0.3">
      <c r="J119558"/>
    </row>
    <row r="119559" spans="10:10" x14ac:dyDescent="0.3">
      <c r="J119559"/>
    </row>
    <row r="119560" spans="10:10" x14ac:dyDescent="0.3">
      <c r="J119560"/>
    </row>
    <row r="119561" spans="10:10" x14ac:dyDescent="0.3">
      <c r="J119561"/>
    </row>
    <row r="119562" spans="10:10" x14ac:dyDescent="0.3">
      <c r="J119562"/>
    </row>
    <row r="119563" spans="10:10" x14ac:dyDescent="0.3">
      <c r="J119563"/>
    </row>
    <row r="119564" spans="10:10" x14ac:dyDescent="0.3">
      <c r="J119564"/>
    </row>
    <row r="119565" spans="10:10" x14ac:dyDescent="0.3">
      <c r="J119565"/>
    </row>
    <row r="119566" spans="10:10" x14ac:dyDescent="0.3">
      <c r="J119566"/>
    </row>
    <row r="119567" spans="10:10" x14ac:dyDescent="0.3">
      <c r="J119567"/>
    </row>
    <row r="119568" spans="10:10" x14ac:dyDescent="0.3">
      <c r="J119568"/>
    </row>
    <row r="119569" spans="10:10" x14ac:dyDescent="0.3">
      <c r="J119569"/>
    </row>
    <row r="119570" spans="10:10" x14ac:dyDescent="0.3">
      <c r="J119570"/>
    </row>
    <row r="119571" spans="10:10" x14ac:dyDescent="0.3">
      <c r="J119571"/>
    </row>
    <row r="119572" spans="10:10" x14ac:dyDescent="0.3">
      <c r="J119572"/>
    </row>
    <row r="119573" spans="10:10" x14ac:dyDescent="0.3">
      <c r="J119573"/>
    </row>
    <row r="119574" spans="10:10" x14ac:dyDescent="0.3">
      <c r="J119574"/>
    </row>
    <row r="119575" spans="10:10" x14ac:dyDescent="0.3">
      <c r="J119575"/>
    </row>
    <row r="119576" spans="10:10" x14ac:dyDescent="0.3">
      <c r="J119576"/>
    </row>
    <row r="119577" spans="10:10" x14ac:dyDescent="0.3">
      <c r="J119577"/>
    </row>
    <row r="119578" spans="10:10" x14ac:dyDescent="0.3">
      <c r="J119578"/>
    </row>
    <row r="119579" spans="10:10" x14ac:dyDescent="0.3">
      <c r="J119579"/>
    </row>
    <row r="119580" spans="10:10" x14ac:dyDescent="0.3">
      <c r="J119580"/>
    </row>
    <row r="119581" spans="10:10" x14ac:dyDescent="0.3">
      <c r="J119581"/>
    </row>
    <row r="119582" spans="10:10" x14ac:dyDescent="0.3">
      <c r="J119582"/>
    </row>
    <row r="119583" spans="10:10" x14ac:dyDescent="0.3">
      <c r="J119583"/>
    </row>
    <row r="119584" spans="10:10" x14ac:dyDescent="0.3">
      <c r="J119584"/>
    </row>
    <row r="119585" spans="10:10" x14ac:dyDescent="0.3">
      <c r="J119585"/>
    </row>
    <row r="119586" spans="10:10" x14ac:dyDescent="0.3">
      <c r="J119586"/>
    </row>
    <row r="119587" spans="10:10" x14ac:dyDescent="0.3">
      <c r="J119587"/>
    </row>
    <row r="119588" spans="10:10" x14ac:dyDescent="0.3">
      <c r="J119588"/>
    </row>
    <row r="119589" spans="10:10" x14ac:dyDescent="0.3">
      <c r="J119589"/>
    </row>
    <row r="119590" spans="10:10" x14ac:dyDescent="0.3">
      <c r="J119590"/>
    </row>
    <row r="119591" spans="10:10" x14ac:dyDescent="0.3">
      <c r="J119591"/>
    </row>
    <row r="119592" spans="10:10" x14ac:dyDescent="0.3">
      <c r="J119592"/>
    </row>
    <row r="119593" spans="10:10" x14ac:dyDescent="0.3">
      <c r="J119593"/>
    </row>
    <row r="119594" spans="10:10" x14ac:dyDescent="0.3">
      <c r="J119594"/>
    </row>
    <row r="119595" spans="10:10" x14ac:dyDescent="0.3">
      <c r="J119595"/>
    </row>
    <row r="119596" spans="10:10" x14ac:dyDescent="0.3">
      <c r="J119596"/>
    </row>
    <row r="119597" spans="10:10" x14ac:dyDescent="0.3">
      <c r="J119597"/>
    </row>
    <row r="119598" spans="10:10" x14ac:dyDescent="0.3">
      <c r="J119598"/>
    </row>
    <row r="119599" spans="10:10" x14ac:dyDescent="0.3">
      <c r="J119599"/>
    </row>
    <row r="119600" spans="10:10" x14ac:dyDescent="0.3">
      <c r="J119600"/>
    </row>
    <row r="119601" spans="10:10" x14ac:dyDescent="0.3">
      <c r="J119601"/>
    </row>
    <row r="119602" spans="10:10" x14ac:dyDescent="0.3">
      <c r="J119602"/>
    </row>
    <row r="119603" spans="10:10" x14ac:dyDescent="0.3">
      <c r="J119603"/>
    </row>
    <row r="119604" spans="10:10" x14ac:dyDescent="0.3">
      <c r="J119604"/>
    </row>
    <row r="119605" spans="10:10" x14ac:dyDescent="0.3">
      <c r="J119605"/>
    </row>
    <row r="119606" spans="10:10" x14ac:dyDescent="0.3">
      <c r="J119606"/>
    </row>
    <row r="119607" spans="10:10" x14ac:dyDescent="0.3">
      <c r="J119607"/>
    </row>
    <row r="119608" spans="10:10" x14ac:dyDescent="0.3">
      <c r="J119608"/>
    </row>
    <row r="119609" spans="10:10" x14ac:dyDescent="0.3">
      <c r="J119609"/>
    </row>
    <row r="119610" spans="10:10" x14ac:dyDescent="0.3">
      <c r="J119610"/>
    </row>
    <row r="119611" spans="10:10" x14ac:dyDescent="0.3">
      <c r="J119611"/>
    </row>
    <row r="119612" spans="10:10" x14ac:dyDescent="0.3">
      <c r="J119612"/>
    </row>
    <row r="119613" spans="10:10" x14ac:dyDescent="0.3">
      <c r="J119613"/>
    </row>
    <row r="119614" spans="10:10" x14ac:dyDescent="0.3">
      <c r="J119614"/>
    </row>
    <row r="119615" spans="10:10" x14ac:dyDescent="0.3">
      <c r="J119615"/>
    </row>
    <row r="119616" spans="10:10" x14ac:dyDescent="0.3">
      <c r="J119616"/>
    </row>
    <row r="119617" spans="10:10" x14ac:dyDescent="0.3">
      <c r="J119617"/>
    </row>
    <row r="119618" spans="10:10" x14ac:dyDescent="0.3">
      <c r="J119618"/>
    </row>
    <row r="119619" spans="10:10" x14ac:dyDescent="0.3">
      <c r="J119619"/>
    </row>
    <row r="119620" spans="10:10" x14ac:dyDescent="0.3">
      <c r="J119620"/>
    </row>
    <row r="119621" spans="10:10" x14ac:dyDescent="0.3">
      <c r="J119621"/>
    </row>
    <row r="119622" spans="10:10" x14ac:dyDescent="0.3">
      <c r="J119622"/>
    </row>
    <row r="119623" spans="10:10" x14ac:dyDescent="0.3">
      <c r="J119623"/>
    </row>
    <row r="119624" spans="10:10" x14ac:dyDescent="0.3">
      <c r="J119624"/>
    </row>
    <row r="119625" spans="10:10" x14ac:dyDescent="0.3">
      <c r="J119625"/>
    </row>
    <row r="119626" spans="10:10" x14ac:dyDescent="0.3">
      <c r="J119626"/>
    </row>
    <row r="119627" spans="10:10" x14ac:dyDescent="0.3">
      <c r="J119627"/>
    </row>
    <row r="119628" spans="10:10" x14ac:dyDescent="0.3">
      <c r="J119628"/>
    </row>
    <row r="119629" spans="10:10" x14ac:dyDescent="0.3">
      <c r="J119629"/>
    </row>
    <row r="119630" spans="10:10" x14ac:dyDescent="0.3">
      <c r="J119630"/>
    </row>
    <row r="119631" spans="10:10" x14ac:dyDescent="0.3">
      <c r="J119631"/>
    </row>
    <row r="119632" spans="10:10" x14ac:dyDescent="0.3">
      <c r="J119632"/>
    </row>
    <row r="119633" spans="10:10" x14ac:dyDescent="0.3">
      <c r="J119633"/>
    </row>
    <row r="119634" spans="10:10" x14ac:dyDescent="0.3">
      <c r="J119634"/>
    </row>
    <row r="119635" spans="10:10" x14ac:dyDescent="0.3">
      <c r="J119635"/>
    </row>
    <row r="119636" spans="10:10" x14ac:dyDescent="0.3">
      <c r="J119636"/>
    </row>
    <row r="119637" spans="10:10" x14ac:dyDescent="0.3">
      <c r="J119637"/>
    </row>
    <row r="119638" spans="10:10" x14ac:dyDescent="0.3">
      <c r="J119638"/>
    </row>
    <row r="119639" spans="10:10" x14ac:dyDescent="0.3">
      <c r="J119639"/>
    </row>
    <row r="119640" spans="10:10" x14ac:dyDescent="0.3">
      <c r="J119640"/>
    </row>
    <row r="119641" spans="10:10" x14ac:dyDescent="0.3">
      <c r="J119641"/>
    </row>
    <row r="119642" spans="10:10" x14ac:dyDescent="0.3">
      <c r="J119642"/>
    </row>
    <row r="119643" spans="10:10" x14ac:dyDescent="0.3">
      <c r="J119643"/>
    </row>
    <row r="119644" spans="10:10" x14ac:dyDescent="0.3">
      <c r="J119644"/>
    </row>
    <row r="119645" spans="10:10" x14ac:dyDescent="0.3">
      <c r="J119645"/>
    </row>
    <row r="119646" spans="10:10" x14ac:dyDescent="0.3">
      <c r="J119646"/>
    </row>
    <row r="119647" spans="10:10" x14ac:dyDescent="0.3">
      <c r="J119647"/>
    </row>
    <row r="119648" spans="10:10" x14ac:dyDescent="0.3">
      <c r="J119648"/>
    </row>
    <row r="119649" spans="10:10" x14ac:dyDescent="0.3">
      <c r="J119649"/>
    </row>
    <row r="119650" spans="10:10" x14ac:dyDescent="0.3">
      <c r="J119650"/>
    </row>
    <row r="119651" spans="10:10" x14ac:dyDescent="0.3">
      <c r="J119651"/>
    </row>
    <row r="119652" spans="10:10" x14ac:dyDescent="0.3">
      <c r="J119652"/>
    </row>
    <row r="119653" spans="10:10" x14ac:dyDescent="0.3">
      <c r="J119653"/>
    </row>
    <row r="119654" spans="10:10" x14ac:dyDescent="0.3">
      <c r="J119654"/>
    </row>
    <row r="119655" spans="10:10" x14ac:dyDescent="0.3">
      <c r="J119655"/>
    </row>
    <row r="119656" spans="10:10" x14ac:dyDescent="0.3">
      <c r="J119656"/>
    </row>
    <row r="119657" spans="10:10" x14ac:dyDescent="0.3">
      <c r="J119657"/>
    </row>
    <row r="119658" spans="10:10" x14ac:dyDescent="0.3">
      <c r="J119658"/>
    </row>
    <row r="119659" spans="10:10" x14ac:dyDescent="0.3">
      <c r="J119659"/>
    </row>
    <row r="119660" spans="10:10" x14ac:dyDescent="0.3">
      <c r="J119660"/>
    </row>
    <row r="119661" spans="10:10" x14ac:dyDescent="0.3">
      <c r="J119661"/>
    </row>
    <row r="119662" spans="10:10" x14ac:dyDescent="0.3">
      <c r="J119662"/>
    </row>
    <row r="119663" spans="10:10" x14ac:dyDescent="0.3">
      <c r="J119663"/>
    </row>
    <row r="119664" spans="10:10" x14ac:dyDescent="0.3">
      <c r="J119664"/>
    </row>
    <row r="119665" spans="10:10" x14ac:dyDescent="0.3">
      <c r="J119665"/>
    </row>
    <row r="119666" spans="10:10" x14ac:dyDescent="0.3">
      <c r="J119666"/>
    </row>
    <row r="119667" spans="10:10" x14ac:dyDescent="0.3">
      <c r="J119667"/>
    </row>
    <row r="119668" spans="10:10" x14ac:dyDescent="0.3">
      <c r="J119668"/>
    </row>
    <row r="119669" spans="10:10" x14ac:dyDescent="0.3">
      <c r="J119669"/>
    </row>
    <row r="119670" spans="10:10" x14ac:dyDescent="0.3">
      <c r="J119670"/>
    </row>
    <row r="119671" spans="10:10" x14ac:dyDescent="0.3">
      <c r="J119671"/>
    </row>
    <row r="119672" spans="10:10" x14ac:dyDescent="0.3">
      <c r="J119672"/>
    </row>
    <row r="119673" spans="10:10" x14ac:dyDescent="0.3">
      <c r="J119673"/>
    </row>
    <row r="119674" spans="10:10" x14ac:dyDescent="0.3">
      <c r="J119674"/>
    </row>
    <row r="119675" spans="10:10" x14ac:dyDescent="0.3">
      <c r="J119675"/>
    </row>
    <row r="119676" spans="10:10" x14ac:dyDescent="0.3">
      <c r="J119676"/>
    </row>
    <row r="119677" spans="10:10" x14ac:dyDescent="0.3">
      <c r="J119677"/>
    </row>
    <row r="119678" spans="10:10" x14ac:dyDescent="0.3">
      <c r="J119678"/>
    </row>
    <row r="119679" spans="10:10" x14ac:dyDescent="0.3">
      <c r="J119679"/>
    </row>
    <row r="119680" spans="10:10" x14ac:dyDescent="0.3">
      <c r="J119680"/>
    </row>
    <row r="119681" spans="10:10" x14ac:dyDescent="0.3">
      <c r="J119681"/>
    </row>
    <row r="119682" spans="10:10" x14ac:dyDescent="0.3">
      <c r="J119682"/>
    </row>
    <row r="119683" spans="10:10" x14ac:dyDescent="0.3">
      <c r="J119683"/>
    </row>
    <row r="119684" spans="10:10" x14ac:dyDescent="0.3">
      <c r="J119684"/>
    </row>
    <row r="119685" spans="10:10" x14ac:dyDescent="0.3">
      <c r="J119685"/>
    </row>
    <row r="119686" spans="10:10" x14ac:dyDescent="0.3">
      <c r="J119686"/>
    </row>
    <row r="119687" spans="10:10" x14ac:dyDescent="0.3">
      <c r="J119687"/>
    </row>
    <row r="119688" spans="10:10" x14ac:dyDescent="0.3">
      <c r="J119688"/>
    </row>
    <row r="119689" spans="10:10" x14ac:dyDescent="0.3">
      <c r="J119689"/>
    </row>
    <row r="119690" spans="10:10" x14ac:dyDescent="0.3">
      <c r="J119690"/>
    </row>
    <row r="119691" spans="10:10" x14ac:dyDescent="0.3">
      <c r="J119691"/>
    </row>
    <row r="119692" spans="10:10" x14ac:dyDescent="0.3">
      <c r="J119692"/>
    </row>
    <row r="119693" spans="10:10" x14ac:dyDescent="0.3">
      <c r="J119693"/>
    </row>
    <row r="119694" spans="10:10" x14ac:dyDescent="0.3">
      <c r="J119694"/>
    </row>
    <row r="119695" spans="10:10" x14ac:dyDescent="0.3">
      <c r="J119695"/>
    </row>
    <row r="119696" spans="10:10" x14ac:dyDescent="0.3">
      <c r="J119696"/>
    </row>
    <row r="119697" spans="10:10" x14ac:dyDescent="0.3">
      <c r="J119697"/>
    </row>
    <row r="119698" spans="10:10" x14ac:dyDescent="0.3">
      <c r="J119698"/>
    </row>
    <row r="119699" spans="10:10" x14ac:dyDescent="0.3">
      <c r="J119699"/>
    </row>
    <row r="119700" spans="10:10" x14ac:dyDescent="0.3">
      <c r="J119700"/>
    </row>
    <row r="119701" spans="10:10" x14ac:dyDescent="0.3">
      <c r="J119701"/>
    </row>
    <row r="119702" spans="10:10" x14ac:dyDescent="0.3">
      <c r="J119702"/>
    </row>
    <row r="119703" spans="10:10" x14ac:dyDescent="0.3">
      <c r="J119703"/>
    </row>
    <row r="119704" spans="10:10" x14ac:dyDescent="0.3">
      <c r="J119704"/>
    </row>
    <row r="119705" spans="10:10" x14ac:dyDescent="0.3">
      <c r="J119705"/>
    </row>
    <row r="119706" spans="10:10" x14ac:dyDescent="0.3">
      <c r="J119706"/>
    </row>
    <row r="119707" spans="10:10" x14ac:dyDescent="0.3">
      <c r="J119707"/>
    </row>
    <row r="119708" spans="10:10" x14ac:dyDescent="0.3">
      <c r="J119708"/>
    </row>
    <row r="119709" spans="10:10" x14ac:dyDescent="0.3">
      <c r="J119709"/>
    </row>
    <row r="119710" spans="10:10" x14ac:dyDescent="0.3">
      <c r="J119710"/>
    </row>
    <row r="119711" spans="10:10" x14ac:dyDescent="0.3">
      <c r="J119711"/>
    </row>
    <row r="119712" spans="10:10" x14ac:dyDescent="0.3">
      <c r="J119712"/>
    </row>
    <row r="119713" spans="10:10" x14ac:dyDescent="0.3">
      <c r="J119713"/>
    </row>
    <row r="119714" spans="10:10" x14ac:dyDescent="0.3">
      <c r="J119714"/>
    </row>
    <row r="119715" spans="10:10" x14ac:dyDescent="0.3">
      <c r="J119715"/>
    </row>
    <row r="119716" spans="10:10" x14ac:dyDescent="0.3">
      <c r="J119716"/>
    </row>
    <row r="119717" spans="10:10" x14ac:dyDescent="0.3">
      <c r="J119717"/>
    </row>
    <row r="119718" spans="10:10" x14ac:dyDescent="0.3">
      <c r="J119718"/>
    </row>
    <row r="119719" spans="10:10" x14ac:dyDescent="0.3">
      <c r="J119719"/>
    </row>
    <row r="119720" spans="10:10" x14ac:dyDescent="0.3">
      <c r="J119720"/>
    </row>
    <row r="119721" spans="10:10" x14ac:dyDescent="0.3">
      <c r="J119721"/>
    </row>
    <row r="119722" spans="10:10" x14ac:dyDescent="0.3">
      <c r="J119722"/>
    </row>
    <row r="119723" spans="10:10" x14ac:dyDescent="0.3">
      <c r="J119723"/>
    </row>
    <row r="119724" spans="10:10" x14ac:dyDescent="0.3">
      <c r="J119724"/>
    </row>
    <row r="119725" spans="10:10" x14ac:dyDescent="0.3">
      <c r="J119725"/>
    </row>
    <row r="119726" spans="10:10" x14ac:dyDescent="0.3">
      <c r="J119726"/>
    </row>
    <row r="119727" spans="10:10" x14ac:dyDescent="0.3">
      <c r="J119727"/>
    </row>
    <row r="119728" spans="10:10" x14ac:dyDescent="0.3">
      <c r="J119728"/>
    </row>
    <row r="119729" spans="10:10" x14ac:dyDescent="0.3">
      <c r="J119729"/>
    </row>
    <row r="119730" spans="10:10" x14ac:dyDescent="0.3">
      <c r="J119730"/>
    </row>
    <row r="119731" spans="10:10" x14ac:dyDescent="0.3">
      <c r="J119731"/>
    </row>
    <row r="119732" spans="10:10" x14ac:dyDescent="0.3">
      <c r="J119732"/>
    </row>
    <row r="119733" spans="10:10" x14ac:dyDescent="0.3">
      <c r="J119733"/>
    </row>
    <row r="119734" spans="10:10" x14ac:dyDescent="0.3">
      <c r="J119734"/>
    </row>
    <row r="119735" spans="10:10" x14ac:dyDescent="0.3">
      <c r="J119735"/>
    </row>
    <row r="119736" spans="10:10" x14ac:dyDescent="0.3">
      <c r="J119736"/>
    </row>
    <row r="119737" spans="10:10" x14ac:dyDescent="0.3">
      <c r="J119737"/>
    </row>
    <row r="119738" spans="10:10" x14ac:dyDescent="0.3">
      <c r="J119738"/>
    </row>
    <row r="119739" spans="10:10" x14ac:dyDescent="0.3">
      <c r="J119739"/>
    </row>
    <row r="119740" spans="10:10" x14ac:dyDescent="0.3">
      <c r="J119740"/>
    </row>
    <row r="119741" spans="10:10" x14ac:dyDescent="0.3">
      <c r="J119741"/>
    </row>
    <row r="119742" spans="10:10" x14ac:dyDescent="0.3">
      <c r="J119742"/>
    </row>
    <row r="119743" spans="10:10" x14ac:dyDescent="0.3">
      <c r="J119743"/>
    </row>
    <row r="119744" spans="10:10" x14ac:dyDescent="0.3">
      <c r="J119744"/>
    </row>
    <row r="119745" spans="10:10" x14ac:dyDescent="0.3">
      <c r="J119745"/>
    </row>
    <row r="119746" spans="10:10" x14ac:dyDescent="0.3">
      <c r="J119746"/>
    </row>
    <row r="119747" spans="10:10" x14ac:dyDescent="0.3">
      <c r="J119747"/>
    </row>
    <row r="119748" spans="10:10" x14ac:dyDescent="0.3">
      <c r="J119748"/>
    </row>
    <row r="119749" spans="10:10" x14ac:dyDescent="0.3">
      <c r="J119749"/>
    </row>
    <row r="119750" spans="10:10" x14ac:dyDescent="0.3">
      <c r="J119750"/>
    </row>
    <row r="119751" spans="10:10" x14ac:dyDescent="0.3">
      <c r="J119751"/>
    </row>
    <row r="119752" spans="10:10" x14ac:dyDescent="0.3">
      <c r="J119752"/>
    </row>
    <row r="119753" spans="10:10" x14ac:dyDescent="0.3">
      <c r="J119753"/>
    </row>
    <row r="119754" spans="10:10" x14ac:dyDescent="0.3">
      <c r="J119754"/>
    </row>
    <row r="119755" spans="10:10" x14ac:dyDescent="0.3">
      <c r="J119755"/>
    </row>
    <row r="119756" spans="10:10" x14ac:dyDescent="0.3">
      <c r="J119756"/>
    </row>
    <row r="119757" spans="10:10" x14ac:dyDescent="0.3">
      <c r="J119757"/>
    </row>
    <row r="119758" spans="10:10" x14ac:dyDescent="0.3">
      <c r="J119758"/>
    </row>
    <row r="119759" spans="10:10" x14ac:dyDescent="0.3">
      <c r="J119759"/>
    </row>
    <row r="119760" spans="10:10" x14ac:dyDescent="0.3">
      <c r="J119760"/>
    </row>
    <row r="119761" spans="10:10" x14ac:dyDescent="0.3">
      <c r="J119761"/>
    </row>
    <row r="119762" spans="10:10" x14ac:dyDescent="0.3">
      <c r="J119762"/>
    </row>
    <row r="119763" spans="10:10" x14ac:dyDescent="0.3">
      <c r="J119763"/>
    </row>
    <row r="119764" spans="10:10" x14ac:dyDescent="0.3">
      <c r="J119764"/>
    </row>
    <row r="119765" spans="10:10" x14ac:dyDescent="0.3">
      <c r="J119765"/>
    </row>
    <row r="119766" spans="10:10" x14ac:dyDescent="0.3">
      <c r="J119766"/>
    </row>
    <row r="119767" spans="10:10" x14ac:dyDescent="0.3">
      <c r="J119767"/>
    </row>
    <row r="119768" spans="10:10" x14ac:dyDescent="0.3">
      <c r="J119768"/>
    </row>
    <row r="119769" spans="10:10" x14ac:dyDescent="0.3">
      <c r="J119769"/>
    </row>
    <row r="119770" spans="10:10" x14ac:dyDescent="0.3">
      <c r="J119770"/>
    </row>
    <row r="119771" spans="10:10" x14ac:dyDescent="0.3">
      <c r="J119771"/>
    </row>
    <row r="119772" spans="10:10" x14ac:dyDescent="0.3">
      <c r="J119772"/>
    </row>
    <row r="119773" spans="10:10" x14ac:dyDescent="0.3">
      <c r="J119773"/>
    </row>
    <row r="119774" spans="10:10" x14ac:dyDescent="0.3">
      <c r="J119774"/>
    </row>
    <row r="119775" spans="10:10" x14ac:dyDescent="0.3">
      <c r="J119775"/>
    </row>
    <row r="119776" spans="10:10" x14ac:dyDescent="0.3">
      <c r="J119776"/>
    </row>
    <row r="119777" spans="10:10" x14ac:dyDescent="0.3">
      <c r="J119777"/>
    </row>
    <row r="119778" spans="10:10" x14ac:dyDescent="0.3">
      <c r="J119778"/>
    </row>
    <row r="119779" spans="10:10" x14ac:dyDescent="0.3">
      <c r="J119779"/>
    </row>
    <row r="119780" spans="10:10" x14ac:dyDescent="0.3">
      <c r="J119780"/>
    </row>
    <row r="119781" spans="10:10" x14ac:dyDescent="0.3">
      <c r="J119781"/>
    </row>
    <row r="119782" spans="10:10" x14ac:dyDescent="0.3">
      <c r="J119782"/>
    </row>
    <row r="119783" spans="10:10" x14ac:dyDescent="0.3">
      <c r="J119783"/>
    </row>
    <row r="119784" spans="10:10" x14ac:dyDescent="0.3">
      <c r="J119784"/>
    </row>
    <row r="119785" spans="10:10" x14ac:dyDescent="0.3">
      <c r="J119785"/>
    </row>
    <row r="119786" spans="10:10" x14ac:dyDescent="0.3">
      <c r="J119786"/>
    </row>
    <row r="119787" spans="10:10" x14ac:dyDescent="0.3">
      <c r="J119787"/>
    </row>
    <row r="119788" spans="10:10" x14ac:dyDescent="0.3">
      <c r="J119788"/>
    </row>
    <row r="119789" spans="10:10" x14ac:dyDescent="0.3">
      <c r="J119789"/>
    </row>
    <row r="119790" spans="10:10" x14ac:dyDescent="0.3">
      <c r="J119790"/>
    </row>
    <row r="119791" spans="10:10" x14ac:dyDescent="0.3">
      <c r="J119791"/>
    </row>
    <row r="119792" spans="10:10" x14ac:dyDescent="0.3">
      <c r="J119792"/>
    </row>
    <row r="119793" spans="10:10" x14ac:dyDescent="0.3">
      <c r="J119793"/>
    </row>
    <row r="119794" spans="10:10" x14ac:dyDescent="0.3">
      <c r="J119794"/>
    </row>
    <row r="119795" spans="10:10" x14ac:dyDescent="0.3">
      <c r="J119795"/>
    </row>
    <row r="119796" spans="10:10" x14ac:dyDescent="0.3">
      <c r="J119796"/>
    </row>
    <row r="119797" spans="10:10" x14ac:dyDescent="0.3">
      <c r="J119797"/>
    </row>
    <row r="119798" spans="10:10" x14ac:dyDescent="0.3">
      <c r="J119798"/>
    </row>
    <row r="119799" spans="10:10" x14ac:dyDescent="0.3">
      <c r="J119799"/>
    </row>
    <row r="119800" spans="10:10" x14ac:dyDescent="0.3">
      <c r="J119800"/>
    </row>
    <row r="119801" spans="10:10" x14ac:dyDescent="0.3">
      <c r="J119801"/>
    </row>
    <row r="119802" spans="10:10" x14ac:dyDescent="0.3">
      <c r="J119802"/>
    </row>
    <row r="119803" spans="10:10" x14ac:dyDescent="0.3">
      <c r="J119803"/>
    </row>
    <row r="119804" spans="10:10" x14ac:dyDescent="0.3">
      <c r="J119804"/>
    </row>
    <row r="119805" spans="10:10" x14ac:dyDescent="0.3">
      <c r="J119805"/>
    </row>
    <row r="119806" spans="10:10" x14ac:dyDescent="0.3">
      <c r="J119806"/>
    </row>
    <row r="119807" spans="10:10" x14ac:dyDescent="0.3">
      <c r="J119807"/>
    </row>
    <row r="119808" spans="10:10" x14ac:dyDescent="0.3">
      <c r="J119808"/>
    </row>
    <row r="119809" spans="10:10" x14ac:dyDescent="0.3">
      <c r="J119809"/>
    </row>
    <row r="119810" spans="10:10" x14ac:dyDescent="0.3">
      <c r="J119810"/>
    </row>
    <row r="119811" spans="10:10" x14ac:dyDescent="0.3">
      <c r="J119811"/>
    </row>
    <row r="119812" spans="10:10" x14ac:dyDescent="0.3">
      <c r="J119812"/>
    </row>
    <row r="119813" spans="10:10" x14ac:dyDescent="0.3">
      <c r="J119813"/>
    </row>
    <row r="119814" spans="10:10" x14ac:dyDescent="0.3">
      <c r="J119814"/>
    </row>
    <row r="119815" spans="10:10" x14ac:dyDescent="0.3">
      <c r="J119815"/>
    </row>
    <row r="119816" spans="10:10" x14ac:dyDescent="0.3">
      <c r="J119816"/>
    </row>
    <row r="119817" spans="10:10" x14ac:dyDescent="0.3">
      <c r="J119817"/>
    </row>
    <row r="119818" spans="10:10" x14ac:dyDescent="0.3">
      <c r="J119818"/>
    </row>
    <row r="119819" spans="10:10" x14ac:dyDescent="0.3">
      <c r="J119819"/>
    </row>
    <row r="119820" spans="10:10" x14ac:dyDescent="0.3">
      <c r="J119820"/>
    </row>
    <row r="119821" spans="10:10" x14ac:dyDescent="0.3">
      <c r="J119821"/>
    </row>
    <row r="119822" spans="10:10" x14ac:dyDescent="0.3">
      <c r="J119822"/>
    </row>
    <row r="119823" spans="10:10" x14ac:dyDescent="0.3">
      <c r="J119823"/>
    </row>
    <row r="119824" spans="10:10" x14ac:dyDescent="0.3">
      <c r="J119824"/>
    </row>
    <row r="119825" spans="10:10" x14ac:dyDescent="0.3">
      <c r="J119825"/>
    </row>
    <row r="119826" spans="10:10" x14ac:dyDescent="0.3">
      <c r="J119826"/>
    </row>
    <row r="119827" spans="10:10" x14ac:dyDescent="0.3">
      <c r="J119827"/>
    </row>
    <row r="119828" spans="10:10" x14ac:dyDescent="0.3">
      <c r="J119828"/>
    </row>
    <row r="119829" spans="10:10" x14ac:dyDescent="0.3">
      <c r="J119829"/>
    </row>
    <row r="119830" spans="10:10" x14ac:dyDescent="0.3">
      <c r="J119830"/>
    </row>
    <row r="119831" spans="10:10" x14ac:dyDescent="0.3">
      <c r="J119831"/>
    </row>
    <row r="119832" spans="10:10" x14ac:dyDescent="0.3">
      <c r="J119832"/>
    </row>
    <row r="119833" spans="10:10" x14ac:dyDescent="0.3">
      <c r="J119833"/>
    </row>
    <row r="119834" spans="10:10" x14ac:dyDescent="0.3">
      <c r="J119834"/>
    </row>
    <row r="119835" spans="10:10" x14ac:dyDescent="0.3">
      <c r="J119835"/>
    </row>
    <row r="119836" spans="10:10" x14ac:dyDescent="0.3">
      <c r="J119836"/>
    </row>
    <row r="119837" spans="10:10" x14ac:dyDescent="0.3">
      <c r="J119837"/>
    </row>
    <row r="119838" spans="10:10" x14ac:dyDescent="0.3">
      <c r="J119838"/>
    </row>
    <row r="119839" spans="10:10" x14ac:dyDescent="0.3">
      <c r="J119839"/>
    </row>
    <row r="119840" spans="10:10" x14ac:dyDescent="0.3">
      <c r="J119840"/>
    </row>
    <row r="119841" spans="10:10" x14ac:dyDescent="0.3">
      <c r="J119841"/>
    </row>
    <row r="119842" spans="10:10" x14ac:dyDescent="0.3">
      <c r="J119842"/>
    </row>
    <row r="119843" spans="10:10" x14ac:dyDescent="0.3">
      <c r="J119843"/>
    </row>
    <row r="119844" spans="10:10" x14ac:dyDescent="0.3">
      <c r="J119844"/>
    </row>
    <row r="119845" spans="10:10" x14ac:dyDescent="0.3">
      <c r="J119845"/>
    </row>
    <row r="119846" spans="10:10" x14ac:dyDescent="0.3">
      <c r="J119846"/>
    </row>
    <row r="119847" spans="10:10" x14ac:dyDescent="0.3">
      <c r="J119847"/>
    </row>
    <row r="119848" spans="10:10" x14ac:dyDescent="0.3">
      <c r="J119848"/>
    </row>
    <row r="119849" spans="10:10" x14ac:dyDescent="0.3">
      <c r="J119849"/>
    </row>
    <row r="119850" spans="10:10" x14ac:dyDescent="0.3">
      <c r="J119850"/>
    </row>
    <row r="119851" spans="10:10" x14ac:dyDescent="0.3">
      <c r="J119851"/>
    </row>
    <row r="119852" spans="10:10" x14ac:dyDescent="0.3">
      <c r="J119852"/>
    </row>
    <row r="119853" spans="10:10" x14ac:dyDescent="0.3">
      <c r="J119853"/>
    </row>
    <row r="119854" spans="10:10" x14ac:dyDescent="0.3">
      <c r="J119854"/>
    </row>
    <row r="119855" spans="10:10" x14ac:dyDescent="0.3">
      <c r="J119855"/>
    </row>
    <row r="119856" spans="10:10" x14ac:dyDescent="0.3">
      <c r="J119856"/>
    </row>
    <row r="119857" spans="10:10" x14ac:dyDescent="0.3">
      <c r="J119857"/>
    </row>
    <row r="119858" spans="10:10" x14ac:dyDescent="0.3">
      <c r="J119858"/>
    </row>
    <row r="119859" spans="10:10" x14ac:dyDescent="0.3">
      <c r="J119859"/>
    </row>
    <row r="119860" spans="10:10" x14ac:dyDescent="0.3">
      <c r="J119860"/>
    </row>
    <row r="119861" spans="10:10" x14ac:dyDescent="0.3">
      <c r="J119861"/>
    </row>
    <row r="119862" spans="10:10" x14ac:dyDescent="0.3">
      <c r="J119862"/>
    </row>
    <row r="119863" spans="10:10" x14ac:dyDescent="0.3">
      <c r="J119863"/>
    </row>
    <row r="119864" spans="10:10" x14ac:dyDescent="0.3">
      <c r="J119864"/>
    </row>
    <row r="119865" spans="10:10" x14ac:dyDescent="0.3">
      <c r="J119865"/>
    </row>
    <row r="119866" spans="10:10" x14ac:dyDescent="0.3">
      <c r="J119866"/>
    </row>
    <row r="119867" spans="10:10" x14ac:dyDescent="0.3">
      <c r="J119867"/>
    </row>
    <row r="119868" spans="10:10" x14ac:dyDescent="0.3">
      <c r="J119868"/>
    </row>
    <row r="119869" spans="10:10" x14ac:dyDescent="0.3">
      <c r="J119869"/>
    </row>
    <row r="119870" spans="10:10" x14ac:dyDescent="0.3">
      <c r="J119870"/>
    </row>
    <row r="119871" spans="10:10" x14ac:dyDescent="0.3">
      <c r="J119871"/>
    </row>
    <row r="119872" spans="10:10" x14ac:dyDescent="0.3">
      <c r="J119872"/>
    </row>
    <row r="119873" spans="10:10" x14ac:dyDescent="0.3">
      <c r="J119873"/>
    </row>
    <row r="119874" spans="10:10" x14ac:dyDescent="0.3">
      <c r="J119874"/>
    </row>
    <row r="119875" spans="10:10" x14ac:dyDescent="0.3">
      <c r="J119875"/>
    </row>
    <row r="119876" spans="10:10" x14ac:dyDescent="0.3">
      <c r="J119876"/>
    </row>
    <row r="119877" spans="10:10" x14ac:dyDescent="0.3">
      <c r="J119877"/>
    </row>
    <row r="119878" spans="10:10" x14ac:dyDescent="0.3">
      <c r="J119878"/>
    </row>
    <row r="119879" spans="10:10" x14ac:dyDescent="0.3">
      <c r="J119879"/>
    </row>
    <row r="119880" spans="10:10" x14ac:dyDescent="0.3">
      <c r="J119880"/>
    </row>
    <row r="119881" spans="10:10" x14ac:dyDescent="0.3">
      <c r="J119881"/>
    </row>
    <row r="119882" spans="10:10" x14ac:dyDescent="0.3">
      <c r="J119882"/>
    </row>
    <row r="119883" spans="10:10" x14ac:dyDescent="0.3">
      <c r="J119883"/>
    </row>
    <row r="119884" spans="10:10" x14ac:dyDescent="0.3">
      <c r="J119884"/>
    </row>
    <row r="119885" spans="10:10" x14ac:dyDescent="0.3">
      <c r="J119885"/>
    </row>
    <row r="119886" spans="10:10" x14ac:dyDescent="0.3">
      <c r="J119886"/>
    </row>
    <row r="119887" spans="10:10" x14ac:dyDescent="0.3">
      <c r="J119887"/>
    </row>
    <row r="119888" spans="10:10" x14ac:dyDescent="0.3">
      <c r="J119888"/>
    </row>
    <row r="119889" spans="10:10" x14ac:dyDescent="0.3">
      <c r="J119889"/>
    </row>
    <row r="119890" spans="10:10" x14ac:dyDescent="0.3">
      <c r="J119890"/>
    </row>
    <row r="119891" spans="10:10" x14ac:dyDescent="0.3">
      <c r="J119891"/>
    </row>
    <row r="119892" spans="10:10" x14ac:dyDescent="0.3">
      <c r="J119892"/>
    </row>
    <row r="119893" spans="10:10" x14ac:dyDescent="0.3">
      <c r="J119893"/>
    </row>
    <row r="119894" spans="10:10" x14ac:dyDescent="0.3">
      <c r="J119894"/>
    </row>
    <row r="119895" spans="10:10" x14ac:dyDescent="0.3">
      <c r="J119895"/>
    </row>
    <row r="119896" spans="10:10" x14ac:dyDescent="0.3">
      <c r="J119896"/>
    </row>
    <row r="119897" spans="10:10" x14ac:dyDescent="0.3">
      <c r="J119897"/>
    </row>
    <row r="119898" spans="10:10" x14ac:dyDescent="0.3">
      <c r="J119898"/>
    </row>
    <row r="119899" spans="10:10" x14ac:dyDescent="0.3">
      <c r="J119899"/>
    </row>
    <row r="119900" spans="10:10" x14ac:dyDescent="0.3">
      <c r="J119900"/>
    </row>
    <row r="119901" spans="10:10" x14ac:dyDescent="0.3">
      <c r="J119901"/>
    </row>
    <row r="119902" spans="10:10" x14ac:dyDescent="0.3">
      <c r="J119902"/>
    </row>
    <row r="119903" spans="10:10" x14ac:dyDescent="0.3">
      <c r="J119903"/>
    </row>
    <row r="119904" spans="10:10" x14ac:dyDescent="0.3">
      <c r="J119904"/>
    </row>
    <row r="119905" spans="10:10" x14ac:dyDescent="0.3">
      <c r="J119905"/>
    </row>
    <row r="119906" spans="10:10" x14ac:dyDescent="0.3">
      <c r="J119906"/>
    </row>
    <row r="119907" spans="10:10" x14ac:dyDescent="0.3">
      <c r="J119907"/>
    </row>
    <row r="119908" spans="10:10" x14ac:dyDescent="0.3">
      <c r="J119908"/>
    </row>
    <row r="119909" spans="10:10" x14ac:dyDescent="0.3">
      <c r="J119909"/>
    </row>
    <row r="119910" spans="10:10" x14ac:dyDescent="0.3">
      <c r="J119910"/>
    </row>
    <row r="119911" spans="10:10" x14ac:dyDescent="0.3">
      <c r="J119911"/>
    </row>
    <row r="119912" spans="10:10" x14ac:dyDescent="0.3">
      <c r="J119912"/>
    </row>
    <row r="119913" spans="10:10" x14ac:dyDescent="0.3">
      <c r="J119913"/>
    </row>
    <row r="119914" spans="10:10" x14ac:dyDescent="0.3">
      <c r="J119914"/>
    </row>
    <row r="119915" spans="10:10" x14ac:dyDescent="0.3">
      <c r="J119915"/>
    </row>
    <row r="119916" spans="10:10" x14ac:dyDescent="0.3">
      <c r="J119916"/>
    </row>
    <row r="119917" spans="10:10" x14ac:dyDescent="0.3">
      <c r="J119917"/>
    </row>
    <row r="119918" spans="10:10" x14ac:dyDescent="0.3">
      <c r="J119918"/>
    </row>
    <row r="119919" spans="10:10" x14ac:dyDescent="0.3">
      <c r="J119919"/>
    </row>
    <row r="119920" spans="10:10" x14ac:dyDescent="0.3">
      <c r="J119920"/>
    </row>
    <row r="119921" spans="10:10" x14ac:dyDescent="0.3">
      <c r="J119921"/>
    </row>
    <row r="119922" spans="10:10" x14ac:dyDescent="0.3">
      <c r="J119922"/>
    </row>
    <row r="119923" spans="10:10" x14ac:dyDescent="0.3">
      <c r="J119923"/>
    </row>
    <row r="119924" spans="10:10" x14ac:dyDescent="0.3">
      <c r="J119924"/>
    </row>
    <row r="119925" spans="10:10" x14ac:dyDescent="0.3">
      <c r="J119925"/>
    </row>
    <row r="119926" spans="10:10" x14ac:dyDescent="0.3">
      <c r="J119926"/>
    </row>
    <row r="119927" spans="10:10" x14ac:dyDescent="0.3">
      <c r="J119927"/>
    </row>
    <row r="119928" spans="10:10" x14ac:dyDescent="0.3">
      <c r="J119928"/>
    </row>
    <row r="119929" spans="10:10" x14ac:dyDescent="0.3">
      <c r="J119929"/>
    </row>
    <row r="119930" spans="10:10" x14ac:dyDescent="0.3">
      <c r="J119930"/>
    </row>
    <row r="119931" spans="10:10" x14ac:dyDescent="0.3">
      <c r="J119931"/>
    </row>
    <row r="119932" spans="10:10" x14ac:dyDescent="0.3">
      <c r="J119932"/>
    </row>
    <row r="119933" spans="10:10" x14ac:dyDescent="0.3">
      <c r="J119933"/>
    </row>
    <row r="119934" spans="10:10" x14ac:dyDescent="0.3">
      <c r="J119934"/>
    </row>
    <row r="119935" spans="10:10" x14ac:dyDescent="0.3">
      <c r="J119935"/>
    </row>
    <row r="119936" spans="10:10" x14ac:dyDescent="0.3">
      <c r="J119936"/>
    </row>
    <row r="119937" spans="10:10" x14ac:dyDescent="0.3">
      <c r="J119937"/>
    </row>
    <row r="119938" spans="10:10" x14ac:dyDescent="0.3">
      <c r="J119938"/>
    </row>
    <row r="119939" spans="10:10" x14ac:dyDescent="0.3">
      <c r="J119939"/>
    </row>
    <row r="119940" spans="10:10" x14ac:dyDescent="0.3">
      <c r="J119940"/>
    </row>
    <row r="119941" spans="10:10" x14ac:dyDescent="0.3">
      <c r="J119941"/>
    </row>
    <row r="119942" spans="10:10" x14ac:dyDescent="0.3">
      <c r="J119942"/>
    </row>
    <row r="119943" spans="10:10" x14ac:dyDescent="0.3">
      <c r="J119943"/>
    </row>
    <row r="119944" spans="10:10" x14ac:dyDescent="0.3">
      <c r="J119944"/>
    </row>
    <row r="119945" spans="10:10" x14ac:dyDescent="0.3">
      <c r="J119945"/>
    </row>
    <row r="119946" spans="10:10" x14ac:dyDescent="0.3">
      <c r="J119946"/>
    </row>
    <row r="119947" spans="10:10" x14ac:dyDescent="0.3">
      <c r="J119947"/>
    </row>
    <row r="119948" spans="10:10" x14ac:dyDescent="0.3">
      <c r="J119948"/>
    </row>
    <row r="119949" spans="10:10" x14ac:dyDescent="0.3">
      <c r="J119949"/>
    </row>
    <row r="119950" spans="10:10" x14ac:dyDescent="0.3">
      <c r="J119950"/>
    </row>
    <row r="119951" spans="10:10" x14ac:dyDescent="0.3">
      <c r="J119951"/>
    </row>
    <row r="119952" spans="10:10" x14ac:dyDescent="0.3">
      <c r="J119952"/>
    </row>
    <row r="119953" spans="10:10" x14ac:dyDescent="0.3">
      <c r="J119953"/>
    </row>
    <row r="119954" spans="10:10" x14ac:dyDescent="0.3">
      <c r="J119954"/>
    </row>
    <row r="119955" spans="10:10" x14ac:dyDescent="0.3">
      <c r="J119955"/>
    </row>
    <row r="119956" spans="10:10" x14ac:dyDescent="0.3">
      <c r="J119956"/>
    </row>
    <row r="119957" spans="10:10" x14ac:dyDescent="0.3">
      <c r="J119957"/>
    </row>
    <row r="119958" spans="10:10" x14ac:dyDescent="0.3">
      <c r="J119958"/>
    </row>
    <row r="119959" spans="10:10" x14ac:dyDescent="0.3">
      <c r="J119959"/>
    </row>
    <row r="119960" spans="10:10" x14ac:dyDescent="0.3">
      <c r="J119960"/>
    </row>
    <row r="119961" spans="10:10" x14ac:dyDescent="0.3">
      <c r="J119961"/>
    </row>
    <row r="119962" spans="10:10" x14ac:dyDescent="0.3">
      <c r="J119962"/>
    </row>
    <row r="119963" spans="10:10" x14ac:dyDescent="0.3">
      <c r="J119963"/>
    </row>
    <row r="119964" spans="10:10" x14ac:dyDescent="0.3">
      <c r="J119964"/>
    </row>
    <row r="119965" spans="10:10" x14ac:dyDescent="0.3">
      <c r="J119965"/>
    </row>
    <row r="119966" spans="10:10" x14ac:dyDescent="0.3">
      <c r="J119966"/>
    </row>
    <row r="119967" spans="10:10" x14ac:dyDescent="0.3">
      <c r="J119967"/>
    </row>
    <row r="119968" spans="10:10" x14ac:dyDescent="0.3">
      <c r="J119968"/>
    </row>
    <row r="119969" spans="10:10" x14ac:dyDescent="0.3">
      <c r="J119969"/>
    </row>
    <row r="119970" spans="10:10" x14ac:dyDescent="0.3">
      <c r="J119970"/>
    </row>
    <row r="119971" spans="10:10" x14ac:dyDescent="0.3">
      <c r="J119971"/>
    </row>
    <row r="119972" spans="10:10" x14ac:dyDescent="0.3">
      <c r="J119972"/>
    </row>
    <row r="119973" spans="10:10" x14ac:dyDescent="0.3">
      <c r="J119973"/>
    </row>
    <row r="119974" spans="10:10" x14ac:dyDescent="0.3">
      <c r="J119974"/>
    </row>
    <row r="119975" spans="10:10" x14ac:dyDescent="0.3">
      <c r="J119975"/>
    </row>
    <row r="119976" spans="10:10" x14ac:dyDescent="0.3">
      <c r="J119976"/>
    </row>
    <row r="119977" spans="10:10" x14ac:dyDescent="0.3">
      <c r="J119977"/>
    </row>
    <row r="119978" spans="10:10" x14ac:dyDescent="0.3">
      <c r="J119978"/>
    </row>
    <row r="119979" spans="10:10" x14ac:dyDescent="0.3">
      <c r="J119979"/>
    </row>
    <row r="119980" spans="10:10" x14ac:dyDescent="0.3">
      <c r="J119980"/>
    </row>
    <row r="119981" spans="10:10" x14ac:dyDescent="0.3">
      <c r="J119981"/>
    </row>
    <row r="119982" spans="10:10" x14ac:dyDescent="0.3">
      <c r="J119982"/>
    </row>
    <row r="119983" spans="10:10" x14ac:dyDescent="0.3">
      <c r="J119983"/>
    </row>
    <row r="119984" spans="10:10" x14ac:dyDescent="0.3">
      <c r="J119984"/>
    </row>
    <row r="119985" spans="10:10" x14ac:dyDescent="0.3">
      <c r="J119985"/>
    </row>
    <row r="119986" spans="10:10" x14ac:dyDescent="0.3">
      <c r="J119986"/>
    </row>
    <row r="119987" spans="10:10" x14ac:dyDescent="0.3">
      <c r="J119987"/>
    </row>
    <row r="119988" spans="10:10" x14ac:dyDescent="0.3">
      <c r="J119988"/>
    </row>
    <row r="119989" spans="10:10" x14ac:dyDescent="0.3">
      <c r="J119989"/>
    </row>
    <row r="119990" spans="10:10" x14ac:dyDescent="0.3">
      <c r="J119990"/>
    </row>
    <row r="119991" spans="10:10" x14ac:dyDescent="0.3">
      <c r="J119991"/>
    </row>
    <row r="119992" spans="10:10" x14ac:dyDescent="0.3">
      <c r="J119992"/>
    </row>
    <row r="119993" spans="10:10" x14ac:dyDescent="0.3">
      <c r="J119993"/>
    </row>
    <row r="119994" spans="10:10" x14ac:dyDescent="0.3">
      <c r="J119994"/>
    </row>
    <row r="119995" spans="10:10" x14ac:dyDescent="0.3">
      <c r="J119995"/>
    </row>
    <row r="119996" spans="10:10" x14ac:dyDescent="0.3">
      <c r="J119996"/>
    </row>
    <row r="119997" spans="10:10" x14ac:dyDescent="0.3">
      <c r="J119997"/>
    </row>
    <row r="119998" spans="10:10" x14ac:dyDescent="0.3">
      <c r="J119998"/>
    </row>
    <row r="119999" spans="10:10" x14ac:dyDescent="0.3">
      <c r="J119999"/>
    </row>
    <row r="120000" spans="10:10" x14ac:dyDescent="0.3">
      <c r="J120000"/>
    </row>
    <row r="120001" spans="10:10" x14ac:dyDescent="0.3">
      <c r="J120001"/>
    </row>
    <row r="120002" spans="10:10" x14ac:dyDescent="0.3">
      <c r="J120002"/>
    </row>
    <row r="120003" spans="10:10" x14ac:dyDescent="0.3">
      <c r="J120003"/>
    </row>
    <row r="120004" spans="10:10" x14ac:dyDescent="0.3">
      <c r="J120004"/>
    </row>
    <row r="120005" spans="10:10" x14ac:dyDescent="0.3">
      <c r="J120005"/>
    </row>
    <row r="120006" spans="10:10" x14ac:dyDescent="0.3">
      <c r="J120006"/>
    </row>
    <row r="120007" spans="10:10" x14ac:dyDescent="0.3">
      <c r="J120007"/>
    </row>
    <row r="120008" spans="10:10" x14ac:dyDescent="0.3">
      <c r="J120008"/>
    </row>
    <row r="120009" spans="10:10" x14ac:dyDescent="0.3">
      <c r="J120009"/>
    </row>
    <row r="120010" spans="10:10" x14ac:dyDescent="0.3">
      <c r="J120010"/>
    </row>
    <row r="120011" spans="10:10" x14ac:dyDescent="0.3">
      <c r="J120011"/>
    </row>
    <row r="120012" spans="10:10" x14ac:dyDescent="0.3">
      <c r="J120012"/>
    </row>
    <row r="120013" spans="10:10" x14ac:dyDescent="0.3">
      <c r="J120013"/>
    </row>
    <row r="120014" spans="10:10" x14ac:dyDescent="0.3">
      <c r="J120014"/>
    </row>
    <row r="120015" spans="10:10" x14ac:dyDescent="0.3">
      <c r="J120015"/>
    </row>
    <row r="120016" spans="10:10" x14ac:dyDescent="0.3">
      <c r="J120016"/>
    </row>
    <row r="120017" spans="10:10" x14ac:dyDescent="0.3">
      <c r="J120017"/>
    </row>
    <row r="120018" spans="10:10" x14ac:dyDescent="0.3">
      <c r="J120018"/>
    </row>
    <row r="120019" spans="10:10" x14ac:dyDescent="0.3">
      <c r="J120019"/>
    </row>
    <row r="120020" spans="10:10" x14ac:dyDescent="0.3">
      <c r="J120020"/>
    </row>
    <row r="120021" spans="10:10" x14ac:dyDescent="0.3">
      <c r="J120021"/>
    </row>
    <row r="120022" spans="10:10" x14ac:dyDescent="0.3">
      <c r="J120022"/>
    </row>
    <row r="120023" spans="10:10" x14ac:dyDescent="0.3">
      <c r="J120023"/>
    </row>
    <row r="120024" spans="10:10" x14ac:dyDescent="0.3">
      <c r="J120024"/>
    </row>
    <row r="120025" spans="10:10" x14ac:dyDescent="0.3">
      <c r="J120025"/>
    </row>
    <row r="120026" spans="10:10" x14ac:dyDescent="0.3">
      <c r="J120026"/>
    </row>
    <row r="120027" spans="10:10" x14ac:dyDescent="0.3">
      <c r="J120027"/>
    </row>
    <row r="120028" spans="10:10" x14ac:dyDescent="0.3">
      <c r="J120028"/>
    </row>
    <row r="120029" spans="10:10" x14ac:dyDescent="0.3">
      <c r="J120029"/>
    </row>
    <row r="120030" spans="10:10" x14ac:dyDescent="0.3">
      <c r="J120030"/>
    </row>
    <row r="120031" spans="10:10" x14ac:dyDescent="0.3">
      <c r="J120031"/>
    </row>
    <row r="120032" spans="10:10" x14ac:dyDescent="0.3">
      <c r="J120032"/>
    </row>
    <row r="120033" spans="10:10" x14ac:dyDescent="0.3">
      <c r="J120033"/>
    </row>
    <row r="120034" spans="10:10" x14ac:dyDescent="0.3">
      <c r="J120034"/>
    </row>
    <row r="120035" spans="10:10" x14ac:dyDescent="0.3">
      <c r="J120035"/>
    </row>
    <row r="120036" spans="10:10" x14ac:dyDescent="0.3">
      <c r="J120036"/>
    </row>
    <row r="120037" spans="10:10" x14ac:dyDescent="0.3">
      <c r="J120037"/>
    </row>
    <row r="120038" spans="10:10" x14ac:dyDescent="0.3">
      <c r="J120038"/>
    </row>
    <row r="120039" spans="10:10" x14ac:dyDescent="0.3">
      <c r="J120039"/>
    </row>
    <row r="120040" spans="10:10" x14ac:dyDescent="0.3">
      <c r="J120040"/>
    </row>
    <row r="120041" spans="10:10" x14ac:dyDescent="0.3">
      <c r="J120041"/>
    </row>
    <row r="120042" spans="10:10" x14ac:dyDescent="0.3">
      <c r="J120042"/>
    </row>
    <row r="120043" spans="10:10" x14ac:dyDescent="0.3">
      <c r="J120043"/>
    </row>
    <row r="120044" spans="10:10" x14ac:dyDescent="0.3">
      <c r="J120044"/>
    </row>
    <row r="120045" spans="10:10" x14ac:dyDescent="0.3">
      <c r="J120045"/>
    </row>
    <row r="120046" spans="10:10" x14ac:dyDescent="0.3">
      <c r="J120046"/>
    </row>
    <row r="120047" spans="10:10" x14ac:dyDescent="0.3">
      <c r="J120047"/>
    </row>
    <row r="120048" spans="10:10" x14ac:dyDescent="0.3">
      <c r="J120048"/>
    </row>
    <row r="120049" spans="10:10" x14ac:dyDescent="0.3">
      <c r="J120049"/>
    </row>
    <row r="120050" spans="10:10" x14ac:dyDescent="0.3">
      <c r="J120050"/>
    </row>
    <row r="120051" spans="10:10" x14ac:dyDescent="0.3">
      <c r="J120051"/>
    </row>
    <row r="120052" spans="10:10" x14ac:dyDescent="0.3">
      <c r="J120052"/>
    </row>
    <row r="120053" spans="10:10" x14ac:dyDescent="0.3">
      <c r="J120053"/>
    </row>
    <row r="120054" spans="10:10" x14ac:dyDescent="0.3">
      <c r="J120054"/>
    </row>
    <row r="120055" spans="10:10" x14ac:dyDescent="0.3">
      <c r="J120055"/>
    </row>
    <row r="120056" spans="10:10" x14ac:dyDescent="0.3">
      <c r="J120056"/>
    </row>
    <row r="120057" spans="10:10" x14ac:dyDescent="0.3">
      <c r="J120057"/>
    </row>
    <row r="120058" spans="10:10" x14ac:dyDescent="0.3">
      <c r="J120058"/>
    </row>
    <row r="120059" spans="10:10" x14ac:dyDescent="0.3">
      <c r="J120059"/>
    </row>
    <row r="120060" spans="10:10" x14ac:dyDescent="0.3">
      <c r="J120060"/>
    </row>
    <row r="120061" spans="10:10" x14ac:dyDescent="0.3">
      <c r="J120061"/>
    </row>
    <row r="120062" spans="10:10" x14ac:dyDescent="0.3">
      <c r="J120062"/>
    </row>
    <row r="120063" spans="10:10" x14ac:dyDescent="0.3">
      <c r="J120063"/>
    </row>
    <row r="120064" spans="10:10" x14ac:dyDescent="0.3">
      <c r="J120064"/>
    </row>
    <row r="120065" spans="10:10" x14ac:dyDescent="0.3">
      <c r="J120065"/>
    </row>
    <row r="120066" spans="10:10" x14ac:dyDescent="0.3">
      <c r="J120066"/>
    </row>
    <row r="120067" spans="10:10" x14ac:dyDescent="0.3">
      <c r="J120067"/>
    </row>
    <row r="120068" spans="10:10" x14ac:dyDescent="0.3">
      <c r="J120068"/>
    </row>
    <row r="120069" spans="10:10" x14ac:dyDescent="0.3">
      <c r="J120069"/>
    </row>
    <row r="120070" spans="10:10" x14ac:dyDescent="0.3">
      <c r="J120070"/>
    </row>
    <row r="120071" spans="10:10" x14ac:dyDescent="0.3">
      <c r="J120071"/>
    </row>
    <row r="120072" spans="10:10" x14ac:dyDescent="0.3">
      <c r="J120072"/>
    </row>
    <row r="120073" spans="10:10" x14ac:dyDescent="0.3">
      <c r="J120073"/>
    </row>
    <row r="120074" spans="10:10" x14ac:dyDescent="0.3">
      <c r="J120074"/>
    </row>
    <row r="120075" spans="10:10" x14ac:dyDescent="0.3">
      <c r="J120075"/>
    </row>
    <row r="120076" spans="10:10" x14ac:dyDescent="0.3">
      <c r="J120076"/>
    </row>
    <row r="120077" spans="10:10" x14ac:dyDescent="0.3">
      <c r="J120077"/>
    </row>
    <row r="120078" spans="10:10" x14ac:dyDescent="0.3">
      <c r="J120078"/>
    </row>
    <row r="120079" spans="10:10" x14ac:dyDescent="0.3">
      <c r="J120079"/>
    </row>
    <row r="120080" spans="10:10" x14ac:dyDescent="0.3">
      <c r="J120080"/>
    </row>
    <row r="120081" spans="10:10" x14ac:dyDescent="0.3">
      <c r="J120081"/>
    </row>
    <row r="120082" spans="10:10" x14ac:dyDescent="0.3">
      <c r="J120082"/>
    </row>
    <row r="120083" spans="10:10" x14ac:dyDescent="0.3">
      <c r="J120083"/>
    </row>
    <row r="120084" spans="10:10" x14ac:dyDescent="0.3">
      <c r="J120084"/>
    </row>
    <row r="120085" spans="10:10" x14ac:dyDescent="0.3">
      <c r="J120085"/>
    </row>
    <row r="120086" spans="10:10" x14ac:dyDescent="0.3">
      <c r="J120086"/>
    </row>
    <row r="120087" spans="10:10" x14ac:dyDescent="0.3">
      <c r="J120087"/>
    </row>
    <row r="120088" spans="10:10" x14ac:dyDescent="0.3">
      <c r="J120088"/>
    </row>
    <row r="120089" spans="10:10" x14ac:dyDescent="0.3">
      <c r="J120089"/>
    </row>
    <row r="120090" spans="10:10" x14ac:dyDescent="0.3">
      <c r="J120090"/>
    </row>
    <row r="120091" spans="10:10" x14ac:dyDescent="0.3">
      <c r="J120091"/>
    </row>
    <row r="120092" spans="10:10" x14ac:dyDescent="0.3">
      <c r="J120092"/>
    </row>
    <row r="120093" spans="10:10" x14ac:dyDescent="0.3">
      <c r="J120093"/>
    </row>
    <row r="120094" spans="10:10" x14ac:dyDescent="0.3">
      <c r="J120094"/>
    </row>
    <row r="120095" spans="10:10" x14ac:dyDescent="0.3">
      <c r="J120095"/>
    </row>
    <row r="120096" spans="10:10" x14ac:dyDescent="0.3">
      <c r="J120096"/>
    </row>
    <row r="120097" spans="10:10" x14ac:dyDescent="0.3">
      <c r="J120097"/>
    </row>
    <row r="120098" spans="10:10" x14ac:dyDescent="0.3">
      <c r="J120098"/>
    </row>
    <row r="120099" spans="10:10" x14ac:dyDescent="0.3">
      <c r="J120099"/>
    </row>
    <row r="120100" spans="10:10" x14ac:dyDescent="0.3">
      <c r="J120100"/>
    </row>
    <row r="120101" spans="10:10" x14ac:dyDescent="0.3">
      <c r="J120101"/>
    </row>
    <row r="120102" spans="10:10" x14ac:dyDescent="0.3">
      <c r="J120102"/>
    </row>
    <row r="120103" spans="10:10" x14ac:dyDescent="0.3">
      <c r="J120103"/>
    </row>
    <row r="120104" spans="10:10" x14ac:dyDescent="0.3">
      <c r="J120104"/>
    </row>
    <row r="120105" spans="10:10" x14ac:dyDescent="0.3">
      <c r="J120105"/>
    </row>
    <row r="120106" spans="10:10" x14ac:dyDescent="0.3">
      <c r="J120106"/>
    </row>
    <row r="120107" spans="10:10" x14ac:dyDescent="0.3">
      <c r="J120107"/>
    </row>
    <row r="120108" spans="10:10" x14ac:dyDescent="0.3">
      <c r="J120108"/>
    </row>
    <row r="120109" spans="10:10" x14ac:dyDescent="0.3">
      <c r="J120109"/>
    </row>
    <row r="120110" spans="10:10" x14ac:dyDescent="0.3">
      <c r="J120110"/>
    </row>
    <row r="120111" spans="10:10" x14ac:dyDescent="0.3">
      <c r="J120111"/>
    </row>
    <row r="120112" spans="10:10" x14ac:dyDescent="0.3">
      <c r="J120112"/>
    </row>
    <row r="120113" spans="10:10" x14ac:dyDescent="0.3">
      <c r="J120113"/>
    </row>
    <row r="120114" spans="10:10" x14ac:dyDescent="0.3">
      <c r="J120114"/>
    </row>
    <row r="120115" spans="10:10" x14ac:dyDescent="0.3">
      <c r="J120115"/>
    </row>
    <row r="120116" spans="10:10" x14ac:dyDescent="0.3">
      <c r="J120116"/>
    </row>
    <row r="120117" spans="10:10" x14ac:dyDescent="0.3">
      <c r="J120117"/>
    </row>
    <row r="120118" spans="10:10" x14ac:dyDescent="0.3">
      <c r="J120118"/>
    </row>
    <row r="120119" spans="10:10" x14ac:dyDescent="0.3">
      <c r="J120119"/>
    </row>
    <row r="120120" spans="10:10" x14ac:dyDescent="0.3">
      <c r="J120120"/>
    </row>
    <row r="120121" spans="10:10" x14ac:dyDescent="0.3">
      <c r="J120121"/>
    </row>
    <row r="120122" spans="10:10" x14ac:dyDescent="0.3">
      <c r="J120122"/>
    </row>
    <row r="120123" spans="10:10" x14ac:dyDescent="0.3">
      <c r="J120123"/>
    </row>
    <row r="120124" spans="10:10" x14ac:dyDescent="0.3">
      <c r="J120124"/>
    </row>
    <row r="120125" spans="10:10" x14ac:dyDescent="0.3">
      <c r="J120125"/>
    </row>
    <row r="120126" spans="10:10" x14ac:dyDescent="0.3">
      <c r="J120126"/>
    </row>
    <row r="120127" spans="10:10" x14ac:dyDescent="0.3">
      <c r="J120127"/>
    </row>
    <row r="120128" spans="10:10" x14ac:dyDescent="0.3">
      <c r="J120128"/>
    </row>
    <row r="120129" spans="10:10" x14ac:dyDescent="0.3">
      <c r="J120129"/>
    </row>
    <row r="120130" spans="10:10" x14ac:dyDescent="0.3">
      <c r="J120130"/>
    </row>
    <row r="120131" spans="10:10" x14ac:dyDescent="0.3">
      <c r="J120131"/>
    </row>
    <row r="120132" spans="10:10" x14ac:dyDescent="0.3">
      <c r="J120132"/>
    </row>
    <row r="120133" spans="10:10" x14ac:dyDescent="0.3">
      <c r="J120133"/>
    </row>
    <row r="120134" spans="10:10" x14ac:dyDescent="0.3">
      <c r="J120134"/>
    </row>
    <row r="120135" spans="10:10" x14ac:dyDescent="0.3">
      <c r="J120135"/>
    </row>
    <row r="120136" spans="10:10" x14ac:dyDescent="0.3">
      <c r="J120136"/>
    </row>
    <row r="120137" spans="10:10" x14ac:dyDescent="0.3">
      <c r="J120137"/>
    </row>
    <row r="120138" spans="10:10" x14ac:dyDescent="0.3">
      <c r="J120138"/>
    </row>
    <row r="120139" spans="10:10" x14ac:dyDescent="0.3">
      <c r="J120139"/>
    </row>
    <row r="120140" spans="10:10" x14ac:dyDescent="0.3">
      <c r="J120140"/>
    </row>
    <row r="120141" spans="10:10" x14ac:dyDescent="0.3">
      <c r="J120141"/>
    </row>
    <row r="120142" spans="10:10" x14ac:dyDescent="0.3">
      <c r="J120142"/>
    </row>
    <row r="120143" spans="10:10" x14ac:dyDescent="0.3">
      <c r="J120143"/>
    </row>
    <row r="120144" spans="10:10" x14ac:dyDescent="0.3">
      <c r="J120144"/>
    </row>
    <row r="120145" spans="10:10" x14ac:dyDescent="0.3">
      <c r="J120145"/>
    </row>
    <row r="120146" spans="10:10" x14ac:dyDescent="0.3">
      <c r="J120146"/>
    </row>
    <row r="120147" spans="10:10" x14ac:dyDescent="0.3">
      <c r="J120147"/>
    </row>
    <row r="120148" spans="10:10" x14ac:dyDescent="0.3">
      <c r="J120148"/>
    </row>
    <row r="120149" spans="10:10" x14ac:dyDescent="0.3">
      <c r="J120149"/>
    </row>
    <row r="120150" spans="10:10" x14ac:dyDescent="0.3">
      <c r="J120150"/>
    </row>
    <row r="120151" spans="10:10" x14ac:dyDescent="0.3">
      <c r="J120151"/>
    </row>
    <row r="120152" spans="10:10" x14ac:dyDescent="0.3">
      <c r="J120152"/>
    </row>
    <row r="120153" spans="10:10" x14ac:dyDescent="0.3">
      <c r="J120153"/>
    </row>
    <row r="120154" spans="10:10" x14ac:dyDescent="0.3">
      <c r="J120154"/>
    </row>
    <row r="120155" spans="10:10" x14ac:dyDescent="0.3">
      <c r="J120155"/>
    </row>
    <row r="120156" spans="10:10" x14ac:dyDescent="0.3">
      <c r="J120156"/>
    </row>
    <row r="120157" spans="10:10" x14ac:dyDescent="0.3">
      <c r="J120157"/>
    </row>
    <row r="120158" spans="10:10" x14ac:dyDescent="0.3">
      <c r="J120158"/>
    </row>
    <row r="120159" spans="10:10" x14ac:dyDescent="0.3">
      <c r="J120159"/>
    </row>
    <row r="120160" spans="10:10" x14ac:dyDescent="0.3">
      <c r="J120160"/>
    </row>
    <row r="120161" spans="10:10" x14ac:dyDescent="0.3">
      <c r="J120161"/>
    </row>
    <row r="120162" spans="10:10" x14ac:dyDescent="0.3">
      <c r="J120162"/>
    </row>
    <row r="120163" spans="10:10" x14ac:dyDescent="0.3">
      <c r="J120163"/>
    </row>
    <row r="120164" spans="10:10" x14ac:dyDescent="0.3">
      <c r="J120164"/>
    </row>
    <row r="120165" spans="10:10" x14ac:dyDescent="0.3">
      <c r="J120165"/>
    </row>
    <row r="120166" spans="10:10" x14ac:dyDescent="0.3">
      <c r="J120166"/>
    </row>
    <row r="120167" spans="10:10" x14ac:dyDescent="0.3">
      <c r="J120167"/>
    </row>
    <row r="120168" spans="10:10" x14ac:dyDescent="0.3">
      <c r="J120168"/>
    </row>
    <row r="120169" spans="10:10" x14ac:dyDescent="0.3">
      <c r="J120169"/>
    </row>
    <row r="120170" spans="10:10" x14ac:dyDescent="0.3">
      <c r="J120170"/>
    </row>
    <row r="120171" spans="10:10" x14ac:dyDescent="0.3">
      <c r="J120171"/>
    </row>
    <row r="120172" spans="10:10" x14ac:dyDescent="0.3">
      <c r="J120172"/>
    </row>
    <row r="120173" spans="10:10" x14ac:dyDescent="0.3">
      <c r="J120173"/>
    </row>
    <row r="120174" spans="10:10" x14ac:dyDescent="0.3">
      <c r="J120174"/>
    </row>
    <row r="120175" spans="10:10" x14ac:dyDescent="0.3">
      <c r="J120175"/>
    </row>
    <row r="120176" spans="10:10" x14ac:dyDescent="0.3">
      <c r="J120176"/>
    </row>
    <row r="120177" spans="10:10" x14ac:dyDescent="0.3">
      <c r="J120177"/>
    </row>
    <row r="120178" spans="10:10" x14ac:dyDescent="0.3">
      <c r="J120178"/>
    </row>
    <row r="120179" spans="10:10" x14ac:dyDescent="0.3">
      <c r="J120179"/>
    </row>
    <row r="120180" spans="10:10" x14ac:dyDescent="0.3">
      <c r="J120180"/>
    </row>
    <row r="120181" spans="10:10" x14ac:dyDescent="0.3">
      <c r="J120181"/>
    </row>
    <row r="120182" spans="10:10" x14ac:dyDescent="0.3">
      <c r="J120182"/>
    </row>
    <row r="120183" spans="10:10" x14ac:dyDescent="0.3">
      <c r="J120183"/>
    </row>
    <row r="120184" spans="10:10" x14ac:dyDescent="0.3">
      <c r="J120184"/>
    </row>
    <row r="120185" spans="10:10" x14ac:dyDescent="0.3">
      <c r="J120185"/>
    </row>
    <row r="120186" spans="10:10" x14ac:dyDescent="0.3">
      <c r="J120186"/>
    </row>
    <row r="120187" spans="10:10" x14ac:dyDescent="0.3">
      <c r="J120187"/>
    </row>
    <row r="120188" spans="10:10" x14ac:dyDescent="0.3">
      <c r="J120188"/>
    </row>
    <row r="120189" spans="10:10" x14ac:dyDescent="0.3">
      <c r="J120189"/>
    </row>
    <row r="120190" spans="10:10" x14ac:dyDescent="0.3">
      <c r="J120190"/>
    </row>
    <row r="120191" spans="10:10" x14ac:dyDescent="0.3">
      <c r="J120191"/>
    </row>
    <row r="120192" spans="10:10" x14ac:dyDescent="0.3">
      <c r="J120192"/>
    </row>
    <row r="120193" spans="10:10" x14ac:dyDescent="0.3">
      <c r="J120193"/>
    </row>
    <row r="120194" spans="10:10" x14ac:dyDescent="0.3">
      <c r="J120194"/>
    </row>
    <row r="120195" spans="10:10" x14ac:dyDescent="0.3">
      <c r="J120195"/>
    </row>
    <row r="120196" spans="10:10" x14ac:dyDescent="0.3">
      <c r="J120196"/>
    </row>
    <row r="120197" spans="10:10" x14ac:dyDescent="0.3">
      <c r="J120197"/>
    </row>
    <row r="120198" spans="10:10" x14ac:dyDescent="0.3">
      <c r="J120198"/>
    </row>
    <row r="120199" spans="10:10" x14ac:dyDescent="0.3">
      <c r="J120199"/>
    </row>
    <row r="120200" spans="10:10" x14ac:dyDescent="0.3">
      <c r="J120200"/>
    </row>
    <row r="120201" spans="10:10" x14ac:dyDescent="0.3">
      <c r="J120201"/>
    </row>
    <row r="120202" spans="10:10" x14ac:dyDescent="0.3">
      <c r="J120202"/>
    </row>
    <row r="120203" spans="10:10" x14ac:dyDescent="0.3">
      <c r="J120203"/>
    </row>
    <row r="120204" spans="10:10" x14ac:dyDescent="0.3">
      <c r="J120204"/>
    </row>
    <row r="120205" spans="10:10" x14ac:dyDescent="0.3">
      <c r="J120205"/>
    </row>
    <row r="120206" spans="10:10" x14ac:dyDescent="0.3">
      <c r="J120206"/>
    </row>
    <row r="120207" spans="10:10" x14ac:dyDescent="0.3">
      <c r="J120207"/>
    </row>
    <row r="120208" spans="10:10" x14ac:dyDescent="0.3">
      <c r="J120208"/>
    </row>
    <row r="120209" spans="10:10" x14ac:dyDescent="0.3">
      <c r="J120209"/>
    </row>
    <row r="120210" spans="10:10" x14ac:dyDescent="0.3">
      <c r="J120210"/>
    </row>
    <row r="120211" spans="10:10" x14ac:dyDescent="0.3">
      <c r="J120211"/>
    </row>
    <row r="120212" spans="10:10" x14ac:dyDescent="0.3">
      <c r="J120212"/>
    </row>
    <row r="120213" spans="10:10" x14ac:dyDescent="0.3">
      <c r="J120213"/>
    </row>
    <row r="120214" spans="10:10" x14ac:dyDescent="0.3">
      <c r="J120214"/>
    </row>
    <row r="120215" spans="10:10" x14ac:dyDescent="0.3">
      <c r="J120215"/>
    </row>
    <row r="120216" spans="10:10" x14ac:dyDescent="0.3">
      <c r="J120216"/>
    </row>
    <row r="120217" spans="10:10" x14ac:dyDescent="0.3">
      <c r="J120217"/>
    </row>
    <row r="120218" spans="10:10" x14ac:dyDescent="0.3">
      <c r="J120218"/>
    </row>
    <row r="120219" spans="10:10" x14ac:dyDescent="0.3">
      <c r="J120219"/>
    </row>
    <row r="120220" spans="10:10" x14ac:dyDescent="0.3">
      <c r="J120220"/>
    </row>
    <row r="120221" spans="10:10" x14ac:dyDescent="0.3">
      <c r="J120221"/>
    </row>
    <row r="120222" spans="10:10" x14ac:dyDescent="0.3">
      <c r="J120222"/>
    </row>
    <row r="120223" spans="10:10" x14ac:dyDescent="0.3">
      <c r="J120223"/>
    </row>
    <row r="120224" spans="10:10" x14ac:dyDescent="0.3">
      <c r="J120224"/>
    </row>
    <row r="120225" spans="10:10" x14ac:dyDescent="0.3">
      <c r="J120225"/>
    </row>
    <row r="120226" spans="10:10" x14ac:dyDescent="0.3">
      <c r="J120226"/>
    </row>
    <row r="120227" spans="10:10" x14ac:dyDescent="0.3">
      <c r="J120227"/>
    </row>
    <row r="120228" spans="10:10" x14ac:dyDescent="0.3">
      <c r="J120228"/>
    </row>
    <row r="120229" spans="10:10" x14ac:dyDescent="0.3">
      <c r="J120229"/>
    </row>
    <row r="120230" spans="10:10" x14ac:dyDescent="0.3">
      <c r="J120230"/>
    </row>
    <row r="120231" spans="10:10" x14ac:dyDescent="0.3">
      <c r="J120231"/>
    </row>
    <row r="120232" spans="10:10" x14ac:dyDescent="0.3">
      <c r="J120232"/>
    </row>
    <row r="120233" spans="10:10" x14ac:dyDescent="0.3">
      <c r="J120233"/>
    </row>
    <row r="120234" spans="10:10" x14ac:dyDescent="0.3">
      <c r="J120234"/>
    </row>
    <row r="120235" spans="10:10" x14ac:dyDescent="0.3">
      <c r="J120235"/>
    </row>
    <row r="120236" spans="10:10" x14ac:dyDescent="0.3">
      <c r="J120236"/>
    </row>
    <row r="120237" spans="10:10" x14ac:dyDescent="0.3">
      <c r="J120237"/>
    </row>
    <row r="120238" spans="10:10" x14ac:dyDescent="0.3">
      <c r="J120238"/>
    </row>
    <row r="120239" spans="10:10" x14ac:dyDescent="0.3">
      <c r="J120239"/>
    </row>
    <row r="120240" spans="10:10" x14ac:dyDescent="0.3">
      <c r="J120240"/>
    </row>
    <row r="120241" spans="10:10" x14ac:dyDescent="0.3">
      <c r="J120241"/>
    </row>
    <row r="120242" spans="10:10" x14ac:dyDescent="0.3">
      <c r="J120242"/>
    </row>
    <row r="120243" spans="10:10" x14ac:dyDescent="0.3">
      <c r="J120243"/>
    </row>
    <row r="120244" spans="10:10" x14ac:dyDescent="0.3">
      <c r="J120244"/>
    </row>
    <row r="120245" spans="10:10" x14ac:dyDescent="0.3">
      <c r="J120245"/>
    </row>
    <row r="120246" spans="10:10" x14ac:dyDescent="0.3">
      <c r="J120246"/>
    </row>
    <row r="120247" spans="10:10" x14ac:dyDescent="0.3">
      <c r="J120247"/>
    </row>
    <row r="120248" spans="10:10" x14ac:dyDescent="0.3">
      <c r="J120248"/>
    </row>
    <row r="120249" spans="10:10" x14ac:dyDescent="0.3">
      <c r="J120249"/>
    </row>
    <row r="120250" spans="10:10" x14ac:dyDescent="0.3">
      <c r="J120250"/>
    </row>
    <row r="120251" spans="10:10" x14ac:dyDescent="0.3">
      <c r="J120251"/>
    </row>
    <row r="120252" spans="10:10" x14ac:dyDescent="0.3">
      <c r="J120252"/>
    </row>
    <row r="120253" spans="10:10" x14ac:dyDescent="0.3">
      <c r="J120253"/>
    </row>
    <row r="120254" spans="10:10" x14ac:dyDescent="0.3">
      <c r="J120254"/>
    </row>
    <row r="120255" spans="10:10" x14ac:dyDescent="0.3">
      <c r="J120255"/>
    </row>
    <row r="120256" spans="10:10" x14ac:dyDescent="0.3">
      <c r="J120256"/>
    </row>
    <row r="120257" spans="10:10" x14ac:dyDescent="0.3">
      <c r="J120257"/>
    </row>
    <row r="120258" spans="10:10" x14ac:dyDescent="0.3">
      <c r="J120258"/>
    </row>
    <row r="120259" spans="10:10" x14ac:dyDescent="0.3">
      <c r="J120259"/>
    </row>
    <row r="120260" spans="10:10" x14ac:dyDescent="0.3">
      <c r="J120260"/>
    </row>
    <row r="120261" spans="10:10" x14ac:dyDescent="0.3">
      <c r="J120261"/>
    </row>
    <row r="120262" spans="10:10" x14ac:dyDescent="0.3">
      <c r="J120262"/>
    </row>
    <row r="120263" spans="10:10" x14ac:dyDescent="0.3">
      <c r="J120263"/>
    </row>
    <row r="120264" spans="10:10" x14ac:dyDescent="0.3">
      <c r="J120264"/>
    </row>
    <row r="120265" spans="10:10" x14ac:dyDescent="0.3">
      <c r="J120265"/>
    </row>
    <row r="120266" spans="10:10" x14ac:dyDescent="0.3">
      <c r="J120266"/>
    </row>
    <row r="120267" spans="10:10" x14ac:dyDescent="0.3">
      <c r="J120267"/>
    </row>
    <row r="120268" spans="10:10" x14ac:dyDescent="0.3">
      <c r="J120268"/>
    </row>
    <row r="120269" spans="10:10" x14ac:dyDescent="0.3">
      <c r="J120269"/>
    </row>
    <row r="120270" spans="10:10" x14ac:dyDescent="0.3">
      <c r="J120270"/>
    </row>
    <row r="120271" spans="10:10" x14ac:dyDescent="0.3">
      <c r="J120271"/>
    </row>
    <row r="120272" spans="10:10" x14ac:dyDescent="0.3">
      <c r="J120272"/>
    </row>
    <row r="120273" spans="10:10" x14ac:dyDescent="0.3">
      <c r="J120273"/>
    </row>
    <row r="120274" spans="10:10" x14ac:dyDescent="0.3">
      <c r="J120274"/>
    </row>
    <row r="120275" spans="10:10" x14ac:dyDescent="0.3">
      <c r="J120275"/>
    </row>
    <row r="120276" spans="10:10" x14ac:dyDescent="0.3">
      <c r="J120276"/>
    </row>
    <row r="120277" spans="10:10" x14ac:dyDescent="0.3">
      <c r="J120277"/>
    </row>
    <row r="120278" spans="10:10" x14ac:dyDescent="0.3">
      <c r="J120278"/>
    </row>
    <row r="120279" spans="10:10" x14ac:dyDescent="0.3">
      <c r="J120279"/>
    </row>
    <row r="120280" spans="10:10" x14ac:dyDescent="0.3">
      <c r="J120280"/>
    </row>
    <row r="120281" spans="10:10" x14ac:dyDescent="0.3">
      <c r="J120281"/>
    </row>
    <row r="120282" spans="10:10" x14ac:dyDescent="0.3">
      <c r="J120282"/>
    </row>
    <row r="120283" spans="10:10" x14ac:dyDescent="0.3">
      <c r="J120283"/>
    </row>
    <row r="120284" spans="10:10" x14ac:dyDescent="0.3">
      <c r="J120284"/>
    </row>
    <row r="120285" spans="10:10" x14ac:dyDescent="0.3">
      <c r="J120285"/>
    </row>
    <row r="120286" spans="10:10" x14ac:dyDescent="0.3">
      <c r="J120286"/>
    </row>
    <row r="120287" spans="10:10" x14ac:dyDescent="0.3">
      <c r="J120287"/>
    </row>
    <row r="120288" spans="10:10" x14ac:dyDescent="0.3">
      <c r="J120288"/>
    </row>
    <row r="120289" spans="10:10" x14ac:dyDescent="0.3">
      <c r="J120289"/>
    </row>
    <row r="120290" spans="10:10" x14ac:dyDescent="0.3">
      <c r="J120290"/>
    </row>
    <row r="120291" spans="10:10" x14ac:dyDescent="0.3">
      <c r="J120291"/>
    </row>
    <row r="120292" spans="10:10" x14ac:dyDescent="0.3">
      <c r="J120292"/>
    </row>
    <row r="120293" spans="10:10" x14ac:dyDescent="0.3">
      <c r="J120293"/>
    </row>
    <row r="120294" spans="10:10" x14ac:dyDescent="0.3">
      <c r="J120294"/>
    </row>
    <row r="120295" spans="10:10" x14ac:dyDescent="0.3">
      <c r="J120295"/>
    </row>
    <row r="120296" spans="10:10" x14ac:dyDescent="0.3">
      <c r="J120296"/>
    </row>
    <row r="120297" spans="10:10" x14ac:dyDescent="0.3">
      <c r="J120297"/>
    </row>
    <row r="120298" spans="10:10" x14ac:dyDescent="0.3">
      <c r="J120298"/>
    </row>
    <row r="120299" spans="10:10" x14ac:dyDescent="0.3">
      <c r="J120299"/>
    </row>
    <row r="120300" spans="10:10" x14ac:dyDescent="0.3">
      <c r="J120300"/>
    </row>
    <row r="120301" spans="10:10" x14ac:dyDescent="0.3">
      <c r="J120301"/>
    </row>
    <row r="120302" spans="10:10" x14ac:dyDescent="0.3">
      <c r="J120302"/>
    </row>
    <row r="120303" spans="10:10" x14ac:dyDescent="0.3">
      <c r="J120303"/>
    </row>
    <row r="120304" spans="10:10" x14ac:dyDescent="0.3">
      <c r="J120304"/>
    </row>
    <row r="120305" spans="10:10" x14ac:dyDescent="0.3">
      <c r="J120305"/>
    </row>
    <row r="120306" spans="10:10" x14ac:dyDescent="0.3">
      <c r="J120306"/>
    </row>
    <row r="120307" spans="10:10" x14ac:dyDescent="0.3">
      <c r="J120307"/>
    </row>
    <row r="120308" spans="10:10" x14ac:dyDescent="0.3">
      <c r="J120308"/>
    </row>
    <row r="120309" spans="10:10" x14ac:dyDescent="0.3">
      <c r="J120309"/>
    </row>
    <row r="120310" spans="10:10" x14ac:dyDescent="0.3">
      <c r="J120310"/>
    </row>
    <row r="120311" spans="10:10" x14ac:dyDescent="0.3">
      <c r="J120311"/>
    </row>
    <row r="120312" spans="10:10" x14ac:dyDescent="0.3">
      <c r="J120312"/>
    </row>
    <row r="120313" spans="10:10" x14ac:dyDescent="0.3">
      <c r="J120313"/>
    </row>
    <row r="120314" spans="10:10" x14ac:dyDescent="0.3">
      <c r="J120314"/>
    </row>
    <row r="120315" spans="10:10" x14ac:dyDescent="0.3">
      <c r="J120315"/>
    </row>
    <row r="120316" spans="10:10" x14ac:dyDescent="0.3">
      <c r="J120316"/>
    </row>
    <row r="120317" spans="10:10" x14ac:dyDescent="0.3">
      <c r="J120317"/>
    </row>
    <row r="120318" spans="10:10" x14ac:dyDescent="0.3">
      <c r="J120318"/>
    </row>
    <row r="120319" spans="10:10" x14ac:dyDescent="0.3">
      <c r="J120319"/>
    </row>
    <row r="120320" spans="10:10" x14ac:dyDescent="0.3">
      <c r="J120320"/>
    </row>
    <row r="120321" spans="10:10" x14ac:dyDescent="0.3">
      <c r="J120321"/>
    </row>
    <row r="120322" spans="10:10" x14ac:dyDescent="0.3">
      <c r="J120322"/>
    </row>
    <row r="120323" spans="10:10" x14ac:dyDescent="0.3">
      <c r="J120323"/>
    </row>
    <row r="120324" spans="10:10" x14ac:dyDescent="0.3">
      <c r="J120324"/>
    </row>
    <row r="120325" spans="10:10" x14ac:dyDescent="0.3">
      <c r="J120325"/>
    </row>
    <row r="120326" spans="10:10" x14ac:dyDescent="0.3">
      <c r="J120326"/>
    </row>
    <row r="120327" spans="10:10" x14ac:dyDescent="0.3">
      <c r="J120327"/>
    </row>
    <row r="120328" spans="10:10" x14ac:dyDescent="0.3">
      <c r="J120328"/>
    </row>
    <row r="120329" spans="10:10" x14ac:dyDescent="0.3">
      <c r="J120329"/>
    </row>
    <row r="120330" spans="10:10" x14ac:dyDescent="0.3">
      <c r="J120330"/>
    </row>
    <row r="120331" spans="10:10" x14ac:dyDescent="0.3">
      <c r="J120331"/>
    </row>
    <row r="120332" spans="10:10" x14ac:dyDescent="0.3">
      <c r="J120332"/>
    </row>
    <row r="120333" spans="10:10" x14ac:dyDescent="0.3">
      <c r="J120333"/>
    </row>
    <row r="120334" spans="10:10" x14ac:dyDescent="0.3">
      <c r="J120334"/>
    </row>
    <row r="120335" spans="10:10" x14ac:dyDescent="0.3">
      <c r="J120335"/>
    </row>
    <row r="120336" spans="10:10" x14ac:dyDescent="0.3">
      <c r="J120336"/>
    </row>
    <row r="120337" spans="10:10" x14ac:dyDescent="0.3">
      <c r="J120337"/>
    </row>
    <row r="120338" spans="10:10" x14ac:dyDescent="0.3">
      <c r="J120338"/>
    </row>
    <row r="120339" spans="10:10" x14ac:dyDescent="0.3">
      <c r="J120339"/>
    </row>
    <row r="120340" spans="10:10" x14ac:dyDescent="0.3">
      <c r="J120340"/>
    </row>
    <row r="120341" spans="10:10" x14ac:dyDescent="0.3">
      <c r="J120341"/>
    </row>
    <row r="120342" spans="10:10" x14ac:dyDescent="0.3">
      <c r="J120342"/>
    </row>
    <row r="120343" spans="10:10" x14ac:dyDescent="0.3">
      <c r="J120343"/>
    </row>
    <row r="120344" spans="10:10" x14ac:dyDescent="0.3">
      <c r="J120344"/>
    </row>
    <row r="120345" spans="10:10" x14ac:dyDescent="0.3">
      <c r="J120345"/>
    </row>
    <row r="120346" spans="10:10" x14ac:dyDescent="0.3">
      <c r="J120346"/>
    </row>
    <row r="120347" spans="10:10" x14ac:dyDescent="0.3">
      <c r="J120347"/>
    </row>
    <row r="120348" spans="10:10" x14ac:dyDescent="0.3">
      <c r="J120348"/>
    </row>
    <row r="120349" spans="10:10" x14ac:dyDescent="0.3">
      <c r="J120349"/>
    </row>
    <row r="120350" spans="10:10" x14ac:dyDescent="0.3">
      <c r="J120350"/>
    </row>
    <row r="120351" spans="10:10" x14ac:dyDescent="0.3">
      <c r="J120351"/>
    </row>
    <row r="120352" spans="10:10" x14ac:dyDescent="0.3">
      <c r="J120352"/>
    </row>
    <row r="120353" spans="10:10" x14ac:dyDescent="0.3">
      <c r="J120353"/>
    </row>
    <row r="120354" spans="10:10" x14ac:dyDescent="0.3">
      <c r="J120354"/>
    </row>
    <row r="120355" spans="10:10" x14ac:dyDescent="0.3">
      <c r="J120355"/>
    </row>
    <row r="120356" spans="10:10" x14ac:dyDescent="0.3">
      <c r="J120356"/>
    </row>
    <row r="120357" spans="10:10" x14ac:dyDescent="0.3">
      <c r="J120357"/>
    </row>
    <row r="120358" spans="10:10" x14ac:dyDescent="0.3">
      <c r="J120358"/>
    </row>
    <row r="120359" spans="10:10" x14ac:dyDescent="0.3">
      <c r="J120359"/>
    </row>
    <row r="120360" spans="10:10" x14ac:dyDescent="0.3">
      <c r="J120360"/>
    </row>
    <row r="120361" spans="10:10" x14ac:dyDescent="0.3">
      <c r="J120361"/>
    </row>
    <row r="120362" spans="10:10" x14ac:dyDescent="0.3">
      <c r="J120362"/>
    </row>
    <row r="120363" spans="10:10" x14ac:dyDescent="0.3">
      <c r="J120363"/>
    </row>
    <row r="120364" spans="10:10" x14ac:dyDescent="0.3">
      <c r="J120364"/>
    </row>
    <row r="120365" spans="10:10" x14ac:dyDescent="0.3">
      <c r="J120365"/>
    </row>
    <row r="120366" spans="10:10" x14ac:dyDescent="0.3">
      <c r="J120366"/>
    </row>
    <row r="120367" spans="10:10" x14ac:dyDescent="0.3">
      <c r="J120367"/>
    </row>
    <row r="120368" spans="10:10" x14ac:dyDescent="0.3">
      <c r="J120368"/>
    </row>
    <row r="120369" spans="10:10" x14ac:dyDescent="0.3">
      <c r="J120369"/>
    </row>
    <row r="120370" spans="10:10" x14ac:dyDescent="0.3">
      <c r="J120370"/>
    </row>
    <row r="120371" spans="10:10" x14ac:dyDescent="0.3">
      <c r="J120371"/>
    </row>
    <row r="120372" spans="10:10" x14ac:dyDescent="0.3">
      <c r="J120372"/>
    </row>
    <row r="120373" spans="10:10" x14ac:dyDescent="0.3">
      <c r="J120373"/>
    </row>
    <row r="120374" spans="10:10" x14ac:dyDescent="0.3">
      <c r="J120374"/>
    </row>
    <row r="120375" spans="10:10" x14ac:dyDescent="0.3">
      <c r="J120375"/>
    </row>
    <row r="120376" spans="10:10" x14ac:dyDescent="0.3">
      <c r="J120376"/>
    </row>
    <row r="120377" spans="10:10" x14ac:dyDescent="0.3">
      <c r="J120377"/>
    </row>
    <row r="120378" spans="10:10" x14ac:dyDescent="0.3">
      <c r="J120378"/>
    </row>
    <row r="120379" spans="10:10" x14ac:dyDescent="0.3">
      <c r="J120379"/>
    </row>
    <row r="120380" spans="10:10" x14ac:dyDescent="0.3">
      <c r="J120380"/>
    </row>
    <row r="120381" spans="10:10" x14ac:dyDescent="0.3">
      <c r="J120381"/>
    </row>
    <row r="120382" spans="10:10" x14ac:dyDescent="0.3">
      <c r="J120382"/>
    </row>
    <row r="120383" spans="10:10" x14ac:dyDescent="0.3">
      <c r="J120383"/>
    </row>
    <row r="120384" spans="10:10" x14ac:dyDescent="0.3">
      <c r="J120384"/>
    </row>
    <row r="120385" spans="10:10" x14ac:dyDescent="0.3">
      <c r="J120385"/>
    </row>
    <row r="120386" spans="10:10" x14ac:dyDescent="0.3">
      <c r="J120386"/>
    </row>
    <row r="120387" spans="10:10" x14ac:dyDescent="0.3">
      <c r="J120387"/>
    </row>
    <row r="120388" spans="10:10" x14ac:dyDescent="0.3">
      <c r="J120388"/>
    </row>
    <row r="120389" spans="10:10" x14ac:dyDescent="0.3">
      <c r="J120389"/>
    </row>
    <row r="120390" spans="10:10" x14ac:dyDescent="0.3">
      <c r="J120390"/>
    </row>
    <row r="120391" spans="10:10" x14ac:dyDescent="0.3">
      <c r="J120391"/>
    </row>
    <row r="120392" spans="10:10" x14ac:dyDescent="0.3">
      <c r="J120392"/>
    </row>
    <row r="120393" spans="10:10" x14ac:dyDescent="0.3">
      <c r="J120393"/>
    </row>
    <row r="120394" spans="10:10" x14ac:dyDescent="0.3">
      <c r="J120394"/>
    </row>
    <row r="120395" spans="10:10" x14ac:dyDescent="0.3">
      <c r="J120395"/>
    </row>
    <row r="120396" spans="10:10" x14ac:dyDescent="0.3">
      <c r="J120396"/>
    </row>
    <row r="120397" spans="10:10" x14ac:dyDescent="0.3">
      <c r="J120397"/>
    </row>
    <row r="120398" spans="10:10" x14ac:dyDescent="0.3">
      <c r="J120398"/>
    </row>
    <row r="120399" spans="10:10" x14ac:dyDescent="0.3">
      <c r="J120399"/>
    </row>
    <row r="120400" spans="10:10" x14ac:dyDescent="0.3">
      <c r="J120400"/>
    </row>
    <row r="120401" spans="10:10" x14ac:dyDescent="0.3">
      <c r="J120401"/>
    </row>
    <row r="120402" spans="10:10" x14ac:dyDescent="0.3">
      <c r="J120402"/>
    </row>
    <row r="120403" spans="10:10" x14ac:dyDescent="0.3">
      <c r="J120403"/>
    </row>
    <row r="120404" spans="10:10" x14ac:dyDescent="0.3">
      <c r="J120404"/>
    </row>
    <row r="120405" spans="10:10" x14ac:dyDescent="0.3">
      <c r="J120405"/>
    </row>
    <row r="120406" spans="10:10" x14ac:dyDescent="0.3">
      <c r="J120406"/>
    </row>
    <row r="120407" spans="10:10" x14ac:dyDescent="0.3">
      <c r="J120407"/>
    </row>
    <row r="120408" spans="10:10" x14ac:dyDescent="0.3">
      <c r="J120408"/>
    </row>
    <row r="120409" spans="10:10" x14ac:dyDescent="0.3">
      <c r="J120409"/>
    </row>
    <row r="120410" spans="10:10" x14ac:dyDescent="0.3">
      <c r="J120410"/>
    </row>
    <row r="120411" spans="10:10" x14ac:dyDescent="0.3">
      <c r="J120411"/>
    </row>
    <row r="120412" spans="10:10" x14ac:dyDescent="0.3">
      <c r="J120412"/>
    </row>
    <row r="120413" spans="10:10" x14ac:dyDescent="0.3">
      <c r="J120413"/>
    </row>
    <row r="120414" spans="10:10" x14ac:dyDescent="0.3">
      <c r="J120414"/>
    </row>
    <row r="120415" spans="10:10" x14ac:dyDescent="0.3">
      <c r="J120415"/>
    </row>
    <row r="120416" spans="10:10" x14ac:dyDescent="0.3">
      <c r="J120416"/>
    </row>
    <row r="120417" spans="10:10" x14ac:dyDescent="0.3">
      <c r="J120417"/>
    </row>
    <row r="120418" spans="10:10" x14ac:dyDescent="0.3">
      <c r="J120418"/>
    </row>
    <row r="120419" spans="10:10" x14ac:dyDescent="0.3">
      <c r="J120419"/>
    </row>
    <row r="120420" spans="10:10" x14ac:dyDescent="0.3">
      <c r="J120420"/>
    </row>
    <row r="120421" spans="10:10" x14ac:dyDescent="0.3">
      <c r="J120421"/>
    </row>
    <row r="120422" spans="10:10" x14ac:dyDescent="0.3">
      <c r="J120422"/>
    </row>
    <row r="120423" spans="10:10" x14ac:dyDescent="0.3">
      <c r="J120423"/>
    </row>
    <row r="120424" spans="10:10" x14ac:dyDescent="0.3">
      <c r="J120424"/>
    </row>
    <row r="120425" spans="10:10" x14ac:dyDescent="0.3">
      <c r="J120425"/>
    </row>
    <row r="120426" spans="10:10" x14ac:dyDescent="0.3">
      <c r="J120426"/>
    </row>
    <row r="120427" spans="10:10" x14ac:dyDescent="0.3">
      <c r="J120427"/>
    </row>
    <row r="120428" spans="10:10" x14ac:dyDescent="0.3">
      <c r="J120428"/>
    </row>
    <row r="120429" spans="10:10" x14ac:dyDescent="0.3">
      <c r="J120429"/>
    </row>
    <row r="120430" spans="10:10" x14ac:dyDescent="0.3">
      <c r="J120430"/>
    </row>
    <row r="120431" spans="10:10" x14ac:dyDescent="0.3">
      <c r="J120431"/>
    </row>
    <row r="120432" spans="10:10" x14ac:dyDescent="0.3">
      <c r="J120432"/>
    </row>
    <row r="120433" spans="10:10" x14ac:dyDescent="0.3">
      <c r="J120433"/>
    </row>
    <row r="120434" spans="10:10" x14ac:dyDescent="0.3">
      <c r="J120434"/>
    </row>
    <row r="120435" spans="10:10" x14ac:dyDescent="0.3">
      <c r="J120435"/>
    </row>
    <row r="120436" spans="10:10" x14ac:dyDescent="0.3">
      <c r="J120436"/>
    </row>
    <row r="120437" spans="10:10" x14ac:dyDescent="0.3">
      <c r="J120437"/>
    </row>
    <row r="120438" spans="10:10" x14ac:dyDescent="0.3">
      <c r="J120438"/>
    </row>
    <row r="120439" spans="10:10" x14ac:dyDescent="0.3">
      <c r="J120439"/>
    </row>
    <row r="120440" spans="10:10" x14ac:dyDescent="0.3">
      <c r="J120440"/>
    </row>
    <row r="120441" spans="10:10" x14ac:dyDescent="0.3">
      <c r="J120441"/>
    </row>
    <row r="120442" spans="10:10" x14ac:dyDescent="0.3">
      <c r="J120442"/>
    </row>
    <row r="120443" spans="10:10" x14ac:dyDescent="0.3">
      <c r="J120443"/>
    </row>
    <row r="120444" spans="10:10" x14ac:dyDescent="0.3">
      <c r="J120444"/>
    </row>
    <row r="120445" spans="10:10" x14ac:dyDescent="0.3">
      <c r="J120445"/>
    </row>
    <row r="120446" spans="10:10" x14ac:dyDescent="0.3">
      <c r="J120446"/>
    </row>
    <row r="120447" spans="10:10" x14ac:dyDescent="0.3">
      <c r="J120447"/>
    </row>
    <row r="120448" spans="10:10" x14ac:dyDescent="0.3">
      <c r="J120448"/>
    </row>
    <row r="120449" spans="10:10" x14ac:dyDescent="0.3">
      <c r="J120449"/>
    </row>
    <row r="120450" spans="10:10" x14ac:dyDescent="0.3">
      <c r="J120450"/>
    </row>
    <row r="120451" spans="10:10" x14ac:dyDescent="0.3">
      <c r="J120451"/>
    </row>
    <row r="120452" spans="10:10" x14ac:dyDescent="0.3">
      <c r="J120452"/>
    </row>
    <row r="120453" spans="10:10" x14ac:dyDescent="0.3">
      <c r="J120453"/>
    </row>
    <row r="120454" spans="10:10" x14ac:dyDescent="0.3">
      <c r="J120454"/>
    </row>
    <row r="120455" spans="10:10" x14ac:dyDescent="0.3">
      <c r="J120455"/>
    </row>
    <row r="120456" spans="10:10" x14ac:dyDescent="0.3">
      <c r="J120456"/>
    </row>
    <row r="120457" spans="10:10" x14ac:dyDescent="0.3">
      <c r="J120457"/>
    </row>
    <row r="120458" spans="10:10" x14ac:dyDescent="0.3">
      <c r="J120458"/>
    </row>
    <row r="120459" spans="10:10" x14ac:dyDescent="0.3">
      <c r="J120459"/>
    </row>
    <row r="120460" spans="10:10" x14ac:dyDescent="0.3">
      <c r="J120460"/>
    </row>
    <row r="120461" spans="10:10" x14ac:dyDescent="0.3">
      <c r="J120461"/>
    </row>
    <row r="120462" spans="10:10" x14ac:dyDescent="0.3">
      <c r="J120462"/>
    </row>
    <row r="120463" spans="10:10" x14ac:dyDescent="0.3">
      <c r="J120463"/>
    </row>
    <row r="120464" spans="10:10" x14ac:dyDescent="0.3">
      <c r="J120464"/>
    </row>
    <row r="120465" spans="10:10" x14ac:dyDescent="0.3">
      <c r="J120465"/>
    </row>
    <row r="120466" spans="10:10" x14ac:dyDescent="0.3">
      <c r="J120466"/>
    </row>
    <row r="120467" spans="10:10" x14ac:dyDescent="0.3">
      <c r="J120467"/>
    </row>
    <row r="120468" spans="10:10" x14ac:dyDescent="0.3">
      <c r="J120468"/>
    </row>
    <row r="120469" spans="10:10" x14ac:dyDescent="0.3">
      <c r="J120469"/>
    </row>
    <row r="120470" spans="10:10" x14ac:dyDescent="0.3">
      <c r="J120470"/>
    </row>
    <row r="120471" spans="10:10" x14ac:dyDescent="0.3">
      <c r="J120471"/>
    </row>
    <row r="120472" spans="10:10" x14ac:dyDescent="0.3">
      <c r="J120472"/>
    </row>
    <row r="120473" spans="10:10" x14ac:dyDescent="0.3">
      <c r="J120473"/>
    </row>
    <row r="120474" spans="10:10" x14ac:dyDescent="0.3">
      <c r="J120474"/>
    </row>
    <row r="120475" spans="10:10" x14ac:dyDescent="0.3">
      <c r="J120475"/>
    </row>
    <row r="120476" spans="10:10" x14ac:dyDescent="0.3">
      <c r="J120476"/>
    </row>
    <row r="120477" spans="10:10" x14ac:dyDescent="0.3">
      <c r="J120477"/>
    </row>
    <row r="120478" spans="10:10" x14ac:dyDescent="0.3">
      <c r="J120478"/>
    </row>
    <row r="120479" spans="10:10" x14ac:dyDescent="0.3">
      <c r="J120479"/>
    </row>
    <row r="120480" spans="10:10" x14ac:dyDescent="0.3">
      <c r="J120480"/>
    </row>
    <row r="120481" spans="10:10" x14ac:dyDescent="0.3">
      <c r="J120481"/>
    </row>
    <row r="120482" spans="10:10" x14ac:dyDescent="0.3">
      <c r="J120482"/>
    </row>
    <row r="120483" spans="10:10" x14ac:dyDescent="0.3">
      <c r="J120483"/>
    </row>
    <row r="120484" spans="10:10" x14ac:dyDescent="0.3">
      <c r="J120484"/>
    </row>
    <row r="120485" spans="10:10" x14ac:dyDescent="0.3">
      <c r="J120485"/>
    </row>
    <row r="120486" spans="10:10" x14ac:dyDescent="0.3">
      <c r="J120486"/>
    </row>
    <row r="120487" spans="10:10" x14ac:dyDescent="0.3">
      <c r="J120487"/>
    </row>
    <row r="120488" spans="10:10" x14ac:dyDescent="0.3">
      <c r="J120488"/>
    </row>
    <row r="120489" spans="10:10" x14ac:dyDescent="0.3">
      <c r="J120489"/>
    </row>
    <row r="120490" spans="10:10" x14ac:dyDescent="0.3">
      <c r="J120490"/>
    </row>
    <row r="120491" spans="10:10" x14ac:dyDescent="0.3">
      <c r="J120491"/>
    </row>
    <row r="120492" spans="10:10" x14ac:dyDescent="0.3">
      <c r="J120492"/>
    </row>
    <row r="120493" spans="10:10" x14ac:dyDescent="0.3">
      <c r="J120493"/>
    </row>
    <row r="120494" spans="10:10" x14ac:dyDescent="0.3">
      <c r="J120494"/>
    </row>
    <row r="120495" spans="10:10" x14ac:dyDescent="0.3">
      <c r="J120495"/>
    </row>
    <row r="120496" spans="10:10" x14ac:dyDescent="0.3">
      <c r="J120496"/>
    </row>
    <row r="120497" spans="10:10" x14ac:dyDescent="0.3">
      <c r="J120497"/>
    </row>
    <row r="120498" spans="10:10" x14ac:dyDescent="0.3">
      <c r="J120498"/>
    </row>
    <row r="120499" spans="10:10" x14ac:dyDescent="0.3">
      <c r="J120499"/>
    </row>
    <row r="120500" spans="10:10" x14ac:dyDescent="0.3">
      <c r="J120500"/>
    </row>
    <row r="120501" spans="10:10" x14ac:dyDescent="0.3">
      <c r="J120501"/>
    </row>
    <row r="120502" spans="10:10" x14ac:dyDescent="0.3">
      <c r="J120502"/>
    </row>
    <row r="120503" spans="10:10" x14ac:dyDescent="0.3">
      <c r="J120503"/>
    </row>
    <row r="120504" spans="10:10" x14ac:dyDescent="0.3">
      <c r="J120504"/>
    </row>
    <row r="120505" spans="10:10" x14ac:dyDescent="0.3">
      <c r="J120505"/>
    </row>
    <row r="120506" spans="10:10" x14ac:dyDescent="0.3">
      <c r="J120506"/>
    </row>
    <row r="120507" spans="10:10" x14ac:dyDescent="0.3">
      <c r="J120507"/>
    </row>
    <row r="120508" spans="10:10" x14ac:dyDescent="0.3">
      <c r="J120508"/>
    </row>
    <row r="120509" spans="10:10" x14ac:dyDescent="0.3">
      <c r="J120509"/>
    </row>
    <row r="120510" spans="10:10" x14ac:dyDescent="0.3">
      <c r="J120510"/>
    </row>
    <row r="120511" spans="10:10" x14ac:dyDescent="0.3">
      <c r="J120511"/>
    </row>
    <row r="120512" spans="10:10" x14ac:dyDescent="0.3">
      <c r="J120512"/>
    </row>
    <row r="120513" spans="10:10" x14ac:dyDescent="0.3">
      <c r="J120513"/>
    </row>
    <row r="120514" spans="10:10" x14ac:dyDescent="0.3">
      <c r="J120514"/>
    </row>
    <row r="120515" spans="10:10" x14ac:dyDescent="0.3">
      <c r="J120515"/>
    </row>
    <row r="120516" spans="10:10" x14ac:dyDescent="0.3">
      <c r="J120516"/>
    </row>
    <row r="120517" spans="10:10" x14ac:dyDescent="0.3">
      <c r="J120517"/>
    </row>
    <row r="120518" spans="10:10" x14ac:dyDescent="0.3">
      <c r="J120518"/>
    </row>
    <row r="120519" spans="10:10" x14ac:dyDescent="0.3">
      <c r="J120519"/>
    </row>
    <row r="120520" spans="10:10" x14ac:dyDescent="0.3">
      <c r="J120520"/>
    </row>
    <row r="120521" spans="10:10" x14ac:dyDescent="0.3">
      <c r="J120521"/>
    </row>
    <row r="120522" spans="10:10" x14ac:dyDescent="0.3">
      <c r="J120522"/>
    </row>
    <row r="120523" spans="10:10" x14ac:dyDescent="0.3">
      <c r="J120523"/>
    </row>
    <row r="120524" spans="10:10" x14ac:dyDescent="0.3">
      <c r="J120524"/>
    </row>
    <row r="120525" spans="10:10" x14ac:dyDescent="0.3">
      <c r="J120525"/>
    </row>
    <row r="120526" spans="10:10" x14ac:dyDescent="0.3">
      <c r="J120526"/>
    </row>
    <row r="120527" spans="10:10" x14ac:dyDescent="0.3">
      <c r="J120527"/>
    </row>
    <row r="120528" spans="10:10" x14ac:dyDescent="0.3">
      <c r="J120528"/>
    </row>
    <row r="120529" spans="10:10" x14ac:dyDescent="0.3">
      <c r="J120529"/>
    </row>
    <row r="120530" spans="10:10" x14ac:dyDescent="0.3">
      <c r="J120530"/>
    </row>
    <row r="120531" spans="10:10" x14ac:dyDescent="0.3">
      <c r="J120531"/>
    </row>
    <row r="120532" spans="10:10" x14ac:dyDescent="0.3">
      <c r="J120532"/>
    </row>
    <row r="120533" spans="10:10" x14ac:dyDescent="0.3">
      <c r="J120533"/>
    </row>
    <row r="120534" spans="10:10" x14ac:dyDescent="0.3">
      <c r="J120534"/>
    </row>
    <row r="120535" spans="10:10" x14ac:dyDescent="0.3">
      <c r="J120535"/>
    </row>
    <row r="120536" spans="10:10" x14ac:dyDescent="0.3">
      <c r="J120536"/>
    </row>
    <row r="120537" spans="10:10" x14ac:dyDescent="0.3">
      <c r="J120537"/>
    </row>
    <row r="120538" spans="10:10" x14ac:dyDescent="0.3">
      <c r="J120538"/>
    </row>
    <row r="120539" spans="10:10" x14ac:dyDescent="0.3">
      <c r="J120539"/>
    </row>
    <row r="120540" spans="10:10" x14ac:dyDescent="0.3">
      <c r="J120540"/>
    </row>
    <row r="120541" spans="10:10" x14ac:dyDescent="0.3">
      <c r="J120541"/>
    </row>
    <row r="120542" spans="10:10" x14ac:dyDescent="0.3">
      <c r="J120542"/>
    </row>
    <row r="120543" spans="10:10" x14ac:dyDescent="0.3">
      <c r="J120543"/>
    </row>
    <row r="120544" spans="10:10" x14ac:dyDescent="0.3">
      <c r="J120544"/>
    </row>
    <row r="120545" spans="10:10" x14ac:dyDescent="0.3">
      <c r="J120545"/>
    </row>
    <row r="120546" spans="10:10" x14ac:dyDescent="0.3">
      <c r="J120546"/>
    </row>
    <row r="120547" spans="10:10" x14ac:dyDescent="0.3">
      <c r="J120547"/>
    </row>
    <row r="120548" spans="10:10" x14ac:dyDescent="0.3">
      <c r="J120548"/>
    </row>
    <row r="120549" spans="10:10" x14ac:dyDescent="0.3">
      <c r="J120549"/>
    </row>
    <row r="120550" spans="10:10" x14ac:dyDescent="0.3">
      <c r="J120550"/>
    </row>
    <row r="120551" spans="10:10" x14ac:dyDescent="0.3">
      <c r="J120551"/>
    </row>
    <row r="120552" spans="10:10" x14ac:dyDescent="0.3">
      <c r="J120552"/>
    </row>
    <row r="120553" spans="10:10" x14ac:dyDescent="0.3">
      <c r="J120553"/>
    </row>
    <row r="120554" spans="10:10" x14ac:dyDescent="0.3">
      <c r="J120554"/>
    </row>
    <row r="120555" spans="10:10" x14ac:dyDescent="0.3">
      <c r="J120555"/>
    </row>
    <row r="120556" spans="10:10" x14ac:dyDescent="0.3">
      <c r="J120556"/>
    </row>
    <row r="120557" spans="10:10" x14ac:dyDescent="0.3">
      <c r="J120557"/>
    </row>
    <row r="120558" spans="10:10" x14ac:dyDescent="0.3">
      <c r="J120558"/>
    </row>
    <row r="120559" spans="10:10" x14ac:dyDescent="0.3">
      <c r="J120559"/>
    </row>
    <row r="120560" spans="10:10" x14ac:dyDescent="0.3">
      <c r="J120560"/>
    </row>
    <row r="120561" spans="10:10" x14ac:dyDescent="0.3">
      <c r="J120561"/>
    </row>
    <row r="120562" spans="10:10" x14ac:dyDescent="0.3">
      <c r="J120562"/>
    </row>
    <row r="120563" spans="10:10" x14ac:dyDescent="0.3">
      <c r="J120563"/>
    </row>
    <row r="120564" spans="10:10" x14ac:dyDescent="0.3">
      <c r="J120564"/>
    </row>
    <row r="120565" spans="10:10" x14ac:dyDescent="0.3">
      <c r="J120565"/>
    </row>
    <row r="120566" spans="10:10" x14ac:dyDescent="0.3">
      <c r="J120566"/>
    </row>
    <row r="120567" spans="10:10" x14ac:dyDescent="0.3">
      <c r="J120567"/>
    </row>
    <row r="120568" spans="10:10" x14ac:dyDescent="0.3">
      <c r="J120568"/>
    </row>
    <row r="120569" spans="10:10" x14ac:dyDescent="0.3">
      <c r="J120569"/>
    </row>
    <row r="120570" spans="10:10" x14ac:dyDescent="0.3">
      <c r="J120570"/>
    </row>
    <row r="120571" spans="10:10" x14ac:dyDescent="0.3">
      <c r="J120571"/>
    </row>
    <row r="120572" spans="10:10" x14ac:dyDescent="0.3">
      <c r="J120572"/>
    </row>
    <row r="120573" spans="10:10" x14ac:dyDescent="0.3">
      <c r="J120573"/>
    </row>
    <row r="120574" spans="10:10" x14ac:dyDescent="0.3">
      <c r="J120574"/>
    </row>
    <row r="120575" spans="10:10" x14ac:dyDescent="0.3">
      <c r="J120575"/>
    </row>
    <row r="120576" spans="10:10" x14ac:dyDescent="0.3">
      <c r="J120576"/>
    </row>
    <row r="120577" spans="10:10" x14ac:dyDescent="0.3">
      <c r="J120577"/>
    </row>
    <row r="120578" spans="10:10" x14ac:dyDescent="0.3">
      <c r="J120578"/>
    </row>
    <row r="120579" spans="10:10" x14ac:dyDescent="0.3">
      <c r="J120579"/>
    </row>
    <row r="120580" spans="10:10" x14ac:dyDescent="0.3">
      <c r="J120580"/>
    </row>
    <row r="120581" spans="10:10" x14ac:dyDescent="0.3">
      <c r="J120581"/>
    </row>
    <row r="120582" spans="10:10" x14ac:dyDescent="0.3">
      <c r="J120582"/>
    </row>
    <row r="120583" spans="10:10" x14ac:dyDescent="0.3">
      <c r="J120583"/>
    </row>
    <row r="120584" spans="10:10" x14ac:dyDescent="0.3">
      <c r="J120584"/>
    </row>
    <row r="120585" spans="10:10" x14ac:dyDescent="0.3">
      <c r="J120585"/>
    </row>
    <row r="120586" spans="10:10" x14ac:dyDescent="0.3">
      <c r="J120586"/>
    </row>
    <row r="120587" spans="10:10" x14ac:dyDescent="0.3">
      <c r="J120587"/>
    </row>
    <row r="120588" spans="10:10" x14ac:dyDescent="0.3">
      <c r="J120588"/>
    </row>
    <row r="120589" spans="10:10" x14ac:dyDescent="0.3">
      <c r="J120589"/>
    </row>
    <row r="120590" spans="10:10" x14ac:dyDescent="0.3">
      <c r="J120590"/>
    </row>
    <row r="120591" spans="10:10" x14ac:dyDescent="0.3">
      <c r="J120591"/>
    </row>
    <row r="120592" spans="10:10" x14ac:dyDescent="0.3">
      <c r="J120592"/>
    </row>
    <row r="120593" spans="10:10" x14ac:dyDescent="0.3">
      <c r="J120593"/>
    </row>
    <row r="120594" spans="10:10" x14ac:dyDescent="0.3">
      <c r="J120594"/>
    </row>
    <row r="120595" spans="10:10" x14ac:dyDescent="0.3">
      <c r="J120595"/>
    </row>
    <row r="120596" spans="10:10" x14ac:dyDescent="0.3">
      <c r="J120596"/>
    </row>
    <row r="120597" spans="10:10" x14ac:dyDescent="0.3">
      <c r="J120597"/>
    </row>
    <row r="120598" spans="10:10" x14ac:dyDescent="0.3">
      <c r="J120598"/>
    </row>
    <row r="120599" spans="10:10" x14ac:dyDescent="0.3">
      <c r="J120599"/>
    </row>
    <row r="120600" spans="10:10" x14ac:dyDescent="0.3">
      <c r="J120600"/>
    </row>
    <row r="120601" spans="10:10" x14ac:dyDescent="0.3">
      <c r="J120601"/>
    </row>
    <row r="120602" spans="10:10" x14ac:dyDescent="0.3">
      <c r="J120602"/>
    </row>
    <row r="120603" spans="10:10" x14ac:dyDescent="0.3">
      <c r="J120603"/>
    </row>
    <row r="120604" spans="10:10" x14ac:dyDescent="0.3">
      <c r="J120604"/>
    </row>
    <row r="120605" spans="10:10" x14ac:dyDescent="0.3">
      <c r="J120605"/>
    </row>
    <row r="120606" spans="10:10" x14ac:dyDescent="0.3">
      <c r="J120606"/>
    </row>
    <row r="120607" spans="10:10" x14ac:dyDescent="0.3">
      <c r="J120607"/>
    </row>
    <row r="120608" spans="10:10" x14ac:dyDescent="0.3">
      <c r="J120608"/>
    </row>
    <row r="120609" spans="10:10" x14ac:dyDescent="0.3">
      <c r="J120609"/>
    </row>
    <row r="120610" spans="10:10" x14ac:dyDescent="0.3">
      <c r="J120610"/>
    </row>
    <row r="120611" spans="10:10" x14ac:dyDescent="0.3">
      <c r="J120611"/>
    </row>
    <row r="120612" spans="10:10" x14ac:dyDescent="0.3">
      <c r="J120612"/>
    </row>
    <row r="120613" spans="10:10" x14ac:dyDescent="0.3">
      <c r="J120613"/>
    </row>
    <row r="120614" spans="10:10" x14ac:dyDescent="0.3">
      <c r="J120614"/>
    </row>
    <row r="120615" spans="10:10" x14ac:dyDescent="0.3">
      <c r="J120615"/>
    </row>
    <row r="120616" spans="10:10" x14ac:dyDescent="0.3">
      <c r="J120616"/>
    </row>
    <row r="120617" spans="10:10" x14ac:dyDescent="0.3">
      <c r="J120617"/>
    </row>
    <row r="120618" spans="10:10" x14ac:dyDescent="0.3">
      <c r="J120618"/>
    </row>
    <row r="120619" spans="10:10" x14ac:dyDescent="0.3">
      <c r="J120619"/>
    </row>
    <row r="120620" spans="10:10" x14ac:dyDescent="0.3">
      <c r="J120620"/>
    </row>
    <row r="120621" spans="10:10" x14ac:dyDescent="0.3">
      <c r="J120621"/>
    </row>
    <row r="120622" spans="10:10" x14ac:dyDescent="0.3">
      <c r="J120622"/>
    </row>
    <row r="120623" spans="10:10" x14ac:dyDescent="0.3">
      <c r="J120623"/>
    </row>
    <row r="120624" spans="10:10" x14ac:dyDescent="0.3">
      <c r="J120624"/>
    </row>
    <row r="120625" spans="10:10" x14ac:dyDescent="0.3">
      <c r="J120625"/>
    </row>
    <row r="120626" spans="10:10" x14ac:dyDescent="0.3">
      <c r="J120626"/>
    </row>
    <row r="120627" spans="10:10" x14ac:dyDescent="0.3">
      <c r="J120627"/>
    </row>
    <row r="120628" spans="10:10" x14ac:dyDescent="0.3">
      <c r="J120628"/>
    </row>
    <row r="120629" spans="10:10" x14ac:dyDescent="0.3">
      <c r="J120629"/>
    </row>
    <row r="120630" spans="10:10" x14ac:dyDescent="0.3">
      <c r="J120630"/>
    </row>
    <row r="120631" spans="10:10" x14ac:dyDescent="0.3">
      <c r="J120631"/>
    </row>
    <row r="120632" spans="10:10" x14ac:dyDescent="0.3">
      <c r="J120632"/>
    </row>
    <row r="120633" spans="10:10" x14ac:dyDescent="0.3">
      <c r="J120633"/>
    </row>
    <row r="120634" spans="10:10" x14ac:dyDescent="0.3">
      <c r="J120634"/>
    </row>
    <row r="120635" spans="10:10" x14ac:dyDescent="0.3">
      <c r="J120635"/>
    </row>
    <row r="120636" spans="10:10" x14ac:dyDescent="0.3">
      <c r="J120636"/>
    </row>
    <row r="120637" spans="10:10" x14ac:dyDescent="0.3">
      <c r="J120637"/>
    </row>
    <row r="120638" spans="10:10" x14ac:dyDescent="0.3">
      <c r="J120638"/>
    </row>
    <row r="120639" spans="10:10" x14ac:dyDescent="0.3">
      <c r="J120639"/>
    </row>
    <row r="120640" spans="10:10" x14ac:dyDescent="0.3">
      <c r="J120640"/>
    </row>
    <row r="120641" spans="10:10" x14ac:dyDescent="0.3">
      <c r="J120641"/>
    </row>
    <row r="120642" spans="10:10" x14ac:dyDescent="0.3">
      <c r="J120642"/>
    </row>
    <row r="120643" spans="10:10" x14ac:dyDescent="0.3">
      <c r="J120643"/>
    </row>
    <row r="120644" spans="10:10" x14ac:dyDescent="0.3">
      <c r="J120644"/>
    </row>
    <row r="120645" spans="10:10" x14ac:dyDescent="0.3">
      <c r="J120645"/>
    </row>
    <row r="120646" spans="10:10" x14ac:dyDescent="0.3">
      <c r="J120646"/>
    </row>
    <row r="120647" spans="10:10" x14ac:dyDescent="0.3">
      <c r="J120647"/>
    </row>
    <row r="120648" spans="10:10" x14ac:dyDescent="0.3">
      <c r="J120648"/>
    </row>
    <row r="120649" spans="10:10" x14ac:dyDescent="0.3">
      <c r="J120649"/>
    </row>
    <row r="120650" spans="10:10" x14ac:dyDescent="0.3">
      <c r="J120650"/>
    </row>
    <row r="120651" spans="10:10" x14ac:dyDescent="0.3">
      <c r="J120651"/>
    </row>
    <row r="120652" spans="10:10" x14ac:dyDescent="0.3">
      <c r="J120652"/>
    </row>
    <row r="120653" spans="10:10" x14ac:dyDescent="0.3">
      <c r="J120653"/>
    </row>
    <row r="120654" spans="10:10" x14ac:dyDescent="0.3">
      <c r="J120654"/>
    </row>
    <row r="120655" spans="10:10" x14ac:dyDescent="0.3">
      <c r="J120655"/>
    </row>
    <row r="120656" spans="10:10" x14ac:dyDescent="0.3">
      <c r="J120656"/>
    </row>
    <row r="120657" spans="10:10" x14ac:dyDescent="0.3">
      <c r="J120657"/>
    </row>
    <row r="120658" spans="10:10" x14ac:dyDescent="0.3">
      <c r="J120658"/>
    </row>
    <row r="120659" spans="10:10" x14ac:dyDescent="0.3">
      <c r="J120659"/>
    </row>
    <row r="120660" spans="10:10" x14ac:dyDescent="0.3">
      <c r="J120660"/>
    </row>
    <row r="120661" spans="10:10" x14ac:dyDescent="0.3">
      <c r="J120661"/>
    </row>
    <row r="120662" spans="10:10" x14ac:dyDescent="0.3">
      <c r="J120662"/>
    </row>
    <row r="120663" spans="10:10" x14ac:dyDescent="0.3">
      <c r="J120663"/>
    </row>
    <row r="120664" spans="10:10" x14ac:dyDescent="0.3">
      <c r="J120664"/>
    </row>
    <row r="120665" spans="10:10" x14ac:dyDescent="0.3">
      <c r="J120665"/>
    </row>
    <row r="120666" spans="10:10" x14ac:dyDescent="0.3">
      <c r="J120666"/>
    </row>
    <row r="120667" spans="10:10" x14ac:dyDescent="0.3">
      <c r="J120667"/>
    </row>
    <row r="120668" spans="10:10" x14ac:dyDescent="0.3">
      <c r="J120668"/>
    </row>
    <row r="120669" spans="10:10" x14ac:dyDescent="0.3">
      <c r="J120669"/>
    </row>
    <row r="120670" spans="10:10" x14ac:dyDescent="0.3">
      <c r="J120670"/>
    </row>
    <row r="120671" spans="10:10" x14ac:dyDescent="0.3">
      <c r="J120671"/>
    </row>
    <row r="120672" spans="10:10" x14ac:dyDescent="0.3">
      <c r="J120672"/>
    </row>
    <row r="120673" spans="10:10" x14ac:dyDescent="0.3">
      <c r="J120673"/>
    </row>
    <row r="120674" spans="10:10" x14ac:dyDescent="0.3">
      <c r="J120674"/>
    </row>
    <row r="120675" spans="10:10" x14ac:dyDescent="0.3">
      <c r="J120675"/>
    </row>
    <row r="120676" spans="10:10" x14ac:dyDescent="0.3">
      <c r="J120676"/>
    </row>
    <row r="120677" spans="10:10" x14ac:dyDescent="0.3">
      <c r="J120677"/>
    </row>
    <row r="120678" spans="10:10" x14ac:dyDescent="0.3">
      <c r="J120678"/>
    </row>
    <row r="120679" spans="10:10" x14ac:dyDescent="0.3">
      <c r="J120679"/>
    </row>
    <row r="120680" spans="10:10" x14ac:dyDescent="0.3">
      <c r="J120680"/>
    </row>
    <row r="120681" spans="10:10" x14ac:dyDescent="0.3">
      <c r="J120681"/>
    </row>
    <row r="120682" spans="10:10" x14ac:dyDescent="0.3">
      <c r="J120682"/>
    </row>
    <row r="120683" spans="10:10" x14ac:dyDescent="0.3">
      <c r="J120683"/>
    </row>
    <row r="120684" spans="10:10" x14ac:dyDescent="0.3">
      <c r="J120684"/>
    </row>
    <row r="120685" spans="10:10" x14ac:dyDescent="0.3">
      <c r="J120685"/>
    </row>
    <row r="120686" spans="10:10" x14ac:dyDescent="0.3">
      <c r="J120686"/>
    </row>
    <row r="120687" spans="10:10" x14ac:dyDescent="0.3">
      <c r="J120687"/>
    </row>
    <row r="120688" spans="10:10" x14ac:dyDescent="0.3">
      <c r="J120688"/>
    </row>
    <row r="120689" spans="10:10" x14ac:dyDescent="0.3">
      <c r="J120689"/>
    </row>
    <row r="120690" spans="10:10" x14ac:dyDescent="0.3">
      <c r="J120690"/>
    </row>
    <row r="120691" spans="10:10" x14ac:dyDescent="0.3">
      <c r="J120691"/>
    </row>
    <row r="120692" spans="10:10" x14ac:dyDescent="0.3">
      <c r="J120692"/>
    </row>
    <row r="120693" spans="10:10" x14ac:dyDescent="0.3">
      <c r="J120693"/>
    </row>
    <row r="120694" spans="10:10" x14ac:dyDescent="0.3">
      <c r="J120694"/>
    </row>
    <row r="120695" spans="10:10" x14ac:dyDescent="0.3">
      <c r="J120695"/>
    </row>
    <row r="120696" spans="10:10" x14ac:dyDescent="0.3">
      <c r="J120696"/>
    </row>
    <row r="120697" spans="10:10" x14ac:dyDescent="0.3">
      <c r="J120697"/>
    </row>
    <row r="120698" spans="10:10" x14ac:dyDescent="0.3">
      <c r="J120698"/>
    </row>
    <row r="120699" spans="10:10" x14ac:dyDescent="0.3">
      <c r="J120699"/>
    </row>
    <row r="120700" spans="10:10" x14ac:dyDescent="0.3">
      <c r="J120700"/>
    </row>
    <row r="120701" spans="10:10" x14ac:dyDescent="0.3">
      <c r="J120701"/>
    </row>
    <row r="120702" spans="10:10" x14ac:dyDescent="0.3">
      <c r="J120702"/>
    </row>
    <row r="120703" spans="10:10" x14ac:dyDescent="0.3">
      <c r="J120703"/>
    </row>
    <row r="120704" spans="10:10" x14ac:dyDescent="0.3">
      <c r="J120704"/>
    </row>
    <row r="120705" spans="10:10" x14ac:dyDescent="0.3">
      <c r="J120705"/>
    </row>
    <row r="120706" spans="10:10" x14ac:dyDescent="0.3">
      <c r="J120706"/>
    </row>
    <row r="120707" spans="10:10" x14ac:dyDescent="0.3">
      <c r="J120707"/>
    </row>
    <row r="120708" spans="10:10" x14ac:dyDescent="0.3">
      <c r="J120708"/>
    </row>
    <row r="120709" spans="10:10" x14ac:dyDescent="0.3">
      <c r="J120709"/>
    </row>
    <row r="120710" spans="10:10" x14ac:dyDescent="0.3">
      <c r="J120710"/>
    </row>
    <row r="120711" spans="10:10" x14ac:dyDescent="0.3">
      <c r="J120711"/>
    </row>
    <row r="120712" spans="10:10" x14ac:dyDescent="0.3">
      <c r="J120712"/>
    </row>
    <row r="120713" spans="10:10" x14ac:dyDescent="0.3">
      <c r="J120713"/>
    </row>
    <row r="120714" spans="10:10" x14ac:dyDescent="0.3">
      <c r="J120714"/>
    </row>
    <row r="120715" spans="10:10" x14ac:dyDescent="0.3">
      <c r="J120715"/>
    </row>
    <row r="120716" spans="10:10" x14ac:dyDescent="0.3">
      <c r="J120716"/>
    </row>
    <row r="120717" spans="10:10" x14ac:dyDescent="0.3">
      <c r="J120717"/>
    </row>
    <row r="120718" spans="10:10" x14ac:dyDescent="0.3">
      <c r="J120718"/>
    </row>
    <row r="120719" spans="10:10" x14ac:dyDescent="0.3">
      <c r="J120719"/>
    </row>
    <row r="120720" spans="10:10" x14ac:dyDescent="0.3">
      <c r="J120720"/>
    </row>
    <row r="120721" spans="10:10" x14ac:dyDescent="0.3">
      <c r="J120721"/>
    </row>
    <row r="120722" spans="10:10" x14ac:dyDescent="0.3">
      <c r="J120722"/>
    </row>
    <row r="120723" spans="10:10" x14ac:dyDescent="0.3">
      <c r="J120723"/>
    </row>
    <row r="120724" spans="10:10" x14ac:dyDescent="0.3">
      <c r="J120724"/>
    </row>
    <row r="120725" spans="10:10" x14ac:dyDescent="0.3">
      <c r="J120725"/>
    </row>
    <row r="120726" spans="10:10" x14ac:dyDescent="0.3">
      <c r="J120726"/>
    </row>
    <row r="120727" spans="10:10" x14ac:dyDescent="0.3">
      <c r="J120727"/>
    </row>
    <row r="120728" spans="10:10" x14ac:dyDescent="0.3">
      <c r="J120728"/>
    </row>
    <row r="120729" spans="10:10" x14ac:dyDescent="0.3">
      <c r="J120729"/>
    </row>
    <row r="120730" spans="10:10" x14ac:dyDescent="0.3">
      <c r="J120730"/>
    </row>
    <row r="120731" spans="10:10" x14ac:dyDescent="0.3">
      <c r="J120731"/>
    </row>
    <row r="120732" spans="10:10" x14ac:dyDescent="0.3">
      <c r="J120732"/>
    </row>
    <row r="120733" spans="10:10" x14ac:dyDescent="0.3">
      <c r="J120733"/>
    </row>
    <row r="120734" spans="10:10" x14ac:dyDescent="0.3">
      <c r="J120734"/>
    </row>
    <row r="120735" spans="10:10" x14ac:dyDescent="0.3">
      <c r="J120735"/>
    </row>
    <row r="120736" spans="10:10" x14ac:dyDescent="0.3">
      <c r="J120736"/>
    </row>
    <row r="120737" spans="10:10" x14ac:dyDescent="0.3">
      <c r="J120737"/>
    </row>
    <row r="120738" spans="10:10" x14ac:dyDescent="0.3">
      <c r="J120738"/>
    </row>
    <row r="120739" spans="10:10" x14ac:dyDescent="0.3">
      <c r="J120739"/>
    </row>
    <row r="120740" spans="10:10" x14ac:dyDescent="0.3">
      <c r="J120740"/>
    </row>
    <row r="120741" spans="10:10" x14ac:dyDescent="0.3">
      <c r="J120741"/>
    </row>
    <row r="120742" spans="10:10" x14ac:dyDescent="0.3">
      <c r="J120742"/>
    </row>
    <row r="120743" spans="10:10" x14ac:dyDescent="0.3">
      <c r="J120743"/>
    </row>
    <row r="120744" spans="10:10" x14ac:dyDescent="0.3">
      <c r="J120744"/>
    </row>
    <row r="120745" spans="10:10" x14ac:dyDescent="0.3">
      <c r="J120745"/>
    </row>
    <row r="120746" spans="10:10" x14ac:dyDescent="0.3">
      <c r="J120746"/>
    </row>
    <row r="120747" spans="10:10" x14ac:dyDescent="0.3">
      <c r="J120747"/>
    </row>
    <row r="120748" spans="10:10" x14ac:dyDescent="0.3">
      <c r="J120748"/>
    </row>
    <row r="120749" spans="10:10" x14ac:dyDescent="0.3">
      <c r="J120749"/>
    </row>
    <row r="120750" spans="10:10" x14ac:dyDescent="0.3">
      <c r="J120750"/>
    </row>
    <row r="120751" spans="10:10" x14ac:dyDescent="0.3">
      <c r="J120751"/>
    </row>
    <row r="120752" spans="10:10" x14ac:dyDescent="0.3">
      <c r="J120752"/>
    </row>
    <row r="120753" spans="10:10" x14ac:dyDescent="0.3">
      <c r="J120753"/>
    </row>
    <row r="120754" spans="10:10" x14ac:dyDescent="0.3">
      <c r="J120754"/>
    </row>
    <row r="120755" spans="10:10" x14ac:dyDescent="0.3">
      <c r="J120755"/>
    </row>
    <row r="120756" spans="10:10" x14ac:dyDescent="0.3">
      <c r="J120756"/>
    </row>
    <row r="120757" spans="10:10" x14ac:dyDescent="0.3">
      <c r="J120757"/>
    </row>
    <row r="120758" spans="10:10" x14ac:dyDescent="0.3">
      <c r="J120758"/>
    </row>
    <row r="120759" spans="10:10" x14ac:dyDescent="0.3">
      <c r="J120759"/>
    </row>
    <row r="120760" spans="10:10" x14ac:dyDescent="0.3">
      <c r="J120760"/>
    </row>
    <row r="120761" spans="10:10" x14ac:dyDescent="0.3">
      <c r="J120761"/>
    </row>
    <row r="120762" spans="10:10" x14ac:dyDescent="0.3">
      <c r="J120762"/>
    </row>
    <row r="120763" spans="10:10" x14ac:dyDescent="0.3">
      <c r="J120763"/>
    </row>
    <row r="120764" spans="10:10" x14ac:dyDescent="0.3">
      <c r="J120764"/>
    </row>
    <row r="120765" spans="10:10" x14ac:dyDescent="0.3">
      <c r="J120765"/>
    </row>
    <row r="120766" spans="10:10" x14ac:dyDescent="0.3">
      <c r="J120766"/>
    </row>
    <row r="120767" spans="10:10" x14ac:dyDescent="0.3">
      <c r="J120767"/>
    </row>
    <row r="120768" spans="10:10" x14ac:dyDescent="0.3">
      <c r="J120768"/>
    </row>
    <row r="120769" spans="10:10" x14ac:dyDescent="0.3">
      <c r="J120769"/>
    </row>
    <row r="120770" spans="10:10" x14ac:dyDescent="0.3">
      <c r="J120770"/>
    </row>
    <row r="120771" spans="10:10" x14ac:dyDescent="0.3">
      <c r="J120771"/>
    </row>
    <row r="120772" spans="10:10" x14ac:dyDescent="0.3">
      <c r="J120772"/>
    </row>
    <row r="120773" spans="10:10" x14ac:dyDescent="0.3">
      <c r="J120773"/>
    </row>
    <row r="120774" spans="10:10" x14ac:dyDescent="0.3">
      <c r="J120774"/>
    </row>
    <row r="120775" spans="10:10" x14ac:dyDescent="0.3">
      <c r="J120775"/>
    </row>
    <row r="120776" spans="10:10" x14ac:dyDescent="0.3">
      <c r="J120776"/>
    </row>
    <row r="120777" spans="10:10" x14ac:dyDescent="0.3">
      <c r="J120777"/>
    </row>
    <row r="120778" spans="10:10" x14ac:dyDescent="0.3">
      <c r="J120778"/>
    </row>
    <row r="120779" spans="10:10" x14ac:dyDescent="0.3">
      <c r="J120779"/>
    </row>
    <row r="120780" spans="10:10" x14ac:dyDescent="0.3">
      <c r="J120780"/>
    </row>
    <row r="120781" spans="10:10" x14ac:dyDescent="0.3">
      <c r="J120781"/>
    </row>
    <row r="120782" spans="10:10" x14ac:dyDescent="0.3">
      <c r="J120782"/>
    </row>
    <row r="120783" spans="10:10" x14ac:dyDescent="0.3">
      <c r="J120783"/>
    </row>
    <row r="120784" spans="10:10" x14ac:dyDescent="0.3">
      <c r="J120784"/>
    </row>
    <row r="120785" spans="10:10" x14ac:dyDescent="0.3">
      <c r="J120785"/>
    </row>
    <row r="120786" spans="10:10" x14ac:dyDescent="0.3">
      <c r="J120786"/>
    </row>
    <row r="120787" spans="10:10" x14ac:dyDescent="0.3">
      <c r="J120787"/>
    </row>
    <row r="120788" spans="10:10" x14ac:dyDescent="0.3">
      <c r="J120788"/>
    </row>
    <row r="120789" spans="10:10" x14ac:dyDescent="0.3">
      <c r="J120789"/>
    </row>
    <row r="120790" spans="10:10" x14ac:dyDescent="0.3">
      <c r="J120790"/>
    </row>
    <row r="120791" spans="10:10" x14ac:dyDescent="0.3">
      <c r="J120791"/>
    </row>
    <row r="120792" spans="10:10" x14ac:dyDescent="0.3">
      <c r="J120792"/>
    </row>
    <row r="120793" spans="10:10" x14ac:dyDescent="0.3">
      <c r="J120793"/>
    </row>
    <row r="120794" spans="10:10" x14ac:dyDescent="0.3">
      <c r="J120794"/>
    </row>
    <row r="120795" spans="10:10" x14ac:dyDescent="0.3">
      <c r="J120795"/>
    </row>
    <row r="120796" spans="10:10" x14ac:dyDescent="0.3">
      <c r="J120796"/>
    </row>
    <row r="120797" spans="10:10" x14ac:dyDescent="0.3">
      <c r="J120797"/>
    </row>
    <row r="120798" spans="10:10" x14ac:dyDescent="0.3">
      <c r="J120798"/>
    </row>
    <row r="120799" spans="10:10" x14ac:dyDescent="0.3">
      <c r="J120799"/>
    </row>
    <row r="120800" spans="10:10" x14ac:dyDescent="0.3">
      <c r="J120800"/>
    </row>
    <row r="120801" spans="10:10" x14ac:dyDescent="0.3">
      <c r="J120801"/>
    </row>
    <row r="120802" spans="10:10" x14ac:dyDescent="0.3">
      <c r="J120802"/>
    </row>
    <row r="120803" spans="10:10" x14ac:dyDescent="0.3">
      <c r="J120803"/>
    </row>
    <row r="120804" spans="10:10" x14ac:dyDescent="0.3">
      <c r="J120804"/>
    </row>
    <row r="120805" spans="10:10" x14ac:dyDescent="0.3">
      <c r="J120805"/>
    </row>
    <row r="120806" spans="10:10" x14ac:dyDescent="0.3">
      <c r="J120806"/>
    </row>
    <row r="120807" spans="10:10" x14ac:dyDescent="0.3">
      <c r="J120807"/>
    </row>
    <row r="120808" spans="10:10" x14ac:dyDescent="0.3">
      <c r="J120808"/>
    </row>
    <row r="120809" spans="10:10" x14ac:dyDescent="0.3">
      <c r="J120809"/>
    </row>
    <row r="120810" spans="10:10" x14ac:dyDescent="0.3">
      <c r="J120810"/>
    </row>
    <row r="120811" spans="10:10" x14ac:dyDescent="0.3">
      <c r="J120811"/>
    </row>
    <row r="120812" spans="10:10" x14ac:dyDescent="0.3">
      <c r="J120812"/>
    </row>
    <row r="120813" spans="10:10" x14ac:dyDescent="0.3">
      <c r="J120813"/>
    </row>
    <row r="120814" spans="10:10" x14ac:dyDescent="0.3">
      <c r="J120814"/>
    </row>
    <row r="120815" spans="10:10" x14ac:dyDescent="0.3">
      <c r="J120815"/>
    </row>
    <row r="120816" spans="10:10" x14ac:dyDescent="0.3">
      <c r="J120816"/>
    </row>
    <row r="120817" spans="10:10" x14ac:dyDescent="0.3">
      <c r="J120817"/>
    </row>
    <row r="120818" spans="10:10" x14ac:dyDescent="0.3">
      <c r="J120818"/>
    </row>
    <row r="120819" spans="10:10" x14ac:dyDescent="0.3">
      <c r="J120819"/>
    </row>
    <row r="120820" spans="10:10" x14ac:dyDescent="0.3">
      <c r="J120820"/>
    </row>
    <row r="120821" spans="10:10" x14ac:dyDescent="0.3">
      <c r="J120821"/>
    </row>
    <row r="120822" spans="10:10" x14ac:dyDescent="0.3">
      <c r="J120822"/>
    </row>
    <row r="120823" spans="10:10" x14ac:dyDescent="0.3">
      <c r="J120823"/>
    </row>
    <row r="120824" spans="10:10" x14ac:dyDescent="0.3">
      <c r="J120824"/>
    </row>
    <row r="120825" spans="10:10" x14ac:dyDescent="0.3">
      <c r="J120825"/>
    </row>
    <row r="120826" spans="10:10" x14ac:dyDescent="0.3">
      <c r="J120826"/>
    </row>
    <row r="120827" spans="10:10" x14ac:dyDescent="0.3">
      <c r="J120827"/>
    </row>
    <row r="120828" spans="10:10" x14ac:dyDescent="0.3">
      <c r="J120828"/>
    </row>
    <row r="120829" spans="10:10" x14ac:dyDescent="0.3">
      <c r="J120829"/>
    </row>
    <row r="120830" spans="10:10" x14ac:dyDescent="0.3">
      <c r="J120830"/>
    </row>
    <row r="120831" spans="10:10" x14ac:dyDescent="0.3">
      <c r="J120831"/>
    </row>
    <row r="120832" spans="10:10" x14ac:dyDescent="0.3">
      <c r="J120832"/>
    </row>
    <row r="120833" spans="10:10" x14ac:dyDescent="0.3">
      <c r="J120833"/>
    </row>
    <row r="120834" spans="10:10" x14ac:dyDescent="0.3">
      <c r="J120834"/>
    </row>
    <row r="120835" spans="10:10" x14ac:dyDescent="0.3">
      <c r="J120835"/>
    </row>
    <row r="120836" spans="10:10" x14ac:dyDescent="0.3">
      <c r="J120836"/>
    </row>
    <row r="120837" spans="10:10" x14ac:dyDescent="0.3">
      <c r="J120837"/>
    </row>
    <row r="120838" spans="10:10" x14ac:dyDescent="0.3">
      <c r="J120838"/>
    </row>
    <row r="120839" spans="10:10" x14ac:dyDescent="0.3">
      <c r="J120839"/>
    </row>
    <row r="120840" spans="10:10" x14ac:dyDescent="0.3">
      <c r="J120840"/>
    </row>
    <row r="120841" spans="10:10" x14ac:dyDescent="0.3">
      <c r="J120841"/>
    </row>
    <row r="120842" spans="10:10" x14ac:dyDescent="0.3">
      <c r="J120842"/>
    </row>
    <row r="120843" spans="10:10" x14ac:dyDescent="0.3">
      <c r="J120843"/>
    </row>
    <row r="120844" spans="10:10" x14ac:dyDescent="0.3">
      <c r="J120844"/>
    </row>
    <row r="120845" spans="10:10" x14ac:dyDescent="0.3">
      <c r="J120845"/>
    </row>
    <row r="120846" spans="10:10" x14ac:dyDescent="0.3">
      <c r="J120846"/>
    </row>
    <row r="120847" spans="10:10" x14ac:dyDescent="0.3">
      <c r="J120847"/>
    </row>
    <row r="120848" spans="10:10" x14ac:dyDescent="0.3">
      <c r="J120848"/>
    </row>
    <row r="120849" spans="10:10" x14ac:dyDescent="0.3">
      <c r="J120849"/>
    </row>
    <row r="120850" spans="10:10" x14ac:dyDescent="0.3">
      <c r="J120850"/>
    </row>
    <row r="120851" spans="10:10" x14ac:dyDescent="0.3">
      <c r="J120851"/>
    </row>
    <row r="120852" spans="10:10" x14ac:dyDescent="0.3">
      <c r="J120852"/>
    </row>
    <row r="120853" spans="10:10" x14ac:dyDescent="0.3">
      <c r="J120853"/>
    </row>
    <row r="120854" spans="10:10" x14ac:dyDescent="0.3">
      <c r="J120854"/>
    </row>
    <row r="120855" spans="10:10" x14ac:dyDescent="0.3">
      <c r="J120855"/>
    </row>
    <row r="120856" spans="10:10" x14ac:dyDescent="0.3">
      <c r="J120856"/>
    </row>
    <row r="120857" spans="10:10" x14ac:dyDescent="0.3">
      <c r="J120857"/>
    </row>
    <row r="120858" spans="10:10" x14ac:dyDescent="0.3">
      <c r="J120858"/>
    </row>
    <row r="120859" spans="10:10" x14ac:dyDescent="0.3">
      <c r="J120859"/>
    </row>
    <row r="120860" spans="10:10" x14ac:dyDescent="0.3">
      <c r="J120860"/>
    </row>
    <row r="120861" spans="10:10" x14ac:dyDescent="0.3">
      <c r="J120861"/>
    </row>
    <row r="120862" spans="10:10" x14ac:dyDescent="0.3">
      <c r="J120862"/>
    </row>
    <row r="120863" spans="10:10" x14ac:dyDescent="0.3">
      <c r="J120863"/>
    </row>
    <row r="120864" spans="10:10" x14ac:dyDescent="0.3">
      <c r="J120864"/>
    </row>
    <row r="120865" spans="10:10" x14ac:dyDescent="0.3">
      <c r="J120865"/>
    </row>
    <row r="120866" spans="10:10" x14ac:dyDescent="0.3">
      <c r="J120866"/>
    </row>
    <row r="120867" spans="10:10" x14ac:dyDescent="0.3">
      <c r="J120867"/>
    </row>
    <row r="120868" spans="10:10" x14ac:dyDescent="0.3">
      <c r="J120868"/>
    </row>
    <row r="120869" spans="10:10" x14ac:dyDescent="0.3">
      <c r="J120869"/>
    </row>
    <row r="120870" spans="10:10" x14ac:dyDescent="0.3">
      <c r="J120870"/>
    </row>
    <row r="120871" spans="10:10" x14ac:dyDescent="0.3">
      <c r="J120871"/>
    </row>
    <row r="120872" spans="10:10" x14ac:dyDescent="0.3">
      <c r="J120872"/>
    </row>
    <row r="120873" spans="10:10" x14ac:dyDescent="0.3">
      <c r="J120873"/>
    </row>
    <row r="120874" spans="10:10" x14ac:dyDescent="0.3">
      <c r="J120874"/>
    </row>
    <row r="120875" spans="10:10" x14ac:dyDescent="0.3">
      <c r="J120875"/>
    </row>
    <row r="120876" spans="10:10" x14ac:dyDescent="0.3">
      <c r="J120876"/>
    </row>
    <row r="120877" spans="10:10" x14ac:dyDescent="0.3">
      <c r="J120877"/>
    </row>
    <row r="120878" spans="10:10" x14ac:dyDescent="0.3">
      <c r="J120878"/>
    </row>
    <row r="120879" spans="10:10" x14ac:dyDescent="0.3">
      <c r="J120879"/>
    </row>
    <row r="120880" spans="10:10" x14ac:dyDescent="0.3">
      <c r="J120880"/>
    </row>
    <row r="120881" spans="10:10" x14ac:dyDescent="0.3">
      <c r="J120881"/>
    </row>
    <row r="120882" spans="10:10" x14ac:dyDescent="0.3">
      <c r="J120882"/>
    </row>
    <row r="120883" spans="10:10" x14ac:dyDescent="0.3">
      <c r="J120883"/>
    </row>
    <row r="120884" spans="10:10" x14ac:dyDescent="0.3">
      <c r="J120884"/>
    </row>
    <row r="120885" spans="10:10" x14ac:dyDescent="0.3">
      <c r="J120885"/>
    </row>
    <row r="120886" spans="10:10" x14ac:dyDescent="0.3">
      <c r="J120886"/>
    </row>
    <row r="120887" spans="10:10" x14ac:dyDescent="0.3">
      <c r="J120887"/>
    </row>
    <row r="120888" spans="10:10" x14ac:dyDescent="0.3">
      <c r="J120888"/>
    </row>
    <row r="120889" spans="10:10" x14ac:dyDescent="0.3">
      <c r="J120889"/>
    </row>
    <row r="120890" spans="10:10" x14ac:dyDescent="0.3">
      <c r="J120890"/>
    </row>
    <row r="120891" spans="10:10" x14ac:dyDescent="0.3">
      <c r="J120891"/>
    </row>
    <row r="120892" spans="10:10" x14ac:dyDescent="0.3">
      <c r="J120892"/>
    </row>
    <row r="120893" spans="10:10" x14ac:dyDescent="0.3">
      <c r="J120893"/>
    </row>
    <row r="120894" spans="10:10" x14ac:dyDescent="0.3">
      <c r="J120894"/>
    </row>
    <row r="120895" spans="10:10" x14ac:dyDescent="0.3">
      <c r="J120895"/>
    </row>
    <row r="120896" spans="10:10" x14ac:dyDescent="0.3">
      <c r="J120896"/>
    </row>
    <row r="120897" spans="10:10" x14ac:dyDescent="0.3">
      <c r="J120897"/>
    </row>
    <row r="120898" spans="10:10" x14ac:dyDescent="0.3">
      <c r="J120898"/>
    </row>
    <row r="120899" spans="10:10" x14ac:dyDescent="0.3">
      <c r="J120899"/>
    </row>
    <row r="120900" spans="10:10" x14ac:dyDescent="0.3">
      <c r="J120900"/>
    </row>
    <row r="120901" spans="10:10" x14ac:dyDescent="0.3">
      <c r="J120901"/>
    </row>
    <row r="120902" spans="10:10" x14ac:dyDescent="0.3">
      <c r="J120902"/>
    </row>
    <row r="120903" spans="10:10" x14ac:dyDescent="0.3">
      <c r="J120903"/>
    </row>
    <row r="120904" spans="10:10" x14ac:dyDescent="0.3">
      <c r="J120904"/>
    </row>
    <row r="120905" spans="10:10" x14ac:dyDescent="0.3">
      <c r="J120905"/>
    </row>
    <row r="120906" spans="10:10" x14ac:dyDescent="0.3">
      <c r="J120906"/>
    </row>
    <row r="120907" spans="10:10" x14ac:dyDescent="0.3">
      <c r="J120907"/>
    </row>
    <row r="120908" spans="10:10" x14ac:dyDescent="0.3">
      <c r="J120908"/>
    </row>
    <row r="120909" spans="10:10" x14ac:dyDescent="0.3">
      <c r="J120909"/>
    </row>
    <row r="120910" spans="10:10" x14ac:dyDescent="0.3">
      <c r="J120910"/>
    </row>
    <row r="120911" spans="10:10" x14ac:dyDescent="0.3">
      <c r="J120911"/>
    </row>
    <row r="120912" spans="10:10" x14ac:dyDescent="0.3">
      <c r="J120912"/>
    </row>
    <row r="120913" spans="10:10" x14ac:dyDescent="0.3">
      <c r="J120913"/>
    </row>
    <row r="120914" spans="10:10" x14ac:dyDescent="0.3">
      <c r="J120914"/>
    </row>
    <row r="120915" spans="10:10" x14ac:dyDescent="0.3">
      <c r="J120915"/>
    </row>
    <row r="120916" spans="10:10" x14ac:dyDescent="0.3">
      <c r="J120916"/>
    </row>
    <row r="120917" spans="10:10" x14ac:dyDescent="0.3">
      <c r="J120917"/>
    </row>
    <row r="120918" spans="10:10" x14ac:dyDescent="0.3">
      <c r="J120918"/>
    </row>
    <row r="120919" spans="10:10" x14ac:dyDescent="0.3">
      <c r="J120919"/>
    </row>
    <row r="120920" spans="10:10" x14ac:dyDescent="0.3">
      <c r="J120920"/>
    </row>
    <row r="120921" spans="10:10" x14ac:dyDescent="0.3">
      <c r="J120921"/>
    </row>
    <row r="120922" spans="10:10" x14ac:dyDescent="0.3">
      <c r="J120922"/>
    </row>
    <row r="120923" spans="10:10" x14ac:dyDescent="0.3">
      <c r="J120923"/>
    </row>
    <row r="120924" spans="10:10" x14ac:dyDescent="0.3">
      <c r="J120924"/>
    </row>
    <row r="120925" spans="10:10" x14ac:dyDescent="0.3">
      <c r="J120925"/>
    </row>
    <row r="120926" spans="10:10" x14ac:dyDescent="0.3">
      <c r="J120926"/>
    </row>
    <row r="120927" spans="10:10" x14ac:dyDescent="0.3">
      <c r="J120927"/>
    </row>
    <row r="120928" spans="10:10" x14ac:dyDescent="0.3">
      <c r="J120928"/>
    </row>
    <row r="120929" spans="10:10" x14ac:dyDescent="0.3">
      <c r="J120929"/>
    </row>
    <row r="120930" spans="10:10" x14ac:dyDescent="0.3">
      <c r="J120930"/>
    </row>
    <row r="120931" spans="10:10" x14ac:dyDescent="0.3">
      <c r="J120931"/>
    </row>
    <row r="120932" spans="10:10" x14ac:dyDescent="0.3">
      <c r="J120932"/>
    </row>
    <row r="120933" spans="10:10" x14ac:dyDescent="0.3">
      <c r="J120933"/>
    </row>
    <row r="120934" spans="10:10" x14ac:dyDescent="0.3">
      <c r="J120934"/>
    </row>
    <row r="120935" spans="10:10" x14ac:dyDescent="0.3">
      <c r="J120935"/>
    </row>
    <row r="120936" spans="10:10" x14ac:dyDescent="0.3">
      <c r="J120936"/>
    </row>
    <row r="120937" spans="10:10" x14ac:dyDescent="0.3">
      <c r="J120937"/>
    </row>
    <row r="120938" spans="10:10" x14ac:dyDescent="0.3">
      <c r="J120938"/>
    </row>
    <row r="120939" spans="10:10" x14ac:dyDescent="0.3">
      <c r="J120939"/>
    </row>
    <row r="120940" spans="10:10" x14ac:dyDescent="0.3">
      <c r="J120940"/>
    </row>
    <row r="120941" spans="10:10" x14ac:dyDescent="0.3">
      <c r="J120941"/>
    </row>
    <row r="120942" spans="10:10" x14ac:dyDescent="0.3">
      <c r="J120942"/>
    </row>
    <row r="120943" spans="10:10" x14ac:dyDescent="0.3">
      <c r="J120943"/>
    </row>
    <row r="120944" spans="10:10" x14ac:dyDescent="0.3">
      <c r="J120944"/>
    </row>
    <row r="120945" spans="10:10" x14ac:dyDescent="0.3">
      <c r="J120945"/>
    </row>
    <row r="120946" spans="10:10" x14ac:dyDescent="0.3">
      <c r="J120946"/>
    </row>
    <row r="120947" spans="10:10" x14ac:dyDescent="0.3">
      <c r="J120947"/>
    </row>
    <row r="120948" spans="10:10" x14ac:dyDescent="0.3">
      <c r="J120948"/>
    </row>
    <row r="120949" spans="10:10" x14ac:dyDescent="0.3">
      <c r="J120949"/>
    </row>
    <row r="120950" spans="10:10" x14ac:dyDescent="0.3">
      <c r="J120950"/>
    </row>
    <row r="120951" spans="10:10" x14ac:dyDescent="0.3">
      <c r="J120951"/>
    </row>
    <row r="120952" spans="10:10" x14ac:dyDescent="0.3">
      <c r="J120952"/>
    </row>
    <row r="120953" spans="10:10" x14ac:dyDescent="0.3">
      <c r="J120953"/>
    </row>
    <row r="120954" spans="10:10" x14ac:dyDescent="0.3">
      <c r="J120954"/>
    </row>
    <row r="120955" spans="10:10" x14ac:dyDescent="0.3">
      <c r="J120955"/>
    </row>
    <row r="120956" spans="10:10" x14ac:dyDescent="0.3">
      <c r="J120956"/>
    </row>
    <row r="120957" spans="10:10" x14ac:dyDescent="0.3">
      <c r="J120957"/>
    </row>
    <row r="120958" spans="10:10" x14ac:dyDescent="0.3">
      <c r="J120958"/>
    </row>
    <row r="120959" spans="10:10" x14ac:dyDescent="0.3">
      <c r="J120959"/>
    </row>
    <row r="120960" spans="10:10" x14ac:dyDescent="0.3">
      <c r="J120960"/>
    </row>
    <row r="120961" spans="10:10" x14ac:dyDescent="0.3">
      <c r="J120961"/>
    </row>
    <row r="120962" spans="10:10" x14ac:dyDescent="0.3">
      <c r="J120962"/>
    </row>
    <row r="120963" spans="10:10" x14ac:dyDescent="0.3">
      <c r="J120963"/>
    </row>
    <row r="120964" spans="10:10" x14ac:dyDescent="0.3">
      <c r="J120964"/>
    </row>
    <row r="120965" spans="10:10" x14ac:dyDescent="0.3">
      <c r="J120965"/>
    </row>
    <row r="120966" spans="10:10" x14ac:dyDescent="0.3">
      <c r="J120966"/>
    </row>
    <row r="120967" spans="10:10" x14ac:dyDescent="0.3">
      <c r="J120967"/>
    </row>
    <row r="120968" spans="10:10" x14ac:dyDescent="0.3">
      <c r="J120968"/>
    </row>
    <row r="120969" spans="10:10" x14ac:dyDescent="0.3">
      <c r="J120969"/>
    </row>
    <row r="120970" spans="10:10" x14ac:dyDescent="0.3">
      <c r="J120970"/>
    </row>
    <row r="120971" spans="10:10" x14ac:dyDescent="0.3">
      <c r="J120971"/>
    </row>
    <row r="120972" spans="10:10" x14ac:dyDescent="0.3">
      <c r="J120972"/>
    </row>
    <row r="120973" spans="10:10" x14ac:dyDescent="0.3">
      <c r="J120973"/>
    </row>
    <row r="120974" spans="10:10" x14ac:dyDescent="0.3">
      <c r="J120974"/>
    </row>
    <row r="120975" spans="10:10" x14ac:dyDescent="0.3">
      <c r="J120975"/>
    </row>
    <row r="120976" spans="10:10" x14ac:dyDescent="0.3">
      <c r="J120976"/>
    </row>
    <row r="120977" spans="10:10" x14ac:dyDescent="0.3">
      <c r="J120977"/>
    </row>
    <row r="120978" spans="10:10" x14ac:dyDescent="0.3">
      <c r="J120978"/>
    </row>
    <row r="120979" spans="10:10" x14ac:dyDescent="0.3">
      <c r="J120979"/>
    </row>
    <row r="120980" spans="10:10" x14ac:dyDescent="0.3">
      <c r="J120980"/>
    </row>
    <row r="120981" spans="10:10" x14ac:dyDescent="0.3">
      <c r="J120981"/>
    </row>
    <row r="120982" spans="10:10" x14ac:dyDescent="0.3">
      <c r="J120982"/>
    </row>
    <row r="120983" spans="10:10" x14ac:dyDescent="0.3">
      <c r="J120983"/>
    </row>
    <row r="120984" spans="10:10" x14ac:dyDescent="0.3">
      <c r="J120984"/>
    </row>
    <row r="120985" spans="10:10" x14ac:dyDescent="0.3">
      <c r="J120985"/>
    </row>
    <row r="120986" spans="10:10" x14ac:dyDescent="0.3">
      <c r="J120986"/>
    </row>
    <row r="120987" spans="10:10" x14ac:dyDescent="0.3">
      <c r="J120987"/>
    </row>
    <row r="120988" spans="10:10" x14ac:dyDescent="0.3">
      <c r="J120988"/>
    </row>
    <row r="120989" spans="10:10" x14ac:dyDescent="0.3">
      <c r="J120989"/>
    </row>
    <row r="120990" spans="10:10" x14ac:dyDescent="0.3">
      <c r="J120990"/>
    </row>
    <row r="120991" spans="10:10" x14ac:dyDescent="0.3">
      <c r="J120991"/>
    </row>
    <row r="120992" spans="10:10" x14ac:dyDescent="0.3">
      <c r="J120992"/>
    </row>
    <row r="120993" spans="10:10" x14ac:dyDescent="0.3">
      <c r="J120993"/>
    </row>
    <row r="120994" spans="10:10" x14ac:dyDescent="0.3">
      <c r="J120994"/>
    </row>
    <row r="120995" spans="10:10" x14ac:dyDescent="0.3">
      <c r="J120995"/>
    </row>
    <row r="120996" spans="10:10" x14ac:dyDescent="0.3">
      <c r="J120996"/>
    </row>
    <row r="120997" spans="10:10" x14ac:dyDescent="0.3">
      <c r="J120997"/>
    </row>
    <row r="120998" spans="10:10" x14ac:dyDescent="0.3">
      <c r="J120998"/>
    </row>
    <row r="120999" spans="10:10" x14ac:dyDescent="0.3">
      <c r="J120999"/>
    </row>
    <row r="121000" spans="10:10" x14ac:dyDescent="0.3">
      <c r="J121000"/>
    </row>
    <row r="121001" spans="10:10" x14ac:dyDescent="0.3">
      <c r="J121001"/>
    </row>
    <row r="121002" spans="10:10" x14ac:dyDescent="0.3">
      <c r="J121002"/>
    </row>
    <row r="121003" spans="10:10" x14ac:dyDescent="0.3">
      <c r="J121003"/>
    </row>
    <row r="121004" spans="10:10" x14ac:dyDescent="0.3">
      <c r="J121004"/>
    </row>
    <row r="121005" spans="10:10" x14ac:dyDescent="0.3">
      <c r="J121005"/>
    </row>
    <row r="121006" spans="10:10" x14ac:dyDescent="0.3">
      <c r="J121006"/>
    </row>
    <row r="121007" spans="10:10" x14ac:dyDescent="0.3">
      <c r="J121007"/>
    </row>
    <row r="121008" spans="10:10" x14ac:dyDescent="0.3">
      <c r="J121008"/>
    </row>
    <row r="121009" spans="10:10" x14ac:dyDescent="0.3">
      <c r="J121009"/>
    </row>
    <row r="121010" spans="10:10" x14ac:dyDescent="0.3">
      <c r="J121010"/>
    </row>
    <row r="121011" spans="10:10" x14ac:dyDescent="0.3">
      <c r="J121011"/>
    </row>
    <row r="121012" spans="10:10" x14ac:dyDescent="0.3">
      <c r="J121012"/>
    </row>
    <row r="121013" spans="10:10" x14ac:dyDescent="0.3">
      <c r="J121013"/>
    </row>
    <row r="121014" spans="10:10" x14ac:dyDescent="0.3">
      <c r="J121014"/>
    </row>
    <row r="121015" spans="10:10" x14ac:dyDescent="0.3">
      <c r="J121015"/>
    </row>
    <row r="121016" spans="10:10" x14ac:dyDescent="0.3">
      <c r="J121016"/>
    </row>
    <row r="121017" spans="10:10" x14ac:dyDescent="0.3">
      <c r="J121017"/>
    </row>
    <row r="121018" spans="10:10" x14ac:dyDescent="0.3">
      <c r="J121018"/>
    </row>
    <row r="121019" spans="10:10" x14ac:dyDescent="0.3">
      <c r="J121019"/>
    </row>
    <row r="121020" spans="10:10" x14ac:dyDescent="0.3">
      <c r="J121020"/>
    </row>
    <row r="121021" spans="10:10" x14ac:dyDescent="0.3">
      <c r="J121021"/>
    </row>
    <row r="121022" spans="10:10" x14ac:dyDescent="0.3">
      <c r="J121022"/>
    </row>
    <row r="121023" spans="10:10" x14ac:dyDescent="0.3">
      <c r="J121023"/>
    </row>
    <row r="121024" spans="10:10" x14ac:dyDescent="0.3">
      <c r="J121024"/>
    </row>
    <row r="121025" spans="10:10" x14ac:dyDescent="0.3">
      <c r="J121025"/>
    </row>
    <row r="121026" spans="10:10" x14ac:dyDescent="0.3">
      <c r="J121026"/>
    </row>
    <row r="121027" spans="10:10" x14ac:dyDescent="0.3">
      <c r="J121027"/>
    </row>
    <row r="121028" spans="10:10" x14ac:dyDescent="0.3">
      <c r="J121028"/>
    </row>
    <row r="121029" spans="10:10" x14ac:dyDescent="0.3">
      <c r="J121029"/>
    </row>
    <row r="121030" spans="10:10" x14ac:dyDescent="0.3">
      <c r="J121030"/>
    </row>
    <row r="121031" spans="10:10" x14ac:dyDescent="0.3">
      <c r="J121031"/>
    </row>
    <row r="121032" spans="10:10" x14ac:dyDescent="0.3">
      <c r="J121032"/>
    </row>
    <row r="121033" spans="10:10" x14ac:dyDescent="0.3">
      <c r="J121033"/>
    </row>
    <row r="121034" spans="10:10" x14ac:dyDescent="0.3">
      <c r="J121034"/>
    </row>
    <row r="121035" spans="10:10" x14ac:dyDescent="0.3">
      <c r="J121035"/>
    </row>
    <row r="121036" spans="10:10" x14ac:dyDescent="0.3">
      <c r="J121036"/>
    </row>
    <row r="121037" spans="10:10" x14ac:dyDescent="0.3">
      <c r="J121037"/>
    </row>
    <row r="121038" spans="10:10" x14ac:dyDescent="0.3">
      <c r="J121038"/>
    </row>
    <row r="121039" spans="10:10" x14ac:dyDescent="0.3">
      <c r="J121039"/>
    </row>
    <row r="121040" spans="10:10" x14ac:dyDescent="0.3">
      <c r="J121040"/>
    </row>
    <row r="121041" spans="10:10" x14ac:dyDescent="0.3">
      <c r="J121041"/>
    </row>
    <row r="121042" spans="10:10" x14ac:dyDescent="0.3">
      <c r="J121042"/>
    </row>
    <row r="121043" spans="10:10" x14ac:dyDescent="0.3">
      <c r="J121043"/>
    </row>
    <row r="121044" spans="10:10" x14ac:dyDescent="0.3">
      <c r="J121044"/>
    </row>
    <row r="121045" spans="10:10" x14ac:dyDescent="0.3">
      <c r="J121045"/>
    </row>
    <row r="121046" spans="10:10" x14ac:dyDescent="0.3">
      <c r="J121046"/>
    </row>
    <row r="121047" spans="10:10" x14ac:dyDescent="0.3">
      <c r="J121047"/>
    </row>
    <row r="121048" spans="10:10" x14ac:dyDescent="0.3">
      <c r="J121048"/>
    </row>
    <row r="121049" spans="10:10" x14ac:dyDescent="0.3">
      <c r="J121049"/>
    </row>
    <row r="121050" spans="10:10" x14ac:dyDescent="0.3">
      <c r="J121050"/>
    </row>
    <row r="121051" spans="10:10" x14ac:dyDescent="0.3">
      <c r="J121051"/>
    </row>
    <row r="121052" spans="10:10" x14ac:dyDescent="0.3">
      <c r="J121052"/>
    </row>
    <row r="121053" spans="10:10" x14ac:dyDescent="0.3">
      <c r="J121053"/>
    </row>
    <row r="121054" spans="10:10" x14ac:dyDescent="0.3">
      <c r="J121054"/>
    </row>
    <row r="121055" spans="10:10" x14ac:dyDescent="0.3">
      <c r="J121055"/>
    </row>
    <row r="121056" spans="10:10" x14ac:dyDescent="0.3">
      <c r="J121056"/>
    </row>
    <row r="121057" spans="10:10" x14ac:dyDescent="0.3">
      <c r="J121057"/>
    </row>
    <row r="121058" spans="10:10" x14ac:dyDescent="0.3">
      <c r="J121058"/>
    </row>
    <row r="121059" spans="10:10" x14ac:dyDescent="0.3">
      <c r="J121059"/>
    </row>
    <row r="121060" spans="10:10" x14ac:dyDescent="0.3">
      <c r="J121060"/>
    </row>
    <row r="121061" spans="10:10" x14ac:dyDescent="0.3">
      <c r="J121061"/>
    </row>
    <row r="121062" spans="10:10" x14ac:dyDescent="0.3">
      <c r="J121062"/>
    </row>
    <row r="121063" spans="10:10" x14ac:dyDescent="0.3">
      <c r="J121063"/>
    </row>
    <row r="121064" spans="10:10" x14ac:dyDescent="0.3">
      <c r="J121064"/>
    </row>
    <row r="121065" spans="10:10" x14ac:dyDescent="0.3">
      <c r="J121065"/>
    </row>
    <row r="121066" spans="10:10" x14ac:dyDescent="0.3">
      <c r="J121066"/>
    </row>
    <row r="121067" spans="10:10" x14ac:dyDescent="0.3">
      <c r="J121067"/>
    </row>
    <row r="121068" spans="10:10" x14ac:dyDescent="0.3">
      <c r="J121068"/>
    </row>
    <row r="121069" spans="10:10" x14ac:dyDescent="0.3">
      <c r="J121069"/>
    </row>
    <row r="121070" spans="10:10" x14ac:dyDescent="0.3">
      <c r="J121070"/>
    </row>
    <row r="121071" spans="10:10" x14ac:dyDescent="0.3">
      <c r="J121071"/>
    </row>
    <row r="121072" spans="10:10" x14ac:dyDescent="0.3">
      <c r="J121072"/>
    </row>
    <row r="121073" spans="10:10" x14ac:dyDescent="0.3">
      <c r="J121073"/>
    </row>
    <row r="121074" spans="10:10" x14ac:dyDescent="0.3">
      <c r="J121074"/>
    </row>
    <row r="121075" spans="10:10" x14ac:dyDescent="0.3">
      <c r="J121075"/>
    </row>
    <row r="121076" spans="10:10" x14ac:dyDescent="0.3">
      <c r="J121076"/>
    </row>
    <row r="121077" spans="10:10" x14ac:dyDescent="0.3">
      <c r="J121077"/>
    </row>
    <row r="121078" spans="10:10" x14ac:dyDescent="0.3">
      <c r="J121078"/>
    </row>
    <row r="121079" spans="10:10" x14ac:dyDescent="0.3">
      <c r="J121079"/>
    </row>
    <row r="121080" spans="10:10" x14ac:dyDescent="0.3">
      <c r="J121080"/>
    </row>
    <row r="121081" spans="10:10" x14ac:dyDescent="0.3">
      <c r="J121081"/>
    </row>
    <row r="121082" spans="10:10" x14ac:dyDescent="0.3">
      <c r="J121082"/>
    </row>
    <row r="121083" spans="10:10" x14ac:dyDescent="0.3">
      <c r="J121083"/>
    </row>
    <row r="121084" spans="10:10" x14ac:dyDescent="0.3">
      <c r="J121084"/>
    </row>
    <row r="121085" spans="10:10" x14ac:dyDescent="0.3">
      <c r="J121085"/>
    </row>
    <row r="121086" spans="10:10" x14ac:dyDescent="0.3">
      <c r="J121086"/>
    </row>
    <row r="121087" spans="10:10" x14ac:dyDescent="0.3">
      <c r="J121087"/>
    </row>
    <row r="121088" spans="10:10" x14ac:dyDescent="0.3">
      <c r="J121088"/>
    </row>
    <row r="121089" spans="10:10" x14ac:dyDescent="0.3">
      <c r="J121089"/>
    </row>
    <row r="121090" spans="10:10" x14ac:dyDescent="0.3">
      <c r="J121090"/>
    </row>
    <row r="121091" spans="10:10" x14ac:dyDescent="0.3">
      <c r="J121091"/>
    </row>
    <row r="121092" spans="10:10" x14ac:dyDescent="0.3">
      <c r="J121092"/>
    </row>
    <row r="121093" spans="10:10" x14ac:dyDescent="0.3">
      <c r="J121093"/>
    </row>
    <row r="121094" spans="10:10" x14ac:dyDescent="0.3">
      <c r="J121094"/>
    </row>
    <row r="121095" spans="10:10" x14ac:dyDescent="0.3">
      <c r="J121095"/>
    </row>
    <row r="121096" spans="10:10" x14ac:dyDescent="0.3">
      <c r="J121096"/>
    </row>
    <row r="121097" spans="10:10" x14ac:dyDescent="0.3">
      <c r="J121097"/>
    </row>
    <row r="121098" spans="10:10" x14ac:dyDescent="0.3">
      <c r="J121098"/>
    </row>
    <row r="121099" spans="10:10" x14ac:dyDescent="0.3">
      <c r="J121099"/>
    </row>
    <row r="121100" spans="10:10" x14ac:dyDescent="0.3">
      <c r="J121100"/>
    </row>
    <row r="121101" spans="10:10" x14ac:dyDescent="0.3">
      <c r="J121101"/>
    </row>
    <row r="121102" spans="10:10" x14ac:dyDescent="0.3">
      <c r="J121102"/>
    </row>
    <row r="121103" spans="10:10" x14ac:dyDescent="0.3">
      <c r="J121103"/>
    </row>
    <row r="121104" spans="10:10" x14ac:dyDescent="0.3">
      <c r="J121104"/>
    </row>
    <row r="121105" spans="10:10" x14ac:dyDescent="0.3">
      <c r="J121105"/>
    </row>
    <row r="121106" spans="10:10" x14ac:dyDescent="0.3">
      <c r="J121106"/>
    </row>
    <row r="121107" spans="10:10" x14ac:dyDescent="0.3">
      <c r="J121107"/>
    </row>
    <row r="121108" spans="10:10" x14ac:dyDescent="0.3">
      <c r="J121108"/>
    </row>
    <row r="121109" spans="10:10" x14ac:dyDescent="0.3">
      <c r="J121109"/>
    </row>
    <row r="121110" spans="10:10" x14ac:dyDescent="0.3">
      <c r="J121110"/>
    </row>
    <row r="121111" spans="10:10" x14ac:dyDescent="0.3">
      <c r="J121111"/>
    </row>
    <row r="121112" spans="10:10" x14ac:dyDescent="0.3">
      <c r="J121112"/>
    </row>
    <row r="121113" spans="10:10" x14ac:dyDescent="0.3">
      <c r="J121113"/>
    </row>
    <row r="121114" spans="10:10" x14ac:dyDescent="0.3">
      <c r="J121114"/>
    </row>
    <row r="121115" spans="10:10" x14ac:dyDescent="0.3">
      <c r="J121115"/>
    </row>
    <row r="121116" spans="10:10" x14ac:dyDescent="0.3">
      <c r="J121116"/>
    </row>
    <row r="121117" spans="10:10" x14ac:dyDescent="0.3">
      <c r="J121117"/>
    </row>
    <row r="121118" spans="10:10" x14ac:dyDescent="0.3">
      <c r="J121118"/>
    </row>
    <row r="121119" spans="10:10" x14ac:dyDescent="0.3">
      <c r="J121119"/>
    </row>
    <row r="121120" spans="10:10" x14ac:dyDescent="0.3">
      <c r="J121120"/>
    </row>
    <row r="121121" spans="10:10" x14ac:dyDescent="0.3">
      <c r="J121121"/>
    </row>
    <row r="121122" spans="10:10" x14ac:dyDescent="0.3">
      <c r="J121122"/>
    </row>
    <row r="121123" spans="10:10" x14ac:dyDescent="0.3">
      <c r="J121123"/>
    </row>
    <row r="121124" spans="10:10" x14ac:dyDescent="0.3">
      <c r="J121124"/>
    </row>
    <row r="121125" spans="10:10" x14ac:dyDescent="0.3">
      <c r="J121125"/>
    </row>
    <row r="121126" spans="10:10" x14ac:dyDescent="0.3">
      <c r="J121126"/>
    </row>
    <row r="121127" spans="10:10" x14ac:dyDescent="0.3">
      <c r="J121127"/>
    </row>
    <row r="121128" spans="10:10" x14ac:dyDescent="0.3">
      <c r="J121128"/>
    </row>
    <row r="121129" spans="10:10" x14ac:dyDescent="0.3">
      <c r="J121129"/>
    </row>
    <row r="121130" spans="10:10" x14ac:dyDescent="0.3">
      <c r="J121130"/>
    </row>
    <row r="121131" spans="10:10" x14ac:dyDescent="0.3">
      <c r="J121131"/>
    </row>
    <row r="121132" spans="10:10" x14ac:dyDescent="0.3">
      <c r="J121132"/>
    </row>
    <row r="121133" spans="10:10" x14ac:dyDescent="0.3">
      <c r="J121133"/>
    </row>
    <row r="121134" spans="10:10" x14ac:dyDescent="0.3">
      <c r="J121134"/>
    </row>
    <row r="121135" spans="10:10" x14ac:dyDescent="0.3">
      <c r="J121135"/>
    </row>
    <row r="121136" spans="10:10" x14ac:dyDescent="0.3">
      <c r="J121136"/>
    </row>
    <row r="121137" spans="10:10" x14ac:dyDescent="0.3">
      <c r="J121137"/>
    </row>
    <row r="121138" spans="10:10" x14ac:dyDescent="0.3">
      <c r="J121138"/>
    </row>
    <row r="121139" spans="10:10" x14ac:dyDescent="0.3">
      <c r="J121139"/>
    </row>
    <row r="121140" spans="10:10" x14ac:dyDescent="0.3">
      <c r="J121140"/>
    </row>
    <row r="121141" spans="10:10" x14ac:dyDescent="0.3">
      <c r="J121141"/>
    </row>
    <row r="121142" spans="10:10" x14ac:dyDescent="0.3">
      <c r="J121142"/>
    </row>
    <row r="121143" spans="10:10" x14ac:dyDescent="0.3">
      <c r="J121143"/>
    </row>
    <row r="121144" spans="10:10" x14ac:dyDescent="0.3">
      <c r="J121144"/>
    </row>
    <row r="121145" spans="10:10" x14ac:dyDescent="0.3">
      <c r="J121145"/>
    </row>
    <row r="121146" spans="10:10" x14ac:dyDescent="0.3">
      <c r="J121146"/>
    </row>
    <row r="121147" spans="10:10" x14ac:dyDescent="0.3">
      <c r="J121147"/>
    </row>
    <row r="121148" spans="10:10" x14ac:dyDescent="0.3">
      <c r="J121148"/>
    </row>
    <row r="121149" spans="10:10" x14ac:dyDescent="0.3">
      <c r="J121149"/>
    </row>
    <row r="121150" spans="10:10" x14ac:dyDescent="0.3">
      <c r="J121150"/>
    </row>
    <row r="121151" spans="10:10" x14ac:dyDescent="0.3">
      <c r="J121151"/>
    </row>
    <row r="121152" spans="10:10" x14ac:dyDescent="0.3">
      <c r="J121152"/>
    </row>
    <row r="121153" spans="10:10" x14ac:dyDescent="0.3">
      <c r="J121153"/>
    </row>
    <row r="121154" spans="10:10" x14ac:dyDescent="0.3">
      <c r="J121154"/>
    </row>
    <row r="121155" spans="10:10" x14ac:dyDescent="0.3">
      <c r="J121155"/>
    </row>
    <row r="121156" spans="10:10" x14ac:dyDescent="0.3">
      <c r="J121156"/>
    </row>
    <row r="121157" spans="10:10" x14ac:dyDescent="0.3">
      <c r="J121157"/>
    </row>
    <row r="121158" spans="10:10" x14ac:dyDescent="0.3">
      <c r="J121158"/>
    </row>
    <row r="121159" spans="10:10" x14ac:dyDescent="0.3">
      <c r="J121159"/>
    </row>
    <row r="121160" spans="10:10" x14ac:dyDescent="0.3">
      <c r="J121160"/>
    </row>
    <row r="121161" spans="10:10" x14ac:dyDescent="0.3">
      <c r="J121161"/>
    </row>
    <row r="121162" spans="10:10" x14ac:dyDescent="0.3">
      <c r="J121162"/>
    </row>
    <row r="121163" spans="10:10" x14ac:dyDescent="0.3">
      <c r="J121163"/>
    </row>
    <row r="121164" spans="10:10" x14ac:dyDescent="0.3">
      <c r="J121164"/>
    </row>
    <row r="121165" spans="10:10" x14ac:dyDescent="0.3">
      <c r="J121165"/>
    </row>
    <row r="121166" spans="10:10" x14ac:dyDescent="0.3">
      <c r="J121166"/>
    </row>
    <row r="121167" spans="10:10" x14ac:dyDescent="0.3">
      <c r="J121167"/>
    </row>
    <row r="121168" spans="10:10" x14ac:dyDescent="0.3">
      <c r="J121168"/>
    </row>
    <row r="121169" spans="10:10" x14ac:dyDescent="0.3">
      <c r="J121169"/>
    </row>
    <row r="121170" spans="10:10" x14ac:dyDescent="0.3">
      <c r="J121170"/>
    </row>
    <row r="121171" spans="10:10" x14ac:dyDescent="0.3">
      <c r="J121171"/>
    </row>
    <row r="121172" spans="10:10" x14ac:dyDescent="0.3">
      <c r="J121172"/>
    </row>
    <row r="121173" spans="10:10" x14ac:dyDescent="0.3">
      <c r="J121173"/>
    </row>
    <row r="121174" spans="10:10" x14ac:dyDescent="0.3">
      <c r="J121174"/>
    </row>
    <row r="121175" spans="10:10" x14ac:dyDescent="0.3">
      <c r="J121175"/>
    </row>
    <row r="121176" spans="10:10" x14ac:dyDescent="0.3">
      <c r="J121176"/>
    </row>
    <row r="121177" spans="10:10" x14ac:dyDescent="0.3">
      <c r="J121177"/>
    </row>
    <row r="121178" spans="10:10" x14ac:dyDescent="0.3">
      <c r="J121178"/>
    </row>
    <row r="121179" spans="10:10" x14ac:dyDescent="0.3">
      <c r="J121179"/>
    </row>
    <row r="121180" spans="10:10" x14ac:dyDescent="0.3">
      <c r="J121180"/>
    </row>
    <row r="121181" spans="10:10" x14ac:dyDescent="0.3">
      <c r="J121181"/>
    </row>
    <row r="121182" spans="10:10" x14ac:dyDescent="0.3">
      <c r="J121182"/>
    </row>
    <row r="121183" spans="10:10" x14ac:dyDescent="0.3">
      <c r="J121183"/>
    </row>
    <row r="121184" spans="10:10" x14ac:dyDescent="0.3">
      <c r="J121184"/>
    </row>
    <row r="121185" spans="10:10" x14ac:dyDescent="0.3">
      <c r="J121185"/>
    </row>
    <row r="121186" spans="10:10" x14ac:dyDescent="0.3">
      <c r="J121186"/>
    </row>
    <row r="121187" spans="10:10" x14ac:dyDescent="0.3">
      <c r="J121187"/>
    </row>
    <row r="121188" spans="10:10" x14ac:dyDescent="0.3">
      <c r="J121188"/>
    </row>
    <row r="121189" spans="10:10" x14ac:dyDescent="0.3">
      <c r="J121189"/>
    </row>
    <row r="121190" spans="10:10" x14ac:dyDescent="0.3">
      <c r="J121190"/>
    </row>
    <row r="121191" spans="10:10" x14ac:dyDescent="0.3">
      <c r="J121191"/>
    </row>
    <row r="121192" spans="10:10" x14ac:dyDescent="0.3">
      <c r="J121192"/>
    </row>
    <row r="121193" spans="10:10" x14ac:dyDescent="0.3">
      <c r="J121193"/>
    </row>
    <row r="121194" spans="10:10" x14ac:dyDescent="0.3">
      <c r="J121194"/>
    </row>
    <row r="121195" spans="10:10" x14ac:dyDescent="0.3">
      <c r="J121195"/>
    </row>
    <row r="121196" spans="10:10" x14ac:dyDescent="0.3">
      <c r="J121196"/>
    </row>
    <row r="121197" spans="10:10" x14ac:dyDescent="0.3">
      <c r="J121197"/>
    </row>
    <row r="121198" spans="10:10" x14ac:dyDescent="0.3">
      <c r="J121198"/>
    </row>
    <row r="121199" spans="10:10" x14ac:dyDescent="0.3">
      <c r="J121199"/>
    </row>
    <row r="121200" spans="10:10" x14ac:dyDescent="0.3">
      <c r="J121200"/>
    </row>
    <row r="121201" spans="10:10" x14ac:dyDescent="0.3">
      <c r="J121201"/>
    </row>
    <row r="121202" spans="10:10" x14ac:dyDescent="0.3">
      <c r="J121202"/>
    </row>
    <row r="121203" spans="10:10" x14ac:dyDescent="0.3">
      <c r="J121203"/>
    </row>
    <row r="121204" spans="10:10" x14ac:dyDescent="0.3">
      <c r="J121204"/>
    </row>
    <row r="121205" spans="10:10" x14ac:dyDescent="0.3">
      <c r="J121205"/>
    </row>
    <row r="121206" spans="10:10" x14ac:dyDescent="0.3">
      <c r="J121206"/>
    </row>
    <row r="121207" spans="10:10" x14ac:dyDescent="0.3">
      <c r="J121207"/>
    </row>
    <row r="121208" spans="10:10" x14ac:dyDescent="0.3">
      <c r="J121208"/>
    </row>
    <row r="121209" spans="10:10" x14ac:dyDescent="0.3">
      <c r="J121209"/>
    </row>
    <row r="121210" spans="10:10" x14ac:dyDescent="0.3">
      <c r="J121210"/>
    </row>
    <row r="121211" spans="10:10" x14ac:dyDescent="0.3">
      <c r="J121211"/>
    </row>
    <row r="121212" spans="10:10" x14ac:dyDescent="0.3">
      <c r="J121212"/>
    </row>
    <row r="121213" spans="10:10" x14ac:dyDescent="0.3">
      <c r="J121213"/>
    </row>
    <row r="121214" spans="10:10" x14ac:dyDescent="0.3">
      <c r="J121214"/>
    </row>
    <row r="121215" spans="10:10" x14ac:dyDescent="0.3">
      <c r="J121215"/>
    </row>
    <row r="121216" spans="10:10" x14ac:dyDescent="0.3">
      <c r="J121216"/>
    </row>
    <row r="121217" spans="10:10" x14ac:dyDescent="0.3">
      <c r="J121217"/>
    </row>
    <row r="121218" spans="10:10" x14ac:dyDescent="0.3">
      <c r="J121218"/>
    </row>
    <row r="121219" spans="10:10" x14ac:dyDescent="0.3">
      <c r="J121219"/>
    </row>
    <row r="121220" spans="10:10" x14ac:dyDescent="0.3">
      <c r="J121220"/>
    </row>
    <row r="121221" spans="10:10" x14ac:dyDescent="0.3">
      <c r="J121221"/>
    </row>
    <row r="121222" spans="10:10" x14ac:dyDescent="0.3">
      <c r="J121222"/>
    </row>
    <row r="121223" spans="10:10" x14ac:dyDescent="0.3">
      <c r="J121223"/>
    </row>
    <row r="121224" spans="10:10" x14ac:dyDescent="0.3">
      <c r="J121224"/>
    </row>
    <row r="121225" spans="10:10" x14ac:dyDescent="0.3">
      <c r="J121225"/>
    </row>
    <row r="121226" spans="10:10" x14ac:dyDescent="0.3">
      <c r="J121226"/>
    </row>
    <row r="121227" spans="10:10" x14ac:dyDescent="0.3">
      <c r="J121227"/>
    </row>
    <row r="121228" spans="10:10" x14ac:dyDescent="0.3">
      <c r="J121228"/>
    </row>
    <row r="121229" spans="10:10" x14ac:dyDescent="0.3">
      <c r="J121229"/>
    </row>
    <row r="121230" spans="10:10" x14ac:dyDescent="0.3">
      <c r="J121230"/>
    </row>
    <row r="121231" spans="10:10" x14ac:dyDescent="0.3">
      <c r="J121231"/>
    </row>
    <row r="121232" spans="10:10" x14ac:dyDescent="0.3">
      <c r="J121232"/>
    </row>
    <row r="121233" spans="10:10" x14ac:dyDescent="0.3">
      <c r="J121233"/>
    </row>
    <row r="121234" spans="10:10" x14ac:dyDescent="0.3">
      <c r="J121234"/>
    </row>
    <row r="121235" spans="10:10" x14ac:dyDescent="0.3">
      <c r="J121235"/>
    </row>
    <row r="121236" spans="10:10" x14ac:dyDescent="0.3">
      <c r="J121236"/>
    </row>
    <row r="121237" spans="10:10" x14ac:dyDescent="0.3">
      <c r="J121237"/>
    </row>
    <row r="121238" spans="10:10" x14ac:dyDescent="0.3">
      <c r="J121238"/>
    </row>
    <row r="121239" spans="10:10" x14ac:dyDescent="0.3">
      <c r="J121239"/>
    </row>
    <row r="121240" spans="10:10" x14ac:dyDescent="0.3">
      <c r="J121240"/>
    </row>
    <row r="121241" spans="10:10" x14ac:dyDescent="0.3">
      <c r="J121241"/>
    </row>
    <row r="121242" spans="10:10" x14ac:dyDescent="0.3">
      <c r="J121242"/>
    </row>
    <row r="121243" spans="10:10" x14ac:dyDescent="0.3">
      <c r="J121243"/>
    </row>
    <row r="121244" spans="10:10" x14ac:dyDescent="0.3">
      <c r="J121244"/>
    </row>
    <row r="121245" spans="10:10" x14ac:dyDescent="0.3">
      <c r="J121245"/>
    </row>
    <row r="121246" spans="10:10" x14ac:dyDescent="0.3">
      <c r="J121246"/>
    </row>
    <row r="121247" spans="10:10" x14ac:dyDescent="0.3">
      <c r="J121247"/>
    </row>
    <row r="121248" spans="10:10" x14ac:dyDescent="0.3">
      <c r="J121248"/>
    </row>
    <row r="121249" spans="10:10" x14ac:dyDescent="0.3">
      <c r="J121249"/>
    </row>
    <row r="121250" spans="10:10" x14ac:dyDescent="0.3">
      <c r="J121250"/>
    </row>
    <row r="121251" spans="10:10" x14ac:dyDescent="0.3">
      <c r="J121251"/>
    </row>
    <row r="121252" spans="10:10" x14ac:dyDescent="0.3">
      <c r="J121252"/>
    </row>
    <row r="121253" spans="10:10" x14ac:dyDescent="0.3">
      <c r="J121253"/>
    </row>
    <row r="121254" spans="10:10" x14ac:dyDescent="0.3">
      <c r="J121254"/>
    </row>
    <row r="121255" spans="10:10" x14ac:dyDescent="0.3">
      <c r="J121255"/>
    </row>
    <row r="121256" spans="10:10" x14ac:dyDescent="0.3">
      <c r="J121256"/>
    </row>
    <row r="121257" spans="10:10" x14ac:dyDescent="0.3">
      <c r="J121257"/>
    </row>
    <row r="121258" spans="10:10" x14ac:dyDescent="0.3">
      <c r="J121258"/>
    </row>
    <row r="121259" spans="10:10" x14ac:dyDescent="0.3">
      <c r="J121259"/>
    </row>
    <row r="121260" spans="10:10" x14ac:dyDescent="0.3">
      <c r="J121260"/>
    </row>
    <row r="121261" spans="10:10" x14ac:dyDescent="0.3">
      <c r="J121261"/>
    </row>
    <row r="121262" spans="10:10" x14ac:dyDescent="0.3">
      <c r="J121262"/>
    </row>
    <row r="121263" spans="10:10" x14ac:dyDescent="0.3">
      <c r="J121263"/>
    </row>
    <row r="121264" spans="10:10" x14ac:dyDescent="0.3">
      <c r="J121264"/>
    </row>
    <row r="121265" spans="10:10" x14ac:dyDescent="0.3">
      <c r="J121265"/>
    </row>
    <row r="121266" spans="10:10" x14ac:dyDescent="0.3">
      <c r="J121266"/>
    </row>
    <row r="121267" spans="10:10" x14ac:dyDescent="0.3">
      <c r="J121267"/>
    </row>
    <row r="121268" spans="10:10" x14ac:dyDescent="0.3">
      <c r="J121268"/>
    </row>
    <row r="121269" spans="10:10" x14ac:dyDescent="0.3">
      <c r="J121269"/>
    </row>
    <row r="121270" spans="10:10" x14ac:dyDescent="0.3">
      <c r="J121270"/>
    </row>
    <row r="121271" spans="10:10" x14ac:dyDescent="0.3">
      <c r="J121271"/>
    </row>
    <row r="121272" spans="10:10" x14ac:dyDescent="0.3">
      <c r="J121272"/>
    </row>
    <row r="121273" spans="10:10" x14ac:dyDescent="0.3">
      <c r="J121273"/>
    </row>
    <row r="121274" spans="10:10" x14ac:dyDescent="0.3">
      <c r="J121274"/>
    </row>
    <row r="121275" spans="10:10" x14ac:dyDescent="0.3">
      <c r="J121275"/>
    </row>
    <row r="121276" spans="10:10" x14ac:dyDescent="0.3">
      <c r="J121276"/>
    </row>
    <row r="121277" spans="10:10" x14ac:dyDescent="0.3">
      <c r="J121277"/>
    </row>
    <row r="121278" spans="10:10" x14ac:dyDescent="0.3">
      <c r="J121278"/>
    </row>
    <row r="121279" spans="10:10" x14ac:dyDescent="0.3">
      <c r="J121279"/>
    </row>
    <row r="121280" spans="10:10" x14ac:dyDescent="0.3">
      <c r="J121280"/>
    </row>
    <row r="121281" spans="10:10" x14ac:dyDescent="0.3">
      <c r="J121281"/>
    </row>
    <row r="121282" spans="10:10" x14ac:dyDescent="0.3">
      <c r="J121282"/>
    </row>
    <row r="121283" spans="10:10" x14ac:dyDescent="0.3">
      <c r="J121283"/>
    </row>
    <row r="121284" spans="10:10" x14ac:dyDescent="0.3">
      <c r="J121284"/>
    </row>
    <row r="121285" spans="10:10" x14ac:dyDescent="0.3">
      <c r="J121285"/>
    </row>
    <row r="121286" spans="10:10" x14ac:dyDescent="0.3">
      <c r="J121286"/>
    </row>
    <row r="121287" spans="10:10" x14ac:dyDescent="0.3">
      <c r="J121287"/>
    </row>
    <row r="121288" spans="10:10" x14ac:dyDescent="0.3">
      <c r="J121288"/>
    </row>
    <row r="121289" spans="10:10" x14ac:dyDescent="0.3">
      <c r="J121289"/>
    </row>
    <row r="121290" spans="10:10" x14ac:dyDescent="0.3">
      <c r="J121290"/>
    </row>
    <row r="121291" spans="10:10" x14ac:dyDescent="0.3">
      <c r="J121291"/>
    </row>
    <row r="121292" spans="10:10" x14ac:dyDescent="0.3">
      <c r="J121292"/>
    </row>
    <row r="121293" spans="10:10" x14ac:dyDescent="0.3">
      <c r="J121293"/>
    </row>
    <row r="121294" spans="10:10" x14ac:dyDescent="0.3">
      <c r="J121294"/>
    </row>
    <row r="121295" spans="10:10" x14ac:dyDescent="0.3">
      <c r="J121295"/>
    </row>
    <row r="121296" spans="10:10" x14ac:dyDescent="0.3">
      <c r="J121296"/>
    </row>
    <row r="121297" spans="10:10" x14ac:dyDescent="0.3">
      <c r="J121297"/>
    </row>
    <row r="121298" spans="10:10" x14ac:dyDescent="0.3">
      <c r="J121298"/>
    </row>
    <row r="121299" spans="10:10" x14ac:dyDescent="0.3">
      <c r="J121299"/>
    </row>
    <row r="121300" spans="10:10" x14ac:dyDescent="0.3">
      <c r="J121300"/>
    </row>
    <row r="121301" spans="10:10" x14ac:dyDescent="0.3">
      <c r="J121301"/>
    </row>
    <row r="121302" spans="10:10" x14ac:dyDescent="0.3">
      <c r="J121302"/>
    </row>
    <row r="121303" spans="10:10" x14ac:dyDescent="0.3">
      <c r="J121303"/>
    </row>
    <row r="121304" spans="10:10" x14ac:dyDescent="0.3">
      <c r="J121304"/>
    </row>
    <row r="121305" spans="10:10" x14ac:dyDescent="0.3">
      <c r="J121305"/>
    </row>
    <row r="121306" spans="10:10" x14ac:dyDescent="0.3">
      <c r="J121306"/>
    </row>
    <row r="121307" spans="10:10" x14ac:dyDescent="0.3">
      <c r="J121307"/>
    </row>
    <row r="121308" spans="10:10" x14ac:dyDescent="0.3">
      <c r="J121308"/>
    </row>
    <row r="121309" spans="10:10" x14ac:dyDescent="0.3">
      <c r="J121309"/>
    </row>
    <row r="121310" spans="10:10" x14ac:dyDescent="0.3">
      <c r="J121310"/>
    </row>
    <row r="121311" spans="10:10" x14ac:dyDescent="0.3">
      <c r="J121311"/>
    </row>
    <row r="121312" spans="10:10" x14ac:dyDescent="0.3">
      <c r="J121312"/>
    </row>
    <row r="121313" spans="10:10" x14ac:dyDescent="0.3">
      <c r="J121313"/>
    </row>
    <row r="121314" spans="10:10" x14ac:dyDescent="0.3">
      <c r="J121314"/>
    </row>
    <row r="121315" spans="10:10" x14ac:dyDescent="0.3">
      <c r="J121315"/>
    </row>
    <row r="121316" spans="10:10" x14ac:dyDescent="0.3">
      <c r="J121316"/>
    </row>
    <row r="121317" spans="10:10" x14ac:dyDescent="0.3">
      <c r="J121317"/>
    </row>
    <row r="121318" spans="10:10" x14ac:dyDescent="0.3">
      <c r="J121318"/>
    </row>
    <row r="121319" spans="10:10" x14ac:dyDescent="0.3">
      <c r="J121319"/>
    </row>
    <row r="121320" spans="10:10" x14ac:dyDescent="0.3">
      <c r="J121320"/>
    </row>
    <row r="121321" spans="10:10" x14ac:dyDescent="0.3">
      <c r="J121321"/>
    </row>
    <row r="121322" spans="10:10" x14ac:dyDescent="0.3">
      <c r="J121322"/>
    </row>
    <row r="121323" spans="10:10" x14ac:dyDescent="0.3">
      <c r="J121323"/>
    </row>
    <row r="121324" spans="10:10" x14ac:dyDescent="0.3">
      <c r="J121324"/>
    </row>
    <row r="121325" spans="10:10" x14ac:dyDescent="0.3">
      <c r="J121325"/>
    </row>
    <row r="121326" spans="10:10" x14ac:dyDescent="0.3">
      <c r="J121326"/>
    </row>
    <row r="121327" spans="10:10" x14ac:dyDescent="0.3">
      <c r="J121327"/>
    </row>
    <row r="121328" spans="10:10" x14ac:dyDescent="0.3">
      <c r="J121328"/>
    </row>
    <row r="121329" spans="10:10" x14ac:dyDescent="0.3">
      <c r="J121329"/>
    </row>
    <row r="121330" spans="10:10" x14ac:dyDescent="0.3">
      <c r="J121330"/>
    </row>
    <row r="121331" spans="10:10" x14ac:dyDescent="0.3">
      <c r="J121331"/>
    </row>
    <row r="121332" spans="10:10" x14ac:dyDescent="0.3">
      <c r="J121332"/>
    </row>
    <row r="121333" spans="10:10" x14ac:dyDescent="0.3">
      <c r="J121333"/>
    </row>
    <row r="121334" spans="10:10" x14ac:dyDescent="0.3">
      <c r="J121334"/>
    </row>
    <row r="121335" spans="10:10" x14ac:dyDescent="0.3">
      <c r="J121335"/>
    </row>
    <row r="121336" spans="10:10" x14ac:dyDescent="0.3">
      <c r="J121336"/>
    </row>
    <row r="121337" spans="10:10" x14ac:dyDescent="0.3">
      <c r="J121337"/>
    </row>
    <row r="121338" spans="10:10" x14ac:dyDescent="0.3">
      <c r="J121338"/>
    </row>
    <row r="121339" spans="10:10" x14ac:dyDescent="0.3">
      <c r="J121339"/>
    </row>
    <row r="121340" spans="10:10" x14ac:dyDescent="0.3">
      <c r="J121340"/>
    </row>
    <row r="121341" spans="10:10" x14ac:dyDescent="0.3">
      <c r="J121341"/>
    </row>
    <row r="121342" spans="10:10" x14ac:dyDescent="0.3">
      <c r="J121342"/>
    </row>
    <row r="121343" spans="10:10" x14ac:dyDescent="0.3">
      <c r="J121343"/>
    </row>
    <row r="121344" spans="10:10" x14ac:dyDescent="0.3">
      <c r="J121344"/>
    </row>
    <row r="121345" spans="10:10" x14ac:dyDescent="0.3">
      <c r="J121345"/>
    </row>
    <row r="121346" spans="10:10" x14ac:dyDescent="0.3">
      <c r="J121346"/>
    </row>
    <row r="121347" spans="10:10" x14ac:dyDescent="0.3">
      <c r="J121347"/>
    </row>
    <row r="121348" spans="10:10" x14ac:dyDescent="0.3">
      <c r="J121348"/>
    </row>
    <row r="121349" spans="10:10" x14ac:dyDescent="0.3">
      <c r="J121349"/>
    </row>
    <row r="121350" spans="10:10" x14ac:dyDescent="0.3">
      <c r="J121350"/>
    </row>
    <row r="121351" spans="10:10" x14ac:dyDescent="0.3">
      <c r="J121351"/>
    </row>
    <row r="121352" spans="10:10" x14ac:dyDescent="0.3">
      <c r="J121352"/>
    </row>
    <row r="121353" spans="10:10" x14ac:dyDescent="0.3">
      <c r="J121353"/>
    </row>
    <row r="121354" spans="10:10" x14ac:dyDescent="0.3">
      <c r="J121354"/>
    </row>
    <row r="121355" spans="10:10" x14ac:dyDescent="0.3">
      <c r="J121355"/>
    </row>
    <row r="121356" spans="10:10" x14ac:dyDescent="0.3">
      <c r="J121356"/>
    </row>
    <row r="121357" spans="10:10" x14ac:dyDescent="0.3">
      <c r="J121357"/>
    </row>
    <row r="121358" spans="10:10" x14ac:dyDescent="0.3">
      <c r="J121358"/>
    </row>
    <row r="121359" spans="10:10" x14ac:dyDescent="0.3">
      <c r="J121359"/>
    </row>
    <row r="121360" spans="10:10" x14ac:dyDescent="0.3">
      <c r="J121360"/>
    </row>
    <row r="121361" spans="10:10" x14ac:dyDescent="0.3">
      <c r="J121361"/>
    </row>
    <row r="121362" spans="10:10" x14ac:dyDescent="0.3">
      <c r="J121362"/>
    </row>
    <row r="121363" spans="10:10" x14ac:dyDescent="0.3">
      <c r="J121363"/>
    </row>
    <row r="121364" spans="10:10" x14ac:dyDescent="0.3">
      <c r="J121364"/>
    </row>
    <row r="121365" spans="10:10" x14ac:dyDescent="0.3">
      <c r="J121365"/>
    </row>
    <row r="121366" spans="10:10" x14ac:dyDescent="0.3">
      <c r="J121366"/>
    </row>
    <row r="121367" spans="10:10" x14ac:dyDescent="0.3">
      <c r="J121367"/>
    </row>
    <row r="121368" spans="10:10" x14ac:dyDescent="0.3">
      <c r="J121368"/>
    </row>
    <row r="121369" spans="10:10" x14ac:dyDescent="0.3">
      <c r="J121369"/>
    </row>
    <row r="121370" spans="10:10" x14ac:dyDescent="0.3">
      <c r="J121370"/>
    </row>
    <row r="121371" spans="10:10" x14ac:dyDescent="0.3">
      <c r="J121371"/>
    </row>
    <row r="121372" spans="10:10" x14ac:dyDescent="0.3">
      <c r="J121372"/>
    </row>
    <row r="121373" spans="10:10" x14ac:dyDescent="0.3">
      <c r="J121373"/>
    </row>
    <row r="121374" spans="10:10" x14ac:dyDescent="0.3">
      <c r="J121374"/>
    </row>
    <row r="121375" spans="10:10" x14ac:dyDescent="0.3">
      <c r="J121375"/>
    </row>
    <row r="121376" spans="10:10" x14ac:dyDescent="0.3">
      <c r="J121376"/>
    </row>
    <row r="121377" spans="10:10" x14ac:dyDescent="0.3">
      <c r="J121377"/>
    </row>
    <row r="121378" spans="10:10" x14ac:dyDescent="0.3">
      <c r="J121378"/>
    </row>
    <row r="121379" spans="10:10" x14ac:dyDescent="0.3">
      <c r="J121379"/>
    </row>
    <row r="121380" spans="10:10" x14ac:dyDescent="0.3">
      <c r="J121380"/>
    </row>
    <row r="121381" spans="10:10" x14ac:dyDescent="0.3">
      <c r="J121381"/>
    </row>
    <row r="121382" spans="10:10" x14ac:dyDescent="0.3">
      <c r="J121382"/>
    </row>
    <row r="121383" spans="10:10" x14ac:dyDescent="0.3">
      <c r="J121383"/>
    </row>
    <row r="121384" spans="10:10" x14ac:dyDescent="0.3">
      <c r="J121384"/>
    </row>
    <row r="121385" spans="10:10" x14ac:dyDescent="0.3">
      <c r="J121385"/>
    </row>
    <row r="121386" spans="10:10" x14ac:dyDescent="0.3">
      <c r="J121386"/>
    </row>
    <row r="121387" spans="10:10" x14ac:dyDescent="0.3">
      <c r="J121387"/>
    </row>
    <row r="121388" spans="10:10" x14ac:dyDescent="0.3">
      <c r="J121388"/>
    </row>
    <row r="121389" spans="10:10" x14ac:dyDescent="0.3">
      <c r="J121389"/>
    </row>
    <row r="121390" spans="10:10" x14ac:dyDescent="0.3">
      <c r="J121390"/>
    </row>
    <row r="121391" spans="10:10" x14ac:dyDescent="0.3">
      <c r="J121391"/>
    </row>
    <row r="121392" spans="10:10" x14ac:dyDescent="0.3">
      <c r="J121392"/>
    </row>
    <row r="121393" spans="10:10" x14ac:dyDescent="0.3">
      <c r="J121393"/>
    </row>
    <row r="121394" spans="10:10" x14ac:dyDescent="0.3">
      <c r="J121394"/>
    </row>
    <row r="121395" spans="10:10" x14ac:dyDescent="0.3">
      <c r="J121395"/>
    </row>
    <row r="121396" spans="10:10" x14ac:dyDescent="0.3">
      <c r="J121396"/>
    </row>
    <row r="121397" spans="10:10" x14ac:dyDescent="0.3">
      <c r="J121397"/>
    </row>
    <row r="121398" spans="10:10" x14ac:dyDescent="0.3">
      <c r="J121398"/>
    </row>
    <row r="121399" spans="10:10" x14ac:dyDescent="0.3">
      <c r="J121399"/>
    </row>
    <row r="121400" spans="10:10" x14ac:dyDescent="0.3">
      <c r="J121400"/>
    </row>
    <row r="121401" spans="10:10" x14ac:dyDescent="0.3">
      <c r="J121401"/>
    </row>
    <row r="121402" spans="10:10" x14ac:dyDescent="0.3">
      <c r="J121402"/>
    </row>
    <row r="121403" spans="10:10" x14ac:dyDescent="0.3">
      <c r="J121403"/>
    </row>
    <row r="121404" spans="10:10" x14ac:dyDescent="0.3">
      <c r="J121404"/>
    </row>
    <row r="121405" spans="10:10" x14ac:dyDescent="0.3">
      <c r="J121405"/>
    </row>
    <row r="121406" spans="10:10" x14ac:dyDescent="0.3">
      <c r="J121406"/>
    </row>
    <row r="121407" spans="10:10" x14ac:dyDescent="0.3">
      <c r="J121407"/>
    </row>
    <row r="121408" spans="10:10" x14ac:dyDescent="0.3">
      <c r="J121408"/>
    </row>
    <row r="121409" spans="10:10" x14ac:dyDescent="0.3">
      <c r="J121409"/>
    </row>
    <row r="121410" spans="10:10" x14ac:dyDescent="0.3">
      <c r="J121410"/>
    </row>
    <row r="121411" spans="10:10" x14ac:dyDescent="0.3">
      <c r="J121411"/>
    </row>
    <row r="121412" spans="10:10" x14ac:dyDescent="0.3">
      <c r="J121412"/>
    </row>
    <row r="121413" spans="10:10" x14ac:dyDescent="0.3">
      <c r="J121413"/>
    </row>
    <row r="121414" spans="10:10" x14ac:dyDescent="0.3">
      <c r="J121414"/>
    </row>
    <row r="121415" spans="10:10" x14ac:dyDescent="0.3">
      <c r="J121415"/>
    </row>
    <row r="121416" spans="10:10" x14ac:dyDescent="0.3">
      <c r="J121416"/>
    </row>
    <row r="121417" spans="10:10" x14ac:dyDescent="0.3">
      <c r="J121417"/>
    </row>
    <row r="121418" spans="10:10" x14ac:dyDescent="0.3">
      <c r="J121418"/>
    </row>
    <row r="121419" spans="10:10" x14ac:dyDescent="0.3">
      <c r="J121419"/>
    </row>
    <row r="121420" spans="10:10" x14ac:dyDescent="0.3">
      <c r="J121420"/>
    </row>
    <row r="121421" spans="10:10" x14ac:dyDescent="0.3">
      <c r="J121421"/>
    </row>
    <row r="121422" spans="10:10" x14ac:dyDescent="0.3">
      <c r="J121422"/>
    </row>
    <row r="121423" spans="10:10" x14ac:dyDescent="0.3">
      <c r="J121423"/>
    </row>
    <row r="121424" spans="10:10" x14ac:dyDescent="0.3">
      <c r="J121424"/>
    </row>
    <row r="121425" spans="10:10" x14ac:dyDescent="0.3">
      <c r="J121425"/>
    </row>
    <row r="121426" spans="10:10" x14ac:dyDescent="0.3">
      <c r="J121426"/>
    </row>
    <row r="121427" spans="10:10" x14ac:dyDescent="0.3">
      <c r="J121427"/>
    </row>
    <row r="121428" spans="10:10" x14ac:dyDescent="0.3">
      <c r="J121428"/>
    </row>
    <row r="121429" spans="10:10" x14ac:dyDescent="0.3">
      <c r="J121429"/>
    </row>
    <row r="121430" spans="10:10" x14ac:dyDescent="0.3">
      <c r="J121430"/>
    </row>
    <row r="121431" spans="10:10" x14ac:dyDescent="0.3">
      <c r="J121431"/>
    </row>
    <row r="121432" spans="10:10" x14ac:dyDescent="0.3">
      <c r="J121432"/>
    </row>
    <row r="121433" spans="10:10" x14ac:dyDescent="0.3">
      <c r="J121433"/>
    </row>
    <row r="121434" spans="10:10" x14ac:dyDescent="0.3">
      <c r="J121434"/>
    </row>
    <row r="121435" spans="10:10" x14ac:dyDescent="0.3">
      <c r="J121435"/>
    </row>
    <row r="121436" spans="10:10" x14ac:dyDescent="0.3">
      <c r="J121436"/>
    </row>
    <row r="121437" spans="10:10" x14ac:dyDescent="0.3">
      <c r="J121437"/>
    </row>
    <row r="121438" spans="10:10" x14ac:dyDescent="0.3">
      <c r="J121438"/>
    </row>
    <row r="121439" spans="10:10" x14ac:dyDescent="0.3">
      <c r="J121439"/>
    </row>
    <row r="121440" spans="10:10" x14ac:dyDescent="0.3">
      <c r="J121440"/>
    </row>
    <row r="121441" spans="10:10" x14ac:dyDescent="0.3">
      <c r="J121441"/>
    </row>
    <row r="121442" spans="10:10" x14ac:dyDescent="0.3">
      <c r="J121442"/>
    </row>
    <row r="121443" spans="10:10" x14ac:dyDescent="0.3">
      <c r="J121443"/>
    </row>
    <row r="121444" spans="10:10" x14ac:dyDescent="0.3">
      <c r="J121444"/>
    </row>
    <row r="121445" spans="10:10" x14ac:dyDescent="0.3">
      <c r="J121445"/>
    </row>
    <row r="121446" spans="10:10" x14ac:dyDescent="0.3">
      <c r="J121446"/>
    </row>
    <row r="121447" spans="10:10" x14ac:dyDescent="0.3">
      <c r="J121447"/>
    </row>
    <row r="121448" spans="10:10" x14ac:dyDescent="0.3">
      <c r="J121448"/>
    </row>
    <row r="121449" spans="10:10" x14ac:dyDescent="0.3">
      <c r="J121449"/>
    </row>
    <row r="121450" spans="10:10" x14ac:dyDescent="0.3">
      <c r="J121450"/>
    </row>
    <row r="121451" spans="10:10" x14ac:dyDescent="0.3">
      <c r="J121451"/>
    </row>
    <row r="121452" spans="10:10" x14ac:dyDescent="0.3">
      <c r="J121452"/>
    </row>
    <row r="121453" spans="10:10" x14ac:dyDescent="0.3">
      <c r="J121453"/>
    </row>
    <row r="121454" spans="10:10" x14ac:dyDescent="0.3">
      <c r="J121454"/>
    </row>
    <row r="121455" spans="10:10" x14ac:dyDescent="0.3">
      <c r="J121455"/>
    </row>
    <row r="121456" spans="10:10" x14ac:dyDescent="0.3">
      <c r="J121456"/>
    </row>
    <row r="121457" spans="10:10" x14ac:dyDescent="0.3">
      <c r="J121457"/>
    </row>
    <row r="121458" spans="10:10" x14ac:dyDescent="0.3">
      <c r="J121458"/>
    </row>
    <row r="121459" spans="10:10" x14ac:dyDescent="0.3">
      <c r="J121459"/>
    </row>
    <row r="121460" spans="10:10" x14ac:dyDescent="0.3">
      <c r="J121460"/>
    </row>
    <row r="121461" spans="10:10" x14ac:dyDescent="0.3">
      <c r="J121461"/>
    </row>
    <row r="121462" spans="10:10" x14ac:dyDescent="0.3">
      <c r="J121462"/>
    </row>
    <row r="121463" spans="10:10" x14ac:dyDescent="0.3">
      <c r="J121463"/>
    </row>
    <row r="121464" spans="10:10" x14ac:dyDescent="0.3">
      <c r="J121464"/>
    </row>
    <row r="121465" spans="10:10" x14ac:dyDescent="0.3">
      <c r="J121465"/>
    </row>
    <row r="121466" spans="10:10" x14ac:dyDescent="0.3">
      <c r="J121466"/>
    </row>
    <row r="121467" spans="10:10" x14ac:dyDescent="0.3">
      <c r="J121467"/>
    </row>
    <row r="121468" spans="10:10" x14ac:dyDescent="0.3">
      <c r="J121468"/>
    </row>
    <row r="121469" spans="10:10" x14ac:dyDescent="0.3">
      <c r="J121469"/>
    </row>
    <row r="121470" spans="10:10" x14ac:dyDescent="0.3">
      <c r="J121470"/>
    </row>
    <row r="121471" spans="10:10" x14ac:dyDescent="0.3">
      <c r="J121471"/>
    </row>
    <row r="121472" spans="10:10" x14ac:dyDescent="0.3">
      <c r="J121472"/>
    </row>
    <row r="121473" spans="10:10" x14ac:dyDescent="0.3">
      <c r="J121473"/>
    </row>
    <row r="121474" spans="10:10" x14ac:dyDescent="0.3">
      <c r="J121474"/>
    </row>
    <row r="121475" spans="10:10" x14ac:dyDescent="0.3">
      <c r="J121475"/>
    </row>
    <row r="121476" spans="10:10" x14ac:dyDescent="0.3">
      <c r="J121476"/>
    </row>
    <row r="121477" spans="10:10" x14ac:dyDescent="0.3">
      <c r="J121477"/>
    </row>
    <row r="121478" spans="10:10" x14ac:dyDescent="0.3">
      <c r="J121478"/>
    </row>
    <row r="121479" spans="10:10" x14ac:dyDescent="0.3">
      <c r="J121479"/>
    </row>
    <row r="121480" spans="10:10" x14ac:dyDescent="0.3">
      <c r="J121480"/>
    </row>
    <row r="121481" spans="10:10" x14ac:dyDescent="0.3">
      <c r="J121481"/>
    </row>
    <row r="121482" spans="10:10" x14ac:dyDescent="0.3">
      <c r="J121482"/>
    </row>
    <row r="121483" spans="10:10" x14ac:dyDescent="0.3">
      <c r="J121483"/>
    </row>
    <row r="121484" spans="10:10" x14ac:dyDescent="0.3">
      <c r="J121484"/>
    </row>
    <row r="121485" spans="10:10" x14ac:dyDescent="0.3">
      <c r="J121485"/>
    </row>
    <row r="121486" spans="10:10" x14ac:dyDescent="0.3">
      <c r="J121486"/>
    </row>
    <row r="121487" spans="10:10" x14ac:dyDescent="0.3">
      <c r="J121487"/>
    </row>
    <row r="121488" spans="10:10" x14ac:dyDescent="0.3">
      <c r="J121488"/>
    </row>
    <row r="121489" spans="10:10" x14ac:dyDescent="0.3">
      <c r="J121489"/>
    </row>
    <row r="121490" spans="10:10" x14ac:dyDescent="0.3">
      <c r="J121490"/>
    </row>
    <row r="121491" spans="10:10" x14ac:dyDescent="0.3">
      <c r="J121491"/>
    </row>
    <row r="121492" spans="10:10" x14ac:dyDescent="0.3">
      <c r="J121492"/>
    </row>
    <row r="121493" spans="10:10" x14ac:dyDescent="0.3">
      <c r="J121493"/>
    </row>
    <row r="121494" spans="10:10" x14ac:dyDescent="0.3">
      <c r="J121494"/>
    </row>
    <row r="121495" spans="10:10" x14ac:dyDescent="0.3">
      <c r="J121495"/>
    </row>
    <row r="121496" spans="10:10" x14ac:dyDescent="0.3">
      <c r="J121496"/>
    </row>
    <row r="121497" spans="10:10" x14ac:dyDescent="0.3">
      <c r="J121497"/>
    </row>
    <row r="121498" spans="10:10" x14ac:dyDescent="0.3">
      <c r="J121498"/>
    </row>
    <row r="121499" spans="10:10" x14ac:dyDescent="0.3">
      <c r="J121499"/>
    </row>
    <row r="121500" spans="10:10" x14ac:dyDescent="0.3">
      <c r="J121500"/>
    </row>
    <row r="121501" spans="10:10" x14ac:dyDescent="0.3">
      <c r="J121501"/>
    </row>
    <row r="121502" spans="10:10" x14ac:dyDescent="0.3">
      <c r="J121502"/>
    </row>
    <row r="121503" spans="10:10" x14ac:dyDescent="0.3">
      <c r="J121503"/>
    </row>
    <row r="121504" spans="10:10" x14ac:dyDescent="0.3">
      <c r="J121504"/>
    </row>
    <row r="121505" spans="10:10" x14ac:dyDescent="0.3">
      <c r="J121505"/>
    </row>
    <row r="121506" spans="10:10" x14ac:dyDescent="0.3">
      <c r="J121506"/>
    </row>
    <row r="121507" spans="10:10" x14ac:dyDescent="0.3">
      <c r="J121507"/>
    </row>
    <row r="121508" spans="10:10" x14ac:dyDescent="0.3">
      <c r="J121508"/>
    </row>
    <row r="121509" spans="10:10" x14ac:dyDescent="0.3">
      <c r="J121509"/>
    </row>
    <row r="121510" spans="10:10" x14ac:dyDescent="0.3">
      <c r="J121510"/>
    </row>
    <row r="121511" spans="10:10" x14ac:dyDescent="0.3">
      <c r="J121511"/>
    </row>
    <row r="121512" spans="10:10" x14ac:dyDescent="0.3">
      <c r="J121512"/>
    </row>
    <row r="121513" spans="10:10" x14ac:dyDescent="0.3">
      <c r="J121513"/>
    </row>
    <row r="121514" spans="10:10" x14ac:dyDescent="0.3">
      <c r="J121514"/>
    </row>
    <row r="121515" spans="10:10" x14ac:dyDescent="0.3">
      <c r="J121515"/>
    </row>
    <row r="121516" spans="10:10" x14ac:dyDescent="0.3">
      <c r="J121516"/>
    </row>
    <row r="121517" spans="10:10" x14ac:dyDescent="0.3">
      <c r="J121517"/>
    </row>
    <row r="121518" spans="10:10" x14ac:dyDescent="0.3">
      <c r="J121518"/>
    </row>
    <row r="121519" spans="10:10" x14ac:dyDescent="0.3">
      <c r="J121519"/>
    </row>
    <row r="121520" spans="10:10" x14ac:dyDescent="0.3">
      <c r="J121520"/>
    </row>
    <row r="121521" spans="10:10" x14ac:dyDescent="0.3">
      <c r="J121521"/>
    </row>
    <row r="121522" spans="10:10" x14ac:dyDescent="0.3">
      <c r="J121522"/>
    </row>
    <row r="121523" spans="10:10" x14ac:dyDescent="0.3">
      <c r="J121523"/>
    </row>
    <row r="121524" spans="10:10" x14ac:dyDescent="0.3">
      <c r="J121524"/>
    </row>
    <row r="121525" spans="10:10" x14ac:dyDescent="0.3">
      <c r="J121525"/>
    </row>
    <row r="121526" spans="10:10" x14ac:dyDescent="0.3">
      <c r="J121526"/>
    </row>
    <row r="121527" spans="10:10" x14ac:dyDescent="0.3">
      <c r="J121527"/>
    </row>
    <row r="121528" spans="10:10" x14ac:dyDescent="0.3">
      <c r="J121528"/>
    </row>
    <row r="121529" spans="10:10" x14ac:dyDescent="0.3">
      <c r="J121529"/>
    </row>
    <row r="121530" spans="10:10" x14ac:dyDescent="0.3">
      <c r="J121530"/>
    </row>
    <row r="121531" spans="10:10" x14ac:dyDescent="0.3">
      <c r="J121531"/>
    </row>
    <row r="121532" spans="10:10" x14ac:dyDescent="0.3">
      <c r="J121532"/>
    </row>
    <row r="121533" spans="10:10" x14ac:dyDescent="0.3">
      <c r="J121533"/>
    </row>
    <row r="121534" spans="10:10" x14ac:dyDescent="0.3">
      <c r="J121534"/>
    </row>
    <row r="121535" spans="10:10" x14ac:dyDescent="0.3">
      <c r="J121535"/>
    </row>
    <row r="121536" spans="10:10" x14ac:dyDescent="0.3">
      <c r="J121536"/>
    </row>
    <row r="121537" spans="10:10" x14ac:dyDescent="0.3">
      <c r="J121537"/>
    </row>
    <row r="121538" spans="10:10" x14ac:dyDescent="0.3">
      <c r="J121538"/>
    </row>
    <row r="121539" spans="10:10" x14ac:dyDescent="0.3">
      <c r="J121539"/>
    </row>
    <row r="121540" spans="10:10" x14ac:dyDescent="0.3">
      <c r="J121540"/>
    </row>
    <row r="121541" spans="10:10" x14ac:dyDescent="0.3">
      <c r="J121541"/>
    </row>
    <row r="121542" spans="10:10" x14ac:dyDescent="0.3">
      <c r="J121542"/>
    </row>
    <row r="121543" spans="10:10" x14ac:dyDescent="0.3">
      <c r="J121543"/>
    </row>
    <row r="121544" spans="10:10" x14ac:dyDescent="0.3">
      <c r="J121544"/>
    </row>
    <row r="121545" spans="10:10" x14ac:dyDescent="0.3">
      <c r="J121545"/>
    </row>
    <row r="121546" spans="10:10" x14ac:dyDescent="0.3">
      <c r="J121546"/>
    </row>
    <row r="121547" spans="10:10" x14ac:dyDescent="0.3">
      <c r="J121547"/>
    </row>
    <row r="121548" spans="10:10" x14ac:dyDescent="0.3">
      <c r="J121548"/>
    </row>
    <row r="121549" spans="10:10" x14ac:dyDescent="0.3">
      <c r="J121549"/>
    </row>
    <row r="121550" spans="10:10" x14ac:dyDescent="0.3">
      <c r="J121550"/>
    </row>
    <row r="121551" spans="10:10" x14ac:dyDescent="0.3">
      <c r="J121551"/>
    </row>
    <row r="121552" spans="10:10" x14ac:dyDescent="0.3">
      <c r="J121552"/>
    </row>
    <row r="121553" spans="10:10" x14ac:dyDescent="0.3">
      <c r="J121553"/>
    </row>
    <row r="121554" spans="10:10" x14ac:dyDescent="0.3">
      <c r="J121554"/>
    </row>
    <row r="121555" spans="10:10" x14ac:dyDescent="0.3">
      <c r="J121555"/>
    </row>
    <row r="121556" spans="10:10" x14ac:dyDescent="0.3">
      <c r="J121556"/>
    </row>
    <row r="121557" spans="10:10" x14ac:dyDescent="0.3">
      <c r="J121557"/>
    </row>
    <row r="121558" spans="10:10" x14ac:dyDescent="0.3">
      <c r="J121558"/>
    </row>
    <row r="121559" spans="10:10" x14ac:dyDescent="0.3">
      <c r="J121559"/>
    </row>
    <row r="121560" spans="10:10" x14ac:dyDescent="0.3">
      <c r="J121560"/>
    </row>
    <row r="121561" spans="10:10" x14ac:dyDescent="0.3">
      <c r="J121561"/>
    </row>
    <row r="121562" spans="10:10" x14ac:dyDescent="0.3">
      <c r="J121562"/>
    </row>
    <row r="121563" spans="10:10" x14ac:dyDescent="0.3">
      <c r="J121563"/>
    </row>
    <row r="121564" spans="10:10" x14ac:dyDescent="0.3">
      <c r="J121564"/>
    </row>
    <row r="121565" spans="10:10" x14ac:dyDescent="0.3">
      <c r="J121565"/>
    </row>
    <row r="121566" spans="10:10" x14ac:dyDescent="0.3">
      <c r="J121566"/>
    </row>
    <row r="121567" spans="10:10" x14ac:dyDescent="0.3">
      <c r="J121567"/>
    </row>
    <row r="121568" spans="10:10" x14ac:dyDescent="0.3">
      <c r="J121568"/>
    </row>
    <row r="121569" spans="10:10" x14ac:dyDescent="0.3">
      <c r="J121569"/>
    </row>
    <row r="121570" spans="10:10" x14ac:dyDescent="0.3">
      <c r="J121570"/>
    </row>
    <row r="121571" spans="10:10" x14ac:dyDescent="0.3">
      <c r="J121571"/>
    </row>
    <row r="121572" spans="10:10" x14ac:dyDescent="0.3">
      <c r="J121572"/>
    </row>
    <row r="121573" spans="10:10" x14ac:dyDescent="0.3">
      <c r="J121573"/>
    </row>
    <row r="121574" spans="10:10" x14ac:dyDescent="0.3">
      <c r="J121574"/>
    </row>
    <row r="121575" spans="10:10" x14ac:dyDescent="0.3">
      <c r="J121575"/>
    </row>
    <row r="121576" spans="10:10" x14ac:dyDescent="0.3">
      <c r="J121576"/>
    </row>
    <row r="121577" spans="10:10" x14ac:dyDescent="0.3">
      <c r="J121577"/>
    </row>
    <row r="121578" spans="10:10" x14ac:dyDescent="0.3">
      <c r="J121578"/>
    </row>
    <row r="121579" spans="10:10" x14ac:dyDescent="0.3">
      <c r="J121579"/>
    </row>
    <row r="121580" spans="10:10" x14ac:dyDescent="0.3">
      <c r="J121580"/>
    </row>
    <row r="121581" spans="10:10" x14ac:dyDescent="0.3">
      <c r="J121581"/>
    </row>
    <row r="121582" spans="10:10" x14ac:dyDescent="0.3">
      <c r="J121582"/>
    </row>
    <row r="121583" spans="10:10" x14ac:dyDescent="0.3">
      <c r="J121583"/>
    </row>
    <row r="121584" spans="10:10" x14ac:dyDescent="0.3">
      <c r="J121584"/>
    </row>
    <row r="121585" spans="10:10" x14ac:dyDescent="0.3">
      <c r="J121585"/>
    </row>
    <row r="121586" spans="10:10" x14ac:dyDescent="0.3">
      <c r="J121586"/>
    </row>
    <row r="121587" spans="10:10" x14ac:dyDescent="0.3">
      <c r="J121587"/>
    </row>
    <row r="121588" spans="10:10" x14ac:dyDescent="0.3">
      <c r="J121588"/>
    </row>
    <row r="121589" spans="10:10" x14ac:dyDescent="0.3">
      <c r="J121589"/>
    </row>
    <row r="121590" spans="10:10" x14ac:dyDescent="0.3">
      <c r="J121590"/>
    </row>
    <row r="121591" spans="10:10" x14ac:dyDescent="0.3">
      <c r="J121591"/>
    </row>
    <row r="121592" spans="10:10" x14ac:dyDescent="0.3">
      <c r="J121592"/>
    </row>
    <row r="121593" spans="10:10" x14ac:dyDescent="0.3">
      <c r="J121593"/>
    </row>
    <row r="121594" spans="10:10" x14ac:dyDescent="0.3">
      <c r="J121594"/>
    </row>
    <row r="121595" spans="10:10" x14ac:dyDescent="0.3">
      <c r="J121595"/>
    </row>
    <row r="121596" spans="10:10" x14ac:dyDescent="0.3">
      <c r="J121596"/>
    </row>
    <row r="121597" spans="10:10" x14ac:dyDescent="0.3">
      <c r="J121597"/>
    </row>
    <row r="121598" spans="10:10" x14ac:dyDescent="0.3">
      <c r="J121598"/>
    </row>
    <row r="121599" spans="10:10" x14ac:dyDescent="0.3">
      <c r="J121599"/>
    </row>
    <row r="121600" spans="10:10" x14ac:dyDescent="0.3">
      <c r="J121600"/>
    </row>
    <row r="121601" spans="10:10" x14ac:dyDescent="0.3">
      <c r="J121601"/>
    </row>
    <row r="121602" spans="10:10" x14ac:dyDescent="0.3">
      <c r="J121602"/>
    </row>
    <row r="121603" spans="10:10" x14ac:dyDescent="0.3">
      <c r="J121603"/>
    </row>
    <row r="121604" spans="10:10" x14ac:dyDescent="0.3">
      <c r="J121604"/>
    </row>
    <row r="121605" spans="10:10" x14ac:dyDescent="0.3">
      <c r="J121605"/>
    </row>
    <row r="121606" spans="10:10" x14ac:dyDescent="0.3">
      <c r="J121606"/>
    </row>
    <row r="121607" spans="10:10" x14ac:dyDescent="0.3">
      <c r="J121607"/>
    </row>
    <row r="121608" spans="10:10" x14ac:dyDescent="0.3">
      <c r="J121608"/>
    </row>
    <row r="121609" spans="10:10" x14ac:dyDescent="0.3">
      <c r="J121609"/>
    </row>
    <row r="121610" spans="10:10" x14ac:dyDescent="0.3">
      <c r="J121610"/>
    </row>
    <row r="121611" spans="10:10" x14ac:dyDescent="0.3">
      <c r="J121611"/>
    </row>
    <row r="121612" spans="10:10" x14ac:dyDescent="0.3">
      <c r="J121612"/>
    </row>
    <row r="121613" spans="10:10" x14ac:dyDescent="0.3">
      <c r="J121613"/>
    </row>
    <row r="121614" spans="10:10" x14ac:dyDescent="0.3">
      <c r="J121614"/>
    </row>
    <row r="121615" spans="10:10" x14ac:dyDescent="0.3">
      <c r="J121615"/>
    </row>
    <row r="121616" spans="10:10" x14ac:dyDescent="0.3">
      <c r="J121616"/>
    </row>
    <row r="121617" spans="10:10" x14ac:dyDescent="0.3">
      <c r="J121617"/>
    </row>
    <row r="121618" spans="10:10" x14ac:dyDescent="0.3">
      <c r="J121618"/>
    </row>
    <row r="121619" spans="10:10" x14ac:dyDescent="0.3">
      <c r="J121619"/>
    </row>
    <row r="121620" spans="10:10" x14ac:dyDescent="0.3">
      <c r="J121620"/>
    </row>
    <row r="121621" spans="10:10" x14ac:dyDescent="0.3">
      <c r="J121621"/>
    </row>
    <row r="121622" spans="10:10" x14ac:dyDescent="0.3">
      <c r="J121622"/>
    </row>
    <row r="121623" spans="10:10" x14ac:dyDescent="0.3">
      <c r="J121623"/>
    </row>
    <row r="121624" spans="10:10" x14ac:dyDescent="0.3">
      <c r="J121624"/>
    </row>
    <row r="121625" spans="10:10" x14ac:dyDescent="0.3">
      <c r="J121625"/>
    </row>
    <row r="121626" spans="10:10" x14ac:dyDescent="0.3">
      <c r="J121626"/>
    </row>
    <row r="121627" spans="10:10" x14ac:dyDescent="0.3">
      <c r="J121627"/>
    </row>
    <row r="121628" spans="10:10" x14ac:dyDescent="0.3">
      <c r="J121628"/>
    </row>
    <row r="121629" spans="10:10" x14ac:dyDescent="0.3">
      <c r="J121629"/>
    </row>
    <row r="121630" spans="10:10" x14ac:dyDescent="0.3">
      <c r="J121630"/>
    </row>
    <row r="121631" spans="10:10" x14ac:dyDescent="0.3">
      <c r="J121631"/>
    </row>
    <row r="121632" spans="10:10" x14ac:dyDescent="0.3">
      <c r="J121632"/>
    </row>
    <row r="121633" spans="10:10" x14ac:dyDescent="0.3">
      <c r="J121633"/>
    </row>
    <row r="121634" spans="10:10" x14ac:dyDescent="0.3">
      <c r="J121634"/>
    </row>
    <row r="121635" spans="10:10" x14ac:dyDescent="0.3">
      <c r="J121635"/>
    </row>
    <row r="121636" spans="10:10" x14ac:dyDescent="0.3">
      <c r="J121636"/>
    </row>
    <row r="121637" spans="10:10" x14ac:dyDescent="0.3">
      <c r="J121637"/>
    </row>
    <row r="121638" spans="10:10" x14ac:dyDescent="0.3">
      <c r="J121638"/>
    </row>
    <row r="121639" spans="10:10" x14ac:dyDescent="0.3">
      <c r="J121639"/>
    </row>
    <row r="121640" spans="10:10" x14ac:dyDescent="0.3">
      <c r="J121640"/>
    </row>
    <row r="121641" spans="10:10" x14ac:dyDescent="0.3">
      <c r="J121641"/>
    </row>
    <row r="121642" spans="10:10" x14ac:dyDescent="0.3">
      <c r="J121642"/>
    </row>
    <row r="121643" spans="10:10" x14ac:dyDescent="0.3">
      <c r="J121643"/>
    </row>
    <row r="121644" spans="10:10" x14ac:dyDescent="0.3">
      <c r="J121644"/>
    </row>
    <row r="121645" spans="10:10" x14ac:dyDescent="0.3">
      <c r="J121645"/>
    </row>
    <row r="121646" spans="10:10" x14ac:dyDescent="0.3">
      <c r="J121646"/>
    </row>
    <row r="121647" spans="10:10" x14ac:dyDescent="0.3">
      <c r="J121647"/>
    </row>
    <row r="121648" spans="10:10" x14ac:dyDescent="0.3">
      <c r="J121648"/>
    </row>
    <row r="121649" spans="10:10" x14ac:dyDescent="0.3">
      <c r="J121649"/>
    </row>
    <row r="121650" spans="10:10" x14ac:dyDescent="0.3">
      <c r="J121650"/>
    </row>
    <row r="121651" spans="10:10" x14ac:dyDescent="0.3">
      <c r="J121651"/>
    </row>
    <row r="121652" spans="10:10" x14ac:dyDescent="0.3">
      <c r="J121652"/>
    </row>
    <row r="121653" spans="10:10" x14ac:dyDescent="0.3">
      <c r="J121653"/>
    </row>
    <row r="121654" spans="10:10" x14ac:dyDescent="0.3">
      <c r="J121654"/>
    </row>
    <row r="121655" spans="10:10" x14ac:dyDescent="0.3">
      <c r="J121655"/>
    </row>
    <row r="121656" spans="10:10" x14ac:dyDescent="0.3">
      <c r="J121656"/>
    </row>
    <row r="121657" spans="10:10" x14ac:dyDescent="0.3">
      <c r="J121657"/>
    </row>
    <row r="121658" spans="10:10" x14ac:dyDescent="0.3">
      <c r="J121658"/>
    </row>
    <row r="121659" spans="10:10" x14ac:dyDescent="0.3">
      <c r="J121659"/>
    </row>
    <row r="121660" spans="10:10" x14ac:dyDescent="0.3">
      <c r="J121660"/>
    </row>
    <row r="121661" spans="10:10" x14ac:dyDescent="0.3">
      <c r="J121661"/>
    </row>
    <row r="121662" spans="10:10" x14ac:dyDescent="0.3">
      <c r="J121662"/>
    </row>
    <row r="121663" spans="10:10" x14ac:dyDescent="0.3">
      <c r="J121663"/>
    </row>
    <row r="121664" spans="10:10" x14ac:dyDescent="0.3">
      <c r="J121664"/>
    </row>
    <row r="121665" spans="10:10" x14ac:dyDescent="0.3">
      <c r="J121665"/>
    </row>
    <row r="121666" spans="10:10" x14ac:dyDescent="0.3">
      <c r="J121666"/>
    </row>
    <row r="121667" spans="10:10" x14ac:dyDescent="0.3">
      <c r="J121667"/>
    </row>
    <row r="121668" spans="10:10" x14ac:dyDescent="0.3">
      <c r="J121668"/>
    </row>
    <row r="121669" spans="10:10" x14ac:dyDescent="0.3">
      <c r="J121669"/>
    </row>
    <row r="121670" spans="10:10" x14ac:dyDescent="0.3">
      <c r="J121670"/>
    </row>
    <row r="121671" spans="10:10" x14ac:dyDescent="0.3">
      <c r="J121671"/>
    </row>
    <row r="121672" spans="10:10" x14ac:dyDescent="0.3">
      <c r="J121672"/>
    </row>
    <row r="121673" spans="10:10" x14ac:dyDescent="0.3">
      <c r="J121673"/>
    </row>
    <row r="121674" spans="10:10" x14ac:dyDescent="0.3">
      <c r="J121674"/>
    </row>
    <row r="121675" spans="10:10" x14ac:dyDescent="0.3">
      <c r="J121675"/>
    </row>
    <row r="121676" spans="10:10" x14ac:dyDescent="0.3">
      <c r="J121676"/>
    </row>
    <row r="121677" spans="10:10" x14ac:dyDescent="0.3">
      <c r="J121677"/>
    </row>
    <row r="121678" spans="10:10" x14ac:dyDescent="0.3">
      <c r="J121678"/>
    </row>
    <row r="121679" spans="10:10" x14ac:dyDescent="0.3">
      <c r="J121679"/>
    </row>
    <row r="121680" spans="10:10" x14ac:dyDescent="0.3">
      <c r="J121680"/>
    </row>
    <row r="121681" spans="10:10" x14ac:dyDescent="0.3">
      <c r="J121681"/>
    </row>
    <row r="121682" spans="10:10" x14ac:dyDescent="0.3">
      <c r="J121682"/>
    </row>
    <row r="121683" spans="10:10" x14ac:dyDescent="0.3">
      <c r="J121683"/>
    </row>
    <row r="121684" spans="10:10" x14ac:dyDescent="0.3">
      <c r="J121684"/>
    </row>
    <row r="121685" spans="10:10" x14ac:dyDescent="0.3">
      <c r="J121685"/>
    </row>
    <row r="121686" spans="10:10" x14ac:dyDescent="0.3">
      <c r="J121686"/>
    </row>
    <row r="121687" spans="10:10" x14ac:dyDescent="0.3">
      <c r="J121687"/>
    </row>
    <row r="121688" spans="10:10" x14ac:dyDescent="0.3">
      <c r="J121688"/>
    </row>
    <row r="121689" spans="10:10" x14ac:dyDescent="0.3">
      <c r="J121689"/>
    </row>
    <row r="121690" spans="10:10" x14ac:dyDescent="0.3">
      <c r="J121690"/>
    </row>
    <row r="121691" spans="10:10" x14ac:dyDescent="0.3">
      <c r="J121691"/>
    </row>
    <row r="121692" spans="10:10" x14ac:dyDescent="0.3">
      <c r="J121692"/>
    </row>
    <row r="121693" spans="10:10" x14ac:dyDescent="0.3">
      <c r="J121693"/>
    </row>
    <row r="121694" spans="10:10" x14ac:dyDescent="0.3">
      <c r="J121694"/>
    </row>
    <row r="121695" spans="10:10" x14ac:dyDescent="0.3">
      <c r="J121695"/>
    </row>
    <row r="121696" spans="10:10" x14ac:dyDescent="0.3">
      <c r="J121696"/>
    </row>
    <row r="121697" spans="10:10" x14ac:dyDescent="0.3">
      <c r="J121697"/>
    </row>
    <row r="121698" spans="10:10" x14ac:dyDescent="0.3">
      <c r="J121698"/>
    </row>
    <row r="121699" spans="10:10" x14ac:dyDescent="0.3">
      <c r="J121699"/>
    </row>
    <row r="121700" spans="10:10" x14ac:dyDescent="0.3">
      <c r="J121700"/>
    </row>
    <row r="121701" spans="10:10" x14ac:dyDescent="0.3">
      <c r="J121701"/>
    </row>
    <row r="121702" spans="10:10" x14ac:dyDescent="0.3">
      <c r="J121702"/>
    </row>
    <row r="121703" spans="10:10" x14ac:dyDescent="0.3">
      <c r="J121703"/>
    </row>
    <row r="121704" spans="10:10" x14ac:dyDescent="0.3">
      <c r="J121704"/>
    </row>
    <row r="121705" spans="10:10" x14ac:dyDescent="0.3">
      <c r="J121705"/>
    </row>
    <row r="121706" spans="10:10" x14ac:dyDescent="0.3">
      <c r="J121706"/>
    </row>
    <row r="121707" spans="10:10" x14ac:dyDescent="0.3">
      <c r="J121707"/>
    </row>
    <row r="121708" spans="10:10" x14ac:dyDescent="0.3">
      <c r="J121708"/>
    </row>
    <row r="121709" spans="10:10" x14ac:dyDescent="0.3">
      <c r="J121709"/>
    </row>
    <row r="121710" spans="10:10" x14ac:dyDescent="0.3">
      <c r="J121710"/>
    </row>
    <row r="121711" spans="10:10" x14ac:dyDescent="0.3">
      <c r="J121711"/>
    </row>
    <row r="121712" spans="10:10" x14ac:dyDescent="0.3">
      <c r="J121712"/>
    </row>
    <row r="121713" spans="10:10" x14ac:dyDescent="0.3">
      <c r="J121713"/>
    </row>
    <row r="121714" spans="10:10" x14ac:dyDescent="0.3">
      <c r="J121714"/>
    </row>
    <row r="121715" spans="10:10" x14ac:dyDescent="0.3">
      <c r="J121715"/>
    </row>
    <row r="121716" spans="10:10" x14ac:dyDescent="0.3">
      <c r="J121716"/>
    </row>
    <row r="121717" spans="10:10" x14ac:dyDescent="0.3">
      <c r="J121717"/>
    </row>
    <row r="121718" spans="10:10" x14ac:dyDescent="0.3">
      <c r="J121718"/>
    </row>
    <row r="121719" spans="10:10" x14ac:dyDescent="0.3">
      <c r="J121719"/>
    </row>
    <row r="121720" spans="10:10" x14ac:dyDescent="0.3">
      <c r="J121720"/>
    </row>
    <row r="121721" spans="10:10" x14ac:dyDescent="0.3">
      <c r="J121721"/>
    </row>
    <row r="121722" spans="10:10" x14ac:dyDescent="0.3">
      <c r="J121722"/>
    </row>
    <row r="121723" spans="10:10" x14ac:dyDescent="0.3">
      <c r="J121723"/>
    </row>
    <row r="121724" spans="10:10" x14ac:dyDescent="0.3">
      <c r="J121724"/>
    </row>
    <row r="121725" spans="10:10" x14ac:dyDescent="0.3">
      <c r="J121725"/>
    </row>
    <row r="121726" spans="10:10" x14ac:dyDescent="0.3">
      <c r="J121726"/>
    </row>
    <row r="121727" spans="10:10" x14ac:dyDescent="0.3">
      <c r="J121727"/>
    </row>
    <row r="121728" spans="10:10" x14ac:dyDescent="0.3">
      <c r="J121728"/>
    </row>
    <row r="121729" spans="10:10" x14ac:dyDescent="0.3">
      <c r="J121729"/>
    </row>
    <row r="121730" spans="10:10" x14ac:dyDescent="0.3">
      <c r="J121730"/>
    </row>
    <row r="121731" spans="10:10" x14ac:dyDescent="0.3">
      <c r="J121731"/>
    </row>
    <row r="121732" spans="10:10" x14ac:dyDescent="0.3">
      <c r="J121732"/>
    </row>
    <row r="121733" spans="10:10" x14ac:dyDescent="0.3">
      <c r="J121733"/>
    </row>
    <row r="121734" spans="10:10" x14ac:dyDescent="0.3">
      <c r="J121734"/>
    </row>
    <row r="121735" spans="10:10" x14ac:dyDescent="0.3">
      <c r="J121735"/>
    </row>
    <row r="121736" spans="10:10" x14ac:dyDescent="0.3">
      <c r="J121736"/>
    </row>
    <row r="121737" spans="10:10" x14ac:dyDescent="0.3">
      <c r="J121737"/>
    </row>
    <row r="121738" spans="10:10" x14ac:dyDescent="0.3">
      <c r="J121738"/>
    </row>
    <row r="121739" spans="10:10" x14ac:dyDescent="0.3">
      <c r="J121739"/>
    </row>
    <row r="121740" spans="10:10" x14ac:dyDescent="0.3">
      <c r="J121740"/>
    </row>
    <row r="121741" spans="10:10" x14ac:dyDescent="0.3">
      <c r="J121741"/>
    </row>
    <row r="121742" spans="10:10" x14ac:dyDescent="0.3">
      <c r="J121742"/>
    </row>
    <row r="121743" spans="10:10" x14ac:dyDescent="0.3">
      <c r="J121743"/>
    </row>
    <row r="121744" spans="10:10" x14ac:dyDescent="0.3">
      <c r="J121744"/>
    </row>
    <row r="121745" spans="10:10" x14ac:dyDescent="0.3">
      <c r="J121745"/>
    </row>
    <row r="121746" spans="10:10" x14ac:dyDescent="0.3">
      <c r="J121746"/>
    </row>
    <row r="121747" spans="10:10" x14ac:dyDescent="0.3">
      <c r="J121747"/>
    </row>
    <row r="121748" spans="10:10" x14ac:dyDescent="0.3">
      <c r="J121748"/>
    </row>
    <row r="121749" spans="10:10" x14ac:dyDescent="0.3">
      <c r="J121749"/>
    </row>
    <row r="121750" spans="10:10" x14ac:dyDescent="0.3">
      <c r="J121750"/>
    </row>
    <row r="121751" spans="10:10" x14ac:dyDescent="0.3">
      <c r="J121751"/>
    </row>
    <row r="121752" spans="10:10" x14ac:dyDescent="0.3">
      <c r="J121752"/>
    </row>
    <row r="121753" spans="10:10" x14ac:dyDescent="0.3">
      <c r="J121753"/>
    </row>
    <row r="121754" spans="10:10" x14ac:dyDescent="0.3">
      <c r="J121754"/>
    </row>
    <row r="121755" spans="10:10" x14ac:dyDescent="0.3">
      <c r="J121755"/>
    </row>
    <row r="121756" spans="10:10" x14ac:dyDescent="0.3">
      <c r="J121756"/>
    </row>
    <row r="121757" spans="10:10" x14ac:dyDescent="0.3">
      <c r="J121757"/>
    </row>
    <row r="121758" spans="10:10" x14ac:dyDescent="0.3">
      <c r="J121758"/>
    </row>
    <row r="121759" spans="10:10" x14ac:dyDescent="0.3">
      <c r="J121759"/>
    </row>
    <row r="121760" spans="10:10" x14ac:dyDescent="0.3">
      <c r="J121760"/>
    </row>
    <row r="121761" spans="10:10" x14ac:dyDescent="0.3">
      <c r="J121761"/>
    </row>
    <row r="121762" spans="10:10" x14ac:dyDescent="0.3">
      <c r="J121762"/>
    </row>
    <row r="121763" spans="10:10" x14ac:dyDescent="0.3">
      <c r="J121763"/>
    </row>
    <row r="121764" spans="10:10" x14ac:dyDescent="0.3">
      <c r="J121764"/>
    </row>
    <row r="121765" spans="10:10" x14ac:dyDescent="0.3">
      <c r="J121765"/>
    </row>
    <row r="121766" spans="10:10" x14ac:dyDescent="0.3">
      <c r="J121766"/>
    </row>
    <row r="121767" spans="10:10" x14ac:dyDescent="0.3">
      <c r="J121767"/>
    </row>
    <row r="121768" spans="10:10" x14ac:dyDescent="0.3">
      <c r="J121768"/>
    </row>
    <row r="121769" spans="10:10" x14ac:dyDescent="0.3">
      <c r="J121769"/>
    </row>
    <row r="121770" spans="10:10" x14ac:dyDescent="0.3">
      <c r="J121770"/>
    </row>
    <row r="121771" spans="10:10" x14ac:dyDescent="0.3">
      <c r="J121771"/>
    </row>
    <row r="121772" spans="10:10" x14ac:dyDescent="0.3">
      <c r="J121772"/>
    </row>
    <row r="121773" spans="10:10" x14ac:dyDescent="0.3">
      <c r="J121773"/>
    </row>
    <row r="121774" spans="10:10" x14ac:dyDescent="0.3">
      <c r="J121774"/>
    </row>
    <row r="121775" spans="10:10" x14ac:dyDescent="0.3">
      <c r="J121775"/>
    </row>
    <row r="121776" spans="10:10" x14ac:dyDescent="0.3">
      <c r="J121776"/>
    </row>
    <row r="121777" spans="10:10" x14ac:dyDescent="0.3">
      <c r="J121777"/>
    </row>
    <row r="121778" spans="10:10" x14ac:dyDescent="0.3">
      <c r="J121778"/>
    </row>
    <row r="121779" spans="10:10" x14ac:dyDescent="0.3">
      <c r="J121779"/>
    </row>
    <row r="121780" spans="10:10" x14ac:dyDescent="0.3">
      <c r="J121780"/>
    </row>
    <row r="121781" spans="10:10" x14ac:dyDescent="0.3">
      <c r="J121781"/>
    </row>
    <row r="121782" spans="10:10" x14ac:dyDescent="0.3">
      <c r="J121782"/>
    </row>
    <row r="121783" spans="10:10" x14ac:dyDescent="0.3">
      <c r="J121783"/>
    </row>
    <row r="121784" spans="10:10" x14ac:dyDescent="0.3">
      <c r="J121784"/>
    </row>
    <row r="121785" spans="10:10" x14ac:dyDescent="0.3">
      <c r="J121785"/>
    </row>
    <row r="121786" spans="10:10" x14ac:dyDescent="0.3">
      <c r="J121786"/>
    </row>
    <row r="121787" spans="10:10" x14ac:dyDescent="0.3">
      <c r="J121787"/>
    </row>
    <row r="121788" spans="10:10" x14ac:dyDescent="0.3">
      <c r="J121788"/>
    </row>
    <row r="121789" spans="10:10" x14ac:dyDescent="0.3">
      <c r="J121789"/>
    </row>
    <row r="121790" spans="10:10" x14ac:dyDescent="0.3">
      <c r="J121790"/>
    </row>
    <row r="121791" spans="10:10" x14ac:dyDescent="0.3">
      <c r="J121791"/>
    </row>
    <row r="121792" spans="10:10" x14ac:dyDescent="0.3">
      <c r="J121792"/>
    </row>
    <row r="121793" spans="10:10" x14ac:dyDescent="0.3">
      <c r="J121793"/>
    </row>
    <row r="121794" spans="10:10" x14ac:dyDescent="0.3">
      <c r="J121794"/>
    </row>
    <row r="121795" spans="10:10" x14ac:dyDescent="0.3">
      <c r="J121795"/>
    </row>
    <row r="121796" spans="10:10" x14ac:dyDescent="0.3">
      <c r="J121796"/>
    </row>
    <row r="121797" spans="10:10" x14ac:dyDescent="0.3">
      <c r="J121797"/>
    </row>
    <row r="121798" spans="10:10" x14ac:dyDescent="0.3">
      <c r="J121798"/>
    </row>
    <row r="121799" spans="10:10" x14ac:dyDescent="0.3">
      <c r="J121799"/>
    </row>
    <row r="121800" spans="10:10" x14ac:dyDescent="0.3">
      <c r="J121800"/>
    </row>
    <row r="121801" spans="10:10" x14ac:dyDescent="0.3">
      <c r="J121801"/>
    </row>
    <row r="121802" spans="10:10" x14ac:dyDescent="0.3">
      <c r="J121802"/>
    </row>
    <row r="121803" spans="10:10" x14ac:dyDescent="0.3">
      <c r="J121803"/>
    </row>
    <row r="121804" spans="10:10" x14ac:dyDescent="0.3">
      <c r="J121804"/>
    </row>
    <row r="121805" spans="10:10" x14ac:dyDescent="0.3">
      <c r="J121805"/>
    </row>
    <row r="121806" spans="10:10" x14ac:dyDescent="0.3">
      <c r="J121806"/>
    </row>
    <row r="121807" spans="10:10" x14ac:dyDescent="0.3">
      <c r="J121807"/>
    </row>
    <row r="121808" spans="10:10" x14ac:dyDescent="0.3">
      <c r="J121808"/>
    </row>
    <row r="121809" spans="10:10" x14ac:dyDescent="0.3">
      <c r="J121809"/>
    </row>
    <row r="121810" spans="10:10" x14ac:dyDescent="0.3">
      <c r="J121810"/>
    </row>
    <row r="121811" spans="10:10" x14ac:dyDescent="0.3">
      <c r="J121811"/>
    </row>
    <row r="121812" spans="10:10" x14ac:dyDescent="0.3">
      <c r="J121812"/>
    </row>
    <row r="121813" spans="10:10" x14ac:dyDescent="0.3">
      <c r="J121813"/>
    </row>
    <row r="121814" spans="10:10" x14ac:dyDescent="0.3">
      <c r="J121814"/>
    </row>
    <row r="121815" spans="10:10" x14ac:dyDescent="0.3">
      <c r="J121815"/>
    </row>
    <row r="121816" spans="10:10" x14ac:dyDescent="0.3">
      <c r="J121816"/>
    </row>
    <row r="121817" spans="10:10" x14ac:dyDescent="0.3">
      <c r="J121817"/>
    </row>
    <row r="121818" spans="10:10" x14ac:dyDescent="0.3">
      <c r="J121818"/>
    </row>
    <row r="121819" spans="10:10" x14ac:dyDescent="0.3">
      <c r="J121819"/>
    </row>
    <row r="121820" spans="10:10" x14ac:dyDescent="0.3">
      <c r="J121820"/>
    </row>
    <row r="121821" spans="10:10" x14ac:dyDescent="0.3">
      <c r="J121821"/>
    </row>
    <row r="121822" spans="10:10" x14ac:dyDescent="0.3">
      <c r="J121822"/>
    </row>
    <row r="121823" spans="10:10" x14ac:dyDescent="0.3">
      <c r="J121823"/>
    </row>
    <row r="121824" spans="10:10" x14ac:dyDescent="0.3">
      <c r="J121824"/>
    </row>
    <row r="121825" spans="10:10" x14ac:dyDescent="0.3">
      <c r="J121825"/>
    </row>
    <row r="121826" spans="10:10" x14ac:dyDescent="0.3">
      <c r="J121826"/>
    </row>
    <row r="121827" spans="10:10" x14ac:dyDescent="0.3">
      <c r="J121827"/>
    </row>
    <row r="121828" spans="10:10" x14ac:dyDescent="0.3">
      <c r="J121828"/>
    </row>
    <row r="121829" spans="10:10" x14ac:dyDescent="0.3">
      <c r="J121829"/>
    </row>
    <row r="121830" spans="10:10" x14ac:dyDescent="0.3">
      <c r="J121830"/>
    </row>
    <row r="121831" spans="10:10" x14ac:dyDescent="0.3">
      <c r="J121831"/>
    </row>
    <row r="121832" spans="10:10" x14ac:dyDescent="0.3">
      <c r="J121832"/>
    </row>
    <row r="121833" spans="10:10" x14ac:dyDescent="0.3">
      <c r="J121833"/>
    </row>
    <row r="121834" spans="10:10" x14ac:dyDescent="0.3">
      <c r="J121834"/>
    </row>
    <row r="121835" spans="10:10" x14ac:dyDescent="0.3">
      <c r="J121835"/>
    </row>
    <row r="121836" spans="10:10" x14ac:dyDescent="0.3">
      <c r="J121836"/>
    </row>
    <row r="121837" spans="10:10" x14ac:dyDescent="0.3">
      <c r="J121837"/>
    </row>
    <row r="121838" spans="10:10" x14ac:dyDescent="0.3">
      <c r="J121838"/>
    </row>
    <row r="121839" spans="10:10" x14ac:dyDescent="0.3">
      <c r="J121839"/>
    </row>
    <row r="121840" spans="10:10" x14ac:dyDescent="0.3">
      <c r="J121840"/>
    </row>
    <row r="121841" spans="10:10" x14ac:dyDescent="0.3">
      <c r="J121841"/>
    </row>
    <row r="121842" spans="10:10" x14ac:dyDescent="0.3">
      <c r="J121842"/>
    </row>
    <row r="121843" spans="10:10" x14ac:dyDescent="0.3">
      <c r="J121843"/>
    </row>
    <row r="121844" spans="10:10" x14ac:dyDescent="0.3">
      <c r="J121844"/>
    </row>
    <row r="121845" spans="10:10" x14ac:dyDescent="0.3">
      <c r="J121845"/>
    </row>
    <row r="121846" spans="10:10" x14ac:dyDescent="0.3">
      <c r="J121846"/>
    </row>
    <row r="121847" spans="10:10" x14ac:dyDescent="0.3">
      <c r="J121847"/>
    </row>
    <row r="121848" spans="10:10" x14ac:dyDescent="0.3">
      <c r="J121848"/>
    </row>
    <row r="121849" spans="10:10" x14ac:dyDescent="0.3">
      <c r="J121849"/>
    </row>
    <row r="121850" spans="10:10" x14ac:dyDescent="0.3">
      <c r="J121850"/>
    </row>
    <row r="121851" spans="10:10" x14ac:dyDescent="0.3">
      <c r="J121851"/>
    </row>
    <row r="121852" spans="10:10" x14ac:dyDescent="0.3">
      <c r="J121852"/>
    </row>
    <row r="121853" spans="10:10" x14ac:dyDescent="0.3">
      <c r="J121853"/>
    </row>
    <row r="121854" spans="10:10" x14ac:dyDescent="0.3">
      <c r="J121854"/>
    </row>
    <row r="121855" spans="10:10" x14ac:dyDescent="0.3">
      <c r="J121855"/>
    </row>
    <row r="121856" spans="10:10" x14ac:dyDescent="0.3">
      <c r="J121856"/>
    </row>
    <row r="121857" spans="10:10" x14ac:dyDescent="0.3">
      <c r="J121857"/>
    </row>
    <row r="121858" spans="10:10" x14ac:dyDescent="0.3">
      <c r="J121858"/>
    </row>
    <row r="121859" spans="10:10" x14ac:dyDescent="0.3">
      <c r="J121859"/>
    </row>
    <row r="121860" spans="10:10" x14ac:dyDescent="0.3">
      <c r="J121860"/>
    </row>
    <row r="121861" spans="10:10" x14ac:dyDescent="0.3">
      <c r="J121861"/>
    </row>
    <row r="121862" spans="10:10" x14ac:dyDescent="0.3">
      <c r="J121862"/>
    </row>
    <row r="121863" spans="10:10" x14ac:dyDescent="0.3">
      <c r="J121863"/>
    </row>
    <row r="121864" spans="10:10" x14ac:dyDescent="0.3">
      <c r="J121864"/>
    </row>
    <row r="121865" spans="10:10" x14ac:dyDescent="0.3">
      <c r="J121865"/>
    </row>
    <row r="121866" spans="10:10" x14ac:dyDescent="0.3">
      <c r="J121866"/>
    </row>
    <row r="121867" spans="10:10" x14ac:dyDescent="0.3">
      <c r="J121867"/>
    </row>
    <row r="121868" spans="10:10" x14ac:dyDescent="0.3">
      <c r="J121868"/>
    </row>
    <row r="121869" spans="10:10" x14ac:dyDescent="0.3">
      <c r="J121869"/>
    </row>
    <row r="121870" spans="10:10" x14ac:dyDescent="0.3">
      <c r="J121870"/>
    </row>
    <row r="121871" spans="10:10" x14ac:dyDescent="0.3">
      <c r="J121871"/>
    </row>
    <row r="121872" spans="10:10" x14ac:dyDescent="0.3">
      <c r="J121872"/>
    </row>
    <row r="121873" spans="10:10" x14ac:dyDescent="0.3">
      <c r="J121873"/>
    </row>
    <row r="121874" spans="10:10" x14ac:dyDescent="0.3">
      <c r="J121874"/>
    </row>
    <row r="121875" spans="10:10" x14ac:dyDescent="0.3">
      <c r="J121875"/>
    </row>
    <row r="121876" spans="10:10" x14ac:dyDescent="0.3">
      <c r="J121876"/>
    </row>
    <row r="121877" spans="10:10" x14ac:dyDescent="0.3">
      <c r="J121877"/>
    </row>
    <row r="121878" spans="10:10" x14ac:dyDescent="0.3">
      <c r="J121878"/>
    </row>
    <row r="121879" spans="10:10" x14ac:dyDescent="0.3">
      <c r="J121879"/>
    </row>
    <row r="121880" spans="10:10" x14ac:dyDescent="0.3">
      <c r="J121880"/>
    </row>
    <row r="121881" spans="10:10" x14ac:dyDescent="0.3">
      <c r="J121881"/>
    </row>
    <row r="121882" spans="10:10" x14ac:dyDescent="0.3">
      <c r="J121882"/>
    </row>
    <row r="121883" spans="10:10" x14ac:dyDescent="0.3">
      <c r="J121883"/>
    </row>
    <row r="121884" spans="10:10" x14ac:dyDescent="0.3">
      <c r="J121884"/>
    </row>
    <row r="121885" spans="10:10" x14ac:dyDescent="0.3">
      <c r="J121885"/>
    </row>
    <row r="121886" spans="10:10" x14ac:dyDescent="0.3">
      <c r="J121886"/>
    </row>
    <row r="121887" spans="10:10" x14ac:dyDescent="0.3">
      <c r="J121887"/>
    </row>
    <row r="121888" spans="10:10" x14ac:dyDescent="0.3">
      <c r="J121888"/>
    </row>
    <row r="121889" spans="10:10" x14ac:dyDescent="0.3">
      <c r="J121889"/>
    </row>
    <row r="121890" spans="10:10" x14ac:dyDescent="0.3">
      <c r="J121890"/>
    </row>
    <row r="121891" spans="10:10" x14ac:dyDescent="0.3">
      <c r="J121891"/>
    </row>
    <row r="121892" spans="10:10" x14ac:dyDescent="0.3">
      <c r="J121892"/>
    </row>
    <row r="121893" spans="10:10" x14ac:dyDescent="0.3">
      <c r="J121893"/>
    </row>
    <row r="121894" spans="10:10" x14ac:dyDescent="0.3">
      <c r="J121894"/>
    </row>
    <row r="121895" spans="10:10" x14ac:dyDescent="0.3">
      <c r="J121895"/>
    </row>
    <row r="121896" spans="10:10" x14ac:dyDescent="0.3">
      <c r="J121896"/>
    </row>
    <row r="121897" spans="10:10" x14ac:dyDescent="0.3">
      <c r="J121897"/>
    </row>
    <row r="121898" spans="10:10" x14ac:dyDescent="0.3">
      <c r="J121898"/>
    </row>
    <row r="121899" spans="10:10" x14ac:dyDescent="0.3">
      <c r="J121899"/>
    </row>
    <row r="121900" spans="10:10" x14ac:dyDescent="0.3">
      <c r="J121900"/>
    </row>
    <row r="121901" spans="10:10" x14ac:dyDescent="0.3">
      <c r="J121901"/>
    </row>
    <row r="121902" spans="10:10" x14ac:dyDescent="0.3">
      <c r="J121902"/>
    </row>
    <row r="121903" spans="10:10" x14ac:dyDescent="0.3">
      <c r="J121903"/>
    </row>
    <row r="121904" spans="10:10" x14ac:dyDescent="0.3">
      <c r="J121904"/>
    </row>
    <row r="121905" spans="10:10" x14ac:dyDescent="0.3">
      <c r="J121905"/>
    </row>
    <row r="121906" spans="10:10" x14ac:dyDescent="0.3">
      <c r="J121906"/>
    </row>
    <row r="121907" spans="10:10" x14ac:dyDescent="0.3">
      <c r="J121907"/>
    </row>
    <row r="121908" spans="10:10" x14ac:dyDescent="0.3">
      <c r="J121908"/>
    </row>
    <row r="121909" spans="10:10" x14ac:dyDescent="0.3">
      <c r="J121909"/>
    </row>
    <row r="121910" spans="10:10" x14ac:dyDescent="0.3">
      <c r="J121910"/>
    </row>
    <row r="121911" spans="10:10" x14ac:dyDescent="0.3">
      <c r="J121911"/>
    </row>
    <row r="121912" spans="10:10" x14ac:dyDescent="0.3">
      <c r="J121912"/>
    </row>
    <row r="121913" spans="10:10" x14ac:dyDescent="0.3">
      <c r="J121913"/>
    </row>
    <row r="121914" spans="10:10" x14ac:dyDescent="0.3">
      <c r="J121914"/>
    </row>
    <row r="121915" spans="10:10" x14ac:dyDescent="0.3">
      <c r="J121915"/>
    </row>
    <row r="121916" spans="10:10" x14ac:dyDescent="0.3">
      <c r="J121916"/>
    </row>
    <row r="121917" spans="10:10" x14ac:dyDescent="0.3">
      <c r="J121917"/>
    </row>
    <row r="121918" spans="10:10" x14ac:dyDescent="0.3">
      <c r="J121918"/>
    </row>
    <row r="121919" spans="10:10" x14ac:dyDescent="0.3">
      <c r="J121919"/>
    </row>
    <row r="121920" spans="10:10" x14ac:dyDescent="0.3">
      <c r="J121920"/>
    </row>
    <row r="121921" spans="10:10" x14ac:dyDescent="0.3">
      <c r="J121921"/>
    </row>
    <row r="121922" spans="10:10" x14ac:dyDescent="0.3">
      <c r="J121922"/>
    </row>
    <row r="121923" spans="10:10" x14ac:dyDescent="0.3">
      <c r="J121923"/>
    </row>
    <row r="121924" spans="10:10" x14ac:dyDescent="0.3">
      <c r="J121924"/>
    </row>
    <row r="121925" spans="10:10" x14ac:dyDescent="0.3">
      <c r="J121925"/>
    </row>
    <row r="121926" spans="10:10" x14ac:dyDescent="0.3">
      <c r="J121926"/>
    </row>
    <row r="121927" spans="10:10" x14ac:dyDescent="0.3">
      <c r="J121927"/>
    </row>
    <row r="121928" spans="10:10" x14ac:dyDescent="0.3">
      <c r="J121928"/>
    </row>
    <row r="121929" spans="10:10" x14ac:dyDescent="0.3">
      <c r="J121929"/>
    </row>
    <row r="121930" spans="10:10" x14ac:dyDescent="0.3">
      <c r="J121930"/>
    </row>
    <row r="121931" spans="10:10" x14ac:dyDescent="0.3">
      <c r="J121931"/>
    </row>
    <row r="121932" spans="10:10" x14ac:dyDescent="0.3">
      <c r="J121932"/>
    </row>
    <row r="121933" spans="10:10" x14ac:dyDescent="0.3">
      <c r="J121933"/>
    </row>
    <row r="121934" spans="10:10" x14ac:dyDescent="0.3">
      <c r="J121934"/>
    </row>
    <row r="121935" spans="10:10" x14ac:dyDescent="0.3">
      <c r="J121935"/>
    </row>
    <row r="121936" spans="10:10" x14ac:dyDescent="0.3">
      <c r="J121936"/>
    </row>
    <row r="121937" spans="10:10" x14ac:dyDescent="0.3">
      <c r="J121937"/>
    </row>
    <row r="121938" spans="10:10" x14ac:dyDescent="0.3">
      <c r="J121938"/>
    </row>
    <row r="121939" spans="10:10" x14ac:dyDescent="0.3">
      <c r="J121939"/>
    </row>
    <row r="121940" spans="10:10" x14ac:dyDescent="0.3">
      <c r="J121940"/>
    </row>
    <row r="121941" spans="10:10" x14ac:dyDescent="0.3">
      <c r="J121941"/>
    </row>
    <row r="121942" spans="10:10" x14ac:dyDescent="0.3">
      <c r="J121942"/>
    </row>
    <row r="121943" spans="10:10" x14ac:dyDescent="0.3">
      <c r="J121943"/>
    </row>
    <row r="121944" spans="10:10" x14ac:dyDescent="0.3">
      <c r="J121944"/>
    </row>
    <row r="121945" spans="10:10" x14ac:dyDescent="0.3">
      <c r="J121945"/>
    </row>
    <row r="121946" spans="10:10" x14ac:dyDescent="0.3">
      <c r="J121946"/>
    </row>
    <row r="121947" spans="10:10" x14ac:dyDescent="0.3">
      <c r="J121947"/>
    </row>
    <row r="121948" spans="10:10" x14ac:dyDescent="0.3">
      <c r="J121948"/>
    </row>
    <row r="121949" spans="10:10" x14ac:dyDescent="0.3">
      <c r="J121949"/>
    </row>
    <row r="121950" spans="10:10" x14ac:dyDescent="0.3">
      <c r="J121950"/>
    </row>
    <row r="121951" spans="10:10" x14ac:dyDescent="0.3">
      <c r="J121951"/>
    </row>
    <row r="121952" spans="10:10" x14ac:dyDescent="0.3">
      <c r="J121952"/>
    </row>
    <row r="121953" spans="10:10" x14ac:dyDescent="0.3">
      <c r="J121953"/>
    </row>
    <row r="121954" spans="10:10" x14ac:dyDescent="0.3">
      <c r="J121954"/>
    </row>
    <row r="121955" spans="10:10" x14ac:dyDescent="0.3">
      <c r="J121955"/>
    </row>
    <row r="121956" spans="10:10" x14ac:dyDescent="0.3">
      <c r="J121956"/>
    </row>
    <row r="121957" spans="10:10" x14ac:dyDescent="0.3">
      <c r="J121957"/>
    </row>
    <row r="121958" spans="10:10" x14ac:dyDescent="0.3">
      <c r="J121958"/>
    </row>
    <row r="121959" spans="10:10" x14ac:dyDescent="0.3">
      <c r="J121959"/>
    </row>
    <row r="121960" spans="10:10" x14ac:dyDescent="0.3">
      <c r="J121960"/>
    </row>
    <row r="121961" spans="10:10" x14ac:dyDescent="0.3">
      <c r="J121961"/>
    </row>
    <row r="121962" spans="10:10" x14ac:dyDescent="0.3">
      <c r="J121962"/>
    </row>
    <row r="121963" spans="10:10" x14ac:dyDescent="0.3">
      <c r="J121963"/>
    </row>
    <row r="121964" spans="10:10" x14ac:dyDescent="0.3">
      <c r="J121964"/>
    </row>
    <row r="121965" spans="10:10" x14ac:dyDescent="0.3">
      <c r="J121965"/>
    </row>
    <row r="121966" spans="10:10" x14ac:dyDescent="0.3">
      <c r="J121966"/>
    </row>
    <row r="121967" spans="10:10" x14ac:dyDescent="0.3">
      <c r="J121967"/>
    </row>
    <row r="121968" spans="10:10" x14ac:dyDescent="0.3">
      <c r="J121968"/>
    </row>
    <row r="121969" spans="10:10" x14ac:dyDescent="0.3">
      <c r="J121969"/>
    </row>
    <row r="121970" spans="10:10" x14ac:dyDescent="0.3">
      <c r="J121970"/>
    </row>
    <row r="121971" spans="10:10" x14ac:dyDescent="0.3">
      <c r="J121971"/>
    </row>
    <row r="121972" spans="10:10" x14ac:dyDescent="0.3">
      <c r="J121972"/>
    </row>
    <row r="121973" spans="10:10" x14ac:dyDescent="0.3">
      <c r="J121973"/>
    </row>
    <row r="121974" spans="10:10" x14ac:dyDescent="0.3">
      <c r="J121974"/>
    </row>
    <row r="121975" spans="10:10" x14ac:dyDescent="0.3">
      <c r="J121975"/>
    </row>
    <row r="121976" spans="10:10" x14ac:dyDescent="0.3">
      <c r="J121976"/>
    </row>
    <row r="121977" spans="10:10" x14ac:dyDescent="0.3">
      <c r="J121977"/>
    </row>
    <row r="121978" spans="10:10" x14ac:dyDescent="0.3">
      <c r="J121978"/>
    </row>
    <row r="121979" spans="10:10" x14ac:dyDescent="0.3">
      <c r="J121979"/>
    </row>
    <row r="121980" spans="10:10" x14ac:dyDescent="0.3">
      <c r="J121980"/>
    </row>
    <row r="121981" spans="10:10" x14ac:dyDescent="0.3">
      <c r="J121981"/>
    </row>
    <row r="121982" spans="10:10" x14ac:dyDescent="0.3">
      <c r="J121982"/>
    </row>
    <row r="121983" spans="10:10" x14ac:dyDescent="0.3">
      <c r="J121983"/>
    </row>
    <row r="121984" spans="10:10" x14ac:dyDescent="0.3">
      <c r="J121984"/>
    </row>
    <row r="121985" spans="10:10" x14ac:dyDescent="0.3">
      <c r="J121985"/>
    </row>
    <row r="121986" spans="10:10" x14ac:dyDescent="0.3">
      <c r="J121986"/>
    </row>
    <row r="121987" spans="10:10" x14ac:dyDescent="0.3">
      <c r="J121987"/>
    </row>
    <row r="121988" spans="10:10" x14ac:dyDescent="0.3">
      <c r="J121988"/>
    </row>
    <row r="121989" spans="10:10" x14ac:dyDescent="0.3">
      <c r="J121989"/>
    </row>
    <row r="121990" spans="10:10" x14ac:dyDescent="0.3">
      <c r="J121990"/>
    </row>
    <row r="121991" spans="10:10" x14ac:dyDescent="0.3">
      <c r="J121991"/>
    </row>
    <row r="121992" spans="10:10" x14ac:dyDescent="0.3">
      <c r="J121992"/>
    </row>
    <row r="121993" spans="10:10" x14ac:dyDescent="0.3">
      <c r="J121993"/>
    </row>
    <row r="121994" spans="10:10" x14ac:dyDescent="0.3">
      <c r="J121994"/>
    </row>
    <row r="121995" spans="10:10" x14ac:dyDescent="0.3">
      <c r="J121995"/>
    </row>
    <row r="121996" spans="10:10" x14ac:dyDescent="0.3">
      <c r="J121996"/>
    </row>
    <row r="121997" spans="10:10" x14ac:dyDescent="0.3">
      <c r="J121997"/>
    </row>
    <row r="121998" spans="10:10" x14ac:dyDescent="0.3">
      <c r="J121998"/>
    </row>
    <row r="121999" spans="10:10" x14ac:dyDescent="0.3">
      <c r="J121999"/>
    </row>
    <row r="122000" spans="10:10" x14ac:dyDescent="0.3">
      <c r="J122000"/>
    </row>
    <row r="122001" spans="10:10" x14ac:dyDescent="0.3">
      <c r="J122001"/>
    </row>
    <row r="122002" spans="10:10" x14ac:dyDescent="0.3">
      <c r="J122002"/>
    </row>
    <row r="122003" spans="10:10" x14ac:dyDescent="0.3">
      <c r="J122003"/>
    </row>
    <row r="122004" spans="10:10" x14ac:dyDescent="0.3">
      <c r="J122004"/>
    </row>
    <row r="122005" spans="10:10" x14ac:dyDescent="0.3">
      <c r="J122005"/>
    </row>
    <row r="122006" spans="10:10" x14ac:dyDescent="0.3">
      <c r="J122006"/>
    </row>
    <row r="122007" spans="10:10" x14ac:dyDescent="0.3">
      <c r="J122007"/>
    </row>
    <row r="122008" spans="10:10" x14ac:dyDescent="0.3">
      <c r="J122008"/>
    </row>
    <row r="122009" spans="10:10" x14ac:dyDescent="0.3">
      <c r="J122009"/>
    </row>
    <row r="122010" spans="10:10" x14ac:dyDescent="0.3">
      <c r="J122010"/>
    </row>
    <row r="122011" spans="10:10" x14ac:dyDescent="0.3">
      <c r="J122011"/>
    </row>
    <row r="122012" spans="10:10" x14ac:dyDescent="0.3">
      <c r="J122012"/>
    </row>
    <row r="122013" spans="10:10" x14ac:dyDescent="0.3">
      <c r="J122013"/>
    </row>
    <row r="122014" spans="10:10" x14ac:dyDescent="0.3">
      <c r="J122014"/>
    </row>
    <row r="122015" spans="10:10" x14ac:dyDescent="0.3">
      <c r="J122015"/>
    </row>
    <row r="122016" spans="10:10" x14ac:dyDescent="0.3">
      <c r="J122016"/>
    </row>
    <row r="122017" spans="10:10" x14ac:dyDescent="0.3">
      <c r="J122017"/>
    </row>
    <row r="122018" spans="10:10" x14ac:dyDescent="0.3">
      <c r="J122018"/>
    </row>
    <row r="122019" spans="10:10" x14ac:dyDescent="0.3">
      <c r="J122019"/>
    </row>
    <row r="122020" spans="10:10" x14ac:dyDescent="0.3">
      <c r="J122020"/>
    </row>
    <row r="122021" spans="10:10" x14ac:dyDescent="0.3">
      <c r="J122021"/>
    </row>
    <row r="122022" spans="10:10" x14ac:dyDescent="0.3">
      <c r="J122022"/>
    </row>
    <row r="122023" spans="10:10" x14ac:dyDescent="0.3">
      <c r="J122023"/>
    </row>
    <row r="122024" spans="10:10" x14ac:dyDescent="0.3">
      <c r="J122024"/>
    </row>
    <row r="122025" spans="10:10" x14ac:dyDescent="0.3">
      <c r="J122025"/>
    </row>
    <row r="122026" spans="10:10" x14ac:dyDescent="0.3">
      <c r="J122026"/>
    </row>
    <row r="122027" spans="10:10" x14ac:dyDescent="0.3">
      <c r="J122027"/>
    </row>
    <row r="122028" spans="10:10" x14ac:dyDescent="0.3">
      <c r="J122028"/>
    </row>
    <row r="122029" spans="10:10" x14ac:dyDescent="0.3">
      <c r="J122029"/>
    </row>
    <row r="122030" spans="10:10" x14ac:dyDescent="0.3">
      <c r="J122030"/>
    </row>
    <row r="122031" spans="10:10" x14ac:dyDescent="0.3">
      <c r="J122031"/>
    </row>
    <row r="122032" spans="10:10" x14ac:dyDescent="0.3">
      <c r="J122032"/>
    </row>
    <row r="122033" spans="10:10" x14ac:dyDescent="0.3">
      <c r="J122033"/>
    </row>
    <row r="122034" spans="10:10" x14ac:dyDescent="0.3">
      <c r="J122034"/>
    </row>
    <row r="122035" spans="10:10" x14ac:dyDescent="0.3">
      <c r="J122035"/>
    </row>
    <row r="122036" spans="10:10" x14ac:dyDescent="0.3">
      <c r="J122036"/>
    </row>
    <row r="122037" spans="10:10" x14ac:dyDescent="0.3">
      <c r="J122037"/>
    </row>
    <row r="122038" spans="10:10" x14ac:dyDescent="0.3">
      <c r="J122038"/>
    </row>
    <row r="122039" spans="10:10" x14ac:dyDescent="0.3">
      <c r="J122039"/>
    </row>
    <row r="122040" spans="10:10" x14ac:dyDescent="0.3">
      <c r="J122040"/>
    </row>
    <row r="122041" spans="10:10" x14ac:dyDescent="0.3">
      <c r="J122041"/>
    </row>
    <row r="122042" spans="10:10" x14ac:dyDescent="0.3">
      <c r="J122042"/>
    </row>
    <row r="122043" spans="10:10" x14ac:dyDescent="0.3">
      <c r="J122043"/>
    </row>
    <row r="122044" spans="10:10" x14ac:dyDescent="0.3">
      <c r="J122044"/>
    </row>
    <row r="122045" spans="10:10" x14ac:dyDescent="0.3">
      <c r="J122045"/>
    </row>
    <row r="122046" spans="10:10" x14ac:dyDescent="0.3">
      <c r="J122046"/>
    </row>
    <row r="122047" spans="10:10" x14ac:dyDescent="0.3">
      <c r="J122047"/>
    </row>
    <row r="122048" spans="10:10" x14ac:dyDescent="0.3">
      <c r="J122048"/>
    </row>
    <row r="122049" spans="10:10" x14ac:dyDescent="0.3">
      <c r="J122049"/>
    </row>
    <row r="122050" spans="10:10" x14ac:dyDescent="0.3">
      <c r="J122050"/>
    </row>
    <row r="122051" spans="10:10" x14ac:dyDescent="0.3">
      <c r="J122051"/>
    </row>
    <row r="122052" spans="10:10" x14ac:dyDescent="0.3">
      <c r="J122052"/>
    </row>
    <row r="122053" spans="10:10" x14ac:dyDescent="0.3">
      <c r="J122053"/>
    </row>
    <row r="122054" spans="10:10" x14ac:dyDescent="0.3">
      <c r="J122054"/>
    </row>
    <row r="122055" spans="10:10" x14ac:dyDescent="0.3">
      <c r="J122055"/>
    </row>
    <row r="122056" spans="10:10" x14ac:dyDescent="0.3">
      <c r="J122056"/>
    </row>
    <row r="122057" spans="10:10" x14ac:dyDescent="0.3">
      <c r="J122057"/>
    </row>
    <row r="122058" spans="10:10" x14ac:dyDescent="0.3">
      <c r="J122058"/>
    </row>
    <row r="122059" spans="10:10" x14ac:dyDescent="0.3">
      <c r="J122059"/>
    </row>
    <row r="122060" spans="10:10" x14ac:dyDescent="0.3">
      <c r="J122060"/>
    </row>
    <row r="122061" spans="10:10" x14ac:dyDescent="0.3">
      <c r="J122061"/>
    </row>
    <row r="122062" spans="10:10" x14ac:dyDescent="0.3">
      <c r="J122062"/>
    </row>
    <row r="122063" spans="10:10" x14ac:dyDescent="0.3">
      <c r="J122063"/>
    </row>
    <row r="122064" spans="10:10" x14ac:dyDescent="0.3">
      <c r="J122064"/>
    </row>
    <row r="122065" spans="10:10" x14ac:dyDescent="0.3">
      <c r="J122065"/>
    </row>
    <row r="122066" spans="10:10" x14ac:dyDescent="0.3">
      <c r="J122066"/>
    </row>
    <row r="122067" spans="10:10" x14ac:dyDescent="0.3">
      <c r="J122067"/>
    </row>
    <row r="122068" spans="10:10" x14ac:dyDescent="0.3">
      <c r="J122068"/>
    </row>
    <row r="122069" spans="10:10" x14ac:dyDescent="0.3">
      <c r="J122069"/>
    </row>
    <row r="122070" spans="10:10" x14ac:dyDescent="0.3">
      <c r="J122070"/>
    </row>
    <row r="122071" spans="10:10" x14ac:dyDescent="0.3">
      <c r="J122071"/>
    </row>
    <row r="122072" spans="10:10" x14ac:dyDescent="0.3">
      <c r="J122072"/>
    </row>
    <row r="122073" spans="10:10" x14ac:dyDescent="0.3">
      <c r="J122073"/>
    </row>
    <row r="122074" spans="10:10" x14ac:dyDescent="0.3">
      <c r="J122074"/>
    </row>
    <row r="122075" spans="10:10" x14ac:dyDescent="0.3">
      <c r="J122075"/>
    </row>
    <row r="122076" spans="10:10" x14ac:dyDescent="0.3">
      <c r="J122076"/>
    </row>
    <row r="122077" spans="10:10" x14ac:dyDescent="0.3">
      <c r="J122077"/>
    </row>
    <row r="122078" spans="10:10" x14ac:dyDescent="0.3">
      <c r="J122078"/>
    </row>
    <row r="122079" spans="10:10" x14ac:dyDescent="0.3">
      <c r="J122079"/>
    </row>
    <row r="122080" spans="10:10" x14ac:dyDescent="0.3">
      <c r="J122080"/>
    </row>
    <row r="122081" spans="10:10" x14ac:dyDescent="0.3">
      <c r="J122081"/>
    </row>
    <row r="122082" spans="10:10" x14ac:dyDescent="0.3">
      <c r="J122082"/>
    </row>
    <row r="122083" spans="10:10" x14ac:dyDescent="0.3">
      <c r="J122083"/>
    </row>
    <row r="122084" spans="10:10" x14ac:dyDescent="0.3">
      <c r="J122084"/>
    </row>
    <row r="122085" spans="10:10" x14ac:dyDescent="0.3">
      <c r="J122085"/>
    </row>
    <row r="122086" spans="10:10" x14ac:dyDescent="0.3">
      <c r="J122086"/>
    </row>
    <row r="122087" spans="10:10" x14ac:dyDescent="0.3">
      <c r="J122087"/>
    </row>
    <row r="122088" spans="10:10" x14ac:dyDescent="0.3">
      <c r="J122088"/>
    </row>
    <row r="122089" spans="10:10" x14ac:dyDescent="0.3">
      <c r="J122089"/>
    </row>
    <row r="122090" spans="10:10" x14ac:dyDescent="0.3">
      <c r="J122090"/>
    </row>
    <row r="122091" spans="10:10" x14ac:dyDescent="0.3">
      <c r="J122091"/>
    </row>
    <row r="122092" spans="10:10" x14ac:dyDescent="0.3">
      <c r="J122092"/>
    </row>
    <row r="122093" spans="10:10" x14ac:dyDescent="0.3">
      <c r="J122093"/>
    </row>
    <row r="122094" spans="10:10" x14ac:dyDescent="0.3">
      <c r="J122094"/>
    </row>
    <row r="122095" spans="10:10" x14ac:dyDescent="0.3">
      <c r="J122095"/>
    </row>
    <row r="122096" spans="10:10" x14ac:dyDescent="0.3">
      <c r="J122096"/>
    </row>
    <row r="122097" spans="10:10" x14ac:dyDescent="0.3">
      <c r="J122097"/>
    </row>
    <row r="122098" spans="10:10" x14ac:dyDescent="0.3">
      <c r="J122098"/>
    </row>
    <row r="122099" spans="10:10" x14ac:dyDescent="0.3">
      <c r="J122099"/>
    </row>
    <row r="122100" spans="10:10" x14ac:dyDescent="0.3">
      <c r="J122100"/>
    </row>
    <row r="122101" spans="10:10" x14ac:dyDescent="0.3">
      <c r="J122101"/>
    </row>
    <row r="122102" spans="10:10" x14ac:dyDescent="0.3">
      <c r="J122102"/>
    </row>
    <row r="122103" spans="10:10" x14ac:dyDescent="0.3">
      <c r="J122103"/>
    </row>
    <row r="122104" spans="10:10" x14ac:dyDescent="0.3">
      <c r="J122104"/>
    </row>
    <row r="122105" spans="10:10" x14ac:dyDescent="0.3">
      <c r="J122105"/>
    </row>
    <row r="122106" spans="10:10" x14ac:dyDescent="0.3">
      <c r="J122106"/>
    </row>
    <row r="122107" spans="10:10" x14ac:dyDescent="0.3">
      <c r="J122107"/>
    </row>
    <row r="122108" spans="10:10" x14ac:dyDescent="0.3">
      <c r="J122108"/>
    </row>
    <row r="122109" spans="10:10" x14ac:dyDescent="0.3">
      <c r="J122109"/>
    </row>
    <row r="122110" spans="10:10" x14ac:dyDescent="0.3">
      <c r="J122110"/>
    </row>
    <row r="122111" spans="10:10" x14ac:dyDescent="0.3">
      <c r="J122111"/>
    </row>
    <row r="122112" spans="10:10" x14ac:dyDescent="0.3">
      <c r="J122112"/>
    </row>
    <row r="122113" spans="10:10" x14ac:dyDescent="0.3">
      <c r="J122113"/>
    </row>
    <row r="122114" spans="10:10" x14ac:dyDescent="0.3">
      <c r="J122114"/>
    </row>
    <row r="122115" spans="10:10" x14ac:dyDescent="0.3">
      <c r="J122115"/>
    </row>
    <row r="122116" spans="10:10" x14ac:dyDescent="0.3">
      <c r="J122116"/>
    </row>
    <row r="122117" spans="10:10" x14ac:dyDescent="0.3">
      <c r="J122117"/>
    </row>
    <row r="122118" spans="10:10" x14ac:dyDescent="0.3">
      <c r="J122118"/>
    </row>
    <row r="122119" spans="10:10" x14ac:dyDescent="0.3">
      <c r="J122119"/>
    </row>
    <row r="122120" spans="10:10" x14ac:dyDescent="0.3">
      <c r="J122120"/>
    </row>
    <row r="122121" spans="10:10" x14ac:dyDescent="0.3">
      <c r="J122121"/>
    </row>
    <row r="122122" spans="10:10" x14ac:dyDescent="0.3">
      <c r="J122122"/>
    </row>
    <row r="122123" spans="10:10" x14ac:dyDescent="0.3">
      <c r="J122123"/>
    </row>
    <row r="122124" spans="10:10" x14ac:dyDescent="0.3">
      <c r="J122124"/>
    </row>
    <row r="122125" spans="10:10" x14ac:dyDescent="0.3">
      <c r="J122125"/>
    </row>
    <row r="122126" spans="10:10" x14ac:dyDescent="0.3">
      <c r="J122126"/>
    </row>
    <row r="122127" spans="10:10" x14ac:dyDescent="0.3">
      <c r="J122127"/>
    </row>
    <row r="122128" spans="10:10" x14ac:dyDescent="0.3">
      <c r="J122128"/>
    </row>
    <row r="122129" spans="10:10" x14ac:dyDescent="0.3">
      <c r="J122129"/>
    </row>
    <row r="122130" spans="10:10" x14ac:dyDescent="0.3">
      <c r="J122130"/>
    </row>
    <row r="122131" spans="10:10" x14ac:dyDescent="0.3">
      <c r="J122131"/>
    </row>
    <row r="122132" spans="10:10" x14ac:dyDescent="0.3">
      <c r="J122132"/>
    </row>
    <row r="122133" spans="10:10" x14ac:dyDescent="0.3">
      <c r="J122133"/>
    </row>
    <row r="122134" spans="10:10" x14ac:dyDescent="0.3">
      <c r="J122134"/>
    </row>
    <row r="122135" spans="10:10" x14ac:dyDescent="0.3">
      <c r="J122135"/>
    </row>
    <row r="122136" spans="10:10" x14ac:dyDescent="0.3">
      <c r="J122136"/>
    </row>
    <row r="122137" spans="10:10" x14ac:dyDescent="0.3">
      <c r="J122137"/>
    </row>
    <row r="122138" spans="10:10" x14ac:dyDescent="0.3">
      <c r="J122138"/>
    </row>
    <row r="122139" spans="10:10" x14ac:dyDescent="0.3">
      <c r="J122139"/>
    </row>
    <row r="122140" spans="10:10" x14ac:dyDescent="0.3">
      <c r="J122140"/>
    </row>
    <row r="122141" spans="10:10" x14ac:dyDescent="0.3">
      <c r="J122141"/>
    </row>
    <row r="122142" spans="10:10" x14ac:dyDescent="0.3">
      <c r="J122142"/>
    </row>
    <row r="122143" spans="10:10" x14ac:dyDescent="0.3">
      <c r="J122143"/>
    </row>
    <row r="122144" spans="10:10" x14ac:dyDescent="0.3">
      <c r="J122144"/>
    </row>
    <row r="122145" spans="10:10" x14ac:dyDescent="0.3">
      <c r="J122145"/>
    </row>
    <row r="122146" spans="10:10" x14ac:dyDescent="0.3">
      <c r="J122146"/>
    </row>
    <row r="122147" spans="10:10" x14ac:dyDescent="0.3">
      <c r="J122147"/>
    </row>
    <row r="122148" spans="10:10" x14ac:dyDescent="0.3">
      <c r="J122148"/>
    </row>
    <row r="122149" spans="10:10" x14ac:dyDescent="0.3">
      <c r="J122149"/>
    </row>
    <row r="122150" spans="10:10" x14ac:dyDescent="0.3">
      <c r="J122150"/>
    </row>
    <row r="122151" spans="10:10" x14ac:dyDescent="0.3">
      <c r="J122151"/>
    </row>
    <row r="122152" spans="10:10" x14ac:dyDescent="0.3">
      <c r="J122152"/>
    </row>
    <row r="122153" spans="10:10" x14ac:dyDescent="0.3">
      <c r="J122153"/>
    </row>
    <row r="122154" spans="10:10" x14ac:dyDescent="0.3">
      <c r="J122154"/>
    </row>
    <row r="122155" spans="10:10" x14ac:dyDescent="0.3">
      <c r="J122155"/>
    </row>
    <row r="122156" spans="10:10" x14ac:dyDescent="0.3">
      <c r="J122156"/>
    </row>
    <row r="122157" spans="10:10" x14ac:dyDescent="0.3">
      <c r="J122157"/>
    </row>
    <row r="122158" spans="10:10" x14ac:dyDescent="0.3">
      <c r="J122158"/>
    </row>
    <row r="122159" spans="10:10" x14ac:dyDescent="0.3">
      <c r="J122159"/>
    </row>
    <row r="122160" spans="10:10" x14ac:dyDescent="0.3">
      <c r="J122160"/>
    </row>
    <row r="122161" spans="10:10" x14ac:dyDescent="0.3">
      <c r="J122161"/>
    </row>
    <row r="122162" spans="10:10" x14ac:dyDescent="0.3">
      <c r="J122162"/>
    </row>
    <row r="122163" spans="10:10" x14ac:dyDescent="0.3">
      <c r="J122163"/>
    </row>
    <row r="122164" spans="10:10" x14ac:dyDescent="0.3">
      <c r="J122164"/>
    </row>
    <row r="122165" spans="10:10" x14ac:dyDescent="0.3">
      <c r="J122165"/>
    </row>
    <row r="122166" spans="10:10" x14ac:dyDescent="0.3">
      <c r="J122166"/>
    </row>
    <row r="122167" spans="10:10" x14ac:dyDescent="0.3">
      <c r="J122167"/>
    </row>
    <row r="122168" spans="10:10" x14ac:dyDescent="0.3">
      <c r="J122168"/>
    </row>
    <row r="122169" spans="10:10" x14ac:dyDescent="0.3">
      <c r="J122169"/>
    </row>
    <row r="122170" spans="10:10" x14ac:dyDescent="0.3">
      <c r="J122170"/>
    </row>
    <row r="122171" spans="10:10" x14ac:dyDescent="0.3">
      <c r="J122171"/>
    </row>
    <row r="122172" spans="10:10" x14ac:dyDescent="0.3">
      <c r="J122172"/>
    </row>
    <row r="122173" spans="10:10" x14ac:dyDescent="0.3">
      <c r="J122173"/>
    </row>
    <row r="122174" spans="10:10" x14ac:dyDescent="0.3">
      <c r="J122174"/>
    </row>
    <row r="122175" spans="10:10" x14ac:dyDescent="0.3">
      <c r="J122175"/>
    </row>
    <row r="122176" spans="10:10" x14ac:dyDescent="0.3">
      <c r="J122176"/>
    </row>
    <row r="122177" spans="10:10" x14ac:dyDescent="0.3">
      <c r="J122177"/>
    </row>
    <row r="122178" spans="10:10" x14ac:dyDescent="0.3">
      <c r="J122178"/>
    </row>
    <row r="122179" spans="10:10" x14ac:dyDescent="0.3">
      <c r="J122179"/>
    </row>
    <row r="122180" spans="10:10" x14ac:dyDescent="0.3">
      <c r="J122180"/>
    </row>
    <row r="122181" spans="10:10" x14ac:dyDescent="0.3">
      <c r="J122181"/>
    </row>
    <row r="122182" spans="10:10" x14ac:dyDescent="0.3">
      <c r="J122182"/>
    </row>
    <row r="122183" spans="10:10" x14ac:dyDescent="0.3">
      <c r="J122183"/>
    </row>
    <row r="122184" spans="10:10" x14ac:dyDescent="0.3">
      <c r="J122184"/>
    </row>
    <row r="122185" spans="10:10" x14ac:dyDescent="0.3">
      <c r="J122185"/>
    </row>
    <row r="122186" spans="10:10" x14ac:dyDescent="0.3">
      <c r="J122186"/>
    </row>
    <row r="122187" spans="10:10" x14ac:dyDescent="0.3">
      <c r="J122187"/>
    </row>
    <row r="122188" spans="10:10" x14ac:dyDescent="0.3">
      <c r="J122188"/>
    </row>
    <row r="122189" spans="10:10" x14ac:dyDescent="0.3">
      <c r="J122189"/>
    </row>
    <row r="122190" spans="10:10" x14ac:dyDescent="0.3">
      <c r="J122190"/>
    </row>
    <row r="122191" spans="10:10" x14ac:dyDescent="0.3">
      <c r="J122191"/>
    </row>
    <row r="122192" spans="10:10" x14ac:dyDescent="0.3">
      <c r="J122192"/>
    </row>
    <row r="122193" spans="10:10" x14ac:dyDescent="0.3">
      <c r="J122193"/>
    </row>
    <row r="122194" spans="10:10" x14ac:dyDescent="0.3">
      <c r="J122194"/>
    </row>
    <row r="122195" spans="10:10" x14ac:dyDescent="0.3">
      <c r="J122195"/>
    </row>
    <row r="122196" spans="10:10" x14ac:dyDescent="0.3">
      <c r="J122196"/>
    </row>
    <row r="122197" spans="10:10" x14ac:dyDescent="0.3">
      <c r="J122197"/>
    </row>
    <row r="122198" spans="10:10" x14ac:dyDescent="0.3">
      <c r="J122198"/>
    </row>
    <row r="122199" spans="10:10" x14ac:dyDescent="0.3">
      <c r="J122199"/>
    </row>
    <row r="122200" spans="10:10" x14ac:dyDescent="0.3">
      <c r="J122200"/>
    </row>
    <row r="122201" spans="10:10" x14ac:dyDescent="0.3">
      <c r="J122201"/>
    </row>
    <row r="122202" spans="10:10" x14ac:dyDescent="0.3">
      <c r="J122202"/>
    </row>
    <row r="122203" spans="10:10" x14ac:dyDescent="0.3">
      <c r="J122203"/>
    </row>
    <row r="122204" spans="10:10" x14ac:dyDescent="0.3">
      <c r="J122204"/>
    </row>
    <row r="122205" spans="10:10" x14ac:dyDescent="0.3">
      <c r="J122205"/>
    </row>
    <row r="122206" spans="10:10" x14ac:dyDescent="0.3">
      <c r="J122206"/>
    </row>
    <row r="122207" spans="10:10" x14ac:dyDescent="0.3">
      <c r="J122207"/>
    </row>
    <row r="122208" spans="10:10" x14ac:dyDescent="0.3">
      <c r="J122208"/>
    </row>
    <row r="122209" spans="10:10" x14ac:dyDescent="0.3">
      <c r="J122209"/>
    </row>
    <row r="122210" spans="10:10" x14ac:dyDescent="0.3">
      <c r="J122210"/>
    </row>
    <row r="122211" spans="10:10" x14ac:dyDescent="0.3">
      <c r="J122211"/>
    </row>
    <row r="122212" spans="10:10" x14ac:dyDescent="0.3">
      <c r="J122212"/>
    </row>
    <row r="122213" spans="10:10" x14ac:dyDescent="0.3">
      <c r="J122213"/>
    </row>
    <row r="122214" spans="10:10" x14ac:dyDescent="0.3">
      <c r="J122214"/>
    </row>
    <row r="122215" spans="10:10" x14ac:dyDescent="0.3">
      <c r="J122215"/>
    </row>
    <row r="122216" spans="10:10" x14ac:dyDescent="0.3">
      <c r="J122216"/>
    </row>
    <row r="122217" spans="10:10" x14ac:dyDescent="0.3">
      <c r="J122217"/>
    </row>
    <row r="122218" spans="10:10" x14ac:dyDescent="0.3">
      <c r="J122218"/>
    </row>
    <row r="122219" spans="10:10" x14ac:dyDescent="0.3">
      <c r="J122219"/>
    </row>
    <row r="122220" spans="10:10" x14ac:dyDescent="0.3">
      <c r="J122220"/>
    </row>
    <row r="122221" spans="10:10" x14ac:dyDescent="0.3">
      <c r="J122221"/>
    </row>
    <row r="122222" spans="10:10" x14ac:dyDescent="0.3">
      <c r="J122222"/>
    </row>
    <row r="122223" spans="10:10" x14ac:dyDescent="0.3">
      <c r="J122223"/>
    </row>
    <row r="122224" spans="10:10" x14ac:dyDescent="0.3">
      <c r="J122224"/>
    </row>
    <row r="122225" spans="10:10" x14ac:dyDescent="0.3">
      <c r="J122225"/>
    </row>
    <row r="122226" spans="10:10" x14ac:dyDescent="0.3">
      <c r="J122226"/>
    </row>
    <row r="122227" spans="10:10" x14ac:dyDescent="0.3">
      <c r="J122227"/>
    </row>
    <row r="122228" spans="10:10" x14ac:dyDescent="0.3">
      <c r="J122228"/>
    </row>
    <row r="122229" spans="10:10" x14ac:dyDescent="0.3">
      <c r="J122229"/>
    </row>
    <row r="122230" spans="10:10" x14ac:dyDescent="0.3">
      <c r="J122230"/>
    </row>
    <row r="122231" spans="10:10" x14ac:dyDescent="0.3">
      <c r="J122231"/>
    </row>
    <row r="122232" spans="10:10" x14ac:dyDescent="0.3">
      <c r="J122232"/>
    </row>
    <row r="122233" spans="10:10" x14ac:dyDescent="0.3">
      <c r="J122233"/>
    </row>
    <row r="122234" spans="10:10" x14ac:dyDescent="0.3">
      <c r="J122234"/>
    </row>
    <row r="122235" spans="10:10" x14ac:dyDescent="0.3">
      <c r="J122235"/>
    </row>
    <row r="122236" spans="10:10" x14ac:dyDescent="0.3">
      <c r="J122236"/>
    </row>
    <row r="122237" spans="10:10" x14ac:dyDescent="0.3">
      <c r="J122237"/>
    </row>
    <row r="122238" spans="10:10" x14ac:dyDescent="0.3">
      <c r="J122238"/>
    </row>
    <row r="122239" spans="10:10" x14ac:dyDescent="0.3">
      <c r="J122239"/>
    </row>
    <row r="122240" spans="10:10" x14ac:dyDescent="0.3">
      <c r="J122240"/>
    </row>
    <row r="122241" spans="10:10" x14ac:dyDescent="0.3">
      <c r="J122241"/>
    </row>
    <row r="122242" spans="10:10" x14ac:dyDescent="0.3">
      <c r="J122242"/>
    </row>
    <row r="122243" spans="10:10" x14ac:dyDescent="0.3">
      <c r="J122243"/>
    </row>
    <row r="122244" spans="10:10" x14ac:dyDescent="0.3">
      <c r="J122244"/>
    </row>
    <row r="122245" spans="10:10" x14ac:dyDescent="0.3">
      <c r="J122245"/>
    </row>
    <row r="122246" spans="10:10" x14ac:dyDescent="0.3">
      <c r="J122246"/>
    </row>
    <row r="122247" spans="10:10" x14ac:dyDescent="0.3">
      <c r="J122247"/>
    </row>
    <row r="122248" spans="10:10" x14ac:dyDescent="0.3">
      <c r="J122248"/>
    </row>
    <row r="122249" spans="10:10" x14ac:dyDescent="0.3">
      <c r="J122249"/>
    </row>
    <row r="122250" spans="10:10" x14ac:dyDescent="0.3">
      <c r="J122250"/>
    </row>
    <row r="122251" spans="10:10" x14ac:dyDescent="0.3">
      <c r="J122251"/>
    </row>
    <row r="122252" spans="10:10" x14ac:dyDescent="0.3">
      <c r="J122252"/>
    </row>
    <row r="122253" spans="10:10" x14ac:dyDescent="0.3">
      <c r="J122253"/>
    </row>
    <row r="122254" spans="10:10" x14ac:dyDescent="0.3">
      <c r="J122254"/>
    </row>
    <row r="122255" spans="10:10" x14ac:dyDescent="0.3">
      <c r="J122255"/>
    </row>
    <row r="122256" spans="10:10" x14ac:dyDescent="0.3">
      <c r="J122256"/>
    </row>
    <row r="122257" spans="10:10" x14ac:dyDescent="0.3">
      <c r="J122257"/>
    </row>
    <row r="122258" spans="10:10" x14ac:dyDescent="0.3">
      <c r="J122258"/>
    </row>
    <row r="122259" spans="10:10" x14ac:dyDescent="0.3">
      <c r="J122259"/>
    </row>
    <row r="122260" spans="10:10" x14ac:dyDescent="0.3">
      <c r="J122260"/>
    </row>
    <row r="122261" spans="10:10" x14ac:dyDescent="0.3">
      <c r="J122261"/>
    </row>
    <row r="122262" spans="10:10" x14ac:dyDescent="0.3">
      <c r="J122262"/>
    </row>
    <row r="122263" spans="10:10" x14ac:dyDescent="0.3">
      <c r="J122263"/>
    </row>
    <row r="122264" spans="10:10" x14ac:dyDescent="0.3">
      <c r="J122264"/>
    </row>
    <row r="122265" spans="10:10" x14ac:dyDescent="0.3">
      <c r="J122265"/>
    </row>
    <row r="122266" spans="10:10" x14ac:dyDescent="0.3">
      <c r="J122266"/>
    </row>
    <row r="122267" spans="10:10" x14ac:dyDescent="0.3">
      <c r="J122267"/>
    </row>
    <row r="122268" spans="10:10" x14ac:dyDescent="0.3">
      <c r="J122268"/>
    </row>
    <row r="122269" spans="10:10" x14ac:dyDescent="0.3">
      <c r="J122269"/>
    </row>
    <row r="122270" spans="10:10" x14ac:dyDescent="0.3">
      <c r="J122270"/>
    </row>
    <row r="122271" spans="10:10" x14ac:dyDescent="0.3">
      <c r="J122271"/>
    </row>
    <row r="122272" spans="10:10" x14ac:dyDescent="0.3">
      <c r="J122272"/>
    </row>
    <row r="122273" spans="10:10" x14ac:dyDescent="0.3">
      <c r="J122273"/>
    </row>
    <row r="122274" spans="10:10" x14ac:dyDescent="0.3">
      <c r="J122274"/>
    </row>
    <row r="122275" spans="10:10" x14ac:dyDescent="0.3">
      <c r="J122275"/>
    </row>
    <row r="122276" spans="10:10" x14ac:dyDescent="0.3">
      <c r="J122276"/>
    </row>
    <row r="122277" spans="10:10" x14ac:dyDescent="0.3">
      <c r="J122277"/>
    </row>
    <row r="122278" spans="10:10" x14ac:dyDescent="0.3">
      <c r="J122278"/>
    </row>
    <row r="122279" spans="10:10" x14ac:dyDescent="0.3">
      <c r="J122279"/>
    </row>
    <row r="122280" spans="10:10" x14ac:dyDescent="0.3">
      <c r="J122280"/>
    </row>
    <row r="122281" spans="10:10" x14ac:dyDescent="0.3">
      <c r="J122281"/>
    </row>
    <row r="122282" spans="10:10" x14ac:dyDescent="0.3">
      <c r="J122282"/>
    </row>
    <row r="122283" spans="10:10" x14ac:dyDescent="0.3">
      <c r="J122283"/>
    </row>
    <row r="122284" spans="10:10" x14ac:dyDescent="0.3">
      <c r="J122284"/>
    </row>
    <row r="122285" spans="10:10" x14ac:dyDescent="0.3">
      <c r="J122285"/>
    </row>
    <row r="122286" spans="10:10" x14ac:dyDescent="0.3">
      <c r="J122286"/>
    </row>
    <row r="122287" spans="10:10" x14ac:dyDescent="0.3">
      <c r="J122287"/>
    </row>
    <row r="122288" spans="10:10" x14ac:dyDescent="0.3">
      <c r="J122288"/>
    </row>
    <row r="122289" spans="10:10" x14ac:dyDescent="0.3">
      <c r="J122289"/>
    </row>
    <row r="122290" spans="10:10" x14ac:dyDescent="0.3">
      <c r="J122290"/>
    </row>
    <row r="122291" spans="10:10" x14ac:dyDescent="0.3">
      <c r="J122291"/>
    </row>
    <row r="122292" spans="10:10" x14ac:dyDescent="0.3">
      <c r="J122292"/>
    </row>
    <row r="122293" spans="10:10" x14ac:dyDescent="0.3">
      <c r="J122293"/>
    </row>
    <row r="122294" spans="10:10" x14ac:dyDescent="0.3">
      <c r="J122294"/>
    </row>
    <row r="122295" spans="10:10" x14ac:dyDescent="0.3">
      <c r="J122295"/>
    </row>
    <row r="122296" spans="10:10" x14ac:dyDescent="0.3">
      <c r="J122296"/>
    </row>
    <row r="122297" spans="10:10" x14ac:dyDescent="0.3">
      <c r="J122297"/>
    </row>
    <row r="122298" spans="10:10" x14ac:dyDescent="0.3">
      <c r="J122298"/>
    </row>
    <row r="122299" spans="10:10" x14ac:dyDescent="0.3">
      <c r="J122299"/>
    </row>
    <row r="122300" spans="10:10" x14ac:dyDescent="0.3">
      <c r="J122300"/>
    </row>
    <row r="122301" spans="10:10" x14ac:dyDescent="0.3">
      <c r="J122301"/>
    </row>
    <row r="122302" spans="10:10" x14ac:dyDescent="0.3">
      <c r="J122302"/>
    </row>
    <row r="122303" spans="10:10" x14ac:dyDescent="0.3">
      <c r="J122303"/>
    </row>
    <row r="122304" spans="10:10" x14ac:dyDescent="0.3">
      <c r="J122304"/>
    </row>
    <row r="122305" spans="10:10" x14ac:dyDescent="0.3">
      <c r="J122305"/>
    </row>
    <row r="122306" spans="10:10" x14ac:dyDescent="0.3">
      <c r="J122306"/>
    </row>
    <row r="122307" spans="10:10" x14ac:dyDescent="0.3">
      <c r="J122307"/>
    </row>
    <row r="122308" spans="10:10" x14ac:dyDescent="0.3">
      <c r="J122308"/>
    </row>
    <row r="122309" spans="10:10" x14ac:dyDescent="0.3">
      <c r="J122309"/>
    </row>
    <row r="122310" spans="10:10" x14ac:dyDescent="0.3">
      <c r="J122310"/>
    </row>
    <row r="122311" spans="10:10" x14ac:dyDescent="0.3">
      <c r="J122311"/>
    </row>
    <row r="122312" spans="10:10" x14ac:dyDescent="0.3">
      <c r="J122312"/>
    </row>
    <row r="122313" spans="10:10" x14ac:dyDescent="0.3">
      <c r="J122313"/>
    </row>
    <row r="122314" spans="10:10" x14ac:dyDescent="0.3">
      <c r="J122314"/>
    </row>
    <row r="122315" spans="10:10" x14ac:dyDescent="0.3">
      <c r="J122315"/>
    </row>
    <row r="122316" spans="10:10" x14ac:dyDescent="0.3">
      <c r="J122316"/>
    </row>
    <row r="122317" spans="10:10" x14ac:dyDescent="0.3">
      <c r="J122317"/>
    </row>
    <row r="122318" spans="10:10" x14ac:dyDescent="0.3">
      <c r="J122318"/>
    </row>
    <row r="122319" spans="10:10" x14ac:dyDescent="0.3">
      <c r="J122319"/>
    </row>
    <row r="122320" spans="10:10" x14ac:dyDescent="0.3">
      <c r="J122320"/>
    </row>
    <row r="122321" spans="10:10" x14ac:dyDescent="0.3">
      <c r="J122321"/>
    </row>
    <row r="122322" spans="10:10" x14ac:dyDescent="0.3">
      <c r="J122322"/>
    </row>
    <row r="122323" spans="10:10" x14ac:dyDescent="0.3">
      <c r="J122323"/>
    </row>
    <row r="122324" spans="10:10" x14ac:dyDescent="0.3">
      <c r="J122324"/>
    </row>
    <row r="122325" spans="10:10" x14ac:dyDescent="0.3">
      <c r="J122325"/>
    </row>
    <row r="122326" spans="10:10" x14ac:dyDescent="0.3">
      <c r="J122326"/>
    </row>
    <row r="122327" spans="10:10" x14ac:dyDescent="0.3">
      <c r="J122327"/>
    </row>
    <row r="122328" spans="10:10" x14ac:dyDescent="0.3">
      <c r="J122328"/>
    </row>
    <row r="122329" spans="10:10" x14ac:dyDescent="0.3">
      <c r="J122329"/>
    </row>
    <row r="122330" spans="10:10" x14ac:dyDescent="0.3">
      <c r="J122330"/>
    </row>
    <row r="122331" spans="10:10" x14ac:dyDescent="0.3">
      <c r="J122331"/>
    </row>
    <row r="122332" spans="10:10" x14ac:dyDescent="0.3">
      <c r="J122332"/>
    </row>
    <row r="122333" spans="10:10" x14ac:dyDescent="0.3">
      <c r="J122333"/>
    </row>
    <row r="122334" spans="10:10" x14ac:dyDescent="0.3">
      <c r="J122334"/>
    </row>
    <row r="122335" spans="10:10" x14ac:dyDescent="0.3">
      <c r="J122335"/>
    </row>
    <row r="122336" spans="10:10" x14ac:dyDescent="0.3">
      <c r="J122336"/>
    </row>
    <row r="122337" spans="10:10" x14ac:dyDescent="0.3">
      <c r="J122337"/>
    </row>
    <row r="122338" spans="10:10" x14ac:dyDescent="0.3">
      <c r="J122338"/>
    </row>
    <row r="122339" spans="10:10" x14ac:dyDescent="0.3">
      <c r="J122339"/>
    </row>
    <row r="122340" spans="10:10" x14ac:dyDescent="0.3">
      <c r="J122340"/>
    </row>
    <row r="122341" spans="10:10" x14ac:dyDescent="0.3">
      <c r="J122341"/>
    </row>
    <row r="122342" spans="10:10" x14ac:dyDescent="0.3">
      <c r="J122342"/>
    </row>
    <row r="122343" spans="10:10" x14ac:dyDescent="0.3">
      <c r="J122343"/>
    </row>
    <row r="122344" spans="10:10" x14ac:dyDescent="0.3">
      <c r="J122344"/>
    </row>
    <row r="122345" spans="10:10" x14ac:dyDescent="0.3">
      <c r="J122345"/>
    </row>
    <row r="122346" spans="10:10" x14ac:dyDescent="0.3">
      <c r="J122346"/>
    </row>
    <row r="122347" spans="10:10" x14ac:dyDescent="0.3">
      <c r="J122347"/>
    </row>
    <row r="122348" spans="10:10" x14ac:dyDescent="0.3">
      <c r="J122348"/>
    </row>
    <row r="122349" spans="10:10" x14ac:dyDescent="0.3">
      <c r="J122349"/>
    </row>
    <row r="122350" spans="10:10" x14ac:dyDescent="0.3">
      <c r="J122350"/>
    </row>
    <row r="122351" spans="10:10" x14ac:dyDescent="0.3">
      <c r="J122351"/>
    </row>
    <row r="122352" spans="10:10" x14ac:dyDescent="0.3">
      <c r="J122352"/>
    </row>
    <row r="122353" spans="10:10" x14ac:dyDescent="0.3">
      <c r="J122353"/>
    </row>
    <row r="122354" spans="10:10" x14ac:dyDescent="0.3">
      <c r="J122354"/>
    </row>
    <row r="122355" spans="10:10" x14ac:dyDescent="0.3">
      <c r="J122355"/>
    </row>
    <row r="122356" spans="10:10" x14ac:dyDescent="0.3">
      <c r="J122356"/>
    </row>
    <row r="122357" spans="10:10" x14ac:dyDescent="0.3">
      <c r="J122357"/>
    </row>
    <row r="122358" spans="10:10" x14ac:dyDescent="0.3">
      <c r="J122358"/>
    </row>
    <row r="122359" spans="10:10" x14ac:dyDescent="0.3">
      <c r="J122359"/>
    </row>
    <row r="122360" spans="10:10" x14ac:dyDescent="0.3">
      <c r="J122360"/>
    </row>
    <row r="122361" spans="10:10" x14ac:dyDescent="0.3">
      <c r="J122361"/>
    </row>
    <row r="122362" spans="10:10" x14ac:dyDescent="0.3">
      <c r="J122362"/>
    </row>
    <row r="122363" spans="10:10" x14ac:dyDescent="0.3">
      <c r="J122363"/>
    </row>
    <row r="122364" spans="10:10" x14ac:dyDescent="0.3">
      <c r="J122364"/>
    </row>
    <row r="122365" spans="10:10" x14ac:dyDescent="0.3">
      <c r="J122365"/>
    </row>
    <row r="122366" spans="10:10" x14ac:dyDescent="0.3">
      <c r="J122366"/>
    </row>
    <row r="122367" spans="10:10" x14ac:dyDescent="0.3">
      <c r="J122367"/>
    </row>
    <row r="122368" spans="10:10" x14ac:dyDescent="0.3">
      <c r="J122368"/>
    </row>
    <row r="122369" spans="10:10" x14ac:dyDescent="0.3">
      <c r="J122369"/>
    </row>
    <row r="122370" spans="10:10" x14ac:dyDescent="0.3">
      <c r="J122370"/>
    </row>
    <row r="122371" spans="10:10" x14ac:dyDescent="0.3">
      <c r="J122371"/>
    </row>
    <row r="122372" spans="10:10" x14ac:dyDescent="0.3">
      <c r="J122372"/>
    </row>
    <row r="122373" spans="10:10" x14ac:dyDescent="0.3">
      <c r="J122373"/>
    </row>
    <row r="122374" spans="10:10" x14ac:dyDescent="0.3">
      <c r="J122374"/>
    </row>
    <row r="122375" spans="10:10" x14ac:dyDescent="0.3">
      <c r="J122375"/>
    </row>
    <row r="122376" spans="10:10" x14ac:dyDescent="0.3">
      <c r="J122376"/>
    </row>
    <row r="122377" spans="10:10" x14ac:dyDescent="0.3">
      <c r="J122377"/>
    </row>
    <row r="122378" spans="10:10" x14ac:dyDescent="0.3">
      <c r="J122378"/>
    </row>
    <row r="122379" spans="10:10" x14ac:dyDescent="0.3">
      <c r="J122379"/>
    </row>
    <row r="122380" spans="10:10" x14ac:dyDescent="0.3">
      <c r="J122380"/>
    </row>
    <row r="122381" spans="10:10" x14ac:dyDescent="0.3">
      <c r="J122381"/>
    </row>
    <row r="122382" spans="10:10" x14ac:dyDescent="0.3">
      <c r="J122382"/>
    </row>
    <row r="122383" spans="10:10" x14ac:dyDescent="0.3">
      <c r="J122383"/>
    </row>
    <row r="122384" spans="10:10" x14ac:dyDescent="0.3">
      <c r="J122384"/>
    </row>
    <row r="122385" spans="10:10" x14ac:dyDescent="0.3">
      <c r="J122385"/>
    </row>
    <row r="122386" spans="10:10" x14ac:dyDescent="0.3">
      <c r="J122386"/>
    </row>
    <row r="122387" spans="10:10" x14ac:dyDescent="0.3">
      <c r="J122387"/>
    </row>
    <row r="122388" spans="10:10" x14ac:dyDescent="0.3">
      <c r="J122388"/>
    </row>
    <row r="122389" spans="10:10" x14ac:dyDescent="0.3">
      <c r="J122389"/>
    </row>
    <row r="122390" spans="10:10" x14ac:dyDescent="0.3">
      <c r="J122390"/>
    </row>
    <row r="122391" spans="10:10" x14ac:dyDescent="0.3">
      <c r="J122391"/>
    </row>
    <row r="122392" spans="10:10" x14ac:dyDescent="0.3">
      <c r="J122392"/>
    </row>
    <row r="122393" spans="10:10" x14ac:dyDescent="0.3">
      <c r="J122393"/>
    </row>
    <row r="122394" spans="10:10" x14ac:dyDescent="0.3">
      <c r="J122394"/>
    </row>
    <row r="122395" spans="10:10" x14ac:dyDescent="0.3">
      <c r="J122395"/>
    </row>
    <row r="122396" spans="10:10" x14ac:dyDescent="0.3">
      <c r="J122396"/>
    </row>
    <row r="122397" spans="10:10" x14ac:dyDescent="0.3">
      <c r="J122397"/>
    </row>
    <row r="122398" spans="10:10" x14ac:dyDescent="0.3">
      <c r="J122398"/>
    </row>
    <row r="122399" spans="10:10" x14ac:dyDescent="0.3">
      <c r="J122399"/>
    </row>
    <row r="122400" spans="10:10" x14ac:dyDescent="0.3">
      <c r="J122400"/>
    </row>
    <row r="122401" spans="10:10" x14ac:dyDescent="0.3">
      <c r="J122401"/>
    </row>
    <row r="122402" spans="10:10" x14ac:dyDescent="0.3">
      <c r="J122402"/>
    </row>
    <row r="122403" spans="10:10" x14ac:dyDescent="0.3">
      <c r="J122403"/>
    </row>
    <row r="122404" spans="10:10" x14ac:dyDescent="0.3">
      <c r="J122404"/>
    </row>
    <row r="122405" spans="10:10" x14ac:dyDescent="0.3">
      <c r="J122405"/>
    </row>
    <row r="122406" spans="10:10" x14ac:dyDescent="0.3">
      <c r="J122406"/>
    </row>
    <row r="122407" spans="10:10" x14ac:dyDescent="0.3">
      <c r="J122407"/>
    </row>
    <row r="122408" spans="10:10" x14ac:dyDescent="0.3">
      <c r="J122408"/>
    </row>
    <row r="122409" spans="10:10" x14ac:dyDescent="0.3">
      <c r="J122409"/>
    </row>
    <row r="122410" spans="10:10" x14ac:dyDescent="0.3">
      <c r="J122410"/>
    </row>
    <row r="122411" spans="10:10" x14ac:dyDescent="0.3">
      <c r="J122411"/>
    </row>
    <row r="122412" spans="10:10" x14ac:dyDescent="0.3">
      <c r="J122412"/>
    </row>
    <row r="122413" spans="10:10" x14ac:dyDescent="0.3">
      <c r="J122413"/>
    </row>
    <row r="122414" spans="10:10" x14ac:dyDescent="0.3">
      <c r="J122414"/>
    </row>
    <row r="122415" spans="10:10" x14ac:dyDescent="0.3">
      <c r="J122415"/>
    </row>
    <row r="122416" spans="10:10" x14ac:dyDescent="0.3">
      <c r="J122416"/>
    </row>
    <row r="122417" spans="10:10" x14ac:dyDescent="0.3">
      <c r="J122417"/>
    </row>
    <row r="122418" spans="10:10" x14ac:dyDescent="0.3">
      <c r="J122418"/>
    </row>
    <row r="122419" spans="10:10" x14ac:dyDescent="0.3">
      <c r="J122419"/>
    </row>
    <row r="122420" spans="10:10" x14ac:dyDescent="0.3">
      <c r="J122420"/>
    </row>
    <row r="122421" spans="10:10" x14ac:dyDescent="0.3">
      <c r="J122421"/>
    </row>
    <row r="122422" spans="10:10" x14ac:dyDescent="0.3">
      <c r="J122422"/>
    </row>
    <row r="122423" spans="10:10" x14ac:dyDescent="0.3">
      <c r="J122423"/>
    </row>
    <row r="122424" spans="10:10" x14ac:dyDescent="0.3">
      <c r="J122424"/>
    </row>
    <row r="122425" spans="10:10" x14ac:dyDescent="0.3">
      <c r="J122425"/>
    </row>
    <row r="122426" spans="10:10" x14ac:dyDescent="0.3">
      <c r="J122426"/>
    </row>
    <row r="122427" spans="10:10" x14ac:dyDescent="0.3">
      <c r="J122427"/>
    </row>
    <row r="122428" spans="10:10" x14ac:dyDescent="0.3">
      <c r="J122428"/>
    </row>
    <row r="122429" spans="10:10" x14ac:dyDescent="0.3">
      <c r="J122429"/>
    </row>
    <row r="122430" spans="10:10" x14ac:dyDescent="0.3">
      <c r="J122430"/>
    </row>
    <row r="122431" spans="10:10" x14ac:dyDescent="0.3">
      <c r="J122431"/>
    </row>
    <row r="122432" spans="10:10" x14ac:dyDescent="0.3">
      <c r="J122432"/>
    </row>
    <row r="122433" spans="10:10" x14ac:dyDescent="0.3">
      <c r="J122433"/>
    </row>
    <row r="122434" spans="10:10" x14ac:dyDescent="0.3">
      <c r="J122434"/>
    </row>
    <row r="122435" spans="10:10" x14ac:dyDescent="0.3">
      <c r="J122435"/>
    </row>
    <row r="122436" spans="10:10" x14ac:dyDescent="0.3">
      <c r="J122436"/>
    </row>
    <row r="122437" spans="10:10" x14ac:dyDescent="0.3">
      <c r="J122437"/>
    </row>
    <row r="122438" spans="10:10" x14ac:dyDescent="0.3">
      <c r="J122438"/>
    </row>
    <row r="122439" spans="10:10" x14ac:dyDescent="0.3">
      <c r="J122439"/>
    </row>
    <row r="122440" spans="10:10" x14ac:dyDescent="0.3">
      <c r="J122440"/>
    </row>
    <row r="122441" spans="10:10" x14ac:dyDescent="0.3">
      <c r="J122441"/>
    </row>
    <row r="122442" spans="10:10" x14ac:dyDescent="0.3">
      <c r="J122442"/>
    </row>
    <row r="122443" spans="10:10" x14ac:dyDescent="0.3">
      <c r="J122443"/>
    </row>
    <row r="122444" spans="10:10" x14ac:dyDescent="0.3">
      <c r="J122444"/>
    </row>
    <row r="122445" spans="10:10" x14ac:dyDescent="0.3">
      <c r="J122445"/>
    </row>
    <row r="122446" spans="10:10" x14ac:dyDescent="0.3">
      <c r="J122446"/>
    </row>
    <row r="122447" spans="10:10" x14ac:dyDescent="0.3">
      <c r="J122447"/>
    </row>
    <row r="122448" spans="10:10" x14ac:dyDescent="0.3">
      <c r="J122448"/>
    </row>
    <row r="122449" spans="10:10" x14ac:dyDescent="0.3">
      <c r="J122449"/>
    </row>
    <row r="122450" spans="10:10" x14ac:dyDescent="0.3">
      <c r="J122450"/>
    </row>
    <row r="122451" spans="10:10" x14ac:dyDescent="0.3">
      <c r="J122451"/>
    </row>
    <row r="122452" spans="10:10" x14ac:dyDescent="0.3">
      <c r="J122452"/>
    </row>
    <row r="122453" spans="10:10" x14ac:dyDescent="0.3">
      <c r="J122453"/>
    </row>
    <row r="122454" spans="10:10" x14ac:dyDescent="0.3">
      <c r="J122454"/>
    </row>
    <row r="122455" spans="10:10" x14ac:dyDescent="0.3">
      <c r="J122455"/>
    </row>
    <row r="122456" spans="10:10" x14ac:dyDescent="0.3">
      <c r="J122456"/>
    </row>
    <row r="122457" spans="10:10" x14ac:dyDescent="0.3">
      <c r="J122457"/>
    </row>
    <row r="122458" spans="10:10" x14ac:dyDescent="0.3">
      <c r="J122458"/>
    </row>
    <row r="122459" spans="10:10" x14ac:dyDescent="0.3">
      <c r="J122459"/>
    </row>
    <row r="122460" spans="10:10" x14ac:dyDescent="0.3">
      <c r="J122460"/>
    </row>
    <row r="122461" spans="10:10" x14ac:dyDescent="0.3">
      <c r="J122461"/>
    </row>
    <row r="122462" spans="10:10" x14ac:dyDescent="0.3">
      <c r="J122462"/>
    </row>
    <row r="122463" spans="10:10" x14ac:dyDescent="0.3">
      <c r="J122463"/>
    </row>
    <row r="122464" spans="10:10" x14ac:dyDescent="0.3">
      <c r="J122464"/>
    </row>
    <row r="122465" spans="10:10" x14ac:dyDescent="0.3">
      <c r="J122465"/>
    </row>
    <row r="122466" spans="10:10" x14ac:dyDescent="0.3">
      <c r="J122466"/>
    </row>
    <row r="122467" spans="10:10" x14ac:dyDescent="0.3">
      <c r="J122467"/>
    </row>
    <row r="122468" spans="10:10" x14ac:dyDescent="0.3">
      <c r="J122468"/>
    </row>
    <row r="122469" spans="10:10" x14ac:dyDescent="0.3">
      <c r="J122469"/>
    </row>
    <row r="122470" spans="10:10" x14ac:dyDescent="0.3">
      <c r="J122470"/>
    </row>
    <row r="122471" spans="10:10" x14ac:dyDescent="0.3">
      <c r="J122471"/>
    </row>
    <row r="122472" spans="10:10" x14ac:dyDescent="0.3">
      <c r="J122472"/>
    </row>
    <row r="122473" spans="10:10" x14ac:dyDescent="0.3">
      <c r="J122473"/>
    </row>
    <row r="122474" spans="10:10" x14ac:dyDescent="0.3">
      <c r="J122474"/>
    </row>
    <row r="122475" spans="10:10" x14ac:dyDescent="0.3">
      <c r="J122475"/>
    </row>
    <row r="122476" spans="10:10" x14ac:dyDescent="0.3">
      <c r="J122476"/>
    </row>
    <row r="122477" spans="10:10" x14ac:dyDescent="0.3">
      <c r="J122477"/>
    </row>
    <row r="122478" spans="10:10" x14ac:dyDescent="0.3">
      <c r="J122478"/>
    </row>
    <row r="122479" spans="10:10" x14ac:dyDescent="0.3">
      <c r="J122479"/>
    </row>
    <row r="122480" spans="10:10" x14ac:dyDescent="0.3">
      <c r="J122480"/>
    </row>
    <row r="122481" spans="10:10" x14ac:dyDescent="0.3">
      <c r="J122481"/>
    </row>
    <row r="122482" spans="10:10" x14ac:dyDescent="0.3">
      <c r="J122482"/>
    </row>
    <row r="122483" spans="10:10" x14ac:dyDescent="0.3">
      <c r="J122483"/>
    </row>
    <row r="122484" spans="10:10" x14ac:dyDescent="0.3">
      <c r="J122484"/>
    </row>
    <row r="122485" spans="10:10" x14ac:dyDescent="0.3">
      <c r="J122485"/>
    </row>
    <row r="122486" spans="10:10" x14ac:dyDescent="0.3">
      <c r="J122486"/>
    </row>
    <row r="122487" spans="10:10" x14ac:dyDescent="0.3">
      <c r="J122487"/>
    </row>
    <row r="122488" spans="10:10" x14ac:dyDescent="0.3">
      <c r="J122488"/>
    </row>
    <row r="122489" spans="10:10" x14ac:dyDescent="0.3">
      <c r="J122489"/>
    </row>
    <row r="122490" spans="10:10" x14ac:dyDescent="0.3">
      <c r="J122490"/>
    </row>
    <row r="122491" spans="10:10" x14ac:dyDescent="0.3">
      <c r="J122491"/>
    </row>
    <row r="122492" spans="10:10" x14ac:dyDescent="0.3">
      <c r="J122492"/>
    </row>
    <row r="122493" spans="10:10" x14ac:dyDescent="0.3">
      <c r="J122493"/>
    </row>
    <row r="122494" spans="10:10" x14ac:dyDescent="0.3">
      <c r="J122494"/>
    </row>
    <row r="122495" spans="10:10" x14ac:dyDescent="0.3">
      <c r="J122495"/>
    </row>
    <row r="122496" spans="10:10" x14ac:dyDescent="0.3">
      <c r="J122496"/>
    </row>
    <row r="122497" spans="10:10" x14ac:dyDescent="0.3">
      <c r="J122497"/>
    </row>
    <row r="122498" spans="10:10" x14ac:dyDescent="0.3">
      <c r="J122498"/>
    </row>
    <row r="122499" spans="10:10" x14ac:dyDescent="0.3">
      <c r="J122499"/>
    </row>
    <row r="122500" spans="10:10" x14ac:dyDescent="0.3">
      <c r="J122500"/>
    </row>
    <row r="122501" spans="10:10" x14ac:dyDescent="0.3">
      <c r="J122501"/>
    </row>
    <row r="122502" spans="10:10" x14ac:dyDescent="0.3">
      <c r="J122502"/>
    </row>
    <row r="122503" spans="10:10" x14ac:dyDescent="0.3">
      <c r="J122503"/>
    </row>
    <row r="122504" spans="10:10" x14ac:dyDescent="0.3">
      <c r="J122504"/>
    </row>
    <row r="122505" spans="10:10" x14ac:dyDescent="0.3">
      <c r="J122505"/>
    </row>
    <row r="122506" spans="10:10" x14ac:dyDescent="0.3">
      <c r="J122506"/>
    </row>
    <row r="122507" spans="10:10" x14ac:dyDescent="0.3">
      <c r="J122507"/>
    </row>
    <row r="122508" spans="10:10" x14ac:dyDescent="0.3">
      <c r="J122508"/>
    </row>
    <row r="122509" spans="10:10" x14ac:dyDescent="0.3">
      <c r="J122509"/>
    </row>
    <row r="122510" spans="10:10" x14ac:dyDescent="0.3">
      <c r="J122510"/>
    </row>
    <row r="122511" spans="10:10" x14ac:dyDescent="0.3">
      <c r="J122511"/>
    </row>
    <row r="122512" spans="10:10" x14ac:dyDescent="0.3">
      <c r="J122512"/>
    </row>
    <row r="122513" spans="10:10" x14ac:dyDescent="0.3">
      <c r="J122513"/>
    </row>
    <row r="122514" spans="10:10" x14ac:dyDescent="0.3">
      <c r="J122514"/>
    </row>
    <row r="122515" spans="10:10" x14ac:dyDescent="0.3">
      <c r="J122515"/>
    </row>
    <row r="122516" spans="10:10" x14ac:dyDescent="0.3">
      <c r="J122516"/>
    </row>
    <row r="122517" spans="10:10" x14ac:dyDescent="0.3">
      <c r="J122517"/>
    </row>
    <row r="122518" spans="10:10" x14ac:dyDescent="0.3">
      <c r="J122518"/>
    </row>
    <row r="122519" spans="10:10" x14ac:dyDescent="0.3">
      <c r="J122519"/>
    </row>
    <row r="122520" spans="10:10" x14ac:dyDescent="0.3">
      <c r="J122520"/>
    </row>
    <row r="122521" spans="10:10" x14ac:dyDescent="0.3">
      <c r="J122521"/>
    </row>
    <row r="122522" spans="10:10" x14ac:dyDescent="0.3">
      <c r="J122522"/>
    </row>
    <row r="122523" spans="10:10" x14ac:dyDescent="0.3">
      <c r="J122523"/>
    </row>
    <row r="122524" spans="10:10" x14ac:dyDescent="0.3">
      <c r="J122524"/>
    </row>
    <row r="122525" spans="10:10" x14ac:dyDescent="0.3">
      <c r="J122525"/>
    </row>
    <row r="122526" spans="10:10" x14ac:dyDescent="0.3">
      <c r="J122526"/>
    </row>
    <row r="122527" spans="10:10" x14ac:dyDescent="0.3">
      <c r="J122527"/>
    </row>
    <row r="122528" spans="10:10" x14ac:dyDescent="0.3">
      <c r="J122528"/>
    </row>
    <row r="122529" spans="10:10" x14ac:dyDescent="0.3">
      <c r="J122529"/>
    </row>
    <row r="122530" spans="10:10" x14ac:dyDescent="0.3">
      <c r="J122530"/>
    </row>
    <row r="122531" spans="10:10" x14ac:dyDescent="0.3">
      <c r="J122531"/>
    </row>
    <row r="122532" spans="10:10" x14ac:dyDescent="0.3">
      <c r="J122532"/>
    </row>
    <row r="122533" spans="10:10" x14ac:dyDescent="0.3">
      <c r="J122533"/>
    </row>
    <row r="122534" spans="10:10" x14ac:dyDescent="0.3">
      <c r="J122534"/>
    </row>
    <row r="122535" spans="10:10" x14ac:dyDescent="0.3">
      <c r="J122535"/>
    </row>
    <row r="122536" spans="10:10" x14ac:dyDescent="0.3">
      <c r="J122536"/>
    </row>
    <row r="122537" spans="10:10" x14ac:dyDescent="0.3">
      <c r="J122537"/>
    </row>
    <row r="122538" spans="10:10" x14ac:dyDescent="0.3">
      <c r="J122538"/>
    </row>
    <row r="122539" spans="10:10" x14ac:dyDescent="0.3">
      <c r="J122539"/>
    </row>
    <row r="122540" spans="10:10" x14ac:dyDescent="0.3">
      <c r="J122540"/>
    </row>
    <row r="122541" spans="10:10" x14ac:dyDescent="0.3">
      <c r="J122541"/>
    </row>
    <row r="122542" spans="10:10" x14ac:dyDescent="0.3">
      <c r="J122542"/>
    </row>
    <row r="122543" spans="10:10" x14ac:dyDescent="0.3">
      <c r="J122543"/>
    </row>
    <row r="122544" spans="10:10" x14ac:dyDescent="0.3">
      <c r="J122544"/>
    </row>
    <row r="122545" spans="10:10" x14ac:dyDescent="0.3">
      <c r="J122545"/>
    </row>
    <row r="122546" spans="10:10" x14ac:dyDescent="0.3">
      <c r="J122546"/>
    </row>
    <row r="122547" spans="10:10" x14ac:dyDescent="0.3">
      <c r="J122547"/>
    </row>
    <row r="122548" spans="10:10" x14ac:dyDescent="0.3">
      <c r="J122548"/>
    </row>
    <row r="122549" spans="10:10" x14ac:dyDescent="0.3">
      <c r="J122549"/>
    </row>
    <row r="122550" spans="10:10" x14ac:dyDescent="0.3">
      <c r="J122550"/>
    </row>
    <row r="122551" spans="10:10" x14ac:dyDescent="0.3">
      <c r="J122551"/>
    </row>
    <row r="122552" spans="10:10" x14ac:dyDescent="0.3">
      <c r="J122552"/>
    </row>
    <row r="122553" spans="10:10" x14ac:dyDescent="0.3">
      <c r="J122553"/>
    </row>
    <row r="122554" spans="10:10" x14ac:dyDescent="0.3">
      <c r="J122554"/>
    </row>
    <row r="122555" spans="10:10" x14ac:dyDescent="0.3">
      <c r="J122555"/>
    </row>
    <row r="122556" spans="10:10" x14ac:dyDescent="0.3">
      <c r="J122556"/>
    </row>
    <row r="122557" spans="10:10" x14ac:dyDescent="0.3">
      <c r="J122557"/>
    </row>
    <row r="122558" spans="10:10" x14ac:dyDescent="0.3">
      <c r="J122558"/>
    </row>
    <row r="122559" spans="10:10" x14ac:dyDescent="0.3">
      <c r="J122559"/>
    </row>
    <row r="122560" spans="10:10" x14ac:dyDescent="0.3">
      <c r="J122560"/>
    </row>
    <row r="122561" spans="10:10" x14ac:dyDescent="0.3">
      <c r="J122561"/>
    </row>
    <row r="122562" spans="10:10" x14ac:dyDescent="0.3">
      <c r="J122562"/>
    </row>
    <row r="122563" spans="10:10" x14ac:dyDescent="0.3">
      <c r="J122563"/>
    </row>
    <row r="122564" spans="10:10" x14ac:dyDescent="0.3">
      <c r="J122564"/>
    </row>
    <row r="122565" spans="10:10" x14ac:dyDescent="0.3">
      <c r="J122565"/>
    </row>
    <row r="122566" spans="10:10" x14ac:dyDescent="0.3">
      <c r="J122566"/>
    </row>
    <row r="122567" spans="10:10" x14ac:dyDescent="0.3">
      <c r="J122567"/>
    </row>
    <row r="122568" spans="10:10" x14ac:dyDescent="0.3">
      <c r="J122568"/>
    </row>
    <row r="122569" spans="10:10" x14ac:dyDescent="0.3">
      <c r="J122569"/>
    </row>
    <row r="122570" spans="10:10" x14ac:dyDescent="0.3">
      <c r="J122570"/>
    </row>
    <row r="122571" spans="10:10" x14ac:dyDescent="0.3">
      <c r="J122571"/>
    </row>
    <row r="122572" spans="10:10" x14ac:dyDescent="0.3">
      <c r="J122572"/>
    </row>
    <row r="122573" spans="10:10" x14ac:dyDescent="0.3">
      <c r="J122573"/>
    </row>
    <row r="122574" spans="10:10" x14ac:dyDescent="0.3">
      <c r="J122574"/>
    </row>
    <row r="122575" spans="10:10" x14ac:dyDescent="0.3">
      <c r="J122575"/>
    </row>
    <row r="122576" spans="10:10" x14ac:dyDescent="0.3">
      <c r="J122576"/>
    </row>
    <row r="122577" spans="10:10" x14ac:dyDescent="0.3">
      <c r="J122577"/>
    </row>
    <row r="122578" spans="10:10" x14ac:dyDescent="0.3">
      <c r="J122578"/>
    </row>
    <row r="122579" spans="10:10" x14ac:dyDescent="0.3">
      <c r="J122579"/>
    </row>
    <row r="122580" spans="10:10" x14ac:dyDescent="0.3">
      <c r="J122580"/>
    </row>
    <row r="122581" spans="10:10" x14ac:dyDescent="0.3">
      <c r="J122581"/>
    </row>
    <row r="122582" spans="10:10" x14ac:dyDescent="0.3">
      <c r="J122582"/>
    </row>
    <row r="122583" spans="10:10" x14ac:dyDescent="0.3">
      <c r="J122583"/>
    </row>
    <row r="122584" spans="10:10" x14ac:dyDescent="0.3">
      <c r="J122584"/>
    </row>
    <row r="122585" spans="10:10" x14ac:dyDescent="0.3">
      <c r="J122585"/>
    </row>
    <row r="122586" spans="10:10" x14ac:dyDescent="0.3">
      <c r="J122586"/>
    </row>
    <row r="122587" spans="10:10" x14ac:dyDescent="0.3">
      <c r="J122587"/>
    </row>
    <row r="122588" spans="10:10" x14ac:dyDescent="0.3">
      <c r="J122588"/>
    </row>
    <row r="122589" spans="10:10" x14ac:dyDescent="0.3">
      <c r="J122589"/>
    </row>
    <row r="122590" spans="10:10" x14ac:dyDescent="0.3">
      <c r="J122590"/>
    </row>
    <row r="122591" spans="10:10" x14ac:dyDescent="0.3">
      <c r="J122591"/>
    </row>
    <row r="122592" spans="10:10" x14ac:dyDescent="0.3">
      <c r="J122592"/>
    </row>
    <row r="122593" spans="10:10" x14ac:dyDescent="0.3">
      <c r="J122593"/>
    </row>
    <row r="122594" spans="10:10" x14ac:dyDescent="0.3">
      <c r="J122594"/>
    </row>
    <row r="122595" spans="10:10" x14ac:dyDescent="0.3">
      <c r="J122595"/>
    </row>
    <row r="122596" spans="10:10" x14ac:dyDescent="0.3">
      <c r="J122596"/>
    </row>
    <row r="122597" spans="10:10" x14ac:dyDescent="0.3">
      <c r="J122597"/>
    </row>
    <row r="122598" spans="10:10" x14ac:dyDescent="0.3">
      <c r="J122598"/>
    </row>
    <row r="122599" spans="10:10" x14ac:dyDescent="0.3">
      <c r="J122599"/>
    </row>
    <row r="122600" spans="10:10" x14ac:dyDescent="0.3">
      <c r="J122600"/>
    </row>
    <row r="122601" spans="10:10" x14ac:dyDescent="0.3">
      <c r="J122601"/>
    </row>
    <row r="122602" spans="10:10" x14ac:dyDescent="0.3">
      <c r="J122602"/>
    </row>
    <row r="122603" spans="10:10" x14ac:dyDescent="0.3">
      <c r="J122603"/>
    </row>
    <row r="122604" spans="10:10" x14ac:dyDescent="0.3">
      <c r="J122604"/>
    </row>
    <row r="122605" spans="10:10" x14ac:dyDescent="0.3">
      <c r="J122605"/>
    </row>
    <row r="122606" spans="10:10" x14ac:dyDescent="0.3">
      <c r="J122606"/>
    </row>
    <row r="122607" spans="10:10" x14ac:dyDescent="0.3">
      <c r="J122607"/>
    </row>
    <row r="122608" spans="10:10" x14ac:dyDescent="0.3">
      <c r="J122608"/>
    </row>
    <row r="122609" spans="10:10" x14ac:dyDescent="0.3">
      <c r="J122609"/>
    </row>
    <row r="122610" spans="10:10" x14ac:dyDescent="0.3">
      <c r="J122610"/>
    </row>
    <row r="122611" spans="10:10" x14ac:dyDescent="0.3">
      <c r="J122611"/>
    </row>
    <row r="122612" spans="10:10" x14ac:dyDescent="0.3">
      <c r="J122612"/>
    </row>
    <row r="122613" spans="10:10" x14ac:dyDescent="0.3">
      <c r="J122613"/>
    </row>
    <row r="122614" spans="10:10" x14ac:dyDescent="0.3">
      <c r="J122614"/>
    </row>
    <row r="122615" spans="10:10" x14ac:dyDescent="0.3">
      <c r="J122615"/>
    </row>
    <row r="122616" spans="10:10" x14ac:dyDescent="0.3">
      <c r="J122616"/>
    </row>
    <row r="122617" spans="10:10" x14ac:dyDescent="0.3">
      <c r="J122617"/>
    </row>
    <row r="122618" spans="10:10" x14ac:dyDescent="0.3">
      <c r="J122618"/>
    </row>
    <row r="122619" spans="10:10" x14ac:dyDescent="0.3">
      <c r="J122619"/>
    </row>
    <row r="122620" spans="10:10" x14ac:dyDescent="0.3">
      <c r="J122620"/>
    </row>
    <row r="122621" spans="10:10" x14ac:dyDescent="0.3">
      <c r="J122621"/>
    </row>
    <row r="122622" spans="10:10" x14ac:dyDescent="0.3">
      <c r="J122622"/>
    </row>
    <row r="122623" spans="10:10" x14ac:dyDescent="0.3">
      <c r="J122623"/>
    </row>
    <row r="122624" spans="10:10" x14ac:dyDescent="0.3">
      <c r="J122624"/>
    </row>
    <row r="122625" spans="10:10" x14ac:dyDescent="0.3">
      <c r="J122625"/>
    </row>
    <row r="122626" spans="10:10" x14ac:dyDescent="0.3">
      <c r="J122626"/>
    </row>
    <row r="122627" spans="10:10" x14ac:dyDescent="0.3">
      <c r="J122627"/>
    </row>
    <row r="122628" spans="10:10" x14ac:dyDescent="0.3">
      <c r="J122628"/>
    </row>
    <row r="122629" spans="10:10" x14ac:dyDescent="0.3">
      <c r="J122629"/>
    </row>
    <row r="122630" spans="10:10" x14ac:dyDescent="0.3">
      <c r="J122630"/>
    </row>
    <row r="122631" spans="10:10" x14ac:dyDescent="0.3">
      <c r="J122631"/>
    </row>
    <row r="122632" spans="10:10" x14ac:dyDescent="0.3">
      <c r="J122632"/>
    </row>
    <row r="122633" spans="10:10" x14ac:dyDescent="0.3">
      <c r="J122633"/>
    </row>
    <row r="122634" spans="10:10" x14ac:dyDescent="0.3">
      <c r="J122634"/>
    </row>
    <row r="122635" spans="10:10" x14ac:dyDescent="0.3">
      <c r="J122635"/>
    </row>
    <row r="122636" spans="10:10" x14ac:dyDescent="0.3">
      <c r="J122636"/>
    </row>
    <row r="122637" spans="10:10" x14ac:dyDescent="0.3">
      <c r="J122637"/>
    </row>
    <row r="122638" spans="10:10" x14ac:dyDescent="0.3">
      <c r="J122638"/>
    </row>
    <row r="122639" spans="10:10" x14ac:dyDescent="0.3">
      <c r="J122639"/>
    </row>
    <row r="122640" spans="10:10" x14ac:dyDescent="0.3">
      <c r="J122640"/>
    </row>
    <row r="122641" spans="10:10" x14ac:dyDescent="0.3">
      <c r="J122641"/>
    </row>
    <row r="122642" spans="10:10" x14ac:dyDescent="0.3">
      <c r="J122642"/>
    </row>
    <row r="122643" spans="10:10" x14ac:dyDescent="0.3">
      <c r="J122643"/>
    </row>
    <row r="122644" spans="10:10" x14ac:dyDescent="0.3">
      <c r="J122644"/>
    </row>
    <row r="122645" spans="10:10" x14ac:dyDescent="0.3">
      <c r="J122645"/>
    </row>
    <row r="122646" spans="10:10" x14ac:dyDescent="0.3">
      <c r="J122646"/>
    </row>
    <row r="122647" spans="10:10" x14ac:dyDescent="0.3">
      <c r="J122647"/>
    </row>
    <row r="122648" spans="10:10" x14ac:dyDescent="0.3">
      <c r="J122648"/>
    </row>
    <row r="122649" spans="10:10" x14ac:dyDescent="0.3">
      <c r="J122649"/>
    </row>
    <row r="122650" spans="10:10" x14ac:dyDescent="0.3">
      <c r="J122650"/>
    </row>
    <row r="122651" spans="10:10" x14ac:dyDescent="0.3">
      <c r="J122651"/>
    </row>
    <row r="122652" spans="10:10" x14ac:dyDescent="0.3">
      <c r="J122652"/>
    </row>
    <row r="122653" spans="10:10" x14ac:dyDescent="0.3">
      <c r="J122653"/>
    </row>
    <row r="122654" spans="10:10" x14ac:dyDescent="0.3">
      <c r="J122654"/>
    </row>
    <row r="122655" spans="10:10" x14ac:dyDescent="0.3">
      <c r="J122655"/>
    </row>
    <row r="122656" spans="10:10" x14ac:dyDescent="0.3">
      <c r="J122656"/>
    </row>
    <row r="122657" spans="10:10" x14ac:dyDescent="0.3">
      <c r="J122657"/>
    </row>
    <row r="122658" spans="10:10" x14ac:dyDescent="0.3">
      <c r="J122658"/>
    </row>
    <row r="122659" spans="10:10" x14ac:dyDescent="0.3">
      <c r="J122659"/>
    </row>
    <row r="122660" spans="10:10" x14ac:dyDescent="0.3">
      <c r="J122660"/>
    </row>
    <row r="122661" spans="10:10" x14ac:dyDescent="0.3">
      <c r="J122661"/>
    </row>
    <row r="122662" spans="10:10" x14ac:dyDescent="0.3">
      <c r="J122662"/>
    </row>
    <row r="122663" spans="10:10" x14ac:dyDescent="0.3">
      <c r="J122663"/>
    </row>
    <row r="122664" spans="10:10" x14ac:dyDescent="0.3">
      <c r="J122664"/>
    </row>
    <row r="122665" spans="10:10" x14ac:dyDescent="0.3">
      <c r="J122665"/>
    </row>
    <row r="122666" spans="10:10" x14ac:dyDescent="0.3">
      <c r="J122666"/>
    </row>
    <row r="122667" spans="10:10" x14ac:dyDescent="0.3">
      <c r="J122667"/>
    </row>
    <row r="122668" spans="10:10" x14ac:dyDescent="0.3">
      <c r="J122668"/>
    </row>
    <row r="122669" spans="10:10" x14ac:dyDescent="0.3">
      <c r="J122669"/>
    </row>
    <row r="122670" spans="10:10" x14ac:dyDescent="0.3">
      <c r="J122670"/>
    </row>
    <row r="122671" spans="10:10" x14ac:dyDescent="0.3">
      <c r="J122671"/>
    </row>
    <row r="122672" spans="10:10" x14ac:dyDescent="0.3">
      <c r="J122672"/>
    </row>
    <row r="122673" spans="10:10" x14ac:dyDescent="0.3">
      <c r="J122673"/>
    </row>
    <row r="122674" spans="10:10" x14ac:dyDescent="0.3">
      <c r="J122674"/>
    </row>
    <row r="122675" spans="10:10" x14ac:dyDescent="0.3">
      <c r="J122675"/>
    </row>
    <row r="122676" spans="10:10" x14ac:dyDescent="0.3">
      <c r="J122676"/>
    </row>
    <row r="122677" spans="10:10" x14ac:dyDescent="0.3">
      <c r="J122677"/>
    </row>
    <row r="122678" spans="10:10" x14ac:dyDescent="0.3">
      <c r="J122678"/>
    </row>
    <row r="122679" spans="10:10" x14ac:dyDescent="0.3">
      <c r="J122679"/>
    </row>
    <row r="122680" spans="10:10" x14ac:dyDescent="0.3">
      <c r="J122680"/>
    </row>
    <row r="122681" spans="10:10" x14ac:dyDescent="0.3">
      <c r="J122681"/>
    </row>
    <row r="122682" spans="10:10" x14ac:dyDescent="0.3">
      <c r="J122682"/>
    </row>
    <row r="122683" spans="10:10" x14ac:dyDescent="0.3">
      <c r="J122683"/>
    </row>
    <row r="122684" spans="10:10" x14ac:dyDescent="0.3">
      <c r="J122684"/>
    </row>
    <row r="122685" spans="10:10" x14ac:dyDescent="0.3">
      <c r="J122685"/>
    </row>
    <row r="122686" spans="10:10" x14ac:dyDescent="0.3">
      <c r="J122686"/>
    </row>
    <row r="122687" spans="10:10" x14ac:dyDescent="0.3">
      <c r="J122687"/>
    </row>
    <row r="122688" spans="10:10" x14ac:dyDescent="0.3">
      <c r="J122688"/>
    </row>
    <row r="122689" spans="10:10" x14ac:dyDescent="0.3">
      <c r="J122689"/>
    </row>
    <row r="122690" spans="10:10" x14ac:dyDescent="0.3">
      <c r="J122690"/>
    </row>
    <row r="122691" spans="10:10" x14ac:dyDescent="0.3">
      <c r="J122691"/>
    </row>
    <row r="122692" spans="10:10" x14ac:dyDescent="0.3">
      <c r="J122692"/>
    </row>
    <row r="122693" spans="10:10" x14ac:dyDescent="0.3">
      <c r="J122693"/>
    </row>
    <row r="122694" spans="10:10" x14ac:dyDescent="0.3">
      <c r="J122694"/>
    </row>
    <row r="122695" spans="10:10" x14ac:dyDescent="0.3">
      <c r="J122695"/>
    </row>
    <row r="122696" spans="10:10" x14ac:dyDescent="0.3">
      <c r="J122696"/>
    </row>
    <row r="122697" spans="10:10" x14ac:dyDescent="0.3">
      <c r="J122697"/>
    </row>
    <row r="122698" spans="10:10" x14ac:dyDescent="0.3">
      <c r="J122698"/>
    </row>
    <row r="122699" spans="10:10" x14ac:dyDescent="0.3">
      <c r="J122699"/>
    </row>
    <row r="122700" spans="10:10" x14ac:dyDescent="0.3">
      <c r="J122700"/>
    </row>
    <row r="122701" spans="10:10" x14ac:dyDescent="0.3">
      <c r="J122701"/>
    </row>
    <row r="122702" spans="10:10" x14ac:dyDescent="0.3">
      <c r="J122702"/>
    </row>
    <row r="122703" spans="10:10" x14ac:dyDescent="0.3">
      <c r="J122703"/>
    </row>
    <row r="122704" spans="10:10" x14ac:dyDescent="0.3">
      <c r="J122704"/>
    </row>
    <row r="122705" spans="10:10" x14ac:dyDescent="0.3">
      <c r="J122705"/>
    </row>
    <row r="122706" spans="10:10" x14ac:dyDescent="0.3">
      <c r="J122706"/>
    </row>
    <row r="122707" spans="10:10" x14ac:dyDescent="0.3">
      <c r="J122707"/>
    </row>
    <row r="122708" spans="10:10" x14ac:dyDescent="0.3">
      <c r="J122708"/>
    </row>
    <row r="122709" spans="10:10" x14ac:dyDescent="0.3">
      <c r="J122709"/>
    </row>
    <row r="122710" spans="10:10" x14ac:dyDescent="0.3">
      <c r="J122710"/>
    </row>
    <row r="122711" spans="10:10" x14ac:dyDescent="0.3">
      <c r="J122711"/>
    </row>
    <row r="122712" spans="10:10" x14ac:dyDescent="0.3">
      <c r="J122712"/>
    </row>
    <row r="122713" spans="10:10" x14ac:dyDescent="0.3">
      <c r="J122713"/>
    </row>
    <row r="122714" spans="10:10" x14ac:dyDescent="0.3">
      <c r="J122714"/>
    </row>
    <row r="122715" spans="10:10" x14ac:dyDescent="0.3">
      <c r="J122715"/>
    </row>
    <row r="122716" spans="10:10" x14ac:dyDescent="0.3">
      <c r="J122716"/>
    </row>
    <row r="122717" spans="10:10" x14ac:dyDescent="0.3">
      <c r="J122717"/>
    </row>
    <row r="122718" spans="10:10" x14ac:dyDescent="0.3">
      <c r="J122718"/>
    </row>
    <row r="122719" spans="10:10" x14ac:dyDescent="0.3">
      <c r="J122719"/>
    </row>
    <row r="122720" spans="10:10" x14ac:dyDescent="0.3">
      <c r="J122720"/>
    </row>
    <row r="122721" spans="10:10" x14ac:dyDescent="0.3">
      <c r="J122721"/>
    </row>
    <row r="122722" spans="10:10" x14ac:dyDescent="0.3">
      <c r="J122722"/>
    </row>
    <row r="122723" spans="10:10" x14ac:dyDescent="0.3">
      <c r="J122723"/>
    </row>
    <row r="122724" spans="10:10" x14ac:dyDescent="0.3">
      <c r="J122724"/>
    </row>
    <row r="122725" spans="10:10" x14ac:dyDescent="0.3">
      <c r="J122725"/>
    </row>
    <row r="122726" spans="10:10" x14ac:dyDescent="0.3">
      <c r="J122726"/>
    </row>
    <row r="122727" spans="10:10" x14ac:dyDescent="0.3">
      <c r="J122727"/>
    </row>
    <row r="122728" spans="10:10" x14ac:dyDescent="0.3">
      <c r="J122728"/>
    </row>
    <row r="122729" spans="10:10" x14ac:dyDescent="0.3">
      <c r="J122729"/>
    </row>
    <row r="122730" spans="10:10" x14ac:dyDescent="0.3">
      <c r="J122730"/>
    </row>
    <row r="122731" spans="10:10" x14ac:dyDescent="0.3">
      <c r="J122731"/>
    </row>
    <row r="122732" spans="10:10" x14ac:dyDescent="0.3">
      <c r="J122732"/>
    </row>
    <row r="122733" spans="10:10" x14ac:dyDescent="0.3">
      <c r="J122733"/>
    </row>
    <row r="122734" spans="10:10" x14ac:dyDescent="0.3">
      <c r="J122734"/>
    </row>
    <row r="122735" spans="10:10" x14ac:dyDescent="0.3">
      <c r="J122735"/>
    </row>
    <row r="122736" spans="10:10" x14ac:dyDescent="0.3">
      <c r="J122736"/>
    </row>
    <row r="122737" spans="10:10" x14ac:dyDescent="0.3">
      <c r="J122737"/>
    </row>
    <row r="122738" spans="10:10" x14ac:dyDescent="0.3">
      <c r="J122738"/>
    </row>
    <row r="122739" spans="10:10" x14ac:dyDescent="0.3">
      <c r="J122739"/>
    </row>
    <row r="122740" spans="10:10" x14ac:dyDescent="0.3">
      <c r="J122740"/>
    </row>
    <row r="122741" spans="10:10" x14ac:dyDescent="0.3">
      <c r="J122741"/>
    </row>
    <row r="122742" spans="10:10" x14ac:dyDescent="0.3">
      <c r="J122742"/>
    </row>
    <row r="122743" spans="10:10" x14ac:dyDescent="0.3">
      <c r="J122743"/>
    </row>
    <row r="122744" spans="10:10" x14ac:dyDescent="0.3">
      <c r="J122744"/>
    </row>
    <row r="122745" spans="10:10" x14ac:dyDescent="0.3">
      <c r="J122745"/>
    </row>
    <row r="122746" spans="10:10" x14ac:dyDescent="0.3">
      <c r="J122746"/>
    </row>
    <row r="122747" spans="10:10" x14ac:dyDescent="0.3">
      <c r="J122747"/>
    </row>
    <row r="122748" spans="10:10" x14ac:dyDescent="0.3">
      <c r="J122748"/>
    </row>
    <row r="122749" spans="10:10" x14ac:dyDescent="0.3">
      <c r="J122749"/>
    </row>
    <row r="122750" spans="10:10" x14ac:dyDescent="0.3">
      <c r="J122750"/>
    </row>
    <row r="122751" spans="10:10" x14ac:dyDescent="0.3">
      <c r="J122751"/>
    </row>
    <row r="122752" spans="10:10" x14ac:dyDescent="0.3">
      <c r="J122752"/>
    </row>
    <row r="122753" spans="10:10" x14ac:dyDescent="0.3">
      <c r="J122753"/>
    </row>
    <row r="122754" spans="10:10" x14ac:dyDescent="0.3">
      <c r="J122754"/>
    </row>
    <row r="122755" spans="10:10" x14ac:dyDescent="0.3">
      <c r="J122755"/>
    </row>
    <row r="122756" spans="10:10" x14ac:dyDescent="0.3">
      <c r="J122756"/>
    </row>
    <row r="122757" spans="10:10" x14ac:dyDescent="0.3">
      <c r="J122757"/>
    </row>
    <row r="122758" spans="10:10" x14ac:dyDescent="0.3">
      <c r="J122758"/>
    </row>
    <row r="122759" spans="10:10" x14ac:dyDescent="0.3">
      <c r="J122759"/>
    </row>
    <row r="122760" spans="10:10" x14ac:dyDescent="0.3">
      <c r="J122760"/>
    </row>
    <row r="122761" spans="10:10" x14ac:dyDescent="0.3">
      <c r="J122761"/>
    </row>
    <row r="122762" spans="10:10" x14ac:dyDescent="0.3">
      <c r="J122762"/>
    </row>
    <row r="122763" spans="10:10" x14ac:dyDescent="0.3">
      <c r="J122763"/>
    </row>
    <row r="122764" spans="10:10" x14ac:dyDescent="0.3">
      <c r="J122764"/>
    </row>
    <row r="122765" spans="10:10" x14ac:dyDescent="0.3">
      <c r="J122765"/>
    </row>
    <row r="122766" spans="10:10" x14ac:dyDescent="0.3">
      <c r="J122766"/>
    </row>
    <row r="122767" spans="10:10" x14ac:dyDescent="0.3">
      <c r="J122767"/>
    </row>
    <row r="122768" spans="10:10" x14ac:dyDescent="0.3">
      <c r="J122768"/>
    </row>
    <row r="122769" spans="10:10" x14ac:dyDescent="0.3">
      <c r="J122769"/>
    </row>
    <row r="122770" spans="10:10" x14ac:dyDescent="0.3">
      <c r="J122770"/>
    </row>
    <row r="122771" spans="10:10" x14ac:dyDescent="0.3">
      <c r="J122771"/>
    </row>
    <row r="122772" spans="10:10" x14ac:dyDescent="0.3">
      <c r="J122772"/>
    </row>
    <row r="122773" spans="10:10" x14ac:dyDescent="0.3">
      <c r="J122773"/>
    </row>
    <row r="122774" spans="10:10" x14ac:dyDescent="0.3">
      <c r="J122774"/>
    </row>
    <row r="122775" spans="10:10" x14ac:dyDescent="0.3">
      <c r="J122775"/>
    </row>
    <row r="122776" spans="10:10" x14ac:dyDescent="0.3">
      <c r="J122776"/>
    </row>
    <row r="122777" spans="10:10" x14ac:dyDescent="0.3">
      <c r="J122777"/>
    </row>
    <row r="122778" spans="10:10" x14ac:dyDescent="0.3">
      <c r="J122778"/>
    </row>
    <row r="122779" spans="10:10" x14ac:dyDescent="0.3">
      <c r="J122779"/>
    </row>
    <row r="122780" spans="10:10" x14ac:dyDescent="0.3">
      <c r="J122780"/>
    </row>
    <row r="122781" spans="10:10" x14ac:dyDescent="0.3">
      <c r="J122781"/>
    </row>
    <row r="122782" spans="10:10" x14ac:dyDescent="0.3">
      <c r="J122782"/>
    </row>
    <row r="122783" spans="10:10" x14ac:dyDescent="0.3">
      <c r="J122783"/>
    </row>
    <row r="122784" spans="10:10" x14ac:dyDescent="0.3">
      <c r="J122784"/>
    </row>
    <row r="122785" spans="10:10" x14ac:dyDescent="0.3">
      <c r="J122785"/>
    </row>
    <row r="122786" spans="10:10" x14ac:dyDescent="0.3">
      <c r="J122786"/>
    </row>
    <row r="122787" spans="10:10" x14ac:dyDescent="0.3">
      <c r="J122787"/>
    </row>
    <row r="122788" spans="10:10" x14ac:dyDescent="0.3">
      <c r="J122788"/>
    </row>
    <row r="122789" spans="10:10" x14ac:dyDescent="0.3">
      <c r="J122789"/>
    </row>
    <row r="122790" spans="10:10" x14ac:dyDescent="0.3">
      <c r="J122790"/>
    </row>
    <row r="122791" spans="10:10" x14ac:dyDescent="0.3">
      <c r="J122791"/>
    </row>
    <row r="122792" spans="10:10" x14ac:dyDescent="0.3">
      <c r="J122792"/>
    </row>
    <row r="122793" spans="10:10" x14ac:dyDescent="0.3">
      <c r="J122793"/>
    </row>
    <row r="122794" spans="10:10" x14ac:dyDescent="0.3">
      <c r="J122794"/>
    </row>
    <row r="122795" spans="10:10" x14ac:dyDescent="0.3">
      <c r="J122795"/>
    </row>
    <row r="122796" spans="10:10" x14ac:dyDescent="0.3">
      <c r="J122796"/>
    </row>
    <row r="122797" spans="10:10" x14ac:dyDescent="0.3">
      <c r="J122797"/>
    </row>
    <row r="122798" spans="10:10" x14ac:dyDescent="0.3">
      <c r="J122798"/>
    </row>
    <row r="122799" spans="10:10" x14ac:dyDescent="0.3">
      <c r="J122799"/>
    </row>
    <row r="122800" spans="10:10" x14ac:dyDescent="0.3">
      <c r="J122800"/>
    </row>
    <row r="122801" spans="10:10" x14ac:dyDescent="0.3">
      <c r="J122801"/>
    </row>
    <row r="122802" spans="10:10" x14ac:dyDescent="0.3">
      <c r="J122802"/>
    </row>
    <row r="122803" spans="10:10" x14ac:dyDescent="0.3">
      <c r="J122803"/>
    </row>
    <row r="122804" spans="10:10" x14ac:dyDescent="0.3">
      <c r="J122804"/>
    </row>
    <row r="122805" spans="10:10" x14ac:dyDescent="0.3">
      <c r="J122805"/>
    </row>
    <row r="122806" spans="10:10" x14ac:dyDescent="0.3">
      <c r="J122806"/>
    </row>
    <row r="122807" spans="10:10" x14ac:dyDescent="0.3">
      <c r="J122807"/>
    </row>
    <row r="122808" spans="10:10" x14ac:dyDescent="0.3">
      <c r="J122808"/>
    </row>
    <row r="122809" spans="10:10" x14ac:dyDescent="0.3">
      <c r="J122809"/>
    </row>
    <row r="122810" spans="10:10" x14ac:dyDescent="0.3">
      <c r="J122810"/>
    </row>
    <row r="122811" spans="10:10" x14ac:dyDescent="0.3">
      <c r="J122811"/>
    </row>
    <row r="122812" spans="10:10" x14ac:dyDescent="0.3">
      <c r="J122812"/>
    </row>
    <row r="122813" spans="10:10" x14ac:dyDescent="0.3">
      <c r="J122813"/>
    </row>
    <row r="122814" spans="10:10" x14ac:dyDescent="0.3">
      <c r="J122814"/>
    </row>
    <row r="122815" spans="10:10" x14ac:dyDescent="0.3">
      <c r="J122815"/>
    </row>
    <row r="122816" spans="10:10" x14ac:dyDescent="0.3">
      <c r="J122816"/>
    </row>
    <row r="122817" spans="10:10" x14ac:dyDescent="0.3">
      <c r="J122817"/>
    </row>
    <row r="122818" spans="10:10" x14ac:dyDescent="0.3">
      <c r="J122818"/>
    </row>
    <row r="122819" spans="10:10" x14ac:dyDescent="0.3">
      <c r="J122819"/>
    </row>
    <row r="122820" spans="10:10" x14ac:dyDescent="0.3">
      <c r="J122820"/>
    </row>
    <row r="122821" spans="10:10" x14ac:dyDescent="0.3">
      <c r="J122821"/>
    </row>
    <row r="122822" spans="10:10" x14ac:dyDescent="0.3">
      <c r="J122822"/>
    </row>
    <row r="122823" spans="10:10" x14ac:dyDescent="0.3">
      <c r="J122823"/>
    </row>
    <row r="122824" spans="10:10" x14ac:dyDescent="0.3">
      <c r="J122824"/>
    </row>
    <row r="122825" spans="10:10" x14ac:dyDescent="0.3">
      <c r="J122825"/>
    </row>
    <row r="122826" spans="10:10" x14ac:dyDescent="0.3">
      <c r="J122826"/>
    </row>
    <row r="122827" spans="10:10" x14ac:dyDescent="0.3">
      <c r="J122827"/>
    </row>
    <row r="122828" spans="10:10" x14ac:dyDescent="0.3">
      <c r="J122828"/>
    </row>
    <row r="122829" spans="10:10" x14ac:dyDescent="0.3">
      <c r="J122829"/>
    </row>
    <row r="122830" spans="10:10" x14ac:dyDescent="0.3">
      <c r="J122830"/>
    </row>
    <row r="122831" spans="10:10" x14ac:dyDescent="0.3">
      <c r="J122831"/>
    </row>
    <row r="122832" spans="10:10" x14ac:dyDescent="0.3">
      <c r="J122832"/>
    </row>
    <row r="122833" spans="10:10" x14ac:dyDescent="0.3">
      <c r="J122833"/>
    </row>
    <row r="122834" spans="10:10" x14ac:dyDescent="0.3">
      <c r="J122834"/>
    </row>
    <row r="122835" spans="10:10" x14ac:dyDescent="0.3">
      <c r="J122835"/>
    </row>
    <row r="122836" spans="10:10" x14ac:dyDescent="0.3">
      <c r="J122836"/>
    </row>
    <row r="122837" spans="10:10" x14ac:dyDescent="0.3">
      <c r="J122837"/>
    </row>
    <row r="122838" spans="10:10" x14ac:dyDescent="0.3">
      <c r="J122838"/>
    </row>
    <row r="122839" spans="10:10" x14ac:dyDescent="0.3">
      <c r="J122839"/>
    </row>
    <row r="122840" spans="10:10" x14ac:dyDescent="0.3">
      <c r="J122840"/>
    </row>
    <row r="122841" spans="10:10" x14ac:dyDescent="0.3">
      <c r="J122841"/>
    </row>
    <row r="122842" spans="10:10" x14ac:dyDescent="0.3">
      <c r="J122842"/>
    </row>
    <row r="122843" spans="10:10" x14ac:dyDescent="0.3">
      <c r="J122843"/>
    </row>
    <row r="122844" spans="10:10" x14ac:dyDescent="0.3">
      <c r="J122844"/>
    </row>
    <row r="122845" spans="10:10" x14ac:dyDescent="0.3">
      <c r="J122845"/>
    </row>
    <row r="122846" spans="10:10" x14ac:dyDescent="0.3">
      <c r="J122846"/>
    </row>
    <row r="122847" spans="10:10" x14ac:dyDescent="0.3">
      <c r="J122847"/>
    </row>
    <row r="122848" spans="10:10" x14ac:dyDescent="0.3">
      <c r="J122848"/>
    </row>
    <row r="122849" spans="10:10" x14ac:dyDescent="0.3">
      <c r="J122849"/>
    </row>
    <row r="122850" spans="10:10" x14ac:dyDescent="0.3">
      <c r="J122850"/>
    </row>
    <row r="122851" spans="10:10" x14ac:dyDescent="0.3">
      <c r="J122851"/>
    </row>
    <row r="122852" spans="10:10" x14ac:dyDescent="0.3">
      <c r="J122852"/>
    </row>
    <row r="122853" spans="10:10" x14ac:dyDescent="0.3">
      <c r="J122853"/>
    </row>
    <row r="122854" spans="10:10" x14ac:dyDescent="0.3">
      <c r="J122854"/>
    </row>
    <row r="122855" spans="10:10" x14ac:dyDescent="0.3">
      <c r="J122855"/>
    </row>
    <row r="122856" spans="10:10" x14ac:dyDescent="0.3">
      <c r="J122856"/>
    </row>
    <row r="122857" spans="10:10" x14ac:dyDescent="0.3">
      <c r="J122857"/>
    </row>
    <row r="122858" spans="10:10" x14ac:dyDescent="0.3">
      <c r="J122858"/>
    </row>
    <row r="122859" spans="10:10" x14ac:dyDescent="0.3">
      <c r="J122859"/>
    </row>
    <row r="122860" spans="10:10" x14ac:dyDescent="0.3">
      <c r="J122860"/>
    </row>
    <row r="122861" spans="10:10" x14ac:dyDescent="0.3">
      <c r="J122861"/>
    </row>
    <row r="122862" spans="10:10" x14ac:dyDescent="0.3">
      <c r="J122862"/>
    </row>
    <row r="122863" spans="10:10" x14ac:dyDescent="0.3">
      <c r="J122863"/>
    </row>
    <row r="122864" spans="10:10" x14ac:dyDescent="0.3">
      <c r="J122864"/>
    </row>
    <row r="122865" spans="10:10" x14ac:dyDescent="0.3">
      <c r="J122865"/>
    </row>
    <row r="122866" spans="10:10" x14ac:dyDescent="0.3">
      <c r="J122866"/>
    </row>
    <row r="122867" spans="10:10" x14ac:dyDescent="0.3">
      <c r="J122867"/>
    </row>
    <row r="122868" spans="10:10" x14ac:dyDescent="0.3">
      <c r="J122868"/>
    </row>
    <row r="122869" spans="10:10" x14ac:dyDescent="0.3">
      <c r="J122869"/>
    </row>
    <row r="122870" spans="10:10" x14ac:dyDescent="0.3">
      <c r="J122870"/>
    </row>
    <row r="122871" spans="10:10" x14ac:dyDescent="0.3">
      <c r="J122871"/>
    </row>
    <row r="122872" spans="10:10" x14ac:dyDescent="0.3">
      <c r="J122872"/>
    </row>
    <row r="122873" spans="10:10" x14ac:dyDescent="0.3">
      <c r="J122873"/>
    </row>
    <row r="122874" spans="10:10" x14ac:dyDescent="0.3">
      <c r="J122874"/>
    </row>
    <row r="122875" spans="10:10" x14ac:dyDescent="0.3">
      <c r="J122875"/>
    </row>
    <row r="122876" spans="10:10" x14ac:dyDescent="0.3">
      <c r="J122876"/>
    </row>
    <row r="122877" spans="10:10" x14ac:dyDescent="0.3">
      <c r="J122877"/>
    </row>
    <row r="122878" spans="10:10" x14ac:dyDescent="0.3">
      <c r="J122878"/>
    </row>
    <row r="122879" spans="10:10" x14ac:dyDescent="0.3">
      <c r="J122879"/>
    </row>
    <row r="122880" spans="10:10" x14ac:dyDescent="0.3">
      <c r="J122880"/>
    </row>
    <row r="122881" spans="10:10" x14ac:dyDescent="0.3">
      <c r="J122881"/>
    </row>
    <row r="122882" spans="10:10" x14ac:dyDescent="0.3">
      <c r="J122882"/>
    </row>
    <row r="122883" spans="10:10" x14ac:dyDescent="0.3">
      <c r="J122883"/>
    </row>
    <row r="122884" spans="10:10" x14ac:dyDescent="0.3">
      <c r="J122884"/>
    </row>
    <row r="122885" spans="10:10" x14ac:dyDescent="0.3">
      <c r="J122885"/>
    </row>
    <row r="122886" spans="10:10" x14ac:dyDescent="0.3">
      <c r="J122886"/>
    </row>
    <row r="122887" spans="10:10" x14ac:dyDescent="0.3">
      <c r="J122887"/>
    </row>
    <row r="122888" spans="10:10" x14ac:dyDescent="0.3">
      <c r="J122888"/>
    </row>
    <row r="122889" spans="10:10" x14ac:dyDescent="0.3">
      <c r="J122889"/>
    </row>
    <row r="122890" spans="10:10" x14ac:dyDescent="0.3">
      <c r="J122890"/>
    </row>
    <row r="122891" spans="10:10" x14ac:dyDescent="0.3">
      <c r="J122891"/>
    </row>
    <row r="122892" spans="10:10" x14ac:dyDescent="0.3">
      <c r="J122892"/>
    </row>
    <row r="122893" spans="10:10" x14ac:dyDescent="0.3">
      <c r="J122893"/>
    </row>
    <row r="122894" spans="10:10" x14ac:dyDescent="0.3">
      <c r="J122894"/>
    </row>
    <row r="122895" spans="10:10" x14ac:dyDescent="0.3">
      <c r="J122895"/>
    </row>
    <row r="122896" spans="10:10" x14ac:dyDescent="0.3">
      <c r="J122896"/>
    </row>
    <row r="122897" spans="10:10" x14ac:dyDescent="0.3">
      <c r="J122897"/>
    </row>
    <row r="122898" spans="10:10" x14ac:dyDescent="0.3">
      <c r="J122898"/>
    </row>
    <row r="122899" spans="10:10" x14ac:dyDescent="0.3">
      <c r="J122899"/>
    </row>
    <row r="122900" spans="10:10" x14ac:dyDescent="0.3">
      <c r="J122900"/>
    </row>
    <row r="122901" spans="10:10" x14ac:dyDescent="0.3">
      <c r="J122901"/>
    </row>
    <row r="122902" spans="10:10" x14ac:dyDescent="0.3">
      <c r="J122902"/>
    </row>
    <row r="122903" spans="10:10" x14ac:dyDescent="0.3">
      <c r="J122903"/>
    </row>
    <row r="122904" spans="10:10" x14ac:dyDescent="0.3">
      <c r="J122904"/>
    </row>
    <row r="122905" spans="10:10" x14ac:dyDescent="0.3">
      <c r="J122905"/>
    </row>
    <row r="122906" spans="10:10" x14ac:dyDescent="0.3">
      <c r="J122906"/>
    </row>
    <row r="122907" spans="10:10" x14ac:dyDescent="0.3">
      <c r="J122907"/>
    </row>
    <row r="122908" spans="10:10" x14ac:dyDescent="0.3">
      <c r="J122908"/>
    </row>
    <row r="122909" spans="10:10" x14ac:dyDescent="0.3">
      <c r="J122909"/>
    </row>
    <row r="122910" spans="10:10" x14ac:dyDescent="0.3">
      <c r="J122910"/>
    </row>
    <row r="122911" spans="10:10" x14ac:dyDescent="0.3">
      <c r="J122911"/>
    </row>
    <row r="122912" spans="10:10" x14ac:dyDescent="0.3">
      <c r="J122912"/>
    </row>
    <row r="122913" spans="10:10" x14ac:dyDescent="0.3">
      <c r="J122913"/>
    </row>
    <row r="122914" spans="10:10" x14ac:dyDescent="0.3">
      <c r="J122914"/>
    </row>
    <row r="122915" spans="10:10" x14ac:dyDescent="0.3">
      <c r="J122915"/>
    </row>
    <row r="122916" spans="10:10" x14ac:dyDescent="0.3">
      <c r="J122916"/>
    </row>
    <row r="122917" spans="10:10" x14ac:dyDescent="0.3">
      <c r="J122917"/>
    </row>
    <row r="122918" spans="10:10" x14ac:dyDescent="0.3">
      <c r="J122918"/>
    </row>
    <row r="122919" spans="10:10" x14ac:dyDescent="0.3">
      <c r="J122919"/>
    </row>
    <row r="122920" spans="10:10" x14ac:dyDescent="0.3">
      <c r="J122920"/>
    </row>
    <row r="122921" spans="10:10" x14ac:dyDescent="0.3">
      <c r="J122921"/>
    </row>
    <row r="122922" spans="10:10" x14ac:dyDescent="0.3">
      <c r="J122922"/>
    </row>
    <row r="122923" spans="10:10" x14ac:dyDescent="0.3">
      <c r="J122923"/>
    </row>
    <row r="122924" spans="10:10" x14ac:dyDescent="0.3">
      <c r="J122924"/>
    </row>
    <row r="122925" spans="10:10" x14ac:dyDescent="0.3">
      <c r="J122925"/>
    </row>
    <row r="122926" spans="10:10" x14ac:dyDescent="0.3">
      <c r="J122926"/>
    </row>
    <row r="122927" spans="10:10" x14ac:dyDescent="0.3">
      <c r="J122927"/>
    </row>
    <row r="122928" spans="10:10" x14ac:dyDescent="0.3">
      <c r="J122928"/>
    </row>
    <row r="122929" spans="10:10" x14ac:dyDescent="0.3">
      <c r="J122929"/>
    </row>
    <row r="122930" spans="10:10" x14ac:dyDescent="0.3">
      <c r="J122930"/>
    </row>
    <row r="122931" spans="10:10" x14ac:dyDescent="0.3">
      <c r="J122931"/>
    </row>
    <row r="122932" spans="10:10" x14ac:dyDescent="0.3">
      <c r="J122932"/>
    </row>
    <row r="122933" spans="10:10" x14ac:dyDescent="0.3">
      <c r="J122933"/>
    </row>
    <row r="122934" spans="10:10" x14ac:dyDescent="0.3">
      <c r="J122934"/>
    </row>
    <row r="122935" spans="10:10" x14ac:dyDescent="0.3">
      <c r="J122935"/>
    </row>
    <row r="122936" spans="10:10" x14ac:dyDescent="0.3">
      <c r="J122936"/>
    </row>
    <row r="122937" spans="10:10" x14ac:dyDescent="0.3">
      <c r="J122937"/>
    </row>
    <row r="122938" spans="10:10" x14ac:dyDescent="0.3">
      <c r="J122938"/>
    </row>
    <row r="122939" spans="10:10" x14ac:dyDescent="0.3">
      <c r="J122939"/>
    </row>
    <row r="122940" spans="10:10" x14ac:dyDescent="0.3">
      <c r="J122940"/>
    </row>
    <row r="122941" spans="10:10" x14ac:dyDescent="0.3">
      <c r="J122941"/>
    </row>
    <row r="122942" spans="10:10" x14ac:dyDescent="0.3">
      <c r="J122942"/>
    </row>
    <row r="122943" spans="10:10" x14ac:dyDescent="0.3">
      <c r="J122943"/>
    </row>
    <row r="122944" spans="10:10" x14ac:dyDescent="0.3">
      <c r="J122944"/>
    </row>
    <row r="122945" spans="10:10" x14ac:dyDescent="0.3">
      <c r="J122945"/>
    </row>
    <row r="122946" spans="10:10" x14ac:dyDescent="0.3">
      <c r="J122946"/>
    </row>
    <row r="122947" spans="10:10" x14ac:dyDescent="0.3">
      <c r="J122947"/>
    </row>
    <row r="122948" spans="10:10" x14ac:dyDescent="0.3">
      <c r="J122948"/>
    </row>
    <row r="122949" spans="10:10" x14ac:dyDescent="0.3">
      <c r="J122949"/>
    </row>
    <row r="122950" spans="10:10" x14ac:dyDescent="0.3">
      <c r="J122950"/>
    </row>
    <row r="122951" spans="10:10" x14ac:dyDescent="0.3">
      <c r="J122951"/>
    </row>
    <row r="122952" spans="10:10" x14ac:dyDescent="0.3">
      <c r="J122952"/>
    </row>
    <row r="122953" spans="10:10" x14ac:dyDescent="0.3">
      <c r="J122953"/>
    </row>
    <row r="122954" spans="10:10" x14ac:dyDescent="0.3">
      <c r="J122954"/>
    </row>
    <row r="122955" spans="10:10" x14ac:dyDescent="0.3">
      <c r="J122955"/>
    </row>
    <row r="122956" spans="10:10" x14ac:dyDescent="0.3">
      <c r="J122956"/>
    </row>
    <row r="122957" spans="10:10" x14ac:dyDescent="0.3">
      <c r="J122957"/>
    </row>
    <row r="122958" spans="10:10" x14ac:dyDescent="0.3">
      <c r="J122958"/>
    </row>
    <row r="122959" spans="10:10" x14ac:dyDescent="0.3">
      <c r="J122959"/>
    </row>
    <row r="122960" spans="10:10" x14ac:dyDescent="0.3">
      <c r="J122960"/>
    </row>
    <row r="122961" spans="10:10" x14ac:dyDescent="0.3">
      <c r="J122961"/>
    </row>
    <row r="122962" spans="10:10" x14ac:dyDescent="0.3">
      <c r="J122962"/>
    </row>
    <row r="122963" spans="10:10" x14ac:dyDescent="0.3">
      <c r="J122963"/>
    </row>
    <row r="122964" spans="10:10" x14ac:dyDescent="0.3">
      <c r="J122964"/>
    </row>
    <row r="122965" spans="10:10" x14ac:dyDescent="0.3">
      <c r="J122965"/>
    </row>
    <row r="122966" spans="10:10" x14ac:dyDescent="0.3">
      <c r="J122966"/>
    </row>
    <row r="122967" spans="10:10" x14ac:dyDescent="0.3">
      <c r="J122967"/>
    </row>
    <row r="122968" spans="10:10" x14ac:dyDescent="0.3">
      <c r="J122968"/>
    </row>
    <row r="122969" spans="10:10" x14ac:dyDescent="0.3">
      <c r="J122969"/>
    </row>
    <row r="122970" spans="10:10" x14ac:dyDescent="0.3">
      <c r="J122970"/>
    </row>
    <row r="122971" spans="10:10" x14ac:dyDescent="0.3">
      <c r="J122971"/>
    </row>
    <row r="122972" spans="10:10" x14ac:dyDescent="0.3">
      <c r="J122972"/>
    </row>
    <row r="122973" spans="10:10" x14ac:dyDescent="0.3">
      <c r="J122973"/>
    </row>
    <row r="122974" spans="10:10" x14ac:dyDescent="0.3">
      <c r="J122974"/>
    </row>
    <row r="122975" spans="10:10" x14ac:dyDescent="0.3">
      <c r="J122975"/>
    </row>
    <row r="122976" spans="10:10" x14ac:dyDescent="0.3">
      <c r="J122976"/>
    </row>
    <row r="122977" spans="10:10" x14ac:dyDescent="0.3">
      <c r="J122977"/>
    </row>
    <row r="122978" spans="10:10" x14ac:dyDescent="0.3">
      <c r="J122978"/>
    </row>
    <row r="122979" spans="10:10" x14ac:dyDescent="0.3">
      <c r="J122979"/>
    </row>
    <row r="122980" spans="10:10" x14ac:dyDescent="0.3">
      <c r="J122980"/>
    </row>
    <row r="122981" spans="10:10" x14ac:dyDescent="0.3">
      <c r="J122981"/>
    </row>
    <row r="122982" spans="10:10" x14ac:dyDescent="0.3">
      <c r="J122982"/>
    </row>
    <row r="122983" spans="10:10" x14ac:dyDescent="0.3">
      <c r="J122983"/>
    </row>
    <row r="122984" spans="10:10" x14ac:dyDescent="0.3">
      <c r="J122984"/>
    </row>
    <row r="122985" spans="10:10" x14ac:dyDescent="0.3">
      <c r="J122985"/>
    </row>
    <row r="122986" spans="10:10" x14ac:dyDescent="0.3">
      <c r="J122986"/>
    </row>
    <row r="122987" spans="10:10" x14ac:dyDescent="0.3">
      <c r="J122987"/>
    </row>
    <row r="122988" spans="10:10" x14ac:dyDescent="0.3">
      <c r="J122988"/>
    </row>
    <row r="122989" spans="10:10" x14ac:dyDescent="0.3">
      <c r="J122989"/>
    </row>
    <row r="122990" spans="10:10" x14ac:dyDescent="0.3">
      <c r="J122990"/>
    </row>
    <row r="122991" spans="10:10" x14ac:dyDescent="0.3">
      <c r="J122991"/>
    </row>
    <row r="122992" spans="10:10" x14ac:dyDescent="0.3">
      <c r="J122992"/>
    </row>
    <row r="122993" spans="10:10" x14ac:dyDescent="0.3">
      <c r="J122993"/>
    </row>
    <row r="122994" spans="10:10" x14ac:dyDescent="0.3">
      <c r="J122994"/>
    </row>
    <row r="122995" spans="10:10" x14ac:dyDescent="0.3">
      <c r="J122995"/>
    </row>
    <row r="122996" spans="10:10" x14ac:dyDescent="0.3">
      <c r="J122996"/>
    </row>
    <row r="122997" spans="10:10" x14ac:dyDescent="0.3">
      <c r="J122997"/>
    </row>
    <row r="122998" spans="10:10" x14ac:dyDescent="0.3">
      <c r="J122998"/>
    </row>
    <row r="122999" spans="10:10" x14ac:dyDescent="0.3">
      <c r="J122999"/>
    </row>
    <row r="123000" spans="10:10" x14ac:dyDescent="0.3">
      <c r="J123000"/>
    </row>
    <row r="123001" spans="10:10" x14ac:dyDescent="0.3">
      <c r="J123001"/>
    </row>
    <row r="123002" spans="10:10" x14ac:dyDescent="0.3">
      <c r="J123002"/>
    </row>
    <row r="123003" spans="10:10" x14ac:dyDescent="0.3">
      <c r="J123003"/>
    </row>
    <row r="123004" spans="10:10" x14ac:dyDescent="0.3">
      <c r="J123004"/>
    </row>
    <row r="123005" spans="10:10" x14ac:dyDescent="0.3">
      <c r="J123005"/>
    </row>
    <row r="123006" spans="10:10" x14ac:dyDescent="0.3">
      <c r="J123006"/>
    </row>
    <row r="123007" spans="10:10" x14ac:dyDescent="0.3">
      <c r="J123007"/>
    </row>
    <row r="123008" spans="10:10" x14ac:dyDescent="0.3">
      <c r="J123008"/>
    </row>
    <row r="123009" spans="10:10" x14ac:dyDescent="0.3">
      <c r="J123009"/>
    </row>
    <row r="123010" spans="10:10" x14ac:dyDescent="0.3">
      <c r="J123010"/>
    </row>
    <row r="123011" spans="10:10" x14ac:dyDescent="0.3">
      <c r="J123011"/>
    </row>
    <row r="123012" spans="10:10" x14ac:dyDescent="0.3">
      <c r="J123012"/>
    </row>
    <row r="123013" spans="10:10" x14ac:dyDescent="0.3">
      <c r="J123013"/>
    </row>
    <row r="123014" spans="10:10" x14ac:dyDescent="0.3">
      <c r="J123014"/>
    </row>
    <row r="123015" spans="10:10" x14ac:dyDescent="0.3">
      <c r="J123015"/>
    </row>
    <row r="123016" spans="10:10" x14ac:dyDescent="0.3">
      <c r="J123016"/>
    </row>
    <row r="123017" spans="10:10" x14ac:dyDescent="0.3">
      <c r="J123017"/>
    </row>
    <row r="123018" spans="10:10" x14ac:dyDescent="0.3">
      <c r="J123018"/>
    </row>
    <row r="123019" spans="10:10" x14ac:dyDescent="0.3">
      <c r="J123019"/>
    </row>
    <row r="123020" spans="10:10" x14ac:dyDescent="0.3">
      <c r="J123020"/>
    </row>
    <row r="123021" spans="10:10" x14ac:dyDescent="0.3">
      <c r="J123021"/>
    </row>
    <row r="123022" spans="10:10" x14ac:dyDescent="0.3">
      <c r="J123022"/>
    </row>
    <row r="123023" spans="10:10" x14ac:dyDescent="0.3">
      <c r="J123023"/>
    </row>
    <row r="123024" spans="10:10" x14ac:dyDescent="0.3">
      <c r="J123024"/>
    </row>
    <row r="123025" spans="10:10" x14ac:dyDescent="0.3">
      <c r="J123025"/>
    </row>
    <row r="123026" spans="10:10" x14ac:dyDescent="0.3">
      <c r="J123026"/>
    </row>
    <row r="123027" spans="10:10" x14ac:dyDescent="0.3">
      <c r="J123027"/>
    </row>
    <row r="123028" spans="10:10" x14ac:dyDescent="0.3">
      <c r="J123028"/>
    </row>
    <row r="123029" spans="10:10" x14ac:dyDescent="0.3">
      <c r="J123029"/>
    </row>
    <row r="123030" spans="10:10" x14ac:dyDescent="0.3">
      <c r="J123030"/>
    </row>
    <row r="123031" spans="10:10" x14ac:dyDescent="0.3">
      <c r="J123031"/>
    </row>
    <row r="123032" spans="10:10" x14ac:dyDescent="0.3">
      <c r="J123032"/>
    </row>
    <row r="123033" spans="10:10" x14ac:dyDescent="0.3">
      <c r="J123033"/>
    </row>
    <row r="123034" spans="10:10" x14ac:dyDescent="0.3">
      <c r="J123034"/>
    </row>
    <row r="123035" spans="10:10" x14ac:dyDescent="0.3">
      <c r="J123035"/>
    </row>
    <row r="123036" spans="10:10" x14ac:dyDescent="0.3">
      <c r="J123036"/>
    </row>
    <row r="123037" spans="10:10" x14ac:dyDescent="0.3">
      <c r="J123037"/>
    </row>
    <row r="123038" spans="10:10" x14ac:dyDescent="0.3">
      <c r="J123038"/>
    </row>
    <row r="123039" spans="10:10" x14ac:dyDescent="0.3">
      <c r="J123039"/>
    </row>
    <row r="123040" spans="10:10" x14ac:dyDescent="0.3">
      <c r="J123040"/>
    </row>
    <row r="123041" spans="10:10" x14ac:dyDescent="0.3">
      <c r="J123041"/>
    </row>
    <row r="123042" spans="10:10" x14ac:dyDescent="0.3">
      <c r="J123042"/>
    </row>
    <row r="123043" spans="10:10" x14ac:dyDescent="0.3">
      <c r="J123043"/>
    </row>
    <row r="123044" spans="10:10" x14ac:dyDescent="0.3">
      <c r="J123044"/>
    </row>
    <row r="123045" spans="10:10" x14ac:dyDescent="0.3">
      <c r="J123045"/>
    </row>
    <row r="123046" spans="10:10" x14ac:dyDescent="0.3">
      <c r="J123046"/>
    </row>
    <row r="123047" spans="10:10" x14ac:dyDescent="0.3">
      <c r="J123047"/>
    </row>
    <row r="123048" spans="10:10" x14ac:dyDescent="0.3">
      <c r="J123048"/>
    </row>
    <row r="123049" spans="10:10" x14ac:dyDescent="0.3">
      <c r="J123049"/>
    </row>
    <row r="123050" spans="10:10" x14ac:dyDescent="0.3">
      <c r="J123050"/>
    </row>
    <row r="123051" spans="10:10" x14ac:dyDescent="0.3">
      <c r="J123051"/>
    </row>
    <row r="123052" spans="10:10" x14ac:dyDescent="0.3">
      <c r="J123052"/>
    </row>
    <row r="123053" spans="10:10" x14ac:dyDescent="0.3">
      <c r="J123053"/>
    </row>
    <row r="123054" spans="10:10" x14ac:dyDescent="0.3">
      <c r="J123054"/>
    </row>
    <row r="123055" spans="10:10" x14ac:dyDescent="0.3">
      <c r="J123055"/>
    </row>
    <row r="123056" spans="10:10" x14ac:dyDescent="0.3">
      <c r="J123056"/>
    </row>
    <row r="123057" spans="10:10" x14ac:dyDescent="0.3">
      <c r="J123057"/>
    </row>
    <row r="123058" spans="10:10" x14ac:dyDescent="0.3">
      <c r="J123058"/>
    </row>
    <row r="123059" spans="10:10" x14ac:dyDescent="0.3">
      <c r="J123059"/>
    </row>
    <row r="123060" spans="10:10" x14ac:dyDescent="0.3">
      <c r="J123060"/>
    </row>
    <row r="123061" spans="10:10" x14ac:dyDescent="0.3">
      <c r="J123061"/>
    </row>
    <row r="123062" spans="10:10" x14ac:dyDescent="0.3">
      <c r="J123062"/>
    </row>
    <row r="123063" spans="10:10" x14ac:dyDescent="0.3">
      <c r="J123063"/>
    </row>
    <row r="123064" spans="10:10" x14ac:dyDescent="0.3">
      <c r="J123064"/>
    </row>
    <row r="123065" spans="10:10" x14ac:dyDescent="0.3">
      <c r="J123065"/>
    </row>
    <row r="123066" spans="10:10" x14ac:dyDescent="0.3">
      <c r="J123066"/>
    </row>
    <row r="123067" spans="10:10" x14ac:dyDescent="0.3">
      <c r="J123067"/>
    </row>
    <row r="123068" spans="10:10" x14ac:dyDescent="0.3">
      <c r="J123068"/>
    </row>
    <row r="123069" spans="10:10" x14ac:dyDescent="0.3">
      <c r="J123069"/>
    </row>
    <row r="123070" spans="10:10" x14ac:dyDescent="0.3">
      <c r="J123070"/>
    </row>
    <row r="123071" spans="10:10" x14ac:dyDescent="0.3">
      <c r="J123071"/>
    </row>
    <row r="123072" spans="10:10" x14ac:dyDescent="0.3">
      <c r="J123072"/>
    </row>
    <row r="123073" spans="10:10" x14ac:dyDescent="0.3">
      <c r="J123073"/>
    </row>
    <row r="123074" spans="10:10" x14ac:dyDescent="0.3">
      <c r="J123074"/>
    </row>
    <row r="123075" spans="10:10" x14ac:dyDescent="0.3">
      <c r="J123075"/>
    </row>
    <row r="123076" spans="10:10" x14ac:dyDescent="0.3">
      <c r="J123076"/>
    </row>
    <row r="123077" spans="10:10" x14ac:dyDescent="0.3">
      <c r="J123077"/>
    </row>
    <row r="123078" spans="10:10" x14ac:dyDescent="0.3">
      <c r="J123078"/>
    </row>
    <row r="123079" spans="10:10" x14ac:dyDescent="0.3">
      <c r="J123079"/>
    </row>
    <row r="123080" spans="10:10" x14ac:dyDescent="0.3">
      <c r="J123080"/>
    </row>
    <row r="123081" spans="10:10" x14ac:dyDescent="0.3">
      <c r="J123081"/>
    </row>
    <row r="123082" spans="10:10" x14ac:dyDescent="0.3">
      <c r="J123082"/>
    </row>
    <row r="123083" spans="10:10" x14ac:dyDescent="0.3">
      <c r="J123083"/>
    </row>
    <row r="123084" spans="10:10" x14ac:dyDescent="0.3">
      <c r="J123084"/>
    </row>
    <row r="123085" spans="10:10" x14ac:dyDescent="0.3">
      <c r="J123085"/>
    </row>
    <row r="123086" spans="10:10" x14ac:dyDescent="0.3">
      <c r="J123086"/>
    </row>
    <row r="123087" spans="10:10" x14ac:dyDescent="0.3">
      <c r="J123087"/>
    </row>
    <row r="123088" spans="10:10" x14ac:dyDescent="0.3">
      <c r="J123088"/>
    </row>
    <row r="123089" spans="10:10" x14ac:dyDescent="0.3">
      <c r="J123089"/>
    </row>
    <row r="123090" spans="10:10" x14ac:dyDescent="0.3">
      <c r="J123090"/>
    </row>
    <row r="123091" spans="10:10" x14ac:dyDescent="0.3">
      <c r="J123091"/>
    </row>
    <row r="123092" spans="10:10" x14ac:dyDescent="0.3">
      <c r="J123092"/>
    </row>
    <row r="123093" spans="10:10" x14ac:dyDescent="0.3">
      <c r="J123093"/>
    </row>
    <row r="123094" spans="10:10" x14ac:dyDescent="0.3">
      <c r="J123094"/>
    </row>
    <row r="123095" spans="10:10" x14ac:dyDescent="0.3">
      <c r="J123095"/>
    </row>
    <row r="123096" spans="10:10" x14ac:dyDescent="0.3">
      <c r="J123096"/>
    </row>
    <row r="123097" spans="10:10" x14ac:dyDescent="0.3">
      <c r="J123097"/>
    </row>
    <row r="123098" spans="10:10" x14ac:dyDescent="0.3">
      <c r="J123098"/>
    </row>
    <row r="123099" spans="10:10" x14ac:dyDescent="0.3">
      <c r="J123099"/>
    </row>
    <row r="123100" spans="10:10" x14ac:dyDescent="0.3">
      <c r="J123100"/>
    </row>
    <row r="123101" spans="10:10" x14ac:dyDescent="0.3">
      <c r="J123101"/>
    </row>
    <row r="123102" spans="10:10" x14ac:dyDescent="0.3">
      <c r="J123102"/>
    </row>
    <row r="123103" spans="10:10" x14ac:dyDescent="0.3">
      <c r="J123103"/>
    </row>
    <row r="123104" spans="10:10" x14ac:dyDescent="0.3">
      <c r="J123104"/>
    </row>
    <row r="123105" spans="10:10" x14ac:dyDescent="0.3">
      <c r="J123105"/>
    </row>
    <row r="123106" spans="10:10" x14ac:dyDescent="0.3">
      <c r="J123106"/>
    </row>
    <row r="123107" spans="10:10" x14ac:dyDescent="0.3">
      <c r="J123107"/>
    </row>
    <row r="123108" spans="10:10" x14ac:dyDescent="0.3">
      <c r="J123108"/>
    </row>
    <row r="123109" spans="10:10" x14ac:dyDescent="0.3">
      <c r="J123109"/>
    </row>
    <row r="123110" spans="10:10" x14ac:dyDescent="0.3">
      <c r="J123110"/>
    </row>
    <row r="123111" spans="10:10" x14ac:dyDescent="0.3">
      <c r="J123111"/>
    </row>
    <row r="123112" spans="10:10" x14ac:dyDescent="0.3">
      <c r="J123112"/>
    </row>
    <row r="123113" spans="10:10" x14ac:dyDescent="0.3">
      <c r="J123113"/>
    </row>
    <row r="123114" spans="10:10" x14ac:dyDescent="0.3">
      <c r="J123114"/>
    </row>
    <row r="123115" spans="10:10" x14ac:dyDescent="0.3">
      <c r="J123115"/>
    </row>
    <row r="123116" spans="10:10" x14ac:dyDescent="0.3">
      <c r="J123116"/>
    </row>
    <row r="123117" spans="10:10" x14ac:dyDescent="0.3">
      <c r="J123117"/>
    </row>
    <row r="123118" spans="10:10" x14ac:dyDescent="0.3">
      <c r="J123118"/>
    </row>
    <row r="123119" spans="10:10" x14ac:dyDescent="0.3">
      <c r="J123119"/>
    </row>
    <row r="123120" spans="10:10" x14ac:dyDescent="0.3">
      <c r="J123120"/>
    </row>
    <row r="123121" spans="10:10" x14ac:dyDescent="0.3">
      <c r="J123121"/>
    </row>
    <row r="123122" spans="10:10" x14ac:dyDescent="0.3">
      <c r="J123122"/>
    </row>
    <row r="123123" spans="10:10" x14ac:dyDescent="0.3">
      <c r="J123123"/>
    </row>
    <row r="123124" spans="10:10" x14ac:dyDescent="0.3">
      <c r="J123124"/>
    </row>
    <row r="123125" spans="10:10" x14ac:dyDescent="0.3">
      <c r="J123125"/>
    </row>
    <row r="123126" spans="10:10" x14ac:dyDescent="0.3">
      <c r="J123126"/>
    </row>
    <row r="123127" spans="10:10" x14ac:dyDescent="0.3">
      <c r="J123127"/>
    </row>
    <row r="123128" spans="10:10" x14ac:dyDescent="0.3">
      <c r="J123128"/>
    </row>
    <row r="123129" spans="10:10" x14ac:dyDescent="0.3">
      <c r="J123129"/>
    </row>
    <row r="123130" spans="10:10" x14ac:dyDescent="0.3">
      <c r="J123130"/>
    </row>
    <row r="123131" spans="10:10" x14ac:dyDescent="0.3">
      <c r="J123131"/>
    </row>
    <row r="123132" spans="10:10" x14ac:dyDescent="0.3">
      <c r="J123132"/>
    </row>
    <row r="123133" spans="10:10" x14ac:dyDescent="0.3">
      <c r="J123133"/>
    </row>
    <row r="123134" spans="10:10" x14ac:dyDescent="0.3">
      <c r="J123134"/>
    </row>
    <row r="123135" spans="10:10" x14ac:dyDescent="0.3">
      <c r="J123135"/>
    </row>
    <row r="123136" spans="10:10" x14ac:dyDescent="0.3">
      <c r="J123136"/>
    </row>
    <row r="123137" spans="10:10" x14ac:dyDescent="0.3">
      <c r="J123137"/>
    </row>
    <row r="123138" spans="10:10" x14ac:dyDescent="0.3">
      <c r="J123138"/>
    </row>
    <row r="123139" spans="10:10" x14ac:dyDescent="0.3">
      <c r="J123139"/>
    </row>
    <row r="123140" spans="10:10" x14ac:dyDescent="0.3">
      <c r="J123140"/>
    </row>
    <row r="123141" spans="10:10" x14ac:dyDescent="0.3">
      <c r="J123141"/>
    </row>
    <row r="123142" spans="10:10" x14ac:dyDescent="0.3">
      <c r="J123142"/>
    </row>
    <row r="123143" spans="10:10" x14ac:dyDescent="0.3">
      <c r="J123143"/>
    </row>
    <row r="123144" spans="10:10" x14ac:dyDescent="0.3">
      <c r="J123144"/>
    </row>
    <row r="123145" spans="10:10" x14ac:dyDescent="0.3">
      <c r="J123145"/>
    </row>
    <row r="123146" spans="10:10" x14ac:dyDescent="0.3">
      <c r="J123146"/>
    </row>
    <row r="123147" spans="10:10" x14ac:dyDescent="0.3">
      <c r="J123147"/>
    </row>
    <row r="123148" spans="10:10" x14ac:dyDescent="0.3">
      <c r="J123148"/>
    </row>
    <row r="123149" spans="10:10" x14ac:dyDescent="0.3">
      <c r="J123149"/>
    </row>
    <row r="123150" spans="10:10" x14ac:dyDescent="0.3">
      <c r="J123150"/>
    </row>
    <row r="123151" spans="10:10" x14ac:dyDescent="0.3">
      <c r="J123151"/>
    </row>
    <row r="123152" spans="10:10" x14ac:dyDescent="0.3">
      <c r="J123152"/>
    </row>
    <row r="123153" spans="10:10" x14ac:dyDescent="0.3">
      <c r="J123153"/>
    </row>
    <row r="123154" spans="10:10" x14ac:dyDescent="0.3">
      <c r="J123154"/>
    </row>
    <row r="123155" spans="10:10" x14ac:dyDescent="0.3">
      <c r="J123155"/>
    </row>
    <row r="123156" spans="10:10" x14ac:dyDescent="0.3">
      <c r="J123156"/>
    </row>
    <row r="123157" spans="10:10" x14ac:dyDescent="0.3">
      <c r="J123157"/>
    </row>
    <row r="123158" spans="10:10" x14ac:dyDescent="0.3">
      <c r="J123158"/>
    </row>
    <row r="123159" spans="10:10" x14ac:dyDescent="0.3">
      <c r="J123159"/>
    </row>
    <row r="123160" spans="10:10" x14ac:dyDescent="0.3">
      <c r="J123160"/>
    </row>
    <row r="123161" spans="10:10" x14ac:dyDescent="0.3">
      <c r="J123161"/>
    </row>
    <row r="123162" spans="10:10" x14ac:dyDescent="0.3">
      <c r="J123162"/>
    </row>
    <row r="123163" spans="10:10" x14ac:dyDescent="0.3">
      <c r="J123163"/>
    </row>
    <row r="123164" spans="10:10" x14ac:dyDescent="0.3">
      <c r="J123164"/>
    </row>
    <row r="123165" spans="10:10" x14ac:dyDescent="0.3">
      <c r="J123165"/>
    </row>
    <row r="123166" spans="10:10" x14ac:dyDescent="0.3">
      <c r="J123166"/>
    </row>
    <row r="123167" spans="10:10" x14ac:dyDescent="0.3">
      <c r="J123167"/>
    </row>
    <row r="123168" spans="10:10" x14ac:dyDescent="0.3">
      <c r="J123168"/>
    </row>
    <row r="123169" spans="10:10" x14ac:dyDescent="0.3">
      <c r="J123169"/>
    </row>
    <row r="123170" spans="10:10" x14ac:dyDescent="0.3">
      <c r="J123170"/>
    </row>
    <row r="123171" spans="10:10" x14ac:dyDescent="0.3">
      <c r="J123171"/>
    </row>
    <row r="123172" spans="10:10" x14ac:dyDescent="0.3">
      <c r="J123172"/>
    </row>
    <row r="123173" spans="10:10" x14ac:dyDescent="0.3">
      <c r="J123173"/>
    </row>
    <row r="123174" spans="10:10" x14ac:dyDescent="0.3">
      <c r="J123174"/>
    </row>
    <row r="123175" spans="10:10" x14ac:dyDescent="0.3">
      <c r="J123175"/>
    </row>
    <row r="123176" spans="10:10" x14ac:dyDescent="0.3">
      <c r="J123176"/>
    </row>
    <row r="123177" spans="10:10" x14ac:dyDescent="0.3">
      <c r="J123177"/>
    </row>
    <row r="123178" spans="10:10" x14ac:dyDescent="0.3">
      <c r="J123178"/>
    </row>
    <row r="123179" spans="10:10" x14ac:dyDescent="0.3">
      <c r="J123179"/>
    </row>
    <row r="123180" spans="10:10" x14ac:dyDescent="0.3">
      <c r="J123180"/>
    </row>
    <row r="123181" spans="10:10" x14ac:dyDescent="0.3">
      <c r="J123181"/>
    </row>
    <row r="123182" spans="10:10" x14ac:dyDescent="0.3">
      <c r="J123182"/>
    </row>
    <row r="123183" spans="10:10" x14ac:dyDescent="0.3">
      <c r="J123183"/>
    </row>
    <row r="123184" spans="10:10" x14ac:dyDescent="0.3">
      <c r="J123184"/>
    </row>
    <row r="123185" spans="10:10" x14ac:dyDescent="0.3">
      <c r="J123185"/>
    </row>
    <row r="123186" spans="10:10" x14ac:dyDescent="0.3">
      <c r="J123186"/>
    </row>
    <row r="123187" spans="10:10" x14ac:dyDescent="0.3">
      <c r="J123187"/>
    </row>
    <row r="123188" spans="10:10" x14ac:dyDescent="0.3">
      <c r="J123188"/>
    </row>
    <row r="123189" spans="10:10" x14ac:dyDescent="0.3">
      <c r="J123189"/>
    </row>
    <row r="123190" spans="10:10" x14ac:dyDescent="0.3">
      <c r="J123190"/>
    </row>
    <row r="123191" spans="10:10" x14ac:dyDescent="0.3">
      <c r="J123191"/>
    </row>
    <row r="123192" spans="10:10" x14ac:dyDescent="0.3">
      <c r="J123192"/>
    </row>
    <row r="123193" spans="10:10" x14ac:dyDescent="0.3">
      <c r="J123193"/>
    </row>
    <row r="123194" spans="10:10" x14ac:dyDescent="0.3">
      <c r="J123194"/>
    </row>
    <row r="123195" spans="10:10" x14ac:dyDescent="0.3">
      <c r="J123195"/>
    </row>
    <row r="123196" spans="10:10" x14ac:dyDescent="0.3">
      <c r="J123196"/>
    </row>
    <row r="123197" spans="10:10" x14ac:dyDescent="0.3">
      <c r="J123197"/>
    </row>
    <row r="123198" spans="10:10" x14ac:dyDescent="0.3">
      <c r="J123198"/>
    </row>
    <row r="123199" spans="10:10" x14ac:dyDescent="0.3">
      <c r="J123199"/>
    </row>
    <row r="123200" spans="10:10" x14ac:dyDescent="0.3">
      <c r="J123200"/>
    </row>
    <row r="123201" spans="10:10" x14ac:dyDescent="0.3">
      <c r="J123201"/>
    </row>
    <row r="123202" spans="10:10" x14ac:dyDescent="0.3">
      <c r="J123202"/>
    </row>
    <row r="123203" spans="10:10" x14ac:dyDescent="0.3">
      <c r="J123203"/>
    </row>
    <row r="123204" spans="10:10" x14ac:dyDescent="0.3">
      <c r="J123204"/>
    </row>
    <row r="123205" spans="10:10" x14ac:dyDescent="0.3">
      <c r="J123205"/>
    </row>
    <row r="123206" spans="10:10" x14ac:dyDescent="0.3">
      <c r="J123206"/>
    </row>
    <row r="123207" spans="10:10" x14ac:dyDescent="0.3">
      <c r="J123207"/>
    </row>
    <row r="123208" spans="10:10" x14ac:dyDescent="0.3">
      <c r="J123208"/>
    </row>
    <row r="123209" spans="10:10" x14ac:dyDescent="0.3">
      <c r="J123209"/>
    </row>
    <row r="123210" spans="10:10" x14ac:dyDescent="0.3">
      <c r="J123210"/>
    </row>
    <row r="123211" spans="10:10" x14ac:dyDescent="0.3">
      <c r="J123211"/>
    </row>
    <row r="123212" spans="10:10" x14ac:dyDescent="0.3">
      <c r="J123212"/>
    </row>
    <row r="123213" spans="10:10" x14ac:dyDescent="0.3">
      <c r="J123213"/>
    </row>
    <row r="123214" spans="10:10" x14ac:dyDescent="0.3">
      <c r="J123214"/>
    </row>
    <row r="123215" spans="10:10" x14ac:dyDescent="0.3">
      <c r="J123215"/>
    </row>
    <row r="123216" spans="10:10" x14ac:dyDescent="0.3">
      <c r="J123216"/>
    </row>
    <row r="123217" spans="10:10" x14ac:dyDescent="0.3">
      <c r="J123217"/>
    </row>
    <row r="123218" spans="10:10" x14ac:dyDescent="0.3">
      <c r="J123218"/>
    </row>
    <row r="123219" spans="10:10" x14ac:dyDescent="0.3">
      <c r="J123219"/>
    </row>
    <row r="123220" spans="10:10" x14ac:dyDescent="0.3">
      <c r="J123220"/>
    </row>
    <row r="123221" spans="10:10" x14ac:dyDescent="0.3">
      <c r="J123221"/>
    </row>
    <row r="123222" spans="10:10" x14ac:dyDescent="0.3">
      <c r="J123222"/>
    </row>
    <row r="123223" spans="10:10" x14ac:dyDescent="0.3">
      <c r="J123223"/>
    </row>
    <row r="123224" spans="10:10" x14ac:dyDescent="0.3">
      <c r="J123224"/>
    </row>
    <row r="123225" spans="10:10" x14ac:dyDescent="0.3">
      <c r="J123225"/>
    </row>
    <row r="123226" spans="10:10" x14ac:dyDescent="0.3">
      <c r="J123226"/>
    </row>
    <row r="123227" spans="10:10" x14ac:dyDescent="0.3">
      <c r="J123227"/>
    </row>
    <row r="123228" spans="10:10" x14ac:dyDescent="0.3">
      <c r="J123228"/>
    </row>
    <row r="123229" spans="10:10" x14ac:dyDescent="0.3">
      <c r="J123229"/>
    </row>
    <row r="123230" spans="10:10" x14ac:dyDescent="0.3">
      <c r="J123230"/>
    </row>
    <row r="123231" spans="10:10" x14ac:dyDescent="0.3">
      <c r="J123231"/>
    </row>
    <row r="123232" spans="10:10" x14ac:dyDescent="0.3">
      <c r="J123232"/>
    </row>
    <row r="123233" spans="10:10" x14ac:dyDescent="0.3">
      <c r="J123233"/>
    </row>
    <row r="123234" spans="10:10" x14ac:dyDescent="0.3">
      <c r="J123234"/>
    </row>
    <row r="123235" spans="10:10" x14ac:dyDescent="0.3">
      <c r="J123235"/>
    </row>
    <row r="123236" spans="10:10" x14ac:dyDescent="0.3">
      <c r="J123236"/>
    </row>
    <row r="123237" spans="10:10" x14ac:dyDescent="0.3">
      <c r="J123237"/>
    </row>
    <row r="123238" spans="10:10" x14ac:dyDescent="0.3">
      <c r="J123238"/>
    </row>
    <row r="123239" spans="10:10" x14ac:dyDescent="0.3">
      <c r="J123239"/>
    </row>
    <row r="123240" spans="10:10" x14ac:dyDescent="0.3">
      <c r="J123240"/>
    </row>
    <row r="123241" spans="10:10" x14ac:dyDescent="0.3">
      <c r="J123241"/>
    </row>
    <row r="123242" spans="10:10" x14ac:dyDescent="0.3">
      <c r="J123242"/>
    </row>
    <row r="123243" spans="10:10" x14ac:dyDescent="0.3">
      <c r="J123243"/>
    </row>
    <row r="123244" spans="10:10" x14ac:dyDescent="0.3">
      <c r="J123244"/>
    </row>
    <row r="123245" spans="10:10" x14ac:dyDescent="0.3">
      <c r="J123245"/>
    </row>
    <row r="123246" spans="10:10" x14ac:dyDescent="0.3">
      <c r="J123246"/>
    </row>
    <row r="123247" spans="10:10" x14ac:dyDescent="0.3">
      <c r="J123247"/>
    </row>
    <row r="123248" spans="10:10" x14ac:dyDescent="0.3">
      <c r="J123248"/>
    </row>
    <row r="123249" spans="10:10" x14ac:dyDescent="0.3">
      <c r="J123249"/>
    </row>
    <row r="123250" spans="10:10" x14ac:dyDescent="0.3">
      <c r="J123250"/>
    </row>
    <row r="123251" spans="10:10" x14ac:dyDescent="0.3">
      <c r="J123251"/>
    </row>
    <row r="123252" spans="10:10" x14ac:dyDescent="0.3">
      <c r="J123252"/>
    </row>
    <row r="123253" spans="10:10" x14ac:dyDescent="0.3">
      <c r="J123253"/>
    </row>
    <row r="123254" spans="10:10" x14ac:dyDescent="0.3">
      <c r="J123254"/>
    </row>
    <row r="123255" spans="10:10" x14ac:dyDescent="0.3">
      <c r="J123255"/>
    </row>
    <row r="123256" spans="10:10" x14ac:dyDescent="0.3">
      <c r="J123256"/>
    </row>
    <row r="123257" spans="10:10" x14ac:dyDescent="0.3">
      <c r="J123257"/>
    </row>
    <row r="123258" spans="10:10" x14ac:dyDescent="0.3">
      <c r="J123258"/>
    </row>
    <row r="123259" spans="10:10" x14ac:dyDescent="0.3">
      <c r="J123259"/>
    </row>
    <row r="123260" spans="10:10" x14ac:dyDescent="0.3">
      <c r="J123260"/>
    </row>
    <row r="123261" spans="10:10" x14ac:dyDescent="0.3">
      <c r="J123261"/>
    </row>
    <row r="123262" spans="10:10" x14ac:dyDescent="0.3">
      <c r="J123262"/>
    </row>
    <row r="123263" spans="10:10" x14ac:dyDescent="0.3">
      <c r="J123263"/>
    </row>
    <row r="123264" spans="10:10" x14ac:dyDescent="0.3">
      <c r="J123264"/>
    </row>
    <row r="123265" spans="10:10" x14ac:dyDescent="0.3">
      <c r="J123265"/>
    </row>
    <row r="123266" spans="10:10" x14ac:dyDescent="0.3">
      <c r="J123266"/>
    </row>
    <row r="123267" spans="10:10" x14ac:dyDescent="0.3">
      <c r="J123267"/>
    </row>
    <row r="123268" spans="10:10" x14ac:dyDescent="0.3">
      <c r="J123268"/>
    </row>
    <row r="123269" spans="10:10" x14ac:dyDescent="0.3">
      <c r="J123269"/>
    </row>
    <row r="123270" spans="10:10" x14ac:dyDescent="0.3">
      <c r="J123270"/>
    </row>
    <row r="123271" spans="10:10" x14ac:dyDescent="0.3">
      <c r="J123271"/>
    </row>
    <row r="123272" spans="10:10" x14ac:dyDescent="0.3">
      <c r="J123272"/>
    </row>
    <row r="123273" spans="10:10" x14ac:dyDescent="0.3">
      <c r="J123273"/>
    </row>
    <row r="123274" spans="10:10" x14ac:dyDescent="0.3">
      <c r="J123274"/>
    </row>
    <row r="123275" spans="10:10" x14ac:dyDescent="0.3">
      <c r="J123275"/>
    </row>
    <row r="123276" spans="10:10" x14ac:dyDescent="0.3">
      <c r="J123276"/>
    </row>
    <row r="123277" spans="10:10" x14ac:dyDescent="0.3">
      <c r="J123277"/>
    </row>
    <row r="123278" spans="10:10" x14ac:dyDescent="0.3">
      <c r="J123278"/>
    </row>
    <row r="123279" spans="10:10" x14ac:dyDescent="0.3">
      <c r="J123279"/>
    </row>
    <row r="123280" spans="10:10" x14ac:dyDescent="0.3">
      <c r="J123280"/>
    </row>
    <row r="123281" spans="10:10" x14ac:dyDescent="0.3">
      <c r="J123281"/>
    </row>
    <row r="123282" spans="10:10" x14ac:dyDescent="0.3">
      <c r="J123282"/>
    </row>
    <row r="123283" spans="10:10" x14ac:dyDescent="0.3">
      <c r="J123283"/>
    </row>
    <row r="123284" spans="10:10" x14ac:dyDescent="0.3">
      <c r="J123284"/>
    </row>
    <row r="123285" spans="10:10" x14ac:dyDescent="0.3">
      <c r="J123285"/>
    </row>
    <row r="123286" spans="10:10" x14ac:dyDescent="0.3">
      <c r="J123286"/>
    </row>
    <row r="123287" spans="10:10" x14ac:dyDescent="0.3">
      <c r="J123287"/>
    </row>
    <row r="123288" spans="10:10" x14ac:dyDescent="0.3">
      <c r="J123288"/>
    </row>
    <row r="123289" spans="10:10" x14ac:dyDescent="0.3">
      <c r="J123289"/>
    </row>
    <row r="123290" spans="10:10" x14ac:dyDescent="0.3">
      <c r="J123290"/>
    </row>
    <row r="123291" spans="10:10" x14ac:dyDescent="0.3">
      <c r="J123291"/>
    </row>
    <row r="123292" spans="10:10" x14ac:dyDescent="0.3">
      <c r="J123292"/>
    </row>
    <row r="123293" spans="10:10" x14ac:dyDescent="0.3">
      <c r="J123293"/>
    </row>
    <row r="123294" spans="10:10" x14ac:dyDescent="0.3">
      <c r="J123294"/>
    </row>
    <row r="123295" spans="10:10" x14ac:dyDescent="0.3">
      <c r="J123295"/>
    </row>
    <row r="123296" spans="10:10" x14ac:dyDescent="0.3">
      <c r="J123296"/>
    </row>
    <row r="123297" spans="10:10" x14ac:dyDescent="0.3">
      <c r="J123297"/>
    </row>
    <row r="123298" spans="10:10" x14ac:dyDescent="0.3">
      <c r="J123298"/>
    </row>
    <row r="123299" spans="10:10" x14ac:dyDescent="0.3">
      <c r="J123299"/>
    </row>
    <row r="123300" spans="10:10" x14ac:dyDescent="0.3">
      <c r="J123300"/>
    </row>
    <row r="123301" spans="10:10" x14ac:dyDescent="0.3">
      <c r="J123301"/>
    </row>
    <row r="123302" spans="10:10" x14ac:dyDescent="0.3">
      <c r="J123302"/>
    </row>
    <row r="123303" spans="10:10" x14ac:dyDescent="0.3">
      <c r="J123303"/>
    </row>
    <row r="123304" spans="10:10" x14ac:dyDescent="0.3">
      <c r="J123304"/>
    </row>
    <row r="123305" spans="10:10" x14ac:dyDescent="0.3">
      <c r="J123305"/>
    </row>
    <row r="123306" spans="10:10" x14ac:dyDescent="0.3">
      <c r="J123306"/>
    </row>
    <row r="123307" spans="10:10" x14ac:dyDescent="0.3">
      <c r="J123307"/>
    </row>
    <row r="123308" spans="10:10" x14ac:dyDescent="0.3">
      <c r="J123308"/>
    </row>
    <row r="123309" spans="10:10" x14ac:dyDescent="0.3">
      <c r="J123309"/>
    </row>
    <row r="123310" spans="10:10" x14ac:dyDescent="0.3">
      <c r="J123310"/>
    </row>
    <row r="123311" spans="10:10" x14ac:dyDescent="0.3">
      <c r="J123311"/>
    </row>
    <row r="123312" spans="10:10" x14ac:dyDescent="0.3">
      <c r="J123312"/>
    </row>
    <row r="123313" spans="10:10" x14ac:dyDescent="0.3">
      <c r="J123313"/>
    </row>
    <row r="123314" spans="10:10" x14ac:dyDescent="0.3">
      <c r="J123314"/>
    </row>
    <row r="123315" spans="10:10" x14ac:dyDescent="0.3">
      <c r="J123315"/>
    </row>
    <row r="123316" spans="10:10" x14ac:dyDescent="0.3">
      <c r="J123316"/>
    </row>
    <row r="123317" spans="10:10" x14ac:dyDescent="0.3">
      <c r="J123317"/>
    </row>
    <row r="123318" spans="10:10" x14ac:dyDescent="0.3">
      <c r="J123318"/>
    </row>
    <row r="123319" spans="10:10" x14ac:dyDescent="0.3">
      <c r="J123319"/>
    </row>
    <row r="123320" spans="10:10" x14ac:dyDescent="0.3">
      <c r="J123320"/>
    </row>
    <row r="123321" spans="10:10" x14ac:dyDescent="0.3">
      <c r="J123321"/>
    </row>
    <row r="123322" spans="10:10" x14ac:dyDescent="0.3">
      <c r="J123322"/>
    </row>
    <row r="123323" spans="10:10" x14ac:dyDescent="0.3">
      <c r="J123323"/>
    </row>
    <row r="123324" spans="10:10" x14ac:dyDescent="0.3">
      <c r="J123324"/>
    </row>
    <row r="123325" spans="10:10" x14ac:dyDescent="0.3">
      <c r="J123325"/>
    </row>
    <row r="123326" spans="10:10" x14ac:dyDescent="0.3">
      <c r="J123326"/>
    </row>
    <row r="123327" spans="10:10" x14ac:dyDescent="0.3">
      <c r="J123327"/>
    </row>
    <row r="123328" spans="10:10" x14ac:dyDescent="0.3">
      <c r="J123328"/>
    </row>
    <row r="123329" spans="10:10" x14ac:dyDescent="0.3">
      <c r="J123329"/>
    </row>
    <row r="123330" spans="10:10" x14ac:dyDescent="0.3">
      <c r="J123330"/>
    </row>
    <row r="123331" spans="10:10" x14ac:dyDescent="0.3">
      <c r="J123331"/>
    </row>
    <row r="123332" spans="10:10" x14ac:dyDescent="0.3">
      <c r="J123332"/>
    </row>
    <row r="123333" spans="10:10" x14ac:dyDescent="0.3">
      <c r="J123333"/>
    </row>
    <row r="123334" spans="10:10" x14ac:dyDescent="0.3">
      <c r="J123334"/>
    </row>
    <row r="123335" spans="10:10" x14ac:dyDescent="0.3">
      <c r="J123335"/>
    </row>
    <row r="123336" spans="10:10" x14ac:dyDescent="0.3">
      <c r="J123336"/>
    </row>
    <row r="123337" spans="10:10" x14ac:dyDescent="0.3">
      <c r="J123337"/>
    </row>
    <row r="123338" spans="10:10" x14ac:dyDescent="0.3">
      <c r="J123338"/>
    </row>
    <row r="123339" spans="10:10" x14ac:dyDescent="0.3">
      <c r="J123339"/>
    </row>
    <row r="123340" spans="10:10" x14ac:dyDescent="0.3">
      <c r="J123340"/>
    </row>
    <row r="123341" spans="10:10" x14ac:dyDescent="0.3">
      <c r="J123341"/>
    </row>
    <row r="123342" spans="10:10" x14ac:dyDescent="0.3">
      <c r="J123342"/>
    </row>
    <row r="123343" spans="10:10" x14ac:dyDescent="0.3">
      <c r="J123343"/>
    </row>
    <row r="123344" spans="10:10" x14ac:dyDescent="0.3">
      <c r="J123344"/>
    </row>
    <row r="123345" spans="10:10" x14ac:dyDescent="0.3">
      <c r="J123345"/>
    </row>
    <row r="123346" spans="10:10" x14ac:dyDescent="0.3">
      <c r="J123346"/>
    </row>
    <row r="123347" spans="10:10" x14ac:dyDescent="0.3">
      <c r="J123347"/>
    </row>
    <row r="123348" spans="10:10" x14ac:dyDescent="0.3">
      <c r="J123348"/>
    </row>
    <row r="123349" spans="10:10" x14ac:dyDescent="0.3">
      <c r="J123349"/>
    </row>
    <row r="123350" spans="10:10" x14ac:dyDescent="0.3">
      <c r="J123350"/>
    </row>
    <row r="123351" spans="10:10" x14ac:dyDescent="0.3">
      <c r="J123351"/>
    </row>
    <row r="123352" spans="10:10" x14ac:dyDescent="0.3">
      <c r="J123352"/>
    </row>
    <row r="123353" spans="10:10" x14ac:dyDescent="0.3">
      <c r="J123353"/>
    </row>
    <row r="123354" spans="10:10" x14ac:dyDescent="0.3">
      <c r="J123354"/>
    </row>
    <row r="123355" spans="10:10" x14ac:dyDescent="0.3">
      <c r="J123355"/>
    </row>
    <row r="123356" spans="10:10" x14ac:dyDescent="0.3">
      <c r="J123356"/>
    </row>
    <row r="123357" spans="10:10" x14ac:dyDescent="0.3">
      <c r="J123357"/>
    </row>
    <row r="123358" spans="10:10" x14ac:dyDescent="0.3">
      <c r="J123358"/>
    </row>
    <row r="123359" spans="10:10" x14ac:dyDescent="0.3">
      <c r="J123359"/>
    </row>
    <row r="123360" spans="10:10" x14ac:dyDescent="0.3">
      <c r="J123360"/>
    </row>
    <row r="123361" spans="10:10" x14ac:dyDescent="0.3">
      <c r="J123361"/>
    </row>
    <row r="123362" spans="10:10" x14ac:dyDescent="0.3">
      <c r="J123362"/>
    </row>
    <row r="123363" spans="10:10" x14ac:dyDescent="0.3">
      <c r="J123363"/>
    </row>
    <row r="123364" spans="10:10" x14ac:dyDescent="0.3">
      <c r="J123364"/>
    </row>
    <row r="123365" spans="10:10" x14ac:dyDescent="0.3">
      <c r="J123365"/>
    </row>
    <row r="123366" spans="10:10" x14ac:dyDescent="0.3">
      <c r="J123366"/>
    </row>
    <row r="123367" spans="10:10" x14ac:dyDescent="0.3">
      <c r="J123367"/>
    </row>
    <row r="123368" spans="10:10" x14ac:dyDescent="0.3">
      <c r="J123368"/>
    </row>
    <row r="123369" spans="10:10" x14ac:dyDescent="0.3">
      <c r="J123369"/>
    </row>
    <row r="123370" spans="10:10" x14ac:dyDescent="0.3">
      <c r="J123370"/>
    </row>
    <row r="123371" spans="10:10" x14ac:dyDescent="0.3">
      <c r="J123371"/>
    </row>
    <row r="123372" spans="10:10" x14ac:dyDescent="0.3">
      <c r="J123372"/>
    </row>
    <row r="123373" spans="10:10" x14ac:dyDescent="0.3">
      <c r="J123373"/>
    </row>
    <row r="123374" spans="10:10" x14ac:dyDescent="0.3">
      <c r="J123374"/>
    </row>
    <row r="123375" spans="10:10" x14ac:dyDescent="0.3">
      <c r="J123375"/>
    </row>
    <row r="123376" spans="10:10" x14ac:dyDescent="0.3">
      <c r="J123376"/>
    </row>
    <row r="123377" spans="10:10" x14ac:dyDescent="0.3">
      <c r="J123377"/>
    </row>
    <row r="123378" spans="10:10" x14ac:dyDescent="0.3">
      <c r="J123378"/>
    </row>
    <row r="123379" spans="10:10" x14ac:dyDescent="0.3">
      <c r="J123379"/>
    </row>
    <row r="123380" spans="10:10" x14ac:dyDescent="0.3">
      <c r="J123380"/>
    </row>
    <row r="123381" spans="10:10" x14ac:dyDescent="0.3">
      <c r="J123381"/>
    </row>
    <row r="123382" spans="10:10" x14ac:dyDescent="0.3">
      <c r="J123382"/>
    </row>
    <row r="123383" spans="10:10" x14ac:dyDescent="0.3">
      <c r="J123383"/>
    </row>
    <row r="123384" spans="10:10" x14ac:dyDescent="0.3">
      <c r="J123384"/>
    </row>
    <row r="123385" spans="10:10" x14ac:dyDescent="0.3">
      <c r="J123385"/>
    </row>
    <row r="123386" spans="10:10" x14ac:dyDescent="0.3">
      <c r="J123386"/>
    </row>
    <row r="123387" spans="10:10" x14ac:dyDescent="0.3">
      <c r="J123387"/>
    </row>
    <row r="123388" spans="10:10" x14ac:dyDescent="0.3">
      <c r="J123388"/>
    </row>
    <row r="123389" spans="10:10" x14ac:dyDescent="0.3">
      <c r="J123389"/>
    </row>
    <row r="123390" spans="10:10" x14ac:dyDescent="0.3">
      <c r="J123390"/>
    </row>
    <row r="123391" spans="10:10" x14ac:dyDescent="0.3">
      <c r="J123391"/>
    </row>
    <row r="123392" spans="10:10" x14ac:dyDescent="0.3">
      <c r="J123392"/>
    </row>
    <row r="123393" spans="10:10" x14ac:dyDescent="0.3">
      <c r="J123393"/>
    </row>
    <row r="123394" spans="10:10" x14ac:dyDescent="0.3">
      <c r="J123394"/>
    </row>
    <row r="123395" spans="10:10" x14ac:dyDescent="0.3">
      <c r="J123395"/>
    </row>
    <row r="123396" spans="10:10" x14ac:dyDescent="0.3">
      <c r="J123396"/>
    </row>
    <row r="123397" spans="10:10" x14ac:dyDescent="0.3">
      <c r="J123397"/>
    </row>
    <row r="123398" spans="10:10" x14ac:dyDescent="0.3">
      <c r="J123398"/>
    </row>
    <row r="123399" spans="10:10" x14ac:dyDescent="0.3">
      <c r="J123399"/>
    </row>
    <row r="123400" spans="10:10" x14ac:dyDescent="0.3">
      <c r="J123400"/>
    </row>
    <row r="123401" spans="10:10" x14ac:dyDescent="0.3">
      <c r="J123401"/>
    </row>
    <row r="123402" spans="10:10" x14ac:dyDescent="0.3">
      <c r="J123402"/>
    </row>
    <row r="123403" spans="10:10" x14ac:dyDescent="0.3">
      <c r="J123403"/>
    </row>
    <row r="123404" spans="10:10" x14ac:dyDescent="0.3">
      <c r="J123404"/>
    </row>
    <row r="123405" spans="10:10" x14ac:dyDescent="0.3">
      <c r="J123405"/>
    </row>
    <row r="123406" spans="10:10" x14ac:dyDescent="0.3">
      <c r="J123406"/>
    </row>
    <row r="123407" spans="10:10" x14ac:dyDescent="0.3">
      <c r="J123407"/>
    </row>
    <row r="123408" spans="10:10" x14ac:dyDescent="0.3">
      <c r="J123408"/>
    </row>
    <row r="123409" spans="10:10" x14ac:dyDescent="0.3">
      <c r="J123409"/>
    </row>
    <row r="123410" spans="10:10" x14ac:dyDescent="0.3">
      <c r="J123410"/>
    </row>
    <row r="123411" spans="10:10" x14ac:dyDescent="0.3">
      <c r="J123411"/>
    </row>
    <row r="123412" spans="10:10" x14ac:dyDescent="0.3">
      <c r="J123412"/>
    </row>
    <row r="123413" spans="10:10" x14ac:dyDescent="0.3">
      <c r="J123413"/>
    </row>
    <row r="123414" spans="10:10" x14ac:dyDescent="0.3">
      <c r="J123414"/>
    </row>
    <row r="123415" spans="10:10" x14ac:dyDescent="0.3">
      <c r="J123415"/>
    </row>
    <row r="123416" spans="10:10" x14ac:dyDescent="0.3">
      <c r="J123416"/>
    </row>
    <row r="123417" spans="10:10" x14ac:dyDescent="0.3">
      <c r="J123417"/>
    </row>
    <row r="123418" spans="10:10" x14ac:dyDescent="0.3">
      <c r="J123418"/>
    </row>
    <row r="123419" spans="10:10" x14ac:dyDescent="0.3">
      <c r="J123419"/>
    </row>
    <row r="123420" spans="10:10" x14ac:dyDescent="0.3">
      <c r="J123420"/>
    </row>
    <row r="123421" spans="10:10" x14ac:dyDescent="0.3">
      <c r="J123421"/>
    </row>
    <row r="123422" spans="10:10" x14ac:dyDescent="0.3">
      <c r="J123422"/>
    </row>
    <row r="123423" spans="10:10" x14ac:dyDescent="0.3">
      <c r="J123423"/>
    </row>
    <row r="123424" spans="10:10" x14ac:dyDescent="0.3">
      <c r="J123424"/>
    </row>
    <row r="123425" spans="10:10" x14ac:dyDescent="0.3">
      <c r="J123425"/>
    </row>
    <row r="123426" spans="10:10" x14ac:dyDescent="0.3">
      <c r="J123426"/>
    </row>
    <row r="123427" spans="10:10" x14ac:dyDescent="0.3">
      <c r="J123427"/>
    </row>
    <row r="123428" spans="10:10" x14ac:dyDescent="0.3">
      <c r="J123428"/>
    </row>
    <row r="123429" spans="10:10" x14ac:dyDescent="0.3">
      <c r="J123429"/>
    </row>
    <row r="123430" spans="10:10" x14ac:dyDescent="0.3">
      <c r="J123430"/>
    </row>
    <row r="123431" spans="10:10" x14ac:dyDescent="0.3">
      <c r="J123431"/>
    </row>
    <row r="123432" spans="10:10" x14ac:dyDescent="0.3">
      <c r="J123432"/>
    </row>
    <row r="123433" spans="10:10" x14ac:dyDescent="0.3">
      <c r="J123433"/>
    </row>
    <row r="123434" spans="10:10" x14ac:dyDescent="0.3">
      <c r="J123434"/>
    </row>
    <row r="123435" spans="10:10" x14ac:dyDescent="0.3">
      <c r="J123435"/>
    </row>
    <row r="123436" spans="10:10" x14ac:dyDescent="0.3">
      <c r="J123436"/>
    </row>
    <row r="123437" spans="10:10" x14ac:dyDescent="0.3">
      <c r="J123437"/>
    </row>
    <row r="123438" spans="10:10" x14ac:dyDescent="0.3">
      <c r="J123438"/>
    </row>
    <row r="123439" spans="10:10" x14ac:dyDescent="0.3">
      <c r="J123439"/>
    </row>
    <row r="123440" spans="10:10" x14ac:dyDescent="0.3">
      <c r="J123440"/>
    </row>
    <row r="123441" spans="10:10" x14ac:dyDescent="0.3">
      <c r="J123441"/>
    </row>
    <row r="123442" spans="10:10" x14ac:dyDescent="0.3">
      <c r="J123442"/>
    </row>
    <row r="123443" spans="10:10" x14ac:dyDescent="0.3">
      <c r="J123443"/>
    </row>
    <row r="123444" spans="10:10" x14ac:dyDescent="0.3">
      <c r="J123444"/>
    </row>
    <row r="123445" spans="10:10" x14ac:dyDescent="0.3">
      <c r="J123445"/>
    </row>
    <row r="123446" spans="10:10" x14ac:dyDescent="0.3">
      <c r="J123446"/>
    </row>
    <row r="123447" spans="10:10" x14ac:dyDescent="0.3">
      <c r="J123447"/>
    </row>
    <row r="123448" spans="10:10" x14ac:dyDescent="0.3">
      <c r="J123448"/>
    </row>
    <row r="123449" spans="10:10" x14ac:dyDescent="0.3">
      <c r="J123449"/>
    </row>
    <row r="123450" spans="10:10" x14ac:dyDescent="0.3">
      <c r="J123450"/>
    </row>
    <row r="123451" spans="10:10" x14ac:dyDescent="0.3">
      <c r="J123451"/>
    </row>
    <row r="123452" spans="10:10" x14ac:dyDescent="0.3">
      <c r="J123452"/>
    </row>
    <row r="123453" spans="10:10" x14ac:dyDescent="0.3">
      <c r="J123453"/>
    </row>
    <row r="123454" spans="10:10" x14ac:dyDescent="0.3">
      <c r="J123454"/>
    </row>
    <row r="123455" spans="10:10" x14ac:dyDescent="0.3">
      <c r="J123455"/>
    </row>
    <row r="123456" spans="10:10" x14ac:dyDescent="0.3">
      <c r="J123456"/>
    </row>
    <row r="123457" spans="10:10" x14ac:dyDescent="0.3">
      <c r="J123457"/>
    </row>
    <row r="123458" spans="10:10" x14ac:dyDescent="0.3">
      <c r="J123458"/>
    </row>
    <row r="123459" spans="10:10" x14ac:dyDescent="0.3">
      <c r="J123459"/>
    </row>
    <row r="123460" spans="10:10" x14ac:dyDescent="0.3">
      <c r="J123460"/>
    </row>
    <row r="123461" spans="10:10" x14ac:dyDescent="0.3">
      <c r="J123461"/>
    </row>
    <row r="123462" spans="10:10" x14ac:dyDescent="0.3">
      <c r="J123462"/>
    </row>
    <row r="123463" spans="10:10" x14ac:dyDescent="0.3">
      <c r="J123463"/>
    </row>
    <row r="123464" spans="10:10" x14ac:dyDescent="0.3">
      <c r="J123464"/>
    </row>
    <row r="123465" spans="10:10" x14ac:dyDescent="0.3">
      <c r="J123465"/>
    </row>
    <row r="123466" spans="10:10" x14ac:dyDescent="0.3">
      <c r="J123466"/>
    </row>
    <row r="123467" spans="10:10" x14ac:dyDescent="0.3">
      <c r="J123467"/>
    </row>
    <row r="123468" spans="10:10" x14ac:dyDescent="0.3">
      <c r="J123468"/>
    </row>
    <row r="123469" spans="10:10" x14ac:dyDescent="0.3">
      <c r="J123469"/>
    </row>
    <row r="123470" spans="10:10" x14ac:dyDescent="0.3">
      <c r="J123470"/>
    </row>
    <row r="123471" spans="10:10" x14ac:dyDescent="0.3">
      <c r="J123471"/>
    </row>
    <row r="123472" spans="10:10" x14ac:dyDescent="0.3">
      <c r="J123472"/>
    </row>
    <row r="123473" spans="10:10" x14ac:dyDescent="0.3">
      <c r="J123473"/>
    </row>
    <row r="123474" spans="10:10" x14ac:dyDescent="0.3">
      <c r="J123474"/>
    </row>
    <row r="123475" spans="10:10" x14ac:dyDescent="0.3">
      <c r="J123475"/>
    </row>
    <row r="123476" spans="10:10" x14ac:dyDescent="0.3">
      <c r="J123476"/>
    </row>
    <row r="123477" spans="10:10" x14ac:dyDescent="0.3">
      <c r="J123477"/>
    </row>
    <row r="123478" spans="10:10" x14ac:dyDescent="0.3">
      <c r="J123478"/>
    </row>
    <row r="123479" spans="10:10" x14ac:dyDescent="0.3">
      <c r="J123479"/>
    </row>
    <row r="123480" spans="10:10" x14ac:dyDescent="0.3">
      <c r="J123480"/>
    </row>
    <row r="123481" spans="10:10" x14ac:dyDescent="0.3">
      <c r="J123481"/>
    </row>
    <row r="123482" spans="10:10" x14ac:dyDescent="0.3">
      <c r="J123482"/>
    </row>
    <row r="123483" spans="10:10" x14ac:dyDescent="0.3">
      <c r="J123483"/>
    </row>
    <row r="123484" spans="10:10" x14ac:dyDescent="0.3">
      <c r="J123484"/>
    </row>
    <row r="123485" spans="10:10" x14ac:dyDescent="0.3">
      <c r="J123485"/>
    </row>
    <row r="123486" spans="10:10" x14ac:dyDescent="0.3">
      <c r="J123486"/>
    </row>
    <row r="123487" spans="10:10" x14ac:dyDescent="0.3">
      <c r="J123487"/>
    </row>
    <row r="123488" spans="10:10" x14ac:dyDescent="0.3">
      <c r="J123488"/>
    </row>
    <row r="123489" spans="10:10" x14ac:dyDescent="0.3">
      <c r="J123489"/>
    </row>
    <row r="123490" spans="10:10" x14ac:dyDescent="0.3">
      <c r="J123490"/>
    </row>
    <row r="123491" spans="10:10" x14ac:dyDescent="0.3">
      <c r="J123491"/>
    </row>
    <row r="123492" spans="10:10" x14ac:dyDescent="0.3">
      <c r="J123492"/>
    </row>
    <row r="123493" spans="10:10" x14ac:dyDescent="0.3">
      <c r="J123493"/>
    </row>
    <row r="123494" spans="10:10" x14ac:dyDescent="0.3">
      <c r="J123494"/>
    </row>
    <row r="123495" spans="10:10" x14ac:dyDescent="0.3">
      <c r="J123495"/>
    </row>
    <row r="123496" spans="10:10" x14ac:dyDescent="0.3">
      <c r="J123496"/>
    </row>
    <row r="123497" spans="10:10" x14ac:dyDescent="0.3">
      <c r="J123497"/>
    </row>
    <row r="123498" spans="10:10" x14ac:dyDescent="0.3">
      <c r="J123498"/>
    </row>
    <row r="123499" spans="10:10" x14ac:dyDescent="0.3">
      <c r="J123499"/>
    </row>
    <row r="123500" spans="10:10" x14ac:dyDescent="0.3">
      <c r="J123500"/>
    </row>
    <row r="123501" spans="10:10" x14ac:dyDescent="0.3">
      <c r="J123501"/>
    </row>
    <row r="123502" spans="10:10" x14ac:dyDescent="0.3">
      <c r="J123502"/>
    </row>
    <row r="123503" spans="10:10" x14ac:dyDescent="0.3">
      <c r="J123503"/>
    </row>
    <row r="123504" spans="10:10" x14ac:dyDescent="0.3">
      <c r="J123504"/>
    </row>
    <row r="123505" spans="10:10" x14ac:dyDescent="0.3">
      <c r="J123505"/>
    </row>
    <row r="123506" spans="10:10" x14ac:dyDescent="0.3">
      <c r="J123506"/>
    </row>
    <row r="123507" spans="10:10" x14ac:dyDescent="0.3">
      <c r="J123507"/>
    </row>
    <row r="123508" spans="10:10" x14ac:dyDescent="0.3">
      <c r="J123508"/>
    </row>
    <row r="123509" spans="10:10" x14ac:dyDescent="0.3">
      <c r="J123509"/>
    </row>
    <row r="123510" spans="10:10" x14ac:dyDescent="0.3">
      <c r="J123510"/>
    </row>
    <row r="123511" spans="10:10" x14ac:dyDescent="0.3">
      <c r="J123511"/>
    </row>
    <row r="123512" spans="10:10" x14ac:dyDescent="0.3">
      <c r="J123512"/>
    </row>
    <row r="123513" spans="10:10" x14ac:dyDescent="0.3">
      <c r="J123513"/>
    </row>
    <row r="123514" spans="10:10" x14ac:dyDescent="0.3">
      <c r="J123514"/>
    </row>
    <row r="123515" spans="10:10" x14ac:dyDescent="0.3">
      <c r="J123515"/>
    </row>
    <row r="123516" spans="10:10" x14ac:dyDescent="0.3">
      <c r="J123516"/>
    </row>
    <row r="123517" spans="10:10" x14ac:dyDescent="0.3">
      <c r="J123517"/>
    </row>
    <row r="123518" spans="10:10" x14ac:dyDescent="0.3">
      <c r="J123518"/>
    </row>
    <row r="123519" spans="10:10" x14ac:dyDescent="0.3">
      <c r="J123519"/>
    </row>
    <row r="123520" spans="10:10" x14ac:dyDescent="0.3">
      <c r="J123520"/>
    </row>
    <row r="123521" spans="10:10" x14ac:dyDescent="0.3">
      <c r="J123521"/>
    </row>
    <row r="123522" spans="10:10" x14ac:dyDescent="0.3">
      <c r="J123522"/>
    </row>
    <row r="123523" spans="10:10" x14ac:dyDescent="0.3">
      <c r="J123523"/>
    </row>
    <row r="123524" spans="10:10" x14ac:dyDescent="0.3">
      <c r="J123524"/>
    </row>
    <row r="123525" spans="10:10" x14ac:dyDescent="0.3">
      <c r="J123525"/>
    </row>
    <row r="123526" spans="10:10" x14ac:dyDescent="0.3">
      <c r="J123526"/>
    </row>
    <row r="123527" spans="10:10" x14ac:dyDescent="0.3">
      <c r="J123527"/>
    </row>
    <row r="123528" spans="10:10" x14ac:dyDescent="0.3">
      <c r="J123528"/>
    </row>
    <row r="123529" spans="10:10" x14ac:dyDescent="0.3">
      <c r="J123529"/>
    </row>
    <row r="123530" spans="10:10" x14ac:dyDescent="0.3">
      <c r="J123530"/>
    </row>
    <row r="123531" spans="10:10" x14ac:dyDescent="0.3">
      <c r="J123531"/>
    </row>
    <row r="123532" spans="10:10" x14ac:dyDescent="0.3">
      <c r="J123532"/>
    </row>
    <row r="123533" spans="10:10" x14ac:dyDescent="0.3">
      <c r="J123533"/>
    </row>
    <row r="123534" spans="10:10" x14ac:dyDescent="0.3">
      <c r="J123534"/>
    </row>
    <row r="123535" spans="10:10" x14ac:dyDescent="0.3">
      <c r="J123535"/>
    </row>
    <row r="123536" spans="10:10" x14ac:dyDescent="0.3">
      <c r="J123536"/>
    </row>
    <row r="123537" spans="10:10" x14ac:dyDescent="0.3">
      <c r="J123537"/>
    </row>
    <row r="123538" spans="10:10" x14ac:dyDescent="0.3">
      <c r="J123538"/>
    </row>
    <row r="123539" spans="10:10" x14ac:dyDescent="0.3">
      <c r="J123539"/>
    </row>
    <row r="123540" spans="10:10" x14ac:dyDescent="0.3">
      <c r="J123540"/>
    </row>
    <row r="123541" spans="10:10" x14ac:dyDescent="0.3">
      <c r="J123541"/>
    </row>
    <row r="123542" spans="10:10" x14ac:dyDescent="0.3">
      <c r="J123542"/>
    </row>
    <row r="123543" spans="10:10" x14ac:dyDescent="0.3">
      <c r="J123543"/>
    </row>
    <row r="123544" spans="10:10" x14ac:dyDescent="0.3">
      <c r="J123544"/>
    </row>
    <row r="123545" spans="10:10" x14ac:dyDescent="0.3">
      <c r="J123545"/>
    </row>
    <row r="123546" spans="10:10" x14ac:dyDescent="0.3">
      <c r="J123546"/>
    </row>
    <row r="123547" spans="10:10" x14ac:dyDescent="0.3">
      <c r="J123547"/>
    </row>
    <row r="123548" spans="10:10" x14ac:dyDescent="0.3">
      <c r="J123548"/>
    </row>
    <row r="123549" spans="10:10" x14ac:dyDescent="0.3">
      <c r="J123549"/>
    </row>
    <row r="123550" spans="10:10" x14ac:dyDescent="0.3">
      <c r="J123550"/>
    </row>
    <row r="123551" spans="10:10" x14ac:dyDescent="0.3">
      <c r="J123551"/>
    </row>
    <row r="123552" spans="10:10" x14ac:dyDescent="0.3">
      <c r="J123552"/>
    </row>
    <row r="123553" spans="10:10" x14ac:dyDescent="0.3">
      <c r="J123553"/>
    </row>
    <row r="123554" spans="10:10" x14ac:dyDescent="0.3">
      <c r="J123554"/>
    </row>
    <row r="123555" spans="10:10" x14ac:dyDescent="0.3">
      <c r="J123555"/>
    </row>
    <row r="123556" spans="10:10" x14ac:dyDescent="0.3">
      <c r="J123556"/>
    </row>
    <row r="123557" spans="10:10" x14ac:dyDescent="0.3">
      <c r="J123557"/>
    </row>
    <row r="123558" spans="10:10" x14ac:dyDescent="0.3">
      <c r="J123558"/>
    </row>
    <row r="123559" spans="10:10" x14ac:dyDescent="0.3">
      <c r="J123559"/>
    </row>
    <row r="123560" spans="10:10" x14ac:dyDescent="0.3">
      <c r="J123560"/>
    </row>
    <row r="123561" spans="10:10" x14ac:dyDescent="0.3">
      <c r="J123561"/>
    </row>
    <row r="123562" spans="10:10" x14ac:dyDescent="0.3">
      <c r="J123562"/>
    </row>
    <row r="123563" spans="10:10" x14ac:dyDescent="0.3">
      <c r="J123563"/>
    </row>
    <row r="123564" spans="10:10" x14ac:dyDescent="0.3">
      <c r="J123564"/>
    </row>
    <row r="123565" spans="10:10" x14ac:dyDescent="0.3">
      <c r="J123565"/>
    </row>
    <row r="123566" spans="10:10" x14ac:dyDescent="0.3">
      <c r="J123566"/>
    </row>
    <row r="123567" spans="10:10" x14ac:dyDescent="0.3">
      <c r="J123567"/>
    </row>
    <row r="123568" spans="10:10" x14ac:dyDescent="0.3">
      <c r="J123568"/>
    </row>
    <row r="123569" spans="10:10" x14ac:dyDescent="0.3">
      <c r="J123569"/>
    </row>
    <row r="123570" spans="10:10" x14ac:dyDescent="0.3">
      <c r="J123570"/>
    </row>
    <row r="123571" spans="10:10" x14ac:dyDescent="0.3">
      <c r="J123571"/>
    </row>
    <row r="123572" spans="10:10" x14ac:dyDescent="0.3">
      <c r="J123572"/>
    </row>
    <row r="123573" spans="10:10" x14ac:dyDescent="0.3">
      <c r="J123573"/>
    </row>
    <row r="123574" spans="10:10" x14ac:dyDescent="0.3">
      <c r="J123574"/>
    </row>
    <row r="123575" spans="10:10" x14ac:dyDescent="0.3">
      <c r="J123575"/>
    </row>
    <row r="123576" spans="10:10" x14ac:dyDescent="0.3">
      <c r="J123576"/>
    </row>
    <row r="123577" spans="10:10" x14ac:dyDescent="0.3">
      <c r="J123577"/>
    </row>
    <row r="123578" spans="10:10" x14ac:dyDescent="0.3">
      <c r="J123578"/>
    </row>
    <row r="123579" spans="10:10" x14ac:dyDescent="0.3">
      <c r="J123579"/>
    </row>
    <row r="123580" spans="10:10" x14ac:dyDescent="0.3">
      <c r="J123580"/>
    </row>
    <row r="123581" spans="10:10" x14ac:dyDescent="0.3">
      <c r="J123581"/>
    </row>
    <row r="123582" spans="10:10" x14ac:dyDescent="0.3">
      <c r="J123582"/>
    </row>
    <row r="123583" spans="10:10" x14ac:dyDescent="0.3">
      <c r="J123583"/>
    </row>
    <row r="123584" spans="10:10" x14ac:dyDescent="0.3">
      <c r="J123584"/>
    </row>
    <row r="123585" spans="10:10" x14ac:dyDescent="0.3">
      <c r="J123585"/>
    </row>
    <row r="123586" spans="10:10" x14ac:dyDescent="0.3">
      <c r="J123586"/>
    </row>
    <row r="123587" spans="10:10" x14ac:dyDescent="0.3">
      <c r="J123587"/>
    </row>
    <row r="123588" spans="10:10" x14ac:dyDescent="0.3">
      <c r="J123588"/>
    </row>
    <row r="123589" spans="10:10" x14ac:dyDescent="0.3">
      <c r="J123589"/>
    </row>
    <row r="123590" spans="10:10" x14ac:dyDescent="0.3">
      <c r="J123590"/>
    </row>
    <row r="123591" spans="10:10" x14ac:dyDescent="0.3">
      <c r="J123591"/>
    </row>
    <row r="123592" spans="10:10" x14ac:dyDescent="0.3">
      <c r="J123592"/>
    </row>
    <row r="123593" spans="10:10" x14ac:dyDescent="0.3">
      <c r="J123593"/>
    </row>
    <row r="123594" spans="10:10" x14ac:dyDescent="0.3">
      <c r="J123594"/>
    </row>
    <row r="123595" spans="10:10" x14ac:dyDescent="0.3">
      <c r="J123595"/>
    </row>
    <row r="123596" spans="10:10" x14ac:dyDescent="0.3">
      <c r="J123596"/>
    </row>
    <row r="123597" spans="10:10" x14ac:dyDescent="0.3">
      <c r="J123597"/>
    </row>
    <row r="123598" spans="10:10" x14ac:dyDescent="0.3">
      <c r="J123598"/>
    </row>
    <row r="123599" spans="10:10" x14ac:dyDescent="0.3">
      <c r="J123599"/>
    </row>
    <row r="123600" spans="10:10" x14ac:dyDescent="0.3">
      <c r="J123600"/>
    </row>
    <row r="123601" spans="10:10" x14ac:dyDescent="0.3">
      <c r="J123601"/>
    </row>
    <row r="123602" spans="10:10" x14ac:dyDescent="0.3">
      <c r="J123602"/>
    </row>
    <row r="123603" spans="10:10" x14ac:dyDescent="0.3">
      <c r="J123603"/>
    </row>
    <row r="123604" spans="10:10" x14ac:dyDescent="0.3">
      <c r="J123604"/>
    </row>
    <row r="123605" spans="10:10" x14ac:dyDescent="0.3">
      <c r="J123605"/>
    </row>
    <row r="123606" spans="10:10" x14ac:dyDescent="0.3">
      <c r="J123606"/>
    </row>
    <row r="123607" spans="10:10" x14ac:dyDescent="0.3">
      <c r="J123607"/>
    </row>
    <row r="123608" spans="10:10" x14ac:dyDescent="0.3">
      <c r="J123608"/>
    </row>
    <row r="123609" spans="10:10" x14ac:dyDescent="0.3">
      <c r="J123609"/>
    </row>
    <row r="123610" spans="10:10" x14ac:dyDescent="0.3">
      <c r="J123610"/>
    </row>
    <row r="123611" spans="10:10" x14ac:dyDescent="0.3">
      <c r="J123611"/>
    </row>
    <row r="123612" spans="10:10" x14ac:dyDescent="0.3">
      <c r="J123612"/>
    </row>
    <row r="123613" spans="10:10" x14ac:dyDescent="0.3">
      <c r="J123613"/>
    </row>
    <row r="123614" spans="10:10" x14ac:dyDescent="0.3">
      <c r="J123614"/>
    </row>
    <row r="123615" spans="10:10" x14ac:dyDescent="0.3">
      <c r="J123615"/>
    </row>
    <row r="123616" spans="10:10" x14ac:dyDescent="0.3">
      <c r="J123616"/>
    </row>
    <row r="123617" spans="10:10" x14ac:dyDescent="0.3">
      <c r="J123617"/>
    </row>
    <row r="123618" spans="10:10" x14ac:dyDescent="0.3">
      <c r="J123618"/>
    </row>
    <row r="123619" spans="10:10" x14ac:dyDescent="0.3">
      <c r="J123619"/>
    </row>
    <row r="123620" spans="10:10" x14ac:dyDescent="0.3">
      <c r="J123620"/>
    </row>
    <row r="123621" spans="10:10" x14ac:dyDescent="0.3">
      <c r="J123621"/>
    </row>
    <row r="123622" spans="10:10" x14ac:dyDescent="0.3">
      <c r="J123622"/>
    </row>
    <row r="123623" spans="10:10" x14ac:dyDescent="0.3">
      <c r="J123623"/>
    </row>
    <row r="123624" spans="10:10" x14ac:dyDescent="0.3">
      <c r="J123624"/>
    </row>
    <row r="123625" spans="10:10" x14ac:dyDescent="0.3">
      <c r="J123625"/>
    </row>
    <row r="123626" spans="10:10" x14ac:dyDescent="0.3">
      <c r="J123626"/>
    </row>
    <row r="123627" spans="10:10" x14ac:dyDescent="0.3">
      <c r="J123627"/>
    </row>
    <row r="123628" spans="10:10" x14ac:dyDescent="0.3">
      <c r="J123628"/>
    </row>
    <row r="123629" spans="10:10" x14ac:dyDescent="0.3">
      <c r="J123629"/>
    </row>
    <row r="123630" spans="10:10" x14ac:dyDescent="0.3">
      <c r="J123630"/>
    </row>
    <row r="123631" spans="10:10" x14ac:dyDescent="0.3">
      <c r="J123631"/>
    </row>
    <row r="123632" spans="10:10" x14ac:dyDescent="0.3">
      <c r="J123632"/>
    </row>
    <row r="123633" spans="10:10" x14ac:dyDescent="0.3">
      <c r="J123633"/>
    </row>
    <row r="123634" spans="10:10" x14ac:dyDescent="0.3">
      <c r="J123634"/>
    </row>
    <row r="123635" spans="10:10" x14ac:dyDescent="0.3">
      <c r="J123635"/>
    </row>
    <row r="123636" spans="10:10" x14ac:dyDescent="0.3">
      <c r="J123636"/>
    </row>
    <row r="123637" spans="10:10" x14ac:dyDescent="0.3">
      <c r="J123637"/>
    </row>
    <row r="123638" spans="10:10" x14ac:dyDescent="0.3">
      <c r="J123638"/>
    </row>
    <row r="123639" spans="10:10" x14ac:dyDescent="0.3">
      <c r="J123639"/>
    </row>
    <row r="123640" spans="10:10" x14ac:dyDescent="0.3">
      <c r="J123640"/>
    </row>
    <row r="123641" spans="10:10" x14ac:dyDescent="0.3">
      <c r="J123641"/>
    </row>
    <row r="123642" spans="10:10" x14ac:dyDescent="0.3">
      <c r="J123642"/>
    </row>
    <row r="123643" spans="10:10" x14ac:dyDescent="0.3">
      <c r="J123643"/>
    </row>
    <row r="123644" spans="10:10" x14ac:dyDescent="0.3">
      <c r="J123644"/>
    </row>
    <row r="123645" spans="10:10" x14ac:dyDescent="0.3">
      <c r="J123645"/>
    </row>
    <row r="123646" spans="10:10" x14ac:dyDescent="0.3">
      <c r="J123646"/>
    </row>
    <row r="123647" spans="10:10" x14ac:dyDescent="0.3">
      <c r="J123647"/>
    </row>
    <row r="123648" spans="10:10" x14ac:dyDescent="0.3">
      <c r="J123648"/>
    </row>
    <row r="123649" spans="10:10" x14ac:dyDescent="0.3">
      <c r="J123649"/>
    </row>
    <row r="123650" spans="10:10" x14ac:dyDescent="0.3">
      <c r="J123650"/>
    </row>
    <row r="123651" spans="10:10" x14ac:dyDescent="0.3">
      <c r="J123651"/>
    </row>
    <row r="123652" spans="10:10" x14ac:dyDescent="0.3">
      <c r="J123652"/>
    </row>
    <row r="123653" spans="10:10" x14ac:dyDescent="0.3">
      <c r="J123653"/>
    </row>
    <row r="123654" spans="10:10" x14ac:dyDescent="0.3">
      <c r="J123654"/>
    </row>
    <row r="123655" spans="10:10" x14ac:dyDescent="0.3">
      <c r="J123655"/>
    </row>
    <row r="123656" spans="10:10" x14ac:dyDescent="0.3">
      <c r="J123656"/>
    </row>
    <row r="123657" spans="10:10" x14ac:dyDescent="0.3">
      <c r="J123657"/>
    </row>
    <row r="123658" spans="10:10" x14ac:dyDescent="0.3">
      <c r="J123658"/>
    </row>
    <row r="123659" spans="10:10" x14ac:dyDescent="0.3">
      <c r="J123659"/>
    </row>
    <row r="123660" spans="10:10" x14ac:dyDescent="0.3">
      <c r="J123660"/>
    </row>
    <row r="123661" spans="10:10" x14ac:dyDescent="0.3">
      <c r="J123661"/>
    </row>
    <row r="123662" spans="10:10" x14ac:dyDescent="0.3">
      <c r="J123662"/>
    </row>
    <row r="123663" spans="10:10" x14ac:dyDescent="0.3">
      <c r="J123663"/>
    </row>
    <row r="123664" spans="10:10" x14ac:dyDescent="0.3">
      <c r="J123664"/>
    </row>
    <row r="123665" spans="10:10" x14ac:dyDescent="0.3">
      <c r="J123665"/>
    </row>
    <row r="123666" spans="10:10" x14ac:dyDescent="0.3">
      <c r="J123666"/>
    </row>
    <row r="123667" spans="10:10" x14ac:dyDescent="0.3">
      <c r="J123667"/>
    </row>
    <row r="123668" spans="10:10" x14ac:dyDescent="0.3">
      <c r="J123668"/>
    </row>
    <row r="123669" spans="10:10" x14ac:dyDescent="0.3">
      <c r="J123669"/>
    </row>
    <row r="123670" spans="10:10" x14ac:dyDescent="0.3">
      <c r="J123670"/>
    </row>
    <row r="123671" spans="10:10" x14ac:dyDescent="0.3">
      <c r="J123671"/>
    </row>
    <row r="123672" spans="10:10" x14ac:dyDescent="0.3">
      <c r="J123672"/>
    </row>
    <row r="123673" spans="10:10" x14ac:dyDescent="0.3">
      <c r="J123673"/>
    </row>
    <row r="123674" spans="10:10" x14ac:dyDescent="0.3">
      <c r="J123674"/>
    </row>
    <row r="123675" spans="10:10" x14ac:dyDescent="0.3">
      <c r="J123675"/>
    </row>
    <row r="123676" spans="10:10" x14ac:dyDescent="0.3">
      <c r="J123676"/>
    </row>
    <row r="123677" spans="10:10" x14ac:dyDescent="0.3">
      <c r="J123677"/>
    </row>
    <row r="123678" spans="10:10" x14ac:dyDescent="0.3">
      <c r="J123678"/>
    </row>
    <row r="123679" spans="10:10" x14ac:dyDescent="0.3">
      <c r="J123679"/>
    </row>
    <row r="123680" spans="10:10" x14ac:dyDescent="0.3">
      <c r="J123680"/>
    </row>
    <row r="123681" spans="10:10" x14ac:dyDescent="0.3">
      <c r="J123681"/>
    </row>
    <row r="123682" spans="10:10" x14ac:dyDescent="0.3">
      <c r="J123682"/>
    </row>
    <row r="123683" spans="10:10" x14ac:dyDescent="0.3">
      <c r="J123683"/>
    </row>
    <row r="123684" spans="10:10" x14ac:dyDescent="0.3">
      <c r="J123684"/>
    </row>
    <row r="123685" spans="10:10" x14ac:dyDescent="0.3">
      <c r="J123685"/>
    </row>
    <row r="123686" spans="10:10" x14ac:dyDescent="0.3">
      <c r="J123686"/>
    </row>
    <row r="123687" spans="10:10" x14ac:dyDescent="0.3">
      <c r="J123687"/>
    </row>
    <row r="123688" spans="10:10" x14ac:dyDescent="0.3">
      <c r="J123688"/>
    </row>
    <row r="123689" spans="10:10" x14ac:dyDescent="0.3">
      <c r="J123689"/>
    </row>
    <row r="123690" spans="10:10" x14ac:dyDescent="0.3">
      <c r="J123690"/>
    </row>
    <row r="123691" spans="10:10" x14ac:dyDescent="0.3">
      <c r="J123691"/>
    </row>
    <row r="123692" spans="10:10" x14ac:dyDescent="0.3">
      <c r="J123692"/>
    </row>
    <row r="123693" spans="10:10" x14ac:dyDescent="0.3">
      <c r="J123693"/>
    </row>
    <row r="123694" spans="10:10" x14ac:dyDescent="0.3">
      <c r="J123694"/>
    </row>
    <row r="123695" spans="10:10" x14ac:dyDescent="0.3">
      <c r="J123695"/>
    </row>
    <row r="123696" spans="10:10" x14ac:dyDescent="0.3">
      <c r="J123696"/>
    </row>
    <row r="123697" spans="10:10" x14ac:dyDescent="0.3">
      <c r="J123697"/>
    </row>
    <row r="123698" spans="10:10" x14ac:dyDescent="0.3">
      <c r="J123698"/>
    </row>
    <row r="123699" spans="10:10" x14ac:dyDescent="0.3">
      <c r="J123699"/>
    </row>
    <row r="123700" spans="10:10" x14ac:dyDescent="0.3">
      <c r="J123700"/>
    </row>
    <row r="123701" spans="10:10" x14ac:dyDescent="0.3">
      <c r="J123701"/>
    </row>
    <row r="123702" spans="10:10" x14ac:dyDescent="0.3">
      <c r="J123702"/>
    </row>
    <row r="123703" spans="10:10" x14ac:dyDescent="0.3">
      <c r="J123703"/>
    </row>
    <row r="123704" spans="10:10" x14ac:dyDescent="0.3">
      <c r="J123704"/>
    </row>
    <row r="123705" spans="10:10" x14ac:dyDescent="0.3">
      <c r="J123705"/>
    </row>
    <row r="123706" spans="10:10" x14ac:dyDescent="0.3">
      <c r="J123706"/>
    </row>
    <row r="123707" spans="10:10" x14ac:dyDescent="0.3">
      <c r="J123707"/>
    </row>
    <row r="123708" spans="10:10" x14ac:dyDescent="0.3">
      <c r="J123708"/>
    </row>
    <row r="123709" spans="10:10" x14ac:dyDescent="0.3">
      <c r="J123709"/>
    </row>
    <row r="123710" spans="10:10" x14ac:dyDescent="0.3">
      <c r="J123710"/>
    </row>
    <row r="123711" spans="10:10" x14ac:dyDescent="0.3">
      <c r="J123711"/>
    </row>
    <row r="123712" spans="10:10" x14ac:dyDescent="0.3">
      <c r="J123712"/>
    </row>
    <row r="123713" spans="10:10" x14ac:dyDescent="0.3">
      <c r="J123713"/>
    </row>
    <row r="123714" spans="10:10" x14ac:dyDescent="0.3">
      <c r="J123714"/>
    </row>
    <row r="123715" spans="10:10" x14ac:dyDescent="0.3">
      <c r="J123715"/>
    </row>
    <row r="123716" spans="10:10" x14ac:dyDescent="0.3">
      <c r="J123716"/>
    </row>
    <row r="123717" spans="10:10" x14ac:dyDescent="0.3">
      <c r="J123717"/>
    </row>
    <row r="123718" spans="10:10" x14ac:dyDescent="0.3">
      <c r="J123718"/>
    </row>
    <row r="123719" spans="10:10" x14ac:dyDescent="0.3">
      <c r="J123719"/>
    </row>
    <row r="123720" spans="10:10" x14ac:dyDescent="0.3">
      <c r="J123720"/>
    </row>
    <row r="123721" spans="10:10" x14ac:dyDescent="0.3">
      <c r="J123721"/>
    </row>
    <row r="123722" spans="10:10" x14ac:dyDescent="0.3">
      <c r="J123722"/>
    </row>
    <row r="123723" spans="10:10" x14ac:dyDescent="0.3">
      <c r="J123723"/>
    </row>
    <row r="123724" spans="10:10" x14ac:dyDescent="0.3">
      <c r="J123724"/>
    </row>
    <row r="123725" spans="10:10" x14ac:dyDescent="0.3">
      <c r="J123725"/>
    </row>
    <row r="123726" spans="10:10" x14ac:dyDescent="0.3">
      <c r="J123726"/>
    </row>
    <row r="123727" spans="10:10" x14ac:dyDescent="0.3">
      <c r="J123727"/>
    </row>
    <row r="123728" spans="10:10" x14ac:dyDescent="0.3">
      <c r="J123728"/>
    </row>
    <row r="123729" spans="10:10" x14ac:dyDescent="0.3">
      <c r="J123729"/>
    </row>
    <row r="123730" spans="10:10" x14ac:dyDescent="0.3">
      <c r="J123730"/>
    </row>
    <row r="123731" spans="10:10" x14ac:dyDescent="0.3">
      <c r="J123731"/>
    </row>
    <row r="123732" spans="10:10" x14ac:dyDescent="0.3">
      <c r="J123732"/>
    </row>
    <row r="123733" spans="10:10" x14ac:dyDescent="0.3">
      <c r="J123733"/>
    </row>
    <row r="123734" spans="10:10" x14ac:dyDescent="0.3">
      <c r="J123734"/>
    </row>
    <row r="123735" spans="10:10" x14ac:dyDescent="0.3">
      <c r="J123735"/>
    </row>
    <row r="123736" spans="10:10" x14ac:dyDescent="0.3">
      <c r="J123736"/>
    </row>
    <row r="123737" spans="10:10" x14ac:dyDescent="0.3">
      <c r="J123737"/>
    </row>
    <row r="123738" spans="10:10" x14ac:dyDescent="0.3">
      <c r="J123738"/>
    </row>
    <row r="123739" spans="10:10" x14ac:dyDescent="0.3">
      <c r="J123739"/>
    </row>
    <row r="123740" spans="10:10" x14ac:dyDescent="0.3">
      <c r="J123740"/>
    </row>
    <row r="123741" spans="10:10" x14ac:dyDescent="0.3">
      <c r="J123741"/>
    </row>
    <row r="123742" spans="10:10" x14ac:dyDescent="0.3">
      <c r="J123742"/>
    </row>
    <row r="123743" spans="10:10" x14ac:dyDescent="0.3">
      <c r="J123743"/>
    </row>
    <row r="123744" spans="10:10" x14ac:dyDescent="0.3">
      <c r="J123744"/>
    </row>
    <row r="123745" spans="10:10" x14ac:dyDescent="0.3">
      <c r="J123745"/>
    </row>
    <row r="123746" spans="10:10" x14ac:dyDescent="0.3">
      <c r="J123746"/>
    </row>
    <row r="123747" spans="10:10" x14ac:dyDescent="0.3">
      <c r="J123747"/>
    </row>
    <row r="123748" spans="10:10" x14ac:dyDescent="0.3">
      <c r="J123748"/>
    </row>
    <row r="123749" spans="10:10" x14ac:dyDescent="0.3">
      <c r="J123749"/>
    </row>
    <row r="123750" spans="10:10" x14ac:dyDescent="0.3">
      <c r="J123750"/>
    </row>
    <row r="123751" spans="10:10" x14ac:dyDescent="0.3">
      <c r="J123751"/>
    </row>
    <row r="123752" spans="10:10" x14ac:dyDescent="0.3">
      <c r="J123752"/>
    </row>
    <row r="123753" spans="10:10" x14ac:dyDescent="0.3">
      <c r="J123753"/>
    </row>
    <row r="123754" spans="10:10" x14ac:dyDescent="0.3">
      <c r="J123754"/>
    </row>
    <row r="123755" spans="10:10" x14ac:dyDescent="0.3">
      <c r="J123755"/>
    </row>
    <row r="123756" spans="10:10" x14ac:dyDescent="0.3">
      <c r="J123756"/>
    </row>
    <row r="123757" spans="10:10" x14ac:dyDescent="0.3">
      <c r="J123757"/>
    </row>
    <row r="123758" spans="10:10" x14ac:dyDescent="0.3">
      <c r="J123758"/>
    </row>
    <row r="123759" spans="10:10" x14ac:dyDescent="0.3">
      <c r="J123759"/>
    </row>
    <row r="123760" spans="10:10" x14ac:dyDescent="0.3">
      <c r="J123760"/>
    </row>
    <row r="123761" spans="10:10" x14ac:dyDescent="0.3">
      <c r="J123761"/>
    </row>
    <row r="123762" spans="10:10" x14ac:dyDescent="0.3">
      <c r="J123762"/>
    </row>
    <row r="123763" spans="10:10" x14ac:dyDescent="0.3">
      <c r="J123763"/>
    </row>
    <row r="123764" spans="10:10" x14ac:dyDescent="0.3">
      <c r="J123764"/>
    </row>
    <row r="123765" spans="10:10" x14ac:dyDescent="0.3">
      <c r="J123765"/>
    </row>
    <row r="123766" spans="10:10" x14ac:dyDescent="0.3">
      <c r="J123766"/>
    </row>
    <row r="123767" spans="10:10" x14ac:dyDescent="0.3">
      <c r="J123767"/>
    </row>
    <row r="123768" spans="10:10" x14ac:dyDescent="0.3">
      <c r="J123768"/>
    </row>
    <row r="123769" spans="10:10" x14ac:dyDescent="0.3">
      <c r="J123769"/>
    </row>
    <row r="123770" spans="10:10" x14ac:dyDescent="0.3">
      <c r="J123770"/>
    </row>
    <row r="123771" spans="10:10" x14ac:dyDescent="0.3">
      <c r="J123771"/>
    </row>
    <row r="123772" spans="10:10" x14ac:dyDescent="0.3">
      <c r="J123772"/>
    </row>
    <row r="123773" spans="10:10" x14ac:dyDescent="0.3">
      <c r="J123773"/>
    </row>
    <row r="123774" spans="10:10" x14ac:dyDescent="0.3">
      <c r="J123774"/>
    </row>
    <row r="123775" spans="10:10" x14ac:dyDescent="0.3">
      <c r="J123775"/>
    </row>
    <row r="123776" spans="10:10" x14ac:dyDescent="0.3">
      <c r="J123776"/>
    </row>
    <row r="123777" spans="10:10" x14ac:dyDescent="0.3">
      <c r="J123777"/>
    </row>
    <row r="123778" spans="10:10" x14ac:dyDescent="0.3">
      <c r="J123778"/>
    </row>
    <row r="123779" spans="10:10" x14ac:dyDescent="0.3">
      <c r="J123779"/>
    </row>
    <row r="123780" spans="10:10" x14ac:dyDescent="0.3">
      <c r="J123780"/>
    </row>
    <row r="123781" spans="10:10" x14ac:dyDescent="0.3">
      <c r="J123781"/>
    </row>
    <row r="123782" spans="10:10" x14ac:dyDescent="0.3">
      <c r="J123782"/>
    </row>
    <row r="123783" spans="10:10" x14ac:dyDescent="0.3">
      <c r="J123783"/>
    </row>
    <row r="123784" spans="10:10" x14ac:dyDescent="0.3">
      <c r="J123784"/>
    </row>
    <row r="123785" spans="10:10" x14ac:dyDescent="0.3">
      <c r="J123785"/>
    </row>
    <row r="123786" spans="10:10" x14ac:dyDescent="0.3">
      <c r="J123786"/>
    </row>
    <row r="123787" spans="10:10" x14ac:dyDescent="0.3">
      <c r="J123787"/>
    </row>
    <row r="123788" spans="10:10" x14ac:dyDescent="0.3">
      <c r="J123788"/>
    </row>
    <row r="123789" spans="10:10" x14ac:dyDescent="0.3">
      <c r="J123789"/>
    </row>
    <row r="123790" spans="10:10" x14ac:dyDescent="0.3">
      <c r="J123790"/>
    </row>
    <row r="123791" spans="10:10" x14ac:dyDescent="0.3">
      <c r="J123791"/>
    </row>
    <row r="123792" spans="10:10" x14ac:dyDescent="0.3">
      <c r="J123792"/>
    </row>
    <row r="123793" spans="10:10" x14ac:dyDescent="0.3">
      <c r="J123793"/>
    </row>
    <row r="123794" spans="10:10" x14ac:dyDescent="0.3">
      <c r="J123794"/>
    </row>
    <row r="123795" spans="10:10" x14ac:dyDescent="0.3">
      <c r="J123795"/>
    </row>
    <row r="123796" spans="10:10" x14ac:dyDescent="0.3">
      <c r="J123796"/>
    </row>
    <row r="123797" spans="10:10" x14ac:dyDescent="0.3">
      <c r="J123797"/>
    </row>
    <row r="123798" spans="10:10" x14ac:dyDescent="0.3">
      <c r="J123798"/>
    </row>
    <row r="123799" spans="10:10" x14ac:dyDescent="0.3">
      <c r="J123799"/>
    </row>
    <row r="123800" spans="10:10" x14ac:dyDescent="0.3">
      <c r="J123800"/>
    </row>
    <row r="123801" spans="10:10" x14ac:dyDescent="0.3">
      <c r="J123801"/>
    </row>
    <row r="123802" spans="10:10" x14ac:dyDescent="0.3">
      <c r="J123802"/>
    </row>
    <row r="123803" spans="10:10" x14ac:dyDescent="0.3">
      <c r="J123803"/>
    </row>
    <row r="123804" spans="10:10" x14ac:dyDescent="0.3">
      <c r="J123804"/>
    </row>
    <row r="123805" spans="10:10" x14ac:dyDescent="0.3">
      <c r="J123805"/>
    </row>
    <row r="123806" spans="10:10" x14ac:dyDescent="0.3">
      <c r="J123806"/>
    </row>
    <row r="123807" spans="10:10" x14ac:dyDescent="0.3">
      <c r="J123807"/>
    </row>
    <row r="123808" spans="10:10" x14ac:dyDescent="0.3">
      <c r="J123808"/>
    </row>
    <row r="123809" spans="10:10" x14ac:dyDescent="0.3">
      <c r="J123809"/>
    </row>
    <row r="123810" spans="10:10" x14ac:dyDescent="0.3">
      <c r="J123810"/>
    </row>
    <row r="123811" spans="10:10" x14ac:dyDescent="0.3">
      <c r="J123811"/>
    </row>
    <row r="123812" spans="10:10" x14ac:dyDescent="0.3">
      <c r="J123812"/>
    </row>
    <row r="123813" spans="10:10" x14ac:dyDescent="0.3">
      <c r="J123813"/>
    </row>
    <row r="123814" spans="10:10" x14ac:dyDescent="0.3">
      <c r="J123814"/>
    </row>
    <row r="123815" spans="10:10" x14ac:dyDescent="0.3">
      <c r="J123815"/>
    </row>
    <row r="123816" spans="10:10" x14ac:dyDescent="0.3">
      <c r="J123816"/>
    </row>
    <row r="123817" spans="10:10" x14ac:dyDescent="0.3">
      <c r="J123817"/>
    </row>
    <row r="123818" spans="10:10" x14ac:dyDescent="0.3">
      <c r="J123818"/>
    </row>
    <row r="123819" spans="10:10" x14ac:dyDescent="0.3">
      <c r="J123819"/>
    </row>
    <row r="123820" spans="10:10" x14ac:dyDescent="0.3">
      <c r="J123820"/>
    </row>
    <row r="123821" spans="10:10" x14ac:dyDescent="0.3">
      <c r="J123821"/>
    </row>
    <row r="123822" spans="10:10" x14ac:dyDescent="0.3">
      <c r="J123822"/>
    </row>
    <row r="123823" spans="10:10" x14ac:dyDescent="0.3">
      <c r="J123823"/>
    </row>
    <row r="123824" spans="10:10" x14ac:dyDescent="0.3">
      <c r="J123824"/>
    </row>
    <row r="123825" spans="10:10" x14ac:dyDescent="0.3">
      <c r="J123825"/>
    </row>
    <row r="123826" spans="10:10" x14ac:dyDescent="0.3">
      <c r="J123826"/>
    </row>
    <row r="123827" spans="10:10" x14ac:dyDescent="0.3">
      <c r="J123827"/>
    </row>
    <row r="123828" spans="10:10" x14ac:dyDescent="0.3">
      <c r="J123828"/>
    </row>
    <row r="123829" spans="10:10" x14ac:dyDescent="0.3">
      <c r="J123829"/>
    </row>
    <row r="123830" spans="10:10" x14ac:dyDescent="0.3">
      <c r="J123830"/>
    </row>
    <row r="123831" spans="10:10" x14ac:dyDescent="0.3">
      <c r="J123831"/>
    </row>
    <row r="123832" spans="10:10" x14ac:dyDescent="0.3">
      <c r="J123832"/>
    </row>
    <row r="123833" spans="10:10" x14ac:dyDescent="0.3">
      <c r="J123833"/>
    </row>
    <row r="123834" spans="10:10" x14ac:dyDescent="0.3">
      <c r="J123834"/>
    </row>
    <row r="123835" spans="10:10" x14ac:dyDescent="0.3">
      <c r="J123835"/>
    </row>
    <row r="123836" spans="10:10" x14ac:dyDescent="0.3">
      <c r="J123836"/>
    </row>
    <row r="123837" spans="10:10" x14ac:dyDescent="0.3">
      <c r="J123837"/>
    </row>
    <row r="123838" spans="10:10" x14ac:dyDescent="0.3">
      <c r="J123838"/>
    </row>
    <row r="123839" spans="10:10" x14ac:dyDescent="0.3">
      <c r="J123839"/>
    </row>
    <row r="123840" spans="10:10" x14ac:dyDescent="0.3">
      <c r="J123840"/>
    </row>
    <row r="123841" spans="10:10" x14ac:dyDescent="0.3">
      <c r="J123841"/>
    </row>
    <row r="123842" spans="10:10" x14ac:dyDescent="0.3">
      <c r="J123842"/>
    </row>
    <row r="123843" spans="10:10" x14ac:dyDescent="0.3">
      <c r="J123843"/>
    </row>
    <row r="123844" spans="10:10" x14ac:dyDescent="0.3">
      <c r="J123844"/>
    </row>
    <row r="123845" spans="10:10" x14ac:dyDescent="0.3">
      <c r="J123845"/>
    </row>
    <row r="123846" spans="10:10" x14ac:dyDescent="0.3">
      <c r="J123846"/>
    </row>
    <row r="123847" spans="10:10" x14ac:dyDescent="0.3">
      <c r="J123847"/>
    </row>
    <row r="123848" spans="10:10" x14ac:dyDescent="0.3">
      <c r="J123848"/>
    </row>
    <row r="123849" spans="10:10" x14ac:dyDescent="0.3">
      <c r="J123849"/>
    </row>
    <row r="123850" spans="10:10" x14ac:dyDescent="0.3">
      <c r="J123850"/>
    </row>
    <row r="123851" spans="10:10" x14ac:dyDescent="0.3">
      <c r="J123851"/>
    </row>
    <row r="123852" spans="10:10" x14ac:dyDescent="0.3">
      <c r="J123852"/>
    </row>
    <row r="123853" spans="10:10" x14ac:dyDescent="0.3">
      <c r="J123853"/>
    </row>
    <row r="123854" spans="10:10" x14ac:dyDescent="0.3">
      <c r="J123854"/>
    </row>
    <row r="123855" spans="10:10" x14ac:dyDescent="0.3">
      <c r="J123855"/>
    </row>
    <row r="123856" spans="10:10" x14ac:dyDescent="0.3">
      <c r="J123856"/>
    </row>
    <row r="123857" spans="10:10" x14ac:dyDescent="0.3">
      <c r="J123857"/>
    </row>
    <row r="123858" spans="10:10" x14ac:dyDescent="0.3">
      <c r="J123858"/>
    </row>
    <row r="123859" spans="10:10" x14ac:dyDescent="0.3">
      <c r="J123859"/>
    </row>
    <row r="123860" spans="10:10" x14ac:dyDescent="0.3">
      <c r="J123860"/>
    </row>
    <row r="123861" spans="10:10" x14ac:dyDescent="0.3">
      <c r="J123861"/>
    </row>
    <row r="123862" spans="10:10" x14ac:dyDescent="0.3">
      <c r="J123862"/>
    </row>
    <row r="123863" spans="10:10" x14ac:dyDescent="0.3">
      <c r="J123863"/>
    </row>
    <row r="123864" spans="10:10" x14ac:dyDescent="0.3">
      <c r="J123864"/>
    </row>
    <row r="123865" spans="10:10" x14ac:dyDescent="0.3">
      <c r="J123865"/>
    </row>
    <row r="123866" spans="10:10" x14ac:dyDescent="0.3">
      <c r="J123866"/>
    </row>
    <row r="123867" spans="10:10" x14ac:dyDescent="0.3">
      <c r="J123867"/>
    </row>
    <row r="123868" spans="10:10" x14ac:dyDescent="0.3">
      <c r="J123868"/>
    </row>
    <row r="123869" spans="10:10" x14ac:dyDescent="0.3">
      <c r="J123869"/>
    </row>
    <row r="123870" spans="10:10" x14ac:dyDescent="0.3">
      <c r="J123870"/>
    </row>
    <row r="123871" spans="10:10" x14ac:dyDescent="0.3">
      <c r="J123871"/>
    </row>
    <row r="123872" spans="10:10" x14ac:dyDescent="0.3">
      <c r="J123872"/>
    </row>
    <row r="123873" spans="10:10" x14ac:dyDescent="0.3">
      <c r="J123873"/>
    </row>
    <row r="123874" spans="10:10" x14ac:dyDescent="0.3">
      <c r="J123874"/>
    </row>
    <row r="123875" spans="10:10" x14ac:dyDescent="0.3">
      <c r="J123875"/>
    </row>
    <row r="123876" spans="10:10" x14ac:dyDescent="0.3">
      <c r="J123876"/>
    </row>
    <row r="123877" spans="10:10" x14ac:dyDescent="0.3">
      <c r="J123877"/>
    </row>
    <row r="123878" spans="10:10" x14ac:dyDescent="0.3">
      <c r="J123878"/>
    </row>
    <row r="123879" spans="10:10" x14ac:dyDescent="0.3">
      <c r="J123879"/>
    </row>
    <row r="123880" spans="10:10" x14ac:dyDescent="0.3">
      <c r="J123880"/>
    </row>
    <row r="123881" spans="10:10" x14ac:dyDescent="0.3">
      <c r="J123881"/>
    </row>
    <row r="123882" spans="10:10" x14ac:dyDescent="0.3">
      <c r="J123882"/>
    </row>
    <row r="123883" spans="10:10" x14ac:dyDescent="0.3">
      <c r="J123883"/>
    </row>
    <row r="123884" spans="10:10" x14ac:dyDescent="0.3">
      <c r="J123884"/>
    </row>
    <row r="123885" spans="10:10" x14ac:dyDescent="0.3">
      <c r="J123885"/>
    </row>
    <row r="123886" spans="10:10" x14ac:dyDescent="0.3">
      <c r="J123886"/>
    </row>
    <row r="123887" spans="10:10" x14ac:dyDescent="0.3">
      <c r="J123887"/>
    </row>
    <row r="123888" spans="10:10" x14ac:dyDescent="0.3">
      <c r="J123888"/>
    </row>
    <row r="123889" spans="10:10" x14ac:dyDescent="0.3">
      <c r="J123889"/>
    </row>
    <row r="123890" spans="10:10" x14ac:dyDescent="0.3">
      <c r="J123890"/>
    </row>
    <row r="123891" spans="10:10" x14ac:dyDescent="0.3">
      <c r="J123891"/>
    </row>
    <row r="123892" spans="10:10" x14ac:dyDescent="0.3">
      <c r="J123892"/>
    </row>
    <row r="123893" spans="10:10" x14ac:dyDescent="0.3">
      <c r="J123893"/>
    </row>
    <row r="123894" spans="10:10" x14ac:dyDescent="0.3">
      <c r="J123894"/>
    </row>
    <row r="123895" spans="10:10" x14ac:dyDescent="0.3">
      <c r="J123895"/>
    </row>
    <row r="123896" spans="10:10" x14ac:dyDescent="0.3">
      <c r="J123896"/>
    </row>
    <row r="123897" spans="10:10" x14ac:dyDescent="0.3">
      <c r="J123897"/>
    </row>
    <row r="123898" spans="10:10" x14ac:dyDescent="0.3">
      <c r="J123898"/>
    </row>
    <row r="123899" spans="10:10" x14ac:dyDescent="0.3">
      <c r="J123899"/>
    </row>
    <row r="123900" spans="10:10" x14ac:dyDescent="0.3">
      <c r="J123900"/>
    </row>
    <row r="123901" spans="10:10" x14ac:dyDescent="0.3">
      <c r="J123901"/>
    </row>
    <row r="123902" spans="10:10" x14ac:dyDescent="0.3">
      <c r="J123902"/>
    </row>
    <row r="123903" spans="10:10" x14ac:dyDescent="0.3">
      <c r="J123903"/>
    </row>
    <row r="123904" spans="10:10" x14ac:dyDescent="0.3">
      <c r="J123904"/>
    </row>
    <row r="123905" spans="10:10" x14ac:dyDescent="0.3">
      <c r="J123905"/>
    </row>
    <row r="123906" spans="10:10" x14ac:dyDescent="0.3">
      <c r="J123906"/>
    </row>
    <row r="123907" spans="10:10" x14ac:dyDescent="0.3">
      <c r="J123907"/>
    </row>
    <row r="123908" spans="10:10" x14ac:dyDescent="0.3">
      <c r="J123908"/>
    </row>
    <row r="123909" spans="10:10" x14ac:dyDescent="0.3">
      <c r="J123909"/>
    </row>
    <row r="123910" spans="10:10" x14ac:dyDescent="0.3">
      <c r="J123910"/>
    </row>
    <row r="123911" spans="10:10" x14ac:dyDescent="0.3">
      <c r="J123911"/>
    </row>
    <row r="123912" spans="10:10" x14ac:dyDescent="0.3">
      <c r="J123912"/>
    </row>
    <row r="123913" spans="10:10" x14ac:dyDescent="0.3">
      <c r="J123913"/>
    </row>
    <row r="123914" spans="10:10" x14ac:dyDescent="0.3">
      <c r="J123914"/>
    </row>
    <row r="123915" spans="10:10" x14ac:dyDescent="0.3">
      <c r="J123915"/>
    </row>
    <row r="123916" spans="10:10" x14ac:dyDescent="0.3">
      <c r="J123916"/>
    </row>
    <row r="123917" spans="10:10" x14ac:dyDescent="0.3">
      <c r="J123917"/>
    </row>
    <row r="123918" spans="10:10" x14ac:dyDescent="0.3">
      <c r="J123918"/>
    </row>
    <row r="123919" spans="10:10" x14ac:dyDescent="0.3">
      <c r="J123919"/>
    </row>
    <row r="123920" spans="10:10" x14ac:dyDescent="0.3">
      <c r="J123920"/>
    </row>
    <row r="123921" spans="10:10" x14ac:dyDescent="0.3">
      <c r="J123921"/>
    </row>
    <row r="123922" spans="10:10" x14ac:dyDescent="0.3">
      <c r="J123922"/>
    </row>
    <row r="123923" spans="10:10" x14ac:dyDescent="0.3">
      <c r="J123923"/>
    </row>
    <row r="123924" spans="10:10" x14ac:dyDescent="0.3">
      <c r="J123924"/>
    </row>
    <row r="123925" spans="10:10" x14ac:dyDescent="0.3">
      <c r="J123925"/>
    </row>
    <row r="123926" spans="10:10" x14ac:dyDescent="0.3">
      <c r="J123926"/>
    </row>
    <row r="123927" spans="10:10" x14ac:dyDescent="0.3">
      <c r="J123927"/>
    </row>
    <row r="123928" spans="10:10" x14ac:dyDescent="0.3">
      <c r="J123928"/>
    </row>
    <row r="123929" spans="10:10" x14ac:dyDescent="0.3">
      <c r="J123929"/>
    </row>
    <row r="123930" spans="10:10" x14ac:dyDescent="0.3">
      <c r="J123930"/>
    </row>
    <row r="123931" spans="10:10" x14ac:dyDescent="0.3">
      <c r="J123931"/>
    </row>
    <row r="123932" spans="10:10" x14ac:dyDescent="0.3">
      <c r="J123932"/>
    </row>
    <row r="123933" spans="10:10" x14ac:dyDescent="0.3">
      <c r="J123933"/>
    </row>
    <row r="123934" spans="10:10" x14ac:dyDescent="0.3">
      <c r="J123934"/>
    </row>
    <row r="123935" spans="10:10" x14ac:dyDescent="0.3">
      <c r="J123935"/>
    </row>
    <row r="123936" spans="10:10" x14ac:dyDescent="0.3">
      <c r="J123936"/>
    </row>
    <row r="123937" spans="10:10" x14ac:dyDescent="0.3">
      <c r="J123937"/>
    </row>
    <row r="123938" spans="10:10" x14ac:dyDescent="0.3">
      <c r="J123938"/>
    </row>
    <row r="123939" spans="10:10" x14ac:dyDescent="0.3">
      <c r="J123939"/>
    </row>
    <row r="123940" spans="10:10" x14ac:dyDescent="0.3">
      <c r="J123940"/>
    </row>
    <row r="123941" spans="10:10" x14ac:dyDescent="0.3">
      <c r="J123941"/>
    </row>
    <row r="123942" spans="10:10" x14ac:dyDescent="0.3">
      <c r="J123942"/>
    </row>
    <row r="123943" spans="10:10" x14ac:dyDescent="0.3">
      <c r="J123943"/>
    </row>
    <row r="123944" spans="10:10" x14ac:dyDescent="0.3">
      <c r="J123944"/>
    </row>
    <row r="123945" spans="10:10" x14ac:dyDescent="0.3">
      <c r="J123945"/>
    </row>
    <row r="123946" spans="10:10" x14ac:dyDescent="0.3">
      <c r="J123946"/>
    </row>
    <row r="123947" spans="10:10" x14ac:dyDescent="0.3">
      <c r="J123947"/>
    </row>
    <row r="123948" spans="10:10" x14ac:dyDescent="0.3">
      <c r="J123948"/>
    </row>
    <row r="123949" spans="10:10" x14ac:dyDescent="0.3">
      <c r="J123949"/>
    </row>
    <row r="123950" spans="10:10" x14ac:dyDescent="0.3">
      <c r="J123950"/>
    </row>
    <row r="123951" spans="10:10" x14ac:dyDescent="0.3">
      <c r="J123951"/>
    </row>
    <row r="123952" spans="10:10" x14ac:dyDescent="0.3">
      <c r="J123952"/>
    </row>
    <row r="123953" spans="10:10" x14ac:dyDescent="0.3">
      <c r="J123953"/>
    </row>
    <row r="123954" spans="10:10" x14ac:dyDescent="0.3">
      <c r="J123954"/>
    </row>
    <row r="123955" spans="10:10" x14ac:dyDescent="0.3">
      <c r="J123955"/>
    </row>
    <row r="123956" spans="10:10" x14ac:dyDescent="0.3">
      <c r="J123956"/>
    </row>
    <row r="123957" spans="10:10" x14ac:dyDescent="0.3">
      <c r="J123957"/>
    </row>
    <row r="123958" spans="10:10" x14ac:dyDescent="0.3">
      <c r="J123958"/>
    </row>
    <row r="123959" spans="10:10" x14ac:dyDescent="0.3">
      <c r="J123959"/>
    </row>
    <row r="123960" spans="10:10" x14ac:dyDescent="0.3">
      <c r="J123960"/>
    </row>
    <row r="123961" spans="10:10" x14ac:dyDescent="0.3">
      <c r="J123961"/>
    </row>
    <row r="123962" spans="10:10" x14ac:dyDescent="0.3">
      <c r="J123962"/>
    </row>
    <row r="123963" spans="10:10" x14ac:dyDescent="0.3">
      <c r="J123963"/>
    </row>
    <row r="123964" spans="10:10" x14ac:dyDescent="0.3">
      <c r="J123964"/>
    </row>
    <row r="123965" spans="10:10" x14ac:dyDescent="0.3">
      <c r="J123965"/>
    </row>
    <row r="123966" spans="10:10" x14ac:dyDescent="0.3">
      <c r="J123966"/>
    </row>
    <row r="123967" spans="10:10" x14ac:dyDescent="0.3">
      <c r="J123967"/>
    </row>
    <row r="123968" spans="10:10" x14ac:dyDescent="0.3">
      <c r="J123968"/>
    </row>
    <row r="123969" spans="10:10" x14ac:dyDescent="0.3">
      <c r="J123969"/>
    </row>
    <row r="123970" spans="10:10" x14ac:dyDescent="0.3">
      <c r="J123970"/>
    </row>
    <row r="123971" spans="10:10" x14ac:dyDescent="0.3">
      <c r="J123971"/>
    </row>
    <row r="123972" spans="10:10" x14ac:dyDescent="0.3">
      <c r="J123972"/>
    </row>
    <row r="123973" spans="10:10" x14ac:dyDescent="0.3">
      <c r="J123973"/>
    </row>
    <row r="123974" spans="10:10" x14ac:dyDescent="0.3">
      <c r="J123974"/>
    </row>
    <row r="123975" spans="10:10" x14ac:dyDescent="0.3">
      <c r="J123975"/>
    </row>
    <row r="123976" spans="10:10" x14ac:dyDescent="0.3">
      <c r="J123976"/>
    </row>
    <row r="123977" spans="10:10" x14ac:dyDescent="0.3">
      <c r="J123977"/>
    </row>
    <row r="123978" spans="10:10" x14ac:dyDescent="0.3">
      <c r="J123978"/>
    </row>
    <row r="123979" spans="10:10" x14ac:dyDescent="0.3">
      <c r="J123979"/>
    </row>
    <row r="123980" spans="10:10" x14ac:dyDescent="0.3">
      <c r="J123980"/>
    </row>
    <row r="123981" spans="10:10" x14ac:dyDescent="0.3">
      <c r="J123981"/>
    </row>
    <row r="123982" spans="10:10" x14ac:dyDescent="0.3">
      <c r="J123982"/>
    </row>
    <row r="123983" spans="10:10" x14ac:dyDescent="0.3">
      <c r="J123983"/>
    </row>
    <row r="123984" spans="10:10" x14ac:dyDescent="0.3">
      <c r="J123984"/>
    </row>
    <row r="123985" spans="10:10" x14ac:dyDescent="0.3">
      <c r="J123985"/>
    </row>
    <row r="123986" spans="10:10" x14ac:dyDescent="0.3">
      <c r="J123986"/>
    </row>
    <row r="123987" spans="10:10" x14ac:dyDescent="0.3">
      <c r="J123987"/>
    </row>
    <row r="123988" spans="10:10" x14ac:dyDescent="0.3">
      <c r="J123988"/>
    </row>
    <row r="123989" spans="10:10" x14ac:dyDescent="0.3">
      <c r="J123989"/>
    </row>
    <row r="123990" spans="10:10" x14ac:dyDescent="0.3">
      <c r="J123990"/>
    </row>
    <row r="123991" spans="10:10" x14ac:dyDescent="0.3">
      <c r="J123991"/>
    </row>
    <row r="123992" spans="10:10" x14ac:dyDescent="0.3">
      <c r="J123992"/>
    </row>
    <row r="123993" spans="10:10" x14ac:dyDescent="0.3">
      <c r="J123993"/>
    </row>
    <row r="123994" spans="10:10" x14ac:dyDescent="0.3">
      <c r="J123994"/>
    </row>
    <row r="123995" spans="10:10" x14ac:dyDescent="0.3">
      <c r="J123995"/>
    </row>
    <row r="123996" spans="10:10" x14ac:dyDescent="0.3">
      <c r="J123996"/>
    </row>
    <row r="123997" spans="10:10" x14ac:dyDescent="0.3">
      <c r="J123997"/>
    </row>
    <row r="123998" spans="10:10" x14ac:dyDescent="0.3">
      <c r="J123998"/>
    </row>
    <row r="123999" spans="10:10" x14ac:dyDescent="0.3">
      <c r="J123999"/>
    </row>
    <row r="124000" spans="10:10" x14ac:dyDescent="0.3">
      <c r="J124000"/>
    </row>
    <row r="124001" spans="10:10" x14ac:dyDescent="0.3">
      <c r="J124001"/>
    </row>
    <row r="124002" spans="10:10" x14ac:dyDescent="0.3">
      <c r="J124002"/>
    </row>
    <row r="124003" spans="10:10" x14ac:dyDescent="0.3">
      <c r="J124003"/>
    </row>
    <row r="124004" spans="10:10" x14ac:dyDescent="0.3">
      <c r="J124004"/>
    </row>
    <row r="124005" spans="10:10" x14ac:dyDescent="0.3">
      <c r="J124005"/>
    </row>
    <row r="124006" spans="10:10" x14ac:dyDescent="0.3">
      <c r="J124006"/>
    </row>
    <row r="124007" spans="10:10" x14ac:dyDescent="0.3">
      <c r="J124007"/>
    </row>
    <row r="124008" spans="10:10" x14ac:dyDescent="0.3">
      <c r="J124008"/>
    </row>
    <row r="124009" spans="10:10" x14ac:dyDescent="0.3">
      <c r="J124009"/>
    </row>
    <row r="124010" spans="10:10" x14ac:dyDescent="0.3">
      <c r="J124010"/>
    </row>
    <row r="124011" spans="10:10" x14ac:dyDescent="0.3">
      <c r="J124011"/>
    </row>
    <row r="124012" spans="10:10" x14ac:dyDescent="0.3">
      <c r="J124012"/>
    </row>
    <row r="124013" spans="10:10" x14ac:dyDescent="0.3">
      <c r="J124013"/>
    </row>
    <row r="124014" spans="10:10" x14ac:dyDescent="0.3">
      <c r="J124014"/>
    </row>
    <row r="124015" spans="10:10" x14ac:dyDescent="0.3">
      <c r="J124015"/>
    </row>
    <row r="124016" spans="10:10" x14ac:dyDescent="0.3">
      <c r="J124016"/>
    </row>
    <row r="124017" spans="10:10" x14ac:dyDescent="0.3">
      <c r="J124017"/>
    </row>
    <row r="124018" spans="10:10" x14ac:dyDescent="0.3">
      <c r="J124018"/>
    </row>
    <row r="124019" spans="10:10" x14ac:dyDescent="0.3">
      <c r="J124019"/>
    </row>
    <row r="124020" spans="10:10" x14ac:dyDescent="0.3">
      <c r="J124020"/>
    </row>
    <row r="124021" spans="10:10" x14ac:dyDescent="0.3">
      <c r="J124021"/>
    </row>
    <row r="124022" spans="10:10" x14ac:dyDescent="0.3">
      <c r="J124022"/>
    </row>
    <row r="124023" spans="10:10" x14ac:dyDescent="0.3">
      <c r="J124023"/>
    </row>
    <row r="124024" spans="10:10" x14ac:dyDescent="0.3">
      <c r="J124024"/>
    </row>
    <row r="124025" spans="10:10" x14ac:dyDescent="0.3">
      <c r="J124025"/>
    </row>
    <row r="124026" spans="10:10" x14ac:dyDescent="0.3">
      <c r="J124026"/>
    </row>
    <row r="124027" spans="10:10" x14ac:dyDescent="0.3">
      <c r="J124027"/>
    </row>
    <row r="124028" spans="10:10" x14ac:dyDescent="0.3">
      <c r="J124028"/>
    </row>
    <row r="124029" spans="10:10" x14ac:dyDescent="0.3">
      <c r="J124029"/>
    </row>
    <row r="124030" spans="10:10" x14ac:dyDescent="0.3">
      <c r="J124030"/>
    </row>
    <row r="124031" spans="10:10" x14ac:dyDescent="0.3">
      <c r="J124031"/>
    </row>
    <row r="124032" spans="10:10" x14ac:dyDescent="0.3">
      <c r="J124032"/>
    </row>
    <row r="124033" spans="10:10" x14ac:dyDescent="0.3">
      <c r="J124033"/>
    </row>
    <row r="124034" spans="10:10" x14ac:dyDescent="0.3">
      <c r="J124034"/>
    </row>
    <row r="124035" spans="10:10" x14ac:dyDescent="0.3">
      <c r="J124035"/>
    </row>
    <row r="124036" spans="10:10" x14ac:dyDescent="0.3">
      <c r="J124036"/>
    </row>
    <row r="124037" spans="10:10" x14ac:dyDescent="0.3">
      <c r="J124037"/>
    </row>
    <row r="124038" spans="10:10" x14ac:dyDescent="0.3">
      <c r="J124038"/>
    </row>
    <row r="124039" spans="10:10" x14ac:dyDescent="0.3">
      <c r="J124039"/>
    </row>
    <row r="124040" spans="10:10" x14ac:dyDescent="0.3">
      <c r="J124040"/>
    </row>
    <row r="124041" spans="10:10" x14ac:dyDescent="0.3">
      <c r="J124041"/>
    </row>
    <row r="124042" spans="10:10" x14ac:dyDescent="0.3">
      <c r="J124042"/>
    </row>
    <row r="124043" spans="10:10" x14ac:dyDescent="0.3">
      <c r="J124043"/>
    </row>
    <row r="124044" spans="10:10" x14ac:dyDescent="0.3">
      <c r="J124044"/>
    </row>
    <row r="124045" spans="10:10" x14ac:dyDescent="0.3">
      <c r="J124045"/>
    </row>
    <row r="124046" spans="10:10" x14ac:dyDescent="0.3">
      <c r="J124046"/>
    </row>
    <row r="124047" spans="10:10" x14ac:dyDescent="0.3">
      <c r="J124047"/>
    </row>
    <row r="124048" spans="10:10" x14ac:dyDescent="0.3">
      <c r="J124048"/>
    </row>
    <row r="124049" spans="10:10" x14ac:dyDescent="0.3">
      <c r="J124049"/>
    </row>
    <row r="124050" spans="10:10" x14ac:dyDescent="0.3">
      <c r="J124050"/>
    </row>
    <row r="124051" spans="10:10" x14ac:dyDescent="0.3">
      <c r="J124051"/>
    </row>
    <row r="124052" spans="10:10" x14ac:dyDescent="0.3">
      <c r="J124052"/>
    </row>
    <row r="124053" spans="10:10" x14ac:dyDescent="0.3">
      <c r="J124053"/>
    </row>
    <row r="124054" spans="10:10" x14ac:dyDescent="0.3">
      <c r="J124054"/>
    </row>
    <row r="124055" spans="10:10" x14ac:dyDescent="0.3">
      <c r="J124055"/>
    </row>
    <row r="124056" spans="10:10" x14ac:dyDescent="0.3">
      <c r="J124056"/>
    </row>
    <row r="124057" spans="10:10" x14ac:dyDescent="0.3">
      <c r="J124057"/>
    </row>
    <row r="124058" spans="10:10" x14ac:dyDescent="0.3">
      <c r="J124058"/>
    </row>
    <row r="124059" spans="10:10" x14ac:dyDescent="0.3">
      <c r="J124059"/>
    </row>
    <row r="124060" spans="10:10" x14ac:dyDescent="0.3">
      <c r="J124060"/>
    </row>
    <row r="124061" spans="10:10" x14ac:dyDescent="0.3">
      <c r="J124061"/>
    </row>
    <row r="124062" spans="10:10" x14ac:dyDescent="0.3">
      <c r="J124062"/>
    </row>
    <row r="124063" spans="10:10" x14ac:dyDescent="0.3">
      <c r="J124063"/>
    </row>
    <row r="124064" spans="10:10" x14ac:dyDescent="0.3">
      <c r="J124064"/>
    </row>
    <row r="124065" spans="10:10" x14ac:dyDescent="0.3">
      <c r="J124065"/>
    </row>
    <row r="124066" spans="10:10" x14ac:dyDescent="0.3">
      <c r="J124066"/>
    </row>
    <row r="124067" spans="10:10" x14ac:dyDescent="0.3">
      <c r="J124067"/>
    </row>
    <row r="124068" spans="10:10" x14ac:dyDescent="0.3">
      <c r="J124068"/>
    </row>
    <row r="124069" spans="10:10" x14ac:dyDescent="0.3">
      <c r="J124069"/>
    </row>
    <row r="124070" spans="10:10" x14ac:dyDescent="0.3">
      <c r="J124070"/>
    </row>
    <row r="124071" spans="10:10" x14ac:dyDescent="0.3">
      <c r="J124071"/>
    </row>
    <row r="124072" spans="10:10" x14ac:dyDescent="0.3">
      <c r="J124072"/>
    </row>
    <row r="124073" spans="10:10" x14ac:dyDescent="0.3">
      <c r="J124073"/>
    </row>
    <row r="124074" spans="10:10" x14ac:dyDescent="0.3">
      <c r="J124074"/>
    </row>
    <row r="124075" spans="10:10" x14ac:dyDescent="0.3">
      <c r="J124075"/>
    </row>
    <row r="124076" spans="10:10" x14ac:dyDescent="0.3">
      <c r="J124076"/>
    </row>
    <row r="124077" spans="10:10" x14ac:dyDescent="0.3">
      <c r="J124077"/>
    </row>
    <row r="124078" spans="10:10" x14ac:dyDescent="0.3">
      <c r="J124078"/>
    </row>
    <row r="124079" spans="10:10" x14ac:dyDescent="0.3">
      <c r="J124079"/>
    </row>
    <row r="124080" spans="10:10" x14ac:dyDescent="0.3">
      <c r="J124080"/>
    </row>
    <row r="124081" spans="10:10" x14ac:dyDescent="0.3">
      <c r="J124081"/>
    </row>
    <row r="124082" spans="10:10" x14ac:dyDescent="0.3">
      <c r="J124082"/>
    </row>
    <row r="124083" spans="10:10" x14ac:dyDescent="0.3">
      <c r="J124083"/>
    </row>
    <row r="124084" spans="10:10" x14ac:dyDescent="0.3">
      <c r="J124084"/>
    </row>
    <row r="124085" spans="10:10" x14ac:dyDescent="0.3">
      <c r="J124085"/>
    </row>
    <row r="124086" spans="10:10" x14ac:dyDescent="0.3">
      <c r="J124086"/>
    </row>
    <row r="124087" spans="10:10" x14ac:dyDescent="0.3">
      <c r="J124087"/>
    </row>
    <row r="124088" spans="10:10" x14ac:dyDescent="0.3">
      <c r="J124088"/>
    </row>
    <row r="124089" spans="10:10" x14ac:dyDescent="0.3">
      <c r="J124089"/>
    </row>
    <row r="124090" spans="10:10" x14ac:dyDescent="0.3">
      <c r="J124090"/>
    </row>
    <row r="124091" spans="10:10" x14ac:dyDescent="0.3">
      <c r="J124091"/>
    </row>
    <row r="124092" spans="10:10" x14ac:dyDescent="0.3">
      <c r="J124092"/>
    </row>
    <row r="124093" spans="10:10" x14ac:dyDescent="0.3">
      <c r="J124093"/>
    </row>
    <row r="124094" spans="10:10" x14ac:dyDescent="0.3">
      <c r="J124094"/>
    </row>
    <row r="124095" spans="10:10" x14ac:dyDescent="0.3">
      <c r="J124095"/>
    </row>
    <row r="124096" spans="10:10" x14ac:dyDescent="0.3">
      <c r="J124096"/>
    </row>
    <row r="124097" spans="10:10" x14ac:dyDescent="0.3">
      <c r="J124097"/>
    </row>
    <row r="124098" spans="10:10" x14ac:dyDescent="0.3">
      <c r="J124098"/>
    </row>
    <row r="124099" spans="10:10" x14ac:dyDescent="0.3">
      <c r="J124099"/>
    </row>
    <row r="124100" spans="10:10" x14ac:dyDescent="0.3">
      <c r="J124100"/>
    </row>
    <row r="124101" spans="10:10" x14ac:dyDescent="0.3">
      <c r="J124101"/>
    </row>
    <row r="124102" spans="10:10" x14ac:dyDescent="0.3">
      <c r="J124102"/>
    </row>
    <row r="124103" spans="10:10" x14ac:dyDescent="0.3">
      <c r="J124103"/>
    </row>
    <row r="124104" spans="10:10" x14ac:dyDescent="0.3">
      <c r="J124104"/>
    </row>
    <row r="124105" spans="10:10" x14ac:dyDescent="0.3">
      <c r="J124105"/>
    </row>
    <row r="124106" spans="10:10" x14ac:dyDescent="0.3">
      <c r="J124106"/>
    </row>
    <row r="124107" spans="10:10" x14ac:dyDescent="0.3">
      <c r="J124107"/>
    </row>
    <row r="124108" spans="10:10" x14ac:dyDescent="0.3">
      <c r="J124108"/>
    </row>
    <row r="124109" spans="10:10" x14ac:dyDescent="0.3">
      <c r="J124109"/>
    </row>
    <row r="124110" spans="10:10" x14ac:dyDescent="0.3">
      <c r="J124110"/>
    </row>
    <row r="124111" spans="10:10" x14ac:dyDescent="0.3">
      <c r="J124111"/>
    </row>
    <row r="124112" spans="10:10" x14ac:dyDescent="0.3">
      <c r="J124112"/>
    </row>
    <row r="124113" spans="10:10" x14ac:dyDescent="0.3">
      <c r="J124113"/>
    </row>
    <row r="124114" spans="10:10" x14ac:dyDescent="0.3">
      <c r="J124114"/>
    </row>
    <row r="124115" spans="10:10" x14ac:dyDescent="0.3">
      <c r="J124115"/>
    </row>
    <row r="124116" spans="10:10" x14ac:dyDescent="0.3">
      <c r="J124116"/>
    </row>
    <row r="124117" spans="10:10" x14ac:dyDescent="0.3">
      <c r="J124117"/>
    </row>
    <row r="124118" spans="10:10" x14ac:dyDescent="0.3">
      <c r="J124118"/>
    </row>
    <row r="124119" spans="10:10" x14ac:dyDescent="0.3">
      <c r="J124119"/>
    </row>
    <row r="124120" spans="10:10" x14ac:dyDescent="0.3">
      <c r="J124120"/>
    </row>
    <row r="124121" spans="10:10" x14ac:dyDescent="0.3">
      <c r="J124121"/>
    </row>
    <row r="124122" spans="10:10" x14ac:dyDescent="0.3">
      <c r="J124122"/>
    </row>
    <row r="124123" spans="10:10" x14ac:dyDescent="0.3">
      <c r="J124123"/>
    </row>
    <row r="124124" spans="10:10" x14ac:dyDescent="0.3">
      <c r="J124124"/>
    </row>
    <row r="124125" spans="10:10" x14ac:dyDescent="0.3">
      <c r="J124125"/>
    </row>
    <row r="124126" spans="10:10" x14ac:dyDescent="0.3">
      <c r="J124126"/>
    </row>
    <row r="124127" spans="10:10" x14ac:dyDescent="0.3">
      <c r="J124127"/>
    </row>
    <row r="124128" spans="10:10" x14ac:dyDescent="0.3">
      <c r="J124128"/>
    </row>
    <row r="124129" spans="10:10" x14ac:dyDescent="0.3">
      <c r="J124129"/>
    </row>
    <row r="124130" spans="10:10" x14ac:dyDescent="0.3">
      <c r="J124130"/>
    </row>
    <row r="124131" spans="10:10" x14ac:dyDescent="0.3">
      <c r="J124131"/>
    </row>
    <row r="124132" spans="10:10" x14ac:dyDescent="0.3">
      <c r="J124132"/>
    </row>
    <row r="124133" spans="10:10" x14ac:dyDescent="0.3">
      <c r="J124133"/>
    </row>
    <row r="124134" spans="10:10" x14ac:dyDescent="0.3">
      <c r="J124134"/>
    </row>
    <row r="124135" spans="10:10" x14ac:dyDescent="0.3">
      <c r="J124135"/>
    </row>
    <row r="124136" spans="10:10" x14ac:dyDescent="0.3">
      <c r="J124136"/>
    </row>
    <row r="124137" spans="10:10" x14ac:dyDescent="0.3">
      <c r="J124137"/>
    </row>
    <row r="124138" spans="10:10" x14ac:dyDescent="0.3">
      <c r="J124138"/>
    </row>
    <row r="124139" spans="10:10" x14ac:dyDescent="0.3">
      <c r="J124139"/>
    </row>
    <row r="124140" spans="10:10" x14ac:dyDescent="0.3">
      <c r="J124140"/>
    </row>
    <row r="124141" spans="10:10" x14ac:dyDescent="0.3">
      <c r="J124141"/>
    </row>
    <row r="124142" spans="10:10" x14ac:dyDescent="0.3">
      <c r="J124142"/>
    </row>
    <row r="124143" spans="10:10" x14ac:dyDescent="0.3">
      <c r="J124143"/>
    </row>
    <row r="124144" spans="10:10" x14ac:dyDescent="0.3">
      <c r="J124144"/>
    </row>
    <row r="124145" spans="10:10" x14ac:dyDescent="0.3">
      <c r="J124145"/>
    </row>
    <row r="124146" spans="10:10" x14ac:dyDescent="0.3">
      <c r="J124146"/>
    </row>
    <row r="124147" spans="10:10" x14ac:dyDescent="0.3">
      <c r="J124147"/>
    </row>
    <row r="124148" spans="10:10" x14ac:dyDescent="0.3">
      <c r="J124148"/>
    </row>
    <row r="124149" spans="10:10" x14ac:dyDescent="0.3">
      <c r="J124149"/>
    </row>
    <row r="124150" spans="10:10" x14ac:dyDescent="0.3">
      <c r="J124150"/>
    </row>
    <row r="124151" spans="10:10" x14ac:dyDescent="0.3">
      <c r="J124151"/>
    </row>
    <row r="124152" spans="10:10" x14ac:dyDescent="0.3">
      <c r="J124152"/>
    </row>
    <row r="124153" spans="10:10" x14ac:dyDescent="0.3">
      <c r="J124153"/>
    </row>
    <row r="124154" spans="10:10" x14ac:dyDescent="0.3">
      <c r="J124154"/>
    </row>
    <row r="124155" spans="10:10" x14ac:dyDescent="0.3">
      <c r="J124155"/>
    </row>
    <row r="124156" spans="10:10" x14ac:dyDescent="0.3">
      <c r="J124156"/>
    </row>
    <row r="124157" spans="10:10" x14ac:dyDescent="0.3">
      <c r="J124157"/>
    </row>
    <row r="124158" spans="10:10" x14ac:dyDescent="0.3">
      <c r="J124158"/>
    </row>
    <row r="124159" spans="10:10" x14ac:dyDescent="0.3">
      <c r="J124159"/>
    </row>
    <row r="124160" spans="10:10" x14ac:dyDescent="0.3">
      <c r="J124160"/>
    </row>
    <row r="124161" spans="10:10" x14ac:dyDescent="0.3">
      <c r="J124161"/>
    </row>
    <row r="124162" spans="10:10" x14ac:dyDescent="0.3">
      <c r="J124162"/>
    </row>
    <row r="124163" spans="10:10" x14ac:dyDescent="0.3">
      <c r="J124163"/>
    </row>
    <row r="124164" spans="10:10" x14ac:dyDescent="0.3">
      <c r="J124164"/>
    </row>
    <row r="124165" spans="10:10" x14ac:dyDescent="0.3">
      <c r="J124165"/>
    </row>
    <row r="124166" spans="10:10" x14ac:dyDescent="0.3">
      <c r="J124166"/>
    </row>
    <row r="124167" spans="10:10" x14ac:dyDescent="0.3">
      <c r="J124167"/>
    </row>
    <row r="124168" spans="10:10" x14ac:dyDescent="0.3">
      <c r="J124168"/>
    </row>
    <row r="124169" spans="10:10" x14ac:dyDescent="0.3">
      <c r="J124169"/>
    </row>
    <row r="124170" spans="10:10" x14ac:dyDescent="0.3">
      <c r="J124170"/>
    </row>
    <row r="124171" spans="10:10" x14ac:dyDescent="0.3">
      <c r="J124171"/>
    </row>
    <row r="124172" spans="10:10" x14ac:dyDescent="0.3">
      <c r="J124172"/>
    </row>
    <row r="124173" spans="10:10" x14ac:dyDescent="0.3">
      <c r="J124173"/>
    </row>
    <row r="124174" spans="10:10" x14ac:dyDescent="0.3">
      <c r="J124174"/>
    </row>
    <row r="124175" spans="10:10" x14ac:dyDescent="0.3">
      <c r="J124175"/>
    </row>
    <row r="124176" spans="10:10" x14ac:dyDescent="0.3">
      <c r="J124176"/>
    </row>
    <row r="124177" spans="10:10" x14ac:dyDescent="0.3">
      <c r="J124177"/>
    </row>
    <row r="124178" spans="10:10" x14ac:dyDescent="0.3">
      <c r="J124178"/>
    </row>
    <row r="124179" spans="10:10" x14ac:dyDescent="0.3">
      <c r="J124179"/>
    </row>
    <row r="124180" spans="10:10" x14ac:dyDescent="0.3">
      <c r="J124180"/>
    </row>
    <row r="124181" spans="10:10" x14ac:dyDescent="0.3">
      <c r="J124181"/>
    </row>
    <row r="124182" spans="10:10" x14ac:dyDescent="0.3">
      <c r="J124182"/>
    </row>
    <row r="124183" spans="10:10" x14ac:dyDescent="0.3">
      <c r="J124183"/>
    </row>
    <row r="124184" spans="10:10" x14ac:dyDescent="0.3">
      <c r="J124184"/>
    </row>
    <row r="124185" spans="10:10" x14ac:dyDescent="0.3">
      <c r="J124185"/>
    </row>
    <row r="124186" spans="10:10" x14ac:dyDescent="0.3">
      <c r="J124186"/>
    </row>
    <row r="124187" spans="10:10" x14ac:dyDescent="0.3">
      <c r="J124187"/>
    </row>
    <row r="124188" spans="10:10" x14ac:dyDescent="0.3">
      <c r="J124188"/>
    </row>
    <row r="124189" spans="10:10" x14ac:dyDescent="0.3">
      <c r="J124189"/>
    </row>
    <row r="124190" spans="10:10" x14ac:dyDescent="0.3">
      <c r="J124190"/>
    </row>
    <row r="124191" spans="10:10" x14ac:dyDescent="0.3">
      <c r="J124191"/>
    </row>
    <row r="124192" spans="10:10" x14ac:dyDescent="0.3">
      <c r="J124192"/>
    </row>
    <row r="124193" spans="10:10" x14ac:dyDescent="0.3">
      <c r="J124193"/>
    </row>
    <row r="124194" spans="10:10" x14ac:dyDescent="0.3">
      <c r="J124194"/>
    </row>
    <row r="124195" spans="10:10" x14ac:dyDescent="0.3">
      <c r="J124195"/>
    </row>
    <row r="124196" spans="10:10" x14ac:dyDescent="0.3">
      <c r="J124196"/>
    </row>
    <row r="124197" spans="10:10" x14ac:dyDescent="0.3">
      <c r="J124197"/>
    </row>
    <row r="124198" spans="10:10" x14ac:dyDescent="0.3">
      <c r="J124198"/>
    </row>
    <row r="124199" spans="10:10" x14ac:dyDescent="0.3">
      <c r="J124199"/>
    </row>
    <row r="124200" spans="10:10" x14ac:dyDescent="0.3">
      <c r="J124200"/>
    </row>
    <row r="124201" spans="10:10" x14ac:dyDescent="0.3">
      <c r="J124201"/>
    </row>
    <row r="124202" spans="10:10" x14ac:dyDescent="0.3">
      <c r="J124202"/>
    </row>
    <row r="124203" spans="10:10" x14ac:dyDescent="0.3">
      <c r="J124203"/>
    </row>
    <row r="124204" spans="10:10" x14ac:dyDescent="0.3">
      <c r="J124204"/>
    </row>
    <row r="124205" spans="10:10" x14ac:dyDescent="0.3">
      <c r="J124205"/>
    </row>
    <row r="124206" spans="10:10" x14ac:dyDescent="0.3">
      <c r="J124206"/>
    </row>
    <row r="124207" spans="10:10" x14ac:dyDescent="0.3">
      <c r="J124207"/>
    </row>
    <row r="124208" spans="10:10" x14ac:dyDescent="0.3">
      <c r="J124208"/>
    </row>
    <row r="124209" spans="10:10" x14ac:dyDescent="0.3">
      <c r="J124209"/>
    </row>
    <row r="124210" spans="10:10" x14ac:dyDescent="0.3">
      <c r="J124210"/>
    </row>
    <row r="124211" spans="10:10" x14ac:dyDescent="0.3">
      <c r="J124211"/>
    </row>
    <row r="124212" spans="10:10" x14ac:dyDescent="0.3">
      <c r="J124212"/>
    </row>
    <row r="124213" spans="10:10" x14ac:dyDescent="0.3">
      <c r="J124213"/>
    </row>
    <row r="124214" spans="10:10" x14ac:dyDescent="0.3">
      <c r="J124214"/>
    </row>
    <row r="124215" spans="10:10" x14ac:dyDescent="0.3">
      <c r="J124215"/>
    </row>
    <row r="124216" spans="10:10" x14ac:dyDescent="0.3">
      <c r="J124216"/>
    </row>
    <row r="124217" spans="10:10" x14ac:dyDescent="0.3">
      <c r="J124217"/>
    </row>
    <row r="124218" spans="10:10" x14ac:dyDescent="0.3">
      <c r="J124218"/>
    </row>
    <row r="124219" spans="10:10" x14ac:dyDescent="0.3">
      <c r="J124219"/>
    </row>
    <row r="124220" spans="10:10" x14ac:dyDescent="0.3">
      <c r="J124220"/>
    </row>
    <row r="124221" spans="10:10" x14ac:dyDescent="0.3">
      <c r="J124221"/>
    </row>
    <row r="124222" spans="10:10" x14ac:dyDescent="0.3">
      <c r="J124222"/>
    </row>
    <row r="124223" spans="10:10" x14ac:dyDescent="0.3">
      <c r="J124223"/>
    </row>
    <row r="124224" spans="10:10" x14ac:dyDescent="0.3">
      <c r="J124224"/>
    </row>
    <row r="124225" spans="10:10" x14ac:dyDescent="0.3">
      <c r="J124225"/>
    </row>
    <row r="124226" spans="10:10" x14ac:dyDescent="0.3">
      <c r="J124226"/>
    </row>
    <row r="124227" spans="10:10" x14ac:dyDescent="0.3">
      <c r="J124227"/>
    </row>
    <row r="124228" spans="10:10" x14ac:dyDescent="0.3">
      <c r="J124228"/>
    </row>
    <row r="124229" spans="10:10" x14ac:dyDescent="0.3">
      <c r="J124229"/>
    </row>
    <row r="124230" spans="10:10" x14ac:dyDescent="0.3">
      <c r="J124230"/>
    </row>
    <row r="124231" spans="10:10" x14ac:dyDescent="0.3">
      <c r="J124231"/>
    </row>
    <row r="124232" spans="10:10" x14ac:dyDescent="0.3">
      <c r="J124232"/>
    </row>
    <row r="124233" spans="10:10" x14ac:dyDescent="0.3">
      <c r="J124233"/>
    </row>
    <row r="124234" spans="10:10" x14ac:dyDescent="0.3">
      <c r="J124234"/>
    </row>
    <row r="124235" spans="10:10" x14ac:dyDescent="0.3">
      <c r="J124235"/>
    </row>
    <row r="124236" spans="10:10" x14ac:dyDescent="0.3">
      <c r="J124236"/>
    </row>
    <row r="124237" spans="10:10" x14ac:dyDescent="0.3">
      <c r="J124237"/>
    </row>
    <row r="124238" spans="10:10" x14ac:dyDescent="0.3">
      <c r="J124238"/>
    </row>
    <row r="124239" spans="10:10" x14ac:dyDescent="0.3">
      <c r="J124239"/>
    </row>
    <row r="124240" spans="10:10" x14ac:dyDescent="0.3">
      <c r="J124240"/>
    </row>
    <row r="124241" spans="10:10" x14ac:dyDescent="0.3">
      <c r="J124241"/>
    </row>
    <row r="124242" spans="10:10" x14ac:dyDescent="0.3">
      <c r="J124242"/>
    </row>
    <row r="124243" spans="10:10" x14ac:dyDescent="0.3">
      <c r="J124243"/>
    </row>
    <row r="124244" spans="10:10" x14ac:dyDescent="0.3">
      <c r="J124244"/>
    </row>
    <row r="124245" spans="10:10" x14ac:dyDescent="0.3">
      <c r="J124245"/>
    </row>
    <row r="124246" spans="10:10" x14ac:dyDescent="0.3">
      <c r="J124246"/>
    </row>
    <row r="124247" spans="10:10" x14ac:dyDescent="0.3">
      <c r="J124247"/>
    </row>
    <row r="124248" spans="10:10" x14ac:dyDescent="0.3">
      <c r="J124248"/>
    </row>
    <row r="124249" spans="10:10" x14ac:dyDescent="0.3">
      <c r="J124249"/>
    </row>
    <row r="124250" spans="10:10" x14ac:dyDescent="0.3">
      <c r="J124250"/>
    </row>
    <row r="124251" spans="10:10" x14ac:dyDescent="0.3">
      <c r="J124251"/>
    </row>
    <row r="124252" spans="10:10" x14ac:dyDescent="0.3">
      <c r="J124252"/>
    </row>
    <row r="124253" spans="10:10" x14ac:dyDescent="0.3">
      <c r="J124253"/>
    </row>
    <row r="124254" spans="10:10" x14ac:dyDescent="0.3">
      <c r="J124254"/>
    </row>
    <row r="124255" spans="10:10" x14ac:dyDescent="0.3">
      <c r="J124255"/>
    </row>
    <row r="124256" spans="10:10" x14ac:dyDescent="0.3">
      <c r="J124256"/>
    </row>
    <row r="124257" spans="10:10" x14ac:dyDescent="0.3">
      <c r="J124257"/>
    </row>
    <row r="124258" spans="10:10" x14ac:dyDescent="0.3">
      <c r="J124258"/>
    </row>
    <row r="124259" spans="10:10" x14ac:dyDescent="0.3">
      <c r="J124259"/>
    </row>
    <row r="124260" spans="10:10" x14ac:dyDescent="0.3">
      <c r="J124260"/>
    </row>
    <row r="124261" spans="10:10" x14ac:dyDescent="0.3">
      <c r="J124261"/>
    </row>
    <row r="124262" spans="10:10" x14ac:dyDescent="0.3">
      <c r="J124262"/>
    </row>
    <row r="124263" spans="10:10" x14ac:dyDescent="0.3">
      <c r="J124263"/>
    </row>
    <row r="124264" spans="10:10" x14ac:dyDescent="0.3">
      <c r="J124264"/>
    </row>
    <row r="124265" spans="10:10" x14ac:dyDescent="0.3">
      <c r="J124265"/>
    </row>
    <row r="124266" spans="10:10" x14ac:dyDescent="0.3">
      <c r="J124266"/>
    </row>
    <row r="124267" spans="10:10" x14ac:dyDescent="0.3">
      <c r="J124267"/>
    </row>
    <row r="124268" spans="10:10" x14ac:dyDescent="0.3">
      <c r="J124268"/>
    </row>
    <row r="124269" spans="10:10" x14ac:dyDescent="0.3">
      <c r="J124269"/>
    </row>
    <row r="124270" spans="10:10" x14ac:dyDescent="0.3">
      <c r="J124270"/>
    </row>
    <row r="124271" spans="10:10" x14ac:dyDescent="0.3">
      <c r="J124271"/>
    </row>
    <row r="124272" spans="10:10" x14ac:dyDescent="0.3">
      <c r="J124272"/>
    </row>
    <row r="124273" spans="10:10" x14ac:dyDescent="0.3">
      <c r="J124273"/>
    </row>
    <row r="124274" spans="10:10" x14ac:dyDescent="0.3">
      <c r="J124274"/>
    </row>
    <row r="124275" spans="10:10" x14ac:dyDescent="0.3">
      <c r="J124275"/>
    </row>
    <row r="124276" spans="10:10" x14ac:dyDescent="0.3">
      <c r="J124276"/>
    </row>
    <row r="124277" spans="10:10" x14ac:dyDescent="0.3">
      <c r="J124277"/>
    </row>
    <row r="124278" spans="10:10" x14ac:dyDescent="0.3">
      <c r="J124278"/>
    </row>
    <row r="124279" spans="10:10" x14ac:dyDescent="0.3">
      <c r="J124279"/>
    </row>
    <row r="124280" spans="10:10" x14ac:dyDescent="0.3">
      <c r="J124280"/>
    </row>
    <row r="124281" spans="10:10" x14ac:dyDescent="0.3">
      <c r="J124281"/>
    </row>
    <row r="124282" spans="10:10" x14ac:dyDescent="0.3">
      <c r="J124282"/>
    </row>
    <row r="124283" spans="10:10" x14ac:dyDescent="0.3">
      <c r="J124283"/>
    </row>
    <row r="124284" spans="10:10" x14ac:dyDescent="0.3">
      <c r="J124284"/>
    </row>
    <row r="124285" spans="10:10" x14ac:dyDescent="0.3">
      <c r="J124285"/>
    </row>
    <row r="124286" spans="10:10" x14ac:dyDescent="0.3">
      <c r="J124286"/>
    </row>
    <row r="124287" spans="10:10" x14ac:dyDescent="0.3">
      <c r="J124287"/>
    </row>
    <row r="124288" spans="10:10" x14ac:dyDescent="0.3">
      <c r="J124288"/>
    </row>
    <row r="124289" spans="10:10" x14ac:dyDescent="0.3">
      <c r="J124289"/>
    </row>
    <row r="124290" spans="10:10" x14ac:dyDescent="0.3">
      <c r="J124290"/>
    </row>
    <row r="124291" spans="10:10" x14ac:dyDescent="0.3">
      <c r="J124291"/>
    </row>
    <row r="124292" spans="10:10" x14ac:dyDescent="0.3">
      <c r="J124292"/>
    </row>
    <row r="124293" spans="10:10" x14ac:dyDescent="0.3">
      <c r="J124293"/>
    </row>
    <row r="124294" spans="10:10" x14ac:dyDescent="0.3">
      <c r="J124294"/>
    </row>
    <row r="124295" spans="10:10" x14ac:dyDescent="0.3">
      <c r="J124295"/>
    </row>
    <row r="124296" spans="10:10" x14ac:dyDescent="0.3">
      <c r="J124296"/>
    </row>
    <row r="124297" spans="10:10" x14ac:dyDescent="0.3">
      <c r="J124297"/>
    </row>
    <row r="124298" spans="10:10" x14ac:dyDescent="0.3">
      <c r="J124298"/>
    </row>
    <row r="124299" spans="10:10" x14ac:dyDescent="0.3">
      <c r="J124299"/>
    </row>
    <row r="124300" spans="10:10" x14ac:dyDescent="0.3">
      <c r="J124300"/>
    </row>
    <row r="124301" spans="10:10" x14ac:dyDescent="0.3">
      <c r="J124301"/>
    </row>
    <row r="124302" spans="10:10" x14ac:dyDescent="0.3">
      <c r="J124302"/>
    </row>
    <row r="124303" spans="10:10" x14ac:dyDescent="0.3">
      <c r="J124303"/>
    </row>
    <row r="124304" spans="10:10" x14ac:dyDescent="0.3">
      <c r="J124304"/>
    </row>
    <row r="124305" spans="10:10" x14ac:dyDescent="0.3">
      <c r="J124305"/>
    </row>
    <row r="124306" spans="10:10" x14ac:dyDescent="0.3">
      <c r="J124306"/>
    </row>
    <row r="124307" spans="10:10" x14ac:dyDescent="0.3">
      <c r="J124307"/>
    </row>
    <row r="124308" spans="10:10" x14ac:dyDescent="0.3">
      <c r="J124308"/>
    </row>
    <row r="124309" spans="10:10" x14ac:dyDescent="0.3">
      <c r="J124309"/>
    </row>
    <row r="124310" spans="10:10" x14ac:dyDescent="0.3">
      <c r="J124310"/>
    </row>
    <row r="124311" spans="10:10" x14ac:dyDescent="0.3">
      <c r="J124311"/>
    </row>
    <row r="124312" spans="10:10" x14ac:dyDescent="0.3">
      <c r="J124312"/>
    </row>
    <row r="124313" spans="10:10" x14ac:dyDescent="0.3">
      <c r="J124313"/>
    </row>
    <row r="124314" spans="10:10" x14ac:dyDescent="0.3">
      <c r="J124314"/>
    </row>
    <row r="124315" spans="10:10" x14ac:dyDescent="0.3">
      <c r="J124315"/>
    </row>
    <row r="124316" spans="10:10" x14ac:dyDescent="0.3">
      <c r="J124316"/>
    </row>
    <row r="124317" spans="10:10" x14ac:dyDescent="0.3">
      <c r="J124317"/>
    </row>
    <row r="124318" spans="10:10" x14ac:dyDescent="0.3">
      <c r="J124318"/>
    </row>
    <row r="124319" spans="10:10" x14ac:dyDescent="0.3">
      <c r="J124319"/>
    </row>
    <row r="124320" spans="10:10" x14ac:dyDescent="0.3">
      <c r="J124320"/>
    </row>
    <row r="124321" spans="10:10" x14ac:dyDescent="0.3">
      <c r="J124321"/>
    </row>
    <row r="124322" spans="10:10" x14ac:dyDescent="0.3">
      <c r="J124322"/>
    </row>
    <row r="124323" spans="10:10" x14ac:dyDescent="0.3">
      <c r="J124323"/>
    </row>
    <row r="124324" spans="10:10" x14ac:dyDescent="0.3">
      <c r="J124324"/>
    </row>
    <row r="124325" spans="10:10" x14ac:dyDescent="0.3">
      <c r="J124325"/>
    </row>
    <row r="124326" spans="10:10" x14ac:dyDescent="0.3">
      <c r="J124326"/>
    </row>
    <row r="124327" spans="10:10" x14ac:dyDescent="0.3">
      <c r="J124327"/>
    </row>
    <row r="124328" spans="10:10" x14ac:dyDescent="0.3">
      <c r="J124328"/>
    </row>
    <row r="124329" spans="10:10" x14ac:dyDescent="0.3">
      <c r="J124329"/>
    </row>
    <row r="124330" spans="10:10" x14ac:dyDescent="0.3">
      <c r="J124330"/>
    </row>
    <row r="124331" spans="10:10" x14ac:dyDescent="0.3">
      <c r="J124331"/>
    </row>
    <row r="124332" spans="10:10" x14ac:dyDescent="0.3">
      <c r="J124332"/>
    </row>
    <row r="124333" spans="10:10" x14ac:dyDescent="0.3">
      <c r="J124333"/>
    </row>
    <row r="124334" spans="10:10" x14ac:dyDescent="0.3">
      <c r="J124334"/>
    </row>
    <row r="124335" spans="10:10" x14ac:dyDescent="0.3">
      <c r="J124335"/>
    </row>
    <row r="124336" spans="10:10" x14ac:dyDescent="0.3">
      <c r="J124336"/>
    </row>
    <row r="124337" spans="10:10" x14ac:dyDescent="0.3">
      <c r="J124337"/>
    </row>
    <row r="124338" spans="10:10" x14ac:dyDescent="0.3">
      <c r="J124338"/>
    </row>
    <row r="124339" spans="10:10" x14ac:dyDescent="0.3">
      <c r="J124339"/>
    </row>
    <row r="124340" spans="10:10" x14ac:dyDescent="0.3">
      <c r="J124340"/>
    </row>
    <row r="124341" spans="10:10" x14ac:dyDescent="0.3">
      <c r="J124341"/>
    </row>
    <row r="124342" spans="10:10" x14ac:dyDescent="0.3">
      <c r="J124342"/>
    </row>
    <row r="124343" spans="10:10" x14ac:dyDescent="0.3">
      <c r="J124343"/>
    </row>
    <row r="124344" spans="10:10" x14ac:dyDescent="0.3">
      <c r="J124344"/>
    </row>
    <row r="124345" spans="10:10" x14ac:dyDescent="0.3">
      <c r="J124345"/>
    </row>
    <row r="124346" spans="10:10" x14ac:dyDescent="0.3">
      <c r="J124346"/>
    </row>
    <row r="124347" spans="10:10" x14ac:dyDescent="0.3">
      <c r="J124347"/>
    </row>
    <row r="124348" spans="10:10" x14ac:dyDescent="0.3">
      <c r="J124348"/>
    </row>
    <row r="124349" spans="10:10" x14ac:dyDescent="0.3">
      <c r="J124349"/>
    </row>
    <row r="124350" spans="10:10" x14ac:dyDescent="0.3">
      <c r="J124350"/>
    </row>
    <row r="124351" spans="10:10" x14ac:dyDescent="0.3">
      <c r="J124351"/>
    </row>
    <row r="124352" spans="10:10" x14ac:dyDescent="0.3">
      <c r="J124352"/>
    </row>
    <row r="124353" spans="10:10" x14ac:dyDescent="0.3">
      <c r="J124353"/>
    </row>
    <row r="124354" spans="10:10" x14ac:dyDescent="0.3">
      <c r="J124354"/>
    </row>
    <row r="124355" spans="10:10" x14ac:dyDescent="0.3">
      <c r="J124355"/>
    </row>
    <row r="124356" spans="10:10" x14ac:dyDescent="0.3">
      <c r="J124356"/>
    </row>
    <row r="124357" spans="10:10" x14ac:dyDescent="0.3">
      <c r="J124357"/>
    </row>
    <row r="124358" spans="10:10" x14ac:dyDescent="0.3">
      <c r="J124358"/>
    </row>
    <row r="124359" spans="10:10" x14ac:dyDescent="0.3">
      <c r="J124359"/>
    </row>
    <row r="124360" spans="10:10" x14ac:dyDescent="0.3">
      <c r="J124360"/>
    </row>
    <row r="124361" spans="10:10" x14ac:dyDescent="0.3">
      <c r="J124361"/>
    </row>
    <row r="124362" spans="10:10" x14ac:dyDescent="0.3">
      <c r="J124362"/>
    </row>
    <row r="124363" spans="10:10" x14ac:dyDescent="0.3">
      <c r="J124363"/>
    </row>
    <row r="124364" spans="10:10" x14ac:dyDescent="0.3">
      <c r="J124364"/>
    </row>
    <row r="124365" spans="10:10" x14ac:dyDescent="0.3">
      <c r="J124365"/>
    </row>
    <row r="124366" spans="10:10" x14ac:dyDescent="0.3">
      <c r="J124366"/>
    </row>
    <row r="124367" spans="10:10" x14ac:dyDescent="0.3">
      <c r="J124367"/>
    </row>
    <row r="124368" spans="10:10" x14ac:dyDescent="0.3">
      <c r="J124368"/>
    </row>
    <row r="124369" spans="10:10" x14ac:dyDescent="0.3">
      <c r="J124369"/>
    </row>
    <row r="124370" spans="10:10" x14ac:dyDescent="0.3">
      <c r="J124370"/>
    </row>
    <row r="124371" spans="10:10" x14ac:dyDescent="0.3">
      <c r="J124371"/>
    </row>
    <row r="124372" spans="10:10" x14ac:dyDescent="0.3">
      <c r="J124372"/>
    </row>
    <row r="124373" spans="10:10" x14ac:dyDescent="0.3">
      <c r="J124373"/>
    </row>
    <row r="124374" spans="10:10" x14ac:dyDescent="0.3">
      <c r="J124374"/>
    </row>
    <row r="124375" spans="10:10" x14ac:dyDescent="0.3">
      <c r="J124375"/>
    </row>
    <row r="124376" spans="10:10" x14ac:dyDescent="0.3">
      <c r="J124376"/>
    </row>
    <row r="124377" spans="10:10" x14ac:dyDescent="0.3">
      <c r="J124377"/>
    </row>
    <row r="124378" spans="10:10" x14ac:dyDescent="0.3">
      <c r="J124378"/>
    </row>
    <row r="124379" spans="10:10" x14ac:dyDescent="0.3">
      <c r="J124379"/>
    </row>
    <row r="124380" spans="10:10" x14ac:dyDescent="0.3">
      <c r="J124380"/>
    </row>
    <row r="124381" spans="10:10" x14ac:dyDescent="0.3">
      <c r="J124381"/>
    </row>
    <row r="124382" spans="10:10" x14ac:dyDescent="0.3">
      <c r="J124382"/>
    </row>
    <row r="124383" spans="10:10" x14ac:dyDescent="0.3">
      <c r="J124383"/>
    </row>
    <row r="124384" spans="10:10" x14ac:dyDescent="0.3">
      <c r="J124384"/>
    </row>
    <row r="124385" spans="10:10" x14ac:dyDescent="0.3">
      <c r="J124385"/>
    </row>
    <row r="124386" spans="10:10" x14ac:dyDescent="0.3">
      <c r="J124386"/>
    </row>
    <row r="124387" spans="10:10" x14ac:dyDescent="0.3">
      <c r="J124387"/>
    </row>
    <row r="124388" spans="10:10" x14ac:dyDescent="0.3">
      <c r="J124388"/>
    </row>
    <row r="124389" spans="10:10" x14ac:dyDescent="0.3">
      <c r="J124389"/>
    </row>
    <row r="124390" spans="10:10" x14ac:dyDescent="0.3">
      <c r="J124390"/>
    </row>
    <row r="124391" spans="10:10" x14ac:dyDescent="0.3">
      <c r="J124391"/>
    </row>
    <row r="124392" spans="10:10" x14ac:dyDescent="0.3">
      <c r="J124392"/>
    </row>
    <row r="124393" spans="10:10" x14ac:dyDescent="0.3">
      <c r="J124393"/>
    </row>
    <row r="124394" spans="10:10" x14ac:dyDescent="0.3">
      <c r="J124394"/>
    </row>
    <row r="124395" spans="10:10" x14ac:dyDescent="0.3">
      <c r="J124395"/>
    </row>
    <row r="124396" spans="10:10" x14ac:dyDescent="0.3">
      <c r="J124396"/>
    </row>
    <row r="124397" spans="10:10" x14ac:dyDescent="0.3">
      <c r="J124397"/>
    </row>
    <row r="124398" spans="10:10" x14ac:dyDescent="0.3">
      <c r="J124398"/>
    </row>
    <row r="124399" spans="10:10" x14ac:dyDescent="0.3">
      <c r="J124399"/>
    </row>
    <row r="124400" spans="10:10" x14ac:dyDescent="0.3">
      <c r="J124400"/>
    </row>
    <row r="124401" spans="10:10" x14ac:dyDescent="0.3">
      <c r="J124401"/>
    </row>
    <row r="124402" spans="10:10" x14ac:dyDescent="0.3">
      <c r="J124402"/>
    </row>
    <row r="124403" spans="10:10" x14ac:dyDescent="0.3">
      <c r="J124403"/>
    </row>
    <row r="124404" spans="10:10" x14ac:dyDescent="0.3">
      <c r="J124404"/>
    </row>
    <row r="124405" spans="10:10" x14ac:dyDescent="0.3">
      <c r="J124405"/>
    </row>
    <row r="124406" spans="10:10" x14ac:dyDescent="0.3">
      <c r="J124406"/>
    </row>
    <row r="124407" spans="10:10" x14ac:dyDescent="0.3">
      <c r="J124407"/>
    </row>
    <row r="124408" spans="10:10" x14ac:dyDescent="0.3">
      <c r="J124408"/>
    </row>
    <row r="124409" spans="10:10" x14ac:dyDescent="0.3">
      <c r="J124409"/>
    </row>
    <row r="124410" spans="10:10" x14ac:dyDescent="0.3">
      <c r="J124410"/>
    </row>
    <row r="124411" spans="10:10" x14ac:dyDescent="0.3">
      <c r="J124411"/>
    </row>
    <row r="124412" spans="10:10" x14ac:dyDescent="0.3">
      <c r="J124412"/>
    </row>
    <row r="124413" spans="10:10" x14ac:dyDescent="0.3">
      <c r="J124413"/>
    </row>
    <row r="124414" spans="10:10" x14ac:dyDescent="0.3">
      <c r="J124414"/>
    </row>
    <row r="124415" spans="10:10" x14ac:dyDescent="0.3">
      <c r="J124415"/>
    </row>
    <row r="124416" spans="10:10" x14ac:dyDescent="0.3">
      <c r="J124416"/>
    </row>
    <row r="124417" spans="10:10" x14ac:dyDescent="0.3">
      <c r="J124417"/>
    </row>
    <row r="124418" spans="10:10" x14ac:dyDescent="0.3">
      <c r="J124418"/>
    </row>
    <row r="124419" spans="10:10" x14ac:dyDescent="0.3">
      <c r="J124419"/>
    </row>
    <row r="124420" spans="10:10" x14ac:dyDescent="0.3">
      <c r="J124420"/>
    </row>
    <row r="124421" spans="10:10" x14ac:dyDescent="0.3">
      <c r="J124421"/>
    </row>
    <row r="124422" spans="10:10" x14ac:dyDescent="0.3">
      <c r="J124422"/>
    </row>
    <row r="124423" spans="10:10" x14ac:dyDescent="0.3">
      <c r="J124423"/>
    </row>
    <row r="124424" spans="10:10" x14ac:dyDescent="0.3">
      <c r="J124424"/>
    </row>
    <row r="124425" spans="10:10" x14ac:dyDescent="0.3">
      <c r="J124425"/>
    </row>
    <row r="124426" spans="10:10" x14ac:dyDescent="0.3">
      <c r="J124426"/>
    </row>
    <row r="124427" spans="10:10" x14ac:dyDescent="0.3">
      <c r="J124427"/>
    </row>
    <row r="124428" spans="10:10" x14ac:dyDescent="0.3">
      <c r="J124428"/>
    </row>
    <row r="124429" spans="10:10" x14ac:dyDescent="0.3">
      <c r="J124429"/>
    </row>
    <row r="124430" spans="10:10" x14ac:dyDescent="0.3">
      <c r="J124430"/>
    </row>
    <row r="124431" spans="10:10" x14ac:dyDescent="0.3">
      <c r="J124431"/>
    </row>
    <row r="124432" spans="10:10" x14ac:dyDescent="0.3">
      <c r="J124432"/>
    </row>
    <row r="124433" spans="10:10" x14ac:dyDescent="0.3">
      <c r="J124433"/>
    </row>
    <row r="124434" spans="10:10" x14ac:dyDescent="0.3">
      <c r="J124434"/>
    </row>
    <row r="124435" spans="10:10" x14ac:dyDescent="0.3">
      <c r="J124435"/>
    </row>
    <row r="124436" spans="10:10" x14ac:dyDescent="0.3">
      <c r="J124436"/>
    </row>
    <row r="124437" spans="10:10" x14ac:dyDescent="0.3">
      <c r="J124437"/>
    </row>
    <row r="124438" spans="10:10" x14ac:dyDescent="0.3">
      <c r="J124438"/>
    </row>
    <row r="124439" spans="10:10" x14ac:dyDescent="0.3">
      <c r="J124439"/>
    </row>
    <row r="124440" spans="10:10" x14ac:dyDescent="0.3">
      <c r="J124440"/>
    </row>
    <row r="124441" spans="10:10" x14ac:dyDescent="0.3">
      <c r="J124441"/>
    </row>
    <row r="124442" spans="10:10" x14ac:dyDescent="0.3">
      <c r="J124442"/>
    </row>
    <row r="124443" spans="10:10" x14ac:dyDescent="0.3">
      <c r="J124443"/>
    </row>
    <row r="124444" spans="10:10" x14ac:dyDescent="0.3">
      <c r="J124444"/>
    </row>
    <row r="124445" spans="10:10" x14ac:dyDescent="0.3">
      <c r="J124445"/>
    </row>
    <row r="124446" spans="10:10" x14ac:dyDescent="0.3">
      <c r="J124446"/>
    </row>
    <row r="124447" spans="10:10" x14ac:dyDescent="0.3">
      <c r="J124447"/>
    </row>
    <row r="124448" spans="10:10" x14ac:dyDescent="0.3">
      <c r="J124448"/>
    </row>
    <row r="124449" spans="10:10" x14ac:dyDescent="0.3">
      <c r="J124449"/>
    </row>
    <row r="124450" spans="10:10" x14ac:dyDescent="0.3">
      <c r="J124450"/>
    </row>
    <row r="124451" spans="10:10" x14ac:dyDescent="0.3">
      <c r="J124451"/>
    </row>
    <row r="124452" spans="10:10" x14ac:dyDescent="0.3">
      <c r="J124452"/>
    </row>
    <row r="124453" spans="10:10" x14ac:dyDescent="0.3">
      <c r="J124453"/>
    </row>
    <row r="124454" spans="10:10" x14ac:dyDescent="0.3">
      <c r="J124454"/>
    </row>
    <row r="124455" spans="10:10" x14ac:dyDescent="0.3">
      <c r="J124455"/>
    </row>
    <row r="124456" spans="10:10" x14ac:dyDescent="0.3">
      <c r="J124456"/>
    </row>
    <row r="124457" spans="10:10" x14ac:dyDescent="0.3">
      <c r="J124457"/>
    </row>
    <row r="124458" spans="10:10" x14ac:dyDescent="0.3">
      <c r="J124458"/>
    </row>
    <row r="124459" spans="10:10" x14ac:dyDescent="0.3">
      <c r="J124459"/>
    </row>
    <row r="124460" spans="10:10" x14ac:dyDescent="0.3">
      <c r="J124460"/>
    </row>
    <row r="124461" spans="10:10" x14ac:dyDescent="0.3">
      <c r="J124461"/>
    </row>
    <row r="124462" spans="10:10" x14ac:dyDescent="0.3">
      <c r="J124462"/>
    </row>
    <row r="124463" spans="10:10" x14ac:dyDescent="0.3">
      <c r="J124463"/>
    </row>
    <row r="124464" spans="10:10" x14ac:dyDescent="0.3">
      <c r="J124464"/>
    </row>
    <row r="124465" spans="10:10" x14ac:dyDescent="0.3">
      <c r="J124465"/>
    </row>
    <row r="124466" spans="10:10" x14ac:dyDescent="0.3">
      <c r="J124466"/>
    </row>
    <row r="124467" spans="10:10" x14ac:dyDescent="0.3">
      <c r="J124467"/>
    </row>
    <row r="124468" spans="10:10" x14ac:dyDescent="0.3">
      <c r="J124468"/>
    </row>
    <row r="124469" spans="10:10" x14ac:dyDescent="0.3">
      <c r="J124469"/>
    </row>
    <row r="124470" spans="10:10" x14ac:dyDescent="0.3">
      <c r="J124470"/>
    </row>
    <row r="124471" spans="10:10" x14ac:dyDescent="0.3">
      <c r="J124471"/>
    </row>
    <row r="124472" spans="10:10" x14ac:dyDescent="0.3">
      <c r="J124472"/>
    </row>
    <row r="124473" spans="10:10" x14ac:dyDescent="0.3">
      <c r="J124473"/>
    </row>
    <row r="124474" spans="10:10" x14ac:dyDescent="0.3">
      <c r="J124474"/>
    </row>
    <row r="124475" spans="10:10" x14ac:dyDescent="0.3">
      <c r="J124475"/>
    </row>
    <row r="124476" spans="10:10" x14ac:dyDescent="0.3">
      <c r="J124476"/>
    </row>
    <row r="124477" spans="10:10" x14ac:dyDescent="0.3">
      <c r="J124477"/>
    </row>
    <row r="124478" spans="10:10" x14ac:dyDescent="0.3">
      <c r="J124478"/>
    </row>
    <row r="124479" spans="10:10" x14ac:dyDescent="0.3">
      <c r="J124479"/>
    </row>
    <row r="124480" spans="10:10" x14ac:dyDescent="0.3">
      <c r="J124480"/>
    </row>
    <row r="124481" spans="10:10" x14ac:dyDescent="0.3">
      <c r="J124481"/>
    </row>
    <row r="124482" spans="10:10" x14ac:dyDescent="0.3">
      <c r="J124482"/>
    </row>
    <row r="124483" spans="10:10" x14ac:dyDescent="0.3">
      <c r="J124483"/>
    </row>
    <row r="124484" spans="10:10" x14ac:dyDescent="0.3">
      <c r="J124484"/>
    </row>
    <row r="124485" spans="10:10" x14ac:dyDescent="0.3">
      <c r="J124485"/>
    </row>
    <row r="124486" spans="10:10" x14ac:dyDescent="0.3">
      <c r="J124486"/>
    </row>
    <row r="124487" spans="10:10" x14ac:dyDescent="0.3">
      <c r="J124487"/>
    </row>
    <row r="124488" spans="10:10" x14ac:dyDescent="0.3">
      <c r="J124488"/>
    </row>
    <row r="124489" spans="10:10" x14ac:dyDescent="0.3">
      <c r="J124489"/>
    </row>
    <row r="124490" spans="10:10" x14ac:dyDescent="0.3">
      <c r="J124490"/>
    </row>
    <row r="124491" spans="10:10" x14ac:dyDescent="0.3">
      <c r="J124491"/>
    </row>
    <row r="124492" spans="10:10" x14ac:dyDescent="0.3">
      <c r="J124492"/>
    </row>
    <row r="124493" spans="10:10" x14ac:dyDescent="0.3">
      <c r="J124493"/>
    </row>
    <row r="124494" spans="10:10" x14ac:dyDescent="0.3">
      <c r="J124494"/>
    </row>
    <row r="124495" spans="10:10" x14ac:dyDescent="0.3">
      <c r="J124495"/>
    </row>
    <row r="124496" spans="10:10" x14ac:dyDescent="0.3">
      <c r="J124496"/>
    </row>
    <row r="124497" spans="10:10" x14ac:dyDescent="0.3">
      <c r="J124497"/>
    </row>
    <row r="124498" spans="10:10" x14ac:dyDescent="0.3">
      <c r="J124498"/>
    </row>
    <row r="124499" spans="10:10" x14ac:dyDescent="0.3">
      <c r="J124499"/>
    </row>
    <row r="124500" spans="10:10" x14ac:dyDescent="0.3">
      <c r="J124500"/>
    </row>
    <row r="124501" spans="10:10" x14ac:dyDescent="0.3">
      <c r="J124501"/>
    </row>
    <row r="124502" spans="10:10" x14ac:dyDescent="0.3">
      <c r="J124502"/>
    </row>
    <row r="124503" spans="10:10" x14ac:dyDescent="0.3">
      <c r="J124503"/>
    </row>
    <row r="124504" spans="10:10" x14ac:dyDescent="0.3">
      <c r="J124504"/>
    </row>
    <row r="124505" spans="10:10" x14ac:dyDescent="0.3">
      <c r="J124505"/>
    </row>
    <row r="124506" spans="10:10" x14ac:dyDescent="0.3">
      <c r="J124506"/>
    </row>
    <row r="124507" spans="10:10" x14ac:dyDescent="0.3">
      <c r="J124507"/>
    </row>
    <row r="124508" spans="10:10" x14ac:dyDescent="0.3">
      <c r="J124508"/>
    </row>
    <row r="124509" spans="10:10" x14ac:dyDescent="0.3">
      <c r="J124509"/>
    </row>
    <row r="124510" spans="10:10" x14ac:dyDescent="0.3">
      <c r="J124510"/>
    </row>
    <row r="124511" spans="10:10" x14ac:dyDescent="0.3">
      <c r="J124511"/>
    </row>
    <row r="124512" spans="10:10" x14ac:dyDescent="0.3">
      <c r="J124512"/>
    </row>
    <row r="124513" spans="10:10" x14ac:dyDescent="0.3">
      <c r="J124513"/>
    </row>
    <row r="124514" spans="10:10" x14ac:dyDescent="0.3">
      <c r="J124514"/>
    </row>
    <row r="124515" spans="10:10" x14ac:dyDescent="0.3">
      <c r="J124515"/>
    </row>
    <row r="124516" spans="10:10" x14ac:dyDescent="0.3">
      <c r="J124516"/>
    </row>
    <row r="124517" spans="10:10" x14ac:dyDescent="0.3">
      <c r="J124517"/>
    </row>
    <row r="124518" spans="10:10" x14ac:dyDescent="0.3">
      <c r="J124518"/>
    </row>
    <row r="124519" spans="10:10" x14ac:dyDescent="0.3">
      <c r="J124519"/>
    </row>
    <row r="124520" spans="10:10" x14ac:dyDescent="0.3">
      <c r="J124520"/>
    </row>
    <row r="124521" spans="10:10" x14ac:dyDescent="0.3">
      <c r="J124521"/>
    </row>
    <row r="124522" spans="10:10" x14ac:dyDescent="0.3">
      <c r="J124522"/>
    </row>
    <row r="124523" spans="10:10" x14ac:dyDescent="0.3">
      <c r="J124523"/>
    </row>
    <row r="124524" spans="10:10" x14ac:dyDescent="0.3">
      <c r="J124524"/>
    </row>
    <row r="124525" spans="10:10" x14ac:dyDescent="0.3">
      <c r="J124525"/>
    </row>
    <row r="124526" spans="10:10" x14ac:dyDescent="0.3">
      <c r="J124526"/>
    </row>
    <row r="124527" spans="10:10" x14ac:dyDescent="0.3">
      <c r="J124527"/>
    </row>
    <row r="124528" spans="10:10" x14ac:dyDescent="0.3">
      <c r="J124528"/>
    </row>
    <row r="124529" spans="10:10" x14ac:dyDescent="0.3">
      <c r="J124529"/>
    </row>
    <row r="124530" spans="10:10" x14ac:dyDescent="0.3">
      <c r="J124530"/>
    </row>
    <row r="124531" spans="10:10" x14ac:dyDescent="0.3">
      <c r="J124531"/>
    </row>
    <row r="124532" spans="10:10" x14ac:dyDescent="0.3">
      <c r="J124532"/>
    </row>
    <row r="124533" spans="10:10" x14ac:dyDescent="0.3">
      <c r="J124533"/>
    </row>
    <row r="124534" spans="10:10" x14ac:dyDescent="0.3">
      <c r="J124534"/>
    </row>
    <row r="124535" spans="10:10" x14ac:dyDescent="0.3">
      <c r="J124535"/>
    </row>
    <row r="124536" spans="10:10" x14ac:dyDescent="0.3">
      <c r="J124536"/>
    </row>
    <row r="124537" spans="10:10" x14ac:dyDescent="0.3">
      <c r="J124537"/>
    </row>
    <row r="124538" spans="10:10" x14ac:dyDescent="0.3">
      <c r="J124538"/>
    </row>
    <row r="124539" spans="10:10" x14ac:dyDescent="0.3">
      <c r="J124539"/>
    </row>
    <row r="124540" spans="10:10" x14ac:dyDescent="0.3">
      <c r="J124540"/>
    </row>
    <row r="124541" spans="10:10" x14ac:dyDescent="0.3">
      <c r="J124541"/>
    </row>
    <row r="124542" spans="10:10" x14ac:dyDescent="0.3">
      <c r="J124542"/>
    </row>
    <row r="124543" spans="10:10" x14ac:dyDescent="0.3">
      <c r="J124543"/>
    </row>
    <row r="124544" spans="10:10" x14ac:dyDescent="0.3">
      <c r="J124544"/>
    </row>
    <row r="124545" spans="10:10" x14ac:dyDescent="0.3">
      <c r="J124545"/>
    </row>
    <row r="124546" spans="10:10" x14ac:dyDescent="0.3">
      <c r="J124546"/>
    </row>
    <row r="124547" spans="10:10" x14ac:dyDescent="0.3">
      <c r="J124547"/>
    </row>
    <row r="124548" spans="10:10" x14ac:dyDescent="0.3">
      <c r="J124548"/>
    </row>
    <row r="124549" spans="10:10" x14ac:dyDescent="0.3">
      <c r="J124549"/>
    </row>
    <row r="124550" spans="10:10" x14ac:dyDescent="0.3">
      <c r="J124550"/>
    </row>
    <row r="124551" spans="10:10" x14ac:dyDescent="0.3">
      <c r="J124551"/>
    </row>
    <row r="124552" spans="10:10" x14ac:dyDescent="0.3">
      <c r="J124552"/>
    </row>
    <row r="124553" spans="10:10" x14ac:dyDescent="0.3">
      <c r="J124553"/>
    </row>
    <row r="124554" spans="10:10" x14ac:dyDescent="0.3">
      <c r="J124554"/>
    </row>
    <row r="124555" spans="10:10" x14ac:dyDescent="0.3">
      <c r="J124555"/>
    </row>
    <row r="124556" spans="10:10" x14ac:dyDescent="0.3">
      <c r="J124556"/>
    </row>
    <row r="124557" spans="10:10" x14ac:dyDescent="0.3">
      <c r="J124557"/>
    </row>
    <row r="124558" spans="10:10" x14ac:dyDescent="0.3">
      <c r="J124558"/>
    </row>
    <row r="124559" spans="10:10" x14ac:dyDescent="0.3">
      <c r="J124559"/>
    </row>
    <row r="124560" spans="10:10" x14ac:dyDescent="0.3">
      <c r="J124560"/>
    </row>
    <row r="124561" spans="10:10" x14ac:dyDescent="0.3">
      <c r="J124561"/>
    </row>
    <row r="124562" spans="10:10" x14ac:dyDescent="0.3">
      <c r="J124562"/>
    </row>
    <row r="124563" spans="10:10" x14ac:dyDescent="0.3">
      <c r="J124563"/>
    </row>
    <row r="124564" spans="10:10" x14ac:dyDescent="0.3">
      <c r="J124564"/>
    </row>
    <row r="124565" spans="10:10" x14ac:dyDescent="0.3">
      <c r="J124565"/>
    </row>
    <row r="124566" spans="10:10" x14ac:dyDescent="0.3">
      <c r="J124566"/>
    </row>
    <row r="124567" spans="10:10" x14ac:dyDescent="0.3">
      <c r="J124567"/>
    </row>
    <row r="124568" spans="10:10" x14ac:dyDescent="0.3">
      <c r="J124568"/>
    </row>
    <row r="124569" spans="10:10" x14ac:dyDescent="0.3">
      <c r="J124569"/>
    </row>
    <row r="124570" spans="10:10" x14ac:dyDescent="0.3">
      <c r="J124570"/>
    </row>
    <row r="124571" spans="10:10" x14ac:dyDescent="0.3">
      <c r="J124571"/>
    </row>
    <row r="124572" spans="10:10" x14ac:dyDescent="0.3">
      <c r="J124572"/>
    </row>
    <row r="124573" spans="10:10" x14ac:dyDescent="0.3">
      <c r="J124573"/>
    </row>
    <row r="124574" spans="10:10" x14ac:dyDescent="0.3">
      <c r="J124574"/>
    </row>
    <row r="124575" spans="10:10" x14ac:dyDescent="0.3">
      <c r="J124575"/>
    </row>
    <row r="124576" spans="10:10" x14ac:dyDescent="0.3">
      <c r="J124576"/>
    </row>
    <row r="124577" spans="10:10" x14ac:dyDescent="0.3">
      <c r="J124577"/>
    </row>
    <row r="124578" spans="10:10" x14ac:dyDescent="0.3">
      <c r="J124578"/>
    </row>
    <row r="124579" spans="10:10" x14ac:dyDescent="0.3">
      <c r="J124579"/>
    </row>
    <row r="124580" spans="10:10" x14ac:dyDescent="0.3">
      <c r="J124580"/>
    </row>
    <row r="124581" spans="10:10" x14ac:dyDescent="0.3">
      <c r="J124581"/>
    </row>
    <row r="124582" spans="10:10" x14ac:dyDescent="0.3">
      <c r="J124582"/>
    </row>
    <row r="124583" spans="10:10" x14ac:dyDescent="0.3">
      <c r="J124583"/>
    </row>
    <row r="124584" spans="10:10" x14ac:dyDescent="0.3">
      <c r="J124584"/>
    </row>
    <row r="124585" spans="10:10" x14ac:dyDescent="0.3">
      <c r="J124585"/>
    </row>
    <row r="124586" spans="10:10" x14ac:dyDescent="0.3">
      <c r="J124586"/>
    </row>
    <row r="124587" spans="10:10" x14ac:dyDescent="0.3">
      <c r="J124587"/>
    </row>
    <row r="124588" spans="10:10" x14ac:dyDescent="0.3">
      <c r="J124588"/>
    </row>
    <row r="124589" spans="10:10" x14ac:dyDescent="0.3">
      <c r="J124589"/>
    </row>
    <row r="124590" spans="10:10" x14ac:dyDescent="0.3">
      <c r="J124590"/>
    </row>
    <row r="124591" spans="10:10" x14ac:dyDescent="0.3">
      <c r="J124591"/>
    </row>
    <row r="124592" spans="10:10" x14ac:dyDescent="0.3">
      <c r="J124592"/>
    </row>
    <row r="124593" spans="10:10" x14ac:dyDescent="0.3">
      <c r="J124593"/>
    </row>
    <row r="124594" spans="10:10" x14ac:dyDescent="0.3">
      <c r="J124594"/>
    </row>
    <row r="124595" spans="10:10" x14ac:dyDescent="0.3">
      <c r="J124595"/>
    </row>
    <row r="124596" spans="10:10" x14ac:dyDescent="0.3">
      <c r="J124596"/>
    </row>
    <row r="124597" spans="10:10" x14ac:dyDescent="0.3">
      <c r="J124597"/>
    </row>
    <row r="124598" spans="10:10" x14ac:dyDescent="0.3">
      <c r="J124598"/>
    </row>
    <row r="124599" spans="10:10" x14ac:dyDescent="0.3">
      <c r="J124599"/>
    </row>
    <row r="124600" spans="10:10" x14ac:dyDescent="0.3">
      <c r="J124600"/>
    </row>
    <row r="124601" spans="10:10" x14ac:dyDescent="0.3">
      <c r="J124601"/>
    </row>
    <row r="124602" spans="10:10" x14ac:dyDescent="0.3">
      <c r="J124602"/>
    </row>
    <row r="124603" spans="10:10" x14ac:dyDescent="0.3">
      <c r="J124603"/>
    </row>
    <row r="124604" spans="10:10" x14ac:dyDescent="0.3">
      <c r="J124604"/>
    </row>
    <row r="124605" spans="10:10" x14ac:dyDescent="0.3">
      <c r="J124605"/>
    </row>
    <row r="124606" spans="10:10" x14ac:dyDescent="0.3">
      <c r="J124606"/>
    </row>
    <row r="124607" spans="10:10" x14ac:dyDescent="0.3">
      <c r="J124607"/>
    </row>
    <row r="124608" spans="10:10" x14ac:dyDescent="0.3">
      <c r="J124608"/>
    </row>
    <row r="124609" spans="10:10" x14ac:dyDescent="0.3">
      <c r="J124609"/>
    </row>
    <row r="124610" spans="10:10" x14ac:dyDescent="0.3">
      <c r="J124610"/>
    </row>
    <row r="124611" spans="10:10" x14ac:dyDescent="0.3">
      <c r="J124611"/>
    </row>
    <row r="124612" spans="10:10" x14ac:dyDescent="0.3">
      <c r="J124612"/>
    </row>
    <row r="124613" spans="10:10" x14ac:dyDescent="0.3">
      <c r="J124613"/>
    </row>
    <row r="124614" spans="10:10" x14ac:dyDescent="0.3">
      <c r="J124614"/>
    </row>
    <row r="124615" spans="10:10" x14ac:dyDescent="0.3">
      <c r="J124615"/>
    </row>
    <row r="124616" spans="10:10" x14ac:dyDescent="0.3">
      <c r="J124616"/>
    </row>
    <row r="124617" spans="10:10" x14ac:dyDescent="0.3">
      <c r="J124617"/>
    </row>
    <row r="124618" spans="10:10" x14ac:dyDescent="0.3">
      <c r="J124618"/>
    </row>
    <row r="124619" spans="10:10" x14ac:dyDescent="0.3">
      <c r="J124619"/>
    </row>
    <row r="124620" spans="10:10" x14ac:dyDescent="0.3">
      <c r="J124620"/>
    </row>
    <row r="124621" spans="10:10" x14ac:dyDescent="0.3">
      <c r="J124621"/>
    </row>
    <row r="124622" spans="10:10" x14ac:dyDescent="0.3">
      <c r="J124622"/>
    </row>
    <row r="124623" spans="10:10" x14ac:dyDescent="0.3">
      <c r="J124623"/>
    </row>
    <row r="124624" spans="10:10" x14ac:dyDescent="0.3">
      <c r="J124624"/>
    </row>
    <row r="124625" spans="10:10" x14ac:dyDescent="0.3">
      <c r="J124625"/>
    </row>
    <row r="124626" spans="10:10" x14ac:dyDescent="0.3">
      <c r="J124626"/>
    </row>
    <row r="124627" spans="10:10" x14ac:dyDescent="0.3">
      <c r="J124627"/>
    </row>
    <row r="124628" spans="10:10" x14ac:dyDescent="0.3">
      <c r="J124628"/>
    </row>
    <row r="124629" spans="10:10" x14ac:dyDescent="0.3">
      <c r="J124629"/>
    </row>
    <row r="124630" spans="10:10" x14ac:dyDescent="0.3">
      <c r="J124630"/>
    </row>
    <row r="124631" spans="10:10" x14ac:dyDescent="0.3">
      <c r="J124631"/>
    </row>
    <row r="124632" spans="10:10" x14ac:dyDescent="0.3">
      <c r="J124632"/>
    </row>
    <row r="124633" spans="10:10" x14ac:dyDescent="0.3">
      <c r="J124633"/>
    </row>
    <row r="124634" spans="10:10" x14ac:dyDescent="0.3">
      <c r="J124634"/>
    </row>
    <row r="124635" spans="10:10" x14ac:dyDescent="0.3">
      <c r="J124635"/>
    </row>
    <row r="124636" spans="10:10" x14ac:dyDescent="0.3">
      <c r="J124636"/>
    </row>
    <row r="124637" spans="10:10" x14ac:dyDescent="0.3">
      <c r="J124637"/>
    </row>
    <row r="124638" spans="10:10" x14ac:dyDescent="0.3">
      <c r="J124638"/>
    </row>
    <row r="124639" spans="10:10" x14ac:dyDescent="0.3">
      <c r="J124639"/>
    </row>
    <row r="124640" spans="10:10" x14ac:dyDescent="0.3">
      <c r="J124640"/>
    </row>
    <row r="124641" spans="10:10" x14ac:dyDescent="0.3">
      <c r="J124641"/>
    </row>
    <row r="124642" spans="10:10" x14ac:dyDescent="0.3">
      <c r="J124642"/>
    </row>
    <row r="124643" spans="10:10" x14ac:dyDescent="0.3">
      <c r="J124643"/>
    </row>
    <row r="124644" spans="10:10" x14ac:dyDescent="0.3">
      <c r="J124644"/>
    </row>
    <row r="124645" spans="10:10" x14ac:dyDescent="0.3">
      <c r="J124645"/>
    </row>
    <row r="124646" spans="10:10" x14ac:dyDescent="0.3">
      <c r="J124646"/>
    </row>
    <row r="124647" spans="10:10" x14ac:dyDescent="0.3">
      <c r="J124647"/>
    </row>
    <row r="124648" spans="10:10" x14ac:dyDescent="0.3">
      <c r="J124648"/>
    </row>
    <row r="124649" spans="10:10" x14ac:dyDescent="0.3">
      <c r="J124649"/>
    </row>
    <row r="124650" spans="10:10" x14ac:dyDescent="0.3">
      <c r="J124650"/>
    </row>
    <row r="124651" spans="10:10" x14ac:dyDescent="0.3">
      <c r="J124651"/>
    </row>
    <row r="124652" spans="10:10" x14ac:dyDescent="0.3">
      <c r="J124652"/>
    </row>
    <row r="124653" spans="10:10" x14ac:dyDescent="0.3">
      <c r="J124653"/>
    </row>
    <row r="124654" spans="10:10" x14ac:dyDescent="0.3">
      <c r="J124654"/>
    </row>
    <row r="124655" spans="10:10" x14ac:dyDescent="0.3">
      <c r="J124655"/>
    </row>
    <row r="124656" spans="10:10" x14ac:dyDescent="0.3">
      <c r="J124656"/>
    </row>
    <row r="124657" spans="10:10" x14ac:dyDescent="0.3">
      <c r="J124657"/>
    </row>
    <row r="124658" spans="10:10" x14ac:dyDescent="0.3">
      <c r="J124658"/>
    </row>
    <row r="124659" spans="10:10" x14ac:dyDescent="0.3">
      <c r="J124659"/>
    </row>
    <row r="124660" spans="10:10" x14ac:dyDescent="0.3">
      <c r="J124660"/>
    </row>
    <row r="124661" spans="10:10" x14ac:dyDescent="0.3">
      <c r="J124661"/>
    </row>
    <row r="124662" spans="10:10" x14ac:dyDescent="0.3">
      <c r="J124662"/>
    </row>
    <row r="124663" spans="10:10" x14ac:dyDescent="0.3">
      <c r="J124663"/>
    </row>
    <row r="124664" spans="10:10" x14ac:dyDescent="0.3">
      <c r="J124664"/>
    </row>
    <row r="124665" spans="10:10" x14ac:dyDescent="0.3">
      <c r="J124665"/>
    </row>
    <row r="124666" spans="10:10" x14ac:dyDescent="0.3">
      <c r="J124666"/>
    </row>
    <row r="124667" spans="10:10" x14ac:dyDescent="0.3">
      <c r="J124667"/>
    </row>
    <row r="124668" spans="10:10" x14ac:dyDescent="0.3">
      <c r="J124668"/>
    </row>
    <row r="124669" spans="10:10" x14ac:dyDescent="0.3">
      <c r="J124669"/>
    </row>
    <row r="124670" spans="10:10" x14ac:dyDescent="0.3">
      <c r="J124670"/>
    </row>
    <row r="124671" spans="10:10" x14ac:dyDescent="0.3">
      <c r="J124671"/>
    </row>
    <row r="124672" spans="10:10" x14ac:dyDescent="0.3">
      <c r="J124672"/>
    </row>
    <row r="124673" spans="10:10" x14ac:dyDescent="0.3">
      <c r="J124673"/>
    </row>
    <row r="124674" spans="10:10" x14ac:dyDescent="0.3">
      <c r="J124674"/>
    </row>
    <row r="124675" spans="10:10" x14ac:dyDescent="0.3">
      <c r="J124675"/>
    </row>
    <row r="124676" spans="10:10" x14ac:dyDescent="0.3">
      <c r="J124676"/>
    </row>
    <row r="124677" spans="10:10" x14ac:dyDescent="0.3">
      <c r="J124677"/>
    </row>
    <row r="124678" spans="10:10" x14ac:dyDescent="0.3">
      <c r="J124678"/>
    </row>
    <row r="124679" spans="10:10" x14ac:dyDescent="0.3">
      <c r="J124679"/>
    </row>
    <row r="124680" spans="10:10" x14ac:dyDescent="0.3">
      <c r="J124680"/>
    </row>
    <row r="124681" spans="10:10" x14ac:dyDescent="0.3">
      <c r="J124681"/>
    </row>
    <row r="124682" spans="10:10" x14ac:dyDescent="0.3">
      <c r="J124682"/>
    </row>
    <row r="124683" spans="10:10" x14ac:dyDescent="0.3">
      <c r="J124683"/>
    </row>
    <row r="124684" spans="10:10" x14ac:dyDescent="0.3">
      <c r="J124684"/>
    </row>
    <row r="124685" spans="10:10" x14ac:dyDescent="0.3">
      <c r="J124685"/>
    </row>
    <row r="124686" spans="10:10" x14ac:dyDescent="0.3">
      <c r="J124686"/>
    </row>
    <row r="124687" spans="10:10" x14ac:dyDescent="0.3">
      <c r="J124687"/>
    </row>
    <row r="124688" spans="10:10" x14ac:dyDescent="0.3">
      <c r="J124688"/>
    </row>
    <row r="124689" spans="10:10" x14ac:dyDescent="0.3">
      <c r="J124689"/>
    </row>
    <row r="124690" spans="10:10" x14ac:dyDescent="0.3">
      <c r="J124690"/>
    </row>
    <row r="124691" spans="10:10" x14ac:dyDescent="0.3">
      <c r="J124691"/>
    </row>
    <row r="124692" spans="10:10" x14ac:dyDescent="0.3">
      <c r="J124692"/>
    </row>
    <row r="124693" spans="10:10" x14ac:dyDescent="0.3">
      <c r="J124693"/>
    </row>
    <row r="124694" spans="10:10" x14ac:dyDescent="0.3">
      <c r="J124694"/>
    </row>
    <row r="124695" spans="10:10" x14ac:dyDescent="0.3">
      <c r="J124695"/>
    </row>
    <row r="124696" spans="10:10" x14ac:dyDescent="0.3">
      <c r="J124696"/>
    </row>
    <row r="124697" spans="10:10" x14ac:dyDescent="0.3">
      <c r="J124697"/>
    </row>
    <row r="124698" spans="10:10" x14ac:dyDescent="0.3">
      <c r="J124698"/>
    </row>
    <row r="124699" spans="10:10" x14ac:dyDescent="0.3">
      <c r="J124699"/>
    </row>
    <row r="124700" spans="10:10" x14ac:dyDescent="0.3">
      <c r="J124700"/>
    </row>
    <row r="124701" spans="10:10" x14ac:dyDescent="0.3">
      <c r="J124701"/>
    </row>
    <row r="124702" spans="10:10" x14ac:dyDescent="0.3">
      <c r="J124702"/>
    </row>
    <row r="124703" spans="10:10" x14ac:dyDescent="0.3">
      <c r="J124703"/>
    </row>
    <row r="124704" spans="10:10" x14ac:dyDescent="0.3">
      <c r="J124704"/>
    </row>
    <row r="124705" spans="10:10" x14ac:dyDescent="0.3">
      <c r="J124705"/>
    </row>
    <row r="124706" spans="10:10" x14ac:dyDescent="0.3">
      <c r="J124706"/>
    </row>
    <row r="124707" spans="10:10" x14ac:dyDescent="0.3">
      <c r="J124707"/>
    </row>
    <row r="124708" spans="10:10" x14ac:dyDescent="0.3">
      <c r="J124708"/>
    </row>
    <row r="124709" spans="10:10" x14ac:dyDescent="0.3">
      <c r="J124709"/>
    </row>
    <row r="124710" spans="10:10" x14ac:dyDescent="0.3">
      <c r="J124710"/>
    </row>
    <row r="124711" spans="10:10" x14ac:dyDescent="0.3">
      <c r="J124711"/>
    </row>
    <row r="124712" spans="10:10" x14ac:dyDescent="0.3">
      <c r="J124712"/>
    </row>
    <row r="124713" spans="10:10" x14ac:dyDescent="0.3">
      <c r="J124713"/>
    </row>
    <row r="124714" spans="10:10" x14ac:dyDescent="0.3">
      <c r="J124714"/>
    </row>
    <row r="124715" spans="10:10" x14ac:dyDescent="0.3">
      <c r="J124715"/>
    </row>
    <row r="124716" spans="10:10" x14ac:dyDescent="0.3">
      <c r="J124716"/>
    </row>
    <row r="124717" spans="10:10" x14ac:dyDescent="0.3">
      <c r="J124717"/>
    </row>
    <row r="124718" spans="10:10" x14ac:dyDescent="0.3">
      <c r="J124718"/>
    </row>
    <row r="124719" spans="10:10" x14ac:dyDescent="0.3">
      <c r="J124719"/>
    </row>
    <row r="124720" spans="10:10" x14ac:dyDescent="0.3">
      <c r="J124720"/>
    </row>
    <row r="124721" spans="10:10" x14ac:dyDescent="0.3">
      <c r="J124721"/>
    </row>
    <row r="124722" spans="10:10" x14ac:dyDescent="0.3">
      <c r="J124722"/>
    </row>
    <row r="124723" spans="10:10" x14ac:dyDescent="0.3">
      <c r="J124723"/>
    </row>
    <row r="124724" spans="10:10" x14ac:dyDescent="0.3">
      <c r="J124724"/>
    </row>
    <row r="124725" spans="10:10" x14ac:dyDescent="0.3">
      <c r="J124725"/>
    </row>
    <row r="124726" spans="10:10" x14ac:dyDescent="0.3">
      <c r="J124726"/>
    </row>
    <row r="124727" spans="10:10" x14ac:dyDescent="0.3">
      <c r="J124727"/>
    </row>
    <row r="124728" spans="10:10" x14ac:dyDescent="0.3">
      <c r="J124728"/>
    </row>
    <row r="124729" spans="10:10" x14ac:dyDescent="0.3">
      <c r="J124729"/>
    </row>
    <row r="124730" spans="10:10" x14ac:dyDescent="0.3">
      <c r="J124730"/>
    </row>
    <row r="124731" spans="10:10" x14ac:dyDescent="0.3">
      <c r="J124731"/>
    </row>
    <row r="124732" spans="10:10" x14ac:dyDescent="0.3">
      <c r="J124732"/>
    </row>
    <row r="124733" spans="10:10" x14ac:dyDescent="0.3">
      <c r="J124733"/>
    </row>
    <row r="124734" spans="10:10" x14ac:dyDescent="0.3">
      <c r="J124734"/>
    </row>
    <row r="124735" spans="10:10" x14ac:dyDescent="0.3">
      <c r="J124735"/>
    </row>
    <row r="124736" spans="10:10" x14ac:dyDescent="0.3">
      <c r="J124736"/>
    </row>
    <row r="124737" spans="10:10" x14ac:dyDescent="0.3">
      <c r="J124737"/>
    </row>
    <row r="124738" spans="10:10" x14ac:dyDescent="0.3">
      <c r="J124738"/>
    </row>
    <row r="124739" spans="10:10" x14ac:dyDescent="0.3">
      <c r="J124739"/>
    </row>
    <row r="124740" spans="10:10" x14ac:dyDescent="0.3">
      <c r="J124740"/>
    </row>
    <row r="124741" spans="10:10" x14ac:dyDescent="0.3">
      <c r="J124741"/>
    </row>
    <row r="124742" spans="10:10" x14ac:dyDescent="0.3">
      <c r="J124742"/>
    </row>
    <row r="124743" spans="10:10" x14ac:dyDescent="0.3">
      <c r="J124743"/>
    </row>
    <row r="124744" spans="10:10" x14ac:dyDescent="0.3">
      <c r="J124744"/>
    </row>
    <row r="124745" spans="10:10" x14ac:dyDescent="0.3">
      <c r="J124745"/>
    </row>
    <row r="124746" spans="10:10" x14ac:dyDescent="0.3">
      <c r="J124746"/>
    </row>
    <row r="124747" spans="10:10" x14ac:dyDescent="0.3">
      <c r="J124747"/>
    </row>
    <row r="124748" spans="10:10" x14ac:dyDescent="0.3">
      <c r="J124748"/>
    </row>
    <row r="124749" spans="10:10" x14ac:dyDescent="0.3">
      <c r="J124749"/>
    </row>
    <row r="124750" spans="10:10" x14ac:dyDescent="0.3">
      <c r="J124750"/>
    </row>
    <row r="124751" spans="10:10" x14ac:dyDescent="0.3">
      <c r="J124751"/>
    </row>
    <row r="124752" spans="10:10" x14ac:dyDescent="0.3">
      <c r="J124752"/>
    </row>
    <row r="124753" spans="10:10" x14ac:dyDescent="0.3">
      <c r="J124753"/>
    </row>
    <row r="124754" spans="10:10" x14ac:dyDescent="0.3">
      <c r="J124754"/>
    </row>
    <row r="124755" spans="10:10" x14ac:dyDescent="0.3">
      <c r="J124755"/>
    </row>
    <row r="124756" spans="10:10" x14ac:dyDescent="0.3">
      <c r="J124756"/>
    </row>
    <row r="124757" spans="10:10" x14ac:dyDescent="0.3">
      <c r="J124757"/>
    </row>
    <row r="124758" spans="10:10" x14ac:dyDescent="0.3">
      <c r="J124758"/>
    </row>
    <row r="124759" spans="10:10" x14ac:dyDescent="0.3">
      <c r="J124759"/>
    </row>
    <row r="124760" spans="10:10" x14ac:dyDescent="0.3">
      <c r="J124760"/>
    </row>
    <row r="124761" spans="10:10" x14ac:dyDescent="0.3">
      <c r="J124761"/>
    </row>
    <row r="124762" spans="10:10" x14ac:dyDescent="0.3">
      <c r="J124762"/>
    </row>
    <row r="124763" spans="10:10" x14ac:dyDescent="0.3">
      <c r="J124763"/>
    </row>
    <row r="124764" spans="10:10" x14ac:dyDescent="0.3">
      <c r="J124764"/>
    </row>
    <row r="124765" spans="10:10" x14ac:dyDescent="0.3">
      <c r="J124765"/>
    </row>
    <row r="124766" spans="10:10" x14ac:dyDescent="0.3">
      <c r="J124766"/>
    </row>
    <row r="124767" spans="10:10" x14ac:dyDescent="0.3">
      <c r="J124767"/>
    </row>
    <row r="124768" spans="10:10" x14ac:dyDescent="0.3">
      <c r="J124768"/>
    </row>
    <row r="124769" spans="10:10" x14ac:dyDescent="0.3">
      <c r="J124769"/>
    </row>
    <row r="124770" spans="10:10" x14ac:dyDescent="0.3">
      <c r="J124770"/>
    </row>
    <row r="124771" spans="10:10" x14ac:dyDescent="0.3">
      <c r="J124771"/>
    </row>
    <row r="124772" spans="10:10" x14ac:dyDescent="0.3">
      <c r="J124772"/>
    </row>
    <row r="124773" spans="10:10" x14ac:dyDescent="0.3">
      <c r="J124773"/>
    </row>
    <row r="124774" spans="10:10" x14ac:dyDescent="0.3">
      <c r="J124774"/>
    </row>
    <row r="124775" spans="10:10" x14ac:dyDescent="0.3">
      <c r="J124775"/>
    </row>
    <row r="124776" spans="10:10" x14ac:dyDescent="0.3">
      <c r="J124776"/>
    </row>
    <row r="124777" spans="10:10" x14ac:dyDescent="0.3">
      <c r="J124777"/>
    </row>
    <row r="124778" spans="10:10" x14ac:dyDescent="0.3">
      <c r="J124778"/>
    </row>
    <row r="124779" spans="10:10" x14ac:dyDescent="0.3">
      <c r="J124779"/>
    </row>
    <row r="124780" spans="10:10" x14ac:dyDescent="0.3">
      <c r="J124780"/>
    </row>
    <row r="124781" spans="10:10" x14ac:dyDescent="0.3">
      <c r="J124781"/>
    </row>
    <row r="124782" spans="10:10" x14ac:dyDescent="0.3">
      <c r="J124782"/>
    </row>
    <row r="124783" spans="10:10" x14ac:dyDescent="0.3">
      <c r="J124783"/>
    </row>
    <row r="124784" spans="10:10" x14ac:dyDescent="0.3">
      <c r="J124784"/>
    </row>
    <row r="124785" spans="10:10" x14ac:dyDescent="0.3">
      <c r="J124785"/>
    </row>
    <row r="124786" spans="10:10" x14ac:dyDescent="0.3">
      <c r="J124786"/>
    </row>
    <row r="124787" spans="10:10" x14ac:dyDescent="0.3">
      <c r="J124787"/>
    </row>
    <row r="124788" spans="10:10" x14ac:dyDescent="0.3">
      <c r="J124788"/>
    </row>
    <row r="124789" spans="10:10" x14ac:dyDescent="0.3">
      <c r="J124789"/>
    </row>
    <row r="124790" spans="10:10" x14ac:dyDescent="0.3">
      <c r="J124790"/>
    </row>
    <row r="124791" spans="10:10" x14ac:dyDescent="0.3">
      <c r="J124791"/>
    </row>
    <row r="124792" spans="10:10" x14ac:dyDescent="0.3">
      <c r="J124792"/>
    </row>
    <row r="124793" spans="10:10" x14ac:dyDescent="0.3">
      <c r="J124793"/>
    </row>
    <row r="124794" spans="10:10" x14ac:dyDescent="0.3">
      <c r="J124794"/>
    </row>
    <row r="124795" spans="10:10" x14ac:dyDescent="0.3">
      <c r="J124795"/>
    </row>
    <row r="124796" spans="10:10" x14ac:dyDescent="0.3">
      <c r="J124796"/>
    </row>
    <row r="124797" spans="10:10" x14ac:dyDescent="0.3">
      <c r="J124797"/>
    </row>
    <row r="124798" spans="10:10" x14ac:dyDescent="0.3">
      <c r="J124798"/>
    </row>
    <row r="124799" spans="10:10" x14ac:dyDescent="0.3">
      <c r="J124799"/>
    </row>
    <row r="124800" spans="10:10" x14ac:dyDescent="0.3">
      <c r="J124800"/>
    </row>
    <row r="124801" spans="10:10" x14ac:dyDescent="0.3">
      <c r="J124801"/>
    </row>
    <row r="124802" spans="10:10" x14ac:dyDescent="0.3">
      <c r="J124802"/>
    </row>
    <row r="124803" spans="10:10" x14ac:dyDescent="0.3">
      <c r="J124803"/>
    </row>
    <row r="124804" spans="10:10" x14ac:dyDescent="0.3">
      <c r="J124804"/>
    </row>
    <row r="124805" spans="10:10" x14ac:dyDescent="0.3">
      <c r="J124805"/>
    </row>
    <row r="124806" spans="10:10" x14ac:dyDescent="0.3">
      <c r="J124806"/>
    </row>
    <row r="124807" spans="10:10" x14ac:dyDescent="0.3">
      <c r="J124807"/>
    </row>
    <row r="124808" spans="10:10" x14ac:dyDescent="0.3">
      <c r="J124808"/>
    </row>
    <row r="124809" spans="10:10" x14ac:dyDescent="0.3">
      <c r="J124809"/>
    </row>
    <row r="124810" spans="10:10" x14ac:dyDescent="0.3">
      <c r="J124810"/>
    </row>
    <row r="124811" spans="10:10" x14ac:dyDescent="0.3">
      <c r="J124811"/>
    </row>
    <row r="124812" spans="10:10" x14ac:dyDescent="0.3">
      <c r="J124812"/>
    </row>
    <row r="124813" spans="10:10" x14ac:dyDescent="0.3">
      <c r="J124813"/>
    </row>
    <row r="124814" spans="10:10" x14ac:dyDescent="0.3">
      <c r="J124814"/>
    </row>
    <row r="124815" spans="10:10" x14ac:dyDescent="0.3">
      <c r="J124815"/>
    </row>
    <row r="124816" spans="10:10" x14ac:dyDescent="0.3">
      <c r="J124816"/>
    </row>
    <row r="124817" spans="10:10" x14ac:dyDescent="0.3">
      <c r="J124817"/>
    </row>
    <row r="124818" spans="10:10" x14ac:dyDescent="0.3">
      <c r="J124818"/>
    </row>
    <row r="124819" spans="10:10" x14ac:dyDescent="0.3">
      <c r="J124819"/>
    </row>
    <row r="124820" spans="10:10" x14ac:dyDescent="0.3">
      <c r="J124820"/>
    </row>
    <row r="124821" spans="10:10" x14ac:dyDescent="0.3">
      <c r="J124821"/>
    </row>
    <row r="124822" spans="10:10" x14ac:dyDescent="0.3">
      <c r="J124822"/>
    </row>
    <row r="124823" spans="10:10" x14ac:dyDescent="0.3">
      <c r="J124823"/>
    </row>
    <row r="124824" spans="10:10" x14ac:dyDescent="0.3">
      <c r="J124824"/>
    </row>
    <row r="124825" spans="10:10" x14ac:dyDescent="0.3">
      <c r="J124825"/>
    </row>
    <row r="124826" spans="10:10" x14ac:dyDescent="0.3">
      <c r="J124826"/>
    </row>
    <row r="124827" spans="10:10" x14ac:dyDescent="0.3">
      <c r="J124827"/>
    </row>
    <row r="124828" spans="10:10" x14ac:dyDescent="0.3">
      <c r="J124828"/>
    </row>
    <row r="124829" spans="10:10" x14ac:dyDescent="0.3">
      <c r="J124829"/>
    </row>
    <row r="124830" spans="10:10" x14ac:dyDescent="0.3">
      <c r="J124830"/>
    </row>
    <row r="124831" spans="10:10" x14ac:dyDescent="0.3">
      <c r="J124831"/>
    </row>
    <row r="124832" spans="10:10" x14ac:dyDescent="0.3">
      <c r="J124832"/>
    </row>
    <row r="124833" spans="10:10" x14ac:dyDescent="0.3">
      <c r="J124833"/>
    </row>
    <row r="124834" spans="10:10" x14ac:dyDescent="0.3">
      <c r="J124834"/>
    </row>
    <row r="124835" spans="10:10" x14ac:dyDescent="0.3">
      <c r="J124835"/>
    </row>
    <row r="124836" spans="10:10" x14ac:dyDescent="0.3">
      <c r="J124836"/>
    </row>
    <row r="124837" spans="10:10" x14ac:dyDescent="0.3">
      <c r="J124837"/>
    </row>
    <row r="124838" spans="10:10" x14ac:dyDescent="0.3">
      <c r="J124838"/>
    </row>
    <row r="124839" spans="10:10" x14ac:dyDescent="0.3">
      <c r="J124839"/>
    </row>
    <row r="124840" spans="10:10" x14ac:dyDescent="0.3">
      <c r="J124840"/>
    </row>
    <row r="124841" spans="10:10" x14ac:dyDescent="0.3">
      <c r="J124841"/>
    </row>
    <row r="124842" spans="10:10" x14ac:dyDescent="0.3">
      <c r="J124842"/>
    </row>
    <row r="124843" spans="10:10" x14ac:dyDescent="0.3">
      <c r="J124843"/>
    </row>
    <row r="124844" spans="10:10" x14ac:dyDescent="0.3">
      <c r="J124844"/>
    </row>
    <row r="124845" spans="10:10" x14ac:dyDescent="0.3">
      <c r="J124845"/>
    </row>
    <row r="124846" spans="10:10" x14ac:dyDescent="0.3">
      <c r="J124846"/>
    </row>
    <row r="124847" spans="10:10" x14ac:dyDescent="0.3">
      <c r="J124847"/>
    </row>
    <row r="124848" spans="10:10" x14ac:dyDescent="0.3">
      <c r="J124848"/>
    </row>
    <row r="124849" spans="10:10" x14ac:dyDescent="0.3">
      <c r="J124849"/>
    </row>
    <row r="124850" spans="10:10" x14ac:dyDescent="0.3">
      <c r="J124850"/>
    </row>
    <row r="124851" spans="10:10" x14ac:dyDescent="0.3">
      <c r="J124851"/>
    </row>
    <row r="124852" spans="10:10" x14ac:dyDescent="0.3">
      <c r="J124852"/>
    </row>
    <row r="124853" spans="10:10" x14ac:dyDescent="0.3">
      <c r="J124853"/>
    </row>
    <row r="124854" spans="10:10" x14ac:dyDescent="0.3">
      <c r="J124854"/>
    </row>
    <row r="124855" spans="10:10" x14ac:dyDescent="0.3">
      <c r="J124855"/>
    </row>
    <row r="124856" spans="10:10" x14ac:dyDescent="0.3">
      <c r="J124856"/>
    </row>
    <row r="124857" spans="10:10" x14ac:dyDescent="0.3">
      <c r="J124857"/>
    </row>
    <row r="124858" spans="10:10" x14ac:dyDescent="0.3">
      <c r="J124858"/>
    </row>
    <row r="124859" spans="10:10" x14ac:dyDescent="0.3">
      <c r="J124859"/>
    </row>
    <row r="124860" spans="10:10" x14ac:dyDescent="0.3">
      <c r="J124860"/>
    </row>
    <row r="124861" spans="10:10" x14ac:dyDescent="0.3">
      <c r="J124861"/>
    </row>
    <row r="124862" spans="10:10" x14ac:dyDescent="0.3">
      <c r="J124862"/>
    </row>
    <row r="124863" spans="10:10" x14ac:dyDescent="0.3">
      <c r="J124863"/>
    </row>
    <row r="124864" spans="10:10" x14ac:dyDescent="0.3">
      <c r="J124864"/>
    </row>
    <row r="124865" spans="10:10" x14ac:dyDescent="0.3">
      <c r="J124865"/>
    </row>
    <row r="124866" spans="10:10" x14ac:dyDescent="0.3">
      <c r="J124866"/>
    </row>
    <row r="124867" spans="10:10" x14ac:dyDescent="0.3">
      <c r="J124867"/>
    </row>
    <row r="124868" spans="10:10" x14ac:dyDescent="0.3">
      <c r="J124868"/>
    </row>
    <row r="124869" spans="10:10" x14ac:dyDescent="0.3">
      <c r="J124869"/>
    </row>
    <row r="124870" spans="10:10" x14ac:dyDescent="0.3">
      <c r="J124870"/>
    </row>
    <row r="124871" spans="10:10" x14ac:dyDescent="0.3">
      <c r="J124871"/>
    </row>
    <row r="124872" spans="10:10" x14ac:dyDescent="0.3">
      <c r="J124872"/>
    </row>
    <row r="124873" spans="10:10" x14ac:dyDescent="0.3">
      <c r="J124873"/>
    </row>
    <row r="124874" spans="10:10" x14ac:dyDescent="0.3">
      <c r="J124874"/>
    </row>
    <row r="124875" spans="10:10" x14ac:dyDescent="0.3">
      <c r="J124875"/>
    </row>
    <row r="124876" spans="10:10" x14ac:dyDescent="0.3">
      <c r="J124876"/>
    </row>
    <row r="124877" spans="10:10" x14ac:dyDescent="0.3">
      <c r="J124877"/>
    </row>
    <row r="124878" spans="10:10" x14ac:dyDescent="0.3">
      <c r="J124878"/>
    </row>
    <row r="124879" spans="10:10" x14ac:dyDescent="0.3">
      <c r="J124879"/>
    </row>
    <row r="124880" spans="10:10" x14ac:dyDescent="0.3">
      <c r="J124880"/>
    </row>
    <row r="124881" spans="10:10" x14ac:dyDescent="0.3">
      <c r="J124881"/>
    </row>
    <row r="124882" spans="10:10" x14ac:dyDescent="0.3">
      <c r="J124882"/>
    </row>
    <row r="124883" spans="10:10" x14ac:dyDescent="0.3">
      <c r="J124883"/>
    </row>
    <row r="124884" spans="10:10" x14ac:dyDescent="0.3">
      <c r="J124884"/>
    </row>
    <row r="124885" spans="10:10" x14ac:dyDescent="0.3">
      <c r="J124885"/>
    </row>
    <row r="124886" spans="10:10" x14ac:dyDescent="0.3">
      <c r="J124886"/>
    </row>
    <row r="124887" spans="10:10" x14ac:dyDescent="0.3">
      <c r="J124887"/>
    </row>
    <row r="124888" spans="10:10" x14ac:dyDescent="0.3">
      <c r="J124888"/>
    </row>
    <row r="124889" spans="10:10" x14ac:dyDescent="0.3">
      <c r="J124889"/>
    </row>
    <row r="124890" spans="10:10" x14ac:dyDescent="0.3">
      <c r="J124890"/>
    </row>
    <row r="124891" spans="10:10" x14ac:dyDescent="0.3">
      <c r="J124891"/>
    </row>
    <row r="124892" spans="10:10" x14ac:dyDescent="0.3">
      <c r="J124892"/>
    </row>
    <row r="124893" spans="10:10" x14ac:dyDescent="0.3">
      <c r="J124893"/>
    </row>
    <row r="124894" spans="10:10" x14ac:dyDescent="0.3">
      <c r="J124894"/>
    </row>
    <row r="124895" spans="10:10" x14ac:dyDescent="0.3">
      <c r="J124895"/>
    </row>
    <row r="124896" spans="10:10" x14ac:dyDescent="0.3">
      <c r="J124896"/>
    </row>
    <row r="124897" spans="10:10" x14ac:dyDescent="0.3">
      <c r="J124897"/>
    </row>
    <row r="124898" spans="10:10" x14ac:dyDescent="0.3">
      <c r="J124898"/>
    </row>
    <row r="124899" spans="10:10" x14ac:dyDescent="0.3">
      <c r="J124899"/>
    </row>
    <row r="124900" spans="10:10" x14ac:dyDescent="0.3">
      <c r="J124900"/>
    </row>
    <row r="124901" spans="10:10" x14ac:dyDescent="0.3">
      <c r="J124901"/>
    </row>
    <row r="124902" spans="10:10" x14ac:dyDescent="0.3">
      <c r="J124902"/>
    </row>
    <row r="124903" spans="10:10" x14ac:dyDescent="0.3">
      <c r="J124903"/>
    </row>
    <row r="124904" spans="10:10" x14ac:dyDescent="0.3">
      <c r="J124904"/>
    </row>
    <row r="124905" spans="10:10" x14ac:dyDescent="0.3">
      <c r="J124905"/>
    </row>
    <row r="124906" spans="10:10" x14ac:dyDescent="0.3">
      <c r="J124906"/>
    </row>
    <row r="124907" spans="10:10" x14ac:dyDescent="0.3">
      <c r="J124907"/>
    </row>
    <row r="124908" spans="10:10" x14ac:dyDescent="0.3">
      <c r="J124908"/>
    </row>
    <row r="124909" spans="10:10" x14ac:dyDescent="0.3">
      <c r="J124909"/>
    </row>
    <row r="124910" spans="10:10" x14ac:dyDescent="0.3">
      <c r="J124910"/>
    </row>
    <row r="124911" spans="10:10" x14ac:dyDescent="0.3">
      <c r="J124911"/>
    </row>
    <row r="124912" spans="10:10" x14ac:dyDescent="0.3">
      <c r="J124912"/>
    </row>
    <row r="124913" spans="10:10" x14ac:dyDescent="0.3">
      <c r="J124913"/>
    </row>
    <row r="124914" spans="10:10" x14ac:dyDescent="0.3">
      <c r="J124914"/>
    </row>
    <row r="124915" spans="10:10" x14ac:dyDescent="0.3">
      <c r="J124915"/>
    </row>
    <row r="124916" spans="10:10" x14ac:dyDescent="0.3">
      <c r="J124916"/>
    </row>
    <row r="124917" spans="10:10" x14ac:dyDescent="0.3">
      <c r="J124917"/>
    </row>
    <row r="124918" spans="10:10" x14ac:dyDescent="0.3">
      <c r="J124918"/>
    </row>
    <row r="124919" spans="10:10" x14ac:dyDescent="0.3">
      <c r="J124919"/>
    </row>
    <row r="124920" spans="10:10" x14ac:dyDescent="0.3">
      <c r="J124920"/>
    </row>
    <row r="124921" spans="10:10" x14ac:dyDescent="0.3">
      <c r="J124921"/>
    </row>
    <row r="124922" spans="10:10" x14ac:dyDescent="0.3">
      <c r="J124922"/>
    </row>
    <row r="124923" spans="10:10" x14ac:dyDescent="0.3">
      <c r="J124923"/>
    </row>
    <row r="124924" spans="10:10" x14ac:dyDescent="0.3">
      <c r="J124924"/>
    </row>
    <row r="124925" spans="10:10" x14ac:dyDescent="0.3">
      <c r="J124925"/>
    </row>
    <row r="124926" spans="10:10" x14ac:dyDescent="0.3">
      <c r="J124926"/>
    </row>
    <row r="124927" spans="10:10" x14ac:dyDescent="0.3">
      <c r="J124927"/>
    </row>
    <row r="124928" spans="10:10" x14ac:dyDescent="0.3">
      <c r="J124928"/>
    </row>
    <row r="124929" spans="10:10" x14ac:dyDescent="0.3">
      <c r="J124929"/>
    </row>
    <row r="124930" spans="10:10" x14ac:dyDescent="0.3">
      <c r="J124930"/>
    </row>
    <row r="124931" spans="10:10" x14ac:dyDescent="0.3">
      <c r="J124931"/>
    </row>
    <row r="124932" spans="10:10" x14ac:dyDescent="0.3">
      <c r="J124932"/>
    </row>
    <row r="124933" spans="10:10" x14ac:dyDescent="0.3">
      <c r="J124933"/>
    </row>
    <row r="124934" spans="10:10" x14ac:dyDescent="0.3">
      <c r="J124934"/>
    </row>
    <row r="124935" spans="10:10" x14ac:dyDescent="0.3">
      <c r="J124935"/>
    </row>
    <row r="124936" spans="10:10" x14ac:dyDescent="0.3">
      <c r="J124936"/>
    </row>
    <row r="124937" spans="10:10" x14ac:dyDescent="0.3">
      <c r="J124937"/>
    </row>
    <row r="124938" spans="10:10" x14ac:dyDescent="0.3">
      <c r="J124938"/>
    </row>
    <row r="124939" spans="10:10" x14ac:dyDescent="0.3">
      <c r="J124939"/>
    </row>
    <row r="124940" spans="10:10" x14ac:dyDescent="0.3">
      <c r="J124940"/>
    </row>
    <row r="124941" spans="10:10" x14ac:dyDescent="0.3">
      <c r="J124941"/>
    </row>
    <row r="124942" spans="10:10" x14ac:dyDescent="0.3">
      <c r="J124942"/>
    </row>
    <row r="124943" spans="10:10" x14ac:dyDescent="0.3">
      <c r="J124943"/>
    </row>
    <row r="124944" spans="10:10" x14ac:dyDescent="0.3">
      <c r="J124944"/>
    </row>
    <row r="124945" spans="10:10" x14ac:dyDescent="0.3">
      <c r="J124945"/>
    </row>
    <row r="124946" spans="10:10" x14ac:dyDescent="0.3">
      <c r="J124946"/>
    </row>
    <row r="124947" spans="10:10" x14ac:dyDescent="0.3">
      <c r="J124947"/>
    </row>
    <row r="124948" spans="10:10" x14ac:dyDescent="0.3">
      <c r="J124948"/>
    </row>
    <row r="124949" spans="10:10" x14ac:dyDescent="0.3">
      <c r="J124949"/>
    </row>
    <row r="124950" spans="10:10" x14ac:dyDescent="0.3">
      <c r="J124950"/>
    </row>
    <row r="124951" spans="10:10" x14ac:dyDescent="0.3">
      <c r="J124951"/>
    </row>
    <row r="124952" spans="10:10" x14ac:dyDescent="0.3">
      <c r="J124952"/>
    </row>
    <row r="124953" spans="10:10" x14ac:dyDescent="0.3">
      <c r="J124953"/>
    </row>
    <row r="124954" spans="10:10" x14ac:dyDescent="0.3">
      <c r="J124954"/>
    </row>
    <row r="124955" spans="10:10" x14ac:dyDescent="0.3">
      <c r="J124955"/>
    </row>
    <row r="124956" spans="10:10" x14ac:dyDescent="0.3">
      <c r="J124956"/>
    </row>
    <row r="124957" spans="10:10" x14ac:dyDescent="0.3">
      <c r="J124957"/>
    </row>
    <row r="124958" spans="10:10" x14ac:dyDescent="0.3">
      <c r="J124958"/>
    </row>
    <row r="124959" spans="10:10" x14ac:dyDescent="0.3">
      <c r="J124959"/>
    </row>
    <row r="124960" spans="10:10" x14ac:dyDescent="0.3">
      <c r="J124960"/>
    </row>
    <row r="124961" spans="10:10" x14ac:dyDescent="0.3">
      <c r="J124961"/>
    </row>
    <row r="124962" spans="10:10" x14ac:dyDescent="0.3">
      <c r="J124962"/>
    </row>
    <row r="124963" spans="10:10" x14ac:dyDescent="0.3">
      <c r="J124963"/>
    </row>
    <row r="124964" spans="10:10" x14ac:dyDescent="0.3">
      <c r="J124964"/>
    </row>
    <row r="124965" spans="10:10" x14ac:dyDescent="0.3">
      <c r="J124965"/>
    </row>
    <row r="124966" spans="10:10" x14ac:dyDescent="0.3">
      <c r="J124966"/>
    </row>
    <row r="124967" spans="10:10" x14ac:dyDescent="0.3">
      <c r="J124967"/>
    </row>
    <row r="124968" spans="10:10" x14ac:dyDescent="0.3">
      <c r="J124968"/>
    </row>
    <row r="124969" spans="10:10" x14ac:dyDescent="0.3">
      <c r="J124969"/>
    </row>
    <row r="124970" spans="10:10" x14ac:dyDescent="0.3">
      <c r="J124970"/>
    </row>
    <row r="124971" spans="10:10" x14ac:dyDescent="0.3">
      <c r="J124971"/>
    </row>
    <row r="124972" spans="10:10" x14ac:dyDescent="0.3">
      <c r="J124972"/>
    </row>
    <row r="124973" spans="10:10" x14ac:dyDescent="0.3">
      <c r="J124973"/>
    </row>
    <row r="124974" spans="10:10" x14ac:dyDescent="0.3">
      <c r="J124974"/>
    </row>
    <row r="124975" spans="10:10" x14ac:dyDescent="0.3">
      <c r="J124975"/>
    </row>
    <row r="124976" spans="10:10" x14ac:dyDescent="0.3">
      <c r="J124976"/>
    </row>
    <row r="124977" spans="10:10" x14ac:dyDescent="0.3">
      <c r="J124977"/>
    </row>
    <row r="124978" spans="10:10" x14ac:dyDescent="0.3">
      <c r="J124978"/>
    </row>
    <row r="124979" spans="10:10" x14ac:dyDescent="0.3">
      <c r="J124979"/>
    </row>
    <row r="124980" spans="10:10" x14ac:dyDescent="0.3">
      <c r="J124980"/>
    </row>
    <row r="124981" spans="10:10" x14ac:dyDescent="0.3">
      <c r="J124981"/>
    </row>
    <row r="124982" spans="10:10" x14ac:dyDescent="0.3">
      <c r="J124982"/>
    </row>
    <row r="124983" spans="10:10" x14ac:dyDescent="0.3">
      <c r="J124983"/>
    </row>
    <row r="124984" spans="10:10" x14ac:dyDescent="0.3">
      <c r="J124984"/>
    </row>
    <row r="124985" spans="10:10" x14ac:dyDescent="0.3">
      <c r="J124985"/>
    </row>
    <row r="124986" spans="10:10" x14ac:dyDescent="0.3">
      <c r="J124986"/>
    </row>
    <row r="124987" spans="10:10" x14ac:dyDescent="0.3">
      <c r="J124987"/>
    </row>
    <row r="124988" spans="10:10" x14ac:dyDescent="0.3">
      <c r="J124988"/>
    </row>
    <row r="124989" spans="10:10" x14ac:dyDescent="0.3">
      <c r="J124989"/>
    </row>
    <row r="124990" spans="10:10" x14ac:dyDescent="0.3">
      <c r="J124990"/>
    </row>
    <row r="124991" spans="10:10" x14ac:dyDescent="0.3">
      <c r="J124991"/>
    </row>
    <row r="124992" spans="10:10" x14ac:dyDescent="0.3">
      <c r="J124992"/>
    </row>
    <row r="124993" spans="10:10" x14ac:dyDescent="0.3">
      <c r="J124993"/>
    </row>
    <row r="124994" spans="10:10" x14ac:dyDescent="0.3">
      <c r="J124994"/>
    </row>
    <row r="124995" spans="10:10" x14ac:dyDescent="0.3">
      <c r="J124995"/>
    </row>
    <row r="124996" spans="10:10" x14ac:dyDescent="0.3">
      <c r="J124996"/>
    </row>
    <row r="124997" spans="10:10" x14ac:dyDescent="0.3">
      <c r="J124997"/>
    </row>
    <row r="124998" spans="10:10" x14ac:dyDescent="0.3">
      <c r="J124998"/>
    </row>
    <row r="124999" spans="10:10" x14ac:dyDescent="0.3">
      <c r="J124999"/>
    </row>
    <row r="125000" spans="10:10" x14ac:dyDescent="0.3">
      <c r="J125000"/>
    </row>
    <row r="125001" spans="10:10" x14ac:dyDescent="0.3">
      <c r="J125001"/>
    </row>
    <row r="125002" spans="10:10" x14ac:dyDescent="0.3">
      <c r="J125002"/>
    </row>
    <row r="125003" spans="10:10" x14ac:dyDescent="0.3">
      <c r="J125003"/>
    </row>
    <row r="125004" spans="10:10" x14ac:dyDescent="0.3">
      <c r="J125004"/>
    </row>
    <row r="125005" spans="10:10" x14ac:dyDescent="0.3">
      <c r="J125005"/>
    </row>
    <row r="125006" spans="10:10" x14ac:dyDescent="0.3">
      <c r="J125006"/>
    </row>
    <row r="125007" spans="10:10" x14ac:dyDescent="0.3">
      <c r="J125007"/>
    </row>
    <row r="125008" spans="10:10" x14ac:dyDescent="0.3">
      <c r="J125008"/>
    </row>
    <row r="125009" spans="10:10" x14ac:dyDescent="0.3">
      <c r="J125009"/>
    </row>
    <row r="125010" spans="10:10" x14ac:dyDescent="0.3">
      <c r="J125010"/>
    </row>
    <row r="125011" spans="10:10" x14ac:dyDescent="0.3">
      <c r="J125011"/>
    </row>
    <row r="125012" spans="10:10" x14ac:dyDescent="0.3">
      <c r="J125012"/>
    </row>
    <row r="125013" spans="10:10" x14ac:dyDescent="0.3">
      <c r="J125013"/>
    </row>
    <row r="125014" spans="10:10" x14ac:dyDescent="0.3">
      <c r="J125014"/>
    </row>
    <row r="125015" spans="10:10" x14ac:dyDescent="0.3">
      <c r="J125015"/>
    </row>
    <row r="125016" spans="10:10" x14ac:dyDescent="0.3">
      <c r="J125016"/>
    </row>
    <row r="125017" spans="10:10" x14ac:dyDescent="0.3">
      <c r="J125017"/>
    </row>
    <row r="125018" spans="10:10" x14ac:dyDescent="0.3">
      <c r="J125018"/>
    </row>
    <row r="125019" spans="10:10" x14ac:dyDescent="0.3">
      <c r="J125019"/>
    </row>
    <row r="125020" spans="10:10" x14ac:dyDescent="0.3">
      <c r="J125020"/>
    </row>
    <row r="125021" spans="10:10" x14ac:dyDescent="0.3">
      <c r="J125021"/>
    </row>
    <row r="125022" spans="10:10" x14ac:dyDescent="0.3">
      <c r="J125022"/>
    </row>
    <row r="125023" spans="10:10" x14ac:dyDescent="0.3">
      <c r="J125023"/>
    </row>
    <row r="125024" spans="10:10" x14ac:dyDescent="0.3">
      <c r="J125024"/>
    </row>
    <row r="125025" spans="10:10" x14ac:dyDescent="0.3">
      <c r="J125025"/>
    </row>
    <row r="125026" spans="10:10" x14ac:dyDescent="0.3">
      <c r="J125026"/>
    </row>
    <row r="125027" spans="10:10" x14ac:dyDescent="0.3">
      <c r="J125027"/>
    </row>
    <row r="125028" spans="10:10" x14ac:dyDescent="0.3">
      <c r="J125028"/>
    </row>
    <row r="125029" spans="10:10" x14ac:dyDescent="0.3">
      <c r="J125029"/>
    </row>
    <row r="125030" spans="10:10" x14ac:dyDescent="0.3">
      <c r="J125030"/>
    </row>
    <row r="125031" spans="10:10" x14ac:dyDescent="0.3">
      <c r="J125031"/>
    </row>
    <row r="125032" spans="10:10" x14ac:dyDescent="0.3">
      <c r="J125032"/>
    </row>
    <row r="125033" spans="10:10" x14ac:dyDescent="0.3">
      <c r="J125033"/>
    </row>
    <row r="125034" spans="10:10" x14ac:dyDescent="0.3">
      <c r="J125034"/>
    </row>
    <row r="125035" spans="10:10" x14ac:dyDescent="0.3">
      <c r="J125035"/>
    </row>
    <row r="125036" spans="10:10" x14ac:dyDescent="0.3">
      <c r="J125036"/>
    </row>
    <row r="125037" spans="10:10" x14ac:dyDescent="0.3">
      <c r="J125037"/>
    </row>
    <row r="125038" spans="10:10" x14ac:dyDescent="0.3">
      <c r="J125038"/>
    </row>
    <row r="125039" spans="10:10" x14ac:dyDescent="0.3">
      <c r="J125039"/>
    </row>
    <row r="125040" spans="10:10" x14ac:dyDescent="0.3">
      <c r="J125040"/>
    </row>
    <row r="125041" spans="10:10" x14ac:dyDescent="0.3">
      <c r="J125041"/>
    </row>
    <row r="125042" spans="10:10" x14ac:dyDescent="0.3">
      <c r="J125042"/>
    </row>
    <row r="125043" spans="10:10" x14ac:dyDescent="0.3">
      <c r="J125043"/>
    </row>
    <row r="125044" spans="10:10" x14ac:dyDescent="0.3">
      <c r="J125044"/>
    </row>
    <row r="125045" spans="10:10" x14ac:dyDescent="0.3">
      <c r="J125045"/>
    </row>
    <row r="125046" spans="10:10" x14ac:dyDescent="0.3">
      <c r="J125046"/>
    </row>
    <row r="125047" spans="10:10" x14ac:dyDescent="0.3">
      <c r="J125047"/>
    </row>
    <row r="125048" spans="10:10" x14ac:dyDescent="0.3">
      <c r="J125048"/>
    </row>
    <row r="125049" spans="10:10" x14ac:dyDescent="0.3">
      <c r="J125049"/>
    </row>
    <row r="125050" spans="10:10" x14ac:dyDescent="0.3">
      <c r="J125050"/>
    </row>
    <row r="125051" spans="10:10" x14ac:dyDescent="0.3">
      <c r="J125051"/>
    </row>
    <row r="125052" spans="10:10" x14ac:dyDescent="0.3">
      <c r="J125052"/>
    </row>
    <row r="125053" spans="10:10" x14ac:dyDescent="0.3">
      <c r="J125053"/>
    </row>
    <row r="125054" spans="10:10" x14ac:dyDescent="0.3">
      <c r="J125054"/>
    </row>
    <row r="125055" spans="10:10" x14ac:dyDescent="0.3">
      <c r="J125055"/>
    </row>
    <row r="125056" spans="10:10" x14ac:dyDescent="0.3">
      <c r="J125056"/>
    </row>
    <row r="125057" spans="10:10" x14ac:dyDescent="0.3">
      <c r="J125057"/>
    </row>
    <row r="125058" spans="10:10" x14ac:dyDescent="0.3">
      <c r="J125058"/>
    </row>
    <row r="125059" spans="10:10" x14ac:dyDescent="0.3">
      <c r="J125059"/>
    </row>
    <row r="125060" spans="10:10" x14ac:dyDescent="0.3">
      <c r="J125060"/>
    </row>
    <row r="125061" spans="10:10" x14ac:dyDescent="0.3">
      <c r="J125061"/>
    </row>
    <row r="125062" spans="10:10" x14ac:dyDescent="0.3">
      <c r="J125062"/>
    </row>
    <row r="125063" spans="10:10" x14ac:dyDescent="0.3">
      <c r="J125063"/>
    </row>
    <row r="125064" spans="10:10" x14ac:dyDescent="0.3">
      <c r="J125064"/>
    </row>
    <row r="125065" spans="10:10" x14ac:dyDescent="0.3">
      <c r="J125065"/>
    </row>
    <row r="125066" spans="10:10" x14ac:dyDescent="0.3">
      <c r="J125066"/>
    </row>
    <row r="125067" spans="10:10" x14ac:dyDescent="0.3">
      <c r="J125067"/>
    </row>
    <row r="125068" spans="10:10" x14ac:dyDescent="0.3">
      <c r="J125068"/>
    </row>
    <row r="125069" spans="10:10" x14ac:dyDescent="0.3">
      <c r="J125069"/>
    </row>
    <row r="125070" spans="10:10" x14ac:dyDescent="0.3">
      <c r="J125070"/>
    </row>
    <row r="125071" spans="10:10" x14ac:dyDescent="0.3">
      <c r="J125071"/>
    </row>
    <row r="125072" spans="10:10" x14ac:dyDescent="0.3">
      <c r="J125072"/>
    </row>
    <row r="125073" spans="10:10" x14ac:dyDescent="0.3">
      <c r="J125073"/>
    </row>
    <row r="125074" spans="10:10" x14ac:dyDescent="0.3">
      <c r="J125074"/>
    </row>
    <row r="125075" spans="10:10" x14ac:dyDescent="0.3">
      <c r="J125075"/>
    </row>
    <row r="125076" spans="10:10" x14ac:dyDescent="0.3">
      <c r="J125076"/>
    </row>
    <row r="125077" spans="10:10" x14ac:dyDescent="0.3">
      <c r="J125077"/>
    </row>
    <row r="125078" spans="10:10" x14ac:dyDescent="0.3">
      <c r="J125078"/>
    </row>
    <row r="125079" spans="10:10" x14ac:dyDescent="0.3">
      <c r="J125079"/>
    </row>
    <row r="125080" spans="10:10" x14ac:dyDescent="0.3">
      <c r="J125080"/>
    </row>
    <row r="125081" spans="10:10" x14ac:dyDescent="0.3">
      <c r="J125081"/>
    </row>
    <row r="125082" spans="10:10" x14ac:dyDescent="0.3">
      <c r="J125082"/>
    </row>
    <row r="125083" spans="10:10" x14ac:dyDescent="0.3">
      <c r="J125083"/>
    </row>
    <row r="125084" spans="10:10" x14ac:dyDescent="0.3">
      <c r="J125084"/>
    </row>
    <row r="125085" spans="10:10" x14ac:dyDescent="0.3">
      <c r="J125085"/>
    </row>
    <row r="125086" spans="10:10" x14ac:dyDescent="0.3">
      <c r="J125086"/>
    </row>
    <row r="125087" spans="10:10" x14ac:dyDescent="0.3">
      <c r="J125087"/>
    </row>
    <row r="125088" spans="10:10" x14ac:dyDescent="0.3">
      <c r="J125088"/>
    </row>
    <row r="125089" spans="10:10" x14ac:dyDescent="0.3">
      <c r="J125089"/>
    </row>
    <row r="125090" spans="10:10" x14ac:dyDescent="0.3">
      <c r="J125090"/>
    </row>
    <row r="125091" spans="10:10" x14ac:dyDescent="0.3">
      <c r="J125091"/>
    </row>
    <row r="125092" spans="10:10" x14ac:dyDescent="0.3">
      <c r="J125092"/>
    </row>
    <row r="125093" spans="10:10" x14ac:dyDescent="0.3">
      <c r="J125093"/>
    </row>
    <row r="125094" spans="10:10" x14ac:dyDescent="0.3">
      <c r="J125094"/>
    </row>
    <row r="125095" spans="10:10" x14ac:dyDescent="0.3">
      <c r="J125095"/>
    </row>
    <row r="125096" spans="10:10" x14ac:dyDescent="0.3">
      <c r="J125096"/>
    </row>
    <row r="125097" spans="10:10" x14ac:dyDescent="0.3">
      <c r="J125097"/>
    </row>
    <row r="125098" spans="10:10" x14ac:dyDescent="0.3">
      <c r="J125098"/>
    </row>
    <row r="125099" spans="10:10" x14ac:dyDescent="0.3">
      <c r="J125099"/>
    </row>
    <row r="125100" spans="10:10" x14ac:dyDescent="0.3">
      <c r="J125100"/>
    </row>
    <row r="125101" spans="10:10" x14ac:dyDescent="0.3">
      <c r="J125101"/>
    </row>
    <row r="125102" spans="10:10" x14ac:dyDescent="0.3">
      <c r="J125102"/>
    </row>
    <row r="125103" spans="10:10" x14ac:dyDescent="0.3">
      <c r="J125103"/>
    </row>
    <row r="125104" spans="10:10" x14ac:dyDescent="0.3">
      <c r="J125104"/>
    </row>
    <row r="125105" spans="10:10" x14ac:dyDescent="0.3">
      <c r="J125105"/>
    </row>
    <row r="125106" spans="10:10" x14ac:dyDescent="0.3">
      <c r="J125106"/>
    </row>
    <row r="125107" spans="10:10" x14ac:dyDescent="0.3">
      <c r="J125107"/>
    </row>
    <row r="125108" spans="10:10" x14ac:dyDescent="0.3">
      <c r="J125108"/>
    </row>
    <row r="125109" spans="10:10" x14ac:dyDescent="0.3">
      <c r="J125109"/>
    </row>
    <row r="125110" spans="10:10" x14ac:dyDescent="0.3">
      <c r="J125110"/>
    </row>
    <row r="125111" spans="10:10" x14ac:dyDescent="0.3">
      <c r="J125111"/>
    </row>
    <row r="125112" spans="10:10" x14ac:dyDescent="0.3">
      <c r="J125112"/>
    </row>
    <row r="125113" spans="10:10" x14ac:dyDescent="0.3">
      <c r="J125113"/>
    </row>
    <row r="125114" spans="10:10" x14ac:dyDescent="0.3">
      <c r="J125114"/>
    </row>
    <row r="125115" spans="10:10" x14ac:dyDescent="0.3">
      <c r="J125115"/>
    </row>
    <row r="125116" spans="10:10" x14ac:dyDescent="0.3">
      <c r="J125116"/>
    </row>
    <row r="125117" spans="10:10" x14ac:dyDescent="0.3">
      <c r="J125117"/>
    </row>
    <row r="125118" spans="10:10" x14ac:dyDescent="0.3">
      <c r="J125118"/>
    </row>
    <row r="125119" spans="10:10" x14ac:dyDescent="0.3">
      <c r="J125119"/>
    </row>
    <row r="125120" spans="10:10" x14ac:dyDescent="0.3">
      <c r="J125120"/>
    </row>
    <row r="125121" spans="10:10" x14ac:dyDescent="0.3">
      <c r="J125121"/>
    </row>
    <row r="125122" spans="10:10" x14ac:dyDescent="0.3">
      <c r="J125122"/>
    </row>
    <row r="125123" spans="10:10" x14ac:dyDescent="0.3">
      <c r="J125123"/>
    </row>
    <row r="125124" spans="10:10" x14ac:dyDescent="0.3">
      <c r="J125124"/>
    </row>
    <row r="125125" spans="10:10" x14ac:dyDescent="0.3">
      <c r="J125125"/>
    </row>
    <row r="125126" spans="10:10" x14ac:dyDescent="0.3">
      <c r="J125126"/>
    </row>
    <row r="125127" spans="10:10" x14ac:dyDescent="0.3">
      <c r="J125127"/>
    </row>
    <row r="125128" spans="10:10" x14ac:dyDescent="0.3">
      <c r="J125128"/>
    </row>
    <row r="125129" spans="10:10" x14ac:dyDescent="0.3">
      <c r="J125129"/>
    </row>
    <row r="125130" spans="10:10" x14ac:dyDescent="0.3">
      <c r="J125130"/>
    </row>
    <row r="125131" spans="10:10" x14ac:dyDescent="0.3">
      <c r="J125131"/>
    </row>
    <row r="125132" spans="10:10" x14ac:dyDescent="0.3">
      <c r="J125132"/>
    </row>
    <row r="125133" spans="10:10" x14ac:dyDescent="0.3">
      <c r="J125133"/>
    </row>
    <row r="125134" spans="10:10" x14ac:dyDescent="0.3">
      <c r="J125134"/>
    </row>
    <row r="125135" spans="10:10" x14ac:dyDescent="0.3">
      <c r="J125135"/>
    </row>
    <row r="125136" spans="10:10" x14ac:dyDescent="0.3">
      <c r="J125136"/>
    </row>
    <row r="125137" spans="10:10" x14ac:dyDescent="0.3">
      <c r="J125137"/>
    </row>
    <row r="125138" spans="10:10" x14ac:dyDescent="0.3">
      <c r="J125138"/>
    </row>
    <row r="125139" spans="10:10" x14ac:dyDescent="0.3">
      <c r="J125139"/>
    </row>
    <row r="125140" spans="10:10" x14ac:dyDescent="0.3">
      <c r="J125140"/>
    </row>
    <row r="125141" spans="10:10" x14ac:dyDescent="0.3">
      <c r="J125141"/>
    </row>
    <row r="125142" spans="10:10" x14ac:dyDescent="0.3">
      <c r="J125142"/>
    </row>
    <row r="125143" spans="10:10" x14ac:dyDescent="0.3">
      <c r="J125143"/>
    </row>
    <row r="125144" spans="10:10" x14ac:dyDescent="0.3">
      <c r="J125144"/>
    </row>
    <row r="125145" spans="10:10" x14ac:dyDescent="0.3">
      <c r="J125145"/>
    </row>
    <row r="125146" spans="10:10" x14ac:dyDescent="0.3">
      <c r="J125146"/>
    </row>
    <row r="125147" spans="10:10" x14ac:dyDescent="0.3">
      <c r="J125147"/>
    </row>
    <row r="125148" spans="10:10" x14ac:dyDescent="0.3">
      <c r="J125148"/>
    </row>
    <row r="125149" spans="10:10" x14ac:dyDescent="0.3">
      <c r="J125149"/>
    </row>
    <row r="125150" spans="10:10" x14ac:dyDescent="0.3">
      <c r="J125150"/>
    </row>
    <row r="125151" spans="10:10" x14ac:dyDescent="0.3">
      <c r="J125151"/>
    </row>
    <row r="125152" spans="10:10" x14ac:dyDescent="0.3">
      <c r="J125152"/>
    </row>
    <row r="125153" spans="10:10" x14ac:dyDescent="0.3">
      <c r="J125153"/>
    </row>
    <row r="125154" spans="10:10" x14ac:dyDescent="0.3">
      <c r="J125154"/>
    </row>
    <row r="125155" spans="10:10" x14ac:dyDescent="0.3">
      <c r="J125155"/>
    </row>
    <row r="125156" spans="10:10" x14ac:dyDescent="0.3">
      <c r="J125156"/>
    </row>
    <row r="125157" spans="10:10" x14ac:dyDescent="0.3">
      <c r="J125157"/>
    </row>
    <row r="125158" spans="10:10" x14ac:dyDescent="0.3">
      <c r="J125158"/>
    </row>
    <row r="125159" spans="10:10" x14ac:dyDescent="0.3">
      <c r="J125159"/>
    </row>
    <row r="125160" spans="10:10" x14ac:dyDescent="0.3">
      <c r="J125160"/>
    </row>
    <row r="125161" spans="10:10" x14ac:dyDescent="0.3">
      <c r="J125161"/>
    </row>
    <row r="125162" spans="10:10" x14ac:dyDescent="0.3">
      <c r="J125162"/>
    </row>
    <row r="125163" spans="10:10" x14ac:dyDescent="0.3">
      <c r="J125163"/>
    </row>
    <row r="125164" spans="10:10" x14ac:dyDescent="0.3">
      <c r="J125164"/>
    </row>
    <row r="125165" spans="10:10" x14ac:dyDescent="0.3">
      <c r="J125165"/>
    </row>
    <row r="125166" spans="10:10" x14ac:dyDescent="0.3">
      <c r="J125166"/>
    </row>
    <row r="125167" spans="10:10" x14ac:dyDescent="0.3">
      <c r="J125167"/>
    </row>
    <row r="125168" spans="10:10" x14ac:dyDescent="0.3">
      <c r="J125168"/>
    </row>
    <row r="125169" spans="10:10" x14ac:dyDescent="0.3">
      <c r="J125169"/>
    </row>
    <row r="125170" spans="10:10" x14ac:dyDescent="0.3">
      <c r="J125170"/>
    </row>
    <row r="125171" spans="10:10" x14ac:dyDescent="0.3">
      <c r="J125171"/>
    </row>
    <row r="125172" spans="10:10" x14ac:dyDescent="0.3">
      <c r="J125172"/>
    </row>
    <row r="125173" spans="10:10" x14ac:dyDescent="0.3">
      <c r="J125173"/>
    </row>
    <row r="125174" spans="10:10" x14ac:dyDescent="0.3">
      <c r="J125174"/>
    </row>
    <row r="125175" spans="10:10" x14ac:dyDescent="0.3">
      <c r="J125175"/>
    </row>
    <row r="125176" spans="10:10" x14ac:dyDescent="0.3">
      <c r="J125176"/>
    </row>
    <row r="125177" spans="10:10" x14ac:dyDescent="0.3">
      <c r="J125177"/>
    </row>
    <row r="125178" spans="10:10" x14ac:dyDescent="0.3">
      <c r="J125178"/>
    </row>
    <row r="125179" spans="10:10" x14ac:dyDescent="0.3">
      <c r="J125179"/>
    </row>
    <row r="125180" spans="10:10" x14ac:dyDescent="0.3">
      <c r="J125180"/>
    </row>
    <row r="125181" spans="10:10" x14ac:dyDescent="0.3">
      <c r="J125181"/>
    </row>
    <row r="125182" spans="10:10" x14ac:dyDescent="0.3">
      <c r="J125182"/>
    </row>
    <row r="125183" spans="10:10" x14ac:dyDescent="0.3">
      <c r="J125183"/>
    </row>
    <row r="125184" spans="10:10" x14ac:dyDescent="0.3">
      <c r="J125184"/>
    </row>
    <row r="125185" spans="10:10" x14ac:dyDescent="0.3">
      <c r="J125185"/>
    </row>
    <row r="125186" spans="10:10" x14ac:dyDescent="0.3">
      <c r="J125186"/>
    </row>
    <row r="125187" spans="10:10" x14ac:dyDescent="0.3">
      <c r="J125187"/>
    </row>
    <row r="125188" spans="10:10" x14ac:dyDescent="0.3">
      <c r="J125188"/>
    </row>
    <row r="125189" spans="10:10" x14ac:dyDescent="0.3">
      <c r="J125189"/>
    </row>
    <row r="125190" spans="10:10" x14ac:dyDescent="0.3">
      <c r="J125190"/>
    </row>
    <row r="125191" spans="10:10" x14ac:dyDescent="0.3">
      <c r="J125191"/>
    </row>
    <row r="125192" spans="10:10" x14ac:dyDescent="0.3">
      <c r="J125192"/>
    </row>
    <row r="125193" spans="10:10" x14ac:dyDescent="0.3">
      <c r="J125193"/>
    </row>
    <row r="125194" spans="10:10" x14ac:dyDescent="0.3">
      <c r="J125194"/>
    </row>
    <row r="125195" spans="10:10" x14ac:dyDescent="0.3">
      <c r="J125195"/>
    </row>
    <row r="125196" spans="10:10" x14ac:dyDescent="0.3">
      <c r="J125196"/>
    </row>
    <row r="125197" spans="10:10" x14ac:dyDescent="0.3">
      <c r="J125197"/>
    </row>
    <row r="125198" spans="10:10" x14ac:dyDescent="0.3">
      <c r="J125198"/>
    </row>
    <row r="125199" spans="10:10" x14ac:dyDescent="0.3">
      <c r="J125199"/>
    </row>
    <row r="125200" spans="10:10" x14ac:dyDescent="0.3">
      <c r="J125200"/>
    </row>
    <row r="125201" spans="10:10" x14ac:dyDescent="0.3">
      <c r="J125201"/>
    </row>
    <row r="125202" spans="10:10" x14ac:dyDescent="0.3">
      <c r="J125202"/>
    </row>
    <row r="125203" spans="10:10" x14ac:dyDescent="0.3">
      <c r="J125203"/>
    </row>
    <row r="125204" spans="10:10" x14ac:dyDescent="0.3">
      <c r="J125204"/>
    </row>
    <row r="125205" spans="10:10" x14ac:dyDescent="0.3">
      <c r="J125205"/>
    </row>
    <row r="125206" spans="10:10" x14ac:dyDescent="0.3">
      <c r="J125206"/>
    </row>
    <row r="125207" spans="10:10" x14ac:dyDescent="0.3">
      <c r="J125207"/>
    </row>
    <row r="125208" spans="10:10" x14ac:dyDescent="0.3">
      <c r="J125208"/>
    </row>
    <row r="125209" spans="10:10" x14ac:dyDescent="0.3">
      <c r="J125209"/>
    </row>
    <row r="125210" spans="10:10" x14ac:dyDescent="0.3">
      <c r="J125210"/>
    </row>
    <row r="125211" spans="10:10" x14ac:dyDescent="0.3">
      <c r="J125211"/>
    </row>
    <row r="125212" spans="10:10" x14ac:dyDescent="0.3">
      <c r="J125212"/>
    </row>
    <row r="125213" spans="10:10" x14ac:dyDescent="0.3">
      <c r="J125213"/>
    </row>
    <row r="125214" spans="10:10" x14ac:dyDescent="0.3">
      <c r="J125214"/>
    </row>
    <row r="125215" spans="10:10" x14ac:dyDescent="0.3">
      <c r="J125215"/>
    </row>
    <row r="125216" spans="10:10" x14ac:dyDescent="0.3">
      <c r="J125216"/>
    </row>
    <row r="125217" spans="10:10" x14ac:dyDescent="0.3">
      <c r="J125217"/>
    </row>
    <row r="125218" spans="10:10" x14ac:dyDescent="0.3">
      <c r="J125218"/>
    </row>
    <row r="125219" spans="10:10" x14ac:dyDescent="0.3">
      <c r="J125219"/>
    </row>
    <row r="125220" spans="10:10" x14ac:dyDescent="0.3">
      <c r="J125220"/>
    </row>
    <row r="125221" spans="10:10" x14ac:dyDescent="0.3">
      <c r="J125221"/>
    </row>
    <row r="125222" spans="10:10" x14ac:dyDescent="0.3">
      <c r="J125222"/>
    </row>
    <row r="125223" spans="10:10" x14ac:dyDescent="0.3">
      <c r="J125223"/>
    </row>
    <row r="125224" spans="10:10" x14ac:dyDescent="0.3">
      <c r="J125224"/>
    </row>
    <row r="125225" spans="10:10" x14ac:dyDescent="0.3">
      <c r="J125225"/>
    </row>
    <row r="125226" spans="10:10" x14ac:dyDescent="0.3">
      <c r="J125226"/>
    </row>
    <row r="125227" spans="10:10" x14ac:dyDescent="0.3">
      <c r="J125227"/>
    </row>
    <row r="125228" spans="10:10" x14ac:dyDescent="0.3">
      <c r="J125228"/>
    </row>
    <row r="125229" spans="10:10" x14ac:dyDescent="0.3">
      <c r="J125229"/>
    </row>
    <row r="125230" spans="10:10" x14ac:dyDescent="0.3">
      <c r="J125230"/>
    </row>
    <row r="125231" spans="10:10" x14ac:dyDescent="0.3">
      <c r="J125231"/>
    </row>
    <row r="125232" spans="10:10" x14ac:dyDescent="0.3">
      <c r="J125232"/>
    </row>
    <row r="125233" spans="10:10" x14ac:dyDescent="0.3">
      <c r="J125233"/>
    </row>
    <row r="125234" spans="10:10" x14ac:dyDescent="0.3">
      <c r="J125234"/>
    </row>
    <row r="125235" spans="10:10" x14ac:dyDescent="0.3">
      <c r="J125235"/>
    </row>
    <row r="125236" spans="10:10" x14ac:dyDescent="0.3">
      <c r="J125236"/>
    </row>
    <row r="125237" spans="10:10" x14ac:dyDescent="0.3">
      <c r="J125237"/>
    </row>
    <row r="125238" spans="10:10" x14ac:dyDescent="0.3">
      <c r="J125238"/>
    </row>
    <row r="125239" spans="10:10" x14ac:dyDescent="0.3">
      <c r="J125239"/>
    </row>
    <row r="125240" spans="10:10" x14ac:dyDescent="0.3">
      <c r="J125240"/>
    </row>
    <row r="125241" spans="10:10" x14ac:dyDescent="0.3">
      <c r="J125241"/>
    </row>
    <row r="125242" spans="10:10" x14ac:dyDescent="0.3">
      <c r="J125242"/>
    </row>
    <row r="125243" spans="10:10" x14ac:dyDescent="0.3">
      <c r="J125243"/>
    </row>
    <row r="125244" spans="10:10" x14ac:dyDescent="0.3">
      <c r="J125244"/>
    </row>
    <row r="125245" spans="10:10" x14ac:dyDescent="0.3">
      <c r="J125245"/>
    </row>
    <row r="125246" spans="10:10" x14ac:dyDescent="0.3">
      <c r="J125246"/>
    </row>
    <row r="125247" spans="10:10" x14ac:dyDescent="0.3">
      <c r="J125247"/>
    </row>
    <row r="125248" spans="10:10" x14ac:dyDescent="0.3">
      <c r="J125248"/>
    </row>
    <row r="125249" spans="10:10" x14ac:dyDescent="0.3">
      <c r="J125249"/>
    </row>
    <row r="125250" spans="10:10" x14ac:dyDescent="0.3">
      <c r="J125250"/>
    </row>
    <row r="125251" spans="10:10" x14ac:dyDescent="0.3">
      <c r="J125251"/>
    </row>
    <row r="125252" spans="10:10" x14ac:dyDescent="0.3">
      <c r="J125252"/>
    </row>
    <row r="125253" spans="10:10" x14ac:dyDescent="0.3">
      <c r="J125253"/>
    </row>
    <row r="125254" spans="10:10" x14ac:dyDescent="0.3">
      <c r="J125254"/>
    </row>
    <row r="125255" spans="10:10" x14ac:dyDescent="0.3">
      <c r="J125255"/>
    </row>
    <row r="125256" spans="10:10" x14ac:dyDescent="0.3">
      <c r="J125256"/>
    </row>
    <row r="125257" spans="10:10" x14ac:dyDescent="0.3">
      <c r="J125257"/>
    </row>
    <row r="125258" spans="10:10" x14ac:dyDescent="0.3">
      <c r="J125258"/>
    </row>
    <row r="125259" spans="10:10" x14ac:dyDescent="0.3">
      <c r="J125259"/>
    </row>
    <row r="125260" spans="10:10" x14ac:dyDescent="0.3">
      <c r="J125260"/>
    </row>
    <row r="125261" spans="10:10" x14ac:dyDescent="0.3">
      <c r="J125261"/>
    </row>
    <row r="125262" spans="10:10" x14ac:dyDescent="0.3">
      <c r="J125262"/>
    </row>
    <row r="125263" spans="10:10" x14ac:dyDescent="0.3">
      <c r="J125263"/>
    </row>
    <row r="125264" spans="10:10" x14ac:dyDescent="0.3">
      <c r="J125264"/>
    </row>
    <row r="125265" spans="10:10" x14ac:dyDescent="0.3">
      <c r="J125265"/>
    </row>
    <row r="125266" spans="10:10" x14ac:dyDescent="0.3">
      <c r="J125266"/>
    </row>
    <row r="125267" spans="10:10" x14ac:dyDescent="0.3">
      <c r="J125267"/>
    </row>
    <row r="125268" spans="10:10" x14ac:dyDescent="0.3">
      <c r="J125268"/>
    </row>
    <row r="125269" spans="10:10" x14ac:dyDescent="0.3">
      <c r="J125269"/>
    </row>
    <row r="125270" spans="10:10" x14ac:dyDescent="0.3">
      <c r="J125270"/>
    </row>
    <row r="125271" spans="10:10" x14ac:dyDescent="0.3">
      <c r="J125271"/>
    </row>
    <row r="125272" spans="10:10" x14ac:dyDescent="0.3">
      <c r="J125272"/>
    </row>
    <row r="125273" spans="10:10" x14ac:dyDescent="0.3">
      <c r="J125273"/>
    </row>
    <row r="125274" spans="10:10" x14ac:dyDescent="0.3">
      <c r="J125274"/>
    </row>
    <row r="125275" spans="10:10" x14ac:dyDescent="0.3">
      <c r="J125275"/>
    </row>
    <row r="125276" spans="10:10" x14ac:dyDescent="0.3">
      <c r="J125276"/>
    </row>
    <row r="125277" spans="10:10" x14ac:dyDescent="0.3">
      <c r="J125277"/>
    </row>
    <row r="125278" spans="10:10" x14ac:dyDescent="0.3">
      <c r="J125278"/>
    </row>
    <row r="125279" spans="10:10" x14ac:dyDescent="0.3">
      <c r="J125279"/>
    </row>
    <row r="125280" spans="10:10" x14ac:dyDescent="0.3">
      <c r="J125280"/>
    </row>
    <row r="125281" spans="10:10" x14ac:dyDescent="0.3">
      <c r="J125281"/>
    </row>
    <row r="125282" spans="10:10" x14ac:dyDescent="0.3">
      <c r="J125282"/>
    </row>
    <row r="125283" spans="10:10" x14ac:dyDescent="0.3">
      <c r="J125283"/>
    </row>
    <row r="125284" spans="10:10" x14ac:dyDescent="0.3">
      <c r="J125284"/>
    </row>
    <row r="125285" spans="10:10" x14ac:dyDescent="0.3">
      <c r="J125285"/>
    </row>
    <row r="125286" spans="10:10" x14ac:dyDescent="0.3">
      <c r="J125286"/>
    </row>
    <row r="125287" spans="10:10" x14ac:dyDescent="0.3">
      <c r="J125287"/>
    </row>
    <row r="125288" spans="10:10" x14ac:dyDescent="0.3">
      <c r="J125288"/>
    </row>
    <row r="125289" spans="10:10" x14ac:dyDescent="0.3">
      <c r="J125289"/>
    </row>
    <row r="125290" spans="10:10" x14ac:dyDescent="0.3">
      <c r="J125290"/>
    </row>
    <row r="125291" spans="10:10" x14ac:dyDescent="0.3">
      <c r="J125291"/>
    </row>
    <row r="125292" spans="10:10" x14ac:dyDescent="0.3">
      <c r="J125292"/>
    </row>
    <row r="125293" spans="10:10" x14ac:dyDescent="0.3">
      <c r="J125293"/>
    </row>
    <row r="125294" spans="10:10" x14ac:dyDescent="0.3">
      <c r="J125294"/>
    </row>
    <row r="125295" spans="10:10" x14ac:dyDescent="0.3">
      <c r="J125295"/>
    </row>
    <row r="125296" spans="10:10" x14ac:dyDescent="0.3">
      <c r="J125296"/>
    </row>
    <row r="125297" spans="10:10" x14ac:dyDescent="0.3">
      <c r="J125297"/>
    </row>
    <row r="125298" spans="10:10" x14ac:dyDescent="0.3">
      <c r="J125298"/>
    </row>
    <row r="125299" spans="10:10" x14ac:dyDescent="0.3">
      <c r="J125299"/>
    </row>
    <row r="125300" spans="10:10" x14ac:dyDescent="0.3">
      <c r="J125300"/>
    </row>
    <row r="125301" spans="10:10" x14ac:dyDescent="0.3">
      <c r="J125301"/>
    </row>
    <row r="125302" spans="10:10" x14ac:dyDescent="0.3">
      <c r="J125302"/>
    </row>
    <row r="125303" spans="10:10" x14ac:dyDescent="0.3">
      <c r="J125303"/>
    </row>
    <row r="125304" spans="10:10" x14ac:dyDescent="0.3">
      <c r="J125304"/>
    </row>
    <row r="125305" spans="10:10" x14ac:dyDescent="0.3">
      <c r="J125305"/>
    </row>
    <row r="125306" spans="10:10" x14ac:dyDescent="0.3">
      <c r="J125306"/>
    </row>
    <row r="125307" spans="10:10" x14ac:dyDescent="0.3">
      <c r="J125307"/>
    </row>
    <row r="125308" spans="10:10" x14ac:dyDescent="0.3">
      <c r="J125308"/>
    </row>
    <row r="125309" spans="10:10" x14ac:dyDescent="0.3">
      <c r="J125309"/>
    </row>
    <row r="125310" spans="10:10" x14ac:dyDescent="0.3">
      <c r="J125310"/>
    </row>
    <row r="125311" spans="10:10" x14ac:dyDescent="0.3">
      <c r="J125311"/>
    </row>
    <row r="125312" spans="10:10" x14ac:dyDescent="0.3">
      <c r="J125312"/>
    </row>
    <row r="125313" spans="10:10" x14ac:dyDescent="0.3">
      <c r="J125313"/>
    </row>
    <row r="125314" spans="10:10" x14ac:dyDescent="0.3">
      <c r="J125314"/>
    </row>
    <row r="125315" spans="10:10" x14ac:dyDescent="0.3">
      <c r="J125315"/>
    </row>
    <row r="125316" spans="10:10" x14ac:dyDescent="0.3">
      <c r="J125316"/>
    </row>
    <row r="125317" spans="10:10" x14ac:dyDescent="0.3">
      <c r="J125317"/>
    </row>
    <row r="125318" spans="10:10" x14ac:dyDescent="0.3">
      <c r="J125318"/>
    </row>
    <row r="125319" spans="10:10" x14ac:dyDescent="0.3">
      <c r="J125319"/>
    </row>
    <row r="125320" spans="10:10" x14ac:dyDescent="0.3">
      <c r="J125320"/>
    </row>
    <row r="125321" spans="10:10" x14ac:dyDescent="0.3">
      <c r="J125321"/>
    </row>
    <row r="125322" spans="10:10" x14ac:dyDescent="0.3">
      <c r="J125322"/>
    </row>
    <row r="125323" spans="10:10" x14ac:dyDescent="0.3">
      <c r="J125323"/>
    </row>
    <row r="125324" spans="10:10" x14ac:dyDescent="0.3">
      <c r="J125324"/>
    </row>
    <row r="125325" spans="10:10" x14ac:dyDescent="0.3">
      <c r="J125325"/>
    </row>
    <row r="125326" spans="10:10" x14ac:dyDescent="0.3">
      <c r="J125326"/>
    </row>
    <row r="125327" spans="10:10" x14ac:dyDescent="0.3">
      <c r="J125327"/>
    </row>
    <row r="125328" spans="10:10" x14ac:dyDescent="0.3">
      <c r="J125328"/>
    </row>
    <row r="125329" spans="10:10" x14ac:dyDescent="0.3">
      <c r="J125329"/>
    </row>
    <row r="125330" spans="10:10" x14ac:dyDescent="0.3">
      <c r="J125330"/>
    </row>
    <row r="125331" spans="10:10" x14ac:dyDescent="0.3">
      <c r="J125331"/>
    </row>
    <row r="125332" spans="10:10" x14ac:dyDescent="0.3">
      <c r="J125332"/>
    </row>
    <row r="125333" spans="10:10" x14ac:dyDescent="0.3">
      <c r="J125333"/>
    </row>
    <row r="125334" spans="10:10" x14ac:dyDescent="0.3">
      <c r="J125334"/>
    </row>
    <row r="125335" spans="10:10" x14ac:dyDescent="0.3">
      <c r="J125335"/>
    </row>
    <row r="125336" spans="10:10" x14ac:dyDescent="0.3">
      <c r="J125336"/>
    </row>
    <row r="125337" spans="10:10" x14ac:dyDescent="0.3">
      <c r="J125337"/>
    </row>
    <row r="125338" spans="10:10" x14ac:dyDescent="0.3">
      <c r="J125338"/>
    </row>
    <row r="125339" spans="10:10" x14ac:dyDescent="0.3">
      <c r="J125339"/>
    </row>
    <row r="125340" spans="10:10" x14ac:dyDescent="0.3">
      <c r="J125340"/>
    </row>
    <row r="125341" spans="10:10" x14ac:dyDescent="0.3">
      <c r="J125341"/>
    </row>
    <row r="125342" spans="10:10" x14ac:dyDescent="0.3">
      <c r="J125342"/>
    </row>
    <row r="125343" spans="10:10" x14ac:dyDescent="0.3">
      <c r="J125343"/>
    </row>
    <row r="125344" spans="10:10" x14ac:dyDescent="0.3">
      <c r="J125344"/>
    </row>
    <row r="125345" spans="10:10" x14ac:dyDescent="0.3">
      <c r="J125345"/>
    </row>
    <row r="125346" spans="10:10" x14ac:dyDescent="0.3">
      <c r="J125346"/>
    </row>
    <row r="125347" spans="10:10" x14ac:dyDescent="0.3">
      <c r="J125347"/>
    </row>
    <row r="125348" spans="10:10" x14ac:dyDescent="0.3">
      <c r="J125348"/>
    </row>
    <row r="125349" spans="10:10" x14ac:dyDescent="0.3">
      <c r="J125349"/>
    </row>
    <row r="125350" spans="10:10" x14ac:dyDescent="0.3">
      <c r="J125350"/>
    </row>
    <row r="125351" spans="10:10" x14ac:dyDescent="0.3">
      <c r="J125351"/>
    </row>
    <row r="125352" spans="10:10" x14ac:dyDescent="0.3">
      <c r="J125352"/>
    </row>
    <row r="125353" spans="10:10" x14ac:dyDescent="0.3">
      <c r="J125353"/>
    </row>
    <row r="125354" spans="10:10" x14ac:dyDescent="0.3">
      <c r="J125354"/>
    </row>
    <row r="125355" spans="10:10" x14ac:dyDescent="0.3">
      <c r="J125355"/>
    </row>
    <row r="125356" spans="10:10" x14ac:dyDescent="0.3">
      <c r="J125356"/>
    </row>
    <row r="125357" spans="10:10" x14ac:dyDescent="0.3">
      <c r="J125357"/>
    </row>
    <row r="125358" spans="10:10" x14ac:dyDescent="0.3">
      <c r="J125358"/>
    </row>
    <row r="125359" spans="10:10" x14ac:dyDescent="0.3">
      <c r="J125359"/>
    </row>
    <row r="125360" spans="10:10" x14ac:dyDescent="0.3">
      <c r="J125360"/>
    </row>
    <row r="125361" spans="10:10" x14ac:dyDescent="0.3">
      <c r="J125361"/>
    </row>
    <row r="125362" spans="10:10" x14ac:dyDescent="0.3">
      <c r="J125362"/>
    </row>
    <row r="125363" spans="10:10" x14ac:dyDescent="0.3">
      <c r="J125363"/>
    </row>
    <row r="125364" spans="10:10" x14ac:dyDescent="0.3">
      <c r="J125364"/>
    </row>
    <row r="125365" spans="10:10" x14ac:dyDescent="0.3">
      <c r="J125365"/>
    </row>
    <row r="125366" spans="10:10" x14ac:dyDescent="0.3">
      <c r="J125366"/>
    </row>
    <row r="125367" spans="10:10" x14ac:dyDescent="0.3">
      <c r="J125367"/>
    </row>
    <row r="125368" spans="10:10" x14ac:dyDescent="0.3">
      <c r="J125368"/>
    </row>
    <row r="125369" spans="10:10" x14ac:dyDescent="0.3">
      <c r="J125369"/>
    </row>
    <row r="125370" spans="10:10" x14ac:dyDescent="0.3">
      <c r="J125370"/>
    </row>
    <row r="125371" spans="10:10" x14ac:dyDescent="0.3">
      <c r="J125371"/>
    </row>
    <row r="125372" spans="10:10" x14ac:dyDescent="0.3">
      <c r="J125372"/>
    </row>
    <row r="125373" spans="10:10" x14ac:dyDescent="0.3">
      <c r="J125373"/>
    </row>
    <row r="125374" spans="10:10" x14ac:dyDescent="0.3">
      <c r="J125374"/>
    </row>
    <row r="125375" spans="10:10" x14ac:dyDescent="0.3">
      <c r="J125375"/>
    </row>
    <row r="125376" spans="10:10" x14ac:dyDescent="0.3">
      <c r="J125376"/>
    </row>
    <row r="125377" spans="10:10" x14ac:dyDescent="0.3">
      <c r="J125377"/>
    </row>
    <row r="125378" spans="10:10" x14ac:dyDescent="0.3">
      <c r="J125378"/>
    </row>
    <row r="125379" spans="10:10" x14ac:dyDescent="0.3">
      <c r="J125379"/>
    </row>
    <row r="125380" spans="10:10" x14ac:dyDescent="0.3">
      <c r="J125380"/>
    </row>
    <row r="125381" spans="10:10" x14ac:dyDescent="0.3">
      <c r="J125381"/>
    </row>
    <row r="125382" spans="10:10" x14ac:dyDescent="0.3">
      <c r="J125382"/>
    </row>
    <row r="125383" spans="10:10" x14ac:dyDescent="0.3">
      <c r="J125383"/>
    </row>
    <row r="125384" spans="10:10" x14ac:dyDescent="0.3">
      <c r="J125384"/>
    </row>
    <row r="125385" spans="10:10" x14ac:dyDescent="0.3">
      <c r="J125385"/>
    </row>
    <row r="125386" spans="10:10" x14ac:dyDescent="0.3">
      <c r="J125386"/>
    </row>
    <row r="125387" spans="10:10" x14ac:dyDescent="0.3">
      <c r="J125387"/>
    </row>
    <row r="125388" spans="10:10" x14ac:dyDescent="0.3">
      <c r="J125388"/>
    </row>
    <row r="125389" spans="10:10" x14ac:dyDescent="0.3">
      <c r="J125389"/>
    </row>
    <row r="125390" spans="10:10" x14ac:dyDescent="0.3">
      <c r="J125390"/>
    </row>
    <row r="125391" spans="10:10" x14ac:dyDescent="0.3">
      <c r="J125391"/>
    </row>
    <row r="125392" spans="10:10" x14ac:dyDescent="0.3">
      <c r="J125392"/>
    </row>
    <row r="125393" spans="10:10" x14ac:dyDescent="0.3">
      <c r="J125393"/>
    </row>
    <row r="125394" spans="10:10" x14ac:dyDescent="0.3">
      <c r="J125394"/>
    </row>
    <row r="125395" spans="10:10" x14ac:dyDescent="0.3">
      <c r="J125395"/>
    </row>
    <row r="125396" spans="10:10" x14ac:dyDescent="0.3">
      <c r="J125396"/>
    </row>
    <row r="125397" spans="10:10" x14ac:dyDescent="0.3">
      <c r="J125397"/>
    </row>
    <row r="125398" spans="10:10" x14ac:dyDescent="0.3">
      <c r="J125398"/>
    </row>
    <row r="125399" spans="10:10" x14ac:dyDescent="0.3">
      <c r="J125399"/>
    </row>
    <row r="125400" spans="10:10" x14ac:dyDescent="0.3">
      <c r="J125400"/>
    </row>
    <row r="125401" spans="10:10" x14ac:dyDescent="0.3">
      <c r="J125401"/>
    </row>
    <row r="125402" spans="10:10" x14ac:dyDescent="0.3">
      <c r="J125402"/>
    </row>
    <row r="125403" spans="10:10" x14ac:dyDescent="0.3">
      <c r="J125403"/>
    </row>
    <row r="125404" spans="10:10" x14ac:dyDescent="0.3">
      <c r="J125404"/>
    </row>
    <row r="125405" spans="10:10" x14ac:dyDescent="0.3">
      <c r="J125405"/>
    </row>
    <row r="125406" spans="10:10" x14ac:dyDescent="0.3">
      <c r="J125406"/>
    </row>
    <row r="125407" spans="10:10" x14ac:dyDescent="0.3">
      <c r="J125407"/>
    </row>
    <row r="125408" spans="10:10" x14ac:dyDescent="0.3">
      <c r="J125408"/>
    </row>
    <row r="125409" spans="10:10" x14ac:dyDescent="0.3">
      <c r="J125409"/>
    </row>
    <row r="125410" spans="10:10" x14ac:dyDescent="0.3">
      <c r="J125410"/>
    </row>
    <row r="125411" spans="10:10" x14ac:dyDescent="0.3">
      <c r="J125411"/>
    </row>
    <row r="125412" spans="10:10" x14ac:dyDescent="0.3">
      <c r="J125412"/>
    </row>
    <row r="125413" spans="10:10" x14ac:dyDescent="0.3">
      <c r="J125413"/>
    </row>
    <row r="125414" spans="10:10" x14ac:dyDescent="0.3">
      <c r="J125414"/>
    </row>
    <row r="125415" spans="10:10" x14ac:dyDescent="0.3">
      <c r="J125415"/>
    </row>
    <row r="125416" spans="10:10" x14ac:dyDescent="0.3">
      <c r="J125416"/>
    </row>
    <row r="125417" spans="10:10" x14ac:dyDescent="0.3">
      <c r="J125417"/>
    </row>
    <row r="125418" spans="10:10" x14ac:dyDescent="0.3">
      <c r="J125418"/>
    </row>
    <row r="125419" spans="10:10" x14ac:dyDescent="0.3">
      <c r="J125419"/>
    </row>
    <row r="125420" spans="10:10" x14ac:dyDescent="0.3">
      <c r="J125420"/>
    </row>
    <row r="125421" spans="10:10" x14ac:dyDescent="0.3">
      <c r="J125421"/>
    </row>
    <row r="125422" spans="10:10" x14ac:dyDescent="0.3">
      <c r="J125422"/>
    </row>
    <row r="125423" spans="10:10" x14ac:dyDescent="0.3">
      <c r="J125423"/>
    </row>
    <row r="125424" spans="10:10" x14ac:dyDescent="0.3">
      <c r="J125424"/>
    </row>
    <row r="125425" spans="10:10" x14ac:dyDescent="0.3">
      <c r="J125425"/>
    </row>
    <row r="125426" spans="10:10" x14ac:dyDescent="0.3">
      <c r="J125426"/>
    </row>
    <row r="125427" spans="10:10" x14ac:dyDescent="0.3">
      <c r="J125427"/>
    </row>
    <row r="125428" spans="10:10" x14ac:dyDescent="0.3">
      <c r="J125428"/>
    </row>
    <row r="125429" spans="10:10" x14ac:dyDescent="0.3">
      <c r="J125429"/>
    </row>
    <row r="125430" spans="10:10" x14ac:dyDescent="0.3">
      <c r="J125430"/>
    </row>
    <row r="125431" spans="10:10" x14ac:dyDescent="0.3">
      <c r="J125431"/>
    </row>
    <row r="125432" spans="10:10" x14ac:dyDescent="0.3">
      <c r="J125432"/>
    </row>
    <row r="125433" spans="10:10" x14ac:dyDescent="0.3">
      <c r="J125433"/>
    </row>
    <row r="125434" spans="10:10" x14ac:dyDescent="0.3">
      <c r="J125434"/>
    </row>
    <row r="125435" spans="10:10" x14ac:dyDescent="0.3">
      <c r="J125435"/>
    </row>
    <row r="125436" spans="10:10" x14ac:dyDescent="0.3">
      <c r="J125436"/>
    </row>
    <row r="125437" spans="10:10" x14ac:dyDescent="0.3">
      <c r="J125437"/>
    </row>
    <row r="125438" spans="10:10" x14ac:dyDescent="0.3">
      <c r="J125438"/>
    </row>
    <row r="125439" spans="10:10" x14ac:dyDescent="0.3">
      <c r="J125439"/>
    </row>
    <row r="125440" spans="10:10" x14ac:dyDescent="0.3">
      <c r="J125440"/>
    </row>
    <row r="125441" spans="10:10" x14ac:dyDescent="0.3">
      <c r="J125441"/>
    </row>
    <row r="125442" spans="10:10" x14ac:dyDescent="0.3">
      <c r="J125442"/>
    </row>
    <row r="125443" spans="10:10" x14ac:dyDescent="0.3">
      <c r="J125443"/>
    </row>
    <row r="125444" spans="10:10" x14ac:dyDescent="0.3">
      <c r="J125444"/>
    </row>
    <row r="125445" spans="10:10" x14ac:dyDescent="0.3">
      <c r="J125445"/>
    </row>
    <row r="125446" spans="10:10" x14ac:dyDescent="0.3">
      <c r="J125446"/>
    </row>
    <row r="125447" spans="10:10" x14ac:dyDescent="0.3">
      <c r="J125447"/>
    </row>
    <row r="125448" spans="10:10" x14ac:dyDescent="0.3">
      <c r="J125448"/>
    </row>
    <row r="125449" spans="10:10" x14ac:dyDescent="0.3">
      <c r="J125449"/>
    </row>
    <row r="125450" spans="10:10" x14ac:dyDescent="0.3">
      <c r="J125450"/>
    </row>
    <row r="125451" spans="10:10" x14ac:dyDescent="0.3">
      <c r="J125451"/>
    </row>
    <row r="125452" spans="10:10" x14ac:dyDescent="0.3">
      <c r="J125452"/>
    </row>
    <row r="125453" spans="10:10" x14ac:dyDescent="0.3">
      <c r="J125453"/>
    </row>
    <row r="125454" spans="10:10" x14ac:dyDescent="0.3">
      <c r="J125454"/>
    </row>
    <row r="125455" spans="10:10" x14ac:dyDescent="0.3">
      <c r="J125455"/>
    </row>
    <row r="125456" spans="10:10" x14ac:dyDescent="0.3">
      <c r="J125456"/>
    </row>
    <row r="125457" spans="10:10" x14ac:dyDescent="0.3">
      <c r="J125457"/>
    </row>
    <row r="125458" spans="10:10" x14ac:dyDescent="0.3">
      <c r="J125458"/>
    </row>
    <row r="125459" spans="10:10" x14ac:dyDescent="0.3">
      <c r="J125459"/>
    </row>
    <row r="125460" spans="10:10" x14ac:dyDescent="0.3">
      <c r="J125460"/>
    </row>
    <row r="125461" spans="10:10" x14ac:dyDescent="0.3">
      <c r="J125461"/>
    </row>
    <row r="125462" spans="10:10" x14ac:dyDescent="0.3">
      <c r="J125462"/>
    </row>
    <row r="125463" spans="10:10" x14ac:dyDescent="0.3">
      <c r="J125463"/>
    </row>
    <row r="125464" spans="10:10" x14ac:dyDescent="0.3">
      <c r="J125464"/>
    </row>
    <row r="125465" spans="10:10" x14ac:dyDescent="0.3">
      <c r="J125465"/>
    </row>
    <row r="125466" spans="10:10" x14ac:dyDescent="0.3">
      <c r="J125466"/>
    </row>
    <row r="125467" spans="10:10" x14ac:dyDescent="0.3">
      <c r="J125467"/>
    </row>
    <row r="125468" spans="10:10" x14ac:dyDescent="0.3">
      <c r="J125468"/>
    </row>
    <row r="125469" spans="10:10" x14ac:dyDescent="0.3">
      <c r="J125469"/>
    </row>
    <row r="125470" spans="10:10" x14ac:dyDescent="0.3">
      <c r="J125470"/>
    </row>
    <row r="125471" spans="10:10" x14ac:dyDescent="0.3">
      <c r="J125471"/>
    </row>
    <row r="125472" spans="10:10" x14ac:dyDescent="0.3">
      <c r="J125472"/>
    </row>
    <row r="125473" spans="10:10" x14ac:dyDescent="0.3">
      <c r="J125473"/>
    </row>
    <row r="125474" spans="10:10" x14ac:dyDescent="0.3">
      <c r="J125474"/>
    </row>
    <row r="125475" spans="10:10" x14ac:dyDescent="0.3">
      <c r="J125475"/>
    </row>
    <row r="125476" spans="10:10" x14ac:dyDescent="0.3">
      <c r="J125476"/>
    </row>
    <row r="125477" spans="10:10" x14ac:dyDescent="0.3">
      <c r="J125477"/>
    </row>
    <row r="125478" spans="10:10" x14ac:dyDescent="0.3">
      <c r="J125478"/>
    </row>
    <row r="125479" spans="10:10" x14ac:dyDescent="0.3">
      <c r="J125479"/>
    </row>
    <row r="125480" spans="10:10" x14ac:dyDescent="0.3">
      <c r="J125480"/>
    </row>
    <row r="125481" spans="10:10" x14ac:dyDescent="0.3">
      <c r="J125481"/>
    </row>
    <row r="125482" spans="10:10" x14ac:dyDescent="0.3">
      <c r="J125482"/>
    </row>
    <row r="125483" spans="10:10" x14ac:dyDescent="0.3">
      <c r="J125483"/>
    </row>
    <row r="125484" spans="10:10" x14ac:dyDescent="0.3">
      <c r="J125484"/>
    </row>
    <row r="125485" spans="10:10" x14ac:dyDescent="0.3">
      <c r="J125485"/>
    </row>
    <row r="125486" spans="10:10" x14ac:dyDescent="0.3">
      <c r="J125486"/>
    </row>
    <row r="125487" spans="10:10" x14ac:dyDescent="0.3">
      <c r="J125487"/>
    </row>
    <row r="125488" spans="10:10" x14ac:dyDescent="0.3">
      <c r="J125488"/>
    </row>
    <row r="125489" spans="10:10" x14ac:dyDescent="0.3">
      <c r="J125489"/>
    </row>
    <row r="125490" spans="10:10" x14ac:dyDescent="0.3">
      <c r="J125490"/>
    </row>
    <row r="125491" spans="10:10" x14ac:dyDescent="0.3">
      <c r="J125491"/>
    </row>
    <row r="125492" spans="10:10" x14ac:dyDescent="0.3">
      <c r="J125492"/>
    </row>
    <row r="125493" spans="10:10" x14ac:dyDescent="0.3">
      <c r="J125493"/>
    </row>
    <row r="125494" spans="10:10" x14ac:dyDescent="0.3">
      <c r="J125494"/>
    </row>
    <row r="125495" spans="10:10" x14ac:dyDescent="0.3">
      <c r="J125495"/>
    </row>
    <row r="125496" spans="10:10" x14ac:dyDescent="0.3">
      <c r="J125496"/>
    </row>
    <row r="125497" spans="10:10" x14ac:dyDescent="0.3">
      <c r="J125497"/>
    </row>
    <row r="125498" spans="10:10" x14ac:dyDescent="0.3">
      <c r="J125498"/>
    </row>
    <row r="125499" spans="10:10" x14ac:dyDescent="0.3">
      <c r="J125499"/>
    </row>
    <row r="125500" spans="10:10" x14ac:dyDescent="0.3">
      <c r="J125500"/>
    </row>
    <row r="125501" spans="10:10" x14ac:dyDescent="0.3">
      <c r="J125501"/>
    </row>
    <row r="125502" spans="10:10" x14ac:dyDescent="0.3">
      <c r="J125502"/>
    </row>
    <row r="125503" spans="10:10" x14ac:dyDescent="0.3">
      <c r="J125503"/>
    </row>
    <row r="125504" spans="10:10" x14ac:dyDescent="0.3">
      <c r="J125504"/>
    </row>
    <row r="125505" spans="10:10" x14ac:dyDescent="0.3">
      <c r="J125505"/>
    </row>
    <row r="125506" spans="10:10" x14ac:dyDescent="0.3">
      <c r="J125506"/>
    </row>
    <row r="125507" spans="10:10" x14ac:dyDescent="0.3">
      <c r="J125507"/>
    </row>
    <row r="125508" spans="10:10" x14ac:dyDescent="0.3">
      <c r="J125508"/>
    </row>
    <row r="125509" spans="10:10" x14ac:dyDescent="0.3">
      <c r="J125509"/>
    </row>
    <row r="125510" spans="10:10" x14ac:dyDescent="0.3">
      <c r="J125510"/>
    </row>
    <row r="125511" spans="10:10" x14ac:dyDescent="0.3">
      <c r="J125511"/>
    </row>
    <row r="125512" spans="10:10" x14ac:dyDescent="0.3">
      <c r="J125512"/>
    </row>
    <row r="125513" spans="10:10" x14ac:dyDescent="0.3">
      <c r="J125513"/>
    </row>
    <row r="125514" spans="10:10" x14ac:dyDescent="0.3">
      <c r="J125514"/>
    </row>
    <row r="125515" spans="10:10" x14ac:dyDescent="0.3">
      <c r="J125515"/>
    </row>
    <row r="125516" spans="10:10" x14ac:dyDescent="0.3">
      <c r="J125516"/>
    </row>
    <row r="125517" spans="10:10" x14ac:dyDescent="0.3">
      <c r="J125517"/>
    </row>
    <row r="125518" spans="10:10" x14ac:dyDescent="0.3">
      <c r="J125518"/>
    </row>
    <row r="125519" spans="10:10" x14ac:dyDescent="0.3">
      <c r="J125519"/>
    </row>
    <row r="125520" spans="10:10" x14ac:dyDescent="0.3">
      <c r="J125520"/>
    </row>
    <row r="125521" spans="10:10" x14ac:dyDescent="0.3">
      <c r="J125521"/>
    </row>
    <row r="125522" spans="10:10" x14ac:dyDescent="0.3">
      <c r="J125522"/>
    </row>
    <row r="125523" spans="10:10" x14ac:dyDescent="0.3">
      <c r="J125523"/>
    </row>
    <row r="125524" spans="10:10" x14ac:dyDescent="0.3">
      <c r="J125524"/>
    </row>
    <row r="125525" spans="10:10" x14ac:dyDescent="0.3">
      <c r="J125525"/>
    </row>
    <row r="125526" spans="10:10" x14ac:dyDescent="0.3">
      <c r="J125526"/>
    </row>
    <row r="125527" spans="10:10" x14ac:dyDescent="0.3">
      <c r="J125527"/>
    </row>
    <row r="125528" spans="10:10" x14ac:dyDescent="0.3">
      <c r="J125528"/>
    </row>
    <row r="125529" spans="10:10" x14ac:dyDescent="0.3">
      <c r="J125529"/>
    </row>
    <row r="125530" spans="10:10" x14ac:dyDescent="0.3">
      <c r="J125530"/>
    </row>
    <row r="125531" spans="10:10" x14ac:dyDescent="0.3">
      <c r="J125531"/>
    </row>
    <row r="125532" spans="10:10" x14ac:dyDescent="0.3">
      <c r="J125532"/>
    </row>
    <row r="125533" spans="10:10" x14ac:dyDescent="0.3">
      <c r="J125533"/>
    </row>
    <row r="125534" spans="10:10" x14ac:dyDescent="0.3">
      <c r="J125534"/>
    </row>
    <row r="125535" spans="10:10" x14ac:dyDescent="0.3">
      <c r="J125535"/>
    </row>
    <row r="125536" spans="10:10" x14ac:dyDescent="0.3">
      <c r="J125536"/>
    </row>
    <row r="125537" spans="10:10" x14ac:dyDescent="0.3">
      <c r="J125537"/>
    </row>
    <row r="125538" spans="10:10" x14ac:dyDescent="0.3">
      <c r="J125538"/>
    </row>
    <row r="125539" spans="10:10" x14ac:dyDescent="0.3">
      <c r="J125539"/>
    </row>
    <row r="125540" spans="10:10" x14ac:dyDescent="0.3">
      <c r="J125540"/>
    </row>
    <row r="125541" spans="10:10" x14ac:dyDescent="0.3">
      <c r="J125541"/>
    </row>
    <row r="125542" spans="10:10" x14ac:dyDescent="0.3">
      <c r="J125542"/>
    </row>
    <row r="125543" spans="10:10" x14ac:dyDescent="0.3">
      <c r="J125543"/>
    </row>
    <row r="125544" spans="10:10" x14ac:dyDescent="0.3">
      <c r="J125544"/>
    </row>
    <row r="125545" spans="10:10" x14ac:dyDescent="0.3">
      <c r="J125545"/>
    </row>
    <row r="125546" spans="10:10" x14ac:dyDescent="0.3">
      <c r="J125546"/>
    </row>
    <row r="125547" spans="10:10" x14ac:dyDescent="0.3">
      <c r="J125547"/>
    </row>
    <row r="125548" spans="10:10" x14ac:dyDescent="0.3">
      <c r="J125548"/>
    </row>
    <row r="125549" spans="10:10" x14ac:dyDescent="0.3">
      <c r="J125549"/>
    </row>
    <row r="125550" spans="10:10" x14ac:dyDescent="0.3">
      <c r="J125550"/>
    </row>
    <row r="125551" spans="10:10" x14ac:dyDescent="0.3">
      <c r="J125551"/>
    </row>
    <row r="125552" spans="10:10" x14ac:dyDescent="0.3">
      <c r="J125552"/>
    </row>
    <row r="125553" spans="10:10" x14ac:dyDescent="0.3">
      <c r="J125553"/>
    </row>
    <row r="125554" spans="10:10" x14ac:dyDescent="0.3">
      <c r="J125554"/>
    </row>
    <row r="125555" spans="10:10" x14ac:dyDescent="0.3">
      <c r="J125555"/>
    </row>
    <row r="125556" spans="10:10" x14ac:dyDescent="0.3">
      <c r="J125556"/>
    </row>
    <row r="125557" spans="10:10" x14ac:dyDescent="0.3">
      <c r="J125557"/>
    </row>
    <row r="125558" spans="10:10" x14ac:dyDescent="0.3">
      <c r="J125558"/>
    </row>
    <row r="125559" spans="10:10" x14ac:dyDescent="0.3">
      <c r="J125559"/>
    </row>
    <row r="125560" spans="10:10" x14ac:dyDescent="0.3">
      <c r="J125560"/>
    </row>
    <row r="125561" spans="10:10" x14ac:dyDescent="0.3">
      <c r="J125561"/>
    </row>
    <row r="125562" spans="10:10" x14ac:dyDescent="0.3">
      <c r="J125562"/>
    </row>
    <row r="125563" spans="10:10" x14ac:dyDescent="0.3">
      <c r="J125563"/>
    </row>
    <row r="125564" spans="10:10" x14ac:dyDescent="0.3">
      <c r="J125564"/>
    </row>
    <row r="125565" spans="10:10" x14ac:dyDescent="0.3">
      <c r="J125565"/>
    </row>
    <row r="125566" spans="10:10" x14ac:dyDescent="0.3">
      <c r="J125566"/>
    </row>
    <row r="125567" spans="10:10" x14ac:dyDescent="0.3">
      <c r="J125567"/>
    </row>
    <row r="125568" spans="10:10" x14ac:dyDescent="0.3">
      <c r="J125568"/>
    </row>
    <row r="125569" spans="10:10" x14ac:dyDescent="0.3">
      <c r="J125569"/>
    </row>
    <row r="125570" spans="10:10" x14ac:dyDescent="0.3">
      <c r="J125570"/>
    </row>
    <row r="125571" spans="10:10" x14ac:dyDescent="0.3">
      <c r="J125571"/>
    </row>
    <row r="125572" spans="10:10" x14ac:dyDescent="0.3">
      <c r="J125572"/>
    </row>
    <row r="125573" spans="10:10" x14ac:dyDescent="0.3">
      <c r="J125573"/>
    </row>
    <row r="125574" spans="10:10" x14ac:dyDescent="0.3">
      <c r="J125574"/>
    </row>
    <row r="125575" spans="10:10" x14ac:dyDescent="0.3">
      <c r="J125575"/>
    </row>
    <row r="125576" spans="10:10" x14ac:dyDescent="0.3">
      <c r="J125576"/>
    </row>
    <row r="125577" spans="10:10" x14ac:dyDescent="0.3">
      <c r="J125577"/>
    </row>
    <row r="125578" spans="10:10" x14ac:dyDescent="0.3">
      <c r="J125578"/>
    </row>
    <row r="125579" spans="10:10" x14ac:dyDescent="0.3">
      <c r="J125579"/>
    </row>
    <row r="125580" spans="10:10" x14ac:dyDescent="0.3">
      <c r="J125580"/>
    </row>
    <row r="125581" spans="10:10" x14ac:dyDescent="0.3">
      <c r="J125581"/>
    </row>
    <row r="125582" spans="10:10" x14ac:dyDescent="0.3">
      <c r="J125582"/>
    </row>
    <row r="125583" spans="10:10" x14ac:dyDescent="0.3">
      <c r="J125583"/>
    </row>
    <row r="125584" spans="10:10" x14ac:dyDescent="0.3">
      <c r="J125584"/>
    </row>
    <row r="125585" spans="10:10" x14ac:dyDescent="0.3">
      <c r="J125585"/>
    </row>
    <row r="125586" spans="10:10" x14ac:dyDescent="0.3">
      <c r="J125586"/>
    </row>
    <row r="125587" spans="10:10" x14ac:dyDescent="0.3">
      <c r="J125587"/>
    </row>
    <row r="125588" spans="10:10" x14ac:dyDescent="0.3">
      <c r="J125588"/>
    </row>
    <row r="125589" spans="10:10" x14ac:dyDescent="0.3">
      <c r="J125589"/>
    </row>
    <row r="125590" spans="10:10" x14ac:dyDescent="0.3">
      <c r="J125590"/>
    </row>
    <row r="125591" spans="10:10" x14ac:dyDescent="0.3">
      <c r="J125591"/>
    </row>
    <row r="125592" spans="10:10" x14ac:dyDescent="0.3">
      <c r="J125592"/>
    </row>
    <row r="125593" spans="10:10" x14ac:dyDescent="0.3">
      <c r="J125593"/>
    </row>
    <row r="125594" spans="10:10" x14ac:dyDescent="0.3">
      <c r="J125594"/>
    </row>
    <row r="125595" spans="10:10" x14ac:dyDescent="0.3">
      <c r="J125595"/>
    </row>
    <row r="125596" spans="10:10" x14ac:dyDescent="0.3">
      <c r="J125596"/>
    </row>
    <row r="125597" spans="10:10" x14ac:dyDescent="0.3">
      <c r="J125597"/>
    </row>
    <row r="125598" spans="10:10" x14ac:dyDescent="0.3">
      <c r="J125598"/>
    </row>
    <row r="125599" spans="10:10" x14ac:dyDescent="0.3">
      <c r="J125599"/>
    </row>
    <row r="125600" spans="10:10" x14ac:dyDescent="0.3">
      <c r="J125600"/>
    </row>
    <row r="125601" spans="10:10" x14ac:dyDescent="0.3">
      <c r="J125601"/>
    </row>
    <row r="125602" spans="10:10" x14ac:dyDescent="0.3">
      <c r="J125602"/>
    </row>
    <row r="125603" spans="10:10" x14ac:dyDescent="0.3">
      <c r="J125603"/>
    </row>
    <row r="125604" spans="10:10" x14ac:dyDescent="0.3">
      <c r="J125604"/>
    </row>
    <row r="125605" spans="10:10" x14ac:dyDescent="0.3">
      <c r="J125605"/>
    </row>
    <row r="125606" spans="10:10" x14ac:dyDescent="0.3">
      <c r="J125606"/>
    </row>
    <row r="125607" spans="10:10" x14ac:dyDescent="0.3">
      <c r="J125607"/>
    </row>
    <row r="125608" spans="10:10" x14ac:dyDescent="0.3">
      <c r="J125608"/>
    </row>
    <row r="125609" spans="10:10" x14ac:dyDescent="0.3">
      <c r="J125609"/>
    </row>
    <row r="125610" spans="10:10" x14ac:dyDescent="0.3">
      <c r="J125610"/>
    </row>
    <row r="125611" spans="10:10" x14ac:dyDescent="0.3">
      <c r="J125611"/>
    </row>
    <row r="125612" spans="10:10" x14ac:dyDescent="0.3">
      <c r="J125612"/>
    </row>
    <row r="125613" spans="10:10" x14ac:dyDescent="0.3">
      <c r="J125613"/>
    </row>
    <row r="125614" spans="10:10" x14ac:dyDescent="0.3">
      <c r="J125614"/>
    </row>
    <row r="125615" spans="10:10" x14ac:dyDescent="0.3">
      <c r="J125615"/>
    </row>
    <row r="125616" spans="10:10" x14ac:dyDescent="0.3">
      <c r="J125616"/>
    </row>
    <row r="125617" spans="10:10" x14ac:dyDescent="0.3">
      <c r="J125617"/>
    </row>
    <row r="125618" spans="10:10" x14ac:dyDescent="0.3">
      <c r="J125618"/>
    </row>
    <row r="125619" spans="10:10" x14ac:dyDescent="0.3">
      <c r="J125619"/>
    </row>
    <row r="125620" spans="10:10" x14ac:dyDescent="0.3">
      <c r="J125620"/>
    </row>
    <row r="125621" spans="10:10" x14ac:dyDescent="0.3">
      <c r="J125621"/>
    </row>
    <row r="125622" spans="10:10" x14ac:dyDescent="0.3">
      <c r="J125622"/>
    </row>
    <row r="125623" spans="10:10" x14ac:dyDescent="0.3">
      <c r="J125623"/>
    </row>
    <row r="125624" spans="10:10" x14ac:dyDescent="0.3">
      <c r="J125624"/>
    </row>
    <row r="125625" spans="10:10" x14ac:dyDescent="0.3">
      <c r="J125625"/>
    </row>
    <row r="125626" spans="10:10" x14ac:dyDescent="0.3">
      <c r="J125626"/>
    </row>
    <row r="125627" spans="10:10" x14ac:dyDescent="0.3">
      <c r="J125627"/>
    </row>
    <row r="125628" spans="10:10" x14ac:dyDescent="0.3">
      <c r="J125628"/>
    </row>
    <row r="125629" spans="10:10" x14ac:dyDescent="0.3">
      <c r="J125629"/>
    </row>
    <row r="125630" spans="10:10" x14ac:dyDescent="0.3">
      <c r="J125630"/>
    </row>
    <row r="125631" spans="10:10" x14ac:dyDescent="0.3">
      <c r="J125631"/>
    </row>
    <row r="125632" spans="10:10" x14ac:dyDescent="0.3">
      <c r="J125632"/>
    </row>
    <row r="125633" spans="10:10" x14ac:dyDescent="0.3">
      <c r="J125633"/>
    </row>
    <row r="125634" spans="10:10" x14ac:dyDescent="0.3">
      <c r="J125634"/>
    </row>
    <row r="125635" spans="10:10" x14ac:dyDescent="0.3">
      <c r="J125635"/>
    </row>
    <row r="125636" spans="10:10" x14ac:dyDescent="0.3">
      <c r="J125636"/>
    </row>
    <row r="125637" spans="10:10" x14ac:dyDescent="0.3">
      <c r="J125637"/>
    </row>
    <row r="125638" spans="10:10" x14ac:dyDescent="0.3">
      <c r="J125638"/>
    </row>
    <row r="125639" spans="10:10" x14ac:dyDescent="0.3">
      <c r="J125639"/>
    </row>
    <row r="125640" spans="10:10" x14ac:dyDescent="0.3">
      <c r="J125640"/>
    </row>
    <row r="125641" spans="10:10" x14ac:dyDescent="0.3">
      <c r="J125641"/>
    </row>
    <row r="125642" spans="10:10" x14ac:dyDescent="0.3">
      <c r="J125642"/>
    </row>
    <row r="125643" spans="10:10" x14ac:dyDescent="0.3">
      <c r="J125643"/>
    </row>
    <row r="125644" spans="10:10" x14ac:dyDescent="0.3">
      <c r="J125644"/>
    </row>
    <row r="125645" spans="10:10" x14ac:dyDescent="0.3">
      <c r="J125645"/>
    </row>
    <row r="125646" spans="10:10" x14ac:dyDescent="0.3">
      <c r="J125646"/>
    </row>
    <row r="125647" spans="10:10" x14ac:dyDescent="0.3">
      <c r="J125647"/>
    </row>
    <row r="125648" spans="10:10" x14ac:dyDescent="0.3">
      <c r="J125648"/>
    </row>
    <row r="125649" spans="10:10" x14ac:dyDescent="0.3">
      <c r="J125649"/>
    </row>
    <row r="125650" spans="10:10" x14ac:dyDescent="0.3">
      <c r="J125650"/>
    </row>
    <row r="125651" spans="10:10" x14ac:dyDescent="0.3">
      <c r="J125651"/>
    </row>
    <row r="125652" spans="10:10" x14ac:dyDescent="0.3">
      <c r="J125652"/>
    </row>
    <row r="125653" spans="10:10" x14ac:dyDescent="0.3">
      <c r="J125653"/>
    </row>
    <row r="125654" spans="10:10" x14ac:dyDescent="0.3">
      <c r="J125654"/>
    </row>
    <row r="125655" spans="10:10" x14ac:dyDescent="0.3">
      <c r="J125655"/>
    </row>
    <row r="125656" spans="10:10" x14ac:dyDescent="0.3">
      <c r="J125656"/>
    </row>
    <row r="125657" spans="10:10" x14ac:dyDescent="0.3">
      <c r="J125657"/>
    </row>
    <row r="125658" spans="10:10" x14ac:dyDescent="0.3">
      <c r="J125658"/>
    </row>
    <row r="125659" spans="10:10" x14ac:dyDescent="0.3">
      <c r="J125659"/>
    </row>
    <row r="125660" spans="10:10" x14ac:dyDescent="0.3">
      <c r="J125660"/>
    </row>
    <row r="125661" spans="10:10" x14ac:dyDescent="0.3">
      <c r="J125661"/>
    </row>
    <row r="125662" spans="10:10" x14ac:dyDescent="0.3">
      <c r="J125662"/>
    </row>
    <row r="125663" spans="10:10" x14ac:dyDescent="0.3">
      <c r="J125663"/>
    </row>
    <row r="125664" spans="10:10" x14ac:dyDescent="0.3">
      <c r="J125664"/>
    </row>
    <row r="125665" spans="10:10" x14ac:dyDescent="0.3">
      <c r="J125665"/>
    </row>
    <row r="125666" spans="10:10" x14ac:dyDescent="0.3">
      <c r="J125666"/>
    </row>
    <row r="125667" spans="10:10" x14ac:dyDescent="0.3">
      <c r="J125667"/>
    </row>
    <row r="125668" spans="10:10" x14ac:dyDescent="0.3">
      <c r="J125668"/>
    </row>
    <row r="125669" spans="10:10" x14ac:dyDescent="0.3">
      <c r="J125669"/>
    </row>
    <row r="125670" spans="10:10" x14ac:dyDescent="0.3">
      <c r="J125670"/>
    </row>
    <row r="125671" spans="10:10" x14ac:dyDescent="0.3">
      <c r="J125671"/>
    </row>
    <row r="125672" spans="10:10" x14ac:dyDescent="0.3">
      <c r="J125672"/>
    </row>
    <row r="125673" spans="10:10" x14ac:dyDescent="0.3">
      <c r="J125673"/>
    </row>
    <row r="125674" spans="10:10" x14ac:dyDescent="0.3">
      <c r="J125674"/>
    </row>
    <row r="125675" spans="10:10" x14ac:dyDescent="0.3">
      <c r="J125675"/>
    </row>
    <row r="125676" spans="10:10" x14ac:dyDescent="0.3">
      <c r="J125676"/>
    </row>
    <row r="125677" spans="10:10" x14ac:dyDescent="0.3">
      <c r="J125677"/>
    </row>
    <row r="125678" spans="10:10" x14ac:dyDescent="0.3">
      <c r="J125678"/>
    </row>
    <row r="125679" spans="10:10" x14ac:dyDescent="0.3">
      <c r="J125679"/>
    </row>
    <row r="125680" spans="10:10" x14ac:dyDescent="0.3">
      <c r="J125680"/>
    </row>
    <row r="125681" spans="10:10" x14ac:dyDescent="0.3">
      <c r="J125681"/>
    </row>
    <row r="125682" spans="10:10" x14ac:dyDescent="0.3">
      <c r="J125682"/>
    </row>
    <row r="125683" spans="10:10" x14ac:dyDescent="0.3">
      <c r="J125683"/>
    </row>
    <row r="125684" spans="10:10" x14ac:dyDescent="0.3">
      <c r="J125684"/>
    </row>
    <row r="125685" spans="10:10" x14ac:dyDescent="0.3">
      <c r="J125685"/>
    </row>
    <row r="125686" spans="10:10" x14ac:dyDescent="0.3">
      <c r="J125686"/>
    </row>
    <row r="125687" spans="10:10" x14ac:dyDescent="0.3">
      <c r="J125687"/>
    </row>
    <row r="125688" spans="10:10" x14ac:dyDescent="0.3">
      <c r="J125688"/>
    </row>
    <row r="125689" spans="10:10" x14ac:dyDescent="0.3">
      <c r="J125689"/>
    </row>
    <row r="125690" spans="10:10" x14ac:dyDescent="0.3">
      <c r="J125690"/>
    </row>
    <row r="125691" spans="10:10" x14ac:dyDescent="0.3">
      <c r="J125691"/>
    </row>
    <row r="125692" spans="10:10" x14ac:dyDescent="0.3">
      <c r="J125692"/>
    </row>
    <row r="125693" spans="10:10" x14ac:dyDescent="0.3">
      <c r="J125693"/>
    </row>
    <row r="125694" spans="10:10" x14ac:dyDescent="0.3">
      <c r="J125694"/>
    </row>
    <row r="125695" spans="10:10" x14ac:dyDescent="0.3">
      <c r="J125695"/>
    </row>
    <row r="125696" spans="10:10" x14ac:dyDescent="0.3">
      <c r="J125696"/>
    </row>
    <row r="125697" spans="10:10" x14ac:dyDescent="0.3">
      <c r="J125697"/>
    </row>
    <row r="125698" spans="10:10" x14ac:dyDescent="0.3">
      <c r="J125698"/>
    </row>
    <row r="125699" spans="10:10" x14ac:dyDescent="0.3">
      <c r="J125699"/>
    </row>
    <row r="125700" spans="10:10" x14ac:dyDescent="0.3">
      <c r="J125700"/>
    </row>
    <row r="125701" spans="10:10" x14ac:dyDescent="0.3">
      <c r="J125701"/>
    </row>
    <row r="125702" spans="10:10" x14ac:dyDescent="0.3">
      <c r="J125702"/>
    </row>
    <row r="125703" spans="10:10" x14ac:dyDescent="0.3">
      <c r="J125703"/>
    </row>
    <row r="125704" spans="10:10" x14ac:dyDescent="0.3">
      <c r="J125704"/>
    </row>
    <row r="125705" spans="10:10" x14ac:dyDescent="0.3">
      <c r="J125705"/>
    </row>
    <row r="125706" spans="10:10" x14ac:dyDescent="0.3">
      <c r="J125706"/>
    </row>
    <row r="125707" spans="10:10" x14ac:dyDescent="0.3">
      <c r="J125707"/>
    </row>
    <row r="125708" spans="10:10" x14ac:dyDescent="0.3">
      <c r="J125708"/>
    </row>
    <row r="125709" spans="10:10" x14ac:dyDescent="0.3">
      <c r="J125709"/>
    </row>
    <row r="125710" spans="10:10" x14ac:dyDescent="0.3">
      <c r="J125710"/>
    </row>
    <row r="125711" spans="10:10" x14ac:dyDescent="0.3">
      <c r="J125711"/>
    </row>
    <row r="125712" spans="10:10" x14ac:dyDescent="0.3">
      <c r="J125712"/>
    </row>
    <row r="125713" spans="10:10" x14ac:dyDescent="0.3">
      <c r="J125713"/>
    </row>
    <row r="125714" spans="10:10" x14ac:dyDescent="0.3">
      <c r="J125714"/>
    </row>
    <row r="125715" spans="10:10" x14ac:dyDescent="0.3">
      <c r="J125715"/>
    </row>
    <row r="125716" spans="10:10" x14ac:dyDescent="0.3">
      <c r="J125716"/>
    </row>
    <row r="125717" spans="10:10" x14ac:dyDescent="0.3">
      <c r="J125717"/>
    </row>
    <row r="125718" spans="10:10" x14ac:dyDescent="0.3">
      <c r="J125718"/>
    </row>
    <row r="125719" spans="10:10" x14ac:dyDescent="0.3">
      <c r="J125719"/>
    </row>
    <row r="125720" spans="10:10" x14ac:dyDescent="0.3">
      <c r="J125720"/>
    </row>
    <row r="125721" spans="10:10" x14ac:dyDescent="0.3">
      <c r="J125721"/>
    </row>
    <row r="125722" spans="10:10" x14ac:dyDescent="0.3">
      <c r="J125722"/>
    </row>
    <row r="125723" spans="10:10" x14ac:dyDescent="0.3">
      <c r="J125723"/>
    </row>
    <row r="125724" spans="10:10" x14ac:dyDescent="0.3">
      <c r="J125724"/>
    </row>
    <row r="125725" spans="10:10" x14ac:dyDescent="0.3">
      <c r="J125725"/>
    </row>
    <row r="125726" spans="10:10" x14ac:dyDescent="0.3">
      <c r="J125726"/>
    </row>
    <row r="125727" spans="10:10" x14ac:dyDescent="0.3">
      <c r="J125727"/>
    </row>
    <row r="125728" spans="10:10" x14ac:dyDescent="0.3">
      <c r="J125728"/>
    </row>
    <row r="125729" spans="10:10" x14ac:dyDescent="0.3">
      <c r="J125729"/>
    </row>
    <row r="125730" spans="10:10" x14ac:dyDescent="0.3">
      <c r="J125730"/>
    </row>
    <row r="125731" spans="10:10" x14ac:dyDescent="0.3">
      <c r="J125731"/>
    </row>
    <row r="125732" spans="10:10" x14ac:dyDescent="0.3">
      <c r="J125732"/>
    </row>
    <row r="125733" spans="10:10" x14ac:dyDescent="0.3">
      <c r="J125733"/>
    </row>
    <row r="125734" spans="10:10" x14ac:dyDescent="0.3">
      <c r="J125734"/>
    </row>
    <row r="125735" spans="10:10" x14ac:dyDescent="0.3">
      <c r="J125735"/>
    </row>
    <row r="125736" spans="10:10" x14ac:dyDescent="0.3">
      <c r="J125736"/>
    </row>
    <row r="125737" spans="10:10" x14ac:dyDescent="0.3">
      <c r="J125737"/>
    </row>
    <row r="125738" spans="10:10" x14ac:dyDescent="0.3">
      <c r="J125738"/>
    </row>
    <row r="125739" spans="10:10" x14ac:dyDescent="0.3">
      <c r="J125739"/>
    </row>
    <row r="125740" spans="10:10" x14ac:dyDescent="0.3">
      <c r="J125740"/>
    </row>
    <row r="125741" spans="10:10" x14ac:dyDescent="0.3">
      <c r="J125741"/>
    </row>
    <row r="125742" spans="10:10" x14ac:dyDescent="0.3">
      <c r="J125742"/>
    </row>
    <row r="125743" spans="10:10" x14ac:dyDescent="0.3">
      <c r="J125743"/>
    </row>
    <row r="125744" spans="10:10" x14ac:dyDescent="0.3">
      <c r="J125744"/>
    </row>
    <row r="125745" spans="10:10" x14ac:dyDescent="0.3">
      <c r="J125745"/>
    </row>
    <row r="125746" spans="10:10" x14ac:dyDescent="0.3">
      <c r="J125746"/>
    </row>
    <row r="125747" spans="10:10" x14ac:dyDescent="0.3">
      <c r="J125747"/>
    </row>
    <row r="125748" spans="10:10" x14ac:dyDescent="0.3">
      <c r="J125748"/>
    </row>
    <row r="125749" spans="10:10" x14ac:dyDescent="0.3">
      <c r="J125749"/>
    </row>
    <row r="125750" spans="10:10" x14ac:dyDescent="0.3">
      <c r="J125750"/>
    </row>
    <row r="125751" spans="10:10" x14ac:dyDescent="0.3">
      <c r="J125751"/>
    </row>
    <row r="125752" spans="10:10" x14ac:dyDescent="0.3">
      <c r="J125752"/>
    </row>
    <row r="125753" spans="10:10" x14ac:dyDescent="0.3">
      <c r="J125753"/>
    </row>
    <row r="125754" spans="10:10" x14ac:dyDescent="0.3">
      <c r="J125754"/>
    </row>
    <row r="125755" spans="10:10" x14ac:dyDescent="0.3">
      <c r="J125755"/>
    </row>
    <row r="125756" spans="10:10" x14ac:dyDescent="0.3">
      <c r="J125756"/>
    </row>
    <row r="125757" spans="10:10" x14ac:dyDescent="0.3">
      <c r="J125757"/>
    </row>
    <row r="125758" spans="10:10" x14ac:dyDescent="0.3">
      <c r="J125758"/>
    </row>
    <row r="125759" spans="10:10" x14ac:dyDescent="0.3">
      <c r="J125759"/>
    </row>
    <row r="125760" spans="10:10" x14ac:dyDescent="0.3">
      <c r="J125760"/>
    </row>
    <row r="125761" spans="10:10" x14ac:dyDescent="0.3">
      <c r="J125761"/>
    </row>
    <row r="125762" spans="10:10" x14ac:dyDescent="0.3">
      <c r="J125762"/>
    </row>
    <row r="125763" spans="10:10" x14ac:dyDescent="0.3">
      <c r="J125763"/>
    </row>
    <row r="125764" spans="10:10" x14ac:dyDescent="0.3">
      <c r="J125764"/>
    </row>
    <row r="125765" spans="10:10" x14ac:dyDescent="0.3">
      <c r="J125765"/>
    </row>
    <row r="125766" spans="10:10" x14ac:dyDescent="0.3">
      <c r="J125766"/>
    </row>
    <row r="125767" spans="10:10" x14ac:dyDescent="0.3">
      <c r="J125767"/>
    </row>
    <row r="125768" spans="10:10" x14ac:dyDescent="0.3">
      <c r="J125768"/>
    </row>
    <row r="125769" spans="10:10" x14ac:dyDescent="0.3">
      <c r="J125769"/>
    </row>
    <row r="125770" spans="10:10" x14ac:dyDescent="0.3">
      <c r="J125770"/>
    </row>
    <row r="125771" spans="10:10" x14ac:dyDescent="0.3">
      <c r="J125771"/>
    </row>
    <row r="125772" spans="10:10" x14ac:dyDescent="0.3">
      <c r="J125772"/>
    </row>
    <row r="125773" spans="10:10" x14ac:dyDescent="0.3">
      <c r="J125773"/>
    </row>
    <row r="125774" spans="10:10" x14ac:dyDescent="0.3">
      <c r="J125774"/>
    </row>
    <row r="125775" spans="10:10" x14ac:dyDescent="0.3">
      <c r="J125775"/>
    </row>
    <row r="125776" spans="10:10" x14ac:dyDescent="0.3">
      <c r="J125776"/>
    </row>
    <row r="125777" spans="10:10" x14ac:dyDescent="0.3">
      <c r="J125777"/>
    </row>
    <row r="125778" spans="10:10" x14ac:dyDescent="0.3">
      <c r="J125778"/>
    </row>
    <row r="125779" spans="10:10" x14ac:dyDescent="0.3">
      <c r="J125779"/>
    </row>
    <row r="125780" spans="10:10" x14ac:dyDescent="0.3">
      <c r="J125780"/>
    </row>
    <row r="125781" spans="10:10" x14ac:dyDescent="0.3">
      <c r="J125781"/>
    </row>
    <row r="125782" spans="10:10" x14ac:dyDescent="0.3">
      <c r="J125782"/>
    </row>
    <row r="125783" spans="10:10" x14ac:dyDescent="0.3">
      <c r="J125783"/>
    </row>
    <row r="125784" spans="10:10" x14ac:dyDescent="0.3">
      <c r="J125784"/>
    </row>
    <row r="125785" spans="10:10" x14ac:dyDescent="0.3">
      <c r="J125785"/>
    </row>
    <row r="125786" spans="10:10" x14ac:dyDescent="0.3">
      <c r="J125786"/>
    </row>
    <row r="125787" spans="10:10" x14ac:dyDescent="0.3">
      <c r="J125787"/>
    </row>
    <row r="125788" spans="10:10" x14ac:dyDescent="0.3">
      <c r="J125788"/>
    </row>
    <row r="125789" spans="10:10" x14ac:dyDescent="0.3">
      <c r="J125789"/>
    </row>
    <row r="125790" spans="10:10" x14ac:dyDescent="0.3">
      <c r="J125790"/>
    </row>
    <row r="125791" spans="10:10" x14ac:dyDescent="0.3">
      <c r="J125791"/>
    </row>
    <row r="125792" spans="10:10" x14ac:dyDescent="0.3">
      <c r="J125792"/>
    </row>
    <row r="125793" spans="10:10" x14ac:dyDescent="0.3">
      <c r="J125793"/>
    </row>
    <row r="125794" spans="10:10" x14ac:dyDescent="0.3">
      <c r="J125794"/>
    </row>
    <row r="125795" spans="10:10" x14ac:dyDescent="0.3">
      <c r="J125795"/>
    </row>
    <row r="125796" spans="10:10" x14ac:dyDescent="0.3">
      <c r="J125796"/>
    </row>
    <row r="125797" spans="10:10" x14ac:dyDescent="0.3">
      <c r="J125797"/>
    </row>
    <row r="125798" spans="10:10" x14ac:dyDescent="0.3">
      <c r="J125798"/>
    </row>
    <row r="125799" spans="10:10" x14ac:dyDescent="0.3">
      <c r="J125799"/>
    </row>
    <row r="125800" spans="10:10" x14ac:dyDescent="0.3">
      <c r="J125800"/>
    </row>
    <row r="125801" spans="10:10" x14ac:dyDescent="0.3">
      <c r="J125801"/>
    </row>
    <row r="125802" spans="10:10" x14ac:dyDescent="0.3">
      <c r="J125802"/>
    </row>
    <row r="125803" spans="10:10" x14ac:dyDescent="0.3">
      <c r="J125803"/>
    </row>
    <row r="125804" spans="10:10" x14ac:dyDescent="0.3">
      <c r="J125804"/>
    </row>
    <row r="125805" spans="10:10" x14ac:dyDescent="0.3">
      <c r="J125805"/>
    </row>
    <row r="125806" spans="10:10" x14ac:dyDescent="0.3">
      <c r="J125806"/>
    </row>
    <row r="125807" spans="10:10" x14ac:dyDescent="0.3">
      <c r="J125807"/>
    </row>
    <row r="125808" spans="10:10" x14ac:dyDescent="0.3">
      <c r="J125808"/>
    </row>
    <row r="125809" spans="10:10" x14ac:dyDescent="0.3">
      <c r="J125809"/>
    </row>
    <row r="125810" spans="10:10" x14ac:dyDescent="0.3">
      <c r="J125810"/>
    </row>
    <row r="125811" spans="10:10" x14ac:dyDescent="0.3">
      <c r="J125811"/>
    </row>
    <row r="125812" spans="10:10" x14ac:dyDescent="0.3">
      <c r="J125812"/>
    </row>
    <row r="125813" spans="10:10" x14ac:dyDescent="0.3">
      <c r="J125813"/>
    </row>
    <row r="125814" spans="10:10" x14ac:dyDescent="0.3">
      <c r="J125814"/>
    </row>
    <row r="125815" spans="10:10" x14ac:dyDescent="0.3">
      <c r="J125815"/>
    </row>
    <row r="125816" spans="10:10" x14ac:dyDescent="0.3">
      <c r="J125816"/>
    </row>
    <row r="125817" spans="10:10" x14ac:dyDescent="0.3">
      <c r="J125817"/>
    </row>
    <row r="125818" spans="10:10" x14ac:dyDescent="0.3">
      <c r="J125818"/>
    </row>
    <row r="125819" spans="10:10" x14ac:dyDescent="0.3">
      <c r="J125819"/>
    </row>
    <row r="125820" spans="10:10" x14ac:dyDescent="0.3">
      <c r="J125820"/>
    </row>
    <row r="125821" spans="10:10" x14ac:dyDescent="0.3">
      <c r="J125821"/>
    </row>
    <row r="125822" spans="10:10" x14ac:dyDescent="0.3">
      <c r="J125822"/>
    </row>
    <row r="125823" spans="10:10" x14ac:dyDescent="0.3">
      <c r="J125823"/>
    </row>
    <row r="125824" spans="10:10" x14ac:dyDescent="0.3">
      <c r="J125824"/>
    </row>
    <row r="125825" spans="10:10" x14ac:dyDescent="0.3">
      <c r="J125825"/>
    </row>
    <row r="125826" spans="10:10" x14ac:dyDescent="0.3">
      <c r="J125826"/>
    </row>
    <row r="125827" spans="10:10" x14ac:dyDescent="0.3">
      <c r="J125827"/>
    </row>
    <row r="125828" spans="10:10" x14ac:dyDescent="0.3">
      <c r="J125828"/>
    </row>
    <row r="125829" spans="10:10" x14ac:dyDescent="0.3">
      <c r="J125829"/>
    </row>
    <row r="125830" spans="10:10" x14ac:dyDescent="0.3">
      <c r="J125830"/>
    </row>
    <row r="125831" spans="10:10" x14ac:dyDescent="0.3">
      <c r="J125831"/>
    </row>
    <row r="125832" spans="10:10" x14ac:dyDescent="0.3">
      <c r="J125832"/>
    </row>
    <row r="125833" spans="10:10" x14ac:dyDescent="0.3">
      <c r="J125833"/>
    </row>
    <row r="125834" spans="10:10" x14ac:dyDescent="0.3">
      <c r="J125834"/>
    </row>
    <row r="125835" spans="10:10" x14ac:dyDescent="0.3">
      <c r="J125835"/>
    </row>
    <row r="125836" spans="10:10" x14ac:dyDescent="0.3">
      <c r="J125836"/>
    </row>
    <row r="125837" spans="10:10" x14ac:dyDescent="0.3">
      <c r="J125837"/>
    </row>
    <row r="125838" spans="10:10" x14ac:dyDescent="0.3">
      <c r="J125838"/>
    </row>
    <row r="125839" spans="10:10" x14ac:dyDescent="0.3">
      <c r="J125839"/>
    </row>
    <row r="125840" spans="10:10" x14ac:dyDescent="0.3">
      <c r="J125840"/>
    </row>
    <row r="125841" spans="10:10" x14ac:dyDescent="0.3">
      <c r="J125841"/>
    </row>
    <row r="125842" spans="10:10" x14ac:dyDescent="0.3">
      <c r="J125842"/>
    </row>
    <row r="125843" spans="10:10" x14ac:dyDescent="0.3">
      <c r="J125843"/>
    </row>
    <row r="125844" spans="10:10" x14ac:dyDescent="0.3">
      <c r="J125844"/>
    </row>
    <row r="125845" spans="10:10" x14ac:dyDescent="0.3">
      <c r="J125845"/>
    </row>
    <row r="125846" spans="10:10" x14ac:dyDescent="0.3">
      <c r="J125846"/>
    </row>
    <row r="125847" spans="10:10" x14ac:dyDescent="0.3">
      <c r="J125847"/>
    </row>
    <row r="125848" spans="10:10" x14ac:dyDescent="0.3">
      <c r="J125848"/>
    </row>
    <row r="125849" spans="10:10" x14ac:dyDescent="0.3">
      <c r="J125849"/>
    </row>
    <row r="125850" spans="10:10" x14ac:dyDescent="0.3">
      <c r="J125850"/>
    </row>
    <row r="125851" spans="10:10" x14ac:dyDescent="0.3">
      <c r="J125851"/>
    </row>
    <row r="125852" spans="10:10" x14ac:dyDescent="0.3">
      <c r="J125852"/>
    </row>
    <row r="125853" spans="10:10" x14ac:dyDescent="0.3">
      <c r="J125853"/>
    </row>
    <row r="125854" spans="10:10" x14ac:dyDescent="0.3">
      <c r="J125854"/>
    </row>
    <row r="125855" spans="10:10" x14ac:dyDescent="0.3">
      <c r="J125855"/>
    </row>
    <row r="125856" spans="10:10" x14ac:dyDescent="0.3">
      <c r="J125856"/>
    </row>
    <row r="125857" spans="10:10" x14ac:dyDescent="0.3">
      <c r="J125857"/>
    </row>
    <row r="125858" spans="10:10" x14ac:dyDescent="0.3">
      <c r="J125858"/>
    </row>
    <row r="125859" spans="10:10" x14ac:dyDescent="0.3">
      <c r="J125859"/>
    </row>
    <row r="125860" spans="10:10" x14ac:dyDescent="0.3">
      <c r="J125860"/>
    </row>
    <row r="125861" spans="10:10" x14ac:dyDescent="0.3">
      <c r="J125861"/>
    </row>
    <row r="125862" spans="10:10" x14ac:dyDescent="0.3">
      <c r="J125862"/>
    </row>
    <row r="125863" spans="10:10" x14ac:dyDescent="0.3">
      <c r="J125863"/>
    </row>
    <row r="125864" spans="10:10" x14ac:dyDescent="0.3">
      <c r="J125864"/>
    </row>
    <row r="125865" spans="10:10" x14ac:dyDescent="0.3">
      <c r="J125865"/>
    </row>
    <row r="125866" spans="10:10" x14ac:dyDescent="0.3">
      <c r="J125866"/>
    </row>
    <row r="125867" spans="10:10" x14ac:dyDescent="0.3">
      <c r="J125867"/>
    </row>
    <row r="125868" spans="10:10" x14ac:dyDescent="0.3">
      <c r="J125868"/>
    </row>
    <row r="125869" spans="10:10" x14ac:dyDescent="0.3">
      <c r="J125869"/>
    </row>
    <row r="125870" spans="10:10" x14ac:dyDescent="0.3">
      <c r="J125870"/>
    </row>
    <row r="125871" spans="10:10" x14ac:dyDescent="0.3">
      <c r="J125871"/>
    </row>
    <row r="125872" spans="10:10" x14ac:dyDescent="0.3">
      <c r="J125872"/>
    </row>
    <row r="125873" spans="10:10" x14ac:dyDescent="0.3">
      <c r="J125873"/>
    </row>
    <row r="125874" spans="10:10" x14ac:dyDescent="0.3">
      <c r="J125874"/>
    </row>
    <row r="125875" spans="10:10" x14ac:dyDescent="0.3">
      <c r="J125875"/>
    </row>
    <row r="125876" spans="10:10" x14ac:dyDescent="0.3">
      <c r="J125876"/>
    </row>
    <row r="125877" spans="10:10" x14ac:dyDescent="0.3">
      <c r="J125877"/>
    </row>
    <row r="125878" spans="10:10" x14ac:dyDescent="0.3">
      <c r="J125878"/>
    </row>
    <row r="125879" spans="10:10" x14ac:dyDescent="0.3">
      <c r="J125879"/>
    </row>
    <row r="125880" spans="10:10" x14ac:dyDescent="0.3">
      <c r="J125880"/>
    </row>
    <row r="125881" spans="10:10" x14ac:dyDescent="0.3">
      <c r="J125881"/>
    </row>
    <row r="125882" spans="10:10" x14ac:dyDescent="0.3">
      <c r="J125882"/>
    </row>
    <row r="125883" spans="10:10" x14ac:dyDescent="0.3">
      <c r="J125883"/>
    </row>
    <row r="125884" spans="10:10" x14ac:dyDescent="0.3">
      <c r="J125884"/>
    </row>
    <row r="125885" spans="10:10" x14ac:dyDescent="0.3">
      <c r="J125885"/>
    </row>
    <row r="125886" spans="10:10" x14ac:dyDescent="0.3">
      <c r="J125886"/>
    </row>
    <row r="125887" spans="10:10" x14ac:dyDescent="0.3">
      <c r="J125887"/>
    </row>
    <row r="125888" spans="10:10" x14ac:dyDescent="0.3">
      <c r="J125888"/>
    </row>
    <row r="125889" spans="10:10" x14ac:dyDescent="0.3">
      <c r="J125889"/>
    </row>
    <row r="125890" spans="10:10" x14ac:dyDescent="0.3">
      <c r="J125890"/>
    </row>
    <row r="125891" spans="10:10" x14ac:dyDescent="0.3">
      <c r="J125891"/>
    </row>
    <row r="125892" spans="10:10" x14ac:dyDescent="0.3">
      <c r="J125892"/>
    </row>
    <row r="125893" spans="10:10" x14ac:dyDescent="0.3">
      <c r="J125893"/>
    </row>
    <row r="125894" spans="10:10" x14ac:dyDescent="0.3">
      <c r="J125894"/>
    </row>
    <row r="125895" spans="10:10" x14ac:dyDescent="0.3">
      <c r="J125895"/>
    </row>
    <row r="125896" spans="10:10" x14ac:dyDescent="0.3">
      <c r="J125896"/>
    </row>
    <row r="125897" spans="10:10" x14ac:dyDescent="0.3">
      <c r="J125897"/>
    </row>
    <row r="125898" spans="10:10" x14ac:dyDescent="0.3">
      <c r="J125898"/>
    </row>
    <row r="125899" spans="10:10" x14ac:dyDescent="0.3">
      <c r="J125899"/>
    </row>
    <row r="125900" spans="10:10" x14ac:dyDescent="0.3">
      <c r="J125900"/>
    </row>
    <row r="125901" spans="10:10" x14ac:dyDescent="0.3">
      <c r="J125901"/>
    </row>
    <row r="125902" spans="10:10" x14ac:dyDescent="0.3">
      <c r="J125902"/>
    </row>
    <row r="125903" spans="10:10" x14ac:dyDescent="0.3">
      <c r="J125903"/>
    </row>
    <row r="125904" spans="10:10" x14ac:dyDescent="0.3">
      <c r="J125904"/>
    </row>
    <row r="125905" spans="10:10" x14ac:dyDescent="0.3">
      <c r="J125905"/>
    </row>
    <row r="125906" spans="10:10" x14ac:dyDescent="0.3">
      <c r="J125906"/>
    </row>
    <row r="125907" spans="10:10" x14ac:dyDescent="0.3">
      <c r="J125907"/>
    </row>
    <row r="125908" spans="10:10" x14ac:dyDescent="0.3">
      <c r="J125908"/>
    </row>
    <row r="125909" spans="10:10" x14ac:dyDescent="0.3">
      <c r="J125909"/>
    </row>
    <row r="125910" spans="10:10" x14ac:dyDescent="0.3">
      <c r="J125910"/>
    </row>
    <row r="125911" spans="10:10" x14ac:dyDescent="0.3">
      <c r="J125911"/>
    </row>
    <row r="125912" spans="10:10" x14ac:dyDescent="0.3">
      <c r="J125912"/>
    </row>
    <row r="125913" spans="10:10" x14ac:dyDescent="0.3">
      <c r="J125913"/>
    </row>
    <row r="125914" spans="10:10" x14ac:dyDescent="0.3">
      <c r="J125914"/>
    </row>
    <row r="125915" spans="10:10" x14ac:dyDescent="0.3">
      <c r="J125915"/>
    </row>
    <row r="125916" spans="10:10" x14ac:dyDescent="0.3">
      <c r="J125916"/>
    </row>
    <row r="125917" spans="10:10" x14ac:dyDescent="0.3">
      <c r="J125917"/>
    </row>
    <row r="125918" spans="10:10" x14ac:dyDescent="0.3">
      <c r="J125918"/>
    </row>
    <row r="125919" spans="10:10" x14ac:dyDescent="0.3">
      <c r="J125919"/>
    </row>
    <row r="125920" spans="10:10" x14ac:dyDescent="0.3">
      <c r="J125920"/>
    </row>
    <row r="125921" spans="10:10" x14ac:dyDescent="0.3">
      <c r="J125921"/>
    </row>
    <row r="125922" spans="10:10" x14ac:dyDescent="0.3">
      <c r="J125922"/>
    </row>
    <row r="125923" spans="10:10" x14ac:dyDescent="0.3">
      <c r="J125923"/>
    </row>
    <row r="125924" spans="10:10" x14ac:dyDescent="0.3">
      <c r="J125924"/>
    </row>
    <row r="125925" spans="10:10" x14ac:dyDescent="0.3">
      <c r="J125925"/>
    </row>
    <row r="125926" spans="10:10" x14ac:dyDescent="0.3">
      <c r="J125926"/>
    </row>
    <row r="125927" spans="10:10" x14ac:dyDescent="0.3">
      <c r="J125927"/>
    </row>
    <row r="125928" spans="10:10" x14ac:dyDescent="0.3">
      <c r="J125928"/>
    </row>
    <row r="125929" spans="10:10" x14ac:dyDescent="0.3">
      <c r="J125929"/>
    </row>
    <row r="125930" spans="10:10" x14ac:dyDescent="0.3">
      <c r="J125930"/>
    </row>
    <row r="125931" spans="10:10" x14ac:dyDescent="0.3">
      <c r="J125931"/>
    </row>
    <row r="125932" spans="10:10" x14ac:dyDescent="0.3">
      <c r="J125932"/>
    </row>
    <row r="125933" spans="10:10" x14ac:dyDescent="0.3">
      <c r="J125933"/>
    </row>
    <row r="125934" spans="10:10" x14ac:dyDescent="0.3">
      <c r="J125934"/>
    </row>
    <row r="125935" spans="10:10" x14ac:dyDescent="0.3">
      <c r="J125935"/>
    </row>
    <row r="125936" spans="10:10" x14ac:dyDescent="0.3">
      <c r="J125936"/>
    </row>
    <row r="125937" spans="10:10" x14ac:dyDescent="0.3">
      <c r="J125937"/>
    </row>
    <row r="125938" spans="10:10" x14ac:dyDescent="0.3">
      <c r="J125938"/>
    </row>
    <row r="125939" spans="10:10" x14ac:dyDescent="0.3">
      <c r="J125939"/>
    </row>
    <row r="125940" spans="10:10" x14ac:dyDescent="0.3">
      <c r="J125940"/>
    </row>
    <row r="125941" spans="10:10" x14ac:dyDescent="0.3">
      <c r="J125941"/>
    </row>
    <row r="125942" spans="10:10" x14ac:dyDescent="0.3">
      <c r="J125942"/>
    </row>
    <row r="125943" spans="10:10" x14ac:dyDescent="0.3">
      <c r="J125943"/>
    </row>
    <row r="125944" spans="10:10" x14ac:dyDescent="0.3">
      <c r="J125944"/>
    </row>
    <row r="125945" spans="10:10" x14ac:dyDescent="0.3">
      <c r="J125945"/>
    </row>
    <row r="125946" spans="10:10" x14ac:dyDescent="0.3">
      <c r="J125946"/>
    </row>
    <row r="125947" spans="10:10" x14ac:dyDescent="0.3">
      <c r="J125947"/>
    </row>
    <row r="125948" spans="10:10" x14ac:dyDescent="0.3">
      <c r="J125948"/>
    </row>
    <row r="125949" spans="10:10" x14ac:dyDescent="0.3">
      <c r="J125949"/>
    </row>
    <row r="125950" spans="10:10" x14ac:dyDescent="0.3">
      <c r="J125950"/>
    </row>
    <row r="125951" spans="10:10" x14ac:dyDescent="0.3">
      <c r="J125951"/>
    </row>
    <row r="125952" spans="10:10" x14ac:dyDescent="0.3">
      <c r="J125952"/>
    </row>
    <row r="125953" spans="10:10" x14ac:dyDescent="0.3">
      <c r="J125953"/>
    </row>
    <row r="125954" spans="10:10" x14ac:dyDescent="0.3">
      <c r="J125954"/>
    </row>
    <row r="125955" spans="10:10" x14ac:dyDescent="0.3">
      <c r="J125955"/>
    </row>
    <row r="125956" spans="10:10" x14ac:dyDescent="0.3">
      <c r="J125956"/>
    </row>
    <row r="125957" spans="10:10" x14ac:dyDescent="0.3">
      <c r="J125957"/>
    </row>
    <row r="125958" spans="10:10" x14ac:dyDescent="0.3">
      <c r="J125958"/>
    </row>
    <row r="125959" spans="10:10" x14ac:dyDescent="0.3">
      <c r="J125959"/>
    </row>
    <row r="125960" spans="10:10" x14ac:dyDescent="0.3">
      <c r="J125960"/>
    </row>
    <row r="125961" spans="10:10" x14ac:dyDescent="0.3">
      <c r="J125961"/>
    </row>
    <row r="125962" spans="10:10" x14ac:dyDescent="0.3">
      <c r="J125962"/>
    </row>
    <row r="125963" spans="10:10" x14ac:dyDescent="0.3">
      <c r="J125963"/>
    </row>
    <row r="125964" spans="10:10" x14ac:dyDescent="0.3">
      <c r="J125964"/>
    </row>
    <row r="125965" spans="10:10" x14ac:dyDescent="0.3">
      <c r="J125965"/>
    </row>
    <row r="125966" spans="10:10" x14ac:dyDescent="0.3">
      <c r="J125966"/>
    </row>
    <row r="125967" spans="10:10" x14ac:dyDescent="0.3">
      <c r="J125967"/>
    </row>
    <row r="125968" spans="10:10" x14ac:dyDescent="0.3">
      <c r="J125968"/>
    </row>
    <row r="125969" spans="10:10" x14ac:dyDescent="0.3">
      <c r="J125969"/>
    </row>
    <row r="125970" spans="10:10" x14ac:dyDescent="0.3">
      <c r="J125970"/>
    </row>
    <row r="125971" spans="10:10" x14ac:dyDescent="0.3">
      <c r="J125971"/>
    </row>
    <row r="125972" spans="10:10" x14ac:dyDescent="0.3">
      <c r="J125972"/>
    </row>
    <row r="125973" spans="10:10" x14ac:dyDescent="0.3">
      <c r="J125973"/>
    </row>
    <row r="125974" spans="10:10" x14ac:dyDescent="0.3">
      <c r="J125974"/>
    </row>
    <row r="125975" spans="10:10" x14ac:dyDescent="0.3">
      <c r="J125975"/>
    </row>
    <row r="125976" spans="10:10" x14ac:dyDescent="0.3">
      <c r="J125976"/>
    </row>
    <row r="125977" spans="10:10" x14ac:dyDescent="0.3">
      <c r="J125977"/>
    </row>
    <row r="125978" spans="10:10" x14ac:dyDescent="0.3">
      <c r="J125978"/>
    </row>
    <row r="125979" spans="10:10" x14ac:dyDescent="0.3">
      <c r="J125979"/>
    </row>
    <row r="125980" spans="10:10" x14ac:dyDescent="0.3">
      <c r="J125980"/>
    </row>
    <row r="125981" spans="10:10" x14ac:dyDescent="0.3">
      <c r="J125981"/>
    </row>
    <row r="125982" spans="10:10" x14ac:dyDescent="0.3">
      <c r="J125982"/>
    </row>
    <row r="125983" spans="10:10" x14ac:dyDescent="0.3">
      <c r="J125983"/>
    </row>
    <row r="125984" spans="10:10" x14ac:dyDescent="0.3">
      <c r="J125984"/>
    </row>
    <row r="125985" spans="10:10" x14ac:dyDescent="0.3">
      <c r="J125985"/>
    </row>
    <row r="125986" spans="10:10" x14ac:dyDescent="0.3">
      <c r="J125986"/>
    </row>
    <row r="125987" spans="10:10" x14ac:dyDescent="0.3">
      <c r="J125987"/>
    </row>
    <row r="125988" spans="10:10" x14ac:dyDescent="0.3">
      <c r="J125988"/>
    </row>
    <row r="125989" spans="10:10" x14ac:dyDescent="0.3">
      <c r="J125989"/>
    </row>
    <row r="125990" spans="10:10" x14ac:dyDescent="0.3">
      <c r="J125990"/>
    </row>
    <row r="125991" spans="10:10" x14ac:dyDescent="0.3">
      <c r="J125991"/>
    </row>
    <row r="125992" spans="10:10" x14ac:dyDescent="0.3">
      <c r="J125992"/>
    </row>
    <row r="125993" spans="10:10" x14ac:dyDescent="0.3">
      <c r="J125993"/>
    </row>
    <row r="125994" spans="10:10" x14ac:dyDescent="0.3">
      <c r="J125994"/>
    </row>
    <row r="125995" spans="10:10" x14ac:dyDescent="0.3">
      <c r="J125995"/>
    </row>
    <row r="125996" spans="10:10" x14ac:dyDescent="0.3">
      <c r="J125996"/>
    </row>
    <row r="125997" spans="10:10" x14ac:dyDescent="0.3">
      <c r="J125997"/>
    </row>
    <row r="125998" spans="10:10" x14ac:dyDescent="0.3">
      <c r="J125998"/>
    </row>
    <row r="125999" spans="10:10" x14ac:dyDescent="0.3">
      <c r="J125999"/>
    </row>
    <row r="126000" spans="10:10" x14ac:dyDescent="0.3">
      <c r="J126000"/>
    </row>
    <row r="126001" spans="10:10" x14ac:dyDescent="0.3">
      <c r="J126001"/>
    </row>
    <row r="126002" spans="10:10" x14ac:dyDescent="0.3">
      <c r="J126002"/>
    </row>
    <row r="126003" spans="10:10" x14ac:dyDescent="0.3">
      <c r="J126003"/>
    </row>
    <row r="126004" spans="10:10" x14ac:dyDescent="0.3">
      <c r="J126004"/>
    </row>
    <row r="126005" spans="10:10" x14ac:dyDescent="0.3">
      <c r="J126005"/>
    </row>
    <row r="126006" spans="10:10" x14ac:dyDescent="0.3">
      <c r="J126006"/>
    </row>
    <row r="126007" spans="10:10" x14ac:dyDescent="0.3">
      <c r="J126007"/>
    </row>
    <row r="126008" spans="10:10" x14ac:dyDescent="0.3">
      <c r="J126008"/>
    </row>
    <row r="126009" spans="10:10" x14ac:dyDescent="0.3">
      <c r="J126009"/>
    </row>
    <row r="126010" spans="10:10" x14ac:dyDescent="0.3">
      <c r="J126010"/>
    </row>
    <row r="126011" spans="10:10" x14ac:dyDescent="0.3">
      <c r="J126011"/>
    </row>
    <row r="126012" spans="10:10" x14ac:dyDescent="0.3">
      <c r="J126012"/>
    </row>
    <row r="126013" spans="10:10" x14ac:dyDescent="0.3">
      <c r="J126013"/>
    </row>
    <row r="126014" spans="10:10" x14ac:dyDescent="0.3">
      <c r="J126014"/>
    </row>
    <row r="126015" spans="10:10" x14ac:dyDescent="0.3">
      <c r="J126015"/>
    </row>
    <row r="126016" spans="10:10" x14ac:dyDescent="0.3">
      <c r="J126016"/>
    </row>
    <row r="126017" spans="10:10" x14ac:dyDescent="0.3">
      <c r="J126017"/>
    </row>
    <row r="126018" spans="10:10" x14ac:dyDescent="0.3">
      <c r="J126018"/>
    </row>
    <row r="126019" spans="10:10" x14ac:dyDescent="0.3">
      <c r="J126019"/>
    </row>
    <row r="126020" spans="10:10" x14ac:dyDescent="0.3">
      <c r="J126020"/>
    </row>
    <row r="126021" spans="10:10" x14ac:dyDescent="0.3">
      <c r="J126021"/>
    </row>
    <row r="126022" spans="10:10" x14ac:dyDescent="0.3">
      <c r="J126022"/>
    </row>
    <row r="126023" spans="10:10" x14ac:dyDescent="0.3">
      <c r="J126023"/>
    </row>
    <row r="126024" spans="10:10" x14ac:dyDescent="0.3">
      <c r="J126024"/>
    </row>
    <row r="126025" spans="10:10" x14ac:dyDescent="0.3">
      <c r="J126025"/>
    </row>
    <row r="126026" spans="10:10" x14ac:dyDescent="0.3">
      <c r="J126026"/>
    </row>
    <row r="126027" spans="10:10" x14ac:dyDescent="0.3">
      <c r="J126027"/>
    </row>
    <row r="126028" spans="10:10" x14ac:dyDescent="0.3">
      <c r="J126028"/>
    </row>
    <row r="126029" spans="10:10" x14ac:dyDescent="0.3">
      <c r="J126029"/>
    </row>
    <row r="126030" spans="10:10" x14ac:dyDescent="0.3">
      <c r="J126030"/>
    </row>
    <row r="126031" spans="10:10" x14ac:dyDescent="0.3">
      <c r="J126031"/>
    </row>
    <row r="126032" spans="10:10" x14ac:dyDescent="0.3">
      <c r="J126032"/>
    </row>
    <row r="126033" spans="10:10" x14ac:dyDescent="0.3">
      <c r="J126033"/>
    </row>
    <row r="126034" spans="10:10" x14ac:dyDescent="0.3">
      <c r="J126034"/>
    </row>
    <row r="126035" spans="10:10" x14ac:dyDescent="0.3">
      <c r="J126035"/>
    </row>
    <row r="126036" spans="10:10" x14ac:dyDescent="0.3">
      <c r="J126036"/>
    </row>
    <row r="126037" spans="10:10" x14ac:dyDescent="0.3">
      <c r="J126037"/>
    </row>
    <row r="126038" spans="10:10" x14ac:dyDescent="0.3">
      <c r="J126038"/>
    </row>
    <row r="126039" spans="10:10" x14ac:dyDescent="0.3">
      <c r="J126039"/>
    </row>
    <row r="126040" spans="10:10" x14ac:dyDescent="0.3">
      <c r="J126040"/>
    </row>
    <row r="126041" spans="10:10" x14ac:dyDescent="0.3">
      <c r="J126041"/>
    </row>
    <row r="126042" spans="10:10" x14ac:dyDescent="0.3">
      <c r="J126042"/>
    </row>
    <row r="126043" spans="10:10" x14ac:dyDescent="0.3">
      <c r="J126043"/>
    </row>
    <row r="126044" spans="10:10" x14ac:dyDescent="0.3">
      <c r="J126044"/>
    </row>
    <row r="126045" spans="10:10" x14ac:dyDescent="0.3">
      <c r="J126045"/>
    </row>
    <row r="126046" spans="10:10" x14ac:dyDescent="0.3">
      <c r="J126046"/>
    </row>
    <row r="126047" spans="10:10" x14ac:dyDescent="0.3">
      <c r="J126047"/>
    </row>
    <row r="126048" spans="10:10" x14ac:dyDescent="0.3">
      <c r="J126048"/>
    </row>
    <row r="126049" spans="10:10" x14ac:dyDescent="0.3">
      <c r="J126049"/>
    </row>
    <row r="126050" spans="10:10" x14ac:dyDescent="0.3">
      <c r="J126050"/>
    </row>
    <row r="126051" spans="10:10" x14ac:dyDescent="0.3">
      <c r="J126051"/>
    </row>
    <row r="126052" spans="10:10" x14ac:dyDescent="0.3">
      <c r="J126052"/>
    </row>
    <row r="126053" spans="10:10" x14ac:dyDescent="0.3">
      <c r="J126053"/>
    </row>
    <row r="126054" spans="10:10" x14ac:dyDescent="0.3">
      <c r="J126054"/>
    </row>
    <row r="126055" spans="10:10" x14ac:dyDescent="0.3">
      <c r="J126055"/>
    </row>
    <row r="126056" spans="10:10" x14ac:dyDescent="0.3">
      <c r="J126056"/>
    </row>
    <row r="126057" spans="10:10" x14ac:dyDescent="0.3">
      <c r="J126057"/>
    </row>
    <row r="126058" spans="10:10" x14ac:dyDescent="0.3">
      <c r="J126058"/>
    </row>
    <row r="126059" spans="10:10" x14ac:dyDescent="0.3">
      <c r="J126059"/>
    </row>
    <row r="126060" spans="10:10" x14ac:dyDescent="0.3">
      <c r="J126060"/>
    </row>
    <row r="126061" spans="10:10" x14ac:dyDescent="0.3">
      <c r="J126061"/>
    </row>
    <row r="126062" spans="10:10" x14ac:dyDescent="0.3">
      <c r="J126062"/>
    </row>
    <row r="126063" spans="10:10" x14ac:dyDescent="0.3">
      <c r="J126063"/>
    </row>
    <row r="126064" spans="10:10" x14ac:dyDescent="0.3">
      <c r="J126064"/>
    </row>
    <row r="126065" spans="10:10" x14ac:dyDescent="0.3">
      <c r="J126065"/>
    </row>
    <row r="126066" spans="10:10" x14ac:dyDescent="0.3">
      <c r="J126066"/>
    </row>
    <row r="126067" spans="10:10" x14ac:dyDescent="0.3">
      <c r="J126067"/>
    </row>
    <row r="126068" spans="10:10" x14ac:dyDescent="0.3">
      <c r="J126068"/>
    </row>
    <row r="126069" spans="10:10" x14ac:dyDescent="0.3">
      <c r="J126069"/>
    </row>
    <row r="126070" spans="10:10" x14ac:dyDescent="0.3">
      <c r="J126070"/>
    </row>
    <row r="126071" spans="10:10" x14ac:dyDescent="0.3">
      <c r="J126071"/>
    </row>
    <row r="126072" spans="10:10" x14ac:dyDescent="0.3">
      <c r="J126072"/>
    </row>
    <row r="126073" spans="10:10" x14ac:dyDescent="0.3">
      <c r="J126073"/>
    </row>
    <row r="126074" spans="10:10" x14ac:dyDescent="0.3">
      <c r="J126074"/>
    </row>
    <row r="126075" spans="10:10" x14ac:dyDescent="0.3">
      <c r="J126075"/>
    </row>
    <row r="126076" spans="10:10" x14ac:dyDescent="0.3">
      <c r="J126076"/>
    </row>
    <row r="126077" spans="10:10" x14ac:dyDescent="0.3">
      <c r="J126077"/>
    </row>
    <row r="126078" spans="10:10" x14ac:dyDescent="0.3">
      <c r="J126078"/>
    </row>
    <row r="126079" spans="10:10" x14ac:dyDescent="0.3">
      <c r="J126079"/>
    </row>
    <row r="126080" spans="10:10" x14ac:dyDescent="0.3">
      <c r="J126080"/>
    </row>
    <row r="126081" spans="10:10" x14ac:dyDescent="0.3">
      <c r="J126081"/>
    </row>
    <row r="126082" spans="10:10" x14ac:dyDescent="0.3">
      <c r="J126082"/>
    </row>
    <row r="126083" spans="10:10" x14ac:dyDescent="0.3">
      <c r="J126083"/>
    </row>
    <row r="126084" spans="10:10" x14ac:dyDescent="0.3">
      <c r="J126084"/>
    </row>
    <row r="126085" spans="10:10" x14ac:dyDescent="0.3">
      <c r="J126085"/>
    </row>
    <row r="126086" spans="10:10" x14ac:dyDescent="0.3">
      <c r="J126086"/>
    </row>
    <row r="126087" spans="10:10" x14ac:dyDescent="0.3">
      <c r="J126087"/>
    </row>
    <row r="126088" spans="10:10" x14ac:dyDescent="0.3">
      <c r="J126088"/>
    </row>
    <row r="126089" spans="10:10" x14ac:dyDescent="0.3">
      <c r="J126089"/>
    </row>
    <row r="126090" spans="10:10" x14ac:dyDescent="0.3">
      <c r="J126090"/>
    </row>
    <row r="126091" spans="10:10" x14ac:dyDescent="0.3">
      <c r="J126091"/>
    </row>
    <row r="126092" spans="10:10" x14ac:dyDescent="0.3">
      <c r="J126092"/>
    </row>
    <row r="126093" spans="10:10" x14ac:dyDescent="0.3">
      <c r="J126093"/>
    </row>
    <row r="126094" spans="10:10" x14ac:dyDescent="0.3">
      <c r="J126094"/>
    </row>
    <row r="126095" spans="10:10" x14ac:dyDescent="0.3">
      <c r="J126095"/>
    </row>
    <row r="126096" spans="10:10" x14ac:dyDescent="0.3">
      <c r="J126096"/>
    </row>
    <row r="126097" spans="10:10" x14ac:dyDescent="0.3">
      <c r="J126097"/>
    </row>
    <row r="126098" spans="10:10" x14ac:dyDescent="0.3">
      <c r="J126098"/>
    </row>
    <row r="126099" spans="10:10" x14ac:dyDescent="0.3">
      <c r="J126099"/>
    </row>
    <row r="126100" spans="10:10" x14ac:dyDescent="0.3">
      <c r="J126100"/>
    </row>
    <row r="126101" spans="10:10" x14ac:dyDescent="0.3">
      <c r="J126101"/>
    </row>
    <row r="126102" spans="10:10" x14ac:dyDescent="0.3">
      <c r="J126102"/>
    </row>
    <row r="126103" spans="10:10" x14ac:dyDescent="0.3">
      <c r="J126103"/>
    </row>
    <row r="126104" spans="10:10" x14ac:dyDescent="0.3">
      <c r="J126104"/>
    </row>
    <row r="126105" spans="10:10" x14ac:dyDescent="0.3">
      <c r="J126105"/>
    </row>
    <row r="126106" spans="10:10" x14ac:dyDescent="0.3">
      <c r="J126106"/>
    </row>
    <row r="126107" spans="10:10" x14ac:dyDescent="0.3">
      <c r="J126107"/>
    </row>
    <row r="126108" spans="10:10" x14ac:dyDescent="0.3">
      <c r="J126108"/>
    </row>
    <row r="126109" spans="10:10" x14ac:dyDescent="0.3">
      <c r="J126109"/>
    </row>
    <row r="126110" spans="10:10" x14ac:dyDescent="0.3">
      <c r="J126110"/>
    </row>
    <row r="126111" spans="10:10" x14ac:dyDescent="0.3">
      <c r="J126111"/>
    </row>
    <row r="126112" spans="10:10" x14ac:dyDescent="0.3">
      <c r="J126112"/>
    </row>
    <row r="126113" spans="10:10" x14ac:dyDescent="0.3">
      <c r="J126113"/>
    </row>
    <row r="126114" spans="10:10" x14ac:dyDescent="0.3">
      <c r="J126114"/>
    </row>
    <row r="126115" spans="10:10" x14ac:dyDescent="0.3">
      <c r="J126115"/>
    </row>
    <row r="126116" spans="10:10" x14ac:dyDescent="0.3">
      <c r="J126116"/>
    </row>
    <row r="126117" spans="10:10" x14ac:dyDescent="0.3">
      <c r="J126117"/>
    </row>
    <row r="126118" spans="10:10" x14ac:dyDescent="0.3">
      <c r="J126118"/>
    </row>
    <row r="126119" spans="10:10" x14ac:dyDescent="0.3">
      <c r="J126119"/>
    </row>
    <row r="126120" spans="10:10" x14ac:dyDescent="0.3">
      <c r="J126120"/>
    </row>
    <row r="126121" spans="10:10" x14ac:dyDescent="0.3">
      <c r="J126121"/>
    </row>
    <row r="126122" spans="10:10" x14ac:dyDescent="0.3">
      <c r="J126122"/>
    </row>
    <row r="126123" spans="10:10" x14ac:dyDescent="0.3">
      <c r="J126123"/>
    </row>
    <row r="126124" spans="10:10" x14ac:dyDescent="0.3">
      <c r="J126124"/>
    </row>
    <row r="126125" spans="10:10" x14ac:dyDescent="0.3">
      <c r="J126125"/>
    </row>
    <row r="126126" spans="10:10" x14ac:dyDescent="0.3">
      <c r="J126126"/>
    </row>
    <row r="126127" spans="10:10" x14ac:dyDescent="0.3">
      <c r="J126127"/>
    </row>
    <row r="126128" spans="10:10" x14ac:dyDescent="0.3">
      <c r="J126128"/>
    </row>
    <row r="126129" spans="10:10" x14ac:dyDescent="0.3">
      <c r="J126129"/>
    </row>
    <row r="126130" spans="10:10" x14ac:dyDescent="0.3">
      <c r="J126130"/>
    </row>
    <row r="126131" spans="10:10" x14ac:dyDescent="0.3">
      <c r="J126131"/>
    </row>
    <row r="126132" spans="10:10" x14ac:dyDescent="0.3">
      <c r="J126132"/>
    </row>
    <row r="126133" spans="10:10" x14ac:dyDescent="0.3">
      <c r="J126133"/>
    </row>
    <row r="126134" spans="10:10" x14ac:dyDescent="0.3">
      <c r="J126134"/>
    </row>
    <row r="126135" spans="10:10" x14ac:dyDescent="0.3">
      <c r="J126135"/>
    </row>
    <row r="126136" spans="10:10" x14ac:dyDescent="0.3">
      <c r="J126136"/>
    </row>
    <row r="126137" spans="10:10" x14ac:dyDescent="0.3">
      <c r="J126137"/>
    </row>
    <row r="126138" spans="10:10" x14ac:dyDescent="0.3">
      <c r="J126138"/>
    </row>
    <row r="126139" spans="10:10" x14ac:dyDescent="0.3">
      <c r="J126139"/>
    </row>
    <row r="126140" spans="10:10" x14ac:dyDescent="0.3">
      <c r="J126140"/>
    </row>
    <row r="126141" spans="10:10" x14ac:dyDescent="0.3">
      <c r="J126141"/>
    </row>
    <row r="126142" spans="10:10" x14ac:dyDescent="0.3">
      <c r="J126142"/>
    </row>
    <row r="126143" spans="10:10" x14ac:dyDescent="0.3">
      <c r="J126143"/>
    </row>
    <row r="126144" spans="10:10" x14ac:dyDescent="0.3">
      <c r="J126144"/>
    </row>
    <row r="126145" spans="10:10" x14ac:dyDescent="0.3">
      <c r="J126145"/>
    </row>
    <row r="126146" spans="10:10" x14ac:dyDescent="0.3">
      <c r="J126146"/>
    </row>
    <row r="126147" spans="10:10" x14ac:dyDescent="0.3">
      <c r="J126147"/>
    </row>
    <row r="126148" spans="10:10" x14ac:dyDescent="0.3">
      <c r="J126148"/>
    </row>
    <row r="126149" spans="10:10" x14ac:dyDescent="0.3">
      <c r="J126149"/>
    </row>
    <row r="126150" spans="10:10" x14ac:dyDescent="0.3">
      <c r="J126150"/>
    </row>
    <row r="126151" spans="10:10" x14ac:dyDescent="0.3">
      <c r="J126151"/>
    </row>
    <row r="126152" spans="10:10" x14ac:dyDescent="0.3">
      <c r="J126152"/>
    </row>
    <row r="126153" spans="10:10" x14ac:dyDescent="0.3">
      <c r="J126153"/>
    </row>
    <row r="126154" spans="10:10" x14ac:dyDescent="0.3">
      <c r="J126154"/>
    </row>
    <row r="126155" spans="10:10" x14ac:dyDescent="0.3">
      <c r="J126155"/>
    </row>
    <row r="126156" spans="10:10" x14ac:dyDescent="0.3">
      <c r="J126156"/>
    </row>
    <row r="126157" spans="10:10" x14ac:dyDescent="0.3">
      <c r="J126157"/>
    </row>
    <row r="126158" spans="10:10" x14ac:dyDescent="0.3">
      <c r="J126158"/>
    </row>
    <row r="126159" spans="10:10" x14ac:dyDescent="0.3">
      <c r="J126159"/>
    </row>
    <row r="126160" spans="10:10" x14ac:dyDescent="0.3">
      <c r="J126160"/>
    </row>
    <row r="126161" spans="10:10" x14ac:dyDescent="0.3">
      <c r="J126161"/>
    </row>
    <row r="126162" spans="10:10" x14ac:dyDescent="0.3">
      <c r="J126162"/>
    </row>
    <row r="126163" spans="10:10" x14ac:dyDescent="0.3">
      <c r="J126163"/>
    </row>
    <row r="126164" spans="10:10" x14ac:dyDescent="0.3">
      <c r="J126164"/>
    </row>
    <row r="126165" spans="10:10" x14ac:dyDescent="0.3">
      <c r="J126165"/>
    </row>
    <row r="126166" spans="10:10" x14ac:dyDescent="0.3">
      <c r="J126166"/>
    </row>
    <row r="126167" spans="10:10" x14ac:dyDescent="0.3">
      <c r="J126167"/>
    </row>
    <row r="126168" spans="10:10" x14ac:dyDescent="0.3">
      <c r="J126168"/>
    </row>
    <row r="126169" spans="10:10" x14ac:dyDescent="0.3">
      <c r="J126169"/>
    </row>
    <row r="126170" spans="10:10" x14ac:dyDescent="0.3">
      <c r="J126170"/>
    </row>
    <row r="126171" spans="10:10" x14ac:dyDescent="0.3">
      <c r="J126171"/>
    </row>
    <row r="126172" spans="10:10" x14ac:dyDescent="0.3">
      <c r="J126172"/>
    </row>
    <row r="126173" spans="10:10" x14ac:dyDescent="0.3">
      <c r="J126173"/>
    </row>
    <row r="126174" spans="10:10" x14ac:dyDescent="0.3">
      <c r="J126174"/>
    </row>
    <row r="126175" spans="10:10" x14ac:dyDescent="0.3">
      <c r="J126175"/>
    </row>
    <row r="126176" spans="10:10" x14ac:dyDescent="0.3">
      <c r="J126176"/>
    </row>
    <row r="126177" spans="10:10" x14ac:dyDescent="0.3">
      <c r="J126177"/>
    </row>
    <row r="126178" spans="10:10" x14ac:dyDescent="0.3">
      <c r="J126178"/>
    </row>
    <row r="126179" spans="10:10" x14ac:dyDescent="0.3">
      <c r="J126179"/>
    </row>
    <row r="126180" spans="10:10" x14ac:dyDescent="0.3">
      <c r="J126180"/>
    </row>
    <row r="126181" spans="10:10" x14ac:dyDescent="0.3">
      <c r="J126181"/>
    </row>
    <row r="126182" spans="10:10" x14ac:dyDescent="0.3">
      <c r="J126182"/>
    </row>
    <row r="126183" spans="10:10" x14ac:dyDescent="0.3">
      <c r="J126183"/>
    </row>
    <row r="126184" spans="10:10" x14ac:dyDescent="0.3">
      <c r="J126184"/>
    </row>
    <row r="126185" spans="10:10" x14ac:dyDescent="0.3">
      <c r="J126185"/>
    </row>
    <row r="126186" spans="10:10" x14ac:dyDescent="0.3">
      <c r="J126186"/>
    </row>
    <row r="126187" spans="10:10" x14ac:dyDescent="0.3">
      <c r="J126187"/>
    </row>
    <row r="126188" spans="10:10" x14ac:dyDescent="0.3">
      <c r="J126188"/>
    </row>
    <row r="126189" spans="10:10" x14ac:dyDescent="0.3">
      <c r="J126189"/>
    </row>
    <row r="126190" spans="10:10" x14ac:dyDescent="0.3">
      <c r="J126190"/>
    </row>
    <row r="126191" spans="10:10" x14ac:dyDescent="0.3">
      <c r="J126191"/>
    </row>
    <row r="126192" spans="10:10" x14ac:dyDescent="0.3">
      <c r="J126192"/>
    </row>
    <row r="126193" spans="10:10" x14ac:dyDescent="0.3">
      <c r="J126193"/>
    </row>
    <row r="126194" spans="10:10" x14ac:dyDescent="0.3">
      <c r="J126194"/>
    </row>
    <row r="126195" spans="10:10" x14ac:dyDescent="0.3">
      <c r="J126195"/>
    </row>
    <row r="126196" spans="10:10" x14ac:dyDescent="0.3">
      <c r="J126196"/>
    </row>
    <row r="126197" spans="10:10" x14ac:dyDescent="0.3">
      <c r="J126197"/>
    </row>
    <row r="126198" spans="10:10" x14ac:dyDescent="0.3">
      <c r="J126198"/>
    </row>
    <row r="126199" spans="10:10" x14ac:dyDescent="0.3">
      <c r="J126199"/>
    </row>
    <row r="126200" spans="10:10" x14ac:dyDescent="0.3">
      <c r="J126200"/>
    </row>
    <row r="126201" spans="10:10" x14ac:dyDescent="0.3">
      <c r="J126201"/>
    </row>
    <row r="126202" spans="10:10" x14ac:dyDescent="0.3">
      <c r="J126202"/>
    </row>
    <row r="126203" spans="10:10" x14ac:dyDescent="0.3">
      <c r="J126203"/>
    </row>
    <row r="126204" spans="10:10" x14ac:dyDescent="0.3">
      <c r="J126204"/>
    </row>
    <row r="126205" spans="10:10" x14ac:dyDescent="0.3">
      <c r="J126205"/>
    </row>
    <row r="126206" spans="10:10" x14ac:dyDescent="0.3">
      <c r="J126206"/>
    </row>
    <row r="126207" spans="10:10" x14ac:dyDescent="0.3">
      <c r="J126207"/>
    </row>
    <row r="126208" spans="10:10" x14ac:dyDescent="0.3">
      <c r="J126208"/>
    </row>
    <row r="126209" spans="10:10" x14ac:dyDescent="0.3">
      <c r="J126209"/>
    </row>
    <row r="126210" spans="10:10" x14ac:dyDescent="0.3">
      <c r="J126210"/>
    </row>
    <row r="126211" spans="10:10" x14ac:dyDescent="0.3">
      <c r="J126211"/>
    </row>
    <row r="126212" spans="10:10" x14ac:dyDescent="0.3">
      <c r="J126212"/>
    </row>
    <row r="126213" spans="10:10" x14ac:dyDescent="0.3">
      <c r="J126213"/>
    </row>
    <row r="126214" spans="10:10" x14ac:dyDescent="0.3">
      <c r="J126214"/>
    </row>
    <row r="126215" spans="10:10" x14ac:dyDescent="0.3">
      <c r="J126215"/>
    </row>
    <row r="126216" spans="10:10" x14ac:dyDescent="0.3">
      <c r="J126216"/>
    </row>
    <row r="126217" spans="10:10" x14ac:dyDescent="0.3">
      <c r="J126217"/>
    </row>
    <row r="126218" spans="10:10" x14ac:dyDescent="0.3">
      <c r="J126218"/>
    </row>
    <row r="126219" spans="10:10" x14ac:dyDescent="0.3">
      <c r="J126219"/>
    </row>
    <row r="126220" spans="10:10" x14ac:dyDescent="0.3">
      <c r="J126220"/>
    </row>
    <row r="126221" spans="10:10" x14ac:dyDescent="0.3">
      <c r="J126221"/>
    </row>
    <row r="126222" spans="10:10" x14ac:dyDescent="0.3">
      <c r="J126222"/>
    </row>
    <row r="126223" spans="10:10" x14ac:dyDescent="0.3">
      <c r="J126223"/>
    </row>
    <row r="126224" spans="10:10" x14ac:dyDescent="0.3">
      <c r="J126224"/>
    </row>
    <row r="126225" spans="10:10" x14ac:dyDescent="0.3">
      <c r="J126225"/>
    </row>
    <row r="126226" spans="10:10" x14ac:dyDescent="0.3">
      <c r="J126226"/>
    </row>
    <row r="126227" spans="10:10" x14ac:dyDescent="0.3">
      <c r="J126227"/>
    </row>
    <row r="126228" spans="10:10" x14ac:dyDescent="0.3">
      <c r="J126228"/>
    </row>
    <row r="126229" spans="10:10" x14ac:dyDescent="0.3">
      <c r="J126229"/>
    </row>
    <row r="126230" spans="10:10" x14ac:dyDescent="0.3">
      <c r="J126230"/>
    </row>
    <row r="126231" spans="10:10" x14ac:dyDescent="0.3">
      <c r="J126231"/>
    </row>
    <row r="126232" spans="10:10" x14ac:dyDescent="0.3">
      <c r="J126232"/>
    </row>
    <row r="126233" spans="10:10" x14ac:dyDescent="0.3">
      <c r="J126233"/>
    </row>
    <row r="126234" spans="10:10" x14ac:dyDescent="0.3">
      <c r="J126234"/>
    </row>
    <row r="126235" spans="10:10" x14ac:dyDescent="0.3">
      <c r="J126235"/>
    </row>
    <row r="126236" spans="10:10" x14ac:dyDescent="0.3">
      <c r="J126236"/>
    </row>
    <row r="126237" spans="10:10" x14ac:dyDescent="0.3">
      <c r="J126237"/>
    </row>
    <row r="126238" spans="10:10" x14ac:dyDescent="0.3">
      <c r="J126238"/>
    </row>
    <row r="126239" spans="10:10" x14ac:dyDescent="0.3">
      <c r="J126239"/>
    </row>
    <row r="126240" spans="10:10" x14ac:dyDescent="0.3">
      <c r="J126240"/>
    </row>
    <row r="126241" spans="10:10" x14ac:dyDescent="0.3">
      <c r="J126241"/>
    </row>
    <row r="126242" spans="10:10" x14ac:dyDescent="0.3">
      <c r="J126242"/>
    </row>
    <row r="126243" spans="10:10" x14ac:dyDescent="0.3">
      <c r="J126243"/>
    </row>
    <row r="126244" spans="10:10" x14ac:dyDescent="0.3">
      <c r="J126244"/>
    </row>
    <row r="126245" spans="10:10" x14ac:dyDescent="0.3">
      <c r="J126245"/>
    </row>
    <row r="126246" spans="10:10" x14ac:dyDescent="0.3">
      <c r="J126246"/>
    </row>
    <row r="126247" spans="10:10" x14ac:dyDescent="0.3">
      <c r="J126247"/>
    </row>
    <row r="126248" spans="10:10" x14ac:dyDescent="0.3">
      <c r="J126248"/>
    </row>
    <row r="126249" spans="10:10" x14ac:dyDescent="0.3">
      <c r="J126249"/>
    </row>
    <row r="126250" spans="10:10" x14ac:dyDescent="0.3">
      <c r="J126250"/>
    </row>
    <row r="126251" spans="10:10" x14ac:dyDescent="0.3">
      <c r="J126251"/>
    </row>
    <row r="126252" spans="10:10" x14ac:dyDescent="0.3">
      <c r="J126252"/>
    </row>
    <row r="126253" spans="10:10" x14ac:dyDescent="0.3">
      <c r="J126253"/>
    </row>
    <row r="126254" spans="10:10" x14ac:dyDescent="0.3">
      <c r="J126254"/>
    </row>
    <row r="126255" spans="10:10" x14ac:dyDescent="0.3">
      <c r="J126255"/>
    </row>
    <row r="126256" spans="10:10" x14ac:dyDescent="0.3">
      <c r="J126256"/>
    </row>
    <row r="126257" spans="10:10" x14ac:dyDescent="0.3">
      <c r="J126257"/>
    </row>
    <row r="126258" spans="10:10" x14ac:dyDescent="0.3">
      <c r="J126258"/>
    </row>
    <row r="126259" spans="10:10" x14ac:dyDescent="0.3">
      <c r="J126259"/>
    </row>
    <row r="126260" spans="10:10" x14ac:dyDescent="0.3">
      <c r="J126260"/>
    </row>
    <row r="126261" spans="10:10" x14ac:dyDescent="0.3">
      <c r="J126261"/>
    </row>
    <row r="126262" spans="10:10" x14ac:dyDescent="0.3">
      <c r="J126262"/>
    </row>
    <row r="126263" spans="10:10" x14ac:dyDescent="0.3">
      <c r="J126263"/>
    </row>
    <row r="126264" spans="10:10" x14ac:dyDescent="0.3">
      <c r="J126264"/>
    </row>
    <row r="126265" spans="10:10" x14ac:dyDescent="0.3">
      <c r="J126265"/>
    </row>
    <row r="126266" spans="10:10" x14ac:dyDescent="0.3">
      <c r="J126266"/>
    </row>
    <row r="126267" spans="10:10" x14ac:dyDescent="0.3">
      <c r="J126267"/>
    </row>
    <row r="126268" spans="10:10" x14ac:dyDescent="0.3">
      <c r="J126268"/>
    </row>
    <row r="126269" spans="10:10" x14ac:dyDescent="0.3">
      <c r="J126269"/>
    </row>
    <row r="126270" spans="10:10" x14ac:dyDescent="0.3">
      <c r="J126270"/>
    </row>
    <row r="126271" spans="10:10" x14ac:dyDescent="0.3">
      <c r="J126271"/>
    </row>
    <row r="126272" spans="10:10" x14ac:dyDescent="0.3">
      <c r="J126272"/>
    </row>
    <row r="126273" spans="10:10" x14ac:dyDescent="0.3">
      <c r="J126273"/>
    </row>
    <row r="126274" spans="10:10" x14ac:dyDescent="0.3">
      <c r="J126274"/>
    </row>
    <row r="126275" spans="10:10" x14ac:dyDescent="0.3">
      <c r="J126275"/>
    </row>
    <row r="126276" spans="10:10" x14ac:dyDescent="0.3">
      <c r="J126276"/>
    </row>
    <row r="126277" spans="10:10" x14ac:dyDescent="0.3">
      <c r="J126277"/>
    </row>
    <row r="126278" spans="10:10" x14ac:dyDescent="0.3">
      <c r="J126278"/>
    </row>
    <row r="126279" spans="10:10" x14ac:dyDescent="0.3">
      <c r="J126279"/>
    </row>
    <row r="126280" spans="10:10" x14ac:dyDescent="0.3">
      <c r="J126280"/>
    </row>
    <row r="126281" spans="10:10" x14ac:dyDescent="0.3">
      <c r="J126281"/>
    </row>
    <row r="126282" spans="10:10" x14ac:dyDescent="0.3">
      <c r="J126282"/>
    </row>
    <row r="126283" spans="10:10" x14ac:dyDescent="0.3">
      <c r="J126283"/>
    </row>
    <row r="126284" spans="10:10" x14ac:dyDescent="0.3">
      <c r="J126284"/>
    </row>
    <row r="126285" spans="10:10" x14ac:dyDescent="0.3">
      <c r="J126285"/>
    </row>
    <row r="126286" spans="10:10" x14ac:dyDescent="0.3">
      <c r="J126286"/>
    </row>
    <row r="126287" spans="10:10" x14ac:dyDescent="0.3">
      <c r="J126287"/>
    </row>
    <row r="126288" spans="10:10" x14ac:dyDescent="0.3">
      <c r="J126288"/>
    </row>
    <row r="126289" spans="10:10" x14ac:dyDescent="0.3">
      <c r="J126289"/>
    </row>
    <row r="126290" spans="10:10" x14ac:dyDescent="0.3">
      <c r="J126290"/>
    </row>
    <row r="126291" spans="10:10" x14ac:dyDescent="0.3">
      <c r="J126291"/>
    </row>
    <row r="126292" spans="10:10" x14ac:dyDescent="0.3">
      <c r="J126292"/>
    </row>
    <row r="126293" spans="10:10" x14ac:dyDescent="0.3">
      <c r="J126293"/>
    </row>
    <row r="126294" spans="10:10" x14ac:dyDescent="0.3">
      <c r="J126294"/>
    </row>
    <row r="126295" spans="10:10" x14ac:dyDescent="0.3">
      <c r="J126295"/>
    </row>
    <row r="126296" spans="10:10" x14ac:dyDescent="0.3">
      <c r="J126296"/>
    </row>
    <row r="126297" spans="10:10" x14ac:dyDescent="0.3">
      <c r="J126297"/>
    </row>
    <row r="126298" spans="10:10" x14ac:dyDescent="0.3">
      <c r="J126298"/>
    </row>
    <row r="126299" spans="10:10" x14ac:dyDescent="0.3">
      <c r="J126299"/>
    </row>
    <row r="126300" spans="10:10" x14ac:dyDescent="0.3">
      <c r="J126300"/>
    </row>
    <row r="126301" spans="10:10" x14ac:dyDescent="0.3">
      <c r="J126301"/>
    </row>
    <row r="126302" spans="10:10" x14ac:dyDescent="0.3">
      <c r="J126302"/>
    </row>
    <row r="126303" spans="10:10" x14ac:dyDescent="0.3">
      <c r="J126303"/>
    </row>
    <row r="126304" spans="10:10" x14ac:dyDescent="0.3">
      <c r="J126304"/>
    </row>
    <row r="126305" spans="10:10" x14ac:dyDescent="0.3">
      <c r="J126305"/>
    </row>
    <row r="126306" spans="10:10" x14ac:dyDescent="0.3">
      <c r="J126306"/>
    </row>
    <row r="126307" spans="10:10" x14ac:dyDescent="0.3">
      <c r="J126307"/>
    </row>
    <row r="126308" spans="10:10" x14ac:dyDescent="0.3">
      <c r="J126308"/>
    </row>
    <row r="126309" spans="10:10" x14ac:dyDescent="0.3">
      <c r="J126309"/>
    </row>
    <row r="126310" spans="10:10" x14ac:dyDescent="0.3">
      <c r="J126310"/>
    </row>
    <row r="126311" spans="10:10" x14ac:dyDescent="0.3">
      <c r="J126311"/>
    </row>
    <row r="126312" spans="10:10" x14ac:dyDescent="0.3">
      <c r="J126312"/>
    </row>
    <row r="126313" spans="10:10" x14ac:dyDescent="0.3">
      <c r="J126313"/>
    </row>
    <row r="126314" spans="10:10" x14ac:dyDescent="0.3">
      <c r="J126314"/>
    </row>
    <row r="126315" spans="10:10" x14ac:dyDescent="0.3">
      <c r="J126315"/>
    </row>
    <row r="126316" spans="10:10" x14ac:dyDescent="0.3">
      <c r="J126316"/>
    </row>
    <row r="126317" spans="10:10" x14ac:dyDescent="0.3">
      <c r="J126317"/>
    </row>
    <row r="126318" spans="10:10" x14ac:dyDescent="0.3">
      <c r="J126318"/>
    </row>
    <row r="126319" spans="10:10" x14ac:dyDescent="0.3">
      <c r="J126319"/>
    </row>
    <row r="126320" spans="10:10" x14ac:dyDescent="0.3">
      <c r="J126320"/>
    </row>
    <row r="126321" spans="10:10" x14ac:dyDescent="0.3">
      <c r="J126321"/>
    </row>
    <row r="126322" spans="10:10" x14ac:dyDescent="0.3">
      <c r="J126322"/>
    </row>
    <row r="126323" spans="10:10" x14ac:dyDescent="0.3">
      <c r="J126323"/>
    </row>
    <row r="126324" spans="10:10" x14ac:dyDescent="0.3">
      <c r="J126324"/>
    </row>
    <row r="126325" spans="10:10" x14ac:dyDescent="0.3">
      <c r="J126325"/>
    </row>
    <row r="126326" spans="10:10" x14ac:dyDescent="0.3">
      <c r="J126326"/>
    </row>
    <row r="126327" spans="10:10" x14ac:dyDescent="0.3">
      <c r="J126327"/>
    </row>
    <row r="126328" spans="10:10" x14ac:dyDescent="0.3">
      <c r="J126328"/>
    </row>
    <row r="126329" spans="10:10" x14ac:dyDescent="0.3">
      <c r="J126329"/>
    </row>
    <row r="126330" spans="10:10" x14ac:dyDescent="0.3">
      <c r="J126330"/>
    </row>
    <row r="126331" spans="10:10" x14ac:dyDescent="0.3">
      <c r="J126331"/>
    </row>
    <row r="126332" spans="10:10" x14ac:dyDescent="0.3">
      <c r="J126332"/>
    </row>
    <row r="126333" spans="10:10" x14ac:dyDescent="0.3">
      <c r="J126333"/>
    </row>
    <row r="126334" spans="10:10" x14ac:dyDescent="0.3">
      <c r="J126334"/>
    </row>
    <row r="126335" spans="10:10" x14ac:dyDescent="0.3">
      <c r="J126335"/>
    </row>
    <row r="126336" spans="10:10" x14ac:dyDescent="0.3">
      <c r="J126336"/>
    </row>
    <row r="126337" spans="10:10" x14ac:dyDescent="0.3">
      <c r="J126337"/>
    </row>
    <row r="126338" spans="10:10" x14ac:dyDescent="0.3">
      <c r="J126338"/>
    </row>
    <row r="126339" spans="10:10" x14ac:dyDescent="0.3">
      <c r="J126339"/>
    </row>
    <row r="126340" spans="10:10" x14ac:dyDescent="0.3">
      <c r="J126340"/>
    </row>
    <row r="126341" spans="10:10" x14ac:dyDescent="0.3">
      <c r="J126341"/>
    </row>
    <row r="126342" spans="10:10" x14ac:dyDescent="0.3">
      <c r="J126342"/>
    </row>
    <row r="126343" spans="10:10" x14ac:dyDescent="0.3">
      <c r="J126343"/>
    </row>
    <row r="126344" spans="10:10" x14ac:dyDescent="0.3">
      <c r="J126344"/>
    </row>
    <row r="126345" spans="10:10" x14ac:dyDescent="0.3">
      <c r="J126345"/>
    </row>
    <row r="126346" spans="10:10" x14ac:dyDescent="0.3">
      <c r="J126346"/>
    </row>
    <row r="126347" spans="10:10" x14ac:dyDescent="0.3">
      <c r="J126347"/>
    </row>
    <row r="126348" spans="10:10" x14ac:dyDescent="0.3">
      <c r="J126348"/>
    </row>
    <row r="126349" spans="10:10" x14ac:dyDescent="0.3">
      <c r="J126349"/>
    </row>
    <row r="126350" spans="10:10" x14ac:dyDescent="0.3">
      <c r="J126350"/>
    </row>
    <row r="126351" spans="10:10" x14ac:dyDescent="0.3">
      <c r="J126351"/>
    </row>
    <row r="126352" spans="10:10" x14ac:dyDescent="0.3">
      <c r="J126352"/>
    </row>
    <row r="126353" spans="10:10" x14ac:dyDescent="0.3">
      <c r="J126353"/>
    </row>
    <row r="126354" spans="10:10" x14ac:dyDescent="0.3">
      <c r="J126354"/>
    </row>
    <row r="126355" spans="10:10" x14ac:dyDescent="0.3">
      <c r="J126355"/>
    </row>
    <row r="126356" spans="10:10" x14ac:dyDescent="0.3">
      <c r="J126356"/>
    </row>
    <row r="126357" spans="10:10" x14ac:dyDescent="0.3">
      <c r="J126357"/>
    </row>
    <row r="126358" spans="10:10" x14ac:dyDescent="0.3">
      <c r="J126358"/>
    </row>
    <row r="126359" spans="10:10" x14ac:dyDescent="0.3">
      <c r="J126359"/>
    </row>
    <row r="126360" spans="10:10" x14ac:dyDescent="0.3">
      <c r="J126360"/>
    </row>
    <row r="126361" spans="10:10" x14ac:dyDescent="0.3">
      <c r="J126361"/>
    </row>
    <row r="126362" spans="10:10" x14ac:dyDescent="0.3">
      <c r="J126362"/>
    </row>
    <row r="126363" spans="10:10" x14ac:dyDescent="0.3">
      <c r="J126363"/>
    </row>
    <row r="126364" spans="10:10" x14ac:dyDescent="0.3">
      <c r="J126364"/>
    </row>
    <row r="126365" spans="10:10" x14ac:dyDescent="0.3">
      <c r="J126365"/>
    </row>
    <row r="126366" spans="10:10" x14ac:dyDescent="0.3">
      <c r="J126366"/>
    </row>
    <row r="126367" spans="10:10" x14ac:dyDescent="0.3">
      <c r="J126367"/>
    </row>
    <row r="126368" spans="10:10" x14ac:dyDescent="0.3">
      <c r="J126368"/>
    </row>
    <row r="126369" spans="10:10" x14ac:dyDescent="0.3">
      <c r="J126369"/>
    </row>
    <row r="126370" spans="10:10" x14ac:dyDescent="0.3">
      <c r="J126370"/>
    </row>
    <row r="126371" spans="10:10" x14ac:dyDescent="0.3">
      <c r="J126371"/>
    </row>
    <row r="126372" spans="10:10" x14ac:dyDescent="0.3">
      <c r="J126372"/>
    </row>
    <row r="126373" spans="10:10" x14ac:dyDescent="0.3">
      <c r="J126373"/>
    </row>
    <row r="126374" spans="10:10" x14ac:dyDescent="0.3">
      <c r="J126374"/>
    </row>
    <row r="126375" spans="10:10" x14ac:dyDescent="0.3">
      <c r="J126375"/>
    </row>
    <row r="126376" spans="10:10" x14ac:dyDescent="0.3">
      <c r="J126376"/>
    </row>
    <row r="126377" spans="10:10" x14ac:dyDescent="0.3">
      <c r="J126377"/>
    </row>
    <row r="126378" spans="10:10" x14ac:dyDescent="0.3">
      <c r="J126378"/>
    </row>
    <row r="126379" spans="10:10" x14ac:dyDescent="0.3">
      <c r="J126379"/>
    </row>
    <row r="126380" spans="10:10" x14ac:dyDescent="0.3">
      <c r="J126380"/>
    </row>
    <row r="126381" spans="10:10" x14ac:dyDescent="0.3">
      <c r="J126381"/>
    </row>
    <row r="126382" spans="10:10" x14ac:dyDescent="0.3">
      <c r="J126382"/>
    </row>
    <row r="126383" spans="10:10" x14ac:dyDescent="0.3">
      <c r="J126383"/>
    </row>
    <row r="126384" spans="10:10" x14ac:dyDescent="0.3">
      <c r="J126384"/>
    </row>
    <row r="126385" spans="10:10" x14ac:dyDescent="0.3">
      <c r="J126385"/>
    </row>
    <row r="126386" spans="10:10" x14ac:dyDescent="0.3">
      <c r="J126386"/>
    </row>
    <row r="126387" spans="10:10" x14ac:dyDescent="0.3">
      <c r="J126387"/>
    </row>
    <row r="126388" spans="10:10" x14ac:dyDescent="0.3">
      <c r="J126388"/>
    </row>
    <row r="126389" spans="10:10" x14ac:dyDescent="0.3">
      <c r="J126389"/>
    </row>
    <row r="126390" spans="10:10" x14ac:dyDescent="0.3">
      <c r="J126390"/>
    </row>
    <row r="126391" spans="10:10" x14ac:dyDescent="0.3">
      <c r="J126391"/>
    </row>
    <row r="126392" spans="10:10" x14ac:dyDescent="0.3">
      <c r="J126392"/>
    </row>
    <row r="126393" spans="10:10" x14ac:dyDescent="0.3">
      <c r="J126393"/>
    </row>
    <row r="126394" spans="10:10" x14ac:dyDescent="0.3">
      <c r="J126394"/>
    </row>
    <row r="126395" spans="10:10" x14ac:dyDescent="0.3">
      <c r="J126395"/>
    </row>
    <row r="126396" spans="10:10" x14ac:dyDescent="0.3">
      <c r="J126396"/>
    </row>
    <row r="126397" spans="10:10" x14ac:dyDescent="0.3">
      <c r="J126397"/>
    </row>
    <row r="126398" spans="10:10" x14ac:dyDescent="0.3">
      <c r="J126398"/>
    </row>
    <row r="126399" spans="10:10" x14ac:dyDescent="0.3">
      <c r="J126399"/>
    </row>
    <row r="126400" spans="10:10" x14ac:dyDescent="0.3">
      <c r="J126400"/>
    </row>
    <row r="126401" spans="10:10" x14ac:dyDescent="0.3">
      <c r="J126401"/>
    </row>
    <row r="126402" spans="10:10" x14ac:dyDescent="0.3">
      <c r="J126402"/>
    </row>
    <row r="126403" spans="10:10" x14ac:dyDescent="0.3">
      <c r="J126403"/>
    </row>
    <row r="126404" spans="10:10" x14ac:dyDescent="0.3">
      <c r="J126404"/>
    </row>
    <row r="126405" spans="10:10" x14ac:dyDescent="0.3">
      <c r="J126405"/>
    </row>
    <row r="126406" spans="10:10" x14ac:dyDescent="0.3">
      <c r="J126406"/>
    </row>
    <row r="126407" spans="10:10" x14ac:dyDescent="0.3">
      <c r="J126407"/>
    </row>
    <row r="126408" spans="10:10" x14ac:dyDescent="0.3">
      <c r="J126408"/>
    </row>
    <row r="126409" spans="10:10" x14ac:dyDescent="0.3">
      <c r="J126409"/>
    </row>
    <row r="126410" spans="10:10" x14ac:dyDescent="0.3">
      <c r="J126410"/>
    </row>
    <row r="126411" spans="10:10" x14ac:dyDescent="0.3">
      <c r="J126411"/>
    </row>
    <row r="126412" spans="10:10" x14ac:dyDescent="0.3">
      <c r="J126412"/>
    </row>
    <row r="126413" spans="10:10" x14ac:dyDescent="0.3">
      <c r="J126413"/>
    </row>
    <row r="126414" spans="10:10" x14ac:dyDescent="0.3">
      <c r="J126414"/>
    </row>
    <row r="126415" spans="10:10" x14ac:dyDescent="0.3">
      <c r="J126415"/>
    </row>
    <row r="126416" spans="10:10" x14ac:dyDescent="0.3">
      <c r="J126416"/>
    </row>
    <row r="126417" spans="10:10" x14ac:dyDescent="0.3">
      <c r="J126417"/>
    </row>
    <row r="126418" spans="10:10" x14ac:dyDescent="0.3">
      <c r="J126418"/>
    </row>
    <row r="126419" spans="10:10" x14ac:dyDescent="0.3">
      <c r="J126419"/>
    </row>
    <row r="126420" spans="10:10" x14ac:dyDescent="0.3">
      <c r="J126420"/>
    </row>
    <row r="126421" spans="10:10" x14ac:dyDescent="0.3">
      <c r="J126421"/>
    </row>
    <row r="126422" spans="10:10" x14ac:dyDescent="0.3">
      <c r="J126422"/>
    </row>
    <row r="126423" spans="10:10" x14ac:dyDescent="0.3">
      <c r="J126423"/>
    </row>
    <row r="126424" spans="10:10" x14ac:dyDescent="0.3">
      <c r="J126424"/>
    </row>
    <row r="126425" spans="10:10" x14ac:dyDescent="0.3">
      <c r="J126425"/>
    </row>
    <row r="126426" spans="10:10" x14ac:dyDescent="0.3">
      <c r="J126426"/>
    </row>
    <row r="126427" spans="10:10" x14ac:dyDescent="0.3">
      <c r="J126427"/>
    </row>
    <row r="126428" spans="10:10" x14ac:dyDescent="0.3">
      <c r="J126428"/>
    </row>
    <row r="126429" spans="10:10" x14ac:dyDescent="0.3">
      <c r="J126429"/>
    </row>
    <row r="126430" spans="10:10" x14ac:dyDescent="0.3">
      <c r="J126430"/>
    </row>
    <row r="126431" spans="10:10" x14ac:dyDescent="0.3">
      <c r="J126431"/>
    </row>
    <row r="126432" spans="10:10" x14ac:dyDescent="0.3">
      <c r="J126432"/>
    </row>
    <row r="126433" spans="10:10" x14ac:dyDescent="0.3">
      <c r="J126433"/>
    </row>
    <row r="126434" spans="10:10" x14ac:dyDescent="0.3">
      <c r="J126434"/>
    </row>
    <row r="126435" spans="10:10" x14ac:dyDescent="0.3">
      <c r="J126435"/>
    </row>
    <row r="126436" spans="10:10" x14ac:dyDescent="0.3">
      <c r="J126436"/>
    </row>
    <row r="126437" spans="10:10" x14ac:dyDescent="0.3">
      <c r="J126437"/>
    </row>
    <row r="126438" spans="10:10" x14ac:dyDescent="0.3">
      <c r="J126438"/>
    </row>
    <row r="126439" spans="10:10" x14ac:dyDescent="0.3">
      <c r="J126439"/>
    </row>
    <row r="126440" spans="10:10" x14ac:dyDescent="0.3">
      <c r="J126440"/>
    </row>
    <row r="126441" spans="10:10" x14ac:dyDescent="0.3">
      <c r="J126441"/>
    </row>
    <row r="126442" spans="10:10" x14ac:dyDescent="0.3">
      <c r="J126442"/>
    </row>
    <row r="126443" spans="10:10" x14ac:dyDescent="0.3">
      <c r="J126443"/>
    </row>
    <row r="126444" spans="10:10" x14ac:dyDescent="0.3">
      <c r="J126444"/>
    </row>
    <row r="126445" spans="10:10" x14ac:dyDescent="0.3">
      <c r="J126445"/>
    </row>
    <row r="126446" spans="10:10" x14ac:dyDescent="0.3">
      <c r="J126446"/>
    </row>
    <row r="126447" spans="10:10" x14ac:dyDescent="0.3">
      <c r="J126447"/>
    </row>
    <row r="126448" spans="10:10" x14ac:dyDescent="0.3">
      <c r="J126448"/>
    </row>
    <row r="126449" spans="10:10" x14ac:dyDescent="0.3">
      <c r="J126449"/>
    </row>
    <row r="126450" spans="10:10" x14ac:dyDescent="0.3">
      <c r="J126450"/>
    </row>
    <row r="126451" spans="10:10" x14ac:dyDescent="0.3">
      <c r="J126451"/>
    </row>
    <row r="126452" spans="10:10" x14ac:dyDescent="0.3">
      <c r="J126452"/>
    </row>
    <row r="126453" spans="10:10" x14ac:dyDescent="0.3">
      <c r="J126453"/>
    </row>
    <row r="126454" spans="10:10" x14ac:dyDescent="0.3">
      <c r="J126454"/>
    </row>
    <row r="126455" spans="10:10" x14ac:dyDescent="0.3">
      <c r="J126455"/>
    </row>
    <row r="126456" spans="10:10" x14ac:dyDescent="0.3">
      <c r="J126456"/>
    </row>
    <row r="126457" spans="10:10" x14ac:dyDescent="0.3">
      <c r="J126457"/>
    </row>
    <row r="126458" spans="10:10" x14ac:dyDescent="0.3">
      <c r="J126458"/>
    </row>
    <row r="126459" spans="10:10" x14ac:dyDescent="0.3">
      <c r="J126459"/>
    </row>
    <row r="126460" spans="10:10" x14ac:dyDescent="0.3">
      <c r="J126460"/>
    </row>
    <row r="126461" spans="10:10" x14ac:dyDescent="0.3">
      <c r="J126461"/>
    </row>
    <row r="126462" spans="10:10" x14ac:dyDescent="0.3">
      <c r="J126462"/>
    </row>
    <row r="126463" spans="10:10" x14ac:dyDescent="0.3">
      <c r="J126463"/>
    </row>
    <row r="126464" spans="10:10" x14ac:dyDescent="0.3">
      <c r="J126464"/>
    </row>
    <row r="126465" spans="10:10" x14ac:dyDescent="0.3">
      <c r="J126465"/>
    </row>
    <row r="126466" spans="10:10" x14ac:dyDescent="0.3">
      <c r="J126466"/>
    </row>
    <row r="126467" spans="10:10" x14ac:dyDescent="0.3">
      <c r="J126467"/>
    </row>
    <row r="126468" spans="10:10" x14ac:dyDescent="0.3">
      <c r="J126468"/>
    </row>
    <row r="126469" spans="10:10" x14ac:dyDescent="0.3">
      <c r="J126469"/>
    </row>
    <row r="126470" spans="10:10" x14ac:dyDescent="0.3">
      <c r="J126470"/>
    </row>
    <row r="126471" spans="10:10" x14ac:dyDescent="0.3">
      <c r="J126471"/>
    </row>
    <row r="126472" spans="10:10" x14ac:dyDescent="0.3">
      <c r="J126472"/>
    </row>
    <row r="126473" spans="10:10" x14ac:dyDescent="0.3">
      <c r="J126473"/>
    </row>
    <row r="126474" spans="10:10" x14ac:dyDescent="0.3">
      <c r="J126474"/>
    </row>
    <row r="126475" spans="10:10" x14ac:dyDescent="0.3">
      <c r="J126475"/>
    </row>
    <row r="126476" spans="10:10" x14ac:dyDescent="0.3">
      <c r="J126476"/>
    </row>
    <row r="126477" spans="10:10" x14ac:dyDescent="0.3">
      <c r="J126477"/>
    </row>
    <row r="126478" spans="10:10" x14ac:dyDescent="0.3">
      <c r="J126478"/>
    </row>
    <row r="126479" spans="10:10" x14ac:dyDescent="0.3">
      <c r="J126479"/>
    </row>
    <row r="126480" spans="10:10" x14ac:dyDescent="0.3">
      <c r="J126480"/>
    </row>
    <row r="126481" spans="10:10" x14ac:dyDescent="0.3">
      <c r="J126481"/>
    </row>
    <row r="126482" spans="10:10" x14ac:dyDescent="0.3">
      <c r="J126482"/>
    </row>
    <row r="126483" spans="10:10" x14ac:dyDescent="0.3">
      <c r="J126483"/>
    </row>
    <row r="126484" spans="10:10" x14ac:dyDescent="0.3">
      <c r="J126484"/>
    </row>
    <row r="126485" spans="10:10" x14ac:dyDescent="0.3">
      <c r="J126485"/>
    </row>
    <row r="126486" spans="10:10" x14ac:dyDescent="0.3">
      <c r="J126486"/>
    </row>
    <row r="126487" spans="10:10" x14ac:dyDescent="0.3">
      <c r="J126487"/>
    </row>
    <row r="126488" spans="10:10" x14ac:dyDescent="0.3">
      <c r="J126488"/>
    </row>
    <row r="126489" spans="10:10" x14ac:dyDescent="0.3">
      <c r="J126489"/>
    </row>
    <row r="126490" spans="10:10" x14ac:dyDescent="0.3">
      <c r="J126490"/>
    </row>
    <row r="126491" spans="10:10" x14ac:dyDescent="0.3">
      <c r="J126491"/>
    </row>
    <row r="126492" spans="10:10" x14ac:dyDescent="0.3">
      <c r="J126492"/>
    </row>
    <row r="126493" spans="10:10" x14ac:dyDescent="0.3">
      <c r="J126493"/>
    </row>
    <row r="126494" spans="10:10" x14ac:dyDescent="0.3">
      <c r="J126494"/>
    </row>
    <row r="126495" spans="10:10" x14ac:dyDescent="0.3">
      <c r="J126495"/>
    </row>
    <row r="126496" spans="10:10" x14ac:dyDescent="0.3">
      <c r="J126496"/>
    </row>
    <row r="126497" spans="10:10" x14ac:dyDescent="0.3">
      <c r="J126497"/>
    </row>
    <row r="126498" spans="10:10" x14ac:dyDescent="0.3">
      <c r="J126498"/>
    </row>
    <row r="126499" spans="10:10" x14ac:dyDescent="0.3">
      <c r="J126499"/>
    </row>
    <row r="126500" spans="10:10" x14ac:dyDescent="0.3">
      <c r="J126500"/>
    </row>
    <row r="126501" spans="10:10" x14ac:dyDescent="0.3">
      <c r="J126501"/>
    </row>
    <row r="126502" spans="10:10" x14ac:dyDescent="0.3">
      <c r="J126502"/>
    </row>
    <row r="126503" spans="10:10" x14ac:dyDescent="0.3">
      <c r="J126503"/>
    </row>
    <row r="126504" spans="10:10" x14ac:dyDescent="0.3">
      <c r="J126504"/>
    </row>
    <row r="126505" spans="10:10" x14ac:dyDescent="0.3">
      <c r="J126505"/>
    </row>
    <row r="126506" spans="10:10" x14ac:dyDescent="0.3">
      <c r="J126506"/>
    </row>
    <row r="126507" spans="10:10" x14ac:dyDescent="0.3">
      <c r="J126507"/>
    </row>
    <row r="126508" spans="10:10" x14ac:dyDescent="0.3">
      <c r="J126508"/>
    </row>
    <row r="126509" spans="10:10" x14ac:dyDescent="0.3">
      <c r="J126509"/>
    </row>
    <row r="126510" spans="10:10" x14ac:dyDescent="0.3">
      <c r="J126510"/>
    </row>
    <row r="126511" spans="10:10" x14ac:dyDescent="0.3">
      <c r="J126511"/>
    </row>
    <row r="126512" spans="10:10" x14ac:dyDescent="0.3">
      <c r="J126512"/>
    </row>
    <row r="126513" spans="10:10" x14ac:dyDescent="0.3">
      <c r="J126513"/>
    </row>
    <row r="126514" spans="10:10" x14ac:dyDescent="0.3">
      <c r="J126514"/>
    </row>
    <row r="126515" spans="10:10" x14ac:dyDescent="0.3">
      <c r="J126515"/>
    </row>
    <row r="126516" spans="10:10" x14ac:dyDescent="0.3">
      <c r="J126516"/>
    </row>
    <row r="126517" spans="10:10" x14ac:dyDescent="0.3">
      <c r="J126517"/>
    </row>
    <row r="126518" spans="10:10" x14ac:dyDescent="0.3">
      <c r="J126518"/>
    </row>
    <row r="126519" spans="10:10" x14ac:dyDescent="0.3">
      <c r="J126519"/>
    </row>
    <row r="126520" spans="10:10" x14ac:dyDescent="0.3">
      <c r="J126520"/>
    </row>
    <row r="126521" spans="10:10" x14ac:dyDescent="0.3">
      <c r="J126521"/>
    </row>
    <row r="126522" spans="10:10" x14ac:dyDescent="0.3">
      <c r="J126522"/>
    </row>
    <row r="126523" spans="10:10" x14ac:dyDescent="0.3">
      <c r="J126523"/>
    </row>
    <row r="126524" spans="10:10" x14ac:dyDescent="0.3">
      <c r="J126524"/>
    </row>
    <row r="126525" spans="10:10" x14ac:dyDescent="0.3">
      <c r="J126525"/>
    </row>
    <row r="126526" spans="10:10" x14ac:dyDescent="0.3">
      <c r="J126526"/>
    </row>
    <row r="126527" spans="10:10" x14ac:dyDescent="0.3">
      <c r="J126527"/>
    </row>
    <row r="126528" spans="10:10" x14ac:dyDescent="0.3">
      <c r="J126528"/>
    </row>
    <row r="126529" spans="10:10" x14ac:dyDescent="0.3">
      <c r="J126529"/>
    </row>
    <row r="126530" spans="10:10" x14ac:dyDescent="0.3">
      <c r="J126530"/>
    </row>
    <row r="126531" spans="10:10" x14ac:dyDescent="0.3">
      <c r="J126531"/>
    </row>
    <row r="126532" spans="10:10" x14ac:dyDescent="0.3">
      <c r="J126532"/>
    </row>
    <row r="126533" spans="10:10" x14ac:dyDescent="0.3">
      <c r="J126533"/>
    </row>
    <row r="126534" spans="10:10" x14ac:dyDescent="0.3">
      <c r="J126534"/>
    </row>
    <row r="126535" spans="10:10" x14ac:dyDescent="0.3">
      <c r="J126535"/>
    </row>
    <row r="126536" spans="10:10" x14ac:dyDescent="0.3">
      <c r="J126536"/>
    </row>
    <row r="126537" spans="10:10" x14ac:dyDescent="0.3">
      <c r="J126537"/>
    </row>
    <row r="126538" spans="10:10" x14ac:dyDescent="0.3">
      <c r="J126538"/>
    </row>
    <row r="126539" spans="10:10" x14ac:dyDescent="0.3">
      <c r="J126539"/>
    </row>
    <row r="126540" spans="10:10" x14ac:dyDescent="0.3">
      <c r="J126540"/>
    </row>
    <row r="126541" spans="10:10" x14ac:dyDescent="0.3">
      <c r="J126541"/>
    </row>
    <row r="126542" spans="10:10" x14ac:dyDescent="0.3">
      <c r="J126542"/>
    </row>
    <row r="126543" spans="10:10" x14ac:dyDescent="0.3">
      <c r="J126543"/>
    </row>
    <row r="126544" spans="10:10" x14ac:dyDescent="0.3">
      <c r="J126544"/>
    </row>
    <row r="126545" spans="10:10" x14ac:dyDescent="0.3">
      <c r="J126545"/>
    </row>
    <row r="126546" spans="10:10" x14ac:dyDescent="0.3">
      <c r="J126546"/>
    </row>
    <row r="126547" spans="10:10" x14ac:dyDescent="0.3">
      <c r="J126547"/>
    </row>
    <row r="126548" spans="10:10" x14ac:dyDescent="0.3">
      <c r="J126548"/>
    </row>
    <row r="126549" spans="10:10" x14ac:dyDescent="0.3">
      <c r="J126549"/>
    </row>
    <row r="126550" spans="10:10" x14ac:dyDescent="0.3">
      <c r="J126550"/>
    </row>
    <row r="126551" spans="10:10" x14ac:dyDescent="0.3">
      <c r="J126551"/>
    </row>
    <row r="126552" spans="10:10" x14ac:dyDescent="0.3">
      <c r="J126552"/>
    </row>
    <row r="126553" spans="10:10" x14ac:dyDescent="0.3">
      <c r="J126553"/>
    </row>
    <row r="126554" spans="10:10" x14ac:dyDescent="0.3">
      <c r="J126554"/>
    </row>
    <row r="126555" spans="10:10" x14ac:dyDescent="0.3">
      <c r="J126555"/>
    </row>
    <row r="126556" spans="10:10" x14ac:dyDescent="0.3">
      <c r="J126556"/>
    </row>
    <row r="126557" spans="10:10" x14ac:dyDescent="0.3">
      <c r="J126557"/>
    </row>
    <row r="126558" spans="10:10" x14ac:dyDescent="0.3">
      <c r="J126558"/>
    </row>
    <row r="126559" spans="10:10" x14ac:dyDescent="0.3">
      <c r="J126559"/>
    </row>
    <row r="126560" spans="10:10" x14ac:dyDescent="0.3">
      <c r="J126560"/>
    </row>
    <row r="126561" spans="10:10" x14ac:dyDescent="0.3">
      <c r="J126561"/>
    </row>
    <row r="126562" spans="10:10" x14ac:dyDescent="0.3">
      <c r="J126562"/>
    </row>
    <row r="126563" spans="10:10" x14ac:dyDescent="0.3">
      <c r="J126563"/>
    </row>
    <row r="126564" spans="10:10" x14ac:dyDescent="0.3">
      <c r="J126564"/>
    </row>
    <row r="126565" spans="10:10" x14ac:dyDescent="0.3">
      <c r="J126565"/>
    </row>
    <row r="126566" spans="10:10" x14ac:dyDescent="0.3">
      <c r="J126566"/>
    </row>
    <row r="126567" spans="10:10" x14ac:dyDescent="0.3">
      <c r="J126567"/>
    </row>
    <row r="126568" spans="10:10" x14ac:dyDescent="0.3">
      <c r="J126568"/>
    </row>
    <row r="126569" spans="10:10" x14ac:dyDescent="0.3">
      <c r="J126569"/>
    </row>
    <row r="126570" spans="10:10" x14ac:dyDescent="0.3">
      <c r="J126570"/>
    </row>
    <row r="126571" spans="10:10" x14ac:dyDescent="0.3">
      <c r="J126571"/>
    </row>
    <row r="126572" spans="10:10" x14ac:dyDescent="0.3">
      <c r="J126572"/>
    </row>
    <row r="126573" spans="10:10" x14ac:dyDescent="0.3">
      <c r="J126573"/>
    </row>
    <row r="126574" spans="10:10" x14ac:dyDescent="0.3">
      <c r="J126574"/>
    </row>
    <row r="126575" spans="10:10" x14ac:dyDescent="0.3">
      <c r="J126575"/>
    </row>
    <row r="126576" spans="10:10" x14ac:dyDescent="0.3">
      <c r="J126576"/>
    </row>
    <row r="126577" spans="10:10" x14ac:dyDescent="0.3">
      <c r="J126577"/>
    </row>
    <row r="126578" spans="10:10" x14ac:dyDescent="0.3">
      <c r="J126578"/>
    </row>
    <row r="126579" spans="10:10" x14ac:dyDescent="0.3">
      <c r="J126579"/>
    </row>
    <row r="126580" spans="10:10" x14ac:dyDescent="0.3">
      <c r="J126580"/>
    </row>
    <row r="126581" spans="10:10" x14ac:dyDescent="0.3">
      <c r="J126581"/>
    </row>
    <row r="126582" spans="10:10" x14ac:dyDescent="0.3">
      <c r="J126582"/>
    </row>
    <row r="126583" spans="10:10" x14ac:dyDescent="0.3">
      <c r="J126583"/>
    </row>
    <row r="126584" spans="10:10" x14ac:dyDescent="0.3">
      <c r="J126584"/>
    </row>
    <row r="126585" spans="10:10" x14ac:dyDescent="0.3">
      <c r="J126585"/>
    </row>
    <row r="126586" spans="10:10" x14ac:dyDescent="0.3">
      <c r="J126586"/>
    </row>
    <row r="126587" spans="10:10" x14ac:dyDescent="0.3">
      <c r="J126587"/>
    </row>
    <row r="126588" spans="10:10" x14ac:dyDescent="0.3">
      <c r="J126588"/>
    </row>
    <row r="126589" spans="10:10" x14ac:dyDescent="0.3">
      <c r="J126589"/>
    </row>
    <row r="126590" spans="10:10" x14ac:dyDescent="0.3">
      <c r="J126590"/>
    </row>
    <row r="126591" spans="10:10" x14ac:dyDescent="0.3">
      <c r="J126591"/>
    </row>
    <row r="126592" spans="10:10" x14ac:dyDescent="0.3">
      <c r="J126592"/>
    </row>
    <row r="126593" spans="10:10" x14ac:dyDescent="0.3">
      <c r="J126593"/>
    </row>
    <row r="126594" spans="10:10" x14ac:dyDescent="0.3">
      <c r="J126594"/>
    </row>
    <row r="126595" spans="10:10" x14ac:dyDescent="0.3">
      <c r="J126595"/>
    </row>
    <row r="126596" spans="10:10" x14ac:dyDescent="0.3">
      <c r="J126596"/>
    </row>
    <row r="126597" spans="10:10" x14ac:dyDescent="0.3">
      <c r="J126597"/>
    </row>
    <row r="126598" spans="10:10" x14ac:dyDescent="0.3">
      <c r="J126598"/>
    </row>
    <row r="126599" spans="10:10" x14ac:dyDescent="0.3">
      <c r="J126599"/>
    </row>
    <row r="126600" spans="10:10" x14ac:dyDescent="0.3">
      <c r="J126600"/>
    </row>
    <row r="126601" spans="10:10" x14ac:dyDescent="0.3">
      <c r="J126601"/>
    </row>
    <row r="126602" spans="10:10" x14ac:dyDescent="0.3">
      <c r="J126602"/>
    </row>
    <row r="126603" spans="10:10" x14ac:dyDescent="0.3">
      <c r="J126603"/>
    </row>
    <row r="126604" spans="10:10" x14ac:dyDescent="0.3">
      <c r="J126604"/>
    </row>
    <row r="126605" spans="10:10" x14ac:dyDescent="0.3">
      <c r="J126605"/>
    </row>
    <row r="126606" spans="10:10" x14ac:dyDescent="0.3">
      <c r="J126606"/>
    </row>
    <row r="126607" spans="10:10" x14ac:dyDescent="0.3">
      <c r="J126607"/>
    </row>
    <row r="126608" spans="10:10" x14ac:dyDescent="0.3">
      <c r="J126608"/>
    </row>
    <row r="126609" spans="10:10" x14ac:dyDescent="0.3">
      <c r="J126609"/>
    </row>
    <row r="126610" spans="10:10" x14ac:dyDescent="0.3">
      <c r="J126610"/>
    </row>
    <row r="126611" spans="10:10" x14ac:dyDescent="0.3">
      <c r="J126611"/>
    </row>
    <row r="126612" spans="10:10" x14ac:dyDescent="0.3">
      <c r="J126612"/>
    </row>
    <row r="126613" spans="10:10" x14ac:dyDescent="0.3">
      <c r="J126613"/>
    </row>
    <row r="126614" spans="10:10" x14ac:dyDescent="0.3">
      <c r="J126614"/>
    </row>
    <row r="126615" spans="10:10" x14ac:dyDescent="0.3">
      <c r="J126615"/>
    </row>
    <row r="126616" spans="10:10" x14ac:dyDescent="0.3">
      <c r="J126616"/>
    </row>
    <row r="126617" spans="10:10" x14ac:dyDescent="0.3">
      <c r="J126617"/>
    </row>
    <row r="126618" spans="10:10" x14ac:dyDescent="0.3">
      <c r="J126618"/>
    </row>
    <row r="126619" spans="10:10" x14ac:dyDescent="0.3">
      <c r="J126619"/>
    </row>
    <row r="126620" spans="10:10" x14ac:dyDescent="0.3">
      <c r="J126620"/>
    </row>
    <row r="126621" spans="10:10" x14ac:dyDescent="0.3">
      <c r="J126621"/>
    </row>
    <row r="126622" spans="10:10" x14ac:dyDescent="0.3">
      <c r="J126622"/>
    </row>
    <row r="126623" spans="10:10" x14ac:dyDescent="0.3">
      <c r="J126623"/>
    </row>
    <row r="126624" spans="10:10" x14ac:dyDescent="0.3">
      <c r="J126624"/>
    </row>
    <row r="126625" spans="10:10" x14ac:dyDescent="0.3">
      <c r="J126625"/>
    </row>
    <row r="126626" spans="10:10" x14ac:dyDescent="0.3">
      <c r="J126626"/>
    </row>
    <row r="126627" spans="10:10" x14ac:dyDescent="0.3">
      <c r="J126627"/>
    </row>
    <row r="126628" spans="10:10" x14ac:dyDescent="0.3">
      <c r="J126628"/>
    </row>
    <row r="126629" spans="10:10" x14ac:dyDescent="0.3">
      <c r="J126629"/>
    </row>
    <row r="126630" spans="10:10" x14ac:dyDescent="0.3">
      <c r="J126630"/>
    </row>
    <row r="126631" spans="10:10" x14ac:dyDescent="0.3">
      <c r="J126631"/>
    </row>
    <row r="126632" spans="10:10" x14ac:dyDescent="0.3">
      <c r="J126632"/>
    </row>
    <row r="126633" spans="10:10" x14ac:dyDescent="0.3">
      <c r="J126633"/>
    </row>
    <row r="126634" spans="10:10" x14ac:dyDescent="0.3">
      <c r="J126634"/>
    </row>
    <row r="126635" spans="10:10" x14ac:dyDescent="0.3">
      <c r="J126635"/>
    </row>
    <row r="126636" spans="10:10" x14ac:dyDescent="0.3">
      <c r="J126636"/>
    </row>
    <row r="126637" spans="10:10" x14ac:dyDescent="0.3">
      <c r="J126637"/>
    </row>
    <row r="126638" spans="10:10" x14ac:dyDescent="0.3">
      <c r="J126638"/>
    </row>
    <row r="126639" spans="10:10" x14ac:dyDescent="0.3">
      <c r="J126639"/>
    </row>
    <row r="126640" spans="10:10" x14ac:dyDescent="0.3">
      <c r="J126640"/>
    </row>
    <row r="126641" spans="10:10" x14ac:dyDescent="0.3">
      <c r="J126641"/>
    </row>
    <row r="126642" spans="10:10" x14ac:dyDescent="0.3">
      <c r="J126642"/>
    </row>
    <row r="126643" spans="10:10" x14ac:dyDescent="0.3">
      <c r="J126643"/>
    </row>
    <row r="126644" spans="10:10" x14ac:dyDescent="0.3">
      <c r="J126644"/>
    </row>
    <row r="126645" spans="10:10" x14ac:dyDescent="0.3">
      <c r="J126645"/>
    </row>
    <row r="126646" spans="10:10" x14ac:dyDescent="0.3">
      <c r="J126646"/>
    </row>
    <row r="126647" spans="10:10" x14ac:dyDescent="0.3">
      <c r="J126647"/>
    </row>
    <row r="126648" spans="10:10" x14ac:dyDescent="0.3">
      <c r="J126648"/>
    </row>
    <row r="126649" spans="10:10" x14ac:dyDescent="0.3">
      <c r="J126649"/>
    </row>
    <row r="126650" spans="10:10" x14ac:dyDescent="0.3">
      <c r="J126650"/>
    </row>
    <row r="126651" spans="10:10" x14ac:dyDescent="0.3">
      <c r="J126651"/>
    </row>
    <row r="126652" spans="10:10" x14ac:dyDescent="0.3">
      <c r="J126652"/>
    </row>
    <row r="126653" spans="10:10" x14ac:dyDescent="0.3">
      <c r="J126653"/>
    </row>
    <row r="126654" spans="10:10" x14ac:dyDescent="0.3">
      <c r="J126654"/>
    </row>
    <row r="126655" spans="10:10" x14ac:dyDescent="0.3">
      <c r="J126655"/>
    </row>
    <row r="126656" spans="10:10" x14ac:dyDescent="0.3">
      <c r="J126656"/>
    </row>
    <row r="126657" spans="10:10" x14ac:dyDescent="0.3">
      <c r="J126657"/>
    </row>
    <row r="126658" spans="10:10" x14ac:dyDescent="0.3">
      <c r="J126658"/>
    </row>
    <row r="126659" spans="10:10" x14ac:dyDescent="0.3">
      <c r="J126659"/>
    </row>
    <row r="126660" spans="10:10" x14ac:dyDescent="0.3">
      <c r="J126660"/>
    </row>
    <row r="126661" spans="10:10" x14ac:dyDescent="0.3">
      <c r="J126661"/>
    </row>
    <row r="126662" spans="10:10" x14ac:dyDescent="0.3">
      <c r="J126662"/>
    </row>
    <row r="126663" spans="10:10" x14ac:dyDescent="0.3">
      <c r="J126663"/>
    </row>
    <row r="126664" spans="10:10" x14ac:dyDescent="0.3">
      <c r="J126664"/>
    </row>
    <row r="126665" spans="10:10" x14ac:dyDescent="0.3">
      <c r="J126665"/>
    </row>
    <row r="126666" spans="10:10" x14ac:dyDescent="0.3">
      <c r="J126666"/>
    </row>
    <row r="126667" spans="10:10" x14ac:dyDescent="0.3">
      <c r="J126667"/>
    </row>
    <row r="126668" spans="10:10" x14ac:dyDescent="0.3">
      <c r="J126668"/>
    </row>
    <row r="126669" spans="10:10" x14ac:dyDescent="0.3">
      <c r="J126669"/>
    </row>
    <row r="126670" spans="10:10" x14ac:dyDescent="0.3">
      <c r="J126670"/>
    </row>
    <row r="126671" spans="10:10" x14ac:dyDescent="0.3">
      <c r="J126671"/>
    </row>
    <row r="126672" spans="10:10" x14ac:dyDescent="0.3">
      <c r="J126672"/>
    </row>
    <row r="126673" spans="10:10" x14ac:dyDescent="0.3">
      <c r="J126673"/>
    </row>
    <row r="126674" spans="10:10" x14ac:dyDescent="0.3">
      <c r="J126674"/>
    </row>
    <row r="126675" spans="10:10" x14ac:dyDescent="0.3">
      <c r="J126675"/>
    </row>
    <row r="126676" spans="10:10" x14ac:dyDescent="0.3">
      <c r="J126676"/>
    </row>
    <row r="126677" spans="10:10" x14ac:dyDescent="0.3">
      <c r="J126677"/>
    </row>
    <row r="126678" spans="10:10" x14ac:dyDescent="0.3">
      <c r="J126678"/>
    </row>
    <row r="126679" spans="10:10" x14ac:dyDescent="0.3">
      <c r="J126679"/>
    </row>
    <row r="126680" spans="10:10" x14ac:dyDescent="0.3">
      <c r="J126680"/>
    </row>
    <row r="126681" spans="10:10" x14ac:dyDescent="0.3">
      <c r="J126681"/>
    </row>
    <row r="126682" spans="10:10" x14ac:dyDescent="0.3">
      <c r="J126682"/>
    </row>
    <row r="126683" spans="10:10" x14ac:dyDescent="0.3">
      <c r="J126683"/>
    </row>
    <row r="126684" spans="10:10" x14ac:dyDescent="0.3">
      <c r="J126684"/>
    </row>
    <row r="126685" spans="10:10" x14ac:dyDescent="0.3">
      <c r="J126685"/>
    </row>
    <row r="126686" spans="10:10" x14ac:dyDescent="0.3">
      <c r="J126686"/>
    </row>
    <row r="126687" spans="10:10" x14ac:dyDescent="0.3">
      <c r="J126687"/>
    </row>
    <row r="126688" spans="10:10" x14ac:dyDescent="0.3">
      <c r="J126688"/>
    </row>
    <row r="126689" spans="10:10" x14ac:dyDescent="0.3">
      <c r="J126689"/>
    </row>
    <row r="126690" spans="10:10" x14ac:dyDescent="0.3">
      <c r="J126690"/>
    </row>
    <row r="126691" spans="10:10" x14ac:dyDescent="0.3">
      <c r="J126691"/>
    </row>
    <row r="126692" spans="10:10" x14ac:dyDescent="0.3">
      <c r="J126692"/>
    </row>
    <row r="126693" spans="10:10" x14ac:dyDescent="0.3">
      <c r="J126693"/>
    </row>
    <row r="126694" spans="10:10" x14ac:dyDescent="0.3">
      <c r="J126694"/>
    </row>
    <row r="126695" spans="10:10" x14ac:dyDescent="0.3">
      <c r="J126695"/>
    </row>
    <row r="126696" spans="10:10" x14ac:dyDescent="0.3">
      <c r="J126696"/>
    </row>
    <row r="126697" spans="10:10" x14ac:dyDescent="0.3">
      <c r="J126697"/>
    </row>
    <row r="126698" spans="10:10" x14ac:dyDescent="0.3">
      <c r="J126698"/>
    </row>
    <row r="126699" spans="10:10" x14ac:dyDescent="0.3">
      <c r="J126699"/>
    </row>
    <row r="126700" spans="10:10" x14ac:dyDescent="0.3">
      <c r="J126700"/>
    </row>
    <row r="126701" spans="10:10" x14ac:dyDescent="0.3">
      <c r="J126701"/>
    </row>
    <row r="126702" spans="10:10" x14ac:dyDescent="0.3">
      <c r="J126702"/>
    </row>
    <row r="126703" spans="10:10" x14ac:dyDescent="0.3">
      <c r="J126703"/>
    </row>
    <row r="126704" spans="10:10" x14ac:dyDescent="0.3">
      <c r="J126704"/>
    </row>
    <row r="126705" spans="10:10" x14ac:dyDescent="0.3">
      <c r="J126705"/>
    </row>
    <row r="126706" spans="10:10" x14ac:dyDescent="0.3">
      <c r="J126706"/>
    </row>
    <row r="126707" spans="10:10" x14ac:dyDescent="0.3">
      <c r="J126707"/>
    </row>
    <row r="126708" spans="10:10" x14ac:dyDescent="0.3">
      <c r="J126708"/>
    </row>
    <row r="126709" spans="10:10" x14ac:dyDescent="0.3">
      <c r="J126709"/>
    </row>
    <row r="126710" spans="10:10" x14ac:dyDescent="0.3">
      <c r="J126710"/>
    </row>
    <row r="126711" spans="10:10" x14ac:dyDescent="0.3">
      <c r="J126711"/>
    </row>
    <row r="126712" spans="10:10" x14ac:dyDescent="0.3">
      <c r="J126712"/>
    </row>
    <row r="126713" spans="10:10" x14ac:dyDescent="0.3">
      <c r="J126713"/>
    </row>
    <row r="126714" spans="10:10" x14ac:dyDescent="0.3">
      <c r="J126714"/>
    </row>
    <row r="126715" spans="10:10" x14ac:dyDescent="0.3">
      <c r="J126715"/>
    </row>
    <row r="126716" spans="10:10" x14ac:dyDescent="0.3">
      <c r="J126716"/>
    </row>
    <row r="126717" spans="10:10" x14ac:dyDescent="0.3">
      <c r="J126717"/>
    </row>
    <row r="126718" spans="10:10" x14ac:dyDescent="0.3">
      <c r="J126718"/>
    </row>
    <row r="126719" spans="10:10" x14ac:dyDescent="0.3">
      <c r="J126719"/>
    </row>
    <row r="126720" spans="10:10" x14ac:dyDescent="0.3">
      <c r="J126720"/>
    </row>
    <row r="126721" spans="10:10" x14ac:dyDescent="0.3">
      <c r="J126721"/>
    </row>
    <row r="126722" spans="10:10" x14ac:dyDescent="0.3">
      <c r="J126722"/>
    </row>
    <row r="126723" spans="10:10" x14ac:dyDescent="0.3">
      <c r="J126723"/>
    </row>
    <row r="126724" spans="10:10" x14ac:dyDescent="0.3">
      <c r="J126724"/>
    </row>
    <row r="126725" spans="10:10" x14ac:dyDescent="0.3">
      <c r="J126725"/>
    </row>
    <row r="126726" spans="10:10" x14ac:dyDescent="0.3">
      <c r="J126726"/>
    </row>
    <row r="126727" spans="10:10" x14ac:dyDescent="0.3">
      <c r="J126727"/>
    </row>
    <row r="126728" spans="10:10" x14ac:dyDescent="0.3">
      <c r="J126728"/>
    </row>
    <row r="126729" spans="10:10" x14ac:dyDescent="0.3">
      <c r="J126729"/>
    </row>
    <row r="126730" spans="10:10" x14ac:dyDescent="0.3">
      <c r="J126730"/>
    </row>
    <row r="126731" spans="10:10" x14ac:dyDescent="0.3">
      <c r="J126731"/>
    </row>
    <row r="126732" spans="10:10" x14ac:dyDescent="0.3">
      <c r="J126732"/>
    </row>
    <row r="126733" spans="10:10" x14ac:dyDescent="0.3">
      <c r="J126733"/>
    </row>
    <row r="126734" spans="10:10" x14ac:dyDescent="0.3">
      <c r="J126734"/>
    </row>
    <row r="126735" spans="10:10" x14ac:dyDescent="0.3">
      <c r="J126735"/>
    </row>
    <row r="126736" spans="10:10" x14ac:dyDescent="0.3">
      <c r="J126736"/>
    </row>
    <row r="126737" spans="10:10" x14ac:dyDescent="0.3">
      <c r="J126737"/>
    </row>
    <row r="126738" spans="10:10" x14ac:dyDescent="0.3">
      <c r="J126738"/>
    </row>
    <row r="126739" spans="10:10" x14ac:dyDescent="0.3">
      <c r="J126739"/>
    </row>
    <row r="126740" spans="10:10" x14ac:dyDescent="0.3">
      <c r="J126740"/>
    </row>
    <row r="126741" spans="10:10" x14ac:dyDescent="0.3">
      <c r="J126741"/>
    </row>
    <row r="126742" spans="10:10" x14ac:dyDescent="0.3">
      <c r="J126742"/>
    </row>
    <row r="126743" spans="10:10" x14ac:dyDescent="0.3">
      <c r="J126743"/>
    </row>
    <row r="126744" spans="10:10" x14ac:dyDescent="0.3">
      <c r="J126744"/>
    </row>
    <row r="126745" spans="10:10" x14ac:dyDescent="0.3">
      <c r="J126745"/>
    </row>
    <row r="126746" spans="10:10" x14ac:dyDescent="0.3">
      <c r="J126746"/>
    </row>
    <row r="126747" spans="10:10" x14ac:dyDescent="0.3">
      <c r="J126747"/>
    </row>
    <row r="126748" spans="10:10" x14ac:dyDescent="0.3">
      <c r="J126748"/>
    </row>
    <row r="126749" spans="10:10" x14ac:dyDescent="0.3">
      <c r="J126749"/>
    </row>
    <row r="126750" spans="10:10" x14ac:dyDescent="0.3">
      <c r="J126750"/>
    </row>
    <row r="126751" spans="10:10" x14ac:dyDescent="0.3">
      <c r="J126751"/>
    </row>
    <row r="126752" spans="10:10" x14ac:dyDescent="0.3">
      <c r="J126752"/>
    </row>
    <row r="126753" spans="10:10" x14ac:dyDescent="0.3">
      <c r="J126753"/>
    </row>
    <row r="126754" spans="10:10" x14ac:dyDescent="0.3">
      <c r="J126754"/>
    </row>
    <row r="126755" spans="10:10" x14ac:dyDescent="0.3">
      <c r="J126755"/>
    </row>
    <row r="126756" spans="10:10" x14ac:dyDescent="0.3">
      <c r="J126756"/>
    </row>
    <row r="126757" spans="10:10" x14ac:dyDescent="0.3">
      <c r="J126757"/>
    </row>
    <row r="126758" spans="10:10" x14ac:dyDescent="0.3">
      <c r="J126758"/>
    </row>
    <row r="126759" spans="10:10" x14ac:dyDescent="0.3">
      <c r="J126759"/>
    </row>
    <row r="126760" spans="10:10" x14ac:dyDescent="0.3">
      <c r="J126760"/>
    </row>
    <row r="126761" spans="10:10" x14ac:dyDescent="0.3">
      <c r="J126761"/>
    </row>
    <row r="126762" spans="10:10" x14ac:dyDescent="0.3">
      <c r="J126762"/>
    </row>
    <row r="126763" spans="10:10" x14ac:dyDescent="0.3">
      <c r="J126763"/>
    </row>
    <row r="126764" spans="10:10" x14ac:dyDescent="0.3">
      <c r="J126764"/>
    </row>
    <row r="126765" spans="10:10" x14ac:dyDescent="0.3">
      <c r="J126765"/>
    </row>
    <row r="126766" spans="10:10" x14ac:dyDescent="0.3">
      <c r="J126766"/>
    </row>
    <row r="126767" spans="10:10" x14ac:dyDescent="0.3">
      <c r="J126767"/>
    </row>
    <row r="126768" spans="10:10" x14ac:dyDescent="0.3">
      <c r="J126768"/>
    </row>
    <row r="126769" spans="10:10" x14ac:dyDescent="0.3">
      <c r="J126769"/>
    </row>
    <row r="126770" spans="10:10" x14ac:dyDescent="0.3">
      <c r="J126770"/>
    </row>
    <row r="126771" spans="10:10" x14ac:dyDescent="0.3">
      <c r="J126771"/>
    </row>
    <row r="126772" spans="10:10" x14ac:dyDescent="0.3">
      <c r="J126772"/>
    </row>
    <row r="126773" spans="10:10" x14ac:dyDescent="0.3">
      <c r="J126773"/>
    </row>
    <row r="126774" spans="10:10" x14ac:dyDescent="0.3">
      <c r="J126774"/>
    </row>
    <row r="126775" spans="10:10" x14ac:dyDescent="0.3">
      <c r="J126775"/>
    </row>
    <row r="126776" spans="10:10" x14ac:dyDescent="0.3">
      <c r="J126776"/>
    </row>
    <row r="126777" spans="10:10" x14ac:dyDescent="0.3">
      <c r="J126777"/>
    </row>
    <row r="126778" spans="10:10" x14ac:dyDescent="0.3">
      <c r="J126778"/>
    </row>
    <row r="126779" spans="10:10" x14ac:dyDescent="0.3">
      <c r="J126779"/>
    </row>
    <row r="126780" spans="10:10" x14ac:dyDescent="0.3">
      <c r="J126780"/>
    </row>
    <row r="126781" spans="10:10" x14ac:dyDescent="0.3">
      <c r="J126781"/>
    </row>
    <row r="126782" spans="10:10" x14ac:dyDescent="0.3">
      <c r="J126782"/>
    </row>
    <row r="126783" spans="10:10" x14ac:dyDescent="0.3">
      <c r="J126783"/>
    </row>
    <row r="126784" spans="10:10" x14ac:dyDescent="0.3">
      <c r="J126784"/>
    </row>
    <row r="126785" spans="10:10" x14ac:dyDescent="0.3">
      <c r="J126785"/>
    </row>
    <row r="126786" spans="10:10" x14ac:dyDescent="0.3">
      <c r="J126786"/>
    </row>
    <row r="126787" spans="10:10" x14ac:dyDescent="0.3">
      <c r="J126787"/>
    </row>
    <row r="126788" spans="10:10" x14ac:dyDescent="0.3">
      <c r="J126788"/>
    </row>
    <row r="126789" spans="10:10" x14ac:dyDescent="0.3">
      <c r="J126789"/>
    </row>
    <row r="126790" spans="10:10" x14ac:dyDescent="0.3">
      <c r="J126790"/>
    </row>
    <row r="126791" spans="10:10" x14ac:dyDescent="0.3">
      <c r="J126791"/>
    </row>
    <row r="126792" spans="10:10" x14ac:dyDescent="0.3">
      <c r="J126792"/>
    </row>
    <row r="126793" spans="10:10" x14ac:dyDescent="0.3">
      <c r="J126793"/>
    </row>
    <row r="126794" spans="10:10" x14ac:dyDescent="0.3">
      <c r="J126794"/>
    </row>
    <row r="126795" spans="10:10" x14ac:dyDescent="0.3">
      <c r="J126795"/>
    </row>
    <row r="126796" spans="10:10" x14ac:dyDescent="0.3">
      <c r="J126796"/>
    </row>
    <row r="126797" spans="10:10" x14ac:dyDescent="0.3">
      <c r="J126797"/>
    </row>
    <row r="126798" spans="10:10" x14ac:dyDescent="0.3">
      <c r="J126798"/>
    </row>
    <row r="126799" spans="10:10" x14ac:dyDescent="0.3">
      <c r="J126799"/>
    </row>
    <row r="126800" spans="10:10" x14ac:dyDescent="0.3">
      <c r="J126800"/>
    </row>
    <row r="126801" spans="10:10" x14ac:dyDescent="0.3">
      <c r="J126801"/>
    </row>
    <row r="126802" spans="10:10" x14ac:dyDescent="0.3">
      <c r="J126802"/>
    </row>
    <row r="126803" spans="10:10" x14ac:dyDescent="0.3">
      <c r="J126803"/>
    </row>
    <row r="126804" spans="10:10" x14ac:dyDescent="0.3">
      <c r="J126804"/>
    </row>
    <row r="126805" spans="10:10" x14ac:dyDescent="0.3">
      <c r="J126805"/>
    </row>
    <row r="126806" spans="10:10" x14ac:dyDescent="0.3">
      <c r="J126806"/>
    </row>
    <row r="126807" spans="10:10" x14ac:dyDescent="0.3">
      <c r="J126807"/>
    </row>
    <row r="126808" spans="10:10" x14ac:dyDescent="0.3">
      <c r="J126808"/>
    </row>
    <row r="126809" spans="10:10" x14ac:dyDescent="0.3">
      <c r="J126809"/>
    </row>
    <row r="126810" spans="10:10" x14ac:dyDescent="0.3">
      <c r="J126810"/>
    </row>
    <row r="126811" spans="10:10" x14ac:dyDescent="0.3">
      <c r="J126811"/>
    </row>
    <row r="126812" spans="10:10" x14ac:dyDescent="0.3">
      <c r="J126812"/>
    </row>
    <row r="126813" spans="10:10" x14ac:dyDescent="0.3">
      <c r="J126813"/>
    </row>
    <row r="126814" spans="10:10" x14ac:dyDescent="0.3">
      <c r="J126814"/>
    </row>
    <row r="126815" spans="10:10" x14ac:dyDescent="0.3">
      <c r="J126815"/>
    </row>
    <row r="126816" spans="10:10" x14ac:dyDescent="0.3">
      <c r="J126816"/>
    </row>
    <row r="126817" spans="10:10" x14ac:dyDescent="0.3">
      <c r="J126817"/>
    </row>
    <row r="126818" spans="10:10" x14ac:dyDescent="0.3">
      <c r="J126818"/>
    </row>
    <row r="126819" spans="10:10" x14ac:dyDescent="0.3">
      <c r="J126819"/>
    </row>
    <row r="126820" spans="10:10" x14ac:dyDescent="0.3">
      <c r="J126820"/>
    </row>
    <row r="126821" spans="10:10" x14ac:dyDescent="0.3">
      <c r="J126821"/>
    </row>
    <row r="126822" spans="10:10" x14ac:dyDescent="0.3">
      <c r="J126822"/>
    </row>
    <row r="126823" spans="10:10" x14ac:dyDescent="0.3">
      <c r="J126823"/>
    </row>
    <row r="126824" spans="10:10" x14ac:dyDescent="0.3">
      <c r="J126824"/>
    </row>
    <row r="126825" spans="10:10" x14ac:dyDescent="0.3">
      <c r="J126825"/>
    </row>
    <row r="126826" spans="10:10" x14ac:dyDescent="0.3">
      <c r="J126826"/>
    </row>
    <row r="126827" spans="10:10" x14ac:dyDescent="0.3">
      <c r="J126827"/>
    </row>
    <row r="126828" spans="10:10" x14ac:dyDescent="0.3">
      <c r="J126828"/>
    </row>
    <row r="126829" spans="10:10" x14ac:dyDescent="0.3">
      <c r="J126829"/>
    </row>
    <row r="126830" spans="10:10" x14ac:dyDescent="0.3">
      <c r="J126830"/>
    </row>
    <row r="126831" spans="10:10" x14ac:dyDescent="0.3">
      <c r="J126831"/>
    </row>
    <row r="126832" spans="10:10" x14ac:dyDescent="0.3">
      <c r="J126832"/>
    </row>
    <row r="126833" spans="10:10" x14ac:dyDescent="0.3">
      <c r="J126833"/>
    </row>
    <row r="126834" spans="10:10" x14ac:dyDescent="0.3">
      <c r="J126834"/>
    </row>
    <row r="126835" spans="10:10" x14ac:dyDescent="0.3">
      <c r="J126835"/>
    </row>
    <row r="126836" spans="10:10" x14ac:dyDescent="0.3">
      <c r="J126836"/>
    </row>
    <row r="126837" spans="10:10" x14ac:dyDescent="0.3">
      <c r="J126837"/>
    </row>
    <row r="126838" spans="10:10" x14ac:dyDescent="0.3">
      <c r="J126838"/>
    </row>
    <row r="126839" spans="10:10" x14ac:dyDescent="0.3">
      <c r="J126839"/>
    </row>
    <row r="126840" spans="10:10" x14ac:dyDescent="0.3">
      <c r="J126840"/>
    </row>
    <row r="126841" spans="10:10" x14ac:dyDescent="0.3">
      <c r="J126841"/>
    </row>
    <row r="126842" spans="10:10" x14ac:dyDescent="0.3">
      <c r="J126842"/>
    </row>
    <row r="126843" spans="10:10" x14ac:dyDescent="0.3">
      <c r="J126843"/>
    </row>
    <row r="126844" spans="10:10" x14ac:dyDescent="0.3">
      <c r="J126844"/>
    </row>
    <row r="126845" spans="10:10" x14ac:dyDescent="0.3">
      <c r="J126845"/>
    </row>
    <row r="126846" spans="10:10" x14ac:dyDescent="0.3">
      <c r="J126846"/>
    </row>
    <row r="126847" spans="10:10" x14ac:dyDescent="0.3">
      <c r="J126847"/>
    </row>
    <row r="126848" spans="10:10" x14ac:dyDescent="0.3">
      <c r="J126848"/>
    </row>
    <row r="126849" spans="10:10" x14ac:dyDescent="0.3">
      <c r="J126849"/>
    </row>
    <row r="126850" spans="10:10" x14ac:dyDescent="0.3">
      <c r="J126850"/>
    </row>
    <row r="126851" spans="10:10" x14ac:dyDescent="0.3">
      <c r="J126851"/>
    </row>
    <row r="126852" spans="10:10" x14ac:dyDescent="0.3">
      <c r="J126852"/>
    </row>
    <row r="126853" spans="10:10" x14ac:dyDescent="0.3">
      <c r="J126853"/>
    </row>
    <row r="126854" spans="10:10" x14ac:dyDescent="0.3">
      <c r="J126854"/>
    </row>
    <row r="126855" spans="10:10" x14ac:dyDescent="0.3">
      <c r="J126855"/>
    </row>
    <row r="126856" spans="10:10" x14ac:dyDescent="0.3">
      <c r="J126856"/>
    </row>
    <row r="126857" spans="10:10" x14ac:dyDescent="0.3">
      <c r="J126857"/>
    </row>
    <row r="126858" spans="10:10" x14ac:dyDescent="0.3">
      <c r="J126858"/>
    </row>
    <row r="126859" spans="10:10" x14ac:dyDescent="0.3">
      <c r="J126859"/>
    </row>
    <row r="126860" spans="10:10" x14ac:dyDescent="0.3">
      <c r="J126860"/>
    </row>
    <row r="126861" spans="10:10" x14ac:dyDescent="0.3">
      <c r="J126861"/>
    </row>
    <row r="126862" spans="10:10" x14ac:dyDescent="0.3">
      <c r="J126862"/>
    </row>
    <row r="126863" spans="10:10" x14ac:dyDescent="0.3">
      <c r="J126863"/>
    </row>
    <row r="126864" spans="10:10" x14ac:dyDescent="0.3">
      <c r="J126864"/>
    </row>
    <row r="126865" spans="10:10" x14ac:dyDescent="0.3">
      <c r="J126865"/>
    </row>
    <row r="126866" spans="10:10" x14ac:dyDescent="0.3">
      <c r="J126866"/>
    </row>
    <row r="126867" spans="10:10" x14ac:dyDescent="0.3">
      <c r="J126867"/>
    </row>
    <row r="126868" spans="10:10" x14ac:dyDescent="0.3">
      <c r="J126868"/>
    </row>
    <row r="126869" spans="10:10" x14ac:dyDescent="0.3">
      <c r="J126869"/>
    </row>
    <row r="126870" spans="10:10" x14ac:dyDescent="0.3">
      <c r="J126870"/>
    </row>
    <row r="126871" spans="10:10" x14ac:dyDescent="0.3">
      <c r="J126871"/>
    </row>
    <row r="126872" spans="10:10" x14ac:dyDescent="0.3">
      <c r="J126872"/>
    </row>
    <row r="126873" spans="10:10" x14ac:dyDescent="0.3">
      <c r="J126873"/>
    </row>
    <row r="126874" spans="10:10" x14ac:dyDescent="0.3">
      <c r="J126874"/>
    </row>
    <row r="126875" spans="10:10" x14ac:dyDescent="0.3">
      <c r="J126875"/>
    </row>
    <row r="126876" spans="10:10" x14ac:dyDescent="0.3">
      <c r="J126876"/>
    </row>
    <row r="126877" spans="10:10" x14ac:dyDescent="0.3">
      <c r="J126877"/>
    </row>
    <row r="126878" spans="10:10" x14ac:dyDescent="0.3">
      <c r="J126878"/>
    </row>
    <row r="126879" spans="10:10" x14ac:dyDescent="0.3">
      <c r="J126879"/>
    </row>
    <row r="126880" spans="10:10" x14ac:dyDescent="0.3">
      <c r="J126880"/>
    </row>
    <row r="126881" spans="10:10" x14ac:dyDescent="0.3">
      <c r="J126881"/>
    </row>
    <row r="126882" spans="10:10" x14ac:dyDescent="0.3">
      <c r="J126882"/>
    </row>
    <row r="126883" spans="10:10" x14ac:dyDescent="0.3">
      <c r="J126883"/>
    </row>
    <row r="126884" spans="10:10" x14ac:dyDescent="0.3">
      <c r="J126884"/>
    </row>
    <row r="126885" spans="10:10" x14ac:dyDescent="0.3">
      <c r="J126885"/>
    </row>
    <row r="126886" spans="10:10" x14ac:dyDescent="0.3">
      <c r="J126886"/>
    </row>
    <row r="126887" spans="10:10" x14ac:dyDescent="0.3">
      <c r="J126887"/>
    </row>
    <row r="126888" spans="10:10" x14ac:dyDescent="0.3">
      <c r="J126888"/>
    </row>
    <row r="126889" spans="10:10" x14ac:dyDescent="0.3">
      <c r="J126889"/>
    </row>
    <row r="126890" spans="10:10" x14ac:dyDescent="0.3">
      <c r="J126890"/>
    </row>
    <row r="126891" spans="10:10" x14ac:dyDescent="0.3">
      <c r="J126891"/>
    </row>
    <row r="126892" spans="10:10" x14ac:dyDescent="0.3">
      <c r="J126892"/>
    </row>
    <row r="126893" spans="10:10" x14ac:dyDescent="0.3">
      <c r="J126893"/>
    </row>
    <row r="126894" spans="10:10" x14ac:dyDescent="0.3">
      <c r="J126894"/>
    </row>
    <row r="126895" spans="10:10" x14ac:dyDescent="0.3">
      <c r="J126895"/>
    </row>
    <row r="126896" spans="10:10" x14ac:dyDescent="0.3">
      <c r="J126896"/>
    </row>
    <row r="126897" spans="10:10" x14ac:dyDescent="0.3">
      <c r="J126897"/>
    </row>
    <row r="126898" spans="10:10" x14ac:dyDescent="0.3">
      <c r="J126898"/>
    </row>
    <row r="126899" spans="10:10" x14ac:dyDescent="0.3">
      <c r="J126899"/>
    </row>
    <row r="126900" spans="10:10" x14ac:dyDescent="0.3">
      <c r="J126900"/>
    </row>
    <row r="126901" spans="10:10" x14ac:dyDescent="0.3">
      <c r="J126901"/>
    </row>
    <row r="126902" spans="10:10" x14ac:dyDescent="0.3">
      <c r="J126902"/>
    </row>
    <row r="126903" spans="10:10" x14ac:dyDescent="0.3">
      <c r="J126903"/>
    </row>
    <row r="126904" spans="10:10" x14ac:dyDescent="0.3">
      <c r="J126904"/>
    </row>
    <row r="126905" spans="10:10" x14ac:dyDescent="0.3">
      <c r="J126905"/>
    </row>
    <row r="126906" spans="10:10" x14ac:dyDescent="0.3">
      <c r="J126906"/>
    </row>
    <row r="126907" spans="10:10" x14ac:dyDescent="0.3">
      <c r="J126907"/>
    </row>
    <row r="126908" spans="10:10" x14ac:dyDescent="0.3">
      <c r="J126908"/>
    </row>
    <row r="126909" spans="10:10" x14ac:dyDescent="0.3">
      <c r="J126909"/>
    </row>
    <row r="126910" spans="10:10" x14ac:dyDescent="0.3">
      <c r="J126910"/>
    </row>
    <row r="126911" spans="10:10" x14ac:dyDescent="0.3">
      <c r="J126911"/>
    </row>
    <row r="126912" spans="10:10" x14ac:dyDescent="0.3">
      <c r="J126912"/>
    </row>
    <row r="126913" spans="10:10" x14ac:dyDescent="0.3">
      <c r="J126913"/>
    </row>
    <row r="126914" spans="10:10" x14ac:dyDescent="0.3">
      <c r="J126914"/>
    </row>
    <row r="126915" spans="10:10" x14ac:dyDescent="0.3">
      <c r="J126915"/>
    </row>
    <row r="126916" spans="10:10" x14ac:dyDescent="0.3">
      <c r="J126916"/>
    </row>
    <row r="126917" spans="10:10" x14ac:dyDescent="0.3">
      <c r="J126917"/>
    </row>
    <row r="126918" spans="10:10" x14ac:dyDescent="0.3">
      <c r="J126918"/>
    </row>
    <row r="126919" spans="10:10" x14ac:dyDescent="0.3">
      <c r="J126919"/>
    </row>
    <row r="126920" spans="10:10" x14ac:dyDescent="0.3">
      <c r="J126920"/>
    </row>
    <row r="126921" spans="10:10" x14ac:dyDescent="0.3">
      <c r="J126921"/>
    </row>
    <row r="126922" spans="10:10" x14ac:dyDescent="0.3">
      <c r="J126922"/>
    </row>
    <row r="126923" spans="10:10" x14ac:dyDescent="0.3">
      <c r="J126923"/>
    </row>
    <row r="126924" spans="10:10" x14ac:dyDescent="0.3">
      <c r="J126924"/>
    </row>
    <row r="126925" spans="10:10" x14ac:dyDescent="0.3">
      <c r="J126925"/>
    </row>
    <row r="126926" spans="10:10" x14ac:dyDescent="0.3">
      <c r="J126926"/>
    </row>
    <row r="126927" spans="10:10" x14ac:dyDescent="0.3">
      <c r="J126927"/>
    </row>
    <row r="126928" spans="10:10" x14ac:dyDescent="0.3">
      <c r="J126928"/>
    </row>
    <row r="126929" spans="10:10" x14ac:dyDescent="0.3">
      <c r="J126929"/>
    </row>
    <row r="126930" spans="10:10" x14ac:dyDescent="0.3">
      <c r="J126930"/>
    </row>
    <row r="126931" spans="10:10" x14ac:dyDescent="0.3">
      <c r="J126931"/>
    </row>
    <row r="126932" spans="10:10" x14ac:dyDescent="0.3">
      <c r="J126932"/>
    </row>
    <row r="126933" spans="10:10" x14ac:dyDescent="0.3">
      <c r="J126933"/>
    </row>
    <row r="126934" spans="10:10" x14ac:dyDescent="0.3">
      <c r="J126934"/>
    </row>
    <row r="126935" spans="10:10" x14ac:dyDescent="0.3">
      <c r="J126935"/>
    </row>
    <row r="126936" spans="10:10" x14ac:dyDescent="0.3">
      <c r="J126936"/>
    </row>
    <row r="126937" spans="10:10" x14ac:dyDescent="0.3">
      <c r="J126937"/>
    </row>
    <row r="126938" spans="10:10" x14ac:dyDescent="0.3">
      <c r="J126938"/>
    </row>
    <row r="126939" spans="10:10" x14ac:dyDescent="0.3">
      <c r="J126939"/>
    </row>
    <row r="126940" spans="10:10" x14ac:dyDescent="0.3">
      <c r="J126940"/>
    </row>
    <row r="126941" spans="10:10" x14ac:dyDescent="0.3">
      <c r="J126941"/>
    </row>
    <row r="126942" spans="10:10" x14ac:dyDescent="0.3">
      <c r="J126942"/>
    </row>
    <row r="126943" spans="10:10" x14ac:dyDescent="0.3">
      <c r="J126943"/>
    </row>
    <row r="126944" spans="10:10" x14ac:dyDescent="0.3">
      <c r="J126944"/>
    </row>
    <row r="126945" spans="10:10" x14ac:dyDescent="0.3">
      <c r="J126945"/>
    </row>
    <row r="126946" spans="10:10" x14ac:dyDescent="0.3">
      <c r="J126946"/>
    </row>
    <row r="126947" spans="10:10" x14ac:dyDescent="0.3">
      <c r="J126947"/>
    </row>
    <row r="126948" spans="10:10" x14ac:dyDescent="0.3">
      <c r="J126948"/>
    </row>
    <row r="126949" spans="10:10" x14ac:dyDescent="0.3">
      <c r="J126949"/>
    </row>
    <row r="126950" spans="10:10" x14ac:dyDescent="0.3">
      <c r="J126950"/>
    </row>
    <row r="126951" spans="10:10" x14ac:dyDescent="0.3">
      <c r="J126951"/>
    </row>
    <row r="126952" spans="10:10" x14ac:dyDescent="0.3">
      <c r="J126952"/>
    </row>
    <row r="126953" spans="10:10" x14ac:dyDescent="0.3">
      <c r="J126953"/>
    </row>
    <row r="126954" spans="10:10" x14ac:dyDescent="0.3">
      <c r="J126954"/>
    </row>
    <row r="126955" spans="10:10" x14ac:dyDescent="0.3">
      <c r="J126955"/>
    </row>
    <row r="126956" spans="10:10" x14ac:dyDescent="0.3">
      <c r="J126956"/>
    </row>
    <row r="126957" spans="10:10" x14ac:dyDescent="0.3">
      <c r="J126957"/>
    </row>
    <row r="126958" spans="10:10" x14ac:dyDescent="0.3">
      <c r="J126958"/>
    </row>
    <row r="126959" spans="10:10" x14ac:dyDescent="0.3">
      <c r="J126959"/>
    </row>
    <row r="126960" spans="10:10" x14ac:dyDescent="0.3">
      <c r="J126960"/>
    </row>
    <row r="126961" spans="10:10" x14ac:dyDescent="0.3">
      <c r="J126961"/>
    </row>
    <row r="126962" spans="10:10" x14ac:dyDescent="0.3">
      <c r="J126962"/>
    </row>
    <row r="126963" spans="10:10" x14ac:dyDescent="0.3">
      <c r="J126963"/>
    </row>
    <row r="126964" spans="10:10" x14ac:dyDescent="0.3">
      <c r="J126964"/>
    </row>
    <row r="126965" spans="10:10" x14ac:dyDescent="0.3">
      <c r="J126965"/>
    </row>
    <row r="126966" spans="10:10" x14ac:dyDescent="0.3">
      <c r="J126966"/>
    </row>
    <row r="126967" spans="10:10" x14ac:dyDescent="0.3">
      <c r="J126967"/>
    </row>
    <row r="126968" spans="10:10" x14ac:dyDescent="0.3">
      <c r="J126968"/>
    </row>
    <row r="126969" spans="10:10" x14ac:dyDescent="0.3">
      <c r="J126969"/>
    </row>
    <row r="126970" spans="10:10" x14ac:dyDescent="0.3">
      <c r="J126970"/>
    </row>
    <row r="126971" spans="10:10" x14ac:dyDescent="0.3">
      <c r="J126971"/>
    </row>
    <row r="126972" spans="10:10" x14ac:dyDescent="0.3">
      <c r="J126972"/>
    </row>
    <row r="126973" spans="10:10" x14ac:dyDescent="0.3">
      <c r="J126973"/>
    </row>
    <row r="126974" spans="10:10" x14ac:dyDescent="0.3">
      <c r="J126974"/>
    </row>
    <row r="126975" spans="10:10" x14ac:dyDescent="0.3">
      <c r="J126975"/>
    </row>
    <row r="126976" spans="10:10" x14ac:dyDescent="0.3">
      <c r="J126976"/>
    </row>
    <row r="126977" spans="10:10" x14ac:dyDescent="0.3">
      <c r="J126977"/>
    </row>
    <row r="126978" spans="10:10" x14ac:dyDescent="0.3">
      <c r="J126978"/>
    </row>
    <row r="126979" spans="10:10" x14ac:dyDescent="0.3">
      <c r="J126979"/>
    </row>
    <row r="126980" spans="10:10" x14ac:dyDescent="0.3">
      <c r="J126980"/>
    </row>
    <row r="126981" spans="10:10" x14ac:dyDescent="0.3">
      <c r="J126981"/>
    </row>
    <row r="126982" spans="10:10" x14ac:dyDescent="0.3">
      <c r="J126982"/>
    </row>
    <row r="126983" spans="10:10" x14ac:dyDescent="0.3">
      <c r="J126983"/>
    </row>
    <row r="126984" spans="10:10" x14ac:dyDescent="0.3">
      <c r="J126984"/>
    </row>
    <row r="126985" spans="10:10" x14ac:dyDescent="0.3">
      <c r="J126985"/>
    </row>
    <row r="126986" spans="10:10" x14ac:dyDescent="0.3">
      <c r="J126986"/>
    </row>
    <row r="126987" spans="10:10" x14ac:dyDescent="0.3">
      <c r="J126987"/>
    </row>
    <row r="126988" spans="10:10" x14ac:dyDescent="0.3">
      <c r="J126988"/>
    </row>
    <row r="126989" spans="10:10" x14ac:dyDescent="0.3">
      <c r="J126989"/>
    </row>
    <row r="126990" spans="10:10" x14ac:dyDescent="0.3">
      <c r="J126990"/>
    </row>
    <row r="126991" spans="10:10" x14ac:dyDescent="0.3">
      <c r="J126991"/>
    </row>
    <row r="126992" spans="10:10" x14ac:dyDescent="0.3">
      <c r="J126992"/>
    </row>
    <row r="126993" spans="10:10" x14ac:dyDescent="0.3">
      <c r="J126993"/>
    </row>
    <row r="126994" spans="10:10" x14ac:dyDescent="0.3">
      <c r="J126994"/>
    </row>
    <row r="126995" spans="10:10" x14ac:dyDescent="0.3">
      <c r="J126995"/>
    </row>
    <row r="126996" spans="10:10" x14ac:dyDescent="0.3">
      <c r="J126996"/>
    </row>
    <row r="126997" spans="10:10" x14ac:dyDescent="0.3">
      <c r="J126997"/>
    </row>
    <row r="126998" spans="10:10" x14ac:dyDescent="0.3">
      <c r="J126998"/>
    </row>
    <row r="126999" spans="10:10" x14ac:dyDescent="0.3">
      <c r="J126999"/>
    </row>
    <row r="127000" spans="10:10" x14ac:dyDescent="0.3">
      <c r="J127000"/>
    </row>
    <row r="127001" spans="10:10" x14ac:dyDescent="0.3">
      <c r="J127001"/>
    </row>
    <row r="127002" spans="10:10" x14ac:dyDescent="0.3">
      <c r="J127002"/>
    </row>
    <row r="127003" spans="10:10" x14ac:dyDescent="0.3">
      <c r="J127003"/>
    </row>
    <row r="127004" spans="10:10" x14ac:dyDescent="0.3">
      <c r="J127004"/>
    </row>
    <row r="127005" spans="10:10" x14ac:dyDescent="0.3">
      <c r="J127005"/>
    </row>
    <row r="127006" spans="10:10" x14ac:dyDescent="0.3">
      <c r="J127006"/>
    </row>
    <row r="127007" spans="10:10" x14ac:dyDescent="0.3">
      <c r="J127007"/>
    </row>
    <row r="127008" spans="10:10" x14ac:dyDescent="0.3">
      <c r="J127008"/>
    </row>
    <row r="127009" spans="10:10" x14ac:dyDescent="0.3">
      <c r="J127009"/>
    </row>
    <row r="127010" spans="10:10" x14ac:dyDescent="0.3">
      <c r="J127010"/>
    </row>
    <row r="127011" spans="10:10" x14ac:dyDescent="0.3">
      <c r="J127011"/>
    </row>
    <row r="127012" spans="10:10" x14ac:dyDescent="0.3">
      <c r="J127012"/>
    </row>
    <row r="127013" spans="10:10" x14ac:dyDescent="0.3">
      <c r="J127013"/>
    </row>
    <row r="127014" spans="10:10" x14ac:dyDescent="0.3">
      <c r="J127014"/>
    </row>
    <row r="127015" spans="10:10" x14ac:dyDescent="0.3">
      <c r="J127015"/>
    </row>
    <row r="127016" spans="10:10" x14ac:dyDescent="0.3">
      <c r="J127016"/>
    </row>
    <row r="127017" spans="10:10" x14ac:dyDescent="0.3">
      <c r="J127017"/>
    </row>
    <row r="127018" spans="10:10" x14ac:dyDescent="0.3">
      <c r="J127018"/>
    </row>
    <row r="127019" spans="10:10" x14ac:dyDescent="0.3">
      <c r="J127019"/>
    </row>
    <row r="127020" spans="10:10" x14ac:dyDescent="0.3">
      <c r="J127020"/>
    </row>
    <row r="127021" spans="10:10" x14ac:dyDescent="0.3">
      <c r="J127021"/>
    </row>
    <row r="127022" spans="10:10" x14ac:dyDescent="0.3">
      <c r="J127022"/>
    </row>
    <row r="127023" spans="10:10" x14ac:dyDescent="0.3">
      <c r="J127023"/>
    </row>
    <row r="127024" spans="10:10" x14ac:dyDescent="0.3">
      <c r="J127024"/>
    </row>
    <row r="127025" spans="10:10" x14ac:dyDescent="0.3">
      <c r="J127025"/>
    </row>
    <row r="127026" spans="10:10" x14ac:dyDescent="0.3">
      <c r="J127026"/>
    </row>
    <row r="127027" spans="10:10" x14ac:dyDescent="0.3">
      <c r="J127027"/>
    </row>
    <row r="127028" spans="10:10" x14ac:dyDescent="0.3">
      <c r="J127028"/>
    </row>
    <row r="127029" spans="10:10" x14ac:dyDescent="0.3">
      <c r="J127029"/>
    </row>
    <row r="127030" spans="10:10" x14ac:dyDescent="0.3">
      <c r="J127030"/>
    </row>
    <row r="127031" spans="10:10" x14ac:dyDescent="0.3">
      <c r="J127031"/>
    </row>
    <row r="127032" spans="10:10" x14ac:dyDescent="0.3">
      <c r="J127032"/>
    </row>
    <row r="127033" spans="10:10" x14ac:dyDescent="0.3">
      <c r="J127033"/>
    </row>
    <row r="127034" spans="10:10" x14ac:dyDescent="0.3">
      <c r="J127034"/>
    </row>
    <row r="127035" spans="10:10" x14ac:dyDescent="0.3">
      <c r="J127035"/>
    </row>
    <row r="127036" spans="10:10" x14ac:dyDescent="0.3">
      <c r="J127036"/>
    </row>
    <row r="127037" spans="10:10" x14ac:dyDescent="0.3">
      <c r="J127037"/>
    </row>
    <row r="127038" spans="10:10" x14ac:dyDescent="0.3">
      <c r="J127038"/>
    </row>
    <row r="127039" spans="10:10" x14ac:dyDescent="0.3">
      <c r="J127039"/>
    </row>
    <row r="127040" spans="10:10" x14ac:dyDescent="0.3">
      <c r="J127040"/>
    </row>
    <row r="127041" spans="10:10" x14ac:dyDescent="0.3">
      <c r="J127041"/>
    </row>
    <row r="127042" spans="10:10" x14ac:dyDescent="0.3">
      <c r="J127042"/>
    </row>
    <row r="127043" spans="10:10" x14ac:dyDescent="0.3">
      <c r="J127043"/>
    </row>
    <row r="127044" spans="10:10" x14ac:dyDescent="0.3">
      <c r="J127044"/>
    </row>
    <row r="127045" spans="10:10" x14ac:dyDescent="0.3">
      <c r="J127045"/>
    </row>
    <row r="127046" spans="10:10" x14ac:dyDescent="0.3">
      <c r="J127046"/>
    </row>
    <row r="127047" spans="10:10" x14ac:dyDescent="0.3">
      <c r="J127047"/>
    </row>
    <row r="127048" spans="10:10" x14ac:dyDescent="0.3">
      <c r="J127048"/>
    </row>
    <row r="127049" spans="10:10" x14ac:dyDescent="0.3">
      <c r="J127049"/>
    </row>
    <row r="127050" spans="10:10" x14ac:dyDescent="0.3">
      <c r="J127050"/>
    </row>
    <row r="127051" spans="10:10" x14ac:dyDescent="0.3">
      <c r="J127051"/>
    </row>
    <row r="127052" spans="10:10" x14ac:dyDescent="0.3">
      <c r="J127052"/>
    </row>
    <row r="127053" spans="10:10" x14ac:dyDescent="0.3">
      <c r="J127053"/>
    </row>
    <row r="127054" spans="10:10" x14ac:dyDescent="0.3">
      <c r="J127054"/>
    </row>
    <row r="127055" spans="10:10" x14ac:dyDescent="0.3">
      <c r="J127055"/>
    </row>
    <row r="127056" spans="10:10" x14ac:dyDescent="0.3">
      <c r="J127056"/>
    </row>
    <row r="127057" spans="10:10" x14ac:dyDescent="0.3">
      <c r="J127057"/>
    </row>
    <row r="127058" spans="10:10" x14ac:dyDescent="0.3">
      <c r="J127058"/>
    </row>
    <row r="127059" spans="10:10" x14ac:dyDescent="0.3">
      <c r="J127059"/>
    </row>
    <row r="127060" spans="10:10" x14ac:dyDescent="0.3">
      <c r="J127060"/>
    </row>
    <row r="127061" spans="10:10" x14ac:dyDescent="0.3">
      <c r="J127061"/>
    </row>
    <row r="127062" spans="10:10" x14ac:dyDescent="0.3">
      <c r="J127062"/>
    </row>
    <row r="127063" spans="10:10" x14ac:dyDescent="0.3">
      <c r="J127063"/>
    </row>
    <row r="127064" spans="10:10" x14ac:dyDescent="0.3">
      <c r="J127064"/>
    </row>
    <row r="127065" spans="10:10" x14ac:dyDescent="0.3">
      <c r="J127065"/>
    </row>
    <row r="127066" spans="10:10" x14ac:dyDescent="0.3">
      <c r="J127066"/>
    </row>
    <row r="127067" spans="10:10" x14ac:dyDescent="0.3">
      <c r="J127067"/>
    </row>
    <row r="127068" spans="10:10" x14ac:dyDescent="0.3">
      <c r="J127068"/>
    </row>
    <row r="127069" spans="10:10" x14ac:dyDescent="0.3">
      <c r="J127069"/>
    </row>
    <row r="127070" spans="10:10" x14ac:dyDescent="0.3">
      <c r="J127070"/>
    </row>
    <row r="127071" spans="10:10" x14ac:dyDescent="0.3">
      <c r="J127071"/>
    </row>
    <row r="127072" spans="10:10" x14ac:dyDescent="0.3">
      <c r="J127072"/>
    </row>
    <row r="127073" spans="10:10" x14ac:dyDescent="0.3">
      <c r="J127073"/>
    </row>
    <row r="127074" spans="10:10" x14ac:dyDescent="0.3">
      <c r="J127074"/>
    </row>
    <row r="127075" spans="10:10" x14ac:dyDescent="0.3">
      <c r="J127075"/>
    </row>
    <row r="127076" spans="10:10" x14ac:dyDescent="0.3">
      <c r="J127076"/>
    </row>
    <row r="127077" spans="10:10" x14ac:dyDescent="0.3">
      <c r="J127077"/>
    </row>
    <row r="127078" spans="10:10" x14ac:dyDescent="0.3">
      <c r="J127078"/>
    </row>
    <row r="127079" spans="10:10" x14ac:dyDescent="0.3">
      <c r="J127079"/>
    </row>
    <row r="127080" spans="10:10" x14ac:dyDescent="0.3">
      <c r="J127080"/>
    </row>
    <row r="127081" spans="10:10" x14ac:dyDescent="0.3">
      <c r="J127081"/>
    </row>
    <row r="127082" spans="10:10" x14ac:dyDescent="0.3">
      <c r="J127082"/>
    </row>
    <row r="127083" spans="10:10" x14ac:dyDescent="0.3">
      <c r="J127083"/>
    </row>
    <row r="127084" spans="10:10" x14ac:dyDescent="0.3">
      <c r="J127084"/>
    </row>
    <row r="127085" spans="10:10" x14ac:dyDescent="0.3">
      <c r="J127085"/>
    </row>
    <row r="127086" spans="10:10" x14ac:dyDescent="0.3">
      <c r="J127086"/>
    </row>
    <row r="127087" spans="10:10" x14ac:dyDescent="0.3">
      <c r="J127087"/>
    </row>
    <row r="127088" spans="10:10" x14ac:dyDescent="0.3">
      <c r="J127088"/>
    </row>
    <row r="127089" spans="10:10" x14ac:dyDescent="0.3">
      <c r="J127089"/>
    </row>
    <row r="127090" spans="10:10" x14ac:dyDescent="0.3">
      <c r="J127090"/>
    </row>
    <row r="127091" spans="10:10" x14ac:dyDescent="0.3">
      <c r="J127091"/>
    </row>
    <row r="127092" spans="10:10" x14ac:dyDescent="0.3">
      <c r="J127092"/>
    </row>
    <row r="127093" spans="10:10" x14ac:dyDescent="0.3">
      <c r="J127093"/>
    </row>
    <row r="127094" spans="10:10" x14ac:dyDescent="0.3">
      <c r="J127094"/>
    </row>
    <row r="127095" spans="10:10" x14ac:dyDescent="0.3">
      <c r="J127095"/>
    </row>
    <row r="127096" spans="10:10" x14ac:dyDescent="0.3">
      <c r="J127096"/>
    </row>
    <row r="127097" spans="10:10" x14ac:dyDescent="0.3">
      <c r="J127097"/>
    </row>
    <row r="127098" spans="10:10" x14ac:dyDescent="0.3">
      <c r="J127098"/>
    </row>
    <row r="127099" spans="10:10" x14ac:dyDescent="0.3">
      <c r="J127099"/>
    </row>
    <row r="127100" spans="10:10" x14ac:dyDescent="0.3">
      <c r="J127100"/>
    </row>
    <row r="127101" spans="10:10" x14ac:dyDescent="0.3">
      <c r="J127101"/>
    </row>
    <row r="127102" spans="10:10" x14ac:dyDescent="0.3">
      <c r="J127102"/>
    </row>
    <row r="127103" spans="10:10" x14ac:dyDescent="0.3">
      <c r="J127103"/>
    </row>
    <row r="127104" spans="10:10" x14ac:dyDescent="0.3">
      <c r="J127104"/>
    </row>
    <row r="127105" spans="10:10" x14ac:dyDescent="0.3">
      <c r="J127105"/>
    </row>
    <row r="127106" spans="10:10" x14ac:dyDescent="0.3">
      <c r="J127106"/>
    </row>
    <row r="127107" spans="10:10" x14ac:dyDescent="0.3">
      <c r="J127107"/>
    </row>
    <row r="127108" spans="10:10" x14ac:dyDescent="0.3">
      <c r="J127108"/>
    </row>
    <row r="127109" spans="10:10" x14ac:dyDescent="0.3">
      <c r="J127109"/>
    </row>
    <row r="127110" spans="10:10" x14ac:dyDescent="0.3">
      <c r="J127110"/>
    </row>
    <row r="127111" spans="10:10" x14ac:dyDescent="0.3">
      <c r="J127111"/>
    </row>
    <row r="127112" spans="10:10" x14ac:dyDescent="0.3">
      <c r="J127112"/>
    </row>
    <row r="127113" spans="10:10" x14ac:dyDescent="0.3">
      <c r="J127113"/>
    </row>
    <row r="127114" spans="10:10" x14ac:dyDescent="0.3">
      <c r="J127114"/>
    </row>
    <row r="127115" spans="10:10" x14ac:dyDescent="0.3">
      <c r="J127115"/>
    </row>
    <row r="127116" spans="10:10" x14ac:dyDescent="0.3">
      <c r="J127116"/>
    </row>
    <row r="127117" spans="10:10" x14ac:dyDescent="0.3">
      <c r="J127117"/>
    </row>
    <row r="127118" spans="10:10" x14ac:dyDescent="0.3">
      <c r="J127118"/>
    </row>
    <row r="127119" spans="10:10" x14ac:dyDescent="0.3">
      <c r="J127119"/>
    </row>
    <row r="127120" spans="10:10" x14ac:dyDescent="0.3">
      <c r="J127120"/>
    </row>
    <row r="127121" spans="10:10" x14ac:dyDescent="0.3">
      <c r="J127121"/>
    </row>
    <row r="127122" spans="10:10" x14ac:dyDescent="0.3">
      <c r="J127122"/>
    </row>
    <row r="127123" spans="10:10" x14ac:dyDescent="0.3">
      <c r="J127123"/>
    </row>
    <row r="127124" spans="10:10" x14ac:dyDescent="0.3">
      <c r="J127124"/>
    </row>
    <row r="127125" spans="10:10" x14ac:dyDescent="0.3">
      <c r="J127125"/>
    </row>
    <row r="127126" spans="10:10" x14ac:dyDescent="0.3">
      <c r="J127126"/>
    </row>
    <row r="127127" spans="10:10" x14ac:dyDescent="0.3">
      <c r="J127127"/>
    </row>
    <row r="127128" spans="10:10" x14ac:dyDescent="0.3">
      <c r="J127128"/>
    </row>
    <row r="127129" spans="10:10" x14ac:dyDescent="0.3">
      <c r="J127129"/>
    </row>
    <row r="127130" spans="10:10" x14ac:dyDescent="0.3">
      <c r="J127130"/>
    </row>
    <row r="127131" spans="10:10" x14ac:dyDescent="0.3">
      <c r="J127131"/>
    </row>
    <row r="127132" spans="10:10" x14ac:dyDescent="0.3">
      <c r="J127132"/>
    </row>
    <row r="127133" spans="10:10" x14ac:dyDescent="0.3">
      <c r="J127133"/>
    </row>
    <row r="127134" spans="10:10" x14ac:dyDescent="0.3">
      <c r="J127134"/>
    </row>
    <row r="127135" spans="10:10" x14ac:dyDescent="0.3">
      <c r="J127135"/>
    </row>
    <row r="127136" spans="10:10" x14ac:dyDescent="0.3">
      <c r="J127136"/>
    </row>
    <row r="127137" spans="10:10" x14ac:dyDescent="0.3">
      <c r="J127137"/>
    </row>
    <row r="127138" spans="10:10" x14ac:dyDescent="0.3">
      <c r="J127138"/>
    </row>
    <row r="127139" spans="10:10" x14ac:dyDescent="0.3">
      <c r="J127139"/>
    </row>
    <row r="127140" spans="10:10" x14ac:dyDescent="0.3">
      <c r="J127140"/>
    </row>
    <row r="127141" spans="10:10" x14ac:dyDescent="0.3">
      <c r="J127141"/>
    </row>
    <row r="127142" spans="10:10" x14ac:dyDescent="0.3">
      <c r="J127142"/>
    </row>
    <row r="127143" spans="10:10" x14ac:dyDescent="0.3">
      <c r="J127143"/>
    </row>
    <row r="127144" spans="10:10" x14ac:dyDescent="0.3">
      <c r="J127144"/>
    </row>
    <row r="127145" spans="10:10" x14ac:dyDescent="0.3">
      <c r="J127145"/>
    </row>
    <row r="127146" spans="10:10" x14ac:dyDescent="0.3">
      <c r="J127146"/>
    </row>
    <row r="127147" spans="10:10" x14ac:dyDescent="0.3">
      <c r="J127147"/>
    </row>
    <row r="127148" spans="10:10" x14ac:dyDescent="0.3">
      <c r="J127148"/>
    </row>
    <row r="127149" spans="10:10" x14ac:dyDescent="0.3">
      <c r="J127149"/>
    </row>
    <row r="127150" spans="10:10" x14ac:dyDescent="0.3">
      <c r="J127150"/>
    </row>
    <row r="127151" spans="10:10" x14ac:dyDescent="0.3">
      <c r="J127151"/>
    </row>
    <row r="127152" spans="10:10" x14ac:dyDescent="0.3">
      <c r="J127152"/>
    </row>
    <row r="127153" spans="10:10" x14ac:dyDescent="0.3">
      <c r="J127153"/>
    </row>
    <row r="127154" spans="10:10" x14ac:dyDescent="0.3">
      <c r="J127154"/>
    </row>
    <row r="127155" spans="10:10" x14ac:dyDescent="0.3">
      <c r="J127155"/>
    </row>
    <row r="127156" spans="10:10" x14ac:dyDescent="0.3">
      <c r="J127156"/>
    </row>
    <row r="127157" spans="10:10" x14ac:dyDescent="0.3">
      <c r="J127157"/>
    </row>
    <row r="127158" spans="10:10" x14ac:dyDescent="0.3">
      <c r="J127158"/>
    </row>
    <row r="127159" spans="10:10" x14ac:dyDescent="0.3">
      <c r="J127159"/>
    </row>
    <row r="127160" spans="10:10" x14ac:dyDescent="0.3">
      <c r="J127160"/>
    </row>
    <row r="127161" spans="10:10" x14ac:dyDescent="0.3">
      <c r="J127161"/>
    </row>
    <row r="127162" spans="10:10" x14ac:dyDescent="0.3">
      <c r="J127162"/>
    </row>
    <row r="127163" spans="10:10" x14ac:dyDescent="0.3">
      <c r="J127163"/>
    </row>
    <row r="127164" spans="10:10" x14ac:dyDescent="0.3">
      <c r="J127164"/>
    </row>
    <row r="127165" spans="10:10" x14ac:dyDescent="0.3">
      <c r="J127165"/>
    </row>
    <row r="127166" spans="10:10" x14ac:dyDescent="0.3">
      <c r="J127166"/>
    </row>
    <row r="127167" spans="10:10" x14ac:dyDescent="0.3">
      <c r="J127167"/>
    </row>
    <row r="127168" spans="10:10" x14ac:dyDescent="0.3">
      <c r="J127168"/>
    </row>
    <row r="127169" spans="10:10" x14ac:dyDescent="0.3">
      <c r="J127169"/>
    </row>
    <row r="127170" spans="10:10" x14ac:dyDescent="0.3">
      <c r="J127170"/>
    </row>
    <row r="127171" spans="10:10" x14ac:dyDescent="0.3">
      <c r="J127171"/>
    </row>
    <row r="127172" spans="10:10" x14ac:dyDescent="0.3">
      <c r="J127172"/>
    </row>
    <row r="127173" spans="10:10" x14ac:dyDescent="0.3">
      <c r="J127173"/>
    </row>
    <row r="127174" spans="10:10" x14ac:dyDescent="0.3">
      <c r="J127174"/>
    </row>
    <row r="127175" spans="10:10" x14ac:dyDescent="0.3">
      <c r="J127175"/>
    </row>
    <row r="127176" spans="10:10" x14ac:dyDescent="0.3">
      <c r="J127176"/>
    </row>
    <row r="127177" spans="10:10" x14ac:dyDescent="0.3">
      <c r="J127177"/>
    </row>
    <row r="127178" spans="10:10" x14ac:dyDescent="0.3">
      <c r="J127178"/>
    </row>
    <row r="127179" spans="10:10" x14ac:dyDescent="0.3">
      <c r="J127179"/>
    </row>
    <row r="127180" spans="10:10" x14ac:dyDescent="0.3">
      <c r="J127180"/>
    </row>
    <row r="127181" spans="10:10" x14ac:dyDescent="0.3">
      <c r="J127181"/>
    </row>
    <row r="127182" spans="10:10" x14ac:dyDescent="0.3">
      <c r="J127182"/>
    </row>
    <row r="127183" spans="10:10" x14ac:dyDescent="0.3">
      <c r="J127183"/>
    </row>
    <row r="127184" spans="10:10" x14ac:dyDescent="0.3">
      <c r="J127184"/>
    </row>
    <row r="127185" spans="10:10" x14ac:dyDescent="0.3">
      <c r="J127185"/>
    </row>
    <row r="127186" spans="10:10" x14ac:dyDescent="0.3">
      <c r="J127186"/>
    </row>
    <row r="127187" spans="10:10" x14ac:dyDescent="0.3">
      <c r="J127187"/>
    </row>
    <row r="127188" spans="10:10" x14ac:dyDescent="0.3">
      <c r="J127188"/>
    </row>
    <row r="127189" spans="10:10" x14ac:dyDescent="0.3">
      <c r="J127189"/>
    </row>
    <row r="127190" spans="10:10" x14ac:dyDescent="0.3">
      <c r="J127190"/>
    </row>
    <row r="127191" spans="10:10" x14ac:dyDescent="0.3">
      <c r="J127191"/>
    </row>
    <row r="127192" spans="10:10" x14ac:dyDescent="0.3">
      <c r="J127192"/>
    </row>
    <row r="127193" spans="10:10" x14ac:dyDescent="0.3">
      <c r="J127193"/>
    </row>
    <row r="127194" spans="10:10" x14ac:dyDescent="0.3">
      <c r="J127194"/>
    </row>
    <row r="127195" spans="10:10" x14ac:dyDescent="0.3">
      <c r="J127195"/>
    </row>
    <row r="127196" spans="10:10" x14ac:dyDescent="0.3">
      <c r="J127196"/>
    </row>
    <row r="127197" spans="10:10" x14ac:dyDescent="0.3">
      <c r="J127197"/>
    </row>
    <row r="127198" spans="10:10" x14ac:dyDescent="0.3">
      <c r="J127198"/>
    </row>
    <row r="127199" spans="10:10" x14ac:dyDescent="0.3">
      <c r="J127199"/>
    </row>
    <row r="127200" spans="10:10" x14ac:dyDescent="0.3">
      <c r="J127200"/>
    </row>
    <row r="127201" spans="10:10" x14ac:dyDescent="0.3">
      <c r="J127201"/>
    </row>
    <row r="127202" spans="10:10" x14ac:dyDescent="0.3">
      <c r="J127202"/>
    </row>
    <row r="127203" spans="10:10" x14ac:dyDescent="0.3">
      <c r="J127203"/>
    </row>
    <row r="127204" spans="10:10" x14ac:dyDescent="0.3">
      <c r="J127204"/>
    </row>
    <row r="127205" spans="10:10" x14ac:dyDescent="0.3">
      <c r="J127205"/>
    </row>
    <row r="127206" spans="10:10" x14ac:dyDescent="0.3">
      <c r="J127206"/>
    </row>
    <row r="127207" spans="10:10" x14ac:dyDescent="0.3">
      <c r="J127207"/>
    </row>
    <row r="127208" spans="10:10" x14ac:dyDescent="0.3">
      <c r="J127208"/>
    </row>
    <row r="127209" spans="10:10" x14ac:dyDescent="0.3">
      <c r="J127209"/>
    </row>
    <row r="127210" spans="10:10" x14ac:dyDescent="0.3">
      <c r="J127210"/>
    </row>
    <row r="127211" spans="10:10" x14ac:dyDescent="0.3">
      <c r="J127211"/>
    </row>
    <row r="127212" spans="10:10" x14ac:dyDescent="0.3">
      <c r="J127212"/>
    </row>
    <row r="127213" spans="10:10" x14ac:dyDescent="0.3">
      <c r="J127213"/>
    </row>
    <row r="127214" spans="10:10" x14ac:dyDescent="0.3">
      <c r="J127214"/>
    </row>
    <row r="127215" spans="10:10" x14ac:dyDescent="0.3">
      <c r="J127215"/>
    </row>
    <row r="127216" spans="10:10" x14ac:dyDescent="0.3">
      <c r="J127216"/>
    </row>
    <row r="127217" spans="10:10" x14ac:dyDescent="0.3">
      <c r="J127217"/>
    </row>
    <row r="127218" spans="10:10" x14ac:dyDescent="0.3">
      <c r="J127218"/>
    </row>
    <row r="127219" spans="10:10" x14ac:dyDescent="0.3">
      <c r="J127219"/>
    </row>
    <row r="127220" spans="10:10" x14ac:dyDescent="0.3">
      <c r="J127220"/>
    </row>
    <row r="127221" spans="10:10" x14ac:dyDescent="0.3">
      <c r="J127221"/>
    </row>
    <row r="127222" spans="10:10" x14ac:dyDescent="0.3">
      <c r="J127222"/>
    </row>
    <row r="127223" spans="10:10" x14ac:dyDescent="0.3">
      <c r="J127223"/>
    </row>
    <row r="127224" spans="10:10" x14ac:dyDescent="0.3">
      <c r="J127224"/>
    </row>
    <row r="127225" spans="10:10" x14ac:dyDescent="0.3">
      <c r="J127225"/>
    </row>
    <row r="127226" spans="10:10" x14ac:dyDescent="0.3">
      <c r="J127226"/>
    </row>
    <row r="127227" spans="10:10" x14ac:dyDescent="0.3">
      <c r="J127227"/>
    </row>
    <row r="127228" spans="10:10" x14ac:dyDescent="0.3">
      <c r="J127228"/>
    </row>
    <row r="127229" spans="10:10" x14ac:dyDescent="0.3">
      <c r="J127229"/>
    </row>
    <row r="127230" spans="10:10" x14ac:dyDescent="0.3">
      <c r="J127230"/>
    </row>
    <row r="127231" spans="10:10" x14ac:dyDescent="0.3">
      <c r="J127231"/>
    </row>
    <row r="127232" spans="10:10" x14ac:dyDescent="0.3">
      <c r="J127232"/>
    </row>
    <row r="127233" spans="10:10" x14ac:dyDescent="0.3">
      <c r="J127233"/>
    </row>
    <row r="127234" spans="10:10" x14ac:dyDescent="0.3">
      <c r="J127234"/>
    </row>
    <row r="127235" spans="10:10" x14ac:dyDescent="0.3">
      <c r="J127235"/>
    </row>
    <row r="127236" spans="10:10" x14ac:dyDescent="0.3">
      <c r="J127236"/>
    </row>
    <row r="127237" spans="10:10" x14ac:dyDescent="0.3">
      <c r="J127237"/>
    </row>
    <row r="127238" spans="10:10" x14ac:dyDescent="0.3">
      <c r="J127238"/>
    </row>
    <row r="127239" spans="10:10" x14ac:dyDescent="0.3">
      <c r="J127239"/>
    </row>
    <row r="127240" spans="10:10" x14ac:dyDescent="0.3">
      <c r="J127240"/>
    </row>
    <row r="127241" spans="10:10" x14ac:dyDescent="0.3">
      <c r="J127241"/>
    </row>
    <row r="127242" spans="10:10" x14ac:dyDescent="0.3">
      <c r="J127242"/>
    </row>
    <row r="127243" spans="10:10" x14ac:dyDescent="0.3">
      <c r="J127243"/>
    </row>
    <row r="127244" spans="10:10" x14ac:dyDescent="0.3">
      <c r="J127244"/>
    </row>
    <row r="127245" spans="10:10" x14ac:dyDescent="0.3">
      <c r="J127245"/>
    </row>
    <row r="127246" spans="10:10" x14ac:dyDescent="0.3">
      <c r="J127246"/>
    </row>
    <row r="127247" spans="10:10" x14ac:dyDescent="0.3">
      <c r="J127247"/>
    </row>
    <row r="127248" spans="10:10" x14ac:dyDescent="0.3">
      <c r="J127248"/>
    </row>
    <row r="127249" spans="10:10" x14ac:dyDescent="0.3">
      <c r="J127249"/>
    </row>
    <row r="127250" spans="10:10" x14ac:dyDescent="0.3">
      <c r="J127250"/>
    </row>
    <row r="127251" spans="10:10" x14ac:dyDescent="0.3">
      <c r="J127251"/>
    </row>
    <row r="127252" spans="10:10" x14ac:dyDescent="0.3">
      <c r="J127252"/>
    </row>
    <row r="127253" spans="10:10" x14ac:dyDescent="0.3">
      <c r="J127253"/>
    </row>
    <row r="127254" spans="10:10" x14ac:dyDescent="0.3">
      <c r="J127254"/>
    </row>
    <row r="127255" spans="10:10" x14ac:dyDescent="0.3">
      <c r="J127255"/>
    </row>
    <row r="127256" spans="10:10" x14ac:dyDescent="0.3">
      <c r="J127256"/>
    </row>
    <row r="127257" spans="10:10" x14ac:dyDescent="0.3">
      <c r="J127257"/>
    </row>
    <row r="127258" spans="10:10" x14ac:dyDescent="0.3">
      <c r="J127258"/>
    </row>
    <row r="127259" spans="10:10" x14ac:dyDescent="0.3">
      <c r="J127259"/>
    </row>
    <row r="127260" spans="10:10" x14ac:dyDescent="0.3">
      <c r="J127260"/>
    </row>
    <row r="127261" spans="10:10" x14ac:dyDescent="0.3">
      <c r="J127261"/>
    </row>
    <row r="127262" spans="10:10" x14ac:dyDescent="0.3">
      <c r="J127262"/>
    </row>
    <row r="127263" spans="10:10" x14ac:dyDescent="0.3">
      <c r="J127263"/>
    </row>
    <row r="127264" spans="10:10" x14ac:dyDescent="0.3">
      <c r="J127264"/>
    </row>
    <row r="127265" spans="10:10" x14ac:dyDescent="0.3">
      <c r="J127265"/>
    </row>
    <row r="127266" spans="10:10" x14ac:dyDescent="0.3">
      <c r="J127266"/>
    </row>
    <row r="127267" spans="10:10" x14ac:dyDescent="0.3">
      <c r="J127267"/>
    </row>
    <row r="127268" spans="10:10" x14ac:dyDescent="0.3">
      <c r="J127268"/>
    </row>
    <row r="127269" spans="10:10" x14ac:dyDescent="0.3">
      <c r="J127269"/>
    </row>
    <row r="127270" spans="10:10" x14ac:dyDescent="0.3">
      <c r="J127270"/>
    </row>
    <row r="127271" spans="10:10" x14ac:dyDescent="0.3">
      <c r="J127271"/>
    </row>
    <row r="127272" spans="10:10" x14ac:dyDescent="0.3">
      <c r="J127272"/>
    </row>
    <row r="127273" spans="10:10" x14ac:dyDescent="0.3">
      <c r="J127273"/>
    </row>
    <row r="127274" spans="10:10" x14ac:dyDescent="0.3">
      <c r="J127274"/>
    </row>
    <row r="127275" spans="10:10" x14ac:dyDescent="0.3">
      <c r="J127275"/>
    </row>
    <row r="127276" spans="10:10" x14ac:dyDescent="0.3">
      <c r="J127276"/>
    </row>
    <row r="127277" spans="10:10" x14ac:dyDescent="0.3">
      <c r="J127277"/>
    </row>
    <row r="127278" spans="10:10" x14ac:dyDescent="0.3">
      <c r="J127278"/>
    </row>
    <row r="127279" spans="10:10" x14ac:dyDescent="0.3">
      <c r="J127279"/>
    </row>
    <row r="127280" spans="10:10" x14ac:dyDescent="0.3">
      <c r="J127280"/>
    </row>
    <row r="127281" spans="10:10" x14ac:dyDescent="0.3">
      <c r="J127281"/>
    </row>
    <row r="127282" spans="10:10" x14ac:dyDescent="0.3">
      <c r="J127282"/>
    </row>
    <row r="127283" spans="10:10" x14ac:dyDescent="0.3">
      <c r="J127283"/>
    </row>
    <row r="127284" spans="10:10" x14ac:dyDescent="0.3">
      <c r="J127284"/>
    </row>
    <row r="127285" spans="10:10" x14ac:dyDescent="0.3">
      <c r="J127285"/>
    </row>
    <row r="127286" spans="10:10" x14ac:dyDescent="0.3">
      <c r="J127286"/>
    </row>
    <row r="127287" spans="10:10" x14ac:dyDescent="0.3">
      <c r="J127287"/>
    </row>
    <row r="127288" spans="10:10" x14ac:dyDescent="0.3">
      <c r="J127288"/>
    </row>
    <row r="127289" spans="10:10" x14ac:dyDescent="0.3">
      <c r="J127289"/>
    </row>
    <row r="127290" spans="10:10" x14ac:dyDescent="0.3">
      <c r="J127290"/>
    </row>
    <row r="127291" spans="10:10" x14ac:dyDescent="0.3">
      <c r="J127291"/>
    </row>
    <row r="127292" spans="10:10" x14ac:dyDescent="0.3">
      <c r="J127292"/>
    </row>
    <row r="127293" spans="10:10" x14ac:dyDescent="0.3">
      <c r="J127293"/>
    </row>
    <row r="127294" spans="10:10" x14ac:dyDescent="0.3">
      <c r="J127294"/>
    </row>
    <row r="127295" spans="10:10" x14ac:dyDescent="0.3">
      <c r="J127295"/>
    </row>
    <row r="127296" spans="10:10" x14ac:dyDescent="0.3">
      <c r="J127296"/>
    </row>
    <row r="127297" spans="10:10" x14ac:dyDescent="0.3">
      <c r="J127297"/>
    </row>
    <row r="127298" spans="10:10" x14ac:dyDescent="0.3">
      <c r="J127298"/>
    </row>
    <row r="127299" spans="10:10" x14ac:dyDescent="0.3">
      <c r="J127299"/>
    </row>
    <row r="127300" spans="10:10" x14ac:dyDescent="0.3">
      <c r="J127300"/>
    </row>
    <row r="127301" spans="10:10" x14ac:dyDescent="0.3">
      <c r="J127301"/>
    </row>
    <row r="127302" spans="10:10" x14ac:dyDescent="0.3">
      <c r="J127302"/>
    </row>
    <row r="127303" spans="10:10" x14ac:dyDescent="0.3">
      <c r="J127303"/>
    </row>
    <row r="127304" spans="10:10" x14ac:dyDescent="0.3">
      <c r="J127304"/>
    </row>
    <row r="127305" spans="10:10" x14ac:dyDescent="0.3">
      <c r="J127305"/>
    </row>
    <row r="127306" spans="10:10" x14ac:dyDescent="0.3">
      <c r="J127306"/>
    </row>
    <row r="127307" spans="10:10" x14ac:dyDescent="0.3">
      <c r="J127307"/>
    </row>
    <row r="127308" spans="10:10" x14ac:dyDescent="0.3">
      <c r="J127308"/>
    </row>
    <row r="127309" spans="10:10" x14ac:dyDescent="0.3">
      <c r="J127309"/>
    </row>
    <row r="127310" spans="10:10" x14ac:dyDescent="0.3">
      <c r="J127310"/>
    </row>
    <row r="127311" spans="10:10" x14ac:dyDescent="0.3">
      <c r="J127311"/>
    </row>
    <row r="127312" spans="10:10" x14ac:dyDescent="0.3">
      <c r="J127312"/>
    </row>
    <row r="127313" spans="10:10" x14ac:dyDescent="0.3">
      <c r="J127313"/>
    </row>
    <row r="127314" spans="10:10" x14ac:dyDescent="0.3">
      <c r="J127314"/>
    </row>
    <row r="127315" spans="10:10" x14ac:dyDescent="0.3">
      <c r="J127315"/>
    </row>
    <row r="127316" spans="10:10" x14ac:dyDescent="0.3">
      <c r="J127316"/>
    </row>
    <row r="127317" spans="10:10" x14ac:dyDescent="0.3">
      <c r="J127317"/>
    </row>
    <row r="127318" spans="10:10" x14ac:dyDescent="0.3">
      <c r="J127318"/>
    </row>
    <row r="127319" spans="10:10" x14ac:dyDescent="0.3">
      <c r="J127319"/>
    </row>
    <row r="127320" spans="10:10" x14ac:dyDescent="0.3">
      <c r="J127320"/>
    </row>
    <row r="127321" spans="10:10" x14ac:dyDescent="0.3">
      <c r="J127321"/>
    </row>
    <row r="127322" spans="10:10" x14ac:dyDescent="0.3">
      <c r="J127322"/>
    </row>
    <row r="127323" spans="10:10" x14ac:dyDescent="0.3">
      <c r="J127323"/>
    </row>
    <row r="127324" spans="10:10" x14ac:dyDescent="0.3">
      <c r="J127324"/>
    </row>
    <row r="127325" spans="10:10" x14ac:dyDescent="0.3">
      <c r="J127325"/>
    </row>
    <row r="127326" spans="10:10" x14ac:dyDescent="0.3">
      <c r="J127326"/>
    </row>
    <row r="127327" spans="10:10" x14ac:dyDescent="0.3">
      <c r="J127327"/>
    </row>
    <row r="127328" spans="10:10" x14ac:dyDescent="0.3">
      <c r="J127328"/>
    </row>
    <row r="127329" spans="10:10" x14ac:dyDescent="0.3">
      <c r="J127329"/>
    </row>
    <row r="127330" spans="10:10" x14ac:dyDescent="0.3">
      <c r="J127330"/>
    </row>
    <row r="127331" spans="10:10" x14ac:dyDescent="0.3">
      <c r="J127331"/>
    </row>
    <row r="127332" spans="10:10" x14ac:dyDescent="0.3">
      <c r="J127332"/>
    </row>
    <row r="127333" spans="10:10" x14ac:dyDescent="0.3">
      <c r="J127333"/>
    </row>
    <row r="127334" spans="10:10" x14ac:dyDescent="0.3">
      <c r="J127334"/>
    </row>
    <row r="127335" spans="10:10" x14ac:dyDescent="0.3">
      <c r="J127335"/>
    </row>
    <row r="127336" spans="10:10" x14ac:dyDescent="0.3">
      <c r="J127336"/>
    </row>
    <row r="127337" spans="10:10" x14ac:dyDescent="0.3">
      <c r="J127337"/>
    </row>
    <row r="127338" spans="10:10" x14ac:dyDescent="0.3">
      <c r="J127338"/>
    </row>
    <row r="127339" spans="10:10" x14ac:dyDescent="0.3">
      <c r="J127339"/>
    </row>
    <row r="127340" spans="10:10" x14ac:dyDescent="0.3">
      <c r="J127340"/>
    </row>
    <row r="127341" spans="10:10" x14ac:dyDescent="0.3">
      <c r="J127341"/>
    </row>
    <row r="127342" spans="10:10" x14ac:dyDescent="0.3">
      <c r="J127342"/>
    </row>
    <row r="127343" spans="10:10" x14ac:dyDescent="0.3">
      <c r="J127343"/>
    </row>
    <row r="127344" spans="10:10" x14ac:dyDescent="0.3">
      <c r="J127344"/>
    </row>
    <row r="127345" spans="10:10" x14ac:dyDescent="0.3">
      <c r="J127345"/>
    </row>
    <row r="127346" spans="10:10" x14ac:dyDescent="0.3">
      <c r="J127346"/>
    </row>
    <row r="127347" spans="10:10" x14ac:dyDescent="0.3">
      <c r="J127347"/>
    </row>
    <row r="127348" spans="10:10" x14ac:dyDescent="0.3">
      <c r="J127348"/>
    </row>
    <row r="127349" spans="10:10" x14ac:dyDescent="0.3">
      <c r="J127349"/>
    </row>
    <row r="127350" spans="10:10" x14ac:dyDescent="0.3">
      <c r="J127350"/>
    </row>
    <row r="127351" spans="10:10" x14ac:dyDescent="0.3">
      <c r="J127351"/>
    </row>
    <row r="127352" spans="10:10" x14ac:dyDescent="0.3">
      <c r="J127352"/>
    </row>
    <row r="127353" spans="10:10" x14ac:dyDescent="0.3">
      <c r="J127353"/>
    </row>
    <row r="127354" spans="10:10" x14ac:dyDescent="0.3">
      <c r="J127354"/>
    </row>
    <row r="127355" spans="10:10" x14ac:dyDescent="0.3">
      <c r="J127355"/>
    </row>
    <row r="127356" spans="10:10" x14ac:dyDescent="0.3">
      <c r="J127356"/>
    </row>
    <row r="127357" spans="10:10" x14ac:dyDescent="0.3">
      <c r="J127357"/>
    </row>
    <row r="127358" spans="10:10" x14ac:dyDescent="0.3">
      <c r="J127358"/>
    </row>
    <row r="127359" spans="10:10" x14ac:dyDescent="0.3">
      <c r="J127359"/>
    </row>
    <row r="127360" spans="10:10" x14ac:dyDescent="0.3">
      <c r="J127360"/>
    </row>
    <row r="127361" spans="10:10" x14ac:dyDescent="0.3">
      <c r="J127361"/>
    </row>
    <row r="127362" spans="10:10" x14ac:dyDescent="0.3">
      <c r="J127362"/>
    </row>
    <row r="127363" spans="10:10" x14ac:dyDescent="0.3">
      <c r="J127363"/>
    </row>
    <row r="127364" spans="10:10" x14ac:dyDescent="0.3">
      <c r="J127364"/>
    </row>
    <row r="127365" spans="10:10" x14ac:dyDescent="0.3">
      <c r="J127365"/>
    </row>
    <row r="127366" spans="10:10" x14ac:dyDescent="0.3">
      <c r="J127366"/>
    </row>
    <row r="127367" spans="10:10" x14ac:dyDescent="0.3">
      <c r="J127367"/>
    </row>
    <row r="127368" spans="10:10" x14ac:dyDescent="0.3">
      <c r="J127368"/>
    </row>
    <row r="127369" spans="10:10" x14ac:dyDescent="0.3">
      <c r="J127369"/>
    </row>
    <row r="127370" spans="10:10" x14ac:dyDescent="0.3">
      <c r="J127370"/>
    </row>
    <row r="127371" spans="10:10" x14ac:dyDescent="0.3">
      <c r="J127371"/>
    </row>
    <row r="127372" spans="10:10" x14ac:dyDescent="0.3">
      <c r="J127372"/>
    </row>
    <row r="127373" spans="10:10" x14ac:dyDescent="0.3">
      <c r="J127373"/>
    </row>
    <row r="127374" spans="10:10" x14ac:dyDescent="0.3">
      <c r="J127374"/>
    </row>
    <row r="127375" spans="10:10" x14ac:dyDescent="0.3">
      <c r="J127375"/>
    </row>
    <row r="127376" spans="10:10" x14ac:dyDescent="0.3">
      <c r="J127376"/>
    </row>
    <row r="127377" spans="10:10" x14ac:dyDescent="0.3">
      <c r="J127377"/>
    </row>
    <row r="127378" spans="10:10" x14ac:dyDescent="0.3">
      <c r="J127378"/>
    </row>
    <row r="127379" spans="10:10" x14ac:dyDescent="0.3">
      <c r="J127379"/>
    </row>
    <row r="127380" spans="10:10" x14ac:dyDescent="0.3">
      <c r="J127380"/>
    </row>
    <row r="127381" spans="10:10" x14ac:dyDescent="0.3">
      <c r="J127381"/>
    </row>
    <row r="127382" spans="10:10" x14ac:dyDescent="0.3">
      <c r="J127382"/>
    </row>
    <row r="127383" spans="10:10" x14ac:dyDescent="0.3">
      <c r="J127383"/>
    </row>
    <row r="127384" spans="10:10" x14ac:dyDescent="0.3">
      <c r="J127384"/>
    </row>
    <row r="127385" spans="10:10" x14ac:dyDescent="0.3">
      <c r="J127385"/>
    </row>
    <row r="127386" spans="10:10" x14ac:dyDescent="0.3">
      <c r="J127386"/>
    </row>
    <row r="127387" spans="10:10" x14ac:dyDescent="0.3">
      <c r="J127387"/>
    </row>
    <row r="127388" spans="10:10" x14ac:dyDescent="0.3">
      <c r="J127388"/>
    </row>
    <row r="127389" spans="10:10" x14ac:dyDescent="0.3">
      <c r="J127389"/>
    </row>
    <row r="127390" spans="10:10" x14ac:dyDescent="0.3">
      <c r="J127390"/>
    </row>
    <row r="127391" spans="10:10" x14ac:dyDescent="0.3">
      <c r="J127391"/>
    </row>
    <row r="127392" spans="10:10" x14ac:dyDescent="0.3">
      <c r="J127392"/>
    </row>
    <row r="127393" spans="10:10" x14ac:dyDescent="0.3">
      <c r="J127393"/>
    </row>
    <row r="127394" spans="10:10" x14ac:dyDescent="0.3">
      <c r="J127394"/>
    </row>
    <row r="127395" spans="10:10" x14ac:dyDescent="0.3">
      <c r="J127395"/>
    </row>
    <row r="127396" spans="10:10" x14ac:dyDescent="0.3">
      <c r="J127396"/>
    </row>
    <row r="127397" spans="10:10" x14ac:dyDescent="0.3">
      <c r="J127397"/>
    </row>
    <row r="127398" spans="10:10" x14ac:dyDescent="0.3">
      <c r="J127398"/>
    </row>
    <row r="127399" spans="10:10" x14ac:dyDescent="0.3">
      <c r="J127399"/>
    </row>
    <row r="127400" spans="10:10" x14ac:dyDescent="0.3">
      <c r="J127400"/>
    </row>
    <row r="127401" spans="10:10" x14ac:dyDescent="0.3">
      <c r="J127401"/>
    </row>
    <row r="127402" spans="10:10" x14ac:dyDescent="0.3">
      <c r="J127402"/>
    </row>
    <row r="127403" spans="10:10" x14ac:dyDescent="0.3">
      <c r="J127403"/>
    </row>
    <row r="127404" spans="10:10" x14ac:dyDescent="0.3">
      <c r="J127404"/>
    </row>
    <row r="127405" spans="10:10" x14ac:dyDescent="0.3">
      <c r="J127405"/>
    </row>
    <row r="127406" spans="10:10" x14ac:dyDescent="0.3">
      <c r="J127406"/>
    </row>
    <row r="127407" spans="10:10" x14ac:dyDescent="0.3">
      <c r="J127407"/>
    </row>
    <row r="127408" spans="10:10" x14ac:dyDescent="0.3">
      <c r="J127408"/>
    </row>
    <row r="127409" spans="10:10" x14ac:dyDescent="0.3">
      <c r="J127409"/>
    </row>
    <row r="127410" spans="10:10" x14ac:dyDescent="0.3">
      <c r="J127410"/>
    </row>
    <row r="127411" spans="10:10" x14ac:dyDescent="0.3">
      <c r="J127411"/>
    </row>
    <row r="127412" spans="10:10" x14ac:dyDescent="0.3">
      <c r="J127412"/>
    </row>
    <row r="127413" spans="10:10" x14ac:dyDescent="0.3">
      <c r="J127413"/>
    </row>
    <row r="127414" spans="10:10" x14ac:dyDescent="0.3">
      <c r="J127414"/>
    </row>
    <row r="127415" spans="10:10" x14ac:dyDescent="0.3">
      <c r="J127415"/>
    </row>
    <row r="127416" spans="10:10" x14ac:dyDescent="0.3">
      <c r="J127416"/>
    </row>
    <row r="127417" spans="10:10" x14ac:dyDescent="0.3">
      <c r="J127417"/>
    </row>
    <row r="127418" spans="10:10" x14ac:dyDescent="0.3">
      <c r="J127418"/>
    </row>
    <row r="127419" spans="10:10" x14ac:dyDescent="0.3">
      <c r="J127419"/>
    </row>
    <row r="127420" spans="10:10" x14ac:dyDescent="0.3">
      <c r="J127420"/>
    </row>
    <row r="127421" spans="10:10" x14ac:dyDescent="0.3">
      <c r="J127421"/>
    </row>
    <row r="127422" spans="10:10" x14ac:dyDescent="0.3">
      <c r="J127422"/>
    </row>
    <row r="127423" spans="10:10" x14ac:dyDescent="0.3">
      <c r="J127423"/>
    </row>
    <row r="127424" spans="10:10" x14ac:dyDescent="0.3">
      <c r="J127424"/>
    </row>
    <row r="127425" spans="10:10" x14ac:dyDescent="0.3">
      <c r="J127425"/>
    </row>
    <row r="127426" spans="10:10" x14ac:dyDescent="0.3">
      <c r="J127426"/>
    </row>
    <row r="127427" spans="10:10" x14ac:dyDescent="0.3">
      <c r="J127427"/>
    </row>
    <row r="127428" spans="10:10" x14ac:dyDescent="0.3">
      <c r="J127428"/>
    </row>
    <row r="127429" spans="10:10" x14ac:dyDescent="0.3">
      <c r="J127429"/>
    </row>
    <row r="127430" spans="10:10" x14ac:dyDescent="0.3">
      <c r="J127430"/>
    </row>
    <row r="127431" spans="10:10" x14ac:dyDescent="0.3">
      <c r="J127431"/>
    </row>
    <row r="127432" spans="10:10" x14ac:dyDescent="0.3">
      <c r="J127432"/>
    </row>
    <row r="127433" spans="10:10" x14ac:dyDescent="0.3">
      <c r="J127433"/>
    </row>
    <row r="127434" spans="10:10" x14ac:dyDescent="0.3">
      <c r="J127434"/>
    </row>
    <row r="127435" spans="10:10" x14ac:dyDescent="0.3">
      <c r="J127435"/>
    </row>
    <row r="127436" spans="10:10" x14ac:dyDescent="0.3">
      <c r="J127436"/>
    </row>
    <row r="127437" spans="10:10" x14ac:dyDescent="0.3">
      <c r="J127437"/>
    </row>
    <row r="127438" spans="10:10" x14ac:dyDescent="0.3">
      <c r="J127438"/>
    </row>
    <row r="127439" spans="10:10" x14ac:dyDescent="0.3">
      <c r="J127439"/>
    </row>
    <row r="127440" spans="10:10" x14ac:dyDescent="0.3">
      <c r="J127440"/>
    </row>
    <row r="127441" spans="10:10" x14ac:dyDescent="0.3">
      <c r="J127441"/>
    </row>
    <row r="127442" spans="10:10" x14ac:dyDescent="0.3">
      <c r="J127442"/>
    </row>
    <row r="127443" spans="10:10" x14ac:dyDescent="0.3">
      <c r="J127443"/>
    </row>
    <row r="127444" spans="10:10" x14ac:dyDescent="0.3">
      <c r="J127444"/>
    </row>
    <row r="127445" spans="10:10" x14ac:dyDescent="0.3">
      <c r="J127445"/>
    </row>
    <row r="127446" spans="10:10" x14ac:dyDescent="0.3">
      <c r="J127446"/>
    </row>
    <row r="127447" spans="10:10" x14ac:dyDescent="0.3">
      <c r="J127447"/>
    </row>
    <row r="127448" spans="10:10" x14ac:dyDescent="0.3">
      <c r="J127448"/>
    </row>
    <row r="127449" spans="10:10" x14ac:dyDescent="0.3">
      <c r="J127449"/>
    </row>
    <row r="127450" spans="10:10" x14ac:dyDescent="0.3">
      <c r="J127450"/>
    </row>
    <row r="127451" spans="10:10" x14ac:dyDescent="0.3">
      <c r="J127451"/>
    </row>
    <row r="127452" spans="10:10" x14ac:dyDescent="0.3">
      <c r="J127452"/>
    </row>
    <row r="127453" spans="10:10" x14ac:dyDescent="0.3">
      <c r="J127453"/>
    </row>
    <row r="127454" spans="10:10" x14ac:dyDescent="0.3">
      <c r="J127454"/>
    </row>
    <row r="127455" spans="10:10" x14ac:dyDescent="0.3">
      <c r="J127455"/>
    </row>
    <row r="127456" spans="10:10" x14ac:dyDescent="0.3">
      <c r="J127456"/>
    </row>
    <row r="127457" spans="10:10" x14ac:dyDescent="0.3">
      <c r="J127457"/>
    </row>
    <row r="127458" spans="10:10" x14ac:dyDescent="0.3">
      <c r="J127458"/>
    </row>
    <row r="127459" spans="10:10" x14ac:dyDescent="0.3">
      <c r="J127459"/>
    </row>
    <row r="127460" spans="10:10" x14ac:dyDescent="0.3">
      <c r="J127460"/>
    </row>
    <row r="127461" spans="10:10" x14ac:dyDescent="0.3">
      <c r="J127461"/>
    </row>
    <row r="127462" spans="10:10" x14ac:dyDescent="0.3">
      <c r="J127462"/>
    </row>
    <row r="127463" spans="10:10" x14ac:dyDescent="0.3">
      <c r="J127463"/>
    </row>
    <row r="127464" spans="10:10" x14ac:dyDescent="0.3">
      <c r="J127464"/>
    </row>
    <row r="127465" spans="10:10" x14ac:dyDescent="0.3">
      <c r="J127465"/>
    </row>
    <row r="127466" spans="10:10" x14ac:dyDescent="0.3">
      <c r="J127466"/>
    </row>
    <row r="127467" spans="10:10" x14ac:dyDescent="0.3">
      <c r="J127467"/>
    </row>
    <row r="127468" spans="10:10" x14ac:dyDescent="0.3">
      <c r="J127468"/>
    </row>
    <row r="127469" spans="10:10" x14ac:dyDescent="0.3">
      <c r="J127469"/>
    </row>
    <row r="127470" spans="10:10" x14ac:dyDescent="0.3">
      <c r="J127470"/>
    </row>
    <row r="127471" spans="10:10" x14ac:dyDescent="0.3">
      <c r="J127471"/>
    </row>
    <row r="127472" spans="10:10" x14ac:dyDescent="0.3">
      <c r="J127472"/>
    </row>
    <row r="127473" spans="10:10" x14ac:dyDescent="0.3">
      <c r="J127473"/>
    </row>
    <row r="127474" spans="10:10" x14ac:dyDescent="0.3">
      <c r="J127474"/>
    </row>
    <row r="127475" spans="10:10" x14ac:dyDescent="0.3">
      <c r="J127475"/>
    </row>
    <row r="127476" spans="10:10" x14ac:dyDescent="0.3">
      <c r="J127476"/>
    </row>
    <row r="127477" spans="10:10" x14ac:dyDescent="0.3">
      <c r="J127477"/>
    </row>
    <row r="127478" spans="10:10" x14ac:dyDescent="0.3">
      <c r="J127478"/>
    </row>
    <row r="127479" spans="10:10" x14ac:dyDescent="0.3">
      <c r="J127479"/>
    </row>
    <row r="127480" spans="10:10" x14ac:dyDescent="0.3">
      <c r="J127480"/>
    </row>
    <row r="127481" spans="10:10" x14ac:dyDescent="0.3">
      <c r="J127481"/>
    </row>
    <row r="127482" spans="10:10" x14ac:dyDescent="0.3">
      <c r="J127482"/>
    </row>
    <row r="127483" spans="10:10" x14ac:dyDescent="0.3">
      <c r="J127483"/>
    </row>
    <row r="127484" spans="10:10" x14ac:dyDescent="0.3">
      <c r="J127484"/>
    </row>
    <row r="127485" spans="10:10" x14ac:dyDescent="0.3">
      <c r="J127485"/>
    </row>
    <row r="127486" spans="10:10" x14ac:dyDescent="0.3">
      <c r="J127486"/>
    </row>
    <row r="127487" spans="10:10" x14ac:dyDescent="0.3">
      <c r="J127487"/>
    </row>
    <row r="127488" spans="10:10" x14ac:dyDescent="0.3">
      <c r="J127488"/>
    </row>
    <row r="127489" spans="10:10" x14ac:dyDescent="0.3">
      <c r="J127489"/>
    </row>
    <row r="127490" spans="10:10" x14ac:dyDescent="0.3">
      <c r="J127490"/>
    </row>
    <row r="127491" spans="10:10" x14ac:dyDescent="0.3">
      <c r="J127491"/>
    </row>
    <row r="127492" spans="10:10" x14ac:dyDescent="0.3">
      <c r="J127492"/>
    </row>
    <row r="127493" spans="10:10" x14ac:dyDescent="0.3">
      <c r="J127493"/>
    </row>
    <row r="127494" spans="10:10" x14ac:dyDescent="0.3">
      <c r="J127494"/>
    </row>
    <row r="127495" spans="10:10" x14ac:dyDescent="0.3">
      <c r="J127495"/>
    </row>
    <row r="127496" spans="10:10" x14ac:dyDescent="0.3">
      <c r="J127496"/>
    </row>
    <row r="127497" spans="10:10" x14ac:dyDescent="0.3">
      <c r="J127497"/>
    </row>
    <row r="127498" spans="10:10" x14ac:dyDescent="0.3">
      <c r="J127498"/>
    </row>
    <row r="127499" spans="10:10" x14ac:dyDescent="0.3">
      <c r="J127499"/>
    </row>
    <row r="127500" spans="10:10" x14ac:dyDescent="0.3">
      <c r="J127500"/>
    </row>
    <row r="127501" spans="10:10" x14ac:dyDescent="0.3">
      <c r="J127501"/>
    </row>
    <row r="127502" spans="10:10" x14ac:dyDescent="0.3">
      <c r="J127502"/>
    </row>
    <row r="127503" spans="10:10" x14ac:dyDescent="0.3">
      <c r="J127503"/>
    </row>
    <row r="127504" spans="10:10" x14ac:dyDescent="0.3">
      <c r="J127504"/>
    </row>
    <row r="127505" spans="10:10" x14ac:dyDescent="0.3">
      <c r="J127505"/>
    </row>
    <row r="127506" spans="10:10" x14ac:dyDescent="0.3">
      <c r="J127506"/>
    </row>
    <row r="127507" spans="10:10" x14ac:dyDescent="0.3">
      <c r="J127507"/>
    </row>
    <row r="127508" spans="10:10" x14ac:dyDescent="0.3">
      <c r="J127508"/>
    </row>
    <row r="127509" spans="10:10" x14ac:dyDescent="0.3">
      <c r="J127509"/>
    </row>
    <row r="127510" spans="10:10" x14ac:dyDescent="0.3">
      <c r="J127510"/>
    </row>
    <row r="127511" spans="10:10" x14ac:dyDescent="0.3">
      <c r="J127511"/>
    </row>
    <row r="127512" spans="10:10" x14ac:dyDescent="0.3">
      <c r="J127512"/>
    </row>
    <row r="127513" spans="10:10" x14ac:dyDescent="0.3">
      <c r="J127513"/>
    </row>
    <row r="127514" spans="10:10" x14ac:dyDescent="0.3">
      <c r="J127514"/>
    </row>
    <row r="127515" spans="10:10" x14ac:dyDescent="0.3">
      <c r="J127515"/>
    </row>
    <row r="127516" spans="10:10" x14ac:dyDescent="0.3">
      <c r="J127516"/>
    </row>
    <row r="127517" spans="10:10" x14ac:dyDescent="0.3">
      <c r="J127517"/>
    </row>
    <row r="127518" spans="10:10" x14ac:dyDescent="0.3">
      <c r="J127518"/>
    </row>
    <row r="127519" spans="10:10" x14ac:dyDescent="0.3">
      <c r="J127519"/>
    </row>
    <row r="127520" spans="10:10" x14ac:dyDescent="0.3">
      <c r="J127520"/>
    </row>
    <row r="127521" spans="10:10" x14ac:dyDescent="0.3">
      <c r="J127521"/>
    </row>
    <row r="127522" spans="10:10" x14ac:dyDescent="0.3">
      <c r="J127522"/>
    </row>
    <row r="127523" spans="10:10" x14ac:dyDescent="0.3">
      <c r="J127523"/>
    </row>
    <row r="127524" spans="10:10" x14ac:dyDescent="0.3">
      <c r="J127524"/>
    </row>
    <row r="127525" spans="10:10" x14ac:dyDescent="0.3">
      <c r="J127525"/>
    </row>
    <row r="127526" spans="10:10" x14ac:dyDescent="0.3">
      <c r="J127526"/>
    </row>
    <row r="127527" spans="10:10" x14ac:dyDescent="0.3">
      <c r="J127527"/>
    </row>
    <row r="127528" spans="10:10" x14ac:dyDescent="0.3">
      <c r="J127528"/>
    </row>
    <row r="127529" spans="10:10" x14ac:dyDescent="0.3">
      <c r="J127529"/>
    </row>
    <row r="127530" spans="10:10" x14ac:dyDescent="0.3">
      <c r="J127530"/>
    </row>
    <row r="127531" spans="10:10" x14ac:dyDescent="0.3">
      <c r="J127531"/>
    </row>
    <row r="127532" spans="10:10" x14ac:dyDescent="0.3">
      <c r="J127532"/>
    </row>
    <row r="127533" spans="10:10" x14ac:dyDescent="0.3">
      <c r="J127533"/>
    </row>
    <row r="127534" spans="10:10" x14ac:dyDescent="0.3">
      <c r="J127534"/>
    </row>
    <row r="127535" spans="10:10" x14ac:dyDescent="0.3">
      <c r="J127535"/>
    </row>
    <row r="127536" spans="10:10" x14ac:dyDescent="0.3">
      <c r="J127536"/>
    </row>
    <row r="127537" spans="10:10" x14ac:dyDescent="0.3">
      <c r="J127537"/>
    </row>
    <row r="127538" spans="10:10" x14ac:dyDescent="0.3">
      <c r="J127538"/>
    </row>
    <row r="127539" spans="10:10" x14ac:dyDescent="0.3">
      <c r="J127539"/>
    </row>
    <row r="127540" spans="10:10" x14ac:dyDescent="0.3">
      <c r="J127540"/>
    </row>
    <row r="127541" spans="10:10" x14ac:dyDescent="0.3">
      <c r="J127541"/>
    </row>
    <row r="127542" spans="10:10" x14ac:dyDescent="0.3">
      <c r="J127542"/>
    </row>
    <row r="127543" spans="10:10" x14ac:dyDescent="0.3">
      <c r="J127543"/>
    </row>
    <row r="127544" spans="10:10" x14ac:dyDescent="0.3">
      <c r="J127544"/>
    </row>
    <row r="127545" spans="10:10" x14ac:dyDescent="0.3">
      <c r="J127545"/>
    </row>
    <row r="127546" spans="10:10" x14ac:dyDescent="0.3">
      <c r="J127546"/>
    </row>
    <row r="127547" spans="10:10" x14ac:dyDescent="0.3">
      <c r="J127547"/>
    </row>
    <row r="127548" spans="10:10" x14ac:dyDescent="0.3">
      <c r="J127548"/>
    </row>
    <row r="127549" spans="10:10" x14ac:dyDescent="0.3">
      <c r="J127549"/>
    </row>
    <row r="127550" spans="10:10" x14ac:dyDescent="0.3">
      <c r="J127550"/>
    </row>
    <row r="127551" spans="10:10" x14ac:dyDescent="0.3">
      <c r="J127551"/>
    </row>
    <row r="127552" spans="10:10" x14ac:dyDescent="0.3">
      <c r="J127552"/>
    </row>
    <row r="127553" spans="10:10" x14ac:dyDescent="0.3">
      <c r="J127553"/>
    </row>
    <row r="127554" spans="10:10" x14ac:dyDescent="0.3">
      <c r="J127554"/>
    </row>
    <row r="127555" spans="10:10" x14ac:dyDescent="0.3">
      <c r="J127555"/>
    </row>
    <row r="127556" spans="10:10" x14ac:dyDescent="0.3">
      <c r="J127556"/>
    </row>
    <row r="127557" spans="10:10" x14ac:dyDescent="0.3">
      <c r="J127557"/>
    </row>
    <row r="127558" spans="10:10" x14ac:dyDescent="0.3">
      <c r="J127558"/>
    </row>
    <row r="127559" spans="10:10" x14ac:dyDescent="0.3">
      <c r="J127559"/>
    </row>
    <row r="127560" spans="10:10" x14ac:dyDescent="0.3">
      <c r="J127560"/>
    </row>
    <row r="127561" spans="10:10" x14ac:dyDescent="0.3">
      <c r="J127561"/>
    </row>
    <row r="127562" spans="10:10" x14ac:dyDescent="0.3">
      <c r="J127562"/>
    </row>
    <row r="127563" spans="10:10" x14ac:dyDescent="0.3">
      <c r="J127563"/>
    </row>
    <row r="127564" spans="10:10" x14ac:dyDescent="0.3">
      <c r="J127564"/>
    </row>
    <row r="127565" spans="10:10" x14ac:dyDescent="0.3">
      <c r="J127565"/>
    </row>
    <row r="127566" spans="10:10" x14ac:dyDescent="0.3">
      <c r="J127566"/>
    </row>
    <row r="127567" spans="10:10" x14ac:dyDescent="0.3">
      <c r="J127567"/>
    </row>
    <row r="127568" spans="10:10" x14ac:dyDescent="0.3">
      <c r="J127568"/>
    </row>
    <row r="127569" spans="10:10" x14ac:dyDescent="0.3">
      <c r="J127569"/>
    </row>
    <row r="127570" spans="10:10" x14ac:dyDescent="0.3">
      <c r="J127570"/>
    </row>
    <row r="127571" spans="10:10" x14ac:dyDescent="0.3">
      <c r="J127571"/>
    </row>
    <row r="127572" spans="10:10" x14ac:dyDescent="0.3">
      <c r="J127572"/>
    </row>
    <row r="127573" spans="10:10" x14ac:dyDescent="0.3">
      <c r="J127573"/>
    </row>
    <row r="127574" spans="10:10" x14ac:dyDescent="0.3">
      <c r="J127574"/>
    </row>
    <row r="127575" spans="10:10" x14ac:dyDescent="0.3">
      <c r="J127575"/>
    </row>
    <row r="127576" spans="10:10" x14ac:dyDescent="0.3">
      <c r="J127576"/>
    </row>
    <row r="127577" spans="10:10" x14ac:dyDescent="0.3">
      <c r="J127577"/>
    </row>
    <row r="127578" spans="10:10" x14ac:dyDescent="0.3">
      <c r="J127578"/>
    </row>
    <row r="127579" spans="10:10" x14ac:dyDescent="0.3">
      <c r="J127579"/>
    </row>
    <row r="127580" spans="10:10" x14ac:dyDescent="0.3">
      <c r="J127580"/>
    </row>
    <row r="127581" spans="10:10" x14ac:dyDescent="0.3">
      <c r="J127581"/>
    </row>
    <row r="127582" spans="10:10" x14ac:dyDescent="0.3">
      <c r="J127582"/>
    </row>
    <row r="127583" spans="10:10" x14ac:dyDescent="0.3">
      <c r="J127583"/>
    </row>
    <row r="127584" spans="10:10" x14ac:dyDescent="0.3">
      <c r="J127584"/>
    </row>
    <row r="127585" spans="10:10" x14ac:dyDescent="0.3">
      <c r="J127585"/>
    </row>
    <row r="127586" spans="10:10" x14ac:dyDescent="0.3">
      <c r="J127586"/>
    </row>
    <row r="127587" spans="10:10" x14ac:dyDescent="0.3">
      <c r="J127587"/>
    </row>
    <row r="127588" spans="10:10" x14ac:dyDescent="0.3">
      <c r="J127588"/>
    </row>
    <row r="127589" spans="10:10" x14ac:dyDescent="0.3">
      <c r="J127589"/>
    </row>
    <row r="127590" spans="10:10" x14ac:dyDescent="0.3">
      <c r="J127590"/>
    </row>
    <row r="127591" spans="10:10" x14ac:dyDescent="0.3">
      <c r="J127591"/>
    </row>
    <row r="127592" spans="10:10" x14ac:dyDescent="0.3">
      <c r="J127592"/>
    </row>
    <row r="127593" spans="10:10" x14ac:dyDescent="0.3">
      <c r="J127593"/>
    </row>
    <row r="127594" spans="10:10" x14ac:dyDescent="0.3">
      <c r="J127594"/>
    </row>
    <row r="127595" spans="10:10" x14ac:dyDescent="0.3">
      <c r="J127595"/>
    </row>
    <row r="127596" spans="10:10" x14ac:dyDescent="0.3">
      <c r="J127596"/>
    </row>
    <row r="127597" spans="10:10" x14ac:dyDescent="0.3">
      <c r="J127597"/>
    </row>
    <row r="127598" spans="10:10" x14ac:dyDescent="0.3">
      <c r="J127598"/>
    </row>
    <row r="127599" spans="10:10" x14ac:dyDescent="0.3">
      <c r="J127599"/>
    </row>
    <row r="127600" spans="10:10" x14ac:dyDescent="0.3">
      <c r="J127600"/>
    </row>
    <row r="127601" spans="10:10" x14ac:dyDescent="0.3">
      <c r="J127601"/>
    </row>
    <row r="127602" spans="10:10" x14ac:dyDescent="0.3">
      <c r="J127602"/>
    </row>
    <row r="127603" spans="10:10" x14ac:dyDescent="0.3">
      <c r="J127603"/>
    </row>
    <row r="127604" spans="10:10" x14ac:dyDescent="0.3">
      <c r="J127604"/>
    </row>
    <row r="127605" spans="10:10" x14ac:dyDescent="0.3">
      <c r="J127605"/>
    </row>
    <row r="127606" spans="10:10" x14ac:dyDescent="0.3">
      <c r="J127606"/>
    </row>
    <row r="127607" spans="10:10" x14ac:dyDescent="0.3">
      <c r="J127607"/>
    </row>
    <row r="127608" spans="10:10" x14ac:dyDescent="0.3">
      <c r="J127608"/>
    </row>
    <row r="127609" spans="10:10" x14ac:dyDescent="0.3">
      <c r="J127609"/>
    </row>
    <row r="127610" spans="10:10" x14ac:dyDescent="0.3">
      <c r="J127610"/>
    </row>
    <row r="127611" spans="10:10" x14ac:dyDescent="0.3">
      <c r="J127611"/>
    </row>
    <row r="127612" spans="10:10" x14ac:dyDescent="0.3">
      <c r="J127612"/>
    </row>
    <row r="127613" spans="10:10" x14ac:dyDescent="0.3">
      <c r="J127613"/>
    </row>
    <row r="127614" spans="10:10" x14ac:dyDescent="0.3">
      <c r="J127614"/>
    </row>
    <row r="127615" spans="10:10" x14ac:dyDescent="0.3">
      <c r="J127615"/>
    </row>
    <row r="127616" spans="10:10" x14ac:dyDescent="0.3">
      <c r="J127616"/>
    </row>
    <row r="127617" spans="10:10" x14ac:dyDescent="0.3">
      <c r="J127617"/>
    </row>
    <row r="127618" spans="10:10" x14ac:dyDescent="0.3">
      <c r="J127618"/>
    </row>
    <row r="127619" spans="10:10" x14ac:dyDescent="0.3">
      <c r="J127619"/>
    </row>
    <row r="127620" spans="10:10" x14ac:dyDescent="0.3">
      <c r="J127620"/>
    </row>
    <row r="127621" spans="10:10" x14ac:dyDescent="0.3">
      <c r="J127621"/>
    </row>
    <row r="127622" spans="10:10" x14ac:dyDescent="0.3">
      <c r="J127622"/>
    </row>
    <row r="127623" spans="10:10" x14ac:dyDescent="0.3">
      <c r="J127623"/>
    </row>
    <row r="127624" spans="10:10" x14ac:dyDescent="0.3">
      <c r="J127624"/>
    </row>
    <row r="127625" spans="10:10" x14ac:dyDescent="0.3">
      <c r="J127625"/>
    </row>
    <row r="127626" spans="10:10" x14ac:dyDescent="0.3">
      <c r="J127626"/>
    </row>
    <row r="127627" spans="10:10" x14ac:dyDescent="0.3">
      <c r="J127627"/>
    </row>
    <row r="127628" spans="10:10" x14ac:dyDescent="0.3">
      <c r="J127628"/>
    </row>
    <row r="127629" spans="10:10" x14ac:dyDescent="0.3">
      <c r="J127629"/>
    </row>
    <row r="127630" spans="10:10" x14ac:dyDescent="0.3">
      <c r="J127630"/>
    </row>
    <row r="127631" spans="10:10" x14ac:dyDescent="0.3">
      <c r="J127631"/>
    </row>
    <row r="127632" spans="10:10" x14ac:dyDescent="0.3">
      <c r="J127632"/>
    </row>
    <row r="127633" spans="10:10" x14ac:dyDescent="0.3">
      <c r="J127633"/>
    </row>
    <row r="127634" spans="10:10" x14ac:dyDescent="0.3">
      <c r="J127634"/>
    </row>
    <row r="127635" spans="10:10" x14ac:dyDescent="0.3">
      <c r="J127635"/>
    </row>
    <row r="127636" spans="10:10" x14ac:dyDescent="0.3">
      <c r="J127636"/>
    </row>
    <row r="127637" spans="10:10" x14ac:dyDescent="0.3">
      <c r="J127637"/>
    </row>
    <row r="127638" spans="10:10" x14ac:dyDescent="0.3">
      <c r="J127638"/>
    </row>
    <row r="127639" spans="10:10" x14ac:dyDescent="0.3">
      <c r="J127639"/>
    </row>
    <row r="127640" spans="10:10" x14ac:dyDescent="0.3">
      <c r="J127640"/>
    </row>
    <row r="127641" spans="10:10" x14ac:dyDescent="0.3">
      <c r="J127641"/>
    </row>
    <row r="127642" spans="10:10" x14ac:dyDescent="0.3">
      <c r="J127642"/>
    </row>
    <row r="127643" spans="10:10" x14ac:dyDescent="0.3">
      <c r="J127643"/>
    </row>
    <row r="127644" spans="10:10" x14ac:dyDescent="0.3">
      <c r="J127644"/>
    </row>
    <row r="127645" spans="10:10" x14ac:dyDescent="0.3">
      <c r="J127645"/>
    </row>
    <row r="127646" spans="10:10" x14ac:dyDescent="0.3">
      <c r="J127646"/>
    </row>
    <row r="127647" spans="10:10" x14ac:dyDescent="0.3">
      <c r="J127647"/>
    </row>
    <row r="127648" spans="10:10" x14ac:dyDescent="0.3">
      <c r="J127648"/>
    </row>
    <row r="127649" spans="10:10" x14ac:dyDescent="0.3">
      <c r="J127649"/>
    </row>
    <row r="127650" spans="10:10" x14ac:dyDescent="0.3">
      <c r="J127650"/>
    </row>
    <row r="127651" spans="10:10" x14ac:dyDescent="0.3">
      <c r="J127651"/>
    </row>
    <row r="127652" spans="10:10" x14ac:dyDescent="0.3">
      <c r="J127652"/>
    </row>
    <row r="127653" spans="10:10" x14ac:dyDescent="0.3">
      <c r="J127653"/>
    </row>
    <row r="127654" spans="10:10" x14ac:dyDescent="0.3">
      <c r="J127654"/>
    </row>
    <row r="127655" spans="10:10" x14ac:dyDescent="0.3">
      <c r="J127655"/>
    </row>
    <row r="127656" spans="10:10" x14ac:dyDescent="0.3">
      <c r="J127656"/>
    </row>
    <row r="127657" spans="10:10" x14ac:dyDescent="0.3">
      <c r="J127657"/>
    </row>
    <row r="127658" spans="10:10" x14ac:dyDescent="0.3">
      <c r="J127658"/>
    </row>
    <row r="127659" spans="10:10" x14ac:dyDescent="0.3">
      <c r="J127659"/>
    </row>
    <row r="127660" spans="10:10" x14ac:dyDescent="0.3">
      <c r="J127660"/>
    </row>
    <row r="127661" spans="10:10" x14ac:dyDescent="0.3">
      <c r="J127661"/>
    </row>
    <row r="127662" spans="10:10" x14ac:dyDescent="0.3">
      <c r="J127662"/>
    </row>
    <row r="127663" spans="10:10" x14ac:dyDescent="0.3">
      <c r="J127663"/>
    </row>
    <row r="127664" spans="10:10" x14ac:dyDescent="0.3">
      <c r="J127664"/>
    </row>
    <row r="127665" spans="10:10" x14ac:dyDescent="0.3">
      <c r="J127665"/>
    </row>
    <row r="127666" spans="10:10" x14ac:dyDescent="0.3">
      <c r="J127666"/>
    </row>
    <row r="127667" spans="10:10" x14ac:dyDescent="0.3">
      <c r="J127667"/>
    </row>
    <row r="127668" spans="10:10" x14ac:dyDescent="0.3">
      <c r="J127668"/>
    </row>
    <row r="127669" spans="10:10" x14ac:dyDescent="0.3">
      <c r="J127669"/>
    </row>
    <row r="127670" spans="10:10" x14ac:dyDescent="0.3">
      <c r="J127670"/>
    </row>
    <row r="127671" spans="10:10" x14ac:dyDescent="0.3">
      <c r="J127671"/>
    </row>
    <row r="127672" spans="10:10" x14ac:dyDescent="0.3">
      <c r="J127672"/>
    </row>
    <row r="127673" spans="10:10" x14ac:dyDescent="0.3">
      <c r="J127673"/>
    </row>
    <row r="127674" spans="10:10" x14ac:dyDescent="0.3">
      <c r="J127674"/>
    </row>
    <row r="127675" spans="10:10" x14ac:dyDescent="0.3">
      <c r="J127675"/>
    </row>
    <row r="127676" spans="10:10" x14ac:dyDescent="0.3">
      <c r="J127676"/>
    </row>
    <row r="127677" spans="10:10" x14ac:dyDescent="0.3">
      <c r="J127677"/>
    </row>
    <row r="127678" spans="10:10" x14ac:dyDescent="0.3">
      <c r="J127678"/>
    </row>
    <row r="127679" spans="10:10" x14ac:dyDescent="0.3">
      <c r="J127679"/>
    </row>
    <row r="127680" spans="10:10" x14ac:dyDescent="0.3">
      <c r="J127680"/>
    </row>
    <row r="127681" spans="10:10" x14ac:dyDescent="0.3">
      <c r="J127681"/>
    </row>
    <row r="127682" spans="10:10" x14ac:dyDescent="0.3">
      <c r="J127682"/>
    </row>
    <row r="127683" spans="10:10" x14ac:dyDescent="0.3">
      <c r="J127683"/>
    </row>
    <row r="127684" spans="10:10" x14ac:dyDescent="0.3">
      <c r="J127684"/>
    </row>
    <row r="127685" spans="10:10" x14ac:dyDescent="0.3">
      <c r="J127685"/>
    </row>
    <row r="127686" spans="10:10" x14ac:dyDescent="0.3">
      <c r="J127686"/>
    </row>
    <row r="127687" spans="10:10" x14ac:dyDescent="0.3">
      <c r="J127687"/>
    </row>
    <row r="127688" spans="10:10" x14ac:dyDescent="0.3">
      <c r="J127688"/>
    </row>
    <row r="127689" spans="10:10" x14ac:dyDescent="0.3">
      <c r="J127689"/>
    </row>
    <row r="127690" spans="10:10" x14ac:dyDescent="0.3">
      <c r="J127690"/>
    </row>
    <row r="127691" spans="10:10" x14ac:dyDescent="0.3">
      <c r="J127691"/>
    </row>
    <row r="127692" spans="10:10" x14ac:dyDescent="0.3">
      <c r="J127692"/>
    </row>
    <row r="127693" spans="10:10" x14ac:dyDescent="0.3">
      <c r="J127693"/>
    </row>
    <row r="127694" spans="10:10" x14ac:dyDescent="0.3">
      <c r="J127694"/>
    </row>
    <row r="127695" spans="10:10" x14ac:dyDescent="0.3">
      <c r="J127695"/>
    </row>
    <row r="127696" spans="10:10" x14ac:dyDescent="0.3">
      <c r="J127696"/>
    </row>
    <row r="127697" spans="10:10" x14ac:dyDescent="0.3">
      <c r="J127697"/>
    </row>
    <row r="127698" spans="10:10" x14ac:dyDescent="0.3">
      <c r="J127698"/>
    </row>
    <row r="127699" spans="10:10" x14ac:dyDescent="0.3">
      <c r="J127699"/>
    </row>
    <row r="127700" spans="10:10" x14ac:dyDescent="0.3">
      <c r="J127700"/>
    </row>
    <row r="127701" spans="10:10" x14ac:dyDescent="0.3">
      <c r="J127701"/>
    </row>
    <row r="127702" spans="10:10" x14ac:dyDescent="0.3">
      <c r="J127702"/>
    </row>
    <row r="127703" spans="10:10" x14ac:dyDescent="0.3">
      <c r="J127703"/>
    </row>
    <row r="127704" spans="10:10" x14ac:dyDescent="0.3">
      <c r="J127704"/>
    </row>
    <row r="127705" spans="10:10" x14ac:dyDescent="0.3">
      <c r="J127705"/>
    </row>
    <row r="127706" spans="10:10" x14ac:dyDescent="0.3">
      <c r="J127706"/>
    </row>
    <row r="127707" spans="10:10" x14ac:dyDescent="0.3">
      <c r="J127707"/>
    </row>
    <row r="127708" spans="10:10" x14ac:dyDescent="0.3">
      <c r="J127708"/>
    </row>
    <row r="127709" spans="10:10" x14ac:dyDescent="0.3">
      <c r="J127709"/>
    </row>
    <row r="127710" spans="10:10" x14ac:dyDescent="0.3">
      <c r="J127710"/>
    </row>
    <row r="127711" spans="10:10" x14ac:dyDescent="0.3">
      <c r="J127711"/>
    </row>
    <row r="127712" spans="10:10" x14ac:dyDescent="0.3">
      <c r="J127712"/>
    </row>
    <row r="127713" spans="10:10" x14ac:dyDescent="0.3">
      <c r="J127713"/>
    </row>
    <row r="127714" spans="10:10" x14ac:dyDescent="0.3">
      <c r="J127714"/>
    </row>
    <row r="127715" spans="10:10" x14ac:dyDescent="0.3">
      <c r="J127715"/>
    </row>
    <row r="127716" spans="10:10" x14ac:dyDescent="0.3">
      <c r="J127716"/>
    </row>
    <row r="127717" spans="10:10" x14ac:dyDescent="0.3">
      <c r="J127717"/>
    </row>
    <row r="127718" spans="10:10" x14ac:dyDescent="0.3">
      <c r="J127718"/>
    </row>
    <row r="127719" spans="10:10" x14ac:dyDescent="0.3">
      <c r="J127719"/>
    </row>
    <row r="127720" spans="10:10" x14ac:dyDescent="0.3">
      <c r="J127720"/>
    </row>
    <row r="127721" spans="10:10" x14ac:dyDescent="0.3">
      <c r="J127721"/>
    </row>
    <row r="127722" spans="10:10" x14ac:dyDescent="0.3">
      <c r="J127722"/>
    </row>
    <row r="127723" spans="10:10" x14ac:dyDescent="0.3">
      <c r="J127723"/>
    </row>
    <row r="127724" spans="10:10" x14ac:dyDescent="0.3">
      <c r="J127724"/>
    </row>
    <row r="127725" spans="10:10" x14ac:dyDescent="0.3">
      <c r="J127725"/>
    </row>
    <row r="127726" spans="10:10" x14ac:dyDescent="0.3">
      <c r="J127726"/>
    </row>
    <row r="127727" spans="10:10" x14ac:dyDescent="0.3">
      <c r="J127727"/>
    </row>
    <row r="127728" spans="10:10" x14ac:dyDescent="0.3">
      <c r="J127728"/>
    </row>
    <row r="127729" spans="10:10" x14ac:dyDescent="0.3">
      <c r="J127729"/>
    </row>
    <row r="127730" spans="10:10" x14ac:dyDescent="0.3">
      <c r="J127730"/>
    </row>
    <row r="127731" spans="10:10" x14ac:dyDescent="0.3">
      <c r="J127731"/>
    </row>
    <row r="127732" spans="10:10" x14ac:dyDescent="0.3">
      <c r="J127732"/>
    </row>
    <row r="127733" spans="10:10" x14ac:dyDescent="0.3">
      <c r="J127733"/>
    </row>
    <row r="127734" spans="10:10" x14ac:dyDescent="0.3">
      <c r="J127734"/>
    </row>
    <row r="127735" spans="10:10" x14ac:dyDescent="0.3">
      <c r="J127735"/>
    </row>
    <row r="127736" spans="10:10" x14ac:dyDescent="0.3">
      <c r="J127736"/>
    </row>
    <row r="127737" spans="10:10" x14ac:dyDescent="0.3">
      <c r="J127737"/>
    </row>
    <row r="127738" spans="10:10" x14ac:dyDescent="0.3">
      <c r="J127738"/>
    </row>
    <row r="127739" spans="10:10" x14ac:dyDescent="0.3">
      <c r="J127739"/>
    </row>
    <row r="127740" spans="10:10" x14ac:dyDescent="0.3">
      <c r="J127740"/>
    </row>
    <row r="127741" spans="10:10" x14ac:dyDescent="0.3">
      <c r="J127741"/>
    </row>
    <row r="127742" spans="10:10" x14ac:dyDescent="0.3">
      <c r="J127742"/>
    </row>
    <row r="127743" spans="10:10" x14ac:dyDescent="0.3">
      <c r="J127743"/>
    </row>
    <row r="127744" spans="10:10" x14ac:dyDescent="0.3">
      <c r="J127744"/>
    </row>
    <row r="127745" spans="10:10" x14ac:dyDescent="0.3">
      <c r="J127745"/>
    </row>
    <row r="127746" spans="10:10" x14ac:dyDescent="0.3">
      <c r="J127746"/>
    </row>
    <row r="127747" spans="10:10" x14ac:dyDescent="0.3">
      <c r="J127747"/>
    </row>
    <row r="127748" spans="10:10" x14ac:dyDescent="0.3">
      <c r="J127748"/>
    </row>
    <row r="127749" spans="10:10" x14ac:dyDescent="0.3">
      <c r="J127749"/>
    </row>
    <row r="127750" spans="10:10" x14ac:dyDescent="0.3">
      <c r="J127750"/>
    </row>
    <row r="127751" spans="10:10" x14ac:dyDescent="0.3">
      <c r="J127751"/>
    </row>
    <row r="127752" spans="10:10" x14ac:dyDescent="0.3">
      <c r="J127752"/>
    </row>
    <row r="127753" spans="10:10" x14ac:dyDescent="0.3">
      <c r="J127753"/>
    </row>
    <row r="127754" spans="10:10" x14ac:dyDescent="0.3">
      <c r="J127754"/>
    </row>
    <row r="127755" spans="10:10" x14ac:dyDescent="0.3">
      <c r="J127755"/>
    </row>
    <row r="127756" spans="10:10" x14ac:dyDescent="0.3">
      <c r="J127756"/>
    </row>
    <row r="127757" spans="10:10" x14ac:dyDescent="0.3">
      <c r="J127757"/>
    </row>
    <row r="127758" spans="10:10" x14ac:dyDescent="0.3">
      <c r="J127758"/>
    </row>
    <row r="127759" spans="10:10" x14ac:dyDescent="0.3">
      <c r="J127759"/>
    </row>
    <row r="127760" spans="10:10" x14ac:dyDescent="0.3">
      <c r="J127760"/>
    </row>
    <row r="127761" spans="10:10" x14ac:dyDescent="0.3">
      <c r="J127761"/>
    </row>
    <row r="127762" spans="10:10" x14ac:dyDescent="0.3">
      <c r="J127762"/>
    </row>
    <row r="127763" spans="10:10" x14ac:dyDescent="0.3">
      <c r="J127763"/>
    </row>
    <row r="127764" spans="10:10" x14ac:dyDescent="0.3">
      <c r="J127764"/>
    </row>
    <row r="127765" spans="10:10" x14ac:dyDescent="0.3">
      <c r="J127765"/>
    </row>
    <row r="127766" spans="10:10" x14ac:dyDescent="0.3">
      <c r="J127766"/>
    </row>
    <row r="127767" spans="10:10" x14ac:dyDescent="0.3">
      <c r="J127767"/>
    </row>
    <row r="127768" spans="10:10" x14ac:dyDescent="0.3">
      <c r="J127768"/>
    </row>
    <row r="127769" spans="10:10" x14ac:dyDescent="0.3">
      <c r="J127769"/>
    </row>
    <row r="127770" spans="10:10" x14ac:dyDescent="0.3">
      <c r="J127770"/>
    </row>
    <row r="127771" spans="10:10" x14ac:dyDescent="0.3">
      <c r="J127771"/>
    </row>
    <row r="127772" spans="10:10" x14ac:dyDescent="0.3">
      <c r="J127772"/>
    </row>
    <row r="127773" spans="10:10" x14ac:dyDescent="0.3">
      <c r="J127773"/>
    </row>
    <row r="127774" spans="10:10" x14ac:dyDescent="0.3">
      <c r="J127774"/>
    </row>
    <row r="127775" spans="10:10" x14ac:dyDescent="0.3">
      <c r="J127775"/>
    </row>
    <row r="127776" spans="10:10" x14ac:dyDescent="0.3">
      <c r="J127776"/>
    </row>
    <row r="127777" spans="10:10" x14ac:dyDescent="0.3">
      <c r="J127777"/>
    </row>
    <row r="127778" spans="10:10" x14ac:dyDescent="0.3">
      <c r="J127778"/>
    </row>
    <row r="127779" spans="10:10" x14ac:dyDescent="0.3">
      <c r="J127779"/>
    </row>
    <row r="127780" spans="10:10" x14ac:dyDescent="0.3">
      <c r="J127780"/>
    </row>
    <row r="127781" spans="10:10" x14ac:dyDescent="0.3">
      <c r="J127781"/>
    </row>
    <row r="127782" spans="10:10" x14ac:dyDescent="0.3">
      <c r="J127782"/>
    </row>
    <row r="127783" spans="10:10" x14ac:dyDescent="0.3">
      <c r="J127783"/>
    </row>
    <row r="127784" spans="10:10" x14ac:dyDescent="0.3">
      <c r="J127784"/>
    </row>
    <row r="127785" spans="10:10" x14ac:dyDescent="0.3">
      <c r="J127785"/>
    </row>
    <row r="127786" spans="10:10" x14ac:dyDescent="0.3">
      <c r="J127786"/>
    </row>
    <row r="127787" spans="10:10" x14ac:dyDescent="0.3">
      <c r="J127787"/>
    </row>
    <row r="127788" spans="10:10" x14ac:dyDescent="0.3">
      <c r="J127788"/>
    </row>
    <row r="127789" spans="10:10" x14ac:dyDescent="0.3">
      <c r="J127789"/>
    </row>
    <row r="127790" spans="10:10" x14ac:dyDescent="0.3">
      <c r="J127790"/>
    </row>
    <row r="127791" spans="10:10" x14ac:dyDescent="0.3">
      <c r="J127791"/>
    </row>
    <row r="127792" spans="10:10" x14ac:dyDescent="0.3">
      <c r="J127792"/>
    </row>
    <row r="127793" spans="10:10" x14ac:dyDescent="0.3">
      <c r="J127793"/>
    </row>
    <row r="127794" spans="10:10" x14ac:dyDescent="0.3">
      <c r="J127794"/>
    </row>
    <row r="127795" spans="10:10" x14ac:dyDescent="0.3">
      <c r="J127795"/>
    </row>
    <row r="127796" spans="10:10" x14ac:dyDescent="0.3">
      <c r="J127796"/>
    </row>
    <row r="127797" spans="10:10" x14ac:dyDescent="0.3">
      <c r="J127797"/>
    </row>
    <row r="127798" spans="10:10" x14ac:dyDescent="0.3">
      <c r="J127798"/>
    </row>
    <row r="127799" spans="10:10" x14ac:dyDescent="0.3">
      <c r="J127799"/>
    </row>
    <row r="127800" spans="10:10" x14ac:dyDescent="0.3">
      <c r="J127800"/>
    </row>
    <row r="127801" spans="10:10" x14ac:dyDescent="0.3">
      <c r="J127801"/>
    </row>
    <row r="127802" spans="10:10" x14ac:dyDescent="0.3">
      <c r="J127802"/>
    </row>
    <row r="127803" spans="10:10" x14ac:dyDescent="0.3">
      <c r="J127803"/>
    </row>
    <row r="127804" spans="10:10" x14ac:dyDescent="0.3">
      <c r="J127804"/>
    </row>
    <row r="127805" spans="10:10" x14ac:dyDescent="0.3">
      <c r="J127805"/>
    </row>
    <row r="127806" spans="10:10" x14ac:dyDescent="0.3">
      <c r="J127806"/>
    </row>
    <row r="127807" spans="10:10" x14ac:dyDescent="0.3">
      <c r="J127807"/>
    </row>
    <row r="127808" spans="10:10" x14ac:dyDescent="0.3">
      <c r="J127808"/>
    </row>
    <row r="127809" spans="10:10" x14ac:dyDescent="0.3">
      <c r="J127809"/>
    </row>
    <row r="127810" spans="10:10" x14ac:dyDescent="0.3">
      <c r="J127810"/>
    </row>
    <row r="127811" spans="10:10" x14ac:dyDescent="0.3">
      <c r="J127811"/>
    </row>
    <row r="127812" spans="10:10" x14ac:dyDescent="0.3">
      <c r="J127812"/>
    </row>
    <row r="127813" spans="10:10" x14ac:dyDescent="0.3">
      <c r="J127813"/>
    </row>
    <row r="127814" spans="10:10" x14ac:dyDescent="0.3">
      <c r="J127814"/>
    </row>
    <row r="127815" spans="10:10" x14ac:dyDescent="0.3">
      <c r="J127815"/>
    </row>
    <row r="127816" spans="10:10" x14ac:dyDescent="0.3">
      <c r="J127816"/>
    </row>
    <row r="127817" spans="10:10" x14ac:dyDescent="0.3">
      <c r="J127817"/>
    </row>
    <row r="127818" spans="10:10" x14ac:dyDescent="0.3">
      <c r="J127818"/>
    </row>
    <row r="127819" spans="10:10" x14ac:dyDescent="0.3">
      <c r="J127819"/>
    </row>
    <row r="127820" spans="10:10" x14ac:dyDescent="0.3">
      <c r="J127820"/>
    </row>
    <row r="127821" spans="10:10" x14ac:dyDescent="0.3">
      <c r="J127821"/>
    </row>
    <row r="127822" spans="10:10" x14ac:dyDescent="0.3">
      <c r="J127822"/>
    </row>
    <row r="127823" spans="10:10" x14ac:dyDescent="0.3">
      <c r="J127823"/>
    </row>
    <row r="127824" spans="10:10" x14ac:dyDescent="0.3">
      <c r="J127824"/>
    </row>
    <row r="127825" spans="10:10" x14ac:dyDescent="0.3">
      <c r="J127825"/>
    </row>
    <row r="127826" spans="10:10" x14ac:dyDescent="0.3">
      <c r="J127826"/>
    </row>
    <row r="127827" spans="10:10" x14ac:dyDescent="0.3">
      <c r="J127827"/>
    </row>
    <row r="127828" spans="10:10" x14ac:dyDescent="0.3">
      <c r="J127828"/>
    </row>
    <row r="127829" spans="10:10" x14ac:dyDescent="0.3">
      <c r="J127829"/>
    </row>
    <row r="127830" spans="10:10" x14ac:dyDescent="0.3">
      <c r="J127830"/>
    </row>
    <row r="127831" spans="10:10" x14ac:dyDescent="0.3">
      <c r="J127831"/>
    </row>
    <row r="127832" spans="10:10" x14ac:dyDescent="0.3">
      <c r="J127832"/>
    </row>
    <row r="127833" spans="10:10" x14ac:dyDescent="0.3">
      <c r="J127833"/>
    </row>
    <row r="127834" spans="10:10" x14ac:dyDescent="0.3">
      <c r="J127834"/>
    </row>
    <row r="127835" spans="10:10" x14ac:dyDescent="0.3">
      <c r="J127835"/>
    </row>
    <row r="127836" spans="10:10" x14ac:dyDescent="0.3">
      <c r="J127836"/>
    </row>
    <row r="127837" spans="10:10" x14ac:dyDescent="0.3">
      <c r="J127837"/>
    </row>
    <row r="127838" spans="10:10" x14ac:dyDescent="0.3">
      <c r="J127838"/>
    </row>
    <row r="127839" spans="10:10" x14ac:dyDescent="0.3">
      <c r="J127839"/>
    </row>
    <row r="127840" spans="10:10" x14ac:dyDescent="0.3">
      <c r="J127840"/>
    </row>
    <row r="127841" spans="10:10" x14ac:dyDescent="0.3">
      <c r="J127841"/>
    </row>
    <row r="127842" spans="10:10" x14ac:dyDescent="0.3">
      <c r="J127842"/>
    </row>
    <row r="127843" spans="10:10" x14ac:dyDescent="0.3">
      <c r="J127843"/>
    </row>
    <row r="127844" spans="10:10" x14ac:dyDescent="0.3">
      <c r="J127844"/>
    </row>
    <row r="127845" spans="10:10" x14ac:dyDescent="0.3">
      <c r="J127845"/>
    </row>
    <row r="127846" spans="10:10" x14ac:dyDescent="0.3">
      <c r="J127846"/>
    </row>
    <row r="127847" spans="10:10" x14ac:dyDescent="0.3">
      <c r="J127847"/>
    </row>
    <row r="127848" spans="10:10" x14ac:dyDescent="0.3">
      <c r="J127848"/>
    </row>
    <row r="127849" spans="10:10" x14ac:dyDescent="0.3">
      <c r="J127849"/>
    </row>
    <row r="127850" spans="10:10" x14ac:dyDescent="0.3">
      <c r="J127850"/>
    </row>
    <row r="127851" spans="10:10" x14ac:dyDescent="0.3">
      <c r="J127851"/>
    </row>
    <row r="127852" spans="10:10" x14ac:dyDescent="0.3">
      <c r="J127852"/>
    </row>
    <row r="127853" spans="10:10" x14ac:dyDescent="0.3">
      <c r="J127853"/>
    </row>
    <row r="127854" spans="10:10" x14ac:dyDescent="0.3">
      <c r="J127854"/>
    </row>
    <row r="127855" spans="10:10" x14ac:dyDescent="0.3">
      <c r="J127855"/>
    </row>
    <row r="127856" spans="10:10" x14ac:dyDescent="0.3">
      <c r="J127856"/>
    </row>
    <row r="127857" spans="10:10" x14ac:dyDescent="0.3">
      <c r="J127857"/>
    </row>
    <row r="127858" spans="10:10" x14ac:dyDescent="0.3">
      <c r="J127858"/>
    </row>
    <row r="127859" spans="10:10" x14ac:dyDescent="0.3">
      <c r="J127859"/>
    </row>
    <row r="127860" spans="10:10" x14ac:dyDescent="0.3">
      <c r="J127860"/>
    </row>
    <row r="127861" spans="10:10" x14ac:dyDescent="0.3">
      <c r="J127861"/>
    </row>
    <row r="127862" spans="10:10" x14ac:dyDescent="0.3">
      <c r="J127862"/>
    </row>
    <row r="127863" spans="10:10" x14ac:dyDescent="0.3">
      <c r="J127863"/>
    </row>
    <row r="127864" spans="10:10" x14ac:dyDescent="0.3">
      <c r="J127864"/>
    </row>
    <row r="127865" spans="10:10" x14ac:dyDescent="0.3">
      <c r="J127865"/>
    </row>
    <row r="127866" spans="10:10" x14ac:dyDescent="0.3">
      <c r="J127866"/>
    </row>
    <row r="127867" spans="10:10" x14ac:dyDescent="0.3">
      <c r="J127867"/>
    </row>
    <row r="127868" spans="10:10" x14ac:dyDescent="0.3">
      <c r="J127868"/>
    </row>
    <row r="127869" spans="10:10" x14ac:dyDescent="0.3">
      <c r="J127869"/>
    </row>
    <row r="127870" spans="10:10" x14ac:dyDescent="0.3">
      <c r="J127870"/>
    </row>
    <row r="127871" spans="10:10" x14ac:dyDescent="0.3">
      <c r="J127871"/>
    </row>
    <row r="127872" spans="10:10" x14ac:dyDescent="0.3">
      <c r="J127872"/>
    </row>
    <row r="127873" spans="10:10" x14ac:dyDescent="0.3">
      <c r="J127873"/>
    </row>
    <row r="127874" spans="10:10" x14ac:dyDescent="0.3">
      <c r="J127874"/>
    </row>
    <row r="127875" spans="10:10" x14ac:dyDescent="0.3">
      <c r="J127875"/>
    </row>
    <row r="127876" spans="10:10" x14ac:dyDescent="0.3">
      <c r="J127876"/>
    </row>
    <row r="127877" spans="10:10" x14ac:dyDescent="0.3">
      <c r="J127877"/>
    </row>
    <row r="127878" spans="10:10" x14ac:dyDescent="0.3">
      <c r="J127878"/>
    </row>
    <row r="127879" spans="10:10" x14ac:dyDescent="0.3">
      <c r="J127879"/>
    </row>
    <row r="127880" spans="10:10" x14ac:dyDescent="0.3">
      <c r="J127880"/>
    </row>
    <row r="127881" spans="10:10" x14ac:dyDescent="0.3">
      <c r="J127881"/>
    </row>
    <row r="127882" spans="10:10" x14ac:dyDescent="0.3">
      <c r="J127882"/>
    </row>
    <row r="127883" spans="10:10" x14ac:dyDescent="0.3">
      <c r="J127883"/>
    </row>
    <row r="127884" spans="10:10" x14ac:dyDescent="0.3">
      <c r="J127884"/>
    </row>
    <row r="127885" spans="10:10" x14ac:dyDescent="0.3">
      <c r="J127885"/>
    </row>
    <row r="127886" spans="10:10" x14ac:dyDescent="0.3">
      <c r="J127886"/>
    </row>
    <row r="127887" spans="10:10" x14ac:dyDescent="0.3">
      <c r="J127887"/>
    </row>
    <row r="127888" spans="10:10" x14ac:dyDescent="0.3">
      <c r="J127888"/>
    </row>
    <row r="127889" spans="10:10" x14ac:dyDescent="0.3">
      <c r="J127889"/>
    </row>
    <row r="127890" spans="10:10" x14ac:dyDescent="0.3">
      <c r="J127890"/>
    </row>
    <row r="127891" spans="10:10" x14ac:dyDescent="0.3">
      <c r="J127891"/>
    </row>
    <row r="127892" spans="10:10" x14ac:dyDescent="0.3">
      <c r="J127892"/>
    </row>
    <row r="127893" spans="10:10" x14ac:dyDescent="0.3">
      <c r="J127893"/>
    </row>
    <row r="127894" spans="10:10" x14ac:dyDescent="0.3">
      <c r="J127894"/>
    </row>
    <row r="127895" spans="10:10" x14ac:dyDescent="0.3">
      <c r="J127895"/>
    </row>
    <row r="127896" spans="10:10" x14ac:dyDescent="0.3">
      <c r="J127896"/>
    </row>
    <row r="127897" spans="10:10" x14ac:dyDescent="0.3">
      <c r="J127897"/>
    </row>
    <row r="127898" spans="10:10" x14ac:dyDescent="0.3">
      <c r="J127898"/>
    </row>
    <row r="127899" spans="10:10" x14ac:dyDescent="0.3">
      <c r="J127899"/>
    </row>
    <row r="127900" spans="10:10" x14ac:dyDescent="0.3">
      <c r="J127900"/>
    </row>
    <row r="127901" spans="10:10" x14ac:dyDescent="0.3">
      <c r="J127901"/>
    </row>
    <row r="127902" spans="10:10" x14ac:dyDescent="0.3">
      <c r="J127902"/>
    </row>
    <row r="127903" spans="10:10" x14ac:dyDescent="0.3">
      <c r="J127903"/>
    </row>
    <row r="127904" spans="10:10" x14ac:dyDescent="0.3">
      <c r="J127904"/>
    </row>
    <row r="127905" spans="10:10" x14ac:dyDescent="0.3">
      <c r="J127905"/>
    </row>
    <row r="127906" spans="10:10" x14ac:dyDescent="0.3">
      <c r="J127906"/>
    </row>
    <row r="127907" spans="10:10" x14ac:dyDescent="0.3">
      <c r="J127907"/>
    </row>
    <row r="127908" spans="10:10" x14ac:dyDescent="0.3">
      <c r="J127908"/>
    </row>
    <row r="127909" spans="10:10" x14ac:dyDescent="0.3">
      <c r="J127909"/>
    </row>
    <row r="127910" spans="10:10" x14ac:dyDescent="0.3">
      <c r="J127910"/>
    </row>
    <row r="127911" spans="10:10" x14ac:dyDescent="0.3">
      <c r="J127911"/>
    </row>
    <row r="127912" spans="10:10" x14ac:dyDescent="0.3">
      <c r="J127912"/>
    </row>
    <row r="127913" spans="10:10" x14ac:dyDescent="0.3">
      <c r="J127913"/>
    </row>
    <row r="127914" spans="10:10" x14ac:dyDescent="0.3">
      <c r="J127914"/>
    </row>
    <row r="127915" spans="10:10" x14ac:dyDescent="0.3">
      <c r="J127915"/>
    </row>
    <row r="127916" spans="10:10" x14ac:dyDescent="0.3">
      <c r="J127916"/>
    </row>
    <row r="127917" spans="10:10" x14ac:dyDescent="0.3">
      <c r="J127917"/>
    </row>
    <row r="127918" spans="10:10" x14ac:dyDescent="0.3">
      <c r="J127918"/>
    </row>
    <row r="127919" spans="10:10" x14ac:dyDescent="0.3">
      <c r="J127919"/>
    </row>
    <row r="127920" spans="10:10" x14ac:dyDescent="0.3">
      <c r="J127920"/>
    </row>
    <row r="127921" spans="10:10" x14ac:dyDescent="0.3">
      <c r="J127921"/>
    </row>
    <row r="127922" spans="10:10" x14ac:dyDescent="0.3">
      <c r="J127922"/>
    </row>
    <row r="127923" spans="10:10" x14ac:dyDescent="0.3">
      <c r="J127923"/>
    </row>
    <row r="127924" spans="10:10" x14ac:dyDescent="0.3">
      <c r="J127924"/>
    </row>
    <row r="127925" spans="10:10" x14ac:dyDescent="0.3">
      <c r="J127925"/>
    </row>
    <row r="127926" spans="10:10" x14ac:dyDescent="0.3">
      <c r="J127926"/>
    </row>
    <row r="127927" spans="10:10" x14ac:dyDescent="0.3">
      <c r="J127927"/>
    </row>
    <row r="127928" spans="10:10" x14ac:dyDescent="0.3">
      <c r="J127928"/>
    </row>
    <row r="127929" spans="10:10" x14ac:dyDescent="0.3">
      <c r="J127929"/>
    </row>
    <row r="127930" spans="10:10" x14ac:dyDescent="0.3">
      <c r="J127930"/>
    </row>
    <row r="127931" spans="10:10" x14ac:dyDescent="0.3">
      <c r="J127931"/>
    </row>
    <row r="127932" spans="10:10" x14ac:dyDescent="0.3">
      <c r="J127932"/>
    </row>
    <row r="127933" spans="10:10" x14ac:dyDescent="0.3">
      <c r="J127933"/>
    </row>
    <row r="127934" spans="10:10" x14ac:dyDescent="0.3">
      <c r="J127934"/>
    </row>
    <row r="127935" spans="10:10" x14ac:dyDescent="0.3">
      <c r="J127935"/>
    </row>
    <row r="127936" spans="10:10" x14ac:dyDescent="0.3">
      <c r="J127936"/>
    </row>
    <row r="127937" spans="10:10" x14ac:dyDescent="0.3">
      <c r="J127937"/>
    </row>
    <row r="127938" spans="10:10" x14ac:dyDescent="0.3">
      <c r="J127938"/>
    </row>
    <row r="127939" spans="10:10" x14ac:dyDescent="0.3">
      <c r="J127939"/>
    </row>
    <row r="127940" spans="10:10" x14ac:dyDescent="0.3">
      <c r="J127940"/>
    </row>
    <row r="127941" spans="10:10" x14ac:dyDescent="0.3">
      <c r="J127941"/>
    </row>
    <row r="127942" spans="10:10" x14ac:dyDescent="0.3">
      <c r="J127942"/>
    </row>
    <row r="127943" spans="10:10" x14ac:dyDescent="0.3">
      <c r="J127943"/>
    </row>
    <row r="127944" spans="10:10" x14ac:dyDescent="0.3">
      <c r="J127944"/>
    </row>
    <row r="127945" spans="10:10" x14ac:dyDescent="0.3">
      <c r="J127945"/>
    </row>
    <row r="127946" spans="10:10" x14ac:dyDescent="0.3">
      <c r="J127946"/>
    </row>
    <row r="127947" spans="10:10" x14ac:dyDescent="0.3">
      <c r="J127947"/>
    </row>
    <row r="127948" spans="10:10" x14ac:dyDescent="0.3">
      <c r="J127948"/>
    </row>
    <row r="127949" spans="10:10" x14ac:dyDescent="0.3">
      <c r="J127949"/>
    </row>
    <row r="127950" spans="10:10" x14ac:dyDescent="0.3">
      <c r="J127950"/>
    </row>
    <row r="127951" spans="10:10" x14ac:dyDescent="0.3">
      <c r="J127951"/>
    </row>
    <row r="127952" spans="10:10" x14ac:dyDescent="0.3">
      <c r="J127952"/>
    </row>
    <row r="127953" spans="10:10" x14ac:dyDescent="0.3">
      <c r="J127953"/>
    </row>
    <row r="127954" spans="10:10" x14ac:dyDescent="0.3">
      <c r="J127954"/>
    </row>
    <row r="127955" spans="10:10" x14ac:dyDescent="0.3">
      <c r="J127955"/>
    </row>
    <row r="127956" spans="10:10" x14ac:dyDescent="0.3">
      <c r="J127956"/>
    </row>
    <row r="127957" spans="10:10" x14ac:dyDescent="0.3">
      <c r="J127957"/>
    </row>
    <row r="127958" spans="10:10" x14ac:dyDescent="0.3">
      <c r="J127958"/>
    </row>
    <row r="127959" spans="10:10" x14ac:dyDescent="0.3">
      <c r="J127959"/>
    </row>
    <row r="127960" spans="10:10" x14ac:dyDescent="0.3">
      <c r="J127960"/>
    </row>
    <row r="127961" spans="10:10" x14ac:dyDescent="0.3">
      <c r="J127961"/>
    </row>
    <row r="127962" spans="10:10" x14ac:dyDescent="0.3">
      <c r="J127962"/>
    </row>
    <row r="127963" spans="10:10" x14ac:dyDescent="0.3">
      <c r="J127963"/>
    </row>
    <row r="127964" spans="10:10" x14ac:dyDescent="0.3">
      <c r="J127964"/>
    </row>
    <row r="127965" spans="10:10" x14ac:dyDescent="0.3">
      <c r="J127965"/>
    </row>
    <row r="127966" spans="10:10" x14ac:dyDescent="0.3">
      <c r="J127966"/>
    </row>
    <row r="127967" spans="10:10" x14ac:dyDescent="0.3">
      <c r="J127967"/>
    </row>
    <row r="127968" spans="10:10" x14ac:dyDescent="0.3">
      <c r="J127968"/>
    </row>
    <row r="127969" spans="10:10" x14ac:dyDescent="0.3">
      <c r="J127969"/>
    </row>
    <row r="127970" spans="10:10" x14ac:dyDescent="0.3">
      <c r="J127970"/>
    </row>
    <row r="127971" spans="10:10" x14ac:dyDescent="0.3">
      <c r="J127971"/>
    </row>
    <row r="127972" spans="10:10" x14ac:dyDescent="0.3">
      <c r="J127972"/>
    </row>
    <row r="127973" spans="10:10" x14ac:dyDescent="0.3">
      <c r="J127973"/>
    </row>
    <row r="127974" spans="10:10" x14ac:dyDescent="0.3">
      <c r="J127974"/>
    </row>
    <row r="127975" spans="10:10" x14ac:dyDescent="0.3">
      <c r="J127975"/>
    </row>
    <row r="127976" spans="10:10" x14ac:dyDescent="0.3">
      <c r="J127976"/>
    </row>
    <row r="127977" spans="10:10" x14ac:dyDescent="0.3">
      <c r="J127977"/>
    </row>
    <row r="127978" spans="10:10" x14ac:dyDescent="0.3">
      <c r="J127978"/>
    </row>
    <row r="127979" spans="10:10" x14ac:dyDescent="0.3">
      <c r="J127979"/>
    </row>
    <row r="127980" spans="10:10" x14ac:dyDescent="0.3">
      <c r="J127980"/>
    </row>
    <row r="127981" spans="10:10" x14ac:dyDescent="0.3">
      <c r="J127981"/>
    </row>
    <row r="127982" spans="10:10" x14ac:dyDescent="0.3">
      <c r="J127982"/>
    </row>
    <row r="127983" spans="10:10" x14ac:dyDescent="0.3">
      <c r="J127983"/>
    </row>
    <row r="127984" spans="10:10" x14ac:dyDescent="0.3">
      <c r="J127984"/>
    </row>
    <row r="127985" spans="10:10" x14ac:dyDescent="0.3">
      <c r="J127985"/>
    </row>
    <row r="127986" spans="10:10" x14ac:dyDescent="0.3">
      <c r="J127986"/>
    </row>
    <row r="127987" spans="10:10" x14ac:dyDescent="0.3">
      <c r="J127987"/>
    </row>
    <row r="127988" spans="10:10" x14ac:dyDescent="0.3">
      <c r="J127988"/>
    </row>
    <row r="127989" spans="10:10" x14ac:dyDescent="0.3">
      <c r="J127989"/>
    </row>
    <row r="127990" spans="10:10" x14ac:dyDescent="0.3">
      <c r="J127990"/>
    </row>
    <row r="127991" spans="10:10" x14ac:dyDescent="0.3">
      <c r="J127991"/>
    </row>
    <row r="127992" spans="10:10" x14ac:dyDescent="0.3">
      <c r="J127992"/>
    </row>
    <row r="127993" spans="10:10" x14ac:dyDescent="0.3">
      <c r="J127993"/>
    </row>
    <row r="127994" spans="10:10" x14ac:dyDescent="0.3">
      <c r="J127994"/>
    </row>
    <row r="127995" spans="10:10" x14ac:dyDescent="0.3">
      <c r="J127995"/>
    </row>
    <row r="127996" spans="10:10" x14ac:dyDescent="0.3">
      <c r="J127996"/>
    </row>
    <row r="127997" spans="10:10" x14ac:dyDescent="0.3">
      <c r="J127997"/>
    </row>
    <row r="127998" spans="10:10" x14ac:dyDescent="0.3">
      <c r="J127998"/>
    </row>
    <row r="127999" spans="10:10" x14ac:dyDescent="0.3">
      <c r="J127999"/>
    </row>
    <row r="128000" spans="10:10" x14ac:dyDescent="0.3">
      <c r="J128000"/>
    </row>
    <row r="128001" spans="10:10" x14ac:dyDescent="0.3">
      <c r="J128001"/>
    </row>
    <row r="128002" spans="10:10" x14ac:dyDescent="0.3">
      <c r="J128002"/>
    </row>
    <row r="128003" spans="10:10" x14ac:dyDescent="0.3">
      <c r="J128003"/>
    </row>
    <row r="128004" spans="10:10" x14ac:dyDescent="0.3">
      <c r="J128004"/>
    </row>
    <row r="128005" spans="10:10" x14ac:dyDescent="0.3">
      <c r="J128005"/>
    </row>
    <row r="128006" spans="10:10" x14ac:dyDescent="0.3">
      <c r="J128006"/>
    </row>
    <row r="128007" spans="10:10" x14ac:dyDescent="0.3">
      <c r="J128007"/>
    </row>
    <row r="128008" spans="10:10" x14ac:dyDescent="0.3">
      <c r="J128008"/>
    </row>
    <row r="128009" spans="10:10" x14ac:dyDescent="0.3">
      <c r="J128009"/>
    </row>
    <row r="128010" spans="10:10" x14ac:dyDescent="0.3">
      <c r="J128010"/>
    </row>
    <row r="128011" spans="10:10" x14ac:dyDescent="0.3">
      <c r="J128011"/>
    </row>
    <row r="128012" spans="10:10" x14ac:dyDescent="0.3">
      <c r="J128012"/>
    </row>
    <row r="128013" spans="10:10" x14ac:dyDescent="0.3">
      <c r="J128013"/>
    </row>
    <row r="128014" spans="10:10" x14ac:dyDescent="0.3">
      <c r="J128014"/>
    </row>
    <row r="128015" spans="10:10" x14ac:dyDescent="0.3">
      <c r="J128015"/>
    </row>
    <row r="128016" spans="10:10" x14ac:dyDescent="0.3">
      <c r="J128016"/>
    </row>
    <row r="128017" spans="10:10" x14ac:dyDescent="0.3">
      <c r="J128017"/>
    </row>
    <row r="128018" spans="10:10" x14ac:dyDescent="0.3">
      <c r="J128018"/>
    </row>
    <row r="128019" spans="10:10" x14ac:dyDescent="0.3">
      <c r="J128019"/>
    </row>
    <row r="128020" spans="10:10" x14ac:dyDescent="0.3">
      <c r="J128020"/>
    </row>
    <row r="128021" spans="10:10" x14ac:dyDescent="0.3">
      <c r="J128021"/>
    </row>
    <row r="128022" spans="10:10" x14ac:dyDescent="0.3">
      <c r="J128022"/>
    </row>
    <row r="128023" spans="10:10" x14ac:dyDescent="0.3">
      <c r="J128023"/>
    </row>
    <row r="128024" spans="10:10" x14ac:dyDescent="0.3">
      <c r="J128024"/>
    </row>
    <row r="128025" spans="10:10" x14ac:dyDescent="0.3">
      <c r="J128025"/>
    </row>
    <row r="128026" spans="10:10" x14ac:dyDescent="0.3">
      <c r="J128026"/>
    </row>
    <row r="128027" spans="10:10" x14ac:dyDescent="0.3">
      <c r="J128027"/>
    </row>
    <row r="128028" spans="10:10" x14ac:dyDescent="0.3">
      <c r="J128028"/>
    </row>
    <row r="128029" spans="10:10" x14ac:dyDescent="0.3">
      <c r="J128029"/>
    </row>
    <row r="128030" spans="10:10" x14ac:dyDescent="0.3">
      <c r="J128030"/>
    </row>
    <row r="128031" spans="10:10" x14ac:dyDescent="0.3">
      <c r="J128031"/>
    </row>
    <row r="128032" spans="10:10" x14ac:dyDescent="0.3">
      <c r="J128032"/>
    </row>
    <row r="128033" spans="10:10" x14ac:dyDescent="0.3">
      <c r="J128033"/>
    </row>
    <row r="128034" spans="10:10" x14ac:dyDescent="0.3">
      <c r="J128034"/>
    </row>
    <row r="128035" spans="10:10" x14ac:dyDescent="0.3">
      <c r="J128035"/>
    </row>
    <row r="128036" spans="10:10" x14ac:dyDescent="0.3">
      <c r="J128036"/>
    </row>
    <row r="128037" spans="10:10" x14ac:dyDescent="0.3">
      <c r="J128037"/>
    </row>
    <row r="128038" spans="10:10" x14ac:dyDescent="0.3">
      <c r="J128038"/>
    </row>
    <row r="128039" spans="10:10" x14ac:dyDescent="0.3">
      <c r="J128039"/>
    </row>
    <row r="128040" spans="10:10" x14ac:dyDescent="0.3">
      <c r="J128040"/>
    </row>
    <row r="128041" spans="10:10" x14ac:dyDescent="0.3">
      <c r="J128041"/>
    </row>
    <row r="128042" spans="10:10" x14ac:dyDescent="0.3">
      <c r="J128042"/>
    </row>
    <row r="128043" spans="10:10" x14ac:dyDescent="0.3">
      <c r="J128043"/>
    </row>
    <row r="128044" spans="10:10" x14ac:dyDescent="0.3">
      <c r="J128044"/>
    </row>
    <row r="128045" spans="10:10" x14ac:dyDescent="0.3">
      <c r="J128045"/>
    </row>
    <row r="128046" spans="10:10" x14ac:dyDescent="0.3">
      <c r="J128046"/>
    </row>
    <row r="128047" spans="10:10" x14ac:dyDescent="0.3">
      <c r="J128047"/>
    </row>
    <row r="128048" spans="10:10" x14ac:dyDescent="0.3">
      <c r="J128048"/>
    </row>
    <row r="128049" spans="10:10" x14ac:dyDescent="0.3">
      <c r="J128049"/>
    </row>
    <row r="128050" spans="10:10" x14ac:dyDescent="0.3">
      <c r="J128050"/>
    </row>
    <row r="128051" spans="10:10" x14ac:dyDescent="0.3">
      <c r="J128051"/>
    </row>
    <row r="128052" spans="10:10" x14ac:dyDescent="0.3">
      <c r="J128052"/>
    </row>
    <row r="128053" spans="10:10" x14ac:dyDescent="0.3">
      <c r="J128053"/>
    </row>
    <row r="128054" spans="10:10" x14ac:dyDescent="0.3">
      <c r="J128054"/>
    </row>
    <row r="128055" spans="10:10" x14ac:dyDescent="0.3">
      <c r="J128055"/>
    </row>
    <row r="128056" spans="10:10" x14ac:dyDescent="0.3">
      <c r="J128056"/>
    </row>
    <row r="128057" spans="10:10" x14ac:dyDescent="0.3">
      <c r="J128057"/>
    </row>
    <row r="128058" spans="10:10" x14ac:dyDescent="0.3">
      <c r="J128058"/>
    </row>
    <row r="128059" spans="10:10" x14ac:dyDescent="0.3">
      <c r="J128059"/>
    </row>
    <row r="128060" spans="10:10" x14ac:dyDescent="0.3">
      <c r="J128060"/>
    </row>
    <row r="128061" spans="10:10" x14ac:dyDescent="0.3">
      <c r="J128061"/>
    </row>
    <row r="128062" spans="10:10" x14ac:dyDescent="0.3">
      <c r="J128062"/>
    </row>
    <row r="128063" spans="10:10" x14ac:dyDescent="0.3">
      <c r="J128063"/>
    </row>
    <row r="128064" spans="10:10" x14ac:dyDescent="0.3">
      <c r="J128064"/>
    </row>
    <row r="128065" spans="10:10" x14ac:dyDescent="0.3">
      <c r="J128065"/>
    </row>
    <row r="128066" spans="10:10" x14ac:dyDescent="0.3">
      <c r="J128066"/>
    </row>
    <row r="128067" spans="10:10" x14ac:dyDescent="0.3">
      <c r="J128067"/>
    </row>
    <row r="128068" spans="10:10" x14ac:dyDescent="0.3">
      <c r="J128068"/>
    </row>
    <row r="128069" spans="10:10" x14ac:dyDescent="0.3">
      <c r="J128069"/>
    </row>
    <row r="128070" spans="10:10" x14ac:dyDescent="0.3">
      <c r="J128070"/>
    </row>
    <row r="128071" spans="10:10" x14ac:dyDescent="0.3">
      <c r="J128071"/>
    </row>
    <row r="128072" spans="10:10" x14ac:dyDescent="0.3">
      <c r="J128072"/>
    </row>
    <row r="128073" spans="10:10" x14ac:dyDescent="0.3">
      <c r="J128073"/>
    </row>
    <row r="128074" spans="10:10" x14ac:dyDescent="0.3">
      <c r="J128074"/>
    </row>
    <row r="128075" spans="10:10" x14ac:dyDescent="0.3">
      <c r="J128075"/>
    </row>
    <row r="128076" spans="10:10" x14ac:dyDescent="0.3">
      <c r="J128076"/>
    </row>
    <row r="128077" spans="10:10" x14ac:dyDescent="0.3">
      <c r="J128077"/>
    </row>
    <row r="128078" spans="10:10" x14ac:dyDescent="0.3">
      <c r="J128078"/>
    </row>
    <row r="128079" spans="10:10" x14ac:dyDescent="0.3">
      <c r="J128079"/>
    </row>
    <row r="128080" spans="10:10" x14ac:dyDescent="0.3">
      <c r="J128080"/>
    </row>
    <row r="128081" spans="10:10" x14ac:dyDescent="0.3">
      <c r="J128081"/>
    </row>
    <row r="128082" spans="10:10" x14ac:dyDescent="0.3">
      <c r="J128082"/>
    </row>
    <row r="128083" spans="10:10" x14ac:dyDescent="0.3">
      <c r="J128083"/>
    </row>
    <row r="128084" spans="10:10" x14ac:dyDescent="0.3">
      <c r="J128084"/>
    </row>
    <row r="128085" spans="10:10" x14ac:dyDescent="0.3">
      <c r="J128085"/>
    </row>
    <row r="128086" spans="10:10" x14ac:dyDescent="0.3">
      <c r="J128086"/>
    </row>
    <row r="128087" spans="10:10" x14ac:dyDescent="0.3">
      <c r="J128087"/>
    </row>
    <row r="128088" spans="10:10" x14ac:dyDescent="0.3">
      <c r="J128088"/>
    </row>
    <row r="128089" spans="10:10" x14ac:dyDescent="0.3">
      <c r="J128089"/>
    </row>
    <row r="128090" spans="10:10" x14ac:dyDescent="0.3">
      <c r="J128090"/>
    </row>
    <row r="128091" spans="10:10" x14ac:dyDescent="0.3">
      <c r="J128091"/>
    </row>
    <row r="128092" spans="10:10" x14ac:dyDescent="0.3">
      <c r="J128092"/>
    </row>
    <row r="128093" spans="10:10" x14ac:dyDescent="0.3">
      <c r="J128093"/>
    </row>
    <row r="128094" spans="10:10" x14ac:dyDescent="0.3">
      <c r="J128094"/>
    </row>
    <row r="128095" spans="10:10" x14ac:dyDescent="0.3">
      <c r="J128095"/>
    </row>
    <row r="128096" spans="10:10" x14ac:dyDescent="0.3">
      <c r="J128096"/>
    </row>
    <row r="128097" spans="10:10" x14ac:dyDescent="0.3">
      <c r="J128097"/>
    </row>
    <row r="128098" spans="10:10" x14ac:dyDescent="0.3">
      <c r="J128098"/>
    </row>
    <row r="128099" spans="10:10" x14ac:dyDescent="0.3">
      <c r="J128099"/>
    </row>
    <row r="128100" spans="10:10" x14ac:dyDescent="0.3">
      <c r="J128100"/>
    </row>
    <row r="128101" spans="10:10" x14ac:dyDescent="0.3">
      <c r="J128101"/>
    </row>
    <row r="128102" spans="10:10" x14ac:dyDescent="0.3">
      <c r="J128102"/>
    </row>
    <row r="128103" spans="10:10" x14ac:dyDescent="0.3">
      <c r="J128103"/>
    </row>
    <row r="128104" spans="10:10" x14ac:dyDescent="0.3">
      <c r="J128104"/>
    </row>
    <row r="128105" spans="10:10" x14ac:dyDescent="0.3">
      <c r="J128105"/>
    </row>
    <row r="128106" spans="10:10" x14ac:dyDescent="0.3">
      <c r="J128106"/>
    </row>
    <row r="128107" spans="10:10" x14ac:dyDescent="0.3">
      <c r="J128107"/>
    </row>
    <row r="128108" spans="10:10" x14ac:dyDescent="0.3">
      <c r="J128108"/>
    </row>
    <row r="128109" spans="10:10" x14ac:dyDescent="0.3">
      <c r="J128109"/>
    </row>
    <row r="128110" spans="10:10" x14ac:dyDescent="0.3">
      <c r="J128110"/>
    </row>
    <row r="128111" spans="10:10" x14ac:dyDescent="0.3">
      <c r="J128111"/>
    </row>
    <row r="128112" spans="10:10" x14ac:dyDescent="0.3">
      <c r="J128112"/>
    </row>
    <row r="128113" spans="10:10" x14ac:dyDescent="0.3">
      <c r="J128113"/>
    </row>
    <row r="128114" spans="10:10" x14ac:dyDescent="0.3">
      <c r="J128114"/>
    </row>
    <row r="128115" spans="10:10" x14ac:dyDescent="0.3">
      <c r="J128115"/>
    </row>
    <row r="128116" spans="10:10" x14ac:dyDescent="0.3">
      <c r="J128116"/>
    </row>
    <row r="128117" spans="10:10" x14ac:dyDescent="0.3">
      <c r="J128117"/>
    </row>
    <row r="128118" spans="10:10" x14ac:dyDescent="0.3">
      <c r="J128118"/>
    </row>
    <row r="128119" spans="10:10" x14ac:dyDescent="0.3">
      <c r="J128119"/>
    </row>
    <row r="128120" spans="10:10" x14ac:dyDescent="0.3">
      <c r="J128120"/>
    </row>
    <row r="128121" spans="10:10" x14ac:dyDescent="0.3">
      <c r="J128121"/>
    </row>
    <row r="128122" spans="10:10" x14ac:dyDescent="0.3">
      <c r="J128122"/>
    </row>
    <row r="128123" spans="10:10" x14ac:dyDescent="0.3">
      <c r="J128123"/>
    </row>
    <row r="128124" spans="10:10" x14ac:dyDescent="0.3">
      <c r="J128124"/>
    </row>
    <row r="128125" spans="10:10" x14ac:dyDescent="0.3">
      <c r="J128125"/>
    </row>
    <row r="128126" spans="10:10" x14ac:dyDescent="0.3">
      <c r="J128126"/>
    </row>
    <row r="128127" spans="10:10" x14ac:dyDescent="0.3">
      <c r="J128127"/>
    </row>
    <row r="128128" spans="10:10" x14ac:dyDescent="0.3">
      <c r="J128128"/>
    </row>
    <row r="128129" spans="10:10" x14ac:dyDescent="0.3">
      <c r="J128129"/>
    </row>
    <row r="128130" spans="10:10" x14ac:dyDescent="0.3">
      <c r="J128130"/>
    </row>
    <row r="128131" spans="10:10" x14ac:dyDescent="0.3">
      <c r="J128131"/>
    </row>
    <row r="128132" spans="10:10" x14ac:dyDescent="0.3">
      <c r="J128132"/>
    </row>
    <row r="128133" spans="10:10" x14ac:dyDescent="0.3">
      <c r="J128133"/>
    </row>
    <row r="128134" spans="10:10" x14ac:dyDescent="0.3">
      <c r="J128134"/>
    </row>
    <row r="128135" spans="10:10" x14ac:dyDescent="0.3">
      <c r="J128135"/>
    </row>
    <row r="128136" spans="10:10" x14ac:dyDescent="0.3">
      <c r="J128136"/>
    </row>
    <row r="128137" spans="10:10" x14ac:dyDescent="0.3">
      <c r="J128137"/>
    </row>
    <row r="128138" spans="10:10" x14ac:dyDescent="0.3">
      <c r="J128138"/>
    </row>
    <row r="128139" spans="10:10" x14ac:dyDescent="0.3">
      <c r="J128139"/>
    </row>
    <row r="128140" spans="10:10" x14ac:dyDescent="0.3">
      <c r="J128140"/>
    </row>
    <row r="128141" spans="10:10" x14ac:dyDescent="0.3">
      <c r="J128141"/>
    </row>
    <row r="128142" spans="10:10" x14ac:dyDescent="0.3">
      <c r="J128142"/>
    </row>
    <row r="128143" spans="10:10" x14ac:dyDescent="0.3">
      <c r="J128143"/>
    </row>
    <row r="128144" spans="10:10" x14ac:dyDescent="0.3">
      <c r="J128144"/>
    </row>
    <row r="128145" spans="10:10" x14ac:dyDescent="0.3">
      <c r="J128145"/>
    </row>
    <row r="128146" spans="10:10" x14ac:dyDescent="0.3">
      <c r="J128146"/>
    </row>
    <row r="128147" spans="10:10" x14ac:dyDescent="0.3">
      <c r="J128147"/>
    </row>
    <row r="128148" spans="10:10" x14ac:dyDescent="0.3">
      <c r="J128148"/>
    </row>
    <row r="128149" spans="10:10" x14ac:dyDescent="0.3">
      <c r="J128149"/>
    </row>
    <row r="128150" spans="10:10" x14ac:dyDescent="0.3">
      <c r="J128150"/>
    </row>
    <row r="128151" spans="10:10" x14ac:dyDescent="0.3">
      <c r="J128151"/>
    </row>
    <row r="128152" spans="10:10" x14ac:dyDescent="0.3">
      <c r="J128152"/>
    </row>
    <row r="128153" spans="10:10" x14ac:dyDescent="0.3">
      <c r="J128153"/>
    </row>
    <row r="128154" spans="10:10" x14ac:dyDescent="0.3">
      <c r="J128154"/>
    </row>
    <row r="128155" spans="10:10" x14ac:dyDescent="0.3">
      <c r="J128155"/>
    </row>
    <row r="128156" spans="10:10" x14ac:dyDescent="0.3">
      <c r="J128156"/>
    </row>
    <row r="128157" spans="10:10" x14ac:dyDescent="0.3">
      <c r="J128157"/>
    </row>
    <row r="128158" spans="10:10" x14ac:dyDescent="0.3">
      <c r="J128158"/>
    </row>
    <row r="128159" spans="10:10" x14ac:dyDescent="0.3">
      <c r="J128159"/>
    </row>
    <row r="128160" spans="10:10" x14ac:dyDescent="0.3">
      <c r="J128160"/>
    </row>
    <row r="128161" spans="10:10" x14ac:dyDescent="0.3">
      <c r="J128161"/>
    </row>
    <row r="128162" spans="10:10" x14ac:dyDescent="0.3">
      <c r="J128162"/>
    </row>
    <row r="128163" spans="10:10" x14ac:dyDescent="0.3">
      <c r="J128163"/>
    </row>
    <row r="128164" spans="10:10" x14ac:dyDescent="0.3">
      <c r="J128164"/>
    </row>
    <row r="128165" spans="10:10" x14ac:dyDescent="0.3">
      <c r="J128165"/>
    </row>
    <row r="128166" spans="10:10" x14ac:dyDescent="0.3">
      <c r="J128166"/>
    </row>
    <row r="128167" spans="10:10" x14ac:dyDescent="0.3">
      <c r="J128167"/>
    </row>
    <row r="128168" spans="10:10" x14ac:dyDescent="0.3">
      <c r="J128168"/>
    </row>
    <row r="128169" spans="10:10" x14ac:dyDescent="0.3">
      <c r="J128169"/>
    </row>
    <row r="128170" spans="10:10" x14ac:dyDescent="0.3">
      <c r="J128170"/>
    </row>
    <row r="128171" spans="10:10" x14ac:dyDescent="0.3">
      <c r="J128171"/>
    </row>
    <row r="128172" spans="10:10" x14ac:dyDescent="0.3">
      <c r="J128172"/>
    </row>
    <row r="128173" spans="10:10" x14ac:dyDescent="0.3">
      <c r="J128173"/>
    </row>
    <row r="128174" spans="10:10" x14ac:dyDescent="0.3">
      <c r="J128174"/>
    </row>
    <row r="128175" spans="10:10" x14ac:dyDescent="0.3">
      <c r="J128175"/>
    </row>
    <row r="128176" spans="10:10" x14ac:dyDescent="0.3">
      <c r="J128176"/>
    </row>
    <row r="128177" spans="10:10" x14ac:dyDescent="0.3">
      <c r="J128177"/>
    </row>
    <row r="128178" spans="10:10" x14ac:dyDescent="0.3">
      <c r="J128178"/>
    </row>
    <row r="128179" spans="10:10" x14ac:dyDescent="0.3">
      <c r="J128179"/>
    </row>
    <row r="128180" spans="10:10" x14ac:dyDescent="0.3">
      <c r="J128180"/>
    </row>
    <row r="128181" spans="10:10" x14ac:dyDescent="0.3">
      <c r="J128181"/>
    </row>
    <row r="128182" spans="10:10" x14ac:dyDescent="0.3">
      <c r="J128182"/>
    </row>
    <row r="128183" spans="10:10" x14ac:dyDescent="0.3">
      <c r="J128183"/>
    </row>
    <row r="128184" spans="10:10" x14ac:dyDescent="0.3">
      <c r="J128184"/>
    </row>
    <row r="128185" spans="10:10" x14ac:dyDescent="0.3">
      <c r="J128185"/>
    </row>
    <row r="128186" spans="10:10" x14ac:dyDescent="0.3">
      <c r="J128186"/>
    </row>
    <row r="128187" spans="10:10" x14ac:dyDescent="0.3">
      <c r="J128187"/>
    </row>
    <row r="128188" spans="10:10" x14ac:dyDescent="0.3">
      <c r="J128188"/>
    </row>
    <row r="128189" spans="10:10" x14ac:dyDescent="0.3">
      <c r="J128189"/>
    </row>
    <row r="128190" spans="10:10" x14ac:dyDescent="0.3">
      <c r="J128190"/>
    </row>
    <row r="128191" spans="10:10" x14ac:dyDescent="0.3">
      <c r="J128191"/>
    </row>
    <row r="128192" spans="10:10" x14ac:dyDescent="0.3">
      <c r="J128192"/>
    </row>
    <row r="128193" spans="10:10" x14ac:dyDescent="0.3">
      <c r="J128193"/>
    </row>
    <row r="128194" spans="10:10" x14ac:dyDescent="0.3">
      <c r="J128194"/>
    </row>
    <row r="128195" spans="10:10" x14ac:dyDescent="0.3">
      <c r="J128195"/>
    </row>
    <row r="128196" spans="10:10" x14ac:dyDescent="0.3">
      <c r="J128196"/>
    </row>
    <row r="128197" spans="10:10" x14ac:dyDescent="0.3">
      <c r="J128197"/>
    </row>
    <row r="128198" spans="10:10" x14ac:dyDescent="0.3">
      <c r="J128198"/>
    </row>
    <row r="128199" spans="10:10" x14ac:dyDescent="0.3">
      <c r="J128199"/>
    </row>
    <row r="128200" spans="10:10" x14ac:dyDescent="0.3">
      <c r="J128200"/>
    </row>
    <row r="128201" spans="10:10" x14ac:dyDescent="0.3">
      <c r="J128201"/>
    </row>
    <row r="128202" spans="10:10" x14ac:dyDescent="0.3">
      <c r="J128202"/>
    </row>
    <row r="128203" spans="10:10" x14ac:dyDescent="0.3">
      <c r="J128203"/>
    </row>
    <row r="128204" spans="10:10" x14ac:dyDescent="0.3">
      <c r="J128204"/>
    </row>
    <row r="128205" spans="10:10" x14ac:dyDescent="0.3">
      <c r="J128205"/>
    </row>
    <row r="128206" spans="10:10" x14ac:dyDescent="0.3">
      <c r="J128206"/>
    </row>
    <row r="128207" spans="10:10" x14ac:dyDescent="0.3">
      <c r="J128207"/>
    </row>
    <row r="128208" spans="10:10" x14ac:dyDescent="0.3">
      <c r="J128208"/>
    </row>
    <row r="128209" spans="10:10" x14ac:dyDescent="0.3">
      <c r="J128209"/>
    </row>
    <row r="128210" spans="10:10" x14ac:dyDescent="0.3">
      <c r="J128210"/>
    </row>
    <row r="128211" spans="10:10" x14ac:dyDescent="0.3">
      <c r="J128211"/>
    </row>
    <row r="128212" spans="10:10" x14ac:dyDescent="0.3">
      <c r="J128212"/>
    </row>
    <row r="128213" spans="10:10" x14ac:dyDescent="0.3">
      <c r="J128213"/>
    </row>
    <row r="128214" spans="10:10" x14ac:dyDescent="0.3">
      <c r="J128214"/>
    </row>
    <row r="128215" spans="10:10" x14ac:dyDescent="0.3">
      <c r="J128215"/>
    </row>
    <row r="128216" spans="10:10" x14ac:dyDescent="0.3">
      <c r="J128216"/>
    </row>
    <row r="128217" spans="10:10" x14ac:dyDescent="0.3">
      <c r="J128217"/>
    </row>
    <row r="128218" spans="10:10" x14ac:dyDescent="0.3">
      <c r="J128218"/>
    </row>
    <row r="128219" spans="10:10" x14ac:dyDescent="0.3">
      <c r="J128219"/>
    </row>
    <row r="128220" spans="10:10" x14ac:dyDescent="0.3">
      <c r="J128220"/>
    </row>
    <row r="128221" spans="10:10" x14ac:dyDescent="0.3">
      <c r="J128221"/>
    </row>
    <row r="128222" spans="10:10" x14ac:dyDescent="0.3">
      <c r="J128222"/>
    </row>
    <row r="128223" spans="10:10" x14ac:dyDescent="0.3">
      <c r="J128223"/>
    </row>
    <row r="128224" spans="10:10" x14ac:dyDescent="0.3">
      <c r="J128224"/>
    </row>
    <row r="128225" spans="10:10" x14ac:dyDescent="0.3">
      <c r="J128225"/>
    </row>
    <row r="128226" spans="10:10" x14ac:dyDescent="0.3">
      <c r="J128226"/>
    </row>
    <row r="128227" spans="10:10" x14ac:dyDescent="0.3">
      <c r="J128227"/>
    </row>
    <row r="128228" spans="10:10" x14ac:dyDescent="0.3">
      <c r="J128228"/>
    </row>
    <row r="128229" spans="10:10" x14ac:dyDescent="0.3">
      <c r="J128229"/>
    </row>
    <row r="128230" spans="10:10" x14ac:dyDescent="0.3">
      <c r="J128230"/>
    </row>
    <row r="128231" spans="10:10" x14ac:dyDescent="0.3">
      <c r="J128231"/>
    </row>
    <row r="128232" spans="10:10" x14ac:dyDescent="0.3">
      <c r="J128232"/>
    </row>
    <row r="128233" spans="10:10" x14ac:dyDescent="0.3">
      <c r="J128233"/>
    </row>
    <row r="128234" spans="10:10" x14ac:dyDescent="0.3">
      <c r="J128234"/>
    </row>
    <row r="128235" spans="10:10" x14ac:dyDescent="0.3">
      <c r="J128235"/>
    </row>
    <row r="128236" spans="10:10" x14ac:dyDescent="0.3">
      <c r="J128236"/>
    </row>
    <row r="128237" spans="10:10" x14ac:dyDescent="0.3">
      <c r="J128237"/>
    </row>
    <row r="128238" spans="10:10" x14ac:dyDescent="0.3">
      <c r="J128238"/>
    </row>
    <row r="128239" spans="10:10" x14ac:dyDescent="0.3">
      <c r="J128239"/>
    </row>
    <row r="128240" spans="10:10" x14ac:dyDescent="0.3">
      <c r="J128240"/>
    </row>
    <row r="128241" spans="10:10" x14ac:dyDescent="0.3">
      <c r="J128241"/>
    </row>
    <row r="128242" spans="10:10" x14ac:dyDescent="0.3">
      <c r="J128242"/>
    </row>
    <row r="128243" spans="10:10" x14ac:dyDescent="0.3">
      <c r="J128243"/>
    </row>
    <row r="128244" spans="10:10" x14ac:dyDescent="0.3">
      <c r="J128244"/>
    </row>
    <row r="128245" spans="10:10" x14ac:dyDescent="0.3">
      <c r="J128245"/>
    </row>
    <row r="128246" spans="10:10" x14ac:dyDescent="0.3">
      <c r="J128246"/>
    </row>
    <row r="128247" spans="10:10" x14ac:dyDescent="0.3">
      <c r="J128247"/>
    </row>
    <row r="128248" spans="10:10" x14ac:dyDescent="0.3">
      <c r="J128248"/>
    </row>
    <row r="128249" spans="10:10" x14ac:dyDescent="0.3">
      <c r="J128249"/>
    </row>
    <row r="128250" spans="10:10" x14ac:dyDescent="0.3">
      <c r="J128250"/>
    </row>
    <row r="128251" spans="10:10" x14ac:dyDescent="0.3">
      <c r="J128251"/>
    </row>
    <row r="128252" spans="10:10" x14ac:dyDescent="0.3">
      <c r="J128252"/>
    </row>
    <row r="128253" spans="10:10" x14ac:dyDescent="0.3">
      <c r="J128253"/>
    </row>
    <row r="128254" spans="10:10" x14ac:dyDescent="0.3">
      <c r="J128254"/>
    </row>
    <row r="128255" spans="10:10" x14ac:dyDescent="0.3">
      <c r="J128255"/>
    </row>
    <row r="128256" spans="10:10" x14ac:dyDescent="0.3">
      <c r="J128256"/>
    </row>
    <row r="128257" spans="10:10" x14ac:dyDescent="0.3">
      <c r="J128257"/>
    </row>
    <row r="128258" spans="10:10" x14ac:dyDescent="0.3">
      <c r="J128258"/>
    </row>
    <row r="128259" spans="10:10" x14ac:dyDescent="0.3">
      <c r="J128259"/>
    </row>
    <row r="128260" spans="10:10" x14ac:dyDescent="0.3">
      <c r="J128260"/>
    </row>
    <row r="128261" spans="10:10" x14ac:dyDescent="0.3">
      <c r="J128261"/>
    </row>
    <row r="128262" spans="10:10" x14ac:dyDescent="0.3">
      <c r="J128262"/>
    </row>
    <row r="128263" spans="10:10" x14ac:dyDescent="0.3">
      <c r="J128263"/>
    </row>
    <row r="128264" spans="10:10" x14ac:dyDescent="0.3">
      <c r="J128264"/>
    </row>
    <row r="128265" spans="10:10" x14ac:dyDescent="0.3">
      <c r="J128265"/>
    </row>
    <row r="128266" spans="10:10" x14ac:dyDescent="0.3">
      <c r="J128266"/>
    </row>
    <row r="128267" spans="10:10" x14ac:dyDescent="0.3">
      <c r="J128267"/>
    </row>
    <row r="128268" spans="10:10" x14ac:dyDescent="0.3">
      <c r="J128268"/>
    </row>
    <row r="128269" spans="10:10" x14ac:dyDescent="0.3">
      <c r="J128269"/>
    </row>
    <row r="128270" spans="10:10" x14ac:dyDescent="0.3">
      <c r="J128270"/>
    </row>
    <row r="128271" spans="10:10" x14ac:dyDescent="0.3">
      <c r="J128271"/>
    </row>
    <row r="128272" spans="10:10" x14ac:dyDescent="0.3">
      <c r="J128272"/>
    </row>
    <row r="128273" spans="10:10" x14ac:dyDescent="0.3">
      <c r="J128273"/>
    </row>
    <row r="128274" spans="10:10" x14ac:dyDescent="0.3">
      <c r="J128274"/>
    </row>
    <row r="128275" spans="10:10" x14ac:dyDescent="0.3">
      <c r="J128275"/>
    </row>
    <row r="128276" spans="10:10" x14ac:dyDescent="0.3">
      <c r="J128276"/>
    </row>
    <row r="128277" spans="10:10" x14ac:dyDescent="0.3">
      <c r="J128277"/>
    </row>
    <row r="128278" spans="10:10" x14ac:dyDescent="0.3">
      <c r="J128278"/>
    </row>
    <row r="128279" spans="10:10" x14ac:dyDescent="0.3">
      <c r="J128279"/>
    </row>
    <row r="128280" spans="10:10" x14ac:dyDescent="0.3">
      <c r="J128280"/>
    </row>
    <row r="128281" spans="10:10" x14ac:dyDescent="0.3">
      <c r="J128281"/>
    </row>
    <row r="128282" spans="10:10" x14ac:dyDescent="0.3">
      <c r="J128282"/>
    </row>
    <row r="128283" spans="10:10" x14ac:dyDescent="0.3">
      <c r="J128283"/>
    </row>
    <row r="128284" spans="10:10" x14ac:dyDescent="0.3">
      <c r="J128284"/>
    </row>
    <row r="128285" spans="10:10" x14ac:dyDescent="0.3">
      <c r="J128285"/>
    </row>
    <row r="128286" spans="10:10" x14ac:dyDescent="0.3">
      <c r="J128286"/>
    </row>
    <row r="128287" spans="10:10" x14ac:dyDescent="0.3">
      <c r="J128287"/>
    </row>
    <row r="128288" spans="10:10" x14ac:dyDescent="0.3">
      <c r="J128288"/>
    </row>
    <row r="128289" spans="10:10" x14ac:dyDescent="0.3">
      <c r="J128289"/>
    </row>
    <row r="128290" spans="10:10" x14ac:dyDescent="0.3">
      <c r="J128290"/>
    </row>
    <row r="128291" spans="10:10" x14ac:dyDescent="0.3">
      <c r="J128291"/>
    </row>
    <row r="128292" spans="10:10" x14ac:dyDescent="0.3">
      <c r="J128292"/>
    </row>
    <row r="128293" spans="10:10" x14ac:dyDescent="0.3">
      <c r="J128293"/>
    </row>
    <row r="128294" spans="10:10" x14ac:dyDescent="0.3">
      <c r="J128294"/>
    </row>
    <row r="128295" spans="10:10" x14ac:dyDescent="0.3">
      <c r="J128295"/>
    </row>
    <row r="128296" spans="10:10" x14ac:dyDescent="0.3">
      <c r="J128296"/>
    </row>
    <row r="128297" spans="10:10" x14ac:dyDescent="0.3">
      <c r="J128297"/>
    </row>
    <row r="128298" spans="10:10" x14ac:dyDescent="0.3">
      <c r="J128298"/>
    </row>
    <row r="128299" spans="10:10" x14ac:dyDescent="0.3">
      <c r="J128299"/>
    </row>
    <row r="128300" spans="10:10" x14ac:dyDescent="0.3">
      <c r="J128300"/>
    </row>
    <row r="128301" spans="10:10" x14ac:dyDescent="0.3">
      <c r="J128301"/>
    </row>
    <row r="128302" spans="10:10" x14ac:dyDescent="0.3">
      <c r="J128302"/>
    </row>
    <row r="128303" spans="10:10" x14ac:dyDescent="0.3">
      <c r="J128303"/>
    </row>
    <row r="128304" spans="10:10" x14ac:dyDescent="0.3">
      <c r="J128304"/>
    </row>
    <row r="128305" spans="10:10" x14ac:dyDescent="0.3">
      <c r="J128305"/>
    </row>
    <row r="128306" spans="10:10" x14ac:dyDescent="0.3">
      <c r="J128306"/>
    </row>
    <row r="128307" spans="10:10" x14ac:dyDescent="0.3">
      <c r="J128307"/>
    </row>
    <row r="128308" spans="10:10" x14ac:dyDescent="0.3">
      <c r="J128308"/>
    </row>
    <row r="128309" spans="10:10" x14ac:dyDescent="0.3">
      <c r="J128309"/>
    </row>
    <row r="128310" spans="10:10" x14ac:dyDescent="0.3">
      <c r="J128310"/>
    </row>
    <row r="128311" spans="10:10" x14ac:dyDescent="0.3">
      <c r="J128311"/>
    </row>
    <row r="128312" spans="10:10" x14ac:dyDescent="0.3">
      <c r="J128312"/>
    </row>
    <row r="128313" spans="10:10" x14ac:dyDescent="0.3">
      <c r="J128313"/>
    </row>
    <row r="128314" spans="10:10" x14ac:dyDescent="0.3">
      <c r="J128314"/>
    </row>
    <row r="128315" spans="10:10" x14ac:dyDescent="0.3">
      <c r="J128315"/>
    </row>
    <row r="128316" spans="10:10" x14ac:dyDescent="0.3">
      <c r="J128316"/>
    </row>
    <row r="128317" spans="10:10" x14ac:dyDescent="0.3">
      <c r="J128317"/>
    </row>
    <row r="128318" spans="10:10" x14ac:dyDescent="0.3">
      <c r="J128318"/>
    </row>
    <row r="128319" spans="10:10" x14ac:dyDescent="0.3">
      <c r="J128319"/>
    </row>
    <row r="128320" spans="10:10" x14ac:dyDescent="0.3">
      <c r="J128320"/>
    </row>
    <row r="128321" spans="10:10" x14ac:dyDescent="0.3">
      <c r="J128321"/>
    </row>
    <row r="128322" spans="10:10" x14ac:dyDescent="0.3">
      <c r="J128322"/>
    </row>
    <row r="128323" spans="10:10" x14ac:dyDescent="0.3">
      <c r="J128323"/>
    </row>
    <row r="128324" spans="10:10" x14ac:dyDescent="0.3">
      <c r="J128324"/>
    </row>
    <row r="128325" spans="10:10" x14ac:dyDescent="0.3">
      <c r="J128325"/>
    </row>
    <row r="128326" spans="10:10" x14ac:dyDescent="0.3">
      <c r="J128326"/>
    </row>
    <row r="128327" spans="10:10" x14ac:dyDescent="0.3">
      <c r="J128327"/>
    </row>
    <row r="128328" spans="10:10" x14ac:dyDescent="0.3">
      <c r="J128328"/>
    </row>
    <row r="128329" spans="10:10" x14ac:dyDescent="0.3">
      <c r="J128329"/>
    </row>
    <row r="128330" spans="10:10" x14ac:dyDescent="0.3">
      <c r="J128330"/>
    </row>
    <row r="128331" spans="10:10" x14ac:dyDescent="0.3">
      <c r="J128331"/>
    </row>
    <row r="128332" spans="10:10" x14ac:dyDescent="0.3">
      <c r="J128332"/>
    </row>
    <row r="128333" spans="10:10" x14ac:dyDescent="0.3">
      <c r="J128333"/>
    </row>
    <row r="128334" spans="10:10" x14ac:dyDescent="0.3">
      <c r="J128334"/>
    </row>
    <row r="128335" spans="10:10" x14ac:dyDescent="0.3">
      <c r="J128335"/>
    </row>
    <row r="128336" spans="10:10" x14ac:dyDescent="0.3">
      <c r="J128336"/>
    </row>
    <row r="128337" spans="10:10" x14ac:dyDescent="0.3">
      <c r="J128337"/>
    </row>
    <row r="128338" spans="10:10" x14ac:dyDescent="0.3">
      <c r="J128338"/>
    </row>
    <row r="128339" spans="10:10" x14ac:dyDescent="0.3">
      <c r="J128339"/>
    </row>
    <row r="128340" spans="10:10" x14ac:dyDescent="0.3">
      <c r="J128340"/>
    </row>
    <row r="128341" spans="10:10" x14ac:dyDescent="0.3">
      <c r="J128341"/>
    </row>
    <row r="128342" spans="10:10" x14ac:dyDescent="0.3">
      <c r="J128342"/>
    </row>
    <row r="128343" spans="10:10" x14ac:dyDescent="0.3">
      <c r="J128343"/>
    </row>
    <row r="128344" spans="10:10" x14ac:dyDescent="0.3">
      <c r="J128344"/>
    </row>
    <row r="128345" spans="10:10" x14ac:dyDescent="0.3">
      <c r="J128345"/>
    </row>
    <row r="128346" spans="10:10" x14ac:dyDescent="0.3">
      <c r="J128346"/>
    </row>
    <row r="128347" spans="10:10" x14ac:dyDescent="0.3">
      <c r="J128347"/>
    </row>
    <row r="128348" spans="10:10" x14ac:dyDescent="0.3">
      <c r="J128348"/>
    </row>
    <row r="128349" spans="10:10" x14ac:dyDescent="0.3">
      <c r="J128349"/>
    </row>
    <row r="128350" spans="10:10" x14ac:dyDescent="0.3">
      <c r="J128350"/>
    </row>
    <row r="128351" spans="10:10" x14ac:dyDescent="0.3">
      <c r="J128351"/>
    </row>
    <row r="128352" spans="10:10" x14ac:dyDescent="0.3">
      <c r="J128352"/>
    </row>
    <row r="128353" spans="10:10" x14ac:dyDescent="0.3">
      <c r="J128353"/>
    </row>
    <row r="128354" spans="10:10" x14ac:dyDescent="0.3">
      <c r="J128354"/>
    </row>
    <row r="128355" spans="10:10" x14ac:dyDescent="0.3">
      <c r="J128355"/>
    </row>
    <row r="128356" spans="10:10" x14ac:dyDescent="0.3">
      <c r="J128356"/>
    </row>
    <row r="128357" spans="10:10" x14ac:dyDescent="0.3">
      <c r="J128357"/>
    </row>
    <row r="128358" spans="10:10" x14ac:dyDescent="0.3">
      <c r="J128358"/>
    </row>
    <row r="128359" spans="10:10" x14ac:dyDescent="0.3">
      <c r="J128359"/>
    </row>
    <row r="128360" spans="10:10" x14ac:dyDescent="0.3">
      <c r="J128360"/>
    </row>
    <row r="128361" spans="10:10" x14ac:dyDescent="0.3">
      <c r="J128361"/>
    </row>
    <row r="128362" spans="10:10" x14ac:dyDescent="0.3">
      <c r="J128362"/>
    </row>
    <row r="128363" spans="10:10" x14ac:dyDescent="0.3">
      <c r="J128363"/>
    </row>
    <row r="128364" spans="10:10" x14ac:dyDescent="0.3">
      <c r="J128364"/>
    </row>
    <row r="128365" spans="10:10" x14ac:dyDescent="0.3">
      <c r="J128365"/>
    </row>
    <row r="128366" spans="10:10" x14ac:dyDescent="0.3">
      <c r="J128366"/>
    </row>
    <row r="128367" spans="10:10" x14ac:dyDescent="0.3">
      <c r="J128367"/>
    </row>
    <row r="128368" spans="10:10" x14ac:dyDescent="0.3">
      <c r="J128368"/>
    </row>
    <row r="128369" spans="10:10" x14ac:dyDescent="0.3">
      <c r="J128369"/>
    </row>
    <row r="128370" spans="10:10" x14ac:dyDescent="0.3">
      <c r="J128370"/>
    </row>
    <row r="128371" spans="10:10" x14ac:dyDescent="0.3">
      <c r="J128371"/>
    </row>
    <row r="128372" spans="10:10" x14ac:dyDescent="0.3">
      <c r="J128372"/>
    </row>
    <row r="128373" spans="10:10" x14ac:dyDescent="0.3">
      <c r="J128373"/>
    </row>
    <row r="128374" spans="10:10" x14ac:dyDescent="0.3">
      <c r="J128374"/>
    </row>
    <row r="128375" spans="10:10" x14ac:dyDescent="0.3">
      <c r="J128375"/>
    </row>
    <row r="128376" spans="10:10" x14ac:dyDescent="0.3">
      <c r="J128376"/>
    </row>
    <row r="128377" spans="10:10" x14ac:dyDescent="0.3">
      <c r="J128377"/>
    </row>
    <row r="128378" spans="10:10" x14ac:dyDescent="0.3">
      <c r="J128378"/>
    </row>
    <row r="128379" spans="10:10" x14ac:dyDescent="0.3">
      <c r="J128379"/>
    </row>
    <row r="128380" spans="10:10" x14ac:dyDescent="0.3">
      <c r="J128380"/>
    </row>
    <row r="128381" spans="10:10" x14ac:dyDescent="0.3">
      <c r="J128381"/>
    </row>
    <row r="128382" spans="10:10" x14ac:dyDescent="0.3">
      <c r="J128382"/>
    </row>
    <row r="128383" spans="10:10" x14ac:dyDescent="0.3">
      <c r="J128383"/>
    </row>
    <row r="128384" spans="10:10" x14ac:dyDescent="0.3">
      <c r="J128384"/>
    </row>
    <row r="128385" spans="10:10" x14ac:dyDescent="0.3">
      <c r="J128385"/>
    </row>
    <row r="128386" spans="10:10" x14ac:dyDescent="0.3">
      <c r="J128386"/>
    </row>
    <row r="128387" spans="10:10" x14ac:dyDescent="0.3">
      <c r="J128387"/>
    </row>
    <row r="128388" spans="10:10" x14ac:dyDescent="0.3">
      <c r="J128388"/>
    </row>
    <row r="128389" spans="10:10" x14ac:dyDescent="0.3">
      <c r="J128389"/>
    </row>
    <row r="128390" spans="10:10" x14ac:dyDescent="0.3">
      <c r="J128390"/>
    </row>
    <row r="128391" spans="10:10" x14ac:dyDescent="0.3">
      <c r="J128391"/>
    </row>
    <row r="128392" spans="10:10" x14ac:dyDescent="0.3">
      <c r="J128392"/>
    </row>
    <row r="128393" spans="10:10" x14ac:dyDescent="0.3">
      <c r="J128393"/>
    </row>
    <row r="128394" spans="10:10" x14ac:dyDescent="0.3">
      <c r="J128394"/>
    </row>
    <row r="128395" spans="10:10" x14ac:dyDescent="0.3">
      <c r="J128395"/>
    </row>
    <row r="128396" spans="10:10" x14ac:dyDescent="0.3">
      <c r="J128396"/>
    </row>
    <row r="128397" spans="10:10" x14ac:dyDescent="0.3">
      <c r="J128397"/>
    </row>
    <row r="128398" spans="10:10" x14ac:dyDescent="0.3">
      <c r="J128398"/>
    </row>
    <row r="128399" spans="10:10" x14ac:dyDescent="0.3">
      <c r="J128399"/>
    </row>
    <row r="128400" spans="10:10" x14ac:dyDescent="0.3">
      <c r="J128400"/>
    </row>
    <row r="128401" spans="10:10" x14ac:dyDescent="0.3">
      <c r="J128401"/>
    </row>
    <row r="128402" spans="10:10" x14ac:dyDescent="0.3">
      <c r="J128402"/>
    </row>
    <row r="128403" spans="10:10" x14ac:dyDescent="0.3">
      <c r="J128403"/>
    </row>
    <row r="128404" spans="10:10" x14ac:dyDescent="0.3">
      <c r="J128404"/>
    </row>
    <row r="128405" spans="10:10" x14ac:dyDescent="0.3">
      <c r="J128405"/>
    </row>
    <row r="128406" spans="10:10" x14ac:dyDescent="0.3">
      <c r="J128406"/>
    </row>
    <row r="128407" spans="10:10" x14ac:dyDescent="0.3">
      <c r="J128407"/>
    </row>
    <row r="128408" spans="10:10" x14ac:dyDescent="0.3">
      <c r="J128408"/>
    </row>
    <row r="128409" spans="10:10" x14ac:dyDescent="0.3">
      <c r="J128409"/>
    </row>
    <row r="128410" spans="10:10" x14ac:dyDescent="0.3">
      <c r="J128410"/>
    </row>
    <row r="128411" spans="10:10" x14ac:dyDescent="0.3">
      <c r="J128411"/>
    </row>
    <row r="128412" spans="10:10" x14ac:dyDescent="0.3">
      <c r="J128412"/>
    </row>
    <row r="128413" spans="10:10" x14ac:dyDescent="0.3">
      <c r="J128413"/>
    </row>
    <row r="128414" spans="10:10" x14ac:dyDescent="0.3">
      <c r="J128414"/>
    </row>
    <row r="128415" spans="10:10" x14ac:dyDescent="0.3">
      <c r="J128415"/>
    </row>
    <row r="128416" spans="10:10" x14ac:dyDescent="0.3">
      <c r="J128416"/>
    </row>
    <row r="128417" spans="10:10" x14ac:dyDescent="0.3">
      <c r="J128417"/>
    </row>
    <row r="128418" spans="10:10" x14ac:dyDescent="0.3">
      <c r="J128418"/>
    </row>
    <row r="128419" spans="10:10" x14ac:dyDescent="0.3">
      <c r="J128419"/>
    </row>
    <row r="128420" spans="10:10" x14ac:dyDescent="0.3">
      <c r="J128420"/>
    </row>
    <row r="128421" spans="10:10" x14ac:dyDescent="0.3">
      <c r="J128421"/>
    </row>
    <row r="128422" spans="10:10" x14ac:dyDescent="0.3">
      <c r="J128422"/>
    </row>
    <row r="128423" spans="10:10" x14ac:dyDescent="0.3">
      <c r="J128423"/>
    </row>
    <row r="128424" spans="10:10" x14ac:dyDescent="0.3">
      <c r="J128424"/>
    </row>
    <row r="128425" spans="10:10" x14ac:dyDescent="0.3">
      <c r="J128425"/>
    </row>
    <row r="128426" spans="10:10" x14ac:dyDescent="0.3">
      <c r="J128426"/>
    </row>
    <row r="128427" spans="10:10" x14ac:dyDescent="0.3">
      <c r="J128427"/>
    </row>
    <row r="128428" spans="10:10" x14ac:dyDescent="0.3">
      <c r="J128428"/>
    </row>
    <row r="128429" spans="10:10" x14ac:dyDescent="0.3">
      <c r="J128429"/>
    </row>
    <row r="128430" spans="10:10" x14ac:dyDescent="0.3">
      <c r="J128430"/>
    </row>
    <row r="128431" spans="10:10" x14ac:dyDescent="0.3">
      <c r="J128431"/>
    </row>
    <row r="128432" spans="10:10" x14ac:dyDescent="0.3">
      <c r="J128432"/>
    </row>
    <row r="128433" spans="10:10" x14ac:dyDescent="0.3">
      <c r="J128433"/>
    </row>
    <row r="128434" spans="10:10" x14ac:dyDescent="0.3">
      <c r="J128434"/>
    </row>
    <row r="128435" spans="10:10" x14ac:dyDescent="0.3">
      <c r="J128435"/>
    </row>
    <row r="128436" spans="10:10" x14ac:dyDescent="0.3">
      <c r="J128436"/>
    </row>
    <row r="128437" spans="10:10" x14ac:dyDescent="0.3">
      <c r="J128437"/>
    </row>
    <row r="128438" spans="10:10" x14ac:dyDescent="0.3">
      <c r="J128438"/>
    </row>
    <row r="128439" spans="10:10" x14ac:dyDescent="0.3">
      <c r="J128439"/>
    </row>
    <row r="128440" spans="10:10" x14ac:dyDescent="0.3">
      <c r="J128440"/>
    </row>
    <row r="128441" spans="10:10" x14ac:dyDescent="0.3">
      <c r="J128441"/>
    </row>
    <row r="128442" spans="10:10" x14ac:dyDescent="0.3">
      <c r="J128442"/>
    </row>
    <row r="128443" spans="10:10" x14ac:dyDescent="0.3">
      <c r="J128443"/>
    </row>
    <row r="128444" spans="10:10" x14ac:dyDescent="0.3">
      <c r="J128444"/>
    </row>
    <row r="128445" spans="10:10" x14ac:dyDescent="0.3">
      <c r="J128445"/>
    </row>
    <row r="128446" spans="10:10" x14ac:dyDescent="0.3">
      <c r="J128446"/>
    </row>
    <row r="128447" spans="10:10" x14ac:dyDescent="0.3">
      <c r="J128447"/>
    </row>
    <row r="128448" spans="10:10" x14ac:dyDescent="0.3">
      <c r="J128448"/>
    </row>
    <row r="128449" spans="10:10" x14ac:dyDescent="0.3">
      <c r="J128449"/>
    </row>
    <row r="128450" spans="10:10" x14ac:dyDescent="0.3">
      <c r="J128450"/>
    </row>
    <row r="128451" spans="10:10" x14ac:dyDescent="0.3">
      <c r="J128451"/>
    </row>
    <row r="128452" spans="10:10" x14ac:dyDescent="0.3">
      <c r="J128452"/>
    </row>
    <row r="128453" spans="10:10" x14ac:dyDescent="0.3">
      <c r="J128453"/>
    </row>
    <row r="128454" spans="10:10" x14ac:dyDescent="0.3">
      <c r="J128454"/>
    </row>
    <row r="128455" spans="10:10" x14ac:dyDescent="0.3">
      <c r="J128455"/>
    </row>
    <row r="128456" spans="10:10" x14ac:dyDescent="0.3">
      <c r="J128456"/>
    </row>
    <row r="128457" spans="10:10" x14ac:dyDescent="0.3">
      <c r="J128457"/>
    </row>
    <row r="128458" spans="10:10" x14ac:dyDescent="0.3">
      <c r="J128458"/>
    </row>
    <row r="128459" spans="10:10" x14ac:dyDescent="0.3">
      <c r="J128459"/>
    </row>
    <row r="128460" spans="10:10" x14ac:dyDescent="0.3">
      <c r="J128460"/>
    </row>
    <row r="128461" spans="10:10" x14ac:dyDescent="0.3">
      <c r="J128461"/>
    </row>
    <row r="128462" spans="10:10" x14ac:dyDescent="0.3">
      <c r="J128462"/>
    </row>
    <row r="128463" spans="10:10" x14ac:dyDescent="0.3">
      <c r="J128463"/>
    </row>
    <row r="128464" spans="10:10" x14ac:dyDescent="0.3">
      <c r="J128464"/>
    </row>
    <row r="128465" spans="10:10" x14ac:dyDescent="0.3">
      <c r="J128465"/>
    </row>
    <row r="128466" spans="10:10" x14ac:dyDescent="0.3">
      <c r="J128466"/>
    </row>
    <row r="128467" spans="10:10" x14ac:dyDescent="0.3">
      <c r="J128467"/>
    </row>
    <row r="128468" spans="10:10" x14ac:dyDescent="0.3">
      <c r="J128468"/>
    </row>
    <row r="128469" spans="10:10" x14ac:dyDescent="0.3">
      <c r="J128469"/>
    </row>
    <row r="128470" spans="10:10" x14ac:dyDescent="0.3">
      <c r="J128470"/>
    </row>
    <row r="128471" spans="10:10" x14ac:dyDescent="0.3">
      <c r="J128471"/>
    </row>
    <row r="128472" spans="10:10" x14ac:dyDescent="0.3">
      <c r="J128472"/>
    </row>
    <row r="128473" spans="10:10" x14ac:dyDescent="0.3">
      <c r="J128473"/>
    </row>
    <row r="128474" spans="10:10" x14ac:dyDescent="0.3">
      <c r="J128474"/>
    </row>
    <row r="128475" spans="10:10" x14ac:dyDescent="0.3">
      <c r="J128475"/>
    </row>
    <row r="128476" spans="10:10" x14ac:dyDescent="0.3">
      <c r="J128476"/>
    </row>
    <row r="128477" spans="10:10" x14ac:dyDescent="0.3">
      <c r="J128477"/>
    </row>
    <row r="128478" spans="10:10" x14ac:dyDescent="0.3">
      <c r="J128478"/>
    </row>
    <row r="128479" spans="10:10" x14ac:dyDescent="0.3">
      <c r="J128479"/>
    </row>
    <row r="128480" spans="10:10" x14ac:dyDescent="0.3">
      <c r="J128480"/>
    </row>
    <row r="128481" spans="10:10" x14ac:dyDescent="0.3">
      <c r="J128481"/>
    </row>
    <row r="128482" spans="10:10" x14ac:dyDescent="0.3">
      <c r="J128482"/>
    </row>
    <row r="128483" spans="10:10" x14ac:dyDescent="0.3">
      <c r="J128483"/>
    </row>
    <row r="128484" spans="10:10" x14ac:dyDescent="0.3">
      <c r="J128484"/>
    </row>
    <row r="128485" spans="10:10" x14ac:dyDescent="0.3">
      <c r="J128485"/>
    </row>
    <row r="128486" spans="10:10" x14ac:dyDescent="0.3">
      <c r="J128486"/>
    </row>
    <row r="128487" spans="10:10" x14ac:dyDescent="0.3">
      <c r="J128487"/>
    </row>
    <row r="128488" spans="10:10" x14ac:dyDescent="0.3">
      <c r="J128488"/>
    </row>
    <row r="128489" spans="10:10" x14ac:dyDescent="0.3">
      <c r="J128489"/>
    </row>
    <row r="128490" spans="10:10" x14ac:dyDescent="0.3">
      <c r="J128490"/>
    </row>
    <row r="128491" spans="10:10" x14ac:dyDescent="0.3">
      <c r="J128491"/>
    </row>
    <row r="128492" spans="10:10" x14ac:dyDescent="0.3">
      <c r="J128492"/>
    </row>
    <row r="128493" spans="10:10" x14ac:dyDescent="0.3">
      <c r="J128493"/>
    </row>
    <row r="128494" spans="10:10" x14ac:dyDescent="0.3">
      <c r="J128494"/>
    </row>
    <row r="128495" spans="10:10" x14ac:dyDescent="0.3">
      <c r="J128495"/>
    </row>
    <row r="128496" spans="10:10" x14ac:dyDescent="0.3">
      <c r="J128496"/>
    </row>
    <row r="128497" spans="10:10" x14ac:dyDescent="0.3">
      <c r="J128497"/>
    </row>
    <row r="128498" spans="10:10" x14ac:dyDescent="0.3">
      <c r="J128498"/>
    </row>
    <row r="128499" spans="10:10" x14ac:dyDescent="0.3">
      <c r="J128499"/>
    </row>
    <row r="128500" spans="10:10" x14ac:dyDescent="0.3">
      <c r="J128500"/>
    </row>
    <row r="128501" spans="10:10" x14ac:dyDescent="0.3">
      <c r="J128501"/>
    </row>
    <row r="128502" spans="10:10" x14ac:dyDescent="0.3">
      <c r="J128502"/>
    </row>
    <row r="128503" spans="10:10" x14ac:dyDescent="0.3">
      <c r="J128503"/>
    </row>
    <row r="128504" spans="10:10" x14ac:dyDescent="0.3">
      <c r="J128504"/>
    </row>
    <row r="128505" spans="10:10" x14ac:dyDescent="0.3">
      <c r="J128505"/>
    </row>
    <row r="128506" spans="10:10" x14ac:dyDescent="0.3">
      <c r="J128506"/>
    </row>
    <row r="128507" spans="10:10" x14ac:dyDescent="0.3">
      <c r="J128507"/>
    </row>
    <row r="128508" spans="10:10" x14ac:dyDescent="0.3">
      <c r="J128508"/>
    </row>
    <row r="128509" spans="10:10" x14ac:dyDescent="0.3">
      <c r="J128509"/>
    </row>
    <row r="128510" spans="10:10" x14ac:dyDescent="0.3">
      <c r="J128510"/>
    </row>
    <row r="128511" spans="10:10" x14ac:dyDescent="0.3">
      <c r="J128511"/>
    </row>
    <row r="128512" spans="10:10" x14ac:dyDescent="0.3">
      <c r="J128512"/>
    </row>
    <row r="128513" spans="10:10" x14ac:dyDescent="0.3">
      <c r="J128513"/>
    </row>
    <row r="128514" spans="10:10" x14ac:dyDescent="0.3">
      <c r="J128514"/>
    </row>
    <row r="128515" spans="10:10" x14ac:dyDescent="0.3">
      <c r="J128515"/>
    </row>
    <row r="128516" spans="10:10" x14ac:dyDescent="0.3">
      <c r="J128516"/>
    </row>
    <row r="128517" spans="10:10" x14ac:dyDescent="0.3">
      <c r="J128517"/>
    </row>
    <row r="128518" spans="10:10" x14ac:dyDescent="0.3">
      <c r="J128518"/>
    </row>
    <row r="128519" spans="10:10" x14ac:dyDescent="0.3">
      <c r="J128519"/>
    </row>
    <row r="128520" spans="10:10" x14ac:dyDescent="0.3">
      <c r="J128520"/>
    </row>
    <row r="128521" spans="10:10" x14ac:dyDescent="0.3">
      <c r="J128521"/>
    </row>
    <row r="128522" spans="10:10" x14ac:dyDescent="0.3">
      <c r="J128522"/>
    </row>
    <row r="128523" spans="10:10" x14ac:dyDescent="0.3">
      <c r="J128523"/>
    </row>
    <row r="128524" spans="10:10" x14ac:dyDescent="0.3">
      <c r="J128524"/>
    </row>
    <row r="128525" spans="10:10" x14ac:dyDescent="0.3">
      <c r="J128525"/>
    </row>
    <row r="128526" spans="10:10" x14ac:dyDescent="0.3">
      <c r="J128526"/>
    </row>
    <row r="128527" spans="10:10" x14ac:dyDescent="0.3">
      <c r="J128527"/>
    </row>
    <row r="128528" spans="10:10" x14ac:dyDescent="0.3">
      <c r="J128528"/>
    </row>
    <row r="128529" spans="10:10" x14ac:dyDescent="0.3">
      <c r="J128529"/>
    </row>
    <row r="128530" spans="10:10" x14ac:dyDescent="0.3">
      <c r="J128530"/>
    </row>
    <row r="128531" spans="10:10" x14ac:dyDescent="0.3">
      <c r="J128531"/>
    </row>
    <row r="128532" spans="10:10" x14ac:dyDescent="0.3">
      <c r="J128532"/>
    </row>
    <row r="128533" spans="10:10" x14ac:dyDescent="0.3">
      <c r="J128533"/>
    </row>
    <row r="128534" spans="10:10" x14ac:dyDescent="0.3">
      <c r="J128534"/>
    </row>
    <row r="128535" spans="10:10" x14ac:dyDescent="0.3">
      <c r="J128535"/>
    </row>
    <row r="128536" spans="10:10" x14ac:dyDescent="0.3">
      <c r="J128536"/>
    </row>
    <row r="128537" spans="10:10" x14ac:dyDescent="0.3">
      <c r="J128537"/>
    </row>
    <row r="128538" spans="10:10" x14ac:dyDescent="0.3">
      <c r="J128538"/>
    </row>
    <row r="128539" spans="10:10" x14ac:dyDescent="0.3">
      <c r="J128539"/>
    </row>
    <row r="128540" spans="10:10" x14ac:dyDescent="0.3">
      <c r="J128540"/>
    </row>
    <row r="128541" spans="10:10" x14ac:dyDescent="0.3">
      <c r="J128541"/>
    </row>
    <row r="128542" spans="10:10" x14ac:dyDescent="0.3">
      <c r="J128542"/>
    </row>
    <row r="128543" spans="10:10" x14ac:dyDescent="0.3">
      <c r="J128543"/>
    </row>
    <row r="128544" spans="10:10" x14ac:dyDescent="0.3">
      <c r="J128544"/>
    </row>
    <row r="128545" spans="10:10" x14ac:dyDescent="0.3">
      <c r="J128545"/>
    </row>
    <row r="128546" spans="10:10" x14ac:dyDescent="0.3">
      <c r="J128546"/>
    </row>
    <row r="128547" spans="10:10" x14ac:dyDescent="0.3">
      <c r="J128547"/>
    </row>
    <row r="128548" spans="10:10" x14ac:dyDescent="0.3">
      <c r="J128548"/>
    </row>
    <row r="128549" spans="10:10" x14ac:dyDescent="0.3">
      <c r="J128549"/>
    </row>
    <row r="128550" spans="10:10" x14ac:dyDescent="0.3">
      <c r="J128550"/>
    </row>
    <row r="128551" spans="10:10" x14ac:dyDescent="0.3">
      <c r="J128551"/>
    </row>
    <row r="128552" spans="10:10" x14ac:dyDescent="0.3">
      <c r="J128552"/>
    </row>
    <row r="128553" spans="10:10" x14ac:dyDescent="0.3">
      <c r="J128553"/>
    </row>
    <row r="128554" spans="10:10" x14ac:dyDescent="0.3">
      <c r="J128554"/>
    </row>
    <row r="128555" spans="10:10" x14ac:dyDescent="0.3">
      <c r="J128555"/>
    </row>
    <row r="128556" spans="10:10" x14ac:dyDescent="0.3">
      <c r="J128556"/>
    </row>
    <row r="128557" spans="10:10" x14ac:dyDescent="0.3">
      <c r="J128557"/>
    </row>
    <row r="128558" spans="10:10" x14ac:dyDescent="0.3">
      <c r="J128558"/>
    </row>
    <row r="128559" spans="10:10" x14ac:dyDescent="0.3">
      <c r="J128559"/>
    </row>
    <row r="128560" spans="10:10" x14ac:dyDescent="0.3">
      <c r="J128560"/>
    </row>
    <row r="128561" spans="10:10" x14ac:dyDescent="0.3">
      <c r="J128561"/>
    </row>
    <row r="128562" spans="10:10" x14ac:dyDescent="0.3">
      <c r="J128562"/>
    </row>
    <row r="128563" spans="10:10" x14ac:dyDescent="0.3">
      <c r="J128563"/>
    </row>
    <row r="128564" spans="10:10" x14ac:dyDescent="0.3">
      <c r="J128564"/>
    </row>
    <row r="128565" spans="10:10" x14ac:dyDescent="0.3">
      <c r="J128565"/>
    </row>
    <row r="128566" spans="10:10" x14ac:dyDescent="0.3">
      <c r="J128566"/>
    </row>
    <row r="128567" spans="10:10" x14ac:dyDescent="0.3">
      <c r="J128567"/>
    </row>
    <row r="128568" spans="10:10" x14ac:dyDescent="0.3">
      <c r="J128568"/>
    </row>
    <row r="128569" spans="10:10" x14ac:dyDescent="0.3">
      <c r="J128569"/>
    </row>
    <row r="128570" spans="10:10" x14ac:dyDescent="0.3">
      <c r="J128570"/>
    </row>
    <row r="128571" spans="10:10" x14ac:dyDescent="0.3">
      <c r="J128571"/>
    </row>
    <row r="128572" spans="10:10" x14ac:dyDescent="0.3">
      <c r="J128572"/>
    </row>
    <row r="128573" spans="10:10" x14ac:dyDescent="0.3">
      <c r="J128573"/>
    </row>
    <row r="128574" spans="10:10" x14ac:dyDescent="0.3">
      <c r="J128574"/>
    </row>
    <row r="128575" spans="10:10" x14ac:dyDescent="0.3">
      <c r="J128575"/>
    </row>
    <row r="128576" spans="10:10" x14ac:dyDescent="0.3">
      <c r="J128576"/>
    </row>
    <row r="128577" spans="10:10" x14ac:dyDescent="0.3">
      <c r="J128577"/>
    </row>
    <row r="128578" spans="10:10" x14ac:dyDescent="0.3">
      <c r="J128578"/>
    </row>
    <row r="128579" spans="10:10" x14ac:dyDescent="0.3">
      <c r="J128579"/>
    </row>
    <row r="128580" spans="10:10" x14ac:dyDescent="0.3">
      <c r="J128580"/>
    </row>
    <row r="128581" spans="10:10" x14ac:dyDescent="0.3">
      <c r="J128581"/>
    </row>
    <row r="128582" spans="10:10" x14ac:dyDescent="0.3">
      <c r="J128582"/>
    </row>
    <row r="128583" spans="10:10" x14ac:dyDescent="0.3">
      <c r="J128583"/>
    </row>
    <row r="128584" spans="10:10" x14ac:dyDescent="0.3">
      <c r="J128584"/>
    </row>
    <row r="128585" spans="10:10" x14ac:dyDescent="0.3">
      <c r="J128585"/>
    </row>
    <row r="128586" spans="10:10" x14ac:dyDescent="0.3">
      <c r="J128586"/>
    </row>
    <row r="128587" spans="10:10" x14ac:dyDescent="0.3">
      <c r="J128587"/>
    </row>
    <row r="128588" spans="10:10" x14ac:dyDescent="0.3">
      <c r="J128588"/>
    </row>
    <row r="128589" spans="10:10" x14ac:dyDescent="0.3">
      <c r="J128589"/>
    </row>
    <row r="128590" spans="10:10" x14ac:dyDescent="0.3">
      <c r="J128590"/>
    </row>
    <row r="128591" spans="10:10" x14ac:dyDescent="0.3">
      <c r="J128591"/>
    </row>
    <row r="128592" spans="10:10" x14ac:dyDescent="0.3">
      <c r="J128592"/>
    </row>
    <row r="128593" spans="10:10" x14ac:dyDescent="0.3">
      <c r="J128593"/>
    </row>
    <row r="128594" spans="10:10" x14ac:dyDescent="0.3">
      <c r="J128594"/>
    </row>
    <row r="128595" spans="10:10" x14ac:dyDescent="0.3">
      <c r="J128595"/>
    </row>
    <row r="128596" spans="10:10" x14ac:dyDescent="0.3">
      <c r="J128596"/>
    </row>
    <row r="128597" spans="10:10" x14ac:dyDescent="0.3">
      <c r="J128597"/>
    </row>
    <row r="128598" spans="10:10" x14ac:dyDescent="0.3">
      <c r="J128598"/>
    </row>
    <row r="128599" spans="10:10" x14ac:dyDescent="0.3">
      <c r="J128599"/>
    </row>
    <row r="128600" spans="10:10" x14ac:dyDescent="0.3">
      <c r="J128600"/>
    </row>
    <row r="128601" spans="10:10" x14ac:dyDescent="0.3">
      <c r="J128601"/>
    </row>
    <row r="128602" spans="10:10" x14ac:dyDescent="0.3">
      <c r="J128602"/>
    </row>
    <row r="128603" spans="10:10" x14ac:dyDescent="0.3">
      <c r="J128603"/>
    </row>
    <row r="128604" spans="10:10" x14ac:dyDescent="0.3">
      <c r="J128604"/>
    </row>
    <row r="128605" spans="10:10" x14ac:dyDescent="0.3">
      <c r="J128605"/>
    </row>
    <row r="128606" spans="10:10" x14ac:dyDescent="0.3">
      <c r="J128606"/>
    </row>
    <row r="128607" spans="10:10" x14ac:dyDescent="0.3">
      <c r="J128607"/>
    </row>
    <row r="128608" spans="10:10" x14ac:dyDescent="0.3">
      <c r="J128608"/>
    </row>
    <row r="128609" spans="10:10" x14ac:dyDescent="0.3">
      <c r="J128609"/>
    </row>
    <row r="128610" spans="10:10" x14ac:dyDescent="0.3">
      <c r="J128610"/>
    </row>
    <row r="128611" spans="10:10" x14ac:dyDescent="0.3">
      <c r="J128611"/>
    </row>
    <row r="128612" spans="10:10" x14ac:dyDescent="0.3">
      <c r="J128612"/>
    </row>
    <row r="128613" spans="10:10" x14ac:dyDescent="0.3">
      <c r="J128613"/>
    </row>
    <row r="128614" spans="10:10" x14ac:dyDescent="0.3">
      <c r="J128614"/>
    </row>
    <row r="128615" spans="10:10" x14ac:dyDescent="0.3">
      <c r="J128615"/>
    </row>
    <row r="128616" spans="10:10" x14ac:dyDescent="0.3">
      <c r="J128616"/>
    </row>
    <row r="128617" spans="10:10" x14ac:dyDescent="0.3">
      <c r="J128617"/>
    </row>
    <row r="128618" spans="10:10" x14ac:dyDescent="0.3">
      <c r="J128618"/>
    </row>
    <row r="128619" spans="10:10" x14ac:dyDescent="0.3">
      <c r="J128619"/>
    </row>
    <row r="128620" spans="10:10" x14ac:dyDescent="0.3">
      <c r="J128620"/>
    </row>
    <row r="128621" spans="10:10" x14ac:dyDescent="0.3">
      <c r="J128621"/>
    </row>
    <row r="128622" spans="10:10" x14ac:dyDescent="0.3">
      <c r="J128622"/>
    </row>
    <row r="128623" spans="10:10" x14ac:dyDescent="0.3">
      <c r="J128623"/>
    </row>
    <row r="128624" spans="10:10" x14ac:dyDescent="0.3">
      <c r="J128624"/>
    </row>
    <row r="128625" spans="10:10" x14ac:dyDescent="0.3">
      <c r="J128625"/>
    </row>
    <row r="128626" spans="10:10" x14ac:dyDescent="0.3">
      <c r="J128626"/>
    </row>
    <row r="128627" spans="10:10" x14ac:dyDescent="0.3">
      <c r="J128627"/>
    </row>
    <row r="128628" spans="10:10" x14ac:dyDescent="0.3">
      <c r="J128628"/>
    </row>
    <row r="128629" spans="10:10" x14ac:dyDescent="0.3">
      <c r="J128629"/>
    </row>
    <row r="128630" spans="10:10" x14ac:dyDescent="0.3">
      <c r="J128630"/>
    </row>
    <row r="128631" spans="10:10" x14ac:dyDescent="0.3">
      <c r="J128631"/>
    </row>
    <row r="128632" spans="10:10" x14ac:dyDescent="0.3">
      <c r="J128632"/>
    </row>
    <row r="128633" spans="10:10" x14ac:dyDescent="0.3">
      <c r="J128633"/>
    </row>
    <row r="128634" spans="10:10" x14ac:dyDescent="0.3">
      <c r="J128634"/>
    </row>
    <row r="128635" spans="10:10" x14ac:dyDescent="0.3">
      <c r="J128635"/>
    </row>
    <row r="128636" spans="10:10" x14ac:dyDescent="0.3">
      <c r="J128636"/>
    </row>
    <row r="128637" spans="10:10" x14ac:dyDescent="0.3">
      <c r="J128637"/>
    </row>
    <row r="128638" spans="10:10" x14ac:dyDescent="0.3">
      <c r="J128638"/>
    </row>
    <row r="128639" spans="10:10" x14ac:dyDescent="0.3">
      <c r="J128639"/>
    </row>
    <row r="128640" spans="10:10" x14ac:dyDescent="0.3">
      <c r="J128640"/>
    </row>
    <row r="128641" spans="10:10" x14ac:dyDescent="0.3">
      <c r="J128641"/>
    </row>
    <row r="128642" spans="10:10" x14ac:dyDescent="0.3">
      <c r="J128642"/>
    </row>
    <row r="128643" spans="10:10" x14ac:dyDescent="0.3">
      <c r="J128643"/>
    </row>
    <row r="128644" spans="10:10" x14ac:dyDescent="0.3">
      <c r="J128644"/>
    </row>
    <row r="128645" spans="10:10" x14ac:dyDescent="0.3">
      <c r="J128645"/>
    </row>
    <row r="128646" spans="10:10" x14ac:dyDescent="0.3">
      <c r="J128646"/>
    </row>
    <row r="128647" spans="10:10" x14ac:dyDescent="0.3">
      <c r="J128647"/>
    </row>
    <row r="128648" spans="10:10" x14ac:dyDescent="0.3">
      <c r="J128648"/>
    </row>
    <row r="128649" spans="10:10" x14ac:dyDescent="0.3">
      <c r="J128649"/>
    </row>
    <row r="128650" spans="10:10" x14ac:dyDescent="0.3">
      <c r="J128650"/>
    </row>
    <row r="128651" spans="10:10" x14ac:dyDescent="0.3">
      <c r="J128651"/>
    </row>
    <row r="128652" spans="10:10" x14ac:dyDescent="0.3">
      <c r="J128652"/>
    </row>
    <row r="128653" spans="10:10" x14ac:dyDescent="0.3">
      <c r="J128653"/>
    </row>
    <row r="128654" spans="10:10" x14ac:dyDescent="0.3">
      <c r="J128654"/>
    </row>
    <row r="128655" spans="10:10" x14ac:dyDescent="0.3">
      <c r="J128655"/>
    </row>
    <row r="128656" spans="10:10" x14ac:dyDescent="0.3">
      <c r="J128656"/>
    </row>
    <row r="128657" spans="10:10" x14ac:dyDescent="0.3">
      <c r="J128657"/>
    </row>
    <row r="128658" spans="10:10" x14ac:dyDescent="0.3">
      <c r="J128658"/>
    </row>
    <row r="128659" spans="10:10" x14ac:dyDescent="0.3">
      <c r="J128659"/>
    </row>
    <row r="128660" spans="10:10" x14ac:dyDescent="0.3">
      <c r="J128660"/>
    </row>
    <row r="128661" spans="10:10" x14ac:dyDescent="0.3">
      <c r="J128661"/>
    </row>
    <row r="128662" spans="10:10" x14ac:dyDescent="0.3">
      <c r="J128662"/>
    </row>
    <row r="128663" spans="10:10" x14ac:dyDescent="0.3">
      <c r="J128663"/>
    </row>
    <row r="128664" spans="10:10" x14ac:dyDescent="0.3">
      <c r="J128664"/>
    </row>
    <row r="128665" spans="10:10" x14ac:dyDescent="0.3">
      <c r="J128665"/>
    </row>
    <row r="128666" spans="10:10" x14ac:dyDescent="0.3">
      <c r="J128666"/>
    </row>
    <row r="128667" spans="10:10" x14ac:dyDescent="0.3">
      <c r="J128667"/>
    </row>
    <row r="128668" spans="10:10" x14ac:dyDescent="0.3">
      <c r="J128668"/>
    </row>
    <row r="128669" spans="10:10" x14ac:dyDescent="0.3">
      <c r="J128669"/>
    </row>
    <row r="128670" spans="10:10" x14ac:dyDescent="0.3">
      <c r="J128670"/>
    </row>
    <row r="128671" spans="10:10" x14ac:dyDescent="0.3">
      <c r="J128671"/>
    </row>
    <row r="128672" spans="10:10" x14ac:dyDescent="0.3">
      <c r="J128672"/>
    </row>
    <row r="128673" spans="10:10" x14ac:dyDescent="0.3">
      <c r="J128673"/>
    </row>
    <row r="128674" spans="10:10" x14ac:dyDescent="0.3">
      <c r="J128674"/>
    </row>
    <row r="128675" spans="10:10" x14ac:dyDescent="0.3">
      <c r="J128675"/>
    </row>
    <row r="128676" spans="10:10" x14ac:dyDescent="0.3">
      <c r="J128676"/>
    </row>
    <row r="128677" spans="10:10" x14ac:dyDescent="0.3">
      <c r="J128677"/>
    </row>
    <row r="128678" spans="10:10" x14ac:dyDescent="0.3">
      <c r="J128678"/>
    </row>
    <row r="128679" spans="10:10" x14ac:dyDescent="0.3">
      <c r="J128679"/>
    </row>
    <row r="128680" spans="10:10" x14ac:dyDescent="0.3">
      <c r="J128680"/>
    </row>
    <row r="128681" spans="10:10" x14ac:dyDescent="0.3">
      <c r="J128681"/>
    </row>
    <row r="128682" spans="10:10" x14ac:dyDescent="0.3">
      <c r="J128682"/>
    </row>
    <row r="128683" spans="10:10" x14ac:dyDescent="0.3">
      <c r="J128683"/>
    </row>
    <row r="128684" spans="10:10" x14ac:dyDescent="0.3">
      <c r="J128684"/>
    </row>
    <row r="128685" spans="10:10" x14ac:dyDescent="0.3">
      <c r="J128685"/>
    </row>
    <row r="128686" spans="10:10" x14ac:dyDescent="0.3">
      <c r="J128686"/>
    </row>
    <row r="128687" spans="10:10" x14ac:dyDescent="0.3">
      <c r="J128687"/>
    </row>
    <row r="128688" spans="10:10" x14ac:dyDescent="0.3">
      <c r="J128688"/>
    </row>
    <row r="128689" spans="10:10" x14ac:dyDescent="0.3">
      <c r="J128689"/>
    </row>
    <row r="128690" spans="10:10" x14ac:dyDescent="0.3">
      <c r="J128690"/>
    </row>
    <row r="128691" spans="10:10" x14ac:dyDescent="0.3">
      <c r="J128691"/>
    </row>
    <row r="128692" spans="10:10" x14ac:dyDescent="0.3">
      <c r="J128692"/>
    </row>
    <row r="128693" spans="10:10" x14ac:dyDescent="0.3">
      <c r="J128693"/>
    </row>
    <row r="128694" spans="10:10" x14ac:dyDescent="0.3">
      <c r="J128694"/>
    </row>
    <row r="128695" spans="10:10" x14ac:dyDescent="0.3">
      <c r="J128695"/>
    </row>
    <row r="128696" spans="10:10" x14ac:dyDescent="0.3">
      <c r="J128696"/>
    </row>
    <row r="128697" spans="10:10" x14ac:dyDescent="0.3">
      <c r="J128697"/>
    </row>
    <row r="128698" spans="10:10" x14ac:dyDescent="0.3">
      <c r="J128698"/>
    </row>
    <row r="128699" spans="10:10" x14ac:dyDescent="0.3">
      <c r="J128699"/>
    </row>
    <row r="128700" spans="10:10" x14ac:dyDescent="0.3">
      <c r="J128700"/>
    </row>
    <row r="128701" spans="10:10" x14ac:dyDescent="0.3">
      <c r="J128701"/>
    </row>
    <row r="128702" spans="10:10" x14ac:dyDescent="0.3">
      <c r="J128702"/>
    </row>
    <row r="128703" spans="10:10" x14ac:dyDescent="0.3">
      <c r="J128703"/>
    </row>
    <row r="128704" spans="10:10" x14ac:dyDescent="0.3">
      <c r="J128704"/>
    </row>
    <row r="128705" spans="10:10" x14ac:dyDescent="0.3">
      <c r="J128705"/>
    </row>
    <row r="128706" spans="10:10" x14ac:dyDescent="0.3">
      <c r="J128706"/>
    </row>
    <row r="128707" spans="10:10" x14ac:dyDescent="0.3">
      <c r="J128707"/>
    </row>
    <row r="128708" spans="10:10" x14ac:dyDescent="0.3">
      <c r="J128708"/>
    </row>
    <row r="128709" spans="10:10" x14ac:dyDescent="0.3">
      <c r="J128709"/>
    </row>
    <row r="128710" spans="10:10" x14ac:dyDescent="0.3">
      <c r="J128710"/>
    </row>
    <row r="128711" spans="10:10" x14ac:dyDescent="0.3">
      <c r="J128711"/>
    </row>
    <row r="128712" spans="10:10" x14ac:dyDescent="0.3">
      <c r="J128712"/>
    </row>
    <row r="128713" spans="10:10" x14ac:dyDescent="0.3">
      <c r="J128713"/>
    </row>
    <row r="128714" spans="10:10" x14ac:dyDescent="0.3">
      <c r="J128714"/>
    </row>
    <row r="128715" spans="10:10" x14ac:dyDescent="0.3">
      <c r="J128715"/>
    </row>
    <row r="128716" spans="10:10" x14ac:dyDescent="0.3">
      <c r="J128716"/>
    </row>
    <row r="128717" spans="10:10" x14ac:dyDescent="0.3">
      <c r="J128717"/>
    </row>
    <row r="128718" spans="10:10" x14ac:dyDescent="0.3">
      <c r="J128718"/>
    </row>
    <row r="128719" spans="10:10" x14ac:dyDescent="0.3">
      <c r="J128719"/>
    </row>
    <row r="128720" spans="10:10" x14ac:dyDescent="0.3">
      <c r="J128720"/>
    </row>
    <row r="128721" spans="10:10" x14ac:dyDescent="0.3">
      <c r="J128721"/>
    </row>
    <row r="128722" spans="10:10" x14ac:dyDescent="0.3">
      <c r="J128722"/>
    </row>
    <row r="128723" spans="10:10" x14ac:dyDescent="0.3">
      <c r="J128723"/>
    </row>
    <row r="128724" spans="10:10" x14ac:dyDescent="0.3">
      <c r="J128724"/>
    </row>
    <row r="128725" spans="10:10" x14ac:dyDescent="0.3">
      <c r="J128725"/>
    </row>
    <row r="128726" spans="10:10" x14ac:dyDescent="0.3">
      <c r="J128726"/>
    </row>
    <row r="128727" spans="10:10" x14ac:dyDescent="0.3">
      <c r="J128727"/>
    </row>
    <row r="128728" spans="10:10" x14ac:dyDescent="0.3">
      <c r="J128728"/>
    </row>
    <row r="128729" spans="10:10" x14ac:dyDescent="0.3">
      <c r="J128729"/>
    </row>
    <row r="128730" spans="10:10" x14ac:dyDescent="0.3">
      <c r="J128730"/>
    </row>
    <row r="128731" spans="10:10" x14ac:dyDescent="0.3">
      <c r="J128731"/>
    </row>
    <row r="128732" spans="10:10" x14ac:dyDescent="0.3">
      <c r="J128732"/>
    </row>
    <row r="128733" spans="10:10" x14ac:dyDescent="0.3">
      <c r="J128733"/>
    </row>
    <row r="128734" spans="10:10" x14ac:dyDescent="0.3">
      <c r="J128734"/>
    </row>
    <row r="128735" spans="10:10" x14ac:dyDescent="0.3">
      <c r="J128735"/>
    </row>
    <row r="128736" spans="10:10" x14ac:dyDescent="0.3">
      <c r="J128736"/>
    </row>
    <row r="128737" spans="10:10" x14ac:dyDescent="0.3">
      <c r="J128737"/>
    </row>
    <row r="128738" spans="10:10" x14ac:dyDescent="0.3">
      <c r="J128738"/>
    </row>
    <row r="128739" spans="10:10" x14ac:dyDescent="0.3">
      <c r="J128739"/>
    </row>
    <row r="128740" spans="10:10" x14ac:dyDescent="0.3">
      <c r="J128740"/>
    </row>
    <row r="128741" spans="10:10" x14ac:dyDescent="0.3">
      <c r="J128741"/>
    </row>
    <row r="128742" spans="10:10" x14ac:dyDescent="0.3">
      <c r="J128742"/>
    </row>
    <row r="128743" spans="10:10" x14ac:dyDescent="0.3">
      <c r="J128743"/>
    </row>
    <row r="128744" spans="10:10" x14ac:dyDescent="0.3">
      <c r="J128744"/>
    </row>
    <row r="128745" spans="10:10" x14ac:dyDescent="0.3">
      <c r="J128745"/>
    </row>
    <row r="128746" spans="10:10" x14ac:dyDescent="0.3">
      <c r="J128746"/>
    </row>
    <row r="128747" spans="10:10" x14ac:dyDescent="0.3">
      <c r="J128747"/>
    </row>
    <row r="128748" spans="10:10" x14ac:dyDescent="0.3">
      <c r="J128748"/>
    </row>
    <row r="128749" spans="10:10" x14ac:dyDescent="0.3">
      <c r="J128749"/>
    </row>
    <row r="128750" spans="10:10" x14ac:dyDescent="0.3">
      <c r="J128750"/>
    </row>
    <row r="128751" spans="10:10" x14ac:dyDescent="0.3">
      <c r="J128751"/>
    </row>
    <row r="128752" spans="10:10" x14ac:dyDescent="0.3">
      <c r="J128752"/>
    </row>
    <row r="128753" spans="10:10" x14ac:dyDescent="0.3">
      <c r="J128753"/>
    </row>
    <row r="128754" spans="10:10" x14ac:dyDescent="0.3">
      <c r="J128754"/>
    </row>
    <row r="128755" spans="10:10" x14ac:dyDescent="0.3">
      <c r="J128755"/>
    </row>
    <row r="128756" spans="10:10" x14ac:dyDescent="0.3">
      <c r="J128756"/>
    </row>
    <row r="128757" spans="10:10" x14ac:dyDescent="0.3">
      <c r="J128757"/>
    </row>
    <row r="128758" spans="10:10" x14ac:dyDescent="0.3">
      <c r="J128758"/>
    </row>
    <row r="128759" spans="10:10" x14ac:dyDescent="0.3">
      <c r="J128759"/>
    </row>
    <row r="128760" spans="10:10" x14ac:dyDescent="0.3">
      <c r="J128760"/>
    </row>
    <row r="128761" spans="10:10" x14ac:dyDescent="0.3">
      <c r="J128761"/>
    </row>
    <row r="128762" spans="10:10" x14ac:dyDescent="0.3">
      <c r="J128762"/>
    </row>
    <row r="128763" spans="10:10" x14ac:dyDescent="0.3">
      <c r="J128763"/>
    </row>
    <row r="128764" spans="10:10" x14ac:dyDescent="0.3">
      <c r="J128764"/>
    </row>
    <row r="128765" spans="10:10" x14ac:dyDescent="0.3">
      <c r="J128765"/>
    </row>
    <row r="128766" spans="10:10" x14ac:dyDescent="0.3">
      <c r="J128766"/>
    </row>
    <row r="128767" spans="10:10" x14ac:dyDescent="0.3">
      <c r="J128767"/>
    </row>
    <row r="128768" spans="10:10" x14ac:dyDescent="0.3">
      <c r="J128768"/>
    </row>
    <row r="128769" spans="10:10" x14ac:dyDescent="0.3">
      <c r="J128769"/>
    </row>
    <row r="128770" spans="10:10" x14ac:dyDescent="0.3">
      <c r="J128770"/>
    </row>
    <row r="128771" spans="10:10" x14ac:dyDescent="0.3">
      <c r="J128771"/>
    </row>
    <row r="128772" spans="10:10" x14ac:dyDescent="0.3">
      <c r="J128772"/>
    </row>
    <row r="128773" spans="10:10" x14ac:dyDescent="0.3">
      <c r="J128773"/>
    </row>
    <row r="128774" spans="10:10" x14ac:dyDescent="0.3">
      <c r="J128774"/>
    </row>
    <row r="128775" spans="10:10" x14ac:dyDescent="0.3">
      <c r="J128775"/>
    </row>
    <row r="128776" spans="10:10" x14ac:dyDescent="0.3">
      <c r="J128776"/>
    </row>
    <row r="128777" spans="10:10" x14ac:dyDescent="0.3">
      <c r="J128777"/>
    </row>
    <row r="128778" spans="10:10" x14ac:dyDescent="0.3">
      <c r="J128778"/>
    </row>
    <row r="128779" spans="10:10" x14ac:dyDescent="0.3">
      <c r="J128779"/>
    </row>
    <row r="128780" spans="10:10" x14ac:dyDescent="0.3">
      <c r="J128780"/>
    </row>
    <row r="128781" spans="10:10" x14ac:dyDescent="0.3">
      <c r="J128781"/>
    </row>
    <row r="128782" spans="10:10" x14ac:dyDescent="0.3">
      <c r="J128782"/>
    </row>
    <row r="128783" spans="10:10" x14ac:dyDescent="0.3">
      <c r="J128783"/>
    </row>
    <row r="128784" spans="10:10" x14ac:dyDescent="0.3">
      <c r="J128784"/>
    </row>
    <row r="128785" spans="10:10" x14ac:dyDescent="0.3">
      <c r="J128785"/>
    </row>
    <row r="128786" spans="10:10" x14ac:dyDescent="0.3">
      <c r="J128786"/>
    </row>
    <row r="128787" spans="10:10" x14ac:dyDescent="0.3">
      <c r="J128787"/>
    </row>
    <row r="128788" spans="10:10" x14ac:dyDescent="0.3">
      <c r="J128788"/>
    </row>
    <row r="128789" spans="10:10" x14ac:dyDescent="0.3">
      <c r="J128789"/>
    </row>
    <row r="128790" spans="10:10" x14ac:dyDescent="0.3">
      <c r="J128790"/>
    </row>
    <row r="128791" spans="10:10" x14ac:dyDescent="0.3">
      <c r="J128791"/>
    </row>
    <row r="128792" spans="10:10" x14ac:dyDescent="0.3">
      <c r="J128792"/>
    </row>
    <row r="128793" spans="10:10" x14ac:dyDescent="0.3">
      <c r="J128793"/>
    </row>
    <row r="128794" spans="10:10" x14ac:dyDescent="0.3">
      <c r="J128794"/>
    </row>
    <row r="128795" spans="10:10" x14ac:dyDescent="0.3">
      <c r="J128795"/>
    </row>
    <row r="128796" spans="10:10" x14ac:dyDescent="0.3">
      <c r="J128796"/>
    </row>
    <row r="128797" spans="10:10" x14ac:dyDescent="0.3">
      <c r="J128797"/>
    </row>
    <row r="128798" spans="10:10" x14ac:dyDescent="0.3">
      <c r="J128798"/>
    </row>
    <row r="128799" spans="10:10" x14ac:dyDescent="0.3">
      <c r="J128799"/>
    </row>
    <row r="128800" spans="10:10" x14ac:dyDescent="0.3">
      <c r="J128800"/>
    </row>
    <row r="128801" spans="10:10" x14ac:dyDescent="0.3">
      <c r="J128801"/>
    </row>
    <row r="128802" spans="10:10" x14ac:dyDescent="0.3">
      <c r="J128802"/>
    </row>
    <row r="128803" spans="10:10" x14ac:dyDescent="0.3">
      <c r="J128803"/>
    </row>
    <row r="128804" spans="10:10" x14ac:dyDescent="0.3">
      <c r="J128804"/>
    </row>
    <row r="128805" spans="10:10" x14ac:dyDescent="0.3">
      <c r="J128805"/>
    </row>
    <row r="128806" spans="10:10" x14ac:dyDescent="0.3">
      <c r="J128806"/>
    </row>
    <row r="128807" spans="10:10" x14ac:dyDescent="0.3">
      <c r="J128807"/>
    </row>
    <row r="128808" spans="10:10" x14ac:dyDescent="0.3">
      <c r="J128808"/>
    </row>
    <row r="128809" spans="10:10" x14ac:dyDescent="0.3">
      <c r="J128809"/>
    </row>
    <row r="128810" spans="10:10" x14ac:dyDescent="0.3">
      <c r="J128810"/>
    </row>
    <row r="128811" spans="10:10" x14ac:dyDescent="0.3">
      <c r="J128811"/>
    </row>
    <row r="128812" spans="10:10" x14ac:dyDescent="0.3">
      <c r="J128812"/>
    </row>
    <row r="128813" spans="10:10" x14ac:dyDescent="0.3">
      <c r="J128813"/>
    </row>
    <row r="128814" spans="10:10" x14ac:dyDescent="0.3">
      <c r="J128814"/>
    </row>
    <row r="128815" spans="10:10" x14ac:dyDescent="0.3">
      <c r="J128815"/>
    </row>
    <row r="128816" spans="10:10" x14ac:dyDescent="0.3">
      <c r="J128816"/>
    </row>
    <row r="128817" spans="10:10" x14ac:dyDescent="0.3">
      <c r="J128817"/>
    </row>
    <row r="128818" spans="10:10" x14ac:dyDescent="0.3">
      <c r="J128818"/>
    </row>
    <row r="128819" spans="10:10" x14ac:dyDescent="0.3">
      <c r="J128819"/>
    </row>
    <row r="128820" spans="10:10" x14ac:dyDescent="0.3">
      <c r="J128820"/>
    </row>
    <row r="128821" spans="10:10" x14ac:dyDescent="0.3">
      <c r="J128821"/>
    </row>
    <row r="128822" spans="10:10" x14ac:dyDescent="0.3">
      <c r="J128822"/>
    </row>
    <row r="128823" spans="10:10" x14ac:dyDescent="0.3">
      <c r="J128823"/>
    </row>
    <row r="128824" spans="10:10" x14ac:dyDescent="0.3">
      <c r="J128824"/>
    </row>
    <row r="128825" spans="10:10" x14ac:dyDescent="0.3">
      <c r="J128825"/>
    </row>
    <row r="128826" spans="10:10" x14ac:dyDescent="0.3">
      <c r="J128826"/>
    </row>
    <row r="128827" spans="10:10" x14ac:dyDescent="0.3">
      <c r="J128827"/>
    </row>
    <row r="128828" spans="10:10" x14ac:dyDescent="0.3">
      <c r="J128828"/>
    </row>
    <row r="128829" spans="10:10" x14ac:dyDescent="0.3">
      <c r="J128829"/>
    </row>
    <row r="128830" spans="10:10" x14ac:dyDescent="0.3">
      <c r="J128830"/>
    </row>
    <row r="128831" spans="10:10" x14ac:dyDescent="0.3">
      <c r="J128831"/>
    </row>
    <row r="128832" spans="10:10" x14ac:dyDescent="0.3">
      <c r="J128832"/>
    </row>
    <row r="128833" spans="10:10" x14ac:dyDescent="0.3">
      <c r="J128833"/>
    </row>
    <row r="128834" spans="10:10" x14ac:dyDescent="0.3">
      <c r="J128834"/>
    </row>
    <row r="128835" spans="10:10" x14ac:dyDescent="0.3">
      <c r="J128835"/>
    </row>
    <row r="128836" spans="10:10" x14ac:dyDescent="0.3">
      <c r="J128836"/>
    </row>
    <row r="128837" spans="10:10" x14ac:dyDescent="0.3">
      <c r="J128837"/>
    </row>
    <row r="128838" spans="10:10" x14ac:dyDescent="0.3">
      <c r="J128838"/>
    </row>
    <row r="128839" spans="10:10" x14ac:dyDescent="0.3">
      <c r="J128839"/>
    </row>
    <row r="128840" spans="10:10" x14ac:dyDescent="0.3">
      <c r="J128840"/>
    </row>
    <row r="128841" spans="10:10" x14ac:dyDescent="0.3">
      <c r="J128841"/>
    </row>
    <row r="128842" spans="10:10" x14ac:dyDescent="0.3">
      <c r="J128842"/>
    </row>
    <row r="128843" spans="10:10" x14ac:dyDescent="0.3">
      <c r="J128843"/>
    </row>
    <row r="128844" spans="10:10" x14ac:dyDescent="0.3">
      <c r="J128844"/>
    </row>
    <row r="128845" spans="10:10" x14ac:dyDescent="0.3">
      <c r="J128845"/>
    </row>
    <row r="128846" spans="10:10" x14ac:dyDescent="0.3">
      <c r="J128846"/>
    </row>
    <row r="128847" spans="10:10" x14ac:dyDescent="0.3">
      <c r="J128847"/>
    </row>
    <row r="128848" spans="10:10" x14ac:dyDescent="0.3">
      <c r="J128848"/>
    </row>
    <row r="128849" spans="10:10" x14ac:dyDescent="0.3">
      <c r="J128849"/>
    </row>
    <row r="128850" spans="10:10" x14ac:dyDescent="0.3">
      <c r="J128850"/>
    </row>
    <row r="128851" spans="10:10" x14ac:dyDescent="0.3">
      <c r="J128851"/>
    </row>
    <row r="128852" spans="10:10" x14ac:dyDescent="0.3">
      <c r="J128852"/>
    </row>
    <row r="128853" spans="10:10" x14ac:dyDescent="0.3">
      <c r="J128853"/>
    </row>
    <row r="128854" spans="10:10" x14ac:dyDescent="0.3">
      <c r="J128854"/>
    </row>
    <row r="128855" spans="10:10" x14ac:dyDescent="0.3">
      <c r="J128855"/>
    </row>
    <row r="128856" spans="10:10" x14ac:dyDescent="0.3">
      <c r="J128856"/>
    </row>
    <row r="128857" spans="10:10" x14ac:dyDescent="0.3">
      <c r="J128857"/>
    </row>
    <row r="128858" spans="10:10" x14ac:dyDescent="0.3">
      <c r="J128858"/>
    </row>
    <row r="128859" spans="10:10" x14ac:dyDescent="0.3">
      <c r="J128859"/>
    </row>
    <row r="128860" spans="10:10" x14ac:dyDescent="0.3">
      <c r="J128860"/>
    </row>
    <row r="128861" spans="10:10" x14ac:dyDescent="0.3">
      <c r="J128861"/>
    </row>
    <row r="128862" spans="10:10" x14ac:dyDescent="0.3">
      <c r="J128862"/>
    </row>
    <row r="128863" spans="10:10" x14ac:dyDescent="0.3">
      <c r="J128863"/>
    </row>
    <row r="128864" spans="10:10" x14ac:dyDescent="0.3">
      <c r="J128864"/>
    </row>
    <row r="128865" spans="10:10" x14ac:dyDescent="0.3">
      <c r="J128865"/>
    </row>
    <row r="128866" spans="10:10" x14ac:dyDescent="0.3">
      <c r="J128866"/>
    </row>
    <row r="128867" spans="10:10" x14ac:dyDescent="0.3">
      <c r="J128867"/>
    </row>
    <row r="128868" spans="10:10" x14ac:dyDescent="0.3">
      <c r="J128868"/>
    </row>
    <row r="128869" spans="10:10" x14ac:dyDescent="0.3">
      <c r="J128869"/>
    </row>
    <row r="128870" spans="10:10" x14ac:dyDescent="0.3">
      <c r="J128870"/>
    </row>
    <row r="128871" spans="10:10" x14ac:dyDescent="0.3">
      <c r="J128871"/>
    </row>
    <row r="128872" spans="10:10" x14ac:dyDescent="0.3">
      <c r="J128872"/>
    </row>
    <row r="128873" spans="10:10" x14ac:dyDescent="0.3">
      <c r="J128873"/>
    </row>
    <row r="128874" spans="10:10" x14ac:dyDescent="0.3">
      <c r="J128874"/>
    </row>
    <row r="128875" spans="10:10" x14ac:dyDescent="0.3">
      <c r="J128875"/>
    </row>
    <row r="128876" spans="10:10" x14ac:dyDescent="0.3">
      <c r="J128876"/>
    </row>
    <row r="128877" spans="10:10" x14ac:dyDescent="0.3">
      <c r="J128877"/>
    </row>
    <row r="128878" spans="10:10" x14ac:dyDescent="0.3">
      <c r="J128878"/>
    </row>
    <row r="128879" spans="10:10" x14ac:dyDescent="0.3">
      <c r="J128879"/>
    </row>
    <row r="128880" spans="10:10" x14ac:dyDescent="0.3">
      <c r="J128880"/>
    </row>
    <row r="128881" spans="10:10" x14ac:dyDescent="0.3">
      <c r="J128881"/>
    </row>
    <row r="128882" spans="10:10" x14ac:dyDescent="0.3">
      <c r="J128882"/>
    </row>
    <row r="128883" spans="10:10" x14ac:dyDescent="0.3">
      <c r="J128883"/>
    </row>
    <row r="128884" spans="10:10" x14ac:dyDescent="0.3">
      <c r="J128884"/>
    </row>
    <row r="128885" spans="10:10" x14ac:dyDescent="0.3">
      <c r="J128885"/>
    </row>
    <row r="128886" spans="10:10" x14ac:dyDescent="0.3">
      <c r="J128886"/>
    </row>
    <row r="128887" spans="10:10" x14ac:dyDescent="0.3">
      <c r="J128887"/>
    </row>
    <row r="128888" spans="10:10" x14ac:dyDescent="0.3">
      <c r="J128888"/>
    </row>
    <row r="128889" spans="10:10" x14ac:dyDescent="0.3">
      <c r="J128889"/>
    </row>
    <row r="128890" spans="10:10" x14ac:dyDescent="0.3">
      <c r="J128890"/>
    </row>
    <row r="128891" spans="10:10" x14ac:dyDescent="0.3">
      <c r="J128891"/>
    </row>
    <row r="128892" spans="10:10" x14ac:dyDescent="0.3">
      <c r="J128892"/>
    </row>
    <row r="128893" spans="10:10" x14ac:dyDescent="0.3">
      <c r="J128893"/>
    </row>
    <row r="128894" spans="10:10" x14ac:dyDescent="0.3">
      <c r="J128894"/>
    </row>
    <row r="128895" spans="10:10" x14ac:dyDescent="0.3">
      <c r="J128895"/>
    </row>
    <row r="128896" spans="10:10" x14ac:dyDescent="0.3">
      <c r="J128896"/>
    </row>
    <row r="128897" spans="10:10" x14ac:dyDescent="0.3">
      <c r="J128897"/>
    </row>
    <row r="128898" spans="10:10" x14ac:dyDescent="0.3">
      <c r="J128898"/>
    </row>
    <row r="128899" spans="10:10" x14ac:dyDescent="0.3">
      <c r="J128899"/>
    </row>
    <row r="128900" spans="10:10" x14ac:dyDescent="0.3">
      <c r="J128900"/>
    </row>
    <row r="128901" spans="10:10" x14ac:dyDescent="0.3">
      <c r="J128901"/>
    </row>
    <row r="128902" spans="10:10" x14ac:dyDescent="0.3">
      <c r="J128902"/>
    </row>
    <row r="128903" spans="10:10" x14ac:dyDescent="0.3">
      <c r="J128903"/>
    </row>
    <row r="128904" spans="10:10" x14ac:dyDescent="0.3">
      <c r="J128904"/>
    </row>
    <row r="128905" spans="10:10" x14ac:dyDescent="0.3">
      <c r="J128905"/>
    </row>
    <row r="128906" spans="10:10" x14ac:dyDescent="0.3">
      <c r="J128906"/>
    </row>
    <row r="128907" spans="10:10" x14ac:dyDescent="0.3">
      <c r="J128907"/>
    </row>
    <row r="128908" spans="10:10" x14ac:dyDescent="0.3">
      <c r="J128908"/>
    </row>
    <row r="128909" spans="10:10" x14ac:dyDescent="0.3">
      <c r="J128909"/>
    </row>
    <row r="128910" spans="10:10" x14ac:dyDescent="0.3">
      <c r="J128910"/>
    </row>
    <row r="128911" spans="10:10" x14ac:dyDescent="0.3">
      <c r="J128911"/>
    </row>
    <row r="128912" spans="10:10" x14ac:dyDescent="0.3">
      <c r="J128912"/>
    </row>
    <row r="128913" spans="10:10" x14ac:dyDescent="0.3">
      <c r="J128913"/>
    </row>
    <row r="128914" spans="10:10" x14ac:dyDescent="0.3">
      <c r="J128914"/>
    </row>
    <row r="128915" spans="10:10" x14ac:dyDescent="0.3">
      <c r="J128915"/>
    </row>
    <row r="128916" spans="10:10" x14ac:dyDescent="0.3">
      <c r="J128916"/>
    </row>
    <row r="128917" spans="10:10" x14ac:dyDescent="0.3">
      <c r="J128917"/>
    </row>
    <row r="128918" spans="10:10" x14ac:dyDescent="0.3">
      <c r="J128918"/>
    </row>
    <row r="128919" spans="10:10" x14ac:dyDescent="0.3">
      <c r="J128919"/>
    </row>
    <row r="128920" spans="10:10" x14ac:dyDescent="0.3">
      <c r="J128920"/>
    </row>
    <row r="128921" spans="10:10" x14ac:dyDescent="0.3">
      <c r="J128921"/>
    </row>
    <row r="128922" spans="10:10" x14ac:dyDescent="0.3">
      <c r="J128922"/>
    </row>
    <row r="128923" spans="10:10" x14ac:dyDescent="0.3">
      <c r="J128923"/>
    </row>
    <row r="128924" spans="10:10" x14ac:dyDescent="0.3">
      <c r="J128924"/>
    </row>
    <row r="128925" spans="10:10" x14ac:dyDescent="0.3">
      <c r="J128925"/>
    </row>
    <row r="128926" spans="10:10" x14ac:dyDescent="0.3">
      <c r="J128926"/>
    </row>
    <row r="128927" spans="10:10" x14ac:dyDescent="0.3">
      <c r="J128927"/>
    </row>
    <row r="128928" spans="10:10" x14ac:dyDescent="0.3">
      <c r="J128928"/>
    </row>
    <row r="128929" spans="10:10" x14ac:dyDescent="0.3">
      <c r="J128929"/>
    </row>
    <row r="128930" spans="10:10" x14ac:dyDescent="0.3">
      <c r="J128930"/>
    </row>
    <row r="128931" spans="10:10" x14ac:dyDescent="0.3">
      <c r="J128931"/>
    </row>
    <row r="128932" spans="10:10" x14ac:dyDescent="0.3">
      <c r="J128932"/>
    </row>
    <row r="128933" spans="10:10" x14ac:dyDescent="0.3">
      <c r="J128933"/>
    </row>
    <row r="128934" spans="10:10" x14ac:dyDescent="0.3">
      <c r="J128934"/>
    </row>
    <row r="128935" spans="10:10" x14ac:dyDescent="0.3">
      <c r="J128935"/>
    </row>
    <row r="128936" spans="10:10" x14ac:dyDescent="0.3">
      <c r="J128936"/>
    </row>
    <row r="128937" spans="10:10" x14ac:dyDescent="0.3">
      <c r="J128937"/>
    </row>
    <row r="128938" spans="10:10" x14ac:dyDescent="0.3">
      <c r="J128938"/>
    </row>
    <row r="128939" spans="10:10" x14ac:dyDescent="0.3">
      <c r="J128939"/>
    </row>
    <row r="128940" spans="10:10" x14ac:dyDescent="0.3">
      <c r="J128940"/>
    </row>
    <row r="128941" spans="10:10" x14ac:dyDescent="0.3">
      <c r="J128941"/>
    </row>
    <row r="128942" spans="10:10" x14ac:dyDescent="0.3">
      <c r="J128942"/>
    </row>
    <row r="128943" spans="10:10" x14ac:dyDescent="0.3">
      <c r="J128943"/>
    </row>
    <row r="128944" spans="10:10" x14ac:dyDescent="0.3">
      <c r="J128944"/>
    </row>
    <row r="128945" spans="10:10" x14ac:dyDescent="0.3">
      <c r="J128945"/>
    </row>
    <row r="128946" spans="10:10" x14ac:dyDescent="0.3">
      <c r="J128946"/>
    </row>
    <row r="128947" spans="10:10" x14ac:dyDescent="0.3">
      <c r="J128947"/>
    </row>
    <row r="128948" spans="10:10" x14ac:dyDescent="0.3">
      <c r="J128948"/>
    </row>
    <row r="128949" spans="10:10" x14ac:dyDescent="0.3">
      <c r="J128949"/>
    </row>
    <row r="128950" spans="10:10" x14ac:dyDescent="0.3">
      <c r="J128950"/>
    </row>
    <row r="128951" spans="10:10" x14ac:dyDescent="0.3">
      <c r="J128951"/>
    </row>
    <row r="128952" spans="10:10" x14ac:dyDescent="0.3">
      <c r="J128952"/>
    </row>
    <row r="128953" spans="10:10" x14ac:dyDescent="0.3">
      <c r="J128953"/>
    </row>
    <row r="128954" spans="10:10" x14ac:dyDescent="0.3">
      <c r="J128954"/>
    </row>
    <row r="128955" spans="10:10" x14ac:dyDescent="0.3">
      <c r="J128955"/>
    </row>
    <row r="128956" spans="10:10" x14ac:dyDescent="0.3">
      <c r="J128956"/>
    </row>
    <row r="128957" spans="10:10" x14ac:dyDescent="0.3">
      <c r="J128957"/>
    </row>
    <row r="128958" spans="10:10" x14ac:dyDescent="0.3">
      <c r="J128958"/>
    </row>
    <row r="128959" spans="10:10" x14ac:dyDescent="0.3">
      <c r="J128959"/>
    </row>
    <row r="128960" spans="10:10" x14ac:dyDescent="0.3">
      <c r="J128960"/>
    </row>
    <row r="128961" spans="10:10" x14ac:dyDescent="0.3">
      <c r="J128961"/>
    </row>
    <row r="128962" spans="10:10" x14ac:dyDescent="0.3">
      <c r="J128962"/>
    </row>
    <row r="128963" spans="10:10" x14ac:dyDescent="0.3">
      <c r="J128963"/>
    </row>
    <row r="128964" spans="10:10" x14ac:dyDescent="0.3">
      <c r="J128964"/>
    </row>
    <row r="128965" spans="10:10" x14ac:dyDescent="0.3">
      <c r="J128965"/>
    </row>
    <row r="128966" spans="10:10" x14ac:dyDescent="0.3">
      <c r="J128966"/>
    </row>
    <row r="128967" spans="10:10" x14ac:dyDescent="0.3">
      <c r="J128967"/>
    </row>
    <row r="128968" spans="10:10" x14ac:dyDescent="0.3">
      <c r="J128968"/>
    </row>
    <row r="128969" spans="10:10" x14ac:dyDescent="0.3">
      <c r="J128969"/>
    </row>
    <row r="128970" spans="10:10" x14ac:dyDescent="0.3">
      <c r="J128970"/>
    </row>
    <row r="128971" spans="10:10" x14ac:dyDescent="0.3">
      <c r="J128971"/>
    </row>
    <row r="128972" spans="10:10" x14ac:dyDescent="0.3">
      <c r="J128972"/>
    </row>
    <row r="128973" spans="10:10" x14ac:dyDescent="0.3">
      <c r="J128973"/>
    </row>
    <row r="128974" spans="10:10" x14ac:dyDescent="0.3">
      <c r="J128974"/>
    </row>
    <row r="128975" spans="10:10" x14ac:dyDescent="0.3">
      <c r="J128975"/>
    </row>
    <row r="128976" spans="10:10" x14ac:dyDescent="0.3">
      <c r="J128976"/>
    </row>
    <row r="128977" spans="10:10" x14ac:dyDescent="0.3">
      <c r="J128977"/>
    </row>
    <row r="128978" spans="10:10" x14ac:dyDescent="0.3">
      <c r="J128978"/>
    </row>
    <row r="128979" spans="10:10" x14ac:dyDescent="0.3">
      <c r="J128979"/>
    </row>
    <row r="128980" spans="10:10" x14ac:dyDescent="0.3">
      <c r="J128980"/>
    </row>
    <row r="128981" spans="10:10" x14ac:dyDescent="0.3">
      <c r="J128981"/>
    </row>
    <row r="128982" spans="10:10" x14ac:dyDescent="0.3">
      <c r="J128982"/>
    </row>
    <row r="128983" spans="10:10" x14ac:dyDescent="0.3">
      <c r="J128983"/>
    </row>
    <row r="128984" spans="10:10" x14ac:dyDescent="0.3">
      <c r="J128984"/>
    </row>
    <row r="128985" spans="10:10" x14ac:dyDescent="0.3">
      <c r="J128985"/>
    </row>
    <row r="128986" spans="10:10" x14ac:dyDescent="0.3">
      <c r="J128986"/>
    </row>
    <row r="128987" spans="10:10" x14ac:dyDescent="0.3">
      <c r="J128987"/>
    </row>
    <row r="128988" spans="10:10" x14ac:dyDescent="0.3">
      <c r="J128988"/>
    </row>
    <row r="128989" spans="10:10" x14ac:dyDescent="0.3">
      <c r="J128989"/>
    </row>
    <row r="128990" spans="10:10" x14ac:dyDescent="0.3">
      <c r="J128990"/>
    </row>
    <row r="128991" spans="10:10" x14ac:dyDescent="0.3">
      <c r="J128991"/>
    </row>
    <row r="128992" spans="10:10" x14ac:dyDescent="0.3">
      <c r="J128992"/>
    </row>
    <row r="128993" spans="10:10" x14ac:dyDescent="0.3">
      <c r="J128993"/>
    </row>
    <row r="128994" spans="10:10" x14ac:dyDescent="0.3">
      <c r="J128994"/>
    </row>
    <row r="128995" spans="10:10" x14ac:dyDescent="0.3">
      <c r="J128995"/>
    </row>
    <row r="128996" spans="10:10" x14ac:dyDescent="0.3">
      <c r="J128996"/>
    </row>
    <row r="128997" spans="10:10" x14ac:dyDescent="0.3">
      <c r="J128997"/>
    </row>
    <row r="128998" spans="10:10" x14ac:dyDescent="0.3">
      <c r="J128998"/>
    </row>
    <row r="128999" spans="10:10" x14ac:dyDescent="0.3">
      <c r="J128999"/>
    </row>
    <row r="129000" spans="10:10" x14ac:dyDescent="0.3">
      <c r="J129000"/>
    </row>
    <row r="129001" spans="10:10" x14ac:dyDescent="0.3">
      <c r="J129001"/>
    </row>
    <row r="129002" spans="10:10" x14ac:dyDescent="0.3">
      <c r="J129002"/>
    </row>
    <row r="129003" spans="10:10" x14ac:dyDescent="0.3">
      <c r="J129003"/>
    </row>
    <row r="129004" spans="10:10" x14ac:dyDescent="0.3">
      <c r="J129004"/>
    </row>
    <row r="129005" spans="10:10" x14ac:dyDescent="0.3">
      <c r="J129005"/>
    </row>
    <row r="129006" spans="10:10" x14ac:dyDescent="0.3">
      <c r="J129006"/>
    </row>
    <row r="129007" spans="10:10" x14ac:dyDescent="0.3">
      <c r="J129007"/>
    </row>
    <row r="129008" spans="10:10" x14ac:dyDescent="0.3">
      <c r="J129008"/>
    </row>
    <row r="129009" spans="10:10" x14ac:dyDescent="0.3">
      <c r="J129009"/>
    </row>
    <row r="129010" spans="10:10" x14ac:dyDescent="0.3">
      <c r="J129010"/>
    </row>
    <row r="129011" spans="10:10" x14ac:dyDescent="0.3">
      <c r="J129011"/>
    </row>
    <row r="129012" spans="10:10" x14ac:dyDescent="0.3">
      <c r="J129012"/>
    </row>
    <row r="129013" spans="10:10" x14ac:dyDescent="0.3">
      <c r="J129013"/>
    </row>
    <row r="129014" spans="10:10" x14ac:dyDescent="0.3">
      <c r="J129014"/>
    </row>
    <row r="129015" spans="10:10" x14ac:dyDescent="0.3">
      <c r="J129015"/>
    </row>
    <row r="129016" spans="10:10" x14ac:dyDescent="0.3">
      <c r="J129016"/>
    </row>
    <row r="129017" spans="10:10" x14ac:dyDescent="0.3">
      <c r="J129017"/>
    </row>
    <row r="129018" spans="10:10" x14ac:dyDescent="0.3">
      <c r="J129018"/>
    </row>
    <row r="129019" spans="10:10" x14ac:dyDescent="0.3">
      <c r="J129019"/>
    </row>
    <row r="129020" spans="10:10" x14ac:dyDescent="0.3">
      <c r="J129020"/>
    </row>
    <row r="129021" spans="10:10" x14ac:dyDescent="0.3">
      <c r="J129021"/>
    </row>
    <row r="129022" spans="10:10" x14ac:dyDescent="0.3">
      <c r="J129022"/>
    </row>
    <row r="129023" spans="10:10" x14ac:dyDescent="0.3">
      <c r="J129023"/>
    </row>
    <row r="129024" spans="10:10" x14ac:dyDescent="0.3">
      <c r="J129024"/>
    </row>
    <row r="129025" spans="10:10" x14ac:dyDescent="0.3">
      <c r="J129025"/>
    </row>
    <row r="129026" spans="10:10" x14ac:dyDescent="0.3">
      <c r="J129026"/>
    </row>
    <row r="129027" spans="10:10" x14ac:dyDescent="0.3">
      <c r="J129027"/>
    </row>
    <row r="129028" spans="10:10" x14ac:dyDescent="0.3">
      <c r="J129028"/>
    </row>
    <row r="129029" spans="10:10" x14ac:dyDescent="0.3">
      <c r="J129029"/>
    </row>
    <row r="129030" spans="10:10" x14ac:dyDescent="0.3">
      <c r="J129030"/>
    </row>
    <row r="129031" spans="10:10" x14ac:dyDescent="0.3">
      <c r="J129031"/>
    </row>
    <row r="129032" spans="10:10" x14ac:dyDescent="0.3">
      <c r="J129032"/>
    </row>
    <row r="129033" spans="10:10" x14ac:dyDescent="0.3">
      <c r="J129033"/>
    </row>
    <row r="129034" spans="10:10" x14ac:dyDescent="0.3">
      <c r="J129034"/>
    </row>
    <row r="129035" spans="10:10" x14ac:dyDescent="0.3">
      <c r="J129035"/>
    </row>
    <row r="129036" spans="10:10" x14ac:dyDescent="0.3">
      <c r="J129036"/>
    </row>
    <row r="129037" spans="10:10" x14ac:dyDescent="0.3">
      <c r="J129037"/>
    </row>
    <row r="129038" spans="10:10" x14ac:dyDescent="0.3">
      <c r="J129038"/>
    </row>
    <row r="129039" spans="10:10" x14ac:dyDescent="0.3">
      <c r="J129039"/>
    </row>
    <row r="129040" spans="10:10" x14ac:dyDescent="0.3">
      <c r="J129040"/>
    </row>
    <row r="129041" spans="10:10" x14ac:dyDescent="0.3">
      <c r="J129041"/>
    </row>
    <row r="129042" spans="10:10" x14ac:dyDescent="0.3">
      <c r="J129042"/>
    </row>
    <row r="129043" spans="10:10" x14ac:dyDescent="0.3">
      <c r="J129043"/>
    </row>
    <row r="129044" spans="10:10" x14ac:dyDescent="0.3">
      <c r="J129044"/>
    </row>
    <row r="129045" spans="10:10" x14ac:dyDescent="0.3">
      <c r="J129045"/>
    </row>
    <row r="129046" spans="10:10" x14ac:dyDescent="0.3">
      <c r="J129046"/>
    </row>
    <row r="129047" spans="10:10" x14ac:dyDescent="0.3">
      <c r="J129047"/>
    </row>
    <row r="129048" spans="10:10" x14ac:dyDescent="0.3">
      <c r="J129048"/>
    </row>
    <row r="129049" spans="10:10" x14ac:dyDescent="0.3">
      <c r="J129049"/>
    </row>
    <row r="129050" spans="10:10" x14ac:dyDescent="0.3">
      <c r="J129050"/>
    </row>
    <row r="129051" spans="10:10" x14ac:dyDescent="0.3">
      <c r="J129051"/>
    </row>
    <row r="129052" spans="10:10" x14ac:dyDescent="0.3">
      <c r="J129052"/>
    </row>
    <row r="129053" spans="10:10" x14ac:dyDescent="0.3">
      <c r="J129053"/>
    </row>
    <row r="129054" spans="10:10" x14ac:dyDescent="0.3">
      <c r="J129054"/>
    </row>
    <row r="129055" spans="10:10" x14ac:dyDescent="0.3">
      <c r="J129055"/>
    </row>
    <row r="129056" spans="10:10" x14ac:dyDescent="0.3">
      <c r="J129056"/>
    </row>
    <row r="129057" spans="10:10" x14ac:dyDescent="0.3">
      <c r="J129057"/>
    </row>
    <row r="129058" spans="10:10" x14ac:dyDescent="0.3">
      <c r="J129058"/>
    </row>
    <row r="129059" spans="10:10" x14ac:dyDescent="0.3">
      <c r="J129059"/>
    </row>
    <row r="129060" spans="10:10" x14ac:dyDescent="0.3">
      <c r="J129060"/>
    </row>
    <row r="129061" spans="10:10" x14ac:dyDescent="0.3">
      <c r="J129061"/>
    </row>
    <row r="129062" spans="10:10" x14ac:dyDescent="0.3">
      <c r="J129062"/>
    </row>
    <row r="129063" spans="10:10" x14ac:dyDescent="0.3">
      <c r="J129063"/>
    </row>
    <row r="129064" spans="10:10" x14ac:dyDescent="0.3">
      <c r="J129064"/>
    </row>
    <row r="129065" spans="10:10" x14ac:dyDescent="0.3">
      <c r="J129065"/>
    </row>
    <row r="129066" spans="10:10" x14ac:dyDescent="0.3">
      <c r="J129066"/>
    </row>
    <row r="129067" spans="10:10" x14ac:dyDescent="0.3">
      <c r="J129067"/>
    </row>
    <row r="129068" spans="10:10" x14ac:dyDescent="0.3">
      <c r="J129068"/>
    </row>
    <row r="129069" spans="10:10" x14ac:dyDescent="0.3">
      <c r="J129069"/>
    </row>
    <row r="129070" spans="10:10" x14ac:dyDescent="0.3">
      <c r="J129070"/>
    </row>
    <row r="129071" spans="10:10" x14ac:dyDescent="0.3">
      <c r="J129071"/>
    </row>
    <row r="129072" spans="10:10" x14ac:dyDescent="0.3">
      <c r="J129072"/>
    </row>
    <row r="129073" spans="10:10" x14ac:dyDescent="0.3">
      <c r="J129073"/>
    </row>
    <row r="129074" spans="10:10" x14ac:dyDescent="0.3">
      <c r="J129074"/>
    </row>
    <row r="129075" spans="10:10" x14ac:dyDescent="0.3">
      <c r="J129075"/>
    </row>
    <row r="129076" spans="10:10" x14ac:dyDescent="0.3">
      <c r="J129076"/>
    </row>
    <row r="129077" spans="10:10" x14ac:dyDescent="0.3">
      <c r="J129077"/>
    </row>
    <row r="129078" spans="10:10" x14ac:dyDescent="0.3">
      <c r="J129078"/>
    </row>
    <row r="129079" spans="10:10" x14ac:dyDescent="0.3">
      <c r="J129079"/>
    </row>
    <row r="129080" spans="10:10" x14ac:dyDescent="0.3">
      <c r="J129080"/>
    </row>
    <row r="129081" spans="10:10" x14ac:dyDescent="0.3">
      <c r="J129081"/>
    </row>
    <row r="129082" spans="10:10" x14ac:dyDescent="0.3">
      <c r="J129082"/>
    </row>
    <row r="129083" spans="10:10" x14ac:dyDescent="0.3">
      <c r="J129083"/>
    </row>
    <row r="129084" spans="10:10" x14ac:dyDescent="0.3">
      <c r="J129084"/>
    </row>
    <row r="129085" spans="10:10" x14ac:dyDescent="0.3">
      <c r="J129085"/>
    </row>
    <row r="129086" spans="10:10" x14ac:dyDescent="0.3">
      <c r="J129086"/>
    </row>
    <row r="129087" spans="10:10" x14ac:dyDescent="0.3">
      <c r="J129087"/>
    </row>
    <row r="129088" spans="10:10" x14ac:dyDescent="0.3">
      <c r="J129088"/>
    </row>
    <row r="129089" spans="10:10" x14ac:dyDescent="0.3">
      <c r="J129089"/>
    </row>
    <row r="129090" spans="10:10" x14ac:dyDescent="0.3">
      <c r="J129090"/>
    </row>
    <row r="129091" spans="10:10" x14ac:dyDescent="0.3">
      <c r="J129091"/>
    </row>
    <row r="129092" spans="10:10" x14ac:dyDescent="0.3">
      <c r="J129092"/>
    </row>
    <row r="129093" spans="10:10" x14ac:dyDescent="0.3">
      <c r="J129093"/>
    </row>
    <row r="129094" spans="10:10" x14ac:dyDescent="0.3">
      <c r="J129094"/>
    </row>
    <row r="129095" spans="10:10" x14ac:dyDescent="0.3">
      <c r="J129095"/>
    </row>
    <row r="129096" spans="10:10" x14ac:dyDescent="0.3">
      <c r="J129096"/>
    </row>
    <row r="129097" spans="10:10" x14ac:dyDescent="0.3">
      <c r="J129097"/>
    </row>
    <row r="129098" spans="10:10" x14ac:dyDescent="0.3">
      <c r="J129098"/>
    </row>
    <row r="129099" spans="10:10" x14ac:dyDescent="0.3">
      <c r="J129099"/>
    </row>
    <row r="129100" spans="10:10" x14ac:dyDescent="0.3">
      <c r="J129100"/>
    </row>
    <row r="129101" spans="10:10" x14ac:dyDescent="0.3">
      <c r="J129101"/>
    </row>
    <row r="129102" spans="10:10" x14ac:dyDescent="0.3">
      <c r="J129102"/>
    </row>
    <row r="129103" spans="10:10" x14ac:dyDescent="0.3">
      <c r="J129103"/>
    </row>
    <row r="129104" spans="10:10" x14ac:dyDescent="0.3">
      <c r="J129104"/>
    </row>
    <row r="129105" spans="10:10" x14ac:dyDescent="0.3">
      <c r="J129105"/>
    </row>
    <row r="129106" spans="10:10" x14ac:dyDescent="0.3">
      <c r="J129106"/>
    </row>
    <row r="129107" spans="10:10" x14ac:dyDescent="0.3">
      <c r="J129107"/>
    </row>
    <row r="129108" spans="10:10" x14ac:dyDescent="0.3">
      <c r="J129108"/>
    </row>
    <row r="129109" spans="10:10" x14ac:dyDescent="0.3">
      <c r="J129109"/>
    </row>
    <row r="129110" spans="10:10" x14ac:dyDescent="0.3">
      <c r="J129110"/>
    </row>
    <row r="129111" spans="10:10" x14ac:dyDescent="0.3">
      <c r="J129111"/>
    </row>
    <row r="129112" spans="10:10" x14ac:dyDescent="0.3">
      <c r="J129112"/>
    </row>
    <row r="129113" spans="10:10" x14ac:dyDescent="0.3">
      <c r="J129113"/>
    </row>
    <row r="129114" spans="10:10" x14ac:dyDescent="0.3">
      <c r="J129114"/>
    </row>
    <row r="129115" spans="10:10" x14ac:dyDescent="0.3">
      <c r="J129115"/>
    </row>
    <row r="129116" spans="10:10" x14ac:dyDescent="0.3">
      <c r="J129116"/>
    </row>
    <row r="129117" spans="10:10" x14ac:dyDescent="0.3">
      <c r="J129117"/>
    </row>
    <row r="129118" spans="10:10" x14ac:dyDescent="0.3">
      <c r="J129118"/>
    </row>
    <row r="129119" spans="10:10" x14ac:dyDescent="0.3">
      <c r="J129119"/>
    </row>
    <row r="129120" spans="10:10" x14ac:dyDescent="0.3">
      <c r="J129120"/>
    </row>
    <row r="129121" spans="10:10" x14ac:dyDescent="0.3">
      <c r="J129121"/>
    </row>
    <row r="129122" spans="10:10" x14ac:dyDescent="0.3">
      <c r="J129122"/>
    </row>
    <row r="129123" spans="10:10" x14ac:dyDescent="0.3">
      <c r="J129123"/>
    </row>
    <row r="129124" spans="10:10" x14ac:dyDescent="0.3">
      <c r="J129124"/>
    </row>
    <row r="129125" spans="10:10" x14ac:dyDescent="0.3">
      <c r="J129125"/>
    </row>
    <row r="129126" spans="10:10" x14ac:dyDescent="0.3">
      <c r="J129126"/>
    </row>
    <row r="129127" spans="10:10" x14ac:dyDescent="0.3">
      <c r="J129127"/>
    </row>
    <row r="129128" spans="10:10" x14ac:dyDescent="0.3">
      <c r="J129128"/>
    </row>
    <row r="129129" spans="10:10" x14ac:dyDescent="0.3">
      <c r="J129129"/>
    </row>
    <row r="129130" spans="10:10" x14ac:dyDescent="0.3">
      <c r="J129130"/>
    </row>
    <row r="129131" spans="10:10" x14ac:dyDescent="0.3">
      <c r="J129131"/>
    </row>
    <row r="129132" spans="10:10" x14ac:dyDescent="0.3">
      <c r="J129132"/>
    </row>
    <row r="129133" spans="10:10" x14ac:dyDescent="0.3">
      <c r="J129133"/>
    </row>
    <row r="129134" spans="10:10" x14ac:dyDescent="0.3">
      <c r="J129134"/>
    </row>
    <row r="129135" spans="10:10" x14ac:dyDescent="0.3">
      <c r="J129135"/>
    </row>
    <row r="129136" spans="10:10" x14ac:dyDescent="0.3">
      <c r="J129136"/>
    </row>
    <row r="129137" spans="10:10" x14ac:dyDescent="0.3">
      <c r="J129137"/>
    </row>
    <row r="129138" spans="10:10" x14ac:dyDescent="0.3">
      <c r="J129138"/>
    </row>
    <row r="129139" spans="10:10" x14ac:dyDescent="0.3">
      <c r="J129139"/>
    </row>
    <row r="129140" spans="10:10" x14ac:dyDescent="0.3">
      <c r="J129140"/>
    </row>
    <row r="129141" spans="10:10" x14ac:dyDescent="0.3">
      <c r="J129141"/>
    </row>
    <row r="129142" spans="10:10" x14ac:dyDescent="0.3">
      <c r="J129142"/>
    </row>
    <row r="129143" spans="10:10" x14ac:dyDescent="0.3">
      <c r="J129143"/>
    </row>
    <row r="129144" spans="10:10" x14ac:dyDescent="0.3">
      <c r="J129144"/>
    </row>
    <row r="129145" spans="10:10" x14ac:dyDescent="0.3">
      <c r="J129145"/>
    </row>
    <row r="129146" spans="10:10" x14ac:dyDescent="0.3">
      <c r="J129146"/>
    </row>
    <row r="129147" spans="10:10" x14ac:dyDescent="0.3">
      <c r="J129147"/>
    </row>
    <row r="129148" spans="10:10" x14ac:dyDescent="0.3">
      <c r="J129148"/>
    </row>
    <row r="129149" spans="10:10" x14ac:dyDescent="0.3">
      <c r="J129149"/>
    </row>
    <row r="129150" spans="10:10" x14ac:dyDescent="0.3">
      <c r="J129150"/>
    </row>
    <row r="129151" spans="10:10" x14ac:dyDescent="0.3">
      <c r="J129151"/>
    </row>
    <row r="129152" spans="10:10" x14ac:dyDescent="0.3">
      <c r="J129152"/>
    </row>
    <row r="129153" spans="10:10" x14ac:dyDescent="0.3">
      <c r="J129153"/>
    </row>
    <row r="129154" spans="10:10" x14ac:dyDescent="0.3">
      <c r="J129154"/>
    </row>
    <row r="129155" spans="10:10" x14ac:dyDescent="0.3">
      <c r="J129155"/>
    </row>
    <row r="129156" spans="10:10" x14ac:dyDescent="0.3">
      <c r="J129156"/>
    </row>
    <row r="129157" spans="10:10" x14ac:dyDescent="0.3">
      <c r="J129157"/>
    </row>
    <row r="129158" spans="10:10" x14ac:dyDescent="0.3">
      <c r="J129158"/>
    </row>
    <row r="129159" spans="10:10" x14ac:dyDescent="0.3">
      <c r="J129159"/>
    </row>
    <row r="129160" spans="10:10" x14ac:dyDescent="0.3">
      <c r="J129160"/>
    </row>
    <row r="129161" spans="10:10" x14ac:dyDescent="0.3">
      <c r="J129161"/>
    </row>
    <row r="129162" spans="10:10" x14ac:dyDescent="0.3">
      <c r="J129162"/>
    </row>
    <row r="129163" spans="10:10" x14ac:dyDescent="0.3">
      <c r="J129163"/>
    </row>
    <row r="129164" spans="10:10" x14ac:dyDescent="0.3">
      <c r="J129164"/>
    </row>
    <row r="129165" spans="10:10" x14ac:dyDescent="0.3">
      <c r="J129165"/>
    </row>
    <row r="129166" spans="10:10" x14ac:dyDescent="0.3">
      <c r="J129166"/>
    </row>
    <row r="129167" spans="10:10" x14ac:dyDescent="0.3">
      <c r="J129167"/>
    </row>
    <row r="129168" spans="10:10" x14ac:dyDescent="0.3">
      <c r="J129168"/>
    </row>
    <row r="129169" spans="10:10" x14ac:dyDescent="0.3">
      <c r="J129169"/>
    </row>
    <row r="129170" spans="10:10" x14ac:dyDescent="0.3">
      <c r="J129170"/>
    </row>
    <row r="129171" spans="10:10" x14ac:dyDescent="0.3">
      <c r="J129171"/>
    </row>
    <row r="129172" spans="10:10" x14ac:dyDescent="0.3">
      <c r="J129172"/>
    </row>
    <row r="129173" spans="10:10" x14ac:dyDescent="0.3">
      <c r="J129173"/>
    </row>
    <row r="129174" spans="10:10" x14ac:dyDescent="0.3">
      <c r="J129174"/>
    </row>
    <row r="129175" spans="10:10" x14ac:dyDescent="0.3">
      <c r="J129175"/>
    </row>
    <row r="129176" spans="10:10" x14ac:dyDescent="0.3">
      <c r="J129176"/>
    </row>
    <row r="129177" spans="10:10" x14ac:dyDescent="0.3">
      <c r="J129177"/>
    </row>
    <row r="129178" spans="10:10" x14ac:dyDescent="0.3">
      <c r="J129178"/>
    </row>
    <row r="129179" spans="10:10" x14ac:dyDescent="0.3">
      <c r="J129179"/>
    </row>
    <row r="129180" spans="10:10" x14ac:dyDescent="0.3">
      <c r="J129180"/>
    </row>
    <row r="129181" spans="10:10" x14ac:dyDescent="0.3">
      <c r="J129181"/>
    </row>
    <row r="129182" spans="10:10" x14ac:dyDescent="0.3">
      <c r="J129182"/>
    </row>
    <row r="129183" spans="10:10" x14ac:dyDescent="0.3">
      <c r="J129183"/>
    </row>
    <row r="129184" spans="10:10" x14ac:dyDescent="0.3">
      <c r="J129184"/>
    </row>
    <row r="129185" spans="10:10" x14ac:dyDescent="0.3">
      <c r="J129185"/>
    </row>
    <row r="129186" spans="10:10" x14ac:dyDescent="0.3">
      <c r="J129186"/>
    </row>
    <row r="129187" spans="10:10" x14ac:dyDescent="0.3">
      <c r="J129187"/>
    </row>
    <row r="129188" spans="10:10" x14ac:dyDescent="0.3">
      <c r="J129188"/>
    </row>
    <row r="129189" spans="10:10" x14ac:dyDescent="0.3">
      <c r="J129189"/>
    </row>
    <row r="129190" spans="10:10" x14ac:dyDescent="0.3">
      <c r="J129190"/>
    </row>
    <row r="129191" spans="10:10" x14ac:dyDescent="0.3">
      <c r="J129191"/>
    </row>
    <row r="129192" spans="10:10" x14ac:dyDescent="0.3">
      <c r="J129192"/>
    </row>
    <row r="129193" spans="10:10" x14ac:dyDescent="0.3">
      <c r="J129193"/>
    </row>
    <row r="129194" spans="10:10" x14ac:dyDescent="0.3">
      <c r="J129194"/>
    </row>
    <row r="129195" spans="10:10" x14ac:dyDescent="0.3">
      <c r="J129195"/>
    </row>
    <row r="129196" spans="10:10" x14ac:dyDescent="0.3">
      <c r="J129196"/>
    </row>
    <row r="129197" spans="10:10" x14ac:dyDescent="0.3">
      <c r="J129197"/>
    </row>
    <row r="129198" spans="10:10" x14ac:dyDescent="0.3">
      <c r="J129198"/>
    </row>
    <row r="129199" spans="10:10" x14ac:dyDescent="0.3">
      <c r="J129199"/>
    </row>
    <row r="129200" spans="10:10" x14ac:dyDescent="0.3">
      <c r="J129200"/>
    </row>
    <row r="129201" spans="10:10" x14ac:dyDescent="0.3">
      <c r="J129201"/>
    </row>
    <row r="129202" spans="10:10" x14ac:dyDescent="0.3">
      <c r="J129202"/>
    </row>
    <row r="129203" spans="10:10" x14ac:dyDescent="0.3">
      <c r="J129203"/>
    </row>
    <row r="129204" spans="10:10" x14ac:dyDescent="0.3">
      <c r="J129204"/>
    </row>
    <row r="129205" spans="10:10" x14ac:dyDescent="0.3">
      <c r="J129205"/>
    </row>
    <row r="129206" spans="10:10" x14ac:dyDescent="0.3">
      <c r="J129206"/>
    </row>
    <row r="129207" spans="10:10" x14ac:dyDescent="0.3">
      <c r="J129207"/>
    </row>
    <row r="129208" spans="10:10" x14ac:dyDescent="0.3">
      <c r="J129208"/>
    </row>
    <row r="129209" spans="10:10" x14ac:dyDescent="0.3">
      <c r="J129209"/>
    </row>
    <row r="129210" spans="10:10" x14ac:dyDescent="0.3">
      <c r="J129210"/>
    </row>
    <row r="129211" spans="10:10" x14ac:dyDescent="0.3">
      <c r="J129211"/>
    </row>
    <row r="129212" spans="10:10" x14ac:dyDescent="0.3">
      <c r="J129212"/>
    </row>
    <row r="129213" spans="10:10" x14ac:dyDescent="0.3">
      <c r="J129213"/>
    </row>
    <row r="129214" spans="10:10" x14ac:dyDescent="0.3">
      <c r="J129214"/>
    </row>
    <row r="129215" spans="10:10" x14ac:dyDescent="0.3">
      <c r="J129215"/>
    </row>
    <row r="129216" spans="10:10" x14ac:dyDescent="0.3">
      <c r="J129216"/>
    </row>
    <row r="129217" spans="10:10" x14ac:dyDescent="0.3">
      <c r="J129217"/>
    </row>
    <row r="129218" spans="10:10" x14ac:dyDescent="0.3">
      <c r="J129218"/>
    </row>
    <row r="129219" spans="10:10" x14ac:dyDescent="0.3">
      <c r="J129219"/>
    </row>
    <row r="129220" spans="10:10" x14ac:dyDescent="0.3">
      <c r="J129220"/>
    </row>
    <row r="129221" spans="10:10" x14ac:dyDescent="0.3">
      <c r="J129221"/>
    </row>
    <row r="129222" spans="10:10" x14ac:dyDescent="0.3">
      <c r="J129222"/>
    </row>
    <row r="129223" spans="10:10" x14ac:dyDescent="0.3">
      <c r="J129223"/>
    </row>
    <row r="129224" spans="10:10" x14ac:dyDescent="0.3">
      <c r="J129224"/>
    </row>
    <row r="129225" spans="10:10" x14ac:dyDescent="0.3">
      <c r="J129225"/>
    </row>
    <row r="129226" spans="10:10" x14ac:dyDescent="0.3">
      <c r="J129226"/>
    </row>
    <row r="129227" spans="10:10" x14ac:dyDescent="0.3">
      <c r="J129227"/>
    </row>
    <row r="129228" spans="10:10" x14ac:dyDescent="0.3">
      <c r="J129228"/>
    </row>
    <row r="129229" spans="10:10" x14ac:dyDescent="0.3">
      <c r="J129229"/>
    </row>
    <row r="129230" spans="10:10" x14ac:dyDescent="0.3">
      <c r="J129230"/>
    </row>
    <row r="129231" spans="10:10" x14ac:dyDescent="0.3">
      <c r="J129231"/>
    </row>
    <row r="129232" spans="10:10" x14ac:dyDescent="0.3">
      <c r="J129232"/>
    </row>
    <row r="129233" spans="10:10" x14ac:dyDescent="0.3">
      <c r="J129233"/>
    </row>
    <row r="129234" spans="10:10" x14ac:dyDescent="0.3">
      <c r="J129234"/>
    </row>
    <row r="129235" spans="10:10" x14ac:dyDescent="0.3">
      <c r="J129235"/>
    </row>
    <row r="129236" spans="10:10" x14ac:dyDescent="0.3">
      <c r="J129236"/>
    </row>
    <row r="129237" spans="10:10" x14ac:dyDescent="0.3">
      <c r="J129237"/>
    </row>
    <row r="129238" spans="10:10" x14ac:dyDescent="0.3">
      <c r="J129238"/>
    </row>
    <row r="129239" spans="10:10" x14ac:dyDescent="0.3">
      <c r="J129239"/>
    </row>
    <row r="129240" spans="10:10" x14ac:dyDescent="0.3">
      <c r="J129240"/>
    </row>
    <row r="129241" spans="10:10" x14ac:dyDescent="0.3">
      <c r="J129241"/>
    </row>
    <row r="129242" spans="10:10" x14ac:dyDescent="0.3">
      <c r="J129242"/>
    </row>
    <row r="129243" spans="10:10" x14ac:dyDescent="0.3">
      <c r="J129243"/>
    </row>
    <row r="129244" spans="10:10" x14ac:dyDescent="0.3">
      <c r="J129244"/>
    </row>
    <row r="129245" spans="10:10" x14ac:dyDescent="0.3">
      <c r="J129245"/>
    </row>
    <row r="129246" spans="10:10" x14ac:dyDescent="0.3">
      <c r="J129246"/>
    </row>
    <row r="129247" spans="10:10" x14ac:dyDescent="0.3">
      <c r="J129247"/>
    </row>
    <row r="129248" spans="10:10" x14ac:dyDescent="0.3">
      <c r="J129248"/>
    </row>
    <row r="129249" spans="10:10" x14ac:dyDescent="0.3">
      <c r="J129249"/>
    </row>
    <row r="129250" spans="10:10" x14ac:dyDescent="0.3">
      <c r="J129250"/>
    </row>
    <row r="129251" spans="10:10" x14ac:dyDescent="0.3">
      <c r="J129251"/>
    </row>
    <row r="129252" spans="10:10" x14ac:dyDescent="0.3">
      <c r="J129252"/>
    </row>
    <row r="129253" spans="10:10" x14ac:dyDescent="0.3">
      <c r="J129253"/>
    </row>
    <row r="129254" spans="10:10" x14ac:dyDescent="0.3">
      <c r="J129254"/>
    </row>
    <row r="129255" spans="10:10" x14ac:dyDescent="0.3">
      <c r="J129255"/>
    </row>
    <row r="129256" spans="10:10" x14ac:dyDescent="0.3">
      <c r="J129256"/>
    </row>
    <row r="129257" spans="10:10" x14ac:dyDescent="0.3">
      <c r="J129257"/>
    </row>
    <row r="129258" spans="10:10" x14ac:dyDescent="0.3">
      <c r="J129258"/>
    </row>
    <row r="129259" spans="10:10" x14ac:dyDescent="0.3">
      <c r="J129259"/>
    </row>
    <row r="129260" spans="10:10" x14ac:dyDescent="0.3">
      <c r="J129260"/>
    </row>
    <row r="129261" spans="10:10" x14ac:dyDescent="0.3">
      <c r="J129261"/>
    </row>
    <row r="129262" spans="10:10" x14ac:dyDescent="0.3">
      <c r="J129262"/>
    </row>
    <row r="129263" spans="10:10" x14ac:dyDescent="0.3">
      <c r="J129263"/>
    </row>
    <row r="129264" spans="10:10" x14ac:dyDescent="0.3">
      <c r="J129264"/>
    </row>
    <row r="129265" spans="10:10" x14ac:dyDescent="0.3">
      <c r="J129265"/>
    </row>
    <row r="129266" spans="10:10" x14ac:dyDescent="0.3">
      <c r="J129266"/>
    </row>
    <row r="129267" spans="10:10" x14ac:dyDescent="0.3">
      <c r="J129267"/>
    </row>
    <row r="129268" spans="10:10" x14ac:dyDescent="0.3">
      <c r="J129268"/>
    </row>
    <row r="129269" spans="10:10" x14ac:dyDescent="0.3">
      <c r="J129269"/>
    </row>
    <row r="129270" spans="10:10" x14ac:dyDescent="0.3">
      <c r="J129270"/>
    </row>
    <row r="129271" spans="10:10" x14ac:dyDescent="0.3">
      <c r="J129271"/>
    </row>
    <row r="129272" spans="10:10" x14ac:dyDescent="0.3">
      <c r="J129272"/>
    </row>
    <row r="129273" spans="10:10" x14ac:dyDescent="0.3">
      <c r="J129273"/>
    </row>
    <row r="129274" spans="10:10" x14ac:dyDescent="0.3">
      <c r="J129274"/>
    </row>
    <row r="129275" spans="10:10" x14ac:dyDescent="0.3">
      <c r="J129275"/>
    </row>
    <row r="129276" spans="10:10" x14ac:dyDescent="0.3">
      <c r="J129276"/>
    </row>
    <row r="129277" spans="10:10" x14ac:dyDescent="0.3">
      <c r="J129277"/>
    </row>
    <row r="129278" spans="10:10" x14ac:dyDescent="0.3">
      <c r="J129278"/>
    </row>
    <row r="129279" spans="10:10" x14ac:dyDescent="0.3">
      <c r="J129279"/>
    </row>
    <row r="129280" spans="10:10" x14ac:dyDescent="0.3">
      <c r="J129280"/>
    </row>
    <row r="129281" spans="10:10" x14ac:dyDescent="0.3">
      <c r="J129281"/>
    </row>
    <row r="129282" spans="10:10" x14ac:dyDescent="0.3">
      <c r="J129282"/>
    </row>
    <row r="129283" spans="10:10" x14ac:dyDescent="0.3">
      <c r="J129283"/>
    </row>
    <row r="129284" spans="10:10" x14ac:dyDescent="0.3">
      <c r="J129284"/>
    </row>
    <row r="129285" spans="10:10" x14ac:dyDescent="0.3">
      <c r="J129285"/>
    </row>
    <row r="129286" spans="10:10" x14ac:dyDescent="0.3">
      <c r="J129286"/>
    </row>
    <row r="129287" spans="10:10" x14ac:dyDescent="0.3">
      <c r="J129287"/>
    </row>
    <row r="129288" spans="10:10" x14ac:dyDescent="0.3">
      <c r="J129288"/>
    </row>
    <row r="129289" spans="10:10" x14ac:dyDescent="0.3">
      <c r="J129289"/>
    </row>
    <row r="129290" spans="10:10" x14ac:dyDescent="0.3">
      <c r="J129290"/>
    </row>
    <row r="129291" spans="10:10" x14ac:dyDescent="0.3">
      <c r="J129291"/>
    </row>
    <row r="129292" spans="10:10" x14ac:dyDescent="0.3">
      <c r="J129292"/>
    </row>
    <row r="129293" spans="10:10" x14ac:dyDescent="0.3">
      <c r="J129293"/>
    </row>
    <row r="129294" spans="10:10" x14ac:dyDescent="0.3">
      <c r="J129294"/>
    </row>
    <row r="129295" spans="10:10" x14ac:dyDescent="0.3">
      <c r="J129295"/>
    </row>
    <row r="129296" spans="10:10" x14ac:dyDescent="0.3">
      <c r="J129296"/>
    </row>
    <row r="129297" spans="10:10" x14ac:dyDescent="0.3">
      <c r="J129297"/>
    </row>
    <row r="129298" spans="10:10" x14ac:dyDescent="0.3">
      <c r="J129298"/>
    </row>
    <row r="129299" spans="10:10" x14ac:dyDescent="0.3">
      <c r="J129299"/>
    </row>
    <row r="129300" spans="10:10" x14ac:dyDescent="0.3">
      <c r="J129300"/>
    </row>
    <row r="129301" spans="10:10" x14ac:dyDescent="0.3">
      <c r="J129301"/>
    </row>
    <row r="129302" spans="10:10" x14ac:dyDescent="0.3">
      <c r="J129302"/>
    </row>
    <row r="129303" spans="10:10" x14ac:dyDescent="0.3">
      <c r="J129303"/>
    </row>
    <row r="129304" spans="10:10" x14ac:dyDescent="0.3">
      <c r="J129304"/>
    </row>
    <row r="129305" spans="10:10" x14ac:dyDescent="0.3">
      <c r="J129305"/>
    </row>
    <row r="129306" spans="10:10" x14ac:dyDescent="0.3">
      <c r="J129306"/>
    </row>
    <row r="129307" spans="10:10" x14ac:dyDescent="0.3">
      <c r="J129307"/>
    </row>
    <row r="129308" spans="10:10" x14ac:dyDescent="0.3">
      <c r="J129308"/>
    </row>
    <row r="129309" spans="10:10" x14ac:dyDescent="0.3">
      <c r="J129309"/>
    </row>
    <row r="129310" spans="10:10" x14ac:dyDescent="0.3">
      <c r="J129310"/>
    </row>
    <row r="129311" spans="10:10" x14ac:dyDescent="0.3">
      <c r="J129311"/>
    </row>
    <row r="129312" spans="10:10" x14ac:dyDescent="0.3">
      <c r="J129312"/>
    </row>
    <row r="129313" spans="10:10" x14ac:dyDescent="0.3">
      <c r="J129313"/>
    </row>
    <row r="129314" spans="10:10" x14ac:dyDescent="0.3">
      <c r="J129314"/>
    </row>
    <row r="129315" spans="10:10" x14ac:dyDescent="0.3">
      <c r="J129315"/>
    </row>
    <row r="129316" spans="10:10" x14ac:dyDescent="0.3">
      <c r="J129316"/>
    </row>
    <row r="129317" spans="10:10" x14ac:dyDescent="0.3">
      <c r="J129317"/>
    </row>
    <row r="129318" spans="10:10" x14ac:dyDescent="0.3">
      <c r="J129318"/>
    </row>
    <row r="129319" spans="10:10" x14ac:dyDescent="0.3">
      <c r="J129319"/>
    </row>
    <row r="129320" spans="10:10" x14ac:dyDescent="0.3">
      <c r="J129320"/>
    </row>
    <row r="129321" spans="10:10" x14ac:dyDescent="0.3">
      <c r="J129321"/>
    </row>
    <row r="129322" spans="10:10" x14ac:dyDescent="0.3">
      <c r="J129322"/>
    </row>
    <row r="129323" spans="10:10" x14ac:dyDescent="0.3">
      <c r="J129323"/>
    </row>
    <row r="129324" spans="10:10" x14ac:dyDescent="0.3">
      <c r="J129324"/>
    </row>
    <row r="129325" spans="10:10" x14ac:dyDescent="0.3">
      <c r="J129325"/>
    </row>
    <row r="129326" spans="10:10" x14ac:dyDescent="0.3">
      <c r="J129326"/>
    </row>
    <row r="129327" spans="10:10" x14ac:dyDescent="0.3">
      <c r="J129327"/>
    </row>
    <row r="129328" spans="10:10" x14ac:dyDescent="0.3">
      <c r="J129328"/>
    </row>
    <row r="129329" spans="10:10" x14ac:dyDescent="0.3">
      <c r="J129329"/>
    </row>
    <row r="129330" spans="10:10" x14ac:dyDescent="0.3">
      <c r="J129330"/>
    </row>
    <row r="129331" spans="10:10" x14ac:dyDescent="0.3">
      <c r="J129331"/>
    </row>
    <row r="129332" spans="10:10" x14ac:dyDescent="0.3">
      <c r="J129332"/>
    </row>
    <row r="129333" spans="10:10" x14ac:dyDescent="0.3">
      <c r="J129333"/>
    </row>
    <row r="129334" spans="10:10" x14ac:dyDescent="0.3">
      <c r="J129334"/>
    </row>
    <row r="129335" spans="10:10" x14ac:dyDescent="0.3">
      <c r="J129335"/>
    </row>
    <row r="129336" spans="10:10" x14ac:dyDescent="0.3">
      <c r="J129336"/>
    </row>
    <row r="129337" spans="10:10" x14ac:dyDescent="0.3">
      <c r="J129337"/>
    </row>
    <row r="129338" spans="10:10" x14ac:dyDescent="0.3">
      <c r="J129338"/>
    </row>
    <row r="129339" spans="10:10" x14ac:dyDescent="0.3">
      <c r="J129339"/>
    </row>
    <row r="129340" spans="10:10" x14ac:dyDescent="0.3">
      <c r="J129340"/>
    </row>
    <row r="129341" spans="10:10" x14ac:dyDescent="0.3">
      <c r="J129341"/>
    </row>
    <row r="129342" spans="10:10" x14ac:dyDescent="0.3">
      <c r="J129342"/>
    </row>
    <row r="129343" spans="10:10" x14ac:dyDescent="0.3">
      <c r="J129343"/>
    </row>
    <row r="129344" spans="10:10" x14ac:dyDescent="0.3">
      <c r="J129344"/>
    </row>
    <row r="129345" spans="10:10" x14ac:dyDescent="0.3">
      <c r="J129345"/>
    </row>
    <row r="129346" spans="10:10" x14ac:dyDescent="0.3">
      <c r="J129346"/>
    </row>
    <row r="129347" spans="10:10" x14ac:dyDescent="0.3">
      <c r="J129347"/>
    </row>
    <row r="129348" spans="10:10" x14ac:dyDescent="0.3">
      <c r="J129348"/>
    </row>
    <row r="129349" spans="10:10" x14ac:dyDescent="0.3">
      <c r="J129349"/>
    </row>
    <row r="129350" spans="10:10" x14ac:dyDescent="0.3">
      <c r="J129350"/>
    </row>
    <row r="129351" spans="10:10" x14ac:dyDescent="0.3">
      <c r="J129351"/>
    </row>
    <row r="129352" spans="10:10" x14ac:dyDescent="0.3">
      <c r="J129352"/>
    </row>
    <row r="129353" spans="10:10" x14ac:dyDescent="0.3">
      <c r="J129353"/>
    </row>
    <row r="129354" spans="10:10" x14ac:dyDescent="0.3">
      <c r="J129354"/>
    </row>
    <row r="129355" spans="10:10" x14ac:dyDescent="0.3">
      <c r="J129355"/>
    </row>
    <row r="129356" spans="10:10" x14ac:dyDescent="0.3">
      <c r="J129356"/>
    </row>
    <row r="129357" spans="10:10" x14ac:dyDescent="0.3">
      <c r="J129357"/>
    </row>
    <row r="129358" spans="10:10" x14ac:dyDescent="0.3">
      <c r="J129358"/>
    </row>
    <row r="129359" spans="10:10" x14ac:dyDescent="0.3">
      <c r="J129359"/>
    </row>
    <row r="129360" spans="10:10" x14ac:dyDescent="0.3">
      <c r="J129360"/>
    </row>
    <row r="129361" spans="10:10" x14ac:dyDescent="0.3">
      <c r="J129361"/>
    </row>
    <row r="129362" spans="10:10" x14ac:dyDescent="0.3">
      <c r="J129362"/>
    </row>
    <row r="129363" spans="10:10" x14ac:dyDescent="0.3">
      <c r="J129363"/>
    </row>
    <row r="129364" spans="10:10" x14ac:dyDescent="0.3">
      <c r="J129364"/>
    </row>
    <row r="129365" spans="10:10" x14ac:dyDescent="0.3">
      <c r="J129365"/>
    </row>
    <row r="129366" spans="10:10" x14ac:dyDescent="0.3">
      <c r="J129366"/>
    </row>
    <row r="129367" spans="10:10" x14ac:dyDescent="0.3">
      <c r="J129367"/>
    </row>
    <row r="129368" spans="10:10" x14ac:dyDescent="0.3">
      <c r="J129368"/>
    </row>
    <row r="129369" spans="10:10" x14ac:dyDescent="0.3">
      <c r="J129369"/>
    </row>
    <row r="129370" spans="10:10" x14ac:dyDescent="0.3">
      <c r="J129370"/>
    </row>
    <row r="129371" spans="10:10" x14ac:dyDescent="0.3">
      <c r="J129371"/>
    </row>
    <row r="129372" spans="10:10" x14ac:dyDescent="0.3">
      <c r="J129372"/>
    </row>
    <row r="129373" spans="10:10" x14ac:dyDescent="0.3">
      <c r="J129373"/>
    </row>
    <row r="129374" spans="10:10" x14ac:dyDescent="0.3">
      <c r="J129374"/>
    </row>
    <row r="129375" spans="10:10" x14ac:dyDescent="0.3">
      <c r="J129375"/>
    </row>
    <row r="129376" spans="10:10" x14ac:dyDescent="0.3">
      <c r="J129376"/>
    </row>
    <row r="129377" spans="10:10" x14ac:dyDescent="0.3">
      <c r="J129377"/>
    </row>
    <row r="129378" spans="10:10" x14ac:dyDescent="0.3">
      <c r="J129378"/>
    </row>
    <row r="129379" spans="10:10" x14ac:dyDescent="0.3">
      <c r="J129379"/>
    </row>
    <row r="129380" spans="10:10" x14ac:dyDescent="0.3">
      <c r="J129380"/>
    </row>
    <row r="129381" spans="10:10" x14ac:dyDescent="0.3">
      <c r="J129381"/>
    </row>
    <row r="129382" spans="10:10" x14ac:dyDescent="0.3">
      <c r="J129382"/>
    </row>
    <row r="129383" spans="10:10" x14ac:dyDescent="0.3">
      <c r="J129383"/>
    </row>
    <row r="129384" spans="10:10" x14ac:dyDescent="0.3">
      <c r="J129384"/>
    </row>
    <row r="129385" spans="10:10" x14ac:dyDescent="0.3">
      <c r="J129385"/>
    </row>
    <row r="129386" spans="10:10" x14ac:dyDescent="0.3">
      <c r="J129386"/>
    </row>
    <row r="129387" spans="10:10" x14ac:dyDescent="0.3">
      <c r="J129387"/>
    </row>
    <row r="129388" spans="10:10" x14ac:dyDescent="0.3">
      <c r="J129388"/>
    </row>
    <row r="129389" spans="10:10" x14ac:dyDescent="0.3">
      <c r="J129389"/>
    </row>
    <row r="129390" spans="10:10" x14ac:dyDescent="0.3">
      <c r="J129390"/>
    </row>
    <row r="129391" spans="10:10" x14ac:dyDescent="0.3">
      <c r="J129391"/>
    </row>
    <row r="129392" spans="10:10" x14ac:dyDescent="0.3">
      <c r="J129392"/>
    </row>
    <row r="129393" spans="10:10" x14ac:dyDescent="0.3">
      <c r="J129393"/>
    </row>
    <row r="129394" spans="10:10" x14ac:dyDescent="0.3">
      <c r="J129394"/>
    </row>
    <row r="129395" spans="10:10" x14ac:dyDescent="0.3">
      <c r="J129395"/>
    </row>
    <row r="129396" spans="10:10" x14ac:dyDescent="0.3">
      <c r="J129396"/>
    </row>
    <row r="129397" spans="10:10" x14ac:dyDescent="0.3">
      <c r="J129397"/>
    </row>
    <row r="129398" spans="10:10" x14ac:dyDescent="0.3">
      <c r="J129398"/>
    </row>
    <row r="129399" spans="10:10" x14ac:dyDescent="0.3">
      <c r="J129399"/>
    </row>
    <row r="129400" spans="10:10" x14ac:dyDescent="0.3">
      <c r="J129400"/>
    </row>
    <row r="129401" spans="10:10" x14ac:dyDescent="0.3">
      <c r="J129401"/>
    </row>
    <row r="129402" spans="10:10" x14ac:dyDescent="0.3">
      <c r="J129402"/>
    </row>
    <row r="129403" spans="10:10" x14ac:dyDescent="0.3">
      <c r="J129403"/>
    </row>
    <row r="129404" spans="10:10" x14ac:dyDescent="0.3">
      <c r="J129404"/>
    </row>
    <row r="129405" spans="10:10" x14ac:dyDescent="0.3">
      <c r="J129405"/>
    </row>
    <row r="129406" spans="10:10" x14ac:dyDescent="0.3">
      <c r="J129406"/>
    </row>
    <row r="129407" spans="10:10" x14ac:dyDescent="0.3">
      <c r="J129407"/>
    </row>
    <row r="129408" spans="10:10" x14ac:dyDescent="0.3">
      <c r="J129408"/>
    </row>
    <row r="129409" spans="10:10" x14ac:dyDescent="0.3">
      <c r="J129409"/>
    </row>
    <row r="129410" spans="10:10" x14ac:dyDescent="0.3">
      <c r="J129410"/>
    </row>
    <row r="129411" spans="10:10" x14ac:dyDescent="0.3">
      <c r="J129411"/>
    </row>
    <row r="129412" spans="10:10" x14ac:dyDescent="0.3">
      <c r="J129412"/>
    </row>
    <row r="129413" spans="10:10" x14ac:dyDescent="0.3">
      <c r="J129413"/>
    </row>
    <row r="129414" spans="10:10" x14ac:dyDescent="0.3">
      <c r="J129414"/>
    </row>
    <row r="129415" spans="10:10" x14ac:dyDescent="0.3">
      <c r="J129415"/>
    </row>
    <row r="129416" spans="10:10" x14ac:dyDescent="0.3">
      <c r="J129416"/>
    </row>
    <row r="129417" spans="10:10" x14ac:dyDescent="0.3">
      <c r="J129417"/>
    </row>
    <row r="129418" spans="10:10" x14ac:dyDescent="0.3">
      <c r="J129418"/>
    </row>
    <row r="129419" spans="10:10" x14ac:dyDescent="0.3">
      <c r="J129419"/>
    </row>
    <row r="129420" spans="10:10" x14ac:dyDescent="0.3">
      <c r="J129420"/>
    </row>
    <row r="129421" spans="10:10" x14ac:dyDescent="0.3">
      <c r="J129421"/>
    </row>
    <row r="129422" spans="10:10" x14ac:dyDescent="0.3">
      <c r="J129422"/>
    </row>
    <row r="129423" spans="10:10" x14ac:dyDescent="0.3">
      <c r="J129423"/>
    </row>
    <row r="129424" spans="10:10" x14ac:dyDescent="0.3">
      <c r="J129424"/>
    </row>
    <row r="129425" spans="10:10" x14ac:dyDescent="0.3">
      <c r="J129425"/>
    </row>
    <row r="129426" spans="10:10" x14ac:dyDescent="0.3">
      <c r="J129426"/>
    </row>
    <row r="129427" spans="10:10" x14ac:dyDescent="0.3">
      <c r="J129427"/>
    </row>
    <row r="129428" spans="10:10" x14ac:dyDescent="0.3">
      <c r="J129428"/>
    </row>
    <row r="129429" spans="10:10" x14ac:dyDescent="0.3">
      <c r="J129429"/>
    </row>
    <row r="129430" spans="10:10" x14ac:dyDescent="0.3">
      <c r="J129430"/>
    </row>
    <row r="129431" spans="10:10" x14ac:dyDescent="0.3">
      <c r="J129431"/>
    </row>
    <row r="129432" spans="10:10" x14ac:dyDescent="0.3">
      <c r="J129432"/>
    </row>
    <row r="129433" spans="10:10" x14ac:dyDescent="0.3">
      <c r="J129433"/>
    </row>
    <row r="129434" spans="10:10" x14ac:dyDescent="0.3">
      <c r="J129434"/>
    </row>
    <row r="129435" spans="10:10" x14ac:dyDescent="0.3">
      <c r="J129435"/>
    </row>
    <row r="129436" spans="10:10" x14ac:dyDescent="0.3">
      <c r="J129436"/>
    </row>
    <row r="129437" spans="10:10" x14ac:dyDescent="0.3">
      <c r="J129437"/>
    </row>
    <row r="129438" spans="10:10" x14ac:dyDescent="0.3">
      <c r="J129438"/>
    </row>
    <row r="129439" spans="10:10" x14ac:dyDescent="0.3">
      <c r="J129439"/>
    </row>
    <row r="129440" spans="10:10" x14ac:dyDescent="0.3">
      <c r="J129440"/>
    </row>
    <row r="129441" spans="10:10" x14ac:dyDescent="0.3">
      <c r="J129441"/>
    </row>
    <row r="129442" spans="10:10" x14ac:dyDescent="0.3">
      <c r="J129442"/>
    </row>
    <row r="129443" spans="10:10" x14ac:dyDescent="0.3">
      <c r="J129443"/>
    </row>
    <row r="129444" spans="10:10" x14ac:dyDescent="0.3">
      <c r="J129444"/>
    </row>
    <row r="129445" spans="10:10" x14ac:dyDescent="0.3">
      <c r="J129445"/>
    </row>
    <row r="129446" spans="10:10" x14ac:dyDescent="0.3">
      <c r="J129446"/>
    </row>
    <row r="129447" spans="10:10" x14ac:dyDescent="0.3">
      <c r="J129447"/>
    </row>
    <row r="129448" spans="10:10" x14ac:dyDescent="0.3">
      <c r="J129448"/>
    </row>
    <row r="129449" spans="10:10" x14ac:dyDescent="0.3">
      <c r="J129449"/>
    </row>
    <row r="129450" spans="10:10" x14ac:dyDescent="0.3">
      <c r="J129450"/>
    </row>
    <row r="129451" spans="10:10" x14ac:dyDescent="0.3">
      <c r="J129451"/>
    </row>
    <row r="129452" spans="10:10" x14ac:dyDescent="0.3">
      <c r="J129452"/>
    </row>
    <row r="129453" spans="10:10" x14ac:dyDescent="0.3">
      <c r="J129453"/>
    </row>
    <row r="129454" spans="10:10" x14ac:dyDescent="0.3">
      <c r="J129454"/>
    </row>
    <row r="129455" spans="10:10" x14ac:dyDescent="0.3">
      <c r="J129455"/>
    </row>
    <row r="129456" spans="10:10" x14ac:dyDescent="0.3">
      <c r="J129456"/>
    </row>
    <row r="129457" spans="10:10" x14ac:dyDescent="0.3">
      <c r="J129457"/>
    </row>
    <row r="129458" spans="10:10" x14ac:dyDescent="0.3">
      <c r="J129458"/>
    </row>
    <row r="129459" spans="10:10" x14ac:dyDescent="0.3">
      <c r="J129459"/>
    </row>
    <row r="129460" spans="10:10" x14ac:dyDescent="0.3">
      <c r="J129460"/>
    </row>
    <row r="129461" spans="10:10" x14ac:dyDescent="0.3">
      <c r="J129461"/>
    </row>
    <row r="129462" spans="10:10" x14ac:dyDescent="0.3">
      <c r="J129462"/>
    </row>
    <row r="129463" spans="10:10" x14ac:dyDescent="0.3">
      <c r="J129463"/>
    </row>
    <row r="129464" spans="10:10" x14ac:dyDescent="0.3">
      <c r="J129464"/>
    </row>
    <row r="129465" spans="10:10" x14ac:dyDescent="0.3">
      <c r="J129465"/>
    </row>
    <row r="129466" spans="10:10" x14ac:dyDescent="0.3">
      <c r="J129466"/>
    </row>
    <row r="129467" spans="10:10" x14ac:dyDescent="0.3">
      <c r="J129467"/>
    </row>
    <row r="129468" spans="10:10" x14ac:dyDescent="0.3">
      <c r="J129468"/>
    </row>
    <row r="129469" spans="10:10" x14ac:dyDescent="0.3">
      <c r="J129469"/>
    </row>
    <row r="129470" spans="10:10" x14ac:dyDescent="0.3">
      <c r="J129470"/>
    </row>
    <row r="129471" spans="10:10" x14ac:dyDescent="0.3">
      <c r="J129471"/>
    </row>
    <row r="129472" spans="10:10" x14ac:dyDescent="0.3">
      <c r="J129472"/>
    </row>
    <row r="129473" spans="10:10" x14ac:dyDescent="0.3">
      <c r="J129473"/>
    </row>
    <row r="129474" spans="10:10" x14ac:dyDescent="0.3">
      <c r="J129474"/>
    </row>
    <row r="129475" spans="10:10" x14ac:dyDescent="0.3">
      <c r="J129475"/>
    </row>
    <row r="129476" spans="10:10" x14ac:dyDescent="0.3">
      <c r="J129476"/>
    </row>
    <row r="129477" spans="10:10" x14ac:dyDescent="0.3">
      <c r="J129477"/>
    </row>
    <row r="129478" spans="10:10" x14ac:dyDescent="0.3">
      <c r="J129478"/>
    </row>
    <row r="129479" spans="10:10" x14ac:dyDescent="0.3">
      <c r="J129479"/>
    </row>
    <row r="129480" spans="10:10" x14ac:dyDescent="0.3">
      <c r="J129480"/>
    </row>
    <row r="129481" spans="10:10" x14ac:dyDescent="0.3">
      <c r="J129481"/>
    </row>
    <row r="129482" spans="10:10" x14ac:dyDescent="0.3">
      <c r="J129482"/>
    </row>
    <row r="129483" spans="10:10" x14ac:dyDescent="0.3">
      <c r="J129483"/>
    </row>
    <row r="129484" spans="10:10" x14ac:dyDescent="0.3">
      <c r="J129484"/>
    </row>
    <row r="129485" spans="10:10" x14ac:dyDescent="0.3">
      <c r="J129485"/>
    </row>
    <row r="129486" spans="10:10" x14ac:dyDescent="0.3">
      <c r="J129486"/>
    </row>
    <row r="129487" spans="10:10" x14ac:dyDescent="0.3">
      <c r="J129487"/>
    </row>
    <row r="129488" spans="10:10" x14ac:dyDescent="0.3">
      <c r="J129488"/>
    </row>
    <row r="129489" spans="10:10" x14ac:dyDescent="0.3">
      <c r="J129489"/>
    </row>
    <row r="129490" spans="10:10" x14ac:dyDescent="0.3">
      <c r="J129490"/>
    </row>
    <row r="129491" spans="10:10" x14ac:dyDescent="0.3">
      <c r="J129491"/>
    </row>
    <row r="129492" spans="10:10" x14ac:dyDescent="0.3">
      <c r="J129492"/>
    </row>
    <row r="129493" spans="10:10" x14ac:dyDescent="0.3">
      <c r="J129493"/>
    </row>
    <row r="129494" spans="10:10" x14ac:dyDescent="0.3">
      <c r="J129494"/>
    </row>
    <row r="129495" spans="10:10" x14ac:dyDescent="0.3">
      <c r="J129495"/>
    </row>
    <row r="129496" spans="10:10" x14ac:dyDescent="0.3">
      <c r="J129496"/>
    </row>
    <row r="129497" spans="10:10" x14ac:dyDescent="0.3">
      <c r="J129497"/>
    </row>
    <row r="129498" spans="10:10" x14ac:dyDescent="0.3">
      <c r="J129498"/>
    </row>
    <row r="129499" spans="10:10" x14ac:dyDescent="0.3">
      <c r="J129499"/>
    </row>
    <row r="129500" spans="10:10" x14ac:dyDescent="0.3">
      <c r="J129500"/>
    </row>
    <row r="129501" spans="10:10" x14ac:dyDescent="0.3">
      <c r="J129501"/>
    </row>
    <row r="129502" spans="10:10" x14ac:dyDescent="0.3">
      <c r="J129502"/>
    </row>
    <row r="129503" spans="10:10" x14ac:dyDescent="0.3">
      <c r="J129503"/>
    </row>
    <row r="129504" spans="10:10" x14ac:dyDescent="0.3">
      <c r="J129504"/>
    </row>
    <row r="129505" spans="10:10" x14ac:dyDescent="0.3">
      <c r="J129505"/>
    </row>
    <row r="129506" spans="10:10" x14ac:dyDescent="0.3">
      <c r="J129506"/>
    </row>
    <row r="129507" spans="10:10" x14ac:dyDescent="0.3">
      <c r="J129507"/>
    </row>
    <row r="129508" spans="10:10" x14ac:dyDescent="0.3">
      <c r="J129508"/>
    </row>
    <row r="129509" spans="10:10" x14ac:dyDescent="0.3">
      <c r="J129509"/>
    </row>
    <row r="129510" spans="10:10" x14ac:dyDescent="0.3">
      <c r="J129510"/>
    </row>
    <row r="129511" spans="10:10" x14ac:dyDescent="0.3">
      <c r="J129511"/>
    </row>
    <row r="129512" spans="10:10" x14ac:dyDescent="0.3">
      <c r="J129512"/>
    </row>
    <row r="129513" spans="10:10" x14ac:dyDescent="0.3">
      <c r="J129513"/>
    </row>
    <row r="129514" spans="10:10" x14ac:dyDescent="0.3">
      <c r="J129514"/>
    </row>
    <row r="129515" spans="10:10" x14ac:dyDescent="0.3">
      <c r="J129515"/>
    </row>
    <row r="129516" spans="10:10" x14ac:dyDescent="0.3">
      <c r="J129516"/>
    </row>
    <row r="129517" spans="10:10" x14ac:dyDescent="0.3">
      <c r="J129517"/>
    </row>
    <row r="129518" spans="10:10" x14ac:dyDescent="0.3">
      <c r="J129518"/>
    </row>
    <row r="129519" spans="10:10" x14ac:dyDescent="0.3">
      <c r="J129519"/>
    </row>
    <row r="129520" spans="10:10" x14ac:dyDescent="0.3">
      <c r="J129520"/>
    </row>
    <row r="129521" spans="10:10" x14ac:dyDescent="0.3">
      <c r="J129521"/>
    </row>
    <row r="129522" spans="10:10" x14ac:dyDescent="0.3">
      <c r="J129522"/>
    </row>
    <row r="129523" spans="10:10" x14ac:dyDescent="0.3">
      <c r="J129523"/>
    </row>
    <row r="129524" spans="10:10" x14ac:dyDescent="0.3">
      <c r="J129524"/>
    </row>
    <row r="129525" spans="10:10" x14ac:dyDescent="0.3">
      <c r="J129525"/>
    </row>
    <row r="129526" spans="10:10" x14ac:dyDescent="0.3">
      <c r="J129526"/>
    </row>
    <row r="129527" spans="10:10" x14ac:dyDescent="0.3">
      <c r="J129527"/>
    </row>
    <row r="129528" spans="10:10" x14ac:dyDescent="0.3">
      <c r="J129528"/>
    </row>
    <row r="129529" spans="10:10" x14ac:dyDescent="0.3">
      <c r="J129529"/>
    </row>
    <row r="129530" spans="10:10" x14ac:dyDescent="0.3">
      <c r="J129530"/>
    </row>
    <row r="129531" spans="10:10" x14ac:dyDescent="0.3">
      <c r="J129531"/>
    </row>
    <row r="129532" spans="10:10" x14ac:dyDescent="0.3">
      <c r="J129532"/>
    </row>
    <row r="129533" spans="10:10" x14ac:dyDescent="0.3">
      <c r="J129533"/>
    </row>
    <row r="129534" spans="10:10" x14ac:dyDescent="0.3">
      <c r="J129534"/>
    </row>
    <row r="129535" spans="10:10" x14ac:dyDescent="0.3">
      <c r="J129535"/>
    </row>
    <row r="129536" spans="10:10" x14ac:dyDescent="0.3">
      <c r="J129536"/>
    </row>
    <row r="129537" spans="10:10" x14ac:dyDescent="0.3">
      <c r="J129537"/>
    </row>
    <row r="129538" spans="10:10" x14ac:dyDescent="0.3">
      <c r="J129538"/>
    </row>
    <row r="129539" spans="10:10" x14ac:dyDescent="0.3">
      <c r="J129539"/>
    </row>
    <row r="129540" spans="10:10" x14ac:dyDescent="0.3">
      <c r="J129540"/>
    </row>
    <row r="129541" spans="10:10" x14ac:dyDescent="0.3">
      <c r="J129541"/>
    </row>
    <row r="129542" spans="10:10" x14ac:dyDescent="0.3">
      <c r="J129542"/>
    </row>
    <row r="129543" spans="10:10" x14ac:dyDescent="0.3">
      <c r="J129543"/>
    </row>
    <row r="129544" spans="10:10" x14ac:dyDescent="0.3">
      <c r="J129544"/>
    </row>
    <row r="129545" spans="10:10" x14ac:dyDescent="0.3">
      <c r="J129545"/>
    </row>
    <row r="129546" spans="10:10" x14ac:dyDescent="0.3">
      <c r="J129546"/>
    </row>
    <row r="129547" spans="10:10" x14ac:dyDescent="0.3">
      <c r="J129547"/>
    </row>
    <row r="129548" spans="10:10" x14ac:dyDescent="0.3">
      <c r="J129548"/>
    </row>
    <row r="129549" spans="10:10" x14ac:dyDescent="0.3">
      <c r="J129549"/>
    </row>
    <row r="129550" spans="10:10" x14ac:dyDescent="0.3">
      <c r="J129550"/>
    </row>
    <row r="129551" spans="10:10" x14ac:dyDescent="0.3">
      <c r="J129551"/>
    </row>
    <row r="129552" spans="10:10" x14ac:dyDescent="0.3">
      <c r="J129552"/>
    </row>
    <row r="129553" spans="10:10" x14ac:dyDescent="0.3">
      <c r="J129553"/>
    </row>
    <row r="129554" spans="10:10" x14ac:dyDescent="0.3">
      <c r="J129554"/>
    </row>
    <row r="129555" spans="10:10" x14ac:dyDescent="0.3">
      <c r="J129555"/>
    </row>
    <row r="129556" spans="10:10" x14ac:dyDescent="0.3">
      <c r="J129556"/>
    </row>
    <row r="129557" spans="10:10" x14ac:dyDescent="0.3">
      <c r="J129557"/>
    </row>
    <row r="129558" spans="10:10" x14ac:dyDescent="0.3">
      <c r="J129558"/>
    </row>
    <row r="129559" spans="10:10" x14ac:dyDescent="0.3">
      <c r="J129559"/>
    </row>
    <row r="129560" spans="10:10" x14ac:dyDescent="0.3">
      <c r="J129560"/>
    </row>
    <row r="129561" spans="10:10" x14ac:dyDescent="0.3">
      <c r="J129561"/>
    </row>
    <row r="129562" spans="10:10" x14ac:dyDescent="0.3">
      <c r="J129562"/>
    </row>
    <row r="129563" spans="10:10" x14ac:dyDescent="0.3">
      <c r="J129563"/>
    </row>
    <row r="129564" spans="10:10" x14ac:dyDescent="0.3">
      <c r="J129564"/>
    </row>
    <row r="129565" spans="10:10" x14ac:dyDescent="0.3">
      <c r="J129565"/>
    </row>
    <row r="129566" spans="10:10" x14ac:dyDescent="0.3">
      <c r="J129566"/>
    </row>
    <row r="129567" spans="10:10" x14ac:dyDescent="0.3">
      <c r="J129567"/>
    </row>
    <row r="129568" spans="10:10" x14ac:dyDescent="0.3">
      <c r="J129568"/>
    </row>
    <row r="129569" spans="10:10" x14ac:dyDescent="0.3">
      <c r="J129569"/>
    </row>
    <row r="129570" spans="10:10" x14ac:dyDescent="0.3">
      <c r="J129570"/>
    </row>
    <row r="129571" spans="10:10" x14ac:dyDescent="0.3">
      <c r="J129571"/>
    </row>
    <row r="129572" spans="10:10" x14ac:dyDescent="0.3">
      <c r="J129572"/>
    </row>
    <row r="129573" spans="10:10" x14ac:dyDescent="0.3">
      <c r="J129573"/>
    </row>
    <row r="129574" spans="10:10" x14ac:dyDescent="0.3">
      <c r="J129574"/>
    </row>
    <row r="129575" spans="10:10" x14ac:dyDescent="0.3">
      <c r="J129575"/>
    </row>
    <row r="129576" spans="10:10" x14ac:dyDescent="0.3">
      <c r="J129576"/>
    </row>
    <row r="129577" spans="10:10" x14ac:dyDescent="0.3">
      <c r="J129577"/>
    </row>
    <row r="129578" spans="10:10" x14ac:dyDescent="0.3">
      <c r="J129578"/>
    </row>
    <row r="129579" spans="10:10" x14ac:dyDescent="0.3">
      <c r="J129579"/>
    </row>
    <row r="129580" spans="10:10" x14ac:dyDescent="0.3">
      <c r="J129580"/>
    </row>
    <row r="129581" spans="10:10" x14ac:dyDescent="0.3">
      <c r="J129581"/>
    </row>
    <row r="129582" spans="10:10" x14ac:dyDescent="0.3">
      <c r="J129582"/>
    </row>
    <row r="129583" spans="10:10" x14ac:dyDescent="0.3">
      <c r="J129583"/>
    </row>
    <row r="129584" spans="10:10" x14ac:dyDescent="0.3">
      <c r="J129584"/>
    </row>
    <row r="129585" spans="10:10" x14ac:dyDescent="0.3">
      <c r="J129585"/>
    </row>
    <row r="129586" spans="10:10" x14ac:dyDescent="0.3">
      <c r="J129586"/>
    </row>
    <row r="129587" spans="10:10" x14ac:dyDescent="0.3">
      <c r="J129587"/>
    </row>
    <row r="129588" spans="10:10" x14ac:dyDescent="0.3">
      <c r="J129588"/>
    </row>
    <row r="129589" spans="10:10" x14ac:dyDescent="0.3">
      <c r="J129589"/>
    </row>
    <row r="129590" spans="10:10" x14ac:dyDescent="0.3">
      <c r="J129590"/>
    </row>
    <row r="129591" spans="10:10" x14ac:dyDescent="0.3">
      <c r="J129591"/>
    </row>
    <row r="129592" spans="10:10" x14ac:dyDescent="0.3">
      <c r="J129592"/>
    </row>
    <row r="129593" spans="10:10" x14ac:dyDescent="0.3">
      <c r="J129593"/>
    </row>
    <row r="129594" spans="10:10" x14ac:dyDescent="0.3">
      <c r="J129594"/>
    </row>
    <row r="129595" spans="10:10" x14ac:dyDescent="0.3">
      <c r="J129595"/>
    </row>
    <row r="129596" spans="10:10" x14ac:dyDescent="0.3">
      <c r="J129596"/>
    </row>
    <row r="129597" spans="10:10" x14ac:dyDescent="0.3">
      <c r="J129597"/>
    </row>
    <row r="129598" spans="10:10" x14ac:dyDescent="0.3">
      <c r="J129598"/>
    </row>
    <row r="129599" spans="10:10" x14ac:dyDescent="0.3">
      <c r="J129599"/>
    </row>
    <row r="129600" spans="10:10" x14ac:dyDescent="0.3">
      <c r="J129600"/>
    </row>
    <row r="129601" spans="10:10" x14ac:dyDescent="0.3">
      <c r="J129601"/>
    </row>
    <row r="129602" spans="10:10" x14ac:dyDescent="0.3">
      <c r="J129602"/>
    </row>
    <row r="129603" spans="10:10" x14ac:dyDescent="0.3">
      <c r="J129603"/>
    </row>
    <row r="129604" spans="10:10" x14ac:dyDescent="0.3">
      <c r="J129604"/>
    </row>
    <row r="129605" spans="10:10" x14ac:dyDescent="0.3">
      <c r="J129605"/>
    </row>
    <row r="129606" spans="10:10" x14ac:dyDescent="0.3">
      <c r="J129606"/>
    </row>
    <row r="129607" spans="10:10" x14ac:dyDescent="0.3">
      <c r="J129607"/>
    </row>
    <row r="129608" spans="10:10" x14ac:dyDescent="0.3">
      <c r="J129608"/>
    </row>
    <row r="129609" spans="10:10" x14ac:dyDescent="0.3">
      <c r="J129609"/>
    </row>
    <row r="129610" spans="10:10" x14ac:dyDescent="0.3">
      <c r="J129610"/>
    </row>
    <row r="129611" spans="10:10" x14ac:dyDescent="0.3">
      <c r="J129611"/>
    </row>
    <row r="129612" spans="10:10" x14ac:dyDescent="0.3">
      <c r="J129612"/>
    </row>
    <row r="129613" spans="10:10" x14ac:dyDescent="0.3">
      <c r="J129613"/>
    </row>
    <row r="129614" spans="10:10" x14ac:dyDescent="0.3">
      <c r="J129614"/>
    </row>
    <row r="129615" spans="10:10" x14ac:dyDescent="0.3">
      <c r="J129615"/>
    </row>
    <row r="129616" spans="10:10" x14ac:dyDescent="0.3">
      <c r="J129616"/>
    </row>
    <row r="129617" spans="10:10" x14ac:dyDescent="0.3">
      <c r="J129617"/>
    </row>
    <row r="129618" spans="10:10" x14ac:dyDescent="0.3">
      <c r="J129618"/>
    </row>
    <row r="129619" spans="10:10" x14ac:dyDescent="0.3">
      <c r="J129619"/>
    </row>
    <row r="129620" spans="10:10" x14ac:dyDescent="0.3">
      <c r="J129620"/>
    </row>
    <row r="129621" spans="10:10" x14ac:dyDescent="0.3">
      <c r="J129621"/>
    </row>
    <row r="129622" spans="10:10" x14ac:dyDescent="0.3">
      <c r="J129622"/>
    </row>
    <row r="129623" spans="10:10" x14ac:dyDescent="0.3">
      <c r="J129623"/>
    </row>
    <row r="129624" spans="10:10" x14ac:dyDescent="0.3">
      <c r="J129624"/>
    </row>
    <row r="129625" spans="10:10" x14ac:dyDescent="0.3">
      <c r="J129625"/>
    </row>
    <row r="129626" spans="10:10" x14ac:dyDescent="0.3">
      <c r="J129626"/>
    </row>
    <row r="129627" spans="10:10" x14ac:dyDescent="0.3">
      <c r="J129627"/>
    </row>
    <row r="129628" spans="10:10" x14ac:dyDescent="0.3">
      <c r="J129628"/>
    </row>
    <row r="129629" spans="10:10" x14ac:dyDescent="0.3">
      <c r="J129629"/>
    </row>
    <row r="129630" spans="10:10" x14ac:dyDescent="0.3">
      <c r="J129630"/>
    </row>
    <row r="129631" spans="10:10" x14ac:dyDescent="0.3">
      <c r="J129631"/>
    </row>
    <row r="129632" spans="10:10" x14ac:dyDescent="0.3">
      <c r="J129632"/>
    </row>
    <row r="129633" spans="10:10" x14ac:dyDescent="0.3">
      <c r="J129633"/>
    </row>
    <row r="129634" spans="10:10" x14ac:dyDescent="0.3">
      <c r="J129634"/>
    </row>
    <row r="129635" spans="10:10" x14ac:dyDescent="0.3">
      <c r="J129635"/>
    </row>
    <row r="129636" spans="10:10" x14ac:dyDescent="0.3">
      <c r="J129636"/>
    </row>
    <row r="129637" spans="10:10" x14ac:dyDescent="0.3">
      <c r="J129637"/>
    </row>
    <row r="129638" spans="10:10" x14ac:dyDescent="0.3">
      <c r="J129638"/>
    </row>
    <row r="129639" spans="10:10" x14ac:dyDescent="0.3">
      <c r="J129639"/>
    </row>
    <row r="129640" spans="10:10" x14ac:dyDescent="0.3">
      <c r="J129640"/>
    </row>
    <row r="129641" spans="10:10" x14ac:dyDescent="0.3">
      <c r="J129641"/>
    </row>
    <row r="129642" spans="10:10" x14ac:dyDescent="0.3">
      <c r="J129642"/>
    </row>
    <row r="129643" spans="10:10" x14ac:dyDescent="0.3">
      <c r="J129643"/>
    </row>
    <row r="129644" spans="10:10" x14ac:dyDescent="0.3">
      <c r="J129644"/>
    </row>
    <row r="129645" spans="10:10" x14ac:dyDescent="0.3">
      <c r="J129645"/>
    </row>
    <row r="129646" spans="10:10" x14ac:dyDescent="0.3">
      <c r="J129646"/>
    </row>
    <row r="129647" spans="10:10" x14ac:dyDescent="0.3">
      <c r="J129647"/>
    </row>
    <row r="129648" spans="10:10" x14ac:dyDescent="0.3">
      <c r="J129648"/>
    </row>
    <row r="129649" spans="10:10" x14ac:dyDescent="0.3">
      <c r="J129649"/>
    </row>
    <row r="129650" spans="10:10" x14ac:dyDescent="0.3">
      <c r="J129650"/>
    </row>
    <row r="129651" spans="10:10" x14ac:dyDescent="0.3">
      <c r="J129651"/>
    </row>
    <row r="129652" spans="10:10" x14ac:dyDescent="0.3">
      <c r="J129652"/>
    </row>
    <row r="129653" spans="10:10" x14ac:dyDescent="0.3">
      <c r="J129653"/>
    </row>
    <row r="129654" spans="10:10" x14ac:dyDescent="0.3">
      <c r="J129654"/>
    </row>
    <row r="129655" spans="10:10" x14ac:dyDescent="0.3">
      <c r="J129655"/>
    </row>
    <row r="129656" spans="10:10" x14ac:dyDescent="0.3">
      <c r="J129656"/>
    </row>
    <row r="129657" spans="10:10" x14ac:dyDescent="0.3">
      <c r="J129657"/>
    </row>
    <row r="129658" spans="10:10" x14ac:dyDescent="0.3">
      <c r="J129658"/>
    </row>
    <row r="129659" spans="10:10" x14ac:dyDescent="0.3">
      <c r="J129659"/>
    </row>
    <row r="129660" spans="10:10" x14ac:dyDescent="0.3">
      <c r="J129660"/>
    </row>
    <row r="129661" spans="10:10" x14ac:dyDescent="0.3">
      <c r="J129661"/>
    </row>
    <row r="129662" spans="10:10" x14ac:dyDescent="0.3">
      <c r="J129662"/>
    </row>
    <row r="129663" spans="10:10" x14ac:dyDescent="0.3">
      <c r="J129663"/>
    </row>
    <row r="129664" spans="10:10" x14ac:dyDescent="0.3">
      <c r="J129664"/>
    </row>
    <row r="129665" spans="10:10" x14ac:dyDescent="0.3">
      <c r="J129665"/>
    </row>
    <row r="129666" spans="10:10" x14ac:dyDescent="0.3">
      <c r="J129666"/>
    </row>
    <row r="129667" spans="10:10" x14ac:dyDescent="0.3">
      <c r="J129667"/>
    </row>
    <row r="129668" spans="10:10" x14ac:dyDescent="0.3">
      <c r="J129668"/>
    </row>
    <row r="129669" spans="10:10" x14ac:dyDescent="0.3">
      <c r="J129669"/>
    </row>
    <row r="129670" spans="10:10" x14ac:dyDescent="0.3">
      <c r="J129670"/>
    </row>
    <row r="129671" spans="10:10" x14ac:dyDescent="0.3">
      <c r="J129671"/>
    </row>
    <row r="129672" spans="10:10" x14ac:dyDescent="0.3">
      <c r="J129672"/>
    </row>
    <row r="129673" spans="10:10" x14ac:dyDescent="0.3">
      <c r="J129673"/>
    </row>
    <row r="129674" spans="10:10" x14ac:dyDescent="0.3">
      <c r="J129674"/>
    </row>
    <row r="129675" spans="10:10" x14ac:dyDescent="0.3">
      <c r="J129675"/>
    </row>
    <row r="129676" spans="10:10" x14ac:dyDescent="0.3">
      <c r="J129676"/>
    </row>
    <row r="129677" spans="10:10" x14ac:dyDescent="0.3">
      <c r="J129677"/>
    </row>
    <row r="129678" spans="10:10" x14ac:dyDescent="0.3">
      <c r="J129678"/>
    </row>
    <row r="129679" spans="10:10" x14ac:dyDescent="0.3">
      <c r="J129679"/>
    </row>
    <row r="129680" spans="10:10" x14ac:dyDescent="0.3">
      <c r="J129680"/>
    </row>
    <row r="129681" spans="10:10" x14ac:dyDescent="0.3">
      <c r="J129681"/>
    </row>
    <row r="129682" spans="10:10" x14ac:dyDescent="0.3">
      <c r="J129682"/>
    </row>
    <row r="129683" spans="10:10" x14ac:dyDescent="0.3">
      <c r="J129683"/>
    </row>
    <row r="129684" spans="10:10" x14ac:dyDescent="0.3">
      <c r="J129684"/>
    </row>
    <row r="129685" spans="10:10" x14ac:dyDescent="0.3">
      <c r="J129685"/>
    </row>
    <row r="129686" spans="10:10" x14ac:dyDescent="0.3">
      <c r="J129686"/>
    </row>
    <row r="129687" spans="10:10" x14ac:dyDescent="0.3">
      <c r="J129687"/>
    </row>
    <row r="129688" spans="10:10" x14ac:dyDescent="0.3">
      <c r="J129688"/>
    </row>
    <row r="129689" spans="10:10" x14ac:dyDescent="0.3">
      <c r="J129689"/>
    </row>
    <row r="129690" spans="10:10" x14ac:dyDescent="0.3">
      <c r="J129690"/>
    </row>
    <row r="129691" spans="10:10" x14ac:dyDescent="0.3">
      <c r="J129691"/>
    </row>
    <row r="129692" spans="10:10" x14ac:dyDescent="0.3">
      <c r="J129692"/>
    </row>
    <row r="129693" spans="10:10" x14ac:dyDescent="0.3">
      <c r="J129693"/>
    </row>
    <row r="129694" spans="10:10" x14ac:dyDescent="0.3">
      <c r="J129694"/>
    </row>
    <row r="129695" spans="10:10" x14ac:dyDescent="0.3">
      <c r="J129695"/>
    </row>
    <row r="129696" spans="10:10" x14ac:dyDescent="0.3">
      <c r="J129696"/>
    </row>
    <row r="129697" spans="10:10" x14ac:dyDescent="0.3">
      <c r="J129697"/>
    </row>
    <row r="129698" spans="10:10" x14ac:dyDescent="0.3">
      <c r="J129698"/>
    </row>
    <row r="129699" spans="10:10" x14ac:dyDescent="0.3">
      <c r="J129699"/>
    </row>
    <row r="129700" spans="10:10" x14ac:dyDescent="0.3">
      <c r="J129700"/>
    </row>
    <row r="129701" spans="10:10" x14ac:dyDescent="0.3">
      <c r="J129701"/>
    </row>
    <row r="129702" spans="10:10" x14ac:dyDescent="0.3">
      <c r="J129702"/>
    </row>
    <row r="129703" spans="10:10" x14ac:dyDescent="0.3">
      <c r="J129703"/>
    </row>
    <row r="129704" spans="10:10" x14ac:dyDescent="0.3">
      <c r="J129704"/>
    </row>
    <row r="129705" spans="10:10" x14ac:dyDescent="0.3">
      <c r="J129705"/>
    </row>
    <row r="129706" spans="10:10" x14ac:dyDescent="0.3">
      <c r="J129706"/>
    </row>
    <row r="129707" spans="10:10" x14ac:dyDescent="0.3">
      <c r="J129707"/>
    </row>
    <row r="129708" spans="10:10" x14ac:dyDescent="0.3">
      <c r="J129708"/>
    </row>
    <row r="129709" spans="10:10" x14ac:dyDescent="0.3">
      <c r="J129709"/>
    </row>
    <row r="129710" spans="10:10" x14ac:dyDescent="0.3">
      <c r="J129710"/>
    </row>
    <row r="129711" spans="10:10" x14ac:dyDescent="0.3">
      <c r="J129711"/>
    </row>
    <row r="129712" spans="10:10" x14ac:dyDescent="0.3">
      <c r="J129712"/>
    </row>
    <row r="129713" spans="10:10" x14ac:dyDescent="0.3">
      <c r="J129713"/>
    </row>
    <row r="129714" spans="10:10" x14ac:dyDescent="0.3">
      <c r="J129714"/>
    </row>
    <row r="129715" spans="10:10" x14ac:dyDescent="0.3">
      <c r="J129715"/>
    </row>
    <row r="129716" spans="10:10" x14ac:dyDescent="0.3">
      <c r="J129716"/>
    </row>
    <row r="129717" spans="10:10" x14ac:dyDescent="0.3">
      <c r="J129717"/>
    </row>
    <row r="129718" spans="10:10" x14ac:dyDescent="0.3">
      <c r="J129718"/>
    </row>
    <row r="129719" spans="10:10" x14ac:dyDescent="0.3">
      <c r="J129719"/>
    </row>
    <row r="129720" spans="10:10" x14ac:dyDescent="0.3">
      <c r="J129720"/>
    </row>
    <row r="129721" spans="10:10" x14ac:dyDescent="0.3">
      <c r="J129721"/>
    </row>
    <row r="129722" spans="10:10" x14ac:dyDescent="0.3">
      <c r="J129722"/>
    </row>
    <row r="129723" spans="10:10" x14ac:dyDescent="0.3">
      <c r="J129723"/>
    </row>
    <row r="129724" spans="10:10" x14ac:dyDescent="0.3">
      <c r="J129724"/>
    </row>
    <row r="129725" spans="10:10" x14ac:dyDescent="0.3">
      <c r="J129725"/>
    </row>
    <row r="129726" spans="10:10" x14ac:dyDescent="0.3">
      <c r="J129726"/>
    </row>
    <row r="129727" spans="10:10" x14ac:dyDescent="0.3">
      <c r="J129727"/>
    </row>
    <row r="129728" spans="10:10" x14ac:dyDescent="0.3">
      <c r="J129728"/>
    </row>
    <row r="129729" spans="10:10" x14ac:dyDescent="0.3">
      <c r="J129729"/>
    </row>
    <row r="129730" spans="10:10" x14ac:dyDescent="0.3">
      <c r="J129730"/>
    </row>
    <row r="129731" spans="10:10" x14ac:dyDescent="0.3">
      <c r="J129731"/>
    </row>
    <row r="129732" spans="10:10" x14ac:dyDescent="0.3">
      <c r="J129732"/>
    </row>
    <row r="129733" spans="10:10" x14ac:dyDescent="0.3">
      <c r="J129733"/>
    </row>
    <row r="129734" spans="10:10" x14ac:dyDescent="0.3">
      <c r="J129734"/>
    </row>
    <row r="129735" spans="10:10" x14ac:dyDescent="0.3">
      <c r="J129735"/>
    </row>
    <row r="129736" spans="10:10" x14ac:dyDescent="0.3">
      <c r="J129736"/>
    </row>
    <row r="129737" spans="10:10" x14ac:dyDescent="0.3">
      <c r="J129737"/>
    </row>
    <row r="129738" spans="10:10" x14ac:dyDescent="0.3">
      <c r="J129738"/>
    </row>
    <row r="129739" spans="10:10" x14ac:dyDescent="0.3">
      <c r="J129739"/>
    </row>
    <row r="129740" spans="10:10" x14ac:dyDescent="0.3">
      <c r="J129740"/>
    </row>
    <row r="129741" spans="10:10" x14ac:dyDescent="0.3">
      <c r="J129741"/>
    </row>
    <row r="129742" spans="10:10" x14ac:dyDescent="0.3">
      <c r="J129742"/>
    </row>
    <row r="129743" spans="10:10" x14ac:dyDescent="0.3">
      <c r="J129743"/>
    </row>
    <row r="129744" spans="10:10" x14ac:dyDescent="0.3">
      <c r="J129744"/>
    </row>
    <row r="129745" spans="10:10" x14ac:dyDescent="0.3">
      <c r="J129745"/>
    </row>
    <row r="129746" spans="10:10" x14ac:dyDescent="0.3">
      <c r="J129746"/>
    </row>
    <row r="129747" spans="10:10" x14ac:dyDescent="0.3">
      <c r="J129747"/>
    </row>
    <row r="129748" spans="10:10" x14ac:dyDescent="0.3">
      <c r="J129748"/>
    </row>
    <row r="129749" spans="10:10" x14ac:dyDescent="0.3">
      <c r="J129749"/>
    </row>
    <row r="129750" spans="10:10" x14ac:dyDescent="0.3">
      <c r="J129750"/>
    </row>
    <row r="129751" spans="10:10" x14ac:dyDescent="0.3">
      <c r="J129751"/>
    </row>
    <row r="129752" spans="10:10" x14ac:dyDescent="0.3">
      <c r="J129752"/>
    </row>
    <row r="129753" spans="10:10" x14ac:dyDescent="0.3">
      <c r="J129753"/>
    </row>
    <row r="129754" spans="10:10" x14ac:dyDescent="0.3">
      <c r="J129754"/>
    </row>
    <row r="129755" spans="10:10" x14ac:dyDescent="0.3">
      <c r="J129755"/>
    </row>
    <row r="129756" spans="10:10" x14ac:dyDescent="0.3">
      <c r="J129756"/>
    </row>
    <row r="129757" spans="10:10" x14ac:dyDescent="0.3">
      <c r="J129757"/>
    </row>
    <row r="129758" spans="10:10" x14ac:dyDescent="0.3">
      <c r="J129758"/>
    </row>
    <row r="129759" spans="10:10" x14ac:dyDescent="0.3">
      <c r="J129759"/>
    </row>
    <row r="129760" spans="10:10" x14ac:dyDescent="0.3">
      <c r="J129760"/>
    </row>
    <row r="129761" spans="10:10" x14ac:dyDescent="0.3">
      <c r="J129761"/>
    </row>
    <row r="129762" spans="10:10" x14ac:dyDescent="0.3">
      <c r="J129762"/>
    </row>
    <row r="129763" spans="10:10" x14ac:dyDescent="0.3">
      <c r="J129763"/>
    </row>
    <row r="129764" spans="10:10" x14ac:dyDescent="0.3">
      <c r="J129764"/>
    </row>
    <row r="129765" spans="10:10" x14ac:dyDescent="0.3">
      <c r="J129765"/>
    </row>
    <row r="129766" spans="10:10" x14ac:dyDescent="0.3">
      <c r="J129766"/>
    </row>
    <row r="129767" spans="10:10" x14ac:dyDescent="0.3">
      <c r="J129767"/>
    </row>
    <row r="129768" spans="10:10" x14ac:dyDescent="0.3">
      <c r="J129768"/>
    </row>
    <row r="129769" spans="10:10" x14ac:dyDescent="0.3">
      <c r="J129769"/>
    </row>
    <row r="129770" spans="10:10" x14ac:dyDescent="0.3">
      <c r="J129770"/>
    </row>
    <row r="129771" spans="10:10" x14ac:dyDescent="0.3">
      <c r="J129771"/>
    </row>
    <row r="129772" spans="10:10" x14ac:dyDescent="0.3">
      <c r="J129772"/>
    </row>
    <row r="129773" spans="10:10" x14ac:dyDescent="0.3">
      <c r="J129773"/>
    </row>
    <row r="129774" spans="10:10" x14ac:dyDescent="0.3">
      <c r="J129774"/>
    </row>
    <row r="129775" spans="10:10" x14ac:dyDescent="0.3">
      <c r="J129775"/>
    </row>
    <row r="129776" spans="10:10" x14ac:dyDescent="0.3">
      <c r="J129776"/>
    </row>
    <row r="129777" spans="10:10" x14ac:dyDescent="0.3">
      <c r="J129777"/>
    </row>
    <row r="129778" spans="10:10" x14ac:dyDescent="0.3">
      <c r="J129778"/>
    </row>
    <row r="129779" spans="10:10" x14ac:dyDescent="0.3">
      <c r="J129779"/>
    </row>
    <row r="129780" spans="10:10" x14ac:dyDescent="0.3">
      <c r="J129780"/>
    </row>
    <row r="129781" spans="10:10" x14ac:dyDescent="0.3">
      <c r="J129781"/>
    </row>
    <row r="129782" spans="10:10" x14ac:dyDescent="0.3">
      <c r="J129782"/>
    </row>
    <row r="129783" spans="10:10" x14ac:dyDescent="0.3">
      <c r="J129783"/>
    </row>
    <row r="129784" spans="10:10" x14ac:dyDescent="0.3">
      <c r="J129784"/>
    </row>
    <row r="129785" spans="10:10" x14ac:dyDescent="0.3">
      <c r="J129785"/>
    </row>
    <row r="129786" spans="10:10" x14ac:dyDescent="0.3">
      <c r="J129786"/>
    </row>
    <row r="129787" spans="10:10" x14ac:dyDescent="0.3">
      <c r="J129787"/>
    </row>
    <row r="129788" spans="10:10" x14ac:dyDescent="0.3">
      <c r="J129788"/>
    </row>
    <row r="129789" spans="10:10" x14ac:dyDescent="0.3">
      <c r="J129789"/>
    </row>
    <row r="129790" spans="10:10" x14ac:dyDescent="0.3">
      <c r="J129790"/>
    </row>
    <row r="129791" spans="10:10" x14ac:dyDescent="0.3">
      <c r="J129791"/>
    </row>
    <row r="129792" spans="10:10" x14ac:dyDescent="0.3">
      <c r="J129792"/>
    </row>
    <row r="129793" spans="10:10" x14ac:dyDescent="0.3">
      <c r="J129793"/>
    </row>
    <row r="129794" spans="10:10" x14ac:dyDescent="0.3">
      <c r="J129794"/>
    </row>
    <row r="129795" spans="10:10" x14ac:dyDescent="0.3">
      <c r="J129795"/>
    </row>
    <row r="129796" spans="10:10" x14ac:dyDescent="0.3">
      <c r="J129796"/>
    </row>
    <row r="129797" spans="10:10" x14ac:dyDescent="0.3">
      <c r="J129797"/>
    </row>
    <row r="129798" spans="10:10" x14ac:dyDescent="0.3">
      <c r="J129798"/>
    </row>
    <row r="129799" spans="10:10" x14ac:dyDescent="0.3">
      <c r="J129799"/>
    </row>
    <row r="129800" spans="10:10" x14ac:dyDescent="0.3">
      <c r="J129800"/>
    </row>
    <row r="129801" spans="10:10" x14ac:dyDescent="0.3">
      <c r="J129801"/>
    </row>
    <row r="129802" spans="10:10" x14ac:dyDescent="0.3">
      <c r="J129802"/>
    </row>
    <row r="129803" spans="10:10" x14ac:dyDescent="0.3">
      <c r="J129803"/>
    </row>
    <row r="129804" spans="10:10" x14ac:dyDescent="0.3">
      <c r="J129804"/>
    </row>
    <row r="129805" spans="10:10" x14ac:dyDescent="0.3">
      <c r="J129805"/>
    </row>
    <row r="129806" spans="10:10" x14ac:dyDescent="0.3">
      <c r="J129806"/>
    </row>
    <row r="129807" spans="10:10" x14ac:dyDescent="0.3">
      <c r="J129807"/>
    </row>
    <row r="129808" spans="10:10" x14ac:dyDescent="0.3">
      <c r="J129808"/>
    </row>
    <row r="129809" spans="10:10" x14ac:dyDescent="0.3">
      <c r="J129809"/>
    </row>
    <row r="129810" spans="10:10" x14ac:dyDescent="0.3">
      <c r="J129810"/>
    </row>
    <row r="129811" spans="10:10" x14ac:dyDescent="0.3">
      <c r="J129811"/>
    </row>
    <row r="129812" spans="10:10" x14ac:dyDescent="0.3">
      <c r="J129812"/>
    </row>
    <row r="129813" spans="10:10" x14ac:dyDescent="0.3">
      <c r="J129813"/>
    </row>
    <row r="129814" spans="10:10" x14ac:dyDescent="0.3">
      <c r="J129814"/>
    </row>
    <row r="129815" spans="10:10" x14ac:dyDescent="0.3">
      <c r="J129815"/>
    </row>
    <row r="129816" spans="10:10" x14ac:dyDescent="0.3">
      <c r="J129816"/>
    </row>
    <row r="129817" spans="10:10" x14ac:dyDescent="0.3">
      <c r="J129817"/>
    </row>
    <row r="129818" spans="10:10" x14ac:dyDescent="0.3">
      <c r="J129818"/>
    </row>
    <row r="129819" spans="10:10" x14ac:dyDescent="0.3">
      <c r="J129819"/>
    </row>
    <row r="129820" spans="10:10" x14ac:dyDescent="0.3">
      <c r="J129820"/>
    </row>
    <row r="129821" spans="10:10" x14ac:dyDescent="0.3">
      <c r="J129821"/>
    </row>
    <row r="129822" spans="10:10" x14ac:dyDescent="0.3">
      <c r="J129822"/>
    </row>
    <row r="129823" spans="10:10" x14ac:dyDescent="0.3">
      <c r="J129823"/>
    </row>
    <row r="129824" spans="10:10" x14ac:dyDescent="0.3">
      <c r="J129824"/>
    </row>
    <row r="129825" spans="10:10" x14ac:dyDescent="0.3">
      <c r="J129825"/>
    </row>
    <row r="129826" spans="10:10" x14ac:dyDescent="0.3">
      <c r="J129826"/>
    </row>
    <row r="129827" spans="10:10" x14ac:dyDescent="0.3">
      <c r="J129827"/>
    </row>
    <row r="129828" spans="10:10" x14ac:dyDescent="0.3">
      <c r="J129828"/>
    </row>
    <row r="129829" spans="10:10" x14ac:dyDescent="0.3">
      <c r="J129829"/>
    </row>
    <row r="129830" spans="10:10" x14ac:dyDescent="0.3">
      <c r="J129830"/>
    </row>
    <row r="129831" spans="10:10" x14ac:dyDescent="0.3">
      <c r="J129831"/>
    </row>
    <row r="129832" spans="10:10" x14ac:dyDescent="0.3">
      <c r="J129832"/>
    </row>
    <row r="129833" spans="10:10" x14ac:dyDescent="0.3">
      <c r="J129833"/>
    </row>
    <row r="129834" spans="10:10" x14ac:dyDescent="0.3">
      <c r="J129834"/>
    </row>
    <row r="129835" spans="10:10" x14ac:dyDescent="0.3">
      <c r="J129835"/>
    </row>
    <row r="129836" spans="10:10" x14ac:dyDescent="0.3">
      <c r="J129836"/>
    </row>
    <row r="129837" spans="10:10" x14ac:dyDescent="0.3">
      <c r="J129837"/>
    </row>
    <row r="129838" spans="10:10" x14ac:dyDescent="0.3">
      <c r="J129838"/>
    </row>
    <row r="129839" spans="10:10" x14ac:dyDescent="0.3">
      <c r="J129839"/>
    </row>
    <row r="129840" spans="10:10" x14ac:dyDescent="0.3">
      <c r="J129840"/>
    </row>
    <row r="129841" spans="10:10" x14ac:dyDescent="0.3">
      <c r="J129841"/>
    </row>
    <row r="129842" spans="10:10" x14ac:dyDescent="0.3">
      <c r="J129842"/>
    </row>
    <row r="129843" spans="10:10" x14ac:dyDescent="0.3">
      <c r="J129843"/>
    </row>
    <row r="129844" spans="10:10" x14ac:dyDescent="0.3">
      <c r="J129844"/>
    </row>
    <row r="129845" spans="10:10" x14ac:dyDescent="0.3">
      <c r="J129845"/>
    </row>
    <row r="129846" spans="10:10" x14ac:dyDescent="0.3">
      <c r="J129846"/>
    </row>
    <row r="129847" spans="10:10" x14ac:dyDescent="0.3">
      <c r="J129847"/>
    </row>
    <row r="129848" spans="10:10" x14ac:dyDescent="0.3">
      <c r="J129848"/>
    </row>
    <row r="129849" spans="10:10" x14ac:dyDescent="0.3">
      <c r="J129849"/>
    </row>
    <row r="129850" spans="10:10" x14ac:dyDescent="0.3">
      <c r="J129850"/>
    </row>
    <row r="129851" spans="10:10" x14ac:dyDescent="0.3">
      <c r="J129851"/>
    </row>
    <row r="129852" spans="10:10" x14ac:dyDescent="0.3">
      <c r="J129852"/>
    </row>
    <row r="129853" spans="10:10" x14ac:dyDescent="0.3">
      <c r="J129853"/>
    </row>
    <row r="129854" spans="10:10" x14ac:dyDescent="0.3">
      <c r="J129854"/>
    </row>
    <row r="129855" spans="10:10" x14ac:dyDescent="0.3">
      <c r="J129855"/>
    </row>
    <row r="129856" spans="10:10" x14ac:dyDescent="0.3">
      <c r="J129856"/>
    </row>
    <row r="129857" spans="10:10" x14ac:dyDescent="0.3">
      <c r="J129857"/>
    </row>
    <row r="129858" spans="10:10" x14ac:dyDescent="0.3">
      <c r="J129858"/>
    </row>
    <row r="129859" spans="10:10" x14ac:dyDescent="0.3">
      <c r="J129859"/>
    </row>
    <row r="129860" spans="10:10" x14ac:dyDescent="0.3">
      <c r="J129860"/>
    </row>
    <row r="129861" spans="10:10" x14ac:dyDescent="0.3">
      <c r="J129861"/>
    </row>
    <row r="129862" spans="10:10" x14ac:dyDescent="0.3">
      <c r="J129862"/>
    </row>
    <row r="129863" spans="10:10" x14ac:dyDescent="0.3">
      <c r="J129863"/>
    </row>
    <row r="129864" spans="10:10" x14ac:dyDescent="0.3">
      <c r="J129864"/>
    </row>
    <row r="129865" spans="10:10" x14ac:dyDescent="0.3">
      <c r="J129865"/>
    </row>
    <row r="129866" spans="10:10" x14ac:dyDescent="0.3">
      <c r="J129866"/>
    </row>
    <row r="129867" spans="10:10" x14ac:dyDescent="0.3">
      <c r="J129867"/>
    </row>
    <row r="129868" spans="10:10" x14ac:dyDescent="0.3">
      <c r="J129868"/>
    </row>
    <row r="129869" spans="10:10" x14ac:dyDescent="0.3">
      <c r="J129869"/>
    </row>
    <row r="129870" spans="10:10" x14ac:dyDescent="0.3">
      <c r="J129870"/>
    </row>
    <row r="129871" spans="10:10" x14ac:dyDescent="0.3">
      <c r="J129871"/>
    </row>
    <row r="129872" spans="10:10" x14ac:dyDescent="0.3">
      <c r="J129872"/>
    </row>
    <row r="129873" spans="10:10" x14ac:dyDescent="0.3">
      <c r="J129873"/>
    </row>
    <row r="129874" spans="10:10" x14ac:dyDescent="0.3">
      <c r="J129874"/>
    </row>
    <row r="129875" spans="10:10" x14ac:dyDescent="0.3">
      <c r="J129875"/>
    </row>
    <row r="129876" spans="10:10" x14ac:dyDescent="0.3">
      <c r="J129876"/>
    </row>
    <row r="129877" spans="10:10" x14ac:dyDescent="0.3">
      <c r="J129877"/>
    </row>
    <row r="129878" spans="10:10" x14ac:dyDescent="0.3">
      <c r="J129878"/>
    </row>
    <row r="129879" spans="10:10" x14ac:dyDescent="0.3">
      <c r="J129879"/>
    </row>
    <row r="129880" spans="10:10" x14ac:dyDescent="0.3">
      <c r="J129880"/>
    </row>
    <row r="129881" spans="10:10" x14ac:dyDescent="0.3">
      <c r="J129881"/>
    </row>
    <row r="129882" spans="10:10" x14ac:dyDescent="0.3">
      <c r="J129882"/>
    </row>
    <row r="129883" spans="10:10" x14ac:dyDescent="0.3">
      <c r="J129883"/>
    </row>
    <row r="129884" spans="10:10" x14ac:dyDescent="0.3">
      <c r="J129884"/>
    </row>
    <row r="129885" spans="10:10" x14ac:dyDescent="0.3">
      <c r="J129885"/>
    </row>
    <row r="129886" spans="10:10" x14ac:dyDescent="0.3">
      <c r="J129886"/>
    </row>
    <row r="129887" spans="10:10" x14ac:dyDescent="0.3">
      <c r="J129887"/>
    </row>
    <row r="129888" spans="10:10" x14ac:dyDescent="0.3">
      <c r="J129888"/>
    </row>
    <row r="129889" spans="10:10" x14ac:dyDescent="0.3">
      <c r="J129889"/>
    </row>
    <row r="129890" spans="10:10" x14ac:dyDescent="0.3">
      <c r="J129890"/>
    </row>
    <row r="129891" spans="10:10" x14ac:dyDescent="0.3">
      <c r="J129891"/>
    </row>
    <row r="129892" spans="10:10" x14ac:dyDescent="0.3">
      <c r="J129892"/>
    </row>
    <row r="129893" spans="10:10" x14ac:dyDescent="0.3">
      <c r="J129893"/>
    </row>
    <row r="129894" spans="10:10" x14ac:dyDescent="0.3">
      <c r="J129894"/>
    </row>
    <row r="129895" spans="10:10" x14ac:dyDescent="0.3">
      <c r="J129895"/>
    </row>
    <row r="129896" spans="10:10" x14ac:dyDescent="0.3">
      <c r="J129896"/>
    </row>
    <row r="129897" spans="10:10" x14ac:dyDescent="0.3">
      <c r="J129897"/>
    </row>
    <row r="129898" spans="10:10" x14ac:dyDescent="0.3">
      <c r="J129898"/>
    </row>
    <row r="129899" spans="10:10" x14ac:dyDescent="0.3">
      <c r="J129899"/>
    </row>
    <row r="129900" spans="10:10" x14ac:dyDescent="0.3">
      <c r="J129900"/>
    </row>
    <row r="129901" spans="10:10" x14ac:dyDescent="0.3">
      <c r="J129901"/>
    </row>
    <row r="129902" spans="10:10" x14ac:dyDescent="0.3">
      <c r="J129902"/>
    </row>
    <row r="129903" spans="10:10" x14ac:dyDescent="0.3">
      <c r="J129903"/>
    </row>
    <row r="129904" spans="10:10" x14ac:dyDescent="0.3">
      <c r="J129904"/>
    </row>
    <row r="129905" spans="10:10" x14ac:dyDescent="0.3">
      <c r="J129905"/>
    </row>
    <row r="129906" spans="10:10" x14ac:dyDescent="0.3">
      <c r="J129906"/>
    </row>
    <row r="129907" spans="10:10" x14ac:dyDescent="0.3">
      <c r="J129907"/>
    </row>
    <row r="129908" spans="10:10" x14ac:dyDescent="0.3">
      <c r="J129908"/>
    </row>
    <row r="129909" spans="10:10" x14ac:dyDescent="0.3">
      <c r="J129909"/>
    </row>
    <row r="129910" spans="10:10" x14ac:dyDescent="0.3">
      <c r="J129910"/>
    </row>
    <row r="129911" spans="10:10" x14ac:dyDescent="0.3">
      <c r="J129911"/>
    </row>
    <row r="129912" spans="10:10" x14ac:dyDescent="0.3">
      <c r="J129912"/>
    </row>
    <row r="129913" spans="10:10" x14ac:dyDescent="0.3">
      <c r="J129913"/>
    </row>
    <row r="129914" spans="10:10" x14ac:dyDescent="0.3">
      <c r="J129914"/>
    </row>
    <row r="129915" spans="10:10" x14ac:dyDescent="0.3">
      <c r="J129915"/>
    </row>
    <row r="129916" spans="10:10" x14ac:dyDescent="0.3">
      <c r="J129916"/>
    </row>
    <row r="129917" spans="10:10" x14ac:dyDescent="0.3">
      <c r="J129917"/>
    </row>
    <row r="129918" spans="10:10" x14ac:dyDescent="0.3">
      <c r="J129918"/>
    </row>
    <row r="129919" spans="10:10" x14ac:dyDescent="0.3">
      <c r="J129919"/>
    </row>
    <row r="129920" spans="10:10" x14ac:dyDescent="0.3">
      <c r="J129920"/>
    </row>
    <row r="129921" spans="10:10" x14ac:dyDescent="0.3">
      <c r="J129921"/>
    </row>
    <row r="129922" spans="10:10" x14ac:dyDescent="0.3">
      <c r="J129922"/>
    </row>
    <row r="129923" spans="10:10" x14ac:dyDescent="0.3">
      <c r="J129923"/>
    </row>
    <row r="129924" spans="10:10" x14ac:dyDescent="0.3">
      <c r="J129924"/>
    </row>
    <row r="129925" spans="10:10" x14ac:dyDescent="0.3">
      <c r="J129925"/>
    </row>
    <row r="129926" spans="10:10" x14ac:dyDescent="0.3">
      <c r="J129926"/>
    </row>
    <row r="129927" spans="10:10" x14ac:dyDescent="0.3">
      <c r="J129927"/>
    </row>
    <row r="129928" spans="10:10" x14ac:dyDescent="0.3">
      <c r="J129928"/>
    </row>
    <row r="129929" spans="10:10" x14ac:dyDescent="0.3">
      <c r="J129929"/>
    </row>
    <row r="129930" spans="10:10" x14ac:dyDescent="0.3">
      <c r="J129930"/>
    </row>
    <row r="129931" spans="10:10" x14ac:dyDescent="0.3">
      <c r="J129931"/>
    </row>
    <row r="129932" spans="10:10" x14ac:dyDescent="0.3">
      <c r="J129932"/>
    </row>
    <row r="129933" spans="10:10" x14ac:dyDescent="0.3">
      <c r="J129933"/>
    </row>
    <row r="129934" spans="10:10" x14ac:dyDescent="0.3">
      <c r="J129934"/>
    </row>
    <row r="129935" spans="10:10" x14ac:dyDescent="0.3">
      <c r="J129935"/>
    </row>
    <row r="129936" spans="10:10" x14ac:dyDescent="0.3">
      <c r="J129936"/>
    </row>
    <row r="129937" spans="10:10" x14ac:dyDescent="0.3">
      <c r="J129937"/>
    </row>
    <row r="129938" spans="10:10" x14ac:dyDescent="0.3">
      <c r="J129938"/>
    </row>
    <row r="129939" spans="10:10" x14ac:dyDescent="0.3">
      <c r="J129939"/>
    </row>
    <row r="129940" spans="10:10" x14ac:dyDescent="0.3">
      <c r="J129940"/>
    </row>
    <row r="129941" spans="10:10" x14ac:dyDescent="0.3">
      <c r="J129941"/>
    </row>
    <row r="129942" spans="10:10" x14ac:dyDescent="0.3">
      <c r="J129942"/>
    </row>
    <row r="129943" spans="10:10" x14ac:dyDescent="0.3">
      <c r="J129943"/>
    </row>
    <row r="129944" spans="10:10" x14ac:dyDescent="0.3">
      <c r="J129944"/>
    </row>
    <row r="129945" spans="10:10" x14ac:dyDescent="0.3">
      <c r="J129945"/>
    </row>
    <row r="129946" spans="10:10" x14ac:dyDescent="0.3">
      <c r="J129946"/>
    </row>
    <row r="129947" spans="10:10" x14ac:dyDescent="0.3">
      <c r="J129947"/>
    </row>
    <row r="129948" spans="10:10" x14ac:dyDescent="0.3">
      <c r="J129948"/>
    </row>
    <row r="129949" spans="10:10" x14ac:dyDescent="0.3">
      <c r="J129949"/>
    </row>
    <row r="129950" spans="10:10" x14ac:dyDescent="0.3">
      <c r="J129950"/>
    </row>
    <row r="129951" spans="10:10" x14ac:dyDescent="0.3">
      <c r="J129951"/>
    </row>
    <row r="129952" spans="10:10" x14ac:dyDescent="0.3">
      <c r="J129952"/>
    </row>
    <row r="129953" spans="10:10" x14ac:dyDescent="0.3">
      <c r="J129953"/>
    </row>
    <row r="129954" spans="10:10" x14ac:dyDescent="0.3">
      <c r="J129954"/>
    </row>
    <row r="129955" spans="10:10" x14ac:dyDescent="0.3">
      <c r="J129955"/>
    </row>
    <row r="129956" spans="10:10" x14ac:dyDescent="0.3">
      <c r="J129956"/>
    </row>
    <row r="129957" spans="10:10" x14ac:dyDescent="0.3">
      <c r="J129957"/>
    </row>
    <row r="129958" spans="10:10" x14ac:dyDescent="0.3">
      <c r="J129958"/>
    </row>
    <row r="129959" spans="10:10" x14ac:dyDescent="0.3">
      <c r="J129959"/>
    </row>
    <row r="129960" spans="10:10" x14ac:dyDescent="0.3">
      <c r="J129960"/>
    </row>
    <row r="129961" spans="10:10" x14ac:dyDescent="0.3">
      <c r="J129961"/>
    </row>
    <row r="129962" spans="10:10" x14ac:dyDescent="0.3">
      <c r="J129962"/>
    </row>
    <row r="129963" spans="10:10" x14ac:dyDescent="0.3">
      <c r="J129963"/>
    </row>
    <row r="129964" spans="10:10" x14ac:dyDescent="0.3">
      <c r="J129964"/>
    </row>
    <row r="129965" spans="10:10" x14ac:dyDescent="0.3">
      <c r="J129965"/>
    </row>
    <row r="129966" spans="10:10" x14ac:dyDescent="0.3">
      <c r="J129966"/>
    </row>
    <row r="129967" spans="10:10" x14ac:dyDescent="0.3">
      <c r="J129967"/>
    </row>
    <row r="129968" spans="10:10" x14ac:dyDescent="0.3">
      <c r="J129968"/>
    </row>
    <row r="129969" spans="10:10" x14ac:dyDescent="0.3">
      <c r="J129969"/>
    </row>
    <row r="129970" spans="10:10" x14ac:dyDescent="0.3">
      <c r="J129970"/>
    </row>
    <row r="129971" spans="10:10" x14ac:dyDescent="0.3">
      <c r="J129971"/>
    </row>
    <row r="129972" spans="10:10" x14ac:dyDescent="0.3">
      <c r="J129972"/>
    </row>
    <row r="129973" spans="10:10" x14ac:dyDescent="0.3">
      <c r="J129973"/>
    </row>
    <row r="129974" spans="10:10" x14ac:dyDescent="0.3">
      <c r="J129974"/>
    </row>
    <row r="129975" spans="10:10" x14ac:dyDescent="0.3">
      <c r="J129975"/>
    </row>
    <row r="129976" spans="10:10" x14ac:dyDescent="0.3">
      <c r="J129976"/>
    </row>
    <row r="129977" spans="10:10" x14ac:dyDescent="0.3">
      <c r="J129977"/>
    </row>
    <row r="129978" spans="10:10" x14ac:dyDescent="0.3">
      <c r="J129978"/>
    </row>
    <row r="129979" spans="10:10" x14ac:dyDescent="0.3">
      <c r="J129979"/>
    </row>
    <row r="129980" spans="10:10" x14ac:dyDescent="0.3">
      <c r="J129980"/>
    </row>
    <row r="129981" spans="10:10" x14ac:dyDescent="0.3">
      <c r="J129981"/>
    </row>
    <row r="129982" spans="10:10" x14ac:dyDescent="0.3">
      <c r="J129982"/>
    </row>
    <row r="129983" spans="10:10" x14ac:dyDescent="0.3">
      <c r="J129983"/>
    </row>
    <row r="129984" spans="10:10" x14ac:dyDescent="0.3">
      <c r="J129984"/>
    </row>
    <row r="129985" spans="10:10" x14ac:dyDescent="0.3">
      <c r="J129985"/>
    </row>
    <row r="129986" spans="10:10" x14ac:dyDescent="0.3">
      <c r="J129986"/>
    </row>
    <row r="129987" spans="10:10" x14ac:dyDescent="0.3">
      <c r="J129987"/>
    </row>
    <row r="129988" spans="10:10" x14ac:dyDescent="0.3">
      <c r="J129988"/>
    </row>
    <row r="129989" spans="10:10" x14ac:dyDescent="0.3">
      <c r="J129989"/>
    </row>
    <row r="129990" spans="10:10" x14ac:dyDescent="0.3">
      <c r="J129990"/>
    </row>
    <row r="129991" spans="10:10" x14ac:dyDescent="0.3">
      <c r="J129991"/>
    </row>
    <row r="129992" spans="10:10" x14ac:dyDescent="0.3">
      <c r="J129992"/>
    </row>
    <row r="129993" spans="10:10" x14ac:dyDescent="0.3">
      <c r="J129993"/>
    </row>
    <row r="129994" spans="10:10" x14ac:dyDescent="0.3">
      <c r="J129994"/>
    </row>
    <row r="129995" spans="10:10" x14ac:dyDescent="0.3">
      <c r="J129995"/>
    </row>
    <row r="129996" spans="10:10" x14ac:dyDescent="0.3">
      <c r="J129996"/>
    </row>
    <row r="129997" spans="10:10" x14ac:dyDescent="0.3">
      <c r="J129997"/>
    </row>
    <row r="129998" spans="10:10" x14ac:dyDescent="0.3">
      <c r="J129998"/>
    </row>
    <row r="129999" spans="10:10" x14ac:dyDescent="0.3">
      <c r="J129999"/>
    </row>
    <row r="130000" spans="10:10" x14ac:dyDescent="0.3">
      <c r="J130000"/>
    </row>
    <row r="130001" spans="10:10" x14ac:dyDescent="0.3">
      <c r="J130001"/>
    </row>
    <row r="130002" spans="10:10" x14ac:dyDescent="0.3">
      <c r="J130002"/>
    </row>
    <row r="130003" spans="10:10" x14ac:dyDescent="0.3">
      <c r="J130003"/>
    </row>
    <row r="130004" spans="10:10" x14ac:dyDescent="0.3">
      <c r="J130004"/>
    </row>
    <row r="130005" spans="10:10" x14ac:dyDescent="0.3">
      <c r="J130005"/>
    </row>
    <row r="130006" spans="10:10" x14ac:dyDescent="0.3">
      <c r="J130006"/>
    </row>
    <row r="130007" spans="10:10" x14ac:dyDescent="0.3">
      <c r="J130007"/>
    </row>
    <row r="130008" spans="10:10" x14ac:dyDescent="0.3">
      <c r="J130008"/>
    </row>
    <row r="130009" spans="10:10" x14ac:dyDescent="0.3">
      <c r="J130009"/>
    </row>
    <row r="130010" spans="10:10" x14ac:dyDescent="0.3">
      <c r="J130010"/>
    </row>
    <row r="130011" spans="10:10" x14ac:dyDescent="0.3">
      <c r="J130011"/>
    </row>
    <row r="130012" spans="10:10" x14ac:dyDescent="0.3">
      <c r="J130012"/>
    </row>
    <row r="130013" spans="10:10" x14ac:dyDescent="0.3">
      <c r="J130013"/>
    </row>
    <row r="130014" spans="10:10" x14ac:dyDescent="0.3">
      <c r="J130014"/>
    </row>
    <row r="130015" spans="10:10" x14ac:dyDescent="0.3">
      <c r="J130015"/>
    </row>
    <row r="130016" spans="10:10" x14ac:dyDescent="0.3">
      <c r="J130016"/>
    </row>
    <row r="130017" spans="10:10" x14ac:dyDescent="0.3">
      <c r="J130017"/>
    </row>
    <row r="130018" spans="10:10" x14ac:dyDescent="0.3">
      <c r="J130018"/>
    </row>
    <row r="130019" spans="10:10" x14ac:dyDescent="0.3">
      <c r="J130019"/>
    </row>
    <row r="130020" spans="10:10" x14ac:dyDescent="0.3">
      <c r="J130020"/>
    </row>
    <row r="130021" spans="10:10" x14ac:dyDescent="0.3">
      <c r="J130021"/>
    </row>
    <row r="130022" spans="10:10" x14ac:dyDescent="0.3">
      <c r="J130022"/>
    </row>
    <row r="130023" spans="10:10" x14ac:dyDescent="0.3">
      <c r="J130023"/>
    </row>
    <row r="130024" spans="10:10" x14ac:dyDescent="0.3">
      <c r="J130024"/>
    </row>
    <row r="130025" spans="10:10" x14ac:dyDescent="0.3">
      <c r="J130025"/>
    </row>
    <row r="130026" spans="10:10" x14ac:dyDescent="0.3">
      <c r="J130026"/>
    </row>
    <row r="130027" spans="10:10" x14ac:dyDescent="0.3">
      <c r="J130027"/>
    </row>
    <row r="130028" spans="10:10" x14ac:dyDescent="0.3">
      <c r="J130028"/>
    </row>
    <row r="130029" spans="10:10" x14ac:dyDescent="0.3">
      <c r="J130029"/>
    </row>
    <row r="130030" spans="10:10" x14ac:dyDescent="0.3">
      <c r="J130030"/>
    </row>
    <row r="130031" spans="10:10" x14ac:dyDescent="0.3">
      <c r="J130031"/>
    </row>
    <row r="130032" spans="10:10" x14ac:dyDescent="0.3">
      <c r="J130032"/>
    </row>
    <row r="130033" spans="10:10" x14ac:dyDescent="0.3">
      <c r="J130033"/>
    </row>
    <row r="130034" spans="10:10" x14ac:dyDescent="0.3">
      <c r="J130034"/>
    </row>
    <row r="130035" spans="10:10" x14ac:dyDescent="0.3">
      <c r="J130035"/>
    </row>
    <row r="130036" spans="10:10" x14ac:dyDescent="0.3">
      <c r="J130036"/>
    </row>
    <row r="130037" spans="10:10" x14ac:dyDescent="0.3">
      <c r="J130037"/>
    </row>
    <row r="130038" spans="10:10" x14ac:dyDescent="0.3">
      <c r="J130038"/>
    </row>
    <row r="130039" spans="10:10" x14ac:dyDescent="0.3">
      <c r="J130039"/>
    </row>
    <row r="130040" spans="10:10" x14ac:dyDescent="0.3">
      <c r="J130040"/>
    </row>
    <row r="130041" spans="10:10" x14ac:dyDescent="0.3">
      <c r="J130041"/>
    </row>
    <row r="130042" spans="10:10" x14ac:dyDescent="0.3">
      <c r="J130042"/>
    </row>
    <row r="130043" spans="10:10" x14ac:dyDescent="0.3">
      <c r="J130043"/>
    </row>
    <row r="130044" spans="10:10" x14ac:dyDescent="0.3">
      <c r="J130044"/>
    </row>
    <row r="130045" spans="10:10" x14ac:dyDescent="0.3">
      <c r="J130045"/>
    </row>
    <row r="130046" spans="10:10" x14ac:dyDescent="0.3">
      <c r="J130046"/>
    </row>
    <row r="130047" spans="10:10" x14ac:dyDescent="0.3">
      <c r="J130047"/>
    </row>
    <row r="130048" spans="10:10" x14ac:dyDescent="0.3">
      <c r="J130048"/>
    </row>
    <row r="130049" spans="10:10" x14ac:dyDescent="0.3">
      <c r="J130049"/>
    </row>
    <row r="130050" spans="10:10" x14ac:dyDescent="0.3">
      <c r="J130050"/>
    </row>
    <row r="130051" spans="10:10" x14ac:dyDescent="0.3">
      <c r="J130051"/>
    </row>
    <row r="130052" spans="10:10" x14ac:dyDescent="0.3">
      <c r="J130052"/>
    </row>
    <row r="130053" spans="10:10" x14ac:dyDescent="0.3">
      <c r="J130053"/>
    </row>
    <row r="130054" spans="10:10" x14ac:dyDescent="0.3">
      <c r="J130054"/>
    </row>
    <row r="130055" spans="10:10" x14ac:dyDescent="0.3">
      <c r="J130055"/>
    </row>
    <row r="130056" spans="10:10" x14ac:dyDescent="0.3">
      <c r="J130056"/>
    </row>
    <row r="130057" spans="10:10" x14ac:dyDescent="0.3">
      <c r="J130057"/>
    </row>
    <row r="130058" spans="10:10" x14ac:dyDescent="0.3">
      <c r="J130058"/>
    </row>
    <row r="130059" spans="10:10" x14ac:dyDescent="0.3">
      <c r="J130059"/>
    </row>
    <row r="130060" spans="10:10" x14ac:dyDescent="0.3">
      <c r="J130060"/>
    </row>
    <row r="130061" spans="10:10" x14ac:dyDescent="0.3">
      <c r="J130061"/>
    </row>
    <row r="130062" spans="10:10" x14ac:dyDescent="0.3">
      <c r="J130062"/>
    </row>
    <row r="130063" spans="10:10" x14ac:dyDescent="0.3">
      <c r="J130063"/>
    </row>
    <row r="130064" spans="10:10" x14ac:dyDescent="0.3">
      <c r="J130064"/>
    </row>
    <row r="130065" spans="10:10" x14ac:dyDescent="0.3">
      <c r="J130065"/>
    </row>
    <row r="130066" spans="10:10" x14ac:dyDescent="0.3">
      <c r="J130066"/>
    </row>
    <row r="130067" spans="10:10" x14ac:dyDescent="0.3">
      <c r="J130067"/>
    </row>
    <row r="130068" spans="10:10" x14ac:dyDescent="0.3">
      <c r="J130068"/>
    </row>
    <row r="130069" spans="10:10" x14ac:dyDescent="0.3">
      <c r="J130069"/>
    </row>
    <row r="130070" spans="10:10" x14ac:dyDescent="0.3">
      <c r="J130070"/>
    </row>
    <row r="130071" spans="10:10" x14ac:dyDescent="0.3">
      <c r="J130071"/>
    </row>
    <row r="130072" spans="10:10" x14ac:dyDescent="0.3">
      <c r="J130072"/>
    </row>
    <row r="130073" spans="10:10" x14ac:dyDescent="0.3">
      <c r="J130073"/>
    </row>
    <row r="130074" spans="10:10" x14ac:dyDescent="0.3">
      <c r="J130074"/>
    </row>
    <row r="130075" spans="10:10" x14ac:dyDescent="0.3">
      <c r="J130075"/>
    </row>
    <row r="130076" spans="10:10" x14ac:dyDescent="0.3">
      <c r="J130076"/>
    </row>
    <row r="130077" spans="10:10" x14ac:dyDescent="0.3">
      <c r="J130077"/>
    </row>
    <row r="130078" spans="10:10" x14ac:dyDescent="0.3">
      <c r="J130078"/>
    </row>
    <row r="130079" spans="10:10" x14ac:dyDescent="0.3">
      <c r="J130079"/>
    </row>
    <row r="130080" spans="10:10" x14ac:dyDescent="0.3">
      <c r="J130080"/>
    </row>
    <row r="130081" spans="10:10" x14ac:dyDescent="0.3">
      <c r="J130081"/>
    </row>
    <row r="130082" spans="10:10" x14ac:dyDescent="0.3">
      <c r="J130082"/>
    </row>
    <row r="130083" spans="10:10" x14ac:dyDescent="0.3">
      <c r="J130083"/>
    </row>
    <row r="130084" spans="10:10" x14ac:dyDescent="0.3">
      <c r="J130084"/>
    </row>
    <row r="130085" spans="10:10" x14ac:dyDescent="0.3">
      <c r="J130085"/>
    </row>
    <row r="130086" spans="10:10" x14ac:dyDescent="0.3">
      <c r="J130086"/>
    </row>
    <row r="130087" spans="10:10" x14ac:dyDescent="0.3">
      <c r="J130087"/>
    </row>
    <row r="130088" spans="10:10" x14ac:dyDescent="0.3">
      <c r="J130088"/>
    </row>
    <row r="130089" spans="10:10" x14ac:dyDescent="0.3">
      <c r="J130089"/>
    </row>
    <row r="130090" spans="10:10" x14ac:dyDescent="0.3">
      <c r="J130090"/>
    </row>
    <row r="130091" spans="10:10" x14ac:dyDescent="0.3">
      <c r="J130091"/>
    </row>
    <row r="130092" spans="10:10" x14ac:dyDescent="0.3">
      <c r="J130092"/>
    </row>
    <row r="130093" spans="10:10" x14ac:dyDescent="0.3">
      <c r="J130093"/>
    </row>
    <row r="130094" spans="10:10" x14ac:dyDescent="0.3">
      <c r="J130094"/>
    </row>
    <row r="130095" spans="10:10" x14ac:dyDescent="0.3">
      <c r="J130095"/>
    </row>
    <row r="130096" spans="10:10" x14ac:dyDescent="0.3">
      <c r="J130096"/>
    </row>
    <row r="130097" spans="10:10" x14ac:dyDescent="0.3">
      <c r="J130097"/>
    </row>
    <row r="130098" spans="10:10" x14ac:dyDescent="0.3">
      <c r="J130098"/>
    </row>
    <row r="130099" spans="10:10" x14ac:dyDescent="0.3">
      <c r="J130099"/>
    </row>
    <row r="130100" spans="10:10" x14ac:dyDescent="0.3">
      <c r="J130100"/>
    </row>
    <row r="130101" spans="10:10" x14ac:dyDescent="0.3">
      <c r="J130101"/>
    </row>
    <row r="130102" spans="10:10" x14ac:dyDescent="0.3">
      <c r="J130102"/>
    </row>
    <row r="130103" spans="10:10" x14ac:dyDescent="0.3">
      <c r="J130103"/>
    </row>
    <row r="130104" spans="10:10" x14ac:dyDescent="0.3">
      <c r="J130104"/>
    </row>
    <row r="130105" spans="10:10" x14ac:dyDescent="0.3">
      <c r="J130105"/>
    </row>
    <row r="130106" spans="10:10" x14ac:dyDescent="0.3">
      <c r="J130106"/>
    </row>
    <row r="130107" spans="10:10" x14ac:dyDescent="0.3">
      <c r="J130107"/>
    </row>
    <row r="130108" spans="10:10" x14ac:dyDescent="0.3">
      <c r="J130108"/>
    </row>
    <row r="130109" spans="10:10" x14ac:dyDescent="0.3">
      <c r="J130109"/>
    </row>
    <row r="130110" spans="10:10" x14ac:dyDescent="0.3">
      <c r="J130110"/>
    </row>
    <row r="130111" spans="10:10" x14ac:dyDescent="0.3">
      <c r="J130111"/>
    </row>
    <row r="130112" spans="10:10" x14ac:dyDescent="0.3">
      <c r="J130112"/>
    </row>
    <row r="130113" spans="10:10" x14ac:dyDescent="0.3">
      <c r="J130113"/>
    </row>
    <row r="130114" spans="10:10" x14ac:dyDescent="0.3">
      <c r="J130114"/>
    </row>
    <row r="130115" spans="10:10" x14ac:dyDescent="0.3">
      <c r="J130115"/>
    </row>
    <row r="130116" spans="10:10" x14ac:dyDescent="0.3">
      <c r="J130116"/>
    </row>
    <row r="130117" spans="10:10" x14ac:dyDescent="0.3">
      <c r="J130117"/>
    </row>
    <row r="130118" spans="10:10" x14ac:dyDescent="0.3">
      <c r="J130118"/>
    </row>
    <row r="130119" spans="10:10" x14ac:dyDescent="0.3">
      <c r="J130119"/>
    </row>
    <row r="130120" spans="10:10" x14ac:dyDescent="0.3">
      <c r="J130120"/>
    </row>
    <row r="130121" spans="10:10" x14ac:dyDescent="0.3">
      <c r="J130121"/>
    </row>
    <row r="130122" spans="10:10" x14ac:dyDescent="0.3">
      <c r="J130122"/>
    </row>
    <row r="130123" spans="10:10" x14ac:dyDescent="0.3">
      <c r="J130123"/>
    </row>
    <row r="130124" spans="10:10" x14ac:dyDescent="0.3">
      <c r="J130124"/>
    </row>
    <row r="130125" spans="10:10" x14ac:dyDescent="0.3">
      <c r="J130125"/>
    </row>
    <row r="130126" spans="10:10" x14ac:dyDescent="0.3">
      <c r="J130126"/>
    </row>
    <row r="130127" spans="10:10" x14ac:dyDescent="0.3">
      <c r="J130127"/>
    </row>
    <row r="130128" spans="10:10" x14ac:dyDescent="0.3">
      <c r="J130128"/>
    </row>
    <row r="130129" spans="10:10" x14ac:dyDescent="0.3">
      <c r="J130129"/>
    </row>
    <row r="130130" spans="10:10" x14ac:dyDescent="0.3">
      <c r="J130130"/>
    </row>
    <row r="130131" spans="10:10" x14ac:dyDescent="0.3">
      <c r="J130131"/>
    </row>
    <row r="130132" spans="10:10" x14ac:dyDescent="0.3">
      <c r="J130132"/>
    </row>
    <row r="130133" spans="10:10" x14ac:dyDescent="0.3">
      <c r="J130133"/>
    </row>
    <row r="130134" spans="10:10" x14ac:dyDescent="0.3">
      <c r="J130134"/>
    </row>
    <row r="130135" spans="10:10" x14ac:dyDescent="0.3">
      <c r="J130135"/>
    </row>
    <row r="130136" spans="10:10" x14ac:dyDescent="0.3">
      <c r="J130136"/>
    </row>
    <row r="130137" spans="10:10" x14ac:dyDescent="0.3">
      <c r="J130137"/>
    </row>
    <row r="130138" spans="10:10" x14ac:dyDescent="0.3">
      <c r="J130138"/>
    </row>
    <row r="130139" spans="10:10" x14ac:dyDescent="0.3">
      <c r="J130139"/>
    </row>
    <row r="130140" spans="10:10" x14ac:dyDescent="0.3">
      <c r="J130140"/>
    </row>
    <row r="130141" spans="10:10" x14ac:dyDescent="0.3">
      <c r="J130141"/>
    </row>
    <row r="130142" spans="10:10" x14ac:dyDescent="0.3">
      <c r="J130142"/>
    </row>
    <row r="130143" spans="10:10" x14ac:dyDescent="0.3">
      <c r="J130143"/>
    </row>
    <row r="130144" spans="10:10" x14ac:dyDescent="0.3">
      <c r="J130144"/>
    </row>
    <row r="130145" spans="10:10" x14ac:dyDescent="0.3">
      <c r="J130145"/>
    </row>
    <row r="130146" spans="10:10" x14ac:dyDescent="0.3">
      <c r="J130146"/>
    </row>
    <row r="130147" spans="10:10" x14ac:dyDescent="0.3">
      <c r="J130147"/>
    </row>
    <row r="130148" spans="10:10" x14ac:dyDescent="0.3">
      <c r="J130148"/>
    </row>
    <row r="130149" spans="10:10" x14ac:dyDescent="0.3">
      <c r="J130149"/>
    </row>
    <row r="130150" spans="10:10" x14ac:dyDescent="0.3">
      <c r="J130150"/>
    </row>
    <row r="130151" spans="10:10" x14ac:dyDescent="0.3">
      <c r="J130151"/>
    </row>
    <row r="130152" spans="10:10" x14ac:dyDescent="0.3">
      <c r="J130152"/>
    </row>
    <row r="130153" spans="10:10" x14ac:dyDescent="0.3">
      <c r="J130153"/>
    </row>
    <row r="130154" spans="10:10" x14ac:dyDescent="0.3">
      <c r="J130154"/>
    </row>
    <row r="130155" spans="10:10" x14ac:dyDescent="0.3">
      <c r="J130155"/>
    </row>
    <row r="130156" spans="10:10" x14ac:dyDescent="0.3">
      <c r="J130156"/>
    </row>
    <row r="130157" spans="10:10" x14ac:dyDescent="0.3">
      <c r="J130157"/>
    </row>
    <row r="130158" spans="10:10" x14ac:dyDescent="0.3">
      <c r="J130158"/>
    </row>
    <row r="130159" spans="10:10" x14ac:dyDescent="0.3">
      <c r="J130159"/>
    </row>
    <row r="130160" spans="10:10" x14ac:dyDescent="0.3">
      <c r="J130160"/>
    </row>
    <row r="130161" spans="10:10" x14ac:dyDescent="0.3">
      <c r="J130161"/>
    </row>
    <row r="130162" spans="10:10" x14ac:dyDescent="0.3">
      <c r="J130162"/>
    </row>
    <row r="130163" spans="10:10" x14ac:dyDescent="0.3">
      <c r="J130163"/>
    </row>
    <row r="130164" spans="10:10" x14ac:dyDescent="0.3">
      <c r="J130164"/>
    </row>
    <row r="130165" spans="10:10" x14ac:dyDescent="0.3">
      <c r="J130165"/>
    </row>
    <row r="130166" spans="10:10" x14ac:dyDescent="0.3">
      <c r="J130166"/>
    </row>
    <row r="130167" spans="10:10" x14ac:dyDescent="0.3">
      <c r="J130167"/>
    </row>
    <row r="130168" spans="10:10" x14ac:dyDescent="0.3">
      <c r="J130168"/>
    </row>
    <row r="130169" spans="10:10" x14ac:dyDescent="0.3">
      <c r="J130169"/>
    </row>
    <row r="130170" spans="10:10" x14ac:dyDescent="0.3">
      <c r="J130170"/>
    </row>
    <row r="130171" spans="10:10" x14ac:dyDescent="0.3">
      <c r="J130171"/>
    </row>
    <row r="130172" spans="10:10" x14ac:dyDescent="0.3">
      <c r="J130172"/>
    </row>
    <row r="130173" spans="10:10" x14ac:dyDescent="0.3">
      <c r="J130173"/>
    </row>
    <row r="130174" spans="10:10" x14ac:dyDescent="0.3">
      <c r="J130174"/>
    </row>
    <row r="130175" spans="10:10" x14ac:dyDescent="0.3">
      <c r="J130175"/>
    </row>
    <row r="130176" spans="10:10" x14ac:dyDescent="0.3">
      <c r="J130176"/>
    </row>
    <row r="130177" spans="10:10" x14ac:dyDescent="0.3">
      <c r="J130177"/>
    </row>
    <row r="130178" spans="10:10" x14ac:dyDescent="0.3">
      <c r="J130178"/>
    </row>
    <row r="130179" spans="10:10" x14ac:dyDescent="0.3">
      <c r="J130179"/>
    </row>
    <row r="130180" spans="10:10" x14ac:dyDescent="0.3">
      <c r="J130180"/>
    </row>
    <row r="130181" spans="10:10" x14ac:dyDescent="0.3">
      <c r="J130181"/>
    </row>
    <row r="130182" spans="10:10" x14ac:dyDescent="0.3">
      <c r="J130182"/>
    </row>
    <row r="130183" spans="10:10" x14ac:dyDescent="0.3">
      <c r="J130183"/>
    </row>
    <row r="130184" spans="10:10" x14ac:dyDescent="0.3">
      <c r="J130184"/>
    </row>
    <row r="130185" spans="10:10" x14ac:dyDescent="0.3">
      <c r="J130185"/>
    </row>
    <row r="130186" spans="10:10" x14ac:dyDescent="0.3">
      <c r="J130186"/>
    </row>
    <row r="130187" spans="10:10" x14ac:dyDescent="0.3">
      <c r="J130187"/>
    </row>
    <row r="130188" spans="10:10" x14ac:dyDescent="0.3">
      <c r="J130188"/>
    </row>
    <row r="130189" spans="10:10" x14ac:dyDescent="0.3">
      <c r="J130189"/>
    </row>
    <row r="130190" spans="10:10" x14ac:dyDescent="0.3">
      <c r="J130190"/>
    </row>
    <row r="130191" spans="10:10" x14ac:dyDescent="0.3">
      <c r="J130191"/>
    </row>
    <row r="130192" spans="10:10" x14ac:dyDescent="0.3">
      <c r="J130192"/>
    </row>
    <row r="130193" spans="10:10" x14ac:dyDescent="0.3">
      <c r="J130193"/>
    </row>
    <row r="130194" spans="10:10" x14ac:dyDescent="0.3">
      <c r="J130194"/>
    </row>
    <row r="130195" spans="10:10" x14ac:dyDescent="0.3">
      <c r="J130195"/>
    </row>
    <row r="130196" spans="10:10" x14ac:dyDescent="0.3">
      <c r="J130196"/>
    </row>
    <row r="130197" spans="10:10" x14ac:dyDescent="0.3">
      <c r="J130197"/>
    </row>
    <row r="130198" spans="10:10" x14ac:dyDescent="0.3">
      <c r="J130198"/>
    </row>
    <row r="130199" spans="10:10" x14ac:dyDescent="0.3">
      <c r="J130199"/>
    </row>
    <row r="130200" spans="10:10" x14ac:dyDescent="0.3">
      <c r="J130200"/>
    </row>
    <row r="130201" spans="10:10" x14ac:dyDescent="0.3">
      <c r="J130201"/>
    </row>
    <row r="130202" spans="10:10" x14ac:dyDescent="0.3">
      <c r="J130202"/>
    </row>
    <row r="130203" spans="10:10" x14ac:dyDescent="0.3">
      <c r="J130203"/>
    </row>
    <row r="130204" spans="10:10" x14ac:dyDescent="0.3">
      <c r="J130204"/>
    </row>
    <row r="130205" spans="10:10" x14ac:dyDescent="0.3">
      <c r="J130205"/>
    </row>
    <row r="130206" spans="10:10" x14ac:dyDescent="0.3">
      <c r="J130206"/>
    </row>
    <row r="130207" spans="10:10" x14ac:dyDescent="0.3">
      <c r="J130207"/>
    </row>
    <row r="130208" spans="10:10" x14ac:dyDescent="0.3">
      <c r="J130208"/>
    </row>
    <row r="130209" spans="10:10" x14ac:dyDescent="0.3">
      <c r="J130209"/>
    </row>
    <row r="130210" spans="10:10" x14ac:dyDescent="0.3">
      <c r="J130210"/>
    </row>
    <row r="130211" spans="10:10" x14ac:dyDescent="0.3">
      <c r="J130211"/>
    </row>
    <row r="130212" spans="10:10" x14ac:dyDescent="0.3">
      <c r="J130212"/>
    </row>
    <row r="130213" spans="10:10" x14ac:dyDescent="0.3">
      <c r="J130213"/>
    </row>
    <row r="130214" spans="10:10" x14ac:dyDescent="0.3">
      <c r="J130214"/>
    </row>
    <row r="130215" spans="10:10" x14ac:dyDescent="0.3">
      <c r="J130215"/>
    </row>
    <row r="130216" spans="10:10" x14ac:dyDescent="0.3">
      <c r="J130216"/>
    </row>
    <row r="130217" spans="10:10" x14ac:dyDescent="0.3">
      <c r="J130217"/>
    </row>
    <row r="130218" spans="10:10" x14ac:dyDescent="0.3">
      <c r="J130218"/>
    </row>
    <row r="130219" spans="10:10" x14ac:dyDescent="0.3">
      <c r="J130219"/>
    </row>
    <row r="130220" spans="10:10" x14ac:dyDescent="0.3">
      <c r="J130220"/>
    </row>
    <row r="130221" spans="10:10" x14ac:dyDescent="0.3">
      <c r="J130221"/>
    </row>
    <row r="130222" spans="10:10" x14ac:dyDescent="0.3">
      <c r="J130222"/>
    </row>
    <row r="130223" spans="10:10" x14ac:dyDescent="0.3">
      <c r="J130223"/>
    </row>
    <row r="130224" spans="10:10" x14ac:dyDescent="0.3">
      <c r="J130224"/>
    </row>
    <row r="130225" spans="10:10" x14ac:dyDescent="0.3">
      <c r="J130225"/>
    </row>
    <row r="130226" spans="10:10" x14ac:dyDescent="0.3">
      <c r="J130226"/>
    </row>
    <row r="130227" spans="10:10" x14ac:dyDescent="0.3">
      <c r="J130227"/>
    </row>
    <row r="130228" spans="10:10" x14ac:dyDescent="0.3">
      <c r="J130228"/>
    </row>
    <row r="130229" spans="10:10" x14ac:dyDescent="0.3">
      <c r="J130229"/>
    </row>
    <row r="130230" spans="10:10" x14ac:dyDescent="0.3">
      <c r="J130230"/>
    </row>
    <row r="130231" spans="10:10" x14ac:dyDescent="0.3">
      <c r="J130231"/>
    </row>
    <row r="130232" spans="10:10" x14ac:dyDescent="0.3">
      <c r="J130232"/>
    </row>
    <row r="130233" spans="10:10" x14ac:dyDescent="0.3">
      <c r="J130233"/>
    </row>
    <row r="130234" spans="10:10" x14ac:dyDescent="0.3">
      <c r="J130234"/>
    </row>
    <row r="130235" spans="10:10" x14ac:dyDescent="0.3">
      <c r="J130235"/>
    </row>
    <row r="130236" spans="10:10" x14ac:dyDescent="0.3">
      <c r="J130236"/>
    </row>
    <row r="130237" spans="10:10" x14ac:dyDescent="0.3">
      <c r="J130237"/>
    </row>
    <row r="130238" spans="10:10" x14ac:dyDescent="0.3">
      <c r="J130238"/>
    </row>
    <row r="130239" spans="10:10" x14ac:dyDescent="0.3">
      <c r="J130239"/>
    </row>
    <row r="130240" spans="10:10" x14ac:dyDescent="0.3">
      <c r="J130240"/>
    </row>
    <row r="130241" spans="10:10" x14ac:dyDescent="0.3">
      <c r="J130241"/>
    </row>
    <row r="130242" spans="10:10" x14ac:dyDescent="0.3">
      <c r="J130242"/>
    </row>
    <row r="130243" spans="10:10" x14ac:dyDescent="0.3">
      <c r="J130243"/>
    </row>
    <row r="130244" spans="10:10" x14ac:dyDescent="0.3">
      <c r="J130244"/>
    </row>
    <row r="130245" spans="10:10" x14ac:dyDescent="0.3">
      <c r="J130245"/>
    </row>
    <row r="130246" spans="10:10" x14ac:dyDescent="0.3">
      <c r="J130246"/>
    </row>
    <row r="130247" spans="10:10" x14ac:dyDescent="0.3">
      <c r="J130247"/>
    </row>
    <row r="130248" spans="10:10" x14ac:dyDescent="0.3">
      <c r="J130248"/>
    </row>
    <row r="130249" spans="10:10" x14ac:dyDescent="0.3">
      <c r="J130249"/>
    </row>
    <row r="130250" spans="10:10" x14ac:dyDescent="0.3">
      <c r="J130250"/>
    </row>
    <row r="130251" spans="10:10" x14ac:dyDescent="0.3">
      <c r="J130251"/>
    </row>
    <row r="130252" spans="10:10" x14ac:dyDescent="0.3">
      <c r="J130252"/>
    </row>
    <row r="130253" spans="10:10" x14ac:dyDescent="0.3">
      <c r="J130253"/>
    </row>
    <row r="130254" spans="10:10" x14ac:dyDescent="0.3">
      <c r="J130254"/>
    </row>
    <row r="130255" spans="10:10" x14ac:dyDescent="0.3">
      <c r="J130255"/>
    </row>
    <row r="130256" spans="10:10" x14ac:dyDescent="0.3">
      <c r="J130256"/>
    </row>
    <row r="130257" spans="10:10" x14ac:dyDescent="0.3">
      <c r="J130257"/>
    </row>
    <row r="130258" spans="10:10" x14ac:dyDescent="0.3">
      <c r="J130258"/>
    </row>
    <row r="130259" spans="10:10" x14ac:dyDescent="0.3">
      <c r="J130259"/>
    </row>
    <row r="130260" spans="10:10" x14ac:dyDescent="0.3">
      <c r="J130260"/>
    </row>
    <row r="130261" spans="10:10" x14ac:dyDescent="0.3">
      <c r="J130261"/>
    </row>
    <row r="130262" spans="10:10" x14ac:dyDescent="0.3">
      <c r="J130262"/>
    </row>
    <row r="130263" spans="10:10" x14ac:dyDescent="0.3">
      <c r="J130263"/>
    </row>
    <row r="130264" spans="10:10" x14ac:dyDescent="0.3">
      <c r="J130264"/>
    </row>
    <row r="130265" spans="10:10" x14ac:dyDescent="0.3">
      <c r="J130265"/>
    </row>
    <row r="130266" spans="10:10" x14ac:dyDescent="0.3">
      <c r="J130266"/>
    </row>
    <row r="130267" spans="10:10" x14ac:dyDescent="0.3">
      <c r="J130267"/>
    </row>
    <row r="130268" spans="10:10" x14ac:dyDescent="0.3">
      <c r="J130268"/>
    </row>
    <row r="130269" spans="10:10" x14ac:dyDescent="0.3">
      <c r="J130269"/>
    </row>
    <row r="130270" spans="10:10" x14ac:dyDescent="0.3">
      <c r="J130270"/>
    </row>
    <row r="130271" spans="10:10" x14ac:dyDescent="0.3">
      <c r="J130271"/>
    </row>
    <row r="130272" spans="10:10" x14ac:dyDescent="0.3">
      <c r="J130272"/>
    </row>
    <row r="130273" spans="10:10" x14ac:dyDescent="0.3">
      <c r="J130273"/>
    </row>
    <row r="130274" spans="10:10" x14ac:dyDescent="0.3">
      <c r="J130274"/>
    </row>
    <row r="130275" spans="10:10" x14ac:dyDescent="0.3">
      <c r="J130275"/>
    </row>
    <row r="130276" spans="10:10" x14ac:dyDescent="0.3">
      <c r="J130276"/>
    </row>
    <row r="130277" spans="10:10" x14ac:dyDescent="0.3">
      <c r="J130277"/>
    </row>
    <row r="130278" spans="10:10" x14ac:dyDescent="0.3">
      <c r="J130278"/>
    </row>
    <row r="130279" spans="10:10" x14ac:dyDescent="0.3">
      <c r="J130279"/>
    </row>
    <row r="130280" spans="10:10" x14ac:dyDescent="0.3">
      <c r="J130280"/>
    </row>
    <row r="130281" spans="10:10" x14ac:dyDescent="0.3">
      <c r="J130281"/>
    </row>
    <row r="130282" spans="10:10" x14ac:dyDescent="0.3">
      <c r="J130282"/>
    </row>
    <row r="130283" spans="10:10" x14ac:dyDescent="0.3">
      <c r="J130283"/>
    </row>
    <row r="130284" spans="10:10" x14ac:dyDescent="0.3">
      <c r="J130284"/>
    </row>
    <row r="130285" spans="10:10" x14ac:dyDescent="0.3">
      <c r="J130285"/>
    </row>
    <row r="130286" spans="10:10" x14ac:dyDescent="0.3">
      <c r="J130286"/>
    </row>
    <row r="130287" spans="10:10" x14ac:dyDescent="0.3">
      <c r="J130287"/>
    </row>
    <row r="130288" spans="10:10" x14ac:dyDescent="0.3">
      <c r="J130288"/>
    </row>
    <row r="130289" spans="10:10" x14ac:dyDescent="0.3">
      <c r="J130289"/>
    </row>
    <row r="130290" spans="10:10" x14ac:dyDescent="0.3">
      <c r="J130290"/>
    </row>
    <row r="130291" spans="10:10" x14ac:dyDescent="0.3">
      <c r="J130291"/>
    </row>
    <row r="130292" spans="10:10" x14ac:dyDescent="0.3">
      <c r="J130292"/>
    </row>
    <row r="130293" spans="10:10" x14ac:dyDescent="0.3">
      <c r="J130293"/>
    </row>
    <row r="130294" spans="10:10" x14ac:dyDescent="0.3">
      <c r="J130294"/>
    </row>
    <row r="130295" spans="10:10" x14ac:dyDescent="0.3">
      <c r="J130295"/>
    </row>
    <row r="130296" spans="10:10" x14ac:dyDescent="0.3">
      <c r="J130296"/>
    </row>
    <row r="130297" spans="10:10" x14ac:dyDescent="0.3">
      <c r="J130297"/>
    </row>
    <row r="130298" spans="10:10" x14ac:dyDescent="0.3">
      <c r="J130298"/>
    </row>
    <row r="130299" spans="10:10" x14ac:dyDescent="0.3">
      <c r="J130299"/>
    </row>
    <row r="130300" spans="10:10" x14ac:dyDescent="0.3">
      <c r="J130300"/>
    </row>
    <row r="130301" spans="10:10" x14ac:dyDescent="0.3">
      <c r="J130301"/>
    </row>
    <row r="130302" spans="10:10" x14ac:dyDescent="0.3">
      <c r="J130302"/>
    </row>
    <row r="130303" spans="10:10" x14ac:dyDescent="0.3">
      <c r="J130303"/>
    </row>
    <row r="130304" spans="10:10" x14ac:dyDescent="0.3">
      <c r="J130304"/>
    </row>
    <row r="130305" spans="10:10" x14ac:dyDescent="0.3">
      <c r="J130305"/>
    </row>
    <row r="130306" spans="10:10" x14ac:dyDescent="0.3">
      <c r="J130306"/>
    </row>
    <row r="130307" spans="10:10" x14ac:dyDescent="0.3">
      <c r="J130307"/>
    </row>
    <row r="130308" spans="10:10" x14ac:dyDescent="0.3">
      <c r="J130308"/>
    </row>
    <row r="130309" spans="10:10" x14ac:dyDescent="0.3">
      <c r="J130309"/>
    </row>
    <row r="130310" spans="10:10" x14ac:dyDescent="0.3">
      <c r="J130310"/>
    </row>
    <row r="130311" spans="10:10" x14ac:dyDescent="0.3">
      <c r="J130311"/>
    </row>
    <row r="130312" spans="10:10" x14ac:dyDescent="0.3">
      <c r="J130312"/>
    </row>
    <row r="130313" spans="10:10" x14ac:dyDescent="0.3">
      <c r="J130313"/>
    </row>
    <row r="130314" spans="10:10" x14ac:dyDescent="0.3">
      <c r="J130314"/>
    </row>
    <row r="130315" spans="10:10" x14ac:dyDescent="0.3">
      <c r="J130315"/>
    </row>
    <row r="130316" spans="10:10" x14ac:dyDescent="0.3">
      <c r="J130316"/>
    </row>
    <row r="130317" spans="10:10" x14ac:dyDescent="0.3">
      <c r="J130317"/>
    </row>
    <row r="130318" spans="10:10" x14ac:dyDescent="0.3">
      <c r="J130318"/>
    </row>
    <row r="130319" spans="10:10" x14ac:dyDescent="0.3">
      <c r="J130319"/>
    </row>
    <row r="130320" spans="10:10" x14ac:dyDescent="0.3">
      <c r="J130320"/>
    </row>
    <row r="130321" spans="10:10" x14ac:dyDescent="0.3">
      <c r="J130321"/>
    </row>
    <row r="130322" spans="10:10" x14ac:dyDescent="0.3">
      <c r="J130322"/>
    </row>
    <row r="130323" spans="10:10" x14ac:dyDescent="0.3">
      <c r="J130323"/>
    </row>
    <row r="130324" spans="10:10" x14ac:dyDescent="0.3">
      <c r="J130324"/>
    </row>
    <row r="130325" spans="10:10" x14ac:dyDescent="0.3">
      <c r="J130325"/>
    </row>
    <row r="130326" spans="10:10" x14ac:dyDescent="0.3">
      <c r="J130326"/>
    </row>
    <row r="130327" spans="10:10" x14ac:dyDescent="0.3">
      <c r="J130327"/>
    </row>
    <row r="130328" spans="10:10" x14ac:dyDescent="0.3">
      <c r="J130328"/>
    </row>
    <row r="130329" spans="10:10" x14ac:dyDescent="0.3">
      <c r="J130329"/>
    </row>
    <row r="130330" spans="10:10" x14ac:dyDescent="0.3">
      <c r="J130330"/>
    </row>
    <row r="130331" spans="10:10" x14ac:dyDescent="0.3">
      <c r="J130331"/>
    </row>
    <row r="130332" spans="10:10" x14ac:dyDescent="0.3">
      <c r="J130332"/>
    </row>
    <row r="130333" spans="10:10" x14ac:dyDescent="0.3">
      <c r="J130333"/>
    </row>
    <row r="130334" spans="10:10" x14ac:dyDescent="0.3">
      <c r="J130334"/>
    </row>
    <row r="130335" spans="10:10" x14ac:dyDescent="0.3">
      <c r="J130335"/>
    </row>
    <row r="130336" spans="10:10" x14ac:dyDescent="0.3">
      <c r="J130336"/>
    </row>
    <row r="130337" spans="10:10" x14ac:dyDescent="0.3">
      <c r="J130337"/>
    </row>
    <row r="130338" spans="10:10" x14ac:dyDescent="0.3">
      <c r="J130338"/>
    </row>
    <row r="130339" spans="10:10" x14ac:dyDescent="0.3">
      <c r="J130339"/>
    </row>
    <row r="130340" spans="10:10" x14ac:dyDescent="0.3">
      <c r="J130340"/>
    </row>
    <row r="130341" spans="10:10" x14ac:dyDescent="0.3">
      <c r="J130341"/>
    </row>
    <row r="130342" spans="10:10" x14ac:dyDescent="0.3">
      <c r="J130342"/>
    </row>
    <row r="130343" spans="10:10" x14ac:dyDescent="0.3">
      <c r="J130343"/>
    </row>
    <row r="130344" spans="10:10" x14ac:dyDescent="0.3">
      <c r="J130344"/>
    </row>
    <row r="130345" spans="10:10" x14ac:dyDescent="0.3">
      <c r="J130345"/>
    </row>
    <row r="130346" spans="10:10" x14ac:dyDescent="0.3">
      <c r="J130346"/>
    </row>
    <row r="130347" spans="10:10" x14ac:dyDescent="0.3">
      <c r="J130347"/>
    </row>
    <row r="130348" spans="10:10" x14ac:dyDescent="0.3">
      <c r="J130348"/>
    </row>
    <row r="130349" spans="10:10" x14ac:dyDescent="0.3">
      <c r="J130349"/>
    </row>
    <row r="130350" spans="10:10" x14ac:dyDescent="0.3">
      <c r="J130350"/>
    </row>
    <row r="130351" spans="10:10" x14ac:dyDescent="0.3">
      <c r="J130351"/>
    </row>
    <row r="130352" spans="10:10" x14ac:dyDescent="0.3">
      <c r="J130352"/>
    </row>
    <row r="130353" spans="10:10" x14ac:dyDescent="0.3">
      <c r="J130353"/>
    </row>
    <row r="130354" spans="10:10" x14ac:dyDescent="0.3">
      <c r="J130354"/>
    </row>
    <row r="130355" spans="10:10" x14ac:dyDescent="0.3">
      <c r="J130355"/>
    </row>
    <row r="130356" spans="10:10" x14ac:dyDescent="0.3">
      <c r="J130356"/>
    </row>
    <row r="130357" spans="10:10" x14ac:dyDescent="0.3">
      <c r="J130357"/>
    </row>
    <row r="130358" spans="10:10" x14ac:dyDescent="0.3">
      <c r="J130358"/>
    </row>
    <row r="130359" spans="10:10" x14ac:dyDescent="0.3">
      <c r="J130359"/>
    </row>
    <row r="130360" spans="10:10" x14ac:dyDescent="0.3">
      <c r="J130360"/>
    </row>
    <row r="130361" spans="10:10" x14ac:dyDescent="0.3">
      <c r="J130361"/>
    </row>
    <row r="130362" spans="10:10" x14ac:dyDescent="0.3">
      <c r="J130362"/>
    </row>
    <row r="130363" spans="10:10" x14ac:dyDescent="0.3">
      <c r="J130363"/>
    </row>
    <row r="130364" spans="10:10" x14ac:dyDescent="0.3">
      <c r="J130364"/>
    </row>
    <row r="130365" spans="10:10" x14ac:dyDescent="0.3">
      <c r="J130365"/>
    </row>
    <row r="130366" spans="10:10" x14ac:dyDescent="0.3">
      <c r="J130366"/>
    </row>
    <row r="130367" spans="10:10" x14ac:dyDescent="0.3">
      <c r="J130367"/>
    </row>
    <row r="130368" spans="10:10" x14ac:dyDescent="0.3">
      <c r="J130368"/>
    </row>
    <row r="130369" spans="10:10" x14ac:dyDescent="0.3">
      <c r="J130369"/>
    </row>
    <row r="130370" spans="10:10" x14ac:dyDescent="0.3">
      <c r="J130370"/>
    </row>
    <row r="130371" spans="10:10" x14ac:dyDescent="0.3">
      <c r="J130371"/>
    </row>
    <row r="130372" spans="10:10" x14ac:dyDescent="0.3">
      <c r="J130372"/>
    </row>
    <row r="130373" spans="10:10" x14ac:dyDescent="0.3">
      <c r="J130373"/>
    </row>
    <row r="130374" spans="10:10" x14ac:dyDescent="0.3">
      <c r="J130374"/>
    </row>
    <row r="130375" spans="10:10" x14ac:dyDescent="0.3">
      <c r="J130375"/>
    </row>
    <row r="130376" spans="10:10" x14ac:dyDescent="0.3">
      <c r="J130376"/>
    </row>
    <row r="130377" spans="10:10" x14ac:dyDescent="0.3">
      <c r="J130377"/>
    </row>
    <row r="130378" spans="10:10" x14ac:dyDescent="0.3">
      <c r="J130378"/>
    </row>
    <row r="130379" spans="10:10" x14ac:dyDescent="0.3">
      <c r="J130379"/>
    </row>
    <row r="130380" spans="10:10" x14ac:dyDescent="0.3">
      <c r="J130380"/>
    </row>
    <row r="130381" spans="10:10" x14ac:dyDescent="0.3">
      <c r="J130381"/>
    </row>
    <row r="130382" spans="10:10" x14ac:dyDescent="0.3">
      <c r="J130382"/>
    </row>
    <row r="130383" spans="10:10" x14ac:dyDescent="0.3">
      <c r="J130383"/>
    </row>
    <row r="130384" spans="10:10" x14ac:dyDescent="0.3">
      <c r="J130384"/>
    </row>
    <row r="130385" spans="10:10" x14ac:dyDescent="0.3">
      <c r="J130385"/>
    </row>
    <row r="130386" spans="10:10" x14ac:dyDescent="0.3">
      <c r="J130386"/>
    </row>
    <row r="130387" spans="10:10" x14ac:dyDescent="0.3">
      <c r="J130387"/>
    </row>
    <row r="130388" spans="10:10" x14ac:dyDescent="0.3">
      <c r="J130388"/>
    </row>
    <row r="130389" spans="10:10" x14ac:dyDescent="0.3">
      <c r="J130389"/>
    </row>
    <row r="130390" spans="10:10" x14ac:dyDescent="0.3">
      <c r="J130390"/>
    </row>
    <row r="130391" spans="10:10" x14ac:dyDescent="0.3">
      <c r="J130391"/>
    </row>
    <row r="130392" spans="10:10" x14ac:dyDescent="0.3">
      <c r="J130392"/>
    </row>
    <row r="130393" spans="10:10" x14ac:dyDescent="0.3">
      <c r="J130393"/>
    </row>
    <row r="130394" spans="10:10" x14ac:dyDescent="0.3">
      <c r="J130394"/>
    </row>
    <row r="130395" spans="10:10" x14ac:dyDescent="0.3">
      <c r="J130395"/>
    </row>
    <row r="130396" spans="10:10" x14ac:dyDescent="0.3">
      <c r="J130396"/>
    </row>
    <row r="130397" spans="10:10" x14ac:dyDescent="0.3">
      <c r="J130397"/>
    </row>
    <row r="130398" spans="10:10" x14ac:dyDescent="0.3">
      <c r="J130398"/>
    </row>
    <row r="130399" spans="10:10" x14ac:dyDescent="0.3">
      <c r="J130399"/>
    </row>
    <row r="130400" spans="10:10" x14ac:dyDescent="0.3">
      <c r="J130400"/>
    </row>
    <row r="130401" spans="10:10" x14ac:dyDescent="0.3">
      <c r="J130401"/>
    </row>
    <row r="130402" spans="10:10" x14ac:dyDescent="0.3">
      <c r="J130402"/>
    </row>
    <row r="130403" spans="10:10" x14ac:dyDescent="0.3">
      <c r="J130403"/>
    </row>
    <row r="130404" spans="10:10" x14ac:dyDescent="0.3">
      <c r="J130404"/>
    </row>
    <row r="130405" spans="10:10" x14ac:dyDescent="0.3">
      <c r="J130405"/>
    </row>
    <row r="130406" spans="10:10" x14ac:dyDescent="0.3">
      <c r="J130406"/>
    </row>
    <row r="130407" spans="10:10" x14ac:dyDescent="0.3">
      <c r="J130407"/>
    </row>
    <row r="130408" spans="10:10" x14ac:dyDescent="0.3">
      <c r="J130408"/>
    </row>
    <row r="130409" spans="10:10" x14ac:dyDescent="0.3">
      <c r="J130409"/>
    </row>
    <row r="130410" spans="10:10" x14ac:dyDescent="0.3">
      <c r="J130410"/>
    </row>
    <row r="130411" spans="10:10" x14ac:dyDescent="0.3">
      <c r="J130411"/>
    </row>
    <row r="130412" spans="10:10" x14ac:dyDescent="0.3">
      <c r="J130412"/>
    </row>
    <row r="130413" spans="10:10" x14ac:dyDescent="0.3">
      <c r="J130413"/>
    </row>
    <row r="130414" spans="10:10" x14ac:dyDescent="0.3">
      <c r="J130414"/>
    </row>
    <row r="130415" spans="10:10" x14ac:dyDescent="0.3">
      <c r="J130415"/>
    </row>
    <row r="130416" spans="10:10" x14ac:dyDescent="0.3">
      <c r="J130416"/>
    </row>
    <row r="130417" spans="10:10" x14ac:dyDescent="0.3">
      <c r="J130417"/>
    </row>
    <row r="130418" spans="10:10" x14ac:dyDescent="0.3">
      <c r="J130418"/>
    </row>
    <row r="130419" spans="10:10" x14ac:dyDescent="0.3">
      <c r="J130419"/>
    </row>
    <row r="130420" spans="10:10" x14ac:dyDescent="0.3">
      <c r="J130420"/>
    </row>
    <row r="130421" spans="10:10" x14ac:dyDescent="0.3">
      <c r="J130421"/>
    </row>
    <row r="130422" spans="10:10" x14ac:dyDescent="0.3">
      <c r="J130422"/>
    </row>
    <row r="130423" spans="10:10" x14ac:dyDescent="0.3">
      <c r="J130423"/>
    </row>
    <row r="130424" spans="10:10" x14ac:dyDescent="0.3">
      <c r="J130424"/>
    </row>
    <row r="130425" spans="10:10" x14ac:dyDescent="0.3">
      <c r="J130425"/>
    </row>
    <row r="130426" spans="10:10" x14ac:dyDescent="0.3">
      <c r="J130426"/>
    </row>
    <row r="130427" spans="10:10" x14ac:dyDescent="0.3">
      <c r="J130427"/>
    </row>
    <row r="130428" spans="10:10" x14ac:dyDescent="0.3">
      <c r="J130428"/>
    </row>
    <row r="130429" spans="10:10" x14ac:dyDescent="0.3">
      <c r="J130429"/>
    </row>
    <row r="130430" spans="10:10" x14ac:dyDescent="0.3">
      <c r="J130430"/>
    </row>
    <row r="130431" spans="10:10" x14ac:dyDescent="0.3">
      <c r="J130431"/>
    </row>
    <row r="130432" spans="10:10" x14ac:dyDescent="0.3">
      <c r="J130432"/>
    </row>
    <row r="130433" spans="10:10" x14ac:dyDescent="0.3">
      <c r="J130433"/>
    </row>
    <row r="130434" spans="10:10" x14ac:dyDescent="0.3">
      <c r="J130434"/>
    </row>
    <row r="130435" spans="10:10" x14ac:dyDescent="0.3">
      <c r="J130435"/>
    </row>
    <row r="130436" spans="10:10" x14ac:dyDescent="0.3">
      <c r="J130436"/>
    </row>
    <row r="130437" spans="10:10" x14ac:dyDescent="0.3">
      <c r="J130437"/>
    </row>
    <row r="130438" spans="10:10" x14ac:dyDescent="0.3">
      <c r="J130438"/>
    </row>
    <row r="130439" spans="10:10" x14ac:dyDescent="0.3">
      <c r="J130439"/>
    </row>
    <row r="130440" spans="10:10" x14ac:dyDescent="0.3">
      <c r="J130440"/>
    </row>
    <row r="130441" spans="10:10" x14ac:dyDescent="0.3">
      <c r="J130441"/>
    </row>
    <row r="130442" spans="10:10" x14ac:dyDescent="0.3">
      <c r="J130442"/>
    </row>
    <row r="130443" spans="10:10" x14ac:dyDescent="0.3">
      <c r="J130443"/>
    </row>
    <row r="130444" spans="10:10" x14ac:dyDescent="0.3">
      <c r="J130444"/>
    </row>
    <row r="130445" spans="10:10" x14ac:dyDescent="0.3">
      <c r="J130445"/>
    </row>
    <row r="130446" spans="10:10" x14ac:dyDescent="0.3">
      <c r="J130446"/>
    </row>
    <row r="130447" spans="10:10" x14ac:dyDescent="0.3">
      <c r="J130447"/>
    </row>
    <row r="130448" spans="10:10" x14ac:dyDescent="0.3">
      <c r="J130448"/>
    </row>
    <row r="130449" spans="10:10" x14ac:dyDescent="0.3">
      <c r="J130449"/>
    </row>
    <row r="130450" spans="10:10" x14ac:dyDescent="0.3">
      <c r="J130450"/>
    </row>
    <row r="130451" spans="10:10" x14ac:dyDescent="0.3">
      <c r="J130451"/>
    </row>
    <row r="130452" spans="10:10" x14ac:dyDescent="0.3">
      <c r="J130452"/>
    </row>
    <row r="130453" spans="10:10" x14ac:dyDescent="0.3">
      <c r="J130453"/>
    </row>
    <row r="130454" spans="10:10" x14ac:dyDescent="0.3">
      <c r="J130454"/>
    </row>
    <row r="130455" spans="10:10" x14ac:dyDescent="0.3">
      <c r="J130455"/>
    </row>
    <row r="130456" spans="10:10" x14ac:dyDescent="0.3">
      <c r="J130456"/>
    </row>
    <row r="130457" spans="10:10" x14ac:dyDescent="0.3">
      <c r="J130457"/>
    </row>
    <row r="130458" spans="10:10" x14ac:dyDescent="0.3">
      <c r="J130458"/>
    </row>
    <row r="130459" spans="10:10" x14ac:dyDescent="0.3">
      <c r="J130459"/>
    </row>
    <row r="130460" spans="10:10" x14ac:dyDescent="0.3">
      <c r="J130460"/>
    </row>
    <row r="130461" spans="10:10" x14ac:dyDescent="0.3">
      <c r="J130461"/>
    </row>
    <row r="130462" spans="10:10" x14ac:dyDescent="0.3">
      <c r="J130462"/>
    </row>
    <row r="130463" spans="10:10" x14ac:dyDescent="0.3">
      <c r="J130463"/>
    </row>
    <row r="130464" spans="10:10" x14ac:dyDescent="0.3">
      <c r="J130464"/>
    </row>
    <row r="130465" spans="10:10" x14ac:dyDescent="0.3">
      <c r="J130465"/>
    </row>
    <row r="130466" spans="10:10" x14ac:dyDescent="0.3">
      <c r="J130466"/>
    </row>
    <row r="130467" spans="10:10" x14ac:dyDescent="0.3">
      <c r="J130467"/>
    </row>
    <row r="130468" spans="10:10" x14ac:dyDescent="0.3">
      <c r="J130468"/>
    </row>
    <row r="130469" spans="10:10" x14ac:dyDescent="0.3">
      <c r="J130469"/>
    </row>
    <row r="130470" spans="10:10" x14ac:dyDescent="0.3">
      <c r="J130470"/>
    </row>
    <row r="130471" spans="10:10" x14ac:dyDescent="0.3">
      <c r="J130471"/>
    </row>
    <row r="130472" spans="10:10" x14ac:dyDescent="0.3">
      <c r="J130472"/>
    </row>
    <row r="130473" spans="10:10" x14ac:dyDescent="0.3">
      <c r="J130473"/>
    </row>
    <row r="130474" spans="10:10" x14ac:dyDescent="0.3">
      <c r="J130474"/>
    </row>
    <row r="130475" spans="10:10" x14ac:dyDescent="0.3">
      <c r="J130475"/>
    </row>
    <row r="130476" spans="10:10" x14ac:dyDescent="0.3">
      <c r="J130476"/>
    </row>
    <row r="130477" spans="10:10" x14ac:dyDescent="0.3">
      <c r="J130477"/>
    </row>
    <row r="130478" spans="10:10" x14ac:dyDescent="0.3">
      <c r="J130478"/>
    </row>
    <row r="130479" spans="10:10" x14ac:dyDescent="0.3">
      <c r="J130479"/>
    </row>
    <row r="130480" spans="10:10" x14ac:dyDescent="0.3">
      <c r="J130480"/>
    </row>
    <row r="130481" spans="10:10" x14ac:dyDescent="0.3">
      <c r="J130481"/>
    </row>
    <row r="130482" spans="10:10" x14ac:dyDescent="0.3">
      <c r="J130482"/>
    </row>
    <row r="130483" spans="10:10" x14ac:dyDescent="0.3">
      <c r="J130483"/>
    </row>
    <row r="130484" spans="10:10" x14ac:dyDescent="0.3">
      <c r="J130484"/>
    </row>
    <row r="130485" spans="10:10" x14ac:dyDescent="0.3">
      <c r="J130485"/>
    </row>
    <row r="130486" spans="10:10" x14ac:dyDescent="0.3">
      <c r="J130486"/>
    </row>
    <row r="130487" spans="10:10" x14ac:dyDescent="0.3">
      <c r="J130487"/>
    </row>
    <row r="130488" spans="10:10" x14ac:dyDescent="0.3">
      <c r="J130488"/>
    </row>
    <row r="130489" spans="10:10" x14ac:dyDescent="0.3">
      <c r="J130489"/>
    </row>
    <row r="130490" spans="10:10" x14ac:dyDescent="0.3">
      <c r="J130490"/>
    </row>
    <row r="130491" spans="10:10" x14ac:dyDescent="0.3">
      <c r="J130491"/>
    </row>
    <row r="130492" spans="10:10" x14ac:dyDescent="0.3">
      <c r="J130492"/>
    </row>
    <row r="130493" spans="10:10" x14ac:dyDescent="0.3">
      <c r="J130493"/>
    </row>
    <row r="130494" spans="10:10" x14ac:dyDescent="0.3">
      <c r="J130494"/>
    </row>
    <row r="130495" spans="10:10" x14ac:dyDescent="0.3">
      <c r="J130495"/>
    </row>
    <row r="130496" spans="10:10" x14ac:dyDescent="0.3">
      <c r="J130496"/>
    </row>
    <row r="130497" spans="10:10" x14ac:dyDescent="0.3">
      <c r="J130497"/>
    </row>
    <row r="130498" spans="10:10" x14ac:dyDescent="0.3">
      <c r="J130498"/>
    </row>
    <row r="130499" spans="10:10" x14ac:dyDescent="0.3">
      <c r="J130499"/>
    </row>
    <row r="130500" spans="10:10" x14ac:dyDescent="0.3">
      <c r="J130500"/>
    </row>
    <row r="130501" spans="10:10" x14ac:dyDescent="0.3">
      <c r="J130501"/>
    </row>
    <row r="130502" spans="10:10" x14ac:dyDescent="0.3">
      <c r="J130502"/>
    </row>
    <row r="130503" spans="10:10" x14ac:dyDescent="0.3">
      <c r="J130503"/>
    </row>
    <row r="130504" spans="10:10" x14ac:dyDescent="0.3">
      <c r="J130504"/>
    </row>
    <row r="130505" spans="10:10" x14ac:dyDescent="0.3">
      <c r="J130505"/>
    </row>
    <row r="130506" spans="10:10" x14ac:dyDescent="0.3">
      <c r="J130506"/>
    </row>
    <row r="130507" spans="10:10" x14ac:dyDescent="0.3">
      <c r="J130507"/>
    </row>
    <row r="130508" spans="10:10" x14ac:dyDescent="0.3">
      <c r="J130508"/>
    </row>
    <row r="130509" spans="10:10" x14ac:dyDescent="0.3">
      <c r="J130509"/>
    </row>
    <row r="130510" spans="10:10" x14ac:dyDescent="0.3">
      <c r="J130510"/>
    </row>
    <row r="130511" spans="10:10" x14ac:dyDescent="0.3">
      <c r="J130511"/>
    </row>
    <row r="130512" spans="10:10" x14ac:dyDescent="0.3">
      <c r="J130512"/>
    </row>
    <row r="130513" spans="10:10" x14ac:dyDescent="0.3">
      <c r="J130513"/>
    </row>
    <row r="130514" spans="10:10" x14ac:dyDescent="0.3">
      <c r="J130514"/>
    </row>
    <row r="130515" spans="10:10" x14ac:dyDescent="0.3">
      <c r="J130515"/>
    </row>
    <row r="130516" spans="10:10" x14ac:dyDescent="0.3">
      <c r="J130516"/>
    </row>
    <row r="130517" spans="10:10" x14ac:dyDescent="0.3">
      <c r="J130517"/>
    </row>
    <row r="130518" spans="10:10" x14ac:dyDescent="0.3">
      <c r="J130518"/>
    </row>
    <row r="130519" spans="10:10" x14ac:dyDescent="0.3">
      <c r="J130519"/>
    </row>
    <row r="130520" spans="10:10" x14ac:dyDescent="0.3">
      <c r="J130520"/>
    </row>
    <row r="130521" spans="10:10" x14ac:dyDescent="0.3">
      <c r="J130521"/>
    </row>
    <row r="130522" spans="10:10" x14ac:dyDescent="0.3">
      <c r="J130522"/>
    </row>
    <row r="130523" spans="10:10" x14ac:dyDescent="0.3">
      <c r="J130523"/>
    </row>
    <row r="130524" spans="10:10" x14ac:dyDescent="0.3">
      <c r="J130524"/>
    </row>
    <row r="130525" spans="10:10" x14ac:dyDescent="0.3">
      <c r="J130525"/>
    </row>
    <row r="130526" spans="10:10" x14ac:dyDescent="0.3">
      <c r="J130526"/>
    </row>
    <row r="130527" spans="10:10" x14ac:dyDescent="0.3">
      <c r="J130527"/>
    </row>
    <row r="130528" spans="10:10" x14ac:dyDescent="0.3">
      <c r="J130528"/>
    </row>
    <row r="130529" spans="10:10" x14ac:dyDescent="0.3">
      <c r="J130529"/>
    </row>
    <row r="130530" spans="10:10" x14ac:dyDescent="0.3">
      <c r="J130530"/>
    </row>
    <row r="130531" spans="10:10" x14ac:dyDescent="0.3">
      <c r="J130531"/>
    </row>
    <row r="130532" spans="10:10" x14ac:dyDescent="0.3">
      <c r="J130532"/>
    </row>
    <row r="130533" spans="10:10" x14ac:dyDescent="0.3">
      <c r="J130533"/>
    </row>
    <row r="130534" spans="10:10" x14ac:dyDescent="0.3">
      <c r="J130534"/>
    </row>
    <row r="130535" spans="10:10" x14ac:dyDescent="0.3">
      <c r="J130535"/>
    </row>
    <row r="130536" spans="10:10" x14ac:dyDescent="0.3">
      <c r="J130536"/>
    </row>
    <row r="130537" spans="10:10" x14ac:dyDescent="0.3">
      <c r="J130537"/>
    </row>
    <row r="130538" spans="10:10" x14ac:dyDescent="0.3">
      <c r="J130538"/>
    </row>
    <row r="130539" spans="10:10" x14ac:dyDescent="0.3">
      <c r="J130539"/>
    </row>
    <row r="130540" spans="10:10" x14ac:dyDescent="0.3">
      <c r="J130540"/>
    </row>
    <row r="130541" spans="10:10" x14ac:dyDescent="0.3">
      <c r="J130541"/>
    </row>
    <row r="130542" spans="10:10" x14ac:dyDescent="0.3">
      <c r="J130542"/>
    </row>
    <row r="130543" spans="10:10" x14ac:dyDescent="0.3">
      <c r="J130543"/>
    </row>
    <row r="130544" spans="10:10" x14ac:dyDescent="0.3">
      <c r="J130544"/>
    </row>
    <row r="130545" spans="10:10" x14ac:dyDescent="0.3">
      <c r="J130545"/>
    </row>
    <row r="130546" spans="10:10" x14ac:dyDescent="0.3">
      <c r="J130546"/>
    </row>
    <row r="130547" spans="10:10" x14ac:dyDescent="0.3">
      <c r="J130547"/>
    </row>
    <row r="130548" spans="10:10" x14ac:dyDescent="0.3">
      <c r="J130548"/>
    </row>
    <row r="130549" spans="10:10" x14ac:dyDescent="0.3">
      <c r="J130549"/>
    </row>
    <row r="130550" spans="10:10" x14ac:dyDescent="0.3">
      <c r="J130550"/>
    </row>
    <row r="130551" spans="10:10" x14ac:dyDescent="0.3">
      <c r="J130551"/>
    </row>
    <row r="130552" spans="10:10" x14ac:dyDescent="0.3">
      <c r="J130552"/>
    </row>
    <row r="130553" spans="10:10" x14ac:dyDescent="0.3">
      <c r="J130553"/>
    </row>
    <row r="130554" spans="10:10" x14ac:dyDescent="0.3">
      <c r="J130554"/>
    </row>
    <row r="130555" spans="10:10" x14ac:dyDescent="0.3">
      <c r="J130555"/>
    </row>
    <row r="130556" spans="10:10" x14ac:dyDescent="0.3">
      <c r="J130556"/>
    </row>
    <row r="130557" spans="10:10" x14ac:dyDescent="0.3">
      <c r="J130557"/>
    </row>
    <row r="130558" spans="10:10" x14ac:dyDescent="0.3">
      <c r="J130558"/>
    </row>
    <row r="130559" spans="10:10" x14ac:dyDescent="0.3">
      <c r="J130559"/>
    </row>
    <row r="130560" spans="10:10" x14ac:dyDescent="0.3">
      <c r="J130560"/>
    </row>
    <row r="130561" spans="10:10" x14ac:dyDescent="0.3">
      <c r="J130561"/>
    </row>
    <row r="130562" spans="10:10" x14ac:dyDescent="0.3">
      <c r="J130562"/>
    </row>
    <row r="130563" spans="10:10" x14ac:dyDescent="0.3">
      <c r="J130563"/>
    </row>
    <row r="130564" spans="10:10" x14ac:dyDescent="0.3">
      <c r="J130564"/>
    </row>
    <row r="130565" spans="10:10" x14ac:dyDescent="0.3">
      <c r="J130565"/>
    </row>
    <row r="130566" spans="10:10" x14ac:dyDescent="0.3">
      <c r="J130566"/>
    </row>
    <row r="130567" spans="10:10" x14ac:dyDescent="0.3">
      <c r="J130567"/>
    </row>
    <row r="130568" spans="10:10" x14ac:dyDescent="0.3">
      <c r="J130568"/>
    </row>
    <row r="130569" spans="10:10" x14ac:dyDescent="0.3">
      <c r="J130569"/>
    </row>
    <row r="130570" spans="10:10" x14ac:dyDescent="0.3">
      <c r="J130570"/>
    </row>
    <row r="130571" spans="10:10" x14ac:dyDescent="0.3">
      <c r="J130571"/>
    </row>
    <row r="130572" spans="10:10" x14ac:dyDescent="0.3">
      <c r="J130572"/>
    </row>
    <row r="130573" spans="10:10" x14ac:dyDescent="0.3">
      <c r="J130573"/>
    </row>
    <row r="130574" spans="10:10" x14ac:dyDescent="0.3">
      <c r="J130574"/>
    </row>
    <row r="130575" spans="10:10" x14ac:dyDescent="0.3">
      <c r="J130575"/>
    </row>
    <row r="130576" spans="10:10" x14ac:dyDescent="0.3">
      <c r="J130576"/>
    </row>
    <row r="130577" spans="10:10" x14ac:dyDescent="0.3">
      <c r="J130577"/>
    </row>
    <row r="130578" spans="10:10" x14ac:dyDescent="0.3">
      <c r="J130578"/>
    </row>
    <row r="130579" spans="10:10" x14ac:dyDescent="0.3">
      <c r="J130579"/>
    </row>
    <row r="130580" spans="10:10" x14ac:dyDescent="0.3">
      <c r="J130580"/>
    </row>
    <row r="130581" spans="10:10" x14ac:dyDescent="0.3">
      <c r="J130581"/>
    </row>
    <row r="130582" spans="10:10" x14ac:dyDescent="0.3">
      <c r="J130582"/>
    </row>
    <row r="130583" spans="10:10" x14ac:dyDescent="0.3">
      <c r="J130583"/>
    </row>
    <row r="130584" spans="10:10" x14ac:dyDescent="0.3">
      <c r="J130584"/>
    </row>
    <row r="130585" spans="10:10" x14ac:dyDescent="0.3">
      <c r="J130585"/>
    </row>
    <row r="130586" spans="10:10" x14ac:dyDescent="0.3">
      <c r="J130586"/>
    </row>
    <row r="130587" spans="10:10" x14ac:dyDescent="0.3">
      <c r="J130587"/>
    </row>
    <row r="130588" spans="10:10" x14ac:dyDescent="0.3">
      <c r="J130588"/>
    </row>
    <row r="130589" spans="10:10" x14ac:dyDescent="0.3">
      <c r="J130589"/>
    </row>
    <row r="130590" spans="10:10" x14ac:dyDescent="0.3">
      <c r="J130590"/>
    </row>
    <row r="130591" spans="10:10" x14ac:dyDescent="0.3">
      <c r="J130591"/>
    </row>
    <row r="130592" spans="10:10" x14ac:dyDescent="0.3">
      <c r="J130592"/>
    </row>
    <row r="130593" spans="10:10" x14ac:dyDescent="0.3">
      <c r="J130593"/>
    </row>
    <row r="130594" spans="10:10" x14ac:dyDescent="0.3">
      <c r="J130594"/>
    </row>
    <row r="130595" spans="10:10" x14ac:dyDescent="0.3">
      <c r="J130595"/>
    </row>
    <row r="130596" spans="10:10" x14ac:dyDescent="0.3">
      <c r="J130596"/>
    </row>
    <row r="130597" spans="10:10" x14ac:dyDescent="0.3">
      <c r="J130597"/>
    </row>
    <row r="130598" spans="10:10" x14ac:dyDescent="0.3">
      <c r="J130598"/>
    </row>
    <row r="130599" spans="10:10" x14ac:dyDescent="0.3">
      <c r="J130599"/>
    </row>
    <row r="130600" spans="10:10" x14ac:dyDescent="0.3">
      <c r="J130600"/>
    </row>
    <row r="130601" spans="10:10" x14ac:dyDescent="0.3">
      <c r="J130601"/>
    </row>
    <row r="130602" spans="10:10" x14ac:dyDescent="0.3">
      <c r="J130602"/>
    </row>
    <row r="130603" spans="10:10" x14ac:dyDescent="0.3">
      <c r="J130603"/>
    </row>
    <row r="130604" spans="10:10" x14ac:dyDescent="0.3">
      <c r="J130604"/>
    </row>
    <row r="130605" spans="10:10" x14ac:dyDescent="0.3">
      <c r="J130605"/>
    </row>
    <row r="130606" spans="10:10" x14ac:dyDescent="0.3">
      <c r="J130606"/>
    </row>
    <row r="130607" spans="10:10" x14ac:dyDescent="0.3">
      <c r="J130607"/>
    </row>
    <row r="130608" spans="10:10" x14ac:dyDescent="0.3">
      <c r="J130608"/>
    </row>
    <row r="130609" spans="10:10" x14ac:dyDescent="0.3">
      <c r="J130609"/>
    </row>
    <row r="130610" spans="10:10" x14ac:dyDescent="0.3">
      <c r="J130610"/>
    </row>
    <row r="130611" spans="10:10" x14ac:dyDescent="0.3">
      <c r="J130611"/>
    </row>
    <row r="130612" spans="10:10" x14ac:dyDescent="0.3">
      <c r="J130612"/>
    </row>
    <row r="130613" spans="10:10" x14ac:dyDescent="0.3">
      <c r="J130613"/>
    </row>
    <row r="130614" spans="10:10" x14ac:dyDescent="0.3">
      <c r="J130614"/>
    </row>
    <row r="130615" spans="10:10" x14ac:dyDescent="0.3">
      <c r="J130615"/>
    </row>
    <row r="130616" spans="10:10" x14ac:dyDescent="0.3">
      <c r="J130616"/>
    </row>
    <row r="130617" spans="10:10" x14ac:dyDescent="0.3">
      <c r="J130617"/>
    </row>
    <row r="130618" spans="10:10" x14ac:dyDescent="0.3">
      <c r="J130618"/>
    </row>
    <row r="130619" spans="10:10" x14ac:dyDescent="0.3">
      <c r="J130619"/>
    </row>
    <row r="130620" spans="10:10" x14ac:dyDescent="0.3">
      <c r="J130620"/>
    </row>
    <row r="130621" spans="10:10" x14ac:dyDescent="0.3">
      <c r="J130621"/>
    </row>
    <row r="130622" spans="10:10" x14ac:dyDescent="0.3">
      <c r="J130622"/>
    </row>
    <row r="130623" spans="10:10" x14ac:dyDescent="0.3">
      <c r="J130623"/>
    </row>
    <row r="130624" spans="10:10" x14ac:dyDescent="0.3">
      <c r="J130624"/>
    </row>
    <row r="130625" spans="10:10" x14ac:dyDescent="0.3">
      <c r="J130625"/>
    </row>
    <row r="130626" spans="10:10" x14ac:dyDescent="0.3">
      <c r="J130626"/>
    </row>
    <row r="130627" spans="10:10" x14ac:dyDescent="0.3">
      <c r="J130627"/>
    </row>
    <row r="130628" spans="10:10" x14ac:dyDescent="0.3">
      <c r="J130628"/>
    </row>
    <row r="130629" spans="10:10" x14ac:dyDescent="0.3">
      <c r="J130629"/>
    </row>
    <row r="130630" spans="10:10" x14ac:dyDescent="0.3">
      <c r="J130630"/>
    </row>
    <row r="130631" spans="10:10" x14ac:dyDescent="0.3">
      <c r="J130631"/>
    </row>
    <row r="130632" spans="10:10" x14ac:dyDescent="0.3">
      <c r="J130632"/>
    </row>
    <row r="130633" spans="10:10" x14ac:dyDescent="0.3">
      <c r="J130633"/>
    </row>
    <row r="130634" spans="10:10" x14ac:dyDescent="0.3">
      <c r="J130634"/>
    </row>
    <row r="130635" spans="10:10" x14ac:dyDescent="0.3">
      <c r="J130635"/>
    </row>
    <row r="130636" spans="10:10" x14ac:dyDescent="0.3">
      <c r="J130636"/>
    </row>
    <row r="130637" spans="10:10" x14ac:dyDescent="0.3">
      <c r="J130637"/>
    </row>
    <row r="130638" spans="10:10" x14ac:dyDescent="0.3">
      <c r="J130638"/>
    </row>
    <row r="130639" spans="10:10" x14ac:dyDescent="0.3">
      <c r="J130639"/>
    </row>
    <row r="130640" spans="10:10" x14ac:dyDescent="0.3">
      <c r="J130640"/>
    </row>
    <row r="130641" spans="10:10" x14ac:dyDescent="0.3">
      <c r="J130641"/>
    </row>
    <row r="130642" spans="10:10" x14ac:dyDescent="0.3">
      <c r="J130642"/>
    </row>
    <row r="130643" spans="10:10" x14ac:dyDescent="0.3">
      <c r="J130643"/>
    </row>
    <row r="130644" spans="10:10" x14ac:dyDescent="0.3">
      <c r="J130644"/>
    </row>
    <row r="130645" spans="10:10" x14ac:dyDescent="0.3">
      <c r="J130645"/>
    </row>
    <row r="130646" spans="10:10" x14ac:dyDescent="0.3">
      <c r="J130646"/>
    </row>
    <row r="130647" spans="10:10" x14ac:dyDescent="0.3">
      <c r="J130647"/>
    </row>
    <row r="130648" spans="10:10" x14ac:dyDescent="0.3">
      <c r="J130648"/>
    </row>
    <row r="130649" spans="10:10" x14ac:dyDescent="0.3">
      <c r="J130649"/>
    </row>
    <row r="130650" spans="10:10" x14ac:dyDescent="0.3">
      <c r="J130650"/>
    </row>
    <row r="130651" spans="10:10" x14ac:dyDescent="0.3">
      <c r="J130651"/>
    </row>
    <row r="130652" spans="10:10" x14ac:dyDescent="0.3">
      <c r="J130652"/>
    </row>
    <row r="130653" spans="10:10" x14ac:dyDescent="0.3">
      <c r="J130653"/>
    </row>
    <row r="130654" spans="10:10" x14ac:dyDescent="0.3">
      <c r="J130654"/>
    </row>
    <row r="130655" spans="10:10" x14ac:dyDescent="0.3">
      <c r="J130655"/>
    </row>
    <row r="130656" spans="10:10" x14ac:dyDescent="0.3">
      <c r="J130656"/>
    </row>
    <row r="130657" spans="10:10" x14ac:dyDescent="0.3">
      <c r="J130657"/>
    </row>
    <row r="130658" spans="10:10" x14ac:dyDescent="0.3">
      <c r="J130658"/>
    </row>
    <row r="130659" spans="10:10" x14ac:dyDescent="0.3">
      <c r="J130659"/>
    </row>
    <row r="130660" spans="10:10" x14ac:dyDescent="0.3">
      <c r="J130660"/>
    </row>
    <row r="130661" spans="10:10" x14ac:dyDescent="0.3">
      <c r="J130661"/>
    </row>
    <row r="130662" spans="10:10" x14ac:dyDescent="0.3">
      <c r="J130662"/>
    </row>
    <row r="130663" spans="10:10" x14ac:dyDescent="0.3">
      <c r="J130663"/>
    </row>
    <row r="130664" spans="10:10" x14ac:dyDescent="0.3">
      <c r="J130664"/>
    </row>
    <row r="130665" spans="10:10" x14ac:dyDescent="0.3">
      <c r="J130665"/>
    </row>
    <row r="130666" spans="10:10" x14ac:dyDescent="0.3">
      <c r="J130666"/>
    </row>
    <row r="130667" spans="10:10" x14ac:dyDescent="0.3">
      <c r="J130667"/>
    </row>
    <row r="130668" spans="10:10" x14ac:dyDescent="0.3">
      <c r="J130668"/>
    </row>
    <row r="130669" spans="10:10" x14ac:dyDescent="0.3">
      <c r="J130669"/>
    </row>
    <row r="130670" spans="10:10" x14ac:dyDescent="0.3">
      <c r="J130670"/>
    </row>
    <row r="130671" spans="10:10" x14ac:dyDescent="0.3">
      <c r="J130671"/>
    </row>
    <row r="130672" spans="10:10" x14ac:dyDescent="0.3">
      <c r="J130672"/>
    </row>
    <row r="130673" spans="10:10" x14ac:dyDescent="0.3">
      <c r="J130673"/>
    </row>
    <row r="130674" spans="10:10" x14ac:dyDescent="0.3">
      <c r="J130674"/>
    </row>
    <row r="130675" spans="10:10" x14ac:dyDescent="0.3">
      <c r="J130675"/>
    </row>
    <row r="130676" spans="10:10" x14ac:dyDescent="0.3">
      <c r="J130676"/>
    </row>
    <row r="130677" spans="10:10" x14ac:dyDescent="0.3">
      <c r="J130677"/>
    </row>
    <row r="130678" spans="10:10" x14ac:dyDescent="0.3">
      <c r="J130678"/>
    </row>
    <row r="130679" spans="10:10" x14ac:dyDescent="0.3">
      <c r="J130679"/>
    </row>
    <row r="130680" spans="10:10" x14ac:dyDescent="0.3">
      <c r="J130680"/>
    </row>
    <row r="130681" spans="10:10" x14ac:dyDescent="0.3">
      <c r="J130681"/>
    </row>
    <row r="130682" spans="10:10" x14ac:dyDescent="0.3">
      <c r="J130682"/>
    </row>
    <row r="130683" spans="10:10" x14ac:dyDescent="0.3">
      <c r="J130683"/>
    </row>
    <row r="130684" spans="10:10" x14ac:dyDescent="0.3">
      <c r="J130684"/>
    </row>
    <row r="130685" spans="10:10" x14ac:dyDescent="0.3">
      <c r="J130685"/>
    </row>
    <row r="130686" spans="10:10" x14ac:dyDescent="0.3">
      <c r="J130686"/>
    </row>
    <row r="130687" spans="10:10" x14ac:dyDescent="0.3">
      <c r="J130687"/>
    </row>
    <row r="130688" spans="10:10" x14ac:dyDescent="0.3">
      <c r="J130688"/>
    </row>
    <row r="130689" spans="10:10" x14ac:dyDescent="0.3">
      <c r="J130689"/>
    </row>
    <row r="130690" spans="10:10" x14ac:dyDescent="0.3">
      <c r="J130690"/>
    </row>
    <row r="130691" spans="10:10" x14ac:dyDescent="0.3">
      <c r="J130691"/>
    </row>
    <row r="130692" spans="10:10" x14ac:dyDescent="0.3">
      <c r="J130692"/>
    </row>
    <row r="130693" spans="10:10" x14ac:dyDescent="0.3">
      <c r="J130693"/>
    </row>
    <row r="130694" spans="10:10" x14ac:dyDescent="0.3">
      <c r="J130694"/>
    </row>
    <row r="130695" spans="10:10" x14ac:dyDescent="0.3">
      <c r="J130695"/>
    </row>
    <row r="130696" spans="10:10" x14ac:dyDescent="0.3">
      <c r="J130696"/>
    </row>
    <row r="130697" spans="10:10" x14ac:dyDescent="0.3">
      <c r="J130697"/>
    </row>
    <row r="130698" spans="10:10" x14ac:dyDescent="0.3">
      <c r="J130698"/>
    </row>
    <row r="130699" spans="10:10" x14ac:dyDescent="0.3">
      <c r="J130699"/>
    </row>
    <row r="130700" spans="10:10" x14ac:dyDescent="0.3">
      <c r="J130700"/>
    </row>
    <row r="130701" spans="10:10" x14ac:dyDescent="0.3">
      <c r="J130701"/>
    </row>
    <row r="130702" spans="10:10" x14ac:dyDescent="0.3">
      <c r="J130702"/>
    </row>
    <row r="130703" spans="10:10" x14ac:dyDescent="0.3">
      <c r="J130703"/>
    </row>
    <row r="130704" spans="10:10" x14ac:dyDescent="0.3">
      <c r="J130704"/>
    </row>
    <row r="130705" spans="10:10" x14ac:dyDescent="0.3">
      <c r="J130705"/>
    </row>
    <row r="130706" spans="10:10" x14ac:dyDescent="0.3">
      <c r="J130706"/>
    </row>
    <row r="130707" spans="10:10" x14ac:dyDescent="0.3">
      <c r="J130707"/>
    </row>
    <row r="130708" spans="10:10" x14ac:dyDescent="0.3">
      <c r="J130708"/>
    </row>
    <row r="130709" spans="10:10" x14ac:dyDescent="0.3">
      <c r="J130709"/>
    </row>
    <row r="130710" spans="10:10" x14ac:dyDescent="0.3">
      <c r="J130710"/>
    </row>
    <row r="130711" spans="10:10" x14ac:dyDescent="0.3">
      <c r="J130711"/>
    </row>
    <row r="130712" spans="10:10" x14ac:dyDescent="0.3">
      <c r="J130712"/>
    </row>
    <row r="130713" spans="10:10" x14ac:dyDescent="0.3">
      <c r="J130713"/>
    </row>
    <row r="130714" spans="10:10" x14ac:dyDescent="0.3">
      <c r="J130714"/>
    </row>
    <row r="130715" spans="10:10" x14ac:dyDescent="0.3">
      <c r="J130715"/>
    </row>
    <row r="130716" spans="10:10" x14ac:dyDescent="0.3">
      <c r="J130716"/>
    </row>
    <row r="130717" spans="10:10" x14ac:dyDescent="0.3">
      <c r="J130717"/>
    </row>
    <row r="130718" spans="10:10" x14ac:dyDescent="0.3">
      <c r="J130718"/>
    </row>
    <row r="130719" spans="10:10" x14ac:dyDescent="0.3">
      <c r="J130719"/>
    </row>
    <row r="130720" spans="10:10" x14ac:dyDescent="0.3">
      <c r="J130720"/>
    </row>
    <row r="130721" spans="10:10" x14ac:dyDescent="0.3">
      <c r="J130721"/>
    </row>
    <row r="130722" spans="10:10" x14ac:dyDescent="0.3">
      <c r="J130722"/>
    </row>
    <row r="130723" spans="10:10" x14ac:dyDescent="0.3">
      <c r="J130723"/>
    </row>
    <row r="130724" spans="10:10" x14ac:dyDescent="0.3">
      <c r="J130724"/>
    </row>
    <row r="130725" spans="10:10" x14ac:dyDescent="0.3">
      <c r="J130725"/>
    </row>
    <row r="130726" spans="10:10" x14ac:dyDescent="0.3">
      <c r="J130726"/>
    </row>
    <row r="130727" spans="10:10" x14ac:dyDescent="0.3">
      <c r="J130727"/>
    </row>
    <row r="130728" spans="10:10" x14ac:dyDescent="0.3">
      <c r="J130728"/>
    </row>
    <row r="130729" spans="10:10" x14ac:dyDescent="0.3">
      <c r="J130729"/>
    </row>
    <row r="130730" spans="10:10" x14ac:dyDescent="0.3">
      <c r="J130730"/>
    </row>
    <row r="130731" spans="10:10" x14ac:dyDescent="0.3">
      <c r="J130731"/>
    </row>
    <row r="130732" spans="10:10" x14ac:dyDescent="0.3">
      <c r="J130732"/>
    </row>
    <row r="130733" spans="10:10" x14ac:dyDescent="0.3">
      <c r="J130733"/>
    </row>
    <row r="130734" spans="10:10" x14ac:dyDescent="0.3">
      <c r="J130734"/>
    </row>
    <row r="130735" spans="10:10" x14ac:dyDescent="0.3">
      <c r="J130735"/>
    </row>
    <row r="130736" spans="10:10" x14ac:dyDescent="0.3">
      <c r="J130736"/>
    </row>
    <row r="130737" spans="10:10" x14ac:dyDescent="0.3">
      <c r="J130737"/>
    </row>
    <row r="130738" spans="10:10" x14ac:dyDescent="0.3">
      <c r="J130738"/>
    </row>
    <row r="130739" spans="10:10" x14ac:dyDescent="0.3">
      <c r="J130739"/>
    </row>
    <row r="130740" spans="10:10" x14ac:dyDescent="0.3">
      <c r="J130740"/>
    </row>
    <row r="130741" spans="10:10" x14ac:dyDescent="0.3">
      <c r="J130741"/>
    </row>
    <row r="130742" spans="10:10" x14ac:dyDescent="0.3">
      <c r="J130742"/>
    </row>
    <row r="130743" spans="10:10" x14ac:dyDescent="0.3">
      <c r="J130743"/>
    </row>
    <row r="130744" spans="10:10" x14ac:dyDescent="0.3">
      <c r="J130744"/>
    </row>
    <row r="130745" spans="10:10" x14ac:dyDescent="0.3">
      <c r="J130745"/>
    </row>
    <row r="130746" spans="10:10" x14ac:dyDescent="0.3">
      <c r="J130746"/>
    </row>
    <row r="130747" spans="10:10" x14ac:dyDescent="0.3">
      <c r="J130747"/>
    </row>
    <row r="130748" spans="10:10" x14ac:dyDescent="0.3">
      <c r="J130748"/>
    </row>
    <row r="130749" spans="10:10" x14ac:dyDescent="0.3">
      <c r="J130749"/>
    </row>
    <row r="130750" spans="10:10" x14ac:dyDescent="0.3">
      <c r="J130750"/>
    </row>
    <row r="130751" spans="10:10" x14ac:dyDescent="0.3">
      <c r="J130751"/>
    </row>
    <row r="130752" spans="10:10" x14ac:dyDescent="0.3">
      <c r="J130752"/>
    </row>
    <row r="130753" spans="10:10" x14ac:dyDescent="0.3">
      <c r="J130753"/>
    </row>
    <row r="130754" spans="10:10" x14ac:dyDescent="0.3">
      <c r="J130754"/>
    </row>
    <row r="130755" spans="10:10" x14ac:dyDescent="0.3">
      <c r="J130755"/>
    </row>
    <row r="130756" spans="10:10" x14ac:dyDescent="0.3">
      <c r="J130756"/>
    </row>
    <row r="130757" spans="10:10" x14ac:dyDescent="0.3">
      <c r="J130757"/>
    </row>
    <row r="130758" spans="10:10" x14ac:dyDescent="0.3">
      <c r="J130758"/>
    </row>
    <row r="130759" spans="10:10" x14ac:dyDescent="0.3">
      <c r="J130759"/>
    </row>
    <row r="130760" spans="10:10" x14ac:dyDescent="0.3">
      <c r="J130760"/>
    </row>
    <row r="130761" spans="10:10" x14ac:dyDescent="0.3">
      <c r="J130761"/>
    </row>
    <row r="130762" spans="10:10" x14ac:dyDescent="0.3">
      <c r="J130762"/>
    </row>
    <row r="130763" spans="10:10" x14ac:dyDescent="0.3">
      <c r="J130763"/>
    </row>
    <row r="130764" spans="10:10" x14ac:dyDescent="0.3">
      <c r="J130764"/>
    </row>
    <row r="130765" spans="10:10" x14ac:dyDescent="0.3">
      <c r="J130765"/>
    </row>
    <row r="130766" spans="10:10" x14ac:dyDescent="0.3">
      <c r="J130766"/>
    </row>
    <row r="130767" spans="10:10" x14ac:dyDescent="0.3">
      <c r="J130767"/>
    </row>
    <row r="130768" spans="10:10" x14ac:dyDescent="0.3">
      <c r="J130768"/>
    </row>
    <row r="130769" spans="10:10" x14ac:dyDescent="0.3">
      <c r="J130769"/>
    </row>
    <row r="130770" spans="10:10" x14ac:dyDescent="0.3">
      <c r="J130770"/>
    </row>
    <row r="130771" spans="10:10" x14ac:dyDescent="0.3">
      <c r="J130771"/>
    </row>
    <row r="130772" spans="10:10" x14ac:dyDescent="0.3">
      <c r="J130772"/>
    </row>
    <row r="130773" spans="10:10" x14ac:dyDescent="0.3">
      <c r="J130773"/>
    </row>
    <row r="130774" spans="10:10" x14ac:dyDescent="0.3">
      <c r="J130774"/>
    </row>
    <row r="130775" spans="10:10" x14ac:dyDescent="0.3">
      <c r="J130775"/>
    </row>
    <row r="130776" spans="10:10" x14ac:dyDescent="0.3">
      <c r="J130776"/>
    </row>
    <row r="130777" spans="10:10" x14ac:dyDescent="0.3">
      <c r="J130777"/>
    </row>
    <row r="130778" spans="10:10" x14ac:dyDescent="0.3">
      <c r="J130778"/>
    </row>
    <row r="130779" spans="10:10" x14ac:dyDescent="0.3">
      <c r="J130779"/>
    </row>
    <row r="130780" spans="10:10" x14ac:dyDescent="0.3">
      <c r="J130780"/>
    </row>
    <row r="130781" spans="10:10" x14ac:dyDescent="0.3">
      <c r="J130781"/>
    </row>
    <row r="130782" spans="10:10" x14ac:dyDescent="0.3">
      <c r="J130782"/>
    </row>
    <row r="130783" spans="10:10" x14ac:dyDescent="0.3">
      <c r="J130783"/>
    </row>
    <row r="130784" spans="10:10" x14ac:dyDescent="0.3">
      <c r="J130784"/>
    </row>
    <row r="130785" spans="10:10" x14ac:dyDescent="0.3">
      <c r="J130785"/>
    </row>
    <row r="130786" spans="10:10" x14ac:dyDescent="0.3">
      <c r="J130786"/>
    </row>
    <row r="130787" spans="10:10" x14ac:dyDescent="0.3">
      <c r="J130787"/>
    </row>
    <row r="130788" spans="10:10" x14ac:dyDescent="0.3">
      <c r="J130788"/>
    </row>
    <row r="130789" spans="10:10" x14ac:dyDescent="0.3">
      <c r="J130789"/>
    </row>
    <row r="130790" spans="10:10" x14ac:dyDescent="0.3">
      <c r="J130790"/>
    </row>
    <row r="130791" spans="10:10" x14ac:dyDescent="0.3">
      <c r="J130791"/>
    </row>
    <row r="130792" spans="10:10" x14ac:dyDescent="0.3">
      <c r="J130792"/>
    </row>
    <row r="130793" spans="10:10" x14ac:dyDescent="0.3">
      <c r="J130793"/>
    </row>
    <row r="130794" spans="10:10" x14ac:dyDescent="0.3">
      <c r="J130794"/>
    </row>
    <row r="130795" spans="10:10" x14ac:dyDescent="0.3">
      <c r="J130795"/>
    </row>
    <row r="130796" spans="10:10" x14ac:dyDescent="0.3">
      <c r="J130796"/>
    </row>
    <row r="130797" spans="10:10" x14ac:dyDescent="0.3">
      <c r="J130797"/>
    </row>
    <row r="130798" spans="10:10" x14ac:dyDescent="0.3">
      <c r="J130798"/>
    </row>
    <row r="130799" spans="10:10" x14ac:dyDescent="0.3">
      <c r="J130799"/>
    </row>
    <row r="130800" spans="10:10" x14ac:dyDescent="0.3">
      <c r="J130800"/>
    </row>
    <row r="130801" spans="10:10" x14ac:dyDescent="0.3">
      <c r="J130801"/>
    </row>
    <row r="130802" spans="10:10" x14ac:dyDescent="0.3">
      <c r="J130802"/>
    </row>
    <row r="130803" spans="10:10" x14ac:dyDescent="0.3">
      <c r="J130803"/>
    </row>
    <row r="130804" spans="10:10" x14ac:dyDescent="0.3">
      <c r="J130804"/>
    </row>
    <row r="130805" spans="10:10" x14ac:dyDescent="0.3">
      <c r="J130805"/>
    </row>
    <row r="130806" spans="10:10" x14ac:dyDescent="0.3">
      <c r="J130806"/>
    </row>
    <row r="130807" spans="10:10" x14ac:dyDescent="0.3">
      <c r="J130807"/>
    </row>
    <row r="130808" spans="10:10" x14ac:dyDescent="0.3">
      <c r="J130808"/>
    </row>
    <row r="130809" spans="10:10" x14ac:dyDescent="0.3">
      <c r="J130809"/>
    </row>
    <row r="130810" spans="10:10" x14ac:dyDescent="0.3">
      <c r="J130810"/>
    </row>
    <row r="130811" spans="10:10" x14ac:dyDescent="0.3">
      <c r="J130811"/>
    </row>
    <row r="130812" spans="10:10" x14ac:dyDescent="0.3">
      <c r="J130812"/>
    </row>
    <row r="130813" spans="10:10" x14ac:dyDescent="0.3">
      <c r="J130813"/>
    </row>
    <row r="130814" spans="10:10" x14ac:dyDescent="0.3">
      <c r="J130814"/>
    </row>
    <row r="130815" spans="10:10" x14ac:dyDescent="0.3">
      <c r="J130815"/>
    </row>
    <row r="130816" spans="10:10" x14ac:dyDescent="0.3">
      <c r="J130816"/>
    </row>
    <row r="130817" spans="10:10" x14ac:dyDescent="0.3">
      <c r="J130817"/>
    </row>
    <row r="130818" spans="10:10" x14ac:dyDescent="0.3">
      <c r="J130818"/>
    </row>
    <row r="130819" spans="10:10" x14ac:dyDescent="0.3">
      <c r="J130819"/>
    </row>
    <row r="130820" spans="10:10" x14ac:dyDescent="0.3">
      <c r="J130820"/>
    </row>
    <row r="130821" spans="10:10" x14ac:dyDescent="0.3">
      <c r="J130821"/>
    </row>
    <row r="130822" spans="10:10" x14ac:dyDescent="0.3">
      <c r="J130822"/>
    </row>
    <row r="130823" spans="10:10" x14ac:dyDescent="0.3">
      <c r="J130823"/>
    </row>
    <row r="130824" spans="10:10" x14ac:dyDescent="0.3">
      <c r="J130824"/>
    </row>
    <row r="130825" spans="10:10" x14ac:dyDescent="0.3">
      <c r="J130825"/>
    </row>
    <row r="130826" spans="10:10" x14ac:dyDescent="0.3">
      <c r="J130826"/>
    </row>
    <row r="130827" spans="10:10" x14ac:dyDescent="0.3">
      <c r="J130827"/>
    </row>
    <row r="130828" spans="10:10" x14ac:dyDescent="0.3">
      <c r="J130828"/>
    </row>
    <row r="130829" spans="10:10" x14ac:dyDescent="0.3">
      <c r="J130829"/>
    </row>
    <row r="130830" spans="10:10" x14ac:dyDescent="0.3">
      <c r="J130830"/>
    </row>
    <row r="130831" spans="10:10" x14ac:dyDescent="0.3">
      <c r="J130831"/>
    </row>
    <row r="130832" spans="10:10" x14ac:dyDescent="0.3">
      <c r="J130832"/>
    </row>
    <row r="130833" spans="10:10" x14ac:dyDescent="0.3">
      <c r="J130833"/>
    </row>
    <row r="130834" spans="10:10" x14ac:dyDescent="0.3">
      <c r="J130834"/>
    </row>
    <row r="130835" spans="10:10" x14ac:dyDescent="0.3">
      <c r="J130835"/>
    </row>
    <row r="130836" spans="10:10" x14ac:dyDescent="0.3">
      <c r="J130836"/>
    </row>
    <row r="130837" spans="10:10" x14ac:dyDescent="0.3">
      <c r="J130837"/>
    </row>
    <row r="130838" spans="10:10" x14ac:dyDescent="0.3">
      <c r="J130838"/>
    </row>
    <row r="130839" spans="10:10" x14ac:dyDescent="0.3">
      <c r="J130839"/>
    </row>
    <row r="130840" spans="10:10" x14ac:dyDescent="0.3">
      <c r="J130840"/>
    </row>
    <row r="130841" spans="10:10" x14ac:dyDescent="0.3">
      <c r="J130841"/>
    </row>
    <row r="130842" spans="10:10" x14ac:dyDescent="0.3">
      <c r="J130842"/>
    </row>
    <row r="130843" spans="10:10" x14ac:dyDescent="0.3">
      <c r="J130843"/>
    </row>
    <row r="130844" spans="10:10" x14ac:dyDescent="0.3">
      <c r="J130844"/>
    </row>
    <row r="130845" spans="10:10" x14ac:dyDescent="0.3">
      <c r="J130845"/>
    </row>
    <row r="130846" spans="10:10" x14ac:dyDescent="0.3">
      <c r="J130846"/>
    </row>
    <row r="130847" spans="10:10" x14ac:dyDescent="0.3">
      <c r="J130847"/>
    </row>
    <row r="130848" spans="10:10" x14ac:dyDescent="0.3">
      <c r="J130848"/>
    </row>
    <row r="130849" spans="10:10" x14ac:dyDescent="0.3">
      <c r="J130849"/>
    </row>
    <row r="130850" spans="10:10" x14ac:dyDescent="0.3">
      <c r="J130850"/>
    </row>
    <row r="130851" spans="10:10" x14ac:dyDescent="0.3">
      <c r="J130851"/>
    </row>
    <row r="130852" spans="10:10" x14ac:dyDescent="0.3">
      <c r="J130852"/>
    </row>
    <row r="130853" spans="10:10" x14ac:dyDescent="0.3">
      <c r="J130853"/>
    </row>
    <row r="130854" spans="10:10" x14ac:dyDescent="0.3">
      <c r="J130854"/>
    </row>
    <row r="130855" spans="10:10" x14ac:dyDescent="0.3">
      <c r="J130855"/>
    </row>
    <row r="130856" spans="10:10" x14ac:dyDescent="0.3">
      <c r="J130856"/>
    </row>
    <row r="130857" spans="10:10" x14ac:dyDescent="0.3">
      <c r="J130857"/>
    </row>
    <row r="130858" spans="10:10" x14ac:dyDescent="0.3">
      <c r="J130858"/>
    </row>
    <row r="130859" spans="10:10" x14ac:dyDescent="0.3">
      <c r="J130859"/>
    </row>
    <row r="130860" spans="10:10" x14ac:dyDescent="0.3">
      <c r="J130860"/>
    </row>
    <row r="130861" spans="10:10" x14ac:dyDescent="0.3">
      <c r="J130861"/>
    </row>
    <row r="130862" spans="10:10" x14ac:dyDescent="0.3">
      <c r="J130862"/>
    </row>
    <row r="130863" spans="10:10" x14ac:dyDescent="0.3">
      <c r="J130863"/>
    </row>
    <row r="130864" spans="10:10" x14ac:dyDescent="0.3">
      <c r="J130864"/>
    </row>
    <row r="130865" spans="10:10" x14ac:dyDescent="0.3">
      <c r="J130865"/>
    </row>
    <row r="130866" spans="10:10" x14ac:dyDescent="0.3">
      <c r="J130866"/>
    </row>
    <row r="130867" spans="10:10" x14ac:dyDescent="0.3">
      <c r="J130867"/>
    </row>
    <row r="130868" spans="10:10" x14ac:dyDescent="0.3">
      <c r="J130868"/>
    </row>
    <row r="130869" spans="10:10" x14ac:dyDescent="0.3">
      <c r="J130869"/>
    </row>
    <row r="130870" spans="10:10" x14ac:dyDescent="0.3">
      <c r="J130870"/>
    </row>
    <row r="130871" spans="10:10" x14ac:dyDescent="0.3">
      <c r="J130871"/>
    </row>
    <row r="130872" spans="10:10" x14ac:dyDescent="0.3">
      <c r="J130872"/>
    </row>
    <row r="130873" spans="10:10" x14ac:dyDescent="0.3">
      <c r="J130873"/>
    </row>
    <row r="130874" spans="10:10" x14ac:dyDescent="0.3">
      <c r="J130874"/>
    </row>
    <row r="130875" spans="10:10" x14ac:dyDescent="0.3">
      <c r="J130875"/>
    </row>
    <row r="130876" spans="10:10" x14ac:dyDescent="0.3">
      <c r="J130876"/>
    </row>
    <row r="130877" spans="10:10" x14ac:dyDescent="0.3">
      <c r="J130877"/>
    </row>
    <row r="130878" spans="10:10" x14ac:dyDescent="0.3">
      <c r="J130878"/>
    </row>
    <row r="130879" spans="10:10" x14ac:dyDescent="0.3">
      <c r="J130879"/>
    </row>
    <row r="130880" spans="10:10" x14ac:dyDescent="0.3">
      <c r="J130880"/>
    </row>
    <row r="130881" spans="10:10" x14ac:dyDescent="0.3">
      <c r="J130881"/>
    </row>
    <row r="130882" spans="10:10" x14ac:dyDescent="0.3">
      <c r="J130882"/>
    </row>
    <row r="130883" spans="10:10" x14ac:dyDescent="0.3">
      <c r="J130883"/>
    </row>
    <row r="130884" spans="10:10" x14ac:dyDescent="0.3">
      <c r="J130884"/>
    </row>
    <row r="130885" spans="10:10" x14ac:dyDescent="0.3">
      <c r="J130885"/>
    </row>
    <row r="130886" spans="10:10" x14ac:dyDescent="0.3">
      <c r="J130886"/>
    </row>
    <row r="130887" spans="10:10" x14ac:dyDescent="0.3">
      <c r="J130887"/>
    </row>
    <row r="130888" spans="10:10" x14ac:dyDescent="0.3">
      <c r="J130888"/>
    </row>
    <row r="130889" spans="10:10" x14ac:dyDescent="0.3">
      <c r="J130889"/>
    </row>
    <row r="130890" spans="10:10" x14ac:dyDescent="0.3">
      <c r="J130890"/>
    </row>
    <row r="130891" spans="10:10" x14ac:dyDescent="0.3">
      <c r="J130891"/>
    </row>
    <row r="130892" spans="10:10" x14ac:dyDescent="0.3">
      <c r="J130892"/>
    </row>
    <row r="130893" spans="10:10" x14ac:dyDescent="0.3">
      <c r="J130893"/>
    </row>
    <row r="130894" spans="10:10" x14ac:dyDescent="0.3">
      <c r="J130894"/>
    </row>
    <row r="130895" spans="10:10" x14ac:dyDescent="0.3">
      <c r="J130895"/>
    </row>
    <row r="130896" spans="10:10" x14ac:dyDescent="0.3">
      <c r="J130896"/>
    </row>
    <row r="130897" spans="10:10" x14ac:dyDescent="0.3">
      <c r="J130897"/>
    </row>
    <row r="130898" spans="10:10" x14ac:dyDescent="0.3">
      <c r="J130898"/>
    </row>
    <row r="130899" spans="10:10" x14ac:dyDescent="0.3">
      <c r="J130899"/>
    </row>
    <row r="130900" spans="10:10" x14ac:dyDescent="0.3">
      <c r="J130900"/>
    </row>
    <row r="130901" spans="10:10" x14ac:dyDescent="0.3">
      <c r="J130901"/>
    </row>
    <row r="130902" spans="10:10" x14ac:dyDescent="0.3">
      <c r="J130902"/>
    </row>
    <row r="130903" spans="10:10" x14ac:dyDescent="0.3">
      <c r="J130903"/>
    </row>
    <row r="130904" spans="10:10" x14ac:dyDescent="0.3">
      <c r="J130904"/>
    </row>
    <row r="130905" spans="10:10" x14ac:dyDescent="0.3">
      <c r="J130905"/>
    </row>
    <row r="130906" spans="10:10" x14ac:dyDescent="0.3">
      <c r="J130906"/>
    </row>
    <row r="130907" spans="10:10" x14ac:dyDescent="0.3">
      <c r="J130907"/>
    </row>
    <row r="130908" spans="10:10" x14ac:dyDescent="0.3">
      <c r="J130908"/>
    </row>
    <row r="130909" spans="10:10" x14ac:dyDescent="0.3">
      <c r="J130909"/>
    </row>
    <row r="130910" spans="10:10" x14ac:dyDescent="0.3">
      <c r="J130910"/>
    </row>
    <row r="130911" spans="10:10" x14ac:dyDescent="0.3">
      <c r="J130911"/>
    </row>
    <row r="130912" spans="10:10" x14ac:dyDescent="0.3">
      <c r="J130912"/>
    </row>
    <row r="130913" spans="10:10" x14ac:dyDescent="0.3">
      <c r="J130913"/>
    </row>
    <row r="130914" spans="10:10" x14ac:dyDescent="0.3">
      <c r="J130914"/>
    </row>
    <row r="130915" spans="10:10" x14ac:dyDescent="0.3">
      <c r="J130915"/>
    </row>
    <row r="130916" spans="10:10" x14ac:dyDescent="0.3">
      <c r="J130916"/>
    </row>
    <row r="130917" spans="10:10" x14ac:dyDescent="0.3">
      <c r="J130917"/>
    </row>
    <row r="130918" spans="10:10" x14ac:dyDescent="0.3">
      <c r="J130918"/>
    </row>
    <row r="130919" spans="10:10" x14ac:dyDescent="0.3">
      <c r="J130919"/>
    </row>
    <row r="130920" spans="10:10" x14ac:dyDescent="0.3">
      <c r="J130920"/>
    </row>
    <row r="130921" spans="10:10" x14ac:dyDescent="0.3">
      <c r="J130921"/>
    </row>
    <row r="130922" spans="10:10" x14ac:dyDescent="0.3">
      <c r="J130922"/>
    </row>
    <row r="130923" spans="10:10" x14ac:dyDescent="0.3">
      <c r="J130923"/>
    </row>
    <row r="130924" spans="10:10" x14ac:dyDescent="0.3">
      <c r="J130924"/>
    </row>
    <row r="130925" spans="10:10" x14ac:dyDescent="0.3">
      <c r="J130925"/>
    </row>
    <row r="130926" spans="10:10" x14ac:dyDescent="0.3">
      <c r="J130926"/>
    </row>
    <row r="130927" spans="10:10" x14ac:dyDescent="0.3">
      <c r="J130927"/>
    </row>
    <row r="130928" spans="10:10" x14ac:dyDescent="0.3">
      <c r="J130928"/>
    </row>
    <row r="130929" spans="10:10" x14ac:dyDescent="0.3">
      <c r="J130929"/>
    </row>
    <row r="130930" spans="10:10" x14ac:dyDescent="0.3">
      <c r="J130930"/>
    </row>
    <row r="130931" spans="10:10" x14ac:dyDescent="0.3">
      <c r="J130931"/>
    </row>
    <row r="130932" spans="10:10" x14ac:dyDescent="0.3">
      <c r="J130932"/>
    </row>
    <row r="130933" spans="10:10" x14ac:dyDescent="0.3">
      <c r="J130933"/>
    </row>
    <row r="130934" spans="10:10" x14ac:dyDescent="0.3">
      <c r="J130934"/>
    </row>
    <row r="130935" spans="10:10" x14ac:dyDescent="0.3">
      <c r="J130935"/>
    </row>
    <row r="130936" spans="10:10" x14ac:dyDescent="0.3">
      <c r="J130936"/>
    </row>
    <row r="130937" spans="10:10" x14ac:dyDescent="0.3">
      <c r="J130937"/>
    </row>
    <row r="130938" spans="10:10" x14ac:dyDescent="0.3">
      <c r="J130938"/>
    </row>
    <row r="130939" spans="10:10" x14ac:dyDescent="0.3">
      <c r="J130939"/>
    </row>
    <row r="130940" spans="10:10" x14ac:dyDescent="0.3">
      <c r="J130940"/>
    </row>
    <row r="130941" spans="10:10" x14ac:dyDescent="0.3">
      <c r="J130941"/>
    </row>
    <row r="130942" spans="10:10" x14ac:dyDescent="0.3">
      <c r="J130942"/>
    </row>
    <row r="130943" spans="10:10" x14ac:dyDescent="0.3">
      <c r="J130943"/>
    </row>
    <row r="130944" spans="10:10" x14ac:dyDescent="0.3">
      <c r="J130944"/>
    </row>
    <row r="130945" spans="10:10" x14ac:dyDescent="0.3">
      <c r="J130945"/>
    </row>
    <row r="130946" spans="10:10" x14ac:dyDescent="0.3">
      <c r="J130946"/>
    </row>
    <row r="130947" spans="10:10" x14ac:dyDescent="0.3">
      <c r="J130947"/>
    </row>
    <row r="130948" spans="10:10" x14ac:dyDescent="0.3">
      <c r="J130948"/>
    </row>
    <row r="130949" spans="10:10" x14ac:dyDescent="0.3">
      <c r="J130949"/>
    </row>
    <row r="130950" spans="10:10" x14ac:dyDescent="0.3">
      <c r="J130950"/>
    </row>
    <row r="130951" spans="10:10" x14ac:dyDescent="0.3">
      <c r="J130951"/>
    </row>
    <row r="130952" spans="10:10" x14ac:dyDescent="0.3">
      <c r="J130952"/>
    </row>
    <row r="130953" spans="10:10" x14ac:dyDescent="0.3">
      <c r="J130953"/>
    </row>
    <row r="130954" spans="10:10" x14ac:dyDescent="0.3">
      <c r="J130954"/>
    </row>
    <row r="130955" spans="10:10" x14ac:dyDescent="0.3">
      <c r="J130955"/>
    </row>
    <row r="130956" spans="10:10" x14ac:dyDescent="0.3">
      <c r="J130956"/>
    </row>
    <row r="130957" spans="10:10" x14ac:dyDescent="0.3">
      <c r="J130957"/>
    </row>
    <row r="130958" spans="10:10" x14ac:dyDescent="0.3">
      <c r="J130958"/>
    </row>
    <row r="130959" spans="10:10" x14ac:dyDescent="0.3">
      <c r="J130959"/>
    </row>
    <row r="130960" spans="10:10" x14ac:dyDescent="0.3">
      <c r="J130960"/>
    </row>
    <row r="130961" spans="10:10" x14ac:dyDescent="0.3">
      <c r="J130961"/>
    </row>
    <row r="130962" spans="10:10" x14ac:dyDescent="0.3">
      <c r="J130962"/>
    </row>
    <row r="130963" spans="10:10" x14ac:dyDescent="0.3">
      <c r="J130963"/>
    </row>
    <row r="130964" spans="10:10" x14ac:dyDescent="0.3">
      <c r="J130964"/>
    </row>
    <row r="130965" spans="10:10" x14ac:dyDescent="0.3">
      <c r="J130965"/>
    </row>
    <row r="130966" spans="10:10" x14ac:dyDescent="0.3">
      <c r="J130966"/>
    </row>
    <row r="130967" spans="10:10" x14ac:dyDescent="0.3">
      <c r="J130967"/>
    </row>
    <row r="130968" spans="10:10" x14ac:dyDescent="0.3">
      <c r="J130968"/>
    </row>
    <row r="130969" spans="10:10" x14ac:dyDescent="0.3">
      <c r="J130969"/>
    </row>
    <row r="130970" spans="10:10" x14ac:dyDescent="0.3">
      <c r="J130970"/>
    </row>
    <row r="130971" spans="10:10" x14ac:dyDescent="0.3">
      <c r="J130971"/>
    </row>
    <row r="130972" spans="10:10" x14ac:dyDescent="0.3">
      <c r="J130972"/>
    </row>
    <row r="130973" spans="10:10" x14ac:dyDescent="0.3">
      <c r="J130973"/>
    </row>
    <row r="130974" spans="10:10" x14ac:dyDescent="0.3">
      <c r="J130974"/>
    </row>
    <row r="130975" spans="10:10" x14ac:dyDescent="0.3">
      <c r="J130975"/>
    </row>
    <row r="130976" spans="10:10" x14ac:dyDescent="0.3">
      <c r="J130976"/>
    </row>
    <row r="130977" spans="10:10" x14ac:dyDescent="0.3">
      <c r="J130977"/>
    </row>
    <row r="130978" spans="10:10" x14ac:dyDescent="0.3">
      <c r="J130978"/>
    </row>
    <row r="130979" spans="10:10" x14ac:dyDescent="0.3">
      <c r="J130979"/>
    </row>
    <row r="130980" spans="10:10" x14ac:dyDescent="0.3">
      <c r="J130980"/>
    </row>
    <row r="130981" spans="10:10" x14ac:dyDescent="0.3">
      <c r="J130981"/>
    </row>
    <row r="130982" spans="10:10" x14ac:dyDescent="0.3">
      <c r="J130982"/>
    </row>
    <row r="130983" spans="10:10" x14ac:dyDescent="0.3">
      <c r="J130983"/>
    </row>
    <row r="130984" spans="10:10" x14ac:dyDescent="0.3">
      <c r="J130984"/>
    </row>
    <row r="130985" spans="10:10" x14ac:dyDescent="0.3">
      <c r="J130985"/>
    </row>
    <row r="130986" spans="10:10" x14ac:dyDescent="0.3">
      <c r="J130986"/>
    </row>
    <row r="130987" spans="10:10" x14ac:dyDescent="0.3">
      <c r="J130987"/>
    </row>
    <row r="130988" spans="10:10" x14ac:dyDescent="0.3">
      <c r="J130988"/>
    </row>
    <row r="130989" spans="10:10" x14ac:dyDescent="0.3">
      <c r="J130989"/>
    </row>
    <row r="130990" spans="10:10" x14ac:dyDescent="0.3">
      <c r="J130990"/>
    </row>
    <row r="130991" spans="10:10" x14ac:dyDescent="0.3">
      <c r="J130991"/>
    </row>
    <row r="130992" spans="10:10" x14ac:dyDescent="0.3">
      <c r="J130992"/>
    </row>
    <row r="130993" spans="10:10" x14ac:dyDescent="0.3">
      <c r="J130993"/>
    </row>
    <row r="130994" spans="10:10" x14ac:dyDescent="0.3">
      <c r="J130994"/>
    </row>
    <row r="130995" spans="10:10" x14ac:dyDescent="0.3">
      <c r="J130995"/>
    </row>
    <row r="130996" spans="10:10" x14ac:dyDescent="0.3">
      <c r="J130996"/>
    </row>
    <row r="130997" spans="10:10" x14ac:dyDescent="0.3">
      <c r="J130997"/>
    </row>
    <row r="130998" spans="10:10" x14ac:dyDescent="0.3">
      <c r="J130998"/>
    </row>
    <row r="130999" spans="10:10" x14ac:dyDescent="0.3">
      <c r="J130999"/>
    </row>
    <row r="131000" spans="10:10" x14ac:dyDescent="0.3">
      <c r="J131000"/>
    </row>
    <row r="131001" spans="10:10" x14ac:dyDescent="0.3">
      <c r="J131001"/>
    </row>
    <row r="131002" spans="10:10" x14ac:dyDescent="0.3">
      <c r="J131002"/>
    </row>
    <row r="131003" spans="10:10" x14ac:dyDescent="0.3">
      <c r="J131003"/>
    </row>
    <row r="131004" spans="10:10" x14ac:dyDescent="0.3">
      <c r="J131004"/>
    </row>
    <row r="131005" spans="10:10" x14ac:dyDescent="0.3">
      <c r="J131005"/>
    </row>
    <row r="131006" spans="10:10" x14ac:dyDescent="0.3">
      <c r="J131006"/>
    </row>
    <row r="131007" spans="10:10" x14ac:dyDescent="0.3">
      <c r="J131007"/>
    </row>
    <row r="131008" spans="10:10" x14ac:dyDescent="0.3">
      <c r="J131008"/>
    </row>
    <row r="131009" spans="10:10" x14ac:dyDescent="0.3">
      <c r="J131009"/>
    </row>
    <row r="131010" spans="10:10" x14ac:dyDescent="0.3">
      <c r="J131010"/>
    </row>
    <row r="131011" spans="10:10" x14ac:dyDescent="0.3">
      <c r="J131011"/>
    </row>
    <row r="131012" spans="10:10" x14ac:dyDescent="0.3">
      <c r="J131012"/>
    </row>
    <row r="131013" spans="10:10" x14ac:dyDescent="0.3">
      <c r="J131013"/>
    </row>
    <row r="131014" spans="10:10" x14ac:dyDescent="0.3">
      <c r="J131014"/>
    </row>
    <row r="131015" spans="10:10" x14ac:dyDescent="0.3">
      <c r="J131015"/>
    </row>
    <row r="131016" spans="10:10" x14ac:dyDescent="0.3">
      <c r="J131016"/>
    </row>
    <row r="131017" spans="10:10" x14ac:dyDescent="0.3">
      <c r="J131017"/>
    </row>
    <row r="131018" spans="10:10" x14ac:dyDescent="0.3">
      <c r="J131018"/>
    </row>
    <row r="131019" spans="10:10" x14ac:dyDescent="0.3">
      <c r="J131019"/>
    </row>
    <row r="131020" spans="10:10" x14ac:dyDescent="0.3">
      <c r="J131020"/>
    </row>
    <row r="131021" spans="10:10" x14ac:dyDescent="0.3">
      <c r="J131021"/>
    </row>
    <row r="131022" spans="10:10" x14ac:dyDescent="0.3">
      <c r="J131022"/>
    </row>
    <row r="131023" spans="10:10" x14ac:dyDescent="0.3">
      <c r="J131023"/>
    </row>
    <row r="131024" spans="10:10" x14ac:dyDescent="0.3">
      <c r="J131024"/>
    </row>
    <row r="131025" spans="10:10" x14ac:dyDescent="0.3">
      <c r="J131025"/>
    </row>
    <row r="131026" spans="10:10" x14ac:dyDescent="0.3">
      <c r="J131026"/>
    </row>
    <row r="131027" spans="10:10" x14ac:dyDescent="0.3">
      <c r="J131027"/>
    </row>
    <row r="131028" spans="10:10" x14ac:dyDescent="0.3">
      <c r="J131028"/>
    </row>
    <row r="131029" spans="10:10" x14ac:dyDescent="0.3">
      <c r="J131029"/>
    </row>
    <row r="131030" spans="10:10" x14ac:dyDescent="0.3">
      <c r="J131030"/>
    </row>
    <row r="131031" spans="10:10" x14ac:dyDescent="0.3">
      <c r="J131031"/>
    </row>
    <row r="131032" spans="10:10" x14ac:dyDescent="0.3">
      <c r="J131032"/>
    </row>
    <row r="131033" spans="10:10" x14ac:dyDescent="0.3">
      <c r="J131033"/>
    </row>
    <row r="131034" spans="10:10" x14ac:dyDescent="0.3">
      <c r="J131034"/>
    </row>
    <row r="131035" spans="10:10" x14ac:dyDescent="0.3">
      <c r="J131035"/>
    </row>
    <row r="131036" spans="10:10" x14ac:dyDescent="0.3">
      <c r="J131036"/>
    </row>
    <row r="131037" spans="10:10" x14ac:dyDescent="0.3">
      <c r="J131037"/>
    </row>
    <row r="131038" spans="10:10" x14ac:dyDescent="0.3">
      <c r="J131038"/>
    </row>
    <row r="131039" spans="10:10" x14ac:dyDescent="0.3">
      <c r="J131039"/>
    </row>
    <row r="131040" spans="10:10" x14ac:dyDescent="0.3">
      <c r="J131040"/>
    </row>
    <row r="131041" spans="10:10" x14ac:dyDescent="0.3">
      <c r="J131041"/>
    </row>
    <row r="131042" spans="10:10" x14ac:dyDescent="0.3">
      <c r="J131042"/>
    </row>
    <row r="131043" spans="10:10" x14ac:dyDescent="0.3">
      <c r="J131043"/>
    </row>
    <row r="131044" spans="10:10" x14ac:dyDescent="0.3">
      <c r="J131044"/>
    </row>
    <row r="131045" spans="10:10" x14ac:dyDescent="0.3">
      <c r="J131045"/>
    </row>
    <row r="131046" spans="10:10" x14ac:dyDescent="0.3">
      <c r="J131046"/>
    </row>
    <row r="131047" spans="10:10" x14ac:dyDescent="0.3">
      <c r="J131047"/>
    </row>
    <row r="131048" spans="10:10" x14ac:dyDescent="0.3">
      <c r="J131048"/>
    </row>
    <row r="131049" spans="10:10" x14ac:dyDescent="0.3">
      <c r="J131049"/>
    </row>
    <row r="131050" spans="10:10" x14ac:dyDescent="0.3">
      <c r="J131050"/>
    </row>
    <row r="131051" spans="10:10" x14ac:dyDescent="0.3">
      <c r="J131051"/>
    </row>
    <row r="131052" spans="10:10" x14ac:dyDescent="0.3">
      <c r="J131052"/>
    </row>
    <row r="131053" spans="10:10" x14ac:dyDescent="0.3">
      <c r="J131053"/>
    </row>
    <row r="131054" spans="10:10" x14ac:dyDescent="0.3">
      <c r="J131054"/>
    </row>
    <row r="131055" spans="10:10" x14ac:dyDescent="0.3">
      <c r="J131055"/>
    </row>
    <row r="131056" spans="10:10" x14ac:dyDescent="0.3">
      <c r="J131056"/>
    </row>
    <row r="131057" spans="10:10" x14ac:dyDescent="0.3">
      <c r="J131057"/>
    </row>
    <row r="131058" spans="10:10" x14ac:dyDescent="0.3">
      <c r="J131058"/>
    </row>
    <row r="131059" spans="10:10" x14ac:dyDescent="0.3">
      <c r="J131059"/>
    </row>
    <row r="131060" spans="10:10" x14ac:dyDescent="0.3">
      <c r="J131060"/>
    </row>
    <row r="131061" spans="10:10" x14ac:dyDescent="0.3">
      <c r="J131061"/>
    </row>
    <row r="131062" spans="10:10" x14ac:dyDescent="0.3">
      <c r="J131062"/>
    </row>
    <row r="131063" spans="10:10" x14ac:dyDescent="0.3">
      <c r="J131063"/>
    </row>
    <row r="131064" spans="10:10" x14ac:dyDescent="0.3">
      <c r="J131064"/>
    </row>
    <row r="131065" spans="10:10" x14ac:dyDescent="0.3">
      <c r="J131065"/>
    </row>
    <row r="131066" spans="10:10" x14ac:dyDescent="0.3">
      <c r="J131066"/>
    </row>
    <row r="131067" spans="10:10" x14ac:dyDescent="0.3">
      <c r="J131067"/>
    </row>
    <row r="131068" spans="10:10" x14ac:dyDescent="0.3">
      <c r="J131068"/>
    </row>
    <row r="131069" spans="10:10" x14ac:dyDescent="0.3">
      <c r="J131069"/>
    </row>
    <row r="131070" spans="10:10" x14ac:dyDescent="0.3">
      <c r="J131070"/>
    </row>
    <row r="131071" spans="10:10" x14ac:dyDescent="0.3">
      <c r="J131071"/>
    </row>
    <row r="131072" spans="10:10" x14ac:dyDescent="0.3">
      <c r="J131072"/>
    </row>
    <row r="131073" spans="10:10" x14ac:dyDescent="0.3">
      <c r="J131073"/>
    </row>
    <row r="131074" spans="10:10" x14ac:dyDescent="0.3">
      <c r="J131074"/>
    </row>
    <row r="131075" spans="10:10" x14ac:dyDescent="0.3">
      <c r="J131075"/>
    </row>
    <row r="131076" spans="10:10" x14ac:dyDescent="0.3">
      <c r="J131076"/>
    </row>
    <row r="131077" spans="10:10" x14ac:dyDescent="0.3">
      <c r="J131077"/>
    </row>
    <row r="131078" spans="10:10" x14ac:dyDescent="0.3">
      <c r="J131078"/>
    </row>
    <row r="131079" spans="10:10" x14ac:dyDescent="0.3">
      <c r="J131079"/>
    </row>
    <row r="131080" spans="10:10" x14ac:dyDescent="0.3">
      <c r="J131080"/>
    </row>
    <row r="131081" spans="10:10" x14ac:dyDescent="0.3">
      <c r="J131081"/>
    </row>
    <row r="131082" spans="10:10" x14ac:dyDescent="0.3">
      <c r="J131082"/>
    </row>
    <row r="131083" spans="10:10" x14ac:dyDescent="0.3">
      <c r="J131083"/>
    </row>
    <row r="131084" spans="10:10" x14ac:dyDescent="0.3">
      <c r="J131084"/>
    </row>
    <row r="131085" spans="10:10" x14ac:dyDescent="0.3">
      <c r="J131085"/>
    </row>
    <row r="131086" spans="10:10" x14ac:dyDescent="0.3">
      <c r="J131086"/>
    </row>
    <row r="131087" spans="10:10" x14ac:dyDescent="0.3">
      <c r="J131087"/>
    </row>
    <row r="131088" spans="10:10" x14ac:dyDescent="0.3">
      <c r="J131088"/>
    </row>
    <row r="131089" spans="10:10" x14ac:dyDescent="0.3">
      <c r="J131089"/>
    </row>
    <row r="131090" spans="10:10" x14ac:dyDescent="0.3">
      <c r="J131090"/>
    </row>
    <row r="131091" spans="10:10" x14ac:dyDescent="0.3">
      <c r="J131091"/>
    </row>
    <row r="131092" spans="10:10" x14ac:dyDescent="0.3">
      <c r="J131092"/>
    </row>
    <row r="131093" spans="10:10" x14ac:dyDescent="0.3">
      <c r="J131093"/>
    </row>
    <row r="131094" spans="10:10" x14ac:dyDescent="0.3">
      <c r="J131094"/>
    </row>
    <row r="131095" spans="10:10" x14ac:dyDescent="0.3">
      <c r="J131095"/>
    </row>
    <row r="131096" spans="10:10" x14ac:dyDescent="0.3">
      <c r="J131096"/>
    </row>
    <row r="131097" spans="10:10" x14ac:dyDescent="0.3">
      <c r="J131097"/>
    </row>
    <row r="131098" spans="10:10" x14ac:dyDescent="0.3">
      <c r="J131098"/>
    </row>
    <row r="131099" spans="10:10" x14ac:dyDescent="0.3">
      <c r="J131099"/>
    </row>
    <row r="131100" spans="10:10" x14ac:dyDescent="0.3">
      <c r="J131100"/>
    </row>
    <row r="131101" spans="10:10" x14ac:dyDescent="0.3">
      <c r="J131101"/>
    </row>
    <row r="131102" spans="10:10" x14ac:dyDescent="0.3">
      <c r="J131102"/>
    </row>
    <row r="131103" spans="10:10" x14ac:dyDescent="0.3">
      <c r="J131103"/>
    </row>
    <row r="131104" spans="10:10" x14ac:dyDescent="0.3">
      <c r="J131104"/>
    </row>
    <row r="131105" spans="10:10" x14ac:dyDescent="0.3">
      <c r="J131105"/>
    </row>
    <row r="131106" spans="10:10" x14ac:dyDescent="0.3">
      <c r="J131106"/>
    </row>
    <row r="131107" spans="10:10" x14ac:dyDescent="0.3">
      <c r="J131107"/>
    </row>
    <row r="131108" spans="10:10" x14ac:dyDescent="0.3">
      <c r="J131108"/>
    </row>
    <row r="131109" spans="10:10" x14ac:dyDescent="0.3">
      <c r="J131109"/>
    </row>
    <row r="131110" spans="10:10" x14ac:dyDescent="0.3">
      <c r="J131110"/>
    </row>
    <row r="131111" spans="10:10" x14ac:dyDescent="0.3">
      <c r="J131111"/>
    </row>
    <row r="131112" spans="10:10" x14ac:dyDescent="0.3">
      <c r="J131112"/>
    </row>
    <row r="131113" spans="10:10" x14ac:dyDescent="0.3">
      <c r="J131113"/>
    </row>
    <row r="131114" spans="10:10" x14ac:dyDescent="0.3">
      <c r="J131114"/>
    </row>
    <row r="131115" spans="10:10" x14ac:dyDescent="0.3">
      <c r="J131115"/>
    </row>
    <row r="131116" spans="10:10" x14ac:dyDescent="0.3">
      <c r="J131116"/>
    </row>
    <row r="131117" spans="10:10" x14ac:dyDescent="0.3">
      <c r="J131117"/>
    </row>
    <row r="131118" spans="10:10" x14ac:dyDescent="0.3">
      <c r="J131118"/>
    </row>
    <row r="131119" spans="10:10" x14ac:dyDescent="0.3">
      <c r="J131119"/>
    </row>
    <row r="131120" spans="10:10" x14ac:dyDescent="0.3">
      <c r="J131120"/>
    </row>
    <row r="131121" spans="10:10" x14ac:dyDescent="0.3">
      <c r="J131121"/>
    </row>
    <row r="131122" spans="10:10" x14ac:dyDescent="0.3">
      <c r="J131122"/>
    </row>
    <row r="131123" spans="10:10" x14ac:dyDescent="0.3">
      <c r="J131123"/>
    </row>
    <row r="131124" spans="10:10" x14ac:dyDescent="0.3">
      <c r="J131124"/>
    </row>
    <row r="131125" spans="10:10" x14ac:dyDescent="0.3">
      <c r="J131125"/>
    </row>
    <row r="131126" spans="10:10" x14ac:dyDescent="0.3">
      <c r="J131126"/>
    </row>
    <row r="131127" spans="10:10" x14ac:dyDescent="0.3">
      <c r="J131127"/>
    </row>
    <row r="131128" spans="10:10" x14ac:dyDescent="0.3">
      <c r="J131128"/>
    </row>
    <row r="131129" spans="10:10" x14ac:dyDescent="0.3">
      <c r="J131129"/>
    </row>
    <row r="131130" spans="10:10" x14ac:dyDescent="0.3">
      <c r="J131130"/>
    </row>
    <row r="131131" spans="10:10" x14ac:dyDescent="0.3">
      <c r="J131131"/>
    </row>
    <row r="131132" spans="10:10" x14ac:dyDescent="0.3">
      <c r="J131132"/>
    </row>
    <row r="131133" spans="10:10" x14ac:dyDescent="0.3">
      <c r="J131133"/>
    </row>
    <row r="131134" spans="10:10" x14ac:dyDescent="0.3">
      <c r="J131134"/>
    </row>
    <row r="131135" spans="10:10" x14ac:dyDescent="0.3">
      <c r="J131135"/>
    </row>
    <row r="131136" spans="10:10" x14ac:dyDescent="0.3">
      <c r="J131136"/>
    </row>
    <row r="131137" spans="10:10" x14ac:dyDescent="0.3">
      <c r="J131137"/>
    </row>
    <row r="131138" spans="10:10" x14ac:dyDescent="0.3">
      <c r="J131138"/>
    </row>
    <row r="131139" spans="10:10" x14ac:dyDescent="0.3">
      <c r="J131139"/>
    </row>
    <row r="131140" spans="10:10" x14ac:dyDescent="0.3">
      <c r="J131140"/>
    </row>
    <row r="131141" spans="10:10" x14ac:dyDescent="0.3">
      <c r="J131141"/>
    </row>
    <row r="131142" spans="10:10" x14ac:dyDescent="0.3">
      <c r="J131142"/>
    </row>
    <row r="131143" spans="10:10" x14ac:dyDescent="0.3">
      <c r="J131143"/>
    </row>
    <row r="131144" spans="10:10" x14ac:dyDescent="0.3">
      <c r="J131144"/>
    </row>
    <row r="131145" spans="10:10" x14ac:dyDescent="0.3">
      <c r="J131145"/>
    </row>
    <row r="131146" spans="10:10" x14ac:dyDescent="0.3">
      <c r="J131146"/>
    </row>
    <row r="131147" spans="10:10" x14ac:dyDescent="0.3">
      <c r="J131147"/>
    </row>
    <row r="131148" spans="10:10" x14ac:dyDescent="0.3">
      <c r="J131148"/>
    </row>
    <row r="131149" spans="10:10" x14ac:dyDescent="0.3">
      <c r="J131149"/>
    </row>
    <row r="131150" spans="10:10" x14ac:dyDescent="0.3">
      <c r="J131150"/>
    </row>
    <row r="131151" spans="10:10" x14ac:dyDescent="0.3">
      <c r="J131151"/>
    </row>
    <row r="131152" spans="10:10" x14ac:dyDescent="0.3">
      <c r="J131152"/>
    </row>
    <row r="131153" spans="10:10" x14ac:dyDescent="0.3">
      <c r="J131153"/>
    </row>
    <row r="131154" spans="10:10" x14ac:dyDescent="0.3">
      <c r="J131154"/>
    </row>
    <row r="131155" spans="10:10" x14ac:dyDescent="0.3">
      <c r="J131155"/>
    </row>
    <row r="131156" spans="10:10" x14ac:dyDescent="0.3">
      <c r="J131156"/>
    </row>
    <row r="131157" spans="10:10" x14ac:dyDescent="0.3">
      <c r="J131157"/>
    </row>
    <row r="131158" spans="10:10" x14ac:dyDescent="0.3">
      <c r="J131158"/>
    </row>
    <row r="131159" spans="10:10" x14ac:dyDescent="0.3">
      <c r="J131159"/>
    </row>
    <row r="131160" spans="10:10" x14ac:dyDescent="0.3">
      <c r="J131160"/>
    </row>
    <row r="131161" spans="10:10" x14ac:dyDescent="0.3">
      <c r="J131161"/>
    </row>
    <row r="131162" spans="10:10" x14ac:dyDescent="0.3">
      <c r="J131162"/>
    </row>
    <row r="131163" spans="10:10" x14ac:dyDescent="0.3">
      <c r="J131163"/>
    </row>
    <row r="131164" spans="10:10" x14ac:dyDescent="0.3">
      <c r="J131164"/>
    </row>
    <row r="131165" spans="10:10" x14ac:dyDescent="0.3">
      <c r="J131165"/>
    </row>
    <row r="131166" spans="10:10" x14ac:dyDescent="0.3">
      <c r="J131166"/>
    </row>
    <row r="131167" spans="10:10" x14ac:dyDescent="0.3">
      <c r="J131167"/>
    </row>
    <row r="131168" spans="10:10" x14ac:dyDescent="0.3">
      <c r="J131168"/>
    </row>
    <row r="131169" spans="10:10" x14ac:dyDescent="0.3">
      <c r="J131169"/>
    </row>
    <row r="131170" spans="10:10" x14ac:dyDescent="0.3">
      <c r="J131170"/>
    </row>
    <row r="131171" spans="10:10" x14ac:dyDescent="0.3">
      <c r="J131171"/>
    </row>
    <row r="131172" spans="10:10" x14ac:dyDescent="0.3">
      <c r="J131172"/>
    </row>
    <row r="131173" spans="10:10" x14ac:dyDescent="0.3">
      <c r="J131173"/>
    </row>
    <row r="131174" spans="10:10" x14ac:dyDescent="0.3">
      <c r="J131174"/>
    </row>
    <row r="131175" spans="10:10" x14ac:dyDescent="0.3">
      <c r="J131175"/>
    </row>
    <row r="131176" spans="10:10" x14ac:dyDescent="0.3">
      <c r="J131176"/>
    </row>
    <row r="131177" spans="10:10" x14ac:dyDescent="0.3">
      <c r="J131177"/>
    </row>
    <row r="131178" spans="10:10" x14ac:dyDescent="0.3">
      <c r="J131178"/>
    </row>
    <row r="131179" spans="10:10" x14ac:dyDescent="0.3">
      <c r="J131179"/>
    </row>
    <row r="131180" spans="10:10" x14ac:dyDescent="0.3">
      <c r="J131180"/>
    </row>
    <row r="131181" spans="10:10" x14ac:dyDescent="0.3">
      <c r="J131181"/>
    </row>
    <row r="131182" spans="10:10" x14ac:dyDescent="0.3">
      <c r="J131182"/>
    </row>
    <row r="131183" spans="10:10" x14ac:dyDescent="0.3">
      <c r="J131183"/>
    </row>
    <row r="131184" spans="10:10" x14ac:dyDescent="0.3">
      <c r="J131184"/>
    </row>
    <row r="131185" spans="10:10" x14ac:dyDescent="0.3">
      <c r="J131185"/>
    </row>
    <row r="131186" spans="10:10" x14ac:dyDescent="0.3">
      <c r="J131186"/>
    </row>
    <row r="131187" spans="10:10" x14ac:dyDescent="0.3">
      <c r="J131187"/>
    </row>
    <row r="131188" spans="10:10" x14ac:dyDescent="0.3">
      <c r="J131188"/>
    </row>
    <row r="131189" spans="10:10" x14ac:dyDescent="0.3">
      <c r="J131189"/>
    </row>
    <row r="131190" spans="10:10" x14ac:dyDescent="0.3">
      <c r="J131190"/>
    </row>
    <row r="131191" spans="10:10" x14ac:dyDescent="0.3">
      <c r="J131191"/>
    </row>
    <row r="131192" spans="10:10" x14ac:dyDescent="0.3">
      <c r="J131192"/>
    </row>
    <row r="131193" spans="10:10" x14ac:dyDescent="0.3">
      <c r="J131193"/>
    </row>
    <row r="131194" spans="10:10" x14ac:dyDescent="0.3">
      <c r="J131194"/>
    </row>
    <row r="131195" spans="10:10" x14ac:dyDescent="0.3">
      <c r="J131195"/>
    </row>
    <row r="131196" spans="10:10" x14ac:dyDescent="0.3">
      <c r="J131196"/>
    </row>
    <row r="131197" spans="10:10" x14ac:dyDescent="0.3">
      <c r="J131197"/>
    </row>
    <row r="131198" spans="10:10" x14ac:dyDescent="0.3">
      <c r="J131198"/>
    </row>
    <row r="131199" spans="10:10" x14ac:dyDescent="0.3">
      <c r="J131199"/>
    </row>
    <row r="131200" spans="10:10" x14ac:dyDescent="0.3">
      <c r="J131200"/>
    </row>
    <row r="131201" spans="10:10" x14ac:dyDescent="0.3">
      <c r="J131201"/>
    </row>
    <row r="131202" spans="10:10" x14ac:dyDescent="0.3">
      <c r="J131202"/>
    </row>
    <row r="131203" spans="10:10" x14ac:dyDescent="0.3">
      <c r="J131203"/>
    </row>
    <row r="131204" spans="10:10" x14ac:dyDescent="0.3">
      <c r="J131204"/>
    </row>
    <row r="131205" spans="10:10" x14ac:dyDescent="0.3">
      <c r="J131205"/>
    </row>
    <row r="131206" spans="10:10" x14ac:dyDescent="0.3">
      <c r="J131206"/>
    </row>
    <row r="131207" spans="10:10" x14ac:dyDescent="0.3">
      <c r="J131207"/>
    </row>
    <row r="131208" spans="10:10" x14ac:dyDescent="0.3">
      <c r="J131208"/>
    </row>
    <row r="131209" spans="10:10" x14ac:dyDescent="0.3">
      <c r="J131209"/>
    </row>
    <row r="131210" spans="10:10" x14ac:dyDescent="0.3">
      <c r="J131210"/>
    </row>
    <row r="131211" spans="10:10" x14ac:dyDescent="0.3">
      <c r="J131211"/>
    </row>
    <row r="131212" spans="10:10" x14ac:dyDescent="0.3">
      <c r="J131212"/>
    </row>
    <row r="131213" spans="10:10" x14ac:dyDescent="0.3">
      <c r="J131213"/>
    </row>
    <row r="131214" spans="10:10" x14ac:dyDescent="0.3">
      <c r="J131214"/>
    </row>
    <row r="131215" spans="10:10" x14ac:dyDescent="0.3">
      <c r="J131215"/>
    </row>
    <row r="131216" spans="10:10" x14ac:dyDescent="0.3">
      <c r="J131216"/>
    </row>
    <row r="131217" spans="10:10" x14ac:dyDescent="0.3">
      <c r="J131217"/>
    </row>
    <row r="131218" spans="10:10" x14ac:dyDescent="0.3">
      <c r="J131218"/>
    </row>
    <row r="131219" spans="10:10" x14ac:dyDescent="0.3">
      <c r="J131219"/>
    </row>
    <row r="131220" spans="10:10" x14ac:dyDescent="0.3">
      <c r="J131220"/>
    </row>
    <row r="131221" spans="10:10" x14ac:dyDescent="0.3">
      <c r="J131221"/>
    </row>
    <row r="131222" spans="10:10" x14ac:dyDescent="0.3">
      <c r="J131222"/>
    </row>
    <row r="131223" spans="10:10" x14ac:dyDescent="0.3">
      <c r="J131223"/>
    </row>
    <row r="131224" spans="10:10" x14ac:dyDescent="0.3">
      <c r="J131224"/>
    </row>
    <row r="131225" spans="10:10" x14ac:dyDescent="0.3">
      <c r="J131225"/>
    </row>
    <row r="131226" spans="10:10" x14ac:dyDescent="0.3">
      <c r="J131226"/>
    </row>
    <row r="131227" spans="10:10" x14ac:dyDescent="0.3">
      <c r="J131227"/>
    </row>
    <row r="131228" spans="10:10" x14ac:dyDescent="0.3">
      <c r="J131228"/>
    </row>
    <row r="131229" spans="10:10" x14ac:dyDescent="0.3">
      <c r="J131229"/>
    </row>
    <row r="131230" spans="10:10" x14ac:dyDescent="0.3">
      <c r="J131230"/>
    </row>
    <row r="131231" spans="10:10" x14ac:dyDescent="0.3">
      <c r="J131231"/>
    </row>
    <row r="131232" spans="10:10" x14ac:dyDescent="0.3">
      <c r="J131232"/>
    </row>
    <row r="131233" spans="10:10" x14ac:dyDescent="0.3">
      <c r="J131233"/>
    </row>
    <row r="131234" spans="10:10" x14ac:dyDescent="0.3">
      <c r="J131234"/>
    </row>
    <row r="131235" spans="10:10" x14ac:dyDescent="0.3">
      <c r="J131235"/>
    </row>
    <row r="131236" spans="10:10" x14ac:dyDescent="0.3">
      <c r="J131236"/>
    </row>
    <row r="131237" spans="10:10" x14ac:dyDescent="0.3">
      <c r="J131237"/>
    </row>
    <row r="131238" spans="10:10" x14ac:dyDescent="0.3">
      <c r="J131238"/>
    </row>
    <row r="131239" spans="10:10" x14ac:dyDescent="0.3">
      <c r="J131239"/>
    </row>
    <row r="131240" spans="10:10" x14ac:dyDescent="0.3">
      <c r="J131240"/>
    </row>
    <row r="131241" spans="10:10" x14ac:dyDescent="0.3">
      <c r="J131241"/>
    </row>
    <row r="131242" spans="10:10" x14ac:dyDescent="0.3">
      <c r="J131242"/>
    </row>
    <row r="131243" spans="10:10" x14ac:dyDescent="0.3">
      <c r="J131243"/>
    </row>
    <row r="131244" spans="10:10" x14ac:dyDescent="0.3">
      <c r="J131244"/>
    </row>
    <row r="131245" spans="10:10" x14ac:dyDescent="0.3">
      <c r="J131245"/>
    </row>
    <row r="131246" spans="10:10" x14ac:dyDescent="0.3">
      <c r="J131246"/>
    </row>
    <row r="131247" spans="10:10" x14ac:dyDescent="0.3">
      <c r="J131247"/>
    </row>
    <row r="131248" spans="10:10" x14ac:dyDescent="0.3">
      <c r="J131248"/>
    </row>
    <row r="131249" spans="10:10" x14ac:dyDescent="0.3">
      <c r="J131249"/>
    </row>
    <row r="131250" spans="10:10" x14ac:dyDescent="0.3">
      <c r="J131250"/>
    </row>
    <row r="131251" spans="10:10" x14ac:dyDescent="0.3">
      <c r="J131251"/>
    </row>
    <row r="131252" spans="10:10" x14ac:dyDescent="0.3">
      <c r="J131252"/>
    </row>
    <row r="131253" spans="10:10" x14ac:dyDescent="0.3">
      <c r="J131253"/>
    </row>
    <row r="131254" spans="10:10" x14ac:dyDescent="0.3">
      <c r="J131254"/>
    </row>
    <row r="131255" spans="10:10" x14ac:dyDescent="0.3">
      <c r="J131255"/>
    </row>
    <row r="131256" spans="10:10" x14ac:dyDescent="0.3">
      <c r="J131256"/>
    </row>
    <row r="131257" spans="10:10" x14ac:dyDescent="0.3">
      <c r="J131257"/>
    </row>
    <row r="131258" spans="10:10" x14ac:dyDescent="0.3">
      <c r="J131258"/>
    </row>
    <row r="131259" spans="10:10" x14ac:dyDescent="0.3">
      <c r="J131259"/>
    </row>
    <row r="131260" spans="10:10" x14ac:dyDescent="0.3">
      <c r="J131260"/>
    </row>
    <row r="131261" spans="10:10" x14ac:dyDescent="0.3">
      <c r="J131261"/>
    </row>
    <row r="131262" spans="10:10" x14ac:dyDescent="0.3">
      <c r="J131262"/>
    </row>
    <row r="131263" spans="10:10" x14ac:dyDescent="0.3">
      <c r="J131263"/>
    </row>
    <row r="131264" spans="10:10" x14ac:dyDescent="0.3">
      <c r="J131264"/>
    </row>
    <row r="131265" spans="10:10" x14ac:dyDescent="0.3">
      <c r="J131265"/>
    </row>
    <row r="131266" spans="10:10" x14ac:dyDescent="0.3">
      <c r="J131266"/>
    </row>
    <row r="131267" spans="10:10" x14ac:dyDescent="0.3">
      <c r="J131267"/>
    </row>
    <row r="131268" spans="10:10" x14ac:dyDescent="0.3">
      <c r="J131268"/>
    </row>
    <row r="131269" spans="10:10" x14ac:dyDescent="0.3">
      <c r="J131269"/>
    </row>
    <row r="131270" spans="10:10" x14ac:dyDescent="0.3">
      <c r="J131270"/>
    </row>
    <row r="131271" spans="10:10" x14ac:dyDescent="0.3">
      <c r="J131271"/>
    </row>
    <row r="131272" spans="10:10" x14ac:dyDescent="0.3">
      <c r="J131272"/>
    </row>
    <row r="131273" spans="10:10" x14ac:dyDescent="0.3">
      <c r="J131273"/>
    </row>
    <row r="131274" spans="10:10" x14ac:dyDescent="0.3">
      <c r="J131274"/>
    </row>
    <row r="131275" spans="10:10" x14ac:dyDescent="0.3">
      <c r="J131275"/>
    </row>
    <row r="131276" spans="10:10" x14ac:dyDescent="0.3">
      <c r="J131276"/>
    </row>
    <row r="131277" spans="10:10" x14ac:dyDescent="0.3">
      <c r="J131277"/>
    </row>
    <row r="131278" spans="10:10" x14ac:dyDescent="0.3">
      <c r="J131278"/>
    </row>
    <row r="131279" spans="10:10" x14ac:dyDescent="0.3">
      <c r="J131279"/>
    </row>
    <row r="131280" spans="10:10" x14ac:dyDescent="0.3">
      <c r="J131280"/>
    </row>
    <row r="131281" spans="10:10" x14ac:dyDescent="0.3">
      <c r="J131281"/>
    </row>
    <row r="131282" spans="10:10" x14ac:dyDescent="0.3">
      <c r="J131282"/>
    </row>
    <row r="131283" spans="10:10" x14ac:dyDescent="0.3">
      <c r="J131283"/>
    </row>
    <row r="131284" spans="10:10" x14ac:dyDescent="0.3">
      <c r="J131284"/>
    </row>
    <row r="131285" spans="10:10" x14ac:dyDescent="0.3">
      <c r="J131285"/>
    </row>
    <row r="131286" spans="10:10" x14ac:dyDescent="0.3">
      <c r="J131286"/>
    </row>
    <row r="131287" spans="10:10" x14ac:dyDescent="0.3">
      <c r="J131287"/>
    </row>
    <row r="131288" spans="10:10" x14ac:dyDescent="0.3">
      <c r="J131288"/>
    </row>
    <row r="131289" spans="10:10" x14ac:dyDescent="0.3">
      <c r="J131289"/>
    </row>
    <row r="131290" spans="10:10" x14ac:dyDescent="0.3">
      <c r="J131290"/>
    </row>
    <row r="131291" spans="10:10" x14ac:dyDescent="0.3">
      <c r="J131291"/>
    </row>
    <row r="131292" spans="10:10" x14ac:dyDescent="0.3">
      <c r="J131292"/>
    </row>
    <row r="131293" spans="10:10" x14ac:dyDescent="0.3">
      <c r="J131293"/>
    </row>
    <row r="131294" spans="10:10" x14ac:dyDescent="0.3">
      <c r="J131294"/>
    </row>
    <row r="131295" spans="10:10" x14ac:dyDescent="0.3">
      <c r="J131295"/>
    </row>
    <row r="131296" spans="10:10" x14ac:dyDescent="0.3">
      <c r="J131296"/>
    </row>
    <row r="131297" spans="10:10" x14ac:dyDescent="0.3">
      <c r="J131297"/>
    </row>
    <row r="131298" spans="10:10" x14ac:dyDescent="0.3">
      <c r="J131298"/>
    </row>
    <row r="131299" spans="10:10" x14ac:dyDescent="0.3">
      <c r="J131299"/>
    </row>
    <row r="131300" spans="10:10" x14ac:dyDescent="0.3">
      <c r="J131300"/>
    </row>
    <row r="131301" spans="10:10" x14ac:dyDescent="0.3">
      <c r="J131301"/>
    </row>
    <row r="131302" spans="10:10" x14ac:dyDescent="0.3">
      <c r="J131302"/>
    </row>
    <row r="131303" spans="10:10" x14ac:dyDescent="0.3">
      <c r="J131303"/>
    </row>
    <row r="131304" spans="10:10" x14ac:dyDescent="0.3">
      <c r="J131304"/>
    </row>
    <row r="131305" spans="10:10" x14ac:dyDescent="0.3">
      <c r="J131305"/>
    </row>
    <row r="131306" spans="10:10" x14ac:dyDescent="0.3">
      <c r="J131306"/>
    </row>
    <row r="131307" spans="10:10" x14ac:dyDescent="0.3">
      <c r="J131307"/>
    </row>
    <row r="131308" spans="10:10" x14ac:dyDescent="0.3">
      <c r="J131308"/>
    </row>
    <row r="131309" spans="10:10" x14ac:dyDescent="0.3">
      <c r="J131309"/>
    </row>
    <row r="131310" spans="10:10" x14ac:dyDescent="0.3">
      <c r="J131310"/>
    </row>
    <row r="131311" spans="10:10" x14ac:dyDescent="0.3">
      <c r="J131311"/>
    </row>
    <row r="131312" spans="10:10" x14ac:dyDescent="0.3">
      <c r="J131312"/>
    </row>
    <row r="131313" spans="10:10" x14ac:dyDescent="0.3">
      <c r="J131313"/>
    </row>
    <row r="131314" spans="10:10" x14ac:dyDescent="0.3">
      <c r="J131314"/>
    </row>
    <row r="131315" spans="10:10" x14ac:dyDescent="0.3">
      <c r="J131315"/>
    </row>
    <row r="131316" spans="10:10" x14ac:dyDescent="0.3">
      <c r="J131316"/>
    </row>
    <row r="131317" spans="10:10" x14ac:dyDescent="0.3">
      <c r="J131317"/>
    </row>
    <row r="131318" spans="10:10" x14ac:dyDescent="0.3">
      <c r="J131318"/>
    </row>
    <row r="131319" spans="10:10" x14ac:dyDescent="0.3">
      <c r="J131319"/>
    </row>
    <row r="131320" spans="10:10" x14ac:dyDescent="0.3">
      <c r="J131320"/>
    </row>
    <row r="131321" spans="10:10" x14ac:dyDescent="0.3">
      <c r="J131321"/>
    </row>
    <row r="131322" spans="10:10" x14ac:dyDescent="0.3">
      <c r="J131322"/>
    </row>
    <row r="131323" spans="10:10" x14ac:dyDescent="0.3">
      <c r="J131323"/>
    </row>
    <row r="131324" spans="10:10" x14ac:dyDescent="0.3">
      <c r="J131324"/>
    </row>
    <row r="131325" spans="10:10" x14ac:dyDescent="0.3">
      <c r="J131325"/>
    </row>
    <row r="131326" spans="10:10" x14ac:dyDescent="0.3">
      <c r="J131326"/>
    </row>
    <row r="131327" spans="10:10" x14ac:dyDescent="0.3">
      <c r="J131327"/>
    </row>
    <row r="131328" spans="10:10" x14ac:dyDescent="0.3">
      <c r="J131328"/>
    </row>
    <row r="131329" spans="10:10" x14ac:dyDescent="0.3">
      <c r="J131329"/>
    </row>
    <row r="131330" spans="10:10" x14ac:dyDescent="0.3">
      <c r="J131330"/>
    </row>
    <row r="131331" spans="10:10" x14ac:dyDescent="0.3">
      <c r="J131331"/>
    </row>
    <row r="131332" spans="10:10" x14ac:dyDescent="0.3">
      <c r="J131332"/>
    </row>
    <row r="131333" spans="10:10" x14ac:dyDescent="0.3">
      <c r="J131333"/>
    </row>
    <row r="131334" spans="10:10" x14ac:dyDescent="0.3">
      <c r="J131334"/>
    </row>
    <row r="131335" spans="10:10" x14ac:dyDescent="0.3">
      <c r="J131335"/>
    </row>
    <row r="131336" spans="10:10" x14ac:dyDescent="0.3">
      <c r="J131336"/>
    </row>
    <row r="131337" spans="10:10" x14ac:dyDescent="0.3">
      <c r="J131337"/>
    </row>
    <row r="131338" spans="10:10" x14ac:dyDescent="0.3">
      <c r="J131338"/>
    </row>
    <row r="131339" spans="10:10" x14ac:dyDescent="0.3">
      <c r="J131339"/>
    </row>
    <row r="131340" spans="10:10" x14ac:dyDescent="0.3">
      <c r="J131340"/>
    </row>
    <row r="131341" spans="10:10" x14ac:dyDescent="0.3">
      <c r="J131341"/>
    </row>
    <row r="131342" spans="10:10" x14ac:dyDescent="0.3">
      <c r="J131342"/>
    </row>
    <row r="131343" spans="10:10" x14ac:dyDescent="0.3">
      <c r="J131343"/>
    </row>
    <row r="131344" spans="10:10" x14ac:dyDescent="0.3">
      <c r="J131344"/>
    </row>
    <row r="131345" spans="10:10" x14ac:dyDescent="0.3">
      <c r="J131345"/>
    </row>
    <row r="131346" spans="10:10" x14ac:dyDescent="0.3">
      <c r="J131346"/>
    </row>
    <row r="131347" spans="10:10" x14ac:dyDescent="0.3">
      <c r="J131347"/>
    </row>
    <row r="131348" spans="10:10" x14ac:dyDescent="0.3">
      <c r="J131348"/>
    </row>
    <row r="131349" spans="10:10" x14ac:dyDescent="0.3">
      <c r="J131349"/>
    </row>
    <row r="131350" spans="10:10" x14ac:dyDescent="0.3">
      <c r="J131350"/>
    </row>
    <row r="131351" spans="10:10" x14ac:dyDescent="0.3">
      <c r="J131351"/>
    </row>
    <row r="131352" spans="10:10" x14ac:dyDescent="0.3">
      <c r="J131352"/>
    </row>
    <row r="131353" spans="10:10" x14ac:dyDescent="0.3">
      <c r="J131353"/>
    </row>
    <row r="131354" spans="10:10" x14ac:dyDescent="0.3">
      <c r="J131354"/>
    </row>
    <row r="131355" spans="10:10" x14ac:dyDescent="0.3">
      <c r="J131355"/>
    </row>
    <row r="131356" spans="10:10" x14ac:dyDescent="0.3">
      <c r="J131356"/>
    </row>
    <row r="131357" spans="10:10" x14ac:dyDescent="0.3">
      <c r="J131357"/>
    </row>
    <row r="131358" spans="10:10" x14ac:dyDescent="0.3">
      <c r="J131358"/>
    </row>
    <row r="131359" spans="10:10" x14ac:dyDescent="0.3">
      <c r="J131359"/>
    </row>
    <row r="131360" spans="10:10" x14ac:dyDescent="0.3">
      <c r="J131360"/>
    </row>
    <row r="131361" spans="10:10" x14ac:dyDescent="0.3">
      <c r="J131361"/>
    </row>
    <row r="131362" spans="10:10" x14ac:dyDescent="0.3">
      <c r="J131362"/>
    </row>
    <row r="131363" spans="10:10" x14ac:dyDescent="0.3">
      <c r="J131363"/>
    </row>
    <row r="131364" spans="10:10" x14ac:dyDescent="0.3">
      <c r="J131364"/>
    </row>
    <row r="131365" spans="10:10" x14ac:dyDescent="0.3">
      <c r="J131365"/>
    </row>
    <row r="131366" spans="10:10" x14ac:dyDescent="0.3">
      <c r="J131366"/>
    </row>
    <row r="131367" spans="10:10" x14ac:dyDescent="0.3">
      <c r="J131367"/>
    </row>
    <row r="131368" spans="10:10" x14ac:dyDescent="0.3">
      <c r="J131368"/>
    </row>
    <row r="131369" spans="10:10" x14ac:dyDescent="0.3">
      <c r="J131369"/>
    </row>
    <row r="131370" spans="10:10" x14ac:dyDescent="0.3">
      <c r="J131370"/>
    </row>
    <row r="131371" spans="10:10" x14ac:dyDescent="0.3">
      <c r="J131371"/>
    </row>
    <row r="131372" spans="10:10" x14ac:dyDescent="0.3">
      <c r="J131372"/>
    </row>
    <row r="131373" spans="10:10" x14ac:dyDescent="0.3">
      <c r="J131373"/>
    </row>
    <row r="131374" spans="10:10" x14ac:dyDescent="0.3">
      <c r="J131374"/>
    </row>
    <row r="131375" spans="10:10" x14ac:dyDescent="0.3">
      <c r="J131375"/>
    </row>
    <row r="131376" spans="10:10" x14ac:dyDescent="0.3">
      <c r="J131376"/>
    </row>
    <row r="131377" spans="10:10" x14ac:dyDescent="0.3">
      <c r="J131377"/>
    </row>
    <row r="131378" spans="10:10" x14ac:dyDescent="0.3">
      <c r="J131378"/>
    </row>
    <row r="131379" spans="10:10" x14ac:dyDescent="0.3">
      <c r="J131379"/>
    </row>
    <row r="131380" spans="10:10" x14ac:dyDescent="0.3">
      <c r="J131380"/>
    </row>
    <row r="131381" spans="10:10" x14ac:dyDescent="0.3">
      <c r="J131381"/>
    </row>
    <row r="131382" spans="10:10" x14ac:dyDescent="0.3">
      <c r="J131382"/>
    </row>
    <row r="131383" spans="10:10" x14ac:dyDescent="0.3">
      <c r="J131383"/>
    </row>
    <row r="131384" spans="10:10" x14ac:dyDescent="0.3">
      <c r="J131384"/>
    </row>
    <row r="131385" spans="10:10" x14ac:dyDescent="0.3">
      <c r="J131385"/>
    </row>
    <row r="131386" spans="10:10" x14ac:dyDescent="0.3">
      <c r="J131386"/>
    </row>
    <row r="131387" spans="10:10" x14ac:dyDescent="0.3">
      <c r="J131387"/>
    </row>
    <row r="131388" spans="10:10" x14ac:dyDescent="0.3">
      <c r="J131388"/>
    </row>
    <row r="131389" spans="10:10" x14ac:dyDescent="0.3">
      <c r="J131389"/>
    </row>
    <row r="131390" spans="10:10" x14ac:dyDescent="0.3">
      <c r="J131390"/>
    </row>
    <row r="131391" spans="10:10" x14ac:dyDescent="0.3">
      <c r="J131391"/>
    </row>
    <row r="131392" spans="10:10" x14ac:dyDescent="0.3">
      <c r="J131392"/>
    </row>
    <row r="131393" spans="10:10" x14ac:dyDescent="0.3">
      <c r="J131393"/>
    </row>
    <row r="131394" spans="10:10" x14ac:dyDescent="0.3">
      <c r="J131394"/>
    </row>
    <row r="131395" spans="10:10" x14ac:dyDescent="0.3">
      <c r="J131395"/>
    </row>
    <row r="131396" spans="10:10" x14ac:dyDescent="0.3">
      <c r="J131396"/>
    </row>
    <row r="131397" spans="10:10" x14ac:dyDescent="0.3">
      <c r="J131397"/>
    </row>
    <row r="131398" spans="10:10" x14ac:dyDescent="0.3">
      <c r="J131398"/>
    </row>
    <row r="131399" spans="10:10" x14ac:dyDescent="0.3">
      <c r="J131399"/>
    </row>
    <row r="131400" spans="10:10" x14ac:dyDescent="0.3">
      <c r="J131400"/>
    </row>
    <row r="131401" spans="10:10" x14ac:dyDescent="0.3">
      <c r="J131401"/>
    </row>
    <row r="131402" spans="10:10" x14ac:dyDescent="0.3">
      <c r="J131402"/>
    </row>
    <row r="131403" spans="10:10" x14ac:dyDescent="0.3">
      <c r="J131403"/>
    </row>
    <row r="131404" spans="10:10" x14ac:dyDescent="0.3">
      <c r="J131404"/>
    </row>
    <row r="131405" spans="10:10" x14ac:dyDescent="0.3">
      <c r="J131405"/>
    </row>
    <row r="131406" spans="10:10" x14ac:dyDescent="0.3">
      <c r="J131406"/>
    </row>
    <row r="131407" spans="10:10" x14ac:dyDescent="0.3">
      <c r="J131407"/>
    </row>
    <row r="131408" spans="10:10" x14ac:dyDescent="0.3">
      <c r="J131408"/>
    </row>
    <row r="131409" spans="10:10" x14ac:dyDescent="0.3">
      <c r="J131409"/>
    </row>
    <row r="131410" spans="10:10" x14ac:dyDescent="0.3">
      <c r="J131410"/>
    </row>
    <row r="131411" spans="10:10" x14ac:dyDescent="0.3">
      <c r="J131411"/>
    </row>
    <row r="131412" spans="10:10" x14ac:dyDescent="0.3">
      <c r="J131412"/>
    </row>
    <row r="131413" spans="10:10" x14ac:dyDescent="0.3">
      <c r="J131413"/>
    </row>
    <row r="131414" spans="10:10" x14ac:dyDescent="0.3">
      <c r="J131414"/>
    </row>
    <row r="131415" spans="10:10" x14ac:dyDescent="0.3">
      <c r="J131415"/>
    </row>
    <row r="131416" spans="10:10" x14ac:dyDescent="0.3">
      <c r="J131416"/>
    </row>
    <row r="131417" spans="10:10" x14ac:dyDescent="0.3">
      <c r="J131417"/>
    </row>
    <row r="131418" spans="10:10" x14ac:dyDescent="0.3">
      <c r="J131418"/>
    </row>
    <row r="131419" spans="10:10" x14ac:dyDescent="0.3">
      <c r="J131419"/>
    </row>
    <row r="131420" spans="10:10" x14ac:dyDescent="0.3">
      <c r="J131420"/>
    </row>
    <row r="131421" spans="10:10" x14ac:dyDescent="0.3">
      <c r="J131421"/>
    </row>
    <row r="131422" spans="10:10" x14ac:dyDescent="0.3">
      <c r="J131422"/>
    </row>
    <row r="131423" spans="10:10" x14ac:dyDescent="0.3">
      <c r="J131423"/>
    </row>
    <row r="131424" spans="10:10" x14ac:dyDescent="0.3">
      <c r="J131424"/>
    </row>
    <row r="131425" spans="10:10" x14ac:dyDescent="0.3">
      <c r="J131425"/>
    </row>
    <row r="131426" spans="10:10" x14ac:dyDescent="0.3">
      <c r="J131426"/>
    </row>
    <row r="131427" spans="10:10" x14ac:dyDescent="0.3">
      <c r="J131427"/>
    </row>
    <row r="131428" spans="10:10" x14ac:dyDescent="0.3">
      <c r="J131428"/>
    </row>
    <row r="131429" spans="10:10" x14ac:dyDescent="0.3">
      <c r="J131429"/>
    </row>
    <row r="131430" spans="10:10" x14ac:dyDescent="0.3">
      <c r="J131430"/>
    </row>
    <row r="131431" spans="10:10" x14ac:dyDescent="0.3">
      <c r="J131431"/>
    </row>
    <row r="131432" spans="10:10" x14ac:dyDescent="0.3">
      <c r="J131432"/>
    </row>
    <row r="131433" spans="10:10" x14ac:dyDescent="0.3">
      <c r="J131433"/>
    </row>
    <row r="131434" spans="10:10" x14ac:dyDescent="0.3">
      <c r="J131434"/>
    </row>
    <row r="131435" spans="10:10" x14ac:dyDescent="0.3">
      <c r="J131435"/>
    </row>
    <row r="131436" spans="10:10" x14ac:dyDescent="0.3">
      <c r="J131436"/>
    </row>
    <row r="131437" spans="10:10" x14ac:dyDescent="0.3">
      <c r="J131437"/>
    </row>
    <row r="131438" spans="10:10" x14ac:dyDescent="0.3">
      <c r="J131438"/>
    </row>
    <row r="131439" spans="10:10" x14ac:dyDescent="0.3">
      <c r="J131439"/>
    </row>
    <row r="131440" spans="10:10" x14ac:dyDescent="0.3">
      <c r="J131440"/>
    </row>
    <row r="131441" spans="10:10" x14ac:dyDescent="0.3">
      <c r="J131441"/>
    </row>
    <row r="131442" spans="10:10" x14ac:dyDescent="0.3">
      <c r="J131442"/>
    </row>
    <row r="131443" spans="10:10" x14ac:dyDescent="0.3">
      <c r="J131443"/>
    </row>
    <row r="131444" spans="10:10" x14ac:dyDescent="0.3">
      <c r="J131444"/>
    </row>
    <row r="131445" spans="10:10" x14ac:dyDescent="0.3">
      <c r="J131445"/>
    </row>
    <row r="131446" spans="10:10" x14ac:dyDescent="0.3">
      <c r="J131446"/>
    </row>
    <row r="131447" spans="10:10" x14ac:dyDescent="0.3">
      <c r="J131447"/>
    </row>
    <row r="131448" spans="10:10" x14ac:dyDescent="0.3">
      <c r="J131448"/>
    </row>
    <row r="131449" spans="10:10" x14ac:dyDescent="0.3">
      <c r="J131449"/>
    </row>
    <row r="131450" spans="10:10" x14ac:dyDescent="0.3">
      <c r="J131450"/>
    </row>
    <row r="131451" spans="10:10" x14ac:dyDescent="0.3">
      <c r="J131451"/>
    </row>
    <row r="131452" spans="10:10" x14ac:dyDescent="0.3">
      <c r="J131452"/>
    </row>
    <row r="131453" spans="10:10" x14ac:dyDescent="0.3">
      <c r="J131453"/>
    </row>
    <row r="131454" spans="10:10" x14ac:dyDescent="0.3">
      <c r="J131454"/>
    </row>
    <row r="131455" spans="10:10" x14ac:dyDescent="0.3">
      <c r="J131455"/>
    </row>
    <row r="131456" spans="10:10" x14ac:dyDescent="0.3">
      <c r="J131456"/>
    </row>
    <row r="131457" spans="10:10" x14ac:dyDescent="0.3">
      <c r="J131457"/>
    </row>
    <row r="131458" spans="10:10" x14ac:dyDescent="0.3">
      <c r="J131458"/>
    </row>
    <row r="131459" spans="10:10" x14ac:dyDescent="0.3">
      <c r="J131459"/>
    </row>
    <row r="131460" spans="10:10" x14ac:dyDescent="0.3">
      <c r="J131460"/>
    </row>
    <row r="131461" spans="10:10" x14ac:dyDescent="0.3">
      <c r="J131461"/>
    </row>
    <row r="131462" spans="10:10" x14ac:dyDescent="0.3">
      <c r="J131462"/>
    </row>
    <row r="131463" spans="10:10" x14ac:dyDescent="0.3">
      <c r="J131463"/>
    </row>
    <row r="131464" spans="10:10" x14ac:dyDescent="0.3">
      <c r="J131464"/>
    </row>
    <row r="131465" spans="10:10" x14ac:dyDescent="0.3">
      <c r="J131465"/>
    </row>
    <row r="131466" spans="10:10" x14ac:dyDescent="0.3">
      <c r="J131466"/>
    </row>
    <row r="131467" spans="10:10" x14ac:dyDescent="0.3">
      <c r="J131467"/>
    </row>
    <row r="131468" spans="10:10" x14ac:dyDescent="0.3">
      <c r="J131468"/>
    </row>
    <row r="131469" spans="10:10" x14ac:dyDescent="0.3">
      <c r="J131469"/>
    </row>
    <row r="131470" spans="10:10" x14ac:dyDescent="0.3">
      <c r="J131470"/>
    </row>
    <row r="131471" spans="10:10" x14ac:dyDescent="0.3">
      <c r="J131471"/>
    </row>
    <row r="131472" spans="10:10" x14ac:dyDescent="0.3">
      <c r="J131472"/>
    </row>
    <row r="131473" spans="10:10" x14ac:dyDescent="0.3">
      <c r="J131473"/>
    </row>
    <row r="131474" spans="10:10" x14ac:dyDescent="0.3">
      <c r="J131474"/>
    </row>
    <row r="131475" spans="10:10" x14ac:dyDescent="0.3">
      <c r="J131475"/>
    </row>
    <row r="131476" spans="10:10" x14ac:dyDescent="0.3">
      <c r="J131476"/>
    </row>
    <row r="131477" spans="10:10" x14ac:dyDescent="0.3">
      <c r="J131477"/>
    </row>
    <row r="131478" spans="10:10" x14ac:dyDescent="0.3">
      <c r="J131478"/>
    </row>
    <row r="131479" spans="10:10" x14ac:dyDescent="0.3">
      <c r="J131479"/>
    </row>
    <row r="131480" spans="10:10" x14ac:dyDescent="0.3">
      <c r="J131480"/>
    </row>
    <row r="131481" spans="10:10" x14ac:dyDescent="0.3">
      <c r="J131481"/>
    </row>
    <row r="131482" spans="10:10" x14ac:dyDescent="0.3">
      <c r="J131482"/>
    </row>
    <row r="131483" spans="10:10" x14ac:dyDescent="0.3">
      <c r="J131483"/>
    </row>
    <row r="131484" spans="10:10" x14ac:dyDescent="0.3">
      <c r="J131484"/>
    </row>
    <row r="131485" spans="10:10" x14ac:dyDescent="0.3">
      <c r="J131485"/>
    </row>
    <row r="131486" spans="10:10" x14ac:dyDescent="0.3">
      <c r="J131486"/>
    </row>
    <row r="131487" spans="10:10" x14ac:dyDescent="0.3">
      <c r="J131487"/>
    </row>
    <row r="131488" spans="10:10" x14ac:dyDescent="0.3">
      <c r="J131488"/>
    </row>
    <row r="131489" spans="10:10" x14ac:dyDescent="0.3">
      <c r="J131489"/>
    </row>
    <row r="131490" spans="10:10" x14ac:dyDescent="0.3">
      <c r="J131490"/>
    </row>
    <row r="131491" spans="10:10" x14ac:dyDescent="0.3">
      <c r="J131491"/>
    </row>
    <row r="131492" spans="10:10" x14ac:dyDescent="0.3">
      <c r="J131492"/>
    </row>
    <row r="131493" spans="10:10" x14ac:dyDescent="0.3">
      <c r="J131493"/>
    </row>
    <row r="131494" spans="10:10" x14ac:dyDescent="0.3">
      <c r="J131494"/>
    </row>
    <row r="131495" spans="10:10" x14ac:dyDescent="0.3">
      <c r="J131495"/>
    </row>
    <row r="131496" spans="10:10" x14ac:dyDescent="0.3">
      <c r="J131496"/>
    </row>
    <row r="131497" spans="10:10" x14ac:dyDescent="0.3">
      <c r="J131497"/>
    </row>
    <row r="131498" spans="10:10" x14ac:dyDescent="0.3">
      <c r="J131498"/>
    </row>
    <row r="131499" spans="10:10" x14ac:dyDescent="0.3">
      <c r="J131499"/>
    </row>
    <row r="131500" spans="10:10" x14ac:dyDescent="0.3">
      <c r="J131500"/>
    </row>
    <row r="131501" spans="10:10" x14ac:dyDescent="0.3">
      <c r="J131501"/>
    </row>
    <row r="131502" spans="10:10" x14ac:dyDescent="0.3">
      <c r="J131502"/>
    </row>
    <row r="131503" spans="10:10" x14ac:dyDescent="0.3">
      <c r="J131503"/>
    </row>
    <row r="131504" spans="10:10" x14ac:dyDescent="0.3">
      <c r="J131504"/>
    </row>
    <row r="131505" spans="10:10" x14ac:dyDescent="0.3">
      <c r="J131505"/>
    </row>
    <row r="131506" spans="10:10" x14ac:dyDescent="0.3">
      <c r="J131506"/>
    </row>
    <row r="131507" spans="10:10" x14ac:dyDescent="0.3">
      <c r="J131507"/>
    </row>
    <row r="131508" spans="10:10" x14ac:dyDescent="0.3">
      <c r="J131508"/>
    </row>
    <row r="131509" spans="10:10" x14ac:dyDescent="0.3">
      <c r="J131509"/>
    </row>
    <row r="131510" spans="10:10" x14ac:dyDescent="0.3">
      <c r="J131510"/>
    </row>
    <row r="131511" spans="10:10" x14ac:dyDescent="0.3">
      <c r="J131511"/>
    </row>
    <row r="131512" spans="10:10" x14ac:dyDescent="0.3">
      <c r="J131512"/>
    </row>
    <row r="131513" spans="10:10" x14ac:dyDescent="0.3">
      <c r="J131513"/>
    </row>
    <row r="131514" spans="10:10" x14ac:dyDescent="0.3">
      <c r="J131514"/>
    </row>
    <row r="131515" spans="10:10" x14ac:dyDescent="0.3">
      <c r="J131515"/>
    </row>
    <row r="131516" spans="10:10" x14ac:dyDescent="0.3">
      <c r="J131516"/>
    </row>
    <row r="131517" spans="10:10" x14ac:dyDescent="0.3">
      <c r="J131517"/>
    </row>
    <row r="131518" spans="10:10" x14ac:dyDescent="0.3">
      <c r="J131518"/>
    </row>
    <row r="131519" spans="10:10" x14ac:dyDescent="0.3">
      <c r="J131519"/>
    </row>
    <row r="131520" spans="10:10" x14ac:dyDescent="0.3">
      <c r="J131520"/>
    </row>
    <row r="131521" spans="10:10" x14ac:dyDescent="0.3">
      <c r="J131521"/>
    </row>
    <row r="131522" spans="10:10" x14ac:dyDescent="0.3">
      <c r="J131522"/>
    </row>
    <row r="131523" spans="10:10" x14ac:dyDescent="0.3">
      <c r="J131523"/>
    </row>
    <row r="131524" spans="10:10" x14ac:dyDescent="0.3">
      <c r="J131524"/>
    </row>
    <row r="131525" spans="10:10" x14ac:dyDescent="0.3">
      <c r="J131525"/>
    </row>
    <row r="131526" spans="10:10" x14ac:dyDescent="0.3">
      <c r="J131526"/>
    </row>
    <row r="131527" spans="10:10" x14ac:dyDescent="0.3">
      <c r="J131527"/>
    </row>
    <row r="131528" spans="10:10" x14ac:dyDescent="0.3">
      <c r="J131528"/>
    </row>
    <row r="131529" spans="10:10" x14ac:dyDescent="0.3">
      <c r="J131529"/>
    </row>
    <row r="131530" spans="10:10" x14ac:dyDescent="0.3">
      <c r="J131530"/>
    </row>
    <row r="131531" spans="10:10" x14ac:dyDescent="0.3">
      <c r="J131531"/>
    </row>
    <row r="131532" spans="10:10" x14ac:dyDescent="0.3">
      <c r="J131532"/>
    </row>
    <row r="131533" spans="10:10" x14ac:dyDescent="0.3">
      <c r="J131533"/>
    </row>
    <row r="131534" spans="10:10" x14ac:dyDescent="0.3">
      <c r="J131534"/>
    </row>
    <row r="131535" spans="10:10" x14ac:dyDescent="0.3">
      <c r="J131535"/>
    </row>
    <row r="131536" spans="10:10" x14ac:dyDescent="0.3">
      <c r="J131536"/>
    </row>
    <row r="131537" spans="10:10" x14ac:dyDescent="0.3">
      <c r="J131537"/>
    </row>
    <row r="131538" spans="10:10" x14ac:dyDescent="0.3">
      <c r="J131538"/>
    </row>
    <row r="131539" spans="10:10" x14ac:dyDescent="0.3">
      <c r="J131539"/>
    </row>
    <row r="131540" spans="10:10" x14ac:dyDescent="0.3">
      <c r="J131540"/>
    </row>
    <row r="131541" spans="10:10" x14ac:dyDescent="0.3">
      <c r="J131541"/>
    </row>
    <row r="131542" spans="10:10" x14ac:dyDescent="0.3">
      <c r="J131542"/>
    </row>
    <row r="131543" spans="10:10" x14ac:dyDescent="0.3">
      <c r="J131543"/>
    </row>
    <row r="131544" spans="10:10" x14ac:dyDescent="0.3">
      <c r="J131544"/>
    </row>
    <row r="131545" spans="10:10" x14ac:dyDescent="0.3">
      <c r="J131545"/>
    </row>
    <row r="131546" spans="10:10" x14ac:dyDescent="0.3">
      <c r="J131546"/>
    </row>
    <row r="131547" spans="10:10" x14ac:dyDescent="0.3">
      <c r="J131547"/>
    </row>
    <row r="131548" spans="10:10" x14ac:dyDescent="0.3">
      <c r="J131548"/>
    </row>
    <row r="131549" spans="10:10" x14ac:dyDescent="0.3">
      <c r="J131549"/>
    </row>
    <row r="131550" spans="10:10" x14ac:dyDescent="0.3">
      <c r="J131550"/>
    </row>
    <row r="131551" spans="10:10" x14ac:dyDescent="0.3">
      <c r="J131551"/>
    </row>
    <row r="131552" spans="10:10" x14ac:dyDescent="0.3">
      <c r="J131552"/>
    </row>
    <row r="131553" spans="10:10" x14ac:dyDescent="0.3">
      <c r="J131553"/>
    </row>
    <row r="131554" spans="10:10" x14ac:dyDescent="0.3">
      <c r="J131554"/>
    </row>
    <row r="131555" spans="10:10" x14ac:dyDescent="0.3">
      <c r="J131555"/>
    </row>
    <row r="131556" spans="10:10" x14ac:dyDescent="0.3">
      <c r="J131556"/>
    </row>
    <row r="131557" spans="10:10" x14ac:dyDescent="0.3">
      <c r="J131557"/>
    </row>
    <row r="131558" spans="10:10" x14ac:dyDescent="0.3">
      <c r="J131558"/>
    </row>
    <row r="131559" spans="10:10" x14ac:dyDescent="0.3">
      <c r="J131559"/>
    </row>
    <row r="131560" spans="10:10" x14ac:dyDescent="0.3">
      <c r="J131560"/>
    </row>
    <row r="131561" spans="10:10" x14ac:dyDescent="0.3">
      <c r="J131561"/>
    </row>
    <row r="131562" spans="10:10" x14ac:dyDescent="0.3">
      <c r="J131562"/>
    </row>
    <row r="131563" spans="10:10" x14ac:dyDescent="0.3">
      <c r="J131563"/>
    </row>
    <row r="131564" spans="10:10" x14ac:dyDescent="0.3">
      <c r="J131564"/>
    </row>
    <row r="131565" spans="10:10" x14ac:dyDescent="0.3">
      <c r="J131565"/>
    </row>
    <row r="131566" spans="10:10" x14ac:dyDescent="0.3">
      <c r="J131566"/>
    </row>
    <row r="131567" spans="10:10" x14ac:dyDescent="0.3">
      <c r="J131567"/>
    </row>
    <row r="131568" spans="10:10" x14ac:dyDescent="0.3">
      <c r="J131568"/>
    </row>
    <row r="131569" spans="10:10" x14ac:dyDescent="0.3">
      <c r="J131569"/>
    </row>
    <row r="131570" spans="10:10" x14ac:dyDescent="0.3">
      <c r="J131570"/>
    </row>
    <row r="131571" spans="10:10" x14ac:dyDescent="0.3">
      <c r="J131571"/>
    </row>
    <row r="131572" spans="10:10" x14ac:dyDescent="0.3">
      <c r="J131572"/>
    </row>
    <row r="131573" spans="10:10" x14ac:dyDescent="0.3">
      <c r="J131573"/>
    </row>
    <row r="131574" spans="10:10" x14ac:dyDescent="0.3">
      <c r="J131574"/>
    </row>
    <row r="131575" spans="10:10" x14ac:dyDescent="0.3">
      <c r="J131575"/>
    </row>
    <row r="131576" spans="10:10" x14ac:dyDescent="0.3">
      <c r="J131576"/>
    </row>
    <row r="131577" spans="10:10" x14ac:dyDescent="0.3">
      <c r="J131577"/>
    </row>
    <row r="131578" spans="10:10" x14ac:dyDescent="0.3">
      <c r="J131578"/>
    </row>
    <row r="131579" spans="10:10" x14ac:dyDescent="0.3">
      <c r="J131579"/>
    </row>
    <row r="131580" spans="10:10" x14ac:dyDescent="0.3">
      <c r="J131580"/>
    </row>
    <row r="131581" spans="10:10" x14ac:dyDescent="0.3">
      <c r="J131581"/>
    </row>
    <row r="131582" spans="10:10" x14ac:dyDescent="0.3">
      <c r="J131582"/>
    </row>
    <row r="131583" spans="10:10" x14ac:dyDescent="0.3">
      <c r="J131583"/>
    </row>
    <row r="131584" spans="10:10" x14ac:dyDescent="0.3">
      <c r="J131584"/>
    </row>
    <row r="131585" spans="10:10" x14ac:dyDescent="0.3">
      <c r="J131585"/>
    </row>
    <row r="131586" spans="10:10" x14ac:dyDescent="0.3">
      <c r="J131586"/>
    </row>
    <row r="131587" spans="10:10" x14ac:dyDescent="0.3">
      <c r="J131587"/>
    </row>
    <row r="131588" spans="10:10" x14ac:dyDescent="0.3">
      <c r="J131588"/>
    </row>
    <row r="131589" spans="10:10" x14ac:dyDescent="0.3">
      <c r="J131589"/>
    </row>
    <row r="131590" spans="10:10" x14ac:dyDescent="0.3">
      <c r="J131590"/>
    </row>
    <row r="131591" spans="10:10" x14ac:dyDescent="0.3">
      <c r="J131591"/>
    </row>
    <row r="131592" spans="10:10" x14ac:dyDescent="0.3">
      <c r="J131592"/>
    </row>
    <row r="131593" spans="10:10" x14ac:dyDescent="0.3">
      <c r="J131593"/>
    </row>
    <row r="131594" spans="10:10" x14ac:dyDescent="0.3">
      <c r="J131594"/>
    </row>
    <row r="131595" spans="10:10" x14ac:dyDescent="0.3">
      <c r="J131595"/>
    </row>
    <row r="131596" spans="10:10" x14ac:dyDescent="0.3">
      <c r="J131596"/>
    </row>
    <row r="131597" spans="10:10" x14ac:dyDescent="0.3">
      <c r="J131597"/>
    </row>
    <row r="131598" spans="10:10" x14ac:dyDescent="0.3">
      <c r="J131598"/>
    </row>
    <row r="131599" spans="10:10" x14ac:dyDescent="0.3">
      <c r="J131599"/>
    </row>
    <row r="131600" spans="10:10" x14ac:dyDescent="0.3">
      <c r="J131600"/>
    </row>
    <row r="131601" spans="10:10" x14ac:dyDescent="0.3">
      <c r="J131601"/>
    </row>
    <row r="131602" spans="10:10" x14ac:dyDescent="0.3">
      <c r="J131602"/>
    </row>
    <row r="131603" spans="10:10" x14ac:dyDescent="0.3">
      <c r="J131603"/>
    </row>
    <row r="131604" spans="10:10" x14ac:dyDescent="0.3">
      <c r="J131604"/>
    </row>
    <row r="131605" spans="10:10" x14ac:dyDescent="0.3">
      <c r="J131605"/>
    </row>
    <row r="131606" spans="10:10" x14ac:dyDescent="0.3">
      <c r="J131606"/>
    </row>
    <row r="131607" spans="10:10" x14ac:dyDescent="0.3">
      <c r="J131607"/>
    </row>
    <row r="131608" spans="10:10" x14ac:dyDescent="0.3">
      <c r="J131608"/>
    </row>
    <row r="131609" spans="10:10" x14ac:dyDescent="0.3">
      <c r="J131609"/>
    </row>
    <row r="131610" spans="10:10" x14ac:dyDescent="0.3">
      <c r="J131610"/>
    </row>
    <row r="131611" spans="10:10" x14ac:dyDescent="0.3">
      <c r="J131611"/>
    </row>
    <row r="131612" spans="10:10" x14ac:dyDescent="0.3">
      <c r="J131612"/>
    </row>
    <row r="131613" spans="10:10" x14ac:dyDescent="0.3">
      <c r="J131613"/>
    </row>
    <row r="131614" spans="10:10" x14ac:dyDescent="0.3">
      <c r="J131614"/>
    </row>
    <row r="131615" spans="10:10" x14ac:dyDescent="0.3">
      <c r="J131615"/>
    </row>
    <row r="131616" spans="10:10" x14ac:dyDescent="0.3">
      <c r="J131616"/>
    </row>
    <row r="131617" spans="10:10" x14ac:dyDescent="0.3">
      <c r="J131617"/>
    </row>
    <row r="131618" spans="10:10" x14ac:dyDescent="0.3">
      <c r="J131618"/>
    </row>
    <row r="131619" spans="10:10" x14ac:dyDescent="0.3">
      <c r="J131619"/>
    </row>
    <row r="131620" spans="10:10" x14ac:dyDescent="0.3">
      <c r="J131620"/>
    </row>
    <row r="131621" spans="10:10" x14ac:dyDescent="0.3">
      <c r="J131621"/>
    </row>
    <row r="131622" spans="10:10" x14ac:dyDescent="0.3">
      <c r="J131622"/>
    </row>
    <row r="131623" spans="10:10" x14ac:dyDescent="0.3">
      <c r="J131623"/>
    </row>
    <row r="131624" spans="10:10" x14ac:dyDescent="0.3">
      <c r="J131624"/>
    </row>
    <row r="131625" spans="10:10" x14ac:dyDescent="0.3">
      <c r="J131625"/>
    </row>
    <row r="131626" spans="10:10" x14ac:dyDescent="0.3">
      <c r="J131626"/>
    </row>
    <row r="131627" spans="10:10" x14ac:dyDescent="0.3">
      <c r="J131627"/>
    </row>
    <row r="131628" spans="10:10" x14ac:dyDescent="0.3">
      <c r="J131628"/>
    </row>
    <row r="131629" spans="10:10" x14ac:dyDescent="0.3">
      <c r="J131629"/>
    </row>
    <row r="131630" spans="10:10" x14ac:dyDescent="0.3">
      <c r="J131630"/>
    </row>
    <row r="131631" spans="10:10" x14ac:dyDescent="0.3">
      <c r="J131631"/>
    </row>
    <row r="131632" spans="10:10" x14ac:dyDescent="0.3">
      <c r="J131632"/>
    </row>
    <row r="131633" spans="10:10" x14ac:dyDescent="0.3">
      <c r="J131633"/>
    </row>
    <row r="131634" spans="10:10" x14ac:dyDescent="0.3">
      <c r="J131634"/>
    </row>
    <row r="131635" spans="10:10" x14ac:dyDescent="0.3">
      <c r="J131635"/>
    </row>
    <row r="131636" spans="10:10" x14ac:dyDescent="0.3">
      <c r="J131636"/>
    </row>
    <row r="131637" spans="10:10" x14ac:dyDescent="0.3">
      <c r="J131637"/>
    </row>
    <row r="131638" spans="10:10" x14ac:dyDescent="0.3">
      <c r="J131638"/>
    </row>
    <row r="131639" spans="10:10" x14ac:dyDescent="0.3">
      <c r="J131639"/>
    </row>
    <row r="131640" spans="10:10" x14ac:dyDescent="0.3">
      <c r="J131640"/>
    </row>
    <row r="131641" spans="10:10" x14ac:dyDescent="0.3">
      <c r="J131641"/>
    </row>
    <row r="131642" spans="10:10" x14ac:dyDescent="0.3">
      <c r="J131642"/>
    </row>
    <row r="131643" spans="10:10" x14ac:dyDescent="0.3">
      <c r="J131643"/>
    </row>
    <row r="131644" spans="10:10" x14ac:dyDescent="0.3">
      <c r="J131644"/>
    </row>
    <row r="131645" spans="10:10" x14ac:dyDescent="0.3">
      <c r="J131645"/>
    </row>
    <row r="131646" spans="10:10" x14ac:dyDescent="0.3">
      <c r="J131646"/>
    </row>
    <row r="131647" spans="10:10" x14ac:dyDescent="0.3">
      <c r="J131647"/>
    </row>
    <row r="131648" spans="10:10" x14ac:dyDescent="0.3">
      <c r="J131648"/>
    </row>
    <row r="131649" spans="10:10" x14ac:dyDescent="0.3">
      <c r="J131649"/>
    </row>
    <row r="131650" spans="10:10" x14ac:dyDescent="0.3">
      <c r="J131650"/>
    </row>
    <row r="131651" spans="10:10" x14ac:dyDescent="0.3">
      <c r="J131651"/>
    </row>
    <row r="131652" spans="10:10" x14ac:dyDescent="0.3">
      <c r="J131652"/>
    </row>
    <row r="131653" spans="10:10" x14ac:dyDescent="0.3">
      <c r="J131653"/>
    </row>
    <row r="131654" spans="10:10" x14ac:dyDescent="0.3">
      <c r="J131654"/>
    </row>
    <row r="131655" spans="10:10" x14ac:dyDescent="0.3">
      <c r="J131655"/>
    </row>
    <row r="131656" spans="10:10" x14ac:dyDescent="0.3">
      <c r="J131656"/>
    </row>
    <row r="131657" spans="10:10" x14ac:dyDescent="0.3">
      <c r="J131657"/>
    </row>
    <row r="131658" spans="10:10" x14ac:dyDescent="0.3">
      <c r="J131658"/>
    </row>
    <row r="131659" spans="10:10" x14ac:dyDescent="0.3">
      <c r="J131659"/>
    </row>
    <row r="131660" spans="10:10" x14ac:dyDescent="0.3">
      <c r="J131660"/>
    </row>
    <row r="131661" spans="10:10" x14ac:dyDescent="0.3">
      <c r="J131661"/>
    </row>
    <row r="131662" spans="10:10" x14ac:dyDescent="0.3">
      <c r="J131662"/>
    </row>
    <row r="131663" spans="10:10" x14ac:dyDescent="0.3">
      <c r="J131663"/>
    </row>
    <row r="131664" spans="10:10" x14ac:dyDescent="0.3">
      <c r="J131664"/>
    </row>
    <row r="131665" spans="10:10" x14ac:dyDescent="0.3">
      <c r="J131665"/>
    </row>
    <row r="131666" spans="10:10" x14ac:dyDescent="0.3">
      <c r="J131666"/>
    </row>
    <row r="131667" spans="10:10" x14ac:dyDescent="0.3">
      <c r="J131667"/>
    </row>
    <row r="131668" spans="10:10" x14ac:dyDescent="0.3">
      <c r="J131668"/>
    </row>
    <row r="131669" spans="10:10" x14ac:dyDescent="0.3">
      <c r="J131669"/>
    </row>
    <row r="131670" spans="10:10" x14ac:dyDescent="0.3">
      <c r="J131670"/>
    </row>
    <row r="131671" spans="10:10" x14ac:dyDescent="0.3">
      <c r="J131671"/>
    </row>
    <row r="131672" spans="10:10" x14ac:dyDescent="0.3">
      <c r="J131672"/>
    </row>
    <row r="131673" spans="10:10" x14ac:dyDescent="0.3">
      <c r="J131673"/>
    </row>
    <row r="131674" spans="10:10" x14ac:dyDescent="0.3">
      <c r="J131674"/>
    </row>
    <row r="131675" spans="10:10" x14ac:dyDescent="0.3">
      <c r="J131675"/>
    </row>
    <row r="131676" spans="10:10" x14ac:dyDescent="0.3">
      <c r="J131676"/>
    </row>
    <row r="131677" spans="10:10" x14ac:dyDescent="0.3">
      <c r="J131677"/>
    </row>
    <row r="131678" spans="10:10" x14ac:dyDescent="0.3">
      <c r="J131678"/>
    </row>
    <row r="131679" spans="10:10" x14ac:dyDescent="0.3">
      <c r="J131679"/>
    </row>
    <row r="131680" spans="10:10" x14ac:dyDescent="0.3">
      <c r="J131680"/>
    </row>
    <row r="131681" spans="10:10" x14ac:dyDescent="0.3">
      <c r="J131681"/>
    </row>
    <row r="131682" spans="10:10" x14ac:dyDescent="0.3">
      <c r="J131682"/>
    </row>
    <row r="131683" spans="10:10" x14ac:dyDescent="0.3">
      <c r="J131683"/>
    </row>
    <row r="131684" spans="10:10" x14ac:dyDescent="0.3">
      <c r="J131684"/>
    </row>
    <row r="131685" spans="10:10" x14ac:dyDescent="0.3">
      <c r="J131685"/>
    </row>
    <row r="131686" spans="10:10" x14ac:dyDescent="0.3">
      <c r="J131686"/>
    </row>
    <row r="131687" spans="10:10" x14ac:dyDescent="0.3">
      <c r="J131687"/>
    </row>
    <row r="131688" spans="10:10" x14ac:dyDescent="0.3">
      <c r="J131688"/>
    </row>
    <row r="131689" spans="10:10" x14ac:dyDescent="0.3">
      <c r="J131689"/>
    </row>
    <row r="131690" spans="10:10" x14ac:dyDescent="0.3">
      <c r="J131690"/>
    </row>
    <row r="131691" spans="10:10" x14ac:dyDescent="0.3">
      <c r="J131691"/>
    </row>
    <row r="131692" spans="10:10" x14ac:dyDescent="0.3">
      <c r="J131692"/>
    </row>
    <row r="131693" spans="10:10" x14ac:dyDescent="0.3">
      <c r="J131693"/>
    </row>
    <row r="131694" spans="10:10" x14ac:dyDescent="0.3">
      <c r="J131694"/>
    </row>
    <row r="131695" spans="10:10" x14ac:dyDescent="0.3">
      <c r="J131695"/>
    </row>
    <row r="131696" spans="10:10" x14ac:dyDescent="0.3">
      <c r="J131696"/>
    </row>
    <row r="131697" spans="10:10" x14ac:dyDescent="0.3">
      <c r="J131697"/>
    </row>
    <row r="131698" spans="10:10" x14ac:dyDescent="0.3">
      <c r="J131698"/>
    </row>
    <row r="131699" spans="10:10" x14ac:dyDescent="0.3">
      <c r="J131699"/>
    </row>
    <row r="131700" spans="10:10" x14ac:dyDescent="0.3">
      <c r="J131700"/>
    </row>
    <row r="131701" spans="10:10" x14ac:dyDescent="0.3">
      <c r="J131701"/>
    </row>
    <row r="131702" spans="10:10" x14ac:dyDescent="0.3">
      <c r="J131702"/>
    </row>
    <row r="131703" spans="10:10" x14ac:dyDescent="0.3">
      <c r="J131703"/>
    </row>
    <row r="131704" spans="10:10" x14ac:dyDescent="0.3">
      <c r="J131704"/>
    </row>
    <row r="131705" spans="10:10" x14ac:dyDescent="0.3">
      <c r="J131705"/>
    </row>
    <row r="131706" spans="10:10" x14ac:dyDescent="0.3">
      <c r="J131706"/>
    </row>
    <row r="131707" spans="10:10" x14ac:dyDescent="0.3">
      <c r="J131707"/>
    </row>
    <row r="131708" spans="10:10" x14ac:dyDescent="0.3">
      <c r="J131708"/>
    </row>
    <row r="131709" spans="10:10" x14ac:dyDescent="0.3">
      <c r="J131709"/>
    </row>
    <row r="131710" spans="10:10" x14ac:dyDescent="0.3">
      <c r="J131710"/>
    </row>
    <row r="131711" spans="10:10" x14ac:dyDescent="0.3">
      <c r="J131711"/>
    </row>
    <row r="131712" spans="10:10" x14ac:dyDescent="0.3">
      <c r="J131712"/>
    </row>
    <row r="131713" spans="10:10" x14ac:dyDescent="0.3">
      <c r="J131713"/>
    </row>
    <row r="131714" spans="10:10" x14ac:dyDescent="0.3">
      <c r="J131714"/>
    </row>
    <row r="131715" spans="10:10" x14ac:dyDescent="0.3">
      <c r="J131715"/>
    </row>
    <row r="131716" spans="10:10" x14ac:dyDescent="0.3">
      <c r="J131716"/>
    </row>
    <row r="131717" spans="10:10" x14ac:dyDescent="0.3">
      <c r="J131717"/>
    </row>
    <row r="131718" spans="10:10" x14ac:dyDescent="0.3">
      <c r="J131718"/>
    </row>
    <row r="131719" spans="10:10" x14ac:dyDescent="0.3">
      <c r="J131719"/>
    </row>
    <row r="131720" spans="10:10" x14ac:dyDescent="0.3">
      <c r="J131720"/>
    </row>
    <row r="131721" spans="10:10" x14ac:dyDescent="0.3">
      <c r="J131721"/>
    </row>
    <row r="131722" spans="10:10" x14ac:dyDescent="0.3">
      <c r="J131722"/>
    </row>
    <row r="131723" spans="10:10" x14ac:dyDescent="0.3">
      <c r="J131723"/>
    </row>
    <row r="131724" spans="10:10" x14ac:dyDescent="0.3">
      <c r="J131724"/>
    </row>
    <row r="131725" spans="10:10" x14ac:dyDescent="0.3">
      <c r="J131725"/>
    </row>
    <row r="131726" spans="10:10" x14ac:dyDescent="0.3">
      <c r="J131726"/>
    </row>
    <row r="131727" spans="10:10" x14ac:dyDescent="0.3">
      <c r="J131727"/>
    </row>
    <row r="131728" spans="10:10" x14ac:dyDescent="0.3">
      <c r="J131728"/>
    </row>
    <row r="131729" spans="10:10" x14ac:dyDescent="0.3">
      <c r="J131729"/>
    </row>
    <row r="131730" spans="10:10" x14ac:dyDescent="0.3">
      <c r="J131730"/>
    </row>
    <row r="131731" spans="10:10" x14ac:dyDescent="0.3">
      <c r="J131731"/>
    </row>
    <row r="131732" spans="10:10" x14ac:dyDescent="0.3">
      <c r="J131732"/>
    </row>
    <row r="131733" spans="10:10" x14ac:dyDescent="0.3">
      <c r="J131733"/>
    </row>
    <row r="131734" spans="10:10" x14ac:dyDescent="0.3">
      <c r="J131734"/>
    </row>
    <row r="131735" spans="10:10" x14ac:dyDescent="0.3">
      <c r="J131735"/>
    </row>
    <row r="131736" spans="10:10" x14ac:dyDescent="0.3">
      <c r="J131736"/>
    </row>
    <row r="131737" spans="10:10" x14ac:dyDescent="0.3">
      <c r="J131737"/>
    </row>
    <row r="131738" spans="10:10" x14ac:dyDescent="0.3">
      <c r="J131738"/>
    </row>
    <row r="131739" spans="10:10" x14ac:dyDescent="0.3">
      <c r="J131739"/>
    </row>
    <row r="131740" spans="10:10" x14ac:dyDescent="0.3">
      <c r="J131740"/>
    </row>
    <row r="131741" spans="10:10" x14ac:dyDescent="0.3">
      <c r="J131741"/>
    </row>
    <row r="131742" spans="10:10" x14ac:dyDescent="0.3">
      <c r="J131742"/>
    </row>
    <row r="131743" spans="10:10" x14ac:dyDescent="0.3">
      <c r="J131743"/>
    </row>
    <row r="131744" spans="10:10" x14ac:dyDescent="0.3">
      <c r="J131744"/>
    </row>
    <row r="131745" spans="10:10" x14ac:dyDescent="0.3">
      <c r="J131745"/>
    </row>
    <row r="131746" spans="10:10" x14ac:dyDescent="0.3">
      <c r="J131746"/>
    </row>
    <row r="131747" spans="10:10" x14ac:dyDescent="0.3">
      <c r="J131747"/>
    </row>
    <row r="131748" spans="10:10" x14ac:dyDescent="0.3">
      <c r="J131748"/>
    </row>
    <row r="131749" spans="10:10" x14ac:dyDescent="0.3">
      <c r="J131749"/>
    </row>
    <row r="131750" spans="10:10" x14ac:dyDescent="0.3">
      <c r="J131750"/>
    </row>
    <row r="131751" spans="10:10" x14ac:dyDescent="0.3">
      <c r="J131751"/>
    </row>
    <row r="131752" spans="10:10" x14ac:dyDescent="0.3">
      <c r="J131752"/>
    </row>
    <row r="131753" spans="10:10" x14ac:dyDescent="0.3">
      <c r="J131753"/>
    </row>
    <row r="131754" spans="10:10" x14ac:dyDescent="0.3">
      <c r="J131754"/>
    </row>
    <row r="131755" spans="10:10" x14ac:dyDescent="0.3">
      <c r="J131755"/>
    </row>
    <row r="131756" spans="10:10" x14ac:dyDescent="0.3">
      <c r="J131756"/>
    </row>
    <row r="131757" spans="10:10" x14ac:dyDescent="0.3">
      <c r="J131757"/>
    </row>
    <row r="131758" spans="10:10" x14ac:dyDescent="0.3">
      <c r="J131758"/>
    </row>
    <row r="131759" spans="10:10" x14ac:dyDescent="0.3">
      <c r="J131759"/>
    </row>
    <row r="131760" spans="10:10" x14ac:dyDescent="0.3">
      <c r="J131760"/>
    </row>
    <row r="131761" spans="10:10" x14ac:dyDescent="0.3">
      <c r="J131761"/>
    </row>
    <row r="131762" spans="10:10" x14ac:dyDescent="0.3">
      <c r="J131762"/>
    </row>
    <row r="131763" spans="10:10" x14ac:dyDescent="0.3">
      <c r="J131763"/>
    </row>
    <row r="131764" spans="10:10" x14ac:dyDescent="0.3">
      <c r="J131764"/>
    </row>
    <row r="131765" spans="10:10" x14ac:dyDescent="0.3">
      <c r="J131765"/>
    </row>
    <row r="131766" spans="10:10" x14ac:dyDescent="0.3">
      <c r="J131766"/>
    </row>
    <row r="131767" spans="10:10" x14ac:dyDescent="0.3">
      <c r="J131767"/>
    </row>
    <row r="131768" spans="10:10" x14ac:dyDescent="0.3">
      <c r="J131768"/>
    </row>
    <row r="131769" spans="10:10" x14ac:dyDescent="0.3">
      <c r="J131769"/>
    </row>
    <row r="131770" spans="10:10" x14ac:dyDescent="0.3">
      <c r="J131770"/>
    </row>
    <row r="131771" spans="10:10" x14ac:dyDescent="0.3">
      <c r="J131771"/>
    </row>
    <row r="131772" spans="10:10" x14ac:dyDescent="0.3">
      <c r="J131772"/>
    </row>
    <row r="131773" spans="10:10" x14ac:dyDescent="0.3">
      <c r="J131773"/>
    </row>
    <row r="131774" spans="10:10" x14ac:dyDescent="0.3">
      <c r="J131774"/>
    </row>
    <row r="131775" spans="10:10" x14ac:dyDescent="0.3">
      <c r="J131775"/>
    </row>
    <row r="131776" spans="10:10" x14ac:dyDescent="0.3">
      <c r="J131776"/>
    </row>
    <row r="131777" spans="10:10" x14ac:dyDescent="0.3">
      <c r="J131777"/>
    </row>
    <row r="131778" spans="10:10" x14ac:dyDescent="0.3">
      <c r="J131778"/>
    </row>
    <row r="131779" spans="10:10" x14ac:dyDescent="0.3">
      <c r="J131779"/>
    </row>
    <row r="131780" spans="10:10" x14ac:dyDescent="0.3">
      <c r="J131780"/>
    </row>
    <row r="131781" spans="10:10" x14ac:dyDescent="0.3">
      <c r="J131781"/>
    </row>
    <row r="131782" spans="10:10" x14ac:dyDescent="0.3">
      <c r="J131782"/>
    </row>
    <row r="131783" spans="10:10" x14ac:dyDescent="0.3">
      <c r="J131783"/>
    </row>
    <row r="131784" spans="10:10" x14ac:dyDescent="0.3">
      <c r="J131784"/>
    </row>
    <row r="131785" spans="10:10" x14ac:dyDescent="0.3">
      <c r="J131785"/>
    </row>
    <row r="131786" spans="10:10" x14ac:dyDescent="0.3">
      <c r="J131786"/>
    </row>
    <row r="131787" spans="10:10" x14ac:dyDescent="0.3">
      <c r="J131787"/>
    </row>
    <row r="131788" spans="10:10" x14ac:dyDescent="0.3">
      <c r="J131788"/>
    </row>
    <row r="131789" spans="10:10" x14ac:dyDescent="0.3">
      <c r="J131789"/>
    </row>
    <row r="131790" spans="10:10" x14ac:dyDescent="0.3">
      <c r="J131790"/>
    </row>
    <row r="131791" spans="10:10" x14ac:dyDescent="0.3">
      <c r="J131791"/>
    </row>
    <row r="131792" spans="10:10" x14ac:dyDescent="0.3">
      <c r="J131792"/>
    </row>
    <row r="131793" spans="10:10" x14ac:dyDescent="0.3">
      <c r="J131793"/>
    </row>
    <row r="131794" spans="10:10" x14ac:dyDescent="0.3">
      <c r="J131794"/>
    </row>
    <row r="131795" spans="10:10" x14ac:dyDescent="0.3">
      <c r="J131795"/>
    </row>
    <row r="131796" spans="10:10" x14ac:dyDescent="0.3">
      <c r="J131796"/>
    </row>
    <row r="131797" spans="10:10" x14ac:dyDescent="0.3">
      <c r="J131797"/>
    </row>
    <row r="131798" spans="10:10" x14ac:dyDescent="0.3">
      <c r="J131798"/>
    </row>
    <row r="131799" spans="10:10" x14ac:dyDescent="0.3">
      <c r="J131799"/>
    </row>
    <row r="131800" spans="10:10" x14ac:dyDescent="0.3">
      <c r="J131800"/>
    </row>
    <row r="131801" spans="10:10" x14ac:dyDescent="0.3">
      <c r="J131801"/>
    </row>
    <row r="131802" spans="10:10" x14ac:dyDescent="0.3">
      <c r="J131802"/>
    </row>
    <row r="131803" spans="10:10" x14ac:dyDescent="0.3">
      <c r="J131803"/>
    </row>
    <row r="131804" spans="10:10" x14ac:dyDescent="0.3">
      <c r="J131804"/>
    </row>
    <row r="131805" spans="10:10" x14ac:dyDescent="0.3">
      <c r="J131805"/>
    </row>
    <row r="131806" spans="10:10" x14ac:dyDescent="0.3">
      <c r="J131806"/>
    </row>
    <row r="131807" spans="10:10" x14ac:dyDescent="0.3">
      <c r="J131807"/>
    </row>
    <row r="131808" spans="10:10" x14ac:dyDescent="0.3">
      <c r="J131808"/>
    </row>
    <row r="131809" spans="10:10" x14ac:dyDescent="0.3">
      <c r="J131809"/>
    </row>
    <row r="131810" spans="10:10" x14ac:dyDescent="0.3">
      <c r="J131810"/>
    </row>
    <row r="131811" spans="10:10" x14ac:dyDescent="0.3">
      <c r="J131811"/>
    </row>
    <row r="131812" spans="10:10" x14ac:dyDescent="0.3">
      <c r="J131812"/>
    </row>
    <row r="131813" spans="10:10" x14ac:dyDescent="0.3">
      <c r="J131813"/>
    </row>
    <row r="131814" spans="10:10" x14ac:dyDescent="0.3">
      <c r="J131814"/>
    </row>
    <row r="131815" spans="10:10" x14ac:dyDescent="0.3">
      <c r="J131815"/>
    </row>
    <row r="131816" spans="10:10" x14ac:dyDescent="0.3">
      <c r="J131816"/>
    </row>
    <row r="131817" spans="10:10" x14ac:dyDescent="0.3">
      <c r="J131817"/>
    </row>
    <row r="131818" spans="10:10" x14ac:dyDescent="0.3">
      <c r="J131818"/>
    </row>
    <row r="131819" spans="10:10" x14ac:dyDescent="0.3">
      <c r="J131819"/>
    </row>
    <row r="131820" spans="10:10" x14ac:dyDescent="0.3">
      <c r="J131820"/>
    </row>
    <row r="131821" spans="10:10" x14ac:dyDescent="0.3">
      <c r="J131821"/>
    </row>
    <row r="131822" spans="10:10" x14ac:dyDescent="0.3">
      <c r="J131822"/>
    </row>
    <row r="131823" spans="10:10" x14ac:dyDescent="0.3">
      <c r="J131823"/>
    </row>
    <row r="131824" spans="10:10" x14ac:dyDescent="0.3">
      <c r="J131824"/>
    </row>
    <row r="131825" spans="10:10" x14ac:dyDescent="0.3">
      <c r="J131825"/>
    </row>
    <row r="131826" spans="10:10" x14ac:dyDescent="0.3">
      <c r="J131826"/>
    </row>
    <row r="131827" spans="10:10" x14ac:dyDescent="0.3">
      <c r="J131827"/>
    </row>
    <row r="131828" spans="10:10" x14ac:dyDescent="0.3">
      <c r="J131828"/>
    </row>
    <row r="131829" spans="10:10" x14ac:dyDescent="0.3">
      <c r="J131829"/>
    </row>
    <row r="131830" spans="10:10" x14ac:dyDescent="0.3">
      <c r="J131830"/>
    </row>
    <row r="131831" spans="10:10" x14ac:dyDescent="0.3">
      <c r="J131831"/>
    </row>
    <row r="131832" spans="10:10" x14ac:dyDescent="0.3">
      <c r="J131832"/>
    </row>
    <row r="131833" spans="10:10" x14ac:dyDescent="0.3">
      <c r="J131833"/>
    </row>
    <row r="131834" spans="10:10" x14ac:dyDescent="0.3">
      <c r="J131834"/>
    </row>
    <row r="131835" spans="10:10" x14ac:dyDescent="0.3">
      <c r="J131835"/>
    </row>
    <row r="131836" spans="10:10" x14ac:dyDescent="0.3">
      <c r="J131836"/>
    </row>
    <row r="131837" spans="10:10" x14ac:dyDescent="0.3">
      <c r="J131837"/>
    </row>
    <row r="131838" spans="10:10" x14ac:dyDescent="0.3">
      <c r="J131838"/>
    </row>
    <row r="131839" spans="10:10" x14ac:dyDescent="0.3">
      <c r="J131839"/>
    </row>
    <row r="131840" spans="10:10" x14ac:dyDescent="0.3">
      <c r="J131840"/>
    </row>
    <row r="131841" spans="10:10" x14ac:dyDescent="0.3">
      <c r="J131841"/>
    </row>
    <row r="131842" spans="10:10" x14ac:dyDescent="0.3">
      <c r="J131842"/>
    </row>
    <row r="131843" spans="10:10" x14ac:dyDescent="0.3">
      <c r="J131843"/>
    </row>
    <row r="131844" spans="10:10" x14ac:dyDescent="0.3">
      <c r="J131844"/>
    </row>
    <row r="131845" spans="10:10" x14ac:dyDescent="0.3">
      <c r="J131845"/>
    </row>
    <row r="131846" spans="10:10" x14ac:dyDescent="0.3">
      <c r="J131846"/>
    </row>
    <row r="131847" spans="10:10" x14ac:dyDescent="0.3">
      <c r="J131847"/>
    </row>
    <row r="131848" spans="10:10" x14ac:dyDescent="0.3">
      <c r="J131848"/>
    </row>
    <row r="131849" spans="10:10" x14ac:dyDescent="0.3">
      <c r="J131849"/>
    </row>
    <row r="131850" spans="10:10" x14ac:dyDescent="0.3">
      <c r="J131850"/>
    </row>
    <row r="131851" spans="10:10" x14ac:dyDescent="0.3">
      <c r="J131851"/>
    </row>
    <row r="131852" spans="10:10" x14ac:dyDescent="0.3">
      <c r="J131852"/>
    </row>
    <row r="131853" spans="10:10" x14ac:dyDescent="0.3">
      <c r="J131853"/>
    </row>
    <row r="131854" spans="10:10" x14ac:dyDescent="0.3">
      <c r="J131854"/>
    </row>
    <row r="131855" spans="10:10" x14ac:dyDescent="0.3">
      <c r="J131855"/>
    </row>
    <row r="131856" spans="10:10" x14ac:dyDescent="0.3">
      <c r="J131856"/>
    </row>
    <row r="131857" spans="10:10" x14ac:dyDescent="0.3">
      <c r="J131857"/>
    </row>
    <row r="131858" spans="10:10" x14ac:dyDescent="0.3">
      <c r="J131858"/>
    </row>
    <row r="131859" spans="10:10" x14ac:dyDescent="0.3">
      <c r="J131859"/>
    </row>
    <row r="131860" spans="10:10" x14ac:dyDescent="0.3">
      <c r="J131860"/>
    </row>
    <row r="131861" spans="10:10" x14ac:dyDescent="0.3">
      <c r="J131861"/>
    </row>
    <row r="131862" spans="10:10" x14ac:dyDescent="0.3">
      <c r="J131862"/>
    </row>
    <row r="131863" spans="10:10" x14ac:dyDescent="0.3">
      <c r="J131863"/>
    </row>
    <row r="131864" spans="10:10" x14ac:dyDescent="0.3">
      <c r="J131864"/>
    </row>
    <row r="131865" spans="10:10" x14ac:dyDescent="0.3">
      <c r="J131865"/>
    </row>
    <row r="131866" spans="10:10" x14ac:dyDescent="0.3">
      <c r="J131866"/>
    </row>
    <row r="131867" spans="10:10" x14ac:dyDescent="0.3">
      <c r="J131867"/>
    </row>
    <row r="131868" spans="10:10" x14ac:dyDescent="0.3">
      <c r="J131868"/>
    </row>
    <row r="131869" spans="10:10" x14ac:dyDescent="0.3">
      <c r="J131869"/>
    </row>
    <row r="131870" spans="10:10" x14ac:dyDescent="0.3">
      <c r="J131870"/>
    </row>
    <row r="131871" spans="10:10" x14ac:dyDescent="0.3">
      <c r="J131871"/>
    </row>
    <row r="131872" spans="10:10" x14ac:dyDescent="0.3">
      <c r="J131872"/>
    </row>
    <row r="131873" spans="10:10" x14ac:dyDescent="0.3">
      <c r="J131873"/>
    </row>
    <row r="131874" spans="10:10" x14ac:dyDescent="0.3">
      <c r="J131874"/>
    </row>
    <row r="131875" spans="10:10" x14ac:dyDescent="0.3">
      <c r="J131875"/>
    </row>
    <row r="131876" spans="10:10" x14ac:dyDescent="0.3">
      <c r="J131876"/>
    </row>
    <row r="131877" spans="10:10" x14ac:dyDescent="0.3">
      <c r="J131877"/>
    </row>
    <row r="131878" spans="10:10" x14ac:dyDescent="0.3">
      <c r="J131878"/>
    </row>
    <row r="131879" spans="10:10" x14ac:dyDescent="0.3">
      <c r="J131879"/>
    </row>
    <row r="131880" spans="10:10" x14ac:dyDescent="0.3">
      <c r="J131880"/>
    </row>
    <row r="131881" spans="10:10" x14ac:dyDescent="0.3">
      <c r="J131881"/>
    </row>
    <row r="131882" spans="10:10" x14ac:dyDescent="0.3">
      <c r="J131882"/>
    </row>
    <row r="131883" spans="10:10" x14ac:dyDescent="0.3">
      <c r="J131883"/>
    </row>
    <row r="131884" spans="10:10" x14ac:dyDescent="0.3">
      <c r="J131884"/>
    </row>
    <row r="131885" spans="10:10" x14ac:dyDescent="0.3">
      <c r="J131885"/>
    </row>
    <row r="131886" spans="10:10" x14ac:dyDescent="0.3">
      <c r="J131886"/>
    </row>
    <row r="131887" spans="10:10" x14ac:dyDescent="0.3">
      <c r="J131887"/>
    </row>
    <row r="131888" spans="10:10" x14ac:dyDescent="0.3">
      <c r="J131888"/>
    </row>
    <row r="131889" spans="10:10" x14ac:dyDescent="0.3">
      <c r="J131889"/>
    </row>
    <row r="131890" spans="10:10" x14ac:dyDescent="0.3">
      <c r="J131890"/>
    </row>
    <row r="131891" spans="10:10" x14ac:dyDescent="0.3">
      <c r="J131891"/>
    </row>
    <row r="131892" spans="10:10" x14ac:dyDescent="0.3">
      <c r="J131892"/>
    </row>
    <row r="131893" spans="10:10" x14ac:dyDescent="0.3">
      <c r="J131893"/>
    </row>
    <row r="131894" spans="10:10" x14ac:dyDescent="0.3">
      <c r="J131894"/>
    </row>
    <row r="131895" spans="10:10" x14ac:dyDescent="0.3">
      <c r="J131895"/>
    </row>
    <row r="131896" spans="10:10" x14ac:dyDescent="0.3">
      <c r="J131896"/>
    </row>
    <row r="131897" spans="10:10" x14ac:dyDescent="0.3">
      <c r="J131897"/>
    </row>
    <row r="131898" spans="10:10" x14ac:dyDescent="0.3">
      <c r="J131898"/>
    </row>
    <row r="131899" spans="10:10" x14ac:dyDescent="0.3">
      <c r="J131899"/>
    </row>
    <row r="131900" spans="10:10" x14ac:dyDescent="0.3">
      <c r="J131900"/>
    </row>
    <row r="131901" spans="10:10" x14ac:dyDescent="0.3">
      <c r="J131901"/>
    </row>
    <row r="131902" spans="10:10" x14ac:dyDescent="0.3">
      <c r="J131902"/>
    </row>
    <row r="131903" spans="10:10" x14ac:dyDescent="0.3">
      <c r="J131903"/>
    </row>
    <row r="131904" spans="10:10" x14ac:dyDescent="0.3">
      <c r="J131904"/>
    </row>
    <row r="131905" spans="10:10" x14ac:dyDescent="0.3">
      <c r="J131905"/>
    </row>
    <row r="131906" spans="10:10" x14ac:dyDescent="0.3">
      <c r="J131906"/>
    </row>
    <row r="131907" spans="10:10" x14ac:dyDescent="0.3">
      <c r="J131907"/>
    </row>
    <row r="131908" spans="10:10" x14ac:dyDescent="0.3">
      <c r="J131908"/>
    </row>
    <row r="131909" spans="10:10" x14ac:dyDescent="0.3">
      <c r="J131909"/>
    </row>
    <row r="131910" spans="10:10" x14ac:dyDescent="0.3">
      <c r="J131910"/>
    </row>
    <row r="131911" spans="10:10" x14ac:dyDescent="0.3">
      <c r="J131911"/>
    </row>
    <row r="131912" spans="10:10" x14ac:dyDescent="0.3">
      <c r="J131912"/>
    </row>
    <row r="131913" spans="10:10" x14ac:dyDescent="0.3">
      <c r="J131913"/>
    </row>
    <row r="131914" spans="10:10" x14ac:dyDescent="0.3">
      <c r="J131914"/>
    </row>
    <row r="131915" spans="10:10" x14ac:dyDescent="0.3">
      <c r="J131915"/>
    </row>
    <row r="131916" spans="10:10" x14ac:dyDescent="0.3">
      <c r="J131916"/>
    </row>
    <row r="131917" spans="10:10" x14ac:dyDescent="0.3">
      <c r="J131917"/>
    </row>
    <row r="131918" spans="10:10" x14ac:dyDescent="0.3">
      <c r="J131918"/>
    </row>
    <row r="131919" spans="10:10" x14ac:dyDescent="0.3">
      <c r="J131919"/>
    </row>
    <row r="131920" spans="10:10" x14ac:dyDescent="0.3">
      <c r="J131920"/>
    </row>
    <row r="131921" spans="10:10" x14ac:dyDescent="0.3">
      <c r="J131921"/>
    </row>
    <row r="131922" spans="10:10" x14ac:dyDescent="0.3">
      <c r="J131922"/>
    </row>
    <row r="131923" spans="10:10" x14ac:dyDescent="0.3">
      <c r="J131923"/>
    </row>
    <row r="131924" spans="10:10" x14ac:dyDescent="0.3">
      <c r="J131924"/>
    </row>
    <row r="131925" spans="10:10" x14ac:dyDescent="0.3">
      <c r="J131925"/>
    </row>
    <row r="131926" spans="10:10" x14ac:dyDescent="0.3">
      <c r="J131926"/>
    </row>
    <row r="131927" spans="10:10" x14ac:dyDescent="0.3">
      <c r="J131927"/>
    </row>
    <row r="131928" spans="10:10" x14ac:dyDescent="0.3">
      <c r="J131928"/>
    </row>
    <row r="131929" spans="10:10" x14ac:dyDescent="0.3">
      <c r="J131929"/>
    </row>
    <row r="131930" spans="10:10" x14ac:dyDescent="0.3">
      <c r="J131930"/>
    </row>
    <row r="131931" spans="10:10" x14ac:dyDescent="0.3">
      <c r="J131931"/>
    </row>
    <row r="131932" spans="10:10" x14ac:dyDescent="0.3">
      <c r="J131932"/>
    </row>
    <row r="131933" spans="10:10" x14ac:dyDescent="0.3">
      <c r="J131933"/>
    </row>
    <row r="131934" spans="10:10" x14ac:dyDescent="0.3">
      <c r="J131934"/>
    </row>
    <row r="131935" spans="10:10" x14ac:dyDescent="0.3">
      <c r="J131935"/>
    </row>
    <row r="131936" spans="10:10" x14ac:dyDescent="0.3">
      <c r="J131936"/>
    </row>
    <row r="131937" spans="10:10" x14ac:dyDescent="0.3">
      <c r="J131937"/>
    </row>
    <row r="131938" spans="10:10" x14ac:dyDescent="0.3">
      <c r="J131938"/>
    </row>
    <row r="131939" spans="10:10" x14ac:dyDescent="0.3">
      <c r="J131939"/>
    </row>
    <row r="131940" spans="10:10" x14ac:dyDescent="0.3">
      <c r="J131940"/>
    </row>
    <row r="131941" spans="10:10" x14ac:dyDescent="0.3">
      <c r="J131941"/>
    </row>
    <row r="131942" spans="10:10" x14ac:dyDescent="0.3">
      <c r="J131942"/>
    </row>
    <row r="131943" spans="10:10" x14ac:dyDescent="0.3">
      <c r="J131943"/>
    </row>
    <row r="131944" spans="10:10" x14ac:dyDescent="0.3">
      <c r="J131944"/>
    </row>
    <row r="131945" spans="10:10" x14ac:dyDescent="0.3">
      <c r="J131945"/>
    </row>
    <row r="131946" spans="10:10" x14ac:dyDescent="0.3">
      <c r="J131946"/>
    </row>
    <row r="131947" spans="10:10" x14ac:dyDescent="0.3">
      <c r="J131947"/>
    </row>
    <row r="131948" spans="10:10" x14ac:dyDescent="0.3">
      <c r="J131948"/>
    </row>
    <row r="131949" spans="10:10" x14ac:dyDescent="0.3">
      <c r="J131949"/>
    </row>
    <row r="131950" spans="10:10" x14ac:dyDescent="0.3">
      <c r="J131950"/>
    </row>
    <row r="131951" spans="10:10" x14ac:dyDescent="0.3">
      <c r="J131951"/>
    </row>
    <row r="131952" spans="10:10" x14ac:dyDescent="0.3">
      <c r="J131952"/>
    </row>
    <row r="131953" spans="10:10" x14ac:dyDescent="0.3">
      <c r="J131953"/>
    </row>
    <row r="131954" spans="10:10" x14ac:dyDescent="0.3">
      <c r="J131954"/>
    </row>
    <row r="131955" spans="10:10" x14ac:dyDescent="0.3">
      <c r="J131955"/>
    </row>
    <row r="131956" spans="10:10" x14ac:dyDescent="0.3">
      <c r="J131956"/>
    </row>
    <row r="131957" spans="10:10" x14ac:dyDescent="0.3">
      <c r="J131957"/>
    </row>
    <row r="131958" spans="10:10" x14ac:dyDescent="0.3">
      <c r="J131958"/>
    </row>
    <row r="131959" spans="10:10" x14ac:dyDescent="0.3">
      <c r="J131959"/>
    </row>
    <row r="131960" spans="10:10" x14ac:dyDescent="0.3">
      <c r="J131960"/>
    </row>
    <row r="131961" spans="10:10" x14ac:dyDescent="0.3">
      <c r="J131961"/>
    </row>
    <row r="131962" spans="10:10" x14ac:dyDescent="0.3">
      <c r="J131962"/>
    </row>
    <row r="131963" spans="10:10" x14ac:dyDescent="0.3">
      <c r="J131963"/>
    </row>
    <row r="131964" spans="10:10" x14ac:dyDescent="0.3">
      <c r="J131964"/>
    </row>
    <row r="131965" spans="10:10" x14ac:dyDescent="0.3">
      <c r="J131965"/>
    </row>
    <row r="131966" spans="10:10" x14ac:dyDescent="0.3">
      <c r="J131966"/>
    </row>
    <row r="131967" spans="10:10" x14ac:dyDescent="0.3">
      <c r="J131967"/>
    </row>
    <row r="131968" spans="10:10" x14ac:dyDescent="0.3">
      <c r="J131968"/>
    </row>
    <row r="131969" spans="10:10" x14ac:dyDescent="0.3">
      <c r="J131969"/>
    </row>
    <row r="131970" spans="10:10" x14ac:dyDescent="0.3">
      <c r="J131970"/>
    </row>
    <row r="131971" spans="10:10" x14ac:dyDescent="0.3">
      <c r="J131971"/>
    </row>
    <row r="131972" spans="10:10" x14ac:dyDescent="0.3">
      <c r="J131972"/>
    </row>
    <row r="131973" spans="10:10" x14ac:dyDescent="0.3">
      <c r="J131973"/>
    </row>
    <row r="131974" spans="10:10" x14ac:dyDescent="0.3">
      <c r="J131974"/>
    </row>
    <row r="131975" spans="10:10" x14ac:dyDescent="0.3">
      <c r="J131975"/>
    </row>
    <row r="131976" spans="10:10" x14ac:dyDescent="0.3">
      <c r="J131976"/>
    </row>
    <row r="131977" spans="10:10" x14ac:dyDescent="0.3">
      <c r="J131977"/>
    </row>
    <row r="131978" spans="10:10" x14ac:dyDescent="0.3">
      <c r="J131978"/>
    </row>
    <row r="131979" spans="10:10" x14ac:dyDescent="0.3">
      <c r="J131979"/>
    </row>
    <row r="131980" spans="10:10" x14ac:dyDescent="0.3">
      <c r="J131980"/>
    </row>
    <row r="131981" spans="10:10" x14ac:dyDescent="0.3">
      <c r="J131981"/>
    </row>
    <row r="131982" spans="10:10" x14ac:dyDescent="0.3">
      <c r="J131982"/>
    </row>
    <row r="131983" spans="10:10" x14ac:dyDescent="0.3">
      <c r="J131983"/>
    </row>
    <row r="131984" spans="10:10" x14ac:dyDescent="0.3">
      <c r="J131984"/>
    </row>
    <row r="131985" spans="10:10" x14ac:dyDescent="0.3">
      <c r="J131985"/>
    </row>
    <row r="131986" spans="10:10" x14ac:dyDescent="0.3">
      <c r="J131986"/>
    </row>
    <row r="131987" spans="10:10" x14ac:dyDescent="0.3">
      <c r="J131987"/>
    </row>
    <row r="131988" spans="10:10" x14ac:dyDescent="0.3">
      <c r="J131988"/>
    </row>
    <row r="131989" spans="10:10" x14ac:dyDescent="0.3">
      <c r="J131989"/>
    </row>
    <row r="131990" spans="10:10" x14ac:dyDescent="0.3">
      <c r="J131990"/>
    </row>
    <row r="131991" spans="10:10" x14ac:dyDescent="0.3">
      <c r="J131991"/>
    </row>
    <row r="131992" spans="10:10" x14ac:dyDescent="0.3">
      <c r="J131992"/>
    </row>
    <row r="131993" spans="10:10" x14ac:dyDescent="0.3">
      <c r="J131993"/>
    </row>
    <row r="131994" spans="10:10" x14ac:dyDescent="0.3">
      <c r="J131994"/>
    </row>
    <row r="131995" spans="10:10" x14ac:dyDescent="0.3">
      <c r="J131995"/>
    </row>
    <row r="131996" spans="10:10" x14ac:dyDescent="0.3">
      <c r="J131996"/>
    </row>
    <row r="131997" spans="10:10" x14ac:dyDescent="0.3">
      <c r="J131997"/>
    </row>
    <row r="131998" spans="10:10" x14ac:dyDescent="0.3">
      <c r="J131998"/>
    </row>
    <row r="131999" spans="10:10" x14ac:dyDescent="0.3">
      <c r="J131999"/>
    </row>
    <row r="132000" spans="10:10" x14ac:dyDescent="0.3">
      <c r="J132000"/>
    </row>
    <row r="132001" spans="10:10" x14ac:dyDescent="0.3">
      <c r="J132001"/>
    </row>
    <row r="132002" spans="10:10" x14ac:dyDescent="0.3">
      <c r="J132002"/>
    </row>
    <row r="132003" spans="10:10" x14ac:dyDescent="0.3">
      <c r="J132003"/>
    </row>
    <row r="132004" spans="10:10" x14ac:dyDescent="0.3">
      <c r="J132004"/>
    </row>
    <row r="132005" spans="10:10" x14ac:dyDescent="0.3">
      <c r="J132005"/>
    </row>
    <row r="132006" spans="10:10" x14ac:dyDescent="0.3">
      <c r="J132006"/>
    </row>
    <row r="132007" spans="10:10" x14ac:dyDescent="0.3">
      <c r="J132007"/>
    </row>
    <row r="132008" spans="10:10" x14ac:dyDescent="0.3">
      <c r="J132008"/>
    </row>
    <row r="132009" spans="10:10" x14ac:dyDescent="0.3">
      <c r="J132009"/>
    </row>
    <row r="132010" spans="10:10" x14ac:dyDescent="0.3">
      <c r="J132010"/>
    </row>
    <row r="132011" spans="10:10" x14ac:dyDescent="0.3">
      <c r="J132011"/>
    </row>
    <row r="132012" spans="10:10" x14ac:dyDescent="0.3">
      <c r="J132012"/>
    </row>
    <row r="132013" spans="10:10" x14ac:dyDescent="0.3">
      <c r="J132013"/>
    </row>
    <row r="132014" spans="10:10" x14ac:dyDescent="0.3">
      <c r="J132014"/>
    </row>
    <row r="132015" spans="10:10" x14ac:dyDescent="0.3">
      <c r="J132015"/>
    </row>
    <row r="132016" spans="10:10" x14ac:dyDescent="0.3">
      <c r="J132016"/>
    </row>
    <row r="132017" spans="10:10" x14ac:dyDescent="0.3">
      <c r="J132017"/>
    </row>
    <row r="132018" spans="10:10" x14ac:dyDescent="0.3">
      <c r="J132018"/>
    </row>
    <row r="132019" spans="10:10" x14ac:dyDescent="0.3">
      <c r="J132019"/>
    </row>
    <row r="132020" spans="10:10" x14ac:dyDescent="0.3">
      <c r="J132020"/>
    </row>
    <row r="132021" spans="10:10" x14ac:dyDescent="0.3">
      <c r="J132021"/>
    </row>
    <row r="132022" spans="10:10" x14ac:dyDescent="0.3">
      <c r="J132022"/>
    </row>
    <row r="132023" spans="10:10" x14ac:dyDescent="0.3">
      <c r="J132023"/>
    </row>
    <row r="132024" spans="10:10" x14ac:dyDescent="0.3">
      <c r="J132024"/>
    </row>
    <row r="132025" spans="10:10" x14ac:dyDescent="0.3">
      <c r="J132025"/>
    </row>
    <row r="132026" spans="10:10" x14ac:dyDescent="0.3">
      <c r="J132026"/>
    </row>
    <row r="132027" spans="10:10" x14ac:dyDescent="0.3">
      <c r="J132027"/>
    </row>
    <row r="132028" spans="10:10" x14ac:dyDescent="0.3">
      <c r="J132028"/>
    </row>
    <row r="132029" spans="10:10" x14ac:dyDescent="0.3">
      <c r="J132029"/>
    </row>
    <row r="132030" spans="10:10" x14ac:dyDescent="0.3">
      <c r="J132030"/>
    </row>
    <row r="132031" spans="10:10" x14ac:dyDescent="0.3">
      <c r="J132031"/>
    </row>
    <row r="132032" spans="10:10" x14ac:dyDescent="0.3">
      <c r="J132032"/>
    </row>
    <row r="132033" spans="10:10" x14ac:dyDescent="0.3">
      <c r="J132033"/>
    </row>
    <row r="132034" spans="10:10" x14ac:dyDescent="0.3">
      <c r="J132034"/>
    </row>
    <row r="132035" spans="10:10" x14ac:dyDescent="0.3">
      <c r="J132035"/>
    </row>
    <row r="132036" spans="10:10" x14ac:dyDescent="0.3">
      <c r="J132036"/>
    </row>
    <row r="132037" spans="10:10" x14ac:dyDescent="0.3">
      <c r="J132037"/>
    </row>
    <row r="132038" spans="10:10" x14ac:dyDescent="0.3">
      <c r="J132038"/>
    </row>
    <row r="132039" spans="10:10" x14ac:dyDescent="0.3">
      <c r="J132039"/>
    </row>
    <row r="132040" spans="10:10" x14ac:dyDescent="0.3">
      <c r="J132040"/>
    </row>
    <row r="132041" spans="10:10" x14ac:dyDescent="0.3">
      <c r="J132041"/>
    </row>
    <row r="132042" spans="10:10" x14ac:dyDescent="0.3">
      <c r="J132042"/>
    </row>
    <row r="132043" spans="10:10" x14ac:dyDescent="0.3">
      <c r="J132043"/>
    </row>
    <row r="132044" spans="10:10" x14ac:dyDescent="0.3">
      <c r="J132044"/>
    </row>
    <row r="132045" spans="10:10" x14ac:dyDescent="0.3">
      <c r="J132045"/>
    </row>
    <row r="132046" spans="10:10" x14ac:dyDescent="0.3">
      <c r="J132046"/>
    </row>
    <row r="132047" spans="10:10" x14ac:dyDescent="0.3">
      <c r="J132047"/>
    </row>
    <row r="132048" spans="10:10" x14ac:dyDescent="0.3">
      <c r="J132048"/>
    </row>
    <row r="132049" spans="10:10" x14ac:dyDescent="0.3">
      <c r="J132049"/>
    </row>
    <row r="132050" spans="10:10" x14ac:dyDescent="0.3">
      <c r="J132050"/>
    </row>
    <row r="132051" spans="10:10" x14ac:dyDescent="0.3">
      <c r="J132051"/>
    </row>
    <row r="132052" spans="10:10" x14ac:dyDescent="0.3">
      <c r="J132052"/>
    </row>
    <row r="132053" spans="10:10" x14ac:dyDescent="0.3">
      <c r="J132053"/>
    </row>
    <row r="132054" spans="10:10" x14ac:dyDescent="0.3">
      <c r="J132054"/>
    </row>
    <row r="132055" spans="10:10" x14ac:dyDescent="0.3">
      <c r="J132055"/>
    </row>
    <row r="132056" spans="10:10" x14ac:dyDescent="0.3">
      <c r="J132056"/>
    </row>
    <row r="132057" spans="10:10" x14ac:dyDescent="0.3">
      <c r="J132057"/>
    </row>
    <row r="132058" spans="10:10" x14ac:dyDescent="0.3">
      <c r="J132058"/>
    </row>
    <row r="132059" spans="10:10" x14ac:dyDescent="0.3">
      <c r="J132059"/>
    </row>
    <row r="132060" spans="10:10" x14ac:dyDescent="0.3">
      <c r="J132060"/>
    </row>
    <row r="132061" spans="10:10" x14ac:dyDescent="0.3">
      <c r="J132061"/>
    </row>
    <row r="132062" spans="10:10" x14ac:dyDescent="0.3">
      <c r="J132062"/>
    </row>
    <row r="132063" spans="10:10" x14ac:dyDescent="0.3">
      <c r="J132063"/>
    </row>
    <row r="132064" spans="10:10" x14ac:dyDescent="0.3">
      <c r="J132064"/>
    </row>
    <row r="132065" spans="10:10" x14ac:dyDescent="0.3">
      <c r="J132065"/>
    </row>
    <row r="132066" spans="10:10" x14ac:dyDescent="0.3">
      <c r="J132066"/>
    </row>
    <row r="132067" spans="10:10" x14ac:dyDescent="0.3">
      <c r="J132067"/>
    </row>
    <row r="132068" spans="10:10" x14ac:dyDescent="0.3">
      <c r="J132068"/>
    </row>
    <row r="132069" spans="10:10" x14ac:dyDescent="0.3">
      <c r="J132069"/>
    </row>
    <row r="132070" spans="10:10" x14ac:dyDescent="0.3">
      <c r="J132070"/>
    </row>
    <row r="132071" spans="10:10" x14ac:dyDescent="0.3">
      <c r="J132071"/>
    </row>
    <row r="132072" spans="10:10" x14ac:dyDescent="0.3">
      <c r="J132072"/>
    </row>
    <row r="132073" spans="10:10" x14ac:dyDescent="0.3">
      <c r="J132073"/>
    </row>
    <row r="132074" spans="10:10" x14ac:dyDescent="0.3">
      <c r="J132074"/>
    </row>
    <row r="132075" spans="10:10" x14ac:dyDescent="0.3">
      <c r="J132075"/>
    </row>
    <row r="132076" spans="10:10" x14ac:dyDescent="0.3">
      <c r="J132076"/>
    </row>
    <row r="132077" spans="10:10" x14ac:dyDescent="0.3">
      <c r="J132077"/>
    </row>
    <row r="132078" spans="10:10" x14ac:dyDescent="0.3">
      <c r="J132078"/>
    </row>
    <row r="132079" spans="10:10" x14ac:dyDescent="0.3">
      <c r="J132079"/>
    </row>
    <row r="132080" spans="10:10" x14ac:dyDescent="0.3">
      <c r="J132080"/>
    </row>
    <row r="132081" spans="10:10" x14ac:dyDescent="0.3">
      <c r="J132081"/>
    </row>
    <row r="132082" spans="10:10" x14ac:dyDescent="0.3">
      <c r="J132082"/>
    </row>
    <row r="132083" spans="10:10" x14ac:dyDescent="0.3">
      <c r="J132083"/>
    </row>
    <row r="132084" spans="10:10" x14ac:dyDescent="0.3">
      <c r="J132084"/>
    </row>
    <row r="132085" spans="10:10" x14ac:dyDescent="0.3">
      <c r="J132085"/>
    </row>
    <row r="132086" spans="10:10" x14ac:dyDescent="0.3">
      <c r="J132086"/>
    </row>
    <row r="132087" spans="10:10" x14ac:dyDescent="0.3">
      <c r="J132087"/>
    </row>
    <row r="132088" spans="10:10" x14ac:dyDescent="0.3">
      <c r="J132088"/>
    </row>
    <row r="132089" spans="10:10" x14ac:dyDescent="0.3">
      <c r="J132089"/>
    </row>
    <row r="132090" spans="10:10" x14ac:dyDescent="0.3">
      <c r="J132090"/>
    </row>
    <row r="132091" spans="10:10" x14ac:dyDescent="0.3">
      <c r="J132091"/>
    </row>
    <row r="132092" spans="10:10" x14ac:dyDescent="0.3">
      <c r="J132092"/>
    </row>
    <row r="132093" spans="10:10" x14ac:dyDescent="0.3">
      <c r="J132093"/>
    </row>
    <row r="132094" spans="10:10" x14ac:dyDescent="0.3">
      <c r="J132094"/>
    </row>
    <row r="132095" spans="10:10" x14ac:dyDescent="0.3">
      <c r="J132095"/>
    </row>
    <row r="132096" spans="10:10" x14ac:dyDescent="0.3">
      <c r="J132096"/>
    </row>
    <row r="132097" spans="10:10" x14ac:dyDescent="0.3">
      <c r="J132097"/>
    </row>
    <row r="132098" spans="10:10" x14ac:dyDescent="0.3">
      <c r="J132098"/>
    </row>
    <row r="132099" spans="10:10" x14ac:dyDescent="0.3">
      <c r="J132099"/>
    </row>
    <row r="132100" spans="10:10" x14ac:dyDescent="0.3">
      <c r="J132100"/>
    </row>
    <row r="132101" spans="10:10" x14ac:dyDescent="0.3">
      <c r="J132101"/>
    </row>
    <row r="132102" spans="10:10" x14ac:dyDescent="0.3">
      <c r="J132102"/>
    </row>
    <row r="132103" spans="10:10" x14ac:dyDescent="0.3">
      <c r="J132103"/>
    </row>
    <row r="132104" spans="10:10" x14ac:dyDescent="0.3">
      <c r="J132104"/>
    </row>
    <row r="132105" spans="10:10" x14ac:dyDescent="0.3">
      <c r="J132105"/>
    </row>
    <row r="132106" spans="10:10" x14ac:dyDescent="0.3">
      <c r="J132106"/>
    </row>
    <row r="132107" spans="10:10" x14ac:dyDescent="0.3">
      <c r="J132107"/>
    </row>
    <row r="132108" spans="10:10" x14ac:dyDescent="0.3">
      <c r="J132108"/>
    </row>
    <row r="132109" spans="10:10" x14ac:dyDescent="0.3">
      <c r="J132109"/>
    </row>
    <row r="132110" spans="10:10" x14ac:dyDescent="0.3">
      <c r="J132110"/>
    </row>
    <row r="132111" spans="10:10" x14ac:dyDescent="0.3">
      <c r="J132111"/>
    </row>
    <row r="132112" spans="10:10" x14ac:dyDescent="0.3">
      <c r="J132112"/>
    </row>
    <row r="132113" spans="10:10" x14ac:dyDescent="0.3">
      <c r="J132113"/>
    </row>
    <row r="132114" spans="10:10" x14ac:dyDescent="0.3">
      <c r="J132114"/>
    </row>
    <row r="132115" spans="10:10" x14ac:dyDescent="0.3">
      <c r="J132115"/>
    </row>
    <row r="132116" spans="10:10" x14ac:dyDescent="0.3">
      <c r="J132116"/>
    </row>
    <row r="132117" spans="10:10" x14ac:dyDescent="0.3">
      <c r="J132117"/>
    </row>
    <row r="132118" spans="10:10" x14ac:dyDescent="0.3">
      <c r="J132118"/>
    </row>
    <row r="132119" spans="10:10" x14ac:dyDescent="0.3">
      <c r="J132119"/>
    </row>
    <row r="132120" spans="10:10" x14ac:dyDescent="0.3">
      <c r="J132120"/>
    </row>
    <row r="132121" spans="10:10" x14ac:dyDescent="0.3">
      <c r="J132121"/>
    </row>
    <row r="132122" spans="10:10" x14ac:dyDescent="0.3">
      <c r="J132122"/>
    </row>
    <row r="132123" spans="10:10" x14ac:dyDescent="0.3">
      <c r="J132123"/>
    </row>
    <row r="132124" spans="10:10" x14ac:dyDescent="0.3">
      <c r="J132124"/>
    </row>
    <row r="132125" spans="10:10" x14ac:dyDescent="0.3">
      <c r="J132125"/>
    </row>
    <row r="132126" spans="10:10" x14ac:dyDescent="0.3">
      <c r="J132126"/>
    </row>
    <row r="132127" spans="10:10" x14ac:dyDescent="0.3">
      <c r="J132127"/>
    </row>
    <row r="132128" spans="10:10" x14ac:dyDescent="0.3">
      <c r="J132128"/>
    </row>
    <row r="132129" spans="10:10" x14ac:dyDescent="0.3">
      <c r="J132129"/>
    </row>
    <row r="132130" spans="10:10" x14ac:dyDescent="0.3">
      <c r="J132130"/>
    </row>
    <row r="132131" spans="10:10" x14ac:dyDescent="0.3">
      <c r="J132131"/>
    </row>
    <row r="132132" spans="10:10" x14ac:dyDescent="0.3">
      <c r="J132132"/>
    </row>
    <row r="132133" spans="10:10" x14ac:dyDescent="0.3">
      <c r="J132133"/>
    </row>
    <row r="132134" spans="10:10" x14ac:dyDescent="0.3">
      <c r="J132134"/>
    </row>
    <row r="132135" spans="10:10" x14ac:dyDescent="0.3">
      <c r="J132135"/>
    </row>
    <row r="132136" spans="10:10" x14ac:dyDescent="0.3">
      <c r="J132136"/>
    </row>
    <row r="132137" spans="10:10" x14ac:dyDescent="0.3">
      <c r="J132137"/>
    </row>
    <row r="132138" spans="10:10" x14ac:dyDescent="0.3">
      <c r="J132138"/>
    </row>
    <row r="132139" spans="10:10" x14ac:dyDescent="0.3">
      <c r="J132139"/>
    </row>
    <row r="132140" spans="10:10" x14ac:dyDescent="0.3">
      <c r="J132140"/>
    </row>
    <row r="132141" spans="10:10" x14ac:dyDescent="0.3">
      <c r="J132141"/>
    </row>
    <row r="132142" spans="10:10" x14ac:dyDescent="0.3">
      <c r="J132142"/>
    </row>
    <row r="132143" spans="10:10" x14ac:dyDescent="0.3">
      <c r="J132143"/>
    </row>
    <row r="132144" spans="10:10" x14ac:dyDescent="0.3">
      <c r="J132144"/>
    </row>
    <row r="132145" spans="10:10" x14ac:dyDescent="0.3">
      <c r="J132145"/>
    </row>
    <row r="132146" spans="10:10" x14ac:dyDescent="0.3">
      <c r="J132146"/>
    </row>
    <row r="132147" spans="10:10" x14ac:dyDescent="0.3">
      <c r="J132147"/>
    </row>
    <row r="132148" spans="10:10" x14ac:dyDescent="0.3">
      <c r="J132148"/>
    </row>
    <row r="132149" spans="10:10" x14ac:dyDescent="0.3">
      <c r="J132149"/>
    </row>
    <row r="132150" spans="10:10" x14ac:dyDescent="0.3">
      <c r="J132150"/>
    </row>
    <row r="132151" spans="10:10" x14ac:dyDescent="0.3">
      <c r="J132151"/>
    </row>
    <row r="132152" spans="10:10" x14ac:dyDescent="0.3">
      <c r="J132152"/>
    </row>
    <row r="132153" spans="10:10" x14ac:dyDescent="0.3">
      <c r="J132153"/>
    </row>
    <row r="132154" spans="10:10" x14ac:dyDescent="0.3">
      <c r="J132154"/>
    </row>
    <row r="132155" spans="10:10" x14ac:dyDescent="0.3">
      <c r="J132155"/>
    </row>
    <row r="132156" spans="10:10" x14ac:dyDescent="0.3">
      <c r="J132156"/>
    </row>
    <row r="132157" spans="10:10" x14ac:dyDescent="0.3">
      <c r="J132157"/>
    </row>
    <row r="132158" spans="10:10" x14ac:dyDescent="0.3">
      <c r="J132158"/>
    </row>
    <row r="132159" spans="10:10" x14ac:dyDescent="0.3">
      <c r="J132159"/>
    </row>
    <row r="132160" spans="10:10" x14ac:dyDescent="0.3">
      <c r="J132160"/>
    </row>
    <row r="132161" spans="10:10" x14ac:dyDescent="0.3">
      <c r="J132161"/>
    </row>
    <row r="132162" spans="10:10" x14ac:dyDescent="0.3">
      <c r="J132162"/>
    </row>
    <row r="132163" spans="10:10" x14ac:dyDescent="0.3">
      <c r="J132163"/>
    </row>
    <row r="132164" spans="10:10" x14ac:dyDescent="0.3">
      <c r="J132164"/>
    </row>
    <row r="132165" spans="10:10" x14ac:dyDescent="0.3">
      <c r="J132165"/>
    </row>
    <row r="132166" spans="10:10" x14ac:dyDescent="0.3">
      <c r="J132166"/>
    </row>
    <row r="132167" spans="10:10" x14ac:dyDescent="0.3">
      <c r="J132167"/>
    </row>
    <row r="132168" spans="10:10" x14ac:dyDescent="0.3">
      <c r="J132168"/>
    </row>
    <row r="132169" spans="10:10" x14ac:dyDescent="0.3">
      <c r="J132169"/>
    </row>
    <row r="132170" spans="10:10" x14ac:dyDescent="0.3">
      <c r="J132170"/>
    </row>
    <row r="132171" spans="10:10" x14ac:dyDescent="0.3">
      <c r="J132171"/>
    </row>
    <row r="132172" spans="10:10" x14ac:dyDescent="0.3">
      <c r="J132172"/>
    </row>
    <row r="132173" spans="10:10" x14ac:dyDescent="0.3">
      <c r="J132173"/>
    </row>
    <row r="132174" spans="10:10" x14ac:dyDescent="0.3">
      <c r="J132174"/>
    </row>
    <row r="132175" spans="10:10" x14ac:dyDescent="0.3">
      <c r="J132175"/>
    </row>
    <row r="132176" spans="10:10" x14ac:dyDescent="0.3">
      <c r="J132176"/>
    </row>
    <row r="132177" spans="10:10" x14ac:dyDescent="0.3">
      <c r="J132177"/>
    </row>
    <row r="132178" spans="10:10" x14ac:dyDescent="0.3">
      <c r="J132178"/>
    </row>
    <row r="132179" spans="10:10" x14ac:dyDescent="0.3">
      <c r="J132179"/>
    </row>
    <row r="132180" spans="10:10" x14ac:dyDescent="0.3">
      <c r="J132180"/>
    </row>
    <row r="132181" spans="10:10" x14ac:dyDescent="0.3">
      <c r="J132181"/>
    </row>
    <row r="132182" spans="10:10" x14ac:dyDescent="0.3">
      <c r="J132182"/>
    </row>
    <row r="132183" spans="10:10" x14ac:dyDescent="0.3">
      <c r="J132183"/>
    </row>
    <row r="132184" spans="10:10" x14ac:dyDescent="0.3">
      <c r="J132184"/>
    </row>
    <row r="132185" spans="10:10" x14ac:dyDescent="0.3">
      <c r="J132185"/>
    </row>
    <row r="132186" spans="10:10" x14ac:dyDescent="0.3">
      <c r="J132186"/>
    </row>
    <row r="132187" spans="10:10" x14ac:dyDescent="0.3">
      <c r="J132187"/>
    </row>
    <row r="132188" spans="10:10" x14ac:dyDescent="0.3">
      <c r="J132188"/>
    </row>
    <row r="132189" spans="10:10" x14ac:dyDescent="0.3">
      <c r="J132189"/>
    </row>
    <row r="132190" spans="10:10" x14ac:dyDescent="0.3">
      <c r="J132190"/>
    </row>
    <row r="132191" spans="10:10" x14ac:dyDescent="0.3">
      <c r="J132191"/>
    </row>
    <row r="132192" spans="10:10" x14ac:dyDescent="0.3">
      <c r="J132192"/>
    </row>
    <row r="132193" spans="10:10" x14ac:dyDescent="0.3">
      <c r="J132193"/>
    </row>
    <row r="132194" spans="10:10" x14ac:dyDescent="0.3">
      <c r="J132194"/>
    </row>
    <row r="132195" spans="10:10" x14ac:dyDescent="0.3">
      <c r="J132195"/>
    </row>
    <row r="132196" spans="10:10" x14ac:dyDescent="0.3">
      <c r="J132196"/>
    </row>
    <row r="132197" spans="10:10" x14ac:dyDescent="0.3">
      <c r="J132197"/>
    </row>
    <row r="132198" spans="10:10" x14ac:dyDescent="0.3">
      <c r="J132198"/>
    </row>
    <row r="132199" spans="10:10" x14ac:dyDescent="0.3">
      <c r="J132199"/>
    </row>
    <row r="132200" spans="10:10" x14ac:dyDescent="0.3">
      <c r="J132200"/>
    </row>
    <row r="132201" spans="10:10" x14ac:dyDescent="0.3">
      <c r="J132201"/>
    </row>
    <row r="132202" spans="10:10" x14ac:dyDescent="0.3">
      <c r="J132202"/>
    </row>
    <row r="132203" spans="10:10" x14ac:dyDescent="0.3">
      <c r="J132203"/>
    </row>
    <row r="132204" spans="10:10" x14ac:dyDescent="0.3">
      <c r="J132204"/>
    </row>
    <row r="132205" spans="10:10" x14ac:dyDescent="0.3">
      <c r="J132205"/>
    </row>
    <row r="132206" spans="10:10" x14ac:dyDescent="0.3">
      <c r="J132206"/>
    </row>
    <row r="132207" spans="10:10" x14ac:dyDescent="0.3">
      <c r="J132207"/>
    </row>
    <row r="132208" spans="10:10" x14ac:dyDescent="0.3">
      <c r="J132208"/>
    </row>
    <row r="132209" spans="10:10" x14ac:dyDescent="0.3">
      <c r="J132209"/>
    </row>
    <row r="132210" spans="10:10" x14ac:dyDescent="0.3">
      <c r="J132210"/>
    </row>
    <row r="132211" spans="10:10" x14ac:dyDescent="0.3">
      <c r="J132211"/>
    </row>
    <row r="132212" spans="10:10" x14ac:dyDescent="0.3">
      <c r="J132212"/>
    </row>
    <row r="132213" spans="10:10" x14ac:dyDescent="0.3">
      <c r="J132213"/>
    </row>
    <row r="132214" spans="10:10" x14ac:dyDescent="0.3">
      <c r="J132214"/>
    </row>
    <row r="132215" spans="10:10" x14ac:dyDescent="0.3">
      <c r="J132215"/>
    </row>
    <row r="132216" spans="10:10" x14ac:dyDescent="0.3">
      <c r="J132216"/>
    </row>
    <row r="132217" spans="10:10" x14ac:dyDescent="0.3">
      <c r="J132217"/>
    </row>
    <row r="132218" spans="10:10" x14ac:dyDescent="0.3">
      <c r="J132218"/>
    </row>
    <row r="132219" spans="10:10" x14ac:dyDescent="0.3">
      <c r="J132219"/>
    </row>
    <row r="132220" spans="10:10" x14ac:dyDescent="0.3">
      <c r="J132220"/>
    </row>
    <row r="132221" spans="10:10" x14ac:dyDescent="0.3">
      <c r="J132221"/>
    </row>
    <row r="132222" spans="10:10" x14ac:dyDescent="0.3">
      <c r="J132222"/>
    </row>
    <row r="132223" spans="10:10" x14ac:dyDescent="0.3">
      <c r="J132223"/>
    </row>
    <row r="132224" spans="10:10" x14ac:dyDescent="0.3">
      <c r="J132224"/>
    </row>
    <row r="132225" spans="10:10" x14ac:dyDescent="0.3">
      <c r="J132225"/>
    </row>
    <row r="132226" spans="10:10" x14ac:dyDescent="0.3">
      <c r="J132226"/>
    </row>
    <row r="132227" spans="10:10" x14ac:dyDescent="0.3">
      <c r="J132227"/>
    </row>
    <row r="132228" spans="10:10" x14ac:dyDescent="0.3">
      <c r="J132228"/>
    </row>
    <row r="132229" spans="10:10" x14ac:dyDescent="0.3">
      <c r="J132229"/>
    </row>
    <row r="132230" spans="10:10" x14ac:dyDescent="0.3">
      <c r="J132230"/>
    </row>
    <row r="132231" spans="10:10" x14ac:dyDescent="0.3">
      <c r="J132231"/>
    </row>
    <row r="132232" spans="10:10" x14ac:dyDescent="0.3">
      <c r="J132232"/>
    </row>
    <row r="132233" spans="10:10" x14ac:dyDescent="0.3">
      <c r="J132233"/>
    </row>
    <row r="132234" spans="10:10" x14ac:dyDescent="0.3">
      <c r="J132234"/>
    </row>
    <row r="132235" spans="10:10" x14ac:dyDescent="0.3">
      <c r="J132235"/>
    </row>
    <row r="132236" spans="10:10" x14ac:dyDescent="0.3">
      <c r="J132236"/>
    </row>
    <row r="132237" spans="10:10" x14ac:dyDescent="0.3">
      <c r="J132237"/>
    </row>
    <row r="132238" spans="10:10" x14ac:dyDescent="0.3">
      <c r="J132238"/>
    </row>
    <row r="132239" spans="10:10" x14ac:dyDescent="0.3">
      <c r="J132239"/>
    </row>
    <row r="132240" spans="10:10" x14ac:dyDescent="0.3">
      <c r="J132240"/>
    </row>
    <row r="132241" spans="10:10" x14ac:dyDescent="0.3">
      <c r="J132241"/>
    </row>
    <row r="132242" spans="10:10" x14ac:dyDescent="0.3">
      <c r="J132242"/>
    </row>
    <row r="132243" spans="10:10" x14ac:dyDescent="0.3">
      <c r="J132243"/>
    </row>
    <row r="132244" spans="10:10" x14ac:dyDescent="0.3">
      <c r="J132244"/>
    </row>
    <row r="132245" spans="10:10" x14ac:dyDescent="0.3">
      <c r="J132245"/>
    </row>
    <row r="132246" spans="10:10" x14ac:dyDescent="0.3">
      <c r="J132246"/>
    </row>
    <row r="132247" spans="10:10" x14ac:dyDescent="0.3">
      <c r="J132247"/>
    </row>
    <row r="132248" spans="10:10" x14ac:dyDescent="0.3">
      <c r="J132248"/>
    </row>
    <row r="132249" spans="10:10" x14ac:dyDescent="0.3">
      <c r="J132249"/>
    </row>
    <row r="132250" spans="10:10" x14ac:dyDescent="0.3">
      <c r="J132250"/>
    </row>
    <row r="132251" spans="10:10" x14ac:dyDescent="0.3">
      <c r="J132251"/>
    </row>
    <row r="132252" spans="10:10" x14ac:dyDescent="0.3">
      <c r="J132252"/>
    </row>
    <row r="132253" spans="10:10" x14ac:dyDescent="0.3">
      <c r="J132253"/>
    </row>
    <row r="132254" spans="10:10" x14ac:dyDescent="0.3">
      <c r="J132254"/>
    </row>
    <row r="132255" spans="10:10" x14ac:dyDescent="0.3">
      <c r="J132255"/>
    </row>
    <row r="132256" spans="10:10" x14ac:dyDescent="0.3">
      <c r="J132256"/>
    </row>
    <row r="132257" spans="10:10" x14ac:dyDescent="0.3">
      <c r="J132257"/>
    </row>
    <row r="132258" spans="10:10" x14ac:dyDescent="0.3">
      <c r="J132258"/>
    </row>
    <row r="132259" spans="10:10" x14ac:dyDescent="0.3">
      <c r="J132259"/>
    </row>
    <row r="132260" spans="10:10" x14ac:dyDescent="0.3">
      <c r="J132260"/>
    </row>
    <row r="132261" spans="10:10" x14ac:dyDescent="0.3">
      <c r="J132261"/>
    </row>
    <row r="132262" spans="10:10" x14ac:dyDescent="0.3">
      <c r="J132262"/>
    </row>
    <row r="132263" spans="10:10" x14ac:dyDescent="0.3">
      <c r="J132263"/>
    </row>
    <row r="132264" spans="10:10" x14ac:dyDescent="0.3">
      <c r="J132264"/>
    </row>
    <row r="132265" spans="10:10" x14ac:dyDescent="0.3">
      <c r="J132265"/>
    </row>
    <row r="132266" spans="10:10" x14ac:dyDescent="0.3">
      <c r="J132266"/>
    </row>
    <row r="132267" spans="10:10" x14ac:dyDescent="0.3">
      <c r="J132267"/>
    </row>
    <row r="132268" spans="10:10" x14ac:dyDescent="0.3">
      <c r="J132268"/>
    </row>
    <row r="132269" spans="10:10" x14ac:dyDescent="0.3">
      <c r="J132269"/>
    </row>
    <row r="132270" spans="10:10" x14ac:dyDescent="0.3">
      <c r="J132270"/>
    </row>
    <row r="132271" spans="10:10" x14ac:dyDescent="0.3">
      <c r="J132271"/>
    </row>
    <row r="132272" spans="10:10" x14ac:dyDescent="0.3">
      <c r="J132272"/>
    </row>
    <row r="132273" spans="10:10" x14ac:dyDescent="0.3">
      <c r="J132273"/>
    </row>
    <row r="132274" spans="10:10" x14ac:dyDescent="0.3">
      <c r="J132274"/>
    </row>
    <row r="132275" spans="10:10" x14ac:dyDescent="0.3">
      <c r="J132275"/>
    </row>
    <row r="132276" spans="10:10" x14ac:dyDescent="0.3">
      <c r="J132276"/>
    </row>
    <row r="132277" spans="10:10" x14ac:dyDescent="0.3">
      <c r="J132277"/>
    </row>
    <row r="132278" spans="10:10" x14ac:dyDescent="0.3">
      <c r="J132278"/>
    </row>
    <row r="132279" spans="10:10" x14ac:dyDescent="0.3">
      <c r="J132279"/>
    </row>
    <row r="132280" spans="10:10" x14ac:dyDescent="0.3">
      <c r="J132280"/>
    </row>
    <row r="132281" spans="10:10" x14ac:dyDescent="0.3">
      <c r="J132281"/>
    </row>
    <row r="132282" spans="10:10" x14ac:dyDescent="0.3">
      <c r="J132282"/>
    </row>
    <row r="132283" spans="10:10" x14ac:dyDescent="0.3">
      <c r="J132283"/>
    </row>
    <row r="132284" spans="10:10" x14ac:dyDescent="0.3">
      <c r="J132284"/>
    </row>
    <row r="132285" spans="10:10" x14ac:dyDescent="0.3">
      <c r="J132285"/>
    </row>
    <row r="132286" spans="10:10" x14ac:dyDescent="0.3">
      <c r="J132286"/>
    </row>
    <row r="132287" spans="10:10" x14ac:dyDescent="0.3">
      <c r="J132287"/>
    </row>
    <row r="132288" spans="10:10" x14ac:dyDescent="0.3">
      <c r="J132288"/>
    </row>
    <row r="132289" spans="10:10" x14ac:dyDescent="0.3">
      <c r="J132289"/>
    </row>
    <row r="132290" spans="10:10" x14ac:dyDescent="0.3">
      <c r="J132290"/>
    </row>
    <row r="132291" spans="10:10" x14ac:dyDescent="0.3">
      <c r="J132291"/>
    </row>
    <row r="132292" spans="10:10" x14ac:dyDescent="0.3">
      <c r="J132292"/>
    </row>
    <row r="132293" spans="10:10" x14ac:dyDescent="0.3">
      <c r="J132293"/>
    </row>
    <row r="132294" spans="10:10" x14ac:dyDescent="0.3">
      <c r="J132294"/>
    </row>
    <row r="132295" spans="10:10" x14ac:dyDescent="0.3">
      <c r="J132295"/>
    </row>
    <row r="132296" spans="10:10" x14ac:dyDescent="0.3">
      <c r="J132296"/>
    </row>
    <row r="132297" spans="10:10" x14ac:dyDescent="0.3">
      <c r="J132297"/>
    </row>
    <row r="132298" spans="10:10" x14ac:dyDescent="0.3">
      <c r="J132298"/>
    </row>
    <row r="132299" spans="10:10" x14ac:dyDescent="0.3">
      <c r="J132299"/>
    </row>
    <row r="132300" spans="10:10" x14ac:dyDescent="0.3">
      <c r="J132300"/>
    </row>
    <row r="132301" spans="10:10" x14ac:dyDescent="0.3">
      <c r="J132301"/>
    </row>
    <row r="132302" spans="10:10" x14ac:dyDescent="0.3">
      <c r="J132302"/>
    </row>
    <row r="132303" spans="10:10" x14ac:dyDescent="0.3">
      <c r="J132303"/>
    </row>
    <row r="132304" spans="10:10" x14ac:dyDescent="0.3">
      <c r="J132304"/>
    </row>
    <row r="132305" spans="10:10" x14ac:dyDescent="0.3">
      <c r="J132305"/>
    </row>
    <row r="132306" spans="10:10" x14ac:dyDescent="0.3">
      <c r="J132306"/>
    </row>
    <row r="132307" spans="10:10" x14ac:dyDescent="0.3">
      <c r="J132307"/>
    </row>
    <row r="132308" spans="10:10" x14ac:dyDescent="0.3">
      <c r="J132308"/>
    </row>
    <row r="132309" spans="10:10" x14ac:dyDescent="0.3">
      <c r="J132309"/>
    </row>
    <row r="132310" spans="10:10" x14ac:dyDescent="0.3">
      <c r="J132310"/>
    </row>
    <row r="132311" spans="10:10" x14ac:dyDescent="0.3">
      <c r="J132311"/>
    </row>
    <row r="132312" spans="10:10" x14ac:dyDescent="0.3">
      <c r="J132312"/>
    </row>
    <row r="132313" spans="10:10" x14ac:dyDescent="0.3">
      <c r="J132313"/>
    </row>
    <row r="132314" spans="10:10" x14ac:dyDescent="0.3">
      <c r="J132314"/>
    </row>
    <row r="132315" spans="10:10" x14ac:dyDescent="0.3">
      <c r="J132315"/>
    </row>
    <row r="132316" spans="10:10" x14ac:dyDescent="0.3">
      <c r="J132316"/>
    </row>
    <row r="132317" spans="10:10" x14ac:dyDescent="0.3">
      <c r="J132317"/>
    </row>
    <row r="132318" spans="10:10" x14ac:dyDescent="0.3">
      <c r="J132318"/>
    </row>
    <row r="132319" spans="10:10" x14ac:dyDescent="0.3">
      <c r="J132319"/>
    </row>
    <row r="132320" spans="10:10" x14ac:dyDescent="0.3">
      <c r="J132320"/>
    </row>
    <row r="132321" spans="10:10" x14ac:dyDescent="0.3">
      <c r="J132321"/>
    </row>
    <row r="132322" spans="10:10" x14ac:dyDescent="0.3">
      <c r="J132322"/>
    </row>
    <row r="132323" spans="10:10" x14ac:dyDescent="0.3">
      <c r="J132323"/>
    </row>
    <row r="132324" spans="10:10" x14ac:dyDescent="0.3">
      <c r="J132324"/>
    </row>
    <row r="132325" spans="10:10" x14ac:dyDescent="0.3">
      <c r="J132325"/>
    </row>
    <row r="132326" spans="10:10" x14ac:dyDescent="0.3">
      <c r="J132326"/>
    </row>
    <row r="132327" spans="10:10" x14ac:dyDescent="0.3">
      <c r="J132327"/>
    </row>
    <row r="132328" spans="10:10" x14ac:dyDescent="0.3">
      <c r="J132328"/>
    </row>
    <row r="132329" spans="10:10" x14ac:dyDescent="0.3">
      <c r="J132329"/>
    </row>
    <row r="132330" spans="10:10" x14ac:dyDescent="0.3">
      <c r="J132330"/>
    </row>
    <row r="132331" spans="10:10" x14ac:dyDescent="0.3">
      <c r="J132331"/>
    </row>
    <row r="132332" spans="10:10" x14ac:dyDescent="0.3">
      <c r="J132332"/>
    </row>
    <row r="132333" spans="10:10" x14ac:dyDescent="0.3">
      <c r="J132333"/>
    </row>
    <row r="132334" spans="10:10" x14ac:dyDescent="0.3">
      <c r="J132334"/>
    </row>
    <row r="132335" spans="10:10" x14ac:dyDescent="0.3">
      <c r="J132335"/>
    </row>
    <row r="132336" spans="10:10" x14ac:dyDescent="0.3">
      <c r="J132336"/>
    </row>
    <row r="132337" spans="10:10" x14ac:dyDescent="0.3">
      <c r="J132337"/>
    </row>
    <row r="132338" spans="10:10" x14ac:dyDescent="0.3">
      <c r="J132338"/>
    </row>
    <row r="132339" spans="10:10" x14ac:dyDescent="0.3">
      <c r="J132339"/>
    </row>
    <row r="132340" spans="10:10" x14ac:dyDescent="0.3">
      <c r="J132340"/>
    </row>
    <row r="132341" spans="10:10" x14ac:dyDescent="0.3">
      <c r="J132341"/>
    </row>
    <row r="132342" spans="10:10" x14ac:dyDescent="0.3">
      <c r="J132342"/>
    </row>
    <row r="132343" spans="10:10" x14ac:dyDescent="0.3">
      <c r="J132343"/>
    </row>
    <row r="132344" spans="10:10" x14ac:dyDescent="0.3">
      <c r="J132344"/>
    </row>
    <row r="132345" spans="10:10" x14ac:dyDescent="0.3">
      <c r="J132345"/>
    </row>
    <row r="132346" spans="10:10" x14ac:dyDescent="0.3">
      <c r="J132346"/>
    </row>
    <row r="132347" spans="10:10" x14ac:dyDescent="0.3">
      <c r="J132347"/>
    </row>
    <row r="132348" spans="10:10" x14ac:dyDescent="0.3">
      <c r="J132348"/>
    </row>
    <row r="132349" spans="10:10" x14ac:dyDescent="0.3">
      <c r="J132349"/>
    </row>
    <row r="132350" spans="10:10" x14ac:dyDescent="0.3">
      <c r="J132350"/>
    </row>
    <row r="132351" spans="10:10" x14ac:dyDescent="0.3">
      <c r="J132351"/>
    </row>
    <row r="132352" spans="10:10" x14ac:dyDescent="0.3">
      <c r="J132352"/>
    </row>
    <row r="132353" spans="10:10" x14ac:dyDescent="0.3">
      <c r="J132353"/>
    </row>
    <row r="132354" spans="10:10" x14ac:dyDescent="0.3">
      <c r="J132354"/>
    </row>
    <row r="132355" spans="10:10" x14ac:dyDescent="0.3">
      <c r="J132355"/>
    </row>
    <row r="132356" spans="10:10" x14ac:dyDescent="0.3">
      <c r="J132356"/>
    </row>
    <row r="132357" spans="10:10" x14ac:dyDescent="0.3">
      <c r="J132357"/>
    </row>
    <row r="132358" spans="10:10" x14ac:dyDescent="0.3">
      <c r="J132358"/>
    </row>
    <row r="132359" spans="10:10" x14ac:dyDescent="0.3">
      <c r="J132359"/>
    </row>
    <row r="132360" spans="10:10" x14ac:dyDescent="0.3">
      <c r="J132360"/>
    </row>
    <row r="132361" spans="10:10" x14ac:dyDescent="0.3">
      <c r="J132361"/>
    </row>
    <row r="132362" spans="10:10" x14ac:dyDescent="0.3">
      <c r="J132362"/>
    </row>
    <row r="132363" spans="10:10" x14ac:dyDescent="0.3">
      <c r="J132363"/>
    </row>
    <row r="132364" spans="10:10" x14ac:dyDescent="0.3">
      <c r="J132364"/>
    </row>
    <row r="132365" spans="10:10" x14ac:dyDescent="0.3">
      <c r="J132365"/>
    </row>
    <row r="132366" spans="10:10" x14ac:dyDescent="0.3">
      <c r="J132366"/>
    </row>
    <row r="132367" spans="10:10" x14ac:dyDescent="0.3">
      <c r="J132367"/>
    </row>
    <row r="132368" spans="10:10" x14ac:dyDescent="0.3">
      <c r="J132368"/>
    </row>
    <row r="132369" spans="10:10" x14ac:dyDescent="0.3">
      <c r="J132369"/>
    </row>
    <row r="132370" spans="10:10" x14ac:dyDescent="0.3">
      <c r="J132370"/>
    </row>
    <row r="132371" spans="10:10" x14ac:dyDescent="0.3">
      <c r="J132371"/>
    </row>
    <row r="132372" spans="10:10" x14ac:dyDescent="0.3">
      <c r="J132372"/>
    </row>
    <row r="132373" spans="10:10" x14ac:dyDescent="0.3">
      <c r="J132373"/>
    </row>
    <row r="132374" spans="10:10" x14ac:dyDescent="0.3">
      <c r="J132374"/>
    </row>
    <row r="132375" spans="10:10" x14ac:dyDescent="0.3">
      <c r="J132375"/>
    </row>
    <row r="132376" spans="10:10" x14ac:dyDescent="0.3">
      <c r="J132376"/>
    </row>
    <row r="132377" spans="10:10" x14ac:dyDescent="0.3">
      <c r="J132377"/>
    </row>
    <row r="132378" spans="10:10" x14ac:dyDescent="0.3">
      <c r="J132378"/>
    </row>
    <row r="132379" spans="10:10" x14ac:dyDescent="0.3">
      <c r="J132379"/>
    </row>
    <row r="132380" spans="10:10" x14ac:dyDescent="0.3">
      <c r="J132380"/>
    </row>
    <row r="132381" spans="10:10" x14ac:dyDescent="0.3">
      <c r="J132381"/>
    </row>
    <row r="132382" spans="10:10" x14ac:dyDescent="0.3">
      <c r="J132382"/>
    </row>
    <row r="132383" spans="10:10" x14ac:dyDescent="0.3">
      <c r="J132383"/>
    </row>
    <row r="132384" spans="10:10" x14ac:dyDescent="0.3">
      <c r="J132384"/>
    </row>
    <row r="132385" spans="10:10" x14ac:dyDescent="0.3">
      <c r="J132385"/>
    </row>
    <row r="132386" spans="10:10" x14ac:dyDescent="0.3">
      <c r="J132386"/>
    </row>
    <row r="132387" spans="10:10" x14ac:dyDescent="0.3">
      <c r="J132387"/>
    </row>
    <row r="132388" spans="10:10" x14ac:dyDescent="0.3">
      <c r="J132388"/>
    </row>
    <row r="132389" spans="10:10" x14ac:dyDescent="0.3">
      <c r="J132389"/>
    </row>
    <row r="132390" spans="10:10" x14ac:dyDescent="0.3">
      <c r="J132390"/>
    </row>
    <row r="132391" spans="10:10" x14ac:dyDescent="0.3">
      <c r="J132391"/>
    </row>
    <row r="132392" spans="10:10" x14ac:dyDescent="0.3">
      <c r="J132392"/>
    </row>
    <row r="132393" spans="10:10" x14ac:dyDescent="0.3">
      <c r="J132393"/>
    </row>
    <row r="132394" spans="10:10" x14ac:dyDescent="0.3">
      <c r="J132394"/>
    </row>
    <row r="132395" spans="10:10" x14ac:dyDescent="0.3">
      <c r="J132395"/>
    </row>
    <row r="132396" spans="10:10" x14ac:dyDescent="0.3">
      <c r="J132396"/>
    </row>
    <row r="132397" spans="10:10" x14ac:dyDescent="0.3">
      <c r="J132397"/>
    </row>
    <row r="132398" spans="10:10" x14ac:dyDescent="0.3">
      <c r="J132398"/>
    </row>
    <row r="132399" spans="10:10" x14ac:dyDescent="0.3">
      <c r="J132399"/>
    </row>
    <row r="132400" spans="10:10" x14ac:dyDescent="0.3">
      <c r="J132400"/>
    </row>
    <row r="132401" spans="10:10" x14ac:dyDescent="0.3">
      <c r="J132401"/>
    </row>
    <row r="132402" spans="10:10" x14ac:dyDescent="0.3">
      <c r="J132402"/>
    </row>
    <row r="132403" spans="10:10" x14ac:dyDescent="0.3">
      <c r="J132403"/>
    </row>
    <row r="132404" spans="10:10" x14ac:dyDescent="0.3">
      <c r="J132404"/>
    </row>
    <row r="132405" spans="10:10" x14ac:dyDescent="0.3">
      <c r="J132405"/>
    </row>
    <row r="132406" spans="10:10" x14ac:dyDescent="0.3">
      <c r="J132406"/>
    </row>
    <row r="132407" spans="10:10" x14ac:dyDescent="0.3">
      <c r="J132407"/>
    </row>
    <row r="132408" spans="10:10" x14ac:dyDescent="0.3">
      <c r="J132408"/>
    </row>
    <row r="132409" spans="10:10" x14ac:dyDescent="0.3">
      <c r="J132409"/>
    </row>
    <row r="132410" spans="10:10" x14ac:dyDescent="0.3">
      <c r="J132410"/>
    </row>
    <row r="132411" spans="10:10" x14ac:dyDescent="0.3">
      <c r="J132411"/>
    </row>
    <row r="132412" spans="10:10" x14ac:dyDescent="0.3">
      <c r="J132412"/>
    </row>
    <row r="132413" spans="10:10" x14ac:dyDescent="0.3">
      <c r="J132413"/>
    </row>
    <row r="132414" spans="10:10" x14ac:dyDescent="0.3">
      <c r="J132414"/>
    </row>
    <row r="132415" spans="10:10" x14ac:dyDescent="0.3">
      <c r="J132415"/>
    </row>
    <row r="132416" spans="10:10" x14ac:dyDescent="0.3">
      <c r="J132416"/>
    </row>
    <row r="132417" spans="10:10" x14ac:dyDescent="0.3">
      <c r="J132417"/>
    </row>
    <row r="132418" spans="10:10" x14ac:dyDescent="0.3">
      <c r="J132418"/>
    </row>
    <row r="132419" spans="10:10" x14ac:dyDescent="0.3">
      <c r="J132419"/>
    </row>
    <row r="132420" spans="10:10" x14ac:dyDescent="0.3">
      <c r="J132420"/>
    </row>
    <row r="132421" spans="10:10" x14ac:dyDescent="0.3">
      <c r="J132421"/>
    </row>
    <row r="132422" spans="10:10" x14ac:dyDescent="0.3">
      <c r="J132422"/>
    </row>
    <row r="132423" spans="10:10" x14ac:dyDescent="0.3">
      <c r="J132423"/>
    </row>
    <row r="132424" spans="10:10" x14ac:dyDescent="0.3">
      <c r="J132424"/>
    </row>
    <row r="132425" spans="10:10" x14ac:dyDescent="0.3">
      <c r="J132425"/>
    </row>
    <row r="132426" spans="10:10" x14ac:dyDescent="0.3">
      <c r="J132426"/>
    </row>
    <row r="132427" spans="10:10" x14ac:dyDescent="0.3">
      <c r="J132427"/>
    </row>
    <row r="132428" spans="10:10" x14ac:dyDescent="0.3">
      <c r="J132428"/>
    </row>
    <row r="132429" spans="10:10" x14ac:dyDescent="0.3">
      <c r="J132429"/>
    </row>
    <row r="132430" spans="10:10" x14ac:dyDescent="0.3">
      <c r="J132430"/>
    </row>
    <row r="132431" spans="10:10" x14ac:dyDescent="0.3">
      <c r="J132431"/>
    </row>
    <row r="132432" spans="10:10" x14ac:dyDescent="0.3">
      <c r="J132432"/>
    </row>
    <row r="132433" spans="10:10" x14ac:dyDescent="0.3">
      <c r="J132433"/>
    </row>
    <row r="132434" spans="10:10" x14ac:dyDescent="0.3">
      <c r="J132434"/>
    </row>
    <row r="132435" spans="10:10" x14ac:dyDescent="0.3">
      <c r="J132435"/>
    </row>
    <row r="132436" spans="10:10" x14ac:dyDescent="0.3">
      <c r="J132436"/>
    </row>
    <row r="132437" spans="10:10" x14ac:dyDescent="0.3">
      <c r="J132437"/>
    </row>
    <row r="132438" spans="10:10" x14ac:dyDescent="0.3">
      <c r="J132438"/>
    </row>
    <row r="132439" spans="10:10" x14ac:dyDescent="0.3">
      <c r="J132439"/>
    </row>
    <row r="132440" spans="10:10" x14ac:dyDescent="0.3">
      <c r="J132440"/>
    </row>
    <row r="132441" spans="10:10" x14ac:dyDescent="0.3">
      <c r="J132441"/>
    </row>
    <row r="132442" spans="10:10" x14ac:dyDescent="0.3">
      <c r="J132442"/>
    </row>
    <row r="132443" spans="10:10" x14ac:dyDescent="0.3">
      <c r="J132443"/>
    </row>
    <row r="132444" spans="10:10" x14ac:dyDescent="0.3">
      <c r="J132444"/>
    </row>
    <row r="132445" spans="10:10" x14ac:dyDescent="0.3">
      <c r="J132445"/>
    </row>
    <row r="132446" spans="10:10" x14ac:dyDescent="0.3">
      <c r="J132446"/>
    </row>
    <row r="132447" spans="10:10" x14ac:dyDescent="0.3">
      <c r="J132447"/>
    </row>
    <row r="132448" spans="10:10" x14ac:dyDescent="0.3">
      <c r="J132448"/>
    </row>
    <row r="132449" spans="10:10" x14ac:dyDescent="0.3">
      <c r="J132449"/>
    </row>
    <row r="132450" spans="10:10" x14ac:dyDescent="0.3">
      <c r="J132450"/>
    </row>
    <row r="132451" spans="10:10" x14ac:dyDescent="0.3">
      <c r="J132451"/>
    </row>
    <row r="132452" spans="10:10" x14ac:dyDescent="0.3">
      <c r="J132452"/>
    </row>
    <row r="132453" spans="10:10" x14ac:dyDescent="0.3">
      <c r="J132453"/>
    </row>
    <row r="132454" spans="10:10" x14ac:dyDescent="0.3">
      <c r="J132454"/>
    </row>
    <row r="132455" spans="10:10" x14ac:dyDescent="0.3">
      <c r="J132455"/>
    </row>
    <row r="132456" spans="10:10" x14ac:dyDescent="0.3">
      <c r="J132456"/>
    </row>
    <row r="132457" spans="10:10" x14ac:dyDescent="0.3">
      <c r="J132457"/>
    </row>
    <row r="132458" spans="10:10" x14ac:dyDescent="0.3">
      <c r="J132458"/>
    </row>
    <row r="132459" spans="10:10" x14ac:dyDescent="0.3">
      <c r="J132459"/>
    </row>
    <row r="132460" spans="10:10" x14ac:dyDescent="0.3">
      <c r="J132460"/>
    </row>
    <row r="132461" spans="10:10" x14ac:dyDescent="0.3">
      <c r="J132461"/>
    </row>
    <row r="132462" spans="10:10" x14ac:dyDescent="0.3">
      <c r="J132462"/>
    </row>
    <row r="132463" spans="10:10" x14ac:dyDescent="0.3">
      <c r="J132463"/>
    </row>
    <row r="132464" spans="10:10" x14ac:dyDescent="0.3">
      <c r="J132464"/>
    </row>
    <row r="132465" spans="10:10" x14ac:dyDescent="0.3">
      <c r="J132465"/>
    </row>
    <row r="132466" spans="10:10" x14ac:dyDescent="0.3">
      <c r="J132466"/>
    </row>
    <row r="132467" spans="10:10" x14ac:dyDescent="0.3">
      <c r="J132467"/>
    </row>
    <row r="132468" spans="10:10" x14ac:dyDescent="0.3">
      <c r="J132468"/>
    </row>
    <row r="132469" spans="10:10" x14ac:dyDescent="0.3">
      <c r="J132469"/>
    </row>
    <row r="132470" spans="10:10" x14ac:dyDescent="0.3">
      <c r="J132470"/>
    </row>
    <row r="132471" spans="10:10" x14ac:dyDescent="0.3">
      <c r="J132471"/>
    </row>
    <row r="132472" spans="10:10" x14ac:dyDescent="0.3">
      <c r="J132472"/>
    </row>
    <row r="132473" spans="10:10" x14ac:dyDescent="0.3">
      <c r="J132473"/>
    </row>
    <row r="132474" spans="10:10" x14ac:dyDescent="0.3">
      <c r="J132474"/>
    </row>
    <row r="132475" spans="10:10" x14ac:dyDescent="0.3">
      <c r="J132475"/>
    </row>
    <row r="132476" spans="10:10" x14ac:dyDescent="0.3">
      <c r="J132476"/>
    </row>
    <row r="132477" spans="10:10" x14ac:dyDescent="0.3">
      <c r="J132477"/>
    </row>
    <row r="132478" spans="10:10" x14ac:dyDescent="0.3">
      <c r="J132478"/>
    </row>
    <row r="132479" spans="10:10" x14ac:dyDescent="0.3">
      <c r="J132479"/>
    </row>
    <row r="132480" spans="10:10" x14ac:dyDescent="0.3">
      <c r="J132480"/>
    </row>
    <row r="132481" spans="10:10" x14ac:dyDescent="0.3">
      <c r="J132481"/>
    </row>
    <row r="132482" spans="10:10" x14ac:dyDescent="0.3">
      <c r="J132482"/>
    </row>
    <row r="132483" spans="10:10" x14ac:dyDescent="0.3">
      <c r="J132483"/>
    </row>
    <row r="132484" spans="10:10" x14ac:dyDescent="0.3">
      <c r="J132484"/>
    </row>
    <row r="132485" spans="10:10" x14ac:dyDescent="0.3">
      <c r="J132485"/>
    </row>
    <row r="132486" spans="10:10" x14ac:dyDescent="0.3">
      <c r="J132486"/>
    </row>
    <row r="132487" spans="10:10" x14ac:dyDescent="0.3">
      <c r="J132487"/>
    </row>
    <row r="132488" spans="10:10" x14ac:dyDescent="0.3">
      <c r="J132488"/>
    </row>
    <row r="132489" spans="10:10" x14ac:dyDescent="0.3">
      <c r="J132489"/>
    </row>
    <row r="132490" spans="10:10" x14ac:dyDescent="0.3">
      <c r="J132490"/>
    </row>
    <row r="132491" spans="10:10" x14ac:dyDescent="0.3">
      <c r="J132491"/>
    </row>
    <row r="132492" spans="10:10" x14ac:dyDescent="0.3">
      <c r="J132492"/>
    </row>
    <row r="132493" spans="10:10" x14ac:dyDescent="0.3">
      <c r="J132493"/>
    </row>
    <row r="132494" spans="10:10" x14ac:dyDescent="0.3">
      <c r="J132494"/>
    </row>
    <row r="132495" spans="10:10" x14ac:dyDescent="0.3">
      <c r="J132495"/>
    </row>
    <row r="132496" spans="10:10" x14ac:dyDescent="0.3">
      <c r="J132496"/>
    </row>
    <row r="132497" spans="10:10" x14ac:dyDescent="0.3">
      <c r="J132497"/>
    </row>
    <row r="132498" spans="10:10" x14ac:dyDescent="0.3">
      <c r="J132498"/>
    </row>
    <row r="132499" spans="10:10" x14ac:dyDescent="0.3">
      <c r="J132499"/>
    </row>
    <row r="132500" spans="10:10" x14ac:dyDescent="0.3">
      <c r="J132500"/>
    </row>
    <row r="132501" spans="10:10" x14ac:dyDescent="0.3">
      <c r="J132501"/>
    </row>
    <row r="132502" spans="10:10" x14ac:dyDescent="0.3">
      <c r="J132502"/>
    </row>
    <row r="132503" spans="10:10" x14ac:dyDescent="0.3">
      <c r="J132503"/>
    </row>
    <row r="132504" spans="10:10" x14ac:dyDescent="0.3">
      <c r="J132504"/>
    </row>
    <row r="132505" spans="10:10" x14ac:dyDescent="0.3">
      <c r="J132505"/>
    </row>
    <row r="132506" spans="10:10" x14ac:dyDescent="0.3">
      <c r="J132506"/>
    </row>
    <row r="132507" spans="10:10" x14ac:dyDescent="0.3">
      <c r="J132507"/>
    </row>
    <row r="132508" spans="10:10" x14ac:dyDescent="0.3">
      <c r="J132508"/>
    </row>
    <row r="132509" spans="10:10" x14ac:dyDescent="0.3">
      <c r="J132509"/>
    </row>
    <row r="132510" spans="10:10" x14ac:dyDescent="0.3">
      <c r="J132510"/>
    </row>
    <row r="132511" spans="10:10" x14ac:dyDescent="0.3">
      <c r="J132511"/>
    </row>
    <row r="132512" spans="10:10" x14ac:dyDescent="0.3">
      <c r="J132512"/>
    </row>
    <row r="132513" spans="10:10" x14ac:dyDescent="0.3">
      <c r="J132513"/>
    </row>
    <row r="132514" spans="10:10" x14ac:dyDescent="0.3">
      <c r="J132514"/>
    </row>
    <row r="132515" spans="10:10" x14ac:dyDescent="0.3">
      <c r="J132515"/>
    </row>
    <row r="132516" spans="10:10" x14ac:dyDescent="0.3">
      <c r="J132516"/>
    </row>
    <row r="132517" spans="10:10" x14ac:dyDescent="0.3">
      <c r="J132517"/>
    </row>
    <row r="132518" spans="10:10" x14ac:dyDescent="0.3">
      <c r="J132518"/>
    </row>
    <row r="132519" spans="10:10" x14ac:dyDescent="0.3">
      <c r="J132519"/>
    </row>
    <row r="132520" spans="10:10" x14ac:dyDescent="0.3">
      <c r="J132520"/>
    </row>
    <row r="132521" spans="10:10" x14ac:dyDescent="0.3">
      <c r="J132521"/>
    </row>
    <row r="132522" spans="10:10" x14ac:dyDescent="0.3">
      <c r="J132522"/>
    </row>
    <row r="132523" spans="10:10" x14ac:dyDescent="0.3">
      <c r="J132523"/>
    </row>
    <row r="132524" spans="10:10" x14ac:dyDescent="0.3">
      <c r="J132524"/>
    </row>
    <row r="132525" spans="10:10" x14ac:dyDescent="0.3">
      <c r="J132525"/>
    </row>
    <row r="132526" spans="10:10" x14ac:dyDescent="0.3">
      <c r="J132526"/>
    </row>
    <row r="132527" spans="10:10" x14ac:dyDescent="0.3">
      <c r="J132527"/>
    </row>
    <row r="132528" spans="10:10" x14ac:dyDescent="0.3">
      <c r="J132528"/>
    </row>
    <row r="132529" spans="10:10" x14ac:dyDescent="0.3">
      <c r="J132529"/>
    </row>
    <row r="132530" spans="10:10" x14ac:dyDescent="0.3">
      <c r="J132530"/>
    </row>
    <row r="132531" spans="10:10" x14ac:dyDescent="0.3">
      <c r="J132531"/>
    </row>
    <row r="132532" spans="10:10" x14ac:dyDescent="0.3">
      <c r="J132532"/>
    </row>
    <row r="132533" spans="10:10" x14ac:dyDescent="0.3">
      <c r="J132533"/>
    </row>
    <row r="132534" spans="10:10" x14ac:dyDescent="0.3">
      <c r="J132534"/>
    </row>
    <row r="132535" spans="10:10" x14ac:dyDescent="0.3">
      <c r="J132535"/>
    </row>
    <row r="132536" spans="10:10" x14ac:dyDescent="0.3">
      <c r="J132536"/>
    </row>
    <row r="132537" spans="10:10" x14ac:dyDescent="0.3">
      <c r="J132537"/>
    </row>
    <row r="132538" spans="10:10" x14ac:dyDescent="0.3">
      <c r="J132538"/>
    </row>
    <row r="132539" spans="10:10" x14ac:dyDescent="0.3">
      <c r="J132539"/>
    </row>
    <row r="132540" spans="10:10" x14ac:dyDescent="0.3">
      <c r="J132540"/>
    </row>
    <row r="132541" spans="10:10" x14ac:dyDescent="0.3">
      <c r="J132541"/>
    </row>
    <row r="132542" spans="10:10" x14ac:dyDescent="0.3">
      <c r="J132542"/>
    </row>
    <row r="132543" spans="10:10" x14ac:dyDescent="0.3">
      <c r="J132543"/>
    </row>
    <row r="132544" spans="10:10" x14ac:dyDescent="0.3">
      <c r="J132544"/>
    </row>
    <row r="132545" spans="10:10" x14ac:dyDescent="0.3">
      <c r="J132545"/>
    </row>
    <row r="132546" spans="10:10" x14ac:dyDescent="0.3">
      <c r="J132546"/>
    </row>
    <row r="132547" spans="10:10" x14ac:dyDescent="0.3">
      <c r="J132547"/>
    </row>
    <row r="132548" spans="10:10" x14ac:dyDescent="0.3">
      <c r="J132548"/>
    </row>
    <row r="132549" spans="10:10" x14ac:dyDescent="0.3">
      <c r="J132549"/>
    </row>
    <row r="132550" spans="10:10" x14ac:dyDescent="0.3">
      <c r="J132550"/>
    </row>
    <row r="132551" spans="10:10" x14ac:dyDescent="0.3">
      <c r="J132551"/>
    </row>
    <row r="132552" spans="10:10" x14ac:dyDescent="0.3">
      <c r="J132552"/>
    </row>
    <row r="132553" spans="10:10" x14ac:dyDescent="0.3">
      <c r="J132553"/>
    </row>
    <row r="132554" spans="10:10" x14ac:dyDescent="0.3">
      <c r="J132554"/>
    </row>
    <row r="132555" spans="10:10" x14ac:dyDescent="0.3">
      <c r="J132555"/>
    </row>
    <row r="132556" spans="10:10" x14ac:dyDescent="0.3">
      <c r="J132556"/>
    </row>
    <row r="132557" spans="10:10" x14ac:dyDescent="0.3">
      <c r="J132557"/>
    </row>
    <row r="132558" spans="10:10" x14ac:dyDescent="0.3">
      <c r="J132558"/>
    </row>
    <row r="132559" spans="10:10" x14ac:dyDescent="0.3">
      <c r="J132559"/>
    </row>
    <row r="132560" spans="10:10" x14ac:dyDescent="0.3">
      <c r="J132560"/>
    </row>
    <row r="132561" spans="10:10" x14ac:dyDescent="0.3">
      <c r="J132561"/>
    </row>
    <row r="132562" spans="10:10" x14ac:dyDescent="0.3">
      <c r="J132562"/>
    </row>
    <row r="132563" spans="10:10" x14ac:dyDescent="0.3">
      <c r="J132563"/>
    </row>
    <row r="132564" spans="10:10" x14ac:dyDescent="0.3">
      <c r="J132564"/>
    </row>
    <row r="132565" spans="10:10" x14ac:dyDescent="0.3">
      <c r="J132565"/>
    </row>
    <row r="132566" spans="10:10" x14ac:dyDescent="0.3">
      <c r="J132566"/>
    </row>
    <row r="132567" spans="10:10" x14ac:dyDescent="0.3">
      <c r="J132567"/>
    </row>
    <row r="132568" spans="10:10" x14ac:dyDescent="0.3">
      <c r="J132568"/>
    </row>
    <row r="132569" spans="10:10" x14ac:dyDescent="0.3">
      <c r="J132569"/>
    </row>
    <row r="132570" spans="10:10" x14ac:dyDescent="0.3">
      <c r="J132570"/>
    </row>
    <row r="132571" spans="10:10" x14ac:dyDescent="0.3">
      <c r="J132571"/>
    </row>
    <row r="132572" spans="10:10" x14ac:dyDescent="0.3">
      <c r="J132572"/>
    </row>
    <row r="132573" spans="10:10" x14ac:dyDescent="0.3">
      <c r="J132573"/>
    </row>
    <row r="132574" spans="10:10" x14ac:dyDescent="0.3">
      <c r="J132574"/>
    </row>
    <row r="132575" spans="10:10" x14ac:dyDescent="0.3">
      <c r="J132575"/>
    </row>
    <row r="132576" spans="10:10" x14ac:dyDescent="0.3">
      <c r="J132576"/>
    </row>
    <row r="132577" spans="10:10" x14ac:dyDescent="0.3">
      <c r="J132577"/>
    </row>
    <row r="132578" spans="10:10" x14ac:dyDescent="0.3">
      <c r="J132578"/>
    </row>
    <row r="132579" spans="10:10" x14ac:dyDescent="0.3">
      <c r="J132579"/>
    </row>
    <row r="132580" spans="10:10" x14ac:dyDescent="0.3">
      <c r="J132580"/>
    </row>
    <row r="132581" spans="10:10" x14ac:dyDescent="0.3">
      <c r="J132581"/>
    </row>
    <row r="132582" spans="10:10" x14ac:dyDescent="0.3">
      <c r="J132582"/>
    </row>
    <row r="132583" spans="10:10" x14ac:dyDescent="0.3">
      <c r="J132583"/>
    </row>
    <row r="132584" spans="10:10" x14ac:dyDescent="0.3">
      <c r="J132584"/>
    </row>
    <row r="132585" spans="10:10" x14ac:dyDescent="0.3">
      <c r="J132585"/>
    </row>
    <row r="132586" spans="10:10" x14ac:dyDescent="0.3">
      <c r="J132586"/>
    </row>
    <row r="132587" spans="10:10" x14ac:dyDescent="0.3">
      <c r="J132587"/>
    </row>
    <row r="132588" spans="10:10" x14ac:dyDescent="0.3">
      <c r="J132588"/>
    </row>
    <row r="132589" spans="10:10" x14ac:dyDescent="0.3">
      <c r="J132589"/>
    </row>
    <row r="132590" spans="10:10" x14ac:dyDescent="0.3">
      <c r="J132590"/>
    </row>
    <row r="132591" spans="10:10" x14ac:dyDescent="0.3">
      <c r="J132591"/>
    </row>
    <row r="132592" spans="10:10" x14ac:dyDescent="0.3">
      <c r="J132592"/>
    </row>
    <row r="132593" spans="10:10" x14ac:dyDescent="0.3">
      <c r="J132593"/>
    </row>
    <row r="132594" spans="10:10" x14ac:dyDescent="0.3">
      <c r="J132594"/>
    </row>
    <row r="132595" spans="10:10" x14ac:dyDescent="0.3">
      <c r="J132595"/>
    </row>
    <row r="132596" spans="10:10" x14ac:dyDescent="0.3">
      <c r="J132596"/>
    </row>
    <row r="132597" spans="10:10" x14ac:dyDescent="0.3">
      <c r="J132597"/>
    </row>
    <row r="132598" spans="10:10" x14ac:dyDescent="0.3">
      <c r="J132598"/>
    </row>
    <row r="132599" spans="10:10" x14ac:dyDescent="0.3">
      <c r="J132599"/>
    </row>
    <row r="132600" spans="10:10" x14ac:dyDescent="0.3">
      <c r="J132600"/>
    </row>
    <row r="132601" spans="10:10" x14ac:dyDescent="0.3">
      <c r="J132601"/>
    </row>
    <row r="132602" spans="10:10" x14ac:dyDescent="0.3">
      <c r="J132602"/>
    </row>
    <row r="132603" spans="10:10" x14ac:dyDescent="0.3">
      <c r="J132603"/>
    </row>
    <row r="132604" spans="10:10" x14ac:dyDescent="0.3">
      <c r="J132604"/>
    </row>
    <row r="132605" spans="10:10" x14ac:dyDescent="0.3">
      <c r="J132605"/>
    </row>
    <row r="132606" spans="10:10" x14ac:dyDescent="0.3">
      <c r="J132606"/>
    </row>
    <row r="132607" spans="10:10" x14ac:dyDescent="0.3">
      <c r="J132607"/>
    </row>
    <row r="132608" spans="10:10" x14ac:dyDescent="0.3">
      <c r="J132608"/>
    </row>
    <row r="132609" spans="10:10" x14ac:dyDescent="0.3">
      <c r="J132609"/>
    </row>
    <row r="132610" spans="10:10" x14ac:dyDescent="0.3">
      <c r="J132610"/>
    </row>
    <row r="132611" spans="10:10" x14ac:dyDescent="0.3">
      <c r="J132611"/>
    </row>
    <row r="132612" spans="10:10" x14ac:dyDescent="0.3">
      <c r="J132612"/>
    </row>
    <row r="132613" spans="10:10" x14ac:dyDescent="0.3">
      <c r="J132613"/>
    </row>
    <row r="132614" spans="10:10" x14ac:dyDescent="0.3">
      <c r="J132614"/>
    </row>
    <row r="132615" spans="10:10" x14ac:dyDescent="0.3">
      <c r="J132615"/>
    </row>
    <row r="132616" spans="10:10" x14ac:dyDescent="0.3">
      <c r="J132616"/>
    </row>
    <row r="132617" spans="10:10" x14ac:dyDescent="0.3">
      <c r="J132617"/>
    </row>
    <row r="132618" spans="10:10" x14ac:dyDescent="0.3">
      <c r="J132618"/>
    </row>
    <row r="132619" spans="10:10" x14ac:dyDescent="0.3">
      <c r="J132619"/>
    </row>
    <row r="132620" spans="10:10" x14ac:dyDescent="0.3">
      <c r="J132620"/>
    </row>
    <row r="132621" spans="10:10" x14ac:dyDescent="0.3">
      <c r="J132621"/>
    </row>
    <row r="132622" spans="10:10" x14ac:dyDescent="0.3">
      <c r="J132622"/>
    </row>
    <row r="132623" spans="10:10" x14ac:dyDescent="0.3">
      <c r="J132623"/>
    </row>
    <row r="132624" spans="10:10" x14ac:dyDescent="0.3">
      <c r="J132624"/>
    </row>
    <row r="132625" spans="10:10" x14ac:dyDescent="0.3">
      <c r="J132625"/>
    </row>
    <row r="132626" spans="10:10" x14ac:dyDescent="0.3">
      <c r="J132626"/>
    </row>
    <row r="132627" spans="10:10" x14ac:dyDescent="0.3">
      <c r="J132627"/>
    </row>
    <row r="132628" spans="10:10" x14ac:dyDescent="0.3">
      <c r="J132628"/>
    </row>
    <row r="132629" spans="10:10" x14ac:dyDescent="0.3">
      <c r="J132629"/>
    </row>
    <row r="132630" spans="10:10" x14ac:dyDescent="0.3">
      <c r="J132630"/>
    </row>
    <row r="132631" spans="10:10" x14ac:dyDescent="0.3">
      <c r="J132631"/>
    </row>
    <row r="132632" spans="10:10" x14ac:dyDescent="0.3">
      <c r="J132632"/>
    </row>
    <row r="132633" spans="10:10" x14ac:dyDescent="0.3">
      <c r="J132633"/>
    </row>
    <row r="132634" spans="10:10" x14ac:dyDescent="0.3">
      <c r="J132634"/>
    </row>
    <row r="132635" spans="10:10" x14ac:dyDescent="0.3">
      <c r="J132635"/>
    </row>
    <row r="132636" spans="10:10" x14ac:dyDescent="0.3">
      <c r="J132636"/>
    </row>
    <row r="132637" spans="10:10" x14ac:dyDescent="0.3">
      <c r="J132637"/>
    </row>
    <row r="132638" spans="10:10" x14ac:dyDescent="0.3">
      <c r="J132638"/>
    </row>
    <row r="132639" spans="10:10" x14ac:dyDescent="0.3">
      <c r="J132639"/>
    </row>
    <row r="132640" spans="10:10" x14ac:dyDescent="0.3">
      <c r="J132640"/>
    </row>
    <row r="132641" spans="10:10" x14ac:dyDescent="0.3">
      <c r="J132641"/>
    </row>
    <row r="132642" spans="10:10" x14ac:dyDescent="0.3">
      <c r="J132642"/>
    </row>
    <row r="132643" spans="10:10" x14ac:dyDescent="0.3">
      <c r="J132643"/>
    </row>
    <row r="132644" spans="10:10" x14ac:dyDescent="0.3">
      <c r="J132644"/>
    </row>
    <row r="132645" spans="10:10" x14ac:dyDescent="0.3">
      <c r="J132645"/>
    </row>
    <row r="132646" spans="10:10" x14ac:dyDescent="0.3">
      <c r="J132646"/>
    </row>
    <row r="132647" spans="10:10" x14ac:dyDescent="0.3">
      <c r="J132647"/>
    </row>
    <row r="132648" spans="10:10" x14ac:dyDescent="0.3">
      <c r="J132648"/>
    </row>
    <row r="132649" spans="10:10" x14ac:dyDescent="0.3">
      <c r="J132649"/>
    </row>
    <row r="132650" spans="10:10" x14ac:dyDescent="0.3">
      <c r="J132650"/>
    </row>
    <row r="132651" spans="10:10" x14ac:dyDescent="0.3">
      <c r="J132651"/>
    </row>
    <row r="132652" spans="10:10" x14ac:dyDescent="0.3">
      <c r="J132652"/>
    </row>
    <row r="132653" spans="10:10" x14ac:dyDescent="0.3">
      <c r="J132653"/>
    </row>
    <row r="132654" spans="10:10" x14ac:dyDescent="0.3">
      <c r="J132654"/>
    </row>
    <row r="132655" spans="10:10" x14ac:dyDescent="0.3">
      <c r="J132655"/>
    </row>
    <row r="132656" spans="10:10" x14ac:dyDescent="0.3">
      <c r="J132656"/>
    </row>
    <row r="132657" spans="10:10" x14ac:dyDescent="0.3">
      <c r="J132657"/>
    </row>
    <row r="132658" spans="10:10" x14ac:dyDescent="0.3">
      <c r="J132658"/>
    </row>
    <row r="132659" spans="10:10" x14ac:dyDescent="0.3">
      <c r="J132659"/>
    </row>
    <row r="132660" spans="10:10" x14ac:dyDescent="0.3">
      <c r="J132660"/>
    </row>
    <row r="132661" spans="10:10" x14ac:dyDescent="0.3">
      <c r="J132661"/>
    </row>
    <row r="132662" spans="10:10" x14ac:dyDescent="0.3">
      <c r="J132662"/>
    </row>
    <row r="132663" spans="10:10" x14ac:dyDescent="0.3">
      <c r="J132663"/>
    </row>
    <row r="132664" spans="10:10" x14ac:dyDescent="0.3">
      <c r="J132664"/>
    </row>
    <row r="132665" spans="10:10" x14ac:dyDescent="0.3">
      <c r="J132665"/>
    </row>
    <row r="132666" spans="10:10" x14ac:dyDescent="0.3">
      <c r="J132666"/>
    </row>
    <row r="132667" spans="10:10" x14ac:dyDescent="0.3">
      <c r="J132667"/>
    </row>
    <row r="132668" spans="10:10" x14ac:dyDescent="0.3">
      <c r="J132668"/>
    </row>
    <row r="132669" spans="10:10" x14ac:dyDescent="0.3">
      <c r="J132669"/>
    </row>
    <row r="132670" spans="10:10" x14ac:dyDescent="0.3">
      <c r="J132670"/>
    </row>
    <row r="132671" spans="10:10" x14ac:dyDescent="0.3">
      <c r="J132671"/>
    </row>
    <row r="132672" spans="10:10" x14ac:dyDescent="0.3">
      <c r="J132672"/>
    </row>
    <row r="132673" spans="10:10" x14ac:dyDescent="0.3">
      <c r="J132673"/>
    </row>
    <row r="132674" spans="10:10" x14ac:dyDescent="0.3">
      <c r="J132674"/>
    </row>
    <row r="132675" spans="10:10" x14ac:dyDescent="0.3">
      <c r="J132675"/>
    </row>
    <row r="132676" spans="10:10" x14ac:dyDescent="0.3">
      <c r="J132676"/>
    </row>
    <row r="132677" spans="10:10" x14ac:dyDescent="0.3">
      <c r="J132677"/>
    </row>
    <row r="132678" spans="10:10" x14ac:dyDescent="0.3">
      <c r="J132678"/>
    </row>
    <row r="132679" spans="10:10" x14ac:dyDescent="0.3">
      <c r="J132679"/>
    </row>
    <row r="132680" spans="10:10" x14ac:dyDescent="0.3">
      <c r="J132680"/>
    </row>
    <row r="132681" spans="10:10" x14ac:dyDescent="0.3">
      <c r="J132681"/>
    </row>
    <row r="132682" spans="10:10" x14ac:dyDescent="0.3">
      <c r="J132682"/>
    </row>
    <row r="132683" spans="10:10" x14ac:dyDescent="0.3">
      <c r="J132683"/>
    </row>
    <row r="132684" spans="10:10" x14ac:dyDescent="0.3">
      <c r="J132684"/>
    </row>
    <row r="132685" spans="10:10" x14ac:dyDescent="0.3">
      <c r="J132685"/>
    </row>
    <row r="132686" spans="10:10" x14ac:dyDescent="0.3">
      <c r="J132686"/>
    </row>
    <row r="132687" spans="10:10" x14ac:dyDescent="0.3">
      <c r="J132687"/>
    </row>
    <row r="132688" spans="10:10" x14ac:dyDescent="0.3">
      <c r="J132688"/>
    </row>
    <row r="132689" spans="10:10" x14ac:dyDescent="0.3">
      <c r="J132689"/>
    </row>
    <row r="132690" spans="10:10" x14ac:dyDescent="0.3">
      <c r="J132690"/>
    </row>
    <row r="132691" spans="10:10" x14ac:dyDescent="0.3">
      <c r="J132691"/>
    </row>
    <row r="132692" spans="10:10" x14ac:dyDescent="0.3">
      <c r="J132692"/>
    </row>
    <row r="132693" spans="10:10" x14ac:dyDescent="0.3">
      <c r="J132693"/>
    </row>
    <row r="132694" spans="10:10" x14ac:dyDescent="0.3">
      <c r="J132694"/>
    </row>
    <row r="132695" spans="10:10" x14ac:dyDescent="0.3">
      <c r="J132695"/>
    </row>
    <row r="132696" spans="10:10" x14ac:dyDescent="0.3">
      <c r="J132696"/>
    </row>
    <row r="132697" spans="10:10" x14ac:dyDescent="0.3">
      <c r="J132697"/>
    </row>
    <row r="132698" spans="10:10" x14ac:dyDescent="0.3">
      <c r="J132698"/>
    </row>
    <row r="132699" spans="10:10" x14ac:dyDescent="0.3">
      <c r="J132699"/>
    </row>
    <row r="132700" spans="10:10" x14ac:dyDescent="0.3">
      <c r="J132700"/>
    </row>
    <row r="132701" spans="10:10" x14ac:dyDescent="0.3">
      <c r="J132701"/>
    </row>
    <row r="132702" spans="10:10" x14ac:dyDescent="0.3">
      <c r="J132702"/>
    </row>
    <row r="132703" spans="10:10" x14ac:dyDescent="0.3">
      <c r="J132703"/>
    </row>
    <row r="132704" spans="10:10" x14ac:dyDescent="0.3">
      <c r="J132704"/>
    </row>
    <row r="132705" spans="10:10" x14ac:dyDescent="0.3">
      <c r="J132705"/>
    </row>
    <row r="132706" spans="10:10" x14ac:dyDescent="0.3">
      <c r="J132706"/>
    </row>
    <row r="132707" spans="10:10" x14ac:dyDescent="0.3">
      <c r="J132707"/>
    </row>
    <row r="132708" spans="10:10" x14ac:dyDescent="0.3">
      <c r="J132708"/>
    </row>
    <row r="132709" spans="10:10" x14ac:dyDescent="0.3">
      <c r="J132709"/>
    </row>
    <row r="132710" spans="10:10" x14ac:dyDescent="0.3">
      <c r="J132710"/>
    </row>
    <row r="132711" spans="10:10" x14ac:dyDescent="0.3">
      <c r="J132711"/>
    </row>
    <row r="132712" spans="10:10" x14ac:dyDescent="0.3">
      <c r="J132712"/>
    </row>
    <row r="132713" spans="10:10" x14ac:dyDescent="0.3">
      <c r="J132713"/>
    </row>
    <row r="132714" spans="10:10" x14ac:dyDescent="0.3">
      <c r="J132714"/>
    </row>
    <row r="132715" spans="10:10" x14ac:dyDescent="0.3">
      <c r="J132715"/>
    </row>
    <row r="132716" spans="10:10" x14ac:dyDescent="0.3">
      <c r="J132716"/>
    </row>
    <row r="132717" spans="10:10" x14ac:dyDescent="0.3">
      <c r="J132717"/>
    </row>
    <row r="132718" spans="10:10" x14ac:dyDescent="0.3">
      <c r="J132718"/>
    </row>
    <row r="132719" spans="10:10" x14ac:dyDescent="0.3">
      <c r="J132719"/>
    </row>
    <row r="132720" spans="10:10" x14ac:dyDescent="0.3">
      <c r="J132720"/>
    </row>
    <row r="132721" spans="10:10" x14ac:dyDescent="0.3">
      <c r="J132721"/>
    </row>
    <row r="132722" spans="10:10" x14ac:dyDescent="0.3">
      <c r="J132722"/>
    </row>
    <row r="132723" spans="10:10" x14ac:dyDescent="0.3">
      <c r="J132723"/>
    </row>
    <row r="132724" spans="10:10" x14ac:dyDescent="0.3">
      <c r="J132724"/>
    </row>
    <row r="132725" spans="10:10" x14ac:dyDescent="0.3">
      <c r="J132725"/>
    </row>
    <row r="132726" spans="10:10" x14ac:dyDescent="0.3">
      <c r="J132726"/>
    </row>
    <row r="132727" spans="10:10" x14ac:dyDescent="0.3">
      <c r="J132727"/>
    </row>
    <row r="132728" spans="10:10" x14ac:dyDescent="0.3">
      <c r="J132728"/>
    </row>
    <row r="132729" spans="10:10" x14ac:dyDescent="0.3">
      <c r="J132729"/>
    </row>
    <row r="132730" spans="10:10" x14ac:dyDescent="0.3">
      <c r="J132730"/>
    </row>
    <row r="132731" spans="10:10" x14ac:dyDescent="0.3">
      <c r="J132731"/>
    </row>
    <row r="132732" spans="10:10" x14ac:dyDescent="0.3">
      <c r="J132732"/>
    </row>
    <row r="132733" spans="10:10" x14ac:dyDescent="0.3">
      <c r="J132733"/>
    </row>
    <row r="132734" spans="10:10" x14ac:dyDescent="0.3">
      <c r="J132734"/>
    </row>
    <row r="132735" spans="10:10" x14ac:dyDescent="0.3">
      <c r="J132735"/>
    </row>
    <row r="132736" spans="10:10" x14ac:dyDescent="0.3">
      <c r="J132736"/>
    </row>
    <row r="132737" spans="10:10" x14ac:dyDescent="0.3">
      <c r="J132737"/>
    </row>
    <row r="132738" spans="10:10" x14ac:dyDescent="0.3">
      <c r="J132738"/>
    </row>
    <row r="132739" spans="10:10" x14ac:dyDescent="0.3">
      <c r="J132739"/>
    </row>
    <row r="132740" spans="10:10" x14ac:dyDescent="0.3">
      <c r="J132740"/>
    </row>
    <row r="132741" spans="10:10" x14ac:dyDescent="0.3">
      <c r="J132741"/>
    </row>
    <row r="132742" spans="10:10" x14ac:dyDescent="0.3">
      <c r="J132742"/>
    </row>
    <row r="132743" spans="10:10" x14ac:dyDescent="0.3">
      <c r="J132743"/>
    </row>
    <row r="132744" spans="10:10" x14ac:dyDescent="0.3">
      <c r="J132744"/>
    </row>
    <row r="132745" spans="10:10" x14ac:dyDescent="0.3">
      <c r="J132745"/>
    </row>
    <row r="132746" spans="10:10" x14ac:dyDescent="0.3">
      <c r="J132746"/>
    </row>
    <row r="132747" spans="10:10" x14ac:dyDescent="0.3">
      <c r="J132747"/>
    </row>
    <row r="132748" spans="10:10" x14ac:dyDescent="0.3">
      <c r="J132748"/>
    </row>
    <row r="132749" spans="10:10" x14ac:dyDescent="0.3">
      <c r="J132749"/>
    </row>
    <row r="132750" spans="10:10" x14ac:dyDescent="0.3">
      <c r="J132750"/>
    </row>
    <row r="132751" spans="10:10" x14ac:dyDescent="0.3">
      <c r="J132751"/>
    </row>
    <row r="132752" spans="10:10" x14ac:dyDescent="0.3">
      <c r="J132752"/>
    </row>
    <row r="132753" spans="10:10" x14ac:dyDescent="0.3">
      <c r="J132753"/>
    </row>
    <row r="132754" spans="10:10" x14ac:dyDescent="0.3">
      <c r="J132754"/>
    </row>
    <row r="132755" spans="10:10" x14ac:dyDescent="0.3">
      <c r="J132755"/>
    </row>
    <row r="132756" spans="10:10" x14ac:dyDescent="0.3">
      <c r="J132756"/>
    </row>
    <row r="132757" spans="10:10" x14ac:dyDescent="0.3">
      <c r="J132757"/>
    </row>
    <row r="132758" spans="10:10" x14ac:dyDescent="0.3">
      <c r="J132758"/>
    </row>
    <row r="132759" spans="10:10" x14ac:dyDescent="0.3">
      <c r="J132759"/>
    </row>
    <row r="132760" spans="10:10" x14ac:dyDescent="0.3">
      <c r="J132760"/>
    </row>
    <row r="132761" spans="10:10" x14ac:dyDescent="0.3">
      <c r="J132761"/>
    </row>
    <row r="132762" spans="10:10" x14ac:dyDescent="0.3">
      <c r="J132762"/>
    </row>
    <row r="132763" spans="10:10" x14ac:dyDescent="0.3">
      <c r="J132763"/>
    </row>
    <row r="132764" spans="10:10" x14ac:dyDescent="0.3">
      <c r="J132764"/>
    </row>
    <row r="132765" spans="10:10" x14ac:dyDescent="0.3">
      <c r="J132765"/>
    </row>
    <row r="132766" spans="10:10" x14ac:dyDescent="0.3">
      <c r="J132766"/>
    </row>
    <row r="132767" spans="10:10" x14ac:dyDescent="0.3">
      <c r="J132767"/>
    </row>
    <row r="132768" spans="10:10" x14ac:dyDescent="0.3">
      <c r="J132768"/>
    </row>
    <row r="132769" spans="10:10" x14ac:dyDescent="0.3">
      <c r="J132769"/>
    </row>
    <row r="132770" spans="10:10" x14ac:dyDescent="0.3">
      <c r="J132770"/>
    </row>
    <row r="132771" spans="10:10" x14ac:dyDescent="0.3">
      <c r="J132771"/>
    </row>
    <row r="132772" spans="10:10" x14ac:dyDescent="0.3">
      <c r="J132772"/>
    </row>
    <row r="132773" spans="10:10" x14ac:dyDescent="0.3">
      <c r="J132773"/>
    </row>
    <row r="132774" spans="10:10" x14ac:dyDescent="0.3">
      <c r="J132774"/>
    </row>
    <row r="132775" spans="10:10" x14ac:dyDescent="0.3">
      <c r="J132775"/>
    </row>
    <row r="132776" spans="10:10" x14ac:dyDescent="0.3">
      <c r="J132776"/>
    </row>
    <row r="132777" spans="10:10" x14ac:dyDescent="0.3">
      <c r="J132777"/>
    </row>
    <row r="132778" spans="10:10" x14ac:dyDescent="0.3">
      <c r="J132778"/>
    </row>
    <row r="132779" spans="10:10" x14ac:dyDescent="0.3">
      <c r="J132779"/>
    </row>
    <row r="132780" spans="10:10" x14ac:dyDescent="0.3">
      <c r="J132780"/>
    </row>
    <row r="132781" spans="10:10" x14ac:dyDescent="0.3">
      <c r="J132781"/>
    </row>
    <row r="132782" spans="10:10" x14ac:dyDescent="0.3">
      <c r="J132782"/>
    </row>
    <row r="132783" spans="10:10" x14ac:dyDescent="0.3">
      <c r="J132783"/>
    </row>
    <row r="132784" spans="10:10" x14ac:dyDescent="0.3">
      <c r="J132784"/>
    </row>
    <row r="132785" spans="10:10" x14ac:dyDescent="0.3">
      <c r="J132785"/>
    </row>
    <row r="132786" spans="10:10" x14ac:dyDescent="0.3">
      <c r="J132786"/>
    </row>
    <row r="132787" spans="10:10" x14ac:dyDescent="0.3">
      <c r="J132787"/>
    </row>
    <row r="132788" spans="10:10" x14ac:dyDescent="0.3">
      <c r="J132788"/>
    </row>
    <row r="132789" spans="10:10" x14ac:dyDescent="0.3">
      <c r="J132789"/>
    </row>
    <row r="132790" spans="10:10" x14ac:dyDescent="0.3">
      <c r="J132790"/>
    </row>
    <row r="132791" spans="10:10" x14ac:dyDescent="0.3">
      <c r="J132791"/>
    </row>
    <row r="132792" spans="10:10" x14ac:dyDescent="0.3">
      <c r="J132792"/>
    </row>
    <row r="132793" spans="10:10" x14ac:dyDescent="0.3">
      <c r="J132793"/>
    </row>
    <row r="132794" spans="10:10" x14ac:dyDescent="0.3">
      <c r="J132794"/>
    </row>
    <row r="132795" spans="10:10" x14ac:dyDescent="0.3">
      <c r="J132795"/>
    </row>
    <row r="132796" spans="10:10" x14ac:dyDescent="0.3">
      <c r="J132796"/>
    </row>
    <row r="132797" spans="10:10" x14ac:dyDescent="0.3">
      <c r="J132797"/>
    </row>
    <row r="132798" spans="10:10" x14ac:dyDescent="0.3">
      <c r="J132798"/>
    </row>
    <row r="132799" spans="10:10" x14ac:dyDescent="0.3">
      <c r="J132799"/>
    </row>
    <row r="132800" spans="10:10" x14ac:dyDescent="0.3">
      <c r="J132800"/>
    </row>
    <row r="132801" spans="10:10" x14ac:dyDescent="0.3">
      <c r="J132801"/>
    </row>
    <row r="132802" spans="10:10" x14ac:dyDescent="0.3">
      <c r="J132802"/>
    </row>
    <row r="132803" spans="10:10" x14ac:dyDescent="0.3">
      <c r="J132803"/>
    </row>
    <row r="132804" spans="10:10" x14ac:dyDescent="0.3">
      <c r="J132804"/>
    </row>
    <row r="132805" spans="10:10" x14ac:dyDescent="0.3">
      <c r="J132805"/>
    </row>
    <row r="132806" spans="10:10" x14ac:dyDescent="0.3">
      <c r="J132806"/>
    </row>
    <row r="132807" spans="10:10" x14ac:dyDescent="0.3">
      <c r="J132807"/>
    </row>
    <row r="132808" spans="10:10" x14ac:dyDescent="0.3">
      <c r="J132808"/>
    </row>
    <row r="132809" spans="10:10" x14ac:dyDescent="0.3">
      <c r="J132809"/>
    </row>
    <row r="132810" spans="10:10" x14ac:dyDescent="0.3">
      <c r="J132810"/>
    </row>
    <row r="132811" spans="10:10" x14ac:dyDescent="0.3">
      <c r="J132811"/>
    </row>
    <row r="132812" spans="10:10" x14ac:dyDescent="0.3">
      <c r="J132812"/>
    </row>
    <row r="132813" spans="10:10" x14ac:dyDescent="0.3">
      <c r="J132813"/>
    </row>
    <row r="132814" spans="10:10" x14ac:dyDescent="0.3">
      <c r="J132814"/>
    </row>
    <row r="132815" spans="10:10" x14ac:dyDescent="0.3">
      <c r="J132815"/>
    </row>
    <row r="132816" spans="10:10" x14ac:dyDescent="0.3">
      <c r="J132816"/>
    </row>
    <row r="132817" spans="10:10" x14ac:dyDescent="0.3">
      <c r="J132817"/>
    </row>
    <row r="132818" spans="10:10" x14ac:dyDescent="0.3">
      <c r="J132818"/>
    </row>
    <row r="132819" spans="10:10" x14ac:dyDescent="0.3">
      <c r="J132819"/>
    </row>
    <row r="132820" spans="10:10" x14ac:dyDescent="0.3">
      <c r="J132820"/>
    </row>
    <row r="132821" spans="10:10" x14ac:dyDescent="0.3">
      <c r="J132821"/>
    </row>
    <row r="132822" spans="10:10" x14ac:dyDescent="0.3">
      <c r="J132822"/>
    </row>
    <row r="132823" spans="10:10" x14ac:dyDescent="0.3">
      <c r="J132823"/>
    </row>
    <row r="132824" spans="10:10" x14ac:dyDescent="0.3">
      <c r="J132824"/>
    </row>
    <row r="132825" spans="10:10" x14ac:dyDescent="0.3">
      <c r="J132825"/>
    </row>
    <row r="132826" spans="10:10" x14ac:dyDescent="0.3">
      <c r="J132826"/>
    </row>
    <row r="132827" spans="10:10" x14ac:dyDescent="0.3">
      <c r="J132827"/>
    </row>
    <row r="132828" spans="10:10" x14ac:dyDescent="0.3">
      <c r="J132828"/>
    </row>
    <row r="132829" spans="10:10" x14ac:dyDescent="0.3">
      <c r="J132829"/>
    </row>
    <row r="132830" spans="10:10" x14ac:dyDescent="0.3">
      <c r="J132830"/>
    </row>
    <row r="132831" spans="10:10" x14ac:dyDescent="0.3">
      <c r="J132831"/>
    </row>
    <row r="132832" spans="10:10" x14ac:dyDescent="0.3">
      <c r="J132832"/>
    </row>
    <row r="132833" spans="10:10" x14ac:dyDescent="0.3">
      <c r="J132833"/>
    </row>
    <row r="132834" spans="10:10" x14ac:dyDescent="0.3">
      <c r="J132834"/>
    </row>
    <row r="132835" spans="10:10" x14ac:dyDescent="0.3">
      <c r="J132835"/>
    </row>
    <row r="132836" spans="10:10" x14ac:dyDescent="0.3">
      <c r="J132836"/>
    </row>
    <row r="132837" spans="10:10" x14ac:dyDescent="0.3">
      <c r="J132837"/>
    </row>
    <row r="132838" spans="10:10" x14ac:dyDescent="0.3">
      <c r="J132838"/>
    </row>
    <row r="132839" spans="10:10" x14ac:dyDescent="0.3">
      <c r="J132839"/>
    </row>
    <row r="132840" spans="10:10" x14ac:dyDescent="0.3">
      <c r="J132840"/>
    </row>
    <row r="132841" spans="10:10" x14ac:dyDescent="0.3">
      <c r="J132841"/>
    </row>
    <row r="132842" spans="10:10" x14ac:dyDescent="0.3">
      <c r="J132842"/>
    </row>
    <row r="132843" spans="10:10" x14ac:dyDescent="0.3">
      <c r="J132843"/>
    </row>
    <row r="132844" spans="10:10" x14ac:dyDescent="0.3">
      <c r="J132844"/>
    </row>
    <row r="132845" spans="10:10" x14ac:dyDescent="0.3">
      <c r="J132845"/>
    </row>
    <row r="132846" spans="10:10" x14ac:dyDescent="0.3">
      <c r="J132846"/>
    </row>
    <row r="132847" spans="10:10" x14ac:dyDescent="0.3">
      <c r="J132847"/>
    </row>
    <row r="132848" spans="10:10" x14ac:dyDescent="0.3">
      <c r="J132848"/>
    </row>
    <row r="132849" spans="10:10" x14ac:dyDescent="0.3">
      <c r="J132849"/>
    </row>
    <row r="132850" spans="10:10" x14ac:dyDescent="0.3">
      <c r="J132850"/>
    </row>
    <row r="132851" spans="10:10" x14ac:dyDescent="0.3">
      <c r="J132851"/>
    </row>
    <row r="132852" spans="10:10" x14ac:dyDescent="0.3">
      <c r="J132852"/>
    </row>
    <row r="132853" spans="10:10" x14ac:dyDescent="0.3">
      <c r="J132853"/>
    </row>
    <row r="132854" spans="10:10" x14ac:dyDescent="0.3">
      <c r="J132854"/>
    </row>
    <row r="132855" spans="10:10" x14ac:dyDescent="0.3">
      <c r="J132855"/>
    </row>
    <row r="132856" spans="10:10" x14ac:dyDescent="0.3">
      <c r="J132856"/>
    </row>
    <row r="132857" spans="10:10" x14ac:dyDescent="0.3">
      <c r="J132857"/>
    </row>
    <row r="132858" spans="10:10" x14ac:dyDescent="0.3">
      <c r="J132858"/>
    </row>
    <row r="132859" spans="10:10" x14ac:dyDescent="0.3">
      <c r="J132859"/>
    </row>
    <row r="132860" spans="10:10" x14ac:dyDescent="0.3">
      <c r="J132860"/>
    </row>
    <row r="132861" spans="10:10" x14ac:dyDescent="0.3">
      <c r="J132861"/>
    </row>
    <row r="132862" spans="10:10" x14ac:dyDescent="0.3">
      <c r="J132862"/>
    </row>
    <row r="132863" spans="10:10" x14ac:dyDescent="0.3">
      <c r="J132863"/>
    </row>
    <row r="132864" spans="10:10" x14ac:dyDescent="0.3">
      <c r="J132864"/>
    </row>
    <row r="132865" spans="10:10" x14ac:dyDescent="0.3">
      <c r="J132865"/>
    </row>
    <row r="132866" spans="10:10" x14ac:dyDescent="0.3">
      <c r="J132866"/>
    </row>
    <row r="132867" spans="10:10" x14ac:dyDescent="0.3">
      <c r="J132867"/>
    </row>
    <row r="132868" spans="10:10" x14ac:dyDescent="0.3">
      <c r="J132868"/>
    </row>
    <row r="132869" spans="10:10" x14ac:dyDescent="0.3">
      <c r="J132869"/>
    </row>
    <row r="132870" spans="10:10" x14ac:dyDescent="0.3">
      <c r="J132870"/>
    </row>
    <row r="132871" spans="10:10" x14ac:dyDescent="0.3">
      <c r="J132871"/>
    </row>
    <row r="132872" spans="10:10" x14ac:dyDescent="0.3">
      <c r="J132872"/>
    </row>
    <row r="132873" spans="10:10" x14ac:dyDescent="0.3">
      <c r="J132873"/>
    </row>
    <row r="132874" spans="10:10" x14ac:dyDescent="0.3">
      <c r="J132874"/>
    </row>
    <row r="132875" spans="10:10" x14ac:dyDescent="0.3">
      <c r="J132875"/>
    </row>
    <row r="132876" spans="10:10" x14ac:dyDescent="0.3">
      <c r="J132876"/>
    </row>
    <row r="132877" spans="10:10" x14ac:dyDescent="0.3">
      <c r="J132877"/>
    </row>
    <row r="132878" spans="10:10" x14ac:dyDescent="0.3">
      <c r="J132878"/>
    </row>
    <row r="132879" spans="10:10" x14ac:dyDescent="0.3">
      <c r="J132879"/>
    </row>
    <row r="132880" spans="10:10" x14ac:dyDescent="0.3">
      <c r="J132880"/>
    </row>
    <row r="132881" spans="10:10" x14ac:dyDescent="0.3">
      <c r="J132881"/>
    </row>
    <row r="132882" spans="10:10" x14ac:dyDescent="0.3">
      <c r="J132882"/>
    </row>
    <row r="132883" spans="10:10" x14ac:dyDescent="0.3">
      <c r="J132883"/>
    </row>
    <row r="132884" spans="10:10" x14ac:dyDescent="0.3">
      <c r="J132884"/>
    </row>
    <row r="132885" spans="10:10" x14ac:dyDescent="0.3">
      <c r="J132885"/>
    </row>
    <row r="132886" spans="10:10" x14ac:dyDescent="0.3">
      <c r="J132886"/>
    </row>
    <row r="132887" spans="10:10" x14ac:dyDescent="0.3">
      <c r="J132887"/>
    </row>
    <row r="132888" spans="10:10" x14ac:dyDescent="0.3">
      <c r="J132888"/>
    </row>
    <row r="132889" spans="10:10" x14ac:dyDescent="0.3">
      <c r="J132889"/>
    </row>
    <row r="132890" spans="10:10" x14ac:dyDescent="0.3">
      <c r="J132890"/>
    </row>
    <row r="132891" spans="10:10" x14ac:dyDescent="0.3">
      <c r="J132891"/>
    </row>
    <row r="132892" spans="10:10" x14ac:dyDescent="0.3">
      <c r="J132892"/>
    </row>
    <row r="132893" spans="10:10" x14ac:dyDescent="0.3">
      <c r="J132893"/>
    </row>
    <row r="132894" spans="10:10" x14ac:dyDescent="0.3">
      <c r="J132894"/>
    </row>
    <row r="132895" spans="10:10" x14ac:dyDescent="0.3">
      <c r="J132895"/>
    </row>
    <row r="132896" spans="10:10" x14ac:dyDescent="0.3">
      <c r="J132896"/>
    </row>
    <row r="132897" spans="10:10" x14ac:dyDescent="0.3">
      <c r="J132897"/>
    </row>
    <row r="132898" spans="10:10" x14ac:dyDescent="0.3">
      <c r="J132898"/>
    </row>
    <row r="132899" spans="10:10" x14ac:dyDescent="0.3">
      <c r="J132899"/>
    </row>
    <row r="132900" spans="10:10" x14ac:dyDescent="0.3">
      <c r="J132900"/>
    </row>
    <row r="132901" spans="10:10" x14ac:dyDescent="0.3">
      <c r="J132901"/>
    </row>
    <row r="132902" spans="10:10" x14ac:dyDescent="0.3">
      <c r="J132902"/>
    </row>
    <row r="132903" spans="10:10" x14ac:dyDescent="0.3">
      <c r="J132903"/>
    </row>
    <row r="132904" spans="10:10" x14ac:dyDescent="0.3">
      <c r="J132904"/>
    </row>
    <row r="132905" spans="10:10" x14ac:dyDescent="0.3">
      <c r="J132905"/>
    </row>
    <row r="132906" spans="10:10" x14ac:dyDescent="0.3">
      <c r="J132906"/>
    </row>
    <row r="132907" spans="10:10" x14ac:dyDescent="0.3">
      <c r="J132907"/>
    </row>
    <row r="132908" spans="10:10" x14ac:dyDescent="0.3">
      <c r="J132908"/>
    </row>
    <row r="132909" spans="10:10" x14ac:dyDescent="0.3">
      <c r="J132909"/>
    </row>
    <row r="132910" spans="10:10" x14ac:dyDescent="0.3">
      <c r="J132910"/>
    </row>
    <row r="132911" spans="10:10" x14ac:dyDescent="0.3">
      <c r="J132911"/>
    </row>
    <row r="132912" spans="10:10" x14ac:dyDescent="0.3">
      <c r="J132912"/>
    </row>
    <row r="132913" spans="10:10" x14ac:dyDescent="0.3">
      <c r="J132913"/>
    </row>
    <row r="132914" spans="10:10" x14ac:dyDescent="0.3">
      <c r="J132914"/>
    </row>
    <row r="132915" spans="10:10" x14ac:dyDescent="0.3">
      <c r="J132915"/>
    </row>
    <row r="132916" spans="10:10" x14ac:dyDescent="0.3">
      <c r="J132916"/>
    </row>
    <row r="132917" spans="10:10" x14ac:dyDescent="0.3">
      <c r="J132917"/>
    </row>
    <row r="132918" spans="10:10" x14ac:dyDescent="0.3">
      <c r="J132918"/>
    </row>
    <row r="132919" spans="10:10" x14ac:dyDescent="0.3">
      <c r="J132919"/>
    </row>
    <row r="132920" spans="10:10" x14ac:dyDescent="0.3">
      <c r="J132920"/>
    </row>
    <row r="132921" spans="10:10" x14ac:dyDescent="0.3">
      <c r="J132921"/>
    </row>
    <row r="132922" spans="10:10" x14ac:dyDescent="0.3">
      <c r="J132922"/>
    </row>
    <row r="132923" spans="10:10" x14ac:dyDescent="0.3">
      <c r="J132923"/>
    </row>
    <row r="132924" spans="10:10" x14ac:dyDescent="0.3">
      <c r="J132924"/>
    </row>
    <row r="132925" spans="10:10" x14ac:dyDescent="0.3">
      <c r="J132925"/>
    </row>
    <row r="132926" spans="10:10" x14ac:dyDescent="0.3">
      <c r="J132926"/>
    </row>
    <row r="132927" spans="10:10" x14ac:dyDescent="0.3">
      <c r="J132927"/>
    </row>
    <row r="132928" spans="10:10" x14ac:dyDescent="0.3">
      <c r="J132928"/>
    </row>
    <row r="132929" spans="10:10" x14ac:dyDescent="0.3">
      <c r="J132929"/>
    </row>
    <row r="132930" spans="10:10" x14ac:dyDescent="0.3">
      <c r="J132930"/>
    </row>
    <row r="132931" spans="10:10" x14ac:dyDescent="0.3">
      <c r="J132931"/>
    </row>
    <row r="132932" spans="10:10" x14ac:dyDescent="0.3">
      <c r="J132932"/>
    </row>
    <row r="132933" spans="10:10" x14ac:dyDescent="0.3">
      <c r="J132933"/>
    </row>
    <row r="132934" spans="10:10" x14ac:dyDescent="0.3">
      <c r="J132934"/>
    </row>
    <row r="132935" spans="10:10" x14ac:dyDescent="0.3">
      <c r="J132935"/>
    </row>
    <row r="132936" spans="10:10" x14ac:dyDescent="0.3">
      <c r="J132936"/>
    </row>
    <row r="132937" spans="10:10" x14ac:dyDescent="0.3">
      <c r="J132937"/>
    </row>
    <row r="132938" spans="10:10" x14ac:dyDescent="0.3">
      <c r="J132938"/>
    </row>
    <row r="132939" spans="10:10" x14ac:dyDescent="0.3">
      <c r="J132939"/>
    </row>
    <row r="132940" spans="10:10" x14ac:dyDescent="0.3">
      <c r="J132940"/>
    </row>
    <row r="132941" spans="10:10" x14ac:dyDescent="0.3">
      <c r="J132941"/>
    </row>
    <row r="132942" spans="10:10" x14ac:dyDescent="0.3">
      <c r="J132942"/>
    </row>
    <row r="132943" spans="10:10" x14ac:dyDescent="0.3">
      <c r="J132943"/>
    </row>
    <row r="132944" spans="10:10" x14ac:dyDescent="0.3">
      <c r="J132944"/>
    </row>
    <row r="132945" spans="10:10" x14ac:dyDescent="0.3">
      <c r="J132945"/>
    </row>
    <row r="132946" spans="10:10" x14ac:dyDescent="0.3">
      <c r="J132946"/>
    </row>
    <row r="132947" spans="10:10" x14ac:dyDescent="0.3">
      <c r="J132947"/>
    </row>
    <row r="132948" spans="10:10" x14ac:dyDescent="0.3">
      <c r="J132948"/>
    </row>
    <row r="132949" spans="10:10" x14ac:dyDescent="0.3">
      <c r="J132949"/>
    </row>
    <row r="132950" spans="10:10" x14ac:dyDescent="0.3">
      <c r="J132950"/>
    </row>
    <row r="132951" spans="10:10" x14ac:dyDescent="0.3">
      <c r="J132951"/>
    </row>
    <row r="132952" spans="10:10" x14ac:dyDescent="0.3">
      <c r="J132952"/>
    </row>
    <row r="132953" spans="10:10" x14ac:dyDescent="0.3">
      <c r="J132953"/>
    </row>
    <row r="132954" spans="10:10" x14ac:dyDescent="0.3">
      <c r="J132954"/>
    </row>
    <row r="132955" spans="10:10" x14ac:dyDescent="0.3">
      <c r="J132955"/>
    </row>
    <row r="132956" spans="10:10" x14ac:dyDescent="0.3">
      <c r="J132956"/>
    </row>
    <row r="132957" spans="10:10" x14ac:dyDescent="0.3">
      <c r="J132957"/>
    </row>
    <row r="132958" spans="10:10" x14ac:dyDescent="0.3">
      <c r="J132958"/>
    </row>
    <row r="132959" spans="10:10" x14ac:dyDescent="0.3">
      <c r="J132959"/>
    </row>
    <row r="132960" spans="10:10" x14ac:dyDescent="0.3">
      <c r="J132960"/>
    </row>
    <row r="132961" spans="10:10" x14ac:dyDescent="0.3">
      <c r="J132961"/>
    </row>
    <row r="132962" spans="10:10" x14ac:dyDescent="0.3">
      <c r="J132962"/>
    </row>
    <row r="132963" spans="10:10" x14ac:dyDescent="0.3">
      <c r="J132963"/>
    </row>
    <row r="132964" spans="10:10" x14ac:dyDescent="0.3">
      <c r="J132964"/>
    </row>
    <row r="132965" spans="10:10" x14ac:dyDescent="0.3">
      <c r="J132965"/>
    </row>
    <row r="132966" spans="10:10" x14ac:dyDescent="0.3">
      <c r="J132966"/>
    </row>
    <row r="132967" spans="10:10" x14ac:dyDescent="0.3">
      <c r="J132967"/>
    </row>
    <row r="132968" spans="10:10" x14ac:dyDescent="0.3">
      <c r="J132968"/>
    </row>
    <row r="132969" spans="10:10" x14ac:dyDescent="0.3">
      <c r="J132969"/>
    </row>
    <row r="132970" spans="10:10" x14ac:dyDescent="0.3">
      <c r="J132970"/>
    </row>
    <row r="132971" spans="10:10" x14ac:dyDescent="0.3">
      <c r="J132971"/>
    </row>
    <row r="132972" spans="10:10" x14ac:dyDescent="0.3">
      <c r="J132972"/>
    </row>
    <row r="132973" spans="10:10" x14ac:dyDescent="0.3">
      <c r="J132973"/>
    </row>
    <row r="132974" spans="10:10" x14ac:dyDescent="0.3">
      <c r="J132974"/>
    </row>
    <row r="132975" spans="10:10" x14ac:dyDescent="0.3">
      <c r="J132975"/>
    </row>
    <row r="132976" spans="10:10" x14ac:dyDescent="0.3">
      <c r="J132976"/>
    </row>
    <row r="132977" spans="10:10" x14ac:dyDescent="0.3">
      <c r="J132977"/>
    </row>
    <row r="132978" spans="10:10" x14ac:dyDescent="0.3">
      <c r="J132978"/>
    </row>
    <row r="132979" spans="10:10" x14ac:dyDescent="0.3">
      <c r="J132979"/>
    </row>
    <row r="132980" spans="10:10" x14ac:dyDescent="0.3">
      <c r="J132980"/>
    </row>
    <row r="132981" spans="10:10" x14ac:dyDescent="0.3">
      <c r="J132981"/>
    </row>
    <row r="132982" spans="10:10" x14ac:dyDescent="0.3">
      <c r="J132982"/>
    </row>
    <row r="132983" spans="10:10" x14ac:dyDescent="0.3">
      <c r="J132983"/>
    </row>
    <row r="132984" spans="10:10" x14ac:dyDescent="0.3">
      <c r="J132984"/>
    </row>
    <row r="132985" spans="10:10" x14ac:dyDescent="0.3">
      <c r="J132985"/>
    </row>
    <row r="132986" spans="10:10" x14ac:dyDescent="0.3">
      <c r="J132986"/>
    </row>
    <row r="132987" spans="10:10" x14ac:dyDescent="0.3">
      <c r="J132987"/>
    </row>
    <row r="132988" spans="10:10" x14ac:dyDescent="0.3">
      <c r="J132988"/>
    </row>
    <row r="132989" spans="10:10" x14ac:dyDescent="0.3">
      <c r="J132989"/>
    </row>
    <row r="132990" spans="10:10" x14ac:dyDescent="0.3">
      <c r="J132990"/>
    </row>
    <row r="132991" spans="10:10" x14ac:dyDescent="0.3">
      <c r="J132991"/>
    </row>
    <row r="132992" spans="10:10" x14ac:dyDescent="0.3">
      <c r="J132992"/>
    </row>
    <row r="132993" spans="10:10" x14ac:dyDescent="0.3">
      <c r="J132993"/>
    </row>
    <row r="132994" spans="10:10" x14ac:dyDescent="0.3">
      <c r="J132994"/>
    </row>
    <row r="132995" spans="10:10" x14ac:dyDescent="0.3">
      <c r="J132995"/>
    </row>
    <row r="132996" spans="10:10" x14ac:dyDescent="0.3">
      <c r="J132996"/>
    </row>
    <row r="132997" spans="10:10" x14ac:dyDescent="0.3">
      <c r="J132997"/>
    </row>
    <row r="132998" spans="10:10" x14ac:dyDescent="0.3">
      <c r="J132998"/>
    </row>
    <row r="132999" spans="10:10" x14ac:dyDescent="0.3">
      <c r="J132999"/>
    </row>
    <row r="133000" spans="10:10" x14ac:dyDescent="0.3">
      <c r="J133000"/>
    </row>
    <row r="133001" spans="10:10" x14ac:dyDescent="0.3">
      <c r="J133001"/>
    </row>
    <row r="133002" spans="10:10" x14ac:dyDescent="0.3">
      <c r="J133002"/>
    </row>
    <row r="133003" spans="10:10" x14ac:dyDescent="0.3">
      <c r="J133003"/>
    </row>
    <row r="133004" spans="10:10" x14ac:dyDescent="0.3">
      <c r="J133004"/>
    </row>
    <row r="133005" spans="10:10" x14ac:dyDescent="0.3">
      <c r="J133005"/>
    </row>
    <row r="133006" spans="10:10" x14ac:dyDescent="0.3">
      <c r="J133006"/>
    </row>
    <row r="133007" spans="10:10" x14ac:dyDescent="0.3">
      <c r="J133007"/>
    </row>
    <row r="133008" spans="10:10" x14ac:dyDescent="0.3">
      <c r="J133008"/>
    </row>
    <row r="133009" spans="10:10" x14ac:dyDescent="0.3">
      <c r="J133009"/>
    </row>
    <row r="133010" spans="10:10" x14ac:dyDescent="0.3">
      <c r="J133010"/>
    </row>
    <row r="133011" spans="10:10" x14ac:dyDescent="0.3">
      <c r="J133011"/>
    </row>
    <row r="133012" spans="10:10" x14ac:dyDescent="0.3">
      <c r="J133012"/>
    </row>
    <row r="133013" spans="10:10" x14ac:dyDescent="0.3">
      <c r="J133013"/>
    </row>
    <row r="133014" spans="10:10" x14ac:dyDescent="0.3">
      <c r="J133014"/>
    </row>
    <row r="133015" spans="10:10" x14ac:dyDescent="0.3">
      <c r="J133015"/>
    </row>
    <row r="133016" spans="10:10" x14ac:dyDescent="0.3">
      <c r="J133016"/>
    </row>
    <row r="133017" spans="10:10" x14ac:dyDescent="0.3">
      <c r="J133017"/>
    </row>
    <row r="133018" spans="10:10" x14ac:dyDescent="0.3">
      <c r="J133018"/>
    </row>
    <row r="133019" spans="10:10" x14ac:dyDescent="0.3">
      <c r="J133019"/>
    </row>
    <row r="133020" spans="10:10" x14ac:dyDescent="0.3">
      <c r="J133020"/>
    </row>
    <row r="133021" spans="10:10" x14ac:dyDescent="0.3">
      <c r="J133021"/>
    </row>
    <row r="133022" spans="10:10" x14ac:dyDescent="0.3">
      <c r="J133022"/>
    </row>
    <row r="133023" spans="10:10" x14ac:dyDescent="0.3">
      <c r="J133023"/>
    </row>
    <row r="133024" spans="10:10" x14ac:dyDescent="0.3">
      <c r="J133024"/>
    </row>
    <row r="133025" spans="10:10" x14ac:dyDescent="0.3">
      <c r="J133025"/>
    </row>
    <row r="133026" spans="10:10" x14ac:dyDescent="0.3">
      <c r="J133026"/>
    </row>
    <row r="133027" spans="10:10" x14ac:dyDescent="0.3">
      <c r="J133027"/>
    </row>
    <row r="133028" spans="10:10" x14ac:dyDescent="0.3">
      <c r="J133028"/>
    </row>
    <row r="133029" spans="10:10" x14ac:dyDescent="0.3">
      <c r="J133029"/>
    </row>
    <row r="133030" spans="10:10" x14ac:dyDescent="0.3">
      <c r="J133030"/>
    </row>
    <row r="133031" spans="10:10" x14ac:dyDescent="0.3">
      <c r="J133031"/>
    </row>
    <row r="133032" spans="10:10" x14ac:dyDescent="0.3">
      <c r="J133032"/>
    </row>
    <row r="133033" spans="10:10" x14ac:dyDescent="0.3">
      <c r="J133033"/>
    </row>
    <row r="133034" spans="10:10" x14ac:dyDescent="0.3">
      <c r="J133034"/>
    </row>
    <row r="133035" spans="10:10" x14ac:dyDescent="0.3">
      <c r="J133035"/>
    </row>
    <row r="133036" spans="10:10" x14ac:dyDescent="0.3">
      <c r="J133036"/>
    </row>
    <row r="133037" spans="10:10" x14ac:dyDescent="0.3">
      <c r="J133037"/>
    </row>
    <row r="133038" spans="10:10" x14ac:dyDescent="0.3">
      <c r="J133038"/>
    </row>
    <row r="133039" spans="10:10" x14ac:dyDescent="0.3">
      <c r="J133039"/>
    </row>
    <row r="133040" spans="10:10" x14ac:dyDescent="0.3">
      <c r="J133040"/>
    </row>
    <row r="133041" spans="10:10" x14ac:dyDescent="0.3">
      <c r="J133041"/>
    </row>
    <row r="133042" spans="10:10" x14ac:dyDescent="0.3">
      <c r="J133042"/>
    </row>
    <row r="133043" spans="10:10" x14ac:dyDescent="0.3">
      <c r="J133043"/>
    </row>
    <row r="133044" spans="10:10" x14ac:dyDescent="0.3">
      <c r="J133044"/>
    </row>
    <row r="133045" spans="10:10" x14ac:dyDescent="0.3">
      <c r="J133045"/>
    </row>
    <row r="133046" spans="10:10" x14ac:dyDescent="0.3">
      <c r="J133046"/>
    </row>
    <row r="133047" spans="10:10" x14ac:dyDescent="0.3">
      <c r="J133047"/>
    </row>
    <row r="133048" spans="10:10" x14ac:dyDescent="0.3">
      <c r="J133048"/>
    </row>
    <row r="133049" spans="10:10" x14ac:dyDescent="0.3">
      <c r="J133049"/>
    </row>
    <row r="133050" spans="10:10" x14ac:dyDescent="0.3">
      <c r="J133050"/>
    </row>
    <row r="133051" spans="10:10" x14ac:dyDescent="0.3">
      <c r="J133051"/>
    </row>
    <row r="133052" spans="10:10" x14ac:dyDescent="0.3">
      <c r="J133052"/>
    </row>
    <row r="133053" spans="10:10" x14ac:dyDescent="0.3">
      <c r="J133053"/>
    </row>
    <row r="133054" spans="10:10" x14ac:dyDescent="0.3">
      <c r="J133054"/>
    </row>
    <row r="133055" spans="10:10" x14ac:dyDescent="0.3">
      <c r="J133055"/>
    </row>
    <row r="133056" spans="10:10" x14ac:dyDescent="0.3">
      <c r="J133056"/>
    </row>
    <row r="133057" spans="10:10" x14ac:dyDescent="0.3">
      <c r="J133057"/>
    </row>
    <row r="133058" spans="10:10" x14ac:dyDescent="0.3">
      <c r="J133058"/>
    </row>
    <row r="133059" spans="10:10" x14ac:dyDescent="0.3">
      <c r="J133059"/>
    </row>
    <row r="133060" spans="10:10" x14ac:dyDescent="0.3">
      <c r="J133060"/>
    </row>
    <row r="133061" spans="10:10" x14ac:dyDescent="0.3">
      <c r="J133061"/>
    </row>
    <row r="133062" spans="10:10" x14ac:dyDescent="0.3">
      <c r="J133062"/>
    </row>
    <row r="133063" spans="10:10" x14ac:dyDescent="0.3">
      <c r="J133063"/>
    </row>
    <row r="133064" spans="10:10" x14ac:dyDescent="0.3">
      <c r="J133064"/>
    </row>
    <row r="133065" spans="10:10" x14ac:dyDescent="0.3">
      <c r="J133065"/>
    </row>
    <row r="133066" spans="10:10" x14ac:dyDescent="0.3">
      <c r="J133066"/>
    </row>
    <row r="133067" spans="10:10" x14ac:dyDescent="0.3">
      <c r="J133067"/>
    </row>
    <row r="133068" spans="10:10" x14ac:dyDescent="0.3">
      <c r="J133068"/>
    </row>
    <row r="133069" spans="10:10" x14ac:dyDescent="0.3">
      <c r="J133069"/>
    </row>
    <row r="133070" spans="10:10" x14ac:dyDescent="0.3">
      <c r="J133070"/>
    </row>
    <row r="133071" spans="10:10" x14ac:dyDescent="0.3">
      <c r="J133071"/>
    </row>
    <row r="133072" spans="10:10" x14ac:dyDescent="0.3">
      <c r="J133072"/>
    </row>
    <row r="133073" spans="10:10" x14ac:dyDescent="0.3">
      <c r="J133073"/>
    </row>
    <row r="133074" spans="10:10" x14ac:dyDescent="0.3">
      <c r="J133074"/>
    </row>
    <row r="133075" spans="10:10" x14ac:dyDescent="0.3">
      <c r="J133075"/>
    </row>
    <row r="133076" spans="10:10" x14ac:dyDescent="0.3">
      <c r="J133076"/>
    </row>
    <row r="133077" spans="10:10" x14ac:dyDescent="0.3">
      <c r="J133077"/>
    </row>
    <row r="133078" spans="10:10" x14ac:dyDescent="0.3">
      <c r="J133078"/>
    </row>
    <row r="133079" spans="10:10" x14ac:dyDescent="0.3">
      <c r="J133079"/>
    </row>
    <row r="133080" spans="10:10" x14ac:dyDescent="0.3">
      <c r="J133080"/>
    </row>
    <row r="133081" spans="10:10" x14ac:dyDescent="0.3">
      <c r="J133081"/>
    </row>
    <row r="133082" spans="10:10" x14ac:dyDescent="0.3">
      <c r="J133082"/>
    </row>
    <row r="133083" spans="10:10" x14ac:dyDescent="0.3">
      <c r="J133083"/>
    </row>
    <row r="133084" spans="10:10" x14ac:dyDescent="0.3">
      <c r="J133084"/>
    </row>
    <row r="133085" spans="10:10" x14ac:dyDescent="0.3">
      <c r="J133085"/>
    </row>
    <row r="133086" spans="10:10" x14ac:dyDescent="0.3">
      <c r="J133086"/>
    </row>
    <row r="133087" spans="10:10" x14ac:dyDescent="0.3">
      <c r="J133087"/>
    </row>
    <row r="133088" spans="10:10" x14ac:dyDescent="0.3">
      <c r="J133088"/>
    </row>
    <row r="133089" spans="10:10" x14ac:dyDescent="0.3">
      <c r="J133089"/>
    </row>
    <row r="133090" spans="10:10" x14ac:dyDescent="0.3">
      <c r="J133090"/>
    </row>
    <row r="133091" spans="10:10" x14ac:dyDescent="0.3">
      <c r="J133091"/>
    </row>
    <row r="133092" spans="10:10" x14ac:dyDescent="0.3">
      <c r="J133092"/>
    </row>
    <row r="133093" spans="10:10" x14ac:dyDescent="0.3">
      <c r="J133093"/>
    </row>
    <row r="133094" spans="10:10" x14ac:dyDescent="0.3">
      <c r="J133094"/>
    </row>
    <row r="133095" spans="10:10" x14ac:dyDescent="0.3">
      <c r="J133095"/>
    </row>
    <row r="133096" spans="10:10" x14ac:dyDescent="0.3">
      <c r="J133096"/>
    </row>
    <row r="133097" spans="10:10" x14ac:dyDescent="0.3">
      <c r="J133097"/>
    </row>
    <row r="133098" spans="10:10" x14ac:dyDescent="0.3">
      <c r="J133098"/>
    </row>
    <row r="133099" spans="10:10" x14ac:dyDescent="0.3">
      <c r="J133099"/>
    </row>
    <row r="133100" spans="10:10" x14ac:dyDescent="0.3">
      <c r="J133100"/>
    </row>
    <row r="133101" spans="10:10" x14ac:dyDescent="0.3">
      <c r="J133101"/>
    </row>
    <row r="133102" spans="10:10" x14ac:dyDescent="0.3">
      <c r="J133102"/>
    </row>
    <row r="133103" spans="10:10" x14ac:dyDescent="0.3">
      <c r="J133103"/>
    </row>
    <row r="133104" spans="10:10" x14ac:dyDescent="0.3">
      <c r="J133104"/>
    </row>
    <row r="133105" spans="10:10" x14ac:dyDescent="0.3">
      <c r="J133105"/>
    </row>
    <row r="133106" spans="10:10" x14ac:dyDescent="0.3">
      <c r="J133106"/>
    </row>
    <row r="133107" spans="10:10" x14ac:dyDescent="0.3">
      <c r="J133107"/>
    </row>
    <row r="133108" spans="10:10" x14ac:dyDescent="0.3">
      <c r="J133108"/>
    </row>
    <row r="133109" spans="10:10" x14ac:dyDescent="0.3">
      <c r="J133109"/>
    </row>
    <row r="133110" spans="10:10" x14ac:dyDescent="0.3">
      <c r="J133110"/>
    </row>
    <row r="133111" spans="10:10" x14ac:dyDescent="0.3">
      <c r="J133111"/>
    </row>
    <row r="133112" spans="10:10" x14ac:dyDescent="0.3">
      <c r="J133112"/>
    </row>
    <row r="133113" spans="10:10" x14ac:dyDescent="0.3">
      <c r="J133113"/>
    </row>
    <row r="133114" spans="10:10" x14ac:dyDescent="0.3">
      <c r="J133114"/>
    </row>
    <row r="133115" spans="10:10" x14ac:dyDescent="0.3">
      <c r="J133115"/>
    </row>
    <row r="133116" spans="10:10" x14ac:dyDescent="0.3">
      <c r="J133116"/>
    </row>
    <row r="133117" spans="10:10" x14ac:dyDescent="0.3">
      <c r="J133117"/>
    </row>
    <row r="133118" spans="10:10" x14ac:dyDescent="0.3">
      <c r="J133118"/>
    </row>
    <row r="133119" spans="10:10" x14ac:dyDescent="0.3">
      <c r="J133119"/>
    </row>
    <row r="133120" spans="10:10" x14ac:dyDescent="0.3">
      <c r="J133120"/>
    </row>
    <row r="133121" spans="10:10" x14ac:dyDescent="0.3">
      <c r="J133121"/>
    </row>
    <row r="133122" spans="10:10" x14ac:dyDescent="0.3">
      <c r="J133122"/>
    </row>
    <row r="133123" spans="10:10" x14ac:dyDescent="0.3">
      <c r="J133123"/>
    </row>
    <row r="133124" spans="10:10" x14ac:dyDescent="0.3">
      <c r="J133124"/>
    </row>
    <row r="133125" spans="10:10" x14ac:dyDescent="0.3">
      <c r="J133125"/>
    </row>
    <row r="133126" spans="10:10" x14ac:dyDescent="0.3">
      <c r="J133126"/>
    </row>
    <row r="133127" spans="10:10" x14ac:dyDescent="0.3">
      <c r="J133127"/>
    </row>
    <row r="133128" spans="10:10" x14ac:dyDescent="0.3">
      <c r="J133128"/>
    </row>
    <row r="133129" spans="10:10" x14ac:dyDescent="0.3">
      <c r="J133129"/>
    </row>
    <row r="133130" spans="10:10" x14ac:dyDescent="0.3">
      <c r="J133130"/>
    </row>
    <row r="133131" spans="10:10" x14ac:dyDescent="0.3">
      <c r="J133131"/>
    </row>
    <row r="133132" spans="10:10" x14ac:dyDescent="0.3">
      <c r="J133132"/>
    </row>
    <row r="133133" spans="10:10" x14ac:dyDescent="0.3">
      <c r="J133133"/>
    </row>
    <row r="133134" spans="10:10" x14ac:dyDescent="0.3">
      <c r="J133134"/>
    </row>
    <row r="133135" spans="10:10" x14ac:dyDescent="0.3">
      <c r="J133135"/>
    </row>
    <row r="133136" spans="10:10" x14ac:dyDescent="0.3">
      <c r="J133136"/>
    </row>
    <row r="133137" spans="10:10" x14ac:dyDescent="0.3">
      <c r="J133137"/>
    </row>
    <row r="133138" spans="10:10" x14ac:dyDescent="0.3">
      <c r="J133138"/>
    </row>
    <row r="133139" spans="10:10" x14ac:dyDescent="0.3">
      <c r="J133139"/>
    </row>
    <row r="133140" spans="10:10" x14ac:dyDescent="0.3">
      <c r="J133140"/>
    </row>
    <row r="133141" spans="10:10" x14ac:dyDescent="0.3">
      <c r="J133141"/>
    </row>
    <row r="133142" spans="10:10" x14ac:dyDescent="0.3">
      <c r="J133142"/>
    </row>
    <row r="133143" spans="10:10" x14ac:dyDescent="0.3">
      <c r="J133143"/>
    </row>
    <row r="133144" spans="10:10" x14ac:dyDescent="0.3">
      <c r="J133144"/>
    </row>
    <row r="133145" spans="10:10" x14ac:dyDescent="0.3">
      <c r="J133145"/>
    </row>
    <row r="133146" spans="10:10" x14ac:dyDescent="0.3">
      <c r="J133146"/>
    </row>
    <row r="133147" spans="10:10" x14ac:dyDescent="0.3">
      <c r="J133147"/>
    </row>
    <row r="133148" spans="10:10" x14ac:dyDescent="0.3">
      <c r="J133148"/>
    </row>
    <row r="133149" spans="10:10" x14ac:dyDescent="0.3">
      <c r="J133149"/>
    </row>
    <row r="133150" spans="10:10" x14ac:dyDescent="0.3">
      <c r="J133150"/>
    </row>
    <row r="133151" spans="10:10" x14ac:dyDescent="0.3">
      <c r="J133151"/>
    </row>
    <row r="133152" spans="10:10" x14ac:dyDescent="0.3">
      <c r="J133152"/>
    </row>
    <row r="133153" spans="10:10" x14ac:dyDescent="0.3">
      <c r="J133153"/>
    </row>
    <row r="133154" spans="10:10" x14ac:dyDescent="0.3">
      <c r="J133154"/>
    </row>
    <row r="133155" spans="10:10" x14ac:dyDescent="0.3">
      <c r="J133155"/>
    </row>
    <row r="133156" spans="10:10" x14ac:dyDescent="0.3">
      <c r="J133156"/>
    </row>
    <row r="133157" spans="10:10" x14ac:dyDescent="0.3">
      <c r="J133157"/>
    </row>
    <row r="133158" spans="10:10" x14ac:dyDescent="0.3">
      <c r="J133158"/>
    </row>
    <row r="133159" spans="10:10" x14ac:dyDescent="0.3">
      <c r="J133159"/>
    </row>
    <row r="133160" spans="10:10" x14ac:dyDescent="0.3">
      <c r="J133160"/>
    </row>
    <row r="133161" spans="10:10" x14ac:dyDescent="0.3">
      <c r="J133161"/>
    </row>
    <row r="133162" spans="10:10" x14ac:dyDescent="0.3">
      <c r="J133162"/>
    </row>
    <row r="133163" spans="10:10" x14ac:dyDescent="0.3">
      <c r="J133163"/>
    </row>
    <row r="133164" spans="10:10" x14ac:dyDescent="0.3">
      <c r="J133164"/>
    </row>
    <row r="133165" spans="10:10" x14ac:dyDescent="0.3">
      <c r="J133165"/>
    </row>
    <row r="133166" spans="10:10" x14ac:dyDescent="0.3">
      <c r="J133166"/>
    </row>
    <row r="133167" spans="10:10" x14ac:dyDescent="0.3">
      <c r="J133167"/>
    </row>
    <row r="133168" spans="10:10" x14ac:dyDescent="0.3">
      <c r="J133168"/>
    </row>
    <row r="133169" spans="10:10" x14ac:dyDescent="0.3">
      <c r="J133169"/>
    </row>
    <row r="133170" spans="10:10" x14ac:dyDescent="0.3">
      <c r="J133170"/>
    </row>
    <row r="133171" spans="10:10" x14ac:dyDescent="0.3">
      <c r="J133171"/>
    </row>
    <row r="133172" spans="10:10" x14ac:dyDescent="0.3">
      <c r="J133172"/>
    </row>
    <row r="133173" spans="10:10" x14ac:dyDescent="0.3">
      <c r="J133173"/>
    </row>
    <row r="133174" spans="10:10" x14ac:dyDescent="0.3">
      <c r="J133174"/>
    </row>
    <row r="133175" spans="10:10" x14ac:dyDescent="0.3">
      <c r="J133175"/>
    </row>
    <row r="133176" spans="10:10" x14ac:dyDescent="0.3">
      <c r="J133176"/>
    </row>
    <row r="133177" spans="10:10" x14ac:dyDescent="0.3">
      <c r="J133177"/>
    </row>
    <row r="133178" spans="10:10" x14ac:dyDescent="0.3">
      <c r="J133178"/>
    </row>
    <row r="133179" spans="10:10" x14ac:dyDescent="0.3">
      <c r="J133179"/>
    </row>
    <row r="133180" spans="10:10" x14ac:dyDescent="0.3">
      <c r="J133180"/>
    </row>
    <row r="133181" spans="10:10" x14ac:dyDescent="0.3">
      <c r="J133181"/>
    </row>
    <row r="133182" spans="10:10" x14ac:dyDescent="0.3">
      <c r="J133182"/>
    </row>
    <row r="133183" spans="10:10" x14ac:dyDescent="0.3">
      <c r="J133183"/>
    </row>
    <row r="133184" spans="10:10" x14ac:dyDescent="0.3">
      <c r="J133184"/>
    </row>
    <row r="133185" spans="10:10" x14ac:dyDescent="0.3">
      <c r="J133185"/>
    </row>
    <row r="133186" spans="10:10" x14ac:dyDescent="0.3">
      <c r="J133186"/>
    </row>
    <row r="133187" spans="10:10" x14ac:dyDescent="0.3">
      <c r="J133187"/>
    </row>
    <row r="133188" spans="10:10" x14ac:dyDescent="0.3">
      <c r="J133188"/>
    </row>
    <row r="133189" spans="10:10" x14ac:dyDescent="0.3">
      <c r="J133189"/>
    </row>
    <row r="133190" spans="10:10" x14ac:dyDescent="0.3">
      <c r="J133190"/>
    </row>
    <row r="133191" spans="10:10" x14ac:dyDescent="0.3">
      <c r="J133191"/>
    </row>
    <row r="133192" spans="10:10" x14ac:dyDescent="0.3">
      <c r="J133192"/>
    </row>
    <row r="133193" spans="10:10" x14ac:dyDescent="0.3">
      <c r="J133193"/>
    </row>
    <row r="133194" spans="10:10" x14ac:dyDescent="0.3">
      <c r="J133194"/>
    </row>
    <row r="133195" spans="10:10" x14ac:dyDescent="0.3">
      <c r="J133195"/>
    </row>
    <row r="133196" spans="10:10" x14ac:dyDescent="0.3">
      <c r="J133196"/>
    </row>
    <row r="133197" spans="10:10" x14ac:dyDescent="0.3">
      <c r="J133197"/>
    </row>
    <row r="133198" spans="10:10" x14ac:dyDescent="0.3">
      <c r="J133198"/>
    </row>
    <row r="133199" spans="10:10" x14ac:dyDescent="0.3">
      <c r="J133199"/>
    </row>
    <row r="133200" spans="10:10" x14ac:dyDescent="0.3">
      <c r="J133200"/>
    </row>
    <row r="133201" spans="10:10" x14ac:dyDescent="0.3">
      <c r="J133201"/>
    </row>
    <row r="133202" spans="10:10" x14ac:dyDescent="0.3">
      <c r="J133202"/>
    </row>
    <row r="133203" spans="10:10" x14ac:dyDescent="0.3">
      <c r="J133203"/>
    </row>
    <row r="133204" spans="10:10" x14ac:dyDescent="0.3">
      <c r="J133204"/>
    </row>
    <row r="133205" spans="10:10" x14ac:dyDescent="0.3">
      <c r="J133205"/>
    </row>
    <row r="133206" spans="10:10" x14ac:dyDescent="0.3">
      <c r="J133206"/>
    </row>
    <row r="133207" spans="10:10" x14ac:dyDescent="0.3">
      <c r="J133207"/>
    </row>
    <row r="133208" spans="10:10" x14ac:dyDescent="0.3">
      <c r="J133208"/>
    </row>
    <row r="133209" spans="10:10" x14ac:dyDescent="0.3">
      <c r="J133209"/>
    </row>
    <row r="133210" spans="10:10" x14ac:dyDescent="0.3">
      <c r="J133210"/>
    </row>
    <row r="133211" spans="10:10" x14ac:dyDescent="0.3">
      <c r="J133211"/>
    </row>
    <row r="133212" spans="10:10" x14ac:dyDescent="0.3">
      <c r="J133212"/>
    </row>
    <row r="133213" spans="10:10" x14ac:dyDescent="0.3">
      <c r="J133213"/>
    </row>
    <row r="133214" spans="10:10" x14ac:dyDescent="0.3">
      <c r="J133214"/>
    </row>
    <row r="133215" spans="10:10" x14ac:dyDescent="0.3">
      <c r="J133215"/>
    </row>
    <row r="133216" spans="10:10" x14ac:dyDescent="0.3">
      <c r="J133216"/>
    </row>
    <row r="133217" spans="10:10" x14ac:dyDescent="0.3">
      <c r="J133217"/>
    </row>
    <row r="133218" spans="10:10" x14ac:dyDescent="0.3">
      <c r="J133218"/>
    </row>
    <row r="133219" spans="10:10" x14ac:dyDescent="0.3">
      <c r="J133219"/>
    </row>
    <row r="133220" spans="10:10" x14ac:dyDescent="0.3">
      <c r="J133220"/>
    </row>
    <row r="133221" spans="10:10" x14ac:dyDescent="0.3">
      <c r="J133221"/>
    </row>
    <row r="133222" spans="10:10" x14ac:dyDescent="0.3">
      <c r="J133222"/>
    </row>
    <row r="133223" spans="10:10" x14ac:dyDescent="0.3">
      <c r="J133223"/>
    </row>
    <row r="133224" spans="10:10" x14ac:dyDescent="0.3">
      <c r="J133224"/>
    </row>
    <row r="133225" spans="10:10" x14ac:dyDescent="0.3">
      <c r="J133225"/>
    </row>
    <row r="133226" spans="10:10" x14ac:dyDescent="0.3">
      <c r="J133226"/>
    </row>
    <row r="133227" spans="10:10" x14ac:dyDescent="0.3">
      <c r="J133227"/>
    </row>
    <row r="133228" spans="10:10" x14ac:dyDescent="0.3">
      <c r="J133228"/>
    </row>
    <row r="133229" spans="10:10" x14ac:dyDescent="0.3">
      <c r="J133229"/>
    </row>
    <row r="133230" spans="10:10" x14ac:dyDescent="0.3">
      <c r="J133230"/>
    </row>
    <row r="133231" spans="10:10" x14ac:dyDescent="0.3">
      <c r="J133231"/>
    </row>
    <row r="133232" spans="10:10" x14ac:dyDescent="0.3">
      <c r="J133232"/>
    </row>
    <row r="133233" spans="10:10" x14ac:dyDescent="0.3">
      <c r="J133233"/>
    </row>
    <row r="133234" spans="10:10" x14ac:dyDescent="0.3">
      <c r="J133234"/>
    </row>
    <row r="133235" spans="10:10" x14ac:dyDescent="0.3">
      <c r="J133235"/>
    </row>
    <row r="133236" spans="10:10" x14ac:dyDescent="0.3">
      <c r="J133236"/>
    </row>
    <row r="133237" spans="10:10" x14ac:dyDescent="0.3">
      <c r="J133237"/>
    </row>
    <row r="133238" spans="10:10" x14ac:dyDescent="0.3">
      <c r="J133238"/>
    </row>
    <row r="133239" spans="10:10" x14ac:dyDescent="0.3">
      <c r="J133239"/>
    </row>
    <row r="133240" spans="10:10" x14ac:dyDescent="0.3">
      <c r="J133240"/>
    </row>
    <row r="133241" spans="10:10" x14ac:dyDescent="0.3">
      <c r="J133241"/>
    </row>
    <row r="133242" spans="10:10" x14ac:dyDescent="0.3">
      <c r="J133242"/>
    </row>
    <row r="133243" spans="10:10" x14ac:dyDescent="0.3">
      <c r="J133243"/>
    </row>
    <row r="133244" spans="10:10" x14ac:dyDescent="0.3">
      <c r="J133244"/>
    </row>
    <row r="133245" spans="10:10" x14ac:dyDescent="0.3">
      <c r="J133245"/>
    </row>
    <row r="133246" spans="10:10" x14ac:dyDescent="0.3">
      <c r="J133246"/>
    </row>
    <row r="133247" spans="10:10" x14ac:dyDescent="0.3">
      <c r="J133247"/>
    </row>
    <row r="133248" spans="10:10" x14ac:dyDescent="0.3">
      <c r="J133248"/>
    </row>
    <row r="133249" spans="10:10" x14ac:dyDescent="0.3">
      <c r="J133249"/>
    </row>
    <row r="133250" spans="10:10" x14ac:dyDescent="0.3">
      <c r="J133250"/>
    </row>
    <row r="133251" spans="10:10" x14ac:dyDescent="0.3">
      <c r="J133251"/>
    </row>
    <row r="133252" spans="10:10" x14ac:dyDescent="0.3">
      <c r="J133252"/>
    </row>
    <row r="133253" spans="10:10" x14ac:dyDescent="0.3">
      <c r="J133253"/>
    </row>
    <row r="133254" spans="10:10" x14ac:dyDescent="0.3">
      <c r="J133254"/>
    </row>
    <row r="133255" spans="10:10" x14ac:dyDescent="0.3">
      <c r="J133255"/>
    </row>
    <row r="133256" spans="10:10" x14ac:dyDescent="0.3">
      <c r="J133256"/>
    </row>
    <row r="133257" spans="10:10" x14ac:dyDescent="0.3">
      <c r="J133257"/>
    </row>
    <row r="133258" spans="10:10" x14ac:dyDescent="0.3">
      <c r="J133258"/>
    </row>
    <row r="133259" spans="10:10" x14ac:dyDescent="0.3">
      <c r="J133259"/>
    </row>
    <row r="133260" spans="10:10" x14ac:dyDescent="0.3">
      <c r="J133260"/>
    </row>
    <row r="133261" spans="10:10" x14ac:dyDescent="0.3">
      <c r="J133261"/>
    </row>
    <row r="133262" spans="10:10" x14ac:dyDescent="0.3">
      <c r="J133262"/>
    </row>
    <row r="133263" spans="10:10" x14ac:dyDescent="0.3">
      <c r="J133263"/>
    </row>
    <row r="133264" spans="10:10" x14ac:dyDescent="0.3">
      <c r="J133264"/>
    </row>
    <row r="133265" spans="10:10" x14ac:dyDescent="0.3">
      <c r="J133265"/>
    </row>
    <row r="133266" spans="10:10" x14ac:dyDescent="0.3">
      <c r="J133266"/>
    </row>
    <row r="133267" spans="10:10" x14ac:dyDescent="0.3">
      <c r="J133267"/>
    </row>
    <row r="133268" spans="10:10" x14ac:dyDescent="0.3">
      <c r="J133268"/>
    </row>
    <row r="133269" spans="10:10" x14ac:dyDescent="0.3">
      <c r="J133269"/>
    </row>
    <row r="133270" spans="10:10" x14ac:dyDescent="0.3">
      <c r="J133270"/>
    </row>
    <row r="133271" spans="10:10" x14ac:dyDescent="0.3">
      <c r="J133271"/>
    </row>
    <row r="133272" spans="10:10" x14ac:dyDescent="0.3">
      <c r="J133272"/>
    </row>
    <row r="133273" spans="10:10" x14ac:dyDescent="0.3">
      <c r="J133273"/>
    </row>
    <row r="133274" spans="10:10" x14ac:dyDescent="0.3">
      <c r="J133274"/>
    </row>
    <row r="133275" spans="10:10" x14ac:dyDescent="0.3">
      <c r="J133275"/>
    </row>
    <row r="133276" spans="10:10" x14ac:dyDescent="0.3">
      <c r="J133276"/>
    </row>
    <row r="133277" spans="10:10" x14ac:dyDescent="0.3">
      <c r="J133277"/>
    </row>
    <row r="133278" spans="10:10" x14ac:dyDescent="0.3">
      <c r="J133278"/>
    </row>
    <row r="133279" spans="10:10" x14ac:dyDescent="0.3">
      <c r="J133279"/>
    </row>
    <row r="133280" spans="10:10" x14ac:dyDescent="0.3">
      <c r="J133280"/>
    </row>
    <row r="133281" spans="10:10" x14ac:dyDescent="0.3">
      <c r="J133281"/>
    </row>
    <row r="133282" spans="10:10" x14ac:dyDescent="0.3">
      <c r="J133282"/>
    </row>
    <row r="133283" spans="10:10" x14ac:dyDescent="0.3">
      <c r="J133283"/>
    </row>
    <row r="133284" spans="10:10" x14ac:dyDescent="0.3">
      <c r="J133284"/>
    </row>
    <row r="133285" spans="10:10" x14ac:dyDescent="0.3">
      <c r="J133285"/>
    </row>
    <row r="133286" spans="10:10" x14ac:dyDescent="0.3">
      <c r="J133286"/>
    </row>
    <row r="133287" spans="10:10" x14ac:dyDescent="0.3">
      <c r="J133287"/>
    </row>
    <row r="133288" spans="10:10" x14ac:dyDescent="0.3">
      <c r="J133288"/>
    </row>
    <row r="133289" spans="10:10" x14ac:dyDescent="0.3">
      <c r="J133289"/>
    </row>
    <row r="133290" spans="10:10" x14ac:dyDescent="0.3">
      <c r="J133290"/>
    </row>
    <row r="133291" spans="10:10" x14ac:dyDescent="0.3">
      <c r="J133291"/>
    </row>
    <row r="133292" spans="10:10" x14ac:dyDescent="0.3">
      <c r="J133292"/>
    </row>
    <row r="133293" spans="10:10" x14ac:dyDescent="0.3">
      <c r="J133293"/>
    </row>
    <row r="133294" spans="10:10" x14ac:dyDescent="0.3">
      <c r="J133294"/>
    </row>
    <row r="133295" spans="10:10" x14ac:dyDescent="0.3">
      <c r="J133295"/>
    </row>
    <row r="133296" spans="10:10" x14ac:dyDescent="0.3">
      <c r="J133296"/>
    </row>
    <row r="133297" spans="10:10" x14ac:dyDescent="0.3">
      <c r="J133297"/>
    </row>
    <row r="133298" spans="10:10" x14ac:dyDescent="0.3">
      <c r="J133298"/>
    </row>
    <row r="133299" spans="10:10" x14ac:dyDescent="0.3">
      <c r="J133299"/>
    </row>
    <row r="133300" spans="10:10" x14ac:dyDescent="0.3">
      <c r="J133300"/>
    </row>
    <row r="133301" spans="10:10" x14ac:dyDescent="0.3">
      <c r="J133301"/>
    </row>
    <row r="133302" spans="10:10" x14ac:dyDescent="0.3">
      <c r="J133302"/>
    </row>
    <row r="133303" spans="10:10" x14ac:dyDescent="0.3">
      <c r="J133303"/>
    </row>
    <row r="133304" spans="10:10" x14ac:dyDescent="0.3">
      <c r="J133304"/>
    </row>
    <row r="133305" spans="10:10" x14ac:dyDescent="0.3">
      <c r="J133305"/>
    </row>
    <row r="133306" spans="10:10" x14ac:dyDescent="0.3">
      <c r="J133306"/>
    </row>
    <row r="133307" spans="10:10" x14ac:dyDescent="0.3">
      <c r="J133307"/>
    </row>
    <row r="133308" spans="10:10" x14ac:dyDescent="0.3">
      <c r="J133308"/>
    </row>
    <row r="133309" spans="10:10" x14ac:dyDescent="0.3">
      <c r="J133309"/>
    </row>
    <row r="133310" spans="10:10" x14ac:dyDescent="0.3">
      <c r="J133310"/>
    </row>
    <row r="133311" spans="10:10" x14ac:dyDescent="0.3">
      <c r="J133311"/>
    </row>
    <row r="133312" spans="10:10" x14ac:dyDescent="0.3">
      <c r="J133312"/>
    </row>
    <row r="133313" spans="10:10" x14ac:dyDescent="0.3">
      <c r="J133313"/>
    </row>
    <row r="133314" spans="10:10" x14ac:dyDescent="0.3">
      <c r="J133314"/>
    </row>
    <row r="133315" spans="10:10" x14ac:dyDescent="0.3">
      <c r="J133315"/>
    </row>
    <row r="133316" spans="10:10" x14ac:dyDescent="0.3">
      <c r="J133316"/>
    </row>
    <row r="133317" spans="10:10" x14ac:dyDescent="0.3">
      <c r="J133317"/>
    </row>
    <row r="133318" spans="10:10" x14ac:dyDescent="0.3">
      <c r="J133318"/>
    </row>
    <row r="133319" spans="10:10" x14ac:dyDescent="0.3">
      <c r="J133319"/>
    </row>
    <row r="133320" spans="10:10" x14ac:dyDescent="0.3">
      <c r="J133320"/>
    </row>
    <row r="133321" spans="10:10" x14ac:dyDescent="0.3">
      <c r="J133321"/>
    </row>
    <row r="133322" spans="10:10" x14ac:dyDescent="0.3">
      <c r="J133322"/>
    </row>
    <row r="133323" spans="10:10" x14ac:dyDescent="0.3">
      <c r="J133323"/>
    </row>
    <row r="133324" spans="10:10" x14ac:dyDescent="0.3">
      <c r="J133324"/>
    </row>
    <row r="133325" spans="10:10" x14ac:dyDescent="0.3">
      <c r="J133325"/>
    </row>
    <row r="133326" spans="10:10" x14ac:dyDescent="0.3">
      <c r="J133326"/>
    </row>
    <row r="133327" spans="10:10" x14ac:dyDescent="0.3">
      <c r="J133327"/>
    </row>
    <row r="133328" spans="10:10" x14ac:dyDescent="0.3">
      <c r="J133328"/>
    </row>
    <row r="133329" spans="10:10" x14ac:dyDescent="0.3">
      <c r="J133329"/>
    </row>
    <row r="133330" spans="10:10" x14ac:dyDescent="0.3">
      <c r="J133330"/>
    </row>
    <row r="133331" spans="10:10" x14ac:dyDescent="0.3">
      <c r="J133331"/>
    </row>
    <row r="133332" spans="10:10" x14ac:dyDescent="0.3">
      <c r="J133332"/>
    </row>
    <row r="133333" spans="10:10" x14ac:dyDescent="0.3">
      <c r="J133333"/>
    </row>
    <row r="133334" spans="10:10" x14ac:dyDescent="0.3">
      <c r="J133334"/>
    </row>
    <row r="133335" spans="10:10" x14ac:dyDescent="0.3">
      <c r="J133335"/>
    </row>
    <row r="133336" spans="10:10" x14ac:dyDescent="0.3">
      <c r="J133336"/>
    </row>
    <row r="133337" spans="10:10" x14ac:dyDescent="0.3">
      <c r="J133337"/>
    </row>
    <row r="133338" spans="10:10" x14ac:dyDescent="0.3">
      <c r="J133338"/>
    </row>
    <row r="133339" spans="10:10" x14ac:dyDescent="0.3">
      <c r="J133339"/>
    </row>
    <row r="133340" spans="10:10" x14ac:dyDescent="0.3">
      <c r="J133340"/>
    </row>
    <row r="133341" spans="10:10" x14ac:dyDescent="0.3">
      <c r="J133341"/>
    </row>
    <row r="133342" spans="10:10" x14ac:dyDescent="0.3">
      <c r="J133342"/>
    </row>
    <row r="133343" spans="10:10" x14ac:dyDescent="0.3">
      <c r="J133343"/>
    </row>
    <row r="133344" spans="10:10" x14ac:dyDescent="0.3">
      <c r="J133344"/>
    </row>
    <row r="133345" spans="10:10" x14ac:dyDescent="0.3">
      <c r="J133345"/>
    </row>
    <row r="133346" spans="10:10" x14ac:dyDescent="0.3">
      <c r="J133346"/>
    </row>
    <row r="133347" spans="10:10" x14ac:dyDescent="0.3">
      <c r="J133347"/>
    </row>
    <row r="133348" spans="10:10" x14ac:dyDescent="0.3">
      <c r="J133348"/>
    </row>
    <row r="133349" spans="10:10" x14ac:dyDescent="0.3">
      <c r="J133349"/>
    </row>
    <row r="133350" spans="10:10" x14ac:dyDescent="0.3">
      <c r="J133350"/>
    </row>
    <row r="133351" spans="10:10" x14ac:dyDescent="0.3">
      <c r="J133351"/>
    </row>
    <row r="133352" spans="10:10" x14ac:dyDescent="0.3">
      <c r="J133352"/>
    </row>
    <row r="133353" spans="10:10" x14ac:dyDescent="0.3">
      <c r="J133353"/>
    </row>
    <row r="133354" spans="10:10" x14ac:dyDescent="0.3">
      <c r="J133354"/>
    </row>
    <row r="133355" spans="10:10" x14ac:dyDescent="0.3">
      <c r="J133355"/>
    </row>
    <row r="133356" spans="10:10" x14ac:dyDescent="0.3">
      <c r="J133356"/>
    </row>
    <row r="133357" spans="10:10" x14ac:dyDescent="0.3">
      <c r="J133357"/>
    </row>
    <row r="133358" spans="10:10" x14ac:dyDescent="0.3">
      <c r="J133358"/>
    </row>
    <row r="133359" spans="10:10" x14ac:dyDescent="0.3">
      <c r="J133359"/>
    </row>
    <row r="133360" spans="10:10" x14ac:dyDescent="0.3">
      <c r="J133360"/>
    </row>
    <row r="133361" spans="10:10" x14ac:dyDescent="0.3">
      <c r="J133361"/>
    </row>
    <row r="133362" spans="10:10" x14ac:dyDescent="0.3">
      <c r="J133362"/>
    </row>
    <row r="133363" spans="10:10" x14ac:dyDescent="0.3">
      <c r="J133363"/>
    </row>
    <row r="133364" spans="10:10" x14ac:dyDescent="0.3">
      <c r="J133364"/>
    </row>
    <row r="133365" spans="10:10" x14ac:dyDescent="0.3">
      <c r="J133365"/>
    </row>
    <row r="133366" spans="10:10" x14ac:dyDescent="0.3">
      <c r="J133366"/>
    </row>
    <row r="133367" spans="10:10" x14ac:dyDescent="0.3">
      <c r="J133367"/>
    </row>
    <row r="133368" spans="10:10" x14ac:dyDescent="0.3">
      <c r="J133368"/>
    </row>
    <row r="133369" spans="10:10" x14ac:dyDescent="0.3">
      <c r="J133369"/>
    </row>
    <row r="133370" spans="10:10" x14ac:dyDescent="0.3">
      <c r="J133370"/>
    </row>
    <row r="133371" spans="10:10" x14ac:dyDescent="0.3">
      <c r="J133371"/>
    </row>
    <row r="133372" spans="10:10" x14ac:dyDescent="0.3">
      <c r="J133372"/>
    </row>
    <row r="133373" spans="10:10" x14ac:dyDescent="0.3">
      <c r="J133373"/>
    </row>
    <row r="133374" spans="10:10" x14ac:dyDescent="0.3">
      <c r="J133374"/>
    </row>
    <row r="133375" spans="10:10" x14ac:dyDescent="0.3">
      <c r="J133375"/>
    </row>
    <row r="133376" spans="10:10" x14ac:dyDescent="0.3">
      <c r="J133376"/>
    </row>
    <row r="133377" spans="10:10" x14ac:dyDescent="0.3">
      <c r="J133377"/>
    </row>
    <row r="133378" spans="10:10" x14ac:dyDescent="0.3">
      <c r="J133378"/>
    </row>
    <row r="133379" spans="10:10" x14ac:dyDescent="0.3">
      <c r="J133379"/>
    </row>
    <row r="133380" spans="10:10" x14ac:dyDescent="0.3">
      <c r="J133380"/>
    </row>
    <row r="133381" spans="10:10" x14ac:dyDescent="0.3">
      <c r="J133381"/>
    </row>
    <row r="133382" spans="10:10" x14ac:dyDescent="0.3">
      <c r="J133382"/>
    </row>
    <row r="133383" spans="10:10" x14ac:dyDescent="0.3">
      <c r="J133383"/>
    </row>
    <row r="133384" spans="10:10" x14ac:dyDescent="0.3">
      <c r="J133384"/>
    </row>
    <row r="133385" spans="10:10" x14ac:dyDescent="0.3">
      <c r="J133385"/>
    </row>
    <row r="133386" spans="10:10" x14ac:dyDescent="0.3">
      <c r="J133386"/>
    </row>
    <row r="133387" spans="10:10" x14ac:dyDescent="0.3">
      <c r="J133387"/>
    </row>
    <row r="133388" spans="10:10" x14ac:dyDescent="0.3">
      <c r="J133388"/>
    </row>
    <row r="133389" spans="10:10" x14ac:dyDescent="0.3">
      <c r="J133389"/>
    </row>
    <row r="133390" spans="10:10" x14ac:dyDescent="0.3">
      <c r="J133390"/>
    </row>
    <row r="133391" spans="10:10" x14ac:dyDescent="0.3">
      <c r="J133391"/>
    </row>
    <row r="133392" spans="10:10" x14ac:dyDescent="0.3">
      <c r="J133392"/>
    </row>
    <row r="133393" spans="10:10" x14ac:dyDescent="0.3">
      <c r="J133393"/>
    </row>
    <row r="133394" spans="10:10" x14ac:dyDescent="0.3">
      <c r="J133394"/>
    </row>
    <row r="133395" spans="10:10" x14ac:dyDescent="0.3">
      <c r="J133395"/>
    </row>
    <row r="133396" spans="10:10" x14ac:dyDescent="0.3">
      <c r="J133396"/>
    </row>
    <row r="133397" spans="10:10" x14ac:dyDescent="0.3">
      <c r="J133397"/>
    </row>
    <row r="133398" spans="10:10" x14ac:dyDescent="0.3">
      <c r="J133398"/>
    </row>
    <row r="133399" spans="10:10" x14ac:dyDescent="0.3">
      <c r="J133399"/>
    </row>
    <row r="133400" spans="10:10" x14ac:dyDescent="0.3">
      <c r="J133400"/>
    </row>
    <row r="133401" spans="10:10" x14ac:dyDescent="0.3">
      <c r="J133401"/>
    </row>
    <row r="133402" spans="10:10" x14ac:dyDescent="0.3">
      <c r="J133402"/>
    </row>
    <row r="133403" spans="10:10" x14ac:dyDescent="0.3">
      <c r="J133403"/>
    </row>
    <row r="133404" spans="10:10" x14ac:dyDescent="0.3">
      <c r="J133404"/>
    </row>
    <row r="133405" spans="10:10" x14ac:dyDescent="0.3">
      <c r="J133405"/>
    </row>
    <row r="133406" spans="10:10" x14ac:dyDescent="0.3">
      <c r="J133406"/>
    </row>
    <row r="133407" spans="10:10" x14ac:dyDescent="0.3">
      <c r="J133407"/>
    </row>
    <row r="133408" spans="10:10" x14ac:dyDescent="0.3">
      <c r="J133408"/>
    </row>
    <row r="133409" spans="10:10" x14ac:dyDescent="0.3">
      <c r="J133409"/>
    </row>
    <row r="133410" spans="10:10" x14ac:dyDescent="0.3">
      <c r="J133410"/>
    </row>
    <row r="133411" spans="10:10" x14ac:dyDescent="0.3">
      <c r="J133411"/>
    </row>
    <row r="133412" spans="10:10" x14ac:dyDescent="0.3">
      <c r="J133412"/>
    </row>
    <row r="133413" spans="10:10" x14ac:dyDescent="0.3">
      <c r="J133413"/>
    </row>
    <row r="133414" spans="10:10" x14ac:dyDescent="0.3">
      <c r="J133414"/>
    </row>
    <row r="133415" spans="10:10" x14ac:dyDescent="0.3">
      <c r="J133415"/>
    </row>
    <row r="133416" spans="10:10" x14ac:dyDescent="0.3">
      <c r="J133416"/>
    </row>
    <row r="133417" spans="10:10" x14ac:dyDescent="0.3">
      <c r="J133417"/>
    </row>
    <row r="133418" spans="10:10" x14ac:dyDescent="0.3">
      <c r="J133418"/>
    </row>
    <row r="133419" spans="10:10" x14ac:dyDescent="0.3">
      <c r="J133419"/>
    </row>
    <row r="133420" spans="10:10" x14ac:dyDescent="0.3">
      <c r="J133420"/>
    </row>
    <row r="133421" spans="10:10" x14ac:dyDescent="0.3">
      <c r="J133421"/>
    </row>
    <row r="133422" spans="10:10" x14ac:dyDescent="0.3">
      <c r="J133422"/>
    </row>
    <row r="133423" spans="10:10" x14ac:dyDescent="0.3">
      <c r="J133423"/>
    </row>
    <row r="133424" spans="10:10" x14ac:dyDescent="0.3">
      <c r="J133424"/>
    </row>
    <row r="133425" spans="10:10" x14ac:dyDescent="0.3">
      <c r="J133425"/>
    </row>
    <row r="133426" spans="10:10" x14ac:dyDescent="0.3">
      <c r="J133426"/>
    </row>
    <row r="133427" spans="10:10" x14ac:dyDescent="0.3">
      <c r="J133427"/>
    </row>
    <row r="133428" spans="10:10" x14ac:dyDescent="0.3">
      <c r="J133428"/>
    </row>
    <row r="133429" spans="10:10" x14ac:dyDescent="0.3">
      <c r="J133429"/>
    </row>
    <row r="133430" spans="10:10" x14ac:dyDescent="0.3">
      <c r="J133430"/>
    </row>
    <row r="133431" spans="10:10" x14ac:dyDescent="0.3">
      <c r="J133431"/>
    </row>
    <row r="133432" spans="10:10" x14ac:dyDescent="0.3">
      <c r="J133432"/>
    </row>
    <row r="133433" spans="10:10" x14ac:dyDescent="0.3">
      <c r="J133433"/>
    </row>
    <row r="133434" spans="10:10" x14ac:dyDescent="0.3">
      <c r="J133434"/>
    </row>
    <row r="133435" spans="10:10" x14ac:dyDescent="0.3">
      <c r="J133435"/>
    </row>
    <row r="133436" spans="10:10" x14ac:dyDescent="0.3">
      <c r="J133436"/>
    </row>
    <row r="133437" spans="10:10" x14ac:dyDescent="0.3">
      <c r="J133437"/>
    </row>
    <row r="133438" spans="10:10" x14ac:dyDescent="0.3">
      <c r="J133438"/>
    </row>
    <row r="133439" spans="10:10" x14ac:dyDescent="0.3">
      <c r="J133439"/>
    </row>
    <row r="133440" spans="10:10" x14ac:dyDescent="0.3">
      <c r="J133440"/>
    </row>
    <row r="133441" spans="10:10" x14ac:dyDescent="0.3">
      <c r="J133441"/>
    </row>
    <row r="133442" spans="10:10" x14ac:dyDescent="0.3">
      <c r="J133442"/>
    </row>
    <row r="133443" spans="10:10" x14ac:dyDescent="0.3">
      <c r="J133443"/>
    </row>
    <row r="133444" spans="10:10" x14ac:dyDescent="0.3">
      <c r="J133444"/>
    </row>
    <row r="133445" spans="10:10" x14ac:dyDescent="0.3">
      <c r="J133445"/>
    </row>
    <row r="133446" spans="10:10" x14ac:dyDescent="0.3">
      <c r="J133446"/>
    </row>
    <row r="133447" spans="10:10" x14ac:dyDescent="0.3">
      <c r="J133447"/>
    </row>
    <row r="133448" spans="10:10" x14ac:dyDescent="0.3">
      <c r="J133448"/>
    </row>
    <row r="133449" spans="10:10" x14ac:dyDescent="0.3">
      <c r="J133449"/>
    </row>
    <row r="133450" spans="10:10" x14ac:dyDescent="0.3">
      <c r="J133450"/>
    </row>
    <row r="133451" spans="10:10" x14ac:dyDescent="0.3">
      <c r="J133451"/>
    </row>
    <row r="133452" spans="10:10" x14ac:dyDescent="0.3">
      <c r="J133452"/>
    </row>
    <row r="133453" spans="10:10" x14ac:dyDescent="0.3">
      <c r="J133453"/>
    </row>
    <row r="133454" spans="10:10" x14ac:dyDescent="0.3">
      <c r="J133454"/>
    </row>
    <row r="133455" spans="10:10" x14ac:dyDescent="0.3">
      <c r="J133455"/>
    </row>
    <row r="133456" spans="10:10" x14ac:dyDescent="0.3">
      <c r="J133456"/>
    </row>
    <row r="133457" spans="10:10" x14ac:dyDescent="0.3">
      <c r="J133457"/>
    </row>
    <row r="133458" spans="10:10" x14ac:dyDescent="0.3">
      <c r="J133458"/>
    </row>
    <row r="133459" spans="10:10" x14ac:dyDescent="0.3">
      <c r="J133459"/>
    </row>
    <row r="133460" spans="10:10" x14ac:dyDescent="0.3">
      <c r="J133460"/>
    </row>
    <row r="133461" spans="10:10" x14ac:dyDescent="0.3">
      <c r="J133461"/>
    </row>
    <row r="133462" spans="10:10" x14ac:dyDescent="0.3">
      <c r="J133462"/>
    </row>
    <row r="133463" spans="10:10" x14ac:dyDescent="0.3">
      <c r="J133463"/>
    </row>
    <row r="133464" spans="10:10" x14ac:dyDescent="0.3">
      <c r="J133464"/>
    </row>
    <row r="133465" spans="10:10" x14ac:dyDescent="0.3">
      <c r="J133465"/>
    </row>
    <row r="133466" spans="10:10" x14ac:dyDescent="0.3">
      <c r="J133466"/>
    </row>
    <row r="133467" spans="10:10" x14ac:dyDescent="0.3">
      <c r="J133467"/>
    </row>
    <row r="133468" spans="10:10" x14ac:dyDescent="0.3">
      <c r="J133468"/>
    </row>
    <row r="133469" spans="10:10" x14ac:dyDescent="0.3">
      <c r="J133469"/>
    </row>
    <row r="133470" spans="10:10" x14ac:dyDescent="0.3">
      <c r="J133470"/>
    </row>
    <row r="133471" spans="10:10" x14ac:dyDescent="0.3">
      <c r="J133471"/>
    </row>
    <row r="133472" spans="10:10" x14ac:dyDescent="0.3">
      <c r="J133472"/>
    </row>
    <row r="133473" spans="10:10" x14ac:dyDescent="0.3">
      <c r="J133473"/>
    </row>
    <row r="133474" spans="10:10" x14ac:dyDescent="0.3">
      <c r="J133474"/>
    </row>
    <row r="133475" spans="10:10" x14ac:dyDescent="0.3">
      <c r="J133475"/>
    </row>
    <row r="133476" spans="10:10" x14ac:dyDescent="0.3">
      <c r="J133476"/>
    </row>
    <row r="133477" spans="10:10" x14ac:dyDescent="0.3">
      <c r="J133477"/>
    </row>
    <row r="133478" spans="10:10" x14ac:dyDescent="0.3">
      <c r="J133478"/>
    </row>
    <row r="133479" spans="10:10" x14ac:dyDescent="0.3">
      <c r="J133479"/>
    </row>
    <row r="133480" spans="10:10" x14ac:dyDescent="0.3">
      <c r="J133480"/>
    </row>
    <row r="133481" spans="10:10" x14ac:dyDescent="0.3">
      <c r="J133481"/>
    </row>
    <row r="133482" spans="10:10" x14ac:dyDescent="0.3">
      <c r="J133482"/>
    </row>
    <row r="133483" spans="10:10" x14ac:dyDescent="0.3">
      <c r="J133483"/>
    </row>
    <row r="133484" spans="10:10" x14ac:dyDescent="0.3">
      <c r="J133484"/>
    </row>
    <row r="133485" spans="10:10" x14ac:dyDescent="0.3">
      <c r="J133485"/>
    </row>
    <row r="133486" spans="10:10" x14ac:dyDescent="0.3">
      <c r="J133486"/>
    </row>
    <row r="133487" spans="10:10" x14ac:dyDescent="0.3">
      <c r="J133487"/>
    </row>
    <row r="133488" spans="10:10" x14ac:dyDescent="0.3">
      <c r="J133488"/>
    </row>
    <row r="133489" spans="10:10" x14ac:dyDescent="0.3">
      <c r="J133489"/>
    </row>
    <row r="133490" spans="10:10" x14ac:dyDescent="0.3">
      <c r="J133490"/>
    </row>
    <row r="133491" spans="10:10" x14ac:dyDescent="0.3">
      <c r="J133491"/>
    </row>
    <row r="133492" spans="10:10" x14ac:dyDescent="0.3">
      <c r="J133492"/>
    </row>
    <row r="133493" spans="10:10" x14ac:dyDescent="0.3">
      <c r="J133493"/>
    </row>
    <row r="133494" spans="10:10" x14ac:dyDescent="0.3">
      <c r="J133494"/>
    </row>
    <row r="133495" spans="10:10" x14ac:dyDescent="0.3">
      <c r="J133495"/>
    </row>
    <row r="133496" spans="10:10" x14ac:dyDescent="0.3">
      <c r="J133496"/>
    </row>
    <row r="133497" spans="10:10" x14ac:dyDescent="0.3">
      <c r="J133497"/>
    </row>
    <row r="133498" spans="10:10" x14ac:dyDescent="0.3">
      <c r="J133498"/>
    </row>
    <row r="133499" spans="10:10" x14ac:dyDescent="0.3">
      <c r="J133499"/>
    </row>
    <row r="133500" spans="10:10" x14ac:dyDescent="0.3">
      <c r="J133500"/>
    </row>
    <row r="133501" spans="10:10" x14ac:dyDescent="0.3">
      <c r="J133501"/>
    </row>
    <row r="133502" spans="10:10" x14ac:dyDescent="0.3">
      <c r="J133502"/>
    </row>
    <row r="133503" spans="10:10" x14ac:dyDescent="0.3">
      <c r="J133503"/>
    </row>
    <row r="133504" spans="10:10" x14ac:dyDescent="0.3">
      <c r="J133504"/>
    </row>
    <row r="133505" spans="10:10" x14ac:dyDescent="0.3">
      <c r="J133505"/>
    </row>
    <row r="133506" spans="10:10" x14ac:dyDescent="0.3">
      <c r="J133506"/>
    </row>
    <row r="133507" spans="10:10" x14ac:dyDescent="0.3">
      <c r="J133507"/>
    </row>
    <row r="133508" spans="10:10" x14ac:dyDescent="0.3">
      <c r="J133508"/>
    </row>
    <row r="133509" spans="10:10" x14ac:dyDescent="0.3">
      <c r="J133509"/>
    </row>
    <row r="133510" spans="10:10" x14ac:dyDescent="0.3">
      <c r="J133510"/>
    </row>
    <row r="133511" spans="10:10" x14ac:dyDescent="0.3">
      <c r="J133511"/>
    </row>
    <row r="133512" spans="10:10" x14ac:dyDescent="0.3">
      <c r="J133512"/>
    </row>
    <row r="133513" spans="10:10" x14ac:dyDescent="0.3">
      <c r="J133513"/>
    </row>
    <row r="133514" spans="10:10" x14ac:dyDescent="0.3">
      <c r="J133514"/>
    </row>
    <row r="133515" spans="10:10" x14ac:dyDescent="0.3">
      <c r="J133515"/>
    </row>
    <row r="133516" spans="10:10" x14ac:dyDescent="0.3">
      <c r="J133516"/>
    </row>
    <row r="133517" spans="10:10" x14ac:dyDescent="0.3">
      <c r="J133517"/>
    </row>
    <row r="133518" spans="10:10" x14ac:dyDescent="0.3">
      <c r="J133518"/>
    </row>
    <row r="133519" spans="10:10" x14ac:dyDescent="0.3">
      <c r="J133519"/>
    </row>
    <row r="133520" spans="10:10" x14ac:dyDescent="0.3">
      <c r="J133520"/>
    </row>
    <row r="133521" spans="10:10" x14ac:dyDescent="0.3">
      <c r="J133521"/>
    </row>
    <row r="133522" spans="10:10" x14ac:dyDescent="0.3">
      <c r="J133522"/>
    </row>
    <row r="133523" spans="10:10" x14ac:dyDescent="0.3">
      <c r="J133523"/>
    </row>
    <row r="133524" spans="10:10" x14ac:dyDescent="0.3">
      <c r="J133524"/>
    </row>
    <row r="133525" spans="10:10" x14ac:dyDescent="0.3">
      <c r="J133525"/>
    </row>
    <row r="133526" spans="10:10" x14ac:dyDescent="0.3">
      <c r="J133526"/>
    </row>
    <row r="133527" spans="10:10" x14ac:dyDescent="0.3">
      <c r="J133527"/>
    </row>
    <row r="133528" spans="10:10" x14ac:dyDescent="0.3">
      <c r="J133528"/>
    </row>
    <row r="133529" spans="10:10" x14ac:dyDescent="0.3">
      <c r="J133529"/>
    </row>
    <row r="133530" spans="10:10" x14ac:dyDescent="0.3">
      <c r="J133530"/>
    </row>
    <row r="133531" spans="10:10" x14ac:dyDescent="0.3">
      <c r="J133531"/>
    </row>
    <row r="133532" spans="10:10" x14ac:dyDescent="0.3">
      <c r="J133532"/>
    </row>
    <row r="133533" spans="10:10" x14ac:dyDescent="0.3">
      <c r="J133533"/>
    </row>
    <row r="133534" spans="10:10" x14ac:dyDescent="0.3">
      <c r="J133534"/>
    </row>
    <row r="133535" spans="10:10" x14ac:dyDescent="0.3">
      <c r="J133535"/>
    </row>
    <row r="133536" spans="10:10" x14ac:dyDescent="0.3">
      <c r="J133536"/>
    </row>
    <row r="133537" spans="10:10" x14ac:dyDescent="0.3">
      <c r="J133537"/>
    </row>
    <row r="133538" spans="10:10" x14ac:dyDescent="0.3">
      <c r="J133538"/>
    </row>
    <row r="133539" spans="10:10" x14ac:dyDescent="0.3">
      <c r="J133539"/>
    </row>
    <row r="133540" spans="10:10" x14ac:dyDescent="0.3">
      <c r="J133540"/>
    </row>
    <row r="133541" spans="10:10" x14ac:dyDescent="0.3">
      <c r="J133541"/>
    </row>
    <row r="133542" spans="10:10" x14ac:dyDescent="0.3">
      <c r="J133542"/>
    </row>
    <row r="133543" spans="10:10" x14ac:dyDescent="0.3">
      <c r="J133543"/>
    </row>
    <row r="133544" spans="10:10" x14ac:dyDescent="0.3">
      <c r="J133544"/>
    </row>
    <row r="133545" spans="10:10" x14ac:dyDescent="0.3">
      <c r="J133545"/>
    </row>
    <row r="133546" spans="10:10" x14ac:dyDescent="0.3">
      <c r="J133546"/>
    </row>
    <row r="133547" spans="10:10" x14ac:dyDescent="0.3">
      <c r="J133547"/>
    </row>
    <row r="133548" spans="10:10" x14ac:dyDescent="0.3">
      <c r="J133548"/>
    </row>
    <row r="133549" spans="10:10" x14ac:dyDescent="0.3">
      <c r="J133549"/>
    </row>
    <row r="133550" spans="10:10" x14ac:dyDescent="0.3">
      <c r="J133550"/>
    </row>
    <row r="133551" spans="10:10" x14ac:dyDescent="0.3">
      <c r="J133551"/>
    </row>
    <row r="133552" spans="10:10" x14ac:dyDescent="0.3">
      <c r="J133552"/>
    </row>
    <row r="133553" spans="10:10" x14ac:dyDescent="0.3">
      <c r="J133553"/>
    </row>
    <row r="133554" spans="10:10" x14ac:dyDescent="0.3">
      <c r="J133554"/>
    </row>
    <row r="133555" spans="10:10" x14ac:dyDescent="0.3">
      <c r="J133555"/>
    </row>
    <row r="133556" spans="10:10" x14ac:dyDescent="0.3">
      <c r="J133556"/>
    </row>
    <row r="133557" spans="10:10" x14ac:dyDescent="0.3">
      <c r="J133557"/>
    </row>
    <row r="133558" spans="10:10" x14ac:dyDescent="0.3">
      <c r="J133558"/>
    </row>
    <row r="133559" spans="10:10" x14ac:dyDescent="0.3">
      <c r="J133559"/>
    </row>
    <row r="133560" spans="10:10" x14ac:dyDescent="0.3">
      <c r="J133560"/>
    </row>
    <row r="133561" spans="10:10" x14ac:dyDescent="0.3">
      <c r="J133561"/>
    </row>
    <row r="133562" spans="10:10" x14ac:dyDescent="0.3">
      <c r="J133562"/>
    </row>
    <row r="133563" spans="10:10" x14ac:dyDescent="0.3">
      <c r="J133563"/>
    </row>
    <row r="133564" spans="10:10" x14ac:dyDescent="0.3">
      <c r="J133564"/>
    </row>
    <row r="133565" spans="10:10" x14ac:dyDescent="0.3">
      <c r="J133565"/>
    </row>
    <row r="133566" spans="10:10" x14ac:dyDescent="0.3">
      <c r="J133566"/>
    </row>
    <row r="133567" spans="10:10" x14ac:dyDescent="0.3">
      <c r="J133567"/>
    </row>
    <row r="133568" spans="10:10" x14ac:dyDescent="0.3">
      <c r="J133568"/>
    </row>
    <row r="133569" spans="10:10" x14ac:dyDescent="0.3">
      <c r="J133569"/>
    </row>
    <row r="133570" spans="10:10" x14ac:dyDescent="0.3">
      <c r="J133570"/>
    </row>
    <row r="133571" spans="10:10" x14ac:dyDescent="0.3">
      <c r="J133571"/>
    </row>
    <row r="133572" spans="10:10" x14ac:dyDescent="0.3">
      <c r="J133572"/>
    </row>
    <row r="133573" spans="10:10" x14ac:dyDescent="0.3">
      <c r="J133573"/>
    </row>
    <row r="133574" spans="10:10" x14ac:dyDescent="0.3">
      <c r="J133574"/>
    </row>
    <row r="133575" spans="10:10" x14ac:dyDescent="0.3">
      <c r="J133575"/>
    </row>
    <row r="133576" spans="10:10" x14ac:dyDescent="0.3">
      <c r="J133576"/>
    </row>
    <row r="133577" spans="10:10" x14ac:dyDescent="0.3">
      <c r="J133577"/>
    </row>
    <row r="133578" spans="10:10" x14ac:dyDescent="0.3">
      <c r="J133578"/>
    </row>
    <row r="133579" spans="10:10" x14ac:dyDescent="0.3">
      <c r="J133579"/>
    </row>
    <row r="133580" spans="10:10" x14ac:dyDescent="0.3">
      <c r="J133580"/>
    </row>
    <row r="133581" spans="10:10" x14ac:dyDescent="0.3">
      <c r="J133581"/>
    </row>
    <row r="133582" spans="10:10" x14ac:dyDescent="0.3">
      <c r="J133582"/>
    </row>
    <row r="133583" spans="10:10" x14ac:dyDescent="0.3">
      <c r="J133583"/>
    </row>
    <row r="133584" spans="10:10" x14ac:dyDescent="0.3">
      <c r="J133584"/>
    </row>
    <row r="133585" spans="10:10" x14ac:dyDescent="0.3">
      <c r="J133585"/>
    </row>
    <row r="133586" spans="10:10" x14ac:dyDescent="0.3">
      <c r="J133586"/>
    </row>
    <row r="133587" spans="10:10" x14ac:dyDescent="0.3">
      <c r="J133587"/>
    </row>
    <row r="133588" spans="10:10" x14ac:dyDescent="0.3">
      <c r="J133588"/>
    </row>
    <row r="133589" spans="10:10" x14ac:dyDescent="0.3">
      <c r="J133589"/>
    </row>
    <row r="133590" spans="10:10" x14ac:dyDescent="0.3">
      <c r="J133590"/>
    </row>
    <row r="133591" spans="10:10" x14ac:dyDescent="0.3">
      <c r="J133591"/>
    </row>
    <row r="133592" spans="10:10" x14ac:dyDescent="0.3">
      <c r="J133592"/>
    </row>
    <row r="133593" spans="10:10" x14ac:dyDescent="0.3">
      <c r="J133593"/>
    </row>
    <row r="133594" spans="10:10" x14ac:dyDescent="0.3">
      <c r="J133594"/>
    </row>
    <row r="133595" spans="10:10" x14ac:dyDescent="0.3">
      <c r="J133595"/>
    </row>
    <row r="133596" spans="10:10" x14ac:dyDescent="0.3">
      <c r="J133596"/>
    </row>
    <row r="133597" spans="10:10" x14ac:dyDescent="0.3">
      <c r="J133597"/>
    </row>
    <row r="133598" spans="10:10" x14ac:dyDescent="0.3">
      <c r="J133598"/>
    </row>
    <row r="133599" spans="10:10" x14ac:dyDescent="0.3">
      <c r="J133599"/>
    </row>
    <row r="133600" spans="10:10" x14ac:dyDescent="0.3">
      <c r="J133600"/>
    </row>
    <row r="133601" spans="10:10" x14ac:dyDescent="0.3">
      <c r="J133601"/>
    </row>
    <row r="133602" spans="10:10" x14ac:dyDescent="0.3">
      <c r="J133602"/>
    </row>
    <row r="133603" spans="10:10" x14ac:dyDescent="0.3">
      <c r="J133603"/>
    </row>
    <row r="133604" spans="10:10" x14ac:dyDescent="0.3">
      <c r="J133604"/>
    </row>
    <row r="133605" spans="10:10" x14ac:dyDescent="0.3">
      <c r="J133605"/>
    </row>
    <row r="133606" spans="10:10" x14ac:dyDescent="0.3">
      <c r="J133606"/>
    </row>
    <row r="133607" spans="10:10" x14ac:dyDescent="0.3">
      <c r="J133607"/>
    </row>
    <row r="133608" spans="10:10" x14ac:dyDescent="0.3">
      <c r="J133608"/>
    </row>
    <row r="133609" spans="10:10" x14ac:dyDescent="0.3">
      <c r="J133609"/>
    </row>
    <row r="133610" spans="10:10" x14ac:dyDescent="0.3">
      <c r="J133610"/>
    </row>
    <row r="133611" spans="10:10" x14ac:dyDescent="0.3">
      <c r="J133611"/>
    </row>
    <row r="133612" spans="10:10" x14ac:dyDescent="0.3">
      <c r="J133612"/>
    </row>
    <row r="133613" spans="10:10" x14ac:dyDescent="0.3">
      <c r="J133613"/>
    </row>
    <row r="133614" spans="10:10" x14ac:dyDescent="0.3">
      <c r="J133614"/>
    </row>
    <row r="133615" spans="10:10" x14ac:dyDescent="0.3">
      <c r="J133615"/>
    </row>
    <row r="133616" spans="10:10" x14ac:dyDescent="0.3">
      <c r="J133616"/>
    </row>
    <row r="133617" spans="10:10" x14ac:dyDescent="0.3">
      <c r="J133617"/>
    </row>
    <row r="133618" spans="10:10" x14ac:dyDescent="0.3">
      <c r="J133618"/>
    </row>
    <row r="133619" spans="10:10" x14ac:dyDescent="0.3">
      <c r="J133619"/>
    </row>
    <row r="133620" spans="10:10" x14ac:dyDescent="0.3">
      <c r="J133620"/>
    </row>
    <row r="133621" spans="10:10" x14ac:dyDescent="0.3">
      <c r="J133621"/>
    </row>
    <row r="133622" spans="10:10" x14ac:dyDescent="0.3">
      <c r="J133622"/>
    </row>
    <row r="133623" spans="10:10" x14ac:dyDescent="0.3">
      <c r="J133623"/>
    </row>
    <row r="133624" spans="10:10" x14ac:dyDescent="0.3">
      <c r="J133624"/>
    </row>
    <row r="133625" spans="10:10" x14ac:dyDescent="0.3">
      <c r="J133625"/>
    </row>
    <row r="133626" spans="10:10" x14ac:dyDescent="0.3">
      <c r="J133626"/>
    </row>
    <row r="133627" spans="10:10" x14ac:dyDescent="0.3">
      <c r="J133627"/>
    </row>
    <row r="133628" spans="10:10" x14ac:dyDescent="0.3">
      <c r="J133628"/>
    </row>
    <row r="133629" spans="10:10" x14ac:dyDescent="0.3">
      <c r="J133629"/>
    </row>
    <row r="133630" spans="10:10" x14ac:dyDescent="0.3">
      <c r="J133630"/>
    </row>
    <row r="133631" spans="10:10" x14ac:dyDescent="0.3">
      <c r="J133631"/>
    </row>
    <row r="133632" spans="10:10" x14ac:dyDescent="0.3">
      <c r="J133632"/>
    </row>
    <row r="133633" spans="10:10" x14ac:dyDescent="0.3">
      <c r="J133633"/>
    </row>
    <row r="133634" spans="10:10" x14ac:dyDescent="0.3">
      <c r="J133634"/>
    </row>
    <row r="133635" spans="10:10" x14ac:dyDescent="0.3">
      <c r="J133635"/>
    </row>
    <row r="133636" spans="10:10" x14ac:dyDescent="0.3">
      <c r="J133636"/>
    </row>
    <row r="133637" spans="10:10" x14ac:dyDescent="0.3">
      <c r="J133637"/>
    </row>
    <row r="133638" spans="10:10" x14ac:dyDescent="0.3">
      <c r="J133638"/>
    </row>
    <row r="133639" spans="10:10" x14ac:dyDescent="0.3">
      <c r="J133639"/>
    </row>
    <row r="133640" spans="10:10" x14ac:dyDescent="0.3">
      <c r="J133640"/>
    </row>
    <row r="133641" spans="10:10" x14ac:dyDescent="0.3">
      <c r="J133641"/>
    </row>
    <row r="133642" spans="10:10" x14ac:dyDescent="0.3">
      <c r="J133642"/>
    </row>
    <row r="133643" spans="10:10" x14ac:dyDescent="0.3">
      <c r="J133643"/>
    </row>
    <row r="133644" spans="10:10" x14ac:dyDescent="0.3">
      <c r="J133644"/>
    </row>
    <row r="133645" spans="10:10" x14ac:dyDescent="0.3">
      <c r="J133645"/>
    </row>
    <row r="133646" spans="10:10" x14ac:dyDescent="0.3">
      <c r="J133646"/>
    </row>
    <row r="133647" spans="10:10" x14ac:dyDescent="0.3">
      <c r="J133647"/>
    </row>
    <row r="133648" spans="10:10" x14ac:dyDescent="0.3">
      <c r="J133648"/>
    </row>
    <row r="133649" spans="10:10" x14ac:dyDescent="0.3">
      <c r="J133649"/>
    </row>
    <row r="133650" spans="10:10" x14ac:dyDescent="0.3">
      <c r="J133650"/>
    </row>
    <row r="133651" spans="10:10" x14ac:dyDescent="0.3">
      <c r="J133651"/>
    </row>
    <row r="133652" spans="10:10" x14ac:dyDescent="0.3">
      <c r="J133652"/>
    </row>
    <row r="133653" spans="10:10" x14ac:dyDescent="0.3">
      <c r="J133653"/>
    </row>
    <row r="133654" spans="10:10" x14ac:dyDescent="0.3">
      <c r="J133654"/>
    </row>
    <row r="133655" spans="10:10" x14ac:dyDescent="0.3">
      <c r="J133655"/>
    </row>
    <row r="133656" spans="10:10" x14ac:dyDescent="0.3">
      <c r="J133656"/>
    </row>
    <row r="133657" spans="10:10" x14ac:dyDescent="0.3">
      <c r="J133657"/>
    </row>
    <row r="133658" spans="10:10" x14ac:dyDescent="0.3">
      <c r="J133658"/>
    </row>
    <row r="133659" spans="10:10" x14ac:dyDescent="0.3">
      <c r="J133659"/>
    </row>
    <row r="133660" spans="10:10" x14ac:dyDescent="0.3">
      <c r="J133660"/>
    </row>
    <row r="133661" spans="10:10" x14ac:dyDescent="0.3">
      <c r="J133661"/>
    </row>
    <row r="133662" spans="10:10" x14ac:dyDescent="0.3">
      <c r="J133662"/>
    </row>
    <row r="133663" spans="10:10" x14ac:dyDescent="0.3">
      <c r="J133663"/>
    </row>
    <row r="133664" spans="10:10" x14ac:dyDescent="0.3">
      <c r="J133664"/>
    </row>
    <row r="133665" spans="10:10" x14ac:dyDescent="0.3">
      <c r="J133665"/>
    </row>
    <row r="133666" spans="10:10" x14ac:dyDescent="0.3">
      <c r="J133666"/>
    </row>
    <row r="133667" spans="10:10" x14ac:dyDescent="0.3">
      <c r="J133667"/>
    </row>
    <row r="133668" spans="10:10" x14ac:dyDescent="0.3">
      <c r="J133668"/>
    </row>
    <row r="133669" spans="10:10" x14ac:dyDescent="0.3">
      <c r="J133669"/>
    </row>
    <row r="133670" spans="10:10" x14ac:dyDescent="0.3">
      <c r="J133670"/>
    </row>
    <row r="133671" spans="10:10" x14ac:dyDescent="0.3">
      <c r="J133671"/>
    </row>
    <row r="133672" spans="10:10" x14ac:dyDescent="0.3">
      <c r="J133672"/>
    </row>
    <row r="133673" spans="10:10" x14ac:dyDescent="0.3">
      <c r="J133673"/>
    </row>
    <row r="133674" spans="10:10" x14ac:dyDescent="0.3">
      <c r="J133674"/>
    </row>
    <row r="133675" spans="10:10" x14ac:dyDescent="0.3">
      <c r="J133675"/>
    </row>
    <row r="133676" spans="10:10" x14ac:dyDescent="0.3">
      <c r="J133676"/>
    </row>
    <row r="133677" spans="10:10" x14ac:dyDescent="0.3">
      <c r="J133677"/>
    </row>
    <row r="133678" spans="10:10" x14ac:dyDescent="0.3">
      <c r="J133678"/>
    </row>
    <row r="133679" spans="10:10" x14ac:dyDescent="0.3">
      <c r="J133679"/>
    </row>
    <row r="133680" spans="10:10" x14ac:dyDescent="0.3">
      <c r="J133680"/>
    </row>
    <row r="133681" spans="10:10" x14ac:dyDescent="0.3">
      <c r="J133681"/>
    </row>
    <row r="133682" spans="10:10" x14ac:dyDescent="0.3">
      <c r="J133682"/>
    </row>
    <row r="133683" spans="10:10" x14ac:dyDescent="0.3">
      <c r="J133683"/>
    </row>
    <row r="133684" spans="10:10" x14ac:dyDescent="0.3">
      <c r="J133684"/>
    </row>
    <row r="133685" spans="10:10" x14ac:dyDescent="0.3">
      <c r="J133685"/>
    </row>
    <row r="133686" spans="10:10" x14ac:dyDescent="0.3">
      <c r="J133686"/>
    </row>
    <row r="133687" spans="10:10" x14ac:dyDescent="0.3">
      <c r="J133687"/>
    </row>
    <row r="133688" spans="10:10" x14ac:dyDescent="0.3">
      <c r="J133688"/>
    </row>
    <row r="133689" spans="10:10" x14ac:dyDescent="0.3">
      <c r="J133689"/>
    </row>
    <row r="133690" spans="10:10" x14ac:dyDescent="0.3">
      <c r="J133690"/>
    </row>
    <row r="133691" spans="10:10" x14ac:dyDescent="0.3">
      <c r="J133691"/>
    </row>
    <row r="133692" spans="10:10" x14ac:dyDescent="0.3">
      <c r="J133692"/>
    </row>
    <row r="133693" spans="10:10" x14ac:dyDescent="0.3">
      <c r="J133693"/>
    </row>
    <row r="133694" spans="10:10" x14ac:dyDescent="0.3">
      <c r="J133694"/>
    </row>
    <row r="133695" spans="10:10" x14ac:dyDescent="0.3">
      <c r="J133695"/>
    </row>
    <row r="133696" spans="10:10" x14ac:dyDescent="0.3">
      <c r="J133696"/>
    </row>
    <row r="133697" spans="10:10" x14ac:dyDescent="0.3">
      <c r="J133697"/>
    </row>
    <row r="133698" spans="10:10" x14ac:dyDescent="0.3">
      <c r="J133698"/>
    </row>
    <row r="133699" spans="10:10" x14ac:dyDescent="0.3">
      <c r="J133699"/>
    </row>
    <row r="133700" spans="10:10" x14ac:dyDescent="0.3">
      <c r="J133700"/>
    </row>
    <row r="133701" spans="10:10" x14ac:dyDescent="0.3">
      <c r="J133701"/>
    </row>
    <row r="133702" spans="10:10" x14ac:dyDescent="0.3">
      <c r="J133702"/>
    </row>
    <row r="133703" spans="10:10" x14ac:dyDescent="0.3">
      <c r="J133703"/>
    </row>
    <row r="133704" spans="10:10" x14ac:dyDescent="0.3">
      <c r="J133704"/>
    </row>
    <row r="133705" spans="10:10" x14ac:dyDescent="0.3">
      <c r="J133705"/>
    </row>
    <row r="133706" spans="10:10" x14ac:dyDescent="0.3">
      <c r="J133706"/>
    </row>
    <row r="133707" spans="10:10" x14ac:dyDescent="0.3">
      <c r="J133707"/>
    </row>
    <row r="133708" spans="10:10" x14ac:dyDescent="0.3">
      <c r="J133708"/>
    </row>
    <row r="133709" spans="10:10" x14ac:dyDescent="0.3">
      <c r="J133709"/>
    </row>
    <row r="133710" spans="10:10" x14ac:dyDescent="0.3">
      <c r="J133710"/>
    </row>
    <row r="133711" spans="10:10" x14ac:dyDescent="0.3">
      <c r="J133711"/>
    </row>
    <row r="133712" spans="10:10" x14ac:dyDescent="0.3">
      <c r="J133712"/>
    </row>
    <row r="133713" spans="10:10" x14ac:dyDescent="0.3">
      <c r="J133713"/>
    </row>
    <row r="133714" spans="10:10" x14ac:dyDescent="0.3">
      <c r="J133714"/>
    </row>
    <row r="133715" spans="10:10" x14ac:dyDescent="0.3">
      <c r="J133715"/>
    </row>
    <row r="133716" spans="10:10" x14ac:dyDescent="0.3">
      <c r="J133716"/>
    </row>
    <row r="133717" spans="10:10" x14ac:dyDescent="0.3">
      <c r="J133717"/>
    </row>
    <row r="133718" spans="10:10" x14ac:dyDescent="0.3">
      <c r="J133718"/>
    </row>
    <row r="133719" spans="10:10" x14ac:dyDescent="0.3">
      <c r="J133719"/>
    </row>
    <row r="133720" spans="10:10" x14ac:dyDescent="0.3">
      <c r="J133720"/>
    </row>
    <row r="133721" spans="10:10" x14ac:dyDescent="0.3">
      <c r="J133721"/>
    </row>
    <row r="133722" spans="10:10" x14ac:dyDescent="0.3">
      <c r="J133722"/>
    </row>
    <row r="133723" spans="10:10" x14ac:dyDescent="0.3">
      <c r="J133723"/>
    </row>
    <row r="133724" spans="10:10" x14ac:dyDescent="0.3">
      <c r="J133724"/>
    </row>
    <row r="133725" spans="10:10" x14ac:dyDescent="0.3">
      <c r="J133725"/>
    </row>
    <row r="133726" spans="10:10" x14ac:dyDescent="0.3">
      <c r="J133726"/>
    </row>
    <row r="133727" spans="10:10" x14ac:dyDescent="0.3">
      <c r="J133727"/>
    </row>
    <row r="133728" spans="10:10" x14ac:dyDescent="0.3">
      <c r="J133728"/>
    </row>
    <row r="133729" spans="10:10" x14ac:dyDescent="0.3">
      <c r="J133729"/>
    </row>
    <row r="133730" spans="10:10" x14ac:dyDescent="0.3">
      <c r="J133730"/>
    </row>
    <row r="133731" spans="10:10" x14ac:dyDescent="0.3">
      <c r="J133731"/>
    </row>
    <row r="133732" spans="10:10" x14ac:dyDescent="0.3">
      <c r="J133732"/>
    </row>
    <row r="133733" spans="10:10" x14ac:dyDescent="0.3">
      <c r="J133733"/>
    </row>
    <row r="133734" spans="10:10" x14ac:dyDescent="0.3">
      <c r="J133734"/>
    </row>
    <row r="133735" spans="10:10" x14ac:dyDescent="0.3">
      <c r="J133735"/>
    </row>
    <row r="133736" spans="10:10" x14ac:dyDescent="0.3">
      <c r="J133736"/>
    </row>
    <row r="133737" spans="10:10" x14ac:dyDescent="0.3">
      <c r="J133737"/>
    </row>
    <row r="133738" spans="10:10" x14ac:dyDescent="0.3">
      <c r="J133738"/>
    </row>
    <row r="133739" spans="10:10" x14ac:dyDescent="0.3">
      <c r="J133739"/>
    </row>
    <row r="133740" spans="10:10" x14ac:dyDescent="0.3">
      <c r="J133740"/>
    </row>
    <row r="133741" spans="10:10" x14ac:dyDescent="0.3">
      <c r="J133741"/>
    </row>
    <row r="133742" spans="10:10" x14ac:dyDescent="0.3">
      <c r="J133742"/>
    </row>
    <row r="133743" spans="10:10" x14ac:dyDescent="0.3">
      <c r="J133743"/>
    </row>
    <row r="133744" spans="10:10" x14ac:dyDescent="0.3">
      <c r="J133744"/>
    </row>
    <row r="133745" spans="10:10" x14ac:dyDescent="0.3">
      <c r="J133745"/>
    </row>
    <row r="133746" spans="10:10" x14ac:dyDescent="0.3">
      <c r="J133746"/>
    </row>
    <row r="133747" spans="10:10" x14ac:dyDescent="0.3">
      <c r="J133747"/>
    </row>
    <row r="133748" spans="10:10" x14ac:dyDescent="0.3">
      <c r="J133748"/>
    </row>
    <row r="133749" spans="10:10" x14ac:dyDescent="0.3">
      <c r="J133749"/>
    </row>
    <row r="133750" spans="10:10" x14ac:dyDescent="0.3">
      <c r="J133750"/>
    </row>
    <row r="133751" spans="10:10" x14ac:dyDescent="0.3">
      <c r="J133751"/>
    </row>
    <row r="133752" spans="10:10" x14ac:dyDescent="0.3">
      <c r="J133752"/>
    </row>
    <row r="133753" spans="10:10" x14ac:dyDescent="0.3">
      <c r="J133753"/>
    </row>
    <row r="133754" spans="10:10" x14ac:dyDescent="0.3">
      <c r="J133754"/>
    </row>
    <row r="133755" spans="10:10" x14ac:dyDescent="0.3">
      <c r="J133755"/>
    </row>
    <row r="133756" spans="10:10" x14ac:dyDescent="0.3">
      <c r="J133756"/>
    </row>
    <row r="133757" spans="10:10" x14ac:dyDescent="0.3">
      <c r="J133757"/>
    </row>
    <row r="133758" spans="10:10" x14ac:dyDescent="0.3">
      <c r="J133758"/>
    </row>
    <row r="133759" spans="10:10" x14ac:dyDescent="0.3">
      <c r="J133759"/>
    </row>
    <row r="133760" spans="10:10" x14ac:dyDescent="0.3">
      <c r="J133760"/>
    </row>
    <row r="133761" spans="10:10" x14ac:dyDescent="0.3">
      <c r="J133761"/>
    </row>
    <row r="133762" spans="10:10" x14ac:dyDescent="0.3">
      <c r="J133762"/>
    </row>
    <row r="133763" spans="10:10" x14ac:dyDescent="0.3">
      <c r="J133763"/>
    </row>
    <row r="133764" spans="10:10" x14ac:dyDescent="0.3">
      <c r="J133764"/>
    </row>
    <row r="133765" spans="10:10" x14ac:dyDescent="0.3">
      <c r="J133765"/>
    </row>
    <row r="133766" spans="10:10" x14ac:dyDescent="0.3">
      <c r="J133766"/>
    </row>
    <row r="133767" spans="10:10" x14ac:dyDescent="0.3">
      <c r="J133767"/>
    </row>
    <row r="133768" spans="10:10" x14ac:dyDescent="0.3">
      <c r="J133768"/>
    </row>
    <row r="133769" spans="10:10" x14ac:dyDescent="0.3">
      <c r="J133769"/>
    </row>
    <row r="133770" spans="10:10" x14ac:dyDescent="0.3">
      <c r="J133770"/>
    </row>
    <row r="133771" spans="10:10" x14ac:dyDescent="0.3">
      <c r="J133771"/>
    </row>
    <row r="133772" spans="10:10" x14ac:dyDescent="0.3">
      <c r="J133772"/>
    </row>
    <row r="133773" spans="10:10" x14ac:dyDescent="0.3">
      <c r="J133773"/>
    </row>
    <row r="133774" spans="10:10" x14ac:dyDescent="0.3">
      <c r="J133774"/>
    </row>
    <row r="133775" spans="10:10" x14ac:dyDescent="0.3">
      <c r="J133775"/>
    </row>
    <row r="133776" spans="10:10" x14ac:dyDescent="0.3">
      <c r="J133776"/>
    </row>
    <row r="133777" spans="10:10" x14ac:dyDescent="0.3">
      <c r="J133777"/>
    </row>
    <row r="133778" spans="10:10" x14ac:dyDescent="0.3">
      <c r="J133778"/>
    </row>
    <row r="133779" spans="10:10" x14ac:dyDescent="0.3">
      <c r="J133779"/>
    </row>
    <row r="133780" spans="10:10" x14ac:dyDescent="0.3">
      <c r="J133780"/>
    </row>
    <row r="133781" spans="10:10" x14ac:dyDescent="0.3">
      <c r="J133781"/>
    </row>
    <row r="133782" spans="10:10" x14ac:dyDescent="0.3">
      <c r="J133782"/>
    </row>
    <row r="133783" spans="10:10" x14ac:dyDescent="0.3">
      <c r="J133783"/>
    </row>
    <row r="133784" spans="10:10" x14ac:dyDescent="0.3">
      <c r="J133784"/>
    </row>
    <row r="133785" spans="10:10" x14ac:dyDescent="0.3">
      <c r="J133785"/>
    </row>
    <row r="133786" spans="10:10" x14ac:dyDescent="0.3">
      <c r="J133786"/>
    </row>
    <row r="133787" spans="10:10" x14ac:dyDescent="0.3">
      <c r="J133787"/>
    </row>
    <row r="133788" spans="10:10" x14ac:dyDescent="0.3">
      <c r="J133788"/>
    </row>
    <row r="133789" spans="10:10" x14ac:dyDescent="0.3">
      <c r="J133789"/>
    </row>
    <row r="133790" spans="10:10" x14ac:dyDescent="0.3">
      <c r="J133790"/>
    </row>
    <row r="133791" spans="10:10" x14ac:dyDescent="0.3">
      <c r="J133791"/>
    </row>
    <row r="133792" spans="10:10" x14ac:dyDescent="0.3">
      <c r="J133792"/>
    </row>
    <row r="133793" spans="10:10" x14ac:dyDescent="0.3">
      <c r="J133793"/>
    </row>
    <row r="133794" spans="10:10" x14ac:dyDescent="0.3">
      <c r="J133794"/>
    </row>
    <row r="133795" spans="10:10" x14ac:dyDescent="0.3">
      <c r="J133795"/>
    </row>
    <row r="133796" spans="10:10" x14ac:dyDescent="0.3">
      <c r="J133796"/>
    </row>
    <row r="133797" spans="10:10" x14ac:dyDescent="0.3">
      <c r="J133797"/>
    </row>
    <row r="133798" spans="10:10" x14ac:dyDescent="0.3">
      <c r="J133798"/>
    </row>
    <row r="133799" spans="10:10" x14ac:dyDescent="0.3">
      <c r="J133799"/>
    </row>
    <row r="133800" spans="10:10" x14ac:dyDescent="0.3">
      <c r="J133800"/>
    </row>
    <row r="133801" spans="10:10" x14ac:dyDescent="0.3">
      <c r="J133801"/>
    </row>
    <row r="133802" spans="10:10" x14ac:dyDescent="0.3">
      <c r="J133802"/>
    </row>
    <row r="133803" spans="10:10" x14ac:dyDescent="0.3">
      <c r="J133803"/>
    </row>
    <row r="133804" spans="10:10" x14ac:dyDescent="0.3">
      <c r="J133804"/>
    </row>
    <row r="133805" spans="10:10" x14ac:dyDescent="0.3">
      <c r="J133805"/>
    </row>
    <row r="133806" spans="10:10" x14ac:dyDescent="0.3">
      <c r="J133806"/>
    </row>
    <row r="133807" spans="10:10" x14ac:dyDescent="0.3">
      <c r="J133807"/>
    </row>
    <row r="133808" spans="10:10" x14ac:dyDescent="0.3">
      <c r="J133808"/>
    </row>
    <row r="133809" spans="10:10" x14ac:dyDescent="0.3">
      <c r="J133809"/>
    </row>
    <row r="133810" spans="10:10" x14ac:dyDescent="0.3">
      <c r="J133810"/>
    </row>
    <row r="133811" spans="10:10" x14ac:dyDescent="0.3">
      <c r="J133811"/>
    </row>
    <row r="133812" spans="10:10" x14ac:dyDescent="0.3">
      <c r="J133812"/>
    </row>
    <row r="133813" spans="10:10" x14ac:dyDescent="0.3">
      <c r="J133813"/>
    </row>
    <row r="133814" spans="10:10" x14ac:dyDescent="0.3">
      <c r="J133814"/>
    </row>
    <row r="133815" spans="10:10" x14ac:dyDescent="0.3">
      <c r="J133815"/>
    </row>
    <row r="133816" spans="10:10" x14ac:dyDescent="0.3">
      <c r="J133816"/>
    </row>
    <row r="133817" spans="10:10" x14ac:dyDescent="0.3">
      <c r="J133817"/>
    </row>
    <row r="133818" spans="10:10" x14ac:dyDescent="0.3">
      <c r="J133818"/>
    </row>
    <row r="133819" spans="10:10" x14ac:dyDescent="0.3">
      <c r="J133819"/>
    </row>
    <row r="133820" spans="10:10" x14ac:dyDescent="0.3">
      <c r="J133820"/>
    </row>
    <row r="133821" spans="10:10" x14ac:dyDescent="0.3">
      <c r="J133821"/>
    </row>
    <row r="133822" spans="10:10" x14ac:dyDescent="0.3">
      <c r="J133822"/>
    </row>
    <row r="133823" spans="10:10" x14ac:dyDescent="0.3">
      <c r="J133823"/>
    </row>
    <row r="133824" spans="10:10" x14ac:dyDescent="0.3">
      <c r="J133824"/>
    </row>
    <row r="133825" spans="10:10" x14ac:dyDescent="0.3">
      <c r="J133825"/>
    </row>
    <row r="133826" spans="10:10" x14ac:dyDescent="0.3">
      <c r="J133826"/>
    </row>
    <row r="133827" spans="10:10" x14ac:dyDescent="0.3">
      <c r="J133827"/>
    </row>
    <row r="133828" spans="10:10" x14ac:dyDescent="0.3">
      <c r="J133828"/>
    </row>
    <row r="133829" spans="10:10" x14ac:dyDescent="0.3">
      <c r="J133829"/>
    </row>
    <row r="133830" spans="10:10" x14ac:dyDescent="0.3">
      <c r="J133830"/>
    </row>
    <row r="133831" spans="10:10" x14ac:dyDescent="0.3">
      <c r="J133831"/>
    </row>
    <row r="133832" spans="10:10" x14ac:dyDescent="0.3">
      <c r="J133832"/>
    </row>
    <row r="133833" spans="10:10" x14ac:dyDescent="0.3">
      <c r="J133833"/>
    </row>
    <row r="133834" spans="10:10" x14ac:dyDescent="0.3">
      <c r="J133834"/>
    </row>
    <row r="133835" spans="10:10" x14ac:dyDescent="0.3">
      <c r="J133835"/>
    </row>
    <row r="133836" spans="10:10" x14ac:dyDescent="0.3">
      <c r="J133836"/>
    </row>
    <row r="133837" spans="10:10" x14ac:dyDescent="0.3">
      <c r="J133837"/>
    </row>
    <row r="133838" spans="10:10" x14ac:dyDescent="0.3">
      <c r="J133838"/>
    </row>
    <row r="133839" spans="10:10" x14ac:dyDescent="0.3">
      <c r="J133839"/>
    </row>
    <row r="133840" spans="10:10" x14ac:dyDescent="0.3">
      <c r="J133840"/>
    </row>
    <row r="133841" spans="10:10" x14ac:dyDescent="0.3">
      <c r="J133841"/>
    </row>
    <row r="133842" spans="10:10" x14ac:dyDescent="0.3">
      <c r="J133842"/>
    </row>
    <row r="133843" spans="10:10" x14ac:dyDescent="0.3">
      <c r="J133843"/>
    </row>
    <row r="133844" spans="10:10" x14ac:dyDescent="0.3">
      <c r="J133844"/>
    </row>
    <row r="133845" spans="10:10" x14ac:dyDescent="0.3">
      <c r="J133845"/>
    </row>
    <row r="133846" spans="10:10" x14ac:dyDescent="0.3">
      <c r="J133846"/>
    </row>
    <row r="133847" spans="10:10" x14ac:dyDescent="0.3">
      <c r="J133847"/>
    </row>
    <row r="133848" spans="10:10" x14ac:dyDescent="0.3">
      <c r="J133848"/>
    </row>
    <row r="133849" spans="10:10" x14ac:dyDescent="0.3">
      <c r="J133849"/>
    </row>
    <row r="133850" spans="10:10" x14ac:dyDescent="0.3">
      <c r="J133850"/>
    </row>
    <row r="133851" spans="10:10" x14ac:dyDescent="0.3">
      <c r="J133851"/>
    </row>
    <row r="133852" spans="10:10" x14ac:dyDescent="0.3">
      <c r="J133852"/>
    </row>
    <row r="133853" spans="10:10" x14ac:dyDescent="0.3">
      <c r="J133853"/>
    </row>
    <row r="133854" spans="10:10" x14ac:dyDescent="0.3">
      <c r="J133854"/>
    </row>
    <row r="133855" spans="10:10" x14ac:dyDescent="0.3">
      <c r="J133855"/>
    </row>
    <row r="133856" spans="10:10" x14ac:dyDescent="0.3">
      <c r="J133856"/>
    </row>
    <row r="133857" spans="10:10" x14ac:dyDescent="0.3">
      <c r="J133857"/>
    </row>
    <row r="133858" spans="10:10" x14ac:dyDescent="0.3">
      <c r="J133858"/>
    </row>
    <row r="133859" spans="10:10" x14ac:dyDescent="0.3">
      <c r="J133859"/>
    </row>
    <row r="133860" spans="10:10" x14ac:dyDescent="0.3">
      <c r="J133860"/>
    </row>
    <row r="133861" spans="10:10" x14ac:dyDescent="0.3">
      <c r="J133861"/>
    </row>
    <row r="133862" spans="10:10" x14ac:dyDescent="0.3">
      <c r="J133862"/>
    </row>
    <row r="133863" spans="10:10" x14ac:dyDescent="0.3">
      <c r="J133863"/>
    </row>
    <row r="133864" spans="10:10" x14ac:dyDescent="0.3">
      <c r="J133864"/>
    </row>
    <row r="133865" spans="10:10" x14ac:dyDescent="0.3">
      <c r="J133865"/>
    </row>
    <row r="133866" spans="10:10" x14ac:dyDescent="0.3">
      <c r="J133866"/>
    </row>
    <row r="133867" spans="10:10" x14ac:dyDescent="0.3">
      <c r="J133867"/>
    </row>
    <row r="133868" spans="10:10" x14ac:dyDescent="0.3">
      <c r="J133868"/>
    </row>
    <row r="133869" spans="10:10" x14ac:dyDescent="0.3">
      <c r="J133869"/>
    </row>
    <row r="133870" spans="10:10" x14ac:dyDescent="0.3">
      <c r="J133870"/>
    </row>
    <row r="133871" spans="10:10" x14ac:dyDescent="0.3">
      <c r="J133871"/>
    </row>
    <row r="133872" spans="10:10" x14ac:dyDescent="0.3">
      <c r="J133872"/>
    </row>
    <row r="133873" spans="10:10" x14ac:dyDescent="0.3">
      <c r="J133873"/>
    </row>
    <row r="133874" spans="10:10" x14ac:dyDescent="0.3">
      <c r="J133874"/>
    </row>
    <row r="133875" spans="10:10" x14ac:dyDescent="0.3">
      <c r="J133875"/>
    </row>
    <row r="133876" spans="10:10" x14ac:dyDescent="0.3">
      <c r="J133876"/>
    </row>
    <row r="133877" spans="10:10" x14ac:dyDescent="0.3">
      <c r="J133877"/>
    </row>
    <row r="133878" spans="10:10" x14ac:dyDescent="0.3">
      <c r="J133878"/>
    </row>
    <row r="133879" spans="10:10" x14ac:dyDescent="0.3">
      <c r="J133879"/>
    </row>
    <row r="133880" spans="10:10" x14ac:dyDescent="0.3">
      <c r="J133880"/>
    </row>
    <row r="133881" spans="10:10" x14ac:dyDescent="0.3">
      <c r="J133881"/>
    </row>
    <row r="133882" spans="10:10" x14ac:dyDescent="0.3">
      <c r="J133882"/>
    </row>
    <row r="133883" spans="10:10" x14ac:dyDescent="0.3">
      <c r="J133883"/>
    </row>
    <row r="133884" spans="10:10" x14ac:dyDescent="0.3">
      <c r="J133884"/>
    </row>
    <row r="133885" spans="10:10" x14ac:dyDescent="0.3">
      <c r="J133885"/>
    </row>
    <row r="133886" spans="10:10" x14ac:dyDescent="0.3">
      <c r="J133886"/>
    </row>
    <row r="133887" spans="10:10" x14ac:dyDescent="0.3">
      <c r="J133887"/>
    </row>
    <row r="133888" spans="10:10" x14ac:dyDescent="0.3">
      <c r="J133888"/>
    </row>
    <row r="133889" spans="10:10" x14ac:dyDescent="0.3">
      <c r="J133889"/>
    </row>
    <row r="133890" spans="10:10" x14ac:dyDescent="0.3">
      <c r="J133890"/>
    </row>
    <row r="133891" spans="10:10" x14ac:dyDescent="0.3">
      <c r="J133891"/>
    </row>
    <row r="133892" spans="10:10" x14ac:dyDescent="0.3">
      <c r="J133892"/>
    </row>
    <row r="133893" spans="10:10" x14ac:dyDescent="0.3">
      <c r="J133893"/>
    </row>
    <row r="133894" spans="10:10" x14ac:dyDescent="0.3">
      <c r="J133894"/>
    </row>
    <row r="133895" spans="10:10" x14ac:dyDescent="0.3">
      <c r="J133895"/>
    </row>
    <row r="133896" spans="10:10" x14ac:dyDescent="0.3">
      <c r="J133896"/>
    </row>
    <row r="133897" spans="10:10" x14ac:dyDescent="0.3">
      <c r="J133897"/>
    </row>
    <row r="133898" spans="10:10" x14ac:dyDescent="0.3">
      <c r="J133898"/>
    </row>
    <row r="133899" spans="10:10" x14ac:dyDescent="0.3">
      <c r="J133899"/>
    </row>
    <row r="133900" spans="10:10" x14ac:dyDescent="0.3">
      <c r="J133900"/>
    </row>
    <row r="133901" spans="10:10" x14ac:dyDescent="0.3">
      <c r="J133901"/>
    </row>
    <row r="133902" spans="10:10" x14ac:dyDescent="0.3">
      <c r="J133902"/>
    </row>
    <row r="133903" spans="10:10" x14ac:dyDescent="0.3">
      <c r="J133903"/>
    </row>
    <row r="133904" spans="10:10" x14ac:dyDescent="0.3">
      <c r="J133904"/>
    </row>
    <row r="133905" spans="10:10" x14ac:dyDescent="0.3">
      <c r="J133905"/>
    </row>
    <row r="133906" spans="10:10" x14ac:dyDescent="0.3">
      <c r="J133906"/>
    </row>
    <row r="133907" spans="10:10" x14ac:dyDescent="0.3">
      <c r="J133907"/>
    </row>
    <row r="133908" spans="10:10" x14ac:dyDescent="0.3">
      <c r="J133908"/>
    </row>
    <row r="133909" spans="10:10" x14ac:dyDescent="0.3">
      <c r="J133909"/>
    </row>
    <row r="133910" spans="10:10" x14ac:dyDescent="0.3">
      <c r="J133910"/>
    </row>
    <row r="133911" spans="10:10" x14ac:dyDescent="0.3">
      <c r="J133911"/>
    </row>
    <row r="133912" spans="10:10" x14ac:dyDescent="0.3">
      <c r="J133912"/>
    </row>
    <row r="133913" spans="10:10" x14ac:dyDescent="0.3">
      <c r="J133913"/>
    </row>
    <row r="133914" spans="10:10" x14ac:dyDescent="0.3">
      <c r="J133914"/>
    </row>
    <row r="133915" spans="10:10" x14ac:dyDescent="0.3">
      <c r="J133915"/>
    </row>
    <row r="133916" spans="10:10" x14ac:dyDescent="0.3">
      <c r="J133916"/>
    </row>
    <row r="133917" spans="10:10" x14ac:dyDescent="0.3">
      <c r="J133917"/>
    </row>
    <row r="133918" spans="10:10" x14ac:dyDescent="0.3">
      <c r="J133918"/>
    </row>
    <row r="133919" spans="10:10" x14ac:dyDescent="0.3">
      <c r="J133919"/>
    </row>
    <row r="133920" spans="10:10" x14ac:dyDescent="0.3">
      <c r="J133920"/>
    </row>
    <row r="133921" spans="10:10" x14ac:dyDescent="0.3">
      <c r="J133921"/>
    </row>
    <row r="133922" spans="10:10" x14ac:dyDescent="0.3">
      <c r="J133922"/>
    </row>
    <row r="133923" spans="10:10" x14ac:dyDescent="0.3">
      <c r="J133923"/>
    </row>
    <row r="133924" spans="10:10" x14ac:dyDescent="0.3">
      <c r="J133924"/>
    </row>
    <row r="133925" spans="10:10" x14ac:dyDescent="0.3">
      <c r="J133925"/>
    </row>
    <row r="133926" spans="10:10" x14ac:dyDescent="0.3">
      <c r="J133926"/>
    </row>
    <row r="133927" spans="10:10" x14ac:dyDescent="0.3">
      <c r="J133927"/>
    </row>
    <row r="133928" spans="10:10" x14ac:dyDescent="0.3">
      <c r="J133928"/>
    </row>
    <row r="133929" spans="10:10" x14ac:dyDescent="0.3">
      <c r="J133929"/>
    </row>
    <row r="133930" spans="10:10" x14ac:dyDescent="0.3">
      <c r="J133930"/>
    </row>
    <row r="133931" spans="10:10" x14ac:dyDescent="0.3">
      <c r="J133931"/>
    </row>
    <row r="133932" spans="10:10" x14ac:dyDescent="0.3">
      <c r="J133932"/>
    </row>
    <row r="133933" spans="10:10" x14ac:dyDescent="0.3">
      <c r="J133933"/>
    </row>
    <row r="133934" spans="10:10" x14ac:dyDescent="0.3">
      <c r="J133934"/>
    </row>
    <row r="133935" spans="10:10" x14ac:dyDescent="0.3">
      <c r="J133935"/>
    </row>
    <row r="133936" spans="10:10" x14ac:dyDescent="0.3">
      <c r="J133936"/>
    </row>
    <row r="133937" spans="10:10" x14ac:dyDescent="0.3">
      <c r="J133937"/>
    </row>
    <row r="133938" spans="10:10" x14ac:dyDescent="0.3">
      <c r="J133938"/>
    </row>
    <row r="133939" spans="10:10" x14ac:dyDescent="0.3">
      <c r="J133939"/>
    </row>
    <row r="133940" spans="10:10" x14ac:dyDescent="0.3">
      <c r="J133940"/>
    </row>
    <row r="133941" spans="10:10" x14ac:dyDescent="0.3">
      <c r="J133941"/>
    </row>
    <row r="133942" spans="10:10" x14ac:dyDescent="0.3">
      <c r="J133942"/>
    </row>
    <row r="133943" spans="10:10" x14ac:dyDescent="0.3">
      <c r="J133943"/>
    </row>
    <row r="133944" spans="10:10" x14ac:dyDescent="0.3">
      <c r="J133944"/>
    </row>
    <row r="133945" spans="10:10" x14ac:dyDescent="0.3">
      <c r="J133945"/>
    </row>
    <row r="133946" spans="10:10" x14ac:dyDescent="0.3">
      <c r="J133946"/>
    </row>
    <row r="133947" spans="10:10" x14ac:dyDescent="0.3">
      <c r="J133947"/>
    </row>
    <row r="133948" spans="10:10" x14ac:dyDescent="0.3">
      <c r="J133948"/>
    </row>
    <row r="133949" spans="10:10" x14ac:dyDescent="0.3">
      <c r="J133949"/>
    </row>
    <row r="133950" spans="10:10" x14ac:dyDescent="0.3">
      <c r="J133950"/>
    </row>
    <row r="133951" spans="10:10" x14ac:dyDescent="0.3">
      <c r="J133951"/>
    </row>
    <row r="133952" spans="10:10" x14ac:dyDescent="0.3">
      <c r="J133952"/>
    </row>
    <row r="133953" spans="10:10" x14ac:dyDescent="0.3">
      <c r="J133953"/>
    </row>
    <row r="133954" spans="10:10" x14ac:dyDescent="0.3">
      <c r="J133954"/>
    </row>
    <row r="133955" spans="10:10" x14ac:dyDescent="0.3">
      <c r="J133955"/>
    </row>
    <row r="133956" spans="10:10" x14ac:dyDescent="0.3">
      <c r="J133956"/>
    </row>
    <row r="133957" spans="10:10" x14ac:dyDescent="0.3">
      <c r="J133957"/>
    </row>
    <row r="133958" spans="10:10" x14ac:dyDescent="0.3">
      <c r="J133958"/>
    </row>
    <row r="133959" spans="10:10" x14ac:dyDescent="0.3">
      <c r="J133959"/>
    </row>
    <row r="133960" spans="10:10" x14ac:dyDescent="0.3">
      <c r="J133960"/>
    </row>
    <row r="133961" spans="10:10" x14ac:dyDescent="0.3">
      <c r="J133961"/>
    </row>
    <row r="133962" spans="10:10" x14ac:dyDescent="0.3">
      <c r="J133962"/>
    </row>
    <row r="133963" spans="10:10" x14ac:dyDescent="0.3">
      <c r="J133963"/>
    </row>
    <row r="133964" spans="10:10" x14ac:dyDescent="0.3">
      <c r="J133964"/>
    </row>
    <row r="133965" spans="10:10" x14ac:dyDescent="0.3">
      <c r="J133965"/>
    </row>
    <row r="133966" spans="10:10" x14ac:dyDescent="0.3">
      <c r="J133966"/>
    </row>
    <row r="133967" spans="10:10" x14ac:dyDescent="0.3">
      <c r="J133967"/>
    </row>
    <row r="133968" spans="10:10" x14ac:dyDescent="0.3">
      <c r="J133968"/>
    </row>
    <row r="133969" spans="10:10" x14ac:dyDescent="0.3">
      <c r="J133969"/>
    </row>
    <row r="133970" spans="10:10" x14ac:dyDescent="0.3">
      <c r="J133970"/>
    </row>
    <row r="133971" spans="10:10" x14ac:dyDescent="0.3">
      <c r="J133971"/>
    </row>
    <row r="133972" spans="10:10" x14ac:dyDescent="0.3">
      <c r="J133972"/>
    </row>
    <row r="133973" spans="10:10" x14ac:dyDescent="0.3">
      <c r="J133973"/>
    </row>
    <row r="133974" spans="10:10" x14ac:dyDescent="0.3">
      <c r="J133974"/>
    </row>
    <row r="133975" spans="10:10" x14ac:dyDescent="0.3">
      <c r="J133975"/>
    </row>
    <row r="133976" spans="10:10" x14ac:dyDescent="0.3">
      <c r="J133976"/>
    </row>
    <row r="133977" spans="10:10" x14ac:dyDescent="0.3">
      <c r="J133977"/>
    </row>
    <row r="133978" spans="10:10" x14ac:dyDescent="0.3">
      <c r="J133978"/>
    </row>
    <row r="133979" spans="10:10" x14ac:dyDescent="0.3">
      <c r="J133979"/>
    </row>
    <row r="133980" spans="10:10" x14ac:dyDescent="0.3">
      <c r="J133980"/>
    </row>
    <row r="133981" spans="10:10" x14ac:dyDescent="0.3">
      <c r="J133981"/>
    </row>
    <row r="133982" spans="10:10" x14ac:dyDescent="0.3">
      <c r="J133982"/>
    </row>
    <row r="133983" spans="10:10" x14ac:dyDescent="0.3">
      <c r="J133983"/>
    </row>
    <row r="133984" spans="10:10" x14ac:dyDescent="0.3">
      <c r="J133984"/>
    </row>
    <row r="133985" spans="10:10" x14ac:dyDescent="0.3">
      <c r="J133985"/>
    </row>
    <row r="133986" spans="10:10" x14ac:dyDescent="0.3">
      <c r="J133986"/>
    </row>
    <row r="133987" spans="10:10" x14ac:dyDescent="0.3">
      <c r="J133987"/>
    </row>
    <row r="133988" spans="10:10" x14ac:dyDescent="0.3">
      <c r="J133988"/>
    </row>
    <row r="133989" spans="10:10" x14ac:dyDescent="0.3">
      <c r="J133989"/>
    </row>
    <row r="133990" spans="10:10" x14ac:dyDescent="0.3">
      <c r="J133990"/>
    </row>
    <row r="133991" spans="10:10" x14ac:dyDescent="0.3">
      <c r="J133991"/>
    </row>
    <row r="133992" spans="10:10" x14ac:dyDescent="0.3">
      <c r="J133992"/>
    </row>
    <row r="133993" spans="10:10" x14ac:dyDescent="0.3">
      <c r="J133993"/>
    </row>
    <row r="133994" spans="10:10" x14ac:dyDescent="0.3">
      <c r="J133994"/>
    </row>
    <row r="133995" spans="10:10" x14ac:dyDescent="0.3">
      <c r="J133995"/>
    </row>
    <row r="133996" spans="10:10" x14ac:dyDescent="0.3">
      <c r="J133996"/>
    </row>
    <row r="133997" spans="10:10" x14ac:dyDescent="0.3">
      <c r="J133997"/>
    </row>
    <row r="133998" spans="10:10" x14ac:dyDescent="0.3">
      <c r="J133998"/>
    </row>
    <row r="133999" spans="10:10" x14ac:dyDescent="0.3">
      <c r="J133999"/>
    </row>
    <row r="134000" spans="10:10" x14ac:dyDescent="0.3">
      <c r="J134000"/>
    </row>
    <row r="134001" spans="10:10" x14ac:dyDescent="0.3">
      <c r="J134001"/>
    </row>
    <row r="134002" spans="10:10" x14ac:dyDescent="0.3">
      <c r="J134002"/>
    </row>
    <row r="134003" spans="10:10" x14ac:dyDescent="0.3">
      <c r="J134003"/>
    </row>
    <row r="134004" spans="10:10" x14ac:dyDescent="0.3">
      <c r="J134004"/>
    </row>
    <row r="134005" spans="10:10" x14ac:dyDescent="0.3">
      <c r="J134005"/>
    </row>
    <row r="134006" spans="10:10" x14ac:dyDescent="0.3">
      <c r="J134006"/>
    </row>
    <row r="134007" spans="10:10" x14ac:dyDescent="0.3">
      <c r="J134007"/>
    </row>
    <row r="134008" spans="10:10" x14ac:dyDescent="0.3">
      <c r="J134008"/>
    </row>
    <row r="134009" spans="10:10" x14ac:dyDescent="0.3">
      <c r="J134009"/>
    </row>
    <row r="134010" spans="10:10" x14ac:dyDescent="0.3">
      <c r="J134010"/>
    </row>
    <row r="134011" spans="10:10" x14ac:dyDescent="0.3">
      <c r="J134011"/>
    </row>
    <row r="134012" spans="10:10" x14ac:dyDescent="0.3">
      <c r="J134012"/>
    </row>
    <row r="134013" spans="10:10" x14ac:dyDescent="0.3">
      <c r="J134013"/>
    </row>
    <row r="134014" spans="10:10" x14ac:dyDescent="0.3">
      <c r="J134014"/>
    </row>
    <row r="134015" spans="10:10" x14ac:dyDescent="0.3">
      <c r="J134015"/>
    </row>
    <row r="134016" spans="10:10" x14ac:dyDescent="0.3">
      <c r="J134016"/>
    </row>
    <row r="134017" spans="10:10" x14ac:dyDescent="0.3">
      <c r="J134017"/>
    </row>
    <row r="134018" spans="10:10" x14ac:dyDescent="0.3">
      <c r="J134018"/>
    </row>
    <row r="134019" spans="10:10" x14ac:dyDescent="0.3">
      <c r="J134019"/>
    </row>
    <row r="134020" spans="10:10" x14ac:dyDescent="0.3">
      <c r="J134020"/>
    </row>
    <row r="134021" spans="10:10" x14ac:dyDescent="0.3">
      <c r="J134021"/>
    </row>
    <row r="134022" spans="10:10" x14ac:dyDescent="0.3">
      <c r="J134022"/>
    </row>
    <row r="134023" spans="10:10" x14ac:dyDescent="0.3">
      <c r="J134023"/>
    </row>
    <row r="134024" spans="10:10" x14ac:dyDescent="0.3">
      <c r="J134024"/>
    </row>
    <row r="134025" spans="10:10" x14ac:dyDescent="0.3">
      <c r="J134025"/>
    </row>
    <row r="134026" spans="10:10" x14ac:dyDescent="0.3">
      <c r="J134026"/>
    </row>
    <row r="134027" spans="10:10" x14ac:dyDescent="0.3">
      <c r="J134027"/>
    </row>
    <row r="134028" spans="10:10" x14ac:dyDescent="0.3">
      <c r="J134028"/>
    </row>
    <row r="134029" spans="10:10" x14ac:dyDescent="0.3">
      <c r="J134029"/>
    </row>
    <row r="134030" spans="10:10" x14ac:dyDescent="0.3">
      <c r="J134030"/>
    </row>
    <row r="134031" spans="10:10" x14ac:dyDescent="0.3">
      <c r="J134031"/>
    </row>
    <row r="134032" spans="10:10" x14ac:dyDescent="0.3">
      <c r="J134032"/>
    </row>
    <row r="134033" spans="10:10" x14ac:dyDescent="0.3">
      <c r="J134033"/>
    </row>
    <row r="134034" spans="10:10" x14ac:dyDescent="0.3">
      <c r="J134034"/>
    </row>
    <row r="134035" spans="10:10" x14ac:dyDescent="0.3">
      <c r="J134035"/>
    </row>
    <row r="134036" spans="10:10" x14ac:dyDescent="0.3">
      <c r="J134036"/>
    </row>
    <row r="134037" spans="10:10" x14ac:dyDescent="0.3">
      <c r="J134037"/>
    </row>
    <row r="134038" spans="10:10" x14ac:dyDescent="0.3">
      <c r="J134038"/>
    </row>
    <row r="134039" spans="10:10" x14ac:dyDescent="0.3">
      <c r="J134039"/>
    </row>
    <row r="134040" spans="10:10" x14ac:dyDescent="0.3">
      <c r="J134040"/>
    </row>
    <row r="134041" spans="10:10" x14ac:dyDescent="0.3">
      <c r="J134041"/>
    </row>
    <row r="134042" spans="10:10" x14ac:dyDescent="0.3">
      <c r="J134042"/>
    </row>
    <row r="134043" spans="10:10" x14ac:dyDescent="0.3">
      <c r="J134043"/>
    </row>
    <row r="134044" spans="10:10" x14ac:dyDescent="0.3">
      <c r="J134044"/>
    </row>
    <row r="134045" spans="10:10" x14ac:dyDescent="0.3">
      <c r="J134045"/>
    </row>
    <row r="134046" spans="10:10" x14ac:dyDescent="0.3">
      <c r="J134046"/>
    </row>
    <row r="134047" spans="10:10" x14ac:dyDescent="0.3">
      <c r="J134047"/>
    </row>
    <row r="134048" spans="10:10" x14ac:dyDescent="0.3">
      <c r="J134048"/>
    </row>
    <row r="134049" spans="10:10" x14ac:dyDescent="0.3">
      <c r="J134049"/>
    </row>
    <row r="134050" spans="10:10" x14ac:dyDescent="0.3">
      <c r="J134050"/>
    </row>
    <row r="134051" spans="10:10" x14ac:dyDescent="0.3">
      <c r="J134051"/>
    </row>
    <row r="134052" spans="10:10" x14ac:dyDescent="0.3">
      <c r="J134052"/>
    </row>
    <row r="134053" spans="10:10" x14ac:dyDescent="0.3">
      <c r="J134053"/>
    </row>
    <row r="134054" spans="10:10" x14ac:dyDescent="0.3">
      <c r="J134054"/>
    </row>
    <row r="134055" spans="10:10" x14ac:dyDescent="0.3">
      <c r="J134055"/>
    </row>
    <row r="134056" spans="10:10" x14ac:dyDescent="0.3">
      <c r="J134056"/>
    </row>
    <row r="134057" spans="10:10" x14ac:dyDescent="0.3">
      <c r="J134057"/>
    </row>
    <row r="134058" spans="10:10" x14ac:dyDescent="0.3">
      <c r="J134058"/>
    </row>
    <row r="134059" spans="10:10" x14ac:dyDescent="0.3">
      <c r="J134059"/>
    </row>
    <row r="134060" spans="10:10" x14ac:dyDescent="0.3">
      <c r="J134060"/>
    </row>
    <row r="134061" spans="10:10" x14ac:dyDescent="0.3">
      <c r="J134061"/>
    </row>
    <row r="134062" spans="10:10" x14ac:dyDescent="0.3">
      <c r="J134062"/>
    </row>
    <row r="134063" spans="10:10" x14ac:dyDescent="0.3">
      <c r="J134063"/>
    </row>
    <row r="134064" spans="10:10" x14ac:dyDescent="0.3">
      <c r="J134064"/>
    </row>
    <row r="134065" spans="10:10" x14ac:dyDescent="0.3">
      <c r="J134065"/>
    </row>
    <row r="134066" spans="10:10" x14ac:dyDescent="0.3">
      <c r="J134066"/>
    </row>
    <row r="134067" spans="10:10" x14ac:dyDescent="0.3">
      <c r="J134067"/>
    </row>
    <row r="134068" spans="10:10" x14ac:dyDescent="0.3">
      <c r="J134068"/>
    </row>
    <row r="134069" spans="10:10" x14ac:dyDescent="0.3">
      <c r="J134069"/>
    </row>
    <row r="134070" spans="10:10" x14ac:dyDescent="0.3">
      <c r="J134070"/>
    </row>
    <row r="134071" spans="10:10" x14ac:dyDescent="0.3">
      <c r="J134071"/>
    </row>
    <row r="134072" spans="10:10" x14ac:dyDescent="0.3">
      <c r="J134072"/>
    </row>
    <row r="134073" spans="10:10" x14ac:dyDescent="0.3">
      <c r="J134073"/>
    </row>
    <row r="134074" spans="10:10" x14ac:dyDescent="0.3">
      <c r="J134074"/>
    </row>
    <row r="134075" spans="10:10" x14ac:dyDescent="0.3">
      <c r="J134075"/>
    </row>
    <row r="134076" spans="10:10" x14ac:dyDescent="0.3">
      <c r="J134076"/>
    </row>
    <row r="134077" spans="10:10" x14ac:dyDescent="0.3">
      <c r="J134077"/>
    </row>
    <row r="134078" spans="10:10" x14ac:dyDescent="0.3">
      <c r="J134078"/>
    </row>
    <row r="134079" spans="10:10" x14ac:dyDescent="0.3">
      <c r="J134079"/>
    </row>
    <row r="134080" spans="10:10" x14ac:dyDescent="0.3">
      <c r="J134080"/>
    </row>
    <row r="134081" spans="10:10" x14ac:dyDescent="0.3">
      <c r="J134081"/>
    </row>
    <row r="134082" spans="10:10" x14ac:dyDescent="0.3">
      <c r="J134082"/>
    </row>
    <row r="134083" spans="10:10" x14ac:dyDescent="0.3">
      <c r="J134083"/>
    </row>
    <row r="134084" spans="10:10" x14ac:dyDescent="0.3">
      <c r="J134084"/>
    </row>
    <row r="134085" spans="10:10" x14ac:dyDescent="0.3">
      <c r="J134085"/>
    </row>
    <row r="134086" spans="10:10" x14ac:dyDescent="0.3">
      <c r="J134086"/>
    </row>
    <row r="134087" spans="10:10" x14ac:dyDescent="0.3">
      <c r="J134087"/>
    </row>
    <row r="134088" spans="10:10" x14ac:dyDescent="0.3">
      <c r="J134088"/>
    </row>
    <row r="134089" spans="10:10" x14ac:dyDescent="0.3">
      <c r="J134089"/>
    </row>
    <row r="134090" spans="10:10" x14ac:dyDescent="0.3">
      <c r="J134090"/>
    </row>
    <row r="134091" spans="10:10" x14ac:dyDescent="0.3">
      <c r="J134091"/>
    </row>
    <row r="134092" spans="10:10" x14ac:dyDescent="0.3">
      <c r="J134092"/>
    </row>
    <row r="134093" spans="10:10" x14ac:dyDescent="0.3">
      <c r="J134093"/>
    </row>
    <row r="134094" spans="10:10" x14ac:dyDescent="0.3">
      <c r="J134094"/>
    </row>
    <row r="134095" spans="10:10" x14ac:dyDescent="0.3">
      <c r="J134095"/>
    </row>
    <row r="134096" spans="10:10" x14ac:dyDescent="0.3">
      <c r="J134096"/>
    </row>
    <row r="134097" spans="10:10" x14ac:dyDescent="0.3">
      <c r="J134097"/>
    </row>
    <row r="134098" spans="10:10" x14ac:dyDescent="0.3">
      <c r="J134098"/>
    </row>
    <row r="134099" spans="10:10" x14ac:dyDescent="0.3">
      <c r="J134099"/>
    </row>
    <row r="134100" spans="10:10" x14ac:dyDescent="0.3">
      <c r="J134100"/>
    </row>
    <row r="134101" spans="10:10" x14ac:dyDescent="0.3">
      <c r="J134101"/>
    </row>
    <row r="134102" spans="10:10" x14ac:dyDescent="0.3">
      <c r="J134102"/>
    </row>
    <row r="134103" spans="10:10" x14ac:dyDescent="0.3">
      <c r="J134103"/>
    </row>
    <row r="134104" spans="10:10" x14ac:dyDescent="0.3">
      <c r="J134104"/>
    </row>
    <row r="134105" spans="10:10" x14ac:dyDescent="0.3">
      <c r="J134105"/>
    </row>
    <row r="134106" spans="10:10" x14ac:dyDescent="0.3">
      <c r="J134106"/>
    </row>
    <row r="134107" spans="10:10" x14ac:dyDescent="0.3">
      <c r="J134107"/>
    </row>
    <row r="134108" spans="10:10" x14ac:dyDescent="0.3">
      <c r="J134108"/>
    </row>
    <row r="134109" spans="10:10" x14ac:dyDescent="0.3">
      <c r="J134109"/>
    </row>
    <row r="134110" spans="10:10" x14ac:dyDescent="0.3">
      <c r="J134110"/>
    </row>
    <row r="134111" spans="10:10" x14ac:dyDescent="0.3">
      <c r="J134111"/>
    </row>
    <row r="134112" spans="10:10" x14ac:dyDescent="0.3">
      <c r="J134112"/>
    </row>
    <row r="134113" spans="10:10" x14ac:dyDescent="0.3">
      <c r="J134113"/>
    </row>
    <row r="134114" spans="10:10" x14ac:dyDescent="0.3">
      <c r="J134114"/>
    </row>
    <row r="134115" spans="10:10" x14ac:dyDescent="0.3">
      <c r="J134115"/>
    </row>
    <row r="134116" spans="10:10" x14ac:dyDescent="0.3">
      <c r="J134116"/>
    </row>
    <row r="134117" spans="10:10" x14ac:dyDescent="0.3">
      <c r="J134117"/>
    </row>
    <row r="134118" spans="10:10" x14ac:dyDescent="0.3">
      <c r="J134118"/>
    </row>
    <row r="134119" spans="10:10" x14ac:dyDescent="0.3">
      <c r="J134119"/>
    </row>
    <row r="134120" spans="10:10" x14ac:dyDescent="0.3">
      <c r="J134120"/>
    </row>
    <row r="134121" spans="10:10" x14ac:dyDescent="0.3">
      <c r="J134121"/>
    </row>
    <row r="134122" spans="10:10" x14ac:dyDescent="0.3">
      <c r="J134122"/>
    </row>
    <row r="134123" spans="10:10" x14ac:dyDescent="0.3">
      <c r="J134123"/>
    </row>
    <row r="134124" spans="10:10" x14ac:dyDescent="0.3">
      <c r="J134124"/>
    </row>
    <row r="134125" spans="10:10" x14ac:dyDescent="0.3">
      <c r="J134125"/>
    </row>
    <row r="134126" spans="10:10" x14ac:dyDescent="0.3">
      <c r="J134126"/>
    </row>
    <row r="134127" spans="10:10" x14ac:dyDescent="0.3">
      <c r="J134127"/>
    </row>
    <row r="134128" spans="10:10" x14ac:dyDescent="0.3">
      <c r="J134128"/>
    </row>
    <row r="134129" spans="10:10" x14ac:dyDescent="0.3">
      <c r="J134129"/>
    </row>
    <row r="134130" spans="10:10" x14ac:dyDescent="0.3">
      <c r="J134130"/>
    </row>
    <row r="134131" spans="10:10" x14ac:dyDescent="0.3">
      <c r="J134131"/>
    </row>
    <row r="134132" spans="10:10" x14ac:dyDescent="0.3">
      <c r="J134132"/>
    </row>
    <row r="134133" spans="10:10" x14ac:dyDescent="0.3">
      <c r="J134133"/>
    </row>
    <row r="134134" spans="10:10" x14ac:dyDescent="0.3">
      <c r="J134134"/>
    </row>
    <row r="134135" spans="10:10" x14ac:dyDescent="0.3">
      <c r="J134135"/>
    </row>
    <row r="134136" spans="10:10" x14ac:dyDescent="0.3">
      <c r="J134136"/>
    </row>
    <row r="134137" spans="10:10" x14ac:dyDescent="0.3">
      <c r="J134137"/>
    </row>
    <row r="134138" spans="10:10" x14ac:dyDescent="0.3">
      <c r="J134138"/>
    </row>
    <row r="134139" spans="10:10" x14ac:dyDescent="0.3">
      <c r="J134139"/>
    </row>
    <row r="134140" spans="10:10" x14ac:dyDescent="0.3">
      <c r="J134140"/>
    </row>
    <row r="134141" spans="10:10" x14ac:dyDescent="0.3">
      <c r="J134141"/>
    </row>
    <row r="134142" spans="10:10" x14ac:dyDescent="0.3">
      <c r="J134142"/>
    </row>
    <row r="134143" spans="10:10" x14ac:dyDescent="0.3">
      <c r="J134143"/>
    </row>
    <row r="134144" spans="10:10" x14ac:dyDescent="0.3">
      <c r="J134144"/>
    </row>
    <row r="134145" spans="10:10" x14ac:dyDescent="0.3">
      <c r="J134145"/>
    </row>
    <row r="134146" spans="10:10" x14ac:dyDescent="0.3">
      <c r="J134146"/>
    </row>
    <row r="134147" spans="10:10" x14ac:dyDescent="0.3">
      <c r="J134147"/>
    </row>
    <row r="134148" spans="10:10" x14ac:dyDescent="0.3">
      <c r="J134148"/>
    </row>
    <row r="134149" spans="10:10" x14ac:dyDescent="0.3">
      <c r="J134149"/>
    </row>
    <row r="134150" spans="10:10" x14ac:dyDescent="0.3">
      <c r="J134150"/>
    </row>
    <row r="134151" spans="10:10" x14ac:dyDescent="0.3">
      <c r="J134151"/>
    </row>
    <row r="134152" spans="10:10" x14ac:dyDescent="0.3">
      <c r="J134152"/>
    </row>
    <row r="134153" spans="10:10" x14ac:dyDescent="0.3">
      <c r="J134153"/>
    </row>
    <row r="134154" spans="10:10" x14ac:dyDescent="0.3">
      <c r="J134154"/>
    </row>
    <row r="134155" spans="10:10" x14ac:dyDescent="0.3">
      <c r="J134155"/>
    </row>
    <row r="134156" spans="10:10" x14ac:dyDescent="0.3">
      <c r="J134156"/>
    </row>
    <row r="134157" spans="10:10" x14ac:dyDescent="0.3">
      <c r="J134157"/>
    </row>
    <row r="134158" spans="10:10" x14ac:dyDescent="0.3">
      <c r="J134158"/>
    </row>
    <row r="134159" spans="10:10" x14ac:dyDescent="0.3">
      <c r="J134159"/>
    </row>
    <row r="134160" spans="10:10" x14ac:dyDescent="0.3">
      <c r="J134160"/>
    </row>
    <row r="134161" spans="10:10" x14ac:dyDescent="0.3">
      <c r="J134161"/>
    </row>
    <row r="134162" spans="10:10" x14ac:dyDescent="0.3">
      <c r="J134162"/>
    </row>
    <row r="134163" spans="10:10" x14ac:dyDescent="0.3">
      <c r="J134163"/>
    </row>
    <row r="134164" spans="10:10" x14ac:dyDescent="0.3">
      <c r="J134164"/>
    </row>
    <row r="134165" spans="10:10" x14ac:dyDescent="0.3">
      <c r="J134165"/>
    </row>
    <row r="134166" spans="10:10" x14ac:dyDescent="0.3">
      <c r="J134166"/>
    </row>
    <row r="134167" spans="10:10" x14ac:dyDescent="0.3">
      <c r="J134167"/>
    </row>
    <row r="134168" spans="10:10" x14ac:dyDescent="0.3">
      <c r="J134168"/>
    </row>
    <row r="134169" spans="10:10" x14ac:dyDescent="0.3">
      <c r="J134169"/>
    </row>
    <row r="134170" spans="10:10" x14ac:dyDescent="0.3">
      <c r="J134170"/>
    </row>
    <row r="134171" spans="10:10" x14ac:dyDescent="0.3">
      <c r="J134171"/>
    </row>
    <row r="134172" spans="10:10" x14ac:dyDescent="0.3">
      <c r="J134172"/>
    </row>
    <row r="134173" spans="10:10" x14ac:dyDescent="0.3">
      <c r="J134173"/>
    </row>
    <row r="134174" spans="10:10" x14ac:dyDescent="0.3">
      <c r="J134174"/>
    </row>
    <row r="134175" spans="10:10" x14ac:dyDescent="0.3">
      <c r="J134175"/>
    </row>
    <row r="134176" spans="10:10" x14ac:dyDescent="0.3">
      <c r="J134176"/>
    </row>
    <row r="134177" spans="10:10" x14ac:dyDescent="0.3">
      <c r="J134177"/>
    </row>
    <row r="134178" spans="10:10" x14ac:dyDescent="0.3">
      <c r="J134178"/>
    </row>
    <row r="134179" spans="10:10" x14ac:dyDescent="0.3">
      <c r="J134179"/>
    </row>
    <row r="134180" spans="10:10" x14ac:dyDescent="0.3">
      <c r="J134180"/>
    </row>
    <row r="134181" spans="10:10" x14ac:dyDescent="0.3">
      <c r="J134181"/>
    </row>
    <row r="134182" spans="10:10" x14ac:dyDescent="0.3">
      <c r="J134182"/>
    </row>
    <row r="134183" spans="10:10" x14ac:dyDescent="0.3">
      <c r="J134183"/>
    </row>
    <row r="134184" spans="10:10" x14ac:dyDescent="0.3">
      <c r="J134184"/>
    </row>
    <row r="134185" spans="10:10" x14ac:dyDescent="0.3">
      <c r="J134185"/>
    </row>
    <row r="134186" spans="10:10" x14ac:dyDescent="0.3">
      <c r="J134186"/>
    </row>
    <row r="134187" spans="10:10" x14ac:dyDescent="0.3">
      <c r="J134187"/>
    </row>
    <row r="134188" spans="10:10" x14ac:dyDescent="0.3">
      <c r="J134188"/>
    </row>
    <row r="134189" spans="10:10" x14ac:dyDescent="0.3">
      <c r="J134189"/>
    </row>
    <row r="134190" spans="10:10" x14ac:dyDescent="0.3">
      <c r="J134190"/>
    </row>
    <row r="134191" spans="10:10" x14ac:dyDescent="0.3">
      <c r="J134191"/>
    </row>
    <row r="134192" spans="10:10" x14ac:dyDescent="0.3">
      <c r="J134192"/>
    </row>
    <row r="134193" spans="10:10" x14ac:dyDescent="0.3">
      <c r="J134193"/>
    </row>
    <row r="134194" spans="10:10" x14ac:dyDescent="0.3">
      <c r="J134194"/>
    </row>
    <row r="134195" spans="10:10" x14ac:dyDescent="0.3">
      <c r="J134195"/>
    </row>
    <row r="134196" spans="10:10" x14ac:dyDescent="0.3">
      <c r="J134196"/>
    </row>
    <row r="134197" spans="10:10" x14ac:dyDescent="0.3">
      <c r="J134197"/>
    </row>
    <row r="134198" spans="10:10" x14ac:dyDescent="0.3">
      <c r="J134198"/>
    </row>
    <row r="134199" spans="10:10" x14ac:dyDescent="0.3">
      <c r="J134199"/>
    </row>
    <row r="134200" spans="10:10" x14ac:dyDescent="0.3">
      <c r="J134200"/>
    </row>
    <row r="134201" spans="10:10" x14ac:dyDescent="0.3">
      <c r="J134201"/>
    </row>
    <row r="134202" spans="10:10" x14ac:dyDescent="0.3">
      <c r="J134202"/>
    </row>
    <row r="134203" spans="10:10" x14ac:dyDescent="0.3">
      <c r="J134203"/>
    </row>
    <row r="134204" spans="10:10" x14ac:dyDescent="0.3">
      <c r="J134204"/>
    </row>
    <row r="134205" spans="10:10" x14ac:dyDescent="0.3">
      <c r="J134205"/>
    </row>
    <row r="134206" spans="10:10" x14ac:dyDescent="0.3">
      <c r="J134206"/>
    </row>
    <row r="134207" spans="10:10" x14ac:dyDescent="0.3">
      <c r="J134207"/>
    </row>
    <row r="134208" spans="10:10" x14ac:dyDescent="0.3">
      <c r="J134208"/>
    </row>
    <row r="134209" spans="10:10" x14ac:dyDescent="0.3">
      <c r="J134209"/>
    </row>
    <row r="134210" spans="10:10" x14ac:dyDescent="0.3">
      <c r="J134210"/>
    </row>
    <row r="134211" spans="10:10" x14ac:dyDescent="0.3">
      <c r="J134211"/>
    </row>
    <row r="134212" spans="10:10" x14ac:dyDescent="0.3">
      <c r="J134212"/>
    </row>
    <row r="134213" spans="10:10" x14ac:dyDescent="0.3">
      <c r="J134213"/>
    </row>
    <row r="134214" spans="10:10" x14ac:dyDescent="0.3">
      <c r="J134214"/>
    </row>
    <row r="134215" spans="10:10" x14ac:dyDescent="0.3">
      <c r="J134215"/>
    </row>
    <row r="134216" spans="10:10" x14ac:dyDescent="0.3">
      <c r="J134216"/>
    </row>
    <row r="134217" spans="10:10" x14ac:dyDescent="0.3">
      <c r="J134217"/>
    </row>
    <row r="134218" spans="10:10" x14ac:dyDescent="0.3">
      <c r="J134218"/>
    </row>
    <row r="134219" spans="10:10" x14ac:dyDescent="0.3">
      <c r="J134219"/>
    </row>
    <row r="134220" spans="10:10" x14ac:dyDescent="0.3">
      <c r="J134220"/>
    </row>
    <row r="134221" spans="10:10" x14ac:dyDescent="0.3">
      <c r="J134221"/>
    </row>
    <row r="134222" spans="10:10" x14ac:dyDescent="0.3">
      <c r="J134222"/>
    </row>
    <row r="134223" spans="10:10" x14ac:dyDescent="0.3">
      <c r="J134223"/>
    </row>
    <row r="134224" spans="10:10" x14ac:dyDescent="0.3">
      <c r="J134224"/>
    </row>
    <row r="134225" spans="10:10" x14ac:dyDescent="0.3">
      <c r="J134225"/>
    </row>
    <row r="134226" spans="10:10" x14ac:dyDescent="0.3">
      <c r="J134226"/>
    </row>
    <row r="134227" spans="10:10" x14ac:dyDescent="0.3">
      <c r="J134227"/>
    </row>
    <row r="134228" spans="10:10" x14ac:dyDescent="0.3">
      <c r="J134228"/>
    </row>
    <row r="134229" spans="10:10" x14ac:dyDescent="0.3">
      <c r="J134229"/>
    </row>
    <row r="134230" spans="10:10" x14ac:dyDescent="0.3">
      <c r="J134230"/>
    </row>
    <row r="134231" spans="10:10" x14ac:dyDescent="0.3">
      <c r="J134231"/>
    </row>
    <row r="134232" spans="10:10" x14ac:dyDescent="0.3">
      <c r="J134232"/>
    </row>
    <row r="134233" spans="10:10" x14ac:dyDescent="0.3">
      <c r="J134233"/>
    </row>
    <row r="134234" spans="10:10" x14ac:dyDescent="0.3">
      <c r="J134234"/>
    </row>
    <row r="134235" spans="10:10" x14ac:dyDescent="0.3">
      <c r="J134235"/>
    </row>
    <row r="134236" spans="10:10" x14ac:dyDescent="0.3">
      <c r="J134236"/>
    </row>
    <row r="134237" spans="10:10" x14ac:dyDescent="0.3">
      <c r="J134237"/>
    </row>
    <row r="134238" spans="10:10" x14ac:dyDescent="0.3">
      <c r="J134238"/>
    </row>
    <row r="134239" spans="10:10" x14ac:dyDescent="0.3">
      <c r="J134239"/>
    </row>
    <row r="134240" spans="10:10" x14ac:dyDescent="0.3">
      <c r="J134240"/>
    </row>
    <row r="134241" spans="10:10" x14ac:dyDescent="0.3">
      <c r="J134241"/>
    </row>
    <row r="134242" spans="10:10" x14ac:dyDescent="0.3">
      <c r="J134242"/>
    </row>
    <row r="134243" spans="10:10" x14ac:dyDescent="0.3">
      <c r="J134243"/>
    </row>
    <row r="134244" spans="10:10" x14ac:dyDescent="0.3">
      <c r="J134244"/>
    </row>
    <row r="134245" spans="10:10" x14ac:dyDescent="0.3">
      <c r="J134245"/>
    </row>
    <row r="134246" spans="10:10" x14ac:dyDescent="0.3">
      <c r="J134246"/>
    </row>
    <row r="134247" spans="10:10" x14ac:dyDescent="0.3">
      <c r="J134247"/>
    </row>
    <row r="134248" spans="10:10" x14ac:dyDescent="0.3">
      <c r="J134248"/>
    </row>
    <row r="134249" spans="10:10" x14ac:dyDescent="0.3">
      <c r="J134249"/>
    </row>
    <row r="134250" spans="10:10" x14ac:dyDescent="0.3">
      <c r="J134250"/>
    </row>
    <row r="134251" spans="10:10" x14ac:dyDescent="0.3">
      <c r="J134251"/>
    </row>
    <row r="134252" spans="10:10" x14ac:dyDescent="0.3">
      <c r="J134252"/>
    </row>
    <row r="134253" spans="10:10" x14ac:dyDescent="0.3">
      <c r="J134253"/>
    </row>
    <row r="134254" spans="10:10" x14ac:dyDescent="0.3">
      <c r="J134254"/>
    </row>
    <row r="134255" spans="10:10" x14ac:dyDescent="0.3">
      <c r="J134255"/>
    </row>
    <row r="134256" spans="10:10" x14ac:dyDescent="0.3">
      <c r="J134256"/>
    </row>
    <row r="134257" spans="10:10" x14ac:dyDescent="0.3">
      <c r="J134257"/>
    </row>
    <row r="134258" spans="10:10" x14ac:dyDescent="0.3">
      <c r="J134258"/>
    </row>
    <row r="134259" spans="10:10" x14ac:dyDescent="0.3">
      <c r="J134259"/>
    </row>
    <row r="134260" spans="10:10" x14ac:dyDescent="0.3">
      <c r="J134260"/>
    </row>
    <row r="134261" spans="10:10" x14ac:dyDescent="0.3">
      <c r="J134261"/>
    </row>
    <row r="134262" spans="10:10" x14ac:dyDescent="0.3">
      <c r="J134262"/>
    </row>
    <row r="134263" spans="10:10" x14ac:dyDescent="0.3">
      <c r="J134263"/>
    </row>
    <row r="134264" spans="10:10" x14ac:dyDescent="0.3">
      <c r="J134264"/>
    </row>
    <row r="134265" spans="10:10" x14ac:dyDescent="0.3">
      <c r="J134265"/>
    </row>
    <row r="134266" spans="10:10" x14ac:dyDescent="0.3">
      <c r="J134266"/>
    </row>
    <row r="134267" spans="10:10" x14ac:dyDescent="0.3">
      <c r="J134267"/>
    </row>
    <row r="134268" spans="10:10" x14ac:dyDescent="0.3">
      <c r="J134268"/>
    </row>
    <row r="134269" spans="10:10" x14ac:dyDescent="0.3">
      <c r="J134269"/>
    </row>
    <row r="134270" spans="10:10" x14ac:dyDescent="0.3">
      <c r="J134270"/>
    </row>
    <row r="134271" spans="10:10" x14ac:dyDescent="0.3">
      <c r="J134271"/>
    </row>
    <row r="134272" spans="10:10" x14ac:dyDescent="0.3">
      <c r="J134272"/>
    </row>
    <row r="134273" spans="10:10" x14ac:dyDescent="0.3">
      <c r="J134273"/>
    </row>
    <row r="134274" spans="10:10" x14ac:dyDescent="0.3">
      <c r="J134274"/>
    </row>
    <row r="134275" spans="10:10" x14ac:dyDescent="0.3">
      <c r="J134275"/>
    </row>
    <row r="134276" spans="10:10" x14ac:dyDescent="0.3">
      <c r="J134276"/>
    </row>
    <row r="134277" spans="10:10" x14ac:dyDescent="0.3">
      <c r="J134277"/>
    </row>
    <row r="134278" spans="10:10" x14ac:dyDescent="0.3">
      <c r="J134278"/>
    </row>
    <row r="134279" spans="10:10" x14ac:dyDescent="0.3">
      <c r="J134279"/>
    </row>
    <row r="134280" spans="10:10" x14ac:dyDescent="0.3">
      <c r="J134280"/>
    </row>
    <row r="134281" spans="10:10" x14ac:dyDescent="0.3">
      <c r="J134281"/>
    </row>
    <row r="134282" spans="10:10" x14ac:dyDescent="0.3">
      <c r="J134282"/>
    </row>
    <row r="134283" spans="10:10" x14ac:dyDescent="0.3">
      <c r="J134283"/>
    </row>
    <row r="134284" spans="10:10" x14ac:dyDescent="0.3">
      <c r="J134284"/>
    </row>
    <row r="134285" spans="10:10" x14ac:dyDescent="0.3">
      <c r="J134285"/>
    </row>
    <row r="134286" spans="10:10" x14ac:dyDescent="0.3">
      <c r="J134286"/>
    </row>
    <row r="134287" spans="10:10" x14ac:dyDescent="0.3">
      <c r="J134287"/>
    </row>
    <row r="134288" spans="10:10" x14ac:dyDescent="0.3">
      <c r="J134288"/>
    </row>
    <row r="134289" spans="10:10" x14ac:dyDescent="0.3">
      <c r="J134289"/>
    </row>
    <row r="134290" spans="10:10" x14ac:dyDescent="0.3">
      <c r="J134290"/>
    </row>
    <row r="134291" spans="10:10" x14ac:dyDescent="0.3">
      <c r="J134291"/>
    </row>
    <row r="134292" spans="10:10" x14ac:dyDescent="0.3">
      <c r="J134292"/>
    </row>
    <row r="134293" spans="10:10" x14ac:dyDescent="0.3">
      <c r="J134293"/>
    </row>
    <row r="134294" spans="10:10" x14ac:dyDescent="0.3">
      <c r="J134294"/>
    </row>
    <row r="134295" spans="10:10" x14ac:dyDescent="0.3">
      <c r="J134295"/>
    </row>
    <row r="134296" spans="10:10" x14ac:dyDescent="0.3">
      <c r="J134296"/>
    </row>
    <row r="134297" spans="10:10" x14ac:dyDescent="0.3">
      <c r="J134297"/>
    </row>
    <row r="134298" spans="10:10" x14ac:dyDescent="0.3">
      <c r="J134298"/>
    </row>
    <row r="134299" spans="10:10" x14ac:dyDescent="0.3">
      <c r="J134299"/>
    </row>
    <row r="134300" spans="10:10" x14ac:dyDescent="0.3">
      <c r="J134300"/>
    </row>
    <row r="134301" spans="10:10" x14ac:dyDescent="0.3">
      <c r="J134301"/>
    </row>
    <row r="134302" spans="10:10" x14ac:dyDescent="0.3">
      <c r="J134302"/>
    </row>
    <row r="134303" spans="10:10" x14ac:dyDescent="0.3">
      <c r="J134303"/>
    </row>
    <row r="134304" spans="10:10" x14ac:dyDescent="0.3">
      <c r="J134304"/>
    </row>
    <row r="134305" spans="10:10" x14ac:dyDescent="0.3">
      <c r="J134305"/>
    </row>
    <row r="134306" spans="10:10" x14ac:dyDescent="0.3">
      <c r="J134306"/>
    </row>
    <row r="134307" spans="10:10" x14ac:dyDescent="0.3">
      <c r="J134307"/>
    </row>
    <row r="134308" spans="10:10" x14ac:dyDescent="0.3">
      <c r="J134308"/>
    </row>
    <row r="134309" spans="10:10" x14ac:dyDescent="0.3">
      <c r="J134309"/>
    </row>
    <row r="134310" spans="10:10" x14ac:dyDescent="0.3">
      <c r="J134310"/>
    </row>
    <row r="134311" spans="10:10" x14ac:dyDescent="0.3">
      <c r="J134311"/>
    </row>
    <row r="134312" spans="10:10" x14ac:dyDescent="0.3">
      <c r="J134312"/>
    </row>
    <row r="134313" spans="10:10" x14ac:dyDescent="0.3">
      <c r="J134313"/>
    </row>
    <row r="134314" spans="10:10" x14ac:dyDescent="0.3">
      <c r="J134314"/>
    </row>
    <row r="134315" spans="10:10" x14ac:dyDescent="0.3">
      <c r="J134315"/>
    </row>
    <row r="134316" spans="10:10" x14ac:dyDescent="0.3">
      <c r="J134316"/>
    </row>
    <row r="134317" spans="10:10" x14ac:dyDescent="0.3">
      <c r="J134317"/>
    </row>
    <row r="134318" spans="10:10" x14ac:dyDescent="0.3">
      <c r="J134318"/>
    </row>
    <row r="134319" spans="10:10" x14ac:dyDescent="0.3">
      <c r="J134319"/>
    </row>
    <row r="134320" spans="10:10" x14ac:dyDescent="0.3">
      <c r="J134320"/>
    </row>
    <row r="134321" spans="10:10" x14ac:dyDescent="0.3">
      <c r="J134321"/>
    </row>
    <row r="134322" spans="10:10" x14ac:dyDescent="0.3">
      <c r="J134322"/>
    </row>
    <row r="134323" spans="10:10" x14ac:dyDescent="0.3">
      <c r="J134323"/>
    </row>
    <row r="134324" spans="10:10" x14ac:dyDescent="0.3">
      <c r="J134324"/>
    </row>
    <row r="134325" spans="10:10" x14ac:dyDescent="0.3">
      <c r="J134325"/>
    </row>
    <row r="134326" spans="10:10" x14ac:dyDescent="0.3">
      <c r="J134326"/>
    </row>
    <row r="134327" spans="10:10" x14ac:dyDescent="0.3">
      <c r="J134327"/>
    </row>
    <row r="134328" spans="10:10" x14ac:dyDescent="0.3">
      <c r="J134328"/>
    </row>
    <row r="134329" spans="10:10" x14ac:dyDescent="0.3">
      <c r="J134329"/>
    </row>
    <row r="134330" spans="10:10" x14ac:dyDescent="0.3">
      <c r="J134330"/>
    </row>
    <row r="134331" spans="10:10" x14ac:dyDescent="0.3">
      <c r="J134331"/>
    </row>
    <row r="134332" spans="10:10" x14ac:dyDescent="0.3">
      <c r="J134332"/>
    </row>
    <row r="134333" spans="10:10" x14ac:dyDescent="0.3">
      <c r="J134333"/>
    </row>
    <row r="134334" spans="10:10" x14ac:dyDescent="0.3">
      <c r="J134334"/>
    </row>
    <row r="134335" spans="10:10" x14ac:dyDescent="0.3">
      <c r="J134335"/>
    </row>
    <row r="134336" spans="10:10" x14ac:dyDescent="0.3">
      <c r="J134336"/>
    </row>
    <row r="134337" spans="10:10" x14ac:dyDescent="0.3">
      <c r="J134337"/>
    </row>
    <row r="134338" spans="10:10" x14ac:dyDescent="0.3">
      <c r="J134338"/>
    </row>
    <row r="134339" spans="10:10" x14ac:dyDescent="0.3">
      <c r="J134339"/>
    </row>
    <row r="134340" spans="10:10" x14ac:dyDescent="0.3">
      <c r="J134340"/>
    </row>
    <row r="134341" spans="10:10" x14ac:dyDescent="0.3">
      <c r="J134341"/>
    </row>
    <row r="134342" spans="10:10" x14ac:dyDescent="0.3">
      <c r="J134342"/>
    </row>
    <row r="134343" spans="10:10" x14ac:dyDescent="0.3">
      <c r="J134343"/>
    </row>
    <row r="134344" spans="10:10" x14ac:dyDescent="0.3">
      <c r="J134344"/>
    </row>
    <row r="134345" spans="10:10" x14ac:dyDescent="0.3">
      <c r="J134345"/>
    </row>
    <row r="134346" spans="10:10" x14ac:dyDescent="0.3">
      <c r="J134346"/>
    </row>
    <row r="134347" spans="10:10" x14ac:dyDescent="0.3">
      <c r="J134347"/>
    </row>
    <row r="134348" spans="10:10" x14ac:dyDescent="0.3">
      <c r="J134348"/>
    </row>
    <row r="134349" spans="10:10" x14ac:dyDescent="0.3">
      <c r="J134349"/>
    </row>
    <row r="134350" spans="10:10" x14ac:dyDescent="0.3">
      <c r="J134350"/>
    </row>
    <row r="134351" spans="10:10" x14ac:dyDescent="0.3">
      <c r="J134351"/>
    </row>
    <row r="134352" spans="10:10" x14ac:dyDescent="0.3">
      <c r="J134352"/>
    </row>
    <row r="134353" spans="10:10" x14ac:dyDescent="0.3">
      <c r="J134353"/>
    </row>
    <row r="134354" spans="10:10" x14ac:dyDescent="0.3">
      <c r="J134354"/>
    </row>
    <row r="134355" spans="10:10" x14ac:dyDescent="0.3">
      <c r="J134355"/>
    </row>
    <row r="134356" spans="10:10" x14ac:dyDescent="0.3">
      <c r="J134356"/>
    </row>
    <row r="134357" spans="10:10" x14ac:dyDescent="0.3">
      <c r="J134357"/>
    </row>
    <row r="134358" spans="10:10" x14ac:dyDescent="0.3">
      <c r="J134358"/>
    </row>
    <row r="134359" spans="10:10" x14ac:dyDescent="0.3">
      <c r="J134359"/>
    </row>
    <row r="134360" spans="10:10" x14ac:dyDescent="0.3">
      <c r="J134360"/>
    </row>
    <row r="134361" spans="10:10" x14ac:dyDescent="0.3">
      <c r="J134361"/>
    </row>
    <row r="134362" spans="10:10" x14ac:dyDescent="0.3">
      <c r="J134362"/>
    </row>
    <row r="134363" spans="10:10" x14ac:dyDescent="0.3">
      <c r="J134363"/>
    </row>
    <row r="134364" spans="10:10" x14ac:dyDescent="0.3">
      <c r="J134364"/>
    </row>
    <row r="134365" spans="10:10" x14ac:dyDescent="0.3">
      <c r="J134365"/>
    </row>
    <row r="134366" spans="10:10" x14ac:dyDescent="0.3">
      <c r="J134366"/>
    </row>
    <row r="134367" spans="10:10" x14ac:dyDescent="0.3">
      <c r="J134367"/>
    </row>
    <row r="134368" spans="10:10" x14ac:dyDescent="0.3">
      <c r="J134368"/>
    </row>
    <row r="134369" spans="10:10" x14ac:dyDescent="0.3">
      <c r="J134369"/>
    </row>
    <row r="134370" spans="10:10" x14ac:dyDescent="0.3">
      <c r="J134370"/>
    </row>
    <row r="134371" spans="10:10" x14ac:dyDescent="0.3">
      <c r="J134371"/>
    </row>
    <row r="134372" spans="10:10" x14ac:dyDescent="0.3">
      <c r="J134372"/>
    </row>
    <row r="134373" spans="10:10" x14ac:dyDescent="0.3">
      <c r="J134373"/>
    </row>
    <row r="134374" spans="10:10" x14ac:dyDescent="0.3">
      <c r="J134374"/>
    </row>
    <row r="134375" spans="10:10" x14ac:dyDescent="0.3">
      <c r="J134375"/>
    </row>
    <row r="134376" spans="10:10" x14ac:dyDescent="0.3">
      <c r="J134376"/>
    </row>
    <row r="134377" spans="10:10" x14ac:dyDescent="0.3">
      <c r="J134377"/>
    </row>
    <row r="134378" spans="10:10" x14ac:dyDescent="0.3">
      <c r="J134378"/>
    </row>
    <row r="134379" spans="10:10" x14ac:dyDescent="0.3">
      <c r="J134379"/>
    </row>
    <row r="134380" spans="10:10" x14ac:dyDescent="0.3">
      <c r="J134380"/>
    </row>
    <row r="134381" spans="10:10" x14ac:dyDescent="0.3">
      <c r="J134381"/>
    </row>
    <row r="134382" spans="10:10" x14ac:dyDescent="0.3">
      <c r="J134382"/>
    </row>
    <row r="134383" spans="10:10" x14ac:dyDescent="0.3">
      <c r="J134383"/>
    </row>
    <row r="134384" spans="10:10" x14ac:dyDescent="0.3">
      <c r="J134384"/>
    </row>
    <row r="134385" spans="10:10" x14ac:dyDescent="0.3">
      <c r="J134385"/>
    </row>
    <row r="134386" spans="10:10" x14ac:dyDescent="0.3">
      <c r="J134386"/>
    </row>
    <row r="134387" spans="10:10" x14ac:dyDescent="0.3">
      <c r="J134387"/>
    </row>
    <row r="134388" spans="10:10" x14ac:dyDescent="0.3">
      <c r="J134388"/>
    </row>
    <row r="134389" spans="10:10" x14ac:dyDescent="0.3">
      <c r="J134389"/>
    </row>
    <row r="134390" spans="10:10" x14ac:dyDescent="0.3">
      <c r="J134390"/>
    </row>
    <row r="134391" spans="10:10" x14ac:dyDescent="0.3">
      <c r="J134391"/>
    </row>
    <row r="134392" spans="10:10" x14ac:dyDescent="0.3">
      <c r="J134392"/>
    </row>
    <row r="134393" spans="10:10" x14ac:dyDescent="0.3">
      <c r="J134393"/>
    </row>
    <row r="134394" spans="10:10" x14ac:dyDescent="0.3">
      <c r="J134394"/>
    </row>
    <row r="134395" spans="10:10" x14ac:dyDescent="0.3">
      <c r="J134395"/>
    </row>
    <row r="134396" spans="10:10" x14ac:dyDescent="0.3">
      <c r="J134396"/>
    </row>
    <row r="134397" spans="10:10" x14ac:dyDescent="0.3">
      <c r="J134397"/>
    </row>
    <row r="134398" spans="10:10" x14ac:dyDescent="0.3">
      <c r="J134398"/>
    </row>
    <row r="134399" spans="10:10" x14ac:dyDescent="0.3">
      <c r="J134399"/>
    </row>
    <row r="134400" spans="10:10" x14ac:dyDescent="0.3">
      <c r="J134400"/>
    </row>
    <row r="134401" spans="10:10" x14ac:dyDescent="0.3">
      <c r="J134401"/>
    </row>
    <row r="134402" spans="10:10" x14ac:dyDescent="0.3">
      <c r="J134402"/>
    </row>
    <row r="134403" spans="10:10" x14ac:dyDescent="0.3">
      <c r="J134403"/>
    </row>
    <row r="134404" spans="10:10" x14ac:dyDescent="0.3">
      <c r="J134404"/>
    </row>
    <row r="134405" spans="10:10" x14ac:dyDescent="0.3">
      <c r="J134405"/>
    </row>
    <row r="134406" spans="10:10" x14ac:dyDescent="0.3">
      <c r="J134406"/>
    </row>
    <row r="134407" spans="10:10" x14ac:dyDescent="0.3">
      <c r="J134407"/>
    </row>
    <row r="134408" spans="10:10" x14ac:dyDescent="0.3">
      <c r="J134408"/>
    </row>
    <row r="134409" spans="10:10" x14ac:dyDescent="0.3">
      <c r="J134409"/>
    </row>
    <row r="134410" spans="10:10" x14ac:dyDescent="0.3">
      <c r="J134410"/>
    </row>
    <row r="134411" spans="10:10" x14ac:dyDescent="0.3">
      <c r="J134411"/>
    </row>
    <row r="134412" spans="10:10" x14ac:dyDescent="0.3">
      <c r="J134412"/>
    </row>
    <row r="134413" spans="10:10" x14ac:dyDescent="0.3">
      <c r="J134413"/>
    </row>
    <row r="134414" spans="10:10" x14ac:dyDescent="0.3">
      <c r="J134414"/>
    </row>
    <row r="134415" spans="10:10" x14ac:dyDescent="0.3">
      <c r="J134415"/>
    </row>
    <row r="134416" spans="10:10" x14ac:dyDescent="0.3">
      <c r="J134416"/>
    </row>
    <row r="134417" spans="10:10" x14ac:dyDescent="0.3">
      <c r="J134417"/>
    </row>
    <row r="134418" spans="10:10" x14ac:dyDescent="0.3">
      <c r="J134418"/>
    </row>
    <row r="134419" spans="10:10" x14ac:dyDescent="0.3">
      <c r="J134419"/>
    </row>
    <row r="134420" spans="10:10" x14ac:dyDescent="0.3">
      <c r="J134420"/>
    </row>
    <row r="134421" spans="10:10" x14ac:dyDescent="0.3">
      <c r="J134421"/>
    </row>
    <row r="134422" spans="10:10" x14ac:dyDescent="0.3">
      <c r="J134422"/>
    </row>
    <row r="134423" spans="10:10" x14ac:dyDescent="0.3">
      <c r="J134423"/>
    </row>
    <row r="134424" spans="10:10" x14ac:dyDescent="0.3">
      <c r="J134424"/>
    </row>
    <row r="134425" spans="10:10" x14ac:dyDescent="0.3">
      <c r="J134425"/>
    </row>
    <row r="134426" spans="10:10" x14ac:dyDescent="0.3">
      <c r="J134426"/>
    </row>
    <row r="134427" spans="10:10" x14ac:dyDescent="0.3">
      <c r="J134427"/>
    </row>
    <row r="134428" spans="10:10" x14ac:dyDescent="0.3">
      <c r="J134428"/>
    </row>
    <row r="134429" spans="10:10" x14ac:dyDescent="0.3">
      <c r="J134429"/>
    </row>
    <row r="134430" spans="10:10" x14ac:dyDescent="0.3">
      <c r="J134430"/>
    </row>
    <row r="134431" spans="10:10" x14ac:dyDescent="0.3">
      <c r="J134431"/>
    </row>
    <row r="134432" spans="10:10" x14ac:dyDescent="0.3">
      <c r="J134432"/>
    </row>
    <row r="134433" spans="10:10" x14ac:dyDescent="0.3">
      <c r="J134433"/>
    </row>
    <row r="134434" spans="10:10" x14ac:dyDescent="0.3">
      <c r="J134434"/>
    </row>
    <row r="134435" spans="10:10" x14ac:dyDescent="0.3">
      <c r="J134435"/>
    </row>
    <row r="134436" spans="10:10" x14ac:dyDescent="0.3">
      <c r="J134436"/>
    </row>
    <row r="134437" spans="10:10" x14ac:dyDescent="0.3">
      <c r="J134437"/>
    </row>
    <row r="134438" spans="10:10" x14ac:dyDescent="0.3">
      <c r="J134438"/>
    </row>
    <row r="134439" spans="10:10" x14ac:dyDescent="0.3">
      <c r="J134439"/>
    </row>
    <row r="134440" spans="10:10" x14ac:dyDescent="0.3">
      <c r="J134440"/>
    </row>
    <row r="134441" spans="10:10" x14ac:dyDescent="0.3">
      <c r="J134441"/>
    </row>
    <row r="134442" spans="10:10" x14ac:dyDescent="0.3">
      <c r="J134442"/>
    </row>
    <row r="134443" spans="10:10" x14ac:dyDescent="0.3">
      <c r="J134443"/>
    </row>
    <row r="134444" spans="10:10" x14ac:dyDescent="0.3">
      <c r="J134444"/>
    </row>
    <row r="134445" spans="10:10" x14ac:dyDescent="0.3">
      <c r="J134445"/>
    </row>
    <row r="134446" spans="10:10" x14ac:dyDescent="0.3">
      <c r="J134446"/>
    </row>
    <row r="134447" spans="10:10" x14ac:dyDescent="0.3">
      <c r="J134447"/>
    </row>
    <row r="134448" spans="10:10" x14ac:dyDescent="0.3">
      <c r="J134448"/>
    </row>
    <row r="134449" spans="10:10" x14ac:dyDescent="0.3">
      <c r="J134449"/>
    </row>
    <row r="134450" spans="10:10" x14ac:dyDescent="0.3">
      <c r="J134450"/>
    </row>
    <row r="134451" spans="10:10" x14ac:dyDescent="0.3">
      <c r="J134451"/>
    </row>
    <row r="134452" spans="10:10" x14ac:dyDescent="0.3">
      <c r="J134452"/>
    </row>
    <row r="134453" spans="10:10" x14ac:dyDescent="0.3">
      <c r="J134453"/>
    </row>
    <row r="134454" spans="10:10" x14ac:dyDescent="0.3">
      <c r="J134454"/>
    </row>
    <row r="134455" spans="10:10" x14ac:dyDescent="0.3">
      <c r="J134455"/>
    </row>
    <row r="134456" spans="10:10" x14ac:dyDescent="0.3">
      <c r="J134456"/>
    </row>
    <row r="134457" spans="10:10" x14ac:dyDescent="0.3">
      <c r="J134457"/>
    </row>
    <row r="134458" spans="10:10" x14ac:dyDescent="0.3">
      <c r="J134458"/>
    </row>
    <row r="134459" spans="10:10" x14ac:dyDescent="0.3">
      <c r="J134459"/>
    </row>
    <row r="134460" spans="10:10" x14ac:dyDescent="0.3">
      <c r="J134460"/>
    </row>
    <row r="134461" spans="10:10" x14ac:dyDescent="0.3">
      <c r="J134461"/>
    </row>
    <row r="134462" spans="10:10" x14ac:dyDescent="0.3">
      <c r="J134462"/>
    </row>
    <row r="134463" spans="10:10" x14ac:dyDescent="0.3">
      <c r="J134463"/>
    </row>
    <row r="134464" spans="10:10" x14ac:dyDescent="0.3">
      <c r="J134464"/>
    </row>
    <row r="134465" spans="10:10" x14ac:dyDescent="0.3">
      <c r="J134465"/>
    </row>
    <row r="134466" spans="10:10" x14ac:dyDescent="0.3">
      <c r="J134466"/>
    </row>
    <row r="134467" spans="10:10" x14ac:dyDescent="0.3">
      <c r="J134467"/>
    </row>
    <row r="134468" spans="10:10" x14ac:dyDescent="0.3">
      <c r="J134468"/>
    </row>
    <row r="134469" spans="10:10" x14ac:dyDescent="0.3">
      <c r="J134469"/>
    </row>
    <row r="134470" spans="10:10" x14ac:dyDescent="0.3">
      <c r="J134470"/>
    </row>
    <row r="134471" spans="10:10" x14ac:dyDescent="0.3">
      <c r="J134471"/>
    </row>
    <row r="134472" spans="10:10" x14ac:dyDescent="0.3">
      <c r="J134472"/>
    </row>
    <row r="134473" spans="10:10" x14ac:dyDescent="0.3">
      <c r="J134473"/>
    </row>
    <row r="134474" spans="10:10" x14ac:dyDescent="0.3">
      <c r="J134474"/>
    </row>
    <row r="134475" spans="10:10" x14ac:dyDescent="0.3">
      <c r="J134475"/>
    </row>
    <row r="134476" spans="10:10" x14ac:dyDescent="0.3">
      <c r="J134476"/>
    </row>
    <row r="134477" spans="10:10" x14ac:dyDescent="0.3">
      <c r="J134477"/>
    </row>
    <row r="134478" spans="10:10" x14ac:dyDescent="0.3">
      <c r="J134478"/>
    </row>
    <row r="134479" spans="10:10" x14ac:dyDescent="0.3">
      <c r="J134479"/>
    </row>
    <row r="134480" spans="10:10" x14ac:dyDescent="0.3">
      <c r="J134480"/>
    </row>
    <row r="134481" spans="10:10" x14ac:dyDescent="0.3">
      <c r="J134481"/>
    </row>
    <row r="134482" spans="10:10" x14ac:dyDescent="0.3">
      <c r="J134482"/>
    </row>
    <row r="134483" spans="10:10" x14ac:dyDescent="0.3">
      <c r="J134483"/>
    </row>
    <row r="134484" spans="10:10" x14ac:dyDescent="0.3">
      <c r="J134484"/>
    </row>
    <row r="134485" spans="10:10" x14ac:dyDescent="0.3">
      <c r="J134485"/>
    </row>
    <row r="134486" spans="10:10" x14ac:dyDescent="0.3">
      <c r="J134486"/>
    </row>
    <row r="134487" spans="10:10" x14ac:dyDescent="0.3">
      <c r="J134487"/>
    </row>
    <row r="134488" spans="10:10" x14ac:dyDescent="0.3">
      <c r="J134488"/>
    </row>
    <row r="134489" spans="10:10" x14ac:dyDescent="0.3">
      <c r="J134489"/>
    </row>
    <row r="134490" spans="10:10" x14ac:dyDescent="0.3">
      <c r="J134490"/>
    </row>
    <row r="134491" spans="10:10" x14ac:dyDescent="0.3">
      <c r="J134491"/>
    </row>
    <row r="134492" spans="10:10" x14ac:dyDescent="0.3">
      <c r="J134492"/>
    </row>
    <row r="134493" spans="10:10" x14ac:dyDescent="0.3">
      <c r="J134493"/>
    </row>
    <row r="134494" spans="10:10" x14ac:dyDescent="0.3">
      <c r="J134494"/>
    </row>
    <row r="134495" spans="10:10" x14ac:dyDescent="0.3">
      <c r="J134495"/>
    </row>
    <row r="134496" spans="10:10" x14ac:dyDescent="0.3">
      <c r="J134496"/>
    </row>
    <row r="134497" spans="10:10" x14ac:dyDescent="0.3">
      <c r="J134497"/>
    </row>
    <row r="134498" spans="10:10" x14ac:dyDescent="0.3">
      <c r="J134498"/>
    </row>
    <row r="134499" spans="10:10" x14ac:dyDescent="0.3">
      <c r="J134499"/>
    </row>
    <row r="134500" spans="10:10" x14ac:dyDescent="0.3">
      <c r="J134500"/>
    </row>
    <row r="134501" spans="10:10" x14ac:dyDescent="0.3">
      <c r="J134501"/>
    </row>
    <row r="134502" spans="10:10" x14ac:dyDescent="0.3">
      <c r="J134502"/>
    </row>
    <row r="134503" spans="10:10" x14ac:dyDescent="0.3">
      <c r="J134503"/>
    </row>
    <row r="134504" spans="10:10" x14ac:dyDescent="0.3">
      <c r="J134504"/>
    </row>
    <row r="134505" spans="10:10" x14ac:dyDescent="0.3">
      <c r="J134505"/>
    </row>
    <row r="134506" spans="10:10" x14ac:dyDescent="0.3">
      <c r="J134506"/>
    </row>
    <row r="134507" spans="10:10" x14ac:dyDescent="0.3">
      <c r="J134507"/>
    </row>
    <row r="134508" spans="10:10" x14ac:dyDescent="0.3">
      <c r="J134508"/>
    </row>
    <row r="134509" spans="10:10" x14ac:dyDescent="0.3">
      <c r="J134509"/>
    </row>
    <row r="134510" spans="10:10" x14ac:dyDescent="0.3">
      <c r="J134510"/>
    </row>
    <row r="134511" spans="10:10" x14ac:dyDescent="0.3">
      <c r="J134511"/>
    </row>
    <row r="134512" spans="10:10" x14ac:dyDescent="0.3">
      <c r="J134512"/>
    </row>
    <row r="134513" spans="10:10" x14ac:dyDescent="0.3">
      <c r="J134513"/>
    </row>
    <row r="134514" spans="10:10" x14ac:dyDescent="0.3">
      <c r="J134514"/>
    </row>
    <row r="134515" spans="10:10" x14ac:dyDescent="0.3">
      <c r="J134515"/>
    </row>
    <row r="134516" spans="10:10" x14ac:dyDescent="0.3">
      <c r="J134516"/>
    </row>
    <row r="134517" spans="10:10" x14ac:dyDescent="0.3">
      <c r="J134517"/>
    </row>
    <row r="134518" spans="10:10" x14ac:dyDescent="0.3">
      <c r="J134518"/>
    </row>
    <row r="134519" spans="10:10" x14ac:dyDescent="0.3">
      <c r="J134519"/>
    </row>
    <row r="134520" spans="10:10" x14ac:dyDescent="0.3">
      <c r="J134520"/>
    </row>
    <row r="134521" spans="10:10" x14ac:dyDescent="0.3">
      <c r="J134521"/>
    </row>
    <row r="134522" spans="10:10" x14ac:dyDescent="0.3">
      <c r="J134522"/>
    </row>
    <row r="134523" spans="10:10" x14ac:dyDescent="0.3">
      <c r="J134523"/>
    </row>
    <row r="134524" spans="10:10" x14ac:dyDescent="0.3">
      <c r="J134524"/>
    </row>
    <row r="134525" spans="10:10" x14ac:dyDescent="0.3">
      <c r="J134525"/>
    </row>
    <row r="134526" spans="10:10" x14ac:dyDescent="0.3">
      <c r="J134526"/>
    </row>
    <row r="134527" spans="10:10" x14ac:dyDescent="0.3">
      <c r="J134527"/>
    </row>
    <row r="134528" spans="10:10" x14ac:dyDescent="0.3">
      <c r="J134528"/>
    </row>
    <row r="134529" spans="10:10" x14ac:dyDescent="0.3">
      <c r="J134529"/>
    </row>
    <row r="134530" spans="10:10" x14ac:dyDescent="0.3">
      <c r="J134530"/>
    </row>
    <row r="134531" spans="10:10" x14ac:dyDescent="0.3">
      <c r="J134531"/>
    </row>
    <row r="134532" spans="10:10" x14ac:dyDescent="0.3">
      <c r="J134532"/>
    </row>
    <row r="134533" spans="10:10" x14ac:dyDescent="0.3">
      <c r="J134533"/>
    </row>
    <row r="134534" spans="10:10" x14ac:dyDescent="0.3">
      <c r="J134534"/>
    </row>
    <row r="134535" spans="10:10" x14ac:dyDescent="0.3">
      <c r="J134535"/>
    </row>
    <row r="134536" spans="10:10" x14ac:dyDescent="0.3">
      <c r="J134536"/>
    </row>
    <row r="134537" spans="10:10" x14ac:dyDescent="0.3">
      <c r="J134537"/>
    </row>
    <row r="134538" spans="10:10" x14ac:dyDescent="0.3">
      <c r="J134538"/>
    </row>
    <row r="134539" spans="10:10" x14ac:dyDescent="0.3">
      <c r="J134539"/>
    </row>
    <row r="134540" spans="10:10" x14ac:dyDescent="0.3">
      <c r="J134540"/>
    </row>
    <row r="134541" spans="10:10" x14ac:dyDescent="0.3">
      <c r="J134541"/>
    </row>
    <row r="134542" spans="10:10" x14ac:dyDescent="0.3">
      <c r="J134542"/>
    </row>
    <row r="134543" spans="10:10" x14ac:dyDescent="0.3">
      <c r="J134543"/>
    </row>
    <row r="134544" spans="10:10" x14ac:dyDescent="0.3">
      <c r="J134544"/>
    </row>
    <row r="134545" spans="10:10" x14ac:dyDescent="0.3">
      <c r="J134545"/>
    </row>
    <row r="134546" spans="10:10" x14ac:dyDescent="0.3">
      <c r="J134546"/>
    </row>
    <row r="134547" spans="10:10" x14ac:dyDescent="0.3">
      <c r="J134547"/>
    </row>
    <row r="134548" spans="10:10" x14ac:dyDescent="0.3">
      <c r="J134548"/>
    </row>
    <row r="134549" spans="10:10" x14ac:dyDescent="0.3">
      <c r="J134549"/>
    </row>
    <row r="134550" spans="10:10" x14ac:dyDescent="0.3">
      <c r="J134550"/>
    </row>
    <row r="134551" spans="10:10" x14ac:dyDescent="0.3">
      <c r="J134551"/>
    </row>
    <row r="134552" spans="10:10" x14ac:dyDescent="0.3">
      <c r="J134552"/>
    </row>
    <row r="134553" spans="10:10" x14ac:dyDescent="0.3">
      <c r="J134553"/>
    </row>
    <row r="134554" spans="10:10" x14ac:dyDescent="0.3">
      <c r="J134554"/>
    </row>
    <row r="134555" spans="10:10" x14ac:dyDescent="0.3">
      <c r="J134555"/>
    </row>
    <row r="134556" spans="10:10" x14ac:dyDescent="0.3">
      <c r="J134556"/>
    </row>
    <row r="134557" spans="10:10" x14ac:dyDescent="0.3">
      <c r="J134557"/>
    </row>
    <row r="134558" spans="10:10" x14ac:dyDescent="0.3">
      <c r="J134558"/>
    </row>
    <row r="134559" spans="10:10" x14ac:dyDescent="0.3">
      <c r="J134559"/>
    </row>
    <row r="134560" spans="10:10" x14ac:dyDescent="0.3">
      <c r="J134560"/>
    </row>
    <row r="134561" spans="10:10" x14ac:dyDescent="0.3">
      <c r="J134561"/>
    </row>
    <row r="134562" spans="10:10" x14ac:dyDescent="0.3">
      <c r="J134562"/>
    </row>
    <row r="134563" spans="10:10" x14ac:dyDescent="0.3">
      <c r="J134563"/>
    </row>
    <row r="134564" spans="10:10" x14ac:dyDescent="0.3">
      <c r="J134564"/>
    </row>
    <row r="134565" spans="10:10" x14ac:dyDescent="0.3">
      <c r="J134565"/>
    </row>
    <row r="134566" spans="10:10" x14ac:dyDescent="0.3">
      <c r="J134566"/>
    </row>
    <row r="134567" spans="10:10" x14ac:dyDescent="0.3">
      <c r="J134567"/>
    </row>
    <row r="134568" spans="10:10" x14ac:dyDescent="0.3">
      <c r="J134568"/>
    </row>
    <row r="134569" spans="10:10" x14ac:dyDescent="0.3">
      <c r="J134569"/>
    </row>
    <row r="134570" spans="10:10" x14ac:dyDescent="0.3">
      <c r="J134570"/>
    </row>
    <row r="134571" spans="10:10" x14ac:dyDescent="0.3">
      <c r="J134571"/>
    </row>
    <row r="134572" spans="10:10" x14ac:dyDescent="0.3">
      <c r="J134572"/>
    </row>
    <row r="134573" spans="10:10" x14ac:dyDescent="0.3">
      <c r="J134573"/>
    </row>
    <row r="134574" spans="10:10" x14ac:dyDescent="0.3">
      <c r="J134574"/>
    </row>
    <row r="134575" spans="10:10" x14ac:dyDescent="0.3">
      <c r="J134575"/>
    </row>
    <row r="134576" spans="10:10" x14ac:dyDescent="0.3">
      <c r="J134576"/>
    </row>
    <row r="134577" spans="10:10" x14ac:dyDescent="0.3">
      <c r="J134577"/>
    </row>
    <row r="134578" spans="10:10" x14ac:dyDescent="0.3">
      <c r="J134578"/>
    </row>
    <row r="134579" spans="10:10" x14ac:dyDescent="0.3">
      <c r="J134579"/>
    </row>
    <row r="134580" spans="10:10" x14ac:dyDescent="0.3">
      <c r="J134580"/>
    </row>
    <row r="134581" spans="10:10" x14ac:dyDescent="0.3">
      <c r="J134581"/>
    </row>
    <row r="134582" spans="10:10" x14ac:dyDescent="0.3">
      <c r="J134582"/>
    </row>
    <row r="134583" spans="10:10" x14ac:dyDescent="0.3">
      <c r="J134583"/>
    </row>
    <row r="134584" spans="10:10" x14ac:dyDescent="0.3">
      <c r="J134584"/>
    </row>
    <row r="134585" spans="10:10" x14ac:dyDescent="0.3">
      <c r="J134585"/>
    </row>
    <row r="134586" spans="10:10" x14ac:dyDescent="0.3">
      <c r="J134586"/>
    </row>
    <row r="134587" spans="10:10" x14ac:dyDescent="0.3">
      <c r="J134587"/>
    </row>
    <row r="134588" spans="10:10" x14ac:dyDescent="0.3">
      <c r="J134588"/>
    </row>
    <row r="134589" spans="10:10" x14ac:dyDescent="0.3">
      <c r="J134589"/>
    </row>
    <row r="134590" spans="10:10" x14ac:dyDescent="0.3">
      <c r="J134590"/>
    </row>
    <row r="134591" spans="10:10" x14ac:dyDescent="0.3">
      <c r="J134591"/>
    </row>
    <row r="134592" spans="10:10" x14ac:dyDescent="0.3">
      <c r="J134592"/>
    </row>
    <row r="134593" spans="10:10" x14ac:dyDescent="0.3">
      <c r="J134593"/>
    </row>
    <row r="134594" spans="10:10" x14ac:dyDescent="0.3">
      <c r="J134594"/>
    </row>
    <row r="134595" spans="10:10" x14ac:dyDescent="0.3">
      <c r="J134595"/>
    </row>
    <row r="134596" spans="10:10" x14ac:dyDescent="0.3">
      <c r="J134596"/>
    </row>
    <row r="134597" spans="10:10" x14ac:dyDescent="0.3">
      <c r="J134597"/>
    </row>
    <row r="134598" spans="10:10" x14ac:dyDescent="0.3">
      <c r="J134598"/>
    </row>
    <row r="134599" spans="10:10" x14ac:dyDescent="0.3">
      <c r="J134599"/>
    </row>
    <row r="134600" spans="10:10" x14ac:dyDescent="0.3">
      <c r="J134600"/>
    </row>
    <row r="134601" spans="10:10" x14ac:dyDescent="0.3">
      <c r="J134601"/>
    </row>
    <row r="134602" spans="10:10" x14ac:dyDescent="0.3">
      <c r="J134602"/>
    </row>
    <row r="134603" spans="10:10" x14ac:dyDescent="0.3">
      <c r="J134603"/>
    </row>
    <row r="134604" spans="10:10" x14ac:dyDescent="0.3">
      <c r="J134604"/>
    </row>
    <row r="134605" spans="10:10" x14ac:dyDescent="0.3">
      <c r="J134605"/>
    </row>
    <row r="134606" spans="10:10" x14ac:dyDescent="0.3">
      <c r="J134606"/>
    </row>
    <row r="134607" spans="10:10" x14ac:dyDescent="0.3">
      <c r="J134607"/>
    </row>
    <row r="134608" spans="10:10" x14ac:dyDescent="0.3">
      <c r="J134608"/>
    </row>
    <row r="134609" spans="10:10" x14ac:dyDescent="0.3">
      <c r="J134609"/>
    </row>
    <row r="134610" spans="10:10" x14ac:dyDescent="0.3">
      <c r="J134610"/>
    </row>
    <row r="134611" spans="10:10" x14ac:dyDescent="0.3">
      <c r="J134611"/>
    </row>
    <row r="134612" spans="10:10" x14ac:dyDescent="0.3">
      <c r="J134612"/>
    </row>
    <row r="134613" spans="10:10" x14ac:dyDescent="0.3">
      <c r="J134613"/>
    </row>
    <row r="134614" spans="10:10" x14ac:dyDescent="0.3">
      <c r="J134614"/>
    </row>
    <row r="134615" spans="10:10" x14ac:dyDescent="0.3">
      <c r="J134615"/>
    </row>
    <row r="134616" spans="10:10" x14ac:dyDescent="0.3">
      <c r="J134616"/>
    </row>
    <row r="134617" spans="10:10" x14ac:dyDescent="0.3">
      <c r="J134617"/>
    </row>
    <row r="134618" spans="10:10" x14ac:dyDescent="0.3">
      <c r="J134618"/>
    </row>
    <row r="134619" spans="10:10" x14ac:dyDescent="0.3">
      <c r="J134619"/>
    </row>
    <row r="134620" spans="10:10" x14ac:dyDescent="0.3">
      <c r="J134620"/>
    </row>
    <row r="134621" spans="10:10" x14ac:dyDescent="0.3">
      <c r="J134621"/>
    </row>
    <row r="134622" spans="10:10" x14ac:dyDescent="0.3">
      <c r="J134622"/>
    </row>
    <row r="134623" spans="10:10" x14ac:dyDescent="0.3">
      <c r="J134623"/>
    </row>
    <row r="134624" spans="10:10" x14ac:dyDescent="0.3">
      <c r="J134624"/>
    </row>
    <row r="134625" spans="10:10" x14ac:dyDescent="0.3">
      <c r="J134625"/>
    </row>
    <row r="134626" spans="10:10" x14ac:dyDescent="0.3">
      <c r="J134626"/>
    </row>
    <row r="134627" spans="10:10" x14ac:dyDescent="0.3">
      <c r="J134627"/>
    </row>
    <row r="134628" spans="10:10" x14ac:dyDescent="0.3">
      <c r="J134628"/>
    </row>
    <row r="134629" spans="10:10" x14ac:dyDescent="0.3">
      <c r="J134629"/>
    </row>
    <row r="134630" spans="10:10" x14ac:dyDescent="0.3">
      <c r="J134630"/>
    </row>
    <row r="134631" spans="10:10" x14ac:dyDescent="0.3">
      <c r="J134631"/>
    </row>
    <row r="134632" spans="10:10" x14ac:dyDescent="0.3">
      <c r="J134632"/>
    </row>
    <row r="134633" spans="10:10" x14ac:dyDescent="0.3">
      <c r="J134633"/>
    </row>
    <row r="134634" spans="10:10" x14ac:dyDescent="0.3">
      <c r="J134634"/>
    </row>
    <row r="134635" spans="10:10" x14ac:dyDescent="0.3">
      <c r="J134635"/>
    </row>
    <row r="134636" spans="10:10" x14ac:dyDescent="0.3">
      <c r="J134636"/>
    </row>
    <row r="134637" spans="10:10" x14ac:dyDescent="0.3">
      <c r="J134637"/>
    </row>
    <row r="134638" spans="10:10" x14ac:dyDescent="0.3">
      <c r="J134638"/>
    </row>
    <row r="134639" spans="10:10" x14ac:dyDescent="0.3">
      <c r="J134639"/>
    </row>
    <row r="134640" spans="10:10" x14ac:dyDescent="0.3">
      <c r="J134640"/>
    </row>
    <row r="134641" spans="10:10" x14ac:dyDescent="0.3">
      <c r="J134641"/>
    </row>
    <row r="134642" spans="10:10" x14ac:dyDescent="0.3">
      <c r="J134642"/>
    </row>
    <row r="134643" spans="10:10" x14ac:dyDescent="0.3">
      <c r="J134643"/>
    </row>
    <row r="134644" spans="10:10" x14ac:dyDescent="0.3">
      <c r="J134644"/>
    </row>
    <row r="134645" spans="10:10" x14ac:dyDescent="0.3">
      <c r="J134645"/>
    </row>
    <row r="134646" spans="10:10" x14ac:dyDescent="0.3">
      <c r="J134646"/>
    </row>
    <row r="134647" spans="10:10" x14ac:dyDescent="0.3">
      <c r="J134647"/>
    </row>
    <row r="134648" spans="10:10" x14ac:dyDescent="0.3">
      <c r="J134648"/>
    </row>
    <row r="134649" spans="10:10" x14ac:dyDescent="0.3">
      <c r="J134649"/>
    </row>
    <row r="134650" spans="10:10" x14ac:dyDescent="0.3">
      <c r="J134650"/>
    </row>
    <row r="134651" spans="10:10" x14ac:dyDescent="0.3">
      <c r="J134651"/>
    </row>
    <row r="134652" spans="10:10" x14ac:dyDescent="0.3">
      <c r="J134652"/>
    </row>
    <row r="134653" spans="10:10" x14ac:dyDescent="0.3">
      <c r="J134653"/>
    </row>
    <row r="134654" spans="10:10" x14ac:dyDescent="0.3">
      <c r="J134654"/>
    </row>
    <row r="134655" spans="10:10" x14ac:dyDescent="0.3">
      <c r="J134655"/>
    </row>
    <row r="134656" spans="10:10" x14ac:dyDescent="0.3">
      <c r="J134656"/>
    </row>
    <row r="134657" spans="10:10" x14ac:dyDescent="0.3">
      <c r="J134657"/>
    </row>
    <row r="134658" spans="10:10" x14ac:dyDescent="0.3">
      <c r="J134658"/>
    </row>
    <row r="134659" spans="10:10" x14ac:dyDescent="0.3">
      <c r="J134659"/>
    </row>
    <row r="134660" spans="10:10" x14ac:dyDescent="0.3">
      <c r="J134660"/>
    </row>
    <row r="134661" spans="10:10" x14ac:dyDescent="0.3">
      <c r="J134661"/>
    </row>
    <row r="134662" spans="10:10" x14ac:dyDescent="0.3">
      <c r="J134662"/>
    </row>
    <row r="134663" spans="10:10" x14ac:dyDescent="0.3">
      <c r="J134663"/>
    </row>
    <row r="134664" spans="10:10" x14ac:dyDescent="0.3">
      <c r="J134664"/>
    </row>
    <row r="134665" spans="10:10" x14ac:dyDescent="0.3">
      <c r="J134665"/>
    </row>
    <row r="134666" spans="10:10" x14ac:dyDescent="0.3">
      <c r="J134666"/>
    </row>
    <row r="134667" spans="10:10" x14ac:dyDescent="0.3">
      <c r="J134667"/>
    </row>
    <row r="134668" spans="10:10" x14ac:dyDescent="0.3">
      <c r="J134668"/>
    </row>
    <row r="134669" spans="10:10" x14ac:dyDescent="0.3">
      <c r="J134669"/>
    </row>
    <row r="134670" spans="10:10" x14ac:dyDescent="0.3">
      <c r="J134670"/>
    </row>
    <row r="134671" spans="10:10" x14ac:dyDescent="0.3">
      <c r="J134671"/>
    </row>
    <row r="134672" spans="10:10" x14ac:dyDescent="0.3">
      <c r="J134672"/>
    </row>
    <row r="134673" spans="10:10" x14ac:dyDescent="0.3">
      <c r="J134673"/>
    </row>
    <row r="134674" spans="10:10" x14ac:dyDescent="0.3">
      <c r="J134674"/>
    </row>
    <row r="134675" spans="10:10" x14ac:dyDescent="0.3">
      <c r="J134675"/>
    </row>
    <row r="134676" spans="10:10" x14ac:dyDescent="0.3">
      <c r="J134676"/>
    </row>
    <row r="134677" spans="10:10" x14ac:dyDescent="0.3">
      <c r="J134677"/>
    </row>
    <row r="134678" spans="10:10" x14ac:dyDescent="0.3">
      <c r="J134678"/>
    </row>
    <row r="134679" spans="10:10" x14ac:dyDescent="0.3">
      <c r="J134679"/>
    </row>
    <row r="134680" spans="10:10" x14ac:dyDescent="0.3">
      <c r="J134680"/>
    </row>
    <row r="134681" spans="10:10" x14ac:dyDescent="0.3">
      <c r="J134681"/>
    </row>
    <row r="134682" spans="10:10" x14ac:dyDescent="0.3">
      <c r="J134682"/>
    </row>
    <row r="134683" spans="10:10" x14ac:dyDescent="0.3">
      <c r="J134683"/>
    </row>
    <row r="134684" spans="10:10" x14ac:dyDescent="0.3">
      <c r="J134684"/>
    </row>
    <row r="134685" spans="10:10" x14ac:dyDescent="0.3">
      <c r="J134685"/>
    </row>
    <row r="134686" spans="10:10" x14ac:dyDescent="0.3">
      <c r="J134686"/>
    </row>
    <row r="134687" spans="10:10" x14ac:dyDescent="0.3">
      <c r="J134687"/>
    </row>
    <row r="134688" spans="10:10" x14ac:dyDescent="0.3">
      <c r="J134688"/>
    </row>
    <row r="134689" spans="10:10" x14ac:dyDescent="0.3">
      <c r="J134689"/>
    </row>
    <row r="134690" spans="10:10" x14ac:dyDescent="0.3">
      <c r="J134690"/>
    </row>
    <row r="134691" spans="10:10" x14ac:dyDescent="0.3">
      <c r="J134691"/>
    </row>
    <row r="134692" spans="10:10" x14ac:dyDescent="0.3">
      <c r="J134692"/>
    </row>
    <row r="134693" spans="10:10" x14ac:dyDescent="0.3">
      <c r="J134693"/>
    </row>
    <row r="134694" spans="10:10" x14ac:dyDescent="0.3">
      <c r="J134694"/>
    </row>
    <row r="134695" spans="10:10" x14ac:dyDescent="0.3">
      <c r="J134695"/>
    </row>
    <row r="134696" spans="10:10" x14ac:dyDescent="0.3">
      <c r="J134696"/>
    </row>
    <row r="134697" spans="10:10" x14ac:dyDescent="0.3">
      <c r="J134697"/>
    </row>
    <row r="134698" spans="10:10" x14ac:dyDescent="0.3">
      <c r="J134698"/>
    </row>
    <row r="134699" spans="10:10" x14ac:dyDescent="0.3">
      <c r="J134699"/>
    </row>
    <row r="134700" spans="10:10" x14ac:dyDescent="0.3">
      <c r="J134700"/>
    </row>
    <row r="134701" spans="10:10" x14ac:dyDescent="0.3">
      <c r="J134701"/>
    </row>
    <row r="134702" spans="10:10" x14ac:dyDescent="0.3">
      <c r="J134702"/>
    </row>
    <row r="134703" spans="10:10" x14ac:dyDescent="0.3">
      <c r="J134703"/>
    </row>
    <row r="134704" spans="10:10" x14ac:dyDescent="0.3">
      <c r="J134704"/>
    </row>
    <row r="134705" spans="10:10" x14ac:dyDescent="0.3">
      <c r="J134705"/>
    </row>
    <row r="134706" spans="10:10" x14ac:dyDescent="0.3">
      <c r="J134706"/>
    </row>
    <row r="134707" spans="10:10" x14ac:dyDescent="0.3">
      <c r="J134707"/>
    </row>
    <row r="134708" spans="10:10" x14ac:dyDescent="0.3">
      <c r="J134708"/>
    </row>
    <row r="134709" spans="10:10" x14ac:dyDescent="0.3">
      <c r="J134709"/>
    </row>
    <row r="134710" spans="10:10" x14ac:dyDescent="0.3">
      <c r="J134710"/>
    </row>
    <row r="134711" spans="10:10" x14ac:dyDescent="0.3">
      <c r="J134711"/>
    </row>
    <row r="134712" spans="10:10" x14ac:dyDescent="0.3">
      <c r="J134712"/>
    </row>
    <row r="134713" spans="10:10" x14ac:dyDescent="0.3">
      <c r="J134713"/>
    </row>
    <row r="134714" spans="10:10" x14ac:dyDescent="0.3">
      <c r="J134714"/>
    </row>
    <row r="134715" spans="10:10" x14ac:dyDescent="0.3">
      <c r="J134715"/>
    </row>
    <row r="134716" spans="10:10" x14ac:dyDescent="0.3">
      <c r="J134716"/>
    </row>
    <row r="134717" spans="10:10" x14ac:dyDescent="0.3">
      <c r="J134717"/>
    </row>
    <row r="134718" spans="10:10" x14ac:dyDescent="0.3">
      <c r="J134718"/>
    </row>
    <row r="134719" spans="10:10" x14ac:dyDescent="0.3">
      <c r="J134719"/>
    </row>
    <row r="134720" spans="10:10" x14ac:dyDescent="0.3">
      <c r="J134720"/>
    </row>
    <row r="134721" spans="10:10" x14ac:dyDescent="0.3">
      <c r="J134721"/>
    </row>
    <row r="134722" spans="10:10" x14ac:dyDescent="0.3">
      <c r="J134722"/>
    </row>
    <row r="134723" spans="10:10" x14ac:dyDescent="0.3">
      <c r="J134723"/>
    </row>
    <row r="134724" spans="10:10" x14ac:dyDescent="0.3">
      <c r="J134724"/>
    </row>
    <row r="134725" spans="10:10" x14ac:dyDescent="0.3">
      <c r="J134725"/>
    </row>
    <row r="134726" spans="10:10" x14ac:dyDescent="0.3">
      <c r="J134726"/>
    </row>
    <row r="134727" spans="10:10" x14ac:dyDescent="0.3">
      <c r="J134727"/>
    </row>
    <row r="134728" spans="10:10" x14ac:dyDescent="0.3">
      <c r="J134728"/>
    </row>
    <row r="134729" spans="10:10" x14ac:dyDescent="0.3">
      <c r="J134729"/>
    </row>
    <row r="134730" spans="10:10" x14ac:dyDescent="0.3">
      <c r="J134730"/>
    </row>
    <row r="134731" spans="10:10" x14ac:dyDescent="0.3">
      <c r="J134731"/>
    </row>
    <row r="134732" spans="10:10" x14ac:dyDescent="0.3">
      <c r="J134732"/>
    </row>
    <row r="134733" spans="10:10" x14ac:dyDescent="0.3">
      <c r="J134733"/>
    </row>
    <row r="134734" spans="10:10" x14ac:dyDescent="0.3">
      <c r="J134734"/>
    </row>
    <row r="134735" spans="10:10" x14ac:dyDescent="0.3">
      <c r="J134735"/>
    </row>
    <row r="134736" spans="10:10" x14ac:dyDescent="0.3">
      <c r="J134736"/>
    </row>
    <row r="134737" spans="10:10" x14ac:dyDescent="0.3">
      <c r="J134737"/>
    </row>
    <row r="134738" spans="10:10" x14ac:dyDescent="0.3">
      <c r="J134738"/>
    </row>
    <row r="134739" spans="10:10" x14ac:dyDescent="0.3">
      <c r="J134739"/>
    </row>
    <row r="134740" spans="10:10" x14ac:dyDescent="0.3">
      <c r="J134740"/>
    </row>
    <row r="134741" spans="10:10" x14ac:dyDescent="0.3">
      <c r="J134741"/>
    </row>
    <row r="134742" spans="10:10" x14ac:dyDescent="0.3">
      <c r="J134742"/>
    </row>
    <row r="134743" spans="10:10" x14ac:dyDescent="0.3">
      <c r="J134743"/>
    </row>
    <row r="134744" spans="10:10" x14ac:dyDescent="0.3">
      <c r="J134744"/>
    </row>
    <row r="134745" spans="10:10" x14ac:dyDescent="0.3">
      <c r="J134745"/>
    </row>
    <row r="134746" spans="10:10" x14ac:dyDescent="0.3">
      <c r="J134746"/>
    </row>
    <row r="134747" spans="10:10" x14ac:dyDescent="0.3">
      <c r="J134747"/>
    </row>
    <row r="134748" spans="10:10" x14ac:dyDescent="0.3">
      <c r="J134748"/>
    </row>
    <row r="134749" spans="10:10" x14ac:dyDescent="0.3">
      <c r="J134749"/>
    </row>
    <row r="134750" spans="10:10" x14ac:dyDescent="0.3">
      <c r="J134750"/>
    </row>
    <row r="134751" spans="10:10" x14ac:dyDescent="0.3">
      <c r="J134751"/>
    </row>
    <row r="134752" spans="10:10" x14ac:dyDescent="0.3">
      <c r="J134752"/>
    </row>
    <row r="134753" spans="10:10" x14ac:dyDescent="0.3">
      <c r="J134753"/>
    </row>
    <row r="134754" spans="10:10" x14ac:dyDescent="0.3">
      <c r="J134754"/>
    </row>
    <row r="134755" spans="10:10" x14ac:dyDescent="0.3">
      <c r="J134755"/>
    </row>
    <row r="134756" spans="10:10" x14ac:dyDescent="0.3">
      <c r="J134756"/>
    </row>
    <row r="134757" spans="10:10" x14ac:dyDescent="0.3">
      <c r="J134757"/>
    </row>
    <row r="134758" spans="10:10" x14ac:dyDescent="0.3">
      <c r="J134758"/>
    </row>
    <row r="134759" spans="10:10" x14ac:dyDescent="0.3">
      <c r="J134759"/>
    </row>
    <row r="134760" spans="10:10" x14ac:dyDescent="0.3">
      <c r="J134760"/>
    </row>
    <row r="134761" spans="10:10" x14ac:dyDescent="0.3">
      <c r="J134761"/>
    </row>
    <row r="134762" spans="10:10" x14ac:dyDescent="0.3">
      <c r="J134762"/>
    </row>
    <row r="134763" spans="10:10" x14ac:dyDescent="0.3">
      <c r="J134763"/>
    </row>
    <row r="134764" spans="10:10" x14ac:dyDescent="0.3">
      <c r="J134764"/>
    </row>
    <row r="134765" spans="10:10" x14ac:dyDescent="0.3">
      <c r="J134765"/>
    </row>
    <row r="134766" spans="10:10" x14ac:dyDescent="0.3">
      <c r="J134766"/>
    </row>
    <row r="134767" spans="10:10" x14ac:dyDescent="0.3">
      <c r="J134767"/>
    </row>
    <row r="134768" spans="10:10" x14ac:dyDescent="0.3">
      <c r="J134768"/>
    </row>
    <row r="134769" spans="10:10" x14ac:dyDescent="0.3">
      <c r="J134769"/>
    </row>
    <row r="134770" spans="10:10" x14ac:dyDescent="0.3">
      <c r="J134770"/>
    </row>
    <row r="134771" spans="10:10" x14ac:dyDescent="0.3">
      <c r="J134771"/>
    </row>
    <row r="134772" spans="10:10" x14ac:dyDescent="0.3">
      <c r="J134772"/>
    </row>
    <row r="134773" spans="10:10" x14ac:dyDescent="0.3">
      <c r="J134773"/>
    </row>
    <row r="134774" spans="10:10" x14ac:dyDescent="0.3">
      <c r="J134774"/>
    </row>
    <row r="134775" spans="10:10" x14ac:dyDescent="0.3">
      <c r="J134775"/>
    </row>
    <row r="134776" spans="10:10" x14ac:dyDescent="0.3">
      <c r="J134776"/>
    </row>
    <row r="134777" spans="10:10" x14ac:dyDescent="0.3">
      <c r="J134777"/>
    </row>
    <row r="134778" spans="10:10" x14ac:dyDescent="0.3">
      <c r="J134778"/>
    </row>
    <row r="134779" spans="10:10" x14ac:dyDescent="0.3">
      <c r="J134779"/>
    </row>
    <row r="134780" spans="10:10" x14ac:dyDescent="0.3">
      <c r="J134780"/>
    </row>
    <row r="134781" spans="10:10" x14ac:dyDescent="0.3">
      <c r="J134781"/>
    </row>
    <row r="134782" spans="10:10" x14ac:dyDescent="0.3">
      <c r="J134782"/>
    </row>
    <row r="134783" spans="10:10" x14ac:dyDescent="0.3">
      <c r="J134783"/>
    </row>
    <row r="134784" spans="10:10" x14ac:dyDescent="0.3">
      <c r="J134784"/>
    </row>
    <row r="134785" spans="10:10" x14ac:dyDescent="0.3">
      <c r="J134785"/>
    </row>
    <row r="134786" spans="10:10" x14ac:dyDescent="0.3">
      <c r="J134786"/>
    </row>
    <row r="134787" spans="10:10" x14ac:dyDescent="0.3">
      <c r="J134787"/>
    </row>
    <row r="134788" spans="10:10" x14ac:dyDescent="0.3">
      <c r="J134788"/>
    </row>
    <row r="134789" spans="10:10" x14ac:dyDescent="0.3">
      <c r="J134789"/>
    </row>
    <row r="134790" spans="10:10" x14ac:dyDescent="0.3">
      <c r="J134790"/>
    </row>
    <row r="134791" spans="10:10" x14ac:dyDescent="0.3">
      <c r="J134791"/>
    </row>
    <row r="134792" spans="10:10" x14ac:dyDescent="0.3">
      <c r="J134792"/>
    </row>
    <row r="134793" spans="10:10" x14ac:dyDescent="0.3">
      <c r="J134793"/>
    </row>
    <row r="134794" spans="10:10" x14ac:dyDescent="0.3">
      <c r="J134794"/>
    </row>
    <row r="134795" spans="10:10" x14ac:dyDescent="0.3">
      <c r="J134795"/>
    </row>
    <row r="134796" spans="10:10" x14ac:dyDescent="0.3">
      <c r="J134796"/>
    </row>
    <row r="134797" spans="10:10" x14ac:dyDescent="0.3">
      <c r="J134797"/>
    </row>
    <row r="134798" spans="10:10" x14ac:dyDescent="0.3">
      <c r="J134798"/>
    </row>
    <row r="134799" spans="10:10" x14ac:dyDescent="0.3">
      <c r="J134799"/>
    </row>
    <row r="134800" spans="10:10" x14ac:dyDescent="0.3">
      <c r="J134800"/>
    </row>
    <row r="134801" spans="10:10" x14ac:dyDescent="0.3">
      <c r="J134801"/>
    </row>
    <row r="134802" spans="10:10" x14ac:dyDescent="0.3">
      <c r="J134802"/>
    </row>
    <row r="134803" spans="10:10" x14ac:dyDescent="0.3">
      <c r="J134803"/>
    </row>
    <row r="134804" spans="10:10" x14ac:dyDescent="0.3">
      <c r="J134804"/>
    </row>
    <row r="134805" spans="10:10" x14ac:dyDescent="0.3">
      <c r="J134805"/>
    </row>
    <row r="134806" spans="10:10" x14ac:dyDescent="0.3">
      <c r="J134806"/>
    </row>
    <row r="134807" spans="10:10" x14ac:dyDescent="0.3">
      <c r="J134807"/>
    </row>
    <row r="134808" spans="10:10" x14ac:dyDescent="0.3">
      <c r="J134808"/>
    </row>
    <row r="134809" spans="10:10" x14ac:dyDescent="0.3">
      <c r="J134809"/>
    </row>
    <row r="134810" spans="10:10" x14ac:dyDescent="0.3">
      <c r="J134810"/>
    </row>
    <row r="134811" spans="10:10" x14ac:dyDescent="0.3">
      <c r="J134811"/>
    </row>
    <row r="134812" spans="10:10" x14ac:dyDescent="0.3">
      <c r="J134812"/>
    </row>
    <row r="134813" spans="10:10" x14ac:dyDescent="0.3">
      <c r="J134813"/>
    </row>
    <row r="134814" spans="10:10" x14ac:dyDescent="0.3">
      <c r="J134814"/>
    </row>
    <row r="134815" spans="10:10" x14ac:dyDescent="0.3">
      <c r="J134815"/>
    </row>
    <row r="134816" spans="10:10" x14ac:dyDescent="0.3">
      <c r="J134816"/>
    </row>
    <row r="134817" spans="10:10" x14ac:dyDescent="0.3">
      <c r="J134817"/>
    </row>
    <row r="134818" spans="10:10" x14ac:dyDescent="0.3">
      <c r="J134818"/>
    </row>
    <row r="134819" spans="10:10" x14ac:dyDescent="0.3">
      <c r="J134819"/>
    </row>
    <row r="134820" spans="10:10" x14ac:dyDescent="0.3">
      <c r="J134820"/>
    </row>
    <row r="134821" spans="10:10" x14ac:dyDescent="0.3">
      <c r="J134821"/>
    </row>
    <row r="134822" spans="10:10" x14ac:dyDescent="0.3">
      <c r="J134822"/>
    </row>
    <row r="134823" spans="10:10" x14ac:dyDescent="0.3">
      <c r="J134823"/>
    </row>
    <row r="134824" spans="10:10" x14ac:dyDescent="0.3">
      <c r="J134824"/>
    </row>
    <row r="134825" spans="10:10" x14ac:dyDescent="0.3">
      <c r="J134825"/>
    </row>
    <row r="134826" spans="10:10" x14ac:dyDescent="0.3">
      <c r="J134826"/>
    </row>
    <row r="134827" spans="10:10" x14ac:dyDescent="0.3">
      <c r="J134827"/>
    </row>
    <row r="134828" spans="10:10" x14ac:dyDescent="0.3">
      <c r="J134828"/>
    </row>
    <row r="134829" spans="10:10" x14ac:dyDescent="0.3">
      <c r="J134829"/>
    </row>
    <row r="134830" spans="10:10" x14ac:dyDescent="0.3">
      <c r="J134830"/>
    </row>
    <row r="134831" spans="10:10" x14ac:dyDescent="0.3">
      <c r="J134831"/>
    </row>
    <row r="134832" spans="10:10" x14ac:dyDescent="0.3">
      <c r="J134832"/>
    </row>
    <row r="134833" spans="10:10" x14ac:dyDescent="0.3">
      <c r="J134833"/>
    </row>
    <row r="134834" spans="10:10" x14ac:dyDescent="0.3">
      <c r="J134834"/>
    </row>
    <row r="134835" spans="10:10" x14ac:dyDescent="0.3">
      <c r="J134835"/>
    </row>
    <row r="134836" spans="10:10" x14ac:dyDescent="0.3">
      <c r="J134836"/>
    </row>
    <row r="134837" spans="10:10" x14ac:dyDescent="0.3">
      <c r="J134837"/>
    </row>
    <row r="134838" spans="10:10" x14ac:dyDescent="0.3">
      <c r="J134838"/>
    </row>
    <row r="134839" spans="10:10" x14ac:dyDescent="0.3">
      <c r="J134839"/>
    </row>
    <row r="134840" spans="10:10" x14ac:dyDescent="0.3">
      <c r="J134840"/>
    </row>
    <row r="134841" spans="10:10" x14ac:dyDescent="0.3">
      <c r="J134841"/>
    </row>
    <row r="134842" spans="10:10" x14ac:dyDescent="0.3">
      <c r="J134842"/>
    </row>
    <row r="134843" spans="10:10" x14ac:dyDescent="0.3">
      <c r="J134843"/>
    </row>
    <row r="134844" spans="10:10" x14ac:dyDescent="0.3">
      <c r="J134844"/>
    </row>
    <row r="134845" spans="10:10" x14ac:dyDescent="0.3">
      <c r="J134845"/>
    </row>
    <row r="134846" spans="10:10" x14ac:dyDescent="0.3">
      <c r="J134846"/>
    </row>
    <row r="134847" spans="10:10" x14ac:dyDescent="0.3">
      <c r="J134847"/>
    </row>
    <row r="134848" spans="10:10" x14ac:dyDescent="0.3">
      <c r="J134848"/>
    </row>
    <row r="134849" spans="10:10" x14ac:dyDescent="0.3">
      <c r="J134849"/>
    </row>
    <row r="134850" spans="10:10" x14ac:dyDescent="0.3">
      <c r="J134850"/>
    </row>
    <row r="134851" spans="10:10" x14ac:dyDescent="0.3">
      <c r="J134851"/>
    </row>
    <row r="134852" spans="10:10" x14ac:dyDescent="0.3">
      <c r="J134852"/>
    </row>
    <row r="134853" spans="10:10" x14ac:dyDescent="0.3">
      <c r="J134853"/>
    </row>
    <row r="134854" spans="10:10" x14ac:dyDescent="0.3">
      <c r="J134854"/>
    </row>
    <row r="134855" spans="10:10" x14ac:dyDescent="0.3">
      <c r="J134855"/>
    </row>
    <row r="134856" spans="10:10" x14ac:dyDescent="0.3">
      <c r="J134856"/>
    </row>
    <row r="134857" spans="10:10" x14ac:dyDescent="0.3">
      <c r="J134857"/>
    </row>
    <row r="134858" spans="10:10" x14ac:dyDescent="0.3">
      <c r="J134858"/>
    </row>
    <row r="134859" spans="10:10" x14ac:dyDescent="0.3">
      <c r="J134859"/>
    </row>
    <row r="134860" spans="10:10" x14ac:dyDescent="0.3">
      <c r="J134860"/>
    </row>
    <row r="134861" spans="10:10" x14ac:dyDescent="0.3">
      <c r="J134861"/>
    </row>
    <row r="134862" spans="10:10" x14ac:dyDescent="0.3">
      <c r="J134862"/>
    </row>
    <row r="134863" spans="10:10" x14ac:dyDescent="0.3">
      <c r="J134863"/>
    </row>
    <row r="134864" spans="10:10" x14ac:dyDescent="0.3">
      <c r="J134864"/>
    </row>
    <row r="134865" spans="10:10" x14ac:dyDescent="0.3">
      <c r="J134865"/>
    </row>
    <row r="134866" spans="10:10" x14ac:dyDescent="0.3">
      <c r="J134866"/>
    </row>
    <row r="134867" spans="10:10" x14ac:dyDescent="0.3">
      <c r="J134867"/>
    </row>
    <row r="134868" spans="10:10" x14ac:dyDescent="0.3">
      <c r="J134868"/>
    </row>
    <row r="134869" spans="10:10" x14ac:dyDescent="0.3">
      <c r="J134869"/>
    </row>
    <row r="134870" spans="10:10" x14ac:dyDescent="0.3">
      <c r="J134870"/>
    </row>
    <row r="134871" spans="10:10" x14ac:dyDescent="0.3">
      <c r="J134871"/>
    </row>
    <row r="134872" spans="10:10" x14ac:dyDescent="0.3">
      <c r="J134872"/>
    </row>
    <row r="134873" spans="10:10" x14ac:dyDescent="0.3">
      <c r="J134873"/>
    </row>
    <row r="134874" spans="10:10" x14ac:dyDescent="0.3">
      <c r="J134874"/>
    </row>
    <row r="134875" spans="10:10" x14ac:dyDescent="0.3">
      <c r="J134875"/>
    </row>
    <row r="134876" spans="10:10" x14ac:dyDescent="0.3">
      <c r="J134876"/>
    </row>
    <row r="134877" spans="10:10" x14ac:dyDescent="0.3">
      <c r="J134877"/>
    </row>
    <row r="134878" spans="10:10" x14ac:dyDescent="0.3">
      <c r="J134878"/>
    </row>
    <row r="134879" spans="10:10" x14ac:dyDescent="0.3">
      <c r="J134879"/>
    </row>
    <row r="134880" spans="10:10" x14ac:dyDescent="0.3">
      <c r="J134880"/>
    </row>
    <row r="134881" spans="10:10" x14ac:dyDescent="0.3">
      <c r="J134881"/>
    </row>
    <row r="134882" spans="10:10" x14ac:dyDescent="0.3">
      <c r="J134882"/>
    </row>
    <row r="134883" spans="10:10" x14ac:dyDescent="0.3">
      <c r="J134883"/>
    </row>
    <row r="134884" spans="10:10" x14ac:dyDescent="0.3">
      <c r="J134884"/>
    </row>
    <row r="134885" spans="10:10" x14ac:dyDescent="0.3">
      <c r="J134885"/>
    </row>
    <row r="134886" spans="10:10" x14ac:dyDescent="0.3">
      <c r="J134886"/>
    </row>
    <row r="134887" spans="10:10" x14ac:dyDescent="0.3">
      <c r="J134887"/>
    </row>
    <row r="134888" spans="10:10" x14ac:dyDescent="0.3">
      <c r="J134888"/>
    </row>
    <row r="134889" spans="10:10" x14ac:dyDescent="0.3">
      <c r="J134889"/>
    </row>
    <row r="134890" spans="10:10" x14ac:dyDescent="0.3">
      <c r="J134890"/>
    </row>
    <row r="134891" spans="10:10" x14ac:dyDescent="0.3">
      <c r="J134891"/>
    </row>
    <row r="134892" spans="10:10" x14ac:dyDescent="0.3">
      <c r="J134892"/>
    </row>
    <row r="134893" spans="10:10" x14ac:dyDescent="0.3">
      <c r="J134893"/>
    </row>
    <row r="134894" spans="10:10" x14ac:dyDescent="0.3">
      <c r="J134894"/>
    </row>
    <row r="134895" spans="10:10" x14ac:dyDescent="0.3">
      <c r="J134895"/>
    </row>
    <row r="134896" spans="10:10" x14ac:dyDescent="0.3">
      <c r="J134896"/>
    </row>
    <row r="134897" spans="10:10" x14ac:dyDescent="0.3">
      <c r="J134897"/>
    </row>
    <row r="134898" spans="10:10" x14ac:dyDescent="0.3">
      <c r="J134898"/>
    </row>
    <row r="134899" spans="10:10" x14ac:dyDescent="0.3">
      <c r="J134899"/>
    </row>
    <row r="134900" spans="10:10" x14ac:dyDescent="0.3">
      <c r="J134900"/>
    </row>
    <row r="134901" spans="10:10" x14ac:dyDescent="0.3">
      <c r="J134901"/>
    </row>
    <row r="134902" spans="10:10" x14ac:dyDescent="0.3">
      <c r="J134902"/>
    </row>
    <row r="134903" spans="10:10" x14ac:dyDescent="0.3">
      <c r="J134903"/>
    </row>
    <row r="134904" spans="10:10" x14ac:dyDescent="0.3">
      <c r="J134904"/>
    </row>
    <row r="134905" spans="10:10" x14ac:dyDescent="0.3">
      <c r="J134905"/>
    </row>
    <row r="134906" spans="10:10" x14ac:dyDescent="0.3">
      <c r="J134906"/>
    </row>
    <row r="134907" spans="10:10" x14ac:dyDescent="0.3">
      <c r="J134907"/>
    </row>
    <row r="134908" spans="10:10" x14ac:dyDescent="0.3">
      <c r="J134908"/>
    </row>
    <row r="134909" spans="10:10" x14ac:dyDescent="0.3">
      <c r="J134909"/>
    </row>
    <row r="134910" spans="10:10" x14ac:dyDescent="0.3">
      <c r="J134910"/>
    </row>
    <row r="134911" spans="10:10" x14ac:dyDescent="0.3">
      <c r="J134911"/>
    </row>
    <row r="134912" spans="10:10" x14ac:dyDescent="0.3">
      <c r="J134912"/>
    </row>
    <row r="134913" spans="10:10" x14ac:dyDescent="0.3">
      <c r="J134913"/>
    </row>
    <row r="134914" spans="10:10" x14ac:dyDescent="0.3">
      <c r="J134914"/>
    </row>
    <row r="134915" spans="10:10" x14ac:dyDescent="0.3">
      <c r="J134915"/>
    </row>
    <row r="134916" spans="10:10" x14ac:dyDescent="0.3">
      <c r="J134916"/>
    </row>
    <row r="134917" spans="10:10" x14ac:dyDescent="0.3">
      <c r="J134917"/>
    </row>
    <row r="134918" spans="10:10" x14ac:dyDescent="0.3">
      <c r="J134918"/>
    </row>
    <row r="134919" spans="10:10" x14ac:dyDescent="0.3">
      <c r="J134919"/>
    </row>
    <row r="134920" spans="10:10" x14ac:dyDescent="0.3">
      <c r="J134920"/>
    </row>
    <row r="134921" spans="10:10" x14ac:dyDescent="0.3">
      <c r="J134921"/>
    </row>
    <row r="134922" spans="10:10" x14ac:dyDescent="0.3">
      <c r="J134922"/>
    </row>
    <row r="134923" spans="10:10" x14ac:dyDescent="0.3">
      <c r="J134923"/>
    </row>
    <row r="134924" spans="10:10" x14ac:dyDescent="0.3">
      <c r="J134924"/>
    </row>
    <row r="134925" spans="10:10" x14ac:dyDescent="0.3">
      <c r="J134925"/>
    </row>
    <row r="134926" spans="10:10" x14ac:dyDescent="0.3">
      <c r="J134926"/>
    </row>
    <row r="134927" spans="10:10" x14ac:dyDescent="0.3">
      <c r="J134927"/>
    </row>
    <row r="134928" spans="10:10" x14ac:dyDescent="0.3">
      <c r="J134928"/>
    </row>
    <row r="134929" spans="10:10" x14ac:dyDescent="0.3">
      <c r="J134929"/>
    </row>
    <row r="134930" spans="10:10" x14ac:dyDescent="0.3">
      <c r="J134930"/>
    </row>
    <row r="134931" spans="10:10" x14ac:dyDescent="0.3">
      <c r="J134931"/>
    </row>
    <row r="134932" spans="10:10" x14ac:dyDescent="0.3">
      <c r="J134932"/>
    </row>
    <row r="134933" spans="10:10" x14ac:dyDescent="0.3">
      <c r="J134933"/>
    </row>
    <row r="134934" spans="10:10" x14ac:dyDescent="0.3">
      <c r="J134934"/>
    </row>
    <row r="134935" spans="10:10" x14ac:dyDescent="0.3">
      <c r="J134935"/>
    </row>
    <row r="134936" spans="10:10" x14ac:dyDescent="0.3">
      <c r="J134936"/>
    </row>
    <row r="134937" spans="10:10" x14ac:dyDescent="0.3">
      <c r="J134937"/>
    </row>
    <row r="134938" spans="10:10" x14ac:dyDescent="0.3">
      <c r="J134938"/>
    </row>
    <row r="134939" spans="10:10" x14ac:dyDescent="0.3">
      <c r="J134939"/>
    </row>
    <row r="134940" spans="10:10" x14ac:dyDescent="0.3">
      <c r="J134940"/>
    </row>
    <row r="134941" spans="10:10" x14ac:dyDescent="0.3">
      <c r="J134941"/>
    </row>
    <row r="134942" spans="10:10" x14ac:dyDescent="0.3">
      <c r="J134942"/>
    </row>
    <row r="134943" spans="10:10" x14ac:dyDescent="0.3">
      <c r="J134943"/>
    </row>
    <row r="134944" spans="10:10" x14ac:dyDescent="0.3">
      <c r="J134944"/>
    </row>
    <row r="134945" spans="10:10" x14ac:dyDescent="0.3">
      <c r="J134945"/>
    </row>
    <row r="134946" spans="10:10" x14ac:dyDescent="0.3">
      <c r="J134946"/>
    </row>
    <row r="134947" spans="10:10" x14ac:dyDescent="0.3">
      <c r="J134947"/>
    </row>
    <row r="134948" spans="10:10" x14ac:dyDescent="0.3">
      <c r="J134948"/>
    </row>
    <row r="134949" spans="10:10" x14ac:dyDescent="0.3">
      <c r="J134949"/>
    </row>
    <row r="134950" spans="10:10" x14ac:dyDescent="0.3">
      <c r="J134950"/>
    </row>
    <row r="134951" spans="10:10" x14ac:dyDescent="0.3">
      <c r="J134951"/>
    </row>
    <row r="134952" spans="10:10" x14ac:dyDescent="0.3">
      <c r="J134952"/>
    </row>
    <row r="134953" spans="10:10" x14ac:dyDescent="0.3">
      <c r="J134953"/>
    </row>
    <row r="134954" spans="10:10" x14ac:dyDescent="0.3">
      <c r="J134954"/>
    </row>
    <row r="134955" spans="10:10" x14ac:dyDescent="0.3">
      <c r="J134955"/>
    </row>
    <row r="134956" spans="10:10" x14ac:dyDescent="0.3">
      <c r="J134956"/>
    </row>
    <row r="134957" spans="10:10" x14ac:dyDescent="0.3">
      <c r="J134957"/>
    </row>
    <row r="134958" spans="10:10" x14ac:dyDescent="0.3">
      <c r="J134958"/>
    </row>
    <row r="134959" spans="10:10" x14ac:dyDescent="0.3">
      <c r="J134959"/>
    </row>
    <row r="134960" spans="10:10" x14ac:dyDescent="0.3">
      <c r="J134960"/>
    </row>
    <row r="134961" spans="10:10" x14ac:dyDescent="0.3">
      <c r="J134961"/>
    </row>
    <row r="134962" spans="10:10" x14ac:dyDescent="0.3">
      <c r="J134962"/>
    </row>
    <row r="134963" spans="10:10" x14ac:dyDescent="0.3">
      <c r="J134963"/>
    </row>
    <row r="134964" spans="10:10" x14ac:dyDescent="0.3">
      <c r="J134964"/>
    </row>
    <row r="134965" spans="10:10" x14ac:dyDescent="0.3">
      <c r="J134965"/>
    </row>
    <row r="134966" spans="10:10" x14ac:dyDescent="0.3">
      <c r="J134966"/>
    </row>
    <row r="134967" spans="10:10" x14ac:dyDescent="0.3">
      <c r="J134967"/>
    </row>
    <row r="134968" spans="10:10" x14ac:dyDescent="0.3">
      <c r="J134968"/>
    </row>
    <row r="134969" spans="10:10" x14ac:dyDescent="0.3">
      <c r="J134969"/>
    </row>
    <row r="134970" spans="10:10" x14ac:dyDescent="0.3">
      <c r="J134970"/>
    </row>
    <row r="134971" spans="10:10" x14ac:dyDescent="0.3">
      <c r="J134971"/>
    </row>
    <row r="134972" spans="10:10" x14ac:dyDescent="0.3">
      <c r="J134972"/>
    </row>
    <row r="134973" spans="10:10" x14ac:dyDescent="0.3">
      <c r="J134973"/>
    </row>
    <row r="134974" spans="10:10" x14ac:dyDescent="0.3">
      <c r="J134974"/>
    </row>
    <row r="134975" spans="10:10" x14ac:dyDescent="0.3">
      <c r="J134975"/>
    </row>
    <row r="134976" spans="10:10" x14ac:dyDescent="0.3">
      <c r="J134976"/>
    </row>
    <row r="134977" spans="10:10" x14ac:dyDescent="0.3">
      <c r="J134977"/>
    </row>
    <row r="134978" spans="10:10" x14ac:dyDescent="0.3">
      <c r="J134978"/>
    </row>
    <row r="134979" spans="10:10" x14ac:dyDescent="0.3">
      <c r="J134979"/>
    </row>
    <row r="134980" spans="10:10" x14ac:dyDescent="0.3">
      <c r="J134980"/>
    </row>
    <row r="134981" spans="10:10" x14ac:dyDescent="0.3">
      <c r="J134981"/>
    </row>
    <row r="134982" spans="10:10" x14ac:dyDescent="0.3">
      <c r="J134982"/>
    </row>
    <row r="134983" spans="10:10" x14ac:dyDescent="0.3">
      <c r="J134983"/>
    </row>
    <row r="134984" spans="10:10" x14ac:dyDescent="0.3">
      <c r="J134984"/>
    </row>
    <row r="134985" spans="10:10" x14ac:dyDescent="0.3">
      <c r="J134985"/>
    </row>
    <row r="134986" spans="10:10" x14ac:dyDescent="0.3">
      <c r="J134986"/>
    </row>
    <row r="134987" spans="10:10" x14ac:dyDescent="0.3">
      <c r="J134987"/>
    </row>
    <row r="134988" spans="10:10" x14ac:dyDescent="0.3">
      <c r="J134988"/>
    </row>
    <row r="134989" spans="10:10" x14ac:dyDescent="0.3">
      <c r="J134989"/>
    </row>
    <row r="134990" spans="10:10" x14ac:dyDescent="0.3">
      <c r="J134990"/>
    </row>
    <row r="134991" spans="10:10" x14ac:dyDescent="0.3">
      <c r="J134991"/>
    </row>
    <row r="134992" spans="10:10" x14ac:dyDescent="0.3">
      <c r="J134992"/>
    </row>
    <row r="134993" spans="10:10" x14ac:dyDescent="0.3">
      <c r="J134993"/>
    </row>
    <row r="134994" spans="10:10" x14ac:dyDescent="0.3">
      <c r="J134994"/>
    </row>
    <row r="134995" spans="10:10" x14ac:dyDescent="0.3">
      <c r="J134995"/>
    </row>
    <row r="134996" spans="10:10" x14ac:dyDescent="0.3">
      <c r="J134996"/>
    </row>
    <row r="134997" spans="10:10" x14ac:dyDescent="0.3">
      <c r="J134997"/>
    </row>
    <row r="134998" spans="10:10" x14ac:dyDescent="0.3">
      <c r="J134998"/>
    </row>
    <row r="134999" spans="10:10" x14ac:dyDescent="0.3">
      <c r="J134999"/>
    </row>
    <row r="135000" spans="10:10" x14ac:dyDescent="0.3">
      <c r="J135000"/>
    </row>
    <row r="135001" spans="10:10" x14ac:dyDescent="0.3">
      <c r="J135001"/>
    </row>
    <row r="135002" spans="10:10" x14ac:dyDescent="0.3">
      <c r="J135002"/>
    </row>
    <row r="135003" spans="10:10" x14ac:dyDescent="0.3">
      <c r="J135003"/>
    </row>
    <row r="135004" spans="10:10" x14ac:dyDescent="0.3">
      <c r="J135004"/>
    </row>
    <row r="135005" spans="10:10" x14ac:dyDescent="0.3">
      <c r="J135005"/>
    </row>
    <row r="135006" spans="10:10" x14ac:dyDescent="0.3">
      <c r="J135006"/>
    </row>
    <row r="135007" spans="10:10" x14ac:dyDescent="0.3">
      <c r="J135007"/>
    </row>
    <row r="135008" spans="10:10" x14ac:dyDescent="0.3">
      <c r="J135008"/>
    </row>
    <row r="135009" spans="10:10" x14ac:dyDescent="0.3">
      <c r="J135009"/>
    </row>
    <row r="135010" spans="10:10" x14ac:dyDescent="0.3">
      <c r="J135010"/>
    </row>
    <row r="135011" spans="10:10" x14ac:dyDescent="0.3">
      <c r="J135011"/>
    </row>
    <row r="135012" spans="10:10" x14ac:dyDescent="0.3">
      <c r="J135012"/>
    </row>
    <row r="135013" spans="10:10" x14ac:dyDescent="0.3">
      <c r="J135013"/>
    </row>
    <row r="135014" spans="10:10" x14ac:dyDescent="0.3">
      <c r="J135014"/>
    </row>
    <row r="135015" spans="10:10" x14ac:dyDescent="0.3">
      <c r="J135015"/>
    </row>
    <row r="135016" spans="10:10" x14ac:dyDescent="0.3">
      <c r="J135016"/>
    </row>
    <row r="135017" spans="10:10" x14ac:dyDescent="0.3">
      <c r="J135017"/>
    </row>
    <row r="135018" spans="10:10" x14ac:dyDescent="0.3">
      <c r="J135018"/>
    </row>
    <row r="135019" spans="10:10" x14ac:dyDescent="0.3">
      <c r="J135019"/>
    </row>
    <row r="135020" spans="10:10" x14ac:dyDescent="0.3">
      <c r="J135020"/>
    </row>
    <row r="135021" spans="10:10" x14ac:dyDescent="0.3">
      <c r="J135021"/>
    </row>
    <row r="135022" spans="10:10" x14ac:dyDescent="0.3">
      <c r="J135022"/>
    </row>
    <row r="135023" spans="10:10" x14ac:dyDescent="0.3">
      <c r="J135023"/>
    </row>
    <row r="135024" spans="10:10" x14ac:dyDescent="0.3">
      <c r="J135024"/>
    </row>
    <row r="135025" spans="10:10" x14ac:dyDescent="0.3">
      <c r="J135025"/>
    </row>
    <row r="135026" spans="10:10" x14ac:dyDescent="0.3">
      <c r="J135026"/>
    </row>
    <row r="135027" spans="10:10" x14ac:dyDescent="0.3">
      <c r="J135027"/>
    </row>
    <row r="135028" spans="10:10" x14ac:dyDescent="0.3">
      <c r="J135028"/>
    </row>
    <row r="135029" spans="10:10" x14ac:dyDescent="0.3">
      <c r="J135029"/>
    </row>
    <row r="135030" spans="10:10" x14ac:dyDescent="0.3">
      <c r="J135030"/>
    </row>
    <row r="135031" spans="10:10" x14ac:dyDescent="0.3">
      <c r="J135031"/>
    </row>
    <row r="135032" spans="10:10" x14ac:dyDescent="0.3">
      <c r="J135032"/>
    </row>
    <row r="135033" spans="10:10" x14ac:dyDescent="0.3">
      <c r="J135033"/>
    </row>
    <row r="135034" spans="10:10" x14ac:dyDescent="0.3">
      <c r="J135034"/>
    </row>
    <row r="135035" spans="10:10" x14ac:dyDescent="0.3">
      <c r="J135035"/>
    </row>
    <row r="135036" spans="10:10" x14ac:dyDescent="0.3">
      <c r="J135036"/>
    </row>
    <row r="135037" spans="10:10" x14ac:dyDescent="0.3">
      <c r="J135037"/>
    </row>
    <row r="135038" spans="10:10" x14ac:dyDescent="0.3">
      <c r="J135038"/>
    </row>
    <row r="135039" spans="10:10" x14ac:dyDescent="0.3">
      <c r="J135039"/>
    </row>
    <row r="135040" spans="10:10" x14ac:dyDescent="0.3">
      <c r="J135040"/>
    </row>
    <row r="135041" spans="10:10" x14ac:dyDescent="0.3">
      <c r="J135041"/>
    </row>
    <row r="135042" spans="10:10" x14ac:dyDescent="0.3">
      <c r="J135042"/>
    </row>
    <row r="135043" spans="10:10" x14ac:dyDescent="0.3">
      <c r="J135043"/>
    </row>
    <row r="135044" spans="10:10" x14ac:dyDescent="0.3">
      <c r="J135044"/>
    </row>
    <row r="135045" spans="10:10" x14ac:dyDescent="0.3">
      <c r="J135045"/>
    </row>
    <row r="135046" spans="10:10" x14ac:dyDescent="0.3">
      <c r="J135046"/>
    </row>
    <row r="135047" spans="10:10" x14ac:dyDescent="0.3">
      <c r="J135047"/>
    </row>
    <row r="135048" spans="10:10" x14ac:dyDescent="0.3">
      <c r="J135048"/>
    </row>
    <row r="135049" spans="10:10" x14ac:dyDescent="0.3">
      <c r="J135049"/>
    </row>
    <row r="135050" spans="10:10" x14ac:dyDescent="0.3">
      <c r="J135050"/>
    </row>
    <row r="135051" spans="10:10" x14ac:dyDescent="0.3">
      <c r="J135051"/>
    </row>
    <row r="135052" spans="10:10" x14ac:dyDescent="0.3">
      <c r="J135052"/>
    </row>
    <row r="135053" spans="10:10" x14ac:dyDescent="0.3">
      <c r="J135053"/>
    </row>
    <row r="135054" spans="10:10" x14ac:dyDescent="0.3">
      <c r="J135054"/>
    </row>
    <row r="135055" spans="10:10" x14ac:dyDescent="0.3">
      <c r="J135055"/>
    </row>
    <row r="135056" spans="10:10" x14ac:dyDescent="0.3">
      <c r="J135056"/>
    </row>
    <row r="135057" spans="10:10" x14ac:dyDescent="0.3">
      <c r="J135057"/>
    </row>
    <row r="135058" spans="10:10" x14ac:dyDescent="0.3">
      <c r="J135058"/>
    </row>
    <row r="135059" spans="10:10" x14ac:dyDescent="0.3">
      <c r="J135059"/>
    </row>
    <row r="135060" spans="10:10" x14ac:dyDescent="0.3">
      <c r="J135060"/>
    </row>
    <row r="135061" spans="10:10" x14ac:dyDescent="0.3">
      <c r="J135061"/>
    </row>
    <row r="135062" spans="10:10" x14ac:dyDescent="0.3">
      <c r="J135062"/>
    </row>
    <row r="135063" spans="10:10" x14ac:dyDescent="0.3">
      <c r="J135063"/>
    </row>
    <row r="135064" spans="10:10" x14ac:dyDescent="0.3">
      <c r="J135064"/>
    </row>
    <row r="135065" spans="10:10" x14ac:dyDescent="0.3">
      <c r="J135065"/>
    </row>
    <row r="135066" spans="10:10" x14ac:dyDescent="0.3">
      <c r="J135066"/>
    </row>
    <row r="135067" spans="10:10" x14ac:dyDescent="0.3">
      <c r="J135067"/>
    </row>
    <row r="135068" spans="10:10" x14ac:dyDescent="0.3">
      <c r="J135068"/>
    </row>
    <row r="135069" spans="10:10" x14ac:dyDescent="0.3">
      <c r="J135069"/>
    </row>
    <row r="135070" spans="10:10" x14ac:dyDescent="0.3">
      <c r="J135070"/>
    </row>
    <row r="135071" spans="10:10" x14ac:dyDescent="0.3">
      <c r="J135071"/>
    </row>
    <row r="135072" spans="10:10" x14ac:dyDescent="0.3">
      <c r="J135072"/>
    </row>
    <row r="135073" spans="10:10" x14ac:dyDescent="0.3">
      <c r="J135073"/>
    </row>
    <row r="135074" spans="10:10" x14ac:dyDescent="0.3">
      <c r="J135074"/>
    </row>
    <row r="135075" spans="10:10" x14ac:dyDescent="0.3">
      <c r="J135075"/>
    </row>
    <row r="135076" spans="10:10" x14ac:dyDescent="0.3">
      <c r="J135076"/>
    </row>
    <row r="135077" spans="10:10" x14ac:dyDescent="0.3">
      <c r="J135077"/>
    </row>
    <row r="135078" spans="10:10" x14ac:dyDescent="0.3">
      <c r="J135078"/>
    </row>
    <row r="135079" spans="10:10" x14ac:dyDescent="0.3">
      <c r="J135079"/>
    </row>
    <row r="135080" spans="10:10" x14ac:dyDescent="0.3">
      <c r="J135080"/>
    </row>
    <row r="135081" spans="10:10" x14ac:dyDescent="0.3">
      <c r="J135081"/>
    </row>
    <row r="135082" spans="10:10" x14ac:dyDescent="0.3">
      <c r="J135082"/>
    </row>
    <row r="135083" spans="10:10" x14ac:dyDescent="0.3">
      <c r="J135083"/>
    </row>
    <row r="135084" spans="10:10" x14ac:dyDescent="0.3">
      <c r="J135084"/>
    </row>
    <row r="135085" spans="10:10" x14ac:dyDescent="0.3">
      <c r="J135085"/>
    </row>
    <row r="135086" spans="10:10" x14ac:dyDescent="0.3">
      <c r="J135086"/>
    </row>
    <row r="135087" spans="10:10" x14ac:dyDescent="0.3">
      <c r="J135087"/>
    </row>
    <row r="135088" spans="10:10" x14ac:dyDescent="0.3">
      <c r="J135088"/>
    </row>
    <row r="135089" spans="10:10" x14ac:dyDescent="0.3">
      <c r="J135089"/>
    </row>
    <row r="135090" spans="10:10" x14ac:dyDescent="0.3">
      <c r="J135090"/>
    </row>
    <row r="135091" spans="10:10" x14ac:dyDescent="0.3">
      <c r="J135091"/>
    </row>
    <row r="135092" spans="10:10" x14ac:dyDescent="0.3">
      <c r="J135092"/>
    </row>
    <row r="135093" spans="10:10" x14ac:dyDescent="0.3">
      <c r="J135093"/>
    </row>
    <row r="135094" spans="10:10" x14ac:dyDescent="0.3">
      <c r="J135094"/>
    </row>
    <row r="135095" spans="10:10" x14ac:dyDescent="0.3">
      <c r="J135095"/>
    </row>
    <row r="135096" spans="10:10" x14ac:dyDescent="0.3">
      <c r="J135096"/>
    </row>
    <row r="135097" spans="10:10" x14ac:dyDescent="0.3">
      <c r="J135097"/>
    </row>
    <row r="135098" spans="10:10" x14ac:dyDescent="0.3">
      <c r="J135098"/>
    </row>
    <row r="135099" spans="10:10" x14ac:dyDescent="0.3">
      <c r="J135099"/>
    </row>
    <row r="135100" spans="10:10" x14ac:dyDescent="0.3">
      <c r="J135100"/>
    </row>
    <row r="135101" spans="10:10" x14ac:dyDescent="0.3">
      <c r="J135101"/>
    </row>
    <row r="135102" spans="10:10" x14ac:dyDescent="0.3">
      <c r="J135102"/>
    </row>
    <row r="135103" spans="10:10" x14ac:dyDescent="0.3">
      <c r="J135103"/>
    </row>
    <row r="135104" spans="10:10" x14ac:dyDescent="0.3">
      <c r="J135104"/>
    </row>
    <row r="135105" spans="10:10" x14ac:dyDescent="0.3">
      <c r="J135105"/>
    </row>
    <row r="135106" spans="10:10" x14ac:dyDescent="0.3">
      <c r="J135106"/>
    </row>
    <row r="135107" spans="10:10" x14ac:dyDescent="0.3">
      <c r="J135107"/>
    </row>
    <row r="135108" spans="10:10" x14ac:dyDescent="0.3">
      <c r="J135108"/>
    </row>
    <row r="135109" spans="10:10" x14ac:dyDescent="0.3">
      <c r="J135109"/>
    </row>
    <row r="135110" spans="10:10" x14ac:dyDescent="0.3">
      <c r="J135110"/>
    </row>
    <row r="135111" spans="10:10" x14ac:dyDescent="0.3">
      <c r="J135111"/>
    </row>
    <row r="135112" spans="10:10" x14ac:dyDescent="0.3">
      <c r="J135112"/>
    </row>
    <row r="135113" spans="10:10" x14ac:dyDescent="0.3">
      <c r="J135113"/>
    </row>
    <row r="135114" spans="10:10" x14ac:dyDescent="0.3">
      <c r="J135114"/>
    </row>
    <row r="135115" spans="10:10" x14ac:dyDescent="0.3">
      <c r="J135115"/>
    </row>
    <row r="135116" spans="10:10" x14ac:dyDescent="0.3">
      <c r="J135116"/>
    </row>
    <row r="135117" spans="10:10" x14ac:dyDescent="0.3">
      <c r="J135117"/>
    </row>
    <row r="135118" spans="10:10" x14ac:dyDescent="0.3">
      <c r="J135118"/>
    </row>
    <row r="135119" spans="10:10" x14ac:dyDescent="0.3">
      <c r="J135119"/>
    </row>
    <row r="135120" spans="10:10" x14ac:dyDescent="0.3">
      <c r="J135120"/>
    </row>
    <row r="135121" spans="10:10" x14ac:dyDescent="0.3">
      <c r="J135121"/>
    </row>
    <row r="135122" spans="10:10" x14ac:dyDescent="0.3">
      <c r="J135122"/>
    </row>
    <row r="135123" spans="10:10" x14ac:dyDescent="0.3">
      <c r="J135123"/>
    </row>
    <row r="135124" spans="10:10" x14ac:dyDescent="0.3">
      <c r="J135124"/>
    </row>
    <row r="135125" spans="10:10" x14ac:dyDescent="0.3">
      <c r="J135125"/>
    </row>
    <row r="135126" spans="10:10" x14ac:dyDescent="0.3">
      <c r="J135126"/>
    </row>
    <row r="135127" spans="10:10" x14ac:dyDescent="0.3">
      <c r="J135127"/>
    </row>
    <row r="135128" spans="10:10" x14ac:dyDescent="0.3">
      <c r="J135128"/>
    </row>
    <row r="135129" spans="10:10" x14ac:dyDescent="0.3">
      <c r="J135129"/>
    </row>
    <row r="135130" spans="10:10" x14ac:dyDescent="0.3">
      <c r="J135130"/>
    </row>
    <row r="135131" spans="10:10" x14ac:dyDescent="0.3">
      <c r="J135131"/>
    </row>
    <row r="135132" spans="10:10" x14ac:dyDescent="0.3">
      <c r="J135132"/>
    </row>
    <row r="135133" spans="10:10" x14ac:dyDescent="0.3">
      <c r="J135133"/>
    </row>
    <row r="135134" spans="10:10" x14ac:dyDescent="0.3">
      <c r="J135134"/>
    </row>
    <row r="135135" spans="10:10" x14ac:dyDescent="0.3">
      <c r="J135135"/>
    </row>
    <row r="135136" spans="10:10" x14ac:dyDescent="0.3">
      <c r="J135136"/>
    </row>
    <row r="135137" spans="10:10" x14ac:dyDescent="0.3">
      <c r="J135137"/>
    </row>
    <row r="135138" spans="10:10" x14ac:dyDescent="0.3">
      <c r="J135138"/>
    </row>
    <row r="135139" spans="10:10" x14ac:dyDescent="0.3">
      <c r="J135139"/>
    </row>
    <row r="135140" spans="10:10" x14ac:dyDescent="0.3">
      <c r="J135140"/>
    </row>
    <row r="135141" spans="10:10" x14ac:dyDescent="0.3">
      <c r="J135141"/>
    </row>
    <row r="135142" spans="10:10" x14ac:dyDescent="0.3">
      <c r="J135142"/>
    </row>
    <row r="135143" spans="10:10" x14ac:dyDescent="0.3">
      <c r="J135143"/>
    </row>
    <row r="135144" spans="10:10" x14ac:dyDescent="0.3">
      <c r="J135144"/>
    </row>
    <row r="135145" spans="10:10" x14ac:dyDescent="0.3">
      <c r="J135145"/>
    </row>
    <row r="135146" spans="10:10" x14ac:dyDescent="0.3">
      <c r="J135146"/>
    </row>
    <row r="135147" spans="10:10" x14ac:dyDescent="0.3">
      <c r="J135147"/>
    </row>
    <row r="135148" spans="10:10" x14ac:dyDescent="0.3">
      <c r="J135148"/>
    </row>
    <row r="135149" spans="10:10" x14ac:dyDescent="0.3">
      <c r="J135149"/>
    </row>
    <row r="135150" spans="10:10" x14ac:dyDescent="0.3">
      <c r="J135150"/>
    </row>
    <row r="135151" spans="10:10" x14ac:dyDescent="0.3">
      <c r="J135151"/>
    </row>
    <row r="135152" spans="10:10" x14ac:dyDescent="0.3">
      <c r="J135152"/>
    </row>
    <row r="135153" spans="10:10" x14ac:dyDescent="0.3">
      <c r="J135153"/>
    </row>
    <row r="135154" spans="10:10" x14ac:dyDescent="0.3">
      <c r="J135154"/>
    </row>
    <row r="135155" spans="10:10" x14ac:dyDescent="0.3">
      <c r="J135155"/>
    </row>
    <row r="135156" spans="10:10" x14ac:dyDescent="0.3">
      <c r="J135156"/>
    </row>
    <row r="135157" spans="10:10" x14ac:dyDescent="0.3">
      <c r="J135157"/>
    </row>
    <row r="135158" spans="10:10" x14ac:dyDescent="0.3">
      <c r="J135158"/>
    </row>
    <row r="135159" spans="10:10" x14ac:dyDescent="0.3">
      <c r="J135159"/>
    </row>
    <row r="135160" spans="10:10" x14ac:dyDescent="0.3">
      <c r="J135160"/>
    </row>
    <row r="135161" spans="10:10" x14ac:dyDescent="0.3">
      <c r="J135161"/>
    </row>
    <row r="135162" spans="10:10" x14ac:dyDescent="0.3">
      <c r="J135162"/>
    </row>
    <row r="135163" spans="10:10" x14ac:dyDescent="0.3">
      <c r="J135163"/>
    </row>
    <row r="135164" spans="10:10" x14ac:dyDescent="0.3">
      <c r="J135164"/>
    </row>
    <row r="135165" spans="10:10" x14ac:dyDescent="0.3">
      <c r="J135165"/>
    </row>
    <row r="135166" spans="10:10" x14ac:dyDescent="0.3">
      <c r="J135166"/>
    </row>
    <row r="135167" spans="10:10" x14ac:dyDescent="0.3">
      <c r="J135167"/>
    </row>
    <row r="135168" spans="10:10" x14ac:dyDescent="0.3">
      <c r="J135168"/>
    </row>
    <row r="135169" spans="10:10" x14ac:dyDescent="0.3">
      <c r="J135169"/>
    </row>
    <row r="135170" spans="10:10" x14ac:dyDescent="0.3">
      <c r="J135170"/>
    </row>
    <row r="135171" spans="10:10" x14ac:dyDescent="0.3">
      <c r="J135171"/>
    </row>
    <row r="135172" spans="10:10" x14ac:dyDescent="0.3">
      <c r="J135172"/>
    </row>
    <row r="135173" spans="10:10" x14ac:dyDescent="0.3">
      <c r="J135173"/>
    </row>
    <row r="135174" spans="10:10" x14ac:dyDescent="0.3">
      <c r="J135174"/>
    </row>
    <row r="135175" spans="10:10" x14ac:dyDescent="0.3">
      <c r="J135175"/>
    </row>
    <row r="135176" spans="10:10" x14ac:dyDescent="0.3">
      <c r="J135176"/>
    </row>
    <row r="135177" spans="10:10" x14ac:dyDescent="0.3">
      <c r="J135177"/>
    </row>
    <row r="135178" spans="10:10" x14ac:dyDescent="0.3">
      <c r="J135178"/>
    </row>
    <row r="135179" spans="10:10" x14ac:dyDescent="0.3">
      <c r="J135179"/>
    </row>
    <row r="135180" spans="10:10" x14ac:dyDescent="0.3">
      <c r="J135180"/>
    </row>
    <row r="135181" spans="10:10" x14ac:dyDescent="0.3">
      <c r="J135181"/>
    </row>
    <row r="135182" spans="10:10" x14ac:dyDescent="0.3">
      <c r="J135182"/>
    </row>
    <row r="135183" spans="10:10" x14ac:dyDescent="0.3">
      <c r="J135183"/>
    </row>
    <row r="135184" spans="10:10" x14ac:dyDescent="0.3">
      <c r="J135184"/>
    </row>
    <row r="135185" spans="10:10" x14ac:dyDescent="0.3">
      <c r="J135185"/>
    </row>
    <row r="135186" spans="10:10" x14ac:dyDescent="0.3">
      <c r="J135186"/>
    </row>
    <row r="135187" spans="10:10" x14ac:dyDescent="0.3">
      <c r="J135187"/>
    </row>
    <row r="135188" spans="10:10" x14ac:dyDescent="0.3">
      <c r="J135188"/>
    </row>
    <row r="135189" spans="10:10" x14ac:dyDescent="0.3">
      <c r="J135189"/>
    </row>
    <row r="135190" spans="10:10" x14ac:dyDescent="0.3">
      <c r="J135190"/>
    </row>
    <row r="135191" spans="10:10" x14ac:dyDescent="0.3">
      <c r="J135191"/>
    </row>
    <row r="135192" spans="10:10" x14ac:dyDescent="0.3">
      <c r="J135192"/>
    </row>
    <row r="135193" spans="10:10" x14ac:dyDescent="0.3">
      <c r="J135193"/>
    </row>
    <row r="135194" spans="10:10" x14ac:dyDescent="0.3">
      <c r="J135194"/>
    </row>
    <row r="135195" spans="10:10" x14ac:dyDescent="0.3">
      <c r="J135195"/>
    </row>
    <row r="135196" spans="10:10" x14ac:dyDescent="0.3">
      <c r="J135196"/>
    </row>
    <row r="135197" spans="10:10" x14ac:dyDescent="0.3">
      <c r="J135197"/>
    </row>
    <row r="135198" spans="10:10" x14ac:dyDescent="0.3">
      <c r="J135198"/>
    </row>
    <row r="135199" spans="10:10" x14ac:dyDescent="0.3">
      <c r="J135199"/>
    </row>
    <row r="135200" spans="10:10" x14ac:dyDescent="0.3">
      <c r="J135200"/>
    </row>
    <row r="135201" spans="10:10" x14ac:dyDescent="0.3">
      <c r="J135201"/>
    </row>
    <row r="135202" spans="10:10" x14ac:dyDescent="0.3">
      <c r="J135202"/>
    </row>
    <row r="135203" spans="10:10" x14ac:dyDescent="0.3">
      <c r="J135203"/>
    </row>
    <row r="135204" spans="10:10" x14ac:dyDescent="0.3">
      <c r="J135204"/>
    </row>
    <row r="135205" spans="10:10" x14ac:dyDescent="0.3">
      <c r="J135205"/>
    </row>
    <row r="135206" spans="10:10" x14ac:dyDescent="0.3">
      <c r="J135206"/>
    </row>
    <row r="135207" spans="10:10" x14ac:dyDescent="0.3">
      <c r="J135207"/>
    </row>
    <row r="135208" spans="10:10" x14ac:dyDescent="0.3">
      <c r="J135208"/>
    </row>
    <row r="135209" spans="10:10" x14ac:dyDescent="0.3">
      <c r="J135209"/>
    </row>
    <row r="135210" spans="10:10" x14ac:dyDescent="0.3">
      <c r="J135210"/>
    </row>
    <row r="135211" spans="10:10" x14ac:dyDescent="0.3">
      <c r="J135211"/>
    </row>
    <row r="135212" spans="10:10" x14ac:dyDescent="0.3">
      <c r="J135212"/>
    </row>
    <row r="135213" spans="10:10" x14ac:dyDescent="0.3">
      <c r="J135213"/>
    </row>
    <row r="135214" spans="10:10" x14ac:dyDescent="0.3">
      <c r="J135214"/>
    </row>
    <row r="135215" spans="10:10" x14ac:dyDescent="0.3">
      <c r="J135215"/>
    </row>
    <row r="135216" spans="10:10" x14ac:dyDescent="0.3">
      <c r="J135216"/>
    </row>
    <row r="135217" spans="10:10" x14ac:dyDescent="0.3">
      <c r="J135217"/>
    </row>
    <row r="135218" spans="10:10" x14ac:dyDescent="0.3">
      <c r="J135218"/>
    </row>
    <row r="135219" spans="10:10" x14ac:dyDescent="0.3">
      <c r="J135219"/>
    </row>
    <row r="135220" spans="10:10" x14ac:dyDescent="0.3">
      <c r="J135220"/>
    </row>
    <row r="135221" spans="10:10" x14ac:dyDescent="0.3">
      <c r="J135221"/>
    </row>
    <row r="135222" spans="10:10" x14ac:dyDescent="0.3">
      <c r="J135222"/>
    </row>
    <row r="135223" spans="10:10" x14ac:dyDescent="0.3">
      <c r="J135223"/>
    </row>
    <row r="135224" spans="10:10" x14ac:dyDescent="0.3">
      <c r="J135224"/>
    </row>
    <row r="135225" spans="10:10" x14ac:dyDescent="0.3">
      <c r="J135225"/>
    </row>
    <row r="135226" spans="10:10" x14ac:dyDescent="0.3">
      <c r="J135226"/>
    </row>
    <row r="135227" spans="10:10" x14ac:dyDescent="0.3">
      <c r="J135227"/>
    </row>
    <row r="135228" spans="10:10" x14ac:dyDescent="0.3">
      <c r="J135228"/>
    </row>
    <row r="135229" spans="10:10" x14ac:dyDescent="0.3">
      <c r="J135229"/>
    </row>
    <row r="135230" spans="10:10" x14ac:dyDescent="0.3">
      <c r="J135230"/>
    </row>
    <row r="135231" spans="10:10" x14ac:dyDescent="0.3">
      <c r="J135231"/>
    </row>
    <row r="135232" spans="10:10" x14ac:dyDescent="0.3">
      <c r="J135232"/>
    </row>
    <row r="135233" spans="10:10" x14ac:dyDescent="0.3">
      <c r="J135233"/>
    </row>
    <row r="135234" spans="10:10" x14ac:dyDescent="0.3">
      <c r="J135234"/>
    </row>
    <row r="135235" spans="10:10" x14ac:dyDescent="0.3">
      <c r="J135235"/>
    </row>
    <row r="135236" spans="10:10" x14ac:dyDescent="0.3">
      <c r="J135236"/>
    </row>
    <row r="135237" spans="10:10" x14ac:dyDescent="0.3">
      <c r="J135237"/>
    </row>
    <row r="135238" spans="10:10" x14ac:dyDescent="0.3">
      <c r="J135238"/>
    </row>
    <row r="135239" spans="10:10" x14ac:dyDescent="0.3">
      <c r="J135239"/>
    </row>
    <row r="135240" spans="10:10" x14ac:dyDescent="0.3">
      <c r="J135240"/>
    </row>
    <row r="135241" spans="10:10" x14ac:dyDescent="0.3">
      <c r="J135241"/>
    </row>
    <row r="135242" spans="10:10" x14ac:dyDescent="0.3">
      <c r="J135242"/>
    </row>
    <row r="135243" spans="10:10" x14ac:dyDescent="0.3">
      <c r="J135243"/>
    </row>
    <row r="135244" spans="10:10" x14ac:dyDescent="0.3">
      <c r="J135244"/>
    </row>
    <row r="135245" spans="10:10" x14ac:dyDescent="0.3">
      <c r="J135245"/>
    </row>
    <row r="135246" spans="10:10" x14ac:dyDescent="0.3">
      <c r="J135246"/>
    </row>
    <row r="135247" spans="10:10" x14ac:dyDescent="0.3">
      <c r="J135247"/>
    </row>
    <row r="135248" spans="10:10" x14ac:dyDescent="0.3">
      <c r="J135248"/>
    </row>
    <row r="135249" spans="10:10" x14ac:dyDescent="0.3">
      <c r="J135249"/>
    </row>
    <row r="135250" spans="10:10" x14ac:dyDescent="0.3">
      <c r="J135250"/>
    </row>
    <row r="135251" spans="10:10" x14ac:dyDescent="0.3">
      <c r="J135251"/>
    </row>
    <row r="135252" spans="10:10" x14ac:dyDescent="0.3">
      <c r="J135252"/>
    </row>
    <row r="135253" spans="10:10" x14ac:dyDescent="0.3">
      <c r="J135253"/>
    </row>
    <row r="135254" spans="10:10" x14ac:dyDescent="0.3">
      <c r="J135254"/>
    </row>
    <row r="135255" spans="10:10" x14ac:dyDescent="0.3">
      <c r="J135255"/>
    </row>
    <row r="135256" spans="10:10" x14ac:dyDescent="0.3">
      <c r="J135256"/>
    </row>
    <row r="135257" spans="10:10" x14ac:dyDescent="0.3">
      <c r="J135257"/>
    </row>
    <row r="135258" spans="10:10" x14ac:dyDescent="0.3">
      <c r="J135258"/>
    </row>
    <row r="135259" spans="10:10" x14ac:dyDescent="0.3">
      <c r="J135259"/>
    </row>
    <row r="135260" spans="10:10" x14ac:dyDescent="0.3">
      <c r="J135260"/>
    </row>
    <row r="135261" spans="10:10" x14ac:dyDescent="0.3">
      <c r="J135261"/>
    </row>
    <row r="135262" spans="10:10" x14ac:dyDescent="0.3">
      <c r="J135262"/>
    </row>
    <row r="135263" spans="10:10" x14ac:dyDescent="0.3">
      <c r="J135263"/>
    </row>
    <row r="135264" spans="10:10" x14ac:dyDescent="0.3">
      <c r="J135264"/>
    </row>
    <row r="135265" spans="10:10" x14ac:dyDescent="0.3">
      <c r="J135265"/>
    </row>
    <row r="135266" spans="10:10" x14ac:dyDescent="0.3">
      <c r="J135266"/>
    </row>
    <row r="135267" spans="10:10" x14ac:dyDescent="0.3">
      <c r="J135267"/>
    </row>
    <row r="135268" spans="10:10" x14ac:dyDescent="0.3">
      <c r="J135268"/>
    </row>
    <row r="135269" spans="10:10" x14ac:dyDescent="0.3">
      <c r="J135269"/>
    </row>
    <row r="135270" spans="10:10" x14ac:dyDescent="0.3">
      <c r="J135270"/>
    </row>
    <row r="135271" spans="10:10" x14ac:dyDescent="0.3">
      <c r="J135271"/>
    </row>
    <row r="135272" spans="10:10" x14ac:dyDescent="0.3">
      <c r="J135272"/>
    </row>
    <row r="135273" spans="10:10" x14ac:dyDescent="0.3">
      <c r="J135273"/>
    </row>
    <row r="135274" spans="10:10" x14ac:dyDescent="0.3">
      <c r="J135274"/>
    </row>
    <row r="135275" spans="10:10" x14ac:dyDescent="0.3">
      <c r="J135275"/>
    </row>
    <row r="135276" spans="10:10" x14ac:dyDescent="0.3">
      <c r="J135276"/>
    </row>
    <row r="135277" spans="10:10" x14ac:dyDescent="0.3">
      <c r="J135277"/>
    </row>
    <row r="135278" spans="10:10" x14ac:dyDescent="0.3">
      <c r="J135278"/>
    </row>
    <row r="135279" spans="10:10" x14ac:dyDescent="0.3">
      <c r="J135279"/>
    </row>
    <row r="135280" spans="10:10" x14ac:dyDescent="0.3">
      <c r="J135280"/>
    </row>
    <row r="135281" spans="10:10" x14ac:dyDescent="0.3">
      <c r="J135281"/>
    </row>
    <row r="135282" spans="10:10" x14ac:dyDescent="0.3">
      <c r="J135282"/>
    </row>
    <row r="135283" spans="10:10" x14ac:dyDescent="0.3">
      <c r="J135283"/>
    </row>
    <row r="135284" spans="10:10" x14ac:dyDescent="0.3">
      <c r="J135284"/>
    </row>
    <row r="135285" spans="10:10" x14ac:dyDescent="0.3">
      <c r="J135285"/>
    </row>
    <row r="135286" spans="10:10" x14ac:dyDescent="0.3">
      <c r="J135286"/>
    </row>
    <row r="135287" spans="10:10" x14ac:dyDescent="0.3">
      <c r="J135287"/>
    </row>
    <row r="135288" spans="10:10" x14ac:dyDescent="0.3">
      <c r="J135288"/>
    </row>
    <row r="135289" spans="10:10" x14ac:dyDescent="0.3">
      <c r="J135289"/>
    </row>
    <row r="135290" spans="10:10" x14ac:dyDescent="0.3">
      <c r="J135290"/>
    </row>
    <row r="135291" spans="10:10" x14ac:dyDescent="0.3">
      <c r="J135291"/>
    </row>
    <row r="135292" spans="10:10" x14ac:dyDescent="0.3">
      <c r="J135292"/>
    </row>
    <row r="135293" spans="10:10" x14ac:dyDescent="0.3">
      <c r="J135293"/>
    </row>
    <row r="135294" spans="10:10" x14ac:dyDescent="0.3">
      <c r="J135294"/>
    </row>
    <row r="135295" spans="10:10" x14ac:dyDescent="0.3">
      <c r="J135295"/>
    </row>
    <row r="135296" spans="10:10" x14ac:dyDescent="0.3">
      <c r="J135296"/>
    </row>
    <row r="135297" spans="10:10" x14ac:dyDescent="0.3">
      <c r="J135297"/>
    </row>
    <row r="135298" spans="10:10" x14ac:dyDescent="0.3">
      <c r="J135298"/>
    </row>
    <row r="135299" spans="10:10" x14ac:dyDescent="0.3">
      <c r="J135299"/>
    </row>
    <row r="135300" spans="10:10" x14ac:dyDescent="0.3">
      <c r="J135300"/>
    </row>
    <row r="135301" spans="10:10" x14ac:dyDescent="0.3">
      <c r="J135301"/>
    </row>
    <row r="135302" spans="10:10" x14ac:dyDescent="0.3">
      <c r="J135302"/>
    </row>
    <row r="135303" spans="10:10" x14ac:dyDescent="0.3">
      <c r="J135303"/>
    </row>
    <row r="135304" spans="10:10" x14ac:dyDescent="0.3">
      <c r="J135304"/>
    </row>
    <row r="135305" spans="10:10" x14ac:dyDescent="0.3">
      <c r="J135305"/>
    </row>
    <row r="135306" spans="10:10" x14ac:dyDescent="0.3">
      <c r="J135306"/>
    </row>
    <row r="135307" spans="10:10" x14ac:dyDescent="0.3">
      <c r="J135307"/>
    </row>
    <row r="135308" spans="10:10" x14ac:dyDescent="0.3">
      <c r="J135308"/>
    </row>
    <row r="135309" spans="10:10" x14ac:dyDescent="0.3">
      <c r="J135309"/>
    </row>
    <row r="135310" spans="10:10" x14ac:dyDescent="0.3">
      <c r="J135310"/>
    </row>
    <row r="135311" spans="10:10" x14ac:dyDescent="0.3">
      <c r="J135311"/>
    </row>
    <row r="135312" spans="10:10" x14ac:dyDescent="0.3">
      <c r="J135312"/>
    </row>
    <row r="135313" spans="10:10" x14ac:dyDescent="0.3">
      <c r="J135313"/>
    </row>
    <row r="135314" spans="10:10" x14ac:dyDescent="0.3">
      <c r="J135314"/>
    </row>
    <row r="135315" spans="10:10" x14ac:dyDescent="0.3">
      <c r="J135315"/>
    </row>
    <row r="135316" spans="10:10" x14ac:dyDescent="0.3">
      <c r="J135316"/>
    </row>
    <row r="135317" spans="10:10" x14ac:dyDescent="0.3">
      <c r="J135317"/>
    </row>
    <row r="135318" spans="10:10" x14ac:dyDescent="0.3">
      <c r="J135318"/>
    </row>
    <row r="135319" spans="10:10" x14ac:dyDescent="0.3">
      <c r="J135319"/>
    </row>
    <row r="135320" spans="10:10" x14ac:dyDescent="0.3">
      <c r="J135320"/>
    </row>
    <row r="135321" spans="10:10" x14ac:dyDescent="0.3">
      <c r="J135321"/>
    </row>
    <row r="135322" spans="10:10" x14ac:dyDescent="0.3">
      <c r="J135322"/>
    </row>
    <row r="135323" spans="10:10" x14ac:dyDescent="0.3">
      <c r="J135323"/>
    </row>
    <row r="135324" spans="10:10" x14ac:dyDescent="0.3">
      <c r="J135324"/>
    </row>
    <row r="135325" spans="10:10" x14ac:dyDescent="0.3">
      <c r="J135325"/>
    </row>
    <row r="135326" spans="10:10" x14ac:dyDescent="0.3">
      <c r="J135326"/>
    </row>
    <row r="135327" spans="10:10" x14ac:dyDescent="0.3">
      <c r="J135327"/>
    </row>
    <row r="135328" spans="10:10" x14ac:dyDescent="0.3">
      <c r="J135328"/>
    </row>
    <row r="135329" spans="10:10" x14ac:dyDescent="0.3">
      <c r="J135329"/>
    </row>
    <row r="135330" spans="10:10" x14ac:dyDescent="0.3">
      <c r="J135330"/>
    </row>
    <row r="135331" spans="10:10" x14ac:dyDescent="0.3">
      <c r="J135331"/>
    </row>
    <row r="135332" spans="10:10" x14ac:dyDescent="0.3">
      <c r="J135332"/>
    </row>
    <row r="135333" spans="10:10" x14ac:dyDescent="0.3">
      <c r="J135333"/>
    </row>
    <row r="135334" spans="10:10" x14ac:dyDescent="0.3">
      <c r="J135334"/>
    </row>
    <row r="135335" spans="10:10" x14ac:dyDescent="0.3">
      <c r="J135335"/>
    </row>
    <row r="135336" spans="10:10" x14ac:dyDescent="0.3">
      <c r="J135336"/>
    </row>
    <row r="135337" spans="10:10" x14ac:dyDescent="0.3">
      <c r="J135337"/>
    </row>
    <row r="135338" spans="10:10" x14ac:dyDescent="0.3">
      <c r="J135338"/>
    </row>
    <row r="135339" spans="10:10" x14ac:dyDescent="0.3">
      <c r="J135339"/>
    </row>
    <row r="135340" spans="10:10" x14ac:dyDescent="0.3">
      <c r="J135340"/>
    </row>
    <row r="135341" spans="10:10" x14ac:dyDescent="0.3">
      <c r="J135341"/>
    </row>
    <row r="135342" spans="10:10" x14ac:dyDescent="0.3">
      <c r="J135342"/>
    </row>
    <row r="135343" spans="10:10" x14ac:dyDescent="0.3">
      <c r="J135343"/>
    </row>
    <row r="135344" spans="10:10" x14ac:dyDescent="0.3">
      <c r="J135344"/>
    </row>
    <row r="135345" spans="10:10" x14ac:dyDescent="0.3">
      <c r="J135345"/>
    </row>
    <row r="135346" spans="10:10" x14ac:dyDescent="0.3">
      <c r="J135346"/>
    </row>
    <row r="135347" spans="10:10" x14ac:dyDescent="0.3">
      <c r="J135347"/>
    </row>
    <row r="135348" spans="10:10" x14ac:dyDescent="0.3">
      <c r="J135348"/>
    </row>
    <row r="135349" spans="10:10" x14ac:dyDescent="0.3">
      <c r="J135349"/>
    </row>
    <row r="135350" spans="10:10" x14ac:dyDescent="0.3">
      <c r="J135350"/>
    </row>
    <row r="135351" spans="10:10" x14ac:dyDescent="0.3">
      <c r="J135351"/>
    </row>
    <row r="135352" spans="10:10" x14ac:dyDescent="0.3">
      <c r="J135352"/>
    </row>
    <row r="135353" spans="10:10" x14ac:dyDescent="0.3">
      <c r="J135353"/>
    </row>
    <row r="135354" spans="10:10" x14ac:dyDescent="0.3">
      <c r="J135354"/>
    </row>
    <row r="135355" spans="10:10" x14ac:dyDescent="0.3">
      <c r="J135355"/>
    </row>
    <row r="135356" spans="10:10" x14ac:dyDescent="0.3">
      <c r="J135356"/>
    </row>
    <row r="135357" spans="10:10" x14ac:dyDescent="0.3">
      <c r="J135357"/>
    </row>
    <row r="135358" spans="10:10" x14ac:dyDescent="0.3">
      <c r="J135358"/>
    </row>
    <row r="135359" spans="10:10" x14ac:dyDescent="0.3">
      <c r="J135359"/>
    </row>
    <row r="135360" spans="10:10" x14ac:dyDescent="0.3">
      <c r="J135360"/>
    </row>
    <row r="135361" spans="10:10" x14ac:dyDescent="0.3">
      <c r="J135361"/>
    </row>
    <row r="135362" spans="10:10" x14ac:dyDescent="0.3">
      <c r="J135362"/>
    </row>
    <row r="135363" spans="10:10" x14ac:dyDescent="0.3">
      <c r="J135363"/>
    </row>
    <row r="135364" spans="10:10" x14ac:dyDescent="0.3">
      <c r="J135364"/>
    </row>
    <row r="135365" spans="10:10" x14ac:dyDescent="0.3">
      <c r="J135365"/>
    </row>
    <row r="135366" spans="10:10" x14ac:dyDescent="0.3">
      <c r="J135366"/>
    </row>
    <row r="135367" spans="10:10" x14ac:dyDescent="0.3">
      <c r="J135367"/>
    </row>
    <row r="135368" spans="10:10" x14ac:dyDescent="0.3">
      <c r="J135368"/>
    </row>
    <row r="135369" spans="10:10" x14ac:dyDescent="0.3">
      <c r="J135369"/>
    </row>
    <row r="135370" spans="10:10" x14ac:dyDescent="0.3">
      <c r="J135370"/>
    </row>
    <row r="135371" spans="10:10" x14ac:dyDescent="0.3">
      <c r="J135371"/>
    </row>
    <row r="135372" spans="10:10" x14ac:dyDescent="0.3">
      <c r="J135372"/>
    </row>
    <row r="135373" spans="10:10" x14ac:dyDescent="0.3">
      <c r="J135373"/>
    </row>
    <row r="135374" spans="10:10" x14ac:dyDescent="0.3">
      <c r="J135374"/>
    </row>
    <row r="135375" spans="10:10" x14ac:dyDescent="0.3">
      <c r="J135375"/>
    </row>
    <row r="135376" spans="10:10" x14ac:dyDescent="0.3">
      <c r="J135376"/>
    </row>
    <row r="135377" spans="10:10" x14ac:dyDescent="0.3">
      <c r="J135377"/>
    </row>
    <row r="135378" spans="10:10" x14ac:dyDescent="0.3">
      <c r="J135378"/>
    </row>
    <row r="135379" spans="10:10" x14ac:dyDescent="0.3">
      <c r="J135379"/>
    </row>
    <row r="135380" spans="10:10" x14ac:dyDescent="0.3">
      <c r="J135380"/>
    </row>
    <row r="135381" spans="10:10" x14ac:dyDescent="0.3">
      <c r="J135381"/>
    </row>
    <row r="135382" spans="10:10" x14ac:dyDescent="0.3">
      <c r="J135382"/>
    </row>
    <row r="135383" spans="10:10" x14ac:dyDescent="0.3">
      <c r="J135383"/>
    </row>
    <row r="135384" spans="10:10" x14ac:dyDescent="0.3">
      <c r="J135384"/>
    </row>
    <row r="135385" spans="10:10" x14ac:dyDescent="0.3">
      <c r="J135385"/>
    </row>
    <row r="135386" spans="10:10" x14ac:dyDescent="0.3">
      <c r="J135386"/>
    </row>
    <row r="135387" spans="10:10" x14ac:dyDescent="0.3">
      <c r="J135387"/>
    </row>
    <row r="135388" spans="10:10" x14ac:dyDescent="0.3">
      <c r="J135388"/>
    </row>
    <row r="135389" spans="10:10" x14ac:dyDescent="0.3">
      <c r="J135389"/>
    </row>
    <row r="135390" spans="10:10" x14ac:dyDescent="0.3">
      <c r="J135390"/>
    </row>
    <row r="135391" spans="10:10" x14ac:dyDescent="0.3">
      <c r="J135391"/>
    </row>
    <row r="135392" spans="10:10" x14ac:dyDescent="0.3">
      <c r="J135392"/>
    </row>
    <row r="135393" spans="10:10" x14ac:dyDescent="0.3">
      <c r="J135393"/>
    </row>
    <row r="135394" spans="10:10" x14ac:dyDescent="0.3">
      <c r="J135394"/>
    </row>
    <row r="135395" spans="10:10" x14ac:dyDescent="0.3">
      <c r="J135395"/>
    </row>
    <row r="135396" spans="10:10" x14ac:dyDescent="0.3">
      <c r="J135396"/>
    </row>
    <row r="135397" spans="10:10" x14ac:dyDescent="0.3">
      <c r="J135397"/>
    </row>
    <row r="135398" spans="10:10" x14ac:dyDescent="0.3">
      <c r="J135398"/>
    </row>
    <row r="135399" spans="10:10" x14ac:dyDescent="0.3">
      <c r="J135399"/>
    </row>
    <row r="135400" spans="10:10" x14ac:dyDescent="0.3">
      <c r="J135400"/>
    </row>
    <row r="135401" spans="10:10" x14ac:dyDescent="0.3">
      <c r="J135401"/>
    </row>
    <row r="135402" spans="10:10" x14ac:dyDescent="0.3">
      <c r="J135402"/>
    </row>
    <row r="135403" spans="10:10" x14ac:dyDescent="0.3">
      <c r="J135403"/>
    </row>
    <row r="135404" spans="10:10" x14ac:dyDescent="0.3">
      <c r="J135404"/>
    </row>
    <row r="135405" spans="10:10" x14ac:dyDescent="0.3">
      <c r="J135405"/>
    </row>
    <row r="135406" spans="10:10" x14ac:dyDescent="0.3">
      <c r="J135406"/>
    </row>
    <row r="135407" spans="10:10" x14ac:dyDescent="0.3">
      <c r="J135407"/>
    </row>
    <row r="135408" spans="10:10" x14ac:dyDescent="0.3">
      <c r="J135408"/>
    </row>
    <row r="135409" spans="10:10" x14ac:dyDescent="0.3">
      <c r="J135409"/>
    </row>
    <row r="135410" spans="10:10" x14ac:dyDescent="0.3">
      <c r="J135410"/>
    </row>
    <row r="135411" spans="10:10" x14ac:dyDescent="0.3">
      <c r="J135411"/>
    </row>
    <row r="135412" spans="10:10" x14ac:dyDescent="0.3">
      <c r="J135412"/>
    </row>
    <row r="135413" spans="10:10" x14ac:dyDescent="0.3">
      <c r="J135413"/>
    </row>
    <row r="135414" spans="10:10" x14ac:dyDescent="0.3">
      <c r="J135414"/>
    </row>
    <row r="135415" spans="10:10" x14ac:dyDescent="0.3">
      <c r="J135415"/>
    </row>
    <row r="135416" spans="10:10" x14ac:dyDescent="0.3">
      <c r="J135416"/>
    </row>
    <row r="135417" spans="10:10" x14ac:dyDescent="0.3">
      <c r="J135417"/>
    </row>
    <row r="135418" spans="10:10" x14ac:dyDescent="0.3">
      <c r="J135418"/>
    </row>
    <row r="135419" spans="10:10" x14ac:dyDescent="0.3">
      <c r="J135419"/>
    </row>
    <row r="135420" spans="10:10" x14ac:dyDescent="0.3">
      <c r="J135420"/>
    </row>
    <row r="135421" spans="10:10" x14ac:dyDescent="0.3">
      <c r="J135421"/>
    </row>
    <row r="135422" spans="10:10" x14ac:dyDescent="0.3">
      <c r="J135422"/>
    </row>
    <row r="135423" spans="10:10" x14ac:dyDescent="0.3">
      <c r="J135423"/>
    </row>
    <row r="135424" spans="10:10" x14ac:dyDescent="0.3">
      <c r="J135424"/>
    </row>
    <row r="135425" spans="10:10" x14ac:dyDescent="0.3">
      <c r="J135425"/>
    </row>
    <row r="135426" spans="10:10" x14ac:dyDescent="0.3">
      <c r="J135426"/>
    </row>
    <row r="135427" spans="10:10" x14ac:dyDescent="0.3">
      <c r="J135427"/>
    </row>
    <row r="135428" spans="10:10" x14ac:dyDescent="0.3">
      <c r="J135428"/>
    </row>
    <row r="135429" spans="10:10" x14ac:dyDescent="0.3">
      <c r="J135429"/>
    </row>
    <row r="135430" spans="10:10" x14ac:dyDescent="0.3">
      <c r="J135430"/>
    </row>
    <row r="135431" spans="10:10" x14ac:dyDescent="0.3">
      <c r="J135431"/>
    </row>
    <row r="135432" spans="10:10" x14ac:dyDescent="0.3">
      <c r="J135432"/>
    </row>
    <row r="135433" spans="10:10" x14ac:dyDescent="0.3">
      <c r="J135433"/>
    </row>
    <row r="135434" spans="10:10" x14ac:dyDescent="0.3">
      <c r="J135434"/>
    </row>
    <row r="135435" spans="10:10" x14ac:dyDescent="0.3">
      <c r="J135435"/>
    </row>
    <row r="135436" spans="10:10" x14ac:dyDescent="0.3">
      <c r="J135436"/>
    </row>
    <row r="135437" spans="10:10" x14ac:dyDescent="0.3">
      <c r="J135437"/>
    </row>
    <row r="135438" spans="10:10" x14ac:dyDescent="0.3">
      <c r="J135438"/>
    </row>
    <row r="135439" spans="10:10" x14ac:dyDescent="0.3">
      <c r="J135439"/>
    </row>
    <row r="135440" spans="10:10" x14ac:dyDescent="0.3">
      <c r="J135440"/>
    </row>
    <row r="135441" spans="10:10" x14ac:dyDescent="0.3">
      <c r="J135441"/>
    </row>
    <row r="135442" spans="10:10" x14ac:dyDescent="0.3">
      <c r="J135442"/>
    </row>
    <row r="135443" spans="10:10" x14ac:dyDescent="0.3">
      <c r="J135443"/>
    </row>
    <row r="135444" spans="10:10" x14ac:dyDescent="0.3">
      <c r="J135444"/>
    </row>
    <row r="135445" spans="10:10" x14ac:dyDescent="0.3">
      <c r="J135445"/>
    </row>
    <row r="135446" spans="10:10" x14ac:dyDescent="0.3">
      <c r="J135446"/>
    </row>
    <row r="135447" spans="10:10" x14ac:dyDescent="0.3">
      <c r="J135447"/>
    </row>
    <row r="135448" spans="10:10" x14ac:dyDescent="0.3">
      <c r="J135448"/>
    </row>
    <row r="135449" spans="10:10" x14ac:dyDescent="0.3">
      <c r="J135449"/>
    </row>
    <row r="135450" spans="10:10" x14ac:dyDescent="0.3">
      <c r="J135450"/>
    </row>
    <row r="135451" spans="10:10" x14ac:dyDescent="0.3">
      <c r="J135451"/>
    </row>
    <row r="135452" spans="10:10" x14ac:dyDescent="0.3">
      <c r="J135452"/>
    </row>
    <row r="135453" spans="10:10" x14ac:dyDescent="0.3">
      <c r="J135453"/>
    </row>
    <row r="135454" spans="10:10" x14ac:dyDescent="0.3">
      <c r="J135454"/>
    </row>
    <row r="135455" spans="10:10" x14ac:dyDescent="0.3">
      <c r="J135455"/>
    </row>
    <row r="135456" spans="10:10" x14ac:dyDescent="0.3">
      <c r="J135456"/>
    </row>
    <row r="135457" spans="10:10" x14ac:dyDescent="0.3">
      <c r="J135457"/>
    </row>
    <row r="135458" spans="10:10" x14ac:dyDescent="0.3">
      <c r="J135458"/>
    </row>
    <row r="135459" spans="10:10" x14ac:dyDescent="0.3">
      <c r="J135459"/>
    </row>
    <row r="135460" spans="10:10" x14ac:dyDescent="0.3">
      <c r="J135460"/>
    </row>
    <row r="135461" spans="10:10" x14ac:dyDescent="0.3">
      <c r="J135461"/>
    </row>
    <row r="135462" spans="10:10" x14ac:dyDescent="0.3">
      <c r="J135462"/>
    </row>
    <row r="135463" spans="10:10" x14ac:dyDescent="0.3">
      <c r="J135463"/>
    </row>
    <row r="135464" spans="10:10" x14ac:dyDescent="0.3">
      <c r="J135464"/>
    </row>
    <row r="135465" spans="10:10" x14ac:dyDescent="0.3">
      <c r="J135465"/>
    </row>
    <row r="135466" spans="10:10" x14ac:dyDescent="0.3">
      <c r="J135466"/>
    </row>
    <row r="135467" spans="10:10" x14ac:dyDescent="0.3">
      <c r="J135467"/>
    </row>
    <row r="135468" spans="10:10" x14ac:dyDescent="0.3">
      <c r="J135468"/>
    </row>
    <row r="135469" spans="10:10" x14ac:dyDescent="0.3">
      <c r="J135469"/>
    </row>
    <row r="135470" spans="10:10" x14ac:dyDescent="0.3">
      <c r="J135470"/>
    </row>
    <row r="135471" spans="10:10" x14ac:dyDescent="0.3">
      <c r="J135471"/>
    </row>
    <row r="135472" spans="10:10" x14ac:dyDescent="0.3">
      <c r="J135472"/>
    </row>
    <row r="135473" spans="10:10" x14ac:dyDescent="0.3">
      <c r="J135473"/>
    </row>
    <row r="135474" spans="10:10" x14ac:dyDescent="0.3">
      <c r="J135474"/>
    </row>
    <row r="135475" spans="10:10" x14ac:dyDescent="0.3">
      <c r="J135475"/>
    </row>
    <row r="135476" spans="10:10" x14ac:dyDescent="0.3">
      <c r="J135476"/>
    </row>
    <row r="135477" spans="10:10" x14ac:dyDescent="0.3">
      <c r="J135477"/>
    </row>
    <row r="135478" spans="10:10" x14ac:dyDescent="0.3">
      <c r="J135478"/>
    </row>
    <row r="135479" spans="10:10" x14ac:dyDescent="0.3">
      <c r="J135479"/>
    </row>
    <row r="135480" spans="10:10" x14ac:dyDescent="0.3">
      <c r="J135480"/>
    </row>
    <row r="135481" spans="10:10" x14ac:dyDescent="0.3">
      <c r="J135481"/>
    </row>
    <row r="135482" spans="10:10" x14ac:dyDescent="0.3">
      <c r="J135482"/>
    </row>
    <row r="135483" spans="10:10" x14ac:dyDescent="0.3">
      <c r="J135483"/>
    </row>
    <row r="135484" spans="10:10" x14ac:dyDescent="0.3">
      <c r="J135484"/>
    </row>
    <row r="135485" spans="10:10" x14ac:dyDescent="0.3">
      <c r="J135485"/>
    </row>
    <row r="135486" spans="10:10" x14ac:dyDescent="0.3">
      <c r="J135486"/>
    </row>
    <row r="135487" spans="10:10" x14ac:dyDescent="0.3">
      <c r="J135487"/>
    </row>
    <row r="135488" spans="10:10" x14ac:dyDescent="0.3">
      <c r="J135488"/>
    </row>
    <row r="135489" spans="10:10" x14ac:dyDescent="0.3">
      <c r="J135489"/>
    </row>
    <row r="135490" spans="10:10" x14ac:dyDescent="0.3">
      <c r="J135490"/>
    </row>
    <row r="135491" spans="10:10" x14ac:dyDescent="0.3">
      <c r="J135491"/>
    </row>
    <row r="135492" spans="10:10" x14ac:dyDescent="0.3">
      <c r="J135492"/>
    </row>
    <row r="135493" spans="10:10" x14ac:dyDescent="0.3">
      <c r="J135493"/>
    </row>
    <row r="135494" spans="10:10" x14ac:dyDescent="0.3">
      <c r="J135494"/>
    </row>
    <row r="135495" spans="10:10" x14ac:dyDescent="0.3">
      <c r="J135495"/>
    </row>
    <row r="135496" spans="10:10" x14ac:dyDescent="0.3">
      <c r="J135496"/>
    </row>
    <row r="135497" spans="10:10" x14ac:dyDescent="0.3">
      <c r="J135497"/>
    </row>
    <row r="135498" spans="10:10" x14ac:dyDescent="0.3">
      <c r="J135498"/>
    </row>
    <row r="135499" spans="10:10" x14ac:dyDescent="0.3">
      <c r="J135499"/>
    </row>
    <row r="135500" spans="10:10" x14ac:dyDescent="0.3">
      <c r="J135500"/>
    </row>
    <row r="135501" spans="10:10" x14ac:dyDescent="0.3">
      <c r="J135501"/>
    </row>
    <row r="135502" spans="10:10" x14ac:dyDescent="0.3">
      <c r="J135502"/>
    </row>
    <row r="135503" spans="10:10" x14ac:dyDescent="0.3">
      <c r="J135503"/>
    </row>
    <row r="135504" spans="10:10" x14ac:dyDescent="0.3">
      <c r="J135504"/>
    </row>
    <row r="135505" spans="10:10" x14ac:dyDescent="0.3">
      <c r="J135505"/>
    </row>
    <row r="135506" spans="10:10" x14ac:dyDescent="0.3">
      <c r="J135506"/>
    </row>
    <row r="135507" spans="10:10" x14ac:dyDescent="0.3">
      <c r="J135507"/>
    </row>
    <row r="135508" spans="10:10" x14ac:dyDescent="0.3">
      <c r="J135508"/>
    </row>
    <row r="135509" spans="10:10" x14ac:dyDescent="0.3">
      <c r="J135509"/>
    </row>
    <row r="135510" spans="10:10" x14ac:dyDescent="0.3">
      <c r="J135510"/>
    </row>
    <row r="135511" spans="10:10" x14ac:dyDescent="0.3">
      <c r="J135511"/>
    </row>
    <row r="135512" spans="10:10" x14ac:dyDescent="0.3">
      <c r="J135512"/>
    </row>
    <row r="135513" spans="10:10" x14ac:dyDescent="0.3">
      <c r="J135513"/>
    </row>
    <row r="135514" spans="10:10" x14ac:dyDescent="0.3">
      <c r="J135514"/>
    </row>
    <row r="135515" spans="10:10" x14ac:dyDescent="0.3">
      <c r="J135515"/>
    </row>
    <row r="135516" spans="10:10" x14ac:dyDescent="0.3">
      <c r="J135516"/>
    </row>
    <row r="135517" spans="10:10" x14ac:dyDescent="0.3">
      <c r="J135517"/>
    </row>
    <row r="135518" spans="10:10" x14ac:dyDescent="0.3">
      <c r="J135518"/>
    </row>
    <row r="135519" spans="10:10" x14ac:dyDescent="0.3">
      <c r="J135519"/>
    </row>
    <row r="135520" spans="10:10" x14ac:dyDescent="0.3">
      <c r="J135520"/>
    </row>
    <row r="135521" spans="10:10" x14ac:dyDescent="0.3">
      <c r="J135521"/>
    </row>
    <row r="135522" spans="10:10" x14ac:dyDescent="0.3">
      <c r="J135522"/>
    </row>
    <row r="135523" spans="10:10" x14ac:dyDescent="0.3">
      <c r="J135523"/>
    </row>
    <row r="135524" spans="10:10" x14ac:dyDescent="0.3">
      <c r="J135524"/>
    </row>
    <row r="135525" spans="10:10" x14ac:dyDescent="0.3">
      <c r="J135525"/>
    </row>
    <row r="135526" spans="10:10" x14ac:dyDescent="0.3">
      <c r="J135526"/>
    </row>
    <row r="135527" spans="10:10" x14ac:dyDescent="0.3">
      <c r="J135527"/>
    </row>
    <row r="135528" spans="10:10" x14ac:dyDescent="0.3">
      <c r="J135528"/>
    </row>
    <row r="135529" spans="10:10" x14ac:dyDescent="0.3">
      <c r="J135529"/>
    </row>
    <row r="135530" spans="10:10" x14ac:dyDescent="0.3">
      <c r="J135530"/>
    </row>
    <row r="135531" spans="10:10" x14ac:dyDescent="0.3">
      <c r="J135531"/>
    </row>
    <row r="135532" spans="10:10" x14ac:dyDescent="0.3">
      <c r="J135532"/>
    </row>
    <row r="135533" spans="10:10" x14ac:dyDescent="0.3">
      <c r="J135533"/>
    </row>
    <row r="135534" spans="10:10" x14ac:dyDescent="0.3">
      <c r="J135534"/>
    </row>
    <row r="135535" spans="10:10" x14ac:dyDescent="0.3">
      <c r="J135535"/>
    </row>
    <row r="135536" spans="10:10" x14ac:dyDescent="0.3">
      <c r="J135536"/>
    </row>
    <row r="135537" spans="10:10" x14ac:dyDescent="0.3">
      <c r="J135537"/>
    </row>
    <row r="135538" spans="10:10" x14ac:dyDescent="0.3">
      <c r="J135538"/>
    </row>
    <row r="135539" spans="10:10" x14ac:dyDescent="0.3">
      <c r="J135539"/>
    </row>
    <row r="135540" spans="10:10" x14ac:dyDescent="0.3">
      <c r="J135540"/>
    </row>
    <row r="135541" spans="10:10" x14ac:dyDescent="0.3">
      <c r="J135541"/>
    </row>
    <row r="135542" spans="10:10" x14ac:dyDescent="0.3">
      <c r="J135542"/>
    </row>
    <row r="135543" spans="10:10" x14ac:dyDescent="0.3">
      <c r="J135543"/>
    </row>
    <row r="135544" spans="10:10" x14ac:dyDescent="0.3">
      <c r="J135544"/>
    </row>
    <row r="135545" spans="10:10" x14ac:dyDescent="0.3">
      <c r="J135545"/>
    </row>
    <row r="135546" spans="10:10" x14ac:dyDescent="0.3">
      <c r="J135546"/>
    </row>
    <row r="135547" spans="10:10" x14ac:dyDescent="0.3">
      <c r="J135547"/>
    </row>
    <row r="135548" spans="10:10" x14ac:dyDescent="0.3">
      <c r="J135548"/>
    </row>
    <row r="135549" spans="10:10" x14ac:dyDescent="0.3">
      <c r="J135549"/>
    </row>
    <row r="135550" spans="10:10" x14ac:dyDescent="0.3">
      <c r="J135550"/>
    </row>
    <row r="135551" spans="10:10" x14ac:dyDescent="0.3">
      <c r="J135551"/>
    </row>
    <row r="135552" spans="10:10" x14ac:dyDescent="0.3">
      <c r="J135552"/>
    </row>
    <row r="135553" spans="10:10" x14ac:dyDescent="0.3">
      <c r="J135553"/>
    </row>
    <row r="135554" spans="10:10" x14ac:dyDescent="0.3">
      <c r="J135554"/>
    </row>
    <row r="135555" spans="10:10" x14ac:dyDescent="0.3">
      <c r="J135555"/>
    </row>
    <row r="135556" spans="10:10" x14ac:dyDescent="0.3">
      <c r="J135556"/>
    </row>
    <row r="135557" spans="10:10" x14ac:dyDescent="0.3">
      <c r="J135557"/>
    </row>
    <row r="135558" spans="10:10" x14ac:dyDescent="0.3">
      <c r="J135558"/>
    </row>
    <row r="135559" spans="10:10" x14ac:dyDescent="0.3">
      <c r="J135559"/>
    </row>
    <row r="135560" spans="10:10" x14ac:dyDescent="0.3">
      <c r="J135560"/>
    </row>
    <row r="135561" spans="10:10" x14ac:dyDescent="0.3">
      <c r="J135561"/>
    </row>
    <row r="135562" spans="10:10" x14ac:dyDescent="0.3">
      <c r="J135562"/>
    </row>
    <row r="135563" spans="10:10" x14ac:dyDescent="0.3">
      <c r="J135563"/>
    </row>
    <row r="135564" spans="10:10" x14ac:dyDescent="0.3">
      <c r="J135564"/>
    </row>
    <row r="135565" spans="10:10" x14ac:dyDescent="0.3">
      <c r="J135565"/>
    </row>
    <row r="135566" spans="10:10" x14ac:dyDescent="0.3">
      <c r="J135566"/>
    </row>
    <row r="135567" spans="10:10" x14ac:dyDescent="0.3">
      <c r="J135567"/>
    </row>
    <row r="135568" spans="10:10" x14ac:dyDescent="0.3">
      <c r="J135568"/>
    </row>
    <row r="135569" spans="10:10" x14ac:dyDescent="0.3">
      <c r="J135569"/>
    </row>
    <row r="135570" spans="10:10" x14ac:dyDescent="0.3">
      <c r="J135570"/>
    </row>
    <row r="135571" spans="10:10" x14ac:dyDescent="0.3">
      <c r="J135571"/>
    </row>
    <row r="135572" spans="10:10" x14ac:dyDescent="0.3">
      <c r="J135572"/>
    </row>
    <row r="135573" spans="10:10" x14ac:dyDescent="0.3">
      <c r="J135573"/>
    </row>
    <row r="135574" spans="10:10" x14ac:dyDescent="0.3">
      <c r="J135574"/>
    </row>
    <row r="135575" spans="10:10" x14ac:dyDescent="0.3">
      <c r="J135575"/>
    </row>
    <row r="135576" spans="10:10" x14ac:dyDescent="0.3">
      <c r="J135576"/>
    </row>
    <row r="135577" spans="10:10" x14ac:dyDescent="0.3">
      <c r="J135577"/>
    </row>
    <row r="135578" spans="10:10" x14ac:dyDescent="0.3">
      <c r="J135578"/>
    </row>
    <row r="135579" spans="10:10" x14ac:dyDescent="0.3">
      <c r="J135579"/>
    </row>
    <row r="135580" spans="10:10" x14ac:dyDescent="0.3">
      <c r="J135580"/>
    </row>
    <row r="135581" spans="10:10" x14ac:dyDescent="0.3">
      <c r="J135581"/>
    </row>
    <row r="135582" spans="10:10" x14ac:dyDescent="0.3">
      <c r="J135582"/>
    </row>
    <row r="135583" spans="10:10" x14ac:dyDescent="0.3">
      <c r="J135583"/>
    </row>
    <row r="135584" spans="10:10" x14ac:dyDescent="0.3">
      <c r="J135584"/>
    </row>
    <row r="135585" spans="10:10" x14ac:dyDescent="0.3">
      <c r="J135585"/>
    </row>
    <row r="135586" spans="10:10" x14ac:dyDescent="0.3">
      <c r="J135586"/>
    </row>
    <row r="135587" spans="10:10" x14ac:dyDescent="0.3">
      <c r="J135587"/>
    </row>
    <row r="135588" spans="10:10" x14ac:dyDescent="0.3">
      <c r="J135588"/>
    </row>
    <row r="135589" spans="10:10" x14ac:dyDescent="0.3">
      <c r="J135589"/>
    </row>
    <row r="135590" spans="10:10" x14ac:dyDescent="0.3">
      <c r="J135590"/>
    </row>
    <row r="135591" spans="10:10" x14ac:dyDescent="0.3">
      <c r="J135591"/>
    </row>
    <row r="135592" spans="10:10" x14ac:dyDescent="0.3">
      <c r="J135592"/>
    </row>
    <row r="135593" spans="10:10" x14ac:dyDescent="0.3">
      <c r="J135593"/>
    </row>
    <row r="135594" spans="10:10" x14ac:dyDescent="0.3">
      <c r="J135594"/>
    </row>
    <row r="135595" spans="10:10" x14ac:dyDescent="0.3">
      <c r="J135595"/>
    </row>
    <row r="135596" spans="10:10" x14ac:dyDescent="0.3">
      <c r="J135596"/>
    </row>
    <row r="135597" spans="10:10" x14ac:dyDescent="0.3">
      <c r="J135597"/>
    </row>
    <row r="135598" spans="10:10" x14ac:dyDescent="0.3">
      <c r="J135598"/>
    </row>
    <row r="135599" spans="10:10" x14ac:dyDescent="0.3">
      <c r="J135599"/>
    </row>
    <row r="135600" spans="10:10" x14ac:dyDescent="0.3">
      <c r="J135600"/>
    </row>
    <row r="135601" spans="10:10" x14ac:dyDescent="0.3">
      <c r="J135601"/>
    </row>
    <row r="135602" spans="10:10" x14ac:dyDescent="0.3">
      <c r="J135602"/>
    </row>
    <row r="135603" spans="10:10" x14ac:dyDescent="0.3">
      <c r="J135603"/>
    </row>
    <row r="135604" spans="10:10" x14ac:dyDescent="0.3">
      <c r="J135604"/>
    </row>
    <row r="135605" spans="10:10" x14ac:dyDescent="0.3">
      <c r="J135605"/>
    </row>
    <row r="135606" spans="10:10" x14ac:dyDescent="0.3">
      <c r="J135606"/>
    </row>
    <row r="135607" spans="10:10" x14ac:dyDescent="0.3">
      <c r="J135607"/>
    </row>
    <row r="135608" spans="10:10" x14ac:dyDescent="0.3">
      <c r="J135608"/>
    </row>
    <row r="135609" spans="10:10" x14ac:dyDescent="0.3">
      <c r="J135609"/>
    </row>
    <row r="135610" spans="10:10" x14ac:dyDescent="0.3">
      <c r="J135610"/>
    </row>
    <row r="135611" spans="10:10" x14ac:dyDescent="0.3">
      <c r="J135611"/>
    </row>
    <row r="135612" spans="10:10" x14ac:dyDescent="0.3">
      <c r="J135612"/>
    </row>
    <row r="135613" spans="10:10" x14ac:dyDescent="0.3">
      <c r="J135613"/>
    </row>
    <row r="135614" spans="10:10" x14ac:dyDescent="0.3">
      <c r="J135614"/>
    </row>
    <row r="135615" spans="10:10" x14ac:dyDescent="0.3">
      <c r="J135615"/>
    </row>
    <row r="135616" spans="10:10" x14ac:dyDescent="0.3">
      <c r="J135616"/>
    </row>
    <row r="135617" spans="10:10" x14ac:dyDescent="0.3">
      <c r="J135617"/>
    </row>
    <row r="135618" spans="10:10" x14ac:dyDescent="0.3">
      <c r="J135618"/>
    </row>
    <row r="135619" spans="10:10" x14ac:dyDescent="0.3">
      <c r="J135619"/>
    </row>
    <row r="135620" spans="10:10" x14ac:dyDescent="0.3">
      <c r="J135620"/>
    </row>
    <row r="135621" spans="10:10" x14ac:dyDescent="0.3">
      <c r="J135621"/>
    </row>
    <row r="135622" spans="10:10" x14ac:dyDescent="0.3">
      <c r="J135622"/>
    </row>
    <row r="135623" spans="10:10" x14ac:dyDescent="0.3">
      <c r="J135623"/>
    </row>
    <row r="135624" spans="10:10" x14ac:dyDescent="0.3">
      <c r="J135624"/>
    </row>
    <row r="135625" spans="10:10" x14ac:dyDescent="0.3">
      <c r="J135625"/>
    </row>
    <row r="135626" spans="10:10" x14ac:dyDescent="0.3">
      <c r="J135626"/>
    </row>
    <row r="135627" spans="10:10" x14ac:dyDescent="0.3">
      <c r="J135627"/>
    </row>
    <row r="135628" spans="10:10" x14ac:dyDescent="0.3">
      <c r="J135628"/>
    </row>
    <row r="135629" spans="10:10" x14ac:dyDescent="0.3">
      <c r="J135629"/>
    </row>
    <row r="135630" spans="10:10" x14ac:dyDescent="0.3">
      <c r="J135630"/>
    </row>
    <row r="135631" spans="10:10" x14ac:dyDescent="0.3">
      <c r="J135631"/>
    </row>
    <row r="135632" spans="10:10" x14ac:dyDescent="0.3">
      <c r="J135632"/>
    </row>
    <row r="135633" spans="10:10" x14ac:dyDescent="0.3">
      <c r="J135633"/>
    </row>
    <row r="135634" spans="10:10" x14ac:dyDescent="0.3">
      <c r="J135634"/>
    </row>
    <row r="135635" spans="10:10" x14ac:dyDescent="0.3">
      <c r="J135635"/>
    </row>
    <row r="135636" spans="10:10" x14ac:dyDescent="0.3">
      <c r="J135636"/>
    </row>
    <row r="135637" spans="10:10" x14ac:dyDescent="0.3">
      <c r="J135637"/>
    </row>
    <row r="135638" spans="10:10" x14ac:dyDescent="0.3">
      <c r="J135638"/>
    </row>
    <row r="135639" spans="10:10" x14ac:dyDescent="0.3">
      <c r="J135639"/>
    </row>
    <row r="135640" spans="10:10" x14ac:dyDescent="0.3">
      <c r="J135640"/>
    </row>
    <row r="135641" spans="10:10" x14ac:dyDescent="0.3">
      <c r="J135641"/>
    </row>
    <row r="135642" spans="10:10" x14ac:dyDescent="0.3">
      <c r="J135642"/>
    </row>
    <row r="135643" spans="10:10" x14ac:dyDescent="0.3">
      <c r="J135643"/>
    </row>
    <row r="135644" spans="10:10" x14ac:dyDescent="0.3">
      <c r="J135644"/>
    </row>
    <row r="135645" spans="10:10" x14ac:dyDescent="0.3">
      <c r="J135645"/>
    </row>
    <row r="135646" spans="10:10" x14ac:dyDescent="0.3">
      <c r="J135646"/>
    </row>
    <row r="135647" spans="10:10" x14ac:dyDescent="0.3">
      <c r="J135647"/>
    </row>
    <row r="135648" spans="10:10" x14ac:dyDescent="0.3">
      <c r="J135648"/>
    </row>
    <row r="135649" spans="10:10" x14ac:dyDescent="0.3">
      <c r="J135649"/>
    </row>
    <row r="135650" spans="10:10" x14ac:dyDescent="0.3">
      <c r="J135650"/>
    </row>
    <row r="135651" spans="10:10" x14ac:dyDescent="0.3">
      <c r="J135651"/>
    </row>
    <row r="135652" spans="10:10" x14ac:dyDescent="0.3">
      <c r="J135652"/>
    </row>
    <row r="135653" spans="10:10" x14ac:dyDescent="0.3">
      <c r="J135653"/>
    </row>
    <row r="135654" spans="10:10" x14ac:dyDescent="0.3">
      <c r="J135654"/>
    </row>
    <row r="135655" spans="10:10" x14ac:dyDescent="0.3">
      <c r="J135655"/>
    </row>
    <row r="135656" spans="10:10" x14ac:dyDescent="0.3">
      <c r="J135656"/>
    </row>
    <row r="135657" spans="10:10" x14ac:dyDescent="0.3">
      <c r="J135657"/>
    </row>
    <row r="135658" spans="10:10" x14ac:dyDescent="0.3">
      <c r="J135658"/>
    </row>
    <row r="135659" spans="10:10" x14ac:dyDescent="0.3">
      <c r="J135659"/>
    </row>
    <row r="135660" spans="10:10" x14ac:dyDescent="0.3">
      <c r="J135660"/>
    </row>
    <row r="135661" spans="10:10" x14ac:dyDescent="0.3">
      <c r="J135661"/>
    </row>
    <row r="135662" spans="10:10" x14ac:dyDescent="0.3">
      <c r="J135662"/>
    </row>
    <row r="135663" spans="10:10" x14ac:dyDescent="0.3">
      <c r="J135663"/>
    </row>
    <row r="135664" spans="10:10" x14ac:dyDescent="0.3">
      <c r="J135664"/>
    </row>
    <row r="135665" spans="10:10" x14ac:dyDescent="0.3">
      <c r="J135665"/>
    </row>
    <row r="135666" spans="10:10" x14ac:dyDescent="0.3">
      <c r="J135666"/>
    </row>
    <row r="135667" spans="10:10" x14ac:dyDescent="0.3">
      <c r="J135667"/>
    </row>
    <row r="135668" spans="10:10" x14ac:dyDescent="0.3">
      <c r="J135668"/>
    </row>
    <row r="135669" spans="10:10" x14ac:dyDescent="0.3">
      <c r="J135669"/>
    </row>
    <row r="135670" spans="10:10" x14ac:dyDescent="0.3">
      <c r="J135670"/>
    </row>
    <row r="135671" spans="10:10" x14ac:dyDescent="0.3">
      <c r="J135671"/>
    </row>
    <row r="135672" spans="10:10" x14ac:dyDescent="0.3">
      <c r="J135672"/>
    </row>
    <row r="135673" spans="10:10" x14ac:dyDescent="0.3">
      <c r="J135673"/>
    </row>
    <row r="135674" spans="10:10" x14ac:dyDescent="0.3">
      <c r="J135674"/>
    </row>
    <row r="135675" spans="10:10" x14ac:dyDescent="0.3">
      <c r="J135675"/>
    </row>
    <row r="135676" spans="10:10" x14ac:dyDescent="0.3">
      <c r="J135676"/>
    </row>
    <row r="135677" spans="10:10" x14ac:dyDescent="0.3">
      <c r="J135677"/>
    </row>
    <row r="135678" spans="10:10" x14ac:dyDescent="0.3">
      <c r="J135678"/>
    </row>
    <row r="135679" spans="10:10" x14ac:dyDescent="0.3">
      <c r="J135679"/>
    </row>
    <row r="135680" spans="10:10" x14ac:dyDescent="0.3">
      <c r="J135680"/>
    </row>
    <row r="135681" spans="10:10" x14ac:dyDescent="0.3">
      <c r="J135681"/>
    </row>
    <row r="135682" spans="10:10" x14ac:dyDescent="0.3">
      <c r="J135682"/>
    </row>
    <row r="135683" spans="10:10" x14ac:dyDescent="0.3">
      <c r="J135683"/>
    </row>
    <row r="135684" spans="10:10" x14ac:dyDescent="0.3">
      <c r="J135684"/>
    </row>
    <row r="135685" spans="10:10" x14ac:dyDescent="0.3">
      <c r="J135685"/>
    </row>
    <row r="135686" spans="10:10" x14ac:dyDescent="0.3">
      <c r="J135686"/>
    </row>
    <row r="135687" spans="10:10" x14ac:dyDescent="0.3">
      <c r="J135687"/>
    </row>
    <row r="135688" spans="10:10" x14ac:dyDescent="0.3">
      <c r="J135688"/>
    </row>
    <row r="135689" spans="10:10" x14ac:dyDescent="0.3">
      <c r="J135689"/>
    </row>
    <row r="135690" spans="10:10" x14ac:dyDescent="0.3">
      <c r="J135690"/>
    </row>
    <row r="135691" spans="10:10" x14ac:dyDescent="0.3">
      <c r="J135691"/>
    </row>
    <row r="135692" spans="10:10" x14ac:dyDescent="0.3">
      <c r="J135692"/>
    </row>
    <row r="135693" spans="10:10" x14ac:dyDescent="0.3">
      <c r="J135693"/>
    </row>
    <row r="135694" spans="10:10" x14ac:dyDescent="0.3">
      <c r="J135694"/>
    </row>
    <row r="135695" spans="10:10" x14ac:dyDescent="0.3">
      <c r="J135695"/>
    </row>
    <row r="135696" spans="10:10" x14ac:dyDescent="0.3">
      <c r="J135696"/>
    </row>
    <row r="135697" spans="10:10" x14ac:dyDescent="0.3">
      <c r="J135697"/>
    </row>
    <row r="135698" spans="10:10" x14ac:dyDescent="0.3">
      <c r="J135698"/>
    </row>
    <row r="135699" spans="10:10" x14ac:dyDescent="0.3">
      <c r="J135699"/>
    </row>
    <row r="135700" spans="10:10" x14ac:dyDescent="0.3">
      <c r="J135700"/>
    </row>
    <row r="135701" spans="10:10" x14ac:dyDescent="0.3">
      <c r="J135701"/>
    </row>
    <row r="135702" spans="10:10" x14ac:dyDescent="0.3">
      <c r="J135702"/>
    </row>
    <row r="135703" spans="10:10" x14ac:dyDescent="0.3">
      <c r="J135703"/>
    </row>
    <row r="135704" spans="10:10" x14ac:dyDescent="0.3">
      <c r="J135704"/>
    </row>
    <row r="135705" spans="10:10" x14ac:dyDescent="0.3">
      <c r="J135705"/>
    </row>
    <row r="135706" spans="10:10" x14ac:dyDescent="0.3">
      <c r="J135706"/>
    </row>
    <row r="135707" spans="10:10" x14ac:dyDescent="0.3">
      <c r="J135707"/>
    </row>
    <row r="135708" spans="10:10" x14ac:dyDescent="0.3">
      <c r="J135708"/>
    </row>
    <row r="135709" spans="10:10" x14ac:dyDescent="0.3">
      <c r="J135709"/>
    </row>
    <row r="135710" spans="10:10" x14ac:dyDescent="0.3">
      <c r="J135710"/>
    </row>
    <row r="135711" spans="10:10" x14ac:dyDescent="0.3">
      <c r="J135711"/>
    </row>
    <row r="135712" spans="10:10" x14ac:dyDescent="0.3">
      <c r="J135712"/>
    </row>
    <row r="135713" spans="10:10" x14ac:dyDescent="0.3">
      <c r="J135713"/>
    </row>
    <row r="135714" spans="10:10" x14ac:dyDescent="0.3">
      <c r="J135714"/>
    </row>
    <row r="135715" spans="10:10" x14ac:dyDescent="0.3">
      <c r="J135715"/>
    </row>
    <row r="135716" spans="10:10" x14ac:dyDescent="0.3">
      <c r="J135716"/>
    </row>
    <row r="135717" spans="10:10" x14ac:dyDescent="0.3">
      <c r="J135717"/>
    </row>
    <row r="135718" spans="10:10" x14ac:dyDescent="0.3">
      <c r="J135718"/>
    </row>
    <row r="135719" spans="10:10" x14ac:dyDescent="0.3">
      <c r="J135719"/>
    </row>
    <row r="135720" spans="10:10" x14ac:dyDescent="0.3">
      <c r="J135720"/>
    </row>
    <row r="135721" spans="10:10" x14ac:dyDescent="0.3">
      <c r="J135721"/>
    </row>
    <row r="135722" spans="10:10" x14ac:dyDescent="0.3">
      <c r="J135722"/>
    </row>
    <row r="135723" spans="10:10" x14ac:dyDescent="0.3">
      <c r="J135723"/>
    </row>
    <row r="135724" spans="10:10" x14ac:dyDescent="0.3">
      <c r="J135724"/>
    </row>
    <row r="135725" spans="10:10" x14ac:dyDescent="0.3">
      <c r="J135725"/>
    </row>
    <row r="135726" spans="10:10" x14ac:dyDescent="0.3">
      <c r="J135726"/>
    </row>
    <row r="135727" spans="10:10" x14ac:dyDescent="0.3">
      <c r="J135727"/>
    </row>
    <row r="135728" spans="10:10" x14ac:dyDescent="0.3">
      <c r="J135728"/>
    </row>
    <row r="135729" spans="10:10" x14ac:dyDescent="0.3">
      <c r="J135729"/>
    </row>
    <row r="135730" spans="10:10" x14ac:dyDescent="0.3">
      <c r="J135730"/>
    </row>
    <row r="135731" spans="10:10" x14ac:dyDescent="0.3">
      <c r="J135731"/>
    </row>
    <row r="135732" spans="10:10" x14ac:dyDescent="0.3">
      <c r="J135732"/>
    </row>
    <row r="135733" spans="10:10" x14ac:dyDescent="0.3">
      <c r="J135733"/>
    </row>
    <row r="135734" spans="10:10" x14ac:dyDescent="0.3">
      <c r="J135734"/>
    </row>
    <row r="135735" spans="10:10" x14ac:dyDescent="0.3">
      <c r="J135735"/>
    </row>
    <row r="135736" spans="10:10" x14ac:dyDescent="0.3">
      <c r="J135736"/>
    </row>
    <row r="135737" spans="10:10" x14ac:dyDescent="0.3">
      <c r="J135737"/>
    </row>
    <row r="135738" spans="10:10" x14ac:dyDescent="0.3">
      <c r="J135738"/>
    </row>
    <row r="135739" spans="10:10" x14ac:dyDescent="0.3">
      <c r="J135739"/>
    </row>
    <row r="135740" spans="10:10" x14ac:dyDescent="0.3">
      <c r="J135740"/>
    </row>
    <row r="135741" spans="10:10" x14ac:dyDescent="0.3">
      <c r="J135741"/>
    </row>
    <row r="135742" spans="10:10" x14ac:dyDescent="0.3">
      <c r="J135742"/>
    </row>
    <row r="135743" spans="10:10" x14ac:dyDescent="0.3">
      <c r="J135743"/>
    </row>
    <row r="135744" spans="10:10" x14ac:dyDescent="0.3">
      <c r="J135744"/>
    </row>
    <row r="135745" spans="10:10" x14ac:dyDescent="0.3">
      <c r="J135745"/>
    </row>
    <row r="135746" spans="10:10" x14ac:dyDescent="0.3">
      <c r="J135746"/>
    </row>
    <row r="135747" spans="10:10" x14ac:dyDescent="0.3">
      <c r="J135747"/>
    </row>
    <row r="135748" spans="10:10" x14ac:dyDescent="0.3">
      <c r="J135748"/>
    </row>
    <row r="135749" spans="10:10" x14ac:dyDescent="0.3">
      <c r="J135749"/>
    </row>
    <row r="135750" spans="10:10" x14ac:dyDescent="0.3">
      <c r="J135750"/>
    </row>
    <row r="135751" spans="10:10" x14ac:dyDescent="0.3">
      <c r="J135751"/>
    </row>
    <row r="135752" spans="10:10" x14ac:dyDescent="0.3">
      <c r="J135752"/>
    </row>
    <row r="135753" spans="10:10" x14ac:dyDescent="0.3">
      <c r="J135753"/>
    </row>
    <row r="135754" spans="10:10" x14ac:dyDescent="0.3">
      <c r="J135754"/>
    </row>
    <row r="135755" spans="10:10" x14ac:dyDescent="0.3">
      <c r="J135755"/>
    </row>
    <row r="135756" spans="10:10" x14ac:dyDescent="0.3">
      <c r="J135756"/>
    </row>
    <row r="135757" spans="10:10" x14ac:dyDescent="0.3">
      <c r="J135757"/>
    </row>
    <row r="135758" spans="10:10" x14ac:dyDescent="0.3">
      <c r="J135758"/>
    </row>
    <row r="135759" spans="10:10" x14ac:dyDescent="0.3">
      <c r="J135759"/>
    </row>
    <row r="135760" spans="10:10" x14ac:dyDescent="0.3">
      <c r="J135760"/>
    </row>
    <row r="135761" spans="10:10" x14ac:dyDescent="0.3">
      <c r="J135761"/>
    </row>
    <row r="135762" spans="10:10" x14ac:dyDescent="0.3">
      <c r="J135762"/>
    </row>
    <row r="135763" spans="10:10" x14ac:dyDescent="0.3">
      <c r="J135763"/>
    </row>
    <row r="135764" spans="10:10" x14ac:dyDescent="0.3">
      <c r="J135764"/>
    </row>
    <row r="135765" spans="10:10" x14ac:dyDescent="0.3">
      <c r="J135765"/>
    </row>
    <row r="135766" spans="10:10" x14ac:dyDescent="0.3">
      <c r="J135766"/>
    </row>
    <row r="135767" spans="10:10" x14ac:dyDescent="0.3">
      <c r="J135767"/>
    </row>
    <row r="135768" spans="10:10" x14ac:dyDescent="0.3">
      <c r="J135768"/>
    </row>
    <row r="135769" spans="10:10" x14ac:dyDescent="0.3">
      <c r="J135769"/>
    </row>
    <row r="135770" spans="10:10" x14ac:dyDescent="0.3">
      <c r="J135770"/>
    </row>
    <row r="135771" spans="10:10" x14ac:dyDescent="0.3">
      <c r="J135771"/>
    </row>
    <row r="135772" spans="10:10" x14ac:dyDescent="0.3">
      <c r="J135772"/>
    </row>
    <row r="135773" spans="10:10" x14ac:dyDescent="0.3">
      <c r="J135773"/>
    </row>
    <row r="135774" spans="10:10" x14ac:dyDescent="0.3">
      <c r="J135774"/>
    </row>
    <row r="135775" spans="10:10" x14ac:dyDescent="0.3">
      <c r="J135775"/>
    </row>
    <row r="135776" spans="10:10" x14ac:dyDescent="0.3">
      <c r="J135776"/>
    </row>
    <row r="135777" spans="10:10" x14ac:dyDescent="0.3">
      <c r="J135777"/>
    </row>
    <row r="135778" spans="10:10" x14ac:dyDescent="0.3">
      <c r="J135778"/>
    </row>
    <row r="135779" spans="10:10" x14ac:dyDescent="0.3">
      <c r="J135779"/>
    </row>
    <row r="135780" spans="10:10" x14ac:dyDescent="0.3">
      <c r="J135780"/>
    </row>
    <row r="135781" spans="10:10" x14ac:dyDescent="0.3">
      <c r="J135781"/>
    </row>
    <row r="135782" spans="10:10" x14ac:dyDescent="0.3">
      <c r="J135782"/>
    </row>
    <row r="135783" spans="10:10" x14ac:dyDescent="0.3">
      <c r="J135783"/>
    </row>
    <row r="135784" spans="10:10" x14ac:dyDescent="0.3">
      <c r="J135784"/>
    </row>
    <row r="135785" spans="10:10" x14ac:dyDescent="0.3">
      <c r="J135785"/>
    </row>
    <row r="135786" spans="10:10" x14ac:dyDescent="0.3">
      <c r="J135786"/>
    </row>
    <row r="135787" spans="10:10" x14ac:dyDescent="0.3">
      <c r="J135787"/>
    </row>
    <row r="135788" spans="10:10" x14ac:dyDescent="0.3">
      <c r="J135788"/>
    </row>
    <row r="135789" spans="10:10" x14ac:dyDescent="0.3">
      <c r="J135789"/>
    </row>
    <row r="135790" spans="10:10" x14ac:dyDescent="0.3">
      <c r="J135790"/>
    </row>
    <row r="135791" spans="10:10" x14ac:dyDescent="0.3">
      <c r="J135791"/>
    </row>
    <row r="135792" spans="10:10" x14ac:dyDescent="0.3">
      <c r="J135792"/>
    </row>
    <row r="135793" spans="10:10" x14ac:dyDescent="0.3">
      <c r="J135793"/>
    </row>
    <row r="135794" spans="10:10" x14ac:dyDescent="0.3">
      <c r="J135794"/>
    </row>
    <row r="135795" spans="10:10" x14ac:dyDescent="0.3">
      <c r="J135795"/>
    </row>
    <row r="135796" spans="10:10" x14ac:dyDescent="0.3">
      <c r="J135796"/>
    </row>
    <row r="135797" spans="10:10" x14ac:dyDescent="0.3">
      <c r="J135797"/>
    </row>
    <row r="135798" spans="10:10" x14ac:dyDescent="0.3">
      <c r="J135798"/>
    </row>
    <row r="135799" spans="10:10" x14ac:dyDescent="0.3">
      <c r="J135799"/>
    </row>
    <row r="135800" spans="10:10" x14ac:dyDescent="0.3">
      <c r="J135800"/>
    </row>
    <row r="135801" spans="10:10" x14ac:dyDescent="0.3">
      <c r="J135801"/>
    </row>
    <row r="135802" spans="10:10" x14ac:dyDescent="0.3">
      <c r="J135802"/>
    </row>
    <row r="135803" spans="10:10" x14ac:dyDescent="0.3">
      <c r="J135803"/>
    </row>
    <row r="135804" spans="10:10" x14ac:dyDescent="0.3">
      <c r="J135804"/>
    </row>
    <row r="135805" spans="10:10" x14ac:dyDescent="0.3">
      <c r="J135805"/>
    </row>
    <row r="135806" spans="10:10" x14ac:dyDescent="0.3">
      <c r="J135806"/>
    </row>
    <row r="135807" spans="10:10" x14ac:dyDescent="0.3">
      <c r="J135807"/>
    </row>
    <row r="135808" spans="10:10" x14ac:dyDescent="0.3">
      <c r="J135808"/>
    </row>
    <row r="135809" spans="10:10" x14ac:dyDescent="0.3">
      <c r="J135809"/>
    </row>
    <row r="135810" spans="10:10" x14ac:dyDescent="0.3">
      <c r="J135810"/>
    </row>
    <row r="135811" spans="10:10" x14ac:dyDescent="0.3">
      <c r="J135811"/>
    </row>
    <row r="135812" spans="10:10" x14ac:dyDescent="0.3">
      <c r="J135812"/>
    </row>
    <row r="135813" spans="10:10" x14ac:dyDescent="0.3">
      <c r="J135813"/>
    </row>
    <row r="135814" spans="10:10" x14ac:dyDescent="0.3">
      <c r="J135814"/>
    </row>
    <row r="135815" spans="10:10" x14ac:dyDescent="0.3">
      <c r="J135815"/>
    </row>
    <row r="135816" spans="10:10" x14ac:dyDescent="0.3">
      <c r="J135816"/>
    </row>
    <row r="135817" spans="10:10" x14ac:dyDescent="0.3">
      <c r="J135817"/>
    </row>
    <row r="135818" spans="10:10" x14ac:dyDescent="0.3">
      <c r="J135818"/>
    </row>
    <row r="135819" spans="10:10" x14ac:dyDescent="0.3">
      <c r="J135819"/>
    </row>
    <row r="135820" spans="10:10" x14ac:dyDescent="0.3">
      <c r="J135820"/>
    </row>
    <row r="135821" spans="10:10" x14ac:dyDescent="0.3">
      <c r="J135821"/>
    </row>
    <row r="135822" spans="10:10" x14ac:dyDescent="0.3">
      <c r="J135822"/>
    </row>
    <row r="135823" spans="10:10" x14ac:dyDescent="0.3">
      <c r="J135823"/>
    </row>
    <row r="135824" spans="10:10" x14ac:dyDescent="0.3">
      <c r="J135824"/>
    </row>
    <row r="135825" spans="10:10" x14ac:dyDescent="0.3">
      <c r="J135825"/>
    </row>
    <row r="135826" spans="10:10" x14ac:dyDescent="0.3">
      <c r="J135826"/>
    </row>
    <row r="135827" spans="10:10" x14ac:dyDescent="0.3">
      <c r="J135827"/>
    </row>
    <row r="135828" spans="10:10" x14ac:dyDescent="0.3">
      <c r="J135828"/>
    </row>
    <row r="135829" spans="10:10" x14ac:dyDescent="0.3">
      <c r="J135829"/>
    </row>
    <row r="135830" spans="10:10" x14ac:dyDescent="0.3">
      <c r="J135830"/>
    </row>
    <row r="135831" spans="10:10" x14ac:dyDescent="0.3">
      <c r="J135831"/>
    </row>
    <row r="135832" spans="10:10" x14ac:dyDescent="0.3">
      <c r="J135832"/>
    </row>
    <row r="135833" spans="10:10" x14ac:dyDescent="0.3">
      <c r="J135833"/>
    </row>
    <row r="135834" spans="10:10" x14ac:dyDescent="0.3">
      <c r="J135834"/>
    </row>
    <row r="135835" spans="10:10" x14ac:dyDescent="0.3">
      <c r="J135835"/>
    </row>
    <row r="135836" spans="10:10" x14ac:dyDescent="0.3">
      <c r="J135836"/>
    </row>
    <row r="135837" spans="10:10" x14ac:dyDescent="0.3">
      <c r="J135837"/>
    </row>
    <row r="135838" spans="10:10" x14ac:dyDescent="0.3">
      <c r="J135838"/>
    </row>
    <row r="135839" spans="10:10" x14ac:dyDescent="0.3">
      <c r="J135839"/>
    </row>
    <row r="135840" spans="10:10" x14ac:dyDescent="0.3">
      <c r="J135840"/>
    </row>
    <row r="135841" spans="10:10" x14ac:dyDescent="0.3">
      <c r="J135841"/>
    </row>
    <row r="135842" spans="10:10" x14ac:dyDescent="0.3">
      <c r="J135842"/>
    </row>
    <row r="135843" spans="10:10" x14ac:dyDescent="0.3">
      <c r="J135843"/>
    </row>
    <row r="135844" spans="10:10" x14ac:dyDescent="0.3">
      <c r="J135844"/>
    </row>
    <row r="135845" spans="10:10" x14ac:dyDescent="0.3">
      <c r="J135845"/>
    </row>
    <row r="135846" spans="10:10" x14ac:dyDescent="0.3">
      <c r="J135846"/>
    </row>
    <row r="135847" spans="10:10" x14ac:dyDescent="0.3">
      <c r="J135847"/>
    </row>
    <row r="135848" spans="10:10" x14ac:dyDescent="0.3">
      <c r="J135848"/>
    </row>
    <row r="135849" spans="10:10" x14ac:dyDescent="0.3">
      <c r="J135849"/>
    </row>
    <row r="135850" spans="10:10" x14ac:dyDescent="0.3">
      <c r="J135850"/>
    </row>
    <row r="135851" spans="10:10" x14ac:dyDescent="0.3">
      <c r="J135851"/>
    </row>
    <row r="135852" spans="10:10" x14ac:dyDescent="0.3">
      <c r="J135852"/>
    </row>
    <row r="135853" spans="10:10" x14ac:dyDescent="0.3">
      <c r="J135853"/>
    </row>
    <row r="135854" spans="10:10" x14ac:dyDescent="0.3">
      <c r="J135854"/>
    </row>
    <row r="135855" spans="10:10" x14ac:dyDescent="0.3">
      <c r="J135855"/>
    </row>
    <row r="135856" spans="10:10" x14ac:dyDescent="0.3">
      <c r="J135856"/>
    </row>
    <row r="135857" spans="10:10" x14ac:dyDescent="0.3">
      <c r="J135857"/>
    </row>
    <row r="135858" spans="10:10" x14ac:dyDescent="0.3">
      <c r="J135858"/>
    </row>
    <row r="135859" spans="10:10" x14ac:dyDescent="0.3">
      <c r="J135859"/>
    </row>
    <row r="135860" spans="10:10" x14ac:dyDescent="0.3">
      <c r="J135860"/>
    </row>
    <row r="135861" spans="10:10" x14ac:dyDescent="0.3">
      <c r="J135861"/>
    </row>
    <row r="135862" spans="10:10" x14ac:dyDescent="0.3">
      <c r="J135862"/>
    </row>
    <row r="135863" spans="10:10" x14ac:dyDescent="0.3">
      <c r="J135863"/>
    </row>
    <row r="135864" spans="10:10" x14ac:dyDescent="0.3">
      <c r="J135864"/>
    </row>
    <row r="135865" spans="10:10" x14ac:dyDescent="0.3">
      <c r="J135865"/>
    </row>
    <row r="135866" spans="10:10" x14ac:dyDescent="0.3">
      <c r="J135866"/>
    </row>
    <row r="135867" spans="10:10" x14ac:dyDescent="0.3">
      <c r="J135867"/>
    </row>
    <row r="135868" spans="10:10" x14ac:dyDescent="0.3">
      <c r="J135868"/>
    </row>
    <row r="135869" spans="10:10" x14ac:dyDescent="0.3">
      <c r="J135869"/>
    </row>
    <row r="135870" spans="10:10" x14ac:dyDescent="0.3">
      <c r="J135870"/>
    </row>
    <row r="135871" spans="10:10" x14ac:dyDescent="0.3">
      <c r="J135871"/>
    </row>
    <row r="135872" spans="10:10" x14ac:dyDescent="0.3">
      <c r="J135872"/>
    </row>
    <row r="135873" spans="10:10" x14ac:dyDescent="0.3">
      <c r="J135873"/>
    </row>
    <row r="135874" spans="10:10" x14ac:dyDescent="0.3">
      <c r="J135874"/>
    </row>
    <row r="135875" spans="10:10" x14ac:dyDescent="0.3">
      <c r="J135875"/>
    </row>
    <row r="135876" spans="10:10" x14ac:dyDescent="0.3">
      <c r="J135876"/>
    </row>
    <row r="135877" spans="10:10" x14ac:dyDescent="0.3">
      <c r="J135877"/>
    </row>
    <row r="135878" spans="10:10" x14ac:dyDescent="0.3">
      <c r="J135878"/>
    </row>
    <row r="135879" spans="10:10" x14ac:dyDescent="0.3">
      <c r="J135879"/>
    </row>
    <row r="135880" spans="10:10" x14ac:dyDescent="0.3">
      <c r="J135880"/>
    </row>
    <row r="135881" spans="10:10" x14ac:dyDescent="0.3">
      <c r="J135881"/>
    </row>
    <row r="135882" spans="10:10" x14ac:dyDescent="0.3">
      <c r="J135882"/>
    </row>
    <row r="135883" spans="10:10" x14ac:dyDescent="0.3">
      <c r="J135883"/>
    </row>
    <row r="135884" spans="10:10" x14ac:dyDescent="0.3">
      <c r="J135884"/>
    </row>
    <row r="135885" spans="10:10" x14ac:dyDescent="0.3">
      <c r="J135885"/>
    </row>
    <row r="135886" spans="10:10" x14ac:dyDescent="0.3">
      <c r="J135886"/>
    </row>
    <row r="135887" spans="10:10" x14ac:dyDescent="0.3">
      <c r="J135887"/>
    </row>
    <row r="135888" spans="10:10" x14ac:dyDescent="0.3">
      <c r="J135888"/>
    </row>
    <row r="135889" spans="10:10" x14ac:dyDescent="0.3">
      <c r="J135889"/>
    </row>
    <row r="135890" spans="10:10" x14ac:dyDescent="0.3">
      <c r="J135890"/>
    </row>
    <row r="135891" spans="10:10" x14ac:dyDescent="0.3">
      <c r="J135891"/>
    </row>
    <row r="135892" spans="10:10" x14ac:dyDescent="0.3">
      <c r="J135892"/>
    </row>
    <row r="135893" spans="10:10" x14ac:dyDescent="0.3">
      <c r="J135893"/>
    </row>
    <row r="135894" spans="10:10" x14ac:dyDescent="0.3">
      <c r="J135894"/>
    </row>
    <row r="135895" spans="10:10" x14ac:dyDescent="0.3">
      <c r="J135895"/>
    </row>
    <row r="135896" spans="10:10" x14ac:dyDescent="0.3">
      <c r="J135896"/>
    </row>
    <row r="135897" spans="10:10" x14ac:dyDescent="0.3">
      <c r="J135897"/>
    </row>
    <row r="135898" spans="10:10" x14ac:dyDescent="0.3">
      <c r="J135898"/>
    </row>
    <row r="135899" spans="10:10" x14ac:dyDescent="0.3">
      <c r="J135899"/>
    </row>
    <row r="135900" spans="10:10" x14ac:dyDescent="0.3">
      <c r="J135900"/>
    </row>
    <row r="135901" spans="10:10" x14ac:dyDescent="0.3">
      <c r="J135901"/>
    </row>
    <row r="135902" spans="10:10" x14ac:dyDescent="0.3">
      <c r="J135902"/>
    </row>
    <row r="135903" spans="10:10" x14ac:dyDescent="0.3">
      <c r="J135903"/>
    </row>
    <row r="135904" spans="10:10" x14ac:dyDescent="0.3">
      <c r="J135904"/>
    </row>
    <row r="135905" spans="10:10" x14ac:dyDescent="0.3">
      <c r="J135905"/>
    </row>
    <row r="135906" spans="10:10" x14ac:dyDescent="0.3">
      <c r="J135906"/>
    </row>
    <row r="135907" spans="10:10" x14ac:dyDescent="0.3">
      <c r="J135907"/>
    </row>
    <row r="135908" spans="10:10" x14ac:dyDescent="0.3">
      <c r="J135908"/>
    </row>
    <row r="135909" spans="10:10" x14ac:dyDescent="0.3">
      <c r="J135909"/>
    </row>
    <row r="135910" spans="10:10" x14ac:dyDescent="0.3">
      <c r="J135910"/>
    </row>
    <row r="135911" spans="10:10" x14ac:dyDescent="0.3">
      <c r="J135911"/>
    </row>
    <row r="135912" spans="10:10" x14ac:dyDescent="0.3">
      <c r="J135912"/>
    </row>
    <row r="135913" spans="10:10" x14ac:dyDescent="0.3">
      <c r="J135913"/>
    </row>
    <row r="135914" spans="10:10" x14ac:dyDescent="0.3">
      <c r="J135914"/>
    </row>
    <row r="135915" spans="10:10" x14ac:dyDescent="0.3">
      <c r="J135915"/>
    </row>
    <row r="135916" spans="10:10" x14ac:dyDescent="0.3">
      <c r="J135916"/>
    </row>
    <row r="135917" spans="10:10" x14ac:dyDescent="0.3">
      <c r="J135917"/>
    </row>
    <row r="135918" spans="10:10" x14ac:dyDescent="0.3">
      <c r="J135918"/>
    </row>
    <row r="135919" spans="10:10" x14ac:dyDescent="0.3">
      <c r="J135919"/>
    </row>
    <row r="135920" spans="10:10" x14ac:dyDescent="0.3">
      <c r="J135920"/>
    </row>
    <row r="135921" spans="10:10" x14ac:dyDescent="0.3">
      <c r="J135921"/>
    </row>
    <row r="135922" spans="10:10" x14ac:dyDescent="0.3">
      <c r="J135922"/>
    </row>
    <row r="135923" spans="10:10" x14ac:dyDescent="0.3">
      <c r="J135923"/>
    </row>
    <row r="135924" spans="10:10" x14ac:dyDescent="0.3">
      <c r="J135924"/>
    </row>
    <row r="135925" spans="10:10" x14ac:dyDescent="0.3">
      <c r="J135925"/>
    </row>
    <row r="135926" spans="10:10" x14ac:dyDescent="0.3">
      <c r="J135926"/>
    </row>
    <row r="135927" spans="10:10" x14ac:dyDescent="0.3">
      <c r="J135927"/>
    </row>
    <row r="135928" spans="10:10" x14ac:dyDescent="0.3">
      <c r="J135928"/>
    </row>
    <row r="135929" spans="10:10" x14ac:dyDescent="0.3">
      <c r="J135929"/>
    </row>
    <row r="135930" spans="10:10" x14ac:dyDescent="0.3">
      <c r="J135930"/>
    </row>
    <row r="135931" spans="10:10" x14ac:dyDescent="0.3">
      <c r="J135931"/>
    </row>
    <row r="135932" spans="10:10" x14ac:dyDescent="0.3">
      <c r="J135932"/>
    </row>
    <row r="135933" spans="10:10" x14ac:dyDescent="0.3">
      <c r="J135933"/>
    </row>
    <row r="135934" spans="10:10" x14ac:dyDescent="0.3">
      <c r="J135934"/>
    </row>
    <row r="135935" spans="10:10" x14ac:dyDescent="0.3">
      <c r="J135935"/>
    </row>
    <row r="135936" spans="10:10" x14ac:dyDescent="0.3">
      <c r="J135936"/>
    </row>
    <row r="135937" spans="10:10" x14ac:dyDescent="0.3">
      <c r="J135937"/>
    </row>
    <row r="135938" spans="10:10" x14ac:dyDescent="0.3">
      <c r="J135938"/>
    </row>
    <row r="135939" spans="10:10" x14ac:dyDescent="0.3">
      <c r="J135939"/>
    </row>
    <row r="135940" spans="10:10" x14ac:dyDescent="0.3">
      <c r="J135940"/>
    </row>
    <row r="135941" spans="10:10" x14ac:dyDescent="0.3">
      <c r="J135941"/>
    </row>
    <row r="135942" spans="10:10" x14ac:dyDescent="0.3">
      <c r="J135942"/>
    </row>
    <row r="135943" spans="10:10" x14ac:dyDescent="0.3">
      <c r="J135943"/>
    </row>
    <row r="135944" spans="10:10" x14ac:dyDescent="0.3">
      <c r="J135944"/>
    </row>
    <row r="135945" spans="10:10" x14ac:dyDescent="0.3">
      <c r="J135945"/>
    </row>
    <row r="135946" spans="10:10" x14ac:dyDescent="0.3">
      <c r="J135946"/>
    </row>
    <row r="135947" spans="10:10" x14ac:dyDescent="0.3">
      <c r="J135947"/>
    </row>
    <row r="135948" spans="10:10" x14ac:dyDescent="0.3">
      <c r="J135948"/>
    </row>
    <row r="135949" spans="10:10" x14ac:dyDescent="0.3">
      <c r="J135949"/>
    </row>
    <row r="135950" spans="10:10" x14ac:dyDescent="0.3">
      <c r="J135950"/>
    </row>
    <row r="135951" spans="10:10" x14ac:dyDescent="0.3">
      <c r="J135951"/>
    </row>
    <row r="135952" spans="10:10" x14ac:dyDescent="0.3">
      <c r="J135952"/>
    </row>
    <row r="135953" spans="10:10" x14ac:dyDescent="0.3">
      <c r="J135953"/>
    </row>
    <row r="135954" spans="10:10" x14ac:dyDescent="0.3">
      <c r="J135954"/>
    </row>
    <row r="135955" spans="10:10" x14ac:dyDescent="0.3">
      <c r="J135955"/>
    </row>
    <row r="135956" spans="10:10" x14ac:dyDescent="0.3">
      <c r="J135956"/>
    </row>
    <row r="135957" spans="10:10" x14ac:dyDescent="0.3">
      <c r="J135957"/>
    </row>
    <row r="135958" spans="10:10" x14ac:dyDescent="0.3">
      <c r="J135958"/>
    </row>
    <row r="135959" spans="10:10" x14ac:dyDescent="0.3">
      <c r="J135959"/>
    </row>
    <row r="135960" spans="10:10" x14ac:dyDescent="0.3">
      <c r="J135960"/>
    </row>
    <row r="135961" spans="10:10" x14ac:dyDescent="0.3">
      <c r="J135961"/>
    </row>
    <row r="135962" spans="10:10" x14ac:dyDescent="0.3">
      <c r="J135962"/>
    </row>
    <row r="135963" spans="10:10" x14ac:dyDescent="0.3">
      <c r="J135963"/>
    </row>
    <row r="135964" spans="10:10" x14ac:dyDescent="0.3">
      <c r="J135964"/>
    </row>
    <row r="135965" spans="10:10" x14ac:dyDescent="0.3">
      <c r="J135965"/>
    </row>
    <row r="135966" spans="10:10" x14ac:dyDescent="0.3">
      <c r="J135966"/>
    </row>
    <row r="135967" spans="10:10" x14ac:dyDescent="0.3">
      <c r="J135967"/>
    </row>
    <row r="135968" spans="10:10" x14ac:dyDescent="0.3">
      <c r="J135968"/>
    </row>
    <row r="135969" spans="10:10" x14ac:dyDescent="0.3">
      <c r="J135969"/>
    </row>
    <row r="135970" spans="10:10" x14ac:dyDescent="0.3">
      <c r="J135970"/>
    </row>
    <row r="135971" spans="10:10" x14ac:dyDescent="0.3">
      <c r="J135971"/>
    </row>
    <row r="135972" spans="10:10" x14ac:dyDescent="0.3">
      <c r="J135972"/>
    </row>
    <row r="135973" spans="10:10" x14ac:dyDescent="0.3">
      <c r="J135973"/>
    </row>
    <row r="135974" spans="10:10" x14ac:dyDescent="0.3">
      <c r="J135974"/>
    </row>
    <row r="135975" spans="10:10" x14ac:dyDescent="0.3">
      <c r="J135975"/>
    </row>
    <row r="135976" spans="10:10" x14ac:dyDescent="0.3">
      <c r="J135976"/>
    </row>
    <row r="135977" spans="10:10" x14ac:dyDescent="0.3">
      <c r="J135977"/>
    </row>
    <row r="135978" spans="10:10" x14ac:dyDescent="0.3">
      <c r="J135978"/>
    </row>
    <row r="135979" spans="10:10" x14ac:dyDescent="0.3">
      <c r="J135979"/>
    </row>
    <row r="135980" spans="10:10" x14ac:dyDescent="0.3">
      <c r="J135980"/>
    </row>
    <row r="135981" spans="10:10" x14ac:dyDescent="0.3">
      <c r="J135981"/>
    </row>
    <row r="135982" spans="10:10" x14ac:dyDescent="0.3">
      <c r="J135982"/>
    </row>
    <row r="135983" spans="10:10" x14ac:dyDescent="0.3">
      <c r="J135983"/>
    </row>
    <row r="135984" spans="10:10" x14ac:dyDescent="0.3">
      <c r="J135984"/>
    </row>
    <row r="135985" spans="10:10" x14ac:dyDescent="0.3">
      <c r="J135985"/>
    </row>
    <row r="135986" spans="10:10" x14ac:dyDescent="0.3">
      <c r="J135986"/>
    </row>
    <row r="135987" spans="10:10" x14ac:dyDescent="0.3">
      <c r="J135987"/>
    </row>
    <row r="135988" spans="10:10" x14ac:dyDescent="0.3">
      <c r="J135988"/>
    </row>
    <row r="135989" spans="10:10" x14ac:dyDescent="0.3">
      <c r="J135989"/>
    </row>
    <row r="135990" spans="10:10" x14ac:dyDescent="0.3">
      <c r="J135990"/>
    </row>
    <row r="135991" spans="10:10" x14ac:dyDescent="0.3">
      <c r="J135991"/>
    </row>
    <row r="135992" spans="10:10" x14ac:dyDescent="0.3">
      <c r="J135992"/>
    </row>
    <row r="135993" spans="10:10" x14ac:dyDescent="0.3">
      <c r="J135993"/>
    </row>
    <row r="135994" spans="10:10" x14ac:dyDescent="0.3">
      <c r="J135994"/>
    </row>
    <row r="135995" spans="10:10" x14ac:dyDescent="0.3">
      <c r="J135995"/>
    </row>
    <row r="135996" spans="10:10" x14ac:dyDescent="0.3">
      <c r="J135996"/>
    </row>
    <row r="135997" spans="10:10" x14ac:dyDescent="0.3">
      <c r="J135997"/>
    </row>
    <row r="135998" spans="10:10" x14ac:dyDescent="0.3">
      <c r="J135998"/>
    </row>
    <row r="135999" spans="10:10" x14ac:dyDescent="0.3">
      <c r="J135999"/>
    </row>
    <row r="136000" spans="10:10" x14ac:dyDescent="0.3">
      <c r="J136000"/>
    </row>
    <row r="136001" spans="10:10" x14ac:dyDescent="0.3">
      <c r="J136001"/>
    </row>
    <row r="136002" spans="10:10" x14ac:dyDescent="0.3">
      <c r="J136002"/>
    </row>
    <row r="136003" spans="10:10" x14ac:dyDescent="0.3">
      <c r="J136003"/>
    </row>
    <row r="136004" spans="10:10" x14ac:dyDescent="0.3">
      <c r="J136004"/>
    </row>
    <row r="136005" spans="10:10" x14ac:dyDescent="0.3">
      <c r="J136005"/>
    </row>
    <row r="136006" spans="10:10" x14ac:dyDescent="0.3">
      <c r="J136006"/>
    </row>
    <row r="136007" spans="10:10" x14ac:dyDescent="0.3">
      <c r="J136007"/>
    </row>
    <row r="136008" spans="10:10" x14ac:dyDescent="0.3">
      <c r="J136008"/>
    </row>
    <row r="136009" spans="10:10" x14ac:dyDescent="0.3">
      <c r="J136009"/>
    </row>
    <row r="136010" spans="10:10" x14ac:dyDescent="0.3">
      <c r="J136010"/>
    </row>
    <row r="136011" spans="10:10" x14ac:dyDescent="0.3">
      <c r="J136011"/>
    </row>
    <row r="136012" spans="10:10" x14ac:dyDescent="0.3">
      <c r="J136012"/>
    </row>
    <row r="136013" spans="10:10" x14ac:dyDescent="0.3">
      <c r="J136013"/>
    </row>
    <row r="136014" spans="10:10" x14ac:dyDescent="0.3">
      <c r="J136014"/>
    </row>
    <row r="136015" spans="10:10" x14ac:dyDescent="0.3">
      <c r="J136015"/>
    </row>
    <row r="136016" spans="10:10" x14ac:dyDescent="0.3">
      <c r="J136016"/>
    </row>
    <row r="136017" spans="10:10" x14ac:dyDescent="0.3">
      <c r="J136017"/>
    </row>
    <row r="136018" spans="10:10" x14ac:dyDescent="0.3">
      <c r="J136018"/>
    </row>
    <row r="136019" spans="10:10" x14ac:dyDescent="0.3">
      <c r="J136019"/>
    </row>
    <row r="136020" spans="10:10" x14ac:dyDescent="0.3">
      <c r="J136020"/>
    </row>
    <row r="136021" spans="10:10" x14ac:dyDescent="0.3">
      <c r="J136021"/>
    </row>
    <row r="136022" spans="10:10" x14ac:dyDescent="0.3">
      <c r="J136022"/>
    </row>
    <row r="136023" spans="10:10" x14ac:dyDescent="0.3">
      <c r="J136023"/>
    </row>
    <row r="136024" spans="10:10" x14ac:dyDescent="0.3">
      <c r="J136024"/>
    </row>
    <row r="136025" spans="10:10" x14ac:dyDescent="0.3">
      <c r="J136025"/>
    </row>
    <row r="136026" spans="10:10" x14ac:dyDescent="0.3">
      <c r="J136026"/>
    </row>
    <row r="136027" spans="10:10" x14ac:dyDescent="0.3">
      <c r="J136027"/>
    </row>
    <row r="136028" spans="10:10" x14ac:dyDescent="0.3">
      <c r="J136028"/>
    </row>
    <row r="136029" spans="10:10" x14ac:dyDescent="0.3">
      <c r="J136029"/>
    </row>
    <row r="136030" spans="10:10" x14ac:dyDescent="0.3">
      <c r="J136030"/>
    </row>
    <row r="136031" spans="10:10" x14ac:dyDescent="0.3">
      <c r="J136031"/>
    </row>
    <row r="136032" spans="10:10" x14ac:dyDescent="0.3">
      <c r="J136032"/>
    </row>
    <row r="136033" spans="10:10" x14ac:dyDescent="0.3">
      <c r="J136033"/>
    </row>
    <row r="136034" spans="10:10" x14ac:dyDescent="0.3">
      <c r="J136034"/>
    </row>
    <row r="136035" spans="10:10" x14ac:dyDescent="0.3">
      <c r="J136035"/>
    </row>
    <row r="136036" spans="10:10" x14ac:dyDescent="0.3">
      <c r="J136036"/>
    </row>
    <row r="136037" spans="10:10" x14ac:dyDescent="0.3">
      <c r="J136037"/>
    </row>
    <row r="136038" spans="10:10" x14ac:dyDescent="0.3">
      <c r="J136038"/>
    </row>
    <row r="136039" spans="10:10" x14ac:dyDescent="0.3">
      <c r="J136039"/>
    </row>
    <row r="136040" spans="10:10" x14ac:dyDescent="0.3">
      <c r="J136040"/>
    </row>
    <row r="136041" spans="10:10" x14ac:dyDescent="0.3">
      <c r="J136041"/>
    </row>
    <row r="136042" spans="10:10" x14ac:dyDescent="0.3">
      <c r="J136042"/>
    </row>
    <row r="136043" spans="10:10" x14ac:dyDescent="0.3">
      <c r="J136043"/>
    </row>
    <row r="136044" spans="10:10" x14ac:dyDescent="0.3">
      <c r="J136044"/>
    </row>
    <row r="136045" spans="10:10" x14ac:dyDescent="0.3">
      <c r="J136045"/>
    </row>
    <row r="136046" spans="10:10" x14ac:dyDescent="0.3">
      <c r="J136046"/>
    </row>
    <row r="136047" spans="10:10" x14ac:dyDescent="0.3">
      <c r="J136047"/>
    </row>
    <row r="136048" spans="10:10" x14ac:dyDescent="0.3">
      <c r="J136048"/>
    </row>
    <row r="136049" spans="10:10" x14ac:dyDescent="0.3">
      <c r="J136049"/>
    </row>
    <row r="136050" spans="10:10" x14ac:dyDescent="0.3">
      <c r="J136050"/>
    </row>
    <row r="136051" spans="10:10" x14ac:dyDescent="0.3">
      <c r="J136051"/>
    </row>
    <row r="136052" spans="10:10" x14ac:dyDescent="0.3">
      <c r="J136052"/>
    </row>
    <row r="136053" spans="10:10" x14ac:dyDescent="0.3">
      <c r="J136053"/>
    </row>
    <row r="136054" spans="10:10" x14ac:dyDescent="0.3">
      <c r="J136054"/>
    </row>
    <row r="136055" spans="10:10" x14ac:dyDescent="0.3">
      <c r="J136055"/>
    </row>
    <row r="136056" spans="10:10" x14ac:dyDescent="0.3">
      <c r="J136056"/>
    </row>
    <row r="136057" spans="10:10" x14ac:dyDescent="0.3">
      <c r="J136057"/>
    </row>
    <row r="136058" spans="10:10" x14ac:dyDescent="0.3">
      <c r="J136058"/>
    </row>
    <row r="136059" spans="10:10" x14ac:dyDescent="0.3">
      <c r="J136059"/>
    </row>
    <row r="136060" spans="10:10" x14ac:dyDescent="0.3">
      <c r="J136060"/>
    </row>
    <row r="136061" spans="10:10" x14ac:dyDescent="0.3">
      <c r="J136061"/>
    </row>
    <row r="136062" spans="10:10" x14ac:dyDescent="0.3">
      <c r="J136062"/>
    </row>
    <row r="136063" spans="10:10" x14ac:dyDescent="0.3">
      <c r="J136063"/>
    </row>
    <row r="136064" spans="10:10" x14ac:dyDescent="0.3">
      <c r="J136064"/>
    </row>
    <row r="136065" spans="10:10" x14ac:dyDescent="0.3">
      <c r="J136065"/>
    </row>
    <row r="136066" spans="10:10" x14ac:dyDescent="0.3">
      <c r="J136066"/>
    </row>
    <row r="136067" spans="10:10" x14ac:dyDescent="0.3">
      <c r="J136067"/>
    </row>
    <row r="136068" spans="10:10" x14ac:dyDescent="0.3">
      <c r="J136068"/>
    </row>
    <row r="136069" spans="10:10" x14ac:dyDescent="0.3">
      <c r="J136069"/>
    </row>
    <row r="136070" spans="10:10" x14ac:dyDescent="0.3">
      <c r="J136070"/>
    </row>
    <row r="136071" spans="10:10" x14ac:dyDescent="0.3">
      <c r="J136071"/>
    </row>
    <row r="136072" spans="10:10" x14ac:dyDescent="0.3">
      <c r="J136072"/>
    </row>
    <row r="136073" spans="10:10" x14ac:dyDescent="0.3">
      <c r="J136073"/>
    </row>
    <row r="136074" spans="10:10" x14ac:dyDescent="0.3">
      <c r="J136074"/>
    </row>
    <row r="136075" spans="10:10" x14ac:dyDescent="0.3">
      <c r="J136075"/>
    </row>
    <row r="136076" spans="10:10" x14ac:dyDescent="0.3">
      <c r="J136076"/>
    </row>
    <row r="136077" spans="10:10" x14ac:dyDescent="0.3">
      <c r="J136077"/>
    </row>
    <row r="136078" spans="10:10" x14ac:dyDescent="0.3">
      <c r="J136078"/>
    </row>
    <row r="136079" spans="10:10" x14ac:dyDescent="0.3">
      <c r="J136079"/>
    </row>
    <row r="136080" spans="10:10" x14ac:dyDescent="0.3">
      <c r="J136080"/>
    </row>
    <row r="136081" spans="10:10" x14ac:dyDescent="0.3">
      <c r="J136081"/>
    </row>
    <row r="136082" spans="10:10" x14ac:dyDescent="0.3">
      <c r="J136082"/>
    </row>
    <row r="136083" spans="10:10" x14ac:dyDescent="0.3">
      <c r="J136083"/>
    </row>
    <row r="136084" spans="10:10" x14ac:dyDescent="0.3">
      <c r="J136084"/>
    </row>
    <row r="136085" spans="10:10" x14ac:dyDescent="0.3">
      <c r="J136085"/>
    </row>
    <row r="136086" spans="10:10" x14ac:dyDescent="0.3">
      <c r="J136086"/>
    </row>
    <row r="136087" spans="10:10" x14ac:dyDescent="0.3">
      <c r="J136087"/>
    </row>
    <row r="136088" spans="10:10" x14ac:dyDescent="0.3">
      <c r="J136088"/>
    </row>
    <row r="136089" spans="10:10" x14ac:dyDescent="0.3">
      <c r="J136089"/>
    </row>
    <row r="136090" spans="10:10" x14ac:dyDescent="0.3">
      <c r="J136090"/>
    </row>
    <row r="136091" spans="10:10" x14ac:dyDescent="0.3">
      <c r="J136091"/>
    </row>
    <row r="136092" spans="10:10" x14ac:dyDescent="0.3">
      <c r="J136092"/>
    </row>
    <row r="136093" spans="10:10" x14ac:dyDescent="0.3">
      <c r="J136093"/>
    </row>
    <row r="136094" spans="10:10" x14ac:dyDescent="0.3">
      <c r="J136094"/>
    </row>
    <row r="136095" spans="10:10" x14ac:dyDescent="0.3">
      <c r="J136095"/>
    </row>
    <row r="136096" spans="10:10" x14ac:dyDescent="0.3">
      <c r="J136096"/>
    </row>
    <row r="136097" spans="10:10" x14ac:dyDescent="0.3">
      <c r="J136097"/>
    </row>
    <row r="136098" spans="10:10" x14ac:dyDescent="0.3">
      <c r="J136098"/>
    </row>
    <row r="136099" spans="10:10" x14ac:dyDescent="0.3">
      <c r="J136099"/>
    </row>
    <row r="136100" spans="10:10" x14ac:dyDescent="0.3">
      <c r="J136100"/>
    </row>
    <row r="136101" spans="10:10" x14ac:dyDescent="0.3">
      <c r="J136101"/>
    </row>
    <row r="136102" spans="10:10" x14ac:dyDescent="0.3">
      <c r="J136102"/>
    </row>
    <row r="136103" spans="10:10" x14ac:dyDescent="0.3">
      <c r="J136103"/>
    </row>
    <row r="136104" spans="10:10" x14ac:dyDescent="0.3">
      <c r="J136104"/>
    </row>
    <row r="136105" spans="10:10" x14ac:dyDescent="0.3">
      <c r="J136105"/>
    </row>
    <row r="136106" spans="10:10" x14ac:dyDescent="0.3">
      <c r="J136106"/>
    </row>
    <row r="136107" spans="10:10" x14ac:dyDescent="0.3">
      <c r="J136107"/>
    </row>
    <row r="136108" spans="10:10" x14ac:dyDescent="0.3">
      <c r="J136108"/>
    </row>
    <row r="136109" spans="10:10" x14ac:dyDescent="0.3">
      <c r="J136109"/>
    </row>
    <row r="136110" spans="10:10" x14ac:dyDescent="0.3">
      <c r="J136110"/>
    </row>
    <row r="136111" spans="10:10" x14ac:dyDescent="0.3">
      <c r="J136111"/>
    </row>
    <row r="136112" spans="10:10" x14ac:dyDescent="0.3">
      <c r="J136112"/>
    </row>
    <row r="136113" spans="10:10" x14ac:dyDescent="0.3">
      <c r="J136113"/>
    </row>
    <row r="136114" spans="10:10" x14ac:dyDescent="0.3">
      <c r="J136114"/>
    </row>
    <row r="136115" spans="10:10" x14ac:dyDescent="0.3">
      <c r="J136115"/>
    </row>
    <row r="136116" spans="10:10" x14ac:dyDescent="0.3">
      <c r="J136116"/>
    </row>
    <row r="136117" spans="10:10" x14ac:dyDescent="0.3">
      <c r="J136117"/>
    </row>
    <row r="136118" spans="10:10" x14ac:dyDescent="0.3">
      <c r="J136118"/>
    </row>
    <row r="136119" spans="10:10" x14ac:dyDescent="0.3">
      <c r="J136119"/>
    </row>
    <row r="136120" spans="10:10" x14ac:dyDescent="0.3">
      <c r="J136120"/>
    </row>
    <row r="136121" spans="10:10" x14ac:dyDescent="0.3">
      <c r="J136121"/>
    </row>
    <row r="136122" spans="10:10" x14ac:dyDescent="0.3">
      <c r="J136122"/>
    </row>
    <row r="136123" spans="10:10" x14ac:dyDescent="0.3">
      <c r="J136123"/>
    </row>
    <row r="136124" spans="10:10" x14ac:dyDescent="0.3">
      <c r="J136124"/>
    </row>
    <row r="136125" spans="10:10" x14ac:dyDescent="0.3">
      <c r="J136125"/>
    </row>
    <row r="136126" spans="10:10" x14ac:dyDescent="0.3">
      <c r="J136126"/>
    </row>
    <row r="136127" spans="10:10" x14ac:dyDescent="0.3">
      <c r="J136127"/>
    </row>
    <row r="136128" spans="10:10" x14ac:dyDescent="0.3">
      <c r="J136128"/>
    </row>
    <row r="136129" spans="10:10" x14ac:dyDescent="0.3">
      <c r="J136129"/>
    </row>
    <row r="136130" spans="10:10" x14ac:dyDescent="0.3">
      <c r="J136130"/>
    </row>
    <row r="136131" spans="10:10" x14ac:dyDescent="0.3">
      <c r="J136131"/>
    </row>
    <row r="136132" spans="10:10" x14ac:dyDescent="0.3">
      <c r="J136132"/>
    </row>
    <row r="136133" spans="10:10" x14ac:dyDescent="0.3">
      <c r="J136133"/>
    </row>
    <row r="136134" spans="10:10" x14ac:dyDescent="0.3">
      <c r="J136134"/>
    </row>
    <row r="136135" spans="10:10" x14ac:dyDescent="0.3">
      <c r="J136135"/>
    </row>
    <row r="136136" spans="10:10" x14ac:dyDescent="0.3">
      <c r="J136136"/>
    </row>
    <row r="136137" spans="10:10" x14ac:dyDescent="0.3">
      <c r="J136137"/>
    </row>
    <row r="136138" spans="10:10" x14ac:dyDescent="0.3">
      <c r="J136138"/>
    </row>
    <row r="136139" spans="10:10" x14ac:dyDescent="0.3">
      <c r="J136139"/>
    </row>
    <row r="136140" spans="10:10" x14ac:dyDescent="0.3">
      <c r="J136140"/>
    </row>
    <row r="136141" spans="10:10" x14ac:dyDescent="0.3">
      <c r="J136141"/>
    </row>
    <row r="136142" spans="10:10" x14ac:dyDescent="0.3">
      <c r="J136142"/>
    </row>
    <row r="136143" spans="10:10" x14ac:dyDescent="0.3">
      <c r="J136143"/>
    </row>
    <row r="136144" spans="10:10" x14ac:dyDescent="0.3">
      <c r="J136144"/>
    </row>
    <row r="136145" spans="10:10" x14ac:dyDescent="0.3">
      <c r="J136145"/>
    </row>
    <row r="136146" spans="10:10" x14ac:dyDescent="0.3">
      <c r="J136146"/>
    </row>
    <row r="136147" spans="10:10" x14ac:dyDescent="0.3">
      <c r="J136147"/>
    </row>
    <row r="136148" spans="10:10" x14ac:dyDescent="0.3">
      <c r="J136148"/>
    </row>
    <row r="136149" spans="10:10" x14ac:dyDescent="0.3">
      <c r="J136149"/>
    </row>
    <row r="136150" spans="10:10" x14ac:dyDescent="0.3">
      <c r="J136150"/>
    </row>
    <row r="136151" spans="10:10" x14ac:dyDescent="0.3">
      <c r="J136151"/>
    </row>
    <row r="136152" spans="10:10" x14ac:dyDescent="0.3">
      <c r="J136152"/>
    </row>
    <row r="136153" spans="10:10" x14ac:dyDescent="0.3">
      <c r="J136153"/>
    </row>
    <row r="136154" spans="10:10" x14ac:dyDescent="0.3">
      <c r="J136154"/>
    </row>
    <row r="136155" spans="10:10" x14ac:dyDescent="0.3">
      <c r="J136155"/>
    </row>
    <row r="136156" spans="10:10" x14ac:dyDescent="0.3">
      <c r="J136156"/>
    </row>
    <row r="136157" spans="10:10" x14ac:dyDescent="0.3">
      <c r="J136157"/>
    </row>
    <row r="136158" spans="10:10" x14ac:dyDescent="0.3">
      <c r="J136158"/>
    </row>
    <row r="136159" spans="10:10" x14ac:dyDescent="0.3">
      <c r="J136159"/>
    </row>
    <row r="136160" spans="10:10" x14ac:dyDescent="0.3">
      <c r="J136160"/>
    </row>
    <row r="136161" spans="10:10" x14ac:dyDescent="0.3">
      <c r="J136161"/>
    </row>
    <row r="136162" spans="10:10" x14ac:dyDescent="0.3">
      <c r="J136162"/>
    </row>
    <row r="136163" spans="10:10" x14ac:dyDescent="0.3">
      <c r="J136163"/>
    </row>
    <row r="136164" spans="10:10" x14ac:dyDescent="0.3">
      <c r="J136164"/>
    </row>
    <row r="136165" spans="10:10" x14ac:dyDescent="0.3">
      <c r="J136165"/>
    </row>
    <row r="136166" spans="10:10" x14ac:dyDescent="0.3">
      <c r="J136166"/>
    </row>
    <row r="136167" spans="10:10" x14ac:dyDescent="0.3">
      <c r="J136167"/>
    </row>
    <row r="136168" spans="10:10" x14ac:dyDescent="0.3">
      <c r="J136168"/>
    </row>
    <row r="136169" spans="10:10" x14ac:dyDescent="0.3">
      <c r="J136169"/>
    </row>
    <row r="136170" spans="10:10" x14ac:dyDescent="0.3">
      <c r="J136170"/>
    </row>
    <row r="136171" spans="10:10" x14ac:dyDescent="0.3">
      <c r="J136171"/>
    </row>
    <row r="136172" spans="10:10" x14ac:dyDescent="0.3">
      <c r="J136172"/>
    </row>
    <row r="136173" spans="10:10" x14ac:dyDescent="0.3">
      <c r="J136173"/>
    </row>
    <row r="136174" spans="10:10" x14ac:dyDescent="0.3">
      <c r="J136174"/>
    </row>
    <row r="136175" spans="10:10" x14ac:dyDescent="0.3">
      <c r="J136175"/>
    </row>
    <row r="136176" spans="10:10" x14ac:dyDescent="0.3">
      <c r="J136176"/>
    </row>
    <row r="136177" spans="10:10" x14ac:dyDescent="0.3">
      <c r="J136177"/>
    </row>
    <row r="136178" spans="10:10" x14ac:dyDescent="0.3">
      <c r="J136178"/>
    </row>
    <row r="136179" spans="10:10" x14ac:dyDescent="0.3">
      <c r="J136179"/>
    </row>
    <row r="136180" spans="10:10" x14ac:dyDescent="0.3">
      <c r="J136180"/>
    </row>
    <row r="136181" spans="10:10" x14ac:dyDescent="0.3">
      <c r="J136181"/>
    </row>
    <row r="136182" spans="10:10" x14ac:dyDescent="0.3">
      <c r="J136182"/>
    </row>
    <row r="136183" spans="10:10" x14ac:dyDescent="0.3">
      <c r="J136183"/>
    </row>
    <row r="136184" spans="10:10" x14ac:dyDescent="0.3">
      <c r="J136184"/>
    </row>
    <row r="136185" spans="10:10" x14ac:dyDescent="0.3">
      <c r="J136185"/>
    </row>
    <row r="136186" spans="10:10" x14ac:dyDescent="0.3">
      <c r="J136186"/>
    </row>
    <row r="136187" spans="10:10" x14ac:dyDescent="0.3">
      <c r="J136187"/>
    </row>
    <row r="136188" spans="10:10" x14ac:dyDescent="0.3">
      <c r="J136188"/>
    </row>
    <row r="136189" spans="10:10" x14ac:dyDescent="0.3">
      <c r="J136189"/>
    </row>
    <row r="136190" spans="10:10" x14ac:dyDescent="0.3">
      <c r="J136190"/>
    </row>
    <row r="136191" spans="10:10" x14ac:dyDescent="0.3">
      <c r="J136191"/>
    </row>
    <row r="136192" spans="10:10" x14ac:dyDescent="0.3">
      <c r="J136192"/>
    </row>
    <row r="136193" spans="10:10" x14ac:dyDescent="0.3">
      <c r="J136193"/>
    </row>
    <row r="136194" spans="10:10" x14ac:dyDescent="0.3">
      <c r="J136194"/>
    </row>
    <row r="136195" spans="10:10" x14ac:dyDescent="0.3">
      <c r="J136195"/>
    </row>
    <row r="136196" spans="10:10" x14ac:dyDescent="0.3">
      <c r="J136196"/>
    </row>
    <row r="136197" spans="10:10" x14ac:dyDescent="0.3">
      <c r="J136197"/>
    </row>
    <row r="136198" spans="10:10" x14ac:dyDescent="0.3">
      <c r="J136198"/>
    </row>
    <row r="136199" spans="10:10" x14ac:dyDescent="0.3">
      <c r="J136199"/>
    </row>
    <row r="136200" spans="10:10" x14ac:dyDescent="0.3">
      <c r="J136200"/>
    </row>
    <row r="136201" spans="10:10" x14ac:dyDescent="0.3">
      <c r="J136201"/>
    </row>
    <row r="136202" spans="10:10" x14ac:dyDescent="0.3">
      <c r="J136202"/>
    </row>
    <row r="136203" spans="10:10" x14ac:dyDescent="0.3">
      <c r="J136203"/>
    </row>
    <row r="136204" spans="10:10" x14ac:dyDescent="0.3">
      <c r="J136204"/>
    </row>
    <row r="136205" spans="10:10" x14ac:dyDescent="0.3">
      <c r="J136205"/>
    </row>
    <row r="136206" spans="10:10" x14ac:dyDescent="0.3">
      <c r="J136206"/>
    </row>
    <row r="136207" spans="10:10" x14ac:dyDescent="0.3">
      <c r="J136207"/>
    </row>
    <row r="136208" spans="10:10" x14ac:dyDescent="0.3">
      <c r="J136208"/>
    </row>
    <row r="136209" spans="10:10" x14ac:dyDescent="0.3">
      <c r="J136209"/>
    </row>
    <row r="136210" spans="10:10" x14ac:dyDescent="0.3">
      <c r="J136210"/>
    </row>
    <row r="136211" spans="10:10" x14ac:dyDescent="0.3">
      <c r="J136211"/>
    </row>
    <row r="136212" spans="10:10" x14ac:dyDescent="0.3">
      <c r="J136212"/>
    </row>
    <row r="136213" spans="10:10" x14ac:dyDescent="0.3">
      <c r="J136213"/>
    </row>
    <row r="136214" spans="10:10" x14ac:dyDescent="0.3">
      <c r="J136214"/>
    </row>
    <row r="136215" spans="10:10" x14ac:dyDescent="0.3">
      <c r="J136215"/>
    </row>
    <row r="136216" spans="10:10" x14ac:dyDescent="0.3">
      <c r="J136216"/>
    </row>
    <row r="136217" spans="10:10" x14ac:dyDescent="0.3">
      <c r="J136217"/>
    </row>
    <row r="136218" spans="10:10" x14ac:dyDescent="0.3">
      <c r="J136218"/>
    </row>
    <row r="136219" spans="10:10" x14ac:dyDescent="0.3">
      <c r="J136219"/>
    </row>
    <row r="136220" spans="10:10" x14ac:dyDescent="0.3">
      <c r="J136220"/>
    </row>
    <row r="136221" spans="10:10" x14ac:dyDescent="0.3">
      <c r="J136221"/>
    </row>
    <row r="136222" spans="10:10" x14ac:dyDescent="0.3">
      <c r="J136222"/>
    </row>
    <row r="136223" spans="10:10" x14ac:dyDescent="0.3">
      <c r="J136223"/>
    </row>
    <row r="136224" spans="10:10" x14ac:dyDescent="0.3">
      <c r="J136224"/>
    </row>
    <row r="136225" spans="10:10" x14ac:dyDescent="0.3">
      <c r="J136225"/>
    </row>
    <row r="136226" spans="10:10" x14ac:dyDescent="0.3">
      <c r="J136226"/>
    </row>
    <row r="136227" spans="10:10" x14ac:dyDescent="0.3">
      <c r="J136227"/>
    </row>
    <row r="136228" spans="10:10" x14ac:dyDescent="0.3">
      <c r="J136228"/>
    </row>
    <row r="136229" spans="10:10" x14ac:dyDescent="0.3">
      <c r="J136229"/>
    </row>
    <row r="136230" spans="10:10" x14ac:dyDescent="0.3">
      <c r="J136230"/>
    </row>
    <row r="136231" spans="10:10" x14ac:dyDescent="0.3">
      <c r="J136231"/>
    </row>
    <row r="136232" spans="10:10" x14ac:dyDescent="0.3">
      <c r="J136232"/>
    </row>
    <row r="136233" spans="10:10" x14ac:dyDescent="0.3">
      <c r="J136233"/>
    </row>
    <row r="136234" spans="10:10" x14ac:dyDescent="0.3">
      <c r="J136234"/>
    </row>
    <row r="136235" spans="10:10" x14ac:dyDescent="0.3">
      <c r="J136235"/>
    </row>
    <row r="136236" spans="10:10" x14ac:dyDescent="0.3">
      <c r="J136236"/>
    </row>
    <row r="136237" spans="10:10" x14ac:dyDescent="0.3">
      <c r="J136237"/>
    </row>
    <row r="136238" spans="10:10" x14ac:dyDescent="0.3">
      <c r="J136238"/>
    </row>
    <row r="136239" spans="10:10" x14ac:dyDescent="0.3">
      <c r="J136239"/>
    </row>
    <row r="136240" spans="10:10" x14ac:dyDescent="0.3">
      <c r="J136240"/>
    </row>
    <row r="136241" spans="10:10" x14ac:dyDescent="0.3">
      <c r="J136241"/>
    </row>
    <row r="136242" spans="10:10" x14ac:dyDescent="0.3">
      <c r="J136242"/>
    </row>
    <row r="136243" spans="10:10" x14ac:dyDescent="0.3">
      <c r="J136243"/>
    </row>
    <row r="136244" spans="10:10" x14ac:dyDescent="0.3">
      <c r="J136244"/>
    </row>
    <row r="136245" spans="10:10" x14ac:dyDescent="0.3">
      <c r="J136245"/>
    </row>
    <row r="136246" spans="10:10" x14ac:dyDescent="0.3">
      <c r="J136246"/>
    </row>
    <row r="136247" spans="10:10" x14ac:dyDescent="0.3">
      <c r="J136247"/>
    </row>
    <row r="136248" spans="10:10" x14ac:dyDescent="0.3">
      <c r="J136248"/>
    </row>
    <row r="136249" spans="10:10" x14ac:dyDescent="0.3">
      <c r="J136249"/>
    </row>
    <row r="136250" spans="10:10" x14ac:dyDescent="0.3">
      <c r="J136250"/>
    </row>
    <row r="136251" spans="10:10" x14ac:dyDescent="0.3">
      <c r="J136251"/>
    </row>
    <row r="136252" spans="10:10" x14ac:dyDescent="0.3">
      <c r="J136252"/>
    </row>
    <row r="136253" spans="10:10" x14ac:dyDescent="0.3">
      <c r="J136253"/>
    </row>
    <row r="136254" spans="10:10" x14ac:dyDescent="0.3">
      <c r="J136254"/>
    </row>
    <row r="136255" spans="10:10" x14ac:dyDescent="0.3">
      <c r="J136255"/>
    </row>
    <row r="136256" spans="10:10" x14ac:dyDescent="0.3">
      <c r="J136256"/>
    </row>
    <row r="136257" spans="10:10" x14ac:dyDescent="0.3">
      <c r="J136257"/>
    </row>
    <row r="136258" spans="10:10" x14ac:dyDescent="0.3">
      <c r="J136258"/>
    </row>
    <row r="136259" spans="10:10" x14ac:dyDescent="0.3">
      <c r="J136259"/>
    </row>
    <row r="136260" spans="10:10" x14ac:dyDescent="0.3">
      <c r="J136260"/>
    </row>
    <row r="136261" spans="10:10" x14ac:dyDescent="0.3">
      <c r="J136261"/>
    </row>
    <row r="136262" spans="10:10" x14ac:dyDescent="0.3">
      <c r="J136262"/>
    </row>
    <row r="136263" spans="10:10" x14ac:dyDescent="0.3">
      <c r="J136263"/>
    </row>
    <row r="136264" spans="10:10" x14ac:dyDescent="0.3">
      <c r="J136264"/>
    </row>
    <row r="136265" spans="10:10" x14ac:dyDescent="0.3">
      <c r="J136265"/>
    </row>
    <row r="136266" spans="10:10" x14ac:dyDescent="0.3">
      <c r="J136266"/>
    </row>
    <row r="136267" spans="10:10" x14ac:dyDescent="0.3">
      <c r="J136267"/>
    </row>
    <row r="136268" spans="10:10" x14ac:dyDescent="0.3">
      <c r="J136268"/>
    </row>
    <row r="136269" spans="10:10" x14ac:dyDescent="0.3">
      <c r="J136269"/>
    </row>
    <row r="136270" spans="10:10" x14ac:dyDescent="0.3">
      <c r="J136270"/>
    </row>
    <row r="136271" spans="10:10" x14ac:dyDescent="0.3">
      <c r="J136271"/>
    </row>
    <row r="136272" spans="10:10" x14ac:dyDescent="0.3">
      <c r="J136272"/>
    </row>
    <row r="136273" spans="10:10" x14ac:dyDescent="0.3">
      <c r="J136273"/>
    </row>
    <row r="136274" spans="10:10" x14ac:dyDescent="0.3">
      <c r="J136274"/>
    </row>
    <row r="136275" spans="10:10" x14ac:dyDescent="0.3">
      <c r="J136275"/>
    </row>
    <row r="136276" spans="10:10" x14ac:dyDescent="0.3">
      <c r="J136276"/>
    </row>
    <row r="136277" spans="10:10" x14ac:dyDescent="0.3">
      <c r="J136277"/>
    </row>
    <row r="136278" spans="10:10" x14ac:dyDescent="0.3">
      <c r="J136278"/>
    </row>
    <row r="136279" spans="10:10" x14ac:dyDescent="0.3">
      <c r="J136279"/>
    </row>
    <row r="136280" spans="10:10" x14ac:dyDescent="0.3">
      <c r="J136280"/>
    </row>
    <row r="136281" spans="10:10" x14ac:dyDescent="0.3">
      <c r="J136281"/>
    </row>
    <row r="136282" spans="10:10" x14ac:dyDescent="0.3">
      <c r="J136282"/>
    </row>
    <row r="136283" spans="10:10" x14ac:dyDescent="0.3">
      <c r="J136283"/>
    </row>
    <row r="136284" spans="10:10" x14ac:dyDescent="0.3">
      <c r="J136284"/>
    </row>
    <row r="136285" spans="10:10" x14ac:dyDescent="0.3">
      <c r="J136285"/>
    </row>
    <row r="136286" spans="10:10" x14ac:dyDescent="0.3">
      <c r="J136286"/>
    </row>
    <row r="136287" spans="10:10" x14ac:dyDescent="0.3">
      <c r="J136287"/>
    </row>
    <row r="136288" spans="10:10" x14ac:dyDescent="0.3">
      <c r="J136288"/>
    </row>
    <row r="136289" spans="10:10" x14ac:dyDescent="0.3">
      <c r="J136289"/>
    </row>
    <row r="136290" spans="10:10" x14ac:dyDescent="0.3">
      <c r="J136290"/>
    </row>
    <row r="136291" spans="10:10" x14ac:dyDescent="0.3">
      <c r="J136291"/>
    </row>
    <row r="136292" spans="10:10" x14ac:dyDescent="0.3">
      <c r="J136292"/>
    </row>
    <row r="136293" spans="10:10" x14ac:dyDescent="0.3">
      <c r="J136293"/>
    </row>
    <row r="136294" spans="10:10" x14ac:dyDescent="0.3">
      <c r="J136294"/>
    </row>
    <row r="136295" spans="10:10" x14ac:dyDescent="0.3">
      <c r="J136295"/>
    </row>
    <row r="136296" spans="10:10" x14ac:dyDescent="0.3">
      <c r="J136296"/>
    </row>
    <row r="136297" spans="10:10" x14ac:dyDescent="0.3">
      <c r="J136297"/>
    </row>
    <row r="136298" spans="10:10" x14ac:dyDescent="0.3">
      <c r="J136298"/>
    </row>
    <row r="136299" spans="10:10" x14ac:dyDescent="0.3">
      <c r="J136299"/>
    </row>
    <row r="136300" spans="10:10" x14ac:dyDescent="0.3">
      <c r="J136300"/>
    </row>
    <row r="136301" spans="10:10" x14ac:dyDescent="0.3">
      <c r="J136301"/>
    </row>
    <row r="136302" spans="10:10" x14ac:dyDescent="0.3">
      <c r="J136302"/>
    </row>
    <row r="136303" spans="10:10" x14ac:dyDescent="0.3">
      <c r="J136303"/>
    </row>
    <row r="136304" spans="10:10" x14ac:dyDescent="0.3">
      <c r="J136304"/>
    </row>
    <row r="136305" spans="10:10" x14ac:dyDescent="0.3">
      <c r="J136305"/>
    </row>
    <row r="136306" spans="10:10" x14ac:dyDescent="0.3">
      <c r="J136306"/>
    </row>
    <row r="136307" spans="10:10" x14ac:dyDescent="0.3">
      <c r="J136307"/>
    </row>
    <row r="136308" spans="10:10" x14ac:dyDescent="0.3">
      <c r="J136308"/>
    </row>
    <row r="136309" spans="10:10" x14ac:dyDescent="0.3">
      <c r="J136309"/>
    </row>
    <row r="136310" spans="10:10" x14ac:dyDescent="0.3">
      <c r="J136310"/>
    </row>
    <row r="136311" spans="10:10" x14ac:dyDescent="0.3">
      <c r="J136311"/>
    </row>
    <row r="136312" spans="10:10" x14ac:dyDescent="0.3">
      <c r="J136312"/>
    </row>
    <row r="136313" spans="10:10" x14ac:dyDescent="0.3">
      <c r="J136313"/>
    </row>
    <row r="136314" spans="10:10" x14ac:dyDescent="0.3">
      <c r="J136314"/>
    </row>
    <row r="136315" spans="10:10" x14ac:dyDescent="0.3">
      <c r="J136315"/>
    </row>
    <row r="136316" spans="10:10" x14ac:dyDescent="0.3">
      <c r="J136316"/>
    </row>
    <row r="136317" spans="10:10" x14ac:dyDescent="0.3">
      <c r="J136317"/>
    </row>
    <row r="136318" spans="10:10" x14ac:dyDescent="0.3">
      <c r="J136318"/>
    </row>
    <row r="136319" spans="10:10" x14ac:dyDescent="0.3">
      <c r="J136319"/>
    </row>
    <row r="136320" spans="10:10" x14ac:dyDescent="0.3">
      <c r="J136320"/>
    </row>
    <row r="136321" spans="10:10" x14ac:dyDescent="0.3">
      <c r="J136321"/>
    </row>
    <row r="136322" spans="10:10" x14ac:dyDescent="0.3">
      <c r="J136322"/>
    </row>
    <row r="136323" spans="10:10" x14ac:dyDescent="0.3">
      <c r="J136323"/>
    </row>
    <row r="136324" spans="10:10" x14ac:dyDescent="0.3">
      <c r="J136324"/>
    </row>
    <row r="136325" spans="10:10" x14ac:dyDescent="0.3">
      <c r="J136325"/>
    </row>
    <row r="136326" spans="10:10" x14ac:dyDescent="0.3">
      <c r="J136326"/>
    </row>
    <row r="136327" spans="10:10" x14ac:dyDescent="0.3">
      <c r="J136327"/>
    </row>
    <row r="136328" spans="10:10" x14ac:dyDescent="0.3">
      <c r="J136328"/>
    </row>
    <row r="136329" spans="10:10" x14ac:dyDescent="0.3">
      <c r="J136329"/>
    </row>
    <row r="136330" spans="10:10" x14ac:dyDescent="0.3">
      <c r="J136330"/>
    </row>
    <row r="136331" spans="10:10" x14ac:dyDescent="0.3">
      <c r="J136331"/>
    </row>
    <row r="136332" spans="10:10" x14ac:dyDescent="0.3">
      <c r="J136332"/>
    </row>
    <row r="136333" spans="10:10" x14ac:dyDescent="0.3">
      <c r="J136333"/>
    </row>
    <row r="136334" spans="10:10" x14ac:dyDescent="0.3">
      <c r="J136334"/>
    </row>
    <row r="136335" spans="10:10" x14ac:dyDescent="0.3">
      <c r="J136335"/>
    </row>
    <row r="136336" spans="10:10" x14ac:dyDescent="0.3">
      <c r="J136336"/>
    </row>
    <row r="136337" spans="10:10" x14ac:dyDescent="0.3">
      <c r="J136337"/>
    </row>
    <row r="136338" spans="10:10" x14ac:dyDescent="0.3">
      <c r="J136338"/>
    </row>
    <row r="136339" spans="10:10" x14ac:dyDescent="0.3">
      <c r="J136339"/>
    </row>
    <row r="136340" spans="10:10" x14ac:dyDescent="0.3">
      <c r="J136340"/>
    </row>
    <row r="136341" spans="10:10" x14ac:dyDescent="0.3">
      <c r="J136341"/>
    </row>
    <row r="136342" spans="10:10" x14ac:dyDescent="0.3">
      <c r="J136342"/>
    </row>
    <row r="136343" spans="10:10" x14ac:dyDescent="0.3">
      <c r="J136343"/>
    </row>
    <row r="136344" spans="10:10" x14ac:dyDescent="0.3">
      <c r="J136344"/>
    </row>
    <row r="136345" spans="10:10" x14ac:dyDescent="0.3">
      <c r="J136345"/>
    </row>
    <row r="136346" spans="10:10" x14ac:dyDescent="0.3">
      <c r="J136346"/>
    </row>
    <row r="136347" spans="10:10" x14ac:dyDescent="0.3">
      <c r="J136347"/>
    </row>
    <row r="136348" spans="10:10" x14ac:dyDescent="0.3">
      <c r="J136348"/>
    </row>
    <row r="136349" spans="10:10" x14ac:dyDescent="0.3">
      <c r="J136349"/>
    </row>
    <row r="136350" spans="10:10" x14ac:dyDescent="0.3">
      <c r="J136350"/>
    </row>
    <row r="136351" spans="10:10" x14ac:dyDescent="0.3">
      <c r="J136351"/>
    </row>
    <row r="136352" spans="10:10" x14ac:dyDescent="0.3">
      <c r="J136352"/>
    </row>
    <row r="136353" spans="10:10" x14ac:dyDescent="0.3">
      <c r="J136353"/>
    </row>
    <row r="136354" spans="10:10" x14ac:dyDescent="0.3">
      <c r="J136354"/>
    </row>
    <row r="136355" spans="10:10" x14ac:dyDescent="0.3">
      <c r="J136355"/>
    </row>
    <row r="136356" spans="10:10" x14ac:dyDescent="0.3">
      <c r="J136356"/>
    </row>
    <row r="136357" spans="10:10" x14ac:dyDescent="0.3">
      <c r="J136357"/>
    </row>
    <row r="136358" spans="10:10" x14ac:dyDescent="0.3">
      <c r="J136358"/>
    </row>
    <row r="136359" spans="10:10" x14ac:dyDescent="0.3">
      <c r="J136359"/>
    </row>
    <row r="136360" spans="10:10" x14ac:dyDescent="0.3">
      <c r="J136360"/>
    </row>
    <row r="136361" spans="10:10" x14ac:dyDescent="0.3">
      <c r="J136361"/>
    </row>
    <row r="136362" spans="10:10" x14ac:dyDescent="0.3">
      <c r="J136362"/>
    </row>
    <row r="136363" spans="10:10" x14ac:dyDescent="0.3">
      <c r="J136363"/>
    </row>
    <row r="136364" spans="10:10" x14ac:dyDescent="0.3">
      <c r="J136364"/>
    </row>
    <row r="136365" spans="10:10" x14ac:dyDescent="0.3">
      <c r="J136365"/>
    </row>
    <row r="136366" spans="10:10" x14ac:dyDescent="0.3">
      <c r="J136366"/>
    </row>
    <row r="136367" spans="10:10" x14ac:dyDescent="0.3">
      <c r="J136367"/>
    </row>
    <row r="136368" spans="10:10" x14ac:dyDescent="0.3">
      <c r="J136368"/>
    </row>
    <row r="136369" spans="10:10" x14ac:dyDescent="0.3">
      <c r="J136369"/>
    </row>
    <row r="136370" spans="10:10" x14ac:dyDescent="0.3">
      <c r="J136370"/>
    </row>
    <row r="136371" spans="10:10" x14ac:dyDescent="0.3">
      <c r="J136371"/>
    </row>
    <row r="136372" spans="10:10" x14ac:dyDescent="0.3">
      <c r="J136372"/>
    </row>
    <row r="136373" spans="10:10" x14ac:dyDescent="0.3">
      <c r="J136373"/>
    </row>
    <row r="136374" spans="10:10" x14ac:dyDescent="0.3">
      <c r="J136374"/>
    </row>
    <row r="136375" spans="10:10" x14ac:dyDescent="0.3">
      <c r="J136375"/>
    </row>
    <row r="136376" spans="10:10" x14ac:dyDescent="0.3">
      <c r="J136376"/>
    </row>
    <row r="136377" spans="10:10" x14ac:dyDescent="0.3">
      <c r="J136377"/>
    </row>
    <row r="136378" spans="10:10" x14ac:dyDescent="0.3">
      <c r="J136378"/>
    </row>
    <row r="136379" spans="10:10" x14ac:dyDescent="0.3">
      <c r="J136379"/>
    </row>
    <row r="136380" spans="10:10" x14ac:dyDescent="0.3">
      <c r="J136380"/>
    </row>
    <row r="136381" spans="10:10" x14ac:dyDescent="0.3">
      <c r="J136381"/>
    </row>
    <row r="136382" spans="10:10" x14ac:dyDescent="0.3">
      <c r="J136382"/>
    </row>
    <row r="136383" spans="10:10" x14ac:dyDescent="0.3">
      <c r="J136383"/>
    </row>
    <row r="136384" spans="10:10" x14ac:dyDescent="0.3">
      <c r="J136384"/>
    </row>
    <row r="136385" spans="10:10" x14ac:dyDescent="0.3">
      <c r="J136385"/>
    </row>
    <row r="136386" spans="10:10" x14ac:dyDescent="0.3">
      <c r="J136386"/>
    </row>
    <row r="136387" spans="10:10" x14ac:dyDescent="0.3">
      <c r="J136387"/>
    </row>
    <row r="136388" spans="10:10" x14ac:dyDescent="0.3">
      <c r="J136388"/>
    </row>
    <row r="136389" spans="10:10" x14ac:dyDescent="0.3">
      <c r="J136389"/>
    </row>
    <row r="136390" spans="10:10" x14ac:dyDescent="0.3">
      <c r="J136390"/>
    </row>
    <row r="136391" spans="10:10" x14ac:dyDescent="0.3">
      <c r="J136391"/>
    </row>
    <row r="136392" spans="10:10" x14ac:dyDescent="0.3">
      <c r="J136392"/>
    </row>
    <row r="136393" spans="10:10" x14ac:dyDescent="0.3">
      <c r="J136393"/>
    </row>
    <row r="136394" spans="10:10" x14ac:dyDescent="0.3">
      <c r="J136394"/>
    </row>
    <row r="136395" spans="10:10" x14ac:dyDescent="0.3">
      <c r="J136395"/>
    </row>
    <row r="136396" spans="10:10" x14ac:dyDescent="0.3">
      <c r="J136396"/>
    </row>
    <row r="136397" spans="10:10" x14ac:dyDescent="0.3">
      <c r="J136397"/>
    </row>
    <row r="136398" spans="10:10" x14ac:dyDescent="0.3">
      <c r="J136398"/>
    </row>
    <row r="136399" spans="10:10" x14ac:dyDescent="0.3">
      <c r="J136399"/>
    </row>
    <row r="136400" spans="10:10" x14ac:dyDescent="0.3">
      <c r="J136400"/>
    </row>
    <row r="136401" spans="10:10" x14ac:dyDescent="0.3">
      <c r="J136401"/>
    </row>
    <row r="136402" spans="10:10" x14ac:dyDescent="0.3">
      <c r="J136402"/>
    </row>
    <row r="136403" spans="10:10" x14ac:dyDescent="0.3">
      <c r="J136403"/>
    </row>
    <row r="136404" spans="10:10" x14ac:dyDescent="0.3">
      <c r="J136404"/>
    </row>
    <row r="136405" spans="10:10" x14ac:dyDescent="0.3">
      <c r="J136405"/>
    </row>
    <row r="136406" spans="10:10" x14ac:dyDescent="0.3">
      <c r="J136406"/>
    </row>
    <row r="136407" spans="10:10" x14ac:dyDescent="0.3">
      <c r="J136407"/>
    </row>
    <row r="136408" spans="10:10" x14ac:dyDescent="0.3">
      <c r="J136408"/>
    </row>
    <row r="136409" spans="10:10" x14ac:dyDescent="0.3">
      <c r="J136409"/>
    </row>
    <row r="136410" spans="10:10" x14ac:dyDescent="0.3">
      <c r="J136410"/>
    </row>
    <row r="136411" spans="10:10" x14ac:dyDescent="0.3">
      <c r="J136411"/>
    </row>
    <row r="136412" spans="10:10" x14ac:dyDescent="0.3">
      <c r="J136412"/>
    </row>
    <row r="136413" spans="10:10" x14ac:dyDescent="0.3">
      <c r="J136413"/>
    </row>
    <row r="136414" spans="10:10" x14ac:dyDescent="0.3">
      <c r="J136414"/>
    </row>
    <row r="136415" spans="10:10" x14ac:dyDescent="0.3">
      <c r="J136415"/>
    </row>
    <row r="136416" spans="10:10" x14ac:dyDescent="0.3">
      <c r="J136416"/>
    </row>
    <row r="136417" spans="10:10" x14ac:dyDescent="0.3">
      <c r="J136417"/>
    </row>
    <row r="136418" spans="10:10" x14ac:dyDescent="0.3">
      <c r="J136418"/>
    </row>
    <row r="136419" spans="10:10" x14ac:dyDescent="0.3">
      <c r="J136419"/>
    </row>
    <row r="136420" spans="10:10" x14ac:dyDescent="0.3">
      <c r="J136420"/>
    </row>
    <row r="136421" spans="10:10" x14ac:dyDescent="0.3">
      <c r="J136421"/>
    </row>
    <row r="136422" spans="10:10" x14ac:dyDescent="0.3">
      <c r="J136422"/>
    </row>
    <row r="136423" spans="10:10" x14ac:dyDescent="0.3">
      <c r="J136423"/>
    </row>
    <row r="136424" spans="10:10" x14ac:dyDescent="0.3">
      <c r="J136424"/>
    </row>
    <row r="136425" spans="10:10" x14ac:dyDescent="0.3">
      <c r="J136425"/>
    </row>
    <row r="136426" spans="10:10" x14ac:dyDescent="0.3">
      <c r="J136426"/>
    </row>
    <row r="136427" spans="10:10" x14ac:dyDescent="0.3">
      <c r="J136427"/>
    </row>
    <row r="136428" spans="10:10" x14ac:dyDescent="0.3">
      <c r="J136428"/>
    </row>
    <row r="136429" spans="10:10" x14ac:dyDescent="0.3">
      <c r="J136429"/>
    </row>
    <row r="136430" spans="10:10" x14ac:dyDescent="0.3">
      <c r="J136430"/>
    </row>
    <row r="136431" spans="10:10" x14ac:dyDescent="0.3">
      <c r="J136431"/>
    </row>
    <row r="136432" spans="10:10" x14ac:dyDescent="0.3">
      <c r="J136432"/>
    </row>
    <row r="136433" spans="10:10" x14ac:dyDescent="0.3">
      <c r="J136433"/>
    </row>
    <row r="136434" spans="10:10" x14ac:dyDescent="0.3">
      <c r="J136434"/>
    </row>
    <row r="136435" spans="10:10" x14ac:dyDescent="0.3">
      <c r="J136435"/>
    </row>
    <row r="136436" spans="10:10" x14ac:dyDescent="0.3">
      <c r="J136436"/>
    </row>
    <row r="136437" spans="10:10" x14ac:dyDescent="0.3">
      <c r="J136437"/>
    </row>
    <row r="136438" spans="10:10" x14ac:dyDescent="0.3">
      <c r="J136438"/>
    </row>
    <row r="136439" spans="10:10" x14ac:dyDescent="0.3">
      <c r="J136439"/>
    </row>
    <row r="136440" spans="10:10" x14ac:dyDescent="0.3">
      <c r="J136440"/>
    </row>
    <row r="136441" spans="10:10" x14ac:dyDescent="0.3">
      <c r="J136441"/>
    </row>
    <row r="136442" spans="10:10" x14ac:dyDescent="0.3">
      <c r="J136442"/>
    </row>
    <row r="136443" spans="10:10" x14ac:dyDescent="0.3">
      <c r="J136443"/>
    </row>
    <row r="136444" spans="10:10" x14ac:dyDescent="0.3">
      <c r="J136444"/>
    </row>
    <row r="136445" spans="10:10" x14ac:dyDescent="0.3">
      <c r="J136445"/>
    </row>
    <row r="136446" spans="10:10" x14ac:dyDescent="0.3">
      <c r="J136446"/>
    </row>
    <row r="136447" spans="10:10" x14ac:dyDescent="0.3">
      <c r="J136447"/>
    </row>
    <row r="136448" spans="10:10" x14ac:dyDescent="0.3">
      <c r="J136448"/>
    </row>
    <row r="136449" spans="10:10" x14ac:dyDescent="0.3">
      <c r="J136449"/>
    </row>
    <row r="136450" spans="10:10" x14ac:dyDescent="0.3">
      <c r="J136450"/>
    </row>
    <row r="136451" spans="10:10" x14ac:dyDescent="0.3">
      <c r="J136451"/>
    </row>
    <row r="136452" spans="10:10" x14ac:dyDescent="0.3">
      <c r="J136452"/>
    </row>
    <row r="136453" spans="10:10" x14ac:dyDescent="0.3">
      <c r="J136453"/>
    </row>
    <row r="136454" spans="10:10" x14ac:dyDescent="0.3">
      <c r="J136454"/>
    </row>
    <row r="136455" spans="10:10" x14ac:dyDescent="0.3">
      <c r="J136455"/>
    </row>
    <row r="136456" spans="10:10" x14ac:dyDescent="0.3">
      <c r="J136456"/>
    </row>
    <row r="136457" spans="10:10" x14ac:dyDescent="0.3">
      <c r="J136457"/>
    </row>
    <row r="136458" spans="10:10" x14ac:dyDescent="0.3">
      <c r="J136458"/>
    </row>
    <row r="136459" spans="10:10" x14ac:dyDescent="0.3">
      <c r="J136459"/>
    </row>
    <row r="136460" spans="10:10" x14ac:dyDescent="0.3">
      <c r="J136460"/>
    </row>
    <row r="136461" spans="10:10" x14ac:dyDescent="0.3">
      <c r="J136461"/>
    </row>
    <row r="136462" spans="10:10" x14ac:dyDescent="0.3">
      <c r="J136462"/>
    </row>
    <row r="136463" spans="10:10" x14ac:dyDescent="0.3">
      <c r="J136463"/>
    </row>
    <row r="136464" spans="10:10" x14ac:dyDescent="0.3">
      <c r="J136464"/>
    </row>
    <row r="136465" spans="10:10" x14ac:dyDescent="0.3">
      <c r="J136465"/>
    </row>
    <row r="136466" spans="10:10" x14ac:dyDescent="0.3">
      <c r="J136466"/>
    </row>
    <row r="136467" spans="10:10" x14ac:dyDescent="0.3">
      <c r="J136467"/>
    </row>
    <row r="136468" spans="10:10" x14ac:dyDescent="0.3">
      <c r="J136468"/>
    </row>
    <row r="136469" spans="10:10" x14ac:dyDescent="0.3">
      <c r="J136469"/>
    </row>
    <row r="136470" spans="10:10" x14ac:dyDescent="0.3">
      <c r="J136470"/>
    </row>
    <row r="136471" spans="10:10" x14ac:dyDescent="0.3">
      <c r="J136471"/>
    </row>
    <row r="136472" spans="10:10" x14ac:dyDescent="0.3">
      <c r="J136472"/>
    </row>
    <row r="136473" spans="10:10" x14ac:dyDescent="0.3">
      <c r="J136473"/>
    </row>
    <row r="136474" spans="10:10" x14ac:dyDescent="0.3">
      <c r="J136474"/>
    </row>
    <row r="136475" spans="10:10" x14ac:dyDescent="0.3">
      <c r="J136475"/>
    </row>
    <row r="136476" spans="10:10" x14ac:dyDescent="0.3">
      <c r="J136476"/>
    </row>
    <row r="136477" spans="10:10" x14ac:dyDescent="0.3">
      <c r="J136477"/>
    </row>
    <row r="136478" spans="10:10" x14ac:dyDescent="0.3">
      <c r="J136478"/>
    </row>
    <row r="136479" spans="10:10" x14ac:dyDescent="0.3">
      <c r="J136479"/>
    </row>
    <row r="136480" spans="10:10" x14ac:dyDescent="0.3">
      <c r="J136480"/>
    </row>
    <row r="136481" spans="10:10" x14ac:dyDescent="0.3">
      <c r="J136481"/>
    </row>
    <row r="136482" spans="10:10" x14ac:dyDescent="0.3">
      <c r="J136482"/>
    </row>
    <row r="136483" spans="10:10" x14ac:dyDescent="0.3">
      <c r="J136483"/>
    </row>
    <row r="136484" spans="10:10" x14ac:dyDescent="0.3">
      <c r="J136484"/>
    </row>
    <row r="136485" spans="10:10" x14ac:dyDescent="0.3">
      <c r="J136485"/>
    </row>
    <row r="136486" spans="10:10" x14ac:dyDescent="0.3">
      <c r="J136486"/>
    </row>
    <row r="136487" spans="10:10" x14ac:dyDescent="0.3">
      <c r="J136487"/>
    </row>
    <row r="136488" spans="10:10" x14ac:dyDescent="0.3">
      <c r="J136488"/>
    </row>
    <row r="136489" spans="10:10" x14ac:dyDescent="0.3">
      <c r="J136489"/>
    </row>
    <row r="136490" spans="10:10" x14ac:dyDescent="0.3">
      <c r="J136490"/>
    </row>
    <row r="136491" spans="10:10" x14ac:dyDescent="0.3">
      <c r="J136491"/>
    </row>
    <row r="136492" spans="10:10" x14ac:dyDescent="0.3">
      <c r="J136492"/>
    </row>
    <row r="136493" spans="10:10" x14ac:dyDescent="0.3">
      <c r="J136493"/>
    </row>
    <row r="136494" spans="10:10" x14ac:dyDescent="0.3">
      <c r="J136494"/>
    </row>
    <row r="136495" spans="10:10" x14ac:dyDescent="0.3">
      <c r="J136495"/>
    </row>
    <row r="136496" spans="10:10" x14ac:dyDescent="0.3">
      <c r="J136496"/>
    </row>
    <row r="136497" spans="10:10" x14ac:dyDescent="0.3">
      <c r="J136497"/>
    </row>
    <row r="136498" spans="10:10" x14ac:dyDescent="0.3">
      <c r="J136498"/>
    </row>
    <row r="136499" spans="10:10" x14ac:dyDescent="0.3">
      <c r="J136499"/>
    </row>
    <row r="136500" spans="10:10" x14ac:dyDescent="0.3">
      <c r="J136500"/>
    </row>
    <row r="136501" spans="10:10" x14ac:dyDescent="0.3">
      <c r="J136501"/>
    </row>
    <row r="136502" spans="10:10" x14ac:dyDescent="0.3">
      <c r="J136502"/>
    </row>
    <row r="136503" spans="10:10" x14ac:dyDescent="0.3">
      <c r="J136503"/>
    </row>
    <row r="136504" spans="10:10" x14ac:dyDescent="0.3">
      <c r="J136504"/>
    </row>
    <row r="136505" spans="10:10" x14ac:dyDescent="0.3">
      <c r="J136505"/>
    </row>
    <row r="136506" spans="10:10" x14ac:dyDescent="0.3">
      <c r="J136506"/>
    </row>
    <row r="136507" spans="10:10" x14ac:dyDescent="0.3">
      <c r="J136507"/>
    </row>
    <row r="136508" spans="10:10" x14ac:dyDescent="0.3">
      <c r="J136508"/>
    </row>
    <row r="136509" spans="10:10" x14ac:dyDescent="0.3">
      <c r="J136509"/>
    </row>
    <row r="136510" spans="10:10" x14ac:dyDescent="0.3">
      <c r="J136510"/>
    </row>
    <row r="136511" spans="10:10" x14ac:dyDescent="0.3">
      <c r="J136511"/>
    </row>
    <row r="136512" spans="10:10" x14ac:dyDescent="0.3">
      <c r="J136512"/>
    </row>
    <row r="136513" spans="10:10" x14ac:dyDescent="0.3">
      <c r="J136513"/>
    </row>
    <row r="136514" spans="10:10" x14ac:dyDescent="0.3">
      <c r="J136514"/>
    </row>
    <row r="136515" spans="10:10" x14ac:dyDescent="0.3">
      <c r="J136515"/>
    </row>
    <row r="136516" spans="10:10" x14ac:dyDescent="0.3">
      <c r="J136516"/>
    </row>
    <row r="136517" spans="10:10" x14ac:dyDescent="0.3">
      <c r="J136517"/>
    </row>
    <row r="136518" spans="10:10" x14ac:dyDescent="0.3">
      <c r="J136518"/>
    </row>
    <row r="136519" spans="10:10" x14ac:dyDescent="0.3">
      <c r="J136519"/>
    </row>
    <row r="136520" spans="10:10" x14ac:dyDescent="0.3">
      <c r="J136520"/>
    </row>
    <row r="136521" spans="10:10" x14ac:dyDescent="0.3">
      <c r="J136521"/>
    </row>
    <row r="136522" spans="10:10" x14ac:dyDescent="0.3">
      <c r="J136522"/>
    </row>
    <row r="136523" spans="10:10" x14ac:dyDescent="0.3">
      <c r="J136523"/>
    </row>
    <row r="136524" spans="10:10" x14ac:dyDescent="0.3">
      <c r="J136524"/>
    </row>
    <row r="136525" spans="10:10" x14ac:dyDescent="0.3">
      <c r="J136525"/>
    </row>
    <row r="136526" spans="10:10" x14ac:dyDescent="0.3">
      <c r="J136526"/>
    </row>
    <row r="136527" spans="10:10" x14ac:dyDescent="0.3">
      <c r="J136527"/>
    </row>
    <row r="136528" spans="10:10" x14ac:dyDescent="0.3">
      <c r="J136528"/>
    </row>
    <row r="136529" spans="10:10" x14ac:dyDescent="0.3">
      <c r="J136529"/>
    </row>
    <row r="136530" spans="10:10" x14ac:dyDescent="0.3">
      <c r="J136530"/>
    </row>
    <row r="136531" spans="10:10" x14ac:dyDescent="0.3">
      <c r="J136531"/>
    </row>
    <row r="136532" spans="10:10" x14ac:dyDescent="0.3">
      <c r="J136532"/>
    </row>
    <row r="136533" spans="10:10" x14ac:dyDescent="0.3">
      <c r="J136533"/>
    </row>
    <row r="136534" spans="10:10" x14ac:dyDescent="0.3">
      <c r="J136534"/>
    </row>
    <row r="136535" spans="10:10" x14ac:dyDescent="0.3">
      <c r="J136535"/>
    </row>
    <row r="136536" spans="10:10" x14ac:dyDescent="0.3">
      <c r="J136536"/>
    </row>
    <row r="136537" spans="10:10" x14ac:dyDescent="0.3">
      <c r="J136537"/>
    </row>
    <row r="136538" spans="10:10" x14ac:dyDescent="0.3">
      <c r="J136538"/>
    </row>
    <row r="136539" spans="10:10" x14ac:dyDescent="0.3">
      <c r="J136539"/>
    </row>
    <row r="136540" spans="10:10" x14ac:dyDescent="0.3">
      <c r="J136540"/>
    </row>
    <row r="136541" spans="10:10" x14ac:dyDescent="0.3">
      <c r="J136541"/>
    </row>
    <row r="136542" spans="10:10" x14ac:dyDescent="0.3">
      <c r="J136542"/>
    </row>
    <row r="136543" spans="10:10" x14ac:dyDescent="0.3">
      <c r="J136543"/>
    </row>
    <row r="136544" spans="10:10" x14ac:dyDescent="0.3">
      <c r="J136544"/>
    </row>
    <row r="136545" spans="10:10" x14ac:dyDescent="0.3">
      <c r="J136545"/>
    </row>
    <row r="136546" spans="10:10" x14ac:dyDescent="0.3">
      <c r="J136546"/>
    </row>
    <row r="136547" spans="10:10" x14ac:dyDescent="0.3">
      <c r="J136547"/>
    </row>
    <row r="136548" spans="10:10" x14ac:dyDescent="0.3">
      <c r="J136548"/>
    </row>
    <row r="136549" spans="10:10" x14ac:dyDescent="0.3">
      <c r="J136549"/>
    </row>
    <row r="136550" spans="10:10" x14ac:dyDescent="0.3">
      <c r="J136550"/>
    </row>
    <row r="136551" spans="10:10" x14ac:dyDescent="0.3">
      <c r="J136551"/>
    </row>
    <row r="136552" spans="10:10" x14ac:dyDescent="0.3">
      <c r="J136552"/>
    </row>
    <row r="136553" spans="10:10" x14ac:dyDescent="0.3">
      <c r="J136553"/>
    </row>
    <row r="136554" spans="10:10" x14ac:dyDescent="0.3">
      <c r="J136554"/>
    </row>
    <row r="136555" spans="10:10" x14ac:dyDescent="0.3">
      <c r="J136555"/>
    </row>
    <row r="136556" spans="10:10" x14ac:dyDescent="0.3">
      <c r="J136556"/>
    </row>
    <row r="136557" spans="10:10" x14ac:dyDescent="0.3">
      <c r="J136557"/>
    </row>
    <row r="136558" spans="10:10" x14ac:dyDescent="0.3">
      <c r="J136558"/>
    </row>
    <row r="136559" spans="10:10" x14ac:dyDescent="0.3">
      <c r="J136559"/>
    </row>
    <row r="136560" spans="10:10" x14ac:dyDescent="0.3">
      <c r="J136560"/>
    </row>
    <row r="136561" spans="10:10" x14ac:dyDescent="0.3">
      <c r="J136561"/>
    </row>
    <row r="136562" spans="10:10" x14ac:dyDescent="0.3">
      <c r="J136562"/>
    </row>
    <row r="136563" spans="10:10" x14ac:dyDescent="0.3">
      <c r="J136563"/>
    </row>
    <row r="136564" spans="10:10" x14ac:dyDescent="0.3">
      <c r="J136564"/>
    </row>
    <row r="136565" spans="10:10" x14ac:dyDescent="0.3">
      <c r="J136565"/>
    </row>
    <row r="136566" spans="10:10" x14ac:dyDescent="0.3">
      <c r="J136566"/>
    </row>
    <row r="136567" spans="10:10" x14ac:dyDescent="0.3">
      <c r="J136567"/>
    </row>
    <row r="136568" spans="10:10" x14ac:dyDescent="0.3">
      <c r="J136568"/>
    </row>
    <row r="136569" spans="10:10" x14ac:dyDescent="0.3">
      <c r="J136569"/>
    </row>
    <row r="136570" spans="10:10" x14ac:dyDescent="0.3">
      <c r="J136570"/>
    </row>
    <row r="136571" spans="10:10" x14ac:dyDescent="0.3">
      <c r="J136571"/>
    </row>
    <row r="136572" spans="10:10" x14ac:dyDescent="0.3">
      <c r="J136572"/>
    </row>
    <row r="136573" spans="10:10" x14ac:dyDescent="0.3">
      <c r="J136573"/>
    </row>
    <row r="136574" spans="10:10" x14ac:dyDescent="0.3">
      <c r="J136574"/>
    </row>
    <row r="136575" spans="10:10" x14ac:dyDescent="0.3">
      <c r="J136575"/>
    </row>
    <row r="136576" spans="10:10" x14ac:dyDescent="0.3">
      <c r="J136576"/>
    </row>
    <row r="136577" spans="10:10" x14ac:dyDescent="0.3">
      <c r="J136577"/>
    </row>
    <row r="136578" spans="10:10" x14ac:dyDescent="0.3">
      <c r="J136578"/>
    </row>
    <row r="136579" spans="10:10" x14ac:dyDescent="0.3">
      <c r="J136579"/>
    </row>
    <row r="136580" spans="10:10" x14ac:dyDescent="0.3">
      <c r="J136580"/>
    </row>
    <row r="136581" spans="10:10" x14ac:dyDescent="0.3">
      <c r="J136581"/>
    </row>
    <row r="136582" spans="10:10" x14ac:dyDescent="0.3">
      <c r="J136582"/>
    </row>
    <row r="136583" spans="10:10" x14ac:dyDescent="0.3">
      <c r="J136583"/>
    </row>
    <row r="136584" spans="10:10" x14ac:dyDescent="0.3">
      <c r="J136584"/>
    </row>
    <row r="136585" spans="10:10" x14ac:dyDescent="0.3">
      <c r="J136585"/>
    </row>
    <row r="136586" spans="10:10" x14ac:dyDescent="0.3">
      <c r="J136586"/>
    </row>
    <row r="136587" spans="10:10" x14ac:dyDescent="0.3">
      <c r="J136587"/>
    </row>
    <row r="136588" spans="10:10" x14ac:dyDescent="0.3">
      <c r="J136588"/>
    </row>
    <row r="136589" spans="10:10" x14ac:dyDescent="0.3">
      <c r="J136589"/>
    </row>
    <row r="136590" spans="10:10" x14ac:dyDescent="0.3">
      <c r="J136590"/>
    </row>
    <row r="136591" spans="10:10" x14ac:dyDescent="0.3">
      <c r="J136591"/>
    </row>
    <row r="136592" spans="10:10" x14ac:dyDescent="0.3">
      <c r="J136592"/>
    </row>
    <row r="136593" spans="10:10" x14ac:dyDescent="0.3">
      <c r="J136593"/>
    </row>
    <row r="136594" spans="10:10" x14ac:dyDescent="0.3">
      <c r="J136594"/>
    </row>
    <row r="136595" spans="10:10" x14ac:dyDescent="0.3">
      <c r="J136595"/>
    </row>
    <row r="136596" spans="10:10" x14ac:dyDescent="0.3">
      <c r="J136596"/>
    </row>
    <row r="136597" spans="10:10" x14ac:dyDescent="0.3">
      <c r="J136597"/>
    </row>
    <row r="136598" spans="10:10" x14ac:dyDescent="0.3">
      <c r="J136598"/>
    </row>
    <row r="136599" spans="10:10" x14ac:dyDescent="0.3">
      <c r="J136599"/>
    </row>
    <row r="136600" spans="10:10" x14ac:dyDescent="0.3">
      <c r="J136600"/>
    </row>
    <row r="136601" spans="10:10" x14ac:dyDescent="0.3">
      <c r="J136601"/>
    </row>
    <row r="136602" spans="10:10" x14ac:dyDescent="0.3">
      <c r="J136602"/>
    </row>
    <row r="136603" spans="10:10" x14ac:dyDescent="0.3">
      <c r="J136603"/>
    </row>
    <row r="136604" spans="10:10" x14ac:dyDescent="0.3">
      <c r="J136604"/>
    </row>
    <row r="136605" spans="10:10" x14ac:dyDescent="0.3">
      <c r="J136605"/>
    </row>
    <row r="136606" spans="10:10" x14ac:dyDescent="0.3">
      <c r="J136606"/>
    </row>
    <row r="136607" spans="10:10" x14ac:dyDescent="0.3">
      <c r="J136607"/>
    </row>
    <row r="136608" spans="10:10" x14ac:dyDescent="0.3">
      <c r="J136608"/>
    </row>
    <row r="136609" spans="10:10" x14ac:dyDescent="0.3">
      <c r="J136609"/>
    </row>
    <row r="136610" spans="10:10" x14ac:dyDescent="0.3">
      <c r="J136610"/>
    </row>
    <row r="136611" spans="10:10" x14ac:dyDescent="0.3">
      <c r="J136611"/>
    </row>
    <row r="136612" spans="10:10" x14ac:dyDescent="0.3">
      <c r="J136612"/>
    </row>
    <row r="136613" spans="10:10" x14ac:dyDescent="0.3">
      <c r="J136613"/>
    </row>
    <row r="136614" spans="10:10" x14ac:dyDescent="0.3">
      <c r="J136614"/>
    </row>
    <row r="136615" spans="10:10" x14ac:dyDescent="0.3">
      <c r="J136615"/>
    </row>
    <row r="136616" spans="10:10" x14ac:dyDescent="0.3">
      <c r="J136616"/>
    </row>
    <row r="136617" spans="10:10" x14ac:dyDescent="0.3">
      <c r="J136617"/>
    </row>
    <row r="136618" spans="10:10" x14ac:dyDescent="0.3">
      <c r="J136618"/>
    </row>
    <row r="136619" spans="10:10" x14ac:dyDescent="0.3">
      <c r="J136619"/>
    </row>
    <row r="136620" spans="10:10" x14ac:dyDescent="0.3">
      <c r="J136620"/>
    </row>
    <row r="136621" spans="10:10" x14ac:dyDescent="0.3">
      <c r="J136621"/>
    </row>
    <row r="136622" spans="10:10" x14ac:dyDescent="0.3">
      <c r="J136622"/>
    </row>
    <row r="136623" spans="10:10" x14ac:dyDescent="0.3">
      <c r="J136623"/>
    </row>
    <row r="136624" spans="10:10" x14ac:dyDescent="0.3">
      <c r="J136624"/>
    </row>
    <row r="136625" spans="10:10" x14ac:dyDescent="0.3">
      <c r="J136625"/>
    </row>
    <row r="136626" spans="10:10" x14ac:dyDescent="0.3">
      <c r="J136626"/>
    </row>
    <row r="136627" spans="10:10" x14ac:dyDescent="0.3">
      <c r="J136627"/>
    </row>
    <row r="136628" spans="10:10" x14ac:dyDescent="0.3">
      <c r="J136628"/>
    </row>
    <row r="136629" spans="10:10" x14ac:dyDescent="0.3">
      <c r="J136629"/>
    </row>
    <row r="136630" spans="10:10" x14ac:dyDescent="0.3">
      <c r="J136630"/>
    </row>
    <row r="136631" spans="10:10" x14ac:dyDescent="0.3">
      <c r="J136631"/>
    </row>
    <row r="136632" spans="10:10" x14ac:dyDescent="0.3">
      <c r="J136632"/>
    </row>
    <row r="136633" spans="10:10" x14ac:dyDescent="0.3">
      <c r="J136633"/>
    </row>
    <row r="136634" spans="10:10" x14ac:dyDescent="0.3">
      <c r="J136634"/>
    </row>
    <row r="136635" spans="10:10" x14ac:dyDescent="0.3">
      <c r="J136635"/>
    </row>
    <row r="136636" spans="10:10" x14ac:dyDescent="0.3">
      <c r="J136636"/>
    </row>
    <row r="136637" spans="10:10" x14ac:dyDescent="0.3">
      <c r="J136637"/>
    </row>
    <row r="136638" spans="10:10" x14ac:dyDescent="0.3">
      <c r="J136638"/>
    </row>
    <row r="136639" spans="10:10" x14ac:dyDescent="0.3">
      <c r="J136639"/>
    </row>
    <row r="136640" spans="10:10" x14ac:dyDescent="0.3">
      <c r="J136640"/>
    </row>
    <row r="136641" spans="10:10" x14ac:dyDescent="0.3">
      <c r="J136641"/>
    </row>
    <row r="136642" spans="10:10" x14ac:dyDescent="0.3">
      <c r="J136642"/>
    </row>
    <row r="136643" spans="10:10" x14ac:dyDescent="0.3">
      <c r="J136643"/>
    </row>
    <row r="136644" spans="10:10" x14ac:dyDescent="0.3">
      <c r="J136644"/>
    </row>
    <row r="136645" spans="10:10" x14ac:dyDescent="0.3">
      <c r="J136645"/>
    </row>
    <row r="136646" spans="10:10" x14ac:dyDescent="0.3">
      <c r="J136646"/>
    </row>
    <row r="136647" spans="10:10" x14ac:dyDescent="0.3">
      <c r="J136647"/>
    </row>
    <row r="136648" spans="10:10" x14ac:dyDescent="0.3">
      <c r="J136648"/>
    </row>
    <row r="136649" spans="10:10" x14ac:dyDescent="0.3">
      <c r="J136649"/>
    </row>
    <row r="136650" spans="10:10" x14ac:dyDescent="0.3">
      <c r="J136650"/>
    </row>
    <row r="136651" spans="10:10" x14ac:dyDescent="0.3">
      <c r="J136651"/>
    </row>
    <row r="136652" spans="10:10" x14ac:dyDescent="0.3">
      <c r="J136652"/>
    </row>
    <row r="136653" spans="10:10" x14ac:dyDescent="0.3">
      <c r="J136653"/>
    </row>
    <row r="136654" spans="10:10" x14ac:dyDescent="0.3">
      <c r="J136654"/>
    </row>
    <row r="136655" spans="10:10" x14ac:dyDescent="0.3">
      <c r="J136655"/>
    </row>
    <row r="136656" spans="10:10" x14ac:dyDescent="0.3">
      <c r="J136656"/>
    </row>
    <row r="136657" spans="10:10" x14ac:dyDescent="0.3">
      <c r="J136657"/>
    </row>
    <row r="136658" spans="10:10" x14ac:dyDescent="0.3">
      <c r="J136658"/>
    </row>
    <row r="136659" spans="10:10" x14ac:dyDescent="0.3">
      <c r="J136659"/>
    </row>
    <row r="136660" spans="10:10" x14ac:dyDescent="0.3">
      <c r="J136660"/>
    </row>
    <row r="136661" spans="10:10" x14ac:dyDescent="0.3">
      <c r="J136661"/>
    </row>
    <row r="136662" spans="10:10" x14ac:dyDescent="0.3">
      <c r="J136662"/>
    </row>
    <row r="136663" spans="10:10" x14ac:dyDescent="0.3">
      <c r="J136663"/>
    </row>
    <row r="136664" spans="10:10" x14ac:dyDescent="0.3">
      <c r="J136664"/>
    </row>
    <row r="136665" spans="10:10" x14ac:dyDescent="0.3">
      <c r="J136665"/>
    </row>
    <row r="136666" spans="10:10" x14ac:dyDescent="0.3">
      <c r="J136666"/>
    </row>
    <row r="136667" spans="10:10" x14ac:dyDescent="0.3">
      <c r="J136667"/>
    </row>
    <row r="136668" spans="10:10" x14ac:dyDescent="0.3">
      <c r="J136668"/>
    </row>
    <row r="136669" spans="10:10" x14ac:dyDescent="0.3">
      <c r="J136669"/>
    </row>
    <row r="136670" spans="10:10" x14ac:dyDescent="0.3">
      <c r="J136670"/>
    </row>
    <row r="136671" spans="10:10" x14ac:dyDescent="0.3">
      <c r="J136671"/>
    </row>
    <row r="136672" spans="10:10" x14ac:dyDescent="0.3">
      <c r="J136672"/>
    </row>
    <row r="136673" spans="10:10" x14ac:dyDescent="0.3">
      <c r="J136673"/>
    </row>
    <row r="136674" spans="10:10" x14ac:dyDescent="0.3">
      <c r="J136674"/>
    </row>
    <row r="136675" spans="10:10" x14ac:dyDescent="0.3">
      <c r="J136675"/>
    </row>
    <row r="136676" spans="10:10" x14ac:dyDescent="0.3">
      <c r="J136676"/>
    </row>
    <row r="136677" spans="10:10" x14ac:dyDescent="0.3">
      <c r="J136677"/>
    </row>
    <row r="136678" spans="10:10" x14ac:dyDescent="0.3">
      <c r="J136678"/>
    </row>
    <row r="136679" spans="10:10" x14ac:dyDescent="0.3">
      <c r="J136679"/>
    </row>
    <row r="136680" spans="10:10" x14ac:dyDescent="0.3">
      <c r="J136680"/>
    </row>
    <row r="136681" spans="10:10" x14ac:dyDescent="0.3">
      <c r="J136681"/>
    </row>
    <row r="136682" spans="10:10" x14ac:dyDescent="0.3">
      <c r="J136682"/>
    </row>
    <row r="136683" spans="10:10" x14ac:dyDescent="0.3">
      <c r="J136683"/>
    </row>
    <row r="136684" spans="10:10" x14ac:dyDescent="0.3">
      <c r="J136684"/>
    </row>
    <row r="136685" spans="10:10" x14ac:dyDescent="0.3">
      <c r="J136685"/>
    </row>
    <row r="136686" spans="10:10" x14ac:dyDescent="0.3">
      <c r="J136686"/>
    </row>
    <row r="136687" spans="10:10" x14ac:dyDescent="0.3">
      <c r="J136687"/>
    </row>
    <row r="136688" spans="10:10" x14ac:dyDescent="0.3">
      <c r="J136688"/>
    </row>
    <row r="136689" spans="10:10" x14ac:dyDescent="0.3">
      <c r="J136689"/>
    </row>
    <row r="136690" spans="10:10" x14ac:dyDescent="0.3">
      <c r="J136690"/>
    </row>
    <row r="136691" spans="10:10" x14ac:dyDescent="0.3">
      <c r="J136691"/>
    </row>
    <row r="136692" spans="10:10" x14ac:dyDescent="0.3">
      <c r="J136692"/>
    </row>
    <row r="136693" spans="10:10" x14ac:dyDescent="0.3">
      <c r="J136693"/>
    </row>
    <row r="136694" spans="10:10" x14ac:dyDescent="0.3">
      <c r="J136694"/>
    </row>
    <row r="136695" spans="10:10" x14ac:dyDescent="0.3">
      <c r="J136695"/>
    </row>
    <row r="136696" spans="10:10" x14ac:dyDescent="0.3">
      <c r="J136696"/>
    </row>
    <row r="136697" spans="10:10" x14ac:dyDescent="0.3">
      <c r="J136697"/>
    </row>
    <row r="136698" spans="10:10" x14ac:dyDescent="0.3">
      <c r="J136698"/>
    </row>
    <row r="136699" spans="10:10" x14ac:dyDescent="0.3">
      <c r="J136699"/>
    </row>
    <row r="136700" spans="10:10" x14ac:dyDescent="0.3">
      <c r="J136700"/>
    </row>
    <row r="136701" spans="10:10" x14ac:dyDescent="0.3">
      <c r="J136701"/>
    </row>
    <row r="136702" spans="10:10" x14ac:dyDescent="0.3">
      <c r="J136702"/>
    </row>
    <row r="136703" spans="10:10" x14ac:dyDescent="0.3">
      <c r="J136703"/>
    </row>
    <row r="136704" spans="10:10" x14ac:dyDescent="0.3">
      <c r="J136704"/>
    </row>
    <row r="136705" spans="10:10" x14ac:dyDescent="0.3">
      <c r="J136705"/>
    </row>
    <row r="136706" spans="10:10" x14ac:dyDescent="0.3">
      <c r="J136706"/>
    </row>
    <row r="136707" spans="10:10" x14ac:dyDescent="0.3">
      <c r="J136707"/>
    </row>
    <row r="136708" spans="10:10" x14ac:dyDescent="0.3">
      <c r="J136708"/>
    </row>
    <row r="136709" spans="10:10" x14ac:dyDescent="0.3">
      <c r="J136709"/>
    </row>
    <row r="136710" spans="10:10" x14ac:dyDescent="0.3">
      <c r="J136710"/>
    </row>
    <row r="136711" spans="10:10" x14ac:dyDescent="0.3">
      <c r="J136711"/>
    </row>
    <row r="136712" spans="10:10" x14ac:dyDescent="0.3">
      <c r="J136712"/>
    </row>
    <row r="136713" spans="10:10" x14ac:dyDescent="0.3">
      <c r="J136713"/>
    </row>
    <row r="136714" spans="10:10" x14ac:dyDescent="0.3">
      <c r="J136714"/>
    </row>
    <row r="136715" spans="10:10" x14ac:dyDescent="0.3">
      <c r="J136715"/>
    </row>
    <row r="136716" spans="10:10" x14ac:dyDescent="0.3">
      <c r="J136716"/>
    </row>
    <row r="136717" spans="10:10" x14ac:dyDescent="0.3">
      <c r="J136717"/>
    </row>
    <row r="136718" spans="10:10" x14ac:dyDescent="0.3">
      <c r="J136718"/>
    </row>
    <row r="136719" spans="10:10" x14ac:dyDescent="0.3">
      <c r="J136719"/>
    </row>
    <row r="136720" spans="10:10" x14ac:dyDescent="0.3">
      <c r="J136720"/>
    </row>
    <row r="136721" spans="10:10" x14ac:dyDescent="0.3">
      <c r="J136721"/>
    </row>
    <row r="136722" spans="10:10" x14ac:dyDescent="0.3">
      <c r="J136722"/>
    </row>
    <row r="136723" spans="10:10" x14ac:dyDescent="0.3">
      <c r="J136723"/>
    </row>
    <row r="136724" spans="10:10" x14ac:dyDescent="0.3">
      <c r="J136724"/>
    </row>
    <row r="136725" spans="10:10" x14ac:dyDescent="0.3">
      <c r="J136725"/>
    </row>
    <row r="136726" spans="10:10" x14ac:dyDescent="0.3">
      <c r="J136726"/>
    </row>
    <row r="136727" spans="10:10" x14ac:dyDescent="0.3">
      <c r="J136727"/>
    </row>
    <row r="136728" spans="10:10" x14ac:dyDescent="0.3">
      <c r="J136728"/>
    </row>
    <row r="136729" spans="10:10" x14ac:dyDescent="0.3">
      <c r="J136729"/>
    </row>
    <row r="136730" spans="10:10" x14ac:dyDescent="0.3">
      <c r="J136730"/>
    </row>
    <row r="136731" spans="10:10" x14ac:dyDescent="0.3">
      <c r="J136731"/>
    </row>
    <row r="136732" spans="10:10" x14ac:dyDescent="0.3">
      <c r="J136732"/>
    </row>
    <row r="136733" spans="10:10" x14ac:dyDescent="0.3">
      <c r="J136733"/>
    </row>
    <row r="136734" spans="10:10" x14ac:dyDescent="0.3">
      <c r="J136734"/>
    </row>
    <row r="136735" spans="10:10" x14ac:dyDescent="0.3">
      <c r="J136735"/>
    </row>
    <row r="136736" spans="10:10" x14ac:dyDescent="0.3">
      <c r="J136736"/>
    </row>
    <row r="136737" spans="10:10" x14ac:dyDescent="0.3">
      <c r="J136737"/>
    </row>
    <row r="136738" spans="10:10" x14ac:dyDescent="0.3">
      <c r="J136738"/>
    </row>
    <row r="136739" spans="10:10" x14ac:dyDescent="0.3">
      <c r="J136739"/>
    </row>
    <row r="136740" spans="10:10" x14ac:dyDescent="0.3">
      <c r="J136740"/>
    </row>
    <row r="136741" spans="10:10" x14ac:dyDescent="0.3">
      <c r="J136741"/>
    </row>
    <row r="136742" spans="10:10" x14ac:dyDescent="0.3">
      <c r="J136742"/>
    </row>
    <row r="136743" spans="10:10" x14ac:dyDescent="0.3">
      <c r="J136743"/>
    </row>
    <row r="136744" spans="10:10" x14ac:dyDescent="0.3">
      <c r="J136744"/>
    </row>
    <row r="136745" spans="10:10" x14ac:dyDescent="0.3">
      <c r="J136745"/>
    </row>
    <row r="136746" spans="10:10" x14ac:dyDescent="0.3">
      <c r="J136746"/>
    </row>
    <row r="136747" spans="10:10" x14ac:dyDescent="0.3">
      <c r="J136747"/>
    </row>
    <row r="136748" spans="10:10" x14ac:dyDescent="0.3">
      <c r="J136748"/>
    </row>
    <row r="136749" spans="10:10" x14ac:dyDescent="0.3">
      <c r="J136749"/>
    </row>
    <row r="136750" spans="10:10" x14ac:dyDescent="0.3">
      <c r="J136750"/>
    </row>
    <row r="136751" spans="10:10" x14ac:dyDescent="0.3">
      <c r="J136751"/>
    </row>
    <row r="136752" spans="10:10" x14ac:dyDescent="0.3">
      <c r="J136752"/>
    </row>
    <row r="136753" spans="10:10" x14ac:dyDescent="0.3">
      <c r="J136753"/>
    </row>
    <row r="136754" spans="10:10" x14ac:dyDescent="0.3">
      <c r="J136754"/>
    </row>
    <row r="136755" spans="10:10" x14ac:dyDescent="0.3">
      <c r="J136755"/>
    </row>
    <row r="136756" spans="10:10" x14ac:dyDescent="0.3">
      <c r="J136756"/>
    </row>
    <row r="136757" spans="10:10" x14ac:dyDescent="0.3">
      <c r="J136757"/>
    </row>
    <row r="136758" spans="10:10" x14ac:dyDescent="0.3">
      <c r="J136758"/>
    </row>
    <row r="136759" spans="10:10" x14ac:dyDescent="0.3">
      <c r="J136759"/>
    </row>
    <row r="136760" spans="10:10" x14ac:dyDescent="0.3">
      <c r="J136760"/>
    </row>
    <row r="136761" spans="10:10" x14ac:dyDescent="0.3">
      <c r="J136761"/>
    </row>
    <row r="136762" spans="10:10" x14ac:dyDescent="0.3">
      <c r="J136762"/>
    </row>
    <row r="136763" spans="10:10" x14ac:dyDescent="0.3">
      <c r="J136763"/>
    </row>
    <row r="136764" spans="10:10" x14ac:dyDescent="0.3">
      <c r="J136764"/>
    </row>
    <row r="136765" spans="10:10" x14ac:dyDescent="0.3">
      <c r="J136765"/>
    </row>
    <row r="136766" spans="10:10" x14ac:dyDescent="0.3">
      <c r="J136766"/>
    </row>
    <row r="136767" spans="10:10" x14ac:dyDescent="0.3">
      <c r="J136767"/>
    </row>
    <row r="136768" spans="10:10" x14ac:dyDescent="0.3">
      <c r="J136768"/>
    </row>
    <row r="136769" spans="10:10" x14ac:dyDescent="0.3">
      <c r="J136769"/>
    </row>
    <row r="136770" spans="10:10" x14ac:dyDescent="0.3">
      <c r="J136770"/>
    </row>
    <row r="136771" spans="10:10" x14ac:dyDescent="0.3">
      <c r="J136771"/>
    </row>
    <row r="136772" spans="10:10" x14ac:dyDescent="0.3">
      <c r="J136772"/>
    </row>
    <row r="136773" spans="10:10" x14ac:dyDescent="0.3">
      <c r="J136773"/>
    </row>
    <row r="136774" spans="10:10" x14ac:dyDescent="0.3">
      <c r="J136774"/>
    </row>
    <row r="136775" spans="10:10" x14ac:dyDescent="0.3">
      <c r="J136775"/>
    </row>
    <row r="136776" spans="10:10" x14ac:dyDescent="0.3">
      <c r="J136776"/>
    </row>
    <row r="136777" spans="10:10" x14ac:dyDescent="0.3">
      <c r="J136777"/>
    </row>
    <row r="136778" spans="10:10" x14ac:dyDescent="0.3">
      <c r="J136778"/>
    </row>
    <row r="136779" spans="10:10" x14ac:dyDescent="0.3">
      <c r="J136779"/>
    </row>
    <row r="136780" spans="10:10" x14ac:dyDescent="0.3">
      <c r="J136780"/>
    </row>
    <row r="136781" spans="10:10" x14ac:dyDescent="0.3">
      <c r="J136781"/>
    </row>
    <row r="136782" spans="10:10" x14ac:dyDescent="0.3">
      <c r="J136782"/>
    </row>
    <row r="136783" spans="10:10" x14ac:dyDescent="0.3">
      <c r="J136783"/>
    </row>
    <row r="136784" spans="10:10" x14ac:dyDescent="0.3">
      <c r="J136784"/>
    </row>
    <row r="136785" spans="10:10" x14ac:dyDescent="0.3">
      <c r="J136785"/>
    </row>
    <row r="136786" spans="10:10" x14ac:dyDescent="0.3">
      <c r="J136786"/>
    </row>
    <row r="136787" spans="10:10" x14ac:dyDescent="0.3">
      <c r="J136787"/>
    </row>
    <row r="136788" spans="10:10" x14ac:dyDescent="0.3">
      <c r="J136788"/>
    </row>
    <row r="136789" spans="10:10" x14ac:dyDescent="0.3">
      <c r="J136789"/>
    </row>
    <row r="136790" spans="10:10" x14ac:dyDescent="0.3">
      <c r="J136790"/>
    </row>
    <row r="136791" spans="10:10" x14ac:dyDescent="0.3">
      <c r="J136791"/>
    </row>
    <row r="136792" spans="10:10" x14ac:dyDescent="0.3">
      <c r="J136792"/>
    </row>
    <row r="136793" spans="10:10" x14ac:dyDescent="0.3">
      <c r="J136793"/>
    </row>
    <row r="136794" spans="10:10" x14ac:dyDescent="0.3">
      <c r="J136794"/>
    </row>
    <row r="136795" spans="10:10" x14ac:dyDescent="0.3">
      <c r="J136795"/>
    </row>
    <row r="136796" spans="10:10" x14ac:dyDescent="0.3">
      <c r="J136796"/>
    </row>
    <row r="136797" spans="10:10" x14ac:dyDescent="0.3">
      <c r="J136797"/>
    </row>
    <row r="136798" spans="10:10" x14ac:dyDescent="0.3">
      <c r="J136798"/>
    </row>
    <row r="136799" spans="10:10" x14ac:dyDescent="0.3">
      <c r="J136799"/>
    </row>
    <row r="136800" spans="10:10" x14ac:dyDescent="0.3">
      <c r="J136800"/>
    </row>
    <row r="136801" spans="10:10" x14ac:dyDescent="0.3">
      <c r="J136801"/>
    </row>
    <row r="136802" spans="10:10" x14ac:dyDescent="0.3">
      <c r="J136802"/>
    </row>
    <row r="136803" spans="10:10" x14ac:dyDescent="0.3">
      <c r="J136803"/>
    </row>
    <row r="136804" spans="10:10" x14ac:dyDescent="0.3">
      <c r="J136804"/>
    </row>
    <row r="136805" spans="10:10" x14ac:dyDescent="0.3">
      <c r="J136805"/>
    </row>
    <row r="136806" spans="10:10" x14ac:dyDescent="0.3">
      <c r="J136806"/>
    </row>
    <row r="136807" spans="10:10" x14ac:dyDescent="0.3">
      <c r="J136807"/>
    </row>
    <row r="136808" spans="10:10" x14ac:dyDescent="0.3">
      <c r="J136808"/>
    </row>
    <row r="136809" spans="10:10" x14ac:dyDescent="0.3">
      <c r="J136809"/>
    </row>
    <row r="136810" spans="10:10" x14ac:dyDescent="0.3">
      <c r="J136810"/>
    </row>
    <row r="136811" spans="10:10" x14ac:dyDescent="0.3">
      <c r="J136811"/>
    </row>
    <row r="136812" spans="10:10" x14ac:dyDescent="0.3">
      <c r="J136812"/>
    </row>
    <row r="136813" spans="10:10" x14ac:dyDescent="0.3">
      <c r="J136813"/>
    </row>
    <row r="136814" spans="10:10" x14ac:dyDescent="0.3">
      <c r="J136814"/>
    </row>
    <row r="136815" spans="10:10" x14ac:dyDescent="0.3">
      <c r="J136815"/>
    </row>
    <row r="136816" spans="10:10" x14ac:dyDescent="0.3">
      <c r="J136816"/>
    </row>
    <row r="136817" spans="10:10" x14ac:dyDescent="0.3">
      <c r="J136817"/>
    </row>
    <row r="136818" spans="10:10" x14ac:dyDescent="0.3">
      <c r="J136818"/>
    </row>
    <row r="136819" spans="10:10" x14ac:dyDescent="0.3">
      <c r="J136819"/>
    </row>
    <row r="136820" spans="10:10" x14ac:dyDescent="0.3">
      <c r="J136820"/>
    </row>
    <row r="136821" spans="10:10" x14ac:dyDescent="0.3">
      <c r="J136821"/>
    </row>
    <row r="136822" spans="10:10" x14ac:dyDescent="0.3">
      <c r="J136822"/>
    </row>
    <row r="136823" spans="10:10" x14ac:dyDescent="0.3">
      <c r="J136823"/>
    </row>
    <row r="136824" spans="10:10" x14ac:dyDescent="0.3">
      <c r="J136824"/>
    </row>
    <row r="136825" spans="10:10" x14ac:dyDescent="0.3">
      <c r="J136825"/>
    </row>
    <row r="136826" spans="10:10" x14ac:dyDescent="0.3">
      <c r="J136826"/>
    </row>
    <row r="136827" spans="10:10" x14ac:dyDescent="0.3">
      <c r="J136827"/>
    </row>
    <row r="136828" spans="10:10" x14ac:dyDescent="0.3">
      <c r="J136828"/>
    </row>
    <row r="136829" spans="10:10" x14ac:dyDescent="0.3">
      <c r="J136829"/>
    </row>
    <row r="136830" spans="10:10" x14ac:dyDescent="0.3">
      <c r="J136830"/>
    </row>
    <row r="136831" spans="10:10" x14ac:dyDescent="0.3">
      <c r="J136831"/>
    </row>
    <row r="136832" spans="10:10" x14ac:dyDescent="0.3">
      <c r="J136832"/>
    </row>
    <row r="136833" spans="10:10" x14ac:dyDescent="0.3">
      <c r="J136833"/>
    </row>
    <row r="136834" spans="10:10" x14ac:dyDescent="0.3">
      <c r="J136834"/>
    </row>
    <row r="136835" spans="10:10" x14ac:dyDescent="0.3">
      <c r="J136835"/>
    </row>
    <row r="136836" spans="10:10" x14ac:dyDescent="0.3">
      <c r="J136836"/>
    </row>
    <row r="136837" spans="10:10" x14ac:dyDescent="0.3">
      <c r="J136837"/>
    </row>
    <row r="136838" spans="10:10" x14ac:dyDescent="0.3">
      <c r="J136838"/>
    </row>
    <row r="136839" spans="10:10" x14ac:dyDescent="0.3">
      <c r="J136839"/>
    </row>
    <row r="136840" spans="10:10" x14ac:dyDescent="0.3">
      <c r="J136840"/>
    </row>
    <row r="136841" spans="10:10" x14ac:dyDescent="0.3">
      <c r="J136841"/>
    </row>
    <row r="136842" spans="10:10" x14ac:dyDescent="0.3">
      <c r="J136842"/>
    </row>
    <row r="136843" spans="10:10" x14ac:dyDescent="0.3">
      <c r="J136843"/>
    </row>
    <row r="136844" spans="10:10" x14ac:dyDescent="0.3">
      <c r="J136844"/>
    </row>
    <row r="136845" spans="10:10" x14ac:dyDescent="0.3">
      <c r="J136845"/>
    </row>
    <row r="136846" spans="10:10" x14ac:dyDescent="0.3">
      <c r="J136846"/>
    </row>
    <row r="136847" spans="10:10" x14ac:dyDescent="0.3">
      <c r="J136847"/>
    </row>
    <row r="136848" spans="10:10" x14ac:dyDescent="0.3">
      <c r="J136848"/>
    </row>
    <row r="136849" spans="10:10" x14ac:dyDescent="0.3">
      <c r="J136849"/>
    </row>
    <row r="136850" spans="10:10" x14ac:dyDescent="0.3">
      <c r="J136850"/>
    </row>
    <row r="136851" spans="10:10" x14ac:dyDescent="0.3">
      <c r="J136851"/>
    </row>
    <row r="136852" spans="10:10" x14ac:dyDescent="0.3">
      <c r="J136852"/>
    </row>
    <row r="136853" spans="10:10" x14ac:dyDescent="0.3">
      <c r="J136853"/>
    </row>
    <row r="136854" spans="10:10" x14ac:dyDescent="0.3">
      <c r="J136854"/>
    </row>
    <row r="136855" spans="10:10" x14ac:dyDescent="0.3">
      <c r="J136855"/>
    </row>
    <row r="136856" spans="10:10" x14ac:dyDescent="0.3">
      <c r="J136856"/>
    </row>
    <row r="136857" spans="10:10" x14ac:dyDescent="0.3">
      <c r="J136857"/>
    </row>
    <row r="136858" spans="10:10" x14ac:dyDescent="0.3">
      <c r="J136858"/>
    </row>
    <row r="136859" spans="10:10" x14ac:dyDescent="0.3">
      <c r="J136859"/>
    </row>
    <row r="136860" spans="10:10" x14ac:dyDescent="0.3">
      <c r="J136860"/>
    </row>
    <row r="136861" spans="10:10" x14ac:dyDescent="0.3">
      <c r="J136861"/>
    </row>
    <row r="136862" spans="10:10" x14ac:dyDescent="0.3">
      <c r="J136862"/>
    </row>
    <row r="136863" spans="10:10" x14ac:dyDescent="0.3">
      <c r="J136863"/>
    </row>
    <row r="136864" spans="10:10" x14ac:dyDescent="0.3">
      <c r="J136864"/>
    </row>
    <row r="136865" spans="10:10" x14ac:dyDescent="0.3">
      <c r="J136865"/>
    </row>
    <row r="136866" spans="10:10" x14ac:dyDescent="0.3">
      <c r="J136866"/>
    </row>
    <row r="136867" spans="10:10" x14ac:dyDescent="0.3">
      <c r="J136867"/>
    </row>
    <row r="136868" spans="10:10" x14ac:dyDescent="0.3">
      <c r="J136868"/>
    </row>
    <row r="136869" spans="10:10" x14ac:dyDescent="0.3">
      <c r="J136869"/>
    </row>
    <row r="136870" spans="10:10" x14ac:dyDescent="0.3">
      <c r="J136870"/>
    </row>
    <row r="136871" spans="10:10" x14ac:dyDescent="0.3">
      <c r="J136871"/>
    </row>
    <row r="136872" spans="10:10" x14ac:dyDescent="0.3">
      <c r="J136872"/>
    </row>
    <row r="136873" spans="10:10" x14ac:dyDescent="0.3">
      <c r="J136873"/>
    </row>
    <row r="136874" spans="10:10" x14ac:dyDescent="0.3">
      <c r="J136874"/>
    </row>
    <row r="136875" spans="10:10" x14ac:dyDescent="0.3">
      <c r="J136875"/>
    </row>
    <row r="136876" spans="10:10" x14ac:dyDescent="0.3">
      <c r="J136876"/>
    </row>
    <row r="136877" spans="10:10" x14ac:dyDescent="0.3">
      <c r="J136877"/>
    </row>
    <row r="136878" spans="10:10" x14ac:dyDescent="0.3">
      <c r="J136878"/>
    </row>
    <row r="136879" spans="10:10" x14ac:dyDescent="0.3">
      <c r="J136879"/>
    </row>
    <row r="136880" spans="10:10" x14ac:dyDescent="0.3">
      <c r="J136880"/>
    </row>
    <row r="136881" spans="10:10" x14ac:dyDescent="0.3">
      <c r="J136881"/>
    </row>
    <row r="136882" spans="10:10" x14ac:dyDescent="0.3">
      <c r="J136882"/>
    </row>
    <row r="136883" spans="10:10" x14ac:dyDescent="0.3">
      <c r="J136883"/>
    </row>
    <row r="136884" spans="10:10" x14ac:dyDescent="0.3">
      <c r="J136884"/>
    </row>
    <row r="136885" spans="10:10" x14ac:dyDescent="0.3">
      <c r="J136885"/>
    </row>
    <row r="136886" spans="10:10" x14ac:dyDescent="0.3">
      <c r="J136886"/>
    </row>
    <row r="136887" spans="10:10" x14ac:dyDescent="0.3">
      <c r="J136887"/>
    </row>
    <row r="136888" spans="10:10" x14ac:dyDescent="0.3">
      <c r="J136888"/>
    </row>
    <row r="136889" spans="10:10" x14ac:dyDescent="0.3">
      <c r="J136889"/>
    </row>
    <row r="136890" spans="10:10" x14ac:dyDescent="0.3">
      <c r="J136890"/>
    </row>
    <row r="136891" spans="10:10" x14ac:dyDescent="0.3">
      <c r="J136891"/>
    </row>
    <row r="136892" spans="10:10" x14ac:dyDescent="0.3">
      <c r="J136892"/>
    </row>
    <row r="136893" spans="10:10" x14ac:dyDescent="0.3">
      <c r="J136893"/>
    </row>
    <row r="136894" spans="10:10" x14ac:dyDescent="0.3">
      <c r="J136894"/>
    </row>
    <row r="136895" spans="10:10" x14ac:dyDescent="0.3">
      <c r="J136895"/>
    </row>
    <row r="136896" spans="10:10" x14ac:dyDescent="0.3">
      <c r="J136896"/>
    </row>
    <row r="136897" spans="10:10" x14ac:dyDescent="0.3">
      <c r="J136897"/>
    </row>
    <row r="136898" spans="10:10" x14ac:dyDescent="0.3">
      <c r="J136898"/>
    </row>
    <row r="136899" spans="10:10" x14ac:dyDescent="0.3">
      <c r="J136899"/>
    </row>
    <row r="136900" spans="10:10" x14ac:dyDescent="0.3">
      <c r="J136900"/>
    </row>
    <row r="136901" spans="10:10" x14ac:dyDescent="0.3">
      <c r="J136901"/>
    </row>
    <row r="136902" spans="10:10" x14ac:dyDescent="0.3">
      <c r="J136902"/>
    </row>
    <row r="136903" spans="10:10" x14ac:dyDescent="0.3">
      <c r="J136903"/>
    </row>
    <row r="136904" spans="10:10" x14ac:dyDescent="0.3">
      <c r="J136904"/>
    </row>
    <row r="136905" spans="10:10" x14ac:dyDescent="0.3">
      <c r="J136905"/>
    </row>
    <row r="136906" spans="10:10" x14ac:dyDescent="0.3">
      <c r="J136906"/>
    </row>
    <row r="136907" spans="10:10" x14ac:dyDescent="0.3">
      <c r="J136907"/>
    </row>
    <row r="136908" spans="10:10" x14ac:dyDescent="0.3">
      <c r="J136908"/>
    </row>
    <row r="136909" spans="10:10" x14ac:dyDescent="0.3">
      <c r="J136909"/>
    </row>
    <row r="136910" spans="10:10" x14ac:dyDescent="0.3">
      <c r="J136910"/>
    </row>
    <row r="136911" spans="10:10" x14ac:dyDescent="0.3">
      <c r="J136911"/>
    </row>
    <row r="136912" spans="10:10" x14ac:dyDescent="0.3">
      <c r="J136912"/>
    </row>
    <row r="136913" spans="10:10" x14ac:dyDescent="0.3">
      <c r="J136913"/>
    </row>
    <row r="136914" spans="10:10" x14ac:dyDescent="0.3">
      <c r="J136914"/>
    </row>
    <row r="136915" spans="10:10" x14ac:dyDescent="0.3">
      <c r="J136915"/>
    </row>
    <row r="136916" spans="10:10" x14ac:dyDescent="0.3">
      <c r="J136916"/>
    </row>
    <row r="136917" spans="10:10" x14ac:dyDescent="0.3">
      <c r="J136917"/>
    </row>
    <row r="136918" spans="10:10" x14ac:dyDescent="0.3">
      <c r="J136918"/>
    </row>
    <row r="136919" spans="10:10" x14ac:dyDescent="0.3">
      <c r="J136919"/>
    </row>
    <row r="136920" spans="10:10" x14ac:dyDescent="0.3">
      <c r="J136920"/>
    </row>
    <row r="136921" spans="10:10" x14ac:dyDescent="0.3">
      <c r="J136921"/>
    </row>
    <row r="136922" spans="10:10" x14ac:dyDescent="0.3">
      <c r="J136922"/>
    </row>
    <row r="136923" spans="10:10" x14ac:dyDescent="0.3">
      <c r="J136923"/>
    </row>
    <row r="136924" spans="10:10" x14ac:dyDescent="0.3">
      <c r="J136924"/>
    </row>
    <row r="136925" spans="10:10" x14ac:dyDescent="0.3">
      <c r="J136925"/>
    </row>
    <row r="136926" spans="10:10" x14ac:dyDescent="0.3">
      <c r="J136926"/>
    </row>
    <row r="136927" spans="10:10" x14ac:dyDescent="0.3">
      <c r="J136927"/>
    </row>
    <row r="136928" spans="10:10" x14ac:dyDescent="0.3">
      <c r="J136928"/>
    </row>
    <row r="136929" spans="10:10" x14ac:dyDescent="0.3">
      <c r="J136929"/>
    </row>
    <row r="136930" spans="10:10" x14ac:dyDescent="0.3">
      <c r="J136930"/>
    </row>
    <row r="136931" spans="10:10" x14ac:dyDescent="0.3">
      <c r="J136931"/>
    </row>
    <row r="136932" spans="10:10" x14ac:dyDescent="0.3">
      <c r="J136932"/>
    </row>
    <row r="136933" spans="10:10" x14ac:dyDescent="0.3">
      <c r="J136933"/>
    </row>
    <row r="136934" spans="10:10" x14ac:dyDescent="0.3">
      <c r="J136934"/>
    </row>
    <row r="136935" spans="10:10" x14ac:dyDescent="0.3">
      <c r="J136935"/>
    </row>
    <row r="136936" spans="10:10" x14ac:dyDescent="0.3">
      <c r="J136936"/>
    </row>
    <row r="136937" spans="10:10" x14ac:dyDescent="0.3">
      <c r="J136937"/>
    </row>
    <row r="136938" spans="10:10" x14ac:dyDescent="0.3">
      <c r="J136938"/>
    </row>
    <row r="136939" spans="10:10" x14ac:dyDescent="0.3">
      <c r="J136939"/>
    </row>
    <row r="136940" spans="10:10" x14ac:dyDescent="0.3">
      <c r="J136940"/>
    </row>
    <row r="136941" spans="10:10" x14ac:dyDescent="0.3">
      <c r="J136941"/>
    </row>
    <row r="136942" spans="10:10" x14ac:dyDescent="0.3">
      <c r="J136942"/>
    </row>
    <row r="136943" spans="10:10" x14ac:dyDescent="0.3">
      <c r="J136943"/>
    </row>
    <row r="136944" spans="10:10" x14ac:dyDescent="0.3">
      <c r="J136944"/>
    </row>
    <row r="136945" spans="10:10" x14ac:dyDescent="0.3">
      <c r="J136945"/>
    </row>
    <row r="136946" spans="10:10" x14ac:dyDescent="0.3">
      <c r="J136946"/>
    </row>
    <row r="136947" spans="10:10" x14ac:dyDescent="0.3">
      <c r="J136947"/>
    </row>
    <row r="136948" spans="10:10" x14ac:dyDescent="0.3">
      <c r="J136948"/>
    </row>
    <row r="136949" spans="10:10" x14ac:dyDescent="0.3">
      <c r="J136949"/>
    </row>
    <row r="136950" spans="10:10" x14ac:dyDescent="0.3">
      <c r="J136950"/>
    </row>
    <row r="136951" spans="10:10" x14ac:dyDescent="0.3">
      <c r="J136951"/>
    </row>
    <row r="136952" spans="10:10" x14ac:dyDescent="0.3">
      <c r="J136952"/>
    </row>
    <row r="136953" spans="10:10" x14ac:dyDescent="0.3">
      <c r="J136953"/>
    </row>
    <row r="136954" spans="10:10" x14ac:dyDescent="0.3">
      <c r="J136954"/>
    </row>
    <row r="136955" spans="10:10" x14ac:dyDescent="0.3">
      <c r="J136955"/>
    </row>
    <row r="136956" spans="10:10" x14ac:dyDescent="0.3">
      <c r="J136956"/>
    </row>
    <row r="136957" spans="10:10" x14ac:dyDescent="0.3">
      <c r="J136957"/>
    </row>
    <row r="136958" spans="10:10" x14ac:dyDescent="0.3">
      <c r="J136958"/>
    </row>
    <row r="136959" spans="10:10" x14ac:dyDescent="0.3">
      <c r="J136959"/>
    </row>
    <row r="136960" spans="10:10" x14ac:dyDescent="0.3">
      <c r="J136960"/>
    </row>
    <row r="136961" spans="10:10" x14ac:dyDescent="0.3">
      <c r="J136961"/>
    </row>
    <row r="136962" spans="10:10" x14ac:dyDescent="0.3">
      <c r="J136962"/>
    </row>
    <row r="136963" spans="10:10" x14ac:dyDescent="0.3">
      <c r="J136963"/>
    </row>
    <row r="136964" spans="10:10" x14ac:dyDescent="0.3">
      <c r="J136964"/>
    </row>
    <row r="136965" spans="10:10" x14ac:dyDescent="0.3">
      <c r="J136965"/>
    </row>
    <row r="136966" spans="10:10" x14ac:dyDescent="0.3">
      <c r="J136966"/>
    </row>
    <row r="136967" spans="10:10" x14ac:dyDescent="0.3">
      <c r="J136967"/>
    </row>
    <row r="136968" spans="10:10" x14ac:dyDescent="0.3">
      <c r="J136968"/>
    </row>
    <row r="136969" spans="10:10" x14ac:dyDescent="0.3">
      <c r="J136969"/>
    </row>
    <row r="136970" spans="10:10" x14ac:dyDescent="0.3">
      <c r="J136970"/>
    </row>
    <row r="136971" spans="10:10" x14ac:dyDescent="0.3">
      <c r="J136971"/>
    </row>
    <row r="136972" spans="10:10" x14ac:dyDescent="0.3">
      <c r="J136972"/>
    </row>
    <row r="136973" spans="10:10" x14ac:dyDescent="0.3">
      <c r="J136973"/>
    </row>
    <row r="136974" spans="10:10" x14ac:dyDescent="0.3">
      <c r="J136974"/>
    </row>
    <row r="136975" spans="10:10" x14ac:dyDescent="0.3">
      <c r="J136975"/>
    </row>
    <row r="136976" spans="10:10" x14ac:dyDescent="0.3">
      <c r="J136976"/>
    </row>
    <row r="136977" spans="10:10" x14ac:dyDescent="0.3">
      <c r="J136977"/>
    </row>
    <row r="136978" spans="10:10" x14ac:dyDescent="0.3">
      <c r="J136978"/>
    </row>
    <row r="136979" spans="10:10" x14ac:dyDescent="0.3">
      <c r="J136979"/>
    </row>
    <row r="136980" spans="10:10" x14ac:dyDescent="0.3">
      <c r="J136980"/>
    </row>
    <row r="136981" spans="10:10" x14ac:dyDescent="0.3">
      <c r="J136981"/>
    </row>
    <row r="136982" spans="10:10" x14ac:dyDescent="0.3">
      <c r="J136982"/>
    </row>
    <row r="136983" spans="10:10" x14ac:dyDescent="0.3">
      <c r="J136983"/>
    </row>
    <row r="136984" spans="10:10" x14ac:dyDescent="0.3">
      <c r="J136984"/>
    </row>
    <row r="136985" spans="10:10" x14ac:dyDescent="0.3">
      <c r="J136985"/>
    </row>
    <row r="136986" spans="10:10" x14ac:dyDescent="0.3">
      <c r="J136986"/>
    </row>
    <row r="136987" spans="10:10" x14ac:dyDescent="0.3">
      <c r="J136987"/>
    </row>
    <row r="136988" spans="10:10" x14ac:dyDescent="0.3">
      <c r="J136988"/>
    </row>
    <row r="136989" spans="10:10" x14ac:dyDescent="0.3">
      <c r="J136989"/>
    </row>
    <row r="136990" spans="10:10" x14ac:dyDescent="0.3">
      <c r="J136990"/>
    </row>
    <row r="136991" spans="10:10" x14ac:dyDescent="0.3">
      <c r="J136991"/>
    </row>
    <row r="136992" spans="10:10" x14ac:dyDescent="0.3">
      <c r="J136992"/>
    </row>
    <row r="136993" spans="10:10" x14ac:dyDescent="0.3">
      <c r="J136993"/>
    </row>
    <row r="136994" spans="10:10" x14ac:dyDescent="0.3">
      <c r="J136994"/>
    </row>
    <row r="136995" spans="10:10" x14ac:dyDescent="0.3">
      <c r="J136995"/>
    </row>
    <row r="136996" spans="10:10" x14ac:dyDescent="0.3">
      <c r="J136996"/>
    </row>
    <row r="136997" spans="10:10" x14ac:dyDescent="0.3">
      <c r="J136997"/>
    </row>
    <row r="136998" spans="10:10" x14ac:dyDescent="0.3">
      <c r="J136998"/>
    </row>
    <row r="136999" spans="10:10" x14ac:dyDescent="0.3">
      <c r="J136999"/>
    </row>
    <row r="137000" spans="10:10" x14ac:dyDescent="0.3">
      <c r="J137000"/>
    </row>
    <row r="137001" spans="10:10" x14ac:dyDescent="0.3">
      <c r="J137001"/>
    </row>
    <row r="137002" spans="10:10" x14ac:dyDescent="0.3">
      <c r="J137002"/>
    </row>
    <row r="137003" spans="10:10" x14ac:dyDescent="0.3">
      <c r="J137003"/>
    </row>
    <row r="137004" spans="10:10" x14ac:dyDescent="0.3">
      <c r="J137004"/>
    </row>
    <row r="137005" spans="10:10" x14ac:dyDescent="0.3">
      <c r="J137005"/>
    </row>
    <row r="137006" spans="10:10" x14ac:dyDescent="0.3">
      <c r="J137006"/>
    </row>
    <row r="137007" spans="10:10" x14ac:dyDescent="0.3">
      <c r="J137007"/>
    </row>
    <row r="137008" spans="10:10" x14ac:dyDescent="0.3">
      <c r="J137008"/>
    </row>
    <row r="137009" spans="10:10" x14ac:dyDescent="0.3">
      <c r="J137009"/>
    </row>
    <row r="137010" spans="10:10" x14ac:dyDescent="0.3">
      <c r="J137010"/>
    </row>
    <row r="137011" spans="10:10" x14ac:dyDescent="0.3">
      <c r="J137011"/>
    </row>
    <row r="137012" spans="10:10" x14ac:dyDescent="0.3">
      <c r="J137012"/>
    </row>
    <row r="137013" spans="10:10" x14ac:dyDescent="0.3">
      <c r="J137013"/>
    </row>
    <row r="137014" spans="10:10" x14ac:dyDescent="0.3">
      <c r="J137014"/>
    </row>
    <row r="137015" spans="10:10" x14ac:dyDescent="0.3">
      <c r="J137015"/>
    </row>
    <row r="137016" spans="10:10" x14ac:dyDescent="0.3">
      <c r="J137016"/>
    </row>
    <row r="137017" spans="10:10" x14ac:dyDescent="0.3">
      <c r="J137017"/>
    </row>
    <row r="137018" spans="10:10" x14ac:dyDescent="0.3">
      <c r="J137018"/>
    </row>
    <row r="137019" spans="10:10" x14ac:dyDescent="0.3">
      <c r="J137019"/>
    </row>
    <row r="137020" spans="10:10" x14ac:dyDescent="0.3">
      <c r="J137020"/>
    </row>
    <row r="137021" spans="10:10" x14ac:dyDescent="0.3">
      <c r="J137021"/>
    </row>
    <row r="137022" spans="10:10" x14ac:dyDescent="0.3">
      <c r="J137022"/>
    </row>
    <row r="137023" spans="10:10" x14ac:dyDescent="0.3">
      <c r="J137023"/>
    </row>
    <row r="137024" spans="10:10" x14ac:dyDescent="0.3">
      <c r="J137024"/>
    </row>
    <row r="137025" spans="10:10" x14ac:dyDescent="0.3">
      <c r="J137025"/>
    </row>
    <row r="137026" spans="10:10" x14ac:dyDescent="0.3">
      <c r="J137026"/>
    </row>
    <row r="137027" spans="10:10" x14ac:dyDescent="0.3">
      <c r="J137027"/>
    </row>
    <row r="137028" spans="10:10" x14ac:dyDescent="0.3">
      <c r="J137028"/>
    </row>
    <row r="137029" spans="10:10" x14ac:dyDescent="0.3">
      <c r="J137029"/>
    </row>
    <row r="137030" spans="10:10" x14ac:dyDescent="0.3">
      <c r="J137030"/>
    </row>
    <row r="137031" spans="10:10" x14ac:dyDescent="0.3">
      <c r="J137031"/>
    </row>
    <row r="137032" spans="10:10" x14ac:dyDescent="0.3">
      <c r="J137032"/>
    </row>
    <row r="137033" spans="10:10" x14ac:dyDescent="0.3">
      <c r="J137033"/>
    </row>
    <row r="137034" spans="10:10" x14ac:dyDescent="0.3">
      <c r="J137034"/>
    </row>
    <row r="137035" spans="10:10" x14ac:dyDescent="0.3">
      <c r="J137035"/>
    </row>
    <row r="137036" spans="10:10" x14ac:dyDescent="0.3">
      <c r="J137036"/>
    </row>
    <row r="137037" spans="10:10" x14ac:dyDescent="0.3">
      <c r="J137037"/>
    </row>
    <row r="137038" spans="10:10" x14ac:dyDescent="0.3">
      <c r="J137038"/>
    </row>
    <row r="137039" spans="10:10" x14ac:dyDescent="0.3">
      <c r="J137039"/>
    </row>
    <row r="137040" spans="10:10" x14ac:dyDescent="0.3">
      <c r="J137040"/>
    </row>
    <row r="137041" spans="10:10" x14ac:dyDescent="0.3">
      <c r="J137041"/>
    </row>
    <row r="137042" spans="10:10" x14ac:dyDescent="0.3">
      <c r="J137042"/>
    </row>
    <row r="137043" spans="10:10" x14ac:dyDescent="0.3">
      <c r="J137043"/>
    </row>
    <row r="137044" spans="10:10" x14ac:dyDescent="0.3">
      <c r="J137044"/>
    </row>
    <row r="137045" spans="10:10" x14ac:dyDescent="0.3">
      <c r="J137045"/>
    </row>
    <row r="137046" spans="10:10" x14ac:dyDescent="0.3">
      <c r="J137046"/>
    </row>
    <row r="137047" spans="10:10" x14ac:dyDescent="0.3">
      <c r="J137047"/>
    </row>
    <row r="137048" spans="10:10" x14ac:dyDescent="0.3">
      <c r="J137048"/>
    </row>
    <row r="137049" spans="10:10" x14ac:dyDescent="0.3">
      <c r="J137049"/>
    </row>
    <row r="137050" spans="10:10" x14ac:dyDescent="0.3">
      <c r="J137050"/>
    </row>
    <row r="137051" spans="10:10" x14ac:dyDescent="0.3">
      <c r="J137051"/>
    </row>
    <row r="137052" spans="10:10" x14ac:dyDescent="0.3">
      <c r="J137052"/>
    </row>
    <row r="137053" spans="10:10" x14ac:dyDescent="0.3">
      <c r="J137053"/>
    </row>
    <row r="137054" spans="10:10" x14ac:dyDescent="0.3">
      <c r="J137054"/>
    </row>
    <row r="137055" spans="10:10" x14ac:dyDescent="0.3">
      <c r="J137055"/>
    </row>
    <row r="137056" spans="10:10" x14ac:dyDescent="0.3">
      <c r="J137056"/>
    </row>
    <row r="137057" spans="10:10" x14ac:dyDescent="0.3">
      <c r="J137057"/>
    </row>
    <row r="137058" spans="10:10" x14ac:dyDescent="0.3">
      <c r="J137058"/>
    </row>
    <row r="137059" spans="10:10" x14ac:dyDescent="0.3">
      <c r="J137059"/>
    </row>
    <row r="137060" spans="10:10" x14ac:dyDescent="0.3">
      <c r="J137060"/>
    </row>
    <row r="137061" spans="10:10" x14ac:dyDescent="0.3">
      <c r="J137061"/>
    </row>
    <row r="137062" spans="10:10" x14ac:dyDescent="0.3">
      <c r="J137062"/>
    </row>
    <row r="137063" spans="10:10" x14ac:dyDescent="0.3">
      <c r="J137063"/>
    </row>
    <row r="137064" spans="10:10" x14ac:dyDescent="0.3">
      <c r="J137064"/>
    </row>
    <row r="137065" spans="10:10" x14ac:dyDescent="0.3">
      <c r="J137065"/>
    </row>
    <row r="137066" spans="10:10" x14ac:dyDescent="0.3">
      <c r="J137066"/>
    </row>
    <row r="137067" spans="10:10" x14ac:dyDescent="0.3">
      <c r="J137067"/>
    </row>
    <row r="137068" spans="10:10" x14ac:dyDescent="0.3">
      <c r="J137068"/>
    </row>
    <row r="137069" spans="10:10" x14ac:dyDescent="0.3">
      <c r="J137069"/>
    </row>
    <row r="137070" spans="10:10" x14ac:dyDescent="0.3">
      <c r="J137070"/>
    </row>
    <row r="137071" spans="10:10" x14ac:dyDescent="0.3">
      <c r="J137071"/>
    </row>
    <row r="137072" spans="10:10" x14ac:dyDescent="0.3">
      <c r="J137072"/>
    </row>
    <row r="137073" spans="10:10" x14ac:dyDescent="0.3">
      <c r="J137073"/>
    </row>
    <row r="137074" spans="10:10" x14ac:dyDescent="0.3">
      <c r="J137074"/>
    </row>
    <row r="137075" spans="10:10" x14ac:dyDescent="0.3">
      <c r="J137075"/>
    </row>
    <row r="137076" spans="10:10" x14ac:dyDescent="0.3">
      <c r="J137076"/>
    </row>
    <row r="137077" spans="10:10" x14ac:dyDescent="0.3">
      <c r="J137077"/>
    </row>
    <row r="137078" spans="10:10" x14ac:dyDescent="0.3">
      <c r="J137078"/>
    </row>
    <row r="137079" spans="10:10" x14ac:dyDescent="0.3">
      <c r="J137079"/>
    </row>
    <row r="137080" spans="10:10" x14ac:dyDescent="0.3">
      <c r="J137080"/>
    </row>
    <row r="137081" spans="10:10" x14ac:dyDescent="0.3">
      <c r="J137081"/>
    </row>
    <row r="137082" spans="10:10" x14ac:dyDescent="0.3">
      <c r="J137082"/>
    </row>
    <row r="137083" spans="10:10" x14ac:dyDescent="0.3">
      <c r="J137083"/>
    </row>
    <row r="137084" spans="10:10" x14ac:dyDescent="0.3">
      <c r="J137084"/>
    </row>
    <row r="137085" spans="10:10" x14ac:dyDescent="0.3">
      <c r="J137085"/>
    </row>
    <row r="137086" spans="10:10" x14ac:dyDescent="0.3">
      <c r="J137086"/>
    </row>
    <row r="137087" spans="10:10" x14ac:dyDescent="0.3">
      <c r="J137087"/>
    </row>
    <row r="137088" spans="10:10" x14ac:dyDescent="0.3">
      <c r="J137088"/>
    </row>
    <row r="137089" spans="10:10" x14ac:dyDescent="0.3">
      <c r="J137089"/>
    </row>
    <row r="137090" spans="10:10" x14ac:dyDescent="0.3">
      <c r="J137090"/>
    </row>
    <row r="137091" spans="10:10" x14ac:dyDescent="0.3">
      <c r="J137091"/>
    </row>
    <row r="137092" spans="10:10" x14ac:dyDescent="0.3">
      <c r="J137092"/>
    </row>
    <row r="137093" spans="10:10" x14ac:dyDescent="0.3">
      <c r="J137093"/>
    </row>
    <row r="137094" spans="10:10" x14ac:dyDescent="0.3">
      <c r="J137094"/>
    </row>
    <row r="137095" spans="10:10" x14ac:dyDescent="0.3">
      <c r="J137095"/>
    </row>
    <row r="137096" spans="10:10" x14ac:dyDescent="0.3">
      <c r="J137096"/>
    </row>
    <row r="137097" spans="10:10" x14ac:dyDescent="0.3">
      <c r="J137097"/>
    </row>
    <row r="137098" spans="10:10" x14ac:dyDescent="0.3">
      <c r="J137098"/>
    </row>
    <row r="137099" spans="10:10" x14ac:dyDescent="0.3">
      <c r="J137099"/>
    </row>
    <row r="137100" spans="10:10" x14ac:dyDescent="0.3">
      <c r="J137100"/>
    </row>
    <row r="137101" spans="10:10" x14ac:dyDescent="0.3">
      <c r="J137101"/>
    </row>
    <row r="137102" spans="10:10" x14ac:dyDescent="0.3">
      <c r="J137102"/>
    </row>
    <row r="137103" spans="10:10" x14ac:dyDescent="0.3">
      <c r="J137103"/>
    </row>
    <row r="137104" spans="10:10" x14ac:dyDescent="0.3">
      <c r="J137104"/>
    </row>
    <row r="137105" spans="10:10" x14ac:dyDescent="0.3">
      <c r="J137105"/>
    </row>
    <row r="137106" spans="10:10" x14ac:dyDescent="0.3">
      <c r="J137106"/>
    </row>
    <row r="137107" spans="10:10" x14ac:dyDescent="0.3">
      <c r="J137107"/>
    </row>
    <row r="137108" spans="10:10" x14ac:dyDescent="0.3">
      <c r="J137108"/>
    </row>
    <row r="137109" spans="10:10" x14ac:dyDescent="0.3">
      <c r="J137109"/>
    </row>
    <row r="137110" spans="10:10" x14ac:dyDescent="0.3">
      <c r="J137110"/>
    </row>
    <row r="137111" spans="10:10" x14ac:dyDescent="0.3">
      <c r="J137111"/>
    </row>
    <row r="137112" spans="10:10" x14ac:dyDescent="0.3">
      <c r="J137112"/>
    </row>
    <row r="137113" spans="10:10" x14ac:dyDescent="0.3">
      <c r="J137113"/>
    </row>
    <row r="137114" spans="10:10" x14ac:dyDescent="0.3">
      <c r="J137114"/>
    </row>
    <row r="137115" spans="10:10" x14ac:dyDescent="0.3">
      <c r="J137115"/>
    </row>
    <row r="137116" spans="10:10" x14ac:dyDescent="0.3">
      <c r="J137116"/>
    </row>
    <row r="137117" spans="10:10" x14ac:dyDescent="0.3">
      <c r="J137117"/>
    </row>
    <row r="137118" spans="10:10" x14ac:dyDescent="0.3">
      <c r="J137118"/>
    </row>
    <row r="137119" spans="10:10" x14ac:dyDescent="0.3">
      <c r="J137119"/>
    </row>
    <row r="137120" spans="10:10" x14ac:dyDescent="0.3">
      <c r="J137120"/>
    </row>
    <row r="137121" spans="10:10" x14ac:dyDescent="0.3">
      <c r="J137121"/>
    </row>
    <row r="137122" spans="10:10" x14ac:dyDescent="0.3">
      <c r="J137122"/>
    </row>
    <row r="137123" spans="10:10" x14ac:dyDescent="0.3">
      <c r="J137123"/>
    </row>
    <row r="137124" spans="10:10" x14ac:dyDescent="0.3">
      <c r="J137124"/>
    </row>
    <row r="137125" spans="10:10" x14ac:dyDescent="0.3">
      <c r="J137125"/>
    </row>
    <row r="137126" spans="10:10" x14ac:dyDescent="0.3">
      <c r="J137126"/>
    </row>
    <row r="137127" spans="10:10" x14ac:dyDescent="0.3">
      <c r="J137127"/>
    </row>
    <row r="137128" spans="10:10" x14ac:dyDescent="0.3">
      <c r="J137128"/>
    </row>
    <row r="137129" spans="10:10" x14ac:dyDescent="0.3">
      <c r="J137129"/>
    </row>
    <row r="137130" spans="10:10" x14ac:dyDescent="0.3">
      <c r="J137130"/>
    </row>
    <row r="137131" spans="10:10" x14ac:dyDescent="0.3">
      <c r="J137131"/>
    </row>
    <row r="137132" spans="10:10" x14ac:dyDescent="0.3">
      <c r="J137132"/>
    </row>
    <row r="137133" spans="10:10" x14ac:dyDescent="0.3">
      <c r="J137133"/>
    </row>
    <row r="137134" spans="10:10" x14ac:dyDescent="0.3">
      <c r="J137134"/>
    </row>
    <row r="137135" spans="10:10" x14ac:dyDescent="0.3">
      <c r="J137135"/>
    </row>
    <row r="137136" spans="10:10" x14ac:dyDescent="0.3">
      <c r="J137136"/>
    </row>
    <row r="137137" spans="10:10" x14ac:dyDescent="0.3">
      <c r="J137137"/>
    </row>
    <row r="137138" spans="10:10" x14ac:dyDescent="0.3">
      <c r="J137138"/>
    </row>
    <row r="137139" spans="10:10" x14ac:dyDescent="0.3">
      <c r="J137139"/>
    </row>
    <row r="137140" spans="10:10" x14ac:dyDescent="0.3">
      <c r="J137140"/>
    </row>
    <row r="137141" spans="10:10" x14ac:dyDescent="0.3">
      <c r="J137141"/>
    </row>
    <row r="137142" spans="10:10" x14ac:dyDescent="0.3">
      <c r="J137142"/>
    </row>
    <row r="137143" spans="10:10" x14ac:dyDescent="0.3">
      <c r="J137143"/>
    </row>
    <row r="137144" spans="10:10" x14ac:dyDescent="0.3">
      <c r="J137144"/>
    </row>
    <row r="137145" spans="10:10" x14ac:dyDescent="0.3">
      <c r="J137145"/>
    </row>
    <row r="137146" spans="10:10" x14ac:dyDescent="0.3">
      <c r="J137146"/>
    </row>
    <row r="137147" spans="10:10" x14ac:dyDescent="0.3">
      <c r="J137147"/>
    </row>
    <row r="137148" spans="10:10" x14ac:dyDescent="0.3">
      <c r="J137148"/>
    </row>
    <row r="137149" spans="10:10" x14ac:dyDescent="0.3">
      <c r="J137149"/>
    </row>
    <row r="137150" spans="10:10" x14ac:dyDescent="0.3">
      <c r="J137150"/>
    </row>
    <row r="137151" spans="10:10" x14ac:dyDescent="0.3">
      <c r="J137151"/>
    </row>
    <row r="137152" spans="10:10" x14ac:dyDescent="0.3">
      <c r="J137152"/>
    </row>
    <row r="137153" spans="10:10" x14ac:dyDescent="0.3">
      <c r="J137153"/>
    </row>
    <row r="137154" spans="10:10" x14ac:dyDescent="0.3">
      <c r="J137154"/>
    </row>
    <row r="137155" spans="10:10" x14ac:dyDescent="0.3">
      <c r="J137155"/>
    </row>
    <row r="137156" spans="10:10" x14ac:dyDescent="0.3">
      <c r="J137156"/>
    </row>
    <row r="137157" spans="10:10" x14ac:dyDescent="0.3">
      <c r="J137157"/>
    </row>
    <row r="137158" spans="10:10" x14ac:dyDescent="0.3">
      <c r="J137158"/>
    </row>
    <row r="137159" spans="10:10" x14ac:dyDescent="0.3">
      <c r="J137159"/>
    </row>
    <row r="137160" spans="10:10" x14ac:dyDescent="0.3">
      <c r="J137160"/>
    </row>
    <row r="137161" spans="10:10" x14ac:dyDescent="0.3">
      <c r="J137161"/>
    </row>
    <row r="137162" spans="10:10" x14ac:dyDescent="0.3">
      <c r="J137162"/>
    </row>
    <row r="137163" spans="10:10" x14ac:dyDescent="0.3">
      <c r="J137163"/>
    </row>
    <row r="137164" spans="10:10" x14ac:dyDescent="0.3">
      <c r="J137164"/>
    </row>
    <row r="137165" spans="10:10" x14ac:dyDescent="0.3">
      <c r="J137165"/>
    </row>
    <row r="137166" spans="10:10" x14ac:dyDescent="0.3">
      <c r="J137166"/>
    </row>
    <row r="137167" spans="10:10" x14ac:dyDescent="0.3">
      <c r="J137167"/>
    </row>
    <row r="137168" spans="10:10" x14ac:dyDescent="0.3">
      <c r="J137168"/>
    </row>
    <row r="137169" spans="10:10" x14ac:dyDescent="0.3">
      <c r="J137169"/>
    </row>
    <row r="137170" spans="10:10" x14ac:dyDescent="0.3">
      <c r="J137170"/>
    </row>
    <row r="137171" spans="10:10" x14ac:dyDescent="0.3">
      <c r="J137171"/>
    </row>
    <row r="137172" spans="10:10" x14ac:dyDescent="0.3">
      <c r="J137172"/>
    </row>
    <row r="137173" spans="10:10" x14ac:dyDescent="0.3">
      <c r="J137173"/>
    </row>
    <row r="137174" spans="10:10" x14ac:dyDescent="0.3">
      <c r="J137174"/>
    </row>
    <row r="137175" spans="10:10" x14ac:dyDescent="0.3">
      <c r="J137175"/>
    </row>
    <row r="137176" spans="10:10" x14ac:dyDescent="0.3">
      <c r="J137176"/>
    </row>
    <row r="137177" spans="10:10" x14ac:dyDescent="0.3">
      <c r="J137177"/>
    </row>
    <row r="137178" spans="10:10" x14ac:dyDescent="0.3">
      <c r="J137178"/>
    </row>
    <row r="137179" spans="10:10" x14ac:dyDescent="0.3">
      <c r="J137179"/>
    </row>
    <row r="137180" spans="10:10" x14ac:dyDescent="0.3">
      <c r="J137180"/>
    </row>
    <row r="137181" spans="10:10" x14ac:dyDescent="0.3">
      <c r="J137181"/>
    </row>
    <row r="137182" spans="10:10" x14ac:dyDescent="0.3">
      <c r="J137182"/>
    </row>
    <row r="137183" spans="10:10" x14ac:dyDescent="0.3">
      <c r="J137183"/>
    </row>
    <row r="137184" spans="10:10" x14ac:dyDescent="0.3">
      <c r="J137184"/>
    </row>
    <row r="137185" spans="10:10" x14ac:dyDescent="0.3">
      <c r="J137185"/>
    </row>
    <row r="137186" spans="10:10" x14ac:dyDescent="0.3">
      <c r="J137186"/>
    </row>
    <row r="137187" spans="10:10" x14ac:dyDescent="0.3">
      <c r="J137187"/>
    </row>
    <row r="137188" spans="10:10" x14ac:dyDescent="0.3">
      <c r="J137188"/>
    </row>
    <row r="137189" spans="10:10" x14ac:dyDescent="0.3">
      <c r="J137189"/>
    </row>
    <row r="137190" spans="10:10" x14ac:dyDescent="0.3">
      <c r="J137190"/>
    </row>
    <row r="137191" spans="10:10" x14ac:dyDescent="0.3">
      <c r="J137191"/>
    </row>
    <row r="137192" spans="10:10" x14ac:dyDescent="0.3">
      <c r="J137192"/>
    </row>
    <row r="137193" spans="10:10" x14ac:dyDescent="0.3">
      <c r="J137193"/>
    </row>
    <row r="137194" spans="10:10" x14ac:dyDescent="0.3">
      <c r="J137194"/>
    </row>
    <row r="137195" spans="10:10" x14ac:dyDescent="0.3">
      <c r="J137195"/>
    </row>
    <row r="137196" spans="10:10" x14ac:dyDescent="0.3">
      <c r="J137196"/>
    </row>
    <row r="137197" spans="10:10" x14ac:dyDescent="0.3">
      <c r="J137197"/>
    </row>
    <row r="137198" spans="10:10" x14ac:dyDescent="0.3">
      <c r="J137198"/>
    </row>
    <row r="137199" spans="10:10" x14ac:dyDescent="0.3">
      <c r="J137199"/>
    </row>
    <row r="137200" spans="10:10" x14ac:dyDescent="0.3">
      <c r="J137200"/>
    </row>
    <row r="137201" spans="10:10" x14ac:dyDescent="0.3">
      <c r="J137201"/>
    </row>
    <row r="137202" spans="10:10" x14ac:dyDescent="0.3">
      <c r="J137202"/>
    </row>
    <row r="137203" spans="10:10" x14ac:dyDescent="0.3">
      <c r="J137203"/>
    </row>
    <row r="137204" spans="10:10" x14ac:dyDescent="0.3">
      <c r="J137204"/>
    </row>
    <row r="137205" spans="10:10" x14ac:dyDescent="0.3">
      <c r="J137205"/>
    </row>
    <row r="137206" spans="10:10" x14ac:dyDescent="0.3">
      <c r="J137206"/>
    </row>
    <row r="137207" spans="10:10" x14ac:dyDescent="0.3">
      <c r="J137207"/>
    </row>
    <row r="137208" spans="10:10" x14ac:dyDescent="0.3">
      <c r="J137208"/>
    </row>
    <row r="137209" spans="10:10" x14ac:dyDescent="0.3">
      <c r="J137209"/>
    </row>
    <row r="137210" spans="10:10" x14ac:dyDescent="0.3">
      <c r="J137210"/>
    </row>
    <row r="137211" spans="10:10" x14ac:dyDescent="0.3">
      <c r="J137211"/>
    </row>
    <row r="137212" spans="10:10" x14ac:dyDescent="0.3">
      <c r="J137212"/>
    </row>
    <row r="137213" spans="10:10" x14ac:dyDescent="0.3">
      <c r="J137213"/>
    </row>
    <row r="137214" spans="10:10" x14ac:dyDescent="0.3">
      <c r="J137214"/>
    </row>
    <row r="137215" spans="10:10" x14ac:dyDescent="0.3">
      <c r="J137215"/>
    </row>
    <row r="137216" spans="10:10" x14ac:dyDescent="0.3">
      <c r="J137216"/>
    </row>
    <row r="137217" spans="10:10" x14ac:dyDescent="0.3">
      <c r="J137217"/>
    </row>
    <row r="137218" spans="10:10" x14ac:dyDescent="0.3">
      <c r="J137218"/>
    </row>
    <row r="137219" spans="10:10" x14ac:dyDescent="0.3">
      <c r="J137219"/>
    </row>
    <row r="137220" spans="10:10" x14ac:dyDescent="0.3">
      <c r="J137220"/>
    </row>
    <row r="137221" spans="10:10" x14ac:dyDescent="0.3">
      <c r="J137221"/>
    </row>
    <row r="137222" spans="10:10" x14ac:dyDescent="0.3">
      <c r="J137222"/>
    </row>
    <row r="137223" spans="10:10" x14ac:dyDescent="0.3">
      <c r="J137223"/>
    </row>
    <row r="137224" spans="10:10" x14ac:dyDescent="0.3">
      <c r="J137224"/>
    </row>
    <row r="137225" spans="10:10" x14ac:dyDescent="0.3">
      <c r="J137225"/>
    </row>
    <row r="137226" spans="10:10" x14ac:dyDescent="0.3">
      <c r="J137226"/>
    </row>
    <row r="137227" spans="10:10" x14ac:dyDescent="0.3">
      <c r="J137227"/>
    </row>
    <row r="137228" spans="10:10" x14ac:dyDescent="0.3">
      <c r="J137228"/>
    </row>
    <row r="137229" spans="10:10" x14ac:dyDescent="0.3">
      <c r="J137229"/>
    </row>
    <row r="137230" spans="10:10" x14ac:dyDescent="0.3">
      <c r="J137230"/>
    </row>
    <row r="137231" spans="10:10" x14ac:dyDescent="0.3">
      <c r="J137231"/>
    </row>
    <row r="137232" spans="10:10" x14ac:dyDescent="0.3">
      <c r="J137232"/>
    </row>
    <row r="137233" spans="10:10" x14ac:dyDescent="0.3">
      <c r="J137233"/>
    </row>
    <row r="137234" spans="10:10" x14ac:dyDescent="0.3">
      <c r="J137234"/>
    </row>
    <row r="137235" spans="10:10" x14ac:dyDescent="0.3">
      <c r="J137235"/>
    </row>
    <row r="137236" spans="10:10" x14ac:dyDescent="0.3">
      <c r="J137236"/>
    </row>
    <row r="137237" spans="10:10" x14ac:dyDescent="0.3">
      <c r="J137237"/>
    </row>
    <row r="137238" spans="10:10" x14ac:dyDescent="0.3">
      <c r="J137238"/>
    </row>
    <row r="137239" spans="10:10" x14ac:dyDescent="0.3">
      <c r="J137239"/>
    </row>
    <row r="137240" spans="10:10" x14ac:dyDescent="0.3">
      <c r="J137240"/>
    </row>
    <row r="137241" spans="10:10" x14ac:dyDescent="0.3">
      <c r="J137241"/>
    </row>
    <row r="137242" spans="10:10" x14ac:dyDescent="0.3">
      <c r="J137242"/>
    </row>
    <row r="137243" spans="10:10" x14ac:dyDescent="0.3">
      <c r="J137243"/>
    </row>
    <row r="137244" spans="10:10" x14ac:dyDescent="0.3">
      <c r="J137244"/>
    </row>
    <row r="137245" spans="10:10" x14ac:dyDescent="0.3">
      <c r="J137245"/>
    </row>
    <row r="137246" spans="10:10" x14ac:dyDescent="0.3">
      <c r="J137246"/>
    </row>
    <row r="137247" spans="10:10" x14ac:dyDescent="0.3">
      <c r="J137247"/>
    </row>
    <row r="137248" spans="10:10" x14ac:dyDescent="0.3">
      <c r="J137248"/>
    </row>
    <row r="137249" spans="10:10" x14ac:dyDescent="0.3">
      <c r="J137249"/>
    </row>
    <row r="137250" spans="10:10" x14ac:dyDescent="0.3">
      <c r="J137250"/>
    </row>
    <row r="137251" spans="10:10" x14ac:dyDescent="0.3">
      <c r="J137251"/>
    </row>
    <row r="137252" spans="10:10" x14ac:dyDescent="0.3">
      <c r="J137252"/>
    </row>
    <row r="137253" spans="10:10" x14ac:dyDescent="0.3">
      <c r="J137253"/>
    </row>
    <row r="137254" spans="10:10" x14ac:dyDescent="0.3">
      <c r="J137254"/>
    </row>
    <row r="137255" spans="10:10" x14ac:dyDescent="0.3">
      <c r="J137255"/>
    </row>
    <row r="137256" spans="10:10" x14ac:dyDescent="0.3">
      <c r="J137256"/>
    </row>
    <row r="137257" spans="10:10" x14ac:dyDescent="0.3">
      <c r="J137257"/>
    </row>
    <row r="137258" spans="10:10" x14ac:dyDescent="0.3">
      <c r="J137258"/>
    </row>
    <row r="137259" spans="10:10" x14ac:dyDescent="0.3">
      <c r="J137259"/>
    </row>
    <row r="137260" spans="10:10" x14ac:dyDescent="0.3">
      <c r="J137260"/>
    </row>
    <row r="137261" spans="10:10" x14ac:dyDescent="0.3">
      <c r="J137261"/>
    </row>
    <row r="137262" spans="10:10" x14ac:dyDescent="0.3">
      <c r="J137262"/>
    </row>
    <row r="137263" spans="10:10" x14ac:dyDescent="0.3">
      <c r="J137263"/>
    </row>
    <row r="137264" spans="10:10" x14ac:dyDescent="0.3">
      <c r="J137264"/>
    </row>
    <row r="137265" spans="10:10" x14ac:dyDescent="0.3">
      <c r="J137265"/>
    </row>
    <row r="137266" spans="10:10" x14ac:dyDescent="0.3">
      <c r="J137266"/>
    </row>
    <row r="137267" spans="10:10" x14ac:dyDescent="0.3">
      <c r="J137267"/>
    </row>
    <row r="137268" spans="10:10" x14ac:dyDescent="0.3">
      <c r="J137268"/>
    </row>
    <row r="137269" spans="10:10" x14ac:dyDescent="0.3">
      <c r="J137269"/>
    </row>
    <row r="137270" spans="10:10" x14ac:dyDescent="0.3">
      <c r="J137270"/>
    </row>
    <row r="137271" spans="10:10" x14ac:dyDescent="0.3">
      <c r="J137271"/>
    </row>
    <row r="137272" spans="10:10" x14ac:dyDescent="0.3">
      <c r="J137272"/>
    </row>
    <row r="137273" spans="10:10" x14ac:dyDescent="0.3">
      <c r="J137273"/>
    </row>
    <row r="137274" spans="10:10" x14ac:dyDescent="0.3">
      <c r="J137274"/>
    </row>
    <row r="137275" spans="10:10" x14ac:dyDescent="0.3">
      <c r="J137275"/>
    </row>
    <row r="137276" spans="10:10" x14ac:dyDescent="0.3">
      <c r="J137276"/>
    </row>
    <row r="137277" spans="10:10" x14ac:dyDescent="0.3">
      <c r="J137277"/>
    </row>
    <row r="137278" spans="10:10" x14ac:dyDescent="0.3">
      <c r="J137278"/>
    </row>
    <row r="137279" spans="10:10" x14ac:dyDescent="0.3">
      <c r="J137279"/>
    </row>
    <row r="137280" spans="10:10" x14ac:dyDescent="0.3">
      <c r="J137280"/>
    </row>
    <row r="137281" spans="10:10" x14ac:dyDescent="0.3">
      <c r="J137281"/>
    </row>
    <row r="137282" spans="10:10" x14ac:dyDescent="0.3">
      <c r="J137282"/>
    </row>
    <row r="137283" spans="10:10" x14ac:dyDescent="0.3">
      <c r="J137283"/>
    </row>
    <row r="137284" spans="10:10" x14ac:dyDescent="0.3">
      <c r="J137284"/>
    </row>
    <row r="137285" spans="10:10" x14ac:dyDescent="0.3">
      <c r="J137285"/>
    </row>
    <row r="137286" spans="10:10" x14ac:dyDescent="0.3">
      <c r="J137286"/>
    </row>
    <row r="137287" spans="10:10" x14ac:dyDescent="0.3">
      <c r="J137287"/>
    </row>
    <row r="137288" spans="10:10" x14ac:dyDescent="0.3">
      <c r="J137288"/>
    </row>
    <row r="137289" spans="10:10" x14ac:dyDescent="0.3">
      <c r="J137289"/>
    </row>
    <row r="137290" spans="10:10" x14ac:dyDescent="0.3">
      <c r="J137290"/>
    </row>
    <row r="137291" spans="10:10" x14ac:dyDescent="0.3">
      <c r="J137291"/>
    </row>
    <row r="137292" spans="10:10" x14ac:dyDescent="0.3">
      <c r="J137292"/>
    </row>
    <row r="137293" spans="10:10" x14ac:dyDescent="0.3">
      <c r="J137293"/>
    </row>
    <row r="137294" spans="10:10" x14ac:dyDescent="0.3">
      <c r="J137294"/>
    </row>
    <row r="137295" spans="10:10" x14ac:dyDescent="0.3">
      <c r="J137295"/>
    </row>
    <row r="137296" spans="10:10" x14ac:dyDescent="0.3">
      <c r="J137296"/>
    </row>
    <row r="137297" spans="10:10" x14ac:dyDescent="0.3">
      <c r="J137297"/>
    </row>
    <row r="137298" spans="10:10" x14ac:dyDescent="0.3">
      <c r="J137298"/>
    </row>
    <row r="137299" spans="10:10" x14ac:dyDescent="0.3">
      <c r="J137299"/>
    </row>
    <row r="137300" spans="10:10" x14ac:dyDescent="0.3">
      <c r="J137300"/>
    </row>
    <row r="137301" spans="10:10" x14ac:dyDescent="0.3">
      <c r="J137301"/>
    </row>
    <row r="137302" spans="10:10" x14ac:dyDescent="0.3">
      <c r="J137302"/>
    </row>
    <row r="137303" spans="10:10" x14ac:dyDescent="0.3">
      <c r="J137303"/>
    </row>
    <row r="137304" spans="10:10" x14ac:dyDescent="0.3">
      <c r="J137304"/>
    </row>
    <row r="137305" spans="10:10" x14ac:dyDescent="0.3">
      <c r="J137305"/>
    </row>
    <row r="137306" spans="10:10" x14ac:dyDescent="0.3">
      <c r="J137306"/>
    </row>
    <row r="137307" spans="10:10" x14ac:dyDescent="0.3">
      <c r="J137307"/>
    </row>
    <row r="137308" spans="10:10" x14ac:dyDescent="0.3">
      <c r="J137308"/>
    </row>
    <row r="137309" spans="10:10" x14ac:dyDescent="0.3">
      <c r="J137309"/>
    </row>
    <row r="137310" spans="10:10" x14ac:dyDescent="0.3">
      <c r="J137310"/>
    </row>
    <row r="137311" spans="10:10" x14ac:dyDescent="0.3">
      <c r="J137311"/>
    </row>
    <row r="137312" spans="10:10" x14ac:dyDescent="0.3">
      <c r="J137312"/>
    </row>
    <row r="137313" spans="10:10" x14ac:dyDescent="0.3">
      <c r="J137313"/>
    </row>
    <row r="137314" spans="10:10" x14ac:dyDescent="0.3">
      <c r="J137314"/>
    </row>
    <row r="137315" spans="10:10" x14ac:dyDescent="0.3">
      <c r="J137315"/>
    </row>
    <row r="137316" spans="10:10" x14ac:dyDescent="0.3">
      <c r="J137316"/>
    </row>
    <row r="137317" spans="10:10" x14ac:dyDescent="0.3">
      <c r="J137317"/>
    </row>
    <row r="137318" spans="10:10" x14ac:dyDescent="0.3">
      <c r="J137318"/>
    </row>
    <row r="137319" spans="10:10" x14ac:dyDescent="0.3">
      <c r="J137319"/>
    </row>
    <row r="137320" spans="10:10" x14ac:dyDescent="0.3">
      <c r="J137320"/>
    </row>
    <row r="137321" spans="10:10" x14ac:dyDescent="0.3">
      <c r="J137321"/>
    </row>
    <row r="137322" spans="10:10" x14ac:dyDescent="0.3">
      <c r="J137322"/>
    </row>
    <row r="137323" spans="10:10" x14ac:dyDescent="0.3">
      <c r="J137323"/>
    </row>
    <row r="137324" spans="10:10" x14ac:dyDescent="0.3">
      <c r="J137324"/>
    </row>
    <row r="137325" spans="10:10" x14ac:dyDescent="0.3">
      <c r="J137325"/>
    </row>
    <row r="137326" spans="10:10" x14ac:dyDescent="0.3">
      <c r="J137326"/>
    </row>
    <row r="137327" spans="10:10" x14ac:dyDescent="0.3">
      <c r="J137327"/>
    </row>
    <row r="137328" spans="10:10" x14ac:dyDescent="0.3">
      <c r="J137328"/>
    </row>
    <row r="137329" spans="10:10" x14ac:dyDescent="0.3">
      <c r="J137329"/>
    </row>
    <row r="137330" spans="10:10" x14ac:dyDescent="0.3">
      <c r="J137330"/>
    </row>
    <row r="137331" spans="10:10" x14ac:dyDescent="0.3">
      <c r="J137331"/>
    </row>
    <row r="137332" spans="10:10" x14ac:dyDescent="0.3">
      <c r="J137332"/>
    </row>
    <row r="137333" spans="10:10" x14ac:dyDescent="0.3">
      <c r="J137333"/>
    </row>
    <row r="137334" spans="10:10" x14ac:dyDescent="0.3">
      <c r="J137334"/>
    </row>
    <row r="137335" spans="10:10" x14ac:dyDescent="0.3">
      <c r="J137335"/>
    </row>
    <row r="137336" spans="10:10" x14ac:dyDescent="0.3">
      <c r="J137336"/>
    </row>
    <row r="137337" spans="10:10" x14ac:dyDescent="0.3">
      <c r="J137337"/>
    </row>
    <row r="137338" spans="10:10" x14ac:dyDescent="0.3">
      <c r="J137338"/>
    </row>
    <row r="137339" spans="10:10" x14ac:dyDescent="0.3">
      <c r="J137339"/>
    </row>
    <row r="137340" spans="10:10" x14ac:dyDescent="0.3">
      <c r="J137340"/>
    </row>
    <row r="137341" spans="10:10" x14ac:dyDescent="0.3">
      <c r="J137341"/>
    </row>
    <row r="137342" spans="10:10" x14ac:dyDescent="0.3">
      <c r="J137342"/>
    </row>
    <row r="137343" spans="10:10" x14ac:dyDescent="0.3">
      <c r="J137343"/>
    </row>
    <row r="137344" spans="10:10" x14ac:dyDescent="0.3">
      <c r="J137344"/>
    </row>
    <row r="137345" spans="10:10" x14ac:dyDescent="0.3">
      <c r="J137345"/>
    </row>
    <row r="137346" spans="10:10" x14ac:dyDescent="0.3">
      <c r="J137346"/>
    </row>
    <row r="137347" spans="10:10" x14ac:dyDescent="0.3">
      <c r="J137347"/>
    </row>
    <row r="137348" spans="10:10" x14ac:dyDescent="0.3">
      <c r="J137348"/>
    </row>
    <row r="137349" spans="10:10" x14ac:dyDescent="0.3">
      <c r="J137349"/>
    </row>
    <row r="137350" spans="10:10" x14ac:dyDescent="0.3">
      <c r="J137350"/>
    </row>
    <row r="137351" spans="10:10" x14ac:dyDescent="0.3">
      <c r="J137351"/>
    </row>
    <row r="137352" spans="10:10" x14ac:dyDescent="0.3">
      <c r="J137352"/>
    </row>
    <row r="137353" spans="10:10" x14ac:dyDescent="0.3">
      <c r="J137353"/>
    </row>
    <row r="137354" spans="10:10" x14ac:dyDescent="0.3">
      <c r="J137354"/>
    </row>
    <row r="137355" spans="10:10" x14ac:dyDescent="0.3">
      <c r="J137355"/>
    </row>
    <row r="137356" spans="10:10" x14ac:dyDescent="0.3">
      <c r="J137356"/>
    </row>
    <row r="137357" spans="10:10" x14ac:dyDescent="0.3">
      <c r="J137357"/>
    </row>
    <row r="137358" spans="10:10" x14ac:dyDescent="0.3">
      <c r="J137358"/>
    </row>
    <row r="137359" spans="10:10" x14ac:dyDescent="0.3">
      <c r="J137359"/>
    </row>
    <row r="137360" spans="10:10" x14ac:dyDescent="0.3">
      <c r="J137360"/>
    </row>
    <row r="137361" spans="10:10" x14ac:dyDescent="0.3">
      <c r="J137361"/>
    </row>
    <row r="137362" spans="10:10" x14ac:dyDescent="0.3">
      <c r="J137362"/>
    </row>
    <row r="137363" spans="10:10" x14ac:dyDescent="0.3">
      <c r="J137363"/>
    </row>
    <row r="137364" spans="10:10" x14ac:dyDescent="0.3">
      <c r="J137364"/>
    </row>
    <row r="137365" spans="10:10" x14ac:dyDescent="0.3">
      <c r="J137365"/>
    </row>
    <row r="137366" spans="10:10" x14ac:dyDescent="0.3">
      <c r="J137366"/>
    </row>
    <row r="137367" spans="10:10" x14ac:dyDescent="0.3">
      <c r="J137367"/>
    </row>
    <row r="137368" spans="10:10" x14ac:dyDescent="0.3">
      <c r="J137368"/>
    </row>
    <row r="137369" spans="10:10" x14ac:dyDescent="0.3">
      <c r="J137369"/>
    </row>
    <row r="137370" spans="10:10" x14ac:dyDescent="0.3">
      <c r="J137370"/>
    </row>
    <row r="137371" spans="10:10" x14ac:dyDescent="0.3">
      <c r="J137371"/>
    </row>
    <row r="137372" spans="10:10" x14ac:dyDescent="0.3">
      <c r="J137372"/>
    </row>
    <row r="137373" spans="10:10" x14ac:dyDescent="0.3">
      <c r="J137373"/>
    </row>
    <row r="137374" spans="10:10" x14ac:dyDescent="0.3">
      <c r="J137374"/>
    </row>
    <row r="137375" spans="10:10" x14ac:dyDescent="0.3">
      <c r="J137375"/>
    </row>
    <row r="137376" spans="10:10" x14ac:dyDescent="0.3">
      <c r="J137376"/>
    </row>
    <row r="137377" spans="10:10" x14ac:dyDescent="0.3">
      <c r="J137377"/>
    </row>
    <row r="137378" spans="10:10" x14ac:dyDescent="0.3">
      <c r="J137378"/>
    </row>
    <row r="137379" spans="10:10" x14ac:dyDescent="0.3">
      <c r="J137379"/>
    </row>
    <row r="137380" spans="10:10" x14ac:dyDescent="0.3">
      <c r="J137380"/>
    </row>
    <row r="137381" spans="10:10" x14ac:dyDescent="0.3">
      <c r="J137381"/>
    </row>
    <row r="137382" spans="10:10" x14ac:dyDescent="0.3">
      <c r="J137382"/>
    </row>
    <row r="137383" spans="10:10" x14ac:dyDescent="0.3">
      <c r="J137383"/>
    </row>
    <row r="137384" spans="10:10" x14ac:dyDescent="0.3">
      <c r="J137384"/>
    </row>
    <row r="137385" spans="10:10" x14ac:dyDescent="0.3">
      <c r="J137385"/>
    </row>
    <row r="137386" spans="10:10" x14ac:dyDescent="0.3">
      <c r="J137386"/>
    </row>
    <row r="137387" spans="10:10" x14ac:dyDescent="0.3">
      <c r="J137387"/>
    </row>
    <row r="137388" spans="10:10" x14ac:dyDescent="0.3">
      <c r="J137388"/>
    </row>
    <row r="137389" spans="10:10" x14ac:dyDescent="0.3">
      <c r="J137389"/>
    </row>
    <row r="137390" spans="10:10" x14ac:dyDescent="0.3">
      <c r="J137390"/>
    </row>
    <row r="137391" spans="10:10" x14ac:dyDescent="0.3">
      <c r="J137391"/>
    </row>
    <row r="137392" spans="10:10" x14ac:dyDescent="0.3">
      <c r="J137392"/>
    </row>
    <row r="137393" spans="10:10" x14ac:dyDescent="0.3">
      <c r="J137393"/>
    </row>
    <row r="137394" spans="10:10" x14ac:dyDescent="0.3">
      <c r="J137394"/>
    </row>
    <row r="137395" spans="10:10" x14ac:dyDescent="0.3">
      <c r="J137395"/>
    </row>
    <row r="137396" spans="10:10" x14ac:dyDescent="0.3">
      <c r="J137396"/>
    </row>
    <row r="137397" spans="10:10" x14ac:dyDescent="0.3">
      <c r="J137397"/>
    </row>
    <row r="137398" spans="10:10" x14ac:dyDescent="0.3">
      <c r="J137398"/>
    </row>
    <row r="137399" spans="10:10" x14ac:dyDescent="0.3">
      <c r="J137399"/>
    </row>
    <row r="137400" spans="10:10" x14ac:dyDescent="0.3">
      <c r="J137400"/>
    </row>
    <row r="137401" spans="10:10" x14ac:dyDescent="0.3">
      <c r="J137401"/>
    </row>
    <row r="137402" spans="10:10" x14ac:dyDescent="0.3">
      <c r="J137402"/>
    </row>
    <row r="137403" spans="10:10" x14ac:dyDescent="0.3">
      <c r="J137403"/>
    </row>
    <row r="137404" spans="10:10" x14ac:dyDescent="0.3">
      <c r="J137404"/>
    </row>
    <row r="137405" spans="10:10" x14ac:dyDescent="0.3">
      <c r="J137405"/>
    </row>
    <row r="137406" spans="10:10" x14ac:dyDescent="0.3">
      <c r="J137406"/>
    </row>
    <row r="137407" spans="10:10" x14ac:dyDescent="0.3">
      <c r="J137407"/>
    </row>
    <row r="137408" spans="10:10" x14ac:dyDescent="0.3">
      <c r="J137408"/>
    </row>
    <row r="137409" spans="10:10" x14ac:dyDescent="0.3">
      <c r="J137409"/>
    </row>
    <row r="137410" spans="10:10" x14ac:dyDescent="0.3">
      <c r="J137410"/>
    </row>
    <row r="137411" spans="10:10" x14ac:dyDescent="0.3">
      <c r="J137411"/>
    </row>
    <row r="137412" spans="10:10" x14ac:dyDescent="0.3">
      <c r="J137412"/>
    </row>
    <row r="137413" spans="10:10" x14ac:dyDescent="0.3">
      <c r="J137413"/>
    </row>
    <row r="137414" spans="10:10" x14ac:dyDescent="0.3">
      <c r="J137414"/>
    </row>
    <row r="137415" spans="10:10" x14ac:dyDescent="0.3">
      <c r="J137415"/>
    </row>
    <row r="137416" spans="10:10" x14ac:dyDescent="0.3">
      <c r="J137416"/>
    </row>
    <row r="137417" spans="10:10" x14ac:dyDescent="0.3">
      <c r="J137417"/>
    </row>
    <row r="137418" spans="10:10" x14ac:dyDescent="0.3">
      <c r="J137418"/>
    </row>
    <row r="137419" spans="10:10" x14ac:dyDescent="0.3">
      <c r="J137419"/>
    </row>
    <row r="137420" spans="10:10" x14ac:dyDescent="0.3">
      <c r="J137420"/>
    </row>
    <row r="137421" spans="10:10" x14ac:dyDescent="0.3">
      <c r="J137421"/>
    </row>
    <row r="137422" spans="10:10" x14ac:dyDescent="0.3">
      <c r="J137422"/>
    </row>
    <row r="137423" spans="10:10" x14ac:dyDescent="0.3">
      <c r="J137423"/>
    </row>
    <row r="137424" spans="10:10" x14ac:dyDescent="0.3">
      <c r="J137424"/>
    </row>
    <row r="137425" spans="10:10" x14ac:dyDescent="0.3">
      <c r="J137425"/>
    </row>
    <row r="137426" spans="10:10" x14ac:dyDescent="0.3">
      <c r="J137426"/>
    </row>
    <row r="137427" spans="10:10" x14ac:dyDescent="0.3">
      <c r="J137427"/>
    </row>
    <row r="137428" spans="10:10" x14ac:dyDescent="0.3">
      <c r="J137428"/>
    </row>
    <row r="137429" spans="10:10" x14ac:dyDescent="0.3">
      <c r="J137429"/>
    </row>
    <row r="137430" spans="10:10" x14ac:dyDescent="0.3">
      <c r="J137430"/>
    </row>
    <row r="137431" spans="10:10" x14ac:dyDescent="0.3">
      <c r="J137431"/>
    </row>
    <row r="137432" spans="10:10" x14ac:dyDescent="0.3">
      <c r="J137432"/>
    </row>
    <row r="137433" spans="10:10" x14ac:dyDescent="0.3">
      <c r="J137433"/>
    </row>
    <row r="137434" spans="10:10" x14ac:dyDescent="0.3">
      <c r="J137434"/>
    </row>
    <row r="137435" spans="10:10" x14ac:dyDescent="0.3">
      <c r="J137435"/>
    </row>
    <row r="137436" spans="10:10" x14ac:dyDescent="0.3">
      <c r="J137436"/>
    </row>
    <row r="137437" spans="10:10" x14ac:dyDescent="0.3">
      <c r="J137437"/>
    </row>
    <row r="137438" spans="10:10" x14ac:dyDescent="0.3">
      <c r="J137438"/>
    </row>
    <row r="137439" spans="10:10" x14ac:dyDescent="0.3">
      <c r="J137439"/>
    </row>
    <row r="137440" spans="10:10" x14ac:dyDescent="0.3">
      <c r="J137440"/>
    </row>
    <row r="137441" spans="10:10" x14ac:dyDescent="0.3">
      <c r="J137441"/>
    </row>
    <row r="137442" spans="10:10" x14ac:dyDescent="0.3">
      <c r="J137442"/>
    </row>
    <row r="137443" spans="10:10" x14ac:dyDescent="0.3">
      <c r="J137443"/>
    </row>
    <row r="137444" spans="10:10" x14ac:dyDescent="0.3">
      <c r="J137444"/>
    </row>
    <row r="137445" spans="10:10" x14ac:dyDescent="0.3">
      <c r="J137445"/>
    </row>
    <row r="137446" spans="10:10" x14ac:dyDescent="0.3">
      <c r="J137446"/>
    </row>
    <row r="137447" spans="10:10" x14ac:dyDescent="0.3">
      <c r="J137447"/>
    </row>
    <row r="137448" spans="10:10" x14ac:dyDescent="0.3">
      <c r="J137448"/>
    </row>
    <row r="137449" spans="10:10" x14ac:dyDescent="0.3">
      <c r="J137449"/>
    </row>
    <row r="137450" spans="10:10" x14ac:dyDescent="0.3">
      <c r="J137450"/>
    </row>
    <row r="137451" spans="10:10" x14ac:dyDescent="0.3">
      <c r="J137451"/>
    </row>
    <row r="137452" spans="10:10" x14ac:dyDescent="0.3">
      <c r="J137452"/>
    </row>
    <row r="137453" spans="10:10" x14ac:dyDescent="0.3">
      <c r="J137453"/>
    </row>
    <row r="137454" spans="10:10" x14ac:dyDescent="0.3">
      <c r="J137454"/>
    </row>
    <row r="137455" spans="10:10" x14ac:dyDescent="0.3">
      <c r="J137455"/>
    </row>
    <row r="137456" spans="10:10" x14ac:dyDescent="0.3">
      <c r="J137456"/>
    </row>
    <row r="137457" spans="10:10" x14ac:dyDescent="0.3">
      <c r="J137457"/>
    </row>
    <row r="137458" spans="10:10" x14ac:dyDescent="0.3">
      <c r="J137458"/>
    </row>
    <row r="137459" spans="10:10" x14ac:dyDescent="0.3">
      <c r="J137459"/>
    </row>
    <row r="137460" spans="10:10" x14ac:dyDescent="0.3">
      <c r="J137460"/>
    </row>
    <row r="137461" spans="10:10" x14ac:dyDescent="0.3">
      <c r="J137461"/>
    </row>
    <row r="137462" spans="10:10" x14ac:dyDescent="0.3">
      <c r="J137462"/>
    </row>
    <row r="137463" spans="10:10" x14ac:dyDescent="0.3">
      <c r="J137463"/>
    </row>
    <row r="137464" spans="10:10" x14ac:dyDescent="0.3">
      <c r="J137464"/>
    </row>
    <row r="137465" spans="10:10" x14ac:dyDescent="0.3">
      <c r="J137465"/>
    </row>
    <row r="137466" spans="10:10" x14ac:dyDescent="0.3">
      <c r="J137466"/>
    </row>
    <row r="137467" spans="10:10" x14ac:dyDescent="0.3">
      <c r="J137467"/>
    </row>
    <row r="137468" spans="10:10" x14ac:dyDescent="0.3">
      <c r="J137468"/>
    </row>
    <row r="137469" spans="10:10" x14ac:dyDescent="0.3">
      <c r="J137469"/>
    </row>
    <row r="137470" spans="10:10" x14ac:dyDescent="0.3">
      <c r="J137470"/>
    </row>
    <row r="137471" spans="10:10" x14ac:dyDescent="0.3">
      <c r="J137471"/>
    </row>
    <row r="137472" spans="10:10" x14ac:dyDescent="0.3">
      <c r="J137472"/>
    </row>
    <row r="137473" spans="10:10" x14ac:dyDescent="0.3">
      <c r="J137473"/>
    </row>
    <row r="137474" spans="10:10" x14ac:dyDescent="0.3">
      <c r="J137474"/>
    </row>
    <row r="137475" spans="10:10" x14ac:dyDescent="0.3">
      <c r="J137475"/>
    </row>
    <row r="137476" spans="10:10" x14ac:dyDescent="0.3">
      <c r="J137476"/>
    </row>
    <row r="137477" spans="10:10" x14ac:dyDescent="0.3">
      <c r="J137477"/>
    </row>
    <row r="137478" spans="10:10" x14ac:dyDescent="0.3">
      <c r="J137478"/>
    </row>
    <row r="137479" spans="10:10" x14ac:dyDescent="0.3">
      <c r="J137479"/>
    </row>
    <row r="137480" spans="10:10" x14ac:dyDescent="0.3">
      <c r="J137480"/>
    </row>
    <row r="137481" spans="10:10" x14ac:dyDescent="0.3">
      <c r="J137481"/>
    </row>
    <row r="137482" spans="10:10" x14ac:dyDescent="0.3">
      <c r="J137482"/>
    </row>
    <row r="137483" spans="10:10" x14ac:dyDescent="0.3">
      <c r="J137483"/>
    </row>
    <row r="137484" spans="10:10" x14ac:dyDescent="0.3">
      <c r="J137484"/>
    </row>
    <row r="137485" spans="10:10" x14ac:dyDescent="0.3">
      <c r="J137485"/>
    </row>
    <row r="137486" spans="10:10" x14ac:dyDescent="0.3">
      <c r="J137486"/>
    </row>
    <row r="137487" spans="10:10" x14ac:dyDescent="0.3">
      <c r="J137487"/>
    </row>
    <row r="137488" spans="10:10" x14ac:dyDescent="0.3">
      <c r="J137488"/>
    </row>
    <row r="137489" spans="10:10" x14ac:dyDescent="0.3">
      <c r="J137489"/>
    </row>
    <row r="137490" spans="10:10" x14ac:dyDescent="0.3">
      <c r="J137490"/>
    </row>
    <row r="137491" spans="10:10" x14ac:dyDescent="0.3">
      <c r="J137491"/>
    </row>
    <row r="137492" spans="10:10" x14ac:dyDescent="0.3">
      <c r="J137492"/>
    </row>
    <row r="137493" spans="10:10" x14ac:dyDescent="0.3">
      <c r="J137493"/>
    </row>
    <row r="137494" spans="10:10" x14ac:dyDescent="0.3">
      <c r="J137494"/>
    </row>
    <row r="137495" spans="10:10" x14ac:dyDescent="0.3">
      <c r="J137495"/>
    </row>
    <row r="137496" spans="10:10" x14ac:dyDescent="0.3">
      <c r="J137496"/>
    </row>
    <row r="137497" spans="10:10" x14ac:dyDescent="0.3">
      <c r="J137497"/>
    </row>
    <row r="137498" spans="10:10" x14ac:dyDescent="0.3">
      <c r="J137498"/>
    </row>
    <row r="137499" spans="10:10" x14ac:dyDescent="0.3">
      <c r="J137499"/>
    </row>
    <row r="137500" spans="10:10" x14ac:dyDescent="0.3">
      <c r="J137500"/>
    </row>
    <row r="137501" spans="10:10" x14ac:dyDescent="0.3">
      <c r="J137501"/>
    </row>
    <row r="137502" spans="10:10" x14ac:dyDescent="0.3">
      <c r="J137502"/>
    </row>
    <row r="137503" spans="10:10" x14ac:dyDescent="0.3">
      <c r="J137503"/>
    </row>
    <row r="137504" spans="10:10" x14ac:dyDescent="0.3">
      <c r="J137504"/>
    </row>
    <row r="137505" spans="10:10" x14ac:dyDescent="0.3">
      <c r="J137505"/>
    </row>
    <row r="137506" spans="10:10" x14ac:dyDescent="0.3">
      <c r="J137506"/>
    </row>
    <row r="137507" spans="10:10" x14ac:dyDescent="0.3">
      <c r="J137507"/>
    </row>
    <row r="137508" spans="10:10" x14ac:dyDescent="0.3">
      <c r="J137508"/>
    </row>
    <row r="137509" spans="10:10" x14ac:dyDescent="0.3">
      <c r="J137509"/>
    </row>
    <row r="137510" spans="10:10" x14ac:dyDescent="0.3">
      <c r="J137510"/>
    </row>
    <row r="137511" spans="10:10" x14ac:dyDescent="0.3">
      <c r="J137511"/>
    </row>
    <row r="137512" spans="10:10" x14ac:dyDescent="0.3">
      <c r="J137512"/>
    </row>
    <row r="137513" spans="10:10" x14ac:dyDescent="0.3">
      <c r="J137513"/>
    </row>
    <row r="137514" spans="10:10" x14ac:dyDescent="0.3">
      <c r="J137514"/>
    </row>
    <row r="137515" spans="10:10" x14ac:dyDescent="0.3">
      <c r="J137515"/>
    </row>
    <row r="137516" spans="10:10" x14ac:dyDescent="0.3">
      <c r="J137516"/>
    </row>
    <row r="137517" spans="10:10" x14ac:dyDescent="0.3">
      <c r="J137517"/>
    </row>
    <row r="137518" spans="10:10" x14ac:dyDescent="0.3">
      <c r="J137518"/>
    </row>
    <row r="137519" spans="10:10" x14ac:dyDescent="0.3">
      <c r="J137519"/>
    </row>
    <row r="137520" spans="10:10" x14ac:dyDescent="0.3">
      <c r="J137520"/>
    </row>
    <row r="137521" spans="10:10" x14ac:dyDescent="0.3">
      <c r="J137521"/>
    </row>
    <row r="137522" spans="10:10" x14ac:dyDescent="0.3">
      <c r="J137522"/>
    </row>
    <row r="137523" spans="10:10" x14ac:dyDescent="0.3">
      <c r="J137523"/>
    </row>
    <row r="137524" spans="10:10" x14ac:dyDescent="0.3">
      <c r="J137524"/>
    </row>
    <row r="137525" spans="10:10" x14ac:dyDescent="0.3">
      <c r="J137525"/>
    </row>
    <row r="137526" spans="10:10" x14ac:dyDescent="0.3">
      <c r="J137526"/>
    </row>
    <row r="137527" spans="10:10" x14ac:dyDescent="0.3">
      <c r="J137527"/>
    </row>
    <row r="137528" spans="10:10" x14ac:dyDescent="0.3">
      <c r="J137528"/>
    </row>
    <row r="137529" spans="10:10" x14ac:dyDescent="0.3">
      <c r="J137529"/>
    </row>
    <row r="137530" spans="10:10" x14ac:dyDescent="0.3">
      <c r="J137530"/>
    </row>
    <row r="137531" spans="10:10" x14ac:dyDescent="0.3">
      <c r="J137531"/>
    </row>
    <row r="137532" spans="10:10" x14ac:dyDescent="0.3">
      <c r="J137532"/>
    </row>
    <row r="137533" spans="10:10" x14ac:dyDescent="0.3">
      <c r="J137533"/>
    </row>
    <row r="137534" spans="10:10" x14ac:dyDescent="0.3">
      <c r="J137534"/>
    </row>
    <row r="137535" spans="10:10" x14ac:dyDescent="0.3">
      <c r="J137535"/>
    </row>
    <row r="137536" spans="10:10" x14ac:dyDescent="0.3">
      <c r="J137536"/>
    </row>
    <row r="137537" spans="10:10" x14ac:dyDescent="0.3">
      <c r="J137537"/>
    </row>
    <row r="137538" spans="10:10" x14ac:dyDescent="0.3">
      <c r="J137538"/>
    </row>
    <row r="137539" spans="10:10" x14ac:dyDescent="0.3">
      <c r="J137539"/>
    </row>
    <row r="137540" spans="10:10" x14ac:dyDescent="0.3">
      <c r="J137540"/>
    </row>
    <row r="137541" spans="10:10" x14ac:dyDescent="0.3">
      <c r="J137541"/>
    </row>
    <row r="137542" spans="10:10" x14ac:dyDescent="0.3">
      <c r="J137542"/>
    </row>
    <row r="137543" spans="10:10" x14ac:dyDescent="0.3">
      <c r="J137543"/>
    </row>
    <row r="137544" spans="10:10" x14ac:dyDescent="0.3">
      <c r="J137544"/>
    </row>
    <row r="137545" spans="10:10" x14ac:dyDescent="0.3">
      <c r="J137545"/>
    </row>
    <row r="137546" spans="10:10" x14ac:dyDescent="0.3">
      <c r="J137546"/>
    </row>
    <row r="137547" spans="10:10" x14ac:dyDescent="0.3">
      <c r="J137547"/>
    </row>
    <row r="137548" spans="10:10" x14ac:dyDescent="0.3">
      <c r="J137548"/>
    </row>
    <row r="137549" spans="10:10" x14ac:dyDescent="0.3">
      <c r="J137549"/>
    </row>
    <row r="137550" spans="10:10" x14ac:dyDescent="0.3">
      <c r="J137550"/>
    </row>
    <row r="137551" spans="10:10" x14ac:dyDescent="0.3">
      <c r="J137551"/>
    </row>
    <row r="137552" spans="10:10" x14ac:dyDescent="0.3">
      <c r="J137552"/>
    </row>
    <row r="137553" spans="10:10" x14ac:dyDescent="0.3">
      <c r="J137553"/>
    </row>
    <row r="137554" spans="10:10" x14ac:dyDescent="0.3">
      <c r="J137554"/>
    </row>
    <row r="137555" spans="10:10" x14ac:dyDescent="0.3">
      <c r="J137555"/>
    </row>
    <row r="137556" spans="10:10" x14ac:dyDescent="0.3">
      <c r="J137556"/>
    </row>
    <row r="137557" spans="10:10" x14ac:dyDescent="0.3">
      <c r="J137557"/>
    </row>
    <row r="137558" spans="10:10" x14ac:dyDescent="0.3">
      <c r="J137558"/>
    </row>
    <row r="137559" spans="10:10" x14ac:dyDescent="0.3">
      <c r="J137559"/>
    </row>
    <row r="137560" spans="10:10" x14ac:dyDescent="0.3">
      <c r="J137560"/>
    </row>
    <row r="137561" spans="10:10" x14ac:dyDescent="0.3">
      <c r="J137561"/>
    </row>
    <row r="137562" spans="10:10" x14ac:dyDescent="0.3">
      <c r="J137562"/>
    </row>
    <row r="137563" spans="10:10" x14ac:dyDescent="0.3">
      <c r="J137563"/>
    </row>
    <row r="137564" spans="10:10" x14ac:dyDescent="0.3">
      <c r="J137564"/>
    </row>
    <row r="137565" spans="10:10" x14ac:dyDescent="0.3">
      <c r="J137565"/>
    </row>
    <row r="137566" spans="10:10" x14ac:dyDescent="0.3">
      <c r="J137566"/>
    </row>
    <row r="137567" spans="10:10" x14ac:dyDescent="0.3">
      <c r="J137567"/>
    </row>
    <row r="137568" spans="10:10" x14ac:dyDescent="0.3">
      <c r="J137568"/>
    </row>
    <row r="137569" spans="10:10" x14ac:dyDescent="0.3">
      <c r="J137569"/>
    </row>
    <row r="137570" spans="10:10" x14ac:dyDescent="0.3">
      <c r="J137570"/>
    </row>
    <row r="137571" spans="10:10" x14ac:dyDescent="0.3">
      <c r="J137571"/>
    </row>
    <row r="137572" spans="10:10" x14ac:dyDescent="0.3">
      <c r="J137572"/>
    </row>
    <row r="137573" spans="10:10" x14ac:dyDescent="0.3">
      <c r="J137573"/>
    </row>
    <row r="137574" spans="10:10" x14ac:dyDescent="0.3">
      <c r="J137574"/>
    </row>
    <row r="137575" spans="10:10" x14ac:dyDescent="0.3">
      <c r="J137575"/>
    </row>
    <row r="137576" spans="10:10" x14ac:dyDescent="0.3">
      <c r="J137576"/>
    </row>
    <row r="137577" spans="10:10" x14ac:dyDescent="0.3">
      <c r="J137577"/>
    </row>
    <row r="137578" spans="10:10" x14ac:dyDescent="0.3">
      <c r="J137578"/>
    </row>
    <row r="137579" spans="10:10" x14ac:dyDescent="0.3">
      <c r="J137579"/>
    </row>
    <row r="137580" spans="10:10" x14ac:dyDescent="0.3">
      <c r="J137580"/>
    </row>
    <row r="137581" spans="10:10" x14ac:dyDescent="0.3">
      <c r="J137581"/>
    </row>
    <row r="137582" spans="10:10" x14ac:dyDescent="0.3">
      <c r="J137582"/>
    </row>
    <row r="137583" spans="10:10" x14ac:dyDescent="0.3">
      <c r="J137583"/>
    </row>
    <row r="137584" spans="10:10" x14ac:dyDescent="0.3">
      <c r="J137584"/>
    </row>
    <row r="137585" spans="10:10" x14ac:dyDescent="0.3">
      <c r="J137585"/>
    </row>
    <row r="137586" spans="10:10" x14ac:dyDescent="0.3">
      <c r="J137586"/>
    </row>
    <row r="137587" spans="10:10" x14ac:dyDescent="0.3">
      <c r="J137587"/>
    </row>
    <row r="137588" spans="10:10" x14ac:dyDescent="0.3">
      <c r="J137588"/>
    </row>
    <row r="137589" spans="10:10" x14ac:dyDescent="0.3">
      <c r="J137589"/>
    </row>
    <row r="137590" spans="10:10" x14ac:dyDescent="0.3">
      <c r="J137590"/>
    </row>
    <row r="137591" spans="10:10" x14ac:dyDescent="0.3">
      <c r="J137591"/>
    </row>
    <row r="137592" spans="10:10" x14ac:dyDescent="0.3">
      <c r="J137592"/>
    </row>
    <row r="137593" spans="10:10" x14ac:dyDescent="0.3">
      <c r="J137593"/>
    </row>
    <row r="137594" spans="10:10" x14ac:dyDescent="0.3">
      <c r="J137594"/>
    </row>
    <row r="137595" spans="10:10" x14ac:dyDescent="0.3">
      <c r="J137595"/>
    </row>
    <row r="137596" spans="10:10" x14ac:dyDescent="0.3">
      <c r="J137596"/>
    </row>
    <row r="137597" spans="10:10" x14ac:dyDescent="0.3">
      <c r="J137597"/>
    </row>
    <row r="137598" spans="10:10" x14ac:dyDescent="0.3">
      <c r="J137598"/>
    </row>
    <row r="137599" spans="10:10" x14ac:dyDescent="0.3">
      <c r="J137599"/>
    </row>
    <row r="137600" spans="10:10" x14ac:dyDescent="0.3">
      <c r="J137600"/>
    </row>
    <row r="137601" spans="10:10" x14ac:dyDescent="0.3">
      <c r="J137601"/>
    </row>
    <row r="137602" spans="10:10" x14ac:dyDescent="0.3">
      <c r="J137602"/>
    </row>
    <row r="137603" spans="10:10" x14ac:dyDescent="0.3">
      <c r="J137603"/>
    </row>
    <row r="137604" spans="10:10" x14ac:dyDescent="0.3">
      <c r="J137604"/>
    </row>
    <row r="137605" spans="10:10" x14ac:dyDescent="0.3">
      <c r="J137605"/>
    </row>
    <row r="137606" spans="10:10" x14ac:dyDescent="0.3">
      <c r="J137606"/>
    </row>
    <row r="137607" spans="10:10" x14ac:dyDescent="0.3">
      <c r="J137607"/>
    </row>
    <row r="137608" spans="10:10" x14ac:dyDescent="0.3">
      <c r="J137608"/>
    </row>
    <row r="137609" spans="10:10" x14ac:dyDescent="0.3">
      <c r="J137609"/>
    </row>
    <row r="137610" spans="10:10" x14ac:dyDescent="0.3">
      <c r="J137610"/>
    </row>
    <row r="137611" spans="10:10" x14ac:dyDescent="0.3">
      <c r="J137611"/>
    </row>
    <row r="137612" spans="10:10" x14ac:dyDescent="0.3">
      <c r="J137612"/>
    </row>
    <row r="137613" spans="10:10" x14ac:dyDescent="0.3">
      <c r="J137613"/>
    </row>
    <row r="137614" spans="10:10" x14ac:dyDescent="0.3">
      <c r="J137614"/>
    </row>
    <row r="137615" spans="10:10" x14ac:dyDescent="0.3">
      <c r="J137615"/>
    </row>
    <row r="137616" spans="10:10" x14ac:dyDescent="0.3">
      <c r="J137616"/>
    </row>
    <row r="137617" spans="10:10" x14ac:dyDescent="0.3">
      <c r="J137617"/>
    </row>
    <row r="137618" spans="10:10" x14ac:dyDescent="0.3">
      <c r="J137618"/>
    </row>
    <row r="137619" spans="10:10" x14ac:dyDescent="0.3">
      <c r="J137619"/>
    </row>
    <row r="137620" spans="10:10" x14ac:dyDescent="0.3">
      <c r="J137620"/>
    </row>
    <row r="137621" spans="10:10" x14ac:dyDescent="0.3">
      <c r="J137621"/>
    </row>
    <row r="137622" spans="10:10" x14ac:dyDescent="0.3">
      <c r="J137622"/>
    </row>
    <row r="137623" spans="10:10" x14ac:dyDescent="0.3">
      <c r="J137623"/>
    </row>
    <row r="137624" spans="10:10" x14ac:dyDescent="0.3">
      <c r="J137624"/>
    </row>
    <row r="137625" spans="10:10" x14ac:dyDescent="0.3">
      <c r="J137625"/>
    </row>
    <row r="137626" spans="10:10" x14ac:dyDescent="0.3">
      <c r="J137626"/>
    </row>
    <row r="137627" spans="10:10" x14ac:dyDescent="0.3">
      <c r="J137627"/>
    </row>
    <row r="137628" spans="10:10" x14ac:dyDescent="0.3">
      <c r="J137628"/>
    </row>
    <row r="137629" spans="10:10" x14ac:dyDescent="0.3">
      <c r="J137629"/>
    </row>
    <row r="137630" spans="10:10" x14ac:dyDescent="0.3">
      <c r="J137630"/>
    </row>
    <row r="137631" spans="10:10" x14ac:dyDescent="0.3">
      <c r="J137631"/>
    </row>
    <row r="137632" spans="10:10" x14ac:dyDescent="0.3">
      <c r="J137632"/>
    </row>
    <row r="137633" spans="10:10" x14ac:dyDescent="0.3">
      <c r="J137633"/>
    </row>
    <row r="137634" spans="10:10" x14ac:dyDescent="0.3">
      <c r="J137634"/>
    </row>
    <row r="137635" spans="10:10" x14ac:dyDescent="0.3">
      <c r="J137635"/>
    </row>
    <row r="137636" spans="10:10" x14ac:dyDescent="0.3">
      <c r="J137636"/>
    </row>
    <row r="137637" spans="10:10" x14ac:dyDescent="0.3">
      <c r="J137637"/>
    </row>
    <row r="137638" spans="10:10" x14ac:dyDescent="0.3">
      <c r="J137638"/>
    </row>
    <row r="137639" spans="10:10" x14ac:dyDescent="0.3">
      <c r="J137639"/>
    </row>
    <row r="137640" spans="10:10" x14ac:dyDescent="0.3">
      <c r="J137640"/>
    </row>
    <row r="137641" spans="10:10" x14ac:dyDescent="0.3">
      <c r="J137641"/>
    </row>
    <row r="137642" spans="10:10" x14ac:dyDescent="0.3">
      <c r="J137642"/>
    </row>
    <row r="137643" spans="10:10" x14ac:dyDescent="0.3">
      <c r="J137643"/>
    </row>
    <row r="137644" spans="10:10" x14ac:dyDescent="0.3">
      <c r="J137644"/>
    </row>
    <row r="137645" spans="10:10" x14ac:dyDescent="0.3">
      <c r="J137645"/>
    </row>
    <row r="137646" spans="10:10" x14ac:dyDescent="0.3">
      <c r="J137646"/>
    </row>
    <row r="137647" spans="10:10" x14ac:dyDescent="0.3">
      <c r="J137647"/>
    </row>
    <row r="137648" spans="10:10" x14ac:dyDescent="0.3">
      <c r="J137648"/>
    </row>
    <row r="137649" spans="10:10" x14ac:dyDescent="0.3">
      <c r="J137649"/>
    </row>
    <row r="137650" spans="10:10" x14ac:dyDescent="0.3">
      <c r="J137650"/>
    </row>
    <row r="137651" spans="10:10" x14ac:dyDescent="0.3">
      <c r="J137651"/>
    </row>
    <row r="137652" spans="10:10" x14ac:dyDescent="0.3">
      <c r="J137652"/>
    </row>
    <row r="137653" spans="10:10" x14ac:dyDescent="0.3">
      <c r="J137653"/>
    </row>
    <row r="137654" spans="10:10" x14ac:dyDescent="0.3">
      <c r="J137654"/>
    </row>
    <row r="137655" spans="10:10" x14ac:dyDescent="0.3">
      <c r="J137655"/>
    </row>
    <row r="137656" spans="10:10" x14ac:dyDescent="0.3">
      <c r="J137656"/>
    </row>
    <row r="137657" spans="10:10" x14ac:dyDescent="0.3">
      <c r="J137657"/>
    </row>
    <row r="137658" spans="10:10" x14ac:dyDescent="0.3">
      <c r="J137658"/>
    </row>
    <row r="137659" spans="10:10" x14ac:dyDescent="0.3">
      <c r="J137659"/>
    </row>
    <row r="137660" spans="10:10" x14ac:dyDescent="0.3">
      <c r="J137660"/>
    </row>
    <row r="137661" spans="10:10" x14ac:dyDescent="0.3">
      <c r="J137661"/>
    </row>
    <row r="137662" spans="10:10" x14ac:dyDescent="0.3">
      <c r="J137662"/>
    </row>
    <row r="137663" spans="10:10" x14ac:dyDescent="0.3">
      <c r="J137663"/>
    </row>
    <row r="137664" spans="10:10" x14ac:dyDescent="0.3">
      <c r="J137664"/>
    </row>
    <row r="137665" spans="10:10" x14ac:dyDescent="0.3">
      <c r="J137665"/>
    </row>
    <row r="137666" spans="10:10" x14ac:dyDescent="0.3">
      <c r="J137666"/>
    </row>
    <row r="137667" spans="10:10" x14ac:dyDescent="0.3">
      <c r="J137667"/>
    </row>
    <row r="137668" spans="10:10" x14ac:dyDescent="0.3">
      <c r="J137668"/>
    </row>
    <row r="137669" spans="10:10" x14ac:dyDescent="0.3">
      <c r="J137669"/>
    </row>
    <row r="137670" spans="10:10" x14ac:dyDescent="0.3">
      <c r="J137670"/>
    </row>
    <row r="137671" spans="10:10" x14ac:dyDescent="0.3">
      <c r="J137671"/>
    </row>
    <row r="137672" spans="10:10" x14ac:dyDescent="0.3">
      <c r="J137672"/>
    </row>
    <row r="137673" spans="10:10" x14ac:dyDescent="0.3">
      <c r="J137673"/>
    </row>
    <row r="137674" spans="10:10" x14ac:dyDescent="0.3">
      <c r="J137674"/>
    </row>
    <row r="137675" spans="10:10" x14ac:dyDescent="0.3">
      <c r="J137675"/>
    </row>
    <row r="137676" spans="10:10" x14ac:dyDescent="0.3">
      <c r="J137676"/>
    </row>
    <row r="137677" spans="10:10" x14ac:dyDescent="0.3">
      <c r="J137677"/>
    </row>
    <row r="137678" spans="10:10" x14ac:dyDescent="0.3">
      <c r="J137678"/>
    </row>
    <row r="137679" spans="10:10" x14ac:dyDescent="0.3">
      <c r="J137679"/>
    </row>
    <row r="137680" spans="10:10" x14ac:dyDescent="0.3">
      <c r="J137680"/>
    </row>
    <row r="137681" spans="10:10" x14ac:dyDescent="0.3">
      <c r="J137681"/>
    </row>
    <row r="137682" spans="10:10" x14ac:dyDescent="0.3">
      <c r="J137682"/>
    </row>
    <row r="137683" spans="10:10" x14ac:dyDescent="0.3">
      <c r="J137683"/>
    </row>
    <row r="137684" spans="10:10" x14ac:dyDescent="0.3">
      <c r="J137684"/>
    </row>
    <row r="137685" spans="10:10" x14ac:dyDescent="0.3">
      <c r="J137685"/>
    </row>
    <row r="137686" spans="10:10" x14ac:dyDescent="0.3">
      <c r="J137686"/>
    </row>
    <row r="137687" spans="10:10" x14ac:dyDescent="0.3">
      <c r="J137687"/>
    </row>
    <row r="137688" spans="10:10" x14ac:dyDescent="0.3">
      <c r="J137688"/>
    </row>
    <row r="137689" spans="10:10" x14ac:dyDescent="0.3">
      <c r="J137689"/>
    </row>
    <row r="137690" spans="10:10" x14ac:dyDescent="0.3">
      <c r="J137690"/>
    </row>
    <row r="137691" spans="10:10" x14ac:dyDescent="0.3">
      <c r="J137691"/>
    </row>
    <row r="137692" spans="10:10" x14ac:dyDescent="0.3">
      <c r="J137692"/>
    </row>
    <row r="137693" spans="10:10" x14ac:dyDescent="0.3">
      <c r="J137693"/>
    </row>
    <row r="137694" spans="10:10" x14ac:dyDescent="0.3">
      <c r="J137694"/>
    </row>
    <row r="137695" spans="10:10" x14ac:dyDescent="0.3">
      <c r="J137695"/>
    </row>
    <row r="137696" spans="10:10" x14ac:dyDescent="0.3">
      <c r="J137696"/>
    </row>
    <row r="137697" spans="10:10" x14ac:dyDescent="0.3">
      <c r="J137697"/>
    </row>
    <row r="137698" spans="10:10" x14ac:dyDescent="0.3">
      <c r="J137698"/>
    </row>
    <row r="137699" spans="10:10" x14ac:dyDescent="0.3">
      <c r="J137699"/>
    </row>
    <row r="137700" spans="10:10" x14ac:dyDescent="0.3">
      <c r="J137700"/>
    </row>
    <row r="137701" spans="10:10" x14ac:dyDescent="0.3">
      <c r="J137701"/>
    </row>
    <row r="137702" spans="10:10" x14ac:dyDescent="0.3">
      <c r="J137702"/>
    </row>
    <row r="137703" spans="10:10" x14ac:dyDescent="0.3">
      <c r="J137703"/>
    </row>
    <row r="137704" spans="10:10" x14ac:dyDescent="0.3">
      <c r="J137704"/>
    </row>
    <row r="137705" spans="10:10" x14ac:dyDescent="0.3">
      <c r="J137705"/>
    </row>
    <row r="137706" spans="10:10" x14ac:dyDescent="0.3">
      <c r="J137706"/>
    </row>
    <row r="137707" spans="10:10" x14ac:dyDescent="0.3">
      <c r="J137707"/>
    </row>
    <row r="137708" spans="10:10" x14ac:dyDescent="0.3">
      <c r="J137708"/>
    </row>
    <row r="137709" spans="10:10" x14ac:dyDescent="0.3">
      <c r="J137709"/>
    </row>
    <row r="137710" spans="10:10" x14ac:dyDescent="0.3">
      <c r="J137710"/>
    </row>
    <row r="137711" spans="10:10" x14ac:dyDescent="0.3">
      <c r="J137711"/>
    </row>
    <row r="137712" spans="10:10" x14ac:dyDescent="0.3">
      <c r="J137712"/>
    </row>
    <row r="137713" spans="10:10" x14ac:dyDescent="0.3">
      <c r="J137713"/>
    </row>
    <row r="137714" spans="10:10" x14ac:dyDescent="0.3">
      <c r="J137714"/>
    </row>
    <row r="137715" spans="10:10" x14ac:dyDescent="0.3">
      <c r="J137715"/>
    </row>
    <row r="137716" spans="10:10" x14ac:dyDescent="0.3">
      <c r="J137716"/>
    </row>
    <row r="137717" spans="10:10" x14ac:dyDescent="0.3">
      <c r="J137717"/>
    </row>
    <row r="137718" spans="10:10" x14ac:dyDescent="0.3">
      <c r="J137718"/>
    </row>
    <row r="137719" spans="10:10" x14ac:dyDescent="0.3">
      <c r="J137719"/>
    </row>
    <row r="137720" spans="10:10" x14ac:dyDescent="0.3">
      <c r="J137720"/>
    </row>
    <row r="137721" spans="10:10" x14ac:dyDescent="0.3">
      <c r="J137721"/>
    </row>
    <row r="137722" spans="10:10" x14ac:dyDescent="0.3">
      <c r="J137722"/>
    </row>
    <row r="137723" spans="10:10" x14ac:dyDescent="0.3">
      <c r="J137723"/>
    </row>
    <row r="137724" spans="10:10" x14ac:dyDescent="0.3">
      <c r="J137724"/>
    </row>
    <row r="137725" spans="10:10" x14ac:dyDescent="0.3">
      <c r="J137725"/>
    </row>
    <row r="137726" spans="10:10" x14ac:dyDescent="0.3">
      <c r="J137726"/>
    </row>
    <row r="137727" spans="10:10" x14ac:dyDescent="0.3">
      <c r="J137727"/>
    </row>
    <row r="137728" spans="10:10" x14ac:dyDescent="0.3">
      <c r="J137728"/>
    </row>
    <row r="137729" spans="10:10" x14ac:dyDescent="0.3">
      <c r="J137729"/>
    </row>
    <row r="137730" spans="10:10" x14ac:dyDescent="0.3">
      <c r="J137730"/>
    </row>
    <row r="137731" spans="10:10" x14ac:dyDescent="0.3">
      <c r="J137731"/>
    </row>
    <row r="137732" spans="10:10" x14ac:dyDescent="0.3">
      <c r="J137732"/>
    </row>
    <row r="137733" spans="10:10" x14ac:dyDescent="0.3">
      <c r="J137733"/>
    </row>
    <row r="137734" spans="10:10" x14ac:dyDescent="0.3">
      <c r="J137734"/>
    </row>
    <row r="137735" spans="10:10" x14ac:dyDescent="0.3">
      <c r="J137735"/>
    </row>
    <row r="137736" spans="10:10" x14ac:dyDescent="0.3">
      <c r="J137736"/>
    </row>
    <row r="137737" spans="10:10" x14ac:dyDescent="0.3">
      <c r="J137737"/>
    </row>
    <row r="137738" spans="10:10" x14ac:dyDescent="0.3">
      <c r="J137738"/>
    </row>
    <row r="137739" spans="10:10" x14ac:dyDescent="0.3">
      <c r="J137739"/>
    </row>
    <row r="137740" spans="10:10" x14ac:dyDescent="0.3">
      <c r="J137740"/>
    </row>
    <row r="137741" spans="10:10" x14ac:dyDescent="0.3">
      <c r="J137741"/>
    </row>
    <row r="137742" spans="10:10" x14ac:dyDescent="0.3">
      <c r="J137742"/>
    </row>
    <row r="137743" spans="10:10" x14ac:dyDescent="0.3">
      <c r="J137743"/>
    </row>
    <row r="137744" spans="10:10" x14ac:dyDescent="0.3">
      <c r="J137744"/>
    </row>
    <row r="137745" spans="10:10" x14ac:dyDescent="0.3">
      <c r="J137745"/>
    </row>
    <row r="137746" spans="10:10" x14ac:dyDescent="0.3">
      <c r="J137746"/>
    </row>
    <row r="137747" spans="10:10" x14ac:dyDescent="0.3">
      <c r="J137747"/>
    </row>
    <row r="137748" spans="10:10" x14ac:dyDescent="0.3">
      <c r="J137748"/>
    </row>
    <row r="137749" spans="10:10" x14ac:dyDescent="0.3">
      <c r="J137749"/>
    </row>
    <row r="137750" spans="10:10" x14ac:dyDescent="0.3">
      <c r="J137750"/>
    </row>
    <row r="137751" spans="10:10" x14ac:dyDescent="0.3">
      <c r="J137751"/>
    </row>
    <row r="137752" spans="10:10" x14ac:dyDescent="0.3">
      <c r="J137752"/>
    </row>
    <row r="137753" spans="10:10" x14ac:dyDescent="0.3">
      <c r="J137753"/>
    </row>
    <row r="137754" spans="10:10" x14ac:dyDescent="0.3">
      <c r="J137754"/>
    </row>
    <row r="137755" spans="10:10" x14ac:dyDescent="0.3">
      <c r="J137755"/>
    </row>
    <row r="137756" spans="10:10" x14ac:dyDescent="0.3">
      <c r="J137756"/>
    </row>
    <row r="137757" spans="10:10" x14ac:dyDescent="0.3">
      <c r="J137757"/>
    </row>
    <row r="137758" spans="10:10" x14ac:dyDescent="0.3">
      <c r="J137758"/>
    </row>
    <row r="137759" spans="10:10" x14ac:dyDescent="0.3">
      <c r="J137759"/>
    </row>
    <row r="137760" spans="10:10" x14ac:dyDescent="0.3">
      <c r="J137760"/>
    </row>
    <row r="137761" spans="10:10" x14ac:dyDescent="0.3">
      <c r="J137761"/>
    </row>
    <row r="137762" spans="10:10" x14ac:dyDescent="0.3">
      <c r="J137762"/>
    </row>
    <row r="137763" spans="10:10" x14ac:dyDescent="0.3">
      <c r="J137763"/>
    </row>
    <row r="137764" spans="10:10" x14ac:dyDescent="0.3">
      <c r="J137764"/>
    </row>
    <row r="137765" spans="10:10" x14ac:dyDescent="0.3">
      <c r="J137765"/>
    </row>
    <row r="137766" spans="10:10" x14ac:dyDescent="0.3">
      <c r="J137766"/>
    </row>
    <row r="137767" spans="10:10" x14ac:dyDescent="0.3">
      <c r="J137767"/>
    </row>
    <row r="137768" spans="10:10" x14ac:dyDescent="0.3">
      <c r="J137768"/>
    </row>
    <row r="137769" spans="10:10" x14ac:dyDescent="0.3">
      <c r="J137769"/>
    </row>
    <row r="137770" spans="10:10" x14ac:dyDescent="0.3">
      <c r="J137770"/>
    </row>
    <row r="137771" spans="10:10" x14ac:dyDescent="0.3">
      <c r="J137771"/>
    </row>
    <row r="137772" spans="10:10" x14ac:dyDescent="0.3">
      <c r="J137772"/>
    </row>
    <row r="137773" spans="10:10" x14ac:dyDescent="0.3">
      <c r="J137773"/>
    </row>
    <row r="137774" spans="10:10" x14ac:dyDescent="0.3">
      <c r="J137774"/>
    </row>
    <row r="137775" spans="10:10" x14ac:dyDescent="0.3">
      <c r="J137775"/>
    </row>
    <row r="137776" spans="10:10" x14ac:dyDescent="0.3">
      <c r="J137776"/>
    </row>
    <row r="137777" spans="10:10" x14ac:dyDescent="0.3">
      <c r="J137777"/>
    </row>
    <row r="137778" spans="10:10" x14ac:dyDescent="0.3">
      <c r="J137778"/>
    </row>
    <row r="137779" spans="10:10" x14ac:dyDescent="0.3">
      <c r="J137779"/>
    </row>
    <row r="137780" spans="10:10" x14ac:dyDescent="0.3">
      <c r="J137780"/>
    </row>
    <row r="137781" spans="10:10" x14ac:dyDescent="0.3">
      <c r="J137781"/>
    </row>
    <row r="137782" spans="10:10" x14ac:dyDescent="0.3">
      <c r="J137782"/>
    </row>
    <row r="137783" spans="10:10" x14ac:dyDescent="0.3">
      <c r="J137783"/>
    </row>
    <row r="137784" spans="10:10" x14ac:dyDescent="0.3">
      <c r="J137784"/>
    </row>
    <row r="137785" spans="10:10" x14ac:dyDescent="0.3">
      <c r="J137785"/>
    </row>
    <row r="137786" spans="10:10" x14ac:dyDescent="0.3">
      <c r="J137786"/>
    </row>
    <row r="137787" spans="10:10" x14ac:dyDescent="0.3">
      <c r="J137787"/>
    </row>
    <row r="137788" spans="10:10" x14ac:dyDescent="0.3">
      <c r="J137788"/>
    </row>
    <row r="137789" spans="10:10" x14ac:dyDescent="0.3">
      <c r="J137789"/>
    </row>
    <row r="137790" spans="10:10" x14ac:dyDescent="0.3">
      <c r="J137790"/>
    </row>
    <row r="137791" spans="10:10" x14ac:dyDescent="0.3">
      <c r="J137791"/>
    </row>
    <row r="137792" spans="10:10" x14ac:dyDescent="0.3">
      <c r="J137792"/>
    </row>
    <row r="137793" spans="10:10" x14ac:dyDescent="0.3">
      <c r="J137793"/>
    </row>
    <row r="137794" spans="10:10" x14ac:dyDescent="0.3">
      <c r="J137794"/>
    </row>
    <row r="137795" spans="10:10" x14ac:dyDescent="0.3">
      <c r="J137795"/>
    </row>
    <row r="137796" spans="10:10" x14ac:dyDescent="0.3">
      <c r="J137796"/>
    </row>
    <row r="137797" spans="10:10" x14ac:dyDescent="0.3">
      <c r="J137797"/>
    </row>
    <row r="137798" spans="10:10" x14ac:dyDescent="0.3">
      <c r="J137798"/>
    </row>
    <row r="137799" spans="10:10" x14ac:dyDescent="0.3">
      <c r="J137799"/>
    </row>
    <row r="137800" spans="10:10" x14ac:dyDescent="0.3">
      <c r="J137800"/>
    </row>
    <row r="137801" spans="10:10" x14ac:dyDescent="0.3">
      <c r="J137801"/>
    </row>
    <row r="137802" spans="10:10" x14ac:dyDescent="0.3">
      <c r="J137802"/>
    </row>
    <row r="137803" spans="10:10" x14ac:dyDescent="0.3">
      <c r="J137803"/>
    </row>
    <row r="137804" spans="10:10" x14ac:dyDescent="0.3">
      <c r="J137804"/>
    </row>
    <row r="137805" spans="10:10" x14ac:dyDescent="0.3">
      <c r="J137805"/>
    </row>
    <row r="137806" spans="10:10" x14ac:dyDescent="0.3">
      <c r="J137806"/>
    </row>
    <row r="137807" spans="10:10" x14ac:dyDescent="0.3">
      <c r="J137807"/>
    </row>
    <row r="137808" spans="10:10" x14ac:dyDescent="0.3">
      <c r="J137808"/>
    </row>
    <row r="137809" spans="10:10" x14ac:dyDescent="0.3">
      <c r="J137809"/>
    </row>
    <row r="137810" spans="10:10" x14ac:dyDescent="0.3">
      <c r="J137810"/>
    </row>
    <row r="137811" spans="10:10" x14ac:dyDescent="0.3">
      <c r="J137811"/>
    </row>
    <row r="137812" spans="10:10" x14ac:dyDescent="0.3">
      <c r="J137812"/>
    </row>
    <row r="137813" spans="10:10" x14ac:dyDescent="0.3">
      <c r="J137813"/>
    </row>
    <row r="137814" spans="10:10" x14ac:dyDescent="0.3">
      <c r="J137814"/>
    </row>
    <row r="137815" spans="10:10" x14ac:dyDescent="0.3">
      <c r="J137815"/>
    </row>
    <row r="137816" spans="10:10" x14ac:dyDescent="0.3">
      <c r="J137816"/>
    </row>
    <row r="137817" spans="10:10" x14ac:dyDescent="0.3">
      <c r="J137817"/>
    </row>
    <row r="137818" spans="10:10" x14ac:dyDescent="0.3">
      <c r="J137818"/>
    </row>
    <row r="137819" spans="10:10" x14ac:dyDescent="0.3">
      <c r="J137819"/>
    </row>
    <row r="137820" spans="10:10" x14ac:dyDescent="0.3">
      <c r="J137820"/>
    </row>
    <row r="137821" spans="10:10" x14ac:dyDescent="0.3">
      <c r="J137821"/>
    </row>
    <row r="137822" spans="10:10" x14ac:dyDescent="0.3">
      <c r="J137822"/>
    </row>
    <row r="137823" spans="10:10" x14ac:dyDescent="0.3">
      <c r="J137823"/>
    </row>
    <row r="137824" spans="10:10" x14ac:dyDescent="0.3">
      <c r="J137824"/>
    </row>
    <row r="137825" spans="10:10" x14ac:dyDescent="0.3">
      <c r="J137825"/>
    </row>
    <row r="137826" spans="10:10" x14ac:dyDescent="0.3">
      <c r="J137826"/>
    </row>
    <row r="137827" spans="10:10" x14ac:dyDescent="0.3">
      <c r="J137827"/>
    </row>
    <row r="137828" spans="10:10" x14ac:dyDescent="0.3">
      <c r="J137828"/>
    </row>
    <row r="137829" spans="10:10" x14ac:dyDescent="0.3">
      <c r="J137829"/>
    </row>
    <row r="137830" spans="10:10" x14ac:dyDescent="0.3">
      <c r="J137830"/>
    </row>
    <row r="137831" spans="10:10" x14ac:dyDescent="0.3">
      <c r="J137831"/>
    </row>
    <row r="137832" spans="10:10" x14ac:dyDescent="0.3">
      <c r="J137832"/>
    </row>
    <row r="137833" spans="10:10" x14ac:dyDescent="0.3">
      <c r="J137833"/>
    </row>
    <row r="137834" spans="10:10" x14ac:dyDescent="0.3">
      <c r="J137834"/>
    </row>
    <row r="137835" spans="10:10" x14ac:dyDescent="0.3">
      <c r="J137835"/>
    </row>
    <row r="137836" spans="10:10" x14ac:dyDescent="0.3">
      <c r="J137836"/>
    </row>
    <row r="137837" spans="10:10" x14ac:dyDescent="0.3">
      <c r="J137837"/>
    </row>
    <row r="137838" spans="10:10" x14ac:dyDescent="0.3">
      <c r="J137838"/>
    </row>
    <row r="137839" spans="10:10" x14ac:dyDescent="0.3">
      <c r="J137839"/>
    </row>
    <row r="137840" spans="10:10" x14ac:dyDescent="0.3">
      <c r="J137840"/>
    </row>
    <row r="137841" spans="10:10" x14ac:dyDescent="0.3">
      <c r="J137841"/>
    </row>
    <row r="137842" spans="10:10" x14ac:dyDescent="0.3">
      <c r="J137842"/>
    </row>
    <row r="137843" spans="10:10" x14ac:dyDescent="0.3">
      <c r="J137843"/>
    </row>
    <row r="137844" spans="10:10" x14ac:dyDescent="0.3">
      <c r="J137844"/>
    </row>
    <row r="137845" spans="10:10" x14ac:dyDescent="0.3">
      <c r="J137845"/>
    </row>
    <row r="137846" spans="10:10" x14ac:dyDescent="0.3">
      <c r="J137846"/>
    </row>
    <row r="137847" spans="10:10" x14ac:dyDescent="0.3">
      <c r="J137847"/>
    </row>
    <row r="137848" spans="10:10" x14ac:dyDescent="0.3">
      <c r="J137848"/>
    </row>
    <row r="137849" spans="10:10" x14ac:dyDescent="0.3">
      <c r="J137849"/>
    </row>
    <row r="137850" spans="10:10" x14ac:dyDescent="0.3">
      <c r="J137850"/>
    </row>
    <row r="137851" spans="10:10" x14ac:dyDescent="0.3">
      <c r="J137851"/>
    </row>
    <row r="137852" spans="10:10" x14ac:dyDescent="0.3">
      <c r="J137852"/>
    </row>
    <row r="137853" spans="10:10" x14ac:dyDescent="0.3">
      <c r="J137853"/>
    </row>
    <row r="137854" spans="10:10" x14ac:dyDescent="0.3">
      <c r="J137854"/>
    </row>
    <row r="137855" spans="10:10" x14ac:dyDescent="0.3">
      <c r="J137855"/>
    </row>
    <row r="137856" spans="10:10" x14ac:dyDescent="0.3">
      <c r="J137856"/>
    </row>
    <row r="137857" spans="10:10" x14ac:dyDescent="0.3">
      <c r="J137857"/>
    </row>
    <row r="137858" spans="10:10" x14ac:dyDescent="0.3">
      <c r="J137858"/>
    </row>
    <row r="137859" spans="10:10" x14ac:dyDescent="0.3">
      <c r="J137859"/>
    </row>
    <row r="137860" spans="10:10" x14ac:dyDescent="0.3">
      <c r="J137860"/>
    </row>
    <row r="137861" spans="10:10" x14ac:dyDescent="0.3">
      <c r="J137861"/>
    </row>
    <row r="137862" spans="10:10" x14ac:dyDescent="0.3">
      <c r="J137862"/>
    </row>
    <row r="137863" spans="10:10" x14ac:dyDescent="0.3">
      <c r="J137863"/>
    </row>
    <row r="137864" spans="10:10" x14ac:dyDescent="0.3">
      <c r="J137864"/>
    </row>
    <row r="137865" spans="10:10" x14ac:dyDescent="0.3">
      <c r="J137865"/>
    </row>
    <row r="137866" spans="10:10" x14ac:dyDescent="0.3">
      <c r="J137866"/>
    </row>
    <row r="137867" spans="10:10" x14ac:dyDescent="0.3">
      <c r="J137867"/>
    </row>
    <row r="137868" spans="10:10" x14ac:dyDescent="0.3">
      <c r="J137868"/>
    </row>
    <row r="137869" spans="10:10" x14ac:dyDescent="0.3">
      <c r="J137869"/>
    </row>
    <row r="137870" spans="10:10" x14ac:dyDescent="0.3">
      <c r="J137870"/>
    </row>
    <row r="137871" spans="10:10" x14ac:dyDescent="0.3">
      <c r="J137871"/>
    </row>
    <row r="137872" spans="10:10" x14ac:dyDescent="0.3">
      <c r="J137872"/>
    </row>
    <row r="137873" spans="10:10" x14ac:dyDescent="0.3">
      <c r="J137873"/>
    </row>
    <row r="137874" spans="10:10" x14ac:dyDescent="0.3">
      <c r="J137874"/>
    </row>
    <row r="137875" spans="10:10" x14ac:dyDescent="0.3">
      <c r="J137875"/>
    </row>
    <row r="137876" spans="10:10" x14ac:dyDescent="0.3">
      <c r="J137876"/>
    </row>
    <row r="137877" spans="10:10" x14ac:dyDescent="0.3">
      <c r="J137877"/>
    </row>
    <row r="137878" spans="10:10" x14ac:dyDescent="0.3">
      <c r="J137878"/>
    </row>
    <row r="137879" spans="10:10" x14ac:dyDescent="0.3">
      <c r="J137879"/>
    </row>
    <row r="137880" spans="10:10" x14ac:dyDescent="0.3">
      <c r="J137880"/>
    </row>
    <row r="137881" spans="10:10" x14ac:dyDescent="0.3">
      <c r="J137881"/>
    </row>
    <row r="137882" spans="10:10" x14ac:dyDescent="0.3">
      <c r="J137882"/>
    </row>
    <row r="137883" spans="10:10" x14ac:dyDescent="0.3">
      <c r="J137883"/>
    </row>
    <row r="137884" spans="10:10" x14ac:dyDescent="0.3">
      <c r="J137884"/>
    </row>
    <row r="137885" spans="10:10" x14ac:dyDescent="0.3">
      <c r="J137885"/>
    </row>
    <row r="137886" spans="10:10" x14ac:dyDescent="0.3">
      <c r="J137886"/>
    </row>
    <row r="137887" spans="10:10" x14ac:dyDescent="0.3">
      <c r="J137887"/>
    </row>
    <row r="137888" spans="10:10" x14ac:dyDescent="0.3">
      <c r="J137888"/>
    </row>
    <row r="137889" spans="10:10" x14ac:dyDescent="0.3">
      <c r="J137889"/>
    </row>
    <row r="137890" spans="10:10" x14ac:dyDescent="0.3">
      <c r="J137890"/>
    </row>
    <row r="137891" spans="10:10" x14ac:dyDescent="0.3">
      <c r="J137891"/>
    </row>
    <row r="137892" spans="10:10" x14ac:dyDescent="0.3">
      <c r="J137892"/>
    </row>
    <row r="137893" spans="10:10" x14ac:dyDescent="0.3">
      <c r="J137893"/>
    </row>
    <row r="137894" spans="10:10" x14ac:dyDescent="0.3">
      <c r="J137894"/>
    </row>
    <row r="137895" spans="10:10" x14ac:dyDescent="0.3">
      <c r="J137895"/>
    </row>
    <row r="137896" spans="10:10" x14ac:dyDescent="0.3">
      <c r="J137896"/>
    </row>
    <row r="137897" spans="10:10" x14ac:dyDescent="0.3">
      <c r="J137897"/>
    </row>
    <row r="137898" spans="10:10" x14ac:dyDescent="0.3">
      <c r="J137898"/>
    </row>
    <row r="137899" spans="10:10" x14ac:dyDescent="0.3">
      <c r="J137899"/>
    </row>
    <row r="137900" spans="10:10" x14ac:dyDescent="0.3">
      <c r="J137900"/>
    </row>
    <row r="137901" spans="10:10" x14ac:dyDescent="0.3">
      <c r="J137901"/>
    </row>
    <row r="137902" spans="10:10" x14ac:dyDescent="0.3">
      <c r="J137902"/>
    </row>
    <row r="137903" spans="10:10" x14ac:dyDescent="0.3">
      <c r="J137903"/>
    </row>
    <row r="137904" spans="10:10" x14ac:dyDescent="0.3">
      <c r="J137904"/>
    </row>
    <row r="137905" spans="10:10" x14ac:dyDescent="0.3">
      <c r="J137905"/>
    </row>
    <row r="137906" spans="10:10" x14ac:dyDescent="0.3">
      <c r="J137906"/>
    </row>
    <row r="137907" spans="10:10" x14ac:dyDescent="0.3">
      <c r="J137907"/>
    </row>
    <row r="137908" spans="10:10" x14ac:dyDescent="0.3">
      <c r="J137908"/>
    </row>
    <row r="137909" spans="10:10" x14ac:dyDescent="0.3">
      <c r="J137909"/>
    </row>
    <row r="137910" spans="10:10" x14ac:dyDescent="0.3">
      <c r="J137910"/>
    </row>
    <row r="137911" spans="10:10" x14ac:dyDescent="0.3">
      <c r="J137911"/>
    </row>
    <row r="137912" spans="10:10" x14ac:dyDescent="0.3">
      <c r="J137912"/>
    </row>
    <row r="137913" spans="10:10" x14ac:dyDescent="0.3">
      <c r="J137913"/>
    </row>
    <row r="137914" spans="10:10" x14ac:dyDescent="0.3">
      <c r="J137914"/>
    </row>
    <row r="137915" spans="10:10" x14ac:dyDescent="0.3">
      <c r="J137915"/>
    </row>
    <row r="137916" spans="10:10" x14ac:dyDescent="0.3">
      <c r="J137916"/>
    </row>
    <row r="137917" spans="10:10" x14ac:dyDescent="0.3">
      <c r="J137917"/>
    </row>
    <row r="137918" spans="10:10" x14ac:dyDescent="0.3">
      <c r="J137918"/>
    </row>
    <row r="137919" spans="10:10" x14ac:dyDescent="0.3">
      <c r="J137919"/>
    </row>
    <row r="137920" spans="10:10" x14ac:dyDescent="0.3">
      <c r="J137920"/>
    </row>
    <row r="137921" spans="10:10" x14ac:dyDescent="0.3">
      <c r="J137921"/>
    </row>
    <row r="137922" spans="10:10" x14ac:dyDescent="0.3">
      <c r="J137922"/>
    </row>
    <row r="137923" spans="10:10" x14ac:dyDescent="0.3">
      <c r="J137923"/>
    </row>
    <row r="137924" spans="10:10" x14ac:dyDescent="0.3">
      <c r="J137924"/>
    </row>
    <row r="137925" spans="10:10" x14ac:dyDescent="0.3">
      <c r="J137925"/>
    </row>
    <row r="137926" spans="10:10" x14ac:dyDescent="0.3">
      <c r="J137926"/>
    </row>
    <row r="137927" spans="10:10" x14ac:dyDescent="0.3">
      <c r="J137927"/>
    </row>
    <row r="137928" spans="10:10" x14ac:dyDescent="0.3">
      <c r="J137928"/>
    </row>
    <row r="137929" spans="10:10" x14ac:dyDescent="0.3">
      <c r="J137929"/>
    </row>
    <row r="137930" spans="10:10" x14ac:dyDescent="0.3">
      <c r="J137930"/>
    </row>
    <row r="137931" spans="10:10" x14ac:dyDescent="0.3">
      <c r="J137931"/>
    </row>
    <row r="137932" spans="10:10" x14ac:dyDescent="0.3">
      <c r="J137932"/>
    </row>
    <row r="137933" spans="10:10" x14ac:dyDescent="0.3">
      <c r="J137933"/>
    </row>
    <row r="137934" spans="10:10" x14ac:dyDescent="0.3">
      <c r="J137934"/>
    </row>
    <row r="137935" spans="10:10" x14ac:dyDescent="0.3">
      <c r="J137935"/>
    </row>
    <row r="137936" spans="10:10" x14ac:dyDescent="0.3">
      <c r="J137936"/>
    </row>
    <row r="137937" spans="10:10" x14ac:dyDescent="0.3">
      <c r="J137937"/>
    </row>
    <row r="137938" spans="10:10" x14ac:dyDescent="0.3">
      <c r="J137938"/>
    </row>
    <row r="137939" spans="10:10" x14ac:dyDescent="0.3">
      <c r="J137939"/>
    </row>
    <row r="137940" spans="10:10" x14ac:dyDescent="0.3">
      <c r="J137940"/>
    </row>
    <row r="137941" spans="10:10" x14ac:dyDescent="0.3">
      <c r="J137941"/>
    </row>
    <row r="137942" spans="10:10" x14ac:dyDescent="0.3">
      <c r="J137942"/>
    </row>
    <row r="137943" spans="10:10" x14ac:dyDescent="0.3">
      <c r="J137943"/>
    </row>
    <row r="137944" spans="10:10" x14ac:dyDescent="0.3">
      <c r="J137944"/>
    </row>
    <row r="137945" spans="10:10" x14ac:dyDescent="0.3">
      <c r="J137945"/>
    </row>
    <row r="137946" spans="10:10" x14ac:dyDescent="0.3">
      <c r="J137946"/>
    </row>
    <row r="137947" spans="10:10" x14ac:dyDescent="0.3">
      <c r="J137947"/>
    </row>
    <row r="137948" spans="10:10" x14ac:dyDescent="0.3">
      <c r="J137948"/>
    </row>
    <row r="137949" spans="10:10" x14ac:dyDescent="0.3">
      <c r="J137949"/>
    </row>
    <row r="137950" spans="10:10" x14ac:dyDescent="0.3">
      <c r="J137950"/>
    </row>
    <row r="137951" spans="10:10" x14ac:dyDescent="0.3">
      <c r="J137951"/>
    </row>
    <row r="137952" spans="10:10" x14ac:dyDescent="0.3">
      <c r="J137952"/>
    </row>
    <row r="137953" spans="10:10" x14ac:dyDescent="0.3">
      <c r="J137953"/>
    </row>
    <row r="137954" spans="10:10" x14ac:dyDescent="0.3">
      <c r="J137954"/>
    </row>
    <row r="137955" spans="10:10" x14ac:dyDescent="0.3">
      <c r="J137955"/>
    </row>
    <row r="137956" spans="10:10" x14ac:dyDescent="0.3">
      <c r="J137956"/>
    </row>
    <row r="137957" spans="10:10" x14ac:dyDescent="0.3">
      <c r="J137957"/>
    </row>
    <row r="137958" spans="10:10" x14ac:dyDescent="0.3">
      <c r="J137958"/>
    </row>
    <row r="137959" spans="10:10" x14ac:dyDescent="0.3">
      <c r="J137959"/>
    </row>
    <row r="137960" spans="10:10" x14ac:dyDescent="0.3">
      <c r="J137960"/>
    </row>
    <row r="137961" spans="10:10" x14ac:dyDescent="0.3">
      <c r="J137961"/>
    </row>
    <row r="137962" spans="10:10" x14ac:dyDescent="0.3">
      <c r="J137962"/>
    </row>
    <row r="137963" spans="10:10" x14ac:dyDescent="0.3">
      <c r="J137963"/>
    </row>
    <row r="137964" spans="10:10" x14ac:dyDescent="0.3">
      <c r="J137964"/>
    </row>
    <row r="137965" spans="10:10" x14ac:dyDescent="0.3">
      <c r="J137965"/>
    </row>
    <row r="137966" spans="10:10" x14ac:dyDescent="0.3">
      <c r="J137966"/>
    </row>
    <row r="137967" spans="10:10" x14ac:dyDescent="0.3">
      <c r="J137967"/>
    </row>
    <row r="137968" spans="10:10" x14ac:dyDescent="0.3">
      <c r="J137968"/>
    </row>
    <row r="137969" spans="10:10" x14ac:dyDescent="0.3">
      <c r="J137969"/>
    </row>
    <row r="137970" spans="10:10" x14ac:dyDescent="0.3">
      <c r="J137970"/>
    </row>
    <row r="137971" spans="10:10" x14ac:dyDescent="0.3">
      <c r="J137971"/>
    </row>
    <row r="137972" spans="10:10" x14ac:dyDescent="0.3">
      <c r="J137972"/>
    </row>
    <row r="137973" spans="10:10" x14ac:dyDescent="0.3">
      <c r="J137973"/>
    </row>
    <row r="137974" spans="10:10" x14ac:dyDescent="0.3">
      <c r="J137974"/>
    </row>
    <row r="137975" spans="10:10" x14ac:dyDescent="0.3">
      <c r="J137975"/>
    </row>
    <row r="137976" spans="10:10" x14ac:dyDescent="0.3">
      <c r="J137976"/>
    </row>
    <row r="137977" spans="10:10" x14ac:dyDescent="0.3">
      <c r="J137977"/>
    </row>
    <row r="137978" spans="10:10" x14ac:dyDescent="0.3">
      <c r="J137978"/>
    </row>
    <row r="137979" spans="10:10" x14ac:dyDescent="0.3">
      <c r="J137979"/>
    </row>
    <row r="137980" spans="10:10" x14ac:dyDescent="0.3">
      <c r="J137980"/>
    </row>
    <row r="137981" spans="10:10" x14ac:dyDescent="0.3">
      <c r="J137981"/>
    </row>
    <row r="137982" spans="10:10" x14ac:dyDescent="0.3">
      <c r="J137982"/>
    </row>
    <row r="137983" spans="10:10" x14ac:dyDescent="0.3">
      <c r="J137983"/>
    </row>
    <row r="137984" spans="10:10" x14ac:dyDescent="0.3">
      <c r="J137984"/>
    </row>
    <row r="137985" spans="10:10" x14ac:dyDescent="0.3">
      <c r="J137985"/>
    </row>
    <row r="137986" spans="10:10" x14ac:dyDescent="0.3">
      <c r="J137986"/>
    </row>
    <row r="137987" spans="10:10" x14ac:dyDescent="0.3">
      <c r="J137987"/>
    </row>
    <row r="137988" spans="10:10" x14ac:dyDescent="0.3">
      <c r="J137988"/>
    </row>
    <row r="137989" spans="10:10" x14ac:dyDescent="0.3">
      <c r="J137989"/>
    </row>
    <row r="137990" spans="10:10" x14ac:dyDescent="0.3">
      <c r="J137990"/>
    </row>
    <row r="137991" spans="10:10" x14ac:dyDescent="0.3">
      <c r="J137991"/>
    </row>
    <row r="137992" spans="10:10" x14ac:dyDescent="0.3">
      <c r="J137992"/>
    </row>
    <row r="137993" spans="10:10" x14ac:dyDescent="0.3">
      <c r="J137993"/>
    </row>
    <row r="137994" spans="10:10" x14ac:dyDescent="0.3">
      <c r="J137994"/>
    </row>
    <row r="137995" spans="10:10" x14ac:dyDescent="0.3">
      <c r="J137995"/>
    </row>
    <row r="137996" spans="10:10" x14ac:dyDescent="0.3">
      <c r="J137996"/>
    </row>
    <row r="137997" spans="10:10" x14ac:dyDescent="0.3">
      <c r="J137997"/>
    </row>
    <row r="137998" spans="10:10" x14ac:dyDescent="0.3">
      <c r="J137998"/>
    </row>
    <row r="137999" spans="10:10" x14ac:dyDescent="0.3">
      <c r="J137999"/>
    </row>
    <row r="138000" spans="10:10" x14ac:dyDescent="0.3">
      <c r="J138000"/>
    </row>
    <row r="138001" spans="10:10" x14ac:dyDescent="0.3">
      <c r="J138001"/>
    </row>
    <row r="138002" spans="10:10" x14ac:dyDescent="0.3">
      <c r="J138002"/>
    </row>
    <row r="138003" spans="10:10" x14ac:dyDescent="0.3">
      <c r="J138003"/>
    </row>
    <row r="138004" spans="10:10" x14ac:dyDescent="0.3">
      <c r="J138004"/>
    </row>
    <row r="138005" spans="10:10" x14ac:dyDescent="0.3">
      <c r="J138005"/>
    </row>
    <row r="138006" spans="10:10" x14ac:dyDescent="0.3">
      <c r="J138006"/>
    </row>
    <row r="138007" spans="10:10" x14ac:dyDescent="0.3">
      <c r="J138007"/>
    </row>
    <row r="138008" spans="10:10" x14ac:dyDescent="0.3">
      <c r="J138008"/>
    </row>
    <row r="138009" spans="10:10" x14ac:dyDescent="0.3">
      <c r="J138009"/>
    </row>
    <row r="138010" spans="10:10" x14ac:dyDescent="0.3">
      <c r="J138010"/>
    </row>
    <row r="138011" spans="10:10" x14ac:dyDescent="0.3">
      <c r="J138011"/>
    </row>
    <row r="138012" spans="10:10" x14ac:dyDescent="0.3">
      <c r="J138012"/>
    </row>
    <row r="138013" spans="10:10" x14ac:dyDescent="0.3">
      <c r="J138013"/>
    </row>
    <row r="138014" spans="10:10" x14ac:dyDescent="0.3">
      <c r="J138014"/>
    </row>
    <row r="138015" spans="10:10" x14ac:dyDescent="0.3">
      <c r="J138015"/>
    </row>
    <row r="138016" spans="10:10" x14ac:dyDescent="0.3">
      <c r="J138016"/>
    </row>
    <row r="138017" spans="10:10" x14ac:dyDescent="0.3">
      <c r="J138017"/>
    </row>
    <row r="138018" spans="10:10" x14ac:dyDescent="0.3">
      <c r="J138018"/>
    </row>
    <row r="138019" spans="10:10" x14ac:dyDescent="0.3">
      <c r="J138019"/>
    </row>
    <row r="138020" spans="10:10" x14ac:dyDescent="0.3">
      <c r="J138020"/>
    </row>
    <row r="138021" spans="10:10" x14ac:dyDescent="0.3">
      <c r="J138021"/>
    </row>
    <row r="138022" spans="10:10" x14ac:dyDescent="0.3">
      <c r="J138022"/>
    </row>
    <row r="138023" spans="10:10" x14ac:dyDescent="0.3">
      <c r="J138023"/>
    </row>
    <row r="138024" spans="10:10" x14ac:dyDescent="0.3">
      <c r="J138024"/>
    </row>
    <row r="138025" spans="10:10" x14ac:dyDescent="0.3">
      <c r="J138025"/>
    </row>
    <row r="138026" spans="10:10" x14ac:dyDescent="0.3">
      <c r="J138026"/>
    </row>
    <row r="138027" spans="10:10" x14ac:dyDescent="0.3">
      <c r="J138027"/>
    </row>
    <row r="138028" spans="10:10" x14ac:dyDescent="0.3">
      <c r="J138028"/>
    </row>
    <row r="138029" spans="10:10" x14ac:dyDescent="0.3">
      <c r="J138029"/>
    </row>
    <row r="138030" spans="10:10" x14ac:dyDescent="0.3">
      <c r="J138030"/>
    </row>
    <row r="138031" spans="10:10" x14ac:dyDescent="0.3">
      <c r="J138031"/>
    </row>
    <row r="138032" spans="10:10" x14ac:dyDescent="0.3">
      <c r="J138032"/>
    </row>
    <row r="138033" spans="10:10" x14ac:dyDescent="0.3">
      <c r="J138033"/>
    </row>
    <row r="138034" spans="10:10" x14ac:dyDescent="0.3">
      <c r="J138034"/>
    </row>
    <row r="138035" spans="10:10" x14ac:dyDescent="0.3">
      <c r="J138035"/>
    </row>
    <row r="138036" spans="10:10" x14ac:dyDescent="0.3">
      <c r="J138036"/>
    </row>
    <row r="138037" spans="10:10" x14ac:dyDescent="0.3">
      <c r="J138037"/>
    </row>
    <row r="138038" spans="10:10" x14ac:dyDescent="0.3">
      <c r="J138038"/>
    </row>
    <row r="138039" spans="10:10" x14ac:dyDescent="0.3">
      <c r="J138039"/>
    </row>
    <row r="138040" spans="10:10" x14ac:dyDescent="0.3">
      <c r="J138040"/>
    </row>
    <row r="138041" spans="10:10" x14ac:dyDescent="0.3">
      <c r="J138041"/>
    </row>
    <row r="138042" spans="10:10" x14ac:dyDescent="0.3">
      <c r="J138042"/>
    </row>
    <row r="138043" spans="10:10" x14ac:dyDescent="0.3">
      <c r="J138043"/>
    </row>
    <row r="138044" spans="10:10" x14ac:dyDescent="0.3">
      <c r="J138044"/>
    </row>
    <row r="138045" spans="10:10" x14ac:dyDescent="0.3">
      <c r="J138045"/>
    </row>
    <row r="138046" spans="10:10" x14ac:dyDescent="0.3">
      <c r="J138046"/>
    </row>
    <row r="138047" spans="10:10" x14ac:dyDescent="0.3">
      <c r="J138047"/>
    </row>
    <row r="138048" spans="10:10" x14ac:dyDescent="0.3">
      <c r="J138048"/>
    </row>
    <row r="138049" spans="10:10" x14ac:dyDescent="0.3">
      <c r="J138049"/>
    </row>
    <row r="138050" spans="10:10" x14ac:dyDescent="0.3">
      <c r="J138050"/>
    </row>
    <row r="138051" spans="10:10" x14ac:dyDescent="0.3">
      <c r="J138051"/>
    </row>
    <row r="138052" spans="10:10" x14ac:dyDescent="0.3">
      <c r="J138052"/>
    </row>
    <row r="138053" spans="10:10" x14ac:dyDescent="0.3">
      <c r="J138053"/>
    </row>
    <row r="138054" spans="10:10" x14ac:dyDescent="0.3">
      <c r="J138054"/>
    </row>
    <row r="138055" spans="10:10" x14ac:dyDescent="0.3">
      <c r="J138055"/>
    </row>
    <row r="138056" spans="10:10" x14ac:dyDescent="0.3">
      <c r="J138056"/>
    </row>
    <row r="138057" spans="10:10" x14ac:dyDescent="0.3">
      <c r="J138057"/>
    </row>
    <row r="138058" spans="10:10" x14ac:dyDescent="0.3">
      <c r="J138058"/>
    </row>
    <row r="138059" spans="10:10" x14ac:dyDescent="0.3">
      <c r="J138059"/>
    </row>
    <row r="138060" spans="10:10" x14ac:dyDescent="0.3">
      <c r="J138060"/>
    </row>
    <row r="138061" spans="10:10" x14ac:dyDescent="0.3">
      <c r="J138061"/>
    </row>
    <row r="138062" spans="10:10" x14ac:dyDescent="0.3">
      <c r="J138062"/>
    </row>
    <row r="138063" spans="10:10" x14ac:dyDescent="0.3">
      <c r="J138063"/>
    </row>
    <row r="138064" spans="10:10" x14ac:dyDescent="0.3">
      <c r="J138064"/>
    </row>
    <row r="138065" spans="10:10" x14ac:dyDescent="0.3">
      <c r="J138065"/>
    </row>
    <row r="138066" spans="10:10" x14ac:dyDescent="0.3">
      <c r="J138066"/>
    </row>
    <row r="138067" spans="10:10" x14ac:dyDescent="0.3">
      <c r="J138067"/>
    </row>
    <row r="138068" spans="10:10" x14ac:dyDescent="0.3">
      <c r="J138068"/>
    </row>
    <row r="138069" spans="10:10" x14ac:dyDescent="0.3">
      <c r="J138069"/>
    </row>
    <row r="138070" spans="10:10" x14ac:dyDescent="0.3">
      <c r="J138070"/>
    </row>
    <row r="138071" spans="10:10" x14ac:dyDescent="0.3">
      <c r="J138071"/>
    </row>
    <row r="138072" spans="10:10" x14ac:dyDescent="0.3">
      <c r="J138072"/>
    </row>
    <row r="138073" spans="10:10" x14ac:dyDescent="0.3">
      <c r="J138073"/>
    </row>
    <row r="138074" spans="10:10" x14ac:dyDescent="0.3">
      <c r="J138074"/>
    </row>
    <row r="138075" spans="10:10" x14ac:dyDescent="0.3">
      <c r="J138075"/>
    </row>
    <row r="138076" spans="10:10" x14ac:dyDescent="0.3">
      <c r="J138076"/>
    </row>
    <row r="138077" spans="10:10" x14ac:dyDescent="0.3">
      <c r="J138077"/>
    </row>
    <row r="138078" spans="10:10" x14ac:dyDescent="0.3">
      <c r="J138078"/>
    </row>
    <row r="138079" spans="10:10" x14ac:dyDescent="0.3">
      <c r="J138079"/>
    </row>
    <row r="138080" spans="10:10" x14ac:dyDescent="0.3">
      <c r="J138080"/>
    </row>
    <row r="138081" spans="10:10" x14ac:dyDescent="0.3">
      <c r="J138081"/>
    </row>
    <row r="138082" spans="10:10" x14ac:dyDescent="0.3">
      <c r="J138082"/>
    </row>
    <row r="138083" spans="10:10" x14ac:dyDescent="0.3">
      <c r="J138083"/>
    </row>
    <row r="138084" spans="10:10" x14ac:dyDescent="0.3">
      <c r="J138084"/>
    </row>
    <row r="138085" spans="10:10" x14ac:dyDescent="0.3">
      <c r="J138085"/>
    </row>
    <row r="138086" spans="10:10" x14ac:dyDescent="0.3">
      <c r="J138086"/>
    </row>
    <row r="138087" spans="10:10" x14ac:dyDescent="0.3">
      <c r="J138087"/>
    </row>
    <row r="138088" spans="10:10" x14ac:dyDescent="0.3">
      <c r="J138088"/>
    </row>
    <row r="138089" spans="10:10" x14ac:dyDescent="0.3">
      <c r="J138089"/>
    </row>
    <row r="138090" spans="10:10" x14ac:dyDescent="0.3">
      <c r="J138090"/>
    </row>
    <row r="138091" spans="10:10" x14ac:dyDescent="0.3">
      <c r="J138091"/>
    </row>
    <row r="138092" spans="10:10" x14ac:dyDescent="0.3">
      <c r="J138092"/>
    </row>
    <row r="138093" spans="10:10" x14ac:dyDescent="0.3">
      <c r="J138093"/>
    </row>
    <row r="138094" spans="10:10" x14ac:dyDescent="0.3">
      <c r="J138094"/>
    </row>
    <row r="138095" spans="10:10" x14ac:dyDescent="0.3">
      <c r="J138095"/>
    </row>
    <row r="138096" spans="10:10" x14ac:dyDescent="0.3">
      <c r="J138096"/>
    </row>
    <row r="138097" spans="10:10" x14ac:dyDescent="0.3">
      <c r="J138097"/>
    </row>
    <row r="138098" spans="10:10" x14ac:dyDescent="0.3">
      <c r="J138098"/>
    </row>
    <row r="138099" spans="10:10" x14ac:dyDescent="0.3">
      <c r="J138099"/>
    </row>
    <row r="138100" spans="10:10" x14ac:dyDescent="0.3">
      <c r="J138100"/>
    </row>
    <row r="138101" spans="10:10" x14ac:dyDescent="0.3">
      <c r="J138101"/>
    </row>
    <row r="138102" spans="10:10" x14ac:dyDescent="0.3">
      <c r="J138102"/>
    </row>
    <row r="138103" spans="10:10" x14ac:dyDescent="0.3">
      <c r="J138103"/>
    </row>
    <row r="138104" spans="10:10" x14ac:dyDescent="0.3">
      <c r="J138104"/>
    </row>
    <row r="138105" spans="10:10" x14ac:dyDescent="0.3">
      <c r="J138105"/>
    </row>
    <row r="138106" spans="10:10" x14ac:dyDescent="0.3">
      <c r="J138106"/>
    </row>
    <row r="138107" spans="10:10" x14ac:dyDescent="0.3">
      <c r="J138107"/>
    </row>
    <row r="138108" spans="10:10" x14ac:dyDescent="0.3">
      <c r="J138108"/>
    </row>
    <row r="138109" spans="10:10" x14ac:dyDescent="0.3">
      <c r="J138109"/>
    </row>
    <row r="138110" spans="10:10" x14ac:dyDescent="0.3">
      <c r="J138110"/>
    </row>
    <row r="138111" spans="10:10" x14ac:dyDescent="0.3">
      <c r="J138111"/>
    </row>
    <row r="138112" spans="10:10" x14ac:dyDescent="0.3">
      <c r="J138112"/>
    </row>
    <row r="138113" spans="10:10" x14ac:dyDescent="0.3">
      <c r="J138113"/>
    </row>
    <row r="138114" spans="10:10" x14ac:dyDescent="0.3">
      <c r="J138114"/>
    </row>
    <row r="138115" spans="10:10" x14ac:dyDescent="0.3">
      <c r="J138115"/>
    </row>
    <row r="138116" spans="10:10" x14ac:dyDescent="0.3">
      <c r="J138116"/>
    </row>
    <row r="138117" spans="10:10" x14ac:dyDescent="0.3">
      <c r="J138117"/>
    </row>
    <row r="138118" spans="10:10" x14ac:dyDescent="0.3">
      <c r="J138118"/>
    </row>
    <row r="138119" spans="10:10" x14ac:dyDescent="0.3">
      <c r="J138119"/>
    </row>
    <row r="138120" spans="10:10" x14ac:dyDescent="0.3">
      <c r="J138120"/>
    </row>
    <row r="138121" spans="10:10" x14ac:dyDescent="0.3">
      <c r="J138121"/>
    </row>
    <row r="138122" spans="10:10" x14ac:dyDescent="0.3">
      <c r="J138122"/>
    </row>
    <row r="138123" spans="10:10" x14ac:dyDescent="0.3">
      <c r="J138123"/>
    </row>
    <row r="138124" spans="10:10" x14ac:dyDescent="0.3">
      <c r="J138124"/>
    </row>
    <row r="138125" spans="10:10" x14ac:dyDescent="0.3">
      <c r="J138125"/>
    </row>
    <row r="138126" spans="10:10" x14ac:dyDescent="0.3">
      <c r="J138126"/>
    </row>
    <row r="138127" spans="10:10" x14ac:dyDescent="0.3">
      <c r="J138127"/>
    </row>
    <row r="138128" spans="10:10" x14ac:dyDescent="0.3">
      <c r="J138128"/>
    </row>
    <row r="138129" spans="10:10" x14ac:dyDescent="0.3">
      <c r="J138129"/>
    </row>
    <row r="138130" spans="10:10" x14ac:dyDescent="0.3">
      <c r="J138130"/>
    </row>
    <row r="138131" spans="10:10" x14ac:dyDescent="0.3">
      <c r="J138131"/>
    </row>
    <row r="138132" spans="10:10" x14ac:dyDescent="0.3">
      <c r="J138132"/>
    </row>
    <row r="138133" spans="10:10" x14ac:dyDescent="0.3">
      <c r="J138133"/>
    </row>
    <row r="138134" spans="10:10" x14ac:dyDescent="0.3">
      <c r="J138134"/>
    </row>
    <row r="138135" spans="10:10" x14ac:dyDescent="0.3">
      <c r="J138135"/>
    </row>
    <row r="138136" spans="10:10" x14ac:dyDescent="0.3">
      <c r="J138136"/>
    </row>
    <row r="138137" spans="10:10" x14ac:dyDescent="0.3">
      <c r="J138137"/>
    </row>
    <row r="138138" spans="10:10" x14ac:dyDescent="0.3">
      <c r="J138138"/>
    </row>
    <row r="138139" spans="10:10" x14ac:dyDescent="0.3">
      <c r="J138139"/>
    </row>
    <row r="138140" spans="10:10" x14ac:dyDescent="0.3">
      <c r="J138140"/>
    </row>
    <row r="138141" spans="10:10" x14ac:dyDescent="0.3">
      <c r="J138141"/>
    </row>
    <row r="138142" spans="10:10" x14ac:dyDescent="0.3">
      <c r="J138142"/>
    </row>
    <row r="138143" spans="10:10" x14ac:dyDescent="0.3">
      <c r="J138143"/>
    </row>
    <row r="138144" spans="10:10" x14ac:dyDescent="0.3">
      <c r="J138144"/>
    </row>
    <row r="138145" spans="10:10" x14ac:dyDescent="0.3">
      <c r="J138145"/>
    </row>
    <row r="138146" spans="10:10" x14ac:dyDescent="0.3">
      <c r="J138146"/>
    </row>
    <row r="138147" spans="10:10" x14ac:dyDescent="0.3">
      <c r="J138147"/>
    </row>
    <row r="138148" spans="10:10" x14ac:dyDescent="0.3">
      <c r="J138148"/>
    </row>
    <row r="138149" spans="10:10" x14ac:dyDescent="0.3">
      <c r="J138149"/>
    </row>
    <row r="138150" spans="10:10" x14ac:dyDescent="0.3">
      <c r="J138150"/>
    </row>
    <row r="138151" spans="10:10" x14ac:dyDescent="0.3">
      <c r="J138151"/>
    </row>
    <row r="138152" spans="10:10" x14ac:dyDescent="0.3">
      <c r="J138152"/>
    </row>
    <row r="138153" spans="10:10" x14ac:dyDescent="0.3">
      <c r="J138153"/>
    </row>
    <row r="138154" spans="10:10" x14ac:dyDescent="0.3">
      <c r="J138154"/>
    </row>
    <row r="138155" spans="10:10" x14ac:dyDescent="0.3">
      <c r="J138155"/>
    </row>
    <row r="138156" spans="10:10" x14ac:dyDescent="0.3">
      <c r="J138156"/>
    </row>
    <row r="138157" spans="10:10" x14ac:dyDescent="0.3">
      <c r="J138157"/>
    </row>
    <row r="138158" spans="10:10" x14ac:dyDescent="0.3">
      <c r="J138158"/>
    </row>
    <row r="138159" spans="10:10" x14ac:dyDescent="0.3">
      <c r="J138159"/>
    </row>
    <row r="138160" spans="10:10" x14ac:dyDescent="0.3">
      <c r="J138160"/>
    </row>
    <row r="138161" spans="10:10" x14ac:dyDescent="0.3">
      <c r="J138161"/>
    </row>
    <row r="138162" spans="10:10" x14ac:dyDescent="0.3">
      <c r="J138162"/>
    </row>
    <row r="138163" spans="10:10" x14ac:dyDescent="0.3">
      <c r="J138163"/>
    </row>
    <row r="138164" spans="10:10" x14ac:dyDescent="0.3">
      <c r="J138164"/>
    </row>
    <row r="138165" spans="10:10" x14ac:dyDescent="0.3">
      <c r="J138165"/>
    </row>
    <row r="138166" spans="10:10" x14ac:dyDescent="0.3">
      <c r="J138166"/>
    </row>
    <row r="138167" spans="10:10" x14ac:dyDescent="0.3">
      <c r="J138167"/>
    </row>
    <row r="138168" spans="10:10" x14ac:dyDescent="0.3">
      <c r="J138168"/>
    </row>
    <row r="138169" spans="10:10" x14ac:dyDescent="0.3">
      <c r="J138169"/>
    </row>
    <row r="138170" spans="10:10" x14ac:dyDescent="0.3">
      <c r="J138170"/>
    </row>
    <row r="138171" spans="10:10" x14ac:dyDescent="0.3">
      <c r="J138171"/>
    </row>
    <row r="138172" spans="10:10" x14ac:dyDescent="0.3">
      <c r="J138172"/>
    </row>
    <row r="138173" spans="10:10" x14ac:dyDescent="0.3">
      <c r="J138173"/>
    </row>
    <row r="138174" spans="10:10" x14ac:dyDescent="0.3">
      <c r="J138174"/>
    </row>
    <row r="138175" spans="10:10" x14ac:dyDescent="0.3">
      <c r="J138175"/>
    </row>
    <row r="138176" spans="10:10" x14ac:dyDescent="0.3">
      <c r="J138176"/>
    </row>
    <row r="138177" spans="10:10" x14ac:dyDescent="0.3">
      <c r="J138177"/>
    </row>
    <row r="138178" spans="10:10" x14ac:dyDescent="0.3">
      <c r="J138178"/>
    </row>
    <row r="138179" spans="10:10" x14ac:dyDescent="0.3">
      <c r="J138179"/>
    </row>
    <row r="138180" spans="10:10" x14ac:dyDescent="0.3">
      <c r="J138180"/>
    </row>
    <row r="138181" spans="10:10" x14ac:dyDescent="0.3">
      <c r="J138181"/>
    </row>
    <row r="138182" spans="10:10" x14ac:dyDescent="0.3">
      <c r="J138182"/>
    </row>
    <row r="138183" spans="10:10" x14ac:dyDescent="0.3">
      <c r="J138183"/>
    </row>
    <row r="138184" spans="10:10" x14ac:dyDescent="0.3">
      <c r="J138184"/>
    </row>
    <row r="138185" spans="10:10" x14ac:dyDescent="0.3">
      <c r="J138185"/>
    </row>
    <row r="138186" spans="10:10" x14ac:dyDescent="0.3">
      <c r="J138186"/>
    </row>
    <row r="138187" spans="10:10" x14ac:dyDescent="0.3">
      <c r="J138187"/>
    </row>
    <row r="138188" spans="10:10" x14ac:dyDescent="0.3">
      <c r="J138188"/>
    </row>
    <row r="138189" spans="10:10" x14ac:dyDescent="0.3">
      <c r="J138189"/>
    </row>
    <row r="138190" spans="10:10" x14ac:dyDescent="0.3">
      <c r="J138190"/>
    </row>
    <row r="138191" spans="10:10" x14ac:dyDescent="0.3">
      <c r="J138191"/>
    </row>
    <row r="138192" spans="10:10" x14ac:dyDescent="0.3">
      <c r="J138192"/>
    </row>
    <row r="138193" spans="10:10" x14ac:dyDescent="0.3">
      <c r="J138193"/>
    </row>
    <row r="138194" spans="10:10" x14ac:dyDescent="0.3">
      <c r="J138194"/>
    </row>
    <row r="138195" spans="10:10" x14ac:dyDescent="0.3">
      <c r="J138195"/>
    </row>
    <row r="138196" spans="10:10" x14ac:dyDescent="0.3">
      <c r="J138196"/>
    </row>
    <row r="138197" spans="10:10" x14ac:dyDescent="0.3">
      <c r="J138197"/>
    </row>
    <row r="138198" spans="10:10" x14ac:dyDescent="0.3">
      <c r="J138198"/>
    </row>
    <row r="138199" spans="10:10" x14ac:dyDescent="0.3">
      <c r="J138199"/>
    </row>
    <row r="138200" spans="10:10" x14ac:dyDescent="0.3">
      <c r="J138200"/>
    </row>
    <row r="138201" spans="10:10" x14ac:dyDescent="0.3">
      <c r="J138201"/>
    </row>
    <row r="138202" spans="10:10" x14ac:dyDescent="0.3">
      <c r="J138202"/>
    </row>
    <row r="138203" spans="10:10" x14ac:dyDescent="0.3">
      <c r="J138203"/>
    </row>
    <row r="138204" spans="10:10" x14ac:dyDescent="0.3">
      <c r="J138204"/>
    </row>
    <row r="138205" spans="10:10" x14ac:dyDescent="0.3">
      <c r="J138205"/>
    </row>
    <row r="138206" spans="10:10" x14ac:dyDescent="0.3">
      <c r="J138206"/>
    </row>
    <row r="138207" spans="10:10" x14ac:dyDescent="0.3">
      <c r="J138207"/>
    </row>
    <row r="138208" spans="10:10" x14ac:dyDescent="0.3">
      <c r="J138208"/>
    </row>
    <row r="138209" spans="10:10" x14ac:dyDescent="0.3">
      <c r="J138209"/>
    </row>
    <row r="138210" spans="10:10" x14ac:dyDescent="0.3">
      <c r="J138210"/>
    </row>
    <row r="138211" spans="10:10" x14ac:dyDescent="0.3">
      <c r="J138211"/>
    </row>
    <row r="138212" spans="10:10" x14ac:dyDescent="0.3">
      <c r="J138212"/>
    </row>
    <row r="138213" spans="10:10" x14ac:dyDescent="0.3">
      <c r="J138213"/>
    </row>
    <row r="138214" spans="10:10" x14ac:dyDescent="0.3">
      <c r="J138214"/>
    </row>
    <row r="138215" spans="10:10" x14ac:dyDescent="0.3">
      <c r="J138215"/>
    </row>
    <row r="138216" spans="10:10" x14ac:dyDescent="0.3">
      <c r="J138216"/>
    </row>
    <row r="138217" spans="10:10" x14ac:dyDescent="0.3">
      <c r="J138217"/>
    </row>
    <row r="138218" spans="10:10" x14ac:dyDescent="0.3">
      <c r="J138218"/>
    </row>
    <row r="138219" spans="10:10" x14ac:dyDescent="0.3">
      <c r="J138219"/>
    </row>
    <row r="138220" spans="10:10" x14ac:dyDescent="0.3">
      <c r="J138220"/>
    </row>
    <row r="138221" spans="10:10" x14ac:dyDescent="0.3">
      <c r="J138221"/>
    </row>
    <row r="138222" spans="10:10" x14ac:dyDescent="0.3">
      <c r="J138222"/>
    </row>
    <row r="138223" spans="10:10" x14ac:dyDescent="0.3">
      <c r="J138223"/>
    </row>
    <row r="138224" spans="10:10" x14ac:dyDescent="0.3">
      <c r="J138224"/>
    </row>
    <row r="138225" spans="10:10" x14ac:dyDescent="0.3">
      <c r="J138225"/>
    </row>
    <row r="138226" spans="10:10" x14ac:dyDescent="0.3">
      <c r="J138226"/>
    </row>
    <row r="138227" spans="10:10" x14ac:dyDescent="0.3">
      <c r="J138227"/>
    </row>
    <row r="138228" spans="10:10" x14ac:dyDescent="0.3">
      <c r="J138228"/>
    </row>
    <row r="138229" spans="10:10" x14ac:dyDescent="0.3">
      <c r="J138229"/>
    </row>
    <row r="138230" spans="10:10" x14ac:dyDescent="0.3">
      <c r="J138230"/>
    </row>
    <row r="138231" spans="10:10" x14ac:dyDescent="0.3">
      <c r="J138231"/>
    </row>
    <row r="138232" spans="10:10" x14ac:dyDescent="0.3">
      <c r="J138232"/>
    </row>
    <row r="138233" spans="10:10" x14ac:dyDescent="0.3">
      <c r="J138233"/>
    </row>
    <row r="138234" spans="10:10" x14ac:dyDescent="0.3">
      <c r="J138234"/>
    </row>
    <row r="138235" spans="10:10" x14ac:dyDescent="0.3">
      <c r="J138235"/>
    </row>
    <row r="138236" spans="10:10" x14ac:dyDescent="0.3">
      <c r="J138236"/>
    </row>
    <row r="138237" spans="10:10" x14ac:dyDescent="0.3">
      <c r="J138237"/>
    </row>
    <row r="138238" spans="10:10" x14ac:dyDescent="0.3">
      <c r="J138238"/>
    </row>
    <row r="138239" spans="10:10" x14ac:dyDescent="0.3">
      <c r="J138239"/>
    </row>
    <row r="138240" spans="10:10" x14ac:dyDescent="0.3">
      <c r="J138240"/>
    </row>
    <row r="138241" spans="10:10" x14ac:dyDescent="0.3">
      <c r="J138241"/>
    </row>
    <row r="138242" spans="10:10" x14ac:dyDescent="0.3">
      <c r="J138242"/>
    </row>
    <row r="138243" spans="10:10" x14ac:dyDescent="0.3">
      <c r="J138243"/>
    </row>
    <row r="138244" spans="10:10" x14ac:dyDescent="0.3">
      <c r="J138244"/>
    </row>
    <row r="138245" spans="10:10" x14ac:dyDescent="0.3">
      <c r="J138245"/>
    </row>
    <row r="138246" spans="10:10" x14ac:dyDescent="0.3">
      <c r="J138246"/>
    </row>
    <row r="138247" spans="10:10" x14ac:dyDescent="0.3">
      <c r="J138247"/>
    </row>
    <row r="138248" spans="10:10" x14ac:dyDescent="0.3">
      <c r="J138248"/>
    </row>
    <row r="138249" spans="10:10" x14ac:dyDescent="0.3">
      <c r="J138249"/>
    </row>
    <row r="138250" spans="10:10" x14ac:dyDescent="0.3">
      <c r="J138250"/>
    </row>
    <row r="138251" spans="10:10" x14ac:dyDescent="0.3">
      <c r="J138251"/>
    </row>
    <row r="138252" spans="10:10" x14ac:dyDescent="0.3">
      <c r="J138252"/>
    </row>
    <row r="138253" spans="10:10" x14ac:dyDescent="0.3">
      <c r="J138253"/>
    </row>
    <row r="138254" spans="10:10" x14ac:dyDescent="0.3">
      <c r="J138254"/>
    </row>
    <row r="138255" spans="10:10" x14ac:dyDescent="0.3">
      <c r="J138255"/>
    </row>
    <row r="138256" spans="10:10" x14ac:dyDescent="0.3">
      <c r="J138256"/>
    </row>
    <row r="138257" spans="10:10" x14ac:dyDescent="0.3">
      <c r="J138257"/>
    </row>
    <row r="138258" spans="10:10" x14ac:dyDescent="0.3">
      <c r="J138258"/>
    </row>
    <row r="138259" spans="10:10" x14ac:dyDescent="0.3">
      <c r="J138259"/>
    </row>
    <row r="138260" spans="10:10" x14ac:dyDescent="0.3">
      <c r="J138260"/>
    </row>
    <row r="138261" spans="10:10" x14ac:dyDescent="0.3">
      <c r="J138261"/>
    </row>
    <row r="138262" spans="10:10" x14ac:dyDescent="0.3">
      <c r="J138262"/>
    </row>
    <row r="138263" spans="10:10" x14ac:dyDescent="0.3">
      <c r="J138263"/>
    </row>
    <row r="138264" spans="10:10" x14ac:dyDescent="0.3">
      <c r="J138264"/>
    </row>
    <row r="138265" spans="10:10" x14ac:dyDescent="0.3">
      <c r="J138265"/>
    </row>
    <row r="138266" spans="10:10" x14ac:dyDescent="0.3">
      <c r="J138266"/>
    </row>
    <row r="138267" spans="10:10" x14ac:dyDescent="0.3">
      <c r="J138267"/>
    </row>
    <row r="138268" spans="10:10" x14ac:dyDescent="0.3">
      <c r="J138268"/>
    </row>
    <row r="138269" spans="10:10" x14ac:dyDescent="0.3">
      <c r="J138269"/>
    </row>
    <row r="138270" spans="10:10" x14ac:dyDescent="0.3">
      <c r="J138270"/>
    </row>
    <row r="138271" spans="10:10" x14ac:dyDescent="0.3">
      <c r="J138271"/>
    </row>
    <row r="138272" spans="10:10" x14ac:dyDescent="0.3">
      <c r="J138272"/>
    </row>
    <row r="138273" spans="10:10" x14ac:dyDescent="0.3">
      <c r="J138273"/>
    </row>
    <row r="138274" spans="10:10" x14ac:dyDescent="0.3">
      <c r="J138274"/>
    </row>
    <row r="138275" spans="10:10" x14ac:dyDescent="0.3">
      <c r="J138275"/>
    </row>
    <row r="138276" spans="10:10" x14ac:dyDescent="0.3">
      <c r="J138276"/>
    </row>
    <row r="138277" spans="10:10" x14ac:dyDescent="0.3">
      <c r="J138277"/>
    </row>
    <row r="138278" spans="10:10" x14ac:dyDescent="0.3">
      <c r="J138278"/>
    </row>
    <row r="138279" spans="10:10" x14ac:dyDescent="0.3">
      <c r="J138279"/>
    </row>
    <row r="138280" spans="10:10" x14ac:dyDescent="0.3">
      <c r="J138280"/>
    </row>
    <row r="138281" spans="10:10" x14ac:dyDescent="0.3">
      <c r="J138281"/>
    </row>
    <row r="138282" spans="10:10" x14ac:dyDescent="0.3">
      <c r="J138282"/>
    </row>
    <row r="138283" spans="10:10" x14ac:dyDescent="0.3">
      <c r="J138283"/>
    </row>
    <row r="138284" spans="10:10" x14ac:dyDescent="0.3">
      <c r="J138284"/>
    </row>
    <row r="138285" spans="10:10" x14ac:dyDescent="0.3">
      <c r="J138285"/>
    </row>
    <row r="138286" spans="10:10" x14ac:dyDescent="0.3">
      <c r="J138286"/>
    </row>
    <row r="138287" spans="10:10" x14ac:dyDescent="0.3">
      <c r="J138287"/>
    </row>
    <row r="138288" spans="10:10" x14ac:dyDescent="0.3">
      <c r="J138288"/>
    </row>
    <row r="138289" spans="10:10" x14ac:dyDescent="0.3">
      <c r="J138289"/>
    </row>
    <row r="138290" spans="10:10" x14ac:dyDescent="0.3">
      <c r="J138290"/>
    </row>
    <row r="138291" spans="10:10" x14ac:dyDescent="0.3">
      <c r="J138291"/>
    </row>
    <row r="138292" spans="10:10" x14ac:dyDescent="0.3">
      <c r="J138292"/>
    </row>
    <row r="138293" spans="10:10" x14ac:dyDescent="0.3">
      <c r="J138293"/>
    </row>
    <row r="138294" spans="10:10" x14ac:dyDescent="0.3">
      <c r="J138294"/>
    </row>
    <row r="138295" spans="10:10" x14ac:dyDescent="0.3">
      <c r="J138295"/>
    </row>
    <row r="138296" spans="10:10" x14ac:dyDescent="0.3">
      <c r="J138296"/>
    </row>
    <row r="138297" spans="10:10" x14ac:dyDescent="0.3">
      <c r="J138297"/>
    </row>
    <row r="138298" spans="10:10" x14ac:dyDescent="0.3">
      <c r="J138298"/>
    </row>
    <row r="138299" spans="10:10" x14ac:dyDescent="0.3">
      <c r="J138299"/>
    </row>
    <row r="138300" spans="10:10" x14ac:dyDescent="0.3">
      <c r="J138300"/>
    </row>
    <row r="138301" spans="10:10" x14ac:dyDescent="0.3">
      <c r="J138301"/>
    </row>
    <row r="138302" spans="10:10" x14ac:dyDescent="0.3">
      <c r="J138302"/>
    </row>
    <row r="138303" spans="10:10" x14ac:dyDescent="0.3">
      <c r="J138303"/>
    </row>
    <row r="138304" spans="10:10" x14ac:dyDescent="0.3">
      <c r="J138304"/>
    </row>
    <row r="138305" spans="10:10" x14ac:dyDescent="0.3">
      <c r="J138305"/>
    </row>
    <row r="138306" spans="10:10" x14ac:dyDescent="0.3">
      <c r="J138306"/>
    </row>
    <row r="138307" spans="10:10" x14ac:dyDescent="0.3">
      <c r="J138307"/>
    </row>
    <row r="138308" spans="10:10" x14ac:dyDescent="0.3">
      <c r="J138308"/>
    </row>
    <row r="138309" spans="10:10" x14ac:dyDescent="0.3">
      <c r="J138309"/>
    </row>
    <row r="138310" spans="10:10" x14ac:dyDescent="0.3">
      <c r="J138310"/>
    </row>
    <row r="138311" spans="10:10" x14ac:dyDescent="0.3">
      <c r="J138311"/>
    </row>
    <row r="138312" spans="10:10" x14ac:dyDescent="0.3">
      <c r="J138312"/>
    </row>
    <row r="138313" spans="10:10" x14ac:dyDescent="0.3">
      <c r="J138313"/>
    </row>
    <row r="138314" spans="10:10" x14ac:dyDescent="0.3">
      <c r="J138314"/>
    </row>
    <row r="138315" spans="10:10" x14ac:dyDescent="0.3">
      <c r="J138315"/>
    </row>
    <row r="138316" spans="10:10" x14ac:dyDescent="0.3">
      <c r="J138316"/>
    </row>
    <row r="138317" spans="10:10" x14ac:dyDescent="0.3">
      <c r="J138317"/>
    </row>
    <row r="138318" spans="10:10" x14ac:dyDescent="0.3">
      <c r="J138318"/>
    </row>
    <row r="138319" spans="10:10" x14ac:dyDescent="0.3">
      <c r="J138319"/>
    </row>
    <row r="138320" spans="10:10" x14ac:dyDescent="0.3">
      <c r="J138320"/>
    </row>
    <row r="138321" spans="10:10" x14ac:dyDescent="0.3">
      <c r="J138321"/>
    </row>
    <row r="138322" spans="10:10" x14ac:dyDescent="0.3">
      <c r="J138322"/>
    </row>
    <row r="138323" spans="10:10" x14ac:dyDescent="0.3">
      <c r="J138323"/>
    </row>
    <row r="138324" spans="10:10" x14ac:dyDescent="0.3">
      <c r="J138324"/>
    </row>
    <row r="138325" spans="10:10" x14ac:dyDescent="0.3">
      <c r="J138325"/>
    </row>
    <row r="138326" spans="10:10" x14ac:dyDescent="0.3">
      <c r="J138326"/>
    </row>
    <row r="138327" spans="10:10" x14ac:dyDescent="0.3">
      <c r="J138327"/>
    </row>
    <row r="138328" spans="10:10" x14ac:dyDescent="0.3">
      <c r="J138328"/>
    </row>
    <row r="138329" spans="10:10" x14ac:dyDescent="0.3">
      <c r="J138329"/>
    </row>
    <row r="138330" spans="10:10" x14ac:dyDescent="0.3">
      <c r="J138330"/>
    </row>
    <row r="138331" spans="10:10" x14ac:dyDescent="0.3">
      <c r="J138331"/>
    </row>
    <row r="138332" spans="10:10" x14ac:dyDescent="0.3">
      <c r="J138332"/>
    </row>
    <row r="138333" spans="10:10" x14ac:dyDescent="0.3">
      <c r="J138333"/>
    </row>
    <row r="138334" spans="10:10" x14ac:dyDescent="0.3">
      <c r="J138334"/>
    </row>
    <row r="138335" spans="10:10" x14ac:dyDescent="0.3">
      <c r="J138335"/>
    </row>
    <row r="138336" spans="10:10" x14ac:dyDescent="0.3">
      <c r="J138336"/>
    </row>
    <row r="138337" spans="10:10" x14ac:dyDescent="0.3">
      <c r="J138337"/>
    </row>
    <row r="138338" spans="10:10" x14ac:dyDescent="0.3">
      <c r="J138338"/>
    </row>
    <row r="138339" spans="10:10" x14ac:dyDescent="0.3">
      <c r="J138339"/>
    </row>
    <row r="138340" spans="10:10" x14ac:dyDescent="0.3">
      <c r="J138340"/>
    </row>
    <row r="138341" spans="10:10" x14ac:dyDescent="0.3">
      <c r="J138341"/>
    </row>
    <row r="138342" spans="10:10" x14ac:dyDescent="0.3">
      <c r="J138342"/>
    </row>
    <row r="138343" spans="10:10" x14ac:dyDescent="0.3">
      <c r="J138343"/>
    </row>
    <row r="138344" spans="10:10" x14ac:dyDescent="0.3">
      <c r="J138344"/>
    </row>
    <row r="138345" spans="10:10" x14ac:dyDescent="0.3">
      <c r="J138345"/>
    </row>
    <row r="138346" spans="10:10" x14ac:dyDescent="0.3">
      <c r="J138346"/>
    </row>
    <row r="138347" spans="10:10" x14ac:dyDescent="0.3">
      <c r="J138347"/>
    </row>
    <row r="138348" spans="10:10" x14ac:dyDescent="0.3">
      <c r="J138348"/>
    </row>
    <row r="138349" spans="10:10" x14ac:dyDescent="0.3">
      <c r="J138349"/>
    </row>
    <row r="138350" spans="10:10" x14ac:dyDescent="0.3">
      <c r="J138350"/>
    </row>
    <row r="138351" spans="10:10" x14ac:dyDescent="0.3">
      <c r="J138351"/>
    </row>
    <row r="138352" spans="10:10" x14ac:dyDescent="0.3">
      <c r="J138352"/>
    </row>
    <row r="138353" spans="10:10" x14ac:dyDescent="0.3">
      <c r="J138353"/>
    </row>
    <row r="138354" spans="10:10" x14ac:dyDescent="0.3">
      <c r="J138354"/>
    </row>
    <row r="138355" spans="10:10" x14ac:dyDescent="0.3">
      <c r="J138355"/>
    </row>
    <row r="138356" spans="10:10" x14ac:dyDescent="0.3">
      <c r="J138356"/>
    </row>
    <row r="138357" spans="10:10" x14ac:dyDescent="0.3">
      <c r="J138357"/>
    </row>
    <row r="138358" spans="10:10" x14ac:dyDescent="0.3">
      <c r="J138358"/>
    </row>
    <row r="138359" spans="10:10" x14ac:dyDescent="0.3">
      <c r="J138359"/>
    </row>
    <row r="138360" spans="10:10" x14ac:dyDescent="0.3">
      <c r="J138360"/>
    </row>
    <row r="138361" spans="10:10" x14ac:dyDescent="0.3">
      <c r="J138361"/>
    </row>
    <row r="138362" spans="10:10" x14ac:dyDescent="0.3">
      <c r="J138362"/>
    </row>
    <row r="138363" spans="10:10" x14ac:dyDescent="0.3">
      <c r="J138363"/>
    </row>
    <row r="138364" spans="10:10" x14ac:dyDescent="0.3">
      <c r="J138364"/>
    </row>
    <row r="138365" spans="10:10" x14ac:dyDescent="0.3">
      <c r="J138365"/>
    </row>
    <row r="138366" spans="10:10" x14ac:dyDescent="0.3">
      <c r="J138366"/>
    </row>
    <row r="138367" spans="10:10" x14ac:dyDescent="0.3">
      <c r="J138367"/>
    </row>
    <row r="138368" spans="10:10" x14ac:dyDescent="0.3">
      <c r="J138368"/>
    </row>
    <row r="138369" spans="10:10" x14ac:dyDescent="0.3">
      <c r="J138369"/>
    </row>
    <row r="138370" spans="10:10" x14ac:dyDescent="0.3">
      <c r="J138370"/>
    </row>
    <row r="138371" spans="10:10" x14ac:dyDescent="0.3">
      <c r="J138371"/>
    </row>
    <row r="138372" spans="10:10" x14ac:dyDescent="0.3">
      <c r="J138372"/>
    </row>
    <row r="138373" spans="10:10" x14ac:dyDescent="0.3">
      <c r="J138373"/>
    </row>
    <row r="138374" spans="10:10" x14ac:dyDescent="0.3">
      <c r="J138374"/>
    </row>
    <row r="138375" spans="10:10" x14ac:dyDescent="0.3">
      <c r="J138375"/>
    </row>
    <row r="138376" spans="10:10" x14ac:dyDescent="0.3">
      <c r="J138376"/>
    </row>
    <row r="138377" spans="10:10" x14ac:dyDescent="0.3">
      <c r="J138377"/>
    </row>
    <row r="138378" spans="10:10" x14ac:dyDescent="0.3">
      <c r="J138378"/>
    </row>
    <row r="138379" spans="10:10" x14ac:dyDescent="0.3">
      <c r="J138379"/>
    </row>
    <row r="138380" spans="10:10" x14ac:dyDescent="0.3">
      <c r="J138380"/>
    </row>
    <row r="138381" spans="10:10" x14ac:dyDescent="0.3">
      <c r="J138381"/>
    </row>
    <row r="138382" spans="10:10" x14ac:dyDescent="0.3">
      <c r="J138382"/>
    </row>
    <row r="138383" spans="10:10" x14ac:dyDescent="0.3">
      <c r="J138383"/>
    </row>
    <row r="138384" spans="10:10" x14ac:dyDescent="0.3">
      <c r="J138384"/>
    </row>
    <row r="138385" spans="10:10" x14ac:dyDescent="0.3">
      <c r="J138385"/>
    </row>
    <row r="138386" spans="10:10" x14ac:dyDescent="0.3">
      <c r="J138386"/>
    </row>
    <row r="138387" spans="10:10" x14ac:dyDescent="0.3">
      <c r="J138387"/>
    </row>
    <row r="138388" spans="10:10" x14ac:dyDescent="0.3">
      <c r="J138388"/>
    </row>
    <row r="138389" spans="10:10" x14ac:dyDescent="0.3">
      <c r="J138389"/>
    </row>
    <row r="138390" spans="10:10" x14ac:dyDescent="0.3">
      <c r="J138390"/>
    </row>
    <row r="138391" spans="10:10" x14ac:dyDescent="0.3">
      <c r="J138391"/>
    </row>
    <row r="138392" spans="10:10" x14ac:dyDescent="0.3">
      <c r="J138392"/>
    </row>
    <row r="138393" spans="10:10" x14ac:dyDescent="0.3">
      <c r="J138393"/>
    </row>
    <row r="138394" spans="10:10" x14ac:dyDescent="0.3">
      <c r="J138394"/>
    </row>
    <row r="138395" spans="10:10" x14ac:dyDescent="0.3">
      <c r="J138395"/>
    </row>
    <row r="138396" spans="10:10" x14ac:dyDescent="0.3">
      <c r="J138396"/>
    </row>
    <row r="138397" spans="10:10" x14ac:dyDescent="0.3">
      <c r="J138397"/>
    </row>
    <row r="138398" spans="10:10" x14ac:dyDescent="0.3">
      <c r="J138398"/>
    </row>
    <row r="138399" spans="10:10" x14ac:dyDescent="0.3">
      <c r="J138399"/>
    </row>
    <row r="138400" spans="10:10" x14ac:dyDescent="0.3">
      <c r="J138400"/>
    </row>
    <row r="138401" spans="10:10" x14ac:dyDescent="0.3">
      <c r="J138401"/>
    </row>
    <row r="138402" spans="10:10" x14ac:dyDescent="0.3">
      <c r="J138402"/>
    </row>
    <row r="138403" spans="10:10" x14ac:dyDescent="0.3">
      <c r="J138403"/>
    </row>
    <row r="138404" spans="10:10" x14ac:dyDescent="0.3">
      <c r="J138404"/>
    </row>
    <row r="138405" spans="10:10" x14ac:dyDescent="0.3">
      <c r="J138405"/>
    </row>
    <row r="138406" spans="10:10" x14ac:dyDescent="0.3">
      <c r="J138406"/>
    </row>
    <row r="138407" spans="10:10" x14ac:dyDescent="0.3">
      <c r="J138407"/>
    </row>
    <row r="138408" spans="10:10" x14ac:dyDescent="0.3">
      <c r="J138408"/>
    </row>
    <row r="138409" spans="10:10" x14ac:dyDescent="0.3">
      <c r="J138409"/>
    </row>
    <row r="138410" spans="10:10" x14ac:dyDescent="0.3">
      <c r="J138410"/>
    </row>
    <row r="138411" spans="10:10" x14ac:dyDescent="0.3">
      <c r="J138411"/>
    </row>
    <row r="138412" spans="10:10" x14ac:dyDescent="0.3">
      <c r="J138412"/>
    </row>
    <row r="138413" spans="10:10" x14ac:dyDescent="0.3">
      <c r="J138413"/>
    </row>
    <row r="138414" spans="10:10" x14ac:dyDescent="0.3">
      <c r="J138414"/>
    </row>
    <row r="138415" spans="10:10" x14ac:dyDescent="0.3">
      <c r="J138415"/>
    </row>
    <row r="138416" spans="10:10" x14ac:dyDescent="0.3">
      <c r="J138416"/>
    </row>
    <row r="138417" spans="10:10" x14ac:dyDescent="0.3">
      <c r="J138417"/>
    </row>
    <row r="138418" spans="10:10" x14ac:dyDescent="0.3">
      <c r="J138418"/>
    </row>
    <row r="138419" spans="10:10" x14ac:dyDescent="0.3">
      <c r="J138419"/>
    </row>
    <row r="138420" spans="10:10" x14ac:dyDescent="0.3">
      <c r="J138420"/>
    </row>
    <row r="138421" spans="10:10" x14ac:dyDescent="0.3">
      <c r="J138421"/>
    </row>
    <row r="138422" spans="10:10" x14ac:dyDescent="0.3">
      <c r="J138422"/>
    </row>
    <row r="138423" spans="10:10" x14ac:dyDescent="0.3">
      <c r="J138423"/>
    </row>
    <row r="138424" spans="10:10" x14ac:dyDescent="0.3">
      <c r="J138424"/>
    </row>
    <row r="138425" spans="10:10" x14ac:dyDescent="0.3">
      <c r="J138425"/>
    </row>
    <row r="138426" spans="10:10" x14ac:dyDescent="0.3">
      <c r="J138426"/>
    </row>
    <row r="138427" spans="10:10" x14ac:dyDescent="0.3">
      <c r="J138427"/>
    </row>
    <row r="138428" spans="10:10" x14ac:dyDescent="0.3">
      <c r="J138428"/>
    </row>
    <row r="138429" spans="10:10" x14ac:dyDescent="0.3">
      <c r="J138429"/>
    </row>
    <row r="138430" spans="10:10" x14ac:dyDescent="0.3">
      <c r="J138430"/>
    </row>
    <row r="138431" spans="10:10" x14ac:dyDescent="0.3">
      <c r="J138431"/>
    </row>
    <row r="138432" spans="10:10" x14ac:dyDescent="0.3">
      <c r="J138432"/>
    </row>
    <row r="138433" spans="10:10" x14ac:dyDescent="0.3">
      <c r="J138433"/>
    </row>
    <row r="138434" spans="10:10" x14ac:dyDescent="0.3">
      <c r="J138434"/>
    </row>
    <row r="138435" spans="10:10" x14ac:dyDescent="0.3">
      <c r="J138435"/>
    </row>
    <row r="138436" spans="10:10" x14ac:dyDescent="0.3">
      <c r="J138436"/>
    </row>
    <row r="138437" spans="10:10" x14ac:dyDescent="0.3">
      <c r="J138437"/>
    </row>
    <row r="138438" spans="10:10" x14ac:dyDescent="0.3">
      <c r="J138438"/>
    </row>
    <row r="138439" spans="10:10" x14ac:dyDescent="0.3">
      <c r="J138439"/>
    </row>
    <row r="138440" spans="10:10" x14ac:dyDescent="0.3">
      <c r="J138440"/>
    </row>
    <row r="138441" spans="10:10" x14ac:dyDescent="0.3">
      <c r="J138441"/>
    </row>
    <row r="138442" spans="10:10" x14ac:dyDescent="0.3">
      <c r="J138442"/>
    </row>
    <row r="138443" spans="10:10" x14ac:dyDescent="0.3">
      <c r="J138443"/>
    </row>
    <row r="138444" spans="10:10" x14ac:dyDescent="0.3">
      <c r="J138444"/>
    </row>
    <row r="138445" spans="10:10" x14ac:dyDescent="0.3">
      <c r="J138445"/>
    </row>
    <row r="138446" spans="10:10" x14ac:dyDescent="0.3">
      <c r="J138446"/>
    </row>
    <row r="138447" spans="10:10" x14ac:dyDescent="0.3">
      <c r="J138447"/>
    </row>
    <row r="138448" spans="10:10" x14ac:dyDescent="0.3">
      <c r="J138448"/>
    </row>
    <row r="138449" spans="10:10" x14ac:dyDescent="0.3">
      <c r="J138449"/>
    </row>
    <row r="138450" spans="10:10" x14ac:dyDescent="0.3">
      <c r="J138450"/>
    </row>
    <row r="138451" spans="10:10" x14ac:dyDescent="0.3">
      <c r="J138451"/>
    </row>
    <row r="138452" spans="10:10" x14ac:dyDescent="0.3">
      <c r="J138452"/>
    </row>
    <row r="138453" spans="10:10" x14ac:dyDescent="0.3">
      <c r="J138453"/>
    </row>
    <row r="138454" spans="10:10" x14ac:dyDescent="0.3">
      <c r="J138454"/>
    </row>
    <row r="138455" spans="10:10" x14ac:dyDescent="0.3">
      <c r="J138455"/>
    </row>
    <row r="138456" spans="10:10" x14ac:dyDescent="0.3">
      <c r="J138456"/>
    </row>
    <row r="138457" spans="10:10" x14ac:dyDescent="0.3">
      <c r="J138457"/>
    </row>
    <row r="138458" spans="10:10" x14ac:dyDescent="0.3">
      <c r="J138458"/>
    </row>
    <row r="138459" spans="10:10" x14ac:dyDescent="0.3">
      <c r="J138459"/>
    </row>
    <row r="138460" spans="10:10" x14ac:dyDescent="0.3">
      <c r="J138460"/>
    </row>
    <row r="138461" spans="10:10" x14ac:dyDescent="0.3">
      <c r="J138461"/>
    </row>
    <row r="138462" spans="10:10" x14ac:dyDescent="0.3">
      <c r="J138462"/>
    </row>
    <row r="138463" spans="10:10" x14ac:dyDescent="0.3">
      <c r="J138463"/>
    </row>
    <row r="138464" spans="10:10" x14ac:dyDescent="0.3">
      <c r="J138464"/>
    </row>
    <row r="138465" spans="10:10" x14ac:dyDescent="0.3">
      <c r="J138465"/>
    </row>
    <row r="138466" spans="10:10" x14ac:dyDescent="0.3">
      <c r="J138466"/>
    </row>
    <row r="138467" spans="10:10" x14ac:dyDescent="0.3">
      <c r="J138467"/>
    </row>
    <row r="138468" spans="10:10" x14ac:dyDescent="0.3">
      <c r="J138468"/>
    </row>
    <row r="138469" spans="10:10" x14ac:dyDescent="0.3">
      <c r="J138469"/>
    </row>
    <row r="138470" spans="10:10" x14ac:dyDescent="0.3">
      <c r="J138470"/>
    </row>
    <row r="138471" spans="10:10" x14ac:dyDescent="0.3">
      <c r="J138471"/>
    </row>
    <row r="138472" spans="10:10" x14ac:dyDescent="0.3">
      <c r="J138472"/>
    </row>
    <row r="138473" spans="10:10" x14ac:dyDescent="0.3">
      <c r="J138473"/>
    </row>
    <row r="138474" spans="10:10" x14ac:dyDescent="0.3">
      <c r="J138474"/>
    </row>
    <row r="138475" spans="10:10" x14ac:dyDescent="0.3">
      <c r="J138475"/>
    </row>
    <row r="138476" spans="10:10" x14ac:dyDescent="0.3">
      <c r="J138476"/>
    </row>
    <row r="138477" spans="10:10" x14ac:dyDescent="0.3">
      <c r="J138477"/>
    </row>
    <row r="138478" spans="10:10" x14ac:dyDescent="0.3">
      <c r="J138478"/>
    </row>
    <row r="138479" spans="10:10" x14ac:dyDescent="0.3">
      <c r="J138479"/>
    </row>
    <row r="138480" spans="10:10" x14ac:dyDescent="0.3">
      <c r="J138480"/>
    </row>
    <row r="138481" spans="10:10" x14ac:dyDescent="0.3">
      <c r="J138481"/>
    </row>
    <row r="138482" spans="10:10" x14ac:dyDescent="0.3">
      <c r="J138482"/>
    </row>
    <row r="138483" spans="10:10" x14ac:dyDescent="0.3">
      <c r="J138483"/>
    </row>
    <row r="138484" spans="10:10" x14ac:dyDescent="0.3">
      <c r="J138484"/>
    </row>
    <row r="138485" spans="10:10" x14ac:dyDescent="0.3">
      <c r="J138485"/>
    </row>
    <row r="138486" spans="10:10" x14ac:dyDescent="0.3">
      <c r="J138486"/>
    </row>
    <row r="138487" spans="10:10" x14ac:dyDescent="0.3">
      <c r="J138487"/>
    </row>
    <row r="138488" spans="10:10" x14ac:dyDescent="0.3">
      <c r="J138488"/>
    </row>
    <row r="138489" spans="10:10" x14ac:dyDescent="0.3">
      <c r="J138489"/>
    </row>
    <row r="138490" spans="10:10" x14ac:dyDescent="0.3">
      <c r="J138490"/>
    </row>
    <row r="138491" spans="10:10" x14ac:dyDescent="0.3">
      <c r="J138491"/>
    </row>
    <row r="138492" spans="10:10" x14ac:dyDescent="0.3">
      <c r="J138492"/>
    </row>
    <row r="138493" spans="10:10" x14ac:dyDescent="0.3">
      <c r="J138493"/>
    </row>
    <row r="138494" spans="10:10" x14ac:dyDescent="0.3">
      <c r="J138494"/>
    </row>
    <row r="138495" spans="10:10" x14ac:dyDescent="0.3">
      <c r="J138495"/>
    </row>
    <row r="138496" spans="10:10" x14ac:dyDescent="0.3">
      <c r="J138496"/>
    </row>
    <row r="138497" spans="10:10" x14ac:dyDescent="0.3">
      <c r="J138497"/>
    </row>
    <row r="138498" spans="10:10" x14ac:dyDescent="0.3">
      <c r="J138498"/>
    </row>
    <row r="138499" spans="10:10" x14ac:dyDescent="0.3">
      <c r="J138499"/>
    </row>
    <row r="138500" spans="10:10" x14ac:dyDescent="0.3">
      <c r="J138500"/>
    </row>
    <row r="138501" spans="10:10" x14ac:dyDescent="0.3">
      <c r="J138501"/>
    </row>
    <row r="138502" spans="10:10" x14ac:dyDescent="0.3">
      <c r="J138502"/>
    </row>
    <row r="138503" spans="10:10" x14ac:dyDescent="0.3">
      <c r="J138503"/>
    </row>
    <row r="138504" spans="10:10" x14ac:dyDescent="0.3">
      <c r="J138504"/>
    </row>
    <row r="138505" spans="10:10" x14ac:dyDescent="0.3">
      <c r="J138505"/>
    </row>
    <row r="138506" spans="10:10" x14ac:dyDescent="0.3">
      <c r="J138506"/>
    </row>
    <row r="138507" spans="10:10" x14ac:dyDescent="0.3">
      <c r="J138507"/>
    </row>
    <row r="138508" spans="10:10" x14ac:dyDescent="0.3">
      <c r="J138508"/>
    </row>
    <row r="138509" spans="10:10" x14ac:dyDescent="0.3">
      <c r="J138509"/>
    </row>
    <row r="138510" spans="10:10" x14ac:dyDescent="0.3">
      <c r="J138510"/>
    </row>
    <row r="138511" spans="10:10" x14ac:dyDescent="0.3">
      <c r="J138511"/>
    </row>
    <row r="138512" spans="10:10" x14ac:dyDescent="0.3">
      <c r="J138512"/>
    </row>
    <row r="138513" spans="10:10" x14ac:dyDescent="0.3">
      <c r="J138513"/>
    </row>
    <row r="138514" spans="10:10" x14ac:dyDescent="0.3">
      <c r="J138514"/>
    </row>
    <row r="138515" spans="10:10" x14ac:dyDescent="0.3">
      <c r="J138515"/>
    </row>
    <row r="138516" spans="10:10" x14ac:dyDescent="0.3">
      <c r="J138516"/>
    </row>
    <row r="138517" spans="10:10" x14ac:dyDescent="0.3">
      <c r="J138517"/>
    </row>
    <row r="138518" spans="10:10" x14ac:dyDescent="0.3">
      <c r="J138518"/>
    </row>
    <row r="138519" spans="10:10" x14ac:dyDescent="0.3">
      <c r="J138519"/>
    </row>
    <row r="138520" spans="10:10" x14ac:dyDescent="0.3">
      <c r="J138520"/>
    </row>
    <row r="138521" spans="10:10" x14ac:dyDescent="0.3">
      <c r="J138521"/>
    </row>
    <row r="138522" spans="10:10" x14ac:dyDescent="0.3">
      <c r="J138522"/>
    </row>
    <row r="138523" spans="10:10" x14ac:dyDescent="0.3">
      <c r="J138523"/>
    </row>
    <row r="138524" spans="10:10" x14ac:dyDescent="0.3">
      <c r="J138524"/>
    </row>
    <row r="138525" spans="10:10" x14ac:dyDescent="0.3">
      <c r="J138525"/>
    </row>
    <row r="138526" spans="10:10" x14ac:dyDescent="0.3">
      <c r="J138526"/>
    </row>
    <row r="138527" spans="10:10" x14ac:dyDescent="0.3">
      <c r="J138527"/>
    </row>
    <row r="138528" spans="10:10" x14ac:dyDescent="0.3">
      <c r="J138528"/>
    </row>
    <row r="138529" spans="10:10" x14ac:dyDescent="0.3">
      <c r="J138529"/>
    </row>
    <row r="138530" spans="10:10" x14ac:dyDescent="0.3">
      <c r="J138530"/>
    </row>
    <row r="138531" spans="10:10" x14ac:dyDescent="0.3">
      <c r="J138531"/>
    </row>
    <row r="138532" spans="10:10" x14ac:dyDescent="0.3">
      <c r="J138532"/>
    </row>
    <row r="138533" spans="10:10" x14ac:dyDescent="0.3">
      <c r="J138533"/>
    </row>
    <row r="138534" spans="10:10" x14ac:dyDescent="0.3">
      <c r="J138534"/>
    </row>
    <row r="138535" spans="10:10" x14ac:dyDescent="0.3">
      <c r="J138535"/>
    </row>
    <row r="138536" spans="10:10" x14ac:dyDescent="0.3">
      <c r="J138536"/>
    </row>
    <row r="138537" spans="10:10" x14ac:dyDescent="0.3">
      <c r="J138537"/>
    </row>
    <row r="138538" spans="10:10" x14ac:dyDescent="0.3">
      <c r="J138538"/>
    </row>
    <row r="138539" spans="10:10" x14ac:dyDescent="0.3">
      <c r="J138539"/>
    </row>
    <row r="138540" spans="10:10" x14ac:dyDescent="0.3">
      <c r="J138540"/>
    </row>
    <row r="138541" spans="10:10" x14ac:dyDescent="0.3">
      <c r="J138541"/>
    </row>
    <row r="138542" spans="10:10" x14ac:dyDescent="0.3">
      <c r="J138542"/>
    </row>
    <row r="138543" spans="10:10" x14ac:dyDescent="0.3">
      <c r="J138543"/>
    </row>
    <row r="138544" spans="10:10" x14ac:dyDescent="0.3">
      <c r="J138544"/>
    </row>
    <row r="138545" spans="10:10" x14ac:dyDescent="0.3">
      <c r="J138545"/>
    </row>
    <row r="138546" spans="10:10" x14ac:dyDescent="0.3">
      <c r="J138546"/>
    </row>
    <row r="138547" spans="10:10" x14ac:dyDescent="0.3">
      <c r="J138547"/>
    </row>
    <row r="138548" spans="10:10" x14ac:dyDescent="0.3">
      <c r="J138548"/>
    </row>
    <row r="138549" spans="10:10" x14ac:dyDescent="0.3">
      <c r="J138549"/>
    </row>
    <row r="138550" spans="10:10" x14ac:dyDescent="0.3">
      <c r="J138550"/>
    </row>
    <row r="138551" spans="10:10" x14ac:dyDescent="0.3">
      <c r="J138551"/>
    </row>
    <row r="138552" spans="10:10" x14ac:dyDescent="0.3">
      <c r="J138552"/>
    </row>
    <row r="138553" spans="10:10" x14ac:dyDescent="0.3">
      <c r="J138553"/>
    </row>
    <row r="138554" spans="10:10" x14ac:dyDescent="0.3">
      <c r="J138554"/>
    </row>
    <row r="138555" spans="10:10" x14ac:dyDescent="0.3">
      <c r="J138555"/>
    </row>
    <row r="138556" spans="10:10" x14ac:dyDescent="0.3">
      <c r="J138556"/>
    </row>
    <row r="138557" spans="10:10" x14ac:dyDescent="0.3">
      <c r="J138557"/>
    </row>
    <row r="138558" spans="10:10" x14ac:dyDescent="0.3">
      <c r="J138558"/>
    </row>
    <row r="138559" spans="10:10" x14ac:dyDescent="0.3">
      <c r="J138559"/>
    </row>
    <row r="138560" spans="10:10" x14ac:dyDescent="0.3">
      <c r="J138560"/>
    </row>
    <row r="138561" spans="10:10" x14ac:dyDescent="0.3">
      <c r="J138561"/>
    </row>
    <row r="138562" spans="10:10" x14ac:dyDescent="0.3">
      <c r="J138562"/>
    </row>
    <row r="138563" spans="10:10" x14ac:dyDescent="0.3">
      <c r="J138563"/>
    </row>
    <row r="138564" spans="10:10" x14ac:dyDescent="0.3">
      <c r="J138564"/>
    </row>
    <row r="138565" spans="10:10" x14ac:dyDescent="0.3">
      <c r="J138565"/>
    </row>
    <row r="138566" spans="10:10" x14ac:dyDescent="0.3">
      <c r="J138566"/>
    </row>
    <row r="138567" spans="10:10" x14ac:dyDescent="0.3">
      <c r="J138567"/>
    </row>
    <row r="138568" spans="10:10" x14ac:dyDescent="0.3">
      <c r="J138568"/>
    </row>
    <row r="138569" spans="10:10" x14ac:dyDescent="0.3">
      <c r="J138569"/>
    </row>
    <row r="138570" spans="10:10" x14ac:dyDescent="0.3">
      <c r="J138570"/>
    </row>
    <row r="138571" spans="10:10" x14ac:dyDescent="0.3">
      <c r="J138571"/>
    </row>
    <row r="138572" spans="10:10" x14ac:dyDescent="0.3">
      <c r="J138572"/>
    </row>
    <row r="138573" spans="10:10" x14ac:dyDescent="0.3">
      <c r="J138573"/>
    </row>
    <row r="138574" spans="10:10" x14ac:dyDescent="0.3">
      <c r="J138574"/>
    </row>
    <row r="138575" spans="10:10" x14ac:dyDescent="0.3">
      <c r="J138575"/>
    </row>
    <row r="138576" spans="10:10" x14ac:dyDescent="0.3">
      <c r="J138576"/>
    </row>
    <row r="138577" spans="10:10" x14ac:dyDescent="0.3">
      <c r="J138577"/>
    </row>
    <row r="138578" spans="10:10" x14ac:dyDescent="0.3">
      <c r="J138578"/>
    </row>
    <row r="138579" spans="10:10" x14ac:dyDescent="0.3">
      <c r="J138579"/>
    </row>
    <row r="138580" spans="10:10" x14ac:dyDescent="0.3">
      <c r="J138580"/>
    </row>
    <row r="138581" spans="10:10" x14ac:dyDescent="0.3">
      <c r="J138581"/>
    </row>
    <row r="138582" spans="10:10" x14ac:dyDescent="0.3">
      <c r="J138582"/>
    </row>
    <row r="138583" spans="10:10" x14ac:dyDescent="0.3">
      <c r="J138583"/>
    </row>
    <row r="138584" spans="10:10" x14ac:dyDescent="0.3">
      <c r="J138584"/>
    </row>
    <row r="138585" spans="10:10" x14ac:dyDescent="0.3">
      <c r="J138585"/>
    </row>
    <row r="138586" spans="10:10" x14ac:dyDescent="0.3">
      <c r="J138586"/>
    </row>
    <row r="138587" spans="10:10" x14ac:dyDescent="0.3">
      <c r="J138587"/>
    </row>
    <row r="138588" spans="10:10" x14ac:dyDescent="0.3">
      <c r="J138588"/>
    </row>
    <row r="138589" spans="10:10" x14ac:dyDescent="0.3">
      <c r="J138589"/>
    </row>
    <row r="138590" spans="10:10" x14ac:dyDescent="0.3">
      <c r="J138590"/>
    </row>
    <row r="138591" spans="10:10" x14ac:dyDescent="0.3">
      <c r="J138591"/>
    </row>
    <row r="138592" spans="10:10" x14ac:dyDescent="0.3">
      <c r="J138592"/>
    </row>
    <row r="138593" spans="10:10" x14ac:dyDescent="0.3">
      <c r="J138593"/>
    </row>
    <row r="138594" spans="10:10" x14ac:dyDescent="0.3">
      <c r="J138594"/>
    </row>
    <row r="138595" spans="10:10" x14ac:dyDescent="0.3">
      <c r="J138595"/>
    </row>
    <row r="138596" spans="10:10" x14ac:dyDescent="0.3">
      <c r="J138596"/>
    </row>
    <row r="138597" spans="10:10" x14ac:dyDescent="0.3">
      <c r="J138597"/>
    </row>
    <row r="138598" spans="10:10" x14ac:dyDescent="0.3">
      <c r="J138598"/>
    </row>
    <row r="138599" spans="10:10" x14ac:dyDescent="0.3">
      <c r="J138599"/>
    </row>
    <row r="138600" spans="10:10" x14ac:dyDescent="0.3">
      <c r="J138600"/>
    </row>
    <row r="138601" spans="10:10" x14ac:dyDescent="0.3">
      <c r="J138601"/>
    </row>
    <row r="138602" spans="10:10" x14ac:dyDescent="0.3">
      <c r="J138602"/>
    </row>
    <row r="138603" spans="10:10" x14ac:dyDescent="0.3">
      <c r="J138603"/>
    </row>
    <row r="138604" spans="10:10" x14ac:dyDescent="0.3">
      <c r="J138604"/>
    </row>
    <row r="138605" spans="10:10" x14ac:dyDescent="0.3">
      <c r="J138605"/>
    </row>
    <row r="138606" spans="10:10" x14ac:dyDescent="0.3">
      <c r="J138606"/>
    </row>
    <row r="138607" spans="10:10" x14ac:dyDescent="0.3">
      <c r="J138607"/>
    </row>
    <row r="138608" spans="10:10" x14ac:dyDescent="0.3">
      <c r="J138608"/>
    </row>
    <row r="138609" spans="10:10" x14ac:dyDescent="0.3">
      <c r="J138609"/>
    </row>
    <row r="138610" spans="10:10" x14ac:dyDescent="0.3">
      <c r="J138610"/>
    </row>
    <row r="138611" spans="10:10" x14ac:dyDescent="0.3">
      <c r="J138611"/>
    </row>
    <row r="138612" spans="10:10" x14ac:dyDescent="0.3">
      <c r="J138612"/>
    </row>
    <row r="138613" spans="10:10" x14ac:dyDescent="0.3">
      <c r="J138613"/>
    </row>
    <row r="138614" spans="10:10" x14ac:dyDescent="0.3">
      <c r="J138614"/>
    </row>
    <row r="138615" spans="10:10" x14ac:dyDescent="0.3">
      <c r="J138615"/>
    </row>
    <row r="138616" spans="10:10" x14ac:dyDescent="0.3">
      <c r="J138616"/>
    </row>
    <row r="138617" spans="10:10" x14ac:dyDescent="0.3">
      <c r="J138617"/>
    </row>
    <row r="138618" spans="10:10" x14ac:dyDescent="0.3">
      <c r="J138618"/>
    </row>
    <row r="138619" spans="10:10" x14ac:dyDescent="0.3">
      <c r="J138619"/>
    </row>
    <row r="138620" spans="10:10" x14ac:dyDescent="0.3">
      <c r="J138620"/>
    </row>
    <row r="138621" spans="10:10" x14ac:dyDescent="0.3">
      <c r="J138621"/>
    </row>
    <row r="138622" spans="10:10" x14ac:dyDescent="0.3">
      <c r="J138622"/>
    </row>
    <row r="138623" spans="10:10" x14ac:dyDescent="0.3">
      <c r="J138623"/>
    </row>
    <row r="138624" spans="10:10" x14ac:dyDescent="0.3">
      <c r="J138624"/>
    </row>
    <row r="138625" spans="10:10" x14ac:dyDescent="0.3">
      <c r="J138625"/>
    </row>
    <row r="138626" spans="10:10" x14ac:dyDescent="0.3">
      <c r="J138626"/>
    </row>
    <row r="138627" spans="10:10" x14ac:dyDescent="0.3">
      <c r="J138627"/>
    </row>
    <row r="138628" spans="10:10" x14ac:dyDescent="0.3">
      <c r="J138628"/>
    </row>
    <row r="138629" spans="10:10" x14ac:dyDescent="0.3">
      <c r="J138629"/>
    </row>
    <row r="138630" spans="10:10" x14ac:dyDescent="0.3">
      <c r="J138630"/>
    </row>
    <row r="138631" spans="10:10" x14ac:dyDescent="0.3">
      <c r="J138631"/>
    </row>
    <row r="138632" spans="10:10" x14ac:dyDescent="0.3">
      <c r="J138632"/>
    </row>
    <row r="138633" spans="10:10" x14ac:dyDescent="0.3">
      <c r="J138633"/>
    </row>
    <row r="138634" spans="10:10" x14ac:dyDescent="0.3">
      <c r="J138634"/>
    </row>
    <row r="138635" spans="10:10" x14ac:dyDescent="0.3">
      <c r="J138635"/>
    </row>
    <row r="138636" spans="10:10" x14ac:dyDescent="0.3">
      <c r="J138636"/>
    </row>
    <row r="138637" spans="10:10" x14ac:dyDescent="0.3">
      <c r="J138637"/>
    </row>
    <row r="138638" spans="10:10" x14ac:dyDescent="0.3">
      <c r="J138638"/>
    </row>
    <row r="138639" spans="10:10" x14ac:dyDescent="0.3">
      <c r="J138639"/>
    </row>
    <row r="138640" spans="10:10" x14ac:dyDescent="0.3">
      <c r="J138640"/>
    </row>
    <row r="138641" spans="10:10" x14ac:dyDescent="0.3">
      <c r="J138641"/>
    </row>
    <row r="138642" spans="10:10" x14ac:dyDescent="0.3">
      <c r="J138642"/>
    </row>
    <row r="138643" spans="10:10" x14ac:dyDescent="0.3">
      <c r="J138643"/>
    </row>
    <row r="138644" spans="10:10" x14ac:dyDescent="0.3">
      <c r="J138644"/>
    </row>
    <row r="138645" spans="10:10" x14ac:dyDescent="0.3">
      <c r="J138645"/>
    </row>
    <row r="138646" spans="10:10" x14ac:dyDescent="0.3">
      <c r="J138646"/>
    </row>
    <row r="138647" spans="10:10" x14ac:dyDescent="0.3">
      <c r="J138647"/>
    </row>
    <row r="138648" spans="10:10" x14ac:dyDescent="0.3">
      <c r="J138648"/>
    </row>
    <row r="138649" spans="10:10" x14ac:dyDescent="0.3">
      <c r="J138649"/>
    </row>
    <row r="138650" spans="10:10" x14ac:dyDescent="0.3">
      <c r="J138650"/>
    </row>
    <row r="138651" spans="10:10" x14ac:dyDescent="0.3">
      <c r="J138651"/>
    </row>
    <row r="138652" spans="10:10" x14ac:dyDescent="0.3">
      <c r="J138652"/>
    </row>
    <row r="138653" spans="10:10" x14ac:dyDescent="0.3">
      <c r="J138653"/>
    </row>
    <row r="138654" spans="10:10" x14ac:dyDescent="0.3">
      <c r="J138654"/>
    </row>
    <row r="138655" spans="10:10" x14ac:dyDescent="0.3">
      <c r="J138655"/>
    </row>
    <row r="138656" spans="10:10" x14ac:dyDescent="0.3">
      <c r="J138656"/>
    </row>
    <row r="138657" spans="10:10" x14ac:dyDescent="0.3">
      <c r="J138657"/>
    </row>
    <row r="138658" spans="10:10" x14ac:dyDescent="0.3">
      <c r="J138658"/>
    </row>
    <row r="138659" spans="10:10" x14ac:dyDescent="0.3">
      <c r="J138659"/>
    </row>
    <row r="138660" spans="10:10" x14ac:dyDescent="0.3">
      <c r="J138660"/>
    </row>
    <row r="138661" spans="10:10" x14ac:dyDescent="0.3">
      <c r="J138661"/>
    </row>
    <row r="138662" spans="10:10" x14ac:dyDescent="0.3">
      <c r="J138662"/>
    </row>
    <row r="138663" spans="10:10" x14ac:dyDescent="0.3">
      <c r="J138663"/>
    </row>
    <row r="138664" spans="10:10" x14ac:dyDescent="0.3">
      <c r="J138664"/>
    </row>
    <row r="138665" spans="10:10" x14ac:dyDescent="0.3">
      <c r="J138665"/>
    </row>
    <row r="138666" spans="10:10" x14ac:dyDescent="0.3">
      <c r="J138666"/>
    </row>
    <row r="138667" spans="10:10" x14ac:dyDescent="0.3">
      <c r="J138667"/>
    </row>
    <row r="138668" spans="10:10" x14ac:dyDescent="0.3">
      <c r="J138668"/>
    </row>
    <row r="138669" spans="10:10" x14ac:dyDescent="0.3">
      <c r="J138669"/>
    </row>
    <row r="138670" spans="10:10" x14ac:dyDescent="0.3">
      <c r="J138670"/>
    </row>
    <row r="138671" spans="10:10" x14ac:dyDescent="0.3">
      <c r="J138671"/>
    </row>
    <row r="138672" spans="10:10" x14ac:dyDescent="0.3">
      <c r="J138672"/>
    </row>
    <row r="138673" spans="10:10" x14ac:dyDescent="0.3">
      <c r="J138673"/>
    </row>
    <row r="138674" spans="10:10" x14ac:dyDescent="0.3">
      <c r="J138674"/>
    </row>
    <row r="138675" spans="10:10" x14ac:dyDescent="0.3">
      <c r="J138675"/>
    </row>
    <row r="138676" spans="10:10" x14ac:dyDescent="0.3">
      <c r="J138676"/>
    </row>
    <row r="138677" spans="10:10" x14ac:dyDescent="0.3">
      <c r="J138677"/>
    </row>
    <row r="138678" spans="10:10" x14ac:dyDescent="0.3">
      <c r="J138678"/>
    </row>
    <row r="138679" spans="10:10" x14ac:dyDescent="0.3">
      <c r="J138679"/>
    </row>
    <row r="138680" spans="10:10" x14ac:dyDescent="0.3">
      <c r="J138680"/>
    </row>
    <row r="138681" spans="10:10" x14ac:dyDescent="0.3">
      <c r="J138681"/>
    </row>
    <row r="138682" spans="10:10" x14ac:dyDescent="0.3">
      <c r="J138682"/>
    </row>
    <row r="138683" spans="10:10" x14ac:dyDescent="0.3">
      <c r="J138683"/>
    </row>
    <row r="138684" spans="10:10" x14ac:dyDescent="0.3">
      <c r="J138684"/>
    </row>
    <row r="138685" spans="10:10" x14ac:dyDescent="0.3">
      <c r="J138685"/>
    </row>
    <row r="138686" spans="10:10" x14ac:dyDescent="0.3">
      <c r="J138686"/>
    </row>
    <row r="138687" spans="10:10" x14ac:dyDescent="0.3">
      <c r="J138687"/>
    </row>
    <row r="138688" spans="10:10" x14ac:dyDescent="0.3">
      <c r="J138688"/>
    </row>
    <row r="138689" spans="10:10" x14ac:dyDescent="0.3">
      <c r="J138689"/>
    </row>
    <row r="138690" spans="10:10" x14ac:dyDescent="0.3">
      <c r="J138690"/>
    </row>
    <row r="138691" spans="10:10" x14ac:dyDescent="0.3">
      <c r="J138691"/>
    </row>
    <row r="138692" spans="10:10" x14ac:dyDescent="0.3">
      <c r="J138692"/>
    </row>
    <row r="138693" spans="10:10" x14ac:dyDescent="0.3">
      <c r="J138693"/>
    </row>
    <row r="138694" spans="10:10" x14ac:dyDescent="0.3">
      <c r="J138694"/>
    </row>
    <row r="138695" spans="10:10" x14ac:dyDescent="0.3">
      <c r="J138695"/>
    </row>
    <row r="138696" spans="10:10" x14ac:dyDescent="0.3">
      <c r="J138696"/>
    </row>
    <row r="138697" spans="10:10" x14ac:dyDescent="0.3">
      <c r="J138697"/>
    </row>
    <row r="138698" spans="10:10" x14ac:dyDescent="0.3">
      <c r="J138698"/>
    </row>
    <row r="138699" spans="10:10" x14ac:dyDescent="0.3">
      <c r="J138699"/>
    </row>
    <row r="138700" spans="10:10" x14ac:dyDescent="0.3">
      <c r="J138700"/>
    </row>
    <row r="138701" spans="10:10" x14ac:dyDescent="0.3">
      <c r="J138701"/>
    </row>
    <row r="138702" spans="10:10" x14ac:dyDescent="0.3">
      <c r="J138702"/>
    </row>
    <row r="138703" spans="10:10" x14ac:dyDescent="0.3">
      <c r="J138703"/>
    </row>
    <row r="138704" spans="10:10" x14ac:dyDescent="0.3">
      <c r="J138704"/>
    </row>
    <row r="138705" spans="10:10" x14ac:dyDescent="0.3">
      <c r="J138705"/>
    </row>
    <row r="138706" spans="10:10" x14ac:dyDescent="0.3">
      <c r="J138706"/>
    </row>
    <row r="138707" spans="10:10" x14ac:dyDescent="0.3">
      <c r="J138707"/>
    </row>
    <row r="138708" spans="10:10" x14ac:dyDescent="0.3">
      <c r="J138708"/>
    </row>
    <row r="138709" spans="10:10" x14ac:dyDescent="0.3">
      <c r="J138709"/>
    </row>
    <row r="138710" spans="10:10" x14ac:dyDescent="0.3">
      <c r="J138710"/>
    </row>
    <row r="138711" spans="10:10" x14ac:dyDescent="0.3">
      <c r="J138711"/>
    </row>
    <row r="138712" spans="10:10" x14ac:dyDescent="0.3">
      <c r="J138712"/>
    </row>
    <row r="138713" spans="10:10" x14ac:dyDescent="0.3">
      <c r="J138713"/>
    </row>
    <row r="138714" spans="10:10" x14ac:dyDescent="0.3">
      <c r="J138714"/>
    </row>
    <row r="138715" spans="10:10" x14ac:dyDescent="0.3">
      <c r="J138715"/>
    </row>
    <row r="138716" spans="10:10" x14ac:dyDescent="0.3">
      <c r="J138716"/>
    </row>
    <row r="138717" spans="10:10" x14ac:dyDescent="0.3">
      <c r="J138717"/>
    </row>
    <row r="138718" spans="10:10" x14ac:dyDescent="0.3">
      <c r="J138718"/>
    </row>
    <row r="138719" spans="10:10" x14ac:dyDescent="0.3">
      <c r="J138719"/>
    </row>
    <row r="138720" spans="10:10" x14ac:dyDescent="0.3">
      <c r="J138720"/>
    </row>
    <row r="138721" spans="10:10" x14ac:dyDescent="0.3">
      <c r="J138721"/>
    </row>
    <row r="138722" spans="10:10" x14ac:dyDescent="0.3">
      <c r="J138722"/>
    </row>
    <row r="138723" spans="10:10" x14ac:dyDescent="0.3">
      <c r="J138723"/>
    </row>
    <row r="138724" spans="10:10" x14ac:dyDescent="0.3">
      <c r="J138724"/>
    </row>
    <row r="138725" spans="10:10" x14ac:dyDescent="0.3">
      <c r="J138725"/>
    </row>
    <row r="138726" spans="10:10" x14ac:dyDescent="0.3">
      <c r="J138726"/>
    </row>
    <row r="138727" spans="10:10" x14ac:dyDescent="0.3">
      <c r="J138727"/>
    </row>
    <row r="138728" spans="10:10" x14ac:dyDescent="0.3">
      <c r="J138728"/>
    </row>
    <row r="138729" spans="10:10" x14ac:dyDescent="0.3">
      <c r="J138729"/>
    </row>
    <row r="138730" spans="10:10" x14ac:dyDescent="0.3">
      <c r="J138730"/>
    </row>
    <row r="138731" spans="10:10" x14ac:dyDescent="0.3">
      <c r="J138731"/>
    </row>
    <row r="138732" spans="10:10" x14ac:dyDescent="0.3">
      <c r="J138732"/>
    </row>
    <row r="138733" spans="10:10" x14ac:dyDescent="0.3">
      <c r="J138733"/>
    </row>
    <row r="138734" spans="10:10" x14ac:dyDescent="0.3">
      <c r="J138734"/>
    </row>
    <row r="138735" spans="10:10" x14ac:dyDescent="0.3">
      <c r="J138735"/>
    </row>
    <row r="138736" spans="10:10" x14ac:dyDescent="0.3">
      <c r="J138736"/>
    </row>
    <row r="138737" spans="10:10" x14ac:dyDescent="0.3">
      <c r="J138737"/>
    </row>
    <row r="138738" spans="10:10" x14ac:dyDescent="0.3">
      <c r="J138738"/>
    </row>
    <row r="138739" spans="10:10" x14ac:dyDescent="0.3">
      <c r="J138739"/>
    </row>
    <row r="138740" spans="10:10" x14ac:dyDescent="0.3">
      <c r="J138740"/>
    </row>
    <row r="138741" spans="10:10" x14ac:dyDescent="0.3">
      <c r="J138741"/>
    </row>
    <row r="138742" spans="10:10" x14ac:dyDescent="0.3">
      <c r="J138742"/>
    </row>
    <row r="138743" spans="10:10" x14ac:dyDescent="0.3">
      <c r="J138743"/>
    </row>
    <row r="138744" spans="10:10" x14ac:dyDescent="0.3">
      <c r="J138744"/>
    </row>
    <row r="138745" spans="10:10" x14ac:dyDescent="0.3">
      <c r="J138745"/>
    </row>
    <row r="138746" spans="10:10" x14ac:dyDescent="0.3">
      <c r="J138746"/>
    </row>
    <row r="138747" spans="10:10" x14ac:dyDescent="0.3">
      <c r="J138747"/>
    </row>
    <row r="138748" spans="10:10" x14ac:dyDescent="0.3">
      <c r="J138748"/>
    </row>
    <row r="138749" spans="10:10" x14ac:dyDescent="0.3">
      <c r="J138749"/>
    </row>
    <row r="138750" spans="10:10" x14ac:dyDescent="0.3">
      <c r="J138750"/>
    </row>
    <row r="138751" spans="10:10" x14ac:dyDescent="0.3">
      <c r="J138751"/>
    </row>
    <row r="138752" spans="10:10" x14ac:dyDescent="0.3">
      <c r="J138752"/>
    </row>
    <row r="138753" spans="10:10" x14ac:dyDescent="0.3">
      <c r="J138753"/>
    </row>
    <row r="138754" spans="10:10" x14ac:dyDescent="0.3">
      <c r="J138754"/>
    </row>
    <row r="138755" spans="10:10" x14ac:dyDescent="0.3">
      <c r="J138755"/>
    </row>
    <row r="138756" spans="10:10" x14ac:dyDescent="0.3">
      <c r="J138756"/>
    </row>
    <row r="138757" spans="10:10" x14ac:dyDescent="0.3">
      <c r="J138757"/>
    </row>
    <row r="138758" spans="10:10" x14ac:dyDescent="0.3">
      <c r="J138758"/>
    </row>
    <row r="138759" spans="10:10" x14ac:dyDescent="0.3">
      <c r="J138759"/>
    </row>
    <row r="138760" spans="10:10" x14ac:dyDescent="0.3">
      <c r="J138760"/>
    </row>
    <row r="138761" spans="10:10" x14ac:dyDescent="0.3">
      <c r="J138761"/>
    </row>
    <row r="138762" spans="10:10" x14ac:dyDescent="0.3">
      <c r="J138762"/>
    </row>
    <row r="138763" spans="10:10" x14ac:dyDescent="0.3">
      <c r="J138763"/>
    </row>
    <row r="138764" spans="10:10" x14ac:dyDescent="0.3">
      <c r="J138764"/>
    </row>
    <row r="138765" spans="10:10" x14ac:dyDescent="0.3">
      <c r="J138765"/>
    </row>
    <row r="138766" spans="10:10" x14ac:dyDescent="0.3">
      <c r="J138766"/>
    </row>
    <row r="138767" spans="10:10" x14ac:dyDescent="0.3">
      <c r="J138767"/>
    </row>
    <row r="138768" spans="10:10" x14ac:dyDescent="0.3">
      <c r="J138768"/>
    </row>
    <row r="138769" spans="10:10" x14ac:dyDescent="0.3">
      <c r="J138769"/>
    </row>
    <row r="138770" spans="10:10" x14ac:dyDescent="0.3">
      <c r="J138770"/>
    </row>
    <row r="138771" spans="10:10" x14ac:dyDescent="0.3">
      <c r="J138771"/>
    </row>
    <row r="138772" spans="10:10" x14ac:dyDescent="0.3">
      <c r="J138772"/>
    </row>
    <row r="138773" spans="10:10" x14ac:dyDescent="0.3">
      <c r="J138773"/>
    </row>
    <row r="138774" spans="10:10" x14ac:dyDescent="0.3">
      <c r="J138774"/>
    </row>
    <row r="138775" spans="10:10" x14ac:dyDescent="0.3">
      <c r="J138775"/>
    </row>
    <row r="138776" spans="10:10" x14ac:dyDescent="0.3">
      <c r="J138776"/>
    </row>
    <row r="138777" spans="10:10" x14ac:dyDescent="0.3">
      <c r="J138777"/>
    </row>
    <row r="138778" spans="10:10" x14ac:dyDescent="0.3">
      <c r="J138778"/>
    </row>
    <row r="138779" spans="10:10" x14ac:dyDescent="0.3">
      <c r="J138779"/>
    </row>
    <row r="138780" spans="10:10" x14ac:dyDescent="0.3">
      <c r="J138780"/>
    </row>
    <row r="138781" spans="10:10" x14ac:dyDescent="0.3">
      <c r="J138781"/>
    </row>
    <row r="138782" spans="10:10" x14ac:dyDescent="0.3">
      <c r="J138782"/>
    </row>
    <row r="138783" spans="10:10" x14ac:dyDescent="0.3">
      <c r="J138783"/>
    </row>
    <row r="138784" spans="10:10" x14ac:dyDescent="0.3">
      <c r="J138784"/>
    </row>
    <row r="138785" spans="10:10" x14ac:dyDescent="0.3">
      <c r="J138785"/>
    </row>
    <row r="138786" spans="10:10" x14ac:dyDescent="0.3">
      <c r="J138786"/>
    </row>
    <row r="138787" spans="10:10" x14ac:dyDescent="0.3">
      <c r="J138787"/>
    </row>
    <row r="138788" spans="10:10" x14ac:dyDescent="0.3">
      <c r="J138788"/>
    </row>
    <row r="138789" spans="10:10" x14ac:dyDescent="0.3">
      <c r="J138789"/>
    </row>
    <row r="138790" spans="10:10" x14ac:dyDescent="0.3">
      <c r="J138790"/>
    </row>
    <row r="138791" spans="10:10" x14ac:dyDescent="0.3">
      <c r="J138791"/>
    </row>
    <row r="138792" spans="10:10" x14ac:dyDescent="0.3">
      <c r="J138792"/>
    </row>
    <row r="138793" spans="10:10" x14ac:dyDescent="0.3">
      <c r="J138793"/>
    </row>
    <row r="138794" spans="10:10" x14ac:dyDescent="0.3">
      <c r="J138794"/>
    </row>
    <row r="138795" spans="10:10" x14ac:dyDescent="0.3">
      <c r="J138795"/>
    </row>
    <row r="138796" spans="10:10" x14ac:dyDescent="0.3">
      <c r="J138796"/>
    </row>
    <row r="138797" spans="10:10" x14ac:dyDescent="0.3">
      <c r="J138797"/>
    </row>
    <row r="138798" spans="10:10" x14ac:dyDescent="0.3">
      <c r="J138798"/>
    </row>
    <row r="138799" spans="10:10" x14ac:dyDescent="0.3">
      <c r="J138799"/>
    </row>
    <row r="138800" spans="10:10" x14ac:dyDescent="0.3">
      <c r="J138800"/>
    </row>
    <row r="138801" spans="10:10" x14ac:dyDescent="0.3">
      <c r="J138801"/>
    </row>
    <row r="138802" spans="10:10" x14ac:dyDescent="0.3">
      <c r="J138802"/>
    </row>
    <row r="138803" spans="10:10" x14ac:dyDescent="0.3">
      <c r="J138803"/>
    </row>
    <row r="138804" spans="10:10" x14ac:dyDescent="0.3">
      <c r="J138804"/>
    </row>
    <row r="138805" spans="10:10" x14ac:dyDescent="0.3">
      <c r="J138805"/>
    </row>
    <row r="138806" spans="10:10" x14ac:dyDescent="0.3">
      <c r="J138806"/>
    </row>
    <row r="138807" spans="10:10" x14ac:dyDescent="0.3">
      <c r="J138807"/>
    </row>
    <row r="138808" spans="10:10" x14ac:dyDescent="0.3">
      <c r="J138808"/>
    </row>
    <row r="138809" spans="10:10" x14ac:dyDescent="0.3">
      <c r="J138809"/>
    </row>
    <row r="138810" spans="10:10" x14ac:dyDescent="0.3">
      <c r="J138810"/>
    </row>
    <row r="138811" spans="10:10" x14ac:dyDescent="0.3">
      <c r="J138811"/>
    </row>
    <row r="138812" spans="10:10" x14ac:dyDescent="0.3">
      <c r="J138812"/>
    </row>
    <row r="138813" spans="10:10" x14ac:dyDescent="0.3">
      <c r="J138813"/>
    </row>
    <row r="138814" spans="10:10" x14ac:dyDescent="0.3">
      <c r="J138814"/>
    </row>
    <row r="138815" spans="10:10" x14ac:dyDescent="0.3">
      <c r="J138815"/>
    </row>
    <row r="138816" spans="10:10" x14ac:dyDescent="0.3">
      <c r="J138816"/>
    </row>
    <row r="138817" spans="10:10" x14ac:dyDescent="0.3">
      <c r="J138817"/>
    </row>
    <row r="138818" spans="10:10" x14ac:dyDescent="0.3">
      <c r="J138818"/>
    </row>
    <row r="138819" spans="10:10" x14ac:dyDescent="0.3">
      <c r="J138819"/>
    </row>
    <row r="138820" spans="10:10" x14ac:dyDescent="0.3">
      <c r="J138820"/>
    </row>
    <row r="138821" spans="10:10" x14ac:dyDescent="0.3">
      <c r="J138821"/>
    </row>
    <row r="138822" spans="10:10" x14ac:dyDescent="0.3">
      <c r="J138822"/>
    </row>
    <row r="138823" spans="10:10" x14ac:dyDescent="0.3">
      <c r="J138823"/>
    </row>
    <row r="138824" spans="10:10" x14ac:dyDescent="0.3">
      <c r="J138824"/>
    </row>
    <row r="138825" spans="10:10" x14ac:dyDescent="0.3">
      <c r="J138825"/>
    </row>
    <row r="138826" spans="10:10" x14ac:dyDescent="0.3">
      <c r="J138826"/>
    </row>
    <row r="138827" spans="10:10" x14ac:dyDescent="0.3">
      <c r="J138827"/>
    </row>
    <row r="138828" spans="10:10" x14ac:dyDescent="0.3">
      <c r="J138828"/>
    </row>
    <row r="138829" spans="10:10" x14ac:dyDescent="0.3">
      <c r="J138829"/>
    </row>
    <row r="138830" spans="10:10" x14ac:dyDescent="0.3">
      <c r="J138830"/>
    </row>
    <row r="138831" spans="10:10" x14ac:dyDescent="0.3">
      <c r="J138831"/>
    </row>
    <row r="138832" spans="10:10" x14ac:dyDescent="0.3">
      <c r="J138832"/>
    </row>
    <row r="138833" spans="10:10" x14ac:dyDescent="0.3">
      <c r="J138833"/>
    </row>
    <row r="138834" spans="10:10" x14ac:dyDescent="0.3">
      <c r="J138834"/>
    </row>
    <row r="138835" spans="10:10" x14ac:dyDescent="0.3">
      <c r="J138835"/>
    </row>
    <row r="138836" spans="10:10" x14ac:dyDescent="0.3">
      <c r="J138836"/>
    </row>
    <row r="138837" spans="10:10" x14ac:dyDescent="0.3">
      <c r="J138837"/>
    </row>
    <row r="138838" spans="10:10" x14ac:dyDescent="0.3">
      <c r="J138838"/>
    </row>
    <row r="138839" spans="10:10" x14ac:dyDescent="0.3">
      <c r="J138839"/>
    </row>
    <row r="138840" spans="10:10" x14ac:dyDescent="0.3">
      <c r="J138840"/>
    </row>
    <row r="138841" spans="10:10" x14ac:dyDescent="0.3">
      <c r="J138841"/>
    </row>
    <row r="138842" spans="10:10" x14ac:dyDescent="0.3">
      <c r="J138842"/>
    </row>
    <row r="138843" spans="10:10" x14ac:dyDescent="0.3">
      <c r="J138843"/>
    </row>
    <row r="138844" spans="10:10" x14ac:dyDescent="0.3">
      <c r="J138844"/>
    </row>
    <row r="138845" spans="10:10" x14ac:dyDescent="0.3">
      <c r="J138845"/>
    </row>
    <row r="138846" spans="10:10" x14ac:dyDescent="0.3">
      <c r="J138846"/>
    </row>
    <row r="138847" spans="10:10" x14ac:dyDescent="0.3">
      <c r="J138847"/>
    </row>
    <row r="138848" spans="10:10" x14ac:dyDescent="0.3">
      <c r="J138848"/>
    </row>
    <row r="138849" spans="10:10" x14ac:dyDescent="0.3">
      <c r="J138849"/>
    </row>
    <row r="138850" spans="10:10" x14ac:dyDescent="0.3">
      <c r="J138850"/>
    </row>
    <row r="138851" spans="10:10" x14ac:dyDescent="0.3">
      <c r="J138851"/>
    </row>
    <row r="138852" spans="10:10" x14ac:dyDescent="0.3">
      <c r="J138852"/>
    </row>
    <row r="138853" spans="10:10" x14ac:dyDescent="0.3">
      <c r="J138853"/>
    </row>
    <row r="138854" spans="10:10" x14ac:dyDescent="0.3">
      <c r="J138854"/>
    </row>
    <row r="138855" spans="10:10" x14ac:dyDescent="0.3">
      <c r="J138855"/>
    </row>
    <row r="138856" spans="10:10" x14ac:dyDescent="0.3">
      <c r="J138856"/>
    </row>
    <row r="138857" spans="10:10" x14ac:dyDescent="0.3">
      <c r="J138857"/>
    </row>
    <row r="138858" spans="10:10" x14ac:dyDescent="0.3">
      <c r="J138858"/>
    </row>
    <row r="138859" spans="10:10" x14ac:dyDescent="0.3">
      <c r="J138859"/>
    </row>
    <row r="138860" spans="10:10" x14ac:dyDescent="0.3">
      <c r="J138860"/>
    </row>
    <row r="138861" spans="10:10" x14ac:dyDescent="0.3">
      <c r="J138861"/>
    </row>
    <row r="138862" spans="10:10" x14ac:dyDescent="0.3">
      <c r="J138862"/>
    </row>
    <row r="138863" spans="10:10" x14ac:dyDescent="0.3">
      <c r="J138863"/>
    </row>
    <row r="138864" spans="10:10" x14ac:dyDescent="0.3">
      <c r="J138864"/>
    </row>
    <row r="138865" spans="10:10" x14ac:dyDescent="0.3">
      <c r="J138865"/>
    </row>
    <row r="138866" spans="10:10" x14ac:dyDescent="0.3">
      <c r="J138866"/>
    </row>
    <row r="138867" spans="10:10" x14ac:dyDescent="0.3">
      <c r="J138867"/>
    </row>
    <row r="138868" spans="10:10" x14ac:dyDescent="0.3">
      <c r="J138868"/>
    </row>
    <row r="138869" spans="10:10" x14ac:dyDescent="0.3">
      <c r="J138869"/>
    </row>
    <row r="138870" spans="10:10" x14ac:dyDescent="0.3">
      <c r="J138870"/>
    </row>
    <row r="138871" spans="10:10" x14ac:dyDescent="0.3">
      <c r="J138871"/>
    </row>
    <row r="138872" spans="10:10" x14ac:dyDescent="0.3">
      <c r="J138872"/>
    </row>
    <row r="138873" spans="10:10" x14ac:dyDescent="0.3">
      <c r="J138873"/>
    </row>
    <row r="138874" spans="10:10" x14ac:dyDescent="0.3">
      <c r="J138874"/>
    </row>
    <row r="138875" spans="10:10" x14ac:dyDescent="0.3">
      <c r="J138875"/>
    </row>
    <row r="138876" spans="10:10" x14ac:dyDescent="0.3">
      <c r="J138876"/>
    </row>
    <row r="138877" spans="10:10" x14ac:dyDescent="0.3">
      <c r="J138877"/>
    </row>
    <row r="138878" spans="10:10" x14ac:dyDescent="0.3">
      <c r="J138878"/>
    </row>
    <row r="138879" spans="10:10" x14ac:dyDescent="0.3">
      <c r="J138879"/>
    </row>
    <row r="138880" spans="10:10" x14ac:dyDescent="0.3">
      <c r="J138880"/>
    </row>
    <row r="138881" spans="10:10" x14ac:dyDescent="0.3">
      <c r="J138881"/>
    </row>
    <row r="138882" spans="10:10" x14ac:dyDescent="0.3">
      <c r="J138882"/>
    </row>
    <row r="138883" spans="10:10" x14ac:dyDescent="0.3">
      <c r="J138883"/>
    </row>
    <row r="138884" spans="10:10" x14ac:dyDescent="0.3">
      <c r="J138884"/>
    </row>
    <row r="138885" spans="10:10" x14ac:dyDescent="0.3">
      <c r="J138885"/>
    </row>
    <row r="138886" spans="10:10" x14ac:dyDescent="0.3">
      <c r="J138886"/>
    </row>
    <row r="138887" spans="10:10" x14ac:dyDescent="0.3">
      <c r="J138887"/>
    </row>
    <row r="138888" spans="10:10" x14ac:dyDescent="0.3">
      <c r="J138888"/>
    </row>
    <row r="138889" spans="10:10" x14ac:dyDescent="0.3">
      <c r="J138889"/>
    </row>
    <row r="138890" spans="10:10" x14ac:dyDescent="0.3">
      <c r="J138890"/>
    </row>
    <row r="138891" spans="10:10" x14ac:dyDescent="0.3">
      <c r="J138891"/>
    </row>
    <row r="138892" spans="10:10" x14ac:dyDescent="0.3">
      <c r="J138892"/>
    </row>
    <row r="138893" spans="10:10" x14ac:dyDescent="0.3">
      <c r="J138893"/>
    </row>
    <row r="138894" spans="10:10" x14ac:dyDescent="0.3">
      <c r="J138894"/>
    </row>
    <row r="138895" spans="10:10" x14ac:dyDescent="0.3">
      <c r="J138895"/>
    </row>
    <row r="138896" spans="10:10" x14ac:dyDescent="0.3">
      <c r="J138896"/>
    </row>
    <row r="138897" spans="10:10" x14ac:dyDescent="0.3">
      <c r="J138897"/>
    </row>
    <row r="138898" spans="10:10" x14ac:dyDescent="0.3">
      <c r="J138898"/>
    </row>
    <row r="138899" spans="10:10" x14ac:dyDescent="0.3">
      <c r="J138899"/>
    </row>
    <row r="138900" spans="10:10" x14ac:dyDescent="0.3">
      <c r="J138900"/>
    </row>
    <row r="138901" spans="10:10" x14ac:dyDescent="0.3">
      <c r="J138901"/>
    </row>
    <row r="138902" spans="10:10" x14ac:dyDescent="0.3">
      <c r="J138902"/>
    </row>
    <row r="138903" spans="10:10" x14ac:dyDescent="0.3">
      <c r="J138903"/>
    </row>
    <row r="138904" spans="10:10" x14ac:dyDescent="0.3">
      <c r="J138904"/>
    </row>
    <row r="138905" spans="10:10" x14ac:dyDescent="0.3">
      <c r="J138905"/>
    </row>
    <row r="138906" spans="10:10" x14ac:dyDescent="0.3">
      <c r="J138906"/>
    </row>
    <row r="138907" spans="10:10" x14ac:dyDescent="0.3">
      <c r="J138907"/>
    </row>
    <row r="138908" spans="10:10" x14ac:dyDescent="0.3">
      <c r="J138908"/>
    </row>
    <row r="138909" spans="10:10" x14ac:dyDescent="0.3">
      <c r="J138909"/>
    </row>
    <row r="138910" spans="10:10" x14ac:dyDescent="0.3">
      <c r="J138910"/>
    </row>
    <row r="138911" spans="10:10" x14ac:dyDescent="0.3">
      <c r="J138911"/>
    </row>
    <row r="138912" spans="10:10" x14ac:dyDescent="0.3">
      <c r="J138912"/>
    </row>
    <row r="138913" spans="10:10" x14ac:dyDescent="0.3">
      <c r="J138913"/>
    </row>
    <row r="138914" spans="10:10" x14ac:dyDescent="0.3">
      <c r="J138914"/>
    </row>
    <row r="138915" spans="10:10" x14ac:dyDescent="0.3">
      <c r="J138915"/>
    </row>
    <row r="138916" spans="10:10" x14ac:dyDescent="0.3">
      <c r="J138916"/>
    </row>
    <row r="138917" spans="10:10" x14ac:dyDescent="0.3">
      <c r="J138917"/>
    </row>
    <row r="138918" spans="10:10" x14ac:dyDescent="0.3">
      <c r="J138918"/>
    </row>
    <row r="138919" spans="10:10" x14ac:dyDescent="0.3">
      <c r="J138919"/>
    </row>
    <row r="138920" spans="10:10" x14ac:dyDescent="0.3">
      <c r="J138920"/>
    </row>
    <row r="138921" spans="10:10" x14ac:dyDescent="0.3">
      <c r="J138921"/>
    </row>
    <row r="138922" spans="10:10" x14ac:dyDescent="0.3">
      <c r="J138922"/>
    </row>
    <row r="138923" spans="10:10" x14ac:dyDescent="0.3">
      <c r="J138923"/>
    </row>
    <row r="138924" spans="10:10" x14ac:dyDescent="0.3">
      <c r="J138924"/>
    </row>
    <row r="138925" spans="10:10" x14ac:dyDescent="0.3">
      <c r="J138925"/>
    </row>
    <row r="138926" spans="10:10" x14ac:dyDescent="0.3">
      <c r="J138926"/>
    </row>
    <row r="138927" spans="10:10" x14ac:dyDescent="0.3">
      <c r="J138927"/>
    </row>
    <row r="138928" spans="10:10" x14ac:dyDescent="0.3">
      <c r="J138928"/>
    </row>
    <row r="138929" spans="10:10" x14ac:dyDescent="0.3">
      <c r="J138929"/>
    </row>
    <row r="138930" spans="10:10" x14ac:dyDescent="0.3">
      <c r="J138930"/>
    </row>
    <row r="138931" spans="10:10" x14ac:dyDescent="0.3">
      <c r="J138931"/>
    </row>
    <row r="138932" spans="10:10" x14ac:dyDescent="0.3">
      <c r="J138932"/>
    </row>
    <row r="138933" spans="10:10" x14ac:dyDescent="0.3">
      <c r="J138933"/>
    </row>
    <row r="138934" spans="10:10" x14ac:dyDescent="0.3">
      <c r="J138934"/>
    </row>
    <row r="138935" spans="10:10" x14ac:dyDescent="0.3">
      <c r="J138935"/>
    </row>
    <row r="138936" spans="10:10" x14ac:dyDescent="0.3">
      <c r="J138936"/>
    </row>
    <row r="138937" spans="10:10" x14ac:dyDescent="0.3">
      <c r="J138937"/>
    </row>
    <row r="138938" spans="10:10" x14ac:dyDescent="0.3">
      <c r="J138938"/>
    </row>
    <row r="138939" spans="10:10" x14ac:dyDescent="0.3">
      <c r="J138939"/>
    </row>
    <row r="138940" spans="10:10" x14ac:dyDescent="0.3">
      <c r="J138940"/>
    </row>
    <row r="138941" spans="10:10" x14ac:dyDescent="0.3">
      <c r="J138941"/>
    </row>
    <row r="138942" spans="10:10" x14ac:dyDescent="0.3">
      <c r="J138942"/>
    </row>
    <row r="138943" spans="10:10" x14ac:dyDescent="0.3">
      <c r="J138943"/>
    </row>
    <row r="138944" spans="10:10" x14ac:dyDescent="0.3">
      <c r="J138944"/>
    </row>
    <row r="138945" spans="10:10" x14ac:dyDescent="0.3">
      <c r="J138945"/>
    </row>
    <row r="138946" spans="10:10" x14ac:dyDescent="0.3">
      <c r="J138946"/>
    </row>
    <row r="138947" spans="10:10" x14ac:dyDescent="0.3">
      <c r="J138947"/>
    </row>
    <row r="138948" spans="10:10" x14ac:dyDescent="0.3">
      <c r="J138948"/>
    </row>
    <row r="138949" spans="10:10" x14ac:dyDescent="0.3">
      <c r="J138949"/>
    </row>
    <row r="138950" spans="10:10" x14ac:dyDescent="0.3">
      <c r="J138950"/>
    </row>
    <row r="138951" spans="10:10" x14ac:dyDescent="0.3">
      <c r="J138951"/>
    </row>
    <row r="138952" spans="10:10" x14ac:dyDescent="0.3">
      <c r="J138952"/>
    </row>
    <row r="138953" spans="10:10" x14ac:dyDescent="0.3">
      <c r="J138953"/>
    </row>
    <row r="138954" spans="10:10" x14ac:dyDescent="0.3">
      <c r="J138954"/>
    </row>
    <row r="138955" spans="10:10" x14ac:dyDescent="0.3">
      <c r="J138955"/>
    </row>
    <row r="138956" spans="10:10" x14ac:dyDescent="0.3">
      <c r="J138956"/>
    </row>
    <row r="138957" spans="10:10" x14ac:dyDescent="0.3">
      <c r="J138957"/>
    </row>
    <row r="138958" spans="10:10" x14ac:dyDescent="0.3">
      <c r="J138958"/>
    </row>
    <row r="138959" spans="10:10" x14ac:dyDescent="0.3">
      <c r="J138959"/>
    </row>
    <row r="138960" spans="10:10" x14ac:dyDescent="0.3">
      <c r="J138960"/>
    </row>
    <row r="138961" spans="10:10" x14ac:dyDescent="0.3">
      <c r="J138961"/>
    </row>
    <row r="138962" spans="10:10" x14ac:dyDescent="0.3">
      <c r="J138962"/>
    </row>
    <row r="138963" spans="10:10" x14ac:dyDescent="0.3">
      <c r="J138963"/>
    </row>
    <row r="138964" spans="10:10" x14ac:dyDescent="0.3">
      <c r="J138964"/>
    </row>
    <row r="138965" spans="10:10" x14ac:dyDescent="0.3">
      <c r="J138965"/>
    </row>
    <row r="138966" spans="10:10" x14ac:dyDescent="0.3">
      <c r="J138966"/>
    </row>
    <row r="138967" spans="10:10" x14ac:dyDescent="0.3">
      <c r="J138967"/>
    </row>
    <row r="138968" spans="10:10" x14ac:dyDescent="0.3">
      <c r="J138968"/>
    </row>
    <row r="138969" spans="10:10" x14ac:dyDescent="0.3">
      <c r="J138969"/>
    </row>
    <row r="138970" spans="10:10" x14ac:dyDescent="0.3">
      <c r="J138970"/>
    </row>
    <row r="138971" spans="10:10" x14ac:dyDescent="0.3">
      <c r="J138971"/>
    </row>
    <row r="138972" spans="10:10" x14ac:dyDescent="0.3">
      <c r="J138972"/>
    </row>
    <row r="138973" spans="10:10" x14ac:dyDescent="0.3">
      <c r="J138973"/>
    </row>
    <row r="138974" spans="10:10" x14ac:dyDescent="0.3">
      <c r="J138974"/>
    </row>
    <row r="138975" spans="10:10" x14ac:dyDescent="0.3">
      <c r="J138975"/>
    </row>
    <row r="138976" spans="10:10" x14ac:dyDescent="0.3">
      <c r="J138976"/>
    </row>
    <row r="138977" spans="10:10" x14ac:dyDescent="0.3">
      <c r="J138977"/>
    </row>
    <row r="138978" spans="10:10" x14ac:dyDescent="0.3">
      <c r="J138978"/>
    </row>
    <row r="138979" spans="10:10" x14ac:dyDescent="0.3">
      <c r="J138979"/>
    </row>
    <row r="138980" spans="10:10" x14ac:dyDescent="0.3">
      <c r="J138980"/>
    </row>
    <row r="138981" spans="10:10" x14ac:dyDescent="0.3">
      <c r="J138981"/>
    </row>
    <row r="138982" spans="10:10" x14ac:dyDescent="0.3">
      <c r="J138982"/>
    </row>
    <row r="138983" spans="10:10" x14ac:dyDescent="0.3">
      <c r="J138983"/>
    </row>
    <row r="138984" spans="10:10" x14ac:dyDescent="0.3">
      <c r="J138984"/>
    </row>
    <row r="138985" spans="10:10" x14ac:dyDescent="0.3">
      <c r="J138985"/>
    </row>
    <row r="138986" spans="10:10" x14ac:dyDescent="0.3">
      <c r="J138986"/>
    </row>
    <row r="138987" spans="10:10" x14ac:dyDescent="0.3">
      <c r="J138987"/>
    </row>
    <row r="138988" spans="10:10" x14ac:dyDescent="0.3">
      <c r="J138988"/>
    </row>
    <row r="138989" spans="10:10" x14ac:dyDescent="0.3">
      <c r="J138989"/>
    </row>
    <row r="138990" spans="10:10" x14ac:dyDescent="0.3">
      <c r="J138990"/>
    </row>
    <row r="138991" spans="10:10" x14ac:dyDescent="0.3">
      <c r="J138991"/>
    </row>
    <row r="138992" spans="10:10" x14ac:dyDescent="0.3">
      <c r="J138992"/>
    </row>
    <row r="138993" spans="10:10" x14ac:dyDescent="0.3">
      <c r="J138993"/>
    </row>
    <row r="138994" spans="10:10" x14ac:dyDescent="0.3">
      <c r="J138994"/>
    </row>
    <row r="138995" spans="10:10" x14ac:dyDescent="0.3">
      <c r="J138995"/>
    </row>
    <row r="138996" spans="10:10" x14ac:dyDescent="0.3">
      <c r="J138996"/>
    </row>
    <row r="138997" spans="10:10" x14ac:dyDescent="0.3">
      <c r="J138997"/>
    </row>
    <row r="138998" spans="10:10" x14ac:dyDescent="0.3">
      <c r="J138998"/>
    </row>
    <row r="138999" spans="10:10" x14ac:dyDescent="0.3">
      <c r="J138999"/>
    </row>
    <row r="139000" spans="10:10" x14ac:dyDescent="0.3">
      <c r="J139000"/>
    </row>
    <row r="139001" spans="10:10" x14ac:dyDescent="0.3">
      <c r="J139001"/>
    </row>
    <row r="139002" spans="10:10" x14ac:dyDescent="0.3">
      <c r="J139002"/>
    </row>
    <row r="139003" spans="10:10" x14ac:dyDescent="0.3">
      <c r="J139003"/>
    </row>
    <row r="139004" spans="10:10" x14ac:dyDescent="0.3">
      <c r="J139004"/>
    </row>
    <row r="139005" spans="10:10" x14ac:dyDescent="0.3">
      <c r="J139005"/>
    </row>
    <row r="139006" spans="10:10" x14ac:dyDescent="0.3">
      <c r="J139006"/>
    </row>
    <row r="139007" spans="10:10" x14ac:dyDescent="0.3">
      <c r="J139007"/>
    </row>
    <row r="139008" spans="10:10" x14ac:dyDescent="0.3">
      <c r="J139008"/>
    </row>
    <row r="139009" spans="10:10" x14ac:dyDescent="0.3">
      <c r="J139009"/>
    </row>
    <row r="139010" spans="10:10" x14ac:dyDescent="0.3">
      <c r="J139010"/>
    </row>
    <row r="139011" spans="10:10" x14ac:dyDescent="0.3">
      <c r="J139011"/>
    </row>
    <row r="139012" spans="10:10" x14ac:dyDescent="0.3">
      <c r="J139012"/>
    </row>
    <row r="139013" spans="10:10" x14ac:dyDescent="0.3">
      <c r="J139013"/>
    </row>
    <row r="139014" spans="10:10" x14ac:dyDescent="0.3">
      <c r="J139014"/>
    </row>
    <row r="139015" spans="10:10" x14ac:dyDescent="0.3">
      <c r="J139015"/>
    </row>
    <row r="139016" spans="10:10" x14ac:dyDescent="0.3">
      <c r="J139016"/>
    </row>
    <row r="139017" spans="10:10" x14ac:dyDescent="0.3">
      <c r="J139017"/>
    </row>
    <row r="139018" spans="10:10" x14ac:dyDescent="0.3">
      <c r="J139018"/>
    </row>
    <row r="139019" spans="10:10" x14ac:dyDescent="0.3">
      <c r="J139019"/>
    </row>
    <row r="139020" spans="10:10" x14ac:dyDescent="0.3">
      <c r="J139020"/>
    </row>
    <row r="139021" spans="10:10" x14ac:dyDescent="0.3">
      <c r="J139021"/>
    </row>
    <row r="139022" spans="10:10" x14ac:dyDescent="0.3">
      <c r="J139022"/>
    </row>
    <row r="139023" spans="10:10" x14ac:dyDescent="0.3">
      <c r="J139023"/>
    </row>
    <row r="139024" spans="10:10" x14ac:dyDescent="0.3">
      <c r="J139024"/>
    </row>
    <row r="139025" spans="10:10" x14ac:dyDescent="0.3">
      <c r="J139025"/>
    </row>
    <row r="139026" spans="10:10" x14ac:dyDescent="0.3">
      <c r="J139026"/>
    </row>
    <row r="139027" spans="10:10" x14ac:dyDescent="0.3">
      <c r="J139027"/>
    </row>
    <row r="139028" spans="10:10" x14ac:dyDescent="0.3">
      <c r="J139028"/>
    </row>
    <row r="139029" spans="10:10" x14ac:dyDescent="0.3">
      <c r="J139029"/>
    </row>
    <row r="139030" spans="10:10" x14ac:dyDescent="0.3">
      <c r="J139030"/>
    </row>
    <row r="139031" spans="10:10" x14ac:dyDescent="0.3">
      <c r="J139031"/>
    </row>
    <row r="139032" spans="10:10" x14ac:dyDescent="0.3">
      <c r="J139032"/>
    </row>
    <row r="139033" spans="10:10" x14ac:dyDescent="0.3">
      <c r="J139033"/>
    </row>
    <row r="139034" spans="10:10" x14ac:dyDescent="0.3">
      <c r="J139034"/>
    </row>
    <row r="139035" spans="10:10" x14ac:dyDescent="0.3">
      <c r="J139035"/>
    </row>
    <row r="139036" spans="10:10" x14ac:dyDescent="0.3">
      <c r="J139036"/>
    </row>
    <row r="139037" spans="10:10" x14ac:dyDescent="0.3">
      <c r="J139037"/>
    </row>
    <row r="139038" spans="10:10" x14ac:dyDescent="0.3">
      <c r="J139038"/>
    </row>
    <row r="139039" spans="10:10" x14ac:dyDescent="0.3">
      <c r="J139039"/>
    </row>
    <row r="139040" spans="10:10" x14ac:dyDescent="0.3">
      <c r="J139040"/>
    </row>
    <row r="139041" spans="10:10" x14ac:dyDescent="0.3">
      <c r="J139041"/>
    </row>
    <row r="139042" spans="10:10" x14ac:dyDescent="0.3">
      <c r="J139042"/>
    </row>
    <row r="139043" spans="10:10" x14ac:dyDescent="0.3">
      <c r="J139043"/>
    </row>
    <row r="139044" spans="10:10" x14ac:dyDescent="0.3">
      <c r="J139044"/>
    </row>
    <row r="139045" spans="10:10" x14ac:dyDescent="0.3">
      <c r="J139045"/>
    </row>
    <row r="139046" spans="10:10" x14ac:dyDescent="0.3">
      <c r="J139046"/>
    </row>
    <row r="139047" spans="10:10" x14ac:dyDescent="0.3">
      <c r="J139047"/>
    </row>
    <row r="139048" spans="10:10" x14ac:dyDescent="0.3">
      <c r="J139048"/>
    </row>
    <row r="139049" spans="10:10" x14ac:dyDescent="0.3">
      <c r="J139049"/>
    </row>
    <row r="139050" spans="10:10" x14ac:dyDescent="0.3">
      <c r="J139050"/>
    </row>
    <row r="139051" spans="10:10" x14ac:dyDescent="0.3">
      <c r="J139051"/>
    </row>
    <row r="139052" spans="10:10" x14ac:dyDescent="0.3">
      <c r="J139052"/>
    </row>
    <row r="139053" spans="10:10" x14ac:dyDescent="0.3">
      <c r="J139053"/>
    </row>
    <row r="139054" spans="10:10" x14ac:dyDescent="0.3">
      <c r="J139054"/>
    </row>
    <row r="139055" spans="10:10" x14ac:dyDescent="0.3">
      <c r="J139055"/>
    </row>
    <row r="139056" spans="10:10" x14ac:dyDescent="0.3">
      <c r="J139056"/>
    </row>
    <row r="139057" spans="10:10" x14ac:dyDescent="0.3">
      <c r="J139057"/>
    </row>
    <row r="139058" spans="10:10" x14ac:dyDescent="0.3">
      <c r="J139058"/>
    </row>
    <row r="139059" spans="10:10" x14ac:dyDescent="0.3">
      <c r="J139059"/>
    </row>
    <row r="139060" spans="10:10" x14ac:dyDescent="0.3">
      <c r="J139060"/>
    </row>
    <row r="139061" spans="10:10" x14ac:dyDescent="0.3">
      <c r="J139061"/>
    </row>
    <row r="139062" spans="10:10" x14ac:dyDescent="0.3">
      <c r="J139062"/>
    </row>
    <row r="139063" spans="10:10" x14ac:dyDescent="0.3">
      <c r="J139063"/>
    </row>
    <row r="139064" spans="10:10" x14ac:dyDescent="0.3">
      <c r="J139064"/>
    </row>
    <row r="139065" spans="10:10" x14ac:dyDescent="0.3">
      <c r="J139065"/>
    </row>
    <row r="139066" spans="10:10" x14ac:dyDescent="0.3">
      <c r="J139066"/>
    </row>
    <row r="139067" spans="10:10" x14ac:dyDescent="0.3">
      <c r="J139067"/>
    </row>
    <row r="139068" spans="10:10" x14ac:dyDescent="0.3">
      <c r="J139068"/>
    </row>
    <row r="139069" spans="10:10" x14ac:dyDescent="0.3">
      <c r="J139069"/>
    </row>
    <row r="139070" spans="10:10" x14ac:dyDescent="0.3">
      <c r="J139070"/>
    </row>
    <row r="139071" spans="10:10" x14ac:dyDescent="0.3">
      <c r="J139071"/>
    </row>
    <row r="139072" spans="10:10" x14ac:dyDescent="0.3">
      <c r="J139072"/>
    </row>
    <row r="139073" spans="10:10" x14ac:dyDescent="0.3">
      <c r="J139073"/>
    </row>
    <row r="139074" spans="10:10" x14ac:dyDescent="0.3">
      <c r="J139074"/>
    </row>
    <row r="139075" spans="10:10" x14ac:dyDescent="0.3">
      <c r="J139075"/>
    </row>
    <row r="139076" spans="10:10" x14ac:dyDescent="0.3">
      <c r="J139076"/>
    </row>
    <row r="139077" spans="10:10" x14ac:dyDescent="0.3">
      <c r="J139077"/>
    </row>
    <row r="139078" spans="10:10" x14ac:dyDescent="0.3">
      <c r="J139078"/>
    </row>
    <row r="139079" spans="10:10" x14ac:dyDescent="0.3">
      <c r="J139079"/>
    </row>
    <row r="139080" spans="10:10" x14ac:dyDescent="0.3">
      <c r="J139080"/>
    </row>
    <row r="139081" spans="10:10" x14ac:dyDescent="0.3">
      <c r="J139081"/>
    </row>
    <row r="139082" spans="10:10" x14ac:dyDescent="0.3">
      <c r="J139082"/>
    </row>
    <row r="139083" spans="10:10" x14ac:dyDescent="0.3">
      <c r="J139083"/>
    </row>
    <row r="139084" spans="10:10" x14ac:dyDescent="0.3">
      <c r="J139084"/>
    </row>
    <row r="139085" spans="10:10" x14ac:dyDescent="0.3">
      <c r="J139085"/>
    </row>
    <row r="139086" spans="10:10" x14ac:dyDescent="0.3">
      <c r="J139086"/>
    </row>
    <row r="139087" spans="10:10" x14ac:dyDescent="0.3">
      <c r="J139087"/>
    </row>
    <row r="139088" spans="10:10" x14ac:dyDescent="0.3">
      <c r="J139088"/>
    </row>
    <row r="139089" spans="10:10" x14ac:dyDescent="0.3">
      <c r="J139089"/>
    </row>
    <row r="139090" spans="10:10" x14ac:dyDescent="0.3">
      <c r="J139090"/>
    </row>
    <row r="139091" spans="10:10" x14ac:dyDescent="0.3">
      <c r="J139091"/>
    </row>
    <row r="139092" spans="10:10" x14ac:dyDescent="0.3">
      <c r="J139092"/>
    </row>
    <row r="139093" spans="10:10" x14ac:dyDescent="0.3">
      <c r="J139093"/>
    </row>
    <row r="139094" spans="10:10" x14ac:dyDescent="0.3">
      <c r="J139094"/>
    </row>
    <row r="139095" spans="10:10" x14ac:dyDescent="0.3">
      <c r="J139095"/>
    </row>
    <row r="139096" spans="10:10" x14ac:dyDescent="0.3">
      <c r="J139096"/>
    </row>
    <row r="139097" spans="10:10" x14ac:dyDescent="0.3">
      <c r="J139097"/>
    </row>
    <row r="139098" spans="10:10" x14ac:dyDescent="0.3">
      <c r="J139098"/>
    </row>
    <row r="139099" spans="10:10" x14ac:dyDescent="0.3">
      <c r="J139099"/>
    </row>
    <row r="139100" spans="10:10" x14ac:dyDescent="0.3">
      <c r="J139100"/>
    </row>
    <row r="139101" spans="10:10" x14ac:dyDescent="0.3">
      <c r="J139101"/>
    </row>
    <row r="139102" spans="10:10" x14ac:dyDescent="0.3">
      <c r="J139102"/>
    </row>
    <row r="139103" spans="10:10" x14ac:dyDescent="0.3">
      <c r="J139103"/>
    </row>
    <row r="139104" spans="10:10" x14ac:dyDescent="0.3">
      <c r="J139104"/>
    </row>
    <row r="139105" spans="10:10" x14ac:dyDescent="0.3">
      <c r="J139105"/>
    </row>
    <row r="139106" spans="10:10" x14ac:dyDescent="0.3">
      <c r="J139106"/>
    </row>
    <row r="139107" spans="10:10" x14ac:dyDescent="0.3">
      <c r="J139107"/>
    </row>
    <row r="139108" spans="10:10" x14ac:dyDescent="0.3">
      <c r="J139108"/>
    </row>
    <row r="139109" spans="10:10" x14ac:dyDescent="0.3">
      <c r="J139109"/>
    </row>
    <row r="139110" spans="10:10" x14ac:dyDescent="0.3">
      <c r="J139110"/>
    </row>
    <row r="139111" spans="10:10" x14ac:dyDescent="0.3">
      <c r="J139111"/>
    </row>
    <row r="139112" spans="10:10" x14ac:dyDescent="0.3">
      <c r="J139112"/>
    </row>
    <row r="139113" spans="10:10" x14ac:dyDescent="0.3">
      <c r="J139113"/>
    </row>
    <row r="139114" spans="10:10" x14ac:dyDescent="0.3">
      <c r="J139114"/>
    </row>
    <row r="139115" spans="10:10" x14ac:dyDescent="0.3">
      <c r="J139115"/>
    </row>
    <row r="139116" spans="10:10" x14ac:dyDescent="0.3">
      <c r="J139116"/>
    </row>
    <row r="139117" spans="10:10" x14ac:dyDescent="0.3">
      <c r="J139117"/>
    </row>
    <row r="139118" spans="10:10" x14ac:dyDescent="0.3">
      <c r="J139118"/>
    </row>
    <row r="139119" spans="10:10" x14ac:dyDescent="0.3">
      <c r="J139119"/>
    </row>
    <row r="139120" spans="10:10" x14ac:dyDescent="0.3">
      <c r="J139120"/>
    </row>
    <row r="139121" spans="10:10" x14ac:dyDescent="0.3">
      <c r="J139121"/>
    </row>
    <row r="139122" spans="10:10" x14ac:dyDescent="0.3">
      <c r="J139122"/>
    </row>
    <row r="139123" spans="10:10" x14ac:dyDescent="0.3">
      <c r="J139123"/>
    </row>
    <row r="139124" spans="10:10" x14ac:dyDescent="0.3">
      <c r="J139124"/>
    </row>
    <row r="139125" spans="10:10" x14ac:dyDescent="0.3">
      <c r="J139125"/>
    </row>
    <row r="139126" spans="10:10" x14ac:dyDescent="0.3">
      <c r="J139126"/>
    </row>
    <row r="139127" spans="10:10" x14ac:dyDescent="0.3">
      <c r="J139127"/>
    </row>
    <row r="139128" spans="10:10" x14ac:dyDescent="0.3">
      <c r="J139128"/>
    </row>
    <row r="139129" spans="10:10" x14ac:dyDescent="0.3">
      <c r="J139129"/>
    </row>
    <row r="139130" spans="10:10" x14ac:dyDescent="0.3">
      <c r="J139130"/>
    </row>
    <row r="139131" spans="10:10" x14ac:dyDescent="0.3">
      <c r="J139131"/>
    </row>
    <row r="139132" spans="10:10" x14ac:dyDescent="0.3">
      <c r="J139132"/>
    </row>
    <row r="139133" spans="10:10" x14ac:dyDescent="0.3">
      <c r="J139133"/>
    </row>
    <row r="139134" spans="10:10" x14ac:dyDescent="0.3">
      <c r="J139134"/>
    </row>
    <row r="139135" spans="10:10" x14ac:dyDescent="0.3">
      <c r="J139135"/>
    </row>
    <row r="139136" spans="10:10" x14ac:dyDescent="0.3">
      <c r="J139136"/>
    </row>
    <row r="139137" spans="10:10" x14ac:dyDescent="0.3">
      <c r="J139137"/>
    </row>
    <row r="139138" spans="10:10" x14ac:dyDescent="0.3">
      <c r="J139138"/>
    </row>
    <row r="139139" spans="10:10" x14ac:dyDescent="0.3">
      <c r="J139139"/>
    </row>
    <row r="139140" spans="10:10" x14ac:dyDescent="0.3">
      <c r="J139140"/>
    </row>
    <row r="139141" spans="10:10" x14ac:dyDescent="0.3">
      <c r="J139141"/>
    </row>
    <row r="139142" spans="10:10" x14ac:dyDescent="0.3">
      <c r="J139142"/>
    </row>
    <row r="139143" spans="10:10" x14ac:dyDescent="0.3">
      <c r="J139143"/>
    </row>
    <row r="139144" spans="10:10" x14ac:dyDescent="0.3">
      <c r="J139144"/>
    </row>
    <row r="139145" spans="10:10" x14ac:dyDescent="0.3">
      <c r="J139145"/>
    </row>
    <row r="139146" spans="10:10" x14ac:dyDescent="0.3">
      <c r="J139146"/>
    </row>
    <row r="139147" spans="10:10" x14ac:dyDescent="0.3">
      <c r="J139147"/>
    </row>
    <row r="139148" spans="10:10" x14ac:dyDescent="0.3">
      <c r="J139148"/>
    </row>
    <row r="139149" spans="10:10" x14ac:dyDescent="0.3">
      <c r="J139149"/>
    </row>
    <row r="139150" spans="10:10" x14ac:dyDescent="0.3">
      <c r="J139150"/>
    </row>
    <row r="139151" spans="10:10" x14ac:dyDescent="0.3">
      <c r="J139151"/>
    </row>
    <row r="139152" spans="10:10" x14ac:dyDescent="0.3">
      <c r="J139152"/>
    </row>
    <row r="139153" spans="10:10" x14ac:dyDescent="0.3">
      <c r="J139153"/>
    </row>
    <row r="139154" spans="10:10" x14ac:dyDescent="0.3">
      <c r="J139154"/>
    </row>
    <row r="139155" spans="10:10" x14ac:dyDescent="0.3">
      <c r="J139155"/>
    </row>
    <row r="139156" spans="10:10" x14ac:dyDescent="0.3">
      <c r="J139156"/>
    </row>
    <row r="139157" spans="10:10" x14ac:dyDescent="0.3">
      <c r="J139157"/>
    </row>
    <row r="139158" spans="10:10" x14ac:dyDescent="0.3">
      <c r="J139158"/>
    </row>
    <row r="139159" spans="10:10" x14ac:dyDescent="0.3">
      <c r="J139159"/>
    </row>
    <row r="139160" spans="10:10" x14ac:dyDescent="0.3">
      <c r="J139160"/>
    </row>
    <row r="139161" spans="10:10" x14ac:dyDescent="0.3">
      <c r="J139161"/>
    </row>
    <row r="139162" spans="10:10" x14ac:dyDescent="0.3">
      <c r="J139162"/>
    </row>
    <row r="139163" spans="10:10" x14ac:dyDescent="0.3">
      <c r="J139163"/>
    </row>
    <row r="139164" spans="10:10" x14ac:dyDescent="0.3">
      <c r="J139164"/>
    </row>
    <row r="139165" spans="10:10" x14ac:dyDescent="0.3">
      <c r="J139165"/>
    </row>
    <row r="139166" spans="10:10" x14ac:dyDescent="0.3">
      <c r="J139166"/>
    </row>
    <row r="139167" spans="10:10" x14ac:dyDescent="0.3">
      <c r="J139167"/>
    </row>
    <row r="139168" spans="10:10" x14ac:dyDescent="0.3">
      <c r="J139168"/>
    </row>
    <row r="139169" spans="10:10" x14ac:dyDescent="0.3">
      <c r="J139169"/>
    </row>
    <row r="139170" spans="10:10" x14ac:dyDescent="0.3">
      <c r="J139170"/>
    </row>
    <row r="139171" spans="10:10" x14ac:dyDescent="0.3">
      <c r="J139171"/>
    </row>
    <row r="139172" spans="10:10" x14ac:dyDescent="0.3">
      <c r="J139172"/>
    </row>
    <row r="139173" spans="10:10" x14ac:dyDescent="0.3">
      <c r="J139173"/>
    </row>
    <row r="139174" spans="10:10" x14ac:dyDescent="0.3">
      <c r="J139174"/>
    </row>
    <row r="139175" spans="10:10" x14ac:dyDescent="0.3">
      <c r="J139175"/>
    </row>
    <row r="139176" spans="10:10" x14ac:dyDescent="0.3">
      <c r="J139176"/>
    </row>
    <row r="139177" spans="10:10" x14ac:dyDescent="0.3">
      <c r="J139177"/>
    </row>
    <row r="139178" spans="10:10" x14ac:dyDescent="0.3">
      <c r="J139178"/>
    </row>
    <row r="139179" spans="10:10" x14ac:dyDescent="0.3">
      <c r="J139179"/>
    </row>
    <row r="139180" spans="10:10" x14ac:dyDescent="0.3">
      <c r="J139180"/>
    </row>
    <row r="139181" spans="10:10" x14ac:dyDescent="0.3">
      <c r="J139181"/>
    </row>
    <row r="139182" spans="10:10" x14ac:dyDescent="0.3">
      <c r="J139182"/>
    </row>
    <row r="139183" spans="10:10" x14ac:dyDescent="0.3">
      <c r="J139183"/>
    </row>
    <row r="139184" spans="10:10" x14ac:dyDescent="0.3">
      <c r="J139184"/>
    </row>
    <row r="139185" spans="10:10" x14ac:dyDescent="0.3">
      <c r="J139185"/>
    </row>
    <row r="139186" spans="10:10" x14ac:dyDescent="0.3">
      <c r="J139186"/>
    </row>
    <row r="139187" spans="10:10" x14ac:dyDescent="0.3">
      <c r="J139187"/>
    </row>
    <row r="139188" spans="10:10" x14ac:dyDescent="0.3">
      <c r="J139188"/>
    </row>
    <row r="139189" spans="10:10" x14ac:dyDescent="0.3">
      <c r="J139189"/>
    </row>
    <row r="139190" spans="10:10" x14ac:dyDescent="0.3">
      <c r="J139190"/>
    </row>
    <row r="139191" spans="10:10" x14ac:dyDescent="0.3">
      <c r="J139191"/>
    </row>
    <row r="139192" spans="10:10" x14ac:dyDescent="0.3">
      <c r="J139192"/>
    </row>
    <row r="139193" spans="10:10" x14ac:dyDescent="0.3">
      <c r="J139193"/>
    </row>
    <row r="139194" spans="10:10" x14ac:dyDescent="0.3">
      <c r="J139194"/>
    </row>
    <row r="139195" spans="10:10" x14ac:dyDescent="0.3">
      <c r="J139195"/>
    </row>
    <row r="139196" spans="10:10" x14ac:dyDescent="0.3">
      <c r="J139196"/>
    </row>
    <row r="139197" spans="10:10" x14ac:dyDescent="0.3">
      <c r="J139197"/>
    </row>
    <row r="139198" spans="10:10" x14ac:dyDescent="0.3">
      <c r="J139198"/>
    </row>
    <row r="139199" spans="10:10" x14ac:dyDescent="0.3">
      <c r="J139199"/>
    </row>
    <row r="139200" spans="10:10" x14ac:dyDescent="0.3">
      <c r="J139200"/>
    </row>
    <row r="139201" spans="10:10" x14ac:dyDescent="0.3">
      <c r="J139201"/>
    </row>
    <row r="139202" spans="10:10" x14ac:dyDescent="0.3">
      <c r="J139202"/>
    </row>
    <row r="139203" spans="10:10" x14ac:dyDescent="0.3">
      <c r="J139203"/>
    </row>
    <row r="139204" spans="10:10" x14ac:dyDescent="0.3">
      <c r="J139204"/>
    </row>
    <row r="139205" spans="10:10" x14ac:dyDescent="0.3">
      <c r="J139205"/>
    </row>
    <row r="139206" spans="10:10" x14ac:dyDescent="0.3">
      <c r="J139206"/>
    </row>
    <row r="139207" spans="10:10" x14ac:dyDescent="0.3">
      <c r="J139207"/>
    </row>
    <row r="139208" spans="10:10" x14ac:dyDescent="0.3">
      <c r="J139208"/>
    </row>
    <row r="139209" spans="10:10" x14ac:dyDescent="0.3">
      <c r="J139209"/>
    </row>
    <row r="139210" spans="10:10" x14ac:dyDescent="0.3">
      <c r="J139210"/>
    </row>
    <row r="139211" spans="10:10" x14ac:dyDescent="0.3">
      <c r="J139211"/>
    </row>
    <row r="139212" spans="10:10" x14ac:dyDescent="0.3">
      <c r="J139212"/>
    </row>
    <row r="139213" spans="10:10" x14ac:dyDescent="0.3">
      <c r="J139213"/>
    </row>
    <row r="139214" spans="10:10" x14ac:dyDescent="0.3">
      <c r="J139214"/>
    </row>
    <row r="139215" spans="10:10" x14ac:dyDescent="0.3">
      <c r="J139215"/>
    </row>
    <row r="139216" spans="10:10" x14ac:dyDescent="0.3">
      <c r="J139216"/>
    </row>
    <row r="139217" spans="10:10" x14ac:dyDescent="0.3">
      <c r="J139217"/>
    </row>
    <row r="139218" spans="10:10" x14ac:dyDescent="0.3">
      <c r="J139218"/>
    </row>
    <row r="139219" spans="10:10" x14ac:dyDescent="0.3">
      <c r="J139219"/>
    </row>
    <row r="139220" spans="10:10" x14ac:dyDescent="0.3">
      <c r="J139220"/>
    </row>
    <row r="139221" spans="10:10" x14ac:dyDescent="0.3">
      <c r="J139221"/>
    </row>
    <row r="139222" spans="10:10" x14ac:dyDescent="0.3">
      <c r="J139222"/>
    </row>
    <row r="139223" spans="10:10" x14ac:dyDescent="0.3">
      <c r="J139223"/>
    </row>
    <row r="139224" spans="10:10" x14ac:dyDescent="0.3">
      <c r="J139224"/>
    </row>
    <row r="139225" spans="10:10" x14ac:dyDescent="0.3">
      <c r="J139225"/>
    </row>
    <row r="139226" spans="10:10" x14ac:dyDescent="0.3">
      <c r="J139226"/>
    </row>
    <row r="139227" spans="10:10" x14ac:dyDescent="0.3">
      <c r="J139227"/>
    </row>
    <row r="139228" spans="10:10" x14ac:dyDescent="0.3">
      <c r="J139228"/>
    </row>
    <row r="139229" spans="10:10" x14ac:dyDescent="0.3">
      <c r="J139229"/>
    </row>
    <row r="139230" spans="10:10" x14ac:dyDescent="0.3">
      <c r="J139230"/>
    </row>
    <row r="139231" spans="10:10" x14ac:dyDescent="0.3">
      <c r="J139231"/>
    </row>
    <row r="139232" spans="10:10" x14ac:dyDescent="0.3">
      <c r="J139232"/>
    </row>
    <row r="139233" spans="10:10" x14ac:dyDescent="0.3">
      <c r="J139233"/>
    </row>
    <row r="139234" spans="10:10" x14ac:dyDescent="0.3">
      <c r="J139234"/>
    </row>
    <row r="139235" spans="10:10" x14ac:dyDescent="0.3">
      <c r="J139235"/>
    </row>
    <row r="139236" spans="10:10" x14ac:dyDescent="0.3">
      <c r="J139236"/>
    </row>
    <row r="139237" spans="10:10" x14ac:dyDescent="0.3">
      <c r="J139237"/>
    </row>
    <row r="139238" spans="10:10" x14ac:dyDescent="0.3">
      <c r="J139238"/>
    </row>
    <row r="139239" spans="10:10" x14ac:dyDescent="0.3">
      <c r="J139239"/>
    </row>
    <row r="139240" spans="10:10" x14ac:dyDescent="0.3">
      <c r="J139240"/>
    </row>
    <row r="139241" spans="10:10" x14ac:dyDescent="0.3">
      <c r="J139241"/>
    </row>
    <row r="139242" spans="10:10" x14ac:dyDescent="0.3">
      <c r="J139242"/>
    </row>
    <row r="139243" spans="10:10" x14ac:dyDescent="0.3">
      <c r="J139243"/>
    </row>
    <row r="139244" spans="10:10" x14ac:dyDescent="0.3">
      <c r="J139244"/>
    </row>
    <row r="139245" spans="10:10" x14ac:dyDescent="0.3">
      <c r="J139245"/>
    </row>
    <row r="139246" spans="10:10" x14ac:dyDescent="0.3">
      <c r="J139246"/>
    </row>
    <row r="139247" spans="10:10" x14ac:dyDescent="0.3">
      <c r="J139247"/>
    </row>
    <row r="139248" spans="10:10" x14ac:dyDescent="0.3">
      <c r="J139248"/>
    </row>
    <row r="139249" spans="10:10" x14ac:dyDescent="0.3">
      <c r="J139249"/>
    </row>
    <row r="139250" spans="10:10" x14ac:dyDescent="0.3">
      <c r="J139250"/>
    </row>
    <row r="139251" spans="10:10" x14ac:dyDescent="0.3">
      <c r="J139251"/>
    </row>
    <row r="139252" spans="10:10" x14ac:dyDescent="0.3">
      <c r="J139252"/>
    </row>
    <row r="139253" spans="10:10" x14ac:dyDescent="0.3">
      <c r="J139253"/>
    </row>
    <row r="139254" spans="10:10" x14ac:dyDescent="0.3">
      <c r="J139254"/>
    </row>
    <row r="139255" spans="10:10" x14ac:dyDescent="0.3">
      <c r="J139255"/>
    </row>
    <row r="139256" spans="10:10" x14ac:dyDescent="0.3">
      <c r="J139256"/>
    </row>
    <row r="139257" spans="10:10" x14ac:dyDescent="0.3">
      <c r="J139257"/>
    </row>
    <row r="139258" spans="10:10" x14ac:dyDescent="0.3">
      <c r="J139258"/>
    </row>
    <row r="139259" spans="10:10" x14ac:dyDescent="0.3">
      <c r="J139259"/>
    </row>
    <row r="139260" spans="10:10" x14ac:dyDescent="0.3">
      <c r="J139260"/>
    </row>
    <row r="139261" spans="10:10" x14ac:dyDescent="0.3">
      <c r="J139261"/>
    </row>
    <row r="139262" spans="10:10" x14ac:dyDescent="0.3">
      <c r="J139262"/>
    </row>
    <row r="139263" spans="10:10" x14ac:dyDescent="0.3">
      <c r="J139263"/>
    </row>
    <row r="139264" spans="10:10" x14ac:dyDescent="0.3">
      <c r="J139264"/>
    </row>
    <row r="139265" spans="10:10" x14ac:dyDescent="0.3">
      <c r="J139265"/>
    </row>
    <row r="139266" spans="10:10" x14ac:dyDescent="0.3">
      <c r="J139266"/>
    </row>
    <row r="139267" spans="10:10" x14ac:dyDescent="0.3">
      <c r="J139267"/>
    </row>
    <row r="139268" spans="10:10" x14ac:dyDescent="0.3">
      <c r="J139268"/>
    </row>
    <row r="139269" spans="10:10" x14ac:dyDescent="0.3">
      <c r="J139269"/>
    </row>
    <row r="139270" spans="10:10" x14ac:dyDescent="0.3">
      <c r="J139270"/>
    </row>
    <row r="139271" spans="10:10" x14ac:dyDescent="0.3">
      <c r="J139271"/>
    </row>
    <row r="139272" spans="10:10" x14ac:dyDescent="0.3">
      <c r="J139272"/>
    </row>
    <row r="139273" spans="10:10" x14ac:dyDescent="0.3">
      <c r="J139273"/>
    </row>
    <row r="139274" spans="10:10" x14ac:dyDescent="0.3">
      <c r="J139274"/>
    </row>
    <row r="139275" spans="10:10" x14ac:dyDescent="0.3">
      <c r="J139275"/>
    </row>
    <row r="139276" spans="10:10" x14ac:dyDescent="0.3">
      <c r="J139276"/>
    </row>
    <row r="139277" spans="10:10" x14ac:dyDescent="0.3">
      <c r="J139277"/>
    </row>
    <row r="139278" spans="10:10" x14ac:dyDescent="0.3">
      <c r="J139278"/>
    </row>
    <row r="139279" spans="10:10" x14ac:dyDescent="0.3">
      <c r="J139279"/>
    </row>
    <row r="139280" spans="10:10" x14ac:dyDescent="0.3">
      <c r="J139280"/>
    </row>
    <row r="139281" spans="10:10" x14ac:dyDescent="0.3">
      <c r="J139281"/>
    </row>
    <row r="139282" spans="10:10" x14ac:dyDescent="0.3">
      <c r="J139282"/>
    </row>
    <row r="139283" spans="10:10" x14ac:dyDescent="0.3">
      <c r="J139283"/>
    </row>
    <row r="139284" spans="10:10" x14ac:dyDescent="0.3">
      <c r="J139284"/>
    </row>
    <row r="139285" spans="10:10" x14ac:dyDescent="0.3">
      <c r="J139285"/>
    </row>
    <row r="139286" spans="10:10" x14ac:dyDescent="0.3">
      <c r="J139286"/>
    </row>
    <row r="139287" spans="10:10" x14ac:dyDescent="0.3">
      <c r="J139287"/>
    </row>
    <row r="139288" spans="10:10" x14ac:dyDescent="0.3">
      <c r="J139288"/>
    </row>
    <row r="139289" spans="10:10" x14ac:dyDescent="0.3">
      <c r="J139289"/>
    </row>
    <row r="139290" spans="10:10" x14ac:dyDescent="0.3">
      <c r="J139290"/>
    </row>
    <row r="139291" spans="10:10" x14ac:dyDescent="0.3">
      <c r="J139291"/>
    </row>
    <row r="139292" spans="10:10" x14ac:dyDescent="0.3">
      <c r="J139292"/>
    </row>
    <row r="139293" spans="10:10" x14ac:dyDescent="0.3">
      <c r="J139293"/>
    </row>
    <row r="139294" spans="10:10" x14ac:dyDescent="0.3">
      <c r="J139294"/>
    </row>
    <row r="139295" spans="10:10" x14ac:dyDescent="0.3">
      <c r="J139295"/>
    </row>
    <row r="139296" spans="10:10" x14ac:dyDescent="0.3">
      <c r="J139296"/>
    </row>
    <row r="139297" spans="10:10" x14ac:dyDescent="0.3">
      <c r="J139297"/>
    </row>
    <row r="139298" spans="10:10" x14ac:dyDescent="0.3">
      <c r="J139298"/>
    </row>
    <row r="139299" spans="10:10" x14ac:dyDescent="0.3">
      <c r="J139299"/>
    </row>
    <row r="139300" spans="10:10" x14ac:dyDescent="0.3">
      <c r="J139300"/>
    </row>
    <row r="139301" spans="10:10" x14ac:dyDescent="0.3">
      <c r="J139301"/>
    </row>
    <row r="139302" spans="10:10" x14ac:dyDescent="0.3">
      <c r="J139302"/>
    </row>
    <row r="139303" spans="10:10" x14ac:dyDescent="0.3">
      <c r="J139303"/>
    </row>
    <row r="139304" spans="10:10" x14ac:dyDescent="0.3">
      <c r="J139304"/>
    </row>
    <row r="139305" spans="10:10" x14ac:dyDescent="0.3">
      <c r="J139305"/>
    </row>
    <row r="139306" spans="10:10" x14ac:dyDescent="0.3">
      <c r="J139306"/>
    </row>
    <row r="139307" spans="10:10" x14ac:dyDescent="0.3">
      <c r="J139307"/>
    </row>
    <row r="139308" spans="10:10" x14ac:dyDescent="0.3">
      <c r="J139308"/>
    </row>
    <row r="139309" spans="10:10" x14ac:dyDescent="0.3">
      <c r="J139309"/>
    </row>
    <row r="139310" spans="10:10" x14ac:dyDescent="0.3">
      <c r="J139310"/>
    </row>
    <row r="139311" spans="10:10" x14ac:dyDescent="0.3">
      <c r="J139311"/>
    </row>
    <row r="139312" spans="10:10" x14ac:dyDescent="0.3">
      <c r="J139312"/>
    </row>
    <row r="139313" spans="10:10" x14ac:dyDescent="0.3">
      <c r="J139313"/>
    </row>
    <row r="139314" spans="10:10" x14ac:dyDescent="0.3">
      <c r="J139314"/>
    </row>
    <row r="139315" spans="10:10" x14ac:dyDescent="0.3">
      <c r="J139315"/>
    </row>
    <row r="139316" spans="10:10" x14ac:dyDescent="0.3">
      <c r="J139316"/>
    </row>
    <row r="139317" spans="10:10" x14ac:dyDescent="0.3">
      <c r="J139317"/>
    </row>
    <row r="139318" spans="10:10" x14ac:dyDescent="0.3">
      <c r="J139318"/>
    </row>
    <row r="139319" spans="10:10" x14ac:dyDescent="0.3">
      <c r="J139319"/>
    </row>
    <row r="139320" spans="10:10" x14ac:dyDescent="0.3">
      <c r="J139320"/>
    </row>
    <row r="139321" spans="10:10" x14ac:dyDescent="0.3">
      <c r="J139321"/>
    </row>
    <row r="139322" spans="10:10" x14ac:dyDescent="0.3">
      <c r="J139322"/>
    </row>
    <row r="139323" spans="10:10" x14ac:dyDescent="0.3">
      <c r="J139323"/>
    </row>
    <row r="139324" spans="10:10" x14ac:dyDescent="0.3">
      <c r="J139324"/>
    </row>
    <row r="139325" spans="10:10" x14ac:dyDescent="0.3">
      <c r="J139325"/>
    </row>
    <row r="139326" spans="10:10" x14ac:dyDescent="0.3">
      <c r="J139326"/>
    </row>
    <row r="139327" spans="10:10" x14ac:dyDescent="0.3">
      <c r="J139327"/>
    </row>
    <row r="139328" spans="10:10" x14ac:dyDescent="0.3">
      <c r="J139328"/>
    </row>
    <row r="139329" spans="10:10" x14ac:dyDescent="0.3">
      <c r="J139329"/>
    </row>
    <row r="139330" spans="10:10" x14ac:dyDescent="0.3">
      <c r="J139330"/>
    </row>
    <row r="139331" spans="10:10" x14ac:dyDescent="0.3">
      <c r="J139331"/>
    </row>
    <row r="139332" spans="10:10" x14ac:dyDescent="0.3">
      <c r="J139332"/>
    </row>
    <row r="139333" spans="10:10" x14ac:dyDescent="0.3">
      <c r="J139333"/>
    </row>
    <row r="139334" spans="10:10" x14ac:dyDescent="0.3">
      <c r="J139334"/>
    </row>
    <row r="139335" spans="10:10" x14ac:dyDescent="0.3">
      <c r="J139335"/>
    </row>
    <row r="139336" spans="10:10" x14ac:dyDescent="0.3">
      <c r="J139336"/>
    </row>
    <row r="139337" spans="10:10" x14ac:dyDescent="0.3">
      <c r="J139337"/>
    </row>
    <row r="139338" spans="10:10" x14ac:dyDescent="0.3">
      <c r="J139338"/>
    </row>
    <row r="139339" spans="10:10" x14ac:dyDescent="0.3">
      <c r="J139339"/>
    </row>
    <row r="139340" spans="10:10" x14ac:dyDescent="0.3">
      <c r="J139340"/>
    </row>
    <row r="139341" spans="10:10" x14ac:dyDescent="0.3">
      <c r="J139341"/>
    </row>
    <row r="139342" spans="10:10" x14ac:dyDescent="0.3">
      <c r="J139342"/>
    </row>
    <row r="139343" spans="10:10" x14ac:dyDescent="0.3">
      <c r="J139343"/>
    </row>
    <row r="139344" spans="10:10" x14ac:dyDescent="0.3">
      <c r="J139344"/>
    </row>
    <row r="139345" spans="10:10" x14ac:dyDescent="0.3">
      <c r="J139345"/>
    </row>
    <row r="139346" spans="10:10" x14ac:dyDescent="0.3">
      <c r="J139346"/>
    </row>
    <row r="139347" spans="10:10" x14ac:dyDescent="0.3">
      <c r="J139347"/>
    </row>
    <row r="139348" spans="10:10" x14ac:dyDescent="0.3">
      <c r="J139348"/>
    </row>
    <row r="139349" spans="10:10" x14ac:dyDescent="0.3">
      <c r="J139349"/>
    </row>
    <row r="139350" spans="10:10" x14ac:dyDescent="0.3">
      <c r="J139350"/>
    </row>
    <row r="139351" spans="10:10" x14ac:dyDescent="0.3">
      <c r="J139351"/>
    </row>
    <row r="139352" spans="10:10" x14ac:dyDescent="0.3">
      <c r="J139352"/>
    </row>
    <row r="139353" spans="10:10" x14ac:dyDescent="0.3">
      <c r="J139353"/>
    </row>
    <row r="139354" spans="10:10" x14ac:dyDescent="0.3">
      <c r="J139354"/>
    </row>
    <row r="139355" spans="10:10" x14ac:dyDescent="0.3">
      <c r="J139355"/>
    </row>
    <row r="139356" spans="10:10" x14ac:dyDescent="0.3">
      <c r="J139356"/>
    </row>
    <row r="139357" spans="10:10" x14ac:dyDescent="0.3">
      <c r="J139357"/>
    </row>
    <row r="139358" spans="10:10" x14ac:dyDescent="0.3">
      <c r="J139358"/>
    </row>
    <row r="139359" spans="10:10" x14ac:dyDescent="0.3">
      <c r="J139359"/>
    </row>
    <row r="139360" spans="10:10" x14ac:dyDescent="0.3">
      <c r="J139360"/>
    </row>
    <row r="139361" spans="10:10" x14ac:dyDescent="0.3">
      <c r="J139361"/>
    </row>
    <row r="139362" spans="10:10" x14ac:dyDescent="0.3">
      <c r="J139362"/>
    </row>
    <row r="139363" spans="10:10" x14ac:dyDescent="0.3">
      <c r="J139363"/>
    </row>
    <row r="139364" spans="10:10" x14ac:dyDescent="0.3">
      <c r="J139364"/>
    </row>
    <row r="139365" spans="10:10" x14ac:dyDescent="0.3">
      <c r="J139365"/>
    </row>
    <row r="139366" spans="10:10" x14ac:dyDescent="0.3">
      <c r="J139366"/>
    </row>
    <row r="139367" spans="10:10" x14ac:dyDescent="0.3">
      <c r="J139367"/>
    </row>
    <row r="139368" spans="10:10" x14ac:dyDescent="0.3">
      <c r="J139368"/>
    </row>
    <row r="139369" spans="10:10" x14ac:dyDescent="0.3">
      <c r="J139369"/>
    </row>
    <row r="139370" spans="10:10" x14ac:dyDescent="0.3">
      <c r="J139370"/>
    </row>
    <row r="139371" spans="10:10" x14ac:dyDescent="0.3">
      <c r="J139371"/>
    </row>
    <row r="139372" spans="10:10" x14ac:dyDescent="0.3">
      <c r="J139372"/>
    </row>
    <row r="139373" spans="10:10" x14ac:dyDescent="0.3">
      <c r="J139373"/>
    </row>
    <row r="139374" spans="10:10" x14ac:dyDescent="0.3">
      <c r="J139374"/>
    </row>
    <row r="139375" spans="10:10" x14ac:dyDescent="0.3">
      <c r="J139375"/>
    </row>
    <row r="139376" spans="10:10" x14ac:dyDescent="0.3">
      <c r="J139376"/>
    </row>
    <row r="139377" spans="10:10" x14ac:dyDescent="0.3">
      <c r="J139377"/>
    </row>
    <row r="139378" spans="10:10" x14ac:dyDescent="0.3">
      <c r="J139378"/>
    </row>
    <row r="139379" spans="10:10" x14ac:dyDescent="0.3">
      <c r="J139379"/>
    </row>
    <row r="139380" spans="10:10" x14ac:dyDescent="0.3">
      <c r="J139380"/>
    </row>
    <row r="139381" spans="10:10" x14ac:dyDescent="0.3">
      <c r="J139381"/>
    </row>
    <row r="139382" spans="10:10" x14ac:dyDescent="0.3">
      <c r="J139382"/>
    </row>
    <row r="139383" spans="10:10" x14ac:dyDescent="0.3">
      <c r="J139383"/>
    </row>
    <row r="139384" spans="10:10" x14ac:dyDescent="0.3">
      <c r="J139384"/>
    </row>
    <row r="139385" spans="10:10" x14ac:dyDescent="0.3">
      <c r="J139385"/>
    </row>
    <row r="139386" spans="10:10" x14ac:dyDescent="0.3">
      <c r="J139386"/>
    </row>
    <row r="139387" spans="10:10" x14ac:dyDescent="0.3">
      <c r="J139387"/>
    </row>
    <row r="139388" spans="10:10" x14ac:dyDescent="0.3">
      <c r="J139388"/>
    </row>
    <row r="139389" spans="10:10" x14ac:dyDescent="0.3">
      <c r="J139389"/>
    </row>
    <row r="139390" spans="10:10" x14ac:dyDescent="0.3">
      <c r="J139390"/>
    </row>
    <row r="139391" spans="10:10" x14ac:dyDescent="0.3">
      <c r="J139391"/>
    </row>
    <row r="139392" spans="10:10" x14ac:dyDescent="0.3">
      <c r="J139392"/>
    </row>
    <row r="139393" spans="10:10" x14ac:dyDescent="0.3">
      <c r="J139393"/>
    </row>
    <row r="139394" spans="10:10" x14ac:dyDescent="0.3">
      <c r="J139394"/>
    </row>
    <row r="139395" spans="10:10" x14ac:dyDescent="0.3">
      <c r="J139395"/>
    </row>
    <row r="139396" spans="10:10" x14ac:dyDescent="0.3">
      <c r="J139396"/>
    </row>
    <row r="139397" spans="10:10" x14ac:dyDescent="0.3">
      <c r="J139397"/>
    </row>
    <row r="139398" spans="10:10" x14ac:dyDescent="0.3">
      <c r="J139398"/>
    </row>
    <row r="139399" spans="10:10" x14ac:dyDescent="0.3">
      <c r="J139399"/>
    </row>
    <row r="139400" spans="10:10" x14ac:dyDescent="0.3">
      <c r="J139400"/>
    </row>
    <row r="139401" spans="10:10" x14ac:dyDescent="0.3">
      <c r="J139401"/>
    </row>
    <row r="139402" spans="10:10" x14ac:dyDescent="0.3">
      <c r="J139402"/>
    </row>
    <row r="139403" spans="10:10" x14ac:dyDescent="0.3">
      <c r="J139403"/>
    </row>
    <row r="139404" spans="10:10" x14ac:dyDescent="0.3">
      <c r="J139404"/>
    </row>
    <row r="139405" spans="10:10" x14ac:dyDescent="0.3">
      <c r="J139405"/>
    </row>
    <row r="139406" spans="10:10" x14ac:dyDescent="0.3">
      <c r="J139406"/>
    </row>
    <row r="139407" spans="10:10" x14ac:dyDescent="0.3">
      <c r="J139407"/>
    </row>
    <row r="139408" spans="10:10" x14ac:dyDescent="0.3">
      <c r="J139408"/>
    </row>
    <row r="139409" spans="10:10" x14ac:dyDescent="0.3">
      <c r="J139409"/>
    </row>
    <row r="139410" spans="10:10" x14ac:dyDescent="0.3">
      <c r="J139410"/>
    </row>
    <row r="139411" spans="10:10" x14ac:dyDescent="0.3">
      <c r="J139411"/>
    </row>
    <row r="139412" spans="10:10" x14ac:dyDescent="0.3">
      <c r="J139412"/>
    </row>
    <row r="139413" spans="10:10" x14ac:dyDescent="0.3">
      <c r="J139413"/>
    </row>
    <row r="139414" spans="10:10" x14ac:dyDescent="0.3">
      <c r="J139414"/>
    </row>
    <row r="139415" spans="10:10" x14ac:dyDescent="0.3">
      <c r="J139415"/>
    </row>
    <row r="139416" spans="10:10" x14ac:dyDescent="0.3">
      <c r="J139416"/>
    </row>
    <row r="139417" spans="10:10" x14ac:dyDescent="0.3">
      <c r="J139417"/>
    </row>
    <row r="139418" spans="10:10" x14ac:dyDescent="0.3">
      <c r="J139418"/>
    </row>
    <row r="139419" spans="10:10" x14ac:dyDescent="0.3">
      <c r="J139419"/>
    </row>
    <row r="139420" spans="10:10" x14ac:dyDescent="0.3">
      <c r="J139420"/>
    </row>
    <row r="139421" spans="10:10" x14ac:dyDescent="0.3">
      <c r="J139421"/>
    </row>
    <row r="139422" spans="10:10" x14ac:dyDescent="0.3">
      <c r="J139422"/>
    </row>
    <row r="139423" spans="10:10" x14ac:dyDescent="0.3">
      <c r="J139423"/>
    </row>
    <row r="139424" spans="10:10" x14ac:dyDescent="0.3">
      <c r="J139424"/>
    </row>
    <row r="139425" spans="10:10" x14ac:dyDescent="0.3">
      <c r="J139425"/>
    </row>
    <row r="139426" spans="10:10" x14ac:dyDescent="0.3">
      <c r="J139426"/>
    </row>
    <row r="139427" spans="10:10" x14ac:dyDescent="0.3">
      <c r="J139427"/>
    </row>
    <row r="139428" spans="10:10" x14ac:dyDescent="0.3">
      <c r="J139428"/>
    </row>
    <row r="139429" spans="10:10" x14ac:dyDescent="0.3">
      <c r="J139429"/>
    </row>
    <row r="139430" spans="10:10" x14ac:dyDescent="0.3">
      <c r="J139430"/>
    </row>
    <row r="139431" spans="10:10" x14ac:dyDescent="0.3">
      <c r="J139431"/>
    </row>
    <row r="139432" spans="10:10" x14ac:dyDescent="0.3">
      <c r="J139432"/>
    </row>
    <row r="139433" spans="10:10" x14ac:dyDescent="0.3">
      <c r="J139433"/>
    </row>
    <row r="139434" spans="10:10" x14ac:dyDescent="0.3">
      <c r="J139434"/>
    </row>
    <row r="139435" spans="10:10" x14ac:dyDescent="0.3">
      <c r="J139435"/>
    </row>
    <row r="139436" spans="10:10" x14ac:dyDescent="0.3">
      <c r="J139436"/>
    </row>
    <row r="139437" spans="10:10" x14ac:dyDescent="0.3">
      <c r="J139437"/>
    </row>
    <row r="139438" spans="10:10" x14ac:dyDescent="0.3">
      <c r="J139438"/>
    </row>
    <row r="139439" spans="10:10" x14ac:dyDescent="0.3">
      <c r="J139439"/>
    </row>
    <row r="139440" spans="10:10" x14ac:dyDescent="0.3">
      <c r="J139440"/>
    </row>
    <row r="139441" spans="10:10" x14ac:dyDescent="0.3">
      <c r="J139441"/>
    </row>
    <row r="139442" spans="10:10" x14ac:dyDescent="0.3">
      <c r="J139442"/>
    </row>
    <row r="139443" spans="10:10" x14ac:dyDescent="0.3">
      <c r="J139443"/>
    </row>
    <row r="139444" spans="10:10" x14ac:dyDescent="0.3">
      <c r="J139444"/>
    </row>
    <row r="139445" spans="10:10" x14ac:dyDescent="0.3">
      <c r="J139445"/>
    </row>
    <row r="139446" spans="10:10" x14ac:dyDescent="0.3">
      <c r="J139446"/>
    </row>
    <row r="139447" spans="10:10" x14ac:dyDescent="0.3">
      <c r="J139447"/>
    </row>
    <row r="139448" spans="10:10" x14ac:dyDescent="0.3">
      <c r="J139448"/>
    </row>
    <row r="139449" spans="10:10" x14ac:dyDescent="0.3">
      <c r="J139449"/>
    </row>
    <row r="139450" spans="10:10" x14ac:dyDescent="0.3">
      <c r="J139450"/>
    </row>
    <row r="139451" spans="10:10" x14ac:dyDescent="0.3">
      <c r="J139451"/>
    </row>
    <row r="139452" spans="10:10" x14ac:dyDescent="0.3">
      <c r="J139452"/>
    </row>
    <row r="139453" spans="10:10" x14ac:dyDescent="0.3">
      <c r="J139453"/>
    </row>
    <row r="139454" spans="10:10" x14ac:dyDescent="0.3">
      <c r="J139454"/>
    </row>
    <row r="139455" spans="10:10" x14ac:dyDescent="0.3">
      <c r="J139455"/>
    </row>
    <row r="139456" spans="10:10" x14ac:dyDescent="0.3">
      <c r="J139456"/>
    </row>
    <row r="139457" spans="10:10" x14ac:dyDescent="0.3">
      <c r="J139457"/>
    </row>
    <row r="139458" spans="10:10" x14ac:dyDescent="0.3">
      <c r="J139458"/>
    </row>
    <row r="139459" spans="10:10" x14ac:dyDescent="0.3">
      <c r="J139459"/>
    </row>
    <row r="139460" spans="10:10" x14ac:dyDescent="0.3">
      <c r="J139460"/>
    </row>
    <row r="139461" spans="10:10" x14ac:dyDescent="0.3">
      <c r="J139461"/>
    </row>
    <row r="139462" spans="10:10" x14ac:dyDescent="0.3">
      <c r="J139462"/>
    </row>
    <row r="139463" spans="10:10" x14ac:dyDescent="0.3">
      <c r="J139463"/>
    </row>
    <row r="139464" spans="10:10" x14ac:dyDescent="0.3">
      <c r="J139464"/>
    </row>
    <row r="139465" spans="10:10" x14ac:dyDescent="0.3">
      <c r="J139465"/>
    </row>
    <row r="139466" spans="10:10" x14ac:dyDescent="0.3">
      <c r="J139466"/>
    </row>
    <row r="139467" spans="10:10" x14ac:dyDescent="0.3">
      <c r="J139467"/>
    </row>
    <row r="139468" spans="10:10" x14ac:dyDescent="0.3">
      <c r="J139468"/>
    </row>
    <row r="139469" spans="10:10" x14ac:dyDescent="0.3">
      <c r="J139469"/>
    </row>
    <row r="139470" spans="10:10" x14ac:dyDescent="0.3">
      <c r="J139470"/>
    </row>
    <row r="139471" spans="10:10" x14ac:dyDescent="0.3">
      <c r="J139471"/>
    </row>
    <row r="139472" spans="10:10" x14ac:dyDescent="0.3">
      <c r="J139472"/>
    </row>
    <row r="139473" spans="10:10" x14ac:dyDescent="0.3">
      <c r="J139473"/>
    </row>
    <row r="139474" spans="10:10" x14ac:dyDescent="0.3">
      <c r="J139474"/>
    </row>
    <row r="139475" spans="10:10" x14ac:dyDescent="0.3">
      <c r="J139475"/>
    </row>
    <row r="139476" spans="10:10" x14ac:dyDescent="0.3">
      <c r="J139476"/>
    </row>
    <row r="139477" spans="10:10" x14ac:dyDescent="0.3">
      <c r="J139477"/>
    </row>
    <row r="139478" spans="10:10" x14ac:dyDescent="0.3">
      <c r="J139478"/>
    </row>
    <row r="139479" spans="10:10" x14ac:dyDescent="0.3">
      <c r="J139479"/>
    </row>
    <row r="139480" spans="10:10" x14ac:dyDescent="0.3">
      <c r="J139480"/>
    </row>
    <row r="139481" spans="10:10" x14ac:dyDescent="0.3">
      <c r="J139481"/>
    </row>
    <row r="139482" spans="10:10" x14ac:dyDescent="0.3">
      <c r="J139482"/>
    </row>
    <row r="139483" spans="10:10" x14ac:dyDescent="0.3">
      <c r="J139483"/>
    </row>
    <row r="139484" spans="10:10" x14ac:dyDescent="0.3">
      <c r="J139484"/>
    </row>
    <row r="139485" spans="10:10" x14ac:dyDescent="0.3">
      <c r="J139485"/>
    </row>
    <row r="139486" spans="10:10" x14ac:dyDescent="0.3">
      <c r="J139486"/>
    </row>
    <row r="139487" spans="10:10" x14ac:dyDescent="0.3">
      <c r="J139487"/>
    </row>
    <row r="139488" spans="10:10" x14ac:dyDescent="0.3">
      <c r="J139488"/>
    </row>
    <row r="139489" spans="10:10" x14ac:dyDescent="0.3">
      <c r="J139489"/>
    </row>
    <row r="139490" spans="10:10" x14ac:dyDescent="0.3">
      <c r="J139490"/>
    </row>
    <row r="139491" spans="10:10" x14ac:dyDescent="0.3">
      <c r="J139491"/>
    </row>
    <row r="139492" spans="10:10" x14ac:dyDescent="0.3">
      <c r="J139492"/>
    </row>
    <row r="139493" spans="10:10" x14ac:dyDescent="0.3">
      <c r="J139493"/>
    </row>
    <row r="139494" spans="10:10" x14ac:dyDescent="0.3">
      <c r="J139494"/>
    </row>
    <row r="139495" spans="10:10" x14ac:dyDescent="0.3">
      <c r="J139495"/>
    </row>
    <row r="139496" spans="10:10" x14ac:dyDescent="0.3">
      <c r="J139496"/>
    </row>
    <row r="139497" spans="10:10" x14ac:dyDescent="0.3">
      <c r="J139497"/>
    </row>
    <row r="139498" spans="10:10" x14ac:dyDescent="0.3">
      <c r="J139498"/>
    </row>
    <row r="139499" spans="10:10" x14ac:dyDescent="0.3">
      <c r="J139499"/>
    </row>
    <row r="139500" spans="10:10" x14ac:dyDescent="0.3">
      <c r="J139500"/>
    </row>
    <row r="139501" spans="10:10" x14ac:dyDescent="0.3">
      <c r="J139501"/>
    </row>
    <row r="139502" spans="10:10" x14ac:dyDescent="0.3">
      <c r="J139502"/>
    </row>
    <row r="139503" spans="10:10" x14ac:dyDescent="0.3">
      <c r="J139503"/>
    </row>
    <row r="139504" spans="10:10" x14ac:dyDescent="0.3">
      <c r="J139504"/>
    </row>
    <row r="139505" spans="10:10" x14ac:dyDescent="0.3">
      <c r="J139505"/>
    </row>
    <row r="139506" spans="10:10" x14ac:dyDescent="0.3">
      <c r="J139506"/>
    </row>
    <row r="139507" spans="10:10" x14ac:dyDescent="0.3">
      <c r="J139507"/>
    </row>
    <row r="139508" spans="10:10" x14ac:dyDescent="0.3">
      <c r="J139508"/>
    </row>
    <row r="139509" spans="10:10" x14ac:dyDescent="0.3">
      <c r="J139509"/>
    </row>
    <row r="139510" spans="10:10" x14ac:dyDescent="0.3">
      <c r="J139510"/>
    </row>
    <row r="139511" spans="10:10" x14ac:dyDescent="0.3">
      <c r="J139511"/>
    </row>
    <row r="139512" spans="10:10" x14ac:dyDescent="0.3">
      <c r="J139512"/>
    </row>
    <row r="139513" spans="10:10" x14ac:dyDescent="0.3">
      <c r="J139513"/>
    </row>
    <row r="139514" spans="10:10" x14ac:dyDescent="0.3">
      <c r="J139514"/>
    </row>
    <row r="139515" spans="10:10" x14ac:dyDescent="0.3">
      <c r="J139515"/>
    </row>
    <row r="139516" spans="10:10" x14ac:dyDescent="0.3">
      <c r="J139516"/>
    </row>
    <row r="139517" spans="10:10" x14ac:dyDescent="0.3">
      <c r="J139517"/>
    </row>
    <row r="139518" spans="10:10" x14ac:dyDescent="0.3">
      <c r="J139518"/>
    </row>
    <row r="139519" spans="10:10" x14ac:dyDescent="0.3">
      <c r="J139519"/>
    </row>
    <row r="139520" spans="10:10" x14ac:dyDescent="0.3">
      <c r="J139520"/>
    </row>
    <row r="139521" spans="10:10" x14ac:dyDescent="0.3">
      <c r="J139521"/>
    </row>
    <row r="139522" spans="10:10" x14ac:dyDescent="0.3">
      <c r="J139522"/>
    </row>
    <row r="139523" spans="10:10" x14ac:dyDescent="0.3">
      <c r="J139523"/>
    </row>
    <row r="139524" spans="10:10" x14ac:dyDescent="0.3">
      <c r="J139524"/>
    </row>
    <row r="139525" spans="10:10" x14ac:dyDescent="0.3">
      <c r="J139525"/>
    </row>
    <row r="139526" spans="10:10" x14ac:dyDescent="0.3">
      <c r="J139526"/>
    </row>
    <row r="139527" spans="10:10" x14ac:dyDescent="0.3">
      <c r="J139527"/>
    </row>
    <row r="139528" spans="10:10" x14ac:dyDescent="0.3">
      <c r="J139528"/>
    </row>
    <row r="139529" spans="10:10" x14ac:dyDescent="0.3">
      <c r="J139529"/>
    </row>
    <row r="139530" spans="10:10" x14ac:dyDescent="0.3">
      <c r="J139530"/>
    </row>
    <row r="139531" spans="10:10" x14ac:dyDescent="0.3">
      <c r="J139531"/>
    </row>
    <row r="139532" spans="10:10" x14ac:dyDescent="0.3">
      <c r="J139532"/>
    </row>
    <row r="139533" spans="10:10" x14ac:dyDescent="0.3">
      <c r="J139533"/>
    </row>
    <row r="139534" spans="10:10" x14ac:dyDescent="0.3">
      <c r="J139534"/>
    </row>
    <row r="139535" spans="10:10" x14ac:dyDescent="0.3">
      <c r="J139535"/>
    </row>
    <row r="139536" spans="10:10" x14ac:dyDescent="0.3">
      <c r="J139536"/>
    </row>
    <row r="139537" spans="10:10" x14ac:dyDescent="0.3">
      <c r="J139537"/>
    </row>
    <row r="139538" spans="10:10" x14ac:dyDescent="0.3">
      <c r="J139538"/>
    </row>
    <row r="139539" spans="10:10" x14ac:dyDescent="0.3">
      <c r="J139539"/>
    </row>
    <row r="139540" spans="10:10" x14ac:dyDescent="0.3">
      <c r="J139540"/>
    </row>
    <row r="139541" spans="10:10" x14ac:dyDescent="0.3">
      <c r="J139541"/>
    </row>
    <row r="139542" spans="10:10" x14ac:dyDescent="0.3">
      <c r="J139542"/>
    </row>
    <row r="139543" spans="10:10" x14ac:dyDescent="0.3">
      <c r="J139543"/>
    </row>
    <row r="139544" spans="10:10" x14ac:dyDescent="0.3">
      <c r="J139544"/>
    </row>
    <row r="139545" spans="10:10" x14ac:dyDescent="0.3">
      <c r="J139545"/>
    </row>
    <row r="139546" spans="10:10" x14ac:dyDescent="0.3">
      <c r="J139546"/>
    </row>
    <row r="139547" spans="10:10" x14ac:dyDescent="0.3">
      <c r="J139547"/>
    </row>
    <row r="139548" spans="10:10" x14ac:dyDescent="0.3">
      <c r="J139548"/>
    </row>
    <row r="139549" spans="10:10" x14ac:dyDescent="0.3">
      <c r="J139549"/>
    </row>
    <row r="139550" spans="10:10" x14ac:dyDescent="0.3">
      <c r="J139550"/>
    </row>
    <row r="139551" spans="10:10" x14ac:dyDescent="0.3">
      <c r="J139551"/>
    </row>
    <row r="139552" spans="10:10" x14ac:dyDescent="0.3">
      <c r="J139552"/>
    </row>
    <row r="139553" spans="10:10" x14ac:dyDescent="0.3">
      <c r="J139553"/>
    </row>
    <row r="139554" spans="10:10" x14ac:dyDescent="0.3">
      <c r="J139554"/>
    </row>
    <row r="139555" spans="10:10" x14ac:dyDescent="0.3">
      <c r="J139555"/>
    </row>
    <row r="139556" spans="10:10" x14ac:dyDescent="0.3">
      <c r="J139556"/>
    </row>
    <row r="139557" spans="10:10" x14ac:dyDescent="0.3">
      <c r="J139557"/>
    </row>
    <row r="139558" spans="10:10" x14ac:dyDescent="0.3">
      <c r="J139558"/>
    </row>
    <row r="139559" spans="10:10" x14ac:dyDescent="0.3">
      <c r="J139559"/>
    </row>
    <row r="139560" spans="10:10" x14ac:dyDescent="0.3">
      <c r="J139560"/>
    </row>
    <row r="139561" spans="10:10" x14ac:dyDescent="0.3">
      <c r="J139561"/>
    </row>
    <row r="139562" spans="10:10" x14ac:dyDescent="0.3">
      <c r="J139562"/>
    </row>
    <row r="139563" spans="10:10" x14ac:dyDescent="0.3">
      <c r="J139563"/>
    </row>
    <row r="139564" spans="10:10" x14ac:dyDescent="0.3">
      <c r="J139564"/>
    </row>
    <row r="139565" spans="10:10" x14ac:dyDescent="0.3">
      <c r="J139565"/>
    </row>
    <row r="139566" spans="10:10" x14ac:dyDescent="0.3">
      <c r="J139566"/>
    </row>
    <row r="139567" spans="10:10" x14ac:dyDescent="0.3">
      <c r="J139567"/>
    </row>
    <row r="139568" spans="10:10" x14ac:dyDescent="0.3">
      <c r="J139568"/>
    </row>
    <row r="139569" spans="10:10" x14ac:dyDescent="0.3">
      <c r="J139569"/>
    </row>
    <row r="139570" spans="10:10" x14ac:dyDescent="0.3">
      <c r="J139570"/>
    </row>
    <row r="139571" spans="10:10" x14ac:dyDescent="0.3">
      <c r="J139571"/>
    </row>
    <row r="139572" spans="10:10" x14ac:dyDescent="0.3">
      <c r="J139572"/>
    </row>
    <row r="139573" spans="10:10" x14ac:dyDescent="0.3">
      <c r="J139573"/>
    </row>
    <row r="139574" spans="10:10" x14ac:dyDescent="0.3">
      <c r="J139574"/>
    </row>
    <row r="139575" spans="10:10" x14ac:dyDescent="0.3">
      <c r="J139575"/>
    </row>
    <row r="139576" spans="10:10" x14ac:dyDescent="0.3">
      <c r="J139576"/>
    </row>
    <row r="139577" spans="10:10" x14ac:dyDescent="0.3">
      <c r="J139577"/>
    </row>
    <row r="139578" spans="10:10" x14ac:dyDescent="0.3">
      <c r="J139578"/>
    </row>
    <row r="139579" spans="10:10" x14ac:dyDescent="0.3">
      <c r="J139579"/>
    </row>
    <row r="139580" spans="10:10" x14ac:dyDescent="0.3">
      <c r="J139580"/>
    </row>
    <row r="139581" spans="10:10" x14ac:dyDescent="0.3">
      <c r="J139581"/>
    </row>
    <row r="139582" spans="10:10" x14ac:dyDescent="0.3">
      <c r="J139582"/>
    </row>
    <row r="139583" spans="10:10" x14ac:dyDescent="0.3">
      <c r="J139583"/>
    </row>
    <row r="139584" spans="10:10" x14ac:dyDescent="0.3">
      <c r="J139584"/>
    </row>
    <row r="139585" spans="10:10" x14ac:dyDescent="0.3">
      <c r="J139585"/>
    </row>
    <row r="139586" spans="10:10" x14ac:dyDescent="0.3">
      <c r="J139586"/>
    </row>
    <row r="139587" spans="10:10" x14ac:dyDescent="0.3">
      <c r="J139587"/>
    </row>
    <row r="139588" spans="10:10" x14ac:dyDescent="0.3">
      <c r="J139588"/>
    </row>
    <row r="139589" spans="10:10" x14ac:dyDescent="0.3">
      <c r="J139589"/>
    </row>
    <row r="139590" spans="10:10" x14ac:dyDescent="0.3">
      <c r="J139590"/>
    </row>
    <row r="139591" spans="10:10" x14ac:dyDescent="0.3">
      <c r="J139591"/>
    </row>
    <row r="139592" spans="10:10" x14ac:dyDescent="0.3">
      <c r="J139592"/>
    </row>
    <row r="139593" spans="10:10" x14ac:dyDescent="0.3">
      <c r="J139593"/>
    </row>
    <row r="139594" spans="10:10" x14ac:dyDescent="0.3">
      <c r="J139594"/>
    </row>
    <row r="139595" spans="10:10" x14ac:dyDescent="0.3">
      <c r="J139595"/>
    </row>
    <row r="139596" spans="10:10" x14ac:dyDescent="0.3">
      <c r="J139596"/>
    </row>
    <row r="139597" spans="10:10" x14ac:dyDescent="0.3">
      <c r="J139597"/>
    </row>
    <row r="139598" spans="10:10" x14ac:dyDescent="0.3">
      <c r="J139598"/>
    </row>
    <row r="139599" spans="10:10" x14ac:dyDescent="0.3">
      <c r="J139599"/>
    </row>
    <row r="139600" spans="10:10" x14ac:dyDescent="0.3">
      <c r="J139600"/>
    </row>
    <row r="139601" spans="10:10" x14ac:dyDescent="0.3">
      <c r="J139601"/>
    </row>
    <row r="139602" spans="10:10" x14ac:dyDescent="0.3">
      <c r="J139602"/>
    </row>
    <row r="139603" spans="10:10" x14ac:dyDescent="0.3">
      <c r="J139603"/>
    </row>
    <row r="139604" spans="10:10" x14ac:dyDescent="0.3">
      <c r="J139604"/>
    </row>
    <row r="139605" spans="10:10" x14ac:dyDescent="0.3">
      <c r="J139605"/>
    </row>
    <row r="139606" spans="10:10" x14ac:dyDescent="0.3">
      <c r="J139606"/>
    </row>
    <row r="139607" spans="10:10" x14ac:dyDescent="0.3">
      <c r="J139607"/>
    </row>
    <row r="139608" spans="10:10" x14ac:dyDescent="0.3">
      <c r="J139608"/>
    </row>
    <row r="139609" spans="10:10" x14ac:dyDescent="0.3">
      <c r="J139609"/>
    </row>
    <row r="139610" spans="10:10" x14ac:dyDescent="0.3">
      <c r="J139610"/>
    </row>
    <row r="139611" spans="10:10" x14ac:dyDescent="0.3">
      <c r="J139611"/>
    </row>
    <row r="139612" spans="10:10" x14ac:dyDescent="0.3">
      <c r="J139612"/>
    </row>
    <row r="139613" spans="10:10" x14ac:dyDescent="0.3">
      <c r="J139613"/>
    </row>
    <row r="139614" spans="10:10" x14ac:dyDescent="0.3">
      <c r="J139614"/>
    </row>
    <row r="139615" spans="10:10" x14ac:dyDescent="0.3">
      <c r="J139615"/>
    </row>
    <row r="139616" spans="10:10" x14ac:dyDescent="0.3">
      <c r="J139616"/>
    </row>
    <row r="139617" spans="10:10" x14ac:dyDescent="0.3">
      <c r="J139617"/>
    </row>
    <row r="139618" spans="10:10" x14ac:dyDescent="0.3">
      <c r="J139618"/>
    </row>
    <row r="139619" spans="10:10" x14ac:dyDescent="0.3">
      <c r="J139619"/>
    </row>
    <row r="139620" spans="10:10" x14ac:dyDescent="0.3">
      <c r="J139620"/>
    </row>
    <row r="139621" spans="10:10" x14ac:dyDescent="0.3">
      <c r="J139621"/>
    </row>
    <row r="139622" spans="10:10" x14ac:dyDescent="0.3">
      <c r="J139622"/>
    </row>
    <row r="139623" spans="10:10" x14ac:dyDescent="0.3">
      <c r="J139623"/>
    </row>
    <row r="139624" spans="10:10" x14ac:dyDescent="0.3">
      <c r="J139624"/>
    </row>
    <row r="139625" spans="10:10" x14ac:dyDescent="0.3">
      <c r="J139625"/>
    </row>
    <row r="139626" spans="10:10" x14ac:dyDescent="0.3">
      <c r="J139626"/>
    </row>
    <row r="139627" spans="10:10" x14ac:dyDescent="0.3">
      <c r="J139627"/>
    </row>
    <row r="139628" spans="10:10" x14ac:dyDescent="0.3">
      <c r="J139628"/>
    </row>
    <row r="139629" spans="10:10" x14ac:dyDescent="0.3">
      <c r="J139629"/>
    </row>
    <row r="139630" spans="10:10" x14ac:dyDescent="0.3">
      <c r="J139630"/>
    </row>
    <row r="139631" spans="10:10" x14ac:dyDescent="0.3">
      <c r="J139631"/>
    </row>
    <row r="139632" spans="10:10" x14ac:dyDescent="0.3">
      <c r="J139632"/>
    </row>
    <row r="139633" spans="10:10" x14ac:dyDescent="0.3">
      <c r="J139633"/>
    </row>
    <row r="139634" spans="10:10" x14ac:dyDescent="0.3">
      <c r="J139634"/>
    </row>
    <row r="139635" spans="10:10" x14ac:dyDescent="0.3">
      <c r="J139635"/>
    </row>
    <row r="139636" spans="10:10" x14ac:dyDescent="0.3">
      <c r="J139636"/>
    </row>
    <row r="139637" spans="10:10" x14ac:dyDescent="0.3">
      <c r="J139637"/>
    </row>
    <row r="139638" spans="10:10" x14ac:dyDescent="0.3">
      <c r="J139638"/>
    </row>
    <row r="139639" spans="10:10" x14ac:dyDescent="0.3">
      <c r="J139639"/>
    </row>
    <row r="139640" spans="10:10" x14ac:dyDescent="0.3">
      <c r="J139640"/>
    </row>
    <row r="139641" spans="10:10" x14ac:dyDescent="0.3">
      <c r="J139641"/>
    </row>
    <row r="139642" spans="10:10" x14ac:dyDescent="0.3">
      <c r="J139642"/>
    </row>
    <row r="139643" spans="10:10" x14ac:dyDescent="0.3">
      <c r="J139643"/>
    </row>
    <row r="139644" spans="10:10" x14ac:dyDescent="0.3">
      <c r="J139644"/>
    </row>
    <row r="139645" spans="10:10" x14ac:dyDescent="0.3">
      <c r="J139645"/>
    </row>
    <row r="139646" spans="10:10" x14ac:dyDescent="0.3">
      <c r="J139646"/>
    </row>
    <row r="139647" spans="10:10" x14ac:dyDescent="0.3">
      <c r="J139647"/>
    </row>
    <row r="139648" spans="10:10" x14ac:dyDescent="0.3">
      <c r="J139648"/>
    </row>
    <row r="139649" spans="10:10" x14ac:dyDescent="0.3">
      <c r="J139649"/>
    </row>
    <row r="139650" spans="10:10" x14ac:dyDescent="0.3">
      <c r="J139650"/>
    </row>
    <row r="139651" spans="10:10" x14ac:dyDescent="0.3">
      <c r="J139651"/>
    </row>
    <row r="139652" spans="10:10" x14ac:dyDescent="0.3">
      <c r="J139652"/>
    </row>
    <row r="139653" spans="10:10" x14ac:dyDescent="0.3">
      <c r="J139653"/>
    </row>
    <row r="139654" spans="10:10" x14ac:dyDescent="0.3">
      <c r="J139654"/>
    </row>
    <row r="139655" spans="10:10" x14ac:dyDescent="0.3">
      <c r="J139655"/>
    </row>
    <row r="139656" spans="10:10" x14ac:dyDescent="0.3">
      <c r="J139656"/>
    </row>
    <row r="139657" spans="10:10" x14ac:dyDescent="0.3">
      <c r="J139657"/>
    </row>
    <row r="139658" spans="10:10" x14ac:dyDescent="0.3">
      <c r="J139658"/>
    </row>
    <row r="139659" spans="10:10" x14ac:dyDescent="0.3">
      <c r="J139659"/>
    </row>
    <row r="139660" spans="10:10" x14ac:dyDescent="0.3">
      <c r="J139660"/>
    </row>
    <row r="139661" spans="10:10" x14ac:dyDescent="0.3">
      <c r="J139661"/>
    </row>
    <row r="139662" spans="10:10" x14ac:dyDescent="0.3">
      <c r="J139662"/>
    </row>
    <row r="139663" spans="10:10" x14ac:dyDescent="0.3">
      <c r="J139663"/>
    </row>
    <row r="139664" spans="10:10" x14ac:dyDescent="0.3">
      <c r="J139664"/>
    </row>
    <row r="139665" spans="10:10" x14ac:dyDescent="0.3">
      <c r="J139665"/>
    </row>
    <row r="139666" spans="10:10" x14ac:dyDescent="0.3">
      <c r="J139666"/>
    </row>
    <row r="139667" spans="10:10" x14ac:dyDescent="0.3">
      <c r="J139667"/>
    </row>
    <row r="139668" spans="10:10" x14ac:dyDescent="0.3">
      <c r="J139668"/>
    </row>
    <row r="139669" spans="10:10" x14ac:dyDescent="0.3">
      <c r="J139669"/>
    </row>
    <row r="139670" spans="10:10" x14ac:dyDescent="0.3">
      <c r="J139670"/>
    </row>
    <row r="139671" spans="10:10" x14ac:dyDescent="0.3">
      <c r="J139671"/>
    </row>
    <row r="139672" spans="10:10" x14ac:dyDescent="0.3">
      <c r="J139672"/>
    </row>
    <row r="139673" spans="10:10" x14ac:dyDescent="0.3">
      <c r="J139673"/>
    </row>
    <row r="139674" spans="10:10" x14ac:dyDescent="0.3">
      <c r="J139674"/>
    </row>
    <row r="139675" spans="10:10" x14ac:dyDescent="0.3">
      <c r="J139675"/>
    </row>
    <row r="139676" spans="10:10" x14ac:dyDescent="0.3">
      <c r="J139676"/>
    </row>
    <row r="139677" spans="10:10" x14ac:dyDescent="0.3">
      <c r="J139677"/>
    </row>
    <row r="139678" spans="10:10" x14ac:dyDescent="0.3">
      <c r="J139678"/>
    </row>
    <row r="139679" spans="10:10" x14ac:dyDescent="0.3">
      <c r="J139679"/>
    </row>
    <row r="139680" spans="10:10" x14ac:dyDescent="0.3">
      <c r="J139680"/>
    </row>
    <row r="139681" spans="10:10" x14ac:dyDescent="0.3">
      <c r="J139681"/>
    </row>
    <row r="139682" spans="10:10" x14ac:dyDescent="0.3">
      <c r="J139682"/>
    </row>
    <row r="139683" spans="10:10" x14ac:dyDescent="0.3">
      <c r="J139683"/>
    </row>
    <row r="139684" spans="10:10" x14ac:dyDescent="0.3">
      <c r="J139684"/>
    </row>
    <row r="139685" spans="10:10" x14ac:dyDescent="0.3">
      <c r="J139685"/>
    </row>
    <row r="139686" spans="10:10" x14ac:dyDescent="0.3">
      <c r="J139686"/>
    </row>
    <row r="139687" spans="10:10" x14ac:dyDescent="0.3">
      <c r="J139687"/>
    </row>
    <row r="139688" spans="10:10" x14ac:dyDescent="0.3">
      <c r="J139688"/>
    </row>
    <row r="139689" spans="10:10" x14ac:dyDescent="0.3">
      <c r="J139689"/>
    </row>
    <row r="139690" spans="10:10" x14ac:dyDescent="0.3">
      <c r="J139690"/>
    </row>
    <row r="139691" spans="10:10" x14ac:dyDescent="0.3">
      <c r="J139691"/>
    </row>
    <row r="139692" spans="10:10" x14ac:dyDescent="0.3">
      <c r="J139692"/>
    </row>
    <row r="139693" spans="10:10" x14ac:dyDescent="0.3">
      <c r="J139693"/>
    </row>
    <row r="139694" spans="10:10" x14ac:dyDescent="0.3">
      <c r="J139694"/>
    </row>
    <row r="139695" spans="10:10" x14ac:dyDescent="0.3">
      <c r="J139695"/>
    </row>
    <row r="139696" spans="10:10" x14ac:dyDescent="0.3">
      <c r="J139696"/>
    </row>
    <row r="139697" spans="10:10" x14ac:dyDescent="0.3">
      <c r="J139697"/>
    </row>
    <row r="139698" spans="10:10" x14ac:dyDescent="0.3">
      <c r="J139698"/>
    </row>
    <row r="139699" spans="10:10" x14ac:dyDescent="0.3">
      <c r="J139699"/>
    </row>
    <row r="139700" spans="10:10" x14ac:dyDescent="0.3">
      <c r="J139700"/>
    </row>
    <row r="139701" spans="10:10" x14ac:dyDescent="0.3">
      <c r="J139701"/>
    </row>
    <row r="139702" spans="10:10" x14ac:dyDescent="0.3">
      <c r="J139702"/>
    </row>
    <row r="139703" spans="10:10" x14ac:dyDescent="0.3">
      <c r="J139703"/>
    </row>
    <row r="139704" spans="10:10" x14ac:dyDescent="0.3">
      <c r="J139704"/>
    </row>
    <row r="139705" spans="10:10" x14ac:dyDescent="0.3">
      <c r="J139705"/>
    </row>
    <row r="139706" spans="10:10" x14ac:dyDescent="0.3">
      <c r="J139706"/>
    </row>
    <row r="139707" spans="10:10" x14ac:dyDescent="0.3">
      <c r="J139707"/>
    </row>
    <row r="139708" spans="10:10" x14ac:dyDescent="0.3">
      <c r="J139708"/>
    </row>
    <row r="139709" spans="10:10" x14ac:dyDescent="0.3">
      <c r="J139709"/>
    </row>
    <row r="139710" spans="10:10" x14ac:dyDescent="0.3">
      <c r="J139710"/>
    </row>
    <row r="139711" spans="10:10" x14ac:dyDescent="0.3">
      <c r="J139711"/>
    </row>
    <row r="139712" spans="10:10" x14ac:dyDescent="0.3">
      <c r="J139712"/>
    </row>
    <row r="139713" spans="10:10" x14ac:dyDescent="0.3">
      <c r="J139713"/>
    </row>
    <row r="139714" spans="10:10" x14ac:dyDescent="0.3">
      <c r="J139714"/>
    </row>
    <row r="139715" spans="10:10" x14ac:dyDescent="0.3">
      <c r="J139715"/>
    </row>
    <row r="139716" spans="10:10" x14ac:dyDescent="0.3">
      <c r="J139716"/>
    </row>
    <row r="139717" spans="10:10" x14ac:dyDescent="0.3">
      <c r="J139717"/>
    </row>
    <row r="139718" spans="10:10" x14ac:dyDescent="0.3">
      <c r="J139718"/>
    </row>
    <row r="139719" spans="10:10" x14ac:dyDescent="0.3">
      <c r="J139719"/>
    </row>
    <row r="139720" spans="10:10" x14ac:dyDescent="0.3">
      <c r="J139720"/>
    </row>
    <row r="139721" spans="10:10" x14ac:dyDescent="0.3">
      <c r="J139721"/>
    </row>
    <row r="139722" spans="10:10" x14ac:dyDescent="0.3">
      <c r="J139722"/>
    </row>
    <row r="139723" spans="10:10" x14ac:dyDescent="0.3">
      <c r="J139723"/>
    </row>
    <row r="139724" spans="10:10" x14ac:dyDescent="0.3">
      <c r="J139724"/>
    </row>
    <row r="139725" spans="10:10" x14ac:dyDescent="0.3">
      <c r="J139725"/>
    </row>
    <row r="139726" spans="10:10" x14ac:dyDescent="0.3">
      <c r="J139726"/>
    </row>
    <row r="139727" spans="10:10" x14ac:dyDescent="0.3">
      <c r="J139727"/>
    </row>
    <row r="139728" spans="10:10" x14ac:dyDescent="0.3">
      <c r="J139728"/>
    </row>
    <row r="139729" spans="10:10" x14ac:dyDescent="0.3">
      <c r="J139729"/>
    </row>
    <row r="139730" spans="10:10" x14ac:dyDescent="0.3">
      <c r="J139730"/>
    </row>
    <row r="139731" spans="10:10" x14ac:dyDescent="0.3">
      <c r="J139731"/>
    </row>
    <row r="139732" spans="10:10" x14ac:dyDescent="0.3">
      <c r="J139732"/>
    </row>
    <row r="139733" spans="10:10" x14ac:dyDescent="0.3">
      <c r="J139733"/>
    </row>
    <row r="139734" spans="10:10" x14ac:dyDescent="0.3">
      <c r="J139734"/>
    </row>
    <row r="139735" spans="10:10" x14ac:dyDescent="0.3">
      <c r="J139735"/>
    </row>
    <row r="139736" spans="10:10" x14ac:dyDescent="0.3">
      <c r="J139736"/>
    </row>
    <row r="139737" spans="10:10" x14ac:dyDescent="0.3">
      <c r="J139737"/>
    </row>
    <row r="139738" spans="10:10" x14ac:dyDescent="0.3">
      <c r="J139738"/>
    </row>
    <row r="139739" spans="10:10" x14ac:dyDescent="0.3">
      <c r="J139739"/>
    </row>
    <row r="139740" spans="10:10" x14ac:dyDescent="0.3">
      <c r="J139740"/>
    </row>
    <row r="139741" spans="10:10" x14ac:dyDescent="0.3">
      <c r="J139741"/>
    </row>
    <row r="139742" spans="10:10" x14ac:dyDescent="0.3">
      <c r="J139742"/>
    </row>
    <row r="139743" spans="10:10" x14ac:dyDescent="0.3">
      <c r="J139743"/>
    </row>
    <row r="139744" spans="10:10" x14ac:dyDescent="0.3">
      <c r="J139744"/>
    </row>
    <row r="139745" spans="10:10" x14ac:dyDescent="0.3">
      <c r="J139745"/>
    </row>
    <row r="139746" spans="10:10" x14ac:dyDescent="0.3">
      <c r="J139746"/>
    </row>
    <row r="139747" spans="10:10" x14ac:dyDescent="0.3">
      <c r="J139747"/>
    </row>
    <row r="139748" spans="10:10" x14ac:dyDescent="0.3">
      <c r="J139748"/>
    </row>
    <row r="139749" spans="10:10" x14ac:dyDescent="0.3">
      <c r="J139749"/>
    </row>
    <row r="139750" spans="10:10" x14ac:dyDescent="0.3">
      <c r="J139750"/>
    </row>
    <row r="139751" spans="10:10" x14ac:dyDescent="0.3">
      <c r="J139751"/>
    </row>
    <row r="139752" spans="10:10" x14ac:dyDescent="0.3">
      <c r="J139752"/>
    </row>
    <row r="139753" spans="10:10" x14ac:dyDescent="0.3">
      <c r="J139753"/>
    </row>
    <row r="139754" spans="10:10" x14ac:dyDescent="0.3">
      <c r="J139754"/>
    </row>
    <row r="139755" spans="10:10" x14ac:dyDescent="0.3">
      <c r="J139755"/>
    </row>
    <row r="139756" spans="10:10" x14ac:dyDescent="0.3">
      <c r="J139756"/>
    </row>
    <row r="139757" spans="10:10" x14ac:dyDescent="0.3">
      <c r="J139757"/>
    </row>
    <row r="139758" spans="10:10" x14ac:dyDescent="0.3">
      <c r="J139758"/>
    </row>
    <row r="139759" spans="10:10" x14ac:dyDescent="0.3">
      <c r="J139759"/>
    </row>
    <row r="139760" spans="10:10" x14ac:dyDescent="0.3">
      <c r="J139760"/>
    </row>
    <row r="139761" spans="10:10" x14ac:dyDescent="0.3">
      <c r="J139761"/>
    </row>
    <row r="139762" spans="10:10" x14ac:dyDescent="0.3">
      <c r="J139762"/>
    </row>
    <row r="139763" spans="10:10" x14ac:dyDescent="0.3">
      <c r="J139763"/>
    </row>
    <row r="139764" spans="10:10" x14ac:dyDescent="0.3">
      <c r="J139764"/>
    </row>
    <row r="139765" spans="10:10" x14ac:dyDescent="0.3">
      <c r="J139765"/>
    </row>
    <row r="139766" spans="10:10" x14ac:dyDescent="0.3">
      <c r="J139766"/>
    </row>
    <row r="139767" spans="10:10" x14ac:dyDescent="0.3">
      <c r="J139767"/>
    </row>
    <row r="139768" spans="10:10" x14ac:dyDescent="0.3">
      <c r="J139768"/>
    </row>
    <row r="139769" spans="10:10" x14ac:dyDescent="0.3">
      <c r="J139769"/>
    </row>
    <row r="139770" spans="10:10" x14ac:dyDescent="0.3">
      <c r="J139770"/>
    </row>
    <row r="139771" spans="10:10" x14ac:dyDescent="0.3">
      <c r="J139771"/>
    </row>
    <row r="139772" spans="10:10" x14ac:dyDescent="0.3">
      <c r="J139772"/>
    </row>
    <row r="139773" spans="10:10" x14ac:dyDescent="0.3">
      <c r="J139773"/>
    </row>
    <row r="139774" spans="10:10" x14ac:dyDescent="0.3">
      <c r="J139774"/>
    </row>
    <row r="139775" spans="10:10" x14ac:dyDescent="0.3">
      <c r="J139775"/>
    </row>
    <row r="139776" spans="10:10" x14ac:dyDescent="0.3">
      <c r="J139776"/>
    </row>
    <row r="139777" spans="10:10" x14ac:dyDescent="0.3">
      <c r="J139777"/>
    </row>
    <row r="139778" spans="10:10" x14ac:dyDescent="0.3">
      <c r="J139778"/>
    </row>
    <row r="139779" spans="10:10" x14ac:dyDescent="0.3">
      <c r="J139779"/>
    </row>
    <row r="139780" spans="10:10" x14ac:dyDescent="0.3">
      <c r="J139780"/>
    </row>
    <row r="139781" spans="10:10" x14ac:dyDescent="0.3">
      <c r="J139781"/>
    </row>
    <row r="139782" spans="10:10" x14ac:dyDescent="0.3">
      <c r="J139782"/>
    </row>
    <row r="139783" spans="10:10" x14ac:dyDescent="0.3">
      <c r="J139783"/>
    </row>
    <row r="139784" spans="10:10" x14ac:dyDescent="0.3">
      <c r="J139784"/>
    </row>
    <row r="139785" spans="10:10" x14ac:dyDescent="0.3">
      <c r="J139785"/>
    </row>
    <row r="139786" spans="10:10" x14ac:dyDescent="0.3">
      <c r="J139786"/>
    </row>
    <row r="139787" spans="10:10" x14ac:dyDescent="0.3">
      <c r="J139787"/>
    </row>
    <row r="139788" spans="10:10" x14ac:dyDescent="0.3">
      <c r="J139788"/>
    </row>
    <row r="139789" spans="10:10" x14ac:dyDescent="0.3">
      <c r="J139789"/>
    </row>
    <row r="139790" spans="10:10" x14ac:dyDescent="0.3">
      <c r="J139790"/>
    </row>
    <row r="139791" spans="10:10" x14ac:dyDescent="0.3">
      <c r="J139791"/>
    </row>
    <row r="139792" spans="10:10" x14ac:dyDescent="0.3">
      <c r="J139792"/>
    </row>
    <row r="139793" spans="10:10" x14ac:dyDescent="0.3">
      <c r="J139793"/>
    </row>
    <row r="139794" spans="10:10" x14ac:dyDescent="0.3">
      <c r="J139794"/>
    </row>
    <row r="139795" spans="10:10" x14ac:dyDescent="0.3">
      <c r="J139795"/>
    </row>
    <row r="139796" spans="10:10" x14ac:dyDescent="0.3">
      <c r="J139796"/>
    </row>
    <row r="139797" spans="10:10" x14ac:dyDescent="0.3">
      <c r="J139797"/>
    </row>
    <row r="139798" spans="10:10" x14ac:dyDescent="0.3">
      <c r="J139798"/>
    </row>
    <row r="139799" spans="10:10" x14ac:dyDescent="0.3">
      <c r="J139799"/>
    </row>
    <row r="139800" spans="10:10" x14ac:dyDescent="0.3">
      <c r="J139800"/>
    </row>
    <row r="139801" spans="10:10" x14ac:dyDescent="0.3">
      <c r="J139801"/>
    </row>
    <row r="139802" spans="10:10" x14ac:dyDescent="0.3">
      <c r="J139802"/>
    </row>
    <row r="139803" spans="10:10" x14ac:dyDescent="0.3">
      <c r="J139803"/>
    </row>
    <row r="139804" spans="10:10" x14ac:dyDescent="0.3">
      <c r="J139804"/>
    </row>
    <row r="139805" spans="10:10" x14ac:dyDescent="0.3">
      <c r="J139805"/>
    </row>
    <row r="139806" spans="10:10" x14ac:dyDescent="0.3">
      <c r="J139806"/>
    </row>
    <row r="139807" spans="10:10" x14ac:dyDescent="0.3">
      <c r="J139807"/>
    </row>
    <row r="139808" spans="10:10" x14ac:dyDescent="0.3">
      <c r="J139808"/>
    </row>
    <row r="139809" spans="10:10" x14ac:dyDescent="0.3">
      <c r="J139809"/>
    </row>
    <row r="139810" spans="10:10" x14ac:dyDescent="0.3">
      <c r="J139810"/>
    </row>
    <row r="139811" spans="10:10" x14ac:dyDescent="0.3">
      <c r="J139811"/>
    </row>
    <row r="139812" spans="10:10" x14ac:dyDescent="0.3">
      <c r="J139812"/>
    </row>
    <row r="139813" spans="10:10" x14ac:dyDescent="0.3">
      <c r="J139813"/>
    </row>
    <row r="139814" spans="10:10" x14ac:dyDescent="0.3">
      <c r="J139814"/>
    </row>
    <row r="139815" spans="10:10" x14ac:dyDescent="0.3">
      <c r="J139815"/>
    </row>
    <row r="139816" spans="10:10" x14ac:dyDescent="0.3">
      <c r="J139816"/>
    </row>
    <row r="139817" spans="10:10" x14ac:dyDescent="0.3">
      <c r="J139817"/>
    </row>
    <row r="139818" spans="10:10" x14ac:dyDescent="0.3">
      <c r="J139818"/>
    </row>
    <row r="139819" spans="10:10" x14ac:dyDescent="0.3">
      <c r="J139819"/>
    </row>
    <row r="139820" spans="10:10" x14ac:dyDescent="0.3">
      <c r="J139820"/>
    </row>
    <row r="139821" spans="10:10" x14ac:dyDescent="0.3">
      <c r="J139821"/>
    </row>
    <row r="139822" spans="10:10" x14ac:dyDescent="0.3">
      <c r="J139822"/>
    </row>
    <row r="139823" spans="10:10" x14ac:dyDescent="0.3">
      <c r="J139823"/>
    </row>
    <row r="139824" spans="10:10" x14ac:dyDescent="0.3">
      <c r="J139824"/>
    </row>
    <row r="139825" spans="10:10" x14ac:dyDescent="0.3">
      <c r="J139825"/>
    </row>
    <row r="139826" spans="10:10" x14ac:dyDescent="0.3">
      <c r="J139826"/>
    </row>
    <row r="139827" spans="10:10" x14ac:dyDescent="0.3">
      <c r="J139827"/>
    </row>
    <row r="139828" spans="10:10" x14ac:dyDescent="0.3">
      <c r="J139828"/>
    </row>
    <row r="139829" spans="10:10" x14ac:dyDescent="0.3">
      <c r="J139829"/>
    </row>
    <row r="139830" spans="10:10" x14ac:dyDescent="0.3">
      <c r="J139830"/>
    </row>
    <row r="139831" spans="10:10" x14ac:dyDescent="0.3">
      <c r="J139831"/>
    </row>
    <row r="139832" spans="10:10" x14ac:dyDescent="0.3">
      <c r="J139832"/>
    </row>
    <row r="139833" spans="10:10" x14ac:dyDescent="0.3">
      <c r="J139833"/>
    </row>
    <row r="139834" spans="10:10" x14ac:dyDescent="0.3">
      <c r="J139834"/>
    </row>
    <row r="139835" spans="10:10" x14ac:dyDescent="0.3">
      <c r="J139835"/>
    </row>
    <row r="139836" spans="10:10" x14ac:dyDescent="0.3">
      <c r="J139836"/>
    </row>
    <row r="139837" spans="10:10" x14ac:dyDescent="0.3">
      <c r="J139837"/>
    </row>
    <row r="139838" spans="10:10" x14ac:dyDescent="0.3">
      <c r="J139838"/>
    </row>
    <row r="139839" spans="10:10" x14ac:dyDescent="0.3">
      <c r="J139839"/>
    </row>
    <row r="139840" spans="10:10" x14ac:dyDescent="0.3">
      <c r="J139840"/>
    </row>
    <row r="139841" spans="10:10" x14ac:dyDescent="0.3">
      <c r="J139841"/>
    </row>
    <row r="139842" spans="10:10" x14ac:dyDescent="0.3">
      <c r="J139842"/>
    </row>
    <row r="139843" spans="10:10" x14ac:dyDescent="0.3">
      <c r="J139843"/>
    </row>
    <row r="139844" spans="10:10" x14ac:dyDescent="0.3">
      <c r="J139844"/>
    </row>
    <row r="139845" spans="10:10" x14ac:dyDescent="0.3">
      <c r="J139845"/>
    </row>
    <row r="139846" spans="10:10" x14ac:dyDescent="0.3">
      <c r="J139846"/>
    </row>
    <row r="139847" spans="10:10" x14ac:dyDescent="0.3">
      <c r="J139847"/>
    </row>
    <row r="139848" spans="10:10" x14ac:dyDescent="0.3">
      <c r="J139848"/>
    </row>
    <row r="139849" spans="10:10" x14ac:dyDescent="0.3">
      <c r="J139849"/>
    </row>
    <row r="139850" spans="10:10" x14ac:dyDescent="0.3">
      <c r="J139850"/>
    </row>
    <row r="139851" spans="10:10" x14ac:dyDescent="0.3">
      <c r="J139851"/>
    </row>
    <row r="139852" spans="10:10" x14ac:dyDescent="0.3">
      <c r="J139852"/>
    </row>
    <row r="139853" spans="10:10" x14ac:dyDescent="0.3">
      <c r="J139853"/>
    </row>
    <row r="139854" spans="10:10" x14ac:dyDescent="0.3">
      <c r="J139854"/>
    </row>
    <row r="139855" spans="10:10" x14ac:dyDescent="0.3">
      <c r="J139855"/>
    </row>
    <row r="139856" spans="10:10" x14ac:dyDescent="0.3">
      <c r="J139856"/>
    </row>
    <row r="139857" spans="10:10" x14ac:dyDescent="0.3">
      <c r="J139857"/>
    </row>
    <row r="139858" spans="10:10" x14ac:dyDescent="0.3">
      <c r="J139858"/>
    </row>
    <row r="139859" spans="10:10" x14ac:dyDescent="0.3">
      <c r="J139859"/>
    </row>
    <row r="139860" spans="10:10" x14ac:dyDescent="0.3">
      <c r="J139860"/>
    </row>
    <row r="139861" spans="10:10" x14ac:dyDescent="0.3">
      <c r="J139861"/>
    </row>
    <row r="139862" spans="10:10" x14ac:dyDescent="0.3">
      <c r="J139862"/>
    </row>
    <row r="139863" spans="10:10" x14ac:dyDescent="0.3">
      <c r="J139863"/>
    </row>
    <row r="139864" spans="10:10" x14ac:dyDescent="0.3">
      <c r="J139864"/>
    </row>
    <row r="139865" spans="10:10" x14ac:dyDescent="0.3">
      <c r="J139865"/>
    </row>
    <row r="139866" spans="10:10" x14ac:dyDescent="0.3">
      <c r="J139866"/>
    </row>
    <row r="139867" spans="10:10" x14ac:dyDescent="0.3">
      <c r="J139867"/>
    </row>
    <row r="139868" spans="10:10" x14ac:dyDescent="0.3">
      <c r="J139868"/>
    </row>
    <row r="139869" spans="10:10" x14ac:dyDescent="0.3">
      <c r="J139869"/>
    </row>
    <row r="139870" spans="10:10" x14ac:dyDescent="0.3">
      <c r="J139870"/>
    </row>
    <row r="139871" spans="10:10" x14ac:dyDescent="0.3">
      <c r="J139871"/>
    </row>
    <row r="139872" spans="10:10" x14ac:dyDescent="0.3">
      <c r="J139872"/>
    </row>
    <row r="139873" spans="10:10" x14ac:dyDescent="0.3">
      <c r="J139873"/>
    </row>
    <row r="139874" spans="10:10" x14ac:dyDescent="0.3">
      <c r="J139874"/>
    </row>
    <row r="139875" spans="10:10" x14ac:dyDescent="0.3">
      <c r="J139875"/>
    </row>
    <row r="139876" spans="10:10" x14ac:dyDescent="0.3">
      <c r="J139876"/>
    </row>
    <row r="139877" spans="10:10" x14ac:dyDescent="0.3">
      <c r="J139877"/>
    </row>
    <row r="139878" spans="10:10" x14ac:dyDescent="0.3">
      <c r="J139878"/>
    </row>
    <row r="139879" spans="10:10" x14ac:dyDescent="0.3">
      <c r="J139879"/>
    </row>
    <row r="139880" spans="10:10" x14ac:dyDescent="0.3">
      <c r="J139880"/>
    </row>
    <row r="139881" spans="10:10" x14ac:dyDescent="0.3">
      <c r="J139881"/>
    </row>
    <row r="139882" spans="10:10" x14ac:dyDescent="0.3">
      <c r="J139882"/>
    </row>
    <row r="139883" spans="10:10" x14ac:dyDescent="0.3">
      <c r="J139883"/>
    </row>
    <row r="139884" spans="10:10" x14ac:dyDescent="0.3">
      <c r="J139884"/>
    </row>
    <row r="139885" spans="10:10" x14ac:dyDescent="0.3">
      <c r="J139885"/>
    </row>
    <row r="139886" spans="10:10" x14ac:dyDescent="0.3">
      <c r="J139886"/>
    </row>
    <row r="139887" spans="10:10" x14ac:dyDescent="0.3">
      <c r="J139887"/>
    </row>
    <row r="139888" spans="10:10" x14ac:dyDescent="0.3">
      <c r="J139888"/>
    </row>
    <row r="139889" spans="10:10" x14ac:dyDescent="0.3">
      <c r="J139889"/>
    </row>
    <row r="139890" spans="10:10" x14ac:dyDescent="0.3">
      <c r="J139890"/>
    </row>
    <row r="139891" spans="10:10" x14ac:dyDescent="0.3">
      <c r="J139891"/>
    </row>
    <row r="139892" spans="10:10" x14ac:dyDescent="0.3">
      <c r="J139892"/>
    </row>
    <row r="139893" spans="10:10" x14ac:dyDescent="0.3">
      <c r="J139893"/>
    </row>
    <row r="139894" spans="10:10" x14ac:dyDescent="0.3">
      <c r="J139894"/>
    </row>
    <row r="139895" spans="10:10" x14ac:dyDescent="0.3">
      <c r="J139895"/>
    </row>
    <row r="139896" spans="10:10" x14ac:dyDescent="0.3">
      <c r="J139896"/>
    </row>
    <row r="139897" spans="10:10" x14ac:dyDescent="0.3">
      <c r="J139897"/>
    </row>
    <row r="139898" spans="10:10" x14ac:dyDescent="0.3">
      <c r="J139898"/>
    </row>
    <row r="139899" spans="10:10" x14ac:dyDescent="0.3">
      <c r="J139899"/>
    </row>
    <row r="139900" spans="10:10" x14ac:dyDescent="0.3">
      <c r="J139900"/>
    </row>
    <row r="139901" spans="10:10" x14ac:dyDescent="0.3">
      <c r="J139901"/>
    </row>
    <row r="139902" spans="10:10" x14ac:dyDescent="0.3">
      <c r="J139902"/>
    </row>
    <row r="139903" spans="10:10" x14ac:dyDescent="0.3">
      <c r="J139903"/>
    </row>
    <row r="139904" spans="10:10" x14ac:dyDescent="0.3">
      <c r="J139904"/>
    </row>
    <row r="139905" spans="10:10" x14ac:dyDescent="0.3">
      <c r="J139905"/>
    </row>
    <row r="139906" spans="10:10" x14ac:dyDescent="0.3">
      <c r="J139906"/>
    </row>
    <row r="139907" spans="10:10" x14ac:dyDescent="0.3">
      <c r="J139907"/>
    </row>
    <row r="139908" spans="10:10" x14ac:dyDescent="0.3">
      <c r="J139908"/>
    </row>
    <row r="139909" spans="10:10" x14ac:dyDescent="0.3">
      <c r="J139909"/>
    </row>
    <row r="139910" spans="10:10" x14ac:dyDescent="0.3">
      <c r="J139910"/>
    </row>
    <row r="139911" spans="10:10" x14ac:dyDescent="0.3">
      <c r="J139911"/>
    </row>
    <row r="139912" spans="10:10" x14ac:dyDescent="0.3">
      <c r="J139912"/>
    </row>
    <row r="139913" spans="10:10" x14ac:dyDescent="0.3">
      <c r="J139913"/>
    </row>
    <row r="139914" spans="10:10" x14ac:dyDescent="0.3">
      <c r="J139914"/>
    </row>
    <row r="139915" spans="10:10" x14ac:dyDescent="0.3">
      <c r="J139915"/>
    </row>
    <row r="139916" spans="10:10" x14ac:dyDescent="0.3">
      <c r="J139916"/>
    </row>
    <row r="139917" spans="10:10" x14ac:dyDescent="0.3">
      <c r="J139917"/>
    </row>
    <row r="139918" spans="10:10" x14ac:dyDescent="0.3">
      <c r="J139918"/>
    </row>
    <row r="139919" spans="10:10" x14ac:dyDescent="0.3">
      <c r="J139919"/>
    </row>
    <row r="139920" spans="10:10" x14ac:dyDescent="0.3">
      <c r="J139920"/>
    </row>
    <row r="139921" spans="10:10" x14ac:dyDescent="0.3">
      <c r="J139921"/>
    </row>
    <row r="139922" spans="10:10" x14ac:dyDescent="0.3">
      <c r="J139922"/>
    </row>
    <row r="139923" spans="10:10" x14ac:dyDescent="0.3">
      <c r="J139923"/>
    </row>
    <row r="139924" spans="10:10" x14ac:dyDescent="0.3">
      <c r="J139924"/>
    </row>
    <row r="139925" spans="10:10" x14ac:dyDescent="0.3">
      <c r="J139925"/>
    </row>
    <row r="139926" spans="10:10" x14ac:dyDescent="0.3">
      <c r="J139926"/>
    </row>
    <row r="139927" spans="10:10" x14ac:dyDescent="0.3">
      <c r="J139927"/>
    </row>
    <row r="139928" spans="10:10" x14ac:dyDescent="0.3">
      <c r="J139928"/>
    </row>
    <row r="139929" spans="10:10" x14ac:dyDescent="0.3">
      <c r="J139929"/>
    </row>
    <row r="139930" spans="10:10" x14ac:dyDescent="0.3">
      <c r="J139930"/>
    </row>
    <row r="139931" spans="10:10" x14ac:dyDescent="0.3">
      <c r="J139931"/>
    </row>
    <row r="139932" spans="10:10" x14ac:dyDescent="0.3">
      <c r="J139932"/>
    </row>
    <row r="139933" spans="10:10" x14ac:dyDescent="0.3">
      <c r="J139933"/>
    </row>
    <row r="139934" spans="10:10" x14ac:dyDescent="0.3">
      <c r="J139934"/>
    </row>
    <row r="139935" spans="10:10" x14ac:dyDescent="0.3">
      <c r="J139935"/>
    </row>
    <row r="139936" spans="10:10" x14ac:dyDescent="0.3">
      <c r="J139936"/>
    </row>
    <row r="139937" spans="10:10" x14ac:dyDescent="0.3">
      <c r="J139937"/>
    </row>
    <row r="139938" spans="10:10" x14ac:dyDescent="0.3">
      <c r="J139938"/>
    </row>
    <row r="139939" spans="10:10" x14ac:dyDescent="0.3">
      <c r="J139939"/>
    </row>
    <row r="139940" spans="10:10" x14ac:dyDescent="0.3">
      <c r="J139940"/>
    </row>
    <row r="139941" spans="10:10" x14ac:dyDescent="0.3">
      <c r="J139941"/>
    </row>
    <row r="139942" spans="10:10" x14ac:dyDescent="0.3">
      <c r="J139942"/>
    </row>
    <row r="139943" spans="10:10" x14ac:dyDescent="0.3">
      <c r="J139943"/>
    </row>
    <row r="139944" spans="10:10" x14ac:dyDescent="0.3">
      <c r="J139944"/>
    </row>
    <row r="139945" spans="10:10" x14ac:dyDescent="0.3">
      <c r="J139945"/>
    </row>
    <row r="139946" spans="10:10" x14ac:dyDescent="0.3">
      <c r="J139946"/>
    </row>
    <row r="139947" spans="10:10" x14ac:dyDescent="0.3">
      <c r="J139947"/>
    </row>
    <row r="139948" spans="10:10" x14ac:dyDescent="0.3">
      <c r="J139948"/>
    </row>
    <row r="139949" spans="10:10" x14ac:dyDescent="0.3">
      <c r="J139949"/>
    </row>
    <row r="139950" spans="10:10" x14ac:dyDescent="0.3">
      <c r="J139950"/>
    </row>
    <row r="139951" spans="10:10" x14ac:dyDescent="0.3">
      <c r="J139951"/>
    </row>
    <row r="139952" spans="10:10" x14ac:dyDescent="0.3">
      <c r="J139952"/>
    </row>
    <row r="139953" spans="10:10" x14ac:dyDescent="0.3">
      <c r="J139953"/>
    </row>
    <row r="139954" spans="10:10" x14ac:dyDescent="0.3">
      <c r="J139954"/>
    </row>
    <row r="139955" spans="10:10" x14ac:dyDescent="0.3">
      <c r="J139955"/>
    </row>
    <row r="139956" spans="10:10" x14ac:dyDescent="0.3">
      <c r="J139956"/>
    </row>
    <row r="139957" spans="10:10" x14ac:dyDescent="0.3">
      <c r="J139957"/>
    </row>
    <row r="139958" spans="10:10" x14ac:dyDescent="0.3">
      <c r="J139958"/>
    </row>
    <row r="139959" spans="10:10" x14ac:dyDescent="0.3">
      <c r="J139959"/>
    </row>
    <row r="139960" spans="10:10" x14ac:dyDescent="0.3">
      <c r="J139960"/>
    </row>
    <row r="139961" spans="10:10" x14ac:dyDescent="0.3">
      <c r="J139961"/>
    </row>
    <row r="139962" spans="10:10" x14ac:dyDescent="0.3">
      <c r="J139962"/>
    </row>
    <row r="139963" spans="10:10" x14ac:dyDescent="0.3">
      <c r="J139963"/>
    </row>
    <row r="139964" spans="10:10" x14ac:dyDescent="0.3">
      <c r="J139964"/>
    </row>
    <row r="139965" spans="10:10" x14ac:dyDescent="0.3">
      <c r="J139965"/>
    </row>
    <row r="139966" spans="10:10" x14ac:dyDescent="0.3">
      <c r="J139966"/>
    </row>
    <row r="139967" spans="10:10" x14ac:dyDescent="0.3">
      <c r="J139967"/>
    </row>
    <row r="139968" spans="10:10" x14ac:dyDescent="0.3">
      <c r="J139968"/>
    </row>
    <row r="139969" spans="10:10" x14ac:dyDescent="0.3">
      <c r="J139969"/>
    </row>
    <row r="139970" spans="10:10" x14ac:dyDescent="0.3">
      <c r="J139970"/>
    </row>
    <row r="139971" spans="10:10" x14ac:dyDescent="0.3">
      <c r="J139971"/>
    </row>
    <row r="139972" spans="10:10" x14ac:dyDescent="0.3">
      <c r="J139972"/>
    </row>
    <row r="139973" spans="10:10" x14ac:dyDescent="0.3">
      <c r="J139973"/>
    </row>
    <row r="139974" spans="10:10" x14ac:dyDescent="0.3">
      <c r="J139974"/>
    </row>
    <row r="139975" spans="10:10" x14ac:dyDescent="0.3">
      <c r="J139975"/>
    </row>
    <row r="139976" spans="10:10" x14ac:dyDescent="0.3">
      <c r="J139976"/>
    </row>
    <row r="139977" spans="10:10" x14ac:dyDescent="0.3">
      <c r="J139977"/>
    </row>
    <row r="139978" spans="10:10" x14ac:dyDescent="0.3">
      <c r="J139978"/>
    </row>
    <row r="139979" spans="10:10" x14ac:dyDescent="0.3">
      <c r="J139979"/>
    </row>
    <row r="139980" spans="10:10" x14ac:dyDescent="0.3">
      <c r="J139980"/>
    </row>
    <row r="139981" spans="10:10" x14ac:dyDescent="0.3">
      <c r="J139981"/>
    </row>
    <row r="139982" spans="10:10" x14ac:dyDescent="0.3">
      <c r="J139982"/>
    </row>
    <row r="139983" spans="10:10" x14ac:dyDescent="0.3">
      <c r="J139983"/>
    </row>
    <row r="139984" spans="10:10" x14ac:dyDescent="0.3">
      <c r="J139984"/>
    </row>
    <row r="139985" spans="10:10" x14ac:dyDescent="0.3">
      <c r="J139985"/>
    </row>
    <row r="139986" spans="10:10" x14ac:dyDescent="0.3">
      <c r="J139986"/>
    </row>
    <row r="139987" spans="10:10" x14ac:dyDescent="0.3">
      <c r="J139987"/>
    </row>
    <row r="139988" spans="10:10" x14ac:dyDescent="0.3">
      <c r="J139988"/>
    </row>
    <row r="139989" spans="10:10" x14ac:dyDescent="0.3">
      <c r="J139989"/>
    </row>
    <row r="139990" spans="10:10" x14ac:dyDescent="0.3">
      <c r="J139990"/>
    </row>
    <row r="139991" spans="10:10" x14ac:dyDescent="0.3">
      <c r="J139991"/>
    </row>
    <row r="139992" spans="10:10" x14ac:dyDescent="0.3">
      <c r="J139992"/>
    </row>
    <row r="139993" spans="10:10" x14ac:dyDescent="0.3">
      <c r="J139993"/>
    </row>
    <row r="139994" spans="10:10" x14ac:dyDescent="0.3">
      <c r="J139994"/>
    </row>
    <row r="139995" spans="10:10" x14ac:dyDescent="0.3">
      <c r="J139995"/>
    </row>
    <row r="139996" spans="10:10" x14ac:dyDescent="0.3">
      <c r="J139996"/>
    </row>
    <row r="139997" spans="10:10" x14ac:dyDescent="0.3">
      <c r="J139997"/>
    </row>
    <row r="139998" spans="10:10" x14ac:dyDescent="0.3">
      <c r="J139998"/>
    </row>
    <row r="139999" spans="10:10" x14ac:dyDescent="0.3">
      <c r="J139999"/>
    </row>
    <row r="140000" spans="10:10" x14ac:dyDescent="0.3">
      <c r="J140000"/>
    </row>
    <row r="140001" spans="10:10" x14ac:dyDescent="0.3">
      <c r="J140001"/>
    </row>
    <row r="140002" spans="10:10" x14ac:dyDescent="0.3">
      <c r="J140002"/>
    </row>
    <row r="140003" spans="10:10" x14ac:dyDescent="0.3">
      <c r="J140003"/>
    </row>
    <row r="140004" spans="10:10" x14ac:dyDescent="0.3">
      <c r="J140004"/>
    </row>
    <row r="140005" spans="10:10" x14ac:dyDescent="0.3">
      <c r="J140005"/>
    </row>
    <row r="140006" spans="10:10" x14ac:dyDescent="0.3">
      <c r="J140006"/>
    </row>
    <row r="140007" spans="10:10" x14ac:dyDescent="0.3">
      <c r="J140007"/>
    </row>
    <row r="140008" spans="10:10" x14ac:dyDescent="0.3">
      <c r="J140008"/>
    </row>
    <row r="140009" spans="10:10" x14ac:dyDescent="0.3">
      <c r="J140009"/>
    </row>
    <row r="140010" spans="10:10" x14ac:dyDescent="0.3">
      <c r="J140010"/>
    </row>
    <row r="140011" spans="10:10" x14ac:dyDescent="0.3">
      <c r="J140011"/>
    </row>
    <row r="140012" spans="10:10" x14ac:dyDescent="0.3">
      <c r="J140012"/>
    </row>
    <row r="140013" spans="10:10" x14ac:dyDescent="0.3">
      <c r="J140013"/>
    </row>
    <row r="140014" spans="10:10" x14ac:dyDescent="0.3">
      <c r="J140014"/>
    </row>
    <row r="140015" spans="10:10" x14ac:dyDescent="0.3">
      <c r="J140015"/>
    </row>
    <row r="140016" spans="10:10" x14ac:dyDescent="0.3">
      <c r="J140016"/>
    </row>
    <row r="140017" spans="10:10" x14ac:dyDescent="0.3">
      <c r="J140017"/>
    </row>
    <row r="140018" spans="10:10" x14ac:dyDescent="0.3">
      <c r="J140018"/>
    </row>
    <row r="140019" spans="10:10" x14ac:dyDescent="0.3">
      <c r="J140019"/>
    </row>
    <row r="140020" spans="10:10" x14ac:dyDescent="0.3">
      <c r="J140020"/>
    </row>
    <row r="140021" spans="10:10" x14ac:dyDescent="0.3">
      <c r="J140021"/>
    </row>
    <row r="140022" spans="10:10" x14ac:dyDescent="0.3">
      <c r="J140022"/>
    </row>
    <row r="140023" spans="10:10" x14ac:dyDescent="0.3">
      <c r="J140023"/>
    </row>
    <row r="140024" spans="10:10" x14ac:dyDescent="0.3">
      <c r="J140024"/>
    </row>
    <row r="140025" spans="10:10" x14ac:dyDescent="0.3">
      <c r="J140025"/>
    </row>
    <row r="140026" spans="10:10" x14ac:dyDescent="0.3">
      <c r="J140026"/>
    </row>
    <row r="140027" spans="10:10" x14ac:dyDescent="0.3">
      <c r="J140027"/>
    </row>
    <row r="140028" spans="10:10" x14ac:dyDescent="0.3">
      <c r="J140028"/>
    </row>
    <row r="140029" spans="10:10" x14ac:dyDescent="0.3">
      <c r="J140029"/>
    </row>
    <row r="140030" spans="10:10" x14ac:dyDescent="0.3">
      <c r="J140030"/>
    </row>
    <row r="140031" spans="10:10" x14ac:dyDescent="0.3">
      <c r="J140031"/>
    </row>
    <row r="140032" spans="10:10" x14ac:dyDescent="0.3">
      <c r="J140032"/>
    </row>
    <row r="140033" spans="10:10" x14ac:dyDescent="0.3">
      <c r="J140033"/>
    </row>
    <row r="140034" spans="10:10" x14ac:dyDescent="0.3">
      <c r="J140034"/>
    </row>
    <row r="140035" spans="10:10" x14ac:dyDescent="0.3">
      <c r="J140035"/>
    </row>
    <row r="140036" spans="10:10" x14ac:dyDescent="0.3">
      <c r="J140036"/>
    </row>
    <row r="140037" spans="10:10" x14ac:dyDescent="0.3">
      <c r="J140037"/>
    </row>
    <row r="140038" spans="10:10" x14ac:dyDescent="0.3">
      <c r="J140038"/>
    </row>
    <row r="140039" spans="10:10" x14ac:dyDescent="0.3">
      <c r="J140039"/>
    </row>
    <row r="140040" spans="10:10" x14ac:dyDescent="0.3">
      <c r="J140040"/>
    </row>
    <row r="140041" spans="10:10" x14ac:dyDescent="0.3">
      <c r="J140041"/>
    </row>
    <row r="140042" spans="10:10" x14ac:dyDescent="0.3">
      <c r="J140042"/>
    </row>
    <row r="140043" spans="10:10" x14ac:dyDescent="0.3">
      <c r="J140043"/>
    </row>
    <row r="140044" spans="10:10" x14ac:dyDescent="0.3">
      <c r="J140044"/>
    </row>
    <row r="140045" spans="10:10" x14ac:dyDescent="0.3">
      <c r="J140045"/>
    </row>
    <row r="140046" spans="10:10" x14ac:dyDescent="0.3">
      <c r="J140046"/>
    </row>
    <row r="140047" spans="10:10" x14ac:dyDescent="0.3">
      <c r="J140047"/>
    </row>
    <row r="140048" spans="10:10" x14ac:dyDescent="0.3">
      <c r="J140048"/>
    </row>
    <row r="140049" spans="10:10" x14ac:dyDescent="0.3">
      <c r="J140049"/>
    </row>
    <row r="140050" spans="10:10" x14ac:dyDescent="0.3">
      <c r="J140050"/>
    </row>
    <row r="140051" spans="10:10" x14ac:dyDescent="0.3">
      <c r="J140051"/>
    </row>
    <row r="140052" spans="10:10" x14ac:dyDescent="0.3">
      <c r="J140052"/>
    </row>
    <row r="140053" spans="10:10" x14ac:dyDescent="0.3">
      <c r="J140053"/>
    </row>
    <row r="140054" spans="10:10" x14ac:dyDescent="0.3">
      <c r="J140054"/>
    </row>
    <row r="140055" spans="10:10" x14ac:dyDescent="0.3">
      <c r="J140055"/>
    </row>
    <row r="140056" spans="10:10" x14ac:dyDescent="0.3">
      <c r="J140056"/>
    </row>
    <row r="140057" spans="10:10" x14ac:dyDescent="0.3">
      <c r="J140057"/>
    </row>
    <row r="140058" spans="10:10" x14ac:dyDescent="0.3">
      <c r="J140058"/>
    </row>
    <row r="140059" spans="10:10" x14ac:dyDescent="0.3">
      <c r="J140059"/>
    </row>
    <row r="140060" spans="10:10" x14ac:dyDescent="0.3">
      <c r="J140060"/>
    </row>
    <row r="140061" spans="10:10" x14ac:dyDescent="0.3">
      <c r="J140061"/>
    </row>
    <row r="140062" spans="10:10" x14ac:dyDescent="0.3">
      <c r="J140062"/>
    </row>
    <row r="140063" spans="10:10" x14ac:dyDescent="0.3">
      <c r="J140063"/>
    </row>
    <row r="140064" spans="10:10" x14ac:dyDescent="0.3">
      <c r="J140064"/>
    </row>
    <row r="140065" spans="10:10" x14ac:dyDescent="0.3">
      <c r="J140065"/>
    </row>
    <row r="140066" spans="10:10" x14ac:dyDescent="0.3">
      <c r="J140066"/>
    </row>
    <row r="140067" spans="10:10" x14ac:dyDescent="0.3">
      <c r="J140067"/>
    </row>
    <row r="140068" spans="10:10" x14ac:dyDescent="0.3">
      <c r="J140068"/>
    </row>
    <row r="140069" spans="10:10" x14ac:dyDescent="0.3">
      <c r="J140069"/>
    </row>
    <row r="140070" spans="10:10" x14ac:dyDescent="0.3">
      <c r="J140070"/>
    </row>
    <row r="140071" spans="10:10" x14ac:dyDescent="0.3">
      <c r="J140071"/>
    </row>
    <row r="140072" spans="10:10" x14ac:dyDescent="0.3">
      <c r="J140072"/>
    </row>
    <row r="140073" spans="10:10" x14ac:dyDescent="0.3">
      <c r="J140073"/>
    </row>
    <row r="140074" spans="10:10" x14ac:dyDescent="0.3">
      <c r="J140074"/>
    </row>
    <row r="140075" spans="10:10" x14ac:dyDescent="0.3">
      <c r="J140075"/>
    </row>
    <row r="140076" spans="10:10" x14ac:dyDescent="0.3">
      <c r="J140076"/>
    </row>
    <row r="140077" spans="10:10" x14ac:dyDescent="0.3">
      <c r="J140077"/>
    </row>
    <row r="140078" spans="10:10" x14ac:dyDescent="0.3">
      <c r="J140078"/>
    </row>
    <row r="140079" spans="10:10" x14ac:dyDescent="0.3">
      <c r="J140079"/>
    </row>
    <row r="140080" spans="10:10" x14ac:dyDescent="0.3">
      <c r="J140080"/>
    </row>
    <row r="140081" spans="10:10" x14ac:dyDescent="0.3">
      <c r="J140081"/>
    </row>
    <row r="140082" spans="10:10" x14ac:dyDescent="0.3">
      <c r="J140082"/>
    </row>
    <row r="140083" spans="10:10" x14ac:dyDescent="0.3">
      <c r="J140083"/>
    </row>
    <row r="140084" spans="10:10" x14ac:dyDescent="0.3">
      <c r="J140084"/>
    </row>
    <row r="140085" spans="10:10" x14ac:dyDescent="0.3">
      <c r="J140085"/>
    </row>
    <row r="140086" spans="10:10" x14ac:dyDescent="0.3">
      <c r="J140086"/>
    </row>
    <row r="140087" spans="10:10" x14ac:dyDescent="0.3">
      <c r="J140087"/>
    </row>
    <row r="140088" spans="10:10" x14ac:dyDescent="0.3">
      <c r="J140088"/>
    </row>
    <row r="140089" spans="10:10" x14ac:dyDescent="0.3">
      <c r="J140089"/>
    </row>
    <row r="140090" spans="10:10" x14ac:dyDescent="0.3">
      <c r="J140090"/>
    </row>
    <row r="140091" spans="10:10" x14ac:dyDescent="0.3">
      <c r="J140091"/>
    </row>
    <row r="140092" spans="10:10" x14ac:dyDescent="0.3">
      <c r="J140092"/>
    </row>
    <row r="140093" spans="10:10" x14ac:dyDescent="0.3">
      <c r="J140093"/>
    </row>
    <row r="140094" spans="10:10" x14ac:dyDescent="0.3">
      <c r="J140094"/>
    </row>
    <row r="140095" spans="10:10" x14ac:dyDescent="0.3">
      <c r="J140095"/>
    </row>
    <row r="140096" spans="10:10" x14ac:dyDescent="0.3">
      <c r="J140096"/>
    </row>
    <row r="140097" spans="10:10" x14ac:dyDescent="0.3">
      <c r="J140097"/>
    </row>
    <row r="140098" spans="10:10" x14ac:dyDescent="0.3">
      <c r="J140098"/>
    </row>
    <row r="140099" spans="10:10" x14ac:dyDescent="0.3">
      <c r="J140099"/>
    </row>
    <row r="140100" spans="10:10" x14ac:dyDescent="0.3">
      <c r="J140100"/>
    </row>
    <row r="140101" spans="10:10" x14ac:dyDescent="0.3">
      <c r="J140101"/>
    </row>
    <row r="140102" spans="10:10" x14ac:dyDescent="0.3">
      <c r="J140102"/>
    </row>
    <row r="140103" spans="10:10" x14ac:dyDescent="0.3">
      <c r="J140103"/>
    </row>
    <row r="140104" spans="10:10" x14ac:dyDescent="0.3">
      <c r="J140104"/>
    </row>
    <row r="140105" spans="10:10" x14ac:dyDescent="0.3">
      <c r="J140105"/>
    </row>
    <row r="140106" spans="10:10" x14ac:dyDescent="0.3">
      <c r="J140106"/>
    </row>
    <row r="140107" spans="10:10" x14ac:dyDescent="0.3">
      <c r="J140107"/>
    </row>
    <row r="140108" spans="10:10" x14ac:dyDescent="0.3">
      <c r="J140108"/>
    </row>
    <row r="140109" spans="10:10" x14ac:dyDescent="0.3">
      <c r="J140109"/>
    </row>
    <row r="140110" spans="10:10" x14ac:dyDescent="0.3">
      <c r="J140110"/>
    </row>
    <row r="140111" spans="10:10" x14ac:dyDescent="0.3">
      <c r="J140111"/>
    </row>
    <row r="140112" spans="10:10" x14ac:dyDescent="0.3">
      <c r="J140112"/>
    </row>
    <row r="140113" spans="10:10" x14ac:dyDescent="0.3">
      <c r="J140113"/>
    </row>
    <row r="140114" spans="10:10" x14ac:dyDescent="0.3">
      <c r="J140114"/>
    </row>
    <row r="140115" spans="10:10" x14ac:dyDescent="0.3">
      <c r="J140115"/>
    </row>
    <row r="140116" spans="10:10" x14ac:dyDescent="0.3">
      <c r="J140116"/>
    </row>
    <row r="140117" spans="10:10" x14ac:dyDescent="0.3">
      <c r="J140117"/>
    </row>
    <row r="140118" spans="10:10" x14ac:dyDescent="0.3">
      <c r="J140118"/>
    </row>
    <row r="140119" spans="10:10" x14ac:dyDescent="0.3">
      <c r="J140119"/>
    </row>
    <row r="140120" spans="10:10" x14ac:dyDescent="0.3">
      <c r="J140120"/>
    </row>
    <row r="140121" spans="10:10" x14ac:dyDescent="0.3">
      <c r="J140121"/>
    </row>
    <row r="140122" spans="10:10" x14ac:dyDescent="0.3">
      <c r="J140122"/>
    </row>
    <row r="140123" spans="10:10" x14ac:dyDescent="0.3">
      <c r="J140123"/>
    </row>
    <row r="140124" spans="10:10" x14ac:dyDescent="0.3">
      <c r="J140124"/>
    </row>
    <row r="140125" spans="10:10" x14ac:dyDescent="0.3">
      <c r="J140125"/>
    </row>
    <row r="140126" spans="10:10" x14ac:dyDescent="0.3">
      <c r="J140126"/>
    </row>
    <row r="140127" spans="10:10" x14ac:dyDescent="0.3">
      <c r="J140127"/>
    </row>
    <row r="140128" spans="10:10" x14ac:dyDescent="0.3">
      <c r="J140128"/>
    </row>
    <row r="140129" spans="10:10" x14ac:dyDescent="0.3">
      <c r="J140129"/>
    </row>
    <row r="140130" spans="10:10" x14ac:dyDescent="0.3">
      <c r="J140130"/>
    </row>
    <row r="140131" spans="10:10" x14ac:dyDescent="0.3">
      <c r="J140131"/>
    </row>
    <row r="140132" spans="10:10" x14ac:dyDescent="0.3">
      <c r="J140132"/>
    </row>
    <row r="140133" spans="10:10" x14ac:dyDescent="0.3">
      <c r="J140133"/>
    </row>
    <row r="140134" spans="10:10" x14ac:dyDescent="0.3">
      <c r="J140134"/>
    </row>
    <row r="140135" spans="10:10" x14ac:dyDescent="0.3">
      <c r="J140135"/>
    </row>
    <row r="140136" spans="10:10" x14ac:dyDescent="0.3">
      <c r="J140136"/>
    </row>
    <row r="140137" spans="10:10" x14ac:dyDescent="0.3">
      <c r="J140137"/>
    </row>
    <row r="140138" spans="10:10" x14ac:dyDescent="0.3">
      <c r="J140138"/>
    </row>
    <row r="140139" spans="10:10" x14ac:dyDescent="0.3">
      <c r="J140139"/>
    </row>
    <row r="140140" spans="10:10" x14ac:dyDescent="0.3">
      <c r="J140140"/>
    </row>
    <row r="140141" spans="10:10" x14ac:dyDescent="0.3">
      <c r="J140141"/>
    </row>
    <row r="140142" spans="10:10" x14ac:dyDescent="0.3">
      <c r="J140142"/>
    </row>
    <row r="140143" spans="10:10" x14ac:dyDescent="0.3">
      <c r="J140143"/>
    </row>
    <row r="140144" spans="10:10" x14ac:dyDescent="0.3">
      <c r="J140144"/>
    </row>
    <row r="140145" spans="10:10" x14ac:dyDescent="0.3">
      <c r="J140145"/>
    </row>
    <row r="140146" spans="10:10" x14ac:dyDescent="0.3">
      <c r="J140146"/>
    </row>
    <row r="140147" spans="10:10" x14ac:dyDescent="0.3">
      <c r="J140147"/>
    </row>
    <row r="140148" spans="10:10" x14ac:dyDescent="0.3">
      <c r="J140148"/>
    </row>
    <row r="140149" spans="10:10" x14ac:dyDescent="0.3">
      <c r="J140149"/>
    </row>
    <row r="140150" spans="10:10" x14ac:dyDescent="0.3">
      <c r="J140150"/>
    </row>
    <row r="140151" spans="10:10" x14ac:dyDescent="0.3">
      <c r="J140151"/>
    </row>
    <row r="140152" spans="10:10" x14ac:dyDescent="0.3">
      <c r="J140152"/>
    </row>
    <row r="140153" spans="10:10" x14ac:dyDescent="0.3">
      <c r="J140153"/>
    </row>
    <row r="140154" spans="10:10" x14ac:dyDescent="0.3">
      <c r="J140154"/>
    </row>
    <row r="140155" spans="10:10" x14ac:dyDescent="0.3">
      <c r="J140155"/>
    </row>
    <row r="140156" spans="10:10" x14ac:dyDescent="0.3">
      <c r="J140156"/>
    </row>
    <row r="140157" spans="10:10" x14ac:dyDescent="0.3">
      <c r="J140157"/>
    </row>
    <row r="140158" spans="10:10" x14ac:dyDescent="0.3">
      <c r="J140158"/>
    </row>
    <row r="140159" spans="10:10" x14ac:dyDescent="0.3">
      <c r="J140159"/>
    </row>
    <row r="140160" spans="10:10" x14ac:dyDescent="0.3">
      <c r="J140160"/>
    </row>
    <row r="140161" spans="10:10" x14ac:dyDescent="0.3">
      <c r="J140161"/>
    </row>
    <row r="140162" spans="10:10" x14ac:dyDescent="0.3">
      <c r="J140162"/>
    </row>
    <row r="140163" spans="10:10" x14ac:dyDescent="0.3">
      <c r="J140163"/>
    </row>
    <row r="140164" spans="10:10" x14ac:dyDescent="0.3">
      <c r="J140164"/>
    </row>
    <row r="140165" spans="10:10" x14ac:dyDescent="0.3">
      <c r="J140165"/>
    </row>
    <row r="140166" spans="10:10" x14ac:dyDescent="0.3">
      <c r="J140166"/>
    </row>
    <row r="140167" spans="10:10" x14ac:dyDescent="0.3">
      <c r="J140167"/>
    </row>
    <row r="140168" spans="10:10" x14ac:dyDescent="0.3">
      <c r="J140168"/>
    </row>
    <row r="140169" spans="10:10" x14ac:dyDescent="0.3">
      <c r="J140169"/>
    </row>
    <row r="140170" spans="10:10" x14ac:dyDescent="0.3">
      <c r="J140170"/>
    </row>
    <row r="140171" spans="10:10" x14ac:dyDescent="0.3">
      <c r="J140171"/>
    </row>
    <row r="140172" spans="10:10" x14ac:dyDescent="0.3">
      <c r="J140172"/>
    </row>
    <row r="140173" spans="10:10" x14ac:dyDescent="0.3">
      <c r="J140173"/>
    </row>
    <row r="140174" spans="10:10" x14ac:dyDescent="0.3">
      <c r="J140174"/>
    </row>
    <row r="140175" spans="10:10" x14ac:dyDescent="0.3">
      <c r="J140175"/>
    </row>
    <row r="140176" spans="10:10" x14ac:dyDescent="0.3">
      <c r="J140176"/>
    </row>
    <row r="140177" spans="10:10" x14ac:dyDescent="0.3">
      <c r="J140177"/>
    </row>
    <row r="140178" spans="10:10" x14ac:dyDescent="0.3">
      <c r="J140178"/>
    </row>
    <row r="140179" spans="10:10" x14ac:dyDescent="0.3">
      <c r="J140179"/>
    </row>
    <row r="140180" spans="10:10" x14ac:dyDescent="0.3">
      <c r="J140180"/>
    </row>
    <row r="140181" spans="10:10" x14ac:dyDescent="0.3">
      <c r="J140181"/>
    </row>
    <row r="140182" spans="10:10" x14ac:dyDescent="0.3">
      <c r="J140182"/>
    </row>
    <row r="140183" spans="10:10" x14ac:dyDescent="0.3">
      <c r="J140183"/>
    </row>
    <row r="140184" spans="10:10" x14ac:dyDescent="0.3">
      <c r="J140184"/>
    </row>
    <row r="140185" spans="10:10" x14ac:dyDescent="0.3">
      <c r="J140185"/>
    </row>
    <row r="140186" spans="10:10" x14ac:dyDescent="0.3">
      <c r="J140186"/>
    </row>
    <row r="140187" spans="10:10" x14ac:dyDescent="0.3">
      <c r="J140187"/>
    </row>
    <row r="140188" spans="10:10" x14ac:dyDescent="0.3">
      <c r="J140188"/>
    </row>
    <row r="140189" spans="10:10" x14ac:dyDescent="0.3">
      <c r="J140189"/>
    </row>
    <row r="140190" spans="10:10" x14ac:dyDescent="0.3">
      <c r="J140190"/>
    </row>
    <row r="140191" spans="10:10" x14ac:dyDescent="0.3">
      <c r="J140191"/>
    </row>
    <row r="140192" spans="10:10" x14ac:dyDescent="0.3">
      <c r="J140192"/>
    </row>
    <row r="140193" spans="10:10" x14ac:dyDescent="0.3">
      <c r="J140193"/>
    </row>
    <row r="140194" spans="10:10" x14ac:dyDescent="0.3">
      <c r="J140194"/>
    </row>
    <row r="140195" spans="10:10" x14ac:dyDescent="0.3">
      <c r="J140195"/>
    </row>
    <row r="140196" spans="10:10" x14ac:dyDescent="0.3">
      <c r="J140196"/>
    </row>
    <row r="140197" spans="10:10" x14ac:dyDescent="0.3">
      <c r="J140197"/>
    </row>
    <row r="140198" spans="10:10" x14ac:dyDescent="0.3">
      <c r="J140198"/>
    </row>
    <row r="140199" spans="10:10" x14ac:dyDescent="0.3">
      <c r="J140199"/>
    </row>
    <row r="140200" spans="10:10" x14ac:dyDescent="0.3">
      <c r="J140200"/>
    </row>
    <row r="140201" spans="10:10" x14ac:dyDescent="0.3">
      <c r="J140201"/>
    </row>
    <row r="140202" spans="10:10" x14ac:dyDescent="0.3">
      <c r="J140202"/>
    </row>
    <row r="140203" spans="10:10" x14ac:dyDescent="0.3">
      <c r="J140203"/>
    </row>
    <row r="140204" spans="10:10" x14ac:dyDescent="0.3">
      <c r="J140204"/>
    </row>
    <row r="140205" spans="10:10" x14ac:dyDescent="0.3">
      <c r="J140205"/>
    </row>
    <row r="140206" spans="10:10" x14ac:dyDescent="0.3">
      <c r="J140206"/>
    </row>
    <row r="140207" spans="10:10" x14ac:dyDescent="0.3">
      <c r="J140207"/>
    </row>
    <row r="140208" spans="10:10" x14ac:dyDescent="0.3">
      <c r="J140208"/>
    </row>
    <row r="140209" spans="10:10" x14ac:dyDescent="0.3">
      <c r="J140209"/>
    </row>
    <row r="140210" spans="10:10" x14ac:dyDescent="0.3">
      <c r="J140210"/>
    </row>
    <row r="140211" spans="10:10" x14ac:dyDescent="0.3">
      <c r="J140211"/>
    </row>
    <row r="140212" spans="10:10" x14ac:dyDescent="0.3">
      <c r="J140212"/>
    </row>
    <row r="140213" spans="10:10" x14ac:dyDescent="0.3">
      <c r="J140213"/>
    </row>
    <row r="140214" spans="10:10" x14ac:dyDescent="0.3">
      <c r="J140214"/>
    </row>
    <row r="140215" spans="10:10" x14ac:dyDescent="0.3">
      <c r="J140215"/>
    </row>
    <row r="140216" spans="10:10" x14ac:dyDescent="0.3">
      <c r="J140216"/>
    </row>
    <row r="140217" spans="10:10" x14ac:dyDescent="0.3">
      <c r="J140217"/>
    </row>
    <row r="140218" spans="10:10" x14ac:dyDescent="0.3">
      <c r="J140218"/>
    </row>
    <row r="140219" spans="10:10" x14ac:dyDescent="0.3">
      <c r="J140219"/>
    </row>
    <row r="140220" spans="10:10" x14ac:dyDescent="0.3">
      <c r="J140220"/>
    </row>
    <row r="140221" spans="10:10" x14ac:dyDescent="0.3">
      <c r="J140221"/>
    </row>
    <row r="140222" spans="10:10" x14ac:dyDescent="0.3">
      <c r="J140222"/>
    </row>
    <row r="140223" spans="10:10" x14ac:dyDescent="0.3">
      <c r="J140223"/>
    </row>
    <row r="140224" spans="10:10" x14ac:dyDescent="0.3">
      <c r="J140224"/>
    </row>
    <row r="140225" spans="10:10" x14ac:dyDescent="0.3">
      <c r="J140225"/>
    </row>
    <row r="140226" spans="10:10" x14ac:dyDescent="0.3">
      <c r="J140226"/>
    </row>
    <row r="140227" spans="10:10" x14ac:dyDescent="0.3">
      <c r="J140227"/>
    </row>
    <row r="140228" spans="10:10" x14ac:dyDescent="0.3">
      <c r="J140228"/>
    </row>
    <row r="140229" spans="10:10" x14ac:dyDescent="0.3">
      <c r="J140229"/>
    </row>
    <row r="140230" spans="10:10" x14ac:dyDescent="0.3">
      <c r="J140230"/>
    </row>
    <row r="140231" spans="10:10" x14ac:dyDescent="0.3">
      <c r="J140231"/>
    </row>
    <row r="140232" spans="10:10" x14ac:dyDescent="0.3">
      <c r="J140232"/>
    </row>
    <row r="140233" spans="10:10" x14ac:dyDescent="0.3">
      <c r="J140233"/>
    </row>
    <row r="140234" spans="10:10" x14ac:dyDescent="0.3">
      <c r="J140234"/>
    </row>
    <row r="140235" spans="10:10" x14ac:dyDescent="0.3">
      <c r="J140235"/>
    </row>
    <row r="140236" spans="10:10" x14ac:dyDescent="0.3">
      <c r="J140236"/>
    </row>
    <row r="140237" spans="10:10" x14ac:dyDescent="0.3">
      <c r="J140237"/>
    </row>
    <row r="140238" spans="10:10" x14ac:dyDescent="0.3">
      <c r="J140238"/>
    </row>
    <row r="140239" spans="10:10" x14ac:dyDescent="0.3">
      <c r="J140239"/>
    </row>
    <row r="140240" spans="10:10" x14ac:dyDescent="0.3">
      <c r="J140240"/>
    </row>
    <row r="140241" spans="10:10" x14ac:dyDescent="0.3">
      <c r="J140241"/>
    </row>
    <row r="140242" spans="10:10" x14ac:dyDescent="0.3">
      <c r="J140242"/>
    </row>
    <row r="140243" spans="10:10" x14ac:dyDescent="0.3">
      <c r="J140243"/>
    </row>
    <row r="140244" spans="10:10" x14ac:dyDescent="0.3">
      <c r="J140244"/>
    </row>
    <row r="140245" spans="10:10" x14ac:dyDescent="0.3">
      <c r="J140245"/>
    </row>
    <row r="140246" spans="10:10" x14ac:dyDescent="0.3">
      <c r="J140246"/>
    </row>
    <row r="140247" spans="10:10" x14ac:dyDescent="0.3">
      <c r="J140247"/>
    </row>
    <row r="140248" spans="10:10" x14ac:dyDescent="0.3">
      <c r="J140248"/>
    </row>
    <row r="140249" spans="10:10" x14ac:dyDescent="0.3">
      <c r="J140249"/>
    </row>
    <row r="140250" spans="10:10" x14ac:dyDescent="0.3">
      <c r="J140250"/>
    </row>
    <row r="140251" spans="10:10" x14ac:dyDescent="0.3">
      <c r="J140251"/>
    </row>
    <row r="140252" spans="10:10" x14ac:dyDescent="0.3">
      <c r="J140252"/>
    </row>
    <row r="140253" spans="10:10" x14ac:dyDescent="0.3">
      <c r="J140253"/>
    </row>
    <row r="140254" spans="10:10" x14ac:dyDescent="0.3">
      <c r="J140254"/>
    </row>
    <row r="140255" spans="10:10" x14ac:dyDescent="0.3">
      <c r="J140255"/>
    </row>
    <row r="140256" spans="10:10" x14ac:dyDescent="0.3">
      <c r="J140256"/>
    </row>
    <row r="140257" spans="10:10" x14ac:dyDescent="0.3">
      <c r="J140257"/>
    </row>
    <row r="140258" spans="10:10" x14ac:dyDescent="0.3">
      <c r="J140258"/>
    </row>
    <row r="140259" spans="10:10" x14ac:dyDescent="0.3">
      <c r="J140259"/>
    </row>
    <row r="140260" spans="10:10" x14ac:dyDescent="0.3">
      <c r="J140260"/>
    </row>
    <row r="140261" spans="10:10" x14ac:dyDescent="0.3">
      <c r="J140261"/>
    </row>
    <row r="140262" spans="10:10" x14ac:dyDescent="0.3">
      <c r="J140262"/>
    </row>
    <row r="140263" spans="10:10" x14ac:dyDescent="0.3">
      <c r="J140263"/>
    </row>
    <row r="140264" spans="10:10" x14ac:dyDescent="0.3">
      <c r="J140264"/>
    </row>
    <row r="140265" spans="10:10" x14ac:dyDescent="0.3">
      <c r="J140265"/>
    </row>
    <row r="140266" spans="10:10" x14ac:dyDescent="0.3">
      <c r="J140266"/>
    </row>
    <row r="140267" spans="10:10" x14ac:dyDescent="0.3">
      <c r="J140267"/>
    </row>
    <row r="140268" spans="10:10" x14ac:dyDescent="0.3">
      <c r="J140268"/>
    </row>
    <row r="140269" spans="10:10" x14ac:dyDescent="0.3">
      <c r="J140269"/>
    </row>
    <row r="140270" spans="10:10" x14ac:dyDescent="0.3">
      <c r="J140270"/>
    </row>
    <row r="140271" spans="10:10" x14ac:dyDescent="0.3">
      <c r="J140271"/>
    </row>
    <row r="140272" spans="10:10" x14ac:dyDescent="0.3">
      <c r="J140272"/>
    </row>
    <row r="140273" spans="10:10" x14ac:dyDescent="0.3">
      <c r="J140273"/>
    </row>
    <row r="140274" spans="10:10" x14ac:dyDescent="0.3">
      <c r="J140274"/>
    </row>
    <row r="140275" spans="10:10" x14ac:dyDescent="0.3">
      <c r="J140275"/>
    </row>
    <row r="140276" spans="10:10" x14ac:dyDescent="0.3">
      <c r="J140276"/>
    </row>
    <row r="140277" spans="10:10" x14ac:dyDescent="0.3">
      <c r="J140277"/>
    </row>
    <row r="140278" spans="10:10" x14ac:dyDescent="0.3">
      <c r="J140278"/>
    </row>
    <row r="140279" spans="10:10" x14ac:dyDescent="0.3">
      <c r="J140279"/>
    </row>
    <row r="140280" spans="10:10" x14ac:dyDescent="0.3">
      <c r="J140280"/>
    </row>
    <row r="140281" spans="10:10" x14ac:dyDescent="0.3">
      <c r="J140281"/>
    </row>
    <row r="140282" spans="10:10" x14ac:dyDescent="0.3">
      <c r="J140282"/>
    </row>
    <row r="140283" spans="10:10" x14ac:dyDescent="0.3">
      <c r="J140283"/>
    </row>
    <row r="140284" spans="10:10" x14ac:dyDescent="0.3">
      <c r="J140284"/>
    </row>
    <row r="140285" spans="10:10" x14ac:dyDescent="0.3">
      <c r="J140285"/>
    </row>
    <row r="140286" spans="10:10" x14ac:dyDescent="0.3">
      <c r="J140286"/>
    </row>
    <row r="140287" spans="10:10" x14ac:dyDescent="0.3">
      <c r="J140287"/>
    </row>
    <row r="140288" spans="10:10" x14ac:dyDescent="0.3">
      <c r="J140288"/>
    </row>
    <row r="140289" spans="10:10" x14ac:dyDescent="0.3">
      <c r="J140289"/>
    </row>
    <row r="140290" spans="10:10" x14ac:dyDescent="0.3">
      <c r="J140290"/>
    </row>
    <row r="140291" spans="10:10" x14ac:dyDescent="0.3">
      <c r="J140291"/>
    </row>
    <row r="140292" spans="10:10" x14ac:dyDescent="0.3">
      <c r="J140292"/>
    </row>
    <row r="140293" spans="10:10" x14ac:dyDescent="0.3">
      <c r="J140293"/>
    </row>
    <row r="140294" spans="10:10" x14ac:dyDescent="0.3">
      <c r="J140294"/>
    </row>
    <row r="140295" spans="10:10" x14ac:dyDescent="0.3">
      <c r="J140295"/>
    </row>
    <row r="140296" spans="10:10" x14ac:dyDescent="0.3">
      <c r="J140296"/>
    </row>
    <row r="140297" spans="10:10" x14ac:dyDescent="0.3">
      <c r="J140297"/>
    </row>
    <row r="140298" spans="10:10" x14ac:dyDescent="0.3">
      <c r="J140298"/>
    </row>
    <row r="140299" spans="10:10" x14ac:dyDescent="0.3">
      <c r="J140299"/>
    </row>
    <row r="140300" spans="10:10" x14ac:dyDescent="0.3">
      <c r="J140300"/>
    </row>
    <row r="140301" spans="10:10" x14ac:dyDescent="0.3">
      <c r="J140301"/>
    </row>
    <row r="140302" spans="10:10" x14ac:dyDescent="0.3">
      <c r="J140302"/>
    </row>
    <row r="140303" spans="10:10" x14ac:dyDescent="0.3">
      <c r="J140303"/>
    </row>
    <row r="140304" spans="10:10" x14ac:dyDescent="0.3">
      <c r="J140304"/>
    </row>
    <row r="140305" spans="10:10" x14ac:dyDescent="0.3">
      <c r="J140305"/>
    </row>
    <row r="140306" spans="10:10" x14ac:dyDescent="0.3">
      <c r="J140306"/>
    </row>
    <row r="140307" spans="10:10" x14ac:dyDescent="0.3">
      <c r="J140307"/>
    </row>
    <row r="140308" spans="10:10" x14ac:dyDescent="0.3">
      <c r="J140308"/>
    </row>
    <row r="140309" spans="10:10" x14ac:dyDescent="0.3">
      <c r="J140309"/>
    </row>
    <row r="140310" spans="10:10" x14ac:dyDescent="0.3">
      <c r="J140310"/>
    </row>
    <row r="140311" spans="10:10" x14ac:dyDescent="0.3">
      <c r="J140311"/>
    </row>
    <row r="140312" spans="10:10" x14ac:dyDescent="0.3">
      <c r="J140312"/>
    </row>
    <row r="140313" spans="10:10" x14ac:dyDescent="0.3">
      <c r="J140313"/>
    </row>
    <row r="140314" spans="10:10" x14ac:dyDescent="0.3">
      <c r="J140314"/>
    </row>
    <row r="140315" spans="10:10" x14ac:dyDescent="0.3">
      <c r="J140315"/>
    </row>
    <row r="140316" spans="10:10" x14ac:dyDescent="0.3">
      <c r="J140316"/>
    </row>
    <row r="140317" spans="10:10" x14ac:dyDescent="0.3">
      <c r="J140317"/>
    </row>
    <row r="140318" spans="10:10" x14ac:dyDescent="0.3">
      <c r="J140318"/>
    </row>
    <row r="140319" spans="10:10" x14ac:dyDescent="0.3">
      <c r="J140319"/>
    </row>
    <row r="140320" spans="10:10" x14ac:dyDescent="0.3">
      <c r="J140320"/>
    </row>
    <row r="140321" spans="10:10" x14ac:dyDescent="0.3">
      <c r="J140321"/>
    </row>
    <row r="140322" spans="10:10" x14ac:dyDescent="0.3">
      <c r="J140322"/>
    </row>
    <row r="140323" spans="10:10" x14ac:dyDescent="0.3">
      <c r="J140323"/>
    </row>
    <row r="140324" spans="10:10" x14ac:dyDescent="0.3">
      <c r="J140324"/>
    </row>
    <row r="140325" spans="10:10" x14ac:dyDescent="0.3">
      <c r="J140325"/>
    </row>
    <row r="140326" spans="10:10" x14ac:dyDescent="0.3">
      <c r="J140326"/>
    </row>
    <row r="140327" spans="10:10" x14ac:dyDescent="0.3">
      <c r="J140327"/>
    </row>
    <row r="140328" spans="10:10" x14ac:dyDescent="0.3">
      <c r="J140328"/>
    </row>
    <row r="140329" spans="10:10" x14ac:dyDescent="0.3">
      <c r="J140329"/>
    </row>
    <row r="140330" spans="10:10" x14ac:dyDescent="0.3">
      <c r="J140330"/>
    </row>
    <row r="140331" spans="10:10" x14ac:dyDescent="0.3">
      <c r="J140331"/>
    </row>
    <row r="140332" spans="10:10" x14ac:dyDescent="0.3">
      <c r="J140332"/>
    </row>
    <row r="140333" spans="10:10" x14ac:dyDescent="0.3">
      <c r="J140333"/>
    </row>
    <row r="140334" spans="10:10" x14ac:dyDescent="0.3">
      <c r="J140334"/>
    </row>
    <row r="140335" spans="10:10" x14ac:dyDescent="0.3">
      <c r="J140335"/>
    </row>
    <row r="140336" spans="10:10" x14ac:dyDescent="0.3">
      <c r="J140336"/>
    </row>
    <row r="140337" spans="10:10" x14ac:dyDescent="0.3">
      <c r="J140337"/>
    </row>
    <row r="140338" spans="10:10" x14ac:dyDescent="0.3">
      <c r="J140338"/>
    </row>
    <row r="140339" spans="10:10" x14ac:dyDescent="0.3">
      <c r="J140339"/>
    </row>
    <row r="140340" spans="10:10" x14ac:dyDescent="0.3">
      <c r="J140340"/>
    </row>
    <row r="140341" spans="10:10" x14ac:dyDescent="0.3">
      <c r="J140341"/>
    </row>
    <row r="140342" spans="10:10" x14ac:dyDescent="0.3">
      <c r="J140342"/>
    </row>
    <row r="140343" spans="10:10" x14ac:dyDescent="0.3">
      <c r="J140343"/>
    </row>
    <row r="140344" spans="10:10" x14ac:dyDescent="0.3">
      <c r="J140344"/>
    </row>
    <row r="140345" spans="10:10" x14ac:dyDescent="0.3">
      <c r="J140345"/>
    </row>
    <row r="140346" spans="10:10" x14ac:dyDescent="0.3">
      <c r="J140346"/>
    </row>
    <row r="140347" spans="10:10" x14ac:dyDescent="0.3">
      <c r="J140347"/>
    </row>
    <row r="140348" spans="10:10" x14ac:dyDescent="0.3">
      <c r="J140348"/>
    </row>
    <row r="140349" spans="10:10" x14ac:dyDescent="0.3">
      <c r="J140349"/>
    </row>
    <row r="140350" spans="10:10" x14ac:dyDescent="0.3">
      <c r="J140350"/>
    </row>
    <row r="140351" spans="10:10" x14ac:dyDescent="0.3">
      <c r="J140351"/>
    </row>
    <row r="140352" spans="10:10" x14ac:dyDescent="0.3">
      <c r="J140352"/>
    </row>
    <row r="140353" spans="10:10" x14ac:dyDescent="0.3">
      <c r="J140353"/>
    </row>
    <row r="140354" spans="10:10" x14ac:dyDescent="0.3">
      <c r="J140354"/>
    </row>
    <row r="140355" spans="10:10" x14ac:dyDescent="0.3">
      <c r="J140355"/>
    </row>
    <row r="140356" spans="10:10" x14ac:dyDescent="0.3">
      <c r="J140356"/>
    </row>
    <row r="140357" spans="10:10" x14ac:dyDescent="0.3">
      <c r="J140357"/>
    </row>
    <row r="140358" spans="10:10" x14ac:dyDescent="0.3">
      <c r="J140358"/>
    </row>
    <row r="140359" spans="10:10" x14ac:dyDescent="0.3">
      <c r="J140359"/>
    </row>
    <row r="140360" spans="10:10" x14ac:dyDescent="0.3">
      <c r="J140360"/>
    </row>
    <row r="140361" spans="10:10" x14ac:dyDescent="0.3">
      <c r="J140361"/>
    </row>
    <row r="140362" spans="10:10" x14ac:dyDescent="0.3">
      <c r="J140362"/>
    </row>
    <row r="140363" spans="10:10" x14ac:dyDescent="0.3">
      <c r="J140363"/>
    </row>
    <row r="140364" spans="10:10" x14ac:dyDescent="0.3">
      <c r="J140364"/>
    </row>
    <row r="140365" spans="10:10" x14ac:dyDescent="0.3">
      <c r="J140365"/>
    </row>
    <row r="140366" spans="10:10" x14ac:dyDescent="0.3">
      <c r="J140366"/>
    </row>
    <row r="140367" spans="10:10" x14ac:dyDescent="0.3">
      <c r="J140367"/>
    </row>
    <row r="140368" spans="10:10" x14ac:dyDescent="0.3">
      <c r="J140368"/>
    </row>
    <row r="140369" spans="10:10" x14ac:dyDescent="0.3">
      <c r="J140369"/>
    </row>
    <row r="140370" spans="10:10" x14ac:dyDescent="0.3">
      <c r="J140370"/>
    </row>
    <row r="140371" spans="10:10" x14ac:dyDescent="0.3">
      <c r="J140371"/>
    </row>
    <row r="140372" spans="10:10" x14ac:dyDescent="0.3">
      <c r="J140372"/>
    </row>
    <row r="140373" spans="10:10" x14ac:dyDescent="0.3">
      <c r="J140373"/>
    </row>
    <row r="140374" spans="10:10" x14ac:dyDescent="0.3">
      <c r="J140374"/>
    </row>
    <row r="140375" spans="10:10" x14ac:dyDescent="0.3">
      <c r="J140375"/>
    </row>
    <row r="140376" spans="10:10" x14ac:dyDescent="0.3">
      <c r="J140376"/>
    </row>
    <row r="140377" spans="10:10" x14ac:dyDescent="0.3">
      <c r="J140377"/>
    </row>
    <row r="140378" spans="10:10" x14ac:dyDescent="0.3">
      <c r="J140378"/>
    </row>
    <row r="140379" spans="10:10" x14ac:dyDescent="0.3">
      <c r="J140379"/>
    </row>
    <row r="140380" spans="10:10" x14ac:dyDescent="0.3">
      <c r="J140380"/>
    </row>
    <row r="140381" spans="10:10" x14ac:dyDescent="0.3">
      <c r="J140381"/>
    </row>
    <row r="140382" spans="10:10" x14ac:dyDescent="0.3">
      <c r="J140382"/>
    </row>
    <row r="140383" spans="10:10" x14ac:dyDescent="0.3">
      <c r="J140383"/>
    </row>
    <row r="140384" spans="10:10" x14ac:dyDescent="0.3">
      <c r="J140384"/>
    </row>
    <row r="140385" spans="10:10" x14ac:dyDescent="0.3">
      <c r="J140385"/>
    </row>
    <row r="140386" spans="10:10" x14ac:dyDescent="0.3">
      <c r="J140386"/>
    </row>
    <row r="140387" spans="10:10" x14ac:dyDescent="0.3">
      <c r="J140387"/>
    </row>
    <row r="140388" spans="10:10" x14ac:dyDescent="0.3">
      <c r="J140388"/>
    </row>
    <row r="140389" spans="10:10" x14ac:dyDescent="0.3">
      <c r="J140389"/>
    </row>
    <row r="140390" spans="10:10" x14ac:dyDescent="0.3">
      <c r="J140390"/>
    </row>
    <row r="140391" spans="10:10" x14ac:dyDescent="0.3">
      <c r="J140391"/>
    </row>
    <row r="140392" spans="10:10" x14ac:dyDescent="0.3">
      <c r="J140392"/>
    </row>
    <row r="140393" spans="10:10" x14ac:dyDescent="0.3">
      <c r="J140393"/>
    </row>
    <row r="140394" spans="10:10" x14ac:dyDescent="0.3">
      <c r="J140394"/>
    </row>
    <row r="140395" spans="10:10" x14ac:dyDescent="0.3">
      <c r="J140395"/>
    </row>
    <row r="140396" spans="10:10" x14ac:dyDescent="0.3">
      <c r="J140396"/>
    </row>
    <row r="140397" spans="10:10" x14ac:dyDescent="0.3">
      <c r="J140397"/>
    </row>
    <row r="140398" spans="10:10" x14ac:dyDescent="0.3">
      <c r="J140398"/>
    </row>
    <row r="140399" spans="10:10" x14ac:dyDescent="0.3">
      <c r="J140399"/>
    </row>
    <row r="140400" spans="10:10" x14ac:dyDescent="0.3">
      <c r="J140400"/>
    </row>
    <row r="140401" spans="10:10" x14ac:dyDescent="0.3">
      <c r="J140401"/>
    </row>
    <row r="140402" spans="10:10" x14ac:dyDescent="0.3">
      <c r="J140402"/>
    </row>
    <row r="140403" spans="10:10" x14ac:dyDescent="0.3">
      <c r="J140403"/>
    </row>
    <row r="140404" spans="10:10" x14ac:dyDescent="0.3">
      <c r="J140404"/>
    </row>
    <row r="140405" spans="10:10" x14ac:dyDescent="0.3">
      <c r="J140405"/>
    </row>
    <row r="140406" spans="10:10" x14ac:dyDescent="0.3">
      <c r="J140406"/>
    </row>
    <row r="140407" spans="10:10" x14ac:dyDescent="0.3">
      <c r="J140407"/>
    </row>
    <row r="140408" spans="10:10" x14ac:dyDescent="0.3">
      <c r="J140408"/>
    </row>
    <row r="140409" spans="10:10" x14ac:dyDescent="0.3">
      <c r="J140409"/>
    </row>
    <row r="140410" spans="10:10" x14ac:dyDescent="0.3">
      <c r="J140410"/>
    </row>
    <row r="140411" spans="10:10" x14ac:dyDescent="0.3">
      <c r="J140411"/>
    </row>
    <row r="140412" spans="10:10" x14ac:dyDescent="0.3">
      <c r="J140412"/>
    </row>
    <row r="140413" spans="10:10" x14ac:dyDescent="0.3">
      <c r="J140413"/>
    </row>
    <row r="140414" spans="10:10" x14ac:dyDescent="0.3">
      <c r="J140414"/>
    </row>
    <row r="140415" spans="10:10" x14ac:dyDescent="0.3">
      <c r="J140415"/>
    </row>
    <row r="140416" spans="10:10" x14ac:dyDescent="0.3">
      <c r="J140416"/>
    </row>
    <row r="140417" spans="10:10" x14ac:dyDescent="0.3">
      <c r="J140417"/>
    </row>
    <row r="140418" spans="10:10" x14ac:dyDescent="0.3">
      <c r="J140418"/>
    </row>
    <row r="140419" spans="10:10" x14ac:dyDescent="0.3">
      <c r="J140419"/>
    </row>
    <row r="140420" spans="10:10" x14ac:dyDescent="0.3">
      <c r="J140420"/>
    </row>
    <row r="140421" spans="10:10" x14ac:dyDescent="0.3">
      <c r="J140421"/>
    </row>
    <row r="140422" spans="10:10" x14ac:dyDescent="0.3">
      <c r="J140422"/>
    </row>
    <row r="140423" spans="10:10" x14ac:dyDescent="0.3">
      <c r="J140423"/>
    </row>
    <row r="140424" spans="10:10" x14ac:dyDescent="0.3">
      <c r="J140424"/>
    </row>
    <row r="140425" spans="10:10" x14ac:dyDescent="0.3">
      <c r="J140425"/>
    </row>
    <row r="140426" spans="10:10" x14ac:dyDescent="0.3">
      <c r="J140426"/>
    </row>
    <row r="140427" spans="10:10" x14ac:dyDescent="0.3">
      <c r="J140427"/>
    </row>
    <row r="140428" spans="10:10" x14ac:dyDescent="0.3">
      <c r="J140428"/>
    </row>
    <row r="140429" spans="10:10" x14ac:dyDescent="0.3">
      <c r="J140429"/>
    </row>
    <row r="140430" spans="10:10" x14ac:dyDescent="0.3">
      <c r="J140430"/>
    </row>
    <row r="140431" spans="10:10" x14ac:dyDescent="0.3">
      <c r="J140431"/>
    </row>
    <row r="140432" spans="10:10" x14ac:dyDescent="0.3">
      <c r="J140432"/>
    </row>
    <row r="140433" spans="10:10" x14ac:dyDescent="0.3">
      <c r="J140433"/>
    </row>
    <row r="140434" spans="10:10" x14ac:dyDescent="0.3">
      <c r="J140434"/>
    </row>
    <row r="140435" spans="10:10" x14ac:dyDescent="0.3">
      <c r="J140435"/>
    </row>
    <row r="140436" spans="10:10" x14ac:dyDescent="0.3">
      <c r="J140436"/>
    </row>
    <row r="140437" spans="10:10" x14ac:dyDescent="0.3">
      <c r="J140437"/>
    </row>
    <row r="140438" spans="10:10" x14ac:dyDescent="0.3">
      <c r="J140438"/>
    </row>
    <row r="140439" spans="10:10" x14ac:dyDescent="0.3">
      <c r="J140439"/>
    </row>
    <row r="140440" spans="10:10" x14ac:dyDescent="0.3">
      <c r="J140440"/>
    </row>
    <row r="140441" spans="10:10" x14ac:dyDescent="0.3">
      <c r="J140441"/>
    </row>
    <row r="140442" spans="10:10" x14ac:dyDescent="0.3">
      <c r="J140442"/>
    </row>
    <row r="140443" spans="10:10" x14ac:dyDescent="0.3">
      <c r="J140443"/>
    </row>
    <row r="140444" spans="10:10" x14ac:dyDescent="0.3">
      <c r="J140444"/>
    </row>
    <row r="140445" spans="10:10" x14ac:dyDescent="0.3">
      <c r="J140445"/>
    </row>
    <row r="140446" spans="10:10" x14ac:dyDescent="0.3">
      <c r="J140446"/>
    </row>
    <row r="140447" spans="10:10" x14ac:dyDescent="0.3">
      <c r="J140447"/>
    </row>
    <row r="140448" spans="10:10" x14ac:dyDescent="0.3">
      <c r="J140448"/>
    </row>
    <row r="140449" spans="10:10" x14ac:dyDescent="0.3">
      <c r="J140449"/>
    </row>
    <row r="140450" spans="10:10" x14ac:dyDescent="0.3">
      <c r="J140450"/>
    </row>
    <row r="140451" spans="10:10" x14ac:dyDescent="0.3">
      <c r="J140451"/>
    </row>
    <row r="140452" spans="10:10" x14ac:dyDescent="0.3">
      <c r="J140452"/>
    </row>
    <row r="140453" spans="10:10" x14ac:dyDescent="0.3">
      <c r="J140453"/>
    </row>
    <row r="140454" spans="10:10" x14ac:dyDescent="0.3">
      <c r="J140454"/>
    </row>
    <row r="140455" spans="10:10" x14ac:dyDescent="0.3">
      <c r="J140455"/>
    </row>
    <row r="140456" spans="10:10" x14ac:dyDescent="0.3">
      <c r="J140456"/>
    </row>
    <row r="140457" spans="10:10" x14ac:dyDescent="0.3">
      <c r="J140457"/>
    </row>
    <row r="140458" spans="10:10" x14ac:dyDescent="0.3">
      <c r="J140458"/>
    </row>
    <row r="140459" spans="10:10" x14ac:dyDescent="0.3">
      <c r="J140459"/>
    </row>
    <row r="140460" spans="10:10" x14ac:dyDescent="0.3">
      <c r="J140460"/>
    </row>
    <row r="140461" spans="10:10" x14ac:dyDescent="0.3">
      <c r="J140461"/>
    </row>
    <row r="140462" spans="10:10" x14ac:dyDescent="0.3">
      <c r="J140462"/>
    </row>
    <row r="140463" spans="10:10" x14ac:dyDescent="0.3">
      <c r="J140463"/>
    </row>
    <row r="140464" spans="10:10" x14ac:dyDescent="0.3">
      <c r="J140464"/>
    </row>
    <row r="140465" spans="10:10" x14ac:dyDescent="0.3">
      <c r="J140465"/>
    </row>
    <row r="140466" spans="10:10" x14ac:dyDescent="0.3">
      <c r="J140466"/>
    </row>
    <row r="140467" spans="10:10" x14ac:dyDescent="0.3">
      <c r="J140467"/>
    </row>
    <row r="140468" spans="10:10" x14ac:dyDescent="0.3">
      <c r="J140468"/>
    </row>
    <row r="140469" spans="10:10" x14ac:dyDescent="0.3">
      <c r="J140469"/>
    </row>
    <row r="140470" spans="10:10" x14ac:dyDescent="0.3">
      <c r="J140470"/>
    </row>
    <row r="140471" spans="10:10" x14ac:dyDescent="0.3">
      <c r="J140471"/>
    </row>
    <row r="140472" spans="10:10" x14ac:dyDescent="0.3">
      <c r="J140472"/>
    </row>
    <row r="140473" spans="10:10" x14ac:dyDescent="0.3">
      <c r="J140473"/>
    </row>
    <row r="140474" spans="10:10" x14ac:dyDescent="0.3">
      <c r="J140474"/>
    </row>
    <row r="140475" spans="10:10" x14ac:dyDescent="0.3">
      <c r="J140475"/>
    </row>
    <row r="140476" spans="10:10" x14ac:dyDescent="0.3">
      <c r="J140476"/>
    </row>
    <row r="140477" spans="10:10" x14ac:dyDescent="0.3">
      <c r="J140477"/>
    </row>
    <row r="140478" spans="10:10" x14ac:dyDescent="0.3">
      <c r="J140478"/>
    </row>
    <row r="140479" spans="10:10" x14ac:dyDescent="0.3">
      <c r="J140479"/>
    </row>
    <row r="140480" spans="10:10" x14ac:dyDescent="0.3">
      <c r="J140480"/>
    </row>
    <row r="140481" spans="10:10" x14ac:dyDescent="0.3">
      <c r="J140481"/>
    </row>
    <row r="140482" spans="10:10" x14ac:dyDescent="0.3">
      <c r="J140482"/>
    </row>
    <row r="140483" spans="10:10" x14ac:dyDescent="0.3">
      <c r="J140483"/>
    </row>
    <row r="140484" spans="10:10" x14ac:dyDescent="0.3">
      <c r="J140484"/>
    </row>
    <row r="140485" spans="10:10" x14ac:dyDescent="0.3">
      <c r="J140485"/>
    </row>
    <row r="140486" spans="10:10" x14ac:dyDescent="0.3">
      <c r="J140486"/>
    </row>
    <row r="140487" spans="10:10" x14ac:dyDescent="0.3">
      <c r="J140487"/>
    </row>
    <row r="140488" spans="10:10" x14ac:dyDescent="0.3">
      <c r="J140488"/>
    </row>
    <row r="140489" spans="10:10" x14ac:dyDescent="0.3">
      <c r="J140489"/>
    </row>
    <row r="140490" spans="10:10" x14ac:dyDescent="0.3">
      <c r="J140490"/>
    </row>
    <row r="140491" spans="10:10" x14ac:dyDescent="0.3">
      <c r="J140491"/>
    </row>
    <row r="140492" spans="10:10" x14ac:dyDescent="0.3">
      <c r="J140492"/>
    </row>
    <row r="140493" spans="10:10" x14ac:dyDescent="0.3">
      <c r="J140493"/>
    </row>
    <row r="140494" spans="10:10" x14ac:dyDescent="0.3">
      <c r="J140494"/>
    </row>
    <row r="140495" spans="10:10" x14ac:dyDescent="0.3">
      <c r="J140495"/>
    </row>
    <row r="140496" spans="10:10" x14ac:dyDescent="0.3">
      <c r="J140496"/>
    </row>
    <row r="140497" spans="10:10" x14ac:dyDescent="0.3">
      <c r="J140497"/>
    </row>
    <row r="140498" spans="10:10" x14ac:dyDescent="0.3">
      <c r="J140498"/>
    </row>
    <row r="140499" spans="10:10" x14ac:dyDescent="0.3">
      <c r="J140499"/>
    </row>
    <row r="140500" spans="10:10" x14ac:dyDescent="0.3">
      <c r="J140500"/>
    </row>
    <row r="140501" spans="10:10" x14ac:dyDescent="0.3">
      <c r="J140501"/>
    </row>
    <row r="140502" spans="10:10" x14ac:dyDescent="0.3">
      <c r="J140502"/>
    </row>
    <row r="140503" spans="10:10" x14ac:dyDescent="0.3">
      <c r="J140503"/>
    </row>
    <row r="140504" spans="10:10" x14ac:dyDescent="0.3">
      <c r="J140504"/>
    </row>
    <row r="140505" spans="10:10" x14ac:dyDescent="0.3">
      <c r="J140505"/>
    </row>
    <row r="140506" spans="10:10" x14ac:dyDescent="0.3">
      <c r="J140506"/>
    </row>
    <row r="140507" spans="10:10" x14ac:dyDescent="0.3">
      <c r="J140507"/>
    </row>
    <row r="140508" spans="10:10" x14ac:dyDescent="0.3">
      <c r="J140508"/>
    </row>
    <row r="140509" spans="10:10" x14ac:dyDescent="0.3">
      <c r="J140509"/>
    </row>
    <row r="140510" spans="10:10" x14ac:dyDescent="0.3">
      <c r="J140510"/>
    </row>
    <row r="140511" spans="10:10" x14ac:dyDescent="0.3">
      <c r="J140511"/>
    </row>
    <row r="140512" spans="10:10" x14ac:dyDescent="0.3">
      <c r="J140512"/>
    </row>
    <row r="140513" spans="10:10" x14ac:dyDescent="0.3">
      <c r="J140513"/>
    </row>
    <row r="140514" spans="10:10" x14ac:dyDescent="0.3">
      <c r="J140514"/>
    </row>
    <row r="140515" spans="10:10" x14ac:dyDescent="0.3">
      <c r="J140515"/>
    </row>
    <row r="140516" spans="10:10" x14ac:dyDescent="0.3">
      <c r="J140516"/>
    </row>
    <row r="140517" spans="10:10" x14ac:dyDescent="0.3">
      <c r="J140517"/>
    </row>
    <row r="140518" spans="10:10" x14ac:dyDescent="0.3">
      <c r="J140518"/>
    </row>
    <row r="140519" spans="10:10" x14ac:dyDescent="0.3">
      <c r="J140519"/>
    </row>
    <row r="140520" spans="10:10" x14ac:dyDescent="0.3">
      <c r="J140520"/>
    </row>
    <row r="140521" spans="10:10" x14ac:dyDescent="0.3">
      <c r="J140521"/>
    </row>
    <row r="140522" spans="10:10" x14ac:dyDescent="0.3">
      <c r="J140522"/>
    </row>
    <row r="140523" spans="10:10" x14ac:dyDescent="0.3">
      <c r="J140523"/>
    </row>
    <row r="140524" spans="10:10" x14ac:dyDescent="0.3">
      <c r="J140524"/>
    </row>
    <row r="140525" spans="10:10" x14ac:dyDescent="0.3">
      <c r="J140525"/>
    </row>
    <row r="140526" spans="10:10" x14ac:dyDescent="0.3">
      <c r="J140526"/>
    </row>
    <row r="140527" spans="10:10" x14ac:dyDescent="0.3">
      <c r="J140527"/>
    </row>
    <row r="140528" spans="10:10" x14ac:dyDescent="0.3">
      <c r="J140528"/>
    </row>
    <row r="140529" spans="10:10" x14ac:dyDescent="0.3">
      <c r="J140529"/>
    </row>
    <row r="140530" spans="10:10" x14ac:dyDescent="0.3">
      <c r="J140530"/>
    </row>
    <row r="140531" spans="10:10" x14ac:dyDescent="0.3">
      <c r="J140531"/>
    </row>
    <row r="140532" spans="10:10" x14ac:dyDescent="0.3">
      <c r="J140532"/>
    </row>
    <row r="140533" spans="10:10" x14ac:dyDescent="0.3">
      <c r="J140533"/>
    </row>
    <row r="140534" spans="10:10" x14ac:dyDescent="0.3">
      <c r="J140534"/>
    </row>
    <row r="140535" spans="10:10" x14ac:dyDescent="0.3">
      <c r="J140535"/>
    </row>
    <row r="140536" spans="10:10" x14ac:dyDescent="0.3">
      <c r="J140536"/>
    </row>
    <row r="140537" spans="10:10" x14ac:dyDescent="0.3">
      <c r="J140537"/>
    </row>
    <row r="140538" spans="10:10" x14ac:dyDescent="0.3">
      <c r="J140538"/>
    </row>
    <row r="140539" spans="10:10" x14ac:dyDescent="0.3">
      <c r="J140539"/>
    </row>
    <row r="140540" spans="10:10" x14ac:dyDescent="0.3">
      <c r="J140540"/>
    </row>
    <row r="140541" spans="10:10" x14ac:dyDescent="0.3">
      <c r="J140541"/>
    </row>
    <row r="140542" spans="10:10" x14ac:dyDescent="0.3">
      <c r="J140542"/>
    </row>
    <row r="140543" spans="10:10" x14ac:dyDescent="0.3">
      <c r="J140543"/>
    </row>
    <row r="140544" spans="10:10" x14ac:dyDescent="0.3">
      <c r="J140544"/>
    </row>
    <row r="140545" spans="10:10" x14ac:dyDescent="0.3">
      <c r="J140545"/>
    </row>
    <row r="140546" spans="10:10" x14ac:dyDescent="0.3">
      <c r="J140546"/>
    </row>
    <row r="140547" spans="10:10" x14ac:dyDescent="0.3">
      <c r="J140547"/>
    </row>
    <row r="140548" spans="10:10" x14ac:dyDescent="0.3">
      <c r="J140548"/>
    </row>
    <row r="140549" spans="10:10" x14ac:dyDescent="0.3">
      <c r="J140549"/>
    </row>
    <row r="140550" spans="10:10" x14ac:dyDescent="0.3">
      <c r="J140550"/>
    </row>
    <row r="140551" spans="10:10" x14ac:dyDescent="0.3">
      <c r="J140551"/>
    </row>
    <row r="140552" spans="10:10" x14ac:dyDescent="0.3">
      <c r="J140552"/>
    </row>
    <row r="140553" spans="10:10" x14ac:dyDescent="0.3">
      <c r="J140553"/>
    </row>
    <row r="140554" spans="10:10" x14ac:dyDescent="0.3">
      <c r="J140554"/>
    </row>
    <row r="140555" spans="10:10" x14ac:dyDescent="0.3">
      <c r="J140555"/>
    </row>
    <row r="140556" spans="10:10" x14ac:dyDescent="0.3">
      <c r="J140556"/>
    </row>
    <row r="140557" spans="10:10" x14ac:dyDescent="0.3">
      <c r="J140557"/>
    </row>
    <row r="140558" spans="10:10" x14ac:dyDescent="0.3">
      <c r="J140558"/>
    </row>
    <row r="140559" spans="10:10" x14ac:dyDescent="0.3">
      <c r="J140559"/>
    </row>
    <row r="140560" spans="10:10" x14ac:dyDescent="0.3">
      <c r="J140560"/>
    </row>
    <row r="140561" spans="10:10" x14ac:dyDescent="0.3">
      <c r="J140561"/>
    </row>
    <row r="140562" spans="10:10" x14ac:dyDescent="0.3">
      <c r="J140562"/>
    </row>
    <row r="140563" spans="10:10" x14ac:dyDescent="0.3">
      <c r="J140563"/>
    </row>
    <row r="140564" spans="10:10" x14ac:dyDescent="0.3">
      <c r="J140564"/>
    </row>
    <row r="140565" spans="10:10" x14ac:dyDescent="0.3">
      <c r="J140565"/>
    </row>
    <row r="140566" spans="10:10" x14ac:dyDescent="0.3">
      <c r="J140566"/>
    </row>
    <row r="140567" spans="10:10" x14ac:dyDescent="0.3">
      <c r="J140567"/>
    </row>
    <row r="140568" spans="10:10" x14ac:dyDescent="0.3">
      <c r="J140568"/>
    </row>
    <row r="140569" spans="10:10" x14ac:dyDescent="0.3">
      <c r="J140569"/>
    </row>
    <row r="140570" spans="10:10" x14ac:dyDescent="0.3">
      <c r="J140570"/>
    </row>
    <row r="140571" spans="10:10" x14ac:dyDescent="0.3">
      <c r="J140571"/>
    </row>
    <row r="140572" spans="10:10" x14ac:dyDescent="0.3">
      <c r="J140572"/>
    </row>
    <row r="140573" spans="10:10" x14ac:dyDescent="0.3">
      <c r="J140573"/>
    </row>
    <row r="140574" spans="10:10" x14ac:dyDescent="0.3">
      <c r="J140574"/>
    </row>
    <row r="140575" spans="10:10" x14ac:dyDescent="0.3">
      <c r="J140575"/>
    </row>
    <row r="140576" spans="10:10" x14ac:dyDescent="0.3">
      <c r="J140576"/>
    </row>
    <row r="140577" spans="10:10" x14ac:dyDescent="0.3">
      <c r="J140577"/>
    </row>
    <row r="140578" spans="10:10" x14ac:dyDescent="0.3">
      <c r="J140578"/>
    </row>
    <row r="140579" spans="10:10" x14ac:dyDescent="0.3">
      <c r="J140579"/>
    </row>
    <row r="140580" spans="10:10" x14ac:dyDescent="0.3">
      <c r="J140580"/>
    </row>
    <row r="140581" spans="10:10" x14ac:dyDescent="0.3">
      <c r="J140581"/>
    </row>
    <row r="140582" spans="10:10" x14ac:dyDescent="0.3">
      <c r="J140582"/>
    </row>
    <row r="140583" spans="10:10" x14ac:dyDescent="0.3">
      <c r="J140583"/>
    </row>
    <row r="140584" spans="10:10" x14ac:dyDescent="0.3">
      <c r="J140584"/>
    </row>
    <row r="140585" spans="10:10" x14ac:dyDescent="0.3">
      <c r="J140585"/>
    </row>
    <row r="140586" spans="10:10" x14ac:dyDescent="0.3">
      <c r="J140586"/>
    </row>
    <row r="140587" spans="10:10" x14ac:dyDescent="0.3">
      <c r="J140587"/>
    </row>
    <row r="140588" spans="10:10" x14ac:dyDescent="0.3">
      <c r="J140588"/>
    </row>
    <row r="140589" spans="10:10" x14ac:dyDescent="0.3">
      <c r="J140589"/>
    </row>
    <row r="140590" spans="10:10" x14ac:dyDescent="0.3">
      <c r="J140590"/>
    </row>
    <row r="140591" spans="10:10" x14ac:dyDescent="0.3">
      <c r="J140591"/>
    </row>
    <row r="140592" spans="10:10" x14ac:dyDescent="0.3">
      <c r="J140592"/>
    </row>
    <row r="140593" spans="10:10" x14ac:dyDescent="0.3">
      <c r="J140593"/>
    </row>
    <row r="140594" spans="10:10" x14ac:dyDescent="0.3">
      <c r="J140594"/>
    </row>
    <row r="140595" spans="10:10" x14ac:dyDescent="0.3">
      <c r="J140595"/>
    </row>
    <row r="140596" spans="10:10" x14ac:dyDescent="0.3">
      <c r="J140596"/>
    </row>
    <row r="140597" spans="10:10" x14ac:dyDescent="0.3">
      <c r="J140597"/>
    </row>
    <row r="140598" spans="10:10" x14ac:dyDescent="0.3">
      <c r="J140598"/>
    </row>
    <row r="140599" spans="10:10" x14ac:dyDescent="0.3">
      <c r="J140599"/>
    </row>
    <row r="140600" spans="10:10" x14ac:dyDescent="0.3">
      <c r="J140600"/>
    </row>
    <row r="140601" spans="10:10" x14ac:dyDescent="0.3">
      <c r="J140601"/>
    </row>
    <row r="140602" spans="10:10" x14ac:dyDescent="0.3">
      <c r="J140602"/>
    </row>
    <row r="140603" spans="10:10" x14ac:dyDescent="0.3">
      <c r="J140603"/>
    </row>
    <row r="140604" spans="10:10" x14ac:dyDescent="0.3">
      <c r="J140604"/>
    </row>
    <row r="140605" spans="10:10" x14ac:dyDescent="0.3">
      <c r="J140605"/>
    </row>
    <row r="140606" spans="10:10" x14ac:dyDescent="0.3">
      <c r="J140606"/>
    </row>
    <row r="140607" spans="10:10" x14ac:dyDescent="0.3">
      <c r="J140607"/>
    </row>
    <row r="140608" spans="10:10" x14ac:dyDescent="0.3">
      <c r="J140608"/>
    </row>
    <row r="140609" spans="10:10" x14ac:dyDescent="0.3">
      <c r="J140609"/>
    </row>
    <row r="140610" spans="10:10" x14ac:dyDescent="0.3">
      <c r="J140610"/>
    </row>
    <row r="140611" spans="10:10" x14ac:dyDescent="0.3">
      <c r="J140611"/>
    </row>
    <row r="140612" spans="10:10" x14ac:dyDescent="0.3">
      <c r="J140612"/>
    </row>
    <row r="140613" spans="10:10" x14ac:dyDescent="0.3">
      <c r="J140613"/>
    </row>
    <row r="140614" spans="10:10" x14ac:dyDescent="0.3">
      <c r="J140614"/>
    </row>
    <row r="140615" spans="10:10" x14ac:dyDescent="0.3">
      <c r="J140615"/>
    </row>
    <row r="140616" spans="10:10" x14ac:dyDescent="0.3">
      <c r="J140616"/>
    </row>
    <row r="140617" spans="10:10" x14ac:dyDescent="0.3">
      <c r="J140617"/>
    </row>
    <row r="140618" spans="10:10" x14ac:dyDescent="0.3">
      <c r="J140618"/>
    </row>
    <row r="140619" spans="10:10" x14ac:dyDescent="0.3">
      <c r="J140619"/>
    </row>
    <row r="140620" spans="10:10" x14ac:dyDescent="0.3">
      <c r="J140620"/>
    </row>
    <row r="140621" spans="10:10" x14ac:dyDescent="0.3">
      <c r="J140621"/>
    </row>
    <row r="140622" spans="10:10" x14ac:dyDescent="0.3">
      <c r="J140622"/>
    </row>
    <row r="140623" spans="10:10" x14ac:dyDescent="0.3">
      <c r="J140623"/>
    </row>
    <row r="140624" spans="10:10" x14ac:dyDescent="0.3">
      <c r="J140624"/>
    </row>
    <row r="140625" spans="10:10" x14ac:dyDescent="0.3">
      <c r="J140625"/>
    </row>
    <row r="140626" spans="10:10" x14ac:dyDescent="0.3">
      <c r="J140626"/>
    </row>
    <row r="140627" spans="10:10" x14ac:dyDescent="0.3">
      <c r="J140627"/>
    </row>
    <row r="140628" spans="10:10" x14ac:dyDescent="0.3">
      <c r="J140628"/>
    </row>
    <row r="140629" spans="10:10" x14ac:dyDescent="0.3">
      <c r="J140629"/>
    </row>
    <row r="140630" spans="10:10" x14ac:dyDescent="0.3">
      <c r="J140630"/>
    </row>
    <row r="140631" spans="10:10" x14ac:dyDescent="0.3">
      <c r="J140631"/>
    </row>
    <row r="140632" spans="10:10" x14ac:dyDescent="0.3">
      <c r="J140632"/>
    </row>
    <row r="140633" spans="10:10" x14ac:dyDescent="0.3">
      <c r="J140633"/>
    </row>
    <row r="140634" spans="10:10" x14ac:dyDescent="0.3">
      <c r="J140634"/>
    </row>
    <row r="140635" spans="10:10" x14ac:dyDescent="0.3">
      <c r="J140635"/>
    </row>
    <row r="140636" spans="10:10" x14ac:dyDescent="0.3">
      <c r="J140636"/>
    </row>
    <row r="140637" spans="10:10" x14ac:dyDescent="0.3">
      <c r="J140637"/>
    </row>
    <row r="140638" spans="10:10" x14ac:dyDescent="0.3">
      <c r="J140638"/>
    </row>
    <row r="140639" spans="10:10" x14ac:dyDescent="0.3">
      <c r="J140639"/>
    </row>
    <row r="140640" spans="10:10" x14ac:dyDescent="0.3">
      <c r="J140640"/>
    </row>
    <row r="140641" spans="10:10" x14ac:dyDescent="0.3">
      <c r="J140641"/>
    </row>
    <row r="140642" spans="10:10" x14ac:dyDescent="0.3">
      <c r="J140642"/>
    </row>
    <row r="140643" spans="10:10" x14ac:dyDescent="0.3">
      <c r="J140643"/>
    </row>
    <row r="140644" spans="10:10" x14ac:dyDescent="0.3">
      <c r="J140644"/>
    </row>
    <row r="140645" spans="10:10" x14ac:dyDescent="0.3">
      <c r="J140645"/>
    </row>
    <row r="140646" spans="10:10" x14ac:dyDescent="0.3">
      <c r="J140646"/>
    </row>
    <row r="140647" spans="10:10" x14ac:dyDescent="0.3">
      <c r="J140647"/>
    </row>
    <row r="140648" spans="10:10" x14ac:dyDescent="0.3">
      <c r="J140648"/>
    </row>
    <row r="140649" spans="10:10" x14ac:dyDescent="0.3">
      <c r="J140649"/>
    </row>
    <row r="140650" spans="10:10" x14ac:dyDescent="0.3">
      <c r="J140650"/>
    </row>
    <row r="140651" spans="10:10" x14ac:dyDescent="0.3">
      <c r="J140651"/>
    </row>
    <row r="140652" spans="10:10" x14ac:dyDescent="0.3">
      <c r="J140652"/>
    </row>
    <row r="140653" spans="10:10" x14ac:dyDescent="0.3">
      <c r="J140653"/>
    </row>
    <row r="140654" spans="10:10" x14ac:dyDescent="0.3">
      <c r="J140654"/>
    </row>
    <row r="140655" spans="10:10" x14ac:dyDescent="0.3">
      <c r="J140655"/>
    </row>
    <row r="140656" spans="10:10" x14ac:dyDescent="0.3">
      <c r="J140656"/>
    </row>
    <row r="140657" spans="10:10" x14ac:dyDescent="0.3">
      <c r="J140657"/>
    </row>
    <row r="140658" spans="10:10" x14ac:dyDescent="0.3">
      <c r="J140658"/>
    </row>
    <row r="140659" spans="10:10" x14ac:dyDescent="0.3">
      <c r="J140659"/>
    </row>
    <row r="140660" spans="10:10" x14ac:dyDescent="0.3">
      <c r="J140660"/>
    </row>
    <row r="140661" spans="10:10" x14ac:dyDescent="0.3">
      <c r="J140661"/>
    </row>
    <row r="140662" spans="10:10" x14ac:dyDescent="0.3">
      <c r="J140662"/>
    </row>
    <row r="140663" spans="10:10" x14ac:dyDescent="0.3">
      <c r="J140663"/>
    </row>
    <row r="140664" spans="10:10" x14ac:dyDescent="0.3">
      <c r="J140664"/>
    </row>
    <row r="140665" spans="10:10" x14ac:dyDescent="0.3">
      <c r="J140665"/>
    </row>
    <row r="140666" spans="10:10" x14ac:dyDescent="0.3">
      <c r="J140666"/>
    </row>
    <row r="140667" spans="10:10" x14ac:dyDescent="0.3">
      <c r="J140667"/>
    </row>
    <row r="140668" spans="10:10" x14ac:dyDescent="0.3">
      <c r="J140668"/>
    </row>
    <row r="140669" spans="10:10" x14ac:dyDescent="0.3">
      <c r="J140669"/>
    </row>
    <row r="140670" spans="10:10" x14ac:dyDescent="0.3">
      <c r="J140670"/>
    </row>
    <row r="140671" spans="10:10" x14ac:dyDescent="0.3">
      <c r="J140671"/>
    </row>
    <row r="140672" spans="10:10" x14ac:dyDescent="0.3">
      <c r="J140672"/>
    </row>
    <row r="140673" spans="10:10" x14ac:dyDescent="0.3">
      <c r="J140673"/>
    </row>
    <row r="140674" spans="10:10" x14ac:dyDescent="0.3">
      <c r="J140674"/>
    </row>
    <row r="140675" spans="10:10" x14ac:dyDescent="0.3">
      <c r="J140675"/>
    </row>
    <row r="140676" spans="10:10" x14ac:dyDescent="0.3">
      <c r="J140676"/>
    </row>
    <row r="140677" spans="10:10" x14ac:dyDescent="0.3">
      <c r="J140677"/>
    </row>
    <row r="140678" spans="10:10" x14ac:dyDescent="0.3">
      <c r="J140678"/>
    </row>
    <row r="140679" spans="10:10" x14ac:dyDescent="0.3">
      <c r="J140679"/>
    </row>
    <row r="140680" spans="10:10" x14ac:dyDescent="0.3">
      <c r="J140680"/>
    </row>
    <row r="140681" spans="10:10" x14ac:dyDescent="0.3">
      <c r="J140681"/>
    </row>
    <row r="140682" spans="10:10" x14ac:dyDescent="0.3">
      <c r="J140682"/>
    </row>
    <row r="140683" spans="10:10" x14ac:dyDescent="0.3">
      <c r="J140683"/>
    </row>
    <row r="140684" spans="10:10" x14ac:dyDescent="0.3">
      <c r="J140684"/>
    </row>
    <row r="140685" spans="10:10" x14ac:dyDescent="0.3">
      <c r="J140685"/>
    </row>
    <row r="140686" spans="10:10" x14ac:dyDescent="0.3">
      <c r="J140686"/>
    </row>
    <row r="140687" spans="10:10" x14ac:dyDescent="0.3">
      <c r="J140687"/>
    </row>
    <row r="140688" spans="10:10" x14ac:dyDescent="0.3">
      <c r="J140688"/>
    </row>
    <row r="140689" spans="10:10" x14ac:dyDescent="0.3">
      <c r="J140689"/>
    </row>
    <row r="140690" spans="10:10" x14ac:dyDescent="0.3">
      <c r="J140690"/>
    </row>
    <row r="140691" spans="10:10" x14ac:dyDescent="0.3">
      <c r="J140691"/>
    </row>
    <row r="140692" spans="10:10" x14ac:dyDescent="0.3">
      <c r="J140692"/>
    </row>
    <row r="140693" spans="10:10" x14ac:dyDescent="0.3">
      <c r="J140693"/>
    </row>
    <row r="140694" spans="10:10" x14ac:dyDescent="0.3">
      <c r="J140694"/>
    </row>
    <row r="140695" spans="10:10" x14ac:dyDescent="0.3">
      <c r="J140695"/>
    </row>
    <row r="140696" spans="10:10" x14ac:dyDescent="0.3">
      <c r="J140696"/>
    </row>
    <row r="140697" spans="10:10" x14ac:dyDescent="0.3">
      <c r="J140697"/>
    </row>
    <row r="140698" spans="10:10" x14ac:dyDescent="0.3">
      <c r="J140698"/>
    </row>
    <row r="140699" spans="10:10" x14ac:dyDescent="0.3">
      <c r="J140699"/>
    </row>
    <row r="140700" spans="10:10" x14ac:dyDescent="0.3">
      <c r="J140700"/>
    </row>
    <row r="140701" spans="10:10" x14ac:dyDescent="0.3">
      <c r="J140701"/>
    </row>
    <row r="140702" spans="10:10" x14ac:dyDescent="0.3">
      <c r="J140702"/>
    </row>
    <row r="140703" spans="10:10" x14ac:dyDescent="0.3">
      <c r="J140703"/>
    </row>
    <row r="140704" spans="10:10" x14ac:dyDescent="0.3">
      <c r="J140704"/>
    </row>
    <row r="140705" spans="10:10" x14ac:dyDescent="0.3">
      <c r="J140705"/>
    </row>
    <row r="140706" spans="10:10" x14ac:dyDescent="0.3">
      <c r="J140706"/>
    </row>
    <row r="140707" spans="10:10" x14ac:dyDescent="0.3">
      <c r="J140707"/>
    </row>
    <row r="140708" spans="10:10" x14ac:dyDescent="0.3">
      <c r="J140708"/>
    </row>
    <row r="140709" spans="10:10" x14ac:dyDescent="0.3">
      <c r="J140709"/>
    </row>
    <row r="140710" spans="10:10" x14ac:dyDescent="0.3">
      <c r="J140710"/>
    </row>
    <row r="140711" spans="10:10" x14ac:dyDescent="0.3">
      <c r="J140711"/>
    </row>
    <row r="140712" spans="10:10" x14ac:dyDescent="0.3">
      <c r="J140712"/>
    </row>
    <row r="140713" spans="10:10" x14ac:dyDescent="0.3">
      <c r="J140713"/>
    </row>
    <row r="140714" spans="10:10" x14ac:dyDescent="0.3">
      <c r="J140714"/>
    </row>
    <row r="140715" spans="10:10" x14ac:dyDescent="0.3">
      <c r="J140715"/>
    </row>
    <row r="140716" spans="10:10" x14ac:dyDescent="0.3">
      <c r="J140716"/>
    </row>
    <row r="140717" spans="10:10" x14ac:dyDescent="0.3">
      <c r="J140717"/>
    </row>
    <row r="140718" spans="10:10" x14ac:dyDescent="0.3">
      <c r="J140718"/>
    </row>
    <row r="140719" spans="10:10" x14ac:dyDescent="0.3">
      <c r="J140719"/>
    </row>
    <row r="140720" spans="10:10" x14ac:dyDescent="0.3">
      <c r="J140720"/>
    </row>
    <row r="140721" spans="10:10" x14ac:dyDescent="0.3">
      <c r="J140721"/>
    </row>
    <row r="140722" spans="10:10" x14ac:dyDescent="0.3">
      <c r="J140722"/>
    </row>
    <row r="140723" spans="10:10" x14ac:dyDescent="0.3">
      <c r="J140723"/>
    </row>
    <row r="140724" spans="10:10" x14ac:dyDescent="0.3">
      <c r="J140724"/>
    </row>
    <row r="140725" spans="10:10" x14ac:dyDescent="0.3">
      <c r="J140725"/>
    </row>
    <row r="140726" spans="10:10" x14ac:dyDescent="0.3">
      <c r="J140726"/>
    </row>
    <row r="140727" spans="10:10" x14ac:dyDescent="0.3">
      <c r="J140727"/>
    </row>
    <row r="140728" spans="10:10" x14ac:dyDescent="0.3">
      <c r="J140728"/>
    </row>
    <row r="140729" spans="10:10" x14ac:dyDescent="0.3">
      <c r="J140729"/>
    </row>
    <row r="140730" spans="10:10" x14ac:dyDescent="0.3">
      <c r="J140730"/>
    </row>
    <row r="140731" spans="10:10" x14ac:dyDescent="0.3">
      <c r="J140731"/>
    </row>
    <row r="140732" spans="10:10" x14ac:dyDescent="0.3">
      <c r="J140732"/>
    </row>
    <row r="140733" spans="10:10" x14ac:dyDescent="0.3">
      <c r="J140733"/>
    </row>
    <row r="140734" spans="10:10" x14ac:dyDescent="0.3">
      <c r="J140734"/>
    </row>
    <row r="140735" spans="10:10" x14ac:dyDescent="0.3">
      <c r="J140735"/>
    </row>
    <row r="140736" spans="10:10" x14ac:dyDescent="0.3">
      <c r="J140736"/>
    </row>
    <row r="140737" spans="10:10" x14ac:dyDescent="0.3">
      <c r="J140737"/>
    </row>
    <row r="140738" spans="10:10" x14ac:dyDescent="0.3">
      <c r="J140738"/>
    </row>
    <row r="140739" spans="10:10" x14ac:dyDescent="0.3">
      <c r="J140739"/>
    </row>
    <row r="140740" spans="10:10" x14ac:dyDescent="0.3">
      <c r="J140740"/>
    </row>
    <row r="140741" spans="10:10" x14ac:dyDescent="0.3">
      <c r="J140741"/>
    </row>
    <row r="140742" spans="10:10" x14ac:dyDescent="0.3">
      <c r="J140742"/>
    </row>
    <row r="140743" spans="10:10" x14ac:dyDescent="0.3">
      <c r="J140743"/>
    </row>
    <row r="140744" spans="10:10" x14ac:dyDescent="0.3">
      <c r="J140744"/>
    </row>
    <row r="140745" spans="10:10" x14ac:dyDescent="0.3">
      <c r="J140745"/>
    </row>
    <row r="140746" spans="10:10" x14ac:dyDescent="0.3">
      <c r="J140746"/>
    </row>
    <row r="140747" spans="10:10" x14ac:dyDescent="0.3">
      <c r="J140747"/>
    </row>
    <row r="140748" spans="10:10" x14ac:dyDescent="0.3">
      <c r="J140748"/>
    </row>
    <row r="140749" spans="10:10" x14ac:dyDescent="0.3">
      <c r="J140749"/>
    </row>
    <row r="140750" spans="10:10" x14ac:dyDescent="0.3">
      <c r="J140750"/>
    </row>
    <row r="140751" spans="10:10" x14ac:dyDescent="0.3">
      <c r="J140751"/>
    </row>
    <row r="140752" spans="10:10" x14ac:dyDescent="0.3">
      <c r="J140752"/>
    </row>
    <row r="140753" spans="10:10" x14ac:dyDescent="0.3">
      <c r="J140753"/>
    </row>
    <row r="140754" spans="10:10" x14ac:dyDescent="0.3">
      <c r="J140754"/>
    </row>
    <row r="140755" spans="10:10" x14ac:dyDescent="0.3">
      <c r="J140755"/>
    </row>
    <row r="140756" spans="10:10" x14ac:dyDescent="0.3">
      <c r="J140756"/>
    </row>
    <row r="140757" spans="10:10" x14ac:dyDescent="0.3">
      <c r="J140757"/>
    </row>
    <row r="140758" spans="10:10" x14ac:dyDescent="0.3">
      <c r="J140758"/>
    </row>
    <row r="140759" spans="10:10" x14ac:dyDescent="0.3">
      <c r="J140759"/>
    </row>
    <row r="140760" spans="10:10" x14ac:dyDescent="0.3">
      <c r="J140760"/>
    </row>
    <row r="140761" spans="10:10" x14ac:dyDescent="0.3">
      <c r="J140761"/>
    </row>
    <row r="140762" spans="10:10" x14ac:dyDescent="0.3">
      <c r="J140762"/>
    </row>
    <row r="140763" spans="10:10" x14ac:dyDescent="0.3">
      <c r="J140763"/>
    </row>
    <row r="140764" spans="10:10" x14ac:dyDescent="0.3">
      <c r="J140764"/>
    </row>
    <row r="140765" spans="10:10" x14ac:dyDescent="0.3">
      <c r="J140765"/>
    </row>
    <row r="140766" spans="10:10" x14ac:dyDescent="0.3">
      <c r="J140766"/>
    </row>
    <row r="140767" spans="10:10" x14ac:dyDescent="0.3">
      <c r="J140767"/>
    </row>
    <row r="140768" spans="10:10" x14ac:dyDescent="0.3">
      <c r="J140768"/>
    </row>
    <row r="140769" spans="10:10" x14ac:dyDescent="0.3">
      <c r="J140769"/>
    </row>
    <row r="140770" spans="10:10" x14ac:dyDescent="0.3">
      <c r="J140770"/>
    </row>
    <row r="140771" spans="10:10" x14ac:dyDescent="0.3">
      <c r="J140771"/>
    </row>
    <row r="140772" spans="10:10" x14ac:dyDescent="0.3">
      <c r="J140772"/>
    </row>
    <row r="140773" spans="10:10" x14ac:dyDescent="0.3">
      <c r="J140773"/>
    </row>
    <row r="140774" spans="10:10" x14ac:dyDescent="0.3">
      <c r="J140774"/>
    </row>
    <row r="140775" spans="10:10" x14ac:dyDescent="0.3">
      <c r="J140775"/>
    </row>
    <row r="140776" spans="10:10" x14ac:dyDescent="0.3">
      <c r="J140776"/>
    </row>
    <row r="140777" spans="10:10" x14ac:dyDescent="0.3">
      <c r="J140777"/>
    </row>
    <row r="140778" spans="10:10" x14ac:dyDescent="0.3">
      <c r="J140778"/>
    </row>
    <row r="140779" spans="10:10" x14ac:dyDescent="0.3">
      <c r="J140779"/>
    </row>
    <row r="140780" spans="10:10" x14ac:dyDescent="0.3">
      <c r="J140780"/>
    </row>
    <row r="140781" spans="10:10" x14ac:dyDescent="0.3">
      <c r="J140781"/>
    </row>
    <row r="140782" spans="10:10" x14ac:dyDescent="0.3">
      <c r="J140782"/>
    </row>
    <row r="140783" spans="10:10" x14ac:dyDescent="0.3">
      <c r="J140783"/>
    </row>
    <row r="140784" spans="10:10" x14ac:dyDescent="0.3">
      <c r="J140784"/>
    </row>
    <row r="140785" spans="10:10" x14ac:dyDescent="0.3">
      <c r="J140785"/>
    </row>
    <row r="140786" spans="10:10" x14ac:dyDescent="0.3">
      <c r="J140786"/>
    </row>
    <row r="140787" spans="10:10" x14ac:dyDescent="0.3">
      <c r="J140787"/>
    </row>
    <row r="140788" spans="10:10" x14ac:dyDescent="0.3">
      <c r="J140788"/>
    </row>
    <row r="140789" spans="10:10" x14ac:dyDescent="0.3">
      <c r="J140789"/>
    </row>
    <row r="140790" spans="10:10" x14ac:dyDescent="0.3">
      <c r="J140790"/>
    </row>
    <row r="140791" spans="10:10" x14ac:dyDescent="0.3">
      <c r="J140791"/>
    </row>
    <row r="140792" spans="10:10" x14ac:dyDescent="0.3">
      <c r="J140792"/>
    </row>
    <row r="140793" spans="10:10" x14ac:dyDescent="0.3">
      <c r="J140793"/>
    </row>
    <row r="140794" spans="10:10" x14ac:dyDescent="0.3">
      <c r="J140794"/>
    </row>
    <row r="140795" spans="10:10" x14ac:dyDescent="0.3">
      <c r="J140795"/>
    </row>
    <row r="140796" spans="10:10" x14ac:dyDescent="0.3">
      <c r="J140796"/>
    </row>
    <row r="140797" spans="10:10" x14ac:dyDescent="0.3">
      <c r="J140797"/>
    </row>
    <row r="140798" spans="10:10" x14ac:dyDescent="0.3">
      <c r="J140798"/>
    </row>
    <row r="140799" spans="10:10" x14ac:dyDescent="0.3">
      <c r="J140799"/>
    </row>
    <row r="140800" spans="10:10" x14ac:dyDescent="0.3">
      <c r="J140800"/>
    </row>
    <row r="140801" spans="10:10" x14ac:dyDescent="0.3">
      <c r="J140801"/>
    </row>
    <row r="140802" spans="10:10" x14ac:dyDescent="0.3">
      <c r="J140802"/>
    </row>
    <row r="140803" spans="10:10" x14ac:dyDescent="0.3">
      <c r="J140803"/>
    </row>
    <row r="140804" spans="10:10" x14ac:dyDescent="0.3">
      <c r="J140804"/>
    </row>
    <row r="140805" spans="10:10" x14ac:dyDescent="0.3">
      <c r="J140805"/>
    </row>
    <row r="140806" spans="10:10" x14ac:dyDescent="0.3">
      <c r="J140806"/>
    </row>
    <row r="140807" spans="10:10" x14ac:dyDescent="0.3">
      <c r="J140807"/>
    </row>
    <row r="140808" spans="10:10" x14ac:dyDescent="0.3">
      <c r="J140808"/>
    </row>
    <row r="140809" spans="10:10" x14ac:dyDescent="0.3">
      <c r="J140809"/>
    </row>
    <row r="140810" spans="10:10" x14ac:dyDescent="0.3">
      <c r="J140810"/>
    </row>
    <row r="140811" spans="10:10" x14ac:dyDescent="0.3">
      <c r="J140811"/>
    </row>
    <row r="140812" spans="10:10" x14ac:dyDescent="0.3">
      <c r="J140812"/>
    </row>
    <row r="140813" spans="10:10" x14ac:dyDescent="0.3">
      <c r="J140813"/>
    </row>
    <row r="140814" spans="10:10" x14ac:dyDescent="0.3">
      <c r="J140814"/>
    </row>
    <row r="140815" spans="10:10" x14ac:dyDescent="0.3">
      <c r="J140815"/>
    </row>
    <row r="140816" spans="10:10" x14ac:dyDescent="0.3">
      <c r="J140816"/>
    </row>
    <row r="140817" spans="10:10" x14ac:dyDescent="0.3">
      <c r="J140817"/>
    </row>
    <row r="140818" spans="10:10" x14ac:dyDescent="0.3">
      <c r="J140818"/>
    </row>
    <row r="140819" spans="10:10" x14ac:dyDescent="0.3">
      <c r="J140819"/>
    </row>
    <row r="140820" spans="10:10" x14ac:dyDescent="0.3">
      <c r="J140820"/>
    </row>
    <row r="140821" spans="10:10" x14ac:dyDescent="0.3">
      <c r="J140821"/>
    </row>
    <row r="140822" spans="10:10" x14ac:dyDescent="0.3">
      <c r="J140822"/>
    </row>
    <row r="140823" spans="10:10" x14ac:dyDescent="0.3">
      <c r="J140823"/>
    </row>
    <row r="140824" spans="10:10" x14ac:dyDescent="0.3">
      <c r="J140824"/>
    </row>
    <row r="140825" spans="10:10" x14ac:dyDescent="0.3">
      <c r="J140825"/>
    </row>
    <row r="140826" spans="10:10" x14ac:dyDescent="0.3">
      <c r="J140826"/>
    </row>
    <row r="140827" spans="10:10" x14ac:dyDescent="0.3">
      <c r="J140827"/>
    </row>
    <row r="140828" spans="10:10" x14ac:dyDescent="0.3">
      <c r="J140828"/>
    </row>
    <row r="140829" spans="10:10" x14ac:dyDescent="0.3">
      <c r="J140829"/>
    </row>
    <row r="140830" spans="10:10" x14ac:dyDescent="0.3">
      <c r="J140830"/>
    </row>
    <row r="140831" spans="10:10" x14ac:dyDescent="0.3">
      <c r="J140831"/>
    </row>
    <row r="140832" spans="10:10" x14ac:dyDescent="0.3">
      <c r="J140832"/>
    </row>
    <row r="140833" spans="10:10" x14ac:dyDescent="0.3">
      <c r="J140833"/>
    </row>
    <row r="140834" spans="10:10" x14ac:dyDescent="0.3">
      <c r="J140834"/>
    </row>
    <row r="140835" spans="10:10" x14ac:dyDescent="0.3">
      <c r="J140835"/>
    </row>
    <row r="140836" spans="10:10" x14ac:dyDescent="0.3">
      <c r="J140836"/>
    </row>
    <row r="140837" spans="10:10" x14ac:dyDescent="0.3">
      <c r="J140837"/>
    </row>
    <row r="140838" spans="10:10" x14ac:dyDescent="0.3">
      <c r="J140838"/>
    </row>
    <row r="140839" spans="10:10" x14ac:dyDescent="0.3">
      <c r="J140839"/>
    </row>
    <row r="140840" spans="10:10" x14ac:dyDescent="0.3">
      <c r="J140840"/>
    </row>
    <row r="140841" spans="10:10" x14ac:dyDescent="0.3">
      <c r="J140841"/>
    </row>
    <row r="140842" spans="10:10" x14ac:dyDescent="0.3">
      <c r="J140842"/>
    </row>
    <row r="140843" spans="10:10" x14ac:dyDescent="0.3">
      <c r="J140843"/>
    </row>
    <row r="140844" spans="10:10" x14ac:dyDescent="0.3">
      <c r="J140844"/>
    </row>
    <row r="140845" spans="10:10" x14ac:dyDescent="0.3">
      <c r="J140845"/>
    </row>
    <row r="140846" spans="10:10" x14ac:dyDescent="0.3">
      <c r="J140846"/>
    </row>
    <row r="140847" spans="10:10" x14ac:dyDescent="0.3">
      <c r="J140847"/>
    </row>
    <row r="140848" spans="10:10" x14ac:dyDescent="0.3">
      <c r="J140848"/>
    </row>
    <row r="140849" spans="10:10" x14ac:dyDescent="0.3">
      <c r="J140849"/>
    </row>
    <row r="140850" spans="10:10" x14ac:dyDescent="0.3">
      <c r="J140850"/>
    </row>
    <row r="140851" spans="10:10" x14ac:dyDescent="0.3">
      <c r="J140851"/>
    </row>
    <row r="140852" spans="10:10" x14ac:dyDescent="0.3">
      <c r="J140852"/>
    </row>
    <row r="140853" spans="10:10" x14ac:dyDescent="0.3">
      <c r="J140853"/>
    </row>
    <row r="140854" spans="10:10" x14ac:dyDescent="0.3">
      <c r="J140854"/>
    </row>
    <row r="140855" spans="10:10" x14ac:dyDescent="0.3">
      <c r="J140855"/>
    </row>
    <row r="140856" spans="10:10" x14ac:dyDescent="0.3">
      <c r="J140856"/>
    </row>
    <row r="140857" spans="10:10" x14ac:dyDescent="0.3">
      <c r="J140857"/>
    </row>
    <row r="140858" spans="10:10" x14ac:dyDescent="0.3">
      <c r="J140858"/>
    </row>
    <row r="140859" spans="10:10" x14ac:dyDescent="0.3">
      <c r="J140859"/>
    </row>
    <row r="140860" spans="10:10" x14ac:dyDescent="0.3">
      <c r="J140860"/>
    </row>
    <row r="140861" spans="10:10" x14ac:dyDescent="0.3">
      <c r="J140861"/>
    </row>
    <row r="140862" spans="10:10" x14ac:dyDescent="0.3">
      <c r="J140862"/>
    </row>
    <row r="140863" spans="10:10" x14ac:dyDescent="0.3">
      <c r="J140863"/>
    </row>
    <row r="140864" spans="10:10" x14ac:dyDescent="0.3">
      <c r="J140864"/>
    </row>
    <row r="140865" spans="10:10" x14ac:dyDescent="0.3">
      <c r="J140865"/>
    </row>
    <row r="140866" spans="10:10" x14ac:dyDescent="0.3">
      <c r="J140866"/>
    </row>
    <row r="140867" spans="10:10" x14ac:dyDescent="0.3">
      <c r="J140867"/>
    </row>
    <row r="140868" spans="10:10" x14ac:dyDescent="0.3">
      <c r="J140868"/>
    </row>
    <row r="140869" spans="10:10" x14ac:dyDescent="0.3">
      <c r="J140869"/>
    </row>
    <row r="140870" spans="10:10" x14ac:dyDescent="0.3">
      <c r="J140870"/>
    </row>
    <row r="140871" spans="10:10" x14ac:dyDescent="0.3">
      <c r="J140871"/>
    </row>
    <row r="140872" spans="10:10" x14ac:dyDescent="0.3">
      <c r="J140872"/>
    </row>
    <row r="140873" spans="10:10" x14ac:dyDescent="0.3">
      <c r="J140873"/>
    </row>
    <row r="140874" spans="10:10" x14ac:dyDescent="0.3">
      <c r="J140874"/>
    </row>
    <row r="140875" spans="10:10" x14ac:dyDescent="0.3">
      <c r="J140875"/>
    </row>
    <row r="140876" spans="10:10" x14ac:dyDescent="0.3">
      <c r="J140876"/>
    </row>
    <row r="140877" spans="10:10" x14ac:dyDescent="0.3">
      <c r="J140877"/>
    </row>
    <row r="140878" spans="10:10" x14ac:dyDescent="0.3">
      <c r="J140878"/>
    </row>
    <row r="140879" spans="10:10" x14ac:dyDescent="0.3">
      <c r="J140879"/>
    </row>
    <row r="140880" spans="10:10" x14ac:dyDescent="0.3">
      <c r="J140880"/>
    </row>
    <row r="140881" spans="10:10" x14ac:dyDescent="0.3">
      <c r="J140881"/>
    </row>
    <row r="140882" spans="10:10" x14ac:dyDescent="0.3">
      <c r="J140882"/>
    </row>
    <row r="140883" spans="10:10" x14ac:dyDescent="0.3">
      <c r="J140883"/>
    </row>
    <row r="140884" spans="10:10" x14ac:dyDescent="0.3">
      <c r="J140884"/>
    </row>
    <row r="140885" spans="10:10" x14ac:dyDescent="0.3">
      <c r="J140885"/>
    </row>
    <row r="140886" spans="10:10" x14ac:dyDescent="0.3">
      <c r="J140886"/>
    </row>
    <row r="140887" spans="10:10" x14ac:dyDescent="0.3">
      <c r="J140887"/>
    </row>
    <row r="140888" spans="10:10" x14ac:dyDescent="0.3">
      <c r="J140888"/>
    </row>
    <row r="140889" spans="10:10" x14ac:dyDescent="0.3">
      <c r="J140889"/>
    </row>
    <row r="140890" spans="10:10" x14ac:dyDescent="0.3">
      <c r="J140890"/>
    </row>
    <row r="140891" spans="10:10" x14ac:dyDescent="0.3">
      <c r="J140891"/>
    </row>
    <row r="140892" spans="10:10" x14ac:dyDescent="0.3">
      <c r="J140892"/>
    </row>
    <row r="140893" spans="10:10" x14ac:dyDescent="0.3">
      <c r="J140893"/>
    </row>
    <row r="140894" spans="10:10" x14ac:dyDescent="0.3">
      <c r="J140894"/>
    </row>
    <row r="140895" spans="10:10" x14ac:dyDescent="0.3">
      <c r="J140895"/>
    </row>
    <row r="140896" spans="10:10" x14ac:dyDescent="0.3">
      <c r="J140896"/>
    </row>
    <row r="140897" spans="10:10" x14ac:dyDescent="0.3">
      <c r="J140897"/>
    </row>
    <row r="140898" spans="10:10" x14ac:dyDescent="0.3">
      <c r="J140898"/>
    </row>
    <row r="140899" spans="10:10" x14ac:dyDescent="0.3">
      <c r="J140899"/>
    </row>
    <row r="140900" spans="10:10" x14ac:dyDescent="0.3">
      <c r="J140900"/>
    </row>
    <row r="140901" spans="10:10" x14ac:dyDescent="0.3">
      <c r="J140901"/>
    </row>
    <row r="140902" spans="10:10" x14ac:dyDescent="0.3">
      <c r="J140902"/>
    </row>
    <row r="140903" spans="10:10" x14ac:dyDescent="0.3">
      <c r="J140903"/>
    </row>
    <row r="140904" spans="10:10" x14ac:dyDescent="0.3">
      <c r="J140904"/>
    </row>
    <row r="140905" spans="10:10" x14ac:dyDescent="0.3">
      <c r="J140905"/>
    </row>
    <row r="140906" spans="10:10" x14ac:dyDescent="0.3">
      <c r="J140906"/>
    </row>
    <row r="140907" spans="10:10" x14ac:dyDescent="0.3">
      <c r="J140907"/>
    </row>
    <row r="140908" spans="10:10" x14ac:dyDescent="0.3">
      <c r="J140908"/>
    </row>
    <row r="140909" spans="10:10" x14ac:dyDescent="0.3">
      <c r="J140909"/>
    </row>
    <row r="140910" spans="10:10" x14ac:dyDescent="0.3">
      <c r="J140910"/>
    </row>
    <row r="140911" spans="10:10" x14ac:dyDescent="0.3">
      <c r="J140911"/>
    </row>
    <row r="140912" spans="10:10" x14ac:dyDescent="0.3">
      <c r="J140912"/>
    </row>
    <row r="140913" spans="10:10" x14ac:dyDescent="0.3">
      <c r="J140913"/>
    </row>
    <row r="140914" spans="10:10" x14ac:dyDescent="0.3">
      <c r="J140914"/>
    </row>
    <row r="140915" spans="10:10" x14ac:dyDescent="0.3">
      <c r="J140915"/>
    </row>
    <row r="140916" spans="10:10" x14ac:dyDescent="0.3">
      <c r="J140916"/>
    </row>
    <row r="140917" spans="10:10" x14ac:dyDescent="0.3">
      <c r="J140917"/>
    </row>
    <row r="140918" spans="10:10" x14ac:dyDescent="0.3">
      <c r="J140918"/>
    </row>
    <row r="140919" spans="10:10" x14ac:dyDescent="0.3">
      <c r="J140919"/>
    </row>
    <row r="140920" spans="10:10" x14ac:dyDescent="0.3">
      <c r="J140920"/>
    </row>
    <row r="140921" spans="10:10" x14ac:dyDescent="0.3">
      <c r="J140921"/>
    </row>
    <row r="140922" spans="10:10" x14ac:dyDescent="0.3">
      <c r="J140922"/>
    </row>
    <row r="140923" spans="10:10" x14ac:dyDescent="0.3">
      <c r="J140923"/>
    </row>
    <row r="140924" spans="10:10" x14ac:dyDescent="0.3">
      <c r="J140924"/>
    </row>
    <row r="140925" spans="10:10" x14ac:dyDescent="0.3">
      <c r="J140925"/>
    </row>
    <row r="140926" spans="10:10" x14ac:dyDescent="0.3">
      <c r="J140926"/>
    </row>
    <row r="140927" spans="10:10" x14ac:dyDescent="0.3">
      <c r="J140927"/>
    </row>
    <row r="140928" spans="10:10" x14ac:dyDescent="0.3">
      <c r="J140928"/>
    </row>
    <row r="140929" spans="10:10" x14ac:dyDescent="0.3">
      <c r="J140929"/>
    </row>
    <row r="140930" spans="10:10" x14ac:dyDescent="0.3">
      <c r="J140930"/>
    </row>
    <row r="140931" spans="10:10" x14ac:dyDescent="0.3">
      <c r="J140931"/>
    </row>
    <row r="140932" spans="10:10" x14ac:dyDescent="0.3">
      <c r="J140932"/>
    </row>
    <row r="140933" spans="10:10" x14ac:dyDescent="0.3">
      <c r="J140933"/>
    </row>
    <row r="140934" spans="10:10" x14ac:dyDescent="0.3">
      <c r="J140934"/>
    </row>
    <row r="140935" spans="10:10" x14ac:dyDescent="0.3">
      <c r="J140935"/>
    </row>
    <row r="140936" spans="10:10" x14ac:dyDescent="0.3">
      <c r="J140936"/>
    </row>
    <row r="140937" spans="10:10" x14ac:dyDescent="0.3">
      <c r="J140937"/>
    </row>
    <row r="140938" spans="10:10" x14ac:dyDescent="0.3">
      <c r="J140938"/>
    </row>
    <row r="140939" spans="10:10" x14ac:dyDescent="0.3">
      <c r="J140939"/>
    </row>
    <row r="140940" spans="10:10" x14ac:dyDescent="0.3">
      <c r="J140940"/>
    </row>
    <row r="140941" spans="10:10" x14ac:dyDescent="0.3">
      <c r="J140941"/>
    </row>
    <row r="140942" spans="10:10" x14ac:dyDescent="0.3">
      <c r="J140942"/>
    </row>
    <row r="140943" spans="10:10" x14ac:dyDescent="0.3">
      <c r="J140943"/>
    </row>
    <row r="140944" spans="10:10" x14ac:dyDescent="0.3">
      <c r="J140944"/>
    </row>
    <row r="140945" spans="10:10" x14ac:dyDescent="0.3">
      <c r="J140945"/>
    </row>
    <row r="140946" spans="10:10" x14ac:dyDescent="0.3">
      <c r="J140946"/>
    </row>
    <row r="140947" spans="10:10" x14ac:dyDescent="0.3">
      <c r="J140947"/>
    </row>
    <row r="140948" spans="10:10" x14ac:dyDescent="0.3">
      <c r="J140948"/>
    </row>
    <row r="140949" spans="10:10" x14ac:dyDescent="0.3">
      <c r="J140949"/>
    </row>
    <row r="140950" spans="10:10" x14ac:dyDescent="0.3">
      <c r="J140950"/>
    </row>
    <row r="140951" spans="10:10" x14ac:dyDescent="0.3">
      <c r="J140951"/>
    </row>
    <row r="140952" spans="10:10" x14ac:dyDescent="0.3">
      <c r="J140952"/>
    </row>
    <row r="140953" spans="10:10" x14ac:dyDescent="0.3">
      <c r="J140953"/>
    </row>
    <row r="140954" spans="10:10" x14ac:dyDescent="0.3">
      <c r="J140954"/>
    </row>
    <row r="140955" spans="10:10" x14ac:dyDescent="0.3">
      <c r="J140955"/>
    </row>
    <row r="140956" spans="10:10" x14ac:dyDescent="0.3">
      <c r="J140956"/>
    </row>
    <row r="140957" spans="10:10" x14ac:dyDescent="0.3">
      <c r="J140957"/>
    </row>
    <row r="140958" spans="10:10" x14ac:dyDescent="0.3">
      <c r="J140958"/>
    </row>
    <row r="140959" spans="10:10" x14ac:dyDescent="0.3">
      <c r="J140959"/>
    </row>
    <row r="140960" spans="10:10" x14ac:dyDescent="0.3">
      <c r="J140960"/>
    </row>
    <row r="140961" spans="10:10" x14ac:dyDescent="0.3">
      <c r="J140961"/>
    </row>
    <row r="140962" spans="10:10" x14ac:dyDescent="0.3">
      <c r="J140962"/>
    </row>
    <row r="140963" spans="10:10" x14ac:dyDescent="0.3">
      <c r="J140963"/>
    </row>
    <row r="140964" spans="10:10" x14ac:dyDescent="0.3">
      <c r="J140964"/>
    </row>
    <row r="140965" spans="10:10" x14ac:dyDescent="0.3">
      <c r="J140965"/>
    </row>
    <row r="140966" spans="10:10" x14ac:dyDescent="0.3">
      <c r="J140966"/>
    </row>
    <row r="140967" spans="10:10" x14ac:dyDescent="0.3">
      <c r="J140967"/>
    </row>
    <row r="140968" spans="10:10" x14ac:dyDescent="0.3">
      <c r="J140968"/>
    </row>
    <row r="140969" spans="10:10" x14ac:dyDescent="0.3">
      <c r="J140969"/>
    </row>
    <row r="140970" spans="10:10" x14ac:dyDescent="0.3">
      <c r="J140970"/>
    </row>
    <row r="140971" spans="10:10" x14ac:dyDescent="0.3">
      <c r="J140971"/>
    </row>
    <row r="140972" spans="10:10" x14ac:dyDescent="0.3">
      <c r="J140972"/>
    </row>
    <row r="140973" spans="10:10" x14ac:dyDescent="0.3">
      <c r="J140973"/>
    </row>
    <row r="140974" spans="10:10" x14ac:dyDescent="0.3">
      <c r="J140974"/>
    </row>
    <row r="140975" spans="10:10" x14ac:dyDescent="0.3">
      <c r="J140975"/>
    </row>
    <row r="140976" spans="10:10" x14ac:dyDescent="0.3">
      <c r="J140976"/>
    </row>
    <row r="140977" spans="10:10" x14ac:dyDescent="0.3">
      <c r="J140977"/>
    </row>
    <row r="140978" spans="10:10" x14ac:dyDescent="0.3">
      <c r="J140978"/>
    </row>
    <row r="140979" spans="10:10" x14ac:dyDescent="0.3">
      <c r="J140979"/>
    </row>
    <row r="140980" spans="10:10" x14ac:dyDescent="0.3">
      <c r="J140980"/>
    </row>
    <row r="140981" spans="10:10" x14ac:dyDescent="0.3">
      <c r="J140981"/>
    </row>
    <row r="140982" spans="10:10" x14ac:dyDescent="0.3">
      <c r="J140982"/>
    </row>
    <row r="140983" spans="10:10" x14ac:dyDescent="0.3">
      <c r="J140983"/>
    </row>
    <row r="140984" spans="10:10" x14ac:dyDescent="0.3">
      <c r="J140984"/>
    </row>
    <row r="140985" spans="10:10" x14ac:dyDescent="0.3">
      <c r="J140985"/>
    </row>
    <row r="140986" spans="10:10" x14ac:dyDescent="0.3">
      <c r="J140986"/>
    </row>
    <row r="140987" spans="10:10" x14ac:dyDescent="0.3">
      <c r="J140987"/>
    </row>
    <row r="140988" spans="10:10" x14ac:dyDescent="0.3">
      <c r="J140988"/>
    </row>
    <row r="140989" spans="10:10" x14ac:dyDescent="0.3">
      <c r="J140989"/>
    </row>
    <row r="140990" spans="10:10" x14ac:dyDescent="0.3">
      <c r="J140990"/>
    </row>
    <row r="140991" spans="10:10" x14ac:dyDescent="0.3">
      <c r="J140991"/>
    </row>
    <row r="140992" spans="10:10" x14ac:dyDescent="0.3">
      <c r="J140992"/>
    </row>
    <row r="140993" spans="10:10" x14ac:dyDescent="0.3">
      <c r="J140993"/>
    </row>
    <row r="140994" spans="10:10" x14ac:dyDescent="0.3">
      <c r="J140994"/>
    </row>
    <row r="140995" spans="10:10" x14ac:dyDescent="0.3">
      <c r="J140995"/>
    </row>
    <row r="140996" spans="10:10" x14ac:dyDescent="0.3">
      <c r="J140996"/>
    </row>
    <row r="140997" spans="10:10" x14ac:dyDescent="0.3">
      <c r="J140997"/>
    </row>
    <row r="140998" spans="10:10" x14ac:dyDescent="0.3">
      <c r="J140998"/>
    </row>
    <row r="140999" spans="10:10" x14ac:dyDescent="0.3">
      <c r="J140999"/>
    </row>
    <row r="141000" spans="10:10" x14ac:dyDescent="0.3">
      <c r="J141000"/>
    </row>
    <row r="141001" spans="10:10" x14ac:dyDescent="0.3">
      <c r="J141001"/>
    </row>
    <row r="141002" spans="10:10" x14ac:dyDescent="0.3">
      <c r="J141002"/>
    </row>
    <row r="141003" spans="10:10" x14ac:dyDescent="0.3">
      <c r="J141003"/>
    </row>
    <row r="141004" spans="10:10" x14ac:dyDescent="0.3">
      <c r="J141004"/>
    </row>
    <row r="141005" spans="10:10" x14ac:dyDescent="0.3">
      <c r="J141005"/>
    </row>
    <row r="141006" spans="10:10" x14ac:dyDescent="0.3">
      <c r="J141006"/>
    </row>
    <row r="141007" spans="10:10" x14ac:dyDescent="0.3">
      <c r="J141007"/>
    </row>
    <row r="141008" spans="10:10" x14ac:dyDescent="0.3">
      <c r="J141008"/>
    </row>
    <row r="141009" spans="10:10" x14ac:dyDescent="0.3">
      <c r="J141009"/>
    </row>
    <row r="141010" spans="10:10" x14ac:dyDescent="0.3">
      <c r="J141010"/>
    </row>
    <row r="141011" spans="10:10" x14ac:dyDescent="0.3">
      <c r="J141011"/>
    </row>
    <row r="141012" spans="10:10" x14ac:dyDescent="0.3">
      <c r="J141012"/>
    </row>
    <row r="141013" spans="10:10" x14ac:dyDescent="0.3">
      <c r="J141013"/>
    </row>
    <row r="141014" spans="10:10" x14ac:dyDescent="0.3">
      <c r="J141014"/>
    </row>
    <row r="141015" spans="10:10" x14ac:dyDescent="0.3">
      <c r="J141015"/>
    </row>
    <row r="141016" spans="10:10" x14ac:dyDescent="0.3">
      <c r="J141016"/>
    </row>
    <row r="141017" spans="10:10" x14ac:dyDescent="0.3">
      <c r="J141017"/>
    </row>
    <row r="141018" spans="10:10" x14ac:dyDescent="0.3">
      <c r="J141018"/>
    </row>
    <row r="141019" spans="10:10" x14ac:dyDescent="0.3">
      <c r="J141019"/>
    </row>
    <row r="141020" spans="10:10" x14ac:dyDescent="0.3">
      <c r="J141020"/>
    </row>
    <row r="141021" spans="10:10" x14ac:dyDescent="0.3">
      <c r="J141021"/>
    </row>
    <row r="141022" spans="10:10" x14ac:dyDescent="0.3">
      <c r="J141022"/>
    </row>
    <row r="141023" spans="10:10" x14ac:dyDescent="0.3">
      <c r="J141023"/>
    </row>
    <row r="141024" spans="10:10" x14ac:dyDescent="0.3">
      <c r="J141024"/>
    </row>
    <row r="141025" spans="10:10" x14ac:dyDescent="0.3">
      <c r="J141025"/>
    </row>
    <row r="141026" spans="10:10" x14ac:dyDescent="0.3">
      <c r="J141026"/>
    </row>
    <row r="141027" spans="10:10" x14ac:dyDescent="0.3">
      <c r="J141027"/>
    </row>
    <row r="141028" spans="10:10" x14ac:dyDescent="0.3">
      <c r="J141028"/>
    </row>
    <row r="141029" spans="10:10" x14ac:dyDescent="0.3">
      <c r="J141029"/>
    </row>
    <row r="141030" spans="10:10" x14ac:dyDescent="0.3">
      <c r="J141030"/>
    </row>
    <row r="141031" spans="10:10" x14ac:dyDescent="0.3">
      <c r="J141031"/>
    </row>
    <row r="141032" spans="10:10" x14ac:dyDescent="0.3">
      <c r="J141032"/>
    </row>
    <row r="141033" spans="10:10" x14ac:dyDescent="0.3">
      <c r="J141033"/>
    </row>
    <row r="141034" spans="10:10" x14ac:dyDescent="0.3">
      <c r="J141034"/>
    </row>
    <row r="141035" spans="10:10" x14ac:dyDescent="0.3">
      <c r="J141035"/>
    </row>
    <row r="141036" spans="10:10" x14ac:dyDescent="0.3">
      <c r="J141036"/>
    </row>
    <row r="141037" spans="10:10" x14ac:dyDescent="0.3">
      <c r="J141037"/>
    </row>
    <row r="141038" spans="10:10" x14ac:dyDescent="0.3">
      <c r="J141038"/>
    </row>
    <row r="141039" spans="10:10" x14ac:dyDescent="0.3">
      <c r="J141039"/>
    </row>
    <row r="141040" spans="10:10" x14ac:dyDescent="0.3">
      <c r="J141040"/>
    </row>
    <row r="141041" spans="10:10" x14ac:dyDescent="0.3">
      <c r="J141041"/>
    </row>
    <row r="141042" spans="10:10" x14ac:dyDescent="0.3">
      <c r="J141042"/>
    </row>
    <row r="141043" spans="10:10" x14ac:dyDescent="0.3">
      <c r="J141043"/>
    </row>
    <row r="141044" spans="10:10" x14ac:dyDescent="0.3">
      <c r="J141044"/>
    </row>
    <row r="141045" spans="10:10" x14ac:dyDescent="0.3">
      <c r="J141045"/>
    </row>
    <row r="141046" spans="10:10" x14ac:dyDescent="0.3">
      <c r="J141046"/>
    </row>
    <row r="141047" spans="10:10" x14ac:dyDescent="0.3">
      <c r="J141047"/>
    </row>
    <row r="141048" spans="10:10" x14ac:dyDescent="0.3">
      <c r="J141048"/>
    </row>
    <row r="141049" spans="10:10" x14ac:dyDescent="0.3">
      <c r="J141049"/>
    </row>
    <row r="141050" spans="10:10" x14ac:dyDescent="0.3">
      <c r="J141050"/>
    </row>
    <row r="141051" spans="10:10" x14ac:dyDescent="0.3">
      <c r="J141051"/>
    </row>
    <row r="141052" spans="10:10" x14ac:dyDescent="0.3">
      <c r="J141052"/>
    </row>
    <row r="141053" spans="10:10" x14ac:dyDescent="0.3">
      <c r="J141053"/>
    </row>
    <row r="141054" spans="10:10" x14ac:dyDescent="0.3">
      <c r="J141054"/>
    </row>
    <row r="141055" spans="10:10" x14ac:dyDescent="0.3">
      <c r="J141055"/>
    </row>
    <row r="141056" spans="10:10" x14ac:dyDescent="0.3">
      <c r="J141056"/>
    </row>
    <row r="141057" spans="10:10" x14ac:dyDescent="0.3">
      <c r="J141057"/>
    </row>
    <row r="141058" spans="10:10" x14ac:dyDescent="0.3">
      <c r="J141058"/>
    </row>
    <row r="141059" spans="10:10" x14ac:dyDescent="0.3">
      <c r="J141059"/>
    </row>
    <row r="141060" spans="10:10" x14ac:dyDescent="0.3">
      <c r="J141060"/>
    </row>
    <row r="141061" spans="10:10" x14ac:dyDescent="0.3">
      <c r="J141061"/>
    </row>
    <row r="141062" spans="10:10" x14ac:dyDescent="0.3">
      <c r="J141062"/>
    </row>
    <row r="141063" spans="10:10" x14ac:dyDescent="0.3">
      <c r="J141063"/>
    </row>
    <row r="141064" spans="10:10" x14ac:dyDescent="0.3">
      <c r="J141064"/>
    </row>
    <row r="141065" spans="10:10" x14ac:dyDescent="0.3">
      <c r="J141065"/>
    </row>
    <row r="141066" spans="10:10" x14ac:dyDescent="0.3">
      <c r="J141066"/>
    </row>
    <row r="141067" spans="10:10" x14ac:dyDescent="0.3">
      <c r="J141067"/>
    </row>
    <row r="141068" spans="10:10" x14ac:dyDescent="0.3">
      <c r="J141068"/>
    </row>
    <row r="141069" spans="10:10" x14ac:dyDescent="0.3">
      <c r="J141069"/>
    </row>
    <row r="141070" spans="10:10" x14ac:dyDescent="0.3">
      <c r="J141070"/>
    </row>
    <row r="141071" spans="10:10" x14ac:dyDescent="0.3">
      <c r="J141071"/>
    </row>
    <row r="141072" spans="10:10" x14ac:dyDescent="0.3">
      <c r="J141072"/>
    </row>
    <row r="141073" spans="10:10" x14ac:dyDescent="0.3">
      <c r="J141073"/>
    </row>
    <row r="141074" spans="10:10" x14ac:dyDescent="0.3">
      <c r="J141074"/>
    </row>
    <row r="141075" spans="10:10" x14ac:dyDescent="0.3">
      <c r="J141075"/>
    </row>
    <row r="141076" spans="10:10" x14ac:dyDescent="0.3">
      <c r="J141076"/>
    </row>
    <row r="141077" spans="10:10" x14ac:dyDescent="0.3">
      <c r="J141077"/>
    </row>
    <row r="141078" spans="10:10" x14ac:dyDescent="0.3">
      <c r="J141078"/>
    </row>
    <row r="141079" spans="10:10" x14ac:dyDescent="0.3">
      <c r="J141079"/>
    </row>
    <row r="141080" spans="10:10" x14ac:dyDescent="0.3">
      <c r="J141080"/>
    </row>
    <row r="141081" spans="10:10" x14ac:dyDescent="0.3">
      <c r="J141081"/>
    </row>
    <row r="141082" spans="10:10" x14ac:dyDescent="0.3">
      <c r="J141082"/>
    </row>
    <row r="141083" spans="10:10" x14ac:dyDescent="0.3">
      <c r="J141083"/>
    </row>
    <row r="141084" spans="10:10" x14ac:dyDescent="0.3">
      <c r="J141084"/>
    </row>
    <row r="141085" spans="10:10" x14ac:dyDescent="0.3">
      <c r="J141085"/>
    </row>
    <row r="141086" spans="10:10" x14ac:dyDescent="0.3">
      <c r="J141086"/>
    </row>
    <row r="141087" spans="10:10" x14ac:dyDescent="0.3">
      <c r="J141087"/>
    </row>
    <row r="141088" spans="10:10" x14ac:dyDescent="0.3">
      <c r="J141088"/>
    </row>
    <row r="141089" spans="10:10" x14ac:dyDescent="0.3">
      <c r="J141089"/>
    </row>
    <row r="141090" spans="10:10" x14ac:dyDescent="0.3">
      <c r="J141090"/>
    </row>
    <row r="141091" spans="10:10" x14ac:dyDescent="0.3">
      <c r="J141091"/>
    </row>
    <row r="141092" spans="10:10" x14ac:dyDescent="0.3">
      <c r="J141092"/>
    </row>
    <row r="141093" spans="10:10" x14ac:dyDescent="0.3">
      <c r="J141093"/>
    </row>
    <row r="141094" spans="10:10" x14ac:dyDescent="0.3">
      <c r="J141094"/>
    </row>
    <row r="141095" spans="10:10" x14ac:dyDescent="0.3">
      <c r="J141095"/>
    </row>
    <row r="141096" spans="10:10" x14ac:dyDescent="0.3">
      <c r="J141096"/>
    </row>
    <row r="141097" spans="10:10" x14ac:dyDescent="0.3">
      <c r="J141097"/>
    </row>
    <row r="141098" spans="10:10" x14ac:dyDescent="0.3">
      <c r="J141098"/>
    </row>
    <row r="141099" spans="10:10" x14ac:dyDescent="0.3">
      <c r="J141099"/>
    </row>
    <row r="141100" spans="10:10" x14ac:dyDescent="0.3">
      <c r="J141100"/>
    </row>
    <row r="141101" spans="10:10" x14ac:dyDescent="0.3">
      <c r="J141101"/>
    </row>
    <row r="141102" spans="10:10" x14ac:dyDescent="0.3">
      <c r="J141102"/>
    </row>
    <row r="141103" spans="10:10" x14ac:dyDescent="0.3">
      <c r="J141103"/>
    </row>
    <row r="141104" spans="10:10" x14ac:dyDescent="0.3">
      <c r="J141104"/>
    </row>
    <row r="141105" spans="10:10" x14ac:dyDescent="0.3">
      <c r="J141105"/>
    </row>
    <row r="141106" spans="10:10" x14ac:dyDescent="0.3">
      <c r="J141106"/>
    </row>
    <row r="141107" spans="10:10" x14ac:dyDescent="0.3">
      <c r="J141107"/>
    </row>
    <row r="141108" spans="10:10" x14ac:dyDescent="0.3">
      <c r="J141108"/>
    </row>
    <row r="141109" spans="10:10" x14ac:dyDescent="0.3">
      <c r="J141109"/>
    </row>
    <row r="141110" spans="10:10" x14ac:dyDescent="0.3">
      <c r="J141110"/>
    </row>
    <row r="141111" spans="10:10" x14ac:dyDescent="0.3">
      <c r="J141111"/>
    </row>
    <row r="141112" spans="10:10" x14ac:dyDescent="0.3">
      <c r="J141112"/>
    </row>
    <row r="141113" spans="10:10" x14ac:dyDescent="0.3">
      <c r="J141113"/>
    </row>
    <row r="141114" spans="10:10" x14ac:dyDescent="0.3">
      <c r="J141114"/>
    </row>
    <row r="141115" spans="10:10" x14ac:dyDescent="0.3">
      <c r="J141115"/>
    </row>
    <row r="141116" spans="10:10" x14ac:dyDescent="0.3">
      <c r="J141116"/>
    </row>
    <row r="141117" spans="10:10" x14ac:dyDescent="0.3">
      <c r="J141117"/>
    </row>
    <row r="141118" spans="10:10" x14ac:dyDescent="0.3">
      <c r="J141118"/>
    </row>
    <row r="141119" spans="10:10" x14ac:dyDescent="0.3">
      <c r="J141119"/>
    </row>
    <row r="141120" spans="10:10" x14ac:dyDescent="0.3">
      <c r="J141120"/>
    </row>
    <row r="141121" spans="10:10" x14ac:dyDescent="0.3">
      <c r="J141121"/>
    </row>
    <row r="141122" spans="10:10" x14ac:dyDescent="0.3">
      <c r="J141122"/>
    </row>
    <row r="141123" spans="10:10" x14ac:dyDescent="0.3">
      <c r="J141123"/>
    </row>
    <row r="141124" spans="10:10" x14ac:dyDescent="0.3">
      <c r="J141124"/>
    </row>
    <row r="141125" spans="10:10" x14ac:dyDescent="0.3">
      <c r="J141125"/>
    </row>
    <row r="141126" spans="10:10" x14ac:dyDescent="0.3">
      <c r="J141126"/>
    </row>
    <row r="141127" spans="10:10" x14ac:dyDescent="0.3">
      <c r="J141127"/>
    </row>
    <row r="141128" spans="10:10" x14ac:dyDescent="0.3">
      <c r="J141128"/>
    </row>
    <row r="141129" spans="10:10" x14ac:dyDescent="0.3">
      <c r="J141129"/>
    </row>
    <row r="141130" spans="10:10" x14ac:dyDescent="0.3">
      <c r="J141130"/>
    </row>
    <row r="141131" spans="10:10" x14ac:dyDescent="0.3">
      <c r="J141131"/>
    </row>
    <row r="141132" spans="10:10" x14ac:dyDescent="0.3">
      <c r="J141132"/>
    </row>
    <row r="141133" spans="10:10" x14ac:dyDescent="0.3">
      <c r="J141133"/>
    </row>
    <row r="141134" spans="10:10" x14ac:dyDescent="0.3">
      <c r="J141134"/>
    </row>
    <row r="141135" spans="10:10" x14ac:dyDescent="0.3">
      <c r="J141135"/>
    </row>
    <row r="141136" spans="10:10" x14ac:dyDescent="0.3">
      <c r="J141136"/>
    </row>
    <row r="141137" spans="10:10" x14ac:dyDescent="0.3">
      <c r="J141137"/>
    </row>
    <row r="141138" spans="10:10" x14ac:dyDescent="0.3">
      <c r="J141138"/>
    </row>
    <row r="141139" spans="10:10" x14ac:dyDescent="0.3">
      <c r="J141139"/>
    </row>
    <row r="141140" spans="10:10" x14ac:dyDescent="0.3">
      <c r="J141140"/>
    </row>
    <row r="141141" spans="10:10" x14ac:dyDescent="0.3">
      <c r="J141141"/>
    </row>
    <row r="141142" spans="10:10" x14ac:dyDescent="0.3">
      <c r="J141142"/>
    </row>
    <row r="141143" spans="10:10" x14ac:dyDescent="0.3">
      <c r="J141143"/>
    </row>
    <row r="141144" spans="10:10" x14ac:dyDescent="0.3">
      <c r="J141144"/>
    </row>
    <row r="141145" spans="10:10" x14ac:dyDescent="0.3">
      <c r="J141145"/>
    </row>
    <row r="141146" spans="10:10" x14ac:dyDescent="0.3">
      <c r="J141146"/>
    </row>
    <row r="141147" spans="10:10" x14ac:dyDescent="0.3">
      <c r="J141147"/>
    </row>
    <row r="141148" spans="10:10" x14ac:dyDescent="0.3">
      <c r="J141148"/>
    </row>
    <row r="141149" spans="10:10" x14ac:dyDescent="0.3">
      <c r="J141149"/>
    </row>
    <row r="141150" spans="10:10" x14ac:dyDescent="0.3">
      <c r="J141150"/>
    </row>
    <row r="141151" spans="10:10" x14ac:dyDescent="0.3">
      <c r="J141151"/>
    </row>
    <row r="141152" spans="10:10" x14ac:dyDescent="0.3">
      <c r="J141152"/>
    </row>
    <row r="141153" spans="10:10" x14ac:dyDescent="0.3">
      <c r="J141153"/>
    </row>
    <row r="141154" spans="10:10" x14ac:dyDescent="0.3">
      <c r="J141154"/>
    </row>
    <row r="141155" spans="10:10" x14ac:dyDescent="0.3">
      <c r="J141155"/>
    </row>
    <row r="141156" spans="10:10" x14ac:dyDescent="0.3">
      <c r="J141156"/>
    </row>
    <row r="141157" spans="10:10" x14ac:dyDescent="0.3">
      <c r="J141157"/>
    </row>
    <row r="141158" spans="10:10" x14ac:dyDescent="0.3">
      <c r="J141158"/>
    </row>
    <row r="141159" spans="10:10" x14ac:dyDescent="0.3">
      <c r="J141159"/>
    </row>
    <row r="141160" spans="10:10" x14ac:dyDescent="0.3">
      <c r="J141160"/>
    </row>
    <row r="141161" spans="10:10" x14ac:dyDescent="0.3">
      <c r="J141161"/>
    </row>
    <row r="141162" spans="10:10" x14ac:dyDescent="0.3">
      <c r="J141162"/>
    </row>
    <row r="141163" spans="10:10" x14ac:dyDescent="0.3">
      <c r="J141163"/>
    </row>
    <row r="141164" spans="10:10" x14ac:dyDescent="0.3">
      <c r="J141164"/>
    </row>
    <row r="141165" spans="10:10" x14ac:dyDescent="0.3">
      <c r="J141165"/>
    </row>
    <row r="141166" spans="10:10" x14ac:dyDescent="0.3">
      <c r="J141166"/>
    </row>
    <row r="141167" spans="10:10" x14ac:dyDescent="0.3">
      <c r="J141167"/>
    </row>
    <row r="141168" spans="10:10" x14ac:dyDescent="0.3">
      <c r="J141168"/>
    </row>
    <row r="141169" spans="10:10" x14ac:dyDescent="0.3">
      <c r="J141169"/>
    </row>
    <row r="141170" spans="10:10" x14ac:dyDescent="0.3">
      <c r="J141170"/>
    </row>
    <row r="141171" spans="10:10" x14ac:dyDescent="0.3">
      <c r="J141171"/>
    </row>
    <row r="141172" spans="10:10" x14ac:dyDescent="0.3">
      <c r="J141172"/>
    </row>
    <row r="141173" spans="10:10" x14ac:dyDescent="0.3">
      <c r="J141173"/>
    </row>
    <row r="141174" spans="10:10" x14ac:dyDescent="0.3">
      <c r="J141174"/>
    </row>
    <row r="141175" spans="10:10" x14ac:dyDescent="0.3">
      <c r="J141175"/>
    </row>
    <row r="141176" spans="10:10" x14ac:dyDescent="0.3">
      <c r="J141176"/>
    </row>
    <row r="141177" spans="10:10" x14ac:dyDescent="0.3">
      <c r="J141177"/>
    </row>
    <row r="141178" spans="10:10" x14ac:dyDescent="0.3">
      <c r="J141178"/>
    </row>
    <row r="141179" spans="10:10" x14ac:dyDescent="0.3">
      <c r="J141179"/>
    </row>
    <row r="141180" spans="10:10" x14ac:dyDescent="0.3">
      <c r="J141180"/>
    </row>
    <row r="141181" spans="10:10" x14ac:dyDescent="0.3">
      <c r="J141181"/>
    </row>
    <row r="141182" spans="10:10" x14ac:dyDescent="0.3">
      <c r="J141182"/>
    </row>
    <row r="141183" spans="10:10" x14ac:dyDescent="0.3">
      <c r="J141183"/>
    </row>
    <row r="141184" spans="10:10" x14ac:dyDescent="0.3">
      <c r="J141184"/>
    </row>
    <row r="141185" spans="10:10" x14ac:dyDescent="0.3">
      <c r="J141185"/>
    </row>
    <row r="141186" spans="10:10" x14ac:dyDescent="0.3">
      <c r="J141186"/>
    </row>
    <row r="141187" spans="10:10" x14ac:dyDescent="0.3">
      <c r="J141187"/>
    </row>
    <row r="141188" spans="10:10" x14ac:dyDescent="0.3">
      <c r="J141188"/>
    </row>
    <row r="141189" spans="10:10" x14ac:dyDescent="0.3">
      <c r="J141189"/>
    </row>
    <row r="141190" spans="10:10" x14ac:dyDescent="0.3">
      <c r="J141190"/>
    </row>
    <row r="141191" spans="10:10" x14ac:dyDescent="0.3">
      <c r="J141191"/>
    </row>
    <row r="141192" spans="10:10" x14ac:dyDescent="0.3">
      <c r="J141192"/>
    </row>
    <row r="141193" spans="10:10" x14ac:dyDescent="0.3">
      <c r="J141193"/>
    </row>
    <row r="141194" spans="10:10" x14ac:dyDescent="0.3">
      <c r="J141194"/>
    </row>
    <row r="141195" spans="10:10" x14ac:dyDescent="0.3">
      <c r="J141195"/>
    </row>
    <row r="141196" spans="10:10" x14ac:dyDescent="0.3">
      <c r="J141196"/>
    </row>
    <row r="141197" spans="10:10" x14ac:dyDescent="0.3">
      <c r="J141197"/>
    </row>
    <row r="141198" spans="10:10" x14ac:dyDescent="0.3">
      <c r="J141198"/>
    </row>
    <row r="141199" spans="10:10" x14ac:dyDescent="0.3">
      <c r="J141199"/>
    </row>
    <row r="141200" spans="10:10" x14ac:dyDescent="0.3">
      <c r="J141200"/>
    </row>
    <row r="141201" spans="10:10" x14ac:dyDescent="0.3">
      <c r="J141201"/>
    </row>
    <row r="141202" spans="10:10" x14ac:dyDescent="0.3">
      <c r="J141202"/>
    </row>
    <row r="141203" spans="10:10" x14ac:dyDescent="0.3">
      <c r="J141203"/>
    </row>
    <row r="141204" spans="10:10" x14ac:dyDescent="0.3">
      <c r="J141204"/>
    </row>
    <row r="141205" spans="10:10" x14ac:dyDescent="0.3">
      <c r="J141205"/>
    </row>
    <row r="141206" spans="10:10" x14ac:dyDescent="0.3">
      <c r="J141206"/>
    </row>
    <row r="141207" spans="10:10" x14ac:dyDescent="0.3">
      <c r="J141207"/>
    </row>
    <row r="141208" spans="10:10" x14ac:dyDescent="0.3">
      <c r="J141208"/>
    </row>
    <row r="141209" spans="10:10" x14ac:dyDescent="0.3">
      <c r="J141209"/>
    </row>
    <row r="141210" spans="10:10" x14ac:dyDescent="0.3">
      <c r="J141210"/>
    </row>
    <row r="141211" spans="10:10" x14ac:dyDescent="0.3">
      <c r="J141211"/>
    </row>
    <row r="141212" spans="10:10" x14ac:dyDescent="0.3">
      <c r="J141212"/>
    </row>
    <row r="141213" spans="10:10" x14ac:dyDescent="0.3">
      <c r="J141213"/>
    </row>
    <row r="141214" spans="10:10" x14ac:dyDescent="0.3">
      <c r="J141214"/>
    </row>
    <row r="141215" spans="10:10" x14ac:dyDescent="0.3">
      <c r="J141215"/>
    </row>
    <row r="141216" spans="10:10" x14ac:dyDescent="0.3">
      <c r="J141216"/>
    </row>
    <row r="141217" spans="10:10" x14ac:dyDescent="0.3">
      <c r="J141217"/>
    </row>
    <row r="141218" spans="10:10" x14ac:dyDescent="0.3">
      <c r="J141218"/>
    </row>
    <row r="141219" spans="10:10" x14ac:dyDescent="0.3">
      <c r="J141219"/>
    </row>
    <row r="141220" spans="10:10" x14ac:dyDescent="0.3">
      <c r="J141220"/>
    </row>
    <row r="141221" spans="10:10" x14ac:dyDescent="0.3">
      <c r="J141221"/>
    </row>
    <row r="141222" spans="10:10" x14ac:dyDescent="0.3">
      <c r="J141222"/>
    </row>
    <row r="141223" spans="10:10" x14ac:dyDescent="0.3">
      <c r="J141223"/>
    </row>
    <row r="141224" spans="10:10" x14ac:dyDescent="0.3">
      <c r="J141224"/>
    </row>
    <row r="141225" spans="10:10" x14ac:dyDescent="0.3">
      <c r="J141225"/>
    </row>
    <row r="141226" spans="10:10" x14ac:dyDescent="0.3">
      <c r="J141226"/>
    </row>
    <row r="141227" spans="10:10" x14ac:dyDescent="0.3">
      <c r="J141227"/>
    </row>
    <row r="141228" spans="10:10" x14ac:dyDescent="0.3">
      <c r="J141228"/>
    </row>
    <row r="141229" spans="10:10" x14ac:dyDescent="0.3">
      <c r="J141229"/>
    </row>
    <row r="141230" spans="10:10" x14ac:dyDescent="0.3">
      <c r="J141230"/>
    </row>
    <row r="141231" spans="10:10" x14ac:dyDescent="0.3">
      <c r="J141231"/>
    </row>
    <row r="141232" spans="10:10" x14ac:dyDescent="0.3">
      <c r="J141232"/>
    </row>
    <row r="141233" spans="10:10" x14ac:dyDescent="0.3">
      <c r="J141233"/>
    </row>
    <row r="141234" spans="10:10" x14ac:dyDescent="0.3">
      <c r="J141234"/>
    </row>
    <row r="141235" spans="10:10" x14ac:dyDescent="0.3">
      <c r="J141235"/>
    </row>
    <row r="141236" spans="10:10" x14ac:dyDescent="0.3">
      <c r="J141236"/>
    </row>
    <row r="141237" spans="10:10" x14ac:dyDescent="0.3">
      <c r="J141237"/>
    </row>
    <row r="141238" spans="10:10" x14ac:dyDescent="0.3">
      <c r="J141238"/>
    </row>
    <row r="141239" spans="10:10" x14ac:dyDescent="0.3">
      <c r="J141239"/>
    </row>
    <row r="141240" spans="10:10" x14ac:dyDescent="0.3">
      <c r="J141240"/>
    </row>
    <row r="141241" spans="10:10" x14ac:dyDescent="0.3">
      <c r="J141241"/>
    </row>
    <row r="141242" spans="10:10" x14ac:dyDescent="0.3">
      <c r="J141242"/>
    </row>
    <row r="141243" spans="10:10" x14ac:dyDescent="0.3">
      <c r="J141243"/>
    </row>
    <row r="141244" spans="10:10" x14ac:dyDescent="0.3">
      <c r="J141244"/>
    </row>
    <row r="141245" spans="10:10" x14ac:dyDescent="0.3">
      <c r="J141245"/>
    </row>
    <row r="141246" spans="10:10" x14ac:dyDescent="0.3">
      <c r="J141246"/>
    </row>
    <row r="141247" spans="10:10" x14ac:dyDescent="0.3">
      <c r="J141247"/>
    </row>
    <row r="141248" spans="10:10" x14ac:dyDescent="0.3">
      <c r="J141248"/>
    </row>
    <row r="141249" spans="10:10" x14ac:dyDescent="0.3">
      <c r="J141249"/>
    </row>
    <row r="141250" spans="10:10" x14ac:dyDescent="0.3">
      <c r="J141250"/>
    </row>
    <row r="141251" spans="10:10" x14ac:dyDescent="0.3">
      <c r="J141251"/>
    </row>
    <row r="141252" spans="10:10" x14ac:dyDescent="0.3">
      <c r="J141252"/>
    </row>
    <row r="141253" spans="10:10" x14ac:dyDescent="0.3">
      <c r="J141253"/>
    </row>
    <row r="141254" spans="10:10" x14ac:dyDescent="0.3">
      <c r="J141254"/>
    </row>
    <row r="141255" spans="10:10" x14ac:dyDescent="0.3">
      <c r="J141255"/>
    </row>
    <row r="141256" spans="10:10" x14ac:dyDescent="0.3">
      <c r="J141256"/>
    </row>
    <row r="141257" spans="10:10" x14ac:dyDescent="0.3">
      <c r="J141257"/>
    </row>
    <row r="141258" spans="10:10" x14ac:dyDescent="0.3">
      <c r="J141258"/>
    </row>
    <row r="141259" spans="10:10" x14ac:dyDescent="0.3">
      <c r="J141259"/>
    </row>
    <row r="141260" spans="10:10" x14ac:dyDescent="0.3">
      <c r="J141260"/>
    </row>
    <row r="141261" spans="10:10" x14ac:dyDescent="0.3">
      <c r="J141261"/>
    </row>
    <row r="141262" spans="10:10" x14ac:dyDescent="0.3">
      <c r="J141262"/>
    </row>
    <row r="141263" spans="10:10" x14ac:dyDescent="0.3">
      <c r="J141263"/>
    </row>
    <row r="141264" spans="10:10" x14ac:dyDescent="0.3">
      <c r="J141264"/>
    </row>
    <row r="141265" spans="10:10" x14ac:dyDescent="0.3">
      <c r="J141265"/>
    </row>
    <row r="141266" spans="10:10" x14ac:dyDescent="0.3">
      <c r="J141266"/>
    </row>
    <row r="141267" spans="10:10" x14ac:dyDescent="0.3">
      <c r="J141267"/>
    </row>
    <row r="141268" spans="10:10" x14ac:dyDescent="0.3">
      <c r="J141268"/>
    </row>
    <row r="141269" spans="10:10" x14ac:dyDescent="0.3">
      <c r="J141269"/>
    </row>
    <row r="141270" spans="10:10" x14ac:dyDescent="0.3">
      <c r="J141270"/>
    </row>
    <row r="141271" spans="10:10" x14ac:dyDescent="0.3">
      <c r="J141271"/>
    </row>
    <row r="141272" spans="10:10" x14ac:dyDescent="0.3">
      <c r="J141272"/>
    </row>
    <row r="141273" spans="10:10" x14ac:dyDescent="0.3">
      <c r="J141273"/>
    </row>
    <row r="141274" spans="10:10" x14ac:dyDescent="0.3">
      <c r="J141274"/>
    </row>
    <row r="141275" spans="10:10" x14ac:dyDescent="0.3">
      <c r="J141275"/>
    </row>
    <row r="141276" spans="10:10" x14ac:dyDescent="0.3">
      <c r="J141276"/>
    </row>
    <row r="141277" spans="10:10" x14ac:dyDescent="0.3">
      <c r="J141277"/>
    </row>
    <row r="141278" spans="10:10" x14ac:dyDescent="0.3">
      <c r="J141278"/>
    </row>
    <row r="141279" spans="10:10" x14ac:dyDescent="0.3">
      <c r="J141279"/>
    </row>
    <row r="141280" spans="10:10" x14ac:dyDescent="0.3">
      <c r="J141280"/>
    </row>
    <row r="141281" spans="10:10" x14ac:dyDescent="0.3">
      <c r="J141281"/>
    </row>
    <row r="141282" spans="10:10" x14ac:dyDescent="0.3">
      <c r="J141282"/>
    </row>
    <row r="141283" spans="10:10" x14ac:dyDescent="0.3">
      <c r="J141283"/>
    </row>
    <row r="141284" spans="10:10" x14ac:dyDescent="0.3">
      <c r="J141284"/>
    </row>
    <row r="141285" spans="10:10" x14ac:dyDescent="0.3">
      <c r="J141285"/>
    </row>
    <row r="141286" spans="10:10" x14ac:dyDescent="0.3">
      <c r="J141286"/>
    </row>
    <row r="141287" spans="10:10" x14ac:dyDescent="0.3">
      <c r="J141287"/>
    </row>
    <row r="141288" spans="10:10" x14ac:dyDescent="0.3">
      <c r="J141288"/>
    </row>
    <row r="141289" spans="10:10" x14ac:dyDescent="0.3">
      <c r="J141289"/>
    </row>
    <row r="141290" spans="10:10" x14ac:dyDescent="0.3">
      <c r="J141290"/>
    </row>
    <row r="141291" spans="10:10" x14ac:dyDescent="0.3">
      <c r="J141291"/>
    </row>
    <row r="141292" spans="10:10" x14ac:dyDescent="0.3">
      <c r="J141292"/>
    </row>
    <row r="141293" spans="10:10" x14ac:dyDescent="0.3">
      <c r="J141293"/>
    </row>
    <row r="141294" spans="10:10" x14ac:dyDescent="0.3">
      <c r="J141294"/>
    </row>
    <row r="141295" spans="10:10" x14ac:dyDescent="0.3">
      <c r="J141295"/>
    </row>
    <row r="141296" spans="10:10" x14ac:dyDescent="0.3">
      <c r="J141296"/>
    </row>
    <row r="141297" spans="10:10" x14ac:dyDescent="0.3">
      <c r="J141297"/>
    </row>
    <row r="141298" spans="10:10" x14ac:dyDescent="0.3">
      <c r="J141298"/>
    </row>
    <row r="141299" spans="10:10" x14ac:dyDescent="0.3">
      <c r="J141299"/>
    </row>
    <row r="141300" spans="10:10" x14ac:dyDescent="0.3">
      <c r="J141300"/>
    </row>
    <row r="141301" spans="10:10" x14ac:dyDescent="0.3">
      <c r="J141301"/>
    </row>
    <row r="141302" spans="10:10" x14ac:dyDescent="0.3">
      <c r="J141302"/>
    </row>
    <row r="141303" spans="10:10" x14ac:dyDescent="0.3">
      <c r="J141303"/>
    </row>
    <row r="141304" spans="10:10" x14ac:dyDescent="0.3">
      <c r="J141304"/>
    </row>
    <row r="141305" spans="10:10" x14ac:dyDescent="0.3">
      <c r="J141305"/>
    </row>
    <row r="141306" spans="10:10" x14ac:dyDescent="0.3">
      <c r="J141306"/>
    </row>
    <row r="141307" spans="10:10" x14ac:dyDescent="0.3">
      <c r="J141307"/>
    </row>
    <row r="141308" spans="10:10" x14ac:dyDescent="0.3">
      <c r="J141308"/>
    </row>
    <row r="141309" spans="10:10" x14ac:dyDescent="0.3">
      <c r="J141309"/>
    </row>
    <row r="141310" spans="10:10" x14ac:dyDescent="0.3">
      <c r="J141310"/>
    </row>
    <row r="141311" spans="10:10" x14ac:dyDescent="0.3">
      <c r="J141311"/>
    </row>
    <row r="141312" spans="10:10" x14ac:dyDescent="0.3">
      <c r="J141312"/>
    </row>
    <row r="141313" spans="10:10" x14ac:dyDescent="0.3">
      <c r="J141313"/>
    </row>
    <row r="141314" spans="10:10" x14ac:dyDescent="0.3">
      <c r="J141314"/>
    </row>
    <row r="141315" spans="10:10" x14ac:dyDescent="0.3">
      <c r="J141315"/>
    </row>
    <row r="141316" spans="10:10" x14ac:dyDescent="0.3">
      <c r="J141316"/>
    </row>
    <row r="141317" spans="10:10" x14ac:dyDescent="0.3">
      <c r="J141317"/>
    </row>
    <row r="141318" spans="10:10" x14ac:dyDescent="0.3">
      <c r="J141318"/>
    </row>
    <row r="141319" spans="10:10" x14ac:dyDescent="0.3">
      <c r="J141319"/>
    </row>
    <row r="141320" spans="10:10" x14ac:dyDescent="0.3">
      <c r="J141320"/>
    </row>
    <row r="141321" spans="10:10" x14ac:dyDescent="0.3">
      <c r="J141321"/>
    </row>
    <row r="141322" spans="10:10" x14ac:dyDescent="0.3">
      <c r="J141322"/>
    </row>
    <row r="141323" spans="10:10" x14ac:dyDescent="0.3">
      <c r="J141323"/>
    </row>
    <row r="141324" spans="10:10" x14ac:dyDescent="0.3">
      <c r="J141324"/>
    </row>
    <row r="141325" spans="10:10" x14ac:dyDescent="0.3">
      <c r="J141325"/>
    </row>
    <row r="141326" spans="10:10" x14ac:dyDescent="0.3">
      <c r="J141326"/>
    </row>
    <row r="141327" spans="10:10" x14ac:dyDescent="0.3">
      <c r="J141327"/>
    </row>
    <row r="141328" spans="10:10" x14ac:dyDescent="0.3">
      <c r="J141328"/>
    </row>
    <row r="141329" spans="10:10" x14ac:dyDescent="0.3">
      <c r="J141329"/>
    </row>
    <row r="141330" spans="10:10" x14ac:dyDescent="0.3">
      <c r="J141330"/>
    </row>
    <row r="141331" spans="10:10" x14ac:dyDescent="0.3">
      <c r="J141331"/>
    </row>
    <row r="141332" spans="10:10" x14ac:dyDescent="0.3">
      <c r="J141332"/>
    </row>
    <row r="141333" spans="10:10" x14ac:dyDescent="0.3">
      <c r="J141333"/>
    </row>
    <row r="141334" spans="10:10" x14ac:dyDescent="0.3">
      <c r="J141334"/>
    </row>
    <row r="141335" spans="10:10" x14ac:dyDescent="0.3">
      <c r="J141335"/>
    </row>
    <row r="141336" spans="10:10" x14ac:dyDescent="0.3">
      <c r="J141336"/>
    </row>
    <row r="141337" spans="10:10" x14ac:dyDescent="0.3">
      <c r="J141337"/>
    </row>
    <row r="141338" spans="10:10" x14ac:dyDescent="0.3">
      <c r="J141338"/>
    </row>
    <row r="141339" spans="10:10" x14ac:dyDescent="0.3">
      <c r="J141339"/>
    </row>
    <row r="141340" spans="10:10" x14ac:dyDescent="0.3">
      <c r="J141340"/>
    </row>
    <row r="141341" spans="10:10" x14ac:dyDescent="0.3">
      <c r="J141341"/>
    </row>
    <row r="141342" spans="10:10" x14ac:dyDescent="0.3">
      <c r="J141342"/>
    </row>
    <row r="141343" spans="10:10" x14ac:dyDescent="0.3">
      <c r="J141343"/>
    </row>
    <row r="141344" spans="10:10" x14ac:dyDescent="0.3">
      <c r="J141344"/>
    </row>
    <row r="141345" spans="10:10" x14ac:dyDescent="0.3">
      <c r="J141345"/>
    </row>
    <row r="141346" spans="10:10" x14ac:dyDescent="0.3">
      <c r="J141346"/>
    </row>
    <row r="141347" spans="10:10" x14ac:dyDescent="0.3">
      <c r="J141347"/>
    </row>
    <row r="141348" spans="10:10" x14ac:dyDescent="0.3">
      <c r="J141348"/>
    </row>
    <row r="141349" spans="10:10" x14ac:dyDescent="0.3">
      <c r="J141349"/>
    </row>
    <row r="141350" spans="10:10" x14ac:dyDescent="0.3">
      <c r="J141350"/>
    </row>
    <row r="141351" spans="10:10" x14ac:dyDescent="0.3">
      <c r="J141351"/>
    </row>
    <row r="141352" spans="10:10" x14ac:dyDescent="0.3">
      <c r="J141352"/>
    </row>
    <row r="141353" spans="10:10" x14ac:dyDescent="0.3">
      <c r="J141353"/>
    </row>
    <row r="141354" spans="10:10" x14ac:dyDescent="0.3">
      <c r="J141354"/>
    </row>
    <row r="141355" spans="10:10" x14ac:dyDescent="0.3">
      <c r="J141355"/>
    </row>
    <row r="141356" spans="10:10" x14ac:dyDescent="0.3">
      <c r="J141356"/>
    </row>
    <row r="141357" spans="10:10" x14ac:dyDescent="0.3">
      <c r="J141357"/>
    </row>
    <row r="141358" spans="10:10" x14ac:dyDescent="0.3">
      <c r="J141358"/>
    </row>
    <row r="141359" spans="10:10" x14ac:dyDescent="0.3">
      <c r="J141359"/>
    </row>
    <row r="141360" spans="10:10" x14ac:dyDescent="0.3">
      <c r="J141360"/>
    </row>
    <row r="141361" spans="10:10" x14ac:dyDescent="0.3">
      <c r="J141361"/>
    </row>
    <row r="141362" spans="10:10" x14ac:dyDescent="0.3">
      <c r="J141362"/>
    </row>
    <row r="141363" spans="10:10" x14ac:dyDescent="0.3">
      <c r="J141363"/>
    </row>
    <row r="141364" spans="10:10" x14ac:dyDescent="0.3">
      <c r="J141364"/>
    </row>
    <row r="141365" spans="10:10" x14ac:dyDescent="0.3">
      <c r="J141365"/>
    </row>
    <row r="141366" spans="10:10" x14ac:dyDescent="0.3">
      <c r="J141366"/>
    </row>
    <row r="141367" spans="10:10" x14ac:dyDescent="0.3">
      <c r="J141367"/>
    </row>
    <row r="141368" spans="10:10" x14ac:dyDescent="0.3">
      <c r="J141368"/>
    </row>
    <row r="141369" spans="10:10" x14ac:dyDescent="0.3">
      <c r="J141369"/>
    </row>
    <row r="141370" spans="10:10" x14ac:dyDescent="0.3">
      <c r="J141370"/>
    </row>
    <row r="141371" spans="10:10" x14ac:dyDescent="0.3">
      <c r="J141371"/>
    </row>
    <row r="141372" spans="10:10" x14ac:dyDescent="0.3">
      <c r="J141372"/>
    </row>
    <row r="141373" spans="10:10" x14ac:dyDescent="0.3">
      <c r="J141373"/>
    </row>
    <row r="141374" spans="10:10" x14ac:dyDescent="0.3">
      <c r="J141374"/>
    </row>
    <row r="141375" spans="10:10" x14ac:dyDescent="0.3">
      <c r="J141375"/>
    </row>
    <row r="141376" spans="10:10" x14ac:dyDescent="0.3">
      <c r="J141376"/>
    </row>
    <row r="141377" spans="10:10" x14ac:dyDescent="0.3">
      <c r="J141377"/>
    </row>
    <row r="141378" spans="10:10" x14ac:dyDescent="0.3">
      <c r="J141378"/>
    </row>
    <row r="141379" spans="10:10" x14ac:dyDescent="0.3">
      <c r="J141379"/>
    </row>
    <row r="141380" spans="10:10" x14ac:dyDescent="0.3">
      <c r="J141380"/>
    </row>
    <row r="141381" spans="10:10" x14ac:dyDescent="0.3">
      <c r="J141381"/>
    </row>
    <row r="141382" spans="10:10" x14ac:dyDescent="0.3">
      <c r="J141382"/>
    </row>
    <row r="141383" spans="10:10" x14ac:dyDescent="0.3">
      <c r="J141383"/>
    </row>
    <row r="141384" spans="10:10" x14ac:dyDescent="0.3">
      <c r="J141384"/>
    </row>
    <row r="141385" spans="10:10" x14ac:dyDescent="0.3">
      <c r="J141385"/>
    </row>
    <row r="141386" spans="10:10" x14ac:dyDescent="0.3">
      <c r="J141386"/>
    </row>
    <row r="141387" spans="10:10" x14ac:dyDescent="0.3">
      <c r="J141387"/>
    </row>
    <row r="141388" spans="10:10" x14ac:dyDescent="0.3">
      <c r="J141388"/>
    </row>
    <row r="141389" spans="10:10" x14ac:dyDescent="0.3">
      <c r="J141389"/>
    </row>
    <row r="141390" spans="10:10" x14ac:dyDescent="0.3">
      <c r="J141390"/>
    </row>
    <row r="141391" spans="10:10" x14ac:dyDescent="0.3">
      <c r="J141391"/>
    </row>
    <row r="141392" spans="10:10" x14ac:dyDescent="0.3">
      <c r="J141392"/>
    </row>
    <row r="141393" spans="10:10" x14ac:dyDescent="0.3">
      <c r="J141393"/>
    </row>
    <row r="141394" spans="10:10" x14ac:dyDescent="0.3">
      <c r="J141394"/>
    </row>
    <row r="141395" spans="10:10" x14ac:dyDescent="0.3">
      <c r="J141395"/>
    </row>
    <row r="141396" spans="10:10" x14ac:dyDescent="0.3">
      <c r="J141396"/>
    </row>
    <row r="141397" spans="10:10" x14ac:dyDescent="0.3">
      <c r="J141397"/>
    </row>
    <row r="141398" spans="10:10" x14ac:dyDescent="0.3">
      <c r="J141398"/>
    </row>
    <row r="141399" spans="10:10" x14ac:dyDescent="0.3">
      <c r="J141399"/>
    </row>
    <row r="141400" spans="10:10" x14ac:dyDescent="0.3">
      <c r="J141400"/>
    </row>
    <row r="141401" spans="10:10" x14ac:dyDescent="0.3">
      <c r="J141401"/>
    </row>
    <row r="141402" spans="10:10" x14ac:dyDescent="0.3">
      <c r="J141402"/>
    </row>
    <row r="141403" spans="10:10" x14ac:dyDescent="0.3">
      <c r="J141403"/>
    </row>
    <row r="141404" spans="10:10" x14ac:dyDescent="0.3">
      <c r="J141404"/>
    </row>
    <row r="141405" spans="10:10" x14ac:dyDescent="0.3">
      <c r="J141405"/>
    </row>
    <row r="141406" spans="10:10" x14ac:dyDescent="0.3">
      <c r="J141406"/>
    </row>
    <row r="141407" spans="10:10" x14ac:dyDescent="0.3">
      <c r="J141407"/>
    </row>
    <row r="141408" spans="10:10" x14ac:dyDescent="0.3">
      <c r="J141408"/>
    </row>
    <row r="141409" spans="10:10" x14ac:dyDescent="0.3">
      <c r="J141409"/>
    </row>
    <row r="141410" spans="10:10" x14ac:dyDescent="0.3">
      <c r="J141410"/>
    </row>
    <row r="141411" spans="10:10" x14ac:dyDescent="0.3">
      <c r="J141411"/>
    </row>
    <row r="141412" spans="10:10" x14ac:dyDescent="0.3">
      <c r="J141412"/>
    </row>
    <row r="141413" spans="10:10" x14ac:dyDescent="0.3">
      <c r="J141413"/>
    </row>
    <row r="141414" spans="10:10" x14ac:dyDescent="0.3">
      <c r="J141414"/>
    </row>
    <row r="141415" spans="10:10" x14ac:dyDescent="0.3">
      <c r="J141415"/>
    </row>
    <row r="141416" spans="10:10" x14ac:dyDescent="0.3">
      <c r="J141416"/>
    </row>
    <row r="141417" spans="10:10" x14ac:dyDescent="0.3">
      <c r="J141417"/>
    </row>
    <row r="141418" spans="10:10" x14ac:dyDescent="0.3">
      <c r="J141418"/>
    </row>
    <row r="141419" spans="10:10" x14ac:dyDescent="0.3">
      <c r="J141419"/>
    </row>
    <row r="141420" spans="10:10" x14ac:dyDescent="0.3">
      <c r="J141420"/>
    </row>
    <row r="141421" spans="10:10" x14ac:dyDescent="0.3">
      <c r="J141421"/>
    </row>
    <row r="141422" spans="10:10" x14ac:dyDescent="0.3">
      <c r="J141422"/>
    </row>
    <row r="141423" spans="10:10" x14ac:dyDescent="0.3">
      <c r="J141423"/>
    </row>
    <row r="141424" spans="10:10" x14ac:dyDescent="0.3">
      <c r="J141424"/>
    </row>
    <row r="141425" spans="10:10" x14ac:dyDescent="0.3">
      <c r="J141425"/>
    </row>
    <row r="141426" spans="10:10" x14ac:dyDescent="0.3">
      <c r="J141426"/>
    </row>
    <row r="141427" spans="10:10" x14ac:dyDescent="0.3">
      <c r="J141427"/>
    </row>
    <row r="141428" spans="10:10" x14ac:dyDescent="0.3">
      <c r="J141428"/>
    </row>
    <row r="141429" spans="10:10" x14ac:dyDescent="0.3">
      <c r="J141429"/>
    </row>
    <row r="141430" spans="10:10" x14ac:dyDescent="0.3">
      <c r="J141430"/>
    </row>
    <row r="141431" spans="10:10" x14ac:dyDescent="0.3">
      <c r="J141431"/>
    </row>
    <row r="141432" spans="10:10" x14ac:dyDescent="0.3">
      <c r="J141432"/>
    </row>
    <row r="141433" spans="10:10" x14ac:dyDescent="0.3">
      <c r="J141433"/>
    </row>
    <row r="141434" spans="10:10" x14ac:dyDescent="0.3">
      <c r="J141434"/>
    </row>
    <row r="141435" spans="10:10" x14ac:dyDescent="0.3">
      <c r="J141435"/>
    </row>
    <row r="141436" spans="10:10" x14ac:dyDescent="0.3">
      <c r="J141436"/>
    </row>
    <row r="141437" spans="10:10" x14ac:dyDescent="0.3">
      <c r="J141437"/>
    </row>
    <row r="141438" spans="10:10" x14ac:dyDescent="0.3">
      <c r="J141438"/>
    </row>
    <row r="141439" spans="10:10" x14ac:dyDescent="0.3">
      <c r="J141439"/>
    </row>
    <row r="141440" spans="10:10" x14ac:dyDescent="0.3">
      <c r="J141440"/>
    </row>
    <row r="141441" spans="10:10" x14ac:dyDescent="0.3">
      <c r="J141441"/>
    </row>
    <row r="141442" spans="10:10" x14ac:dyDescent="0.3">
      <c r="J141442"/>
    </row>
    <row r="141443" spans="10:10" x14ac:dyDescent="0.3">
      <c r="J141443"/>
    </row>
    <row r="141444" spans="10:10" x14ac:dyDescent="0.3">
      <c r="J141444"/>
    </row>
    <row r="141445" spans="10:10" x14ac:dyDescent="0.3">
      <c r="J141445"/>
    </row>
    <row r="141446" spans="10:10" x14ac:dyDescent="0.3">
      <c r="J141446"/>
    </row>
    <row r="141447" spans="10:10" x14ac:dyDescent="0.3">
      <c r="J141447"/>
    </row>
    <row r="141448" spans="10:10" x14ac:dyDescent="0.3">
      <c r="J141448"/>
    </row>
    <row r="141449" spans="10:10" x14ac:dyDescent="0.3">
      <c r="J141449"/>
    </row>
    <row r="141450" spans="10:10" x14ac:dyDescent="0.3">
      <c r="J141450"/>
    </row>
    <row r="141451" spans="10:10" x14ac:dyDescent="0.3">
      <c r="J141451"/>
    </row>
    <row r="141452" spans="10:10" x14ac:dyDescent="0.3">
      <c r="J141452"/>
    </row>
    <row r="141453" spans="10:10" x14ac:dyDescent="0.3">
      <c r="J141453"/>
    </row>
    <row r="141454" spans="10:10" x14ac:dyDescent="0.3">
      <c r="J141454"/>
    </row>
    <row r="141455" spans="10:10" x14ac:dyDescent="0.3">
      <c r="J141455"/>
    </row>
    <row r="141456" spans="10:10" x14ac:dyDescent="0.3">
      <c r="J141456"/>
    </row>
    <row r="141457" spans="10:10" x14ac:dyDescent="0.3">
      <c r="J141457"/>
    </row>
    <row r="141458" spans="10:10" x14ac:dyDescent="0.3">
      <c r="J141458"/>
    </row>
    <row r="141459" spans="10:10" x14ac:dyDescent="0.3">
      <c r="J141459"/>
    </row>
    <row r="141460" spans="10:10" x14ac:dyDescent="0.3">
      <c r="J141460"/>
    </row>
    <row r="141461" spans="10:10" x14ac:dyDescent="0.3">
      <c r="J141461"/>
    </row>
    <row r="141462" spans="10:10" x14ac:dyDescent="0.3">
      <c r="J141462"/>
    </row>
    <row r="141463" spans="10:10" x14ac:dyDescent="0.3">
      <c r="J141463"/>
    </row>
    <row r="141464" spans="10:10" x14ac:dyDescent="0.3">
      <c r="J141464"/>
    </row>
    <row r="141465" spans="10:10" x14ac:dyDescent="0.3">
      <c r="J141465"/>
    </row>
    <row r="141466" spans="10:10" x14ac:dyDescent="0.3">
      <c r="J141466"/>
    </row>
    <row r="141467" spans="10:10" x14ac:dyDescent="0.3">
      <c r="J141467"/>
    </row>
    <row r="141468" spans="10:10" x14ac:dyDescent="0.3">
      <c r="J141468"/>
    </row>
    <row r="141469" spans="10:10" x14ac:dyDescent="0.3">
      <c r="J141469"/>
    </row>
    <row r="141470" spans="10:10" x14ac:dyDescent="0.3">
      <c r="J141470"/>
    </row>
    <row r="141471" spans="10:10" x14ac:dyDescent="0.3">
      <c r="J141471"/>
    </row>
    <row r="141472" spans="10:10" x14ac:dyDescent="0.3">
      <c r="J141472"/>
    </row>
    <row r="141473" spans="10:10" x14ac:dyDescent="0.3">
      <c r="J141473"/>
    </row>
    <row r="141474" spans="10:10" x14ac:dyDescent="0.3">
      <c r="J141474"/>
    </row>
    <row r="141475" spans="10:10" x14ac:dyDescent="0.3">
      <c r="J141475"/>
    </row>
    <row r="141476" spans="10:10" x14ac:dyDescent="0.3">
      <c r="J141476"/>
    </row>
    <row r="141477" spans="10:10" x14ac:dyDescent="0.3">
      <c r="J141477"/>
    </row>
    <row r="141478" spans="10:10" x14ac:dyDescent="0.3">
      <c r="J141478"/>
    </row>
    <row r="141479" spans="10:10" x14ac:dyDescent="0.3">
      <c r="J141479"/>
    </row>
    <row r="141480" spans="10:10" x14ac:dyDescent="0.3">
      <c r="J141480"/>
    </row>
    <row r="141481" spans="10:10" x14ac:dyDescent="0.3">
      <c r="J141481"/>
    </row>
    <row r="141482" spans="10:10" x14ac:dyDescent="0.3">
      <c r="J141482"/>
    </row>
    <row r="141483" spans="10:10" x14ac:dyDescent="0.3">
      <c r="J141483"/>
    </row>
    <row r="141484" spans="10:10" x14ac:dyDescent="0.3">
      <c r="J141484"/>
    </row>
    <row r="141485" spans="10:10" x14ac:dyDescent="0.3">
      <c r="J141485"/>
    </row>
    <row r="141486" spans="10:10" x14ac:dyDescent="0.3">
      <c r="J141486"/>
    </row>
    <row r="141487" spans="10:10" x14ac:dyDescent="0.3">
      <c r="J141487"/>
    </row>
    <row r="141488" spans="10:10" x14ac:dyDescent="0.3">
      <c r="J141488"/>
    </row>
    <row r="141489" spans="10:10" x14ac:dyDescent="0.3">
      <c r="J141489"/>
    </row>
    <row r="141490" spans="10:10" x14ac:dyDescent="0.3">
      <c r="J141490"/>
    </row>
    <row r="141491" spans="10:10" x14ac:dyDescent="0.3">
      <c r="J141491"/>
    </row>
    <row r="141492" spans="10:10" x14ac:dyDescent="0.3">
      <c r="J141492"/>
    </row>
    <row r="141493" spans="10:10" x14ac:dyDescent="0.3">
      <c r="J141493"/>
    </row>
    <row r="141494" spans="10:10" x14ac:dyDescent="0.3">
      <c r="J141494"/>
    </row>
    <row r="141495" spans="10:10" x14ac:dyDescent="0.3">
      <c r="J141495"/>
    </row>
    <row r="141496" spans="10:10" x14ac:dyDescent="0.3">
      <c r="J141496"/>
    </row>
    <row r="141497" spans="10:10" x14ac:dyDescent="0.3">
      <c r="J141497"/>
    </row>
    <row r="141498" spans="10:10" x14ac:dyDescent="0.3">
      <c r="J141498"/>
    </row>
    <row r="141499" spans="10:10" x14ac:dyDescent="0.3">
      <c r="J141499"/>
    </row>
    <row r="141500" spans="10:10" x14ac:dyDescent="0.3">
      <c r="J141500"/>
    </row>
    <row r="141501" spans="10:10" x14ac:dyDescent="0.3">
      <c r="J141501"/>
    </row>
    <row r="141502" spans="10:10" x14ac:dyDescent="0.3">
      <c r="J141502"/>
    </row>
    <row r="141503" spans="10:10" x14ac:dyDescent="0.3">
      <c r="J141503"/>
    </row>
    <row r="141504" spans="10:10" x14ac:dyDescent="0.3">
      <c r="J141504"/>
    </row>
    <row r="141505" spans="10:10" x14ac:dyDescent="0.3">
      <c r="J141505"/>
    </row>
    <row r="141506" spans="10:10" x14ac:dyDescent="0.3">
      <c r="J141506"/>
    </row>
    <row r="141507" spans="10:10" x14ac:dyDescent="0.3">
      <c r="J141507"/>
    </row>
    <row r="141508" spans="10:10" x14ac:dyDescent="0.3">
      <c r="J141508"/>
    </row>
    <row r="141509" spans="10:10" x14ac:dyDescent="0.3">
      <c r="J141509"/>
    </row>
    <row r="141510" spans="10:10" x14ac:dyDescent="0.3">
      <c r="J141510"/>
    </row>
    <row r="141511" spans="10:10" x14ac:dyDescent="0.3">
      <c r="J141511"/>
    </row>
    <row r="141512" spans="10:10" x14ac:dyDescent="0.3">
      <c r="J141512"/>
    </row>
    <row r="141513" spans="10:10" x14ac:dyDescent="0.3">
      <c r="J141513"/>
    </row>
    <row r="141514" spans="10:10" x14ac:dyDescent="0.3">
      <c r="J141514"/>
    </row>
    <row r="141515" spans="10:10" x14ac:dyDescent="0.3">
      <c r="J141515"/>
    </row>
    <row r="141516" spans="10:10" x14ac:dyDescent="0.3">
      <c r="J141516"/>
    </row>
    <row r="141517" spans="10:10" x14ac:dyDescent="0.3">
      <c r="J141517"/>
    </row>
    <row r="141518" spans="10:10" x14ac:dyDescent="0.3">
      <c r="J141518"/>
    </row>
    <row r="141519" spans="10:10" x14ac:dyDescent="0.3">
      <c r="J141519"/>
    </row>
    <row r="141520" spans="10:10" x14ac:dyDescent="0.3">
      <c r="J141520"/>
    </row>
    <row r="141521" spans="10:10" x14ac:dyDescent="0.3">
      <c r="J141521"/>
    </row>
    <row r="141522" spans="10:10" x14ac:dyDescent="0.3">
      <c r="J141522"/>
    </row>
    <row r="141523" spans="10:10" x14ac:dyDescent="0.3">
      <c r="J141523"/>
    </row>
    <row r="141524" spans="10:10" x14ac:dyDescent="0.3">
      <c r="J141524"/>
    </row>
    <row r="141525" spans="10:10" x14ac:dyDescent="0.3">
      <c r="J141525"/>
    </row>
    <row r="141526" spans="10:10" x14ac:dyDescent="0.3">
      <c r="J141526"/>
    </row>
    <row r="141527" spans="10:10" x14ac:dyDescent="0.3">
      <c r="J141527"/>
    </row>
    <row r="141528" spans="10:10" x14ac:dyDescent="0.3">
      <c r="J141528"/>
    </row>
    <row r="141529" spans="10:10" x14ac:dyDescent="0.3">
      <c r="J141529"/>
    </row>
    <row r="141530" spans="10:10" x14ac:dyDescent="0.3">
      <c r="J141530"/>
    </row>
    <row r="141531" spans="10:10" x14ac:dyDescent="0.3">
      <c r="J141531"/>
    </row>
    <row r="141532" spans="10:10" x14ac:dyDescent="0.3">
      <c r="J141532"/>
    </row>
    <row r="141533" spans="10:10" x14ac:dyDescent="0.3">
      <c r="J141533"/>
    </row>
    <row r="141534" spans="10:10" x14ac:dyDescent="0.3">
      <c r="J141534"/>
    </row>
    <row r="141535" spans="10:10" x14ac:dyDescent="0.3">
      <c r="J141535"/>
    </row>
    <row r="141536" spans="10:10" x14ac:dyDescent="0.3">
      <c r="J141536"/>
    </row>
    <row r="141537" spans="10:10" x14ac:dyDescent="0.3">
      <c r="J141537"/>
    </row>
    <row r="141538" spans="10:10" x14ac:dyDescent="0.3">
      <c r="J141538"/>
    </row>
    <row r="141539" spans="10:10" x14ac:dyDescent="0.3">
      <c r="J141539"/>
    </row>
    <row r="141540" spans="10:10" x14ac:dyDescent="0.3">
      <c r="J141540"/>
    </row>
    <row r="141541" spans="10:10" x14ac:dyDescent="0.3">
      <c r="J141541"/>
    </row>
    <row r="141542" spans="10:10" x14ac:dyDescent="0.3">
      <c r="J141542"/>
    </row>
    <row r="141543" spans="10:10" x14ac:dyDescent="0.3">
      <c r="J141543"/>
    </row>
    <row r="141544" spans="10:10" x14ac:dyDescent="0.3">
      <c r="J141544"/>
    </row>
    <row r="141545" spans="10:10" x14ac:dyDescent="0.3">
      <c r="J141545"/>
    </row>
    <row r="141546" spans="10:10" x14ac:dyDescent="0.3">
      <c r="J141546"/>
    </row>
    <row r="141547" spans="10:10" x14ac:dyDescent="0.3">
      <c r="J141547"/>
    </row>
    <row r="141548" spans="10:10" x14ac:dyDescent="0.3">
      <c r="J141548"/>
    </row>
    <row r="141549" spans="10:10" x14ac:dyDescent="0.3">
      <c r="J141549"/>
    </row>
    <row r="141550" spans="10:10" x14ac:dyDescent="0.3">
      <c r="J141550"/>
    </row>
    <row r="141551" spans="10:10" x14ac:dyDescent="0.3">
      <c r="J141551"/>
    </row>
    <row r="141552" spans="10:10" x14ac:dyDescent="0.3">
      <c r="J141552"/>
    </row>
    <row r="141553" spans="10:10" x14ac:dyDescent="0.3">
      <c r="J141553"/>
    </row>
    <row r="141554" spans="10:10" x14ac:dyDescent="0.3">
      <c r="J141554"/>
    </row>
    <row r="141555" spans="10:10" x14ac:dyDescent="0.3">
      <c r="J141555"/>
    </row>
    <row r="141556" spans="10:10" x14ac:dyDescent="0.3">
      <c r="J141556"/>
    </row>
    <row r="141557" spans="10:10" x14ac:dyDescent="0.3">
      <c r="J141557"/>
    </row>
    <row r="141558" spans="10:10" x14ac:dyDescent="0.3">
      <c r="J141558"/>
    </row>
    <row r="141559" spans="10:10" x14ac:dyDescent="0.3">
      <c r="J141559"/>
    </row>
    <row r="141560" spans="10:10" x14ac:dyDescent="0.3">
      <c r="J141560"/>
    </row>
    <row r="141561" spans="10:10" x14ac:dyDescent="0.3">
      <c r="J141561"/>
    </row>
    <row r="141562" spans="10:10" x14ac:dyDescent="0.3">
      <c r="J141562"/>
    </row>
    <row r="141563" spans="10:10" x14ac:dyDescent="0.3">
      <c r="J141563"/>
    </row>
    <row r="141564" spans="10:10" x14ac:dyDescent="0.3">
      <c r="J141564"/>
    </row>
    <row r="141565" spans="10:10" x14ac:dyDescent="0.3">
      <c r="J141565"/>
    </row>
    <row r="141566" spans="10:10" x14ac:dyDescent="0.3">
      <c r="J141566"/>
    </row>
    <row r="141567" spans="10:10" x14ac:dyDescent="0.3">
      <c r="J141567"/>
    </row>
    <row r="141568" spans="10:10" x14ac:dyDescent="0.3">
      <c r="J141568"/>
    </row>
    <row r="141569" spans="10:10" x14ac:dyDescent="0.3">
      <c r="J141569"/>
    </row>
    <row r="141570" spans="10:10" x14ac:dyDescent="0.3">
      <c r="J141570"/>
    </row>
    <row r="141571" spans="10:10" x14ac:dyDescent="0.3">
      <c r="J141571"/>
    </row>
    <row r="141572" spans="10:10" x14ac:dyDescent="0.3">
      <c r="J141572"/>
    </row>
    <row r="141573" spans="10:10" x14ac:dyDescent="0.3">
      <c r="J141573"/>
    </row>
    <row r="141574" spans="10:10" x14ac:dyDescent="0.3">
      <c r="J141574"/>
    </row>
    <row r="141575" spans="10:10" x14ac:dyDescent="0.3">
      <c r="J141575"/>
    </row>
    <row r="141576" spans="10:10" x14ac:dyDescent="0.3">
      <c r="J141576"/>
    </row>
    <row r="141577" spans="10:10" x14ac:dyDescent="0.3">
      <c r="J141577"/>
    </row>
    <row r="141578" spans="10:10" x14ac:dyDescent="0.3">
      <c r="J141578"/>
    </row>
    <row r="141579" spans="10:10" x14ac:dyDescent="0.3">
      <c r="J141579"/>
    </row>
    <row r="141580" spans="10:10" x14ac:dyDescent="0.3">
      <c r="J141580"/>
    </row>
    <row r="141581" spans="10:10" x14ac:dyDescent="0.3">
      <c r="J141581"/>
    </row>
    <row r="141582" spans="10:10" x14ac:dyDescent="0.3">
      <c r="J141582"/>
    </row>
    <row r="141583" spans="10:10" x14ac:dyDescent="0.3">
      <c r="J141583"/>
    </row>
    <row r="141584" spans="10:10" x14ac:dyDescent="0.3">
      <c r="J141584"/>
    </row>
    <row r="141585" spans="10:10" x14ac:dyDescent="0.3">
      <c r="J141585"/>
    </row>
    <row r="141586" spans="10:10" x14ac:dyDescent="0.3">
      <c r="J141586"/>
    </row>
    <row r="141587" spans="10:10" x14ac:dyDescent="0.3">
      <c r="J141587"/>
    </row>
    <row r="141588" spans="10:10" x14ac:dyDescent="0.3">
      <c r="J141588"/>
    </row>
    <row r="141589" spans="10:10" x14ac:dyDescent="0.3">
      <c r="J141589"/>
    </row>
    <row r="141590" spans="10:10" x14ac:dyDescent="0.3">
      <c r="J141590"/>
    </row>
    <row r="141591" spans="10:10" x14ac:dyDescent="0.3">
      <c r="J141591"/>
    </row>
    <row r="141592" spans="10:10" x14ac:dyDescent="0.3">
      <c r="J141592"/>
    </row>
    <row r="141593" spans="10:10" x14ac:dyDescent="0.3">
      <c r="J141593"/>
    </row>
    <row r="141594" spans="10:10" x14ac:dyDescent="0.3">
      <c r="J141594"/>
    </row>
    <row r="141595" spans="10:10" x14ac:dyDescent="0.3">
      <c r="J141595"/>
    </row>
    <row r="141596" spans="10:10" x14ac:dyDescent="0.3">
      <c r="J141596"/>
    </row>
    <row r="141597" spans="10:10" x14ac:dyDescent="0.3">
      <c r="J141597"/>
    </row>
    <row r="141598" spans="10:10" x14ac:dyDescent="0.3">
      <c r="J141598"/>
    </row>
    <row r="141599" spans="10:10" x14ac:dyDescent="0.3">
      <c r="J141599"/>
    </row>
    <row r="141600" spans="10:10" x14ac:dyDescent="0.3">
      <c r="J141600"/>
    </row>
    <row r="141601" spans="10:10" x14ac:dyDescent="0.3">
      <c r="J141601"/>
    </row>
    <row r="141602" spans="10:10" x14ac:dyDescent="0.3">
      <c r="J141602"/>
    </row>
    <row r="141603" spans="10:10" x14ac:dyDescent="0.3">
      <c r="J141603"/>
    </row>
    <row r="141604" spans="10:10" x14ac:dyDescent="0.3">
      <c r="J141604"/>
    </row>
    <row r="141605" spans="10:10" x14ac:dyDescent="0.3">
      <c r="J141605"/>
    </row>
    <row r="141606" spans="10:10" x14ac:dyDescent="0.3">
      <c r="J141606"/>
    </row>
    <row r="141607" spans="10:10" x14ac:dyDescent="0.3">
      <c r="J141607"/>
    </row>
    <row r="141608" spans="10:10" x14ac:dyDescent="0.3">
      <c r="J141608"/>
    </row>
    <row r="141609" spans="10:10" x14ac:dyDescent="0.3">
      <c r="J141609"/>
    </row>
    <row r="141610" spans="10:10" x14ac:dyDescent="0.3">
      <c r="J141610"/>
    </row>
    <row r="141611" spans="10:10" x14ac:dyDescent="0.3">
      <c r="J141611"/>
    </row>
    <row r="141612" spans="10:10" x14ac:dyDescent="0.3">
      <c r="J141612"/>
    </row>
    <row r="141613" spans="10:10" x14ac:dyDescent="0.3">
      <c r="J141613"/>
    </row>
    <row r="141614" spans="10:10" x14ac:dyDescent="0.3">
      <c r="J141614"/>
    </row>
    <row r="141615" spans="10:10" x14ac:dyDescent="0.3">
      <c r="J141615"/>
    </row>
    <row r="141616" spans="10:10" x14ac:dyDescent="0.3">
      <c r="J141616"/>
    </row>
    <row r="141617" spans="10:10" x14ac:dyDescent="0.3">
      <c r="J141617"/>
    </row>
    <row r="141618" spans="10:10" x14ac:dyDescent="0.3">
      <c r="J141618"/>
    </row>
    <row r="141619" spans="10:10" x14ac:dyDescent="0.3">
      <c r="J141619"/>
    </row>
    <row r="141620" spans="10:10" x14ac:dyDescent="0.3">
      <c r="J141620"/>
    </row>
    <row r="141621" spans="10:10" x14ac:dyDescent="0.3">
      <c r="J141621"/>
    </row>
    <row r="141622" spans="10:10" x14ac:dyDescent="0.3">
      <c r="J141622"/>
    </row>
    <row r="141623" spans="10:10" x14ac:dyDescent="0.3">
      <c r="J141623"/>
    </row>
    <row r="141624" spans="10:10" x14ac:dyDescent="0.3">
      <c r="J141624"/>
    </row>
    <row r="141625" spans="10:10" x14ac:dyDescent="0.3">
      <c r="J141625"/>
    </row>
    <row r="141626" spans="10:10" x14ac:dyDescent="0.3">
      <c r="J141626"/>
    </row>
    <row r="141627" spans="10:10" x14ac:dyDescent="0.3">
      <c r="J141627"/>
    </row>
    <row r="141628" spans="10:10" x14ac:dyDescent="0.3">
      <c r="J141628"/>
    </row>
    <row r="141629" spans="10:10" x14ac:dyDescent="0.3">
      <c r="J141629"/>
    </row>
    <row r="141630" spans="10:10" x14ac:dyDescent="0.3">
      <c r="J141630"/>
    </row>
    <row r="141631" spans="10:10" x14ac:dyDescent="0.3">
      <c r="J141631"/>
    </row>
    <row r="141632" spans="10:10" x14ac:dyDescent="0.3">
      <c r="J141632"/>
    </row>
    <row r="141633" spans="10:10" x14ac:dyDescent="0.3">
      <c r="J141633"/>
    </row>
    <row r="141634" spans="10:10" x14ac:dyDescent="0.3">
      <c r="J141634"/>
    </row>
    <row r="141635" spans="10:10" x14ac:dyDescent="0.3">
      <c r="J141635"/>
    </row>
    <row r="141636" spans="10:10" x14ac:dyDescent="0.3">
      <c r="J141636"/>
    </row>
    <row r="141637" spans="10:10" x14ac:dyDescent="0.3">
      <c r="J141637"/>
    </row>
    <row r="141638" spans="10:10" x14ac:dyDescent="0.3">
      <c r="J141638"/>
    </row>
    <row r="141639" spans="10:10" x14ac:dyDescent="0.3">
      <c r="J141639"/>
    </row>
    <row r="141640" spans="10:10" x14ac:dyDescent="0.3">
      <c r="J141640"/>
    </row>
    <row r="141641" spans="10:10" x14ac:dyDescent="0.3">
      <c r="J141641"/>
    </row>
    <row r="141642" spans="10:10" x14ac:dyDescent="0.3">
      <c r="J141642"/>
    </row>
    <row r="141643" spans="10:10" x14ac:dyDescent="0.3">
      <c r="J141643"/>
    </row>
    <row r="141644" spans="10:10" x14ac:dyDescent="0.3">
      <c r="J141644"/>
    </row>
    <row r="141645" spans="10:10" x14ac:dyDescent="0.3">
      <c r="J141645"/>
    </row>
    <row r="141646" spans="10:10" x14ac:dyDescent="0.3">
      <c r="J141646"/>
    </row>
    <row r="141647" spans="10:10" x14ac:dyDescent="0.3">
      <c r="J141647"/>
    </row>
    <row r="141648" spans="10:10" x14ac:dyDescent="0.3">
      <c r="J141648"/>
    </row>
    <row r="141649" spans="10:10" x14ac:dyDescent="0.3">
      <c r="J141649"/>
    </row>
    <row r="141650" spans="10:10" x14ac:dyDescent="0.3">
      <c r="J141650"/>
    </row>
    <row r="141651" spans="10:10" x14ac:dyDescent="0.3">
      <c r="J141651"/>
    </row>
    <row r="141652" spans="10:10" x14ac:dyDescent="0.3">
      <c r="J141652"/>
    </row>
    <row r="141653" spans="10:10" x14ac:dyDescent="0.3">
      <c r="J141653"/>
    </row>
    <row r="141654" spans="10:10" x14ac:dyDescent="0.3">
      <c r="J141654"/>
    </row>
    <row r="141655" spans="10:10" x14ac:dyDescent="0.3">
      <c r="J141655"/>
    </row>
    <row r="141656" spans="10:10" x14ac:dyDescent="0.3">
      <c r="J141656"/>
    </row>
    <row r="141657" spans="10:10" x14ac:dyDescent="0.3">
      <c r="J141657"/>
    </row>
    <row r="141658" spans="10:10" x14ac:dyDescent="0.3">
      <c r="J141658"/>
    </row>
    <row r="141659" spans="10:10" x14ac:dyDescent="0.3">
      <c r="J141659"/>
    </row>
    <row r="141660" spans="10:10" x14ac:dyDescent="0.3">
      <c r="J141660"/>
    </row>
    <row r="141661" spans="10:10" x14ac:dyDescent="0.3">
      <c r="J141661"/>
    </row>
    <row r="141662" spans="10:10" x14ac:dyDescent="0.3">
      <c r="J141662"/>
    </row>
    <row r="141663" spans="10:10" x14ac:dyDescent="0.3">
      <c r="J141663"/>
    </row>
    <row r="141664" spans="10:10" x14ac:dyDescent="0.3">
      <c r="J141664"/>
    </row>
    <row r="141665" spans="10:10" x14ac:dyDescent="0.3">
      <c r="J141665"/>
    </row>
    <row r="141666" spans="10:10" x14ac:dyDescent="0.3">
      <c r="J141666"/>
    </row>
    <row r="141667" spans="10:10" x14ac:dyDescent="0.3">
      <c r="J141667"/>
    </row>
    <row r="141668" spans="10:10" x14ac:dyDescent="0.3">
      <c r="J141668"/>
    </row>
    <row r="141669" spans="10:10" x14ac:dyDescent="0.3">
      <c r="J141669"/>
    </row>
    <row r="141670" spans="10:10" x14ac:dyDescent="0.3">
      <c r="J141670"/>
    </row>
    <row r="141671" spans="10:10" x14ac:dyDescent="0.3">
      <c r="J141671"/>
    </row>
    <row r="141672" spans="10:10" x14ac:dyDescent="0.3">
      <c r="J141672"/>
    </row>
    <row r="141673" spans="10:10" x14ac:dyDescent="0.3">
      <c r="J141673"/>
    </row>
    <row r="141674" spans="10:10" x14ac:dyDescent="0.3">
      <c r="J141674"/>
    </row>
    <row r="141675" spans="10:10" x14ac:dyDescent="0.3">
      <c r="J141675"/>
    </row>
    <row r="141676" spans="10:10" x14ac:dyDescent="0.3">
      <c r="J141676"/>
    </row>
    <row r="141677" spans="10:10" x14ac:dyDescent="0.3">
      <c r="J141677"/>
    </row>
    <row r="141678" spans="10:10" x14ac:dyDescent="0.3">
      <c r="J141678"/>
    </row>
    <row r="141679" spans="10:10" x14ac:dyDescent="0.3">
      <c r="J141679"/>
    </row>
    <row r="141680" spans="10:10" x14ac:dyDescent="0.3">
      <c r="J141680"/>
    </row>
    <row r="141681" spans="10:10" x14ac:dyDescent="0.3">
      <c r="J141681"/>
    </row>
    <row r="141682" spans="10:10" x14ac:dyDescent="0.3">
      <c r="J141682"/>
    </row>
    <row r="141683" spans="10:10" x14ac:dyDescent="0.3">
      <c r="J141683"/>
    </row>
    <row r="141684" spans="10:10" x14ac:dyDescent="0.3">
      <c r="J141684"/>
    </row>
    <row r="141685" spans="10:10" x14ac:dyDescent="0.3">
      <c r="J141685"/>
    </row>
    <row r="141686" spans="10:10" x14ac:dyDescent="0.3">
      <c r="J141686"/>
    </row>
    <row r="141687" spans="10:10" x14ac:dyDescent="0.3">
      <c r="J141687"/>
    </row>
    <row r="141688" spans="10:10" x14ac:dyDescent="0.3">
      <c r="J141688"/>
    </row>
    <row r="141689" spans="10:10" x14ac:dyDescent="0.3">
      <c r="J141689"/>
    </row>
    <row r="141690" spans="10:10" x14ac:dyDescent="0.3">
      <c r="J141690"/>
    </row>
    <row r="141691" spans="10:10" x14ac:dyDescent="0.3">
      <c r="J141691"/>
    </row>
    <row r="141692" spans="10:10" x14ac:dyDescent="0.3">
      <c r="J141692"/>
    </row>
    <row r="141693" spans="10:10" x14ac:dyDescent="0.3">
      <c r="J141693"/>
    </row>
    <row r="141694" spans="10:10" x14ac:dyDescent="0.3">
      <c r="J141694"/>
    </row>
    <row r="141695" spans="10:10" x14ac:dyDescent="0.3">
      <c r="J141695"/>
    </row>
    <row r="141696" spans="10:10" x14ac:dyDescent="0.3">
      <c r="J141696"/>
    </row>
    <row r="141697" spans="10:10" x14ac:dyDescent="0.3">
      <c r="J141697"/>
    </row>
    <row r="141698" spans="10:10" x14ac:dyDescent="0.3">
      <c r="J141698"/>
    </row>
    <row r="141699" spans="10:10" x14ac:dyDescent="0.3">
      <c r="J141699"/>
    </row>
    <row r="141700" spans="10:10" x14ac:dyDescent="0.3">
      <c r="J141700"/>
    </row>
    <row r="141701" spans="10:10" x14ac:dyDescent="0.3">
      <c r="J141701"/>
    </row>
    <row r="141702" spans="10:10" x14ac:dyDescent="0.3">
      <c r="J141702"/>
    </row>
    <row r="141703" spans="10:10" x14ac:dyDescent="0.3">
      <c r="J141703"/>
    </row>
    <row r="141704" spans="10:10" x14ac:dyDescent="0.3">
      <c r="J141704"/>
    </row>
    <row r="141705" spans="10:10" x14ac:dyDescent="0.3">
      <c r="J141705"/>
    </row>
    <row r="141706" spans="10:10" x14ac:dyDescent="0.3">
      <c r="J141706"/>
    </row>
    <row r="141707" spans="10:10" x14ac:dyDescent="0.3">
      <c r="J141707"/>
    </row>
    <row r="141708" spans="10:10" x14ac:dyDescent="0.3">
      <c r="J141708"/>
    </row>
    <row r="141709" spans="10:10" x14ac:dyDescent="0.3">
      <c r="J141709"/>
    </row>
    <row r="141710" spans="10:10" x14ac:dyDescent="0.3">
      <c r="J141710"/>
    </row>
    <row r="141711" spans="10:10" x14ac:dyDescent="0.3">
      <c r="J141711"/>
    </row>
    <row r="141712" spans="10:10" x14ac:dyDescent="0.3">
      <c r="J141712"/>
    </row>
    <row r="141713" spans="10:10" x14ac:dyDescent="0.3">
      <c r="J141713"/>
    </row>
    <row r="141714" spans="10:10" x14ac:dyDescent="0.3">
      <c r="J141714"/>
    </row>
    <row r="141715" spans="10:10" x14ac:dyDescent="0.3">
      <c r="J141715"/>
    </row>
    <row r="141716" spans="10:10" x14ac:dyDescent="0.3">
      <c r="J141716"/>
    </row>
    <row r="141717" spans="10:10" x14ac:dyDescent="0.3">
      <c r="J141717"/>
    </row>
    <row r="141718" spans="10:10" x14ac:dyDescent="0.3">
      <c r="J141718"/>
    </row>
    <row r="141719" spans="10:10" x14ac:dyDescent="0.3">
      <c r="J141719"/>
    </row>
    <row r="141720" spans="10:10" x14ac:dyDescent="0.3">
      <c r="J141720"/>
    </row>
    <row r="141721" spans="10:10" x14ac:dyDescent="0.3">
      <c r="J141721"/>
    </row>
    <row r="141722" spans="10:10" x14ac:dyDescent="0.3">
      <c r="J141722"/>
    </row>
    <row r="141723" spans="10:10" x14ac:dyDescent="0.3">
      <c r="J141723"/>
    </row>
    <row r="141724" spans="10:10" x14ac:dyDescent="0.3">
      <c r="J141724"/>
    </row>
    <row r="141725" spans="10:10" x14ac:dyDescent="0.3">
      <c r="J141725"/>
    </row>
    <row r="141726" spans="10:10" x14ac:dyDescent="0.3">
      <c r="J141726"/>
    </row>
    <row r="141727" spans="10:10" x14ac:dyDescent="0.3">
      <c r="J141727"/>
    </row>
    <row r="141728" spans="10:10" x14ac:dyDescent="0.3">
      <c r="J141728"/>
    </row>
    <row r="141729" spans="10:10" x14ac:dyDescent="0.3">
      <c r="J141729"/>
    </row>
    <row r="141730" spans="10:10" x14ac:dyDescent="0.3">
      <c r="J141730"/>
    </row>
    <row r="141731" spans="10:10" x14ac:dyDescent="0.3">
      <c r="J141731"/>
    </row>
    <row r="141732" spans="10:10" x14ac:dyDescent="0.3">
      <c r="J141732"/>
    </row>
    <row r="141733" spans="10:10" x14ac:dyDescent="0.3">
      <c r="J141733"/>
    </row>
    <row r="141734" spans="10:10" x14ac:dyDescent="0.3">
      <c r="J141734"/>
    </row>
    <row r="141735" spans="10:10" x14ac:dyDescent="0.3">
      <c r="J141735"/>
    </row>
    <row r="141736" spans="10:10" x14ac:dyDescent="0.3">
      <c r="J141736"/>
    </row>
    <row r="141737" spans="10:10" x14ac:dyDescent="0.3">
      <c r="J141737"/>
    </row>
    <row r="141738" spans="10:10" x14ac:dyDescent="0.3">
      <c r="J141738"/>
    </row>
    <row r="141739" spans="10:10" x14ac:dyDescent="0.3">
      <c r="J141739"/>
    </row>
    <row r="141740" spans="10:10" x14ac:dyDescent="0.3">
      <c r="J141740"/>
    </row>
    <row r="141741" spans="10:10" x14ac:dyDescent="0.3">
      <c r="J141741"/>
    </row>
    <row r="141742" spans="10:10" x14ac:dyDescent="0.3">
      <c r="J141742"/>
    </row>
    <row r="141743" spans="10:10" x14ac:dyDescent="0.3">
      <c r="J141743"/>
    </row>
    <row r="141744" spans="10:10" x14ac:dyDescent="0.3">
      <c r="J141744"/>
    </row>
    <row r="141745" spans="10:10" x14ac:dyDescent="0.3">
      <c r="J141745"/>
    </row>
    <row r="141746" spans="10:10" x14ac:dyDescent="0.3">
      <c r="J141746"/>
    </row>
    <row r="141747" spans="10:10" x14ac:dyDescent="0.3">
      <c r="J141747"/>
    </row>
    <row r="141748" spans="10:10" x14ac:dyDescent="0.3">
      <c r="J141748"/>
    </row>
    <row r="141749" spans="10:10" x14ac:dyDescent="0.3">
      <c r="J141749"/>
    </row>
    <row r="141750" spans="10:10" x14ac:dyDescent="0.3">
      <c r="J141750"/>
    </row>
    <row r="141751" spans="10:10" x14ac:dyDescent="0.3">
      <c r="J141751"/>
    </row>
    <row r="141752" spans="10:10" x14ac:dyDescent="0.3">
      <c r="J141752"/>
    </row>
    <row r="141753" spans="10:10" x14ac:dyDescent="0.3">
      <c r="J141753"/>
    </row>
    <row r="141754" spans="10:10" x14ac:dyDescent="0.3">
      <c r="J141754"/>
    </row>
    <row r="141755" spans="10:10" x14ac:dyDescent="0.3">
      <c r="J141755"/>
    </row>
    <row r="141756" spans="10:10" x14ac:dyDescent="0.3">
      <c r="J141756"/>
    </row>
    <row r="141757" spans="10:10" x14ac:dyDescent="0.3">
      <c r="J141757"/>
    </row>
    <row r="141758" spans="10:10" x14ac:dyDescent="0.3">
      <c r="J141758"/>
    </row>
    <row r="141759" spans="10:10" x14ac:dyDescent="0.3">
      <c r="J141759"/>
    </row>
    <row r="141760" spans="10:10" x14ac:dyDescent="0.3">
      <c r="J141760"/>
    </row>
    <row r="141761" spans="10:10" x14ac:dyDescent="0.3">
      <c r="J141761"/>
    </row>
    <row r="141762" spans="10:10" x14ac:dyDescent="0.3">
      <c r="J141762"/>
    </row>
    <row r="141763" spans="10:10" x14ac:dyDescent="0.3">
      <c r="J141763"/>
    </row>
    <row r="141764" spans="10:10" x14ac:dyDescent="0.3">
      <c r="J141764"/>
    </row>
    <row r="141765" spans="10:10" x14ac:dyDescent="0.3">
      <c r="J141765"/>
    </row>
    <row r="141766" spans="10:10" x14ac:dyDescent="0.3">
      <c r="J141766"/>
    </row>
    <row r="141767" spans="10:10" x14ac:dyDescent="0.3">
      <c r="J141767"/>
    </row>
    <row r="141768" spans="10:10" x14ac:dyDescent="0.3">
      <c r="J141768"/>
    </row>
    <row r="141769" spans="10:10" x14ac:dyDescent="0.3">
      <c r="J141769"/>
    </row>
    <row r="141770" spans="10:10" x14ac:dyDescent="0.3">
      <c r="J141770"/>
    </row>
    <row r="141771" spans="10:10" x14ac:dyDescent="0.3">
      <c r="J141771"/>
    </row>
    <row r="141772" spans="10:10" x14ac:dyDescent="0.3">
      <c r="J141772"/>
    </row>
    <row r="141773" spans="10:10" x14ac:dyDescent="0.3">
      <c r="J141773"/>
    </row>
    <row r="141774" spans="10:10" x14ac:dyDescent="0.3">
      <c r="J141774"/>
    </row>
    <row r="141775" spans="10:10" x14ac:dyDescent="0.3">
      <c r="J141775"/>
    </row>
    <row r="141776" spans="10:10" x14ac:dyDescent="0.3">
      <c r="J141776"/>
    </row>
    <row r="141777" spans="10:10" x14ac:dyDescent="0.3">
      <c r="J141777"/>
    </row>
    <row r="141778" spans="10:10" x14ac:dyDescent="0.3">
      <c r="J141778"/>
    </row>
    <row r="141779" spans="10:10" x14ac:dyDescent="0.3">
      <c r="J141779"/>
    </row>
    <row r="141780" spans="10:10" x14ac:dyDescent="0.3">
      <c r="J141780"/>
    </row>
    <row r="141781" spans="10:10" x14ac:dyDescent="0.3">
      <c r="J141781"/>
    </row>
    <row r="141782" spans="10:10" x14ac:dyDescent="0.3">
      <c r="J141782"/>
    </row>
    <row r="141783" spans="10:10" x14ac:dyDescent="0.3">
      <c r="J141783"/>
    </row>
    <row r="141784" spans="10:10" x14ac:dyDescent="0.3">
      <c r="J141784"/>
    </row>
    <row r="141785" spans="10:10" x14ac:dyDescent="0.3">
      <c r="J141785"/>
    </row>
    <row r="141786" spans="10:10" x14ac:dyDescent="0.3">
      <c r="J141786"/>
    </row>
    <row r="141787" spans="10:10" x14ac:dyDescent="0.3">
      <c r="J141787"/>
    </row>
    <row r="141788" spans="10:10" x14ac:dyDescent="0.3">
      <c r="J141788"/>
    </row>
    <row r="141789" spans="10:10" x14ac:dyDescent="0.3">
      <c r="J141789"/>
    </row>
    <row r="141790" spans="10:10" x14ac:dyDescent="0.3">
      <c r="J141790"/>
    </row>
    <row r="141791" spans="10:10" x14ac:dyDescent="0.3">
      <c r="J141791"/>
    </row>
    <row r="141792" spans="10:10" x14ac:dyDescent="0.3">
      <c r="J141792"/>
    </row>
    <row r="141793" spans="10:10" x14ac:dyDescent="0.3">
      <c r="J141793"/>
    </row>
    <row r="141794" spans="10:10" x14ac:dyDescent="0.3">
      <c r="J141794"/>
    </row>
    <row r="141795" spans="10:10" x14ac:dyDescent="0.3">
      <c r="J141795"/>
    </row>
    <row r="141796" spans="10:10" x14ac:dyDescent="0.3">
      <c r="J141796"/>
    </row>
    <row r="141797" spans="10:10" x14ac:dyDescent="0.3">
      <c r="J141797"/>
    </row>
    <row r="141798" spans="10:10" x14ac:dyDescent="0.3">
      <c r="J141798"/>
    </row>
    <row r="141799" spans="10:10" x14ac:dyDescent="0.3">
      <c r="J141799"/>
    </row>
    <row r="141800" spans="10:10" x14ac:dyDescent="0.3">
      <c r="J141800"/>
    </row>
    <row r="141801" spans="10:10" x14ac:dyDescent="0.3">
      <c r="J141801"/>
    </row>
    <row r="141802" spans="10:10" x14ac:dyDescent="0.3">
      <c r="J141802"/>
    </row>
    <row r="141803" spans="10:10" x14ac:dyDescent="0.3">
      <c r="J141803"/>
    </row>
    <row r="141804" spans="10:10" x14ac:dyDescent="0.3">
      <c r="J141804"/>
    </row>
    <row r="141805" spans="10:10" x14ac:dyDescent="0.3">
      <c r="J141805"/>
    </row>
    <row r="141806" spans="10:10" x14ac:dyDescent="0.3">
      <c r="J141806"/>
    </row>
    <row r="141807" spans="10:10" x14ac:dyDescent="0.3">
      <c r="J141807"/>
    </row>
    <row r="141808" spans="10:10" x14ac:dyDescent="0.3">
      <c r="J141808"/>
    </row>
    <row r="141809" spans="10:10" x14ac:dyDescent="0.3">
      <c r="J141809"/>
    </row>
    <row r="141810" spans="10:10" x14ac:dyDescent="0.3">
      <c r="J141810"/>
    </row>
    <row r="141811" spans="10:10" x14ac:dyDescent="0.3">
      <c r="J141811"/>
    </row>
    <row r="141812" spans="10:10" x14ac:dyDescent="0.3">
      <c r="J141812"/>
    </row>
    <row r="141813" spans="10:10" x14ac:dyDescent="0.3">
      <c r="J141813"/>
    </row>
    <row r="141814" spans="10:10" x14ac:dyDescent="0.3">
      <c r="J141814"/>
    </row>
    <row r="141815" spans="10:10" x14ac:dyDescent="0.3">
      <c r="J141815"/>
    </row>
    <row r="141816" spans="10:10" x14ac:dyDescent="0.3">
      <c r="J141816"/>
    </row>
    <row r="141817" spans="10:10" x14ac:dyDescent="0.3">
      <c r="J141817"/>
    </row>
    <row r="141818" spans="10:10" x14ac:dyDescent="0.3">
      <c r="J141818"/>
    </row>
    <row r="141819" spans="10:10" x14ac:dyDescent="0.3">
      <c r="J141819"/>
    </row>
    <row r="141820" spans="10:10" x14ac:dyDescent="0.3">
      <c r="J141820"/>
    </row>
    <row r="141821" spans="10:10" x14ac:dyDescent="0.3">
      <c r="J141821"/>
    </row>
    <row r="141822" spans="10:10" x14ac:dyDescent="0.3">
      <c r="J141822"/>
    </row>
    <row r="141823" spans="10:10" x14ac:dyDescent="0.3">
      <c r="J141823"/>
    </row>
    <row r="141824" spans="10:10" x14ac:dyDescent="0.3">
      <c r="J141824"/>
    </row>
    <row r="141825" spans="10:10" x14ac:dyDescent="0.3">
      <c r="J141825"/>
    </row>
    <row r="141826" spans="10:10" x14ac:dyDescent="0.3">
      <c r="J141826"/>
    </row>
    <row r="141827" spans="10:10" x14ac:dyDescent="0.3">
      <c r="J141827"/>
    </row>
    <row r="141828" spans="10:10" x14ac:dyDescent="0.3">
      <c r="J141828"/>
    </row>
    <row r="141829" spans="10:10" x14ac:dyDescent="0.3">
      <c r="J141829"/>
    </row>
    <row r="141830" spans="10:10" x14ac:dyDescent="0.3">
      <c r="J141830"/>
    </row>
    <row r="141831" spans="10:10" x14ac:dyDescent="0.3">
      <c r="J141831"/>
    </row>
    <row r="141832" spans="10:10" x14ac:dyDescent="0.3">
      <c r="J141832"/>
    </row>
    <row r="141833" spans="10:10" x14ac:dyDescent="0.3">
      <c r="J141833"/>
    </row>
    <row r="141834" spans="10:10" x14ac:dyDescent="0.3">
      <c r="J141834"/>
    </row>
    <row r="141835" spans="10:10" x14ac:dyDescent="0.3">
      <c r="J141835"/>
    </row>
    <row r="141836" spans="10:10" x14ac:dyDescent="0.3">
      <c r="J141836"/>
    </row>
    <row r="141837" spans="10:10" x14ac:dyDescent="0.3">
      <c r="J141837"/>
    </row>
    <row r="141838" spans="10:10" x14ac:dyDescent="0.3">
      <c r="J141838"/>
    </row>
    <row r="141839" spans="10:10" x14ac:dyDescent="0.3">
      <c r="J141839"/>
    </row>
    <row r="141840" spans="10:10" x14ac:dyDescent="0.3">
      <c r="J141840"/>
    </row>
    <row r="141841" spans="10:10" x14ac:dyDescent="0.3">
      <c r="J141841"/>
    </row>
    <row r="141842" spans="10:10" x14ac:dyDescent="0.3">
      <c r="J141842"/>
    </row>
    <row r="141843" spans="10:10" x14ac:dyDescent="0.3">
      <c r="J141843"/>
    </row>
    <row r="141844" spans="10:10" x14ac:dyDescent="0.3">
      <c r="J141844"/>
    </row>
    <row r="141845" spans="10:10" x14ac:dyDescent="0.3">
      <c r="J141845"/>
    </row>
    <row r="141846" spans="10:10" x14ac:dyDescent="0.3">
      <c r="J141846"/>
    </row>
    <row r="141847" spans="10:10" x14ac:dyDescent="0.3">
      <c r="J141847"/>
    </row>
    <row r="141848" spans="10:10" x14ac:dyDescent="0.3">
      <c r="J141848"/>
    </row>
    <row r="141849" spans="10:10" x14ac:dyDescent="0.3">
      <c r="J141849"/>
    </row>
    <row r="141850" spans="10:10" x14ac:dyDescent="0.3">
      <c r="J141850"/>
    </row>
    <row r="141851" spans="10:10" x14ac:dyDescent="0.3">
      <c r="J141851"/>
    </row>
    <row r="141852" spans="10:10" x14ac:dyDescent="0.3">
      <c r="J141852"/>
    </row>
    <row r="141853" spans="10:10" x14ac:dyDescent="0.3">
      <c r="J141853"/>
    </row>
    <row r="141854" spans="10:10" x14ac:dyDescent="0.3">
      <c r="J141854"/>
    </row>
    <row r="141855" spans="10:10" x14ac:dyDescent="0.3">
      <c r="J141855"/>
    </row>
    <row r="141856" spans="10:10" x14ac:dyDescent="0.3">
      <c r="J141856"/>
    </row>
    <row r="141857" spans="10:10" x14ac:dyDescent="0.3">
      <c r="J141857"/>
    </row>
    <row r="141858" spans="10:10" x14ac:dyDescent="0.3">
      <c r="J141858"/>
    </row>
    <row r="141859" spans="10:10" x14ac:dyDescent="0.3">
      <c r="J141859"/>
    </row>
    <row r="141860" spans="10:10" x14ac:dyDescent="0.3">
      <c r="J141860"/>
    </row>
    <row r="141861" spans="10:10" x14ac:dyDescent="0.3">
      <c r="J141861"/>
    </row>
    <row r="141862" spans="10:10" x14ac:dyDescent="0.3">
      <c r="J141862"/>
    </row>
    <row r="141863" spans="10:10" x14ac:dyDescent="0.3">
      <c r="J141863"/>
    </row>
    <row r="141864" spans="10:10" x14ac:dyDescent="0.3">
      <c r="J141864"/>
    </row>
    <row r="141865" spans="10:10" x14ac:dyDescent="0.3">
      <c r="J141865"/>
    </row>
    <row r="141866" spans="10:10" x14ac:dyDescent="0.3">
      <c r="J141866"/>
    </row>
    <row r="141867" spans="10:10" x14ac:dyDescent="0.3">
      <c r="J141867"/>
    </row>
    <row r="141868" spans="10:10" x14ac:dyDescent="0.3">
      <c r="J141868"/>
    </row>
    <row r="141869" spans="10:10" x14ac:dyDescent="0.3">
      <c r="J141869"/>
    </row>
    <row r="141870" spans="10:10" x14ac:dyDescent="0.3">
      <c r="J141870"/>
    </row>
    <row r="141871" spans="10:10" x14ac:dyDescent="0.3">
      <c r="J141871"/>
    </row>
    <row r="141872" spans="10:10" x14ac:dyDescent="0.3">
      <c r="J141872"/>
    </row>
    <row r="141873" spans="10:10" x14ac:dyDescent="0.3">
      <c r="J141873"/>
    </row>
    <row r="141874" spans="10:10" x14ac:dyDescent="0.3">
      <c r="J141874"/>
    </row>
    <row r="141875" spans="10:10" x14ac:dyDescent="0.3">
      <c r="J141875"/>
    </row>
    <row r="141876" spans="10:10" x14ac:dyDescent="0.3">
      <c r="J141876"/>
    </row>
    <row r="141877" spans="10:10" x14ac:dyDescent="0.3">
      <c r="J141877"/>
    </row>
    <row r="141878" spans="10:10" x14ac:dyDescent="0.3">
      <c r="J141878"/>
    </row>
    <row r="141879" spans="10:10" x14ac:dyDescent="0.3">
      <c r="J141879"/>
    </row>
    <row r="141880" spans="10:10" x14ac:dyDescent="0.3">
      <c r="J141880"/>
    </row>
    <row r="141881" spans="10:10" x14ac:dyDescent="0.3">
      <c r="J141881"/>
    </row>
    <row r="141882" spans="10:10" x14ac:dyDescent="0.3">
      <c r="J141882"/>
    </row>
    <row r="141883" spans="10:10" x14ac:dyDescent="0.3">
      <c r="J141883"/>
    </row>
    <row r="141884" spans="10:10" x14ac:dyDescent="0.3">
      <c r="J141884"/>
    </row>
    <row r="141885" spans="10:10" x14ac:dyDescent="0.3">
      <c r="J141885"/>
    </row>
    <row r="141886" spans="10:10" x14ac:dyDescent="0.3">
      <c r="J141886"/>
    </row>
    <row r="141887" spans="10:10" x14ac:dyDescent="0.3">
      <c r="J141887"/>
    </row>
    <row r="141888" spans="10:10" x14ac:dyDescent="0.3">
      <c r="J141888"/>
    </row>
    <row r="141889" spans="10:10" x14ac:dyDescent="0.3">
      <c r="J141889"/>
    </row>
    <row r="141890" spans="10:10" x14ac:dyDescent="0.3">
      <c r="J141890"/>
    </row>
    <row r="141891" spans="10:10" x14ac:dyDescent="0.3">
      <c r="J141891"/>
    </row>
    <row r="141892" spans="10:10" x14ac:dyDescent="0.3">
      <c r="J141892"/>
    </row>
    <row r="141893" spans="10:10" x14ac:dyDescent="0.3">
      <c r="J141893"/>
    </row>
    <row r="141894" spans="10:10" x14ac:dyDescent="0.3">
      <c r="J141894"/>
    </row>
    <row r="141895" spans="10:10" x14ac:dyDescent="0.3">
      <c r="J141895"/>
    </row>
    <row r="141896" spans="10:10" x14ac:dyDescent="0.3">
      <c r="J141896"/>
    </row>
    <row r="141897" spans="10:10" x14ac:dyDescent="0.3">
      <c r="J141897"/>
    </row>
    <row r="141898" spans="10:10" x14ac:dyDescent="0.3">
      <c r="J141898"/>
    </row>
    <row r="141899" spans="10:10" x14ac:dyDescent="0.3">
      <c r="J141899"/>
    </row>
    <row r="141900" spans="10:10" x14ac:dyDescent="0.3">
      <c r="J141900"/>
    </row>
    <row r="141901" spans="10:10" x14ac:dyDescent="0.3">
      <c r="J141901"/>
    </row>
    <row r="141902" spans="10:10" x14ac:dyDescent="0.3">
      <c r="J141902"/>
    </row>
    <row r="141903" spans="10:10" x14ac:dyDescent="0.3">
      <c r="J141903"/>
    </row>
    <row r="141904" spans="10:10" x14ac:dyDescent="0.3">
      <c r="J141904"/>
    </row>
    <row r="141905" spans="10:10" x14ac:dyDescent="0.3">
      <c r="J141905"/>
    </row>
    <row r="141906" spans="10:10" x14ac:dyDescent="0.3">
      <c r="J141906"/>
    </row>
    <row r="141907" spans="10:10" x14ac:dyDescent="0.3">
      <c r="J141907"/>
    </row>
    <row r="141908" spans="10:10" x14ac:dyDescent="0.3">
      <c r="J141908"/>
    </row>
    <row r="141909" spans="10:10" x14ac:dyDescent="0.3">
      <c r="J141909"/>
    </row>
    <row r="141910" spans="10:10" x14ac:dyDescent="0.3">
      <c r="J141910"/>
    </row>
    <row r="141911" spans="10:10" x14ac:dyDescent="0.3">
      <c r="J141911"/>
    </row>
    <row r="141912" spans="10:10" x14ac:dyDescent="0.3">
      <c r="J141912"/>
    </row>
    <row r="141913" spans="10:10" x14ac:dyDescent="0.3">
      <c r="J141913"/>
    </row>
    <row r="141914" spans="10:10" x14ac:dyDescent="0.3">
      <c r="J141914"/>
    </row>
    <row r="141915" spans="10:10" x14ac:dyDescent="0.3">
      <c r="J141915"/>
    </row>
    <row r="141916" spans="10:10" x14ac:dyDescent="0.3">
      <c r="J141916"/>
    </row>
    <row r="141917" spans="10:10" x14ac:dyDescent="0.3">
      <c r="J141917"/>
    </row>
    <row r="141918" spans="10:10" x14ac:dyDescent="0.3">
      <c r="J141918"/>
    </row>
    <row r="141919" spans="10:10" x14ac:dyDescent="0.3">
      <c r="J141919"/>
    </row>
    <row r="141920" spans="10:10" x14ac:dyDescent="0.3">
      <c r="J141920"/>
    </row>
    <row r="141921" spans="10:10" x14ac:dyDescent="0.3">
      <c r="J141921"/>
    </row>
    <row r="141922" spans="10:10" x14ac:dyDescent="0.3">
      <c r="J141922"/>
    </row>
    <row r="141923" spans="10:10" x14ac:dyDescent="0.3">
      <c r="J141923"/>
    </row>
    <row r="141924" spans="10:10" x14ac:dyDescent="0.3">
      <c r="J141924"/>
    </row>
    <row r="141925" spans="10:10" x14ac:dyDescent="0.3">
      <c r="J141925"/>
    </row>
    <row r="141926" spans="10:10" x14ac:dyDescent="0.3">
      <c r="J141926"/>
    </row>
    <row r="141927" spans="10:10" x14ac:dyDescent="0.3">
      <c r="J141927"/>
    </row>
    <row r="141928" spans="10:10" x14ac:dyDescent="0.3">
      <c r="J141928"/>
    </row>
    <row r="141929" spans="10:10" x14ac:dyDescent="0.3">
      <c r="J141929"/>
    </row>
    <row r="141930" spans="10:10" x14ac:dyDescent="0.3">
      <c r="J141930"/>
    </row>
    <row r="141931" spans="10:10" x14ac:dyDescent="0.3">
      <c r="J141931"/>
    </row>
    <row r="141932" spans="10:10" x14ac:dyDescent="0.3">
      <c r="J141932"/>
    </row>
    <row r="141933" spans="10:10" x14ac:dyDescent="0.3">
      <c r="J141933"/>
    </row>
    <row r="141934" spans="10:10" x14ac:dyDescent="0.3">
      <c r="J141934"/>
    </row>
    <row r="141935" spans="10:10" x14ac:dyDescent="0.3">
      <c r="J141935"/>
    </row>
    <row r="141936" spans="10:10" x14ac:dyDescent="0.3">
      <c r="J141936"/>
    </row>
    <row r="141937" spans="10:10" x14ac:dyDescent="0.3">
      <c r="J141937"/>
    </row>
    <row r="141938" spans="10:10" x14ac:dyDescent="0.3">
      <c r="J141938"/>
    </row>
    <row r="141939" spans="10:10" x14ac:dyDescent="0.3">
      <c r="J141939"/>
    </row>
    <row r="141940" spans="10:10" x14ac:dyDescent="0.3">
      <c r="J141940"/>
    </row>
    <row r="141941" spans="10:10" x14ac:dyDescent="0.3">
      <c r="J141941"/>
    </row>
    <row r="141942" spans="10:10" x14ac:dyDescent="0.3">
      <c r="J141942"/>
    </row>
    <row r="141943" spans="10:10" x14ac:dyDescent="0.3">
      <c r="J141943"/>
    </row>
    <row r="141944" spans="10:10" x14ac:dyDescent="0.3">
      <c r="J141944"/>
    </row>
    <row r="141945" spans="10:10" x14ac:dyDescent="0.3">
      <c r="J141945"/>
    </row>
    <row r="141946" spans="10:10" x14ac:dyDescent="0.3">
      <c r="J141946"/>
    </row>
    <row r="141947" spans="10:10" x14ac:dyDescent="0.3">
      <c r="J141947"/>
    </row>
    <row r="141948" spans="10:10" x14ac:dyDescent="0.3">
      <c r="J141948"/>
    </row>
    <row r="141949" spans="10:10" x14ac:dyDescent="0.3">
      <c r="J141949"/>
    </row>
    <row r="141950" spans="10:10" x14ac:dyDescent="0.3">
      <c r="J141950"/>
    </row>
    <row r="141951" spans="10:10" x14ac:dyDescent="0.3">
      <c r="J141951"/>
    </row>
    <row r="141952" spans="10:10" x14ac:dyDescent="0.3">
      <c r="J141952"/>
    </row>
    <row r="141953" spans="10:10" x14ac:dyDescent="0.3">
      <c r="J141953"/>
    </row>
    <row r="141954" spans="10:10" x14ac:dyDescent="0.3">
      <c r="J141954"/>
    </row>
    <row r="141955" spans="10:10" x14ac:dyDescent="0.3">
      <c r="J141955"/>
    </row>
    <row r="141956" spans="10:10" x14ac:dyDescent="0.3">
      <c r="J141956"/>
    </row>
    <row r="141957" spans="10:10" x14ac:dyDescent="0.3">
      <c r="J141957"/>
    </row>
    <row r="141958" spans="10:10" x14ac:dyDescent="0.3">
      <c r="J141958"/>
    </row>
    <row r="141959" spans="10:10" x14ac:dyDescent="0.3">
      <c r="J141959"/>
    </row>
    <row r="141960" spans="10:10" x14ac:dyDescent="0.3">
      <c r="J141960"/>
    </row>
    <row r="141961" spans="10:10" x14ac:dyDescent="0.3">
      <c r="J141961"/>
    </row>
    <row r="141962" spans="10:10" x14ac:dyDescent="0.3">
      <c r="J141962"/>
    </row>
    <row r="141963" spans="10:10" x14ac:dyDescent="0.3">
      <c r="J141963"/>
    </row>
    <row r="141964" spans="10:10" x14ac:dyDescent="0.3">
      <c r="J141964"/>
    </row>
    <row r="141965" spans="10:10" x14ac:dyDescent="0.3">
      <c r="J141965"/>
    </row>
    <row r="141966" spans="10:10" x14ac:dyDescent="0.3">
      <c r="J141966"/>
    </row>
    <row r="141967" spans="10:10" x14ac:dyDescent="0.3">
      <c r="J141967"/>
    </row>
    <row r="141968" spans="10:10" x14ac:dyDescent="0.3">
      <c r="J141968"/>
    </row>
    <row r="141969" spans="10:10" x14ac:dyDescent="0.3">
      <c r="J141969"/>
    </row>
    <row r="141970" spans="10:10" x14ac:dyDescent="0.3">
      <c r="J141970"/>
    </row>
    <row r="141971" spans="10:10" x14ac:dyDescent="0.3">
      <c r="J141971"/>
    </row>
    <row r="141972" spans="10:10" x14ac:dyDescent="0.3">
      <c r="J141972"/>
    </row>
    <row r="141973" spans="10:10" x14ac:dyDescent="0.3">
      <c r="J141973"/>
    </row>
    <row r="141974" spans="10:10" x14ac:dyDescent="0.3">
      <c r="J141974"/>
    </row>
    <row r="141975" spans="10:10" x14ac:dyDescent="0.3">
      <c r="J141975"/>
    </row>
    <row r="141976" spans="10:10" x14ac:dyDescent="0.3">
      <c r="J141976"/>
    </row>
    <row r="141977" spans="10:10" x14ac:dyDescent="0.3">
      <c r="J141977"/>
    </row>
    <row r="141978" spans="10:10" x14ac:dyDescent="0.3">
      <c r="J141978"/>
    </row>
    <row r="141979" spans="10:10" x14ac:dyDescent="0.3">
      <c r="J141979"/>
    </row>
    <row r="141980" spans="10:10" x14ac:dyDescent="0.3">
      <c r="J141980"/>
    </row>
    <row r="141981" spans="10:10" x14ac:dyDescent="0.3">
      <c r="J141981"/>
    </row>
    <row r="141982" spans="10:10" x14ac:dyDescent="0.3">
      <c r="J141982"/>
    </row>
    <row r="141983" spans="10:10" x14ac:dyDescent="0.3">
      <c r="J141983"/>
    </row>
    <row r="141984" spans="10:10" x14ac:dyDescent="0.3">
      <c r="J141984"/>
    </row>
    <row r="141985" spans="10:10" x14ac:dyDescent="0.3">
      <c r="J141985"/>
    </row>
    <row r="141986" spans="10:10" x14ac:dyDescent="0.3">
      <c r="J141986"/>
    </row>
    <row r="141987" spans="10:10" x14ac:dyDescent="0.3">
      <c r="J141987"/>
    </row>
    <row r="141988" spans="10:10" x14ac:dyDescent="0.3">
      <c r="J141988"/>
    </row>
    <row r="141989" spans="10:10" x14ac:dyDescent="0.3">
      <c r="J141989"/>
    </row>
    <row r="141990" spans="10:10" x14ac:dyDescent="0.3">
      <c r="J141990"/>
    </row>
    <row r="141991" spans="10:10" x14ac:dyDescent="0.3">
      <c r="J141991"/>
    </row>
    <row r="141992" spans="10:10" x14ac:dyDescent="0.3">
      <c r="J141992"/>
    </row>
    <row r="141993" spans="10:10" x14ac:dyDescent="0.3">
      <c r="J141993"/>
    </row>
    <row r="141994" spans="10:10" x14ac:dyDescent="0.3">
      <c r="J141994"/>
    </row>
    <row r="141995" spans="10:10" x14ac:dyDescent="0.3">
      <c r="J141995"/>
    </row>
    <row r="141996" spans="10:10" x14ac:dyDescent="0.3">
      <c r="J141996"/>
    </row>
    <row r="141997" spans="10:10" x14ac:dyDescent="0.3">
      <c r="J141997"/>
    </row>
    <row r="141998" spans="10:10" x14ac:dyDescent="0.3">
      <c r="J141998"/>
    </row>
    <row r="141999" spans="10:10" x14ac:dyDescent="0.3">
      <c r="J141999"/>
    </row>
    <row r="142000" spans="10:10" x14ac:dyDescent="0.3">
      <c r="J142000"/>
    </row>
    <row r="142001" spans="10:10" x14ac:dyDescent="0.3">
      <c r="J142001"/>
    </row>
    <row r="142002" spans="10:10" x14ac:dyDescent="0.3">
      <c r="J142002"/>
    </row>
    <row r="142003" spans="10:10" x14ac:dyDescent="0.3">
      <c r="J142003"/>
    </row>
    <row r="142004" spans="10:10" x14ac:dyDescent="0.3">
      <c r="J142004"/>
    </row>
    <row r="142005" spans="10:10" x14ac:dyDescent="0.3">
      <c r="J142005"/>
    </row>
    <row r="142006" spans="10:10" x14ac:dyDescent="0.3">
      <c r="J142006"/>
    </row>
    <row r="142007" spans="10:10" x14ac:dyDescent="0.3">
      <c r="J142007"/>
    </row>
    <row r="142008" spans="10:10" x14ac:dyDescent="0.3">
      <c r="J142008"/>
    </row>
    <row r="142009" spans="10:10" x14ac:dyDescent="0.3">
      <c r="J142009"/>
    </row>
    <row r="142010" spans="10:10" x14ac:dyDescent="0.3">
      <c r="J142010"/>
    </row>
    <row r="142011" spans="10:10" x14ac:dyDescent="0.3">
      <c r="J142011"/>
    </row>
    <row r="142012" spans="10:10" x14ac:dyDescent="0.3">
      <c r="J142012"/>
    </row>
    <row r="142013" spans="10:10" x14ac:dyDescent="0.3">
      <c r="J142013"/>
    </row>
    <row r="142014" spans="10:10" x14ac:dyDescent="0.3">
      <c r="J142014"/>
    </row>
    <row r="142015" spans="10:10" x14ac:dyDescent="0.3">
      <c r="J142015"/>
    </row>
    <row r="142016" spans="10:10" x14ac:dyDescent="0.3">
      <c r="J142016"/>
    </row>
    <row r="142017" spans="10:10" x14ac:dyDescent="0.3">
      <c r="J142017"/>
    </row>
    <row r="142018" spans="10:10" x14ac:dyDescent="0.3">
      <c r="J142018"/>
    </row>
    <row r="142019" spans="10:10" x14ac:dyDescent="0.3">
      <c r="J142019"/>
    </row>
    <row r="142020" spans="10:10" x14ac:dyDescent="0.3">
      <c r="J142020"/>
    </row>
    <row r="142021" spans="10:10" x14ac:dyDescent="0.3">
      <c r="J142021"/>
    </row>
    <row r="142022" spans="10:10" x14ac:dyDescent="0.3">
      <c r="J142022"/>
    </row>
    <row r="142023" spans="10:10" x14ac:dyDescent="0.3">
      <c r="J142023"/>
    </row>
    <row r="142024" spans="10:10" x14ac:dyDescent="0.3">
      <c r="J142024"/>
    </row>
    <row r="142025" spans="10:10" x14ac:dyDescent="0.3">
      <c r="J142025"/>
    </row>
    <row r="142026" spans="10:10" x14ac:dyDescent="0.3">
      <c r="J142026"/>
    </row>
    <row r="142027" spans="10:10" x14ac:dyDescent="0.3">
      <c r="J142027"/>
    </row>
    <row r="142028" spans="10:10" x14ac:dyDescent="0.3">
      <c r="J142028"/>
    </row>
    <row r="142029" spans="10:10" x14ac:dyDescent="0.3">
      <c r="J142029"/>
    </row>
    <row r="142030" spans="10:10" x14ac:dyDescent="0.3">
      <c r="J142030"/>
    </row>
    <row r="142031" spans="10:10" x14ac:dyDescent="0.3">
      <c r="J142031"/>
    </row>
    <row r="142032" spans="10:10" x14ac:dyDescent="0.3">
      <c r="J142032"/>
    </row>
    <row r="142033" spans="10:10" x14ac:dyDescent="0.3">
      <c r="J142033"/>
    </row>
    <row r="142034" spans="10:10" x14ac:dyDescent="0.3">
      <c r="J142034"/>
    </row>
    <row r="142035" spans="10:10" x14ac:dyDescent="0.3">
      <c r="J142035"/>
    </row>
    <row r="142036" spans="10:10" x14ac:dyDescent="0.3">
      <c r="J142036"/>
    </row>
    <row r="142037" spans="10:10" x14ac:dyDescent="0.3">
      <c r="J142037"/>
    </row>
    <row r="142038" spans="10:10" x14ac:dyDescent="0.3">
      <c r="J142038"/>
    </row>
    <row r="142039" spans="10:10" x14ac:dyDescent="0.3">
      <c r="J142039"/>
    </row>
    <row r="142040" spans="10:10" x14ac:dyDescent="0.3">
      <c r="J142040"/>
    </row>
    <row r="142041" spans="10:10" x14ac:dyDescent="0.3">
      <c r="J142041"/>
    </row>
    <row r="142042" spans="10:10" x14ac:dyDescent="0.3">
      <c r="J142042"/>
    </row>
    <row r="142043" spans="10:10" x14ac:dyDescent="0.3">
      <c r="J142043"/>
    </row>
    <row r="142044" spans="10:10" x14ac:dyDescent="0.3">
      <c r="J142044"/>
    </row>
    <row r="142045" spans="10:10" x14ac:dyDescent="0.3">
      <c r="J142045"/>
    </row>
    <row r="142046" spans="10:10" x14ac:dyDescent="0.3">
      <c r="J142046"/>
    </row>
    <row r="142047" spans="10:10" x14ac:dyDescent="0.3">
      <c r="J142047"/>
    </row>
    <row r="142048" spans="10:10" x14ac:dyDescent="0.3">
      <c r="J142048"/>
    </row>
    <row r="142049" spans="10:10" x14ac:dyDescent="0.3">
      <c r="J142049"/>
    </row>
    <row r="142050" spans="10:10" x14ac:dyDescent="0.3">
      <c r="J142050"/>
    </row>
    <row r="142051" spans="10:10" x14ac:dyDescent="0.3">
      <c r="J142051"/>
    </row>
    <row r="142052" spans="10:10" x14ac:dyDescent="0.3">
      <c r="J142052"/>
    </row>
    <row r="142053" spans="10:10" x14ac:dyDescent="0.3">
      <c r="J142053"/>
    </row>
    <row r="142054" spans="10:10" x14ac:dyDescent="0.3">
      <c r="J142054"/>
    </row>
    <row r="142055" spans="10:10" x14ac:dyDescent="0.3">
      <c r="J142055"/>
    </row>
    <row r="142056" spans="10:10" x14ac:dyDescent="0.3">
      <c r="J142056"/>
    </row>
    <row r="142057" spans="10:10" x14ac:dyDescent="0.3">
      <c r="J142057"/>
    </row>
    <row r="142058" spans="10:10" x14ac:dyDescent="0.3">
      <c r="J142058"/>
    </row>
    <row r="142059" spans="10:10" x14ac:dyDescent="0.3">
      <c r="J142059"/>
    </row>
    <row r="142060" spans="10:10" x14ac:dyDescent="0.3">
      <c r="J142060"/>
    </row>
    <row r="142061" spans="10:10" x14ac:dyDescent="0.3">
      <c r="J142061"/>
    </row>
    <row r="142062" spans="10:10" x14ac:dyDescent="0.3">
      <c r="J142062"/>
    </row>
    <row r="142063" spans="10:10" x14ac:dyDescent="0.3">
      <c r="J142063"/>
    </row>
    <row r="142064" spans="10:10" x14ac:dyDescent="0.3">
      <c r="J142064"/>
    </row>
    <row r="142065" spans="10:10" x14ac:dyDescent="0.3">
      <c r="J142065"/>
    </row>
    <row r="142066" spans="10:10" x14ac:dyDescent="0.3">
      <c r="J142066"/>
    </row>
    <row r="142067" spans="10:10" x14ac:dyDescent="0.3">
      <c r="J142067"/>
    </row>
    <row r="142068" spans="10:10" x14ac:dyDescent="0.3">
      <c r="J142068"/>
    </row>
    <row r="142069" spans="10:10" x14ac:dyDescent="0.3">
      <c r="J142069"/>
    </row>
    <row r="142070" spans="10:10" x14ac:dyDescent="0.3">
      <c r="J142070"/>
    </row>
    <row r="142071" spans="10:10" x14ac:dyDescent="0.3">
      <c r="J142071"/>
    </row>
    <row r="142072" spans="10:10" x14ac:dyDescent="0.3">
      <c r="J142072"/>
    </row>
    <row r="142073" spans="10:10" x14ac:dyDescent="0.3">
      <c r="J142073"/>
    </row>
    <row r="142074" spans="10:10" x14ac:dyDescent="0.3">
      <c r="J142074"/>
    </row>
    <row r="142075" spans="10:10" x14ac:dyDescent="0.3">
      <c r="J142075"/>
    </row>
    <row r="142076" spans="10:10" x14ac:dyDescent="0.3">
      <c r="J142076"/>
    </row>
    <row r="142077" spans="10:10" x14ac:dyDescent="0.3">
      <c r="J142077"/>
    </row>
    <row r="142078" spans="10:10" x14ac:dyDescent="0.3">
      <c r="J142078"/>
    </row>
    <row r="142079" spans="10:10" x14ac:dyDescent="0.3">
      <c r="J142079"/>
    </row>
    <row r="142080" spans="10:10" x14ac:dyDescent="0.3">
      <c r="J142080"/>
    </row>
    <row r="142081" spans="10:10" x14ac:dyDescent="0.3">
      <c r="J142081"/>
    </row>
    <row r="142082" spans="10:10" x14ac:dyDescent="0.3">
      <c r="J142082"/>
    </row>
    <row r="142083" spans="10:10" x14ac:dyDescent="0.3">
      <c r="J142083"/>
    </row>
    <row r="142084" spans="10:10" x14ac:dyDescent="0.3">
      <c r="J142084"/>
    </row>
    <row r="142085" spans="10:10" x14ac:dyDescent="0.3">
      <c r="J142085"/>
    </row>
    <row r="142086" spans="10:10" x14ac:dyDescent="0.3">
      <c r="J142086"/>
    </row>
    <row r="142087" spans="10:10" x14ac:dyDescent="0.3">
      <c r="J142087"/>
    </row>
    <row r="142088" spans="10:10" x14ac:dyDescent="0.3">
      <c r="J142088"/>
    </row>
    <row r="142089" spans="10:10" x14ac:dyDescent="0.3">
      <c r="J142089"/>
    </row>
    <row r="142090" spans="10:10" x14ac:dyDescent="0.3">
      <c r="J142090"/>
    </row>
    <row r="142091" spans="10:10" x14ac:dyDescent="0.3">
      <c r="J142091"/>
    </row>
    <row r="142092" spans="10:10" x14ac:dyDescent="0.3">
      <c r="J142092"/>
    </row>
    <row r="142093" spans="10:10" x14ac:dyDescent="0.3">
      <c r="J142093"/>
    </row>
    <row r="142094" spans="10:10" x14ac:dyDescent="0.3">
      <c r="J142094"/>
    </row>
    <row r="142095" spans="10:10" x14ac:dyDescent="0.3">
      <c r="J142095"/>
    </row>
    <row r="142096" spans="10:10" x14ac:dyDescent="0.3">
      <c r="J142096"/>
    </row>
    <row r="142097" spans="10:10" x14ac:dyDescent="0.3">
      <c r="J142097"/>
    </row>
    <row r="142098" spans="10:10" x14ac:dyDescent="0.3">
      <c r="J142098"/>
    </row>
    <row r="142099" spans="10:10" x14ac:dyDescent="0.3">
      <c r="J142099"/>
    </row>
    <row r="142100" spans="10:10" x14ac:dyDescent="0.3">
      <c r="J142100"/>
    </row>
    <row r="142101" spans="10:10" x14ac:dyDescent="0.3">
      <c r="J142101"/>
    </row>
    <row r="142102" spans="10:10" x14ac:dyDescent="0.3">
      <c r="J142102"/>
    </row>
    <row r="142103" spans="10:10" x14ac:dyDescent="0.3">
      <c r="J142103"/>
    </row>
    <row r="142104" spans="10:10" x14ac:dyDescent="0.3">
      <c r="J142104"/>
    </row>
    <row r="142105" spans="10:10" x14ac:dyDescent="0.3">
      <c r="J142105"/>
    </row>
    <row r="142106" spans="10:10" x14ac:dyDescent="0.3">
      <c r="J142106"/>
    </row>
    <row r="142107" spans="10:10" x14ac:dyDescent="0.3">
      <c r="J142107"/>
    </row>
    <row r="142108" spans="10:10" x14ac:dyDescent="0.3">
      <c r="J142108"/>
    </row>
    <row r="142109" spans="10:10" x14ac:dyDescent="0.3">
      <c r="J142109"/>
    </row>
    <row r="142110" spans="10:10" x14ac:dyDescent="0.3">
      <c r="J142110"/>
    </row>
    <row r="142111" spans="10:10" x14ac:dyDescent="0.3">
      <c r="J142111"/>
    </row>
    <row r="142112" spans="10:10" x14ac:dyDescent="0.3">
      <c r="J142112"/>
    </row>
    <row r="142113" spans="10:10" x14ac:dyDescent="0.3">
      <c r="J142113"/>
    </row>
    <row r="142114" spans="10:10" x14ac:dyDescent="0.3">
      <c r="J142114"/>
    </row>
    <row r="142115" spans="10:10" x14ac:dyDescent="0.3">
      <c r="J142115"/>
    </row>
    <row r="142116" spans="10:10" x14ac:dyDescent="0.3">
      <c r="J142116"/>
    </row>
    <row r="142117" spans="10:10" x14ac:dyDescent="0.3">
      <c r="J142117"/>
    </row>
    <row r="142118" spans="10:10" x14ac:dyDescent="0.3">
      <c r="J142118"/>
    </row>
    <row r="142119" spans="10:10" x14ac:dyDescent="0.3">
      <c r="J142119"/>
    </row>
    <row r="142120" spans="10:10" x14ac:dyDescent="0.3">
      <c r="J142120"/>
    </row>
    <row r="142121" spans="10:10" x14ac:dyDescent="0.3">
      <c r="J142121"/>
    </row>
    <row r="142122" spans="10:10" x14ac:dyDescent="0.3">
      <c r="J142122"/>
    </row>
    <row r="142123" spans="10:10" x14ac:dyDescent="0.3">
      <c r="J142123"/>
    </row>
    <row r="142124" spans="10:10" x14ac:dyDescent="0.3">
      <c r="J142124"/>
    </row>
    <row r="142125" spans="10:10" x14ac:dyDescent="0.3">
      <c r="J142125"/>
    </row>
    <row r="142126" spans="10:10" x14ac:dyDescent="0.3">
      <c r="J142126"/>
    </row>
    <row r="142127" spans="10:10" x14ac:dyDescent="0.3">
      <c r="J142127"/>
    </row>
    <row r="142128" spans="10:10" x14ac:dyDescent="0.3">
      <c r="J142128"/>
    </row>
    <row r="142129" spans="10:10" x14ac:dyDescent="0.3">
      <c r="J142129"/>
    </row>
    <row r="142130" spans="10:10" x14ac:dyDescent="0.3">
      <c r="J142130"/>
    </row>
    <row r="142131" spans="10:10" x14ac:dyDescent="0.3">
      <c r="J142131"/>
    </row>
    <row r="142132" spans="10:10" x14ac:dyDescent="0.3">
      <c r="J142132"/>
    </row>
    <row r="142133" spans="10:10" x14ac:dyDescent="0.3">
      <c r="J142133"/>
    </row>
    <row r="142134" spans="10:10" x14ac:dyDescent="0.3">
      <c r="J142134"/>
    </row>
    <row r="142135" spans="10:10" x14ac:dyDescent="0.3">
      <c r="J142135"/>
    </row>
    <row r="142136" spans="10:10" x14ac:dyDescent="0.3">
      <c r="J142136"/>
    </row>
    <row r="142137" spans="10:10" x14ac:dyDescent="0.3">
      <c r="J142137"/>
    </row>
    <row r="142138" spans="10:10" x14ac:dyDescent="0.3">
      <c r="J142138"/>
    </row>
    <row r="142139" spans="10:10" x14ac:dyDescent="0.3">
      <c r="J142139"/>
    </row>
    <row r="142140" spans="10:10" x14ac:dyDescent="0.3">
      <c r="J142140"/>
    </row>
    <row r="142141" spans="10:10" x14ac:dyDescent="0.3">
      <c r="J142141"/>
    </row>
    <row r="142142" spans="10:10" x14ac:dyDescent="0.3">
      <c r="J142142"/>
    </row>
    <row r="142143" spans="10:10" x14ac:dyDescent="0.3">
      <c r="J142143"/>
    </row>
    <row r="142144" spans="10:10" x14ac:dyDescent="0.3">
      <c r="J142144"/>
    </row>
    <row r="142145" spans="10:10" x14ac:dyDescent="0.3">
      <c r="J142145"/>
    </row>
    <row r="142146" spans="10:10" x14ac:dyDescent="0.3">
      <c r="J142146"/>
    </row>
    <row r="142147" spans="10:10" x14ac:dyDescent="0.3">
      <c r="J142147"/>
    </row>
    <row r="142148" spans="10:10" x14ac:dyDescent="0.3">
      <c r="J142148"/>
    </row>
    <row r="142149" spans="10:10" x14ac:dyDescent="0.3">
      <c r="J142149"/>
    </row>
    <row r="142150" spans="10:10" x14ac:dyDescent="0.3">
      <c r="J142150"/>
    </row>
    <row r="142151" spans="10:10" x14ac:dyDescent="0.3">
      <c r="J142151"/>
    </row>
    <row r="142152" spans="10:10" x14ac:dyDescent="0.3">
      <c r="J142152"/>
    </row>
    <row r="142153" spans="10:10" x14ac:dyDescent="0.3">
      <c r="J142153"/>
    </row>
    <row r="142154" spans="10:10" x14ac:dyDescent="0.3">
      <c r="J142154"/>
    </row>
    <row r="142155" spans="10:10" x14ac:dyDescent="0.3">
      <c r="J142155"/>
    </row>
    <row r="142156" spans="10:10" x14ac:dyDescent="0.3">
      <c r="J142156"/>
    </row>
    <row r="142157" spans="10:10" x14ac:dyDescent="0.3">
      <c r="J142157"/>
    </row>
    <row r="142158" spans="10:10" x14ac:dyDescent="0.3">
      <c r="J142158"/>
    </row>
    <row r="142159" spans="10:10" x14ac:dyDescent="0.3">
      <c r="J142159"/>
    </row>
    <row r="142160" spans="10:10" x14ac:dyDescent="0.3">
      <c r="J142160"/>
    </row>
    <row r="142161" spans="10:10" x14ac:dyDescent="0.3">
      <c r="J142161"/>
    </row>
    <row r="142162" spans="10:10" x14ac:dyDescent="0.3">
      <c r="J142162"/>
    </row>
    <row r="142163" spans="10:10" x14ac:dyDescent="0.3">
      <c r="J142163"/>
    </row>
    <row r="142164" spans="10:10" x14ac:dyDescent="0.3">
      <c r="J142164"/>
    </row>
    <row r="142165" spans="10:10" x14ac:dyDescent="0.3">
      <c r="J142165"/>
    </row>
    <row r="142166" spans="10:10" x14ac:dyDescent="0.3">
      <c r="J142166"/>
    </row>
    <row r="142167" spans="10:10" x14ac:dyDescent="0.3">
      <c r="J142167"/>
    </row>
    <row r="142168" spans="10:10" x14ac:dyDescent="0.3">
      <c r="J142168"/>
    </row>
    <row r="142169" spans="10:10" x14ac:dyDescent="0.3">
      <c r="J142169"/>
    </row>
    <row r="142170" spans="10:10" x14ac:dyDescent="0.3">
      <c r="J142170"/>
    </row>
    <row r="142171" spans="10:10" x14ac:dyDescent="0.3">
      <c r="J142171"/>
    </row>
    <row r="142172" spans="10:10" x14ac:dyDescent="0.3">
      <c r="J142172"/>
    </row>
    <row r="142173" spans="10:10" x14ac:dyDescent="0.3">
      <c r="J142173"/>
    </row>
    <row r="142174" spans="10:10" x14ac:dyDescent="0.3">
      <c r="J142174"/>
    </row>
    <row r="142175" spans="10:10" x14ac:dyDescent="0.3">
      <c r="J142175"/>
    </row>
    <row r="142176" spans="10:10" x14ac:dyDescent="0.3">
      <c r="J142176"/>
    </row>
    <row r="142177" spans="10:10" x14ac:dyDescent="0.3">
      <c r="J142177"/>
    </row>
    <row r="142178" spans="10:10" x14ac:dyDescent="0.3">
      <c r="J142178"/>
    </row>
    <row r="142179" spans="10:10" x14ac:dyDescent="0.3">
      <c r="J142179"/>
    </row>
    <row r="142180" spans="10:10" x14ac:dyDescent="0.3">
      <c r="J142180"/>
    </row>
    <row r="142181" spans="10:10" x14ac:dyDescent="0.3">
      <c r="J142181"/>
    </row>
    <row r="142182" spans="10:10" x14ac:dyDescent="0.3">
      <c r="J142182"/>
    </row>
    <row r="142183" spans="10:10" x14ac:dyDescent="0.3">
      <c r="J142183"/>
    </row>
    <row r="142184" spans="10:10" x14ac:dyDescent="0.3">
      <c r="J142184"/>
    </row>
    <row r="142185" spans="10:10" x14ac:dyDescent="0.3">
      <c r="J142185"/>
    </row>
    <row r="142186" spans="10:10" x14ac:dyDescent="0.3">
      <c r="J142186"/>
    </row>
    <row r="142187" spans="10:10" x14ac:dyDescent="0.3">
      <c r="J142187"/>
    </row>
    <row r="142188" spans="10:10" x14ac:dyDescent="0.3">
      <c r="J142188"/>
    </row>
    <row r="142189" spans="10:10" x14ac:dyDescent="0.3">
      <c r="J142189"/>
    </row>
    <row r="142190" spans="10:10" x14ac:dyDescent="0.3">
      <c r="J142190"/>
    </row>
    <row r="142191" spans="10:10" x14ac:dyDescent="0.3">
      <c r="J142191"/>
    </row>
    <row r="142192" spans="10:10" x14ac:dyDescent="0.3">
      <c r="J142192"/>
    </row>
    <row r="142193" spans="10:10" x14ac:dyDescent="0.3">
      <c r="J142193"/>
    </row>
    <row r="142194" spans="10:10" x14ac:dyDescent="0.3">
      <c r="J142194"/>
    </row>
    <row r="142195" spans="10:10" x14ac:dyDescent="0.3">
      <c r="J142195"/>
    </row>
    <row r="142196" spans="10:10" x14ac:dyDescent="0.3">
      <c r="J142196"/>
    </row>
    <row r="142197" spans="10:10" x14ac:dyDescent="0.3">
      <c r="J142197"/>
    </row>
    <row r="142198" spans="10:10" x14ac:dyDescent="0.3">
      <c r="J142198"/>
    </row>
    <row r="142199" spans="10:10" x14ac:dyDescent="0.3">
      <c r="J142199"/>
    </row>
    <row r="142200" spans="10:10" x14ac:dyDescent="0.3">
      <c r="J142200"/>
    </row>
    <row r="142201" spans="10:10" x14ac:dyDescent="0.3">
      <c r="J142201"/>
    </row>
    <row r="142202" spans="10:10" x14ac:dyDescent="0.3">
      <c r="J142202"/>
    </row>
    <row r="142203" spans="10:10" x14ac:dyDescent="0.3">
      <c r="J142203"/>
    </row>
    <row r="142204" spans="10:10" x14ac:dyDescent="0.3">
      <c r="J142204"/>
    </row>
    <row r="142205" spans="10:10" x14ac:dyDescent="0.3">
      <c r="J142205"/>
    </row>
    <row r="142206" spans="10:10" x14ac:dyDescent="0.3">
      <c r="J142206"/>
    </row>
    <row r="142207" spans="10:10" x14ac:dyDescent="0.3">
      <c r="J142207"/>
    </row>
    <row r="142208" spans="10:10" x14ac:dyDescent="0.3">
      <c r="J142208"/>
    </row>
    <row r="142209" spans="10:10" x14ac:dyDescent="0.3">
      <c r="J142209"/>
    </row>
    <row r="142210" spans="10:10" x14ac:dyDescent="0.3">
      <c r="J142210"/>
    </row>
    <row r="142211" spans="10:10" x14ac:dyDescent="0.3">
      <c r="J142211"/>
    </row>
    <row r="142212" spans="10:10" x14ac:dyDescent="0.3">
      <c r="J142212"/>
    </row>
    <row r="142213" spans="10:10" x14ac:dyDescent="0.3">
      <c r="J142213"/>
    </row>
    <row r="142214" spans="10:10" x14ac:dyDescent="0.3">
      <c r="J142214"/>
    </row>
    <row r="142215" spans="10:10" x14ac:dyDescent="0.3">
      <c r="J142215"/>
    </row>
    <row r="142216" spans="10:10" x14ac:dyDescent="0.3">
      <c r="J142216"/>
    </row>
    <row r="142217" spans="10:10" x14ac:dyDescent="0.3">
      <c r="J142217"/>
    </row>
    <row r="142218" spans="10:10" x14ac:dyDescent="0.3">
      <c r="J142218"/>
    </row>
    <row r="142219" spans="10:10" x14ac:dyDescent="0.3">
      <c r="J142219"/>
    </row>
    <row r="142220" spans="10:10" x14ac:dyDescent="0.3">
      <c r="J142220"/>
    </row>
    <row r="142221" spans="10:10" x14ac:dyDescent="0.3">
      <c r="J142221"/>
    </row>
    <row r="142222" spans="10:10" x14ac:dyDescent="0.3">
      <c r="J142222"/>
    </row>
    <row r="142223" spans="10:10" x14ac:dyDescent="0.3">
      <c r="J142223"/>
    </row>
    <row r="142224" spans="10:10" x14ac:dyDescent="0.3">
      <c r="J142224"/>
    </row>
    <row r="142225" spans="10:10" x14ac:dyDescent="0.3">
      <c r="J142225"/>
    </row>
    <row r="142226" spans="10:10" x14ac:dyDescent="0.3">
      <c r="J142226"/>
    </row>
    <row r="142227" spans="10:10" x14ac:dyDescent="0.3">
      <c r="J142227"/>
    </row>
    <row r="142228" spans="10:10" x14ac:dyDescent="0.3">
      <c r="J142228"/>
    </row>
    <row r="142229" spans="10:10" x14ac:dyDescent="0.3">
      <c r="J142229"/>
    </row>
    <row r="142230" spans="10:10" x14ac:dyDescent="0.3">
      <c r="J142230"/>
    </row>
    <row r="142231" spans="10:10" x14ac:dyDescent="0.3">
      <c r="J142231"/>
    </row>
    <row r="142232" spans="10:10" x14ac:dyDescent="0.3">
      <c r="J142232"/>
    </row>
    <row r="142233" spans="10:10" x14ac:dyDescent="0.3">
      <c r="J142233"/>
    </row>
    <row r="142234" spans="10:10" x14ac:dyDescent="0.3">
      <c r="J142234"/>
    </row>
    <row r="142235" spans="10:10" x14ac:dyDescent="0.3">
      <c r="J142235"/>
    </row>
    <row r="142236" spans="10:10" x14ac:dyDescent="0.3">
      <c r="J142236"/>
    </row>
    <row r="142237" spans="10:10" x14ac:dyDescent="0.3">
      <c r="J142237"/>
    </row>
    <row r="142238" spans="10:10" x14ac:dyDescent="0.3">
      <c r="J142238"/>
    </row>
    <row r="142239" spans="10:10" x14ac:dyDescent="0.3">
      <c r="J142239"/>
    </row>
    <row r="142240" spans="10:10" x14ac:dyDescent="0.3">
      <c r="J142240"/>
    </row>
    <row r="142241" spans="10:10" x14ac:dyDescent="0.3">
      <c r="J142241"/>
    </row>
    <row r="142242" spans="10:10" x14ac:dyDescent="0.3">
      <c r="J142242"/>
    </row>
    <row r="142243" spans="10:10" x14ac:dyDescent="0.3">
      <c r="J142243"/>
    </row>
    <row r="142244" spans="10:10" x14ac:dyDescent="0.3">
      <c r="J142244"/>
    </row>
    <row r="142245" spans="10:10" x14ac:dyDescent="0.3">
      <c r="J142245"/>
    </row>
    <row r="142246" spans="10:10" x14ac:dyDescent="0.3">
      <c r="J142246"/>
    </row>
    <row r="142247" spans="10:10" x14ac:dyDescent="0.3">
      <c r="J142247"/>
    </row>
    <row r="142248" spans="10:10" x14ac:dyDescent="0.3">
      <c r="J142248"/>
    </row>
    <row r="142249" spans="10:10" x14ac:dyDescent="0.3">
      <c r="J142249"/>
    </row>
    <row r="142250" spans="10:10" x14ac:dyDescent="0.3">
      <c r="J142250"/>
    </row>
    <row r="142251" spans="10:10" x14ac:dyDescent="0.3">
      <c r="J142251"/>
    </row>
    <row r="142252" spans="10:10" x14ac:dyDescent="0.3">
      <c r="J142252"/>
    </row>
    <row r="142253" spans="10:10" x14ac:dyDescent="0.3">
      <c r="J142253"/>
    </row>
    <row r="142254" spans="10:10" x14ac:dyDescent="0.3">
      <c r="J142254"/>
    </row>
    <row r="142255" spans="10:10" x14ac:dyDescent="0.3">
      <c r="J142255"/>
    </row>
    <row r="142256" spans="10:10" x14ac:dyDescent="0.3">
      <c r="J142256"/>
    </row>
    <row r="142257" spans="10:10" x14ac:dyDescent="0.3">
      <c r="J142257"/>
    </row>
    <row r="142258" spans="10:10" x14ac:dyDescent="0.3">
      <c r="J142258"/>
    </row>
    <row r="142259" spans="10:10" x14ac:dyDescent="0.3">
      <c r="J142259"/>
    </row>
    <row r="142260" spans="10:10" x14ac:dyDescent="0.3">
      <c r="J142260"/>
    </row>
    <row r="142261" spans="10:10" x14ac:dyDescent="0.3">
      <c r="J142261"/>
    </row>
    <row r="142262" spans="10:10" x14ac:dyDescent="0.3">
      <c r="J142262"/>
    </row>
    <row r="142263" spans="10:10" x14ac:dyDescent="0.3">
      <c r="J142263"/>
    </row>
    <row r="142264" spans="10:10" x14ac:dyDescent="0.3">
      <c r="J142264"/>
    </row>
    <row r="142265" spans="10:10" x14ac:dyDescent="0.3">
      <c r="J142265"/>
    </row>
    <row r="142266" spans="10:10" x14ac:dyDescent="0.3">
      <c r="J142266"/>
    </row>
    <row r="142267" spans="10:10" x14ac:dyDescent="0.3">
      <c r="J142267"/>
    </row>
    <row r="142268" spans="10:10" x14ac:dyDescent="0.3">
      <c r="J142268"/>
    </row>
    <row r="142269" spans="10:10" x14ac:dyDescent="0.3">
      <c r="J142269"/>
    </row>
    <row r="142270" spans="10:10" x14ac:dyDescent="0.3">
      <c r="J142270"/>
    </row>
    <row r="142271" spans="10:10" x14ac:dyDescent="0.3">
      <c r="J142271"/>
    </row>
    <row r="142272" spans="10:10" x14ac:dyDescent="0.3">
      <c r="J142272"/>
    </row>
    <row r="142273" spans="10:10" x14ac:dyDescent="0.3">
      <c r="J142273"/>
    </row>
    <row r="142274" spans="10:10" x14ac:dyDescent="0.3">
      <c r="J142274"/>
    </row>
    <row r="142275" spans="10:10" x14ac:dyDescent="0.3">
      <c r="J142275"/>
    </row>
    <row r="142276" spans="10:10" x14ac:dyDescent="0.3">
      <c r="J142276"/>
    </row>
    <row r="142277" spans="10:10" x14ac:dyDescent="0.3">
      <c r="J142277"/>
    </row>
    <row r="142278" spans="10:10" x14ac:dyDescent="0.3">
      <c r="J142278"/>
    </row>
    <row r="142279" spans="10:10" x14ac:dyDescent="0.3">
      <c r="J142279"/>
    </row>
    <row r="142280" spans="10:10" x14ac:dyDescent="0.3">
      <c r="J142280"/>
    </row>
    <row r="142281" spans="10:10" x14ac:dyDescent="0.3">
      <c r="J142281"/>
    </row>
    <row r="142282" spans="10:10" x14ac:dyDescent="0.3">
      <c r="J142282"/>
    </row>
    <row r="142283" spans="10:10" x14ac:dyDescent="0.3">
      <c r="J142283"/>
    </row>
    <row r="142284" spans="10:10" x14ac:dyDescent="0.3">
      <c r="J142284"/>
    </row>
    <row r="142285" spans="10:10" x14ac:dyDescent="0.3">
      <c r="J142285"/>
    </row>
    <row r="142286" spans="10:10" x14ac:dyDescent="0.3">
      <c r="J142286"/>
    </row>
    <row r="142287" spans="10:10" x14ac:dyDescent="0.3">
      <c r="J142287"/>
    </row>
    <row r="142288" spans="10:10" x14ac:dyDescent="0.3">
      <c r="J142288"/>
    </row>
    <row r="142289" spans="10:10" x14ac:dyDescent="0.3">
      <c r="J142289"/>
    </row>
    <row r="142290" spans="10:10" x14ac:dyDescent="0.3">
      <c r="J142290"/>
    </row>
    <row r="142291" spans="10:10" x14ac:dyDescent="0.3">
      <c r="J142291"/>
    </row>
    <row r="142292" spans="10:10" x14ac:dyDescent="0.3">
      <c r="J142292"/>
    </row>
    <row r="142293" spans="10:10" x14ac:dyDescent="0.3">
      <c r="J142293"/>
    </row>
    <row r="142294" spans="10:10" x14ac:dyDescent="0.3">
      <c r="J142294"/>
    </row>
    <row r="142295" spans="10:10" x14ac:dyDescent="0.3">
      <c r="J142295"/>
    </row>
    <row r="142296" spans="10:10" x14ac:dyDescent="0.3">
      <c r="J142296"/>
    </row>
    <row r="142297" spans="10:10" x14ac:dyDescent="0.3">
      <c r="J142297"/>
    </row>
    <row r="142298" spans="10:10" x14ac:dyDescent="0.3">
      <c r="J142298"/>
    </row>
    <row r="142299" spans="10:10" x14ac:dyDescent="0.3">
      <c r="J142299"/>
    </row>
    <row r="142300" spans="10:10" x14ac:dyDescent="0.3">
      <c r="J142300"/>
    </row>
    <row r="142301" spans="10:10" x14ac:dyDescent="0.3">
      <c r="J142301"/>
    </row>
    <row r="142302" spans="10:10" x14ac:dyDescent="0.3">
      <c r="J142302"/>
    </row>
    <row r="142303" spans="10:10" x14ac:dyDescent="0.3">
      <c r="J142303"/>
    </row>
    <row r="142304" spans="10:10" x14ac:dyDescent="0.3">
      <c r="J142304"/>
    </row>
    <row r="142305" spans="10:10" x14ac:dyDescent="0.3">
      <c r="J142305"/>
    </row>
    <row r="142306" spans="10:10" x14ac:dyDescent="0.3">
      <c r="J142306"/>
    </row>
    <row r="142307" spans="10:10" x14ac:dyDescent="0.3">
      <c r="J142307"/>
    </row>
    <row r="142308" spans="10:10" x14ac:dyDescent="0.3">
      <c r="J142308"/>
    </row>
    <row r="142309" spans="10:10" x14ac:dyDescent="0.3">
      <c r="J142309"/>
    </row>
    <row r="142310" spans="10:10" x14ac:dyDescent="0.3">
      <c r="J142310"/>
    </row>
    <row r="142311" spans="10:10" x14ac:dyDescent="0.3">
      <c r="J142311"/>
    </row>
    <row r="142312" spans="10:10" x14ac:dyDescent="0.3">
      <c r="J142312"/>
    </row>
    <row r="142313" spans="10:10" x14ac:dyDescent="0.3">
      <c r="J142313"/>
    </row>
    <row r="142314" spans="10:10" x14ac:dyDescent="0.3">
      <c r="J142314"/>
    </row>
    <row r="142315" spans="10:10" x14ac:dyDescent="0.3">
      <c r="J142315"/>
    </row>
    <row r="142316" spans="10:10" x14ac:dyDescent="0.3">
      <c r="J142316"/>
    </row>
    <row r="142317" spans="10:10" x14ac:dyDescent="0.3">
      <c r="J142317"/>
    </row>
    <row r="142318" spans="10:10" x14ac:dyDescent="0.3">
      <c r="J142318"/>
    </row>
    <row r="142319" spans="10:10" x14ac:dyDescent="0.3">
      <c r="J142319"/>
    </row>
    <row r="142320" spans="10:10" x14ac:dyDescent="0.3">
      <c r="J142320"/>
    </row>
    <row r="142321" spans="10:10" x14ac:dyDescent="0.3">
      <c r="J142321"/>
    </row>
    <row r="142322" spans="10:10" x14ac:dyDescent="0.3">
      <c r="J142322"/>
    </row>
    <row r="142323" spans="10:10" x14ac:dyDescent="0.3">
      <c r="J142323"/>
    </row>
    <row r="142324" spans="10:10" x14ac:dyDescent="0.3">
      <c r="J142324"/>
    </row>
    <row r="142325" spans="10:10" x14ac:dyDescent="0.3">
      <c r="J142325"/>
    </row>
    <row r="142326" spans="10:10" x14ac:dyDescent="0.3">
      <c r="J142326"/>
    </row>
    <row r="142327" spans="10:10" x14ac:dyDescent="0.3">
      <c r="J142327"/>
    </row>
    <row r="142328" spans="10:10" x14ac:dyDescent="0.3">
      <c r="J142328"/>
    </row>
    <row r="142329" spans="10:10" x14ac:dyDescent="0.3">
      <c r="J142329"/>
    </row>
    <row r="142330" spans="10:10" x14ac:dyDescent="0.3">
      <c r="J142330"/>
    </row>
    <row r="142331" spans="10:10" x14ac:dyDescent="0.3">
      <c r="J142331"/>
    </row>
    <row r="142332" spans="10:10" x14ac:dyDescent="0.3">
      <c r="J142332"/>
    </row>
    <row r="142333" spans="10:10" x14ac:dyDescent="0.3">
      <c r="J142333"/>
    </row>
    <row r="142334" spans="10:10" x14ac:dyDescent="0.3">
      <c r="J142334"/>
    </row>
    <row r="142335" spans="10:10" x14ac:dyDescent="0.3">
      <c r="J142335"/>
    </row>
    <row r="142336" spans="10:10" x14ac:dyDescent="0.3">
      <c r="J142336"/>
    </row>
    <row r="142337" spans="10:10" x14ac:dyDescent="0.3">
      <c r="J142337"/>
    </row>
    <row r="142338" spans="10:10" x14ac:dyDescent="0.3">
      <c r="J142338"/>
    </row>
    <row r="142339" spans="10:10" x14ac:dyDescent="0.3">
      <c r="J142339"/>
    </row>
    <row r="142340" spans="10:10" x14ac:dyDescent="0.3">
      <c r="J142340"/>
    </row>
    <row r="142341" spans="10:10" x14ac:dyDescent="0.3">
      <c r="J142341"/>
    </row>
    <row r="142342" spans="10:10" x14ac:dyDescent="0.3">
      <c r="J142342"/>
    </row>
    <row r="142343" spans="10:10" x14ac:dyDescent="0.3">
      <c r="J142343"/>
    </row>
    <row r="142344" spans="10:10" x14ac:dyDescent="0.3">
      <c r="J142344"/>
    </row>
    <row r="142345" spans="10:10" x14ac:dyDescent="0.3">
      <c r="J142345"/>
    </row>
    <row r="142346" spans="10:10" x14ac:dyDescent="0.3">
      <c r="J142346"/>
    </row>
    <row r="142347" spans="10:10" x14ac:dyDescent="0.3">
      <c r="J142347"/>
    </row>
    <row r="142348" spans="10:10" x14ac:dyDescent="0.3">
      <c r="J142348"/>
    </row>
    <row r="142349" spans="10:10" x14ac:dyDescent="0.3">
      <c r="J142349"/>
    </row>
    <row r="142350" spans="10:10" x14ac:dyDescent="0.3">
      <c r="J142350"/>
    </row>
    <row r="142351" spans="10:10" x14ac:dyDescent="0.3">
      <c r="J142351"/>
    </row>
    <row r="142352" spans="10:10" x14ac:dyDescent="0.3">
      <c r="J142352"/>
    </row>
    <row r="142353" spans="10:10" x14ac:dyDescent="0.3">
      <c r="J142353"/>
    </row>
    <row r="142354" spans="10:10" x14ac:dyDescent="0.3">
      <c r="J142354"/>
    </row>
    <row r="142355" spans="10:10" x14ac:dyDescent="0.3">
      <c r="J142355"/>
    </row>
    <row r="142356" spans="10:10" x14ac:dyDescent="0.3">
      <c r="J142356"/>
    </row>
    <row r="142357" spans="10:10" x14ac:dyDescent="0.3">
      <c r="J142357"/>
    </row>
    <row r="142358" spans="10:10" x14ac:dyDescent="0.3">
      <c r="J142358"/>
    </row>
    <row r="142359" spans="10:10" x14ac:dyDescent="0.3">
      <c r="J142359"/>
    </row>
    <row r="142360" spans="10:10" x14ac:dyDescent="0.3">
      <c r="J142360"/>
    </row>
    <row r="142361" spans="10:10" x14ac:dyDescent="0.3">
      <c r="J142361"/>
    </row>
    <row r="142362" spans="10:10" x14ac:dyDescent="0.3">
      <c r="J142362"/>
    </row>
    <row r="142363" spans="10:10" x14ac:dyDescent="0.3">
      <c r="J142363"/>
    </row>
    <row r="142364" spans="10:10" x14ac:dyDescent="0.3">
      <c r="J142364"/>
    </row>
    <row r="142365" spans="10:10" x14ac:dyDescent="0.3">
      <c r="J142365"/>
    </row>
    <row r="142366" spans="10:10" x14ac:dyDescent="0.3">
      <c r="J142366"/>
    </row>
    <row r="142367" spans="10:10" x14ac:dyDescent="0.3">
      <c r="J142367"/>
    </row>
    <row r="142368" spans="10:10" x14ac:dyDescent="0.3">
      <c r="J142368"/>
    </row>
    <row r="142369" spans="10:10" x14ac:dyDescent="0.3">
      <c r="J142369"/>
    </row>
    <row r="142370" spans="10:10" x14ac:dyDescent="0.3">
      <c r="J142370"/>
    </row>
    <row r="142371" spans="10:10" x14ac:dyDescent="0.3">
      <c r="J142371"/>
    </row>
    <row r="142372" spans="10:10" x14ac:dyDescent="0.3">
      <c r="J142372"/>
    </row>
    <row r="142373" spans="10:10" x14ac:dyDescent="0.3">
      <c r="J142373"/>
    </row>
    <row r="142374" spans="10:10" x14ac:dyDescent="0.3">
      <c r="J142374"/>
    </row>
    <row r="142375" spans="10:10" x14ac:dyDescent="0.3">
      <c r="J142375"/>
    </row>
    <row r="142376" spans="10:10" x14ac:dyDescent="0.3">
      <c r="J142376"/>
    </row>
    <row r="142377" spans="10:10" x14ac:dyDescent="0.3">
      <c r="J142377"/>
    </row>
    <row r="142378" spans="10:10" x14ac:dyDescent="0.3">
      <c r="J142378"/>
    </row>
    <row r="142379" spans="10:10" x14ac:dyDescent="0.3">
      <c r="J142379"/>
    </row>
    <row r="142380" spans="10:10" x14ac:dyDescent="0.3">
      <c r="J142380"/>
    </row>
    <row r="142381" spans="10:10" x14ac:dyDescent="0.3">
      <c r="J142381"/>
    </row>
    <row r="142382" spans="10:10" x14ac:dyDescent="0.3">
      <c r="J142382"/>
    </row>
    <row r="142383" spans="10:10" x14ac:dyDescent="0.3">
      <c r="J142383"/>
    </row>
    <row r="142384" spans="10:10" x14ac:dyDescent="0.3">
      <c r="J142384"/>
    </row>
    <row r="142385" spans="10:10" x14ac:dyDescent="0.3">
      <c r="J142385"/>
    </row>
    <row r="142386" spans="10:10" x14ac:dyDescent="0.3">
      <c r="J142386"/>
    </row>
    <row r="142387" spans="10:10" x14ac:dyDescent="0.3">
      <c r="J142387"/>
    </row>
    <row r="142388" spans="10:10" x14ac:dyDescent="0.3">
      <c r="J142388"/>
    </row>
    <row r="142389" spans="10:10" x14ac:dyDescent="0.3">
      <c r="J142389"/>
    </row>
    <row r="142390" spans="10:10" x14ac:dyDescent="0.3">
      <c r="J142390"/>
    </row>
    <row r="142391" spans="10:10" x14ac:dyDescent="0.3">
      <c r="J142391"/>
    </row>
    <row r="142392" spans="10:10" x14ac:dyDescent="0.3">
      <c r="J142392"/>
    </row>
    <row r="142393" spans="10:10" x14ac:dyDescent="0.3">
      <c r="J142393"/>
    </row>
    <row r="142394" spans="10:10" x14ac:dyDescent="0.3">
      <c r="J142394"/>
    </row>
    <row r="142395" spans="10:10" x14ac:dyDescent="0.3">
      <c r="J142395"/>
    </row>
    <row r="142396" spans="10:10" x14ac:dyDescent="0.3">
      <c r="J142396"/>
    </row>
    <row r="142397" spans="10:10" x14ac:dyDescent="0.3">
      <c r="J142397"/>
    </row>
    <row r="142398" spans="10:10" x14ac:dyDescent="0.3">
      <c r="J142398"/>
    </row>
    <row r="142399" spans="10:10" x14ac:dyDescent="0.3">
      <c r="J142399"/>
    </row>
    <row r="142400" spans="10:10" x14ac:dyDescent="0.3">
      <c r="J142400"/>
    </row>
    <row r="142401" spans="10:10" x14ac:dyDescent="0.3">
      <c r="J142401"/>
    </row>
    <row r="142402" spans="10:10" x14ac:dyDescent="0.3">
      <c r="J142402"/>
    </row>
    <row r="142403" spans="10:10" x14ac:dyDescent="0.3">
      <c r="J142403"/>
    </row>
    <row r="142404" spans="10:10" x14ac:dyDescent="0.3">
      <c r="J142404"/>
    </row>
    <row r="142405" spans="10:10" x14ac:dyDescent="0.3">
      <c r="J142405"/>
    </row>
    <row r="142406" spans="10:10" x14ac:dyDescent="0.3">
      <c r="J142406"/>
    </row>
    <row r="142407" spans="10:10" x14ac:dyDescent="0.3">
      <c r="J142407"/>
    </row>
    <row r="142408" spans="10:10" x14ac:dyDescent="0.3">
      <c r="J142408"/>
    </row>
    <row r="142409" spans="10:10" x14ac:dyDescent="0.3">
      <c r="J142409"/>
    </row>
    <row r="142410" spans="10:10" x14ac:dyDescent="0.3">
      <c r="J142410"/>
    </row>
    <row r="142411" spans="10:10" x14ac:dyDescent="0.3">
      <c r="J142411"/>
    </row>
    <row r="142412" spans="10:10" x14ac:dyDescent="0.3">
      <c r="J142412"/>
    </row>
    <row r="142413" spans="10:10" x14ac:dyDescent="0.3">
      <c r="J142413"/>
    </row>
    <row r="142414" spans="10:10" x14ac:dyDescent="0.3">
      <c r="J142414"/>
    </row>
    <row r="142415" spans="10:10" x14ac:dyDescent="0.3">
      <c r="J142415"/>
    </row>
    <row r="142416" spans="10:10" x14ac:dyDescent="0.3">
      <c r="J142416"/>
    </row>
    <row r="142417" spans="10:10" x14ac:dyDescent="0.3">
      <c r="J142417"/>
    </row>
    <row r="142418" spans="10:10" x14ac:dyDescent="0.3">
      <c r="J142418"/>
    </row>
    <row r="142419" spans="10:10" x14ac:dyDescent="0.3">
      <c r="J142419"/>
    </row>
    <row r="142420" spans="10:10" x14ac:dyDescent="0.3">
      <c r="J142420"/>
    </row>
    <row r="142421" spans="10:10" x14ac:dyDescent="0.3">
      <c r="J142421"/>
    </row>
    <row r="142422" spans="10:10" x14ac:dyDescent="0.3">
      <c r="J142422"/>
    </row>
    <row r="142423" spans="10:10" x14ac:dyDescent="0.3">
      <c r="J142423"/>
    </row>
    <row r="142424" spans="10:10" x14ac:dyDescent="0.3">
      <c r="J142424"/>
    </row>
    <row r="142425" spans="10:10" x14ac:dyDescent="0.3">
      <c r="J142425"/>
    </row>
    <row r="142426" spans="10:10" x14ac:dyDescent="0.3">
      <c r="J142426"/>
    </row>
    <row r="142427" spans="10:10" x14ac:dyDescent="0.3">
      <c r="J142427"/>
    </row>
    <row r="142428" spans="10:10" x14ac:dyDescent="0.3">
      <c r="J142428"/>
    </row>
    <row r="142429" spans="10:10" x14ac:dyDescent="0.3">
      <c r="J142429"/>
    </row>
    <row r="142430" spans="10:10" x14ac:dyDescent="0.3">
      <c r="J142430"/>
    </row>
    <row r="142431" spans="10:10" x14ac:dyDescent="0.3">
      <c r="J142431"/>
    </row>
    <row r="142432" spans="10:10" x14ac:dyDescent="0.3">
      <c r="J142432"/>
    </row>
    <row r="142433" spans="10:10" x14ac:dyDescent="0.3">
      <c r="J142433"/>
    </row>
    <row r="142434" spans="10:10" x14ac:dyDescent="0.3">
      <c r="J142434"/>
    </row>
    <row r="142435" spans="10:10" x14ac:dyDescent="0.3">
      <c r="J142435"/>
    </row>
    <row r="142436" spans="10:10" x14ac:dyDescent="0.3">
      <c r="J142436"/>
    </row>
    <row r="142437" spans="10:10" x14ac:dyDescent="0.3">
      <c r="J142437"/>
    </row>
    <row r="142438" spans="10:10" x14ac:dyDescent="0.3">
      <c r="J142438"/>
    </row>
    <row r="142439" spans="10:10" x14ac:dyDescent="0.3">
      <c r="J142439"/>
    </row>
    <row r="142440" spans="10:10" x14ac:dyDescent="0.3">
      <c r="J142440"/>
    </row>
    <row r="142441" spans="10:10" x14ac:dyDescent="0.3">
      <c r="J142441"/>
    </row>
    <row r="142442" spans="10:10" x14ac:dyDescent="0.3">
      <c r="J142442"/>
    </row>
    <row r="142443" spans="10:10" x14ac:dyDescent="0.3">
      <c r="J142443"/>
    </row>
    <row r="142444" spans="10:10" x14ac:dyDescent="0.3">
      <c r="J142444"/>
    </row>
    <row r="142445" spans="10:10" x14ac:dyDescent="0.3">
      <c r="J142445"/>
    </row>
    <row r="142446" spans="10:10" x14ac:dyDescent="0.3">
      <c r="J142446"/>
    </row>
    <row r="142447" spans="10:10" x14ac:dyDescent="0.3">
      <c r="J142447"/>
    </row>
    <row r="142448" spans="10:10" x14ac:dyDescent="0.3">
      <c r="J142448"/>
    </row>
    <row r="142449" spans="10:10" x14ac:dyDescent="0.3">
      <c r="J142449"/>
    </row>
    <row r="142450" spans="10:10" x14ac:dyDescent="0.3">
      <c r="J142450"/>
    </row>
    <row r="142451" spans="10:10" x14ac:dyDescent="0.3">
      <c r="J142451"/>
    </row>
    <row r="142452" spans="10:10" x14ac:dyDescent="0.3">
      <c r="J142452"/>
    </row>
    <row r="142453" spans="10:10" x14ac:dyDescent="0.3">
      <c r="J142453"/>
    </row>
    <row r="142454" spans="10:10" x14ac:dyDescent="0.3">
      <c r="J142454"/>
    </row>
    <row r="142455" spans="10:10" x14ac:dyDescent="0.3">
      <c r="J142455"/>
    </row>
    <row r="142456" spans="10:10" x14ac:dyDescent="0.3">
      <c r="J142456"/>
    </row>
    <row r="142457" spans="10:10" x14ac:dyDescent="0.3">
      <c r="J142457"/>
    </row>
    <row r="142458" spans="10:10" x14ac:dyDescent="0.3">
      <c r="J142458"/>
    </row>
    <row r="142459" spans="10:10" x14ac:dyDescent="0.3">
      <c r="J142459"/>
    </row>
    <row r="142460" spans="10:10" x14ac:dyDescent="0.3">
      <c r="J142460"/>
    </row>
    <row r="142461" spans="10:10" x14ac:dyDescent="0.3">
      <c r="J142461"/>
    </row>
    <row r="142462" spans="10:10" x14ac:dyDescent="0.3">
      <c r="J142462"/>
    </row>
    <row r="142463" spans="10:10" x14ac:dyDescent="0.3">
      <c r="J142463"/>
    </row>
    <row r="142464" spans="10:10" x14ac:dyDescent="0.3">
      <c r="J142464"/>
    </row>
    <row r="142465" spans="10:10" x14ac:dyDescent="0.3">
      <c r="J142465"/>
    </row>
    <row r="142466" spans="10:10" x14ac:dyDescent="0.3">
      <c r="J142466"/>
    </row>
    <row r="142467" spans="10:10" x14ac:dyDescent="0.3">
      <c r="J142467"/>
    </row>
    <row r="142468" spans="10:10" x14ac:dyDescent="0.3">
      <c r="J142468"/>
    </row>
    <row r="142469" spans="10:10" x14ac:dyDescent="0.3">
      <c r="J142469"/>
    </row>
    <row r="142470" spans="10:10" x14ac:dyDescent="0.3">
      <c r="J142470"/>
    </row>
    <row r="142471" spans="10:10" x14ac:dyDescent="0.3">
      <c r="J142471"/>
    </row>
    <row r="142472" spans="10:10" x14ac:dyDescent="0.3">
      <c r="J142472"/>
    </row>
    <row r="142473" spans="10:10" x14ac:dyDescent="0.3">
      <c r="J142473"/>
    </row>
    <row r="142474" spans="10:10" x14ac:dyDescent="0.3">
      <c r="J142474"/>
    </row>
    <row r="142475" spans="10:10" x14ac:dyDescent="0.3">
      <c r="J142475"/>
    </row>
    <row r="142476" spans="10:10" x14ac:dyDescent="0.3">
      <c r="J142476"/>
    </row>
    <row r="142477" spans="10:10" x14ac:dyDescent="0.3">
      <c r="J142477"/>
    </row>
    <row r="142478" spans="10:10" x14ac:dyDescent="0.3">
      <c r="J142478"/>
    </row>
    <row r="142479" spans="10:10" x14ac:dyDescent="0.3">
      <c r="J142479"/>
    </row>
    <row r="142480" spans="10:10" x14ac:dyDescent="0.3">
      <c r="J142480"/>
    </row>
    <row r="142481" spans="10:10" x14ac:dyDescent="0.3">
      <c r="J142481"/>
    </row>
    <row r="142482" spans="10:10" x14ac:dyDescent="0.3">
      <c r="J142482"/>
    </row>
    <row r="142483" spans="10:10" x14ac:dyDescent="0.3">
      <c r="J142483"/>
    </row>
    <row r="142484" spans="10:10" x14ac:dyDescent="0.3">
      <c r="J142484"/>
    </row>
    <row r="142485" spans="10:10" x14ac:dyDescent="0.3">
      <c r="J142485"/>
    </row>
    <row r="142486" spans="10:10" x14ac:dyDescent="0.3">
      <c r="J142486"/>
    </row>
    <row r="142487" spans="10:10" x14ac:dyDescent="0.3">
      <c r="J142487"/>
    </row>
    <row r="142488" spans="10:10" x14ac:dyDescent="0.3">
      <c r="J142488"/>
    </row>
    <row r="142489" spans="10:10" x14ac:dyDescent="0.3">
      <c r="J142489"/>
    </row>
    <row r="142490" spans="10:10" x14ac:dyDescent="0.3">
      <c r="J142490"/>
    </row>
    <row r="142491" spans="10:10" x14ac:dyDescent="0.3">
      <c r="J142491"/>
    </row>
    <row r="142492" spans="10:10" x14ac:dyDescent="0.3">
      <c r="J142492"/>
    </row>
    <row r="142493" spans="10:10" x14ac:dyDescent="0.3">
      <c r="J142493"/>
    </row>
    <row r="142494" spans="10:10" x14ac:dyDescent="0.3">
      <c r="J142494"/>
    </row>
    <row r="142495" spans="10:10" x14ac:dyDescent="0.3">
      <c r="J142495"/>
    </row>
    <row r="142496" spans="10:10" x14ac:dyDescent="0.3">
      <c r="J142496"/>
    </row>
    <row r="142497" spans="10:10" x14ac:dyDescent="0.3">
      <c r="J142497"/>
    </row>
    <row r="142498" spans="10:10" x14ac:dyDescent="0.3">
      <c r="J142498"/>
    </row>
    <row r="142499" spans="10:10" x14ac:dyDescent="0.3">
      <c r="J142499"/>
    </row>
    <row r="142500" spans="10:10" x14ac:dyDescent="0.3">
      <c r="J142500"/>
    </row>
    <row r="142501" spans="10:10" x14ac:dyDescent="0.3">
      <c r="J142501"/>
    </row>
    <row r="142502" spans="10:10" x14ac:dyDescent="0.3">
      <c r="J142502"/>
    </row>
    <row r="142503" spans="10:10" x14ac:dyDescent="0.3">
      <c r="J142503"/>
    </row>
    <row r="142504" spans="10:10" x14ac:dyDescent="0.3">
      <c r="J142504"/>
    </row>
    <row r="142505" spans="10:10" x14ac:dyDescent="0.3">
      <c r="J142505"/>
    </row>
    <row r="142506" spans="10:10" x14ac:dyDescent="0.3">
      <c r="J142506"/>
    </row>
    <row r="142507" spans="10:10" x14ac:dyDescent="0.3">
      <c r="J142507"/>
    </row>
    <row r="142508" spans="10:10" x14ac:dyDescent="0.3">
      <c r="J142508"/>
    </row>
    <row r="142509" spans="10:10" x14ac:dyDescent="0.3">
      <c r="J142509"/>
    </row>
    <row r="142510" spans="10:10" x14ac:dyDescent="0.3">
      <c r="J142510"/>
    </row>
    <row r="142511" spans="10:10" x14ac:dyDescent="0.3">
      <c r="J142511"/>
    </row>
    <row r="142512" spans="10:10" x14ac:dyDescent="0.3">
      <c r="J142512"/>
    </row>
    <row r="142513" spans="10:10" x14ac:dyDescent="0.3">
      <c r="J142513"/>
    </row>
    <row r="142514" spans="10:10" x14ac:dyDescent="0.3">
      <c r="J142514"/>
    </row>
    <row r="142515" spans="10:10" x14ac:dyDescent="0.3">
      <c r="J142515"/>
    </row>
    <row r="142516" spans="10:10" x14ac:dyDescent="0.3">
      <c r="J142516"/>
    </row>
    <row r="142517" spans="10:10" x14ac:dyDescent="0.3">
      <c r="J142517"/>
    </row>
    <row r="142518" spans="10:10" x14ac:dyDescent="0.3">
      <c r="J142518"/>
    </row>
    <row r="142519" spans="10:10" x14ac:dyDescent="0.3">
      <c r="J142519"/>
    </row>
    <row r="142520" spans="10:10" x14ac:dyDescent="0.3">
      <c r="J142520"/>
    </row>
    <row r="142521" spans="10:10" x14ac:dyDescent="0.3">
      <c r="J142521"/>
    </row>
    <row r="142522" spans="10:10" x14ac:dyDescent="0.3">
      <c r="J142522"/>
    </row>
    <row r="142523" spans="10:10" x14ac:dyDescent="0.3">
      <c r="J142523"/>
    </row>
    <row r="142524" spans="10:10" x14ac:dyDescent="0.3">
      <c r="J142524"/>
    </row>
    <row r="142525" spans="10:10" x14ac:dyDescent="0.3">
      <c r="J142525"/>
    </row>
    <row r="142526" spans="10:10" x14ac:dyDescent="0.3">
      <c r="J142526"/>
    </row>
    <row r="142527" spans="10:10" x14ac:dyDescent="0.3">
      <c r="J142527"/>
    </row>
    <row r="142528" spans="10:10" x14ac:dyDescent="0.3">
      <c r="J142528"/>
    </row>
    <row r="142529" spans="10:10" x14ac:dyDescent="0.3">
      <c r="J142529"/>
    </row>
    <row r="142530" spans="10:10" x14ac:dyDescent="0.3">
      <c r="J142530"/>
    </row>
    <row r="142531" spans="10:10" x14ac:dyDescent="0.3">
      <c r="J142531"/>
    </row>
    <row r="142532" spans="10:10" x14ac:dyDescent="0.3">
      <c r="J142532"/>
    </row>
    <row r="142533" spans="10:10" x14ac:dyDescent="0.3">
      <c r="J142533"/>
    </row>
    <row r="142534" spans="10:10" x14ac:dyDescent="0.3">
      <c r="J142534"/>
    </row>
    <row r="142535" spans="10:10" x14ac:dyDescent="0.3">
      <c r="J142535"/>
    </row>
    <row r="142536" spans="10:10" x14ac:dyDescent="0.3">
      <c r="J142536"/>
    </row>
    <row r="142537" spans="10:10" x14ac:dyDescent="0.3">
      <c r="J142537"/>
    </row>
    <row r="142538" spans="10:10" x14ac:dyDescent="0.3">
      <c r="J142538"/>
    </row>
    <row r="142539" spans="10:10" x14ac:dyDescent="0.3">
      <c r="J142539"/>
    </row>
    <row r="142540" spans="10:10" x14ac:dyDescent="0.3">
      <c r="J142540"/>
    </row>
    <row r="142541" spans="10:10" x14ac:dyDescent="0.3">
      <c r="J142541"/>
    </row>
    <row r="142542" spans="10:10" x14ac:dyDescent="0.3">
      <c r="J142542"/>
    </row>
    <row r="142543" spans="10:10" x14ac:dyDescent="0.3">
      <c r="J142543"/>
    </row>
    <row r="142544" spans="10:10" x14ac:dyDescent="0.3">
      <c r="J142544"/>
    </row>
    <row r="142545" spans="10:10" x14ac:dyDescent="0.3">
      <c r="J142545"/>
    </row>
    <row r="142546" spans="10:10" x14ac:dyDescent="0.3">
      <c r="J142546"/>
    </row>
    <row r="142547" spans="10:10" x14ac:dyDescent="0.3">
      <c r="J142547"/>
    </row>
    <row r="142548" spans="10:10" x14ac:dyDescent="0.3">
      <c r="J142548"/>
    </row>
    <row r="142549" spans="10:10" x14ac:dyDescent="0.3">
      <c r="J142549"/>
    </row>
    <row r="142550" spans="10:10" x14ac:dyDescent="0.3">
      <c r="J142550"/>
    </row>
    <row r="142551" spans="10:10" x14ac:dyDescent="0.3">
      <c r="J142551"/>
    </row>
    <row r="142552" spans="10:10" x14ac:dyDescent="0.3">
      <c r="J142552"/>
    </row>
    <row r="142553" spans="10:10" x14ac:dyDescent="0.3">
      <c r="J142553"/>
    </row>
    <row r="142554" spans="10:10" x14ac:dyDescent="0.3">
      <c r="J142554"/>
    </row>
    <row r="142555" spans="10:10" x14ac:dyDescent="0.3">
      <c r="J142555"/>
    </row>
    <row r="142556" spans="10:10" x14ac:dyDescent="0.3">
      <c r="J142556"/>
    </row>
    <row r="142557" spans="10:10" x14ac:dyDescent="0.3">
      <c r="J142557"/>
    </row>
    <row r="142558" spans="10:10" x14ac:dyDescent="0.3">
      <c r="J142558"/>
    </row>
    <row r="142559" spans="10:10" x14ac:dyDescent="0.3">
      <c r="J142559"/>
    </row>
    <row r="142560" spans="10:10" x14ac:dyDescent="0.3">
      <c r="J142560"/>
    </row>
    <row r="142561" spans="10:10" x14ac:dyDescent="0.3">
      <c r="J142561"/>
    </row>
    <row r="142562" spans="10:10" x14ac:dyDescent="0.3">
      <c r="J142562"/>
    </row>
    <row r="142563" spans="10:10" x14ac:dyDescent="0.3">
      <c r="J142563"/>
    </row>
    <row r="142564" spans="10:10" x14ac:dyDescent="0.3">
      <c r="J142564"/>
    </row>
    <row r="142565" spans="10:10" x14ac:dyDescent="0.3">
      <c r="J142565"/>
    </row>
    <row r="142566" spans="10:10" x14ac:dyDescent="0.3">
      <c r="J142566"/>
    </row>
    <row r="142567" spans="10:10" x14ac:dyDescent="0.3">
      <c r="J142567"/>
    </row>
    <row r="142568" spans="10:10" x14ac:dyDescent="0.3">
      <c r="J142568"/>
    </row>
    <row r="142569" spans="10:10" x14ac:dyDescent="0.3">
      <c r="J142569"/>
    </row>
    <row r="142570" spans="10:10" x14ac:dyDescent="0.3">
      <c r="J142570"/>
    </row>
    <row r="142571" spans="10:10" x14ac:dyDescent="0.3">
      <c r="J142571"/>
    </row>
    <row r="142572" spans="10:10" x14ac:dyDescent="0.3">
      <c r="J142572"/>
    </row>
    <row r="142573" spans="10:10" x14ac:dyDescent="0.3">
      <c r="J142573"/>
    </row>
    <row r="142574" spans="10:10" x14ac:dyDescent="0.3">
      <c r="J142574"/>
    </row>
    <row r="142575" spans="10:10" x14ac:dyDescent="0.3">
      <c r="J142575"/>
    </row>
    <row r="142576" spans="10:10" x14ac:dyDescent="0.3">
      <c r="J142576"/>
    </row>
    <row r="142577" spans="10:10" x14ac:dyDescent="0.3">
      <c r="J142577"/>
    </row>
    <row r="142578" spans="10:10" x14ac:dyDescent="0.3">
      <c r="J142578"/>
    </row>
    <row r="142579" spans="10:10" x14ac:dyDescent="0.3">
      <c r="J142579"/>
    </row>
    <row r="142580" spans="10:10" x14ac:dyDescent="0.3">
      <c r="J142580"/>
    </row>
    <row r="142581" spans="10:10" x14ac:dyDescent="0.3">
      <c r="J142581"/>
    </row>
    <row r="142582" spans="10:10" x14ac:dyDescent="0.3">
      <c r="J142582"/>
    </row>
    <row r="142583" spans="10:10" x14ac:dyDescent="0.3">
      <c r="J142583"/>
    </row>
    <row r="142584" spans="10:10" x14ac:dyDescent="0.3">
      <c r="J142584"/>
    </row>
    <row r="142585" spans="10:10" x14ac:dyDescent="0.3">
      <c r="J142585"/>
    </row>
    <row r="142586" spans="10:10" x14ac:dyDescent="0.3">
      <c r="J142586"/>
    </row>
    <row r="142587" spans="10:10" x14ac:dyDescent="0.3">
      <c r="J142587"/>
    </row>
    <row r="142588" spans="10:10" x14ac:dyDescent="0.3">
      <c r="J142588"/>
    </row>
    <row r="142589" spans="10:10" x14ac:dyDescent="0.3">
      <c r="J142589"/>
    </row>
    <row r="142590" spans="10:10" x14ac:dyDescent="0.3">
      <c r="J142590"/>
    </row>
    <row r="142591" spans="10:10" x14ac:dyDescent="0.3">
      <c r="J142591"/>
    </row>
    <row r="142592" spans="10:10" x14ac:dyDescent="0.3">
      <c r="J142592"/>
    </row>
    <row r="142593" spans="10:10" x14ac:dyDescent="0.3">
      <c r="J142593"/>
    </row>
    <row r="142594" spans="10:10" x14ac:dyDescent="0.3">
      <c r="J142594"/>
    </row>
    <row r="142595" spans="10:10" x14ac:dyDescent="0.3">
      <c r="J142595"/>
    </row>
    <row r="142596" spans="10:10" x14ac:dyDescent="0.3">
      <c r="J142596"/>
    </row>
    <row r="142597" spans="10:10" x14ac:dyDescent="0.3">
      <c r="J142597"/>
    </row>
    <row r="142598" spans="10:10" x14ac:dyDescent="0.3">
      <c r="J142598"/>
    </row>
    <row r="142599" spans="10:10" x14ac:dyDescent="0.3">
      <c r="J142599"/>
    </row>
    <row r="142600" spans="10:10" x14ac:dyDescent="0.3">
      <c r="J142600"/>
    </row>
    <row r="142601" spans="10:10" x14ac:dyDescent="0.3">
      <c r="J142601"/>
    </row>
    <row r="142602" spans="10:10" x14ac:dyDescent="0.3">
      <c r="J142602"/>
    </row>
    <row r="142603" spans="10:10" x14ac:dyDescent="0.3">
      <c r="J142603"/>
    </row>
    <row r="142604" spans="10:10" x14ac:dyDescent="0.3">
      <c r="J142604"/>
    </row>
    <row r="142605" spans="10:10" x14ac:dyDescent="0.3">
      <c r="J142605"/>
    </row>
    <row r="142606" spans="10:10" x14ac:dyDescent="0.3">
      <c r="J142606"/>
    </row>
    <row r="142607" spans="10:10" x14ac:dyDescent="0.3">
      <c r="J142607"/>
    </row>
    <row r="142608" spans="10:10" x14ac:dyDescent="0.3">
      <c r="J142608"/>
    </row>
    <row r="142609" spans="10:10" x14ac:dyDescent="0.3">
      <c r="J142609"/>
    </row>
    <row r="142610" spans="10:10" x14ac:dyDescent="0.3">
      <c r="J142610"/>
    </row>
    <row r="142611" spans="10:10" x14ac:dyDescent="0.3">
      <c r="J142611"/>
    </row>
    <row r="142612" spans="10:10" x14ac:dyDescent="0.3">
      <c r="J142612"/>
    </row>
    <row r="142613" spans="10:10" x14ac:dyDescent="0.3">
      <c r="J142613"/>
    </row>
    <row r="142614" spans="10:10" x14ac:dyDescent="0.3">
      <c r="J142614"/>
    </row>
    <row r="142615" spans="10:10" x14ac:dyDescent="0.3">
      <c r="J142615"/>
    </row>
    <row r="142616" spans="10:10" x14ac:dyDescent="0.3">
      <c r="J142616"/>
    </row>
    <row r="142617" spans="10:10" x14ac:dyDescent="0.3">
      <c r="J142617"/>
    </row>
    <row r="142618" spans="10:10" x14ac:dyDescent="0.3">
      <c r="J142618"/>
    </row>
    <row r="142619" spans="10:10" x14ac:dyDescent="0.3">
      <c r="J142619"/>
    </row>
    <row r="142620" spans="10:10" x14ac:dyDescent="0.3">
      <c r="J142620"/>
    </row>
    <row r="142621" spans="10:10" x14ac:dyDescent="0.3">
      <c r="J142621"/>
    </row>
    <row r="142622" spans="10:10" x14ac:dyDescent="0.3">
      <c r="J142622"/>
    </row>
    <row r="142623" spans="10:10" x14ac:dyDescent="0.3">
      <c r="J142623"/>
    </row>
    <row r="142624" spans="10:10" x14ac:dyDescent="0.3">
      <c r="J142624"/>
    </row>
    <row r="142625" spans="10:10" x14ac:dyDescent="0.3">
      <c r="J142625"/>
    </row>
    <row r="142626" spans="10:10" x14ac:dyDescent="0.3">
      <c r="J142626"/>
    </row>
    <row r="142627" spans="10:10" x14ac:dyDescent="0.3">
      <c r="J142627"/>
    </row>
    <row r="142628" spans="10:10" x14ac:dyDescent="0.3">
      <c r="J142628"/>
    </row>
    <row r="142629" spans="10:10" x14ac:dyDescent="0.3">
      <c r="J142629"/>
    </row>
    <row r="142630" spans="10:10" x14ac:dyDescent="0.3">
      <c r="J142630"/>
    </row>
    <row r="142631" spans="10:10" x14ac:dyDescent="0.3">
      <c r="J142631"/>
    </row>
    <row r="142632" spans="10:10" x14ac:dyDescent="0.3">
      <c r="J142632"/>
    </row>
    <row r="142633" spans="10:10" x14ac:dyDescent="0.3">
      <c r="J142633"/>
    </row>
    <row r="142634" spans="10:10" x14ac:dyDescent="0.3">
      <c r="J142634"/>
    </row>
    <row r="142635" spans="10:10" x14ac:dyDescent="0.3">
      <c r="J142635"/>
    </row>
    <row r="142636" spans="10:10" x14ac:dyDescent="0.3">
      <c r="J142636"/>
    </row>
    <row r="142637" spans="10:10" x14ac:dyDescent="0.3">
      <c r="J142637"/>
    </row>
    <row r="142638" spans="10:10" x14ac:dyDescent="0.3">
      <c r="J142638"/>
    </row>
    <row r="142639" spans="10:10" x14ac:dyDescent="0.3">
      <c r="J142639"/>
    </row>
    <row r="142640" spans="10:10" x14ac:dyDescent="0.3">
      <c r="J142640"/>
    </row>
    <row r="142641" spans="10:10" x14ac:dyDescent="0.3">
      <c r="J142641"/>
    </row>
    <row r="142642" spans="10:10" x14ac:dyDescent="0.3">
      <c r="J142642"/>
    </row>
    <row r="142643" spans="10:10" x14ac:dyDescent="0.3">
      <c r="J142643"/>
    </row>
    <row r="142644" spans="10:10" x14ac:dyDescent="0.3">
      <c r="J142644"/>
    </row>
    <row r="142645" spans="10:10" x14ac:dyDescent="0.3">
      <c r="J142645"/>
    </row>
    <row r="142646" spans="10:10" x14ac:dyDescent="0.3">
      <c r="J142646"/>
    </row>
    <row r="142647" spans="10:10" x14ac:dyDescent="0.3">
      <c r="J142647"/>
    </row>
    <row r="142648" spans="10:10" x14ac:dyDescent="0.3">
      <c r="J142648"/>
    </row>
    <row r="142649" spans="10:10" x14ac:dyDescent="0.3">
      <c r="J142649"/>
    </row>
    <row r="142650" spans="10:10" x14ac:dyDescent="0.3">
      <c r="J142650"/>
    </row>
    <row r="142651" spans="10:10" x14ac:dyDescent="0.3">
      <c r="J142651"/>
    </row>
    <row r="142652" spans="10:10" x14ac:dyDescent="0.3">
      <c r="J142652"/>
    </row>
    <row r="142653" spans="10:10" x14ac:dyDescent="0.3">
      <c r="J142653"/>
    </row>
    <row r="142654" spans="10:10" x14ac:dyDescent="0.3">
      <c r="J142654"/>
    </row>
    <row r="142655" spans="10:10" x14ac:dyDescent="0.3">
      <c r="J142655"/>
    </row>
    <row r="142656" spans="10:10" x14ac:dyDescent="0.3">
      <c r="J142656"/>
    </row>
    <row r="142657" spans="10:10" x14ac:dyDescent="0.3">
      <c r="J142657"/>
    </row>
    <row r="142658" spans="10:10" x14ac:dyDescent="0.3">
      <c r="J142658"/>
    </row>
    <row r="142659" spans="10:10" x14ac:dyDescent="0.3">
      <c r="J142659"/>
    </row>
    <row r="142660" spans="10:10" x14ac:dyDescent="0.3">
      <c r="J142660"/>
    </row>
    <row r="142661" spans="10:10" x14ac:dyDescent="0.3">
      <c r="J142661"/>
    </row>
    <row r="142662" spans="10:10" x14ac:dyDescent="0.3">
      <c r="J142662"/>
    </row>
    <row r="142663" spans="10:10" x14ac:dyDescent="0.3">
      <c r="J142663"/>
    </row>
    <row r="142664" spans="10:10" x14ac:dyDescent="0.3">
      <c r="J142664"/>
    </row>
    <row r="142665" spans="10:10" x14ac:dyDescent="0.3">
      <c r="J142665"/>
    </row>
    <row r="142666" spans="10:10" x14ac:dyDescent="0.3">
      <c r="J142666"/>
    </row>
    <row r="142667" spans="10:10" x14ac:dyDescent="0.3">
      <c r="J142667"/>
    </row>
    <row r="142668" spans="10:10" x14ac:dyDescent="0.3">
      <c r="J142668"/>
    </row>
    <row r="142669" spans="10:10" x14ac:dyDescent="0.3">
      <c r="J142669"/>
    </row>
    <row r="142670" spans="10:10" x14ac:dyDescent="0.3">
      <c r="J142670"/>
    </row>
    <row r="142671" spans="10:10" x14ac:dyDescent="0.3">
      <c r="J142671"/>
    </row>
    <row r="142672" spans="10:10" x14ac:dyDescent="0.3">
      <c r="J142672"/>
    </row>
    <row r="142673" spans="10:10" x14ac:dyDescent="0.3">
      <c r="J142673"/>
    </row>
    <row r="142674" spans="10:10" x14ac:dyDescent="0.3">
      <c r="J142674"/>
    </row>
    <row r="142675" spans="10:10" x14ac:dyDescent="0.3">
      <c r="J142675"/>
    </row>
    <row r="142676" spans="10:10" x14ac:dyDescent="0.3">
      <c r="J142676"/>
    </row>
    <row r="142677" spans="10:10" x14ac:dyDescent="0.3">
      <c r="J142677"/>
    </row>
    <row r="142678" spans="10:10" x14ac:dyDescent="0.3">
      <c r="J142678"/>
    </row>
    <row r="142679" spans="10:10" x14ac:dyDescent="0.3">
      <c r="J142679"/>
    </row>
    <row r="142680" spans="10:10" x14ac:dyDescent="0.3">
      <c r="J142680"/>
    </row>
    <row r="142681" spans="10:10" x14ac:dyDescent="0.3">
      <c r="J142681"/>
    </row>
    <row r="142682" spans="10:10" x14ac:dyDescent="0.3">
      <c r="J142682"/>
    </row>
    <row r="142683" spans="10:10" x14ac:dyDescent="0.3">
      <c r="J142683"/>
    </row>
    <row r="142684" spans="10:10" x14ac:dyDescent="0.3">
      <c r="J142684"/>
    </row>
    <row r="142685" spans="10:10" x14ac:dyDescent="0.3">
      <c r="J142685"/>
    </row>
    <row r="142686" spans="10:10" x14ac:dyDescent="0.3">
      <c r="J142686"/>
    </row>
    <row r="142687" spans="10:10" x14ac:dyDescent="0.3">
      <c r="J142687"/>
    </row>
    <row r="142688" spans="10:10" x14ac:dyDescent="0.3">
      <c r="J142688"/>
    </row>
    <row r="142689" spans="10:10" x14ac:dyDescent="0.3">
      <c r="J142689"/>
    </row>
    <row r="142690" spans="10:10" x14ac:dyDescent="0.3">
      <c r="J142690"/>
    </row>
    <row r="142691" spans="10:10" x14ac:dyDescent="0.3">
      <c r="J142691"/>
    </row>
    <row r="142692" spans="10:10" x14ac:dyDescent="0.3">
      <c r="J142692"/>
    </row>
    <row r="142693" spans="10:10" x14ac:dyDescent="0.3">
      <c r="J142693"/>
    </row>
    <row r="142694" spans="10:10" x14ac:dyDescent="0.3">
      <c r="J142694"/>
    </row>
    <row r="142695" spans="10:10" x14ac:dyDescent="0.3">
      <c r="J142695"/>
    </row>
    <row r="142696" spans="10:10" x14ac:dyDescent="0.3">
      <c r="J142696"/>
    </row>
    <row r="142697" spans="10:10" x14ac:dyDescent="0.3">
      <c r="J142697"/>
    </row>
    <row r="142698" spans="10:10" x14ac:dyDescent="0.3">
      <c r="J142698"/>
    </row>
    <row r="142699" spans="10:10" x14ac:dyDescent="0.3">
      <c r="J142699"/>
    </row>
    <row r="142700" spans="10:10" x14ac:dyDescent="0.3">
      <c r="J142700"/>
    </row>
    <row r="142701" spans="10:10" x14ac:dyDescent="0.3">
      <c r="J142701"/>
    </row>
    <row r="142702" spans="10:10" x14ac:dyDescent="0.3">
      <c r="J142702"/>
    </row>
    <row r="142703" spans="10:10" x14ac:dyDescent="0.3">
      <c r="J142703"/>
    </row>
    <row r="142704" spans="10:10" x14ac:dyDescent="0.3">
      <c r="J142704"/>
    </row>
    <row r="142705" spans="10:10" x14ac:dyDescent="0.3">
      <c r="J142705"/>
    </row>
    <row r="142706" spans="10:10" x14ac:dyDescent="0.3">
      <c r="J142706"/>
    </row>
    <row r="142707" spans="10:10" x14ac:dyDescent="0.3">
      <c r="J142707"/>
    </row>
    <row r="142708" spans="10:10" x14ac:dyDescent="0.3">
      <c r="J142708"/>
    </row>
    <row r="142709" spans="10:10" x14ac:dyDescent="0.3">
      <c r="J142709"/>
    </row>
    <row r="142710" spans="10:10" x14ac:dyDescent="0.3">
      <c r="J142710"/>
    </row>
    <row r="142711" spans="10:10" x14ac:dyDescent="0.3">
      <c r="J142711"/>
    </row>
    <row r="142712" spans="10:10" x14ac:dyDescent="0.3">
      <c r="J142712"/>
    </row>
    <row r="142713" spans="10:10" x14ac:dyDescent="0.3">
      <c r="J142713"/>
    </row>
    <row r="142714" spans="10:10" x14ac:dyDescent="0.3">
      <c r="J142714"/>
    </row>
    <row r="142715" spans="10:10" x14ac:dyDescent="0.3">
      <c r="J142715"/>
    </row>
    <row r="142716" spans="10:10" x14ac:dyDescent="0.3">
      <c r="J142716"/>
    </row>
    <row r="142717" spans="10:10" x14ac:dyDescent="0.3">
      <c r="J142717"/>
    </row>
    <row r="142718" spans="10:10" x14ac:dyDescent="0.3">
      <c r="J142718"/>
    </row>
    <row r="142719" spans="10:10" x14ac:dyDescent="0.3">
      <c r="J142719"/>
    </row>
    <row r="142720" spans="10:10" x14ac:dyDescent="0.3">
      <c r="J142720"/>
    </row>
    <row r="142721" spans="10:10" x14ac:dyDescent="0.3">
      <c r="J142721"/>
    </row>
    <row r="142722" spans="10:10" x14ac:dyDescent="0.3">
      <c r="J142722"/>
    </row>
    <row r="142723" spans="10:10" x14ac:dyDescent="0.3">
      <c r="J142723"/>
    </row>
    <row r="142724" spans="10:10" x14ac:dyDescent="0.3">
      <c r="J142724"/>
    </row>
    <row r="142725" spans="10:10" x14ac:dyDescent="0.3">
      <c r="J142725"/>
    </row>
    <row r="142726" spans="10:10" x14ac:dyDescent="0.3">
      <c r="J142726"/>
    </row>
    <row r="142727" spans="10:10" x14ac:dyDescent="0.3">
      <c r="J142727"/>
    </row>
    <row r="142728" spans="10:10" x14ac:dyDescent="0.3">
      <c r="J142728"/>
    </row>
    <row r="142729" spans="10:10" x14ac:dyDescent="0.3">
      <c r="J142729"/>
    </row>
    <row r="142730" spans="10:10" x14ac:dyDescent="0.3">
      <c r="J142730"/>
    </row>
    <row r="142731" spans="10:10" x14ac:dyDescent="0.3">
      <c r="J142731"/>
    </row>
    <row r="142732" spans="10:10" x14ac:dyDescent="0.3">
      <c r="J142732"/>
    </row>
    <row r="142733" spans="10:10" x14ac:dyDescent="0.3">
      <c r="J142733"/>
    </row>
    <row r="142734" spans="10:10" x14ac:dyDescent="0.3">
      <c r="J142734"/>
    </row>
    <row r="142735" spans="10:10" x14ac:dyDescent="0.3">
      <c r="J142735"/>
    </row>
    <row r="142736" spans="10:10" x14ac:dyDescent="0.3">
      <c r="J142736"/>
    </row>
    <row r="142737" spans="10:10" x14ac:dyDescent="0.3">
      <c r="J142737"/>
    </row>
    <row r="142738" spans="10:10" x14ac:dyDescent="0.3">
      <c r="J142738"/>
    </row>
    <row r="142739" spans="10:10" x14ac:dyDescent="0.3">
      <c r="J142739"/>
    </row>
    <row r="142740" spans="10:10" x14ac:dyDescent="0.3">
      <c r="J142740"/>
    </row>
    <row r="142741" spans="10:10" x14ac:dyDescent="0.3">
      <c r="J142741"/>
    </row>
    <row r="142742" spans="10:10" x14ac:dyDescent="0.3">
      <c r="J142742"/>
    </row>
    <row r="142743" spans="10:10" x14ac:dyDescent="0.3">
      <c r="J142743"/>
    </row>
    <row r="142744" spans="10:10" x14ac:dyDescent="0.3">
      <c r="J142744"/>
    </row>
    <row r="142745" spans="10:10" x14ac:dyDescent="0.3">
      <c r="J142745"/>
    </row>
    <row r="142746" spans="10:10" x14ac:dyDescent="0.3">
      <c r="J142746"/>
    </row>
    <row r="142747" spans="10:10" x14ac:dyDescent="0.3">
      <c r="J142747"/>
    </row>
    <row r="142748" spans="10:10" x14ac:dyDescent="0.3">
      <c r="J142748"/>
    </row>
    <row r="142749" spans="10:10" x14ac:dyDescent="0.3">
      <c r="J142749"/>
    </row>
    <row r="142750" spans="10:10" x14ac:dyDescent="0.3">
      <c r="J142750"/>
    </row>
    <row r="142751" spans="10:10" x14ac:dyDescent="0.3">
      <c r="J142751"/>
    </row>
    <row r="142752" spans="10:10" x14ac:dyDescent="0.3">
      <c r="J142752"/>
    </row>
    <row r="142753" spans="10:10" x14ac:dyDescent="0.3">
      <c r="J142753"/>
    </row>
    <row r="142754" spans="10:10" x14ac:dyDescent="0.3">
      <c r="J142754"/>
    </row>
    <row r="142755" spans="10:10" x14ac:dyDescent="0.3">
      <c r="J142755"/>
    </row>
    <row r="142756" spans="10:10" x14ac:dyDescent="0.3">
      <c r="J142756"/>
    </row>
    <row r="142757" spans="10:10" x14ac:dyDescent="0.3">
      <c r="J142757"/>
    </row>
    <row r="142758" spans="10:10" x14ac:dyDescent="0.3">
      <c r="J142758"/>
    </row>
    <row r="142759" spans="10:10" x14ac:dyDescent="0.3">
      <c r="J142759"/>
    </row>
    <row r="142760" spans="10:10" x14ac:dyDescent="0.3">
      <c r="J142760"/>
    </row>
    <row r="142761" spans="10:10" x14ac:dyDescent="0.3">
      <c r="J142761"/>
    </row>
    <row r="142762" spans="10:10" x14ac:dyDescent="0.3">
      <c r="J142762"/>
    </row>
    <row r="142763" spans="10:10" x14ac:dyDescent="0.3">
      <c r="J142763"/>
    </row>
    <row r="142764" spans="10:10" x14ac:dyDescent="0.3">
      <c r="J142764"/>
    </row>
    <row r="142765" spans="10:10" x14ac:dyDescent="0.3">
      <c r="J142765"/>
    </row>
    <row r="142766" spans="10:10" x14ac:dyDescent="0.3">
      <c r="J142766"/>
    </row>
    <row r="142767" spans="10:10" x14ac:dyDescent="0.3">
      <c r="J142767"/>
    </row>
    <row r="142768" spans="10:10" x14ac:dyDescent="0.3">
      <c r="J142768"/>
    </row>
    <row r="142769" spans="10:10" x14ac:dyDescent="0.3">
      <c r="J142769"/>
    </row>
    <row r="142770" spans="10:10" x14ac:dyDescent="0.3">
      <c r="J142770"/>
    </row>
    <row r="142771" spans="10:10" x14ac:dyDescent="0.3">
      <c r="J142771"/>
    </row>
    <row r="142772" spans="10:10" x14ac:dyDescent="0.3">
      <c r="J142772"/>
    </row>
    <row r="142773" spans="10:10" x14ac:dyDescent="0.3">
      <c r="J142773"/>
    </row>
    <row r="142774" spans="10:10" x14ac:dyDescent="0.3">
      <c r="J142774"/>
    </row>
    <row r="142775" spans="10:10" x14ac:dyDescent="0.3">
      <c r="J142775"/>
    </row>
    <row r="142776" spans="10:10" x14ac:dyDescent="0.3">
      <c r="J142776"/>
    </row>
    <row r="142777" spans="10:10" x14ac:dyDescent="0.3">
      <c r="J142777"/>
    </row>
    <row r="142778" spans="10:10" x14ac:dyDescent="0.3">
      <c r="J142778"/>
    </row>
    <row r="142779" spans="10:10" x14ac:dyDescent="0.3">
      <c r="J142779"/>
    </row>
    <row r="142780" spans="10:10" x14ac:dyDescent="0.3">
      <c r="J142780"/>
    </row>
    <row r="142781" spans="10:10" x14ac:dyDescent="0.3">
      <c r="J142781"/>
    </row>
    <row r="142782" spans="10:10" x14ac:dyDescent="0.3">
      <c r="J142782"/>
    </row>
    <row r="142783" spans="10:10" x14ac:dyDescent="0.3">
      <c r="J142783"/>
    </row>
    <row r="142784" spans="10:10" x14ac:dyDescent="0.3">
      <c r="J142784"/>
    </row>
    <row r="142785" spans="10:10" x14ac:dyDescent="0.3">
      <c r="J142785"/>
    </row>
    <row r="142786" spans="10:10" x14ac:dyDescent="0.3">
      <c r="J142786"/>
    </row>
    <row r="142787" spans="10:10" x14ac:dyDescent="0.3">
      <c r="J142787"/>
    </row>
    <row r="142788" spans="10:10" x14ac:dyDescent="0.3">
      <c r="J142788"/>
    </row>
    <row r="142789" spans="10:10" x14ac:dyDescent="0.3">
      <c r="J142789"/>
    </row>
    <row r="142790" spans="10:10" x14ac:dyDescent="0.3">
      <c r="J142790"/>
    </row>
    <row r="142791" spans="10:10" x14ac:dyDescent="0.3">
      <c r="J142791"/>
    </row>
    <row r="142792" spans="10:10" x14ac:dyDescent="0.3">
      <c r="J142792"/>
    </row>
    <row r="142793" spans="10:10" x14ac:dyDescent="0.3">
      <c r="J142793"/>
    </row>
    <row r="142794" spans="10:10" x14ac:dyDescent="0.3">
      <c r="J142794"/>
    </row>
    <row r="142795" spans="10:10" x14ac:dyDescent="0.3">
      <c r="J142795"/>
    </row>
    <row r="142796" spans="10:10" x14ac:dyDescent="0.3">
      <c r="J142796"/>
    </row>
    <row r="142797" spans="10:10" x14ac:dyDescent="0.3">
      <c r="J142797"/>
    </row>
    <row r="142798" spans="10:10" x14ac:dyDescent="0.3">
      <c r="J142798"/>
    </row>
    <row r="142799" spans="10:10" x14ac:dyDescent="0.3">
      <c r="J142799"/>
    </row>
    <row r="142800" spans="10:10" x14ac:dyDescent="0.3">
      <c r="J142800"/>
    </row>
    <row r="142801" spans="10:10" x14ac:dyDescent="0.3">
      <c r="J142801"/>
    </row>
    <row r="142802" spans="10:10" x14ac:dyDescent="0.3">
      <c r="J142802"/>
    </row>
    <row r="142803" spans="10:10" x14ac:dyDescent="0.3">
      <c r="J142803"/>
    </row>
    <row r="142804" spans="10:10" x14ac:dyDescent="0.3">
      <c r="J142804"/>
    </row>
    <row r="142805" spans="10:10" x14ac:dyDescent="0.3">
      <c r="J142805"/>
    </row>
    <row r="142806" spans="10:10" x14ac:dyDescent="0.3">
      <c r="J142806"/>
    </row>
    <row r="142807" spans="10:10" x14ac:dyDescent="0.3">
      <c r="J142807"/>
    </row>
    <row r="142808" spans="10:10" x14ac:dyDescent="0.3">
      <c r="J142808"/>
    </row>
    <row r="142809" spans="10:10" x14ac:dyDescent="0.3">
      <c r="J142809"/>
    </row>
    <row r="142810" spans="10:10" x14ac:dyDescent="0.3">
      <c r="J142810"/>
    </row>
    <row r="142811" spans="10:10" x14ac:dyDescent="0.3">
      <c r="J142811"/>
    </row>
    <row r="142812" spans="10:10" x14ac:dyDescent="0.3">
      <c r="J142812"/>
    </row>
    <row r="142813" spans="10:10" x14ac:dyDescent="0.3">
      <c r="J142813"/>
    </row>
    <row r="142814" spans="10:10" x14ac:dyDescent="0.3">
      <c r="J142814"/>
    </row>
    <row r="142815" spans="10:10" x14ac:dyDescent="0.3">
      <c r="J142815"/>
    </row>
    <row r="142816" spans="10:10" x14ac:dyDescent="0.3">
      <c r="J142816"/>
    </row>
    <row r="142817" spans="10:10" x14ac:dyDescent="0.3">
      <c r="J142817"/>
    </row>
    <row r="142818" spans="10:10" x14ac:dyDescent="0.3">
      <c r="J142818"/>
    </row>
    <row r="142819" spans="10:10" x14ac:dyDescent="0.3">
      <c r="J142819"/>
    </row>
    <row r="142820" spans="10:10" x14ac:dyDescent="0.3">
      <c r="J142820"/>
    </row>
    <row r="142821" spans="10:10" x14ac:dyDescent="0.3">
      <c r="J142821"/>
    </row>
    <row r="142822" spans="10:10" x14ac:dyDescent="0.3">
      <c r="J142822"/>
    </row>
    <row r="142823" spans="10:10" x14ac:dyDescent="0.3">
      <c r="J142823"/>
    </row>
    <row r="142824" spans="10:10" x14ac:dyDescent="0.3">
      <c r="J142824"/>
    </row>
    <row r="142825" spans="10:10" x14ac:dyDescent="0.3">
      <c r="J142825"/>
    </row>
    <row r="142826" spans="10:10" x14ac:dyDescent="0.3">
      <c r="J142826"/>
    </row>
    <row r="142827" spans="10:10" x14ac:dyDescent="0.3">
      <c r="J142827"/>
    </row>
    <row r="142828" spans="10:10" x14ac:dyDescent="0.3">
      <c r="J142828"/>
    </row>
    <row r="142829" spans="10:10" x14ac:dyDescent="0.3">
      <c r="J142829"/>
    </row>
    <row r="142830" spans="10:10" x14ac:dyDescent="0.3">
      <c r="J142830"/>
    </row>
    <row r="142831" spans="10:10" x14ac:dyDescent="0.3">
      <c r="J142831"/>
    </row>
    <row r="142832" spans="10:10" x14ac:dyDescent="0.3">
      <c r="J142832"/>
    </row>
    <row r="142833" spans="10:10" x14ac:dyDescent="0.3">
      <c r="J142833"/>
    </row>
    <row r="142834" spans="10:10" x14ac:dyDescent="0.3">
      <c r="J142834"/>
    </row>
    <row r="142835" spans="10:10" x14ac:dyDescent="0.3">
      <c r="J142835"/>
    </row>
    <row r="142836" spans="10:10" x14ac:dyDescent="0.3">
      <c r="J142836"/>
    </row>
    <row r="142837" spans="10:10" x14ac:dyDescent="0.3">
      <c r="J142837"/>
    </row>
    <row r="142838" spans="10:10" x14ac:dyDescent="0.3">
      <c r="J142838"/>
    </row>
    <row r="142839" spans="10:10" x14ac:dyDescent="0.3">
      <c r="J142839"/>
    </row>
    <row r="142840" spans="10:10" x14ac:dyDescent="0.3">
      <c r="J142840"/>
    </row>
    <row r="142841" spans="10:10" x14ac:dyDescent="0.3">
      <c r="J142841"/>
    </row>
    <row r="142842" spans="10:10" x14ac:dyDescent="0.3">
      <c r="J142842"/>
    </row>
    <row r="142843" spans="10:10" x14ac:dyDescent="0.3">
      <c r="J142843"/>
    </row>
    <row r="142844" spans="10:10" x14ac:dyDescent="0.3">
      <c r="J142844"/>
    </row>
    <row r="142845" spans="10:10" x14ac:dyDescent="0.3">
      <c r="J142845"/>
    </row>
    <row r="142846" spans="10:10" x14ac:dyDescent="0.3">
      <c r="J142846"/>
    </row>
    <row r="142847" spans="10:10" x14ac:dyDescent="0.3">
      <c r="J142847"/>
    </row>
    <row r="142848" spans="10:10" x14ac:dyDescent="0.3">
      <c r="J142848"/>
    </row>
    <row r="142849" spans="10:10" x14ac:dyDescent="0.3">
      <c r="J142849"/>
    </row>
    <row r="142850" spans="10:10" x14ac:dyDescent="0.3">
      <c r="J142850"/>
    </row>
    <row r="142851" spans="10:10" x14ac:dyDescent="0.3">
      <c r="J142851"/>
    </row>
    <row r="142852" spans="10:10" x14ac:dyDescent="0.3">
      <c r="J142852"/>
    </row>
    <row r="142853" spans="10:10" x14ac:dyDescent="0.3">
      <c r="J142853"/>
    </row>
    <row r="142854" spans="10:10" x14ac:dyDescent="0.3">
      <c r="J142854"/>
    </row>
    <row r="142855" spans="10:10" x14ac:dyDescent="0.3">
      <c r="J142855"/>
    </row>
    <row r="142856" spans="10:10" x14ac:dyDescent="0.3">
      <c r="J142856"/>
    </row>
    <row r="142857" spans="10:10" x14ac:dyDescent="0.3">
      <c r="J142857"/>
    </row>
    <row r="142858" spans="10:10" x14ac:dyDescent="0.3">
      <c r="J142858"/>
    </row>
    <row r="142859" spans="10:10" x14ac:dyDescent="0.3">
      <c r="J142859"/>
    </row>
    <row r="142860" spans="10:10" x14ac:dyDescent="0.3">
      <c r="J142860"/>
    </row>
    <row r="142861" spans="10:10" x14ac:dyDescent="0.3">
      <c r="J142861"/>
    </row>
    <row r="142862" spans="10:10" x14ac:dyDescent="0.3">
      <c r="J142862"/>
    </row>
    <row r="142863" spans="10:10" x14ac:dyDescent="0.3">
      <c r="J142863"/>
    </row>
    <row r="142864" spans="10:10" x14ac:dyDescent="0.3">
      <c r="J142864"/>
    </row>
    <row r="142865" spans="10:10" x14ac:dyDescent="0.3">
      <c r="J142865"/>
    </row>
    <row r="142866" spans="10:10" x14ac:dyDescent="0.3">
      <c r="J142866"/>
    </row>
    <row r="142867" spans="10:10" x14ac:dyDescent="0.3">
      <c r="J142867"/>
    </row>
    <row r="142868" spans="10:10" x14ac:dyDescent="0.3">
      <c r="J142868"/>
    </row>
    <row r="142869" spans="10:10" x14ac:dyDescent="0.3">
      <c r="J142869"/>
    </row>
    <row r="142870" spans="10:10" x14ac:dyDescent="0.3">
      <c r="J142870"/>
    </row>
    <row r="142871" spans="10:10" x14ac:dyDescent="0.3">
      <c r="J142871"/>
    </row>
    <row r="142872" spans="10:10" x14ac:dyDescent="0.3">
      <c r="J142872"/>
    </row>
    <row r="142873" spans="10:10" x14ac:dyDescent="0.3">
      <c r="J142873"/>
    </row>
    <row r="142874" spans="10:10" x14ac:dyDescent="0.3">
      <c r="J142874"/>
    </row>
    <row r="142875" spans="10:10" x14ac:dyDescent="0.3">
      <c r="J142875"/>
    </row>
    <row r="142876" spans="10:10" x14ac:dyDescent="0.3">
      <c r="J142876"/>
    </row>
    <row r="142877" spans="10:10" x14ac:dyDescent="0.3">
      <c r="J142877"/>
    </row>
    <row r="142878" spans="10:10" x14ac:dyDescent="0.3">
      <c r="J142878"/>
    </row>
    <row r="142879" spans="10:10" x14ac:dyDescent="0.3">
      <c r="J142879"/>
    </row>
    <row r="142880" spans="10:10" x14ac:dyDescent="0.3">
      <c r="J142880"/>
    </row>
    <row r="142881" spans="10:10" x14ac:dyDescent="0.3">
      <c r="J142881"/>
    </row>
    <row r="142882" spans="10:10" x14ac:dyDescent="0.3">
      <c r="J142882"/>
    </row>
    <row r="142883" spans="10:10" x14ac:dyDescent="0.3">
      <c r="J142883"/>
    </row>
    <row r="142884" spans="10:10" x14ac:dyDescent="0.3">
      <c r="J142884"/>
    </row>
    <row r="142885" spans="10:10" x14ac:dyDescent="0.3">
      <c r="J142885"/>
    </row>
    <row r="142886" spans="10:10" x14ac:dyDescent="0.3">
      <c r="J142886"/>
    </row>
    <row r="142887" spans="10:10" x14ac:dyDescent="0.3">
      <c r="J142887"/>
    </row>
    <row r="142888" spans="10:10" x14ac:dyDescent="0.3">
      <c r="J142888"/>
    </row>
    <row r="142889" spans="10:10" x14ac:dyDescent="0.3">
      <c r="J142889"/>
    </row>
    <row r="142890" spans="10:10" x14ac:dyDescent="0.3">
      <c r="J142890"/>
    </row>
    <row r="142891" spans="10:10" x14ac:dyDescent="0.3">
      <c r="J142891"/>
    </row>
    <row r="142892" spans="10:10" x14ac:dyDescent="0.3">
      <c r="J142892"/>
    </row>
    <row r="142893" spans="10:10" x14ac:dyDescent="0.3">
      <c r="J142893"/>
    </row>
    <row r="142894" spans="10:10" x14ac:dyDescent="0.3">
      <c r="J142894"/>
    </row>
    <row r="142895" spans="10:10" x14ac:dyDescent="0.3">
      <c r="J142895"/>
    </row>
    <row r="142896" spans="10:10" x14ac:dyDescent="0.3">
      <c r="J142896"/>
    </row>
    <row r="142897" spans="10:10" x14ac:dyDescent="0.3">
      <c r="J142897"/>
    </row>
    <row r="142898" spans="10:10" x14ac:dyDescent="0.3">
      <c r="J142898"/>
    </row>
    <row r="142899" spans="10:10" x14ac:dyDescent="0.3">
      <c r="J142899"/>
    </row>
    <row r="142900" spans="10:10" x14ac:dyDescent="0.3">
      <c r="J142900"/>
    </row>
    <row r="142901" spans="10:10" x14ac:dyDescent="0.3">
      <c r="J142901"/>
    </row>
    <row r="142902" spans="10:10" x14ac:dyDescent="0.3">
      <c r="J142902"/>
    </row>
    <row r="142903" spans="10:10" x14ac:dyDescent="0.3">
      <c r="J142903"/>
    </row>
    <row r="142904" spans="10:10" x14ac:dyDescent="0.3">
      <c r="J142904"/>
    </row>
    <row r="142905" spans="10:10" x14ac:dyDescent="0.3">
      <c r="J142905"/>
    </row>
    <row r="142906" spans="10:10" x14ac:dyDescent="0.3">
      <c r="J142906"/>
    </row>
    <row r="142907" spans="10:10" x14ac:dyDescent="0.3">
      <c r="J142907"/>
    </row>
    <row r="142908" spans="10:10" x14ac:dyDescent="0.3">
      <c r="J142908"/>
    </row>
    <row r="142909" spans="10:10" x14ac:dyDescent="0.3">
      <c r="J142909"/>
    </row>
    <row r="142910" spans="10:10" x14ac:dyDescent="0.3">
      <c r="J142910"/>
    </row>
    <row r="142911" spans="10:10" x14ac:dyDescent="0.3">
      <c r="J142911"/>
    </row>
    <row r="142912" spans="10:10" x14ac:dyDescent="0.3">
      <c r="J142912"/>
    </row>
    <row r="142913" spans="10:10" x14ac:dyDescent="0.3">
      <c r="J142913"/>
    </row>
    <row r="142914" spans="10:10" x14ac:dyDescent="0.3">
      <c r="J142914"/>
    </row>
    <row r="142915" spans="10:10" x14ac:dyDescent="0.3">
      <c r="J142915"/>
    </row>
    <row r="142916" spans="10:10" x14ac:dyDescent="0.3">
      <c r="J142916"/>
    </row>
    <row r="142917" spans="10:10" x14ac:dyDescent="0.3">
      <c r="J142917"/>
    </row>
    <row r="142918" spans="10:10" x14ac:dyDescent="0.3">
      <c r="J142918"/>
    </row>
    <row r="142919" spans="10:10" x14ac:dyDescent="0.3">
      <c r="J142919"/>
    </row>
    <row r="142920" spans="10:10" x14ac:dyDescent="0.3">
      <c r="J142920"/>
    </row>
    <row r="142921" spans="10:10" x14ac:dyDescent="0.3">
      <c r="J142921"/>
    </row>
    <row r="142922" spans="10:10" x14ac:dyDescent="0.3">
      <c r="J142922"/>
    </row>
    <row r="142923" spans="10:10" x14ac:dyDescent="0.3">
      <c r="J142923"/>
    </row>
    <row r="142924" spans="10:10" x14ac:dyDescent="0.3">
      <c r="J142924"/>
    </row>
    <row r="142925" spans="10:10" x14ac:dyDescent="0.3">
      <c r="J142925"/>
    </row>
    <row r="142926" spans="10:10" x14ac:dyDescent="0.3">
      <c r="J142926"/>
    </row>
    <row r="142927" spans="10:10" x14ac:dyDescent="0.3">
      <c r="J142927"/>
    </row>
    <row r="142928" spans="10:10" x14ac:dyDescent="0.3">
      <c r="J142928"/>
    </row>
    <row r="142929" spans="10:10" x14ac:dyDescent="0.3">
      <c r="J142929"/>
    </row>
    <row r="142930" spans="10:10" x14ac:dyDescent="0.3">
      <c r="J142930"/>
    </row>
    <row r="142931" spans="10:10" x14ac:dyDescent="0.3">
      <c r="J142931"/>
    </row>
    <row r="142932" spans="10:10" x14ac:dyDescent="0.3">
      <c r="J142932"/>
    </row>
    <row r="142933" spans="10:10" x14ac:dyDescent="0.3">
      <c r="J142933"/>
    </row>
    <row r="142934" spans="10:10" x14ac:dyDescent="0.3">
      <c r="J142934"/>
    </row>
    <row r="142935" spans="10:10" x14ac:dyDescent="0.3">
      <c r="J142935"/>
    </row>
    <row r="142936" spans="10:10" x14ac:dyDescent="0.3">
      <c r="J142936"/>
    </row>
    <row r="142937" spans="10:10" x14ac:dyDescent="0.3">
      <c r="J142937"/>
    </row>
    <row r="142938" spans="10:10" x14ac:dyDescent="0.3">
      <c r="J142938"/>
    </row>
    <row r="142939" spans="10:10" x14ac:dyDescent="0.3">
      <c r="J142939"/>
    </row>
    <row r="142940" spans="10:10" x14ac:dyDescent="0.3">
      <c r="J142940"/>
    </row>
    <row r="142941" spans="10:10" x14ac:dyDescent="0.3">
      <c r="J142941"/>
    </row>
    <row r="142942" spans="10:10" x14ac:dyDescent="0.3">
      <c r="J142942"/>
    </row>
    <row r="142943" spans="10:10" x14ac:dyDescent="0.3">
      <c r="J142943"/>
    </row>
    <row r="142944" spans="10:10" x14ac:dyDescent="0.3">
      <c r="J142944"/>
    </row>
    <row r="142945" spans="10:10" x14ac:dyDescent="0.3">
      <c r="J142945"/>
    </row>
    <row r="142946" spans="10:10" x14ac:dyDescent="0.3">
      <c r="J142946"/>
    </row>
    <row r="142947" spans="10:10" x14ac:dyDescent="0.3">
      <c r="J142947"/>
    </row>
    <row r="142948" spans="10:10" x14ac:dyDescent="0.3">
      <c r="J142948"/>
    </row>
    <row r="142949" spans="10:10" x14ac:dyDescent="0.3">
      <c r="J142949"/>
    </row>
    <row r="142950" spans="10:10" x14ac:dyDescent="0.3">
      <c r="J142950"/>
    </row>
    <row r="142951" spans="10:10" x14ac:dyDescent="0.3">
      <c r="J142951"/>
    </row>
    <row r="142952" spans="10:10" x14ac:dyDescent="0.3">
      <c r="J142952"/>
    </row>
    <row r="142953" spans="10:10" x14ac:dyDescent="0.3">
      <c r="J142953"/>
    </row>
    <row r="142954" spans="10:10" x14ac:dyDescent="0.3">
      <c r="J142954"/>
    </row>
    <row r="142955" spans="10:10" x14ac:dyDescent="0.3">
      <c r="J142955"/>
    </row>
    <row r="142956" spans="10:10" x14ac:dyDescent="0.3">
      <c r="J142956"/>
    </row>
    <row r="142957" spans="10:10" x14ac:dyDescent="0.3">
      <c r="J142957"/>
    </row>
    <row r="142958" spans="10:10" x14ac:dyDescent="0.3">
      <c r="J142958"/>
    </row>
    <row r="142959" spans="10:10" x14ac:dyDescent="0.3">
      <c r="J142959"/>
    </row>
    <row r="142960" spans="10:10" x14ac:dyDescent="0.3">
      <c r="J142960"/>
    </row>
    <row r="142961" spans="10:10" x14ac:dyDescent="0.3">
      <c r="J142961"/>
    </row>
    <row r="142962" spans="10:10" x14ac:dyDescent="0.3">
      <c r="J142962"/>
    </row>
    <row r="142963" spans="10:10" x14ac:dyDescent="0.3">
      <c r="J142963"/>
    </row>
    <row r="142964" spans="10:10" x14ac:dyDescent="0.3">
      <c r="J142964"/>
    </row>
    <row r="142965" spans="10:10" x14ac:dyDescent="0.3">
      <c r="J142965"/>
    </row>
    <row r="142966" spans="10:10" x14ac:dyDescent="0.3">
      <c r="J142966"/>
    </row>
    <row r="142967" spans="10:10" x14ac:dyDescent="0.3">
      <c r="J142967"/>
    </row>
    <row r="142968" spans="10:10" x14ac:dyDescent="0.3">
      <c r="J142968"/>
    </row>
    <row r="142969" spans="10:10" x14ac:dyDescent="0.3">
      <c r="J142969"/>
    </row>
    <row r="142970" spans="10:10" x14ac:dyDescent="0.3">
      <c r="J142970"/>
    </row>
    <row r="142971" spans="10:10" x14ac:dyDescent="0.3">
      <c r="J142971"/>
    </row>
    <row r="142972" spans="10:10" x14ac:dyDescent="0.3">
      <c r="J142972"/>
    </row>
    <row r="142973" spans="10:10" x14ac:dyDescent="0.3">
      <c r="J142973"/>
    </row>
    <row r="142974" spans="10:10" x14ac:dyDescent="0.3">
      <c r="J142974"/>
    </row>
    <row r="142975" spans="10:10" x14ac:dyDescent="0.3">
      <c r="J142975"/>
    </row>
    <row r="142976" spans="10:10" x14ac:dyDescent="0.3">
      <c r="J142976"/>
    </row>
    <row r="142977" spans="10:10" x14ac:dyDescent="0.3">
      <c r="J142977"/>
    </row>
    <row r="142978" spans="10:10" x14ac:dyDescent="0.3">
      <c r="J142978"/>
    </row>
    <row r="142979" spans="10:10" x14ac:dyDescent="0.3">
      <c r="J142979"/>
    </row>
    <row r="142980" spans="10:10" x14ac:dyDescent="0.3">
      <c r="J142980"/>
    </row>
    <row r="142981" spans="10:10" x14ac:dyDescent="0.3">
      <c r="J142981"/>
    </row>
    <row r="142982" spans="10:10" x14ac:dyDescent="0.3">
      <c r="J142982"/>
    </row>
    <row r="142983" spans="10:10" x14ac:dyDescent="0.3">
      <c r="J142983"/>
    </row>
    <row r="142984" spans="10:10" x14ac:dyDescent="0.3">
      <c r="J142984"/>
    </row>
    <row r="142985" spans="10:10" x14ac:dyDescent="0.3">
      <c r="J142985"/>
    </row>
    <row r="142986" spans="10:10" x14ac:dyDescent="0.3">
      <c r="J142986"/>
    </row>
    <row r="142987" spans="10:10" x14ac:dyDescent="0.3">
      <c r="J142987"/>
    </row>
    <row r="142988" spans="10:10" x14ac:dyDescent="0.3">
      <c r="J142988"/>
    </row>
    <row r="142989" spans="10:10" x14ac:dyDescent="0.3">
      <c r="J142989"/>
    </row>
    <row r="142990" spans="10:10" x14ac:dyDescent="0.3">
      <c r="J142990"/>
    </row>
    <row r="142991" spans="10:10" x14ac:dyDescent="0.3">
      <c r="J142991"/>
    </row>
    <row r="142992" spans="10:10" x14ac:dyDescent="0.3">
      <c r="J142992"/>
    </row>
    <row r="142993" spans="10:10" x14ac:dyDescent="0.3">
      <c r="J142993"/>
    </row>
    <row r="142994" spans="10:10" x14ac:dyDescent="0.3">
      <c r="J142994"/>
    </row>
    <row r="142995" spans="10:10" x14ac:dyDescent="0.3">
      <c r="J142995"/>
    </row>
    <row r="142996" spans="10:10" x14ac:dyDescent="0.3">
      <c r="J142996"/>
    </row>
    <row r="142997" spans="10:10" x14ac:dyDescent="0.3">
      <c r="J142997"/>
    </row>
    <row r="142998" spans="10:10" x14ac:dyDescent="0.3">
      <c r="J142998"/>
    </row>
    <row r="142999" spans="10:10" x14ac:dyDescent="0.3">
      <c r="J142999"/>
    </row>
    <row r="143000" spans="10:10" x14ac:dyDescent="0.3">
      <c r="J143000"/>
    </row>
    <row r="143001" spans="10:10" x14ac:dyDescent="0.3">
      <c r="J143001"/>
    </row>
    <row r="143002" spans="10:10" x14ac:dyDescent="0.3">
      <c r="J143002"/>
    </row>
    <row r="143003" spans="10:10" x14ac:dyDescent="0.3">
      <c r="J143003"/>
    </row>
    <row r="143004" spans="10:10" x14ac:dyDescent="0.3">
      <c r="J143004"/>
    </row>
    <row r="143005" spans="10:10" x14ac:dyDescent="0.3">
      <c r="J143005"/>
    </row>
    <row r="143006" spans="10:10" x14ac:dyDescent="0.3">
      <c r="J143006"/>
    </row>
    <row r="143007" spans="10:10" x14ac:dyDescent="0.3">
      <c r="J143007"/>
    </row>
    <row r="143008" spans="10:10" x14ac:dyDescent="0.3">
      <c r="J143008"/>
    </row>
    <row r="143009" spans="10:10" x14ac:dyDescent="0.3">
      <c r="J143009"/>
    </row>
    <row r="143010" spans="10:10" x14ac:dyDescent="0.3">
      <c r="J143010"/>
    </row>
    <row r="143011" spans="10:10" x14ac:dyDescent="0.3">
      <c r="J143011"/>
    </row>
    <row r="143012" spans="10:10" x14ac:dyDescent="0.3">
      <c r="J143012"/>
    </row>
    <row r="143013" spans="10:10" x14ac:dyDescent="0.3">
      <c r="J143013"/>
    </row>
    <row r="143014" spans="10:10" x14ac:dyDescent="0.3">
      <c r="J143014"/>
    </row>
    <row r="143015" spans="10:10" x14ac:dyDescent="0.3">
      <c r="J143015"/>
    </row>
    <row r="143016" spans="10:10" x14ac:dyDescent="0.3">
      <c r="J143016"/>
    </row>
    <row r="143017" spans="10:10" x14ac:dyDescent="0.3">
      <c r="J143017"/>
    </row>
    <row r="143018" spans="10:10" x14ac:dyDescent="0.3">
      <c r="J143018"/>
    </row>
    <row r="143019" spans="10:10" x14ac:dyDescent="0.3">
      <c r="J143019"/>
    </row>
    <row r="143020" spans="10:10" x14ac:dyDescent="0.3">
      <c r="J143020"/>
    </row>
    <row r="143021" spans="10:10" x14ac:dyDescent="0.3">
      <c r="J143021"/>
    </row>
    <row r="143022" spans="10:10" x14ac:dyDescent="0.3">
      <c r="J143022"/>
    </row>
    <row r="143023" spans="10:10" x14ac:dyDescent="0.3">
      <c r="J143023"/>
    </row>
    <row r="143024" spans="10:10" x14ac:dyDescent="0.3">
      <c r="J143024"/>
    </row>
    <row r="143025" spans="10:10" x14ac:dyDescent="0.3">
      <c r="J143025"/>
    </row>
    <row r="143026" spans="10:10" x14ac:dyDescent="0.3">
      <c r="J143026"/>
    </row>
    <row r="143027" spans="10:10" x14ac:dyDescent="0.3">
      <c r="J143027"/>
    </row>
    <row r="143028" spans="10:10" x14ac:dyDescent="0.3">
      <c r="J143028"/>
    </row>
    <row r="143029" spans="10:10" x14ac:dyDescent="0.3">
      <c r="J143029"/>
    </row>
    <row r="143030" spans="10:10" x14ac:dyDescent="0.3">
      <c r="J143030"/>
    </row>
    <row r="143031" spans="10:10" x14ac:dyDescent="0.3">
      <c r="J143031"/>
    </row>
    <row r="143032" spans="10:10" x14ac:dyDescent="0.3">
      <c r="J143032"/>
    </row>
    <row r="143033" spans="10:10" x14ac:dyDescent="0.3">
      <c r="J143033"/>
    </row>
    <row r="143034" spans="10:10" x14ac:dyDescent="0.3">
      <c r="J143034"/>
    </row>
    <row r="143035" spans="10:10" x14ac:dyDescent="0.3">
      <c r="J143035"/>
    </row>
    <row r="143036" spans="10:10" x14ac:dyDescent="0.3">
      <c r="J143036"/>
    </row>
    <row r="143037" spans="10:10" x14ac:dyDescent="0.3">
      <c r="J143037"/>
    </row>
    <row r="143038" spans="10:10" x14ac:dyDescent="0.3">
      <c r="J143038"/>
    </row>
    <row r="143039" spans="10:10" x14ac:dyDescent="0.3">
      <c r="J143039"/>
    </row>
    <row r="143040" spans="10:10" x14ac:dyDescent="0.3">
      <c r="J143040"/>
    </row>
    <row r="143041" spans="10:10" x14ac:dyDescent="0.3">
      <c r="J143041"/>
    </row>
    <row r="143042" spans="10:10" x14ac:dyDescent="0.3">
      <c r="J143042"/>
    </row>
    <row r="143043" spans="10:10" x14ac:dyDescent="0.3">
      <c r="J143043"/>
    </row>
    <row r="143044" spans="10:10" x14ac:dyDescent="0.3">
      <c r="J143044"/>
    </row>
    <row r="143045" spans="10:10" x14ac:dyDescent="0.3">
      <c r="J143045"/>
    </row>
    <row r="143046" spans="10:10" x14ac:dyDescent="0.3">
      <c r="J143046"/>
    </row>
    <row r="143047" spans="10:10" x14ac:dyDescent="0.3">
      <c r="J143047"/>
    </row>
    <row r="143048" spans="10:10" x14ac:dyDescent="0.3">
      <c r="J143048"/>
    </row>
    <row r="143049" spans="10:10" x14ac:dyDescent="0.3">
      <c r="J143049"/>
    </row>
    <row r="143050" spans="10:10" x14ac:dyDescent="0.3">
      <c r="J143050"/>
    </row>
    <row r="143051" spans="10:10" x14ac:dyDescent="0.3">
      <c r="J143051"/>
    </row>
    <row r="143052" spans="10:10" x14ac:dyDescent="0.3">
      <c r="J143052"/>
    </row>
    <row r="143053" spans="10:10" x14ac:dyDescent="0.3">
      <c r="J143053"/>
    </row>
    <row r="143054" spans="10:10" x14ac:dyDescent="0.3">
      <c r="J143054"/>
    </row>
    <row r="143055" spans="10:10" x14ac:dyDescent="0.3">
      <c r="J143055"/>
    </row>
    <row r="143056" spans="10:10" x14ac:dyDescent="0.3">
      <c r="J143056"/>
    </row>
    <row r="143057" spans="10:10" x14ac:dyDescent="0.3">
      <c r="J143057"/>
    </row>
    <row r="143058" spans="10:10" x14ac:dyDescent="0.3">
      <c r="J143058"/>
    </row>
    <row r="143059" spans="10:10" x14ac:dyDescent="0.3">
      <c r="J143059"/>
    </row>
    <row r="143060" spans="10:10" x14ac:dyDescent="0.3">
      <c r="J143060"/>
    </row>
    <row r="143061" spans="10:10" x14ac:dyDescent="0.3">
      <c r="J143061"/>
    </row>
    <row r="143062" spans="10:10" x14ac:dyDescent="0.3">
      <c r="J143062"/>
    </row>
    <row r="143063" spans="10:10" x14ac:dyDescent="0.3">
      <c r="J143063"/>
    </row>
    <row r="143064" spans="10:10" x14ac:dyDescent="0.3">
      <c r="J143064"/>
    </row>
    <row r="143065" spans="10:10" x14ac:dyDescent="0.3">
      <c r="J143065"/>
    </row>
    <row r="143066" spans="10:10" x14ac:dyDescent="0.3">
      <c r="J143066"/>
    </row>
    <row r="143067" spans="10:10" x14ac:dyDescent="0.3">
      <c r="J143067"/>
    </row>
    <row r="143068" spans="10:10" x14ac:dyDescent="0.3">
      <c r="J143068"/>
    </row>
    <row r="143069" spans="10:10" x14ac:dyDescent="0.3">
      <c r="J143069"/>
    </row>
    <row r="143070" spans="10:10" x14ac:dyDescent="0.3">
      <c r="J143070"/>
    </row>
    <row r="143071" spans="10:10" x14ac:dyDescent="0.3">
      <c r="J143071"/>
    </row>
    <row r="143072" spans="10:10" x14ac:dyDescent="0.3">
      <c r="J143072"/>
    </row>
    <row r="143073" spans="10:10" x14ac:dyDescent="0.3">
      <c r="J143073"/>
    </row>
    <row r="143074" spans="10:10" x14ac:dyDescent="0.3">
      <c r="J143074"/>
    </row>
    <row r="143075" spans="10:10" x14ac:dyDescent="0.3">
      <c r="J143075"/>
    </row>
    <row r="143076" spans="10:10" x14ac:dyDescent="0.3">
      <c r="J143076"/>
    </row>
    <row r="143077" spans="10:10" x14ac:dyDescent="0.3">
      <c r="J143077"/>
    </row>
    <row r="143078" spans="10:10" x14ac:dyDescent="0.3">
      <c r="J143078"/>
    </row>
    <row r="143079" spans="10:10" x14ac:dyDescent="0.3">
      <c r="J143079"/>
    </row>
    <row r="143080" spans="10:10" x14ac:dyDescent="0.3">
      <c r="J143080"/>
    </row>
    <row r="143081" spans="10:10" x14ac:dyDescent="0.3">
      <c r="J143081"/>
    </row>
    <row r="143082" spans="10:10" x14ac:dyDescent="0.3">
      <c r="J143082"/>
    </row>
    <row r="143083" spans="10:10" x14ac:dyDescent="0.3">
      <c r="J143083"/>
    </row>
    <row r="143084" spans="10:10" x14ac:dyDescent="0.3">
      <c r="J143084"/>
    </row>
    <row r="143085" spans="10:10" x14ac:dyDescent="0.3">
      <c r="J143085"/>
    </row>
    <row r="143086" spans="10:10" x14ac:dyDescent="0.3">
      <c r="J143086"/>
    </row>
    <row r="143087" spans="10:10" x14ac:dyDescent="0.3">
      <c r="J143087"/>
    </row>
    <row r="143088" spans="10:10" x14ac:dyDescent="0.3">
      <c r="J143088"/>
    </row>
    <row r="143089" spans="10:10" x14ac:dyDescent="0.3">
      <c r="J143089"/>
    </row>
    <row r="143090" spans="10:10" x14ac:dyDescent="0.3">
      <c r="J143090"/>
    </row>
    <row r="143091" spans="10:10" x14ac:dyDescent="0.3">
      <c r="J143091"/>
    </row>
    <row r="143092" spans="10:10" x14ac:dyDescent="0.3">
      <c r="J143092"/>
    </row>
    <row r="143093" spans="10:10" x14ac:dyDescent="0.3">
      <c r="J143093"/>
    </row>
    <row r="143094" spans="10:10" x14ac:dyDescent="0.3">
      <c r="J143094"/>
    </row>
    <row r="143095" spans="10:10" x14ac:dyDescent="0.3">
      <c r="J143095"/>
    </row>
    <row r="143096" spans="10:10" x14ac:dyDescent="0.3">
      <c r="J143096"/>
    </row>
    <row r="143097" spans="10:10" x14ac:dyDescent="0.3">
      <c r="J143097"/>
    </row>
    <row r="143098" spans="10:10" x14ac:dyDescent="0.3">
      <c r="J143098"/>
    </row>
    <row r="143099" spans="10:10" x14ac:dyDescent="0.3">
      <c r="J143099"/>
    </row>
    <row r="143100" spans="10:10" x14ac:dyDescent="0.3">
      <c r="J143100"/>
    </row>
    <row r="143101" spans="10:10" x14ac:dyDescent="0.3">
      <c r="J143101"/>
    </row>
    <row r="143102" spans="10:10" x14ac:dyDescent="0.3">
      <c r="J143102"/>
    </row>
    <row r="143103" spans="10:10" x14ac:dyDescent="0.3">
      <c r="J143103"/>
    </row>
    <row r="143104" spans="10:10" x14ac:dyDescent="0.3">
      <c r="J143104"/>
    </row>
    <row r="143105" spans="10:10" x14ac:dyDescent="0.3">
      <c r="J143105"/>
    </row>
    <row r="143106" spans="10:10" x14ac:dyDescent="0.3">
      <c r="J143106"/>
    </row>
    <row r="143107" spans="10:10" x14ac:dyDescent="0.3">
      <c r="J143107"/>
    </row>
    <row r="143108" spans="10:10" x14ac:dyDescent="0.3">
      <c r="J143108"/>
    </row>
    <row r="143109" spans="10:10" x14ac:dyDescent="0.3">
      <c r="J143109"/>
    </row>
    <row r="143110" spans="10:10" x14ac:dyDescent="0.3">
      <c r="J143110"/>
    </row>
    <row r="143111" spans="10:10" x14ac:dyDescent="0.3">
      <c r="J143111"/>
    </row>
    <row r="143112" spans="10:10" x14ac:dyDescent="0.3">
      <c r="J143112"/>
    </row>
    <row r="143113" spans="10:10" x14ac:dyDescent="0.3">
      <c r="J143113"/>
    </row>
    <row r="143114" spans="10:10" x14ac:dyDescent="0.3">
      <c r="J143114"/>
    </row>
    <row r="143115" spans="10:10" x14ac:dyDescent="0.3">
      <c r="J143115"/>
    </row>
    <row r="143116" spans="10:10" x14ac:dyDescent="0.3">
      <c r="J143116"/>
    </row>
    <row r="143117" spans="10:10" x14ac:dyDescent="0.3">
      <c r="J143117"/>
    </row>
    <row r="143118" spans="10:10" x14ac:dyDescent="0.3">
      <c r="J143118"/>
    </row>
    <row r="143119" spans="10:10" x14ac:dyDescent="0.3">
      <c r="J143119"/>
    </row>
    <row r="143120" spans="10:10" x14ac:dyDescent="0.3">
      <c r="J143120"/>
    </row>
    <row r="143121" spans="10:10" x14ac:dyDescent="0.3">
      <c r="J143121"/>
    </row>
    <row r="143122" spans="10:10" x14ac:dyDescent="0.3">
      <c r="J143122"/>
    </row>
    <row r="143123" spans="10:10" x14ac:dyDescent="0.3">
      <c r="J143123"/>
    </row>
    <row r="143124" spans="10:10" x14ac:dyDescent="0.3">
      <c r="J143124"/>
    </row>
    <row r="143125" spans="10:10" x14ac:dyDescent="0.3">
      <c r="J143125"/>
    </row>
    <row r="143126" spans="10:10" x14ac:dyDescent="0.3">
      <c r="J143126"/>
    </row>
    <row r="143127" spans="10:10" x14ac:dyDescent="0.3">
      <c r="J143127"/>
    </row>
    <row r="143128" spans="10:10" x14ac:dyDescent="0.3">
      <c r="J143128"/>
    </row>
    <row r="143129" spans="10:10" x14ac:dyDescent="0.3">
      <c r="J143129"/>
    </row>
    <row r="143130" spans="10:10" x14ac:dyDescent="0.3">
      <c r="J143130"/>
    </row>
    <row r="143131" spans="10:10" x14ac:dyDescent="0.3">
      <c r="J143131"/>
    </row>
    <row r="143132" spans="10:10" x14ac:dyDescent="0.3">
      <c r="J143132"/>
    </row>
    <row r="143133" spans="10:10" x14ac:dyDescent="0.3">
      <c r="J143133"/>
    </row>
    <row r="143134" spans="10:10" x14ac:dyDescent="0.3">
      <c r="J143134"/>
    </row>
    <row r="143135" spans="10:10" x14ac:dyDescent="0.3">
      <c r="J143135"/>
    </row>
    <row r="143136" spans="10:10" x14ac:dyDescent="0.3">
      <c r="J143136"/>
    </row>
    <row r="143137" spans="10:10" x14ac:dyDescent="0.3">
      <c r="J143137"/>
    </row>
    <row r="143138" spans="10:10" x14ac:dyDescent="0.3">
      <c r="J143138"/>
    </row>
    <row r="143139" spans="10:10" x14ac:dyDescent="0.3">
      <c r="J143139"/>
    </row>
    <row r="143140" spans="10:10" x14ac:dyDescent="0.3">
      <c r="J143140"/>
    </row>
    <row r="143141" spans="10:10" x14ac:dyDescent="0.3">
      <c r="J143141"/>
    </row>
    <row r="143142" spans="10:10" x14ac:dyDescent="0.3">
      <c r="J143142"/>
    </row>
    <row r="143143" spans="10:10" x14ac:dyDescent="0.3">
      <c r="J143143"/>
    </row>
    <row r="143144" spans="10:10" x14ac:dyDescent="0.3">
      <c r="J143144"/>
    </row>
    <row r="143145" spans="10:10" x14ac:dyDescent="0.3">
      <c r="J143145"/>
    </row>
    <row r="143146" spans="10:10" x14ac:dyDescent="0.3">
      <c r="J143146"/>
    </row>
    <row r="143147" spans="10:10" x14ac:dyDescent="0.3">
      <c r="J143147"/>
    </row>
    <row r="143148" spans="10:10" x14ac:dyDescent="0.3">
      <c r="J143148"/>
    </row>
    <row r="143149" spans="10:10" x14ac:dyDescent="0.3">
      <c r="J143149"/>
    </row>
    <row r="143150" spans="10:10" x14ac:dyDescent="0.3">
      <c r="J143150"/>
    </row>
    <row r="143151" spans="10:10" x14ac:dyDescent="0.3">
      <c r="J143151"/>
    </row>
    <row r="143152" spans="10:10" x14ac:dyDescent="0.3">
      <c r="J143152"/>
    </row>
    <row r="143153" spans="10:10" x14ac:dyDescent="0.3">
      <c r="J143153"/>
    </row>
    <row r="143154" spans="10:10" x14ac:dyDescent="0.3">
      <c r="J143154"/>
    </row>
    <row r="143155" spans="10:10" x14ac:dyDescent="0.3">
      <c r="J143155"/>
    </row>
    <row r="143156" spans="10:10" x14ac:dyDescent="0.3">
      <c r="J143156"/>
    </row>
    <row r="143157" spans="10:10" x14ac:dyDescent="0.3">
      <c r="J143157"/>
    </row>
    <row r="143158" spans="10:10" x14ac:dyDescent="0.3">
      <c r="J143158"/>
    </row>
    <row r="143159" spans="10:10" x14ac:dyDescent="0.3">
      <c r="J143159"/>
    </row>
    <row r="143160" spans="10:10" x14ac:dyDescent="0.3">
      <c r="J143160"/>
    </row>
    <row r="143161" spans="10:10" x14ac:dyDescent="0.3">
      <c r="J143161"/>
    </row>
    <row r="143162" spans="10:10" x14ac:dyDescent="0.3">
      <c r="J143162"/>
    </row>
    <row r="143163" spans="10:10" x14ac:dyDescent="0.3">
      <c r="J143163"/>
    </row>
    <row r="143164" spans="10:10" x14ac:dyDescent="0.3">
      <c r="J143164"/>
    </row>
    <row r="143165" spans="10:10" x14ac:dyDescent="0.3">
      <c r="J143165"/>
    </row>
    <row r="143166" spans="10:10" x14ac:dyDescent="0.3">
      <c r="J143166"/>
    </row>
    <row r="143167" spans="10:10" x14ac:dyDescent="0.3">
      <c r="J143167"/>
    </row>
    <row r="143168" spans="10:10" x14ac:dyDescent="0.3">
      <c r="J143168"/>
    </row>
    <row r="143169" spans="10:10" x14ac:dyDescent="0.3">
      <c r="J143169"/>
    </row>
    <row r="143170" spans="10:10" x14ac:dyDescent="0.3">
      <c r="J143170"/>
    </row>
    <row r="143171" spans="10:10" x14ac:dyDescent="0.3">
      <c r="J143171"/>
    </row>
    <row r="143172" spans="10:10" x14ac:dyDescent="0.3">
      <c r="J143172"/>
    </row>
    <row r="143173" spans="10:10" x14ac:dyDescent="0.3">
      <c r="J143173"/>
    </row>
    <row r="143174" spans="10:10" x14ac:dyDescent="0.3">
      <c r="J143174"/>
    </row>
    <row r="143175" spans="10:10" x14ac:dyDescent="0.3">
      <c r="J143175"/>
    </row>
    <row r="143176" spans="10:10" x14ac:dyDescent="0.3">
      <c r="J143176"/>
    </row>
    <row r="143177" spans="10:10" x14ac:dyDescent="0.3">
      <c r="J143177"/>
    </row>
    <row r="143178" spans="10:10" x14ac:dyDescent="0.3">
      <c r="J143178"/>
    </row>
    <row r="143179" spans="10:10" x14ac:dyDescent="0.3">
      <c r="J143179"/>
    </row>
    <row r="143180" spans="10:10" x14ac:dyDescent="0.3">
      <c r="J143180"/>
    </row>
    <row r="143181" spans="10:10" x14ac:dyDescent="0.3">
      <c r="J143181"/>
    </row>
    <row r="143182" spans="10:10" x14ac:dyDescent="0.3">
      <c r="J143182"/>
    </row>
    <row r="143183" spans="10:10" x14ac:dyDescent="0.3">
      <c r="J143183"/>
    </row>
    <row r="143184" spans="10:10" x14ac:dyDescent="0.3">
      <c r="J143184"/>
    </row>
    <row r="143185" spans="10:10" x14ac:dyDescent="0.3">
      <c r="J143185"/>
    </row>
    <row r="143186" spans="10:10" x14ac:dyDescent="0.3">
      <c r="J143186"/>
    </row>
    <row r="143187" spans="10:10" x14ac:dyDescent="0.3">
      <c r="J143187"/>
    </row>
    <row r="143188" spans="10:10" x14ac:dyDescent="0.3">
      <c r="J143188"/>
    </row>
    <row r="143189" spans="10:10" x14ac:dyDescent="0.3">
      <c r="J143189"/>
    </row>
    <row r="143190" spans="10:10" x14ac:dyDescent="0.3">
      <c r="J143190"/>
    </row>
    <row r="143191" spans="10:10" x14ac:dyDescent="0.3">
      <c r="J143191"/>
    </row>
    <row r="143192" spans="10:10" x14ac:dyDescent="0.3">
      <c r="J143192"/>
    </row>
    <row r="143193" spans="10:10" x14ac:dyDescent="0.3">
      <c r="J143193"/>
    </row>
    <row r="143194" spans="10:10" x14ac:dyDescent="0.3">
      <c r="J143194"/>
    </row>
    <row r="143195" spans="10:10" x14ac:dyDescent="0.3">
      <c r="J143195"/>
    </row>
    <row r="143196" spans="10:10" x14ac:dyDescent="0.3">
      <c r="J143196"/>
    </row>
    <row r="143197" spans="10:10" x14ac:dyDescent="0.3">
      <c r="J143197"/>
    </row>
    <row r="143198" spans="10:10" x14ac:dyDescent="0.3">
      <c r="J143198"/>
    </row>
    <row r="143199" spans="10:10" x14ac:dyDescent="0.3">
      <c r="J143199"/>
    </row>
    <row r="143200" spans="10:10" x14ac:dyDescent="0.3">
      <c r="J143200"/>
    </row>
    <row r="143201" spans="10:10" x14ac:dyDescent="0.3">
      <c r="J143201"/>
    </row>
    <row r="143202" spans="10:10" x14ac:dyDescent="0.3">
      <c r="J143202"/>
    </row>
    <row r="143203" spans="10:10" x14ac:dyDescent="0.3">
      <c r="J143203"/>
    </row>
    <row r="143204" spans="10:10" x14ac:dyDescent="0.3">
      <c r="J143204"/>
    </row>
    <row r="143205" spans="10:10" x14ac:dyDescent="0.3">
      <c r="J143205"/>
    </row>
    <row r="143206" spans="10:10" x14ac:dyDescent="0.3">
      <c r="J143206"/>
    </row>
    <row r="143207" spans="10:10" x14ac:dyDescent="0.3">
      <c r="J143207"/>
    </row>
    <row r="143208" spans="10:10" x14ac:dyDescent="0.3">
      <c r="J143208"/>
    </row>
    <row r="143209" spans="10:10" x14ac:dyDescent="0.3">
      <c r="J143209"/>
    </row>
    <row r="143210" spans="10:10" x14ac:dyDescent="0.3">
      <c r="J143210"/>
    </row>
    <row r="143211" spans="10:10" x14ac:dyDescent="0.3">
      <c r="J143211"/>
    </row>
    <row r="143212" spans="10:10" x14ac:dyDescent="0.3">
      <c r="J143212"/>
    </row>
    <row r="143213" spans="10:10" x14ac:dyDescent="0.3">
      <c r="J143213"/>
    </row>
    <row r="143214" spans="10:10" x14ac:dyDescent="0.3">
      <c r="J143214"/>
    </row>
    <row r="143215" spans="10:10" x14ac:dyDescent="0.3">
      <c r="J143215"/>
    </row>
    <row r="143216" spans="10:10" x14ac:dyDescent="0.3">
      <c r="J143216"/>
    </row>
    <row r="143217" spans="10:10" x14ac:dyDescent="0.3">
      <c r="J143217"/>
    </row>
    <row r="143218" spans="10:10" x14ac:dyDescent="0.3">
      <c r="J143218"/>
    </row>
    <row r="143219" spans="10:10" x14ac:dyDescent="0.3">
      <c r="J143219"/>
    </row>
    <row r="143220" spans="10:10" x14ac:dyDescent="0.3">
      <c r="J143220"/>
    </row>
    <row r="143221" spans="10:10" x14ac:dyDescent="0.3">
      <c r="J143221"/>
    </row>
    <row r="143222" spans="10:10" x14ac:dyDescent="0.3">
      <c r="J143222"/>
    </row>
    <row r="143223" spans="10:10" x14ac:dyDescent="0.3">
      <c r="J143223"/>
    </row>
    <row r="143224" spans="10:10" x14ac:dyDescent="0.3">
      <c r="J143224"/>
    </row>
    <row r="143225" spans="10:10" x14ac:dyDescent="0.3">
      <c r="J143225"/>
    </row>
    <row r="143226" spans="10:10" x14ac:dyDescent="0.3">
      <c r="J143226"/>
    </row>
    <row r="143227" spans="10:10" x14ac:dyDescent="0.3">
      <c r="J143227"/>
    </row>
    <row r="143228" spans="10:10" x14ac:dyDescent="0.3">
      <c r="J143228"/>
    </row>
    <row r="143229" spans="10:10" x14ac:dyDescent="0.3">
      <c r="J143229"/>
    </row>
    <row r="143230" spans="10:10" x14ac:dyDescent="0.3">
      <c r="J143230"/>
    </row>
    <row r="143231" spans="10:10" x14ac:dyDescent="0.3">
      <c r="J143231"/>
    </row>
    <row r="143232" spans="10:10" x14ac:dyDescent="0.3">
      <c r="J143232"/>
    </row>
    <row r="143233" spans="10:10" x14ac:dyDescent="0.3">
      <c r="J143233"/>
    </row>
    <row r="143234" spans="10:10" x14ac:dyDescent="0.3">
      <c r="J143234"/>
    </row>
    <row r="143235" spans="10:10" x14ac:dyDescent="0.3">
      <c r="J143235"/>
    </row>
    <row r="143236" spans="10:10" x14ac:dyDescent="0.3">
      <c r="J143236"/>
    </row>
    <row r="143237" spans="10:10" x14ac:dyDescent="0.3">
      <c r="J143237"/>
    </row>
    <row r="143238" spans="10:10" x14ac:dyDescent="0.3">
      <c r="J143238"/>
    </row>
    <row r="143239" spans="10:10" x14ac:dyDescent="0.3">
      <c r="J143239"/>
    </row>
    <row r="143240" spans="10:10" x14ac:dyDescent="0.3">
      <c r="J143240"/>
    </row>
    <row r="143241" spans="10:10" x14ac:dyDescent="0.3">
      <c r="J143241"/>
    </row>
    <row r="143242" spans="10:10" x14ac:dyDescent="0.3">
      <c r="J143242"/>
    </row>
    <row r="143243" spans="10:10" x14ac:dyDescent="0.3">
      <c r="J143243"/>
    </row>
    <row r="143244" spans="10:10" x14ac:dyDescent="0.3">
      <c r="J143244"/>
    </row>
    <row r="143245" spans="10:10" x14ac:dyDescent="0.3">
      <c r="J143245"/>
    </row>
    <row r="143246" spans="10:10" x14ac:dyDescent="0.3">
      <c r="J143246"/>
    </row>
    <row r="143247" spans="10:10" x14ac:dyDescent="0.3">
      <c r="J143247"/>
    </row>
    <row r="143248" spans="10:10" x14ac:dyDescent="0.3">
      <c r="J143248"/>
    </row>
    <row r="143249" spans="10:10" x14ac:dyDescent="0.3">
      <c r="J143249"/>
    </row>
    <row r="143250" spans="10:10" x14ac:dyDescent="0.3">
      <c r="J143250"/>
    </row>
    <row r="143251" spans="10:10" x14ac:dyDescent="0.3">
      <c r="J143251"/>
    </row>
    <row r="143252" spans="10:10" x14ac:dyDescent="0.3">
      <c r="J143252"/>
    </row>
    <row r="143253" spans="10:10" x14ac:dyDescent="0.3">
      <c r="J143253"/>
    </row>
    <row r="143254" spans="10:10" x14ac:dyDescent="0.3">
      <c r="J143254"/>
    </row>
    <row r="143255" spans="10:10" x14ac:dyDescent="0.3">
      <c r="J143255"/>
    </row>
    <row r="143256" spans="10:10" x14ac:dyDescent="0.3">
      <c r="J143256"/>
    </row>
    <row r="143257" spans="10:10" x14ac:dyDescent="0.3">
      <c r="J143257"/>
    </row>
    <row r="143258" spans="10:10" x14ac:dyDescent="0.3">
      <c r="J143258"/>
    </row>
    <row r="143259" spans="10:10" x14ac:dyDescent="0.3">
      <c r="J143259"/>
    </row>
    <row r="143260" spans="10:10" x14ac:dyDescent="0.3">
      <c r="J143260"/>
    </row>
    <row r="143261" spans="10:10" x14ac:dyDescent="0.3">
      <c r="J143261"/>
    </row>
    <row r="143262" spans="10:10" x14ac:dyDescent="0.3">
      <c r="J143262"/>
    </row>
    <row r="143263" spans="10:10" x14ac:dyDescent="0.3">
      <c r="J143263"/>
    </row>
    <row r="143264" spans="10:10" x14ac:dyDescent="0.3">
      <c r="J143264"/>
    </row>
    <row r="143265" spans="10:10" x14ac:dyDescent="0.3">
      <c r="J143265"/>
    </row>
    <row r="143266" spans="10:10" x14ac:dyDescent="0.3">
      <c r="J143266"/>
    </row>
    <row r="143267" spans="10:10" x14ac:dyDescent="0.3">
      <c r="J143267"/>
    </row>
    <row r="143268" spans="10:10" x14ac:dyDescent="0.3">
      <c r="J143268"/>
    </row>
    <row r="143269" spans="10:10" x14ac:dyDescent="0.3">
      <c r="J143269"/>
    </row>
    <row r="143270" spans="10:10" x14ac:dyDescent="0.3">
      <c r="J143270"/>
    </row>
    <row r="143271" spans="10:10" x14ac:dyDescent="0.3">
      <c r="J143271"/>
    </row>
    <row r="143272" spans="10:10" x14ac:dyDescent="0.3">
      <c r="J143272"/>
    </row>
    <row r="143273" spans="10:10" x14ac:dyDescent="0.3">
      <c r="J143273"/>
    </row>
    <row r="143274" spans="10:10" x14ac:dyDescent="0.3">
      <c r="J143274"/>
    </row>
    <row r="143275" spans="10:10" x14ac:dyDescent="0.3">
      <c r="J143275"/>
    </row>
    <row r="143276" spans="10:10" x14ac:dyDescent="0.3">
      <c r="J143276"/>
    </row>
    <row r="143277" spans="10:10" x14ac:dyDescent="0.3">
      <c r="J143277"/>
    </row>
    <row r="143278" spans="10:10" x14ac:dyDescent="0.3">
      <c r="J143278"/>
    </row>
    <row r="143279" spans="10:10" x14ac:dyDescent="0.3">
      <c r="J143279"/>
    </row>
    <row r="143280" spans="10:10" x14ac:dyDescent="0.3">
      <c r="J143280"/>
    </row>
    <row r="143281" spans="10:10" x14ac:dyDescent="0.3">
      <c r="J143281"/>
    </row>
    <row r="143282" spans="10:10" x14ac:dyDescent="0.3">
      <c r="J143282"/>
    </row>
    <row r="143283" spans="10:10" x14ac:dyDescent="0.3">
      <c r="J143283"/>
    </row>
    <row r="143284" spans="10:10" x14ac:dyDescent="0.3">
      <c r="J143284"/>
    </row>
    <row r="143285" spans="10:10" x14ac:dyDescent="0.3">
      <c r="J143285"/>
    </row>
    <row r="143286" spans="10:10" x14ac:dyDescent="0.3">
      <c r="J143286"/>
    </row>
    <row r="143287" spans="10:10" x14ac:dyDescent="0.3">
      <c r="J143287"/>
    </row>
    <row r="143288" spans="10:10" x14ac:dyDescent="0.3">
      <c r="J143288"/>
    </row>
    <row r="143289" spans="10:10" x14ac:dyDescent="0.3">
      <c r="J143289"/>
    </row>
    <row r="143290" spans="10:10" x14ac:dyDescent="0.3">
      <c r="J143290"/>
    </row>
    <row r="143291" spans="10:10" x14ac:dyDescent="0.3">
      <c r="J143291"/>
    </row>
    <row r="143292" spans="10:10" x14ac:dyDescent="0.3">
      <c r="J143292"/>
    </row>
    <row r="143293" spans="10:10" x14ac:dyDescent="0.3">
      <c r="J143293"/>
    </row>
    <row r="143294" spans="10:10" x14ac:dyDescent="0.3">
      <c r="J143294"/>
    </row>
    <row r="143295" spans="10:10" x14ac:dyDescent="0.3">
      <c r="J143295"/>
    </row>
    <row r="143296" spans="10:10" x14ac:dyDescent="0.3">
      <c r="J143296"/>
    </row>
    <row r="143297" spans="10:10" x14ac:dyDescent="0.3">
      <c r="J143297"/>
    </row>
    <row r="143298" spans="10:10" x14ac:dyDescent="0.3">
      <c r="J143298"/>
    </row>
    <row r="143299" spans="10:10" x14ac:dyDescent="0.3">
      <c r="J143299"/>
    </row>
    <row r="143300" spans="10:10" x14ac:dyDescent="0.3">
      <c r="J143300"/>
    </row>
    <row r="143301" spans="10:10" x14ac:dyDescent="0.3">
      <c r="J143301"/>
    </row>
    <row r="143302" spans="10:10" x14ac:dyDescent="0.3">
      <c r="J143302"/>
    </row>
    <row r="143303" spans="10:10" x14ac:dyDescent="0.3">
      <c r="J143303"/>
    </row>
    <row r="143304" spans="10:10" x14ac:dyDescent="0.3">
      <c r="J143304"/>
    </row>
    <row r="143305" spans="10:10" x14ac:dyDescent="0.3">
      <c r="J143305"/>
    </row>
    <row r="143306" spans="10:10" x14ac:dyDescent="0.3">
      <c r="J143306"/>
    </row>
    <row r="143307" spans="10:10" x14ac:dyDescent="0.3">
      <c r="J143307"/>
    </row>
    <row r="143308" spans="10:10" x14ac:dyDescent="0.3">
      <c r="J143308"/>
    </row>
    <row r="143309" spans="10:10" x14ac:dyDescent="0.3">
      <c r="J143309"/>
    </row>
    <row r="143310" spans="10:10" x14ac:dyDescent="0.3">
      <c r="J143310"/>
    </row>
    <row r="143311" spans="10:10" x14ac:dyDescent="0.3">
      <c r="J143311"/>
    </row>
    <row r="143312" spans="10:10" x14ac:dyDescent="0.3">
      <c r="J143312"/>
    </row>
    <row r="143313" spans="10:10" x14ac:dyDescent="0.3">
      <c r="J143313"/>
    </row>
    <row r="143314" spans="10:10" x14ac:dyDescent="0.3">
      <c r="J143314"/>
    </row>
    <row r="143315" spans="10:10" x14ac:dyDescent="0.3">
      <c r="J143315"/>
    </row>
    <row r="143316" spans="10:10" x14ac:dyDescent="0.3">
      <c r="J143316"/>
    </row>
    <row r="143317" spans="10:10" x14ac:dyDescent="0.3">
      <c r="J143317"/>
    </row>
    <row r="143318" spans="10:10" x14ac:dyDescent="0.3">
      <c r="J143318"/>
    </row>
    <row r="143319" spans="10:10" x14ac:dyDescent="0.3">
      <c r="J143319"/>
    </row>
    <row r="143320" spans="10:10" x14ac:dyDescent="0.3">
      <c r="J143320"/>
    </row>
    <row r="143321" spans="10:10" x14ac:dyDescent="0.3">
      <c r="J143321"/>
    </row>
    <row r="143322" spans="10:10" x14ac:dyDescent="0.3">
      <c r="J143322"/>
    </row>
    <row r="143323" spans="10:10" x14ac:dyDescent="0.3">
      <c r="J143323"/>
    </row>
    <row r="143324" spans="10:10" x14ac:dyDescent="0.3">
      <c r="J143324"/>
    </row>
    <row r="143325" spans="10:10" x14ac:dyDescent="0.3">
      <c r="J143325"/>
    </row>
    <row r="143326" spans="10:10" x14ac:dyDescent="0.3">
      <c r="J143326"/>
    </row>
    <row r="143327" spans="10:10" x14ac:dyDescent="0.3">
      <c r="J143327"/>
    </row>
    <row r="143328" spans="10:10" x14ac:dyDescent="0.3">
      <c r="J143328"/>
    </row>
    <row r="143329" spans="10:10" x14ac:dyDescent="0.3">
      <c r="J143329"/>
    </row>
    <row r="143330" spans="10:10" x14ac:dyDescent="0.3">
      <c r="J143330"/>
    </row>
    <row r="143331" spans="10:10" x14ac:dyDescent="0.3">
      <c r="J143331"/>
    </row>
    <row r="143332" spans="10:10" x14ac:dyDescent="0.3">
      <c r="J143332"/>
    </row>
    <row r="143333" spans="10:10" x14ac:dyDescent="0.3">
      <c r="J143333"/>
    </row>
    <row r="143334" spans="10:10" x14ac:dyDescent="0.3">
      <c r="J143334"/>
    </row>
    <row r="143335" spans="10:10" x14ac:dyDescent="0.3">
      <c r="J143335"/>
    </row>
    <row r="143336" spans="10:10" x14ac:dyDescent="0.3">
      <c r="J143336"/>
    </row>
    <row r="143337" spans="10:10" x14ac:dyDescent="0.3">
      <c r="J143337"/>
    </row>
    <row r="143338" spans="10:10" x14ac:dyDescent="0.3">
      <c r="J143338"/>
    </row>
    <row r="143339" spans="10:10" x14ac:dyDescent="0.3">
      <c r="J143339"/>
    </row>
    <row r="143340" spans="10:10" x14ac:dyDescent="0.3">
      <c r="J143340"/>
    </row>
    <row r="143341" spans="10:10" x14ac:dyDescent="0.3">
      <c r="J143341"/>
    </row>
    <row r="143342" spans="10:10" x14ac:dyDescent="0.3">
      <c r="J143342"/>
    </row>
    <row r="143343" spans="10:10" x14ac:dyDescent="0.3">
      <c r="J143343"/>
    </row>
    <row r="143344" spans="10:10" x14ac:dyDescent="0.3">
      <c r="J143344"/>
    </row>
    <row r="143345" spans="10:10" x14ac:dyDescent="0.3">
      <c r="J143345"/>
    </row>
    <row r="143346" spans="10:10" x14ac:dyDescent="0.3">
      <c r="J143346"/>
    </row>
    <row r="143347" spans="10:10" x14ac:dyDescent="0.3">
      <c r="J143347"/>
    </row>
    <row r="143348" spans="10:10" x14ac:dyDescent="0.3">
      <c r="J143348"/>
    </row>
    <row r="143349" spans="10:10" x14ac:dyDescent="0.3">
      <c r="J143349"/>
    </row>
    <row r="143350" spans="10:10" x14ac:dyDescent="0.3">
      <c r="J143350"/>
    </row>
    <row r="143351" spans="10:10" x14ac:dyDescent="0.3">
      <c r="J143351"/>
    </row>
    <row r="143352" spans="10:10" x14ac:dyDescent="0.3">
      <c r="J143352"/>
    </row>
    <row r="143353" spans="10:10" x14ac:dyDescent="0.3">
      <c r="J143353"/>
    </row>
    <row r="143354" spans="10:10" x14ac:dyDescent="0.3">
      <c r="J143354"/>
    </row>
    <row r="143355" spans="10:10" x14ac:dyDescent="0.3">
      <c r="J143355"/>
    </row>
    <row r="143356" spans="10:10" x14ac:dyDescent="0.3">
      <c r="J143356"/>
    </row>
    <row r="143357" spans="10:10" x14ac:dyDescent="0.3">
      <c r="J143357"/>
    </row>
    <row r="143358" spans="10:10" x14ac:dyDescent="0.3">
      <c r="J143358"/>
    </row>
    <row r="143359" spans="10:10" x14ac:dyDescent="0.3">
      <c r="J143359"/>
    </row>
    <row r="143360" spans="10:10" x14ac:dyDescent="0.3">
      <c r="J143360"/>
    </row>
    <row r="143361" spans="10:10" x14ac:dyDescent="0.3">
      <c r="J143361"/>
    </row>
    <row r="143362" spans="10:10" x14ac:dyDescent="0.3">
      <c r="J143362"/>
    </row>
    <row r="143363" spans="10:10" x14ac:dyDescent="0.3">
      <c r="J143363"/>
    </row>
    <row r="143364" spans="10:10" x14ac:dyDescent="0.3">
      <c r="J143364"/>
    </row>
    <row r="143365" spans="10:10" x14ac:dyDescent="0.3">
      <c r="J143365"/>
    </row>
    <row r="143366" spans="10:10" x14ac:dyDescent="0.3">
      <c r="J143366"/>
    </row>
    <row r="143367" spans="10:10" x14ac:dyDescent="0.3">
      <c r="J143367"/>
    </row>
    <row r="143368" spans="10:10" x14ac:dyDescent="0.3">
      <c r="J143368"/>
    </row>
    <row r="143369" spans="10:10" x14ac:dyDescent="0.3">
      <c r="J143369"/>
    </row>
    <row r="143370" spans="10:10" x14ac:dyDescent="0.3">
      <c r="J143370"/>
    </row>
    <row r="143371" spans="10:10" x14ac:dyDescent="0.3">
      <c r="J143371"/>
    </row>
    <row r="143372" spans="10:10" x14ac:dyDescent="0.3">
      <c r="J143372"/>
    </row>
    <row r="143373" spans="10:10" x14ac:dyDescent="0.3">
      <c r="J143373"/>
    </row>
    <row r="143374" spans="10:10" x14ac:dyDescent="0.3">
      <c r="J143374"/>
    </row>
    <row r="143375" spans="10:10" x14ac:dyDescent="0.3">
      <c r="J143375"/>
    </row>
    <row r="143376" spans="10:10" x14ac:dyDescent="0.3">
      <c r="J143376"/>
    </row>
    <row r="143377" spans="10:10" x14ac:dyDescent="0.3">
      <c r="J143377"/>
    </row>
    <row r="143378" spans="10:10" x14ac:dyDescent="0.3">
      <c r="J143378"/>
    </row>
    <row r="143379" spans="10:10" x14ac:dyDescent="0.3">
      <c r="J143379"/>
    </row>
    <row r="143380" spans="10:10" x14ac:dyDescent="0.3">
      <c r="J143380"/>
    </row>
    <row r="143381" spans="10:10" x14ac:dyDescent="0.3">
      <c r="J143381"/>
    </row>
    <row r="143382" spans="10:10" x14ac:dyDescent="0.3">
      <c r="J143382"/>
    </row>
    <row r="143383" spans="10:10" x14ac:dyDescent="0.3">
      <c r="J143383"/>
    </row>
    <row r="143384" spans="10:10" x14ac:dyDescent="0.3">
      <c r="J143384"/>
    </row>
    <row r="143385" spans="10:10" x14ac:dyDescent="0.3">
      <c r="J143385"/>
    </row>
    <row r="143386" spans="10:10" x14ac:dyDescent="0.3">
      <c r="J143386"/>
    </row>
    <row r="143387" spans="10:10" x14ac:dyDescent="0.3">
      <c r="J143387"/>
    </row>
    <row r="143388" spans="10:10" x14ac:dyDescent="0.3">
      <c r="J143388"/>
    </row>
    <row r="143389" spans="10:10" x14ac:dyDescent="0.3">
      <c r="J143389"/>
    </row>
    <row r="143390" spans="10:10" x14ac:dyDescent="0.3">
      <c r="J143390"/>
    </row>
    <row r="143391" spans="10:10" x14ac:dyDescent="0.3">
      <c r="J143391"/>
    </row>
    <row r="143392" spans="10:10" x14ac:dyDescent="0.3">
      <c r="J143392"/>
    </row>
    <row r="143393" spans="10:10" x14ac:dyDescent="0.3">
      <c r="J143393"/>
    </row>
    <row r="143394" spans="10:10" x14ac:dyDescent="0.3">
      <c r="J143394"/>
    </row>
    <row r="143395" spans="10:10" x14ac:dyDescent="0.3">
      <c r="J143395"/>
    </row>
    <row r="143396" spans="10:10" x14ac:dyDescent="0.3">
      <c r="J143396"/>
    </row>
    <row r="143397" spans="10:10" x14ac:dyDescent="0.3">
      <c r="J143397"/>
    </row>
    <row r="143398" spans="10:10" x14ac:dyDescent="0.3">
      <c r="J143398"/>
    </row>
    <row r="143399" spans="10:10" x14ac:dyDescent="0.3">
      <c r="J143399"/>
    </row>
    <row r="143400" spans="10:10" x14ac:dyDescent="0.3">
      <c r="J143400"/>
    </row>
    <row r="143401" spans="10:10" x14ac:dyDescent="0.3">
      <c r="J143401"/>
    </row>
    <row r="143402" spans="10:10" x14ac:dyDescent="0.3">
      <c r="J143402"/>
    </row>
    <row r="143403" spans="10:10" x14ac:dyDescent="0.3">
      <c r="J143403"/>
    </row>
    <row r="143404" spans="10:10" x14ac:dyDescent="0.3">
      <c r="J143404"/>
    </row>
    <row r="143405" spans="10:10" x14ac:dyDescent="0.3">
      <c r="J143405"/>
    </row>
    <row r="143406" spans="10:10" x14ac:dyDescent="0.3">
      <c r="J143406"/>
    </row>
    <row r="143407" spans="10:10" x14ac:dyDescent="0.3">
      <c r="J143407"/>
    </row>
    <row r="143408" spans="10:10" x14ac:dyDescent="0.3">
      <c r="J143408"/>
    </row>
    <row r="143409" spans="10:10" x14ac:dyDescent="0.3">
      <c r="J143409"/>
    </row>
    <row r="143410" spans="10:10" x14ac:dyDescent="0.3">
      <c r="J143410"/>
    </row>
    <row r="143411" spans="10:10" x14ac:dyDescent="0.3">
      <c r="J143411"/>
    </row>
    <row r="143412" spans="10:10" x14ac:dyDescent="0.3">
      <c r="J143412"/>
    </row>
    <row r="143413" spans="10:10" x14ac:dyDescent="0.3">
      <c r="J143413"/>
    </row>
    <row r="143414" spans="10:10" x14ac:dyDescent="0.3">
      <c r="J143414"/>
    </row>
    <row r="143415" spans="10:10" x14ac:dyDescent="0.3">
      <c r="J143415"/>
    </row>
    <row r="143416" spans="10:10" x14ac:dyDescent="0.3">
      <c r="J143416"/>
    </row>
    <row r="143417" spans="10:10" x14ac:dyDescent="0.3">
      <c r="J143417"/>
    </row>
    <row r="143418" spans="10:10" x14ac:dyDescent="0.3">
      <c r="J143418"/>
    </row>
    <row r="143419" spans="10:10" x14ac:dyDescent="0.3">
      <c r="J143419"/>
    </row>
    <row r="143420" spans="10:10" x14ac:dyDescent="0.3">
      <c r="J143420"/>
    </row>
    <row r="143421" spans="10:10" x14ac:dyDescent="0.3">
      <c r="J143421"/>
    </row>
    <row r="143422" spans="10:10" x14ac:dyDescent="0.3">
      <c r="J143422"/>
    </row>
    <row r="143423" spans="10:10" x14ac:dyDescent="0.3">
      <c r="J143423"/>
    </row>
    <row r="143424" spans="10:10" x14ac:dyDescent="0.3">
      <c r="J143424"/>
    </row>
    <row r="143425" spans="10:10" x14ac:dyDescent="0.3">
      <c r="J143425"/>
    </row>
    <row r="143426" spans="10:10" x14ac:dyDescent="0.3">
      <c r="J143426"/>
    </row>
    <row r="143427" spans="10:10" x14ac:dyDescent="0.3">
      <c r="J143427"/>
    </row>
    <row r="143428" spans="10:10" x14ac:dyDescent="0.3">
      <c r="J143428"/>
    </row>
    <row r="143429" spans="10:10" x14ac:dyDescent="0.3">
      <c r="J143429"/>
    </row>
    <row r="143430" spans="10:10" x14ac:dyDescent="0.3">
      <c r="J143430"/>
    </row>
    <row r="143431" spans="10:10" x14ac:dyDescent="0.3">
      <c r="J143431"/>
    </row>
    <row r="143432" spans="10:10" x14ac:dyDescent="0.3">
      <c r="J143432"/>
    </row>
    <row r="143433" spans="10:10" x14ac:dyDescent="0.3">
      <c r="J143433"/>
    </row>
    <row r="143434" spans="10:10" x14ac:dyDescent="0.3">
      <c r="J143434"/>
    </row>
    <row r="143435" spans="10:10" x14ac:dyDescent="0.3">
      <c r="J143435"/>
    </row>
    <row r="143436" spans="10:10" x14ac:dyDescent="0.3">
      <c r="J143436"/>
    </row>
    <row r="143437" spans="10:10" x14ac:dyDescent="0.3">
      <c r="J143437"/>
    </row>
    <row r="143438" spans="10:10" x14ac:dyDescent="0.3">
      <c r="J143438"/>
    </row>
    <row r="143439" spans="10:10" x14ac:dyDescent="0.3">
      <c r="J143439"/>
    </row>
    <row r="143440" spans="10:10" x14ac:dyDescent="0.3">
      <c r="J143440"/>
    </row>
    <row r="143441" spans="10:10" x14ac:dyDescent="0.3">
      <c r="J143441"/>
    </row>
    <row r="143442" spans="10:10" x14ac:dyDescent="0.3">
      <c r="J143442"/>
    </row>
    <row r="143443" spans="10:10" x14ac:dyDescent="0.3">
      <c r="J143443"/>
    </row>
    <row r="143444" spans="10:10" x14ac:dyDescent="0.3">
      <c r="J143444"/>
    </row>
    <row r="143445" spans="10:10" x14ac:dyDescent="0.3">
      <c r="J143445"/>
    </row>
    <row r="143446" spans="10:10" x14ac:dyDescent="0.3">
      <c r="J143446"/>
    </row>
    <row r="143447" spans="10:10" x14ac:dyDescent="0.3">
      <c r="J143447"/>
    </row>
    <row r="143448" spans="10:10" x14ac:dyDescent="0.3">
      <c r="J143448"/>
    </row>
    <row r="143449" spans="10:10" x14ac:dyDescent="0.3">
      <c r="J143449"/>
    </row>
    <row r="143450" spans="10:10" x14ac:dyDescent="0.3">
      <c r="J143450"/>
    </row>
    <row r="143451" spans="10:10" x14ac:dyDescent="0.3">
      <c r="J143451"/>
    </row>
    <row r="143452" spans="10:10" x14ac:dyDescent="0.3">
      <c r="J143452"/>
    </row>
    <row r="143453" spans="10:10" x14ac:dyDescent="0.3">
      <c r="J143453"/>
    </row>
    <row r="143454" spans="10:10" x14ac:dyDescent="0.3">
      <c r="J143454"/>
    </row>
    <row r="143455" spans="10:10" x14ac:dyDescent="0.3">
      <c r="J143455"/>
    </row>
    <row r="143456" spans="10:10" x14ac:dyDescent="0.3">
      <c r="J143456"/>
    </row>
    <row r="143457" spans="10:10" x14ac:dyDescent="0.3">
      <c r="J143457"/>
    </row>
    <row r="143458" spans="10:10" x14ac:dyDescent="0.3">
      <c r="J143458"/>
    </row>
    <row r="143459" spans="10:10" x14ac:dyDescent="0.3">
      <c r="J143459"/>
    </row>
    <row r="143460" spans="10:10" x14ac:dyDescent="0.3">
      <c r="J143460"/>
    </row>
    <row r="143461" spans="10:10" x14ac:dyDescent="0.3">
      <c r="J143461"/>
    </row>
    <row r="143462" spans="10:10" x14ac:dyDescent="0.3">
      <c r="J143462"/>
    </row>
    <row r="143463" spans="10:10" x14ac:dyDescent="0.3">
      <c r="J143463"/>
    </row>
    <row r="143464" spans="10:10" x14ac:dyDescent="0.3">
      <c r="J143464"/>
    </row>
    <row r="143465" spans="10:10" x14ac:dyDescent="0.3">
      <c r="J143465"/>
    </row>
    <row r="143466" spans="10:10" x14ac:dyDescent="0.3">
      <c r="J143466"/>
    </row>
    <row r="143467" spans="10:10" x14ac:dyDescent="0.3">
      <c r="J143467"/>
    </row>
    <row r="143468" spans="10:10" x14ac:dyDescent="0.3">
      <c r="J143468"/>
    </row>
    <row r="143469" spans="10:10" x14ac:dyDescent="0.3">
      <c r="J143469"/>
    </row>
    <row r="143470" spans="10:10" x14ac:dyDescent="0.3">
      <c r="J143470"/>
    </row>
    <row r="143471" spans="10:10" x14ac:dyDescent="0.3">
      <c r="J143471"/>
    </row>
    <row r="143472" spans="10:10" x14ac:dyDescent="0.3">
      <c r="J143472"/>
    </row>
    <row r="143473" spans="10:10" x14ac:dyDescent="0.3">
      <c r="J143473"/>
    </row>
    <row r="143474" spans="10:10" x14ac:dyDescent="0.3">
      <c r="J143474"/>
    </row>
    <row r="143475" spans="10:10" x14ac:dyDescent="0.3">
      <c r="J143475"/>
    </row>
    <row r="143476" spans="10:10" x14ac:dyDescent="0.3">
      <c r="J143476"/>
    </row>
    <row r="143477" spans="10:10" x14ac:dyDescent="0.3">
      <c r="J143477"/>
    </row>
    <row r="143478" spans="10:10" x14ac:dyDescent="0.3">
      <c r="J143478"/>
    </row>
    <row r="143479" spans="10:10" x14ac:dyDescent="0.3">
      <c r="J143479"/>
    </row>
    <row r="143480" spans="10:10" x14ac:dyDescent="0.3">
      <c r="J143480"/>
    </row>
    <row r="143481" spans="10:10" x14ac:dyDescent="0.3">
      <c r="J143481"/>
    </row>
    <row r="143482" spans="10:10" x14ac:dyDescent="0.3">
      <c r="J143482"/>
    </row>
    <row r="143483" spans="10:10" x14ac:dyDescent="0.3">
      <c r="J143483"/>
    </row>
    <row r="143484" spans="10:10" x14ac:dyDescent="0.3">
      <c r="J143484"/>
    </row>
    <row r="143485" spans="10:10" x14ac:dyDescent="0.3">
      <c r="J143485"/>
    </row>
    <row r="143486" spans="10:10" x14ac:dyDescent="0.3">
      <c r="J143486"/>
    </row>
    <row r="143487" spans="10:10" x14ac:dyDescent="0.3">
      <c r="J143487"/>
    </row>
    <row r="143488" spans="10:10" x14ac:dyDescent="0.3">
      <c r="J143488"/>
    </row>
    <row r="143489" spans="10:10" x14ac:dyDescent="0.3">
      <c r="J143489"/>
    </row>
    <row r="143490" spans="10:10" x14ac:dyDescent="0.3">
      <c r="J143490"/>
    </row>
    <row r="143491" spans="10:10" x14ac:dyDescent="0.3">
      <c r="J143491"/>
    </row>
    <row r="143492" spans="10:10" x14ac:dyDescent="0.3">
      <c r="J143492"/>
    </row>
    <row r="143493" spans="10:10" x14ac:dyDescent="0.3">
      <c r="J143493"/>
    </row>
    <row r="143494" spans="10:10" x14ac:dyDescent="0.3">
      <c r="J143494"/>
    </row>
    <row r="143495" spans="10:10" x14ac:dyDescent="0.3">
      <c r="J143495"/>
    </row>
    <row r="143496" spans="10:10" x14ac:dyDescent="0.3">
      <c r="J143496"/>
    </row>
    <row r="143497" spans="10:10" x14ac:dyDescent="0.3">
      <c r="J143497"/>
    </row>
    <row r="143498" spans="10:10" x14ac:dyDescent="0.3">
      <c r="J143498"/>
    </row>
    <row r="143499" spans="10:10" x14ac:dyDescent="0.3">
      <c r="J143499"/>
    </row>
    <row r="143500" spans="10:10" x14ac:dyDescent="0.3">
      <c r="J143500"/>
    </row>
    <row r="143501" spans="10:10" x14ac:dyDescent="0.3">
      <c r="J143501"/>
    </row>
    <row r="143502" spans="10:10" x14ac:dyDescent="0.3">
      <c r="J143502"/>
    </row>
    <row r="143503" spans="10:10" x14ac:dyDescent="0.3">
      <c r="J143503"/>
    </row>
    <row r="143504" spans="10:10" x14ac:dyDescent="0.3">
      <c r="J143504"/>
    </row>
    <row r="143505" spans="10:10" x14ac:dyDescent="0.3">
      <c r="J143505"/>
    </row>
    <row r="143506" spans="10:10" x14ac:dyDescent="0.3">
      <c r="J143506"/>
    </row>
    <row r="143507" spans="10:10" x14ac:dyDescent="0.3">
      <c r="J143507"/>
    </row>
    <row r="143508" spans="10:10" x14ac:dyDescent="0.3">
      <c r="J143508"/>
    </row>
    <row r="143509" spans="10:10" x14ac:dyDescent="0.3">
      <c r="J143509"/>
    </row>
    <row r="143510" spans="10:10" x14ac:dyDescent="0.3">
      <c r="J143510"/>
    </row>
    <row r="143511" spans="10:10" x14ac:dyDescent="0.3">
      <c r="J143511"/>
    </row>
    <row r="143512" spans="10:10" x14ac:dyDescent="0.3">
      <c r="J143512"/>
    </row>
    <row r="143513" spans="10:10" x14ac:dyDescent="0.3">
      <c r="J143513"/>
    </row>
    <row r="143514" spans="10:10" x14ac:dyDescent="0.3">
      <c r="J143514"/>
    </row>
    <row r="143515" spans="10:10" x14ac:dyDescent="0.3">
      <c r="J143515"/>
    </row>
    <row r="143516" spans="10:10" x14ac:dyDescent="0.3">
      <c r="J143516"/>
    </row>
    <row r="143517" spans="10:10" x14ac:dyDescent="0.3">
      <c r="J143517"/>
    </row>
    <row r="143518" spans="10:10" x14ac:dyDescent="0.3">
      <c r="J143518"/>
    </row>
    <row r="143519" spans="10:10" x14ac:dyDescent="0.3">
      <c r="J143519"/>
    </row>
    <row r="143520" spans="10:10" x14ac:dyDescent="0.3">
      <c r="J143520"/>
    </row>
    <row r="143521" spans="10:10" x14ac:dyDescent="0.3">
      <c r="J143521"/>
    </row>
    <row r="143522" spans="10:10" x14ac:dyDescent="0.3">
      <c r="J143522"/>
    </row>
    <row r="143523" spans="10:10" x14ac:dyDescent="0.3">
      <c r="J143523"/>
    </row>
    <row r="143524" spans="10:10" x14ac:dyDescent="0.3">
      <c r="J143524"/>
    </row>
    <row r="143525" spans="10:10" x14ac:dyDescent="0.3">
      <c r="J143525"/>
    </row>
    <row r="143526" spans="10:10" x14ac:dyDescent="0.3">
      <c r="J143526"/>
    </row>
    <row r="143527" spans="10:10" x14ac:dyDescent="0.3">
      <c r="J143527"/>
    </row>
    <row r="143528" spans="10:10" x14ac:dyDescent="0.3">
      <c r="J143528"/>
    </row>
    <row r="143529" spans="10:10" x14ac:dyDescent="0.3">
      <c r="J143529"/>
    </row>
    <row r="143530" spans="10:10" x14ac:dyDescent="0.3">
      <c r="J143530"/>
    </row>
    <row r="143531" spans="10:10" x14ac:dyDescent="0.3">
      <c r="J143531"/>
    </row>
    <row r="143532" spans="10:10" x14ac:dyDescent="0.3">
      <c r="J143532"/>
    </row>
    <row r="143533" spans="10:10" x14ac:dyDescent="0.3">
      <c r="J143533"/>
    </row>
    <row r="143534" spans="10:10" x14ac:dyDescent="0.3">
      <c r="J143534"/>
    </row>
    <row r="143535" spans="10:10" x14ac:dyDescent="0.3">
      <c r="J143535"/>
    </row>
    <row r="143536" spans="10:10" x14ac:dyDescent="0.3">
      <c r="J143536"/>
    </row>
    <row r="143537" spans="10:10" x14ac:dyDescent="0.3">
      <c r="J143537"/>
    </row>
    <row r="143538" spans="10:10" x14ac:dyDescent="0.3">
      <c r="J143538"/>
    </row>
    <row r="143539" spans="10:10" x14ac:dyDescent="0.3">
      <c r="J143539"/>
    </row>
    <row r="143540" spans="10:10" x14ac:dyDescent="0.3">
      <c r="J143540"/>
    </row>
    <row r="143541" spans="10:10" x14ac:dyDescent="0.3">
      <c r="J143541"/>
    </row>
    <row r="143542" spans="10:10" x14ac:dyDescent="0.3">
      <c r="J143542"/>
    </row>
    <row r="143543" spans="10:10" x14ac:dyDescent="0.3">
      <c r="J143543"/>
    </row>
    <row r="143544" spans="10:10" x14ac:dyDescent="0.3">
      <c r="J143544"/>
    </row>
    <row r="143545" spans="10:10" x14ac:dyDescent="0.3">
      <c r="J143545"/>
    </row>
    <row r="143546" spans="10:10" x14ac:dyDescent="0.3">
      <c r="J143546"/>
    </row>
    <row r="143547" spans="10:10" x14ac:dyDescent="0.3">
      <c r="J143547"/>
    </row>
    <row r="143548" spans="10:10" x14ac:dyDescent="0.3">
      <c r="J143548"/>
    </row>
    <row r="143549" spans="10:10" x14ac:dyDescent="0.3">
      <c r="J143549"/>
    </row>
    <row r="143550" spans="10:10" x14ac:dyDescent="0.3">
      <c r="J143550"/>
    </row>
    <row r="143551" spans="10:10" x14ac:dyDescent="0.3">
      <c r="J143551"/>
    </row>
    <row r="143552" spans="10:10" x14ac:dyDescent="0.3">
      <c r="J143552"/>
    </row>
    <row r="143553" spans="10:10" x14ac:dyDescent="0.3">
      <c r="J143553"/>
    </row>
    <row r="143554" spans="10:10" x14ac:dyDescent="0.3">
      <c r="J143554"/>
    </row>
    <row r="143555" spans="10:10" x14ac:dyDescent="0.3">
      <c r="J143555"/>
    </row>
    <row r="143556" spans="10:10" x14ac:dyDescent="0.3">
      <c r="J143556"/>
    </row>
    <row r="143557" spans="10:10" x14ac:dyDescent="0.3">
      <c r="J143557"/>
    </row>
    <row r="143558" spans="10:10" x14ac:dyDescent="0.3">
      <c r="J143558"/>
    </row>
    <row r="143559" spans="10:10" x14ac:dyDescent="0.3">
      <c r="J143559"/>
    </row>
    <row r="143560" spans="10:10" x14ac:dyDescent="0.3">
      <c r="J143560"/>
    </row>
    <row r="143561" spans="10:10" x14ac:dyDescent="0.3">
      <c r="J143561"/>
    </row>
    <row r="143562" spans="10:10" x14ac:dyDescent="0.3">
      <c r="J143562"/>
    </row>
    <row r="143563" spans="10:10" x14ac:dyDescent="0.3">
      <c r="J143563"/>
    </row>
    <row r="143564" spans="10:10" x14ac:dyDescent="0.3">
      <c r="J143564"/>
    </row>
    <row r="143565" spans="10:10" x14ac:dyDescent="0.3">
      <c r="J143565"/>
    </row>
    <row r="143566" spans="10:10" x14ac:dyDescent="0.3">
      <c r="J143566"/>
    </row>
    <row r="143567" spans="10:10" x14ac:dyDescent="0.3">
      <c r="J143567"/>
    </row>
    <row r="143568" spans="10:10" x14ac:dyDescent="0.3">
      <c r="J143568"/>
    </row>
    <row r="143569" spans="10:10" x14ac:dyDescent="0.3">
      <c r="J143569"/>
    </row>
    <row r="143570" spans="10:10" x14ac:dyDescent="0.3">
      <c r="J143570"/>
    </row>
    <row r="143571" spans="10:10" x14ac:dyDescent="0.3">
      <c r="J143571"/>
    </row>
    <row r="143572" spans="10:10" x14ac:dyDescent="0.3">
      <c r="J143572"/>
    </row>
    <row r="143573" spans="10:10" x14ac:dyDescent="0.3">
      <c r="J143573"/>
    </row>
    <row r="143574" spans="10:10" x14ac:dyDescent="0.3">
      <c r="J143574"/>
    </row>
    <row r="143575" spans="10:10" x14ac:dyDescent="0.3">
      <c r="J143575"/>
    </row>
    <row r="143576" spans="10:10" x14ac:dyDescent="0.3">
      <c r="J143576"/>
    </row>
    <row r="143577" spans="10:10" x14ac:dyDescent="0.3">
      <c r="J143577"/>
    </row>
    <row r="143578" spans="10:10" x14ac:dyDescent="0.3">
      <c r="J143578"/>
    </row>
    <row r="143579" spans="10:10" x14ac:dyDescent="0.3">
      <c r="J143579"/>
    </row>
    <row r="143580" spans="10:10" x14ac:dyDescent="0.3">
      <c r="J143580"/>
    </row>
    <row r="143581" spans="10:10" x14ac:dyDescent="0.3">
      <c r="J143581"/>
    </row>
    <row r="143582" spans="10:10" x14ac:dyDescent="0.3">
      <c r="J143582"/>
    </row>
    <row r="143583" spans="10:10" x14ac:dyDescent="0.3">
      <c r="J143583"/>
    </row>
    <row r="143584" spans="10:10" x14ac:dyDescent="0.3">
      <c r="J143584"/>
    </row>
    <row r="143585" spans="10:10" x14ac:dyDescent="0.3">
      <c r="J143585"/>
    </row>
    <row r="143586" spans="10:10" x14ac:dyDescent="0.3">
      <c r="J143586"/>
    </row>
    <row r="143587" spans="10:10" x14ac:dyDescent="0.3">
      <c r="J143587"/>
    </row>
    <row r="143588" spans="10:10" x14ac:dyDescent="0.3">
      <c r="J143588"/>
    </row>
    <row r="143589" spans="10:10" x14ac:dyDescent="0.3">
      <c r="J143589"/>
    </row>
    <row r="143590" spans="10:10" x14ac:dyDescent="0.3">
      <c r="J143590"/>
    </row>
    <row r="143591" spans="10:10" x14ac:dyDescent="0.3">
      <c r="J143591"/>
    </row>
    <row r="143592" spans="10:10" x14ac:dyDescent="0.3">
      <c r="J143592"/>
    </row>
    <row r="143593" spans="10:10" x14ac:dyDescent="0.3">
      <c r="J143593"/>
    </row>
    <row r="143594" spans="10:10" x14ac:dyDescent="0.3">
      <c r="J143594"/>
    </row>
    <row r="143595" spans="10:10" x14ac:dyDescent="0.3">
      <c r="J143595"/>
    </row>
    <row r="143596" spans="10:10" x14ac:dyDescent="0.3">
      <c r="J143596"/>
    </row>
    <row r="143597" spans="10:10" x14ac:dyDescent="0.3">
      <c r="J143597"/>
    </row>
    <row r="143598" spans="10:10" x14ac:dyDescent="0.3">
      <c r="J143598"/>
    </row>
    <row r="143599" spans="10:10" x14ac:dyDescent="0.3">
      <c r="J143599"/>
    </row>
    <row r="143600" spans="10:10" x14ac:dyDescent="0.3">
      <c r="J143600"/>
    </row>
    <row r="143601" spans="10:10" x14ac:dyDescent="0.3">
      <c r="J143601"/>
    </row>
    <row r="143602" spans="10:10" x14ac:dyDescent="0.3">
      <c r="J143602"/>
    </row>
    <row r="143603" spans="10:10" x14ac:dyDescent="0.3">
      <c r="J143603"/>
    </row>
    <row r="143604" spans="10:10" x14ac:dyDescent="0.3">
      <c r="J143604"/>
    </row>
    <row r="143605" spans="10:10" x14ac:dyDescent="0.3">
      <c r="J143605"/>
    </row>
    <row r="143606" spans="10:10" x14ac:dyDescent="0.3">
      <c r="J143606"/>
    </row>
    <row r="143607" spans="10:10" x14ac:dyDescent="0.3">
      <c r="J143607"/>
    </row>
    <row r="143608" spans="10:10" x14ac:dyDescent="0.3">
      <c r="J143608"/>
    </row>
    <row r="143609" spans="10:10" x14ac:dyDescent="0.3">
      <c r="J143609"/>
    </row>
    <row r="143610" spans="10:10" x14ac:dyDescent="0.3">
      <c r="J143610"/>
    </row>
    <row r="143611" spans="10:10" x14ac:dyDescent="0.3">
      <c r="J143611"/>
    </row>
    <row r="143612" spans="10:10" x14ac:dyDescent="0.3">
      <c r="J143612"/>
    </row>
    <row r="143613" spans="10:10" x14ac:dyDescent="0.3">
      <c r="J143613"/>
    </row>
    <row r="143614" spans="10:10" x14ac:dyDescent="0.3">
      <c r="J143614"/>
    </row>
    <row r="143615" spans="10:10" x14ac:dyDescent="0.3">
      <c r="J143615"/>
    </row>
    <row r="143616" spans="10:10" x14ac:dyDescent="0.3">
      <c r="J143616"/>
    </row>
    <row r="143617" spans="10:10" x14ac:dyDescent="0.3">
      <c r="J143617"/>
    </row>
    <row r="143618" spans="10:10" x14ac:dyDescent="0.3">
      <c r="J143618"/>
    </row>
    <row r="143619" spans="10:10" x14ac:dyDescent="0.3">
      <c r="J143619"/>
    </row>
    <row r="143620" spans="10:10" x14ac:dyDescent="0.3">
      <c r="J143620"/>
    </row>
    <row r="143621" spans="10:10" x14ac:dyDescent="0.3">
      <c r="J143621"/>
    </row>
    <row r="143622" spans="10:10" x14ac:dyDescent="0.3">
      <c r="J143622"/>
    </row>
    <row r="143623" spans="10:10" x14ac:dyDescent="0.3">
      <c r="J143623"/>
    </row>
    <row r="143624" spans="10:10" x14ac:dyDescent="0.3">
      <c r="J143624"/>
    </row>
    <row r="143625" spans="10:10" x14ac:dyDescent="0.3">
      <c r="J143625"/>
    </row>
    <row r="143626" spans="10:10" x14ac:dyDescent="0.3">
      <c r="J143626"/>
    </row>
    <row r="143627" spans="10:10" x14ac:dyDescent="0.3">
      <c r="J143627"/>
    </row>
    <row r="143628" spans="10:10" x14ac:dyDescent="0.3">
      <c r="J143628"/>
    </row>
    <row r="143629" spans="10:10" x14ac:dyDescent="0.3">
      <c r="J143629"/>
    </row>
    <row r="143630" spans="10:10" x14ac:dyDescent="0.3">
      <c r="J143630"/>
    </row>
    <row r="143631" spans="10:10" x14ac:dyDescent="0.3">
      <c r="J143631"/>
    </row>
    <row r="143632" spans="10:10" x14ac:dyDescent="0.3">
      <c r="J143632"/>
    </row>
    <row r="143633" spans="10:10" x14ac:dyDescent="0.3">
      <c r="J143633"/>
    </row>
    <row r="143634" spans="10:10" x14ac:dyDescent="0.3">
      <c r="J143634"/>
    </row>
    <row r="143635" spans="10:10" x14ac:dyDescent="0.3">
      <c r="J143635"/>
    </row>
    <row r="143636" spans="10:10" x14ac:dyDescent="0.3">
      <c r="J143636"/>
    </row>
    <row r="143637" spans="10:10" x14ac:dyDescent="0.3">
      <c r="J143637"/>
    </row>
    <row r="143638" spans="10:10" x14ac:dyDescent="0.3">
      <c r="J143638"/>
    </row>
    <row r="143639" spans="10:10" x14ac:dyDescent="0.3">
      <c r="J143639"/>
    </row>
    <row r="143640" spans="10:10" x14ac:dyDescent="0.3">
      <c r="J143640"/>
    </row>
    <row r="143641" spans="10:10" x14ac:dyDescent="0.3">
      <c r="J143641"/>
    </row>
    <row r="143642" spans="10:10" x14ac:dyDescent="0.3">
      <c r="J143642"/>
    </row>
    <row r="143643" spans="10:10" x14ac:dyDescent="0.3">
      <c r="J143643"/>
    </row>
    <row r="143644" spans="10:10" x14ac:dyDescent="0.3">
      <c r="J143644"/>
    </row>
    <row r="143645" spans="10:10" x14ac:dyDescent="0.3">
      <c r="J143645"/>
    </row>
    <row r="143646" spans="10:10" x14ac:dyDescent="0.3">
      <c r="J143646"/>
    </row>
    <row r="143647" spans="10:10" x14ac:dyDescent="0.3">
      <c r="J143647"/>
    </row>
    <row r="143648" spans="10:10" x14ac:dyDescent="0.3">
      <c r="J143648"/>
    </row>
    <row r="143649" spans="10:10" x14ac:dyDescent="0.3">
      <c r="J143649"/>
    </row>
    <row r="143650" spans="10:10" x14ac:dyDescent="0.3">
      <c r="J143650"/>
    </row>
    <row r="143651" spans="10:10" x14ac:dyDescent="0.3">
      <c r="J143651"/>
    </row>
    <row r="143652" spans="10:10" x14ac:dyDescent="0.3">
      <c r="J143652"/>
    </row>
    <row r="143653" spans="10:10" x14ac:dyDescent="0.3">
      <c r="J143653"/>
    </row>
    <row r="143654" spans="10:10" x14ac:dyDescent="0.3">
      <c r="J143654"/>
    </row>
    <row r="143655" spans="10:10" x14ac:dyDescent="0.3">
      <c r="J143655"/>
    </row>
    <row r="143656" spans="10:10" x14ac:dyDescent="0.3">
      <c r="J143656"/>
    </row>
    <row r="143657" spans="10:10" x14ac:dyDescent="0.3">
      <c r="J143657"/>
    </row>
    <row r="143658" spans="10:10" x14ac:dyDescent="0.3">
      <c r="J143658"/>
    </row>
    <row r="143659" spans="10:10" x14ac:dyDescent="0.3">
      <c r="J143659"/>
    </row>
    <row r="143660" spans="10:10" x14ac:dyDescent="0.3">
      <c r="J143660"/>
    </row>
    <row r="143661" spans="10:10" x14ac:dyDescent="0.3">
      <c r="J143661"/>
    </row>
    <row r="143662" spans="10:10" x14ac:dyDescent="0.3">
      <c r="J143662"/>
    </row>
    <row r="143663" spans="10:10" x14ac:dyDescent="0.3">
      <c r="J143663"/>
    </row>
    <row r="143664" spans="10:10" x14ac:dyDescent="0.3">
      <c r="J143664"/>
    </row>
    <row r="143665" spans="10:10" x14ac:dyDescent="0.3">
      <c r="J143665"/>
    </row>
    <row r="143666" spans="10:10" x14ac:dyDescent="0.3">
      <c r="J143666"/>
    </row>
    <row r="143667" spans="10:10" x14ac:dyDescent="0.3">
      <c r="J143667"/>
    </row>
    <row r="143668" spans="10:10" x14ac:dyDescent="0.3">
      <c r="J143668"/>
    </row>
    <row r="143669" spans="10:10" x14ac:dyDescent="0.3">
      <c r="J143669"/>
    </row>
    <row r="143670" spans="10:10" x14ac:dyDescent="0.3">
      <c r="J143670"/>
    </row>
    <row r="143671" spans="10:10" x14ac:dyDescent="0.3">
      <c r="J143671"/>
    </row>
    <row r="143672" spans="10:10" x14ac:dyDescent="0.3">
      <c r="J143672"/>
    </row>
    <row r="143673" spans="10:10" x14ac:dyDescent="0.3">
      <c r="J143673"/>
    </row>
    <row r="143674" spans="10:10" x14ac:dyDescent="0.3">
      <c r="J143674"/>
    </row>
    <row r="143675" spans="10:10" x14ac:dyDescent="0.3">
      <c r="J143675"/>
    </row>
    <row r="143676" spans="10:10" x14ac:dyDescent="0.3">
      <c r="J143676"/>
    </row>
    <row r="143677" spans="10:10" x14ac:dyDescent="0.3">
      <c r="J143677"/>
    </row>
    <row r="143678" spans="10:10" x14ac:dyDescent="0.3">
      <c r="J143678"/>
    </row>
    <row r="143679" spans="10:10" x14ac:dyDescent="0.3">
      <c r="J143679"/>
    </row>
    <row r="143680" spans="10:10" x14ac:dyDescent="0.3">
      <c r="J143680"/>
    </row>
    <row r="143681" spans="10:10" x14ac:dyDescent="0.3">
      <c r="J143681"/>
    </row>
    <row r="143682" spans="10:10" x14ac:dyDescent="0.3">
      <c r="J143682"/>
    </row>
    <row r="143683" spans="10:10" x14ac:dyDescent="0.3">
      <c r="J143683"/>
    </row>
    <row r="143684" spans="10:10" x14ac:dyDescent="0.3">
      <c r="J143684"/>
    </row>
    <row r="143685" spans="10:10" x14ac:dyDescent="0.3">
      <c r="J143685"/>
    </row>
    <row r="143686" spans="10:10" x14ac:dyDescent="0.3">
      <c r="J143686"/>
    </row>
    <row r="143687" spans="10:10" x14ac:dyDescent="0.3">
      <c r="J143687"/>
    </row>
    <row r="143688" spans="10:10" x14ac:dyDescent="0.3">
      <c r="J143688"/>
    </row>
    <row r="143689" spans="10:10" x14ac:dyDescent="0.3">
      <c r="J143689"/>
    </row>
    <row r="143690" spans="10:10" x14ac:dyDescent="0.3">
      <c r="J143690"/>
    </row>
    <row r="143691" spans="10:10" x14ac:dyDescent="0.3">
      <c r="J143691"/>
    </row>
    <row r="143692" spans="10:10" x14ac:dyDescent="0.3">
      <c r="J143692"/>
    </row>
    <row r="143693" spans="10:10" x14ac:dyDescent="0.3">
      <c r="J143693"/>
    </row>
    <row r="143694" spans="10:10" x14ac:dyDescent="0.3">
      <c r="J143694"/>
    </row>
    <row r="143695" spans="10:10" x14ac:dyDescent="0.3">
      <c r="J143695"/>
    </row>
    <row r="143696" spans="10:10" x14ac:dyDescent="0.3">
      <c r="J143696"/>
    </row>
    <row r="143697" spans="10:10" x14ac:dyDescent="0.3">
      <c r="J143697"/>
    </row>
    <row r="143698" spans="10:10" x14ac:dyDescent="0.3">
      <c r="J143698"/>
    </row>
    <row r="143699" spans="10:10" x14ac:dyDescent="0.3">
      <c r="J143699"/>
    </row>
    <row r="143700" spans="10:10" x14ac:dyDescent="0.3">
      <c r="J143700"/>
    </row>
    <row r="143701" spans="10:10" x14ac:dyDescent="0.3">
      <c r="J143701"/>
    </row>
    <row r="143702" spans="10:10" x14ac:dyDescent="0.3">
      <c r="J143702"/>
    </row>
    <row r="143703" spans="10:10" x14ac:dyDescent="0.3">
      <c r="J143703"/>
    </row>
    <row r="143704" spans="10:10" x14ac:dyDescent="0.3">
      <c r="J143704"/>
    </row>
    <row r="143705" spans="10:10" x14ac:dyDescent="0.3">
      <c r="J143705"/>
    </row>
    <row r="143706" spans="10:10" x14ac:dyDescent="0.3">
      <c r="J143706"/>
    </row>
    <row r="143707" spans="10:10" x14ac:dyDescent="0.3">
      <c r="J143707"/>
    </row>
    <row r="143708" spans="10:10" x14ac:dyDescent="0.3">
      <c r="J143708"/>
    </row>
    <row r="143709" spans="10:10" x14ac:dyDescent="0.3">
      <c r="J143709"/>
    </row>
    <row r="143710" spans="10:10" x14ac:dyDescent="0.3">
      <c r="J143710"/>
    </row>
    <row r="143711" spans="10:10" x14ac:dyDescent="0.3">
      <c r="J143711"/>
    </row>
    <row r="143712" spans="10:10" x14ac:dyDescent="0.3">
      <c r="J143712"/>
    </row>
    <row r="143713" spans="10:10" x14ac:dyDescent="0.3">
      <c r="J143713"/>
    </row>
    <row r="143714" spans="10:10" x14ac:dyDescent="0.3">
      <c r="J143714"/>
    </row>
    <row r="143715" spans="10:10" x14ac:dyDescent="0.3">
      <c r="J143715"/>
    </row>
    <row r="143716" spans="10:10" x14ac:dyDescent="0.3">
      <c r="J143716"/>
    </row>
    <row r="143717" spans="10:10" x14ac:dyDescent="0.3">
      <c r="J143717"/>
    </row>
    <row r="143718" spans="10:10" x14ac:dyDescent="0.3">
      <c r="J143718"/>
    </row>
    <row r="143719" spans="10:10" x14ac:dyDescent="0.3">
      <c r="J143719"/>
    </row>
    <row r="143720" spans="10:10" x14ac:dyDescent="0.3">
      <c r="J143720"/>
    </row>
    <row r="143721" spans="10:10" x14ac:dyDescent="0.3">
      <c r="J143721"/>
    </row>
    <row r="143722" spans="10:10" x14ac:dyDescent="0.3">
      <c r="J143722"/>
    </row>
    <row r="143723" spans="10:10" x14ac:dyDescent="0.3">
      <c r="J143723"/>
    </row>
    <row r="143724" spans="10:10" x14ac:dyDescent="0.3">
      <c r="J143724"/>
    </row>
    <row r="143725" spans="10:10" x14ac:dyDescent="0.3">
      <c r="J143725"/>
    </row>
    <row r="143726" spans="10:10" x14ac:dyDescent="0.3">
      <c r="J143726"/>
    </row>
    <row r="143727" spans="10:10" x14ac:dyDescent="0.3">
      <c r="J143727"/>
    </row>
    <row r="143728" spans="10:10" x14ac:dyDescent="0.3">
      <c r="J143728"/>
    </row>
    <row r="143729" spans="10:10" x14ac:dyDescent="0.3">
      <c r="J143729"/>
    </row>
    <row r="143730" spans="10:10" x14ac:dyDescent="0.3">
      <c r="J143730"/>
    </row>
    <row r="143731" spans="10:10" x14ac:dyDescent="0.3">
      <c r="J143731"/>
    </row>
    <row r="143732" spans="10:10" x14ac:dyDescent="0.3">
      <c r="J143732"/>
    </row>
    <row r="143733" spans="10:10" x14ac:dyDescent="0.3">
      <c r="J143733"/>
    </row>
    <row r="143734" spans="10:10" x14ac:dyDescent="0.3">
      <c r="J143734"/>
    </row>
    <row r="143735" spans="10:10" x14ac:dyDescent="0.3">
      <c r="J143735"/>
    </row>
    <row r="143736" spans="10:10" x14ac:dyDescent="0.3">
      <c r="J143736"/>
    </row>
    <row r="143737" spans="10:10" x14ac:dyDescent="0.3">
      <c r="J143737"/>
    </row>
    <row r="143738" spans="10:10" x14ac:dyDescent="0.3">
      <c r="J143738"/>
    </row>
    <row r="143739" spans="10:10" x14ac:dyDescent="0.3">
      <c r="J143739"/>
    </row>
    <row r="143740" spans="10:10" x14ac:dyDescent="0.3">
      <c r="J143740"/>
    </row>
    <row r="143741" spans="10:10" x14ac:dyDescent="0.3">
      <c r="J143741"/>
    </row>
    <row r="143742" spans="10:10" x14ac:dyDescent="0.3">
      <c r="J143742"/>
    </row>
    <row r="143743" spans="10:10" x14ac:dyDescent="0.3">
      <c r="J143743"/>
    </row>
    <row r="143744" spans="10:10" x14ac:dyDescent="0.3">
      <c r="J143744"/>
    </row>
    <row r="143745" spans="10:10" x14ac:dyDescent="0.3">
      <c r="J143745"/>
    </row>
    <row r="143746" spans="10:10" x14ac:dyDescent="0.3">
      <c r="J143746"/>
    </row>
    <row r="143747" spans="10:10" x14ac:dyDescent="0.3">
      <c r="J143747"/>
    </row>
    <row r="143748" spans="10:10" x14ac:dyDescent="0.3">
      <c r="J143748"/>
    </row>
    <row r="143749" spans="10:10" x14ac:dyDescent="0.3">
      <c r="J143749"/>
    </row>
    <row r="143750" spans="10:10" x14ac:dyDescent="0.3">
      <c r="J143750"/>
    </row>
    <row r="143751" spans="10:10" x14ac:dyDescent="0.3">
      <c r="J143751"/>
    </row>
    <row r="143752" spans="10:10" x14ac:dyDescent="0.3">
      <c r="J143752"/>
    </row>
    <row r="143753" spans="10:10" x14ac:dyDescent="0.3">
      <c r="J143753"/>
    </row>
    <row r="143754" spans="10:10" x14ac:dyDescent="0.3">
      <c r="J143754"/>
    </row>
    <row r="143755" spans="10:10" x14ac:dyDescent="0.3">
      <c r="J143755"/>
    </row>
    <row r="143756" spans="10:10" x14ac:dyDescent="0.3">
      <c r="J143756"/>
    </row>
    <row r="143757" spans="10:10" x14ac:dyDescent="0.3">
      <c r="J143757"/>
    </row>
    <row r="143758" spans="10:10" x14ac:dyDescent="0.3">
      <c r="J143758"/>
    </row>
    <row r="143759" spans="10:10" x14ac:dyDescent="0.3">
      <c r="J143759"/>
    </row>
    <row r="143760" spans="10:10" x14ac:dyDescent="0.3">
      <c r="J143760"/>
    </row>
    <row r="143761" spans="10:10" x14ac:dyDescent="0.3">
      <c r="J143761"/>
    </row>
    <row r="143762" spans="10:10" x14ac:dyDescent="0.3">
      <c r="J143762"/>
    </row>
    <row r="143763" spans="10:10" x14ac:dyDescent="0.3">
      <c r="J143763"/>
    </row>
    <row r="143764" spans="10:10" x14ac:dyDescent="0.3">
      <c r="J143764"/>
    </row>
    <row r="143765" spans="10:10" x14ac:dyDescent="0.3">
      <c r="J143765"/>
    </row>
    <row r="143766" spans="10:10" x14ac:dyDescent="0.3">
      <c r="J143766"/>
    </row>
    <row r="143767" spans="10:10" x14ac:dyDescent="0.3">
      <c r="J143767"/>
    </row>
    <row r="143768" spans="10:10" x14ac:dyDescent="0.3">
      <c r="J143768"/>
    </row>
    <row r="143769" spans="10:10" x14ac:dyDescent="0.3">
      <c r="J143769"/>
    </row>
    <row r="143770" spans="10:10" x14ac:dyDescent="0.3">
      <c r="J143770"/>
    </row>
    <row r="143771" spans="10:10" x14ac:dyDescent="0.3">
      <c r="J143771"/>
    </row>
    <row r="143772" spans="10:10" x14ac:dyDescent="0.3">
      <c r="J143772"/>
    </row>
    <row r="143773" spans="10:10" x14ac:dyDescent="0.3">
      <c r="J143773"/>
    </row>
    <row r="143774" spans="10:10" x14ac:dyDescent="0.3">
      <c r="J143774"/>
    </row>
    <row r="143775" spans="10:10" x14ac:dyDescent="0.3">
      <c r="J143775"/>
    </row>
    <row r="143776" spans="10:10" x14ac:dyDescent="0.3">
      <c r="J143776"/>
    </row>
    <row r="143777" spans="10:10" x14ac:dyDescent="0.3">
      <c r="J143777"/>
    </row>
    <row r="143778" spans="10:10" x14ac:dyDescent="0.3">
      <c r="J143778"/>
    </row>
    <row r="143779" spans="10:10" x14ac:dyDescent="0.3">
      <c r="J143779"/>
    </row>
    <row r="143780" spans="10:10" x14ac:dyDescent="0.3">
      <c r="J143780"/>
    </row>
    <row r="143781" spans="10:10" x14ac:dyDescent="0.3">
      <c r="J143781"/>
    </row>
    <row r="143782" spans="10:10" x14ac:dyDescent="0.3">
      <c r="J143782"/>
    </row>
    <row r="143783" spans="10:10" x14ac:dyDescent="0.3">
      <c r="J143783"/>
    </row>
    <row r="143784" spans="10:10" x14ac:dyDescent="0.3">
      <c r="J143784"/>
    </row>
    <row r="143785" spans="10:10" x14ac:dyDescent="0.3">
      <c r="J143785"/>
    </row>
    <row r="143786" spans="10:10" x14ac:dyDescent="0.3">
      <c r="J143786"/>
    </row>
    <row r="143787" spans="10:10" x14ac:dyDescent="0.3">
      <c r="J143787"/>
    </row>
    <row r="143788" spans="10:10" x14ac:dyDescent="0.3">
      <c r="J143788"/>
    </row>
    <row r="143789" spans="10:10" x14ac:dyDescent="0.3">
      <c r="J143789"/>
    </row>
    <row r="143790" spans="10:10" x14ac:dyDescent="0.3">
      <c r="J143790"/>
    </row>
    <row r="143791" spans="10:10" x14ac:dyDescent="0.3">
      <c r="J143791"/>
    </row>
    <row r="143792" spans="10:10" x14ac:dyDescent="0.3">
      <c r="J143792"/>
    </row>
    <row r="143793" spans="10:10" x14ac:dyDescent="0.3">
      <c r="J143793"/>
    </row>
    <row r="143794" spans="10:10" x14ac:dyDescent="0.3">
      <c r="J143794"/>
    </row>
    <row r="143795" spans="10:10" x14ac:dyDescent="0.3">
      <c r="J143795"/>
    </row>
    <row r="143796" spans="10:10" x14ac:dyDescent="0.3">
      <c r="J143796"/>
    </row>
    <row r="143797" spans="10:10" x14ac:dyDescent="0.3">
      <c r="J143797"/>
    </row>
    <row r="143798" spans="10:10" x14ac:dyDescent="0.3">
      <c r="J143798"/>
    </row>
    <row r="143799" spans="10:10" x14ac:dyDescent="0.3">
      <c r="J143799"/>
    </row>
    <row r="143800" spans="10:10" x14ac:dyDescent="0.3">
      <c r="J143800"/>
    </row>
    <row r="143801" spans="10:10" x14ac:dyDescent="0.3">
      <c r="J143801"/>
    </row>
    <row r="143802" spans="10:10" x14ac:dyDescent="0.3">
      <c r="J143802"/>
    </row>
    <row r="143803" spans="10:10" x14ac:dyDescent="0.3">
      <c r="J143803"/>
    </row>
    <row r="143804" spans="10:10" x14ac:dyDescent="0.3">
      <c r="J143804"/>
    </row>
    <row r="143805" spans="10:10" x14ac:dyDescent="0.3">
      <c r="J143805"/>
    </row>
    <row r="143806" spans="10:10" x14ac:dyDescent="0.3">
      <c r="J143806"/>
    </row>
    <row r="143807" spans="10:10" x14ac:dyDescent="0.3">
      <c r="J143807"/>
    </row>
    <row r="143808" spans="10:10" x14ac:dyDescent="0.3">
      <c r="J143808"/>
    </row>
    <row r="143809" spans="10:10" x14ac:dyDescent="0.3">
      <c r="J143809"/>
    </row>
    <row r="143810" spans="10:10" x14ac:dyDescent="0.3">
      <c r="J143810"/>
    </row>
    <row r="143811" spans="10:10" x14ac:dyDescent="0.3">
      <c r="J143811"/>
    </row>
    <row r="143812" spans="10:10" x14ac:dyDescent="0.3">
      <c r="J143812"/>
    </row>
    <row r="143813" spans="10:10" x14ac:dyDescent="0.3">
      <c r="J143813"/>
    </row>
    <row r="143814" spans="10:10" x14ac:dyDescent="0.3">
      <c r="J143814"/>
    </row>
    <row r="143815" spans="10:10" x14ac:dyDescent="0.3">
      <c r="J143815"/>
    </row>
    <row r="143816" spans="10:10" x14ac:dyDescent="0.3">
      <c r="J143816"/>
    </row>
    <row r="143817" spans="10:10" x14ac:dyDescent="0.3">
      <c r="J143817"/>
    </row>
    <row r="143818" spans="10:10" x14ac:dyDescent="0.3">
      <c r="J143818"/>
    </row>
    <row r="143819" spans="10:10" x14ac:dyDescent="0.3">
      <c r="J143819"/>
    </row>
    <row r="143820" spans="10:10" x14ac:dyDescent="0.3">
      <c r="J143820"/>
    </row>
    <row r="143821" spans="10:10" x14ac:dyDescent="0.3">
      <c r="J143821"/>
    </row>
    <row r="143822" spans="10:10" x14ac:dyDescent="0.3">
      <c r="J143822"/>
    </row>
    <row r="143823" spans="10:10" x14ac:dyDescent="0.3">
      <c r="J143823"/>
    </row>
    <row r="143824" spans="10:10" x14ac:dyDescent="0.3">
      <c r="J143824"/>
    </row>
    <row r="143825" spans="10:10" x14ac:dyDescent="0.3">
      <c r="J143825"/>
    </row>
    <row r="143826" spans="10:10" x14ac:dyDescent="0.3">
      <c r="J143826"/>
    </row>
    <row r="143827" spans="10:10" x14ac:dyDescent="0.3">
      <c r="J143827"/>
    </row>
    <row r="143828" spans="10:10" x14ac:dyDescent="0.3">
      <c r="J143828"/>
    </row>
    <row r="143829" spans="10:10" x14ac:dyDescent="0.3">
      <c r="J143829"/>
    </row>
    <row r="143830" spans="10:10" x14ac:dyDescent="0.3">
      <c r="J143830"/>
    </row>
    <row r="143831" spans="10:10" x14ac:dyDescent="0.3">
      <c r="J143831"/>
    </row>
    <row r="143832" spans="10:10" x14ac:dyDescent="0.3">
      <c r="J143832"/>
    </row>
    <row r="143833" spans="10:10" x14ac:dyDescent="0.3">
      <c r="J143833"/>
    </row>
    <row r="143834" spans="10:10" x14ac:dyDescent="0.3">
      <c r="J143834"/>
    </row>
    <row r="143835" spans="10:10" x14ac:dyDescent="0.3">
      <c r="J143835"/>
    </row>
    <row r="143836" spans="10:10" x14ac:dyDescent="0.3">
      <c r="J143836"/>
    </row>
    <row r="143837" spans="10:10" x14ac:dyDescent="0.3">
      <c r="J143837"/>
    </row>
    <row r="143838" spans="10:10" x14ac:dyDescent="0.3">
      <c r="J143838"/>
    </row>
    <row r="143839" spans="10:10" x14ac:dyDescent="0.3">
      <c r="J143839"/>
    </row>
    <row r="143840" spans="10:10" x14ac:dyDescent="0.3">
      <c r="J143840"/>
    </row>
    <row r="143841" spans="10:10" x14ac:dyDescent="0.3">
      <c r="J143841"/>
    </row>
    <row r="143842" spans="10:10" x14ac:dyDescent="0.3">
      <c r="J143842"/>
    </row>
    <row r="143843" spans="10:10" x14ac:dyDescent="0.3">
      <c r="J143843"/>
    </row>
    <row r="143844" spans="10:10" x14ac:dyDescent="0.3">
      <c r="J143844"/>
    </row>
    <row r="143845" spans="10:10" x14ac:dyDescent="0.3">
      <c r="J143845"/>
    </row>
    <row r="143846" spans="10:10" x14ac:dyDescent="0.3">
      <c r="J143846"/>
    </row>
    <row r="143847" spans="10:10" x14ac:dyDescent="0.3">
      <c r="J143847"/>
    </row>
    <row r="143848" spans="10:10" x14ac:dyDescent="0.3">
      <c r="J143848"/>
    </row>
    <row r="143849" spans="10:10" x14ac:dyDescent="0.3">
      <c r="J143849"/>
    </row>
    <row r="143850" spans="10:10" x14ac:dyDescent="0.3">
      <c r="J143850"/>
    </row>
    <row r="143851" spans="10:10" x14ac:dyDescent="0.3">
      <c r="J143851"/>
    </row>
    <row r="143852" spans="10:10" x14ac:dyDescent="0.3">
      <c r="J143852"/>
    </row>
    <row r="143853" spans="10:10" x14ac:dyDescent="0.3">
      <c r="J143853"/>
    </row>
    <row r="143854" spans="10:10" x14ac:dyDescent="0.3">
      <c r="J143854"/>
    </row>
    <row r="143855" spans="10:10" x14ac:dyDescent="0.3">
      <c r="J143855"/>
    </row>
    <row r="143856" spans="10:10" x14ac:dyDescent="0.3">
      <c r="J143856"/>
    </row>
    <row r="143857" spans="10:10" x14ac:dyDescent="0.3">
      <c r="J143857"/>
    </row>
    <row r="143858" spans="10:10" x14ac:dyDescent="0.3">
      <c r="J143858"/>
    </row>
    <row r="143859" spans="10:10" x14ac:dyDescent="0.3">
      <c r="J143859"/>
    </row>
    <row r="143860" spans="10:10" x14ac:dyDescent="0.3">
      <c r="J143860"/>
    </row>
    <row r="143861" spans="10:10" x14ac:dyDescent="0.3">
      <c r="J143861"/>
    </row>
    <row r="143862" spans="10:10" x14ac:dyDescent="0.3">
      <c r="J143862"/>
    </row>
    <row r="143863" spans="10:10" x14ac:dyDescent="0.3">
      <c r="J143863"/>
    </row>
    <row r="143864" spans="10:10" x14ac:dyDescent="0.3">
      <c r="J143864"/>
    </row>
    <row r="143865" spans="10:10" x14ac:dyDescent="0.3">
      <c r="J143865"/>
    </row>
    <row r="143866" spans="10:10" x14ac:dyDescent="0.3">
      <c r="J143866"/>
    </row>
    <row r="143867" spans="10:10" x14ac:dyDescent="0.3">
      <c r="J143867"/>
    </row>
    <row r="143868" spans="10:10" x14ac:dyDescent="0.3">
      <c r="J143868"/>
    </row>
    <row r="143869" spans="10:10" x14ac:dyDescent="0.3">
      <c r="J143869"/>
    </row>
    <row r="143870" spans="10:10" x14ac:dyDescent="0.3">
      <c r="J143870"/>
    </row>
    <row r="143871" spans="10:10" x14ac:dyDescent="0.3">
      <c r="J143871"/>
    </row>
    <row r="143872" spans="10:10" x14ac:dyDescent="0.3">
      <c r="J143872"/>
    </row>
    <row r="143873" spans="10:10" x14ac:dyDescent="0.3">
      <c r="J143873"/>
    </row>
    <row r="143874" spans="10:10" x14ac:dyDescent="0.3">
      <c r="J143874"/>
    </row>
    <row r="143875" spans="10:10" x14ac:dyDescent="0.3">
      <c r="J143875"/>
    </row>
    <row r="143876" spans="10:10" x14ac:dyDescent="0.3">
      <c r="J143876"/>
    </row>
    <row r="143877" spans="10:10" x14ac:dyDescent="0.3">
      <c r="J143877"/>
    </row>
    <row r="143878" spans="10:10" x14ac:dyDescent="0.3">
      <c r="J143878"/>
    </row>
    <row r="143879" spans="10:10" x14ac:dyDescent="0.3">
      <c r="J143879"/>
    </row>
    <row r="143880" spans="10:10" x14ac:dyDescent="0.3">
      <c r="J143880"/>
    </row>
    <row r="143881" spans="10:10" x14ac:dyDescent="0.3">
      <c r="J143881"/>
    </row>
    <row r="143882" spans="10:10" x14ac:dyDescent="0.3">
      <c r="J143882"/>
    </row>
    <row r="143883" spans="10:10" x14ac:dyDescent="0.3">
      <c r="J143883"/>
    </row>
    <row r="143884" spans="10:10" x14ac:dyDescent="0.3">
      <c r="J143884"/>
    </row>
    <row r="143885" spans="10:10" x14ac:dyDescent="0.3">
      <c r="J143885"/>
    </row>
    <row r="143886" spans="10:10" x14ac:dyDescent="0.3">
      <c r="J143886"/>
    </row>
    <row r="143887" spans="10:10" x14ac:dyDescent="0.3">
      <c r="J143887"/>
    </row>
    <row r="143888" spans="10:10" x14ac:dyDescent="0.3">
      <c r="J143888"/>
    </row>
    <row r="143889" spans="10:10" x14ac:dyDescent="0.3">
      <c r="J143889"/>
    </row>
    <row r="143890" spans="10:10" x14ac:dyDescent="0.3">
      <c r="J143890"/>
    </row>
    <row r="143891" spans="10:10" x14ac:dyDescent="0.3">
      <c r="J143891"/>
    </row>
    <row r="143892" spans="10:10" x14ac:dyDescent="0.3">
      <c r="J143892"/>
    </row>
    <row r="143893" spans="10:10" x14ac:dyDescent="0.3">
      <c r="J143893"/>
    </row>
    <row r="143894" spans="10:10" x14ac:dyDescent="0.3">
      <c r="J143894"/>
    </row>
    <row r="143895" spans="10:10" x14ac:dyDescent="0.3">
      <c r="J143895"/>
    </row>
    <row r="143896" spans="10:10" x14ac:dyDescent="0.3">
      <c r="J143896"/>
    </row>
    <row r="143897" spans="10:10" x14ac:dyDescent="0.3">
      <c r="J143897"/>
    </row>
    <row r="143898" spans="10:10" x14ac:dyDescent="0.3">
      <c r="J143898"/>
    </row>
    <row r="143899" spans="10:10" x14ac:dyDescent="0.3">
      <c r="J143899"/>
    </row>
    <row r="143900" spans="10:10" x14ac:dyDescent="0.3">
      <c r="J143900"/>
    </row>
    <row r="143901" spans="10:10" x14ac:dyDescent="0.3">
      <c r="J143901"/>
    </row>
    <row r="143902" spans="10:10" x14ac:dyDescent="0.3">
      <c r="J143902"/>
    </row>
    <row r="143903" spans="10:10" x14ac:dyDescent="0.3">
      <c r="J143903"/>
    </row>
    <row r="143904" spans="10:10" x14ac:dyDescent="0.3">
      <c r="J143904"/>
    </row>
    <row r="143905" spans="10:10" x14ac:dyDescent="0.3">
      <c r="J143905"/>
    </row>
    <row r="143906" spans="10:10" x14ac:dyDescent="0.3">
      <c r="J143906"/>
    </row>
    <row r="143907" spans="10:10" x14ac:dyDescent="0.3">
      <c r="J143907"/>
    </row>
    <row r="143908" spans="10:10" x14ac:dyDescent="0.3">
      <c r="J143908"/>
    </row>
    <row r="143909" spans="10:10" x14ac:dyDescent="0.3">
      <c r="J143909"/>
    </row>
    <row r="143910" spans="10:10" x14ac:dyDescent="0.3">
      <c r="J143910"/>
    </row>
    <row r="143911" spans="10:10" x14ac:dyDescent="0.3">
      <c r="J143911"/>
    </row>
    <row r="143912" spans="10:10" x14ac:dyDescent="0.3">
      <c r="J143912"/>
    </row>
    <row r="143913" spans="10:10" x14ac:dyDescent="0.3">
      <c r="J143913"/>
    </row>
    <row r="143914" spans="10:10" x14ac:dyDescent="0.3">
      <c r="J143914"/>
    </row>
    <row r="143915" spans="10:10" x14ac:dyDescent="0.3">
      <c r="J143915"/>
    </row>
    <row r="143916" spans="10:10" x14ac:dyDescent="0.3">
      <c r="J143916"/>
    </row>
    <row r="143917" spans="10:10" x14ac:dyDescent="0.3">
      <c r="J143917"/>
    </row>
    <row r="143918" spans="10:10" x14ac:dyDescent="0.3">
      <c r="J143918"/>
    </row>
    <row r="143919" spans="10:10" x14ac:dyDescent="0.3">
      <c r="J143919"/>
    </row>
    <row r="143920" spans="10:10" x14ac:dyDescent="0.3">
      <c r="J143920"/>
    </row>
    <row r="143921" spans="10:10" x14ac:dyDescent="0.3">
      <c r="J143921"/>
    </row>
    <row r="143922" spans="10:10" x14ac:dyDescent="0.3">
      <c r="J143922"/>
    </row>
    <row r="143923" spans="10:10" x14ac:dyDescent="0.3">
      <c r="J143923"/>
    </row>
    <row r="143924" spans="10:10" x14ac:dyDescent="0.3">
      <c r="J143924"/>
    </row>
    <row r="143925" spans="10:10" x14ac:dyDescent="0.3">
      <c r="J143925"/>
    </row>
    <row r="143926" spans="10:10" x14ac:dyDescent="0.3">
      <c r="J143926"/>
    </row>
    <row r="143927" spans="10:10" x14ac:dyDescent="0.3">
      <c r="J143927"/>
    </row>
    <row r="143928" spans="10:10" x14ac:dyDescent="0.3">
      <c r="J143928"/>
    </row>
    <row r="143929" spans="10:10" x14ac:dyDescent="0.3">
      <c r="J143929"/>
    </row>
    <row r="143930" spans="10:10" x14ac:dyDescent="0.3">
      <c r="J143930"/>
    </row>
    <row r="143931" spans="10:10" x14ac:dyDescent="0.3">
      <c r="J143931"/>
    </row>
    <row r="143932" spans="10:10" x14ac:dyDescent="0.3">
      <c r="J143932"/>
    </row>
    <row r="143933" spans="10:10" x14ac:dyDescent="0.3">
      <c r="J143933"/>
    </row>
    <row r="143934" spans="10:10" x14ac:dyDescent="0.3">
      <c r="J143934"/>
    </row>
    <row r="143935" spans="10:10" x14ac:dyDescent="0.3">
      <c r="J143935"/>
    </row>
    <row r="143936" spans="10:10" x14ac:dyDescent="0.3">
      <c r="J143936"/>
    </row>
    <row r="143937" spans="10:10" x14ac:dyDescent="0.3">
      <c r="J143937"/>
    </row>
    <row r="143938" spans="10:10" x14ac:dyDescent="0.3">
      <c r="J143938"/>
    </row>
    <row r="143939" spans="10:10" x14ac:dyDescent="0.3">
      <c r="J143939"/>
    </row>
    <row r="143940" spans="10:10" x14ac:dyDescent="0.3">
      <c r="J143940"/>
    </row>
    <row r="143941" spans="10:10" x14ac:dyDescent="0.3">
      <c r="J143941"/>
    </row>
    <row r="143942" spans="10:10" x14ac:dyDescent="0.3">
      <c r="J143942"/>
    </row>
    <row r="143943" spans="10:10" x14ac:dyDescent="0.3">
      <c r="J143943"/>
    </row>
    <row r="143944" spans="10:10" x14ac:dyDescent="0.3">
      <c r="J143944"/>
    </row>
    <row r="143945" spans="10:10" x14ac:dyDescent="0.3">
      <c r="J143945"/>
    </row>
    <row r="143946" spans="10:10" x14ac:dyDescent="0.3">
      <c r="J143946"/>
    </row>
    <row r="143947" spans="10:10" x14ac:dyDescent="0.3">
      <c r="J143947"/>
    </row>
    <row r="143948" spans="10:10" x14ac:dyDescent="0.3">
      <c r="J143948"/>
    </row>
    <row r="143949" spans="10:10" x14ac:dyDescent="0.3">
      <c r="J143949"/>
    </row>
    <row r="143950" spans="10:10" x14ac:dyDescent="0.3">
      <c r="J143950"/>
    </row>
    <row r="143951" spans="10:10" x14ac:dyDescent="0.3">
      <c r="J143951"/>
    </row>
    <row r="143952" spans="10:10" x14ac:dyDescent="0.3">
      <c r="J143952"/>
    </row>
    <row r="143953" spans="10:10" x14ac:dyDescent="0.3">
      <c r="J143953"/>
    </row>
    <row r="143954" spans="10:10" x14ac:dyDescent="0.3">
      <c r="J143954"/>
    </row>
    <row r="143955" spans="10:10" x14ac:dyDescent="0.3">
      <c r="J143955"/>
    </row>
    <row r="143956" spans="10:10" x14ac:dyDescent="0.3">
      <c r="J143956"/>
    </row>
    <row r="143957" spans="10:10" x14ac:dyDescent="0.3">
      <c r="J143957"/>
    </row>
    <row r="143958" spans="10:10" x14ac:dyDescent="0.3">
      <c r="J143958"/>
    </row>
    <row r="143959" spans="10:10" x14ac:dyDescent="0.3">
      <c r="J143959"/>
    </row>
    <row r="143960" spans="10:10" x14ac:dyDescent="0.3">
      <c r="J143960"/>
    </row>
    <row r="143961" spans="10:10" x14ac:dyDescent="0.3">
      <c r="J143961"/>
    </row>
    <row r="143962" spans="10:10" x14ac:dyDescent="0.3">
      <c r="J143962"/>
    </row>
    <row r="143963" spans="10:10" x14ac:dyDescent="0.3">
      <c r="J143963"/>
    </row>
    <row r="143964" spans="10:10" x14ac:dyDescent="0.3">
      <c r="J143964"/>
    </row>
    <row r="143965" spans="10:10" x14ac:dyDescent="0.3">
      <c r="J143965"/>
    </row>
    <row r="143966" spans="10:10" x14ac:dyDescent="0.3">
      <c r="J143966"/>
    </row>
    <row r="143967" spans="10:10" x14ac:dyDescent="0.3">
      <c r="J143967"/>
    </row>
    <row r="143968" spans="10:10" x14ac:dyDescent="0.3">
      <c r="J143968"/>
    </row>
    <row r="143969" spans="10:10" x14ac:dyDescent="0.3">
      <c r="J143969"/>
    </row>
    <row r="143970" spans="10:10" x14ac:dyDescent="0.3">
      <c r="J143970"/>
    </row>
    <row r="143971" spans="10:10" x14ac:dyDescent="0.3">
      <c r="J143971"/>
    </row>
    <row r="143972" spans="10:10" x14ac:dyDescent="0.3">
      <c r="J143972"/>
    </row>
    <row r="143973" spans="10:10" x14ac:dyDescent="0.3">
      <c r="J143973"/>
    </row>
    <row r="143974" spans="10:10" x14ac:dyDescent="0.3">
      <c r="J143974"/>
    </row>
    <row r="143975" spans="10:10" x14ac:dyDescent="0.3">
      <c r="J143975"/>
    </row>
    <row r="143976" spans="10:10" x14ac:dyDescent="0.3">
      <c r="J143976"/>
    </row>
    <row r="143977" spans="10:10" x14ac:dyDescent="0.3">
      <c r="J143977"/>
    </row>
    <row r="143978" spans="10:10" x14ac:dyDescent="0.3">
      <c r="J143978"/>
    </row>
    <row r="143979" spans="10:10" x14ac:dyDescent="0.3">
      <c r="J143979"/>
    </row>
    <row r="143980" spans="10:10" x14ac:dyDescent="0.3">
      <c r="J143980"/>
    </row>
    <row r="143981" spans="10:10" x14ac:dyDescent="0.3">
      <c r="J143981"/>
    </row>
    <row r="143982" spans="10:10" x14ac:dyDescent="0.3">
      <c r="J143982"/>
    </row>
    <row r="143983" spans="10:10" x14ac:dyDescent="0.3">
      <c r="J143983"/>
    </row>
    <row r="143984" spans="10:10" x14ac:dyDescent="0.3">
      <c r="J143984"/>
    </row>
    <row r="143985" spans="10:10" x14ac:dyDescent="0.3">
      <c r="J143985"/>
    </row>
    <row r="143986" spans="10:10" x14ac:dyDescent="0.3">
      <c r="J143986"/>
    </row>
    <row r="143987" spans="10:10" x14ac:dyDescent="0.3">
      <c r="J143987"/>
    </row>
    <row r="143988" spans="10:10" x14ac:dyDescent="0.3">
      <c r="J143988"/>
    </row>
    <row r="143989" spans="10:10" x14ac:dyDescent="0.3">
      <c r="J143989"/>
    </row>
    <row r="143990" spans="10:10" x14ac:dyDescent="0.3">
      <c r="J143990"/>
    </row>
    <row r="143991" spans="10:10" x14ac:dyDescent="0.3">
      <c r="J143991"/>
    </row>
    <row r="143992" spans="10:10" x14ac:dyDescent="0.3">
      <c r="J143992"/>
    </row>
    <row r="143993" spans="10:10" x14ac:dyDescent="0.3">
      <c r="J143993"/>
    </row>
    <row r="143994" spans="10:10" x14ac:dyDescent="0.3">
      <c r="J143994"/>
    </row>
    <row r="143995" spans="10:10" x14ac:dyDescent="0.3">
      <c r="J143995"/>
    </row>
    <row r="143996" spans="10:10" x14ac:dyDescent="0.3">
      <c r="J143996"/>
    </row>
    <row r="143997" spans="10:10" x14ac:dyDescent="0.3">
      <c r="J143997"/>
    </row>
    <row r="143998" spans="10:10" x14ac:dyDescent="0.3">
      <c r="J143998"/>
    </row>
    <row r="143999" spans="10:10" x14ac:dyDescent="0.3">
      <c r="J143999"/>
    </row>
    <row r="144000" spans="10:10" x14ac:dyDescent="0.3">
      <c r="J144000"/>
    </row>
    <row r="144001" spans="10:10" x14ac:dyDescent="0.3">
      <c r="J144001"/>
    </row>
    <row r="144002" spans="10:10" x14ac:dyDescent="0.3">
      <c r="J144002"/>
    </row>
    <row r="144003" spans="10:10" x14ac:dyDescent="0.3">
      <c r="J144003"/>
    </row>
    <row r="144004" spans="10:10" x14ac:dyDescent="0.3">
      <c r="J144004"/>
    </row>
    <row r="144005" spans="10:10" x14ac:dyDescent="0.3">
      <c r="J144005"/>
    </row>
    <row r="144006" spans="10:10" x14ac:dyDescent="0.3">
      <c r="J144006"/>
    </row>
    <row r="144007" spans="10:10" x14ac:dyDescent="0.3">
      <c r="J144007"/>
    </row>
    <row r="144008" spans="10:10" x14ac:dyDescent="0.3">
      <c r="J144008"/>
    </row>
    <row r="144009" spans="10:10" x14ac:dyDescent="0.3">
      <c r="J144009"/>
    </row>
    <row r="144010" spans="10:10" x14ac:dyDescent="0.3">
      <c r="J144010"/>
    </row>
    <row r="144011" spans="10:10" x14ac:dyDescent="0.3">
      <c r="J144011"/>
    </row>
    <row r="144012" spans="10:10" x14ac:dyDescent="0.3">
      <c r="J144012"/>
    </row>
    <row r="144013" spans="10:10" x14ac:dyDescent="0.3">
      <c r="J144013"/>
    </row>
    <row r="144014" spans="10:10" x14ac:dyDescent="0.3">
      <c r="J144014"/>
    </row>
    <row r="144015" spans="10:10" x14ac:dyDescent="0.3">
      <c r="J144015"/>
    </row>
    <row r="144016" spans="10:10" x14ac:dyDescent="0.3">
      <c r="J144016"/>
    </row>
    <row r="144017" spans="10:10" x14ac:dyDescent="0.3">
      <c r="J144017"/>
    </row>
    <row r="144018" spans="10:10" x14ac:dyDescent="0.3">
      <c r="J144018"/>
    </row>
    <row r="144019" spans="10:10" x14ac:dyDescent="0.3">
      <c r="J144019"/>
    </row>
    <row r="144020" spans="10:10" x14ac:dyDescent="0.3">
      <c r="J144020"/>
    </row>
    <row r="144021" spans="10:10" x14ac:dyDescent="0.3">
      <c r="J144021"/>
    </row>
    <row r="144022" spans="10:10" x14ac:dyDescent="0.3">
      <c r="J144022"/>
    </row>
    <row r="144023" spans="10:10" x14ac:dyDescent="0.3">
      <c r="J144023"/>
    </row>
    <row r="144024" spans="10:10" x14ac:dyDescent="0.3">
      <c r="J144024"/>
    </row>
    <row r="144025" spans="10:10" x14ac:dyDescent="0.3">
      <c r="J144025"/>
    </row>
    <row r="144026" spans="10:10" x14ac:dyDescent="0.3">
      <c r="J144026"/>
    </row>
    <row r="144027" spans="10:10" x14ac:dyDescent="0.3">
      <c r="J144027"/>
    </row>
    <row r="144028" spans="10:10" x14ac:dyDescent="0.3">
      <c r="J144028"/>
    </row>
    <row r="144029" spans="10:10" x14ac:dyDescent="0.3">
      <c r="J144029"/>
    </row>
    <row r="144030" spans="10:10" x14ac:dyDescent="0.3">
      <c r="J144030"/>
    </row>
    <row r="144031" spans="10:10" x14ac:dyDescent="0.3">
      <c r="J144031"/>
    </row>
    <row r="144032" spans="10:10" x14ac:dyDescent="0.3">
      <c r="J144032"/>
    </row>
    <row r="144033" spans="10:10" x14ac:dyDescent="0.3">
      <c r="J144033"/>
    </row>
    <row r="144034" spans="10:10" x14ac:dyDescent="0.3">
      <c r="J144034"/>
    </row>
    <row r="144035" spans="10:10" x14ac:dyDescent="0.3">
      <c r="J144035"/>
    </row>
    <row r="144036" spans="10:10" x14ac:dyDescent="0.3">
      <c r="J144036"/>
    </row>
    <row r="144037" spans="10:10" x14ac:dyDescent="0.3">
      <c r="J144037"/>
    </row>
    <row r="144038" spans="10:10" x14ac:dyDescent="0.3">
      <c r="J144038"/>
    </row>
    <row r="144039" spans="10:10" x14ac:dyDescent="0.3">
      <c r="J144039"/>
    </row>
    <row r="144040" spans="10:10" x14ac:dyDescent="0.3">
      <c r="J144040"/>
    </row>
    <row r="144041" spans="10:10" x14ac:dyDescent="0.3">
      <c r="J144041"/>
    </row>
    <row r="144042" spans="10:10" x14ac:dyDescent="0.3">
      <c r="J144042"/>
    </row>
    <row r="144043" spans="10:10" x14ac:dyDescent="0.3">
      <c r="J144043"/>
    </row>
    <row r="144044" spans="10:10" x14ac:dyDescent="0.3">
      <c r="J144044"/>
    </row>
    <row r="144045" spans="10:10" x14ac:dyDescent="0.3">
      <c r="J144045"/>
    </row>
    <row r="144046" spans="10:10" x14ac:dyDescent="0.3">
      <c r="J144046"/>
    </row>
    <row r="144047" spans="10:10" x14ac:dyDescent="0.3">
      <c r="J144047"/>
    </row>
    <row r="144048" spans="10:10" x14ac:dyDescent="0.3">
      <c r="J144048"/>
    </row>
    <row r="144049" spans="10:10" x14ac:dyDescent="0.3">
      <c r="J144049"/>
    </row>
    <row r="144050" spans="10:10" x14ac:dyDescent="0.3">
      <c r="J144050"/>
    </row>
    <row r="144051" spans="10:10" x14ac:dyDescent="0.3">
      <c r="J144051"/>
    </row>
    <row r="144052" spans="10:10" x14ac:dyDescent="0.3">
      <c r="J144052"/>
    </row>
    <row r="144053" spans="10:10" x14ac:dyDescent="0.3">
      <c r="J144053"/>
    </row>
    <row r="144054" spans="10:10" x14ac:dyDescent="0.3">
      <c r="J144054"/>
    </row>
    <row r="144055" spans="10:10" x14ac:dyDescent="0.3">
      <c r="J144055"/>
    </row>
    <row r="144056" spans="10:10" x14ac:dyDescent="0.3">
      <c r="J144056"/>
    </row>
    <row r="144057" spans="10:10" x14ac:dyDescent="0.3">
      <c r="J144057"/>
    </row>
    <row r="144058" spans="10:10" x14ac:dyDescent="0.3">
      <c r="J144058"/>
    </row>
    <row r="144059" spans="10:10" x14ac:dyDescent="0.3">
      <c r="J144059"/>
    </row>
    <row r="144060" spans="10:10" x14ac:dyDescent="0.3">
      <c r="J144060"/>
    </row>
    <row r="144061" spans="10:10" x14ac:dyDescent="0.3">
      <c r="J144061"/>
    </row>
    <row r="144062" spans="10:10" x14ac:dyDescent="0.3">
      <c r="J144062"/>
    </row>
    <row r="144063" spans="10:10" x14ac:dyDescent="0.3">
      <c r="J144063"/>
    </row>
    <row r="144064" spans="10:10" x14ac:dyDescent="0.3">
      <c r="J144064"/>
    </row>
    <row r="144065" spans="10:10" x14ac:dyDescent="0.3">
      <c r="J144065"/>
    </row>
    <row r="144066" spans="10:10" x14ac:dyDescent="0.3">
      <c r="J144066"/>
    </row>
    <row r="144067" spans="10:10" x14ac:dyDescent="0.3">
      <c r="J144067"/>
    </row>
    <row r="144068" spans="10:10" x14ac:dyDescent="0.3">
      <c r="J144068"/>
    </row>
    <row r="144069" spans="10:10" x14ac:dyDescent="0.3">
      <c r="J144069"/>
    </row>
    <row r="144070" spans="10:10" x14ac:dyDescent="0.3">
      <c r="J144070"/>
    </row>
    <row r="144071" spans="10:10" x14ac:dyDescent="0.3">
      <c r="J144071"/>
    </row>
    <row r="144072" spans="10:10" x14ac:dyDescent="0.3">
      <c r="J144072"/>
    </row>
    <row r="144073" spans="10:10" x14ac:dyDescent="0.3">
      <c r="J144073"/>
    </row>
    <row r="144074" spans="10:10" x14ac:dyDescent="0.3">
      <c r="J144074"/>
    </row>
    <row r="144075" spans="10:10" x14ac:dyDescent="0.3">
      <c r="J144075"/>
    </row>
    <row r="144076" spans="10:10" x14ac:dyDescent="0.3">
      <c r="J144076"/>
    </row>
    <row r="144077" spans="10:10" x14ac:dyDescent="0.3">
      <c r="J144077"/>
    </row>
    <row r="144078" spans="10:10" x14ac:dyDescent="0.3">
      <c r="J144078"/>
    </row>
    <row r="144079" spans="10:10" x14ac:dyDescent="0.3">
      <c r="J144079"/>
    </row>
    <row r="144080" spans="10:10" x14ac:dyDescent="0.3">
      <c r="J144080"/>
    </row>
    <row r="144081" spans="10:10" x14ac:dyDescent="0.3">
      <c r="J144081"/>
    </row>
    <row r="144082" spans="10:10" x14ac:dyDescent="0.3">
      <c r="J144082"/>
    </row>
    <row r="144083" spans="10:10" x14ac:dyDescent="0.3">
      <c r="J144083"/>
    </row>
    <row r="144084" spans="10:10" x14ac:dyDescent="0.3">
      <c r="J144084"/>
    </row>
    <row r="144085" spans="10:10" x14ac:dyDescent="0.3">
      <c r="J144085"/>
    </row>
    <row r="144086" spans="10:10" x14ac:dyDescent="0.3">
      <c r="J144086"/>
    </row>
    <row r="144087" spans="10:10" x14ac:dyDescent="0.3">
      <c r="J144087"/>
    </row>
    <row r="144088" spans="10:10" x14ac:dyDescent="0.3">
      <c r="J144088"/>
    </row>
    <row r="144089" spans="10:10" x14ac:dyDescent="0.3">
      <c r="J144089"/>
    </row>
    <row r="144090" spans="10:10" x14ac:dyDescent="0.3">
      <c r="J144090"/>
    </row>
    <row r="144091" spans="10:10" x14ac:dyDescent="0.3">
      <c r="J144091"/>
    </row>
    <row r="144092" spans="10:10" x14ac:dyDescent="0.3">
      <c r="J144092"/>
    </row>
    <row r="144093" spans="10:10" x14ac:dyDescent="0.3">
      <c r="J144093"/>
    </row>
    <row r="144094" spans="10:10" x14ac:dyDescent="0.3">
      <c r="J144094"/>
    </row>
    <row r="144095" spans="10:10" x14ac:dyDescent="0.3">
      <c r="J144095"/>
    </row>
    <row r="144096" spans="10:10" x14ac:dyDescent="0.3">
      <c r="J144096"/>
    </row>
    <row r="144097" spans="10:10" x14ac:dyDescent="0.3">
      <c r="J144097"/>
    </row>
    <row r="144098" spans="10:10" x14ac:dyDescent="0.3">
      <c r="J144098"/>
    </row>
    <row r="144099" spans="10:10" x14ac:dyDescent="0.3">
      <c r="J144099"/>
    </row>
    <row r="144100" spans="10:10" x14ac:dyDescent="0.3">
      <c r="J144100"/>
    </row>
    <row r="144101" spans="10:10" x14ac:dyDescent="0.3">
      <c r="J144101"/>
    </row>
    <row r="144102" spans="10:10" x14ac:dyDescent="0.3">
      <c r="J144102"/>
    </row>
    <row r="144103" spans="10:10" x14ac:dyDescent="0.3">
      <c r="J144103"/>
    </row>
    <row r="144104" spans="10:10" x14ac:dyDescent="0.3">
      <c r="J144104"/>
    </row>
    <row r="144105" spans="10:10" x14ac:dyDescent="0.3">
      <c r="J144105"/>
    </row>
    <row r="144106" spans="10:10" x14ac:dyDescent="0.3">
      <c r="J144106"/>
    </row>
    <row r="144107" spans="10:10" x14ac:dyDescent="0.3">
      <c r="J144107"/>
    </row>
    <row r="144108" spans="10:10" x14ac:dyDescent="0.3">
      <c r="J144108"/>
    </row>
    <row r="144109" spans="10:10" x14ac:dyDescent="0.3">
      <c r="J144109"/>
    </row>
    <row r="144110" spans="10:10" x14ac:dyDescent="0.3">
      <c r="J144110"/>
    </row>
    <row r="144111" spans="10:10" x14ac:dyDescent="0.3">
      <c r="J144111"/>
    </row>
    <row r="144112" spans="10:10" x14ac:dyDescent="0.3">
      <c r="J144112"/>
    </row>
    <row r="144113" spans="10:10" x14ac:dyDescent="0.3">
      <c r="J144113"/>
    </row>
    <row r="144114" spans="10:10" x14ac:dyDescent="0.3">
      <c r="J144114"/>
    </row>
    <row r="144115" spans="10:10" x14ac:dyDescent="0.3">
      <c r="J144115"/>
    </row>
    <row r="144116" spans="10:10" x14ac:dyDescent="0.3">
      <c r="J144116"/>
    </row>
    <row r="144117" spans="10:10" x14ac:dyDescent="0.3">
      <c r="J144117"/>
    </row>
    <row r="144118" spans="10:10" x14ac:dyDescent="0.3">
      <c r="J144118"/>
    </row>
    <row r="144119" spans="10:10" x14ac:dyDescent="0.3">
      <c r="J144119"/>
    </row>
    <row r="144120" spans="10:10" x14ac:dyDescent="0.3">
      <c r="J144120"/>
    </row>
    <row r="144121" spans="10:10" x14ac:dyDescent="0.3">
      <c r="J144121"/>
    </row>
    <row r="144122" spans="10:10" x14ac:dyDescent="0.3">
      <c r="J144122"/>
    </row>
    <row r="144123" spans="10:10" x14ac:dyDescent="0.3">
      <c r="J144123"/>
    </row>
    <row r="144124" spans="10:10" x14ac:dyDescent="0.3">
      <c r="J144124"/>
    </row>
    <row r="144125" spans="10:10" x14ac:dyDescent="0.3">
      <c r="J144125"/>
    </row>
    <row r="144126" spans="10:10" x14ac:dyDescent="0.3">
      <c r="J144126"/>
    </row>
    <row r="144127" spans="10:10" x14ac:dyDescent="0.3">
      <c r="J144127"/>
    </row>
    <row r="144128" spans="10:10" x14ac:dyDescent="0.3">
      <c r="J144128"/>
    </row>
    <row r="144129" spans="10:10" x14ac:dyDescent="0.3">
      <c r="J144129"/>
    </row>
    <row r="144130" spans="10:10" x14ac:dyDescent="0.3">
      <c r="J144130"/>
    </row>
    <row r="144131" spans="10:10" x14ac:dyDescent="0.3">
      <c r="J144131"/>
    </row>
    <row r="144132" spans="10:10" x14ac:dyDescent="0.3">
      <c r="J144132"/>
    </row>
    <row r="144133" spans="10:10" x14ac:dyDescent="0.3">
      <c r="J144133"/>
    </row>
    <row r="144134" spans="10:10" x14ac:dyDescent="0.3">
      <c r="J144134"/>
    </row>
    <row r="144135" spans="10:10" x14ac:dyDescent="0.3">
      <c r="J144135"/>
    </row>
    <row r="144136" spans="10:10" x14ac:dyDescent="0.3">
      <c r="J144136"/>
    </row>
    <row r="144137" spans="10:10" x14ac:dyDescent="0.3">
      <c r="J144137"/>
    </row>
    <row r="144138" spans="10:10" x14ac:dyDescent="0.3">
      <c r="J144138"/>
    </row>
    <row r="144139" spans="10:10" x14ac:dyDescent="0.3">
      <c r="J144139"/>
    </row>
    <row r="144140" spans="10:10" x14ac:dyDescent="0.3">
      <c r="J144140"/>
    </row>
    <row r="144141" spans="10:10" x14ac:dyDescent="0.3">
      <c r="J144141"/>
    </row>
    <row r="144142" spans="10:10" x14ac:dyDescent="0.3">
      <c r="J144142"/>
    </row>
    <row r="144143" spans="10:10" x14ac:dyDescent="0.3">
      <c r="J144143"/>
    </row>
    <row r="144144" spans="10:10" x14ac:dyDescent="0.3">
      <c r="J144144"/>
    </row>
    <row r="144145" spans="10:10" x14ac:dyDescent="0.3">
      <c r="J144145"/>
    </row>
    <row r="144146" spans="10:10" x14ac:dyDescent="0.3">
      <c r="J144146"/>
    </row>
    <row r="144147" spans="10:10" x14ac:dyDescent="0.3">
      <c r="J144147"/>
    </row>
    <row r="144148" spans="10:10" x14ac:dyDescent="0.3">
      <c r="J144148"/>
    </row>
    <row r="144149" spans="10:10" x14ac:dyDescent="0.3">
      <c r="J144149"/>
    </row>
    <row r="144150" spans="10:10" x14ac:dyDescent="0.3">
      <c r="J144150"/>
    </row>
    <row r="144151" spans="10:10" x14ac:dyDescent="0.3">
      <c r="J144151"/>
    </row>
    <row r="144152" spans="10:10" x14ac:dyDescent="0.3">
      <c r="J144152"/>
    </row>
    <row r="144153" spans="10:10" x14ac:dyDescent="0.3">
      <c r="J144153"/>
    </row>
    <row r="144154" spans="10:10" x14ac:dyDescent="0.3">
      <c r="J144154"/>
    </row>
    <row r="144155" spans="10:10" x14ac:dyDescent="0.3">
      <c r="J144155"/>
    </row>
    <row r="144156" spans="10:10" x14ac:dyDescent="0.3">
      <c r="J144156"/>
    </row>
    <row r="144157" spans="10:10" x14ac:dyDescent="0.3">
      <c r="J144157"/>
    </row>
    <row r="144158" spans="10:10" x14ac:dyDescent="0.3">
      <c r="J144158"/>
    </row>
    <row r="144159" spans="10:10" x14ac:dyDescent="0.3">
      <c r="J144159"/>
    </row>
    <row r="144160" spans="10:10" x14ac:dyDescent="0.3">
      <c r="J144160"/>
    </row>
    <row r="144161" spans="10:10" x14ac:dyDescent="0.3">
      <c r="J144161"/>
    </row>
    <row r="144162" spans="10:10" x14ac:dyDescent="0.3">
      <c r="J144162"/>
    </row>
    <row r="144163" spans="10:10" x14ac:dyDescent="0.3">
      <c r="J144163"/>
    </row>
    <row r="144164" spans="10:10" x14ac:dyDescent="0.3">
      <c r="J144164"/>
    </row>
    <row r="144165" spans="10:10" x14ac:dyDescent="0.3">
      <c r="J144165"/>
    </row>
    <row r="144166" spans="10:10" x14ac:dyDescent="0.3">
      <c r="J144166"/>
    </row>
    <row r="144167" spans="10:10" x14ac:dyDescent="0.3">
      <c r="J144167"/>
    </row>
    <row r="144168" spans="10:10" x14ac:dyDescent="0.3">
      <c r="J144168"/>
    </row>
    <row r="144169" spans="10:10" x14ac:dyDescent="0.3">
      <c r="J144169"/>
    </row>
    <row r="144170" spans="10:10" x14ac:dyDescent="0.3">
      <c r="J144170"/>
    </row>
    <row r="144171" spans="10:10" x14ac:dyDescent="0.3">
      <c r="J144171"/>
    </row>
    <row r="144172" spans="10:10" x14ac:dyDescent="0.3">
      <c r="J144172"/>
    </row>
    <row r="144173" spans="10:10" x14ac:dyDescent="0.3">
      <c r="J144173"/>
    </row>
    <row r="144174" spans="10:10" x14ac:dyDescent="0.3">
      <c r="J144174"/>
    </row>
    <row r="144175" spans="10:10" x14ac:dyDescent="0.3">
      <c r="J144175"/>
    </row>
    <row r="144176" spans="10:10" x14ac:dyDescent="0.3">
      <c r="J144176"/>
    </row>
    <row r="144177" spans="10:10" x14ac:dyDescent="0.3">
      <c r="J144177"/>
    </row>
    <row r="144178" spans="10:10" x14ac:dyDescent="0.3">
      <c r="J144178"/>
    </row>
    <row r="144179" spans="10:10" x14ac:dyDescent="0.3">
      <c r="J144179"/>
    </row>
    <row r="144180" spans="10:10" x14ac:dyDescent="0.3">
      <c r="J144180"/>
    </row>
    <row r="144181" spans="10:10" x14ac:dyDescent="0.3">
      <c r="J144181"/>
    </row>
    <row r="144182" spans="10:10" x14ac:dyDescent="0.3">
      <c r="J144182"/>
    </row>
    <row r="144183" spans="10:10" x14ac:dyDescent="0.3">
      <c r="J144183"/>
    </row>
    <row r="144184" spans="10:10" x14ac:dyDescent="0.3">
      <c r="J144184"/>
    </row>
    <row r="144185" spans="10:10" x14ac:dyDescent="0.3">
      <c r="J144185"/>
    </row>
    <row r="144186" spans="10:10" x14ac:dyDescent="0.3">
      <c r="J144186"/>
    </row>
    <row r="144187" spans="10:10" x14ac:dyDescent="0.3">
      <c r="J144187"/>
    </row>
    <row r="144188" spans="10:10" x14ac:dyDescent="0.3">
      <c r="J144188"/>
    </row>
    <row r="144189" spans="10:10" x14ac:dyDescent="0.3">
      <c r="J144189"/>
    </row>
    <row r="144190" spans="10:10" x14ac:dyDescent="0.3">
      <c r="J144190"/>
    </row>
    <row r="144191" spans="10:10" x14ac:dyDescent="0.3">
      <c r="J144191"/>
    </row>
    <row r="144192" spans="10:10" x14ac:dyDescent="0.3">
      <c r="J144192"/>
    </row>
    <row r="144193" spans="10:10" x14ac:dyDescent="0.3">
      <c r="J144193"/>
    </row>
    <row r="144194" spans="10:10" x14ac:dyDescent="0.3">
      <c r="J144194"/>
    </row>
    <row r="144195" spans="10:10" x14ac:dyDescent="0.3">
      <c r="J144195"/>
    </row>
    <row r="144196" spans="10:10" x14ac:dyDescent="0.3">
      <c r="J144196"/>
    </row>
    <row r="144197" spans="10:10" x14ac:dyDescent="0.3">
      <c r="J144197"/>
    </row>
    <row r="144198" spans="10:10" x14ac:dyDescent="0.3">
      <c r="J144198"/>
    </row>
    <row r="144199" spans="10:10" x14ac:dyDescent="0.3">
      <c r="J144199"/>
    </row>
    <row r="144200" spans="10:10" x14ac:dyDescent="0.3">
      <c r="J144200"/>
    </row>
    <row r="144201" spans="10:10" x14ac:dyDescent="0.3">
      <c r="J144201"/>
    </row>
    <row r="144202" spans="10:10" x14ac:dyDescent="0.3">
      <c r="J144202"/>
    </row>
    <row r="144203" spans="10:10" x14ac:dyDescent="0.3">
      <c r="J144203"/>
    </row>
    <row r="144204" spans="10:10" x14ac:dyDescent="0.3">
      <c r="J144204"/>
    </row>
    <row r="144205" spans="10:10" x14ac:dyDescent="0.3">
      <c r="J144205"/>
    </row>
    <row r="144206" spans="10:10" x14ac:dyDescent="0.3">
      <c r="J144206"/>
    </row>
    <row r="144207" spans="10:10" x14ac:dyDescent="0.3">
      <c r="J144207"/>
    </row>
    <row r="144208" spans="10:10" x14ac:dyDescent="0.3">
      <c r="J144208"/>
    </row>
    <row r="144209" spans="10:10" x14ac:dyDescent="0.3">
      <c r="J144209"/>
    </row>
    <row r="144210" spans="10:10" x14ac:dyDescent="0.3">
      <c r="J144210"/>
    </row>
    <row r="144211" spans="10:10" x14ac:dyDescent="0.3">
      <c r="J144211"/>
    </row>
    <row r="144212" spans="10:10" x14ac:dyDescent="0.3">
      <c r="J144212"/>
    </row>
    <row r="144213" spans="10:10" x14ac:dyDescent="0.3">
      <c r="J144213"/>
    </row>
    <row r="144214" spans="10:10" x14ac:dyDescent="0.3">
      <c r="J144214"/>
    </row>
    <row r="144215" spans="10:10" x14ac:dyDescent="0.3">
      <c r="J144215"/>
    </row>
    <row r="144216" spans="10:10" x14ac:dyDescent="0.3">
      <c r="J144216"/>
    </row>
    <row r="144217" spans="10:10" x14ac:dyDescent="0.3">
      <c r="J144217"/>
    </row>
    <row r="144218" spans="10:10" x14ac:dyDescent="0.3">
      <c r="J144218"/>
    </row>
    <row r="144219" spans="10:10" x14ac:dyDescent="0.3">
      <c r="J144219"/>
    </row>
    <row r="144220" spans="10:10" x14ac:dyDescent="0.3">
      <c r="J144220"/>
    </row>
    <row r="144221" spans="10:10" x14ac:dyDescent="0.3">
      <c r="J144221"/>
    </row>
    <row r="144222" spans="10:10" x14ac:dyDescent="0.3">
      <c r="J144222"/>
    </row>
    <row r="144223" spans="10:10" x14ac:dyDescent="0.3">
      <c r="J144223"/>
    </row>
    <row r="144224" spans="10:10" x14ac:dyDescent="0.3">
      <c r="J144224"/>
    </row>
    <row r="144225" spans="10:10" x14ac:dyDescent="0.3">
      <c r="J144225"/>
    </row>
    <row r="144226" spans="10:10" x14ac:dyDescent="0.3">
      <c r="J144226"/>
    </row>
    <row r="144227" spans="10:10" x14ac:dyDescent="0.3">
      <c r="J144227"/>
    </row>
    <row r="144228" spans="10:10" x14ac:dyDescent="0.3">
      <c r="J144228"/>
    </row>
    <row r="144229" spans="10:10" x14ac:dyDescent="0.3">
      <c r="J144229"/>
    </row>
    <row r="144230" spans="10:10" x14ac:dyDescent="0.3">
      <c r="J144230"/>
    </row>
    <row r="144231" spans="10:10" x14ac:dyDescent="0.3">
      <c r="J144231"/>
    </row>
    <row r="144232" spans="10:10" x14ac:dyDescent="0.3">
      <c r="J144232"/>
    </row>
    <row r="144233" spans="10:10" x14ac:dyDescent="0.3">
      <c r="J144233"/>
    </row>
    <row r="144234" spans="10:10" x14ac:dyDescent="0.3">
      <c r="J144234"/>
    </row>
    <row r="144235" spans="10:10" x14ac:dyDescent="0.3">
      <c r="J144235"/>
    </row>
    <row r="144236" spans="10:10" x14ac:dyDescent="0.3">
      <c r="J144236"/>
    </row>
    <row r="144237" spans="10:10" x14ac:dyDescent="0.3">
      <c r="J144237"/>
    </row>
    <row r="144238" spans="10:10" x14ac:dyDescent="0.3">
      <c r="J144238"/>
    </row>
    <row r="144239" spans="10:10" x14ac:dyDescent="0.3">
      <c r="J144239"/>
    </row>
    <row r="144240" spans="10:10" x14ac:dyDescent="0.3">
      <c r="J144240"/>
    </row>
    <row r="144241" spans="10:10" x14ac:dyDescent="0.3">
      <c r="J144241"/>
    </row>
    <row r="144242" spans="10:10" x14ac:dyDescent="0.3">
      <c r="J144242"/>
    </row>
    <row r="144243" spans="10:10" x14ac:dyDescent="0.3">
      <c r="J144243"/>
    </row>
    <row r="144244" spans="10:10" x14ac:dyDescent="0.3">
      <c r="J144244"/>
    </row>
    <row r="144245" spans="10:10" x14ac:dyDescent="0.3">
      <c r="J144245"/>
    </row>
    <row r="144246" spans="10:10" x14ac:dyDescent="0.3">
      <c r="J144246"/>
    </row>
    <row r="144247" spans="10:10" x14ac:dyDescent="0.3">
      <c r="J144247"/>
    </row>
    <row r="144248" spans="10:10" x14ac:dyDescent="0.3">
      <c r="J144248"/>
    </row>
    <row r="144249" spans="10:10" x14ac:dyDescent="0.3">
      <c r="J144249"/>
    </row>
    <row r="144250" spans="10:10" x14ac:dyDescent="0.3">
      <c r="J144250"/>
    </row>
    <row r="144251" spans="10:10" x14ac:dyDescent="0.3">
      <c r="J144251"/>
    </row>
    <row r="144252" spans="10:10" x14ac:dyDescent="0.3">
      <c r="J144252"/>
    </row>
    <row r="144253" spans="10:10" x14ac:dyDescent="0.3">
      <c r="J144253"/>
    </row>
    <row r="144254" spans="10:10" x14ac:dyDescent="0.3">
      <c r="J144254"/>
    </row>
    <row r="144255" spans="10:10" x14ac:dyDescent="0.3">
      <c r="J144255"/>
    </row>
    <row r="144256" spans="10:10" x14ac:dyDescent="0.3">
      <c r="J144256"/>
    </row>
    <row r="144257" spans="10:10" x14ac:dyDescent="0.3">
      <c r="J144257"/>
    </row>
    <row r="144258" spans="10:10" x14ac:dyDescent="0.3">
      <c r="J144258"/>
    </row>
    <row r="144259" spans="10:10" x14ac:dyDescent="0.3">
      <c r="J144259"/>
    </row>
    <row r="144260" spans="10:10" x14ac:dyDescent="0.3">
      <c r="J144260"/>
    </row>
    <row r="144261" spans="10:10" x14ac:dyDescent="0.3">
      <c r="J144261"/>
    </row>
    <row r="144262" spans="10:10" x14ac:dyDescent="0.3">
      <c r="J144262"/>
    </row>
    <row r="144263" spans="10:10" x14ac:dyDescent="0.3">
      <c r="J144263"/>
    </row>
    <row r="144264" spans="10:10" x14ac:dyDescent="0.3">
      <c r="J144264"/>
    </row>
    <row r="144265" spans="10:10" x14ac:dyDescent="0.3">
      <c r="J144265"/>
    </row>
    <row r="144266" spans="10:10" x14ac:dyDescent="0.3">
      <c r="J144266"/>
    </row>
    <row r="144267" spans="10:10" x14ac:dyDescent="0.3">
      <c r="J144267"/>
    </row>
    <row r="144268" spans="10:10" x14ac:dyDescent="0.3">
      <c r="J144268"/>
    </row>
    <row r="144269" spans="10:10" x14ac:dyDescent="0.3">
      <c r="J144269"/>
    </row>
    <row r="144270" spans="10:10" x14ac:dyDescent="0.3">
      <c r="J144270"/>
    </row>
    <row r="144271" spans="10:10" x14ac:dyDescent="0.3">
      <c r="J144271"/>
    </row>
    <row r="144272" spans="10:10" x14ac:dyDescent="0.3">
      <c r="J144272"/>
    </row>
    <row r="144273" spans="10:10" x14ac:dyDescent="0.3">
      <c r="J144273"/>
    </row>
    <row r="144274" spans="10:10" x14ac:dyDescent="0.3">
      <c r="J144274"/>
    </row>
    <row r="144275" spans="10:10" x14ac:dyDescent="0.3">
      <c r="J144275"/>
    </row>
    <row r="144276" spans="10:10" x14ac:dyDescent="0.3">
      <c r="J144276"/>
    </row>
    <row r="144277" spans="10:10" x14ac:dyDescent="0.3">
      <c r="J144277"/>
    </row>
    <row r="144278" spans="10:10" x14ac:dyDescent="0.3">
      <c r="J144278"/>
    </row>
    <row r="144279" spans="10:10" x14ac:dyDescent="0.3">
      <c r="J144279"/>
    </row>
    <row r="144280" spans="10:10" x14ac:dyDescent="0.3">
      <c r="J144280"/>
    </row>
    <row r="144281" spans="10:10" x14ac:dyDescent="0.3">
      <c r="J144281"/>
    </row>
    <row r="144282" spans="10:10" x14ac:dyDescent="0.3">
      <c r="J144282"/>
    </row>
    <row r="144283" spans="10:10" x14ac:dyDescent="0.3">
      <c r="J144283"/>
    </row>
    <row r="144284" spans="10:10" x14ac:dyDescent="0.3">
      <c r="J144284"/>
    </row>
    <row r="144285" spans="10:10" x14ac:dyDescent="0.3">
      <c r="J144285"/>
    </row>
    <row r="144286" spans="10:10" x14ac:dyDescent="0.3">
      <c r="J144286"/>
    </row>
    <row r="144287" spans="10:10" x14ac:dyDescent="0.3">
      <c r="J144287"/>
    </row>
    <row r="144288" spans="10:10" x14ac:dyDescent="0.3">
      <c r="J144288"/>
    </row>
    <row r="144289" spans="10:10" x14ac:dyDescent="0.3">
      <c r="J144289"/>
    </row>
    <row r="144290" spans="10:10" x14ac:dyDescent="0.3">
      <c r="J144290"/>
    </row>
    <row r="144291" spans="10:10" x14ac:dyDescent="0.3">
      <c r="J144291"/>
    </row>
    <row r="144292" spans="10:10" x14ac:dyDescent="0.3">
      <c r="J144292"/>
    </row>
    <row r="144293" spans="10:10" x14ac:dyDescent="0.3">
      <c r="J144293"/>
    </row>
    <row r="144294" spans="10:10" x14ac:dyDescent="0.3">
      <c r="J144294"/>
    </row>
    <row r="144295" spans="10:10" x14ac:dyDescent="0.3">
      <c r="J144295"/>
    </row>
    <row r="144296" spans="10:10" x14ac:dyDescent="0.3">
      <c r="J144296"/>
    </row>
    <row r="144297" spans="10:10" x14ac:dyDescent="0.3">
      <c r="J144297"/>
    </row>
    <row r="144298" spans="10:10" x14ac:dyDescent="0.3">
      <c r="J144298"/>
    </row>
    <row r="144299" spans="10:10" x14ac:dyDescent="0.3">
      <c r="J144299"/>
    </row>
    <row r="144300" spans="10:10" x14ac:dyDescent="0.3">
      <c r="J144300"/>
    </row>
    <row r="144301" spans="10:10" x14ac:dyDescent="0.3">
      <c r="J144301"/>
    </row>
    <row r="144302" spans="10:10" x14ac:dyDescent="0.3">
      <c r="J144302"/>
    </row>
    <row r="144303" spans="10:10" x14ac:dyDescent="0.3">
      <c r="J144303"/>
    </row>
    <row r="144304" spans="10:10" x14ac:dyDescent="0.3">
      <c r="J144304"/>
    </row>
    <row r="144305" spans="10:10" x14ac:dyDescent="0.3">
      <c r="J144305"/>
    </row>
    <row r="144306" spans="10:10" x14ac:dyDescent="0.3">
      <c r="J144306"/>
    </row>
    <row r="144307" spans="10:10" x14ac:dyDescent="0.3">
      <c r="J144307"/>
    </row>
    <row r="144308" spans="10:10" x14ac:dyDescent="0.3">
      <c r="J144308"/>
    </row>
    <row r="144309" spans="10:10" x14ac:dyDescent="0.3">
      <c r="J144309"/>
    </row>
    <row r="144310" spans="10:10" x14ac:dyDescent="0.3">
      <c r="J144310"/>
    </row>
    <row r="144311" spans="10:10" x14ac:dyDescent="0.3">
      <c r="J144311"/>
    </row>
    <row r="144312" spans="10:10" x14ac:dyDescent="0.3">
      <c r="J144312"/>
    </row>
    <row r="144313" spans="10:10" x14ac:dyDescent="0.3">
      <c r="J144313"/>
    </row>
    <row r="144314" spans="10:10" x14ac:dyDescent="0.3">
      <c r="J144314"/>
    </row>
    <row r="144315" spans="10:10" x14ac:dyDescent="0.3">
      <c r="J144315"/>
    </row>
    <row r="144316" spans="10:10" x14ac:dyDescent="0.3">
      <c r="J144316"/>
    </row>
    <row r="144317" spans="10:10" x14ac:dyDescent="0.3">
      <c r="J144317"/>
    </row>
    <row r="144318" spans="10:10" x14ac:dyDescent="0.3">
      <c r="J144318"/>
    </row>
    <row r="144319" spans="10:10" x14ac:dyDescent="0.3">
      <c r="J144319"/>
    </row>
    <row r="144320" spans="10:10" x14ac:dyDescent="0.3">
      <c r="J144320"/>
    </row>
    <row r="144321" spans="10:10" x14ac:dyDescent="0.3">
      <c r="J144321"/>
    </row>
    <row r="144322" spans="10:10" x14ac:dyDescent="0.3">
      <c r="J144322"/>
    </row>
    <row r="144323" spans="10:10" x14ac:dyDescent="0.3">
      <c r="J144323"/>
    </row>
    <row r="144324" spans="10:10" x14ac:dyDescent="0.3">
      <c r="J144324"/>
    </row>
    <row r="144325" spans="10:10" x14ac:dyDescent="0.3">
      <c r="J144325"/>
    </row>
    <row r="144326" spans="10:10" x14ac:dyDescent="0.3">
      <c r="J144326"/>
    </row>
    <row r="144327" spans="10:10" x14ac:dyDescent="0.3">
      <c r="J144327"/>
    </row>
    <row r="144328" spans="10:10" x14ac:dyDescent="0.3">
      <c r="J144328"/>
    </row>
    <row r="144329" spans="10:10" x14ac:dyDescent="0.3">
      <c r="J144329"/>
    </row>
    <row r="144330" spans="10:10" x14ac:dyDescent="0.3">
      <c r="J144330"/>
    </row>
    <row r="144331" spans="10:10" x14ac:dyDescent="0.3">
      <c r="J144331"/>
    </row>
    <row r="144332" spans="10:10" x14ac:dyDescent="0.3">
      <c r="J144332"/>
    </row>
    <row r="144333" spans="10:10" x14ac:dyDescent="0.3">
      <c r="J144333"/>
    </row>
    <row r="144334" spans="10:10" x14ac:dyDescent="0.3">
      <c r="J144334"/>
    </row>
    <row r="144335" spans="10:10" x14ac:dyDescent="0.3">
      <c r="J144335"/>
    </row>
    <row r="144336" spans="10:10" x14ac:dyDescent="0.3">
      <c r="J144336"/>
    </row>
    <row r="144337" spans="10:10" x14ac:dyDescent="0.3">
      <c r="J144337"/>
    </row>
    <row r="144338" spans="10:10" x14ac:dyDescent="0.3">
      <c r="J144338"/>
    </row>
    <row r="144339" spans="10:10" x14ac:dyDescent="0.3">
      <c r="J144339"/>
    </row>
    <row r="144340" spans="10:10" x14ac:dyDescent="0.3">
      <c r="J144340"/>
    </row>
    <row r="144341" spans="10:10" x14ac:dyDescent="0.3">
      <c r="J144341"/>
    </row>
    <row r="144342" spans="10:10" x14ac:dyDescent="0.3">
      <c r="J144342"/>
    </row>
    <row r="144343" spans="10:10" x14ac:dyDescent="0.3">
      <c r="J144343"/>
    </row>
    <row r="144344" spans="10:10" x14ac:dyDescent="0.3">
      <c r="J144344"/>
    </row>
    <row r="144345" spans="10:10" x14ac:dyDescent="0.3">
      <c r="J144345"/>
    </row>
    <row r="144346" spans="10:10" x14ac:dyDescent="0.3">
      <c r="J144346"/>
    </row>
    <row r="144347" spans="10:10" x14ac:dyDescent="0.3">
      <c r="J144347"/>
    </row>
    <row r="144348" spans="10:10" x14ac:dyDescent="0.3">
      <c r="J144348"/>
    </row>
    <row r="144349" spans="10:10" x14ac:dyDescent="0.3">
      <c r="J144349"/>
    </row>
    <row r="144350" spans="10:10" x14ac:dyDescent="0.3">
      <c r="J144350"/>
    </row>
    <row r="144351" spans="10:10" x14ac:dyDescent="0.3">
      <c r="J144351"/>
    </row>
    <row r="144352" spans="10:10" x14ac:dyDescent="0.3">
      <c r="J144352"/>
    </row>
    <row r="144353" spans="10:10" x14ac:dyDescent="0.3">
      <c r="J144353"/>
    </row>
    <row r="144354" spans="10:10" x14ac:dyDescent="0.3">
      <c r="J144354"/>
    </row>
    <row r="144355" spans="10:10" x14ac:dyDescent="0.3">
      <c r="J144355"/>
    </row>
    <row r="144356" spans="10:10" x14ac:dyDescent="0.3">
      <c r="J144356"/>
    </row>
    <row r="144357" spans="10:10" x14ac:dyDescent="0.3">
      <c r="J144357"/>
    </row>
    <row r="144358" spans="10:10" x14ac:dyDescent="0.3">
      <c r="J144358"/>
    </row>
    <row r="144359" spans="10:10" x14ac:dyDescent="0.3">
      <c r="J144359"/>
    </row>
    <row r="144360" spans="10:10" x14ac:dyDescent="0.3">
      <c r="J144360"/>
    </row>
    <row r="144361" spans="10:10" x14ac:dyDescent="0.3">
      <c r="J144361"/>
    </row>
    <row r="144362" spans="10:10" x14ac:dyDescent="0.3">
      <c r="J144362"/>
    </row>
    <row r="144363" spans="10:10" x14ac:dyDescent="0.3">
      <c r="J144363"/>
    </row>
    <row r="144364" spans="10:10" x14ac:dyDescent="0.3">
      <c r="J144364"/>
    </row>
    <row r="144365" spans="10:10" x14ac:dyDescent="0.3">
      <c r="J144365"/>
    </row>
    <row r="144366" spans="10:10" x14ac:dyDescent="0.3">
      <c r="J144366"/>
    </row>
    <row r="144367" spans="10:10" x14ac:dyDescent="0.3">
      <c r="J144367"/>
    </row>
    <row r="144368" spans="10:10" x14ac:dyDescent="0.3">
      <c r="J144368"/>
    </row>
    <row r="144369" spans="10:10" x14ac:dyDescent="0.3">
      <c r="J144369"/>
    </row>
    <row r="144370" spans="10:10" x14ac:dyDescent="0.3">
      <c r="J144370"/>
    </row>
    <row r="144371" spans="10:10" x14ac:dyDescent="0.3">
      <c r="J144371"/>
    </row>
    <row r="144372" spans="10:10" x14ac:dyDescent="0.3">
      <c r="J144372"/>
    </row>
    <row r="144373" spans="10:10" x14ac:dyDescent="0.3">
      <c r="J144373"/>
    </row>
    <row r="144374" spans="10:10" x14ac:dyDescent="0.3">
      <c r="J144374"/>
    </row>
    <row r="144375" spans="10:10" x14ac:dyDescent="0.3">
      <c r="J144375"/>
    </row>
    <row r="144376" spans="10:10" x14ac:dyDescent="0.3">
      <c r="J144376"/>
    </row>
    <row r="144377" spans="10:10" x14ac:dyDescent="0.3">
      <c r="J144377"/>
    </row>
    <row r="144378" spans="10:10" x14ac:dyDescent="0.3">
      <c r="J144378"/>
    </row>
    <row r="144379" spans="10:10" x14ac:dyDescent="0.3">
      <c r="J144379"/>
    </row>
    <row r="144380" spans="10:10" x14ac:dyDescent="0.3">
      <c r="J144380"/>
    </row>
    <row r="144381" spans="10:10" x14ac:dyDescent="0.3">
      <c r="J144381"/>
    </row>
    <row r="144382" spans="10:10" x14ac:dyDescent="0.3">
      <c r="J144382"/>
    </row>
    <row r="144383" spans="10:10" x14ac:dyDescent="0.3">
      <c r="J144383"/>
    </row>
    <row r="144384" spans="10:10" x14ac:dyDescent="0.3">
      <c r="J144384"/>
    </row>
    <row r="144385" spans="10:10" x14ac:dyDescent="0.3">
      <c r="J144385"/>
    </row>
    <row r="144386" spans="10:10" x14ac:dyDescent="0.3">
      <c r="J144386"/>
    </row>
    <row r="144387" spans="10:10" x14ac:dyDescent="0.3">
      <c r="J144387"/>
    </row>
    <row r="144388" spans="10:10" x14ac:dyDescent="0.3">
      <c r="J144388"/>
    </row>
    <row r="144389" spans="10:10" x14ac:dyDescent="0.3">
      <c r="J144389"/>
    </row>
    <row r="144390" spans="10:10" x14ac:dyDescent="0.3">
      <c r="J144390"/>
    </row>
    <row r="144391" spans="10:10" x14ac:dyDescent="0.3">
      <c r="J144391"/>
    </row>
    <row r="144392" spans="10:10" x14ac:dyDescent="0.3">
      <c r="J144392"/>
    </row>
    <row r="144393" spans="10:10" x14ac:dyDescent="0.3">
      <c r="J144393"/>
    </row>
    <row r="144394" spans="10:10" x14ac:dyDescent="0.3">
      <c r="J144394"/>
    </row>
    <row r="144395" spans="10:10" x14ac:dyDescent="0.3">
      <c r="J144395"/>
    </row>
    <row r="144396" spans="10:10" x14ac:dyDescent="0.3">
      <c r="J144396"/>
    </row>
    <row r="144397" spans="10:10" x14ac:dyDescent="0.3">
      <c r="J144397"/>
    </row>
    <row r="144398" spans="10:10" x14ac:dyDescent="0.3">
      <c r="J144398"/>
    </row>
    <row r="144399" spans="10:10" x14ac:dyDescent="0.3">
      <c r="J144399"/>
    </row>
    <row r="144400" spans="10:10" x14ac:dyDescent="0.3">
      <c r="J144400"/>
    </row>
    <row r="144401" spans="10:10" x14ac:dyDescent="0.3">
      <c r="J144401"/>
    </row>
    <row r="144402" spans="10:10" x14ac:dyDescent="0.3">
      <c r="J144402"/>
    </row>
    <row r="144403" spans="10:10" x14ac:dyDescent="0.3">
      <c r="J144403"/>
    </row>
    <row r="144404" spans="10:10" x14ac:dyDescent="0.3">
      <c r="J144404"/>
    </row>
    <row r="144405" spans="10:10" x14ac:dyDescent="0.3">
      <c r="J144405"/>
    </row>
    <row r="144406" spans="10:10" x14ac:dyDescent="0.3">
      <c r="J144406"/>
    </row>
    <row r="144407" spans="10:10" x14ac:dyDescent="0.3">
      <c r="J144407"/>
    </row>
    <row r="144408" spans="10:10" x14ac:dyDescent="0.3">
      <c r="J144408"/>
    </row>
    <row r="144409" spans="10:10" x14ac:dyDescent="0.3">
      <c r="J144409"/>
    </row>
    <row r="144410" spans="10:10" x14ac:dyDescent="0.3">
      <c r="J144410"/>
    </row>
    <row r="144411" spans="10:10" x14ac:dyDescent="0.3">
      <c r="J144411"/>
    </row>
    <row r="144412" spans="10:10" x14ac:dyDescent="0.3">
      <c r="J144412"/>
    </row>
    <row r="144413" spans="10:10" x14ac:dyDescent="0.3">
      <c r="J144413"/>
    </row>
    <row r="144414" spans="10:10" x14ac:dyDescent="0.3">
      <c r="J144414"/>
    </row>
    <row r="144415" spans="10:10" x14ac:dyDescent="0.3">
      <c r="J144415"/>
    </row>
    <row r="144416" spans="10:10" x14ac:dyDescent="0.3">
      <c r="J144416"/>
    </row>
    <row r="144417" spans="10:10" x14ac:dyDescent="0.3">
      <c r="J144417"/>
    </row>
    <row r="144418" spans="10:10" x14ac:dyDescent="0.3">
      <c r="J144418"/>
    </row>
    <row r="144419" spans="10:10" x14ac:dyDescent="0.3">
      <c r="J144419"/>
    </row>
    <row r="144420" spans="10:10" x14ac:dyDescent="0.3">
      <c r="J144420"/>
    </row>
    <row r="144421" spans="10:10" x14ac:dyDescent="0.3">
      <c r="J144421"/>
    </row>
    <row r="144422" spans="10:10" x14ac:dyDescent="0.3">
      <c r="J144422"/>
    </row>
    <row r="144423" spans="10:10" x14ac:dyDescent="0.3">
      <c r="J144423"/>
    </row>
    <row r="144424" spans="10:10" x14ac:dyDescent="0.3">
      <c r="J144424"/>
    </row>
    <row r="144425" spans="10:10" x14ac:dyDescent="0.3">
      <c r="J144425"/>
    </row>
    <row r="144426" spans="10:10" x14ac:dyDescent="0.3">
      <c r="J144426"/>
    </row>
    <row r="144427" spans="10:10" x14ac:dyDescent="0.3">
      <c r="J144427"/>
    </row>
    <row r="144428" spans="10:10" x14ac:dyDescent="0.3">
      <c r="J144428"/>
    </row>
    <row r="144429" spans="10:10" x14ac:dyDescent="0.3">
      <c r="J144429"/>
    </row>
    <row r="144430" spans="10:10" x14ac:dyDescent="0.3">
      <c r="J144430"/>
    </row>
    <row r="144431" spans="10:10" x14ac:dyDescent="0.3">
      <c r="J144431"/>
    </row>
    <row r="144432" spans="10:10" x14ac:dyDescent="0.3">
      <c r="J144432"/>
    </row>
    <row r="144433" spans="10:10" x14ac:dyDescent="0.3">
      <c r="J144433"/>
    </row>
    <row r="144434" spans="10:10" x14ac:dyDescent="0.3">
      <c r="J144434"/>
    </row>
    <row r="144435" spans="10:10" x14ac:dyDescent="0.3">
      <c r="J144435"/>
    </row>
    <row r="144436" spans="10:10" x14ac:dyDescent="0.3">
      <c r="J144436"/>
    </row>
    <row r="144437" spans="10:10" x14ac:dyDescent="0.3">
      <c r="J144437"/>
    </row>
    <row r="144438" spans="10:10" x14ac:dyDescent="0.3">
      <c r="J144438"/>
    </row>
    <row r="144439" spans="10:10" x14ac:dyDescent="0.3">
      <c r="J144439"/>
    </row>
    <row r="144440" spans="10:10" x14ac:dyDescent="0.3">
      <c r="J144440"/>
    </row>
    <row r="144441" spans="10:10" x14ac:dyDescent="0.3">
      <c r="J144441"/>
    </row>
    <row r="144442" spans="10:10" x14ac:dyDescent="0.3">
      <c r="J144442"/>
    </row>
    <row r="144443" spans="10:10" x14ac:dyDescent="0.3">
      <c r="J144443"/>
    </row>
    <row r="144444" spans="10:10" x14ac:dyDescent="0.3">
      <c r="J144444"/>
    </row>
    <row r="144445" spans="10:10" x14ac:dyDescent="0.3">
      <c r="J144445"/>
    </row>
    <row r="144446" spans="10:10" x14ac:dyDescent="0.3">
      <c r="J144446"/>
    </row>
    <row r="144447" spans="10:10" x14ac:dyDescent="0.3">
      <c r="J144447"/>
    </row>
    <row r="144448" spans="10:10" x14ac:dyDescent="0.3">
      <c r="J144448"/>
    </row>
    <row r="144449" spans="10:10" x14ac:dyDescent="0.3">
      <c r="J144449"/>
    </row>
    <row r="144450" spans="10:10" x14ac:dyDescent="0.3">
      <c r="J144450"/>
    </row>
    <row r="144451" spans="10:10" x14ac:dyDescent="0.3">
      <c r="J144451"/>
    </row>
    <row r="144452" spans="10:10" x14ac:dyDescent="0.3">
      <c r="J144452"/>
    </row>
    <row r="144453" spans="10:10" x14ac:dyDescent="0.3">
      <c r="J144453"/>
    </row>
    <row r="144454" spans="10:10" x14ac:dyDescent="0.3">
      <c r="J144454"/>
    </row>
    <row r="144455" spans="10:10" x14ac:dyDescent="0.3">
      <c r="J144455"/>
    </row>
    <row r="144456" spans="10:10" x14ac:dyDescent="0.3">
      <c r="J144456"/>
    </row>
    <row r="144457" spans="10:10" x14ac:dyDescent="0.3">
      <c r="J144457"/>
    </row>
    <row r="144458" spans="10:10" x14ac:dyDescent="0.3">
      <c r="J144458"/>
    </row>
    <row r="144459" spans="10:10" x14ac:dyDescent="0.3">
      <c r="J144459"/>
    </row>
    <row r="144460" spans="10:10" x14ac:dyDescent="0.3">
      <c r="J144460"/>
    </row>
    <row r="144461" spans="10:10" x14ac:dyDescent="0.3">
      <c r="J144461"/>
    </row>
    <row r="144462" spans="10:10" x14ac:dyDescent="0.3">
      <c r="J144462"/>
    </row>
    <row r="144463" spans="10:10" x14ac:dyDescent="0.3">
      <c r="J144463"/>
    </row>
    <row r="144464" spans="10:10" x14ac:dyDescent="0.3">
      <c r="J144464"/>
    </row>
    <row r="144465" spans="10:10" x14ac:dyDescent="0.3">
      <c r="J144465"/>
    </row>
    <row r="144466" spans="10:10" x14ac:dyDescent="0.3">
      <c r="J144466"/>
    </row>
    <row r="144467" spans="10:10" x14ac:dyDescent="0.3">
      <c r="J144467"/>
    </row>
    <row r="144468" spans="10:10" x14ac:dyDescent="0.3">
      <c r="J144468"/>
    </row>
    <row r="144469" spans="10:10" x14ac:dyDescent="0.3">
      <c r="J144469"/>
    </row>
    <row r="144470" spans="10:10" x14ac:dyDescent="0.3">
      <c r="J144470"/>
    </row>
    <row r="144471" spans="10:10" x14ac:dyDescent="0.3">
      <c r="J144471"/>
    </row>
    <row r="144472" spans="10:10" x14ac:dyDescent="0.3">
      <c r="J144472"/>
    </row>
    <row r="144473" spans="10:10" x14ac:dyDescent="0.3">
      <c r="J144473"/>
    </row>
    <row r="144474" spans="10:10" x14ac:dyDescent="0.3">
      <c r="J144474"/>
    </row>
    <row r="144475" spans="10:10" x14ac:dyDescent="0.3">
      <c r="J144475"/>
    </row>
    <row r="144476" spans="10:10" x14ac:dyDescent="0.3">
      <c r="J144476"/>
    </row>
    <row r="144477" spans="10:10" x14ac:dyDescent="0.3">
      <c r="J144477"/>
    </row>
    <row r="144478" spans="10:10" x14ac:dyDescent="0.3">
      <c r="J144478"/>
    </row>
    <row r="144479" spans="10:10" x14ac:dyDescent="0.3">
      <c r="J144479"/>
    </row>
    <row r="144480" spans="10:10" x14ac:dyDescent="0.3">
      <c r="J144480"/>
    </row>
    <row r="144481" spans="10:10" x14ac:dyDescent="0.3">
      <c r="J144481"/>
    </row>
    <row r="144482" spans="10:10" x14ac:dyDescent="0.3">
      <c r="J144482"/>
    </row>
    <row r="144483" spans="10:10" x14ac:dyDescent="0.3">
      <c r="J144483"/>
    </row>
    <row r="144484" spans="10:10" x14ac:dyDescent="0.3">
      <c r="J144484"/>
    </row>
    <row r="144485" spans="10:10" x14ac:dyDescent="0.3">
      <c r="J144485"/>
    </row>
    <row r="144486" spans="10:10" x14ac:dyDescent="0.3">
      <c r="J144486"/>
    </row>
    <row r="144487" spans="10:10" x14ac:dyDescent="0.3">
      <c r="J144487"/>
    </row>
    <row r="144488" spans="10:10" x14ac:dyDescent="0.3">
      <c r="J144488"/>
    </row>
    <row r="144489" spans="10:10" x14ac:dyDescent="0.3">
      <c r="J144489"/>
    </row>
    <row r="144490" spans="10:10" x14ac:dyDescent="0.3">
      <c r="J144490"/>
    </row>
    <row r="144491" spans="10:10" x14ac:dyDescent="0.3">
      <c r="J144491"/>
    </row>
    <row r="144492" spans="10:10" x14ac:dyDescent="0.3">
      <c r="J144492"/>
    </row>
    <row r="144493" spans="10:10" x14ac:dyDescent="0.3">
      <c r="J144493"/>
    </row>
    <row r="144494" spans="10:10" x14ac:dyDescent="0.3">
      <c r="J144494"/>
    </row>
    <row r="144495" spans="10:10" x14ac:dyDescent="0.3">
      <c r="J144495"/>
    </row>
    <row r="144496" spans="10:10" x14ac:dyDescent="0.3">
      <c r="J144496"/>
    </row>
    <row r="144497" spans="10:10" x14ac:dyDescent="0.3">
      <c r="J144497"/>
    </row>
    <row r="144498" spans="10:10" x14ac:dyDescent="0.3">
      <c r="J144498"/>
    </row>
    <row r="144499" spans="10:10" x14ac:dyDescent="0.3">
      <c r="J144499"/>
    </row>
    <row r="144500" spans="10:10" x14ac:dyDescent="0.3">
      <c r="J144500"/>
    </row>
    <row r="144501" spans="10:10" x14ac:dyDescent="0.3">
      <c r="J144501"/>
    </row>
    <row r="144502" spans="10:10" x14ac:dyDescent="0.3">
      <c r="J144502"/>
    </row>
    <row r="144503" spans="10:10" x14ac:dyDescent="0.3">
      <c r="J144503"/>
    </row>
    <row r="144504" spans="10:10" x14ac:dyDescent="0.3">
      <c r="J144504"/>
    </row>
    <row r="144505" spans="10:10" x14ac:dyDescent="0.3">
      <c r="J144505"/>
    </row>
    <row r="144506" spans="10:10" x14ac:dyDescent="0.3">
      <c r="J144506"/>
    </row>
    <row r="144507" spans="10:10" x14ac:dyDescent="0.3">
      <c r="J144507"/>
    </row>
    <row r="144508" spans="10:10" x14ac:dyDescent="0.3">
      <c r="J144508"/>
    </row>
    <row r="144509" spans="10:10" x14ac:dyDescent="0.3">
      <c r="J144509"/>
    </row>
    <row r="144510" spans="10:10" x14ac:dyDescent="0.3">
      <c r="J144510"/>
    </row>
    <row r="144511" spans="10:10" x14ac:dyDescent="0.3">
      <c r="J144511"/>
    </row>
    <row r="144512" spans="10:10" x14ac:dyDescent="0.3">
      <c r="J144512"/>
    </row>
    <row r="144513" spans="10:10" x14ac:dyDescent="0.3">
      <c r="J144513"/>
    </row>
    <row r="144514" spans="10:10" x14ac:dyDescent="0.3">
      <c r="J144514"/>
    </row>
    <row r="144515" spans="10:10" x14ac:dyDescent="0.3">
      <c r="J144515"/>
    </row>
    <row r="144516" spans="10:10" x14ac:dyDescent="0.3">
      <c r="J144516"/>
    </row>
    <row r="144517" spans="10:10" x14ac:dyDescent="0.3">
      <c r="J144517"/>
    </row>
    <row r="144518" spans="10:10" x14ac:dyDescent="0.3">
      <c r="J144518"/>
    </row>
    <row r="144519" spans="10:10" x14ac:dyDescent="0.3">
      <c r="J144519"/>
    </row>
    <row r="144520" spans="10:10" x14ac:dyDescent="0.3">
      <c r="J144520"/>
    </row>
    <row r="144521" spans="10:10" x14ac:dyDescent="0.3">
      <c r="J144521"/>
    </row>
    <row r="144522" spans="10:10" x14ac:dyDescent="0.3">
      <c r="J144522"/>
    </row>
    <row r="144523" spans="10:10" x14ac:dyDescent="0.3">
      <c r="J144523"/>
    </row>
    <row r="144524" spans="10:10" x14ac:dyDescent="0.3">
      <c r="J144524"/>
    </row>
    <row r="144525" spans="10:10" x14ac:dyDescent="0.3">
      <c r="J144525"/>
    </row>
    <row r="144526" spans="10:10" x14ac:dyDescent="0.3">
      <c r="J144526"/>
    </row>
    <row r="144527" spans="10:10" x14ac:dyDescent="0.3">
      <c r="J144527"/>
    </row>
    <row r="144528" spans="10:10" x14ac:dyDescent="0.3">
      <c r="J144528"/>
    </row>
    <row r="144529" spans="10:10" x14ac:dyDescent="0.3">
      <c r="J144529"/>
    </row>
    <row r="144530" spans="10:10" x14ac:dyDescent="0.3">
      <c r="J144530"/>
    </row>
    <row r="144531" spans="10:10" x14ac:dyDescent="0.3">
      <c r="J144531"/>
    </row>
    <row r="144532" spans="10:10" x14ac:dyDescent="0.3">
      <c r="J144532"/>
    </row>
    <row r="144533" spans="10:10" x14ac:dyDescent="0.3">
      <c r="J144533"/>
    </row>
    <row r="144534" spans="10:10" x14ac:dyDescent="0.3">
      <c r="J144534"/>
    </row>
    <row r="144535" spans="10:10" x14ac:dyDescent="0.3">
      <c r="J144535"/>
    </row>
    <row r="144536" spans="10:10" x14ac:dyDescent="0.3">
      <c r="J144536"/>
    </row>
    <row r="144537" spans="10:10" x14ac:dyDescent="0.3">
      <c r="J144537"/>
    </row>
    <row r="144538" spans="10:10" x14ac:dyDescent="0.3">
      <c r="J144538"/>
    </row>
    <row r="144539" spans="10:10" x14ac:dyDescent="0.3">
      <c r="J144539"/>
    </row>
    <row r="144540" spans="10:10" x14ac:dyDescent="0.3">
      <c r="J144540"/>
    </row>
    <row r="144541" spans="10:10" x14ac:dyDescent="0.3">
      <c r="J144541"/>
    </row>
    <row r="144542" spans="10:10" x14ac:dyDescent="0.3">
      <c r="J144542"/>
    </row>
    <row r="144543" spans="10:10" x14ac:dyDescent="0.3">
      <c r="J144543"/>
    </row>
    <row r="144544" spans="10:10" x14ac:dyDescent="0.3">
      <c r="J144544"/>
    </row>
    <row r="144545" spans="10:10" x14ac:dyDescent="0.3">
      <c r="J144545"/>
    </row>
    <row r="144546" spans="10:10" x14ac:dyDescent="0.3">
      <c r="J144546"/>
    </row>
    <row r="144547" spans="10:10" x14ac:dyDescent="0.3">
      <c r="J144547"/>
    </row>
    <row r="144548" spans="10:10" x14ac:dyDescent="0.3">
      <c r="J144548"/>
    </row>
    <row r="144549" spans="10:10" x14ac:dyDescent="0.3">
      <c r="J144549"/>
    </row>
    <row r="144550" spans="10:10" x14ac:dyDescent="0.3">
      <c r="J144550"/>
    </row>
    <row r="144551" spans="10:10" x14ac:dyDescent="0.3">
      <c r="J144551"/>
    </row>
    <row r="144552" spans="10:10" x14ac:dyDescent="0.3">
      <c r="J144552"/>
    </row>
    <row r="144553" spans="10:10" x14ac:dyDescent="0.3">
      <c r="J144553"/>
    </row>
    <row r="144554" spans="10:10" x14ac:dyDescent="0.3">
      <c r="J144554"/>
    </row>
    <row r="144555" spans="10:10" x14ac:dyDescent="0.3">
      <c r="J144555"/>
    </row>
    <row r="144556" spans="10:10" x14ac:dyDescent="0.3">
      <c r="J144556"/>
    </row>
    <row r="144557" spans="10:10" x14ac:dyDescent="0.3">
      <c r="J144557"/>
    </row>
    <row r="144558" spans="10:10" x14ac:dyDescent="0.3">
      <c r="J144558"/>
    </row>
    <row r="144559" spans="10:10" x14ac:dyDescent="0.3">
      <c r="J144559"/>
    </row>
    <row r="144560" spans="10:10" x14ac:dyDescent="0.3">
      <c r="J144560"/>
    </row>
    <row r="144561" spans="10:10" x14ac:dyDescent="0.3">
      <c r="J144561"/>
    </row>
    <row r="144562" spans="10:10" x14ac:dyDescent="0.3">
      <c r="J144562"/>
    </row>
    <row r="144563" spans="10:10" x14ac:dyDescent="0.3">
      <c r="J144563"/>
    </row>
    <row r="144564" spans="10:10" x14ac:dyDescent="0.3">
      <c r="J144564"/>
    </row>
    <row r="144565" spans="10:10" x14ac:dyDescent="0.3">
      <c r="J144565"/>
    </row>
    <row r="144566" spans="10:10" x14ac:dyDescent="0.3">
      <c r="J144566"/>
    </row>
    <row r="144567" spans="10:10" x14ac:dyDescent="0.3">
      <c r="J144567"/>
    </row>
    <row r="144568" spans="10:10" x14ac:dyDescent="0.3">
      <c r="J144568"/>
    </row>
    <row r="144569" spans="10:10" x14ac:dyDescent="0.3">
      <c r="J144569"/>
    </row>
    <row r="144570" spans="10:10" x14ac:dyDescent="0.3">
      <c r="J144570"/>
    </row>
    <row r="144571" spans="10:10" x14ac:dyDescent="0.3">
      <c r="J144571"/>
    </row>
    <row r="144572" spans="10:10" x14ac:dyDescent="0.3">
      <c r="J144572"/>
    </row>
    <row r="144573" spans="10:10" x14ac:dyDescent="0.3">
      <c r="J144573"/>
    </row>
    <row r="144574" spans="10:10" x14ac:dyDescent="0.3">
      <c r="J144574"/>
    </row>
    <row r="144575" spans="10:10" x14ac:dyDescent="0.3">
      <c r="J144575"/>
    </row>
    <row r="144576" spans="10:10" x14ac:dyDescent="0.3">
      <c r="J144576"/>
    </row>
    <row r="144577" spans="10:10" x14ac:dyDescent="0.3">
      <c r="J144577"/>
    </row>
    <row r="144578" spans="10:10" x14ac:dyDescent="0.3">
      <c r="J144578"/>
    </row>
    <row r="144579" spans="10:10" x14ac:dyDescent="0.3">
      <c r="J144579"/>
    </row>
    <row r="144580" spans="10:10" x14ac:dyDescent="0.3">
      <c r="J144580"/>
    </row>
    <row r="144581" spans="10:10" x14ac:dyDescent="0.3">
      <c r="J144581"/>
    </row>
    <row r="144582" spans="10:10" x14ac:dyDescent="0.3">
      <c r="J144582"/>
    </row>
    <row r="144583" spans="10:10" x14ac:dyDescent="0.3">
      <c r="J144583"/>
    </row>
    <row r="144584" spans="10:10" x14ac:dyDescent="0.3">
      <c r="J144584"/>
    </row>
    <row r="144585" spans="10:10" x14ac:dyDescent="0.3">
      <c r="J144585"/>
    </row>
    <row r="144586" spans="10:10" x14ac:dyDescent="0.3">
      <c r="J144586"/>
    </row>
    <row r="144587" spans="10:10" x14ac:dyDescent="0.3">
      <c r="J144587"/>
    </row>
    <row r="144588" spans="10:10" x14ac:dyDescent="0.3">
      <c r="J144588"/>
    </row>
    <row r="144589" spans="10:10" x14ac:dyDescent="0.3">
      <c r="J144589"/>
    </row>
    <row r="144590" spans="10:10" x14ac:dyDescent="0.3">
      <c r="J144590"/>
    </row>
    <row r="144591" spans="10:10" x14ac:dyDescent="0.3">
      <c r="J144591"/>
    </row>
    <row r="144592" spans="10:10" x14ac:dyDescent="0.3">
      <c r="J144592"/>
    </row>
    <row r="144593" spans="10:10" x14ac:dyDescent="0.3">
      <c r="J144593"/>
    </row>
    <row r="144594" spans="10:10" x14ac:dyDescent="0.3">
      <c r="J144594"/>
    </row>
    <row r="144595" spans="10:10" x14ac:dyDescent="0.3">
      <c r="J144595"/>
    </row>
    <row r="144596" spans="10:10" x14ac:dyDescent="0.3">
      <c r="J144596"/>
    </row>
    <row r="144597" spans="10:10" x14ac:dyDescent="0.3">
      <c r="J144597"/>
    </row>
    <row r="144598" spans="10:10" x14ac:dyDescent="0.3">
      <c r="J144598"/>
    </row>
    <row r="144599" spans="10:10" x14ac:dyDescent="0.3">
      <c r="J144599"/>
    </row>
    <row r="144600" spans="10:10" x14ac:dyDescent="0.3">
      <c r="J144600"/>
    </row>
    <row r="144601" spans="10:10" x14ac:dyDescent="0.3">
      <c r="J144601"/>
    </row>
    <row r="144602" spans="10:10" x14ac:dyDescent="0.3">
      <c r="J144602"/>
    </row>
    <row r="144603" spans="10:10" x14ac:dyDescent="0.3">
      <c r="J144603"/>
    </row>
    <row r="144604" spans="10:10" x14ac:dyDescent="0.3">
      <c r="J144604"/>
    </row>
    <row r="144605" spans="10:10" x14ac:dyDescent="0.3">
      <c r="J144605"/>
    </row>
    <row r="144606" spans="10:10" x14ac:dyDescent="0.3">
      <c r="J144606"/>
    </row>
    <row r="144607" spans="10:10" x14ac:dyDescent="0.3">
      <c r="J144607"/>
    </row>
    <row r="144608" spans="10:10" x14ac:dyDescent="0.3">
      <c r="J144608"/>
    </row>
    <row r="144609" spans="10:10" x14ac:dyDescent="0.3">
      <c r="J144609"/>
    </row>
    <row r="144610" spans="10:10" x14ac:dyDescent="0.3">
      <c r="J144610"/>
    </row>
    <row r="144611" spans="10:10" x14ac:dyDescent="0.3">
      <c r="J144611"/>
    </row>
    <row r="144612" spans="10:10" x14ac:dyDescent="0.3">
      <c r="J144612"/>
    </row>
    <row r="144613" spans="10:10" x14ac:dyDescent="0.3">
      <c r="J144613"/>
    </row>
    <row r="144614" spans="10:10" x14ac:dyDescent="0.3">
      <c r="J144614"/>
    </row>
    <row r="144615" spans="10:10" x14ac:dyDescent="0.3">
      <c r="J144615"/>
    </row>
    <row r="144616" spans="10:10" x14ac:dyDescent="0.3">
      <c r="J144616"/>
    </row>
    <row r="144617" spans="10:10" x14ac:dyDescent="0.3">
      <c r="J144617"/>
    </row>
    <row r="144618" spans="10:10" x14ac:dyDescent="0.3">
      <c r="J144618"/>
    </row>
    <row r="144619" spans="10:10" x14ac:dyDescent="0.3">
      <c r="J144619"/>
    </row>
    <row r="144620" spans="10:10" x14ac:dyDescent="0.3">
      <c r="J144620"/>
    </row>
    <row r="144621" spans="10:10" x14ac:dyDescent="0.3">
      <c r="J144621"/>
    </row>
    <row r="144622" spans="10:10" x14ac:dyDescent="0.3">
      <c r="J144622"/>
    </row>
    <row r="144623" spans="10:10" x14ac:dyDescent="0.3">
      <c r="J144623"/>
    </row>
    <row r="144624" spans="10:10" x14ac:dyDescent="0.3">
      <c r="J144624"/>
    </row>
    <row r="144625" spans="10:10" x14ac:dyDescent="0.3">
      <c r="J144625"/>
    </row>
    <row r="144626" spans="10:10" x14ac:dyDescent="0.3">
      <c r="J144626"/>
    </row>
    <row r="144627" spans="10:10" x14ac:dyDescent="0.3">
      <c r="J144627"/>
    </row>
    <row r="144628" spans="10:10" x14ac:dyDescent="0.3">
      <c r="J144628"/>
    </row>
    <row r="144629" spans="10:10" x14ac:dyDescent="0.3">
      <c r="J144629"/>
    </row>
    <row r="144630" spans="10:10" x14ac:dyDescent="0.3">
      <c r="J144630"/>
    </row>
    <row r="144631" spans="10:10" x14ac:dyDescent="0.3">
      <c r="J144631"/>
    </row>
    <row r="144632" spans="10:10" x14ac:dyDescent="0.3">
      <c r="J144632"/>
    </row>
    <row r="144633" spans="10:10" x14ac:dyDescent="0.3">
      <c r="J144633"/>
    </row>
    <row r="144634" spans="10:10" x14ac:dyDescent="0.3">
      <c r="J144634"/>
    </row>
    <row r="144635" spans="10:10" x14ac:dyDescent="0.3">
      <c r="J144635"/>
    </row>
    <row r="144636" spans="10:10" x14ac:dyDescent="0.3">
      <c r="J144636"/>
    </row>
    <row r="144637" spans="10:10" x14ac:dyDescent="0.3">
      <c r="J144637"/>
    </row>
    <row r="144638" spans="10:10" x14ac:dyDescent="0.3">
      <c r="J144638"/>
    </row>
    <row r="144639" spans="10:10" x14ac:dyDescent="0.3">
      <c r="J144639"/>
    </row>
    <row r="144640" spans="10:10" x14ac:dyDescent="0.3">
      <c r="J144640"/>
    </row>
    <row r="144641" spans="10:10" x14ac:dyDescent="0.3">
      <c r="J144641"/>
    </row>
    <row r="144642" spans="10:10" x14ac:dyDescent="0.3">
      <c r="J144642"/>
    </row>
    <row r="144643" spans="10:10" x14ac:dyDescent="0.3">
      <c r="J144643"/>
    </row>
    <row r="144644" spans="10:10" x14ac:dyDescent="0.3">
      <c r="J144644"/>
    </row>
    <row r="144645" spans="10:10" x14ac:dyDescent="0.3">
      <c r="J144645"/>
    </row>
    <row r="144646" spans="10:10" x14ac:dyDescent="0.3">
      <c r="J144646"/>
    </row>
    <row r="144647" spans="10:10" x14ac:dyDescent="0.3">
      <c r="J144647"/>
    </row>
    <row r="144648" spans="10:10" x14ac:dyDescent="0.3">
      <c r="J144648"/>
    </row>
    <row r="144649" spans="10:10" x14ac:dyDescent="0.3">
      <c r="J144649"/>
    </row>
    <row r="144650" spans="10:10" x14ac:dyDescent="0.3">
      <c r="J144650"/>
    </row>
    <row r="144651" spans="10:10" x14ac:dyDescent="0.3">
      <c r="J144651"/>
    </row>
    <row r="144652" spans="10:10" x14ac:dyDescent="0.3">
      <c r="J144652"/>
    </row>
    <row r="144653" spans="10:10" x14ac:dyDescent="0.3">
      <c r="J144653"/>
    </row>
    <row r="144654" spans="10:10" x14ac:dyDescent="0.3">
      <c r="J144654"/>
    </row>
    <row r="144655" spans="10:10" x14ac:dyDescent="0.3">
      <c r="J144655"/>
    </row>
    <row r="144656" spans="10:10" x14ac:dyDescent="0.3">
      <c r="J144656"/>
    </row>
    <row r="144657" spans="10:10" x14ac:dyDescent="0.3">
      <c r="J144657"/>
    </row>
    <row r="144658" spans="10:10" x14ac:dyDescent="0.3">
      <c r="J144658"/>
    </row>
    <row r="144659" spans="10:10" x14ac:dyDescent="0.3">
      <c r="J144659"/>
    </row>
    <row r="144660" spans="10:10" x14ac:dyDescent="0.3">
      <c r="J144660"/>
    </row>
    <row r="144661" spans="10:10" x14ac:dyDescent="0.3">
      <c r="J144661"/>
    </row>
    <row r="144662" spans="10:10" x14ac:dyDescent="0.3">
      <c r="J144662"/>
    </row>
    <row r="144663" spans="10:10" x14ac:dyDescent="0.3">
      <c r="J144663"/>
    </row>
    <row r="144664" spans="10:10" x14ac:dyDescent="0.3">
      <c r="J144664"/>
    </row>
    <row r="144665" spans="10:10" x14ac:dyDescent="0.3">
      <c r="J144665"/>
    </row>
    <row r="144666" spans="10:10" x14ac:dyDescent="0.3">
      <c r="J144666"/>
    </row>
    <row r="144667" spans="10:10" x14ac:dyDescent="0.3">
      <c r="J144667"/>
    </row>
    <row r="144668" spans="10:10" x14ac:dyDescent="0.3">
      <c r="J144668"/>
    </row>
    <row r="144669" spans="10:10" x14ac:dyDescent="0.3">
      <c r="J144669"/>
    </row>
    <row r="144670" spans="10:10" x14ac:dyDescent="0.3">
      <c r="J144670"/>
    </row>
    <row r="144671" spans="10:10" x14ac:dyDescent="0.3">
      <c r="J144671"/>
    </row>
    <row r="144672" spans="10:10" x14ac:dyDescent="0.3">
      <c r="J144672"/>
    </row>
    <row r="144673" spans="10:10" x14ac:dyDescent="0.3">
      <c r="J144673"/>
    </row>
    <row r="144674" spans="10:10" x14ac:dyDescent="0.3">
      <c r="J144674"/>
    </row>
    <row r="144675" spans="10:10" x14ac:dyDescent="0.3">
      <c r="J144675"/>
    </row>
    <row r="144676" spans="10:10" x14ac:dyDescent="0.3">
      <c r="J144676"/>
    </row>
    <row r="144677" spans="10:10" x14ac:dyDescent="0.3">
      <c r="J144677"/>
    </row>
    <row r="144678" spans="10:10" x14ac:dyDescent="0.3">
      <c r="J144678"/>
    </row>
    <row r="144679" spans="10:10" x14ac:dyDescent="0.3">
      <c r="J144679"/>
    </row>
    <row r="144680" spans="10:10" x14ac:dyDescent="0.3">
      <c r="J144680"/>
    </row>
    <row r="144681" spans="10:10" x14ac:dyDescent="0.3">
      <c r="J144681"/>
    </row>
    <row r="144682" spans="10:10" x14ac:dyDescent="0.3">
      <c r="J144682"/>
    </row>
    <row r="144683" spans="10:10" x14ac:dyDescent="0.3">
      <c r="J144683"/>
    </row>
    <row r="144684" spans="10:10" x14ac:dyDescent="0.3">
      <c r="J144684"/>
    </row>
    <row r="144685" spans="10:10" x14ac:dyDescent="0.3">
      <c r="J144685"/>
    </row>
    <row r="144686" spans="10:10" x14ac:dyDescent="0.3">
      <c r="J144686"/>
    </row>
    <row r="144687" spans="10:10" x14ac:dyDescent="0.3">
      <c r="J144687"/>
    </row>
    <row r="144688" spans="10:10" x14ac:dyDescent="0.3">
      <c r="J144688"/>
    </row>
    <row r="144689" spans="10:10" x14ac:dyDescent="0.3">
      <c r="J144689"/>
    </row>
    <row r="144690" spans="10:10" x14ac:dyDescent="0.3">
      <c r="J144690"/>
    </row>
    <row r="144691" spans="10:10" x14ac:dyDescent="0.3">
      <c r="J144691"/>
    </row>
    <row r="144692" spans="10:10" x14ac:dyDescent="0.3">
      <c r="J144692"/>
    </row>
    <row r="144693" spans="10:10" x14ac:dyDescent="0.3">
      <c r="J144693"/>
    </row>
    <row r="144694" spans="10:10" x14ac:dyDescent="0.3">
      <c r="J144694"/>
    </row>
    <row r="144695" spans="10:10" x14ac:dyDescent="0.3">
      <c r="J144695"/>
    </row>
    <row r="144696" spans="10:10" x14ac:dyDescent="0.3">
      <c r="J144696"/>
    </row>
    <row r="144697" spans="10:10" x14ac:dyDescent="0.3">
      <c r="J144697"/>
    </row>
    <row r="144698" spans="10:10" x14ac:dyDescent="0.3">
      <c r="J144698"/>
    </row>
    <row r="144699" spans="10:10" x14ac:dyDescent="0.3">
      <c r="J144699"/>
    </row>
    <row r="144700" spans="10:10" x14ac:dyDescent="0.3">
      <c r="J144700"/>
    </row>
    <row r="144701" spans="10:10" x14ac:dyDescent="0.3">
      <c r="J144701"/>
    </row>
    <row r="144702" spans="10:10" x14ac:dyDescent="0.3">
      <c r="J144702"/>
    </row>
    <row r="144703" spans="10:10" x14ac:dyDescent="0.3">
      <c r="J144703"/>
    </row>
    <row r="144704" spans="10:10" x14ac:dyDescent="0.3">
      <c r="J144704"/>
    </row>
    <row r="144705" spans="10:10" x14ac:dyDescent="0.3">
      <c r="J144705"/>
    </row>
    <row r="144706" spans="10:10" x14ac:dyDescent="0.3">
      <c r="J144706"/>
    </row>
    <row r="144707" spans="10:10" x14ac:dyDescent="0.3">
      <c r="J144707"/>
    </row>
    <row r="144708" spans="10:10" x14ac:dyDescent="0.3">
      <c r="J144708"/>
    </row>
    <row r="144709" spans="10:10" x14ac:dyDescent="0.3">
      <c r="J144709"/>
    </row>
    <row r="144710" spans="10:10" x14ac:dyDescent="0.3">
      <c r="J144710"/>
    </row>
    <row r="144711" spans="10:10" x14ac:dyDescent="0.3">
      <c r="J144711"/>
    </row>
    <row r="144712" spans="10:10" x14ac:dyDescent="0.3">
      <c r="J144712"/>
    </row>
    <row r="144713" spans="10:10" x14ac:dyDescent="0.3">
      <c r="J144713"/>
    </row>
    <row r="144714" spans="10:10" x14ac:dyDescent="0.3">
      <c r="J144714"/>
    </row>
    <row r="144715" spans="10:10" x14ac:dyDescent="0.3">
      <c r="J144715"/>
    </row>
    <row r="144716" spans="10:10" x14ac:dyDescent="0.3">
      <c r="J144716"/>
    </row>
    <row r="144717" spans="10:10" x14ac:dyDescent="0.3">
      <c r="J144717"/>
    </row>
    <row r="144718" spans="10:10" x14ac:dyDescent="0.3">
      <c r="J144718"/>
    </row>
    <row r="144719" spans="10:10" x14ac:dyDescent="0.3">
      <c r="J144719"/>
    </row>
    <row r="144720" spans="10:10" x14ac:dyDescent="0.3">
      <c r="J144720"/>
    </row>
    <row r="144721" spans="10:10" x14ac:dyDescent="0.3">
      <c r="J144721"/>
    </row>
    <row r="144722" spans="10:10" x14ac:dyDescent="0.3">
      <c r="J144722"/>
    </row>
    <row r="144723" spans="10:10" x14ac:dyDescent="0.3">
      <c r="J144723"/>
    </row>
    <row r="144724" spans="10:10" x14ac:dyDescent="0.3">
      <c r="J144724"/>
    </row>
    <row r="144725" spans="10:10" x14ac:dyDescent="0.3">
      <c r="J144725"/>
    </row>
    <row r="144726" spans="10:10" x14ac:dyDescent="0.3">
      <c r="J144726"/>
    </row>
    <row r="144727" spans="10:10" x14ac:dyDescent="0.3">
      <c r="J144727"/>
    </row>
    <row r="144728" spans="10:10" x14ac:dyDescent="0.3">
      <c r="J144728"/>
    </row>
    <row r="144729" spans="10:10" x14ac:dyDescent="0.3">
      <c r="J144729"/>
    </row>
    <row r="144730" spans="10:10" x14ac:dyDescent="0.3">
      <c r="J144730"/>
    </row>
    <row r="144731" spans="10:10" x14ac:dyDescent="0.3">
      <c r="J144731"/>
    </row>
    <row r="144732" spans="10:10" x14ac:dyDescent="0.3">
      <c r="J144732"/>
    </row>
    <row r="144733" spans="10:10" x14ac:dyDescent="0.3">
      <c r="J144733"/>
    </row>
    <row r="144734" spans="10:10" x14ac:dyDescent="0.3">
      <c r="J144734"/>
    </row>
    <row r="144735" spans="10:10" x14ac:dyDescent="0.3">
      <c r="J144735"/>
    </row>
    <row r="144736" spans="10:10" x14ac:dyDescent="0.3">
      <c r="J144736"/>
    </row>
    <row r="144737" spans="10:10" x14ac:dyDescent="0.3">
      <c r="J144737"/>
    </row>
    <row r="144738" spans="10:10" x14ac:dyDescent="0.3">
      <c r="J144738"/>
    </row>
    <row r="144739" spans="10:10" x14ac:dyDescent="0.3">
      <c r="J144739"/>
    </row>
    <row r="144740" spans="10:10" x14ac:dyDescent="0.3">
      <c r="J144740"/>
    </row>
    <row r="144741" spans="10:10" x14ac:dyDescent="0.3">
      <c r="J144741"/>
    </row>
    <row r="144742" spans="10:10" x14ac:dyDescent="0.3">
      <c r="J144742"/>
    </row>
    <row r="144743" spans="10:10" x14ac:dyDescent="0.3">
      <c r="J144743"/>
    </row>
    <row r="144744" spans="10:10" x14ac:dyDescent="0.3">
      <c r="J144744"/>
    </row>
    <row r="144745" spans="10:10" x14ac:dyDescent="0.3">
      <c r="J144745"/>
    </row>
    <row r="144746" spans="10:10" x14ac:dyDescent="0.3">
      <c r="J144746"/>
    </row>
    <row r="144747" spans="10:10" x14ac:dyDescent="0.3">
      <c r="J144747"/>
    </row>
    <row r="144748" spans="10:10" x14ac:dyDescent="0.3">
      <c r="J144748"/>
    </row>
    <row r="144749" spans="10:10" x14ac:dyDescent="0.3">
      <c r="J144749"/>
    </row>
    <row r="144750" spans="10:10" x14ac:dyDescent="0.3">
      <c r="J144750"/>
    </row>
    <row r="144751" spans="10:10" x14ac:dyDescent="0.3">
      <c r="J144751"/>
    </row>
    <row r="144752" spans="10:10" x14ac:dyDescent="0.3">
      <c r="J144752"/>
    </row>
    <row r="144753" spans="10:10" x14ac:dyDescent="0.3">
      <c r="J144753"/>
    </row>
    <row r="144754" spans="10:10" x14ac:dyDescent="0.3">
      <c r="J144754"/>
    </row>
    <row r="144755" spans="10:10" x14ac:dyDescent="0.3">
      <c r="J144755"/>
    </row>
    <row r="144756" spans="10:10" x14ac:dyDescent="0.3">
      <c r="J144756"/>
    </row>
    <row r="144757" spans="10:10" x14ac:dyDescent="0.3">
      <c r="J144757"/>
    </row>
    <row r="144758" spans="10:10" x14ac:dyDescent="0.3">
      <c r="J144758"/>
    </row>
    <row r="144759" spans="10:10" x14ac:dyDescent="0.3">
      <c r="J144759"/>
    </row>
    <row r="144760" spans="10:10" x14ac:dyDescent="0.3">
      <c r="J144760"/>
    </row>
    <row r="144761" spans="10:10" x14ac:dyDescent="0.3">
      <c r="J144761"/>
    </row>
    <row r="144762" spans="10:10" x14ac:dyDescent="0.3">
      <c r="J144762"/>
    </row>
    <row r="144763" spans="10:10" x14ac:dyDescent="0.3">
      <c r="J144763"/>
    </row>
    <row r="144764" spans="10:10" x14ac:dyDescent="0.3">
      <c r="J144764"/>
    </row>
    <row r="144765" spans="10:10" x14ac:dyDescent="0.3">
      <c r="J144765"/>
    </row>
    <row r="144766" spans="10:10" x14ac:dyDescent="0.3">
      <c r="J144766"/>
    </row>
    <row r="144767" spans="10:10" x14ac:dyDescent="0.3">
      <c r="J144767"/>
    </row>
    <row r="144768" spans="10:10" x14ac:dyDescent="0.3">
      <c r="J144768"/>
    </row>
    <row r="144769" spans="10:10" x14ac:dyDescent="0.3">
      <c r="J144769"/>
    </row>
    <row r="144770" spans="10:10" x14ac:dyDescent="0.3">
      <c r="J144770"/>
    </row>
    <row r="144771" spans="10:10" x14ac:dyDescent="0.3">
      <c r="J144771"/>
    </row>
    <row r="144772" spans="10:10" x14ac:dyDescent="0.3">
      <c r="J144772"/>
    </row>
    <row r="144773" spans="10:10" x14ac:dyDescent="0.3">
      <c r="J144773"/>
    </row>
    <row r="144774" spans="10:10" x14ac:dyDescent="0.3">
      <c r="J144774"/>
    </row>
    <row r="144775" spans="10:10" x14ac:dyDescent="0.3">
      <c r="J144775"/>
    </row>
    <row r="144776" spans="10:10" x14ac:dyDescent="0.3">
      <c r="J144776"/>
    </row>
    <row r="144777" spans="10:10" x14ac:dyDescent="0.3">
      <c r="J144777"/>
    </row>
    <row r="144778" spans="10:10" x14ac:dyDescent="0.3">
      <c r="J144778"/>
    </row>
    <row r="144779" spans="10:10" x14ac:dyDescent="0.3">
      <c r="J144779"/>
    </row>
    <row r="144780" spans="10:10" x14ac:dyDescent="0.3">
      <c r="J144780"/>
    </row>
    <row r="144781" spans="10:10" x14ac:dyDescent="0.3">
      <c r="J144781"/>
    </row>
    <row r="144782" spans="10:10" x14ac:dyDescent="0.3">
      <c r="J144782"/>
    </row>
    <row r="144783" spans="10:10" x14ac:dyDescent="0.3">
      <c r="J144783"/>
    </row>
    <row r="144784" spans="10:10" x14ac:dyDescent="0.3">
      <c r="J144784"/>
    </row>
    <row r="144785" spans="10:10" x14ac:dyDescent="0.3">
      <c r="J144785"/>
    </row>
    <row r="144786" spans="10:10" x14ac:dyDescent="0.3">
      <c r="J144786"/>
    </row>
    <row r="144787" spans="10:10" x14ac:dyDescent="0.3">
      <c r="J144787"/>
    </row>
    <row r="144788" spans="10:10" x14ac:dyDescent="0.3">
      <c r="J144788"/>
    </row>
    <row r="144789" spans="10:10" x14ac:dyDescent="0.3">
      <c r="J144789"/>
    </row>
    <row r="144790" spans="10:10" x14ac:dyDescent="0.3">
      <c r="J144790"/>
    </row>
    <row r="144791" spans="10:10" x14ac:dyDescent="0.3">
      <c r="J144791"/>
    </row>
    <row r="144792" spans="10:10" x14ac:dyDescent="0.3">
      <c r="J144792"/>
    </row>
    <row r="144793" spans="10:10" x14ac:dyDescent="0.3">
      <c r="J144793"/>
    </row>
    <row r="144794" spans="10:10" x14ac:dyDescent="0.3">
      <c r="J144794"/>
    </row>
    <row r="144795" spans="10:10" x14ac:dyDescent="0.3">
      <c r="J144795"/>
    </row>
    <row r="144796" spans="10:10" x14ac:dyDescent="0.3">
      <c r="J144796"/>
    </row>
    <row r="144797" spans="10:10" x14ac:dyDescent="0.3">
      <c r="J144797"/>
    </row>
    <row r="144798" spans="10:10" x14ac:dyDescent="0.3">
      <c r="J144798"/>
    </row>
    <row r="144799" spans="10:10" x14ac:dyDescent="0.3">
      <c r="J144799"/>
    </row>
    <row r="144800" spans="10:10" x14ac:dyDescent="0.3">
      <c r="J144800"/>
    </row>
    <row r="144801" spans="10:10" x14ac:dyDescent="0.3">
      <c r="J144801"/>
    </row>
    <row r="144802" spans="10:10" x14ac:dyDescent="0.3">
      <c r="J144802"/>
    </row>
    <row r="144803" spans="10:10" x14ac:dyDescent="0.3">
      <c r="J144803"/>
    </row>
    <row r="144804" spans="10:10" x14ac:dyDescent="0.3">
      <c r="J144804"/>
    </row>
    <row r="144805" spans="10:10" x14ac:dyDescent="0.3">
      <c r="J144805"/>
    </row>
    <row r="144806" spans="10:10" x14ac:dyDescent="0.3">
      <c r="J144806"/>
    </row>
    <row r="144807" spans="10:10" x14ac:dyDescent="0.3">
      <c r="J144807"/>
    </row>
    <row r="144808" spans="10:10" x14ac:dyDescent="0.3">
      <c r="J144808"/>
    </row>
    <row r="144809" spans="10:10" x14ac:dyDescent="0.3">
      <c r="J144809"/>
    </row>
    <row r="144810" spans="10:10" x14ac:dyDescent="0.3">
      <c r="J144810"/>
    </row>
    <row r="144811" spans="10:10" x14ac:dyDescent="0.3">
      <c r="J144811"/>
    </row>
    <row r="144812" spans="10:10" x14ac:dyDescent="0.3">
      <c r="J144812"/>
    </row>
    <row r="144813" spans="10:10" x14ac:dyDescent="0.3">
      <c r="J144813"/>
    </row>
    <row r="144814" spans="10:10" x14ac:dyDescent="0.3">
      <c r="J144814"/>
    </row>
    <row r="144815" spans="10:10" x14ac:dyDescent="0.3">
      <c r="J144815"/>
    </row>
    <row r="144816" spans="10:10" x14ac:dyDescent="0.3">
      <c r="J144816"/>
    </row>
    <row r="144817" spans="10:10" x14ac:dyDescent="0.3">
      <c r="J144817"/>
    </row>
    <row r="144818" spans="10:10" x14ac:dyDescent="0.3">
      <c r="J144818"/>
    </row>
    <row r="144819" spans="10:10" x14ac:dyDescent="0.3">
      <c r="J144819"/>
    </row>
    <row r="144820" spans="10:10" x14ac:dyDescent="0.3">
      <c r="J144820"/>
    </row>
    <row r="144821" spans="10:10" x14ac:dyDescent="0.3">
      <c r="J144821"/>
    </row>
    <row r="144822" spans="10:10" x14ac:dyDescent="0.3">
      <c r="J144822"/>
    </row>
    <row r="144823" spans="10:10" x14ac:dyDescent="0.3">
      <c r="J144823"/>
    </row>
    <row r="144824" spans="10:10" x14ac:dyDescent="0.3">
      <c r="J144824"/>
    </row>
    <row r="144825" spans="10:10" x14ac:dyDescent="0.3">
      <c r="J144825"/>
    </row>
    <row r="144826" spans="10:10" x14ac:dyDescent="0.3">
      <c r="J144826"/>
    </row>
    <row r="144827" spans="10:10" x14ac:dyDescent="0.3">
      <c r="J144827"/>
    </row>
    <row r="144828" spans="10:10" x14ac:dyDescent="0.3">
      <c r="J144828"/>
    </row>
    <row r="144829" spans="10:10" x14ac:dyDescent="0.3">
      <c r="J144829"/>
    </row>
    <row r="144830" spans="10:10" x14ac:dyDescent="0.3">
      <c r="J144830"/>
    </row>
    <row r="144831" spans="10:10" x14ac:dyDescent="0.3">
      <c r="J144831"/>
    </row>
    <row r="144832" spans="10:10" x14ac:dyDescent="0.3">
      <c r="J144832"/>
    </row>
    <row r="144833" spans="10:10" x14ac:dyDescent="0.3">
      <c r="J144833"/>
    </row>
    <row r="144834" spans="10:10" x14ac:dyDescent="0.3">
      <c r="J144834"/>
    </row>
    <row r="144835" spans="10:10" x14ac:dyDescent="0.3">
      <c r="J144835"/>
    </row>
    <row r="144836" spans="10:10" x14ac:dyDescent="0.3">
      <c r="J144836"/>
    </row>
    <row r="144837" spans="10:10" x14ac:dyDescent="0.3">
      <c r="J144837"/>
    </row>
    <row r="144838" spans="10:10" x14ac:dyDescent="0.3">
      <c r="J144838"/>
    </row>
    <row r="144839" spans="10:10" x14ac:dyDescent="0.3">
      <c r="J144839"/>
    </row>
    <row r="144840" spans="10:10" x14ac:dyDescent="0.3">
      <c r="J144840"/>
    </row>
    <row r="144841" spans="10:10" x14ac:dyDescent="0.3">
      <c r="J144841"/>
    </row>
    <row r="144842" spans="10:10" x14ac:dyDescent="0.3">
      <c r="J144842"/>
    </row>
    <row r="144843" spans="10:10" x14ac:dyDescent="0.3">
      <c r="J144843"/>
    </row>
    <row r="144844" spans="10:10" x14ac:dyDescent="0.3">
      <c r="J144844"/>
    </row>
    <row r="144845" spans="10:10" x14ac:dyDescent="0.3">
      <c r="J144845"/>
    </row>
    <row r="144846" spans="10:10" x14ac:dyDescent="0.3">
      <c r="J144846"/>
    </row>
    <row r="144847" spans="10:10" x14ac:dyDescent="0.3">
      <c r="J144847"/>
    </row>
    <row r="144848" spans="10:10" x14ac:dyDescent="0.3">
      <c r="J144848"/>
    </row>
    <row r="144849" spans="10:10" x14ac:dyDescent="0.3">
      <c r="J144849"/>
    </row>
    <row r="144850" spans="10:10" x14ac:dyDescent="0.3">
      <c r="J144850"/>
    </row>
    <row r="144851" spans="10:10" x14ac:dyDescent="0.3">
      <c r="J144851"/>
    </row>
    <row r="144852" spans="10:10" x14ac:dyDescent="0.3">
      <c r="J144852"/>
    </row>
    <row r="144853" spans="10:10" x14ac:dyDescent="0.3">
      <c r="J144853"/>
    </row>
    <row r="144854" spans="10:10" x14ac:dyDescent="0.3">
      <c r="J144854"/>
    </row>
    <row r="144855" spans="10:10" x14ac:dyDescent="0.3">
      <c r="J144855"/>
    </row>
    <row r="144856" spans="10:10" x14ac:dyDescent="0.3">
      <c r="J144856"/>
    </row>
    <row r="144857" spans="10:10" x14ac:dyDescent="0.3">
      <c r="J144857"/>
    </row>
    <row r="144858" spans="10:10" x14ac:dyDescent="0.3">
      <c r="J144858"/>
    </row>
    <row r="144859" spans="10:10" x14ac:dyDescent="0.3">
      <c r="J144859"/>
    </row>
    <row r="144860" spans="10:10" x14ac:dyDescent="0.3">
      <c r="J144860"/>
    </row>
    <row r="144861" spans="10:10" x14ac:dyDescent="0.3">
      <c r="J144861"/>
    </row>
    <row r="144862" spans="10:10" x14ac:dyDescent="0.3">
      <c r="J144862"/>
    </row>
    <row r="144863" spans="10:10" x14ac:dyDescent="0.3">
      <c r="J144863"/>
    </row>
    <row r="144864" spans="10:10" x14ac:dyDescent="0.3">
      <c r="J144864"/>
    </row>
    <row r="144865" spans="10:10" x14ac:dyDescent="0.3">
      <c r="J144865"/>
    </row>
    <row r="144866" spans="10:10" x14ac:dyDescent="0.3">
      <c r="J144866"/>
    </row>
    <row r="144867" spans="10:10" x14ac:dyDescent="0.3">
      <c r="J144867"/>
    </row>
    <row r="144868" spans="10:10" x14ac:dyDescent="0.3">
      <c r="J144868"/>
    </row>
    <row r="144869" spans="10:10" x14ac:dyDescent="0.3">
      <c r="J144869"/>
    </row>
    <row r="144870" spans="10:10" x14ac:dyDescent="0.3">
      <c r="J144870"/>
    </row>
    <row r="144871" spans="10:10" x14ac:dyDescent="0.3">
      <c r="J144871"/>
    </row>
    <row r="144872" spans="10:10" x14ac:dyDescent="0.3">
      <c r="J144872"/>
    </row>
    <row r="144873" spans="10:10" x14ac:dyDescent="0.3">
      <c r="J144873"/>
    </row>
    <row r="144874" spans="10:10" x14ac:dyDescent="0.3">
      <c r="J144874"/>
    </row>
    <row r="144875" spans="10:10" x14ac:dyDescent="0.3">
      <c r="J144875"/>
    </row>
    <row r="144876" spans="10:10" x14ac:dyDescent="0.3">
      <c r="J144876"/>
    </row>
    <row r="144877" spans="10:10" x14ac:dyDescent="0.3">
      <c r="J144877"/>
    </row>
    <row r="144878" spans="10:10" x14ac:dyDescent="0.3">
      <c r="J144878"/>
    </row>
    <row r="144879" spans="10:10" x14ac:dyDescent="0.3">
      <c r="J144879"/>
    </row>
    <row r="144880" spans="10:10" x14ac:dyDescent="0.3">
      <c r="J144880"/>
    </row>
    <row r="144881" spans="10:10" x14ac:dyDescent="0.3">
      <c r="J144881"/>
    </row>
    <row r="144882" spans="10:10" x14ac:dyDescent="0.3">
      <c r="J144882"/>
    </row>
    <row r="144883" spans="10:10" x14ac:dyDescent="0.3">
      <c r="J144883"/>
    </row>
    <row r="144884" spans="10:10" x14ac:dyDescent="0.3">
      <c r="J144884"/>
    </row>
    <row r="144885" spans="10:10" x14ac:dyDescent="0.3">
      <c r="J144885"/>
    </row>
    <row r="144886" spans="10:10" x14ac:dyDescent="0.3">
      <c r="J144886"/>
    </row>
    <row r="144887" spans="10:10" x14ac:dyDescent="0.3">
      <c r="J144887"/>
    </row>
    <row r="144888" spans="10:10" x14ac:dyDescent="0.3">
      <c r="J144888"/>
    </row>
    <row r="144889" spans="10:10" x14ac:dyDescent="0.3">
      <c r="J144889"/>
    </row>
    <row r="144890" spans="10:10" x14ac:dyDescent="0.3">
      <c r="J144890"/>
    </row>
    <row r="144891" spans="10:10" x14ac:dyDescent="0.3">
      <c r="J144891"/>
    </row>
    <row r="144892" spans="10:10" x14ac:dyDescent="0.3">
      <c r="J144892"/>
    </row>
    <row r="144893" spans="10:10" x14ac:dyDescent="0.3">
      <c r="J144893"/>
    </row>
    <row r="144894" spans="10:10" x14ac:dyDescent="0.3">
      <c r="J144894"/>
    </row>
    <row r="144895" spans="10:10" x14ac:dyDescent="0.3">
      <c r="J144895"/>
    </row>
    <row r="144896" spans="10:10" x14ac:dyDescent="0.3">
      <c r="J144896"/>
    </row>
    <row r="144897" spans="10:10" x14ac:dyDescent="0.3">
      <c r="J144897"/>
    </row>
    <row r="144898" spans="10:10" x14ac:dyDescent="0.3">
      <c r="J144898"/>
    </row>
    <row r="144899" spans="10:10" x14ac:dyDescent="0.3">
      <c r="J144899"/>
    </row>
    <row r="144900" spans="10:10" x14ac:dyDescent="0.3">
      <c r="J144900"/>
    </row>
    <row r="144901" spans="10:10" x14ac:dyDescent="0.3">
      <c r="J144901"/>
    </row>
    <row r="144902" spans="10:10" x14ac:dyDescent="0.3">
      <c r="J144902"/>
    </row>
    <row r="144903" spans="10:10" x14ac:dyDescent="0.3">
      <c r="J144903"/>
    </row>
    <row r="144904" spans="10:10" x14ac:dyDescent="0.3">
      <c r="J144904"/>
    </row>
    <row r="144905" spans="10:10" x14ac:dyDescent="0.3">
      <c r="J144905"/>
    </row>
    <row r="144906" spans="10:10" x14ac:dyDescent="0.3">
      <c r="J144906"/>
    </row>
    <row r="144907" spans="10:10" x14ac:dyDescent="0.3">
      <c r="J144907"/>
    </row>
    <row r="144908" spans="10:10" x14ac:dyDescent="0.3">
      <c r="J144908"/>
    </row>
    <row r="144909" spans="10:10" x14ac:dyDescent="0.3">
      <c r="J144909"/>
    </row>
    <row r="144910" spans="10:10" x14ac:dyDescent="0.3">
      <c r="J144910"/>
    </row>
    <row r="144911" spans="10:10" x14ac:dyDescent="0.3">
      <c r="J144911"/>
    </row>
    <row r="144912" spans="10:10" x14ac:dyDescent="0.3">
      <c r="J144912"/>
    </row>
    <row r="144913" spans="10:10" x14ac:dyDescent="0.3">
      <c r="J144913"/>
    </row>
    <row r="144914" spans="10:10" x14ac:dyDescent="0.3">
      <c r="J144914"/>
    </row>
    <row r="144915" spans="10:10" x14ac:dyDescent="0.3">
      <c r="J144915"/>
    </row>
    <row r="144916" spans="10:10" x14ac:dyDescent="0.3">
      <c r="J144916"/>
    </row>
    <row r="144917" spans="10:10" x14ac:dyDescent="0.3">
      <c r="J144917"/>
    </row>
    <row r="144918" spans="10:10" x14ac:dyDescent="0.3">
      <c r="J144918"/>
    </row>
    <row r="144919" spans="10:10" x14ac:dyDescent="0.3">
      <c r="J144919"/>
    </row>
    <row r="144920" spans="10:10" x14ac:dyDescent="0.3">
      <c r="J144920"/>
    </row>
    <row r="144921" spans="10:10" x14ac:dyDescent="0.3">
      <c r="J144921"/>
    </row>
    <row r="144922" spans="10:10" x14ac:dyDescent="0.3">
      <c r="J144922"/>
    </row>
    <row r="144923" spans="10:10" x14ac:dyDescent="0.3">
      <c r="J144923"/>
    </row>
    <row r="144924" spans="10:10" x14ac:dyDescent="0.3">
      <c r="J144924"/>
    </row>
    <row r="144925" spans="10:10" x14ac:dyDescent="0.3">
      <c r="J144925"/>
    </row>
    <row r="144926" spans="10:10" x14ac:dyDescent="0.3">
      <c r="J144926"/>
    </row>
    <row r="144927" spans="10:10" x14ac:dyDescent="0.3">
      <c r="J144927"/>
    </row>
    <row r="144928" spans="10:10" x14ac:dyDescent="0.3">
      <c r="J144928"/>
    </row>
    <row r="144929" spans="10:10" x14ac:dyDescent="0.3">
      <c r="J144929"/>
    </row>
    <row r="144930" spans="10:10" x14ac:dyDescent="0.3">
      <c r="J144930"/>
    </row>
    <row r="144931" spans="10:10" x14ac:dyDescent="0.3">
      <c r="J144931"/>
    </row>
    <row r="144932" spans="10:10" x14ac:dyDescent="0.3">
      <c r="J144932"/>
    </row>
    <row r="144933" spans="10:10" x14ac:dyDescent="0.3">
      <c r="J144933"/>
    </row>
    <row r="144934" spans="10:10" x14ac:dyDescent="0.3">
      <c r="J144934"/>
    </row>
    <row r="144935" spans="10:10" x14ac:dyDescent="0.3">
      <c r="J144935"/>
    </row>
    <row r="144936" spans="10:10" x14ac:dyDescent="0.3">
      <c r="J144936"/>
    </row>
    <row r="144937" spans="10:10" x14ac:dyDescent="0.3">
      <c r="J144937"/>
    </row>
    <row r="144938" spans="10:10" x14ac:dyDescent="0.3">
      <c r="J144938"/>
    </row>
    <row r="144939" spans="10:10" x14ac:dyDescent="0.3">
      <c r="J144939"/>
    </row>
    <row r="144940" spans="10:10" x14ac:dyDescent="0.3">
      <c r="J144940"/>
    </row>
    <row r="144941" spans="10:10" x14ac:dyDescent="0.3">
      <c r="J144941"/>
    </row>
    <row r="144942" spans="10:10" x14ac:dyDescent="0.3">
      <c r="J144942"/>
    </row>
    <row r="144943" spans="10:10" x14ac:dyDescent="0.3">
      <c r="J144943"/>
    </row>
    <row r="144944" spans="10:10" x14ac:dyDescent="0.3">
      <c r="J144944"/>
    </row>
    <row r="144945" spans="10:10" x14ac:dyDescent="0.3">
      <c r="J144945"/>
    </row>
    <row r="144946" spans="10:10" x14ac:dyDescent="0.3">
      <c r="J144946"/>
    </row>
    <row r="144947" spans="10:10" x14ac:dyDescent="0.3">
      <c r="J144947"/>
    </row>
    <row r="144948" spans="10:10" x14ac:dyDescent="0.3">
      <c r="J144948"/>
    </row>
    <row r="144949" spans="10:10" x14ac:dyDescent="0.3">
      <c r="J144949"/>
    </row>
    <row r="144950" spans="10:10" x14ac:dyDescent="0.3">
      <c r="J144950"/>
    </row>
    <row r="144951" spans="10:10" x14ac:dyDescent="0.3">
      <c r="J144951"/>
    </row>
    <row r="144952" spans="10:10" x14ac:dyDescent="0.3">
      <c r="J144952"/>
    </row>
    <row r="144953" spans="10:10" x14ac:dyDescent="0.3">
      <c r="J144953"/>
    </row>
    <row r="144954" spans="10:10" x14ac:dyDescent="0.3">
      <c r="J144954"/>
    </row>
    <row r="144955" spans="10:10" x14ac:dyDescent="0.3">
      <c r="J144955"/>
    </row>
    <row r="144956" spans="10:10" x14ac:dyDescent="0.3">
      <c r="J144956"/>
    </row>
    <row r="144957" spans="10:10" x14ac:dyDescent="0.3">
      <c r="J144957"/>
    </row>
    <row r="144958" spans="10:10" x14ac:dyDescent="0.3">
      <c r="J144958"/>
    </row>
    <row r="144959" spans="10:10" x14ac:dyDescent="0.3">
      <c r="J144959"/>
    </row>
    <row r="144960" spans="10:10" x14ac:dyDescent="0.3">
      <c r="J144960"/>
    </row>
    <row r="144961" spans="10:10" x14ac:dyDescent="0.3">
      <c r="J144961"/>
    </row>
    <row r="144962" spans="10:10" x14ac:dyDescent="0.3">
      <c r="J144962"/>
    </row>
    <row r="144963" spans="10:10" x14ac:dyDescent="0.3">
      <c r="J144963"/>
    </row>
    <row r="144964" spans="10:10" x14ac:dyDescent="0.3">
      <c r="J144964"/>
    </row>
    <row r="144965" spans="10:10" x14ac:dyDescent="0.3">
      <c r="J144965"/>
    </row>
    <row r="144966" spans="10:10" x14ac:dyDescent="0.3">
      <c r="J144966"/>
    </row>
    <row r="144967" spans="10:10" x14ac:dyDescent="0.3">
      <c r="J144967"/>
    </row>
    <row r="144968" spans="10:10" x14ac:dyDescent="0.3">
      <c r="J144968"/>
    </row>
    <row r="144969" spans="10:10" x14ac:dyDescent="0.3">
      <c r="J144969"/>
    </row>
    <row r="144970" spans="10:10" x14ac:dyDescent="0.3">
      <c r="J144970"/>
    </row>
    <row r="144971" spans="10:10" x14ac:dyDescent="0.3">
      <c r="J144971"/>
    </row>
    <row r="144972" spans="10:10" x14ac:dyDescent="0.3">
      <c r="J144972"/>
    </row>
    <row r="144973" spans="10:10" x14ac:dyDescent="0.3">
      <c r="J144973"/>
    </row>
    <row r="144974" spans="10:10" x14ac:dyDescent="0.3">
      <c r="J144974"/>
    </row>
    <row r="144975" spans="10:10" x14ac:dyDescent="0.3">
      <c r="J144975"/>
    </row>
    <row r="144976" spans="10:10" x14ac:dyDescent="0.3">
      <c r="J144976"/>
    </row>
    <row r="144977" spans="10:10" x14ac:dyDescent="0.3">
      <c r="J144977"/>
    </row>
    <row r="144978" spans="10:10" x14ac:dyDescent="0.3">
      <c r="J144978"/>
    </row>
    <row r="144979" spans="10:10" x14ac:dyDescent="0.3">
      <c r="J144979"/>
    </row>
    <row r="144980" spans="10:10" x14ac:dyDescent="0.3">
      <c r="J144980"/>
    </row>
    <row r="144981" spans="10:10" x14ac:dyDescent="0.3">
      <c r="J144981"/>
    </row>
    <row r="144982" spans="10:10" x14ac:dyDescent="0.3">
      <c r="J144982"/>
    </row>
    <row r="144983" spans="10:10" x14ac:dyDescent="0.3">
      <c r="J144983"/>
    </row>
    <row r="144984" spans="10:10" x14ac:dyDescent="0.3">
      <c r="J144984"/>
    </row>
    <row r="144985" spans="10:10" x14ac:dyDescent="0.3">
      <c r="J144985"/>
    </row>
    <row r="144986" spans="10:10" x14ac:dyDescent="0.3">
      <c r="J144986"/>
    </row>
    <row r="144987" spans="10:10" x14ac:dyDescent="0.3">
      <c r="J144987"/>
    </row>
    <row r="144988" spans="10:10" x14ac:dyDescent="0.3">
      <c r="J144988"/>
    </row>
    <row r="144989" spans="10:10" x14ac:dyDescent="0.3">
      <c r="J144989"/>
    </row>
    <row r="144990" spans="10:10" x14ac:dyDescent="0.3">
      <c r="J144990"/>
    </row>
    <row r="144991" spans="10:10" x14ac:dyDescent="0.3">
      <c r="J144991"/>
    </row>
    <row r="144992" spans="10:10" x14ac:dyDescent="0.3">
      <c r="J144992"/>
    </row>
    <row r="144993" spans="10:10" x14ac:dyDescent="0.3">
      <c r="J144993"/>
    </row>
    <row r="144994" spans="10:10" x14ac:dyDescent="0.3">
      <c r="J144994"/>
    </row>
    <row r="144995" spans="10:10" x14ac:dyDescent="0.3">
      <c r="J144995"/>
    </row>
    <row r="144996" spans="10:10" x14ac:dyDescent="0.3">
      <c r="J144996"/>
    </row>
    <row r="144997" spans="10:10" x14ac:dyDescent="0.3">
      <c r="J144997"/>
    </row>
    <row r="144998" spans="10:10" x14ac:dyDescent="0.3">
      <c r="J144998"/>
    </row>
    <row r="144999" spans="10:10" x14ac:dyDescent="0.3">
      <c r="J144999"/>
    </row>
    <row r="145000" spans="10:10" x14ac:dyDescent="0.3">
      <c r="J145000"/>
    </row>
    <row r="145001" spans="10:10" x14ac:dyDescent="0.3">
      <c r="J145001"/>
    </row>
    <row r="145002" spans="10:10" x14ac:dyDescent="0.3">
      <c r="J145002"/>
    </row>
    <row r="145003" spans="10:10" x14ac:dyDescent="0.3">
      <c r="J145003"/>
    </row>
    <row r="145004" spans="10:10" x14ac:dyDescent="0.3">
      <c r="J145004"/>
    </row>
    <row r="145005" spans="10:10" x14ac:dyDescent="0.3">
      <c r="J145005"/>
    </row>
    <row r="145006" spans="10:10" x14ac:dyDescent="0.3">
      <c r="J145006"/>
    </row>
    <row r="145007" spans="10:10" x14ac:dyDescent="0.3">
      <c r="J145007"/>
    </row>
    <row r="145008" spans="10:10" x14ac:dyDescent="0.3">
      <c r="J145008"/>
    </row>
    <row r="145009" spans="10:10" x14ac:dyDescent="0.3">
      <c r="J145009"/>
    </row>
    <row r="145010" spans="10:10" x14ac:dyDescent="0.3">
      <c r="J145010"/>
    </row>
    <row r="145011" spans="10:10" x14ac:dyDescent="0.3">
      <c r="J145011"/>
    </row>
    <row r="145012" spans="10:10" x14ac:dyDescent="0.3">
      <c r="J145012"/>
    </row>
    <row r="145013" spans="10:10" x14ac:dyDescent="0.3">
      <c r="J145013"/>
    </row>
    <row r="145014" spans="10:10" x14ac:dyDescent="0.3">
      <c r="J145014"/>
    </row>
    <row r="145015" spans="10:10" x14ac:dyDescent="0.3">
      <c r="J145015"/>
    </row>
    <row r="145016" spans="10:10" x14ac:dyDescent="0.3">
      <c r="J145016"/>
    </row>
    <row r="145017" spans="10:10" x14ac:dyDescent="0.3">
      <c r="J145017"/>
    </row>
    <row r="145018" spans="10:10" x14ac:dyDescent="0.3">
      <c r="J145018"/>
    </row>
    <row r="145019" spans="10:10" x14ac:dyDescent="0.3">
      <c r="J145019"/>
    </row>
    <row r="145020" spans="10:10" x14ac:dyDescent="0.3">
      <c r="J145020"/>
    </row>
    <row r="145021" spans="10:10" x14ac:dyDescent="0.3">
      <c r="J145021"/>
    </row>
    <row r="145022" spans="10:10" x14ac:dyDescent="0.3">
      <c r="J145022"/>
    </row>
    <row r="145023" spans="10:10" x14ac:dyDescent="0.3">
      <c r="J145023"/>
    </row>
    <row r="145024" spans="10:10" x14ac:dyDescent="0.3">
      <c r="J145024"/>
    </row>
    <row r="145025" spans="10:10" x14ac:dyDescent="0.3">
      <c r="J145025"/>
    </row>
    <row r="145026" spans="10:10" x14ac:dyDescent="0.3">
      <c r="J145026"/>
    </row>
    <row r="145027" spans="10:10" x14ac:dyDescent="0.3">
      <c r="J145027"/>
    </row>
    <row r="145028" spans="10:10" x14ac:dyDescent="0.3">
      <c r="J145028"/>
    </row>
    <row r="145029" spans="10:10" x14ac:dyDescent="0.3">
      <c r="J145029"/>
    </row>
    <row r="145030" spans="10:10" x14ac:dyDescent="0.3">
      <c r="J145030"/>
    </row>
    <row r="145031" spans="10:10" x14ac:dyDescent="0.3">
      <c r="J145031"/>
    </row>
    <row r="145032" spans="10:10" x14ac:dyDescent="0.3">
      <c r="J145032"/>
    </row>
    <row r="145033" spans="10:10" x14ac:dyDescent="0.3">
      <c r="J145033"/>
    </row>
    <row r="145034" spans="10:10" x14ac:dyDescent="0.3">
      <c r="J145034"/>
    </row>
    <row r="145035" spans="10:10" x14ac:dyDescent="0.3">
      <c r="J145035"/>
    </row>
    <row r="145036" spans="10:10" x14ac:dyDescent="0.3">
      <c r="J145036"/>
    </row>
    <row r="145037" spans="10:10" x14ac:dyDescent="0.3">
      <c r="J145037"/>
    </row>
    <row r="145038" spans="10:10" x14ac:dyDescent="0.3">
      <c r="J145038"/>
    </row>
    <row r="145039" spans="10:10" x14ac:dyDescent="0.3">
      <c r="J145039"/>
    </row>
    <row r="145040" spans="10:10" x14ac:dyDescent="0.3">
      <c r="J145040"/>
    </row>
    <row r="145041" spans="10:10" x14ac:dyDescent="0.3">
      <c r="J145041"/>
    </row>
    <row r="145042" spans="10:10" x14ac:dyDescent="0.3">
      <c r="J145042"/>
    </row>
    <row r="145043" spans="10:10" x14ac:dyDescent="0.3">
      <c r="J145043"/>
    </row>
    <row r="145044" spans="10:10" x14ac:dyDescent="0.3">
      <c r="J145044"/>
    </row>
    <row r="145045" spans="10:10" x14ac:dyDescent="0.3">
      <c r="J145045"/>
    </row>
    <row r="145046" spans="10:10" x14ac:dyDescent="0.3">
      <c r="J145046"/>
    </row>
    <row r="145047" spans="10:10" x14ac:dyDescent="0.3">
      <c r="J145047"/>
    </row>
    <row r="145048" spans="10:10" x14ac:dyDescent="0.3">
      <c r="J145048"/>
    </row>
    <row r="145049" spans="10:10" x14ac:dyDescent="0.3">
      <c r="J145049"/>
    </row>
    <row r="145050" spans="10:10" x14ac:dyDescent="0.3">
      <c r="J145050"/>
    </row>
    <row r="145051" spans="10:10" x14ac:dyDescent="0.3">
      <c r="J145051"/>
    </row>
    <row r="145052" spans="10:10" x14ac:dyDescent="0.3">
      <c r="J145052"/>
    </row>
    <row r="145053" spans="10:10" x14ac:dyDescent="0.3">
      <c r="J145053"/>
    </row>
    <row r="145054" spans="10:10" x14ac:dyDescent="0.3">
      <c r="J145054"/>
    </row>
    <row r="145055" spans="10:10" x14ac:dyDescent="0.3">
      <c r="J145055"/>
    </row>
    <row r="145056" spans="10:10" x14ac:dyDescent="0.3">
      <c r="J145056"/>
    </row>
    <row r="145057" spans="10:10" x14ac:dyDescent="0.3">
      <c r="J145057"/>
    </row>
    <row r="145058" spans="10:10" x14ac:dyDescent="0.3">
      <c r="J145058"/>
    </row>
    <row r="145059" spans="10:10" x14ac:dyDescent="0.3">
      <c r="J145059"/>
    </row>
    <row r="145060" spans="10:10" x14ac:dyDescent="0.3">
      <c r="J145060"/>
    </row>
    <row r="145061" spans="10:10" x14ac:dyDescent="0.3">
      <c r="J145061"/>
    </row>
    <row r="145062" spans="10:10" x14ac:dyDescent="0.3">
      <c r="J145062"/>
    </row>
    <row r="145063" spans="10:10" x14ac:dyDescent="0.3">
      <c r="J145063"/>
    </row>
    <row r="145064" spans="10:10" x14ac:dyDescent="0.3">
      <c r="J145064"/>
    </row>
    <row r="145065" spans="10:10" x14ac:dyDescent="0.3">
      <c r="J145065"/>
    </row>
    <row r="145066" spans="10:10" x14ac:dyDescent="0.3">
      <c r="J145066"/>
    </row>
    <row r="145067" spans="10:10" x14ac:dyDescent="0.3">
      <c r="J145067"/>
    </row>
    <row r="145068" spans="10:10" x14ac:dyDescent="0.3">
      <c r="J145068"/>
    </row>
    <row r="145069" spans="10:10" x14ac:dyDescent="0.3">
      <c r="J145069"/>
    </row>
    <row r="145070" spans="10:10" x14ac:dyDescent="0.3">
      <c r="J145070"/>
    </row>
    <row r="145071" spans="10:10" x14ac:dyDescent="0.3">
      <c r="J145071"/>
    </row>
    <row r="145072" spans="10:10" x14ac:dyDescent="0.3">
      <c r="J145072"/>
    </row>
    <row r="145073" spans="10:10" x14ac:dyDescent="0.3">
      <c r="J145073"/>
    </row>
    <row r="145074" spans="10:10" x14ac:dyDescent="0.3">
      <c r="J145074"/>
    </row>
    <row r="145075" spans="10:10" x14ac:dyDescent="0.3">
      <c r="J145075"/>
    </row>
    <row r="145076" spans="10:10" x14ac:dyDescent="0.3">
      <c r="J145076"/>
    </row>
    <row r="145077" spans="10:10" x14ac:dyDescent="0.3">
      <c r="J145077"/>
    </row>
    <row r="145078" spans="10:10" x14ac:dyDescent="0.3">
      <c r="J145078"/>
    </row>
    <row r="145079" spans="10:10" x14ac:dyDescent="0.3">
      <c r="J145079"/>
    </row>
    <row r="145080" spans="10:10" x14ac:dyDescent="0.3">
      <c r="J145080"/>
    </row>
    <row r="145081" spans="10:10" x14ac:dyDescent="0.3">
      <c r="J145081"/>
    </row>
    <row r="145082" spans="10:10" x14ac:dyDescent="0.3">
      <c r="J145082"/>
    </row>
    <row r="145083" spans="10:10" x14ac:dyDescent="0.3">
      <c r="J145083"/>
    </row>
    <row r="145084" spans="10:10" x14ac:dyDescent="0.3">
      <c r="J145084"/>
    </row>
    <row r="145085" spans="10:10" x14ac:dyDescent="0.3">
      <c r="J145085"/>
    </row>
    <row r="145086" spans="10:10" x14ac:dyDescent="0.3">
      <c r="J145086"/>
    </row>
    <row r="145087" spans="10:10" x14ac:dyDescent="0.3">
      <c r="J145087"/>
    </row>
    <row r="145088" spans="10:10" x14ac:dyDescent="0.3">
      <c r="J145088"/>
    </row>
    <row r="145089" spans="10:10" x14ac:dyDescent="0.3">
      <c r="J145089"/>
    </row>
    <row r="145090" spans="10:10" x14ac:dyDescent="0.3">
      <c r="J145090"/>
    </row>
    <row r="145091" spans="10:10" x14ac:dyDescent="0.3">
      <c r="J145091"/>
    </row>
    <row r="145092" spans="10:10" x14ac:dyDescent="0.3">
      <c r="J145092"/>
    </row>
    <row r="145093" spans="10:10" x14ac:dyDescent="0.3">
      <c r="J145093"/>
    </row>
    <row r="145094" spans="10:10" x14ac:dyDescent="0.3">
      <c r="J145094"/>
    </row>
    <row r="145095" spans="10:10" x14ac:dyDescent="0.3">
      <c r="J145095"/>
    </row>
    <row r="145096" spans="10:10" x14ac:dyDescent="0.3">
      <c r="J145096"/>
    </row>
    <row r="145097" spans="10:10" x14ac:dyDescent="0.3">
      <c r="J145097"/>
    </row>
    <row r="145098" spans="10:10" x14ac:dyDescent="0.3">
      <c r="J145098"/>
    </row>
    <row r="145099" spans="10:10" x14ac:dyDescent="0.3">
      <c r="J145099"/>
    </row>
    <row r="145100" spans="10:10" x14ac:dyDescent="0.3">
      <c r="J145100"/>
    </row>
    <row r="145101" spans="10:10" x14ac:dyDescent="0.3">
      <c r="J145101"/>
    </row>
    <row r="145102" spans="10:10" x14ac:dyDescent="0.3">
      <c r="J145102"/>
    </row>
    <row r="145103" spans="10:10" x14ac:dyDescent="0.3">
      <c r="J145103"/>
    </row>
    <row r="145104" spans="10:10" x14ac:dyDescent="0.3">
      <c r="J145104"/>
    </row>
    <row r="145105" spans="10:10" x14ac:dyDescent="0.3">
      <c r="J145105"/>
    </row>
    <row r="145106" spans="10:10" x14ac:dyDescent="0.3">
      <c r="J145106"/>
    </row>
    <row r="145107" spans="10:10" x14ac:dyDescent="0.3">
      <c r="J145107"/>
    </row>
    <row r="145108" spans="10:10" x14ac:dyDescent="0.3">
      <c r="J145108"/>
    </row>
    <row r="145109" spans="10:10" x14ac:dyDescent="0.3">
      <c r="J145109"/>
    </row>
    <row r="145110" spans="10:10" x14ac:dyDescent="0.3">
      <c r="J145110"/>
    </row>
    <row r="145111" spans="10:10" x14ac:dyDescent="0.3">
      <c r="J145111"/>
    </row>
    <row r="145112" spans="10:10" x14ac:dyDescent="0.3">
      <c r="J145112"/>
    </row>
    <row r="145113" spans="10:10" x14ac:dyDescent="0.3">
      <c r="J145113"/>
    </row>
    <row r="145114" spans="10:10" x14ac:dyDescent="0.3">
      <c r="J145114"/>
    </row>
    <row r="145115" spans="10:10" x14ac:dyDescent="0.3">
      <c r="J145115"/>
    </row>
    <row r="145116" spans="10:10" x14ac:dyDescent="0.3">
      <c r="J145116"/>
    </row>
    <row r="145117" spans="10:10" x14ac:dyDescent="0.3">
      <c r="J145117"/>
    </row>
    <row r="145118" spans="10:10" x14ac:dyDescent="0.3">
      <c r="J145118"/>
    </row>
    <row r="145119" spans="10:10" x14ac:dyDescent="0.3">
      <c r="J145119"/>
    </row>
    <row r="145120" spans="10:10" x14ac:dyDescent="0.3">
      <c r="J145120"/>
    </row>
    <row r="145121" spans="10:10" x14ac:dyDescent="0.3">
      <c r="J145121"/>
    </row>
    <row r="145122" spans="10:10" x14ac:dyDescent="0.3">
      <c r="J145122"/>
    </row>
    <row r="145123" spans="10:10" x14ac:dyDescent="0.3">
      <c r="J145123"/>
    </row>
    <row r="145124" spans="10:10" x14ac:dyDescent="0.3">
      <c r="J145124"/>
    </row>
    <row r="145125" spans="10:10" x14ac:dyDescent="0.3">
      <c r="J145125"/>
    </row>
    <row r="145126" spans="10:10" x14ac:dyDescent="0.3">
      <c r="J145126"/>
    </row>
    <row r="145127" spans="10:10" x14ac:dyDescent="0.3">
      <c r="J145127"/>
    </row>
    <row r="145128" spans="10:10" x14ac:dyDescent="0.3">
      <c r="J145128"/>
    </row>
    <row r="145129" spans="10:10" x14ac:dyDescent="0.3">
      <c r="J145129"/>
    </row>
    <row r="145130" spans="10:10" x14ac:dyDescent="0.3">
      <c r="J145130"/>
    </row>
    <row r="145131" spans="10:10" x14ac:dyDescent="0.3">
      <c r="J145131"/>
    </row>
    <row r="145132" spans="10:10" x14ac:dyDescent="0.3">
      <c r="J145132"/>
    </row>
    <row r="145133" spans="10:10" x14ac:dyDescent="0.3">
      <c r="J145133"/>
    </row>
    <row r="145134" spans="10:10" x14ac:dyDescent="0.3">
      <c r="J145134"/>
    </row>
    <row r="145135" spans="10:10" x14ac:dyDescent="0.3">
      <c r="J145135"/>
    </row>
    <row r="145136" spans="10:10" x14ac:dyDescent="0.3">
      <c r="J145136"/>
    </row>
    <row r="145137" spans="10:10" x14ac:dyDescent="0.3">
      <c r="J145137"/>
    </row>
    <row r="145138" spans="10:10" x14ac:dyDescent="0.3">
      <c r="J145138"/>
    </row>
    <row r="145139" spans="10:10" x14ac:dyDescent="0.3">
      <c r="J145139"/>
    </row>
    <row r="145140" spans="10:10" x14ac:dyDescent="0.3">
      <c r="J145140"/>
    </row>
    <row r="145141" spans="10:10" x14ac:dyDescent="0.3">
      <c r="J145141"/>
    </row>
    <row r="145142" spans="10:10" x14ac:dyDescent="0.3">
      <c r="J145142"/>
    </row>
    <row r="145143" spans="10:10" x14ac:dyDescent="0.3">
      <c r="J145143"/>
    </row>
    <row r="145144" spans="10:10" x14ac:dyDescent="0.3">
      <c r="J145144"/>
    </row>
    <row r="145145" spans="10:10" x14ac:dyDescent="0.3">
      <c r="J145145"/>
    </row>
    <row r="145146" spans="10:10" x14ac:dyDescent="0.3">
      <c r="J145146"/>
    </row>
    <row r="145147" spans="10:10" x14ac:dyDescent="0.3">
      <c r="J145147"/>
    </row>
    <row r="145148" spans="10:10" x14ac:dyDescent="0.3">
      <c r="J145148"/>
    </row>
    <row r="145149" spans="10:10" x14ac:dyDescent="0.3">
      <c r="J145149"/>
    </row>
    <row r="145150" spans="10:10" x14ac:dyDescent="0.3">
      <c r="J145150"/>
    </row>
    <row r="145151" spans="10:10" x14ac:dyDescent="0.3">
      <c r="J145151"/>
    </row>
    <row r="145152" spans="10:10" x14ac:dyDescent="0.3">
      <c r="J145152"/>
    </row>
    <row r="145153" spans="10:10" x14ac:dyDescent="0.3">
      <c r="J145153"/>
    </row>
    <row r="145154" spans="10:10" x14ac:dyDescent="0.3">
      <c r="J145154"/>
    </row>
    <row r="145155" spans="10:10" x14ac:dyDescent="0.3">
      <c r="J145155"/>
    </row>
    <row r="145156" spans="10:10" x14ac:dyDescent="0.3">
      <c r="J145156"/>
    </row>
    <row r="145157" spans="10:10" x14ac:dyDescent="0.3">
      <c r="J145157"/>
    </row>
    <row r="145158" spans="10:10" x14ac:dyDescent="0.3">
      <c r="J145158"/>
    </row>
    <row r="145159" spans="10:10" x14ac:dyDescent="0.3">
      <c r="J145159"/>
    </row>
    <row r="145160" spans="10:10" x14ac:dyDescent="0.3">
      <c r="J145160"/>
    </row>
    <row r="145161" spans="10:10" x14ac:dyDescent="0.3">
      <c r="J145161"/>
    </row>
    <row r="145162" spans="10:10" x14ac:dyDescent="0.3">
      <c r="J145162"/>
    </row>
    <row r="145163" spans="10:10" x14ac:dyDescent="0.3">
      <c r="J145163"/>
    </row>
    <row r="145164" spans="10:10" x14ac:dyDescent="0.3">
      <c r="J145164"/>
    </row>
    <row r="145165" spans="10:10" x14ac:dyDescent="0.3">
      <c r="J145165"/>
    </row>
    <row r="145166" spans="10:10" x14ac:dyDescent="0.3">
      <c r="J145166"/>
    </row>
    <row r="145167" spans="10:10" x14ac:dyDescent="0.3">
      <c r="J145167"/>
    </row>
    <row r="145168" spans="10:10" x14ac:dyDescent="0.3">
      <c r="J145168"/>
    </row>
    <row r="145169" spans="10:10" x14ac:dyDescent="0.3">
      <c r="J145169"/>
    </row>
    <row r="145170" spans="10:10" x14ac:dyDescent="0.3">
      <c r="J145170"/>
    </row>
    <row r="145171" spans="10:10" x14ac:dyDescent="0.3">
      <c r="J145171"/>
    </row>
    <row r="145172" spans="10:10" x14ac:dyDescent="0.3">
      <c r="J145172"/>
    </row>
    <row r="145173" spans="10:10" x14ac:dyDescent="0.3">
      <c r="J145173"/>
    </row>
    <row r="145174" spans="10:10" x14ac:dyDescent="0.3">
      <c r="J145174"/>
    </row>
    <row r="145175" spans="10:10" x14ac:dyDescent="0.3">
      <c r="J145175"/>
    </row>
    <row r="145176" spans="10:10" x14ac:dyDescent="0.3">
      <c r="J145176"/>
    </row>
    <row r="145177" spans="10:10" x14ac:dyDescent="0.3">
      <c r="J145177"/>
    </row>
    <row r="145178" spans="10:10" x14ac:dyDescent="0.3">
      <c r="J145178"/>
    </row>
    <row r="145179" spans="10:10" x14ac:dyDescent="0.3">
      <c r="J145179"/>
    </row>
    <row r="145180" spans="10:10" x14ac:dyDescent="0.3">
      <c r="J145180"/>
    </row>
    <row r="145181" spans="10:10" x14ac:dyDescent="0.3">
      <c r="J145181"/>
    </row>
    <row r="145182" spans="10:10" x14ac:dyDescent="0.3">
      <c r="J145182"/>
    </row>
    <row r="145183" spans="10:10" x14ac:dyDescent="0.3">
      <c r="J145183"/>
    </row>
    <row r="145184" spans="10:10" x14ac:dyDescent="0.3">
      <c r="J145184"/>
    </row>
    <row r="145185" spans="10:10" x14ac:dyDescent="0.3">
      <c r="J145185"/>
    </row>
    <row r="145186" spans="10:10" x14ac:dyDescent="0.3">
      <c r="J145186"/>
    </row>
    <row r="145187" spans="10:10" x14ac:dyDescent="0.3">
      <c r="J145187"/>
    </row>
    <row r="145188" spans="10:10" x14ac:dyDescent="0.3">
      <c r="J145188"/>
    </row>
    <row r="145189" spans="10:10" x14ac:dyDescent="0.3">
      <c r="J145189"/>
    </row>
    <row r="145190" spans="10:10" x14ac:dyDescent="0.3">
      <c r="J145190"/>
    </row>
    <row r="145191" spans="10:10" x14ac:dyDescent="0.3">
      <c r="J145191"/>
    </row>
    <row r="145192" spans="10:10" x14ac:dyDescent="0.3">
      <c r="J145192"/>
    </row>
    <row r="145193" spans="10:10" x14ac:dyDescent="0.3">
      <c r="J145193"/>
    </row>
    <row r="145194" spans="10:10" x14ac:dyDescent="0.3">
      <c r="J145194"/>
    </row>
    <row r="145195" spans="10:10" x14ac:dyDescent="0.3">
      <c r="J145195"/>
    </row>
    <row r="145196" spans="10:10" x14ac:dyDescent="0.3">
      <c r="J145196"/>
    </row>
    <row r="145197" spans="10:10" x14ac:dyDescent="0.3">
      <c r="J145197"/>
    </row>
    <row r="145198" spans="10:10" x14ac:dyDescent="0.3">
      <c r="J145198"/>
    </row>
    <row r="145199" spans="10:10" x14ac:dyDescent="0.3">
      <c r="J145199"/>
    </row>
    <row r="145200" spans="10:10" x14ac:dyDescent="0.3">
      <c r="J145200"/>
    </row>
    <row r="145201" spans="10:10" x14ac:dyDescent="0.3">
      <c r="J145201"/>
    </row>
    <row r="145202" spans="10:10" x14ac:dyDescent="0.3">
      <c r="J145202"/>
    </row>
    <row r="145203" spans="10:10" x14ac:dyDescent="0.3">
      <c r="J145203"/>
    </row>
    <row r="145204" spans="10:10" x14ac:dyDescent="0.3">
      <c r="J145204"/>
    </row>
    <row r="145205" spans="10:10" x14ac:dyDescent="0.3">
      <c r="J145205"/>
    </row>
    <row r="145206" spans="10:10" x14ac:dyDescent="0.3">
      <c r="J145206"/>
    </row>
    <row r="145207" spans="10:10" x14ac:dyDescent="0.3">
      <c r="J145207"/>
    </row>
    <row r="145208" spans="10:10" x14ac:dyDescent="0.3">
      <c r="J145208"/>
    </row>
    <row r="145209" spans="10:10" x14ac:dyDescent="0.3">
      <c r="J145209"/>
    </row>
    <row r="145210" spans="10:10" x14ac:dyDescent="0.3">
      <c r="J145210"/>
    </row>
    <row r="145211" spans="10:10" x14ac:dyDescent="0.3">
      <c r="J145211"/>
    </row>
    <row r="145212" spans="10:10" x14ac:dyDescent="0.3">
      <c r="J145212"/>
    </row>
    <row r="145213" spans="10:10" x14ac:dyDescent="0.3">
      <c r="J145213"/>
    </row>
    <row r="145214" spans="10:10" x14ac:dyDescent="0.3">
      <c r="J145214"/>
    </row>
    <row r="145215" spans="10:10" x14ac:dyDescent="0.3">
      <c r="J145215"/>
    </row>
    <row r="145216" spans="10:10" x14ac:dyDescent="0.3">
      <c r="J145216"/>
    </row>
    <row r="145217" spans="10:10" x14ac:dyDescent="0.3">
      <c r="J145217"/>
    </row>
    <row r="145218" spans="10:10" x14ac:dyDescent="0.3">
      <c r="J145218"/>
    </row>
    <row r="145219" spans="10:10" x14ac:dyDescent="0.3">
      <c r="J145219"/>
    </row>
    <row r="145220" spans="10:10" x14ac:dyDescent="0.3">
      <c r="J145220"/>
    </row>
    <row r="145221" spans="10:10" x14ac:dyDescent="0.3">
      <c r="J145221"/>
    </row>
    <row r="145222" spans="10:10" x14ac:dyDescent="0.3">
      <c r="J145222"/>
    </row>
    <row r="145223" spans="10:10" x14ac:dyDescent="0.3">
      <c r="J145223"/>
    </row>
    <row r="145224" spans="10:10" x14ac:dyDescent="0.3">
      <c r="J145224"/>
    </row>
    <row r="145225" spans="10:10" x14ac:dyDescent="0.3">
      <c r="J145225"/>
    </row>
    <row r="145226" spans="10:10" x14ac:dyDescent="0.3">
      <c r="J145226"/>
    </row>
    <row r="145227" spans="10:10" x14ac:dyDescent="0.3">
      <c r="J145227"/>
    </row>
    <row r="145228" spans="10:10" x14ac:dyDescent="0.3">
      <c r="J145228"/>
    </row>
    <row r="145229" spans="10:10" x14ac:dyDescent="0.3">
      <c r="J145229"/>
    </row>
    <row r="145230" spans="10:10" x14ac:dyDescent="0.3">
      <c r="J145230"/>
    </row>
    <row r="145231" spans="10:10" x14ac:dyDescent="0.3">
      <c r="J145231"/>
    </row>
    <row r="145232" spans="10:10" x14ac:dyDescent="0.3">
      <c r="J145232"/>
    </row>
    <row r="145233" spans="10:10" x14ac:dyDescent="0.3">
      <c r="J145233"/>
    </row>
    <row r="145234" spans="10:10" x14ac:dyDescent="0.3">
      <c r="J145234"/>
    </row>
    <row r="145235" spans="10:10" x14ac:dyDescent="0.3">
      <c r="J145235"/>
    </row>
    <row r="145236" spans="10:10" x14ac:dyDescent="0.3">
      <c r="J145236"/>
    </row>
    <row r="145237" spans="10:10" x14ac:dyDescent="0.3">
      <c r="J145237"/>
    </row>
    <row r="145238" spans="10:10" x14ac:dyDescent="0.3">
      <c r="J145238"/>
    </row>
    <row r="145239" spans="10:10" x14ac:dyDescent="0.3">
      <c r="J145239"/>
    </row>
    <row r="145240" spans="10:10" x14ac:dyDescent="0.3">
      <c r="J145240"/>
    </row>
    <row r="145241" spans="10:10" x14ac:dyDescent="0.3">
      <c r="J145241"/>
    </row>
    <row r="145242" spans="10:10" x14ac:dyDescent="0.3">
      <c r="J145242"/>
    </row>
    <row r="145243" spans="10:10" x14ac:dyDescent="0.3">
      <c r="J145243"/>
    </row>
    <row r="145244" spans="10:10" x14ac:dyDescent="0.3">
      <c r="J145244"/>
    </row>
    <row r="145245" spans="10:10" x14ac:dyDescent="0.3">
      <c r="J145245"/>
    </row>
    <row r="145246" spans="10:10" x14ac:dyDescent="0.3">
      <c r="J145246"/>
    </row>
    <row r="145247" spans="10:10" x14ac:dyDescent="0.3">
      <c r="J145247"/>
    </row>
    <row r="145248" spans="10:10" x14ac:dyDescent="0.3">
      <c r="J145248"/>
    </row>
    <row r="145249" spans="10:10" x14ac:dyDescent="0.3">
      <c r="J145249"/>
    </row>
    <row r="145250" spans="10:10" x14ac:dyDescent="0.3">
      <c r="J145250"/>
    </row>
    <row r="145251" spans="10:10" x14ac:dyDescent="0.3">
      <c r="J145251"/>
    </row>
    <row r="145252" spans="10:10" x14ac:dyDescent="0.3">
      <c r="J145252"/>
    </row>
    <row r="145253" spans="10:10" x14ac:dyDescent="0.3">
      <c r="J145253"/>
    </row>
    <row r="145254" spans="10:10" x14ac:dyDescent="0.3">
      <c r="J145254"/>
    </row>
    <row r="145255" spans="10:10" x14ac:dyDescent="0.3">
      <c r="J145255"/>
    </row>
    <row r="145256" spans="10:10" x14ac:dyDescent="0.3">
      <c r="J145256"/>
    </row>
    <row r="145257" spans="10:10" x14ac:dyDescent="0.3">
      <c r="J145257"/>
    </row>
    <row r="145258" spans="10:10" x14ac:dyDescent="0.3">
      <c r="J145258"/>
    </row>
    <row r="145259" spans="10:10" x14ac:dyDescent="0.3">
      <c r="J145259"/>
    </row>
    <row r="145260" spans="10:10" x14ac:dyDescent="0.3">
      <c r="J145260"/>
    </row>
    <row r="145261" spans="10:10" x14ac:dyDescent="0.3">
      <c r="J145261"/>
    </row>
    <row r="145262" spans="10:10" x14ac:dyDescent="0.3">
      <c r="J145262"/>
    </row>
    <row r="145263" spans="10:10" x14ac:dyDescent="0.3">
      <c r="J145263"/>
    </row>
    <row r="145264" spans="10:10" x14ac:dyDescent="0.3">
      <c r="J145264"/>
    </row>
    <row r="145265" spans="10:10" x14ac:dyDescent="0.3">
      <c r="J145265"/>
    </row>
    <row r="145266" spans="10:10" x14ac:dyDescent="0.3">
      <c r="J145266"/>
    </row>
    <row r="145267" spans="10:10" x14ac:dyDescent="0.3">
      <c r="J145267"/>
    </row>
    <row r="145268" spans="10:10" x14ac:dyDescent="0.3">
      <c r="J145268"/>
    </row>
    <row r="145269" spans="10:10" x14ac:dyDescent="0.3">
      <c r="J145269"/>
    </row>
    <row r="145270" spans="10:10" x14ac:dyDescent="0.3">
      <c r="J145270"/>
    </row>
    <row r="145271" spans="10:10" x14ac:dyDescent="0.3">
      <c r="J145271"/>
    </row>
    <row r="145272" spans="10:10" x14ac:dyDescent="0.3">
      <c r="J145272"/>
    </row>
    <row r="145273" spans="10:10" x14ac:dyDescent="0.3">
      <c r="J145273"/>
    </row>
    <row r="145274" spans="10:10" x14ac:dyDescent="0.3">
      <c r="J145274"/>
    </row>
    <row r="145275" spans="10:10" x14ac:dyDescent="0.3">
      <c r="J145275"/>
    </row>
    <row r="145276" spans="10:10" x14ac:dyDescent="0.3">
      <c r="J145276"/>
    </row>
    <row r="145277" spans="10:10" x14ac:dyDescent="0.3">
      <c r="J145277"/>
    </row>
    <row r="145278" spans="10:10" x14ac:dyDescent="0.3">
      <c r="J145278"/>
    </row>
    <row r="145279" spans="10:10" x14ac:dyDescent="0.3">
      <c r="J145279"/>
    </row>
    <row r="145280" spans="10:10" x14ac:dyDescent="0.3">
      <c r="J145280"/>
    </row>
    <row r="145281" spans="10:10" x14ac:dyDescent="0.3">
      <c r="J145281"/>
    </row>
    <row r="145282" spans="10:10" x14ac:dyDescent="0.3">
      <c r="J145282"/>
    </row>
    <row r="145283" spans="10:10" x14ac:dyDescent="0.3">
      <c r="J145283"/>
    </row>
    <row r="145284" spans="10:10" x14ac:dyDescent="0.3">
      <c r="J145284"/>
    </row>
    <row r="145285" spans="10:10" x14ac:dyDescent="0.3">
      <c r="J145285"/>
    </row>
    <row r="145286" spans="10:10" x14ac:dyDescent="0.3">
      <c r="J145286"/>
    </row>
    <row r="145287" spans="10:10" x14ac:dyDescent="0.3">
      <c r="J145287"/>
    </row>
    <row r="145288" spans="10:10" x14ac:dyDescent="0.3">
      <c r="J145288"/>
    </row>
    <row r="145289" spans="10:10" x14ac:dyDescent="0.3">
      <c r="J145289"/>
    </row>
    <row r="145290" spans="10:10" x14ac:dyDescent="0.3">
      <c r="J145290"/>
    </row>
    <row r="145291" spans="10:10" x14ac:dyDescent="0.3">
      <c r="J145291"/>
    </row>
    <row r="145292" spans="10:10" x14ac:dyDescent="0.3">
      <c r="J145292"/>
    </row>
    <row r="145293" spans="10:10" x14ac:dyDescent="0.3">
      <c r="J145293"/>
    </row>
    <row r="145294" spans="10:10" x14ac:dyDescent="0.3">
      <c r="J145294"/>
    </row>
    <row r="145295" spans="10:10" x14ac:dyDescent="0.3">
      <c r="J145295"/>
    </row>
    <row r="145296" spans="10:10" x14ac:dyDescent="0.3">
      <c r="J145296"/>
    </row>
    <row r="145297" spans="10:10" x14ac:dyDescent="0.3">
      <c r="J145297"/>
    </row>
    <row r="145298" spans="10:10" x14ac:dyDescent="0.3">
      <c r="J145298"/>
    </row>
    <row r="145299" spans="10:10" x14ac:dyDescent="0.3">
      <c r="J145299"/>
    </row>
    <row r="145300" spans="10:10" x14ac:dyDescent="0.3">
      <c r="J145300"/>
    </row>
    <row r="145301" spans="10:10" x14ac:dyDescent="0.3">
      <c r="J145301"/>
    </row>
    <row r="145302" spans="10:10" x14ac:dyDescent="0.3">
      <c r="J145302"/>
    </row>
    <row r="145303" spans="10:10" x14ac:dyDescent="0.3">
      <c r="J145303"/>
    </row>
    <row r="145304" spans="10:10" x14ac:dyDescent="0.3">
      <c r="J145304"/>
    </row>
    <row r="145305" spans="10:10" x14ac:dyDescent="0.3">
      <c r="J145305"/>
    </row>
    <row r="145306" spans="10:10" x14ac:dyDescent="0.3">
      <c r="J145306"/>
    </row>
    <row r="145307" spans="10:10" x14ac:dyDescent="0.3">
      <c r="J145307"/>
    </row>
    <row r="145308" spans="10:10" x14ac:dyDescent="0.3">
      <c r="J145308"/>
    </row>
    <row r="145309" spans="10:10" x14ac:dyDescent="0.3">
      <c r="J145309"/>
    </row>
    <row r="145310" spans="10:10" x14ac:dyDescent="0.3">
      <c r="J145310"/>
    </row>
    <row r="145311" spans="10:10" x14ac:dyDescent="0.3">
      <c r="J145311"/>
    </row>
    <row r="145312" spans="10:10" x14ac:dyDescent="0.3">
      <c r="J145312"/>
    </row>
    <row r="145313" spans="10:10" x14ac:dyDescent="0.3">
      <c r="J145313"/>
    </row>
    <row r="145314" spans="10:10" x14ac:dyDescent="0.3">
      <c r="J145314"/>
    </row>
    <row r="145315" spans="10:10" x14ac:dyDescent="0.3">
      <c r="J145315"/>
    </row>
    <row r="145316" spans="10:10" x14ac:dyDescent="0.3">
      <c r="J145316"/>
    </row>
    <row r="145317" spans="10:10" x14ac:dyDescent="0.3">
      <c r="J145317"/>
    </row>
    <row r="145318" spans="10:10" x14ac:dyDescent="0.3">
      <c r="J145318"/>
    </row>
    <row r="145319" spans="10:10" x14ac:dyDescent="0.3">
      <c r="J145319"/>
    </row>
    <row r="145320" spans="10:10" x14ac:dyDescent="0.3">
      <c r="J145320"/>
    </row>
    <row r="145321" spans="10:10" x14ac:dyDescent="0.3">
      <c r="J145321"/>
    </row>
    <row r="145322" spans="10:10" x14ac:dyDescent="0.3">
      <c r="J145322"/>
    </row>
    <row r="145323" spans="10:10" x14ac:dyDescent="0.3">
      <c r="J145323"/>
    </row>
    <row r="145324" spans="10:10" x14ac:dyDescent="0.3">
      <c r="J145324"/>
    </row>
    <row r="145325" spans="10:10" x14ac:dyDescent="0.3">
      <c r="J145325"/>
    </row>
    <row r="145326" spans="10:10" x14ac:dyDescent="0.3">
      <c r="J145326"/>
    </row>
    <row r="145327" spans="10:10" x14ac:dyDescent="0.3">
      <c r="J145327"/>
    </row>
    <row r="145328" spans="10:10" x14ac:dyDescent="0.3">
      <c r="J145328"/>
    </row>
    <row r="145329" spans="10:10" x14ac:dyDescent="0.3">
      <c r="J145329"/>
    </row>
    <row r="145330" spans="10:10" x14ac:dyDescent="0.3">
      <c r="J145330"/>
    </row>
    <row r="145331" spans="10:10" x14ac:dyDescent="0.3">
      <c r="J145331"/>
    </row>
    <row r="145332" spans="10:10" x14ac:dyDescent="0.3">
      <c r="J145332"/>
    </row>
    <row r="145333" spans="10:10" x14ac:dyDescent="0.3">
      <c r="J145333"/>
    </row>
    <row r="145334" spans="10:10" x14ac:dyDescent="0.3">
      <c r="J145334"/>
    </row>
    <row r="145335" spans="10:10" x14ac:dyDescent="0.3">
      <c r="J145335"/>
    </row>
    <row r="145336" spans="10:10" x14ac:dyDescent="0.3">
      <c r="J145336"/>
    </row>
    <row r="145337" spans="10:10" x14ac:dyDescent="0.3">
      <c r="J145337"/>
    </row>
    <row r="145338" spans="10:10" x14ac:dyDescent="0.3">
      <c r="J145338"/>
    </row>
    <row r="145339" spans="10:10" x14ac:dyDescent="0.3">
      <c r="J145339"/>
    </row>
    <row r="145340" spans="10:10" x14ac:dyDescent="0.3">
      <c r="J145340"/>
    </row>
    <row r="145341" spans="10:10" x14ac:dyDescent="0.3">
      <c r="J145341"/>
    </row>
    <row r="145342" spans="10:10" x14ac:dyDescent="0.3">
      <c r="J145342"/>
    </row>
    <row r="145343" spans="10:10" x14ac:dyDescent="0.3">
      <c r="J145343"/>
    </row>
    <row r="145344" spans="10:10" x14ac:dyDescent="0.3">
      <c r="J145344"/>
    </row>
    <row r="145345" spans="10:10" x14ac:dyDescent="0.3">
      <c r="J145345"/>
    </row>
    <row r="145346" spans="10:10" x14ac:dyDescent="0.3">
      <c r="J145346"/>
    </row>
    <row r="145347" spans="10:10" x14ac:dyDescent="0.3">
      <c r="J145347"/>
    </row>
    <row r="145348" spans="10:10" x14ac:dyDescent="0.3">
      <c r="J145348"/>
    </row>
    <row r="145349" spans="10:10" x14ac:dyDescent="0.3">
      <c r="J145349"/>
    </row>
    <row r="145350" spans="10:10" x14ac:dyDescent="0.3">
      <c r="J145350"/>
    </row>
    <row r="145351" spans="10:10" x14ac:dyDescent="0.3">
      <c r="J145351"/>
    </row>
    <row r="145352" spans="10:10" x14ac:dyDescent="0.3">
      <c r="J145352"/>
    </row>
    <row r="145353" spans="10:10" x14ac:dyDescent="0.3">
      <c r="J145353"/>
    </row>
    <row r="145354" spans="10:10" x14ac:dyDescent="0.3">
      <c r="J145354"/>
    </row>
    <row r="145355" spans="10:10" x14ac:dyDescent="0.3">
      <c r="J145355"/>
    </row>
    <row r="145356" spans="10:10" x14ac:dyDescent="0.3">
      <c r="J145356"/>
    </row>
    <row r="145357" spans="10:10" x14ac:dyDescent="0.3">
      <c r="J145357"/>
    </row>
    <row r="145358" spans="10:10" x14ac:dyDescent="0.3">
      <c r="J145358"/>
    </row>
    <row r="145359" spans="10:10" x14ac:dyDescent="0.3">
      <c r="J145359"/>
    </row>
    <row r="145360" spans="10:10" x14ac:dyDescent="0.3">
      <c r="J145360"/>
    </row>
    <row r="145361" spans="10:10" x14ac:dyDescent="0.3">
      <c r="J145361"/>
    </row>
    <row r="145362" spans="10:10" x14ac:dyDescent="0.3">
      <c r="J145362"/>
    </row>
    <row r="145363" spans="10:10" x14ac:dyDescent="0.3">
      <c r="J145363"/>
    </row>
    <row r="145364" spans="10:10" x14ac:dyDescent="0.3">
      <c r="J145364"/>
    </row>
    <row r="145365" spans="10:10" x14ac:dyDescent="0.3">
      <c r="J145365"/>
    </row>
    <row r="145366" spans="10:10" x14ac:dyDescent="0.3">
      <c r="J145366"/>
    </row>
    <row r="145367" spans="10:10" x14ac:dyDescent="0.3">
      <c r="J145367"/>
    </row>
    <row r="145368" spans="10:10" x14ac:dyDescent="0.3">
      <c r="J145368"/>
    </row>
    <row r="145369" spans="10:10" x14ac:dyDescent="0.3">
      <c r="J145369"/>
    </row>
    <row r="145370" spans="10:10" x14ac:dyDescent="0.3">
      <c r="J145370"/>
    </row>
    <row r="145371" spans="10:10" x14ac:dyDescent="0.3">
      <c r="J145371"/>
    </row>
    <row r="145372" spans="10:10" x14ac:dyDescent="0.3">
      <c r="J145372"/>
    </row>
    <row r="145373" spans="10:10" x14ac:dyDescent="0.3">
      <c r="J145373"/>
    </row>
    <row r="145374" spans="10:10" x14ac:dyDescent="0.3">
      <c r="J145374"/>
    </row>
    <row r="145375" spans="10:10" x14ac:dyDescent="0.3">
      <c r="J145375"/>
    </row>
    <row r="145376" spans="10:10" x14ac:dyDescent="0.3">
      <c r="J145376"/>
    </row>
    <row r="145377" spans="10:10" x14ac:dyDescent="0.3">
      <c r="J145377"/>
    </row>
    <row r="145378" spans="10:10" x14ac:dyDescent="0.3">
      <c r="J145378"/>
    </row>
    <row r="145379" spans="10:10" x14ac:dyDescent="0.3">
      <c r="J145379"/>
    </row>
    <row r="145380" spans="10:10" x14ac:dyDescent="0.3">
      <c r="J145380"/>
    </row>
    <row r="145381" spans="10:10" x14ac:dyDescent="0.3">
      <c r="J145381"/>
    </row>
    <row r="145382" spans="10:10" x14ac:dyDescent="0.3">
      <c r="J145382"/>
    </row>
    <row r="145383" spans="10:10" x14ac:dyDescent="0.3">
      <c r="J145383"/>
    </row>
    <row r="145384" spans="10:10" x14ac:dyDescent="0.3">
      <c r="J145384"/>
    </row>
    <row r="145385" spans="10:10" x14ac:dyDescent="0.3">
      <c r="J145385"/>
    </row>
    <row r="145386" spans="10:10" x14ac:dyDescent="0.3">
      <c r="J145386"/>
    </row>
    <row r="145387" spans="10:10" x14ac:dyDescent="0.3">
      <c r="J145387"/>
    </row>
    <row r="145388" spans="10:10" x14ac:dyDescent="0.3">
      <c r="J145388"/>
    </row>
    <row r="145389" spans="10:10" x14ac:dyDescent="0.3">
      <c r="J145389"/>
    </row>
    <row r="145390" spans="10:10" x14ac:dyDescent="0.3">
      <c r="J145390"/>
    </row>
    <row r="145391" spans="10:10" x14ac:dyDescent="0.3">
      <c r="J145391"/>
    </row>
    <row r="145392" spans="10:10" x14ac:dyDescent="0.3">
      <c r="J145392"/>
    </row>
    <row r="145393" spans="10:10" x14ac:dyDescent="0.3">
      <c r="J145393"/>
    </row>
    <row r="145394" spans="10:10" x14ac:dyDescent="0.3">
      <c r="J145394"/>
    </row>
    <row r="145395" spans="10:10" x14ac:dyDescent="0.3">
      <c r="J145395"/>
    </row>
    <row r="145396" spans="10:10" x14ac:dyDescent="0.3">
      <c r="J145396"/>
    </row>
    <row r="145397" spans="10:10" x14ac:dyDescent="0.3">
      <c r="J145397"/>
    </row>
    <row r="145398" spans="10:10" x14ac:dyDescent="0.3">
      <c r="J145398"/>
    </row>
    <row r="145399" spans="10:10" x14ac:dyDescent="0.3">
      <c r="J145399"/>
    </row>
    <row r="145400" spans="10:10" x14ac:dyDescent="0.3">
      <c r="J145400"/>
    </row>
    <row r="145401" spans="10:10" x14ac:dyDescent="0.3">
      <c r="J145401"/>
    </row>
    <row r="145402" spans="10:10" x14ac:dyDescent="0.3">
      <c r="J145402"/>
    </row>
    <row r="145403" spans="10:10" x14ac:dyDescent="0.3">
      <c r="J145403"/>
    </row>
    <row r="145404" spans="10:10" x14ac:dyDescent="0.3">
      <c r="J145404"/>
    </row>
    <row r="145405" spans="10:10" x14ac:dyDescent="0.3">
      <c r="J145405"/>
    </row>
    <row r="145406" spans="10:10" x14ac:dyDescent="0.3">
      <c r="J145406"/>
    </row>
    <row r="145407" spans="10:10" x14ac:dyDescent="0.3">
      <c r="J145407"/>
    </row>
    <row r="145408" spans="10:10" x14ac:dyDescent="0.3">
      <c r="J145408"/>
    </row>
    <row r="145409" spans="10:10" x14ac:dyDescent="0.3">
      <c r="J145409"/>
    </row>
    <row r="145410" spans="10:10" x14ac:dyDescent="0.3">
      <c r="J145410"/>
    </row>
    <row r="145411" spans="10:10" x14ac:dyDescent="0.3">
      <c r="J145411"/>
    </row>
    <row r="145412" spans="10:10" x14ac:dyDescent="0.3">
      <c r="J145412"/>
    </row>
    <row r="145413" spans="10:10" x14ac:dyDescent="0.3">
      <c r="J145413"/>
    </row>
    <row r="145414" spans="10:10" x14ac:dyDescent="0.3">
      <c r="J145414"/>
    </row>
    <row r="145415" spans="10:10" x14ac:dyDescent="0.3">
      <c r="J145415"/>
    </row>
    <row r="145416" spans="10:10" x14ac:dyDescent="0.3">
      <c r="J145416"/>
    </row>
    <row r="145417" spans="10:10" x14ac:dyDescent="0.3">
      <c r="J145417"/>
    </row>
    <row r="145418" spans="10:10" x14ac:dyDescent="0.3">
      <c r="J145418"/>
    </row>
    <row r="145419" spans="10:10" x14ac:dyDescent="0.3">
      <c r="J145419"/>
    </row>
    <row r="145420" spans="10:10" x14ac:dyDescent="0.3">
      <c r="J145420"/>
    </row>
    <row r="145421" spans="10:10" x14ac:dyDescent="0.3">
      <c r="J145421"/>
    </row>
    <row r="145422" spans="10:10" x14ac:dyDescent="0.3">
      <c r="J145422"/>
    </row>
    <row r="145423" spans="10:10" x14ac:dyDescent="0.3">
      <c r="J145423"/>
    </row>
    <row r="145424" spans="10:10" x14ac:dyDescent="0.3">
      <c r="J145424"/>
    </row>
    <row r="145425" spans="10:10" x14ac:dyDescent="0.3">
      <c r="J145425"/>
    </row>
    <row r="145426" spans="10:10" x14ac:dyDescent="0.3">
      <c r="J145426"/>
    </row>
    <row r="145427" spans="10:10" x14ac:dyDescent="0.3">
      <c r="J145427"/>
    </row>
    <row r="145428" spans="10:10" x14ac:dyDescent="0.3">
      <c r="J145428"/>
    </row>
    <row r="145429" spans="10:10" x14ac:dyDescent="0.3">
      <c r="J145429"/>
    </row>
    <row r="145430" spans="10:10" x14ac:dyDescent="0.3">
      <c r="J145430"/>
    </row>
    <row r="145431" spans="10:10" x14ac:dyDescent="0.3">
      <c r="J145431"/>
    </row>
    <row r="145432" spans="10:10" x14ac:dyDescent="0.3">
      <c r="J145432"/>
    </row>
    <row r="145433" spans="10:10" x14ac:dyDescent="0.3">
      <c r="J145433"/>
    </row>
    <row r="145434" spans="10:10" x14ac:dyDescent="0.3">
      <c r="J145434"/>
    </row>
    <row r="145435" spans="10:10" x14ac:dyDescent="0.3">
      <c r="J145435"/>
    </row>
    <row r="145436" spans="10:10" x14ac:dyDescent="0.3">
      <c r="J145436"/>
    </row>
    <row r="145437" spans="10:10" x14ac:dyDescent="0.3">
      <c r="J145437"/>
    </row>
    <row r="145438" spans="10:10" x14ac:dyDescent="0.3">
      <c r="J145438"/>
    </row>
    <row r="145439" spans="10:10" x14ac:dyDescent="0.3">
      <c r="J145439"/>
    </row>
    <row r="145440" spans="10:10" x14ac:dyDescent="0.3">
      <c r="J145440"/>
    </row>
    <row r="145441" spans="10:10" x14ac:dyDescent="0.3">
      <c r="J145441"/>
    </row>
    <row r="145442" spans="10:10" x14ac:dyDescent="0.3">
      <c r="J145442"/>
    </row>
    <row r="145443" spans="10:10" x14ac:dyDescent="0.3">
      <c r="J145443"/>
    </row>
    <row r="145444" spans="10:10" x14ac:dyDescent="0.3">
      <c r="J145444"/>
    </row>
    <row r="145445" spans="10:10" x14ac:dyDescent="0.3">
      <c r="J145445"/>
    </row>
    <row r="145446" spans="10:10" x14ac:dyDescent="0.3">
      <c r="J145446"/>
    </row>
    <row r="145447" spans="10:10" x14ac:dyDescent="0.3">
      <c r="J145447"/>
    </row>
    <row r="145448" spans="10:10" x14ac:dyDescent="0.3">
      <c r="J145448"/>
    </row>
    <row r="145449" spans="10:10" x14ac:dyDescent="0.3">
      <c r="J145449"/>
    </row>
    <row r="145450" spans="10:10" x14ac:dyDescent="0.3">
      <c r="J145450"/>
    </row>
    <row r="145451" spans="10:10" x14ac:dyDescent="0.3">
      <c r="J145451"/>
    </row>
    <row r="145452" spans="10:10" x14ac:dyDescent="0.3">
      <c r="J145452"/>
    </row>
    <row r="145453" spans="10:10" x14ac:dyDescent="0.3">
      <c r="J145453"/>
    </row>
    <row r="145454" spans="10:10" x14ac:dyDescent="0.3">
      <c r="J145454"/>
    </row>
    <row r="145455" spans="10:10" x14ac:dyDescent="0.3">
      <c r="J145455"/>
    </row>
    <row r="145456" spans="10:10" x14ac:dyDescent="0.3">
      <c r="J145456"/>
    </row>
    <row r="145457" spans="10:10" x14ac:dyDescent="0.3">
      <c r="J145457"/>
    </row>
    <row r="145458" spans="10:10" x14ac:dyDescent="0.3">
      <c r="J145458"/>
    </row>
    <row r="145459" spans="10:10" x14ac:dyDescent="0.3">
      <c r="J145459"/>
    </row>
    <row r="145460" spans="10:10" x14ac:dyDescent="0.3">
      <c r="J145460"/>
    </row>
    <row r="145461" spans="10:10" x14ac:dyDescent="0.3">
      <c r="J145461"/>
    </row>
    <row r="145462" spans="10:10" x14ac:dyDescent="0.3">
      <c r="J145462"/>
    </row>
    <row r="145463" spans="10:10" x14ac:dyDescent="0.3">
      <c r="J145463"/>
    </row>
    <row r="145464" spans="10:10" x14ac:dyDescent="0.3">
      <c r="J145464"/>
    </row>
    <row r="145465" spans="10:10" x14ac:dyDescent="0.3">
      <c r="J145465"/>
    </row>
    <row r="145466" spans="10:10" x14ac:dyDescent="0.3">
      <c r="J145466"/>
    </row>
    <row r="145467" spans="10:10" x14ac:dyDescent="0.3">
      <c r="J145467"/>
    </row>
    <row r="145468" spans="10:10" x14ac:dyDescent="0.3">
      <c r="J145468"/>
    </row>
    <row r="145469" spans="10:10" x14ac:dyDescent="0.3">
      <c r="J145469"/>
    </row>
    <row r="145470" spans="10:10" x14ac:dyDescent="0.3">
      <c r="J145470"/>
    </row>
    <row r="145471" spans="10:10" x14ac:dyDescent="0.3">
      <c r="J145471"/>
    </row>
    <row r="145472" spans="10:10" x14ac:dyDescent="0.3">
      <c r="J145472"/>
    </row>
    <row r="145473" spans="10:10" x14ac:dyDescent="0.3">
      <c r="J145473"/>
    </row>
    <row r="145474" spans="10:10" x14ac:dyDescent="0.3">
      <c r="J145474"/>
    </row>
    <row r="145475" spans="10:10" x14ac:dyDescent="0.3">
      <c r="J145475"/>
    </row>
    <row r="145476" spans="10:10" x14ac:dyDescent="0.3">
      <c r="J145476"/>
    </row>
    <row r="145477" spans="10:10" x14ac:dyDescent="0.3">
      <c r="J145477"/>
    </row>
    <row r="145478" spans="10:10" x14ac:dyDescent="0.3">
      <c r="J145478"/>
    </row>
    <row r="145479" spans="10:10" x14ac:dyDescent="0.3">
      <c r="J145479"/>
    </row>
    <row r="145480" spans="10:10" x14ac:dyDescent="0.3">
      <c r="J145480"/>
    </row>
    <row r="145481" spans="10:10" x14ac:dyDescent="0.3">
      <c r="J145481"/>
    </row>
    <row r="145482" spans="10:10" x14ac:dyDescent="0.3">
      <c r="J145482"/>
    </row>
    <row r="145483" spans="10:10" x14ac:dyDescent="0.3">
      <c r="J145483"/>
    </row>
    <row r="145484" spans="10:10" x14ac:dyDescent="0.3">
      <c r="J145484"/>
    </row>
    <row r="145485" spans="10:10" x14ac:dyDescent="0.3">
      <c r="J145485"/>
    </row>
    <row r="145486" spans="10:10" x14ac:dyDescent="0.3">
      <c r="J145486"/>
    </row>
    <row r="145487" spans="10:10" x14ac:dyDescent="0.3">
      <c r="J145487"/>
    </row>
    <row r="145488" spans="10:10" x14ac:dyDescent="0.3">
      <c r="J145488"/>
    </row>
    <row r="145489" spans="10:10" x14ac:dyDescent="0.3">
      <c r="J145489"/>
    </row>
    <row r="145490" spans="10:10" x14ac:dyDescent="0.3">
      <c r="J145490"/>
    </row>
    <row r="145491" spans="10:10" x14ac:dyDescent="0.3">
      <c r="J145491"/>
    </row>
    <row r="145492" spans="10:10" x14ac:dyDescent="0.3">
      <c r="J145492"/>
    </row>
    <row r="145493" spans="10:10" x14ac:dyDescent="0.3">
      <c r="J145493"/>
    </row>
    <row r="145494" spans="10:10" x14ac:dyDescent="0.3">
      <c r="J145494"/>
    </row>
    <row r="145495" spans="10:10" x14ac:dyDescent="0.3">
      <c r="J145495"/>
    </row>
    <row r="145496" spans="10:10" x14ac:dyDescent="0.3">
      <c r="J145496"/>
    </row>
    <row r="145497" spans="10:10" x14ac:dyDescent="0.3">
      <c r="J145497"/>
    </row>
    <row r="145498" spans="10:10" x14ac:dyDescent="0.3">
      <c r="J145498"/>
    </row>
    <row r="145499" spans="10:10" x14ac:dyDescent="0.3">
      <c r="J145499"/>
    </row>
    <row r="145500" spans="10:10" x14ac:dyDescent="0.3">
      <c r="J145500"/>
    </row>
    <row r="145501" spans="10:10" x14ac:dyDescent="0.3">
      <c r="J145501"/>
    </row>
    <row r="145502" spans="10:10" x14ac:dyDescent="0.3">
      <c r="J145502"/>
    </row>
    <row r="145503" spans="10:10" x14ac:dyDescent="0.3">
      <c r="J145503"/>
    </row>
    <row r="145504" spans="10:10" x14ac:dyDescent="0.3">
      <c r="J145504"/>
    </row>
    <row r="145505" spans="10:10" x14ac:dyDescent="0.3">
      <c r="J145505"/>
    </row>
    <row r="145506" spans="10:10" x14ac:dyDescent="0.3">
      <c r="J145506"/>
    </row>
    <row r="145507" spans="10:10" x14ac:dyDescent="0.3">
      <c r="J145507"/>
    </row>
    <row r="145508" spans="10:10" x14ac:dyDescent="0.3">
      <c r="J145508"/>
    </row>
    <row r="145509" spans="10:10" x14ac:dyDescent="0.3">
      <c r="J145509"/>
    </row>
    <row r="145510" spans="10:10" x14ac:dyDescent="0.3">
      <c r="J145510"/>
    </row>
    <row r="145511" spans="10:10" x14ac:dyDescent="0.3">
      <c r="J145511"/>
    </row>
    <row r="145512" spans="10:10" x14ac:dyDescent="0.3">
      <c r="J145512"/>
    </row>
    <row r="145513" spans="10:10" x14ac:dyDescent="0.3">
      <c r="J145513"/>
    </row>
    <row r="145514" spans="10:10" x14ac:dyDescent="0.3">
      <c r="J145514"/>
    </row>
    <row r="145515" spans="10:10" x14ac:dyDescent="0.3">
      <c r="J145515"/>
    </row>
    <row r="145516" spans="10:10" x14ac:dyDescent="0.3">
      <c r="J145516"/>
    </row>
    <row r="145517" spans="10:10" x14ac:dyDescent="0.3">
      <c r="J145517"/>
    </row>
    <row r="145518" spans="10:10" x14ac:dyDescent="0.3">
      <c r="J145518"/>
    </row>
    <row r="145519" spans="10:10" x14ac:dyDescent="0.3">
      <c r="J145519"/>
    </row>
    <row r="145520" spans="10:10" x14ac:dyDescent="0.3">
      <c r="J145520"/>
    </row>
    <row r="145521" spans="10:10" x14ac:dyDescent="0.3">
      <c r="J145521"/>
    </row>
    <row r="145522" spans="10:10" x14ac:dyDescent="0.3">
      <c r="J145522"/>
    </row>
    <row r="145523" spans="10:10" x14ac:dyDescent="0.3">
      <c r="J145523"/>
    </row>
    <row r="145524" spans="10:10" x14ac:dyDescent="0.3">
      <c r="J145524"/>
    </row>
    <row r="145525" spans="10:10" x14ac:dyDescent="0.3">
      <c r="J145525"/>
    </row>
    <row r="145526" spans="10:10" x14ac:dyDescent="0.3">
      <c r="J145526"/>
    </row>
    <row r="145527" spans="10:10" x14ac:dyDescent="0.3">
      <c r="J145527"/>
    </row>
    <row r="145528" spans="10:10" x14ac:dyDescent="0.3">
      <c r="J145528"/>
    </row>
    <row r="145529" spans="10:10" x14ac:dyDescent="0.3">
      <c r="J145529"/>
    </row>
    <row r="145530" spans="10:10" x14ac:dyDescent="0.3">
      <c r="J145530"/>
    </row>
    <row r="145531" spans="10:10" x14ac:dyDescent="0.3">
      <c r="J145531"/>
    </row>
    <row r="145532" spans="10:10" x14ac:dyDescent="0.3">
      <c r="J145532"/>
    </row>
    <row r="145533" spans="10:10" x14ac:dyDescent="0.3">
      <c r="J145533"/>
    </row>
    <row r="145534" spans="10:10" x14ac:dyDescent="0.3">
      <c r="J145534"/>
    </row>
    <row r="145535" spans="10:10" x14ac:dyDescent="0.3">
      <c r="J145535"/>
    </row>
    <row r="145536" spans="10:10" x14ac:dyDescent="0.3">
      <c r="J145536"/>
    </row>
    <row r="145537" spans="10:10" x14ac:dyDescent="0.3">
      <c r="J145537"/>
    </row>
    <row r="145538" spans="10:10" x14ac:dyDescent="0.3">
      <c r="J145538"/>
    </row>
    <row r="145539" spans="10:10" x14ac:dyDescent="0.3">
      <c r="J145539"/>
    </row>
    <row r="145540" spans="10:10" x14ac:dyDescent="0.3">
      <c r="J145540"/>
    </row>
    <row r="145541" spans="10:10" x14ac:dyDescent="0.3">
      <c r="J145541"/>
    </row>
    <row r="145542" spans="10:10" x14ac:dyDescent="0.3">
      <c r="J145542"/>
    </row>
    <row r="145543" spans="10:10" x14ac:dyDescent="0.3">
      <c r="J145543"/>
    </row>
    <row r="145544" spans="10:10" x14ac:dyDescent="0.3">
      <c r="J145544"/>
    </row>
    <row r="145545" spans="10:10" x14ac:dyDescent="0.3">
      <c r="J145545"/>
    </row>
    <row r="145546" spans="10:10" x14ac:dyDescent="0.3">
      <c r="J145546"/>
    </row>
    <row r="145547" spans="10:10" x14ac:dyDescent="0.3">
      <c r="J145547"/>
    </row>
    <row r="145548" spans="10:10" x14ac:dyDescent="0.3">
      <c r="J145548"/>
    </row>
    <row r="145549" spans="10:10" x14ac:dyDescent="0.3">
      <c r="J145549"/>
    </row>
    <row r="145550" spans="10:10" x14ac:dyDescent="0.3">
      <c r="J145550"/>
    </row>
    <row r="145551" spans="10:10" x14ac:dyDescent="0.3">
      <c r="J145551"/>
    </row>
    <row r="145552" spans="10:10" x14ac:dyDescent="0.3">
      <c r="J145552"/>
    </row>
    <row r="145553" spans="10:10" x14ac:dyDescent="0.3">
      <c r="J145553"/>
    </row>
    <row r="145554" spans="10:10" x14ac:dyDescent="0.3">
      <c r="J145554"/>
    </row>
    <row r="145555" spans="10:10" x14ac:dyDescent="0.3">
      <c r="J145555"/>
    </row>
    <row r="145556" spans="10:10" x14ac:dyDescent="0.3">
      <c r="J145556"/>
    </row>
    <row r="145557" spans="10:10" x14ac:dyDescent="0.3">
      <c r="J145557"/>
    </row>
    <row r="145558" spans="10:10" x14ac:dyDescent="0.3">
      <c r="J145558"/>
    </row>
    <row r="145559" spans="10:10" x14ac:dyDescent="0.3">
      <c r="J145559"/>
    </row>
    <row r="145560" spans="10:10" x14ac:dyDescent="0.3">
      <c r="J145560"/>
    </row>
    <row r="145561" spans="10:10" x14ac:dyDescent="0.3">
      <c r="J145561"/>
    </row>
    <row r="145562" spans="10:10" x14ac:dyDescent="0.3">
      <c r="J145562"/>
    </row>
    <row r="145563" spans="10:10" x14ac:dyDescent="0.3">
      <c r="J145563"/>
    </row>
    <row r="145564" spans="10:10" x14ac:dyDescent="0.3">
      <c r="J145564"/>
    </row>
    <row r="145565" spans="10:10" x14ac:dyDescent="0.3">
      <c r="J145565"/>
    </row>
    <row r="145566" spans="10:10" x14ac:dyDescent="0.3">
      <c r="J145566"/>
    </row>
    <row r="145567" spans="10:10" x14ac:dyDescent="0.3">
      <c r="J145567"/>
    </row>
    <row r="145568" spans="10:10" x14ac:dyDescent="0.3">
      <c r="J145568"/>
    </row>
    <row r="145569" spans="10:10" x14ac:dyDescent="0.3">
      <c r="J145569"/>
    </row>
    <row r="145570" spans="10:10" x14ac:dyDescent="0.3">
      <c r="J145570"/>
    </row>
    <row r="145571" spans="10:10" x14ac:dyDescent="0.3">
      <c r="J145571"/>
    </row>
    <row r="145572" spans="10:10" x14ac:dyDescent="0.3">
      <c r="J145572"/>
    </row>
    <row r="145573" spans="10:10" x14ac:dyDescent="0.3">
      <c r="J145573"/>
    </row>
    <row r="145574" spans="10:10" x14ac:dyDescent="0.3">
      <c r="J145574"/>
    </row>
    <row r="145575" spans="10:10" x14ac:dyDescent="0.3">
      <c r="J145575"/>
    </row>
    <row r="145576" spans="10:10" x14ac:dyDescent="0.3">
      <c r="J145576"/>
    </row>
    <row r="145577" spans="10:10" x14ac:dyDescent="0.3">
      <c r="J145577"/>
    </row>
    <row r="145578" spans="10:10" x14ac:dyDescent="0.3">
      <c r="J145578"/>
    </row>
    <row r="145579" spans="10:10" x14ac:dyDescent="0.3">
      <c r="J145579"/>
    </row>
    <row r="145580" spans="10:10" x14ac:dyDescent="0.3">
      <c r="J145580"/>
    </row>
    <row r="145581" spans="10:10" x14ac:dyDescent="0.3">
      <c r="J145581"/>
    </row>
    <row r="145582" spans="10:10" x14ac:dyDescent="0.3">
      <c r="J145582"/>
    </row>
    <row r="145583" spans="10:10" x14ac:dyDescent="0.3">
      <c r="J145583"/>
    </row>
    <row r="145584" spans="10:10" x14ac:dyDescent="0.3">
      <c r="J145584"/>
    </row>
    <row r="145585" spans="10:10" x14ac:dyDescent="0.3">
      <c r="J145585"/>
    </row>
    <row r="145586" spans="10:10" x14ac:dyDescent="0.3">
      <c r="J145586"/>
    </row>
    <row r="145587" spans="10:10" x14ac:dyDescent="0.3">
      <c r="J145587"/>
    </row>
    <row r="145588" spans="10:10" x14ac:dyDescent="0.3">
      <c r="J145588"/>
    </row>
    <row r="145589" spans="10:10" x14ac:dyDescent="0.3">
      <c r="J145589"/>
    </row>
    <row r="145590" spans="10:10" x14ac:dyDescent="0.3">
      <c r="J145590"/>
    </row>
    <row r="145591" spans="10:10" x14ac:dyDescent="0.3">
      <c r="J145591"/>
    </row>
    <row r="145592" spans="10:10" x14ac:dyDescent="0.3">
      <c r="J145592"/>
    </row>
    <row r="145593" spans="10:10" x14ac:dyDescent="0.3">
      <c r="J145593"/>
    </row>
    <row r="145594" spans="10:10" x14ac:dyDescent="0.3">
      <c r="J145594"/>
    </row>
    <row r="145595" spans="10:10" x14ac:dyDescent="0.3">
      <c r="J145595"/>
    </row>
    <row r="145596" spans="10:10" x14ac:dyDescent="0.3">
      <c r="J145596"/>
    </row>
    <row r="145597" spans="10:10" x14ac:dyDescent="0.3">
      <c r="J145597"/>
    </row>
    <row r="145598" spans="10:10" x14ac:dyDescent="0.3">
      <c r="J145598"/>
    </row>
    <row r="145599" spans="10:10" x14ac:dyDescent="0.3">
      <c r="J145599"/>
    </row>
    <row r="145600" spans="10:10" x14ac:dyDescent="0.3">
      <c r="J145600"/>
    </row>
    <row r="145601" spans="10:10" x14ac:dyDescent="0.3">
      <c r="J145601"/>
    </row>
    <row r="145602" spans="10:10" x14ac:dyDescent="0.3">
      <c r="J145602"/>
    </row>
    <row r="145603" spans="10:10" x14ac:dyDescent="0.3">
      <c r="J145603"/>
    </row>
    <row r="145604" spans="10:10" x14ac:dyDescent="0.3">
      <c r="J145604"/>
    </row>
    <row r="145605" spans="10:10" x14ac:dyDescent="0.3">
      <c r="J145605"/>
    </row>
    <row r="145606" spans="10:10" x14ac:dyDescent="0.3">
      <c r="J145606"/>
    </row>
    <row r="145607" spans="10:10" x14ac:dyDescent="0.3">
      <c r="J145607"/>
    </row>
    <row r="145608" spans="10:10" x14ac:dyDescent="0.3">
      <c r="J145608"/>
    </row>
    <row r="145609" spans="10:10" x14ac:dyDescent="0.3">
      <c r="J145609"/>
    </row>
    <row r="145610" spans="10:10" x14ac:dyDescent="0.3">
      <c r="J145610"/>
    </row>
    <row r="145611" spans="10:10" x14ac:dyDescent="0.3">
      <c r="J145611"/>
    </row>
    <row r="145612" spans="10:10" x14ac:dyDescent="0.3">
      <c r="J145612"/>
    </row>
    <row r="145613" spans="10:10" x14ac:dyDescent="0.3">
      <c r="J145613"/>
    </row>
    <row r="145614" spans="10:10" x14ac:dyDescent="0.3">
      <c r="J145614"/>
    </row>
    <row r="145615" spans="10:10" x14ac:dyDescent="0.3">
      <c r="J145615"/>
    </row>
    <row r="145616" spans="10:10" x14ac:dyDescent="0.3">
      <c r="J145616"/>
    </row>
    <row r="145617" spans="10:10" x14ac:dyDescent="0.3">
      <c r="J145617"/>
    </row>
    <row r="145618" spans="10:10" x14ac:dyDescent="0.3">
      <c r="J145618"/>
    </row>
    <row r="145619" spans="10:10" x14ac:dyDescent="0.3">
      <c r="J145619"/>
    </row>
    <row r="145620" spans="10:10" x14ac:dyDescent="0.3">
      <c r="J145620"/>
    </row>
    <row r="145621" spans="10:10" x14ac:dyDescent="0.3">
      <c r="J145621"/>
    </row>
    <row r="145622" spans="10:10" x14ac:dyDescent="0.3">
      <c r="J145622"/>
    </row>
    <row r="145623" spans="10:10" x14ac:dyDescent="0.3">
      <c r="J145623"/>
    </row>
    <row r="145624" spans="10:10" x14ac:dyDescent="0.3">
      <c r="J145624"/>
    </row>
    <row r="145625" spans="10:10" x14ac:dyDescent="0.3">
      <c r="J145625"/>
    </row>
    <row r="145626" spans="10:10" x14ac:dyDescent="0.3">
      <c r="J145626"/>
    </row>
    <row r="145627" spans="10:10" x14ac:dyDescent="0.3">
      <c r="J145627"/>
    </row>
    <row r="145628" spans="10:10" x14ac:dyDescent="0.3">
      <c r="J145628"/>
    </row>
    <row r="145629" spans="10:10" x14ac:dyDescent="0.3">
      <c r="J145629"/>
    </row>
    <row r="145630" spans="10:10" x14ac:dyDescent="0.3">
      <c r="J145630"/>
    </row>
    <row r="145631" spans="10:10" x14ac:dyDescent="0.3">
      <c r="J145631"/>
    </row>
    <row r="145632" spans="10:10" x14ac:dyDescent="0.3">
      <c r="J145632"/>
    </row>
    <row r="145633" spans="10:10" x14ac:dyDescent="0.3">
      <c r="J145633"/>
    </row>
    <row r="145634" spans="10:10" x14ac:dyDescent="0.3">
      <c r="J145634"/>
    </row>
    <row r="145635" spans="10:10" x14ac:dyDescent="0.3">
      <c r="J145635"/>
    </row>
    <row r="145636" spans="10:10" x14ac:dyDescent="0.3">
      <c r="J145636"/>
    </row>
    <row r="145637" spans="10:10" x14ac:dyDescent="0.3">
      <c r="J145637"/>
    </row>
    <row r="145638" spans="10:10" x14ac:dyDescent="0.3">
      <c r="J145638"/>
    </row>
    <row r="145639" spans="10:10" x14ac:dyDescent="0.3">
      <c r="J145639"/>
    </row>
    <row r="145640" spans="10:10" x14ac:dyDescent="0.3">
      <c r="J145640"/>
    </row>
    <row r="145641" spans="10:10" x14ac:dyDescent="0.3">
      <c r="J145641"/>
    </row>
    <row r="145642" spans="10:10" x14ac:dyDescent="0.3">
      <c r="J145642"/>
    </row>
    <row r="145643" spans="10:10" x14ac:dyDescent="0.3">
      <c r="J145643"/>
    </row>
    <row r="145644" spans="10:10" x14ac:dyDescent="0.3">
      <c r="J145644"/>
    </row>
    <row r="145645" spans="10:10" x14ac:dyDescent="0.3">
      <c r="J145645"/>
    </row>
    <row r="145646" spans="10:10" x14ac:dyDescent="0.3">
      <c r="J145646"/>
    </row>
    <row r="145647" spans="10:10" x14ac:dyDescent="0.3">
      <c r="J145647"/>
    </row>
    <row r="145648" spans="10:10" x14ac:dyDescent="0.3">
      <c r="J145648"/>
    </row>
    <row r="145649" spans="10:10" x14ac:dyDescent="0.3">
      <c r="J145649"/>
    </row>
    <row r="145650" spans="10:10" x14ac:dyDescent="0.3">
      <c r="J145650"/>
    </row>
    <row r="145651" spans="10:10" x14ac:dyDescent="0.3">
      <c r="J145651"/>
    </row>
    <row r="145652" spans="10:10" x14ac:dyDescent="0.3">
      <c r="J145652"/>
    </row>
    <row r="145653" spans="10:10" x14ac:dyDescent="0.3">
      <c r="J145653"/>
    </row>
    <row r="145654" spans="10:10" x14ac:dyDescent="0.3">
      <c r="J145654"/>
    </row>
    <row r="145655" spans="10:10" x14ac:dyDescent="0.3">
      <c r="J145655"/>
    </row>
    <row r="145656" spans="10:10" x14ac:dyDescent="0.3">
      <c r="J145656"/>
    </row>
    <row r="145657" spans="10:10" x14ac:dyDescent="0.3">
      <c r="J145657"/>
    </row>
    <row r="145658" spans="10:10" x14ac:dyDescent="0.3">
      <c r="J145658"/>
    </row>
    <row r="145659" spans="10:10" x14ac:dyDescent="0.3">
      <c r="J145659"/>
    </row>
    <row r="145660" spans="10:10" x14ac:dyDescent="0.3">
      <c r="J145660"/>
    </row>
    <row r="145661" spans="10:10" x14ac:dyDescent="0.3">
      <c r="J145661"/>
    </row>
    <row r="145662" spans="10:10" x14ac:dyDescent="0.3">
      <c r="J145662"/>
    </row>
    <row r="145663" spans="10:10" x14ac:dyDescent="0.3">
      <c r="J145663"/>
    </row>
    <row r="145664" spans="10:10" x14ac:dyDescent="0.3">
      <c r="J145664"/>
    </row>
    <row r="145665" spans="10:10" x14ac:dyDescent="0.3">
      <c r="J145665"/>
    </row>
    <row r="145666" spans="10:10" x14ac:dyDescent="0.3">
      <c r="J145666"/>
    </row>
    <row r="145667" spans="10:10" x14ac:dyDescent="0.3">
      <c r="J145667"/>
    </row>
    <row r="145668" spans="10:10" x14ac:dyDescent="0.3">
      <c r="J145668"/>
    </row>
    <row r="145669" spans="10:10" x14ac:dyDescent="0.3">
      <c r="J145669"/>
    </row>
    <row r="145670" spans="10:10" x14ac:dyDescent="0.3">
      <c r="J145670"/>
    </row>
    <row r="145671" spans="10:10" x14ac:dyDescent="0.3">
      <c r="J145671"/>
    </row>
    <row r="145672" spans="10:10" x14ac:dyDescent="0.3">
      <c r="J145672"/>
    </row>
    <row r="145673" spans="10:10" x14ac:dyDescent="0.3">
      <c r="J145673"/>
    </row>
    <row r="145674" spans="10:10" x14ac:dyDescent="0.3">
      <c r="J145674"/>
    </row>
    <row r="145675" spans="10:10" x14ac:dyDescent="0.3">
      <c r="J145675"/>
    </row>
    <row r="145676" spans="10:10" x14ac:dyDescent="0.3">
      <c r="J145676"/>
    </row>
    <row r="145677" spans="10:10" x14ac:dyDescent="0.3">
      <c r="J145677"/>
    </row>
    <row r="145678" spans="10:10" x14ac:dyDescent="0.3">
      <c r="J145678"/>
    </row>
    <row r="145679" spans="10:10" x14ac:dyDescent="0.3">
      <c r="J145679"/>
    </row>
    <row r="145680" spans="10:10" x14ac:dyDescent="0.3">
      <c r="J145680"/>
    </row>
    <row r="145681" spans="10:10" x14ac:dyDescent="0.3">
      <c r="J145681"/>
    </row>
    <row r="145682" spans="10:10" x14ac:dyDescent="0.3">
      <c r="J145682"/>
    </row>
    <row r="145683" spans="10:10" x14ac:dyDescent="0.3">
      <c r="J145683"/>
    </row>
    <row r="145684" spans="10:10" x14ac:dyDescent="0.3">
      <c r="J145684"/>
    </row>
    <row r="145685" spans="10:10" x14ac:dyDescent="0.3">
      <c r="J145685"/>
    </row>
    <row r="145686" spans="10:10" x14ac:dyDescent="0.3">
      <c r="J145686"/>
    </row>
    <row r="145687" spans="10:10" x14ac:dyDescent="0.3">
      <c r="J145687"/>
    </row>
    <row r="145688" spans="10:10" x14ac:dyDescent="0.3">
      <c r="J145688"/>
    </row>
    <row r="145689" spans="10:10" x14ac:dyDescent="0.3">
      <c r="J145689"/>
    </row>
    <row r="145690" spans="10:10" x14ac:dyDescent="0.3">
      <c r="J145690"/>
    </row>
    <row r="145691" spans="10:10" x14ac:dyDescent="0.3">
      <c r="J145691"/>
    </row>
    <row r="145692" spans="10:10" x14ac:dyDescent="0.3">
      <c r="J145692"/>
    </row>
    <row r="145693" spans="10:10" x14ac:dyDescent="0.3">
      <c r="J145693"/>
    </row>
    <row r="145694" spans="10:10" x14ac:dyDescent="0.3">
      <c r="J145694"/>
    </row>
    <row r="145695" spans="10:10" x14ac:dyDescent="0.3">
      <c r="J145695"/>
    </row>
    <row r="145696" spans="10:10" x14ac:dyDescent="0.3">
      <c r="J145696"/>
    </row>
    <row r="145697" spans="10:10" x14ac:dyDescent="0.3">
      <c r="J145697"/>
    </row>
    <row r="145698" spans="10:10" x14ac:dyDescent="0.3">
      <c r="J145698"/>
    </row>
    <row r="145699" spans="10:10" x14ac:dyDescent="0.3">
      <c r="J145699"/>
    </row>
    <row r="145700" spans="10:10" x14ac:dyDescent="0.3">
      <c r="J145700"/>
    </row>
    <row r="145701" spans="10:10" x14ac:dyDescent="0.3">
      <c r="J145701"/>
    </row>
    <row r="145702" spans="10:10" x14ac:dyDescent="0.3">
      <c r="J145702"/>
    </row>
    <row r="145703" spans="10:10" x14ac:dyDescent="0.3">
      <c r="J145703"/>
    </row>
    <row r="145704" spans="10:10" x14ac:dyDescent="0.3">
      <c r="J145704"/>
    </row>
    <row r="145705" spans="10:10" x14ac:dyDescent="0.3">
      <c r="J145705"/>
    </row>
    <row r="145706" spans="10:10" x14ac:dyDescent="0.3">
      <c r="J145706"/>
    </row>
    <row r="145707" spans="10:10" x14ac:dyDescent="0.3">
      <c r="J145707"/>
    </row>
    <row r="145708" spans="10:10" x14ac:dyDescent="0.3">
      <c r="J145708"/>
    </row>
    <row r="145709" spans="10:10" x14ac:dyDescent="0.3">
      <c r="J145709"/>
    </row>
    <row r="145710" spans="10:10" x14ac:dyDescent="0.3">
      <c r="J145710"/>
    </row>
    <row r="145711" spans="10:10" x14ac:dyDescent="0.3">
      <c r="J145711"/>
    </row>
    <row r="145712" spans="10:10" x14ac:dyDescent="0.3">
      <c r="J145712"/>
    </row>
    <row r="145713" spans="10:10" x14ac:dyDescent="0.3">
      <c r="J145713"/>
    </row>
    <row r="145714" spans="10:10" x14ac:dyDescent="0.3">
      <c r="J145714"/>
    </row>
    <row r="145715" spans="10:10" x14ac:dyDescent="0.3">
      <c r="J145715"/>
    </row>
    <row r="145716" spans="10:10" x14ac:dyDescent="0.3">
      <c r="J145716"/>
    </row>
    <row r="145717" spans="10:10" x14ac:dyDescent="0.3">
      <c r="J145717"/>
    </row>
    <row r="145718" spans="10:10" x14ac:dyDescent="0.3">
      <c r="J145718"/>
    </row>
    <row r="145719" spans="10:10" x14ac:dyDescent="0.3">
      <c r="J145719"/>
    </row>
    <row r="145720" spans="10:10" x14ac:dyDescent="0.3">
      <c r="J145720"/>
    </row>
    <row r="145721" spans="10:10" x14ac:dyDescent="0.3">
      <c r="J145721"/>
    </row>
    <row r="145722" spans="10:10" x14ac:dyDescent="0.3">
      <c r="J145722"/>
    </row>
    <row r="145723" spans="10:10" x14ac:dyDescent="0.3">
      <c r="J145723"/>
    </row>
    <row r="145724" spans="10:10" x14ac:dyDescent="0.3">
      <c r="J145724"/>
    </row>
    <row r="145725" spans="10:10" x14ac:dyDescent="0.3">
      <c r="J145725"/>
    </row>
    <row r="145726" spans="10:10" x14ac:dyDescent="0.3">
      <c r="J145726"/>
    </row>
    <row r="145727" spans="10:10" x14ac:dyDescent="0.3">
      <c r="J145727"/>
    </row>
    <row r="145728" spans="10:10" x14ac:dyDescent="0.3">
      <c r="J145728"/>
    </row>
    <row r="145729" spans="10:10" x14ac:dyDescent="0.3">
      <c r="J145729"/>
    </row>
    <row r="145730" spans="10:10" x14ac:dyDescent="0.3">
      <c r="J145730"/>
    </row>
    <row r="145731" spans="10:10" x14ac:dyDescent="0.3">
      <c r="J145731"/>
    </row>
    <row r="145732" spans="10:10" x14ac:dyDescent="0.3">
      <c r="J145732"/>
    </row>
    <row r="145733" spans="10:10" x14ac:dyDescent="0.3">
      <c r="J145733"/>
    </row>
    <row r="145734" spans="10:10" x14ac:dyDescent="0.3">
      <c r="J145734"/>
    </row>
    <row r="145735" spans="10:10" x14ac:dyDescent="0.3">
      <c r="J145735"/>
    </row>
    <row r="145736" spans="10:10" x14ac:dyDescent="0.3">
      <c r="J145736"/>
    </row>
    <row r="145737" spans="10:10" x14ac:dyDescent="0.3">
      <c r="J145737"/>
    </row>
    <row r="145738" spans="10:10" x14ac:dyDescent="0.3">
      <c r="J145738"/>
    </row>
    <row r="145739" spans="10:10" x14ac:dyDescent="0.3">
      <c r="J145739"/>
    </row>
    <row r="145740" spans="10:10" x14ac:dyDescent="0.3">
      <c r="J145740"/>
    </row>
    <row r="145741" spans="10:10" x14ac:dyDescent="0.3">
      <c r="J145741"/>
    </row>
    <row r="145742" spans="10:10" x14ac:dyDescent="0.3">
      <c r="J145742"/>
    </row>
    <row r="145743" spans="10:10" x14ac:dyDescent="0.3">
      <c r="J145743"/>
    </row>
    <row r="145744" spans="10:10" x14ac:dyDescent="0.3">
      <c r="J145744"/>
    </row>
    <row r="145745" spans="10:10" x14ac:dyDescent="0.3">
      <c r="J145745"/>
    </row>
    <row r="145746" spans="10:10" x14ac:dyDescent="0.3">
      <c r="J145746"/>
    </row>
    <row r="145747" spans="10:10" x14ac:dyDescent="0.3">
      <c r="J145747"/>
    </row>
    <row r="145748" spans="10:10" x14ac:dyDescent="0.3">
      <c r="J145748"/>
    </row>
    <row r="145749" spans="10:10" x14ac:dyDescent="0.3">
      <c r="J145749"/>
    </row>
    <row r="145750" spans="10:10" x14ac:dyDescent="0.3">
      <c r="J145750"/>
    </row>
    <row r="145751" spans="10:10" x14ac:dyDescent="0.3">
      <c r="J145751"/>
    </row>
    <row r="145752" spans="10:10" x14ac:dyDescent="0.3">
      <c r="J145752"/>
    </row>
    <row r="145753" spans="10:10" x14ac:dyDescent="0.3">
      <c r="J145753"/>
    </row>
    <row r="145754" spans="10:10" x14ac:dyDescent="0.3">
      <c r="J145754"/>
    </row>
    <row r="145755" spans="10:10" x14ac:dyDescent="0.3">
      <c r="J145755"/>
    </row>
    <row r="145756" spans="10:10" x14ac:dyDescent="0.3">
      <c r="J145756"/>
    </row>
    <row r="145757" spans="10:10" x14ac:dyDescent="0.3">
      <c r="J145757"/>
    </row>
    <row r="145758" spans="10:10" x14ac:dyDescent="0.3">
      <c r="J145758"/>
    </row>
    <row r="145759" spans="10:10" x14ac:dyDescent="0.3">
      <c r="J145759"/>
    </row>
    <row r="145760" spans="10:10" x14ac:dyDescent="0.3">
      <c r="J145760"/>
    </row>
    <row r="145761" spans="10:10" x14ac:dyDescent="0.3">
      <c r="J145761"/>
    </row>
    <row r="145762" spans="10:10" x14ac:dyDescent="0.3">
      <c r="J145762"/>
    </row>
    <row r="145763" spans="10:10" x14ac:dyDescent="0.3">
      <c r="J145763"/>
    </row>
    <row r="145764" spans="10:10" x14ac:dyDescent="0.3">
      <c r="J145764"/>
    </row>
    <row r="145765" spans="10:10" x14ac:dyDescent="0.3">
      <c r="J145765"/>
    </row>
    <row r="145766" spans="10:10" x14ac:dyDescent="0.3">
      <c r="J145766"/>
    </row>
    <row r="145767" spans="10:10" x14ac:dyDescent="0.3">
      <c r="J145767"/>
    </row>
    <row r="145768" spans="10:10" x14ac:dyDescent="0.3">
      <c r="J145768"/>
    </row>
    <row r="145769" spans="10:10" x14ac:dyDescent="0.3">
      <c r="J145769"/>
    </row>
    <row r="145770" spans="10:10" x14ac:dyDescent="0.3">
      <c r="J145770"/>
    </row>
    <row r="145771" spans="10:10" x14ac:dyDescent="0.3">
      <c r="J145771"/>
    </row>
    <row r="145772" spans="10:10" x14ac:dyDescent="0.3">
      <c r="J145772"/>
    </row>
    <row r="145773" spans="10:10" x14ac:dyDescent="0.3">
      <c r="J145773"/>
    </row>
    <row r="145774" spans="10:10" x14ac:dyDescent="0.3">
      <c r="J145774"/>
    </row>
    <row r="145775" spans="10:10" x14ac:dyDescent="0.3">
      <c r="J145775"/>
    </row>
    <row r="145776" spans="10:10" x14ac:dyDescent="0.3">
      <c r="J145776"/>
    </row>
    <row r="145777" spans="10:10" x14ac:dyDescent="0.3">
      <c r="J145777"/>
    </row>
    <row r="145778" spans="10:10" x14ac:dyDescent="0.3">
      <c r="J145778"/>
    </row>
    <row r="145779" spans="10:10" x14ac:dyDescent="0.3">
      <c r="J145779"/>
    </row>
    <row r="145780" spans="10:10" x14ac:dyDescent="0.3">
      <c r="J145780"/>
    </row>
    <row r="145781" spans="10:10" x14ac:dyDescent="0.3">
      <c r="J145781"/>
    </row>
    <row r="145782" spans="10:10" x14ac:dyDescent="0.3">
      <c r="J145782"/>
    </row>
    <row r="145783" spans="10:10" x14ac:dyDescent="0.3">
      <c r="J145783"/>
    </row>
    <row r="145784" spans="10:10" x14ac:dyDescent="0.3">
      <c r="J145784"/>
    </row>
    <row r="145785" spans="10:10" x14ac:dyDescent="0.3">
      <c r="J145785"/>
    </row>
    <row r="145786" spans="10:10" x14ac:dyDescent="0.3">
      <c r="J145786"/>
    </row>
    <row r="145787" spans="10:10" x14ac:dyDescent="0.3">
      <c r="J145787"/>
    </row>
    <row r="145788" spans="10:10" x14ac:dyDescent="0.3">
      <c r="J145788"/>
    </row>
    <row r="145789" spans="10:10" x14ac:dyDescent="0.3">
      <c r="J145789"/>
    </row>
    <row r="145790" spans="10:10" x14ac:dyDescent="0.3">
      <c r="J145790"/>
    </row>
    <row r="145791" spans="10:10" x14ac:dyDescent="0.3">
      <c r="J145791"/>
    </row>
    <row r="145792" spans="10:10" x14ac:dyDescent="0.3">
      <c r="J145792"/>
    </row>
    <row r="145793" spans="10:10" x14ac:dyDescent="0.3">
      <c r="J145793"/>
    </row>
    <row r="145794" spans="10:10" x14ac:dyDescent="0.3">
      <c r="J145794"/>
    </row>
    <row r="145795" spans="10:10" x14ac:dyDescent="0.3">
      <c r="J145795"/>
    </row>
    <row r="145796" spans="10:10" x14ac:dyDescent="0.3">
      <c r="J145796"/>
    </row>
    <row r="145797" spans="10:10" x14ac:dyDescent="0.3">
      <c r="J145797"/>
    </row>
    <row r="145798" spans="10:10" x14ac:dyDescent="0.3">
      <c r="J145798"/>
    </row>
    <row r="145799" spans="10:10" x14ac:dyDescent="0.3">
      <c r="J145799"/>
    </row>
    <row r="145800" spans="10:10" x14ac:dyDescent="0.3">
      <c r="J145800"/>
    </row>
    <row r="145801" spans="10:10" x14ac:dyDescent="0.3">
      <c r="J145801"/>
    </row>
    <row r="145802" spans="10:10" x14ac:dyDescent="0.3">
      <c r="J145802"/>
    </row>
    <row r="145803" spans="10:10" x14ac:dyDescent="0.3">
      <c r="J145803"/>
    </row>
    <row r="145804" spans="10:10" x14ac:dyDescent="0.3">
      <c r="J145804"/>
    </row>
    <row r="145805" spans="10:10" x14ac:dyDescent="0.3">
      <c r="J145805"/>
    </row>
    <row r="145806" spans="10:10" x14ac:dyDescent="0.3">
      <c r="J145806"/>
    </row>
    <row r="145807" spans="10:10" x14ac:dyDescent="0.3">
      <c r="J145807"/>
    </row>
    <row r="145808" spans="10:10" x14ac:dyDescent="0.3">
      <c r="J145808"/>
    </row>
    <row r="145809" spans="10:10" x14ac:dyDescent="0.3">
      <c r="J145809"/>
    </row>
    <row r="145810" spans="10:10" x14ac:dyDescent="0.3">
      <c r="J145810"/>
    </row>
    <row r="145811" spans="10:10" x14ac:dyDescent="0.3">
      <c r="J145811"/>
    </row>
    <row r="145812" spans="10:10" x14ac:dyDescent="0.3">
      <c r="J145812"/>
    </row>
    <row r="145813" spans="10:10" x14ac:dyDescent="0.3">
      <c r="J145813"/>
    </row>
    <row r="145814" spans="10:10" x14ac:dyDescent="0.3">
      <c r="J145814"/>
    </row>
    <row r="145815" spans="10:10" x14ac:dyDescent="0.3">
      <c r="J145815"/>
    </row>
    <row r="145816" spans="10:10" x14ac:dyDescent="0.3">
      <c r="J145816"/>
    </row>
    <row r="145817" spans="10:10" x14ac:dyDescent="0.3">
      <c r="J145817"/>
    </row>
    <row r="145818" spans="10:10" x14ac:dyDescent="0.3">
      <c r="J145818"/>
    </row>
    <row r="145819" spans="10:10" x14ac:dyDescent="0.3">
      <c r="J145819"/>
    </row>
    <row r="145820" spans="10:10" x14ac:dyDescent="0.3">
      <c r="J145820"/>
    </row>
    <row r="145821" spans="10:10" x14ac:dyDescent="0.3">
      <c r="J145821"/>
    </row>
    <row r="145822" spans="10:10" x14ac:dyDescent="0.3">
      <c r="J145822"/>
    </row>
    <row r="145823" spans="10:10" x14ac:dyDescent="0.3">
      <c r="J145823"/>
    </row>
    <row r="145824" spans="10:10" x14ac:dyDescent="0.3">
      <c r="J145824"/>
    </row>
    <row r="145825" spans="10:10" x14ac:dyDescent="0.3">
      <c r="J145825"/>
    </row>
    <row r="145826" spans="10:10" x14ac:dyDescent="0.3">
      <c r="J145826"/>
    </row>
    <row r="145827" spans="10:10" x14ac:dyDescent="0.3">
      <c r="J145827"/>
    </row>
    <row r="145828" spans="10:10" x14ac:dyDescent="0.3">
      <c r="J145828"/>
    </row>
    <row r="145829" spans="10:10" x14ac:dyDescent="0.3">
      <c r="J145829"/>
    </row>
    <row r="145830" spans="10:10" x14ac:dyDescent="0.3">
      <c r="J145830"/>
    </row>
    <row r="145831" spans="10:10" x14ac:dyDescent="0.3">
      <c r="J145831"/>
    </row>
    <row r="145832" spans="10:10" x14ac:dyDescent="0.3">
      <c r="J145832"/>
    </row>
    <row r="145833" spans="10:10" x14ac:dyDescent="0.3">
      <c r="J145833"/>
    </row>
    <row r="145834" spans="10:10" x14ac:dyDescent="0.3">
      <c r="J145834"/>
    </row>
    <row r="145835" spans="10:10" x14ac:dyDescent="0.3">
      <c r="J145835"/>
    </row>
    <row r="145836" spans="10:10" x14ac:dyDescent="0.3">
      <c r="J145836"/>
    </row>
    <row r="145837" spans="10:10" x14ac:dyDescent="0.3">
      <c r="J145837"/>
    </row>
    <row r="145838" spans="10:10" x14ac:dyDescent="0.3">
      <c r="J145838"/>
    </row>
    <row r="145839" spans="10:10" x14ac:dyDescent="0.3">
      <c r="J145839"/>
    </row>
    <row r="145840" spans="10:10" x14ac:dyDescent="0.3">
      <c r="J145840"/>
    </row>
    <row r="145841" spans="10:10" x14ac:dyDescent="0.3">
      <c r="J145841"/>
    </row>
    <row r="145842" spans="10:10" x14ac:dyDescent="0.3">
      <c r="J145842"/>
    </row>
    <row r="145843" spans="10:10" x14ac:dyDescent="0.3">
      <c r="J145843"/>
    </row>
    <row r="145844" spans="10:10" x14ac:dyDescent="0.3">
      <c r="J145844"/>
    </row>
    <row r="145845" spans="10:10" x14ac:dyDescent="0.3">
      <c r="J145845"/>
    </row>
    <row r="145846" spans="10:10" x14ac:dyDescent="0.3">
      <c r="J145846"/>
    </row>
    <row r="145847" spans="10:10" x14ac:dyDescent="0.3">
      <c r="J145847"/>
    </row>
    <row r="145848" spans="10:10" x14ac:dyDescent="0.3">
      <c r="J145848"/>
    </row>
    <row r="145849" spans="10:10" x14ac:dyDescent="0.3">
      <c r="J145849"/>
    </row>
    <row r="145850" spans="10:10" x14ac:dyDescent="0.3">
      <c r="J145850"/>
    </row>
    <row r="145851" spans="10:10" x14ac:dyDescent="0.3">
      <c r="J145851"/>
    </row>
    <row r="145852" spans="10:10" x14ac:dyDescent="0.3">
      <c r="J145852"/>
    </row>
    <row r="145853" spans="10:10" x14ac:dyDescent="0.3">
      <c r="J145853"/>
    </row>
    <row r="145854" spans="10:10" x14ac:dyDescent="0.3">
      <c r="J145854"/>
    </row>
    <row r="145855" spans="10:10" x14ac:dyDescent="0.3">
      <c r="J145855"/>
    </row>
    <row r="145856" spans="10:10" x14ac:dyDescent="0.3">
      <c r="J145856"/>
    </row>
    <row r="145857" spans="10:10" x14ac:dyDescent="0.3">
      <c r="J145857"/>
    </row>
    <row r="145858" spans="10:10" x14ac:dyDescent="0.3">
      <c r="J145858"/>
    </row>
    <row r="145859" spans="10:10" x14ac:dyDescent="0.3">
      <c r="J145859"/>
    </row>
    <row r="145860" spans="10:10" x14ac:dyDescent="0.3">
      <c r="J145860"/>
    </row>
    <row r="145861" spans="10:10" x14ac:dyDescent="0.3">
      <c r="J145861"/>
    </row>
    <row r="145862" spans="10:10" x14ac:dyDescent="0.3">
      <c r="J145862"/>
    </row>
    <row r="145863" spans="10:10" x14ac:dyDescent="0.3">
      <c r="J145863"/>
    </row>
    <row r="145864" spans="10:10" x14ac:dyDescent="0.3">
      <c r="J145864"/>
    </row>
    <row r="145865" spans="10:10" x14ac:dyDescent="0.3">
      <c r="J145865"/>
    </row>
    <row r="145866" spans="10:10" x14ac:dyDescent="0.3">
      <c r="J145866"/>
    </row>
    <row r="145867" spans="10:10" x14ac:dyDescent="0.3">
      <c r="J145867"/>
    </row>
    <row r="145868" spans="10:10" x14ac:dyDescent="0.3">
      <c r="J145868"/>
    </row>
    <row r="145869" spans="10:10" x14ac:dyDescent="0.3">
      <c r="J145869"/>
    </row>
    <row r="145870" spans="10:10" x14ac:dyDescent="0.3">
      <c r="J145870"/>
    </row>
    <row r="145871" spans="10:10" x14ac:dyDescent="0.3">
      <c r="J145871"/>
    </row>
    <row r="145872" spans="10:10" x14ac:dyDescent="0.3">
      <c r="J145872"/>
    </row>
    <row r="145873" spans="10:10" x14ac:dyDescent="0.3">
      <c r="J145873"/>
    </row>
    <row r="145874" spans="10:10" x14ac:dyDescent="0.3">
      <c r="J145874"/>
    </row>
    <row r="145875" spans="10:10" x14ac:dyDescent="0.3">
      <c r="J145875"/>
    </row>
    <row r="145876" spans="10:10" x14ac:dyDescent="0.3">
      <c r="J145876"/>
    </row>
    <row r="145877" spans="10:10" x14ac:dyDescent="0.3">
      <c r="J145877"/>
    </row>
    <row r="145878" spans="10:10" x14ac:dyDescent="0.3">
      <c r="J145878"/>
    </row>
    <row r="145879" spans="10:10" x14ac:dyDescent="0.3">
      <c r="J145879"/>
    </row>
    <row r="145880" spans="10:10" x14ac:dyDescent="0.3">
      <c r="J145880"/>
    </row>
    <row r="145881" spans="10:10" x14ac:dyDescent="0.3">
      <c r="J145881"/>
    </row>
    <row r="145882" spans="10:10" x14ac:dyDescent="0.3">
      <c r="J145882"/>
    </row>
    <row r="145883" spans="10:10" x14ac:dyDescent="0.3">
      <c r="J145883"/>
    </row>
    <row r="145884" spans="10:10" x14ac:dyDescent="0.3">
      <c r="J145884"/>
    </row>
    <row r="145885" spans="10:10" x14ac:dyDescent="0.3">
      <c r="J145885"/>
    </row>
    <row r="145886" spans="10:10" x14ac:dyDescent="0.3">
      <c r="J145886"/>
    </row>
    <row r="145887" spans="10:10" x14ac:dyDescent="0.3">
      <c r="J145887"/>
    </row>
    <row r="145888" spans="10:10" x14ac:dyDescent="0.3">
      <c r="J145888"/>
    </row>
    <row r="145889" spans="10:10" x14ac:dyDescent="0.3">
      <c r="J145889"/>
    </row>
    <row r="145890" spans="10:10" x14ac:dyDescent="0.3">
      <c r="J145890"/>
    </row>
    <row r="145891" spans="10:10" x14ac:dyDescent="0.3">
      <c r="J145891"/>
    </row>
    <row r="145892" spans="10:10" x14ac:dyDescent="0.3">
      <c r="J145892"/>
    </row>
    <row r="145893" spans="10:10" x14ac:dyDescent="0.3">
      <c r="J145893"/>
    </row>
    <row r="145894" spans="10:10" x14ac:dyDescent="0.3">
      <c r="J145894"/>
    </row>
    <row r="145895" spans="10:10" x14ac:dyDescent="0.3">
      <c r="J145895"/>
    </row>
    <row r="145896" spans="10:10" x14ac:dyDescent="0.3">
      <c r="J145896"/>
    </row>
    <row r="145897" spans="10:10" x14ac:dyDescent="0.3">
      <c r="J145897"/>
    </row>
    <row r="145898" spans="10:10" x14ac:dyDescent="0.3">
      <c r="J145898"/>
    </row>
    <row r="145899" spans="10:10" x14ac:dyDescent="0.3">
      <c r="J145899"/>
    </row>
    <row r="145900" spans="10:10" x14ac:dyDescent="0.3">
      <c r="J145900"/>
    </row>
    <row r="145901" spans="10:10" x14ac:dyDescent="0.3">
      <c r="J145901"/>
    </row>
    <row r="145902" spans="10:10" x14ac:dyDescent="0.3">
      <c r="J145902"/>
    </row>
    <row r="145903" spans="10:10" x14ac:dyDescent="0.3">
      <c r="J145903"/>
    </row>
    <row r="145904" spans="10:10" x14ac:dyDescent="0.3">
      <c r="J145904"/>
    </row>
    <row r="145905" spans="10:10" x14ac:dyDescent="0.3">
      <c r="J145905"/>
    </row>
    <row r="145906" spans="10:10" x14ac:dyDescent="0.3">
      <c r="J145906"/>
    </row>
    <row r="145907" spans="10:10" x14ac:dyDescent="0.3">
      <c r="J145907"/>
    </row>
    <row r="145908" spans="10:10" x14ac:dyDescent="0.3">
      <c r="J145908"/>
    </row>
    <row r="145909" spans="10:10" x14ac:dyDescent="0.3">
      <c r="J145909"/>
    </row>
    <row r="145910" spans="10:10" x14ac:dyDescent="0.3">
      <c r="J145910"/>
    </row>
    <row r="145911" spans="10:10" x14ac:dyDescent="0.3">
      <c r="J145911"/>
    </row>
    <row r="145912" spans="10:10" x14ac:dyDescent="0.3">
      <c r="J145912"/>
    </row>
    <row r="145913" spans="10:10" x14ac:dyDescent="0.3">
      <c r="J145913"/>
    </row>
    <row r="145914" spans="10:10" x14ac:dyDescent="0.3">
      <c r="J145914"/>
    </row>
    <row r="145915" spans="10:10" x14ac:dyDescent="0.3">
      <c r="J145915"/>
    </row>
    <row r="145916" spans="10:10" x14ac:dyDescent="0.3">
      <c r="J145916"/>
    </row>
    <row r="145917" spans="10:10" x14ac:dyDescent="0.3">
      <c r="J145917"/>
    </row>
    <row r="145918" spans="10:10" x14ac:dyDescent="0.3">
      <c r="J145918"/>
    </row>
    <row r="145919" spans="10:10" x14ac:dyDescent="0.3">
      <c r="J145919"/>
    </row>
    <row r="145920" spans="10:10" x14ac:dyDescent="0.3">
      <c r="J145920"/>
    </row>
    <row r="145921" spans="10:10" x14ac:dyDescent="0.3">
      <c r="J145921"/>
    </row>
    <row r="145922" spans="10:10" x14ac:dyDescent="0.3">
      <c r="J145922"/>
    </row>
    <row r="145923" spans="10:10" x14ac:dyDescent="0.3">
      <c r="J145923"/>
    </row>
    <row r="145924" spans="10:10" x14ac:dyDescent="0.3">
      <c r="J145924"/>
    </row>
    <row r="145925" spans="10:10" x14ac:dyDescent="0.3">
      <c r="J145925"/>
    </row>
    <row r="145926" spans="10:10" x14ac:dyDescent="0.3">
      <c r="J145926"/>
    </row>
    <row r="145927" spans="10:10" x14ac:dyDescent="0.3">
      <c r="J145927"/>
    </row>
    <row r="145928" spans="10:10" x14ac:dyDescent="0.3">
      <c r="J145928"/>
    </row>
    <row r="145929" spans="10:10" x14ac:dyDescent="0.3">
      <c r="J145929"/>
    </row>
    <row r="145930" spans="10:10" x14ac:dyDescent="0.3">
      <c r="J145930"/>
    </row>
    <row r="145931" spans="10:10" x14ac:dyDescent="0.3">
      <c r="J145931"/>
    </row>
    <row r="145932" spans="10:10" x14ac:dyDescent="0.3">
      <c r="J145932"/>
    </row>
    <row r="145933" spans="10:10" x14ac:dyDescent="0.3">
      <c r="J145933"/>
    </row>
    <row r="145934" spans="10:10" x14ac:dyDescent="0.3">
      <c r="J145934"/>
    </row>
    <row r="145935" spans="10:10" x14ac:dyDescent="0.3">
      <c r="J145935"/>
    </row>
    <row r="145936" spans="10:10" x14ac:dyDescent="0.3">
      <c r="J145936"/>
    </row>
    <row r="145937" spans="10:10" x14ac:dyDescent="0.3">
      <c r="J145937"/>
    </row>
    <row r="145938" spans="10:10" x14ac:dyDescent="0.3">
      <c r="J145938"/>
    </row>
    <row r="145939" spans="10:10" x14ac:dyDescent="0.3">
      <c r="J145939"/>
    </row>
    <row r="145940" spans="10:10" x14ac:dyDescent="0.3">
      <c r="J145940"/>
    </row>
    <row r="145941" spans="10:10" x14ac:dyDescent="0.3">
      <c r="J145941"/>
    </row>
    <row r="145942" spans="10:10" x14ac:dyDescent="0.3">
      <c r="J145942"/>
    </row>
    <row r="145943" spans="10:10" x14ac:dyDescent="0.3">
      <c r="J145943"/>
    </row>
    <row r="145944" spans="10:10" x14ac:dyDescent="0.3">
      <c r="J145944"/>
    </row>
    <row r="145945" spans="10:10" x14ac:dyDescent="0.3">
      <c r="J145945"/>
    </row>
    <row r="145946" spans="10:10" x14ac:dyDescent="0.3">
      <c r="J145946"/>
    </row>
    <row r="145947" spans="10:10" x14ac:dyDescent="0.3">
      <c r="J145947"/>
    </row>
    <row r="145948" spans="10:10" x14ac:dyDescent="0.3">
      <c r="J145948"/>
    </row>
    <row r="145949" spans="10:10" x14ac:dyDescent="0.3">
      <c r="J145949"/>
    </row>
    <row r="145950" spans="10:10" x14ac:dyDescent="0.3">
      <c r="J145950"/>
    </row>
    <row r="145951" spans="10:10" x14ac:dyDescent="0.3">
      <c r="J145951"/>
    </row>
    <row r="145952" spans="10:10" x14ac:dyDescent="0.3">
      <c r="J145952"/>
    </row>
    <row r="145953" spans="10:10" x14ac:dyDescent="0.3">
      <c r="J145953"/>
    </row>
    <row r="145954" spans="10:10" x14ac:dyDescent="0.3">
      <c r="J145954"/>
    </row>
    <row r="145955" spans="10:10" x14ac:dyDescent="0.3">
      <c r="J145955"/>
    </row>
    <row r="145956" spans="10:10" x14ac:dyDescent="0.3">
      <c r="J145956"/>
    </row>
    <row r="145957" spans="10:10" x14ac:dyDescent="0.3">
      <c r="J145957"/>
    </row>
    <row r="145958" spans="10:10" x14ac:dyDescent="0.3">
      <c r="J145958"/>
    </row>
    <row r="145959" spans="10:10" x14ac:dyDescent="0.3">
      <c r="J145959"/>
    </row>
    <row r="145960" spans="10:10" x14ac:dyDescent="0.3">
      <c r="J145960"/>
    </row>
    <row r="145961" spans="10:10" x14ac:dyDescent="0.3">
      <c r="J145961"/>
    </row>
    <row r="145962" spans="10:10" x14ac:dyDescent="0.3">
      <c r="J145962"/>
    </row>
    <row r="145963" spans="10:10" x14ac:dyDescent="0.3">
      <c r="J145963"/>
    </row>
    <row r="145964" spans="10:10" x14ac:dyDescent="0.3">
      <c r="J145964"/>
    </row>
    <row r="145965" spans="10:10" x14ac:dyDescent="0.3">
      <c r="J145965"/>
    </row>
    <row r="145966" spans="10:10" x14ac:dyDescent="0.3">
      <c r="J145966"/>
    </row>
    <row r="145967" spans="10:10" x14ac:dyDescent="0.3">
      <c r="J145967"/>
    </row>
    <row r="145968" spans="10:10" x14ac:dyDescent="0.3">
      <c r="J145968"/>
    </row>
    <row r="145969" spans="10:10" x14ac:dyDescent="0.3">
      <c r="J145969"/>
    </row>
    <row r="145970" spans="10:10" x14ac:dyDescent="0.3">
      <c r="J145970"/>
    </row>
    <row r="145971" spans="10:10" x14ac:dyDescent="0.3">
      <c r="J145971"/>
    </row>
    <row r="145972" spans="10:10" x14ac:dyDescent="0.3">
      <c r="J145972"/>
    </row>
    <row r="145973" spans="10:10" x14ac:dyDescent="0.3">
      <c r="J145973"/>
    </row>
    <row r="145974" spans="10:10" x14ac:dyDescent="0.3">
      <c r="J145974"/>
    </row>
    <row r="145975" spans="10:10" x14ac:dyDescent="0.3">
      <c r="J145975"/>
    </row>
    <row r="145976" spans="10:10" x14ac:dyDescent="0.3">
      <c r="J145976"/>
    </row>
    <row r="145977" spans="10:10" x14ac:dyDescent="0.3">
      <c r="J145977"/>
    </row>
    <row r="145978" spans="10:10" x14ac:dyDescent="0.3">
      <c r="J145978"/>
    </row>
    <row r="145979" spans="10:10" x14ac:dyDescent="0.3">
      <c r="J145979"/>
    </row>
    <row r="145980" spans="10:10" x14ac:dyDescent="0.3">
      <c r="J145980"/>
    </row>
    <row r="145981" spans="10:10" x14ac:dyDescent="0.3">
      <c r="J145981"/>
    </row>
    <row r="145982" spans="10:10" x14ac:dyDescent="0.3">
      <c r="J145982"/>
    </row>
    <row r="145983" spans="10:10" x14ac:dyDescent="0.3">
      <c r="J145983"/>
    </row>
    <row r="145984" spans="10:10" x14ac:dyDescent="0.3">
      <c r="J145984"/>
    </row>
    <row r="145985" spans="10:10" x14ac:dyDescent="0.3">
      <c r="J145985"/>
    </row>
    <row r="145986" spans="10:10" x14ac:dyDescent="0.3">
      <c r="J145986"/>
    </row>
    <row r="145987" spans="10:10" x14ac:dyDescent="0.3">
      <c r="J145987"/>
    </row>
    <row r="145988" spans="10:10" x14ac:dyDescent="0.3">
      <c r="J145988"/>
    </row>
    <row r="145989" spans="10:10" x14ac:dyDescent="0.3">
      <c r="J145989"/>
    </row>
    <row r="145990" spans="10:10" x14ac:dyDescent="0.3">
      <c r="J145990"/>
    </row>
    <row r="145991" spans="10:10" x14ac:dyDescent="0.3">
      <c r="J145991"/>
    </row>
    <row r="145992" spans="10:10" x14ac:dyDescent="0.3">
      <c r="J145992"/>
    </row>
    <row r="145993" spans="10:10" x14ac:dyDescent="0.3">
      <c r="J145993"/>
    </row>
    <row r="145994" spans="10:10" x14ac:dyDescent="0.3">
      <c r="J145994"/>
    </row>
    <row r="145995" spans="10:10" x14ac:dyDescent="0.3">
      <c r="J145995"/>
    </row>
    <row r="145996" spans="10:10" x14ac:dyDescent="0.3">
      <c r="J145996"/>
    </row>
    <row r="145997" spans="10:10" x14ac:dyDescent="0.3">
      <c r="J145997"/>
    </row>
    <row r="145998" spans="10:10" x14ac:dyDescent="0.3">
      <c r="J145998"/>
    </row>
    <row r="145999" spans="10:10" x14ac:dyDescent="0.3">
      <c r="J145999"/>
    </row>
    <row r="146000" spans="10:10" x14ac:dyDescent="0.3">
      <c r="J146000"/>
    </row>
    <row r="146001" spans="10:10" x14ac:dyDescent="0.3">
      <c r="J146001"/>
    </row>
    <row r="146002" spans="10:10" x14ac:dyDescent="0.3">
      <c r="J146002"/>
    </row>
    <row r="146003" spans="10:10" x14ac:dyDescent="0.3">
      <c r="J146003"/>
    </row>
    <row r="146004" spans="10:10" x14ac:dyDescent="0.3">
      <c r="J146004"/>
    </row>
    <row r="146005" spans="10:10" x14ac:dyDescent="0.3">
      <c r="J146005"/>
    </row>
    <row r="146006" spans="10:10" x14ac:dyDescent="0.3">
      <c r="J146006"/>
    </row>
    <row r="146007" spans="10:10" x14ac:dyDescent="0.3">
      <c r="J146007"/>
    </row>
    <row r="146008" spans="10:10" x14ac:dyDescent="0.3">
      <c r="J146008"/>
    </row>
    <row r="146009" spans="10:10" x14ac:dyDescent="0.3">
      <c r="J146009"/>
    </row>
    <row r="146010" spans="10:10" x14ac:dyDescent="0.3">
      <c r="J146010"/>
    </row>
    <row r="146011" spans="10:10" x14ac:dyDescent="0.3">
      <c r="J146011"/>
    </row>
    <row r="146012" spans="10:10" x14ac:dyDescent="0.3">
      <c r="J146012"/>
    </row>
    <row r="146013" spans="10:10" x14ac:dyDescent="0.3">
      <c r="J146013"/>
    </row>
    <row r="146014" spans="10:10" x14ac:dyDescent="0.3">
      <c r="J146014"/>
    </row>
    <row r="146015" spans="10:10" x14ac:dyDescent="0.3">
      <c r="J146015"/>
    </row>
    <row r="146016" spans="10:10" x14ac:dyDescent="0.3">
      <c r="J146016"/>
    </row>
    <row r="146017" spans="10:10" x14ac:dyDescent="0.3">
      <c r="J146017"/>
    </row>
    <row r="146018" spans="10:10" x14ac:dyDescent="0.3">
      <c r="J146018"/>
    </row>
    <row r="146019" spans="10:10" x14ac:dyDescent="0.3">
      <c r="J146019"/>
    </row>
    <row r="146020" spans="10:10" x14ac:dyDescent="0.3">
      <c r="J146020"/>
    </row>
    <row r="146021" spans="10:10" x14ac:dyDescent="0.3">
      <c r="J146021"/>
    </row>
    <row r="146022" spans="10:10" x14ac:dyDescent="0.3">
      <c r="J146022"/>
    </row>
    <row r="146023" spans="10:10" x14ac:dyDescent="0.3">
      <c r="J146023"/>
    </row>
    <row r="146024" spans="10:10" x14ac:dyDescent="0.3">
      <c r="J146024"/>
    </row>
    <row r="146025" spans="10:10" x14ac:dyDescent="0.3">
      <c r="J146025"/>
    </row>
    <row r="146026" spans="10:10" x14ac:dyDescent="0.3">
      <c r="J146026"/>
    </row>
    <row r="146027" spans="10:10" x14ac:dyDescent="0.3">
      <c r="J146027"/>
    </row>
    <row r="146028" spans="10:10" x14ac:dyDescent="0.3">
      <c r="J146028"/>
    </row>
    <row r="146029" spans="10:10" x14ac:dyDescent="0.3">
      <c r="J146029"/>
    </row>
    <row r="146030" spans="10:10" x14ac:dyDescent="0.3">
      <c r="J146030"/>
    </row>
    <row r="146031" spans="10:10" x14ac:dyDescent="0.3">
      <c r="J146031"/>
    </row>
    <row r="146032" spans="10:10" x14ac:dyDescent="0.3">
      <c r="J146032"/>
    </row>
    <row r="146033" spans="10:10" x14ac:dyDescent="0.3">
      <c r="J146033"/>
    </row>
    <row r="146034" spans="10:10" x14ac:dyDescent="0.3">
      <c r="J146034"/>
    </row>
    <row r="146035" spans="10:10" x14ac:dyDescent="0.3">
      <c r="J146035"/>
    </row>
    <row r="146036" spans="10:10" x14ac:dyDescent="0.3">
      <c r="J146036"/>
    </row>
    <row r="146037" spans="10:10" x14ac:dyDescent="0.3">
      <c r="J146037"/>
    </row>
    <row r="146038" spans="10:10" x14ac:dyDescent="0.3">
      <c r="J146038"/>
    </row>
    <row r="146039" spans="10:10" x14ac:dyDescent="0.3">
      <c r="J146039"/>
    </row>
    <row r="146040" spans="10:10" x14ac:dyDescent="0.3">
      <c r="J146040"/>
    </row>
    <row r="146041" spans="10:10" x14ac:dyDescent="0.3">
      <c r="J146041"/>
    </row>
    <row r="146042" spans="10:10" x14ac:dyDescent="0.3">
      <c r="J146042"/>
    </row>
    <row r="146043" spans="10:10" x14ac:dyDescent="0.3">
      <c r="J146043"/>
    </row>
    <row r="146044" spans="10:10" x14ac:dyDescent="0.3">
      <c r="J146044"/>
    </row>
    <row r="146045" spans="10:10" x14ac:dyDescent="0.3">
      <c r="J146045"/>
    </row>
    <row r="146046" spans="10:10" x14ac:dyDescent="0.3">
      <c r="J146046"/>
    </row>
    <row r="146047" spans="10:10" x14ac:dyDescent="0.3">
      <c r="J146047"/>
    </row>
    <row r="146048" spans="10:10" x14ac:dyDescent="0.3">
      <c r="J146048"/>
    </row>
    <row r="146049" spans="10:10" x14ac:dyDescent="0.3">
      <c r="J146049"/>
    </row>
    <row r="146050" spans="10:10" x14ac:dyDescent="0.3">
      <c r="J146050"/>
    </row>
    <row r="146051" spans="10:10" x14ac:dyDescent="0.3">
      <c r="J146051"/>
    </row>
    <row r="146052" spans="10:10" x14ac:dyDescent="0.3">
      <c r="J146052"/>
    </row>
    <row r="146053" spans="10:10" x14ac:dyDescent="0.3">
      <c r="J146053"/>
    </row>
    <row r="146054" spans="10:10" x14ac:dyDescent="0.3">
      <c r="J146054"/>
    </row>
    <row r="146055" spans="10:10" x14ac:dyDescent="0.3">
      <c r="J146055"/>
    </row>
    <row r="146056" spans="10:10" x14ac:dyDescent="0.3">
      <c r="J146056"/>
    </row>
    <row r="146057" spans="10:10" x14ac:dyDescent="0.3">
      <c r="J146057"/>
    </row>
    <row r="146058" spans="10:10" x14ac:dyDescent="0.3">
      <c r="J146058"/>
    </row>
    <row r="146059" spans="10:10" x14ac:dyDescent="0.3">
      <c r="J146059"/>
    </row>
    <row r="146060" spans="10:10" x14ac:dyDescent="0.3">
      <c r="J146060"/>
    </row>
    <row r="146061" spans="10:10" x14ac:dyDescent="0.3">
      <c r="J146061"/>
    </row>
    <row r="146062" spans="10:10" x14ac:dyDescent="0.3">
      <c r="J146062"/>
    </row>
    <row r="146063" spans="10:10" x14ac:dyDescent="0.3">
      <c r="J146063"/>
    </row>
    <row r="146064" spans="10:10" x14ac:dyDescent="0.3">
      <c r="J146064"/>
    </row>
    <row r="146065" spans="10:10" x14ac:dyDescent="0.3">
      <c r="J146065"/>
    </row>
    <row r="146066" spans="10:10" x14ac:dyDescent="0.3">
      <c r="J146066"/>
    </row>
    <row r="146067" spans="10:10" x14ac:dyDescent="0.3">
      <c r="J146067"/>
    </row>
    <row r="146068" spans="10:10" x14ac:dyDescent="0.3">
      <c r="J146068"/>
    </row>
    <row r="146069" spans="10:10" x14ac:dyDescent="0.3">
      <c r="J146069"/>
    </row>
    <row r="146070" spans="10:10" x14ac:dyDescent="0.3">
      <c r="J146070"/>
    </row>
    <row r="146071" spans="10:10" x14ac:dyDescent="0.3">
      <c r="J146071"/>
    </row>
    <row r="146072" spans="10:10" x14ac:dyDescent="0.3">
      <c r="J146072"/>
    </row>
    <row r="146073" spans="10:10" x14ac:dyDescent="0.3">
      <c r="J146073"/>
    </row>
    <row r="146074" spans="10:10" x14ac:dyDescent="0.3">
      <c r="J146074"/>
    </row>
    <row r="146075" spans="10:10" x14ac:dyDescent="0.3">
      <c r="J146075"/>
    </row>
    <row r="146076" spans="10:10" x14ac:dyDescent="0.3">
      <c r="J146076"/>
    </row>
    <row r="146077" spans="10:10" x14ac:dyDescent="0.3">
      <c r="J146077"/>
    </row>
    <row r="146078" spans="10:10" x14ac:dyDescent="0.3">
      <c r="J146078"/>
    </row>
    <row r="146079" spans="10:10" x14ac:dyDescent="0.3">
      <c r="J146079"/>
    </row>
    <row r="146080" spans="10:10" x14ac:dyDescent="0.3">
      <c r="J146080"/>
    </row>
    <row r="146081" spans="10:10" x14ac:dyDescent="0.3">
      <c r="J146081"/>
    </row>
    <row r="146082" spans="10:10" x14ac:dyDescent="0.3">
      <c r="J146082"/>
    </row>
    <row r="146083" spans="10:10" x14ac:dyDescent="0.3">
      <c r="J146083"/>
    </row>
    <row r="146084" spans="10:10" x14ac:dyDescent="0.3">
      <c r="J146084"/>
    </row>
    <row r="146085" spans="10:10" x14ac:dyDescent="0.3">
      <c r="J146085"/>
    </row>
    <row r="146086" spans="10:10" x14ac:dyDescent="0.3">
      <c r="J146086"/>
    </row>
    <row r="146087" spans="10:10" x14ac:dyDescent="0.3">
      <c r="J146087"/>
    </row>
    <row r="146088" spans="10:10" x14ac:dyDescent="0.3">
      <c r="J146088"/>
    </row>
    <row r="146089" spans="10:10" x14ac:dyDescent="0.3">
      <c r="J146089"/>
    </row>
    <row r="146090" spans="10:10" x14ac:dyDescent="0.3">
      <c r="J146090"/>
    </row>
    <row r="146091" spans="10:10" x14ac:dyDescent="0.3">
      <c r="J146091"/>
    </row>
    <row r="146092" spans="10:10" x14ac:dyDescent="0.3">
      <c r="J146092"/>
    </row>
    <row r="146093" spans="10:10" x14ac:dyDescent="0.3">
      <c r="J146093"/>
    </row>
    <row r="146094" spans="10:10" x14ac:dyDescent="0.3">
      <c r="J146094"/>
    </row>
    <row r="146095" spans="10:10" x14ac:dyDescent="0.3">
      <c r="J146095"/>
    </row>
    <row r="146096" spans="10:10" x14ac:dyDescent="0.3">
      <c r="J146096"/>
    </row>
    <row r="146097" spans="10:10" x14ac:dyDescent="0.3">
      <c r="J146097"/>
    </row>
    <row r="146098" spans="10:10" x14ac:dyDescent="0.3">
      <c r="J146098"/>
    </row>
    <row r="146099" spans="10:10" x14ac:dyDescent="0.3">
      <c r="J146099"/>
    </row>
    <row r="146100" spans="10:10" x14ac:dyDescent="0.3">
      <c r="J146100"/>
    </row>
    <row r="146101" spans="10:10" x14ac:dyDescent="0.3">
      <c r="J146101"/>
    </row>
    <row r="146102" spans="10:10" x14ac:dyDescent="0.3">
      <c r="J146102"/>
    </row>
    <row r="146103" spans="10:10" x14ac:dyDescent="0.3">
      <c r="J146103"/>
    </row>
    <row r="146104" spans="10:10" x14ac:dyDescent="0.3">
      <c r="J146104"/>
    </row>
    <row r="146105" spans="10:10" x14ac:dyDescent="0.3">
      <c r="J146105"/>
    </row>
    <row r="146106" spans="10:10" x14ac:dyDescent="0.3">
      <c r="J146106"/>
    </row>
    <row r="146107" spans="10:10" x14ac:dyDescent="0.3">
      <c r="J146107"/>
    </row>
    <row r="146108" spans="10:10" x14ac:dyDescent="0.3">
      <c r="J146108"/>
    </row>
    <row r="146109" spans="10:10" x14ac:dyDescent="0.3">
      <c r="J146109"/>
    </row>
    <row r="146110" spans="10:10" x14ac:dyDescent="0.3">
      <c r="J146110"/>
    </row>
    <row r="146111" spans="10:10" x14ac:dyDescent="0.3">
      <c r="J146111"/>
    </row>
    <row r="146112" spans="10:10" x14ac:dyDescent="0.3">
      <c r="J146112"/>
    </row>
    <row r="146113" spans="10:10" x14ac:dyDescent="0.3">
      <c r="J146113"/>
    </row>
    <row r="146114" spans="10:10" x14ac:dyDescent="0.3">
      <c r="J146114"/>
    </row>
    <row r="146115" spans="10:10" x14ac:dyDescent="0.3">
      <c r="J146115"/>
    </row>
    <row r="146116" spans="10:10" x14ac:dyDescent="0.3">
      <c r="J146116"/>
    </row>
    <row r="146117" spans="10:10" x14ac:dyDescent="0.3">
      <c r="J146117"/>
    </row>
    <row r="146118" spans="10:10" x14ac:dyDescent="0.3">
      <c r="J146118"/>
    </row>
    <row r="146119" spans="10:10" x14ac:dyDescent="0.3">
      <c r="J146119"/>
    </row>
    <row r="146120" spans="10:10" x14ac:dyDescent="0.3">
      <c r="J146120"/>
    </row>
    <row r="146121" spans="10:10" x14ac:dyDescent="0.3">
      <c r="J146121"/>
    </row>
    <row r="146122" spans="10:10" x14ac:dyDescent="0.3">
      <c r="J146122"/>
    </row>
    <row r="146123" spans="10:10" x14ac:dyDescent="0.3">
      <c r="J146123"/>
    </row>
    <row r="146124" spans="10:10" x14ac:dyDescent="0.3">
      <c r="J146124"/>
    </row>
    <row r="146125" spans="10:10" x14ac:dyDescent="0.3">
      <c r="J146125"/>
    </row>
    <row r="146126" spans="10:10" x14ac:dyDescent="0.3">
      <c r="J146126"/>
    </row>
    <row r="146127" spans="10:10" x14ac:dyDescent="0.3">
      <c r="J146127"/>
    </row>
    <row r="146128" spans="10:10" x14ac:dyDescent="0.3">
      <c r="J146128"/>
    </row>
    <row r="146129" spans="10:10" x14ac:dyDescent="0.3">
      <c r="J146129"/>
    </row>
    <row r="146130" spans="10:10" x14ac:dyDescent="0.3">
      <c r="J146130"/>
    </row>
    <row r="146131" spans="10:10" x14ac:dyDescent="0.3">
      <c r="J146131"/>
    </row>
    <row r="146132" spans="10:10" x14ac:dyDescent="0.3">
      <c r="J146132"/>
    </row>
    <row r="146133" spans="10:10" x14ac:dyDescent="0.3">
      <c r="J146133"/>
    </row>
    <row r="146134" spans="10:10" x14ac:dyDescent="0.3">
      <c r="J146134"/>
    </row>
    <row r="146135" spans="10:10" x14ac:dyDescent="0.3">
      <c r="J146135"/>
    </row>
    <row r="146136" spans="10:10" x14ac:dyDescent="0.3">
      <c r="J146136"/>
    </row>
    <row r="146137" spans="10:10" x14ac:dyDescent="0.3">
      <c r="J146137"/>
    </row>
    <row r="146138" spans="10:10" x14ac:dyDescent="0.3">
      <c r="J146138"/>
    </row>
    <row r="146139" spans="10:10" x14ac:dyDescent="0.3">
      <c r="J146139"/>
    </row>
    <row r="146140" spans="10:10" x14ac:dyDescent="0.3">
      <c r="J146140"/>
    </row>
    <row r="146141" spans="10:10" x14ac:dyDescent="0.3">
      <c r="J146141"/>
    </row>
    <row r="146142" spans="10:10" x14ac:dyDescent="0.3">
      <c r="J146142"/>
    </row>
    <row r="146143" spans="10:10" x14ac:dyDescent="0.3">
      <c r="J146143"/>
    </row>
    <row r="146144" spans="10:10" x14ac:dyDescent="0.3">
      <c r="J146144"/>
    </row>
    <row r="146145" spans="10:10" x14ac:dyDescent="0.3">
      <c r="J146145"/>
    </row>
    <row r="146146" spans="10:10" x14ac:dyDescent="0.3">
      <c r="J146146"/>
    </row>
    <row r="146147" spans="10:10" x14ac:dyDescent="0.3">
      <c r="J146147"/>
    </row>
    <row r="146148" spans="10:10" x14ac:dyDescent="0.3">
      <c r="J146148"/>
    </row>
    <row r="146149" spans="10:10" x14ac:dyDescent="0.3">
      <c r="J146149"/>
    </row>
    <row r="146150" spans="10:10" x14ac:dyDescent="0.3">
      <c r="J146150"/>
    </row>
    <row r="146151" spans="10:10" x14ac:dyDescent="0.3">
      <c r="J146151"/>
    </row>
    <row r="146152" spans="10:10" x14ac:dyDescent="0.3">
      <c r="J146152"/>
    </row>
    <row r="146153" spans="10:10" x14ac:dyDescent="0.3">
      <c r="J146153"/>
    </row>
    <row r="146154" spans="10:10" x14ac:dyDescent="0.3">
      <c r="J146154"/>
    </row>
    <row r="146155" spans="10:10" x14ac:dyDescent="0.3">
      <c r="J146155"/>
    </row>
    <row r="146156" spans="10:10" x14ac:dyDescent="0.3">
      <c r="J146156"/>
    </row>
    <row r="146157" spans="10:10" x14ac:dyDescent="0.3">
      <c r="J146157"/>
    </row>
    <row r="146158" spans="10:10" x14ac:dyDescent="0.3">
      <c r="J146158"/>
    </row>
    <row r="146159" spans="10:10" x14ac:dyDescent="0.3">
      <c r="J146159"/>
    </row>
    <row r="146160" spans="10:10" x14ac:dyDescent="0.3">
      <c r="J146160"/>
    </row>
    <row r="146161" spans="10:10" x14ac:dyDescent="0.3">
      <c r="J146161"/>
    </row>
    <row r="146162" spans="10:10" x14ac:dyDescent="0.3">
      <c r="J146162"/>
    </row>
    <row r="146163" spans="10:10" x14ac:dyDescent="0.3">
      <c r="J146163"/>
    </row>
    <row r="146164" spans="10:10" x14ac:dyDescent="0.3">
      <c r="J146164"/>
    </row>
    <row r="146165" spans="10:10" x14ac:dyDescent="0.3">
      <c r="J146165"/>
    </row>
    <row r="146166" spans="10:10" x14ac:dyDescent="0.3">
      <c r="J146166"/>
    </row>
    <row r="146167" spans="10:10" x14ac:dyDescent="0.3">
      <c r="J146167"/>
    </row>
    <row r="146168" spans="10:10" x14ac:dyDescent="0.3">
      <c r="J146168"/>
    </row>
    <row r="146169" spans="10:10" x14ac:dyDescent="0.3">
      <c r="J146169"/>
    </row>
    <row r="146170" spans="10:10" x14ac:dyDescent="0.3">
      <c r="J146170"/>
    </row>
    <row r="146171" spans="10:10" x14ac:dyDescent="0.3">
      <c r="J146171"/>
    </row>
    <row r="146172" spans="10:10" x14ac:dyDescent="0.3">
      <c r="J146172"/>
    </row>
    <row r="146173" spans="10:10" x14ac:dyDescent="0.3">
      <c r="J146173"/>
    </row>
    <row r="146174" spans="10:10" x14ac:dyDescent="0.3">
      <c r="J146174"/>
    </row>
    <row r="146175" spans="10:10" x14ac:dyDescent="0.3">
      <c r="J146175"/>
    </row>
    <row r="146176" spans="10:10" x14ac:dyDescent="0.3">
      <c r="J146176"/>
    </row>
    <row r="146177" spans="10:10" x14ac:dyDescent="0.3">
      <c r="J146177"/>
    </row>
    <row r="146178" spans="10:10" x14ac:dyDescent="0.3">
      <c r="J146178"/>
    </row>
    <row r="146179" spans="10:10" x14ac:dyDescent="0.3">
      <c r="J146179"/>
    </row>
    <row r="146180" spans="10:10" x14ac:dyDescent="0.3">
      <c r="J146180"/>
    </row>
    <row r="146181" spans="10:10" x14ac:dyDescent="0.3">
      <c r="J146181"/>
    </row>
    <row r="146182" spans="10:10" x14ac:dyDescent="0.3">
      <c r="J146182"/>
    </row>
    <row r="146183" spans="10:10" x14ac:dyDescent="0.3">
      <c r="J146183"/>
    </row>
    <row r="146184" spans="10:10" x14ac:dyDescent="0.3">
      <c r="J146184"/>
    </row>
    <row r="146185" spans="10:10" x14ac:dyDescent="0.3">
      <c r="J146185"/>
    </row>
    <row r="146186" spans="10:10" x14ac:dyDescent="0.3">
      <c r="J146186"/>
    </row>
    <row r="146187" spans="10:10" x14ac:dyDescent="0.3">
      <c r="J146187"/>
    </row>
    <row r="146188" spans="10:10" x14ac:dyDescent="0.3">
      <c r="J146188"/>
    </row>
    <row r="146189" spans="10:10" x14ac:dyDescent="0.3">
      <c r="J146189"/>
    </row>
    <row r="146190" spans="10:10" x14ac:dyDescent="0.3">
      <c r="J146190"/>
    </row>
    <row r="146191" spans="10:10" x14ac:dyDescent="0.3">
      <c r="J146191"/>
    </row>
    <row r="146192" spans="10:10" x14ac:dyDescent="0.3">
      <c r="J146192"/>
    </row>
    <row r="146193" spans="10:10" x14ac:dyDescent="0.3">
      <c r="J146193"/>
    </row>
    <row r="146194" spans="10:10" x14ac:dyDescent="0.3">
      <c r="J146194"/>
    </row>
    <row r="146195" spans="10:10" x14ac:dyDescent="0.3">
      <c r="J146195"/>
    </row>
    <row r="146196" spans="10:10" x14ac:dyDescent="0.3">
      <c r="J146196"/>
    </row>
    <row r="146197" spans="10:10" x14ac:dyDescent="0.3">
      <c r="J146197"/>
    </row>
    <row r="146198" spans="10:10" x14ac:dyDescent="0.3">
      <c r="J146198"/>
    </row>
    <row r="146199" spans="10:10" x14ac:dyDescent="0.3">
      <c r="J146199"/>
    </row>
    <row r="146200" spans="10:10" x14ac:dyDescent="0.3">
      <c r="J146200"/>
    </row>
    <row r="146201" spans="10:10" x14ac:dyDescent="0.3">
      <c r="J146201"/>
    </row>
    <row r="146202" spans="10:10" x14ac:dyDescent="0.3">
      <c r="J146202"/>
    </row>
    <row r="146203" spans="10:10" x14ac:dyDescent="0.3">
      <c r="J146203"/>
    </row>
    <row r="146204" spans="10:10" x14ac:dyDescent="0.3">
      <c r="J146204"/>
    </row>
    <row r="146205" spans="10:10" x14ac:dyDescent="0.3">
      <c r="J146205"/>
    </row>
    <row r="146206" spans="10:10" x14ac:dyDescent="0.3">
      <c r="J146206"/>
    </row>
    <row r="146207" spans="10:10" x14ac:dyDescent="0.3">
      <c r="J146207"/>
    </row>
    <row r="146208" spans="10:10" x14ac:dyDescent="0.3">
      <c r="J146208"/>
    </row>
    <row r="146209" spans="10:10" x14ac:dyDescent="0.3">
      <c r="J146209"/>
    </row>
    <row r="146210" spans="10:10" x14ac:dyDescent="0.3">
      <c r="J146210"/>
    </row>
    <row r="146211" spans="10:10" x14ac:dyDescent="0.3">
      <c r="J146211"/>
    </row>
    <row r="146212" spans="10:10" x14ac:dyDescent="0.3">
      <c r="J146212"/>
    </row>
    <row r="146213" spans="10:10" x14ac:dyDescent="0.3">
      <c r="J146213"/>
    </row>
    <row r="146214" spans="10:10" x14ac:dyDescent="0.3">
      <c r="J146214"/>
    </row>
    <row r="146215" spans="10:10" x14ac:dyDescent="0.3">
      <c r="J146215"/>
    </row>
    <row r="146216" spans="10:10" x14ac:dyDescent="0.3">
      <c r="J146216"/>
    </row>
    <row r="146217" spans="10:10" x14ac:dyDescent="0.3">
      <c r="J146217"/>
    </row>
    <row r="146218" spans="10:10" x14ac:dyDescent="0.3">
      <c r="J146218"/>
    </row>
    <row r="146219" spans="10:10" x14ac:dyDescent="0.3">
      <c r="J146219"/>
    </row>
    <row r="146220" spans="10:10" x14ac:dyDescent="0.3">
      <c r="J146220"/>
    </row>
    <row r="146221" spans="10:10" x14ac:dyDescent="0.3">
      <c r="J146221"/>
    </row>
    <row r="146222" spans="10:10" x14ac:dyDescent="0.3">
      <c r="J146222"/>
    </row>
    <row r="146223" spans="10:10" x14ac:dyDescent="0.3">
      <c r="J146223"/>
    </row>
    <row r="146224" spans="10:10" x14ac:dyDescent="0.3">
      <c r="J146224"/>
    </row>
    <row r="146225" spans="10:10" x14ac:dyDescent="0.3">
      <c r="J146225"/>
    </row>
    <row r="146226" spans="10:10" x14ac:dyDescent="0.3">
      <c r="J146226"/>
    </row>
    <row r="146227" spans="10:10" x14ac:dyDescent="0.3">
      <c r="J146227"/>
    </row>
    <row r="146228" spans="10:10" x14ac:dyDescent="0.3">
      <c r="J146228"/>
    </row>
    <row r="146229" spans="10:10" x14ac:dyDescent="0.3">
      <c r="J146229"/>
    </row>
    <row r="146230" spans="10:10" x14ac:dyDescent="0.3">
      <c r="J146230"/>
    </row>
    <row r="146231" spans="10:10" x14ac:dyDescent="0.3">
      <c r="J146231"/>
    </row>
    <row r="146232" spans="10:10" x14ac:dyDescent="0.3">
      <c r="J146232"/>
    </row>
    <row r="146233" spans="10:10" x14ac:dyDescent="0.3">
      <c r="J146233"/>
    </row>
    <row r="146234" spans="10:10" x14ac:dyDescent="0.3">
      <c r="J146234"/>
    </row>
    <row r="146235" spans="10:10" x14ac:dyDescent="0.3">
      <c r="J146235"/>
    </row>
    <row r="146236" spans="10:10" x14ac:dyDescent="0.3">
      <c r="J146236"/>
    </row>
    <row r="146237" spans="10:10" x14ac:dyDescent="0.3">
      <c r="J146237"/>
    </row>
    <row r="146238" spans="10:10" x14ac:dyDescent="0.3">
      <c r="J146238"/>
    </row>
    <row r="146239" spans="10:10" x14ac:dyDescent="0.3">
      <c r="J146239"/>
    </row>
    <row r="146240" spans="10:10" x14ac:dyDescent="0.3">
      <c r="J146240"/>
    </row>
    <row r="146241" spans="10:10" x14ac:dyDescent="0.3">
      <c r="J146241"/>
    </row>
    <row r="146242" spans="10:10" x14ac:dyDescent="0.3">
      <c r="J146242"/>
    </row>
    <row r="146243" spans="10:10" x14ac:dyDescent="0.3">
      <c r="J146243"/>
    </row>
    <row r="146244" spans="10:10" x14ac:dyDescent="0.3">
      <c r="J146244"/>
    </row>
    <row r="146245" spans="10:10" x14ac:dyDescent="0.3">
      <c r="J146245"/>
    </row>
    <row r="146246" spans="10:10" x14ac:dyDescent="0.3">
      <c r="J146246"/>
    </row>
    <row r="146247" spans="10:10" x14ac:dyDescent="0.3">
      <c r="J146247"/>
    </row>
    <row r="146248" spans="10:10" x14ac:dyDescent="0.3">
      <c r="J146248"/>
    </row>
    <row r="146249" spans="10:10" x14ac:dyDescent="0.3">
      <c r="J146249"/>
    </row>
    <row r="146250" spans="10:10" x14ac:dyDescent="0.3">
      <c r="J146250"/>
    </row>
    <row r="146251" spans="10:10" x14ac:dyDescent="0.3">
      <c r="J146251"/>
    </row>
    <row r="146252" spans="10:10" x14ac:dyDescent="0.3">
      <c r="J146252"/>
    </row>
    <row r="146253" spans="10:10" x14ac:dyDescent="0.3">
      <c r="J146253"/>
    </row>
    <row r="146254" spans="10:10" x14ac:dyDescent="0.3">
      <c r="J146254"/>
    </row>
    <row r="146255" spans="10:10" x14ac:dyDescent="0.3">
      <c r="J146255"/>
    </row>
    <row r="146256" spans="10:10" x14ac:dyDescent="0.3">
      <c r="J146256"/>
    </row>
    <row r="146257" spans="10:10" x14ac:dyDescent="0.3">
      <c r="J146257"/>
    </row>
    <row r="146258" spans="10:10" x14ac:dyDescent="0.3">
      <c r="J146258"/>
    </row>
    <row r="146259" spans="10:10" x14ac:dyDescent="0.3">
      <c r="J146259"/>
    </row>
    <row r="146260" spans="10:10" x14ac:dyDescent="0.3">
      <c r="J146260"/>
    </row>
    <row r="146261" spans="10:10" x14ac:dyDescent="0.3">
      <c r="J146261"/>
    </row>
    <row r="146262" spans="10:10" x14ac:dyDescent="0.3">
      <c r="J146262"/>
    </row>
    <row r="146263" spans="10:10" x14ac:dyDescent="0.3">
      <c r="J146263"/>
    </row>
    <row r="146264" spans="10:10" x14ac:dyDescent="0.3">
      <c r="J146264"/>
    </row>
    <row r="146265" spans="10:10" x14ac:dyDescent="0.3">
      <c r="J146265"/>
    </row>
    <row r="146266" spans="10:10" x14ac:dyDescent="0.3">
      <c r="J146266"/>
    </row>
    <row r="146267" spans="10:10" x14ac:dyDescent="0.3">
      <c r="J146267"/>
    </row>
    <row r="146268" spans="10:10" x14ac:dyDescent="0.3">
      <c r="J146268"/>
    </row>
    <row r="146269" spans="10:10" x14ac:dyDescent="0.3">
      <c r="J146269"/>
    </row>
    <row r="146270" spans="10:10" x14ac:dyDescent="0.3">
      <c r="J146270"/>
    </row>
    <row r="146271" spans="10:10" x14ac:dyDescent="0.3">
      <c r="J146271"/>
    </row>
    <row r="146272" spans="10:10" x14ac:dyDescent="0.3">
      <c r="J146272"/>
    </row>
    <row r="146273" spans="10:10" x14ac:dyDescent="0.3">
      <c r="J146273"/>
    </row>
    <row r="146274" spans="10:10" x14ac:dyDescent="0.3">
      <c r="J146274"/>
    </row>
    <row r="146275" spans="10:10" x14ac:dyDescent="0.3">
      <c r="J146275"/>
    </row>
    <row r="146276" spans="10:10" x14ac:dyDescent="0.3">
      <c r="J146276"/>
    </row>
    <row r="146277" spans="10:10" x14ac:dyDescent="0.3">
      <c r="J146277"/>
    </row>
    <row r="146278" spans="10:10" x14ac:dyDescent="0.3">
      <c r="J146278"/>
    </row>
    <row r="146279" spans="10:10" x14ac:dyDescent="0.3">
      <c r="J146279"/>
    </row>
    <row r="146280" spans="10:10" x14ac:dyDescent="0.3">
      <c r="J146280"/>
    </row>
    <row r="146281" spans="10:10" x14ac:dyDescent="0.3">
      <c r="J146281"/>
    </row>
    <row r="146282" spans="10:10" x14ac:dyDescent="0.3">
      <c r="J146282"/>
    </row>
    <row r="146283" spans="10:10" x14ac:dyDescent="0.3">
      <c r="J146283"/>
    </row>
    <row r="146284" spans="10:10" x14ac:dyDescent="0.3">
      <c r="J146284"/>
    </row>
    <row r="146285" spans="10:10" x14ac:dyDescent="0.3">
      <c r="J146285"/>
    </row>
    <row r="146286" spans="10:10" x14ac:dyDescent="0.3">
      <c r="J146286"/>
    </row>
    <row r="146287" spans="10:10" x14ac:dyDescent="0.3">
      <c r="J146287"/>
    </row>
    <row r="146288" spans="10:10" x14ac:dyDescent="0.3">
      <c r="J146288"/>
    </row>
    <row r="146289" spans="10:10" x14ac:dyDescent="0.3">
      <c r="J146289"/>
    </row>
    <row r="146290" spans="10:10" x14ac:dyDescent="0.3">
      <c r="J146290"/>
    </row>
    <row r="146291" spans="10:10" x14ac:dyDescent="0.3">
      <c r="J146291"/>
    </row>
    <row r="146292" spans="10:10" x14ac:dyDescent="0.3">
      <c r="J146292"/>
    </row>
    <row r="146293" spans="10:10" x14ac:dyDescent="0.3">
      <c r="J146293"/>
    </row>
    <row r="146294" spans="10:10" x14ac:dyDescent="0.3">
      <c r="J146294"/>
    </row>
    <row r="146295" spans="10:10" x14ac:dyDescent="0.3">
      <c r="J146295"/>
    </row>
    <row r="146296" spans="10:10" x14ac:dyDescent="0.3">
      <c r="J146296"/>
    </row>
    <row r="146297" spans="10:10" x14ac:dyDescent="0.3">
      <c r="J146297"/>
    </row>
    <row r="146298" spans="10:10" x14ac:dyDescent="0.3">
      <c r="J146298"/>
    </row>
    <row r="146299" spans="10:10" x14ac:dyDescent="0.3">
      <c r="J146299"/>
    </row>
    <row r="146300" spans="10:10" x14ac:dyDescent="0.3">
      <c r="J146300"/>
    </row>
    <row r="146301" spans="10:10" x14ac:dyDescent="0.3">
      <c r="J146301"/>
    </row>
    <row r="146302" spans="10:10" x14ac:dyDescent="0.3">
      <c r="J146302"/>
    </row>
    <row r="146303" spans="10:10" x14ac:dyDescent="0.3">
      <c r="J146303"/>
    </row>
    <row r="146304" spans="10:10" x14ac:dyDescent="0.3">
      <c r="J146304"/>
    </row>
    <row r="146305" spans="10:10" x14ac:dyDescent="0.3">
      <c r="J146305"/>
    </row>
    <row r="146306" spans="10:10" x14ac:dyDescent="0.3">
      <c r="J146306"/>
    </row>
    <row r="146307" spans="10:10" x14ac:dyDescent="0.3">
      <c r="J146307"/>
    </row>
    <row r="146308" spans="10:10" x14ac:dyDescent="0.3">
      <c r="J146308"/>
    </row>
    <row r="146309" spans="10:10" x14ac:dyDescent="0.3">
      <c r="J146309"/>
    </row>
    <row r="146310" spans="10:10" x14ac:dyDescent="0.3">
      <c r="J146310"/>
    </row>
    <row r="146311" spans="10:10" x14ac:dyDescent="0.3">
      <c r="J146311"/>
    </row>
    <row r="146312" spans="10:10" x14ac:dyDescent="0.3">
      <c r="J146312"/>
    </row>
    <row r="146313" spans="10:10" x14ac:dyDescent="0.3">
      <c r="J146313"/>
    </row>
    <row r="146314" spans="10:10" x14ac:dyDescent="0.3">
      <c r="J146314"/>
    </row>
    <row r="146315" spans="10:10" x14ac:dyDescent="0.3">
      <c r="J146315"/>
    </row>
    <row r="146316" spans="10:10" x14ac:dyDescent="0.3">
      <c r="J146316"/>
    </row>
    <row r="146317" spans="10:10" x14ac:dyDescent="0.3">
      <c r="J146317"/>
    </row>
    <row r="146318" spans="10:10" x14ac:dyDescent="0.3">
      <c r="J146318"/>
    </row>
    <row r="146319" spans="10:10" x14ac:dyDescent="0.3">
      <c r="J146319"/>
    </row>
    <row r="146320" spans="10:10" x14ac:dyDescent="0.3">
      <c r="J146320"/>
    </row>
    <row r="146321" spans="10:10" x14ac:dyDescent="0.3">
      <c r="J146321"/>
    </row>
    <row r="146322" spans="10:10" x14ac:dyDescent="0.3">
      <c r="J146322"/>
    </row>
    <row r="146323" spans="10:10" x14ac:dyDescent="0.3">
      <c r="J146323"/>
    </row>
    <row r="146324" spans="10:10" x14ac:dyDescent="0.3">
      <c r="J146324"/>
    </row>
    <row r="146325" spans="10:10" x14ac:dyDescent="0.3">
      <c r="J146325"/>
    </row>
    <row r="146326" spans="10:10" x14ac:dyDescent="0.3">
      <c r="J146326"/>
    </row>
    <row r="146327" spans="10:10" x14ac:dyDescent="0.3">
      <c r="J146327"/>
    </row>
    <row r="146328" spans="10:10" x14ac:dyDescent="0.3">
      <c r="J146328"/>
    </row>
    <row r="146329" spans="10:10" x14ac:dyDescent="0.3">
      <c r="J146329"/>
    </row>
    <row r="146330" spans="10:10" x14ac:dyDescent="0.3">
      <c r="J146330"/>
    </row>
    <row r="146331" spans="10:10" x14ac:dyDescent="0.3">
      <c r="J146331"/>
    </row>
    <row r="146332" spans="10:10" x14ac:dyDescent="0.3">
      <c r="J146332"/>
    </row>
    <row r="146333" spans="10:10" x14ac:dyDescent="0.3">
      <c r="J146333"/>
    </row>
    <row r="146334" spans="10:10" x14ac:dyDescent="0.3">
      <c r="J146334"/>
    </row>
    <row r="146335" spans="10:10" x14ac:dyDescent="0.3">
      <c r="J146335"/>
    </row>
    <row r="146336" spans="10:10" x14ac:dyDescent="0.3">
      <c r="J146336"/>
    </row>
    <row r="146337" spans="10:10" x14ac:dyDescent="0.3">
      <c r="J146337"/>
    </row>
    <row r="146338" spans="10:10" x14ac:dyDescent="0.3">
      <c r="J146338"/>
    </row>
    <row r="146339" spans="10:10" x14ac:dyDescent="0.3">
      <c r="J146339"/>
    </row>
    <row r="146340" spans="10:10" x14ac:dyDescent="0.3">
      <c r="J146340"/>
    </row>
    <row r="146341" spans="10:10" x14ac:dyDescent="0.3">
      <c r="J146341"/>
    </row>
    <row r="146342" spans="10:10" x14ac:dyDescent="0.3">
      <c r="J146342"/>
    </row>
    <row r="146343" spans="10:10" x14ac:dyDescent="0.3">
      <c r="J146343"/>
    </row>
    <row r="146344" spans="10:10" x14ac:dyDescent="0.3">
      <c r="J146344"/>
    </row>
    <row r="146345" spans="10:10" x14ac:dyDescent="0.3">
      <c r="J146345"/>
    </row>
    <row r="146346" spans="10:10" x14ac:dyDescent="0.3">
      <c r="J146346"/>
    </row>
    <row r="146347" spans="10:10" x14ac:dyDescent="0.3">
      <c r="J146347"/>
    </row>
    <row r="146348" spans="10:10" x14ac:dyDescent="0.3">
      <c r="J146348"/>
    </row>
    <row r="146349" spans="10:10" x14ac:dyDescent="0.3">
      <c r="J146349"/>
    </row>
    <row r="146350" spans="10:10" x14ac:dyDescent="0.3">
      <c r="J146350"/>
    </row>
    <row r="146351" spans="10:10" x14ac:dyDescent="0.3">
      <c r="J146351"/>
    </row>
    <row r="146352" spans="10:10" x14ac:dyDescent="0.3">
      <c r="J146352"/>
    </row>
    <row r="146353" spans="10:10" x14ac:dyDescent="0.3">
      <c r="J146353"/>
    </row>
    <row r="146354" spans="10:10" x14ac:dyDescent="0.3">
      <c r="J146354"/>
    </row>
    <row r="146355" spans="10:10" x14ac:dyDescent="0.3">
      <c r="J146355"/>
    </row>
    <row r="146356" spans="10:10" x14ac:dyDescent="0.3">
      <c r="J146356"/>
    </row>
    <row r="146357" spans="10:10" x14ac:dyDescent="0.3">
      <c r="J146357"/>
    </row>
    <row r="146358" spans="10:10" x14ac:dyDescent="0.3">
      <c r="J146358"/>
    </row>
    <row r="146359" spans="10:10" x14ac:dyDescent="0.3">
      <c r="J146359"/>
    </row>
    <row r="146360" spans="10:10" x14ac:dyDescent="0.3">
      <c r="J146360"/>
    </row>
    <row r="146361" spans="10:10" x14ac:dyDescent="0.3">
      <c r="J146361"/>
    </row>
    <row r="146362" spans="10:10" x14ac:dyDescent="0.3">
      <c r="J146362"/>
    </row>
    <row r="146363" spans="10:10" x14ac:dyDescent="0.3">
      <c r="J146363"/>
    </row>
    <row r="146364" spans="10:10" x14ac:dyDescent="0.3">
      <c r="J146364"/>
    </row>
    <row r="146365" spans="10:10" x14ac:dyDescent="0.3">
      <c r="J146365"/>
    </row>
    <row r="146366" spans="10:10" x14ac:dyDescent="0.3">
      <c r="J146366"/>
    </row>
    <row r="146367" spans="10:10" x14ac:dyDescent="0.3">
      <c r="J146367"/>
    </row>
    <row r="146368" spans="10:10" x14ac:dyDescent="0.3">
      <c r="J146368"/>
    </row>
    <row r="146369" spans="10:10" x14ac:dyDescent="0.3">
      <c r="J146369"/>
    </row>
    <row r="146370" spans="10:10" x14ac:dyDescent="0.3">
      <c r="J146370"/>
    </row>
    <row r="146371" spans="10:10" x14ac:dyDescent="0.3">
      <c r="J146371"/>
    </row>
    <row r="146372" spans="10:10" x14ac:dyDescent="0.3">
      <c r="J146372"/>
    </row>
    <row r="146373" spans="10:10" x14ac:dyDescent="0.3">
      <c r="J146373"/>
    </row>
    <row r="146374" spans="10:10" x14ac:dyDescent="0.3">
      <c r="J146374"/>
    </row>
    <row r="146375" spans="10:10" x14ac:dyDescent="0.3">
      <c r="J146375"/>
    </row>
    <row r="146376" spans="10:10" x14ac:dyDescent="0.3">
      <c r="J146376"/>
    </row>
    <row r="146377" spans="10:10" x14ac:dyDescent="0.3">
      <c r="J146377"/>
    </row>
    <row r="146378" spans="10:10" x14ac:dyDescent="0.3">
      <c r="J146378"/>
    </row>
    <row r="146379" spans="10:10" x14ac:dyDescent="0.3">
      <c r="J146379"/>
    </row>
    <row r="146380" spans="10:10" x14ac:dyDescent="0.3">
      <c r="J146380"/>
    </row>
    <row r="146381" spans="10:10" x14ac:dyDescent="0.3">
      <c r="J146381"/>
    </row>
    <row r="146382" spans="10:10" x14ac:dyDescent="0.3">
      <c r="J146382"/>
    </row>
    <row r="146383" spans="10:10" x14ac:dyDescent="0.3">
      <c r="J146383"/>
    </row>
    <row r="146384" spans="10:10" x14ac:dyDescent="0.3">
      <c r="J146384"/>
    </row>
    <row r="146385" spans="10:10" x14ac:dyDescent="0.3">
      <c r="J146385"/>
    </row>
    <row r="146386" spans="10:10" x14ac:dyDescent="0.3">
      <c r="J146386"/>
    </row>
    <row r="146387" spans="10:10" x14ac:dyDescent="0.3">
      <c r="J146387"/>
    </row>
    <row r="146388" spans="10:10" x14ac:dyDescent="0.3">
      <c r="J146388"/>
    </row>
    <row r="146389" spans="10:10" x14ac:dyDescent="0.3">
      <c r="J146389"/>
    </row>
    <row r="146390" spans="10:10" x14ac:dyDescent="0.3">
      <c r="J146390"/>
    </row>
    <row r="146391" spans="10:10" x14ac:dyDescent="0.3">
      <c r="J146391"/>
    </row>
    <row r="146392" spans="10:10" x14ac:dyDescent="0.3">
      <c r="J146392"/>
    </row>
    <row r="146393" spans="10:10" x14ac:dyDescent="0.3">
      <c r="J146393"/>
    </row>
    <row r="146394" spans="10:10" x14ac:dyDescent="0.3">
      <c r="J146394"/>
    </row>
    <row r="146395" spans="10:10" x14ac:dyDescent="0.3">
      <c r="J146395"/>
    </row>
    <row r="146396" spans="10:10" x14ac:dyDescent="0.3">
      <c r="J146396"/>
    </row>
    <row r="146397" spans="10:10" x14ac:dyDescent="0.3">
      <c r="J146397"/>
    </row>
    <row r="146398" spans="10:10" x14ac:dyDescent="0.3">
      <c r="J146398"/>
    </row>
    <row r="146399" spans="10:10" x14ac:dyDescent="0.3">
      <c r="J146399"/>
    </row>
    <row r="146400" spans="10:10" x14ac:dyDescent="0.3">
      <c r="J146400"/>
    </row>
    <row r="146401" spans="10:10" x14ac:dyDescent="0.3">
      <c r="J146401"/>
    </row>
    <row r="146402" spans="10:10" x14ac:dyDescent="0.3">
      <c r="J146402"/>
    </row>
    <row r="146403" spans="10:10" x14ac:dyDescent="0.3">
      <c r="J146403"/>
    </row>
    <row r="146404" spans="10:10" x14ac:dyDescent="0.3">
      <c r="J146404"/>
    </row>
    <row r="146405" spans="10:10" x14ac:dyDescent="0.3">
      <c r="J146405"/>
    </row>
    <row r="146406" spans="10:10" x14ac:dyDescent="0.3">
      <c r="J146406"/>
    </row>
    <row r="146407" spans="10:10" x14ac:dyDescent="0.3">
      <c r="J146407"/>
    </row>
    <row r="146408" spans="10:10" x14ac:dyDescent="0.3">
      <c r="J146408"/>
    </row>
    <row r="146409" spans="10:10" x14ac:dyDescent="0.3">
      <c r="J146409"/>
    </row>
    <row r="146410" spans="10:10" x14ac:dyDescent="0.3">
      <c r="J146410"/>
    </row>
    <row r="146411" spans="10:10" x14ac:dyDescent="0.3">
      <c r="J146411"/>
    </row>
    <row r="146412" spans="10:10" x14ac:dyDescent="0.3">
      <c r="J146412"/>
    </row>
    <row r="146413" spans="10:10" x14ac:dyDescent="0.3">
      <c r="J146413"/>
    </row>
    <row r="146414" spans="10:10" x14ac:dyDescent="0.3">
      <c r="J146414"/>
    </row>
    <row r="146415" spans="10:10" x14ac:dyDescent="0.3">
      <c r="J146415"/>
    </row>
    <row r="146416" spans="10:10" x14ac:dyDescent="0.3">
      <c r="J146416"/>
    </row>
    <row r="146417" spans="10:10" x14ac:dyDescent="0.3">
      <c r="J146417"/>
    </row>
    <row r="146418" spans="10:10" x14ac:dyDescent="0.3">
      <c r="J146418"/>
    </row>
    <row r="146419" spans="10:10" x14ac:dyDescent="0.3">
      <c r="J146419"/>
    </row>
    <row r="146420" spans="10:10" x14ac:dyDescent="0.3">
      <c r="J146420"/>
    </row>
    <row r="146421" spans="10:10" x14ac:dyDescent="0.3">
      <c r="J146421"/>
    </row>
    <row r="146422" spans="10:10" x14ac:dyDescent="0.3">
      <c r="J146422"/>
    </row>
    <row r="146423" spans="10:10" x14ac:dyDescent="0.3">
      <c r="J146423"/>
    </row>
    <row r="146424" spans="10:10" x14ac:dyDescent="0.3">
      <c r="J146424"/>
    </row>
    <row r="146425" spans="10:10" x14ac:dyDescent="0.3">
      <c r="J146425"/>
    </row>
    <row r="146426" spans="10:10" x14ac:dyDescent="0.3">
      <c r="J146426"/>
    </row>
    <row r="146427" spans="10:10" x14ac:dyDescent="0.3">
      <c r="J146427"/>
    </row>
    <row r="146428" spans="10:10" x14ac:dyDescent="0.3">
      <c r="J146428"/>
    </row>
    <row r="146429" spans="10:10" x14ac:dyDescent="0.3">
      <c r="J146429"/>
    </row>
    <row r="146430" spans="10:10" x14ac:dyDescent="0.3">
      <c r="J146430"/>
    </row>
    <row r="146431" spans="10:10" x14ac:dyDescent="0.3">
      <c r="J146431"/>
    </row>
    <row r="146432" spans="10:10" x14ac:dyDescent="0.3">
      <c r="J146432"/>
    </row>
    <row r="146433" spans="10:10" x14ac:dyDescent="0.3">
      <c r="J146433"/>
    </row>
    <row r="146434" spans="10:10" x14ac:dyDescent="0.3">
      <c r="J146434"/>
    </row>
    <row r="146435" spans="10:10" x14ac:dyDescent="0.3">
      <c r="J146435"/>
    </row>
    <row r="146436" spans="10:10" x14ac:dyDescent="0.3">
      <c r="J146436"/>
    </row>
    <row r="146437" spans="10:10" x14ac:dyDescent="0.3">
      <c r="J146437"/>
    </row>
    <row r="146438" spans="10:10" x14ac:dyDescent="0.3">
      <c r="J146438"/>
    </row>
    <row r="146439" spans="10:10" x14ac:dyDescent="0.3">
      <c r="J146439"/>
    </row>
    <row r="146440" spans="10:10" x14ac:dyDescent="0.3">
      <c r="J146440"/>
    </row>
    <row r="146441" spans="10:10" x14ac:dyDescent="0.3">
      <c r="J146441"/>
    </row>
    <row r="146442" spans="10:10" x14ac:dyDescent="0.3">
      <c r="J146442"/>
    </row>
    <row r="146443" spans="10:10" x14ac:dyDescent="0.3">
      <c r="J146443"/>
    </row>
    <row r="146444" spans="10:10" x14ac:dyDescent="0.3">
      <c r="J146444"/>
    </row>
    <row r="146445" spans="10:10" x14ac:dyDescent="0.3">
      <c r="J146445"/>
    </row>
    <row r="146446" spans="10:10" x14ac:dyDescent="0.3">
      <c r="J146446"/>
    </row>
    <row r="146447" spans="10:10" x14ac:dyDescent="0.3">
      <c r="J146447"/>
    </row>
    <row r="146448" spans="10:10" x14ac:dyDescent="0.3">
      <c r="J146448"/>
    </row>
    <row r="146449" spans="10:10" x14ac:dyDescent="0.3">
      <c r="J146449"/>
    </row>
    <row r="146450" spans="10:10" x14ac:dyDescent="0.3">
      <c r="J146450"/>
    </row>
    <row r="146451" spans="10:10" x14ac:dyDescent="0.3">
      <c r="J146451"/>
    </row>
    <row r="146452" spans="10:10" x14ac:dyDescent="0.3">
      <c r="J146452"/>
    </row>
    <row r="146453" spans="10:10" x14ac:dyDescent="0.3">
      <c r="J146453"/>
    </row>
    <row r="146454" spans="10:10" x14ac:dyDescent="0.3">
      <c r="J146454"/>
    </row>
    <row r="146455" spans="10:10" x14ac:dyDescent="0.3">
      <c r="J146455"/>
    </row>
    <row r="146456" spans="10:10" x14ac:dyDescent="0.3">
      <c r="J146456"/>
    </row>
    <row r="146457" spans="10:10" x14ac:dyDescent="0.3">
      <c r="J146457"/>
    </row>
    <row r="146458" spans="10:10" x14ac:dyDescent="0.3">
      <c r="J146458"/>
    </row>
    <row r="146459" spans="10:10" x14ac:dyDescent="0.3">
      <c r="J146459"/>
    </row>
    <row r="146460" spans="10:10" x14ac:dyDescent="0.3">
      <c r="J146460"/>
    </row>
    <row r="146461" spans="10:10" x14ac:dyDescent="0.3">
      <c r="J146461"/>
    </row>
    <row r="146462" spans="10:10" x14ac:dyDescent="0.3">
      <c r="J146462"/>
    </row>
    <row r="146463" spans="10:10" x14ac:dyDescent="0.3">
      <c r="J146463"/>
    </row>
    <row r="146464" spans="10:10" x14ac:dyDescent="0.3">
      <c r="J146464"/>
    </row>
    <row r="146465" spans="10:10" x14ac:dyDescent="0.3">
      <c r="J146465"/>
    </row>
    <row r="146466" spans="10:10" x14ac:dyDescent="0.3">
      <c r="J146466"/>
    </row>
    <row r="146467" spans="10:10" x14ac:dyDescent="0.3">
      <c r="J146467"/>
    </row>
    <row r="146468" spans="10:10" x14ac:dyDescent="0.3">
      <c r="J146468"/>
    </row>
    <row r="146469" spans="10:10" x14ac:dyDescent="0.3">
      <c r="J146469"/>
    </row>
    <row r="146470" spans="10:10" x14ac:dyDescent="0.3">
      <c r="J146470"/>
    </row>
    <row r="146471" spans="10:10" x14ac:dyDescent="0.3">
      <c r="J146471"/>
    </row>
    <row r="146472" spans="10:10" x14ac:dyDescent="0.3">
      <c r="J146472"/>
    </row>
    <row r="146473" spans="10:10" x14ac:dyDescent="0.3">
      <c r="J146473"/>
    </row>
    <row r="146474" spans="10:10" x14ac:dyDescent="0.3">
      <c r="J146474"/>
    </row>
    <row r="146475" spans="10:10" x14ac:dyDescent="0.3">
      <c r="J146475"/>
    </row>
    <row r="146476" spans="10:10" x14ac:dyDescent="0.3">
      <c r="J146476"/>
    </row>
    <row r="146477" spans="10:10" x14ac:dyDescent="0.3">
      <c r="J146477"/>
    </row>
    <row r="146478" spans="10:10" x14ac:dyDescent="0.3">
      <c r="J146478"/>
    </row>
    <row r="146479" spans="10:10" x14ac:dyDescent="0.3">
      <c r="J146479"/>
    </row>
    <row r="146480" spans="10:10" x14ac:dyDescent="0.3">
      <c r="J146480"/>
    </row>
    <row r="146481" spans="10:10" x14ac:dyDescent="0.3">
      <c r="J146481"/>
    </row>
    <row r="146482" spans="10:10" x14ac:dyDescent="0.3">
      <c r="J146482"/>
    </row>
    <row r="146483" spans="10:10" x14ac:dyDescent="0.3">
      <c r="J146483"/>
    </row>
    <row r="146484" spans="10:10" x14ac:dyDescent="0.3">
      <c r="J146484"/>
    </row>
    <row r="146485" spans="10:10" x14ac:dyDescent="0.3">
      <c r="J146485"/>
    </row>
    <row r="146486" spans="10:10" x14ac:dyDescent="0.3">
      <c r="J146486"/>
    </row>
    <row r="146487" spans="10:10" x14ac:dyDescent="0.3">
      <c r="J146487"/>
    </row>
    <row r="146488" spans="10:10" x14ac:dyDescent="0.3">
      <c r="J146488"/>
    </row>
    <row r="146489" spans="10:10" x14ac:dyDescent="0.3">
      <c r="J146489"/>
    </row>
    <row r="146490" spans="10:10" x14ac:dyDescent="0.3">
      <c r="J146490"/>
    </row>
    <row r="146491" spans="10:10" x14ac:dyDescent="0.3">
      <c r="J146491"/>
    </row>
    <row r="146492" spans="10:10" x14ac:dyDescent="0.3">
      <c r="J146492"/>
    </row>
    <row r="146493" spans="10:10" x14ac:dyDescent="0.3">
      <c r="J146493"/>
    </row>
    <row r="146494" spans="10:10" x14ac:dyDescent="0.3">
      <c r="J146494"/>
    </row>
    <row r="146495" spans="10:10" x14ac:dyDescent="0.3">
      <c r="J146495"/>
    </row>
    <row r="146496" spans="10:10" x14ac:dyDescent="0.3">
      <c r="J146496"/>
    </row>
    <row r="146497" spans="10:10" x14ac:dyDescent="0.3">
      <c r="J146497"/>
    </row>
    <row r="146498" spans="10:10" x14ac:dyDescent="0.3">
      <c r="J146498"/>
    </row>
    <row r="146499" spans="10:10" x14ac:dyDescent="0.3">
      <c r="J146499"/>
    </row>
    <row r="146500" spans="10:10" x14ac:dyDescent="0.3">
      <c r="J146500"/>
    </row>
    <row r="146501" spans="10:10" x14ac:dyDescent="0.3">
      <c r="J146501"/>
    </row>
    <row r="146502" spans="10:10" x14ac:dyDescent="0.3">
      <c r="J146502"/>
    </row>
    <row r="146503" spans="10:10" x14ac:dyDescent="0.3">
      <c r="J146503"/>
    </row>
    <row r="146504" spans="10:10" x14ac:dyDescent="0.3">
      <c r="J146504"/>
    </row>
    <row r="146505" spans="10:10" x14ac:dyDescent="0.3">
      <c r="J146505"/>
    </row>
    <row r="146506" spans="10:10" x14ac:dyDescent="0.3">
      <c r="J146506"/>
    </row>
    <row r="146507" spans="10:10" x14ac:dyDescent="0.3">
      <c r="J146507"/>
    </row>
    <row r="146508" spans="10:10" x14ac:dyDescent="0.3">
      <c r="J146508"/>
    </row>
    <row r="146509" spans="10:10" x14ac:dyDescent="0.3">
      <c r="J146509"/>
    </row>
    <row r="146510" spans="10:10" x14ac:dyDescent="0.3">
      <c r="J146510"/>
    </row>
    <row r="146511" spans="10:10" x14ac:dyDescent="0.3">
      <c r="J146511"/>
    </row>
    <row r="146512" spans="10:10" x14ac:dyDescent="0.3">
      <c r="J146512"/>
    </row>
    <row r="146513" spans="10:10" x14ac:dyDescent="0.3">
      <c r="J146513"/>
    </row>
    <row r="146514" spans="10:10" x14ac:dyDescent="0.3">
      <c r="J146514"/>
    </row>
    <row r="146515" spans="10:10" x14ac:dyDescent="0.3">
      <c r="J146515"/>
    </row>
    <row r="146516" spans="10:10" x14ac:dyDescent="0.3">
      <c r="J146516"/>
    </row>
    <row r="146517" spans="10:10" x14ac:dyDescent="0.3">
      <c r="J146517"/>
    </row>
    <row r="146518" spans="10:10" x14ac:dyDescent="0.3">
      <c r="J146518"/>
    </row>
    <row r="146519" spans="10:10" x14ac:dyDescent="0.3">
      <c r="J146519"/>
    </row>
    <row r="146520" spans="10:10" x14ac:dyDescent="0.3">
      <c r="J146520"/>
    </row>
    <row r="146521" spans="10:10" x14ac:dyDescent="0.3">
      <c r="J146521"/>
    </row>
    <row r="146522" spans="10:10" x14ac:dyDescent="0.3">
      <c r="J146522"/>
    </row>
    <row r="146523" spans="10:10" x14ac:dyDescent="0.3">
      <c r="J146523"/>
    </row>
    <row r="146524" spans="10:10" x14ac:dyDescent="0.3">
      <c r="J146524"/>
    </row>
    <row r="146525" spans="10:10" x14ac:dyDescent="0.3">
      <c r="J146525"/>
    </row>
    <row r="146526" spans="10:10" x14ac:dyDescent="0.3">
      <c r="J146526"/>
    </row>
    <row r="146527" spans="10:10" x14ac:dyDescent="0.3">
      <c r="J146527"/>
    </row>
    <row r="146528" spans="10:10" x14ac:dyDescent="0.3">
      <c r="J146528"/>
    </row>
    <row r="146529" spans="10:10" x14ac:dyDescent="0.3">
      <c r="J146529"/>
    </row>
    <row r="146530" spans="10:10" x14ac:dyDescent="0.3">
      <c r="J146530"/>
    </row>
    <row r="146531" spans="10:10" x14ac:dyDescent="0.3">
      <c r="J146531"/>
    </row>
    <row r="146532" spans="10:10" x14ac:dyDescent="0.3">
      <c r="J146532"/>
    </row>
    <row r="146533" spans="10:10" x14ac:dyDescent="0.3">
      <c r="J146533"/>
    </row>
    <row r="146534" spans="10:10" x14ac:dyDescent="0.3">
      <c r="J146534"/>
    </row>
    <row r="146535" spans="10:10" x14ac:dyDescent="0.3">
      <c r="J146535"/>
    </row>
    <row r="146536" spans="10:10" x14ac:dyDescent="0.3">
      <c r="J146536"/>
    </row>
    <row r="146537" spans="10:10" x14ac:dyDescent="0.3">
      <c r="J146537"/>
    </row>
    <row r="146538" spans="10:10" x14ac:dyDescent="0.3">
      <c r="J146538"/>
    </row>
    <row r="146539" spans="10:10" x14ac:dyDescent="0.3">
      <c r="J146539"/>
    </row>
    <row r="146540" spans="10:10" x14ac:dyDescent="0.3">
      <c r="J146540"/>
    </row>
    <row r="146541" spans="10:10" x14ac:dyDescent="0.3">
      <c r="J146541"/>
    </row>
    <row r="146542" spans="10:10" x14ac:dyDescent="0.3">
      <c r="J146542"/>
    </row>
    <row r="146543" spans="10:10" x14ac:dyDescent="0.3">
      <c r="J146543"/>
    </row>
    <row r="146544" spans="10:10" x14ac:dyDescent="0.3">
      <c r="J146544"/>
    </row>
    <row r="146545" spans="10:10" x14ac:dyDescent="0.3">
      <c r="J146545"/>
    </row>
    <row r="146546" spans="10:10" x14ac:dyDescent="0.3">
      <c r="J146546"/>
    </row>
    <row r="146547" spans="10:10" x14ac:dyDescent="0.3">
      <c r="J146547"/>
    </row>
    <row r="146548" spans="10:10" x14ac:dyDescent="0.3">
      <c r="J146548"/>
    </row>
    <row r="146549" spans="10:10" x14ac:dyDescent="0.3">
      <c r="J146549"/>
    </row>
    <row r="146550" spans="10:10" x14ac:dyDescent="0.3">
      <c r="J146550"/>
    </row>
    <row r="146551" spans="10:10" x14ac:dyDescent="0.3">
      <c r="J146551"/>
    </row>
    <row r="146552" spans="10:10" x14ac:dyDescent="0.3">
      <c r="J146552"/>
    </row>
    <row r="146553" spans="10:10" x14ac:dyDescent="0.3">
      <c r="J146553"/>
    </row>
    <row r="146554" spans="10:10" x14ac:dyDescent="0.3">
      <c r="J146554"/>
    </row>
    <row r="146555" spans="10:10" x14ac:dyDescent="0.3">
      <c r="J146555"/>
    </row>
    <row r="146556" spans="10:10" x14ac:dyDescent="0.3">
      <c r="J146556"/>
    </row>
    <row r="146557" spans="10:10" x14ac:dyDescent="0.3">
      <c r="J146557"/>
    </row>
    <row r="146558" spans="10:10" x14ac:dyDescent="0.3">
      <c r="J146558"/>
    </row>
    <row r="146559" spans="10:10" x14ac:dyDescent="0.3">
      <c r="J146559"/>
    </row>
    <row r="146560" spans="10:10" x14ac:dyDescent="0.3">
      <c r="J146560"/>
    </row>
    <row r="146561" spans="10:10" x14ac:dyDescent="0.3">
      <c r="J146561"/>
    </row>
    <row r="146562" spans="10:10" x14ac:dyDescent="0.3">
      <c r="J146562"/>
    </row>
    <row r="146563" spans="10:10" x14ac:dyDescent="0.3">
      <c r="J146563"/>
    </row>
    <row r="146564" spans="10:10" x14ac:dyDescent="0.3">
      <c r="J146564"/>
    </row>
    <row r="146565" spans="10:10" x14ac:dyDescent="0.3">
      <c r="J146565"/>
    </row>
    <row r="146566" spans="10:10" x14ac:dyDescent="0.3">
      <c r="J146566"/>
    </row>
    <row r="146567" spans="10:10" x14ac:dyDescent="0.3">
      <c r="J146567"/>
    </row>
    <row r="146568" spans="10:10" x14ac:dyDescent="0.3">
      <c r="J146568"/>
    </row>
    <row r="146569" spans="10:10" x14ac:dyDescent="0.3">
      <c r="J146569"/>
    </row>
    <row r="146570" spans="10:10" x14ac:dyDescent="0.3">
      <c r="J146570"/>
    </row>
    <row r="146571" spans="10:10" x14ac:dyDescent="0.3">
      <c r="J146571"/>
    </row>
    <row r="146572" spans="10:10" x14ac:dyDescent="0.3">
      <c r="J146572"/>
    </row>
    <row r="146573" spans="10:10" x14ac:dyDescent="0.3">
      <c r="J146573"/>
    </row>
    <row r="146574" spans="10:10" x14ac:dyDescent="0.3">
      <c r="J146574"/>
    </row>
    <row r="146575" spans="10:10" x14ac:dyDescent="0.3">
      <c r="J146575"/>
    </row>
    <row r="146576" spans="10:10" x14ac:dyDescent="0.3">
      <c r="J146576"/>
    </row>
    <row r="146577" spans="10:10" x14ac:dyDescent="0.3">
      <c r="J146577"/>
    </row>
    <row r="146578" spans="10:10" x14ac:dyDescent="0.3">
      <c r="J146578"/>
    </row>
    <row r="146579" spans="10:10" x14ac:dyDescent="0.3">
      <c r="J146579"/>
    </row>
    <row r="146580" spans="10:10" x14ac:dyDescent="0.3">
      <c r="J146580"/>
    </row>
    <row r="146581" spans="10:10" x14ac:dyDescent="0.3">
      <c r="J146581"/>
    </row>
    <row r="146582" spans="10:10" x14ac:dyDescent="0.3">
      <c r="J146582"/>
    </row>
    <row r="146583" spans="10:10" x14ac:dyDescent="0.3">
      <c r="J146583"/>
    </row>
    <row r="146584" spans="10:10" x14ac:dyDescent="0.3">
      <c r="J146584"/>
    </row>
    <row r="146585" spans="10:10" x14ac:dyDescent="0.3">
      <c r="J146585"/>
    </row>
    <row r="146586" spans="10:10" x14ac:dyDescent="0.3">
      <c r="J146586"/>
    </row>
    <row r="146587" spans="10:10" x14ac:dyDescent="0.3">
      <c r="J146587"/>
    </row>
    <row r="146588" spans="10:10" x14ac:dyDescent="0.3">
      <c r="J146588"/>
    </row>
    <row r="146589" spans="10:10" x14ac:dyDescent="0.3">
      <c r="J146589"/>
    </row>
    <row r="146590" spans="10:10" x14ac:dyDescent="0.3">
      <c r="J146590"/>
    </row>
    <row r="146591" spans="10:10" x14ac:dyDescent="0.3">
      <c r="J146591"/>
    </row>
    <row r="146592" spans="10:10" x14ac:dyDescent="0.3">
      <c r="J146592"/>
    </row>
    <row r="146593" spans="10:10" x14ac:dyDescent="0.3">
      <c r="J146593"/>
    </row>
    <row r="146594" spans="10:10" x14ac:dyDescent="0.3">
      <c r="J146594"/>
    </row>
    <row r="146595" spans="10:10" x14ac:dyDescent="0.3">
      <c r="J146595"/>
    </row>
    <row r="146596" spans="10:10" x14ac:dyDescent="0.3">
      <c r="J146596"/>
    </row>
    <row r="146597" spans="10:10" x14ac:dyDescent="0.3">
      <c r="J146597"/>
    </row>
    <row r="146598" spans="10:10" x14ac:dyDescent="0.3">
      <c r="J146598"/>
    </row>
    <row r="146599" spans="10:10" x14ac:dyDescent="0.3">
      <c r="J146599"/>
    </row>
    <row r="146600" spans="10:10" x14ac:dyDescent="0.3">
      <c r="J146600"/>
    </row>
    <row r="146601" spans="10:10" x14ac:dyDescent="0.3">
      <c r="J146601"/>
    </row>
    <row r="146602" spans="10:10" x14ac:dyDescent="0.3">
      <c r="J146602"/>
    </row>
    <row r="146603" spans="10:10" x14ac:dyDescent="0.3">
      <c r="J146603"/>
    </row>
    <row r="146604" spans="10:10" x14ac:dyDescent="0.3">
      <c r="J146604"/>
    </row>
    <row r="146605" spans="10:10" x14ac:dyDescent="0.3">
      <c r="J146605"/>
    </row>
    <row r="146606" spans="10:10" x14ac:dyDescent="0.3">
      <c r="J146606"/>
    </row>
    <row r="146607" spans="10:10" x14ac:dyDescent="0.3">
      <c r="J146607"/>
    </row>
    <row r="146608" spans="10:10" x14ac:dyDescent="0.3">
      <c r="J146608"/>
    </row>
    <row r="146609" spans="10:10" x14ac:dyDescent="0.3">
      <c r="J146609"/>
    </row>
    <row r="146610" spans="10:10" x14ac:dyDescent="0.3">
      <c r="J146610"/>
    </row>
    <row r="146611" spans="10:10" x14ac:dyDescent="0.3">
      <c r="J146611"/>
    </row>
    <row r="146612" spans="10:10" x14ac:dyDescent="0.3">
      <c r="J146612"/>
    </row>
    <row r="146613" spans="10:10" x14ac:dyDescent="0.3">
      <c r="J146613"/>
    </row>
    <row r="146614" spans="10:10" x14ac:dyDescent="0.3">
      <c r="J146614"/>
    </row>
    <row r="146615" spans="10:10" x14ac:dyDescent="0.3">
      <c r="J146615"/>
    </row>
    <row r="146616" spans="10:10" x14ac:dyDescent="0.3">
      <c r="J146616"/>
    </row>
    <row r="146617" spans="10:10" x14ac:dyDescent="0.3">
      <c r="J146617"/>
    </row>
    <row r="146618" spans="10:10" x14ac:dyDescent="0.3">
      <c r="J146618"/>
    </row>
    <row r="146619" spans="10:10" x14ac:dyDescent="0.3">
      <c r="J146619"/>
    </row>
    <row r="146620" spans="10:10" x14ac:dyDescent="0.3">
      <c r="J146620"/>
    </row>
    <row r="146621" spans="10:10" x14ac:dyDescent="0.3">
      <c r="J146621"/>
    </row>
    <row r="146622" spans="10:10" x14ac:dyDescent="0.3">
      <c r="J146622"/>
    </row>
    <row r="146623" spans="10:10" x14ac:dyDescent="0.3">
      <c r="J146623"/>
    </row>
    <row r="146624" spans="10:10" x14ac:dyDescent="0.3">
      <c r="J146624"/>
    </row>
    <row r="146625" spans="10:10" x14ac:dyDescent="0.3">
      <c r="J146625"/>
    </row>
    <row r="146626" spans="10:10" x14ac:dyDescent="0.3">
      <c r="J146626"/>
    </row>
    <row r="146627" spans="10:10" x14ac:dyDescent="0.3">
      <c r="J146627"/>
    </row>
    <row r="146628" spans="10:10" x14ac:dyDescent="0.3">
      <c r="J146628"/>
    </row>
    <row r="146629" spans="10:10" x14ac:dyDescent="0.3">
      <c r="J146629"/>
    </row>
    <row r="146630" spans="10:10" x14ac:dyDescent="0.3">
      <c r="J146630"/>
    </row>
    <row r="146631" spans="10:10" x14ac:dyDescent="0.3">
      <c r="J146631"/>
    </row>
    <row r="146632" spans="10:10" x14ac:dyDescent="0.3">
      <c r="J146632"/>
    </row>
    <row r="146633" spans="10:10" x14ac:dyDescent="0.3">
      <c r="J146633"/>
    </row>
    <row r="146634" spans="10:10" x14ac:dyDescent="0.3">
      <c r="J146634"/>
    </row>
    <row r="146635" spans="10:10" x14ac:dyDescent="0.3">
      <c r="J146635"/>
    </row>
    <row r="146636" spans="10:10" x14ac:dyDescent="0.3">
      <c r="J146636"/>
    </row>
    <row r="146637" spans="10:10" x14ac:dyDescent="0.3">
      <c r="J146637"/>
    </row>
    <row r="146638" spans="10:10" x14ac:dyDescent="0.3">
      <c r="J146638"/>
    </row>
    <row r="146639" spans="10:10" x14ac:dyDescent="0.3">
      <c r="J146639"/>
    </row>
    <row r="146640" spans="10:10" x14ac:dyDescent="0.3">
      <c r="J146640"/>
    </row>
    <row r="146641" spans="10:10" x14ac:dyDescent="0.3">
      <c r="J146641"/>
    </row>
    <row r="146642" spans="10:10" x14ac:dyDescent="0.3">
      <c r="J146642"/>
    </row>
    <row r="146643" spans="10:10" x14ac:dyDescent="0.3">
      <c r="J146643"/>
    </row>
    <row r="146644" spans="10:10" x14ac:dyDescent="0.3">
      <c r="J146644"/>
    </row>
    <row r="146645" spans="10:10" x14ac:dyDescent="0.3">
      <c r="J146645"/>
    </row>
    <row r="146646" spans="10:10" x14ac:dyDescent="0.3">
      <c r="J146646"/>
    </row>
    <row r="146647" spans="10:10" x14ac:dyDescent="0.3">
      <c r="J146647"/>
    </row>
    <row r="146648" spans="10:10" x14ac:dyDescent="0.3">
      <c r="J146648"/>
    </row>
    <row r="146649" spans="10:10" x14ac:dyDescent="0.3">
      <c r="J146649"/>
    </row>
    <row r="146650" spans="10:10" x14ac:dyDescent="0.3">
      <c r="J146650"/>
    </row>
    <row r="146651" spans="10:10" x14ac:dyDescent="0.3">
      <c r="J146651"/>
    </row>
    <row r="146652" spans="10:10" x14ac:dyDescent="0.3">
      <c r="J146652"/>
    </row>
    <row r="146653" spans="10:10" x14ac:dyDescent="0.3">
      <c r="J146653"/>
    </row>
    <row r="146654" spans="10:10" x14ac:dyDescent="0.3">
      <c r="J146654"/>
    </row>
    <row r="146655" spans="10:10" x14ac:dyDescent="0.3">
      <c r="J146655"/>
    </row>
    <row r="146656" spans="10:10" x14ac:dyDescent="0.3">
      <c r="J146656"/>
    </row>
    <row r="146657" spans="10:10" x14ac:dyDescent="0.3">
      <c r="J146657"/>
    </row>
    <row r="146658" spans="10:10" x14ac:dyDescent="0.3">
      <c r="J146658"/>
    </row>
    <row r="146659" spans="10:10" x14ac:dyDescent="0.3">
      <c r="J146659"/>
    </row>
    <row r="146660" spans="10:10" x14ac:dyDescent="0.3">
      <c r="J146660"/>
    </row>
    <row r="146661" spans="10:10" x14ac:dyDescent="0.3">
      <c r="J146661"/>
    </row>
    <row r="146662" spans="10:10" x14ac:dyDescent="0.3">
      <c r="J146662"/>
    </row>
    <row r="146663" spans="10:10" x14ac:dyDescent="0.3">
      <c r="J146663"/>
    </row>
    <row r="146664" spans="10:10" x14ac:dyDescent="0.3">
      <c r="J146664"/>
    </row>
    <row r="146665" spans="10:10" x14ac:dyDescent="0.3">
      <c r="J146665"/>
    </row>
    <row r="146666" spans="10:10" x14ac:dyDescent="0.3">
      <c r="J146666"/>
    </row>
    <row r="146667" spans="10:10" x14ac:dyDescent="0.3">
      <c r="J146667"/>
    </row>
    <row r="146668" spans="10:10" x14ac:dyDescent="0.3">
      <c r="J146668"/>
    </row>
    <row r="146669" spans="10:10" x14ac:dyDescent="0.3">
      <c r="J146669"/>
    </row>
    <row r="146670" spans="10:10" x14ac:dyDescent="0.3">
      <c r="J146670"/>
    </row>
    <row r="146671" spans="10:10" x14ac:dyDescent="0.3">
      <c r="J146671"/>
    </row>
    <row r="146672" spans="10:10" x14ac:dyDescent="0.3">
      <c r="J146672"/>
    </row>
    <row r="146673" spans="10:10" x14ac:dyDescent="0.3">
      <c r="J146673"/>
    </row>
    <row r="146674" spans="10:10" x14ac:dyDescent="0.3">
      <c r="J146674"/>
    </row>
    <row r="146675" spans="10:10" x14ac:dyDescent="0.3">
      <c r="J146675"/>
    </row>
    <row r="146676" spans="10:10" x14ac:dyDescent="0.3">
      <c r="J146676"/>
    </row>
    <row r="146677" spans="10:10" x14ac:dyDescent="0.3">
      <c r="J146677"/>
    </row>
    <row r="146678" spans="10:10" x14ac:dyDescent="0.3">
      <c r="J146678"/>
    </row>
    <row r="146679" spans="10:10" x14ac:dyDescent="0.3">
      <c r="J146679"/>
    </row>
    <row r="146680" spans="10:10" x14ac:dyDescent="0.3">
      <c r="J146680"/>
    </row>
    <row r="146681" spans="10:10" x14ac:dyDescent="0.3">
      <c r="J146681"/>
    </row>
    <row r="146682" spans="10:10" x14ac:dyDescent="0.3">
      <c r="J146682"/>
    </row>
    <row r="146683" spans="10:10" x14ac:dyDescent="0.3">
      <c r="J146683"/>
    </row>
    <row r="146684" spans="10:10" x14ac:dyDescent="0.3">
      <c r="J146684"/>
    </row>
    <row r="146685" spans="10:10" x14ac:dyDescent="0.3">
      <c r="J146685"/>
    </row>
    <row r="146686" spans="10:10" x14ac:dyDescent="0.3">
      <c r="J146686"/>
    </row>
    <row r="146687" spans="10:10" x14ac:dyDescent="0.3">
      <c r="J146687"/>
    </row>
    <row r="146688" spans="10:10" x14ac:dyDescent="0.3">
      <c r="J146688"/>
    </row>
    <row r="146689" spans="10:10" x14ac:dyDescent="0.3">
      <c r="J146689"/>
    </row>
    <row r="146690" spans="10:10" x14ac:dyDescent="0.3">
      <c r="J146690"/>
    </row>
    <row r="146691" spans="10:10" x14ac:dyDescent="0.3">
      <c r="J146691"/>
    </row>
    <row r="146692" spans="10:10" x14ac:dyDescent="0.3">
      <c r="J146692"/>
    </row>
    <row r="146693" spans="10:10" x14ac:dyDescent="0.3">
      <c r="J146693"/>
    </row>
    <row r="146694" spans="10:10" x14ac:dyDescent="0.3">
      <c r="J146694"/>
    </row>
    <row r="146695" spans="10:10" x14ac:dyDescent="0.3">
      <c r="J146695"/>
    </row>
    <row r="146696" spans="10:10" x14ac:dyDescent="0.3">
      <c r="J146696"/>
    </row>
    <row r="146697" spans="10:10" x14ac:dyDescent="0.3">
      <c r="J146697"/>
    </row>
    <row r="146698" spans="10:10" x14ac:dyDescent="0.3">
      <c r="J146698"/>
    </row>
    <row r="146699" spans="10:10" x14ac:dyDescent="0.3">
      <c r="J146699"/>
    </row>
    <row r="146700" spans="10:10" x14ac:dyDescent="0.3">
      <c r="J146700"/>
    </row>
    <row r="146701" spans="10:10" x14ac:dyDescent="0.3">
      <c r="J146701"/>
    </row>
    <row r="146702" spans="10:10" x14ac:dyDescent="0.3">
      <c r="J146702"/>
    </row>
    <row r="146703" spans="10:10" x14ac:dyDescent="0.3">
      <c r="J146703"/>
    </row>
    <row r="146704" spans="10:10" x14ac:dyDescent="0.3">
      <c r="J146704"/>
    </row>
    <row r="146705" spans="10:10" x14ac:dyDescent="0.3">
      <c r="J146705"/>
    </row>
    <row r="146706" spans="10:10" x14ac:dyDescent="0.3">
      <c r="J146706"/>
    </row>
    <row r="146707" spans="10:10" x14ac:dyDescent="0.3">
      <c r="J146707"/>
    </row>
    <row r="146708" spans="10:10" x14ac:dyDescent="0.3">
      <c r="J146708"/>
    </row>
    <row r="146709" spans="10:10" x14ac:dyDescent="0.3">
      <c r="J146709"/>
    </row>
    <row r="146710" spans="10:10" x14ac:dyDescent="0.3">
      <c r="J146710"/>
    </row>
    <row r="146711" spans="10:10" x14ac:dyDescent="0.3">
      <c r="J146711"/>
    </row>
    <row r="146712" spans="10:10" x14ac:dyDescent="0.3">
      <c r="J146712"/>
    </row>
    <row r="146713" spans="10:10" x14ac:dyDescent="0.3">
      <c r="J146713"/>
    </row>
    <row r="146714" spans="10:10" x14ac:dyDescent="0.3">
      <c r="J146714"/>
    </row>
    <row r="146715" spans="10:10" x14ac:dyDescent="0.3">
      <c r="J146715"/>
    </row>
    <row r="146716" spans="10:10" x14ac:dyDescent="0.3">
      <c r="J146716"/>
    </row>
    <row r="146717" spans="10:10" x14ac:dyDescent="0.3">
      <c r="J146717"/>
    </row>
    <row r="146718" spans="10:10" x14ac:dyDescent="0.3">
      <c r="J146718"/>
    </row>
    <row r="146719" spans="10:10" x14ac:dyDescent="0.3">
      <c r="J146719"/>
    </row>
    <row r="146720" spans="10:10" x14ac:dyDescent="0.3">
      <c r="J146720"/>
    </row>
    <row r="146721" spans="10:10" x14ac:dyDescent="0.3">
      <c r="J146721"/>
    </row>
    <row r="146722" spans="10:10" x14ac:dyDescent="0.3">
      <c r="J146722"/>
    </row>
    <row r="146723" spans="10:10" x14ac:dyDescent="0.3">
      <c r="J146723"/>
    </row>
    <row r="146724" spans="10:10" x14ac:dyDescent="0.3">
      <c r="J146724"/>
    </row>
    <row r="146725" spans="10:10" x14ac:dyDescent="0.3">
      <c r="J146725"/>
    </row>
    <row r="146726" spans="10:10" x14ac:dyDescent="0.3">
      <c r="J146726"/>
    </row>
    <row r="146727" spans="10:10" x14ac:dyDescent="0.3">
      <c r="J146727"/>
    </row>
    <row r="146728" spans="10:10" x14ac:dyDescent="0.3">
      <c r="J146728"/>
    </row>
    <row r="146729" spans="10:10" x14ac:dyDescent="0.3">
      <c r="J146729"/>
    </row>
    <row r="146730" spans="10:10" x14ac:dyDescent="0.3">
      <c r="J146730"/>
    </row>
    <row r="146731" spans="10:10" x14ac:dyDescent="0.3">
      <c r="J146731"/>
    </row>
    <row r="146732" spans="10:10" x14ac:dyDescent="0.3">
      <c r="J146732"/>
    </row>
    <row r="146733" spans="10:10" x14ac:dyDescent="0.3">
      <c r="J146733"/>
    </row>
    <row r="146734" spans="10:10" x14ac:dyDescent="0.3">
      <c r="J146734"/>
    </row>
    <row r="146735" spans="10:10" x14ac:dyDescent="0.3">
      <c r="J146735"/>
    </row>
    <row r="146736" spans="10:10" x14ac:dyDescent="0.3">
      <c r="J146736"/>
    </row>
    <row r="146737" spans="10:10" x14ac:dyDescent="0.3">
      <c r="J146737"/>
    </row>
    <row r="146738" spans="10:10" x14ac:dyDescent="0.3">
      <c r="J146738"/>
    </row>
    <row r="146739" spans="10:10" x14ac:dyDescent="0.3">
      <c r="J146739"/>
    </row>
    <row r="146740" spans="10:10" x14ac:dyDescent="0.3">
      <c r="J146740"/>
    </row>
    <row r="146741" spans="10:10" x14ac:dyDescent="0.3">
      <c r="J146741"/>
    </row>
    <row r="146742" spans="10:10" x14ac:dyDescent="0.3">
      <c r="J146742"/>
    </row>
    <row r="146743" spans="10:10" x14ac:dyDescent="0.3">
      <c r="J146743"/>
    </row>
    <row r="146744" spans="10:10" x14ac:dyDescent="0.3">
      <c r="J146744"/>
    </row>
    <row r="146745" spans="10:10" x14ac:dyDescent="0.3">
      <c r="J146745"/>
    </row>
    <row r="146746" spans="10:10" x14ac:dyDescent="0.3">
      <c r="J146746"/>
    </row>
    <row r="146747" spans="10:10" x14ac:dyDescent="0.3">
      <c r="J146747"/>
    </row>
    <row r="146748" spans="10:10" x14ac:dyDescent="0.3">
      <c r="J146748"/>
    </row>
    <row r="146749" spans="10:10" x14ac:dyDescent="0.3">
      <c r="J146749"/>
    </row>
    <row r="146750" spans="10:10" x14ac:dyDescent="0.3">
      <c r="J146750"/>
    </row>
    <row r="146751" spans="10:10" x14ac:dyDescent="0.3">
      <c r="J146751"/>
    </row>
    <row r="146752" spans="10:10" x14ac:dyDescent="0.3">
      <c r="J146752"/>
    </row>
    <row r="146753" spans="10:10" x14ac:dyDescent="0.3">
      <c r="J146753"/>
    </row>
    <row r="146754" spans="10:10" x14ac:dyDescent="0.3">
      <c r="J146754"/>
    </row>
    <row r="146755" spans="10:10" x14ac:dyDescent="0.3">
      <c r="J146755"/>
    </row>
    <row r="146756" spans="10:10" x14ac:dyDescent="0.3">
      <c r="J146756"/>
    </row>
    <row r="146757" spans="10:10" x14ac:dyDescent="0.3">
      <c r="J146757"/>
    </row>
    <row r="146758" spans="10:10" x14ac:dyDescent="0.3">
      <c r="J146758"/>
    </row>
    <row r="146759" spans="10:10" x14ac:dyDescent="0.3">
      <c r="J146759"/>
    </row>
    <row r="146760" spans="10:10" x14ac:dyDescent="0.3">
      <c r="J146760"/>
    </row>
    <row r="146761" spans="10:10" x14ac:dyDescent="0.3">
      <c r="J146761"/>
    </row>
    <row r="146762" spans="10:10" x14ac:dyDescent="0.3">
      <c r="J146762"/>
    </row>
    <row r="146763" spans="10:10" x14ac:dyDescent="0.3">
      <c r="J146763"/>
    </row>
    <row r="146764" spans="10:10" x14ac:dyDescent="0.3">
      <c r="J146764"/>
    </row>
    <row r="146765" spans="10:10" x14ac:dyDescent="0.3">
      <c r="J146765"/>
    </row>
    <row r="146766" spans="10:10" x14ac:dyDescent="0.3">
      <c r="J146766"/>
    </row>
    <row r="146767" spans="10:10" x14ac:dyDescent="0.3">
      <c r="J146767"/>
    </row>
    <row r="146768" spans="10:10" x14ac:dyDescent="0.3">
      <c r="J146768"/>
    </row>
    <row r="146769" spans="10:10" x14ac:dyDescent="0.3">
      <c r="J146769"/>
    </row>
    <row r="146770" spans="10:10" x14ac:dyDescent="0.3">
      <c r="J146770"/>
    </row>
    <row r="146771" spans="10:10" x14ac:dyDescent="0.3">
      <c r="J146771"/>
    </row>
    <row r="146772" spans="10:10" x14ac:dyDescent="0.3">
      <c r="J146772"/>
    </row>
    <row r="146773" spans="10:10" x14ac:dyDescent="0.3">
      <c r="J146773"/>
    </row>
    <row r="146774" spans="10:10" x14ac:dyDescent="0.3">
      <c r="J146774"/>
    </row>
    <row r="146775" spans="10:10" x14ac:dyDescent="0.3">
      <c r="J146775"/>
    </row>
    <row r="146776" spans="10:10" x14ac:dyDescent="0.3">
      <c r="J146776"/>
    </row>
    <row r="146777" spans="10:10" x14ac:dyDescent="0.3">
      <c r="J146777"/>
    </row>
    <row r="146778" spans="10:10" x14ac:dyDescent="0.3">
      <c r="J146778"/>
    </row>
    <row r="146779" spans="10:10" x14ac:dyDescent="0.3">
      <c r="J146779"/>
    </row>
    <row r="146780" spans="10:10" x14ac:dyDescent="0.3">
      <c r="J146780"/>
    </row>
    <row r="146781" spans="10:10" x14ac:dyDescent="0.3">
      <c r="J146781"/>
    </row>
    <row r="146782" spans="10:10" x14ac:dyDescent="0.3">
      <c r="J146782"/>
    </row>
    <row r="146783" spans="10:10" x14ac:dyDescent="0.3">
      <c r="J146783"/>
    </row>
    <row r="146784" spans="10:10" x14ac:dyDescent="0.3">
      <c r="J146784"/>
    </row>
    <row r="146785" spans="10:10" x14ac:dyDescent="0.3">
      <c r="J146785"/>
    </row>
    <row r="146786" spans="10:10" x14ac:dyDescent="0.3">
      <c r="J146786"/>
    </row>
    <row r="146787" spans="10:10" x14ac:dyDescent="0.3">
      <c r="J146787"/>
    </row>
    <row r="146788" spans="10:10" x14ac:dyDescent="0.3">
      <c r="J146788"/>
    </row>
    <row r="146789" spans="10:10" x14ac:dyDescent="0.3">
      <c r="J146789"/>
    </row>
    <row r="146790" spans="10:10" x14ac:dyDescent="0.3">
      <c r="J146790"/>
    </row>
    <row r="146791" spans="10:10" x14ac:dyDescent="0.3">
      <c r="J146791"/>
    </row>
    <row r="146792" spans="10:10" x14ac:dyDescent="0.3">
      <c r="J146792"/>
    </row>
    <row r="146793" spans="10:10" x14ac:dyDescent="0.3">
      <c r="J146793"/>
    </row>
    <row r="146794" spans="10:10" x14ac:dyDescent="0.3">
      <c r="J146794"/>
    </row>
    <row r="146795" spans="10:10" x14ac:dyDescent="0.3">
      <c r="J146795"/>
    </row>
    <row r="146796" spans="10:10" x14ac:dyDescent="0.3">
      <c r="J146796"/>
    </row>
    <row r="146797" spans="10:10" x14ac:dyDescent="0.3">
      <c r="J146797"/>
    </row>
    <row r="146798" spans="10:10" x14ac:dyDescent="0.3">
      <c r="J146798"/>
    </row>
    <row r="146799" spans="10:10" x14ac:dyDescent="0.3">
      <c r="J146799"/>
    </row>
    <row r="146800" spans="10:10" x14ac:dyDescent="0.3">
      <c r="J146800"/>
    </row>
    <row r="146801" spans="10:10" x14ac:dyDescent="0.3">
      <c r="J146801"/>
    </row>
    <row r="146802" spans="10:10" x14ac:dyDescent="0.3">
      <c r="J146802"/>
    </row>
    <row r="146803" spans="10:10" x14ac:dyDescent="0.3">
      <c r="J146803"/>
    </row>
    <row r="146804" spans="10:10" x14ac:dyDescent="0.3">
      <c r="J146804"/>
    </row>
    <row r="146805" spans="10:10" x14ac:dyDescent="0.3">
      <c r="J146805"/>
    </row>
    <row r="146806" spans="10:10" x14ac:dyDescent="0.3">
      <c r="J146806"/>
    </row>
    <row r="146807" spans="10:10" x14ac:dyDescent="0.3">
      <c r="J146807"/>
    </row>
    <row r="146808" spans="10:10" x14ac:dyDescent="0.3">
      <c r="J146808"/>
    </row>
    <row r="146809" spans="10:10" x14ac:dyDescent="0.3">
      <c r="J146809"/>
    </row>
    <row r="146810" spans="10:10" x14ac:dyDescent="0.3">
      <c r="J146810"/>
    </row>
    <row r="146811" spans="10:10" x14ac:dyDescent="0.3">
      <c r="J146811"/>
    </row>
    <row r="146812" spans="10:10" x14ac:dyDescent="0.3">
      <c r="J146812"/>
    </row>
    <row r="146813" spans="10:10" x14ac:dyDescent="0.3">
      <c r="J146813"/>
    </row>
    <row r="146814" spans="10:10" x14ac:dyDescent="0.3">
      <c r="J146814"/>
    </row>
    <row r="146815" spans="10:10" x14ac:dyDescent="0.3">
      <c r="J146815"/>
    </row>
    <row r="146816" spans="10:10" x14ac:dyDescent="0.3">
      <c r="J146816"/>
    </row>
    <row r="146817" spans="10:10" x14ac:dyDescent="0.3">
      <c r="J146817"/>
    </row>
    <row r="146818" spans="10:10" x14ac:dyDescent="0.3">
      <c r="J146818"/>
    </row>
    <row r="146819" spans="10:10" x14ac:dyDescent="0.3">
      <c r="J146819"/>
    </row>
    <row r="146820" spans="10:10" x14ac:dyDescent="0.3">
      <c r="J146820"/>
    </row>
    <row r="146821" spans="10:10" x14ac:dyDescent="0.3">
      <c r="J146821"/>
    </row>
    <row r="146822" spans="10:10" x14ac:dyDescent="0.3">
      <c r="J146822"/>
    </row>
    <row r="146823" spans="10:10" x14ac:dyDescent="0.3">
      <c r="J146823"/>
    </row>
    <row r="146824" spans="10:10" x14ac:dyDescent="0.3">
      <c r="J146824"/>
    </row>
    <row r="146825" spans="10:10" x14ac:dyDescent="0.3">
      <c r="J146825"/>
    </row>
    <row r="146826" spans="10:10" x14ac:dyDescent="0.3">
      <c r="J146826"/>
    </row>
    <row r="146827" spans="10:10" x14ac:dyDescent="0.3">
      <c r="J146827"/>
    </row>
    <row r="146828" spans="10:10" x14ac:dyDescent="0.3">
      <c r="J146828"/>
    </row>
    <row r="146829" spans="10:10" x14ac:dyDescent="0.3">
      <c r="J146829"/>
    </row>
    <row r="146830" spans="10:10" x14ac:dyDescent="0.3">
      <c r="J146830"/>
    </row>
    <row r="146831" spans="10:10" x14ac:dyDescent="0.3">
      <c r="J146831"/>
    </row>
    <row r="146832" spans="10:10" x14ac:dyDescent="0.3">
      <c r="J146832"/>
    </row>
    <row r="146833" spans="10:10" x14ac:dyDescent="0.3">
      <c r="J146833"/>
    </row>
    <row r="146834" spans="10:10" x14ac:dyDescent="0.3">
      <c r="J146834"/>
    </row>
    <row r="146835" spans="10:10" x14ac:dyDescent="0.3">
      <c r="J146835"/>
    </row>
    <row r="146836" spans="10:10" x14ac:dyDescent="0.3">
      <c r="J146836"/>
    </row>
    <row r="146837" spans="10:10" x14ac:dyDescent="0.3">
      <c r="J146837"/>
    </row>
    <row r="146838" spans="10:10" x14ac:dyDescent="0.3">
      <c r="J146838"/>
    </row>
    <row r="146839" spans="10:10" x14ac:dyDescent="0.3">
      <c r="J146839"/>
    </row>
    <row r="146840" spans="10:10" x14ac:dyDescent="0.3">
      <c r="J146840"/>
    </row>
    <row r="146841" spans="10:10" x14ac:dyDescent="0.3">
      <c r="J146841"/>
    </row>
    <row r="146842" spans="10:10" x14ac:dyDescent="0.3">
      <c r="J146842"/>
    </row>
    <row r="146843" spans="10:10" x14ac:dyDescent="0.3">
      <c r="J146843"/>
    </row>
    <row r="146844" spans="10:10" x14ac:dyDescent="0.3">
      <c r="J146844"/>
    </row>
    <row r="146845" spans="10:10" x14ac:dyDescent="0.3">
      <c r="J146845"/>
    </row>
    <row r="146846" spans="10:10" x14ac:dyDescent="0.3">
      <c r="J146846"/>
    </row>
    <row r="146847" spans="10:10" x14ac:dyDescent="0.3">
      <c r="J146847"/>
    </row>
    <row r="146848" spans="10:10" x14ac:dyDescent="0.3">
      <c r="J146848"/>
    </row>
    <row r="146849" spans="10:10" x14ac:dyDescent="0.3">
      <c r="J146849"/>
    </row>
    <row r="146850" spans="10:10" x14ac:dyDescent="0.3">
      <c r="J146850"/>
    </row>
    <row r="146851" spans="10:10" x14ac:dyDescent="0.3">
      <c r="J146851"/>
    </row>
    <row r="146852" spans="10:10" x14ac:dyDescent="0.3">
      <c r="J146852"/>
    </row>
    <row r="146853" spans="10:10" x14ac:dyDescent="0.3">
      <c r="J146853"/>
    </row>
    <row r="146854" spans="10:10" x14ac:dyDescent="0.3">
      <c r="J146854"/>
    </row>
    <row r="146855" spans="10:10" x14ac:dyDescent="0.3">
      <c r="J146855"/>
    </row>
    <row r="146856" spans="10:10" x14ac:dyDescent="0.3">
      <c r="J146856"/>
    </row>
    <row r="146857" spans="10:10" x14ac:dyDescent="0.3">
      <c r="J146857"/>
    </row>
    <row r="146858" spans="10:10" x14ac:dyDescent="0.3">
      <c r="J146858"/>
    </row>
    <row r="146859" spans="10:10" x14ac:dyDescent="0.3">
      <c r="J146859"/>
    </row>
    <row r="146860" spans="10:10" x14ac:dyDescent="0.3">
      <c r="J146860"/>
    </row>
    <row r="146861" spans="10:10" x14ac:dyDescent="0.3">
      <c r="J146861"/>
    </row>
    <row r="146862" spans="10:10" x14ac:dyDescent="0.3">
      <c r="J146862"/>
    </row>
    <row r="146863" spans="10:10" x14ac:dyDescent="0.3">
      <c r="J146863"/>
    </row>
    <row r="146864" spans="10:10" x14ac:dyDescent="0.3">
      <c r="J146864"/>
    </row>
    <row r="146865" spans="10:10" x14ac:dyDescent="0.3">
      <c r="J146865"/>
    </row>
    <row r="146866" spans="10:10" x14ac:dyDescent="0.3">
      <c r="J146866"/>
    </row>
    <row r="146867" spans="10:10" x14ac:dyDescent="0.3">
      <c r="J146867"/>
    </row>
    <row r="146868" spans="10:10" x14ac:dyDescent="0.3">
      <c r="J146868"/>
    </row>
    <row r="146869" spans="10:10" x14ac:dyDescent="0.3">
      <c r="J146869"/>
    </row>
    <row r="146870" spans="10:10" x14ac:dyDescent="0.3">
      <c r="J146870"/>
    </row>
    <row r="146871" spans="10:10" x14ac:dyDescent="0.3">
      <c r="J146871"/>
    </row>
    <row r="146872" spans="10:10" x14ac:dyDescent="0.3">
      <c r="J146872"/>
    </row>
    <row r="146873" spans="10:10" x14ac:dyDescent="0.3">
      <c r="J146873"/>
    </row>
    <row r="146874" spans="10:10" x14ac:dyDescent="0.3">
      <c r="J146874"/>
    </row>
    <row r="146875" spans="10:10" x14ac:dyDescent="0.3">
      <c r="J146875"/>
    </row>
    <row r="146876" spans="10:10" x14ac:dyDescent="0.3">
      <c r="J146876"/>
    </row>
    <row r="146877" spans="10:10" x14ac:dyDescent="0.3">
      <c r="J146877"/>
    </row>
    <row r="146878" spans="10:10" x14ac:dyDescent="0.3">
      <c r="J146878"/>
    </row>
    <row r="146879" spans="10:10" x14ac:dyDescent="0.3">
      <c r="J146879"/>
    </row>
    <row r="146880" spans="10:10" x14ac:dyDescent="0.3">
      <c r="J146880"/>
    </row>
    <row r="146881" spans="10:10" x14ac:dyDescent="0.3">
      <c r="J146881"/>
    </row>
    <row r="146882" spans="10:10" x14ac:dyDescent="0.3">
      <c r="J146882"/>
    </row>
    <row r="146883" spans="10:10" x14ac:dyDescent="0.3">
      <c r="J146883"/>
    </row>
    <row r="146884" spans="10:10" x14ac:dyDescent="0.3">
      <c r="J146884"/>
    </row>
    <row r="146885" spans="10:10" x14ac:dyDescent="0.3">
      <c r="J146885"/>
    </row>
    <row r="146886" spans="10:10" x14ac:dyDescent="0.3">
      <c r="J146886"/>
    </row>
    <row r="146887" spans="10:10" x14ac:dyDescent="0.3">
      <c r="J146887"/>
    </row>
    <row r="146888" spans="10:10" x14ac:dyDescent="0.3">
      <c r="J146888"/>
    </row>
    <row r="146889" spans="10:10" x14ac:dyDescent="0.3">
      <c r="J146889"/>
    </row>
    <row r="146890" spans="10:10" x14ac:dyDescent="0.3">
      <c r="J146890"/>
    </row>
    <row r="146891" spans="10:10" x14ac:dyDescent="0.3">
      <c r="J146891"/>
    </row>
    <row r="146892" spans="10:10" x14ac:dyDescent="0.3">
      <c r="J146892"/>
    </row>
    <row r="146893" spans="10:10" x14ac:dyDescent="0.3">
      <c r="J146893"/>
    </row>
    <row r="146894" spans="10:10" x14ac:dyDescent="0.3">
      <c r="J146894"/>
    </row>
    <row r="146895" spans="10:10" x14ac:dyDescent="0.3">
      <c r="J146895"/>
    </row>
    <row r="146896" spans="10:10" x14ac:dyDescent="0.3">
      <c r="J146896"/>
    </row>
    <row r="146897" spans="10:10" x14ac:dyDescent="0.3">
      <c r="J146897"/>
    </row>
    <row r="146898" spans="10:10" x14ac:dyDescent="0.3">
      <c r="J146898"/>
    </row>
    <row r="146899" spans="10:10" x14ac:dyDescent="0.3">
      <c r="J146899"/>
    </row>
    <row r="146900" spans="10:10" x14ac:dyDescent="0.3">
      <c r="J146900"/>
    </row>
    <row r="146901" spans="10:10" x14ac:dyDescent="0.3">
      <c r="J146901"/>
    </row>
    <row r="146902" spans="10:10" x14ac:dyDescent="0.3">
      <c r="J146902"/>
    </row>
    <row r="146903" spans="10:10" x14ac:dyDescent="0.3">
      <c r="J146903"/>
    </row>
    <row r="146904" spans="10:10" x14ac:dyDescent="0.3">
      <c r="J146904"/>
    </row>
    <row r="146905" spans="10:10" x14ac:dyDescent="0.3">
      <c r="J146905"/>
    </row>
    <row r="146906" spans="10:10" x14ac:dyDescent="0.3">
      <c r="J146906"/>
    </row>
    <row r="146907" spans="10:10" x14ac:dyDescent="0.3">
      <c r="J146907"/>
    </row>
    <row r="146908" spans="10:10" x14ac:dyDescent="0.3">
      <c r="J146908"/>
    </row>
    <row r="146909" spans="10:10" x14ac:dyDescent="0.3">
      <c r="J146909"/>
    </row>
    <row r="146910" spans="10:10" x14ac:dyDescent="0.3">
      <c r="J146910"/>
    </row>
    <row r="146911" spans="10:10" x14ac:dyDescent="0.3">
      <c r="J146911"/>
    </row>
    <row r="146912" spans="10:10" x14ac:dyDescent="0.3">
      <c r="J146912"/>
    </row>
    <row r="146913" spans="10:10" x14ac:dyDescent="0.3">
      <c r="J146913"/>
    </row>
    <row r="146914" spans="10:10" x14ac:dyDescent="0.3">
      <c r="J146914"/>
    </row>
    <row r="146915" spans="10:10" x14ac:dyDescent="0.3">
      <c r="J146915"/>
    </row>
    <row r="146916" spans="10:10" x14ac:dyDescent="0.3">
      <c r="J146916"/>
    </row>
    <row r="146917" spans="10:10" x14ac:dyDescent="0.3">
      <c r="J146917"/>
    </row>
    <row r="146918" spans="10:10" x14ac:dyDescent="0.3">
      <c r="J146918"/>
    </row>
    <row r="146919" spans="10:10" x14ac:dyDescent="0.3">
      <c r="J146919"/>
    </row>
    <row r="146920" spans="10:10" x14ac:dyDescent="0.3">
      <c r="J146920"/>
    </row>
    <row r="146921" spans="10:10" x14ac:dyDescent="0.3">
      <c r="J146921"/>
    </row>
    <row r="146922" spans="10:10" x14ac:dyDescent="0.3">
      <c r="J146922"/>
    </row>
    <row r="146923" spans="10:10" x14ac:dyDescent="0.3">
      <c r="J146923"/>
    </row>
    <row r="146924" spans="10:10" x14ac:dyDescent="0.3">
      <c r="J146924"/>
    </row>
    <row r="146925" spans="10:10" x14ac:dyDescent="0.3">
      <c r="J146925"/>
    </row>
    <row r="146926" spans="10:10" x14ac:dyDescent="0.3">
      <c r="J146926"/>
    </row>
    <row r="146927" spans="10:10" x14ac:dyDescent="0.3">
      <c r="J146927"/>
    </row>
    <row r="146928" spans="10:10" x14ac:dyDescent="0.3">
      <c r="J146928"/>
    </row>
    <row r="146929" spans="10:10" x14ac:dyDescent="0.3">
      <c r="J146929"/>
    </row>
    <row r="146930" spans="10:10" x14ac:dyDescent="0.3">
      <c r="J146930"/>
    </row>
    <row r="146931" spans="10:10" x14ac:dyDescent="0.3">
      <c r="J146931"/>
    </row>
    <row r="146932" spans="10:10" x14ac:dyDescent="0.3">
      <c r="J146932"/>
    </row>
    <row r="146933" spans="10:10" x14ac:dyDescent="0.3">
      <c r="J146933"/>
    </row>
    <row r="146934" spans="10:10" x14ac:dyDescent="0.3">
      <c r="J146934"/>
    </row>
    <row r="146935" spans="10:10" x14ac:dyDescent="0.3">
      <c r="J146935"/>
    </row>
    <row r="146936" spans="10:10" x14ac:dyDescent="0.3">
      <c r="J146936"/>
    </row>
    <row r="146937" spans="10:10" x14ac:dyDescent="0.3">
      <c r="J146937"/>
    </row>
    <row r="146938" spans="10:10" x14ac:dyDescent="0.3">
      <c r="J146938"/>
    </row>
    <row r="146939" spans="10:10" x14ac:dyDescent="0.3">
      <c r="J146939"/>
    </row>
    <row r="146940" spans="10:10" x14ac:dyDescent="0.3">
      <c r="J146940"/>
    </row>
    <row r="146941" spans="10:10" x14ac:dyDescent="0.3">
      <c r="J146941"/>
    </row>
    <row r="146942" spans="10:10" x14ac:dyDescent="0.3">
      <c r="J146942"/>
    </row>
    <row r="146943" spans="10:10" x14ac:dyDescent="0.3">
      <c r="J146943"/>
    </row>
    <row r="146944" spans="10:10" x14ac:dyDescent="0.3">
      <c r="J146944"/>
    </row>
    <row r="146945" spans="10:10" x14ac:dyDescent="0.3">
      <c r="J146945"/>
    </row>
    <row r="146946" spans="10:10" x14ac:dyDescent="0.3">
      <c r="J146946"/>
    </row>
    <row r="146947" spans="10:10" x14ac:dyDescent="0.3">
      <c r="J146947"/>
    </row>
    <row r="146948" spans="10:10" x14ac:dyDescent="0.3">
      <c r="J146948"/>
    </row>
    <row r="146949" spans="10:10" x14ac:dyDescent="0.3">
      <c r="J146949"/>
    </row>
    <row r="146950" spans="10:10" x14ac:dyDescent="0.3">
      <c r="J146950"/>
    </row>
    <row r="146951" spans="10:10" x14ac:dyDescent="0.3">
      <c r="J146951"/>
    </row>
    <row r="146952" spans="10:10" x14ac:dyDescent="0.3">
      <c r="J146952"/>
    </row>
    <row r="146953" spans="10:10" x14ac:dyDescent="0.3">
      <c r="J146953"/>
    </row>
    <row r="146954" spans="10:10" x14ac:dyDescent="0.3">
      <c r="J146954"/>
    </row>
    <row r="146955" spans="10:10" x14ac:dyDescent="0.3">
      <c r="J146955"/>
    </row>
    <row r="146956" spans="10:10" x14ac:dyDescent="0.3">
      <c r="J146956"/>
    </row>
    <row r="146957" spans="10:10" x14ac:dyDescent="0.3">
      <c r="J146957"/>
    </row>
    <row r="146958" spans="10:10" x14ac:dyDescent="0.3">
      <c r="J146958"/>
    </row>
    <row r="146959" spans="10:10" x14ac:dyDescent="0.3">
      <c r="J146959"/>
    </row>
    <row r="146960" spans="10:10" x14ac:dyDescent="0.3">
      <c r="J146960"/>
    </row>
    <row r="146961" spans="10:10" x14ac:dyDescent="0.3">
      <c r="J146961"/>
    </row>
    <row r="146962" spans="10:10" x14ac:dyDescent="0.3">
      <c r="J146962"/>
    </row>
    <row r="146963" spans="10:10" x14ac:dyDescent="0.3">
      <c r="J146963"/>
    </row>
    <row r="146964" spans="10:10" x14ac:dyDescent="0.3">
      <c r="J146964"/>
    </row>
    <row r="146965" spans="10:10" x14ac:dyDescent="0.3">
      <c r="J146965"/>
    </row>
    <row r="146966" spans="10:10" x14ac:dyDescent="0.3">
      <c r="J146966"/>
    </row>
    <row r="146967" spans="10:10" x14ac:dyDescent="0.3">
      <c r="J146967"/>
    </row>
    <row r="146968" spans="10:10" x14ac:dyDescent="0.3">
      <c r="J146968"/>
    </row>
    <row r="146969" spans="10:10" x14ac:dyDescent="0.3">
      <c r="J146969"/>
    </row>
    <row r="146970" spans="10:10" x14ac:dyDescent="0.3">
      <c r="J146970"/>
    </row>
    <row r="146971" spans="10:10" x14ac:dyDescent="0.3">
      <c r="J146971"/>
    </row>
    <row r="146972" spans="10:10" x14ac:dyDescent="0.3">
      <c r="J146972"/>
    </row>
    <row r="146973" spans="10:10" x14ac:dyDescent="0.3">
      <c r="J146973"/>
    </row>
    <row r="146974" spans="10:10" x14ac:dyDescent="0.3">
      <c r="J146974"/>
    </row>
    <row r="146975" spans="10:10" x14ac:dyDescent="0.3">
      <c r="J146975"/>
    </row>
    <row r="146976" spans="10:10" x14ac:dyDescent="0.3">
      <c r="J146976"/>
    </row>
    <row r="146977" spans="10:10" x14ac:dyDescent="0.3">
      <c r="J146977"/>
    </row>
    <row r="146978" spans="10:10" x14ac:dyDescent="0.3">
      <c r="J146978"/>
    </row>
    <row r="146979" spans="10:10" x14ac:dyDescent="0.3">
      <c r="J146979"/>
    </row>
    <row r="146980" spans="10:10" x14ac:dyDescent="0.3">
      <c r="J146980"/>
    </row>
    <row r="146981" spans="10:10" x14ac:dyDescent="0.3">
      <c r="J146981"/>
    </row>
    <row r="146982" spans="10:10" x14ac:dyDescent="0.3">
      <c r="J146982"/>
    </row>
    <row r="146983" spans="10:10" x14ac:dyDescent="0.3">
      <c r="J146983"/>
    </row>
    <row r="146984" spans="10:10" x14ac:dyDescent="0.3">
      <c r="J146984"/>
    </row>
    <row r="146985" spans="10:10" x14ac:dyDescent="0.3">
      <c r="J146985"/>
    </row>
    <row r="146986" spans="10:10" x14ac:dyDescent="0.3">
      <c r="J146986"/>
    </row>
    <row r="146987" spans="10:10" x14ac:dyDescent="0.3">
      <c r="J146987"/>
    </row>
    <row r="146988" spans="10:10" x14ac:dyDescent="0.3">
      <c r="J146988"/>
    </row>
    <row r="146989" spans="10:10" x14ac:dyDescent="0.3">
      <c r="J146989"/>
    </row>
    <row r="146990" spans="10:10" x14ac:dyDescent="0.3">
      <c r="J146990"/>
    </row>
    <row r="146991" spans="10:10" x14ac:dyDescent="0.3">
      <c r="J146991"/>
    </row>
    <row r="146992" spans="10:10" x14ac:dyDescent="0.3">
      <c r="J146992"/>
    </row>
    <row r="146993" spans="10:10" x14ac:dyDescent="0.3">
      <c r="J146993"/>
    </row>
    <row r="146994" spans="10:10" x14ac:dyDescent="0.3">
      <c r="J146994"/>
    </row>
    <row r="146995" spans="10:10" x14ac:dyDescent="0.3">
      <c r="J146995"/>
    </row>
    <row r="146996" spans="10:10" x14ac:dyDescent="0.3">
      <c r="J146996"/>
    </row>
    <row r="146997" spans="10:10" x14ac:dyDescent="0.3">
      <c r="J146997"/>
    </row>
    <row r="146998" spans="10:10" x14ac:dyDescent="0.3">
      <c r="J146998"/>
    </row>
    <row r="146999" spans="10:10" x14ac:dyDescent="0.3">
      <c r="J146999"/>
    </row>
    <row r="147000" spans="10:10" x14ac:dyDescent="0.3">
      <c r="J147000"/>
    </row>
    <row r="147001" spans="10:10" x14ac:dyDescent="0.3">
      <c r="J147001"/>
    </row>
    <row r="147002" spans="10:10" x14ac:dyDescent="0.3">
      <c r="J147002"/>
    </row>
    <row r="147003" spans="10:10" x14ac:dyDescent="0.3">
      <c r="J147003"/>
    </row>
    <row r="147004" spans="10:10" x14ac:dyDescent="0.3">
      <c r="J147004"/>
    </row>
    <row r="147005" spans="10:10" x14ac:dyDescent="0.3">
      <c r="J147005"/>
    </row>
    <row r="147006" spans="10:10" x14ac:dyDescent="0.3">
      <c r="J147006"/>
    </row>
    <row r="147007" spans="10:10" x14ac:dyDescent="0.3">
      <c r="J147007"/>
    </row>
    <row r="147008" spans="10:10" x14ac:dyDescent="0.3">
      <c r="J147008"/>
    </row>
    <row r="147009" spans="10:10" x14ac:dyDescent="0.3">
      <c r="J147009"/>
    </row>
    <row r="147010" spans="10:10" x14ac:dyDescent="0.3">
      <c r="J147010"/>
    </row>
    <row r="147011" spans="10:10" x14ac:dyDescent="0.3">
      <c r="J147011"/>
    </row>
    <row r="147012" spans="10:10" x14ac:dyDescent="0.3">
      <c r="J147012"/>
    </row>
    <row r="147013" spans="10:10" x14ac:dyDescent="0.3">
      <c r="J147013"/>
    </row>
    <row r="147014" spans="10:10" x14ac:dyDescent="0.3">
      <c r="J147014"/>
    </row>
    <row r="147015" spans="10:10" x14ac:dyDescent="0.3">
      <c r="J147015"/>
    </row>
    <row r="147016" spans="10:10" x14ac:dyDescent="0.3">
      <c r="J147016"/>
    </row>
    <row r="147017" spans="10:10" x14ac:dyDescent="0.3">
      <c r="J147017"/>
    </row>
    <row r="147018" spans="10:10" x14ac:dyDescent="0.3">
      <c r="J147018"/>
    </row>
    <row r="147019" spans="10:10" x14ac:dyDescent="0.3">
      <c r="J147019"/>
    </row>
    <row r="147020" spans="10:10" x14ac:dyDescent="0.3">
      <c r="J147020"/>
    </row>
    <row r="147021" spans="10:10" x14ac:dyDescent="0.3">
      <c r="J147021"/>
    </row>
    <row r="147022" spans="10:10" x14ac:dyDescent="0.3">
      <c r="J147022"/>
    </row>
    <row r="147023" spans="10:10" x14ac:dyDescent="0.3">
      <c r="J147023"/>
    </row>
    <row r="147024" spans="10:10" x14ac:dyDescent="0.3">
      <c r="J147024"/>
    </row>
    <row r="147025" spans="10:10" x14ac:dyDescent="0.3">
      <c r="J147025"/>
    </row>
    <row r="147026" spans="10:10" x14ac:dyDescent="0.3">
      <c r="J147026"/>
    </row>
    <row r="147027" spans="10:10" x14ac:dyDescent="0.3">
      <c r="J147027"/>
    </row>
    <row r="147028" spans="10:10" x14ac:dyDescent="0.3">
      <c r="J147028"/>
    </row>
    <row r="147029" spans="10:10" x14ac:dyDescent="0.3">
      <c r="J147029"/>
    </row>
    <row r="147030" spans="10:10" x14ac:dyDescent="0.3">
      <c r="J147030"/>
    </row>
    <row r="147031" spans="10:10" x14ac:dyDescent="0.3">
      <c r="J147031"/>
    </row>
    <row r="147032" spans="10:10" x14ac:dyDescent="0.3">
      <c r="J147032"/>
    </row>
    <row r="147033" spans="10:10" x14ac:dyDescent="0.3">
      <c r="J147033"/>
    </row>
    <row r="147034" spans="10:10" x14ac:dyDescent="0.3">
      <c r="J147034"/>
    </row>
    <row r="147035" spans="10:10" x14ac:dyDescent="0.3">
      <c r="J147035"/>
    </row>
    <row r="147036" spans="10:10" x14ac:dyDescent="0.3">
      <c r="J147036"/>
    </row>
    <row r="147037" spans="10:10" x14ac:dyDescent="0.3">
      <c r="J147037"/>
    </row>
    <row r="147038" spans="10:10" x14ac:dyDescent="0.3">
      <c r="J147038"/>
    </row>
    <row r="147039" spans="10:10" x14ac:dyDescent="0.3">
      <c r="J147039"/>
    </row>
    <row r="147040" spans="10:10" x14ac:dyDescent="0.3">
      <c r="J147040"/>
    </row>
    <row r="147041" spans="10:10" x14ac:dyDescent="0.3">
      <c r="J147041"/>
    </row>
    <row r="147042" spans="10:10" x14ac:dyDescent="0.3">
      <c r="J147042"/>
    </row>
    <row r="147043" spans="10:10" x14ac:dyDescent="0.3">
      <c r="J147043"/>
    </row>
    <row r="147044" spans="10:10" x14ac:dyDescent="0.3">
      <c r="J147044"/>
    </row>
    <row r="147045" spans="10:10" x14ac:dyDescent="0.3">
      <c r="J147045"/>
    </row>
    <row r="147046" spans="10:10" x14ac:dyDescent="0.3">
      <c r="J147046"/>
    </row>
    <row r="147047" spans="10:10" x14ac:dyDescent="0.3">
      <c r="J147047"/>
    </row>
    <row r="147048" spans="10:10" x14ac:dyDescent="0.3">
      <c r="J147048"/>
    </row>
    <row r="147049" spans="10:10" x14ac:dyDescent="0.3">
      <c r="J147049"/>
    </row>
    <row r="147050" spans="10:10" x14ac:dyDescent="0.3">
      <c r="J147050"/>
    </row>
    <row r="147051" spans="10:10" x14ac:dyDescent="0.3">
      <c r="J147051"/>
    </row>
    <row r="147052" spans="10:10" x14ac:dyDescent="0.3">
      <c r="J147052"/>
    </row>
    <row r="147053" spans="10:10" x14ac:dyDescent="0.3">
      <c r="J147053"/>
    </row>
    <row r="147054" spans="10:10" x14ac:dyDescent="0.3">
      <c r="J147054"/>
    </row>
    <row r="147055" spans="10:10" x14ac:dyDescent="0.3">
      <c r="J147055"/>
    </row>
    <row r="147056" spans="10:10" x14ac:dyDescent="0.3">
      <c r="J147056"/>
    </row>
    <row r="147057" spans="10:10" x14ac:dyDescent="0.3">
      <c r="J147057"/>
    </row>
    <row r="147058" spans="10:10" x14ac:dyDescent="0.3">
      <c r="J147058"/>
    </row>
    <row r="147059" spans="10:10" x14ac:dyDescent="0.3">
      <c r="J147059"/>
    </row>
    <row r="147060" spans="10:10" x14ac:dyDescent="0.3">
      <c r="J147060"/>
    </row>
    <row r="147061" spans="10:10" x14ac:dyDescent="0.3">
      <c r="J147061"/>
    </row>
    <row r="147062" spans="10:10" x14ac:dyDescent="0.3">
      <c r="J147062"/>
    </row>
    <row r="147063" spans="10:10" x14ac:dyDescent="0.3">
      <c r="J147063"/>
    </row>
    <row r="147064" spans="10:10" x14ac:dyDescent="0.3">
      <c r="J147064"/>
    </row>
    <row r="147065" spans="10:10" x14ac:dyDescent="0.3">
      <c r="J147065"/>
    </row>
    <row r="147066" spans="10:10" x14ac:dyDescent="0.3">
      <c r="J147066"/>
    </row>
    <row r="147067" spans="10:10" x14ac:dyDescent="0.3">
      <c r="J147067"/>
    </row>
    <row r="147068" spans="10:10" x14ac:dyDescent="0.3">
      <c r="J147068"/>
    </row>
    <row r="147069" spans="10:10" x14ac:dyDescent="0.3">
      <c r="J147069"/>
    </row>
    <row r="147070" spans="10:10" x14ac:dyDescent="0.3">
      <c r="J147070"/>
    </row>
    <row r="147071" spans="10:10" x14ac:dyDescent="0.3">
      <c r="J147071"/>
    </row>
    <row r="147072" spans="10:10" x14ac:dyDescent="0.3">
      <c r="J147072"/>
    </row>
    <row r="147073" spans="10:10" x14ac:dyDescent="0.3">
      <c r="J147073"/>
    </row>
    <row r="147074" spans="10:10" x14ac:dyDescent="0.3">
      <c r="J147074"/>
    </row>
    <row r="147075" spans="10:10" x14ac:dyDescent="0.3">
      <c r="J147075"/>
    </row>
    <row r="147076" spans="10:10" x14ac:dyDescent="0.3">
      <c r="J147076"/>
    </row>
    <row r="147077" spans="10:10" x14ac:dyDescent="0.3">
      <c r="J147077"/>
    </row>
    <row r="147078" spans="10:10" x14ac:dyDescent="0.3">
      <c r="J147078"/>
    </row>
    <row r="147079" spans="10:10" x14ac:dyDescent="0.3">
      <c r="J147079"/>
    </row>
    <row r="147080" spans="10:10" x14ac:dyDescent="0.3">
      <c r="J147080"/>
    </row>
    <row r="147081" spans="10:10" x14ac:dyDescent="0.3">
      <c r="J147081"/>
    </row>
    <row r="147082" spans="10:10" x14ac:dyDescent="0.3">
      <c r="J147082"/>
    </row>
    <row r="147083" spans="10:10" x14ac:dyDescent="0.3">
      <c r="J147083"/>
    </row>
    <row r="147084" spans="10:10" x14ac:dyDescent="0.3">
      <c r="J147084"/>
    </row>
    <row r="147085" spans="10:10" x14ac:dyDescent="0.3">
      <c r="J147085"/>
    </row>
    <row r="147086" spans="10:10" x14ac:dyDescent="0.3">
      <c r="J147086"/>
    </row>
    <row r="147087" spans="10:10" x14ac:dyDescent="0.3">
      <c r="J147087"/>
    </row>
    <row r="147088" spans="10:10" x14ac:dyDescent="0.3">
      <c r="J147088"/>
    </row>
    <row r="147089" spans="10:10" x14ac:dyDescent="0.3">
      <c r="J147089"/>
    </row>
    <row r="147090" spans="10:10" x14ac:dyDescent="0.3">
      <c r="J147090"/>
    </row>
    <row r="147091" spans="10:10" x14ac:dyDescent="0.3">
      <c r="J147091"/>
    </row>
    <row r="147092" spans="10:10" x14ac:dyDescent="0.3">
      <c r="J147092"/>
    </row>
    <row r="147093" spans="10:10" x14ac:dyDescent="0.3">
      <c r="J147093"/>
    </row>
    <row r="147094" spans="10:10" x14ac:dyDescent="0.3">
      <c r="J147094"/>
    </row>
    <row r="147095" spans="10:10" x14ac:dyDescent="0.3">
      <c r="J147095"/>
    </row>
    <row r="147096" spans="10:10" x14ac:dyDescent="0.3">
      <c r="J147096"/>
    </row>
    <row r="147097" spans="10:10" x14ac:dyDescent="0.3">
      <c r="J147097"/>
    </row>
    <row r="147098" spans="10:10" x14ac:dyDescent="0.3">
      <c r="J147098"/>
    </row>
    <row r="147099" spans="10:10" x14ac:dyDescent="0.3">
      <c r="J147099"/>
    </row>
    <row r="147100" spans="10:10" x14ac:dyDescent="0.3">
      <c r="J147100"/>
    </row>
    <row r="147101" spans="10:10" x14ac:dyDescent="0.3">
      <c r="J147101"/>
    </row>
    <row r="147102" spans="10:10" x14ac:dyDescent="0.3">
      <c r="J147102"/>
    </row>
    <row r="147103" spans="10:10" x14ac:dyDescent="0.3">
      <c r="J147103"/>
    </row>
    <row r="147104" spans="10:10" x14ac:dyDescent="0.3">
      <c r="J147104"/>
    </row>
    <row r="147105" spans="10:10" x14ac:dyDescent="0.3">
      <c r="J147105"/>
    </row>
    <row r="147106" spans="10:10" x14ac:dyDescent="0.3">
      <c r="J147106"/>
    </row>
    <row r="147107" spans="10:10" x14ac:dyDescent="0.3">
      <c r="J147107"/>
    </row>
    <row r="147108" spans="10:10" x14ac:dyDescent="0.3">
      <c r="J147108"/>
    </row>
    <row r="147109" spans="10:10" x14ac:dyDescent="0.3">
      <c r="J147109"/>
    </row>
    <row r="147110" spans="10:10" x14ac:dyDescent="0.3">
      <c r="J147110"/>
    </row>
    <row r="147111" spans="10:10" x14ac:dyDescent="0.3">
      <c r="J147111"/>
    </row>
    <row r="147112" spans="10:10" x14ac:dyDescent="0.3">
      <c r="J147112"/>
    </row>
    <row r="147113" spans="10:10" x14ac:dyDescent="0.3">
      <c r="J147113"/>
    </row>
    <row r="147114" spans="10:10" x14ac:dyDescent="0.3">
      <c r="J147114"/>
    </row>
    <row r="147115" spans="10:10" x14ac:dyDescent="0.3">
      <c r="J147115"/>
    </row>
    <row r="147116" spans="10:10" x14ac:dyDescent="0.3">
      <c r="J147116"/>
    </row>
    <row r="147117" spans="10:10" x14ac:dyDescent="0.3">
      <c r="J147117"/>
    </row>
    <row r="147118" spans="10:10" x14ac:dyDescent="0.3">
      <c r="J147118"/>
    </row>
    <row r="147119" spans="10:10" x14ac:dyDescent="0.3">
      <c r="J147119"/>
    </row>
    <row r="147120" spans="10:10" x14ac:dyDescent="0.3">
      <c r="J147120"/>
    </row>
    <row r="147121" spans="10:10" x14ac:dyDescent="0.3">
      <c r="J147121"/>
    </row>
    <row r="147122" spans="10:10" x14ac:dyDescent="0.3">
      <c r="J147122"/>
    </row>
    <row r="147123" spans="10:10" x14ac:dyDescent="0.3">
      <c r="J147123"/>
    </row>
    <row r="147124" spans="10:10" x14ac:dyDescent="0.3">
      <c r="J147124"/>
    </row>
    <row r="147125" spans="10:10" x14ac:dyDescent="0.3">
      <c r="J147125"/>
    </row>
    <row r="147126" spans="10:10" x14ac:dyDescent="0.3">
      <c r="J147126"/>
    </row>
    <row r="147127" spans="10:10" x14ac:dyDescent="0.3">
      <c r="J147127"/>
    </row>
    <row r="147128" spans="10:10" x14ac:dyDescent="0.3">
      <c r="J147128"/>
    </row>
    <row r="147129" spans="10:10" x14ac:dyDescent="0.3">
      <c r="J147129"/>
    </row>
    <row r="147130" spans="10:10" x14ac:dyDescent="0.3">
      <c r="J147130"/>
    </row>
    <row r="147131" spans="10:10" x14ac:dyDescent="0.3">
      <c r="J147131"/>
    </row>
    <row r="147132" spans="10:10" x14ac:dyDescent="0.3">
      <c r="J147132"/>
    </row>
    <row r="147133" spans="10:10" x14ac:dyDescent="0.3">
      <c r="J147133"/>
    </row>
    <row r="147134" spans="10:10" x14ac:dyDescent="0.3">
      <c r="J147134"/>
    </row>
    <row r="147135" spans="10:10" x14ac:dyDescent="0.3">
      <c r="J147135"/>
    </row>
    <row r="147136" spans="10:10" x14ac:dyDescent="0.3">
      <c r="J147136"/>
    </row>
    <row r="147137" spans="10:10" x14ac:dyDescent="0.3">
      <c r="J147137"/>
    </row>
    <row r="147138" spans="10:10" x14ac:dyDescent="0.3">
      <c r="J147138"/>
    </row>
    <row r="147139" spans="10:10" x14ac:dyDescent="0.3">
      <c r="J147139"/>
    </row>
    <row r="147140" spans="10:10" x14ac:dyDescent="0.3">
      <c r="J147140"/>
    </row>
    <row r="147141" spans="10:10" x14ac:dyDescent="0.3">
      <c r="J147141"/>
    </row>
    <row r="147142" spans="10:10" x14ac:dyDescent="0.3">
      <c r="J147142"/>
    </row>
    <row r="147143" spans="10:10" x14ac:dyDescent="0.3">
      <c r="J147143"/>
    </row>
    <row r="147144" spans="10:10" x14ac:dyDescent="0.3">
      <c r="J147144"/>
    </row>
    <row r="147145" spans="10:10" x14ac:dyDescent="0.3">
      <c r="J147145"/>
    </row>
    <row r="147146" spans="10:10" x14ac:dyDescent="0.3">
      <c r="J147146"/>
    </row>
    <row r="147147" spans="10:10" x14ac:dyDescent="0.3">
      <c r="J147147"/>
    </row>
    <row r="147148" spans="10:10" x14ac:dyDescent="0.3">
      <c r="J147148"/>
    </row>
    <row r="147149" spans="10:10" x14ac:dyDescent="0.3">
      <c r="J147149"/>
    </row>
    <row r="147150" spans="10:10" x14ac:dyDescent="0.3">
      <c r="J147150"/>
    </row>
    <row r="147151" spans="10:10" x14ac:dyDescent="0.3">
      <c r="J147151"/>
    </row>
    <row r="147152" spans="10:10" x14ac:dyDescent="0.3">
      <c r="J147152"/>
    </row>
    <row r="147153" spans="10:10" x14ac:dyDescent="0.3">
      <c r="J147153"/>
    </row>
    <row r="147154" spans="10:10" x14ac:dyDescent="0.3">
      <c r="J147154"/>
    </row>
    <row r="147155" spans="10:10" x14ac:dyDescent="0.3">
      <c r="J147155"/>
    </row>
    <row r="147156" spans="10:10" x14ac:dyDescent="0.3">
      <c r="J147156"/>
    </row>
    <row r="147157" spans="10:10" x14ac:dyDescent="0.3">
      <c r="J147157"/>
    </row>
    <row r="147158" spans="10:10" x14ac:dyDescent="0.3">
      <c r="J147158"/>
    </row>
    <row r="147159" spans="10:10" x14ac:dyDescent="0.3">
      <c r="J147159"/>
    </row>
    <row r="147160" spans="10:10" x14ac:dyDescent="0.3">
      <c r="J147160"/>
    </row>
    <row r="147161" spans="10:10" x14ac:dyDescent="0.3">
      <c r="J147161"/>
    </row>
    <row r="147162" spans="10:10" x14ac:dyDescent="0.3">
      <c r="J147162"/>
    </row>
    <row r="147163" spans="10:10" x14ac:dyDescent="0.3">
      <c r="J147163"/>
    </row>
    <row r="147164" spans="10:10" x14ac:dyDescent="0.3">
      <c r="J147164"/>
    </row>
    <row r="147165" spans="10:10" x14ac:dyDescent="0.3">
      <c r="J147165"/>
    </row>
    <row r="147166" spans="10:10" x14ac:dyDescent="0.3">
      <c r="J147166"/>
    </row>
    <row r="147167" spans="10:10" x14ac:dyDescent="0.3">
      <c r="J147167"/>
    </row>
    <row r="147168" spans="10:10" x14ac:dyDescent="0.3">
      <c r="J147168"/>
    </row>
    <row r="147169" spans="10:10" x14ac:dyDescent="0.3">
      <c r="J147169"/>
    </row>
    <row r="147170" spans="10:10" x14ac:dyDescent="0.3">
      <c r="J147170"/>
    </row>
    <row r="147171" spans="10:10" x14ac:dyDescent="0.3">
      <c r="J147171"/>
    </row>
    <row r="147172" spans="10:10" x14ac:dyDescent="0.3">
      <c r="J147172"/>
    </row>
    <row r="147173" spans="10:10" x14ac:dyDescent="0.3">
      <c r="J147173"/>
    </row>
    <row r="147174" spans="10:10" x14ac:dyDescent="0.3">
      <c r="J147174"/>
    </row>
    <row r="147175" spans="10:10" x14ac:dyDescent="0.3">
      <c r="J147175"/>
    </row>
    <row r="147176" spans="10:10" x14ac:dyDescent="0.3">
      <c r="J147176"/>
    </row>
    <row r="147177" spans="10:10" x14ac:dyDescent="0.3">
      <c r="J147177"/>
    </row>
    <row r="147178" spans="10:10" x14ac:dyDescent="0.3">
      <c r="J147178"/>
    </row>
    <row r="147179" spans="10:10" x14ac:dyDescent="0.3">
      <c r="J147179"/>
    </row>
    <row r="147180" spans="10:10" x14ac:dyDescent="0.3">
      <c r="J147180"/>
    </row>
    <row r="147181" spans="10:10" x14ac:dyDescent="0.3">
      <c r="J147181"/>
    </row>
    <row r="147182" spans="10:10" x14ac:dyDescent="0.3">
      <c r="J147182"/>
    </row>
    <row r="147183" spans="10:10" x14ac:dyDescent="0.3">
      <c r="J147183"/>
    </row>
    <row r="147184" spans="10:10" x14ac:dyDescent="0.3">
      <c r="J147184"/>
    </row>
    <row r="147185" spans="10:10" x14ac:dyDescent="0.3">
      <c r="J147185"/>
    </row>
    <row r="147186" spans="10:10" x14ac:dyDescent="0.3">
      <c r="J147186"/>
    </row>
    <row r="147187" spans="10:10" x14ac:dyDescent="0.3">
      <c r="J147187"/>
    </row>
    <row r="147188" spans="10:10" x14ac:dyDescent="0.3">
      <c r="J147188"/>
    </row>
    <row r="147189" spans="10:10" x14ac:dyDescent="0.3">
      <c r="J147189"/>
    </row>
    <row r="147190" spans="10:10" x14ac:dyDescent="0.3">
      <c r="J147190"/>
    </row>
    <row r="147191" spans="10:10" x14ac:dyDescent="0.3">
      <c r="J147191"/>
    </row>
    <row r="147192" spans="10:10" x14ac:dyDescent="0.3">
      <c r="J147192"/>
    </row>
    <row r="147193" spans="10:10" x14ac:dyDescent="0.3">
      <c r="J147193"/>
    </row>
    <row r="147194" spans="10:10" x14ac:dyDescent="0.3">
      <c r="J147194"/>
    </row>
    <row r="147195" spans="10:10" x14ac:dyDescent="0.3">
      <c r="J147195"/>
    </row>
    <row r="147196" spans="10:10" x14ac:dyDescent="0.3">
      <c r="J147196"/>
    </row>
    <row r="147197" spans="10:10" x14ac:dyDescent="0.3">
      <c r="J147197"/>
    </row>
    <row r="147198" spans="10:10" x14ac:dyDescent="0.3">
      <c r="J147198"/>
    </row>
    <row r="147199" spans="10:10" x14ac:dyDescent="0.3">
      <c r="J147199"/>
    </row>
    <row r="147200" spans="10:10" x14ac:dyDescent="0.3">
      <c r="J147200"/>
    </row>
    <row r="147201" spans="10:10" x14ac:dyDescent="0.3">
      <c r="J147201"/>
    </row>
    <row r="147202" spans="10:10" x14ac:dyDescent="0.3">
      <c r="J147202"/>
    </row>
    <row r="147203" spans="10:10" x14ac:dyDescent="0.3">
      <c r="J147203"/>
    </row>
    <row r="147204" spans="10:10" x14ac:dyDescent="0.3">
      <c r="J147204"/>
    </row>
    <row r="147205" spans="10:10" x14ac:dyDescent="0.3">
      <c r="J147205"/>
    </row>
    <row r="147206" spans="10:10" x14ac:dyDescent="0.3">
      <c r="J147206"/>
    </row>
    <row r="147207" spans="10:10" x14ac:dyDescent="0.3">
      <c r="J147207"/>
    </row>
    <row r="147208" spans="10:10" x14ac:dyDescent="0.3">
      <c r="J147208"/>
    </row>
    <row r="147209" spans="10:10" x14ac:dyDescent="0.3">
      <c r="J147209"/>
    </row>
    <row r="147210" spans="10:10" x14ac:dyDescent="0.3">
      <c r="J147210"/>
    </row>
    <row r="147211" spans="10:10" x14ac:dyDescent="0.3">
      <c r="J147211"/>
    </row>
    <row r="147212" spans="10:10" x14ac:dyDescent="0.3">
      <c r="J147212"/>
    </row>
    <row r="147213" spans="10:10" x14ac:dyDescent="0.3">
      <c r="J147213"/>
    </row>
    <row r="147214" spans="10:10" x14ac:dyDescent="0.3">
      <c r="J147214"/>
    </row>
    <row r="147215" spans="10:10" x14ac:dyDescent="0.3">
      <c r="J147215"/>
    </row>
    <row r="147216" spans="10:10" x14ac:dyDescent="0.3">
      <c r="J147216"/>
    </row>
    <row r="147217" spans="10:10" x14ac:dyDescent="0.3">
      <c r="J147217"/>
    </row>
    <row r="147218" spans="10:10" x14ac:dyDescent="0.3">
      <c r="J147218"/>
    </row>
    <row r="147219" spans="10:10" x14ac:dyDescent="0.3">
      <c r="J147219"/>
    </row>
    <row r="147220" spans="10:10" x14ac:dyDescent="0.3">
      <c r="J147220"/>
    </row>
    <row r="147221" spans="10:10" x14ac:dyDescent="0.3">
      <c r="J147221"/>
    </row>
    <row r="147222" spans="10:10" x14ac:dyDescent="0.3">
      <c r="J147222"/>
    </row>
    <row r="147223" spans="10:10" x14ac:dyDescent="0.3">
      <c r="J147223"/>
    </row>
    <row r="147224" spans="10:10" x14ac:dyDescent="0.3">
      <c r="J147224"/>
    </row>
    <row r="147225" spans="10:10" x14ac:dyDescent="0.3">
      <c r="J147225"/>
    </row>
    <row r="147226" spans="10:10" x14ac:dyDescent="0.3">
      <c r="J147226"/>
    </row>
    <row r="147227" spans="10:10" x14ac:dyDescent="0.3">
      <c r="J147227"/>
    </row>
    <row r="147228" spans="10:10" x14ac:dyDescent="0.3">
      <c r="J147228"/>
    </row>
    <row r="147229" spans="10:10" x14ac:dyDescent="0.3">
      <c r="J147229"/>
    </row>
    <row r="147230" spans="10:10" x14ac:dyDescent="0.3">
      <c r="J147230"/>
    </row>
    <row r="147231" spans="10:10" x14ac:dyDescent="0.3">
      <c r="J147231"/>
    </row>
    <row r="147232" spans="10:10" x14ac:dyDescent="0.3">
      <c r="J147232"/>
    </row>
    <row r="147233" spans="10:10" x14ac:dyDescent="0.3">
      <c r="J147233"/>
    </row>
    <row r="147234" spans="10:10" x14ac:dyDescent="0.3">
      <c r="J147234"/>
    </row>
    <row r="147235" spans="10:10" x14ac:dyDescent="0.3">
      <c r="J147235"/>
    </row>
    <row r="147236" spans="10:10" x14ac:dyDescent="0.3">
      <c r="J147236"/>
    </row>
    <row r="147237" spans="10:10" x14ac:dyDescent="0.3">
      <c r="J147237"/>
    </row>
    <row r="147238" spans="10:10" x14ac:dyDescent="0.3">
      <c r="J147238"/>
    </row>
    <row r="147239" spans="10:10" x14ac:dyDescent="0.3">
      <c r="J147239"/>
    </row>
    <row r="147240" spans="10:10" x14ac:dyDescent="0.3">
      <c r="J147240"/>
    </row>
    <row r="147241" spans="10:10" x14ac:dyDescent="0.3">
      <c r="J147241"/>
    </row>
    <row r="147242" spans="10:10" x14ac:dyDescent="0.3">
      <c r="J147242"/>
    </row>
    <row r="147243" spans="10:10" x14ac:dyDescent="0.3">
      <c r="J147243"/>
    </row>
    <row r="147244" spans="10:10" x14ac:dyDescent="0.3">
      <c r="J147244"/>
    </row>
    <row r="147245" spans="10:10" x14ac:dyDescent="0.3">
      <c r="J147245"/>
    </row>
    <row r="147246" spans="10:10" x14ac:dyDescent="0.3">
      <c r="J147246"/>
    </row>
    <row r="147247" spans="10:10" x14ac:dyDescent="0.3">
      <c r="J147247"/>
    </row>
    <row r="147248" spans="10:10" x14ac:dyDescent="0.3">
      <c r="J147248"/>
    </row>
    <row r="147249" spans="10:10" x14ac:dyDescent="0.3">
      <c r="J147249"/>
    </row>
    <row r="147250" spans="10:10" x14ac:dyDescent="0.3">
      <c r="J147250"/>
    </row>
    <row r="147251" spans="10:10" x14ac:dyDescent="0.3">
      <c r="J147251"/>
    </row>
    <row r="147252" spans="10:10" x14ac:dyDescent="0.3">
      <c r="J147252"/>
    </row>
    <row r="147253" spans="10:10" x14ac:dyDescent="0.3">
      <c r="J147253"/>
    </row>
    <row r="147254" spans="10:10" x14ac:dyDescent="0.3">
      <c r="J147254"/>
    </row>
    <row r="147255" spans="10:10" x14ac:dyDescent="0.3">
      <c r="J147255"/>
    </row>
    <row r="147256" spans="10:10" x14ac:dyDescent="0.3">
      <c r="J147256"/>
    </row>
    <row r="147257" spans="10:10" x14ac:dyDescent="0.3">
      <c r="J147257"/>
    </row>
    <row r="147258" spans="10:10" x14ac:dyDescent="0.3">
      <c r="J147258"/>
    </row>
    <row r="147259" spans="10:10" x14ac:dyDescent="0.3">
      <c r="J147259"/>
    </row>
    <row r="147260" spans="10:10" x14ac:dyDescent="0.3">
      <c r="J147260"/>
    </row>
    <row r="147261" spans="10:10" x14ac:dyDescent="0.3">
      <c r="J147261"/>
    </row>
    <row r="147262" spans="10:10" x14ac:dyDescent="0.3">
      <c r="J147262"/>
    </row>
    <row r="147263" spans="10:10" x14ac:dyDescent="0.3">
      <c r="J147263"/>
    </row>
    <row r="147264" spans="10:10" x14ac:dyDescent="0.3">
      <c r="J147264"/>
    </row>
    <row r="147265" spans="10:10" x14ac:dyDescent="0.3">
      <c r="J147265"/>
    </row>
    <row r="147266" spans="10:10" x14ac:dyDescent="0.3">
      <c r="J147266"/>
    </row>
    <row r="147267" spans="10:10" x14ac:dyDescent="0.3">
      <c r="J147267"/>
    </row>
    <row r="147268" spans="10:10" x14ac:dyDescent="0.3">
      <c r="J147268"/>
    </row>
    <row r="147269" spans="10:10" x14ac:dyDescent="0.3">
      <c r="J147269"/>
    </row>
    <row r="147270" spans="10:10" x14ac:dyDescent="0.3">
      <c r="J147270"/>
    </row>
    <row r="147271" spans="10:10" x14ac:dyDescent="0.3">
      <c r="J147271"/>
    </row>
    <row r="147272" spans="10:10" x14ac:dyDescent="0.3">
      <c r="J147272"/>
    </row>
    <row r="147273" spans="10:10" x14ac:dyDescent="0.3">
      <c r="J147273"/>
    </row>
    <row r="147274" spans="10:10" x14ac:dyDescent="0.3">
      <c r="J147274"/>
    </row>
    <row r="147275" spans="10:10" x14ac:dyDescent="0.3">
      <c r="J147275"/>
    </row>
    <row r="147276" spans="10:10" x14ac:dyDescent="0.3">
      <c r="J147276"/>
    </row>
    <row r="147277" spans="10:10" x14ac:dyDescent="0.3">
      <c r="J147277"/>
    </row>
    <row r="147278" spans="10:10" x14ac:dyDescent="0.3">
      <c r="J147278"/>
    </row>
    <row r="147279" spans="10:10" x14ac:dyDescent="0.3">
      <c r="J147279"/>
    </row>
    <row r="147280" spans="10:10" x14ac:dyDescent="0.3">
      <c r="J147280"/>
    </row>
    <row r="147281" spans="10:10" x14ac:dyDescent="0.3">
      <c r="J147281"/>
    </row>
    <row r="147282" spans="10:10" x14ac:dyDescent="0.3">
      <c r="J147282"/>
    </row>
    <row r="147283" spans="10:10" x14ac:dyDescent="0.3">
      <c r="J147283"/>
    </row>
    <row r="147284" spans="10:10" x14ac:dyDescent="0.3">
      <c r="J147284"/>
    </row>
    <row r="147285" spans="10:10" x14ac:dyDescent="0.3">
      <c r="J147285"/>
    </row>
    <row r="147286" spans="10:10" x14ac:dyDescent="0.3">
      <c r="J147286"/>
    </row>
    <row r="147287" spans="10:10" x14ac:dyDescent="0.3">
      <c r="J147287"/>
    </row>
    <row r="147288" spans="10:10" x14ac:dyDescent="0.3">
      <c r="J147288"/>
    </row>
    <row r="147289" spans="10:10" x14ac:dyDescent="0.3">
      <c r="J147289"/>
    </row>
    <row r="147290" spans="10:10" x14ac:dyDescent="0.3">
      <c r="J147290"/>
    </row>
    <row r="147291" spans="10:10" x14ac:dyDescent="0.3">
      <c r="J147291"/>
    </row>
    <row r="147292" spans="10:10" x14ac:dyDescent="0.3">
      <c r="J147292"/>
    </row>
    <row r="147293" spans="10:10" x14ac:dyDescent="0.3">
      <c r="J147293"/>
    </row>
    <row r="147294" spans="10:10" x14ac:dyDescent="0.3">
      <c r="J147294"/>
    </row>
    <row r="147295" spans="10:10" x14ac:dyDescent="0.3">
      <c r="J147295"/>
    </row>
    <row r="147296" spans="10:10" x14ac:dyDescent="0.3">
      <c r="J147296"/>
    </row>
    <row r="147297" spans="10:10" x14ac:dyDescent="0.3">
      <c r="J147297"/>
    </row>
    <row r="147298" spans="10:10" x14ac:dyDescent="0.3">
      <c r="J147298"/>
    </row>
    <row r="147299" spans="10:10" x14ac:dyDescent="0.3">
      <c r="J147299"/>
    </row>
    <row r="147300" spans="10:10" x14ac:dyDescent="0.3">
      <c r="J147300"/>
    </row>
    <row r="147301" spans="10:10" x14ac:dyDescent="0.3">
      <c r="J147301"/>
    </row>
    <row r="147302" spans="10:10" x14ac:dyDescent="0.3">
      <c r="J147302"/>
    </row>
    <row r="147303" spans="10:10" x14ac:dyDescent="0.3">
      <c r="J147303"/>
    </row>
    <row r="147304" spans="10:10" x14ac:dyDescent="0.3">
      <c r="J147304"/>
    </row>
    <row r="147305" spans="10:10" x14ac:dyDescent="0.3">
      <c r="J147305"/>
    </row>
    <row r="147306" spans="10:10" x14ac:dyDescent="0.3">
      <c r="J147306"/>
    </row>
    <row r="147307" spans="10:10" x14ac:dyDescent="0.3">
      <c r="J147307"/>
    </row>
    <row r="147308" spans="10:10" x14ac:dyDescent="0.3">
      <c r="J147308"/>
    </row>
    <row r="147309" spans="10:10" x14ac:dyDescent="0.3">
      <c r="J147309"/>
    </row>
    <row r="147310" spans="10:10" x14ac:dyDescent="0.3">
      <c r="J147310"/>
    </row>
    <row r="147311" spans="10:10" x14ac:dyDescent="0.3">
      <c r="J147311"/>
    </row>
    <row r="147312" spans="10:10" x14ac:dyDescent="0.3">
      <c r="J147312"/>
    </row>
    <row r="147313" spans="10:10" x14ac:dyDescent="0.3">
      <c r="J147313"/>
    </row>
    <row r="147314" spans="10:10" x14ac:dyDescent="0.3">
      <c r="J147314"/>
    </row>
    <row r="147315" spans="10:10" x14ac:dyDescent="0.3">
      <c r="J147315"/>
    </row>
    <row r="147316" spans="10:10" x14ac:dyDescent="0.3">
      <c r="J147316"/>
    </row>
    <row r="147317" spans="10:10" x14ac:dyDescent="0.3">
      <c r="J147317"/>
    </row>
    <row r="147318" spans="10:10" x14ac:dyDescent="0.3">
      <c r="J147318"/>
    </row>
    <row r="147319" spans="10:10" x14ac:dyDescent="0.3">
      <c r="J147319"/>
    </row>
    <row r="147320" spans="10:10" x14ac:dyDescent="0.3">
      <c r="J147320"/>
    </row>
    <row r="147321" spans="10:10" x14ac:dyDescent="0.3">
      <c r="J147321"/>
    </row>
    <row r="147322" spans="10:10" x14ac:dyDescent="0.3">
      <c r="J147322"/>
    </row>
    <row r="147323" spans="10:10" x14ac:dyDescent="0.3">
      <c r="J147323"/>
    </row>
    <row r="147324" spans="10:10" x14ac:dyDescent="0.3">
      <c r="J147324"/>
    </row>
    <row r="147325" spans="10:10" x14ac:dyDescent="0.3">
      <c r="J147325"/>
    </row>
    <row r="147326" spans="10:10" x14ac:dyDescent="0.3">
      <c r="J147326"/>
    </row>
    <row r="147327" spans="10:10" x14ac:dyDescent="0.3">
      <c r="J147327"/>
    </row>
    <row r="147328" spans="10:10" x14ac:dyDescent="0.3">
      <c r="J147328"/>
    </row>
    <row r="147329" spans="10:10" x14ac:dyDescent="0.3">
      <c r="J147329"/>
    </row>
    <row r="147330" spans="10:10" x14ac:dyDescent="0.3">
      <c r="J147330"/>
    </row>
    <row r="147331" spans="10:10" x14ac:dyDescent="0.3">
      <c r="J147331"/>
    </row>
    <row r="147332" spans="10:10" x14ac:dyDescent="0.3">
      <c r="J147332"/>
    </row>
    <row r="147333" spans="10:10" x14ac:dyDescent="0.3">
      <c r="J147333"/>
    </row>
    <row r="147334" spans="10:10" x14ac:dyDescent="0.3">
      <c r="J147334"/>
    </row>
    <row r="147335" spans="10:10" x14ac:dyDescent="0.3">
      <c r="J147335"/>
    </row>
    <row r="147336" spans="10:10" x14ac:dyDescent="0.3">
      <c r="J147336"/>
    </row>
    <row r="147337" spans="10:10" x14ac:dyDescent="0.3">
      <c r="J147337"/>
    </row>
    <row r="147338" spans="10:10" x14ac:dyDescent="0.3">
      <c r="J147338"/>
    </row>
    <row r="147339" spans="10:10" x14ac:dyDescent="0.3">
      <c r="J147339"/>
    </row>
    <row r="147340" spans="10:10" x14ac:dyDescent="0.3">
      <c r="J147340"/>
    </row>
    <row r="147341" spans="10:10" x14ac:dyDescent="0.3">
      <c r="J147341"/>
    </row>
    <row r="147342" spans="10:10" x14ac:dyDescent="0.3">
      <c r="J147342"/>
    </row>
    <row r="147343" spans="10:10" x14ac:dyDescent="0.3">
      <c r="J147343"/>
    </row>
    <row r="147344" spans="10:10" x14ac:dyDescent="0.3">
      <c r="J147344"/>
    </row>
    <row r="147345" spans="10:10" x14ac:dyDescent="0.3">
      <c r="J147345"/>
    </row>
    <row r="147346" spans="10:10" x14ac:dyDescent="0.3">
      <c r="J147346"/>
    </row>
    <row r="147347" spans="10:10" x14ac:dyDescent="0.3">
      <c r="J147347"/>
    </row>
    <row r="147348" spans="10:10" x14ac:dyDescent="0.3">
      <c r="J147348"/>
    </row>
    <row r="147349" spans="10:10" x14ac:dyDescent="0.3">
      <c r="J147349"/>
    </row>
    <row r="147350" spans="10:10" x14ac:dyDescent="0.3">
      <c r="J147350"/>
    </row>
    <row r="147351" spans="10:10" x14ac:dyDescent="0.3">
      <c r="J147351"/>
    </row>
    <row r="147352" spans="10:10" x14ac:dyDescent="0.3">
      <c r="J147352"/>
    </row>
    <row r="147353" spans="10:10" x14ac:dyDescent="0.3">
      <c r="J147353"/>
    </row>
    <row r="147354" spans="10:10" x14ac:dyDescent="0.3">
      <c r="J147354"/>
    </row>
    <row r="147355" spans="10:10" x14ac:dyDescent="0.3">
      <c r="J147355"/>
    </row>
    <row r="147356" spans="10:10" x14ac:dyDescent="0.3">
      <c r="J147356"/>
    </row>
    <row r="147357" spans="10:10" x14ac:dyDescent="0.3">
      <c r="J147357"/>
    </row>
    <row r="147358" spans="10:10" x14ac:dyDescent="0.3">
      <c r="J147358"/>
    </row>
    <row r="147359" spans="10:10" x14ac:dyDescent="0.3">
      <c r="J147359"/>
    </row>
    <row r="147360" spans="10:10" x14ac:dyDescent="0.3">
      <c r="J147360"/>
    </row>
    <row r="147361" spans="10:10" x14ac:dyDescent="0.3">
      <c r="J147361"/>
    </row>
    <row r="147362" spans="10:10" x14ac:dyDescent="0.3">
      <c r="J147362"/>
    </row>
    <row r="147363" spans="10:10" x14ac:dyDescent="0.3">
      <c r="J147363"/>
    </row>
    <row r="147364" spans="10:10" x14ac:dyDescent="0.3">
      <c r="J147364"/>
    </row>
    <row r="147365" spans="10:10" x14ac:dyDescent="0.3">
      <c r="J147365"/>
    </row>
    <row r="147366" spans="10:10" x14ac:dyDescent="0.3">
      <c r="J147366"/>
    </row>
    <row r="147367" spans="10:10" x14ac:dyDescent="0.3">
      <c r="J147367"/>
    </row>
    <row r="147368" spans="10:10" x14ac:dyDescent="0.3">
      <c r="J147368"/>
    </row>
    <row r="147369" spans="10:10" x14ac:dyDescent="0.3">
      <c r="J147369"/>
    </row>
    <row r="147370" spans="10:10" x14ac:dyDescent="0.3">
      <c r="J147370"/>
    </row>
    <row r="147371" spans="10:10" x14ac:dyDescent="0.3">
      <c r="J147371"/>
    </row>
    <row r="147372" spans="10:10" x14ac:dyDescent="0.3">
      <c r="J147372"/>
    </row>
    <row r="147373" spans="10:10" x14ac:dyDescent="0.3">
      <c r="J147373"/>
    </row>
    <row r="147374" spans="10:10" x14ac:dyDescent="0.3">
      <c r="J147374"/>
    </row>
    <row r="147375" spans="10:10" x14ac:dyDescent="0.3">
      <c r="J147375"/>
    </row>
    <row r="147376" spans="10:10" x14ac:dyDescent="0.3">
      <c r="J147376"/>
    </row>
    <row r="147377" spans="10:10" x14ac:dyDescent="0.3">
      <c r="J147377"/>
    </row>
    <row r="147378" spans="10:10" x14ac:dyDescent="0.3">
      <c r="J147378"/>
    </row>
    <row r="147379" spans="10:10" x14ac:dyDescent="0.3">
      <c r="J147379"/>
    </row>
    <row r="147380" spans="10:10" x14ac:dyDescent="0.3">
      <c r="J147380"/>
    </row>
    <row r="147381" spans="10:10" x14ac:dyDescent="0.3">
      <c r="J147381"/>
    </row>
    <row r="147382" spans="10:10" x14ac:dyDescent="0.3">
      <c r="J147382"/>
    </row>
    <row r="147383" spans="10:10" x14ac:dyDescent="0.3">
      <c r="J147383"/>
    </row>
    <row r="147384" spans="10:10" x14ac:dyDescent="0.3">
      <c r="J147384"/>
    </row>
    <row r="147385" spans="10:10" x14ac:dyDescent="0.3">
      <c r="J147385"/>
    </row>
    <row r="147386" spans="10:10" x14ac:dyDescent="0.3">
      <c r="J147386"/>
    </row>
    <row r="147387" spans="10:10" x14ac:dyDescent="0.3">
      <c r="J147387"/>
    </row>
    <row r="147388" spans="10:10" x14ac:dyDescent="0.3">
      <c r="J147388"/>
    </row>
    <row r="147389" spans="10:10" x14ac:dyDescent="0.3">
      <c r="J147389"/>
    </row>
    <row r="147390" spans="10:10" x14ac:dyDescent="0.3">
      <c r="J147390"/>
    </row>
    <row r="147391" spans="10:10" x14ac:dyDescent="0.3">
      <c r="J147391"/>
    </row>
    <row r="147392" spans="10:10" x14ac:dyDescent="0.3">
      <c r="J147392"/>
    </row>
    <row r="147393" spans="10:10" x14ac:dyDescent="0.3">
      <c r="J147393"/>
    </row>
    <row r="147394" spans="10:10" x14ac:dyDescent="0.3">
      <c r="J147394"/>
    </row>
    <row r="147395" spans="10:10" x14ac:dyDescent="0.3">
      <c r="J147395"/>
    </row>
    <row r="147396" spans="10:10" x14ac:dyDescent="0.3">
      <c r="J147396"/>
    </row>
    <row r="147397" spans="10:10" x14ac:dyDescent="0.3">
      <c r="J147397"/>
    </row>
    <row r="147398" spans="10:10" x14ac:dyDescent="0.3">
      <c r="J147398"/>
    </row>
    <row r="147399" spans="10:10" x14ac:dyDescent="0.3">
      <c r="J147399"/>
    </row>
    <row r="147400" spans="10:10" x14ac:dyDescent="0.3">
      <c r="J147400"/>
    </row>
    <row r="147401" spans="10:10" x14ac:dyDescent="0.3">
      <c r="J147401"/>
    </row>
    <row r="147402" spans="10:10" x14ac:dyDescent="0.3">
      <c r="J147402"/>
    </row>
    <row r="147403" spans="10:10" x14ac:dyDescent="0.3">
      <c r="J147403"/>
    </row>
    <row r="147404" spans="10:10" x14ac:dyDescent="0.3">
      <c r="J147404"/>
    </row>
    <row r="147405" spans="10:10" x14ac:dyDescent="0.3">
      <c r="J147405"/>
    </row>
    <row r="147406" spans="10:10" x14ac:dyDescent="0.3">
      <c r="J147406"/>
    </row>
    <row r="147407" spans="10:10" x14ac:dyDescent="0.3">
      <c r="J147407"/>
    </row>
    <row r="147408" spans="10:10" x14ac:dyDescent="0.3">
      <c r="J147408"/>
    </row>
    <row r="147409" spans="10:10" x14ac:dyDescent="0.3">
      <c r="J147409"/>
    </row>
    <row r="147410" spans="10:10" x14ac:dyDescent="0.3">
      <c r="J147410"/>
    </row>
    <row r="147411" spans="10:10" x14ac:dyDescent="0.3">
      <c r="J147411"/>
    </row>
    <row r="147412" spans="10:10" x14ac:dyDescent="0.3">
      <c r="J147412"/>
    </row>
    <row r="147413" spans="10:10" x14ac:dyDescent="0.3">
      <c r="J147413"/>
    </row>
    <row r="147414" spans="10:10" x14ac:dyDescent="0.3">
      <c r="J147414"/>
    </row>
    <row r="147415" spans="10:10" x14ac:dyDescent="0.3">
      <c r="J147415"/>
    </row>
    <row r="147416" spans="10:10" x14ac:dyDescent="0.3">
      <c r="J147416"/>
    </row>
    <row r="147417" spans="10:10" x14ac:dyDescent="0.3">
      <c r="J147417"/>
    </row>
    <row r="147418" spans="10:10" x14ac:dyDescent="0.3">
      <c r="J147418"/>
    </row>
    <row r="147419" spans="10:10" x14ac:dyDescent="0.3">
      <c r="J147419"/>
    </row>
    <row r="147420" spans="10:10" x14ac:dyDescent="0.3">
      <c r="J147420"/>
    </row>
    <row r="147421" spans="10:10" x14ac:dyDescent="0.3">
      <c r="J147421"/>
    </row>
    <row r="147422" spans="10:10" x14ac:dyDescent="0.3">
      <c r="J147422"/>
    </row>
    <row r="147423" spans="10:10" x14ac:dyDescent="0.3">
      <c r="J147423"/>
    </row>
    <row r="147424" spans="10:10" x14ac:dyDescent="0.3">
      <c r="J147424"/>
    </row>
    <row r="147425" spans="10:10" x14ac:dyDescent="0.3">
      <c r="J147425"/>
    </row>
    <row r="147426" spans="10:10" x14ac:dyDescent="0.3">
      <c r="J147426"/>
    </row>
    <row r="147427" spans="10:10" x14ac:dyDescent="0.3">
      <c r="J147427"/>
    </row>
    <row r="147428" spans="10:10" x14ac:dyDescent="0.3">
      <c r="J147428"/>
    </row>
    <row r="147429" spans="10:10" x14ac:dyDescent="0.3">
      <c r="J147429"/>
    </row>
    <row r="147430" spans="10:10" x14ac:dyDescent="0.3">
      <c r="J147430"/>
    </row>
    <row r="147431" spans="10:10" x14ac:dyDescent="0.3">
      <c r="J147431"/>
    </row>
    <row r="147432" spans="10:10" x14ac:dyDescent="0.3">
      <c r="J147432"/>
    </row>
    <row r="147433" spans="10:10" x14ac:dyDescent="0.3">
      <c r="J147433"/>
    </row>
    <row r="147434" spans="10:10" x14ac:dyDescent="0.3">
      <c r="J147434"/>
    </row>
    <row r="147435" spans="10:10" x14ac:dyDescent="0.3">
      <c r="J147435"/>
    </row>
    <row r="147436" spans="10:10" x14ac:dyDescent="0.3">
      <c r="J147436"/>
    </row>
    <row r="147437" spans="10:10" x14ac:dyDescent="0.3">
      <c r="J147437"/>
    </row>
    <row r="147438" spans="10:10" x14ac:dyDescent="0.3">
      <c r="J147438"/>
    </row>
    <row r="147439" spans="10:10" x14ac:dyDescent="0.3">
      <c r="J147439"/>
    </row>
    <row r="147440" spans="10:10" x14ac:dyDescent="0.3">
      <c r="J147440"/>
    </row>
    <row r="147441" spans="10:10" x14ac:dyDescent="0.3">
      <c r="J147441"/>
    </row>
    <row r="147442" spans="10:10" x14ac:dyDescent="0.3">
      <c r="J147442"/>
    </row>
    <row r="147443" spans="10:10" x14ac:dyDescent="0.3">
      <c r="J147443"/>
    </row>
    <row r="147444" spans="10:10" x14ac:dyDescent="0.3">
      <c r="J147444"/>
    </row>
    <row r="147445" spans="10:10" x14ac:dyDescent="0.3">
      <c r="J147445"/>
    </row>
    <row r="147446" spans="10:10" x14ac:dyDescent="0.3">
      <c r="J147446"/>
    </row>
    <row r="147447" spans="10:10" x14ac:dyDescent="0.3">
      <c r="J147447"/>
    </row>
    <row r="147448" spans="10:10" x14ac:dyDescent="0.3">
      <c r="J147448"/>
    </row>
    <row r="147449" spans="10:10" x14ac:dyDescent="0.3">
      <c r="J147449"/>
    </row>
    <row r="147450" spans="10:10" x14ac:dyDescent="0.3">
      <c r="J147450"/>
    </row>
    <row r="147451" spans="10:10" x14ac:dyDescent="0.3">
      <c r="J147451"/>
    </row>
    <row r="147452" spans="10:10" x14ac:dyDescent="0.3">
      <c r="J147452"/>
    </row>
    <row r="147453" spans="10:10" x14ac:dyDescent="0.3">
      <c r="J147453"/>
    </row>
    <row r="147454" spans="10:10" x14ac:dyDescent="0.3">
      <c r="J147454"/>
    </row>
    <row r="147455" spans="10:10" x14ac:dyDescent="0.3">
      <c r="J147455"/>
    </row>
    <row r="147456" spans="10:10" x14ac:dyDescent="0.3">
      <c r="J147456"/>
    </row>
    <row r="147457" spans="10:10" x14ac:dyDescent="0.3">
      <c r="J147457"/>
    </row>
    <row r="147458" spans="10:10" x14ac:dyDescent="0.3">
      <c r="J147458"/>
    </row>
    <row r="147459" spans="10:10" x14ac:dyDescent="0.3">
      <c r="J147459"/>
    </row>
    <row r="147460" spans="10:10" x14ac:dyDescent="0.3">
      <c r="J147460"/>
    </row>
    <row r="147461" spans="10:10" x14ac:dyDescent="0.3">
      <c r="J147461"/>
    </row>
    <row r="147462" spans="10:10" x14ac:dyDescent="0.3">
      <c r="J147462"/>
    </row>
    <row r="147463" spans="10:10" x14ac:dyDescent="0.3">
      <c r="J147463"/>
    </row>
    <row r="147464" spans="10:10" x14ac:dyDescent="0.3">
      <c r="J147464"/>
    </row>
    <row r="147465" spans="10:10" x14ac:dyDescent="0.3">
      <c r="J147465"/>
    </row>
    <row r="147466" spans="10:10" x14ac:dyDescent="0.3">
      <c r="J147466"/>
    </row>
    <row r="147467" spans="10:10" x14ac:dyDescent="0.3">
      <c r="J147467"/>
    </row>
    <row r="147468" spans="10:10" x14ac:dyDescent="0.3">
      <c r="J147468"/>
    </row>
    <row r="147469" spans="10:10" x14ac:dyDescent="0.3">
      <c r="J147469"/>
    </row>
    <row r="147470" spans="10:10" x14ac:dyDescent="0.3">
      <c r="J147470"/>
    </row>
    <row r="147471" spans="10:10" x14ac:dyDescent="0.3">
      <c r="J147471"/>
    </row>
    <row r="147472" spans="10:10" x14ac:dyDescent="0.3">
      <c r="J147472"/>
    </row>
    <row r="147473" spans="10:10" x14ac:dyDescent="0.3">
      <c r="J147473"/>
    </row>
    <row r="147474" spans="10:10" x14ac:dyDescent="0.3">
      <c r="J147474"/>
    </row>
    <row r="147475" spans="10:10" x14ac:dyDescent="0.3">
      <c r="J147475"/>
    </row>
    <row r="147476" spans="10:10" x14ac:dyDescent="0.3">
      <c r="J147476"/>
    </row>
    <row r="147477" spans="10:10" x14ac:dyDescent="0.3">
      <c r="J147477"/>
    </row>
    <row r="147478" spans="10:10" x14ac:dyDescent="0.3">
      <c r="J147478"/>
    </row>
    <row r="147479" spans="10:10" x14ac:dyDescent="0.3">
      <c r="J147479"/>
    </row>
    <row r="147480" spans="10:10" x14ac:dyDescent="0.3">
      <c r="J147480"/>
    </row>
    <row r="147481" spans="10:10" x14ac:dyDescent="0.3">
      <c r="J147481"/>
    </row>
    <row r="147482" spans="10:10" x14ac:dyDescent="0.3">
      <c r="J147482"/>
    </row>
    <row r="147483" spans="10:10" x14ac:dyDescent="0.3">
      <c r="J147483"/>
    </row>
    <row r="147484" spans="10:10" x14ac:dyDescent="0.3">
      <c r="J147484"/>
    </row>
    <row r="147485" spans="10:10" x14ac:dyDescent="0.3">
      <c r="J147485"/>
    </row>
    <row r="147486" spans="10:10" x14ac:dyDescent="0.3">
      <c r="J147486"/>
    </row>
    <row r="147487" spans="10:10" x14ac:dyDescent="0.3">
      <c r="J147487"/>
    </row>
    <row r="147488" spans="10:10" x14ac:dyDescent="0.3">
      <c r="J147488"/>
    </row>
    <row r="147489" spans="10:10" x14ac:dyDescent="0.3">
      <c r="J147489"/>
    </row>
    <row r="147490" spans="10:10" x14ac:dyDescent="0.3">
      <c r="J147490"/>
    </row>
    <row r="147491" spans="10:10" x14ac:dyDescent="0.3">
      <c r="J147491"/>
    </row>
    <row r="147492" spans="10:10" x14ac:dyDescent="0.3">
      <c r="J147492"/>
    </row>
    <row r="147493" spans="10:10" x14ac:dyDescent="0.3">
      <c r="J147493"/>
    </row>
    <row r="147494" spans="10:10" x14ac:dyDescent="0.3">
      <c r="J147494"/>
    </row>
    <row r="147495" spans="10:10" x14ac:dyDescent="0.3">
      <c r="J147495"/>
    </row>
    <row r="147496" spans="10:10" x14ac:dyDescent="0.3">
      <c r="J147496"/>
    </row>
    <row r="147497" spans="10:10" x14ac:dyDescent="0.3">
      <c r="J147497"/>
    </row>
    <row r="147498" spans="10:10" x14ac:dyDescent="0.3">
      <c r="J147498"/>
    </row>
    <row r="147499" spans="10:10" x14ac:dyDescent="0.3">
      <c r="J147499"/>
    </row>
    <row r="147500" spans="10:10" x14ac:dyDescent="0.3">
      <c r="J147500"/>
    </row>
    <row r="147501" spans="10:10" x14ac:dyDescent="0.3">
      <c r="J147501"/>
    </row>
    <row r="147502" spans="10:10" x14ac:dyDescent="0.3">
      <c r="J147502"/>
    </row>
    <row r="147503" spans="10:10" x14ac:dyDescent="0.3">
      <c r="J147503"/>
    </row>
    <row r="147504" spans="10:10" x14ac:dyDescent="0.3">
      <c r="J147504"/>
    </row>
    <row r="147505" spans="10:10" x14ac:dyDescent="0.3">
      <c r="J147505"/>
    </row>
    <row r="147506" spans="10:10" x14ac:dyDescent="0.3">
      <c r="J147506"/>
    </row>
    <row r="147507" spans="10:10" x14ac:dyDescent="0.3">
      <c r="J147507"/>
    </row>
    <row r="147508" spans="10:10" x14ac:dyDescent="0.3">
      <c r="J147508"/>
    </row>
    <row r="147509" spans="10:10" x14ac:dyDescent="0.3">
      <c r="J147509"/>
    </row>
    <row r="147510" spans="10:10" x14ac:dyDescent="0.3">
      <c r="J147510"/>
    </row>
    <row r="147511" spans="10:10" x14ac:dyDescent="0.3">
      <c r="J147511"/>
    </row>
    <row r="147512" spans="10:10" x14ac:dyDescent="0.3">
      <c r="J147512"/>
    </row>
    <row r="147513" spans="10:10" x14ac:dyDescent="0.3">
      <c r="J147513"/>
    </row>
    <row r="147514" spans="10:10" x14ac:dyDescent="0.3">
      <c r="J147514"/>
    </row>
    <row r="147515" spans="10:10" x14ac:dyDescent="0.3">
      <c r="J147515"/>
    </row>
    <row r="147516" spans="10:10" x14ac:dyDescent="0.3">
      <c r="J147516"/>
    </row>
    <row r="147517" spans="10:10" x14ac:dyDescent="0.3">
      <c r="J147517"/>
    </row>
    <row r="147518" spans="10:10" x14ac:dyDescent="0.3">
      <c r="J147518"/>
    </row>
    <row r="147519" spans="10:10" x14ac:dyDescent="0.3">
      <c r="J147519"/>
    </row>
    <row r="147520" spans="10:10" x14ac:dyDescent="0.3">
      <c r="J147520"/>
    </row>
    <row r="147521" spans="10:10" x14ac:dyDescent="0.3">
      <c r="J147521"/>
    </row>
    <row r="147522" spans="10:10" x14ac:dyDescent="0.3">
      <c r="J147522"/>
    </row>
    <row r="147523" spans="10:10" x14ac:dyDescent="0.3">
      <c r="J147523"/>
    </row>
    <row r="147524" spans="10:10" x14ac:dyDescent="0.3">
      <c r="J147524"/>
    </row>
    <row r="147525" spans="10:10" x14ac:dyDescent="0.3">
      <c r="J147525"/>
    </row>
    <row r="147526" spans="10:10" x14ac:dyDescent="0.3">
      <c r="J147526"/>
    </row>
    <row r="147527" spans="10:10" x14ac:dyDescent="0.3">
      <c r="J147527"/>
    </row>
    <row r="147528" spans="10:10" x14ac:dyDescent="0.3">
      <c r="J147528"/>
    </row>
    <row r="147529" spans="10:10" x14ac:dyDescent="0.3">
      <c r="J147529"/>
    </row>
    <row r="147530" spans="10:10" x14ac:dyDescent="0.3">
      <c r="J147530"/>
    </row>
    <row r="147531" spans="10:10" x14ac:dyDescent="0.3">
      <c r="J147531"/>
    </row>
    <row r="147532" spans="10:10" x14ac:dyDescent="0.3">
      <c r="J147532"/>
    </row>
    <row r="147533" spans="10:10" x14ac:dyDescent="0.3">
      <c r="J147533"/>
    </row>
    <row r="147534" spans="10:10" x14ac:dyDescent="0.3">
      <c r="J147534"/>
    </row>
    <row r="147535" spans="10:10" x14ac:dyDescent="0.3">
      <c r="J147535"/>
    </row>
    <row r="147536" spans="10:10" x14ac:dyDescent="0.3">
      <c r="J147536"/>
    </row>
    <row r="147537" spans="10:10" x14ac:dyDescent="0.3">
      <c r="J147537"/>
    </row>
    <row r="147538" spans="10:10" x14ac:dyDescent="0.3">
      <c r="J147538"/>
    </row>
    <row r="147539" spans="10:10" x14ac:dyDescent="0.3">
      <c r="J147539"/>
    </row>
    <row r="147540" spans="10:10" x14ac:dyDescent="0.3">
      <c r="J147540"/>
    </row>
    <row r="147541" spans="10:10" x14ac:dyDescent="0.3">
      <c r="J147541"/>
    </row>
    <row r="147542" spans="10:10" x14ac:dyDescent="0.3">
      <c r="J147542"/>
    </row>
    <row r="147543" spans="10:10" x14ac:dyDescent="0.3">
      <c r="J147543"/>
    </row>
    <row r="147544" spans="10:10" x14ac:dyDescent="0.3">
      <c r="J147544"/>
    </row>
    <row r="147545" spans="10:10" x14ac:dyDescent="0.3">
      <c r="J147545"/>
    </row>
    <row r="147546" spans="10:10" x14ac:dyDescent="0.3">
      <c r="J147546"/>
    </row>
    <row r="147547" spans="10:10" x14ac:dyDescent="0.3">
      <c r="J147547"/>
    </row>
    <row r="147548" spans="10:10" x14ac:dyDescent="0.3">
      <c r="J147548"/>
    </row>
    <row r="147549" spans="10:10" x14ac:dyDescent="0.3">
      <c r="J147549"/>
    </row>
    <row r="147550" spans="10:10" x14ac:dyDescent="0.3">
      <c r="J147550"/>
    </row>
    <row r="147551" spans="10:10" x14ac:dyDescent="0.3">
      <c r="J147551"/>
    </row>
    <row r="147552" spans="10:10" x14ac:dyDescent="0.3">
      <c r="J147552"/>
    </row>
    <row r="147553" spans="10:10" x14ac:dyDescent="0.3">
      <c r="J147553"/>
    </row>
    <row r="147554" spans="10:10" x14ac:dyDescent="0.3">
      <c r="J147554"/>
    </row>
    <row r="147555" spans="10:10" x14ac:dyDescent="0.3">
      <c r="J147555"/>
    </row>
    <row r="147556" spans="10:10" x14ac:dyDescent="0.3">
      <c r="J147556"/>
    </row>
    <row r="147557" spans="10:10" x14ac:dyDescent="0.3">
      <c r="J147557"/>
    </row>
    <row r="147558" spans="10:10" x14ac:dyDescent="0.3">
      <c r="J147558"/>
    </row>
    <row r="147559" spans="10:10" x14ac:dyDescent="0.3">
      <c r="J147559"/>
    </row>
    <row r="147560" spans="10:10" x14ac:dyDescent="0.3">
      <c r="J147560"/>
    </row>
    <row r="147561" spans="10:10" x14ac:dyDescent="0.3">
      <c r="J147561"/>
    </row>
    <row r="147562" spans="10:10" x14ac:dyDescent="0.3">
      <c r="J147562"/>
    </row>
    <row r="147563" spans="10:10" x14ac:dyDescent="0.3">
      <c r="J147563"/>
    </row>
    <row r="147564" spans="10:10" x14ac:dyDescent="0.3">
      <c r="J147564"/>
    </row>
    <row r="147565" spans="10:10" x14ac:dyDescent="0.3">
      <c r="J147565"/>
    </row>
    <row r="147566" spans="10:10" x14ac:dyDescent="0.3">
      <c r="J147566"/>
    </row>
    <row r="147567" spans="10:10" x14ac:dyDescent="0.3">
      <c r="J147567"/>
    </row>
    <row r="147568" spans="10:10" x14ac:dyDescent="0.3">
      <c r="J147568"/>
    </row>
    <row r="147569" spans="10:10" x14ac:dyDescent="0.3">
      <c r="J147569"/>
    </row>
    <row r="147570" spans="10:10" x14ac:dyDescent="0.3">
      <c r="J147570"/>
    </row>
    <row r="147571" spans="10:10" x14ac:dyDescent="0.3">
      <c r="J147571"/>
    </row>
    <row r="147572" spans="10:10" x14ac:dyDescent="0.3">
      <c r="J147572"/>
    </row>
    <row r="147573" spans="10:10" x14ac:dyDescent="0.3">
      <c r="J147573"/>
    </row>
    <row r="147574" spans="10:10" x14ac:dyDescent="0.3">
      <c r="J147574"/>
    </row>
    <row r="147575" spans="10:10" x14ac:dyDescent="0.3">
      <c r="J147575"/>
    </row>
    <row r="147576" spans="10:10" x14ac:dyDescent="0.3">
      <c r="J147576"/>
    </row>
    <row r="147577" spans="10:10" x14ac:dyDescent="0.3">
      <c r="J147577"/>
    </row>
    <row r="147578" spans="10:10" x14ac:dyDescent="0.3">
      <c r="J147578"/>
    </row>
    <row r="147579" spans="10:10" x14ac:dyDescent="0.3">
      <c r="J147579"/>
    </row>
    <row r="147580" spans="10:10" x14ac:dyDescent="0.3">
      <c r="J147580"/>
    </row>
    <row r="147581" spans="10:10" x14ac:dyDescent="0.3">
      <c r="J147581"/>
    </row>
    <row r="147582" spans="10:10" x14ac:dyDescent="0.3">
      <c r="J147582"/>
    </row>
    <row r="147583" spans="10:10" x14ac:dyDescent="0.3">
      <c r="J147583"/>
    </row>
    <row r="147584" spans="10:10" x14ac:dyDescent="0.3">
      <c r="J147584"/>
    </row>
    <row r="147585" spans="10:10" x14ac:dyDescent="0.3">
      <c r="J147585"/>
    </row>
    <row r="147586" spans="10:10" x14ac:dyDescent="0.3">
      <c r="J147586"/>
    </row>
    <row r="147587" spans="10:10" x14ac:dyDescent="0.3">
      <c r="J147587"/>
    </row>
    <row r="147588" spans="10:10" x14ac:dyDescent="0.3">
      <c r="J147588"/>
    </row>
    <row r="147589" spans="10:10" x14ac:dyDescent="0.3">
      <c r="J147589"/>
    </row>
    <row r="147590" spans="10:10" x14ac:dyDescent="0.3">
      <c r="J147590"/>
    </row>
    <row r="147591" spans="10:10" x14ac:dyDescent="0.3">
      <c r="J147591"/>
    </row>
    <row r="147592" spans="10:10" x14ac:dyDescent="0.3">
      <c r="J147592"/>
    </row>
    <row r="147593" spans="10:10" x14ac:dyDescent="0.3">
      <c r="J147593"/>
    </row>
    <row r="147594" spans="10:10" x14ac:dyDescent="0.3">
      <c r="J147594"/>
    </row>
    <row r="147595" spans="10:10" x14ac:dyDescent="0.3">
      <c r="J147595"/>
    </row>
    <row r="147596" spans="10:10" x14ac:dyDescent="0.3">
      <c r="J147596"/>
    </row>
    <row r="147597" spans="10:10" x14ac:dyDescent="0.3">
      <c r="J147597"/>
    </row>
    <row r="147598" spans="10:10" x14ac:dyDescent="0.3">
      <c r="J147598"/>
    </row>
    <row r="147599" spans="10:10" x14ac:dyDescent="0.3">
      <c r="J147599"/>
    </row>
    <row r="147600" spans="10:10" x14ac:dyDescent="0.3">
      <c r="J147600"/>
    </row>
    <row r="147601" spans="10:10" x14ac:dyDescent="0.3">
      <c r="J147601"/>
    </row>
    <row r="147602" spans="10:10" x14ac:dyDescent="0.3">
      <c r="J147602"/>
    </row>
    <row r="147603" spans="10:10" x14ac:dyDescent="0.3">
      <c r="J147603"/>
    </row>
    <row r="147604" spans="10:10" x14ac:dyDescent="0.3">
      <c r="J147604"/>
    </row>
    <row r="147605" spans="10:10" x14ac:dyDescent="0.3">
      <c r="J147605"/>
    </row>
    <row r="147606" spans="10:10" x14ac:dyDescent="0.3">
      <c r="J147606"/>
    </row>
    <row r="147607" spans="10:10" x14ac:dyDescent="0.3">
      <c r="J147607"/>
    </row>
    <row r="147608" spans="10:10" x14ac:dyDescent="0.3">
      <c r="J147608"/>
    </row>
    <row r="147609" spans="10:10" x14ac:dyDescent="0.3">
      <c r="J147609"/>
    </row>
    <row r="147610" spans="10:10" x14ac:dyDescent="0.3">
      <c r="J147610"/>
    </row>
    <row r="147611" spans="10:10" x14ac:dyDescent="0.3">
      <c r="J147611"/>
    </row>
    <row r="147612" spans="10:10" x14ac:dyDescent="0.3">
      <c r="J147612"/>
    </row>
    <row r="147613" spans="10:10" x14ac:dyDescent="0.3">
      <c r="J147613"/>
    </row>
    <row r="147614" spans="10:10" x14ac:dyDescent="0.3">
      <c r="J147614"/>
    </row>
    <row r="147615" spans="10:10" x14ac:dyDescent="0.3">
      <c r="J147615"/>
    </row>
    <row r="147616" spans="10:10" x14ac:dyDescent="0.3">
      <c r="J147616"/>
    </row>
    <row r="147617" spans="10:10" x14ac:dyDescent="0.3">
      <c r="J147617"/>
    </row>
    <row r="147618" spans="10:10" x14ac:dyDescent="0.3">
      <c r="J147618"/>
    </row>
    <row r="147619" spans="10:10" x14ac:dyDescent="0.3">
      <c r="J147619"/>
    </row>
    <row r="147620" spans="10:10" x14ac:dyDescent="0.3">
      <c r="J147620"/>
    </row>
    <row r="147621" spans="10:10" x14ac:dyDescent="0.3">
      <c r="J147621"/>
    </row>
    <row r="147622" spans="10:10" x14ac:dyDescent="0.3">
      <c r="J147622"/>
    </row>
    <row r="147623" spans="10:10" x14ac:dyDescent="0.3">
      <c r="J147623"/>
    </row>
    <row r="147624" spans="10:10" x14ac:dyDescent="0.3">
      <c r="J147624"/>
    </row>
    <row r="147625" spans="10:10" x14ac:dyDescent="0.3">
      <c r="J147625"/>
    </row>
    <row r="147626" spans="10:10" x14ac:dyDescent="0.3">
      <c r="J147626"/>
    </row>
    <row r="147627" spans="10:10" x14ac:dyDescent="0.3">
      <c r="J147627"/>
    </row>
    <row r="147628" spans="10:10" x14ac:dyDescent="0.3">
      <c r="J147628"/>
    </row>
    <row r="147629" spans="10:10" x14ac:dyDescent="0.3">
      <c r="J147629"/>
    </row>
    <row r="147630" spans="10:10" x14ac:dyDescent="0.3">
      <c r="J147630"/>
    </row>
    <row r="147631" spans="10:10" x14ac:dyDescent="0.3">
      <c r="J147631"/>
    </row>
    <row r="147632" spans="10:10" x14ac:dyDescent="0.3">
      <c r="J147632"/>
    </row>
    <row r="147633" spans="10:10" x14ac:dyDescent="0.3">
      <c r="J147633"/>
    </row>
    <row r="147634" spans="10:10" x14ac:dyDescent="0.3">
      <c r="J147634"/>
    </row>
    <row r="147635" spans="10:10" x14ac:dyDescent="0.3">
      <c r="J147635"/>
    </row>
    <row r="147636" spans="10:10" x14ac:dyDescent="0.3">
      <c r="J147636"/>
    </row>
    <row r="147637" spans="10:10" x14ac:dyDescent="0.3">
      <c r="J147637"/>
    </row>
    <row r="147638" spans="10:10" x14ac:dyDescent="0.3">
      <c r="J147638"/>
    </row>
    <row r="147639" spans="10:10" x14ac:dyDescent="0.3">
      <c r="J147639"/>
    </row>
    <row r="147640" spans="10:10" x14ac:dyDescent="0.3">
      <c r="J147640"/>
    </row>
    <row r="147641" spans="10:10" x14ac:dyDescent="0.3">
      <c r="J147641"/>
    </row>
    <row r="147642" spans="10:10" x14ac:dyDescent="0.3">
      <c r="J147642"/>
    </row>
    <row r="147643" spans="10:10" x14ac:dyDescent="0.3">
      <c r="J147643"/>
    </row>
    <row r="147644" spans="10:10" x14ac:dyDescent="0.3">
      <c r="J147644"/>
    </row>
    <row r="147645" spans="10:10" x14ac:dyDescent="0.3">
      <c r="J147645"/>
    </row>
    <row r="147646" spans="10:10" x14ac:dyDescent="0.3">
      <c r="J147646"/>
    </row>
    <row r="147647" spans="10:10" x14ac:dyDescent="0.3">
      <c r="J147647"/>
    </row>
    <row r="147648" spans="10:10" x14ac:dyDescent="0.3">
      <c r="J147648"/>
    </row>
    <row r="147649" spans="10:10" x14ac:dyDescent="0.3">
      <c r="J147649"/>
    </row>
    <row r="147650" spans="10:10" x14ac:dyDescent="0.3">
      <c r="J147650"/>
    </row>
    <row r="147651" spans="10:10" x14ac:dyDescent="0.3">
      <c r="J147651"/>
    </row>
    <row r="147652" spans="10:10" x14ac:dyDescent="0.3">
      <c r="J147652"/>
    </row>
    <row r="147653" spans="10:10" x14ac:dyDescent="0.3">
      <c r="J147653"/>
    </row>
    <row r="147654" spans="10:10" x14ac:dyDescent="0.3">
      <c r="J147654"/>
    </row>
    <row r="147655" spans="10:10" x14ac:dyDescent="0.3">
      <c r="J147655"/>
    </row>
    <row r="147656" spans="10:10" x14ac:dyDescent="0.3">
      <c r="J147656"/>
    </row>
    <row r="147657" spans="10:10" x14ac:dyDescent="0.3">
      <c r="J147657"/>
    </row>
    <row r="147658" spans="10:10" x14ac:dyDescent="0.3">
      <c r="J147658"/>
    </row>
    <row r="147659" spans="10:10" x14ac:dyDescent="0.3">
      <c r="J147659"/>
    </row>
    <row r="147660" spans="10:10" x14ac:dyDescent="0.3">
      <c r="J147660"/>
    </row>
    <row r="147661" spans="10:10" x14ac:dyDescent="0.3">
      <c r="J147661"/>
    </row>
    <row r="147662" spans="10:10" x14ac:dyDescent="0.3">
      <c r="J147662"/>
    </row>
    <row r="147663" spans="10:10" x14ac:dyDescent="0.3">
      <c r="J147663"/>
    </row>
    <row r="147664" spans="10:10" x14ac:dyDescent="0.3">
      <c r="J147664"/>
    </row>
    <row r="147665" spans="10:10" x14ac:dyDescent="0.3">
      <c r="J147665"/>
    </row>
    <row r="147666" spans="10:10" x14ac:dyDescent="0.3">
      <c r="J147666"/>
    </row>
    <row r="147667" spans="10:10" x14ac:dyDescent="0.3">
      <c r="J147667"/>
    </row>
    <row r="147668" spans="10:10" x14ac:dyDescent="0.3">
      <c r="J147668"/>
    </row>
    <row r="147669" spans="10:10" x14ac:dyDescent="0.3">
      <c r="J147669"/>
    </row>
    <row r="147670" spans="10:10" x14ac:dyDescent="0.3">
      <c r="J147670"/>
    </row>
    <row r="147671" spans="10:10" x14ac:dyDescent="0.3">
      <c r="J147671"/>
    </row>
    <row r="147672" spans="10:10" x14ac:dyDescent="0.3">
      <c r="J147672"/>
    </row>
    <row r="147673" spans="10:10" x14ac:dyDescent="0.3">
      <c r="J147673"/>
    </row>
    <row r="147674" spans="10:10" x14ac:dyDescent="0.3">
      <c r="J147674"/>
    </row>
    <row r="147675" spans="10:10" x14ac:dyDescent="0.3">
      <c r="J147675"/>
    </row>
    <row r="147676" spans="10:10" x14ac:dyDescent="0.3">
      <c r="J147676"/>
    </row>
    <row r="147677" spans="10:10" x14ac:dyDescent="0.3">
      <c r="J147677"/>
    </row>
    <row r="147678" spans="10:10" x14ac:dyDescent="0.3">
      <c r="J147678"/>
    </row>
    <row r="147679" spans="10:10" x14ac:dyDescent="0.3">
      <c r="J147679"/>
    </row>
    <row r="147680" spans="10:10" x14ac:dyDescent="0.3">
      <c r="J147680"/>
    </row>
    <row r="147681" spans="10:10" x14ac:dyDescent="0.3">
      <c r="J147681"/>
    </row>
    <row r="147682" spans="10:10" x14ac:dyDescent="0.3">
      <c r="J147682"/>
    </row>
    <row r="147683" spans="10:10" x14ac:dyDescent="0.3">
      <c r="J147683"/>
    </row>
    <row r="147684" spans="10:10" x14ac:dyDescent="0.3">
      <c r="J147684"/>
    </row>
    <row r="147685" spans="10:10" x14ac:dyDescent="0.3">
      <c r="J147685"/>
    </row>
    <row r="147686" spans="10:10" x14ac:dyDescent="0.3">
      <c r="J147686"/>
    </row>
    <row r="147687" spans="10:10" x14ac:dyDescent="0.3">
      <c r="J147687"/>
    </row>
    <row r="147688" spans="10:10" x14ac:dyDescent="0.3">
      <c r="J147688"/>
    </row>
    <row r="147689" spans="10:10" x14ac:dyDescent="0.3">
      <c r="J147689"/>
    </row>
    <row r="147690" spans="10:10" x14ac:dyDescent="0.3">
      <c r="J147690"/>
    </row>
    <row r="147691" spans="10:10" x14ac:dyDescent="0.3">
      <c r="J147691"/>
    </row>
    <row r="147692" spans="10:10" x14ac:dyDescent="0.3">
      <c r="J147692"/>
    </row>
    <row r="147693" spans="10:10" x14ac:dyDescent="0.3">
      <c r="J147693"/>
    </row>
    <row r="147694" spans="10:10" x14ac:dyDescent="0.3">
      <c r="J147694"/>
    </row>
    <row r="147695" spans="10:10" x14ac:dyDescent="0.3">
      <c r="J147695"/>
    </row>
    <row r="147696" spans="10:10" x14ac:dyDescent="0.3">
      <c r="J147696"/>
    </row>
    <row r="147697" spans="10:10" x14ac:dyDescent="0.3">
      <c r="J147697"/>
    </row>
    <row r="147698" spans="10:10" x14ac:dyDescent="0.3">
      <c r="J147698"/>
    </row>
    <row r="147699" spans="10:10" x14ac:dyDescent="0.3">
      <c r="J147699"/>
    </row>
    <row r="147700" spans="10:10" x14ac:dyDescent="0.3">
      <c r="J147700"/>
    </row>
    <row r="147701" spans="10:10" x14ac:dyDescent="0.3">
      <c r="J147701"/>
    </row>
    <row r="147702" spans="10:10" x14ac:dyDescent="0.3">
      <c r="J147702"/>
    </row>
    <row r="147703" spans="10:10" x14ac:dyDescent="0.3">
      <c r="J147703"/>
    </row>
    <row r="147704" spans="10:10" x14ac:dyDescent="0.3">
      <c r="J147704"/>
    </row>
    <row r="147705" spans="10:10" x14ac:dyDescent="0.3">
      <c r="J147705"/>
    </row>
    <row r="147706" spans="10:10" x14ac:dyDescent="0.3">
      <c r="J147706"/>
    </row>
    <row r="147707" spans="10:10" x14ac:dyDescent="0.3">
      <c r="J147707"/>
    </row>
    <row r="147708" spans="10:10" x14ac:dyDescent="0.3">
      <c r="J147708"/>
    </row>
    <row r="147709" spans="10:10" x14ac:dyDescent="0.3">
      <c r="J147709"/>
    </row>
    <row r="147710" spans="10:10" x14ac:dyDescent="0.3">
      <c r="J147710"/>
    </row>
    <row r="147711" spans="10:10" x14ac:dyDescent="0.3">
      <c r="J147711"/>
    </row>
    <row r="147712" spans="10:10" x14ac:dyDescent="0.3">
      <c r="J147712"/>
    </row>
    <row r="147713" spans="10:10" x14ac:dyDescent="0.3">
      <c r="J147713"/>
    </row>
    <row r="147714" spans="10:10" x14ac:dyDescent="0.3">
      <c r="J147714"/>
    </row>
    <row r="147715" spans="10:10" x14ac:dyDescent="0.3">
      <c r="J147715"/>
    </row>
    <row r="147716" spans="10:10" x14ac:dyDescent="0.3">
      <c r="J147716"/>
    </row>
    <row r="147717" spans="10:10" x14ac:dyDescent="0.3">
      <c r="J147717"/>
    </row>
    <row r="147718" spans="10:10" x14ac:dyDescent="0.3">
      <c r="J147718"/>
    </row>
    <row r="147719" spans="10:10" x14ac:dyDescent="0.3">
      <c r="J147719"/>
    </row>
    <row r="147720" spans="10:10" x14ac:dyDescent="0.3">
      <c r="J147720"/>
    </row>
    <row r="147721" spans="10:10" x14ac:dyDescent="0.3">
      <c r="J147721"/>
    </row>
    <row r="147722" spans="10:10" x14ac:dyDescent="0.3">
      <c r="J147722"/>
    </row>
    <row r="147723" spans="10:10" x14ac:dyDescent="0.3">
      <c r="J147723"/>
    </row>
    <row r="147724" spans="10:10" x14ac:dyDescent="0.3">
      <c r="J147724"/>
    </row>
    <row r="147725" spans="10:10" x14ac:dyDescent="0.3">
      <c r="J147725"/>
    </row>
    <row r="147726" spans="10:10" x14ac:dyDescent="0.3">
      <c r="J147726"/>
    </row>
    <row r="147727" spans="10:10" x14ac:dyDescent="0.3">
      <c r="J147727"/>
    </row>
    <row r="147728" spans="10:10" x14ac:dyDescent="0.3">
      <c r="J147728"/>
    </row>
    <row r="147729" spans="10:10" x14ac:dyDescent="0.3">
      <c r="J147729"/>
    </row>
    <row r="147730" spans="10:10" x14ac:dyDescent="0.3">
      <c r="J147730"/>
    </row>
    <row r="147731" spans="10:10" x14ac:dyDescent="0.3">
      <c r="J147731"/>
    </row>
    <row r="147732" spans="10:10" x14ac:dyDescent="0.3">
      <c r="J147732"/>
    </row>
    <row r="147733" spans="10:10" x14ac:dyDescent="0.3">
      <c r="J147733"/>
    </row>
    <row r="147734" spans="10:10" x14ac:dyDescent="0.3">
      <c r="J147734"/>
    </row>
    <row r="147735" spans="10:10" x14ac:dyDescent="0.3">
      <c r="J147735"/>
    </row>
    <row r="147736" spans="10:10" x14ac:dyDescent="0.3">
      <c r="J147736"/>
    </row>
    <row r="147737" spans="10:10" x14ac:dyDescent="0.3">
      <c r="J147737"/>
    </row>
    <row r="147738" spans="10:10" x14ac:dyDescent="0.3">
      <c r="J147738"/>
    </row>
    <row r="147739" spans="10:10" x14ac:dyDescent="0.3">
      <c r="J147739"/>
    </row>
    <row r="147740" spans="10:10" x14ac:dyDescent="0.3">
      <c r="J147740"/>
    </row>
    <row r="147741" spans="10:10" x14ac:dyDescent="0.3">
      <c r="J147741"/>
    </row>
    <row r="147742" spans="10:10" x14ac:dyDescent="0.3">
      <c r="J147742"/>
    </row>
    <row r="147743" spans="10:10" x14ac:dyDescent="0.3">
      <c r="J147743"/>
    </row>
    <row r="147744" spans="10:10" x14ac:dyDescent="0.3">
      <c r="J147744"/>
    </row>
    <row r="147745" spans="10:10" x14ac:dyDescent="0.3">
      <c r="J147745"/>
    </row>
    <row r="147746" spans="10:10" x14ac:dyDescent="0.3">
      <c r="J147746"/>
    </row>
    <row r="147747" spans="10:10" x14ac:dyDescent="0.3">
      <c r="J147747"/>
    </row>
    <row r="147748" spans="10:10" x14ac:dyDescent="0.3">
      <c r="J147748"/>
    </row>
    <row r="147749" spans="10:10" x14ac:dyDescent="0.3">
      <c r="J147749"/>
    </row>
    <row r="147750" spans="10:10" x14ac:dyDescent="0.3">
      <c r="J147750"/>
    </row>
    <row r="147751" spans="10:10" x14ac:dyDescent="0.3">
      <c r="J147751"/>
    </row>
    <row r="147752" spans="10:10" x14ac:dyDescent="0.3">
      <c r="J147752"/>
    </row>
    <row r="147753" spans="10:10" x14ac:dyDescent="0.3">
      <c r="J147753"/>
    </row>
    <row r="147754" spans="10:10" x14ac:dyDescent="0.3">
      <c r="J147754"/>
    </row>
    <row r="147755" spans="10:10" x14ac:dyDescent="0.3">
      <c r="J147755"/>
    </row>
    <row r="147756" spans="10:10" x14ac:dyDescent="0.3">
      <c r="J147756"/>
    </row>
    <row r="147757" spans="10:10" x14ac:dyDescent="0.3">
      <c r="J147757"/>
    </row>
    <row r="147758" spans="10:10" x14ac:dyDescent="0.3">
      <c r="J147758"/>
    </row>
    <row r="147759" spans="10:10" x14ac:dyDescent="0.3">
      <c r="J147759"/>
    </row>
    <row r="147760" spans="10:10" x14ac:dyDescent="0.3">
      <c r="J147760"/>
    </row>
    <row r="147761" spans="10:10" x14ac:dyDescent="0.3">
      <c r="J147761"/>
    </row>
    <row r="147762" spans="10:10" x14ac:dyDescent="0.3">
      <c r="J147762"/>
    </row>
    <row r="147763" spans="10:10" x14ac:dyDescent="0.3">
      <c r="J147763"/>
    </row>
    <row r="147764" spans="10:10" x14ac:dyDescent="0.3">
      <c r="J147764"/>
    </row>
    <row r="147765" spans="10:10" x14ac:dyDescent="0.3">
      <c r="J147765"/>
    </row>
    <row r="147766" spans="10:10" x14ac:dyDescent="0.3">
      <c r="J147766"/>
    </row>
    <row r="147767" spans="10:10" x14ac:dyDescent="0.3">
      <c r="J147767"/>
    </row>
    <row r="147768" spans="10:10" x14ac:dyDescent="0.3">
      <c r="J147768"/>
    </row>
    <row r="147769" spans="10:10" x14ac:dyDescent="0.3">
      <c r="J147769"/>
    </row>
    <row r="147770" spans="10:10" x14ac:dyDescent="0.3">
      <c r="J147770"/>
    </row>
    <row r="147771" spans="10:10" x14ac:dyDescent="0.3">
      <c r="J147771"/>
    </row>
    <row r="147772" spans="10:10" x14ac:dyDescent="0.3">
      <c r="J147772"/>
    </row>
    <row r="147773" spans="10:10" x14ac:dyDescent="0.3">
      <c r="J147773"/>
    </row>
    <row r="147774" spans="10:10" x14ac:dyDescent="0.3">
      <c r="J147774"/>
    </row>
    <row r="147775" spans="10:10" x14ac:dyDescent="0.3">
      <c r="J147775"/>
    </row>
    <row r="147776" spans="10:10" x14ac:dyDescent="0.3">
      <c r="J147776"/>
    </row>
    <row r="147777" spans="10:10" x14ac:dyDescent="0.3">
      <c r="J147777"/>
    </row>
    <row r="147778" spans="10:10" x14ac:dyDescent="0.3">
      <c r="J147778"/>
    </row>
    <row r="147779" spans="10:10" x14ac:dyDescent="0.3">
      <c r="J147779"/>
    </row>
    <row r="147780" spans="10:10" x14ac:dyDescent="0.3">
      <c r="J147780"/>
    </row>
    <row r="147781" spans="10:10" x14ac:dyDescent="0.3">
      <c r="J147781"/>
    </row>
    <row r="147782" spans="10:10" x14ac:dyDescent="0.3">
      <c r="J147782"/>
    </row>
    <row r="147783" spans="10:10" x14ac:dyDescent="0.3">
      <c r="J147783"/>
    </row>
    <row r="147784" spans="10:10" x14ac:dyDescent="0.3">
      <c r="J147784"/>
    </row>
    <row r="147785" spans="10:10" x14ac:dyDescent="0.3">
      <c r="J147785"/>
    </row>
    <row r="147786" spans="10:10" x14ac:dyDescent="0.3">
      <c r="J147786"/>
    </row>
    <row r="147787" spans="10:10" x14ac:dyDescent="0.3">
      <c r="J147787"/>
    </row>
    <row r="147788" spans="10:10" x14ac:dyDescent="0.3">
      <c r="J147788"/>
    </row>
    <row r="147789" spans="10:10" x14ac:dyDescent="0.3">
      <c r="J147789"/>
    </row>
    <row r="147790" spans="10:10" x14ac:dyDescent="0.3">
      <c r="J147790"/>
    </row>
    <row r="147791" spans="10:10" x14ac:dyDescent="0.3">
      <c r="J147791"/>
    </row>
    <row r="147792" spans="10:10" x14ac:dyDescent="0.3">
      <c r="J147792"/>
    </row>
    <row r="147793" spans="10:10" x14ac:dyDescent="0.3">
      <c r="J147793"/>
    </row>
    <row r="147794" spans="10:10" x14ac:dyDescent="0.3">
      <c r="J147794"/>
    </row>
    <row r="147795" spans="10:10" x14ac:dyDescent="0.3">
      <c r="J147795"/>
    </row>
    <row r="147796" spans="10:10" x14ac:dyDescent="0.3">
      <c r="J147796"/>
    </row>
    <row r="147797" spans="10:10" x14ac:dyDescent="0.3">
      <c r="J147797"/>
    </row>
    <row r="147798" spans="10:10" x14ac:dyDescent="0.3">
      <c r="J147798"/>
    </row>
    <row r="147799" spans="10:10" x14ac:dyDescent="0.3">
      <c r="J147799"/>
    </row>
    <row r="147800" spans="10:10" x14ac:dyDescent="0.3">
      <c r="J147800"/>
    </row>
    <row r="147801" spans="10:10" x14ac:dyDescent="0.3">
      <c r="J147801"/>
    </row>
    <row r="147802" spans="10:10" x14ac:dyDescent="0.3">
      <c r="J147802"/>
    </row>
    <row r="147803" spans="10:10" x14ac:dyDescent="0.3">
      <c r="J147803"/>
    </row>
    <row r="147804" spans="10:10" x14ac:dyDescent="0.3">
      <c r="J147804"/>
    </row>
    <row r="147805" spans="10:10" x14ac:dyDescent="0.3">
      <c r="J147805"/>
    </row>
    <row r="147806" spans="10:10" x14ac:dyDescent="0.3">
      <c r="J147806"/>
    </row>
    <row r="147807" spans="10:10" x14ac:dyDescent="0.3">
      <c r="J147807"/>
    </row>
    <row r="147808" spans="10:10" x14ac:dyDescent="0.3">
      <c r="J147808"/>
    </row>
    <row r="147809" spans="10:10" x14ac:dyDescent="0.3">
      <c r="J147809"/>
    </row>
    <row r="147810" spans="10:10" x14ac:dyDescent="0.3">
      <c r="J147810"/>
    </row>
    <row r="147811" spans="10:10" x14ac:dyDescent="0.3">
      <c r="J147811"/>
    </row>
    <row r="147812" spans="10:10" x14ac:dyDescent="0.3">
      <c r="J147812"/>
    </row>
    <row r="147813" spans="10:10" x14ac:dyDescent="0.3">
      <c r="J147813"/>
    </row>
    <row r="147814" spans="10:10" x14ac:dyDescent="0.3">
      <c r="J147814"/>
    </row>
    <row r="147815" spans="10:10" x14ac:dyDescent="0.3">
      <c r="J147815"/>
    </row>
    <row r="147816" spans="10:10" x14ac:dyDescent="0.3">
      <c r="J147816"/>
    </row>
    <row r="147817" spans="10:10" x14ac:dyDescent="0.3">
      <c r="J147817"/>
    </row>
    <row r="147818" spans="10:10" x14ac:dyDescent="0.3">
      <c r="J147818"/>
    </row>
    <row r="147819" spans="10:10" x14ac:dyDescent="0.3">
      <c r="J147819"/>
    </row>
    <row r="147820" spans="10:10" x14ac:dyDescent="0.3">
      <c r="J147820"/>
    </row>
    <row r="147821" spans="10:10" x14ac:dyDescent="0.3">
      <c r="J147821"/>
    </row>
    <row r="147822" spans="10:10" x14ac:dyDescent="0.3">
      <c r="J147822"/>
    </row>
    <row r="147823" spans="10:10" x14ac:dyDescent="0.3">
      <c r="J147823"/>
    </row>
    <row r="147824" spans="10:10" x14ac:dyDescent="0.3">
      <c r="J147824"/>
    </row>
    <row r="147825" spans="10:10" x14ac:dyDescent="0.3">
      <c r="J147825"/>
    </row>
    <row r="147826" spans="10:10" x14ac:dyDescent="0.3">
      <c r="J147826"/>
    </row>
    <row r="147827" spans="10:10" x14ac:dyDescent="0.3">
      <c r="J147827"/>
    </row>
    <row r="147828" spans="10:10" x14ac:dyDescent="0.3">
      <c r="J147828"/>
    </row>
    <row r="147829" spans="10:10" x14ac:dyDescent="0.3">
      <c r="J147829"/>
    </row>
    <row r="147830" spans="10:10" x14ac:dyDescent="0.3">
      <c r="J147830"/>
    </row>
    <row r="147831" spans="10:10" x14ac:dyDescent="0.3">
      <c r="J147831"/>
    </row>
    <row r="147832" spans="10:10" x14ac:dyDescent="0.3">
      <c r="J147832"/>
    </row>
    <row r="147833" spans="10:10" x14ac:dyDescent="0.3">
      <c r="J147833"/>
    </row>
    <row r="147834" spans="10:10" x14ac:dyDescent="0.3">
      <c r="J147834"/>
    </row>
    <row r="147835" spans="10:10" x14ac:dyDescent="0.3">
      <c r="J147835"/>
    </row>
    <row r="147836" spans="10:10" x14ac:dyDescent="0.3">
      <c r="J147836"/>
    </row>
    <row r="147837" spans="10:10" x14ac:dyDescent="0.3">
      <c r="J147837"/>
    </row>
    <row r="147838" spans="10:10" x14ac:dyDescent="0.3">
      <c r="J147838"/>
    </row>
    <row r="147839" spans="10:10" x14ac:dyDescent="0.3">
      <c r="J147839"/>
    </row>
    <row r="147840" spans="10:10" x14ac:dyDescent="0.3">
      <c r="J147840"/>
    </row>
    <row r="147841" spans="10:10" x14ac:dyDescent="0.3">
      <c r="J147841"/>
    </row>
    <row r="147842" spans="10:10" x14ac:dyDescent="0.3">
      <c r="J147842"/>
    </row>
    <row r="147843" spans="10:10" x14ac:dyDescent="0.3">
      <c r="J147843"/>
    </row>
    <row r="147844" spans="10:10" x14ac:dyDescent="0.3">
      <c r="J147844"/>
    </row>
    <row r="147845" spans="10:10" x14ac:dyDescent="0.3">
      <c r="J147845"/>
    </row>
    <row r="147846" spans="10:10" x14ac:dyDescent="0.3">
      <c r="J147846"/>
    </row>
    <row r="147847" spans="10:10" x14ac:dyDescent="0.3">
      <c r="J147847"/>
    </row>
    <row r="147848" spans="10:10" x14ac:dyDescent="0.3">
      <c r="J147848"/>
    </row>
    <row r="147849" spans="10:10" x14ac:dyDescent="0.3">
      <c r="J147849"/>
    </row>
    <row r="147850" spans="10:10" x14ac:dyDescent="0.3">
      <c r="J147850"/>
    </row>
    <row r="147851" spans="10:10" x14ac:dyDescent="0.3">
      <c r="J147851"/>
    </row>
    <row r="147852" spans="10:10" x14ac:dyDescent="0.3">
      <c r="J147852"/>
    </row>
    <row r="147853" spans="10:10" x14ac:dyDescent="0.3">
      <c r="J147853"/>
    </row>
    <row r="147854" spans="10:10" x14ac:dyDescent="0.3">
      <c r="J147854"/>
    </row>
    <row r="147855" spans="10:10" x14ac:dyDescent="0.3">
      <c r="J147855"/>
    </row>
    <row r="147856" spans="10:10" x14ac:dyDescent="0.3">
      <c r="J147856"/>
    </row>
    <row r="147857" spans="10:10" x14ac:dyDescent="0.3">
      <c r="J147857"/>
    </row>
    <row r="147858" spans="10:10" x14ac:dyDescent="0.3">
      <c r="J147858"/>
    </row>
    <row r="147859" spans="10:10" x14ac:dyDescent="0.3">
      <c r="J147859"/>
    </row>
    <row r="147860" spans="10:10" x14ac:dyDescent="0.3">
      <c r="J147860"/>
    </row>
    <row r="147861" spans="10:10" x14ac:dyDescent="0.3">
      <c r="J147861"/>
    </row>
    <row r="147862" spans="10:10" x14ac:dyDescent="0.3">
      <c r="J147862"/>
    </row>
    <row r="147863" spans="10:10" x14ac:dyDescent="0.3">
      <c r="J147863"/>
    </row>
    <row r="147864" spans="10:10" x14ac:dyDescent="0.3">
      <c r="J147864"/>
    </row>
    <row r="147865" spans="10:10" x14ac:dyDescent="0.3">
      <c r="J147865"/>
    </row>
    <row r="147866" spans="10:10" x14ac:dyDescent="0.3">
      <c r="J147866"/>
    </row>
    <row r="147867" spans="10:10" x14ac:dyDescent="0.3">
      <c r="J147867"/>
    </row>
    <row r="147868" spans="10:10" x14ac:dyDescent="0.3">
      <c r="J147868"/>
    </row>
    <row r="147869" spans="10:10" x14ac:dyDescent="0.3">
      <c r="J147869"/>
    </row>
    <row r="147870" spans="10:10" x14ac:dyDescent="0.3">
      <c r="J147870"/>
    </row>
    <row r="147871" spans="10:10" x14ac:dyDescent="0.3">
      <c r="J147871"/>
    </row>
    <row r="147872" spans="10:10" x14ac:dyDescent="0.3">
      <c r="J147872"/>
    </row>
    <row r="147873" spans="10:10" x14ac:dyDescent="0.3">
      <c r="J147873"/>
    </row>
    <row r="147874" spans="10:10" x14ac:dyDescent="0.3">
      <c r="J147874"/>
    </row>
    <row r="147875" spans="10:10" x14ac:dyDescent="0.3">
      <c r="J147875"/>
    </row>
    <row r="147876" spans="10:10" x14ac:dyDescent="0.3">
      <c r="J147876"/>
    </row>
    <row r="147877" spans="10:10" x14ac:dyDescent="0.3">
      <c r="J147877"/>
    </row>
    <row r="147878" spans="10:10" x14ac:dyDescent="0.3">
      <c r="J147878"/>
    </row>
    <row r="147879" spans="10:10" x14ac:dyDescent="0.3">
      <c r="J147879"/>
    </row>
    <row r="147880" spans="10:10" x14ac:dyDescent="0.3">
      <c r="J147880"/>
    </row>
    <row r="147881" spans="10:10" x14ac:dyDescent="0.3">
      <c r="J147881"/>
    </row>
    <row r="147882" spans="10:10" x14ac:dyDescent="0.3">
      <c r="J147882"/>
    </row>
    <row r="147883" spans="10:10" x14ac:dyDescent="0.3">
      <c r="J147883"/>
    </row>
    <row r="147884" spans="10:10" x14ac:dyDescent="0.3">
      <c r="J147884"/>
    </row>
    <row r="147885" spans="10:10" x14ac:dyDescent="0.3">
      <c r="J147885"/>
    </row>
    <row r="147886" spans="10:10" x14ac:dyDescent="0.3">
      <c r="J147886"/>
    </row>
    <row r="147887" spans="10:10" x14ac:dyDescent="0.3">
      <c r="J147887"/>
    </row>
    <row r="147888" spans="10:10" x14ac:dyDescent="0.3">
      <c r="J147888"/>
    </row>
    <row r="147889" spans="10:10" x14ac:dyDescent="0.3">
      <c r="J147889"/>
    </row>
    <row r="147890" spans="10:10" x14ac:dyDescent="0.3">
      <c r="J147890"/>
    </row>
    <row r="147891" spans="10:10" x14ac:dyDescent="0.3">
      <c r="J147891"/>
    </row>
    <row r="147892" spans="10:10" x14ac:dyDescent="0.3">
      <c r="J147892"/>
    </row>
    <row r="147893" spans="10:10" x14ac:dyDescent="0.3">
      <c r="J147893"/>
    </row>
    <row r="147894" spans="10:10" x14ac:dyDescent="0.3">
      <c r="J147894"/>
    </row>
    <row r="147895" spans="10:10" x14ac:dyDescent="0.3">
      <c r="J147895"/>
    </row>
    <row r="147896" spans="10:10" x14ac:dyDescent="0.3">
      <c r="J147896"/>
    </row>
    <row r="147897" spans="10:10" x14ac:dyDescent="0.3">
      <c r="J147897"/>
    </row>
    <row r="147898" spans="10:10" x14ac:dyDescent="0.3">
      <c r="J147898"/>
    </row>
    <row r="147899" spans="10:10" x14ac:dyDescent="0.3">
      <c r="J147899"/>
    </row>
    <row r="147900" spans="10:10" x14ac:dyDescent="0.3">
      <c r="J147900"/>
    </row>
    <row r="147901" spans="10:10" x14ac:dyDescent="0.3">
      <c r="J147901"/>
    </row>
    <row r="147902" spans="10:10" x14ac:dyDescent="0.3">
      <c r="J147902"/>
    </row>
    <row r="147903" spans="10:10" x14ac:dyDescent="0.3">
      <c r="J147903"/>
    </row>
    <row r="147904" spans="10:10" x14ac:dyDescent="0.3">
      <c r="J147904"/>
    </row>
    <row r="147905" spans="10:10" x14ac:dyDescent="0.3">
      <c r="J147905"/>
    </row>
    <row r="147906" spans="10:10" x14ac:dyDescent="0.3">
      <c r="J147906"/>
    </row>
    <row r="147907" spans="10:10" x14ac:dyDescent="0.3">
      <c r="J147907"/>
    </row>
    <row r="147908" spans="10:10" x14ac:dyDescent="0.3">
      <c r="J147908"/>
    </row>
    <row r="147909" spans="10:10" x14ac:dyDescent="0.3">
      <c r="J147909"/>
    </row>
    <row r="147910" spans="10:10" x14ac:dyDescent="0.3">
      <c r="J147910"/>
    </row>
    <row r="147911" spans="10:10" x14ac:dyDescent="0.3">
      <c r="J147911"/>
    </row>
    <row r="147912" spans="10:10" x14ac:dyDescent="0.3">
      <c r="J147912"/>
    </row>
    <row r="147913" spans="10:10" x14ac:dyDescent="0.3">
      <c r="J147913"/>
    </row>
    <row r="147914" spans="10:10" x14ac:dyDescent="0.3">
      <c r="J147914"/>
    </row>
    <row r="147915" spans="10:10" x14ac:dyDescent="0.3">
      <c r="J147915"/>
    </row>
    <row r="147916" spans="10:10" x14ac:dyDescent="0.3">
      <c r="J147916"/>
    </row>
    <row r="147917" spans="10:10" x14ac:dyDescent="0.3">
      <c r="J147917"/>
    </row>
    <row r="147918" spans="10:10" x14ac:dyDescent="0.3">
      <c r="J147918"/>
    </row>
    <row r="147919" spans="10:10" x14ac:dyDescent="0.3">
      <c r="J147919"/>
    </row>
    <row r="147920" spans="10:10" x14ac:dyDescent="0.3">
      <c r="J147920"/>
    </row>
    <row r="147921" spans="10:10" x14ac:dyDescent="0.3">
      <c r="J147921"/>
    </row>
    <row r="147922" spans="10:10" x14ac:dyDescent="0.3">
      <c r="J147922"/>
    </row>
    <row r="147923" spans="10:10" x14ac:dyDescent="0.3">
      <c r="J147923"/>
    </row>
    <row r="147924" spans="10:10" x14ac:dyDescent="0.3">
      <c r="J147924"/>
    </row>
    <row r="147925" spans="10:10" x14ac:dyDescent="0.3">
      <c r="J147925"/>
    </row>
    <row r="147926" spans="10:10" x14ac:dyDescent="0.3">
      <c r="J147926"/>
    </row>
    <row r="147927" spans="10:10" x14ac:dyDescent="0.3">
      <c r="J147927"/>
    </row>
    <row r="147928" spans="10:10" x14ac:dyDescent="0.3">
      <c r="J147928"/>
    </row>
    <row r="147929" spans="10:10" x14ac:dyDescent="0.3">
      <c r="J147929"/>
    </row>
    <row r="147930" spans="10:10" x14ac:dyDescent="0.3">
      <c r="J147930"/>
    </row>
    <row r="147931" spans="10:10" x14ac:dyDescent="0.3">
      <c r="J147931"/>
    </row>
    <row r="147932" spans="10:10" x14ac:dyDescent="0.3">
      <c r="J147932"/>
    </row>
    <row r="147933" spans="10:10" x14ac:dyDescent="0.3">
      <c r="J147933"/>
    </row>
    <row r="147934" spans="10:10" x14ac:dyDescent="0.3">
      <c r="J147934"/>
    </row>
    <row r="147935" spans="10:10" x14ac:dyDescent="0.3">
      <c r="J147935"/>
    </row>
    <row r="147936" spans="10:10" x14ac:dyDescent="0.3">
      <c r="J147936"/>
    </row>
    <row r="147937" spans="10:10" x14ac:dyDescent="0.3">
      <c r="J147937"/>
    </row>
    <row r="147938" spans="10:10" x14ac:dyDescent="0.3">
      <c r="J147938"/>
    </row>
    <row r="147939" spans="10:10" x14ac:dyDescent="0.3">
      <c r="J147939"/>
    </row>
    <row r="147940" spans="10:10" x14ac:dyDescent="0.3">
      <c r="J147940"/>
    </row>
    <row r="147941" spans="10:10" x14ac:dyDescent="0.3">
      <c r="J147941"/>
    </row>
    <row r="147942" spans="10:10" x14ac:dyDescent="0.3">
      <c r="J147942"/>
    </row>
    <row r="147943" spans="10:10" x14ac:dyDescent="0.3">
      <c r="J147943"/>
    </row>
    <row r="147944" spans="10:10" x14ac:dyDescent="0.3">
      <c r="J147944"/>
    </row>
    <row r="147945" spans="10:10" x14ac:dyDescent="0.3">
      <c r="J147945"/>
    </row>
    <row r="147946" spans="10:10" x14ac:dyDescent="0.3">
      <c r="J147946"/>
    </row>
    <row r="147947" spans="10:10" x14ac:dyDescent="0.3">
      <c r="J147947"/>
    </row>
    <row r="147948" spans="10:10" x14ac:dyDescent="0.3">
      <c r="J147948"/>
    </row>
    <row r="147949" spans="10:10" x14ac:dyDescent="0.3">
      <c r="J147949"/>
    </row>
    <row r="147950" spans="10:10" x14ac:dyDescent="0.3">
      <c r="J147950"/>
    </row>
    <row r="147951" spans="10:10" x14ac:dyDescent="0.3">
      <c r="J147951"/>
    </row>
    <row r="147952" spans="10:10" x14ac:dyDescent="0.3">
      <c r="J147952"/>
    </row>
    <row r="147953" spans="10:10" x14ac:dyDescent="0.3">
      <c r="J147953"/>
    </row>
    <row r="147954" spans="10:10" x14ac:dyDescent="0.3">
      <c r="J147954"/>
    </row>
    <row r="147955" spans="10:10" x14ac:dyDescent="0.3">
      <c r="J147955"/>
    </row>
    <row r="147956" spans="10:10" x14ac:dyDescent="0.3">
      <c r="J147956"/>
    </row>
    <row r="147957" spans="10:10" x14ac:dyDescent="0.3">
      <c r="J147957"/>
    </row>
    <row r="147958" spans="10:10" x14ac:dyDescent="0.3">
      <c r="J147958"/>
    </row>
    <row r="147959" spans="10:10" x14ac:dyDescent="0.3">
      <c r="J147959"/>
    </row>
    <row r="147960" spans="10:10" x14ac:dyDescent="0.3">
      <c r="J147960"/>
    </row>
    <row r="147961" spans="10:10" x14ac:dyDescent="0.3">
      <c r="J147961"/>
    </row>
    <row r="147962" spans="10:10" x14ac:dyDescent="0.3">
      <c r="J147962"/>
    </row>
    <row r="147963" spans="10:10" x14ac:dyDescent="0.3">
      <c r="J147963"/>
    </row>
    <row r="147964" spans="10:10" x14ac:dyDescent="0.3">
      <c r="J147964"/>
    </row>
    <row r="147965" spans="10:10" x14ac:dyDescent="0.3">
      <c r="J147965"/>
    </row>
    <row r="147966" spans="10:10" x14ac:dyDescent="0.3">
      <c r="J147966"/>
    </row>
    <row r="147967" spans="10:10" x14ac:dyDescent="0.3">
      <c r="J147967"/>
    </row>
    <row r="147968" spans="10:10" x14ac:dyDescent="0.3">
      <c r="J147968"/>
    </row>
    <row r="147969" spans="10:10" x14ac:dyDescent="0.3">
      <c r="J147969"/>
    </row>
    <row r="147970" spans="10:10" x14ac:dyDescent="0.3">
      <c r="J147970"/>
    </row>
    <row r="147971" spans="10:10" x14ac:dyDescent="0.3">
      <c r="J147971"/>
    </row>
    <row r="147972" spans="10:10" x14ac:dyDescent="0.3">
      <c r="J147972"/>
    </row>
    <row r="147973" spans="10:10" x14ac:dyDescent="0.3">
      <c r="J147973"/>
    </row>
    <row r="147974" spans="10:10" x14ac:dyDescent="0.3">
      <c r="J147974"/>
    </row>
    <row r="147975" spans="10:10" x14ac:dyDescent="0.3">
      <c r="J147975"/>
    </row>
    <row r="147976" spans="10:10" x14ac:dyDescent="0.3">
      <c r="J147976"/>
    </row>
    <row r="147977" spans="10:10" x14ac:dyDescent="0.3">
      <c r="J147977"/>
    </row>
    <row r="147978" spans="10:10" x14ac:dyDescent="0.3">
      <c r="J147978"/>
    </row>
    <row r="147979" spans="10:10" x14ac:dyDescent="0.3">
      <c r="J147979"/>
    </row>
    <row r="147980" spans="10:10" x14ac:dyDescent="0.3">
      <c r="J147980"/>
    </row>
    <row r="147981" spans="10:10" x14ac:dyDescent="0.3">
      <c r="J147981"/>
    </row>
    <row r="147982" spans="10:10" x14ac:dyDescent="0.3">
      <c r="J147982"/>
    </row>
    <row r="147983" spans="10:10" x14ac:dyDescent="0.3">
      <c r="J147983"/>
    </row>
    <row r="147984" spans="10:10" x14ac:dyDescent="0.3">
      <c r="J147984"/>
    </row>
    <row r="147985" spans="10:10" x14ac:dyDescent="0.3">
      <c r="J147985"/>
    </row>
    <row r="147986" spans="10:10" x14ac:dyDescent="0.3">
      <c r="J147986"/>
    </row>
    <row r="147987" spans="10:10" x14ac:dyDescent="0.3">
      <c r="J147987"/>
    </row>
    <row r="147988" spans="10:10" x14ac:dyDescent="0.3">
      <c r="J147988"/>
    </row>
    <row r="147989" spans="10:10" x14ac:dyDescent="0.3">
      <c r="J147989"/>
    </row>
    <row r="147990" spans="10:10" x14ac:dyDescent="0.3">
      <c r="J147990"/>
    </row>
    <row r="147991" spans="10:10" x14ac:dyDescent="0.3">
      <c r="J147991"/>
    </row>
    <row r="147992" spans="10:10" x14ac:dyDescent="0.3">
      <c r="J147992"/>
    </row>
    <row r="147993" spans="10:10" x14ac:dyDescent="0.3">
      <c r="J147993"/>
    </row>
    <row r="147994" spans="10:10" x14ac:dyDescent="0.3">
      <c r="J147994"/>
    </row>
    <row r="147995" spans="10:10" x14ac:dyDescent="0.3">
      <c r="J147995"/>
    </row>
    <row r="147996" spans="10:10" x14ac:dyDescent="0.3">
      <c r="J147996"/>
    </row>
    <row r="147997" spans="10:10" x14ac:dyDescent="0.3">
      <c r="J147997"/>
    </row>
    <row r="147998" spans="10:10" x14ac:dyDescent="0.3">
      <c r="J147998"/>
    </row>
    <row r="147999" spans="10:10" x14ac:dyDescent="0.3">
      <c r="J147999"/>
    </row>
    <row r="148000" spans="10:10" x14ac:dyDescent="0.3">
      <c r="J148000"/>
    </row>
    <row r="148001" spans="10:10" x14ac:dyDescent="0.3">
      <c r="J148001"/>
    </row>
    <row r="148002" spans="10:10" x14ac:dyDescent="0.3">
      <c r="J148002"/>
    </row>
    <row r="148003" spans="10:10" x14ac:dyDescent="0.3">
      <c r="J148003"/>
    </row>
    <row r="148004" spans="10:10" x14ac:dyDescent="0.3">
      <c r="J148004"/>
    </row>
    <row r="148005" spans="10:10" x14ac:dyDescent="0.3">
      <c r="J148005"/>
    </row>
    <row r="148006" spans="10:10" x14ac:dyDescent="0.3">
      <c r="J148006"/>
    </row>
    <row r="148007" spans="10:10" x14ac:dyDescent="0.3">
      <c r="J148007"/>
    </row>
    <row r="148008" spans="10:10" x14ac:dyDescent="0.3">
      <c r="J148008"/>
    </row>
    <row r="148009" spans="10:10" x14ac:dyDescent="0.3">
      <c r="J148009"/>
    </row>
    <row r="148010" spans="10:10" x14ac:dyDescent="0.3">
      <c r="J148010"/>
    </row>
    <row r="148011" spans="10:10" x14ac:dyDescent="0.3">
      <c r="J148011"/>
    </row>
    <row r="148012" spans="10:10" x14ac:dyDescent="0.3">
      <c r="J148012"/>
    </row>
    <row r="148013" spans="10:10" x14ac:dyDescent="0.3">
      <c r="J148013"/>
    </row>
    <row r="148014" spans="10:10" x14ac:dyDescent="0.3">
      <c r="J148014"/>
    </row>
    <row r="148015" spans="10:10" x14ac:dyDescent="0.3">
      <c r="J148015"/>
    </row>
    <row r="148016" spans="10:10" x14ac:dyDescent="0.3">
      <c r="J148016"/>
    </row>
    <row r="148017" spans="10:10" x14ac:dyDescent="0.3">
      <c r="J148017"/>
    </row>
    <row r="148018" spans="10:10" x14ac:dyDescent="0.3">
      <c r="J148018"/>
    </row>
    <row r="148019" spans="10:10" x14ac:dyDescent="0.3">
      <c r="J148019"/>
    </row>
    <row r="148020" spans="10:10" x14ac:dyDescent="0.3">
      <c r="J148020"/>
    </row>
    <row r="148021" spans="10:10" x14ac:dyDescent="0.3">
      <c r="J148021"/>
    </row>
    <row r="148022" spans="10:10" x14ac:dyDescent="0.3">
      <c r="J148022"/>
    </row>
    <row r="148023" spans="10:10" x14ac:dyDescent="0.3">
      <c r="J148023"/>
    </row>
    <row r="148024" spans="10:10" x14ac:dyDescent="0.3">
      <c r="J148024"/>
    </row>
    <row r="148025" spans="10:10" x14ac:dyDescent="0.3">
      <c r="J148025"/>
    </row>
    <row r="148026" spans="10:10" x14ac:dyDescent="0.3">
      <c r="J148026"/>
    </row>
    <row r="148027" spans="10:10" x14ac:dyDescent="0.3">
      <c r="J148027"/>
    </row>
    <row r="148028" spans="10:10" x14ac:dyDescent="0.3">
      <c r="J148028"/>
    </row>
    <row r="148029" spans="10:10" x14ac:dyDescent="0.3">
      <c r="J148029"/>
    </row>
    <row r="148030" spans="10:10" x14ac:dyDescent="0.3">
      <c r="J148030"/>
    </row>
    <row r="148031" spans="10:10" x14ac:dyDescent="0.3">
      <c r="J148031"/>
    </row>
    <row r="148032" spans="10:10" x14ac:dyDescent="0.3">
      <c r="J148032"/>
    </row>
    <row r="148033" spans="10:10" x14ac:dyDescent="0.3">
      <c r="J148033"/>
    </row>
    <row r="148034" spans="10:10" x14ac:dyDescent="0.3">
      <c r="J148034"/>
    </row>
    <row r="148035" spans="10:10" x14ac:dyDescent="0.3">
      <c r="J148035"/>
    </row>
    <row r="148036" spans="10:10" x14ac:dyDescent="0.3">
      <c r="J148036"/>
    </row>
    <row r="148037" spans="10:10" x14ac:dyDescent="0.3">
      <c r="J148037"/>
    </row>
    <row r="148038" spans="10:10" x14ac:dyDescent="0.3">
      <c r="J148038"/>
    </row>
    <row r="148039" spans="10:10" x14ac:dyDescent="0.3">
      <c r="J148039"/>
    </row>
    <row r="148040" spans="10:10" x14ac:dyDescent="0.3">
      <c r="J148040"/>
    </row>
    <row r="148041" spans="10:10" x14ac:dyDescent="0.3">
      <c r="J148041"/>
    </row>
    <row r="148042" spans="10:10" x14ac:dyDescent="0.3">
      <c r="J148042"/>
    </row>
    <row r="148043" spans="10:10" x14ac:dyDescent="0.3">
      <c r="J148043"/>
    </row>
    <row r="148044" spans="10:10" x14ac:dyDescent="0.3">
      <c r="J148044"/>
    </row>
    <row r="148045" spans="10:10" x14ac:dyDescent="0.3">
      <c r="J148045"/>
    </row>
    <row r="148046" spans="10:10" x14ac:dyDescent="0.3">
      <c r="J148046"/>
    </row>
    <row r="148047" spans="10:10" x14ac:dyDescent="0.3">
      <c r="J148047"/>
    </row>
    <row r="148048" spans="10:10" x14ac:dyDescent="0.3">
      <c r="J148048"/>
    </row>
    <row r="148049" spans="10:10" x14ac:dyDescent="0.3">
      <c r="J148049"/>
    </row>
    <row r="148050" spans="10:10" x14ac:dyDescent="0.3">
      <c r="J148050"/>
    </row>
    <row r="148051" spans="10:10" x14ac:dyDescent="0.3">
      <c r="J148051"/>
    </row>
    <row r="148052" spans="10:10" x14ac:dyDescent="0.3">
      <c r="J148052"/>
    </row>
    <row r="148053" spans="10:10" x14ac:dyDescent="0.3">
      <c r="J148053"/>
    </row>
    <row r="148054" spans="10:10" x14ac:dyDescent="0.3">
      <c r="J148054"/>
    </row>
    <row r="148055" spans="10:10" x14ac:dyDescent="0.3">
      <c r="J148055"/>
    </row>
    <row r="148056" spans="10:10" x14ac:dyDescent="0.3">
      <c r="J148056"/>
    </row>
    <row r="148057" spans="10:10" x14ac:dyDescent="0.3">
      <c r="J148057"/>
    </row>
    <row r="148058" spans="10:10" x14ac:dyDescent="0.3">
      <c r="J148058"/>
    </row>
    <row r="148059" spans="10:10" x14ac:dyDescent="0.3">
      <c r="J148059"/>
    </row>
    <row r="148060" spans="10:10" x14ac:dyDescent="0.3">
      <c r="J148060"/>
    </row>
    <row r="148061" spans="10:10" x14ac:dyDescent="0.3">
      <c r="J148061"/>
    </row>
    <row r="148062" spans="10:10" x14ac:dyDescent="0.3">
      <c r="J148062"/>
    </row>
    <row r="148063" spans="10:10" x14ac:dyDescent="0.3">
      <c r="J148063"/>
    </row>
    <row r="148064" spans="10:10" x14ac:dyDescent="0.3">
      <c r="J148064"/>
    </row>
    <row r="148065" spans="10:10" x14ac:dyDescent="0.3">
      <c r="J148065"/>
    </row>
    <row r="148066" spans="10:10" x14ac:dyDescent="0.3">
      <c r="J148066"/>
    </row>
    <row r="148067" spans="10:10" x14ac:dyDescent="0.3">
      <c r="J148067"/>
    </row>
    <row r="148068" spans="10:10" x14ac:dyDescent="0.3">
      <c r="J148068"/>
    </row>
    <row r="148069" spans="10:10" x14ac:dyDescent="0.3">
      <c r="J148069"/>
    </row>
    <row r="148070" spans="10:10" x14ac:dyDescent="0.3">
      <c r="J148070"/>
    </row>
    <row r="148071" spans="10:10" x14ac:dyDescent="0.3">
      <c r="J148071"/>
    </row>
    <row r="148072" spans="10:10" x14ac:dyDescent="0.3">
      <c r="J148072"/>
    </row>
    <row r="148073" spans="10:10" x14ac:dyDescent="0.3">
      <c r="J148073"/>
    </row>
    <row r="148074" spans="10:10" x14ac:dyDescent="0.3">
      <c r="J148074"/>
    </row>
    <row r="148075" spans="10:10" x14ac:dyDescent="0.3">
      <c r="J148075"/>
    </row>
    <row r="148076" spans="10:10" x14ac:dyDescent="0.3">
      <c r="J148076"/>
    </row>
    <row r="148077" spans="10:10" x14ac:dyDescent="0.3">
      <c r="J148077"/>
    </row>
    <row r="148078" spans="10:10" x14ac:dyDescent="0.3">
      <c r="J148078"/>
    </row>
    <row r="148079" spans="10:10" x14ac:dyDescent="0.3">
      <c r="J148079"/>
    </row>
    <row r="148080" spans="10:10" x14ac:dyDescent="0.3">
      <c r="J148080"/>
    </row>
    <row r="148081" spans="10:10" x14ac:dyDescent="0.3">
      <c r="J148081"/>
    </row>
    <row r="148082" spans="10:10" x14ac:dyDescent="0.3">
      <c r="J148082"/>
    </row>
    <row r="148083" spans="10:10" x14ac:dyDescent="0.3">
      <c r="J148083"/>
    </row>
    <row r="148084" spans="10:10" x14ac:dyDescent="0.3">
      <c r="J148084"/>
    </row>
    <row r="148085" spans="10:10" x14ac:dyDescent="0.3">
      <c r="J148085"/>
    </row>
    <row r="148086" spans="10:10" x14ac:dyDescent="0.3">
      <c r="J148086"/>
    </row>
    <row r="148087" spans="10:10" x14ac:dyDescent="0.3">
      <c r="J148087"/>
    </row>
    <row r="148088" spans="10:10" x14ac:dyDescent="0.3">
      <c r="J148088"/>
    </row>
    <row r="148089" spans="10:10" x14ac:dyDescent="0.3">
      <c r="J148089"/>
    </row>
    <row r="148090" spans="10:10" x14ac:dyDescent="0.3">
      <c r="J148090"/>
    </row>
    <row r="148091" spans="10:10" x14ac:dyDescent="0.3">
      <c r="J148091"/>
    </row>
    <row r="148092" spans="10:10" x14ac:dyDescent="0.3">
      <c r="J148092"/>
    </row>
    <row r="148093" spans="10:10" x14ac:dyDescent="0.3">
      <c r="J148093"/>
    </row>
    <row r="148094" spans="10:10" x14ac:dyDescent="0.3">
      <c r="J148094"/>
    </row>
    <row r="148095" spans="10:10" x14ac:dyDescent="0.3">
      <c r="J148095"/>
    </row>
    <row r="148096" spans="10:10" x14ac:dyDescent="0.3">
      <c r="J148096"/>
    </row>
    <row r="148097" spans="10:10" x14ac:dyDescent="0.3">
      <c r="J148097"/>
    </row>
    <row r="148098" spans="10:10" x14ac:dyDescent="0.3">
      <c r="J148098"/>
    </row>
    <row r="148099" spans="10:10" x14ac:dyDescent="0.3">
      <c r="J148099"/>
    </row>
    <row r="148100" spans="10:10" x14ac:dyDescent="0.3">
      <c r="J148100"/>
    </row>
    <row r="148101" spans="10:10" x14ac:dyDescent="0.3">
      <c r="J148101"/>
    </row>
    <row r="148102" spans="10:10" x14ac:dyDescent="0.3">
      <c r="J148102"/>
    </row>
    <row r="148103" spans="10:10" x14ac:dyDescent="0.3">
      <c r="J148103"/>
    </row>
    <row r="148104" spans="10:10" x14ac:dyDescent="0.3">
      <c r="J148104"/>
    </row>
    <row r="148105" spans="10:10" x14ac:dyDescent="0.3">
      <c r="J148105"/>
    </row>
    <row r="148106" spans="10:10" x14ac:dyDescent="0.3">
      <c r="J148106"/>
    </row>
    <row r="148107" spans="10:10" x14ac:dyDescent="0.3">
      <c r="J148107"/>
    </row>
    <row r="148108" spans="10:10" x14ac:dyDescent="0.3">
      <c r="J148108"/>
    </row>
    <row r="148109" spans="10:10" x14ac:dyDescent="0.3">
      <c r="J148109"/>
    </row>
    <row r="148110" spans="10:10" x14ac:dyDescent="0.3">
      <c r="J148110"/>
    </row>
    <row r="148111" spans="10:10" x14ac:dyDescent="0.3">
      <c r="J148111"/>
    </row>
    <row r="148112" spans="10:10" x14ac:dyDescent="0.3">
      <c r="J148112"/>
    </row>
    <row r="148113" spans="10:10" x14ac:dyDescent="0.3">
      <c r="J148113"/>
    </row>
    <row r="148114" spans="10:10" x14ac:dyDescent="0.3">
      <c r="J148114"/>
    </row>
    <row r="148115" spans="10:10" x14ac:dyDescent="0.3">
      <c r="J148115"/>
    </row>
    <row r="148116" spans="10:10" x14ac:dyDescent="0.3">
      <c r="J148116"/>
    </row>
    <row r="148117" spans="10:10" x14ac:dyDescent="0.3">
      <c r="J148117"/>
    </row>
    <row r="148118" spans="10:10" x14ac:dyDescent="0.3">
      <c r="J148118"/>
    </row>
    <row r="148119" spans="10:10" x14ac:dyDescent="0.3">
      <c r="J148119"/>
    </row>
    <row r="148120" spans="10:10" x14ac:dyDescent="0.3">
      <c r="J148120"/>
    </row>
    <row r="148121" spans="10:10" x14ac:dyDescent="0.3">
      <c r="J148121"/>
    </row>
    <row r="148122" spans="10:10" x14ac:dyDescent="0.3">
      <c r="J148122"/>
    </row>
    <row r="148123" spans="10:10" x14ac:dyDescent="0.3">
      <c r="J148123"/>
    </row>
    <row r="148124" spans="10:10" x14ac:dyDescent="0.3">
      <c r="J148124"/>
    </row>
    <row r="148125" spans="10:10" x14ac:dyDescent="0.3">
      <c r="J148125"/>
    </row>
    <row r="148126" spans="10:10" x14ac:dyDescent="0.3">
      <c r="J148126"/>
    </row>
    <row r="148127" spans="10:10" x14ac:dyDescent="0.3">
      <c r="J148127"/>
    </row>
    <row r="148128" spans="10:10" x14ac:dyDescent="0.3">
      <c r="J148128"/>
    </row>
    <row r="148129" spans="10:10" x14ac:dyDescent="0.3">
      <c r="J148129"/>
    </row>
    <row r="148130" spans="10:10" x14ac:dyDescent="0.3">
      <c r="J148130"/>
    </row>
    <row r="148131" spans="10:10" x14ac:dyDescent="0.3">
      <c r="J148131"/>
    </row>
    <row r="148132" spans="10:10" x14ac:dyDescent="0.3">
      <c r="J148132"/>
    </row>
    <row r="148133" spans="10:10" x14ac:dyDescent="0.3">
      <c r="J148133"/>
    </row>
    <row r="148134" spans="10:10" x14ac:dyDescent="0.3">
      <c r="J148134"/>
    </row>
    <row r="148135" spans="10:10" x14ac:dyDescent="0.3">
      <c r="J148135"/>
    </row>
    <row r="148136" spans="10:10" x14ac:dyDescent="0.3">
      <c r="J148136"/>
    </row>
    <row r="148137" spans="10:10" x14ac:dyDescent="0.3">
      <c r="J148137"/>
    </row>
    <row r="148138" spans="10:10" x14ac:dyDescent="0.3">
      <c r="J148138"/>
    </row>
    <row r="148139" spans="10:10" x14ac:dyDescent="0.3">
      <c r="J148139"/>
    </row>
    <row r="148140" spans="10:10" x14ac:dyDescent="0.3">
      <c r="J148140"/>
    </row>
    <row r="148141" spans="10:10" x14ac:dyDescent="0.3">
      <c r="J148141"/>
    </row>
    <row r="148142" spans="10:10" x14ac:dyDescent="0.3">
      <c r="J148142"/>
    </row>
    <row r="148143" spans="10:10" x14ac:dyDescent="0.3">
      <c r="J148143"/>
    </row>
    <row r="148144" spans="10:10" x14ac:dyDescent="0.3">
      <c r="J148144"/>
    </row>
    <row r="148145" spans="10:10" x14ac:dyDescent="0.3">
      <c r="J148145"/>
    </row>
    <row r="148146" spans="10:10" x14ac:dyDescent="0.3">
      <c r="J148146"/>
    </row>
    <row r="148147" spans="10:10" x14ac:dyDescent="0.3">
      <c r="J148147"/>
    </row>
    <row r="148148" spans="10:10" x14ac:dyDescent="0.3">
      <c r="J148148"/>
    </row>
    <row r="148149" spans="10:10" x14ac:dyDescent="0.3">
      <c r="J148149"/>
    </row>
    <row r="148150" spans="10:10" x14ac:dyDescent="0.3">
      <c r="J148150"/>
    </row>
    <row r="148151" spans="10:10" x14ac:dyDescent="0.3">
      <c r="J148151"/>
    </row>
    <row r="148152" spans="10:10" x14ac:dyDescent="0.3">
      <c r="J148152"/>
    </row>
    <row r="148153" spans="10:10" x14ac:dyDescent="0.3">
      <c r="J148153"/>
    </row>
    <row r="148154" spans="10:10" x14ac:dyDescent="0.3">
      <c r="J148154"/>
    </row>
    <row r="148155" spans="10:10" x14ac:dyDescent="0.3">
      <c r="J148155"/>
    </row>
    <row r="148156" spans="10:10" x14ac:dyDescent="0.3">
      <c r="J148156"/>
    </row>
    <row r="148157" spans="10:10" x14ac:dyDescent="0.3">
      <c r="J148157"/>
    </row>
    <row r="148158" spans="10:10" x14ac:dyDescent="0.3">
      <c r="J148158"/>
    </row>
    <row r="148159" spans="10:10" x14ac:dyDescent="0.3">
      <c r="J148159"/>
    </row>
    <row r="148160" spans="10:10" x14ac:dyDescent="0.3">
      <c r="J148160"/>
    </row>
    <row r="148161" spans="10:10" x14ac:dyDescent="0.3">
      <c r="J148161"/>
    </row>
    <row r="148162" spans="10:10" x14ac:dyDescent="0.3">
      <c r="J148162"/>
    </row>
    <row r="148163" spans="10:10" x14ac:dyDescent="0.3">
      <c r="J148163"/>
    </row>
    <row r="148164" spans="10:10" x14ac:dyDescent="0.3">
      <c r="J148164"/>
    </row>
    <row r="148165" spans="10:10" x14ac:dyDescent="0.3">
      <c r="J148165"/>
    </row>
    <row r="148166" spans="10:10" x14ac:dyDescent="0.3">
      <c r="J148166"/>
    </row>
    <row r="148167" spans="10:10" x14ac:dyDescent="0.3">
      <c r="J148167"/>
    </row>
    <row r="148168" spans="10:10" x14ac:dyDescent="0.3">
      <c r="J148168"/>
    </row>
    <row r="148169" spans="10:10" x14ac:dyDescent="0.3">
      <c r="J148169"/>
    </row>
    <row r="148170" spans="10:10" x14ac:dyDescent="0.3">
      <c r="J148170"/>
    </row>
    <row r="148171" spans="10:10" x14ac:dyDescent="0.3">
      <c r="J148171"/>
    </row>
    <row r="148172" spans="10:10" x14ac:dyDescent="0.3">
      <c r="J148172"/>
    </row>
    <row r="148173" spans="10:10" x14ac:dyDescent="0.3">
      <c r="J148173"/>
    </row>
    <row r="148174" spans="10:10" x14ac:dyDescent="0.3">
      <c r="J148174"/>
    </row>
    <row r="148175" spans="10:10" x14ac:dyDescent="0.3">
      <c r="J148175"/>
    </row>
    <row r="148176" spans="10:10" x14ac:dyDescent="0.3">
      <c r="J148176"/>
    </row>
    <row r="148177" spans="10:10" x14ac:dyDescent="0.3">
      <c r="J148177"/>
    </row>
    <row r="148178" spans="10:10" x14ac:dyDescent="0.3">
      <c r="J148178"/>
    </row>
    <row r="148179" spans="10:10" x14ac:dyDescent="0.3">
      <c r="J148179"/>
    </row>
    <row r="148180" spans="10:10" x14ac:dyDescent="0.3">
      <c r="J148180"/>
    </row>
    <row r="148181" spans="10:10" x14ac:dyDescent="0.3">
      <c r="J148181"/>
    </row>
    <row r="148182" spans="10:10" x14ac:dyDescent="0.3">
      <c r="J148182"/>
    </row>
    <row r="148183" spans="10:10" x14ac:dyDescent="0.3">
      <c r="J148183"/>
    </row>
    <row r="148184" spans="10:10" x14ac:dyDescent="0.3">
      <c r="J148184"/>
    </row>
    <row r="148185" spans="10:10" x14ac:dyDescent="0.3">
      <c r="J148185"/>
    </row>
    <row r="148186" spans="10:10" x14ac:dyDescent="0.3">
      <c r="J148186"/>
    </row>
    <row r="148187" spans="10:10" x14ac:dyDescent="0.3">
      <c r="J148187"/>
    </row>
    <row r="148188" spans="10:10" x14ac:dyDescent="0.3">
      <c r="J148188"/>
    </row>
    <row r="148189" spans="10:10" x14ac:dyDescent="0.3">
      <c r="J148189"/>
    </row>
    <row r="148190" spans="10:10" x14ac:dyDescent="0.3">
      <c r="J148190"/>
    </row>
    <row r="148191" spans="10:10" x14ac:dyDescent="0.3">
      <c r="J148191"/>
    </row>
    <row r="148192" spans="10:10" x14ac:dyDescent="0.3">
      <c r="J148192"/>
    </row>
    <row r="148193" spans="10:10" x14ac:dyDescent="0.3">
      <c r="J148193"/>
    </row>
    <row r="148194" spans="10:10" x14ac:dyDescent="0.3">
      <c r="J148194"/>
    </row>
    <row r="148195" spans="10:10" x14ac:dyDescent="0.3">
      <c r="J148195"/>
    </row>
    <row r="148196" spans="10:10" x14ac:dyDescent="0.3">
      <c r="J148196"/>
    </row>
    <row r="148197" spans="10:10" x14ac:dyDescent="0.3">
      <c r="J148197"/>
    </row>
    <row r="148198" spans="10:10" x14ac:dyDescent="0.3">
      <c r="J148198"/>
    </row>
    <row r="148199" spans="10:10" x14ac:dyDescent="0.3">
      <c r="J148199"/>
    </row>
    <row r="148200" spans="10:10" x14ac:dyDescent="0.3">
      <c r="J148200"/>
    </row>
    <row r="148201" spans="10:10" x14ac:dyDescent="0.3">
      <c r="J148201"/>
    </row>
    <row r="148202" spans="10:10" x14ac:dyDescent="0.3">
      <c r="J148202"/>
    </row>
    <row r="148203" spans="10:10" x14ac:dyDescent="0.3">
      <c r="J148203"/>
    </row>
    <row r="148204" spans="10:10" x14ac:dyDescent="0.3">
      <c r="J148204"/>
    </row>
    <row r="148205" spans="10:10" x14ac:dyDescent="0.3">
      <c r="J148205"/>
    </row>
    <row r="148206" spans="10:10" x14ac:dyDescent="0.3">
      <c r="J148206"/>
    </row>
    <row r="148207" spans="10:10" x14ac:dyDescent="0.3">
      <c r="J148207"/>
    </row>
    <row r="148208" spans="10:10" x14ac:dyDescent="0.3">
      <c r="J148208"/>
    </row>
    <row r="148209" spans="10:10" x14ac:dyDescent="0.3">
      <c r="J148209"/>
    </row>
    <row r="148210" spans="10:10" x14ac:dyDescent="0.3">
      <c r="J148210"/>
    </row>
    <row r="148211" spans="10:10" x14ac:dyDescent="0.3">
      <c r="J148211"/>
    </row>
    <row r="148212" spans="10:10" x14ac:dyDescent="0.3">
      <c r="J148212"/>
    </row>
    <row r="148213" spans="10:10" x14ac:dyDescent="0.3">
      <c r="J148213"/>
    </row>
    <row r="148214" spans="10:10" x14ac:dyDescent="0.3">
      <c r="J148214"/>
    </row>
    <row r="148215" spans="10:10" x14ac:dyDescent="0.3">
      <c r="J148215"/>
    </row>
    <row r="148216" spans="10:10" x14ac:dyDescent="0.3">
      <c r="J148216"/>
    </row>
    <row r="148217" spans="10:10" x14ac:dyDescent="0.3">
      <c r="J148217"/>
    </row>
    <row r="148218" spans="10:10" x14ac:dyDescent="0.3">
      <c r="J148218"/>
    </row>
    <row r="148219" spans="10:10" x14ac:dyDescent="0.3">
      <c r="J148219"/>
    </row>
    <row r="148220" spans="10:10" x14ac:dyDescent="0.3">
      <c r="J148220"/>
    </row>
    <row r="148221" spans="10:10" x14ac:dyDescent="0.3">
      <c r="J148221"/>
    </row>
    <row r="148222" spans="10:10" x14ac:dyDescent="0.3">
      <c r="J148222"/>
    </row>
    <row r="148223" spans="10:10" x14ac:dyDescent="0.3">
      <c r="J148223"/>
    </row>
    <row r="148224" spans="10:10" x14ac:dyDescent="0.3">
      <c r="J148224"/>
    </row>
    <row r="148225" spans="10:10" x14ac:dyDescent="0.3">
      <c r="J148225"/>
    </row>
    <row r="148226" spans="10:10" x14ac:dyDescent="0.3">
      <c r="J148226"/>
    </row>
    <row r="148227" spans="10:10" x14ac:dyDescent="0.3">
      <c r="J148227"/>
    </row>
    <row r="148228" spans="10:10" x14ac:dyDescent="0.3">
      <c r="J148228"/>
    </row>
    <row r="148229" spans="10:10" x14ac:dyDescent="0.3">
      <c r="J148229"/>
    </row>
    <row r="148230" spans="10:10" x14ac:dyDescent="0.3">
      <c r="J148230"/>
    </row>
    <row r="148231" spans="10:10" x14ac:dyDescent="0.3">
      <c r="J148231"/>
    </row>
    <row r="148232" spans="10:10" x14ac:dyDescent="0.3">
      <c r="J148232"/>
    </row>
    <row r="148233" spans="10:10" x14ac:dyDescent="0.3">
      <c r="J148233"/>
    </row>
    <row r="148234" spans="10:10" x14ac:dyDescent="0.3">
      <c r="J148234"/>
    </row>
    <row r="148235" spans="10:10" x14ac:dyDescent="0.3">
      <c r="J148235"/>
    </row>
    <row r="148236" spans="10:10" x14ac:dyDescent="0.3">
      <c r="J148236"/>
    </row>
    <row r="148237" spans="10:10" x14ac:dyDescent="0.3">
      <c r="J148237"/>
    </row>
    <row r="148238" spans="10:10" x14ac:dyDescent="0.3">
      <c r="J148238"/>
    </row>
    <row r="148239" spans="10:10" x14ac:dyDescent="0.3">
      <c r="J148239"/>
    </row>
    <row r="148240" spans="10:10" x14ac:dyDescent="0.3">
      <c r="J148240"/>
    </row>
    <row r="148241" spans="10:10" x14ac:dyDescent="0.3">
      <c r="J148241"/>
    </row>
    <row r="148242" spans="10:10" x14ac:dyDescent="0.3">
      <c r="J148242"/>
    </row>
    <row r="148243" spans="10:10" x14ac:dyDescent="0.3">
      <c r="J148243"/>
    </row>
    <row r="148244" spans="10:10" x14ac:dyDescent="0.3">
      <c r="J148244"/>
    </row>
    <row r="148245" spans="10:10" x14ac:dyDescent="0.3">
      <c r="J148245"/>
    </row>
    <row r="148246" spans="10:10" x14ac:dyDescent="0.3">
      <c r="J148246"/>
    </row>
    <row r="148247" spans="10:10" x14ac:dyDescent="0.3">
      <c r="J148247"/>
    </row>
    <row r="148248" spans="10:10" x14ac:dyDescent="0.3">
      <c r="J148248"/>
    </row>
    <row r="148249" spans="10:10" x14ac:dyDescent="0.3">
      <c r="J148249"/>
    </row>
    <row r="148250" spans="10:10" x14ac:dyDescent="0.3">
      <c r="J148250"/>
    </row>
    <row r="148251" spans="10:10" x14ac:dyDescent="0.3">
      <c r="J148251"/>
    </row>
    <row r="148252" spans="10:10" x14ac:dyDescent="0.3">
      <c r="J148252"/>
    </row>
    <row r="148253" spans="10:10" x14ac:dyDescent="0.3">
      <c r="J148253"/>
    </row>
    <row r="148254" spans="10:10" x14ac:dyDescent="0.3">
      <c r="J148254"/>
    </row>
    <row r="148255" spans="10:10" x14ac:dyDescent="0.3">
      <c r="J148255"/>
    </row>
    <row r="148256" spans="10:10" x14ac:dyDescent="0.3">
      <c r="J148256"/>
    </row>
    <row r="148257" spans="10:10" x14ac:dyDescent="0.3">
      <c r="J148257"/>
    </row>
    <row r="148258" spans="10:10" x14ac:dyDescent="0.3">
      <c r="J148258"/>
    </row>
    <row r="148259" spans="10:10" x14ac:dyDescent="0.3">
      <c r="J148259"/>
    </row>
    <row r="148260" spans="10:10" x14ac:dyDescent="0.3">
      <c r="J148260"/>
    </row>
    <row r="148261" spans="10:10" x14ac:dyDescent="0.3">
      <c r="J148261"/>
    </row>
    <row r="148262" spans="10:10" x14ac:dyDescent="0.3">
      <c r="J148262"/>
    </row>
    <row r="148263" spans="10:10" x14ac:dyDescent="0.3">
      <c r="J148263"/>
    </row>
    <row r="148264" spans="10:10" x14ac:dyDescent="0.3">
      <c r="J148264"/>
    </row>
    <row r="148265" spans="10:10" x14ac:dyDescent="0.3">
      <c r="J148265"/>
    </row>
    <row r="148266" spans="10:10" x14ac:dyDescent="0.3">
      <c r="J148266"/>
    </row>
    <row r="148267" spans="10:10" x14ac:dyDescent="0.3">
      <c r="J148267"/>
    </row>
    <row r="148268" spans="10:10" x14ac:dyDescent="0.3">
      <c r="J148268"/>
    </row>
    <row r="148269" spans="10:10" x14ac:dyDescent="0.3">
      <c r="J148269"/>
    </row>
    <row r="148270" spans="10:10" x14ac:dyDescent="0.3">
      <c r="J148270"/>
    </row>
    <row r="148271" spans="10:10" x14ac:dyDescent="0.3">
      <c r="J148271"/>
    </row>
    <row r="148272" spans="10:10" x14ac:dyDescent="0.3">
      <c r="J148272"/>
    </row>
    <row r="148273" spans="10:10" x14ac:dyDescent="0.3">
      <c r="J148273"/>
    </row>
    <row r="148274" spans="10:10" x14ac:dyDescent="0.3">
      <c r="J148274"/>
    </row>
    <row r="148275" spans="10:10" x14ac:dyDescent="0.3">
      <c r="J148275"/>
    </row>
    <row r="148276" spans="10:10" x14ac:dyDescent="0.3">
      <c r="J148276"/>
    </row>
    <row r="148277" spans="10:10" x14ac:dyDescent="0.3">
      <c r="J148277"/>
    </row>
    <row r="148278" spans="10:10" x14ac:dyDescent="0.3">
      <c r="J148278"/>
    </row>
    <row r="148279" spans="10:10" x14ac:dyDescent="0.3">
      <c r="J148279"/>
    </row>
    <row r="148280" spans="10:10" x14ac:dyDescent="0.3">
      <c r="J148280"/>
    </row>
    <row r="148281" spans="10:10" x14ac:dyDescent="0.3">
      <c r="J148281"/>
    </row>
    <row r="148282" spans="10:10" x14ac:dyDescent="0.3">
      <c r="J148282"/>
    </row>
    <row r="148283" spans="10:10" x14ac:dyDescent="0.3">
      <c r="J148283"/>
    </row>
    <row r="148284" spans="10:10" x14ac:dyDescent="0.3">
      <c r="J148284"/>
    </row>
    <row r="148285" spans="10:10" x14ac:dyDescent="0.3">
      <c r="J148285"/>
    </row>
    <row r="148286" spans="10:10" x14ac:dyDescent="0.3">
      <c r="J148286"/>
    </row>
    <row r="148287" spans="10:10" x14ac:dyDescent="0.3">
      <c r="J148287"/>
    </row>
    <row r="148288" spans="10:10" x14ac:dyDescent="0.3">
      <c r="J148288"/>
    </row>
    <row r="148289" spans="10:10" x14ac:dyDescent="0.3">
      <c r="J148289"/>
    </row>
    <row r="148290" spans="10:10" x14ac:dyDescent="0.3">
      <c r="J148290"/>
    </row>
    <row r="148291" spans="10:10" x14ac:dyDescent="0.3">
      <c r="J148291"/>
    </row>
    <row r="148292" spans="10:10" x14ac:dyDescent="0.3">
      <c r="J148292"/>
    </row>
    <row r="148293" spans="10:10" x14ac:dyDescent="0.3">
      <c r="J148293"/>
    </row>
    <row r="148294" spans="10:10" x14ac:dyDescent="0.3">
      <c r="J148294"/>
    </row>
    <row r="148295" spans="10:10" x14ac:dyDescent="0.3">
      <c r="J148295"/>
    </row>
    <row r="148296" spans="10:10" x14ac:dyDescent="0.3">
      <c r="J148296"/>
    </row>
    <row r="148297" spans="10:10" x14ac:dyDescent="0.3">
      <c r="J148297"/>
    </row>
    <row r="148298" spans="10:10" x14ac:dyDescent="0.3">
      <c r="J148298"/>
    </row>
    <row r="148299" spans="10:10" x14ac:dyDescent="0.3">
      <c r="J148299"/>
    </row>
    <row r="148300" spans="10:10" x14ac:dyDescent="0.3">
      <c r="J148300"/>
    </row>
    <row r="148301" spans="10:10" x14ac:dyDescent="0.3">
      <c r="J148301"/>
    </row>
    <row r="148302" spans="10:10" x14ac:dyDescent="0.3">
      <c r="J148302"/>
    </row>
    <row r="148303" spans="10:10" x14ac:dyDescent="0.3">
      <c r="J148303"/>
    </row>
    <row r="148304" spans="10:10" x14ac:dyDescent="0.3">
      <c r="J148304"/>
    </row>
    <row r="148305" spans="10:10" x14ac:dyDescent="0.3">
      <c r="J148305"/>
    </row>
    <row r="148306" spans="10:10" x14ac:dyDescent="0.3">
      <c r="J148306"/>
    </row>
    <row r="148307" spans="10:10" x14ac:dyDescent="0.3">
      <c r="J148307"/>
    </row>
    <row r="148308" spans="10:10" x14ac:dyDescent="0.3">
      <c r="J148308"/>
    </row>
    <row r="148309" spans="10:10" x14ac:dyDescent="0.3">
      <c r="J148309"/>
    </row>
    <row r="148310" spans="10:10" x14ac:dyDescent="0.3">
      <c r="J148310"/>
    </row>
    <row r="148311" spans="10:10" x14ac:dyDescent="0.3">
      <c r="J148311"/>
    </row>
    <row r="148312" spans="10:10" x14ac:dyDescent="0.3">
      <c r="J148312"/>
    </row>
    <row r="148313" spans="10:10" x14ac:dyDescent="0.3">
      <c r="J148313"/>
    </row>
    <row r="148314" spans="10:10" x14ac:dyDescent="0.3">
      <c r="J148314"/>
    </row>
    <row r="148315" spans="10:10" x14ac:dyDescent="0.3">
      <c r="J148315"/>
    </row>
    <row r="148316" spans="10:10" x14ac:dyDescent="0.3">
      <c r="J148316"/>
    </row>
    <row r="148317" spans="10:10" x14ac:dyDescent="0.3">
      <c r="J148317"/>
    </row>
    <row r="148318" spans="10:10" x14ac:dyDescent="0.3">
      <c r="J148318"/>
    </row>
    <row r="148319" spans="10:10" x14ac:dyDescent="0.3">
      <c r="J148319"/>
    </row>
    <row r="148320" spans="10:10" x14ac:dyDescent="0.3">
      <c r="J148320"/>
    </row>
    <row r="148321" spans="10:10" x14ac:dyDescent="0.3">
      <c r="J148321"/>
    </row>
    <row r="148322" spans="10:10" x14ac:dyDescent="0.3">
      <c r="J148322"/>
    </row>
    <row r="148323" spans="10:10" x14ac:dyDescent="0.3">
      <c r="J148323"/>
    </row>
    <row r="148324" spans="10:10" x14ac:dyDescent="0.3">
      <c r="J148324"/>
    </row>
    <row r="148325" spans="10:10" x14ac:dyDescent="0.3">
      <c r="J148325"/>
    </row>
    <row r="148326" spans="10:10" x14ac:dyDescent="0.3">
      <c r="J148326"/>
    </row>
    <row r="148327" spans="10:10" x14ac:dyDescent="0.3">
      <c r="J148327"/>
    </row>
    <row r="148328" spans="10:10" x14ac:dyDescent="0.3">
      <c r="J148328"/>
    </row>
    <row r="148329" spans="10:10" x14ac:dyDescent="0.3">
      <c r="J148329"/>
    </row>
    <row r="148330" spans="10:10" x14ac:dyDescent="0.3">
      <c r="J148330"/>
    </row>
    <row r="148331" spans="10:10" x14ac:dyDescent="0.3">
      <c r="J148331"/>
    </row>
    <row r="148332" spans="10:10" x14ac:dyDescent="0.3">
      <c r="J148332"/>
    </row>
    <row r="148333" spans="10:10" x14ac:dyDescent="0.3">
      <c r="J148333"/>
    </row>
    <row r="148334" spans="10:10" x14ac:dyDescent="0.3">
      <c r="J148334"/>
    </row>
    <row r="148335" spans="10:10" x14ac:dyDescent="0.3">
      <c r="J148335"/>
    </row>
    <row r="148336" spans="10:10" x14ac:dyDescent="0.3">
      <c r="J148336"/>
    </row>
    <row r="148337" spans="10:10" x14ac:dyDescent="0.3">
      <c r="J148337"/>
    </row>
    <row r="148338" spans="10:10" x14ac:dyDescent="0.3">
      <c r="J148338"/>
    </row>
    <row r="148339" spans="10:10" x14ac:dyDescent="0.3">
      <c r="J148339"/>
    </row>
    <row r="148340" spans="10:10" x14ac:dyDescent="0.3">
      <c r="J148340"/>
    </row>
    <row r="148341" spans="10:10" x14ac:dyDescent="0.3">
      <c r="J148341"/>
    </row>
    <row r="148342" spans="10:10" x14ac:dyDescent="0.3">
      <c r="J148342"/>
    </row>
    <row r="148343" spans="10:10" x14ac:dyDescent="0.3">
      <c r="J148343"/>
    </row>
    <row r="148344" spans="10:10" x14ac:dyDescent="0.3">
      <c r="J148344"/>
    </row>
    <row r="148345" spans="10:10" x14ac:dyDescent="0.3">
      <c r="J148345"/>
    </row>
    <row r="148346" spans="10:10" x14ac:dyDescent="0.3">
      <c r="J148346"/>
    </row>
    <row r="148347" spans="10:10" x14ac:dyDescent="0.3">
      <c r="J148347"/>
    </row>
    <row r="148348" spans="10:10" x14ac:dyDescent="0.3">
      <c r="J148348"/>
    </row>
    <row r="148349" spans="10:10" x14ac:dyDescent="0.3">
      <c r="J148349"/>
    </row>
    <row r="148350" spans="10:10" x14ac:dyDescent="0.3">
      <c r="J148350"/>
    </row>
    <row r="148351" spans="10:10" x14ac:dyDescent="0.3">
      <c r="J148351"/>
    </row>
    <row r="148352" spans="10:10" x14ac:dyDescent="0.3">
      <c r="J148352"/>
    </row>
    <row r="148353" spans="10:10" x14ac:dyDescent="0.3">
      <c r="J148353"/>
    </row>
    <row r="148354" spans="10:10" x14ac:dyDescent="0.3">
      <c r="J148354"/>
    </row>
    <row r="148355" spans="10:10" x14ac:dyDescent="0.3">
      <c r="J148355"/>
    </row>
    <row r="148356" spans="10:10" x14ac:dyDescent="0.3">
      <c r="J148356"/>
    </row>
    <row r="148357" spans="10:10" x14ac:dyDescent="0.3">
      <c r="J148357"/>
    </row>
    <row r="148358" spans="10:10" x14ac:dyDescent="0.3">
      <c r="J148358"/>
    </row>
    <row r="148359" spans="10:10" x14ac:dyDescent="0.3">
      <c r="J148359"/>
    </row>
    <row r="148360" spans="10:10" x14ac:dyDescent="0.3">
      <c r="J148360"/>
    </row>
    <row r="148361" spans="10:10" x14ac:dyDescent="0.3">
      <c r="J148361"/>
    </row>
    <row r="148362" spans="10:10" x14ac:dyDescent="0.3">
      <c r="J148362"/>
    </row>
    <row r="148363" spans="10:10" x14ac:dyDescent="0.3">
      <c r="J148363"/>
    </row>
    <row r="148364" spans="10:10" x14ac:dyDescent="0.3">
      <c r="J148364"/>
    </row>
    <row r="148365" spans="10:10" x14ac:dyDescent="0.3">
      <c r="J148365"/>
    </row>
    <row r="148366" spans="10:10" x14ac:dyDescent="0.3">
      <c r="J148366"/>
    </row>
    <row r="148367" spans="10:10" x14ac:dyDescent="0.3">
      <c r="J148367"/>
    </row>
    <row r="148368" spans="10:10" x14ac:dyDescent="0.3">
      <c r="J148368"/>
    </row>
    <row r="148369" spans="10:10" x14ac:dyDescent="0.3">
      <c r="J148369"/>
    </row>
    <row r="148370" spans="10:10" x14ac:dyDescent="0.3">
      <c r="J148370"/>
    </row>
    <row r="148371" spans="10:10" x14ac:dyDescent="0.3">
      <c r="J148371"/>
    </row>
    <row r="148372" spans="10:10" x14ac:dyDescent="0.3">
      <c r="J148372"/>
    </row>
    <row r="148373" spans="10:10" x14ac:dyDescent="0.3">
      <c r="J148373"/>
    </row>
    <row r="148374" spans="10:10" x14ac:dyDescent="0.3">
      <c r="J148374"/>
    </row>
    <row r="148375" spans="10:10" x14ac:dyDescent="0.3">
      <c r="J148375"/>
    </row>
    <row r="148376" spans="10:10" x14ac:dyDescent="0.3">
      <c r="J148376"/>
    </row>
    <row r="148377" spans="10:10" x14ac:dyDescent="0.3">
      <c r="J148377"/>
    </row>
    <row r="148378" spans="10:10" x14ac:dyDescent="0.3">
      <c r="J148378"/>
    </row>
    <row r="148379" spans="10:10" x14ac:dyDescent="0.3">
      <c r="J148379"/>
    </row>
    <row r="148380" spans="10:10" x14ac:dyDescent="0.3">
      <c r="J148380"/>
    </row>
    <row r="148381" spans="10:10" x14ac:dyDescent="0.3">
      <c r="J148381"/>
    </row>
    <row r="148382" spans="10:10" x14ac:dyDescent="0.3">
      <c r="J148382"/>
    </row>
    <row r="148383" spans="10:10" x14ac:dyDescent="0.3">
      <c r="J148383"/>
    </row>
    <row r="148384" spans="10:10" x14ac:dyDescent="0.3">
      <c r="J148384"/>
    </row>
    <row r="148385" spans="10:10" x14ac:dyDescent="0.3">
      <c r="J148385"/>
    </row>
    <row r="148386" spans="10:10" x14ac:dyDescent="0.3">
      <c r="J148386"/>
    </row>
    <row r="148387" spans="10:10" x14ac:dyDescent="0.3">
      <c r="J148387"/>
    </row>
    <row r="148388" spans="10:10" x14ac:dyDescent="0.3">
      <c r="J148388"/>
    </row>
    <row r="148389" spans="10:10" x14ac:dyDescent="0.3">
      <c r="J148389"/>
    </row>
    <row r="148390" spans="10:10" x14ac:dyDescent="0.3">
      <c r="J148390"/>
    </row>
    <row r="148391" spans="10:10" x14ac:dyDescent="0.3">
      <c r="J148391"/>
    </row>
    <row r="148392" spans="10:10" x14ac:dyDescent="0.3">
      <c r="J148392"/>
    </row>
    <row r="148393" spans="10:10" x14ac:dyDescent="0.3">
      <c r="J148393"/>
    </row>
    <row r="148394" spans="10:10" x14ac:dyDescent="0.3">
      <c r="J148394"/>
    </row>
    <row r="148395" spans="10:10" x14ac:dyDescent="0.3">
      <c r="J148395"/>
    </row>
    <row r="148396" spans="10:10" x14ac:dyDescent="0.3">
      <c r="J148396"/>
    </row>
    <row r="148397" spans="10:10" x14ac:dyDescent="0.3">
      <c r="J148397"/>
    </row>
    <row r="148398" spans="10:10" x14ac:dyDescent="0.3">
      <c r="J148398"/>
    </row>
    <row r="148399" spans="10:10" x14ac:dyDescent="0.3">
      <c r="J148399"/>
    </row>
    <row r="148400" spans="10:10" x14ac:dyDescent="0.3">
      <c r="J148400"/>
    </row>
    <row r="148401" spans="10:10" x14ac:dyDescent="0.3">
      <c r="J148401"/>
    </row>
    <row r="148402" spans="10:10" x14ac:dyDescent="0.3">
      <c r="J148402"/>
    </row>
    <row r="148403" spans="10:10" x14ac:dyDescent="0.3">
      <c r="J148403"/>
    </row>
    <row r="148404" spans="10:10" x14ac:dyDescent="0.3">
      <c r="J148404"/>
    </row>
    <row r="148405" spans="10:10" x14ac:dyDescent="0.3">
      <c r="J148405"/>
    </row>
    <row r="148406" spans="10:10" x14ac:dyDescent="0.3">
      <c r="J148406"/>
    </row>
    <row r="148407" spans="10:10" x14ac:dyDescent="0.3">
      <c r="J148407"/>
    </row>
    <row r="148408" spans="10:10" x14ac:dyDescent="0.3">
      <c r="J148408"/>
    </row>
    <row r="148409" spans="10:10" x14ac:dyDescent="0.3">
      <c r="J148409"/>
    </row>
    <row r="148410" spans="10:10" x14ac:dyDescent="0.3">
      <c r="J148410"/>
    </row>
    <row r="148411" spans="10:10" x14ac:dyDescent="0.3">
      <c r="J148411"/>
    </row>
    <row r="148412" spans="10:10" x14ac:dyDescent="0.3">
      <c r="J148412"/>
    </row>
    <row r="148413" spans="10:10" x14ac:dyDescent="0.3">
      <c r="J148413"/>
    </row>
    <row r="148414" spans="10:10" x14ac:dyDescent="0.3">
      <c r="J148414"/>
    </row>
    <row r="148415" spans="10:10" x14ac:dyDescent="0.3">
      <c r="J148415"/>
    </row>
    <row r="148416" spans="10:10" x14ac:dyDescent="0.3">
      <c r="J148416"/>
    </row>
    <row r="148417" spans="10:10" x14ac:dyDescent="0.3">
      <c r="J148417"/>
    </row>
    <row r="148418" spans="10:10" x14ac:dyDescent="0.3">
      <c r="J148418"/>
    </row>
    <row r="148419" spans="10:10" x14ac:dyDescent="0.3">
      <c r="J148419"/>
    </row>
    <row r="148420" spans="10:10" x14ac:dyDescent="0.3">
      <c r="J148420"/>
    </row>
    <row r="148421" spans="10:10" x14ac:dyDescent="0.3">
      <c r="J148421"/>
    </row>
    <row r="148422" spans="10:10" x14ac:dyDescent="0.3">
      <c r="J148422"/>
    </row>
    <row r="148423" spans="10:10" x14ac:dyDescent="0.3">
      <c r="J148423"/>
    </row>
    <row r="148424" spans="10:10" x14ac:dyDescent="0.3">
      <c r="J148424"/>
    </row>
    <row r="148425" spans="10:10" x14ac:dyDescent="0.3">
      <c r="J148425"/>
    </row>
    <row r="148426" spans="10:10" x14ac:dyDescent="0.3">
      <c r="J148426"/>
    </row>
    <row r="148427" spans="10:10" x14ac:dyDescent="0.3">
      <c r="J148427"/>
    </row>
    <row r="148428" spans="10:10" x14ac:dyDescent="0.3">
      <c r="J148428"/>
    </row>
    <row r="148429" spans="10:10" x14ac:dyDescent="0.3">
      <c r="J148429"/>
    </row>
    <row r="148430" spans="10:10" x14ac:dyDescent="0.3">
      <c r="J148430"/>
    </row>
    <row r="148431" spans="10:10" x14ac:dyDescent="0.3">
      <c r="J148431"/>
    </row>
    <row r="148432" spans="10:10" x14ac:dyDescent="0.3">
      <c r="J148432"/>
    </row>
    <row r="148433" spans="10:10" x14ac:dyDescent="0.3">
      <c r="J148433"/>
    </row>
    <row r="148434" spans="10:10" x14ac:dyDescent="0.3">
      <c r="J148434"/>
    </row>
    <row r="148435" spans="10:10" x14ac:dyDescent="0.3">
      <c r="J148435"/>
    </row>
    <row r="148436" spans="10:10" x14ac:dyDescent="0.3">
      <c r="J148436"/>
    </row>
    <row r="148437" spans="10:10" x14ac:dyDescent="0.3">
      <c r="J148437"/>
    </row>
    <row r="148438" spans="10:10" x14ac:dyDescent="0.3">
      <c r="J148438"/>
    </row>
    <row r="148439" spans="10:10" x14ac:dyDescent="0.3">
      <c r="J148439"/>
    </row>
    <row r="148440" spans="10:10" x14ac:dyDescent="0.3">
      <c r="J148440"/>
    </row>
    <row r="148441" spans="10:10" x14ac:dyDescent="0.3">
      <c r="J148441"/>
    </row>
    <row r="148442" spans="10:10" x14ac:dyDescent="0.3">
      <c r="J148442"/>
    </row>
    <row r="148443" spans="10:10" x14ac:dyDescent="0.3">
      <c r="J148443"/>
    </row>
    <row r="148444" spans="10:10" x14ac:dyDescent="0.3">
      <c r="J148444"/>
    </row>
    <row r="148445" spans="10:10" x14ac:dyDescent="0.3">
      <c r="J148445"/>
    </row>
    <row r="148446" spans="10:10" x14ac:dyDescent="0.3">
      <c r="J148446"/>
    </row>
    <row r="148447" spans="10:10" x14ac:dyDescent="0.3">
      <c r="J148447"/>
    </row>
    <row r="148448" spans="10:10" x14ac:dyDescent="0.3">
      <c r="J148448"/>
    </row>
    <row r="148449" spans="10:10" x14ac:dyDescent="0.3">
      <c r="J148449"/>
    </row>
    <row r="148450" spans="10:10" x14ac:dyDescent="0.3">
      <c r="J148450"/>
    </row>
    <row r="148451" spans="10:10" x14ac:dyDescent="0.3">
      <c r="J148451"/>
    </row>
    <row r="148452" spans="10:10" x14ac:dyDescent="0.3">
      <c r="J148452"/>
    </row>
    <row r="148453" spans="10:10" x14ac:dyDescent="0.3">
      <c r="J148453"/>
    </row>
    <row r="148454" spans="10:10" x14ac:dyDescent="0.3">
      <c r="J148454"/>
    </row>
    <row r="148455" spans="10:10" x14ac:dyDescent="0.3">
      <c r="J148455"/>
    </row>
    <row r="148456" spans="10:10" x14ac:dyDescent="0.3">
      <c r="J148456"/>
    </row>
    <row r="148457" spans="10:10" x14ac:dyDescent="0.3">
      <c r="J148457"/>
    </row>
    <row r="148458" spans="10:10" x14ac:dyDescent="0.3">
      <c r="J148458"/>
    </row>
    <row r="148459" spans="10:10" x14ac:dyDescent="0.3">
      <c r="J148459"/>
    </row>
    <row r="148460" spans="10:10" x14ac:dyDescent="0.3">
      <c r="J148460"/>
    </row>
    <row r="148461" spans="10:10" x14ac:dyDescent="0.3">
      <c r="J148461"/>
    </row>
    <row r="148462" spans="10:10" x14ac:dyDescent="0.3">
      <c r="J148462"/>
    </row>
    <row r="148463" spans="10:10" x14ac:dyDescent="0.3">
      <c r="J148463"/>
    </row>
    <row r="148464" spans="10:10" x14ac:dyDescent="0.3">
      <c r="J148464"/>
    </row>
    <row r="148465" spans="10:10" x14ac:dyDescent="0.3">
      <c r="J148465"/>
    </row>
    <row r="148466" spans="10:10" x14ac:dyDescent="0.3">
      <c r="J148466"/>
    </row>
    <row r="148467" spans="10:10" x14ac:dyDescent="0.3">
      <c r="J148467"/>
    </row>
    <row r="148468" spans="10:10" x14ac:dyDescent="0.3">
      <c r="J148468"/>
    </row>
    <row r="148469" spans="10:10" x14ac:dyDescent="0.3">
      <c r="J148469"/>
    </row>
    <row r="148470" spans="10:10" x14ac:dyDescent="0.3">
      <c r="J148470"/>
    </row>
    <row r="148471" spans="10:10" x14ac:dyDescent="0.3">
      <c r="J148471"/>
    </row>
    <row r="148472" spans="10:10" x14ac:dyDescent="0.3">
      <c r="J148472"/>
    </row>
    <row r="148473" spans="10:10" x14ac:dyDescent="0.3">
      <c r="J148473"/>
    </row>
    <row r="148474" spans="10:10" x14ac:dyDescent="0.3">
      <c r="J148474"/>
    </row>
    <row r="148475" spans="10:10" x14ac:dyDescent="0.3">
      <c r="J148475"/>
    </row>
    <row r="148476" spans="10:10" x14ac:dyDescent="0.3">
      <c r="J148476"/>
    </row>
    <row r="148477" spans="10:10" x14ac:dyDescent="0.3">
      <c r="J148477"/>
    </row>
    <row r="148478" spans="10:10" x14ac:dyDescent="0.3">
      <c r="J148478"/>
    </row>
    <row r="148479" spans="10:10" x14ac:dyDescent="0.3">
      <c r="J148479"/>
    </row>
    <row r="148480" spans="10:10" x14ac:dyDescent="0.3">
      <c r="J148480"/>
    </row>
    <row r="148481" spans="10:10" x14ac:dyDescent="0.3">
      <c r="J148481"/>
    </row>
    <row r="148482" spans="10:10" x14ac:dyDescent="0.3">
      <c r="J148482"/>
    </row>
    <row r="148483" spans="10:10" x14ac:dyDescent="0.3">
      <c r="J148483"/>
    </row>
    <row r="148484" spans="10:10" x14ac:dyDescent="0.3">
      <c r="J148484"/>
    </row>
    <row r="148485" spans="10:10" x14ac:dyDescent="0.3">
      <c r="J148485"/>
    </row>
    <row r="148486" spans="10:10" x14ac:dyDescent="0.3">
      <c r="J148486"/>
    </row>
    <row r="148487" spans="10:10" x14ac:dyDescent="0.3">
      <c r="J148487"/>
    </row>
    <row r="148488" spans="10:10" x14ac:dyDescent="0.3">
      <c r="J148488"/>
    </row>
    <row r="148489" spans="10:10" x14ac:dyDescent="0.3">
      <c r="J148489"/>
    </row>
    <row r="148490" spans="10:10" x14ac:dyDescent="0.3">
      <c r="J148490"/>
    </row>
    <row r="148491" spans="10:10" x14ac:dyDescent="0.3">
      <c r="J148491"/>
    </row>
    <row r="148492" spans="10:10" x14ac:dyDescent="0.3">
      <c r="J148492"/>
    </row>
    <row r="148493" spans="10:10" x14ac:dyDescent="0.3">
      <c r="J148493"/>
    </row>
    <row r="148494" spans="10:10" x14ac:dyDescent="0.3">
      <c r="J148494"/>
    </row>
    <row r="148495" spans="10:10" x14ac:dyDescent="0.3">
      <c r="J148495"/>
    </row>
    <row r="148496" spans="10:10" x14ac:dyDescent="0.3">
      <c r="J148496"/>
    </row>
    <row r="148497" spans="10:10" x14ac:dyDescent="0.3">
      <c r="J148497"/>
    </row>
    <row r="148498" spans="10:10" x14ac:dyDescent="0.3">
      <c r="J148498"/>
    </row>
    <row r="148499" spans="10:10" x14ac:dyDescent="0.3">
      <c r="J148499"/>
    </row>
    <row r="148500" spans="10:10" x14ac:dyDescent="0.3">
      <c r="J148500"/>
    </row>
    <row r="148501" spans="10:10" x14ac:dyDescent="0.3">
      <c r="J148501"/>
    </row>
    <row r="148502" spans="10:10" x14ac:dyDescent="0.3">
      <c r="J148502"/>
    </row>
    <row r="148503" spans="10:10" x14ac:dyDescent="0.3">
      <c r="J148503"/>
    </row>
    <row r="148504" spans="10:10" x14ac:dyDescent="0.3">
      <c r="J148504"/>
    </row>
    <row r="148505" spans="10:10" x14ac:dyDescent="0.3">
      <c r="J148505"/>
    </row>
    <row r="148506" spans="10:10" x14ac:dyDescent="0.3">
      <c r="J148506"/>
    </row>
    <row r="148507" spans="10:10" x14ac:dyDescent="0.3">
      <c r="J148507"/>
    </row>
    <row r="148508" spans="10:10" x14ac:dyDescent="0.3">
      <c r="J148508"/>
    </row>
    <row r="148509" spans="10:10" x14ac:dyDescent="0.3">
      <c r="J148509"/>
    </row>
    <row r="148510" spans="10:10" x14ac:dyDescent="0.3">
      <c r="J148510"/>
    </row>
    <row r="148511" spans="10:10" x14ac:dyDescent="0.3">
      <c r="J148511"/>
    </row>
    <row r="148512" spans="10:10" x14ac:dyDescent="0.3">
      <c r="J148512"/>
    </row>
    <row r="148513" spans="10:10" x14ac:dyDescent="0.3">
      <c r="J148513"/>
    </row>
    <row r="148514" spans="10:10" x14ac:dyDescent="0.3">
      <c r="J148514"/>
    </row>
    <row r="148515" spans="10:10" x14ac:dyDescent="0.3">
      <c r="J148515"/>
    </row>
    <row r="148516" spans="10:10" x14ac:dyDescent="0.3">
      <c r="J148516"/>
    </row>
    <row r="148517" spans="10:10" x14ac:dyDescent="0.3">
      <c r="J148517"/>
    </row>
    <row r="148518" spans="10:10" x14ac:dyDescent="0.3">
      <c r="J148518"/>
    </row>
    <row r="148519" spans="10:10" x14ac:dyDescent="0.3">
      <c r="J148519"/>
    </row>
    <row r="148520" spans="10:10" x14ac:dyDescent="0.3">
      <c r="J148520"/>
    </row>
    <row r="148521" spans="10:10" x14ac:dyDescent="0.3">
      <c r="J148521"/>
    </row>
    <row r="148522" spans="10:10" x14ac:dyDescent="0.3">
      <c r="J148522"/>
    </row>
    <row r="148523" spans="10:10" x14ac:dyDescent="0.3">
      <c r="J148523"/>
    </row>
    <row r="148524" spans="10:10" x14ac:dyDescent="0.3">
      <c r="J148524"/>
    </row>
    <row r="148525" spans="10:10" x14ac:dyDescent="0.3">
      <c r="J148525"/>
    </row>
    <row r="148526" spans="10:10" x14ac:dyDescent="0.3">
      <c r="J148526"/>
    </row>
    <row r="148527" spans="10:10" x14ac:dyDescent="0.3">
      <c r="J148527"/>
    </row>
    <row r="148528" spans="10:10" x14ac:dyDescent="0.3">
      <c r="J148528"/>
    </row>
    <row r="148529" spans="10:10" x14ac:dyDescent="0.3">
      <c r="J148529"/>
    </row>
    <row r="148530" spans="10:10" x14ac:dyDescent="0.3">
      <c r="J148530"/>
    </row>
    <row r="148531" spans="10:10" x14ac:dyDescent="0.3">
      <c r="J148531"/>
    </row>
    <row r="148532" spans="10:10" x14ac:dyDescent="0.3">
      <c r="J148532"/>
    </row>
    <row r="148533" spans="10:10" x14ac:dyDescent="0.3">
      <c r="J148533"/>
    </row>
    <row r="148534" spans="10:10" x14ac:dyDescent="0.3">
      <c r="J148534"/>
    </row>
    <row r="148535" spans="10:10" x14ac:dyDescent="0.3">
      <c r="J148535"/>
    </row>
    <row r="148536" spans="10:10" x14ac:dyDescent="0.3">
      <c r="J148536"/>
    </row>
    <row r="148537" spans="10:10" x14ac:dyDescent="0.3">
      <c r="J148537"/>
    </row>
    <row r="148538" spans="10:10" x14ac:dyDescent="0.3">
      <c r="J148538"/>
    </row>
    <row r="148539" spans="10:10" x14ac:dyDescent="0.3">
      <c r="J148539"/>
    </row>
    <row r="148540" spans="10:10" x14ac:dyDescent="0.3">
      <c r="J148540"/>
    </row>
    <row r="148541" spans="10:10" x14ac:dyDescent="0.3">
      <c r="J148541"/>
    </row>
    <row r="148542" spans="10:10" x14ac:dyDescent="0.3">
      <c r="J148542"/>
    </row>
    <row r="148543" spans="10:10" x14ac:dyDescent="0.3">
      <c r="J148543"/>
    </row>
    <row r="148544" spans="10:10" x14ac:dyDescent="0.3">
      <c r="J148544"/>
    </row>
    <row r="148545" spans="10:10" x14ac:dyDescent="0.3">
      <c r="J148545"/>
    </row>
    <row r="148546" spans="10:10" x14ac:dyDescent="0.3">
      <c r="J148546"/>
    </row>
    <row r="148547" spans="10:10" x14ac:dyDescent="0.3">
      <c r="J148547"/>
    </row>
    <row r="148548" spans="10:10" x14ac:dyDescent="0.3">
      <c r="J148548"/>
    </row>
    <row r="148549" spans="10:10" x14ac:dyDescent="0.3">
      <c r="J148549"/>
    </row>
    <row r="148550" spans="10:10" x14ac:dyDescent="0.3">
      <c r="J148550"/>
    </row>
    <row r="148551" spans="10:10" x14ac:dyDescent="0.3">
      <c r="J148551"/>
    </row>
    <row r="148552" spans="10:10" x14ac:dyDescent="0.3">
      <c r="J148552"/>
    </row>
    <row r="148553" spans="10:10" x14ac:dyDescent="0.3">
      <c r="J148553"/>
    </row>
    <row r="148554" spans="10:10" x14ac:dyDescent="0.3">
      <c r="J148554"/>
    </row>
    <row r="148555" spans="10:10" x14ac:dyDescent="0.3">
      <c r="J148555"/>
    </row>
    <row r="148556" spans="10:10" x14ac:dyDescent="0.3">
      <c r="J148556"/>
    </row>
    <row r="148557" spans="10:10" x14ac:dyDescent="0.3">
      <c r="J148557"/>
    </row>
    <row r="148558" spans="10:10" x14ac:dyDescent="0.3">
      <c r="J148558"/>
    </row>
    <row r="148559" spans="10:10" x14ac:dyDescent="0.3">
      <c r="J148559"/>
    </row>
    <row r="148560" spans="10:10" x14ac:dyDescent="0.3">
      <c r="J148560"/>
    </row>
    <row r="148561" spans="10:10" x14ac:dyDescent="0.3">
      <c r="J148561"/>
    </row>
    <row r="148562" spans="10:10" x14ac:dyDescent="0.3">
      <c r="J148562"/>
    </row>
    <row r="148563" spans="10:10" x14ac:dyDescent="0.3">
      <c r="J148563"/>
    </row>
    <row r="148564" spans="10:10" x14ac:dyDescent="0.3">
      <c r="J148564"/>
    </row>
    <row r="148565" spans="10:10" x14ac:dyDescent="0.3">
      <c r="J148565"/>
    </row>
    <row r="148566" spans="10:10" x14ac:dyDescent="0.3">
      <c r="J148566"/>
    </row>
    <row r="148567" spans="10:10" x14ac:dyDescent="0.3">
      <c r="J148567"/>
    </row>
    <row r="148568" spans="10:10" x14ac:dyDescent="0.3">
      <c r="J148568"/>
    </row>
    <row r="148569" spans="10:10" x14ac:dyDescent="0.3">
      <c r="J148569"/>
    </row>
    <row r="148570" spans="10:10" x14ac:dyDescent="0.3">
      <c r="J148570"/>
    </row>
    <row r="148571" spans="10:10" x14ac:dyDescent="0.3">
      <c r="J148571"/>
    </row>
    <row r="148572" spans="10:10" x14ac:dyDescent="0.3">
      <c r="J148572"/>
    </row>
    <row r="148573" spans="10:10" x14ac:dyDescent="0.3">
      <c r="J148573"/>
    </row>
    <row r="148574" spans="10:10" x14ac:dyDescent="0.3">
      <c r="J148574"/>
    </row>
    <row r="148575" spans="10:10" x14ac:dyDescent="0.3">
      <c r="J148575"/>
    </row>
    <row r="148576" spans="10:10" x14ac:dyDescent="0.3">
      <c r="J148576"/>
    </row>
    <row r="148577" spans="10:10" x14ac:dyDescent="0.3">
      <c r="J148577"/>
    </row>
    <row r="148578" spans="10:10" x14ac:dyDescent="0.3">
      <c r="J148578"/>
    </row>
    <row r="148579" spans="10:10" x14ac:dyDescent="0.3">
      <c r="J148579"/>
    </row>
    <row r="148580" spans="10:10" x14ac:dyDescent="0.3">
      <c r="J148580"/>
    </row>
    <row r="148581" spans="10:10" x14ac:dyDescent="0.3">
      <c r="J148581"/>
    </row>
    <row r="148582" spans="10:10" x14ac:dyDescent="0.3">
      <c r="J148582"/>
    </row>
    <row r="148583" spans="10:10" x14ac:dyDescent="0.3">
      <c r="J148583"/>
    </row>
    <row r="148584" spans="10:10" x14ac:dyDescent="0.3">
      <c r="J148584"/>
    </row>
    <row r="148585" spans="10:10" x14ac:dyDescent="0.3">
      <c r="J148585"/>
    </row>
    <row r="148586" spans="10:10" x14ac:dyDescent="0.3">
      <c r="J148586"/>
    </row>
    <row r="148587" spans="10:10" x14ac:dyDescent="0.3">
      <c r="J148587"/>
    </row>
    <row r="148588" spans="10:10" x14ac:dyDescent="0.3">
      <c r="J148588"/>
    </row>
    <row r="148589" spans="10:10" x14ac:dyDescent="0.3">
      <c r="J148589"/>
    </row>
    <row r="148590" spans="10:10" x14ac:dyDescent="0.3">
      <c r="J148590"/>
    </row>
    <row r="148591" spans="10:10" x14ac:dyDescent="0.3">
      <c r="J148591"/>
    </row>
    <row r="148592" spans="10:10" x14ac:dyDescent="0.3">
      <c r="J148592"/>
    </row>
    <row r="148593" spans="10:10" x14ac:dyDescent="0.3">
      <c r="J148593"/>
    </row>
    <row r="148594" spans="10:10" x14ac:dyDescent="0.3">
      <c r="J148594"/>
    </row>
    <row r="148595" spans="10:10" x14ac:dyDescent="0.3">
      <c r="J148595"/>
    </row>
    <row r="148596" spans="10:10" x14ac:dyDescent="0.3">
      <c r="J148596"/>
    </row>
    <row r="148597" spans="10:10" x14ac:dyDescent="0.3">
      <c r="J148597"/>
    </row>
    <row r="148598" spans="10:10" x14ac:dyDescent="0.3">
      <c r="J148598"/>
    </row>
    <row r="148599" spans="10:10" x14ac:dyDescent="0.3">
      <c r="J148599"/>
    </row>
    <row r="148600" spans="10:10" x14ac:dyDescent="0.3">
      <c r="J148600"/>
    </row>
    <row r="148601" spans="10:10" x14ac:dyDescent="0.3">
      <c r="J148601"/>
    </row>
    <row r="148602" spans="10:10" x14ac:dyDescent="0.3">
      <c r="J148602"/>
    </row>
    <row r="148603" spans="10:10" x14ac:dyDescent="0.3">
      <c r="J148603"/>
    </row>
    <row r="148604" spans="10:10" x14ac:dyDescent="0.3">
      <c r="J148604"/>
    </row>
    <row r="148605" spans="10:10" x14ac:dyDescent="0.3">
      <c r="J148605"/>
    </row>
    <row r="148606" spans="10:10" x14ac:dyDescent="0.3">
      <c r="J148606"/>
    </row>
    <row r="148607" spans="10:10" x14ac:dyDescent="0.3">
      <c r="J148607"/>
    </row>
    <row r="148608" spans="10:10" x14ac:dyDescent="0.3">
      <c r="J148608"/>
    </row>
    <row r="148609" spans="10:10" x14ac:dyDescent="0.3">
      <c r="J148609"/>
    </row>
    <row r="148610" spans="10:10" x14ac:dyDescent="0.3">
      <c r="J148610"/>
    </row>
    <row r="148611" spans="10:10" x14ac:dyDescent="0.3">
      <c r="J148611"/>
    </row>
    <row r="148612" spans="10:10" x14ac:dyDescent="0.3">
      <c r="J148612"/>
    </row>
    <row r="148613" spans="10:10" x14ac:dyDescent="0.3">
      <c r="J148613"/>
    </row>
    <row r="148614" spans="10:10" x14ac:dyDescent="0.3">
      <c r="J148614"/>
    </row>
    <row r="148615" spans="10:10" x14ac:dyDescent="0.3">
      <c r="J148615"/>
    </row>
    <row r="148616" spans="10:10" x14ac:dyDescent="0.3">
      <c r="J148616"/>
    </row>
    <row r="148617" spans="10:10" x14ac:dyDescent="0.3">
      <c r="J148617"/>
    </row>
    <row r="148618" spans="10:10" x14ac:dyDescent="0.3">
      <c r="J148618"/>
    </row>
    <row r="148619" spans="10:10" x14ac:dyDescent="0.3">
      <c r="J148619"/>
    </row>
    <row r="148620" spans="10:10" x14ac:dyDescent="0.3">
      <c r="J148620"/>
    </row>
    <row r="148621" spans="10:10" x14ac:dyDescent="0.3">
      <c r="J148621"/>
    </row>
    <row r="148622" spans="10:10" x14ac:dyDescent="0.3">
      <c r="J148622"/>
    </row>
    <row r="148623" spans="10:10" x14ac:dyDescent="0.3">
      <c r="J148623"/>
    </row>
    <row r="148624" spans="10:10" x14ac:dyDescent="0.3">
      <c r="J148624"/>
    </row>
    <row r="148625" spans="10:10" x14ac:dyDescent="0.3">
      <c r="J148625"/>
    </row>
    <row r="148626" spans="10:10" x14ac:dyDescent="0.3">
      <c r="J148626"/>
    </row>
    <row r="148627" spans="10:10" x14ac:dyDescent="0.3">
      <c r="J148627"/>
    </row>
    <row r="148628" spans="10:10" x14ac:dyDescent="0.3">
      <c r="J148628"/>
    </row>
    <row r="148629" spans="10:10" x14ac:dyDescent="0.3">
      <c r="J148629"/>
    </row>
    <row r="148630" spans="10:10" x14ac:dyDescent="0.3">
      <c r="J148630"/>
    </row>
    <row r="148631" spans="10:10" x14ac:dyDescent="0.3">
      <c r="J148631"/>
    </row>
    <row r="148632" spans="10:10" x14ac:dyDescent="0.3">
      <c r="J148632"/>
    </row>
    <row r="148633" spans="10:10" x14ac:dyDescent="0.3">
      <c r="J148633"/>
    </row>
    <row r="148634" spans="10:10" x14ac:dyDescent="0.3">
      <c r="J148634"/>
    </row>
    <row r="148635" spans="10:10" x14ac:dyDescent="0.3">
      <c r="J148635"/>
    </row>
    <row r="148636" spans="10:10" x14ac:dyDescent="0.3">
      <c r="J148636"/>
    </row>
    <row r="148637" spans="10:10" x14ac:dyDescent="0.3">
      <c r="J148637"/>
    </row>
    <row r="148638" spans="10:10" x14ac:dyDescent="0.3">
      <c r="J148638"/>
    </row>
    <row r="148639" spans="10:10" x14ac:dyDescent="0.3">
      <c r="J148639"/>
    </row>
    <row r="148640" spans="10:10" x14ac:dyDescent="0.3">
      <c r="J148640"/>
    </row>
    <row r="148641" spans="10:10" x14ac:dyDescent="0.3">
      <c r="J148641"/>
    </row>
    <row r="148642" spans="10:10" x14ac:dyDescent="0.3">
      <c r="J148642"/>
    </row>
    <row r="148643" spans="10:10" x14ac:dyDescent="0.3">
      <c r="J148643"/>
    </row>
    <row r="148644" spans="10:10" x14ac:dyDescent="0.3">
      <c r="J148644"/>
    </row>
    <row r="148645" spans="10:10" x14ac:dyDescent="0.3">
      <c r="J148645"/>
    </row>
    <row r="148646" spans="10:10" x14ac:dyDescent="0.3">
      <c r="J148646"/>
    </row>
    <row r="148647" spans="10:10" x14ac:dyDescent="0.3">
      <c r="J148647"/>
    </row>
    <row r="148648" spans="10:10" x14ac:dyDescent="0.3">
      <c r="J148648"/>
    </row>
    <row r="148649" spans="10:10" x14ac:dyDescent="0.3">
      <c r="J148649"/>
    </row>
    <row r="148650" spans="10:10" x14ac:dyDescent="0.3">
      <c r="J148650"/>
    </row>
    <row r="148651" spans="10:10" x14ac:dyDescent="0.3">
      <c r="J148651"/>
    </row>
    <row r="148652" spans="10:10" x14ac:dyDescent="0.3">
      <c r="J148652"/>
    </row>
    <row r="148653" spans="10:10" x14ac:dyDescent="0.3">
      <c r="J148653"/>
    </row>
    <row r="148654" spans="10:10" x14ac:dyDescent="0.3">
      <c r="J148654"/>
    </row>
    <row r="148655" spans="10:10" x14ac:dyDescent="0.3">
      <c r="J148655"/>
    </row>
    <row r="148656" spans="10:10" x14ac:dyDescent="0.3">
      <c r="J148656"/>
    </row>
    <row r="148657" spans="10:10" x14ac:dyDescent="0.3">
      <c r="J148657"/>
    </row>
    <row r="148658" spans="10:10" x14ac:dyDescent="0.3">
      <c r="J148658"/>
    </row>
    <row r="148659" spans="10:10" x14ac:dyDescent="0.3">
      <c r="J148659"/>
    </row>
    <row r="148660" spans="10:10" x14ac:dyDescent="0.3">
      <c r="J148660"/>
    </row>
    <row r="148661" spans="10:10" x14ac:dyDescent="0.3">
      <c r="J148661"/>
    </row>
    <row r="148662" spans="10:10" x14ac:dyDescent="0.3">
      <c r="J148662"/>
    </row>
    <row r="148663" spans="10:10" x14ac:dyDescent="0.3">
      <c r="J148663"/>
    </row>
    <row r="148664" spans="10:10" x14ac:dyDescent="0.3">
      <c r="J148664"/>
    </row>
    <row r="148665" spans="10:10" x14ac:dyDescent="0.3">
      <c r="J148665"/>
    </row>
    <row r="148666" spans="10:10" x14ac:dyDescent="0.3">
      <c r="J148666"/>
    </row>
    <row r="148667" spans="10:10" x14ac:dyDescent="0.3">
      <c r="J148667"/>
    </row>
    <row r="148668" spans="10:10" x14ac:dyDescent="0.3">
      <c r="J148668"/>
    </row>
    <row r="148669" spans="10:10" x14ac:dyDescent="0.3">
      <c r="J148669"/>
    </row>
    <row r="148670" spans="10:10" x14ac:dyDescent="0.3">
      <c r="J148670"/>
    </row>
    <row r="148671" spans="10:10" x14ac:dyDescent="0.3">
      <c r="J148671"/>
    </row>
    <row r="148672" spans="10:10" x14ac:dyDescent="0.3">
      <c r="J148672"/>
    </row>
    <row r="148673" spans="10:10" x14ac:dyDescent="0.3">
      <c r="J148673"/>
    </row>
    <row r="148674" spans="10:10" x14ac:dyDescent="0.3">
      <c r="J148674"/>
    </row>
    <row r="148675" spans="10:10" x14ac:dyDescent="0.3">
      <c r="J148675"/>
    </row>
    <row r="148676" spans="10:10" x14ac:dyDescent="0.3">
      <c r="J148676"/>
    </row>
    <row r="148677" spans="10:10" x14ac:dyDescent="0.3">
      <c r="J148677"/>
    </row>
    <row r="148678" spans="10:10" x14ac:dyDescent="0.3">
      <c r="J148678"/>
    </row>
    <row r="148679" spans="10:10" x14ac:dyDescent="0.3">
      <c r="J148679"/>
    </row>
    <row r="148680" spans="10:10" x14ac:dyDescent="0.3">
      <c r="J148680"/>
    </row>
    <row r="148681" spans="10:10" x14ac:dyDescent="0.3">
      <c r="J148681"/>
    </row>
    <row r="148682" spans="10:10" x14ac:dyDescent="0.3">
      <c r="J148682"/>
    </row>
    <row r="148683" spans="10:10" x14ac:dyDescent="0.3">
      <c r="J148683"/>
    </row>
    <row r="148684" spans="10:10" x14ac:dyDescent="0.3">
      <c r="J148684"/>
    </row>
    <row r="148685" spans="10:10" x14ac:dyDescent="0.3">
      <c r="J148685"/>
    </row>
    <row r="148686" spans="10:10" x14ac:dyDescent="0.3">
      <c r="J148686"/>
    </row>
    <row r="148687" spans="10:10" x14ac:dyDescent="0.3">
      <c r="J148687"/>
    </row>
    <row r="148688" spans="10:10" x14ac:dyDescent="0.3">
      <c r="J148688"/>
    </row>
    <row r="148689" spans="10:10" x14ac:dyDescent="0.3">
      <c r="J148689"/>
    </row>
    <row r="148690" spans="10:10" x14ac:dyDescent="0.3">
      <c r="J148690"/>
    </row>
    <row r="148691" spans="10:10" x14ac:dyDescent="0.3">
      <c r="J148691"/>
    </row>
    <row r="148692" spans="10:10" x14ac:dyDescent="0.3">
      <c r="J148692"/>
    </row>
    <row r="148693" spans="10:10" x14ac:dyDescent="0.3">
      <c r="J148693"/>
    </row>
    <row r="148694" spans="10:10" x14ac:dyDescent="0.3">
      <c r="J148694"/>
    </row>
    <row r="148695" spans="10:10" x14ac:dyDescent="0.3">
      <c r="J148695"/>
    </row>
    <row r="148696" spans="10:10" x14ac:dyDescent="0.3">
      <c r="J148696"/>
    </row>
    <row r="148697" spans="10:10" x14ac:dyDescent="0.3">
      <c r="J148697"/>
    </row>
    <row r="148698" spans="10:10" x14ac:dyDescent="0.3">
      <c r="J148698"/>
    </row>
    <row r="148699" spans="10:10" x14ac:dyDescent="0.3">
      <c r="J148699"/>
    </row>
    <row r="148700" spans="10:10" x14ac:dyDescent="0.3">
      <c r="J148700"/>
    </row>
    <row r="148701" spans="10:10" x14ac:dyDescent="0.3">
      <c r="J148701"/>
    </row>
    <row r="148702" spans="10:10" x14ac:dyDescent="0.3">
      <c r="J148702"/>
    </row>
    <row r="148703" spans="10:10" x14ac:dyDescent="0.3">
      <c r="J148703"/>
    </row>
    <row r="148704" spans="10:10" x14ac:dyDescent="0.3">
      <c r="J148704"/>
    </row>
    <row r="148705" spans="10:10" x14ac:dyDescent="0.3">
      <c r="J148705"/>
    </row>
    <row r="148706" spans="10:10" x14ac:dyDescent="0.3">
      <c r="J148706"/>
    </row>
    <row r="148707" spans="10:10" x14ac:dyDescent="0.3">
      <c r="J148707"/>
    </row>
    <row r="148708" spans="10:10" x14ac:dyDescent="0.3">
      <c r="J148708"/>
    </row>
    <row r="148709" spans="10:10" x14ac:dyDescent="0.3">
      <c r="J148709"/>
    </row>
    <row r="148710" spans="10:10" x14ac:dyDescent="0.3">
      <c r="J148710"/>
    </row>
    <row r="148711" spans="10:10" x14ac:dyDescent="0.3">
      <c r="J148711"/>
    </row>
    <row r="148712" spans="10:10" x14ac:dyDescent="0.3">
      <c r="J148712"/>
    </row>
    <row r="148713" spans="10:10" x14ac:dyDescent="0.3">
      <c r="J148713"/>
    </row>
    <row r="148714" spans="10:10" x14ac:dyDescent="0.3">
      <c r="J148714"/>
    </row>
    <row r="148715" spans="10:10" x14ac:dyDescent="0.3">
      <c r="J148715"/>
    </row>
    <row r="148716" spans="10:10" x14ac:dyDescent="0.3">
      <c r="J148716"/>
    </row>
    <row r="148717" spans="10:10" x14ac:dyDescent="0.3">
      <c r="J148717"/>
    </row>
    <row r="148718" spans="10:10" x14ac:dyDescent="0.3">
      <c r="J148718"/>
    </row>
    <row r="148719" spans="10:10" x14ac:dyDescent="0.3">
      <c r="J148719"/>
    </row>
    <row r="148720" spans="10:10" x14ac:dyDescent="0.3">
      <c r="J148720"/>
    </row>
    <row r="148721" spans="10:10" x14ac:dyDescent="0.3">
      <c r="J148721"/>
    </row>
    <row r="148722" spans="10:10" x14ac:dyDescent="0.3">
      <c r="J148722"/>
    </row>
    <row r="148723" spans="10:10" x14ac:dyDescent="0.3">
      <c r="J148723"/>
    </row>
    <row r="148724" spans="10:10" x14ac:dyDescent="0.3">
      <c r="J148724"/>
    </row>
    <row r="148725" spans="10:10" x14ac:dyDescent="0.3">
      <c r="J148725"/>
    </row>
    <row r="148726" spans="10:10" x14ac:dyDescent="0.3">
      <c r="J148726"/>
    </row>
    <row r="148727" spans="10:10" x14ac:dyDescent="0.3">
      <c r="J148727"/>
    </row>
    <row r="148728" spans="10:10" x14ac:dyDescent="0.3">
      <c r="J148728"/>
    </row>
    <row r="148729" spans="10:10" x14ac:dyDescent="0.3">
      <c r="J148729"/>
    </row>
    <row r="148730" spans="10:10" x14ac:dyDescent="0.3">
      <c r="J148730"/>
    </row>
    <row r="148731" spans="10:10" x14ac:dyDescent="0.3">
      <c r="J148731"/>
    </row>
    <row r="148732" spans="10:10" x14ac:dyDescent="0.3">
      <c r="J148732"/>
    </row>
    <row r="148733" spans="10:10" x14ac:dyDescent="0.3">
      <c r="J148733"/>
    </row>
    <row r="148734" spans="10:10" x14ac:dyDescent="0.3">
      <c r="J148734"/>
    </row>
    <row r="148735" spans="10:10" x14ac:dyDescent="0.3">
      <c r="J148735"/>
    </row>
    <row r="148736" spans="10:10" x14ac:dyDescent="0.3">
      <c r="J148736"/>
    </row>
    <row r="148737" spans="10:10" x14ac:dyDescent="0.3">
      <c r="J148737"/>
    </row>
    <row r="148738" spans="10:10" x14ac:dyDescent="0.3">
      <c r="J148738"/>
    </row>
    <row r="148739" spans="10:10" x14ac:dyDescent="0.3">
      <c r="J148739"/>
    </row>
    <row r="148740" spans="10:10" x14ac:dyDescent="0.3">
      <c r="J148740"/>
    </row>
    <row r="148741" spans="10:10" x14ac:dyDescent="0.3">
      <c r="J148741"/>
    </row>
    <row r="148742" spans="10:10" x14ac:dyDescent="0.3">
      <c r="J148742"/>
    </row>
    <row r="148743" spans="10:10" x14ac:dyDescent="0.3">
      <c r="J148743"/>
    </row>
    <row r="148744" spans="10:10" x14ac:dyDescent="0.3">
      <c r="J148744"/>
    </row>
    <row r="148745" spans="10:10" x14ac:dyDescent="0.3">
      <c r="J148745"/>
    </row>
    <row r="148746" spans="10:10" x14ac:dyDescent="0.3">
      <c r="J148746"/>
    </row>
    <row r="148747" spans="10:10" x14ac:dyDescent="0.3">
      <c r="J148747"/>
    </row>
    <row r="148748" spans="10:10" x14ac:dyDescent="0.3">
      <c r="J148748"/>
    </row>
    <row r="148749" spans="10:10" x14ac:dyDescent="0.3">
      <c r="J148749"/>
    </row>
    <row r="148750" spans="10:10" x14ac:dyDescent="0.3">
      <c r="J148750"/>
    </row>
    <row r="148751" spans="10:10" x14ac:dyDescent="0.3">
      <c r="J148751"/>
    </row>
    <row r="148752" spans="10:10" x14ac:dyDescent="0.3">
      <c r="J148752"/>
    </row>
    <row r="148753" spans="10:10" x14ac:dyDescent="0.3">
      <c r="J148753"/>
    </row>
    <row r="148754" spans="10:10" x14ac:dyDescent="0.3">
      <c r="J148754"/>
    </row>
    <row r="148755" spans="10:10" x14ac:dyDescent="0.3">
      <c r="J148755"/>
    </row>
    <row r="148756" spans="10:10" x14ac:dyDescent="0.3">
      <c r="J148756"/>
    </row>
    <row r="148757" spans="10:10" x14ac:dyDescent="0.3">
      <c r="J148757"/>
    </row>
    <row r="148758" spans="10:10" x14ac:dyDescent="0.3">
      <c r="J148758"/>
    </row>
    <row r="148759" spans="10:10" x14ac:dyDescent="0.3">
      <c r="J148759"/>
    </row>
    <row r="148760" spans="10:10" x14ac:dyDescent="0.3">
      <c r="J148760"/>
    </row>
    <row r="148761" spans="10:10" x14ac:dyDescent="0.3">
      <c r="J148761"/>
    </row>
    <row r="148762" spans="10:10" x14ac:dyDescent="0.3">
      <c r="J148762"/>
    </row>
    <row r="148763" spans="10:10" x14ac:dyDescent="0.3">
      <c r="J148763"/>
    </row>
    <row r="148764" spans="10:10" x14ac:dyDescent="0.3">
      <c r="J148764"/>
    </row>
    <row r="148765" spans="10:10" x14ac:dyDescent="0.3">
      <c r="J148765"/>
    </row>
    <row r="148766" spans="10:10" x14ac:dyDescent="0.3">
      <c r="J148766"/>
    </row>
    <row r="148767" spans="10:10" x14ac:dyDescent="0.3">
      <c r="J148767"/>
    </row>
    <row r="148768" spans="10:10" x14ac:dyDescent="0.3">
      <c r="J148768"/>
    </row>
    <row r="148769" spans="10:10" x14ac:dyDescent="0.3">
      <c r="J148769"/>
    </row>
    <row r="148770" spans="10:10" x14ac:dyDescent="0.3">
      <c r="J148770"/>
    </row>
    <row r="148771" spans="10:10" x14ac:dyDescent="0.3">
      <c r="J148771"/>
    </row>
    <row r="148772" spans="10:10" x14ac:dyDescent="0.3">
      <c r="J148772"/>
    </row>
    <row r="148773" spans="10:10" x14ac:dyDescent="0.3">
      <c r="J148773"/>
    </row>
    <row r="148774" spans="10:10" x14ac:dyDescent="0.3">
      <c r="J148774"/>
    </row>
    <row r="148775" spans="10:10" x14ac:dyDescent="0.3">
      <c r="J148775"/>
    </row>
    <row r="148776" spans="10:10" x14ac:dyDescent="0.3">
      <c r="J148776"/>
    </row>
    <row r="148777" spans="10:10" x14ac:dyDescent="0.3">
      <c r="J148777"/>
    </row>
    <row r="148778" spans="10:10" x14ac:dyDescent="0.3">
      <c r="J148778"/>
    </row>
    <row r="148779" spans="10:10" x14ac:dyDescent="0.3">
      <c r="J148779"/>
    </row>
    <row r="148780" spans="10:10" x14ac:dyDescent="0.3">
      <c r="J148780"/>
    </row>
    <row r="148781" spans="10:10" x14ac:dyDescent="0.3">
      <c r="J148781"/>
    </row>
    <row r="148782" spans="10:10" x14ac:dyDescent="0.3">
      <c r="J148782"/>
    </row>
    <row r="148783" spans="10:10" x14ac:dyDescent="0.3">
      <c r="J148783"/>
    </row>
    <row r="148784" spans="10:10" x14ac:dyDescent="0.3">
      <c r="J148784"/>
    </row>
    <row r="148785" spans="10:10" x14ac:dyDescent="0.3">
      <c r="J148785"/>
    </row>
    <row r="148786" spans="10:10" x14ac:dyDescent="0.3">
      <c r="J148786"/>
    </row>
    <row r="148787" spans="10:10" x14ac:dyDescent="0.3">
      <c r="J148787"/>
    </row>
    <row r="148788" spans="10:10" x14ac:dyDescent="0.3">
      <c r="J148788"/>
    </row>
    <row r="148789" spans="10:10" x14ac:dyDescent="0.3">
      <c r="J148789"/>
    </row>
    <row r="148790" spans="10:10" x14ac:dyDescent="0.3">
      <c r="J148790"/>
    </row>
    <row r="148791" spans="10:10" x14ac:dyDescent="0.3">
      <c r="J148791"/>
    </row>
    <row r="148792" spans="10:10" x14ac:dyDescent="0.3">
      <c r="J148792"/>
    </row>
    <row r="148793" spans="10:10" x14ac:dyDescent="0.3">
      <c r="J148793"/>
    </row>
    <row r="148794" spans="10:10" x14ac:dyDescent="0.3">
      <c r="J148794"/>
    </row>
    <row r="148795" spans="10:10" x14ac:dyDescent="0.3">
      <c r="J148795"/>
    </row>
    <row r="148796" spans="10:10" x14ac:dyDescent="0.3">
      <c r="J148796"/>
    </row>
    <row r="148797" spans="10:10" x14ac:dyDescent="0.3">
      <c r="J148797"/>
    </row>
    <row r="148798" spans="10:10" x14ac:dyDescent="0.3">
      <c r="J148798"/>
    </row>
    <row r="148799" spans="10:10" x14ac:dyDescent="0.3">
      <c r="J148799"/>
    </row>
    <row r="148800" spans="10:10" x14ac:dyDescent="0.3">
      <c r="J148800"/>
    </row>
    <row r="148801" spans="10:10" x14ac:dyDescent="0.3">
      <c r="J148801"/>
    </row>
    <row r="148802" spans="10:10" x14ac:dyDescent="0.3">
      <c r="J148802"/>
    </row>
    <row r="148803" spans="10:10" x14ac:dyDescent="0.3">
      <c r="J148803"/>
    </row>
    <row r="148804" spans="10:10" x14ac:dyDescent="0.3">
      <c r="J148804"/>
    </row>
    <row r="148805" spans="10:10" x14ac:dyDescent="0.3">
      <c r="J148805"/>
    </row>
    <row r="148806" spans="10:10" x14ac:dyDescent="0.3">
      <c r="J148806"/>
    </row>
    <row r="148807" spans="10:10" x14ac:dyDescent="0.3">
      <c r="J148807"/>
    </row>
    <row r="148808" spans="10:10" x14ac:dyDescent="0.3">
      <c r="J148808"/>
    </row>
    <row r="148809" spans="10:10" x14ac:dyDescent="0.3">
      <c r="J148809"/>
    </row>
    <row r="148810" spans="10:10" x14ac:dyDescent="0.3">
      <c r="J148810"/>
    </row>
    <row r="148811" spans="10:10" x14ac:dyDescent="0.3">
      <c r="J148811"/>
    </row>
    <row r="148812" spans="10:10" x14ac:dyDescent="0.3">
      <c r="J148812"/>
    </row>
    <row r="148813" spans="10:10" x14ac:dyDescent="0.3">
      <c r="J148813"/>
    </row>
    <row r="148814" spans="10:10" x14ac:dyDescent="0.3">
      <c r="J148814"/>
    </row>
    <row r="148815" spans="10:10" x14ac:dyDescent="0.3">
      <c r="J148815"/>
    </row>
    <row r="148816" spans="10:10" x14ac:dyDescent="0.3">
      <c r="J148816"/>
    </row>
    <row r="148817" spans="10:10" x14ac:dyDescent="0.3">
      <c r="J148817"/>
    </row>
    <row r="148818" spans="10:10" x14ac:dyDescent="0.3">
      <c r="J148818"/>
    </row>
    <row r="148819" spans="10:10" x14ac:dyDescent="0.3">
      <c r="J148819"/>
    </row>
    <row r="148820" spans="10:10" x14ac:dyDescent="0.3">
      <c r="J148820"/>
    </row>
    <row r="148821" spans="10:10" x14ac:dyDescent="0.3">
      <c r="J148821"/>
    </row>
    <row r="148822" spans="10:10" x14ac:dyDescent="0.3">
      <c r="J148822"/>
    </row>
    <row r="148823" spans="10:10" x14ac:dyDescent="0.3">
      <c r="J148823"/>
    </row>
    <row r="148824" spans="10:10" x14ac:dyDescent="0.3">
      <c r="J148824"/>
    </row>
    <row r="148825" spans="10:10" x14ac:dyDescent="0.3">
      <c r="J148825"/>
    </row>
    <row r="148826" spans="10:10" x14ac:dyDescent="0.3">
      <c r="J148826"/>
    </row>
    <row r="148827" spans="10:10" x14ac:dyDescent="0.3">
      <c r="J148827"/>
    </row>
    <row r="148828" spans="10:10" x14ac:dyDescent="0.3">
      <c r="J148828"/>
    </row>
    <row r="148829" spans="10:10" x14ac:dyDescent="0.3">
      <c r="J148829"/>
    </row>
    <row r="148830" spans="10:10" x14ac:dyDescent="0.3">
      <c r="J148830"/>
    </row>
    <row r="148831" spans="10:10" x14ac:dyDescent="0.3">
      <c r="J148831"/>
    </row>
    <row r="148832" spans="10:10" x14ac:dyDescent="0.3">
      <c r="J148832"/>
    </row>
    <row r="148833" spans="10:10" x14ac:dyDescent="0.3">
      <c r="J148833"/>
    </row>
    <row r="148834" spans="10:10" x14ac:dyDescent="0.3">
      <c r="J148834"/>
    </row>
    <row r="148835" spans="10:10" x14ac:dyDescent="0.3">
      <c r="J148835"/>
    </row>
    <row r="148836" spans="10:10" x14ac:dyDescent="0.3">
      <c r="J148836"/>
    </row>
    <row r="148837" spans="10:10" x14ac:dyDescent="0.3">
      <c r="J148837"/>
    </row>
    <row r="148838" spans="10:10" x14ac:dyDescent="0.3">
      <c r="J148838"/>
    </row>
    <row r="148839" spans="10:10" x14ac:dyDescent="0.3">
      <c r="J148839"/>
    </row>
    <row r="148840" spans="10:10" x14ac:dyDescent="0.3">
      <c r="J148840"/>
    </row>
    <row r="148841" spans="10:10" x14ac:dyDescent="0.3">
      <c r="J148841"/>
    </row>
    <row r="148842" spans="10:10" x14ac:dyDescent="0.3">
      <c r="J148842"/>
    </row>
    <row r="148843" spans="10:10" x14ac:dyDescent="0.3">
      <c r="J148843"/>
    </row>
    <row r="148844" spans="10:10" x14ac:dyDescent="0.3">
      <c r="J148844"/>
    </row>
    <row r="148845" spans="10:10" x14ac:dyDescent="0.3">
      <c r="J148845"/>
    </row>
    <row r="148846" spans="10:10" x14ac:dyDescent="0.3">
      <c r="J148846"/>
    </row>
    <row r="148847" spans="10:10" x14ac:dyDescent="0.3">
      <c r="J148847"/>
    </row>
    <row r="148848" spans="10:10" x14ac:dyDescent="0.3">
      <c r="J148848"/>
    </row>
    <row r="148849" spans="10:10" x14ac:dyDescent="0.3">
      <c r="J148849"/>
    </row>
    <row r="148850" spans="10:10" x14ac:dyDescent="0.3">
      <c r="J148850"/>
    </row>
    <row r="148851" spans="10:10" x14ac:dyDescent="0.3">
      <c r="J148851"/>
    </row>
    <row r="148852" spans="10:10" x14ac:dyDescent="0.3">
      <c r="J148852"/>
    </row>
    <row r="148853" spans="10:10" x14ac:dyDescent="0.3">
      <c r="J148853"/>
    </row>
    <row r="148854" spans="10:10" x14ac:dyDescent="0.3">
      <c r="J148854"/>
    </row>
    <row r="148855" spans="10:10" x14ac:dyDescent="0.3">
      <c r="J148855"/>
    </row>
    <row r="148856" spans="10:10" x14ac:dyDescent="0.3">
      <c r="J148856"/>
    </row>
    <row r="148857" spans="10:10" x14ac:dyDescent="0.3">
      <c r="J148857"/>
    </row>
    <row r="148858" spans="10:10" x14ac:dyDescent="0.3">
      <c r="J148858"/>
    </row>
    <row r="148859" spans="10:10" x14ac:dyDescent="0.3">
      <c r="J148859"/>
    </row>
    <row r="148860" spans="10:10" x14ac:dyDescent="0.3">
      <c r="J148860"/>
    </row>
    <row r="148861" spans="10:10" x14ac:dyDescent="0.3">
      <c r="J148861"/>
    </row>
    <row r="148862" spans="10:10" x14ac:dyDescent="0.3">
      <c r="J148862"/>
    </row>
    <row r="148863" spans="10:10" x14ac:dyDescent="0.3">
      <c r="J148863"/>
    </row>
    <row r="148864" spans="10:10" x14ac:dyDescent="0.3">
      <c r="J148864"/>
    </row>
    <row r="148865" spans="10:10" x14ac:dyDescent="0.3">
      <c r="J148865"/>
    </row>
    <row r="148866" spans="10:10" x14ac:dyDescent="0.3">
      <c r="J148866"/>
    </row>
    <row r="148867" spans="10:10" x14ac:dyDescent="0.3">
      <c r="J148867"/>
    </row>
    <row r="148868" spans="10:10" x14ac:dyDescent="0.3">
      <c r="J148868"/>
    </row>
    <row r="148869" spans="10:10" x14ac:dyDescent="0.3">
      <c r="J148869"/>
    </row>
    <row r="148870" spans="10:10" x14ac:dyDescent="0.3">
      <c r="J148870"/>
    </row>
    <row r="148871" spans="10:10" x14ac:dyDescent="0.3">
      <c r="J148871"/>
    </row>
    <row r="148872" spans="10:10" x14ac:dyDescent="0.3">
      <c r="J148872"/>
    </row>
    <row r="148873" spans="10:10" x14ac:dyDescent="0.3">
      <c r="J148873"/>
    </row>
    <row r="148874" spans="10:10" x14ac:dyDescent="0.3">
      <c r="J148874"/>
    </row>
    <row r="148875" spans="10:10" x14ac:dyDescent="0.3">
      <c r="J148875"/>
    </row>
    <row r="148876" spans="10:10" x14ac:dyDescent="0.3">
      <c r="J148876"/>
    </row>
    <row r="148877" spans="10:10" x14ac:dyDescent="0.3">
      <c r="J148877"/>
    </row>
    <row r="148878" spans="10:10" x14ac:dyDescent="0.3">
      <c r="J148878"/>
    </row>
    <row r="148879" spans="10:10" x14ac:dyDescent="0.3">
      <c r="J148879"/>
    </row>
    <row r="148880" spans="10:10" x14ac:dyDescent="0.3">
      <c r="J148880"/>
    </row>
    <row r="148881" spans="10:10" x14ac:dyDescent="0.3">
      <c r="J148881"/>
    </row>
    <row r="148882" spans="10:10" x14ac:dyDescent="0.3">
      <c r="J148882"/>
    </row>
    <row r="148883" spans="10:10" x14ac:dyDescent="0.3">
      <c r="J148883"/>
    </row>
    <row r="148884" spans="10:10" x14ac:dyDescent="0.3">
      <c r="J148884"/>
    </row>
    <row r="148885" spans="10:10" x14ac:dyDescent="0.3">
      <c r="J148885"/>
    </row>
    <row r="148886" spans="10:10" x14ac:dyDescent="0.3">
      <c r="J148886"/>
    </row>
    <row r="148887" spans="10:10" x14ac:dyDescent="0.3">
      <c r="J148887"/>
    </row>
    <row r="148888" spans="10:10" x14ac:dyDescent="0.3">
      <c r="J148888"/>
    </row>
    <row r="148889" spans="10:10" x14ac:dyDescent="0.3">
      <c r="J148889"/>
    </row>
    <row r="148890" spans="10:10" x14ac:dyDescent="0.3">
      <c r="J148890"/>
    </row>
    <row r="148891" spans="10:10" x14ac:dyDescent="0.3">
      <c r="J148891"/>
    </row>
    <row r="148892" spans="10:10" x14ac:dyDescent="0.3">
      <c r="J148892"/>
    </row>
    <row r="148893" spans="10:10" x14ac:dyDescent="0.3">
      <c r="J148893"/>
    </row>
    <row r="148894" spans="10:10" x14ac:dyDescent="0.3">
      <c r="J148894"/>
    </row>
    <row r="148895" spans="10:10" x14ac:dyDescent="0.3">
      <c r="J148895"/>
    </row>
    <row r="148896" spans="10:10" x14ac:dyDescent="0.3">
      <c r="J148896"/>
    </row>
    <row r="148897" spans="10:10" x14ac:dyDescent="0.3">
      <c r="J148897"/>
    </row>
    <row r="148898" spans="10:10" x14ac:dyDescent="0.3">
      <c r="J148898"/>
    </row>
    <row r="148899" spans="10:10" x14ac:dyDescent="0.3">
      <c r="J148899"/>
    </row>
    <row r="148900" spans="10:10" x14ac:dyDescent="0.3">
      <c r="J148900"/>
    </row>
    <row r="148901" spans="10:10" x14ac:dyDescent="0.3">
      <c r="J148901"/>
    </row>
    <row r="148902" spans="10:10" x14ac:dyDescent="0.3">
      <c r="J148902"/>
    </row>
    <row r="148903" spans="10:10" x14ac:dyDescent="0.3">
      <c r="J148903"/>
    </row>
    <row r="148904" spans="10:10" x14ac:dyDescent="0.3">
      <c r="J148904"/>
    </row>
    <row r="148905" spans="10:10" x14ac:dyDescent="0.3">
      <c r="J148905"/>
    </row>
    <row r="148906" spans="10:10" x14ac:dyDescent="0.3">
      <c r="J148906"/>
    </row>
    <row r="148907" spans="10:10" x14ac:dyDescent="0.3">
      <c r="J148907"/>
    </row>
    <row r="148908" spans="10:10" x14ac:dyDescent="0.3">
      <c r="J148908"/>
    </row>
    <row r="148909" spans="10:10" x14ac:dyDescent="0.3">
      <c r="J148909"/>
    </row>
    <row r="148910" spans="10:10" x14ac:dyDescent="0.3">
      <c r="J148910"/>
    </row>
    <row r="148911" spans="10:10" x14ac:dyDescent="0.3">
      <c r="J148911"/>
    </row>
    <row r="148912" spans="10:10" x14ac:dyDescent="0.3">
      <c r="J148912"/>
    </row>
    <row r="148913" spans="10:10" x14ac:dyDescent="0.3">
      <c r="J148913"/>
    </row>
    <row r="148914" spans="10:10" x14ac:dyDescent="0.3">
      <c r="J148914"/>
    </row>
    <row r="148915" spans="10:10" x14ac:dyDescent="0.3">
      <c r="J148915"/>
    </row>
    <row r="148916" spans="10:10" x14ac:dyDescent="0.3">
      <c r="J148916"/>
    </row>
    <row r="148917" spans="10:10" x14ac:dyDescent="0.3">
      <c r="J148917"/>
    </row>
    <row r="148918" spans="10:10" x14ac:dyDescent="0.3">
      <c r="J148918"/>
    </row>
    <row r="148919" spans="10:10" x14ac:dyDescent="0.3">
      <c r="J148919"/>
    </row>
    <row r="148920" spans="10:10" x14ac:dyDescent="0.3">
      <c r="J148920"/>
    </row>
    <row r="148921" spans="10:10" x14ac:dyDescent="0.3">
      <c r="J148921"/>
    </row>
    <row r="148922" spans="10:10" x14ac:dyDescent="0.3">
      <c r="J148922"/>
    </row>
    <row r="148923" spans="10:10" x14ac:dyDescent="0.3">
      <c r="J148923"/>
    </row>
    <row r="148924" spans="10:10" x14ac:dyDescent="0.3">
      <c r="J148924"/>
    </row>
    <row r="148925" spans="10:10" x14ac:dyDescent="0.3">
      <c r="J148925"/>
    </row>
    <row r="148926" spans="10:10" x14ac:dyDescent="0.3">
      <c r="J148926"/>
    </row>
    <row r="148927" spans="10:10" x14ac:dyDescent="0.3">
      <c r="J148927"/>
    </row>
    <row r="148928" spans="10:10" x14ac:dyDescent="0.3">
      <c r="J148928"/>
    </row>
    <row r="148929" spans="10:10" x14ac:dyDescent="0.3">
      <c r="J148929"/>
    </row>
    <row r="148930" spans="10:10" x14ac:dyDescent="0.3">
      <c r="J148930"/>
    </row>
    <row r="148931" spans="10:10" x14ac:dyDescent="0.3">
      <c r="J148931"/>
    </row>
    <row r="148932" spans="10:10" x14ac:dyDescent="0.3">
      <c r="J148932"/>
    </row>
    <row r="148933" spans="10:10" x14ac:dyDescent="0.3">
      <c r="J148933"/>
    </row>
    <row r="148934" spans="10:10" x14ac:dyDescent="0.3">
      <c r="J148934"/>
    </row>
    <row r="148935" spans="10:10" x14ac:dyDescent="0.3">
      <c r="J148935"/>
    </row>
    <row r="148936" spans="10:10" x14ac:dyDescent="0.3">
      <c r="J148936"/>
    </row>
    <row r="148937" spans="10:10" x14ac:dyDescent="0.3">
      <c r="J148937"/>
    </row>
    <row r="148938" spans="10:10" x14ac:dyDescent="0.3">
      <c r="J148938"/>
    </row>
    <row r="148939" spans="10:10" x14ac:dyDescent="0.3">
      <c r="J148939"/>
    </row>
    <row r="148940" spans="10:10" x14ac:dyDescent="0.3">
      <c r="J148940"/>
    </row>
    <row r="148941" spans="10:10" x14ac:dyDescent="0.3">
      <c r="J148941"/>
    </row>
    <row r="148942" spans="10:10" x14ac:dyDescent="0.3">
      <c r="J148942"/>
    </row>
    <row r="148943" spans="10:10" x14ac:dyDescent="0.3">
      <c r="J148943"/>
    </row>
    <row r="148944" spans="10:10" x14ac:dyDescent="0.3">
      <c r="J148944"/>
    </row>
    <row r="148945" spans="10:10" x14ac:dyDescent="0.3">
      <c r="J148945"/>
    </row>
    <row r="148946" spans="10:10" x14ac:dyDescent="0.3">
      <c r="J148946"/>
    </row>
    <row r="148947" spans="10:10" x14ac:dyDescent="0.3">
      <c r="J148947"/>
    </row>
    <row r="148948" spans="10:10" x14ac:dyDescent="0.3">
      <c r="J148948"/>
    </row>
    <row r="148949" spans="10:10" x14ac:dyDescent="0.3">
      <c r="J148949"/>
    </row>
    <row r="148950" spans="10:10" x14ac:dyDescent="0.3">
      <c r="J148950"/>
    </row>
    <row r="148951" spans="10:10" x14ac:dyDescent="0.3">
      <c r="J148951"/>
    </row>
    <row r="148952" spans="10:10" x14ac:dyDescent="0.3">
      <c r="J148952"/>
    </row>
    <row r="148953" spans="10:10" x14ac:dyDescent="0.3">
      <c r="J148953"/>
    </row>
    <row r="148954" spans="10:10" x14ac:dyDescent="0.3">
      <c r="J148954"/>
    </row>
    <row r="148955" spans="10:10" x14ac:dyDescent="0.3">
      <c r="J148955"/>
    </row>
    <row r="148956" spans="10:10" x14ac:dyDescent="0.3">
      <c r="J148956"/>
    </row>
    <row r="148957" spans="10:10" x14ac:dyDescent="0.3">
      <c r="J148957"/>
    </row>
    <row r="148958" spans="10:10" x14ac:dyDescent="0.3">
      <c r="J148958"/>
    </row>
    <row r="148959" spans="10:10" x14ac:dyDescent="0.3">
      <c r="J148959"/>
    </row>
    <row r="148960" spans="10:10" x14ac:dyDescent="0.3">
      <c r="J148960"/>
    </row>
    <row r="148961" spans="10:10" x14ac:dyDescent="0.3">
      <c r="J148961"/>
    </row>
    <row r="148962" spans="10:10" x14ac:dyDescent="0.3">
      <c r="J148962"/>
    </row>
    <row r="148963" spans="10:10" x14ac:dyDescent="0.3">
      <c r="J148963"/>
    </row>
    <row r="148964" spans="10:10" x14ac:dyDescent="0.3">
      <c r="J148964"/>
    </row>
    <row r="148965" spans="10:10" x14ac:dyDescent="0.3">
      <c r="J148965"/>
    </row>
    <row r="148966" spans="10:10" x14ac:dyDescent="0.3">
      <c r="J148966"/>
    </row>
    <row r="148967" spans="10:10" x14ac:dyDescent="0.3">
      <c r="J148967"/>
    </row>
    <row r="148968" spans="10:10" x14ac:dyDescent="0.3">
      <c r="J148968"/>
    </row>
    <row r="148969" spans="10:10" x14ac:dyDescent="0.3">
      <c r="J148969"/>
    </row>
    <row r="148970" spans="10:10" x14ac:dyDescent="0.3">
      <c r="J148970"/>
    </row>
    <row r="148971" spans="10:10" x14ac:dyDescent="0.3">
      <c r="J148971"/>
    </row>
    <row r="148972" spans="10:10" x14ac:dyDescent="0.3">
      <c r="J148972"/>
    </row>
    <row r="148973" spans="10:10" x14ac:dyDescent="0.3">
      <c r="J148973"/>
    </row>
    <row r="148974" spans="10:10" x14ac:dyDescent="0.3">
      <c r="J148974"/>
    </row>
    <row r="148975" spans="10:10" x14ac:dyDescent="0.3">
      <c r="J148975"/>
    </row>
    <row r="148976" spans="10:10" x14ac:dyDescent="0.3">
      <c r="J148976"/>
    </row>
    <row r="148977" spans="10:10" x14ac:dyDescent="0.3">
      <c r="J148977"/>
    </row>
    <row r="148978" spans="10:10" x14ac:dyDescent="0.3">
      <c r="J148978"/>
    </row>
    <row r="148979" spans="10:10" x14ac:dyDescent="0.3">
      <c r="J148979"/>
    </row>
    <row r="148980" spans="10:10" x14ac:dyDescent="0.3">
      <c r="J148980"/>
    </row>
    <row r="148981" spans="10:10" x14ac:dyDescent="0.3">
      <c r="J148981"/>
    </row>
    <row r="148982" spans="10:10" x14ac:dyDescent="0.3">
      <c r="J148982"/>
    </row>
    <row r="148983" spans="10:10" x14ac:dyDescent="0.3">
      <c r="J148983"/>
    </row>
    <row r="148984" spans="10:10" x14ac:dyDescent="0.3">
      <c r="J148984"/>
    </row>
    <row r="148985" spans="10:10" x14ac:dyDescent="0.3">
      <c r="J148985"/>
    </row>
    <row r="148986" spans="10:10" x14ac:dyDescent="0.3">
      <c r="J148986"/>
    </row>
    <row r="148987" spans="10:10" x14ac:dyDescent="0.3">
      <c r="J148987"/>
    </row>
    <row r="148988" spans="10:10" x14ac:dyDescent="0.3">
      <c r="J148988"/>
    </row>
    <row r="148989" spans="10:10" x14ac:dyDescent="0.3">
      <c r="J148989"/>
    </row>
    <row r="148990" spans="10:10" x14ac:dyDescent="0.3">
      <c r="J148990"/>
    </row>
    <row r="148991" spans="10:10" x14ac:dyDescent="0.3">
      <c r="J148991"/>
    </row>
    <row r="148992" spans="10:10" x14ac:dyDescent="0.3">
      <c r="J148992"/>
    </row>
    <row r="148993" spans="10:10" x14ac:dyDescent="0.3">
      <c r="J148993"/>
    </row>
    <row r="148994" spans="10:10" x14ac:dyDescent="0.3">
      <c r="J148994"/>
    </row>
    <row r="148995" spans="10:10" x14ac:dyDescent="0.3">
      <c r="J148995"/>
    </row>
    <row r="148996" spans="10:10" x14ac:dyDescent="0.3">
      <c r="J148996"/>
    </row>
    <row r="148997" spans="10:10" x14ac:dyDescent="0.3">
      <c r="J148997"/>
    </row>
    <row r="148998" spans="10:10" x14ac:dyDescent="0.3">
      <c r="J148998"/>
    </row>
    <row r="148999" spans="10:10" x14ac:dyDescent="0.3">
      <c r="J148999"/>
    </row>
    <row r="149000" spans="10:10" x14ac:dyDescent="0.3">
      <c r="J149000"/>
    </row>
    <row r="149001" spans="10:10" x14ac:dyDescent="0.3">
      <c r="J149001"/>
    </row>
    <row r="149002" spans="10:10" x14ac:dyDescent="0.3">
      <c r="J149002"/>
    </row>
    <row r="149003" spans="10:10" x14ac:dyDescent="0.3">
      <c r="J149003"/>
    </row>
    <row r="149004" spans="10:10" x14ac:dyDescent="0.3">
      <c r="J149004"/>
    </row>
    <row r="149005" spans="10:10" x14ac:dyDescent="0.3">
      <c r="J149005"/>
    </row>
    <row r="149006" spans="10:10" x14ac:dyDescent="0.3">
      <c r="J149006"/>
    </row>
    <row r="149007" spans="10:10" x14ac:dyDescent="0.3">
      <c r="J149007"/>
    </row>
    <row r="149008" spans="10:10" x14ac:dyDescent="0.3">
      <c r="J149008"/>
    </row>
    <row r="149009" spans="10:10" x14ac:dyDescent="0.3">
      <c r="J149009"/>
    </row>
    <row r="149010" spans="10:10" x14ac:dyDescent="0.3">
      <c r="J149010"/>
    </row>
    <row r="149011" spans="10:10" x14ac:dyDescent="0.3">
      <c r="J149011"/>
    </row>
    <row r="149012" spans="10:10" x14ac:dyDescent="0.3">
      <c r="J149012"/>
    </row>
    <row r="149013" spans="10:10" x14ac:dyDescent="0.3">
      <c r="J149013"/>
    </row>
    <row r="149014" spans="10:10" x14ac:dyDescent="0.3">
      <c r="J149014"/>
    </row>
    <row r="149015" spans="10:10" x14ac:dyDescent="0.3">
      <c r="J149015"/>
    </row>
    <row r="149016" spans="10:10" x14ac:dyDescent="0.3">
      <c r="J149016"/>
    </row>
    <row r="149017" spans="10:10" x14ac:dyDescent="0.3">
      <c r="J149017"/>
    </row>
    <row r="149018" spans="10:10" x14ac:dyDescent="0.3">
      <c r="J149018"/>
    </row>
    <row r="149019" spans="10:10" x14ac:dyDescent="0.3">
      <c r="J149019"/>
    </row>
    <row r="149020" spans="10:10" x14ac:dyDescent="0.3">
      <c r="J149020"/>
    </row>
    <row r="149021" spans="10:10" x14ac:dyDescent="0.3">
      <c r="J149021"/>
    </row>
    <row r="149022" spans="10:10" x14ac:dyDescent="0.3">
      <c r="J149022"/>
    </row>
    <row r="149023" spans="10:10" x14ac:dyDescent="0.3">
      <c r="J149023"/>
    </row>
    <row r="149024" spans="10:10" x14ac:dyDescent="0.3">
      <c r="J149024"/>
    </row>
    <row r="149025" spans="10:10" x14ac:dyDescent="0.3">
      <c r="J149025"/>
    </row>
    <row r="149026" spans="10:10" x14ac:dyDescent="0.3">
      <c r="J149026"/>
    </row>
    <row r="149027" spans="10:10" x14ac:dyDescent="0.3">
      <c r="J149027"/>
    </row>
    <row r="149028" spans="10:10" x14ac:dyDescent="0.3">
      <c r="J149028"/>
    </row>
    <row r="149029" spans="10:10" x14ac:dyDescent="0.3">
      <c r="J149029"/>
    </row>
    <row r="149030" spans="10:10" x14ac:dyDescent="0.3">
      <c r="J149030"/>
    </row>
    <row r="149031" spans="10:10" x14ac:dyDescent="0.3">
      <c r="J149031"/>
    </row>
    <row r="149032" spans="10:10" x14ac:dyDescent="0.3">
      <c r="J149032"/>
    </row>
    <row r="149033" spans="10:10" x14ac:dyDescent="0.3">
      <c r="J149033"/>
    </row>
    <row r="149034" spans="10:10" x14ac:dyDescent="0.3">
      <c r="J149034"/>
    </row>
    <row r="149035" spans="10:10" x14ac:dyDescent="0.3">
      <c r="J149035"/>
    </row>
    <row r="149036" spans="10:10" x14ac:dyDescent="0.3">
      <c r="J149036"/>
    </row>
    <row r="149037" spans="10:10" x14ac:dyDescent="0.3">
      <c r="J149037"/>
    </row>
    <row r="149038" spans="10:10" x14ac:dyDescent="0.3">
      <c r="J149038"/>
    </row>
    <row r="149039" spans="10:10" x14ac:dyDescent="0.3">
      <c r="J149039"/>
    </row>
    <row r="149040" spans="10:10" x14ac:dyDescent="0.3">
      <c r="J149040"/>
    </row>
    <row r="149041" spans="10:10" x14ac:dyDescent="0.3">
      <c r="J149041"/>
    </row>
    <row r="149042" spans="10:10" x14ac:dyDescent="0.3">
      <c r="J149042"/>
    </row>
    <row r="149043" spans="10:10" x14ac:dyDescent="0.3">
      <c r="J149043"/>
    </row>
    <row r="149044" spans="10:10" x14ac:dyDescent="0.3">
      <c r="J149044"/>
    </row>
    <row r="149045" spans="10:10" x14ac:dyDescent="0.3">
      <c r="J149045"/>
    </row>
    <row r="149046" spans="10:10" x14ac:dyDescent="0.3">
      <c r="J149046"/>
    </row>
    <row r="149047" spans="10:10" x14ac:dyDescent="0.3">
      <c r="J149047"/>
    </row>
    <row r="149048" spans="10:10" x14ac:dyDescent="0.3">
      <c r="J149048"/>
    </row>
    <row r="149049" spans="10:10" x14ac:dyDescent="0.3">
      <c r="J149049"/>
    </row>
    <row r="149050" spans="10:10" x14ac:dyDescent="0.3">
      <c r="J149050"/>
    </row>
    <row r="149051" spans="10:10" x14ac:dyDescent="0.3">
      <c r="J149051"/>
    </row>
    <row r="149052" spans="10:10" x14ac:dyDescent="0.3">
      <c r="J149052"/>
    </row>
    <row r="149053" spans="10:10" x14ac:dyDescent="0.3">
      <c r="J149053"/>
    </row>
    <row r="149054" spans="10:10" x14ac:dyDescent="0.3">
      <c r="J149054"/>
    </row>
    <row r="149055" spans="10:10" x14ac:dyDescent="0.3">
      <c r="J149055"/>
    </row>
    <row r="149056" spans="10:10" x14ac:dyDescent="0.3">
      <c r="J149056"/>
    </row>
    <row r="149057" spans="10:10" x14ac:dyDescent="0.3">
      <c r="J149057"/>
    </row>
    <row r="149058" spans="10:10" x14ac:dyDescent="0.3">
      <c r="J149058"/>
    </row>
    <row r="149059" spans="10:10" x14ac:dyDescent="0.3">
      <c r="J149059"/>
    </row>
    <row r="149060" spans="10:10" x14ac:dyDescent="0.3">
      <c r="J149060"/>
    </row>
    <row r="149061" spans="10:10" x14ac:dyDescent="0.3">
      <c r="J149061"/>
    </row>
    <row r="149062" spans="10:10" x14ac:dyDescent="0.3">
      <c r="J149062"/>
    </row>
    <row r="149063" spans="10:10" x14ac:dyDescent="0.3">
      <c r="J149063"/>
    </row>
    <row r="149064" spans="10:10" x14ac:dyDescent="0.3">
      <c r="J149064"/>
    </row>
    <row r="149065" spans="10:10" x14ac:dyDescent="0.3">
      <c r="J149065"/>
    </row>
    <row r="149066" spans="10:10" x14ac:dyDescent="0.3">
      <c r="J149066"/>
    </row>
    <row r="149067" spans="10:10" x14ac:dyDescent="0.3">
      <c r="J149067"/>
    </row>
    <row r="149068" spans="10:10" x14ac:dyDescent="0.3">
      <c r="J149068"/>
    </row>
    <row r="149069" spans="10:10" x14ac:dyDescent="0.3">
      <c r="J149069"/>
    </row>
    <row r="149070" spans="10:10" x14ac:dyDescent="0.3">
      <c r="J149070"/>
    </row>
    <row r="149071" spans="10:10" x14ac:dyDescent="0.3">
      <c r="J149071"/>
    </row>
    <row r="149072" spans="10:10" x14ac:dyDescent="0.3">
      <c r="J149072"/>
    </row>
    <row r="149073" spans="10:10" x14ac:dyDescent="0.3">
      <c r="J149073"/>
    </row>
    <row r="149074" spans="10:10" x14ac:dyDescent="0.3">
      <c r="J149074"/>
    </row>
    <row r="149075" spans="10:10" x14ac:dyDescent="0.3">
      <c r="J149075"/>
    </row>
    <row r="149076" spans="10:10" x14ac:dyDescent="0.3">
      <c r="J149076"/>
    </row>
    <row r="149077" spans="10:10" x14ac:dyDescent="0.3">
      <c r="J149077"/>
    </row>
    <row r="149078" spans="10:10" x14ac:dyDescent="0.3">
      <c r="J149078"/>
    </row>
    <row r="149079" spans="10:10" x14ac:dyDescent="0.3">
      <c r="J149079"/>
    </row>
    <row r="149080" spans="10:10" x14ac:dyDescent="0.3">
      <c r="J149080"/>
    </row>
    <row r="149081" spans="10:10" x14ac:dyDescent="0.3">
      <c r="J149081"/>
    </row>
    <row r="149082" spans="10:10" x14ac:dyDescent="0.3">
      <c r="J149082"/>
    </row>
    <row r="149083" spans="10:10" x14ac:dyDescent="0.3">
      <c r="J149083"/>
    </row>
    <row r="149084" spans="10:10" x14ac:dyDescent="0.3">
      <c r="J149084"/>
    </row>
    <row r="149085" spans="10:10" x14ac:dyDescent="0.3">
      <c r="J149085"/>
    </row>
    <row r="149086" spans="10:10" x14ac:dyDescent="0.3">
      <c r="J149086"/>
    </row>
    <row r="149087" spans="10:10" x14ac:dyDescent="0.3">
      <c r="J149087"/>
    </row>
    <row r="149088" spans="10:10" x14ac:dyDescent="0.3">
      <c r="J149088"/>
    </row>
    <row r="149089" spans="10:10" x14ac:dyDescent="0.3">
      <c r="J149089"/>
    </row>
    <row r="149090" spans="10:10" x14ac:dyDescent="0.3">
      <c r="J149090"/>
    </row>
    <row r="149091" spans="10:10" x14ac:dyDescent="0.3">
      <c r="J149091"/>
    </row>
    <row r="149092" spans="10:10" x14ac:dyDescent="0.3">
      <c r="J149092"/>
    </row>
    <row r="149093" spans="10:10" x14ac:dyDescent="0.3">
      <c r="J149093"/>
    </row>
    <row r="149094" spans="10:10" x14ac:dyDescent="0.3">
      <c r="J149094"/>
    </row>
    <row r="149095" spans="10:10" x14ac:dyDescent="0.3">
      <c r="J149095"/>
    </row>
    <row r="149096" spans="10:10" x14ac:dyDescent="0.3">
      <c r="J149096"/>
    </row>
    <row r="149097" spans="10:10" x14ac:dyDescent="0.3">
      <c r="J149097"/>
    </row>
    <row r="149098" spans="10:10" x14ac:dyDescent="0.3">
      <c r="J149098"/>
    </row>
    <row r="149099" spans="10:10" x14ac:dyDescent="0.3">
      <c r="J149099"/>
    </row>
    <row r="149100" spans="10:10" x14ac:dyDescent="0.3">
      <c r="J149100"/>
    </row>
    <row r="149101" spans="10:10" x14ac:dyDescent="0.3">
      <c r="J149101"/>
    </row>
    <row r="149102" spans="10:10" x14ac:dyDescent="0.3">
      <c r="J149102"/>
    </row>
    <row r="149103" spans="10:10" x14ac:dyDescent="0.3">
      <c r="J149103"/>
    </row>
    <row r="149104" spans="10:10" x14ac:dyDescent="0.3">
      <c r="J149104"/>
    </row>
    <row r="149105" spans="10:10" x14ac:dyDescent="0.3">
      <c r="J149105"/>
    </row>
    <row r="149106" spans="10:10" x14ac:dyDescent="0.3">
      <c r="J149106"/>
    </row>
    <row r="149107" spans="10:10" x14ac:dyDescent="0.3">
      <c r="J149107"/>
    </row>
    <row r="149108" spans="10:10" x14ac:dyDescent="0.3">
      <c r="J149108"/>
    </row>
    <row r="149109" spans="10:10" x14ac:dyDescent="0.3">
      <c r="J149109"/>
    </row>
    <row r="149110" spans="10:10" x14ac:dyDescent="0.3">
      <c r="J149110"/>
    </row>
    <row r="149111" spans="10:10" x14ac:dyDescent="0.3">
      <c r="J149111"/>
    </row>
    <row r="149112" spans="10:10" x14ac:dyDescent="0.3">
      <c r="J149112"/>
    </row>
    <row r="149113" spans="10:10" x14ac:dyDescent="0.3">
      <c r="J149113"/>
    </row>
    <row r="149114" spans="10:10" x14ac:dyDescent="0.3">
      <c r="J149114"/>
    </row>
    <row r="149115" spans="10:10" x14ac:dyDescent="0.3">
      <c r="J149115"/>
    </row>
    <row r="149116" spans="10:10" x14ac:dyDescent="0.3">
      <c r="J149116"/>
    </row>
    <row r="149117" spans="10:10" x14ac:dyDescent="0.3">
      <c r="J149117"/>
    </row>
    <row r="149118" spans="10:10" x14ac:dyDescent="0.3">
      <c r="J149118"/>
    </row>
    <row r="149119" spans="10:10" x14ac:dyDescent="0.3">
      <c r="J149119"/>
    </row>
    <row r="149120" spans="10:10" x14ac:dyDescent="0.3">
      <c r="J149120"/>
    </row>
    <row r="149121" spans="10:10" x14ac:dyDescent="0.3">
      <c r="J149121"/>
    </row>
    <row r="149122" spans="10:10" x14ac:dyDescent="0.3">
      <c r="J149122"/>
    </row>
    <row r="149123" spans="10:10" x14ac:dyDescent="0.3">
      <c r="J149123"/>
    </row>
    <row r="149124" spans="10:10" x14ac:dyDescent="0.3">
      <c r="J149124"/>
    </row>
    <row r="149125" spans="10:10" x14ac:dyDescent="0.3">
      <c r="J149125"/>
    </row>
    <row r="149126" spans="10:10" x14ac:dyDescent="0.3">
      <c r="J149126"/>
    </row>
    <row r="149127" spans="10:10" x14ac:dyDescent="0.3">
      <c r="J149127"/>
    </row>
    <row r="149128" spans="10:10" x14ac:dyDescent="0.3">
      <c r="J149128"/>
    </row>
    <row r="149129" spans="10:10" x14ac:dyDescent="0.3">
      <c r="J149129"/>
    </row>
    <row r="149130" spans="10:10" x14ac:dyDescent="0.3">
      <c r="J149130"/>
    </row>
    <row r="149131" spans="10:10" x14ac:dyDescent="0.3">
      <c r="J149131"/>
    </row>
    <row r="149132" spans="10:10" x14ac:dyDescent="0.3">
      <c r="J149132"/>
    </row>
    <row r="149133" spans="10:10" x14ac:dyDescent="0.3">
      <c r="J149133"/>
    </row>
    <row r="149134" spans="10:10" x14ac:dyDescent="0.3">
      <c r="J149134"/>
    </row>
    <row r="149135" spans="10:10" x14ac:dyDescent="0.3">
      <c r="J149135"/>
    </row>
    <row r="149136" spans="10:10" x14ac:dyDescent="0.3">
      <c r="J149136"/>
    </row>
    <row r="149137" spans="10:10" x14ac:dyDescent="0.3">
      <c r="J149137"/>
    </row>
    <row r="149138" spans="10:10" x14ac:dyDescent="0.3">
      <c r="J149138"/>
    </row>
    <row r="149139" spans="10:10" x14ac:dyDescent="0.3">
      <c r="J149139"/>
    </row>
    <row r="149140" spans="10:10" x14ac:dyDescent="0.3">
      <c r="J149140"/>
    </row>
    <row r="149141" spans="10:10" x14ac:dyDescent="0.3">
      <c r="J149141"/>
    </row>
    <row r="149142" spans="10:10" x14ac:dyDescent="0.3">
      <c r="J149142"/>
    </row>
    <row r="149143" spans="10:10" x14ac:dyDescent="0.3">
      <c r="J149143"/>
    </row>
    <row r="149144" spans="10:10" x14ac:dyDescent="0.3">
      <c r="J149144"/>
    </row>
    <row r="149145" spans="10:10" x14ac:dyDescent="0.3">
      <c r="J149145"/>
    </row>
    <row r="149146" spans="10:10" x14ac:dyDescent="0.3">
      <c r="J149146"/>
    </row>
    <row r="149147" spans="10:10" x14ac:dyDescent="0.3">
      <c r="J149147"/>
    </row>
    <row r="149148" spans="10:10" x14ac:dyDescent="0.3">
      <c r="J149148"/>
    </row>
    <row r="149149" spans="10:10" x14ac:dyDescent="0.3">
      <c r="J149149"/>
    </row>
    <row r="149150" spans="10:10" x14ac:dyDescent="0.3">
      <c r="J149150"/>
    </row>
    <row r="149151" spans="10:10" x14ac:dyDescent="0.3">
      <c r="J149151"/>
    </row>
    <row r="149152" spans="10:10" x14ac:dyDescent="0.3">
      <c r="J149152"/>
    </row>
    <row r="149153" spans="10:10" x14ac:dyDescent="0.3">
      <c r="J149153"/>
    </row>
    <row r="149154" spans="10:10" x14ac:dyDescent="0.3">
      <c r="J149154"/>
    </row>
    <row r="149155" spans="10:10" x14ac:dyDescent="0.3">
      <c r="J149155"/>
    </row>
    <row r="149156" spans="10:10" x14ac:dyDescent="0.3">
      <c r="J149156"/>
    </row>
    <row r="149157" spans="10:10" x14ac:dyDescent="0.3">
      <c r="J149157"/>
    </row>
    <row r="149158" spans="10:10" x14ac:dyDescent="0.3">
      <c r="J149158"/>
    </row>
    <row r="149159" spans="10:10" x14ac:dyDescent="0.3">
      <c r="J149159"/>
    </row>
    <row r="149160" spans="10:10" x14ac:dyDescent="0.3">
      <c r="J149160"/>
    </row>
    <row r="149161" spans="10:10" x14ac:dyDescent="0.3">
      <c r="J149161"/>
    </row>
    <row r="149162" spans="10:10" x14ac:dyDescent="0.3">
      <c r="J149162"/>
    </row>
    <row r="149163" spans="10:10" x14ac:dyDescent="0.3">
      <c r="J149163"/>
    </row>
    <row r="149164" spans="10:10" x14ac:dyDescent="0.3">
      <c r="J149164"/>
    </row>
    <row r="149165" spans="10:10" x14ac:dyDescent="0.3">
      <c r="J149165"/>
    </row>
    <row r="149166" spans="10:10" x14ac:dyDescent="0.3">
      <c r="J149166"/>
    </row>
    <row r="149167" spans="10:10" x14ac:dyDescent="0.3">
      <c r="J149167"/>
    </row>
    <row r="149168" spans="10:10" x14ac:dyDescent="0.3">
      <c r="J149168"/>
    </row>
    <row r="149169" spans="10:10" x14ac:dyDescent="0.3">
      <c r="J149169"/>
    </row>
    <row r="149170" spans="10:10" x14ac:dyDescent="0.3">
      <c r="J149170"/>
    </row>
    <row r="149171" spans="10:10" x14ac:dyDescent="0.3">
      <c r="J149171"/>
    </row>
    <row r="149172" spans="10:10" x14ac:dyDescent="0.3">
      <c r="J149172"/>
    </row>
    <row r="149173" spans="10:10" x14ac:dyDescent="0.3">
      <c r="J149173"/>
    </row>
    <row r="149174" spans="10:10" x14ac:dyDescent="0.3">
      <c r="J149174"/>
    </row>
    <row r="149175" spans="10:10" x14ac:dyDescent="0.3">
      <c r="J149175"/>
    </row>
    <row r="149176" spans="10:10" x14ac:dyDescent="0.3">
      <c r="J149176"/>
    </row>
    <row r="149177" spans="10:10" x14ac:dyDescent="0.3">
      <c r="J149177"/>
    </row>
    <row r="149178" spans="10:10" x14ac:dyDescent="0.3">
      <c r="J149178"/>
    </row>
    <row r="149179" spans="10:10" x14ac:dyDescent="0.3">
      <c r="J149179"/>
    </row>
    <row r="149180" spans="10:10" x14ac:dyDescent="0.3">
      <c r="J149180"/>
    </row>
    <row r="149181" spans="10:10" x14ac:dyDescent="0.3">
      <c r="J149181"/>
    </row>
    <row r="149182" spans="10:10" x14ac:dyDescent="0.3">
      <c r="J149182"/>
    </row>
    <row r="149183" spans="10:10" x14ac:dyDescent="0.3">
      <c r="J149183"/>
    </row>
    <row r="149184" spans="10:10" x14ac:dyDescent="0.3">
      <c r="J149184"/>
    </row>
    <row r="149185" spans="10:10" x14ac:dyDescent="0.3">
      <c r="J149185"/>
    </row>
    <row r="149186" spans="10:10" x14ac:dyDescent="0.3">
      <c r="J149186"/>
    </row>
    <row r="149187" spans="10:10" x14ac:dyDescent="0.3">
      <c r="J149187"/>
    </row>
    <row r="149188" spans="10:10" x14ac:dyDescent="0.3">
      <c r="J149188"/>
    </row>
    <row r="149189" spans="10:10" x14ac:dyDescent="0.3">
      <c r="J149189"/>
    </row>
    <row r="149190" spans="10:10" x14ac:dyDescent="0.3">
      <c r="J149190"/>
    </row>
    <row r="149191" spans="10:10" x14ac:dyDescent="0.3">
      <c r="J149191"/>
    </row>
    <row r="149192" spans="10:10" x14ac:dyDescent="0.3">
      <c r="J149192"/>
    </row>
    <row r="149193" spans="10:10" x14ac:dyDescent="0.3">
      <c r="J149193"/>
    </row>
    <row r="149194" spans="10:10" x14ac:dyDescent="0.3">
      <c r="J149194"/>
    </row>
    <row r="149195" spans="10:10" x14ac:dyDescent="0.3">
      <c r="J149195"/>
    </row>
    <row r="149196" spans="10:10" x14ac:dyDescent="0.3">
      <c r="J149196"/>
    </row>
    <row r="149197" spans="10:10" x14ac:dyDescent="0.3">
      <c r="J149197"/>
    </row>
    <row r="149198" spans="10:10" x14ac:dyDescent="0.3">
      <c r="J149198"/>
    </row>
    <row r="149199" spans="10:10" x14ac:dyDescent="0.3">
      <c r="J149199"/>
    </row>
    <row r="149200" spans="10:10" x14ac:dyDescent="0.3">
      <c r="J149200"/>
    </row>
    <row r="149201" spans="10:10" x14ac:dyDescent="0.3">
      <c r="J149201"/>
    </row>
    <row r="149202" spans="10:10" x14ac:dyDescent="0.3">
      <c r="J149202"/>
    </row>
    <row r="149203" spans="10:10" x14ac:dyDescent="0.3">
      <c r="J149203"/>
    </row>
    <row r="149204" spans="10:10" x14ac:dyDescent="0.3">
      <c r="J149204"/>
    </row>
    <row r="149205" spans="10:10" x14ac:dyDescent="0.3">
      <c r="J149205"/>
    </row>
    <row r="149206" spans="10:10" x14ac:dyDescent="0.3">
      <c r="J149206"/>
    </row>
    <row r="149207" spans="10:10" x14ac:dyDescent="0.3">
      <c r="J149207"/>
    </row>
    <row r="149208" spans="10:10" x14ac:dyDescent="0.3">
      <c r="J149208"/>
    </row>
    <row r="149209" spans="10:10" x14ac:dyDescent="0.3">
      <c r="J149209"/>
    </row>
    <row r="149210" spans="10:10" x14ac:dyDescent="0.3">
      <c r="J149210"/>
    </row>
    <row r="149211" spans="10:10" x14ac:dyDescent="0.3">
      <c r="J149211"/>
    </row>
    <row r="149212" spans="10:10" x14ac:dyDescent="0.3">
      <c r="J149212"/>
    </row>
    <row r="149213" spans="10:10" x14ac:dyDescent="0.3">
      <c r="J149213"/>
    </row>
    <row r="149214" spans="10:10" x14ac:dyDescent="0.3">
      <c r="J149214"/>
    </row>
    <row r="149215" spans="10:10" x14ac:dyDescent="0.3">
      <c r="J149215"/>
    </row>
    <row r="149216" spans="10:10" x14ac:dyDescent="0.3">
      <c r="J149216"/>
    </row>
    <row r="149217" spans="10:10" x14ac:dyDescent="0.3">
      <c r="J149217"/>
    </row>
    <row r="149218" spans="10:10" x14ac:dyDescent="0.3">
      <c r="J149218"/>
    </row>
    <row r="149219" spans="10:10" x14ac:dyDescent="0.3">
      <c r="J149219"/>
    </row>
    <row r="149220" spans="10:10" x14ac:dyDescent="0.3">
      <c r="J149220"/>
    </row>
    <row r="149221" spans="10:10" x14ac:dyDescent="0.3">
      <c r="J149221"/>
    </row>
    <row r="149222" spans="10:10" x14ac:dyDescent="0.3">
      <c r="J149222"/>
    </row>
    <row r="149223" spans="10:10" x14ac:dyDescent="0.3">
      <c r="J149223"/>
    </row>
    <row r="149224" spans="10:10" x14ac:dyDescent="0.3">
      <c r="J149224"/>
    </row>
    <row r="149225" spans="10:10" x14ac:dyDescent="0.3">
      <c r="J149225"/>
    </row>
    <row r="149226" spans="10:10" x14ac:dyDescent="0.3">
      <c r="J149226"/>
    </row>
    <row r="149227" spans="10:10" x14ac:dyDescent="0.3">
      <c r="J149227"/>
    </row>
    <row r="149228" spans="10:10" x14ac:dyDescent="0.3">
      <c r="J149228"/>
    </row>
    <row r="149229" spans="10:10" x14ac:dyDescent="0.3">
      <c r="J149229"/>
    </row>
    <row r="149230" spans="10:10" x14ac:dyDescent="0.3">
      <c r="J149230"/>
    </row>
    <row r="149231" spans="10:10" x14ac:dyDescent="0.3">
      <c r="J149231"/>
    </row>
    <row r="149232" spans="10:10" x14ac:dyDescent="0.3">
      <c r="J149232"/>
    </row>
    <row r="149233" spans="10:10" x14ac:dyDescent="0.3">
      <c r="J149233"/>
    </row>
    <row r="149234" spans="10:10" x14ac:dyDescent="0.3">
      <c r="J149234"/>
    </row>
    <row r="149235" spans="10:10" x14ac:dyDescent="0.3">
      <c r="J149235"/>
    </row>
    <row r="149236" spans="10:10" x14ac:dyDescent="0.3">
      <c r="J149236"/>
    </row>
    <row r="149237" spans="10:10" x14ac:dyDescent="0.3">
      <c r="J149237"/>
    </row>
    <row r="149238" spans="10:10" x14ac:dyDescent="0.3">
      <c r="J149238"/>
    </row>
    <row r="149239" spans="10:10" x14ac:dyDescent="0.3">
      <c r="J149239"/>
    </row>
    <row r="149240" spans="10:10" x14ac:dyDescent="0.3">
      <c r="J149240"/>
    </row>
    <row r="149241" spans="10:10" x14ac:dyDescent="0.3">
      <c r="J149241"/>
    </row>
    <row r="149242" spans="10:10" x14ac:dyDescent="0.3">
      <c r="J149242"/>
    </row>
    <row r="149243" spans="10:10" x14ac:dyDescent="0.3">
      <c r="J149243"/>
    </row>
    <row r="149244" spans="10:10" x14ac:dyDescent="0.3">
      <c r="J149244"/>
    </row>
    <row r="149245" spans="10:10" x14ac:dyDescent="0.3">
      <c r="J149245"/>
    </row>
    <row r="149246" spans="10:10" x14ac:dyDescent="0.3">
      <c r="J149246"/>
    </row>
    <row r="149247" spans="10:10" x14ac:dyDescent="0.3">
      <c r="J149247"/>
    </row>
    <row r="149248" spans="10:10" x14ac:dyDescent="0.3">
      <c r="J149248"/>
    </row>
    <row r="149249" spans="10:10" x14ac:dyDescent="0.3">
      <c r="J149249"/>
    </row>
    <row r="149250" spans="10:10" x14ac:dyDescent="0.3">
      <c r="J149250"/>
    </row>
    <row r="149251" spans="10:10" x14ac:dyDescent="0.3">
      <c r="J149251"/>
    </row>
    <row r="149252" spans="10:10" x14ac:dyDescent="0.3">
      <c r="J149252"/>
    </row>
    <row r="149253" spans="10:10" x14ac:dyDescent="0.3">
      <c r="J149253"/>
    </row>
    <row r="149254" spans="10:10" x14ac:dyDescent="0.3">
      <c r="J149254"/>
    </row>
    <row r="149255" spans="10:10" x14ac:dyDescent="0.3">
      <c r="J149255"/>
    </row>
    <row r="149256" spans="10:10" x14ac:dyDescent="0.3">
      <c r="J149256"/>
    </row>
    <row r="149257" spans="10:10" x14ac:dyDescent="0.3">
      <c r="J149257"/>
    </row>
    <row r="149258" spans="10:10" x14ac:dyDescent="0.3">
      <c r="J149258"/>
    </row>
    <row r="149259" spans="10:10" x14ac:dyDescent="0.3">
      <c r="J149259"/>
    </row>
    <row r="149260" spans="10:10" x14ac:dyDescent="0.3">
      <c r="J149260"/>
    </row>
    <row r="149261" spans="10:10" x14ac:dyDescent="0.3">
      <c r="J149261"/>
    </row>
    <row r="149262" spans="10:10" x14ac:dyDescent="0.3">
      <c r="J149262"/>
    </row>
    <row r="149263" spans="10:10" x14ac:dyDescent="0.3">
      <c r="J149263"/>
    </row>
    <row r="149264" spans="10:10" x14ac:dyDescent="0.3">
      <c r="J149264"/>
    </row>
    <row r="149265" spans="10:10" x14ac:dyDescent="0.3">
      <c r="J149265"/>
    </row>
    <row r="149266" spans="10:10" x14ac:dyDescent="0.3">
      <c r="J149266"/>
    </row>
    <row r="149267" spans="10:10" x14ac:dyDescent="0.3">
      <c r="J149267"/>
    </row>
    <row r="149268" spans="10:10" x14ac:dyDescent="0.3">
      <c r="J149268"/>
    </row>
    <row r="149269" spans="10:10" x14ac:dyDescent="0.3">
      <c r="J149269"/>
    </row>
    <row r="149270" spans="10:10" x14ac:dyDescent="0.3">
      <c r="J149270"/>
    </row>
    <row r="149271" spans="10:10" x14ac:dyDescent="0.3">
      <c r="J149271"/>
    </row>
    <row r="149272" spans="10:10" x14ac:dyDescent="0.3">
      <c r="J149272"/>
    </row>
    <row r="149273" spans="10:10" x14ac:dyDescent="0.3">
      <c r="J149273"/>
    </row>
    <row r="149274" spans="10:10" x14ac:dyDescent="0.3">
      <c r="J149274"/>
    </row>
    <row r="149275" spans="10:10" x14ac:dyDescent="0.3">
      <c r="J149275"/>
    </row>
    <row r="149276" spans="10:10" x14ac:dyDescent="0.3">
      <c r="J149276"/>
    </row>
    <row r="149277" spans="10:10" x14ac:dyDescent="0.3">
      <c r="J149277"/>
    </row>
    <row r="149278" spans="10:10" x14ac:dyDescent="0.3">
      <c r="J149278"/>
    </row>
    <row r="149279" spans="10:10" x14ac:dyDescent="0.3">
      <c r="J149279"/>
    </row>
    <row r="149280" spans="10:10" x14ac:dyDescent="0.3">
      <c r="J149280"/>
    </row>
    <row r="149281" spans="10:10" x14ac:dyDescent="0.3">
      <c r="J149281"/>
    </row>
    <row r="149282" spans="10:10" x14ac:dyDescent="0.3">
      <c r="J149282"/>
    </row>
    <row r="149283" spans="10:10" x14ac:dyDescent="0.3">
      <c r="J149283"/>
    </row>
    <row r="149284" spans="10:10" x14ac:dyDescent="0.3">
      <c r="J149284"/>
    </row>
    <row r="149285" spans="10:10" x14ac:dyDescent="0.3">
      <c r="J149285"/>
    </row>
    <row r="149286" spans="10:10" x14ac:dyDescent="0.3">
      <c r="J149286"/>
    </row>
    <row r="149287" spans="10:10" x14ac:dyDescent="0.3">
      <c r="J149287"/>
    </row>
    <row r="149288" spans="10:10" x14ac:dyDescent="0.3">
      <c r="J149288"/>
    </row>
    <row r="149289" spans="10:10" x14ac:dyDescent="0.3">
      <c r="J149289"/>
    </row>
    <row r="149290" spans="10:10" x14ac:dyDescent="0.3">
      <c r="J149290"/>
    </row>
    <row r="149291" spans="10:10" x14ac:dyDescent="0.3">
      <c r="J149291"/>
    </row>
    <row r="149292" spans="10:10" x14ac:dyDescent="0.3">
      <c r="J149292"/>
    </row>
    <row r="149293" spans="10:10" x14ac:dyDescent="0.3">
      <c r="J149293"/>
    </row>
    <row r="149294" spans="10:10" x14ac:dyDescent="0.3">
      <c r="J149294"/>
    </row>
    <row r="149295" spans="10:10" x14ac:dyDescent="0.3">
      <c r="J149295"/>
    </row>
    <row r="149296" spans="10:10" x14ac:dyDescent="0.3">
      <c r="J149296"/>
    </row>
    <row r="149297" spans="10:10" x14ac:dyDescent="0.3">
      <c r="J149297"/>
    </row>
    <row r="149298" spans="10:10" x14ac:dyDescent="0.3">
      <c r="J149298"/>
    </row>
    <row r="149299" spans="10:10" x14ac:dyDescent="0.3">
      <c r="J149299"/>
    </row>
    <row r="149300" spans="10:10" x14ac:dyDescent="0.3">
      <c r="J149300"/>
    </row>
    <row r="149301" spans="10:10" x14ac:dyDescent="0.3">
      <c r="J149301"/>
    </row>
    <row r="149302" spans="10:10" x14ac:dyDescent="0.3">
      <c r="J149302"/>
    </row>
    <row r="149303" spans="10:10" x14ac:dyDescent="0.3">
      <c r="J149303"/>
    </row>
    <row r="149304" spans="10:10" x14ac:dyDescent="0.3">
      <c r="J149304"/>
    </row>
    <row r="149305" spans="10:10" x14ac:dyDescent="0.3">
      <c r="J149305"/>
    </row>
    <row r="149306" spans="10:10" x14ac:dyDescent="0.3">
      <c r="J149306"/>
    </row>
    <row r="149307" spans="10:10" x14ac:dyDescent="0.3">
      <c r="J149307"/>
    </row>
    <row r="149308" spans="10:10" x14ac:dyDescent="0.3">
      <c r="J149308"/>
    </row>
    <row r="149309" spans="10:10" x14ac:dyDescent="0.3">
      <c r="J149309"/>
    </row>
    <row r="149310" spans="10:10" x14ac:dyDescent="0.3">
      <c r="J149310"/>
    </row>
    <row r="149311" spans="10:10" x14ac:dyDescent="0.3">
      <c r="J149311"/>
    </row>
    <row r="149312" spans="10:10" x14ac:dyDescent="0.3">
      <c r="J149312"/>
    </row>
    <row r="149313" spans="10:10" x14ac:dyDescent="0.3">
      <c r="J149313"/>
    </row>
    <row r="149314" spans="10:10" x14ac:dyDescent="0.3">
      <c r="J149314"/>
    </row>
    <row r="149315" spans="10:10" x14ac:dyDescent="0.3">
      <c r="J149315"/>
    </row>
    <row r="149316" spans="10:10" x14ac:dyDescent="0.3">
      <c r="J149316"/>
    </row>
    <row r="149317" spans="10:10" x14ac:dyDescent="0.3">
      <c r="J149317"/>
    </row>
    <row r="149318" spans="10:10" x14ac:dyDescent="0.3">
      <c r="J149318"/>
    </row>
    <row r="149319" spans="10:10" x14ac:dyDescent="0.3">
      <c r="J149319"/>
    </row>
    <row r="149320" spans="10:10" x14ac:dyDescent="0.3">
      <c r="J149320"/>
    </row>
    <row r="149321" spans="10:10" x14ac:dyDescent="0.3">
      <c r="J149321"/>
    </row>
    <row r="149322" spans="10:10" x14ac:dyDescent="0.3">
      <c r="J149322"/>
    </row>
    <row r="149323" spans="10:10" x14ac:dyDescent="0.3">
      <c r="J149323"/>
    </row>
    <row r="149324" spans="10:10" x14ac:dyDescent="0.3">
      <c r="J149324"/>
    </row>
    <row r="149325" spans="10:10" x14ac:dyDescent="0.3">
      <c r="J149325"/>
    </row>
    <row r="149326" spans="10:10" x14ac:dyDescent="0.3">
      <c r="J149326"/>
    </row>
    <row r="149327" spans="10:10" x14ac:dyDescent="0.3">
      <c r="J149327"/>
    </row>
    <row r="149328" spans="10:10" x14ac:dyDescent="0.3">
      <c r="J149328"/>
    </row>
    <row r="149329" spans="10:10" x14ac:dyDescent="0.3">
      <c r="J149329"/>
    </row>
    <row r="149330" spans="10:10" x14ac:dyDescent="0.3">
      <c r="J149330"/>
    </row>
    <row r="149331" spans="10:10" x14ac:dyDescent="0.3">
      <c r="J149331"/>
    </row>
    <row r="149332" spans="10:10" x14ac:dyDescent="0.3">
      <c r="J149332"/>
    </row>
    <row r="149333" spans="10:10" x14ac:dyDescent="0.3">
      <c r="J149333"/>
    </row>
    <row r="149334" spans="10:10" x14ac:dyDescent="0.3">
      <c r="J149334"/>
    </row>
    <row r="149335" spans="10:10" x14ac:dyDescent="0.3">
      <c r="J149335"/>
    </row>
    <row r="149336" spans="10:10" x14ac:dyDescent="0.3">
      <c r="J14933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6</vt:i4>
      </vt:variant>
    </vt:vector>
  </HeadingPairs>
  <TitlesOfParts>
    <vt:vector size="6" baseType="lpstr">
      <vt:lpstr>performence</vt:lpstr>
      <vt:lpstr>daily</vt:lpstr>
      <vt:lpstr>pivots</vt:lpstr>
      <vt:lpstr>data</vt:lpstr>
      <vt:lpstr>line id</vt:lpstr>
      <vt:lpstr>work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Itay Zaga</dc:creator>
  <cp:lastModifiedBy>איתי זאגא</cp:lastModifiedBy>
  <dcterms:created xsi:type="dcterms:W3CDTF">2023-01-04T15:25:32Z</dcterms:created>
  <dcterms:modified xsi:type="dcterms:W3CDTF">2025-05-26T13:47:10Z</dcterms:modified>
</cp:coreProperties>
</file>